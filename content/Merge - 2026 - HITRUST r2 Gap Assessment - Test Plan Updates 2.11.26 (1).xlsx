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codeName="ThisWorkbook"/>
  <mc:AlternateContent xmlns:mc="http://schemas.openxmlformats.org/markup-compatibility/2006">
    <mc:Choice Requires="x15">
      <x15ac:absPath xmlns:x15ac="http://schemas.microsoft.com/office/spreadsheetml/2010/11/ac" url="C:\Users\AdrienneDuBravec\Documents\"/>
    </mc:Choice>
  </mc:AlternateContent>
  <xr:revisionPtr revIDLastSave="0" documentId="8_{4E2821C0-FC0E-4383-BC4A-38BD2066D0DE}" xr6:coauthVersionLast="47" xr6:coauthVersionMax="47" xr10:uidLastSave="{00000000-0000-0000-0000-000000000000}"/>
  <bookViews>
    <workbookView xWindow="-110" yWindow="-110" windowWidth="22780" windowHeight="14540" firstSheet="1" activeTab="1" xr2:uid="{00000000-000D-0000-FFFF-FFFF00000000}"/>
  </bookViews>
  <sheets>
    <sheet name="Intro" sheetId="14" state="hidden" r:id="rId1"/>
    <sheet name="Assessment" sheetId="1" r:id="rId2"/>
    <sheet name="Sample Tables" sheetId="26" state="hidden" r:id="rId3"/>
    <sheet name="Inherited" sheetId="17" state="hidden" r:id="rId4"/>
    <sheet name="Checklist &amp; Documents" sheetId="29" state="hidden" r:id="rId5"/>
    <sheet name="Math" sheetId="7" r:id="rId6"/>
    <sheet name="Request List" sheetId="28" state="hidden" r:id="rId7"/>
    <sheet name="Service Request IDs" sheetId="31" state="hidden" r:id="rId8"/>
    <sheet name="Scope" sheetId="5" state="hidden" r:id="rId9"/>
    <sheet name="SRMs" sheetId="18" state="hidden" r:id="rId10"/>
    <sheet name="Fields &amp; Revisions" sheetId="2" state="hidden" r:id="rId11"/>
  </sheets>
  <externalReferences>
    <externalReference r:id="rId12"/>
  </externalReferences>
  <definedNames>
    <definedName name="_xlnm._FilterDatabase" localSheetId="1" hidden="1">Assessment!$A$1:$BH$204</definedName>
    <definedName name="_xlnm._FilterDatabase" localSheetId="6" hidden="1">'Request List'!$A$1:$I$2994</definedName>
    <definedName name="_xlnm._FilterDatabase" localSheetId="2" hidden="1">'Sample Tables'!$B$1:$B$3305</definedName>
    <definedName name="_xlnm._FilterDatabase" localSheetId="8" hidden="1">Scope!$A$1:$C$1</definedName>
    <definedName name="_xlnm._FilterDatabase" localSheetId="7" hidden="1">'Service Request IDs'!$A$1:$E$211</definedName>
    <definedName name="_xlnm._FilterDatabase" localSheetId="9" hidden="1">SRMs!$A$1:$R$4035</definedName>
    <definedName name="Applicable" localSheetId="2">[1]Fields!$A$2:$A$3</definedName>
    <definedName name="Applicable">'Fields &amp; Revisions'!$A$2:$A$3</definedName>
    <definedName name="Assessor">'Fields &amp; Revisions'!#REF!</definedName>
    <definedName name="Five">'Fields &amp; Revisions'!#REF!</definedName>
    <definedName name="Ten">'Fields &amp; Revisions'!#REF!</definedName>
    <definedName name="Yes" localSheetId="2">[1]Fields!$B$2:$B$6</definedName>
    <definedName name="Yes">'Fields &amp; Revisions'!$B$2:$B$6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161" i="1" l="1"/>
  <c r="A2466" i="26"/>
  <c r="BG160" i="1"/>
  <c r="BG59" i="1"/>
  <c r="BG37" i="1"/>
  <c r="BG35" i="1"/>
  <c r="BG33" i="1"/>
  <c r="BG44" i="1"/>
  <c r="BG150" i="1"/>
  <c r="A2433" i="26"/>
  <c r="BG173" i="1"/>
  <c r="A2422" i="26"/>
  <c r="A2411" i="26"/>
  <c r="A2389" i="26"/>
  <c r="A816" i="26"/>
  <c r="BG147" i="1"/>
  <c r="A1366" i="26"/>
  <c r="BG145" i="1"/>
  <c r="A2400" i="26"/>
  <c r="E141" i="1"/>
  <c r="BG204" i="1"/>
  <c r="BG202" i="1"/>
  <c r="BG199" i="1"/>
  <c r="BG198" i="1"/>
  <c r="BG197" i="1"/>
  <c r="BG196" i="1"/>
  <c r="BG195" i="1"/>
  <c r="BG194" i="1"/>
  <c r="BG192" i="1"/>
  <c r="BG191" i="1"/>
  <c r="BG190" i="1"/>
  <c r="BG189" i="1"/>
  <c r="BG188" i="1"/>
  <c r="BG184" i="1"/>
  <c r="BG183" i="1"/>
  <c r="BG182" i="1"/>
  <c r="BG178" i="1"/>
  <c r="BG177" i="1"/>
  <c r="BG176" i="1"/>
  <c r="BG175" i="1"/>
  <c r="BG174" i="1"/>
  <c r="BG172" i="1"/>
  <c r="BG171" i="1"/>
  <c r="BG170" i="1"/>
  <c r="BG169" i="1"/>
  <c r="BG168" i="1"/>
  <c r="BG167" i="1"/>
  <c r="BG166" i="1"/>
  <c r="BG165" i="1"/>
  <c r="BG164" i="1"/>
  <c r="BG163" i="1"/>
  <c r="BG162" i="1"/>
  <c r="BG159" i="1"/>
  <c r="BG158" i="1"/>
  <c r="BG157" i="1"/>
  <c r="BG156" i="1"/>
  <c r="BG155" i="1"/>
  <c r="BG154" i="1"/>
  <c r="BG153" i="1"/>
  <c r="BG152" i="1"/>
  <c r="BG151" i="1"/>
  <c r="BG149" i="1"/>
  <c r="BG148" i="1"/>
  <c r="BG146" i="1"/>
  <c r="BG144" i="1"/>
  <c r="BG143" i="1"/>
  <c r="BG142" i="1"/>
  <c r="BG141" i="1"/>
  <c r="BG140" i="1"/>
  <c r="BG139" i="1"/>
  <c r="BG138" i="1"/>
  <c r="BG137" i="1"/>
  <c r="BG136" i="1"/>
  <c r="BG135" i="1"/>
  <c r="BG133" i="1"/>
  <c r="BG131" i="1"/>
  <c r="BG130" i="1"/>
  <c r="BG129" i="1"/>
  <c r="BG124" i="1"/>
  <c r="BG122" i="1"/>
  <c r="BG120" i="1"/>
  <c r="BG119" i="1"/>
  <c r="BG118" i="1"/>
  <c r="BG116" i="1"/>
  <c r="BG114" i="1"/>
  <c r="BG110" i="1"/>
  <c r="BG109" i="1"/>
  <c r="BG108" i="1"/>
  <c r="BG107" i="1"/>
  <c r="BG106" i="1"/>
  <c r="BG105" i="1"/>
  <c r="BG104" i="1"/>
  <c r="BG99" i="1"/>
  <c r="BG93" i="1"/>
  <c r="BG92" i="1"/>
  <c r="BG91" i="1"/>
  <c r="BG90" i="1"/>
  <c r="BG88" i="1"/>
  <c r="BG87" i="1"/>
  <c r="BG86" i="1"/>
  <c r="BG85" i="1"/>
  <c r="BG84" i="1"/>
  <c r="BG79" i="1"/>
  <c r="BG78" i="1"/>
  <c r="BG77" i="1"/>
  <c r="BG75" i="1"/>
  <c r="BG73" i="1"/>
  <c r="BG72" i="1"/>
  <c r="BG71" i="1"/>
  <c r="BG70" i="1"/>
  <c r="BG68" i="1"/>
  <c r="BG67" i="1"/>
  <c r="BG62" i="1"/>
  <c r="BG61" i="1"/>
  <c r="BG60" i="1"/>
  <c r="BG58" i="1"/>
  <c r="BG57" i="1"/>
  <c r="BG56" i="1"/>
  <c r="BG55" i="1"/>
  <c r="BG52" i="1"/>
  <c r="BG51" i="1"/>
  <c r="BG50" i="1"/>
  <c r="BG49" i="1"/>
  <c r="BG48" i="1"/>
  <c r="BG47" i="1"/>
  <c r="BG46" i="1"/>
  <c r="BG45" i="1"/>
  <c r="BG41" i="1"/>
  <c r="BG40" i="1"/>
  <c r="BG39" i="1"/>
  <c r="BG38" i="1"/>
  <c r="BG36" i="1"/>
  <c r="BG34" i="1"/>
  <c r="BG29" i="1"/>
  <c r="BG28" i="1"/>
  <c r="BG25" i="1"/>
  <c r="BG23" i="1"/>
  <c r="BG19" i="1"/>
  <c r="BG15" i="1"/>
  <c r="BG14" i="1"/>
  <c r="BG12" i="1"/>
  <c r="BG11" i="1"/>
  <c r="BG10" i="1"/>
  <c r="BG9" i="1"/>
  <c r="BG8" i="1"/>
  <c r="BG7" i="1"/>
  <c r="BG6" i="1"/>
  <c r="BG5" i="1"/>
  <c r="BG4" i="1"/>
  <c r="BG3" i="1"/>
  <c r="BG2" i="1"/>
  <c r="O3" i="1"/>
  <c r="P3" i="1"/>
  <c r="Q3" i="1"/>
  <c r="R3" i="1"/>
  <c r="S3" i="1"/>
  <c r="T3" i="1"/>
  <c r="U3" i="1"/>
  <c r="AX3" i="1"/>
  <c r="AY3" i="1"/>
  <c r="AZ3" i="1"/>
  <c r="BA3" i="1"/>
  <c r="BB3" i="1"/>
  <c r="BC3" i="1"/>
  <c r="BD3" i="1"/>
  <c r="BE3" i="1"/>
  <c r="BF3" i="1"/>
  <c r="O4" i="1"/>
  <c r="P4" i="1"/>
  <c r="Q4" i="1"/>
  <c r="R4" i="1"/>
  <c r="S4" i="1"/>
  <c r="T4" i="1"/>
  <c r="U4" i="1"/>
  <c r="AX4" i="1"/>
  <c r="AY4" i="1"/>
  <c r="AZ4" i="1"/>
  <c r="BA4" i="1"/>
  <c r="BB4" i="1"/>
  <c r="BC4" i="1"/>
  <c r="BD4" i="1"/>
  <c r="BE4" i="1"/>
  <c r="BF4" i="1"/>
  <c r="O5" i="1"/>
  <c r="P5" i="1"/>
  <c r="Q5" i="1"/>
  <c r="R5" i="1"/>
  <c r="S5" i="1"/>
  <c r="T5" i="1"/>
  <c r="U5" i="1"/>
  <c r="AX5" i="1"/>
  <c r="AY5" i="1"/>
  <c r="AZ5" i="1"/>
  <c r="BA5" i="1"/>
  <c r="BB5" i="1"/>
  <c r="BC5" i="1"/>
  <c r="BD5" i="1"/>
  <c r="BE5" i="1"/>
  <c r="BF5" i="1"/>
  <c r="O6" i="1"/>
  <c r="P6" i="1"/>
  <c r="Q6" i="1"/>
  <c r="R6" i="1"/>
  <c r="S6" i="1"/>
  <c r="T6" i="1"/>
  <c r="U6" i="1"/>
  <c r="AX6" i="1"/>
  <c r="AY6" i="1"/>
  <c r="AZ6" i="1"/>
  <c r="BA6" i="1"/>
  <c r="BB6" i="1"/>
  <c r="BC6" i="1"/>
  <c r="BD6" i="1"/>
  <c r="BE6" i="1"/>
  <c r="BF6" i="1"/>
  <c r="O7" i="1"/>
  <c r="P7" i="1"/>
  <c r="Q7" i="1"/>
  <c r="R7" i="1"/>
  <c r="S7" i="1"/>
  <c r="T7" i="1"/>
  <c r="U7" i="1"/>
  <c r="AX7" i="1"/>
  <c r="AY7" i="1"/>
  <c r="AZ7" i="1"/>
  <c r="BA7" i="1"/>
  <c r="BB7" i="1"/>
  <c r="BC7" i="1"/>
  <c r="BD7" i="1"/>
  <c r="BE7" i="1"/>
  <c r="BF7" i="1"/>
  <c r="O8" i="1"/>
  <c r="P8" i="1"/>
  <c r="Q8" i="1"/>
  <c r="R8" i="1"/>
  <c r="S8" i="1"/>
  <c r="T8" i="1"/>
  <c r="U8" i="1"/>
  <c r="AX8" i="1"/>
  <c r="AY8" i="1"/>
  <c r="AZ8" i="1"/>
  <c r="BA8" i="1"/>
  <c r="BB8" i="1"/>
  <c r="BC8" i="1"/>
  <c r="BD8" i="1"/>
  <c r="BE8" i="1"/>
  <c r="BF8" i="1"/>
  <c r="O9" i="1"/>
  <c r="P9" i="1"/>
  <c r="Q9" i="1"/>
  <c r="R9" i="1"/>
  <c r="S9" i="1"/>
  <c r="T9" i="1"/>
  <c r="U9" i="1"/>
  <c r="AX9" i="1"/>
  <c r="AY9" i="1"/>
  <c r="AZ9" i="1"/>
  <c r="BA9" i="1"/>
  <c r="BB9" i="1"/>
  <c r="BC9" i="1"/>
  <c r="BD9" i="1"/>
  <c r="BE9" i="1"/>
  <c r="BF9" i="1"/>
  <c r="O10" i="1"/>
  <c r="P10" i="1"/>
  <c r="Q10" i="1"/>
  <c r="R10" i="1"/>
  <c r="S10" i="1"/>
  <c r="T10" i="1"/>
  <c r="U10" i="1"/>
  <c r="AX10" i="1"/>
  <c r="AY10" i="1"/>
  <c r="AZ10" i="1"/>
  <c r="BA10" i="1"/>
  <c r="BB10" i="1"/>
  <c r="BC10" i="1"/>
  <c r="BD10" i="1"/>
  <c r="BE10" i="1"/>
  <c r="BF10" i="1"/>
  <c r="O11" i="1"/>
  <c r="P11" i="1"/>
  <c r="Q11" i="1"/>
  <c r="R11" i="1"/>
  <c r="S11" i="1"/>
  <c r="T11" i="1"/>
  <c r="U11" i="1"/>
  <c r="AX11" i="1"/>
  <c r="AY11" i="1"/>
  <c r="AZ11" i="1"/>
  <c r="BA11" i="1"/>
  <c r="BB11" i="1"/>
  <c r="BC11" i="1"/>
  <c r="BD11" i="1"/>
  <c r="BE11" i="1"/>
  <c r="BF11" i="1"/>
  <c r="O12" i="1"/>
  <c r="P12" i="1"/>
  <c r="Q12" i="1"/>
  <c r="R12" i="1"/>
  <c r="S12" i="1"/>
  <c r="T12" i="1"/>
  <c r="U12" i="1"/>
  <c r="AX12" i="1"/>
  <c r="AY12" i="1"/>
  <c r="AZ12" i="1"/>
  <c r="BA12" i="1"/>
  <c r="BB12" i="1"/>
  <c r="BC12" i="1"/>
  <c r="BD12" i="1"/>
  <c r="BE12" i="1"/>
  <c r="BF12" i="1"/>
  <c r="O13" i="1"/>
  <c r="P13" i="1"/>
  <c r="Q13" i="1"/>
  <c r="R13" i="1"/>
  <c r="S13" i="1"/>
  <c r="T13" i="1"/>
  <c r="U13" i="1"/>
  <c r="AX13" i="1"/>
  <c r="AY13" i="1"/>
  <c r="AZ13" i="1"/>
  <c r="BA13" i="1"/>
  <c r="BB13" i="1"/>
  <c r="BC13" i="1"/>
  <c r="BD13" i="1"/>
  <c r="BE13" i="1"/>
  <c r="BF13" i="1"/>
  <c r="O14" i="1"/>
  <c r="P14" i="1"/>
  <c r="Q14" i="1"/>
  <c r="R14" i="1"/>
  <c r="S14" i="1"/>
  <c r="T14" i="1"/>
  <c r="U14" i="1"/>
  <c r="AX14" i="1"/>
  <c r="AY14" i="1"/>
  <c r="AZ14" i="1"/>
  <c r="BA14" i="1"/>
  <c r="BB14" i="1"/>
  <c r="BC14" i="1"/>
  <c r="BD14" i="1"/>
  <c r="BE14" i="1"/>
  <c r="BF14" i="1"/>
  <c r="O15" i="1"/>
  <c r="P15" i="1"/>
  <c r="Q15" i="1"/>
  <c r="R15" i="1"/>
  <c r="S15" i="1"/>
  <c r="T15" i="1"/>
  <c r="U15" i="1"/>
  <c r="AX15" i="1"/>
  <c r="AY15" i="1"/>
  <c r="AZ15" i="1"/>
  <c r="BA15" i="1"/>
  <c r="BB15" i="1"/>
  <c r="BC15" i="1"/>
  <c r="BD15" i="1"/>
  <c r="BE15" i="1"/>
  <c r="BF15" i="1"/>
  <c r="O16" i="1"/>
  <c r="P16" i="1"/>
  <c r="Q16" i="1"/>
  <c r="R16" i="1"/>
  <c r="S16" i="1"/>
  <c r="T16" i="1"/>
  <c r="U16" i="1"/>
  <c r="AX16" i="1"/>
  <c r="AY16" i="1"/>
  <c r="AZ16" i="1"/>
  <c r="BA16" i="1"/>
  <c r="BB16" i="1"/>
  <c r="BC16" i="1"/>
  <c r="BD16" i="1"/>
  <c r="BE16" i="1"/>
  <c r="BF16" i="1"/>
  <c r="O17" i="1"/>
  <c r="P17" i="1"/>
  <c r="Q17" i="1"/>
  <c r="R17" i="1"/>
  <c r="S17" i="1"/>
  <c r="T17" i="1"/>
  <c r="U17" i="1"/>
  <c r="AX17" i="1"/>
  <c r="AY17" i="1"/>
  <c r="AZ17" i="1"/>
  <c r="BA17" i="1"/>
  <c r="BB17" i="1"/>
  <c r="BC17" i="1"/>
  <c r="BD17" i="1"/>
  <c r="BE17" i="1"/>
  <c r="BF17" i="1"/>
  <c r="O18" i="1"/>
  <c r="P18" i="1"/>
  <c r="Q18" i="1"/>
  <c r="R18" i="1"/>
  <c r="S18" i="1"/>
  <c r="T18" i="1"/>
  <c r="U18" i="1"/>
  <c r="AX18" i="1"/>
  <c r="AY18" i="1"/>
  <c r="AZ18" i="1"/>
  <c r="BA18" i="1"/>
  <c r="BB18" i="1"/>
  <c r="BC18" i="1"/>
  <c r="BD18" i="1"/>
  <c r="BE18" i="1"/>
  <c r="BF18" i="1"/>
  <c r="O19" i="1"/>
  <c r="P19" i="1"/>
  <c r="Q19" i="1"/>
  <c r="R19" i="1"/>
  <c r="S19" i="1"/>
  <c r="T19" i="1"/>
  <c r="U19" i="1"/>
  <c r="AX19" i="1"/>
  <c r="AY19" i="1"/>
  <c r="AZ19" i="1"/>
  <c r="BA19" i="1"/>
  <c r="BB19" i="1"/>
  <c r="BC19" i="1"/>
  <c r="BD19" i="1"/>
  <c r="BE19" i="1"/>
  <c r="BF19" i="1"/>
  <c r="O20" i="1"/>
  <c r="P20" i="1"/>
  <c r="Q20" i="1"/>
  <c r="R20" i="1"/>
  <c r="S20" i="1"/>
  <c r="T20" i="1"/>
  <c r="U20" i="1"/>
  <c r="AX20" i="1"/>
  <c r="AY20" i="1"/>
  <c r="AZ20" i="1"/>
  <c r="BA20" i="1"/>
  <c r="BB20" i="1"/>
  <c r="BC20" i="1"/>
  <c r="BD20" i="1"/>
  <c r="BE20" i="1"/>
  <c r="BF20" i="1"/>
  <c r="O21" i="1"/>
  <c r="P21" i="1"/>
  <c r="Q21" i="1"/>
  <c r="R21" i="1"/>
  <c r="S21" i="1"/>
  <c r="T21" i="1"/>
  <c r="U21" i="1"/>
  <c r="AX21" i="1"/>
  <c r="AY21" i="1"/>
  <c r="AZ21" i="1"/>
  <c r="BA21" i="1"/>
  <c r="BB21" i="1"/>
  <c r="BC21" i="1"/>
  <c r="BD21" i="1"/>
  <c r="BE21" i="1"/>
  <c r="BF21" i="1"/>
  <c r="O22" i="1"/>
  <c r="P22" i="1"/>
  <c r="Q22" i="1"/>
  <c r="R22" i="1"/>
  <c r="S22" i="1"/>
  <c r="T22" i="1"/>
  <c r="U22" i="1"/>
  <c r="AX22" i="1"/>
  <c r="AY22" i="1"/>
  <c r="AZ22" i="1"/>
  <c r="BA22" i="1"/>
  <c r="BB22" i="1"/>
  <c r="BC22" i="1"/>
  <c r="BD22" i="1"/>
  <c r="BE22" i="1"/>
  <c r="BF22" i="1"/>
  <c r="O23" i="1"/>
  <c r="P23" i="1"/>
  <c r="Q23" i="1"/>
  <c r="R23" i="1"/>
  <c r="S23" i="1"/>
  <c r="T23" i="1"/>
  <c r="U23" i="1"/>
  <c r="AX23" i="1"/>
  <c r="AY23" i="1"/>
  <c r="AZ23" i="1"/>
  <c r="BA23" i="1"/>
  <c r="BB23" i="1"/>
  <c r="BC23" i="1"/>
  <c r="BD23" i="1"/>
  <c r="BE23" i="1"/>
  <c r="BF23" i="1"/>
  <c r="O24" i="1"/>
  <c r="P24" i="1"/>
  <c r="Q24" i="1"/>
  <c r="R24" i="1"/>
  <c r="S24" i="1"/>
  <c r="T24" i="1"/>
  <c r="U24" i="1"/>
  <c r="AX24" i="1"/>
  <c r="AY24" i="1"/>
  <c r="AZ24" i="1"/>
  <c r="BA24" i="1"/>
  <c r="BB24" i="1"/>
  <c r="BC24" i="1"/>
  <c r="BD24" i="1"/>
  <c r="BE24" i="1"/>
  <c r="BF24" i="1"/>
  <c r="O25" i="1"/>
  <c r="P25" i="1"/>
  <c r="Q25" i="1"/>
  <c r="R25" i="1"/>
  <c r="S25" i="1"/>
  <c r="T25" i="1"/>
  <c r="U25" i="1"/>
  <c r="AX25" i="1"/>
  <c r="AY25" i="1"/>
  <c r="AZ25" i="1"/>
  <c r="BA25" i="1"/>
  <c r="BB25" i="1"/>
  <c r="BC25" i="1"/>
  <c r="BD25" i="1"/>
  <c r="BE25" i="1"/>
  <c r="BF25" i="1"/>
  <c r="O26" i="1"/>
  <c r="P26" i="1"/>
  <c r="Q26" i="1"/>
  <c r="R26" i="1"/>
  <c r="S26" i="1"/>
  <c r="T26" i="1"/>
  <c r="U26" i="1"/>
  <c r="AX26" i="1"/>
  <c r="AY26" i="1"/>
  <c r="AZ26" i="1"/>
  <c r="BA26" i="1"/>
  <c r="BB26" i="1"/>
  <c r="BC26" i="1"/>
  <c r="BD26" i="1"/>
  <c r="BE26" i="1"/>
  <c r="BF26" i="1"/>
  <c r="O27" i="1"/>
  <c r="P27" i="1"/>
  <c r="Q27" i="1"/>
  <c r="R27" i="1"/>
  <c r="S27" i="1"/>
  <c r="T27" i="1"/>
  <c r="U27" i="1"/>
  <c r="AX27" i="1"/>
  <c r="AY27" i="1"/>
  <c r="AZ27" i="1"/>
  <c r="BA27" i="1"/>
  <c r="BB27" i="1"/>
  <c r="BC27" i="1"/>
  <c r="BD27" i="1"/>
  <c r="BE27" i="1"/>
  <c r="BF27" i="1"/>
  <c r="O28" i="1"/>
  <c r="P28" i="1"/>
  <c r="Q28" i="1"/>
  <c r="R28" i="1"/>
  <c r="S28" i="1"/>
  <c r="T28" i="1"/>
  <c r="U28" i="1"/>
  <c r="AX28" i="1"/>
  <c r="AY28" i="1"/>
  <c r="AZ28" i="1"/>
  <c r="BA28" i="1"/>
  <c r="BB28" i="1"/>
  <c r="BC28" i="1"/>
  <c r="BD28" i="1"/>
  <c r="BE28" i="1"/>
  <c r="BF28" i="1"/>
  <c r="O29" i="1"/>
  <c r="P29" i="1"/>
  <c r="Q29" i="1"/>
  <c r="R29" i="1"/>
  <c r="S29" i="1"/>
  <c r="T29" i="1"/>
  <c r="U29" i="1"/>
  <c r="AX29" i="1"/>
  <c r="AY29" i="1"/>
  <c r="AZ29" i="1"/>
  <c r="BA29" i="1"/>
  <c r="BB29" i="1"/>
  <c r="BC29" i="1"/>
  <c r="BD29" i="1"/>
  <c r="BE29" i="1"/>
  <c r="BF29" i="1"/>
  <c r="O30" i="1"/>
  <c r="P30" i="1"/>
  <c r="Q30" i="1"/>
  <c r="R30" i="1"/>
  <c r="S30" i="1"/>
  <c r="T30" i="1"/>
  <c r="U30" i="1"/>
  <c r="AX30" i="1"/>
  <c r="AY30" i="1"/>
  <c r="AZ30" i="1"/>
  <c r="BA30" i="1"/>
  <c r="BB30" i="1"/>
  <c r="BC30" i="1"/>
  <c r="BD30" i="1"/>
  <c r="BE30" i="1"/>
  <c r="BF30" i="1"/>
  <c r="O31" i="1"/>
  <c r="P31" i="1"/>
  <c r="Q31" i="1"/>
  <c r="R31" i="1"/>
  <c r="S31" i="1"/>
  <c r="T31" i="1"/>
  <c r="U31" i="1"/>
  <c r="AX31" i="1"/>
  <c r="AY31" i="1"/>
  <c r="AZ31" i="1"/>
  <c r="BA31" i="1"/>
  <c r="BB31" i="1"/>
  <c r="BC31" i="1"/>
  <c r="BD31" i="1"/>
  <c r="BE31" i="1"/>
  <c r="BF31" i="1"/>
  <c r="O32" i="1"/>
  <c r="P32" i="1"/>
  <c r="Q32" i="1"/>
  <c r="R32" i="1"/>
  <c r="S32" i="1"/>
  <c r="T32" i="1"/>
  <c r="U32" i="1"/>
  <c r="AX32" i="1"/>
  <c r="AY32" i="1"/>
  <c r="AZ32" i="1"/>
  <c r="BA32" i="1"/>
  <c r="BB32" i="1"/>
  <c r="BC32" i="1"/>
  <c r="BD32" i="1"/>
  <c r="BE32" i="1"/>
  <c r="BF32" i="1"/>
  <c r="O33" i="1"/>
  <c r="P33" i="1"/>
  <c r="Q33" i="1"/>
  <c r="R33" i="1"/>
  <c r="S33" i="1"/>
  <c r="T33" i="1"/>
  <c r="U33" i="1"/>
  <c r="AX33" i="1"/>
  <c r="AY33" i="1"/>
  <c r="AZ33" i="1"/>
  <c r="BA33" i="1"/>
  <c r="BB33" i="1"/>
  <c r="BC33" i="1"/>
  <c r="BD33" i="1"/>
  <c r="BE33" i="1"/>
  <c r="BF33" i="1"/>
  <c r="O34" i="1"/>
  <c r="P34" i="1"/>
  <c r="Q34" i="1"/>
  <c r="R34" i="1"/>
  <c r="S34" i="1"/>
  <c r="T34" i="1"/>
  <c r="U34" i="1"/>
  <c r="AX34" i="1"/>
  <c r="AY34" i="1"/>
  <c r="AZ34" i="1"/>
  <c r="BA34" i="1"/>
  <c r="BB34" i="1"/>
  <c r="BC34" i="1"/>
  <c r="BD34" i="1"/>
  <c r="BE34" i="1"/>
  <c r="BF34" i="1"/>
  <c r="O35" i="1"/>
  <c r="P35" i="1"/>
  <c r="Q35" i="1"/>
  <c r="R35" i="1"/>
  <c r="S35" i="1"/>
  <c r="T35" i="1"/>
  <c r="U35" i="1"/>
  <c r="AX35" i="1"/>
  <c r="AY35" i="1"/>
  <c r="AZ35" i="1"/>
  <c r="BA35" i="1"/>
  <c r="BB35" i="1"/>
  <c r="BC35" i="1"/>
  <c r="BD35" i="1"/>
  <c r="BE35" i="1"/>
  <c r="BF35" i="1"/>
  <c r="O36" i="1"/>
  <c r="P36" i="1"/>
  <c r="Q36" i="1"/>
  <c r="R36" i="1"/>
  <c r="S36" i="1"/>
  <c r="T36" i="1"/>
  <c r="U36" i="1"/>
  <c r="AX36" i="1"/>
  <c r="AY36" i="1"/>
  <c r="AZ36" i="1"/>
  <c r="BA36" i="1"/>
  <c r="BB36" i="1"/>
  <c r="BC36" i="1"/>
  <c r="BD36" i="1"/>
  <c r="BE36" i="1"/>
  <c r="BF36" i="1"/>
  <c r="O37" i="1"/>
  <c r="P37" i="1"/>
  <c r="Q37" i="1"/>
  <c r="R37" i="1"/>
  <c r="S37" i="1"/>
  <c r="T37" i="1"/>
  <c r="U37" i="1"/>
  <c r="AX37" i="1"/>
  <c r="AY37" i="1"/>
  <c r="AZ37" i="1"/>
  <c r="BA37" i="1"/>
  <c r="BB37" i="1"/>
  <c r="BC37" i="1"/>
  <c r="BD37" i="1"/>
  <c r="BE37" i="1"/>
  <c r="BF37" i="1"/>
  <c r="O38" i="1"/>
  <c r="P38" i="1"/>
  <c r="Q38" i="1"/>
  <c r="R38" i="1"/>
  <c r="S38" i="1"/>
  <c r="T38" i="1"/>
  <c r="U38" i="1"/>
  <c r="AX38" i="1"/>
  <c r="AY38" i="1"/>
  <c r="AZ38" i="1"/>
  <c r="BA38" i="1"/>
  <c r="BB38" i="1"/>
  <c r="BC38" i="1"/>
  <c r="BD38" i="1"/>
  <c r="BE38" i="1"/>
  <c r="BF38" i="1"/>
  <c r="O39" i="1"/>
  <c r="P39" i="1"/>
  <c r="Q39" i="1"/>
  <c r="R39" i="1"/>
  <c r="S39" i="1"/>
  <c r="T39" i="1"/>
  <c r="U39" i="1"/>
  <c r="AX39" i="1"/>
  <c r="AY39" i="1"/>
  <c r="AZ39" i="1"/>
  <c r="BA39" i="1"/>
  <c r="BB39" i="1"/>
  <c r="BC39" i="1"/>
  <c r="BD39" i="1"/>
  <c r="BE39" i="1"/>
  <c r="BF39" i="1"/>
  <c r="O40" i="1"/>
  <c r="P40" i="1"/>
  <c r="Q40" i="1"/>
  <c r="R40" i="1"/>
  <c r="S40" i="1"/>
  <c r="T40" i="1"/>
  <c r="U40" i="1"/>
  <c r="AX40" i="1"/>
  <c r="AY40" i="1"/>
  <c r="AZ40" i="1"/>
  <c r="BA40" i="1"/>
  <c r="BB40" i="1"/>
  <c r="BC40" i="1"/>
  <c r="BD40" i="1"/>
  <c r="BE40" i="1"/>
  <c r="BF40" i="1"/>
  <c r="O41" i="1"/>
  <c r="P41" i="1"/>
  <c r="Q41" i="1"/>
  <c r="R41" i="1"/>
  <c r="S41" i="1"/>
  <c r="T41" i="1"/>
  <c r="U41" i="1"/>
  <c r="AX41" i="1"/>
  <c r="AY41" i="1"/>
  <c r="AZ41" i="1"/>
  <c r="BA41" i="1"/>
  <c r="BB41" i="1"/>
  <c r="BC41" i="1"/>
  <c r="BD41" i="1"/>
  <c r="BE41" i="1"/>
  <c r="BF41" i="1"/>
  <c r="O42" i="1"/>
  <c r="P42" i="1"/>
  <c r="Q42" i="1"/>
  <c r="R42" i="1"/>
  <c r="S42" i="1"/>
  <c r="T42" i="1"/>
  <c r="U42" i="1"/>
  <c r="AX42" i="1"/>
  <c r="AY42" i="1"/>
  <c r="AZ42" i="1"/>
  <c r="BA42" i="1"/>
  <c r="BB42" i="1"/>
  <c r="BC42" i="1"/>
  <c r="BD42" i="1"/>
  <c r="BE42" i="1"/>
  <c r="BF42" i="1"/>
  <c r="O43" i="1"/>
  <c r="P43" i="1"/>
  <c r="Q43" i="1"/>
  <c r="R43" i="1"/>
  <c r="S43" i="1"/>
  <c r="T43" i="1"/>
  <c r="U43" i="1"/>
  <c r="AX43" i="1"/>
  <c r="AY43" i="1"/>
  <c r="AZ43" i="1"/>
  <c r="BA43" i="1"/>
  <c r="BB43" i="1"/>
  <c r="BC43" i="1"/>
  <c r="BD43" i="1"/>
  <c r="BE43" i="1"/>
  <c r="BF43" i="1"/>
  <c r="O44" i="1"/>
  <c r="P44" i="1"/>
  <c r="Q44" i="1"/>
  <c r="R44" i="1"/>
  <c r="S44" i="1"/>
  <c r="T44" i="1"/>
  <c r="U44" i="1"/>
  <c r="AX44" i="1"/>
  <c r="AY44" i="1"/>
  <c r="AZ44" i="1"/>
  <c r="BA44" i="1"/>
  <c r="BB44" i="1"/>
  <c r="BC44" i="1"/>
  <c r="BD44" i="1"/>
  <c r="BE44" i="1"/>
  <c r="BF44" i="1"/>
  <c r="O45" i="1"/>
  <c r="P45" i="1"/>
  <c r="Q45" i="1"/>
  <c r="R45" i="1"/>
  <c r="S45" i="1"/>
  <c r="T45" i="1"/>
  <c r="U45" i="1"/>
  <c r="AX45" i="1"/>
  <c r="AY45" i="1"/>
  <c r="AZ45" i="1"/>
  <c r="BA45" i="1"/>
  <c r="BB45" i="1"/>
  <c r="BC45" i="1"/>
  <c r="BD45" i="1"/>
  <c r="BE45" i="1"/>
  <c r="BF45" i="1"/>
  <c r="O46" i="1"/>
  <c r="P46" i="1"/>
  <c r="Q46" i="1"/>
  <c r="R46" i="1"/>
  <c r="S46" i="1"/>
  <c r="T46" i="1"/>
  <c r="U46" i="1"/>
  <c r="AX46" i="1"/>
  <c r="AY46" i="1"/>
  <c r="AZ46" i="1"/>
  <c r="BA46" i="1"/>
  <c r="BB46" i="1"/>
  <c r="BC46" i="1"/>
  <c r="BD46" i="1"/>
  <c r="BE46" i="1"/>
  <c r="BF46" i="1"/>
  <c r="O47" i="1"/>
  <c r="P47" i="1"/>
  <c r="Q47" i="1"/>
  <c r="R47" i="1"/>
  <c r="S47" i="1"/>
  <c r="T47" i="1"/>
  <c r="U47" i="1"/>
  <c r="AX47" i="1"/>
  <c r="AY47" i="1"/>
  <c r="AZ47" i="1"/>
  <c r="BA47" i="1"/>
  <c r="BB47" i="1"/>
  <c r="BC47" i="1"/>
  <c r="BD47" i="1"/>
  <c r="BE47" i="1"/>
  <c r="BF47" i="1"/>
  <c r="O48" i="1"/>
  <c r="P48" i="1"/>
  <c r="Q48" i="1"/>
  <c r="R48" i="1"/>
  <c r="S48" i="1"/>
  <c r="T48" i="1"/>
  <c r="U48" i="1"/>
  <c r="AX48" i="1"/>
  <c r="AY48" i="1"/>
  <c r="AZ48" i="1"/>
  <c r="BA48" i="1"/>
  <c r="BB48" i="1"/>
  <c r="BC48" i="1"/>
  <c r="BD48" i="1"/>
  <c r="BE48" i="1"/>
  <c r="BF48" i="1"/>
  <c r="O49" i="1"/>
  <c r="P49" i="1"/>
  <c r="Q49" i="1"/>
  <c r="R49" i="1"/>
  <c r="S49" i="1"/>
  <c r="T49" i="1"/>
  <c r="U49" i="1"/>
  <c r="AX49" i="1"/>
  <c r="AY49" i="1"/>
  <c r="AZ49" i="1"/>
  <c r="BA49" i="1"/>
  <c r="BB49" i="1"/>
  <c r="BC49" i="1"/>
  <c r="BD49" i="1"/>
  <c r="BE49" i="1"/>
  <c r="BF49" i="1"/>
  <c r="O50" i="1"/>
  <c r="P50" i="1"/>
  <c r="Q50" i="1"/>
  <c r="R50" i="1"/>
  <c r="S50" i="1"/>
  <c r="T50" i="1"/>
  <c r="U50" i="1"/>
  <c r="AX50" i="1"/>
  <c r="AY50" i="1"/>
  <c r="AZ50" i="1"/>
  <c r="BA50" i="1"/>
  <c r="BB50" i="1"/>
  <c r="BC50" i="1"/>
  <c r="BD50" i="1"/>
  <c r="BE50" i="1"/>
  <c r="BF50" i="1"/>
  <c r="O51" i="1"/>
  <c r="P51" i="1"/>
  <c r="Q51" i="1"/>
  <c r="R51" i="1"/>
  <c r="S51" i="1"/>
  <c r="T51" i="1"/>
  <c r="U51" i="1"/>
  <c r="AX51" i="1"/>
  <c r="AY51" i="1"/>
  <c r="AZ51" i="1"/>
  <c r="BA51" i="1"/>
  <c r="BB51" i="1"/>
  <c r="BC51" i="1"/>
  <c r="BD51" i="1"/>
  <c r="BE51" i="1"/>
  <c r="BF51" i="1"/>
  <c r="O52" i="1"/>
  <c r="P52" i="1"/>
  <c r="Q52" i="1"/>
  <c r="R52" i="1"/>
  <c r="S52" i="1"/>
  <c r="T52" i="1"/>
  <c r="U52" i="1"/>
  <c r="AX52" i="1"/>
  <c r="AY52" i="1"/>
  <c r="AZ52" i="1"/>
  <c r="BA52" i="1"/>
  <c r="BB52" i="1"/>
  <c r="BC52" i="1"/>
  <c r="BD52" i="1"/>
  <c r="BE52" i="1"/>
  <c r="BF52" i="1"/>
  <c r="O53" i="1"/>
  <c r="P53" i="1"/>
  <c r="Q53" i="1"/>
  <c r="R53" i="1"/>
  <c r="S53" i="1"/>
  <c r="T53" i="1"/>
  <c r="U53" i="1"/>
  <c r="AX53" i="1"/>
  <c r="AY53" i="1"/>
  <c r="AZ53" i="1"/>
  <c r="BA53" i="1"/>
  <c r="BB53" i="1"/>
  <c r="BC53" i="1"/>
  <c r="BD53" i="1"/>
  <c r="BE53" i="1"/>
  <c r="BF53" i="1"/>
  <c r="O54" i="1"/>
  <c r="P54" i="1"/>
  <c r="Q54" i="1"/>
  <c r="R54" i="1"/>
  <c r="S54" i="1"/>
  <c r="T54" i="1"/>
  <c r="U54" i="1"/>
  <c r="AX54" i="1"/>
  <c r="AY54" i="1"/>
  <c r="AZ54" i="1"/>
  <c r="BA54" i="1"/>
  <c r="BB54" i="1"/>
  <c r="BC54" i="1"/>
  <c r="BD54" i="1"/>
  <c r="BE54" i="1"/>
  <c r="BF54" i="1"/>
  <c r="O55" i="1"/>
  <c r="P55" i="1"/>
  <c r="Q55" i="1"/>
  <c r="R55" i="1"/>
  <c r="S55" i="1"/>
  <c r="T55" i="1"/>
  <c r="U55" i="1"/>
  <c r="AX55" i="1"/>
  <c r="AY55" i="1"/>
  <c r="AZ55" i="1"/>
  <c r="BA55" i="1"/>
  <c r="BB55" i="1"/>
  <c r="BC55" i="1"/>
  <c r="BD55" i="1"/>
  <c r="BE55" i="1"/>
  <c r="BF55" i="1"/>
  <c r="O56" i="1"/>
  <c r="P56" i="1"/>
  <c r="Q56" i="1"/>
  <c r="R56" i="1"/>
  <c r="S56" i="1"/>
  <c r="T56" i="1"/>
  <c r="U56" i="1"/>
  <c r="AX56" i="1"/>
  <c r="AY56" i="1"/>
  <c r="AZ56" i="1"/>
  <c r="BA56" i="1"/>
  <c r="BB56" i="1"/>
  <c r="BC56" i="1"/>
  <c r="BD56" i="1"/>
  <c r="BE56" i="1"/>
  <c r="BF56" i="1"/>
  <c r="O57" i="1"/>
  <c r="P57" i="1"/>
  <c r="Q57" i="1"/>
  <c r="R57" i="1"/>
  <c r="S57" i="1"/>
  <c r="T57" i="1"/>
  <c r="U57" i="1"/>
  <c r="AX57" i="1"/>
  <c r="AY57" i="1"/>
  <c r="AZ57" i="1"/>
  <c r="BA57" i="1"/>
  <c r="BB57" i="1"/>
  <c r="BC57" i="1"/>
  <c r="BD57" i="1"/>
  <c r="BE57" i="1"/>
  <c r="BF57" i="1"/>
  <c r="O58" i="1"/>
  <c r="P58" i="1"/>
  <c r="Q58" i="1"/>
  <c r="R58" i="1"/>
  <c r="S58" i="1"/>
  <c r="T58" i="1"/>
  <c r="U58" i="1"/>
  <c r="AX58" i="1"/>
  <c r="AY58" i="1"/>
  <c r="AZ58" i="1"/>
  <c r="BA58" i="1"/>
  <c r="BB58" i="1"/>
  <c r="BC58" i="1"/>
  <c r="BD58" i="1"/>
  <c r="BE58" i="1"/>
  <c r="BF58" i="1"/>
  <c r="O59" i="1"/>
  <c r="P59" i="1"/>
  <c r="Q59" i="1"/>
  <c r="R59" i="1"/>
  <c r="S59" i="1"/>
  <c r="T59" i="1"/>
  <c r="U59" i="1"/>
  <c r="AX59" i="1"/>
  <c r="AY59" i="1"/>
  <c r="AZ59" i="1"/>
  <c r="BA59" i="1"/>
  <c r="BB59" i="1"/>
  <c r="BC59" i="1"/>
  <c r="BD59" i="1"/>
  <c r="BE59" i="1"/>
  <c r="BF59" i="1"/>
  <c r="O60" i="1"/>
  <c r="P60" i="1"/>
  <c r="Q60" i="1"/>
  <c r="R60" i="1"/>
  <c r="S60" i="1"/>
  <c r="T60" i="1"/>
  <c r="U60" i="1"/>
  <c r="AX60" i="1"/>
  <c r="AY60" i="1"/>
  <c r="AZ60" i="1"/>
  <c r="BA60" i="1"/>
  <c r="BB60" i="1"/>
  <c r="BC60" i="1"/>
  <c r="BD60" i="1"/>
  <c r="BE60" i="1"/>
  <c r="BF60" i="1"/>
  <c r="O61" i="1"/>
  <c r="P61" i="1"/>
  <c r="Q61" i="1"/>
  <c r="R61" i="1"/>
  <c r="S61" i="1"/>
  <c r="T61" i="1"/>
  <c r="U61" i="1"/>
  <c r="AX61" i="1"/>
  <c r="AY61" i="1"/>
  <c r="AZ61" i="1"/>
  <c r="BA61" i="1"/>
  <c r="BB61" i="1"/>
  <c r="BC61" i="1"/>
  <c r="BD61" i="1"/>
  <c r="BE61" i="1"/>
  <c r="BF61" i="1"/>
  <c r="O62" i="1"/>
  <c r="P62" i="1"/>
  <c r="Q62" i="1"/>
  <c r="R62" i="1"/>
  <c r="S62" i="1"/>
  <c r="T62" i="1"/>
  <c r="U62" i="1"/>
  <c r="AX62" i="1"/>
  <c r="AY62" i="1"/>
  <c r="AZ62" i="1"/>
  <c r="BA62" i="1"/>
  <c r="BB62" i="1"/>
  <c r="BC62" i="1"/>
  <c r="BD62" i="1"/>
  <c r="BE62" i="1"/>
  <c r="BF62" i="1"/>
  <c r="O63" i="1"/>
  <c r="P63" i="1"/>
  <c r="Q63" i="1"/>
  <c r="R63" i="1"/>
  <c r="S63" i="1"/>
  <c r="T63" i="1"/>
  <c r="U63" i="1"/>
  <c r="AX63" i="1"/>
  <c r="AY63" i="1"/>
  <c r="AZ63" i="1"/>
  <c r="BA63" i="1"/>
  <c r="BB63" i="1"/>
  <c r="BC63" i="1"/>
  <c r="BD63" i="1"/>
  <c r="BE63" i="1"/>
  <c r="BF63" i="1"/>
  <c r="O64" i="1"/>
  <c r="P64" i="1"/>
  <c r="Q64" i="1"/>
  <c r="R64" i="1"/>
  <c r="S64" i="1"/>
  <c r="T64" i="1"/>
  <c r="U64" i="1"/>
  <c r="AX64" i="1"/>
  <c r="AY64" i="1"/>
  <c r="AZ64" i="1"/>
  <c r="BA64" i="1"/>
  <c r="BB64" i="1"/>
  <c r="BC64" i="1"/>
  <c r="BD64" i="1"/>
  <c r="BE64" i="1"/>
  <c r="BF64" i="1"/>
  <c r="O65" i="1"/>
  <c r="P65" i="1"/>
  <c r="Q65" i="1"/>
  <c r="R65" i="1"/>
  <c r="S65" i="1"/>
  <c r="T65" i="1"/>
  <c r="U65" i="1"/>
  <c r="AX65" i="1"/>
  <c r="AY65" i="1"/>
  <c r="AZ65" i="1"/>
  <c r="BA65" i="1"/>
  <c r="BB65" i="1"/>
  <c r="BC65" i="1"/>
  <c r="BD65" i="1"/>
  <c r="BE65" i="1"/>
  <c r="BF65" i="1"/>
  <c r="O66" i="1"/>
  <c r="P66" i="1"/>
  <c r="Q66" i="1"/>
  <c r="R66" i="1"/>
  <c r="S66" i="1"/>
  <c r="T66" i="1"/>
  <c r="U66" i="1"/>
  <c r="AX66" i="1"/>
  <c r="AY66" i="1"/>
  <c r="AZ66" i="1"/>
  <c r="BA66" i="1"/>
  <c r="BB66" i="1"/>
  <c r="BC66" i="1"/>
  <c r="BD66" i="1"/>
  <c r="BE66" i="1"/>
  <c r="BF66" i="1"/>
  <c r="O67" i="1"/>
  <c r="P67" i="1"/>
  <c r="Q67" i="1"/>
  <c r="R67" i="1"/>
  <c r="S67" i="1"/>
  <c r="T67" i="1"/>
  <c r="U67" i="1"/>
  <c r="AX67" i="1"/>
  <c r="AY67" i="1"/>
  <c r="AZ67" i="1"/>
  <c r="BA67" i="1"/>
  <c r="BB67" i="1"/>
  <c r="BC67" i="1"/>
  <c r="BD67" i="1"/>
  <c r="BE67" i="1"/>
  <c r="BF67" i="1"/>
  <c r="O68" i="1"/>
  <c r="P68" i="1"/>
  <c r="Q68" i="1"/>
  <c r="R68" i="1"/>
  <c r="S68" i="1"/>
  <c r="T68" i="1"/>
  <c r="U68" i="1"/>
  <c r="AX68" i="1"/>
  <c r="AY68" i="1"/>
  <c r="AZ68" i="1"/>
  <c r="BA68" i="1"/>
  <c r="BB68" i="1"/>
  <c r="BC68" i="1"/>
  <c r="BD68" i="1"/>
  <c r="BE68" i="1"/>
  <c r="BF68" i="1"/>
  <c r="O69" i="1"/>
  <c r="P69" i="1"/>
  <c r="Q69" i="1"/>
  <c r="R69" i="1"/>
  <c r="S69" i="1"/>
  <c r="T69" i="1"/>
  <c r="U69" i="1"/>
  <c r="AX69" i="1"/>
  <c r="AY69" i="1"/>
  <c r="AZ69" i="1"/>
  <c r="BA69" i="1"/>
  <c r="BB69" i="1"/>
  <c r="BC69" i="1"/>
  <c r="BD69" i="1"/>
  <c r="BE69" i="1"/>
  <c r="BF69" i="1"/>
  <c r="O70" i="1"/>
  <c r="P70" i="1"/>
  <c r="Q70" i="1"/>
  <c r="R70" i="1"/>
  <c r="S70" i="1"/>
  <c r="T70" i="1"/>
  <c r="U70" i="1"/>
  <c r="AX70" i="1"/>
  <c r="AY70" i="1"/>
  <c r="AZ70" i="1"/>
  <c r="BA70" i="1"/>
  <c r="BB70" i="1"/>
  <c r="BC70" i="1"/>
  <c r="BD70" i="1"/>
  <c r="BE70" i="1"/>
  <c r="BF70" i="1"/>
  <c r="O71" i="1"/>
  <c r="P71" i="1"/>
  <c r="Q71" i="1"/>
  <c r="R71" i="1"/>
  <c r="S71" i="1"/>
  <c r="T71" i="1"/>
  <c r="U71" i="1"/>
  <c r="AX71" i="1"/>
  <c r="AY71" i="1"/>
  <c r="AZ71" i="1"/>
  <c r="BA71" i="1"/>
  <c r="BB71" i="1"/>
  <c r="BC71" i="1"/>
  <c r="BD71" i="1"/>
  <c r="BE71" i="1"/>
  <c r="BF71" i="1"/>
  <c r="O72" i="1"/>
  <c r="P72" i="1"/>
  <c r="Q72" i="1"/>
  <c r="R72" i="1"/>
  <c r="S72" i="1"/>
  <c r="T72" i="1"/>
  <c r="U72" i="1"/>
  <c r="AX72" i="1"/>
  <c r="AY72" i="1"/>
  <c r="AZ72" i="1"/>
  <c r="BA72" i="1"/>
  <c r="BB72" i="1"/>
  <c r="BC72" i="1"/>
  <c r="BD72" i="1"/>
  <c r="BE72" i="1"/>
  <c r="BF72" i="1"/>
  <c r="O73" i="1"/>
  <c r="P73" i="1"/>
  <c r="Q73" i="1"/>
  <c r="R73" i="1"/>
  <c r="S73" i="1"/>
  <c r="T73" i="1"/>
  <c r="U73" i="1"/>
  <c r="AX73" i="1"/>
  <c r="AY73" i="1"/>
  <c r="AZ73" i="1"/>
  <c r="BA73" i="1"/>
  <c r="BB73" i="1"/>
  <c r="BC73" i="1"/>
  <c r="BD73" i="1"/>
  <c r="BE73" i="1"/>
  <c r="BF73" i="1"/>
  <c r="O74" i="1"/>
  <c r="P74" i="1"/>
  <c r="Q74" i="1"/>
  <c r="R74" i="1"/>
  <c r="S74" i="1"/>
  <c r="T74" i="1"/>
  <c r="U74" i="1"/>
  <c r="AX74" i="1"/>
  <c r="AY74" i="1"/>
  <c r="AZ74" i="1"/>
  <c r="BA74" i="1"/>
  <c r="BB74" i="1"/>
  <c r="BC74" i="1"/>
  <c r="BD74" i="1"/>
  <c r="BE74" i="1"/>
  <c r="BF74" i="1"/>
  <c r="O75" i="1"/>
  <c r="P75" i="1"/>
  <c r="Q75" i="1"/>
  <c r="R75" i="1"/>
  <c r="S75" i="1"/>
  <c r="T75" i="1"/>
  <c r="U75" i="1"/>
  <c r="AX75" i="1"/>
  <c r="AY75" i="1"/>
  <c r="AZ75" i="1"/>
  <c r="BA75" i="1"/>
  <c r="BB75" i="1"/>
  <c r="BC75" i="1"/>
  <c r="BD75" i="1"/>
  <c r="BE75" i="1"/>
  <c r="BF75" i="1"/>
  <c r="O76" i="1"/>
  <c r="P76" i="1"/>
  <c r="Q76" i="1"/>
  <c r="R76" i="1"/>
  <c r="S76" i="1"/>
  <c r="T76" i="1"/>
  <c r="U76" i="1"/>
  <c r="AX76" i="1"/>
  <c r="AY76" i="1"/>
  <c r="AZ76" i="1"/>
  <c r="BA76" i="1"/>
  <c r="BB76" i="1"/>
  <c r="BC76" i="1"/>
  <c r="BD76" i="1"/>
  <c r="BE76" i="1"/>
  <c r="BF76" i="1"/>
  <c r="O77" i="1"/>
  <c r="P77" i="1"/>
  <c r="Q77" i="1"/>
  <c r="R77" i="1"/>
  <c r="S77" i="1"/>
  <c r="T77" i="1"/>
  <c r="U77" i="1"/>
  <c r="AX77" i="1"/>
  <c r="AY77" i="1"/>
  <c r="AZ77" i="1"/>
  <c r="BA77" i="1"/>
  <c r="BB77" i="1"/>
  <c r="BC77" i="1"/>
  <c r="BD77" i="1"/>
  <c r="BE77" i="1"/>
  <c r="BF77" i="1"/>
  <c r="O78" i="1"/>
  <c r="P78" i="1"/>
  <c r="Q78" i="1"/>
  <c r="R78" i="1"/>
  <c r="S78" i="1"/>
  <c r="T78" i="1"/>
  <c r="U78" i="1"/>
  <c r="AX78" i="1"/>
  <c r="AY78" i="1"/>
  <c r="AZ78" i="1"/>
  <c r="BA78" i="1"/>
  <c r="BB78" i="1"/>
  <c r="BC78" i="1"/>
  <c r="BD78" i="1"/>
  <c r="BE78" i="1"/>
  <c r="BF78" i="1"/>
  <c r="O79" i="1"/>
  <c r="P79" i="1"/>
  <c r="Q79" i="1"/>
  <c r="R79" i="1"/>
  <c r="S79" i="1"/>
  <c r="T79" i="1"/>
  <c r="U79" i="1"/>
  <c r="AX79" i="1"/>
  <c r="AY79" i="1"/>
  <c r="AZ79" i="1"/>
  <c r="BA79" i="1"/>
  <c r="BB79" i="1"/>
  <c r="BC79" i="1"/>
  <c r="BD79" i="1"/>
  <c r="BE79" i="1"/>
  <c r="BF79" i="1"/>
  <c r="O80" i="1"/>
  <c r="P80" i="1"/>
  <c r="Q80" i="1"/>
  <c r="R80" i="1"/>
  <c r="S80" i="1"/>
  <c r="T80" i="1"/>
  <c r="U80" i="1"/>
  <c r="AX80" i="1"/>
  <c r="AY80" i="1"/>
  <c r="AZ80" i="1"/>
  <c r="BA80" i="1"/>
  <c r="BB80" i="1"/>
  <c r="BC80" i="1"/>
  <c r="BD80" i="1"/>
  <c r="BE80" i="1"/>
  <c r="BF80" i="1"/>
  <c r="O81" i="1"/>
  <c r="P81" i="1"/>
  <c r="Q81" i="1"/>
  <c r="R81" i="1"/>
  <c r="S81" i="1"/>
  <c r="T81" i="1"/>
  <c r="U81" i="1"/>
  <c r="AX81" i="1"/>
  <c r="AY81" i="1"/>
  <c r="AZ81" i="1"/>
  <c r="BA81" i="1"/>
  <c r="BB81" i="1"/>
  <c r="BC81" i="1"/>
  <c r="BD81" i="1"/>
  <c r="BE81" i="1"/>
  <c r="BF81" i="1"/>
  <c r="O82" i="1"/>
  <c r="P82" i="1"/>
  <c r="Q82" i="1"/>
  <c r="R82" i="1"/>
  <c r="S82" i="1"/>
  <c r="T82" i="1"/>
  <c r="U82" i="1"/>
  <c r="AX82" i="1"/>
  <c r="AY82" i="1"/>
  <c r="AZ82" i="1"/>
  <c r="BA82" i="1"/>
  <c r="BB82" i="1"/>
  <c r="BC82" i="1"/>
  <c r="BD82" i="1"/>
  <c r="BE82" i="1"/>
  <c r="BF82" i="1"/>
  <c r="O83" i="1"/>
  <c r="P83" i="1"/>
  <c r="Q83" i="1"/>
  <c r="R83" i="1"/>
  <c r="S83" i="1"/>
  <c r="T83" i="1"/>
  <c r="U83" i="1"/>
  <c r="AX83" i="1"/>
  <c r="AY83" i="1"/>
  <c r="AZ83" i="1"/>
  <c r="BA83" i="1"/>
  <c r="BB83" i="1"/>
  <c r="BC83" i="1"/>
  <c r="BD83" i="1"/>
  <c r="BE83" i="1"/>
  <c r="BF83" i="1"/>
  <c r="O84" i="1"/>
  <c r="P84" i="1"/>
  <c r="Q84" i="1"/>
  <c r="R84" i="1"/>
  <c r="S84" i="1"/>
  <c r="T84" i="1"/>
  <c r="U84" i="1"/>
  <c r="AX84" i="1"/>
  <c r="AY84" i="1"/>
  <c r="AZ84" i="1"/>
  <c r="BA84" i="1"/>
  <c r="BB84" i="1"/>
  <c r="BC84" i="1"/>
  <c r="BD84" i="1"/>
  <c r="BE84" i="1"/>
  <c r="BF84" i="1"/>
  <c r="O85" i="1"/>
  <c r="P85" i="1"/>
  <c r="Q85" i="1"/>
  <c r="R85" i="1"/>
  <c r="S85" i="1"/>
  <c r="T85" i="1"/>
  <c r="U85" i="1"/>
  <c r="AX85" i="1"/>
  <c r="AY85" i="1"/>
  <c r="AZ85" i="1"/>
  <c r="BA85" i="1"/>
  <c r="BB85" i="1"/>
  <c r="BC85" i="1"/>
  <c r="BD85" i="1"/>
  <c r="BE85" i="1"/>
  <c r="BF85" i="1"/>
  <c r="O86" i="1"/>
  <c r="P86" i="1"/>
  <c r="Q86" i="1"/>
  <c r="R86" i="1"/>
  <c r="S86" i="1"/>
  <c r="T86" i="1"/>
  <c r="U86" i="1"/>
  <c r="AX86" i="1"/>
  <c r="AY86" i="1"/>
  <c r="AZ86" i="1"/>
  <c r="BA86" i="1"/>
  <c r="BB86" i="1"/>
  <c r="BC86" i="1"/>
  <c r="BD86" i="1"/>
  <c r="BE86" i="1"/>
  <c r="BF86" i="1"/>
  <c r="O87" i="1"/>
  <c r="P87" i="1"/>
  <c r="Q87" i="1"/>
  <c r="R87" i="1"/>
  <c r="S87" i="1"/>
  <c r="T87" i="1"/>
  <c r="U87" i="1"/>
  <c r="AX87" i="1"/>
  <c r="AY87" i="1"/>
  <c r="AZ87" i="1"/>
  <c r="BA87" i="1"/>
  <c r="BB87" i="1"/>
  <c r="BC87" i="1"/>
  <c r="BD87" i="1"/>
  <c r="BE87" i="1"/>
  <c r="BF87" i="1"/>
  <c r="O88" i="1"/>
  <c r="P88" i="1"/>
  <c r="Q88" i="1"/>
  <c r="R88" i="1"/>
  <c r="S88" i="1"/>
  <c r="T88" i="1"/>
  <c r="U88" i="1"/>
  <c r="AX88" i="1"/>
  <c r="AY88" i="1"/>
  <c r="AZ88" i="1"/>
  <c r="BA88" i="1"/>
  <c r="BB88" i="1"/>
  <c r="BC88" i="1"/>
  <c r="BD88" i="1"/>
  <c r="BE88" i="1"/>
  <c r="BF88" i="1"/>
  <c r="O89" i="1"/>
  <c r="P89" i="1"/>
  <c r="Q89" i="1"/>
  <c r="R89" i="1"/>
  <c r="S89" i="1"/>
  <c r="T89" i="1"/>
  <c r="U89" i="1"/>
  <c r="AX89" i="1"/>
  <c r="AY89" i="1"/>
  <c r="AZ89" i="1"/>
  <c r="BA89" i="1"/>
  <c r="BB89" i="1"/>
  <c r="BC89" i="1"/>
  <c r="BD89" i="1"/>
  <c r="BE89" i="1"/>
  <c r="BF89" i="1"/>
  <c r="O90" i="1"/>
  <c r="P90" i="1"/>
  <c r="Q90" i="1"/>
  <c r="R90" i="1"/>
  <c r="S90" i="1"/>
  <c r="T90" i="1"/>
  <c r="U90" i="1"/>
  <c r="AX90" i="1"/>
  <c r="AY90" i="1"/>
  <c r="AZ90" i="1"/>
  <c r="BA90" i="1"/>
  <c r="BB90" i="1"/>
  <c r="BC90" i="1"/>
  <c r="BD90" i="1"/>
  <c r="BE90" i="1"/>
  <c r="BF90" i="1"/>
  <c r="O91" i="1"/>
  <c r="P91" i="1"/>
  <c r="Q91" i="1"/>
  <c r="R91" i="1"/>
  <c r="S91" i="1"/>
  <c r="T91" i="1"/>
  <c r="U91" i="1"/>
  <c r="AX91" i="1"/>
  <c r="AY91" i="1"/>
  <c r="AZ91" i="1"/>
  <c r="BA91" i="1"/>
  <c r="BB91" i="1"/>
  <c r="BC91" i="1"/>
  <c r="BD91" i="1"/>
  <c r="BE91" i="1"/>
  <c r="BF91" i="1"/>
  <c r="O92" i="1"/>
  <c r="P92" i="1"/>
  <c r="Q92" i="1"/>
  <c r="R92" i="1"/>
  <c r="S92" i="1"/>
  <c r="T92" i="1"/>
  <c r="U92" i="1"/>
  <c r="AX92" i="1"/>
  <c r="AY92" i="1"/>
  <c r="AZ92" i="1"/>
  <c r="BA92" i="1"/>
  <c r="BB92" i="1"/>
  <c r="BC92" i="1"/>
  <c r="BD92" i="1"/>
  <c r="BE92" i="1"/>
  <c r="BF92" i="1"/>
  <c r="O93" i="1"/>
  <c r="P93" i="1"/>
  <c r="Q93" i="1"/>
  <c r="R93" i="1"/>
  <c r="S93" i="1"/>
  <c r="T93" i="1"/>
  <c r="U93" i="1"/>
  <c r="AX93" i="1"/>
  <c r="AY93" i="1"/>
  <c r="AZ93" i="1"/>
  <c r="BA93" i="1"/>
  <c r="BB93" i="1"/>
  <c r="BC93" i="1"/>
  <c r="BD93" i="1"/>
  <c r="BE93" i="1"/>
  <c r="BF93" i="1"/>
  <c r="O94" i="1"/>
  <c r="P94" i="1"/>
  <c r="Q94" i="1"/>
  <c r="R94" i="1"/>
  <c r="S94" i="1"/>
  <c r="T94" i="1"/>
  <c r="U94" i="1"/>
  <c r="AX94" i="1"/>
  <c r="AY94" i="1"/>
  <c r="AZ94" i="1"/>
  <c r="BA94" i="1"/>
  <c r="BB94" i="1"/>
  <c r="BC94" i="1"/>
  <c r="BD94" i="1"/>
  <c r="BE94" i="1"/>
  <c r="BF94" i="1"/>
  <c r="O95" i="1"/>
  <c r="P95" i="1"/>
  <c r="Q95" i="1"/>
  <c r="R95" i="1"/>
  <c r="S95" i="1"/>
  <c r="T95" i="1"/>
  <c r="U95" i="1"/>
  <c r="AX95" i="1"/>
  <c r="AY95" i="1"/>
  <c r="AZ95" i="1"/>
  <c r="BA95" i="1"/>
  <c r="BB95" i="1"/>
  <c r="BC95" i="1"/>
  <c r="BD95" i="1"/>
  <c r="BE95" i="1"/>
  <c r="BF95" i="1"/>
  <c r="O96" i="1"/>
  <c r="P96" i="1"/>
  <c r="Q96" i="1"/>
  <c r="R96" i="1"/>
  <c r="S96" i="1"/>
  <c r="T96" i="1"/>
  <c r="U96" i="1"/>
  <c r="AX96" i="1"/>
  <c r="AY96" i="1"/>
  <c r="AZ96" i="1"/>
  <c r="BA96" i="1"/>
  <c r="BB96" i="1"/>
  <c r="BC96" i="1"/>
  <c r="BD96" i="1"/>
  <c r="BE96" i="1"/>
  <c r="BF96" i="1"/>
  <c r="O97" i="1"/>
  <c r="P97" i="1"/>
  <c r="Q97" i="1"/>
  <c r="R97" i="1"/>
  <c r="S97" i="1"/>
  <c r="T97" i="1"/>
  <c r="U97" i="1"/>
  <c r="AX97" i="1"/>
  <c r="AY97" i="1"/>
  <c r="AZ97" i="1"/>
  <c r="BA97" i="1"/>
  <c r="BB97" i="1"/>
  <c r="BC97" i="1"/>
  <c r="BD97" i="1"/>
  <c r="BE97" i="1"/>
  <c r="BF97" i="1"/>
  <c r="O98" i="1"/>
  <c r="P98" i="1"/>
  <c r="Q98" i="1"/>
  <c r="R98" i="1"/>
  <c r="S98" i="1"/>
  <c r="T98" i="1"/>
  <c r="U98" i="1"/>
  <c r="AX98" i="1"/>
  <c r="AY98" i="1"/>
  <c r="AZ98" i="1"/>
  <c r="BA98" i="1"/>
  <c r="BB98" i="1"/>
  <c r="BC98" i="1"/>
  <c r="BD98" i="1"/>
  <c r="BE98" i="1"/>
  <c r="BF98" i="1"/>
  <c r="O99" i="1"/>
  <c r="P99" i="1"/>
  <c r="Q99" i="1"/>
  <c r="R99" i="1"/>
  <c r="S99" i="1"/>
  <c r="T99" i="1"/>
  <c r="U99" i="1"/>
  <c r="AX99" i="1"/>
  <c r="AY99" i="1"/>
  <c r="AZ99" i="1"/>
  <c r="BA99" i="1"/>
  <c r="BB99" i="1"/>
  <c r="BC99" i="1"/>
  <c r="BD99" i="1"/>
  <c r="BE99" i="1"/>
  <c r="BF99" i="1"/>
  <c r="O100" i="1"/>
  <c r="P100" i="1"/>
  <c r="Q100" i="1"/>
  <c r="R100" i="1"/>
  <c r="S100" i="1"/>
  <c r="T100" i="1"/>
  <c r="U100" i="1"/>
  <c r="AX100" i="1"/>
  <c r="AY100" i="1"/>
  <c r="AZ100" i="1"/>
  <c r="BA100" i="1"/>
  <c r="BB100" i="1"/>
  <c r="BC100" i="1"/>
  <c r="BD100" i="1"/>
  <c r="BE100" i="1"/>
  <c r="BF100" i="1"/>
  <c r="O101" i="1"/>
  <c r="P101" i="1"/>
  <c r="Q101" i="1"/>
  <c r="R101" i="1"/>
  <c r="S101" i="1"/>
  <c r="T101" i="1"/>
  <c r="U101" i="1"/>
  <c r="AX101" i="1"/>
  <c r="AY101" i="1"/>
  <c r="AZ101" i="1"/>
  <c r="BA101" i="1"/>
  <c r="BB101" i="1"/>
  <c r="BC101" i="1"/>
  <c r="BD101" i="1"/>
  <c r="BE101" i="1"/>
  <c r="BF101" i="1"/>
  <c r="O102" i="1"/>
  <c r="P102" i="1"/>
  <c r="Q102" i="1"/>
  <c r="R102" i="1"/>
  <c r="S102" i="1"/>
  <c r="T102" i="1"/>
  <c r="U102" i="1"/>
  <c r="AX102" i="1"/>
  <c r="AY102" i="1"/>
  <c r="AZ102" i="1"/>
  <c r="BA102" i="1"/>
  <c r="BB102" i="1"/>
  <c r="BC102" i="1"/>
  <c r="BD102" i="1"/>
  <c r="BE102" i="1"/>
  <c r="BF102" i="1"/>
  <c r="O103" i="1"/>
  <c r="P103" i="1"/>
  <c r="Q103" i="1"/>
  <c r="R103" i="1"/>
  <c r="S103" i="1"/>
  <c r="T103" i="1"/>
  <c r="U103" i="1"/>
  <c r="AX103" i="1"/>
  <c r="AY103" i="1"/>
  <c r="AZ103" i="1"/>
  <c r="BA103" i="1"/>
  <c r="BB103" i="1"/>
  <c r="BC103" i="1"/>
  <c r="BD103" i="1"/>
  <c r="BE103" i="1"/>
  <c r="BF103" i="1"/>
  <c r="O104" i="1"/>
  <c r="P104" i="1"/>
  <c r="Q104" i="1"/>
  <c r="R104" i="1"/>
  <c r="S104" i="1"/>
  <c r="T104" i="1"/>
  <c r="U104" i="1"/>
  <c r="AX104" i="1"/>
  <c r="AY104" i="1"/>
  <c r="AZ104" i="1"/>
  <c r="BA104" i="1"/>
  <c r="BB104" i="1"/>
  <c r="BC104" i="1"/>
  <c r="BD104" i="1"/>
  <c r="BE104" i="1"/>
  <c r="BF104" i="1"/>
  <c r="O105" i="1"/>
  <c r="P105" i="1"/>
  <c r="Q105" i="1"/>
  <c r="R105" i="1"/>
  <c r="S105" i="1"/>
  <c r="T105" i="1"/>
  <c r="U105" i="1"/>
  <c r="AX105" i="1"/>
  <c r="AY105" i="1"/>
  <c r="AZ105" i="1"/>
  <c r="BA105" i="1"/>
  <c r="BB105" i="1"/>
  <c r="BC105" i="1"/>
  <c r="BD105" i="1"/>
  <c r="BE105" i="1"/>
  <c r="BF105" i="1"/>
  <c r="O106" i="1"/>
  <c r="P106" i="1"/>
  <c r="Q106" i="1"/>
  <c r="R106" i="1"/>
  <c r="S106" i="1"/>
  <c r="T106" i="1"/>
  <c r="U106" i="1"/>
  <c r="AX106" i="1"/>
  <c r="AY106" i="1"/>
  <c r="AZ106" i="1"/>
  <c r="BA106" i="1"/>
  <c r="BB106" i="1"/>
  <c r="BC106" i="1"/>
  <c r="BD106" i="1"/>
  <c r="BE106" i="1"/>
  <c r="BF106" i="1"/>
  <c r="O107" i="1"/>
  <c r="P107" i="1"/>
  <c r="Q107" i="1"/>
  <c r="R107" i="1"/>
  <c r="S107" i="1"/>
  <c r="T107" i="1"/>
  <c r="U107" i="1"/>
  <c r="AX107" i="1"/>
  <c r="AY107" i="1"/>
  <c r="AZ107" i="1"/>
  <c r="BA107" i="1"/>
  <c r="BB107" i="1"/>
  <c r="BC107" i="1"/>
  <c r="BD107" i="1"/>
  <c r="BE107" i="1"/>
  <c r="BF107" i="1"/>
  <c r="O108" i="1"/>
  <c r="P108" i="1"/>
  <c r="Q108" i="1"/>
  <c r="R108" i="1"/>
  <c r="S108" i="1"/>
  <c r="T108" i="1"/>
  <c r="U108" i="1"/>
  <c r="AX108" i="1"/>
  <c r="AY108" i="1"/>
  <c r="AZ108" i="1"/>
  <c r="BA108" i="1"/>
  <c r="BB108" i="1"/>
  <c r="BC108" i="1"/>
  <c r="BD108" i="1"/>
  <c r="BE108" i="1"/>
  <c r="BF108" i="1"/>
  <c r="O109" i="1"/>
  <c r="P109" i="1"/>
  <c r="Q109" i="1"/>
  <c r="R109" i="1"/>
  <c r="S109" i="1"/>
  <c r="T109" i="1"/>
  <c r="U109" i="1"/>
  <c r="AX109" i="1"/>
  <c r="AY109" i="1"/>
  <c r="AZ109" i="1"/>
  <c r="BA109" i="1"/>
  <c r="BB109" i="1"/>
  <c r="BC109" i="1"/>
  <c r="BD109" i="1"/>
  <c r="BE109" i="1"/>
  <c r="BF109" i="1"/>
  <c r="O110" i="1"/>
  <c r="P110" i="1"/>
  <c r="Q110" i="1"/>
  <c r="R110" i="1"/>
  <c r="S110" i="1"/>
  <c r="T110" i="1"/>
  <c r="U110" i="1"/>
  <c r="AX110" i="1"/>
  <c r="AY110" i="1"/>
  <c r="AZ110" i="1"/>
  <c r="BA110" i="1"/>
  <c r="BB110" i="1"/>
  <c r="BC110" i="1"/>
  <c r="BD110" i="1"/>
  <c r="BE110" i="1"/>
  <c r="BF110" i="1"/>
  <c r="O111" i="1"/>
  <c r="P111" i="1"/>
  <c r="Q111" i="1"/>
  <c r="R111" i="1"/>
  <c r="S111" i="1"/>
  <c r="T111" i="1"/>
  <c r="U111" i="1"/>
  <c r="AX111" i="1"/>
  <c r="AY111" i="1"/>
  <c r="AZ111" i="1"/>
  <c r="BA111" i="1"/>
  <c r="BB111" i="1"/>
  <c r="BC111" i="1"/>
  <c r="BD111" i="1"/>
  <c r="BE111" i="1"/>
  <c r="BF111" i="1"/>
  <c r="O112" i="1"/>
  <c r="P112" i="1"/>
  <c r="Q112" i="1"/>
  <c r="R112" i="1"/>
  <c r="S112" i="1"/>
  <c r="T112" i="1"/>
  <c r="U112" i="1"/>
  <c r="AX112" i="1"/>
  <c r="AY112" i="1"/>
  <c r="AZ112" i="1"/>
  <c r="BA112" i="1"/>
  <c r="BB112" i="1"/>
  <c r="BC112" i="1"/>
  <c r="BD112" i="1"/>
  <c r="BE112" i="1"/>
  <c r="BF112" i="1"/>
  <c r="O113" i="1"/>
  <c r="P113" i="1"/>
  <c r="Q113" i="1"/>
  <c r="R113" i="1"/>
  <c r="S113" i="1"/>
  <c r="T113" i="1"/>
  <c r="U113" i="1"/>
  <c r="AX113" i="1"/>
  <c r="AY113" i="1"/>
  <c r="AZ113" i="1"/>
  <c r="BA113" i="1"/>
  <c r="BB113" i="1"/>
  <c r="BC113" i="1"/>
  <c r="BD113" i="1"/>
  <c r="BE113" i="1"/>
  <c r="BF113" i="1"/>
  <c r="O114" i="1"/>
  <c r="P114" i="1"/>
  <c r="Q114" i="1"/>
  <c r="R114" i="1"/>
  <c r="S114" i="1"/>
  <c r="T114" i="1"/>
  <c r="U114" i="1"/>
  <c r="AX114" i="1"/>
  <c r="AY114" i="1"/>
  <c r="AZ114" i="1"/>
  <c r="BA114" i="1"/>
  <c r="BB114" i="1"/>
  <c r="BC114" i="1"/>
  <c r="BD114" i="1"/>
  <c r="BE114" i="1"/>
  <c r="BF114" i="1"/>
  <c r="O115" i="1"/>
  <c r="P115" i="1"/>
  <c r="Q115" i="1"/>
  <c r="R115" i="1"/>
  <c r="S115" i="1"/>
  <c r="T115" i="1"/>
  <c r="U115" i="1"/>
  <c r="AX115" i="1"/>
  <c r="AY115" i="1"/>
  <c r="AZ115" i="1"/>
  <c r="BA115" i="1"/>
  <c r="BB115" i="1"/>
  <c r="BC115" i="1"/>
  <c r="BD115" i="1"/>
  <c r="BE115" i="1"/>
  <c r="BF115" i="1"/>
  <c r="O116" i="1"/>
  <c r="P116" i="1"/>
  <c r="Q116" i="1"/>
  <c r="R116" i="1"/>
  <c r="S116" i="1"/>
  <c r="T116" i="1"/>
  <c r="U116" i="1"/>
  <c r="AX116" i="1"/>
  <c r="AY116" i="1"/>
  <c r="AZ116" i="1"/>
  <c r="BA116" i="1"/>
  <c r="BB116" i="1"/>
  <c r="BC116" i="1"/>
  <c r="BD116" i="1"/>
  <c r="BE116" i="1"/>
  <c r="BF116" i="1"/>
  <c r="O117" i="1"/>
  <c r="P117" i="1"/>
  <c r="Q117" i="1"/>
  <c r="R117" i="1"/>
  <c r="S117" i="1"/>
  <c r="T117" i="1"/>
  <c r="U117" i="1"/>
  <c r="AX117" i="1"/>
  <c r="AY117" i="1"/>
  <c r="AZ117" i="1"/>
  <c r="BA117" i="1"/>
  <c r="BB117" i="1"/>
  <c r="BC117" i="1"/>
  <c r="BD117" i="1"/>
  <c r="BE117" i="1"/>
  <c r="BF117" i="1"/>
  <c r="O118" i="1"/>
  <c r="P118" i="1"/>
  <c r="Q118" i="1"/>
  <c r="R118" i="1"/>
  <c r="S118" i="1"/>
  <c r="T118" i="1"/>
  <c r="U118" i="1"/>
  <c r="AX118" i="1"/>
  <c r="AY118" i="1"/>
  <c r="AZ118" i="1"/>
  <c r="BA118" i="1"/>
  <c r="BB118" i="1"/>
  <c r="BC118" i="1"/>
  <c r="BD118" i="1"/>
  <c r="BE118" i="1"/>
  <c r="BF118" i="1"/>
  <c r="O119" i="1"/>
  <c r="P119" i="1"/>
  <c r="Q119" i="1"/>
  <c r="R119" i="1"/>
  <c r="S119" i="1"/>
  <c r="T119" i="1"/>
  <c r="U119" i="1"/>
  <c r="AX119" i="1"/>
  <c r="AY119" i="1"/>
  <c r="AZ119" i="1"/>
  <c r="BA119" i="1"/>
  <c r="BB119" i="1"/>
  <c r="BC119" i="1"/>
  <c r="BD119" i="1"/>
  <c r="BE119" i="1"/>
  <c r="BF119" i="1"/>
  <c r="O120" i="1"/>
  <c r="P120" i="1"/>
  <c r="Q120" i="1"/>
  <c r="R120" i="1"/>
  <c r="S120" i="1"/>
  <c r="T120" i="1"/>
  <c r="U120" i="1"/>
  <c r="AX120" i="1"/>
  <c r="AY120" i="1"/>
  <c r="AZ120" i="1"/>
  <c r="BA120" i="1"/>
  <c r="BB120" i="1"/>
  <c r="BC120" i="1"/>
  <c r="BD120" i="1"/>
  <c r="BE120" i="1"/>
  <c r="BF120" i="1"/>
  <c r="O121" i="1"/>
  <c r="P121" i="1"/>
  <c r="Q121" i="1"/>
  <c r="R121" i="1"/>
  <c r="S121" i="1"/>
  <c r="T121" i="1"/>
  <c r="U121" i="1"/>
  <c r="AX121" i="1"/>
  <c r="AY121" i="1"/>
  <c r="AZ121" i="1"/>
  <c r="BA121" i="1"/>
  <c r="BB121" i="1"/>
  <c r="BC121" i="1"/>
  <c r="BD121" i="1"/>
  <c r="BE121" i="1"/>
  <c r="BF121" i="1"/>
  <c r="O122" i="1"/>
  <c r="P122" i="1"/>
  <c r="Q122" i="1"/>
  <c r="R122" i="1"/>
  <c r="S122" i="1"/>
  <c r="T122" i="1"/>
  <c r="U122" i="1"/>
  <c r="AX122" i="1"/>
  <c r="AY122" i="1"/>
  <c r="AZ122" i="1"/>
  <c r="BA122" i="1"/>
  <c r="BB122" i="1"/>
  <c r="BC122" i="1"/>
  <c r="BD122" i="1"/>
  <c r="BE122" i="1"/>
  <c r="BF122" i="1"/>
  <c r="O123" i="1"/>
  <c r="P123" i="1"/>
  <c r="Q123" i="1"/>
  <c r="R123" i="1"/>
  <c r="S123" i="1"/>
  <c r="T123" i="1"/>
  <c r="U123" i="1"/>
  <c r="AX123" i="1"/>
  <c r="AY123" i="1"/>
  <c r="AZ123" i="1"/>
  <c r="BA123" i="1"/>
  <c r="BB123" i="1"/>
  <c r="BC123" i="1"/>
  <c r="BD123" i="1"/>
  <c r="BE123" i="1"/>
  <c r="BF123" i="1"/>
  <c r="O124" i="1"/>
  <c r="P124" i="1"/>
  <c r="Q124" i="1"/>
  <c r="R124" i="1"/>
  <c r="S124" i="1"/>
  <c r="T124" i="1"/>
  <c r="U124" i="1"/>
  <c r="AX124" i="1"/>
  <c r="AY124" i="1"/>
  <c r="AZ124" i="1"/>
  <c r="BA124" i="1"/>
  <c r="BB124" i="1"/>
  <c r="BC124" i="1"/>
  <c r="BD124" i="1"/>
  <c r="BE124" i="1"/>
  <c r="BF124" i="1"/>
  <c r="O125" i="1"/>
  <c r="P125" i="1"/>
  <c r="Q125" i="1"/>
  <c r="R125" i="1"/>
  <c r="S125" i="1"/>
  <c r="T125" i="1"/>
  <c r="U125" i="1"/>
  <c r="AX125" i="1"/>
  <c r="AY125" i="1"/>
  <c r="AZ125" i="1"/>
  <c r="BA125" i="1"/>
  <c r="BB125" i="1"/>
  <c r="BC125" i="1"/>
  <c r="BD125" i="1"/>
  <c r="BE125" i="1"/>
  <c r="BF125" i="1"/>
  <c r="O126" i="1"/>
  <c r="P126" i="1"/>
  <c r="Q126" i="1"/>
  <c r="R126" i="1"/>
  <c r="S126" i="1"/>
  <c r="T126" i="1"/>
  <c r="U126" i="1"/>
  <c r="AX126" i="1"/>
  <c r="AY126" i="1"/>
  <c r="AZ126" i="1"/>
  <c r="BA126" i="1"/>
  <c r="BB126" i="1"/>
  <c r="BC126" i="1"/>
  <c r="BD126" i="1"/>
  <c r="BE126" i="1"/>
  <c r="BF126" i="1"/>
  <c r="O127" i="1"/>
  <c r="P127" i="1"/>
  <c r="Q127" i="1"/>
  <c r="R127" i="1"/>
  <c r="S127" i="1"/>
  <c r="T127" i="1"/>
  <c r="U127" i="1"/>
  <c r="AX127" i="1"/>
  <c r="AY127" i="1"/>
  <c r="AZ127" i="1"/>
  <c r="BA127" i="1"/>
  <c r="BB127" i="1"/>
  <c r="BC127" i="1"/>
  <c r="BD127" i="1"/>
  <c r="BE127" i="1"/>
  <c r="BF127" i="1"/>
  <c r="O128" i="1"/>
  <c r="P128" i="1"/>
  <c r="Q128" i="1"/>
  <c r="R128" i="1"/>
  <c r="S128" i="1"/>
  <c r="T128" i="1"/>
  <c r="U128" i="1"/>
  <c r="AX128" i="1"/>
  <c r="AY128" i="1"/>
  <c r="AZ128" i="1"/>
  <c r="BA128" i="1"/>
  <c r="BB128" i="1"/>
  <c r="BC128" i="1"/>
  <c r="BD128" i="1"/>
  <c r="BE128" i="1"/>
  <c r="BF128" i="1"/>
  <c r="O129" i="1"/>
  <c r="P129" i="1"/>
  <c r="Q129" i="1"/>
  <c r="R129" i="1"/>
  <c r="S129" i="1"/>
  <c r="T129" i="1"/>
  <c r="U129" i="1"/>
  <c r="AX129" i="1"/>
  <c r="AY129" i="1"/>
  <c r="AZ129" i="1"/>
  <c r="BA129" i="1"/>
  <c r="BB129" i="1"/>
  <c r="BC129" i="1"/>
  <c r="BD129" i="1"/>
  <c r="BE129" i="1"/>
  <c r="BF129" i="1"/>
  <c r="O130" i="1"/>
  <c r="P130" i="1"/>
  <c r="Q130" i="1"/>
  <c r="R130" i="1"/>
  <c r="S130" i="1"/>
  <c r="T130" i="1"/>
  <c r="U130" i="1"/>
  <c r="AX130" i="1"/>
  <c r="AY130" i="1"/>
  <c r="AZ130" i="1"/>
  <c r="BA130" i="1"/>
  <c r="BB130" i="1"/>
  <c r="BC130" i="1"/>
  <c r="BD130" i="1"/>
  <c r="BE130" i="1"/>
  <c r="BF130" i="1"/>
  <c r="O131" i="1"/>
  <c r="P131" i="1"/>
  <c r="Q131" i="1"/>
  <c r="R131" i="1"/>
  <c r="S131" i="1"/>
  <c r="T131" i="1"/>
  <c r="U131" i="1"/>
  <c r="AX131" i="1"/>
  <c r="AY131" i="1"/>
  <c r="AZ131" i="1"/>
  <c r="BA131" i="1"/>
  <c r="BB131" i="1"/>
  <c r="BC131" i="1"/>
  <c r="BD131" i="1"/>
  <c r="BE131" i="1"/>
  <c r="BF131" i="1"/>
  <c r="O132" i="1"/>
  <c r="P132" i="1"/>
  <c r="Q132" i="1"/>
  <c r="R132" i="1"/>
  <c r="S132" i="1"/>
  <c r="T132" i="1"/>
  <c r="U132" i="1"/>
  <c r="AX132" i="1"/>
  <c r="AY132" i="1"/>
  <c r="AZ132" i="1"/>
  <c r="BA132" i="1"/>
  <c r="BB132" i="1"/>
  <c r="BC132" i="1"/>
  <c r="BD132" i="1"/>
  <c r="BE132" i="1"/>
  <c r="BF132" i="1"/>
  <c r="O133" i="1"/>
  <c r="P133" i="1"/>
  <c r="Q133" i="1"/>
  <c r="R133" i="1"/>
  <c r="S133" i="1"/>
  <c r="T133" i="1"/>
  <c r="U133" i="1"/>
  <c r="AX133" i="1"/>
  <c r="AY133" i="1"/>
  <c r="AZ133" i="1"/>
  <c r="BA133" i="1"/>
  <c r="BB133" i="1"/>
  <c r="BC133" i="1"/>
  <c r="BD133" i="1"/>
  <c r="BE133" i="1"/>
  <c r="BF133" i="1"/>
  <c r="O134" i="1"/>
  <c r="P134" i="1"/>
  <c r="Q134" i="1"/>
  <c r="R134" i="1"/>
  <c r="S134" i="1"/>
  <c r="T134" i="1"/>
  <c r="U134" i="1"/>
  <c r="AX134" i="1"/>
  <c r="AY134" i="1"/>
  <c r="AZ134" i="1"/>
  <c r="BA134" i="1"/>
  <c r="BB134" i="1"/>
  <c r="BC134" i="1"/>
  <c r="BD134" i="1"/>
  <c r="BE134" i="1"/>
  <c r="BF134" i="1"/>
  <c r="O135" i="1"/>
  <c r="P135" i="1"/>
  <c r="Q135" i="1"/>
  <c r="R135" i="1"/>
  <c r="S135" i="1"/>
  <c r="T135" i="1"/>
  <c r="U135" i="1"/>
  <c r="AX135" i="1"/>
  <c r="AY135" i="1"/>
  <c r="AZ135" i="1"/>
  <c r="BA135" i="1"/>
  <c r="BB135" i="1"/>
  <c r="BC135" i="1"/>
  <c r="BD135" i="1"/>
  <c r="BE135" i="1"/>
  <c r="BF135" i="1"/>
  <c r="O136" i="1"/>
  <c r="P136" i="1"/>
  <c r="Q136" i="1"/>
  <c r="R136" i="1"/>
  <c r="S136" i="1"/>
  <c r="T136" i="1"/>
  <c r="U136" i="1"/>
  <c r="AX136" i="1"/>
  <c r="AY136" i="1"/>
  <c r="AZ136" i="1"/>
  <c r="BA136" i="1"/>
  <c r="BB136" i="1"/>
  <c r="BC136" i="1"/>
  <c r="BD136" i="1"/>
  <c r="BE136" i="1"/>
  <c r="BF136" i="1"/>
  <c r="O137" i="1"/>
  <c r="P137" i="1"/>
  <c r="Q137" i="1"/>
  <c r="R137" i="1"/>
  <c r="S137" i="1"/>
  <c r="T137" i="1"/>
  <c r="U137" i="1"/>
  <c r="AX137" i="1"/>
  <c r="AY137" i="1"/>
  <c r="AZ137" i="1"/>
  <c r="BA137" i="1"/>
  <c r="BB137" i="1"/>
  <c r="BC137" i="1"/>
  <c r="BD137" i="1"/>
  <c r="BE137" i="1"/>
  <c r="BF137" i="1"/>
  <c r="O138" i="1"/>
  <c r="P138" i="1"/>
  <c r="Q138" i="1"/>
  <c r="R138" i="1"/>
  <c r="S138" i="1"/>
  <c r="T138" i="1"/>
  <c r="U138" i="1"/>
  <c r="AX138" i="1"/>
  <c r="AY138" i="1"/>
  <c r="AZ138" i="1"/>
  <c r="BA138" i="1"/>
  <c r="BB138" i="1"/>
  <c r="BC138" i="1"/>
  <c r="BD138" i="1"/>
  <c r="BE138" i="1"/>
  <c r="BF138" i="1"/>
  <c r="O139" i="1"/>
  <c r="P139" i="1"/>
  <c r="Q139" i="1"/>
  <c r="R139" i="1"/>
  <c r="S139" i="1"/>
  <c r="T139" i="1"/>
  <c r="U139" i="1"/>
  <c r="AX139" i="1"/>
  <c r="AY139" i="1"/>
  <c r="AZ139" i="1"/>
  <c r="BA139" i="1"/>
  <c r="BB139" i="1"/>
  <c r="BC139" i="1"/>
  <c r="BD139" i="1"/>
  <c r="BE139" i="1"/>
  <c r="BF139" i="1"/>
  <c r="O140" i="1"/>
  <c r="P140" i="1"/>
  <c r="Q140" i="1"/>
  <c r="R140" i="1"/>
  <c r="S140" i="1"/>
  <c r="T140" i="1"/>
  <c r="U140" i="1"/>
  <c r="AX140" i="1"/>
  <c r="AY140" i="1"/>
  <c r="AZ140" i="1"/>
  <c r="BA140" i="1"/>
  <c r="BB140" i="1"/>
  <c r="BC140" i="1"/>
  <c r="BD140" i="1"/>
  <c r="BE140" i="1"/>
  <c r="BF140" i="1"/>
  <c r="O141" i="1"/>
  <c r="P141" i="1"/>
  <c r="Q141" i="1"/>
  <c r="R141" i="1"/>
  <c r="S141" i="1"/>
  <c r="T141" i="1"/>
  <c r="U141" i="1"/>
  <c r="AX141" i="1"/>
  <c r="AY141" i="1"/>
  <c r="AZ141" i="1"/>
  <c r="BA141" i="1"/>
  <c r="BB141" i="1"/>
  <c r="BC141" i="1"/>
  <c r="BD141" i="1"/>
  <c r="BE141" i="1"/>
  <c r="BF141" i="1"/>
  <c r="O142" i="1"/>
  <c r="P142" i="1"/>
  <c r="Q142" i="1"/>
  <c r="R142" i="1"/>
  <c r="S142" i="1"/>
  <c r="T142" i="1"/>
  <c r="U142" i="1"/>
  <c r="AX142" i="1"/>
  <c r="AY142" i="1"/>
  <c r="AZ142" i="1"/>
  <c r="BA142" i="1"/>
  <c r="BB142" i="1"/>
  <c r="BC142" i="1"/>
  <c r="BD142" i="1"/>
  <c r="BE142" i="1"/>
  <c r="BF142" i="1"/>
  <c r="O143" i="1"/>
  <c r="P143" i="1"/>
  <c r="Q143" i="1"/>
  <c r="R143" i="1"/>
  <c r="S143" i="1"/>
  <c r="T143" i="1"/>
  <c r="U143" i="1"/>
  <c r="AX143" i="1"/>
  <c r="AY143" i="1"/>
  <c r="AZ143" i="1"/>
  <c r="BA143" i="1"/>
  <c r="BB143" i="1"/>
  <c r="BC143" i="1"/>
  <c r="BD143" i="1"/>
  <c r="BE143" i="1"/>
  <c r="BF143" i="1"/>
  <c r="O144" i="1"/>
  <c r="P144" i="1"/>
  <c r="Q144" i="1"/>
  <c r="R144" i="1"/>
  <c r="S144" i="1"/>
  <c r="T144" i="1"/>
  <c r="U144" i="1"/>
  <c r="AX144" i="1"/>
  <c r="AY144" i="1"/>
  <c r="AZ144" i="1"/>
  <c r="BA144" i="1"/>
  <c r="BB144" i="1"/>
  <c r="BC144" i="1"/>
  <c r="BD144" i="1"/>
  <c r="BE144" i="1"/>
  <c r="BF144" i="1"/>
  <c r="O145" i="1"/>
  <c r="P145" i="1"/>
  <c r="Q145" i="1"/>
  <c r="R145" i="1"/>
  <c r="S145" i="1"/>
  <c r="T145" i="1"/>
  <c r="U145" i="1"/>
  <c r="AX145" i="1"/>
  <c r="AY145" i="1"/>
  <c r="AZ145" i="1"/>
  <c r="BA145" i="1"/>
  <c r="BB145" i="1"/>
  <c r="BC145" i="1"/>
  <c r="BD145" i="1"/>
  <c r="BE145" i="1"/>
  <c r="BF145" i="1"/>
  <c r="O146" i="1"/>
  <c r="P146" i="1"/>
  <c r="Q146" i="1"/>
  <c r="R146" i="1"/>
  <c r="S146" i="1"/>
  <c r="T146" i="1"/>
  <c r="U146" i="1"/>
  <c r="AX146" i="1"/>
  <c r="AY146" i="1"/>
  <c r="AZ146" i="1"/>
  <c r="BA146" i="1"/>
  <c r="BB146" i="1"/>
  <c r="BC146" i="1"/>
  <c r="BD146" i="1"/>
  <c r="BE146" i="1"/>
  <c r="BF146" i="1"/>
  <c r="O147" i="1"/>
  <c r="P147" i="1"/>
  <c r="Q147" i="1"/>
  <c r="R147" i="1"/>
  <c r="S147" i="1"/>
  <c r="T147" i="1"/>
  <c r="U147" i="1"/>
  <c r="AX147" i="1"/>
  <c r="AY147" i="1"/>
  <c r="AZ147" i="1"/>
  <c r="BA147" i="1"/>
  <c r="BB147" i="1"/>
  <c r="BC147" i="1"/>
  <c r="BD147" i="1"/>
  <c r="BE147" i="1"/>
  <c r="BF147" i="1"/>
  <c r="O148" i="1"/>
  <c r="P148" i="1"/>
  <c r="Q148" i="1"/>
  <c r="R148" i="1"/>
  <c r="S148" i="1"/>
  <c r="T148" i="1"/>
  <c r="U148" i="1"/>
  <c r="AX148" i="1"/>
  <c r="AY148" i="1"/>
  <c r="AZ148" i="1"/>
  <c r="BA148" i="1"/>
  <c r="BB148" i="1"/>
  <c r="BC148" i="1"/>
  <c r="BD148" i="1"/>
  <c r="BE148" i="1"/>
  <c r="BF148" i="1"/>
  <c r="O149" i="1"/>
  <c r="P149" i="1"/>
  <c r="Q149" i="1"/>
  <c r="R149" i="1"/>
  <c r="S149" i="1"/>
  <c r="T149" i="1"/>
  <c r="U149" i="1"/>
  <c r="AX149" i="1"/>
  <c r="AY149" i="1"/>
  <c r="AZ149" i="1"/>
  <c r="BA149" i="1"/>
  <c r="BB149" i="1"/>
  <c r="BC149" i="1"/>
  <c r="BD149" i="1"/>
  <c r="BE149" i="1"/>
  <c r="BF149" i="1"/>
  <c r="O150" i="1"/>
  <c r="P150" i="1"/>
  <c r="Q150" i="1"/>
  <c r="R150" i="1"/>
  <c r="S150" i="1"/>
  <c r="T150" i="1"/>
  <c r="U150" i="1"/>
  <c r="AX150" i="1"/>
  <c r="AY150" i="1"/>
  <c r="AZ150" i="1"/>
  <c r="BA150" i="1"/>
  <c r="BB150" i="1"/>
  <c r="BC150" i="1"/>
  <c r="BD150" i="1"/>
  <c r="BE150" i="1"/>
  <c r="BF150" i="1"/>
  <c r="O151" i="1"/>
  <c r="P151" i="1"/>
  <c r="Q151" i="1"/>
  <c r="R151" i="1"/>
  <c r="S151" i="1"/>
  <c r="T151" i="1"/>
  <c r="U151" i="1"/>
  <c r="AX151" i="1"/>
  <c r="AY151" i="1"/>
  <c r="AZ151" i="1"/>
  <c r="BA151" i="1"/>
  <c r="BB151" i="1"/>
  <c r="BC151" i="1"/>
  <c r="BD151" i="1"/>
  <c r="BE151" i="1"/>
  <c r="BF151" i="1"/>
  <c r="O152" i="1"/>
  <c r="P152" i="1"/>
  <c r="Q152" i="1"/>
  <c r="R152" i="1"/>
  <c r="S152" i="1"/>
  <c r="T152" i="1"/>
  <c r="U152" i="1"/>
  <c r="AX152" i="1"/>
  <c r="AY152" i="1"/>
  <c r="AZ152" i="1"/>
  <c r="BA152" i="1"/>
  <c r="BB152" i="1"/>
  <c r="BC152" i="1"/>
  <c r="BD152" i="1"/>
  <c r="BE152" i="1"/>
  <c r="BF152" i="1"/>
  <c r="O153" i="1"/>
  <c r="P153" i="1"/>
  <c r="Q153" i="1"/>
  <c r="R153" i="1"/>
  <c r="S153" i="1"/>
  <c r="T153" i="1"/>
  <c r="U153" i="1"/>
  <c r="AX153" i="1"/>
  <c r="AY153" i="1"/>
  <c r="AZ153" i="1"/>
  <c r="BA153" i="1"/>
  <c r="BB153" i="1"/>
  <c r="BC153" i="1"/>
  <c r="BD153" i="1"/>
  <c r="BE153" i="1"/>
  <c r="BF153" i="1"/>
  <c r="O154" i="1"/>
  <c r="P154" i="1"/>
  <c r="Q154" i="1"/>
  <c r="R154" i="1"/>
  <c r="S154" i="1"/>
  <c r="T154" i="1"/>
  <c r="U154" i="1"/>
  <c r="AX154" i="1"/>
  <c r="AY154" i="1"/>
  <c r="AZ154" i="1"/>
  <c r="BA154" i="1"/>
  <c r="BB154" i="1"/>
  <c r="BC154" i="1"/>
  <c r="BD154" i="1"/>
  <c r="BE154" i="1"/>
  <c r="BF154" i="1"/>
  <c r="O155" i="1"/>
  <c r="P155" i="1"/>
  <c r="Q155" i="1"/>
  <c r="R155" i="1"/>
  <c r="S155" i="1"/>
  <c r="T155" i="1"/>
  <c r="U155" i="1"/>
  <c r="AX155" i="1"/>
  <c r="AY155" i="1"/>
  <c r="AZ155" i="1"/>
  <c r="BA155" i="1"/>
  <c r="BB155" i="1"/>
  <c r="BC155" i="1"/>
  <c r="BD155" i="1"/>
  <c r="BE155" i="1"/>
  <c r="BF155" i="1"/>
  <c r="O156" i="1"/>
  <c r="P156" i="1"/>
  <c r="Q156" i="1"/>
  <c r="R156" i="1"/>
  <c r="S156" i="1"/>
  <c r="T156" i="1"/>
  <c r="U156" i="1"/>
  <c r="AX156" i="1"/>
  <c r="AY156" i="1"/>
  <c r="AZ156" i="1"/>
  <c r="BA156" i="1"/>
  <c r="BB156" i="1"/>
  <c r="BC156" i="1"/>
  <c r="BD156" i="1"/>
  <c r="BE156" i="1"/>
  <c r="BF156" i="1"/>
  <c r="O157" i="1"/>
  <c r="P157" i="1"/>
  <c r="Q157" i="1"/>
  <c r="R157" i="1"/>
  <c r="S157" i="1"/>
  <c r="T157" i="1"/>
  <c r="U157" i="1"/>
  <c r="AX157" i="1"/>
  <c r="AY157" i="1"/>
  <c r="AZ157" i="1"/>
  <c r="BA157" i="1"/>
  <c r="BB157" i="1"/>
  <c r="BC157" i="1"/>
  <c r="BD157" i="1"/>
  <c r="BE157" i="1"/>
  <c r="BF157" i="1"/>
  <c r="O158" i="1"/>
  <c r="P158" i="1"/>
  <c r="Q158" i="1"/>
  <c r="R158" i="1"/>
  <c r="S158" i="1"/>
  <c r="T158" i="1"/>
  <c r="U158" i="1"/>
  <c r="AX158" i="1"/>
  <c r="AY158" i="1"/>
  <c r="AZ158" i="1"/>
  <c r="BA158" i="1"/>
  <c r="BB158" i="1"/>
  <c r="BC158" i="1"/>
  <c r="BD158" i="1"/>
  <c r="BE158" i="1"/>
  <c r="BF158" i="1"/>
  <c r="O159" i="1"/>
  <c r="P159" i="1"/>
  <c r="Q159" i="1"/>
  <c r="R159" i="1"/>
  <c r="S159" i="1"/>
  <c r="T159" i="1"/>
  <c r="U159" i="1"/>
  <c r="AX159" i="1"/>
  <c r="AY159" i="1"/>
  <c r="AZ159" i="1"/>
  <c r="BA159" i="1"/>
  <c r="BB159" i="1"/>
  <c r="BC159" i="1"/>
  <c r="BD159" i="1"/>
  <c r="BE159" i="1"/>
  <c r="BF159" i="1"/>
  <c r="O160" i="1"/>
  <c r="P160" i="1"/>
  <c r="Q160" i="1"/>
  <c r="R160" i="1"/>
  <c r="S160" i="1"/>
  <c r="T160" i="1"/>
  <c r="U160" i="1"/>
  <c r="AX160" i="1"/>
  <c r="AY160" i="1"/>
  <c r="AZ160" i="1"/>
  <c r="BA160" i="1"/>
  <c r="BB160" i="1"/>
  <c r="BC160" i="1"/>
  <c r="BD160" i="1"/>
  <c r="BE160" i="1"/>
  <c r="BF160" i="1"/>
  <c r="O161" i="1"/>
  <c r="P161" i="1"/>
  <c r="Q161" i="1"/>
  <c r="R161" i="1"/>
  <c r="S161" i="1"/>
  <c r="T161" i="1"/>
  <c r="U161" i="1"/>
  <c r="AX161" i="1"/>
  <c r="AY161" i="1"/>
  <c r="AZ161" i="1"/>
  <c r="BA161" i="1"/>
  <c r="BB161" i="1"/>
  <c r="BC161" i="1"/>
  <c r="BD161" i="1"/>
  <c r="BE161" i="1"/>
  <c r="BF161" i="1"/>
  <c r="O162" i="1"/>
  <c r="P162" i="1"/>
  <c r="Q162" i="1"/>
  <c r="R162" i="1"/>
  <c r="S162" i="1"/>
  <c r="T162" i="1"/>
  <c r="U162" i="1"/>
  <c r="AX162" i="1"/>
  <c r="AY162" i="1"/>
  <c r="AZ162" i="1"/>
  <c r="BA162" i="1"/>
  <c r="BB162" i="1"/>
  <c r="BC162" i="1"/>
  <c r="BD162" i="1"/>
  <c r="BE162" i="1"/>
  <c r="BF162" i="1"/>
  <c r="O163" i="1"/>
  <c r="P163" i="1"/>
  <c r="Q163" i="1"/>
  <c r="R163" i="1"/>
  <c r="S163" i="1"/>
  <c r="T163" i="1"/>
  <c r="U163" i="1"/>
  <c r="AX163" i="1"/>
  <c r="AY163" i="1"/>
  <c r="AZ163" i="1"/>
  <c r="BA163" i="1"/>
  <c r="BB163" i="1"/>
  <c r="BC163" i="1"/>
  <c r="BD163" i="1"/>
  <c r="BE163" i="1"/>
  <c r="BF163" i="1"/>
  <c r="O164" i="1"/>
  <c r="P164" i="1"/>
  <c r="Q164" i="1"/>
  <c r="R164" i="1"/>
  <c r="S164" i="1"/>
  <c r="T164" i="1"/>
  <c r="U164" i="1"/>
  <c r="AX164" i="1"/>
  <c r="AY164" i="1"/>
  <c r="AZ164" i="1"/>
  <c r="BA164" i="1"/>
  <c r="BB164" i="1"/>
  <c r="BC164" i="1"/>
  <c r="BD164" i="1"/>
  <c r="BE164" i="1"/>
  <c r="BF164" i="1"/>
  <c r="O165" i="1"/>
  <c r="P165" i="1"/>
  <c r="Q165" i="1"/>
  <c r="R165" i="1"/>
  <c r="S165" i="1"/>
  <c r="T165" i="1"/>
  <c r="U165" i="1"/>
  <c r="AX165" i="1"/>
  <c r="AY165" i="1"/>
  <c r="AZ165" i="1"/>
  <c r="BA165" i="1"/>
  <c r="BB165" i="1"/>
  <c r="BC165" i="1"/>
  <c r="BD165" i="1"/>
  <c r="BE165" i="1"/>
  <c r="BF165" i="1"/>
  <c r="O166" i="1"/>
  <c r="P166" i="1"/>
  <c r="Q166" i="1"/>
  <c r="R166" i="1"/>
  <c r="S166" i="1"/>
  <c r="T166" i="1"/>
  <c r="U166" i="1"/>
  <c r="AX166" i="1"/>
  <c r="AY166" i="1"/>
  <c r="AZ166" i="1"/>
  <c r="BA166" i="1"/>
  <c r="BB166" i="1"/>
  <c r="BC166" i="1"/>
  <c r="BD166" i="1"/>
  <c r="BE166" i="1"/>
  <c r="BF166" i="1"/>
  <c r="O167" i="1"/>
  <c r="P167" i="1"/>
  <c r="Q167" i="1"/>
  <c r="R167" i="1"/>
  <c r="S167" i="1"/>
  <c r="T167" i="1"/>
  <c r="U167" i="1"/>
  <c r="AX167" i="1"/>
  <c r="AY167" i="1"/>
  <c r="AZ167" i="1"/>
  <c r="BA167" i="1"/>
  <c r="BB167" i="1"/>
  <c r="BC167" i="1"/>
  <c r="BD167" i="1"/>
  <c r="BE167" i="1"/>
  <c r="BF167" i="1"/>
  <c r="O168" i="1"/>
  <c r="P168" i="1"/>
  <c r="Q168" i="1"/>
  <c r="R168" i="1"/>
  <c r="S168" i="1"/>
  <c r="T168" i="1"/>
  <c r="U168" i="1"/>
  <c r="AX168" i="1"/>
  <c r="AY168" i="1"/>
  <c r="AZ168" i="1"/>
  <c r="BA168" i="1"/>
  <c r="BB168" i="1"/>
  <c r="BC168" i="1"/>
  <c r="BD168" i="1"/>
  <c r="BE168" i="1"/>
  <c r="BF168" i="1"/>
  <c r="O169" i="1"/>
  <c r="P169" i="1"/>
  <c r="Q169" i="1"/>
  <c r="R169" i="1"/>
  <c r="S169" i="1"/>
  <c r="T169" i="1"/>
  <c r="U169" i="1"/>
  <c r="AX169" i="1"/>
  <c r="AY169" i="1"/>
  <c r="AZ169" i="1"/>
  <c r="BA169" i="1"/>
  <c r="BB169" i="1"/>
  <c r="BC169" i="1"/>
  <c r="BD169" i="1"/>
  <c r="BE169" i="1"/>
  <c r="BF169" i="1"/>
  <c r="O170" i="1"/>
  <c r="P170" i="1"/>
  <c r="Q170" i="1"/>
  <c r="R170" i="1"/>
  <c r="S170" i="1"/>
  <c r="T170" i="1"/>
  <c r="U170" i="1"/>
  <c r="AX170" i="1"/>
  <c r="AY170" i="1"/>
  <c r="AZ170" i="1"/>
  <c r="BA170" i="1"/>
  <c r="BB170" i="1"/>
  <c r="BC170" i="1"/>
  <c r="BD170" i="1"/>
  <c r="BE170" i="1"/>
  <c r="BF170" i="1"/>
  <c r="O171" i="1"/>
  <c r="P171" i="1"/>
  <c r="Q171" i="1"/>
  <c r="R171" i="1"/>
  <c r="S171" i="1"/>
  <c r="T171" i="1"/>
  <c r="U171" i="1"/>
  <c r="AX171" i="1"/>
  <c r="AY171" i="1"/>
  <c r="AZ171" i="1"/>
  <c r="BA171" i="1"/>
  <c r="BB171" i="1"/>
  <c r="BC171" i="1"/>
  <c r="BD171" i="1"/>
  <c r="BE171" i="1"/>
  <c r="BF171" i="1"/>
  <c r="O172" i="1"/>
  <c r="P172" i="1"/>
  <c r="Q172" i="1"/>
  <c r="R172" i="1"/>
  <c r="S172" i="1"/>
  <c r="T172" i="1"/>
  <c r="U172" i="1"/>
  <c r="AX172" i="1"/>
  <c r="AY172" i="1"/>
  <c r="AZ172" i="1"/>
  <c r="BA172" i="1"/>
  <c r="BB172" i="1"/>
  <c r="BC172" i="1"/>
  <c r="BD172" i="1"/>
  <c r="BE172" i="1"/>
  <c r="BF172" i="1"/>
  <c r="O173" i="1"/>
  <c r="P173" i="1"/>
  <c r="Q173" i="1"/>
  <c r="R173" i="1"/>
  <c r="S173" i="1"/>
  <c r="T173" i="1"/>
  <c r="U173" i="1"/>
  <c r="AX173" i="1"/>
  <c r="AY173" i="1"/>
  <c r="AZ173" i="1"/>
  <c r="BA173" i="1"/>
  <c r="BB173" i="1"/>
  <c r="BC173" i="1"/>
  <c r="BD173" i="1"/>
  <c r="BE173" i="1"/>
  <c r="BF173" i="1"/>
  <c r="O174" i="1"/>
  <c r="P174" i="1"/>
  <c r="Q174" i="1"/>
  <c r="R174" i="1"/>
  <c r="S174" i="1"/>
  <c r="T174" i="1"/>
  <c r="U174" i="1"/>
  <c r="AX174" i="1"/>
  <c r="AY174" i="1"/>
  <c r="AZ174" i="1"/>
  <c r="BA174" i="1"/>
  <c r="BB174" i="1"/>
  <c r="BC174" i="1"/>
  <c r="BD174" i="1"/>
  <c r="BE174" i="1"/>
  <c r="BF174" i="1"/>
  <c r="O175" i="1"/>
  <c r="P175" i="1"/>
  <c r="Q175" i="1"/>
  <c r="R175" i="1"/>
  <c r="S175" i="1"/>
  <c r="T175" i="1"/>
  <c r="U175" i="1"/>
  <c r="AX175" i="1"/>
  <c r="AY175" i="1"/>
  <c r="AZ175" i="1"/>
  <c r="BA175" i="1"/>
  <c r="BB175" i="1"/>
  <c r="BC175" i="1"/>
  <c r="BD175" i="1"/>
  <c r="BE175" i="1"/>
  <c r="BF175" i="1"/>
  <c r="O176" i="1"/>
  <c r="P176" i="1"/>
  <c r="Q176" i="1"/>
  <c r="R176" i="1"/>
  <c r="S176" i="1"/>
  <c r="T176" i="1"/>
  <c r="U176" i="1"/>
  <c r="AX176" i="1"/>
  <c r="AY176" i="1"/>
  <c r="AZ176" i="1"/>
  <c r="BA176" i="1"/>
  <c r="BB176" i="1"/>
  <c r="BC176" i="1"/>
  <c r="BD176" i="1"/>
  <c r="BE176" i="1"/>
  <c r="BF176" i="1"/>
  <c r="O177" i="1"/>
  <c r="P177" i="1"/>
  <c r="Q177" i="1"/>
  <c r="R177" i="1"/>
  <c r="S177" i="1"/>
  <c r="T177" i="1"/>
  <c r="U177" i="1"/>
  <c r="AX177" i="1"/>
  <c r="AY177" i="1"/>
  <c r="AZ177" i="1"/>
  <c r="BA177" i="1"/>
  <c r="BB177" i="1"/>
  <c r="BC177" i="1"/>
  <c r="BD177" i="1"/>
  <c r="BE177" i="1"/>
  <c r="BF177" i="1"/>
  <c r="O178" i="1"/>
  <c r="P178" i="1"/>
  <c r="Q178" i="1"/>
  <c r="R178" i="1"/>
  <c r="S178" i="1"/>
  <c r="T178" i="1"/>
  <c r="U178" i="1"/>
  <c r="AX178" i="1"/>
  <c r="AY178" i="1"/>
  <c r="AZ178" i="1"/>
  <c r="BA178" i="1"/>
  <c r="BB178" i="1"/>
  <c r="BC178" i="1"/>
  <c r="BD178" i="1"/>
  <c r="BE178" i="1"/>
  <c r="BF178" i="1"/>
  <c r="O179" i="1"/>
  <c r="P179" i="1"/>
  <c r="Q179" i="1"/>
  <c r="R179" i="1"/>
  <c r="S179" i="1"/>
  <c r="T179" i="1"/>
  <c r="U179" i="1"/>
  <c r="AX179" i="1"/>
  <c r="AY179" i="1"/>
  <c r="AZ179" i="1"/>
  <c r="BA179" i="1"/>
  <c r="BB179" i="1"/>
  <c r="BC179" i="1"/>
  <c r="BD179" i="1"/>
  <c r="BE179" i="1"/>
  <c r="BF179" i="1"/>
  <c r="O180" i="1"/>
  <c r="P180" i="1"/>
  <c r="Q180" i="1"/>
  <c r="R180" i="1"/>
  <c r="S180" i="1"/>
  <c r="T180" i="1"/>
  <c r="U180" i="1"/>
  <c r="AX180" i="1"/>
  <c r="AY180" i="1"/>
  <c r="AZ180" i="1"/>
  <c r="BA180" i="1"/>
  <c r="BB180" i="1"/>
  <c r="BC180" i="1"/>
  <c r="BD180" i="1"/>
  <c r="BE180" i="1"/>
  <c r="BF180" i="1"/>
  <c r="O181" i="1"/>
  <c r="P181" i="1"/>
  <c r="Q181" i="1"/>
  <c r="R181" i="1"/>
  <c r="S181" i="1"/>
  <c r="T181" i="1"/>
  <c r="U181" i="1"/>
  <c r="AX181" i="1"/>
  <c r="AY181" i="1"/>
  <c r="AZ181" i="1"/>
  <c r="BA181" i="1"/>
  <c r="BB181" i="1"/>
  <c r="BC181" i="1"/>
  <c r="BD181" i="1"/>
  <c r="BE181" i="1"/>
  <c r="BF181" i="1"/>
  <c r="O182" i="1"/>
  <c r="P182" i="1"/>
  <c r="Q182" i="1"/>
  <c r="R182" i="1"/>
  <c r="S182" i="1"/>
  <c r="T182" i="1"/>
  <c r="U182" i="1"/>
  <c r="AX182" i="1"/>
  <c r="AY182" i="1"/>
  <c r="AZ182" i="1"/>
  <c r="BA182" i="1"/>
  <c r="BB182" i="1"/>
  <c r="BC182" i="1"/>
  <c r="BD182" i="1"/>
  <c r="BE182" i="1"/>
  <c r="BF182" i="1"/>
  <c r="O183" i="1"/>
  <c r="P183" i="1"/>
  <c r="Q183" i="1"/>
  <c r="R183" i="1"/>
  <c r="S183" i="1"/>
  <c r="T183" i="1"/>
  <c r="U183" i="1"/>
  <c r="AX183" i="1"/>
  <c r="AY183" i="1"/>
  <c r="AZ183" i="1"/>
  <c r="BA183" i="1"/>
  <c r="BB183" i="1"/>
  <c r="BC183" i="1"/>
  <c r="BD183" i="1"/>
  <c r="BE183" i="1"/>
  <c r="BF183" i="1"/>
  <c r="O184" i="1"/>
  <c r="P184" i="1"/>
  <c r="Q184" i="1"/>
  <c r="R184" i="1"/>
  <c r="S184" i="1"/>
  <c r="T184" i="1"/>
  <c r="U184" i="1"/>
  <c r="AX184" i="1"/>
  <c r="AY184" i="1"/>
  <c r="AZ184" i="1"/>
  <c r="BA184" i="1"/>
  <c r="BB184" i="1"/>
  <c r="BC184" i="1"/>
  <c r="BD184" i="1"/>
  <c r="BE184" i="1"/>
  <c r="BF184" i="1"/>
  <c r="O185" i="1"/>
  <c r="P185" i="1"/>
  <c r="Q185" i="1"/>
  <c r="R185" i="1"/>
  <c r="S185" i="1"/>
  <c r="T185" i="1"/>
  <c r="U185" i="1"/>
  <c r="AX185" i="1"/>
  <c r="AY185" i="1"/>
  <c r="AZ185" i="1"/>
  <c r="BA185" i="1"/>
  <c r="BB185" i="1"/>
  <c r="BC185" i="1"/>
  <c r="BD185" i="1"/>
  <c r="BE185" i="1"/>
  <c r="BF185" i="1"/>
  <c r="O186" i="1"/>
  <c r="P186" i="1"/>
  <c r="Q186" i="1"/>
  <c r="R186" i="1"/>
  <c r="S186" i="1"/>
  <c r="T186" i="1"/>
  <c r="U186" i="1"/>
  <c r="AX186" i="1"/>
  <c r="AY186" i="1"/>
  <c r="AZ186" i="1"/>
  <c r="BA186" i="1"/>
  <c r="BB186" i="1"/>
  <c r="BC186" i="1"/>
  <c r="BD186" i="1"/>
  <c r="BE186" i="1"/>
  <c r="BF186" i="1"/>
  <c r="O187" i="1"/>
  <c r="P187" i="1"/>
  <c r="Q187" i="1"/>
  <c r="R187" i="1"/>
  <c r="S187" i="1"/>
  <c r="T187" i="1"/>
  <c r="U187" i="1"/>
  <c r="AX187" i="1"/>
  <c r="AY187" i="1"/>
  <c r="AZ187" i="1"/>
  <c r="BA187" i="1"/>
  <c r="BB187" i="1"/>
  <c r="BC187" i="1"/>
  <c r="BD187" i="1"/>
  <c r="BE187" i="1"/>
  <c r="BF187" i="1"/>
  <c r="O188" i="1"/>
  <c r="P188" i="1"/>
  <c r="Q188" i="1"/>
  <c r="R188" i="1"/>
  <c r="S188" i="1"/>
  <c r="T188" i="1"/>
  <c r="U188" i="1"/>
  <c r="AX188" i="1"/>
  <c r="AY188" i="1"/>
  <c r="AZ188" i="1"/>
  <c r="BA188" i="1"/>
  <c r="BB188" i="1"/>
  <c r="BC188" i="1"/>
  <c r="BD188" i="1"/>
  <c r="BE188" i="1"/>
  <c r="BF188" i="1"/>
  <c r="O189" i="1"/>
  <c r="P189" i="1"/>
  <c r="Q189" i="1"/>
  <c r="R189" i="1"/>
  <c r="S189" i="1"/>
  <c r="T189" i="1"/>
  <c r="U189" i="1"/>
  <c r="AX189" i="1"/>
  <c r="AY189" i="1"/>
  <c r="AZ189" i="1"/>
  <c r="BA189" i="1"/>
  <c r="BB189" i="1"/>
  <c r="BC189" i="1"/>
  <c r="BD189" i="1"/>
  <c r="BE189" i="1"/>
  <c r="BF189" i="1"/>
  <c r="O190" i="1"/>
  <c r="P190" i="1"/>
  <c r="Q190" i="1"/>
  <c r="R190" i="1"/>
  <c r="S190" i="1"/>
  <c r="T190" i="1"/>
  <c r="U190" i="1"/>
  <c r="AX190" i="1"/>
  <c r="AY190" i="1"/>
  <c r="AZ190" i="1"/>
  <c r="BA190" i="1"/>
  <c r="BB190" i="1"/>
  <c r="BC190" i="1"/>
  <c r="BD190" i="1"/>
  <c r="BE190" i="1"/>
  <c r="BF190" i="1"/>
  <c r="O191" i="1"/>
  <c r="P191" i="1"/>
  <c r="Q191" i="1"/>
  <c r="R191" i="1"/>
  <c r="S191" i="1"/>
  <c r="T191" i="1"/>
  <c r="U191" i="1"/>
  <c r="AX191" i="1"/>
  <c r="AY191" i="1"/>
  <c r="AZ191" i="1"/>
  <c r="BA191" i="1"/>
  <c r="BB191" i="1"/>
  <c r="BC191" i="1"/>
  <c r="BD191" i="1"/>
  <c r="BE191" i="1"/>
  <c r="BF191" i="1"/>
  <c r="O192" i="1"/>
  <c r="P192" i="1"/>
  <c r="Q192" i="1"/>
  <c r="R192" i="1"/>
  <c r="S192" i="1"/>
  <c r="T192" i="1"/>
  <c r="U192" i="1"/>
  <c r="AX192" i="1"/>
  <c r="AY192" i="1"/>
  <c r="AZ192" i="1"/>
  <c r="BA192" i="1"/>
  <c r="BB192" i="1"/>
  <c r="BC192" i="1"/>
  <c r="BD192" i="1"/>
  <c r="BE192" i="1"/>
  <c r="BF192" i="1"/>
  <c r="O193" i="1"/>
  <c r="P193" i="1"/>
  <c r="Q193" i="1"/>
  <c r="R193" i="1"/>
  <c r="S193" i="1"/>
  <c r="T193" i="1"/>
  <c r="U193" i="1"/>
  <c r="AX193" i="1"/>
  <c r="AY193" i="1"/>
  <c r="AZ193" i="1"/>
  <c r="BA193" i="1"/>
  <c r="BB193" i="1"/>
  <c r="BC193" i="1"/>
  <c r="BD193" i="1"/>
  <c r="BE193" i="1"/>
  <c r="BF193" i="1"/>
  <c r="O194" i="1"/>
  <c r="P194" i="1"/>
  <c r="Q194" i="1"/>
  <c r="R194" i="1"/>
  <c r="S194" i="1"/>
  <c r="T194" i="1"/>
  <c r="U194" i="1"/>
  <c r="AX194" i="1"/>
  <c r="AY194" i="1"/>
  <c r="AZ194" i="1"/>
  <c r="BA194" i="1"/>
  <c r="BB194" i="1"/>
  <c r="BC194" i="1"/>
  <c r="BD194" i="1"/>
  <c r="BE194" i="1"/>
  <c r="BF194" i="1"/>
  <c r="O195" i="1"/>
  <c r="P195" i="1"/>
  <c r="Q195" i="1"/>
  <c r="R195" i="1"/>
  <c r="S195" i="1"/>
  <c r="T195" i="1"/>
  <c r="U195" i="1"/>
  <c r="AX195" i="1"/>
  <c r="AY195" i="1"/>
  <c r="AZ195" i="1"/>
  <c r="BA195" i="1"/>
  <c r="BB195" i="1"/>
  <c r="BC195" i="1"/>
  <c r="BD195" i="1"/>
  <c r="BE195" i="1"/>
  <c r="BF195" i="1"/>
  <c r="O196" i="1"/>
  <c r="P196" i="1"/>
  <c r="Q196" i="1"/>
  <c r="R196" i="1"/>
  <c r="S196" i="1"/>
  <c r="T196" i="1"/>
  <c r="U196" i="1"/>
  <c r="AX196" i="1"/>
  <c r="AY196" i="1"/>
  <c r="AZ196" i="1"/>
  <c r="BA196" i="1"/>
  <c r="BB196" i="1"/>
  <c r="BC196" i="1"/>
  <c r="BD196" i="1"/>
  <c r="BE196" i="1"/>
  <c r="BF196" i="1"/>
  <c r="O197" i="1"/>
  <c r="P197" i="1"/>
  <c r="Q197" i="1"/>
  <c r="R197" i="1"/>
  <c r="S197" i="1"/>
  <c r="T197" i="1"/>
  <c r="U197" i="1"/>
  <c r="AX197" i="1"/>
  <c r="AY197" i="1"/>
  <c r="AZ197" i="1"/>
  <c r="BA197" i="1"/>
  <c r="BB197" i="1"/>
  <c r="BC197" i="1"/>
  <c r="BD197" i="1"/>
  <c r="BE197" i="1"/>
  <c r="BF197" i="1"/>
  <c r="O198" i="1"/>
  <c r="P198" i="1"/>
  <c r="Q198" i="1"/>
  <c r="R198" i="1"/>
  <c r="S198" i="1"/>
  <c r="T198" i="1"/>
  <c r="U198" i="1"/>
  <c r="AX198" i="1"/>
  <c r="AY198" i="1"/>
  <c r="AZ198" i="1"/>
  <c r="BA198" i="1"/>
  <c r="BB198" i="1"/>
  <c r="BC198" i="1"/>
  <c r="BD198" i="1"/>
  <c r="BE198" i="1"/>
  <c r="BF198" i="1"/>
  <c r="O199" i="1"/>
  <c r="P199" i="1"/>
  <c r="Q199" i="1"/>
  <c r="R199" i="1"/>
  <c r="S199" i="1"/>
  <c r="T199" i="1"/>
  <c r="U199" i="1"/>
  <c r="AX199" i="1"/>
  <c r="AY199" i="1"/>
  <c r="AZ199" i="1"/>
  <c r="BA199" i="1"/>
  <c r="BB199" i="1"/>
  <c r="BC199" i="1"/>
  <c r="BD199" i="1"/>
  <c r="BE199" i="1"/>
  <c r="BF199" i="1"/>
  <c r="O200" i="1"/>
  <c r="P200" i="1"/>
  <c r="Q200" i="1"/>
  <c r="R200" i="1"/>
  <c r="S200" i="1"/>
  <c r="T200" i="1"/>
  <c r="U200" i="1"/>
  <c r="AX200" i="1"/>
  <c r="AY200" i="1"/>
  <c r="AZ200" i="1"/>
  <c r="BA200" i="1"/>
  <c r="BB200" i="1"/>
  <c r="BC200" i="1"/>
  <c r="BD200" i="1"/>
  <c r="BE200" i="1"/>
  <c r="BF200" i="1"/>
  <c r="O201" i="1"/>
  <c r="P201" i="1"/>
  <c r="Q201" i="1"/>
  <c r="R201" i="1"/>
  <c r="S201" i="1"/>
  <c r="T201" i="1"/>
  <c r="U201" i="1"/>
  <c r="AX201" i="1"/>
  <c r="AY201" i="1"/>
  <c r="AZ201" i="1"/>
  <c r="BA201" i="1"/>
  <c r="BB201" i="1"/>
  <c r="BC201" i="1"/>
  <c r="BD201" i="1"/>
  <c r="BE201" i="1"/>
  <c r="BF201" i="1"/>
  <c r="O202" i="1"/>
  <c r="P202" i="1"/>
  <c r="Q202" i="1"/>
  <c r="R202" i="1"/>
  <c r="S202" i="1"/>
  <c r="T202" i="1"/>
  <c r="U202" i="1"/>
  <c r="AX202" i="1"/>
  <c r="AY202" i="1"/>
  <c r="AZ202" i="1"/>
  <c r="BA202" i="1"/>
  <c r="BB202" i="1"/>
  <c r="BC202" i="1"/>
  <c r="BD202" i="1"/>
  <c r="BE202" i="1"/>
  <c r="BF202" i="1"/>
  <c r="O203" i="1"/>
  <c r="P203" i="1"/>
  <c r="Q203" i="1"/>
  <c r="R203" i="1"/>
  <c r="S203" i="1"/>
  <c r="T203" i="1"/>
  <c r="U203" i="1"/>
  <c r="AX203" i="1"/>
  <c r="AY203" i="1"/>
  <c r="AZ203" i="1"/>
  <c r="BA203" i="1"/>
  <c r="BB203" i="1"/>
  <c r="BC203" i="1"/>
  <c r="BD203" i="1"/>
  <c r="BE203" i="1"/>
  <c r="BF203" i="1"/>
  <c r="O204" i="1"/>
  <c r="P204" i="1"/>
  <c r="Q204" i="1"/>
  <c r="R204" i="1"/>
  <c r="S204" i="1"/>
  <c r="T204" i="1"/>
  <c r="U204" i="1"/>
  <c r="AX204" i="1"/>
  <c r="AY204" i="1"/>
  <c r="AZ204" i="1"/>
  <c r="BA204" i="1"/>
  <c r="BB204" i="1"/>
  <c r="BC204" i="1"/>
  <c r="BD204" i="1"/>
  <c r="BE204" i="1"/>
  <c r="BF204" i="1"/>
  <c r="O2" i="1"/>
  <c r="BF2" i="1"/>
  <c r="BE2" i="1"/>
  <c r="BD2" i="1"/>
  <c r="BC2" i="1"/>
  <c r="BB2" i="1"/>
  <c r="BA2" i="1"/>
  <c r="AZ2" i="1"/>
  <c r="AY2" i="1"/>
  <c r="AX2" i="1"/>
  <c r="U2" i="1"/>
  <c r="T2" i="1"/>
  <c r="S2" i="1"/>
  <c r="R2" i="1"/>
  <c r="Q2" i="1"/>
  <c r="P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 i="1"/>
  <c r="BH198" i="1" l="1"/>
  <c r="BH197" i="1"/>
  <c r="BH196" i="1"/>
  <c r="BH195" i="1"/>
  <c r="BH174" i="1"/>
  <c r="BH173" i="1"/>
  <c r="BH172" i="1"/>
  <c r="BH171" i="1"/>
  <c r="BH170" i="1"/>
  <c r="BH169" i="1"/>
  <c r="BH168" i="1"/>
  <c r="BH167" i="1"/>
  <c r="BH166" i="1"/>
  <c r="BH165" i="1"/>
  <c r="BH164" i="1"/>
  <c r="BH163" i="1"/>
  <c r="BH162" i="1"/>
  <c r="BH161" i="1"/>
  <c r="BH160" i="1"/>
  <c r="BH159" i="1"/>
  <c r="BH158" i="1"/>
  <c r="BH157" i="1"/>
  <c r="BH156" i="1"/>
  <c r="BH155" i="1"/>
  <c r="BH154" i="1"/>
  <c r="BH153" i="1"/>
  <c r="BH152" i="1"/>
  <c r="BH151" i="1"/>
  <c r="BH150" i="1"/>
  <c r="BH149" i="1"/>
  <c r="BH148" i="1"/>
  <c r="BH147" i="1"/>
  <c r="BH146" i="1"/>
  <c r="BH145" i="1"/>
  <c r="BH144" i="1"/>
  <c r="BH143" i="1"/>
  <c r="BH142" i="1"/>
  <c r="BH141" i="1"/>
  <c r="BH140" i="1"/>
  <c r="BH139" i="1"/>
  <c r="BH138" i="1"/>
  <c r="BH137" i="1"/>
  <c r="BH131" i="1"/>
  <c r="BH130" i="1"/>
  <c r="BH124" i="1"/>
  <c r="BH120" i="1"/>
  <c r="BH119" i="1"/>
  <c r="BH118" i="1"/>
  <c r="BH114" i="1"/>
  <c r="BH108" i="1"/>
  <c r="BH107" i="1"/>
  <c r="BH106" i="1"/>
  <c r="BH105" i="1"/>
  <c r="BH93" i="1"/>
  <c r="BH88" i="1"/>
  <c r="BH87" i="1"/>
  <c r="BH86" i="1"/>
  <c r="BH85" i="1"/>
  <c r="BH84" i="1"/>
  <c r="BH2" i="1"/>
  <c r="BH72" i="1"/>
  <c r="BH59" i="1"/>
  <c r="BH58" i="1"/>
  <c r="BH57" i="1"/>
  <c r="BH56" i="1"/>
  <c r="BH55" i="1"/>
  <c r="BH52" i="1"/>
  <c r="BH51" i="1"/>
  <c r="BH50" i="1"/>
  <c r="BH49" i="1"/>
  <c r="BH48" i="1"/>
  <c r="BH47" i="1"/>
  <c r="BH46" i="1"/>
  <c r="BH44" i="1"/>
  <c r="BH38" i="1"/>
  <c r="BH37" i="1"/>
  <c r="BH36" i="1"/>
  <c r="BH35" i="1"/>
  <c r="BH34" i="1"/>
  <c r="BH33" i="1"/>
  <c r="BH9" i="1"/>
  <c r="BH8" i="1"/>
  <c r="BH7" i="1"/>
  <c r="BH6" i="1"/>
  <c r="BH5" i="1"/>
  <c r="BH4" i="1"/>
  <c r="BH3" i="1"/>
  <c r="E153" i="1" l="1"/>
  <c r="E144" i="1"/>
  <c r="E142" i="1"/>
  <c r="A1133" i="28" s="1"/>
  <c r="E143" i="1"/>
  <c r="A1134" i="28" s="1"/>
  <c r="E6" i="1"/>
  <c r="A1132" i="28" s="1"/>
  <c r="E164" i="1"/>
  <c r="A1141" i="28" s="1"/>
  <c r="E162" i="1"/>
  <c r="E163" i="1"/>
  <c r="A1179" i="28" s="1"/>
  <c r="E171" i="1"/>
  <c r="A1154" i="28" s="1"/>
  <c r="E172" i="1"/>
  <c r="E49" i="1"/>
  <c r="E139" i="1"/>
  <c r="E140" i="1"/>
  <c r="E138" i="1"/>
  <c r="E174" i="1"/>
  <c r="E137" i="1"/>
  <c r="E168" i="1"/>
  <c r="E169" i="1"/>
  <c r="E131" i="1"/>
  <c r="E165" i="1"/>
  <c r="E166" i="1"/>
  <c r="E167" i="1"/>
  <c r="E4" i="1"/>
  <c r="E5" i="1"/>
  <c r="E151" i="1"/>
  <c r="A1176" i="28" s="1"/>
  <c r="E155" i="1"/>
  <c r="A1177" i="28" s="1"/>
  <c r="E145" i="1"/>
  <c r="A1173" i="28" s="1"/>
  <c r="E150" i="1"/>
  <c r="E156" i="1"/>
  <c r="A1178" i="28" s="1"/>
  <c r="E152" i="1"/>
  <c r="A1168" i="28" s="1"/>
  <c r="E148" i="1"/>
  <c r="E158" i="1"/>
  <c r="E149" i="1"/>
  <c r="E157" i="1"/>
  <c r="E146" i="1"/>
  <c r="E154" i="1"/>
  <c r="E147" i="1"/>
  <c r="E170" i="1"/>
  <c r="E173" i="1"/>
  <c r="E7" i="1"/>
  <c r="E8" i="1"/>
  <c r="E9" i="1"/>
  <c r="E197" i="1"/>
  <c r="E58" i="1"/>
  <c r="A1252" i="28" s="1"/>
  <c r="E59" i="1"/>
  <c r="E51" i="1"/>
  <c r="E57" i="1"/>
  <c r="A1251" i="28" s="1"/>
  <c r="E50" i="1"/>
  <c r="A1248" i="28" s="1"/>
  <c r="E195" i="1"/>
  <c r="E198" i="1"/>
  <c r="E108" i="1"/>
  <c r="E72" i="1"/>
  <c r="A1285" i="28" s="1"/>
  <c r="E160" i="1"/>
  <c r="E161" i="1"/>
  <c r="E44" i="1"/>
  <c r="E3" i="1"/>
  <c r="E2" i="1"/>
  <c r="E105" i="1"/>
  <c r="E114" i="1"/>
  <c r="E38" i="1"/>
  <c r="E56" i="1"/>
  <c r="A1250" i="28" s="1"/>
  <c r="E33" i="1"/>
  <c r="E35" i="1"/>
  <c r="E36" i="1"/>
  <c r="E196" i="1"/>
  <c r="E55" i="1"/>
  <c r="E120" i="1"/>
  <c r="E118" i="1"/>
  <c r="A1266" i="28" s="1"/>
  <c r="E119" i="1"/>
  <c r="E159" i="1"/>
  <c r="E84" i="1"/>
  <c r="A1278" i="28" s="1"/>
  <c r="E85" i="1"/>
  <c r="A1279" i="28" s="1"/>
  <c r="E86" i="1"/>
  <c r="A1280" i="28" s="1"/>
  <c r="E87" i="1"/>
  <c r="A1281" i="28" s="1"/>
  <c r="E88" i="1"/>
  <c r="E93" i="1"/>
  <c r="E106" i="1"/>
  <c r="E107" i="1"/>
  <c r="E46" i="1"/>
  <c r="E47" i="1"/>
  <c r="E48" i="1"/>
  <c r="A1236" i="28" s="1"/>
  <c r="E130" i="1"/>
  <c r="E52" i="1"/>
  <c r="A1249" i="28" s="1"/>
  <c r="E124" i="1"/>
  <c r="E37" i="1"/>
  <c r="E34" i="1"/>
  <c r="A13" i="26"/>
  <c r="A24" i="26"/>
  <c r="A35" i="26"/>
  <c r="A46" i="26"/>
  <c r="A57" i="26"/>
  <c r="A68" i="26"/>
  <c r="A79" i="26"/>
  <c r="A90" i="26"/>
  <c r="A101" i="26"/>
  <c r="A112" i="26"/>
  <c r="A123" i="26"/>
  <c r="A134" i="26"/>
  <c r="A145" i="26"/>
  <c r="A156" i="26"/>
  <c r="A167" i="26"/>
  <c r="A178" i="26"/>
  <c r="A189" i="26"/>
  <c r="A200" i="26"/>
  <c r="A211" i="26"/>
  <c r="A222" i="26"/>
  <c r="A233" i="26"/>
  <c r="A244" i="26"/>
  <c r="A255" i="26"/>
  <c r="A266" i="26"/>
  <c r="A277" i="26"/>
  <c r="A288" i="26"/>
  <c r="A299" i="26"/>
  <c r="A310" i="26"/>
  <c r="A321" i="26"/>
  <c r="A332" i="26"/>
  <c r="A343" i="26"/>
  <c r="A354" i="26"/>
  <c r="A365" i="26"/>
  <c r="A376" i="26"/>
  <c r="A387" i="26"/>
  <c r="A398" i="26"/>
  <c r="A409" i="26"/>
  <c r="A420" i="26"/>
  <c r="A431" i="26"/>
  <c r="A442" i="26"/>
  <c r="A453" i="26"/>
  <c r="A464" i="26"/>
  <c r="A475" i="26"/>
  <c r="A486" i="26"/>
  <c r="A497" i="26"/>
  <c r="A508" i="26"/>
  <c r="A519" i="26"/>
  <c r="A530" i="26"/>
  <c r="A541" i="26"/>
  <c r="A552" i="26"/>
  <c r="A563" i="26"/>
  <c r="A574" i="26"/>
  <c r="A585" i="26"/>
  <c r="A596" i="26"/>
  <c r="A607" i="26"/>
  <c r="A618" i="26"/>
  <c r="A629" i="26"/>
  <c r="A640" i="26"/>
  <c r="A651" i="26"/>
  <c r="A662" i="26"/>
  <c r="A673" i="26"/>
  <c r="A684" i="26"/>
  <c r="A695" i="26"/>
  <c r="A706" i="26"/>
  <c r="A717" i="26"/>
  <c r="A728" i="26"/>
  <c r="A739" i="26"/>
  <c r="A750" i="26"/>
  <c r="A761" i="26"/>
  <c r="A772" i="26"/>
  <c r="A783" i="26"/>
  <c r="A794" i="26"/>
  <c r="A805" i="26"/>
  <c r="A827" i="26"/>
  <c r="A838" i="26"/>
  <c r="A849" i="26"/>
  <c r="A860" i="26"/>
  <c r="A871" i="26"/>
  <c r="A882" i="26"/>
  <c r="A893" i="26"/>
  <c r="A904" i="26"/>
  <c r="A915" i="26"/>
  <c r="A926" i="26"/>
  <c r="A937" i="26"/>
  <c r="A948" i="26"/>
  <c r="A959" i="26"/>
  <c r="A970" i="26"/>
  <c r="A981" i="26"/>
  <c r="A992" i="26"/>
  <c r="A1003" i="26"/>
  <c r="A1014" i="26"/>
  <c r="A1025" i="26"/>
  <c r="A1036" i="26"/>
  <c r="A1047" i="26"/>
  <c r="A1058" i="26"/>
  <c r="A1069" i="26"/>
  <c r="A1080" i="26"/>
  <c r="A1091" i="26"/>
  <c r="A1102" i="26"/>
  <c r="A1113" i="26"/>
  <c r="A1124" i="26"/>
  <c r="A1135" i="26"/>
  <c r="A1146" i="26"/>
  <c r="A1157" i="26"/>
  <c r="A1168" i="26"/>
  <c r="A1179" i="26"/>
  <c r="A1190" i="26"/>
  <c r="A1201" i="26"/>
  <c r="A1212" i="26"/>
  <c r="A1223" i="26"/>
  <c r="A1234" i="26"/>
  <c r="A1245" i="26"/>
  <c r="A1256" i="26"/>
  <c r="A1267" i="26"/>
  <c r="A1278" i="26"/>
  <c r="A1289" i="26"/>
  <c r="A1300" i="26"/>
  <c r="A1311" i="26"/>
  <c r="A1322" i="26"/>
  <c r="A1333" i="26"/>
  <c r="A1344" i="26"/>
  <c r="A1355" i="26"/>
  <c r="A1377" i="26"/>
  <c r="A1388" i="26"/>
  <c r="A1399" i="26"/>
  <c r="A1410" i="26"/>
  <c r="A1421" i="26"/>
  <c r="A1432" i="26"/>
  <c r="A1443" i="26"/>
  <c r="A1454" i="26"/>
  <c r="A1465" i="26"/>
  <c r="A1476" i="26"/>
  <c r="A1487" i="26"/>
  <c r="A1498" i="26"/>
  <c r="A1509" i="26"/>
  <c r="A1520" i="26"/>
  <c r="A1531" i="26"/>
  <c r="A1542" i="26"/>
  <c r="A1553" i="26"/>
  <c r="A1564" i="26"/>
  <c r="A1575" i="26"/>
  <c r="A1586" i="26"/>
  <c r="A1597" i="26"/>
  <c r="A1608" i="26"/>
  <c r="A1619" i="26"/>
  <c r="A1630" i="26"/>
  <c r="A1641" i="26"/>
  <c r="A1652" i="26"/>
  <c r="A1663" i="26"/>
  <c r="A1674" i="26"/>
  <c r="A1685" i="26"/>
  <c r="A1696" i="26"/>
  <c r="A1707" i="26"/>
  <c r="A1718" i="26"/>
  <c r="A1729" i="26"/>
  <c r="A1740" i="26"/>
  <c r="A1751" i="26"/>
  <c r="A1762" i="26"/>
  <c r="A1773" i="26"/>
  <c r="A1784" i="26"/>
  <c r="A1795" i="26"/>
  <c r="A1806" i="26"/>
  <c r="A1817" i="26"/>
  <c r="A1828" i="26"/>
  <c r="A1839" i="26"/>
  <c r="A1850" i="26"/>
  <c r="A1861" i="26"/>
  <c r="A1872" i="26"/>
  <c r="A1883" i="26"/>
  <c r="A1894" i="26"/>
  <c r="A1905" i="26"/>
  <c r="A1916" i="26"/>
  <c r="A1927" i="26"/>
  <c r="A1938" i="26"/>
  <c r="A1949" i="26"/>
  <c r="A1960" i="26"/>
  <c r="A1971" i="26"/>
  <c r="A1982" i="26"/>
  <c r="A1993" i="26"/>
  <c r="A2004" i="26"/>
  <c r="A2015" i="26"/>
  <c r="A2026" i="26"/>
  <c r="A2037" i="26"/>
  <c r="A2048" i="26"/>
  <c r="A2059" i="26"/>
  <c r="A2070" i="26"/>
  <c r="A2081" i="26"/>
  <c r="A2092" i="26"/>
  <c r="A2103" i="26"/>
  <c r="A2114" i="26"/>
  <c r="A2125" i="26"/>
  <c r="A2136" i="26"/>
  <c r="A2147" i="26"/>
  <c r="A2158" i="26"/>
  <c r="A2169" i="26"/>
  <c r="A2180" i="26"/>
  <c r="A2191" i="26"/>
  <c r="A2202" i="26"/>
  <c r="A2213" i="26"/>
  <c r="A2224" i="26"/>
  <c r="A2235" i="26"/>
  <c r="A2246" i="26"/>
  <c r="A2257" i="26"/>
  <c r="A2268" i="26"/>
  <c r="A2279" i="26"/>
  <c r="A2290" i="26"/>
  <c r="A2301" i="26"/>
  <c r="A2312" i="26"/>
  <c r="A2323" i="26"/>
  <c r="A2334" i="26"/>
  <c r="A2345" i="26"/>
  <c r="A2356" i="26"/>
  <c r="A2367" i="26"/>
  <c r="A2378" i="26"/>
  <c r="A2444" i="26"/>
  <c r="A2455" i="26"/>
  <c r="E126" i="1"/>
  <c r="C52" i="29"/>
  <c r="C55" i="29"/>
  <c r="C54" i="29"/>
  <c r="C47" i="29"/>
  <c r="C45" i="29"/>
  <c r="C42" i="29"/>
  <c r="C34" i="29"/>
  <c r="C28" i="29"/>
  <c r="C21" i="29"/>
  <c r="C19" i="29"/>
  <c r="C17" i="29"/>
  <c r="C16" i="29"/>
  <c r="C15" i="29"/>
  <c r="C9" i="29"/>
  <c r="C7" i="29"/>
  <c r="C5" i="29"/>
  <c r="C4" i="29"/>
  <c r="C3" i="29"/>
  <c r="A1304" i="28" l="1"/>
  <c r="A1305" i="28"/>
  <c r="A1307" i="28"/>
  <c r="A1306" i="28"/>
  <c r="A1314" i="28"/>
  <c r="A1313" i="28"/>
  <c r="A1312" i="28"/>
  <c r="A1311" i="28"/>
  <c r="A1309" i="28"/>
  <c r="A1310" i="28"/>
  <c r="A1308" i="28"/>
  <c r="A1322" i="28"/>
  <c r="A1321" i="28"/>
  <c r="A1320" i="28"/>
  <c r="A1319" i="28"/>
  <c r="A1318" i="28"/>
  <c r="A1317" i="28"/>
  <c r="A1316" i="28"/>
  <c r="A1315" i="28"/>
  <c r="A1296" i="28"/>
  <c r="A1297" i="28"/>
  <c r="A1298" i="28"/>
  <c r="A1299" i="28"/>
  <c r="A1300" i="28"/>
  <c r="A1295" i="28"/>
  <c r="A1301" i="28"/>
  <c r="A1293" i="28"/>
  <c r="A1294" i="28"/>
  <c r="A1292" i="28"/>
  <c r="A1290" i="28"/>
  <c r="A1291" i="28"/>
  <c r="A1267" i="28"/>
  <c r="A1303" i="28"/>
  <c r="A1302" i="28"/>
  <c r="A1288" i="28"/>
  <c r="A1287" i="28"/>
  <c r="A1286" i="28"/>
  <c r="A1289" i="28"/>
  <c r="A1284" i="28"/>
  <c r="A1283" i="28"/>
  <c r="A1282" i="28"/>
  <c r="A1276" i="28"/>
  <c r="A1277" i="28"/>
  <c r="A1272" i="28"/>
  <c r="A1237" i="28"/>
  <c r="A1235" i="28"/>
  <c r="A1234" i="28"/>
  <c r="A1257" i="28"/>
  <c r="A1256" i="28"/>
  <c r="A1255" i="28"/>
  <c r="A1254" i="28"/>
  <c r="A1253" i="28"/>
  <c r="A1230" i="28"/>
  <c r="A1229" i="28"/>
  <c r="A1228" i="28"/>
  <c r="A1227" i="28"/>
  <c r="A1233" i="28"/>
  <c r="A1232" i="28"/>
  <c r="A1231" i="28"/>
  <c r="A1226" i="28"/>
  <c r="A1264" i="28"/>
  <c r="A1265" i="28"/>
  <c r="A1262" i="28"/>
  <c r="A1263" i="28"/>
  <c r="A1259" i="28"/>
  <c r="A1260" i="28"/>
  <c r="A1261" i="28"/>
  <c r="A1258" i="28"/>
  <c r="A1241" i="28"/>
  <c r="A1242" i="28"/>
  <c r="A1243" i="28"/>
  <c r="A1244" i="28"/>
  <c r="A1245" i="28"/>
  <c r="A1246" i="28"/>
  <c r="A1247" i="28"/>
  <c r="A1240" i="28"/>
  <c r="A1239" i="28"/>
  <c r="A1238" i="28"/>
  <c r="A1270" i="28"/>
  <c r="A1271" i="28"/>
  <c r="A1269" i="28"/>
  <c r="A1268" i="28"/>
  <c r="A1275" i="28"/>
  <c r="A1274" i="28"/>
  <c r="A1273" i="28"/>
  <c r="A1220" i="28"/>
  <c r="A1221" i="28"/>
  <c r="A1225" i="28"/>
  <c r="A1224" i="28"/>
  <c r="A1223" i="28"/>
  <c r="A1222" i="28"/>
  <c r="A1218" i="28"/>
  <c r="A1217" i="28"/>
  <c r="A1214" i="28"/>
  <c r="A1213" i="28"/>
  <c r="A1219" i="28"/>
  <c r="A1215" i="28"/>
  <c r="A1216" i="28"/>
  <c r="A1212" i="28"/>
  <c r="A1155" i="28"/>
  <c r="A1211" i="28"/>
  <c r="A1210" i="28"/>
  <c r="A1209" i="28"/>
  <c r="A1208" i="28"/>
  <c r="A1204" i="28"/>
  <c r="A1203" i="28"/>
  <c r="A1202" i="28"/>
  <c r="A1201" i="28"/>
  <c r="A1200" i="28"/>
  <c r="A1199" i="28"/>
  <c r="A1198" i="28"/>
  <c r="A1197" i="28"/>
  <c r="A1207" i="28"/>
  <c r="A1191" i="28"/>
  <c r="A1206" i="28"/>
  <c r="A1190" i="28"/>
  <c r="A1205" i="28"/>
  <c r="A1189" i="28"/>
  <c r="A1196" i="28"/>
  <c r="A1195" i="28"/>
  <c r="A1194" i="28"/>
  <c r="A1193" i="28"/>
  <c r="A1192" i="28"/>
  <c r="A1187" i="28"/>
  <c r="A1188" i="28"/>
  <c r="A1175" i="28"/>
  <c r="A1174" i="28"/>
  <c r="A1164" i="28"/>
  <c r="A1163" i="28"/>
  <c r="A1172" i="28"/>
  <c r="A1171" i="28"/>
  <c r="A1167" i="28"/>
  <c r="A1166" i="28"/>
  <c r="A1165" i="28"/>
  <c r="A1170" i="28"/>
  <c r="A1162" i="28"/>
  <c r="A1169" i="28"/>
  <c r="A1161" i="28"/>
  <c r="A1180" i="28"/>
  <c r="A1186" i="28"/>
  <c r="A1185" i="28"/>
  <c r="A1184" i="28"/>
  <c r="A1183" i="28"/>
  <c r="A1182" i="28"/>
  <c r="A1181" i="28"/>
  <c r="A1160" i="28"/>
  <c r="A1159" i="28"/>
  <c r="A1158" i="28"/>
  <c r="A1157" i="28"/>
  <c r="A1156" i="28"/>
  <c r="A1146" i="28"/>
  <c r="A1145" i="28"/>
  <c r="A1152" i="28"/>
  <c r="A1153" i="28"/>
  <c r="A1151" i="28"/>
  <c r="A1144" i="28"/>
  <c r="A1150" i="28"/>
  <c r="A1149" i="28"/>
  <c r="A1148" i="28"/>
  <c r="A1147" i="28"/>
  <c r="A1143" i="28"/>
  <c r="A1142" i="28"/>
  <c r="A1131" i="28"/>
  <c r="A1136" i="28"/>
  <c r="A1135" i="28"/>
  <c r="A1140" i="28"/>
  <c r="A1139" i="28"/>
  <c r="A1138" i="28"/>
  <c r="A1137" i="28"/>
  <c r="A1130" i="28"/>
  <c r="BG30" i="1" l="1"/>
  <c r="BH30" i="1" s="1"/>
  <c r="BG24" i="1"/>
  <c r="BH24" i="1" s="1"/>
  <c r="BG96" i="1"/>
  <c r="BH96" i="1" s="1"/>
  <c r="BG81" i="1"/>
  <c r="BH81" i="1" s="1"/>
  <c r="BG63" i="1"/>
  <c r="BH63" i="1" s="1"/>
  <c r="BG187" i="1"/>
  <c r="BH187" i="1" s="1"/>
  <c r="BG17" i="1"/>
  <c r="BH17" i="1" s="1"/>
  <c r="BG125" i="1"/>
  <c r="BH125" i="1" s="1"/>
  <c r="BG76" i="1"/>
  <c r="BH76" i="1" s="1"/>
  <c r="BG64" i="1"/>
  <c r="BH64" i="1" s="1"/>
  <c r="BG43" i="1" l="1"/>
  <c r="BH43" i="1" s="1"/>
  <c r="BG98" i="1"/>
  <c r="BH98" i="1" s="1"/>
  <c r="BG20" i="1"/>
  <c r="BH20" i="1" s="1"/>
  <c r="BG13" i="1"/>
  <c r="BH13" i="1" s="1"/>
  <c r="BG115" i="1"/>
  <c r="BH115" i="1" s="1"/>
  <c r="BG100" i="1"/>
  <c r="BH100" i="1" s="1"/>
  <c r="BG117" i="1"/>
  <c r="BH117" i="1" s="1"/>
  <c r="BG113" i="1"/>
  <c r="BH113" i="1" s="1"/>
  <c r="BG74" i="1"/>
  <c r="BH74" i="1" s="1"/>
  <c r="BG201" i="1"/>
  <c r="BH201" i="1" s="1"/>
  <c r="BG27" i="1"/>
  <c r="BH27" i="1" s="1"/>
  <c r="BG26" i="1"/>
  <c r="BH26" i="1" s="1"/>
  <c r="BG112" i="1"/>
  <c r="BH112" i="1" s="1"/>
  <c r="BG31" i="1"/>
  <c r="BH31" i="1" s="1"/>
  <c r="BG69" i="1"/>
  <c r="BH69" i="1" s="1"/>
  <c r="BG132" i="1"/>
  <c r="BH132" i="1" s="1"/>
  <c r="BG181" i="1"/>
  <c r="BH181" i="1" s="1"/>
  <c r="BG200" i="1"/>
  <c r="BH200" i="1" s="1"/>
  <c r="BG193" i="1"/>
  <c r="BH193" i="1" s="1"/>
  <c r="BG97" i="1"/>
  <c r="BH97" i="1" s="1"/>
  <c r="BG83" i="1"/>
  <c r="BH83" i="1" s="1"/>
  <c r="BG80" i="1"/>
  <c r="BH80" i="1" s="1"/>
  <c r="BG82" i="1"/>
  <c r="BH82" i="1" s="1"/>
  <c r="BG18" i="1"/>
  <c r="BH18" i="1" s="1"/>
  <c r="BG111" i="1"/>
  <c r="BH111" i="1" s="1"/>
  <c r="BG16" i="1"/>
  <c r="BH16" i="1" s="1"/>
  <c r="BG180" i="1"/>
  <c r="BH180" i="1" s="1"/>
  <c r="BG179" i="1"/>
  <c r="BH179" i="1" s="1"/>
  <c r="BG66" i="1"/>
  <c r="BH66" i="1" s="1"/>
  <c r="BG127" i="1"/>
  <c r="BH127" i="1" s="1"/>
  <c r="BG126" i="1"/>
  <c r="BH126" i="1" s="1"/>
  <c r="BG128" i="1" l="1"/>
  <c r="BH128" i="1" s="1"/>
  <c r="BG134" i="1"/>
  <c r="BH134" i="1" s="1"/>
  <c r="BG123" i="1"/>
  <c r="BH123" i="1" s="1"/>
  <c r="BG186" i="1"/>
  <c r="BH186" i="1" s="1"/>
  <c r="BG54" i="1"/>
  <c r="BH54" i="1" s="1"/>
  <c r="BG42" i="1"/>
  <c r="BH42" i="1" s="1"/>
  <c r="BG22" i="1"/>
  <c r="BH22" i="1" s="1"/>
  <c r="BG21" i="1"/>
  <c r="BH21" i="1" s="1"/>
  <c r="BG53" i="1"/>
  <c r="BH53" i="1" s="1"/>
  <c r="BG121" i="1"/>
  <c r="BH121" i="1" s="1"/>
  <c r="BG185" i="1"/>
  <c r="BH185" i="1" s="1"/>
  <c r="BG32" i="1"/>
  <c r="BH32" i="1" s="1"/>
  <c r="BG65" i="1"/>
  <c r="BH65" i="1" s="1"/>
  <c r="BG95" i="1"/>
  <c r="BH95" i="1" s="1"/>
  <c r="BG203" i="1"/>
  <c r="BH203" i="1" s="1"/>
  <c r="BG102" i="1"/>
  <c r="BH102" i="1" s="1"/>
  <c r="BG94" i="1"/>
  <c r="BH94" i="1" s="1"/>
  <c r="BG89" i="1"/>
  <c r="BH89" i="1" s="1"/>
  <c r="BG103" i="1"/>
  <c r="BH103" i="1" s="1"/>
  <c r="BG101" i="1"/>
  <c r="BH101" i="1" s="1"/>
  <c r="A2994" i="28" l="1"/>
  <c r="BH204" i="1" l="1"/>
  <c r="BH202" i="1"/>
  <c r="BH199" i="1"/>
  <c r="BH194" i="1"/>
  <c r="BH192" i="1"/>
  <c r="BH191" i="1"/>
  <c r="BH190" i="1"/>
  <c r="BH189" i="1"/>
  <c r="BH188" i="1"/>
  <c r="BH184" i="1"/>
  <c r="BH183" i="1"/>
  <c r="BH182" i="1"/>
  <c r="BH178" i="1"/>
  <c r="BH177" i="1"/>
  <c r="BH176" i="1"/>
  <c r="BH175" i="1"/>
  <c r="BH136" i="1"/>
  <c r="BH135" i="1"/>
  <c r="BH133" i="1"/>
  <c r="BH129" i="1"/>
  <c r="BH122" i="1"/>
  <c r="BH116" i="1"/>
  <c r="BH110" i="1"/>
  <c r="BH109" i="1"/>
  <c r="BH104" i="1"/>
  <c r="BH99" i="1"/>
  <c r="BH92" i="1"/>
  <c r="BH91" i="1"/>
  <c r="BH90" i="1"/>
  <c r="BH79" i="1"/>
  <c r="BH78" i="1"/>
  <c r="BH77" i="1"/>
  <c r="BH75" i="1"/>
  <c r="BH73" i="1"/>
  <c r="BH71" i="1"/>
  <c r="BH70" i="1"/>
  <c r="BH68" i="1"/>
  <c r="BH67" i="1"/>
  <c r="BH62" i="1"/>
  <c r="BH61" i="1"/>
  <c r="BH60" i="1"/>
  <c r="BH45" i="1"/>
  <c r="BH41" i="1"/>
  <c r="BH40" i="1"/>
  <c r="BH39" i="1"/>
  <c r="BH29" i="1"/>
  <c r="BH28" i="1"/>
  <c r="BH25" i="1"/>
  <c r="BH23" i="1"/>
  <c r="BH19" i="1"/>
  <c r="BH15" i="1"/>
  <c r="BH14" i="1"/>
  <c r="BH12" i="1"/>
  <c r="BH11" i="1"/>
  <c r="BH10" i="1"/>
  <c r="A1323" i="28"/>
  <c r="A1324" i="28"/>
  <c r="A1325" i="28"/>
  <c r="A1326" i="28"/>
  <c r="A1327" i="28"/>
  <c r="A1328" i="28"/>
  <c r="A1329" i="28"/>
  <c r="A1330" i="28"/>
  <c r="A1331" i="28"/>
  <c r="A1332" i="28"/>
  <c r="A1333" i="28"/>
  <c r="A1334" i="28"/>
  <c r="A1335" i="28"/>
  <c r="A1336" i="28"/>
  <c r="A1337" i="28"/>
  <c r="A1338" i="28"/>
  <c r="A1339" i="28"/>
  <c r="A1340" i="28"/>
  <c r="A1341" i="28"/>
  <c r="A1342" i="28"/>
  <c r="A1343" i="28"/>
  <c r="A1344" i="28"/>
  <c r="A1345" i="28"/>
  <c r="A1346" i="28"/>
  <c r="A1347" i="28"/>
  <c r="A1348" i="28"/>
  <c r="A1349" i="28"/>
  <c r="A1350" i="28"/>
  <c r="A1351" i="28"/>
  <c r="A1352" i="28"/>
  <c r="A1353" i="28"/>
  <c r="A1354" i="28"/>
  <c r="A1355" i="28"/>
  <c r="A1356" i="28"/>
  <c r="A1357" i="28"/>
  <c r="A1358" i="28"/>
  <c r="A1359" i="28"/>
  <c r="A1360" i="28"/>
  <c r="A1361" i="28"/>
  <c r="A1362" i="28"/>
  <c r="A1363" i="28"/>
  <c r="A1364" i="28"/>
  <c r="A1365" i="28"/>
  <c r="A1366" i="28"/>
  <c r="A1367" i="28"/>
  <c r="A1368" i="28"/>
  <c r="A1369" i="28"/>
  <c r="A1370" i="28"/>
  <c r="A1371" i="28"/>
  <c r="A1372" i="28"/>
  <c r="A1373" i="28"/>
  <c r="A1374" i="28"/>
  <c r="A1375" i="28"/>
  <c r="A1376" i="28"/>
  <c r="A1377" i="28"/>
  <c r="A1378" i="28"/>
  <c r="A1379" i="28"/>
  <c r="A1380" i="28"/>
  <c r="A1381" i="28"/>
  <c r="A1382" i="28"/>
  <c r="A1383" i="28"/>
  <c r="A1384" i="28"/>
  <c r="A1385" i="28"/>
  <c r="A1386" i="28"/>
  <c r="A1387" i="28"/>
  <c r="A1388" i="28"/>
  <c r="A1389" i="28"/>
  <c r="A1390" i="28"/>
  <c r="A1391" i="28"/>
  <c r="A1392" i="28"/>
  <c r="A1393" i="28"/>
  <c r="A1394" i="28"/>
  <c r="A1395" i="28"/>
  <c r="A1396" i="28"/>
  <c r="A1397" i="28"/>
  <c r="A1398" i="28"/>
  <c r="A1399" i="28"/>
  <c r="A1400" i="28"/>
  <c r="A1401" i="28"/>
  <c r="A1402" i="28"/>
  <c r="A1403" i="28"/>
  <c r="A1404" i="28"/>
  <c r="A1405" i="28"/>
  <c r="A1406" i="28"/>
  <c r="A1407" i="28"/>
  <c r="A1408" i="28"/>
  <c r="A1409" i="28"/>
  <c r="A1410" i="28"/>
  <c r="A1411" i="28"/>
  <c r="A1412" i="28"/>
  <c r="A1413" i="28"/>
  <c r="A1414" i="28"/>
  <c r="A1415" i="28"/>
  <c r="A1416" i="28"/>
  <c r="A1417" i="28"/>
  <c r="A1418" i="28"/>
  <c r="A1419" i="28"/>
  <c r="A1420" i="28"/>
  <c r="A1421" i="28"/>
  <c r="A1422" i="28"/>
  <c r="A1423" i="28"/>
  <c r="A1424" i="28"/>
  <c r="A1425" i="28"/>
  <c r="A1426" i="28"/>
  <c r="A1427" i="28"/>
  <c r="A1428" i="28"/>
  <c r="A1429" i="28"/>
  <c r="A1430" i="28"/>
  <c r="A1431" i="28"/>
  <c r="A1432" i="28"/>
  <c r="A1433" i="28"/>
  <c r="A1434" i="28"/>
  <c r="A1435" i="28"/>
  <c r="A1436" i="28"/>
  <c r="A1437" i="28"/>
  <c r="A1438" i="28"/>
  <c r="A1439" i="28"/>
  <c r="A1440" i="28"/>
  <c r="A1441" i="28"/>
  <c r="A1442" i="28"/>
  <c r="A1443" i="28"/>
  <c r="A1444" i="28"/>
  <c r="A1445" i="28"/>
  <c r="A1446" i="28"/>
  <c r="A1447" i="28"/>
  <c r="A1448" i="28"/>
  <c r="A1449" i="28"/>
  <c r="A1450" i="28"/>
  <c r="A1451" i="28"/>
  <c r="A1452" i="28"/>
  <c r="A1453" i="28"/>
  <c r="A1454" i="28"/>
  <c r="A1455" i="28"/>
  <c r="A1456" i="28"/>
  <c r="A1457" i="28"/>
  <c r="A1458" i="28"/>
  <c r="A1459" i="28"/>
  <c r="A1460" i="28"/>
  <c r="A1461" i="28"/>
  <c r="A1462" i="28"/>
  <c r="A1463" i="28"/>
  <c r="A1464" i="28"/>
  <c r="A1465" i="28"/>
  <c r="A1466" i="28"/>
  <c r="A1467" i="28"/>
  <c r="A1468" i="28"/>
  <c r="A1469" i="28"/>
  <c r="A1470" i="28"/>
  <c r="A1471" i="28"/>
  <c r="A1472" i="28"/>
  <c r="A1473" i="28"/>
  <c r="A1474" i="28"/>
  <c r="A1475" i="28"/>
  <c r="A1476" i="28"/>
  <c r="A1477" i="28"/>
  <c r="A1478" i="28"/>
  <c r="A1479" i="28"/>
  <c r="A1480" i="28"/>
  <c r="A1481" i="28"/>
  <c r="A1482" i="28"/>
  <c r="A1483" i="28"/>
  <c r="A1484" i="28"/>
  <c r="A1485" i="28"/>
  <c r="A1486" i="28"/>
  <c r="A1487" i="28"/>
  <c r="A1488" i="28"/>
  <c r="A1489" i="28"/>
  <c r="A1490" i="28"/>
  <c r="A1491" i="28"/>
  <c r="A1492" i="28"/>
  <c r="A1493" i="28"/>
  <c r="A1494" i="28"/>
  <c r="A1495" i="28"/>
  <c r="A1496" i="28"/>
  <c r="A1497" i="28"/>
  <c r="A1498" i="28"/>
  <c r="A1499" i="28"/>
  <c r="A1500" i="28"/>
  <c r="A1501" i="28"/>
  <c r="A1502" i="28"/>
  <c r="A1503" i="28"/>
  <c r="A1504" i="28"/>
  <c r="A1505" i="28"/>
  <c r="A1506" i="28"/>
  <c r="A1507" i="28"/>
  <c r="A1508" i="28"/>
  <c r="A1509" i="28"/>
  <c r="A1510" i="28"/>
  <c r="A1511" i="28"/>
  <c r="A1512" i="28"/>
  <c r="A1513" i="28"/>
  <c r="A1514" i="28"/>
  <c r="A1515" i="28"/>
  <c r="A1516" i="28"/>
  <c r="A1517" i="28"/>
  <c r="A1518" i="28"/>
  <c r="A1519" i="28"/>
  <c r="A1520" i="28"/>
  <c r="A1521" i="28"/>
  <c r="A1522" i="28"/>
  <c r="A1523" i="28"/>
  <c r="A1524" i="28"/>
  <c r="A1525" i="28"/>
  <c r="A1526" i="28"/>
  <c r="A1527" i="28"/>
  <c r="A1528" i="28"/>
  <c r="A1529" i="28"/>
  <c r="A1530" i="28"/>
  <c r="A1531" i="28"/>
  <c r="A1532" i="28"/>
  <c r="A1533" i="28"/>
  <c r="A1534" i="28"/>
  <c r="A1535" i="28"/>
  <c r="A1536" i="28"/>
  <c r="A1537" i="28"/>
  <c r="A1538" i="28"/>
  <c r="A1539" i="28"/>
  <c r="A1540" i="28"/>
  <c r="A1541" i="28"/>
  <c r="A1542" i="28"/>
  <c r="A1543" i="28"/>
  <c r="A1544" i="28"/>
  <c r="A1545" i="28"/>
  <c r="A1546" i="28"/>
  <c r="A1547" i="28"/>
  <c r="A1548" i="28"/>
  <c r="A1549" i="28"/>
  <c r="A1550" i="28"/>
  <c r="A1551" i="28"/>
  <c r="A1552" i="28"/>
  <c r="A1553" i="28"/>
  <c r="A1554" i="28"/>
  <c r="A1555" i="28"/>
  <c r="A1556" i="28"/>
  <c r="A1557" i="28"/>
  <c r="A1558" i="28"/>
  <c r="A1559" i="28"/>
  <c r="A1560" i="28"/>
  <c r="A1561" i="28"/>
  <c r="A1562" i="28"/>
  <c r="A1563" i="28"/>
  <c r="A1564" i="28"/>
  <c r="A1565" i="28"/>
  <c r="A1566" i="28"/>
  <c r="A1567" i="28"/>
  <c r="A1568" i="28"/>
  <c r="A1569" i="28"/>
  <c r="A1570" i="28"/>
  <c r="A1571" i="28"/>
  <c r="A1572" i="28"/>
  <c r="A1573" i="28"/>
  <c r="A1574" i="28"/>
  <c r="A1575" i="28"/>
  <c r="A1576" i="28"/>
  <c r="A1577" i="28"/>
  <c r="A1578" i="28"/>
  <c r="A1579" i="28"/>
  <c r="A1580" i="28"/>
  <c r="A1581" i="28"/>
  <c r="A1582" i="28"/>
  <c r="A1583" i="28"/>
  <c r="A1584" i="28"/>
  <c r="A1585" i="28"/>
  <c r="A1586" i="28"/>
  <c r="A1587" i="28"/>
  <c r="A1588" i="28"/>
  <c r="A1589" i="28"/>
  <c r="A1590" i="28"/>
  <c r="A1591" i="28"/>
  <c r="A1592" i="28"/>
  <c r="A1593" i="28"/>
  <c r="A1594" i="28"/>
  <c r="A1595" i="28"/>
  <c r="A1596" i="28"/>
  <c r="A1597" i="28"/>
  <c r="A1598" i="28"/>
  <c r="A1599" i="28"/>
  <c r="A1600" i="28"/>
  <c r="A1601" i="28"/>
  <c r="A1602" i="28"/>
  <c r="A1603" i="28"/>
  <c r="A1604" i="28"/>
  <c r="A1605" i="28"/>
  <c r="A1606" i="28"/>
  <c r="A1607" i="28"/>
  <c r="A1608" i="28"/>
  <c r="A1609" i="28"/>
  <c r="A1610" i="28"/>
  <c r="A1611" i="28"/>
  <c r="A1612" i="28"/>
  <c r="A1613" i="28"/>
  <c r="A1614" i="28"/>
  <c r="A1615" i="28"/>
  <c r="A1616" i="28"/>
  <c r="A1617" i="28"/>
  <c r="A1618" i="28"/>
  <c r="A1619" i="28"/>
  <c r="A1620" i="28"/>
  <c r="A1621" i="28"/>
  <c r="A1622" i="28"/>
  <c r="A1623" i="28"/>
  <c r="A1624" i="28"/>
  <c r="A1625" i="28"/>
  <c r="A1626" i="28"/>
  <c r="A1627" i="28"/>
  <c r="A1628" i="28"/>
  <c r="A1629" i="28"/>
  <c r="A1630" i="28"/>
  <c r="A1631" i="28"/>
  <c r="A1632" i="28"/>
  <c r="A1633" i="28"/>
  <c r="A1634" i="28"/>
  <c r="A1635" i="28"/>
  <c r="A1636" i="28"/>
  <c r="A1637" i="28"/>
  <c r="A1638" i="28"/>
  <c r="A1639" i="28"/>
  <c r="A1640" i="28"/>
  <c r="A1641" i="28"/>
  <c r="A1642" i="28"/>
  <c r="A1643" i="28"/>
  <c r="A1644" i="28"/>
  <c r="A1645" i="28"/>
  <c r="A1646" i="28"/>
  <c r="A1647" i="28"/>
  <c r="A1648" i="28"/>
  <c r="A1649" i="28"/>
  <c r="A1650" i="28"/>
  <c r="A1651" i="28"/>
  <c r="A1652" i="28"/>
  <c r="A1653" i="28"/>
  <c r="A1654" i="28"/>
  <c r="A1655" i="28"/>
  <c r="A1656" i="28"/>
  <c r="A1657" i="28"/>
  <c r="A1658" i="28"/>
  <c r="A1659" i="28"/>
  <c r="A1660" i="28"/>
  <c r="A1661" i="28"/>
  <c r="A1662" i="28"/>
  <c r="A1663" i="28"/>
  <c r="A1664" i="28"/>
  <c r="A1665" i="28"/>
  <c r="A1666" i="28"/>
  <c r="A1667" i="28"/>
  <c r="A1668" i="28"/>
  <c r="A1669" i="28"/>
  <c r="A1670" i="28"/>
  <c r="A1671" i="28"/>
  <c r="A1672" i="28"/>
  <c r="A1673" i="28"/>
  <c r="A1674" i="28"/>
  <c r="A1675" i="28"/>
  <c r="A1676" i="28"/>
  <c r="A1677" i="28"/>
  <c r="A1678" i="28"/>
  <c r="A1679" i="28"/>
  <c r="A1680" i="28"/>
  <c r="A1681" i="28"/>
  <c r="A1682" i="28"/>
  <c r="A1683" i="28"/>
  <c r="A1684" i="28"/>
  <c r="A1685" i="28"/>
  <c r="A1686" i="28"/>
  <c r="A1687" i="28"/>
  <c r="A1688" i="28"/>
  <c r="A1689" i="28"/>
  <c r="A1690" i="28"/>
  <c r="A1691" i="28"/>
  <c r="A1692" i="28"/>
  <c r="A1693" i="28"/>
  <c r="A1694" i="28"/>
  <c r="A1695" i="28"/>
  <c r="A1696" i="28"/>
  <c r="A1697" i="28"/>
  <c r="A1698" i="28"/>
  <c r="A1699" i="28"/>
  <c r="A1700" i="28"/>
  <c r="A1701" i="28"/>
  <c r="A1702" i="28"/>
  <c r="A1703" i="28"/>
  <c r="A1704" i="28"/>
  <c r="A1705" i="28"/>
  <c r="A1706" i="28"/>
  <c r="A1707" i="28"/>
  <c r="A1708" i="28"/>
  <c r="A1709" i="28"/>
  <c r="A1710" i="28"/>
  <c r="A1711" i="28"/>
  <c r="A1712" i="28"/>
  <c r="A1713" i="28"/>
  <c r="A1714" i="28"/>
  <c r="A1715" i="28"/>
  <c r="A1716" i="28"/>
  <c r="A1717" i="28"/>
  <c r="A1718" i="28"/>
  <c r="A1719" i="28"/>
  <c r="A1720" i="28"/>
  <c r="A1721" i="28"/>
  <c r="A1722" i="28"/>
  <c r="A1723" i="28"/>
  <c r="A1724" i="28"/>
  <c r="A1725" i="28"/>
  <c r="A1726" i="28"/>
  <c r="A1727" i="28"/>
  <c r="A1728" i="28"/>
  <c r="A1729" i="28"/>
  <c r="A1730" i="28"/>
  <c r="A1731" i="28"/>
  <c r="A1732" i="28"/>
  <c r="A1733" i="28"/>
  <c r="A1734" i="28"/>
  <c r="A1735" i="28"/>
  <c r="A1736" i="28"/>
  <c r="A1737" i="28"/>
  <c r="A1738" i="28"/>
  <c r="A1739" i="28"/>
  <c r="A1740" i="28"/>
  <c r="A1741" i="28"/>
  <c r="A1742" i="28"/>
  <c r="A1743" i="28"/>
  <c r="A1744" i="28"/>
  <c r="A1745" i="28"/>
  <c r="A1746" i="28"/>
  <c r="A1747" i="28"/>
  <c r="A1748" i="28"/>
  <c r="A1749" i="28"/>
  <c r="A1750" i="28"/>
  <c r="A1751" i="28"/>
  <c r="A1752" i="28"/>
  <c r="A1753" i="28"/>
  <c r="A1754" i="28"/>
  <c r="A1755" i="28"/>
  <c r="A1756" i="28"/>
  <c r="A1757" i="28"/>
  <c r="A1758" i="28"/>
  <c r="A1759" i="28"/>
  <c r="A1760" i="28"/>
  <c r="A1761" i="28"/>
  <c r="A1762" i="28"/>
  <c r="A1763" i="28"/>
  <c r="A1764" i="28"/>
  <c r="A1765" i="28"/>
  <c r="A1766" i="28"/>
  <c r="A1767" i="28"/>
  <c r="A1768" i="28"/>
  <c r="A1769" i="28"/>
  <c r="A1770" i="28"/>
  <c r="A1771" i="28"/>
  <c r="A1772" i="28"/>
  <c r="A1773" i="28"/>
  <c r="A1774" i="28"/>
  <c r="A1775" i="28"/>
  <c r="A1776" i="28"/>
  <c r="A1777" i="28"/>
  <c r="A1778" i="28"/>
  <c r="A1779" i="28"/>
  <c r="A1780" i="28"/>
  <c r="A1781" i="28"/>
  <c r="A1782" i="28"/>
  <c r="A1783" i="28"/>
  <c r="A1784" i="28"/>
  <c r="A1785" i="28"/>
  <c r="A1786" i="28"/>
  <c r="A1787" i="28"/>
  <c r="A1788" i="28"/>
  <c r="A1789" i="28"/>
  <c r="A1790" i="28"/>
  <c r="A1791" i="28"/>
  <c r="A1792" i="28"/>
  <c r="A1793" i="28"/>
  <c r="A1794" i="28"/>
  <c r="A1795" i="28"/>
  <c r="A1796" i="28"/>
  <c r="A1797" i="28"/>
  <c r="A1798" i="28"/>
  <c r="A1799" i="28"/>
  <c r="A1800" i="28"/>
  <c r="A1801" i="28"/>
  <c r="A1802" i="28"/>
  <c r="A1803" i="28"/>
  <c r="A1804" i="28"/>
  <c r="A1805" i="28"/>
  <c r="A1806" i="28"/>
  <c r="A1807" i="28"/>
  <c r="A1808" i="28"/>
  <c r="A1809" i="28"/>
  <c r="A1810" i="28"/>
  <c r="A1811" i="28"/>
  <c r="A1812" i="28"/>
  <c r="A1813" i="28"/>
  <c r="A1814" i="28"/>
  <c r="A1815" i="28"/>
  <c r="A1816" i="28"/>
  <c r="A1817" i="28"/>
  <c r="A1818" i="28"/>
  <c r="A1819" i="28"/>
  <c r="A1820" i="28"/>
  <c r="A1821" i="28"/>
  <c r="A1822" i="28"/>
  <c r="A1823" i="28"/>
  <c r="A1824" i="28"/>
  <c r="A1825" i="28"/>
  <c r="A1826" i="28"/>
  <c r="A1827" i="28"/>
  <c r="A1828" i="28"/>
  <c r="A1829" i="28"/>
  <c r="A1830" i="28"/>
  <c r="A1831" i="28"/>
  <c r="A1832" i="28"/>
  <c r="A1833" i="28"/>
  <c r="A1834" i="28"/>
  <c r="A1835" i="28"/>
  <c r="A1836" i="28"/>
  <c r="A1837" i="28"/>
  <c r="A1838" i="28"/>
  <c r="A1839" i="28"/>
  <c r="A1840" i="28"/>
  <c r="A1841" i="28"/>
  <c r="A1842" i="28"/>
  <c r="A1843" i="28"/>
  <c r="A1844" i="28"/>
  <c r="A1845" i="28"/>
  <c r="A1846" i="28"/>
  <c r="A1847" i="28"/>
  <c r="A1848" i="28"/>
  <c r="A1849" i="28"/>
  <c r="A1850" i="28"/>
  <c r="A1851" i="28"/>
  <c r="A1852" i="28"/>
  <c r="A1853" i="28"/>
  <c r="A1854" i="28"/>
  <c r="A1855" i="28"/>
  <c r="A1856" i="28"/>
  <c r="A1857" i="28"/>
  <c r="A1858" i="28"/>
  <c r="A1859" i="28"/>
  <c r="A1860" i="28"/>
  <c r="A1861" i="28"/>
  <c r="A1862" i="28"/>
  <c r="A1863" i="28"/>
  <c r="A1864" i="28"/>
  <c r="A1865" i="28"/>
  <c r="A1866" i="28"/>
  <c r="A1867" i="28"/>
  <c r="A1868" i="28"/>
  <c r="A1869" i="28"/>
  <c r="A1870" i="28"/>
  <c r="A1871" i="28"/>
  <c r="A1872" i="28"/>
  <c r="A1873" i="28"/>
  <c r="A1874" i="28"/>
  <c r="A1875" i="28"/>
  <c r="A1876" i="28"/>
  <c r="A1877" i="28"/>
  <c r="A1878" i="28"/>
  <c r="A1879" i="28"/>
  <c r="A1880" i="28"/>
  <c r="A1881" i="28"/>
  <c r="A1882" i="28"/>
  <c r="A1883" i="28"/>
  <c r="A1884" i="28"/>
  <c r="A1885" i="28"/>
  <c r="A1886" i="28"/>
  <c r="A1887" i="28"/>
  <c r="A1888" i="28"/>
  <c r="A1889" i="28"/>
  <c r="A1890" i="28"/>
  <c r="A1891" i="28"/>
  <c r="A1892" i="28"/>
  <c r="A1893" i="28"/>
  <c r="A1894" i="28"/>
  <c r="A1895" i="28"/>
  <c r="A1896" i="28"/>
  <c r="A1897" i="28"/>
  <c r="A1898" i="28"/>
  <c r="A1899" i="28"/>
  <c r="A1900" i="28"/>
  <c r="A1901" i="28"/>
  <c r="A1902" i="28"/>
  <c r="A1903" i="28"/>
  <c r="A1904" i="28"/>
  <c r="A1905" i="28"/>
  <c r="A1906" i="28"/>
  <c r="A1907" i="28"/>
  <c r="A1908" i="28"/>
  <c r="A1909" i="28"/>
  <c r="A1910" i="28"/>
  <c r="A1911" i="28"/>
  <c r="A1912" i="28"/>
  <c r="A1913" i="28"/>
  <c r="A1914" i="28"/>
  <c r="A1915" i="28"/>
  <c r="A1916" i="28"/>
  <c r="A1917" i="28"/>
  <c r="A1918" i="28"/>
  <c r="A1919" i="28"/>
  <c r="A1920" i="28"/>
  <c r="A1921" i="28"/>
  <c r="A1922" i="28"/>
  <c r="A1923" i="28"/>
  <c r="A1924" i="28"/>
  <c r="A1925" i="28"/>
  <c r="A1926" i="28"/>
  <c r="A1927" i="28"/>
  <c r="A1928" i="28"/>
  <c r="A1929" i="28"/>
  <c r="A1930" i="28"/>
  <c r="A1931" i="28"/>
  <c r="A1932" i="28"/>
  <c r="A1933" i="28"/>
  <c r="A1934" i="28"/>
  <c r="A1935" i="28"/>
  <c r="A1936" i="28"/>
  <c r="A1937" i="28"/>
  <c r="A1938" i="28"/>
  <c r="A1939" i="28"/>
  <c r="A1940" i="28"/>
  <c r="A1941" i="28"/>
  <c r="A1942" i="28"/>
  <c r="A1943" i="28"/>
  <c r="A1944" i="28"/>
  <c r="A1945" i="28"/>
  <c r="A1946" i="28"/>
  <c r="A1947" i="28"/>
  <c r="A1948" i="28"/>
  <c r="A1949" i="28"/>
  <c r="A1950" i="28"/>
  <c r="A1951" i="28"/>
  <c r="A1952" i="28"/>
  <c r="A1953" i="28"/>
  <c r="A1954" i="28"/>
  <c r="A1955" i="28"/>
  <c r="A1956" i="28"/>
  <c r="A1957" i="28"/>
  <c r="A1958" i="28"/>
  <c r="A1959" i="28"/>
  <c r="A1960" i="28"/>
  <c r="A1961" i="28"/>
  <c r="A1962" i="28"/>
  <c r="A1963" i="28"/>
  <c r="A1964" i="28"/>
  <c r="A1965" i="28"/>
  <c r="A1966" i="28"/>
  <c r="A1967" i="28"/>
  <c r="A1968" i="28"/>
  <c r="A1969" i="28"/>
  <c r="A1970" i="28"/>
  <c r="A1971" i="28"/>
  <c r="A1972" i="28"/>
  <c r="A1973" i="28"/>
  <c r="A1974" i="28"/>
  <c r="A1975" i="28"/>
  <c r="A1976" i="28"/>
  <c r="A1977" i="28"/>
  <c r="A1978" i="28"/>
  <c r="A1979" i="28"/>
  <c r="A1980" i="28"/>
  <c r="A1981" i="28"/>
  <c r="A1982" i="28"/>
  <c r="A1983" i="28"/>
  <c r="A1984" i="28"/>
  <c r="A1985" i="28"/>
  <c r="A1986" i="28"/>
  <c r="A1987" i="28"/>
  <c r="A1988" i="28"/>
  <c r="A1989" i="28"/>
  <c r="A1990" i="28"/>
  <c r="A1991" i="28"/>
  <c r="A1992" i="28"/>
  <c r="A1993" i="28"/>
  <c r="A1994" i="28"/>
  <c r="A1995" i="28"/>
  <c r="A1996" i="28"/>
  <c r="A1997" i="28"/>
  <c r="A1998" i="28"/>
  <c r="A1999" i="28"/>
  <c r="A2000" i="28"/>
  <c r="A2001" i="28"/>
  <c r="A2002" i="28"/>
  <c r="A2003" i="28"/>
  <c r="A2004" i="28"/>
  <c r="A2005" i="28"/>
  <c r="A2006" i="28"/>
  <c r="A2007" i="28"/>
  <c r="A2008" i="28"/>
  <c r="A2009" i="28"/>
  <c r="A2010" i="28"/>
  <c r="A2011" i="28"/>
  <c r="A2012" i="28"/>
  <c r="A2013" i="28"/>
  <c r="A2014" i="28"/>
  <c r="A2015" i="28"/>
  <c r="A2016" i="28"/>
  <c r="A2017" i="28"/>
  <c r="A2018" i="28"/>
  <c r="A2019" i="28"/>
  <c r="A2020" i="28"/>
  <c r="A2021" i="28"/>
  <c r="A2022" i="28"/>
  <c r="A2023" i="28"/>
  <c r="A2024" i="28"/>
  <c r="A2025" i="28"/>
  <c r="A2026" i="28"/>
  <c r="A2027" i="28"/>
  <c r="A2028" i="28"/>
  <c r="A2029" i="28"/>
  <c r="A2030" i="28"/>
  <c r="A2031" i="28"/>
  <c r="A2032" i="28"/>
  <c r="A2033" i="28"/>
  <c r="A2034" i="28"/>
  <c r="A2035" i="28"/>
  <c r="A2036" i="28"/>
  <c r="A2037" i="28"/>
  <c r="A2038" i="28"/>
  <c r="A2039" i="28"/>
  <c r="A2040" i="28"/>
  <c r="A2041" i="28"/>
  <c r="A2042" i="28"/>
  <c r="A2043" i="28"/>
  <c r="A2044" i="28"/>
  <c r="A2045" i="28"/>
  <c r="A2046" i="28"/>
  <c r="A2047" i="28"/>
  <c r="A2048" i="28"/>
  <c r="A2049" i="28"/>
  <c r="A2050" i="28"/>
  <c r="A2051" i="28"/>
  <c r="A2052" i="28"/>
  <c r="A2053" i="28"/>
  <c r="A2054" i="28"/>
  <c r="A2055" i="28"/>
  <c r="A2056" i="28"/>
  <c r="A2057" i="28"/>
  <c r="A2058" i="28"/>
  <c r="A2059" i="28"/>
  <c r="A2060" i="28"/>
  <c r="A2061" i="28"/>
  <c r="A2062" i="28"/>
  <c r="A2063" i="28"/>
  <c r="A2064" i="28"/>
  <c r="A2065" i="28"/>
  <c r="A2066" i="28"/>
  <c r="A2067" i="28"/>
  <c r="A2068" i="28"/>
  <c r="A2069" i="28"/>
  <c r="A2070" i="28"/>
  <c r="A2071" i="28"/>
  <c r="A2072" i="28"/>
  <c r="A2073" i="28"/>
  <c r="A2074" i="28"/>
  <c r="A2075" i="28"/>
  <c r="A2076" i="28"/>
  <c r="A2077" i="28"/>
  <c r="A2078" i="28"/>
  <c r="A2079" i="28"/>
  <c r="A2080" i="28"/>
  <c r="A2081" i="28"/>
  <c r="A2082" i="28"/>
  <c r="A2083" i="28"/>
  <c r="A2084" i="28"/>
  <c r="A2085" i="28"/>
  <c r="A2086" i="28"/>
  <c r="A2087" i="28"/>
  <c r="A2088" i="28"/>
  <c r="A2089" i="28"/>
  <c r="A2090" i="28"/>
  <c r="A2091" i="28"/>
  <c r="A2092" i="28"/>
  <c r="A2093" i="28"/>
  <c r="A2094" i="28"/>
  <c r="A2095" i="28"/>
  <c r="A2096" i="28"/>
  <c r="A2097" i="28"/>
  <c r="A2098" i="28"/>
  <c r="A2099" i="28"/>
  <c r="A2100" i="28"/>
  <c r="A2101" i="28"/>
  <c r="A2102" i="28"/>
  <c r="A2103" i="28"/>
  <c r="A2104" i="28"/>
  <c r="A2105" i="28"/>
  <c r="A2106" i="28"/>
  <c r="A2107" i="28"/>
  <c r="A2108" i="28"/>
  <c r="A2109" i="28"/>
  <c r="A2110" i="28"/>
  <c r="A2111" i="28"/>
  <c r="A2112" i="28"/>
  <c r="A2113" i="28"/>
  <c r="A2114" i="28"/>
  <c r="A2115" i="28"/>
  <c r="A2116" i="28"/>
  <c r="A2117" i="28"/>
  <c r="A2118" i="28"/>
  <c r="A2119" i="28"/>
  <c r="A2120" i="28"/>
  <c r="A2121" i="28"/>
  <c r="A2122" i="28"/>
  <c r="A2123" i="28"/>
  <c r="A2124" i="28"/>
  <c r="A2125" i="28"/>
  <c r="A2126" i="28"/>
  <c r="A2127" i="28"/>
  <c r="A2128" i="28"/>
  <c r="A2129" i="28"/>
  <c r="A2130" i="28"/>
  <c r="A2131" i="28"/>
  <c r="A2132" i="28"/>
  <c r="A2133" i="28"/>
  <c r="A2134" i="28"/>
  <c r="A2135" i="28"/>
  <c r="A2136" i="28"/>
  <c r="A2137" i="28"/>
  <c r="A2138" i="28"/>
  <c r="A2139" i="28"/>
  <c r="A2140" i="28"/>
  <c r="A2141" i="28"/>
  <c r="A2142" i="28"/>
  <c r="A2143" i="28"/>
  <c r="A2144" i="28"/>
  <c r="A2145" i="28"/>
  <c r="A2146" i="28"/>
  <c r="A2147" i="28"/>
  <c r="A2148" i="28"/>
  <c r="A2149" i="28"/>
  <c r="A2150" i="28"/>
  <c r="A2151" i="28"/>
  <c r="A2152" i="28"/>
  <c r="A2153" i="28"/>
  <c r="A2154" i="28"/>
  <c r="A2155" i="28"/>
  <c r="A2156" i="28"/>
  <c r="A2157" i="28"/>
  <c r="A2158" i="28"/>
  <c r="A2159" i="28"/>
  <c r="A2160" i="28"/>
  <c r="A2161" i="28"/>
  <c r="A2162" i="28"/>
  <c r="A2163" i="28"/>
  <c r="A2164" i="28"/>
  <c r="A2165" i="28"/>
  <c r="A2166" i="28"/>
  <c r="A2167" i="28"/>
  <c r="A2168" i="28"/>
  <c r="A2169" i="28"/>
  <c r="A2170" i="28"/>
  <c r="A2171" i="28"/>
  <c r="A2172" i="28"/>
  <c r="A2173" i="28"/>
  <c r="A2174" i="28"/>
  <c r="A2175" i="28"/>
  <c r="A2176" i="28"/>
  <c r="A2177" i="28"/>
  <c r="A2178" i="28"/>
  <c r="A2179" i="28"/>
  <c r="A2180" i="28"/>
  <c r="A2181" i="28"/>
  <c r="A2182" i="28"/>
  <c r="A2183" i="28"/>
  <c r="A2184" i="28"/>
  <c r="A2185" i="28"/>
  <c r="A2186" i="28"/>
  <c r="A2187" i="28"/>
  <c r="A2188" i="28"/>
  <c r="A2189" i="28"/>
  <c r="A2190" i="28"/>
  <c r="A2191" i="28"/>
  <c r="A2192" i="28"/>
  <c r="A2193" i="28"/>
  <c r="A2194" i="28"/>
  <c r="A2195" i="28"/>
  <c r="A2196" i="28"/>
  <c r="A2197" i="28"/>
  <c r="A2198" i="28"/>
  <c r="A2199" i="28"/>
  <c r="A2200" i="28"/>
  <c r="A2201" i="28"/>
  <c r="A2202" i="28"/>
  <c r="A2203" i="28"/>
  <c r="A2204" i="28"/>
  <c r="A2205" i="28"/>
  <c r="A2206" i="28"/>
  <c r="A2207" i="28"/>
  <c r="A2208" i="28"/>
  <c r="A2209" i="28"/>
  <c r="A2210" i="28"/>
  <c r="A2211" i="28"/>
  <c r="A2212" i="28"/>
  <c r="A2213" i="28"/>
  <c r="A2214" i="28"/>
  <c r="A2215" i="28"/>
  <c r="A2216" i="28"/>
  <c r="A2217" i="28"/>
  <c r="A2218" i="28"/>
  <c r="A2219" i="28"/>
  <c r="A2220" i="28"/>
  <c r="A2221" i="28"/>
  <c r="A2222" i="28"/>
  <c r="A2223" i="28"/>
  <c r="A2224" i="28"/>
  <c r="A2225" i="28"/>
  <c r="A2226" i="28"/>
  <c r="A2227" i="28"/>
  <c r="A2228" i="28"/>
  <c r="A2229" i="28"/>
  <c r="A2230" i="28"/>
  <c r="A2231" i="28"/>
  <c r="A2232" i="28"/>
  <c r="A2233" i="28"/>
  <c r="A2234" i="28"/>
  <c r="A2235" i="28"/>
  <c r="A2236" i="28"/>
  <c r="A2237" i="28"/>
  <c r="A2238" i="28"/>
  <c r="A2239" i="28"/>
  <c r="A2240" i="28"/>
  <c r="A2241" i="28"/>
  <c r="A2242" i="28"/>
  <c r="A2243" i="28"/>
  <c r="A2244" i="28"/>
  <c r="A2245" i="28"/>
  <c r="A2246" i="28"/>
  <c r="A2247" i="28"/>
  <c r="A2248" i="28"/>
  <c r="A2249" i="28"/>
  <c r="A2250" i="28"/>
  <c r="A2251" i="28"/>
  <c r="A2252" i="28"/>
  <c r="A2253" i="28"/>
  <c r="A2254" i="28"/>
  <c r="A2255" i="28"/>
  <c r="A2256" i="28"/>
  <c r="A2257" i="28"/>
  <c r="A2258" i="28"/>
  <c r="A2259" i="28"/>
  <c r="A2260" i="28"/>
  <c r="A2261" i="28"/>
  <c r="A2262" i="28"/>
  <c r="A2263" i="28"/>
  <c r="A2264" i="28"/>
  <c r="A2265" i="28"/>
  <c r="A2266" i="28"/>
  <c r="A2267" i="28"/>
  <c r="A2268" i="28"/>
  <c r="A2269" i="28"/>
  <c r="A2270" i="28"/>
  <c r="A2271" i="28"/>
  <c r="A2272" i="28"/>
  <c r="A2273" i="28"/>
  <c r="A2274" i="28"/>
  <c r="A2275" i="28"/>
  <c r="A2276" i="28"/>
  <c r="A2277" i="28"/>
  <c r="A2278" i="28"/>
  <c r="A2279" i="28"/>
  <c r="A2280" i="28"/>
  <c r="A2281" i="28"/>
  <c r="A2282" i="28"/>
  <c r="A2283" i="28"/>
  <c r="A2284" i="28"/>
  <c r="A2285" i="28"/>
  <c r="A2286" i="28"/>
  <c r="A2287" i="28"/>
  <c r="A2288" i="28"/>
  <c r="A2289" i="28"/>
  <c r="A2290" i="28"/>
  <c r="A2291" i="28"/>
  <c r="A2292" i="28"/>
  <c r="A2293" i="28"/>
  <c r="A2294" i="28"/>
  <c r="A2295" i="28"/>
  <c r="A2296" i="28"/>
  <c r="A2297" i="28"/>
  <c r="A2298" i="28"/>
  <c r="A2299" i="28"/>
  <c r="A2300" i="28"/>
  <c r="A2301" i="28"/>
  <c r="A2302" i="28"/>
  <c r="A2303" i="28"/>
  <c r="A2304" i="28"/>
  <c r="A2305" i="28"/>
  <c r="A2306" i="28"/>
  <c r="A2307" i="28"/>
  <c r="A2308" i="28"/>
  <c r="A2309" i="28"/>
  <c r="A2310" i="28"/>
  <c r="A2311" i="28"/>
  <c r="A2312" i="28"/>
  <c r="A2313" i="28"/>
  <c r="A2314" i="28"/>
  <c r="A2315" i="28"/>
  <c r="A2316" i="28"/>
  <c r="A2317" i="28"/>
  <c r="A2318" i="28"/>
  <c r="A2319" i="28"/>
  <c r="A2320" i="28"/>
  <c r="A2321" i="28"/>
  <c r="A2322" i="28"/>
  <c r="A2323" i="28"/>
  <c r="A2324" i="28"/>
  <c r="A2325" i="28"/>
  <c r="A2326" i="28"/>
  <c r="A2327" i="28"/>
  <c r="A2328" i="28"/>
  <c r="A2329" i="28"/>
  <c r="A2330" i="28"/>
  <c r="A2331" i="28"/>
  <c r="A2332" i="28"/>
  <c r="A2333" i="28"/>
  <c r="A2334" i="28"/>
  <c r="A2335" i="28"/>
  <c r="A2336" i="28"/>
  <c r="A2337" i="28"/>
  <c r="A2338" i="28"/>
  <c r="A2339" i="28"/>
  <c r="A2340" i="28"/>
  <c r="A2341" i="28"/>
  <c r="A2342" i="28"/>
  <c r="A2343" i="28"/>
  <c r="A2344" i="28"/>
  <c r="A2345" i="28"/>
  <c r="A2346" i="28"/>
  <c r="A2347" i="28"/>
  <c r="A2348" i="28"/>
  <c r="A2349" i="28"/>
  <c r="A2350" i="28"/>
  <c r="A2351" i="28"/>
  <c r="A2352" i="28"/>
  <c r="A2353" i="28"/>
  <c r="A2354" i="28"/>
  <c r="A2355" i="28"/>
  <c r="A2356" i="28"/>
  <c r="A2357" i="28"/>
  <c r="A2358" i="28"/>
  <c r="A2359" i="28"/>
  <c r="A2360" i="28"/>
  <c r="A2361" i="28"/>
  <c r="A2362" i="28"/>
  <c r="A2363" i="28"/>
  <c r="A2364" i="28"/>
  <c r="A2365" i="28"/>
  <c r="A2366" i="28"/>
  <c r="A2367" i="28"/>
  <c r="A2368" i="28"/>
  <c r="A2369" i="28"/>
  <c r="A2370" i="28"/>
  <c r="A2371" i="28"/>
  <c r="A2372" i="28"/>
  <c r="A2373" i="28"/>
  <c r="A2374" i="28"/>
  <c r="A2375" i="28"/>
  <c r="A2376" i="28"/>
  <c r="A2377" i="28"/>
  <c r="A2378" i="28"/>
  <c r="A2379" i="28"/>
  <c r="A2380" i="28"/>
  <c r="A2381" i="28"/>
  <c r="A2382" i="28"/>
  <c r="A2383" i="28"/>
  <c r="A2384" i="28"/>
  <c r="A2385" i="28"/>
  <c r="A2386" i="28"/>
  <c r="A2387" i="28"/>
  <c r="A2388" i="28"/>
  <c r="A2389" i="28"/>
  <c r="A2390" i="28"/>
  <c r="A2391" i="28"/>
  <c r="A2392" i="28"/>
  <c r="A2393" i="28"/>
  <c r="A2394" i="28"/>
  <c r="A2395" i="28"/>
  <c r="A2396" i="28"/>
  <c r="A2397" i="28"/>
  <c r="A2398" i="28"/>
  <c r="A2399" i="28"/>
  <c r="A2400" i="28"/>
  <c r="A2401" i="28"/>
  <c r="A2402" i="28"/>
  <c r="A2403" i="28"/>
  <c r="A2404" i="28"/>
  <c r="A2405" i="28"/>
  <c r="A2406" i="28"/>
  <c r="A2407" i="28"/>
  <c r="A2408" i="28"/>
  <c r="A2409" i="28"/>
  <c r="A2410" i="28"/>
  <c r="A2411" i="28"/>
  <c r="A2412" i="28"/>
  <c r="A2413" i="28"/>
  <c r="A2414" i="28"/>
  <c r="A2415" i="28"/>
  <c r="A2416" i="28"/>
  <c r="A2417" i="28"/>
  <c r="A2418" i="28"/>
  <c r="A2419" i="28"/>
  <c r="A2420" i="28"/>
  <c r="A2421" i="28"/>
  <c r="A2422" i="28"/>
  <c r="A2423" i="28"/>
  <c r="A2424" i="28"/>
  <c r="A2425" i="28"/>
  <c r="A2426" i="28"/>
  <c r="A2427" i="28"/>
  <c r="A2428" i="28"/>
  <c r="A2429" i="28"/>
  <c r="A2430" i="28"/>
  <c r="A2431" i="28"/>
  <c r="A2432" i="28"/>
  <c r="A2433" i="28"/>
  <c r="A2434" i="28"/>
  <c r="A2435" i="28"/>
  <c r="A2436" i="28"/>
  <c r="A2437" i="28"/>
  <c r="A2438" i="28"/>
  <c r="A2439" i="28"/>
  <c r="A2440" i="28"/>
  <c r="A2441" i="28"/>
  <c r="A2442" i="28"/>
  <c r="A2443" i="28"/>
  <c r="A2444" i="28"/>
  <c r="A2445" i="28"/>
  <c r="A2446" i="28"/>
  <c r="A2447" i="28"/>
  <c r="A2448" i="28"/>
  <c r="A2449" i="28"/>
  <c r="A2450" i="28"/>
  <c r="A2451" i="28"/>
  <c r="A2452" i="28"/>
  <c r="A2453" i="28"/>
  <c r="A2454" i="28"/>
  <c r="A2455" i="28"/>
  <c r="A2456" i="28"/>
  <c r="A2457" i="28"/>
  <c r="A2458" i="28"/>
  <c r="A2459" i="28"/>
  <c r="A2460" i="28"/>
  <c r="A2461" i="28"/>
  <c r="A2462" i="28"/>
  <c r="A2463" i="28"/>
  <c r="A2464" i="28"/>
  <c r="A2465" i="28"/>
  <c r="A2466" i="28"/>
  <c r="A2467" i="28"/>
  <c r="A2468" i="28"/>
  <c r="A2469" i="28"/>
  <c r="A2470" i="28"/>
  <c r="A2471" i="28"/>
  <c r="A2472" i="28"/>
  <c r="A2473" i="28"/>
  <c r="A2474" i="28"/>
  <c r="A2475" i="28"/>
  <c r="A2476" i="28"/>
  <c r="A2477" i="28"/>
  <c r="A2478" i="28"/>
  <c r="A2479" i="28"/>
  <c r="A2480" i="28"/>
  <c r="A2481" i="28"/>
  <c r="A2482" i="28"/>
  <c r="A2483" i="28"/>
  <c r="A2484" i="28"/>
  <c r="A2485" i="28"/>
  <c r="A2486" i="28"/>
  <c r="A2487" i="28"/>
  <c r="A2488" i="28"/>
  <c r="A2489" i="28"/>
  <c r="A2490" i="28"/>
  <c r="A2491" i="28"/>
  <c r="A2492" i="28"/>
  <c r="A2493" i="28"/>
  <c r="A2494" i="28"/>
  <c r="A2495" i="28"/>
  <c r="A2496" i="28"/>
  <c r="A2497" i="28"/>
  <c r="A2498" i="28"/>
  <c r="A2499" i="28"/>
  <c r="A2500" i="28"/>
  <c r="A2501" i="28"/>
  <c r="A2502" i="28"/>
  <c r="A2503" i="28"/>
  <c r="A2504" i="28"/>
  <c r="A2505" i="28"/>
  <c r="A2506" i="28"/>
  <c r="A2507" i="28"/>
  <c r="A2508" i="28"/>
  <c r="A2509" i="28"/>
  <c r="A2510" i="28"/>
  <c r="A2511" i="28"/>
  <c r="A2512" i="28"/>
  <c r="A2513" i="28"/>
  <c r="A2514" i="28"/>
  <c r="A2515" i="28"/>
  <c r="A2516" i="28"/>
  <c r="A2517" i="28"/>
  <c r="A2518" i="28"/>
  <c r="A2519" i="28"/>
  <c r="A2520" i="28"/>
  <c r="A2521" i="28"/>
  <c r="A2522" i="28"/>
  <c r="A2523" i="28"/>
  <c r="A2524" i="28"/>
  <c r="A2525" i="28"/>
  <c r="A2526" i="28"/>
  <c r="A2527" i="28"/>
  <c r="A2528" i="28"/>
  <c r="A2529" i="28"/>
  <c r="A2530" i="28"/>
  <c r="A2531" i="28"/>
  <c r="A2532" i="28"/>
  <c r="A2533" i="28"/>
  <c r="A2534" i="28"/>
  <c r="A2535" i="28"/>
  <c r="A2536" i="28"/>
  <c r="A2537" i="28"/>
  <c r="A2538" i="28"/>
  <c r="A2539" i="28"/>
  <c r="A2540" i="28"/>
  <c r="A2541" i="28"/>
  <c r="A2542" i="28"/>
  <c r="A2543" i="28"/>
  <c r="A2544" i="28"/>
  <c r="A2545" i="28"/>
  <c r="A2546" i="28"/>
  <c r="A2547" i="28"/>
  <c r="A2548" i="28"/>
  <c r="A2549" i="28"/>
  <c r="A2550" i="28"/>
  <c r="A2551" i="28"/>
  <c r="A2552" i="28"/>
  <c r="A2553" i="28"/>
  <c r="A2554" i="28"/>
  <c r="A2555" i="28"/>
  <c r="A2556" i="28"/>
  <c r="A2557" i="28"/>
  <c r="A2558" i="28"/>
  <c r="A2559" i="28"/>
  <c r="A2560" i="28"/>
  <c r="A2561" i="28"/>
  <c r="A2562" i="28"/>
  <c r="A2563" i="28"/>
  <c r="A2564" i="28"/>
  <c r="A2565" i="28"/>
  <c r="A2566" i="28"/>
  <c r="A2567" i="28"/>
  <c r="A2568" i="28"/>
  <c r="A2569" i="28"/>
  <c r="A2570" i="28"/>
  <c r="A2571" i="28"/>
  <c r="A2572" i="28"/>
  <c r="A2573" i="28"/>
  <c r="A2574" i="28"/>
  <c r="A2575" i="28"/>
  <c r="A2576" i="28"/>
  <c r="A2577" i="28"/>
  <c r="A2578" i="28"/>
  <c r="A2579" i="28"/>
  <c r="A2580" i="28"/>
  <c r="A2581" i="28"/>
  <c r="A2582" i="28"/>
  <c r="A2583" i="28"/>
  <c r="A2584" i="28"/>
  <c r="A2585" i="28"/>
  <c r="A2586" i="28"/>
  <c r="A2587" i="28"/>
  <c r="A2588" i="28"/>
  <c r="A2589" i="28"/>
  <c r="A2590" i="28"/>
  <c r="A2591" i="28"/>
  <c r="A2592" i="28"/>
  <c r="A2593" i="28"/>
  <c r="A2594" i="28"/>
  <c r="A2595" i="28"/>
  <c r="A2596" i="28"/>
  <c r="A2597" i="28"/>
  <c r="A2598" i="28"/>
  <c r="A2599" i="28"/>
  <c r="A2600" i="28"/>
  <c r="A2601" i="28"/>
  <c r="A2602" i="28"/>
  <c r="A2603" i="28"/>
  <c r="A2604" i="28"/>
  <c r="A2605" i="28"/>
  <c r="A2606" i="28"/>
  <c r="A2607" i="28"/>
  <c r="A2608" i="28"/>
  <c r="A2609" i="28"/>
  <c r="A2610" i="28"/>
  <c r="A2611" i="28"/>
  <c r="A2612" i="28"/>
  <c r="A2613" i="28"/>
  <c r="A2614" i="28"/>
  <c r="A2615" i="28"/>
  <c r="A2616" i="28"/>
  <c r="A2617" i="28"/>
  <c r="A2618" i="28"/>
  <c r="A2619" i="28"/>
  <c r="A2620" i="28"/>
  <c r="A2621" i="28"/>
  <c r="A2622" i="28"/>
  <c r="A2623" i="28"/>
  <c r="A2624" i="28"/>
  <c r="A2625" i="28"/>
  <c r="A2626" i="28"/>
  <c r="A2627" i="28"/>
  <c r="A2628" i="28"/>
  <c r="A2629" i="28"/>
  <c r="A2630" i="28"/>
  <c r="A2631" i="28"/>
  <c r="A2632" i="28"/>
  <c r="A2633" i="28"/>
  <c r="A2634" i="28"/>
  <c r="A2635" i="28"/>
  <c r="A2636" i="28"/>
  <c r="A2637" i="28"/>
  <c r="A2638" i="28"/>
  <c r="A2639" i="28"/>
  <c r="A2640" i="28"/>
  <c r="A2641" i="28"/>
  <c r="A2642" i="28"/>
  <c r="A2643" i="28"/>
  <c r="A2644" i="28"/>
  <c r="A2645" i="28"/>
  <c r="A2646" i="28"/>
  <c r="A2647" i="28"/>
  <c r="A2648" i="28"/>
  <c r="A2649" i="28"/>
  <c r="A2650" i="28"/>
  <c r="A2651" i="28"/>
  <c r="A2652" i="28"/>
  <c r="A2653" i="28"/>
  <c r="A2654" i="28"/>
  <c r="A2655" i="28"/>
  <c r="A2656" i="28"/>
  <c r="A2657" i="28"/>
  <c r="A2658" i="28"/>
  <c r="A2659" i="28"/>
  <c r="A2660" i="28"/>
  <c r="A2661" i="28"/>
  <c r="A2662" i="28"/>
  <c r="A2663" i="28"/>
  <c r="A2664" i="28"/>
  <c r="A2665" i="28"/>
  <c r="A2666" i="28"/>
  <c r="A2667" i="28"/>
  <c r="A2668" i="28"/>
  <c r="A2669" i="28"/>
  <c r="A2670" i="28"/>
  <c r="A2671" i="28"/>
  <c r="A2672" i="28"/>
  <c r="A2673" i="28"/>
  <c r="A2674" i="28"/>
  <c r="A2675" i="28"/>
  <c r="A2676" i="28"/>
  <c r="A2677" i="28"/>
  <c r="A2678" i="28"/>
  <c r="A2679" i="28"/>
  <c r="A2680" i="28"/>
  <c r="A2681" i="28"/>
  <c r="A2682" i="28"/>
  <c r="A2683" i="28"/>
  <c r="A2684" i="28"/>
  <c r="A2685" i="28"/>
  <c r="A2686" i="28"/>
  <c r="A2687" i="28"/>
  <c r="A2688" i="28"/>
  <c r="A2689" i="28"/>
  <c r="A2690" i="28"/>
  <c r="A2691" i="28"/>
  <c r="A2692" i="28"/>
  <c r="A2693" i="28"/>
  <c r="A2694" i="28"/>
  <c r="A2695" i="28"/>
  <c r="A2696" i="28"/>
  <c r="A2697" i="28"/>
  <c r="A2698" i="28"/>
  <c r="A2699" i="28"/>
  <c r="A2700" i="28"/>
  <c r="A2701" i="28"/>
  <c r="A2702" i="28"/>
  <c r="A2703" i="28"/>
  <c r="A2704" i="28"/>
  <c r="A2705" i="28"/>
  <c r="A2706" i="28"/>
  <c r="A2707" i="28"/>
  <c r="A2708" i="28"/>
  <c r="A2709" i="28"/>
  <c r="A2710" i="28"/>
  <c r="A2711" i="28"/>
  <c r="A2712" i="28"/>
  <c r="A2713" i="28"/>
  <c r="A2714" i="28"/>
  <c r="A2715" i="28"/>
  <c r="A2716" i="28"/>
  <c r="A2717" i="28"/>
  <c r="A2718" i="28"/>
  <c r="A2719" i="28"/>
  <c r="A2720" i="28"/>
  <c r="A2721" i="28"/>
  <c r="A2722" i="28"/>
  <c r="A2723" i="28"/>
  <c r="A2724" i="28"/>
  <c r="A2725" i="28"/>
  <c r="A2726" i="28"/>
  <c r="A2727" i="28"/>
  <c r="A2728" i="28"/>
  <c r="A2729" i="28"/>
  <c r="A2730" i="28"/>
  <c r="A2731" i="28"/>
  <c r="A2732" i="28"/>
  <c r="A2733" i="28"/>
  <c r="A2734" i="28"/>
  <c r="A2735" i="28"/>
  <c r="A2736" i="28"/>
  <c r="A2737" i="28"/>
  <c r="A2738" i="28"/>
  <c r="A2739" i="28"/>
  <c r="A2740" i="28"/>
  <c r="A2741" i="28"/>
  <c r="A2742" i="28"/>
  <c r="A2743" i="28"/>
  <c r="A2744" i="28"/>
  <c r="A2745" i="28"/>
  <c r="A2746" i="28"/>
  <c r="A2747" i="28"/>
  <c r="A2748" i="28"/>
  <c r="A2749" i="28"/>
  <c r="A2750" i="28"/>
  <c r="A2751" i="28"/>
  <c r="A2752" i="28"/>
  <c r="A2753" i="28"/>
  <c r="A2754" i="28"/>
  <c r="A2755" i="28"/>
  <c r="A2756" i="28"/>
  <c r="A2757" i="28"/>
  <c r="A2758" i="28"/>
  <c r="A2759" i="28"/>
  <c r="A2760" i="28"/>
  <c r="A2761" i="28"/>
  <c r="A2762" i="28"/>
  <c r="A2763" i="28"/>
  <c r="A2764" i="28"/>
  <c r="A2765" i="28"/>
  <c r="A2766" i="28"/>
  <c r="A2767" i="28"/>
  <c r="A2768" i="28"/>
  <c r="A2769" i="28"/>
  <c r="A2770" i="28"/>
  <c r="A2771" i="28"/>
  <c r="A2772" i="28"/>
  <c r="A2773" i="28"/>
  <c r="A2774" i="28"/>
  <c r="A2775" i="28"/>
  <c r="A2776" i="28"/>
  <c r="A2777" i="28"/>
  <c r="A2778" i="28"/>
  <c r="A2779" i="28"/>
  <c r="A2780" i="28"/>
  <c r="A2781" i="28"/>
  <c r="A2782" i="28"/>
  <c r="A2783" i="28"/>
  <c r="A2784" i="28"/>
  <c r="A2785" i="28"/>
  <c r="A2786" i="28"/>
  <c r="A2787" i="28"/>
  <c r="A2788" i="28"/>
  <c r="A2789" i="28"/>
  <c r="A2790" i="28"/>
  <c r="A2791" i="28"/>
  <c r="A2792" i="28"/>
  <c r="A2793" i="28"/>
  <c r="A2794" i="28"/>
  <c r="A2795" i="28"/>
  <c r="A2796" i="28"/>
  <c r="A2797" i="28"/>
  <c r="A2798" i="28"/>
  <c r="A2799" i="28"/>
  <c r="A2800" i="28"/>
  <c r="A2801" i="28"/>
  <c r="A2802" i="28"/>
  <c r="A2803" i="28"/>
  <c r="A2804" i="28"/>
  <c r="A2805" i="28"/>
  <c r="A2806" i="28"/>
  <c r="A2807" i="28"/>
  <c r="A2808" i="28"/>
  <c r="A2809" i="28"/>
  <c r="A2810" i="28"/>
  <c r="A2811" i="28"/>
  <c r="A2812" i="28"/>
  <c r="A2813" i="28"/>
  <c r="A2814" i="28"/>
  <c r="A2815" i="28"/>
  <c r="A2816" i="28"/>
  <c r="A2817" i="28"/>
  <c r="A2818" i="28"/>
  <c r="A2819" i="28"/>
  <c r="A2820" i="28"/>
  <c r="A2821" i="28"/>
  <c r="A2822" i="28"/>
  <c r="A2823" i="28"/>
  <c r="A2824" i="28"/>
  <c r="A2825" i="28"/>
  <c r="A2826" i="28"/>
  <c r="A2827" i="28"/>
  <c r="A2828" i="28"/>
  <c r="A2829" i="28"/>
  <c r="A2830" i="28"/>
  <c r="A2831" i="28"/>
  <c r="A2832" i="28"/>
  <c r="A2833" i="28"/>
  <c r="A2834" i="28"/>
  <c r="A2835" i="28"/>
  <c r="A2836" i="28"/>
  <c r="A2837" i="28"/>
  <c r="A2838" i="28"/>
  <c r="A2839" i="28"/>
  <c r="A2840" i="28"/>
  <c r="A2841" i="28"/>
  <c r="A2842" i="28"/>
  <c r="A2843" i="28"/>
  <c r="A2844" i="28"/>
  <c r="A2845" i="28"/>
  <c r="A2846" i="28"/>
  <c r="A2847" i="28"/>
  <c r="A2848" i="28"/>
  <c r="A2849" i="28"/>
  <c r="A2850" i="28"/>
  <c r="A2851" i="28"/>
  <c r="A2852" i="28"/>
  <c r="A2853" i="28"/>
  <c r="A2854" i="28"/>
  <c r="A2855" i="28"/>
  <c r="A2856" i="28"/>
  <c r="A2857" i="28"/>
  <c r="A2858" i="28"/>
  <c r="A2859" i="28"/>
  <c r="A2860" i="28"/>
  <c r="A2861" i="28"/>
  <c r="A2862" i="28"/>
  <c r="A2863" i="28"/>
  <c r="A2864" i="28"/>
  <c r="A2865" i="28"/>
  <c r="A2866" i="28"/>
  <c r="A2867" i="28"/>
  <c r="A2868" i="28"/>
  <c r="A2869" i="28"/>
  <c r="A2870" i="28"/>
  <c r="A2871" i="28"/>
  <c r="A2872" i="28"/>
  <c r="A2873" i="28"/>
  <c r="A2874" i="28"/>
  <c r="A2875" i="28"/>
  <c r="A2876" i="28"/>
  <c r="A2877" i="28"/>
  <c r="A2878" i="28"/>
  <c r="A2879" i="28"/>
  <c r="A2880" i="28"/>
  <c r="A2881" i="28"/>
  <c r="A2882" i="28"/>
  <c r="A2883" i="28"/>
  <c r="A2884" i="28"/>
  <c r="A2885" i="28"/>
  <c r="A2886" i="28"/>
  <c r="A2887" i="28"/>
  <c r="A2888" i="28"/>
  <c r="A2889" i="28"/>
  <c r="A2890" i="28"/>
  <c r="A2891" i="28"/>
  <c r="A2892" i="28"/>
  <c r="A2893" i="28"/>
  <c r="A2894" i="28"/>
  <c r="A2895" i="28"/>
  <c r="A2896" i="28"/>
  <c r="A2897" i="28"/>
  <c r="A2898" i="28"/>
  <c r="A2899" i="28"/>
  <c r="A2900" i="28"/>
  <c r="A2901" i="28"/>
  <c r="A2902" i="28"/>
  <c r="A2903" i="28"/>
  <c r="A2904" i="28"/>
  <c r="A2905" i="28"/>
  <c r="A2906" i="28"/>
  <c r="A2907" i="28"/>
  <c r="A2908" i="28"/>
  <c r="A2909" i="28"/>
  <c r="A2910" i="28"/>
  <c r="A2911" i="28"/>
  <c r="A2912" i="28"/>
  <c r="A2913" i="28"/>
  <c r="A2914" i="28"/>
  <c r="A2915" i="28"/>
  <c r="A2916" i="28"/>
  <c r="A2917" i="28"/>
  <c r="A2918" i="28"/>
  <c r="A2919" i="28"/>
  <c r="A2920" i="28"/>
  <c r="A2921" i="28"/>
  <c r="A2922" i="28"/>
  <c r="A2923" i="28"/>
  <c r="A2924" i="28"/>
  <c r="A2925" i="28"/>
  <c r="A2926" i="28"/>
  <c r="A2927" i="28"/>
  <c r="A2928" i="28"/>
  <c r="A2929" i="28"/>
  <c r="A2930" i="28"/>
  <c r="A2931" i="28"/>
  <c r="A2932" i="28"/>
  <c r="A2933" i="28"/>
  <c r="A2934" i="28"/>
  <c r="A2935" i="28"/>
  <c r="A2936" i="28"/>
  <c r="A2937" i="28"/>
  <c r="A2938" i="28"/>
  <c r="A2939" i="28"/>
  <c r="A2940" i="28"/>
  <c r="A2941" i="28"/>
  <c r="A2942" i="28"/>
  <c r="A2943" i="28"/>
  <c r="A2944" i="28"/>
  <c r="A2945" i="28"/>
  <c r="A2946" i="28"/>
  <c r="A2947" i="28"/>
  <c r="A2948" i="28"/>
  <c r="A2949" i="28"/>
  <c r="A2950" i="28"/>
  <c r="A2951" i="28"/>
  <c r="A2952" i="28"/>
  <c r="A2953" i="28"/>
  <c r="A2954" i="28"/>
  <c r="A2955" i="28"/>
  <c r="A2956" i="28"/>
  <c r="A2957" i="28"/>
  <c r="A2958" i="28"/>
  <c r="A2959" i="28"/>
  <c r="A2960" i="28"/>
  <c r="A2961" i="28"/>
  <c r="A2962" i="28"/>
  <c r="A2963" i="28"/>
  <c r="A2964" i="28"/>
  <c r="A2965" i="28"/>
  <c r="A2966" i="28"/>
  <c r="A2967" i="28"/>
  <c r="A2968" i="28"/>
  <c r="A2969" i="28"/>
  <c r="A2970" i="28"/>
  <c r="A2971" i="28"/>
  <c r="A2972" i="28"/>
  <c r="A2973" i="28"/>
  <c r="A2974" i="28"/>
  <c r="A2975" i="28"/>
  <c r="A2976" i="28"/>
  <c r="A2977" i="28"/>
  <c r="A2978" i="28"/>
  <c r="A2979" i="28"/>
  <c r="A2980" i="28"/>
  <c r="A2981" i="28"/>
  <c r="A2982" i="28"/>
  <c r="A2983" i="28"/>
  <c r="A2984" i="28"/>
  <c r="A2985" i="28"/>
  <c r="A2986" i="28"/>
  <c r="A2987" i="28"/>
  <c r="A2988" i="28"/>
  <c r="A2989" i="28"/>
  <c r="A2990" i="28"/>
  <c r="A2991" i="28"/>
  <c r="A2992" i="28"/>
  <c r="A2993" i="28"/>
  <c r="I23" i="2" l="1"/>
  <c r="D97" i="1" s="1"/>
  <c r="I155" i="2"/>
  <c r="I10" i="2" l="1"/>
  <c r="I21" i="2"/>
  <c r="I13" i="2"/>
  <c r="I151" i="2"/>
  <c r="I149" i="2"/>
  <c r="I123" i="2"/>
  <c r="I118" i="2"/>
  <c r="I66" i="2"/>
  <c r="I87" i="2"/>
  <c r="I110" i="2"/>
  <c r="I125" i="2"/>
  <c r="I27" i="2"/>
  <c r="I99" i="2"/>
  <c r="I94" i="2"/>
  <c r="I20" i="2"/>
  <c r="I146" i="2"/>
  <c r="I157" i="2"/>
  <c r="I153" i="2"/>
  <c r="I122" i="2"/>
  <c r="I115" i="2"/>
  <c r="I73" i="2"/>
  <c r="I71" i="2"/>
  <c r="I77" i="2"/>
  <c r="I128" i="2"/>
  <c r="I63" i="2"/>
  <c r="I35" i="2"/>
  <c r="D100" i="1" s="1"/>
  <c r="I8" i="2"/>
  <c r="I11" i="2"/>
  <c r="I105" i="2"/>
  <c r="I91" i="2"/>
  <c r="I65" i="2"/>
  <c r="I42" i="2"/>
  <c r="I50" i="2"/>
  <c r="I156" i="2"/>
  <c r="I81" i="2"/>
  <c r="I74" i="2"/>
  <c r="I107" i="2"/>
  <c r="I51" i="2"/>
  <c r="I59" i="2"/>
  <c r="I150" i="2"/>
  <c r="I143" i="2"/>
  <c r="I40" i="2"/>
  <c r="I139" i="2"/>
  <c r="I137" i="2"/>
  <c r="I55" i="2"/>
  <c r="I47" i="2"/>
  <c r="I148" i="2"/>
  <c r="I49" i="2"/>
  <c r="I133" i="2"/>
  <c r="I86" i="2"/>
  <c r="I117" i="2"/>
  <c r="I67" i="2"/>
  <c r="I131" i="2"/>
  <c r="I102" i="2"/>
  <c r="I145" i="2"/>
  <c r="I138" i="2"/>
  <c r="I75" i="2"/>
  <c r="I52" i="2"/>
  <c r="I93" i="2"/>
  <c r="I85" i="2"/>
  <c r="I83" i="2"/>
  <c r="I19" i="2"/>
  <c r="I43" i="2"/>
  <c r="I48" i="2"/>
  <c r="I154" i="2"/>
  <c r="I152" i="2"/>
  <c r="I147" i="2"/>
  <c r="I144" i="2"/>
  <c r="I141" i="2"/>
  <c r="I2" i="2"/>
  <c r="I140" i="2"/>
  <c r="I120" i="2"/>
  <c r="I68" i="2"/>
  <c r="I58" i="2"/>
  <c r="I142" i="2"/>
  <c r="I57" i="2"/>
  <c r="I113" i="2"/>
  <c r="I56" i="2"/>
  <c r="I76" i="2"/>
  <c r="I69" i="2"/>
  <c r="I80" i="2"/>
  <c r="I72" i="2"/>
  <c r="I79" i="2"/>
  <c r="I78" i="2"/>
  <c r="I103" i="2"/>
  <c r="I70" i="2"/>
  <c r="I96" i="2"/>
  <c r="I46" i="2"/>
  <c r="I39" i="2"/>
  <c r="I38" i="2"/>
  <c r="I37" i="2"/>
  <c r="I132" i="2"/>
  <c r="I135" i="2"/>
  <c r="I136" i="2"/>
  <c r="I134" i="2"/>
  <c r="I130" i="2"/>
  <c r="I129" i="2"/>
  <c r="I33" i="2"/>
  <c r="I127" i="2"/>
  <c r="I116" i="2"/>
  <c r="I53" i="2"/>
  <c r="I92" i="2"/>
  <c r="I114" i="2"/>
  <c r="I32" i="2"/>
  <c r="I90" i="2"/>
  <c r="I95" i="2"/>
  <c r="I62" i="2"/>
  <c r="I14" i="2"/>
  <c r="I12" i="2"/>
  <c r="I5" i="2"/>
  <c r="I36" i="2"/>
  <c r="I34" i="2"/>
  <c r="I24" i="2"/>
  <c r="I22" i="2"/>
  <c r="I18" i="2"/>
  <c r="I7" i="2"/>
  <c r="I4" i="2"/>
  <c r="I3" i="2"/>
  <c r="I6" i="2"/>
  <c r="I112" i="2"/>
  <c r="I111" i="2"/>
  <c r="I106" i="2"/>
  <c r="I119" i="2"/>
  <c r="I109" i="2"/>
  <c r="I84" i="2"/>
  <c r="I25" i="2"/>
  <c r="I15" i="2"/>
  <c r="I88" i="2"/>
  <c r="I101" i="2"/>
  <c r="I16" i="2"/>
  <c r="I17" i="2"/>
  <c r="I126" i="2"/>
  <c r="I64" i="2"/>
  <c r="I89" i="2"/>
  <c r="I61" i="2"/>
  <c r="I60" i="2"/>
  <c r="I124" i="2"/>
  <c r="I121" i="2"/>
  <c r="I26" i="2"/>
  <c r="I108" i="2"/>
  <c r="I104" i="2"/>
  <c r="I98" i="2"/>
  <c r="I97" i="2"/>
  <c r="I100" i="2"/>
  <c r="I9" i="2"/>
  <c r="I82" i="2"/>
  <c r="I54" i="2"/>
  <c r="I45" i="2"/>
  <c r="I41" i="2"/>
  <c r="I31" i="2"/>
  <c r="I30" i="2"/>
  <c r="I28" i="2"/>
  <c r="I44" i="2"/>
  <c r="I29" i="2"/>
  <c r="A434" i="28"/>
  <c r="A426" i="28"/>
  <c r="A424" i="28"/>
  <c r="A421" i="28"/>
  <c r="A419" i="28"/>
  <c r="A399" i="28"/>
  <c r="A393" i="28"/>
  <c r="A392" i="28"/>
  <c r="A389" i="28"/>
  <c r="A383" i="28"/>
  <c r="A380" i="28"/>
  <c r="A371" i="28"/>
  <c r="A368" i="28"/>
  <c r="A367" i="28"/>
  <c r="A366" i="28"/>
  <c r="A365" i="28"/>
  <c r="A363" i="28"/>
  <c r="A362" i="28"/>
  <c r="A354" i="28"/>
  <c r="A349" i="28"/>
  <c r="A347" i="28"/>
  <c r="A346" i="28"/>
  <c r="A345" i="28"/>
  <c r="A343" i="28"/>
  <c r="A341" i="28"/>
  <c r="A340" i="28"/>
  <c r="A339" i="28"/>
  <c r="A337" i="28"/>
  <c r="A335" i="28"/>
  <c r="A327" i="28"/>
  <c r="A325" i="28"/>
  <c r="A324" i="28"/>
  <c r="A323" i="28"/>
  <c r="A322" i="28"/>
  <c r="A321" i="28"/>
  <c r="A320" i="28"/>
  <c r="A319" i="28"/>
  <c r="A317" i="28"/>
  <c r="A316" i="28"/>
  <c r="A315" i="28"/>
  <c r="A314" i="28"/>
  <c r="A313" i="28"/>
  <c r="A312" i="28"/>
  <c r="A311" i="28"/>
  <c r="A309" i="28"/>
  <c r="A308" i="28"/>
  <c r="A307" i="28"/>
  <c r="A306" i="28"/>
  <c r="A305" i="28"/>
  <c r="A304" i="28"/>
  <c r="A303" i="28"/>
  <c r="A301" i="28"/>
  <c r="A298" i="28"/>
  <c r="A292" i="28"/>
  <c r="A291" i="28"/>
  <c r="A286" i="28"/>
  <c r="A284" i="28"/>
  <c r="A283" i="28"/>
  <c r="A280" i="28"/>
  <c r="A275" i="28"/>
  <c r="A271" i="28"/>
  <c r="A267" i="28"/>
  <c r="A255" i="28"/>
  <c r="A251" i="28"/>
  <c r="A240" i="28"/>
  <c r="A235" i="28"/>
  <c r="A234" i="28"/>
  <c r="A227" i="28"/>
  <c r="A225" i="28"/>
  <c r="A8" i="28"/>
  <c r="A10" i="28"/>
  <c r="A17" i="28"/>
  <c r="A18" i="28"/>
  <c r="A23" i="28"/>
  <c r="A34" i="28"/>
  <c r="A38" i="28"/>
  <c r="A50" i="28"/>
  <c r="A54" i="28"/>
  <c r="A58" i="28"/>
  <c r="A63" i="28"/>
  <c r="A66" i="28"/>
  <c r="A67" i="28"/>
  <c r="A69" i="28"/>
  <c r="A74" i="28"/>
  <c r="A75" i="28"/>
  <c r="A81" i="28"/>
  <c r="A84" i="28"/>
  <c r="A86" i="28"/>
  <c r="A87" i="28"/>
  <c r="A88" i="28"/>
  <c r="A89" i="28"/>
  <c r="A90" i="28"/>
  <c r="A91" i="28"/>
  <c r="A92" i="28"/>
  <c r="A94" i="28"/>
  <c r="A95" i="28"/>
  <c r="A96" i="28"/>
  <c r="A97" i="28"/>
  <c r="A98" i="28"/>
  <c r="A99" i="28"/>
  <c r="A100" i="28"/>
  <c r="A102" i="28"/>
  <c r="A103" i="28"/>
  <c r="A104" i="28"/>
  <c r="A105" i="28"/>
  <c r="A106" i="28"/>
  <c r="A107" i="28"/>
  <c r="A108" i="28"/>
  <c r="A110" i="28"/>
  <c r="A118" i="28"/>
  <c r="A120" i="28"/>
  <c r="A122" i="28"/>
  <c r="A123" i="28"/>
  <c r="A124" i="28"/>
  <c r="A126" i="28"/>
  <c r="A128" i="28"/>
  <c r="A129" i="28"/>
  <c r="A130" i="28"/>
  <c r="A132" i="28"/>
  <c r="A137" i="28"/>
  <c r="A145" i="28"/>
  <c r="A146" i="28"/>
  <c r="A148" i="28"/>
  <c r="A149" i="28"/>
  <c r="A150" i="28"/>
  <c r="A151" i="28"/>
  <c r="A154" i="28"/>
  <c r="A163" i="28"/>
  <c r="A166" i="28"/>
  <c r="A172" i="28"/>
  <c r="A175" i="28"/>
  <c r="A176" i="28"/>
  <c r="A182" i="28"/>
  <c r="A202" i="28"/>
  <c r="A204" i="28"/>
  <c r="A207" i="28"/>
  <c r="A209" i="28"/>
  <c r="A217" i="28"/>
  <c r="D119" i="1" l="1"/>
  <c r="D123" i="1"/>
  <c r="D31" i="1"/>
  <c r="D67" i="1"/>
  <c r="D71" i="1"/>
  <c r="D22" i="1"/>
  <c r="D112" i="1"/>
  <c r="D99" i="1"/>
  <c r="D117" i="1"/>
  <c r="D113" i="1"/>
  <c r="D115" i="1"/>
  <c r="D114" i="1"/>
  <c r="D127" i="1"/>
  <c r="D181" i="1"/>
  <c r="D188" i="1"/>
  <c r="D74" i="1"/>
  <c r="D182" i="1"/>
  <c r="D183" i="1"/>
  <c r="D125" i="1"/>
  <c r="D198" i="1"/>
  <c r="D16" i="1"/>
  <c r="D195" i="1"/>
  <c r="D3" i="1"/>
  <c r="D13" i="1"/>
  <c r="D23" i="1"/>
  <c r="D19" i="1"/>
  <c r="D21" i="1"/>
  <c r="D116" i="1"/>
  <c r="D44" i="1"/>
  <c r="D81" i="1"/>
  <c r="D82" i="1"/>
  <c r="D83" i="1"/>
  <c r="D78" i="1"/>
  <c r="D98" i="1"/>
  <c r="D185" i="1"/>
  <c r="D193" i="1"/>
  <c r="D204" i="1"/>
  <c r="D17" i="1"/>
  <c r="D194" i="1"/>
  <c r="D80" i="1"/>
  <c r="D52" i="1"/>
  <c r="D69" i="1"/>
  <c r="D33" i="1"/>
  <c r="D32" i="1"/>
  <c r="D94" i="1"/>
  <c r="D85" i="1"/>
  <c r="D86" i="1"/>
  <c r="D103" i="1"/>
  <c r="D87" i="1"/>
  <c r="D88" i="1"/>
  <c r="D101" i="1"/>
  <c r="D84" i="1"/>
  <c r="D134" i="1"/>
  <c r="D196" i="1"/>
  <c r="D135" i="1"/>
  <c r="D136" i="1"/>
  <c r="D2" i="1"/>
  <c r="D102" i="1"/>
  <c r="D91" i="1"/>
  <c r="D92" i="1"/>
  <c r="D28" i="1"/>
  <c r="D26" i="1"/>
  <c r="D24" i="1"/>
  <c r="D25" i="1"/>
  <c r="D199" i="1"/>
  <c r="D118" i="1"/>
  <c r="D43" i="1"/>
  <c r="D189" i="1"/>
  <c r="D121" i="1"/>
  <c r="D39" i="1"/>
  <c r="D38" i="1"/>
  <c r="D130" i="1"/>
  <c r="D129" i="1"/>
  <c r="D46" i="1"/>
  <c r="D61" i="1"/>
  <c r="D48" i="1"/>
  <c r="D62" i="1"/>
  <c r="D63" i="1"/>
  <c r="D45" i="1"/>
  <c r="D49" i="1"/>
  <c r="D60" i="1"/>
  <c r="D47" i="1"/>
  <c r="D201" i="1"/>
  <c r="D197" i="1"/>
  <c r="D65" i="1"/>
  <c r="D190" i="1"/>
  <c r="D14" i="1"/>
  <c r="D27" i="1"/>
  <c r="D55" i="1"/>
  <c r="D57" i="1"/>
  <c r="D58" i="1"/>
  <c r="D59" i="1"/>
  <c r="D66" i="1"/>
  <c r="D53" i="1"/>
  <c r="D54" i="1"/>
  <c r="D64" i="1"/>
  <c r="D56" i="1"/>
  <c r="D73" i="1"/>
  <c r="D75" i="1"/>
  <c r="D89" i="1"/>
  <c r="D104" i="1"/>
  <c r="D133" i="1"/>
  <c r="D110" i="1"/>
  <c r="D184" i="1"/>
  <c r="D191" i="1"/>
  <c r="D68" i="1"/>
  <c r="D50" i="1"/>
  <c r="D51" i="1"/>
  <c r="D30" i="1"/>
  <c r="D203" i="1"/>
  <c r="D90" i="1"/>
  <c r="D109" i="1"/>
  <c r="D9" i="1"/>
  <c r="D4" i="1"/>
  <c r="D5" i="1"/>
  <c r="D7" i="1"/>
  <c r="D6" i="1"/>
  <c r="D8" i="1"/>
  <c r="D142" i="1"/>
  <c r="D150" i="1"/>
  <c r="D158" i="1"/>
  <c r="D143" i="1"/>
  <c r="D151" i="1"/>
  <c r="D175" i="1"/>
  <c r="D144" i="1"/>
  <c r="D152" i="1"/>
  <c r="D176" i="1"/>
  <c r="D137" i="1"/>
  <c r="D145" i="1"/>
  <c r="D153" i="1"/>
  <c r="D138" i="1"/>
  <c r="D146" i="1"/>
  <c r="D154" i="1"/>
  <c r="D139" i="1"/>
  <c r="D147" i="1"/>
  <c r="D155" i="1"/>
  <c r="D140" i="1"/>
  <c r="D141" i="1"/>
  <c r="D148" i="1"/>
  <c r="D149" i="1"/>
  <c r="D156" i="1"/>
  <c r="D157" i="1"/>
  <c r="D186" i="1"/>
  <c r="D120" i="1"/>
  <c r="D77" i="1"/>
  <c r="D187" i="1"/>
  <c r="D79" i="1"/>
  <c r="D202" i="1"/>
  <c r="D70" i="1"/>
  <c r="D11" i="1"/>
  <c r="D128" i="1"/>
  <c r="D10" i="1"/>
  <c r="D18" i="1"/>
  <c r="D35" i="1"/>
  <c r="D41" i="1"/>
  <c r="D42" i="1"/>
  <c r="D34" i="1"/>
  <c r="D36" i="1"/>
  <c r="D37" i="1"/>
  <c r="D72" i="1"/>
  <c r="D132" i="1"/>
  <c r="D162" i="1"/>
  <c r="D170" i="1"/>
  <c r="D163" i="1"/>
  <c r="D164" i="1"/>
  <c r="D165" i="1"/>
  <c r="D159" i="1"/>
  <c r="D166" i="1"/>
  <c r="D160" i="1"/>
  <c r="D167" i="1"/>
  <c r="D177" i="1"/>
  <c r="D161" i="1"/>
  <c r="D168" i="1"/>
  <c r="D169" i="1"/>
  <c r="D122" i="1"/>
  <c r="D180" i="1"/>
  <c r="D174" i="1"/>
  <c r="D76" i="1"/>
  <c r="D96" i="1"/>
  <c r="D108" i="1"/>
  <c r="D106" i="1"/>
  <c r="D107" i="1"/>
  <c r="D105" i="1"/>
  <c r="D29" i="1"/>
  <c r="D12" i="1"/>
  <c r="D20" i="1"/>
  <c r="D40" i="1"/>
  <c r="D93" i="1"/>
  <c r="D95" i="1"/>
  <c r="D124" i="1"/>
  <c r="D126" i="1"/>
  <c r="D172" i="1"/>
  <c r="D179" i="1"/>
  <c r="D173" i="1"/>
  <c r="D178" i="1"/>
  <c r="D171" i="1"/>
  <c r="D200" i="1"/>
  <c r="D192" i="1"/>
  <c r="D131" i="1"/>
  <c r="D15" i="1"/>
  <c r="D111" i="1"/>
  <c r="E43" i="1"/>
  <c r="A490" i="28" l="1"/>
  <c r="A489" i="28"/>
  <c r="A488" i="28"/>
  <c r="A491" i="28"/>
  <c r="E31" i="1" l="1"/>
  <c r="A913" i="28"/>
  <c r="A436" i="28"/>
  <c r="E135" i="1"/>
  <c r="E136" i="1"/>
  <c r="A219" i="28" l="1"/>
  <c r="A858" i="28"/>
  <c r="A859" i="28"/>
  <c r="A29" i="28"/>
  <c r="A246" i="28"/>
  <c r="A597" i="28" l="1"/>
  <c r="A598" i="28"/>
  <c r="A599" i="28"/>
  <c r="A440" i="28" l="1"/>
  <c r="A451" i="28"/>
  <c r="A805" i="28"/>
  <c r="E10" i="1"/>
  <c r="A441" i="28" s="1"/>
  <c r="E13" i="1"/>
  <c r="A446" i="28" s="1"/>
  <c r="A806" i="28"/>
  <c r="E11" i="1"/>
  <c r="A813" i="28"/>
  <c r="A814" i="28"/>
  <c r="A815" i="28"/>
  <c r="A818" i="28"/>
  <c r="E12" i="1"/>
  <c r="A447" i="28"/>
  <c r="E14" i="1"/>
  <c r="E15" i="1"/>
  <c r="A779" i="28"/>
  <c r="E16" i="1"/>
  <c r="E17" i="1"/>
  <c r="E18" i="1"/>
  <c r="E20" i="1"/>
  <c r="E23" i="1"/>
  <c r="E19" i="1"/>
  <c r="E21" i="1"/>
  <c r="A825" i="28"/>
  <c r="A1056" i="28"/>
  <c r="E22" i="1"/>
  <c r="A60" i="28"/>
  <c r="E25" i="1"/>
  <c r="E24" i="1"/>
  <c r="E28" i="1"/>
  <c r="E26" i="1"/>
  <c r="E27" i="1"/>
  <c r="A466" i="28"/>
  <c r="E29" i="1"/>
  <c r="A465" i="28" s="1"/>
  <c r="E30" i="1"/>
  <c r="A836" i="28"/>
  <c r="A837" i="28"/>
  <c r="A647" i="28"/>
  <c r="A846" i="28"/>
  <c r="A864" i="28"/>
  <c r="A669" i="28"/>
  <c r="E32" i="1"/>
  <c r="A478" i="28"/>
  <c r="E41" i="1"/>
  <c r="E42" i="1"/>
  <c r="A477" i="28"/>
  <c r="A481" i="28"/>
  <c r="E39" i="1"/>
  <c r="A482" i="28" s="1"/>
  <c r="E40" i="1"/>
  <c r="A853" i="28"/>
  <c r="A857" i="28"/>
  <c r="E60" i="1"/>
  <c r="E62" i="1"/>
  <c r="E45" i="1"/>
  <c r="E61" i="1"/>
  <c r="A493" i="28" s="1"/>
  <c r="E63" i="1"/>
  <c r="A865" i="28"/>
  <c r="A670" i="28"/>
  <c r="E65" i="1"/>
  <c r="A494" i="28" s="1"/>
  <c r="E53" i="1"/>
  <c r="E54" i="1"/>
  <c r="E64" i="1"/>
  <c r="E66" i="1"/>
  <c r="A495" i="28" s="1"/>
  <c r="A866" i="28"/>
  <c r="A876" i="28"/>
  <c r="A877" i="28"/>
  <c r="A881" i="28"/>
  <c r="E68" i="1"/>
  <c r="E70" i="1"/>
  <c r="A886" i="28"/>
  <c r="E69" i="1"/>
  <c r="A1118" i="28"/>
  <c r="A1119" i="28"/>
  <c r="E71" i="1"/>
  <c r="E67" i="1"/>
  <c r="A496" i="28" s="1"/>
  <c r="A900" i="28"/>
  <c r="A901" i="28"/>
  <c r="A899" i="28"/>
  <c r="A891" i="28"/>
  <c r="A902" i="28"/>
  <c r="A903" i="28"/>
  <c r="A676" i="28"/>
  <c r="A907" i="28"/>
  <c r="E73" i="1"/>
  <c r="E75" i="1"/>
  <c r="E76" i="1"/>
  <c r="A910" i="28"/>
  <c r="A911" i="28"/>
  <c r="A909" i="28"/>
  <c r="A912" i="28"/>
  <c r="E77" i="1"/>
  <c r="E74" i="1"/>
  <c r="E78" i="1"/>
  <c r="A527" i="28" s="1"/>
  <c r="E81" i="1"/>
  <c r="E83" i="1"/>
  <c r="A528" i="28"/>
  <c r="E82" i="1"/>
  <c r="A529" i="28"/>
  <c r="E79" i="1"/>
  <c r="A530" i="28" s="1"/>
  <c r="A681" i="28"/>
  <c r="E80" i="1"/>
  <c r="E94" i="1"/>
  <c r="A535" i="28"/>
  <c r="A536" i="28"/>
  <c r="A548" i="28"/>
  <c r="E103" i="1"/>
  <c r="A553" i="28" s="1"/>
  <c r="E101" i="1"/>
  <c r="A551" i="28"/>
  <c r="A552" i="28"/>
  <c r="E89" i="1"/>
  <c r="A554" i="28"/>
  <c r="A545" i="28"/>
  <c r="A923" i="28"/>
  <c r="A924" i="28"/>
  <c r="E104" i="1"/>
  <c r="A925" i="28"/>
  <c r="A928" i="28"/>
  <c r="E90" i="1"/>
  <c r="A531" i="28" s="1"/>
  <c r="E102" i="1"/>
  <c r="E91" i="1"/>
  <c r="E92" i="1"/>
  <c r="A723" i="28"/>
  <c r="A549" i="28"/>
  <c r="A543" i="28"/>
  <c r="E96" i="1"/>
  <c r="E97" i="1"/>
  <c r="E99" i="1"/>
  <c r="A547" i="28" s="1"/>
  <c r="E100" i="1"/>
  <c r="E98" i="1"/>
  <c r="A682" i="28"/>
  <c r="E95" i="1"/>
  <c r="E109" i="1"/>
  <c r="A650" i="28"/>
  <c r="A568" i="28"/>
  <c r="A947" i="28"/>
  <c r="E110" i="1"/>
  <c r="A567" i="28" s="1"/>
  <c r="A948" i="28"/>
  <c r="E111" i="1"/>
  <c r="E112" i="1"/>
  <c r="A949" i="28"/>
  <c r="A950" i="28"/>
  <c r="A945" i="28"/>
  <c r="A1120" i="28"/>
  <c r="A951" i="28"/>
  <c r="E117" i="1"/>
  <c r="E113" i="1"/>
  <c r="E115" i="1"/>
  <c r="A704" i="28"/>
  <c r="E116" i="1"/>
  <c r="A952" i="28"/>
  <c r="A995" i="28"/>
  <c r="E122" i="1"/>
  <c r="A993" i="28"/>
  <c r="A994" i="28"/>
  <c r="A714" i="28"/>
  <c r="E121" i="1"/>
  <c r="E123" i="1"/>
  <c r="A1081" i="28"/>
  <c r="A996" i="28"/>
  <c r="A997" i="28"/>
  <c r="E125" i="1"/>
  <c r="A1004" i="28"/>
  <c r="A998" i="28"/>
  <c r="A1003" i="28"/>
  <c r="A586" i="28"/>
  <c r="E127" i="1"/>
  <c r="E128" i="1"/>
  <c r="E132" i="1"/>
  <c r="A588" i="28"/>
  <c r="E129" i="1"/>
  <c r="A587" i="28" s="1"/>
  <c r="A1011" i="28"/>
  <c r="A724" i="28"/>
  <c r="A730" i="28"/>
  <c r="A1016" i="28"/>
  <c r="E133" i="1"/>
  <c r="A725" i="28"/>
  <c r="A1025" i="28"/>
  <c r="A1007" i="28"/>
  <c r="A726" i="28"/>
  <c r="E134" i="1"/>
  <c r="A727" i="28"/>
  <c r="E175" i="1"/>
  <c r="E176" i="1"/>
  <c r="A731" i="28"/>
  <c r="E177" i="1"/>
  <c r="A603" i="28"/>
  <c r="E179" i="1"/>
  <c r="E178" i="1"/>
  <c r="E180" i="1"/>
  <c r="A1033" i="28"/>
  <c r="E181" i="1"/>
  <c r="E182" i="1"/>
  <c r="E183" i="1"/>
  <c r="E184" i="1"/>
  <c r="E185" i="1"/>
  <c r="A611" i="28"/>
  <c r="A1032" i="28"/>
  <c r="A1121" i="28"/>
  <c r="E188" i="1"/>
  <c r="A747" i="28"/>
  <c r="A1046" i="28"/>
  <c r="A1047" i="28"/>
  <c r="A1048" i="28"/>
  <c r="A1049" i="28"/>
  <c r="E189" i="1"/>
  <c r="A622" i="28" s="1"/>
  <c r="A746" i="28"/>
  <c r="A1050" i="28"/>
  <c r="A1051" i="28"/>
  <c r="A1053" i="28"/>
  <c r="E190" i="1"/>
  <c r="E191" i="1"/>
  <c r="E192" i="1"/>
  <c r="A751" i="28"/>
  <c r="E193" i="1"/>
  <c r="E194" i="1"/>
  <c r="A630" i="28" s="1"/>
  <c r="A743" i="28"/>
  <c r="E186" i="1"/>
  <c r="E187" i="1"/>
  <c r="A614" i="28" s="1"/>
  <c r="A1052" i="28"/>
  <c r="E199" i="1"/>
  <c r="E203" i="1"/>
  <c r="A640" i="28" s="1"/>
  <c r="A781" i="28"/>
  <c r="A780" i="28"/>
  <c r="E204" i="1"/>
  <c r="E200" i="1"/>
  <c r="E201" i="1"/>
  <c r="A639" i="28" s="1"/>
  <c r="A782" i="28"/>
  <c r="E202" i="1"/>
  <c r="A1127" i="28" s="1"/>
  <c r="A641" i="28"/>
  <c r="A801" i="28"/>
  <c r="A802" i="28"/>
  <c r="A803" i="28"/>
  <c r="A804" i="28"/>
  <c r="A794" i="28"/>
  <c r="A350" i="28" l="1"/>
  <c r="A133" i="28"/>
  <c r="A344" i="28"/>
  <c r="A127" i="28"/>
  <c r="A437" i="28"/>
  <c r="A220" i="28"/>
  <c r="A550" i="28"/>
  <c r="A469" i="28"/>
  <c r="A1129" i="28"/>
  <c r="A1128" i="28"/>
  <c r="A572" i="28"/>
  <c r="A1040" i="28"/>
  <c r="A1041" i="28"/>
  <c r="A1055" i="28"/>
  <c r="A1054" i="28"/>
  <c r="A715" i="28"/>
  <c r="A716" i="28"/>
  <c r="A739" i="28"/>
  <c r="A737" i="28"/>
  <c r="A735" i="28"/>
  <c r="A515" i="28"/>
  <c r="A906" i="28"/>
  <c r="A487" i="28"/>
  <c r="A696" i="28"/>
  <c r="A695" i="28"/>
  <c r="A694" i="28"/>
  <c r="A693" i="28"/>
  <c r="A691" i="28"/>
  <c r="A692" i="28"/>
  <c r="A690" i="28"/>
  <c r="A452" i="28"/>
  <c r="A461" i="28"/>
  <c r="A454" i="28"/>
  <c r="A652" i="28"/>
  <c r="A651" i="28"/>
  <c r="A820" i="28"/>
  <c r="A819" i="28"/>
  <c r="A771" i="28"/>
  <c r="A763" i="28"/>
  <c r="A770" i="28"/>
  <c r="A769" i="28"/>
  <c r="A768" i="28"/>
  <c r="A767" i="28"/>
  <c r="A764" i="28"/>
  <c r="A766" i="28"/>
  <c r="A765" i="28"/>
  <c r="N10" i="7"/>
  <c r="U4" i="7"/>
  <c r="AD9" i="7"/>
  <c r="AK22" i="7"/>
  <c r="L22" i="7"/>
  <c r="AG7" i="7"/>
  <c r="N19" i="7"/>
  <c r="U13" i="7"/>
  <c r="Z10" i="7"/>
  <c r="AB12" i="7"/>
  <c r="P11" i="7"/>
  <c r="O9" i="7"/>
  <c r="O12" i="7"/>
  <c r="V4" i="7"/>
  <c r="S17" i="7"/>
  <c r="AG17" i="7"/>
  <c r="AI18" i="7"/>
  <c r="AD12" i="7"/>
  <c r="W19" i="7"/>
  <c r="U12" i="7"/>
  <c r="AD10" i="7"/>
  <c r="P15" i="7"/>
  <c r="W17" i="7"/>
  <c r="AI14" i="7"/>
  <c r="AB16" i="7"/>
  <c r="AG14" i="7"/>
  <c r="L9" i="7"/>
  <c r="AD11" i="7"/>
  <c r="O8" i="7"/>
  <c r="Z16" i="7"/>
  <c r="L13" i="7"/>
  <c r="Z13" i="7"/>
  <c r="AI10" i="7"/>
  <c r="Z20" i="7"/>
  <c r="Z17" i="7"/>
  <c r="AD22" i="7"/>
  <c r="W4" i="7"/>
  <c r="S13" i="7"/>
  <c r="AB13" i="7"/>
  <c r="S11" i="7"/>
  <c r="V16" i="7"/>
  <c r="AJ19" i="7"/>
  <c r="W15" i="7"/>
  <c r="AK11" i="7"/>
  <c r="L12" i="7"/>
  <c r="AB17" i="7"/>
  <c r="AC14" i="7"/>
  <c r="P18" i="7"/>
  <c r="AC12" i="7"/>
  <c r="AI15" i="7"/>
  <c r="Z12" i="7"/>
  <c r="L21" i="7"/>
  <c r="W16" i="7"/>
  <c r="Z11" i="7"/>
  <c r="AC11" i="7"/>
  <c r="AG12" i="7"/>
  <c r="AK12" i="7"/>
  <c r="AI16" i="7"/>
  <c r="Z4" i="7"/>
  <c r="AI11" i="7"/>
  <c r="U17" i="7"/>
  <c r="AG18" i="7"/>
  <c r="P12" i="7"/>
  <c r="AJ16" i="7"/>
  <c r="AJ12" i="7"/>
  <c r="AI20" i="7"/>
  <c r="AK7" i="7"/>
  <c r="P21" i="7"/>
  <c r="U16" i="7"/>
  <c r="O15" i="7"/>
  <c r="S9" i="7"/>
  <c r="AG10" i="7"/>
  <c r="E11" i="7"/>
  <c r="O14" i="7"/>
  <c r="AK9" i="7"/>
  <c r="N5" i="7"/>
  <c r="Z6" i="7"/>
  <c r="S15" i="7"/>
  <c r="AG13" i="7"/>
  <c r="AC10" i="7"/>
  <c r="S12" i="7"/>
  <c r="AK4" i="7"/>
  <c r="AK14" i="7"/>
  <c r="AG16" i="7"/>
  <c r="W14" i="7"/>
  <c r="W21" i="7"/>
  <c r="AC20" i="7"/>
  <c r="AJ22" i="7"/>
  <c r="AC19" i="7"/>
  <c r="N20" i="7"/>
  <c r="AG20" i="7"/>
  <c r="AB21" i="7"/>
  <c r="P13" i="7"/>
  <c r="AJ18" i="7"/>
  <c r="S16" i="7"/>
  <c r="L8" i="7"/>
  <c r="AD4" i="7"/>
  <c r="AC7" i="7"/>
  <c r="N9" i="7"/>
  <c r="S22" i="7"/>
  <c r="AB14" i="7"/>
  <c r="AD21" i="7"/>
  <c r="AK20" i="7"/>
  <c r="S10" i="7"/>
  <c r="U14" i="7"/>
  <c r="S4" i="7"/>
  <c r="AK13" i="7"/>
  <c r="W8" i="7"/>
  <c r="AG15" i="7"/>
  <c r="E13" i="7"/>
  <c r="H19" i="7"/>
  <c r="O20" i="7"/>
  <c r="P20" i="7"/>
  <c r="U9" i="7"/>
  <c r="H21" i="7"/>
  <c r="AC16" i="7"/>
  <c r="N14" i="7"/>
  <c r="V13" i="7"/>
  <c r="I10" i="7"/>
  <c r="O11" i="7"/>
  <c r="N13" i="7"/>
  <c r="L19" i="7"/>
  <c r="AJ10" i="7"/>
  <c r="S7" i="7"/>
  <c r="I15" i="7"/>
  <c r="AK15" i="7"/>
  <c r="AC21" i="7"/>
  <c r="AJ13" i="7"/>
  <c r="AD20" i="7"/>
  <c r="W9" i="7"/>
  <c r="AD17" i="7"/>
  <c r="S21" i="7"/>
  <c r="AD13" i="7"/>
  <c r="AG11" i="7"/>
  <c r="AB19" i="7"/>
  <c r="AK10" i="7"/>
  <c r="AK17" i="7"/>
  <c r="AK19" i="7"/>
  <c r="AD15" i="7"/>
  <c r="S19" i="7"/>
  <c r="AD14" i="7"/>
  <c r="H20" i="7"/>
  <c r="V21" i="7"/>
  <c r="AG19" i="7"/>
  <c r="AI19" i="7"/>
  <c r="AJ21" i="7"/>
  <c r="W13" i="7"/>
  <c r="O18" i="7"/>
  <c r="L18" i="7"/>
  <c r="U15" i="7"/>
  <c r="U18" i="7"/>
  <c r="L15" i="7"/>
  <c r="AI13" i="7"/>
  <c r="Z15" i="7"/>
  <c r="L14" i="7"/>
  <c r="E18" i="7"/>
  <c r="I19" i="7"/>
  <c r="E16" i="7"/>
  <c r="H13" i="7"/>
  <c r="Z18" i="7"/>
  <c r="U8" i="7"/>
  <c r="AI17" i="7"/>
  <c r="AJ15" i="7"/>
  <c r="AC22" i="7"/>
  <c r="AD16" i="7"/>
  <c r="AD18" i="7"/>
  <c r="AB11" i="7"/>
  <c r="I20" i="7"/>
  <c r="N21" i="7"/>
  <c r="P19" i="7"/>
  <c r="U19" i="7"/>
  <c r="V14" i="7"/>
  <c r="Z19" i="7"/>
  <c r="E22" i="7"/>
  <c r="I18" i="7"/>
  <c r="V12" i="7"/>
  <c r="W18" i="7"/>
  <c r="V22" i="7"/>
  <c r="U22" i="7"/>
  <c r="W20" i="7"/>
  <c r="AB15" i="7"/>
  <c r="P16" i="7"/>
  <c r="V20" i="7"/>
  <c r="V18" i="7"/>
  <c r="U21" i="7"/>
  <c r="V17" i="7"/>
  <c r="O16" i="7"/>
  <c r="O13" i="7"/>
  <c r="E15" i="7"/>
  <c r="AC17" i="7"/>
  <c r="P17" i="7"/>
  <c r="AJ17" i="7"/>
  <c r="AC9" i="7"/>
  <c r="U10" i="7"/>
  <c r="H8" i="7"/>
  <c r="S20" i="7"/>
  <c r="V11" i="7"/>
  <c r="E8" i="7"/>
  <c r="W6" i="7"/>
  <c r="AJ14" i="7"/>
  <c r="N17" i="7"/>
  <c r="AC18" i="7"/>
  <c r="V19" i="7"/>
  <c r="Z22" i="7"/>
  <c r="AB18" i="7"/>
  <c r="AI22" i="7"/>
  <c r="O19" i="7"/>
  <c r="AD7" i="7"/>
  <c r="AB4" i="7"/>
  <c r="AI21" i="7"/>
  <c r="AC15" i="7"/>
  <c r="AI8" i="7"/>
  <c r="Z14" i="7"/>
  <c r="N12" i="7"/>
  <c r="L16" i="7"/>
  <c r="W10" i="7"/>
  <c r="N11" i="7"/>
  <c r="L11" i="7"/>
  <c r="AD8" i="7"/>
  <c r="L17" i="7"/>
  <c r="S18" i="7"/>
  <c r="H14" i="7"/>
  <c r="E19" i="7"/>
  <c r="H16" i="7"/>
  <c r="O22" i="7"/>
  <c r="W22" i="7"/>
  <c r="P10" i="7"/>
  <c r="AJ4" i="7"/>
  <c r="AG4" i="7"/>
  <c r="AG21" i="7"/>
  <c r="AG22" i="7"/>
  <c r="AB20" i="7"/>
  <c r="U20" i="7"/>
  <c r="O21" i="7"/>
  <c r="W11" i="7"/>
  <c r="I22" i="7"/>
  <c r="V10" i="7"/>
  <c r="V15" i="7"/>
  <c r="E21" i="7"/>
  <c r="P22" i="7"/>
  <c r="AC4" i="7"/>
  <c r="N22" i="7"/>
  <c r="AI4" i="7"/>
  <c r="N18" i="7"/>
  <c r="AB22" i="7"/>
  <c r="O17" i="7"/>
  <c r="P9" i="7"/>
  <c r="N15" i="7"/>
  <c r="P14" i="7"/>
  <c r="P8" i="7"/>
  <c r="H17" i="7"/>
  <c r="N16" i="7"/>
  <c r="AI12" i="7"/>
  <c r="Z21" i="7"/>
  <c r="L20" i="7"/>
  <c r="AJ20" i="7"/>
  <c r="AC13" i="7"/>
  <c r="W12" i="7"/>
  <c r="E17" i="7"/>
  <c r="L10" i="7"/>
  <c r="AK16" i="7"/>
  <c r="S14" i="7"/>
  <c r="E20" i="7"/>
  <c r="U11" i="7"/>
  <c r="AG9" i="7"/>
  <c r="S8" i="7"/>
  <c r="AK18" i="7"/>
  <c r="O10" i="7"/>
  <c r="I17" i="7"/>
  <c r="AK21" i="7"/>
  <c r="AD19" i="7"/>
  <c r="AJ11" i="7"/>
  <c r="I13" i="7"/>
  <c r="H22" i="7"/>
  <c r="H18" i="7"/>
  <c r="N8" i="7"/>
  <c r="AG8" i="7"/>
  <c r="A78" i="28"/>
  <c r="C26" i="29"/>
  <c r="C53" i="29"/>
  <c r="C14" i="29"/>
  <c r="A410" i="28"/>
  <c r="A193" i="28"/>
  <c r="A203" i="28"/>
  <c r="A420" i="28"/>
  <c r="A384" i="28"/>
  <c r="A167" i="28"/>
  <c r="A382" i="28"/>
  <c r="A165" i="28"/>
  <c r="A318" i="28"/>
  <c r="A101" i="28"/>
  <c r="A302" i="28"/>
  <c r="A85" i="28"/>
  <c r="A289" i="28"/>
  <c r="A72" i="28"/>
  <c r="A288" i="28"/>
  <c r="A71" i="28"/>
  <c r="A70" i="28"/>
  <c r="A287" i="28"/>
  <c r="A405" i="28"/>
  <c r="A188" i="28"/>
  <c r="A270" i="28"/>
  <c r="A53" i="28"/>
  <c r="A261" i="28"/>
  <c r="A44" i="28"/>
  <c r="A260" i="28"/>
  <c r="A43" i="28"/>
  <c r="A812" i="28"/>
  <c r="A1126" i="28"/>
  <c r="A1125" i="28"/>
  <c r="A1124" i="28"/>
  <c r="A232" i="28"/>
  <c r="A15" i="28"/>
  <c r="A413" i="28"/>
  <c r="A196" i="28"/>
  <c r="A1123" i="28"/>
  <c r="A1122" i="28"/>
  <c r="A360" i="28"/>
  <c r="A143" i="28"/>
  <c r="A1073" i="28"/>
  <c r="A1072" i="28"/>
  <c r="A1071" i="28"/>
  <c r="A1110" i="28"/>
  <c r="A1109" i="28"/>
  <c r="A1108" i="28"/>
  <c r="A1107" i="28"/>
  <c r="A1106" i="28"/>
  <c r="A1113" i="28"/>
  <c r="A1112" i="28"/>
  <c r="A1111" i="28"/>
  <c r="A1076" i="28"/>
  <c r="A1077" i="28"/>
  <c r="A1075" i="28"/>
  <c r="A1074" i="28"/>
  <c r="A1078" i="28"/>
  <c r="A1080" i="28"/>
  <c r="A1079" i="28"/>
  <c r="A1102" i="28"/>
  <c r="A1101" i="28"/>
  <c r="A1100" i="28"/>
  <c r="A1099" i="28"/>
  <c r="A1105" i="28"/>
  <c r="A1104" i="28"/>
  <c r="A1103" i="28"/>
  <c r="A585" i="28"/>
  <c r="A584" i="28"/>
  <c r="A1094" i="28"/>
  <c r="A1093" i="28"/>
  <c r="A1092" i="28"/>
  <c r="A1091" i="28"/>
  <c r="A1098" i="28"/>
  <c r="A1090" i="28"/>
  <c r="A1097" i="28"/>
  <c r="A1089" i="28"/>
  <c r="A1096" i="28"/>
  <c r="A1095" i="28"/>
  <c r="A1117" i="28"/>
  <c r="A1116" i="28"/>
  <c r="A1115" i="28"/>
  <c r="A1114" i="28"/>
  <c r="A1086" i="28"/>
  <c r="A1085" i="28"/>
  <c r="A1084" i="28"/>
  <c r="A1082" i="28"/>
  <c r="A1088" i="28"/>
  <c r="A1083" i="28"/>
  <c r="A1087" i="28"/>
  <c r="A1070" i="28"/>
  <c r="A1064" i="28"/>
  <c r="A1063" i="28"/>
  <c r="A1062" i="28"/>
  <c r="A1069" i="28"/>
  <c r="A1061" i="28"/>
  <c r="A1068" i="28"/>
  <c r="A1067" i="28"/>
  <c r="A1066" i="28"/>
  <c r="A1065" i="28"/>
  <c r="A439" i="28"/>
  <c r="A438" i="28"/>
  <c r="A776" i="28"/>
  <c r="A429" i="28"/>
  <c r="A212" i="28"/>
  <c r="A211" i="28"/>
  <c r="A428" i="28"/>
  <c r="A215" i="28"/>
  <c r="A412" i="28"/>
  <c r="A195" i="28"/>
  <c r="A432" i="28"/>
  <c r="A407" i="28"/>
  <c r="A190" i="28"/>
  <c r="A404" i="28"/>
  <c r="A187" i="28"/>
  <c r="A186" i="28"/>
  <c r="A402" i="28"/>
  <c r="A185" i="28"/>
  <c r="A403" i="28"/>
  <c r="A400" i="28"/>
  <c r="A183" i="28"/>
  <c r="A920" i="28"/>
  <c r="A398" i="28"/>
  <c r="A181" i="28"/>
  <c r="A397" i="28"/>
  <c r="A180" i="28"/>
  <c r="A869" i="28"/>
  <c r="A387" i="28"/>
  <c r="A170" i="28"/>
  <c r="A373" i="28"/>
  <c r="A156" i="28"/>
  <c r="A880" i="28"/>
  <c r="A374" i="28"/>
  <c r="A157" i="28"/>
  <c r="A372" i="28"/>
  <c r="A155" i="28"/>
  <c r="A153" i="28"/>
  <c r="A370" i="28"/>
  <c r="A369" i="28"/>
  <c r="A152" i="28"/>
  <c r="A364" i="28"/>
  <c r="A147" i="28"/>
  <c r="A358" i="28"/>
  <c r="A141" i="28"/>
  <c r="A357" i="28"/>
  <c r="A140" i="28"/>
  <c r="A139" i="28"/>
  <c r="A356" i="28"/>
  <c r="A138" i="28"/>
  <c r="A355" i="28"/>
  <c r="A353" i="28"/>
  <c r="A136" i="28"/>
  <c r="A131" i="28"/>
  <c r="A348" i="28"/>
  <c r="A342" i="28"/>
  <c r="A125" i="28"/>
  <c r="A336" i="28"/>
  <c r="A119" i="28"/>
  <c r="A117" i="28"/>
  <c r="A334" i="28"/>
  <c r="A332" i="28"/>
  <c r="A115" i="28"/>
  <c r="A113" i="28"/>
  <c r="A330" i="28"/>
  <c r="A326" i="28"/>
  <c r="A109" i="28"/>
  <c r="A79" i="28"/>
  <c r="A296" i="28"/>
  <c r="A77" i="28"/>
  <c r="A294" i="28"/>
  <c r="A293" i="28"/>
  <c r="A76" i="28"/>
  <c r="A73" i="28"/>
  <c r="A290" i="28"/>
  <c r="A285" i="28"/>
  <c r="A68" i="28"/>
  <c r="A64" i="28"/>
  <c r="A281" i="28"/>
  <c r="A277" i="28"/>
  <c r="A59" i="28"/>
  <c r="A276" i="28"/>
  <c r="A526" i="28"/>
  <c r="A273" i="28"/>
  <c r="A56" i="28"/>
  <c r="A278" i="28"/>
  <c r="A61" i="28"/>
  <c r="A274" i="28"/>
  <c r="A57" i="28"/>
  <c r="A52" i="28"/>
  <c r="A184" i="28"/>
  <c r="A269" i="28"/>
  <c r="A401" i="28"/>
  <c r="A266" i="28"/>
  <c r="A49" i="28"/>
  <c r="A265" i="28"/>
  <c r="A48" i="28"/>
  <c r="A262" i="28"/>
  <c r="A45" i="28"/>
  <c r="A42" i="28"/>
  <c r="A259" i="28"/>
  <c r="A254" i="28"/>
  <c r="A37" i="28"/>
  <c r="A257" i="28"/>
  <c r="A40" i="28"/>
  <c r="A890" i="28"/>
  <c r="A253" i="28"/>
  <c r="A36" i="28"/>
  <c r="A252" i="28"/>
  <c r="A35" i="28"/>
  <c r="A248" i="28"/>
  <c r="A31" i="28"/>
  <c r="A242" i="28"/>
  <c r="A25" i="28"/>
  <c r="A228" i="28"/>
  <c r="A11" i="28"/>
  <c r="A627" i="28"/>
  <c r="A1058" i="28"/>
  <c r="A1057" i="28"/>
  <c r="A1059" i="28"/>
  <c r="A1060" i="28"/>
  <c r="A1037" i="28"/>
  <c r="A1036" i="28"/>
  <c r="A1044" i="28"/>
  <c r="A1043" i="28"/>
  <c r="A1042" i="28"/>
  <c r="A1045" i="28"/>
  <c r="A1030" i="28"/>
  <c r="A1029" i="28"/>
  <c r="A1028" i="28"/>
  <c r="A1027" i="28"/>
  <c r="A1026" i="28"/>
  <c r="A1031" i="28"/>
  <c r="A1039" i="28"/>
  <c r="A1038" i="28"/>
  <c r="A1035" i="28"/>
  <c r="A1034" i="28"/>
  <c r="A596" i="28"/>
  <c r="A707" i="28"/>
  <c r="A589" i="28"/>
  <c r="A582" i="28"/>
  <c r="A1008" i="28"/>
  <c r="A607" i="28"/>
  <c r="A606" i="28"/>
  <c r="A1006" i="28"/>
  <c r="A1005" i="28"/>
  <c r="A1017" i="28"/>
  <c r="A1024" i="28"/>
  <c r="A1023" i="28"/>
  <c r="A1018" i="28"/>
  <c r="A1022" i="28"/>
  <c r="A1021" i="28"/>
  <c r="A1020" i="28"/>
  <c r="A1019" i="28"/>
  <c r="A1015" i="28"/>
  <c r="A1014" i="28"/>
  <c r="A1013" i="28"/>
  <c r="A1012" i="28"/>
  <c r="A1010" i="28"/>
  <c r="A1009" i="28"/>
  <c r="A1002" i="28"/>
  <c r="A1001" i="28"/>
  <c r="A1000" i="28"/>
  <c r="A999" i="28"/>
  <c r="A963" i="28"/>
  <c r="A962" i="28"/>
  <c r="A961" i="28"/>
  <c r="A960" i="28"/>
  <c r="A959" i="28"/>
  <c r="A958" i="28"/>
  <c r="A965" i="28"/>
  <c r="A957" i="28"/>
  <c r="A964" i="28"/>
  <c r="A955" i="28"/>
  <c r="A954" i="28"/>
  <c r="A953" i="28"/>
  <c r="A956" i="28"/>
  <c r="A512" i="28"/>
  <c r="A834" i="28"/>
  <c r="A832" i="28"/>
  <c r="A833" i="28"/>
  <c r="A831" i="28"/>
  <c r="A835" i="28"/>
  <c r="A830" i="28"/>
  <c r="A829" i="28"/>
  <c r="A828" i="28"/>
  <c r="A827" i="28"/>
  <c r="A841" i="28"/>
  <c r="A840" i="28"/>
  <c r="A839" i="28"/>
  <c r="A838" i="28"/>
  <c r="A971" i="28"/>
  <c r="A970" i="28"/>
  <c r="A969" i="28"/>
  <c r="A975" i="28"/>
  <c r="A967" i="28"/>
  <c r="A974" i="28"/>
  <c r="A966" i="28"/>
  <c r="A973" i="28"/>
  <c r="A968" i="28"/>
  <c r="A972" i="28"/>
  <c r="A976" i="28"/>
  <c r="A946" i="28"/>
  <c r="A562" i="28"/>
  <c r="A977" i="28"/>
  <c r="A986" i="28"/>
  <c r="A991" i="28"/>
  <c r="A985" i="28"/>
  <c r="A983" i="28"/>
  <c r="A992" i="28"/>
  <c r="A984" i="28"/>
  <c r="A982" i="28"/>
  <c r="A981" i="28"/>
  <c r="A990" i="28"/>
  <c r="A980" i="28"/>
  <c r="A989" i="28"/>
  <c r="A979" i="28"/>
  <c r="A988" i="28"/>
  <c r="A978" i="28"/>
  <c r="A987" i="28"/>
  <c r="A565" i="28"/>
  <c r="A688" i="28"/>
  <c r="A593" i="28"/>
  <c r="A608" i="28"/>
  <c r="A908" i="28"/>
  <c r="A905" i="28"/>
  <c r="A904" i="28"/>
  <c r="A850" i="28"/>
  <c r="A849" i="28"/>
  <c r="A848" i="28"/>
  <c r="A847" i="28"/>
  <c r="A852" i="28"/>
  <c r="A851" i="28"/>
  <c r="A502" i="28"/>
  <c r="A855" i="28"/>
  <c r="A856" i="28"/>
  <c r="A931" i="28"/>
  <c r="A930" i="28"/>
  <c r="A936" i="28"/>
  <c r="A935" i="28"/>
  <c r="A932" i="28"/>
  <c r="A933" i="28"/>
  <c r="A934" i="28"/>
  <c r="A929" i="28"/>
  <c r="A870" i="28"/>
  <c r="A874" i="28"/>
  <c r="A873" i="28"/>
  <c r="A872" i="28"/>
  <c r="A871" i="28"/>
  <c r="A875" i="28"/>
  <c r="A511" i="28"/>
  <c r="A867" i="28"/>
  <c r="A868" i="28"/>
  <c r="A474" i="28"/>
  <c r="A473" i="28"/>
  <c r="A476" i="28"/>
  <c r="A475" i="28"/>
  <c r="A942" i="28"/>
  <c r="A941" i="28"/>
  <c r="A532" i="28"/>
  <c r="A927" i="28"/>
  <c r="A926" i="28"/>
  <c r="A675" i="28"/>
  <c r="A540" i="28"/>
  <c r="A538" i="28"/>
  <c r="A919" i="28"/>
  <c r="A918" i="28"/>
  <c r="A917" i="28"/>
  <c r="A916" i="28"/>
  <c r="A914" i="28"/>
  <c r="A915" i="28"/>
  <c r="A937" i="28"/>
  <c r="A939" i="28"/>
  <c r="A938" i="28"/>
  <c r="A940" i="28"/>
  <c r="A566" i="28"/>
  <c r="A922" i="28"/>
  <c r="A921" i="28"/>
  <c r="A898" i="28"/>
  <c r="A878" i="28"/>
  <c r="A879" i="28"/>
  <c r="A861" i="28"/>
  <c r="A860" i="28"/>
  <c r="A944" i="28"/>
  <c r="A943" i="28"/>
  <c r="A885" i="28"/>
  <c r="A884" i="28"/>
  <c r="A882" i="28"/>
  <c r="A883" i="28"/>
  <c r="A685" i="28"/>
  <c r="A897" i="28"/>
  <c r="A895" i="28"/>
  <c r="A896" i="28"/>
  <c r="A893" i="28"/>
  <c r="A894" i="28"/>
  <c r="A892" i="28"/>
  <c r="A513" i="28"/>
  <c r="A887" i="28"/>
  <c r="A889" i="28"/>
  <c r="A888" i="28"/>
  <c r="A854" i="28"/>
  <c r="A863" i="28"/>
  <c r="A862" i="28"/>
  <c r="A826" i="28"/>
  <c r="A443" i="28"/>
  <c r="A760" i="28"/>
  <c r="A808" i="28"/>
  <c r="A809" i="28"/>
  <c r="A807" i="28"/>
  <c r="A811" i="28"/>
  <c r="A810" i="28"/>
  <c r="A843" i="28"/>
  <c r="A842" i="28"/>
  <c r="A845" i="28"/>
  <c r="A844" i="28"/>
  <c r="A822" i="28"/>
  <c r="A821" i="28"/>
  <c r="A816" i="28"/>
  <c r="A817" i="28"/>
  <c r="A823" i="28"/>
  <c r="A824" i="28"/>
  <c r="A772" i="28"/>
  <c r="A310" i="28"/>
  <c r="A93" i="28"/>
  <c r="A800" i="28"/>
  <c r="A799" i="28"/>
  <c r="A798" i="28"/>
  <c r="A797" i="28"/>
  <c r="A795" i="28"/>
  <c r="A796" i="28"/>
  <c r="I21" i="7"/>
  <c r="A214" i="28"/>
  <c r="A431" i="28"/>
  <c r="A423" i="28"/>
  <c r="A206" i="28"/>
  <c r="A177" i="28"/>
  <c r="A394" i="28"/>
  <c r="A178" i="28"/>
  <c r="A395" i="28"/>
  <c r="A391" i="28"/>
  <c r="A174" i="28"/>
  <c r="A522" i="28"/>
  <c r="A791" i="28"/>
  <c r="A790" i="28"/>
  <c r="A793" i="28"/>
  <c r="A792" i="28"/>
  <c r="A706" i="28"/>
  <c r="A786" i="28"/>
  <c r="A785" i="28"/>
  <c r="A784" i="28"/>
  <c r="A783" i="28"/>
  <c r="A789" i="28"/>
  <c r="A788" i="28"/>
  <c r="A787" i="28"/>
  <c r="A433" i="28"/>
  <c r="A216" i="28"/>
  <c r="A422" i="28"/>
  <c r="A205" i="28"/>
  <c r="A703" i="28"/>
  <c r="A427" i="28"/>
  <c r="A210" i="28"/>
  <c r="A418" i="28"/>
  <c r="A201" i="28"/>
  <c r="A200" i="28"/>
  <c r="A417" i="28"/>
  <c r="A198" i="28"/>
  <c r="A415" i="28"/>
  <c r="A673" i="28"/>
  <c r="A435" i="28"/>
  <c r="A218" i="28"/>
  <c r="A411" i="28"/>
  <c r="A194" i="28"/>
  <c r="A406" i="28"/>
  <c r="A189" i="28"/>
  <c r="A179" i="28"/>
  <c r="A396" i="28"/>
  <c r="A386" i="28"/>
  <c r="A169" i="28"/>
  <c r="A361" i="28"/>
  <c r="A144" i="28"/>
  <c r="A351" i="28"/>
  <c r="A134" i="28"/>
  <c r="A338" i="28"/>
  <c r="A121" i="28"/>
  <c r="A114" i="28"/>
  <c r="A331" i="28"/>
  <c r="A300" i="28"/>
  <c r="A83" i="28"/>
  <c r="A773" i="28"/>
  <c r="A778" i="28"/>
  <c r="A777" i="28"/>
  <c r="A775" i="28"/>
  <c r="A774" i="28"/>
  <c r="A450" i="28"/>
  <c r="A442" i="28"/>
  <c r="A761" i="28"/>
  <c r="A762" i="28"/>
  <c r="A297" i="28"/>
  <c r="A80" i="28"/>
  <c r="A299" i="28"/>
  <c r="A82" i="28"/>
  <c r="A295" i="28"/>
  <c r="A279" i="28"/>
  <c r="A62" i="28"/>
  <c r="A116" i="28"/>
  <c r="A333" i="28"/>
  <c r="A268" i="28"/>
  <c r="A51" i="28"/>
  <c r="A256" i="28"/>
  <c r="A39" i="28"/>
  <c r="A33" i="28"/>
  <c r="A250" i="28"/>
  <c r="A245" i="28"/>
  <c r="A27" i="28"/>
  <c r="A244" i="28"/>
  <c r="A28" i="28"/>
  <c r="A748" i="28"/>
  <c r="A749" i="28"/>
  <c r="A750" i="28"/>
  <c r="A621" i="28"/>
  <c r="A733" i="28"/>
  <c r="A732" i="28"/>
  <c r="A759" i="28"/>
  <c r="A758" i="28"/>
  <c r="A757" i="28"/>
  <c r="A756" i="28"/>
  <c r="A755" i="28"/>
  <c r="A754" i="28"/>
  <c r="A753" i="28"/>
  <c r="A752" i="28"/>
  <c r="A734" i="28"/>
  <c r="A740" i="28"/>
  <c r="A738" i="28"/>
  <c r="A736" i="28"/>
  <c r="A729" i="28"/>
  <c r="A728" i="28"/>
  <c r="A741" i="28"/>
  <c r="A742" i="28"/>
  <c r="A745" i="28"/>
  <c r="A744" i="28"/>
  <c r="A623" i="28"/>
  <c r="A594" i="28"/>
  <c r="A591" i="28"/>
  <c r="A592" i="28"/>
  <c r="A722" i="28"/>
  <c r="A721" i="28"/>
  <c r="A720" i="28"/>
  <c r="A719" i="28"/>
  <c r="A718" i="28"/>
  <c r="A717" i="28"/>
  <c r="A708" i="28"/>
  <c r="A710" i="28"/>
  <c r="A711" i="28"/>
  <c r="A713" i="28"/>
  <c r="A712" i="28"/>
  <c r="A709" i="28"/>
  <c r="A705" i="28"/>
  <c r="A687" i="28"/>
  <c r="A686" i="28"/>
  <c r="A684" i="28"/>
  <c r="A683" i="28"/>
  <c r="A699" i="28"/>
  <c r="A700" i="28"/>
  <c r="A702" i="28"/>
  <c r="A701" i="28"/>
  <c r="A689" i="28"/>
  <c r="A698" i="28"/>
  <c r="A697" i="28"/>
  <c r="L4" i="7"/>
  <c r="N4" i="7"/>
  <c r="P4" i="7"/>
  <c r="O4" i="7"/>
  <c r="F4" i="7"/>
  <c r="E4" i="7"/>
  <c r="A464" i="28"/>
  <c r="A501" i="28"/>
  <c r="A668" i="28"/>
  <c r="A667" i="28"/>
  <c r="A674" i="28"/>
  <c r="A680" i="28"/>
  <c r="A679" i="28"/>
  <c r="A618" i="28"/>
  <c r="A617" i="28"/>
  <c r="A517" i="28"/>
  <c r="A663" i="28"/>
  <c r="A665" i="28"/>
  <c r="A664" i="28"/>
  <c r="A662" i="28"/>
  <c r="A661" i="28"/>
  <c r="A666" i="28"/>
  <c r="A660" i="28"/>
  <c r="A659" i="28"/>
  <c r="A658" i="28"/>
  <c r="A657" i="28"/>
  <c r="A653" i="28"/>
  <c r="A654" i="28"/>
  <c r="A678" i="28"/>
  <c r="A677" i="28"/>
  <c r="A485" i="28"/>
  <c r="A483" i="28"/>
  <c r="A467" i="28"/>
  <c r="A671" i="28"/>
  <c r="A672" i="28"/>
  <c r="A656" i="28"/>
  <c r="A655" i="28"/>
  <c r="A272" i="28"/>
  <c r="A55" i="28"/>
  <c r="A65" i="28"/>
  <c r="A282" i="28"/>
  <c r="A430" i="28"/>
  <c r="A213" i="28"/>
  <c r="A646" i="28"/>
  <c r="A645" i="28"/>
  <c r="A644" i="28"/>
  <c r="A649" i="28"/>
  <c r="A648" i="28"/>
  <c r="A612" i="28"/>
  <c r="A613" i="28"/>
  <c r="A609" i="28"/>
  <c r="A610" i="28"/>
  <c r="A636" i="28"/>
  <c r="A637" i="28"/>
  <c r="A638" i="28"/>
  <c r="A643" i="28"/>
  <c r="A642" i="28"/>
  <c r="A634" i="28"/>
  <c r="A635" i="28"/>
  <c r="A624" i="28"/>
  <c r="A625" i="28"/>
  <c r="A626" i="28"/>
  <c r="A595" i="28"/>
  <c r="A631" i="28"/>
  <c r="A633" i="28"/>
  <c r="A632" i="28"/>
  <c r="A616" i="28"/>
  <c r="A615" i="28"/>
  <c r="A628" i="28"/>
  <c r="A629" i="28"/>
  <c r="A604" i="28"/>
  <c r="A605" i="28"/>
  <c r="A600" i="28"/>
  <c r="A601" i="28"/>
  <c r="A602" i="28"/>
  <c r="A620" i="28"/>
  <c r="A619" i="28"/>
  <c r="A590" i="28"/>
  <c r="A539" i="28"/>
  <c r="A537" i="28"/>
  <c r="A457" i="28"/>
  <c r="A456" i="28"/>
  <c r="A455" i="28"/>
  <c r="A453" i="28"/>
  <c r="A577" i="28"/>
  <c r="A578" i="28"/>
  <c r="A579" i="28"/>
  <c r="A576" i="28"/>
  <c r="A519" i="28"/>
  <c r="A520" i="28"/>
  <c r="A521" i="28"/>
  <c r="A492" i="28"/>
  <c r="A463" i="28"/>
  <c r="A462" i="28"/>
  <c r="A445" i="28"/>
  <c r="A444" i="28"/>
  <c r="A514" i="28"/>
  <c r="A516" i="28"/>
  <c r="A541" i="28"/>
  <c r="A542" i="28"/>
  <c r="A570" i="28"/>
  <c r="A571" i="28"/>
  <c r="A569" i="28"/>
  <c r="A508" i="28"/>
  <c r="A509" i="28"/>
  <c r="A505" i="28"/>
  <c r="A506" i="28"/>
  <c r="A507" i="28"/>
  <c r="A486" i="28"/>
  <c r="A484" i="28"/>
  <c r="A468" i="28"/>
  <c r="A558" i="28"/>
  <c r="A559" i="28"/>
  <c r="A560" i="28"/>
  <c r="A561" i="28"/>
  <c r="A518" i="28"/>
  <c r="A573" i="28"/>
  <c r="A574" i="28"/>
  <c r="A575" i="28"/>
  <c r="A555" i="28"/>
  <c r="A556" i="28"/>
  <c r="A557" i="28"/>
  <c r="A503" i="28"/>
  <c r="A504" i="28"/>
  <c r="A510" i="28"/>
  <c r="A480" i="28"/>
  <c r="A479" i="28"/>
  <c r="A472" i="28"/>
  <c r="A471" i="28"/>
  <c r="A564" i="28"/>
  <c r="A563" i="28"/>
  <c r="A533" i="28"/>
  <c r="A534" i="28"/>
  <c r="A583" i="28"/>
  <c r="A458" i="28"/>
  <c r="A460" i="28"/>
  <c r="A459" i="28"/>
  <c r="A449" i="28"/>
  <c r="A448" i="28"/>
  <c r="A497" i="28"/>
  <c r="A500" i="28"/>
  <c r="A499" i="28"/>
  <c r="A498" i="28"/>
  <c r="A580" i="28"/>
  <c r="A581" i="28"/>
  <c r="A544" i="28"/>
  <c r="A546" i="28"/>
  <c r="A523" i="28"/>
  <c r="A524" i="28"/>
  <c r="A525" i="28"/>
  <c r="A470" i="28"/>
  <c r="A243" i="28"/>
  <c r="A30" i="28"/>
  <c r="A247" i="28"/>
  <c r="A111" i="28"/>
  <c r="A328" i="28"/>
  <c r="A425" i="28"/>
  <c r="A208" i="28"/>
  <c r="A377" i="28"/>
  <c r="A160" i="28"/>
  <c r="A233" i="28"/>
  <c r="A173" i="28"/>
  <c r="A390" i="28"/>
  <c r="A381" i="28"/>
  <c r="A164" i="28"/>
  <c r="A409" i="28"/>
  <c r="A192" i="28"/>
  <c r="A112" i="28"/>
  <c r="A329" i="28"/>
  <c r="A197" i="28"/>
  <c r="A414" i="28"/>
  <c r="A171" i="28"/>
  <c r="A388" i="28"/>
  <c r="A22" i="28"/>
  <c r="A239" i="28"/>
  <c r="A41" i="28"/>
  <c r="A258" i="28"/>
  <c r="A231" i="28"/>
  <c r="A359" i="28"/>
  <c r="A5" i="28"/>
  <c r="A222" i="28"/>
  <c r="A264" i="28"/>
  <c r="A263" i="28"/>
  <c r="A158" i="28"/>
  <c r="A375" i="28"/>
  <c r="A135" i="28"/>
  <c r="A352" i="28"/>
  <c r="A9" i="28"/>
  <c r="A226" i="28"/>
  <c r="A379" i="28"/>
  <c r="A378" i="28"/>
  <c r="A162" i="28"/>
  <c r="A161" i="28"/>
  <c r="A224" i="28"/>
  <c r="A223" i="28"/>
  <c r="A229" i="28"/>
  <c r="A221" i="28"/>
  <c r="A376" i="28"/>
  <c r="A159" i="28"/>
  <c r="A236" i="28"/>
  <c r="A249" i="28"/>
  <c r="A385" i="28"/>
  <c r="A168" i="28"/>
  <c r="A24" i="28"/>
  <c r="A241" i="28"/>
  <c r="A408" i="28"/>
  <c r="A191" i="28"/>
  <c r="A237" i="28"/>
  <c r="A21" i="28"/>
  <c r="A238" i="28"/>
  <c r="A13" i="28"/>
  <c r="A230" i="28"/>
  <c r="A416" i="28"/>
  <c r="A199" i="28"/>
  <c r="A14" i="28"/>
  <c r="A142" i="28"/>
  <c r="A47" i="28"/>
  <c r="A46" i="28"/>
  <c r="A26" i="28"/>
  <c r="A16" i="28"/>
  <c r="A20" i="28"/>
  <c r="A12" i="28"/>
  <c r="A4" i="28"/>
  <c r="A7" i="28"/>
  <c r="A6" i="28"/>
  <c r="A32" i="28"/>
  <c r="A19" i="28"/>
  <c r="C8" i="7"/>
  <c r="C21" i="7"/>
  <c r="C6" i="7"/>
  <c r="C12" i="7"/>
  <c r="C16" i="7"/>
  <c r="C5" i="7"/>
  <c r="C20" i="7"/>
  <c r="C4" i="7"/>
  <c r="C9" i="7"/>
  <c r="C19" i="7"/>
  <c r="C15" i="7"/>
  <c r="C11" i="7"/>
  <c r="C7" i="7"/>
  <c r="C18" i="7"/>
  <c r="C22" i="7"/>
  <c r="C10" i="7"/>
  <c r="C14" i="7"/>
  <c r="C13" i="7"/>
  <c r="C17" i="7"/>
  <c r="AG6" i="7"/>
  <c r="Z8" i="7"/>
  <c r="U7" i="7"/>
  <c r="O6" i="7"/>
  <c r="I8" i="7"/>
  <c r="H11" i="7"/>
  <c r="E14" i="7"/>
  <c r="I16" i="7"/>
  <c r="AJ6" i="7"/>
  <c r="AJ8" i="7"/>
  <c r="AB8" i="7"/>
  <c r="AB10" i="7"/>
  <c r="V7" i="7"/>
  <c r="V9" i="7"/>
  <c r="P6" i="7"/>
  <c r="F9" i="7"/>
  <c r="I11" i="7"/>
  <c r="AK6" i="7"/>
  <c r="AK8" i="7"/>
  <c r="AC8" i="7"/>
  <c r="W7" i="7"/>
  <c r="L7" i="7"/>
  <c r="E5" i="7"/>
  <c r="H9" i="7"/>
  <c r="E12" i="7"/>
  <c r="I14" i="7"/>
  <c r="N7" i="7"/>
  <c r="H6" i="7"/>
  <c r="I9" i="7"/>
  <c r="H12" i="7"/>
  <c r="AI7" i="7"/>
  <c r="AI9" i="7"/>
  <c r="AC6" i="7"/>
  <c r="Z9" i="7"/>
  <c r="V5" i="7"/>
  <c r="O7" i="7"/>
  <c r="I6" i="7"/>
  <c r="E10" i="7"/>
  <c r="I12" i="7"/>
  <c r="H15" i="7"/>
  <c r="AJ7" i="7"/>
  <c r="AJ9" i="7"/>
  <c r="AD6" i="7"/>
  <c r="AB9" i="7"/>
  <c r="W5" i="7"/>
  <c r="V8" i="7"/>
  <c r="P7" i="7"/>
  <c r="I7" i="7"/>
  <c r="H10" i="7"/>
  <c r="AH8" i="7"/>
  <c r="AH16" i="7"/>
  <c r="AA6" i="7"/>
  <c r="AA14" i="7"/>
  <c r="AA22" i="7"/>
  <c r="T12" i="7"/>
  <c r="T20" i="7"/>
  <c r="M10" i="7"/>
  <c r="M18" i="7"/>
  <c r="AA4" i="7"/>
  <c r="F8" i="7"/>
  <c r="AH13" i="7"/>
  <c r="AH21" i="7"/>
  <c r="AA11" i="7"/>
  <c r="AA19" i="7"/>
  <c r="T9" i="7"/>
  <c r="T17" i="7"/>
  <c r="M15" i="7"/>
  <c r="T4" i="7"/>
  <c r="F13" i="7"/>
  <c r="F21" i="7"/>
  <c r="T7" i="7"/>
  <c r="T15" i="7"/>
  <c r="AH4" i="7"/>
  <c r="AH10" i="7"/>
  <c r="AH18" i="7"/>
  <c r="AA8" i="7"/>
  <c r="AA16" i="7"/>
  <c r="T14" i="7"/>
  <c r="T22" i="7"/>
  <c r="M12" i="7"/>
  <c r="M20" i="7"/>
  <c r="M4" i="7"/>
  <c r="F10" i="7"/>
  <c r="F18" i="7"/>
  <c r="F19" i="7"/>
  <c r="AH7" i="7"/>
  <c r="AH15" i="7"/>
  <c r="AA13" i="7"/>
  <c r="AA21" i="7"/>
  <c r="T11" i="7"/>
  <c r="T19" i="7"/>
  <c r="M9" i="7"/>
  <c r="M17" i="7"/>
  <c r="F15" i="7"/>
  <c r="AH11" i="7"/>
  <c r="M5" i="7"/>
  <c r="AH12" i="7"/>
  <c r="AH20" i="7"/>
  <c r="AA10" i="7"/>
  <c r="AA18" i="7"/>
  <c r="T8" i="7"/>
  <c r="T16" i="7"/>
  <c r="M14" i="7"/>
  <c r="M22" i="7"/>
  <c r="F12" i="7"/>
  <c r="F20" i="7"/>
  <c r="F17" i="7"/>
  <c r="M13" i="7"/>
  <c r="M21" i="7"/>
  <c r="AH9" i="7"/>
  <c r="AH17" i="7"/>
  <c r="AA7" i="7"/>
  <c r="AA15" i="7"/>
  <c r="T13" i="7"/>
  <c r="T21" i="7"/>
  <c r="M11" i="7"/>
  <c r="M19" i="7"/>
  <c r="AH14" i="7"/>
  <c r="AH22" i="7"/>
  <c r="AA12" i="7"/>
  <c r="AA20" i="7"/>
  <c r="T10" i="7"/>
  <c r="T18" i="7"/>
  <c r="M8" i="7"/>
  <c r="M16" i="7"/>
  <c r="F14" i="7"/>
  <c r="F22" i="7"/>
  <c r="AH19" i="7"/>
  <c r="AA9" i="7"/>
  <c r="AA17" i="7"/>
  <c r="F11" i="7"/>
  <c r="F16" i="7"/>
  <c r="AG5" i="7"/>
  <c r="AH5" i="7"/>
  <c r="AB6" i="7"/>
  <c r="S6" i="7"/>
  <c r="O5" i="7"/>
  <c r="M7" i="7"/>
  <c r="H4" i="7"/>
  <c r="F5" i="7"/>
  <c r="AI5" i="7"/>
  <c r="Z5" i="7"/>
  <c r="T6" i="7"/>
  <c r="P5" i="7"/>
  <c r="G5" i="7"/>
  <c r="E7" i="7"/>
  <c r="AJ5" i="7"/>
  <c r="AA5" i="7"/>
  <c r="U6" i="7"/>
  <c r="L6" i="7"/>
  <c r="H5" i="7"/>
  <c r="F7" i="7"/>
  <c r="AK5" i="7"/>
  <c r="AB5" i="7"/>
  <c r="Z7" i="7"/>
  <c r="S5" i="7"/>
  <c r="V6" i="7"/>
  <c r="M6" i="7"/>
  <c r="I4" i="7"/>
  <c r="I5" i="7"/>
  <c r="G7" i="7"/>
  <c r="E9" i="7"/>
  <c r="AC5" i="7"/>
  <c r="T5" i="7"/>
  <c r="N6" i="7"/>
  <c r="E6" i="7"/>
  <c r="H7" i="7"/>
  <c r="AH6" i="7"/>
  <c r="AD5" i="7"/>
  <c r="AB7" i="7"/>
  <c r="U5" i="7"/>
  <c r="L5" i="7"/>
  <c r="G4" i="7"/>
  <c r="F6" i="7"/>
  <c r="AI6" i="7"/>
  <c r="G8" i="7"/>
  <c r="G16" i="7"/>
  <c r="G22" i="7"/>
  <c r="G13" i="7"/>
  <c r="G21" i="7"/>
  <c r="G11" i="7"/>
  <c r="G10" i="7"/>
  <c r="G18" i="7"/>
  <c r="G12" i="7"/>
  <c r="G20" i="7"/>
  <c r="G6" i="7"/>
  <c r="G19" i="7"/>
  <c r="G15" i="7"/>
  <c r="G14" i="7"/>
  <c r="G9" i="7"/>
  <c r="G17" i="7"/>
  <c r="C24" i="7" l="1"/>
  <c r="AC24" i="7" l="1"/>
  <c r="AH24" i="7"/>
  <c r="AK24" i="7"/>
  <c r="AD24" i="7"/>
  <c r="AA24" i="7"/>
  <c r="AI24" i="7"/>
  <c r="AB24" i="7"/>
  <c r="AG24" i="7"/>
  <c r="Z24" i="7"/>
  <c r="AJ24" i="7"/>
  <c r="B5" i="7" l="1"/>
  <c r="B9" i="7"/>
  <c r="B13" i="7"/>
  <c r="B17" i="7"/>
  <c r="B21" i="7"/>
  <c r="B16" i="7"/>
  <c r="B6" i="7"/>
  <c r="B10" i="7"/>
  <c r="B14" i="7"/>
  <c r="B18" i="7"/>
  <c r="B7" i="7"/>
  <c r="B11" i="7"/>
  <c r="B15" i="7"/>
  <c r="B19" i="7"/>
  <c r="B4" i="7"/>
  <c r="B8" i="7"/>
  <c r="B12" i="7"/>
  <c r="B20" i="7"/>
  <c r="B22" i="7"/>
  <c r="K20" i="7" l="1"/>
  <c r="Y20" i="7"/>
  <c r="R20" i="7"/>
  <c r="AF20" i="7"/>
  <c r="AM20" i="7"/>
  <c r="AF8" i="7"/>
  <c r="Y8" i="7"/>
  <c r="AM8" i="7"/>
  <c r="R8" i="7"/>
  <c r="K8" i="7"/>
  <c r="Y10" i="7"/>
  <c r="K10" i="7"/>
  <c r="AF10" i="7"/>
  <c r="AM10" i="7"/>
  <c r="R10" i="7"/>
  <c r="K4" i="7"/>
  <c r="R4" i="7"/>
  <c r="AF4" i="7"/>
  <c r="Y4" i="7"/>
  <c r="AM4" i="7"/>
  <c r="AF6" i="7"/>
  <c r="Y6" i="7"/>
  <c r="AM6" i="7"/>
  <c r="R6" i="7"/>
  <c r="K6" i="7"/>
  <c r="Y19" i="7"/>
  <c r="AM19" i="7"/>
  <c r="AF19" i="7"/>
  <c r="R19" i="7"/>
  <c r="K19" i="7"/>
  <c r="K16" i="7"/>
  <c r="AF16" i="7"/>
  <c r="Y16" i="7"/>
  <c r="AM16" i="7"/>
  <c r="R16" i="7"/>
  <c r="AM22" i="7"/>
  <c r="R22" i="7"/>
  <c r="K22" i="7"/>
  <c r="AF22" i="7"/>
  <c r="Y22" i="7"/>
  <c r="R15" i="7"/>
  <c r="AF15" i="7"/>
  <c r="Y15" i="7"/>
  <c r="AM15" i="7"/>
  <c r="K15" i="7"/>
  <c r="Y21" i="7"/>
  <c r="R21" i="7"/>
  <c r="K21" i="7"/>
  <c r="AF21" i="7"/>
  <c r="AM21" i="7"/>
  <c r="R11" i="7"/>
  <c r="Y11" i="7"/>
  <c r="K11" i="7"/>
  <c r="AM11" i="7"/>
  <c r="AF11" i="7"/>
  <c r="AF17" i="7"/>
  <c r="Y17" i="7"/>
  <c r="AM17" i="7"/>
  <c r="R17" i="7"/>
  <c r="K17" i="7"/>
  <c r="R7" i="7"/>
  <c r="K7" i="7"/>
  <c r="AF7" i="7"/>
  <c r="Y7" i="7"/>
  <c r="AM7" i="7"/>
  <c r="K13" i="7"/>
  <c r="AF13" i="7"/>
  <c r="Y13" i="7"/>
  <c r="R13" i="7"/>
  <c r="AM13" i="7"/>
  <c r="K18" i="7"/>
  <c r="AF18" i="7"/>
  <c r="AM18" i="7"/>
  <c r="R18" i="7"/>
  <c r="Y18" i="7"/>
  <c r="AF9" i="7"/>
  <c r="AM9" i="7"/>
  <c r="K9" i="7"/>
  <c r="R9" i="7"/>
  <c r="Y9" i="7"/>
  <c r="AM12" i="7"/>
  <c r="R12" i="7"/>
  <c r="Y12" i="7"/>
  <c r="K12" i="7"/>
  <c r="AF12" i="7"/>
  <c r="K14" i="7"/>
  <c r="Y14" i="7"/>
  <c r="AF14" i="7"/>
  <c r="AM14" i="7"/>
  <c r="R14" i="7"/>
  <c r="R5" i="7"/>
  <c r="AF5" i="7"/>
  <c r="K5" i="7"/>
  <c r="Y5" i="7"/>
  <c r="AM5" i="7"/>
  <c r="Q12" i="7"/>
  <c r="AE12" i="7"/>
  <c r="J12" i="7"/>
  <c r="AL12" i="7"/>
  <c r="X12" i="7"/>
  <c r="X4" i="7"/>
  <c r="AL4" i="7"/>
  <c r="Q4" i="7"/>
  <c r="AE4" i="7"/>
  <c r="J4" i="7"/>
  <c r="X6" i="7"/>
  <c r="AL6" i="7"/>
  <c r="Q6" i="7"/>
  <c r="AE6" i="7"/>
  <c r="J6" i="7"/>
  <c r="X8" i="7"/>
  <c r="AL8" i="7"/>
  <c r="J8" i="7"/>
  <c r="Q8" i="7"/>
  <c r="AE8" i="7"/>
  <c r="AE19" i="7"/>
  <c r="J19" i="7"/>
  <c r="Q19" i="7"/>
  <c r="X19" i="7"/>
  <c r="AL19" i="7"/>
  <c r="X16" i="7"/>
  <c r="AL16" i="7"/>
  <c r="J16" i="7"/>
  <c r="Q16" i="7"/>
  <c r="AE16" i="7"/>
  <c r="AE10" i="7"/>
  <c r="J10" i="7"/>
  <c r="X10" i="7"/>
  <c r="AL10" i="7"/>
  <c r="Q10" i="7"/>
  <c r="X15" i="7"/>
  <c r="AL15" i="7"/>
  <c r="Q15" i="7"/>
  <c r="AE15" i="7"/>
  <c r="J15" i="7"/>
  <c r="AL21" i="7"/>
  <c r="Q21" i="7"/>
  <c r="AE21" i="7"/>
  <c r="J21" i="7"/>
  <c r="X21" i="7"/>
  <c r="AE11" i="7"/>
  <c r="J11" i="7"/>
  <c r="Q11" i="7"/>
  <c r="X11" i="7"/>
  <c r="AL11" i="7"/>
  <c r="J17" i="7"/>
  <c r="AE17" i="7"/>
  <c r="X17" i="7"/>
  <c r="AL17" i="7"/>
  <c r="Q17" i="7"/>
  <c r="AL22" i="7"/>
  <c r="Q22" i="7"/>
  <c r="X22" i="7"/>
  <c r="AE22" i="7"/>
  <c r="J22" i="7"/>
  <c r="X7" i="7"/>
  <c r="AL7" i="7"/>
  <c r="Q7" i="7"/>
  <c r="AE7" i="7"/>
  <c r="J7" i="7"/>
  <c r="AL13" i="7"/>
  <c r="Q13" i="7"/>
  <c r="AE13" i="7"/>
  <c r="J13" i="7"/>
  <c r="X13" i="7"/>
  <c r="Q20" i="7"/>
  <c r="AE20" i="7"/>
  <c r="J20" i="7"/>
  <c r="X20" i="7"/>
  <c r="AL20" i="7"/>
  <c r="AE18" i="7"/>
  <c r="J18" i="7"/>
  <c r="X18" i="7"/>
  <c r="AL18" i="7"/>
  <c r="Q18" i="7"/>
  <c r="J9" i="7"/>
  <c r="X9" i="7"/>
  <c r="AL9" i="7"/>
  <c r="AE9" i="7"/>
  <c r="Q9" i="7"/>
  <c r="AL14" i="7"/>
  <c r="Q14" i="7"/>
  <c r="X14" i="7"/>
  <c r="AE14" i="7"/>
  <c r="J14" i="7"/>
  <c r="AL5" i="7"/>
  <c r="Q5" i="7"/>
  <c r="AE5" i="7"/>
  <c r="J5" i="7"/>
  <c r="X5" i="7"/>
  <c r="N24" i="7"/>
  <c r="S24" i="7"/>
  <c r="T24" i="7"/>
  <c r="G24" i="7"/>
  <c r="F24" i="7"/>
  <c r="P24" i="7"/>
  <c r="O24" i="7"/>
  <c r="U24" i="7"/>
  <c r="L24" i="7"/>
  <c r="B24" i="7"/>
  <c r="W24" i="7"/>
  <c r="I24" i="7"/>
  <c r="M24" i="7"/>
  <c r="H24" i="7"/>
  <c r="V24" i="7"/>
  <c r="E24" i="7"/>
  <c r="D4" i="7" l="1"/>
  <c r="D19" i="7"/>
  <c r="D21" i="7"/>
  <c r="D12" i="7"/>
  <c r="D18" i="7"/>
  <c r="D16" i="7"/>
  <c r="D14" i="7"/>
  <c r="D9" i="7"/>
  <c r="D7" i="7"/>
  <c r="D22" i="7"/>
  <c r="D5" i="7"/>
  <c r="D11" i="7"/>
  <c r="D15" i="7"/>
  <c r="D17" i="7"/>
  <c r="D10" i="7"/>
  <c r="D13" i="7"/>
  <c r="D8" i="7"/>
  <c r="D6" i="7"/>
  <c r="D20" i="7"/>
  <c r="X24" i="7"/>
  <c r="J24" i="7"/>
  <c r="AE24" i="7"/>
  <c r="Q24" i="7"/>
  <c r="AL2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tc={3F4CDC70-4C1F-4F74-BDD9-E454096A8502}</author>
    <author>tc={B220B2E0-1666-4923-8B45-3AC405B0085E}</author>
    <author>tc={E459B240-69D7-4E85-BDD1-A031ADC6EB3F}</author>
    <author>tc={B965B8F5-456F-49D7-94F5-DC79A5CB49F0}</author>
    <author>tc={1538F47B-08C0-413C-894F-1B6149EEA5A6}</author>
    <author>tc={36C267C6-082F-45B1-B5D6-A42163D0C6A2}</author>
  </authors>
  <commentList>
    <comment ref="AK1" authorId="0" shapeId="0" xr:uid="{3F4CDC70-4C1F-4F74-BDD9-E454096A8502}">
      <text>
        <t>[Threaded comment]
Your version of Excel allows you to read this threaded comment; however, any edits to it will get removed if the file is opened in a newer version of Excel. Learn more: https://go.microsoft.com/fwlink/?linkid=870924
Comment:
    Ensure this column is filled out based on the template for all controls where inquiry notes (column AL) is filled out</t>
      </text>
    </comment>
    <comment ref="AM1" authorId="1" shapeId="0" xr:uid="{B220B2E0-1666-4923-8B45-3AC405B0085E}">
      <text>
        <t>[Threaded comment]
Your version of Excel allows you to read this threaded comment; however, any edits to it will get removed if the file is opened in a newer version of Excel. Learn more: https://go.microsoft.com/fwlink/?linkid=870924
Comment:
    Observed x which demonstrated y</t>
      </text>
    </comment>
    <comment ref="AN1" authorId="2" shapeId="0" xr:uid="{E459B240-69D7-4E85-BDD1-A031ADC6EB3F}">
      <text>
        <t xml:space="preserve">[Threaded comment]
Your version of Excel allows you to read this threaded comment; however, any edits to it will get removed if the file is opened in a newer version of Excel. Learn more: https://go.microsoft.com/fwlink/?linkid=870924
Comment:
    For any files uploaded into A-SCEND and reviewed, you can fill out column AN-AO just like you would for a Validation assessment </t>
      </text>
    </comment>
    <comment ref="AQ1" authorId="3" shapeId="0" xr:uid="{B965B8F5-456F-49D7-94F5-DC79A5CB49F0}">
      <text>
        <t>[Threaded comment]
Your version of Excel allows you to read this threaded comment; however, any edits to it will get removed if the file is opened in a newer version of Excel. Learn more: https://go.microsoft.com/fwlink/?linkid=870924
Comment:
    Just like for Rethink, let’s update our inheritance notes to follow the same format:
Partially/Fully inherited by Azure and GCP at x% total weight. Each of the CSPs are partially/fully responsible for implementing this control within their data centers.
Azure - x%
GCP - x%</t>
      </text>
    </comment>
    <comment ref="H14" authorId="4" shapeId="0" xr:uid="{1538F47B-08C0-413C-894F-1B6149EEA5A6}">
      <text>
        <t>[Threaded comment]
Your version of Excel allows you to read this threaded comment; however, any edits to it will get removed if the file is opened in a newer version of Excel. Learn more: https://go.microsoft.com/fwlink/?linkid=870924
Comment:
    Review the policies and procedures Roze uploads to A-SCEND</t>
      </text>
    </comment>
    <comment ref="AM22" authorId="5" shapeId="0" xr:uid="{36C267C6-082F-45B1-B5D6-A42163D0C6A2}">
      <text>
        <t xml:space="preserve">[Threaded comment]
Your version of Excel allows you to read this threaded comment; however, any edits to it will get removed if the file is opened in a newer version of Excel. Learn more: https://go.microsoft.com/fwlink/?linkid=870924
Comment:
    Nate to have Nate pull firewall settings and upload them to A-SCEND once created </t>
      </text>
    </comment>
  </commentList>
</comments>
</file>

<file path=xl/sharedStrings.xml><?xml version="1.0" encoding="utf-8"?>
<sst xmlns="http://schemas.openxmlformats.org/spreadsheetml/2006/main" count="83803" uniqueCount="11167">
  <si>
    <t>Assessed Entity Name</t>
  </si>
  <si>
    <t>HITRUST CSF Validated Assessment</t>
  </si>
  <si>
    <t>Fieldwork: xx/xx/xxxx - xx/xx/xxxx</t>
  </si>
  <si>
    <t>Role</t>
  </si>
  <si>
    <t>Name</t>
  </si>
  <si>
    <t>Certified Assessor:</t>
  </si>
  <si>
    <t>Engagement Manager:</t>
  </si>
  <si>
    <t>Engagement QA:</t>
  </si>
  <si>
    <t>Angie Jones/James Whitfield</t>
  </si>
  <si>
    <t>Engagement Executive:</t>
  </si>
  <si>
    <t>Shreesh Bhattarai/James Whitfield</t>
  </si>
  <si>
    <t>Sample Sizes Guidance</t>
  </si>
  <si>
    <t>Manual Control</t>
  </si>
  <si>
    <t>10% with a minimum of 3 and a maximum of 25</t>
  </si>
  <si>
    <t>Automatic Control</t>
  </si>
  <si>
    <t>Configuration and one example</t>
  </si>
  <si>
    <t>Periodic Rates</t>
  </si>
  <si>
    <t>Annual – Most recent report</t>
  </si>
  <si>
    <t>Quarterly – Sample of two quarters</t>
  </si>
  <si>
    <t>Monthly – Sample of two months</t>
  </si>
  <si>
    <t>Weekly – Sample of 5 weeks</t>
  </si>
  <si>
    <t>Daily – Sample of 25 days</t>
  </si>
  <si>
    <t>Sampling Methodology</t>
  </si>
  <si>
    <t>Random</t>
  </si>
  <si>
    <t>IQA Review Notes</t>
  </si>
  <si>
    <t>IQA Review Responses</t>
  </si>
  <si>
    <t>Control Prisma Score</t>
  </si>
  <si>
    <t>CAP (Yes/No)</t>
  </si>
  <si>
    <t>In Scope</t>
  </si>
  <si>
    <t>Domain Name</t>
  </si>
  <si>
    <t>CVID</t>
  </si>
  <si>
    <t>Unique ID</t>
  </si>
  <si>
    <t>Level</t>
  </si>
  <si>
    <t>Control Reference</t>
  </si>
  <si>
    <t>Requirement Statement</t>
  </si>
  <si>
    <t>Implemented Guidance</t>
  </si>
  <si>
    <t>Implemented Guidance: Notes</t>
  </si>
  <si>
    <t>Sample Suggested</t>
  </si>
  <si>
    <t>Shared Responsibility Matrix (SRM) v9.x</t>
  </si>
  <si>
    <t>Inherited Weight</t>
  </si>
  <si>
    <t>Score After Inheritance Applied: Policy</t>
  </si>
  <si>
    <t>Score After Inheritance Applied: Process</t>
  </si>
  <si>
    <t>Score After Inheritance Applied: Implementation</t>
  </si>
  <si>
    <t>Score After Inheritance Applied: Measured</t>
  </si>
  <si>
    <t>Score After Inheritance Applied: Managed</t>
  </si>
  <si>
    <t>Control Applicable</t>
  </si>
  <si>
    <r>
      <rPr>
        <b/>
        <sz val="10"/>
        <rFont val="Arial"/>
        <family val="2"/>
      </rPr>
      <t>N/A</t>
    </r>
    <r>
      <rPr>
        <sz val="10"/>
        <rFont val="Arial"/>
        <family val="2"/>
      </rPr>
      <t xml:space="preserve"> Reason</t>
    </r>
  </si>
  <si>
    <t>Maturity - Policy</t>
  </si>
  <si>
    <t>Maturity - Process</t>
  </si>
  <si>
    <t>Maturity - Implemented</t>
  </si>
  <si>
    <t>Maturity - Measured</t>
  </si>
  <si>
    <t>Maturity - Managed</t>
  </si>
  <si>
    <r>
      <rPr>
        <b/>
        <sz val="10"/>
        <color theme="1"/>
        <rFont val="Arial"/>
        <family val="2"/>
      </rPr>
      <t>Policy</t>
    </r>
    <r>
      <rPr>
        <sz val="10"/>
        <color theme="1"/>
        <rFont val="Arial"/>
        <family val="2"/>
      </rPr>
      <t xml:space="preserve"> File Name</t>
    </r>
  </si>
  <si>
    <r>
      <rPr>
        <b/>
        <sz val="10"/>
        <color theme="1"/>
        <rFont val="Arial"/>
        <family val="2"/>
      </rPr>
      <t>Policy</t>
    </r>
    <r>
      <rPr>
        <sz val="10"/>
        <color theme="1"/>
        <rFont val="Arial"/>
        <family val="2"/>
      </rPr>
      <t xml:space="preserve"> Mapping (policy name - page/section reference)</t>
    </r>
  </si>
  <si>
    <t>Policy exception notes (gap or defect)Two condition rules applied</t>
  </si>
  <si>
    <t>Policy Reviewed By</t>
  </si>
  <si>
    <r>
      <rPr>
        <b/>
        <sz val="10"/>
        <color theme="1"/>
        <rFont val="Arial"/>
        <family val="2"/>
      </rPr>
      <t>Process</t>
    </r>
    <r>
      <rPr>
        <sz val="10"/>
        <color theme="1"/>
        <rFont val="Arial"/>
        <family val="2"/>
      </rPr>
      <t xml:space="preserve"> File Name</t>
    </r>
  </si>
  <si>
    <r>
      <rPr>
        <b/>
        <sz val="10"/>
        <color theme="1"/>
        <rFont val="Arial"/>
        <family val="2"/>
      </rPr>
      <t>Process</t>
    </r>
    <r>
      <rPr>
        <sz val="10"/>
        <color theme="1"/>
        <rFont val="Arial"/>
        <family val="2"/>
      </rPr>
      <t xml:space="preserve"> Mapping (policy name - page/section reference)</t>
    </r>
  </si>
  <si>
    <t>Process exception notes (gap or defect)Two condition rules applied</t>
  </si>
  <si>
    <t>Process Reviewed By</t>
  </si>
  <si>
    <r>
      <rPr>
        <b/>
        <sz val="10"/>
        <color theme="1"/>
        <rFont val="Arial"/>
        <family val="2"/>
      </rPr>
      <t>Implemented</t>
    </r>
    <r>
      <rPr>
        <sz val="10"/>
        <color theme="1"/>
        <rFont val="Arial"/>
        <family val="2"/>
      </rPr>
      <t xml:space="preserve"> inquiry contact (Name - Title)</t>
    </r>
  </si>
  <si>
    <r>
      <rPr>
        <b/>
        <sz val="10"/>
        <color theme="1"/>
        <rFont val="Arial"/>
        <family val="2"/>
      </rPr>
      <t>Implemented</t>
    </r>
    <r>
      <rPr>
        <sz val="10"/>
        <color theme="1"/>
        <rFont val="Arial"/>
        <family val="2"/>
      </rPr>
      <t xml:space="preserve"> inquiry notes</t>
    </r>
  </si>
  <si>
    <r>
      <rPr>
        <b/>
        <sz val="10"/>
        <color theme="1"/>
        <rFont val="Arial"/>
        <family val="2"/>
      </rPr>
      <t>Implemented</t>
    </r>
    <r>
      <rPr>
        <sz val="10"/>
        <color theme="1"/>
        <rFont val="Arial"/>
        <family val="2"/>
      </rPr>
      <t xml:space="preserve"> Observation notes</t>
    </r>
  </si>
  <si>
    <r>
      <t>Implemented Evidence</t>
    </r>
    <r>
      <rPr>
        <sz val="10"/>
        <color theme="1"/>
        <rFont val="Arial"/>
        <family val="2"/>
      </rPr>
      <t xml:space="preserve"> reviewed</t>
    </r>
  </si>
  <si>
    <r>
      <rPr>
        <b/>
        <sz val="10"/>
        <color theme="1"/>
        <rFont val="Arial"/>
        <family val="2"/>
      </rPr>
      <t>Implemented</t>
    </r>
    <r>
      <rPr>
        <sz val="10"/>
        <color theme="1"/>
        <rFont val="Arial"/>
        <family val="2"/>
      </rPr>
      <t xml:space="preserve"> </t>
    </r>
    <r>
      <rPr>
        <b/>
        <sz val="10"/>
        <color theme="1"/>
        <rFont val="Arial"/>
        <family val="2"/>
      </rPr>
      <t>Notes</t>
    </r>
    <r>
      <rPr>
        <sz val="10"/>
        <color theme="1"/>
        <rFont val="Arial"/>
        <family val="2"/>
      </rPr>
      <t xml:space="preserve"> - what's in the file and how does it address the requirement?</t>
    </r>
  </si>
  <si>
    <r>
      <rPr>
        <b/>
        <sz val="10"/>
        <color theme="1"/>
        <rFont val="Arial"/>
        <family val="2"/>
      </rPr>
      <t>Implemented</t>
    </r>
    <r>
      <rPr>
        <sz val="10"/>
        <color theme="1"/>
        <rFont val="Arial"/>
        <family val="2"/>
      </rPr>
      <t xml:space="preserve"> exception notes (gap or defect)</t>
    </r>
  </si>
  <si>
    <r>
      <t xml:space="preserve">Inheritance Notes </t>
    </r>
    <r>
      <rPr>
        <sz val="10"/>
        <color theme="1"/>
        <rFont val="Arial"/>
        <family val="2"/>
      </rPr>
      <t>- explain weight rational</t>
    </r>
  </si>
  <si>
    <r>
      <rPr>
        <b/>
        <sz val="10"/>
        <color theme="1"/>
        <rFont val="Arial"/>
        <family val="2"/>
      </rPr>
      <t>Date</t>
    </r>
    <r>
      <rPr>
        <sz val="10"/>
        <color theme="1"/>
        <rFont val="Arial"/>
        <family val="2"/>
      </rPr>
      <t xml:space="preserve"> Control Was Scored/Tested</t>
    </r>
  </si>
  <si>
    <t>Implemented Reviewed By</t>
  </si>
  <si>
    <r>
      <rPr>
        <b/>
        <sz val="10"/>
        <color theme="1"/>
        <rFont val="Arial"/>
        <family val="2"/>
      </rPr>
      <t>Measure/Metrix</t>
    </r>
    <r>
      <rPr>
        <sz val="10"/>
        <color theme="1"/>
        <rFont val="Arial"/>
        <family val="2"/>
      </rPr>
      <t xml:space="preserve"> evidence reviewed</t>
    </r>
  </si>
  <si>
    <r>
      <rPr>
        <b/>
        <sz val="10"/>
        <color theme="1"/>
        <rFont val="Arial"/>
        <family val="2"/>
      </rPr>
      <t>Measure/Metrix</t>
    </r>
    <r>
      <rPr>
        <sz val="10"/>
        <color theme="1"/>
        <rFont val="Arial"/>
        <family val="2"/>
      </rPr>
      <t xml:space="preserve"> evidence explanation and notes</t>
    </r>
  </si>
  <si>
    <r>
      <rPr>
        <b/>
        <sz val="10"/>
        <color theme="1"/>
        <rFont val="Arial"/>
        <family val="2"/>
      </rPr>
      <t>Measure/Metrix Management</t>
    </r>
    <r>
      <rPr>
        <sz val="10"/>
        <color theme="1"/>
        <rFont val="Arial"/>
        <family val="2"/>
      </rPr>
      <t xml:space="preserve"> evidence reviewed</t>
    </r>
  </si>
  <si>
    <r>
      <rPr>
        <b/>
        <sz val="10"/>
        <color theme="1"/>
        <rFont val="Arial"/>
        <family val="2"/>
      </rPr>
      <t>Measure/Metrix Management</t>
    </r>
    <r>
      <rPr>
        <sz val="10"/>
        <color theme="1"/>
        <rFont val="Arial"/>
        <family val="2"/>
      </rPr>
      <t xml:space="preserve"> evidence explanation and notes</t>
    </r>
  </si>
  <si>
    <t>Date Write-up Helper</t>
  </si>
  <si>
    <t>Inheritance Write-up Helper (if needed)</t>
  </si>
  <si>
    <t>Policy Write-up Helper</t>
  </si>
  <si>
    <t>Process Write-up Helper</t>
  </si>
  <si>
    <t>Inquiry Write-up Helper(if needed)</t>
  </si>
  <si>
    <t>Observation Write-up Helper(if needed)</t>
  </si>
  <si>
    <t>Implemented (evidence) Write-up  Helper</t>
  </si>
  <si>
    <t>Measured Write-up Helper</t>
  </si>
  <si>
    <t>Managed Write-up Helper</t>
  </si>
  <si>
    <t>Sample Write-up Helper</t>
  </si>
  <si>
    <t>Completed Full Comments</t>
  </si>
  <si>
    <t>NO INHERITANCE</t>
  </si>
  <si>
    <t>Yes</t>
  </si>
  <si>
    <t>5. Fully Compliant (100%)</t>
  </si>
  <si>
    <t>4. Mostly Compliant (75%)</t>
  </si>
  <si>
    <t>3. Partially Compliant (50%)</t>
  </si>
  <si>
    <t>Myles Templin</t>
  </si>
  <si>
    <t>01 Information Protection Program</t>
  </si>
  <si>
    <t>3038.0</t>
  </si>
  <si>
    <t>01.00aAISecOrganizational.1</t>
  </si>
  <si>
    <t>HITRUST Security for AI System</t>
  </si>
  <si>
    <t>00.a Information Security Management Program</t>
  </si>
  <si>
    <t>As appropriate to the organization’s AI deployment context, the stated scope and contents of the organization’s written policies, in areas including but not limited to |security administration, |data governance, |software development, |risk management, |incident management, |business continuity, and |disaster recovery,|| explicitly includes the organization’s AI systems and their AI specificities.||</t>
  </si>
  <si>
    <t>Examine evidence that all evaluative elements within the requirement statement have been implemented as defined in the HITRUST scoring rubric, using a sample based test where possible for each evaluative element.
Example test(s):
For example, review the organizations written policies for AI systems to confirm their completeness. Further, confirm that the AI system policies contain security administration, data governance, software development, risk management, incident management, business continuity, and disaster recovery, explicitly to AI systems and their AI specificities.</t>
  </si>
  <si>
    <r>
      <rPr>
        <b/>
        <sz val="10"/>
        <color theme="1"/>
        <rFont val="Arial"/>
        <family val="2"/>
      </rPr>
      <t>Documentation: Artificial Intelligence Program</t>
    </r>
    <r>
      <rPr>
        <sz val="10"/>
        <color theme="1"/>
        <rFont val="Arial"/>
        <family val="2"/>
      </rPr>
      <t xml:space="preserve">
- defines: security administration
- defines: data governance
- defines: software development
- defines: risk management
- defines: incident management
- defines: business continuity
- defines: disaster recovery</t>
    </r>
  </si>
  <si>
    <t>No</t>
  </si>
  <si>
    <t>2513.0</t>
  </si>
  <si>
    <t>01.00aCMSOrganizational.1</t>
  </si>
  <si>
    <t>2515.0</t>
  </si>
  <si>
    <t>01.00aCMSOrganizational.2</t>
  </si>
  <si>
    <t>2394.0</t>
  </si>
  <si>
    <t>01.00aCMSOrganizational.4</t>
  </si>
  <si>
    <t>FedRAMP</t>
  </si>
  <si>
    <t>2416.0</t>
  </si>
  <si>
    <t>01.00aFedRAMPOrganizational.11</t>
  </si>
  <si>
    <t>2430.0</t>
  </si>
  <si>
    <t>01.00aFedRAMPOrganizational.13</t>
  </si>
  <si>
    <t>2449.0</t>
  </si>
  <si>
    <t>01.00aFedRAMPOrganizational.14</t>
  </si>
  <si>
    <t>2460.0</t>
  </si>
  <si>
    <t>01.00aFedRAMPOrganizational.15</t>
  </si>
  <si>
    <t>2393.0</t>
  </si>
  <si>
    <t>01.00aFedRAMPOrganizational.19</t>
  </si>
  <si>
    <t>2379.0</t>
  </si>
  <si>
    <t>01.00aFedRAMPOrganizational.3</t>
  </si>
  <si>
    <t>2381.0</t>
  </si>
  <si>
    <t>01.00aFedRAMPOrganizational.4</t>
  </si>
  <si>
    <t>2390.0</t>
  </si>
  <si>
    <t>01.00aFedRAMPOrganizational.5</t>
  </si>
  <si>
    <t>2389.0</t>
  </si>
  <si>
    <t>01.00aFedRAMPOrganizational.7</t>
  </si>
  <si>
    <t>01.00aFedRAMPOrganizational.9</t>
  </si>
  <si>
    <t>2639.0</t>
  </si>
  <si>
    <t>01.00aFTIOrganizational.1</t>
  </si>
  <si>
    <t>2653.0</t>
  </si>
  <si>
    <t>01.00aFTIOrganizational.2</t>
  </si>
  <si>
    <t>2655.0</t>
  </si>
  <si>
    <t>01.00aFTIOrganizational.3</t>
  </si>
  <si>
    <t>2697.0</t>
  </si>
  <si>
    <t>01.00aISO27001Organizational.1</t>
  </si>
  <si>
    <t>3011.0</t>
  </si>
  <si>
    <t>01.00aNAIC668Organizational.1</t>
  </si>
  <si>
    <t>2297.0</t>
  </si>
  <si>
    <t>01.00aNIST80053Organizational.19</t>
  </si>
  <si>
    <t>NIST SP 800-53</t>
  </si>
  <si>
    <t>2495.0</t>
  </si>
  <si>
    <t>01.00aNIST80053Organizational.26</t>
  </si>
  <si>
    <t>2578.0</t>
  </si>
  <si>
    <t>01.00aNIST80053Organizational.29</t>
  </si>
  <si>
    <t>2601.0</t>
  </si>
  <si>
    <t>01.00aNIST80053Organizational.30</t>
  </si>
  <si>
    <t>2617.0</t>
  </si>
  <si>
    <t>01.00aNIST80053Organizational.31</t>
  </si>
  <si>
    <t>2618.0</t>
  </si>
  <si>
    <t>01.00aNIST80053Organizational.32</t>
  </si>
  <si>
    <t>2627.0</t>
  </si>
  <si>
    <t>01.00aNIST80053Organizational.37</t>
  </si>
  <si>
    <t>2632.0</t>
  </si>
  <si>
    <t>01.00aNIST80053Organizational.38</t>
  </si>
  <si>
    <t>2640.0</t>
  </si>
  <si>
    <t>01.00aNIST80053Organizational.39</t>
  </si>
  <si>
    <t>2641.0</t>
  </si>
  <si>
    <t>01.00aNIST80053Organizational.40</t>
  </si>
  <si>
    <t>2643.0</t>
  </si>
  <si>
    <t>01.00aNIST80053Organizational.41</t>
  </si>
  <si>
    <t>2658.0</t>
  </si>
  <si>
    <t>01.00aNIST80053Organizational.42</t>
  </si>
  <si>
    <t>2678.0</t>
  </si>
  <si>
    <t>01.00aNIST80053Organizational.43</t>
  </si>
  <si>
    <t>2783.0</t>
  </si>
  <si>
    <t>01.00aNIST80053Organizational.45</t>
  </si>
  <si>
    <t>2776.0</t>
  </si>
  <si>
    <t>01.00aNIST80053Organizational.46</t>
  </si>
  <si>
    <t>2955.0</t>
  </si>
  <si>
    <t>01.00aOWASPOrganizational.1</t>
  </si>
  <si>
    <t>2962.0</t>
  </si>
  <si>
    <t>01.00aOWASPOrganizational.2</t>
  </si>
  <si>
    <t>2855.0</t>
  </si>
  <si>
    <t>01.00aPCIOrganizational.1</t>
  </si>
  <si>
    <t>2853.0</t>
  </si>
  <si>
    <t>01.00aPCIOrganizational.3</t>
  </si>
  <si>
    <t>2854.0</t>
  </si>
  <si>
    <t>01.00aPCIOrganizational.4</t>
  </si>
  <si>
    <t>2687.0</t>
  </si>
  <si>
    <t>01.00aTXRAMPOrganizational.1</t>
  </si>
  <si>
    <t>2580.0</t>
  </si>
  <si>
    <t>01.01aNIST80053Organizational.2</t>
  </si>
  <si>
    <t>01.a Access Control Policy</t>
  </si>
  <si>
    <t>3037.0</t>
  </si>
  <si>
    <t>01.02aAISecOrganizational.1</t>
  </si>
  <si>
    <t>02.a Roles and Responsibilities</t>
  </si>
  <si>
    <t>The organization formally defines the roles and responsibilities for the |governance, |security, and |risk management|| of the organization's deployed AI systems within the organization (e.g., by extending a pre-existing RACI chart or creating a new one specific to AI).|| The organization formally |assigns human accountability for the actions performed by, outputs produced by, and decisions made by the organization’s deployed AI systems.||</t>
  </si>
  <si>
    <t>Examine evidence that all evaluative elements within the requirement statement have been implemented as defined in the HITRUST scoring rubric, using a sample based test where possible for each evaluative element.
Example test(s):
For example, review AI systems policy and procedure documentation to determine if roles and responsibilities for the governance, security, and risk management of the organization’s deployed AI systems is in place. Further, confirm that the organization assigns human accountability for the actions performed by, outputs produced by, and decisions made by the organization’s deployed AI systems.</t>
  </si>
  <si>
    <r>
      <rPr>
        <b/>
        <sz val="10"/>
        <color theme="1"/>
        <rFont val="Arial"/>
        <family val="2"/>
      </rPr>
      <t>Documentation: Artificial Intelligence Program</t>
    </r>
    <r>
      <rPr>
        <sz val="10"/>
        <color theme="1"/>
        <rFont val="Arial"/>
        <family val="2"/>
      </rPr>
      <t xml:space="preserve">
- defines: roles and responsibilities for governance
- defines: roles and responsibilities for security
- defines: roles and responsibilities for risk management
</t>
    </r>
    <r>
      <rPr>
        <b/>
        <sz val="10"/>
        <color theme="1"/>
        <rFont val="Arial"/>
        <family val="2"/>
      </rPr>
      <t>Evidence Test: Artificial Intelligence</t>
    </r>
    <r>
      <rPr>
        <sz val="10"/>
        <color theme="1"/>
        <rFont val="Arial"/>
        <family val="2"/>
      </rPr>
      <t xml:space="preserve">
- human accountability assigned for actions performed by the Artificial Intelligence System
- human accountability assigned for outputs produced by the Artificial Intelligence System
- human accountability assigned for decisions made by the Artificial Intelligence System</t>
    </r>
  </si>
  <si>
    <t>2840.0</t>
  </si>
  <si>
    <t>01.02aFedRAMPOrganizational.1</t>
  </si>
  <si>
    <t>2624.0</t>
  </si>
  <si>
    <t>01.02aFTIOrganizational.1</t>
  </si>
  <si>
    <t>2625.0</t>
  </si>
  <si>
    <t>01.02aFTIOrganizational.2</t>
  </si>
  <si>
    <t>2512.0</t>
  </si>
  <si>
    <t>01.02bCMSOrganizational.2</t>
  </si>
  <si>
    <t>02.b Screening</t>
  </si>
  <si>
    <t>0310.0</t>
  </si>
  <si>
    <t>01.02bFFIECISOrganizational.2</t>
  </si>
  <si>
    <t>2519.0</t>
  </si>
  <si>
    <t>01.02bFTIOrganizational.2</t>
  </si>
  <si>
    <t>2530.0</t>
  </si>
  <si>
    <t>01.02bFTIOrganizational.3</t>
  </si>
  <si>
    <t>2659.0</t>
  </si>
  <si>
    <t>01.02bFTIOrganizational.4</t>
  </si>
  <si>
    <t>2717.0</t>
  </si>
  <si>
    <t>01.02bNYDOHOrganizational.1</t>
  </si>
  <si>
    <t>0323.0</t>
  </si>
  <si>
    <t>01.02cNIST80053Organizational.2</t>
  </si>
  <si>
    <t>02.c Terms and Conditions of Employment</t>
  </si>
  <si>
    <t>2616.0</t>
  </si>
  <si>
    <t>01.02dCMSOrganizational.1</t>
  </si>
  <si>
    <t>02.d Management Responsibilities</t>
  </si>
  <si>
    <t>2405.0</t>
  </si>
  <si>
    <t>01.02fFedRAMPOrganizational.1</t>
  </si>
  <si>
    <t>02.f Disciplinary Process</t>
  </si>
  <si>
    <t>2843.0</t>
  </si>
  <si>
    <t>01.02fFedRAMPOrganizational.2</t>
  </si>
  <si>
    <t>2532.0</t>
  </si>
  <si>
    <t>01.02fFTIOrganizational.1</t>
  </si>
  <si>
    <t>2644.0</t>
  </si>
  <si>
    <t>01.02fFTIOrganizational.2</t>
  </si>
  <si>
    <t>0365.0</t>
  </si>
  <si>
    <t>01.02fHIPAAOrganizational.3</t>
  </si>
  <si>
    <t>2809.0</t>
  </si>
  <si>
    <t>01.03aISO23894Organizational.12</t>
  </si>
  <si>
    <t>ISO/IEC 23894</t>
  </si>
  <si>
    <t>03.a Risk Management Program Development</t>
  </si>
  <si>
    <t>The organization maintains documentation of the following aspects of the external context of organization's development and/or use of AI: |relevant legal requirements, including those specifically relating to AI; |guidelines on ethical use and design of AI and automated systems issued by government-related groups, regulators, standardization bodies, civil society, academia and industry associations; |domain-specific guidelines and frameworks related to AI; |technology trends and advancements in the various areas of AI; |societal and political implications of the deployment of AI systems, including guidance from social sciences; |external stakeholder perceptions, needs, and expectations; |how the use of AI, especially AI systems using continuous learning, can affect the ability of the organization to meet contractual obligations and guarantees; |contractual relationships during the design and production of AI systems and services; |how the use of AI can increase the complexity of networks and dependencies; and |how an AI system can replace an existing system and, in such a case, an assessment of the risk benefits and risk transfers of an AI system versus the existing system can be undertaken, considering safety, environmental, social, technical and financial issues associated with the implementation of the AI system. ||</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</si>
  <si>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obtain and examine evidence to confirm the organization has documented its considerations of the external context of the organization per the elements stipulated in the requirement statement.</t>
  </si>
  <si>
    <r>
      <rPr>
        <b/>
        <sz val="10"/>
        <color theme="1"/>
        <rFont val="Arial"/>
        <family val="2"/>
      </rPr>
      <t>Documentation: Artificial Intelligence Program</t>
    </r>
    <r>
      <rPr>
        <sz val="10"/>
        <color theme="1"/>
        <rFont val="Arial"/>
        <family val="2"/>
      </rPr>
      <t xml:space="preserve">
- defines relative legal requirements related to AI
- defines guidelines on ethical use and design of AI
- defines domain-specific guidelines and frameworks related to AI
- defines technology trends and advancements related to areas of AI
- defines societal and political implications of the deployment of AI systems
- defines external stakeholder perceptions, needs, and expectations
- defines how the use of AI can affect the ability of the organization to meet contractual obligations and guarantees
- defines contractual relationships during the design and production of AI systems and services
- defines how the use of AI can increase the complexity of networks and dependencies
- defines how an AI system can replace an existing system
- defines the risk benefits and risk transfers of an AI system versus the existing system can be undertaken, considering safety, environmental, social, technical and financial issues</t>
    </r>
  </si>
  <si>
    <t>2810.0</t>
  </si>
  <si>
    <t>01.03aISO23894Organizational.13</t>
  </si>
  <si>
    <t>The organization maintains documentation of the following aspects of the internal context of organization's development and/or use of AI: |the effect that an AI system can have on the organization’s culture by shifting and introducing new responsibilities, roles and tasks; |any additional international, regional, national and local standards and guidelines that are imposed by the use of AI systems; |the additional risks to organizational knowledge related to transparency and explainability of AI systems; |the use of AI systems can result in changes to the number of human resources needed to realize a certain capability, or in a variation of the type of resources needed, for instance, deskilling or loss of expertise where human decision-making is increasingly supported by AI systems; |the specific knowledge in AI technologies and data science required to develop and use AI systems; |the availability of AI tools, platforms and libraries which can enable the development of AI systems without there being a full understanding of the technology, its limitations and potential pitfalls; |the potential for AI to raise issues and opportunities related to intellectual property for specific AI systems; |how AI systems can be used to automate, optimize and enhance data handling; |as consumers of data, additional quality and completeness constraints on data and information can be imposed by AI systems; |internal stakeholder perceptions, needs, and expectations; |how the use of AI systems can increase the complexity of interdependencies and interconnections; |the consideration that the use of AI systems can increase the need for specialized training.||</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</si>
  <si>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evidence to confirm the organization has documented its considerations of the internal context of the organization per the elements stipulated in the requirement statement.</t>
  </si>
  <si>
    <r>
      <rPr>
        <b/>
        <sz val="10"/>
        <color theme="1"/>
        <rFont val="Arial"/>
        <family val="2"/>
      </rPr>
      <t>Documentation: Artificial Intelligence Program</t>
    </r>
    <r>
      <rPr>
        <sz val="10"/>
        <color theme="1"/>
        <rFont val="Arial"/>
        <family val="2"/>
      </rPr>
      <t xml:space="preserve">
- defines the effect that an AI system can have on the organization’s culture by shifting and introducing new responsibilities, roles and tasks
- defines any additional international, regional, national and local standards and guidelines that are imposed by the use of AI systems
- defines the additional risks to organizational knowledge related to transparency and explainability of AI systems
- defines that the use of AI systems can result in changes to the number of human resources needed to realize a certain capability, or in a variation of the type of resources needed
- defines the specific knowledge in AI technologies and data science required to develop and use AI systems
- defines the availability of AI tools, platforms and libraries which can enable the development of AI systems without there being a full understanding of the technology, its limitations and potential pitfalls
- defines the potential for AI to raise issues and opportunities related to intellectual property for specific AI systems
- defines how AI systems can be used to automate, optimize and enhance data handling
- defines additional quality and completeness constraints on data and information can be imposed by AI systems
- defines how the use of AI systems can increase the complexity of interdependencies and interconnections
- defines the consideration that the use of AI systems can increase the need for specialized training</t>
    </r>
  </si>
  <si>
    <t>2790.0</t>
  </si>
  <si>
    <t>01.03aISO23894Organizational.25</t>
  </si>
  <si>
    <t>The organization |aligns the AI system project-level processes with the organization’s objectives.||</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</si>
  <si>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evidence to confirm the organization has aligned AI system project-level processes with the organization\'s objectives.</t>
  </si>
  <si>
    <r>
      <rPr>
        <b/>
        <sz val="10"/>
        <color theme="1"/>
        <rFont val="Arial"/>
        <family val="2"/>
      </rPr>
      <t>Evidence Test: Artificial Intelligence</t>
    </r>
    <r>
      <rPr>
        <sz val="10"/>
        <color theme="1"/>
        <rFont val="Arial"/>
        <family val="2"/>
      </rPr>
      <t xml:space="preserve">
- AI system project-level processes are aligned with the organization's objective</t>
    </r>
  </si>
  <si>
    <t>2826.0</t>
  </si>
  <si>
    <t>01.03aISO31000Organizational.1</t>
  </si>
  <si>
    <t>ISO 31000</t>
  </si>
  <si>
    <t>The organization, as part of the risk management process, considers the following when specifying risk criteria: |the nature and type of uncertainties that can affect outcomes and objectives (both tangible and intangible), |how consequences (both positive and negative) and likelihood will be defined and measured, |time-related factors, |consistency in the use of measurements, |how the level of risk is to be determined, |how combinations and sequences of multiple risks will be taken into account, and |the organization’s capacity.</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</si>
  <si>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the risk management process documentation and _x000D_
confirm the organization documented consideration of the elements prescribed in the requirement statement.</t>
  </si>
  <si>
    <r>
      <rPr>
        <b/>
        <sz val="10"/>
        <color theme="1"/>
        <rFont val="Arial"/>
        <family val="2"/>
      </rPr>
      <t>Documentation: Risk Management Program</t>
    </r>
    <r>
      <rPr>
        <sz val="10"/>
        <color theme="1"/>
        <rFont val="Arial"/>
        <family val="2"/>
      </rPr>
      <t xml:space="preserve">
- assesses the following risk criteria: nature and type of uncertainties that can affect outcomes and objectives (both tangible and intangible)
- assesses the following risk criteria: how consequences (both positive and negative) and likelihood will be defined and measured
- assesses the following risk criteria: time-related factors
- assesses the following risk criteria: consistency in the use of measurements
- assesses the following risk criteria: how the level of risk is to be determined
- assesses the following risk criteria: how combinations and sequences of multiple risks will be taken into account
- assesses the following risk criteria: the organization’s capacity</t>
    </r>
  </si>
  <si>
    <t>2827.0</t>
  </si>
  <si>
    <t>01.03aISO31000Organizational.2</t>
  </si>
  <si>
    <t>The organization, as part of risk identification, documents its consideration of: |tangible and intangible sources of risk; |causes and events; |threats and opportunities; |vulnerabilities and capabilities; |changes in the external and internal context; |indicators of emerging risks; |the nature and value of assets and resources; |consequences and their impact on objectives; |limitations of knowledge and reliability of information; |time-related factors; |biases, assumptions and beliefs of those involved.||</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</si>
  <si>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the risk identification documentation and _x000D_
confirm the organization documented consideration of the elements prescribed in the requirement statement.</t>
  </si>
  <si>
    <r>
      <rPr>
        <b/>
        <sz val="10"/>
        <color theme="1"/>
        <rFont val="Arial"/>
        <family val="2"/>
      </rPr>
      <t>Documentation: Risk Management Program</t>
    </r>
    <r>
      <rPr>
        <sz val="10"/>
        <color theme="1"/>
        <rFont val="Arial"/>
        <family val="2"/>
      </rPr>
      <t xml:space="preserve">
- assesses the following risk criteria: tangible and intangible sources of risk
- assesses the following risk criteria: causes and events
- assesses the following risk criteria: time-related factors
- assesses the following risk criteria: changes in the external and internal context
- assesses the following risk criteria: how the level of risk is to be determined
- assesses the following risk criteria: how combinations and sequences of multiple risks will be taken into account
- assesses the following risk criteria: the organization’s capacity
- assesses the following risk criteria: threats and opportunities
- assesses the following risk criteria: vulnerabilities and capabilities
- assesses the following risk criteria: the nature and value of assets and resources
- assesses the following risk criteria: consequences and their impact on objectives
- assesses the following risk criteria: indicators of emerging risks
- assesses the following risk criteria: limitations of knowledge and reliability of information
- assesses the following risk criteria: biases, assumptions and beliefs of those involved</t>
    </r>
  </si>
  <si>
    <t>2828.0</t>
  </si>
  <si>
    <t>01.03aISO31000Organizational.3</t>
  </si>
  <si>
    <t>The organization establishes risk analysis standards for defining |the likelihood of events and consequences, |the nature and magnitude of consequences, |complexity and connectivity, |time-related factors and volatility, |the effectiveness of existing controls, and |sensitivity and confidence levels.||</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</si>
  <si>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the risk analysis documentation and _x000D_
confirm the organization established risk analysis standards for the elements prescribed in the requirement statement.</t>
  </si>
  <si>
    <r>
      <rPr>
        <b/>
        <sz val="10"/>
        <color theme="1"/>
        <rFont val="Arial"/>
        <family val="2"/>
      </rPr>
      <t>Documentation: Risk Management Program</t>
    </r>
    <r>
      <rPr>
        <sz val="10"/>
        <color theme="1"/>
        <rFont val="Arial"/>
        <family val="2"/>
      </rPr>
      <t xml:space="preserve">
- defines how to figure out the likelihood of events and consequences
- defines how to figure out the nature and magnitude of consequences
- defines how to figure out the effectiveness of existing controls
- defines sensitivity and confidence levels
- defines complexity and connectivity requirements
- defines time-related factors and volatility</t>
    </r>
  </si>
  <si>
    <t>0298.0</t>
  </si>
  <si>
    <t>01.04a2Organizational.3</t>
  </si>
  <si>
    <t>04.a Information Security Policy Document</t>
  </si>
  <si>
    <t>01.04aCMSOrganizational.2</t>
  </si>
  <si>
    <t>2283.0</t>
  </si>
  <si>
    <t>01.04aNIST80053Organizational.3</t>
  </si>
  <si>
    <t>01.04aNYDOHOrganizational.2</t>
  </si>
  <si>
    <t>0447.0</t>
  </si>
  <si>
    <t>01.05aFFIECISOrganizational.2</t>
  </si>
  <si>
    <t>05.a Management Commitment to Information Security</t>
  </si>
  <si>
    <t>0441.0</t>
  </si>
  <si>
    <t>01.05aNIST80053Organizational.4</t>
  </si>
  <si>
    <t>2497.0</t>
  </si>
  <si>
    <t>01.05bFTIOrganizational.4</t>
  </si>
  <si>
    <t>05.b Information Security Coordination</t>
  </si>
  <si>
    <t>2622.0</t>
  </si>
  <si>
    <t>01.05bFTIOrganizational.5</t>
  </si>
  <si>
    <t>2775.0</t>
  </si>
  <si>
    <t>01.05bNIST80053Organizational.2</t>
  </si>
  <si>
    <t>0463.0</t>
  </si>
  <si>
    <t>01.05bNIST80053Organizational.3</t>
  </si>
  <si>
    <t>2915.0</t>
  </si>
  <si>
    <t>01.05dStateRAMPOrganizational.1</t>
  </si>
  <si>
    <t>05.d Authorization Process for Information Assets and Facilities</t>
  </si>
  <si>
    <t>01.06dCMSOrganizational.2</t>
  </si>
  <si>
    <t>06.d Data Protection and Privacy of Covered Information</t>
  </si>
  <si>
    <t>2661.0</t>
  </si>
  <si>
    <t>01.07aFTIOrganizational.2</t>
  </si>
  <si>
    <t>07.a Inventory of Assets</t>
  </si>
  <si>
    <t>2370.0</t>
  </si>
  <si>
    <t>01.07bFedRAMPOrganizational.1</t>
  </si>
  <si>
    <t>07.b Ownership of Assets</t>
  </si>
  <si>
    <t>2694.0</t>
  </si>
  <si>
    <t>01.07bVAD6500Organizational.1</t>
  </si>
  <si>
    <t>2712.0</t>
  </si>
  <si>
    <t>01.09qNYDOHOrganizational.4</t>
  </si>
  <si>
    <t>09.q Information Handling Procedures</t>
  </si>
  <si>
    <t>0436.0</t>
  </si>
  <si>
    <t>01.13o2Organizational.2</t>
  </si>
  <si>
    <t>13.o Complaint Management</t>
  </si>
  <si>
    <t>0001.0</t>
  </si>
  <si>
    <t>0101.00a1Organizational.123</t>
  </si>
  <si>
    <t>0002.0</t>
  </si>
  <si>
    <t>0102.00a2Organizational.123</t>
  </si>
  <si>
    <t>0003.0</t>
  </si>
  <si>
    <t>0103.00a3Organizational.1234567</t>
  </si>
  <si>
    <t>0297.0</t>
  </si>
  <si>
    <t>0104.02a1Organizational.12</t>
  </si>
  <si>
    <t>0299.0</t>
  </si>
  <si>
    <t>0105.02a2Organizational.1</t>
  </si>
  <si>
    <t>0300.0</t>
  </si>
  <si>
    <t>0106.02a2Organizational.23</t>
  </si>
  <si>
    <t>0326.0</t>
  </si>
  <si>
    <t>0107.02d2Organizational.5</t>
  </si>
  <si>
    <t>0327.0</t>
  </si>
  <si>
    <t>0108.02d2Organizational.6</t>
  </si>
  <si>
    <t>0328.0</t>
  </si>
  <si>
    <t>0109.02d1Organizational.4</t>
  </si>
  <si>
    <r>
      <rPr>
        <b/>
        <sz val="10"/>
        <color theme="1"/>
        <rFont val="Arial"/>
        <family val="2"/>
      </rPr>
      <t>Sample Test:</t>
    </r>
    <r>
      <rPr>
        <sz val="10"/>
        <color theme="1"/>
        <rFont val="Arial"/>
        <family val="2"/>
      </rPr>
      <t xml:space="preserve">
- Test 192: Workforce Member (contractor)
- Test 193: Workforce Member (employee)
- Test 212: Workforce Member (third party user)</t>
    </r>
  </si>
  <si>
    <t>0329.0</t>
  </si>
  <si>
    <t>0110.02d2Organizational.1</t>
  </si>
  <si>
    <t>0452.0</t>
  </si>
  <si>
    <t>01100.05aPCIOrganizational.1</t>
  </si>
  <si>
    <t>0005.0</t>
  </si>
  <si>
    <t>01101.00aFFIECISOrganizational.1</t>
  </si>
  <si>
    <t>0313.0</t>
  </si>
  <si>
    <t>01102.02bFedRAMPOrganizational.1</t>
  </si>
  <si>
    <t>0322.0</t>
  </si>
  <si>
    <t>01103.02cFedRAMPOrganizational.1</t>
  </si>
  <si>
    <t>01104.02cFedRAMPOrganizational.2</t>
  </si>
  <si>
    <t>0324.0</t>
  </si>
  <si>
    <t>01105.02cFedRAMPOrganizational.3</t>
  </si>
  <si>
    <t>01106.05bFedRAMPOrganizational.1</t>
  </si>
  <si>
    <t>0004.0</t>
  </si>
  <si>
    <t>01107.00aEHNACOrganizational.1</t>
  </si>
  <si>
    <t>01108.02fEHNACOrganizational.1</t>
  </si>
  <si>
    <t>0305.0</t>
  </si>
  <si>
    <t>01109.02b1Organizational.7</t>
  </si>
  <si>
    <t>The organization (1) screens individuals requiring access to organizational information before authorizing access.</t>
  </si>
  <si>
    <r>
      <rPr>
        <b/>
        <sz val="10"/>
        <color theme="1"/>
        <rFont val="Arial"/>
        <family val="2"/>
      </rPr>
      <t>Evidence Test: Screening</t>
    </r>
    <r>
      <rPr>
        <sz val="10"/>
        <color theme="1"/>
        <rFont val="Arial"/>
        <family val="2"/>
      </rPr>
      <t xml:space="preserve">
- individuals requiring access to the in-scope environment(s)/system(s) are screened prior</t>
    </r>
  </si>
  <si>
    <t>0330.0</t>
  </si>
  <si>
    <t>0111.02d2Organizational.2</t>
  </si>
  <si>
    <t>0444.0</t>
  </si>
  <si>
    <t>01110.05a2Organizational.5</t>
  </si>
  <si>
    <t>0448.0</t>
  </si>
  <si>
    <t>01111.05a2Organizational.5</t>
  </si>
  <si>
    <t>2084.0</t>
  </si>
  <si>
    <t>01111.05bNYDOHOrganizational.1</t>
  </si>
  <si>
    <t>0008.0</t>
  </si>
  <si>
    <t>01112.00aNYCRR500Organizational.1</t>
  </si>
  <si>
    <t>2085.0</t>
  </si>
  <si>
    <t>01112.05bNYDOHOrganizational.2</t>
  </si>
  <si>
    <t>0009.0</t>
  </si>
  <si>
    <t>01113.00aNYCRR500Organizational.2</t>
  </si>
  <si>
    <t>2086.0</t>
  </si>
  <si>
    <t>01113.05bNYDOHOrganizational.3</t>
  </si>
  <si>
    <t>0010.0</t>
  </si>
  <si>
    <t>01114.00aNYCRR500Organizational.3</t>
  </si>
  <si>
    <t>2087.0</t>
  </si>
  <si>
    <t>01114.05bNYDOHOrganizational.4</t>
  </si>
  <si>
    <t>0011.0</t>
  </si>
  <si>
    <t>01115.00aNYCRR500Organizational.4</t>
  </si>
  <si>
    <t>2088.0</t>
  </si>
  <si>
    <t>01115.05bNYDOHOrganizational.5</t>
  </si>
  <si>
    <t>0012.0</t>
  </si>
  <si>
    <t>01116.00aNYCRR500Organizational.5</t>
  </si>
  <si>
    <t>2089.0</t>
  </si>
  <si>
    <t>01116.05bNYDOHOrganizational.6</t>
  </si>
  <si>
    <t>2090.0</t>
  </si>
  <si>
    <t>01117.05dNYDOHOrganizational.1</t>
  </si>
  <si>
    <t>2091.0</t>
  </si>
  <si>
    <t>01118.05dNYDOHOrganizational.2</t>
  </si>
  <si>
    <t>2092.0</t>
  </si>
  <si>
    <t>01119.05dNYDOHOrganizational.3</t>
  </si>
  <si>
    <t>0331.0</t>
  </si>
  <si>
    <t>0112.02d2Organizational.3</t>
  </si>
  <si>
    <t>2093.0</t>
  </si>
  <si>
    <t>01120.05dNYDOHOrganizational.4</t>
  </si>
  <si>
    <t>1915.0</t>
  </si>
  <si>
    <t>011201.00aSCIDSAOrganizational.1</t>
  </si>
  <si>
    <t>1916.0</t>
  </si>
  <si>
    <t>011202.00aSCIDSAOrganizational.2</t>
  </si>
  <si>
    <t>2095.0</t>
  </si>
  <si>
    <t>01122.05hNYDOHOrganizational.1</t>
  </si>
  <si>
    <t>05.h Independent Review of Information Security</t>
  </si>
  <si>
    <t>2096.0</t>
  </si>
  <si>
    <t>01123.05hNYDOHOrganizational.2</t>
  </si>
  <si>
    <t>2097.0</t>
  </si>
  <si>
    <t>01124.05hNYDOHOrganizational.3</t>
  </si>
  <si>
    <t>2098.0</t>
  </si>
  <si>
    <t>01125.05hNYDOHOrganizational.4</t>
  </si>
  <si>
    <t>0431.1</t>
  </si>
  <si>
    <t>0113.04a1Organizational.2</t>
  </si>
  <si>
    <t>The organization’s information security policy (1) is developed, published, disseminated, and implemented. The information security policy documents: (2) state the purpose and scope of the policy; (3) communicate management’s commitment; (4) describe management and workforce members’ roles and responsibilities; and (5) establish the organization’s approach to managing information security.</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</si>
  <si>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examine the information security policy document and confirm that the requirements stipulated in the requirement statement have been defined and documented. _x000D_
Confirm that the policy states the purpose and scope of the policy; communicates management commitment to security; describes management and workforce members\' roles and responsibilities; and establishes the organization\'s approach to managing information security. _x000D_
Further, confirm that the policy has been published and disseminated to all users.</t>
  </si>
  <si>
    <r>
      <rPr>
        <b/>
        <sz val="10"/>
        <color theme="1"/>
        <rFont val="Arial"/>
        <family val="2"/>
      </rPr>
      <t>Documentation: Information Security Management Program</t>
    </r>
    <r>
      <rPr>
        <sz val="10"/>
        <color theme="1"/>
        <rFont val="Arial"/>
        <family val="2"/>
      </rPr>
      <t xml:space="preserve">
- purpose
- scope
- managements commitment to security
- roles and responsibilities
- approach to information security
</t>
    </r>
    <r>
      <rPr>
        <b/>
        <sz val="10"/>
        <color theme="1"/>
        <rFont val="Arial"/>
        <family val="2"/>
      </rPr>
      <t>Evidence Test: Information Security Management Program</t>
    </r>
    <r>
      <rPr>
        <sz val="10"/>
        <color theme="1"/>
        <rFont val="Arial"/>
        <family val="2"/>
      </rPr>
      <t xml:space="preserve">
- published and/or communicated to workforce</t>
    </r>
  </si>
  <si>
    <t>0431.2</t>
  </si>
  <si>
    <t>0113.04a2Organizational.1</t>
  </si>
  <si>
    <t>0435.0</t>
  </si>
  <si>
    <t>0114.04b1Organizational.1</t>
  </si>
  <si>
    <t>04.b Review of the Information Security Policy</t>
  </si>
  <si>
    <t>0437.0</t>
  </si>
  <si>
    <t>0115.04b2Organizational.123</t>
  </si>
  <si>
    <t>0438.0</t>
  </si>
  <si>
    <t>0116.04b3Organizational.1</t>
  </si>
  <si>
    <t>2135.0</t>
  </si>
  <si>
    <t>01162.07aNYDOHOrganizational.1</t>
  </si>
  <si>
    <t>2136.0</t>
  </si>
  <si>
    <t>01163.07aNYDOHOrganizational.2</t>
  </si>
  <si>
    <t>0440.0</t>
  </si>
  <si>
    <t>0117.05a1Organizational.1</t>
  </si>
  <si>
    <t>0118.05a2Organizational.6</t>
  </si>
  <si>
    <t>0442.0</t>
  </si>
  <si>
    <t>0119.05a2Organizational.7</t>
  </si>
  <si>
    <t>0443.0</t>
  </si>
  <si>
    <t>0120.05a2Organizational.8</t>
  </si>
  <si>
    <t>0445.0</t>
  </si>
  <si>
    <t>0121.05a2Organizational.12</t>
  </si>
  <si>
    <t>2188.0</t>
  </si>
  <si>
    <t>01216.09tNYDOHOrganizational.1</t>
  </si>
  <si>
    <t>09.t Exchange Agreements</t>
  </si>
  <si>
    <t>0446.0</t>
  </si>
  <si>
    <t>0122.05a2Organizational.3</t>
  </si>
  <si>
    <t>0123.05a2Organizational.4</t>
  </si>
  <si>
    <t>0449.0</t>
  </si>
  <si>
    <t>0124.05a3Organizational.1</t>
  </si>
  <si>
    <t>0450.0</t>
  </si>
  <si>
    <t>0125.05a3Organizational.2</t>
  </si>
  <si>
    <t>0453.0</t>
  </si>
  <si>
    <t>0126.05b1Organizational.1</t>
  </si>
  <si>
    <t>Security activities (e.g., implementing controls, correcting nonconformities) (1) are coordinated in advance and communicated across the entire organization where necessary.</t>
  </si>
  <si>
    <r>
      <rPr>
        <b/>
        <sz val="10"/>
        <color theme="1"/>
        <rFont val="Arial"/>
        <family val="2"/>
      </rPr>
      <t>Evidence Test: Security Activities</t>
    </r>
    <r>
      <rPr>
        <sz val="10"/>
        <color theme="1"/>
        <rFont val="Arial"/>
        <family val="2"/>
      </rPr>
      <t xml:space="preserve">
- coordinated throughout the organization (where necessary)
- deviations are documented and reviewed by management</t>
    </r>
  </si>
  <si>
    <t>0454.0</t>
  </si>
  <si>
    <t>0127.05b2Organizational.5</t>
  </si>
  <si>
    <t>2247.0</t>
  </si>
  <si>
    <t>01274.00aDGFOrganizational.1</t>
  </si>
  <si>
    <t>2248.0</t>
  </si>
  <si>
    <t>01275.00aDGFOrganizational.2</t>
  </si>
  <si>
    <t>2249.0</t>
  </si>
  <si>
    <t>01276.00aDGFOrganizational.3</t>
  </si>
  <si>
    <t>2250.0</t>
  </si>
  <si>
    <t>01277.02aDGFOrganizational.1</t>
  </si>
  <si>
    <t>2251.0</t>
  </si>
  <si>
    <t>01278.02dDGFOrganizational.1</t>
  </si>
  <si>
    <t>2252.0</t>
  </si>
  <si>
    <t>01279.02dDGFOrganizational.2</t>
  </si>
  <si>
    <t>0456.0</t>
  </si>
  <si>
    <t>0128.05b2Organizational.126</t>
  </si>
  <si>
    <t>2255.0</t>
  </si>
  <si>
    <t>01282.04aDGFOrganizational.1</t>
  </si>
  <si>
    <t>2256.0</t>
  </si>
  <si>
    <t>01283.04bDGFOrganizational.1</t>
  </si>
  <si>
    <t>2257.0</t>
  </si>
  <si>
    <t>01284.05aDGFOrganizational.1</t>
  </si>
  <si>
    <t>2258.0</t>
  </si>
  <si>
    <t>01285.05aDGFOrganizational.2</t>
  </si>
  <si>
    <t>2259.0</t>
  </si>
  <si>
    <t>01286.05bDGFOrganizational.1</t>
  </si>
  <si>
    <t>2260.0</t>
  </si>
  <si>
    <t>01287.05bDGFOrganizational.2</t>
  </si>
  <si>
    <t>2261.0</t>
  </si>
  <si>
    <t>01288.05cDGFOrganizational.1</t>
  </si>
  <si>
    <t>05.c Allocation of Information Security Responsibilities</t>
  </si>
  <si>
    <t>0457.0</t>
  </si>
  <si>
    <t>0129.05b2Organizational.3</t>
  </si>
  <si>
    <t>2270.0</t>
  </si>
  <si>
    <t>01297.00aNIST80053Organizational.18</t>
  </si>
  <si>
    <t>2272.0</t>
  </si>
  <si>
    <t>01299.00aNIST80053Organizational.16</t>
  </si>
  <si>
    <t>0460.0</t>
  </si>
  <si>
    <t>0130.05b3Organizational.1</t>
  </si>
  <si>
    <t>2274.0</t>
  </si>
  <si>
    <t>01301.00aNIST80053Organizational.14</t>
  </si>
  <si>
    <t>2275.0</t>
  </si>
  <si>
    <t>01302.00aNIST80053Organizational.13</t>
  </si>
  <si>
    <t>2277.0</t>
  </si>
  <si>
    <t>01304.00aNIST80053Organizational.11</t>
  </si>
  <si>
    <t>2278.0</t>
  </si>
  <si>
    <t>01305.00aNIST80053Organizational.10</t>
  </si>
  <si>
    <t>2280.0</t>
  </si>
  <si>
    <t>01307.00aNIST80053Organizational.8</t>
  </si>
  <si>
    <t>2282.0</t>
  </si>
  <si>
    <t>01309.00aNIST80053Organizational.6</t>
  </si>
  <si>
    <t>01310.00aNIST80053Organizational.5</t>
  </si>
  <si>
    <t>2284.0</t>
  </si>
  <si>
    <t>01311.00aNIST80053Organizational.4</t>
  </si>
  <si>
    <t>0465.0</t>
  </si>
  <si>
    <t>0133.05bFTIOrganizational.3</t>
  </si>
  <si>
    <t>0362.0</t>
  </si>
  <si>
    <t>0135.02f1Organizational.56</t>
  </si>
  <si>
    <t>0006.0</t>
  </si>
  <si>
    <t>0136.00aHIXOrganizational.1</t>
  </si>
  <si>
    <t>0137.02a2Organizational.3</t>
  </si>
  <si>
    <t>0301.0</t>
  </si>
  <si>
    <t>0138.02b3Organizational.3</t>
  </si>
  <si>
    <t>0302.0</t>
  </si>
  <si>
    <t>0139.02b2Organizational.5</t>
  </si>
  <si>
    <t>0303.0</t>
  </si>
  <si>
    <t>0140.02b2Organizational.6</t>
  </si>
  <si>
    <t>0304.0</t>
  </si>
  <si>
    <t>0141.02b2Organizational.7</t>
  </si>
  <si>
    <t>0306.0</t>
  </si>
  <si>
    <t>0142.02b2Organizational.1234</t>
  </si>
  <si>
    <t>0307.0</t>
  </si>
  <si>
    <t>0143.02b2Organizational.56</t>
  </si>
  <si>
    <t>0308.0</t>
  </si>
  <si>
    <t>0144.02b2Organizational.79</t>
  </si>
  <si>
    <t>0309.0</t>
  </si>
  <si>
    <t>0145.02b2Organizational.8</t>
  </si>
  <si>
    <t>0146.02b3Organizational.12</t>
  </si>
  <si>
    <t>0311.0</t>
  </si>
  <si>
    <t>0147.02b3Organizational.3</t>
  </si>
  <si>
    <t>0312.0</t>
  </si>
  <si>
    <t>0148.02bCMSOrganizational.1</t>
  </si>
  <si>
    <t>0314.1</t>
  </si>
  <si>
    <t>0149.02bFTIOrganizational.2</t>
  </si>
  <si>
    <t>0315.0</t>
  </si>
  <si>
    <t>0150.02c2Organizational.3</t>
  </si>
  <si>
    <t>0316.0</t>
  </si>
  <si>
    <t>0151.02c1Organizational.23</t>
  </si>
  <si>
    <t>The organization ensures that (1) employees, (2) contractors, and (3) third-party users agree to terms and conditions concerning information security appropriate to the nature and extent of access they will have to the organization’s assets associated with information systems and services. The organization (4) develops and documents access agreements for organizational systems. Privileges (5) are not granted until the terms and conditions have been satisfied and agreements have been signed.</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</si>
  <si>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employees, contractors and third-party users and confirm that they signed/agreed to the organization\'s terms and conditions of employment, which includes appropriate access agreements. _x000D_
Further, confirm that the terms and conditions of employment reflected the nature and extent of access they will have to the organization\'s assets associated with information systems and services.</t>
  </si>
  <si>
    <r>
      <rPr>
        <b/>
        <sz val="10"/>
        <color theme="1"/>
        <rFont val="Arial"/>
        <family val="2"/>
      </rPr>
      <t>Evidence Test: Terms and Conditions</t>
    </r>
    <r>
      <rPr>
        <sz val="10"/>
        <color theme="1"/>
        <rFont val="Arial"/>
        <family val="2"/>
      </rPr>
      <t xml:space="preserve">
- covers nature and extent of access
</t>
    </r>
    <r>
      <rPr>
        <b/>
        <sz val="10"/>
        <color theme="1"/>
        <rFont val="Arial"/>
        <family val="2"/>
      </rPr>
      <t>Sample Test:</t>
    </r>
    <r>
      <rPr>
        <sz val="10"/>
        <color theme="1"/>
        <rFont val="Arial"/>
        <family val="2"/>
      </rPr>
      <t xml:space="preserve">
- Test 192: Workforce Member (contractor)
- Test 193: Workforce Member (employee)
- Test 212: Workforce Member (third party user)</t>
    </r>
  </si>
  <si>
    <t>0317.0</t>
  </si>
  <si>
    <t>0152.02c2Organizational.1</t>
  </si>
  <si>
    <t>0318.0</t>
  </si>
  <si>
    <t>0153.02c2Organizational.23</t>
  </si>
  <si>
    <t>0319.0</t>
  </si>
  <si>
    <t>0154.02cHIPAAOrganizational.4</t>
  </si>
  <si>
    <t>0320.0</t>
  </si>
  <si>
    <t>0155.02cCMSOrganizational.1</t>
  </si>
  <si>
    <t>1904.0</t>
  </si>
  <si>
    <t>0156.02cCMSOrganizational.23</t>
  </si>
  <si>
    <t>0325.0</t>
  </si>
  <si>
    <t>0157.02cFTIOrganizational.1</t>
  </si>
  <si>
    <t>0434.0</t>
  </si>
  <si>
    <t>0161.04aPCIOrganizational.1</t>
  </si>
  <si>
    <t>0162.04b2Organizational.2</t>
  </si>
  <si>
    <t>0451.0</t>
  </si>
  <si>
    <t>0165.05a3Organizational.3</t>
  </si>
  <si>
    <t>0455.0</t>
  </si>
  <si>
    <t>0166.05b2Organizational.6</t>
  </si>
  <si>
    <t>0458.0</t>
  </si>
  <si>
    <t>0167.05b2Organizational.4</t>
  </si>
  <si>
    <t>0459.0</t>
  </si>
  <si>
    <t>0168.05b2Organizational.5</t>
  </si>
  <si>
    <t>0461.0</t>
  </si>
  <si>
    <t>0169.05bCMSOrganizational.1</t>
  </si>
  <si>
    <t>0462.0</t>
  </si>
  <si>
    <t>0170.05bCMSOrganizational.2</t>
  </si>
  <si>
    <t>0466.0</t>
  </si>
  <si>
    <t>0171.05bFTIOrganizational.4</t>
  </si>
  <si>
    <t>0467.0</t>
  </si>
  <si>
    <t>0172.05c2Organizational.3</t>
  </si>
  <si>
    <t>0468.0</t>
  </si>
  <si>
    <t>0173.05c1Organizational.45</t>
  </si>
  <si>
    <t>The organization clearly (1) allocates and assigns responsibilities to identify and protect individual IT assets in accordance with the security policies. Where necessary, (2) the organization supplements policies with more detailed guidance for specific assets and facilities. When security responsibilities are delegated to others, (3) the individual originally assigned these responsibilities remains accountable, and (4) the organization determines that any delegated tasks have been correctly performed.</t>
  </si>
  <si>
    <r>
      <rPr>
        <b/>
        <sz val="10"/>
        <color theme="1"/>
        <rFont val="Arial"/>
        <family val="2"/>
      </rPr>
      <t>Documentation: Information Security Management Program</t>
    </r>
    <r>
      <rPr>
        <sz val="10"/>
        <color theme="1"/>
        <rFont val="Arial"/>
        <family val="2"/>
      </rPr>
      <t xml:space="preserve">
- roles and responsibilities have been defined
</t>
    </r>
    <r>
      <rPr>
        <b/>
        <sz val="10"/>
        <color theme="1"/>
        <rFont val="Arial"/>
        <family val="2"/>
      </rPr>
      <t>Evidence Test: Information Security Responsibilities</t>
    </r>
    <r>
      <rPr>
        <sz val="10"/>
        <color theme="1"/>
        <rFont val="Arial"/>
        <family val="2"/>
      </rPr>
      <t xml:space="preserve">
- have been delegated
- personnel are held accountable
- tasks have been performed correctly</t>
    </r>
  </si>
  <si>
    <t>0469.0</t>
  </si>
  <si>
    <t>0174.05c2Organizational.12345</t>
  </si>
  <si>
    <t>0470.0</t>
  </si>
  <si>
    <t>0175.05c2Organizational.67</t>
  </si>
  <si>
    <t>0471.0</t>
  </si>
  <si>
    <t>0176.05c3Organizational.1</t>
  </si>
  <si>
    <t>0495.0</t>
  </si>
  <si>
    <t>0177.05h2Organizational.1</t>
  </si>
  <si>
    <t>0496.0</t>
  </si>
  <si>
    <t>0178.05h2Organizational.2</t>
  </si>
  <si>
    <t>0497.0</t>
  </si>
  <si>
    <t>0179.05h2Organizational.3</t>
  </si>
  <si>
    <t>0498.0</t>
  </si>
  <si>
    <t>0180.05h1Organizational.4</t>
  </si>
  <si>
    <t>An independent review of the information security management program and information security controls (1) is conducted at least annually or whenever there is a material change to the business practices that may implicate the security or integrity of records containing personal information.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</si>
  <si>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management has initiated an independent review of the organization\'s information security management program. This can be evidenced through the review of the results of the independent review. _x000D_
Further examine the results of the review and confirm that it was performed within the last year. _x000D_
If a material change to the business practices that may implicate the security or integrity of records containing personal information has occurred within the review period, confirm that a subsequent independent review of the information security management program was performed.</t>
  </si>
  <si>
    <r>
      <rPr>
        <b/>
        <sz val="10"/>
        <color theme="1"/>
        <rFont val="Arial"/>
        <family val="2"/>
      </rPr>
      <t>Evidence Test: Independent Audit</t>
    </r>
    <r>
      <rPr>
        <sz val="10"/>
        <color theme="1"/>
        <rFont val="Arial"/>
        <family val="2"/>
      </rPr>
      <t xml:space="preserve">
- initiated by management
- performed within the last year
</t>
    </r>
    <r>
      <rPr>
        <b/>
        <sz val="10"/>
        <color theme="1"/>
        <rFont val="Arial"/>
        <family val="2"/>
      </rPr>
      <t>Inquiry Test: Material Change to Business</t>
    </r>
    <r>
      <rPr>
        <sz val="10"/>
        <color theme="1"/>
        <rFont val="Arial"/>
        <family val="2"/>
      </rPr>
      <t xml:space="preserve">
- Have there been any significant material changes to the business practice that could impact privacy/security controls/tools?
- YES: subsequent independent review performed
- NO: nothing further</t>
    </r>
  </si>
  <si>
    <t>0543.0</t>
  </si>
  <si>
    <t>0181.06a1Organizational.12</t>
  </si>
  <si>
    <t>06.a Identification of Applicable Legislation</t>
  </si>
  <si>
    <t>All relevant statutory, regulatory, and contractual requirements, including the specific controls and individual responsibilities to meet these requirements, are (1) explicitly defined and formally documented (e.g., in policies and procedures, as appropriate) for each information system type, and (2) communicated to the user community as necessary through documented security training and awareness programs.</t>
  </si>
  <si>
    <t>Examine evidence that all evaluative elements within the requirement statement have been implemented as defined in the HITRUST scoring rubric, using a sample based test where possible for each evaluative element._x000D_
_x000D_
_x000D_
Example test(s):_x000D_
For example, confirm that the organization identifies all legislation applicable to their organization including the specific controls and individual responsibilities to meet these requirements. _x000D_
Further, confirm that these requirements are explicitly defined and formally documented in policies and procedures as appropriate. _x000D_
Further, select a sample of training content delivered to members of the workforce to confirm that these requirements are communicated through the user community as necessary through documented security and awareness training programs.</t>
  </si>
  <si>
    <r>
      <rPr>
        <b/>
        <sz val="10"/>
        <color theme="1"/>
        <rFont val="Arial"/>
        <family val="2"/>
      </rPr>
      <t>Documentation: Information Security Management Program</t>
    </r>
    <r>
      <rPr>
        <sz val="10"/>
        <color theme="1"/>
        <rFont val="Arial"/>
        <family val="2"/>
      </rPr>
      <t xml:space="preserve">
- formally identifies applicable legislation
- outlines workforce responsibilities to meet legislation
</t>
    </r>
    <r>
      <rPr>
        <b/>
        <sz val="10"/>
        <color theme="1"/>
        <rFont val="Arial"/>
        <family val="2"/>
      </rPr>
      <t>Sample Test:</t>
    </r>
    <r>
      <rPr>
        <sz val="10"/>
        <color theme="1"/>
        <rFont val="Arial"/>
        <family val="2"/>
      </rPr>
      <t xml:space="preserve">
- Test 132: Information Security (training material)</t>
    </r>
  </si>
  <si>
    <t>0544.0</t>
  </si>
  <si>
    <t>0182.06a2Organizational.12</t>
  </si>
  <si>
    <t>0645.0</t>
  </si>
  <si>
    <t>0183.07b1Organizational.1</t>
  </si>
  <si>
    <t>All information systems (1) are documented. Documentation of all information systems includes a method to determine accurately and readily the: (2) assigned owner of responsibility; (3) owner’s contact information; and (4) purpose (e.g., through labeling, coding, and/or inventory).</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</si>
  <si>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information systems are documented, which includes details on the assigned owner of responsibility, contact information, and purpose (e.g., through labeling, coding, and/or inventory). _x000D_
Select a sample of information systems and confirm that details on the assigned owner of responsibility, contact information, and purpose (e.g., through labeling, coding, and/or inventory) have been documented.</t>
  </si>
  <si>
    <r>
      <rPr>
        <b/>
        <sz val="10"/>
        <color theme="1"/>
        <rFont val="Arial"/>
        <family val="2"/>
      </rPr>
      <t>Sample Test:</t>
    </r>
    <r>
      <rPr>
        <sz val="10"/>
        <color theme="1"/>
        <rFont val="Arial"/>
        <family val="2"/>
      </rPr>
      <t xml:space="preserve">
- Test 136: Information System
</t>
    </r>
    <r>
      <rPr>
        <b/>
        <sz val="10"/>
        <color theme="1"/>
        <rFont val="Arial"/>
        <family val="2"/>
      </rPr>
      <t>Additional Information: Definition</t>
    </r>
    <r>
      <rPr>
        <sz val="10"/>
        <color theme="1"/>
        <rFont val="Arial"/>
        <family val="2"/>
      </rPr>
      <t xml:space="preserve">
- An information system is essentially made up of five components hardware, software, database, network and people. These five components integrate to collect, process, store, and distribute information.</t>
    </r>
  </si>
  <si>
    <t>0646.0</t>
  </si>
  <si>
    <t>0184.07b2Organizational.1</t>
  </si>
  <si>
    <t>0647.0</t>
  </si>
  <si>
    <t>0185.07b2Organizational.24</t>
  </si>
  <si>
    <t>0648.0</t>
  </si>
  <si>
    <t>0186.07b2Organizational.3</t>
  </si>
  <si>
    <t>0649.0</t>
  </si>
  <si>
    <t>0187.07b2Organizational.5</t>
  </si>
  <si>
    <t>0650.0</t>
  </si>
  <si>
    <t>0188.07b2Organizational.6</t>
  </si>
  <si>
    <t>0651.0</t>
  </si>
  <si>
    <t>0189.07bFTIOrganizational.1</t>
  </si>
  <si>
    <t>0815.0</t>
  </si>
  <si>
    <t>0191.09a2System.1</t>
  </si>
  <si>
    <t>09.a Documented Operations Procedures</t>
  </si>
  <si>
    <t>0816.0</t>
  </si>
  <si>
    <t>0192.09a2System.2</t>
  </si>
  <si>
    <t>1962.0</t>
  </si>
  <si>
    <t>01924.00aNIST80053Organizational.25</t>
  </si>
  <si>
    <t>1965.0</t>
  </si>
  <si>
    <t>01927.00aHICPOrganizational.1</t>
  </si>
  <si>
    <t>1967.0</t>
  </si>
  <si>
    <t>01929.00aNIST80053Organizational.24</t>
  </si>
  <si>
    <t>0817.0</t>
  </si>
  <si>
    <t>0193.09a1System.3</t>
  </si>
  <si>
    <t>Operating procedures and the documented procedures for system activities (1) are treated as formal documents. Changes to operating procedures and the documented procedures for system activities (2) are authorized by management.</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</si>
  <si>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operating procedures and confirm that they are treated as formal documents. _x000D_
Further, confirm that any changes to the operating procedures are authorized by management.</t>
  </si>
  <si>
    <r>
      <rPr>
        <b/>
        <sz val="10"/>
        <color theme="1"/>
        <rFont val="Arial"/>
        <family val="2"/>
      </rPr>
      <t>Sample Test:</t>
    </r>
    <r>
      <rPr>
        <sz val="10"/>
        <color theme="1"/>
        <rFont val="Arial"/>
        <family val="2"/>
      </rPr>
      <t xml:space="preserve">
- Test 155: Information System (operating procedure)
</t>
    </r>
    <r>
      <rPr>
        <b/>
        <sz val="10"/>
        <color theme="1"/>
        <rFont val="Arial"/>
        <family val="2"/>
      </rPr>
      <t xml:space="preserve">
Additional Information: Definition
</t>
    </r>
    <r>
      <rPr>
        <sz val="10"/>
        <color theme="1"/>
        <rFont val="Arial"/>
        <family val="2"/>
      </rPr>
      <t>- A standard operating procedure (NOT a process) is a set of step-by-step instructions compiled by an organization to help workers carry out routine operations.</t>
    </r>
  </si>
  <si>
    <t>1968.0</t>
  </si>
  <si>
    <t>01930.00aNIST80053Organizational.23</t>
  </si>
  <si>
    <t>1972.0</t>
  </si>
  <si>
    <t>01934.00aNIST80053Organizational.22</t>
  </si>
  <si>
    <t>1974.0</t>
  </si>
  <si>
    <t>01936.00aNIST80053Organizational.21</t>
  </si>
  <si>
    <t>1975.0</t>
  </si>
  <si>
    <t>01937.00aNIST80053Organizational.20</t>
  </si>
  <si>
    <t>1978.0</t>
  </si>
  <si>
    <t>01940.00aNIST80053Organizational.19</t>
  </si>
  <si>
    <t>0819.0</t>
  </si>
  <si>
    <t>0195.09aPCISystem.1</t>
  </si>
  <si>
    <t>2023.0</t>
  </si>
  <si>
    <t>01950.00aNYDOHOrganizational.1</t>
  </si>
  <si>
    <t>2024.0</t>
  </si>
  <si>
    <t>01951.00aNYDOHOrganizational.2</t>
  </si>
  <si>
    <t>0332.0</t>
  </si>
  <si>
    <t>0197.02d2Organizational.4</t>
  </si>
  <si>
    <t>0007.0</t>
  </si>
  <si>
    <t>0199.00aHIXOrganizational.2</t>
  </si>
  <si>
    <t>02 Endpoint Protection</t>
  </si>
  <si>
    <t>2414.0</t>
  </si>
  <si>
    <t>02.01gFedRAMPOrganizational.2</t>
  </si>
  <si>
    <t>01.g Unattended User Equipment</t>
  </si>
  <si>
    <t>2489.0</t>
  </si>
  <si>
    <t>02.01mFedRAMPOrganizational.2</t>
  </si>
  <si>
    <t>01.m Segregation in Networks</t>
  </si>
  <si>
    <t>2488.0</t>
  </si>
  <si>
    <t>02.01nFedRAMPOrganizational.3</t>
  </si>
  <si>
    <t>01.n Network Connection Control</t>
  </si>
  <si>
    <t>2650.0</t>
  </si>
  <si>
    <t>02.02eFTIOrganizational.14</t>
  </si>
  <si>
    <t>02.e Information Security Awareness, Education, and Training</t>
  </si>
  <si>
    <t>2470.0</t>
  </si>
  <si>
    <t>02.09jFedRAMPOrganizational.2</t>
  </si>
  <si>
    <t>09.j Controls Against Malicious Code</t>
  </si>
  <si>
    <t>2597.0</t>
  </si>
  <si>
    <t>02.09jFTIOrganizational.4</t>
  </si>
  <si>
    <t>2337.0</t>
  </si>
  <si>
    <t>02.09jHICPOrganizational.3</t>
  </si>
  <si>
    <t>2334.0</t>
  </si>
  <si>
    <t>02.09jHICPOrganizational.4</t>
  </si>
  <si>
    <t>0876.0</t>
  </si>
  <si>
    <t>02.09jNIST80053Organizational.4</t>
  </si>
  <si>
    <t>0893.0</t>
  </si>
  <si>
    <t>02.09jNIST80053Organizational.5</t>
  </si>
  <si>
    <t>0878.0</t>
  </si>
  <si>
    <t>02.09jTXRAMPOrganizational.2</t>
  </si>
  <si>
    <t>2547.0</t>
  </si>
  <si>
    <t>02.09mCMSOrganizational.5</t>
  </si>
  <si>
    <t>09.m Network Controls</t>
  </si>
  <si>
    <t>2832.0</t>
  </si>
  <si>
    <t>02.09mFedRAMPOrganizational.7</t>
  </si>
  <si>
    <t>2554.0</t>
  </si>
  <si>
    <t>02.09mFTIOrganizational.8</t>
  </si>
  <si>
    <t>2555.0</t>
  </si>
  <si>
    <t>02.09mFTIOrganizational.9</t>
  </si>
  <si>
    <t>2343.0</t>
  </si>
  <si>
    <t>02.09mHICPOrganizational.3</t>
  </si>
  <si>
    <t>2336.0</t>
  </si>
  <si>
    <t>02.09mHICPOrganizational.4</t>
  </si>
  <si>
    <t>0873.0</t>
  </si>
  <si>
    <t>0201.09j1Organizational.124</t>
  </si>
  <si>
    <t>0874.0</t>
  </si>
  <si>
    <t>0202.09j2Organizational.8</t>
  </si>
  <si>
    <r>
      <rPr>
        <b/>
        <sz val="10"/>
        <color theme="1"/>
        <rFont val="Arial"/>
        <family val="2"/>
      </rPr>
      <t>Sample Test:</t>
    </r>
    <r>
      <rPr>
        <sz val="10"/>
        <color theme="1"/>
        <rFont val="Arial"/>
        <family val="2"/>
      </rPr>
      <t xml:space="preserve">
- Test 045: Endpoint Device (BYOD)
- Test 050: Endpoint Device (laptop)
- Test 054: Endpoint Device (server)
- Test 058: Endpoint Device (workstation)</t>
    </r>
  </si>
  <si>
    <t>0877.0</t>
  </si>
  <si>
    <t>0204.09j2Organizational.1</t>
  </si>
  <si>
    <t>0205.09j2Organizational.2</t>
  </si>
  <si>
    <t>0879.0</t>
  </si>
  <si>
    <t>0206.09j2Organizational.34</t>
  </si>
  <si>
    <t>0880.0</t>
  </si>
  <si>
    <t>0207.09j1Organizational.6</t>
  </si>
  <si>
    <t>Centrally managed spam protection mechanisms are employed at (1) information system entry and exit points, (2) workstations, (3) servers, and (4) mobile computing devices on the network. Spam protection mechanisms detect and take action on unsolicited messages (5) transported by electronic mail, (6) transported by electronic mail attachments, (7) transported by Web accesses, (8) transported by other common means, and (9) inserted through the exploitation of information system vulnerabilities. Malicious code and spam protection mechanisms are (10) centrally managed and (11) updated when new releases are made available in accordance with the organization’s configuration management policy and procedures.</t>
  </si>
  <si>
    <r>
      <rPr>
        <b/>
        <sz val="10"/>
        <color theme="1"/>
        <rFont val="Arial"/>
        <family val="2"/>
      </rPr>
      <t>Evidence Test: Anti-Spam</t>
    </r>
    <r>
      <rPr>
        <sz val="10"/>
        <color theme="1"/>
        <rFont val="Arial"/>
        <family val="2"/>
      </rPr>
      <t xml:space="preserve">
- centrally managed and up-to-date
- implemented at network entry/exit points
- filters configured for emails
- filters configured for attachments
- filters configured for web links</t>
    </r>
  </si>
  <si>
    <t>0881.0</t>
  </si>
  <si>
    <t>0208.09j2Organizational.7</t>
  </si>
  <si>
    <t>0949.0</t>
  </si>
  <si>
    <t>0209.09m3Organizational.7</t>
  </si>
  <si>
    <t>0110.0</t>
  </si>
  <si>
    <t>0210.01g1Organizational.1</t>
  </si>
  <si>
    <t>All users are made aware of: (1) the security requirements and procedures for protecting unattended equipment; (2) their responsibilities for terminating active sessions when finished, unless they can be secured by an appropriate locking mechanism (e.g., a password protected screen saver); (3) their responsibilities for logging-off mainframe computers, servers, and office PCs when the session is finished (e.g., not just switch off the PC screen or terminal); and (4) their responsibilities for securing PCs or terminals from unauthorized use by a key lock or an equivalent control (e.g., password access) when not in use.</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</si>
  <si>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employees and confirm that they are aware of the security requirements and procedures for protecting unattended equipment, as well as their responsibilities for implementing such protection. _x000D_
Confirm that each employee is aware that active sessions are terminated when finished, logging-off when sessions are finished, and securing PCs or terminals by locking the session. This can be confirmed, for example, through review of documented evidence, such as periodic training materials or acknowledgement of organizational policies, etc.</t>
  </si>
  <si>
    <t>0111.0</t>
  </si>
  <si>
    <t>0211.01g2Organizational.1</t>
  </si>
  <si>
    <t>0112.0</t>
  </si>
  <si>
    <t>0212.01gFTIOrganizational.1</t>
  </si>
  <si>
    <t>0113.0</t>
  </si>
  <si>
    <t>0213.01gFTIOrganizational.2</t>
  </si>
  <si>
    <t>0214.09j2Organizational.9</t>
  </si>
  <si>
    <t>0882.0</t>
  </si>
  <si>
    <t>0215.09j2Organizational.8</t>
  </si>
  <si>
    <t>0883.0</t>
  </si>
  <si>
    <t>0216.09j2Organizational.9</t>
  </si>
  <si>
    <t>0884.0</t>
  </si>
  <si>
    <t>0217.09j1Organizational.7</t>
  </si>
  <si>
    <t>The organization configures malicious code and spam protection mechanisms to: (1) perform periodic scans of the information system according to organization guidelines; (2) perform real-time scans of files from external sources at endpoints and network entry/exit points as the files are downloaded, opened, or executed in accordance with organizational security policy; and (3) block malicious code, quarantine malicious code, or send alerts to an administrator in response to malicious code detection.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</si>
  <si>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endpoint devices (desktops, laptops, servers, BYOD, etc.) and determine if anti-malware software is installed, operating and up-to-date. _x000D_
Examine the configuration settings for the anti-malware software and confirm that it has been configured to perform periodic scans of the and real-time scans of files from external sources at endpoints and network entry/exit points as the files are downloaded, opened, or executed. _x000D_
Further, confirm that alerts are sent and reviewed by appropriate personnel upon malware detection.</t>
  </si>
  <si>
    <r>
      <rPr>
        <b/>
        <sz val="10"/>
        <color theme="1"/>
        <rFont val="Arial"/>
        <family val="2"/>
      </rPr>
      <t>Evidence Test: Endpoint Protection</t>
    </r>
    <r>
      <rPr>
        <sz val="10"/>
        <color theme="1"/>
        <rFont val="Arial"/>
        <family val="2"/>
      </rPr>
      <t xml:space="preserve">
- scans portable/removable media when inserted
- scans email attachments
- scans downloads and files received over the network
- detection alerts are configured
- detection alerts are sent and reviewed by appropriate personnel
</t>
    </r>
    <r>
      <rPr>
        <b/>
        <sz val="10"/>
        <color theme="1"/>
        <rFont val="Arial"/>
        <family val="2"/>
      </rPr>
      <t>Sample Test:</t>
    </r>
    <r>
      <rPr>
        <sz val="10"/>
        <color theme="1"/>
        <rFont val="Arial"/>
        <family val="2"/>
      </rPr>
      <t xml:space="preserve">
- Test 045: Endpoint Device (BYOD)
- Test 050: Endpoint Device (laptop)
- Test 054: Endpoint Device (server)
- Test 058: Endpoint Device (workstation)</t>
    </r>
  </si>
  <si>
    <t>0885.0</t>
  </si>
  <si>
    <t>0219.09j2Organizational.12</t>
  </si>
  <si>
    <t>2163.0</t>
  </si>
  <si>
    <t>02191.09jNYDOHOrganizational.2</t>
  </si>
  <si>
    <t>2164.0</t>
  </si>
  <si>
    <t>02192.09jNYDOHOrganizational.4</t>
  </si>
  <si>
    <t>2165.0</t>
  </si>
  <si>
    <t>02193.09kNYDOHOrganizational.1</t>
  </si>
  <si>
    <t>09.k Controls Against Mobile Code</t>
  </si>
  <si>
    <t>0889.0</t>
  </si>
  <si>
    <t>0220.09jCMSOrganizational.1</t>
  </si>
  <si>
    <t>0891.0</t>
  </si>
  <si>
    <t>0221.09jFTIOrganizational.1</t>
  </si>
  <si>
    <t>0892.0</t>
  </si>
  <si>
    <t>0222.09jFTIOrganizational.2</t>
  </si>
  <si>
    <t>0223.09jFTIOrganizational.3</t>
  </si>
  <si>
    <t>0894.0</t>
  </si>
  <si>
    <t>0224.09jHIXOrganizational.1</t>
  </si>
  <si>
    <t>0895.0</t>
  </si>
  <si>
    <t>0225.09k2Organizational.3</t>
  </si>
  <si>
    <t>0896.0</t>
  </si>
  <si>
    <t>0226.09k1Organizational.2</t>
  </si>
  <si>
    <t>0897.0</t>
  </si>
  <si>
    <t>0227.09k2Organizational.12</t>
  </si>
  <si>
    <t>0898.0</t>
  </si>
  <si>
    <t>0228.09k2Organizational.3</t>
  </si>
  <si>
    <t>0887.0</t>
  </si>
  <si>
    <t>0232.09jCISOrganizational.13</t>
  </si>
  <si>
    <t>0890.0</t>
  </si>
  <si>
    <t>0234.09jFedRAMPOrganizational.1</t>
  </si>
  <si>
    <t>0943.2</t>
  </si>
  <si>
    <t>0265.09m1Organizational.2</t>
  </si>
  <si>
    <t>The organization (1) applies a default-deny rule that drops all traffic via host-based firewalls or port filtering tools on its endpoints (workstations, servers, etc.), except those services and ports that are explicitly allowed.</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</si>
  <si>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host-based firewall or port filtering tool configurations of a sample of endpoints to confirm that a default-deny rule that drops all traffic except to those services and ports that are explicitly allowed.</t>
  </si>
  <si>
    <t>1990.0</t>
  </si>
  <si>
    <t>02954.09mCSR002Organizational.3</t>
  </si>
  <si>
    <t>1989.0</t>
  </si>
  <si>
    <t>02962.09j1Organizational.5</t>
  </si>
  <si>
    <t>The organization (1) augments endpoint protection strategies with additional solutions—including those built into the operating system if available—to mitigate exploitation of unknown vulnerabilities where traditional antivirus may be ineffective; and where applicable, target the solutions to protect commonly exploited applications (e.g., web browsers, office productivity suites, Java plugins).</t>
  </si>
  <si>
    <t>Examine evidence that all evaluative elements within the requirement statement have been implemented as defined in the HITRUST scoring rubric, using a sample based test where possible for each evaluative element._x000D_
_x000D_
_x000D_
Example test(s):_x000D_
For example, but not limited to, obtain and examine the endpoint protection policy and procedures, and examine evidence to confirm that the organization has augmented endpoint protection strategies with additional solutions—including those built into the operating system if available—to mitigate exploitation of unknown vulnerabilities where traditional antivirus may be ineffective; and where applicable, has targeted the solutions to protect commonly exploited applications (e.g., web browsers, office productivity suites, Java plugins). These solutions typically include _x000D_
i) using application sandboxing/micro-virtualization; _x000D_
ii) leveraging built-in operating system exploit mitigation if available, such as Windows Defender Exploit Guard (WDEG) and Microsoft Enhanced Mitigation Experience Toolkit (EMET); and/or _x000D_
iii) implementing third-party endpoint protection products that provides exploit mitigation capability beyond more traditional antivirus (i.e., whitelisting/blacklisting) strategies, often referred to as Next Generation Endpoint Protection.</t>
  </si>
  <si>
    <r>
      <rPr>
        <b/>
        <sz val="10"/>
        <color theme="1"/>
        <rFont val="Arial"/>
        <family val="2"/>
      </rPr>
      <t>Documentation: Endpoint Protection Program</t>
    </r>
    <r>
      <rPr>
        <sz val="10"/>
        <color theme="1"/>
        <rFont val="Arial"/>
        <family val="2"/>
      </rPr>
      <t xml:space="preserve">
- includes augmentation of endpoint protection strategies with additional solutions
</t>
    </r>
    <r>
      <rPr>
        <b/>
        <sz val="10"/>
        <color theme="1"/>
        <rFont val="Arial"/>
        <family val="2"/>
      </rPr>
      <t xml:space="preserve">
Additional Information: Examples
</t>
    </r>
    <r>
      <rPr>
        <sz val="10"/>
        <color theme="1"/>
        <rFont val="Arial"/>
        <family val="2"/>
      </rPr>
      <t>- using application sandboxing/micro-virtualization
- leveraging built-in operating system exploit mitigation if available (e.g., Windows Defender Exploit Guard, Microsoft Enhanced Mitigation Experience Toolkit, etc.)
- implementing third-party endpoint protection (i.e., Next Generation Endpoint Protection)</t>
    </r>
  </si>
  <si>
    <t>03 Portable Media Security</t>
  </si>
  <si>
    <t>2725.0</t>
  </si>
  <si>
    <t>03.07eNYDOHOrganizational.2</t>
  </si>
  <si>
    <t>07.e Information Labeling and Handling</t>
  </si>
  <si>
    <t>0999.0</t>
  </si>
  <si>
    <t>03.09o2Organizational.4</t>
  </si>
  <si>
    <t>09.o Management of Removable Media</t>
  </si>
  <si>
    <t>2603.0</t>
  </si>
  <si>
    <t>03.09oFTIOrganizational.1</t>
  </si>
  <si>
    <t>2511.0</t>
  </si>
  <si>
    <t>03.09qCMSOrganizational.1</t>
  </si>
  <si>
    <t>1006.0</t>
  </si>
  <si>
    <t>03.09qCMSOrganizational.4</t>
  </si>
  <si>
    <t>1079.0</t>
  </si>
  <si>
    <t>03.09qCMSOrganizational.5</t>
  </si>
  <si>
    <t>2399.0</t>
  </si>
  <si>
    <t>03.09qFedRAMPOrganizational.1</t>
  </si>
  <si>
    <t>2401.0</t>
  </si>
  <si>
    <t>03.09qFedRAMPOrganizational.2</t>
  </si>
  <si>
    <t>1077.0</t>
  </si>
  <si>
    <t>03.09uNIST80053Organizational.4</t>
  </si>
  <si>
    <t>09.u Physical Media in Transit</t>
  </si>
  <si>
    <t>0301.09o2Organizational.2</t>
  </si>
  <si>
    <t>1000.0</t>
  </si>
  <si>
    <t>0302.09o1Organizational.3</t>
  </si>
  <si>
    <t>The organization protects and controls digital and non-digital media containing sensitive information during transport outside of controlled areas using (1) cryptography, (2) tamper-evident packaging, (3) a securable container (e.g., locked briefcase) via authorized personnel if hand-carried, and (4) a trackable receipt by commercial carrier if shipped. The organization: (5) maintains accountability for information system media during transport outside of controlled areas; (6) documents activities associated with the transport of information system media; and (7) restricts the activities associated with transport of such media to authorized personnel.</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</si>
  <si>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removable media used for transport outside of controlled areas and confirm that encryption has been implemented with tamper-evident packaging. _x000D_
Further, obtain and examine the audit log of removals and relocations of removable media and determine if it is accurately maintained and up to date, and that the log includes the accountable individual that is transporting the media. _x000D_
Further, select a sample of instances in which digital and non-digital media containing sensitive information were shipped using commercial carrier and inspect evidence to confirm that trackable receipts were used. _x000D_
Further, select a sample of business processes which involve the hand-carrying of sensitive information outside of controlled areas on digital and non-digital media to evidence that such transports use a securable container (e.g., locked briefcase) by authorized personnel.</t>
  </si>
  <si>
    <r>
      <rPr>
        <b/>
        <sz val="10"/>
        <color theme="1"/>
        <rFont val="Arial"/>
        <family val="2"/>
      </rPr>
      <t>Evidence Test: Removable Media Transport Logs</t>
    </r>
    <r>
      <rPr>
        <sz val="10"/>
        <color theme="1"/>
        <rFont val="Arial"/>
        <family val="2"/>
      </rPr>
      <t xml:space="preserve">
- up-to-date
- includes accountable individual(s)
</t>
    </r>
    <r>
      <rPr>
        <b/>
        <sz val="10"/>
        <color theme="1"/>
        <rFont val="Arial"/>
        <family val="2"/>
      </rPr>
      <t>Sample Test:</t>
    </r>
    <r>
      <rPr>
        <sz val="10"/>
        <color theme="1"/>
        <rFont val="Arial"/>
        <family val="2"/>
      </rPr>
      <t xml:space="preserve">
- Test 187: Removable Media (transported out of controlled area)</t>
    </r>
  </si>
  <si>
    <t>1001.0</t>
  </si>
  <si>
    <t>0303.09o2Organizational.2</t>
  </si>
  <si>
    <t>1002.0</t>
  </si>
  <si>
    <t>0304.09o1Organizational.2</t>
  </si>
  <si>
    <t>The organization restricts the use of (1) writable, removable media and (2) personally owned, removable media in organizational systems.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</si>
  <si>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the organization has technical controls (e.g., disabling ports, DLP end-point software) to restrict the use of writable, removable media and personally owned, removable media in organizational systems.</t>
  </si>
  <si>
    <r>
      <rPr>
        <b/>
        <sz val="10"/>
        <color theme="1"/>
        <rFont val="Arial"/>
        <family val="2"/>
      </rPr>
      <t>Evidence Test: Writeable Removable Media</t>
    </r>
    <r>
      <rPr>
        <sz val="10"/>
        <color theme="1"/>
        <rFont val="Arial"/>
        <family val="2"/>
      </rPr>
      <t xml:space="preserve">
- technical controls implemented to block/restrict media</t>
    </r>
  </si>
  <si>
    <t>1024.0</t>
  </si>
  <si>
    <t>0305.09q1Organizational.12</t>
  </si>
  <si>
    <t>1025.0</t>
  </si>
  <si>
    <t>0306.09q2Organizational.2</t>
  </si>
  <si>
    <t>1026.0</t>
  </si>
  <si>
    <t>0307.09q2Organizational.12</t>
  </si>
  <si>
    <t>1027.0</t>
  </si>
  <si>
    <t>0308.09q3Organizational.1</t>
  </si>
  <si>
    <t>1005.0</t>
  </si>
  <si>
    <t>0311.09o1Organizational.5</t>
  </si>
  <si>
    <t>Portable, removable storage devices are sanitized prior to connecting such devices to the information system under the following circumstances: (1) initial use after purchase; (2) when obtained from an unknown source; (3) when the organization loses a positive chain of custody; and (4) when the device was connected to a lower assurance system based on its security categorization (e.g., a publicly accessible kiosk).</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</si>
  <si>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removable storage devices which were either, newly purchased, obtained from an unknown source, when the organization loses a positive chain of custody or when the device was connected to a lower assurance system based on its security categorization (e.g., a publicly accessible kiosk). Examine evidence to confirm that the device was sanitized before use on the organization\'s information systems. While scanning such storage devices is always recommended, sanitization through use of data sanitization software (e.g., XErase, DBAN, KillDisk, or other like solutions) provides additional assurance that the devices are free of malicious code so that code capable of initiating zero-day attack can be included.</t>
  </si>
  <si>
    <r>
      <rPr>
        <b/>
        <sz val="10"/>
        <color theme="1"/>
        <rFont val="Arial"/>
        <family val="2"/>
      </rPr>
      <t>Sample Test:</t>
    </r>
    <r>
      <rPr>
        <sz val="10"/>
        <color theme="1"/>
        <rFont val="Arial"/>
        <family val="2"/>
      </rPr>
      <t xml:space="preserve">
- Test 185: Removable Media</t>
    </r>
  </si>
  <si>
    <t>0312.09oCMSOrganizational.3</t>
  </si>
  <si>
    <t>0670.0</t>
  </si>
  <si>
    <t>0313.07e2Organizational.6</t>
  </si>
  <si>
    <t>1028.0</t>
  </si>
  <si>
    <t>0314.09q3Organizational.2</t>
  </si>
  <si>
    <r>
      <rPr>
        <b/>
        <sz val="10"/>
        <color theme="1"/>
        <rFont val="Arial"/>
        <family val="2"/>
      </rPr>
      <t>Sample Test:</t>
    </r>
    <r>
      <rPr>
        <sz val="10"/>
        <color theme="1"/>
        <rFont val="Arial"/>
        <family val="2"/>
      </rPr>
      <t xml:space="preserve">
- Test 187: Removable Media (transported out of controlled area)</t>
    </r>
  </si>
  <si>
    <t>1029.0</t>
  </si>
  <si>
    <t>0315.09qHIXOrganizational.1</t>
  </si>
  <si>
    <t>1030.0</t>
  </si>
  <si>
    <t>0316.09qHIXOrganizational.23</t>
  </si>
  <si>
    <t>1031.0</t>
  </si>
  <si>
    <t>0317.09qPCIOrganizational.12</t>
  </si>
  <si>
    <t>1032.0</t>
  </si>
  <si>
    <t>0318.09qPCIOrganizational.345</t>
  </si>
  <si>
    <t>1033.0</t>
  </si>
  <si>
    <t>0319.09qPCIOrganizational.6</t>
  </si>
  <si>
    <t>1074.0</t>
  </si>
  <si>
    <t>0320.09u2Organizational.3</t>
  </si>
  <si>
    <t>2173.0</t>
  </si>
  <si>
    <t>03201.09oNYDOHOrganizational.1</t>
  </si>
  <si>
    <t>2175.0</t>
  </si>
  <si>
    <t>03203.09qNYDOHOrganizational.1</t>
  </si>
  <si>
    <t>2176.0</t>
  </si>
  <si>
    <t>03204.09qNYDOHOrganizational.2</t>
  </si>
  <si>
    <t>2177.0</t>
  </si>
  <si>
    <t>03205.09qNYDOHOrganizational.4</t>
  </si>
  <si>
    <t>1075.0</t>
  </si>
  <si>
    <t>0321.09u1Organizational.2</t>
  </si>
  <si>
    <t>The organization protects physical media housing covered and/or confidential information from unauthorized disclosure or modification while in transit by the appropriate application of at least one of the following: (1) use of locked containers; delivery by hand; tamper-evident packaging (which reveals any attempt to gain access); or splitting of the consignment into more than one delivery and dispatch by different routes.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</si>
  <si>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transported physical media housing covered and/or confidential information and examine evidence (e.g., transport receipts, physical observation) and confirm that the organization protected the media from unauthorized disclosure or modification by the appropriate application of at least one of the following: _x000D_
use of locked containers; _x000D_
delivery by hand; _x000D_
tamper-evident packaging (which reveals any attempt to gain access); or, _x000D_
splitting of the consignment into more than one delivery and dispatch by different routes.</t>
  </si>
  <si>
    <t>1076.0</t>
  </si>
  <si>
    <t>0322.09u2Organizational.12</t>
  </si>
  <si>
    <t>2200.0</t>
  </si>
  <si>
    <t>03228.10fNYDOHOrganizational.2</t>
  </si>
  <si>
    <t>10.f Policy on the Use of Cryptographic Controls</t>
  </si>
  <si>
    <t>0323.09u2Organizational.3</t>
  </si>
  <si>
    <t>1078.0</t>
  </si>
  <si>
    <t>0324.09uCMSOrganizational.1</t>
  </si>
  <si>
    <t>0325.09uCMSOrganizational.2</t>
  </si>
  <si>
    <t>1080.0</t>
  </si>
  <si>
    <t>0326.09uCMSOrganizational.3</t>
  </si>
  <si>
    <t>1082.0</t>
  </si>
  <si>
    <t>0328.09uFTIOrganizational.1</t>
  </si>
  <si>
    <t>1083.1</t>
  </si>
  <si>
    <t>0329.09uFTIOrganizational.3</t>
  </si>
  <si>
    <t>1908.0</t>
  </si>
  <si>
    <t>0330.09o1Organizational.4</t>
  </si>
  <si>
    <t>The organization (1) limits the use of removable media to those with a valid business need. If such devices are required, the organization (2) configures systems to allow only specific USB devices (based on serial number or other unique property) to be accessed, and (3) automatically configures devices so that they automatically conduct an anti-malware scan of removable media when inserted or connected (e.g., through the use of third-party software).</t>
  </si>
  <si>
    <t xml:space="preserve">Examine evidence that all evaluative elements within the requirement statement have been implemented as defined in the HITRUST scoring rubric, using a sample based test where possible for each evaluative element._x000D_
_x000D_
_x000D_
Example test(s):_x000D_
For example, determine whether the use of removable media devices is allowed in the organization. If there is a valid business need for removable devices, examine evidence to confirm that systems have been configured to allow only specific USB devices. </t>
  </si>
  <si>
    <t>2044.0</t>
  </si>
  <si>
    <t>03971.01gNYDOHOrganizational.1</t>
  </si>
  <si>
    <t>04 Mobile Device Security</t>
  </si>
  <si>
    <t>2318.0</t>
  </si>
  <si>
    <t>04.01x1Organizational.5</t>
  </si>
  <si>
    <t>01.x Mobile Computing and Communications</t>
  </si>
  <si>
    <t>The organization (1) identifies and encrypts mobile devices and mobile computing platforms that process, store, or transmit sensitive information.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</si>
  <si>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determine if unencrypted mobile devices and mobile computing platforms that process, store, or transmit sensitive information exist within the environment.</t>
  </si>
  <si>
    <r>
      <rPr>
        <b/>
        <sz val="10"/>
        <color theme="1"/>
        <rFont val="Arial"/>
        <family val="2"/>
      </rPr>
      <t>Evidence Test: Undecrypted Mobile Devices Handling Covered Information</t>
    </r>
    <r>
      <rPr>
        <sz val="10"/>
        <color theme="1"/>
        <rFont val="Arial"/>
        <family val="2"/>
      </rPr>
      <t xml:space="preserve">
- devices are identified and logged
</t>
    </r>
    <r>
      <rPr>
        <b/>
        <sz val="10"/>
        <color theme="1"/>
        <rFont val="Arial"/>
        <family val="2"/>
      </rPr>
      <t>Inquiry Test: Undecrypted Mobile Devices Handling Covered Information</t>
    </r>
    <r>
      <rPr>
        <sz val="10"/>
        <color theme="1"/>
        <rFont val="Arial"/>
        <family val="2"/>
      </rPr>
      <t xml:space="preserve">
- Do unencrypted mobile devices/mobile computing platforms that handle sensitive information exist within the in-scope environment(s)?
- Yes - Provide evidence that unencrypted devices are identified, logged, and tracked, and include compensating protections.
- No - Provide evidence that all in-scope devices are encrypted.
</t>
    </r>
    <r>
      <rPr>
        <b/>
        <sz val="10"/>
        <color theme="1"/>
        <rFont val="Arial"/>
        <family val="2"/>
      </rPr>
      <t xml:space="preserve">FURTHER NOTE FROM QA:
</t>
    </r>
    <r>
      <rPr>
        <sz val="10"/>
        <color theme="1"/>
        <rFont val="Arial"/>
        <family val="2"/>
      </rPr>
      <t>This requirement can only be marked N/A if a bastion host/jump box is used to connect to the in-scope environment. Otherwise, provide evidence of encryption for all devices in the in-scope environment.</t>
    </r>
  </si>
  <si>
    <t>2864.0</t>
  </si>
  <si>
    <t>04.01xCISOrganizational.1</t>
  </si>
  <si>
    <t>2548.0</t>
  </si>
  <si>
    <t>04.01xCMSOrganizational.2</t>
  </si>
  <si>
    <t>2549.0</t>
  </si>
  <si>
    <t>04.01xCMSOrganizational.3</t>
  </si>
  <si>
    <t>2926.0</t>
  </si>
  <si>
    <t>04.01xNIST800172Organizational.1</t>
  </si>
  <si>
    <t>0278.0</t>
  </si>
  <si>
    <t>04.01xNYDOHOrganizational.3</t>
  </si>
  <si>
    <t>0267.0</t>
  </si>
  <si>
    <t>0401.01x2Organizational.5</t>
  </si>
  <si>
    <t>0269.0</t>
  </si>
  <si>
    <t>0403.01x1Organizational.5</t>
  </si>
  <si>
    <t>0270.0</t>
  </si>
  <si>
    <t>0404.01x1Organizational.5</t>
  </si>
  <si>
    <t>0282.0</t>
  </si>
  <si>
    <t>0405.01y2Organizational.2</t>
  </si>
  <si>
    <t>01.y Teleworking</t>
  </si>
  <si>
    <t>0285.0</t>
  </si>
  <si>
    <t>0407.01y1Organizational.4</t>
  </si>
  <si>
    <t>Prior to authorizing teleworking: (1) the physical security of the teleworking site is evaluated (e.g., of the building and local environment), and (2) threats/issues associated with the physical security of the teleworking site are addressed.</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</si>
  <si>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teleworking sites and examine evidence that the teleworking site was evaluated prior to authorization. The evaluation includes the _x000D_
location (e.g., of the building and local environment) and _x000D_
threats/issues addressed prior to authorization (e.g., unauthorized access to information or resources from other persons using the accommodation, such as family and friends).</t>
  </si>
  <si>
    <r>
      <rPr>
        <b/>
        <sz val="10"/>
        <color theme="1"/>
        <rFont val="Arial"/>
        <family val="2"/>
      </rPr>
      <t>Sample Test:</t>
    </r>
    <r>
      <rPr>
        <sz val="10"/>
        <color theme="1"/>
        <rFont val="Arial"/>
        <family val="2"/>
      </rPr>
      <t xml:space="preserve">
- Test 208: Workforce Member (teleworker)</t>
    </r>
  </si>
  <si>
    <t>0286.0</t>
  </si>
  <si>
    <t>0408.01y3Organizational.12</t>
  </si>
  <si>
    <t>0287.0</t>
  </si>
  <si>
    <t>0409.01y3Organizational.3</t>
  </si>
  <si>
    <t>0271.0</t>
  </si>
  <si>
    <t>0410.01x2Organizational.6</t>
  </si>
  <si>
    <t>0277.0</t>
  </si>
  <si>
    <t>0411.01xCMSOrganizational.2</t>
  </si>
  <si>
    <t>0412.01xFTIOrganizational.1</t>
  </si>
  <si>
    <t>0279.0</t>
  </si>
  <si>
    <t>0413.01xFTIOrganizational.2</t>
  </si>
  <si>
    <t>0280.0</t>
  </si>
  <si>
    <t>0414.01xHIXOrganizational.1</t>
  </si>
  <si>
    <t>0284.0</t>
  </si>
  <si>
    <t>0415.01y1Organizational.10</t>
  </si>
  <si>
    <t>0288.0</t>
  </si>
  <si>
    <t>0416.01y3Organizational.4</t>
  </si>
  <si>
    <t>0289.0</t>
  </si>
  <si>
    <t>0417.01y3Organizational.5</t>
  </si>
  <si>
    <t>0290.0</t>
  </si>
  <si>
    <t>0418.01yFTIOrganizational.123</t>
  </si>
  <si>
    <t>0291.0</t>
  </si>
  <si>
    <t>0419.01yFTIOrganizational.4</t>
  </si>
  <si>
    <t>0292.0</t>
  </si>
  <si>
    <t>0420.01yFTIOrganizational.51112</t>
  </si>
  <si>
    <t>0293.0</t>
  </si>
  <si>
    <t>0421.01yFTIOrganizational.67</t>
  </si>
  <si>
    <t>0294.0</t>
  </si>
  <si>
    <t>0422.01yFTIOrganizational.89</t>
  </si>
  <si>
    <t>0295.0</t>
  </si>
  <si>
    <t>0423.01yFTIOrganizational.10</t>
  </si>
  <si>
    <t>0296.0</t>
  </si>
  <si>
    <t>0424.01yFTIOrganizational.13</t>
  </si>
  <si>
    <t>0272.0</t>
  </si>
  <si>
    <t>0425.01x2Organizational.7</t>
  </si>
  <si>
    <t>0274.0</t>
  </si>
  <si>
    <t>0426.01x2Organizational.8</t>
  </si>
  <si>
    <t>0275.0</t>
  </si>
  <si>
    <t>0427.01x2Organizational.8</t>
  </si>
  <si>
    <t>0276.0</t>
  </si>
  <si>
    <t>0428.01x2Organizational.8</t>
  </si>
  <si>
    <t>0273.0</t>
  </si>
  <si>
    <t>0429.01x1Organizational.5</t>
  </si>
  <si>
    <t>0281.0</t>
  </si>
  <si>
    <t>0430.01xHIXOrganizational.2</t>
  </si>
  <si>
    <t>2068.0</t>
  </si>
  <si>
    <t>04995.01xNYDOHOrganizational.3</t>
  </si>
  <si>
    <t>2069.0</t>
  </si>
  <si>
    <t>04996.01xNYDOHOrganizational.2</t>
  </si>
  <si>
    <t>05 Wireless Security</t>
  </si>
  <si>
    <t>0926.1</t>
  </si>
  <si>
    <t>0501.09m1Organizational.10</t>
  </si>
  <si>
    <t>0926.2</t>
  </si>
  <si>
    <t>0501.09m1Organizational.11</t>
  </si>
  <si>
    <t>0929.0</t>
  </si>
  <si>
    <t>0502.09m1Organizational.5</t>
  </si>
  <si>
    <t>0930.0</t>
  </si>
  <si>
    <t>0503.09m1Organizational.6</t>
  </si>
  <si>
    <t>0937.0</t>
  </si>
  <si>
    <t>0504.09m1Organizational.13</t>
  </si>
  <si>
    <t>0935.0</t>
  </si>
  <si>
    <t>0505.09m1Organizational.11</t>
  </si>
  <si>
    <t>0960.1</t>
  </si>
  <si>
    <t>0506.09m1Organizational.11</t>
  </si>
  <si>
    <t>Where a specific business need for wireless access has been identified the organization (1) requires end points to encrypt traffic prior to transmitting information over a wireless network. For devices that do not have an essential wireless business purpose, the organization (2) disables wireless access in the hardware configuration (basic input/output system or extensible firmware interface).</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</si>
  <si>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devices not authorized to access wireless networks. Confirm that the functionality to authenticate to a wireless access point has been disabled on the device. Further evidence can be confirmed through review of the hardware configuration to confirm that wireless access has been disabled. _x000D_
Further, select a sample of devices authorized for wireless access and confirm that the device is configured to encrypt traffic prior to transmitting information over a wireless network.</t>
  </si>
  <si>
    <r>
      <rPr>
        <b/>
        <sz val="10"/>
        <color theme="1"/>
        <rFont val="Arial"/>
        <family val="2"/>
      </rPr>
      <t>Sample Test:</t>
    </r>
    <r>
      <rPr>
        <sz val="10"/>
        <color theme="1"/>
        <rFont val="Arial"/>
        <family val="2"/>
      </rPr>
      <t xml:space="preserve">
- Test 052: Endpoint Device (not authorized for wireless use)
- Test 184: Network Device (wireless access point)</t>
    </r>
  </si>
  <si>
    <t>0960.0</t>
  </si>
  <si>
    <t>0506.09m1Organizational.12</t>
  </si>
  <si>
    <t>2171.0</t>
  </si>
  <si>
    <t>05199.09mNYDOHOrganizational.7</t>
  </si>
  <si>
    <t>2172.0</t>
  </si>
  <si>
    <t>05200.09mNYDOHOrganizational.6</t>
  </si>
  <si>
    <t>2295.0</t>
  </si>
  <si>
    <t>05322.09mNIST80053Organizational.1</t>
  </si>
  <si>
    <t>06 Configuration Management</t>
  </si>
  <si>
    <t>2463.0</t>
  </si>
  <si>
    <t>06.00aFedRAMPOrganizational.16</t>
  </si>
  <si>
    <t>2660.0</t>
  </si>
  <si>
    <t>06.00aFTIOrganizational.4</t>
  </si>
  <si>
    <t>2629.0</t>
  </si>
  <si>
    <t>06.00aNIST80053Organizational.34</t>
  </si>
  <si>
    <t>2714.0</t>
  </si>
  <si>
    <t>06.01nNYDOHOrganizational.4</t>
  </si>
  <si>
    <t>2594.0</t>
  </si>
  <si>
    <t>06.06gCMSOrganizational.2</t>
  </si>
  <si>
    <t>06.g Compliance with Security Policies and Standards</t>
  </si>
  <si>
    <t>2628.0</t>
  </si>
  <si>
    <t>06.06gFTIOrganizational.3</t>
  </si>
  <si>
    <t>2728.0</t>
  </si>
  <si>
    <t>06.06gNYDOHOrganizational.2</t>
  </si>
  <si>
    <t>2721.0</t>
  </si>
  <si>
    <t>06.06gNYDOHOrganizational.3</t>
  </si>
  <si>
    <t>2657.0</t>
  </si>
  <si>
    <t>06.06hFTIOrganizational.1</t>
  </si>
  <si>
    <t>06.h Technical Compliance Checking</t>
  </si>
  <si>
    <t>0616.0</t>
  </si>
  <si>
    <t>06.06hNIST80053Organizational.3</t>
  </si>
  <si>
    <t>2371.0</t>
  </si>
  <si>
    <t>06.06hTXRAMPOrganizational.2</t>
  </si>
  <si>
    <t>1887.0</t>
  </si>
  <si>
    <t>06.09abNIST80053System.9</t>
  </si>
  <si>
    <t>09.ab Monitoring System Use</t>
  </si>
  <si>
    <t>2368.0</t>
  </si>
  <si>
    <t>06.09b1System.2</t>
  </si>
  <si>
    <t>09.b Change Management</t>
  </si>
  <si>
    <t>Changes to information systems (including changes to applications, databases, configurations, network devices, and operating systems and with the potential exception of automated security patches) are consistently (1) documented, (2) tested, and (3) approved.</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</si>
  <si>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select a sample of changes made to information systems (including changes to applications, databases, configurations, network devices, and operating systems and with the potential exception of automated security patches) and confirm that they were documented, tested, and approved.</t>
  </si>
  <si>
    <r>
      <rPr>
        <b/>
        <sz val="10"/>
        <color theme="1"/>
        <rFont val="Arial"/>
        <family val="2"/>
      </rPr>
      <t>Sample Test:</t>
    </r>
    <r>
      <rPr>
        <sz val="10"/>
        <color theme="1"/>
        <rFont val="Arial"/>
        <family val="2"/>
      </rPr>
      <t xml:space="preserve">
- Test 030: Change (information system and system components)</t>
    </r>
  </si>
  <si>
    <t>3043.0</t>
  </si>
  <si>
    <t>06.09bAISecSystem.1</t>
  </si>
  <si>
    <t>Changes to AI models (including upgrading to new model versions and moving to completely different models) are consistently |documented, |tested, and |approved|| in accordance with the organization’s software change control policy prior to deployment. When upgrading to a newer version of an externally developed model, the organization |obtains and reviews the release notes describing the model's update.</t>
  </si>
  <si>
    <t>Examine evidence that all evaluative elements within the requirement statement have been implemented as defined in the HITRUST scoring rubric, using a sample based test where possible for each evaluative element.
Example test(s):
For example, select a sample of the AI models change documentation to confirm all changes were documented. Further, confirm that the AI models change documentation includes testing and approval information in accordance with the organization’s software change control policy, prior to deployment. Further, confirm that the organization obtained and reviewed the release notes when upgrading to newer versions of externally developed models.</t>
  </si>
  <si>
    <r>
      <rPr>
        <b/>
        <sz val="10"/>
        <color theme="1"/>
        <rFont val="Arial"/>
        <family val="2"/>
      </rPr>
      <t>Documentation: Change Management Program</t>
    </r>
    <r>
      <rPr>
        <sz val="10"/>
        <color theme="1"/>
        <rFont val="Arial"/>
        <family val="2"/>
      </rPr>
      <t xml:space="preserve">
- defines process for: documenting changes
- defines process for: testing changes
- defines process for: approving changes
- defines process for: reviewing release notes
</t>
    </r>
    <r>
      <rPr>
        <b/>
        <sz val="10"/>
        <color theme="1"/>
        <rFont val="Arial"/>
        <family val="2"/>
      </rPr>
      <t>Sample Test:</t>
    </r>
    <r>
      <rPr>
        <sz val="10"/>
        <color theme="1"/>
        <rFont val="Arial"/>
        <family val="2"/>
      </rPr>
      <t xml:space="preserve">
- Test 222: Change (artificial intelligence) </t>
    </r>
  </si>
  <si>
    <t>2912.0</t>
  </si>
  <si>
    <t>06.09bFFIECCATSystem.2</t>
  </si>
  <si>
    <t>0820.0</t>
  </si>
  <si>
    <t>06.09bNIST800171System.3</t>
  </si>
  <si>
    <t>2956.0</t>
  </si>
  <si>
    <t>06.09bOWASPSystem.2</t>
  </si>
  <si>
    <t>2997.0</t>
  </si>
  <si>
    <t>06.09dOWASPSystem.1</t>
  </si>
  <si>
    <t>09.d Separation of Development, Test, and Operational Environments</t>
  </si>
  <si>
    <t>2201.0</t>
  </si>
  <si>
    <t>06.09mNYDOHOrganizational.8</t>
  </si>
  <si>
    <t>2954.0</t>
  </si>
  <si>
    <t>06.10cATLASSystem.1</t>
  </si>
  <si>
    <t>10.c Control of Internal Processing</t>
  </si>
  <si>
    <t>3078.0</t>
  </si>
  <si>
    <t>06.10hAISecSystem.4</t>
  </si>
  <si>
    <t>10.h Control of Operational Software</t>
  </si>
  <si>
    <t>The organization publishes model cards for the AI models it produces, which (minimally) include the following elements: |model details; |intended use; |training details (e.g., data, methodology); |evaluation details (e.g., methodology, metrics, outcomes); and |usage caveats (such as potential bias, risks, or limitations) and associated recommendations.||</t>
  </si>
  <si>
    <t>Examine evidence that all evaluative elements within the requirement statement have been implemented as defined in the HITRUST scoring rubric, using a sample based test where possible for each evaluative element.
Example test(s):
For example, review the internally produced AI models deployed in in-scope AI systems and confirm the organization published a model card for each which included the elements outlined in this requirement statement.</t>
  </si>
  <si>
    <r>
      <rPr>
        <b/>
        <sz val="10"/>
        <color theme="1"/>
        <rFont val="Arial"/>
        <family val="2"/>
      </rPr>
      <t>Evidence Test: Artificial Intelligence (internally developed)</t>
    </r>
    <r>
      <rPr>
        <sz val="10"/>
        <color theme="1"/>
        <rFont val="Arial"/>
        <family val="2"/>
      </rPr>
      <t xml:space="preserve">
- model card includes: model details
- model card includes: intended use
- model card includes: training details
- model card includes: evaluation details
- model card includes: usage caveats</t>
    </r>
  </si>
  <si>
    <t>3044.0</t>
  </si>
  <si>
    <t>06.10hAISecSystem.5</t>
  </si>
  <si>
    <t>Changes to language model tools such as agents and plugins are consistently |documented, |tested, and |approved|| in accordance with the organization’s software change control policy prior to deployment.</t>
  </si>
  <si>
    <t>Examine evidence that all evaluative elements within the requirement statement have been implemented as defined in the HITRUST scoring rubric, using a sample based test where possible for each evaluative element.
Example test(s):
For example, select a sample of the language model change documentation to confirm all changes were documented. Further, confirm that the language model change documentation includes testing and approval information in accordance with the organization’s software change control policy, prior to deployment.</t>
  </si>
  <si>
    <r>
      <rPr>
        <b/>
        <sz val="10"/>
        <color theme="1"/>
        <rFont val="Arial"/>
        <family val="2"/>
      </rPr>
      <t>Documentation: Change Management Program</t>
    </r>
    <r>
      <rPr>
        <sz val="10"/>
        <color theme="1"/>
        <rFont val="Arial"/>
        <family val="2"/>
      </rPr>
      <t xml:space="preserve">
- defines process for: documenting changes
- defines process for: testing changes
- defines process for: approving changes
</t>
    </r>
    <r>
      <rPr>
        <b/>
        <sz val="10"/>
        <color theme="1"/>
        <rFont val="Arial"/>
        <family val="2"/>
      </rPr>
      <t>Sample Test:</t>
    </r>
    <r>
      <rPr>
        <sz val="10"/>
        <color theme="1"/>
        <rFont val="Arial"/>
        <family val="2"/>
      </rPr>
      <t xml:space="preserve">
- Test 222: Change (artificial intelligence) </t>
    </r>
  </si>
  <si>
    <t>3045.0</t>
  </si>
  <si>
    <t>06.10hAISecSystem.6</t>
  </si>
  <si>
    <t>Documentation of the overall AI system discusses the creation, operation, and lifecycle management of any |models, |datasets (including data used for training, tuning, and prompt enhancement via RAG), |configurations (e.g., metaprompts), |language model tools such as agents and plugins|| maintained by the organization, as applicable.|| Documentation of the overall AI system also describes the |tooling resources (e.g., AI platforms, model engineering environments), |system and computing resources, and |human resources|| needed for the development and operation of the AI system.</t>
  </si>
  <si>
    <t>Examine evidence that all evaluative elements within the requirement statement have been implemented as defined in the HITRUST scoring rubric, using a sample based test where possible for each evaluative element.
Example test(s):
For example, review the overall AI system documentation to confirm it discusses the creation, operation, and lifecycle management of any models, datasets (including data used for training, tuning, and prompt enhancement via RAG), configurations (e.g., metaprompts), language model tools such as agents and plugins maintained by the organization, as applicable. Further, confirm the documentation of the overall AI system also describes the tooling resources (e.g., AI platforms, model engineering environments), system and computing resources, and human resources needed for the development and operation of the AI system.</t>
  </si>
  <si>
    <r>
      <rPr>
        <b/>
        <sz val="10"/>
        <color theme="1"/>
        <rFont val="Arial"/>
        <family val="2"/>
      </rPr>
      <t>Evidence Test: Artificial Intelligence</t>
    </r>
    <r>
      <rPr>
        <sz val="10"/>
        <color theme="1"/>
        <rFont val="Arial"/>
        <family val="2"/>
      </rPr>
      <t xml:space="preserve">
- system documentation includes: creation, operation, and lifecycle management of any models
- system documentation includes: datasets (including data used for training, tuning, and prompt enhancement via RAG)
- system documentation includes: configurations (e.g., meta prompts)
- system documentation includes: language model tools and plugins
- system documentation includes: tooling resources (e.g., AI platforms, model engineering environments)
- system documentation includes: system and computing resources
- system documentation includes: human resources needed for development and operation</t>
    </r>
  </si>
  <si>
    <t>3077.0</t>
  </si>
  <si>
    <t>06.10hAISecSystem.7</t>
  </si>
  <si>
    <t>When creating machine learning-based AI models, the organization |explicitly documents a linkage between the versions of the training dataset used, the pipeline configuration used, and resulting AI model.||</t>
  </si>
  <si>
    <t>Examine evidence that all evaluative elements within the requirement statement have been implemented as defined in the HITRUST scoring rubric, using a sample based test where possible for each evaluative element.
Example test(s):
For example, select a sample of machine learning-based AI model versions released by the organization during the past year and ensure that the associated documentation contains an explicit linkage between the versions of the training dataset used, the pipeline configuration used, and the resulting AI model.</t>
  </si>
  <si>
    <r>
      <rPr>
        <b/>
        <sz val="10"/>
        <color theme="1"/>
        <rFont val="Arial"/>
        <family val="2"/>
      </rPr>
      <t>Sample Test:</t>
    </r>
    <r>
      <rPr>
        <sz val="10"/>
        <color theme="1"/>
        <rFont val="Arial"/>
        <family val="2"/>
      </rPr>
      <t xml:space="preserve">
- Test 222: Change (artificial intelligence) </t>
    </r>
  </si>
  <si>
    <t>2877.0</t>
  </si>
  <si>
    <t>06.10hCISSystem.3</t>
  </si>
  <si>
    <t>2879.0</t>
  </si>
  <si>
    <t>06.10hCISSystem.4</t>
  </si>
  <si>
    <t>2531.0</t>
  </si>
  <si>
    <t>06.10hFTISystem.2</t>
  </si>
  <si>
    <t>3041.0</t>
  </si>
  <si>
    <t>06.10jAISecSystem.1</t>
  </si>
  <si>
    <t>10.j Access Control to Program Source Code</t>
  </si>
  <si>
    <t>AI assets, including |code to create, train, and/or deploy AI models; |training datasets; |fine-tuning datasets; |RAG datasets (if used); |configurations of pipelines used to create, train, and/or deploy AI models; |code used by language model tools such as agents and plugins (if used); and |models|| are versioned and tracked.</t>
  </si>
  <si>
    <t>Examine evidence that all evaluative elements within the requirement statement have been implemented as defined in the HITRUST scoring rubric, using a sample based test where possible for each evaluative element.
Example test(s):
For example, evidence that the AI assets listed in the requirement statement are each versioned and tracked (as applicable).</t>
  </si>
  <si>
    <r>
      <rPr>
        <b/>
        <sz val="10"/>
        <color theme="1"/>
        <rFont val="Arial"/>
        <family val="2"/>
      </rPr>
      <t>Evidence Test: Inventory</t>
    </r>
    <r>
      <rPr>
        <sz val="10"/>
        <color theme="1"/>
        <rFont val="Arial"/>
        <family val="2"/>
      </rPr>
      <t xml:space="preserve">
- artificial intelligence assets are tracked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configurations of pipelines used to create, train, and/or deploy AI models
- artificial intelligence asset tracking includes: code used by language model tools such as agents and plugins (if used)
- artificial intelligence asset tracking includes: models</t>
    </r>
  </si>
  <si>
    <t>2993.0</t>
  </si>
  <si>
    <t>06.10jOWASPSystem.1</t>
  </si>
  <si>
    <t>2995.0</t>
  </si>
  <si>
    <t>06.10jOWASPSystem.3</t>
  </si>
  <si>
    <t>2606.0</t>
  </si>
  <si>
    <t>06.10kCMSOrganizational.10</t>
  </si>
  <si>
    <t>10.k Change Control Procedures</t>
  </si>
  <si>
    <t>1356.0</t>
  </si>
  <si>
    <t>06.10kCMSOrganizational.11</t>
  </si>
  <si>
    <t>2604.0</t>
  </si>
  <si>
    <t>06.10kCMSOrganizational.8</t>
  </si>
  <si>
    <t>2605.0</t>
  </si>
  <si>
    <t>06.10kCMSOrganizational.9</t>
  </si>
  <si>
    <t>2454.0</t>
  </si>
  <si>
    <t>06.10kFedRAMPOrganizational.10</t>
  </si>
  <si>
    <t>2455.0</t>
  </si>
  <si>
    <t>06.10kFedRAMPOrganizational.11</t>
  </si>
  <si>
    <t>2456.0</t>
  </si>
  <si>
    <t>06.10kFedRAMPOrganizational.12</t>
  </si>
  <si>
    <t>2464.0</t>
  </si>
  <si>
    <t>06.10kFedRAMPOrganizational.13</t>
  </si>
  <si>
    <t>2841.0</t>
  </si>
  <si>
    <t>06.10kFedRAMPOrganizational.14</t>
  </si>
  <si>
    <t>2440.0</t>
  </si>
  <si>
    <t>06.10kFedRAMPOrganizational.7</t>
  </si>
  <si>
    <t>2441.0</t>
  </si>
  <si>
    <t>06.10kFedRAMPOrganizational.8</t>
  </si>
  <si>
    <t>2453.0</t>
  </si>
  <si>
    <t>06.10kFedRAMPOrganizational.9</t>
  </si>
  <si>
    <t>2505.0</t>
  </si>
  <si>
    <t>06.10kFTIOrganizational.5</t>
  </si>
  <si>
    <t>2662.0</t>
  </si>
  <si>
    <t>06.10kFTIOrganizational.6</t>
  </si>
  <si>
    <t>2929.0</t>
  </si>
  <si>
    <t>06.10kNIST800172Organizational.1</t>
  </si>
  <si>
    <t>2945.0</t>
  </si>
  <si>
    <t>06.10kNIST800172Organizational.2</t>
  </si>
  <si>
    <t>1750.0</t>
  </si>
  <si>
    <t>06.10kPCIOrganizational.3</t>
  </si>
  <si>
    <t>2972.0</t>
  </si>
  <si>
    <t>06.10mATLASOrganizational.9</t>
  </si>
  <si>
    <t>10.m Control of Technical Vulnerabilities</t>
  </si>
  <si>
    <t>0599.0</t>
  </si>
  <si>
    <t>0601.06g1Organizational.124</t>
  </si>
  <si>
    <t>0600.0</t>
  </si>
  <si>
    <t>0602.06g2Organizational.7</t>
  </si>
  <si>
    <t>0601.0</t>
  </si>
  <si>
    <t>0603.06g2Organizational.1</t>
  </si>
  <si>
    <t>0602.0</t>
  </si>
  <si>
    <t>0604.06g2Organizational.2</t>
  </si>
  <si>
    <t>1301.0</t>
  </si>
  <si>
    <t>0605.10h2System.7</t>
  </si>
  <si>
    <t>1306.0</t>
  </si>
  <si>
    <t>0606.10h2System.1</t>
  </si>
  <si>
    <t>1307.0</t>
  </si>
  <si>
    <t>0607.10h2System.23</t>
  </si>
  <si>
    <t>0605.0</t>
  </si>
  <si>
    <t>0610.06gCMSOrganizational.1</t>
  </si>
  <si>
    <t>0607.0</t>
  </si>
  <si>
    <t>0612.06gHIXOrganizational.1</t>
  </si>
  <si>
    <t>0610.0</t>
  </si>
  <si>
    <t>0613.06h1Organizational.12</t>
  </si>
  <si>
    <t>0611.0</t>
  </si>
  <si>
    <t>0614.06h2Organizational.12</t>
  </si>
  <si>
    <t>2117.0</t>
  </si>
  <si>
    <t>06144.06hNYDOHOrganizational.4</t>
  </si>
  <si>
    <t>2118.0</t>
  </si>
  <si>
    <t>06145.06hNYDOHOrganizational.4</t>
  </si>
  <si>
    <t>2119.0</t>
  </si>
  <si>
    <t>06146.06hNYDOHOrganizational.3</t>
  </si>
  <si>
    <t>0612.0</t>
  </si>
  <si>
    <t>0615.06h2Organizational.3</t>
  </si>
  <si>
    <t>0617.0</t>
  </si>
  <si>
    <t>0616.06hCMSOrganizational.1</t>
  </si>
  <si>
    <t>0618.09b2System.3</t>
  </si>
  <si>
    <t>2152.0</t>
  </si>
  <si>
    <t>06180.09bNYDOHSystem.10</t>
  </si>
  <si>
    <t>2153.0</t>
  </si>
  <si>
    <t>06181.09bNYDOHSystem.10</t>
  </si>
  <si>
    <t>2154.0</t>
  </si>
  <si>
    <t>06182.09bNYDOHSystem.10</t>
  </si>
  <si>
    <t>2155.0</t>
  </si>
  <si>
    <t>06183.09bNYDOHSystem.10</t>
  </si>
  <si>
    <t>2156.0</t>
  </si>
  <si>
    <t>06184.09bNYDOHSystem.5</t>
  </si>
  <si>
    <t>2157.0</t>
  </si>
  <si>
    <t>06185.09bNYDOHSystem.10</t>
  </si>
  <si>
    <t>2158.0</t>
  </si>
  <si>
    <t>06186.09bNYDOHSystem.10</t>
  </si>
  <si>
    <t>2159.0</t>
  </si>
  <si>
    <t>06187.09bNYDOHSystem.8</t>
  </si>
  <si>
    <t>2160.0</t>
  </si>
  <si>
    <t>06188.09bNYDOHSystem.10</t>
  </si>
  <si>
    <t>0821.0</t>
  </si>
  <si>
    <t>0619.09b2System.12</t>
  </si>
  <si>
    <t>0822.0</t>
  </si>
  <si>
    <t>0620.09b2System.3</t>
  </si>
  <si>
    <t>0833.0</t>
  </si>
  <si>
    <t>0621.09d2System.3</t>
  </si>
  <si>
    <t>0834.0</t>
  </si>
  <si>
    <t>0622.09d2System.1</t>
  </si>
  <si>
    <t>2193.0</t>
  </si>
  <si>
    <t>06221.10aNYDOHOrganizational.3</t>
  </si>
  <si>
    <t>10.a Security Requirements Analysis and Specification</t>
  </si>
  <si>
    <t>06229.10hNYDOHSystem.4</t>
  </si>
  <si>
    <t>0835.0</t>
  </si>
  <si>
    <t>0623.09dCMSSystem.12</t>
  </si>
  <si>
    <t>2202.0</t>
  </si>
  <si>
    <t>06230.10hNYDOHSystem.2</t>
  </si>
  <si>
    <t>2203.0</t>
  </si>
  <si>
    <t>06231.10hNYDOHSystem.4</t>
  </si>
  <si>
    <t>2205.0</t>
  </si>
  <si>
    <t>06233.10kNYDOHOrganizational.1</t>
  </si>
  <si>
    <t>1279.0</t>
  </si>
  <si>
    <t>0625.10c2System.8</t>
  </si>
  <si>
    <t>1303.0</t>
  </si>
  <si>
    <t>0627.10h1System.45</t>
  </si>
  <si>
    <t>1304.0</t>
  </si>
  <si>
    <t>0628.10h2System.8</t>
  </si>
  <si>
    <t>2262.0</t>
  </si>
  <si>
    <t>06289.06hDGFOrganizational.1</t>
  </si>
  <si>
    <t>1308.0</t>
  </si>
  <si>
    <t>0629.10h2System.45</t>
  </si>
  <si>
    <t>2263.0</t>
  </si>
  <si>
    <t>06290.09bDGFSystem.1</t>
  </si>
  <si>
    <t>2266.0</t>
  </si>
  <si>
    <t>06293.00aNIST80053Organizational.3</t>
  </si>
  <si>
    <t>1309.0</t>
  </si>
  <si>
    <t>0630.10h2System.6</t>
  </si>
  <si>
    <t>1910.0</t>
  </si>
  <si>
    <t>0631.10hCMSSystem.1</t>
  </si>
  <si>
    <t>1329.0</t>
  </si>
  <si>
    <t>0633.10j1System.1</t>
  </si>
  <si>
    <t>Access to program source code and associated items (such as designs, specifications, verification plans and validation plans) (1) are strictly controlled, in order to prevent the introduction of unauthorized functionality and to avoid unintentional changes.</t>
  </si>
  <si>
    <t>Examine evidence that all evaluative elements within the requirement statement have been implemented as defined in the HITRUST scoring rubric, using a sample based test where possible for each evaluative element._x000D_
_x000D_
_x000D_
Example test(s):_x000D_
For example, any changes to the hardware, software, and/or firmware components of information systems can potentially have significant effects on the overall security of the systems. Access restrictions for change also include software libraries. Confirm that access restrictions have been implemented to strictly control access to program source code. This can include, for example, physical and logical access controls to workflow automation, media libraries, abstract layers (e.g., changes implemented into third-party interfaces rather than directly into information systems).</t>
  </si>
  <si>
    <r>
      <rPr>
        <b/>
        <sz val="10"/>
        <color theme="1"/>
        <rFont val="Arial"/>
        <family val="2"/>
      </rPr>
      <t>Evidence Test: Access Control</t>
    </r>
    <r>
      <rPr>
        <sz val="10"/>
        <color theme="1"/>
        <rFont val="Arial"/>
        <family val="2"/>
      </rPr>
      <t xml:space="preserve">
- access restricted to program source code</t>
    </r>
  </si>
  <si>
    <t>1330.0</t>
  </si>
  <si>
    <t>0634.10j2System.12</t>
  </si>
  <si>
    <t>1331.0</t>
  </si>
  <si>
    <t>0635.10k2Organizational.8</t>
  </si>
  <si>
    <t>1333.0</t>
  </si>
  <si>
    <t>0636.10k1Organizational.3</t>
  </si>
  <si>
    <t>The organization formally addresses (1) purpose, (2) scope, (3) roles, (4) responsibilities, (5) management commitment, (6) coordination among organizational entities, and (7) compliance for configuration management.</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</si>
  <si>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written policies and procedures for configuration management and confirm that the organization has formally defined and addressed the purpose, scope, roles, responsibilities, management commitment, coordination among organizational entities, and compliance for configuration management.</t>
  </si>
  <si>
    <r>
      <rPr>
        <b/>
        <sz val="10"/>
        <color theme="1"/>
        <rFont val="Arial"/>
        <family val="2"/>
      </rPr>
      <t>Documentation: Configuration Management Program</t>
    </r>
    <r>
      <rPr>
        <sz val="10"/>
        <color theme="1"/>
        <rFont val="Arial"/>
        <family val="2"/>
      </rPr>
      <t xml:space="preserve">
- defines purpose
- defines scope
- defines roles &amp; responsibilities
- defines management's commitment to program
- defines enterprise coordination
- defines compliance requirements</t>
    </r>
  </si>
  <si>
    <t>1334.0</t>
  </si>
  <si>
    <t>0637.10k2Organizational.2</t>
  </si>
  <si>
    <t>1335.1</t>
  </si>
  <si>
    <t>0638.10k2Organizational.7</t>
  </si>
  <si>
    <t>1335.2</t>
  </si>
  <si>
    <t>0638.10k3Organizational.5</t>
  </si>
  <si>
    <t>1336.0</t>
  </si>
  <si>
    <t>0639.10k2Organizational.78</t>
  </si>
  <si>
    <t>1337.0</t>
  </si>
  <si>
    <t>0640.10k2Organizational.1012</t>
  </si>
  <si>
    <t>1338.0</t>
  </si>
  <si>
    <t>0641.10k2Organizational.11</t>
  </si>
  <si>
    <t>1339.0</t>
  </si>
  <si>
    <t>0642.10k3Organizational.12</t>
  </si>
  <si>
    <t>1340.0</t>
  </si>
  <si>
    <t>0643.10k3Organizational.3</t>
  </si>
  <si>
    <t>1341.0</t>
  </si>
  <si>
    <t>0644.10k3Organizational.4</t>
  </si>
  <si>
    <t>1344.0</t>
  </si>
  <si>
    <t>0645.10kCMSOrganizational.12</t>
  </si>
  <si>
    <t>1346.0</t>
  </si>
  <si>
    <t>0647.10kCMSOrganizational.4</t>
  </si>
  <si>
    <t>1911.0</t>
  </si>
  <si>
    <t>0648.10kCMSOrganizational.5</t>
  </si>
  <si>
    <t>1348.0</t>
  </si>
  <si>
    <t>0649.10kCMSOrganizational.6</t>
  </si>
  <si>
    <t>1349.0</t>
  </si>
  <si>
    <t>0650.10kCMSOrganizational.7</t>
  </si>
  <si>
    <t>1350.0</t>
  </si>
  <si>
    <t>0651.10kCMSOrganizational.8</t>
  </si>
  <si>
    <t>1351.0</t>
  </si>
  <si>
    <t>0652.10kCMSOrganizational.9</t>
  </si>
  <si>
    <t>1358.0</t>
  </si>
  <si>
    <t>0653.10kFTIOrganizational.1</t>
  </si>
  <si>
    <t>1362.0</t>
  </si>
  <si>
    <t>0657.10kHIXOrganizational.1</t>
  </si>
  <si>
    <t>1906.0</t>
  </si>
  <si>
    <t>0659.06hCISOrganizational.4</t>
  </si>
  <si>
    <t>0660.06hCISOrganizational.5</t>
  </si>
  <si>
    <t>0661.06hCISOrganizational.6</t>
  </si>
  <si>
    <t>1064.0</t>
  </si>
  <si>
    <t>0662.09sCSPOrganizational.2</t>
  </si>
  <si>
    <t>09.s Information Exchange Policies and Procedures</t>
  </si>
  <si>
    <t>0608.0</t>
  </si>
  <si>
    <t>0663.06gPCIOrganizational.1</t>
  </si>
  <si>
    <t>1310.0</t>
  </si>
  <si>
    <t>0663.10h2System.10</t>
  </si>
  <si>
    <t>1305.0</t>
  </si>
  <si>
    <t>0663.10h2System.9</t>
  </si>
  <si>
    <t>0609.0</t>
  </si>
  <si>
    <t>0664.06gPCIOrganizational.2</t>
  </si>
  <si>
    <t>1311.0</t>
  </si>
  <si>
    <t>0664.10h2System.10</t>
  </si>
  <si>
    <t>1315.0</t>
  </si>
  <si>
    <t>0664.10hCISSystem.7</t>
  </si>
  <si>
    <t>0837.0</t>
  </si>
  <si>
    <t>0665.09dHIXSystem.1</t>
  </si>
  <si>
    <t>1316.0</t>
  </si>
  <si>
    <t>0665.10hCISSystem.8</t>
  </si>
  <si>
    <t>1892.0</t>
  </si>
  <si>
    <t>0666.10h1System.5</t>
  </si>
  <si>
    <t>The organization (1) maintains an up-to-date list of authorized software that is required in the enterprise for any business purpose on any business system.</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</si>
  <si>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that the organization maintains an up-to-date list of authorized software.</t>
  </si>
  <si>
    <r>
      <rPr>
        <b/>
        <sz val="10"/>
        <color theme="1"/>
        <rFont val="Arial"/>
        <family val="2"/>
      </rPr>
      <t xml:space="preserve">Evidence Test: Black/White List
</t>
    </r>
    <r>
      <rPr>
        <sz val="10"/>
        <color theme="1"/>
        <rFont val="Arial"/>
        <family val="2"/>
      </rPr>
      <t>- Provide evidence that the organization monitors and updates its application black/white list at least every 365 days.</t>
    </r>
  </si>
  <si>
    <t>1363.0</t>
  </si>
  <si>
    <t>0666.10kHIXOrganizational.2</t>
  </si>
  <si>
    <t>1313.0</t>
  </si>
  <si>
    <t>0667.10h1System.6</t>
  </si>
  <si>
    <t>The organization (1) is required to deploy application allow listing technology that allows systems to run software only if it is authorized to execute (allow listed) and prevents execution of all other software on the system in accordance with the allow list and rules authorizing the terms and conditions of software program usage.</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</si>
  <si>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that the organization has implemented application allow listing technology that only allows systems to install authorized software. _x000D_
Select a sample of systems, and confirm that application allow listing technology has been installed and prevents the execution of unauthorized software.</t>
  </si>
  <si>
    <t>1364.0</t>
  </si>
  <si>
    <t>0667.10kPCIOrganizational.1</t>
  </si>
  <si>
    <t>1318.0</t>
  </si>
  <si>
    <t>0669.10hCSPSystem.1</t>
  </si>
  <si>
    <t>1319.0</t>
  </si>
  <si>
    <t>0670.10hCSPSystem.2</t>
  </si>
  <si>
    <t>1332.0</t>
  </si>
  <si>
    <t>0671.10k2Organizational.7</t>
  </si>
  <si>
    <t>1342.0</t>
  </si>
  <si>
    <t>0672.10k3Organizational.6</t>
  </si>
  <si>
    <t>1343.0</t>
  </si>
  <si>
    <t>0673.10k3System.6</t>
  </si>
  <si>
    <t>0673.10kCISOrganizational.2</t>
  </si>
  <si>
    <t>0618.0</t>
  </si>
  <si>
    <t>0674.06hFedRAMPOrganizational.1</t>
  </si>
  <si>
    <t>1352.0</t>
  </si>
  <si>
    <t>0675.10kFedRAMPOrganizational.1</t>
  </si>
  <si>
    <t>1353.0</t>
  </si>
  <si>
    <t>0676.10kFedRAMPOrganizational.2</t>
  </si>
  <si>
    <t>1354.0</t>
  </si>
  <si>
    <t>0677.10kFedRAMPOrganizational.3</t>
  </si>
  <si>
    <t>1355.0</t>
  </si>
  <si>
    <t>0678.10kFedRAMPOrganizational.4</t>
  </si>
  <si>
    <t>0679.10kFedRAMPOrganizational.5</t>
  </si>
  <si>
    <t>0603.0</t>
  </si>
  <si>
    <t>068.06g2Organizational.34</t>
  </si>
  <si>
    <t>1357.0</t>
  </si>
  <si>
    <t>0680.10kFedRAMPOrganizational.6</t>
  </si>
  <si>
    <t>0604.0</t>
  </si>
  <si>
    <t>069.06g2Organizational.56</t>
  </si>
  <si>
    <t>1955.0</t>
  </si>
  <si>
    <t>06900.09d1System.2</t>
  </si>
  <si>
    <t>The organization (1) ensures separation between production and non-production (development, test/quality assurance) environments is established and controls are implemented to prevent operational issues.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</si>
  <si>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changes, and examine the change management record to confirm controls are implemented to ensure the separation between operational, test, and development environments.</t>
  </si>
  <si>
    <r>
      <rPr>
        <b/>
        <sz val="10"/>
        <color theme="1"/>
        <rFont val="Arial"/>
        <family val="2"/>
      </rPr>
      <t>Evidence Test: Development/Test &amp; Production Environment(s)</t>
    </r>
    <r>
      <rPr>
        <sz val="10"/>
        <color theme="1"/>
        <rFont val="Arial"/>
        <family val="2"/>
      </rPr>
      <t xml:space="preserve">
- development/test tools not accessible from production systems
- development/test environment emulates production environment
- different usernames for each environment
- covered information is not allowed in development/test environment
</t>
    </r>
    <r>
      <rPr>
        <b/>
        <sz val="10"/>
        <color theme="1"/>
        <rFont val="Arial"/>
        <family val="2"/>
      </rPr>
      <t>Sample Test:</t>
    </r>
    <r>
      <rPr>
        <sz val="10"/>
        <color theme="1"/>
        <rFont val="Arial"/>
        <family val="2"/>
      </rPr>
      <t xml:space="preserve">
- Test 040: Change (software development release)</t>
    </r>
  </si>
  <si>
    <t>07 Vulnerability Management</t>
  </si>
  <si>
    <t>3036.0</t>
  </si>
  <si>
    <t>07.06hAISecOrganizational.1</t>
  </si>
  <si>
    <t>The organization performs security assessments (e.g., AI red teaming, penetration testing) of the AI system which include consideration of AI-specific security threats (e.g., poisoning, model inversion) |prior to deployment of new models, |prior to deployment of new or significantly modified supporting infrastructure (e.g., migration to a new cloud-based AI platform), |regularly (at least annually) thereafter.|| The organization |takes appropriate risk treatment measures (including implementing any additional countermeasures) deemed necessary based on the results.</t>
  </si>
  <si>
    <t>Examine evidence that all evaluative elements within the requirement statement have been implemented as defined in the HITRUST scoring rubric, using a sample based test where possible for each evaluative element.
Example test(s):
For example, select a sample of security reports to confirm that security assessments (e.g., AI red teaming, penetration testing) of the AI system which include consideration of AI-specific security threats (e.g., poisoning, model inversion), are conducted at least annually. Further, confirm that assessments are conducted prior to deployment of new and/or changed models, and that appropriate risk treatment measures (including implementing any additional countermeasures) deemed necessary based on the results, are implemented.</t>
  </si>
  <si>
    <r>
      <rPr>
        <b/>
        <sz val="10"/>
        <color theme="1"/>
        <rFont val="Arial"/>
        <family val="2"/>
      </rPr>
      <t>Evident Test: Technical Compliance Check</t>
    </r>
    <r>
      <rPr>
        <sz val="10"/>
        <color theme="1"/>
        <rFont val="Arial"/>
        <family val="2"/>
      </rPr>
      <t xml:space="preserve">
- performed prior to deployment of new Artificial Intelligence model
- performed prior to deployment of new/significantly modified supporting infrastructure of Artificial Intelligence System
- appropriate risk treatment measures have been implemented after check
</t>
    </r>
    <r>
      <rPr>
        <b/>
        <sz val="10"/>
        <color theme="1"/>
        <rFont val="Arial"/>
        <family val="2"/>
      </rPr>
      <t xml:space="preserve">Sample Test: </t>
    </r>
    <r>
      <rPr>
        <sz val="10"/>
        <color theme="1"/>
        <rFont val="Arial"/>
        <family val="2"/>
      </rPr>
      <t xml:space="preserve">
- Test 130: Information Security (technical compliance check)</t>
    </r>
  </si>
  <si>
    <t>2363.0</t>
  </si>
  <si>
    <t>07.07a1Organizational.8</t>
  </si>
  <si>
    <t>Organizational inventories of IT assets are periodically (annually at minimum) reviewed to ensure (1) completeness (2) and accuracy.</t>
  </si>
  <si>
    <t>Examine evidence that all evaluative elements within the requirement statement have been implemented as defined in the HITRUST scoring rubric, using a sample based test where possible for each evaluative element._x000D_
_x000D_
_x000D_
Example test(s):_x000D_
For example, confirm that organizational inventories of IT assets are reviewed for completeness and accuracy on a periodic basis (annually at minimum).</t>
  </si>
  <si>
    <r>
      <rPr>
        <b/>
        <sz val="10"/>
        <color theme="1"/>
        <rFont val="Arial"/>
        <family val="2"/>
      </rPr>
      <t>Evidence Test: IT Asset(s)</t>
    </r>
    <r>
      <rPr>
        <sz val="10"/>
        <color theme="1"/>
        <rFont val="Arial"/>
        <family val="2"/>
      </rPr>
      <t xml:space="preserve">
- inventory(ies) reviewed at least annually</t>
    </r>
  </si>
  <si>
    <t>3064.0</t>
  </si>
  <si>
    <t>07.07aAISecOrganizational.3</t>
  </si>
  <si>
    <t>The organization maintains a documented inventory of its deployed AI systems which at minimum identifies the |associated AI platforms used by the AI system (if any); |AI model(s) used (with name and version); |AI system owner, |AI system sensitivity / risk categorization, and |associated AI service provider(s) (if any).|| This inventory is |periodically (at least semiannually) reviewed and updated.||</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</si>
  <si>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maintains a documented inventory of its deployed AI systems which at minimum identifies the associated AI platforms used by the AI system (if any); AI model(s) used (with name and version); AI system owner, AI system sensitivity / risk categorization, and associated AI service provider(s) (if any). Further, confirm that this inventory is periodically (at least semiannually) reviewed and updated.</t>
  </si>
  <si>
    <r>
      <rPr>
        <b/>
        <sz val="10"/>
        <color theme="1"/>
        <rFont val="Arial"/>
        <family val="2"/>
      </rPr>
      <t>Evidence Test: Inventory</t>
    </r>
    <r>
      <rPr>
        <sz val="10"/>
        <color theme="1"/>
        <rFont val="Arial"/>
        <family val="2"/>
      </rPr>
      <t xml:space="preserve">
- artificial intelligence assets are tracked
- artificial intelligence tracking includes: system owner
- artificial intelligence tracking includes: system sensitivity/risk categorization
- artificial intelligence tracking includes: models
- inventory is reviewed/updated every 180 days</t>
    </r>
  </si>
  <si>
    <t>3065.0</t>
  </si>
  <si>
    <t>07.07aAISecOrganizational.4</t>
  </si>
  <si>
    <t>The organization maintains a catalog of trusted data sources for use in |training, testing, and validating AI models; |fine-tuning AI models; and |enhancing AI prompts via RAG, as applicable.||</t>
  </si>
  <si>
    <t>Examine evidence that all evaluative elements within the requirement statement have been implemented as defined in the HITRUST scoring rubric, using a sample based test where possible for each evaluative element.
Example test(s):
For example, evidence that the organization maintains a catalog of trusted data sources for use in training, testing, and validating AI models; fine-tuning AI models; and enhancing AI prompts via RAG, as applicable.</t>
  </si>
  <si>
    <r>
      <rPr>
        <b/>
        <sz val="10"/>
        <color theme="1"/>
        <rFont val="Arial"/>
        <family val="2"/>
      </rPr>
      <t>Evidence Test: Inventory</t>
    </r>
    <r>
      <rPr>
        <sz val="10"/>
        <color theme="1"/>
        <rFont val="Arial"/>
        <family val="2"/>
      </rPr>
      <t xml:space="preserve">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t>
    </r>
  </si>
  <si>
    <t>3066.0</t>
  </si>
  <si>
    <t>07.07aAISecOrganizational.5</t>
  </si>
  <si>
    <t>The organization maintains a documented inventory of data used to |train, test, and validate AI models; |fine-tune AI models; and |enhance AI prompts via RAG, as applicable.|| At minimum, this inventory contains the data |provenance and |sensitivity level (e.g., protected, confidential, public).|| This inventory is |periodically (at least semiannually) reviewed and updated.||</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</si>
  <si>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maintains a documented inventory of data used to train, test, and validate AI models; fine-tune AI models; and enhance AI prompts via RAG, as applicable. Further, confirm this inventory contains the data provenance and sensitivity level (e.g., protected, confidential, public).</t>
  </si>
  <si>
    <r>
      <rPr>
        <b/>
        <sz val="10"/>
        <color theme="1"/>
        <rFont val="Arial"/>
        <family val="2"/>
      </rPr>
      <t>Evidence Test: Inventory</t>
    </r>
    <r>
      <rPr>
        <sz val="10"/>
        <color theme="1"/>
        <rFont val="Arial"/>
        <family val="2"/>
      </rPr>
      <t xml:space="preserve">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dataset creation dates and sensitivity levels
- inventory is reviewed/updated every 180 days</t>
    </r>
  </si>
  <si>
    <t>2860.0</t>
  </si>
  <si>
    <t>07.07aCISOrganizational.4</t>
  </si>
  <si>
    <t>2863.0</t>
  </si>
  <si>
    <t>07.07aCISOrganizational.5</t>
  </si>
  <si>
    <t>2465.0</t>
  </si>
  <si>
    <t>07.07aFedRAMPOrganizational.1</t>
  </si>
  <si>
    <t>2340.0</t>
  </si>
  <si>
    <t>07.07aHICPOrganizational.1</t>
  </si>
  <si>
    <t>2796.0</t>
  </si>
  <si>
    <t>07.07aISO23894Organizational.2</t>
  </si>
  <si>
    <t>The organization maintains an inventory of AI |data, |models, and |systems|| that it uses and/or develops.</t>
  </si>
  <si>
    <r>
      <rPr>
        <b/>
        <sz val="10"/>
        <color theme="1"/>
        <rFont val="Arial"/>
        <family val="2"/>
      </rPr>
      <t>Evidence Test: Inventory</t>
    </r>
    <r>
      <rPr>
        <sz val="10"/>
        <color theme="1"/>
        <rFont val="Arial"/>
        <family val="2"/>
      </rPr>
      <t xml:space="preserve">
- includes AI data
- Includes AI models
- includes AI systems</t>
    </r>
  </si>
  <si>
    <t>2722.0</t>
  </si>
  <si>
    <t>07.07aNYDOHOrganizational.6</t>
  </si>
  <si>
    <t>2996.0</t>
  </si>
  <si>
    <t>07.09jOWASPOrganizational.1</t>
  </si>
  <si>
    <t>0635.0</t>
  </si>
  <si>
    <t>07.09m3Organizational.14</t>
  </si>
  <si>
    <t>2930.0</t>
  </si>
  <si>
    <t>07.09mNIST800172Organizational.2</t>
  </si>
  <si>
    <t>2450.0</t>
  </si>
  <si>
    <t>07.09rFedRAMPOrganizational.1</t>
  </si>
  <si>
    <t>09.r Security of System Documentation</t>
  </si>
  <si>
    <t>2948.0</t>
  </si>
  <si>
    <t>07.10bAISecSystem.1</t>
  </si>
  <si>
    <t>10.b Input Data Validation</t>
  </si>
  <si>
    <t>Before they are processed by the model, the AI system |actively filters user inputs (regardless of modality or source, including attachments) for suspicious and/or unexpected values or patterns which could be adversarial or malicious in nature.</t>
  </si>
  <si>
    <t>Examine evidence that all evaluative elements within the requirement statement have been implemented as defined in the HITRUST scoring rubric, using a sample based test where possible for each evaluative element.
Example test(s):
For example, review the AI system configurations to ensure that user inputs (regardless of modality or source, including attachments) are actively filtered before they reach the model.</t>
  </si>
  <si>
    <r>
      <rPr>
        <b/>
        <sz val="10"/>
        <color theme="1"/>
        <rFont val="Arial"/>
        <family val="2"/>
      </rPr>
      <t>Evidence Test: Artificial Intelligence</t>
    </r>
    <r>
      <rPr>
        <sz val="10"/>
        <color theme="1"/>
        <rFont val="Arial"/>
        <family val="2"/>
      </rPr>
      <t xml:space="preserve">
- configured to filter user inputs for suspicious and/or unexpected values/patterns</t>
    </r>
  </si>
  <si>
    <t>2872.0</t>
  </si>
  <si>
    <t>07.10bAISecSystem.2</t>
  </si>
  <si>
    <t>Data for |AI model training, |AI model tuning, or |prompt enhancement via RAG (if used)|| is checked prior to usage (e.g., using statistical methods, through manual inspection, or through automated means) for suspicious unexpected values or patterns which could be adversarial or malicious in nature (e.g., poisoned samples).|| Identified anomalous entries are |removed.||</t>
  </si>
  <si>
    <t>Examine evidence that all evaluative elements within the requirement statement have been implemented as defined in the HITRUST scoring rubric, using a sample based test where possible for each evaluative element.
Example test(s):
For example, review the AI system to ensure data for AI model training, AI model tuning, or prompt enhancement via RAG if used, is checked prior to usage for anomalies such as unexpected values or patterns (e.g., using statistical methods, through manual inspection). Further, confirm that the identified anomalous entries are removed.</t>
  </si>
  <si>
    <r>
      <rPr>
        <b/>
        <sz val="10"/>
        <color theme="1"/>
        <rFont val="Arial"/>
        <family val="2"/>
      </rPr>
      <t>Evidence Test: Artificial Intelligenc</t>
    </r>
    <r>
      <rPr>
        <sz val="10"/>
        <color theme="1"/>
        <rFont val="Arial"/>
        <family val="2"/>
      </rPr>
      <t xml:space="preserve">e (evaluation)
- artificial intelligence model training is checked prior to usage
- artificial intelligence model tuning is checked prior to usage
- artificial intelligence prompt enhancement via RAG (if used) is checked prior to usage
- identified anomalous entries are removed
</t>
    </r>
    <r>
      <rPr>
        <b/>
        <sz val="10"/>
        <color theme="1"/>
        <rFont val="Arial"/>
        <family val="2"/>
      </rPr>
      <t>Additional Information: Examples</t>
    </r>
    <r>
      <rPr>
        <sz val="10"/>
        <color theme="1"/>
        <rFont val="Arial"/>
        <family val="2"/>
      </rPr>
      <t xml:space="preserve">
 - checked using statistical methods
 - checked through manual inspection
 - checked through automated means</t>
    </r>
  </si>
  <si>
    <t>2868.0</t>
  </si>
  <si>
    <t>07.10bATLASSystem.1</t>
  </si>
  <si>
    <t>2875.0</t>
  </si>
  <si>
    <t>07.10bATLASSystem.3</t>
  </si>
  <si>
    <t>1271.0</t>
  </si>
  <si>
    <t>07.10bNIST80053System.2</t>
  </si>
  <si>
    <t>1270.0</t>
  </si>
  <si>
    <t>07.10bNIST80053System.3</t>
  </si>
  <si>
    <t>3068.0</t>
  </si>
  <si>
    <t>07.10eAISecSystem.1</t>
  </si>
  <si>
    <t>10.e Output Data Validation</t>
  </si>
  <si>
    <t>Unless specifically required, the AI system |actively filters or otherwise prevents sensitive data (e.g., personal phone numbers) contained within generative AI model outputs from being shown to end users of the AI system.</t>
  </si>
  <si>
    <t>Examine evidence that all evaluative elements within the requirement statement have been implemented as defined in the HITRUST scoring rubric, using a sample based test where possible for each evaluative element.
Example test(s):
For example, obtain and examine evidence to confirm sensitive data in generative AI model outputs were actively filtered or otherwise prevented from being included in user-facing outputs.</t>
  </si>
  <si>
    <r>
      <rPr>
        <b/>
        <sz val="10"/>
        <color theme="1"/>
        <rFont val="Arial"/>
        <family val="2"/>
      </rPr>
      <t>Evidence Test: Artificial Intelligence</t>
    </r>
    <r>
      <rPr>
        <sz val="10"/>
        <color theme="1"/>
        <rFont val="Arial"/>
        <family val="2"/>
      </rPr>
      <t xml:space="preserve">
- configured to prevent sensitive data contained within generative artificial intelligence model from being shown to end users</t>
    </r>
  </si>
  <si>
    <t>2963.0</t>
  </si>
  <si>
    <t>07.10eOWASPSystem.2</t>
  </si>
  <si>
    <t>2949.0</t>
  </si>
  <si>
    <t>07.10hATLASSystem.2</t>
  </si>
  <si>
    <t>2317.1</t>
  </si>
  <si>
    <t>07.10m1Organizational.2</t>
  </si>
  <si>
    <t>The organization (1) deploys automated software update tools in order to ensure that systems are running the most recent security updates provided by the software vendor, and (2) installs software updates manually for systems that do not support automated software updates.</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</si>
  <si>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select a sample of systems that support automated security updating and confirm that automated security updating is enabled. _x000D_
Further, select a sample of systems that do not support automatic security updating and confirm the organization performs and tracks the manual installation of these systems.</t>
  </si>
  <si>
    <r>
      <rPr>
        <b/>
        <sz val="10"/>
        <color theme="1"/>
        <rFont val="Arial"/>
        <family val="2"/>
      </rPr>
      <t>Sample Test:</t>
    </r>
    <r>
      <rPr>
        <sz val="10"/>
        <color theme="1"/>
        <rFont val="Arial"/>
        <family val="2"/>
      </rPr>
      <t xml:space="preserve">
- Test 043: Endpoint Device (auto-update capable)
- Test 044: Endpoint Device (auto-update incapable)</t>
    </r>
  </si>
  <si>
    <t>2367.0</t>
  </si>
  <si>
    <t>07.10m1Organizational.3</t>
  </si>
  <si>
    <t>Information systems (1) are periodically scanned to proactively (annually at minimum) identify technical vulnerabilities.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</si>
  <si>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systems and confirm that they have been proactively scanned for vulnerabilities in accordance with the organization\'s defined vulnerability scanning frequency (at a minimum within the past year).</t>
  </si>
  <si>
    <t>3048.0</t>
  </si>
  <si>
    <t>07.10mAISecOrganizational.2</t>
  </si>
  <si>
    <t>To help ensure that unsafe assets are not introduced into the AI system, the organization checks the cryptographic hashes and/or digital signatures on downloaded AI |models; |software packages (e.g., those for model creation, training, and/or deployment); |datasets (e.g., training datasets); and |language model tools (e.g., agents, plugins)|| before use, as applicable.||</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</si>
  <si>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verifies the cryptographic hashes and/or digital signatures on downloaded AI models, software packages (e.g., those for model creation, training, and/or deployment), datasets (e.g., training datasets), and language model tools (e.g., agents, plugins) before use, as applicable.</t>
  </si>
  <si>
    <r>
      <rPr>
        <b/>
        <sz val="10"/>
        <color theme="1"/>
        <rFont val="Arial"/>
        <family val="2"/>
      </rPr>
      <t>Evidence Test: Artificial Intelligence (evaluation)</t>
    </r>
    <r>
      <rPr>
        <sz val="10"/>
        <color theme="1"/>
        <rFont val="Arial"/>
        <family val="2"/>
      </rPr>
      <t xml:space="preserve">
- cryptographic hashes and/or digital signatures are checked for: downloaded artificial intelligence models
- cryptographic hashes and/or digital signatures are checked for: downloaded artificial intelligence software packages
- cryptographic hashes and/or digital signatures are checked for: downloaded artificial intelligence datasets
- cryptographic hashes and/or digital signatures are checked for: downloaded artificial intelligence language model tools</t>
    </r>
  </si>
  <si>
    <t>3042.0</t>
  </si>
  <si>
    <t>07.10mAISecOrganizational.3</t>
  </si>
  <si>
    <t>The |precision and |specificity|| of AI application outputs are reduced to limit an adversary's ability to extract information from the model and/or optimize potential attacks (e.g., omit or round indication of precision of confidence in the output so it cannot be used for optimization, limit specificity of output class ontology).</t>
  </si>
  <si>
    <t>Examine evidence that all evaluative elements within the requirement statement have been implemented as defined in the HITRUST scoring rubric, using a sample based test where possible for each evaluative element.
Example test(s):
For example, review the AI model to ensure the precision and specificity of AI application outputs are reduced to limit an adversary’s ability to extract information from the model and/or optimize potential attacks.</t>
  </si>
  <si>
    <r>
      <rPr>
        <b/>
        <sz val="10"/>
        <color theme="1"/>
        <rFont val="Arial"/>
        <family val="2"/>
      </rPr>
      <t>Evidence Test: Artificial Intelligence</t>
    </r>
    <r>
      <rPr>
        <sz val="10"/>
        <color theme="1"/>
        <rFont val="Arial"/>
        <family val="2"/>
      </rPr>
      <t xml:space="preserve">
- precision and specificity of outputs configured to limit adversary's ability to extract information from model</t>
    </r>
  </si>
  <si>
    <t>2913.0</t>
  </si>
  <si>
    <t>07.10mAISecOrganizational.4</t>
  </si>
  <si>
    <t>The information system |applies output encoding to textual AI model output to prevent traditional injection attacks (e.g., remote code execution) which can create a vulnerability when processed.||</t>
  </si>
  <si>
    <t>Examine evidence that all evaluative elements within the requirement statement have been implemented as defined in the HITRUST scoring rubric, using a sample based test where possible for each evaluative element.
Example test(s):
For example, obtain and examine evidence to confirm the information system applied output encoding on text based model output.</t>
  </si>
  <si>
    <r>
      <rPr>
        <b/>
        <sz val="10"/>
        <color theme="1"/>
        <rFont val="Arial"/>
        <family val="2"/>
      </rPr>
      <t>Evidence Test: Artificial Intelligence</t>
    </r>
    <r>
      <rPr>
        <sz val="10"/>
        <color theme="1"/>
        <rFont val="Arial"/>
        <family val="2"/>
      </rPr>
      <t xml:space="preserve">
- configured to apply output encoding on textual outputs</t>
    </r>
  </si>
  <si>
    <t>2867.0</t>
  </si>
  <si>
    <t>07.10mAISecOrganizational.5</t>
  </si>
  <si>
    <t>To prevent against successful denial of AI service attacks and to hinder experimentation for AI attacks, the information system limits / throttles the |total number and |rate|| of API calls that a user can make to the AI model in a given time period.||</t>
  </si>
  <si>
    <t>Examine evidence that all evaluative elements within the requirement statement have been implemented as defined in the HITRUST scoring rubric, using a sample based test where possible for each evaluative element.
Example test(s):
For example, review the AI model to ensure the system limits or throttles the total number and rate of API calls that a user can make to the AI model within a given time period.</t>
  </si>
  <si>
    <r>
      <rPr>
        <b/>
        <sz val="10"/>
        <color theme="1"/>
        <rFont val="Arial"/>
        <family val="2"/>
      </rPr>
      <t>Evidence Test: Artificial Intelligence</t>
    </r>
    <r>
      <rPr>
        <sz val="10"/>
        <color theme="1"/>
        <rFont val="Arial"/>
        <family val="2"/>
      </rPr>
      <t xml:space="preserve">
- configured to limit/throttle total number and rate of API calls a user can make</t>
    </r>
  </si>
  <si>
    <t>2870.0</t>
  </si>
  <si>
    <t>07.10mAISecOrganizational.6</t>
  </si>
  <si>
    <t>To find potentially exploitable vulnerabilities, the organization inspects downloaded AI software assets before use—including |models (e.g., such as those sourced from online model zoos); |software packages used to create, train, and/or deploy models (e.g., python packages); and |language model tools such as agents and plugins (if used).|| The organization (4) |acts upon the results, as necessary.</t>
  </si>
  <si>
    <t>Examine evidence that all evaluative elements within the requirement statement have been implemented as defined in the HITRUST scoring rubric, using a sample based test where possible for each evaluative element.
Example test(s):
For example, select a sample of downloaded AI software assets and confirm they were inspected before use. Further, confirm that the organization acts upon the inspection results, as necessary.</t>
  </si>
  <si>
    <t>2871.0</t>
  </si>
  <si>
    <t>07.10mATLASOrganizational.4</t>
  </si>
  <si>
    <t>2873.0</t>
  </si>
  <si>
    <t>07.10mATLASOrganizational.5</t>
  </si>
  <si>
    <t>2865.0</t>
  </si>
  <si>
    <t>07.10mATLASOrganizational.7</t>
  </si>
  <si>
    <t>2874.0</t>
  </si>
  <si>
    <t>07.10mATLASOrganizational.8</t>
  </si>
  <si>
    <t>2878.0</t>
  </si>
  <si>
    <t>07.10mCISOrganizational.12</t>
  </si>
  <si>
    <t>2444.0</t>
  </si>
  <si>
    <t>07.10mCISOrganizational.14</t>
  </si>
  <si>
    <t>2545.0</t>
  </si>
  <si>
    <t>07.10mCMSOrganizational.7</t>
  </si>
  <si>
    <t>2593.0</t>
  </si>
  <si>
    <t>07.10mCMSOrganizational.8</t>
  </si>
  <si>
    <t>3018.0</t>
  </si>
  <si>
    <t>07.10mDORAOrganizational.1</t>
  </si>
  <si>
    <t>3029.0</t>
  </si>
  <si>
    <t>07.10mDORAOrganizational.2</t>
  </si>
  <si>
    <t>2429.0</t>
  </si>
  <si>
    <t>07.10mFedRAMPOrganizational.10</t>
  </si>
  <si>
    <t>2437.0</t>
  </si>
  <si>
    <t>07.10mFedRAMPOrganizational.12</t>
  </si>
  <si>
    <t>2438.0</t>
  </si>
  <si>
    <t>07.10mFedRAMPOrganizational.13</t>
  </si>
  <si>
    <t>2439.0</t>
  </si>
  <si>
    <t>07.10mFedRAMPOrganizational.14</t>
  </si>
  <si>
    <t>07.10mFedRAMPOrganizational.15</t>
  </si>
  <si>
    <t>2482.0</t>
  </si>
  <si>
    <t>07.10mFedRAMPOrganizational.16</t>
  </si>
  <si>
    <t>2417.0</t>
  </si>
  <si>
    <t>07.10mFedRAMPOrganizational.17</t>
  </si>
  <si>
    <t>2836.0</t>
  </si>
  <si>
    <t>07.10mFedRAMPOrganizational.18</t>
  </si>
  <si>
    <t>1387.0</t>
  </si>
  <si>
    <t>07.10mFedRAMPOrganizational.19</t>
  </si>
  <si>
    <t>2427.0</t>
  </si>
  <si>
    <t>07.10mFedRAMPOrganizational.8</t>
  </si>
  <si>
    <t>2428.0</t>
  </si>
  <si>
    <t>07.10mFedRAMPOrganizational.9</t>
  </si>
  <si>
    <t>2911.0</t>
  </si>
  <si>
    <t>07.10mFFIECCATOrganizational.2</t>
  </si>
  <si>
    <t>2904.0</t>
  </si>
  <si>
    <t>07.10mFFIECCATOrganizational.3</t>
  </si>
  <si>
    <t>2896.0</t>
  </si>
  <si>
    <t>07.10mFFIECCATOrganizational.4</t>
  </si>
  <si>
    <t>2895.0</t>
  </si>
  <si>
    <t>07.10mFFIECCATOrganizational.5</t>
  </si>
  <si>
    <t>2883.0</t>
  </si>
  <si>
    <t>07.10mFFIECCATOrganizational.6</t>
  </si>
  <si>
    <t>2884.0</t>
  </si>
  <si>
    <t>07.10mFFIECCATOrganizational.7</t>
  </si>
  <si>
    <t>2886.0</t>
  </si>
  <si>
    <t>07.10mFFIECCATOrganizational.8</t>
  </si>
  <si>
    <t>2888.0</t>
  </si>
  <si>
    <t>07.10mFFIECCATOrganizational.9</t>
  </si>
  <si>
    <t>2584.0</t>
  </si>
  <si>
    <t>07.10mFTIOrganizational.10</t>
  </si>
  <si>
    <t>2647.0</t>
  </si>
  <si>
    <t>07.10mFTIOrganizational.11</t>
  </si>
  <si>
    <t>2677.0</t>
  </si>
  <si>
    <t>07.10mFTIOrganizational.12</t>
  </si>
  <si>
    <t>2504.0</t>
  </si>
  <si>
    <t>07.10mFTIOrganizational.8</t>
  </si>
  <si>
    <t>2342.0</t>
  </si>
  <si>
    <t>07.10mHICPOrganizational.1</t>
  </si>
  <si>
    <t>2344.0</t>
  </si>
  <si>
    <t>07.10mHICPOrganizational.2</t>
  </si>
  <si>
    <t>2347.0</t>
  </si>
  <si>
    <t>07.10mHICPOrganizational.4</t>
  </si>
  <si>
    <t>2936.0</t>
  </si>
  <si>
    <t>07.10mNIST800172Organizational.1</t>
  </si>
  <si>
    <t>2940.0</t>
  </si>
  <si>
    <t>07.10mNIST800172Organizational.2</t>
  </si>
  <si>
    <t>2941.0</t>
  </si>
  <si>
    <t>07.10mNIST800172Organizational.3</t>
  </si>
  <si>
    <t>2943.0</t>
  </si>
  <si>
    <t>07.10mNIST800172Organizational.4</t>
  </si>
  <si>
    <t>2782.0</t>
  </si>
  <si>
    <t>07.10mNIST80053Organizational.1</t>
  </si>
  <si>
    <t>1411.0</t>
  </si>
  <si>
    <t>07.10mNIST80053Organizational.3</t>
  </si>
  <si>
    <t>1389.0</t>
  </si>
  <si>
    <t>07.10mNIST80053Organizational.4</t>
  </si>
  <si>
    <t>1391.0</t>
  </si>
  <si>
    <t>07.10mNIST80053Organizational.5</t>
  </si>
  <si>
    <t>1396.0</t>
  </si>
  <si>
    <t>07.10mNIST80053Organizational.6</t>
  </si>
  <si>
    <t>2713.0</t>
  </si>
  <si>
    <t>07.10mNYDOHOrganizational.9</t>
  </si>
  <si>
    <t>2961.0</t>
  </si>
  <si>
    <t>07.10mOWASPOrganizational.1</t>
  </si>
  <si>
    <t>2992.0</t>
  </si>
  <si>
    <t>07.10mOWASPOrganizational.10</t>
  </si>
  <si>
    <t>2964.0</t>
  </si>
  <si>
    <t>07.10mOWASPOrganizational.2</t>
  </si>
  <si>
    <t>2965.0</t>
  </si>
  <si>
    <t>07.10mOWASPOrganizational.3</t>
  </si>
  <si>
    <t>2987.0</t>
  </si>
  <si>
    <t>07.10mOWASPOrganizational.6</t>
  </si>
  <si>
    <t>2988.0</t>
  </si>
  <si>
    <t>07.10mOWASPOrganizational.7</t>
  </si>
  <si>
    <t>2848.0</t>
  </si>
  <si>
    <t>07.10mPCIOrganizational.4</t>
  </si>
  <si>
    <t>2852.0</t>
  </si>
  <si>
    <t>07.10mPCIOrganizational.6</t>
  </si>
  <si>
    <t>3072.0</t>
  </si>
  <si>
    <t>07.10mStateRAMPOrganizational.1</t>
  </si>
  <si>
    <t>3076.0</t>
  </si>
  <si>
    <t>07.10mStateRAMPOrganizational.2</t>
  </si>
  <si>
    <t>07.10mTXRAMPOrganizational.2</t>
  </si>
  <si>
    <t>2302.0</t>
  </si>
  <si>
    <t>07.13jNIST80053Organizational.3</t>
  </si>
  <si>
    <t>13.j Data Minimization</t>
  </si>
  <si>
    <t>0626.1</t>
  </si>
  <si>
    <t>0701.07a1Organizational.7</t>
  </si>
  <si>
    <t>The organization (1) identifies and inventories all assets including information (e.g., PII), encrypted or unencrypted, wherever it is created, received, maintained, or transmitted (including organizational and third-party sites). The organization (2) documents the importance of these inventoried assets. The asset inventory includes: (3) all systems connected to the network; (4) the network devices themselves; (5) desktops; (6) servers; (7) network equipment (routers, switches, firewalls, etc.); (8) printers; (9) storage area networks; (10) Voice Over-IP telephones; (11) multi-homed addresses; (12) virtual addresses; (13) mobile phones, regardless of whether they are attached to the organization’s network; (14) tablets, regardless of whether they are attached to the organization’s network; (15) laptops, regardless of whether they are attached to the organization’s network; (16) other portable electronic devices [i.e., other than mobile phones, tablets, and laptops] that store or process data, regardless of whether they are attached to the organization’s network; and (17) approved bring your own device (BYOD) equipment.</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</si>
  <si>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an inventory of all assets (e.g., spreadsheet, database) and services, including information is documented. _x000D_
Confirm that the inventory for each asset includes all systems connected to the network and the network devices themselves.</t>
  </si>
  <si>
    <r>
      <rPr>
        <b/>
        <sz val="10"/>
        <color theme="1"/>
        <rFont val="Arial"/>
        <family val="2"/>
      </rPr>
      <t>Evidence Test: IT Asset(s)</t>
    </r>
    <r>
      <rPr>
        <sz val="10"/>
        <color theme="1"/>
        <rFont val="Arial"/>
        <family val="2"/>
      </rPr>
      <t xml:space="preserve">
- inventory maintained
- inventory includes all endpoint devices
- inventory includes all network devices</t>
    </r>
  </si>
  <si>
    <t>0626.2</t>
  </si>
  <si>
    <t>0701.07a1Organizational.8</t>
  </si>
  <si>
    <t>The asset inventories include: (1) type or classification of the asset; (2) format of the asset; (3) location of the asset; (4) backup information of the asset; (5) license information of the asset; (6) a business value of the asset; and (7) data on whether the device is a portable and/or personal device. The asset inventory record (8) is used to document and ensure that all property is returned to the organization upon employee termination or transfer out of the organization or department. The asset inventory records: (9) the network addresses; (10) the machine name(s); (11) the purpose of each system; (12) an asset owner responsible for each device; and (13) the department associated with each device. The inventory (14) does not duplicate other inventories unnecessarily, but it will ensure that the content is aligned. Records of property assigned to employees (15) is reviewed and updated annually.</t>
  </si>
  <si>
    <t>0627.0</t>
  </si>
  <si>
    <t>0702.07a2Organizational.2</t>
  </si>
  <si>
    <t>0632.0</t>
  </si>
  <si>
    <t>0703.07a2Organizational.1</t>
  </si>
  <si>
    <r>
      <rPr>
        <b/>
        <sz val="10"/>
        <color theme="1"/>
        <rFont val="Arial"/>
        <family val="2"/>
      </rPr>
      <t>Sample Test:</t>
    </r>
    <r>
      <rPr>
        <sz val="10"/>
        <color theme="1"/>
        <rFont val="Arial"/>
        <family val="2"/>
      </rPr>
      <t xml:space="preserve">
- Test 177: Information System (system component)</t>
    </r>
  </si>
  <si>
    <t>0633.1</t>
  </si>
  <si>
    <t>0704.07a1Organizational.8</t>
  </si>
  <si>
    <t>The organization creates, documents, and maintains a process and procedure to (1) physically inventory capital assets (at least annually), (2) physically inventory non-capital assets, (3) reconcile IT asset inventory information on hand for capital assets, (4) reconcile IT asset inventory information on hand for non-capital assets. Organizational inventories of IT assets are updated during (5) installations, (6) equipment removals, (7) system changes.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</si>
  <si>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most recent IT asset inventory reconciliation and confirm that an inventory for capital assets was performed within the last 365 days. _x000D_
Confirm that for non-capital assets an inventory was performed in accordance with the organization\'s policy.</t>
  </si>
  <si>
    <r>
      <rPr>
        <b/>
        <sz val="10"/>
        <color theme="1"/>
        <rFont val="Arial"/>
        <family val="2"/>
      </rPr>
      <t>Evidence Test: IT Asset(s)</t>
    </r>
    <r>
      <rPr>
        <sz val="10"/>
        <color theme="1"/>
        <rFont val="Arial"/>
        <family val="2"/>
      </rPr>
      <t xml:space="preserve">
- inventory(ies) reviewed at least annually (capital assets)
- inventory(ies) reviewed in accordance with organization's policy (non-capital assets)
</t>
    </r>
    <r>
      <rPr>
        <b/>
        <sz val="10"/>
        <color theme="1"/>
        <rFont val="Arial"/>
        <family val="2"/>
      </rPr>
      <t>Additional Information: Definition</t>
    </r>
    <r>
      <rPr>
        <sz val="10"/>
        <color theme="1"/>
        <rFont val="Arial"/>
        <family val="2"/>
      </rPr>
      <t xml:space="preserve">
- Capital Asset: an asset is considered a capital asset if it has a usable life of at least one year and is used to facilitate a business's operations
- Non-Capital Asset: an asset is considered a non-capital asset, on the other hand, if it has a usable life of at least one year and doesn't affect a business's primary money-making operations</t>
    </r>
  </si>
  <si>
    <t>0633.2</t>
  </si>
  <si>
    <t>0704.07a1Organizational.9</t>
  </si>
  <si>
    <t>The asset inventory includes the: (1) unique identifier and/or serial number of the IT asset; (2) information system of which the component is a part; (3) type of information system component (e.g., server, desktop, application); (4) manufacturer/model information of the IT asset; (5) operating system type and version/service pack level of the IT asset; (6) presence of virtual machines; (7) application software version/license information; (8) physical location (e.g., building/room number) of the IT asset; (9) logical location (e.g., IP address, position with the IS architecture) of the IT asset; (10) Media access control (MAC) address of the IT asset; (11) data ownership and custodian by position and role; (12) operational status of the IT asset; (13) primary and secondary administrators of the IT asset; and (14) primary user of the IT asset.</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</si>
  <si>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assets from the asset inventory and confirm that it includes the required information as noted within the requirement statement (e.g., unique identifier, which component, etc.). _x000D_
Confirm that this information is accurate and current.</t>
  </si>
  <si>
    <t>0634.0</t>
  </si>
  <si>
    <t>0705.07a3Organizational.3</t>
  </si>
  <si>
    <t>1263.1</t>
  </si>
  <si>
    <t>0706.10b1System.2</t>
  </si>
  <si>
    <t>1263.2</t>
  </si>
  <si>
    <t>0706.10b3System.1</t>
  </si>
  <si>
    <t>1264.0</t>
  </si>
  <si>
    <t>0707.10b2System.1</t>
  </si>
  <si>
    <t>1369.0</t>
  </si>
  <si>
    <t>0709.10m1Organizational.1</t>
  </si>
  <si>
    <t>1370.0</t>
  </si>
  <si>
    <t>0710.10m2Organizational.1</t>
  </si>
  <si>
    <t>1371.0</t>
  </si>
  <si>
    <t>0711.10m2Organizational.23</t>
  </si>
  <si>
    <t>1372.0</t>
  </si>
  <si>
    <t>0712.10m2Organizational.4</t>
  </si>
  <si>
    <t>1373.0</t>
  </si>
  <si>
    <t>0713.10m2Organizational.5</t>
  </si>
  <si>
    <t>1374.0</t>
  </si>
  <si>
    <t>0714.10m2Organizational.7</t>
  </si>
  <si>
    <t>1375.0</t>
  </si>
  <si>
    <t>0715.10m1Organizational.4</t>
  </si>
  <si>
    <t>Only necessary and secure services, protocols, daemons, etc., required for the function of the system (1) are enabled. Security features (2) are implemented for any required services, protocols or daemons that are considered to be insecure (e.g., use secured technologies such as SSH, S-FTP, TLS v1.2 or later, or IPsec VPN to protect insecure services such as NetBIOS, file-sharing, Telnet, FTP, etc.).</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</si>
  <si>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systems and review its configuration settings. Confirm that insecure services, such as NetBIOS, file-sharing, Telnet, FTP, etc. have been disabled. _x000D_
If any insecure services are enabled, confirm that security features such as SSH, S-FTP, TLS v1.2 or later, or IPsec VPN have been enabled. _x000D_
Review of hardened system images can confirm enabled/disabled services, protocols, and daemons.</t>
  </si>
  <si>
    <r>
      <rPr>
        <b/>
        <sz val="10"/>
        <color theme="1"/>
        <rFont val="Arial"/>
        <family val="2"/>
      </rPr>
      <t>Sample Test:</t>
    </r>
    <r>
      <rPr>
        <sz val="10"/>
        <color theme="1"/>
        <rFont val="Arial"/>
        <family val="2"/>
      </rPr>
      <t xml:space="preserve">
- Test 045: Endpoint Device (BYOD)
- Test 050: Endpoint Device (laptop)
- Test 054: Endpoint Device (server)
- Test 058: Endpoint Device (workstation)
</t>
    </r>
    <r>
      <rPr>
        <b/>
        <sz val="10"/>
        <color theme="1"/>
        <rFont val="Arial"/>
        <family val="2"/>
      </rPr>
      <t>Additional Information: Examples</t>
    </r>
    <r>
      <rPr>
        <sz val="10"/>
        <color theme="1"/>
        <rFont val="Arial"/>
        <family val="2"/>
      </rPr>
      <t xml:space="preserve">
- insecure service: NetBIOS
- insecure service: file-sharing
- insecure service: Telnet
- insecure service: FPT
- security features: SSH
- security features: S-FTP
- security features: TLSv1.2/3
- security features: IPsec VPN</t>
    </r>
  </si>
  <si>
    <t>1378.0</t>
  </si>
  <si>
    <t>0716.10m3Organizational.1</t>
  </si>
  <si>
    <t>2137.0</t>
  </si>
  <si>
    <t>07164.07aNYDOHOrganizational.3</t>
  </si>
  <si>
    <t>1379.0</t>
  </si>
  <si>
    <t>0717.10m3Organizational.2</t>
  </si>
  <si>
    <t>1380.0</t>
  </si>
  <si>
    <t>0718.10m3Organizational.34</t>
  </si>
  <si>
    <t>1381.0</t>
  </si>
  <si>
    <t>0719.10m3Organizational.5</t>
  </si>
  <si>
    <t>2162.0</t>
  </si>
  <si>
    <t>07190.09jNYDOHOrganizational.1</t>
  </si>
  <si>
    <t>0628.0</t>
  </si>
  <si>
    <t>0720.07aNYDOHOrganizational.4</t>
  </si>
  <si>
    <t>0629.0</t>
  </si>
  <si>
    <t>0721.07a2Organizational.3</t>
  </si>
  <si>
    <t>0630.0</t>
  </si>
  <si>
    <t>0722.07a2Organizational.4</t>
  </si>
  <si>
    <t>0631.0</t>
  </si>
  <si>
    <t>0723.07a2Organizational.5</t>
  </si>
  <si>
    <t>2206.0</t>
  </si>
  <si>
    <t>07234.10mNYDOHOrganizational.1</t>
  </si>
  <si>
    <t>2207.0</t>
  </si>
  <si>
    <t>07235.10mNYDOHOrganizational.2</t>
  </si>
  <si>
    <t>2208.0</t>
  </si>
  <si>
    <t>07236.10mNYDOHOrganizational.3</t>
  </si>
  <si>
    <t>2209.0</t>
  </si>
  <si>
    <t>07237.10mNYDOHOrganizational.4</t>
  </si>
  <si>
    <t>2210.0</t>
  </si>
  <si>
    <t>07238.10mNYDOHOrganizational.5</t>
  </si>
  <si>
    <t>2211.0</t>
  </si>
  <si>
    <t>07239.10mNYDOHOrganizational.6</t>
  </si>
  <si>
    <t>0724.07a3Organizational.4</t>
  </si>
  <si>
    <t>2212.0</t>
  </si>
  <si>
    <t>07240.10mNYDOHOrganizational.7</t>
  </si>
  <si>
    <t>2213.0</t>
  </si>
  <si>
    <t>07241.10mNYDOHOrganizational.8</t>
  </si>
  <si>
    <t>0636.0</t>
  </si>
  <si>
    <t>0725.07a3Organizational.5</t>
  </si>
  <si>
    <t>0641.0</t>
  </si>
  <si>
    <t>0726.07aCMSOrganizational.12</t>
  </si>
  <si>
    <t>0642.0</t>
  </si>
  <si>
    <t>0727.07aCMSOrganizational.34</t>
  </si>
  <si>
    <t>0643.0</t>
  </si>
  <si>
    <t>0728.07aPCIOrganizational.13</t>
  </si>
  <si>
    <t>0644.0</t>
  </si>
  <si>
    <t>0729.07aPCIOrganizational.2</t>
  </si>
  <si>
    <t>1034.0</t>
  </si>
  <si>
    <t>0730.09r2Organizational.1</t>
  </si>
  <si>
    <t>1034.1</t>
  </si>
  <si>
    <t>0730.09r2Organizational.3</t>
  </si>
  <si>
    <t>1035.0</t>
  </si>
  <si>
    <t>0731.09r2Organizational.2</t>
  </si>
  <si>
    <t>2292.0</t>
  </si>
  <si>
    <t>07319.07aNIST80053Organizational.1</t>
  </si>
  <si>
    <t>1036.0</t>
  </si>
  <si>
    <t>0732.09r1Organizational.3</t>
  </si>
  <si>
    <t>The access list for system documentation (1) is kept to a minimum and (2) is authorized by the application owner.</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</si>
  <si>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(e.g., access control configuration) to confirm that system documentation is restricted to authorized personnel. _x000D_
Further, select a sample of individuals that obtained access to system documentation and confirm that their access was authorized by the application owner.</t>
  </si>
  <si>
    <r>
      <rPr>
        <b/>
        <sz val="10"/>
        <color theme="1"/>
        <rFont val="Arial"/>
        <family val="2"/>
      </rPr>
      <t>Evidence Test: Access (system documentation)</t>
    </r>
    <r>
      <rPr>
        <sz val="10"/>
        <color theme="1"/>
        <rFont val="Arial"/>
        <family val="2"/>
      </rPr>
      <t xml:space="preserve">
- access restricted to authorized personnel
</t>
    </r>
    <r>
      <rPr>
        <b/>
        <sz val="10"/>
        <color theme="1"/>
        <rFont val="Arial"/>
        <family val="2"/>
      </rPr>
      <t>Sample Test:</t>
    </r>
    <r>
      <rPr>
        <sz val="10"/>
        <color theme="1"/>
        <rFont val="Arial"/>
        <family val="2"/>
      </rPr>
      <t xml:space="preserve">
- Test 027: Change (access to system document)</t>
    </r>
  </si>
  <si>
    <t>1267.0</t>
  </si>
  <si>
    <t>0733.10b2System.4</t>
  </si>
  <si>
    <t>0734.10bFTISystem.1</t>
  </si>
  <si>
    <t>1922.0</t>
  </si>
  <si>
    <t>0737.10m2Organizational.9</t>
  </si>
  <si>
    <t>2021.0</t>
  </si>
  <si>
    <t>0741.10m3Organizational.6</t>
  </si>
  <si>
    <t>1399.0</t>
  </si>
  <si>
    <t>0742.10mCMSOrganizational.1</t>
  </si>
  <si>
    <t>1400.0</t>
  </si>
  <si>
    <t>0743.10mCMSOrganizational.2</t>
  </si>
  <si>
    <t>1401.0</t>
  </si>
  <si>
    <t>0744.10mCMSOrganizational.34</t>
  </si>
  <si>
    <t>1402.0</t>
  </si>
  <si>
    <t>0745.10mCMSOrganizational.5</t>
  </si>
  <si>
    <t>1914.0</t>
  </si>
  <si>
    <t>0746.10mCMSOrganizational.6</t>
  </si>
  <si>
    <t>1404.0</t>
  </si>
  <si>
    <t>0747.10mCMSOrganizational.7</t>
  </si>
  <si>
    <t>1414.0</t>
  </si>
  <si>
    <t>0749.10mFTIOrganizational.2</t>
  </si>
  <si>
    <t>1415.0</t>
  </si>
  <si>
    <t>0750.10mFTIOrganizational.3</t>
  </si>
  <si>
    <t>1417.0</t>
  </si>
  <si>
    <t>0752.10mFTIOrganizational.5</t>
  </si>
  <si>
    <t>1419.0</t>
  </si>
  <si>
    <t>0754.10mFTIOrganizational.7</t>
  </si>
  <si>
    <t>1420.0</t>
  </si>
  <si>
    <t>0755.10mHIXOrganizational.1</t>
  </si>
  <si>
    <t>1424.0</t>
  </si>
  <si>
    <t>0756.10mPCIOrganizational.123</t>
  </si>
  <si>
    <t>1425.0</t>
  </si>
  <si>
    <t>0757.10mPCIOrganizational.4</t>
  </si>
  <si>
    <t>1426.0</t>
  </si>
  <si>
    <t>0758.10mPCIOrganizational.5</t>
  </si>
  <si>
    <t>1426.1</t>
  </si>
  <si>
    <t>0758.10mPCIOrganizational.6</t>
  </si>
  <si>
    <t>0640.0</t>
  </si>
  <si>
    <t>0760.07aCISOrganizational.10</t>
  </si>
  <si>
    <t>0637.0</t>
  </si>
  <si>
    <t>0761.07aCISOrganizational.2</t>
  </si>
  <si>
    <t>0638.0</t>
  </si>
  <si>
    <t>0762.07aCISOrganizational.6</t>
  </si>
  <si>
    <t>1891.0</t>
  </si>
  <si>
    <t>0763.10bCISSystem.5</t>
  </si>
  <si>
    <t>0764.10bCISSystem.6</t>
  </si>
  <si>
    <t>1385.0</t>
  </si>
  <si>
    <t>0765.10mCISOrganizational.12</t>
  </si>
  <si>
    <t>1912.0</t>
  </si>
  <si>
    <t>0766.10mCISOrganizational.12</t>
  </si>
  <si>
    <t>1421.0</t>
  </si>
  <si>
    <t>0766.10mHIXOrganizational.2</t>
  </si>
  <si>
    <t>0767.10mCISOrganizational.12</t>
  </si>
  <si>
    <t>1422.0</t>
  </si>
  <si>
    <t>0767.10mHIXOrganizational.3</t>
  </si>
  <si>
    <t>1893.0</t>
  </si>
  <si>
    <t>0768.10mCISOrganizational.12</t>
  </si>
  <si>
    <t>1423.0</t>
  </si>
  <si>
    <t>0768.10mHIXOrganizational.4</t>
  </si>
  <si>
    <t>0769.10mCISOrganizational.12</t>
  </si>
  <si>
    <t>1390.0</t>
  </si>
  <si>
    <t>0770.10mCISOrganizational.12</t>
  </si>
  <si>
    <t>0771.10mCISOrganizational.12</t>
  </si>
  <si>
    <t>1894.0</t>
  </si>
  <si>
    <t>0772.10mCISOrganizational.12</t>
  </si>
  <si>
    <t>1913.0</t>
  </si>
  <si>
    <t>0773.10mCISOrganizational.12</t>
  </si>
  <si>
    <t>1913.1</t>
  </si>
  <si>
    <t>0773.10mCISOrganizational.13</t>
  </si>
  <si>
    <t>1394.0</t>
  </si>
  <si>
    <t>0774.10mCISOrganizational.12</t>
  </si>
  <si>
    <t>0776.10mCISOrganizational.12</t>
  </si>
  <si>
    <t>1398.0</t>
  </si>
  <si>
    <t>0778.10m1Organizational.5</t>
  </si>
  <si>
    <t>The organization (1) regularly compares the results from consecutive vulnerability scans to verify that vulnerabilities have been remediated in a timely manner.</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</si>
  <si>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that the organization documents and tracks vulnerabilities identified through vulnerability scans. _x000D_
Select a sample of vulnerabilities identified through previous scans and confirm whether the vulnerability has been addressed or accepted by management. _x000D_
Further, select a sample of risks accepted by management and examine formal evidence that acceptance was reviewed on a periodic basis.</t>
  </si>
  <si>
    <r>
      <rPr>
        <b/>
        <sz val="10"/>
        <color theme="1"/>
        <rFont val="Arial"/>
        <family val="2"/>
      </rPr>
      <t>Evidence Test: Compliance Check (identified non-compliance)</t>
    </r>
    <r>
      <rPr>
        <sz val="10"/>
        <color theme="1"/>
        <rFont val="Arial"/>
        <family val="2"/>
      </rPr>
      <t xml:space="preserve">
- non-compliance is tracked
</t>
    </r>
    <r>
      <rPr>
        <b/>
        <sz val="10"/>
        <color theme="1"/>
        <rFont val="Arial"/>
        <family val="2"/>
      </rPr>
      <t>Sample Test:</t>
    </r>
    <r>
      <rPr>
        <sz val="10"/>
        <color theme="1"/>
        <rFont val="Arial"/>
        <family val="2"/>
      </rPr>
      <t xml:space="preserve">
- Test 116: Information Security (non-compliance identified during compliance check)</t>
    </r>
  </si>
  <si>
    <t>1405.0</t>
  </si>
  <si>
    <t>0779.10mFedRAMPOrganizational.1</t>
  </si>
  <si>
    <t>1406.0</t>
  </si>
  <si>
    <t>0780.10mFedRAMPOrganizational.2</t>
  </si>
  <si>
    <t>1407.0</t>
  </si>
  <si>
    <t>0781.10mFedRAMPOrganizational.3</t>
  </si>
  <si>
    <t>1408.0</t>
  </si>
  <si>
    <t>0782.10mFedRAMPOrganizational.4</t>
  </si>
  <si>
    <t>1409.0</t>
  </si>
  <si>
    <t>0783.10mFedRAMPOrganizational.5</t>
  </si>
  <si>
    <t>1410.0</t>
  </si>
  <si>
    <t>0784.10mFedRAMPOrganizational.6</t>
  </si>
  <si>
    <t>1412.0</t>
  </si>
  <si>
    <t>0785.10mFFIECISOrganizational.1</t>
  </si>
  <si>
    <t>1376.0</t>
  </si>
  <si>
    <t>0786.10m2Organizational.13</t>
  </si>
  <si>
    <t>1377.0</t>
  </si>
  <si>
    <t>0787.10m2Organizational.14</t>
  </si>
  <si>
    <t>1382.0</t>
  </si>
  <si>
    <t>0788.10m3Organizational.20</t>
  </si>
  <si>
    <t>1383.0</t>
  </si>
  <si>
    <t>0789.10m3Organizational.21</t>
  </si>
  <si>
    <t>1384.0</t>
  </si>
  <si>
    <t>0790.10m3Organizational.22</t>
  </si>
  <si>
    <t>1961.0</t>
  </si>
  <si>
    <t>07901.10mSROrganizational.1</t>
  </si>
  <si>
    <t>1268.0</t>
  </si>
  <si>
    <t>0791.10b2System.5</t>
  </si>
  <si>
    <t>0791.10mFedRAMPOrganizational.7</t>
  </si>
  <si>
    <t>08 Network Protection</t>
  </si>
  <si>
    <t>2396.0</t>
  </si>
  <si>
    <t>08.00aFedRAMPOrganizational.9</t>
  </si>
  <si>
    <t>2508.0</t>
  </si>
  <si>
    <t>08.00aNIST80053Organizational.27</t>
  </si>
  <si>
    <t>0120.0</t>
  </si>
  <si>
    <t>08.01iCMSOrganizational.2</t>
  </si>
  <si>
    <t>01.i Policy on the Use of Network Services</t>
  </si>
  <si>
    <t>2839.0</t>
  </si>
  <si>
    <t>08.01lFedRAMPOrganizational.4</t>
  </si>
  <si>
    <t>01.l Remote Diagnostic and Configuration Port Protection</t>
  </si>
  <si>
    <t>2680.0</t>
  </si>
  <si>
    <t>08.01mFTIOrganizational.7</t>
  </si>
  <si>
    <t>0166.0</t>
  </si>
  <si>
    <t>08.01mHICPOrganizational.2</t>
  </si>
  <si>
    <t>1901.0</t>
  </si>
  <si>
    <t>08.01mNIST80053Organizational.2</t>
  </si>
  <si>
    <t>1900.0</t>
  </si>
  <si>
    <t>08.01mNIST80053Organizational.3</t>
  </si>
  <si>
    <t>2492.0</t>
  </si>
  <si>
    <t>08.01nFedRAMPOrganizational.4</t>
  </si>
  <si>
    <t>2493.0</t>
  </si>
  <si>
    <t>08.01nFedRAMPOrganizational.5</t>
  </si>
  <si>
    <t>2906.0</t>
  </si>
  <si>
    <t>08.01nFFIECCATOrganizational.2</t>
  </si>
  <si>
    <t>2613.0</t>
  </si>
  <si>
    <t>08.01oCMSOrganizational.1</t>
  </si>
  <si>
    <t>01.o Network Routing Control</t>
  </si>
  <si>
    <t>2560.0</t>
  </si>
  <si>
    <t>08.01oFTIOrganizational.1</t>
  </si>
  <si>
    <t>2333.0</t>
  </si>
  <si>
    <t>08.01oHICPOrganizational.2</t>
  </si>
  <si>
    <t>1885.0</t>
  </si>
  <si>
    <t>08.01oHICPOrganizational.3</t>
  </si>
  <si>
    <t>2676.0</t>
  </si>
  <si>
    <t>08.01wFTISystem.4</t>
  </si>
  <si>
    <t>01.w Sensitive System Isolation</t>
  </si>
  <si>
    <t>2942.0</t>
  </si>
  <si>
    <t>08.01wNIST800172System.1</t>
  </si>
  <si>
    <t>2944.0</t>
  </si>
  <si>
    <t>08.01wNIST800172System.2</t>
  </si>
  <si>
    <t>2345.0</t>
  </si>
  <si>
    <t>08.09abHICPSystem.4</t>
  </si>
  <si>
    <t>2683.0</t>
  </si>
  <si>
    <t>08.09fTXRAMPSystem.2</t>
  </si>
  <si>
    <t>09.f Monitoring and Review of Third Party Services</t>
  </si>
  <si>
    <t>2362.0</t>
  </si>
  <si>
    <t>08.09m1Organizational.8</t>
  </si>
  <si>
    <t>The organization (1) prevents enterprise assets from accessing known malicious addresses and domains on the Internet (for example by means of browser configurations, DNS sinkholing, and/or use of a subscription service) — unless there is a clear, documented business need and the organization understands and accepts the associated risk.</t>
  </si>
  <si>
    <t>Examine evidence that all evaluative elements within the requirement statement have been implemented as defined in the HITRUST scoring rubric, using a sample based test where possible for each evaluative element._x000D_
_x000D_
_x000D_
Example test(s):_x000D_
For example, confirm that that the organization has implemented technical means to prevent enterprise assets from accessing known malicious addresses and domains on the Internet (for example by means of browser configurations, DNS sinkholing, and/or use of a subscription service).</t>
  </si>
  <si>
    <r>
      <rPr>
        <b/>
        <sz val="10"/>
        <color theme="1"/>
        <rFont val="Arial"/>
        <family val="2"/>
      </rPr>
      <t>Evidence Test: Internet Restriction</t>
    </r>
    <r>
      <rPr>
        <sz val="10"/>
        <color theme="1"/>
        <rFont val="Arial"/>
        <family val="2"/>
      </rPr>
      <t xml:space="preserve">
- prevent users from accessing unknown and/or malicious websites
</t>
    </r>
    <r>
      <rPr>
        <b/>
        <sz val="10"/>
        <color theme="1"/>
        <rFont val="Arial"/>
        <family val="2"/>
      </rPr>
      <t>Additional Information: Examples</t>
    </r>
    <r>
      <rPr>
        <sz val="10"/>
        <color theme="1"/>
        <rFont val="Arial"/>
        <family val="2"/>
      </rPr>
      <t xml:space="preserve">
- browser configuration
- DNS sink holing
- subscription services</t>
    </r>
  </si>
  <si>
    <t>0928.0</t>
  </si>
  <si>
    <t>08.09mCMSOrganizational.9</t>
  </si>
  <si>
    <t>2451.0</t>
  </si>
  <si>
    <t>08.09mFedRAMPOrganizational.5</t>
  </si>
  <si>
    <t>2905.0</t>
  </si>
  <si>
    <t>08.09mFFIECCATOrganizational.2</t>
  </si>
  <si>
    <t>2887.0</t>
  </si>
  <si>
    <t>08.09mFFIECCATOrganizational.3</t>
  </si>
  <si>
    <t>2586.0</t>
  </si>
  <si>
    <t>08.09mFTIOrganizational.13</t>
  </si>
  <si>
    <t>2502.0</t>
  </si>
  <si>
    <t>08.09mFTIOrganizational.7</t>
  </si>
  <si>
    <t>0940.0</t>
  </si>
  <si>
    <t>08.09mNIST80053Organizational.6</t>
  </si>
  <si>
    <t>0943.1</t>
  </si>
  <si>
    <t>08.09n2Organizational.8</t>
  </si>
  <si>
    <t>09.n Security of Network Services</t>
  </si>
  <si>
    <t>2592.0</t>
  </si>
  <si>
    <t>08.09nCMSOrganizational.3</t>
  </si>
  <si>
    <t>2591.0</t>
  </si>
  <si>
    <t>08.09nCMSOrganizational.5</t>
  </si>
  <si>
    <t>0996.0</t>
  </si>
  <si>
    <t>08.09nCMSOrganizational.6</t>
  </si>
  <si>
    <t>2418.0</t>
  </si>
  <si>
    <t>08.09nFedRAMPOrganizational.3</t>
  </si>
  <si>
    <t>2654.0</t>
  </si>
  <si>
    <t>08.09nFTIOrganizational.1</t>
  </si>
  <si>
    <t>2914.0</t>
  </si>
  <si>
    <t>08.09nStateRAMPOrganizational.1</t>
  </si>
  <si>
    <t>0116.0</t>
  </si>
  <si>
    <t>0801.01i2Organizational.3</t>
  </si>
  <si>
    <t>0117.0</t>
  </si>
  <si>
    <t>0802.01i1Organizational.2</t>
  </si>
  <si>
    <t>The organization: (1) determines who is allowed to access which network and networked services; (2) specifies the means that can be used to access networks and network services (e.g., the conditions for allowing access to a remote system); (3) at a minimum, manages all enterprise devices remotely logging into the internal network, with remote control of their configuration; (4) at a minimum, manages all enterprise devices remotely logging into the internal network, with installed software; (5) at a minimum, manages all enterprise devices remotely logging into the internal network, with patch levels; (6) publishes minimum security standards for access to the enterprise network by third-party devices (e.g., subcontractors/vendors); (7) performs a security scan before allowing access; (8) identifies the ports necessary for business and provides the rationale–or identifies compensating controls implemented–for those protocols to be non-secure; (9) identifies the services necessary for business and provides the rationale–or identifies compensating controls implemented–for those protocols to be non-secure; and (10) identifies the similar applications (e.g., protocols) necessary for business and provides the rationale–or identifies compensating controls implemented–for those protocols to be non-secure.</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</si>
  <si>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all checklists maintained by the organization that document who is allowed access to specific networks and network services; specify the means of access to the network and network services; identify ports, services, and similar applications (e.g., protocols) necessary for business; provide the rationale–or identify compensating controls implemented–for those protocols to be non-secure.</t>
  </si>
  <si>
    <r>
      <rPr>
        <b/>
        <sz val="10"/>
        <color theme="1"/>
        <rFont val="Arial"/>
        <family val="2"/>
      </rPr>
      <t>Evidence Test: Access Approval</t>
    </r>
    <r>
      <rPr>
        <sz val="10"/>
        <color theme="1"/>
        <rFont val="Arial"/>
        <family val="2"/>
      </rPr>
      <t xml:space="preserve">
- documented level of access individual requires
- documented how individual will access resources
- documented ports, services, application, etc. required for business
- documented rational for any non-secure protocols being used</t>
    </r>
  </si>
  <si>
    <t>0118.0</t>
  </si>
  <si>
    <t>0803.01i2Organizational.4</t>
  </si>
  <si>
    <t>0119.0</t>
  </si>
  <si>
    <t>0804.01i2Organizational.5</t>
  </si>
  <si>
    <t>0160.0</t>
  </si>
  <si>
    <t>0805.01m1Organizational.12</t>
  </si>
  <si>
    <t>0161.0</t>
  </si>
  <si>
    <t>0806.01m2Organizational.12356</t>
  </si>
  <si>
    <t>0169.0</t>
  </si>
  <si>
    <t>0807.01mCMSOrganizational.1</t>
  </si>
  <si>
    <t>1266.0</t>
  </si>
  <si>
    <t>0808.10b2System.3</t>
  </si>
  <si>
    <t>0178.0</t>
  </si>
  <si>
    <t>0809.01n2Organizational.1234</t>
  </si>
  <si>
    <t>0179.0</t>
  </si>
  <si>
    <t>0810.01n2Organizational.5</t>
  </si>
  <si>
    <t>0944.0</t>
  </si>
  <si>
    <t>08101.09m2Organizational.14</t>
  </si>
  <si>
    <t>0964.0</t>
  </si>
  <si>
    <t>08102.09mCISOrganizational.22</t>
  </si>
  <si>
    <t>0994.0</t>
  </si>
  <si>
    <t>08102.09nCSPOrganizational.1</t>
  </si>
  <si>
    <t>0187.0</t>
  </si>
  <si>
    <t>08103.01nCISOrganizational.1</t>
  </si>
  <si>
    <t>0982.0</t>
  </si>
  <si>
    <t>08105.09mHIXOrganizational.1</t>
  </si>
  <si>
    <t>0998.0</t>
  </si>
  <si>
    <t>08106.09nHIXOrganizational.2</t>
  </si>
  <si>
    <t>08107.01iFedRAMPOrganizational.2</t>
  </si>
  <si>
    <t>0183.0</t>
  </si>
  <si>
    <t>08108.01nCMSOrganizational.4</t>
  </si>
  <si>
    <t>0972.0</t>
  </si>
  <si>
    <t>08109.09mFedRAMPOrganizational.1</t>
  </si>
  <si>
    <t>0180.0</t>
  </si>
  <si>
    <t>0811.01n2Organizational.6</t>
  </si>
  <si>
    <t>0973.0</t>
  </si>
  <si>
    <t>08110.09mFedRAMPOrganizational.2</t>
  </si>
  <si>
    <t>0974.0</t>
  </si>
  <si>
    <t>08111.09mFedRAMPOrganizational.3</t>
  </si>
  <si>
    <t>0975.0</t>
  </si>
  <si>
    <t>08112.09mFedRAMPOrganizational.4</t>
  </si>
  <si>
    <t>0995.0</t>
  </si>
  <si>
    <t>08113.09nFedRAMPOrganizational.1</t>
  </si>
  <si>
    <t>1784.0</t>
  </si>
  <si>
    <t>08114.01wSRSystem.1</t>
  </si>
  <si>
    <t>08114.09nFedRAMPOrganizational.2</t>
  </si>
  <si>
    <t>0181.0</t>
  </si>
  <si>
    <t>0812.01n2Organizational.8</t>
  </si>
  <si>
    <t>0177.0</t>
  </si>
  <si>
    <t>0814.01n1Organizational.12</t>
  </si>
  <si>
    <t>0189.0</t>
  </si>
  <si>
    <t>0815.01o1Organizational.1</t>
  </si>
  <si>
    <t>The organization (1) ensures that security gateways (e.g., a firewall) are used to validate source and destination addresses at internal and external network control points. The organization (2) designs and implements network perimeters so that all outgoing network traffic to the Internet must pass through at least one application layer filtering proxy server. The proxy supports (3) decrypting network traffic, (4) logging individual TCP sessions, (5) blocking specific URLs, domain names, and IP addresses to implement a disallow list, or applying lists of allowed sites that can be accessed through the proxy while blocking all other sites. Organizations (6) force outbound traffic to the Internet through an authenticated proxy server on the enterprise perimeter. Internal directory services and internal IP addresses (7) are protected and hidden from any external access. Requirements for network routing control (8) are based on the access control policy.</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</si>
  <si>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firewalls and review the configuration settings appropriately to confirm that the firewall validates source/destination addresses. _x000D_
Further, confirm that additional controls are implemented such as a proxy server to support decryption of network traffic, logging individual TCP sessions, blocking specific URLs, domain names, and IP addresses to implement a disallow list, or applying lists of allowed sites that can be accessed through the proxy while blocking all other sites.</t>
  </si>
  <si>
    <r>
      <rPr>
        <b/>
        <sz val="10"/>
        <color theme="1"/>
        <rFont val="Arial"/>
        <family val="2"/>
      </rPr>
      <t>Evidence Test: NAT/Proxy</t>
    </r>
    <r>
      <rPr>
        <sz val="10"/>
        <color theme="1"/>
        <rFont val="Arial"/>
        <family val="2"/>
      </rPr>
      <t xml:space="preserve">
- supports network traffic decryption
- supports logging TCP sessions
- supports URL blocking
- supports DNS
- supports IP address whitelisting
</t>
    </r>
    <r>
      <rPr>
        <b/>
        <sz val="10"/>
        <color theme="1"/>
        <rFont val="Arial"/>
        <family val="2"/>
      </rPr>
      <t xml:space="preserve">
Sample Test:
</t>
    </r>
    <r>
      <rPr>
        <sz val="10"/>
        <color theme="1"/>
        <rFont val="Arial"/>
        <family val="2"/>
      </rPr>
      <t>- Test 180: Network Device (firewall)</t>
    </r>
  </si>
  <si>
    <t>0244.0</t>
  </si>
  <si>
    <t>0816.01w1System.1</t>
  </si>
  <si>
    <r>
      <rPr>
        <b/>
        <sz val="10"/>
        <color theme="1"/>
        <rFont val="Arial"/>
        <family val="2"/>
      </rPr>
      <t>Sample Test:</t>
    </r>
    <r>
      <rPr>
        <sz val="10"/>
        <color theme="1"/>
        <rFont val="Arial"/>
        <family val="2"/>
      </rPr>
      <t xml:space="preserve">
- Test 013: Application (classified sensitive)
- Test 164: Information System (system component classified as sensitive)</t>
    </r>
  </si>
  <si>
    <t>0245.0</t>
  </si>
  <si>
    <t>0817.01w2System.123</t>
  </si>
  <si>
    <t>2149.0</t>
  </si>
  <si>
    <t>08177.09abNYDOHSystem.4</t>
  </si>
  <si>
    <t>2150.0</t>
  </si>
  <si>
    <t>08178.09abNYDOHSystem.6</t>
  </si>
  <si>
    <t>2151.0</t>
  </si>
  <si>
    <t>08179.09afNYDOHSystem.1</t>
  </si>
  <si>
    <t>09.af Clock Synchronization</t>
  </si>
  <si>
    <t>0246.0</t>
  </si>
  <si>
    <t>0818.01w3System.12</t>
  </si>
  <si>
    <t>0927.0</t>
  </si>
  <si>
    <t>0819.09m2Organizational.11</t>
  </si>
  <si>
    <t>0927.1</t>
  </si>
  <si>
    <t>0819.09m2Organizational.15</t>
  </si>
  <si>
    <t>2167.0</t>
  </si>
  <si>
    <t>08195.09mNYDOHOrganizational.7</t>
  </si>
  <si>
    <t>2170.0</t>
  </si>
  <si>
    <t>08198.09mNYDOHOrganizational.7</t>
  </si>
  <si>
    <t>0933.0</t>
  </si>
  <si>
    <t>0820.01k1System.3</t>
  </si>
  <si>
    <t>01.k Equipment Identification in Networks</t>
  </si>
  <si>
    <t>The organization (1) uniquely identifies and authenticates network devices that require authentication mechanisms before establishing a connection. Network devices that require authentication mechanisms use (2) shared information (e.g., MAC or IP address) to control remote network access and (3) access control lists to control remote network access.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</si>
  <si>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all network devices are required to be uniquely identified and authenticated (e.g., static IP, MAC filtering, Active Directory) before connecting to the network. _x000D_
Further, examine evidence that access control lists are used to control remote network access.</t>
  </si>
  <si>
    <r>
      <rPr>
        <b/>
        <sz val="10"/>
        <color theme="1"/>
        <rFont val="Arial"/>
        <family val="2"/>
      </rPr>
      <t>Evidence Test: Network Device(s)</t>
    </r>
    <r>
      <rPr>
        <sz val="10"/>
        <color theme="1"/>
        <rFont val="Arial"/>
        <family val="2"/>
      </rPr>
      <t xml:space="preserve">
- uniquely identified and authenticated (IP, MAC, and/or AD)
- access control lists used to restrict remote access</t>
    </r>
  </si>
  <si>
    <t>0934.0</t>
  </si>
  <si>
    <t>0821.09m2Organizational.2</t>
  </si>
  <si>
    <t>0936.0</t>
  </si>
  <si>
    <t>0822.09m2Organizational.4</t>
  </si>
  <si>
    <t>0971.0</t>
  </si>
  <si>
    <t>0823.09mFACOrganizational.6</t>
  </si>
  <si>
    <t>0945.0</t>
  </si>
  <si>
    <t>0824.09m3Organizational.1</t>
  </si>
  <si>
    <t>0946.0</t>
  </si>
  <si>
    <t>0825.09m1Organizational.14</t>
  </si>
  <si>
    <t>Technical tools such as intrusion detection systems (IDS)/intrusion prevention systems (IPS) are implemented and operating at the (1) network perimeter and (2) key points within the network. Implemented and operating technical tools (3) include IDS and IPDS deployed on the wireless side of the firewall (WIDS). The IDS/IPS (4) is updated on a regular basis, including the engines, baselines and signatures.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</si>
  <si>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an IDS/IPS has been implemented and operating at the network perimeter and key points within the network, on the wireless side of the firewall. _x000D_
Further examine the configuration settings to confirm that rules have been implemented to monitor all traffic, detect attack attempts and successful compromises, and mitigate threats. _x000D_
Further examine the configuration settings to confirm that the IDS/IPS engines, baselines and signatures are updated on a regular basis.</t>
  </si>
  <si>
    <r>
      <rPr>
        <b/>
        <sz val="10"/>
        <color theme="1"/>
        <rFont val="Arial"/>
        <family val="2"/>
      </rPr>
      <t>Evidence Test: IDS/IPS</t>
    </r>
    <r>
      <rPr>
        <sz val="10"/>
        <color theme="1"/>
        <rFont val="Arial"/>
        <family val="2"/>
      </rPr>
      <t xml:space="preserve">
- implemented at network perimeter
- implemented on wireless side of firewall
- configured to monitor traffic
- configured to detect attacks
- configured to alert/mitigate threats
- configured to update engines/baseline/signatures regularly</t>
    </r>
  </si>
  <si>
    <t>0947.0</t>
  </si>
  <si>
    <t>0826.09m3Organizational.45</t>
  </si>
  <si>
    <t>0948.0</t>
  </si>
  <si>
    <t>0827.09m3Organizational.6</t>
  </si>
  <si>
    <t>0950.0</t>
  </si>
  <si>
    <t>0828.09m2Organizational.8</t>
  </si>
  <si>
    <t>0951.0</t>
  </si>
  <si>
    <t>0829.09m3Organizational.911</t>
  </si>
  <si>
    <t>0952.0</t>
  </si>
  <si>
    <t>0830.09m3Organizational.1012</t>
  </si>
  <si>
    <t>2281.0</t>
  </si>
  <si>
    <t>08308.00aNIST80053Organizational.7</t>
  </si>
  <si>
    <t>0953.0</t>
  </si>
  <si>
    <t>0832.09m3Organizational.14</t>
  </si>
  <si>
    <t>0249.0</t>
  </si>
  <si>
    <t>0833.01wFTISystem.4</t>
  </si>
  <si>
    <t>0250.0</t>
  </si>
  <si>
    <t>0834.01wFTISystem.4</t>
  </si>
  <si>
    <t>0985.0</t>
  </si>
  <si>
    <t>0835.09n1Organizational.1</t>
  </si>
  <si>
    <t>0986.0</t>
  </si>
  <si>
    <t>0836.09n2Organizational.1</t>
  </si>
  <si>
    <t>0987.0</t>
  </si>
  <si>
    <t>0837.09n2Organizational.2</t>
  </si>
  <si>
    <r>
      <rPr>
        <b/>
        <sz val="10"/>
        <color theme="1"/>
        <rFont val="Arial"/>
        <family val="2"/>
      </rPr>
      <t>Sample Test:</t>
    </r>
    <r>
      <rPr>
        <sz val="10"/>
        <color theme="1"/>
        <rFont val="Arial"/>
        <family val="2"/>
      </rPr>
      <t xml:space="preserve">
- Test 069: External Entity (third party information exchange)</t>
    </r>
  </si>
  <si>
    <t>0175.0</t>
  </si>
  <si>
    <t>0844.01mFTIOrganizational.7</t>
  </si>
  <si>
    <t>0176.0</t>
  </si>
  <si>
    <t>0845.01mHIXOrganizational.1</t>
  </si>
  <si>
    <t>0182.0</t>
  </si>
  <si>
    <t>0846.01nCMSOrganizational.1</t>
  </si>
  <si>
    <t>0185.0</t>
  </si>
  <si>
    <t>0848.01nFTIOrganizational.2</t>
  </si>
  <si>
    <t>2022.0</t>
  </si>
  <si>
    <t>0853.01w3System.3</t>
  </si>
  <si>
    <t>0247.0</t>
  </si>
  <si>
    <t>0854.01wCMSSystem.3</t>
  </si>
  <si>
    <t>0248.0</t>
  </si>
  <si>
    <t>0855.01wCMSSystem.3</t>
  </si>
  <si>
    <t>0251.0</t>
  </si>
  <si>
    <t>0856.01wFTISystem.4</t>
  </si>
  <si>
    <t>0252.0</t>
  </si>
  <si>
    <t>0857.01wHIXSystem.2</t>
  </si>
  <si>
    <t>0858.09m2Organizational.12</t>
  </si>
  <si>
    <t>0931.0</t>
  </si>
  <si>
    <t>0859.09m2Organizational.13</t>
  </si>
  <si>
    <t>0932.0</t>
  </si>
  <si>
    <t>0860.09m2Organizational.14</t>
  </si>
  <si>
    <t>0938.0</t>
  </si>
  <si>
    <t>0861.09m2Organizational.67</t>
  </si>
  <si>
    <t>0939.0</t>
  </si>
  <si>
    <t>0862.09m2Organizational.8</t>
  </si>
  <si>
    <t>0863.09m2Organizational.910</t>
  </si>
  <si>
    <t>0942.0</t>
  </si>
  <si>
    <t>0864.09m2Organizational.12</t>
  </si>
  <si>
    <t>0865.09m2Organizational.14</t>
  </si>
  <si>
    <t>0954.0</t>
  </si>
  <si>
    <t>0866.09m3Organizational.1516</t>
  </si>
  <si>
    <t>0955.0</t>
  </si>
  <si>
    <t>0867.09m3Organizational.17</t>
  </si>
  <si>
    <t>0956.0</t>
  </si>
  <si>
    <t>0868.09m3Organizational.18</t>
  </si>
  <si>
    <t>0957.0</t>
  </si>
  <si>
    <t>0869.09m3Organizational.19</t>
  </si>
  <si>
    <t>0958.0</t>
  </si>
  <si>
    <t>0870.09m3Organizational.20</t>
  </si>
  <si>
    <t>0959.0</t>
  </si>
  <si>
    <t>0871.09m3Organizational.22</t>
  </si>
  <si>
    <t>0966.0</t>
  </si>
  <si>
    <t>0873.09mCMSOrganizational.2</t>
  </si>
  <si>
    <t>0967.0</t>
  </si>
  <si>
    <t>0874.09mCMSOrganizational.3</t>
  </si>
  <si>
    <t>0968.0</t>
  </si>
  <si>
    <t>0875.09mCMSOrganizational.4</t>
  </si>
  <si>
    <t>0969.0</t>
  </si>
  <si>
    <t>0876.09mCMSOrganizational.5</t>
  </si>
  <si>
    <t>0970.0</t>
  </si>
  <si>
    <t>0877.09mFACOrganizational.2</t>
  </si>
  <si>
    <t>0977.0</t>
  </si>
  <si>
    <t>0879.09mFTIOrganizational.2</t>
  </si>
  <si>
    <t>0978.0</t>
  </si>
  <si>
    <t>0880.09mFTIOrganizational.36</t>
  </si>
  <si>
    <t>0983.0</t>
  </si>
  <si>
    <t>0883.09mPCIOrganizational.1</t>
  </si>
  <si>
    <t>0984.0</t>
  </si>
  <si>
    <t>0884.09mPCIOrganizational.2</t>
  </si>
  <si>
    <t>0988.0</t>
  </si>
  <si>
    <t>0885.09n2Organizational.3</t>
  </si>
  <si>
    <t>0989.0</t>
  </si>
  <si>
    <t>0886.09n2Organizational.4</t>
  </si>
  <si>
    <t>0990.0</t>
  </si>
  <si>
    <t>0887.09n2Organizational.5</t>
  </si>
  <si>
    <t>0991.0</t>
  </si>
  <si>
    <t>0888.09n2Organizational.6</t>
  </si>
  <si>
    <t>0992.0</t>
  </si>
  <si>
    <t>0889.09nCMSOrganizational.1</t>
  </si>
  <si>
    <t>0993.0</t>
  </si>
  <si>
    <t>0890.09nCMSOrganizational.2</t>
  </si>
  <si>
    <t>0997.0</t>
  </si>
  <si>
    <t>0891.09nHIXOrganizational.1</t>
  </si>
  <si>
    <t>0163.0</t>
  </si>
  <si>
    <t>0892.01mCISOrganizational.3</t>
  </si>
  <si>
    <t>1960.0</t>
  </si>
  <si>
    <t>08920.09abNIST80053System.2</t>
  </si>
  <si>
    <t>1958.0</t>
  </si>
  <si>
    <t>08923.09mNIST80053Organizational.2</t>
  </si>
  <si>
    <t>0893.01mCISOrganizational.4</t>
  </si>
  <si>
    <t>0162.0</t>
  </si>
  <si>
    <t>0894.01m2Organizational.7</t>
  </si>
  <si>
    <t>1980.0</t>
  </si>
  <si>
    <t>08946.01oNIST80053Organizational.1</t>
  </si>
  <si>
    <t>0165.0</t>
  </si>
  <si>
    <t>0895.01mCISOrganizational.8</t>
  </si>
  <si>
    <t>1991.0</t>
  </si>
  <si>
    <t>08951.09mCSR002Organizational.1</t>
  </si>
  <si>
    <t>1992.0</t>
  </si>
  <si>
    <t>08952.09mCSR002Organizational.2</t>
  </si>
  <si>
    <t>1993.0</t>
  </si>
  <si>
    <t>08955.09mCSR002Organizational.4</t>
  </si>
  <si>
    <t>1994.0</t>
  </si>
  <si>
    <t>08956.09mCSR002Organizational.5</t>
  </si>
  <si>
    <t>1981.0</t>
  </si>
  <si>
    <t>08958.01oCSR002Organizational.2</t>
  </si>
  <si>
    <t>1995.0</t>
  </si>
  <si>
    <t>08959.09mCSR002Organizational.8</t>
  </si>
  <si>
    <t>0896.01mCISOrganizational.9</t>
  </si>
  <si>
    <t>1996.0</t>
  </si>
  <si>
    <t>08960.09mCSR002Organizational.8</t>
  </si>
  <si>
    <t>0167.0</t>
  </si>
  <si>
    <t>0897.01mCISOrganizational.10</t>
  </si>
  <si>
    <t>2050.0</t>
  </si>
  <si>
    <t>08977.01nNYDOHOrganizational.4</t>
  </si>
  <si>
    <t>0899.01oCISOrganizational.4</t>
  </si>
  <si>
    <t>09 Transmission Protection</t>
  </si>
  <si>
    <t>2332.0</t>
  </si>
  <si>
    <t>09.01qHICPSystem.1</t>
  </si>
  <si>
    <t>01.q User Identification and Authentication</t>
  </si>
  <si>
    <t>2556.0</t>
  </si>
  <si>
    <t>09.09mFTIOrganizational.10</t>
  </si>
  <si>
    <t>2557.0</t>
  </si>
  <si>
    <t>09.09mFTIOrganizational.11</t>
  </si>
  <si>
    <t>2561.0</t>
  </si>
  <si>
    <t>09.09mFTIOrganizational.12</t>
  </si>
  <si>
    <t>2599.0</t>
  </si>
  <si>
    <t>09.09mFTIOrganizational.14</t>
  </si>
  <si>
    <t>2331.0</t>
  </si>
  <si>
    <t>09.09mHICPOrganizational.4</t>
  </si>
  <si>
    <t>0941.0</t>
  </si>
  <si>
    <t>09.09mNIST80053Organizational.7</t>
  </si>
  <si>
    <t>0961.0</t>
  </si>
  <si>
    <t>09.09mNIST80053Organizational.8</t>
  </si>
  <si>
    <t>1907.0</t>
  </si>
  <si>
    <t>09.09mNIST80053Organizational.9</t>
  </si>
  <si>
    <t>1058.0</t>
  </si>
  <si>
    <t>09.09o2Organizational.4</t>
  </si>
  <si>
    <t>3000.0</t>
  </si>
  <si>
    <t>09.09sAISecOrganizational.1</t>
  </si>
  <si>
    <t>Communication channels between the AI model and the interface responsible for displaying the AI model's outputs (e.g., the AI application interface) are |encrypted using secure protocols (e.g., TLS).||</t>
  </si>
  <si>
    <t>Examine evidence that all evaluative elements within the requirement statement have been implemented as defined in the HITRUST scoring rubric, using a sample based test where possible for each evaluative element.
Example test(s):
For example, review configurations to confirm communication channel(s) between the AI model and the interface responsible for displaying the AI model’s outputs (e.g., the AI application interface) are encrypted using secure protocols (e.g., TLS).</t>
  </si>
  <si>
    <r>
      <rPr>
        <b/>
        <sz val="10"/>
        <color theme="1"/>
        <rFont val="Arial"/>
        <family val="2"/>
      </rPr>
      <t>Evidence Test: Artificial Intelligence (encryption)</t>
    </r>
    <r>
      <rPr>
        <sz val="10"/>
        <color theme="1"/>
        <rFont val="Arial"/>
        <family val="2"/>
      </rPr>
      <t xml:space="preserve">
- encryption implemented between artificial intelligence model and output interface</t>
    </r>
  </si>
  <si>
    <t>2187.0</t>
  </si>
  <si>
    <t>09.09sFTIOrganizational.5</t>
  </si>
  <si>
    <t>1054.0</t>
  </si>
  <si>
    <t>09.09sNIST80053Organizational.6</t>
  </si>
  <si>
    <t>1051.0</t>
  </si>
  <si>
    <t>09.09sNIST80053Organizational.7</t>
  </si>
  <si>
    <t>2365.0</t>
  </si>
  <si>
    <t>09.09v1Organizational.7</t>
  </si>
  <si>
    <t>09.v Electronic Messaging</t>
  </si>
  <si>
    <t>The organization uses an email filtering solution to recognize and block (1) suspicious emails and (2) unnecessary file types before they reach employee inboxes.</t>
  </si>
  <si>
    <t>Examine evidence that all evaluative elements within the requirement statement have been implemented as defined in the HITRUST scoring rubric, using a sample based test where possible for each evaluative element._x000D_
_x000D_
_x000D_
Example test(s):_x000D_
For example, confirm that the organization has implemented an email filtering solution to recognize and block _x000D_
suspicious emails _x000D_
and unnecessary file types _x000D_
before they reach employee inboxes.</t>
  </si>
  <si>
    <r>
      <rPr>
        <b/>
        <sz val="10"/>
        <color theme="1"/>
        <rFont val="Arial"/>
        <family val="2"/>
      </rPr>
      <t>Evidence Test: Email Filtering</t>
    </r>
    <r>
      <rPr>
        <sz val="10"/>
        <color theme="1"/>
        <rFont val="Arial"/>
        <family val="2"/>
      </rPr>
      <t xml:space="preserve">
- configured to block suspicious emails
- configured to block unnecessary attachments</t>
    </r>
  </si>
  <si>
    <t>2626.0</t>
  </si>
  <si>
    <t>09.09vFTIOrganizational.4</t>
  </si>
  <si>
    <t>2330.1</t>
  </si>
  <si>
    <t>09.09vHICPOrganizational.2</t>
  </si>
  <si>
    <t>2648.0</t>
  </si>
  <si>
    <t>09.09wFTIOrganizational.1</t>
  </si>
  <si>
    <t>09.w Interconnected Business Information Systems</t>
  </si>
  <si>
    <t>2675.0</t>
  </si>
  <si>
    <t>09.09wFTIOrganizational.2</t>
  </si>
  <si>
    <t>1084.0</t>
  </si>
  <si>
    <t>09.09x2Organizational.4</t>
  </si>
  <si>
    <t>09.x Electronic Commerce Services</t>
  </si>
  <si>
    <t>2559.0</t>
  </si>
  <si>
    <t>09.09yFTIOrganizational.5</t>
  </si>
  <si>
    <t>09.y On-line Transactions</t>
  </si>
  <si>
    <t>2312.0</t>
  </si>
  <si>
    <t>09.09yNIST80053Organizational.2</t>
  </si>
  <si>
    <t>1100.0</t>
  </si>
  <si>
    <t>09.09yNIST80053Organizational.3</t>
  </si>
  <si>
    <t>2973.0</t>
  </si>
  <si>
    <t>09.09yOWASPOrganizational.1</t>
  </si>
  <si>
    <t>2484.0</t>
  </si>
  <si>
    <t>09.10dFedRAMPSystem.1</t>
  </si>
  <si>
    <t>10.d Message Integrity</t>
  </si>
  <si>
    <t>2635.0</t>
  </si>
  <si>
    <t>09.10dFTISystem.1</t>
  </si>
  <si>
    <t>2651.0</t>
  </si>
  <si>
    <t>09.10dFTISystem.2</t>
  </si>
  <si>
    <t>09.10dFTISystem.4</t>
  </si>
  <si>
    <t>2335.0</t>
  </si>
  <si>
    <t>09.10dHICPSystem.1</t>
  </si>
  <si>
    <t>2339.0</t>
  </si>
  <si>
    <t>09.10dHICPSystem.2</t>
  </si>
  <si>
    <t>2468.0</t>
  </si>
  <si>
    <t>09.10gCMSOrganizational.2</t>
  </si>
  <si>
    <t>10.g Key Management</t>
  </si>
  <si>
    <t>09.10gFedRAMPOrganizational.2</t>
  </si>
  <si>
    <t>2564.0</t>
  </si>
  <si>
    <t>09.10gFTIOrganizational.1</t>
  </si>
  <si>
    <t>2652.0</t>
  </si>
  <si>
    <t>09.10gFTIOrganizational.2</t>
  </si>
  <si>
    <t>1299.0</t>
  </si>
  <si>
    <t>09.10gNIST80053Organizational.2</t>
  </si>
  <si>
    <t>2844.0</t>
  </si>
  <si>
    <t>09.10gPCIOrganizational.2</t>
  </si>
  <si>
    <t>2845.0</t>
  </si>
  <si>
    <t>09.10gPCIOrganizational.3</t>
  </si>
  <si>
    <t>0901.09s2Organizational.5</t>
  </si>
  <si>
    <t>1057.0</t>
  </si>
  <si>
    <t>0902.09s2Organizational.13</t>
  </si>
  <si>
    <t>1289.0</t>
  </si>
  <si>
    <t>0903.10f1Organizational.1</t>
  </si>
  <si>
    <t>1290.0</t>
  </si>
  <si>
    <t>0904.10f2Organizational.1</t>
  </si>
  <si>
    <t>1293.0</t>
  </si>
  <si>
    <t>0905.10g1Organizational.12</t>
  </si>
  <si>
    <t>All cryptographic keys (1) are protected against modification, loss, and destruction. Secret/private keys, including split-keys, (2) are protected against unauthorized disclosure. Equipment used to generate, store, and archive keys (3) is physically protected.</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</si>
  <si>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system configuration files to verify that keys are stored in encrypted format and that key-encrypting keys are stored separately from data-encrypting keys. _x000D_
Further, examine physical and logical access controls to systems storing encryption keys and examine evidence to confirm that the systems are physically secure and that appropriate access controls have been implemented to restrict access. _x000D_
Select a sample of users with access to the key management system and confirm that their assigned access rights are appropriate.</t>
  </si>
  <si>
    <r>
      <rPr>
        <b/>
        <sz val="10"/>
        <color theme="1"/>
        <rFont val="Arial"/>
        <family val="2"/>
      </rPr>
      <t>Evidence Test: Encryption Key(s)</t>
    </r>
    <r>
      <rPr>
        <sz val="10"/>
        <color theme="1"/>
        <rFont val="Arial"/>
        <family val="2"/>
      </rPr>
      <t xml:space="preserve">
- stored in encrypted format
- key-encrypting key stored separately
- logical access restricted to system(s)
- physical access restricted to system(s)
</t>
    </r>
    <r>
      <rPr>
        <b/>
        <sz val="10"/>
        <color theme="1"/>
        <rFont val="Arial"/>
        <family val="2"/>
      </rPr>
      <t>Sample Test:</t>
    </r>
    <r>
      <rPr>
        <sz val="10"/>
        <color theme="1"/>
        <rFont val="Arial"/>
        <family val="2"/>
      </rPr>
      <t xml:space="preserve">
- Test 189: Workforce Member (access to encryption keys)</t>
    </r>
  </si>
  <si>
    <t>1295.0</t>
  </si>
  <si>
    <t>0906.10g2Organizational.13</t>
  </si>
  <si>
    <t>1296.0</t>
  </si>
  <si>
    <t>0907.10g2Organizational.2</t>
  </si>
  <si>
    <t>1297.0</t>
  </si>
  <si>
    <t>0908.10g2Organizational.4</t>
  </si>
  <si>
    <t>1052.0</t>
  </si>
  <si>
    <t>0911.09s2Organizational.6</t>
  </si>
  <si>
    <t>0912.09s2Organizational.7</t>
  </si>
  <si>
    <t>1055.0</t>
  </si>
  <si>
    <t>0913.09s1Organizational.5</t>
  </si>
  <si>
    <t>1056.0</t>
  </si>
  <si>
    <t>0914.09s2Organizational.8</t>
  </si>
  <si>
    <t>0915.09s2Organizational.2</t>
  </si>
  <si>
    <t>1059.0</t>
  </si>
  <si>
    <t>0916.09s2Organizational.4</t>
  </si>
  <si>
    <t>1060.0</t>
  </si>
  <si>
    <t>0917.09sCMSOrganizational.1</t>
  </si>
  <si>
    <t>1061.0</t>
  </si>
  <si>
    <t>0918.09sCMSOrganizational.2</t>
  </si>
  <si>
    <t>1062.0</t>
  </si>
  <si>
    <t>0919.09sCMSOrganizational.34</t>
  </si>
  <si>
    <t>2168.0</t>
  </si>
  <si>
    <t>09196.09mNYDOHOrganizational.7</t>
  </si>
  <si>
    <t>2169.0</t>
  </si>
  <si>
    <t>09197.09mNYDOHOrganizational.7</t>
  </si>
  <si>
    <t>1065.0</t>
  </si>
  <si>
    <t>0920.09sFTIOrganizational.1</t>
  </si>
  <si>
    <t>2178.0</t>
  </si>
  <si>
    <t>09206.09sNYDOHOrganizational.10</t>
  </si>
  <si>
    <t>2179.0</t>
  </si>
  <si>
    <t>09207.09sNYDOHOrganizational.10</t>
  </si>
  <si>
    <t>1066.0</t>
  </si>
  <si>
    <t>0921.09sFTIOrganizational.2</t>
  </si>
  <si>
    <t>2182.0</t>
  </si>
  <si>
    <t>09210.09sNYDOHOrganizational.5</t>
  </si>
  <si>
    <t>2183.0</t>
  </si>
  <si>
    <t>09211.09sNYDOHOrganizational.6</t>
  </si>
  <si>
    <t>2184.0</t>
  </si>
  <si>
    <t>09212.09sNYDOHOrganizational.7</t>
  </si>
  <si>
    <t>2185.0</t>
  </si>
  <si>
    <t>09213.09sNYDOHOrganizational.8</t>
  </si>
  <si>
    <t>2186.0</t>
  </si>
  <si>
    <t>09214.09sNYDOHOrganizational.9</t>
  </si>
  <si>
    <t>09215.09sNYDOHOrganizational.10</t>
  </si>
  <si>
    <t>2190.0</t>
  </si>
  <si>
    <t>09218.09vNYDOHOrganizational.1</t>
  </si>
  <si>
    <t>1067.0</t>
  </si>
  <si>
    <t>0922.09sFTIOrganizational.3</t>
  </si>
  <si>
    <t>2199.0</t>
  </si>
  <si>
    <t>09227.10fNYDOHOrganizational.1</t>
  </si>
  <si>
    <t>1070.0</t>
  </si>
  <si>
    <t>0923.09sHIXOrganizational.1</t>
  </si>
  <si>
    <t>1071.0</t>
  </si>
  <si>
    <t>0924.09sHIXOrganizational.2</t>
  </si>
  <si>
    <t>1037.0</t>
  </si>
  <si>
    <t>0925.09v2Organizational.2</t>
  </si>
  <si>
    <t>1038.0</t>
  </si>
  <si>
    <t>0926.09v2Organizational.3</t>
  </si>
  <si>
    <t>1039.0</t>
  </si>
  <si>
    <t>0927.09v2Organizational.4</t>
  </si>
  <si>
    <t>1040.0</t>
  </si>
  <si>
    <t>0928.09v2Organizational.1</t>
  </si>
  <si>
    <t>1041.0</t>
  </si>
  <si>
    <t>0929.09v2Organizational.5</t>
  </si>
  <si>
    <t>1043.0</t>
  </si>
  <si>
    <t>0930.09vFTIOrganizational.1</t>
  </si>
  <si>
    <t>0886.1</t>
  </si>
  <si>
    <t>0931.09v1Organizational.8</t>
  </si>
  <si>
    <t>The organization has (1) implemented Sender Policy Framework (SPF) by deploying SPF records in DNS, (2) enabled receiver-side verification in mail servers to lower the chance of spoofed email messages, (3) implemented DomainKeys Identified Mail (DKIM) to allow receiving servers to verify that email messages actually came from the organization, and (4) implemented Domain-based Message Authentication, Reporting and Conformance (DMARC) to tell receiving servers to either quarantine or reject emails from the organization that don’t pass SPF or DKIM.</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</si>
  <si>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examine the DNS zone file and confirm if a SPF record exists. Review the SPF record and confirm that the record specifies a list of authorized host names/IP addresses that mail can originate from for a given domain name. _x000D_
Further, examine configurations to confirm that DKIM is implemented. _x000D_
Further, confirm that DMARC is implemented and configured to tell receiving servers to either quarantine or reject emails from the organization that don’t pass SPF or DKIM.</t>
  </si>
  <si>
    <r>
      <rPr>
        <b/>
        <sz val="10"/>
        <color theme="1"/>
        <rFont val="Arial"/>
        <family val="2"/>
      </rPr>
      <t>Evidence Test: Sender Policy Framework (SPF)</t>
    </r>
    <r>
      <rPr>
        <sz val="10"/>
        <color theme="1"/>
        <rFont val="Arial"/>
        <family val="2"/>
      </rPr>
      <t xml:space="preserve">
- configured to prevent email spoofing
</t>
    </r>
    <r>
      <rPr>
        <b/>
        <sz val="10"/>
        <color theme="1"/>
        <rFont val="Arial"/>
        <family val="2"/>
      </rPr>
      <t>Evidence Test: DomainKeys Identified Mail (DKIM)</t>
    </r>
    <r>
      <rPr>
        <sz val="10"/>
        <color theme="1"/>
        <rFont val="Arial"/>
        <family val="2"/>
      </rPr>
      <t xml:space="preserve">
- configured to confirm origin of email
</t>
    </r>
    <r>
      <rPr>
        <b/>
        <sz val="10"/>
        <color theme="1"/>
        <rFont val="Arial"/>
        <family val="2"/>
      </rPr>
      <t>Evidence Test: Domain-Based Message Authentication, Reporting, &amp; Conformance (DMARC)</t>
    </r>
    <r>
      <rPr>
        <sz val="10"/>
        <color theme="1"/>
        <rFont val="Arial"/>
        <family val="2"/>
      </rPr>
      <t xml:space="preserve">
- configured to quarantine or reject emails that do not pass SPF and/or DKIM</t>
    </r>
  </si>
  <si>
    <t>1044.0</t>
  </si>
  <si>
    <t>0931.09vFTIOrganizational.2</t>
  </si>
  <si>
    <t>1045.0</t>
  </si>
  <si>
    <t>0932.09vFTIOrganizational.3</t>
  </si>
  <si>
    <t>1047.0</t>
  </si>
  <si>
    <t>0934.09w2Organizational.12</t>
  </si>
  <si>
    <t>1048.0</t>
  </si>
  <si>
    <t>0935.09w2Organizational.3</t>
  </si>
  <si>
    <t>1049.1</t>
  </si>
  <si>
    <t>0936.09w1Organizational.1</t>
  </si>
  <si>
    <t>A security baseline is (1) documented and (2) implemented for interconnected systems.</t>
  </si>
  <si>
    <t>Examine evidence that all evaluative elements within the requirement statement have been implemented as defined in the HITRUST scoring rubric, using a sample based test where possible for each evaluative element._x000D_
_x000D_
_x000D_
Example test(s):_x000D_
For example, confirm the existence of a documented security baseline for interconnected systems. _x000D_
Select a sample of interconnected systems and confirm they have been configured in accordance with the organization\'s security baseline for interconnected systems.</t>
  </si>
  <si>
    <r>
      <rPr>
        <b/>
        <sz val="10"/>
        <color theme="1"/>
        <rFont val="Arial"/>
        <family val="2"/>
      </rPr>
      <t>Evidence Test: Interconnected System(s)</t>
    </r>
    <r>
      <rPr>
        <sz val="10"/>
        <color theme="1"/>
        <rFont val="Arial"/>
        <family val="2"/>
      </rPr>
      <t xml:space="preserve">
- documented security baseline
</t>
    </r>
    <r>
      <rPr>
        <b/>
        <sz val="10"/>
        <color theme="1"/>
        <rFont val="Arial"/>
        <family val="2"/>
      </rPr>
      <t>Sample Test:</t>
    </r>
    <r>
      <rPr>
        <sz val="10"/>
        <color theme="1"/>
        <rFont val="Arial"/>
        <family val="2"/>
      </rPr>
      <t xml:space="preserve">
- Test 217: Information Security (Interconnected System)
</t>
    </r>
    <r>
      <rPr>
        <b/>
        <sz val="10"/>
        <color theme="1"/>
        <rFont val="Arial"/>
        <family val="2"/>
      </rPr>
      <t>Additional Information: Definition</t>
    </r>
    <r>
      <rPr>
        <sz val="10"/>
        <color theme="1"/>
        <rFont val="Arial"/>
        <family val="2"/>
      </rPr>
      <t xml:space="preserve">
- Interconnected System(s): A direct connection between two or more systems in different authorization boundaries for the purpose of exchanging information and/or allowing access to information, information services, and resources.</t>
    </r>
  </si>
  <si>
    <t>1050.0</t>
  </si>
  <si>
    <t>0937.09w2Organizational.5</t>
  </si>
  <si>
    <t>0938.09x2Organizational.4</t>
  </si>
  <si>
    <t>1085.0</t>
  </si>
  <si>
    <t>0939.09x1Organizational.2</t>
  </si>
  <si>
    <t>1086.0</t>
  </si>
  <si>
    <t>0940.09x2Organizational.3</t>
  </si>
  <si>
    <t>1087.0</t>
  </si>
  <si>
    <t>0941.09x2Organizational.4</t>
  </si>
  <si>
    <t>1088.0</t>
  </si>
  <si>
    <t>0942.09x2Organizational.5</t>
  </si>
  <si>
    <t>1090.0</t>
  </si>
  <si>
    <t>0943.09y2Organizational.5</t>
  </si>
  <si>
    <t>1091.0</t>
  </si>
  <si>
    <t>0944.09y2Organizational.6</t>
  </si>
  <si>
    <t>1092.0</t>
  </si>
  <si>
    <t>0945.09y1Organizational.3</t>
  </si>
  <si>
    <r>
      <rPr>
        <b/>
        <sz val="10"/>
        <color theme="1"/>
        <rFont val="Arial"/>
        <family val="2"/>
      </rPr>
      <t>Evidence Test: Online Transaction(s)</t>
    </r>
    <r>
      <rPr>
        <sz val="10"/>
        <color theme="1"/>
        <rFont val="Arial"/>
        <family val="2"/>
      </rPr>
      <t xml:space="preserve">
- secure protocol used
- encryption enabled
</t>
    </r>
    <r>
      <rPr>
        <b/>
        <sz val="10"/>
        <color theme="1"/>
        <rFont val="Arial"/>
        <family val="2"/>
      </rPr>
      <t>Additional Information: Examples</t>
    </r>
    <r>
      <rPr>
        <sz val="10"/>
        <color theme="1"/>
        <rFont val="Arial"/>
        <family val="2"/>
      </rPr>
      <t xml:space="preserve">
- TLS
- IPsec VPN
- MPLS
- SFTP</t>
    </r>
  </si>
  <si>
    <t>1093.0</t>
  </si>
  <si>
    <t>0946.09y2Organizational.14</t>
  </si>
  <si>
    <t>1094.0</t>
  </si>
  <si>
    <t>0947.09y2Organizational.2</t>
  </si>
  <si>
    <t>1095.0</t>
  </si>
  <si>
    <t>0948.09y2Organizational.3</t>
  </si>
  <si>
    <t>1096.0</t>
  </si>
  <si>
    <t>0949.09y3Organizational.1</t>
  </si>
  <si>
    <t>1097.0</t>
  </si>
  <si>
    <t>0950.09yFTIOrganizational.12</t>
  </si>
  <si>
    <t>0953.09yFTIOrganizational.6</t>
  </si>
  <si>
    <t>1285.0</t>
  </si>
  <si>
    <t>0954.10d1System.1</t>
  </si>
  <si>
    <t>The information system (1) provides mechanisms to protect the authenticity of communications sessions.</t>
  </si>
  <si>
    <t>Examine evidence that all evaluative elements within the requirement statement have been implemented as defined in the HITRUST scoring rubric, using a sample based test where possible for each evaluative element._x000D_
_x000D_
_x000D_
Example test(s):_x000D_
For example, 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Examine evidence to confirm that the information system provides mechanisms (e.g., encryption, client-side defenses, session expiration) to protect the authenticity of communications session, for example, protecting against man-in-the-middle attacks/session hijacking and the insertion of false information into sessions.</t>
  </si>
  <si>
    <t>1286.0</t>
  </si>
  <si>
    <t>0955.10d2System.1</t>
  </si>
  <si>
    <t>0957.09mCISOrganizational.15</t>
  </si>
  <si>
    <t>0958.09mCISOrganizational.16</t>
  </si>
  <si>
    <t>0963.0</t>
  </si>
  <si>
    <t>0959.09mCISOrganizational.17</t>
  </si>
  <si>
    <t>1063.0</t>
  </si>
  <si>
    <t>0960.09sCSPOrganizational.1</t>
  </si>
  <si>
    <t>1042.0</t>
  </si>
  <si>
    <t>0961.09v2Organizational.6</t>
  </si>
  <si>
    <t>1294.0</t>
  </si>
  <si>
    <t>0961.10g2Organizational.4</t>
  </si>
  <si>
    <t>1292.0</t>
  </si>
  <si>
    <t>0962.10fPCIOrganizational.1</t>
  </si>
  <si>
    <t>1291.0</t>
  </si>
  <si>
    <t>0963.10fCFRPart11Organizational.1</t>
  </si>
  <si>
    <t>0964.10gFedRAMPOrganizational.1</t>
  </si>
  <si>
    <t>1068.0</t>
  </si>
  <si>
    <t>0965.09sGDPROrganizational.1</t>
  </si>
  <si>
    <t>1069.0</t>
  </si>
  <si>
    <t>0966.09sGDPROrganizational.2</t>
  </si>
  <si>
    <t>099.09m2Organizational.11</t>
  </si>
  <si>
    <t>2046.0</t>
  </si>
  <si>
    <t>09973.01mNYDOHOrganizational.1</t>
  </si>
  <si>
    <t>2048.0</t>
  </si>
  <si>
    <t>09975.01nNYDOHOrganizational.4</t>
  </si>
  <si>
    <t>10 Password Management</t>
  </si>
  <si>
    <t>2361.0</t>
  </si>
  <si>
    <t>10.01d1System.10</t>
  </si>
  <si>
    <t>01.d User Password Management</t>
  </si>
  <si>
    <t>Password policies applicable to the organization’s information systems are (1) documented and (2) enforced through technical controls.</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</si>
  <si>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inspect the organization\'s documented password policies and compare them to the password policies technically enforced within the organization\'s system(s).</t>
  </si>
  <si>
    <r>
      <rPr>
        <b/>
        <sz val="10"/>
        <color theme="1"/>
        <rFont val="Arial"/>
        <family val="2"/>
      </rPr>
      <t>Documentation: Authentication Program</t>
    </r>
    <r>
      <rPr>
        <sz val="10"/>
        <color theme="1"/>
        <rFont val="Arial"/>
        <family val="2"/>
      </rPr>
      <t xml:space="preserve">
- password complexity requirements defined
</t>
    </r>
    <r>
      <rPr>
        <b/>
        <sz val="10"/>
        <color theme="1"/>
        <rFont val="Arial"/>
        <family val="2"/>
      </rPr>
      <t>Evidence Test: Password Complexity</t>
    </r>
    <r>
      <rPr>
        <sz val="10"/>
        <color theme="1"/>
        <rFont val="Arial"/>
        <family val="2"/>
      </rPr>
      <t xml:space="preserve">
- in-line with documented authentication program</t>
    </r>
  </si>
  <si>
    <t>2924.0</t>
  </si>
  <si>
    <t>10.01dCISSystem.1</t>
  </si>
  <si>
    <t>2607.0</t>
  </si>
  <si>
    <t>10.01dCMSSystem.6</t>
  </si>
  <si>
    <t>2608.0</t>
  </si>
  <si>
    <t>10.01dCMSSystem.7</t>
  </si>
  <si>
    <t>0088.0</t>
  </si>
  <si>
    <t>10.01dCMSSystem.8</t>
  </si>
  <si>
    <t>3007.0</t>
  </si>
  <si>
    <t>10.01dCMSSystem.9</t>
  </si>
  <si>
    <t>2383.0</t>
  </si>
  <si>
    <t>10.01dFedRAMPSystem.3</t>
  </si>
  <si>
    <t>2384.0</t>
  </si>
  <si>
    <t>10.01dFedRAMPSystem.4</t>
  </si>
  <si>
    <t>2588.0</t>
  </si>
  <si>
    <t>10.01dFTISystem.4</t>
  </si>
  <si>
    <t>2589.0</t>
  </si>
  <si>
    <t>10.01dFTISystem.5</t>
  </si>
  <si>
    <t>2323.0</t>
  </si>
  <si>
    <t>10.01dNIST800171System.1</t>
  </si>
  <si>
    <t>0091.0</t>
  </si>
  <si>
    <t>10.01dNIST800171System.3</t>
  </si>
  <si>
    <t>2932.0</t>
  </si>
  <si>
    <t>10.01dNIST800172System.1</t>
  </si>
  <si>
    <t>0097.0</t>
  </si>
  <si>
    <t>10.01dSRSystem.2</t>
  </si>
  <si>
    <t>2372.0</t>
  </si>
  <si>
    <t>10.01dTXRAMPSystem.1</t>
  </si>
  <si>
    <t>2933.0</t>
  </si>
  <si>
    <t>10.01qNIST800172System.1</t>
  </si>
  <si>
    <t>0067.0</t>
  </si>
  <si>
    <t>1002.01d2System.7</t>
  </si>
  <si>
    <t>0069.0</t>
  </si>
  <si>
    <t>1003.01d1System.3</t>
  </si>
  <si>
    <t>0071.0</t>
  </si>
  <si>
    <t>1004.01d2System.8</t>
  </si>
  <si>
    <t>0072.0</t>
  </si>
  <si>
    <t>1005.01d3System.1</t>
  </si>
  <si>
    <t>0075.0</t>
  </si>
  <si>
    <t>1006.01d2System.1</t>
  </si>
  <si>
    <t>0076.0</t>
  </si>
  <si>
    <t>1007.01d2System.2</t>
  </si>
  <si>
    <t>0077.0</t>
  </si>
  <si>
    <t>1008.01d2System.3</t>
  </si>
  <si>
    <r>
      <rPr>
        <b/>
        <sz val="10"/>
        <color theme="1"/>
        <rFont val="Arial"/>
        <family val="2"/>
      </rPr>
      <t>Sample Test:</t>
    </r>
    <r>
      <rPr>
        <sz val="10"/>
        <color theme="1"/>
        <rFont val="Arial"/>
        <family val="2"/>
      </rPr>
      <t xml:space="preserve">
- Test 200: Workforce Member (new hire)</t>
    </r>
  </si>
  <si>
    <t>0078.0</t>
  </si>
  <si>
    <t>1009.01d2System.4</t>
  </si>
  <si>
    <t>0079.0</t>
  </si>
  <si>
    <t>1010.01d2System.5</t>
  </si>
  <si>
    <t>0108.0</t>
  </si>
  <si>
    <t>1011.01f1Organizational.1</t>
  </si>
  <si>
    <t>01.f Password Use</t>
  </si>
  <si>
    <t>The organization ensures users (1) are made aware of the organization’s password policies and requirements, (2) are made aware to keep passwords confidential, (3) avoid keeping a record (e.g., paper, software file, or hand-held device) of passwords, unless this can be stored securely and the method of storing has been approved, (4) change passwords whenever there is any indication of possible system or password compromise, (5) do not share individual user accounts or passwords, (6) do not provide their password to anyone for any reason (to avoid compromising their user credentials through social engineering attacks), (7) do not use the same password for business and non-business purposes, and (8) select quality passwords.</t>
  </si>
  <si>
    <t>Examine evidence that all evaluative elements within the requirement statement have been implemented as defined in the HITRUST scoring rubric, using a sample based test where possible for each evaluative element._x000D_
_x000D_
_x000D_
Example test(s):_x000D_
For example, this can be through communication of the password policy to users with formal acknowledgement or training and awareness materials provided to users confirming password requirements.</t>
  </si>
  <si>
    <r>
      <rPr>
        <b/>
        <sz val="10"/>
        <color theme="1"/>
        <rFont val="Arial"/>
        <family val="2"/>
      </rPr>
      <t>Evidence Test: Password Protection</t>
    </r>
    <r>
      <rPr>
        <sz val="10"/>
        <color theme="1"/>
        <rFont val="Arial"/>
        <family val="2"/>
      </rPr>
      <t xml:space="preserve">
- workforce member(s) acknowledge/trained on password protection requirements</t>
    </r>
  </si>
  <si>
    <t>0232.0</t>
  </si>
  <si>
    <t>1012.01r2System.1</t>
  </si>
  <si>
    <t>01.r Password Management System</t>
  </si>
  <si>
    <t>0233.0</t>
  </si>
  <si>
    <t>1013.01r1System.2</t>
  </si>
  <si>
    <t>The password management system (1) stores passwords in protected (e.g., encrypted or hashed) form, (2) transmits passwords in protected (e.g., encrypted or hashed) form, (3) stores password files separately from application system data, (4) enforces a choice of quality passwords, (5) enforces password changes, and (6) maintains a record of previous user passwords and prevents re-use.</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</si>
  <si>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systems, and examine the password configuration settings and determine if password files are stored separately from application data, quality password standards are enforced, periodic password changes are enforced, and password re-use is prevented. _x000D_
Further, select a sample of password transmissions and examine evidence to confirm that passwords are protected during transit (e.g., using encryption of hashing). _x000D_
Further, select a sample of instances in which passwords are stored and examine evidence to confirm that passwords are protected during storage (e.g., via hashing).</t>
  </si>
  <si>
    <r>
      <rPr>
        <b/>
        <sz val="10"/>
        <color theme="1"/>
        <rFont val="Arial"/>
        <family val="2"/>
      </rPr>
      <t>Sample Test:</t>
    </r>
    <r>
      <rPr>
        <sz val="10"/>
        <color theme="1"/>
        <rFont val="Arial"/>
        <family val="2"/>
      </rPr>
      <t xml:space="preserve">
- Test 140: Information System (authentication sub-system)
- Test 158: Information System (password storage)
- Test 159: Information System (password transmission)</t>
    </r>
  </si>
  <si>
    <t>0073.0</t>
  </si>
  <si>
    <t>1014.01d2System.9</t>
  </si>
  <si>
    <t>0074.0</t>
  </si>
  <si>
    <t>1015.01d2System.10</t>
  </si>
  <si>
    <t>0082.0</t>
  </si>
  <si>
    <t>1016.01dCMSSystem.1</t>
  </si>
  <si>
    <t>0083.0</t>
  </si>
  <si>
    <t>1017.01dCMSSystem.2</t>
  </si>
  <si>
    <t>0084.0</t>
  </si>
  <si>
    <t>1018.01dCMSSystem.3</t>
  </si>
  <si>
    <t>0089.0</t>
  </si>
  <si>
    <t>1019.01dFTISystem.1</t>
  </si>
  <si>
    <t>0109.0</t>
  </si>
  <si>
    <t>1020.01f2Organizational.1</t>
  </si>
  <si>
    <t>0234.0</t>
  </si>
  <si>
    <t>1021.01rCMSSystem.2</t>
  </si>
  <si>
    <t>0068.0</t>
  </si>
  <si>
    <t>1022.01dMASSSystem.1</t>
  </si>
  <si>
    <t>0081.0</t>
  </si>
  <si>
    <t>1023.01d1System.11</t>
  </si>
  <si>
    <t>The organization changes all default passwords for (1) applications, (2) operating systems, (3) routers, (4) firewalls, (5) wireless access points, and (6) other systems to have values consistent with administration-level accounts before deploying any new devices in a networked environment.</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</si>
  <si>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_x000D_
systems (applications, operating systems) and _x000D_
network devices (routers, firewalls, wireless access points) and _x000D_
confirm if the default passwords have been changed. This can be confirmed by attempting to access the system account through known default passwords that are publicly available, or through inspection of the password last changed date if available. _x000D_
If the system(s)/device(s) support it, examine the password configuration settings to determine administration-level values have been assigned (within the capabilities of the system(s)/device(s).</t>
  </si>
  <si>
    <r>
      <rPr>
        <b/>
        <sz val="10"/>
        <color theme="1"/>
        <rFont val="Arial"/>
        <family val="2"/>
      </rPr>
      <t>Sample Test:</t>
    </r>
    <r>
      <rPr>
        <sz val="10"/>
        <color theme="1"/>
        <rFont val="Arial"/>
        <family val="2"/>
      </rPr>
      <t xml:space="preserve">
- Test 045: Endpoint Device (BYOD)
- Test 050: Endpoint Device (laptop)
- Test 054: Endpoint Device (server)
- Test 058: Endpoint Device (workstation)
- Test 180: Network Device (firewall)
- Test 182: Network Device (router)
- Test 183: Network Device (switch)
- Test 184: Network Device (wireless access point)</t>
    </r>
  </si>
  <si>
    <t>0092.0</t>
  </si>
  <si>
    <t>1024.01dHIXSystem.1</t>
  </si>
  <si>
    <t>0093.0</t>
  </si>
  <si>
    <t>1025.01dHIXSystem.2</t>
  </si>
  <si>
    <t>0087.0</t>
  </si>
  <si>
    <t>1026.01dFedRAMPSystem.1</t>
  </si>
  <si>
    <t>0080.0</t>
  </si>
  <si>
    <t>1027.01d2System.6</t>
  </si>
  <si>
    <t>0099.0</t>
  </si>
  <si>
    <t>1028.01dPCISystem.4</t>
  </si>
  <si>
    <t>0085.0</t>
  </si>
  <si>
    <t>1030.01dCMSSystem.4</t>
  </si>
  <si>
    <t>0070.0</t>
  </si>
  <si>
    <t>1031.01d1System.34510</t>
  </si>
  <si>
    <t>1748.0</t>
  </si>
  <si>
    <t>1031.01d2System.11</t>
  </si>
  <si>
    <t>The organization has implemented the following controls to allocate and maintain the security of passwords: (1) passwords are changed whenever there is any indication of possible system or password compromise; (2) default vendor passwords are altered following installation of systems or software; (3) temporary passwords are changed at the first log-on; and (4) require immediate selection of a new password upon account recovery.</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</si>
  <si>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systems/applications and determine if the default and system account passwords are changed. This can be confirmed by attempting to access the default or system account through well-known passwords that are publicly available. _x000D_
For a sample of systems, examine the password configuration settings and determine if the system/application forces password changes at first login and requires immediate new password selection upon account recovery. _x000D_
Further, select a sample of instances in which the organization became aware of indications of possible system or password compromise and confirm that passwords were changed in these instances.</t>
  </si>
  <si>
    <r>
      <rPr>
        <b/>
        <sz val="10"/>
        <color theme="1"/>
        <rFont val="Arial"/>
        <family val="2"/>
      </rPr>
      <t>Sample Test:</t>
    </r>
    <r>
      <rPr>
        <sz val="10"/>
        <color theme="1"/>
        <rFont val="Arial"/>
        <family val="2"/>
      </rPr>
      <t xml:space="preserve">
- Test 012: Application (authentication required)
- Test 140: Information System (authentication sub-system)
- Test 156: Information System (password compromise)</t>
    </r>
  </si>
  <si>
    <t>1897.0</t>
  </si>
  <si>
    <t>1031.01dCMSSystem.5</t>
  </si>
  <si>
    <t>0094.0</t>
  </si>
  <si>
    <t>1032.01dHIXSystem.3</t>
  </si>
  <si>
    <t>0095.0</t>
  </si>
  <si>
    <t>1033.01dHIXSystem.4</t>
  </si>
  <si>
    <t>0090.0</t>
  </si>
  <si>
    <t>1034.01dFTISystem.2</t>
  </si>
  <si>
    <t>1035.01dFTISystem.3</t>
  </si>
  <si>
    <t>0096.0</t>
  </si>
  <si>
    <t>1036.01dPCISystem.1</t>
  </si>
  <si>
    <t>1037.01dPCISystem.2</t>
  </si>
  <si>
    <t>0098.0</t>
  </si>
  <si>
    <t>1038.01dPCISystem.3</t>
  </si>
  <si>
    <t>1039.01dFedRAMPSystem.2</t>
  </si>
  <si>
    <t>1945.0</t>
  </si>
  <si>
    <t>10902.01d1System.12</t>
  </si>
  <si>
    <t>Authentication credentials (1) are provided using a secure method.</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</si>
  <si>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previously provided authentication credentials and determine if the credentials were provided securely (e.g., using an encrypted transmission).</t>
  </si>
  <si>
    <r>
      <rPr>
        <b/>
        <sz val="10"/>
        <color theme="1"/>
        <rFont val="Arial"/>
        <family val="2"/>
      </rPr>
      <t>Sample Test:</t>
    </r>
    <r>
      <rPr>
        <sz val="10"/>
        <color theme="1"/>
        <rFont val="Arial"/>
        <family val="2"/>
      </rPr>
      <t xml:space="preserve">
- Test 159: Information System (password transmission)</t>
    </r>
  </si>
  <si>
    <t>2042.0</t>
  </si>
  <si>
    <t>10969.01dNYDOHSystem.1</t>
  </si>
  <si>
    <t>11 Access Control</t>
  </si>
  <si>
    <t>2543.0</t>
  </si>
  <si>
    <t>11.01aCMSOrganizational.1</t>
  </si>
  <si>
    <t>2544.0</t>
  </si>
  <si>
    <t>11.01aCMSOrganizational.2</t>
  </si>
  <si>
    <t>2494.0</t>
  </si>
  <si>
    <t>11.01aFedRAMPOrganizational.1</t>
  </si>
  <si>
    <t>2348.0</t>
  </si>
  <si>
    <t>11.01aHICPOrganizational.1</t>
  </si>
  <si>
    <t>2369.0</t>
  </si>
  <si>
    <t>11.01bCISSystem.2</t>
  </si>
  <si>
    <t>01.b User Registration</t>
  </si>
  <si>
    <t>2538.0</t>
  </si>
  <si>
    <t>11.01bCMSSystem.3</t>
  </si>
  <si>
    <t>3003.0</t>
  </si>
  <si>
    <t>11.01bCMSSystem.4</t>
  </si>
  <si>
    <t>3004.0</t>
  </si>
  <si>
    <t>11.01bCMSSystem.6</t>
  </si>
  <si>
    <t>2404.0</t>
  </si>
  <si>
    <t>11.01bFedRAMPSystem.10</t>
  </si>
  <si>
    <t>0027.0</t>
  </si>
  <si>
    <t>11.01bFedRAMPSystem.12</t>
  </si>
  <si>
    <t>11.01bFedRAMPSystem.2</t>
  </si>
  <si>
    <t>2380.0</t>
  </si>
  <si>
    <t>11.01bFedRAMPSystem.3</t>
  </si>
  <si>
    <t>2398.0</t>
  </si>
  <si>
    <t>11.01bFedRAMPSystem.4</t>
  </si>
  <si>
    <t>2402.0</t>
  </si>
  <si>
    <t>11.01bFedRAMPSystem.5</t>
  </si>
  <si>
    <t>2403.0</t>
  </si>
  <si>
    <t>11.01bFedRAMPSystem.6</t>
  </si>
  <si>
    <t>2829.0</t>
  </si>
  <si>
    <t>11.01bFedRAMPSystem.7</t>
  </si>
  <si>
    <t>2830.0</t>
  </si>
  <si>
    <t>11.01bFedRAMPSystem.8</t>
  </si>
  <si>
    <t>2410.0</t>
  </si>
  <si>
    <t>11.01bFedRAMPSystem.9</t>
  </si>
  <si>
    <t>2565.0</t>
  </si>
  <si>
    <t>11.01bFTISystem.1</t>
  </si>
  <si>
    <t>2656.0</t>
  </si>
  <si>
    <t>11.01bFTISystem.2</t>
  </si>
  <si>
    <t>2709.0</t>
  </si>
  <si>
    <t>11.01bNYDOHSystem.4</t>
  </si>
  <si>
    <t>3070.0</t>
  </si>
  <si>
    <t>11.01bStateRAMPSystem.1</t>
  </si>
  <si>
    <t>3073.0</t>
  </si>
  <si>
    <t>11.01bStateRAMPSystem.2</t>
  </si>
  <si>
    <t>3054.0</t>
  </si>
  <si>
    <t>11.01cAISecSystem.5</t>
  </si>
  <si>
    <t>01.c Privilege Management</t>
  </si>
  <si>
    <t>The organization restricts the |data (e.g., databases, document repositories, embeddings) access and |capabilities (e.g., messaging)|| granted to generative AI models (including through language model tools such as agents and plugins) following the least privilege principle.|| This access is controlled in accordance with the organization’s policies regarding |access management (including approvals, revocations, periodic access reviews), and |authentication.||</t>
  </si>
  <si>
    <t>Examine evidence that all evaluative elements within the requirement statement have been implemented as defined in the HITRUST scoring rubric, using a sample based test where possible for each evaluative element.
Example test(s):
For example, review the AI model to ensure the organization restricts the data (e.g., databases, document repositories, embeddings) access and capabilities (e.g., messaging) granted to generative AI models (including through language model tools such as agents and plugins) following the least privilege principle. Further, confirm this access is controlled in accordance with the organization’s policies regarding access management (including approvals, revocations, periodic access reviews) and authentication.</t>
  </si>
  <si>
    <r>
      <rPr>
        <b/>
        <sz val="10"/>
        <color theme="1"/>
        <rFont val="Arial"/>
        <family val="2"/>
      </rPr>
      <t>Documentation: Access Control Program</t>
    </r>
    <r>
      <rPr>
        <sz val="10"/>
        <color theme="1"/>
        <rFont val="Arial"/>
        <family val="2"/>
      </rPr>
      <t xml:space="preserve">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t>
    </r>
    <r>
      <rPr>
        <b/>
        <sz val="10"/>
        <color theme="1"/>
        <rFont val="Arial"/>
        <family val="2"/>
      </rPr>
      <t>Evidence Test: Artificial Intelligence (access)</t>
    </r>
    <r>
      <rPr>
        <sz val="10"/>
        <color theme="1"/>
        <rFont val="Arial"/>
        <family val="2"/>
      </rPr>
      <t xml:space="preserve">
- access to data and system capabilities limited to least privilege principle for generative artificial intelligence model</t>
    </r>
  </si>
  <si>
    <t>3055.0</t>
  </si>
  <si>
    <t>11.01cAISecSystem.6</t>
  </si>
  <si>
    <t>The organization restricts all access to the data used to |train, test, and validate AI models; |fine-tune AI models;|| and enhance AI prompts via RAG (both the |original and |vectorized formats stored as embeddings, if used)|| following the least privilege principle. This access is controlled in accordance with the organization’s policies regarding |access management (including approvals, revocations, periodic access reviews), and |authentication (which calls for multi-factor authentication or a similar level of protection).</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</si>
  <si>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restricts all access to the data used to train, test, and validate AI models; fine-tune AI models; and enhance AI prompts via RAG, if applicable, following the least privilege principle. Further, confirm this access is controlled in accordance with the organization’s policies regarding access management (including approvals, revocations, periodic access reviews) and authentication.</t>
  </si>
  <si>
    <r>
      <rPr>
        <b/>
        <sz val="10"/>
        <color theme="1"/>
        <rFont val="Arial"/>
        <family val="2"/>
      </rPr>
      <t>Documentation: Access Control Program</t>
    </r>
    <r>
      <rPr>
        <sz val="10"/>
        <color theme="1"/>
        <rFont val="Arial"/>
        <family val="2"/>
      </rPr>
      <t xml:space="preserve">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t>
    </r>
    <r>
      <rPr>
        <b/>
        <sz val="10"/>
        <color theme="1"/>
        <rFont val="Arial"/>
        <family val="2"/>
      </rPr>
      <t>Evidence Test: Artificial Intelligence (access)</t>
    </r>
    <r>
      <rPr>
        <sz val="10"/>
        <color theme="1"/>
        <rFont val="Arial"/>
        <family val="2"/>
      </rPr>
      <t xml:space="preserve">
- access to data used to train, test, validate, and fine-tune model is restricts according to the organization’s access control program</t>
    </r>
  </si>
  <si>
    <t>3056.0</t>
  </si>
  <si>
    <t>11.01cAISecSystem.7</t>
  </si>
  <si>
    <t>The organization |restricts the ability to access and modify deployed AI models following the least privilege principle.|| This access is controlled in accordance with the organization’s policies regarding |access management (including approvals, revocations, periodic access reviews), and |authentication (which calls for multi-factor authentication or a similar level of protection).</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</si>
  <si>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restricts the ability to access and modify deployed AI models following the least privilege principle. Further, confirm this access is controlled in accordance with the organization’s policies regarding access management (including approvals, revocations, periodic access reviews) and authentication.</t>
  </si>
  <si>
    <r>
      <rPr>
        <b/>
        <sz val="10"/>
        <color theme="1"/>
        <rFont val="Arial"/>
        <family val="2"/>
      </rPr>
      <t>Documentation: Access Control Program</t>
    </r>
    <r>
      <rPr>
        <sz val="10"/>
        <color theme="1"/>
        <rFont val="Arial"/>
        <family val="2"/>
      </rPr>
      <t xml:space="preserve">
- outlines least privilege principle for access to generative artificial intelligence model
</t>
    </r>
    <r>
      <rPr>
        <b/>
        <sz val="10"/>
        <color theme="1"/>
        <rFont val="Arial"/>
        <family val="2"/>
      </rPr>
      <t>Evidence Test: Artificial Intelligence (access)</t>
    </r>
    <r>
      <rPr>
        <sz val="10"/>
        <color theme="1"/>
        <rFont val="Arial"/>
        <family val="2"/>
      </rPr>
      <t xml:space="preserve">
- access to generative artificial intelligence model is restricted according to the organization’s access control program</t>
    </r>
  </si>
  <si>
    <t>3057.0</t>
  </si>
  <si>
    <t>11.01cAISecSystem.8</t>
  </si>
  <si>
    <t>The organization restricts the ability to interact with the production AI model through |APIs, |the AI application, and |language model tools such as agents and plugins (if used).|| This access is controlled in accordance with the organization’s policies regarding |access management (including approvals, revocations, periodic access reviews), and |authentication.</t>
  </si>
  <si>
    <t>Examine evidence that all evaluative elements within the requirement statement have been implemented as defined in the HITRUST scoring rubric, using a sample based test where possible for each evaluative element.
Example test(s):
For example, review the AI model security configurations and confirm interaction abilities are restricted as defined in the requirement statement.</t>
  </si>
  <si>
    <r>
      <rPr>
        <b/>
        <sz val="10"/>
        <color theme="1"/>
        <rFont val="Arial"/>
        <family val="2"/>
      </rPr>
      <t>Documentation: Access Control Program</t>
    </r>
    <r>
      <rPr>
        <sz val="10"/>
        <color theme="1"/>
        <rFont val="Arial"/>
        <family val="2"/>
      </rPr>
      <t xml:space="preserve">
- outlines least privilege principle for access to generative artificial intelligence model
</t>
    </r>
    <r>
      <rPr>
        <b/>
        <sz val="10"/>
        <color theme="1"/>
        <rFont val="Arial"/>
        <family val="2"/>
      </rPr>
      <t xml:space="preserve">Evidence Test: Artificial Intelligence (access)
</t>
    </r>
    <r>
      <rPr>
        <sz val="10"/>
        <color theme="1"/>
        <rFont val="Arial"/>
        <family val="2"/>
      </rPr>
      <t>- access to generative artificial intelligence model and language model tools is restricted for APIs and end-users</t>
    </r>
  </si>
  <si>
    <t>3058.0</t>
  </si>
  <si>
    <t>11.01cAISecSystem.9</t>
  </si>
  <si>
    <t>The organization restricts all access to  |AI engineering environments; |code used to create, train, and/or deploy AI models; and |code of language model tools such as agents and plugins (if used)|| following the least privilege principle.|| This access is controlled in accordance with the organization’s policies regarding |access management (including approvals, revocations, periodic access reviews), and |authentication (which calls for multi-factor authentication or a similar level of protection).||</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</si>
  <si>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restricts all access to AI engineering environments; code used to create, train, and/or deploy AI models; and code of language model tools such as agents and plugins (if used) following the least privilege principle. Further, confirm this access is controlled in accordance with the organization’s policies regarding access management (including approvals, revocations, periodic access reviews) and authentication (which calls for multi-factor authentication or a similar level of protection).</t>
  </si>
  <si>
    <r>
      <rPr>
        <b/>
        <sz val="10"/>
        <color theme="1"/>
        <rFont val="Arial"/>
        <family val="2"/>
      </rPr>
      <t>Documentation: Access Control Program</t>
    </r>
    <r>
      <rPr>
        <sz val="10"/>
        <color theme="1"/>
        <rFont val="Arial"/>
        <family val="2"/>
      </rPr>
      <t xml:space="preserve">
- outlines least privilege principle for access to artificial intelligence engineering environment
- outlines least privilege principle for access to artificial intelligence code used to create, train, and/or deploy model
- outlines least privilege principle for access to artificial intelligence code of language model tools
</t>
    </r>
    <r>
      <rPr>
        <b/>
        <sz val="10"/>
        <color theme="1"/>
        <rFont val="Arial"/>
        <family val="2"/>
      </rPr>
      <t>Evidence Test: Artificial Intelligence (access)</t>
    </r>
    <r>
      <rPr>
        <sz val="10"/>
        <color theme="1"/>
        <rFont val="Arial"/>
        <family val="2"/>
      </rPr>
      <t xml:space="preserve">
- access to artificial intelligence engineering environment is restricted
- access to artificial intelligence code used to create, train, and/or deploy models is restricted
- access to artificial intelligence code of language model tools is restricted</t>
    </r>
  </si>
  <si>
    <t>2953.0</t>
  </si>
  <si>
    <t>11.01cATLASSystem.1</t>
  </si>
  <si>
    <t>2406.0</t>
  </si>
  <si>
    <t>11.01cFedRAMPSystem.3</t>
  </si>
  <si>
    <t>2459.0</t>
  </si>
  <si>
    <t>11.01cFedRAMPSystem.4</t>
  </si>
  <si>
    <t>2558.0</t>
  </si>
  <si>
    <t>11.01cFTISystem.10</t>
  </si>
  <si>
    <t>2598.0</t>
  </si>
  <si>
    <t>11.01cFTISystem.11</t>
  </si>
  <si>
    <t>2553.0</t>
  </si>
  <si>
    <t>11.01cFTISystem.9</t>
  </si>
  <si>
    <t>2366.0</t>
  </si>
  <si>
    <t>11.01e1System.2</t>
  </si>
  <si>
    <t>01.e Review of User Access Rights</t>
  </si>
  <si>
    <t>The organization reviews all (1) accounts (including user, privileged, system, shared, and seeded accounts), (2) and privileges (e.g., user-to-role assignments, user-to-object assignments) periodically (annually at a minimum).</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</si>
  <si>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user accounts (including user, privileged, system, shared, and seeded accounts) and privileges (e.g., user-to-role assignments, user-to-object assignments) and confirm that they were reviewed in accordance with the organization\'s logical access review control frequency (and not more than one year ago).</t>
  </si>
  <si>
    <r>
      <rPr>
        <b/>
        <sz val="10"/>
        <color theme="1"/>
        <rFont val="Arial"/>
        <family val="2"/>
      </rPr>
      <t>Sample Test:</t>
    </r>
    <r>
      <rPr>
        <sz val="10"/>
        <color theme="1"/>
        <rFont val="Arial"/>
        <family val="2"/>
      </rPr>
      <t xml:space="preserve">
- Test 001: Access Account (business partner)
- Test 003: Access Account (privileged)
- Test 004: Access Account (service)
- Test 008: Access Account (vendor)
- Test 009: Access Account (workforce member)</t>
    </r>
  </si>
  <si>
    <t>2521.0</t>
  </si>
  <si>
    <t>11.01eFTISystem.1</t>
  </si>
  <si>
    <t>2524.0</t>
  </si>
  <si>
    <t>11.01eFTISystem.2</t>
  </si>
  <si>
    <t>0101.0</t>
  </si>
  <si>
    <t>11.01eNIST800171System.3</t>
  </si>
  <si>
    <t>0103.0</t>
  </si>
  <si>
    <t>11.01eNIST80053System.2</t>
  </si>
  <si>
    <t>0104.0</t>
  </si>
  <si>
    <t>11.01eNIST80053System.3</t>
  </si>
  <si>
    <t>2951.0</t>
  </si>
  <si>
    <t>11.01jATLASOrganizational.1</t>
  </si>
  <si>
    <t>01.j User Authentication for External Connections</t>
  </si>
  <si>
    <t>2861.0</t>
  </si>
  <si>
    <t>11.01jCISOrganizational.2</t>
  </si>
  <si>
    <t>2518.0</t>
  </si>
  <si>
    <t>11.01jCMSOrganizational.2</t>
  </si>
  <si>
    <t>2576.0</t>
  </si>
  <si>
    <t>11.01jFTIOrganizational.6</t>
  </si>
  <si>
    <t>2341.0</t>
  </si>
  <si>
    <t>11.01jHICPOrganizational.1</t>
  </si>
  <si>
    <t>2931.0</t>
  </si>
  <si>
    <t>11.01jNIST800172Organizational.1</t>
  </si>
  <si>
    <t>0136.0</t>
  </si>
  <si>
    <t>11.01jNIST80053Organizational.3</t>
  </si>
  <si>
    <t>2918.0</t>
  </si>
  <si>
    <t>11.01lHICPOrganizational.2</t>
  </si>
  <si>
    <t>2487.0</t>
  </si>
  <si>
    <t>11.01mFedRAMPOrganizational.1</t>
  </si>
  <si>
    <t>2546.0</t>
  </si>
  <si>
    <t>11.01nCMSOrganizational.3</t>
  </si>
  <si>
    <t>2377.0</t>
  </si>
  <si>
    <t>11.01nFedRAMPOrganizational.1</t>
  </si>
  <si>
    <t>2375.0</t>
  </si>
  <si>
    <t>11.01nFedRAMPOrganizational.2</t>
  </si>
  <si>
    <t>2364.0</t>
  </si>
  <si>
    <t>11.01p1System.5</t>
  </si>
  <si>
    <t>01.p Secure Log-on Procedures</t>
  </si>
  <si>
    <t>A policy applicable to the organization’s information systems addressing account lockout after consecutive unsuccessful login attempts is (1) documented (2) and enforced through technical controls.</t>
  </si>
  <si>
    <t>Examine evidence that all evaluative elements within the requirement statement have been implemented as defined in the HITRUST scoring rubric, using a sample based test where possible for each evaluative element._x000D_
_x000D_
_x000D_
Example test(s):_x000D_
For example, confirm that the organization\'s documented policy addressing account lockout after consecutive unsuccessful login attempts is enforced through technical controls on organizational systems.</t>
  </si>
  <si>
    <r>
      <rPr>
        <b/>
        <sz val="10"/>
        <color theme="1"/>
        <rFont val="Arial"/>
        <family val="2"/>
      </rPr>
      <t>Evidence Test: Access Account(s)</t>
    </r>
    <r>
      <rPr>
        <sz val="10"/>
        <color theme="1"/>
        <rFont val="Arial"/>
        <family val="2"/>
      </rPr>
      <t xml:space="preserve">
- configured to lockout after a predefined amount of consecutive unsuccessful login attempts</t>
    </r>
  </si>
  <si>
    <t>2858.0</t>
  </si>
  <si>
    <t>11.01pCISSystem.1</t>
  </si>
  <si>
    <t>2378.0</t>
  </si>
  <si>
    <t>11.01pCISSystem.3</t>
  </si>
  <si>
    <t>2517.0</t>
  </si>
  <si>
    <t>11.01pCMSSystem.3</t>
  </si>
  <si>
    <t>2415.0</t>
  </si>
  <si>
    <t>11.01pFedRAMPSystem.4</t>
  </si>
  <si>
    <t>11.01pFedRAMPSystem.5</t>
  </si>
  <si>
    <t>2894.0</t>
  </si>
  <si>
    <t>11.01pFFIECCATSystem.2</t>
  </si>
  <si>
    <t>2319.0</t>
  </si>
  <si>
    <t>11.01pNIST800171System.1</t>
  </si>
  <si>
    <t>2308.0</t>
  </si>
  <si>
    <t>11.01pNIST80053System.3</t>
  </si>
  <si>
    <t>2309.0</t>
  </si>
  <si>
    <t>11.01pNIST80053System.4</t>
  </si>
  <si>
    <t>2321.0</t>
  </si>
  <si>
    <t>11.01q1System.3</t>
  </si>
  <si>
    <t>The organization (1) requires multi-factor authentication for network and local access to privileged accounts.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</si>
  <si>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the multifactor authentication (MFA) is required for network and local access to privileged accounts.</t>
  </si>
  <si>
    <r>
      <rPr>
        <b/>
        <sz val="10"/>
        <color theme="1"/>
        <rFont val="Arial"/>
        <family val="2"/>
      </rPr>
      <t>Evidence Test: Access Account(s) (privileged)</t>
    </r>
    <r>
      <rPr>
        <sz val="10"/>
        <color theme="1"/>
        <rFont val="Arial"/>
        <family val="2"/>
      </rPr>
      <t xml:space="preserve">
- MFA configured for remote access
- MFA configured for local access</t>
    </r>
  </si>
  <si>
    <t>2322.0</t>
  </si>
  <si>
    <t>11.01q1System.4</t>
  </si>
  <si>
    <t>The organization (1) requires multi-factor authentication for access to non-privileged accounts from remote networks (including accounts in Web applications and in remote access solutions such as VPNs).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</si>
  <si>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the multifactor authentication (MFA) is required for access to non-privileged accounts from remote networks (including accounts in Web applications and in remote access solutions such as VPNs).</t>
  </si>
  <si>
    <r>
      <rPr>
        <b/>
        <sz val="10"/>
        <color theme="1"/>
        <rFont val="Arial"/>
        <family val="2"/>
      </rPr>
      <t>Evidence Test: Access Account(s) (standard)</t>
    </r>
    <r>
      <rPr>
        <sz val="10"/>
        <color theme="1"/>
        <rFont val="Arial"/>
        <family val="2"/>
      </rPr>
      <t xml:space="preserve">
- MFA configured for remote access</t>
    </r>
  </si>
  <si>
    <t>2859.0</t>
  </si>
  <si>
    <t>11.01qCISSystem.3</t>
  </si>
  <si>
    <t>2539.0</t>
  </si>
  <si>
    <t>11.01qCMSSystem.4</t>
  </si>
  <si>
    <t>2540.0</t>
  </si>
  <si>
    <t>11.01qCMSSystem.5</t>
  </si>
  <si>
    <t>2382.0</t>
  </si>
  <si>
    <t>11.01qFedRAMPSystem.3</t>
  </si>
  <si>
    <t>2385.0</t>
  </si>
  <si>
    <t>11.01qFedRAMPSystem.4</t>
  </si>
  <si>
    <t>2386.0</t>
  </si>
  <si>
    <t>11.01qFedRAMPSystem.5</t>
  </si>
  <si>
    <t>2387.0</t>
  </si>
  <si>
    <t>11.01qFedRAMPSystem.7</t>
  </si>
  <si>
    <t>2631.0</t>
  </si>
  <si>
    <t>11.01qFTISystem.5</t>
  </si>
  <si>
    <t>2633.0</t>
  </si>
  <si>
    <t>11.01qFTISystem.6</t>
  </si>
  <si>
    <t>2636.0</t>
  </si>
  <si>
    <t>11.01qFTISystem.7</t>
  </si>
  <si>
    <t>2637.0</t>
  </si>
  <si>
    <t>11.01qFTISystem.8</t>
  </si>
  <si>
    <t>2338.0</t>
  </si>
  <si>
    <t>11.01qHICPSystem.2</t>
  </si>
  <si>
    <t>2314.0</t>
  </si>
  <si>
    <t>11.01qNIST80053System.2</t>
  </si>
  <si>
    <t>2974.0</t>
  </si>
  <si>
    <t>11.01qNIST80053System.3</t>
  </si>
  <si>
    <t>2975.0</t>
  </si>
  <si>
    <t>11.01qNIST80053System.4</t>
  </si>
  <si>
    <t>2976.0</t>
  </si>
  <si>
    <t>11.01qNIST80053System.5</t>
  </si>
  <si>
    <t>0222.0</t>
  </si>
  <si>
    <t>11.01qNIST80053System.6</t>
  </si>
  <si>
    <t>2723.0</t>
  </si>
  <si>
    <t>11.01qNYDOHSystem.12</t>
  </si>
  <si>
    <t>2847.0</t>
  </si>
  <si>
    <t>11.01qPCISystem.5</t>
  </si>
  <si>
    <t>2849.0</t>
  </si>
  <si>
    <t>11.01qPCISystem.6</t>
  </si>
  <si>
    <t>3075.0</t>
  </si>
  <si>
    <t>11.01qStateRAMPSystem.1</t>
  </si>
  <si>
    <t>0239.0</t>
  </si>
  <si>
    <t>11.01tCISSystem.3</t>
  </si>
  <si>
    <t>01.t Session Time-out</t>
  </si>
  <si>
    <t>2477.0</t>
  </si>
  <si>
    <t>11.01tCMSSystem.3</t>
  </si>
  <si>
    <t>2476.0</t>
  </si>
  <si>
    <t>11.01tFedRAMPSystem.1</t>
  </si>
  <si>
    <t>11.01tFedRAMPSystem.2</t>
  </si>
  <si>
    <t>0241.0</t>
  </si>
  <si>
    <t>11.01tFedRAMPSystem.4</t>
  </si>
  <si>
    <t>3060.0</t>
  </si>
  <si>
    <t>11.01vAISecSystem.1</t>
  </si>
  <si>
    <t>01.v Information Access Restriction</t>
  </si>
  <si>
    <t>The organization encrypts at rest |the datasets used to train, test, and validate AI models; |the data used to fine-tune AI models; |embeddings (if used); and |AI models.|| This is performed in observance of the organization’s encryption policies relating to |encryption strength and |key management.||</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</si>
  <si>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encrypts at rest the datasets used to train, test, and validate AI models; the data used to fine-tune AI models; embeddings (if used); and AI models. Further, confirm this is performed in observance of the organization’s encryption policies relating to encryption strength and key management.</t>
  </si>
  <si>
    <r>
      <rPr>
        <b/>
        <sz val="10"/>
        <color theme="1"/>
        <rFont val="Arial"/>
        <family val="2"/>
      </rPr>
      <t>Documentation: Encryption Management Program</t>
    </r>
    <r>
      <rPr>
        <sz val="10"/>
        <color theme="1"/>
        <rFont val="Arial"/>
        <family val="2"/>
      </rPr>
      <t xml:space="preserve">
- outlines encryption strength for artificial intelligence data at rest
- outlines encryption key management for artificial intelligence data at rest
</t>
    </r>
    <r>
      <rPr>
        <b/>
        <sz val="10"/>
        <color theme="1"/>
        <rFont val="Arial"/>
        <family val="2"/>
      </rPr>
      <t>Evidence Test: Artificial Intelligence (encryption)</t>
    </r>
    <r>
      <rPr>
        <sz val="10"/>
        <color theme="1"/>
        <rFont val="Arial"/>
        <family val="2"/>
      </rPr>
      <t xml:space="preserve">
- encrypts at rest: datasets used to train, test, and validate artificial intelligence models
- encrypts at rest: data used to fine-tune artificial intelligence models
- encrypts at rest: artificial intelligence embeddings (if used)
- encrypts at rest: artificial intelligence models</t>
    </r>
  </si>
  <si>
    <t>2925.0</t>
  </si>
  <si>
    <t>11.01vNIST800172System.1</t>
  </si>
  <si>
    <t>2969.0</t>
  </si>
  <si>
    <t>11.01vOWASPSystem.1</t>
  </si>
  <si>
    <t>0375.0</t>
  </si>
  <si>
    <t>11.02gCMSOrganizational.4</t>
  </si>
  <si>
    <t>02.g Termination or Change Responsibilities</t>
  </si>
  <si>
    <t>0367.0</t>
  </si>
  <si>
    <t>11.02i2Organizational.5</t>
  </si>
  <si>
    <t>02.i Removal of Access Rights</t>
  </si>
  <si>
    <t>2392.0</t>
  </si>
  <si>
    <t>11.02iCMSOrganizational.2</t>
  </si>
  <si>
    <t>11.02iFedRAMPOrganizational.1</t>
  </si>
  <si>
    <t>2842.0</t>
  </si>
  <si>
    <t>11.02iFedRAMPOrganizational.2</t>
  </si>
  <si>
    <t>2579.0</t>
  </si>
  <si>
    <t>11.02iFTIOrganizational.1</t>
  </si>
  <si>
    <t>2698.0</t>
  </si>
  <si>
    <t>11.02iPHIPAOrganizational.1</t>
  </si>
  <si>
    <t>2310.0</t>
  </si>
  <si>
    <t>11.06eNIST80053Organizational.3</t>
  </si>
  <si>
    <t>06.e Prevention of Misuse of Information Assets</t>
  </si>
  <si>
    <t>1180.0</t>
  </si>
  <si>
    <t>11.09abCMSSystem.10</t>
  </si>
  <si>
    <t>2480.0</t>
  </si>
  <si>
    <t>11.09abFedRAMPSystem.11</t>
  </si>
  <si>
    <t>2481.0</t>
  </si>
  <si>
    <t>11.09abFedRAMPSystem.12</t>
  </si>
  <si>
    <t>2483.0</t>
  </si>
  <si>
    <t>11.09abFedRAMPSystem.13</t>
  </si>
  <si>
    <t>2374.0</t>
  </si>
  <si>
    <t>11.09abFedRAMPSystem.6</t>
  </si>
  <si>
    <t>2471.0</t>
  </si>
  <si>
    <t>11.09abFedRAMPSystem.9</t>
  </si>
  <si>
    <t>1181.0</t>
  </si>
  <si>
    <t>11.09abNIST80053System.4</t>
  </si>
  <si>
    <t>0158.0</t>
  </si>
  <si>
    <t>11.09mFedRAMPOrganizational.8</t>
  </si>
  <si>
    <t>0151.0</t>
  </si>
  <si>
    <t>11.10h3System.2</t>
  </si>
  <si>
    <t>2856.0</t>
  </si>
  <si>
    <t>11.10hCISSystem.6</t>
  </si>
  <si>
    <t>1899.0</t>
  </si>
  <si>
    <t>11.10hCMSSystem.3</t>
  </si>
  <si>
    <t>0157.1</t>
  </si>
  <si>
    <t>11.10hFedRAMPSystem.2</t>
  </si>
  <si>
    <t>0013.0</t>
  </si>
  <si>
    <t>1101.01a1Organizational.1245</t>
  </si>
  <si>
    <t>Access control rules and rights for each user or group of users (1) are based on clearly defined requirements for information dissemination and authorization (e.g., need-to-know, need-to-share, least privilege, security levels, and information classification). The policy further defines logical and physical access control rules and rights for each user or group of users (2) are considered together and clearly defined in standard user access profiles (e.g., roles). The access control program (3) takes into account security requirements of individual business applications and business units and ensures standard user access profiles for common jobs roles in the organization.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</si>
  <si>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sample users from a system and obtain their associated access logical and physical access rights. Confirm that the users access rights have been implemented according to the defined requirements for information dissemination and authorization according to the access control policy. _x000D_
Further, select a sample of job roles throughout the organization and confirm that standard user access profiles are inclusive of logical and physical access rules and rights for each job role have been defined.</t>
  </si>
  <si>
    <t>0014.0</t>
  </si>
  <si>
    <t>1102.01a2Organizational.2</t>
  </si>
  <si>
    <t>0015.0</t>
  </si>
  <si>
    <t>1103.01a2Organizational.3</t>
  </si>
  <si>
    <t>0016.0</t>
  </si>
  <si>
    <t>1104.01a3Organizational.1</t>
  </si>
  <si>
    <t>0017.0</t>
  </si>
  <si>
    <t>1105.09c1Organizational.2</t>
  </si>
  <si>
    <t>09.c Segregation of Duties</t>
  </si>
  <si>
    <t>Access authorization (e.g., access requests, approvals, and provisioning) (1) is segregated among multiple individuals or groups.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</si>
  <si>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provisioned user accounts and examine the relevant documentation (e.g., formal access request, documented approval, provisioning record) to confirm if access authorizations are segregated across multiple individuals or groups. As evidence of appropriate segregation of duties, initiation of an event is separated from its authorization and administration.</t>
  </si>
  <si>
    <r>
      <rPr>
        <b/>
        <sz val="10"/>
        <color theme="1"/>
        <rFont val="Arial"/>
        <family val="2"/>
      </rPr>
      <t>Sample Test:</t>
    </r>
    <r>
      <rPr>
        <sz val="10"/>
        <color theme="1"/>
        <rFont val="Arial"/>
        <family val="2"/>
      </rPr>
      <t xml:space="preserve">
- Test 024: Change (access to information system)
- Test 025: Change (access to privileged permissions)
</t>
    </r>
    <r>
      <rPr>
        <b/>
        <sz val="10"/>
        <color theme="1"/>
        <rFont val="Arial"/>
        <family val="2"/>
      </rPr>
      <t xml:space="preserve">
Additional Information: Explanation
</t>
    </r>
    <r>
      <rPr>
        <sz val="10"/>
        <color theme="1"/>
        <rFont val="Arial"/>
        <family val="2"/>
      </rPr>
      <t>- individual/group requesting access change cannot authorization and implement change</t>
    </r>
  </si>
  <si>
    <t>0018.0</t>
  </si>
  <si>
    <t>1106.01b2System.4</t>
  </si>
  <si>
    <t>0019.0</t>
  </si>
  <si>
    <t>1107.01b1System.2</t>
  </si>
  <si>
    <t>0020.0</t>
  </si>
  <si>
    <t>1108.01b2System.5</t>
  </si>
  <si>
    <t>0021.0</t>
  </si>
  <si>
    <t>1109.01b2System.6</t>
  </si>
  <si>
    <t>0022.0</t>
  </si>
  <si>
    <t>1110.01b2System.7</t>
  </si>
  <si>
    <t>0155.0</t>
  </si>
  <si>
    <t>11100.01lCMSOrganizational.34</t>
  </si>
  <si>
    <t>0159.0</t>
  </si>
  <si>
    <t>11101.01lFTIOrganizational.1</t>
  </si>
  <si>
    <t>1923.0</t>
  </si>
  <si>
    <t>111015.11aCCPAOrganizational.1</t>
  </si>
  <si>
    <t>11.a Reporting Information Security Events</t>
  </si>
  <si>
    <t>0192.0</t>
  </si>
  <si>
    <t>11102.01p2System.2</t>
  </si>
  <si>
    <t>0193.0</t>
  </si>
  <si>
    <t>11103.01p2System.3</t>
  </si>
  <si>
    <t>0194.0</t>
  </si>
  <si>
    <t>11104.01p3System.3</t>
  </si>
  <si>
    <t>0196.0</t>
  </si>
  <si>
    <t>11105.01pCMSSystem.3</t>
  </si>
  <si>
    <t>0198.0</t>
  </si>
  <si>
    <t>11107.01pCMSOrganizational.56</t>
  </si>
  <si>
    <t>1902.0</t>
  </si>
  <si>
    <t>11107.01pCMSSystem.3</t>
  </si>
  <si>
    <t>0204.0</t>
  </si>
  <si>
    <t>11109.01q2System.9</t>
  </si>
  <si>
    <t>0026.0</t>
  </si>
  <si>
    <t>1111.01b2System.1</t>
  </si>
  <si>
    <t>0205.0</t>
  </si>
  <si>
    <t>11110.01q2System.10</t>
  </si>
  <si>
    <t>0209.0</t>
  </si>
  <si>
    <t>11111.01q2System.4</t>
  </si>
  <si>
    <t>0211.0</t>
  </si>
  <si>
    <t>11112.01q2System.12</t>
  </si>
  <si>
    <t>0215.0</t>
  </si>
  <si>
    <t>11113.01q3System.3</t>
  </si>
  <si>
    <t>0218.0</t>
  </si>
  <si>
    <t>11114.01qCMSSystem.4</t>
  </si>
  <si>
    <t>0219.0</t>
  </si>
  <si>
    <t>11115.01qCMSSystem.4</t>
  </si>
  <si>
    <t>0220.0</t>
  </si>
  <si>
    <t>11116.01qCMSSystem.4</t>
  </si>
  <si>
    <t>1112.01b2System.2</t>
  </si>
  <si>
    <t>0228.0</t>
  </si>
  <si>
    <t>11121.01qPCISystem.5</t>
  </si>
  <si>
    <t>0229.0</t>
  </si>
  <si>
    <t>11122.01qPCISystem.5</t>
  </si>
  <si>
    <t>0230.0</t>
  </si>
  <si>
    <t>11123.01qPCISystem.5</t>
  </si>
  <si>
    <t>0235.0</t>
  </si>
  <si>
    <t>11124.01s1System.2</t>
  </si>
  <si>
    <t>01.s Use of System Utilities</t>
  </si>
  <si>
    <t>The use of system utilities is controlled by implementing the following: (1) implementing identification, authentication, and authorization procedures; (2) segregating of system utilities from applications software; and (3) limiting the of the use of system utilities to the minimum practical number of trusted, authorized users.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</si>
  <si>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system utilities for various information systems (e.g., Windows, network devices, VoIP phones) and examine the access control settings and confirm the following have been implemented: _x000D_
(i) use of identification, authentication, and authorization procedures for system utilities; _x000D_
(ii) segregation of system utilities from applications software; and, _x000D_
(iii) limitation of the use of system utilities to the minimum practical number of trusted, authorized users.</t>
  </si>
  <si>
    <r>
      <rPr>
        <b/>
        <sz val="10"/>
        <color theme="1"/>
        <rFont val="Arial"/>
        <family val="2"/>
      </rPr>
      <t>Sample Test:</t>
    </r>
    <r>
      <rPr>
        <sz val="10"/>
        <color theme="1"/>
        <rFont val="Arial"/>
        <family val="2"/>
      </rPr>
      <t xml:space="preserve">
- Test 045: Endpoint Device (BYOD)
- Test 050: Endpoint Device (laptop)
- Test 054: Endpoint Device (server)
- Test 058: Endpoint Device (workstation)
- Test 180: Network Device (firewall)
- Test 182: Network Device (router)
- Test 183: Network Device (switch)
- Test 184: Network Device (wireless access point)
</t>
    </r>
    <r>
      <rPr>
        <b/>
        <sz val="10"/>
        <color theme="1"/>
        <rFont val="Arial"/>
        <family val="2"/>
      </rPr>
      <t>Additional Information: Examples</t>
    </r>
    <r>
      <rPr>
        <sz val="10"/>
        <color theme="1"/>
        <rFont val="Arial"/>
        <family val="2"/>
      </rPr>
      <t xml:space="preserve">
- endpoint protection
- backup software
- file manager
- command prompt/terminal</t>
    </r>
  </si>
  <si>
    <t>0236.0</t>
  </si>
  <si>
    <t>11125.01s2System.2</t>
  </si>
  <si>
    <t>0237.0</t>
  </si>
  <si>
    <t>11126.01t2System.2</t>
  </si>
  <si>
    <t>11127.01t2System.3</t>
  </si>
  <si>
    <t>0240.0</t>
  </si>
  <si>
    <t>11128.01tCMSOrganizational.12</t>
  </si>
  <si>
    <t>1903.0</t>
  </si>
  <si>
    <t>11128.01tCMSSystem.2</t>
  </si>
  <si>
    <t>2101.0</t>
  </si>
  <si>
    <t>11128.05iNYDOHOrganizational.2</t>
  </si>
  <si>
    <t>05.i Identification of Risks Related to External Parties</t>
  </si>
  <si>
    <t>11129.01tFTISystem.2</t>
  </si>
  <si>
    <t>0029.0</t>
  </si>
  <si>
    <t>1113.01b3System.123</t>
  </si>
  <si>
    <t>0242.0</t>
  </si>
  <si>
    <t>11130.01tHIXSystem.2</t>
  </si>
  <si>
    <t>0243.0</t>
  </si>
  <si>
    <t>11131.01u1System.2</t>
  </si>
  <si>
    <t>01.u Limitation of Connection Time</t>
  </si>
  <si>
    <t>Connection time controls (1) are implemented for sensitive computer applications, especially from high-risk locations (e.g., public, or external areas that are outside the organization’s security management). Connection time controls include (2) using predetermined time slots (e.g., for batch file transmissions or regular interactive sessions of short duration), (3) restricting connection times to normal office hours if there is no requirement for overtime or extended-hours operation, and (4) re-authentication at timed intervals.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</si>
  <si>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sensitive computer applications, especially from high-risk locations (e.g., public, or external areas that are outside the organization\'s security management) and examine the connection configuration and confirm that it has been configured to use predetermined time slots, restricts connection times to normal offices hours, and requires re-authentication at time intervals.</t>
  </si>
  <si>
    <t>0259.0</t>
  </si>
  <si>
    <t>11135.01vCMSSystem.2</t>
  </si>
  <si>
    <t>0260.0</t>
  </si>
  <si>
    <t>11136.01vFTISystem.5</t>
  </si>
  <si>
    <t>0262.0</t>
  </si>
  <si>
    <t>11138.01vFTISystem.5</t>
  </si>
  <si>
    <t>0114.0</t>
  </si>
  <si>
    <t>1114.01h1Organizational.123</t>
  </si>
  <si>
    <t>01.h Clear Desk and Clear Screen Policy</t>
  </si>
  <si>
    <t>0264.0</t>
  </si>
  <si>
    <t>11140.01vPCISystem.4</t>
  </si>
  <si>
    <t>0265.0</t>
  </si>
  <si>
    <t>11141.01vPCISystem.4</t>
  </si>
  <si>
    <t>0266.0</t>
  </si>
  <si>
    <t>11142.01vPCISystem.4</t>
  </si>
  <si>
    <t>0366.0</t>
  </si>
  <si>
    <t>11143.02i1Organizational.3</t>
  </si>
  <si>
    <t>The organization ensures (1) logical and (2) physical access authorizations to systems and equipment are reviewed, updated, or revoked when there is any change in (3) responsibility, or (4) employment.</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</si>
  <si>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employees with a change in responsibility or employment. Confirm that the organization appropriately reviewed, updated, or revoked their logical and physical access rights based on the change.</t>
  </si>
  <si>
    <r>
      <rPr>
        <b/>
        <sz val="10"/>
        <color theme="1"/>
        <rFont val="Arial"/>
        <family val="2"/>
      </rPr>
      <t>Sample Test:</t>
    </r>
    <r>
      <rPr>
        <sz val="10"/>
        <color theme="1"/>
        <rFont val="Arial"/>
        <family val="2"/>
      </rPr>
      <t xml:space="preserve">
- Test 211: Workforce Member (termination)
- Test 213: Workforce Member (transfer)</t>
    </r>
  </si>
  <si>
    <t>11144.02g2Organizational.5</t>
  </si>
  <si>
    <r>
      <rPr>
        <b/>
        <sz val="10"/>
        <color theme="1"/>
        <rFont val="Arial"/>
        <family val="2"/>
      </rPr>
      <t>Sample Test:</t>
    </r>
    <r>
      <rPr>
        <sz val="10"/>
        <color theme="1"/>
        <rFont val="Arial"/>
        <family val="2"/>
      </rPr>
      <t xml:space="preserve">
- Test 211: Workforce Member (termination)</t>
    </r>
  </si>
  <si>
    <t>0368.0</t>
  </si>
  <si>
    <t>11145.02i2Organizational.2</t>
  </si>
  <si>
    <t>0369.0</t>
  </si>
  <si>
    <t>11146.02g2Organizational.1</t>
  </si>
  <si>
    <t>0370.0</t>
  </si>
  <si>
    <t>11147.02g2Organizational.2</t>
  </si>
  <si>
    <t>0371.0</t>
  </si>
  <si>
    <t>11148.02g2Organizational.3</t>
  </si>
  <si>
    <t>0372.0</t>
  </si>
  <si>
    <t>11149.02g1Organizational.2</t>
  </si>
  <si>
    <t>The organization has a documented termination checklist that identifies all the (1) steps to be taken and (2) assets to be collected.</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</si>
  <si>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organization\'s termination checklist and confirm that it outlines the appropriate steps to be taken and assets collected during the termination process.</t>
  </si>
  <si>
    <r>
      <rPr>
        <b/>
        <sz val="10"/>
        <color theme="1"/>
        <rFont val="Arial"/>
        <family val="2"/>
      </rPr>
      <t>Evidence Test: Termination Checklist</t>
    </r>
    <r>
      <rPr>
        <sz val="10"/>
        <color theme="1"/>
        <rFont val="Arial"/>
        <family val="2"/>
      </rPr>
      <t xml:space="preserve">
- outline appropriate steps during termination process</t>
    </r>
  </si>
  <si>
    <t>0115.0</t>
  </si>
  <si>
    <t>1115.01h2Organizational.1</t>
  </si>
  <si>
    <t>0373.0</t>
  </si>
  <si>
    <t>11150.02gCMSOrganizational.1</t>
  </si>
  <si>
    <t>0374.0</t>
  </si>
  <si>
    <t>11151.02gCMSOrganizational.2</t>
  </si>
  <si>
    <t>0376.0</t>
  </si>
  <si>
    <t>11152.02h1Organizational.1</t>
  </si>
  <si>
    <t>02.h Return of Assets</t>
  </si>
  <si>
    <t>The termination process includes the return of (1) all previously issued software in the termination process, (2) all corporate documents in the termination process, (3) all equipment in the termination process, and (4) all other organizational assets such as mobile computing devices, credit cards, access cards, manuals, and information stored on electronic media in the termination process.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</si>
  <si>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terminated employees and confirm that all previously issued software, corporate documents, equipment, and other organizational assets such as mobile computing devices, credit cards, access cards, manuals, and information stored on electronic media was returned. _x000D_
Confirm that the receipt of the returned assets were appropriately recorded (e.g., termination checklist).</t>
  </si>
  <si>
    <t>0379.0</t>
  </si>
  <si>
    <t>11154.02i2Organizational.3</t>
  </si>
  <si>
    <t>0381.0</t>
  </si>
  <si>
    <t>11155.02g3Organizational.1</t>
  </si>
  <si>
    <t>0382.0</t>
  </si>
  <si>
    <t>11156.02iPRVOrganizational.1</t>
  </si>
  <si>
    <t>1172.0</t>
  </si>
  <si>
    <t>11159.09abCMSSystem.1</t>
  </si>
  <si>
    <t>0121.0</t>
  </si>
  <si>
    <t>1116.01j2Organizational.6</t>
  </si>
  <si>
    <t>1173.0</t>
  </si>
  <si>
    <t>11160.09abCMSSystem.2</t>
  </si>
  <si>
    <t>1175.0</t>
  </si>
  <si>
    <t>11162.09abCMSSystem.58</t>
  </si>
  <si>
    <t>1176.0</t>
  </si>
  <si>
    <t>11163.09abCMSSystem.6</t>
  </si>
  <si>
    <t>1177.0</t>
  </si>
  <si>
    <t>11164.09abCMSSystem.7</t>
  </si>
  <si>
    <t>1183.0</t>
  </si>
  <si>
    <t>11165.09abFTISystem.1</t>
  </si>
  <si>
    <t>1184.0</t>
  </si>
  <si>
    <t>11166.09abFTISystem.2</t>
  </si>
  <si>
    <t>1186.0</t>
  </si>
  <si>
    <t>11168.09abFTISystem.4</t>
  </si>
  <si>
    <t>0122.0</t>
  </si>
  <si>
    <t>1117.01j1Organizational.23</t>
  </si>
  <si>
    <t>1188.0</t>
  </si>
  <si>
    <t>11170.09abFTISystem.6</t>
  </si>
  <si>
    <t>1191.0</t>
  </si>
  <si>
    <t>11173.09abFTISystem.9</t>
  </si>
  <si>
    <t>1192.0</t>
  </si>
  <si>
    <t>11174.09abHIXSystem.1</t>
  </si>
  <si>
    <t>1193.0</t>
  </si>
  <si>
    <t>11175.09abHIXSystem.2</t>
  </si>
  <si>
    <t>1194.0</t>
  </si>
  <si>
    <t>11176.09abHIXSystem.3</t>
  </si>
  <si>
    <t>1195.0</t>
  </si>
  <si>
    <t>11177.09abHIXSystem.4</t>
  </si>
  <si>
    <t>1196.0</t>
  </si>
  <si>
    <t>11178.09abHIXSystem.5</t>
  </si>
  <si>
    <t>1200.0</t>
  </si>
  <si>
    <t>11179.09abPCISystem.1</t>
  </si>
  <si>
    <t>0126.0</t>
  </si>
  <si>
    <t>1118.01j2Organizational.124</t>
  </si>
  <si>
    <t>0047.0</t>
  </si>
  <si>
    <t>11180.01c3System.6</t>
  </si>
  <si>
    <t>0049.0</t>
  </si>
  <si>
    <t>11182.01cCISSystem.8</t>
  </si>
  <si>
    <t>1896.0</t>
  </si>
  <si>
    <t>11183.01c1System.3</t>
  </si>
  <si>
    <t>System administrators (1) only use accounts with privileged access when performing administrative duties and (2) use a separate user account with standard user access rights when performing non-privileged activities (e.g., Internet browsing, email, or similar activities).</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</si>
  <si>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select a sample of administrative / privileged accounts and confirm that the owner also has a non-privileged account in the system.</t>
  </si>
  <si>
    <r>
      <rPr>
        <b/>
        <sz val="10"/>
        <color theme="1"/>
        <rFont val="Arial"/>
        <family val="2"/>
      </rPr>
      <t>Sample Test:</t>
    </r>
    <r>
      <rPr>
        <sz val="10"/>
        <color theme="1"/>
        <rFont val="Arial"/>
        <family val="2"/>
      </rPr>
      <t xml:space="preserve">
- Test 003: Access Account (privileged)</t>
    </r>
  </si>
  <si>
    <t>0051.0</t>
  </si>
  <si>
    <t>11184.01cCISSystem.10</t>
  </si>
  <si>
    <t>11185.01eCISSystem.3</t>
  </si>
  <si>
    <t>11186.01eCISSystem.3</t>
  </si>
  <si>
    <t>1898.0</t>
  </si>
  <si>
    <t>11187.01jCISOrganizational.2</t>
  </si>
  <si>
    <t>0133.0</t>
  </si>
  <si>
    <t>11187.01jCISSystem.8</t>
  </si>
  <si>
    <t>1886.0</t>
  </si>
  <si>
    <t>11188.01qCISSystem.3</t>
  </si>
  <si>
    <t>0217.0</t>
  </si>
  <si>
    <t>11189.01qCISSystem.3</t>
  </si>
  <si>
    <t>0127.0</t>
  </si>
  <si>
    <t>1119.01j2Organizational.3</t>
  </si>
  <si>
    <t>0238.0</t>
  </si>
  <si>
    <t>11190.01t1System.2</t>
  </si>
  <si>
    <t>0064.0</t>
  </si>
  <si>
    <t>11191.01cHIXSystem.1</t>
  </si>
  <si>
    <t>0065.0</t>
  </si>
  <si>
    <t>11192.01cHIXSystem.2</t>
  </si>
  <si>
    <t>0107.0</t>
  </si>
  <si>
    <t>11193.01eHIXSystem.1</t>
  </si>
  <si>
    <t>0227.0</t>
  </si>
  <si>
    <t>11194.01qHIXSystem.1</t>
  </si>
  <si>
    <t>1197.0</t>
  </si>
  <si>
    <t>11195.09abHIXSystem.6</t>
  </si>
  <si>
    <t>1198.0</t>
  </si>
  <si>
    <t>11196.09abHIXSystem.7</t>
  </si>
  <si>
    <t>1199.0</t>
  </si>
  <si>
    <t>11197.09abHIXSystem.8</t>
  </si>
  <si>
    <t>1201.0</t>
  </si>
  <si>
    <t>11198.09abPCISystem.2</t>
  </si>
  <si>
    <t>1202.0</t>
  </si>
  <si>
    <t>11199.09abPCISystem.3</t>
  </si>
  <si>
    <t>1160.0</t>
  </si>
  <si>
    <t>1120.09ab3System.9</t>
  </si>
  <si>
    <t>0028.0</t>
  </si>
  <si>
    <t>11200.01b2System.11</t>
  </si>
  <si>
    <t>0054.0</t>
  </si>
  <si>
    <t>11201.01cFedRAMPSystem.1</t>
  </si>
  <si>
    <t>11202.01jFedRAMPOrganizational.3</t>
  </si>
  <si>
    <t>0137.0</t>
  </si>
  <si>
    <t>11203.01jFedRAMPOrganizational.3</t>
  </si>
  <si>
    <t>0156.0</t>
  </si>
  <si>
    <t>11204.01lFedRAMPOrganizational.1</t>
  </si>
  <si>
    <t>11205.01lFedRAMPOrganizational.4</t>
  </si>
  <si>
    <t>0199.0</t>
  </si>
  <si>
    <t>11206.01pFedRAMPSystem.1</t>
  </si>
  <si>
    <t>0221.0</t>
  </si>
  <si>
    <t>11207.01qFedRAMPSystem.3</t>
  </si>
  <si>
    <t>0206.0</t>
  </si>
  <si>
    <t>11208.01q2System.11</t>
  </si>
  <si>
    <t>2180.0</t>
  </si>
  <si>
    <t>11208.09sNYDOHOrganizational.3</t>
  </si>
  <si>
    <t>0212.0</t>
  </si>
  <si>
    <t>11209.01q3System.2</t>
  </si>
  <si>
    <t>0132.0</t>
  </si>
  <si>
    <t>1121.01j3Organizational.2</t>
  </si>
  <si>
    <t>0213.0</t>
  </si>
  <si>
    <t>11210.01q2System.12</t>
  </si>
  <si>
    <t>0214.0</t>
  </si>
  <si>
    <t>11211.01q2System.12</t>
  </si>
  <si>
    <t>11211.02gFedRAMPOrganizational.1</t>
  </si>
  <si>
    <t>11212.01lFedRAMPOrganizational.3</t>
  </si>
  <si>
    <t>1178.0</t>
  </si>
  <si>
    <t>11213.09abFedRAMPSystem.1</t>
  </si>
  <si>
    <t>11214.09abFedRAMPSystem.2</t>
  </si>
  <si>
    <t>11215.09abFedRAMPSystem.3</t>
  </si>
  <si>
    <t>1182.0</t>
  </si>
  <si>
    <t>11216.09abFedRAMPSystem.4</t>
  </si>
  <si>
    <t>0033.0</t>
  </si>
  <si>
    <t>11217.01bFedRAMPSystem.1</t>
  </si>
  <si>
    <t>0032.0</t>
  </si>
  <si>
    <t>11218.01bCMSSystem.3</t>
  </si>
  <si>
    <t>0024.0</t>
  </si>
  <si>
    <t>11219.01b2System.8</t>
  </si>
  <si>
    <t>0025.0</t>
  </si>
  <si>
    <t>11220.01b2System.9</t>
  </si>
  <si>
    <t>11221.01qFedRAMPSystem.3</t>
  </si>
  <si>
    <t>1785.0</t>
  </si>
  <si>
    <t>11222.09abSRSystem.1</t>
  </si>
  <si>
    <t>0202.1</t>
  </si>
  <si>
    <t>1123.01q1System.2</t>
  </si>
  <si>
    <t>Each user ID in the information system (including non-privileged, privileged, seeded, and service accounts) is |assigned to a specific, named individual to maintain accountability.||</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</si>
  <si>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user IDs (including non-privileged, privileged, seeded, and service accounts) and confirm that each is assigned to a specific, named individual.</t>
  </si>
  <si>
    <t>0203.0</t>
  </si>
  <si>
    <t>1124.01q2System.12</t>
  </si>
  <si>
    <t>0207.0</t>
  </si>
  <si>
    <t>1125.01q2System.1</t>
  </si>
  <si>
    <t>0231.0</t>
  </si>
  <si>
    <t>1126.01qPCISystem.4</t>
  </si>
  <si>
    <t>0208.0</t>
  </si>
  <si>
    <t>1127.01q2System.3</t>
  </si>
  <si>
    <t>0210.0</t>
  </si>
  <si>
    <t>1128.01q2System.5</t>
  </si>
  <si>
    <t>0253.0</t>
  </si>
  <si>
    <t>1129.01v1System.12</t>
  </si>
  <si>
    <t>2265.0</t>
  </si>
  <si>
    <t>11292.06eNIST80053Organizational.2</t>
  </si>
  <si>
    <t>2267.0</t>
  </si>
  <si>
    <t>11294.01aNIST80053Organizational.1</t>
  </si>
  <si>
    <t>0254.0</t>
  </si>
  <si>
    <t>1130.01v2System.1</t>
  </si>
  <si>
    <t>0255.0</t>
  </si>
  <si>
    <t>1131.01v2System.2</t>
  </si>
  <si>
    <t>0256.0</t>
  </si>
  <si>
    <t>1132.01v2System.3</t>
  </si>
  <si>
    <t>0257.0</t>
  </si>
  <si>
    <t>1133.01v2System.4</t>
  </si>
  <si>
    <t>0258.0</t>
  </si>
  <si>
    <t>1134.01v3System.1</t>
  </si>
  <si>
    <t>0378.0</t>
  </si>
  <si>
    <t>1135.02i3Organizational.1</t>
  </si>
  <si>
    <t>0380.0</t>
  </si>
  <si>
    <t>1136.02i2Organizational.1</t>
  </si>
  <si>
    <t>0584.0</t>
  </si>
  <si>
    <t>1137.06e2Organizational.3</t>
  </si>
  <si>
    <t>0588.0</t>
  </si>
  <si>
    <t>1138.06e2Organizational.12</t>
  </si>
  <si>
    <t>0023.0</t>
  </si>
  <si>
    <t>1139.01b2System.10</t>
  </si>
  <si>
    <t>0030.0</t>
  </si>
  <si>
    <t>1140.01b3System.4</t>
  </si>
  <si>
    <t>1895.0</t>
  </si>
  <si>
    <t>1141.01bCMSSystem.12</t>
  </si>
  <si>
    <t>0035.0</t>
  </si>
  <si>
    <t>1143.01c1System.123</t>
  </si>
  <si>
    <t>0036.0</t>
  </si>
  <si>
    <t>1144.01c3System.5</t>
  </si>
  <si>
    <t>0037.0</t>
  </si>
  <si>
    <t>1145.01c2System.1</t>
  </si>
  <si>
    <t>0038.0</t>
  </si>
  <si>
    <t>1146.01c2System.23</t>
  </si>
  <si>
    <t>0039.0</t>
  </si>
  <si>
    <t>1147.01c2System.456</t>
  </si>
  <si>
    <t>0040.0</t>
  </si>
  <si>
    <t>1148.01c2System.78</t>
  </si>
  <si>
    <t>0041.0</t>
  </si>
  <si>
    <t>1149.01c2System.9</t>
  </si>
  <si>
    <t>0042.0</t>
  </si>
  <si>
    <t>1150.01c2System.10</t>
  </si>
  <si>
    <t>0043.0</t>
  </si>
  <si>
    <t>1151.01c1System.2</t>
  </si>
  <si>
    <t>The organization (1) limits authorization to privileged accounts on information systems to a pre-defined subset of users and (2) tracks and monitors privileged role assignments.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</si>
  <si>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information systems and examine evidence to confirm that users with privileged accounts are limited to a defined subset of users authorized by the organization. _x000D_
Further, confirm that the organization tracks and monitors privileged role assignments.</t>
  </si>
  <si>
    <r>
      <rPr>
        <b/>
        <sz val="10"/>
        <color theme="1"/>
        <rFont val="Arial"/>
        <family val="2"/>
      </rPr>
      <t>Evidence Test: Access Account(s) (privileged)</t>
    </r>
    <r>
      <rPr>
        <sz val="10"/>
        <color theme="1"/>
        <rFont val="Arial"/>
        <family val="2"/>
      </rPr>
      <t xml:space="preserve">
- tracked and monitored
</t>
    </r>
    <r>
      <rPr>
        <b/>
        <sz val="10"/>
        <color theme="1"/>
        <rFont val="Arial"/>
        <family val="2"/>
      </rPr>
      <t>Sample Test:</t>
    </r>
    <r>
      <rPr>
        <sz val="10"/>
        <color theme="1"/>
        <rFont val="Arial"/>
        <family val="2"/>
      </rPr>
      <t xml:space="preserve">
- Test 003: Access Account (privileged)</t>
    </r>
  </si>
  <si>
    <t>0044.0</t>
  </si>
  <si>
    <t>1152.01c3System.2</t>
  </si>
  <si>
    <t>0045.0</t>
  </si>
  <si>
    <t>1153.01c3System.35</t>
  </si>
  <si>
    <t>0046.0</t>
  </si>
  <si>
    <t>1154.01c3System.4</t>
  </si>
  <si>
    <t>0052.0</t>
  </si>
  <si>
    <t>1155.01cCMSSystem.12</t>
  </si>
  <si>
    <t>0053.0</t>
  </si>
  <si>
    <t>1156.01cCMSSystem.3</t>
  </si>
  <si>
    <t>0056.0</t>
  </si>
  <si>
    <t>1158.01cFTISystem.2</t>
  </si>
  <si>
    <t>0063.0</t>
  </si>
  <si>
    <t>1164.01cHIESystem.1</t>
  </si>
  <si>
    <t>0066.0</t>
  </si>
  <si>
    <t>1165.01cPCISystem.1</t>
  </si>
  <si>
    <t>0100.0</t>
  </si>
  <si>
    <t>1166.01e2System.3</t>
  </si>
  <si>
    <t>1167.01e2System.1</t>
  </si>
  <si>
    <t>0102.0</t>
  </si>
  <si>
    <t>1168.01e2System.2</t>
  </si>
  <si>
    <t>0106.0</t>
  </si>
  <si>
    <t>1170.01eHIESystem.1</t>
  </si>
  <si>
    <t>0123.0</t>
  </si>
  <si>
    <t>1173.01j2Organizational.7</t>
  </si>
  <si>
    <t>0124.0</t>
  </si>
  <si>
    <t>1174.01j2Organizational.8</t>
  </si>
  <si>
    <t>0125.0</t>
  </si>
  <si>
    <t>1175.01j2Organizational.9</t>
  </si>
  <si>
    <t>0128.0</t>
  </si>
  <si>
    <t>1176.01j2Organizational.5</t>
  </si>
  <si>
    <t>0129.0</t>
  </si>
  <si>
    <t>1177.01j2Organizational.6</t>
  </si>
  <si>
    <t>0130.0</t>
  </si>
  <si>
    <t>1178.01j2Organizational.7</t>
  </si>
  <si>
    <t>0131.0</t>
  </si>
  <si>
    <t>1179.01j3Organizational.1</t>
  </si>
  <si>
    <t>0134.0</t>
  </si>
  <si>
    <t>1181.01jCMSOrganizational.1</t>
  </si>
  <si>
    <t>0135.0</t>
  </si>
  <si>
    <t>1182.01jFACOrganizational.1234</t>
  </si>
  <si>
    <t>0138.0</t>
  </si>
  <si>
    <t>1183.01jFTIOrganizational.12</t>
  </si>
  <si>
    <t>0139.0</t>
  </si>
  <si>
    <t>1184.01jFTIOrganizational.3</t>
  </si>
  <si>
    <t>0140.0</t>
  </si>
  <si>
    <t>1185.01jFTIOrganizational.4</t>
  </si>
  <si>
    <t>0141.0</t>
  </si>
  <si>
    <t>1186.01jFTIOrganizational.5</t>
  </si>
  <si>
    <t>0142.0</t>
  </si>
  <si>
    <t>1187.01jFTIOrganizational.6</t>
  </si>
  <si>
    <t>0143.0</t>
  </si>
  <si>
    <t>1188.01jHIXOrganizational.1</t>
  </si>
  <si>
    <t>0144.0</t>
  </si>
  <si>
    <t>1189.01jPCIOrganizational.1</t>
  </si>
  <si>
    <t>0145.0</t>
  </si>
  <si>
    <t>1190.01k2System.1</t>
  </si>
  <si>
    <t>1946.0</t>
  </si>
  <si>
    <t>11903.01qSRSystem.1</t>
  </si>
  <si>
    <t>1947.0</t>
  </si>
  <si>
    <t>11904.01tSRSystem.1</t>
  </si>
  <si>
    <t>0146.0</t>
  </si>
  <si>
    <t>1191.01k2System.2</t>
  </si>
  <si>
    <t>0148.0</t>
  </si>
  <si>
    <t>1193.01l2Organizational.13</t>
  </si>
  <si>
    <t>0149.0</t>
  </si>
  <si>
    <t>1194.01l1Organizational.2</t>
  </si>
  <si>
    <t>Ports, services, and applications installed on a computer or network systems, which are not specifically required for business functionality, (1) are disabled or removed.</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</si>
  <si>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the organization performed an assessment to determine if ports, services, and applications installed on a computer or network systems, which are not specifically required for business functionality, are disabled, or removed. This can be performed as part of vulnerability scanning or review of standard build configurations to ensure that unnecessary ports, services, and similar applications are disabled or removed when new systems are implemented.</t>
  </si>
  <si>
    <r>
      <rPr>
        <b/>
        <sz val="10"/>
        <color theme="1"/>
        <rFont val="Arial"/>
        <family val="2"/>
      </rPr>
      <t>Evidence Test: System Component Hardening</t>
    </r>
    <r>
      <rPr>
        <sz val="10"/>
        <color theme="1"/>
        <rFont val="Arial"/>
        <family val="2"/>
      </rPr>
      <t xml:space="preserve">
- unnecessary ports disabled
- unnecessary services disabled
- unnecessary applications uninstalled
</t>
    </r>
    <r>
      <rPr>
        <b/>
        <sz val="10"/>
        <color theme="1"/>
        <rFont val="Arial"/>
        <family val="2"/>
      </rPr>
      <t>Additional Information: Example</t>
    </r>
    <r>
      <rPr>
        <sz val="10"/>
        <color theme="1"/>
        <rFont val="Arial"/>
        <family val="2"/>
      </rPr>
      <t xml:space="preserve">
- vulnerability scan</t>
    </r>
  </si>
  <si>
    <t>1979.0</t>
  </si>
  <si>
    <t>11941.01jNIST80053Organizational.1</t>
  </si>
  <si>
    <t>0150.0</t>
  </si>
  <si>
    <t>1195.01l3Organizational.1</t>
  </si>
  <si>
    <t>2025.0</t>
  </si>
  <si>
    <t>11952.01aNYDOHOrganizational.1</t>
  </si>
  <si>
    <t>2026.0</t>
  </si>
  <si>
    <t>11953.01aNYDOHOrganizational.2</t>
  </si>
  <si>
    <t>1982.0</t>
  </si>
  <si>
    <t>11953.01qCSR002System.3</t>
  </si>
  <si>
    <t>2027.0</t>
  </si>
  <si>
    <t>11954.01aNYDOHOrganizational.3</t>
  </si>
  <si>
    <t>2028.0</t>
  </si>
  <si>
    <t>11955.01aNYDOHOrganizational.4</t>
  </si>
  <si>
    <t>2029.0</t>
  </si>
  <si>
    <t>11956.01aNYDOHOrganizational.5</t>
  </si>
  <si>
    <t>2030.0</t>
  </si>
  <si>
    <t>11957.01aNYDOHOrganizational.6</t>
  </si>
  <si>
    <t>2031.0</t>
  </si>
  <si>
    <t>11958.01aNYDOHOrganizational.7</t>
  </si>
  <si>
    <t>2032.0</t>
  </si>
  <si>
    <t>11959.01aNYDOHOrganizational.8</t>
  </si>
  <si>
    <t>1196.01l3Organizational.24</t>
  </si>
  <si>
    <t>2033.0</t>
  </si>
  <si>
    <t>11960.01bNYDOHSystem.1</t>
  </si>
  <si>
    <t>2034.0</t>
  </si>
  <si>
    <t>11961.01bNYDOHSystem.2</t>
  </si>
  <si>
    <t>2035.0</t>
  </si>
  <si>
    <t>11962.01bNYDOHSystem.3</t>
  </si>
  <si>
    <t>2036.0</t>
  </si>
  <si>
    <t>11963.01cNYDOHSystem.1</t>
  </si>
  <si>
    <t>2037.0</t>
  </si>
  <si>
    <t>11964.01cNYDOHSystem.2</t>
  </si>
  <si>
    <t>2038.0</t>
  </si>
  <si>
    <t>11965.01cNYDOHSystem.4</t>
  </si>
  <si>
    <t>2039.0</t>
  </si>
  <si>
    <t>11966.01cNYDOHSystem.5</t>
  </si>
  <si>
    <t>2040.0</t>
  </si>
  <si>
    <t>11967.01cNYDOHSystem.6</t>
  </si>
  <si>
    <t>2041.0</t>
  </si>
  <si>
    <t>11968.01cNYDOHSystem.7</t>
  </si>
  <si>
    <t>0152.0</t>
  </si>
  <si>
    <t>1197.01l3Organizational.3</t>
  </si>
  <si>
    <t>2043.0</t>
  </si>
  <si>
    <t>11970.01eNYDOHSystem.1</t>
  </si>
  <si>
    <t>2045.0</t>
  </si>
  <si>
    <t>11972.01jNYDOHOrganizational.2</t>
  </si>
  <si>
    <t>1983.0</t>
  </si>
  <si>
    <t>11974.01qCSR002System.3</t>
  </si>
  <si>
    <t>2049.0</t>
  </si>
  <si>
    <t>11976.01nNYDOHOrganizational.2</t>
  </si>
  <si>
    <t>2051.0</t>
  </si>
  <si>
    <t>11978.01qNYDOHSystem.11</t>
  </si>
  <si>
    <t>2052.0</t>
  </si>
  <si>
    <t>11979.01qNYDOHSystem.11</t>
  </si>
  <si>
    <t>0153.0</t>
  </si>
  <si>
    <t>1198.01lCMSOrganizational.1</t>
  </si>
  <si>
    <t>2053.0</t>
  </si>
  <si>
    <t>11980.01qNYDOHSystem.11</t>
  </si>
  <si>
    <t>2054.0</t>
  </si>
  <si>
    <t>11981.01qNYDOHSystem.11</t>
  </si>
  <si>
    <t>2055.0</t>
  </si>
  <si>
    <t>11982.01qNYDOHSystem.11</t>
  </si>
  <si>
    <t>2056.0</t>
  </si>
  <si>
    <t>11983.01qNYDOHSystem.6</t>
  </si>
  <si>
    <t>2057.0</t>
  </si>
  <si>
    <t>11984.01qNYDOHSystem.11</t>
  </si>
  <si>
    <t>2058.0</t>
  </si>
  <si>
    <t>11985.01qNYDOHSystem.11</t>
  </si>
  <si>
    <t>2059.0</t>
  </si>
  <si>
    <t>11986.01qNYDOHSystem.11</t>
  </si>
  <si>
    <t>2060.0</t>
  </si>
  <si>
    <t>11987.01qNYDOHSystem.11</t>
  </si>
  <si>
    <t>2061.0</t>
  </si>
  <si>
    <t>11988.01tNYDOHSystem.1</t>
  </si>
  <si>
    <t>2062.0</t>
  </si>
  <si>
    <t>11989.01tNYDOHSystem.2</t>
  </si>
  <si>
    <t>0154.0</t>
  </si>
  <si>
    <t>1199.01lCMSOrganizational.2</t>
  </si>
  <si>
    <t>2063.0</t>
  </si>
  <si>
    <t>11990.01tNYDOHSystem.3</t>
  </si>
  <si>
    <t>2064.0</t>
  </si>
  <si>
    <t>11991.01tNYDOHSystem.4</t>
  </si>
  <si>
    <t>2065.0</t>
  </si>
  <si>
    <t>11992.01vNYDOHSystem.1</t>
  </si>
  <si>
    <t>2066.0</t>
  </si>
  <si>
    <t>11993.01vNYDOHSystem.2</t>
  </si>
  <si>
    <t>2067.0</t>
  </si>
  <si>
    <t>11994.01vNYDOHSystem.4</t>
  </si>
  <si>
    <t>12 Audit Logging &amp; Monitoring</t>
  </si>
  <si>
    <t>2567.0</t>
  </si>
  <si>
    <t>12.06iCMSOrganizational.1</t>
  </si>
  <si>
    <t>06.i Information Systems Audit Controls</t>
  </si>
  <si>
    <t>2411.0</t>
  </si>
  <si>
    <t>12.06iFedRAMPOrganizational.3</t>
  </si>
  <si>
    <t>2412.0</t>
  </si>
  <si>
    <t>12.06iFedRAMPOrganizational.4</t>
  </si>
  <si>
    <t>2431.0</t>
  </si>
  <si>
    <t>12.06iFedRAMPOrganizational.5</t>
  </si>
  <si>
    <t>2015.0</t>
  </si>
  <si>
    <t>12.06jFTIOrganizational.2</t>
  </si>
  <si>
    <t>06.j Protection of Information Systems Audit Tools</t>
  </si>
  <si>
    <t>2862.0</t>
  </si>
  <si>
    <t>12.09aaCISSystem.3</t>
  </si>
  <si>
    <t>09.aa Audit Logging</t>
  </si>
  <si>
    <t>2573.0</t>
  </si>
  <si>
    <t>12.09aaCMSSystem.10</t>
  </si>
  <si>
    <t>1132.0</t>
  </si>
  <si>
    <t>12.09aaCMSSystem.12</t>
  </si>
  <si>
    <t>1127.0</t>
  </si>
  <si>
    <t>12.09aaCMSSystem.13</t>
  </si>
  <si>
    <t>2568.0</t>
  </si>
  <si>
    <t>12.09aaCMSSystem.6</t>
  </si>
  <si>
    <t>2569.0</t>
  </si>
  <si>
    <t>12.09aaCMSSystem.7</t>
  </si>
  <si>
    <t>2570.0</t>
  </si>
  <si>
    <t>12.09aaCMSSystem.8</t>
  </si>
  <si>
    <t>2571.0</t>
  </si>
  <si>
    <t>12.09aaCMSSystem.9</t>
  </si>
  <si>
    <t>2397.0</t>
  </si>
  <si>
    <t>12.09aaFedRAMPSystem.10</t>
  </si>
  <si>
    <t>2421.0</t>
  </si>
  <si>
    <t>12.09aaFedRAMPSystem.8</t>
  </si>
  <si>
    <t>2472.0</t>
  </si>
  <si>
    <t>12.09aaFedRAMPSystem.9</t>
  </si>
  <si>
    <t>2503.0</t>
  </si>
  <si>
    <t>12.09aaFTISystem.11</t>
  </si>
  <si>
    <t>2510.0</t>
  </si>
  <si>
    <t>12.09aaFTISystem.12</t>
  </si>
  <si>
    <t>2522.0</t>
  </si>
  <si>
    <t>12.09aaFTISystem.13</t>
  </si>
  <si>
    <t>2523.0</t>
  </si>
  <si>
    <t>12.09aaFTISystem.14</t>
  </si>
  <si>
    <t>2550.0</t>
  </si>
  <si>
    <t>12.09aaFTISystem.15</t>
  </si>
  <si>
    <t>2551.0</t>
  </si>
  <si>
    <t>12.09aaFTISystem.16</t>
  </si>
  <si>
    <t>2552.0</t>
  </si>
  <si>
    <t>12.09aaFTISystem.17</t>
  </si>
  <si>
    <t>2311.0</t>
  </si>
  <si>
    <t>12.09aaNIST80053System.3</t>
  </si>
  <si>
    <t>2581.0</t>
  </si>
  <si>
    <t>12.09aaNIST80053System.4</t>
  </si>
  <si>
    <t>1130.0</t>
  </si>
  <si>
    <t>12.09aaNIST80053System.5</t>
  </si>
  <si>
    <t>2689.0</t>
  </si>
  <si>
    <t>12.09aaPHIPASystem.1</t>
  </si>
  <si>
    <t>2690.0</t>
  </si>
  <si>
    <t>12.09aaPHIPASystem.2</t>
  </si>
  <si>
    <t>3039.0</t>
  </si>
  <si>
    <t>12.09abAISecSystem.3</t>
  </si>
  <si>
    <t>The design of the AI application allows its human operators the ability to |evaluate AI model outputs before relying on them and |intervene in AI model-initiated actions (e.g., sending emails, modifying records) if deemed necessary.||</t>
  </si>
  <si>
    <t>Examine evidence that all evaluative elements within the requirement statement have been implemented as defined in the HITRUST scoring rubric, using a sample based test where possible for each evaluative element.
Example test(s):
For example, review the AI application to confirm it allows a human operator to evaluate AI model outputs before relying on them. Further, confirm the ability for human operators to intervene in AI model-initiated actions (e.g., sending emails, modifying records) if deemed necessary.</t>
  </si>
  <si>
    <r>
      <rPr>
        <b/>
        <sz val="10"/>
        <color theme="1"/>
        <rFont val="Arial"/>
        <family val="2"/>
      </rPr>
      <t>Evidence Test: Artificial Intelligence</t>
    </r>
    <r>
      <rPr>
        <sz val="10"/>
        <color theme="1"/>
        <rFont val="Arial"/>
        <family val="2"/>
      </rPr>
      <t xml:space="preserve">
- configured to allow human operators to ability to: evaluate outputs before relying on them
- configured to allow human operators to ability to: intervene in model-initiated actions</t>
    </r>
  </si>
  <si>
    <t>3062.0</t>
  </si>
  <si>
    <t>12.09abAISecSystem.4</t>
  </si>
  <si>
    <t>The organization performs monitoring, on at least a monthly basis, of the |inputs (prompts, queries, inference requests) to and |outputs (inferences, responses, conclusions) from|| the AI model for anomalies indicative of attacks or compromise and to ensure that filters and other guardrails are operating as expected.||</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</si>
  <si>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performs monitoring, on at least a monthly basis, of the inputs (prompts, queries, inference requests) to and outputs (inferences, responses, conclusions) from the AI model for anomalies indicative of attacks or compromise and to ensure that filters and other guardrails are operating as expected.</t>
  </si>
  <si>
    <r>
      <rPr>
        <b/>
        <sz val="10"/>
        <color theme="1"/>
        <rFont val="Arial"/>
        <family val="2"/>
      </rPr>
      <t>Evidence Test: Artificial Intelligence (logging and review)</t>
    </r>
    <r>
      <rPr>
        <sz val="10"/>
        <color theme="1"/>
        <rFont val="Arial"/>
        <family val="2"/>
      </rPr>
      <t xml:space="preserve">
- monthly monitoring/review performed on artificial intelligence inputs to identify anomalies
- monthly monitoring/review performed on artificial intelligence outputs to identify anomalies</t>
    </r>
  </si>
  <si>
    <t>3063.0</t>
  </si>
  <si>
    <t>12.09abAISecSystem.5</t>
  </si>
  <si>
    <t>The organization performs monitoring, on at least a monthly basis, for suspicious manipulation of |AI-related datasets; |AI models; |AI-relevant code (e.g., code used to create, train, and/or deploy AI models, code of language model tools such as agents and plugins); and |AI-relevant configurations (e.g., metaprompts)|| that might compromise the AI system's performance or security.||</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</si>
  <si>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performs monitoring, on at least a monthly basis, for suspicious manipulation of AI-related datasets; AI models; AI-relevant code (e.g., code used to create, train, and/or deploy AI models, code of language model tools such as agents and plugins); and AI-relevant configurations (e.g., metaprompts) that might compromise the AI system’s performance or security.</t>
  </si>
  <si>
    <r>
      <rPr>
        <b/>
        <sz val="10"/>
        <color theme="1"/>
        <rFont val="Arial"/>
        <family val="2"/>
      </rPr>
      <t>Evidence Test: Artificial Intelligence (logging and review)</t>
    </r>
    <r>
      <rPr>
        <sz val="10"/>
        <color theme="1"/>
        <rFont val="Arial"/>
        <family val="2"/>
      </rPr>
      <t xml:space="preserve">
- monthly monitoring/review performed on artificial intelligence for suspicious manipulation of: AI-related datasets
- monthly monitoring/review performed on artificial intelligence for suspicious manipulation of: AI models
- monthly monitoring/review performed on artificial intelligence for suspicious manipulation of: AI-relevant code
- monthly monitoring/review performed on artificial intelligence for suspicious manipulation of: AI-relevant configurations</t>
    </r>
  </si>
  <si>
    <t>2971.1</t>
  </si>
  <si>
    <t>12.09abAISecSystem.6</t>
  </si>
  <si>
    <t>The AI system logs all inputs (prompts, queries, inference requests) to and outputs (inferences, responses, conclusions) from the AI model, including |the exact input (e.g., the prompt, the API call), |the date and time of the input, |the user account making the request, |where the request originated, |the exact output provided, and |the version of the model used.|| AI system logs are |managed (i.e., retained, protected, and sanitized) in accordance with the organization’s policy requirements.||</t>
  </si>
  <si>
    <t>Examine evidence that all evaluative elements within the requirement statement have been implemented as defined in the HITRUST scoring rubric, using a sample based test where possible for each evaluative element.
Example test(s):
For example, review the AI system to ensure the organization logs all inputs (prompts, queries, inference requests) to and outputs (inferences, responses, conclusions) from the AI model, including the exact input, the date and time of the input, the user account making the request, where the request originated, the exact output provided, and the version of the model used. Further, confirm the AI system logs are managed (i.e., retained, protected, and sanitized) in accordance with the organization’s policy requirements.</t>
  </si>
  <si>
    <r>
      <rPr>
        <b/>
        <sz val="10"/>
        <color theme="1"/>
        <rFont val="Arial"/>
        <family val="2"/>
      </rPr>
      <t>Documentation: Audit Logging and Monitoring Program</t>
    </r>
    <r>
      <rPr>
        <sz val="10"/>
        <color theme="1"/>
        <rFont val="Arial"/>
        <family val="2"/>
      </rPr>
      <t xml:space="preserve">
- outlines artificial intelligence log management process
</t>
    </r>
    <r>
      <rPr>
        <b/>
        <sz val="10"/>
        <color theme="1"/>
        <rFont val="Arial"/>
        <family val="2"/>
      </rPr>
      <t xml:space="preserve">Evidence Test: Artificial Intelligence (logging and review)
</t>
    </r>
    <r>
      <rPr>
        <sz val="10"/>
        <color theme="1"/>
        <rFont val="Arial"/>
        <family val="2"/>
      </rPr>
      <t xml:space="preserve">- logging includes: the exact input
- logging includes: the date and time of the input
- logging includes: the user account making the request
- logging includes: where the request originated
- logging includes: the exact output provided
- logging includes: the version of the model used
- logs managed in accordance with organization's audit logging and monitoring program </t>
    </r>
  </si>
  <si>
    <t>2952.0</t>
  </si>
  <si>
    <t>12.09abATLASSystem.1</t>
  </si>
  <si>
    <t>2572.0</t>
  </si>
  <si>
    <t>12.09abCMSSystem.6</t>
  </si>
  <si>
    <t>2611.0</t>
  </si>
  <si>
    <t>12.09abCMSSystem.7</t>
  </si>
  <si>
    <t>2612.0</t>
  </si>
  <si>
    <t>12.09abCMSSystem.8</t>
  </si>
  <si>
    <t>2475.0</t>
  </si>
  <si>
    <t>12.09abFedRAMPSystem.10</t>
  </si>
  <si>
    <t>2424.0</t>
  </si>
  <si>
    <t>12.09abFedRAMPSystem.7</t>
  </si>
  <si>
    <t>2469.0</t>
  </si>
  <si>
    <t>12.09abFedRAMPSystem.8</t>
  </si>
  <si>
    <t>2903.0</t>
  </si>
  <si>
    <t>12.09abFFIECCATSystem.2</t>
  </si>
  <si>
    <t>2902.0</t>
  </si>
  <si>
    <t>12.09abFFIECCATSystem.3</t>
  </si>
  <si>
    <t>2899.0</t>
  </si>
  <si>
    <t>12.09abFFIECCATSystem.5</t>
  </si>
  <si>
    <t>2898.0</t>
  </si>
  <si>
    <t>12.09abFFIECCATSystem.6</t>
  </si>
  <si>
    <t>2897.0</t>
  </si>
  <si>
    <t>12.09abFFIECCATSystem.7</t>
  </si>
  <si>
    <t>2893.0</t>
  </si>
  <si>
    <t>12.09abFFIECCATSystem.8</t>
  </si>
  <si>
    <t>2880.0</t>
  </si>
  <si>
    <t>12.09abFFIECCATSystem.9</t>
  </si>
  <si>
    <t>1166.0</t>
  </si>
  <si>
    <t>12.09abFFIECISSystem.9</t>
  </si>
  <si>
    <t>2585.0</t>
  </si>
  <si>
    <t>12.09abFTISystem.10</t>
  </si>
  <si>
    <t>2349.0</t>
  </si>
  <si>
    <t>12.09abHICPSystem.2</t>
  </si>
  <si>
    <t>2350.0</t>
  </si>
  <si>
    <t>12.09abHICPSystem.5</t>
  </si>
  <si>
    <t>1162.0</t>
  </si>
  <si>
    <t>12.09abHICPSystem.6</t>
  </si>
  <si>
    <t>1165.0</t>
  </si>
  <si>
    <t>12.09abNIST80053System.5</t>
  </si>
  <si>
    <t>1163.0</t>
  </si>
  <si>
    <t>12.09abNIST80053System.6</t>
  </si>
  <si>
    <t>1169.0</t>
  </si>
  <si>
    <t>12.09abNIST80053System.7</t>
  </si>
  <si>
    <t>1170.0</t>
  </si>
  <si>
    <t>12.09abNIST80053System.8</t>
  </si>
  <si>
    <t>2732.0</t>
  </si>
  <si>
    <t>12.09abNYDOHSystem.6</t>
  </si>
  <si>
    <t>1889.0</t>
  </si>
  <si>
    <t>12.09abPCISystem.5</t>
  </si>
  <si>
    <t>3071.0</t>
  </si>
  <si>
    <t>12.09abStateRAMPSystem.1</t>
  </si>
  <si>
    <t>2528.0</t>
  </si>
  <si>
    <t>12.09acFTISystem.2</t>
  </si>
  <si>
    <t>09.ac Protection of Log Information</t>
  </si>
  <si>
    <t>2998.0</t>
  </si>
  <si>
    <t>12.09acOWASPSystem.1</t>
  </si>
  <si>
    <t>1212.0</t>
  </si>
  <si>
    <t>12.09aeNIST80053System.2</t>
  </si>
  <si>
    <t>09.ae Fault Logging</t>
  </si>
  <si>
    <t>2574.0</t>
  </si>
  <si>
    <t>12.09afCMSSystem.1</t>
  </si>
  <si>
    <t>2575.0</t>
  </si>
  <si>
    <t>12.09afCMSSystem.2</t>
  </si>
  <si>
    <t>2422.0</t>
  </si>
  <si>
    <t>12.09afFedRAMPSystem.2</t>
  </si>
  <si>
    <t>2447.0</t>
  </si>
  <si>
    <t>12.09afFedRAMPSystem.3</t>
  </si>
  <si>
    <t>2422.1</t>
  </si>
  <si>
    <t>12.09afFedRAMPSystem.4</t>
  </si>
  <si>
    <t>1225.0</t>
  </si>
  <si>
    <t>12.09afNIST80053System.2</t>
  </si>
  <si>
    <t>2831.0</t>
  </si>
  <si>
    <t>12.09hFedRAMPSystem.3</t>
  </si>
  <si>
    <t>09.h Capacity Management</t>
  </si>
  <si>
    <t>2526.0</t>
  </si>
  <si>
    <t>12.09hFTISystem.2</t>
  </si>
  <si>
    <t>2527.0</t>
  </si>
  <si>
    <t>12.09hFTISystem.3</t>
  </si>
  <si>
    <t>2529.0</t>
  </si>
  <si>
    <t>12.09hFTISystem.4</t>
  </si>
  <si>
    <t>3074.0</t>
  </si>
  <si>
    <t>12.09hStateRAMPSystem.1</t>
  </si>
  <si>
    <t>1118.0</t>
  </si>
  <si>
    <t>12.13k3Organizational.2</t>
  </si>
  <si>
    <t>13.k Use and Disclosure</t>
  </si>
  <si>
    <t>1119.0</t>
  </si>
  <si>
    <t>12.13l3Organizational.2</t>
  </si>
  <si>
    <t>13.l Retention and Disposal</t>
  </si>
  <si>
    <t>0585.0</t>
  </si>
  <si>
    <t>1201.06e2Organizational.4</t>
  </si>
  <si>
    <t>1110.0</t>
  </si>
  <si>
    <t>1202.09aa2System.5</t>
  </si>
  <si>
    <t>1111.0</t>
  </si>
  <si>
    <t>1203.09aa1System.2</t>
  </si>
  <si>
    <t>1112.0</t>
  </si>
  <si>
    <t>1204.09aa2System.6</t>
  </si>
  <si>
    <r>
      <rPr>
        <b/>
        <sz val="10"/>
        <color theme="1"/>
        <rFont val="Arial"/>
        <family val="2"/>
      </rPr>
      <t>Sample Test:</t>
    </r>
    <r>
      <rPr>
        <sz val="10"/>
        <color theme="1"/>
        <rFont val="Arial"/>
        <family val="2"/>
      </rPr>
      <t xml:space="preserve">
- Test 150: Information System (logging &amp; monitoring sub-system)</t>
    </r>
  </si>
  <si>
    <t>1113.0</t>
  </si>
  <si>
    <t>1205.09aa2System.1</t>
  </si>
  <si>
    <t>1114.0</t>
  </si>
  <si>
    <t>1206.09aa2System.23</t>
  </si>
  <si>
    <t>1115.0</t>
  </si>
  <si>
    <t>1207.09aa2System.4</t>
  </si>
  <si>
    <t>1116.0</t>
  </si>
  <si>
    <t>1208.09aa3System.1</t>
  </si>
  <si>
    <t>1117.0</t>
  </si>
  <si>
    <t>1209.09aa3System.2</t>
  </si>
  <si>
    <t>1210.09aa3System.3</t>
  </si>
  <si>
    <t>1152.0</t>
  </si>
  <si>
    <t>12100.09ab2System.15</t>
  </si>
  <si>
    <t>12100.09afFedRAMPSystem.1</t>
  </si>
  <si>
    <t>1145.0</t>
  </si>
  <si>
    <t>12101.09aaNYCRR500System.1</t>
  </si>
  <si>
    <t>1148.0</t>
  </si>
  <si>
    <t>12101.09ab1System.2</t>
  </si>
  <si>
    <t>1215.0</t>
  </si>
  <si>
    <t>12101.09hHIXSystem.1</t>
  </si>
  <si>
    <t>12102.09aaFedRAMPSystem.7</t>
  </si>
  <si>
    <t>1149.0</t>
  </si>
  <si>
    <t>12102.09abNIST80053System.1</t>
  </si>
  <si>
    <t>1128.0</t>
  </si>
  <si>
    <t>12103.09aaFedRAMPSystem.7</t>
  </si>
  <si>
    <t>1150.0</t>
  </si>
  <si>
    <t>12103.09abTexasSystem.1</t>
  </si>
  <si>
    <t>1129.0</t>
  </si>
  <si>
    <t>12104.09aaFedRAMPSystem.7</t>
  </si>
  <si>
    <t>12105.09aaFedRAMPSystem.7</t>
  </si>
  <si>
    <t>1131.0</t>
  </si>
  <si>
    <t>12106.09aaFedRAMPSystem.7</t>
  </si>
  <si>
    <t>12107.09aaFedRAMPSystem.7</t>
  </si>
  <si>
    <t>1179.0</t>
  </si>
  <si>
    <t>12108.09abFedRAMPSystem.6</t>
  </si>
  <si>
    <t>1211.0</t>
  </si>
  <si>
    <t>12109.09acFedRAMPSystem.1</t>
  </si>
  <si>
    <t>1211.09aa3System.4</t>
  </si>
  <si>
    <t>1147.0</t>
  </si>
  <si>
    <t>1212.09ab2System.5</t>
  </si>
  <si>
    <t>1920.0</t>
  </si>
  <si>
    <t>121204.09aaSCIDSASystem.2</t>
  </si>
  <si>
    <t>1151.0</t>
  </si>
  <si>
    <t>1213.09ab2System.6</t>
  </si>
  <si>
    <t>1153.0</t>
  </si>
  <si>
    <t>1214.09ab2System.3456</t>
  </si>
  <si>
    <t>2120.0</t>
  </si>
  <si>
    <t>12147.06iNYDOHOrganizational.1</t>
  </si>
  <si>
    <t>2121.0</t>
  </si>
  <si>
    <t>12148.06i1Organizational.1</t>
  </si>
  <si>
    <t>The organization (1) determines which of the following auditable events require auditing on a continuous basis in response to specific situations: user log-on and log-off (successful or unsuccessful); configuration changes; application alerts and error messages; all system administration activities; modification of privileges and access; account creation, modification, or deletion; concurrent log on from different workstations; and override of access control mechanisms.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</si>
  <si>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the organization determines which pre-defined auditable events require auditing on a continuous basis in response to specific situations.</t>
  </si>
  <si>
    <r>
      <rPr>
        <b/>
        <sz val="10"/>
        <color theme="1"/>
        <rFont val="Arial"/>
        <family val="2"/>
      </rPr>
      <t>Documentation: Audit Logging &amp; Monitoring Program</t>
    </r>
    <r>
      <rPr>
        <sz val="10"/>
        <color theme="1"/>
        <rFont val="Arial"/>
        <family val="2"/>
      </rPr>
      <t xml:space="preserve">
- defines which events should be audited on a continues bases</t>
    </r>
  </si>
  <si>
    <t>2122.0</t>
  </si>
  <si>
    <t>12149.06iNYDOHOrganizational.3</t>
  </si>
  <si>
    <t>1154.0</t>
  </si>
  <si>
    <t>1215.09ab2System.7</t>
  </si>
  <si>
    <t>2123.0</t>
  </si>
  <si>
    <t>12150.06iNYDOHOrganizational.4</t>
  </si>
  <si>
    <t>2124.0</t>
  </si>
  <si>
    <t>12151.06iNYDOHOrganizational.5</t>
  </si>
  <si>
    <t>2125.0</t>
  </si>
  <si>
    <t>12152.06iNYDOHOrganizational.6</t>
  </si>
  <si>
    <t>2126.0</t>
  </si>
  <si>
    <t>12153.06iNYDOHOrganizational.7</t>
  </si>
  <si>
    <t>2127.0</t>
  </si>
  <si>
    <t>12154.06iNYDOHOrganizational.13</t>
  </si>
  <si>
    <t>2128.0</t>
  </si>
  <si>
    <t>12155.06iNYDOHOrganizational.9</t>
  </si>
  <si>
    <t>2129.0</t>
  </si>
  <si>
    <t>12156.06iNYDOHOrganizational.10</t>
  </si>
  <si>
    <t>2130.0</t>
  </si>
  <si>
    <t>12157.06iNYDOHOrganizational.11</t>
  </si>
  <si>
    <t>2131.0</t>
  </si>
  <si>
    <t>12158.06iNYDOHOrganizational.12</t>
  </si>
  <si>
    <t>2132.0</t>
  </si>
  <si>
    <t>12159.06iNYDOHOrganizational.13</t>
  </si>
  <si>
    <t>1155.0</t>
  </si>
  <si>
    <t>1216.09ab3System.12</t>
  </si>
  <si>
    <t>2133.0</t>
  </si>
  <si>
    <t>12160.06jNYDOHOrganizational.1</t>
  </si>
  <si>
    <t>2134.0</t>
  </si>
  <si>
    <t>12161.09acNYDOHSystem.1</t>
  </si>
  <si>
    <t>1156.0</t>
  </si>
  <si>
    <t>1217.09ab3System.3</t>
  </si>
  <si>
    <t>2145.0</t>
  </si>
  <si>
    <t>12173.09aaNYDOHSystem.1</t>
  </si>
  <si>
    <t>2146.0</t>
  </si>
  <si>
    <t>12174.09abNYDOHSystem.6</t>
  </si>
  <si>
    <t>2147.0</t>
  </si>
  <si>
    <t>12175.09abNYDOHSystem.2</t>
  </si>
  <si>
    <t>2148.0</t>
  </si>
  <si>
    <t>12176.09abNYDOHSystem.3</t>
  </si>
  <si>
    <t>1157.0</t>
  </si>
  <si>
    <t>1218.09ab3System.47</t>
  </si>
  <si>
    <t>1161.0</t>
  </si>
  <si>
    <t>1219.09ab3System.10</t>
  </si>
  <si>
    <t>1158.0</t>
  </si>
  <si>
    <t>1220.09ab3System.56</t>
  </si>
  <si>
    <t>1089.0</t>
  </si>
  <si>
    <t>1221.09xCMSOrganizational.2</t>
  </si>
  <si>
    <t>1159.0</t>
  </si>
  <si>
    <t>1222.09ab3System.8</t>
  </si>
  <si>
    <t>1203.1</t>
  </si>
  <si>
    <t>1223.09ac1System.1</t>
  </si>
  <si>
    <t>Access to |audit trails / logs is safeguarded from unauthorized access and use.||</t>
  </si>
  <si>
    <t xml:space="preserve">Examine evidence that all evaluative elements within the requirement statement have been implemented as defined in the HITRUST scoring rubric, using a sample based test where possible for each evaluative element._x000D_
_x000D_
_x000D_
Example test(s):_x000D_
For example, _x000D_
examine the list of individuals with access to audit trails to determine if access is limited to appropriate individuals. </t>
  </si>
  <si>
    <r>
      <rPr>
        <b/>
        <sz val="10"/>
        <color theme="1"/>
        <rFont val="Arial"/>
        <family val="2"/>
      </rPr>
      <t>Evidence Test: Audit Log(s)/Record(s)</t>
    </r>
    <r>
      <rPr>
        <sz val="10"/>
        <color theme="1"/>
        <rFont val="Arial"/>
        <family val="2"/>
      </rPr>
      <t xml:space="preserve">
- access is limited to appropriate individuals</t>
    </r>
  </si>
  <si>
    <t>1204.0</t>
  </si>
  <si>
    <t>1224.09ac2System.1</t>
  </si>
  <si>
    <t>1205.0</t>
  </si>
  <si>
    <t>1225.09ac3System.1</t>
  </si>
  <si>
    <t>1222.0</t>
  </si>
  <si>
    <t>1226.09af2System.2</t>
  </si>
  <si>
    <t>1223.0</t>
  </si>
  <si>
    <t>1227.09af2System.1</t>
  </si>
  <si>
    <t>1206.0</t>
  </si>
  <si>
    <t>1228.09ac3System.2</t>
  </si>
  <si>
    <t>0823.0</t>
  </si>
  <si>
    <t>1229.09c2Organizational.6</t>
  </si>
  <si>
    <t>2269.0</t>
  </si>
  <si>
    <t>12296.09aaNIST80053System.2</t>
  </si>
  <si>
    <t>0824.0</t>
  </si>
  <si>
    <t>1230.09c2Organizational.1</t>
  </si>
  <si>
    <t>0825.0</t>
  </si>
  <si>
    <t>1231.09c2Organizational.23</t>
  </si>
  <si>
    <t>0829.0</t>
  </si>
  <si>
    <t>1232.09c3Organizational.12</t>
  </si>
  <si>
    <t>0830.0</t>
  </si>
  <si>
    <t>1233.09c3Organizational.3</t>
  </si>
  <si>
    <t>0563.0</t>
  </si>
  <si>
    <t>1234.06cFTIOrganizational.1</t>
  </si>
  <si>
    <t>06.c Protection of Organizational Records</t>
  </si>
  <si>
    <t>0622.0</t>
  </si>
  <si>
    <t>1235.06j1Organizational.1</t>
  </si>
  <si>
    <t>0623.0</t>
  </si>
  <si>
    <t>1236.09d2System.2</t>
  </si>
  <si>
    <t>0624.0</t>
  </si>
  <si>
    <t>1237.06j2Organizational.23</t>
  </si>
  <si>
    <t>0625.0</t>
  </si>
  <si>
    <t>1238.06j2Organizational.45</t>
  </si>
  <si>
    <t>1918.0</t>
  </si>
  <si>
    <t>1239.09aa1System.4</t>
  </si>
  <si>
    <t>1919.0</t>
  </si>
  <si>
    <t>1240.09aa2System.56</t>
  </si>
  <si>
    <t>2014.0</t>
  </si>
  <si>
    <t>1244.09aa3System.5</t>
  </si>
  <si>
    <t>1122.0</t>
  </si>
  <si>
    <t>1245.09aaCMSSystem.1</t>
  </si>
  <si>
    <t>1123.0</t>
  </si>
  <si>
    <t>1246.09aaCMSSystem.2</t>
  </si>
  <si>
    <t>1124.0</t>
  </si>
  <si>
    <t>1247.09aaCMSSystem.3</t>
  </si>
  <si>
    <t>1125.0</t>
  </si>
  <si>
    <t>1248.09aaCMSSystem.4</t>
  </si>
  <si>
    <t>1126.0</t>
  </si>
  <si>
    <t>1249.09aaCMSSystem.5</t>
  </si>
  <si>
    <t>1133.2</t>
  </si>
  <si>
    <t>1250.09aaFTISystem.10</t>
  </si>
  <si>
    <t>1133.1</t>
  </si>
  <si>
    <t>1250.09aaFTISystem.11</t>
  </si>
  <si>
    <t>1133.3</t>
  </si>
  <si>
    <t>1250.09aaFTISystem.12</t>
  </si>
  <si>
    <t>1134.0</t>
  </si>
  <si>
    <t>1251.09aaFTISystem.3</t>
  </si>
  <si>
    <t>1135.0</t>
  </si>
  <si>
    <t>1252.09aaFTISystem.4</t>
  </si>
  <si>
    <t>1136.0</t>
  </si>
  <si>
    <t>1253.09aaFTISystem.5</t>
  </si>
  <si>
    <t>1137.0</t>
  </si>
  <si>
    <t>1254.09aaFTISystem.6</t>
  </si>
  <si>
    <t>1138.0</t>
  </si>
  <si>
    <t>1255.09aaFTISystem.7</t>
  </si>
  <si>
    <t>1140.0</t>
  </si>
  <si>
    <t>1257.09aaFTISystem.9</t>
  </si>
  <si>
    <t>1146.0</t>
  </si>
  <si>
    <t>1258.09aaPCISystem.1</t>
  </si>
  <si>
    <t>1921.0</t>
  </si>
  <si>
    <t>1259.09ab2System.9</t>
  </si>
  <si>
    <t>1262.06j2Organizational.3</t>
  </si>
  <si>
    <t>1208.0</t>
  </si>
  <si>
    <t>1264.09hCMSSystem.1</t>
  </si>
  <si>
    <t>1209.0</t>
  </si>
  <si>
    <t>1265.09acCMSSystem.3</t>
  </si>
  <si>
    <t>1210.0</t>
  </si>
  <si>
    <t>1266.09acCMSSystem.4</t>
  </si>
  <si>
    <t>1267.09aeFTISystem.1</t>
  </si>
  <si>
    <t>1214.0</t>
  </si>
  <si>
    <t>1269.09acFTISystem.3</t>
  </si>
  <si>
    <t>1216.0</t>
  </si>
  <si>
    <t>1270.09ad1System.12</t>
  </si>
  <si>
    <t>09.ad Administrator and Operator Logs</t>
  </si>
  <si>
    <t>1217.0</t>
  </si>
  <si>
    <t>1271.09ad2System.1</t>
  </si>
  <si>
    <t>1218.0</t>
  </si>
  <si>
    <t>1272.09ae1System.13</t>
  </si>
  <si>
    <t>Faults reported by users or by system programs related to problems with information processing or communications systems (1) are logged. Error logging (2) is enabled if this system function is available.</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</si>
  <si>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systems and examine evidence to confirm that error logging has been enabled. This can be confirmed through review of system configurations or evidence that error logs are generated. _x000D_
Further, examine evidence to confirm that faults reported by users or systems are logged, manually or electronically.</t>
  </si>
  <si>
    <t>1219.0</t>
  </si>
  <si>
    <t>1273.09ae2System.3</t>
  </si>
  <si>
    <t>1220.0</t>
  </si>
  <si>
    <t>1274.09ae2System.12</t>
  </si>
  <si>
    <t>1221.0</t>
  </si>
  <si>
    <t>1275.09ae2System.3</t>
  </si>
  <si>
    <t>0826.0</t>
  </si>
  <si>
    <t>1276.09c2Organizational.2</t>
  </si>
  <si>
    <t>0827.0</t>
  </si>
  <si>
    <t>1277.09c2Organizational.4</t>
  </si>
  <si>
    <t>0828.0</t>
  </si>
  <si>
    <t>1278.09c2Organizational.56</t>
  </si>
  <si>
    <t>0831.0</t>
  </si>
  <si>
    <t>1279.09c3Organizational.4</t>
  </si>
  <si>
    <t>1888.0</t>
  </si>
  <si>
    <t>1281.09aaCISSystem.10</t>
  </si>
  <si>
    <t>1121.0</t>
  </si>
  <si>
    <t>1282.09aaCISSystem.11</t>
  </si>
  <si>
    <t>1284.09abCISSystem.2</t>
  </si>
  <si>
    <t>1285.09abCISSystem.10</t>
  </si>
  <si>
    <t>1286.09abCISSystem.11</t>
  </si>
  <si>
    <t>1167.0</t>
  </si>
  <si>
    <t>1287.09abCISSystem.12</t>
  </si>
  <si>
    <t>1288.09abCISSystem.13</t>
  </si>
  <si>
    <t>1289.09abCISSystem.14</t>
  </si>
  <si>
    <t>1291.09abCISSystem.14</t>
  </si>
  <si>
    <t>1292.09abCISSystem.15</t>
  </si>
  <si>
    <t>1171.0</t>
  </si>
  <si>
    <t>1293.09abCISSystem.16</t>
  </si>
  <si>
    <t>1890.0</t>
  </si>
  <si>
    <t>1294.09hCISSystem.1</t>
  </si>
  <si>
    <t>1224.0</t>
  </si>
  <si>
    <t>1295.09af1System.2</t>
  </si>
  <si>
    <t>The organization uses at least two synchronized time sources from which all (1) servers and (2) network equipment retrieve time information on a regular basis so that timestamps in logs are consistent.</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</si>
  <si>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systems and network devices. Examine the clock synchronization configuration and confirm that at least two synchronized time sources (e.g., public or private NTP servers, Windows Time Service) are used to retrieve time information on a regular basis and are consistent.</t>
  </si>
  <si>
    <r>
      <rPr>
        <b/>
        <sz val="10"/>
        <color theme="1"/>
        <rFont val="Arial"/>
        <family val="2"/>
      </rPr>
      <t>Sample Test:</t>
    </r>
    <r>
      <rPr>
        <sz val="10"/>
        <color theme="1"/>
        <rFont val="Arial"/>
        <family val="2"/>
      </rPr>
      <t xml:space="preserve">
- Test 054: Endpoint Device (server)
- Test 180: Network Device (firewall)
- Test 182: Network Device (router)
- Test 183: Network Device (switch)
- Test 184: Network Device (wireless access point)
</t>
    </r>
    <r>
      <rPr>
        <b/>
        <sz val="10"/>
        <color theme="1"/>
        <rFont val="Arial"/>
        <family val="2"/>
      </rPr>
      <t xml:space="preserve">Additional Information: Examples
</t>
    </r>
    <r>
      <rPr>
        <sz val="10"/>
        <color theme="1"/>
        <rFont val="Arial"/>
        <family val="2"/>
      </rPr>
      <t>- public/private NTP server
- Windows Time Service</t>
    </r>
  </si>
  <si>
    <t>1141.0</t>
  </si>
  <si>
    <t>1296.09aaHIXSystem.1</t>
  </si>
  <si>
    <t>1142.0</t>
  </si>
  <si>
    <t>1297.09aaHIXSystem.2</t>
  </si>
  <si>
    <t>1997.0</t>
  </si>
  <si>
    <t>12975.09aaCSR002System.2</t>
  </si>
  <si>
    <t>1143.0</t>
  </si>
  <si>
    <t>1298.09aaHIXSystem.3</t>
  </si>
  <si>
    <t>1144.0</t>
  </si>
  <si>
    <t>1299.09aaHIXSystem.4</t>
  </si>
  <si>
    <t>13 Education, Training and Awareness</t>
  </si>
  <si>
    <t>2388.0</t>
  </si>
  <si>
    <t>13.00aCMSOrganizational.5</t>
  </si>
  <si>
    <t>13.00aFedRAMPOrganizational.3</t>
  </si>
  <si>
    <t>0195.0</t>
  </si>
  <si>
    <t>13.01p2System.4</t>
  </si>
  <si>
    <t>2316.0</t>
  </si>
  <si>
    <t>13.02e1Organizational.6</t>
  </si>
  <si>
    <t>Dedicated phishing awareness training (1) is developed as part of the organization’s onboarding program, (2) is documented and tracked, and (3) includes the recognition and reporting of potential phishing attempts.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</si>
  <si>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the organization conducts phishing awareness training that is developed as part of the organization\'s onboarding program. _x000D_
Confirm the configuration of the tools governing the assignment of phishing awareness training are implemented as stipulated in the organization policy. _x000D_
Select a sample of all onboarded personnel and confirm evidence that phishing awareness training was attended. _x000D_
Review phishing awareness training content and confirm that it includes the recognition and reporting of potential phishing attempts.</t>
  </si>
  <si>
    <r>
      <rPr>
        <b/>
        <sz val="10"/>
        <color theme="1"/>
        <rFont val="Arial"/>
        <family val="2"/>
      </rPr>
      <t>Evidence Test: Training Material</t>
    </r>
    <r>
      <rPr>
        <sz val="10"/>
        <color theme="1"/>
        <rFont val="Arial"/>
        <family val="2"/>
      </rPr>
      <t xml:space="preserve">
- phishing awareness provided during onboarding
- phishing awareness training tools implemented
- phishing awareness training includes recognition and reporting
</t>
    </r>
    <r>
      <rPr>
        <b/>
        <sz val="10"/>
        <color theme="1"/>
        <rFont val="Arial"/>
        <family val="2"/>
      </rPr>
      <t xml:space="preserve">
Sample Test:
</t>
    </r>
    <r>
      <rPr>
        <sz val="10"/>
        <color theme="1"/>
        <rFont val="Arial"/>
        <family val="2"/>
      </rPr>
      <t>- Test 200: Workforce Member (new hire)</t>
    </r>
  </si>
  <si>
    <t>3040.0</t>
  </si>
  <si>
    <t>13.02eAISecOrganizational.1</t>
  </si>
  <si>
    <t>The organization provides training no less than annually on AI security topics (e.g., vulnerabilities, threats, organizational policy requirements) for all teams involved in AI software and model creation and deployment, including (as applicable) |development, |data science, and |cybersecurity|| personnel.||</t>
  </si>
  <si>
    <t>Examine evidence that all evaluative elements within the requirement statement have been implemented as defined in the HITRUST scoring rubric, using a sample based test where possible for each evaluative element.
Example test(s):
For example, review the AI security training documentation to confirm that training is conducted no less than annually on AI security topics (e.g., vulnerabilities, threats, organizational policy requirements) for all teams involved in AI software and model creation and deployment. Further, confirm the training includes all development, data science, and cybersecurity personnel.</t>
  </si>
  <si>
    <r>
      <rPr>
        <b/>
        <sz val="10"/>
        <color theme="1"/>
        <rFont val="Arial"/>
        <family val="2"/>
      </rPr>
      <t>Evidence Test: Artificial Intelligence</t>
    </r>
    <r>
      <rPr>
        <sz val="10"/>
        <color theme="1"/>
        <rFont val="Arial"/>
        <family val="2"/>
      </rPr>
      <t xml:space="preserve">
- artificial intelligence training provided on: development
- artificial intelligence training provided on: data science
- artificial intelligence training provided on: cybersecurity
- artificial intelligence training is provided at least annually to all appropriate parties</t>
    </r>
  </si>
  <si>
    <t>2950.0</t>
  </si>
  <si>
    <t>13.02eATLASOrganizational.1</t>
  </si>
  <si>
    <t>2917.0</t>
  </si>
  <si>
    <t>13.02eCISOrganizational.2</t>
  </si>
  <si>
    <t>2541.0</t>
  </si>
  <si>
    <t>13.02eCMSOrganizational.3</t>
  </si>
  <si>
    <t>2566.0</t>
  </si>
  <si>
    <t>13.02eCMSOrganizational.4</t>
  </si>
  <si>
    <t>0352.0</t>
  </si>
  <si>
    <t>13.02eCMSOrganizational.6</t>
  </si>
  <si>
    <t>2425.0</t>
  </si>
  <si>
    <t>13.02eFedRAMPOrganizational.2</t>
  </si>
  <si>
    <t>2426.0</t>
  </si>
  <si>
    <t>13.02eFedRAMPOrganizational.3</t>
  </si>
  <si>
    <t>2620.0</t>
  </si>
  <si>
    <t>13.02eFTIOrganizational.10</t>
  </si>
  <si>
    <t>2621.0</t>
  </si>
  <si>
    <t>13.02eFTIOrganizational.11</t>
  </si>
  <si>
    <t>2623.0</t>
  </si>
  <si>
    <t>13.02eFTIOrganizational.12</t>
  </si>
  <si>
    <t>2638.0</t>
  </si>
  <si>
    <t>13.02eFTIOrganizational.13</t>
  </si>
  <si>
    <t>13.02eFTIOrganizational.14</t>
  </si>
  <si>
    <t>2663.0</t>
  </si>
  <si>
    <t>13.02eFTIOrganizational.15</t>
  </si>
  <si>
    <t>2582.0</t>
  </si>
  <si>
    <t>13.02eFTIOrganizational.5</t>
  </si>
  <si>
    <t>2583.0</t>
  </si>
  <si>
    <t>13.02eFTIOrganizational.6</t>
  </si>
  <si>
    <t>2596.0</t>
  </si>
  <si>
    <t>13.02eFTIOrganizational.7</t>
  </si>
  <si>
    <t>2600.0</t>
  </si>
  <si>
    <t>13.02eFTIOrganizational.8</t>
  </si>
  <si>
    <t>2619.0</t>
  </si>
  <si>
    <t>13.02eFTIOrganizational.9</t>
  </si>
  <si>
    <t>0347.0</t>
  </si>
  <si>
    <t>13.02eISO27001Organizational.2</t>
  </si>
  <si>
    <t>2927.0</t>
  </si>
  <si>
    <t>13.02eNIST800172Organizational.1</t>
  </si>
  <si>
    <t>2928.0</t>
  </si>
  <si>
    <t>13.02eNIST800172Organizational.2</t>
  </si>
  <si>
    <t>2577.0</t>
  </si>
  <si>
    <t>13.02eNIST80053Organizational.1</t>
  </si>
  <si>
    <t>0337.0</t>
  </si>
  <si>
    <t>13.02eNIST80053Organizational.5</t>
  </si>
  <si>
    <t>0342.0</t>
  </si>
  <si>
    <t>13.02eNIST80053Organizational.6</t>
  </si>
  <si>
    <t>2716.0</t>
  </si>
  <si>
    <t>13.02eNYDOHOrganizational.10</t>
  </si>
  <si>
    <t>2724.0</t>
  </si>
  <si>
    <t>13.02eNYDOHOrganizational.12</t>
  </si>
  <si>
    <t>2715.0</t>
  </si>
  <si>
    <t>13.02eNYDOHOrganizational.9</t>
  </si>
  <si>
    <t>2977.0</t>
  </si>
  <si>
    <t>13.02eTMRPAOrganizational.1</t>
  </si>
  <si>
    <t>2978.0</t>
  </si>
  <si>
    <t>13.02eTMRPAOrganizational.2</t>
  </si>
  <si>
    <t>2979.0</t>
  </si>
  <si>
    <t>13.02eTMRPAOrganizational.3</t>
  </si>
  <si>
    <t>13.04aNIST80053Organizational.3</t>
  </si>
  <si>
    <t>0654.0</t>
  </si>
  <si>
    <t>13.07cCMSOrganizational.3</t>
  </si>
  <si>
    <t>07.c Acceptable Use of Assets</t>
  </si>
  <si>
    <t>2391.0</t>
  </si>
  <si>
    <t>13.07cFedRAMPOrganizational.1</t>
  </si>
  <si>
    <t>2074.0</t>
  </si>
  <si>
    <t>13.13tNYDOHOrganizational.3</t>
  </si>
  <si>
    <t>13.t Privacy Protection Awareness and Training</t>
  </si>
  <si>
    <t>2075.0</t>
  </si>
  <si>
    <t>13.13tNYDOHOrganizational.4</t>
  </si>
  <si>
    <t>0333.0</t>
  </si>
  <si>
    <t>1301.02e2Organizational.7</t>
  </si>
  <si>
    <t>1302.02e2Organizational.134</t>
  </si>
  <si>
    <t>0338.0</t>
  </si>
  <si>
    <t>1303.02e2Organizational.2</t>
  </si>
  <si>
    <t>0343.0</t>
  </si>
  <si>
    <t>1304.02e1Organizational.7</t>
  </si>
  <si>
    <t>The organization provides role-based security-related training, especially for personnel with significant security responsibilities (e.g., system administrators), (1) prior to accessing the organization’s information resources, (2) when required by system or environment changes, (3) when entering into a new position that requires additional role-specific training, and (4) no less than annually thereafter.</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</si>
  <si>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employees and determine if each was trained on the duties specific to their role. For example, system administrators and financial accountants receive specific security-related training according to their roles. _x000D_
Examine evidence to confirm that the role-based training was provided no less than annually. _x000D_
Further, select a sample of significant system and environment changes and ensure that personnel with significant security responsibilities received updated role-specific training as needed. _x000D_
Further, select a sample of personnel entering into a role with significant security responsibilities and ensure that each received role-specific training.</t>
  </si>
  <si>
    <r>
      <rPr>
        <b/>
        <sz val="10"/>
        <color theme="1"/>
        <rFont val="Arial"/>
        <family val="2"/>
      </rPr>
      <t>Sample Test:</t>
    </r>
    <r>
      <rPr>
        <sz val="10"/>
        <color theme="1"/>
        <rFont val="Arial"/>
        <family val="2"/>
      </rPr>
      <t xml:space="preserve">
- Test 039: Change (significant to environment)
- Test 192: Workforce Member (contractor)
- Test 193: Workforce Member (employee)
- Test 194: Workforce Member (entering security role)
- Test 212: Workforce Member (third party user)</t>
    </r>
  </si>
  <si>
    <t>0344.0</t>
  </si>
  <si>
    <t>1305.02e3Organizational.23</t>
  </si>
  <si>
    <t>0587.0</t>
  </si>
  <si>
    <t>1306.06e1Organizational.5</t>
  </si>
  <si>
    <t>0653.0</t>
  </si>
  <si>
    <t>1307.07c1Organizational.124</t>
  </si>
  <si>
    <t>0875.1</t>
  </si>
  <si>
    <t>1308.09j1Organizational.5</t>
  </si>
  <si>
    <t>The organization |prohibits users from installing unauthorized software, including data and software from external networks, |and disables any auto-run features which allow file execution without user authorization (such as when files are downloaded from the Internet or when removable media is inserted).|| Users |are made aware and trained on requirements relating to prohibition of installing unauthorized software, including data and software from external networks.||</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</si>
  <si>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examine evidence to confirm that the organization prevents the installation of unauthorized software through technical means (e.g., endpoint application whitelisting, Microsoft local/group policy access restriction). _x000D_
Further, examine evidence to confirm that auto-run features allowing the execution of files without user authorization (such as when files are downloaded from the Internet or when removable media is inserted) are disabled. _x000D_
Further, examine evidence to confirm that users are aware and trained (e.g., formal training, policy sign-off, awareness campaigns) on these requirements.</t>
  </si>
  <si>
    <r>
      <rPr>
        <b/>
        <sz val="10"/>
        <color theme="1"/>
        <rFont val="Arial"/>
        <family val="2"/>
      </rPr>
      <t>Evidence Test: Unauthorized Software</t>
    </r>
    <r>
      <rPr>
        <sz val="10"/>
        <color theme="1"/>
        <rFont val="Arial"/>
        <family val="2"/>
      </rPr>
      <t xml:space="preserve">
- installation prevented through technical means
- auto-run feature of downloaded programs disabled
- workforce members aware and trained on restrictions
</t>
    </r>
    <r>
      <rPr>
        <b/>
        <sz val="10"/>
        <color theme="1"/>
        <rFont val="Arial"/>
        <family val="2"/>
      </rPr>
      <t>Additional Information: Examples</t>
    </r>
    <r>
      <rPr>
        <sz val="10"/>
        <color theme="1"/>
        <rFont val="Arial"/>
        <family val="2"/>
      </rPr>
      <t xml:space="preserve">
- technical means: Endpoint Protection
- technical means: Microsoft Group Policy</t>
    </r>
  </si>
  <si>
    <t>0268.0</t>
  </si>
  <si>
    <t>1309.01x2Organizational.4</t>
  </si>
  <si>
    <t>0283.0</t>
  </si>
  <si>
    <t>1310.01y2Organizational.1</t>
  </si>
  <si>
    <t>2073.0</t>
  </si>
  <si>
    <t>13100.02eNYDOHOrganizational.4</t>
  </si>
  <si>
    <t>13101.02eNYDOHOrganizational.5</t>
  </si>
  <si>
    <t>13102.02eNYDOHOrganizational.6</t>
  </si>
  <si>
    <t>2076.0</t>
  </si>
  <si>
    <t>13103.02eNYDOHOrganizational.7</t>
  </si>
  <si>
    <t>2077.0</t>
  </si>
  <si>
    <t>13104.02eNYDOHOrganizational.8</t>
  </si>
  <si>
    <t>2078.0</t>
  </si>
  <si>
    <t>13105.02eNYDOHOrganizational.9</t>
  </si>
  <si>
    <t>1518.0</t>
  </si>
  <si>
    <t>1311.12c2Organizational.3</t>
  </si>
  <si>
    <t>12.c Developing and Implementing Continuity Plans Including Information Security</t>
  </si>
  <si>
    <t>1312.01p3System.3</t>
  </si>
  <si>
    <t>0334.0</t>
  </si>
  <si>
    <t>1313.02e2Organizational.8</t>
  </si>
  <si>
    <t>0339.0</t>
  </si>
  <si>
    <t>1314.02e2Organizational.5</t>
  </si>
  <si>
    <t>0340.0</t>
  </si>
  <si>
    <t>1315.02e2Organizational.67</t>
  </si>
  <si>
    <t>0350.0</t>
  </si>
  <si>
    <t>1316.02eCMSOrganizational.12</t>
  </si>
  <si>
    <t>0351.0</t>
  </si>
  <si>
    <t>1317.02eCMSOrganizational.3</t>
  </si>
  <si>
    <t>0353.0</t>
  </si>
  <si>
    <t>1318.02eFACOrganizational.1</t>
  </si>
  <si>
    <t>0355.0</t>
  </si>
  <si>
    <t>1319.02eFTIOrganizational.123</t>
  </si>
  <si>
    <t>0357.0</t>
  </si>
  <si>
    <t>1321.02eFTIOrganizational.5</t>
  </si>
  <si>
    <t>0358.0</t>
  </si>
  <si>
    <t>1322.02eFTIOrganizational.6</t>
  </si>
  <si>
    <t>0359.0</t>
  </si>
  <si>
    <t>1323.02ePCIOrganizational.12</t>
  </si>
  <si>
    <t>1324.07c2Organizational.1</t>
  </si>
  <si>
    <t>1053.0</t>
  </si>
  <si>
    <t>1325.09s2Organizational.4</t>
  </si>
  <si>
    <t>0335.0</t>
  </si>
  <si>
    <t>1326.02e2Organizational.9</t>
  </si>
  <si>
    <t>0341.0</t>
  </si>
  <si>
    <t>1327.02e2Organizational.8</t>
  </si>
  <si>
    <t>1328.02eCISOrganizational.9</t>
  </si>
  <si>
    <t>2253.0</t>
  </si>
  <si>
    <t>13280.02eDGFOrganizational.1</t>
  </si>
  <si>
    <t>2268.0</t>
  </si>
  <si>
    <t>13295.00aNIST80053Organizational.2</t>
  </si>
  <si>
    <t>0345.0</t>
  </si>
  <si>
    <t>1331.02e3Organizational.4</t>
  </si>
  <si>
    <t>1332.02eEHNACOrganizational.1</t>
  </si>
  <si>
    <t>0354.0</t>
  </si>
  <si>
    <t>1333.02eFedRAMPOrganizational.1</t>
  </si>
  <si>
    <t>1334.02e2Organizational.12</t>
  </si>
  <si>
    <t>0346.0</t>
  </si>
  <si>
    <t>1335.02eCFRPart11Organizational.1</t>
  </si>
  <si>
    <t>0336.0</t>
  </si>
  <si>
    <t>1336.02e2Organizational.10</t>
  </si>
  <si>
    <t>2070.0</t>
  </si>
  <si>
    <t>13997.02eNYDOHOrganizational.1</t>
  </si>
  <si>
    <t>2071.0</t>
  </si>
  <si>
    <t>13998.02e1Organizational.2</t>
  </si>
  <si>
    <t>The organization (1) provides basic security awareness training to information system users (including managers, senior executives, and contractors) as part of initial training for new users, prior to accessing any system’s information.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</si>
  <si>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newly hired personnel to confirm the organization provided basic security awareness training to information system users (including managers, senior executives, and contractors) as part of initial training, prior to accessing any system’s information.</t>
  </si>
  <si>
    <t>2072.0</t>
  </si>
  <si>
    <t>13999.02eNYDOHOrganizational.3</t>
  </si>
  <si>
    <t>14 Third Party Assurance</t>
  </si>
  <si>
    <t>2892.0</t>
  </si>
  <si>
    <t>14.05dFFIECCATOrganizational.2</t>
  </si>
  <si>
    <t>3050.0</t>
  </si>
  <si>
    <t>14.05iAISecOrganizational.1</t>
  </si>
  <si>
    <t>For externally sourced AI models deployed by the organization in production applications, the organization |reviews the model card prior to deployment.||</t>
  </si>
  <si>
    <t>Examine evidence that all evaluative elements within the requirement statement have been implemented as defined in the HITRUST scoring rubric, using a sample based test where possible for each evaluative element.
Example test(s):
For example, review the externally sourced AI models deployed in production applications and confirm the organization reviews the model card prior to deployment.</t>
  </si>
  <si>
    <r>
      <rPr>
        <b/>
        <sz val="10"/>
        <color theme="1"/>
        <rFont val="Arial"/>
        <family val="2"/>
      </rPr>
      <t>Evidence Test: Artificial Intelligence (evaluation)</t>
    </r>
    <r>
      <rPr>
        <sz val="10"/>
        <color theme="1"/>
        <rFont val="Arial"/>
        <family val="2"/>
      </rPr>
      <t xml:space="preserve">
- externally sourced AI model cards are reviewed prior to deployment</t>
    </r>
  </si>
  <si>
    <t>3025.0</t>
  </si>
  <si>
    <t>14.05iDORAOrganizational.1</t>
  </si>
  <si>
    <t>3031.0</t>
  </si>
  <si>
    <t>14.05iDORAOrganizational.2</t>
  </si>
  <si>
    <t>2781.0</t>
  </si>
  <si>
    <t>14.05iNIST80053Organizational.1</t>
  </si>
  <si>
    <t>0506.0</t>
  </si>
  <si>
    <t>14.05iNIST80053Organizational.3</t>
  </si>
  <si>
    <t>2727.0</t>
  </si>
  <si>
    <t>14.05iNYDOHOrganizational.3</t>
  </si>
  <si>
    <t>2729.0</t>
  </si>
  <si>
    <t>14.05iNYDOHOrganizational.4</t>
  </si>
  <si>
    <t>2730.0</t>
  </si>
  <si>
    <t>14.05iNYDOHOrganizational.5</t>
  </si>
  <si>
    <t>2731.0</t>
  </si>
  <si>
    <t>14.05iNYDOHOrganizational.6</t>
  </si>
  <si>
    <t>2542.0</t>
  </si>
  <si>
    <t>14.05jCMSOrganizational.1</t>
  </si>
  <si>
    <t>05.j Addressing Security When Dealing with Customers</t>
  </si>
  <si>
    <t>2907.0</t>
  </si>
  <si>
    <t>14.05jFFIECCATOrganizational.2</t>
  </si>
  <si>
    <t>3051.0</t>
  </si>
  <si>
    <t>14.05kAISecOrganizational.1</t>
  </si>
  <si>
    <t>05.k Addressing Security in Third Party Agreements</t>
  </si>
  <si>
    <t>Agreements between the organization and external commercial providers of AI system components and services clearly communicate the organization’s AI security requirements, including agreements with providers of AI |models, |datasets, |software packages, |platforms and computing infrastructure, |language model tools such as agents and plugins, and |contracted AI system-related services (e.g., outsourced AI system development),|| as applicable.||</t>
  </si>
  <si>
    <t>Examine evidence that all evaluative elements within the requirement statement have been implemented as defined in the HITRUST scoring rubric, using a sample based test where possible for each evaluative element.
Example test(s):
For example, review a sample of agreements between the organization and external commercial providers of AI system components and services to evidence these documents clearly communicate the organization’s AI security requirements. Further, confirm that agreements are in place with all providers of AI models, datasets, software packages, platforms and computing infrastructure, language model tools such as agents and plugins, and contracted AI system-related services (e.g., outsourced AI system development), as applicable.</t>
  </si>
  <si>
    <r>
      <rPr>
        <b/>
        <sz val="10"/>
        <color theme="1"/>
        <rFont val="Arial"/>
        <family val="2"/>
      </rPr>
      <t>Samples Test:</t>
    </r>
    <r>
      <rPr>
        <sz val="10"/>
        <color theme="1"/>
        <rFont val="Arial"/>
        <family val="2"/>
      </rPr>
      <t xml:space="preserve">
- Test : External Entity (Commercial Provider of AI System Component and Service)
Provide evidence that an agreement was executed that included security requirements for AI models for all selected samples.
Provide evidence that an agreement was executed that included security requirements for AI datasets for all selected samples.
Provide evidence that an agreement was executed that included security requirements for AI software packages for all selected samples.
Provide evidence that an agreement was executed that included security requirements for AI platforms and computing infrastructure for all selected samples.
Provide evidence that an agreement was executed that included security requirements for AI language model tools for all selected samples.
Provide evidence that an agreement was executed that included contracted AI system-related services for all selected samples.</t>
    </r>
  </si>
  <si>
    <t>3019.0</t>
  </si>
  <si>
    <t>14.05kDORAOrganizational.1</t>
  </si>
  <si>
    <t>3020.0</t>
  </si>
  <si>
    <t>14.05kDORAOrganizational.2</t>
  </si>
  <si>
    <t>3021.0</t>
  </si>
  <si>
    <t>14.05kDORAOrganizational.3</t>
  </si>
  <si>
    <t>3022.0</t>
  </si>
  <si>
    <t>14.05kDORAOrganizational.4</t>
  </si>
  <si>
    <t>3023.0</t>
  </si>
  <si>
    <t>14.05kDORAOrganizational.5</t>
  </si>
  <si>
    <t>3024.0</t>
  </si>
  <si>
    <t>14.05kDORAOrganizational.6</t>
  </si>
  <si>
    <t>3026.0</t>
  </si>
  <si>
    <t>14.05kDORAOrganizational.7</t>
  </si>
  <si>
    <t>2909.0</t>
  </si>
  <si>
    <t>14.05kFFIECCATOrganizational.2</t>
  </si>
  <si>
    <t>2500.0</t>
  </si>
  <si>
    <t>14.05kFTIOrganizational.3</t>
  </si>
  <si>
    <t>2645.0</t>
  </si>
  <si>
    <t>14.05kFTIOrganizational.4</t>
  </si>
  <si>
    <t>2306.0</t>
  </si>
  <si>
    <t>14.05kNIST80053Organizational.2</t>
  </si>
  <si>
    <t>2970.0</t>
  </si>
  <si>
    <t>14.05kOWASPOrganizational.1</t>
  </si>
  <si>
    <t>2610.0</t>
  </si>
  <si>
    <t>14.09eCMSSystem.1</t>
  </si>
  <si>
    <t>09.e Service Delivery</t>
  </si>
  <si>
    <t>3027.0</t>
  </si>
  <si>
    <t>14.09eDORASystem.1</t>
  </si>
  <si>
    <t>2445.0</t>
  </si>
  <si>
    <t>14.09eFedRAMPSystem.1</t>
  </si>
  <si>
    <t>3049.0</t>
  </si>
  <si>
    <t>14.09fAISecSystem.1</t>
  </si>
  <si>
    <t>The organization performs an evaluation of the security posture of any external commercial providers of AI system components, including AI |models; |datasets; |software packages (e.g., those for model creation, training, and/or deployment); |platforms and computing infrastructure; and |language model tools such as agents and plugins, as applicable.|| This evaluation is performed |during onboarding of the provider and |on a routine basis thereafter in accordance with the organization’s supplier oversight processes.||</t>
  </si>
  <si>
    <t>Examine evidence that all evaluative elements within the requirement statement have been implemented as defined in the HITRUST scoring rubric, using a sample based test where possible for each evaluative element.
Example test(s):
For example, review documentation associated with a sample of external commercial providers of AI system components to ensure the organization performed an evaluation of their security posture. Further, confirm that this evaluation is conducted during the provider’s onboarding and on a routine basis thereafter, in accordance with the organization’s supplier oversight processes.</t>
  </si>
  <si>
    <r>
      <rPr>
        <b/>
        <sz val="10"/>
        <color theme="1"/>
        <rFont val="Arial"/>
        <family val="2"/>
      </rPr>
      <t>Samples Test:</t>
    </r>
    <r>
      <rPr>
        <sz val="10"/>
        <color theme="1"/>
        <rFont val="Arial"/>
        <family val="2"/>
      </rPr>
      <t xml:space="preserve">
- Test : External Entity (Commercial Provider of AI System Component and Service)
Provide evidence that due diligence is performed during onboarding and annually thereafter for all selected samples.
Provide evidence that due diligence included evaluation of security regarding models for all selected samples.
Provide evidence that due diligence included evaluation of security regarding datasets for all selected samples.
Provide evidence that due diligence included evaluation of security regarding software packages for all selected samples.
Provide evidence that due diligence included evaluation of security regarding platforms and computing infrastructure for all selected samples.
Provide evidence that due diligence included evaluation of security regarding language model tools for all selected samples.</t>
    </r>
  </si>
  <si>
    <t>2910.0</t>
  </si>
  <si>
    <t>14.09fFFIECCATSystem.2</t>
  </si>
  <si>
    <t>2908.0</t>
  </si>
  <si>
    <t>14.09fFFIECCATSystem.3</t>
  </si>
  <si>
    <t>1073.0</t>
  </si>
  <si>
    <t>14.09tDEIDOrganizational.3</t>
  </si>
  <si>
    <t>2881.0</t>
  </si>
  <si>
    <t>14.09tFFIECCATOrganizational.2</t>
  </si>
  <si>
    <t>2499.0</t>
  </si>
  <si>
    <t>14.10aFTIOrganizational.7</t>
  </si>
  <si>
    <t>2506.0</t>
  </si>
  <si>
    <t>14.10aFTIOrganizational.9</t>
  </si>
  <si>
    <t>0499.0</t>
  </si>
  <si>
    <t>1401.05i2Organizational.3</t>
  </si>
  <si>
    <t>0500.0</t>
  </si>
  <si>
    <t>1402.05i2Organizational.4</t>
  </si>
  <si>
    <t>0501.0</t>
  </si>
  <si>
    <t>1403.05i1Organizational.67</t>
  </si>
  <si>
    <t>0503.0</t>
  </si>
  <si>
    <t>1404.05i3Organizational.1</t>
  </si>
  <si>
    <t>0522.1</t>
  </si>
  <si>
    <t>1406.05k2Organizational.2</t>
  </si>
  <si>
    <t>0522.2</t>
  </si>
  <si>
    <t>1406.05k2Organizational.3</t>
  </si>
  <si>
    <t>0528.0</t>
  </si>
  <si>
    <t>1407.05k2Organizational.1</t>
  </si>
  <si>
    <t>0838.0</t>
  </si>
  <si>
    <t>1408.09e1System.1</t>
  </si>
  <si>
    <t>0839.0</t>
  </si>
  <si>
    <t>1409.09e2System.1</t>
  </si>
  <si>
    <t>0840.0</t>
  </si>
  <si>
    <t>1410.09e2System.23</t>
  </si>
  <si>
    <t>0848.0</t>
  </si>
  <si>
    <t>1411.09f1System.1</t>
  </si>
  <si>
    <t>0849.0</t>
  </si>
  <si>
    <t>1412.09f3System.1</t>
  </si>
  <si>
    <t>0850.0</t>
  </si>
  <si>
    <t>1413.09f2System.3</t>
  </si>
  <si>
    <t>0853.0</t>
  </si>
  <si>
    <t>1414.09g1System.1</t>
  </si>
  <si>
    <t>09.g Managing Changes to Third Party Services</t>
  </si>
  <si>
    <t>The organization (1) ensures that third-party organizations use appropriate change management procedures for any changes to a third-party service or organizational system.</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</si>
  <si>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service agreements and confirm that requirements have been formally defined for third-parties to use appropriate change management procedures defined by the organization. _x000D_
Select a sample of changes to a third-party service or organizational system and confirm that the change was compliant with the procedures defined by the third-party and the organization.</t>
  </si>
  <si>
    <r>
      <rPr>
        <b/>
        <sz val="10"/>
        <color theme="1"/>
        <rFont val="Arial"/>
        <family val="2"/>
      </rPr>
      <t>Sample Test:</t>
    </r>
    <r>
      <rPr>
        <sz val="10"/>
        <color theme="1"/>
        <rFont val="Arial"/>
        <family val="2"/>
      </rPr>
      <t xml:space="preserve">
- Test 038: Change (related to third party service/system)</t>
    </r>
  </si>
  <si>
    <t>0854.0</t>
  </si>
  <si>
    <t>1415.09g2System.12</t>
  </si>
  <si>
    <t>1365.0</t>
  </si>
  <si>
    <t>1416.10l1Organizational.1</t>
  </si>
  <si>
    <t>10.l Outsourced Software Development</t>
  </si>
  <si>
    <t>1366.0</t>
  </si>
  <si>
    <t>1417.10l2Organizational.1</t>
  </si>
  <si>
    <t>0502.0</t>
  </si>
  <si>
    <t>1418.05i2Organizational.5</t>
  </si>
  <si>
    <t>2161.0</t>
  </si>
  <si>
    <t>14189.09eNYDOHSystem.2</t>
  </si>
  <si>
    <t>1749.0</t>
  </si>
  <si>
    <t>1419.05j1Organizational.12</t>
  </si>
  <si>
    <t>The following security term is addressed prior to giving customers access to any of the organization’s assets: (1) description of the product or service to be provided; (2) the right to monitor, and revoke, any activity related to the organization’s assets; (3) the respective liabilities of the organization and the customer. It is ensured that (4) the customer is aware of their obligations. It is ensured that (5) the customer accepts the responsibilities and liabilities prior to accessing, processing, communicating, or managing the organization’s information and information assets.</t>
  </si>
  <si>
    <t>Examine evidence that all evaluative elements within the requirement statement have been implemented as defined in the HITRUST scoring rubric, using a sample based test where possible for each evaluative element._x000D_
_x000D_
_x000D_
Example test(s):_x000D_
For example, observe the process of providing customer access to any of the organization assets and confirm that they agree to the organization\'s terms and conditions. _x000D_
Examine the terms and conditions provided to customers and confirm that it includes: _x000D_
(i) a description of the product or service to be provided; _x000D_
(ii) the right to monitor, and revoke, any activity related to the organization\'s assets; and _x000D_
(iii) the respective liabilities of the organization and the customer. _x000D_
Further, observe this process to confirm that customers are aware of their obligations, and accept the responsibilities and liabilities involved in accessing, processing, communicating, or managing the organization\'s information and information assets. This can be confirmed through examination of formal acceptance or acknowledgement of the organization\'s terms and conditions.</t>
  </si>
  <si>
    <r>
      <rPr>
        <b/>
        <sz val="10"/>
        <color theme="1"/>
        <rFont val="Arial"/>
        <family val="2"/>
      </rPr>
      <t>Evidence Test: Customer Access (terms and conditions)</t>
    </r>
    <r>
      <rPr>
        <sz val="10"/>
        <color theme="1"/>
        <rFont val="Arial"/>
        <family val="2"/>
      </rPr>
      <t xml:space="preserve">
- defines description of product/service
- defines the right to monitor and revoke access
- defines liability of both parties
- acknowledgement/acceptance of terms and conditions</t>
    </r>
  </si>
  <si>
    <t>0511.0</t>
  </si>
  <si>
    <t>1420.05jHIPAAOrganizational.34</t>
  </si>
  <si>
    <t>0513.0</t>
  </si>
  <si>
    <t>1421.05j2Organizational.12</t>
  </si>
  <si>
    <t>2189.0</t>
  </si>
  <si>
    <t>14217.09tNYDOHOrganizational.2</t>
  </si>
  <si>
    <t>2191.0</t>
  </si>
  <si>
    <t>14219.10aNYDOHOrganizational.1</t>
  </si>
  <si>
    <t>0514.0</t>
  </si>
  <si>
    <t>1422.05j2Organizational.3</t>
  </si>
  <si>
    <t>2197.0</t>
  </si>
  <si>
    <t>14225.10aNYDOHOrganizational.7</t>
  </si>
  <si>
    <t>2198.0</t>
  </si>
  <si>
    <t>14226.10aNYDOHOrganizational.8</t>
  </si>
  <si>
    <t>0515.0</t>
  </si>
  <si>
    <t>1423.05j2Organizational.4</t>
  </si>
  <si>
    <t>0516.0</t>
  </si>
  <si>
    <t>1424.05j2Organizational.5</t>
  </si>
  <si>
    <t>2243.0</t>
  </si>
  <si>
    <t>14271.13rNYDOHOrganizational.1</t>
  </si>
  <si>
    <t>13.r Privacy Requirements for Contractors and Processors</t>
  </si>
  <si>
    <t>0523.0</t>
  </si>
  <si>
    <t>1428.05k1Organizational.2</t>
  </si>
  <si>
    <t>0524.0</t>
  </si>
  <si>
    <t>1429.05k2Organizational.4</t>
  </si>
  <si>
    <t>0525.0</t>
  </si>
  <si>
    <t>1430.05k2Organizational.5</t>
  </si>
  <si>
    <t>0526.0</t>
  </si>
  <si>
    <t>1431.05k2Organizational.6</t>
  </si>
  <si>
    <t>0527.0</t>
  </si>
  <si>
    <t>1432.05k2Organizational.7</t>
  </si>
  <si>
    <t>0533.1</t>
  </si>
  <si>
    <t>1433.05kFTIOrganizational.5</t>
  </si>
  <si>
    <t>0534.0</t>
  </si>
  <si>
    <t>1434.05kFTIOrganizational.23</t>
  </si>
  <si>
    <t>0540.0</t>
  </si>
  <si>
    <t>1435.05kHIEOrganizational.1</t>
  </si>
  <si>
    <t>0541.0</t>
  </si>
  <si>
    <t>1436.05kHIXOrganizational.1</t>
  </si>
  <si>
    <t>0542.0</t>
  </si>
  <si>
    <t>1437.05kPCIOrganizational.1</t>
  </si>
  <si>
    <t>0841.0</t>
  </si>
  <si>
    <t>1438.09e2System.4</t>
  </si>
  <si>
    <t>0844.1</t>
  </si>
  <si>
    <t>1439.09eFTISystem.3</t>
  </si>
  <si>
    <t>0845.0</t>
  </si>
  <si>
    <t>1440.09eFTISystem.2</t>
  </si>
  <si>
    <t>0846.0</t>
  </si>
  <si>
    <t>1441.09eHIXSystem.1</t>
  </si>
  <si>
    <t>0851.0</t>
  </si>
  <si>
    <t>1442.09f2System.456</t>
  </si>
  <si>
    <t>0852.0</t>
  </si>
  <si>
    <t>1443.09fCMSSystem.1</t>
  </si>
  <si>
    <t>1072.0</t>
  </si>
  <si>
    <t>1444.09t1Organizational.12</t>
  </si>
  <si>
    <t>Exchange and data sharing agreements (1) specify the minimum set of controls on responsibility, procedures, technical standards, and solutions. The exchange and data sharing agreements also specify organization policies including: (2) classification policy for the sensitivity of the business information; (3) management responsibilities for controlling and notifying transmission, dispatch, and receipt; (4) procedures for notifying sender of transmission, dispatch, and receipt; (5) procedures to ensure traceability and non-repudiation; (6) minimum technical standards for packaging and transmission; (7) courier identification standards; (8) responsibilities and liabilities in the event of information security incidents, such as loss of data; (9) use of an agreed labeling system for covered or critical information, ensuring that the meaning of the labels is immediately understood and that the information is appropriately protected; (10) ownership and responsibilities for data protection, copyright, software license compliance and similar considerations; (11) technical standards for recording and reading information and software; (12) any special controls that may be required to protect covered items, including cryptographic keys; and (13) escrow agreements.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</si>
  <si>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third-parties where a transfer of business information is required. Confirm that an exchange and data sharing agreement is in place that defines the minimum set of controls on responsibility, procedures, technical standards, and solutions. _x000D_
Further, examine the exchange agreement and confirm that the agreement also specifies the organization\'s policies which include the following: _x000D_
classification policy for the sensitivity of the business information; _x000D_
management responsibilities for controlling and notifying transmission, dispatch, and receipt; _x000D_
procedures for notifying sender of transmission, dispatch, and receipt; _x000D_
procedures to ensure traceability and non-repudiation; _x000D_
minimum technical standards for packaging and transmission; _x000D_
courier identification standards; _x000D_
responsibilities and liabilities in the event of information security incidents, such as loss of data; _x000D_
use of an agreed labeling system for covered or critical information, ensuring that the meaning of the labels is immediately understood and that the information is appropriately protected; _x000D_
ownership and responsibilities for data protection, copyright, software license compliance and similar considerations; _x000D_
technical standards for recording and reading information and software; _x000D_
any special controls that may be required to protect covered items, including cryptographic keys; and _x000D_
escrow agreements.</t>
  </si>
  <si>
    <t>1445.09t2Organizational.1</t>
  </si>
  <si>
    <t>1367.0</t>
  </si>
  <si>
    <t>1448.10lCMSOrganizational.1</t>
  </si>
  <si>
    <t>0504.0</t>
  </si>
  <si>
    <t>1450.05i2Organizational.2</t>
  </si>
  <si>
    <t>0505.0</t>
  </si>
  <si>
    <t>1451.05iCSPOrganizational.2</t>
  </si>
  <si>
    <t>0529.0</t>
  </si>
  <si>
    <t>1452.05kCSPOrganizational.1</t>
  </si>
  <si>
    <t>0530.0</t>
  </si>
  <si>
    <t>1453.05kCSPOrganizational.2</t>
  </si>
  <si>
    <t>0531.0</t>
  </si>
  <si>
    <t>1454.05kCSPOrganizational.3</t>
  </si>
  <si>
    <t>0532.0</t>
  </si>
  <si>
    <t>1455.05kCSPOrganizational.4</t>
  </si>
  <si>
    <t>0843.0</t>
  </si>
  <si>
    <t>1456.09eDEIDSystem.1</t>
  </si>
  <si>
    <t>0847.0</t>
  </si>
  <si>
    <t>1458.09eHIXSystem.2</t>
  </si>
  <si>
    <t>0507.0</t>
  </si>
  <si>
    <t>1459.05iFFIECISOrganizational.1</t>
  </si>
  <si>
    <t>0508.0</t>
  </si>
  <si>
    <t>1460.05iFFIECISOrganizational.2</t>
  </si>
  <si>
    <t>0509.0</t>
  </si>
  <si>
    <t>1461.05iFFIECISOrganizational.3</t>
  </si>
  <si>
    <t>0517.0</t>
  </si>
  <si>
    <t>1462.05jFFIECISOrganizational.1</t>
  </si>
  <si>
    <t>0518.0</t>
  </si>
  <si>
    <t>1463.05jFFIECISOrganizational.2</t>
  </si>
  <si>
    <t>0535.0</t>
  </si>
  <si>
    <t>1464.05kGDPROrganizational.1</t>
  </si>
  <si>
    <t>0842.0</t>
  </si>
  <si>
    <t>1464.09e2System.5</t>
  </si>
  <si>
    <t>1465.05iFedRAMPOrganizational.1</t>
  </si>
  <si>
    <t>0536.0</t>
  </si>
  <si>
    <t>1465.05kGDPROrganizational.2</t>
  </si>
  <si>
    <t>0537.0</t>
  </si>
  <si>
    <t>1466.05kGDPROrganizational.3</t>
  </si>
  <si>
    <t>0538.0</t>
  </si>
  <si>
    <t>1467.05kGDPROrganizational.4</t>
  </si>
  <si>
    <t>0539.0</t>
  </si>
  <si>
    <t>1468.05kGDPROrganizational.5</t>
  </si>
  <si>
    <t>1948.0</t>
  </si>
  <si>
    <t>14908.05kSROrganizational.1</t>
  </si>
  <si>
    <t>1956.0</t>
  </si>
  <si>
    <t>14909.09fSRSystem.2</t>
  </si>
  <si>
    <t>1949.0</t>
  </si>
  <si>
    <t>14912.05kSROrganizational.2</t>
  </si>
  <si>
    <t>1987.0</t>
  </si>
  <si>
    <t>14963.09eCSR002System.3</t>
  </si>
  <si>
    <t>1988.0</t>
  </si>
  <si>
    <t>14964.09eCSR002System.3</t>
  </si>
  <si>
    <t>1986.0</t>
  </si>
  <si>
    <t>14965.05kCSR002Organizational.1</t>
  </si>
  <si>
    <t>1985.0</t>
  </si>
  <si>
    <t>14966.05iCSR002Organizational.1</t>
  </si>
  <si>
    <t>2473.0</t>
  </si>
  <si>
    <t>15.00aFedRAMPOrganizational.17</t>
  </si>
  <si>
    <t>2490.0</t>
  </si>
  <si>
    <t>15.00aFedRAMPOrganizational.18</t>
  </si>
  <si>
    <t>2590.0</t>
  </si>
  <si>
    <t>15.00aNIST80053Organizational.33</t>
  </si>
  <si>
    <t>15 Incident Management</t>
  </si>
  <si>
    <t>0361.0</t>
  </si>
  <si>
    <t>15.02fHIPAAOrganizational.3</t>
  </si>
  <si>
    <t>1476.0</t>
  </si>
  <si>
    <t>15.08jFedRAMPOrganizational.3</t>
  </si>
  <si>
    <t>08.j Equipment Maintenance</t>
  </si>
  <si>
    <t>3028.0</t>
  </si>
  <si>
    <t>15.09tDORAOrganizational.1</t>
  </si>
  <si>
    <t>3033.0</t>
  </si>
  <si>
    <t>15.09tDORAOrganizational.2</t>
  </si>
  <si>
    <t>2346.0</t>
  </si>
  <si>
    <t>15.10cHICPSystem.1</t>
  </si>
  <si>
    <t>1277.0</t>
  </si>
  <si>
    <t>15.10cNIST80053System.5</t>
  </si>
  <si>
    <t>2525.0</t>
  </si>
  <si>
    <t>15.11aFTIOrganizational.3</t>
  </si>
  <si>
    <t>2681.0</t>
  </si>
  <si>
    <t>15.11aFTIOrganizational.4</t>
  </si>
  <si>
    <t>2355.0</t>
  </si>
  <si>
    <t>15.11aHIPAAOrganizational.10</t>
  </si>
  <si>
    <t>2327.0</t>
  </si>
  <si>
    <t>15.11aHIPAAOrganizational.3</t>
  </si>
  <si>
    <t>2328.0</t>
  </si>
  <si>
    <t>15.11aHIPAAOrganizational.4</t>
  </si>
  <si>
    <t>2329.1</t>
  </si>
  <si>
    <t>15.11aHIPAAOrganizational.5</t>
  </si>
  <si>
    <t>2351.0</t>
  </si>
  <si>
    <t>15.11aHIPAAOrganizational.6</t>
  </si>
  <si>
    <t>2352.0</t>
  </si>
  <si>
    <t>15.11aHIPAAOrganizational.7</t>
  </si>
  <si>
    <t>2353.0</t>
  </si>
  <si>
    <t>15.11aHIPAAOrganizational.8</t>
  </si>
  <si>
    <t>2354.0</t>
  </si>
  <si>
    <t>15.11aHIPAAOrganizational.9</t>
  </si>
  <si>
    <t>3012.0</t>
  </si>
  <si>
    <t>15.11aNAIC668Organizational.1</t>
  </si>
  <si>
    <t>3013.0</t>
  </si>
  <si>
    <t>15.11aNAIC668Organizational.2</t>
  </si>
  <si>
    <t>3014.0</t>
  </si>
  <si>
    <t>15.11aNAIC668Organizational.3</t>
  </si>
  <si>
    <t>1436.0</t>
  </si>
  <si>
    <t>15.11aNIST80053Organizational.6</t>
  </si>
  <si>
    <t>1434.0</t>
  </si>
  <si>
    <t>15.11aNIST80053Organizational.7</t>
  </si>
  <si>
    <t>2923.0</t>
  </si>
  <si>
    <t>15.11aNYCRR500Organizational.2</t>
  </si>
  <si>
    <t>2922.0</t>
  </si>
  <si>
    <t>15.11aPDPAOrganizational.2</t>
  </si>
  <si>
    <t>2920.0</t>
  </si>
  <si>
    <t>15.11aPDPAOrganizational.3</t>
  </si>
  <si>
    <t>2693.0</t>
  </si>
  <si>
    <t>15.11aPHIPAOrganizational.2</t>
  </si>
  <si>
    <t>2705.0</t>
  </si>
  <si>
    <t>15.11aPHIPAOrganizational.3</t>
  </si>
  <si>
    <t>2734.0</t>
  </si>
  <si>
    <t>15.11aPHIPAOrganizational.4</t>
  </si>
  <si>
    <t>2688.0</t>
  </si>
  <si>
    <t>15.11aTXRAMPOrganizational.1</t>
  </si>
  <si>
    <t>1458.0</t>
  </si>
  <si>
    <t>15.11bNIST80053Organizational.3</t>
  </si>
  <si>
    <t>11.b Reporting Security Weaknesses</t>
  </si>
  <si>
    <t>3069.0</t>
  </si>
  <si>
    <t>15.11cAISecOrganizational.1</t>
  </si>
  <si>
    <t>11.c Responsibilities and Procedures</t>
  </si>
  <si>
    <t>The organization’s established security incident detection and response processes address the detection of and recovery from AI-specific threats (e.g., poisoning, evasion) through |updates to the organization’s security incident plans / playbooks; |consideration of AI-specific threats in security incident tabletop exercises; |recording the specifics of AI-specific security incidents that have occurred;|| and incorporating |logs and |alerts|| from deployed AI systems into the organization’s monitoring and security incident detection tools.||</t>
  </si>
  <si>
    <t>Examine evidence that all evaluative elements within the requirement statement have been implemented as defined in the HITRUST scoring rubric, using a sample based test where possible for each evaluative element.
Example test(s):
For example, review the organization\'s security incident plans / playbooks to evidence that these documents have been updated to address the detection of and recovery from AI-specific threats (e.g., poisoning, evasion). 
Further, review the organization\'s security incident tabletop plans and/or documentation to evidence that these tabletop exercises consider AI-specific threats (e.g., poisoning, evasion). 
Further, review the organization\'s security incident plans / playbooks to evidence that AI-specific security incidents are required to be recorded. 
Further, evidence that security event logs from AI systems are incorporated into the organization\'s security incident detection tools. 
Further, evidence that security event alerts from AI systems are incorporated into the organization\'s security incident detection tools.</t>
  </si>
  <si>
    <r>
      <rPr>
        <b/>
        <sz val="10"/>
        <color theme="1"/>
        <rFont val="Arial"/>
        <family val="2"/>
      </rPr>
      <t>Documentation: Incident Response Plan</t>
    </r>
    <r>
      <rPr>
        <sz val="10"/>
        <color theme="1"/>
        <rFont val="Arial"/>
        <family val="2"/>
      </rPr>
      <t xml:space="preserve">
- outlines detection and recovery for AI-specific threats
- outlines how to record AI-specific incidents
</t>
    </r>
    <r>
      <rPr>
        <b/>
        <sz val="10"/>
        <color theme="1"/>
        <rFont val="Arial"/>
        <family val="2"/>
      </rPr>
      <t>Evidence Test: Incident Response Test</t>
    </r>
    <r>
      <rPr>
        <sz val="10"/>
        <color theme="1"/>
        <rFont val="Arial"/>
        <family val="2"/>
      </rPr>
      <t xml:space="preserve">
- considers AI-specific threats
</t>
    </r>
    <r>
      <rPr>
        <b/>
        <sz val="10"/>
        <color theme="1"/>
        <rFont val="Arial"/>
        <family val="2"/>
      </rPr>
      <t>Evidence Test: Audit Logging and Monitoring System (artificial intelligence)</t>
    </r>
    <r>
      <rPr>
        <sz val="10"/>
        <color theme="1"/>
        <rFont val="Arial"/>
        <family val="2"/>
      </rPr>
      <t xml:space="preserve">
- ingests logs for AI systems
- alerts upon AI system detections</t>
    </r>
  </si>
  <si>
    <t>2673.0</t>
  </si>
  <si>
    <t>15.11cCMSOrganizational.3</t>
  </si>
  <si>
    <t>2461.0</t>
  </si>
  <si>
    <t>15.11cFedRAMPOrganizational.6</t>
  </si>
  <si>
    <t>2466.0</t>
  </si>
  <si>
    <t>15.11cFedRAMPOrganizational.7</t>
  </si>
  <si>
    <t>2466.1</t>
  </si>
  <si>
    <t>15.11cFedRAMPOrganizational.8</t>
  </si>
  <si>
    <t>2835.0</t>
  </si>
  <si>
    <t>15.11cFedRAMPOrganizational.9</t>
  </si>
  <si>
    <t>1473.0</t>
  </si>
  <si>
    <t>15.11cFTIOrganizational.4</t>
  </si>
  <si>
    <t>2325.0</t>
  </si>
  <si>
    <t>15.11cHICPOrganizational.2</t>
  </si>
  <si>
    <t>2784.0</t>
  </si>
  <si>
    <t>15.11cNIST80053Organizational.2</t>
  </si>
  <si>
    <t>2710.0</t>
  </si>
  <si>
    <t>15.11cNYDOHOrganizational.3</t>
  </si>
  <si>
    <t>2214.0</t>
  </si>
  <si>
    <t>15.11cNYDOHOrganizational.5</t>
  </si>
  <si>
    <t>2851.0</t>
  </si>
  <si>
    <t>15.11cPCIOrganizational.1</t>
  </si>
  <si>
    <t>2946.0</t>
  </si>
  <si>
    <t>15.11dNIST800172Organizational.1</t>
  </si>
  <si>
    <t>11.d Learning from Information Security Incidents</t>
  </si>
  <si>
    <t>1505.0</t>
  </si>
  <si>
    <t>15.11eNIST80053Organizational.2</t>
  </si>
  <si>
    <t>11.e Collection of Evidence</t>
  </si>
  <si>
    <t>2467.0</t>
  </si>
  <si>
    <t>15.12eFedRAMPOrganizational.9</t>
  </si>
  <si>
    <t>12.e Testing, Maintaining and Re-Assessing Business Continuity Plans</t>
  </si>
  <si>
    <t>15.13oHIPAAOrganizational.2</t>
  </si>
  <si>
    <t>2692.0</t>
  </si>
  <si>
    <t>15.13oPHIPAOrganizational.3</t>
  </si>
  <si>
    <t>0360.0</t>
  </si>
  <si>
    <t>1501.02f2Organizational.2</t>
  </si>
  <si>
    <t>1502.02f2Organizational.3</t>
  </si>
  <si>
    <t>0364.0</t>
  </si>
  <si>
    <t>1503.02f2Organizational.12</t>
  </si>
  <si>
    <r>
      <rPr>
        <b/>
        <sz val="10"/>
        <color theme="1"/>
        <rFont val="Arial"/>
        <family val="2"/>
      </rPr>
      <t>Sample Test:</t>
    </r>
    <r>
      <rPr>
        <sz val="10"/>
        <color theme="1"/>
        <rFont val="Arial"/>
        <family val="2"/>
      </rPr>
      <t xml:space="preserve">
- Test 110: Information Security (information security incident)</t>
    </r>
  </si>
  <si>
    <t>0586.0</t>
  </si>
  <si>
    <t>1504.06e2Organizational.2</t>
  </si>
  <si>
    <t>1427.0</t>
  </si>
  <si>
    <t>1505.11a2Organizational.6</t>
  </si>
  <si>
    <t>1428.0</t>
  </si>
  <si>
    <t>1506.11a1Organizational.2</t>
  </si>
  <si>
    <t>1429.0</t>
  </si>
  <si>
    <t>1507.11a2Organizational.7</t>
  </si>
  <si>
    <t>1432.0</t>
  </si>
  <si>
    <t>1508.11a2Organizational.1</t>
  </si>
  <si>
    <t>1433.0</t>
  </si>
  <si>
    <t>1509.11a2Organizational.236</t>
  </si>
  <si>
    <t>1510.11a2Organizational.47</t>
  </si>
  <si>
    <t>1435.0</t>
  </si>
  <si>
    <t>1511.11a2Organizational.5</t>
  </si>
  <si>
    <t>1512.11a2Organizational.8</t>
  </si>
  <si>
    <t>1924.0</t>
  </si>
  <si>
    <t>151205.11aSCIDSAOrganizational.1</t>
  </si>
  <si>
    <t>1930.0</t>
  </si>
  <si>
    <t>151205.11cSCIDSAOrganizational.1</t>
  </si>
  <si>
    <t>1925.0</t>
  </si>
  <si>
    <t>151206.11aSCIDSAOrganizational.1</t>
  </si>
  <si>
    <t>1926.1</t>
  </si>
  <si>
    <t>151207.11aSCIDSAOrganizational.2</t>
  </si>
  <si>
    <t>1927.0</t>
  </si>
  <si>
    <t>151208.11aSCIDSAOrganizational.3</t>
  </si>
  <si>
    <t>1437.0</t>
  </si>
  <si>
    <t>1513.11aHIPAAOrganizational.11</t>
  </si>
  <si>
    <t>1438.0</t>
  </si>
  <si>
    <t>1514.11a3Organizational.12</t>
  </si>
  <si>
    <t>1439.0</t>
  </si>
  <si>
    <t>1515.11a3Organizational.3</t>
  </si>
  <si>
    <t>1460.1</t>
  </si>
  <si>
    <t>1516.11c2Organizational.7</t>
  </si>
  <si>
    <t>1461.0</t>
  </si>
  <si>
    <t>1517.11c2Organizational.8</t>
  </si>
  <si>
    <t>1463.0</t>
  </si>
  <si>
    <t>1518.11c2Organizational.13</t>
  </si>
  <si>
    <t>1464.0</t>
  </si>
  <si>
    <t>1519.11c2Organizational.2</t>
  </si>
  <si>
    <t>1465.1</t>
  </si>
  <si>
    <t>1520.11c2Organizational.4</t>
  </si>
  <si>
    <t>1466.0</t>
  </si>
  <si>
    <t>1521.11c2Organizational.56</t>
  </si>
  <si>
    <t>1468.0</t>
  </si>
  <si>
    <t>1522.11c3Organizational.13</t>
  </si>
  <si>
    <t>1469.0</t>
  </si>
  <si>
    <t>1523.11c3Organizational.24</t>
  </si>
  <si>
    <t>1430.0</t>
  </si>
  <si>
    <t>1524.11aTexasOrganizational.4</t>
  </si>
  <si>
    <t>15242.11aNYDOHOrganizational.1</t>
  </si>
  <si>
    <t>2215.0</t>
  </si>
  <si>
    <t>15243.11aNYDOHOrganizational.2</t>
  </si>
  <si>
    <t>2216.0</t>
  </si>
  <si>
    <t>15244.11aNYDOHOrganizational.3</t>
  </si>
  <si>
    <t>2217.0</t>
  </si>
  <si>
    <t>15245.11aNYDOHOrganizational.4</t>
  </si>
  <si>
    <t>2218.0</t>
  </si>
  <si>
    <t>15246.11aNYDOHOrganizational.5</t>
  </si>
  <si>
    <t>2219.0</t>
  </si>
  <si>
    <t>15247.11cNYDOHOrganizational.1</t>
  </si>
  <si>
    <t>2220.0</t>
  </si>
  <si>
    <t>15248.11cNYDOHOrganizational.2</t>
  </si>
  <si>
    <t>2221.0</t>
  </si>
  <si>
    <t>15249.11dNYDOHOrganizational.1</t>
  </si>
  <si>
    <t>1431.0</t>
  </si>
  <si>
    <t>1525.11a2Organizational.8</t>
  </si>
  <si>
    <t>2222.0</t>
  </si>
  <si>
    <t>15250.11eNYDOHOrganizational.1</t>
  </si>
  <si>
    <t>2223.0</t>
  </si>
  <si>
    <t>15251.11eNYDOHOrganizational.2</t>
  </si>
  <si>
    <t>2224.0</t>
  </si>
  <si>
    <t>15252.11eNYDOHOrganizational.3</t>
  </si>
  <si>
    <t>1454.0</t>
  </si>
  <si>
    <t>1526.11aTexasOrganizational.1</t>
  </si>
  <si>
    <t>2234.0</t>
  </si>
  <si>
    <t>15262.12cNYDOHOrganizational.10</t>
  </si>
  <si>
    <t>2235.0</t>
  </si>
  <si>
    <t>15263.12cNYDOHOrganizational.11</t>
  </si>
  <si>
    <t>2236.0</t>
  </si>
  <si>
    <t>15264.12cNYDOHOrganizational.12</t>
  </si>
  <si>
    <t>2237.0</t>
  </si>
  <si>
    <t>15265.12cNYDOHOrganizational.13</t>
  </si>
  <si>
    <t>2240.0</t>
  </si>
  <si>
    <t>15268.12eNYDOHOrganizational.3</t>
  </si>
  <si>
    <t>2241.0</t>
  </si>
  <si>
    <t>15269.12eNYDOHOrganizational.4</t>
  </si>
  <si>
    <t>1455.0</t>
  </si>
  <si>
    <t>1527.11aTexasOrganizational.2</t>
  </si>
  <si>
    <t>2242.0</t>
  </si>
  <si>
    <t>15270.12eNYDOHOrganizational.5</t>
  </si>
  <si>
    <t>2245.0</t>
  </si>
  <si>
    <t>15272.11cHIPAAOrganizational.1</t>
  </si>
  <si>
    <t>2246.0</t>
  </si>
  <si>
    <t>15273.11aHIPAAOrganizational.1</t>
  </si>
  <si>
    <t>1456.0</t>
  </si>
  <si>
    <t>1528.11aTexasOrganizational.3</t>
  </si>
  <si>
    <t>1529.10c2System.6</t>
  </si>
  <si>
    <t>2273.0</t>
  </si>
  <si>
    <t>15300.00aNIST80053Organizational.15</t>
  </si>
  <si>
    <t>1440.0</t>
  </si>
  <si>
    <t>1531.11aCMSOrganizational.1</t>
  </si>
  <si>
    <t>1444.0</t>
  </si>
  <si>
    <t>1532.11aFTIOrganizational.12</t>
  </si>
  <si>
    <t>1445.0</t>
  </si>
  <si>
    <t>1533.11aFTIOrganizational.3</t>
  </si>
  <si>
    <t>1453.0</t>
  </si>
  <si>
    <t>1534.11aPCIOrganizational.1</t>
  </si>
  <si>
    <t>1457.0</t>
  </si>
  <si>
    <t>1535.11b1Organizational.12</t>
  </si>
  <si>
    <t>The organization (1) has an easy-to-use, available, and widely accessible mechanism for all employees, contractors, and third-party users to report incident and event information, including violations of workforce rules of behavior and acceptable use agreement, to their management and/or directly to their service provider as quickly as possible in order to prevent information security incidents.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</si>
  <si>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employees, contractors, and third-party users are aware to report incident and event information to management. This can be confirmed through evidence of formal training or acknowledgement of the organization\'s information security policies or acceptable use agreements as long as it contains provisions on how to report incident and event information. _x000D_
Select a sample of information security incidents and examine evidence to confirm that it was appropriately reported to management. _x000D_
Further, examine the reporting mechanism used by the organization to report incidents and event information and confirm that employees are aware of this mechanism and that it is easy to use and widely accessible to all employees.</t>
  </si>
  <si>
    <r>
      <rPr>
        <b/>
        <sz val="10"/>
        <color theme="1"/>
        <rFont val="Arial"/>
        <family val="2"/>
      </rPr>
      <t>Evidence Test: Workforce Member</t>
    </r>
    <r>
      <rPr>
        <sz val="10"/>
        <color theme="1"/>
        <rFont val="Arial"/>
        <family val="2"/>
      </rPr>
      <t xml:space="preserve">
- made aware to report security events/incidents to management
- made aware of how to report security events/incidents
</t>
    </r>
    <r>
      <rPr>
        <b/>
        <sz val="10"/>
        <color theme="1"/>
        <rFont val="Arial"/>
        <family val="2"/>
      </rPr>
      <t>Sample Test:</t>
    </r>
    <r>
      <rPr>
        <sz val="10"/>
        <color theme="1"/>
        <rFont val="Arial"/>
        <family val="2"/>
      </rPr>
      <t xml:space="preserve">
- Test 110: Information Security (information security incident)</t>
    </r>
  </si>
  <si>
    <t>1536.11b2Organizational.2</t>
  </si>
  <si>
    <t>1459.0</t>
  </si>
  <si>
    <t>1537.11b2Organizational.1</t>
  </si>
  <si>
    <t>1928.0</t>
  </si>
  <si>
    <t>1539.11c2Organizational.7</t>
  </si>
  <si>
    <t>2020.0</t>
  </si>
  <si>
    <t>1548.11c3Organizational.14</t>
  </si>
  <si>
    <t>1471.0</t>
  </si>
  <si>
    <t>1550.11cCMSOrganizational.2</t>
  </si>
  <si>
    <t>1472.0</t>
  </si>
  <si>
    <t>1551.11cCMSOrganizational.34</t>
  </si>
  <si>
    <t>1478.0</t>
  </si>
  <si>
    <t>1552.11cFTIOrganizational.1</t>
  </si>
  <si>
    <t>1479.0</t>
  </si>
  <si>
    <t>1553.11cFTIOrganizational.23</t>
  </si>
  <si>
    <t>1481.0</t>
  </si>
  <si>
    <t>1555.11cFTIOrganizational.57</t>
  </si>
  <si>
    <t>1485.0</t>
  </si>
  <si>
    <t>1559.11cFTIOrganizational.10</t>
  </si>
  <si>
    <t>1487.0</t>
  </si>
  <si>
    <t>1560.11d1Organizational.1</t>
  </si>
  <si>
    <t>1488.0</t>
  </si>
  <si>
    <t>1561.11c1Organizational.4</t>
  </si>
  <si>
    <t>The organization implements an incident handling capability for security incidents that includes (1) detection and analysis, (2) containment, (3) eradication, and (4) recovery (including public relations and reputation management). Components of the incident handling capability include: (5) a policy (setting corporate direction); (6) procedures defining roles and responsibilities; (7) incident handling procedures (business and technical); (8) communication; (9) reporting and retention; and (10) references the organization’s vulnerability management program elements (e.g., IPS, IDS, forensics, vulnerability assessments, validation).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</si>
  <si>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organization\'s incident response and handling policy and confirm that procedures have been defined and documented and includes detection and analysis, containment, eradication, and recovery (including public relations and reputation management). Components of the incident handling capability include: policy (setting corporate direction) and procedures defining roles and responsibilities; incident handling procedures (business and technical); communication; reporting and retention; and references the organization\'s vulnerability management program elements (e.g., IPS, IDS, forensics, vulnerability assessments, validation). _x000D_
Select a sample of security incidents, and confirm that they were handled in accordance with the organization\'s incident handling capability. For example, incident-related information can be obtained from a variety of sources including, for example, audit monitoring, network monitoring, physical access monitoring, user/administrator reports, and reported supply chain events. _x000D_
Examine evidence to confirm that effective incident handling capability includes coordination among many organizational entities including, for example, mission/business owners, information system owners, authorizing officials, human resources offices, physical and personnel security offices, legal departments, operations personnel, procurement offices, and the risk executive (function).</t>
  </si>
  <si>
    <r>
      <rPr>
        <b/>
        <sz val="10"/>
        <color theme="1"/>
        <rFont val="Arial"/>
        <family val="2"/>
      </rPr>
      <t>Documentation: Incident Response Program</t>
    </r>
    <r>
      <rPr>
        <sz val="10"/>
        <color theme="1"/>
        <rFont val="Arial"/>
        <family val="2"/>
      </rPr>
      <t xml:space="preserve">
- defines roles and responsibilities
- defines communication/notification requirements
- defines incident detection steps
- defines incident analysis steps
- defines incident containment steps
- defines incident eradication steps
- defines incident recovery steps
</t>
    </r>
    <r>
      <rPr>
        <b/>
        <sz val="10"/>
        <color theme="1"/>
        <rFont val="Arial"/>
        <family val="2"/>
      </rPr>
      <t>Sample Test:</t>
    </r>
    <r>
      <rPr>
        <sz val="10"/>
        <color theme="1"/>
        <rFont val="Arial"/>
        <family val="2"/>
      </rPr>
      <t xml:space="preserve">
- Test 110: Information Security (information security incident)</t>
    </r>
  </si>
  <si>
    <t>1489.0</t>
  </si>
  <si>
    <t>1562.11d2Organizational.2</t>
  </si>
  <si>
    <t>1490.0</t>
  </si>
  <si>
    <t>1563.11d1Organizational.2</t>
  </si>
  <si>
    <t>The organization incorporates lessons learned from ongoing incident handling activities and industry developments into (1) incident response procedures, and (2) training and testing exercises. The organization (3) implements the resulting changes to incident response procedures, training exercises, and testing exercises accordingly.</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</si>
  <si>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information security incidents and confirm that the organization performed an assessment to identify information gained and lessons learned from the evaluations. _x000D_
Examine evidence to confirm the organization subsequently incorporated lessons learned into incident response procedures, training, and testing exercises, and implements the resulting changes accordingly.</t>
  </si>
  <si>
    <t>1491.0</t>
  </si>
  <si>
    <t>1564.11dCMSOrganizational.12</t>
  </si>
  <si>
    <t>1492.0</t>
  </si>
  <si>
    <t>1565.11dCMSOrganizational.3</t>
  </si>
  <si>
    <t>1493.0</t>
  </si>
  <si>
    <t>1566.11dCMSOrganizational.4</t>
  </si>
  <si>
    <t>1495.0</t>
  </si>
  <si>
    <t>1567.11dFTIOrganizational.1</t>
  </si>
  <si>
    <t>1496.0</t>
  </si>
  <si>
    <t>1568.11dFTIOrganizational.2</t>
  </si>
  <si>
    <t>1497.0</t>
  </si>
  <si>
    <t>1569.11e1Organizational.12</t>
  </si>
  <si>
    <t>The organization (1) collects, (2) retains, and (3) presents evidence to support legal action (either civil or criminal) in accordance with the laws of the relevant jurisdiction(s).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</si>
  <si>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the organization has documented the laws of the relevant jurisdictions for collection of evidence. _x000D_
Further, examine the organization\'s policies and confirm that it collects, retains, and presents evidence to support legal action (either civil or criminal). _x000D_
Select a sample of legal cases, and confirm that the organization collected, retained, and presented evidence in accordance with the laws of the relevant jurisdiction(s).</t>
  </si>
  <si>
    <r>
      <rPr>
        <b/>
        <sz val="10"/>
        <color theme="1"/>
        <rFont val="Arial"/>
        <family val="2"/>
      </rPr>
      <t>Documentation: Incident Response Program</t>
    </r>
    <r>
      <rPr>
        <sz val="10"/>
        <color theme="1"/>
        <rFont val="Arial"/>
        <family val="2"/>
      </rPr>
      <t xml:space="preserve">
- laws and regulations identified for evidence collection pertaining to legal cases
- collection, retention, and presentation of evidence defined for legal cases
</t>
    </r>
    <r>
      <rPr>
        <b/>
        <sz val="10"/>
        <color theme="1"/>
        <rFont val="Arial"/>
        <family val="2"/>
      </rPr>
      <t xml:space="preserve">
Sample Test:
</t>
    </r>
    <r>
      <rPr>
        <sz val="10"/>
        <color theme="1"/>
        <rFont val="Arial"/>
        <family val="2"/>
      </rPr>
      <t>- Test 108: Information Security (information security incident legal case)</t>
    </r>
  </si>
  <si>
    <t>1498.0</t>
  </si>
  <si>
    <t>1570.11e2Organizational.1</t>
  </si>
  <si>
    <t>1499.0</t>
  </si>
  <si>
    <t>1571.11e2Organizational.2</t>
  </si>
  <si>
    <t>1500.0</t>
  </si>
  <si>
    <t>1572.11e2Organizational.3</t>
  </si>
  <si>
    <t>1501.0</t>
  </si>
  <si>
    <t>1573.11e2Organizational.456</t>
  </si>
  <si>
    <t>1502.0</t>
  </si>
  <si>
    <t>1574.11e2Organizational.7</t>
  </si>
  <si>
    <t>1503.0</t>
  </si>
  <si>
    <t>1575.11e2Organizational.8</t>
  </si>
  <si>
    <t>1576.11ePCIOrganizational.1</t>
  </si>
  <si>
    <t>1441.0</t>
  </si>
  <si>
    <t>1577.11aCSPOrganizational.1</t>
  </si>
  <si>
    <t>1451.0</t>
  </si>
  <si>
    <t>1577.11aHIXOrganizational.1</t>
  </si>
  <si>
    <t>1442.0</t>
  </si>
  <si>
    <t>1578.11aDEIDOrganizational.1</t>
  </si>
  <si>
    <t>1486.0</t>
  </si>
  <si>
    <t>1578.11cHIXOrganizational.1</t>
  </si>
  <si>
    <t>1443.0</t>
  </si>
  <si>
    <t>1579.11aDEIDOrganizational.2</t>
  </si>
  <si>
    <t>1504.0</t>
  </si>
  <si>
    <t>1580.11eCSPOrganizational.1</t>
  </si>
  <si>
    <t>0363.0</t>
  </si>
  <si>
    <t>1581.02f2Organizational.4</t>
  </si>
  <si>
    <t>1582.11cFedRAMPOrganizational.1</t>
  </si>
  <si>
    <t>1474.0</t>
  </si>
  <si>
    <t>1583.11cFedRAMPOrganizational.2</t>
  </si>
  <si>
    <t>1475.0</t>
  </si>
  <si>
    <t>1584.11cFedRAMPOrganizational.3</t>
  </si>
  <si>
    <t>1475.1</t>
  </si>
  <si>
    <t>1584.11cFedRAMPOrganizational.8</t>
  </si>
  <si>
    <t>1929.0</t>
  </si>
  <si>
    <t>1585.11cCISOrganizational.58</t>
  </si>
  <si>
    <t>1585.11cFedRAMPOrganizational.4</t>
  </si>
  <si>
    <t>1477.0</t>
  </si>
  <si>
    <t>1586.11cFedRAMPOrganizational.5</t>
  </si>
  <si>
    <t>1467.0</t>
  </si>
  <si>
    <t>1587.11c2Organizational.10</t>
  </si>
  <si>
    <t>1494.0</t>
  </si>
  <si>
    <t>1588.11dFedRAMPOrganizational.1</t>
  </si>
  <si>
    <t>1446.0</t>
  </si>
  <si>
    <t>1589.11aGDPROrganizational.1</t>
  </si>
  <si>
    <t>1462.0</t>
  </si>
  <si>
    <t>1589.11c1Organizational.5</t>
  </si>
  <si>
    <t>1447.0</t>
  </si>
  <si>
    <t>1590.11aGDPROrganizational.2</t>
  </si>
  <si>
    <t>1448.0</t>
  </si>
  <si>
    <t>1591.11aGDPROrganizational.3</t>
  </si>
  <si>
    <t>1449.0</t>
  </si>
  <si>
    <t>1592.11aGDPROrganizational.4</t>
  </si>
  <si>
    <t>1450.0</t>
  </si>
  <si>
    <t>1593.11aGDPROrganizational.5</t>
  </si>
  <si>
    <t>1452.0</t>
  </si>
  <si>
    <t>1594.11aNYCRR500Organizational.1</t>
  </si>
  <si>
    <t>2001.0</t>
  </si>
  <si>
    <t>15942.11cNIST80053Organizational.1</t>
  </si>
  <si>
    <t>2002.0</t>
  </si>
  <si>
    <t>15957.11cCSR002Organizational.1</t>
  </si>
  <si>
    <t>1999.0</t>
  </si>
  <si>
    <t>15961.10cCSR002System.2</t>
  </si>
  <si>
    <t>2003.0</t>
  </si>
  <si>
    <t>15967.11cCSR002Organizational.2</t>
  </si>
  <si>
    <t>2004.0</t>
  </si>
  <si>
    <t>15968.11cCSR002Organizational.3</t>
  </si>
  <si>
    <t>2005.0</t>
  </si>
  <si>
    <t>15969.11cCSR002Organizational.4</t>
  </si>
  <si>
    <t>2006.0</t>
  </si>
  <si>
    <t>15970.11cCSR002Organizational.5</t>
  </si>
  <si>
    <t>2007.0</t>
  </si>
  <si>
    <t>15971.11cCSR002Organizational.6</t>
  </si>
  <si>
    <t>2008.0</t>
  </si>
  <si>
    <t>15972.11cCSR002Organizational.7</t>
  </si>
  <si>
    <t>2009.0</t>
  </si>
  <si>
    <t>15973.11eCSR002Organizational.1</t>
  </si>
  <si>
    <t>2010.0</t>
  </si>
  <si>
    <t>15976.11eCSR002Organizational.2</t>
  </si>
  <si>
    <t>16 Business Continuity &amp; Disaster Recovery</t>
  </si>
  <si>
    <t>2423.0</t>
  </si>
  <si>
    <t>16.00aFedRAMPOrganizational.19</t>
  </si>
  <si>
    <t>2509.0</t>
  </si>
  <si>
    <t>16.00aNIST80053Organizational.28</t>
  </si>
  <si>
    <t>2446.0</t>
  </si>
  <si>
    <t>16.09hFedRAMPSystem.2</t>
  </si>
  <si>
    <t>0855.0</t>
  </si>
  <si>
    <t>16.09hNIST80053System.3</t>
  </si>
  <si>
    <t>0860.0</t>
  </si>
  <si>
    <t>16.09hNIST80053System.4</t>
  </si>
  <si>
    <t>2326.0</t>
  </si>
  <si>
    <t>16.09l1Organizational.4</t>
  </si>
  <si>
    <t>09.l Back-up</t>
  </si>
  <si>
    <t>The organization maintains offline and/or immutable backups of
data.</t>
  </si>
  <si>
    <t>Examine evidence that all evaluative elements within the requirement statement have been implemented as defined in the HITRUST scoring rubric, using a sample based test where possible for each evaluative element._x000D_
_x000D_
_x000D_
Example test(s):_x000D_
For example, observe the organization\'s facility and determine where offline backup media is stored._x000D_
If an immutable backup solution is in place, examine configurations and whitepapers to support the backup cannot be modified or deleted.</t>
  </si>
  <si>
    <r>
      <rPr>
        <b/>
        <sz val="10"/>
        <color rgb="FF000000"/>
        <rFont val="Arial"/>
        <family val="2"/>
      </rPr>
      <t xml:space="preserve">Evidence Test: Backup
</t>
    </r>
    <r>
      <rPr>
        <sz val="10"/>
        <color rgb="FF000000"/>
        <rFont val="Arial"/>
        <family val="2"/>
      </rPr>
      <t>- offline backups are configured
- backups are immutable</t>
    </r>
  </si>
  <si>
    <t>3067.0</t>
  </si>
  <si>
    <t>16.09lAISecOrganizational.1</t>
  </si>
  <si>
    <t>Backup copies of the following AI assets are created: |training, test, and validation datasets; |code used to create, train, and/or deploy AI models; |tuning data; |models; |language model tools (e.g., plugins, agents); |AI system configurations (e.g., metaprompts); and |prompt enhancement data for RAG, as applicable.|| These backups are |managed in accordance with the organization’s policies addressing backups of data and software.||</t>
  </si>
  <si>
    <t>Examine evidence that all evaluative elements within the requirement statement have been implemented as defined in the HITRUST scoring rubric, using a sample based test where possible for each evaluative element.
Example test(s):
For example, review the AI system to ensure backup copies of AI assets are created and include training, test, and validation datasets, code used to create, train, and/or deploy AI models, tuning data, models, language model tools (e.g., plugins, agents), AI system configurations (e.g., metaprompts), prompt enhancement data for RAG. Further, confirm the backups are managed in accordance with the organization’s policies addressing backups of data and software.</t>
  </si>
  <si>
    <r>
      <rPr>
        <b/>
        <sz val="10"/>
        <color theme="1"/>
        <rFont val="Arial"/>
        <family val="2"/>
      </rPr>
      <t>Documentation: Backup Program</t>
    </r>
    <r>
      <rPr>
        <sz val="10"/>
        <color theme="1"/>
        <rFont val="Arial"/>
        <family val="2"/>
      </rPr>
      <t xml:space="preserve">
- outlines process for backing up AI assets and data
</t>
    </r>
    <r>
      <rPr>
        <b/>
        <sz val="10"/>
        <color theme="1"/>
        <rFont val="Arial"/>
        <family val="2"/>
      </rPr>
      <t>Evidence Test: Artificial Intelligence (backup)</t>
    </r>
    <r>
      <rPr>
        <sz val="10"/>
        <color theme="1"/>
        <rFont val="Arial"/>
        <family val="2"/>
      </rPr>
      <t xml:space="preserve">
- backups are configured for: training, test, and validation datasets
- backups are configured for: code used to create, train, and/or deploy AI models
- backups are configured for: tuning data
- backups are configured for: models
- backups are configured for: language model tools (e.g., plugins, agents)
- backups are configured for: AI system configurations (e.g., meta prompts)
- backups are configured for: prompt enhancement data for RAG</t>
    </r>
  </si>
  <si>
    <t>0919.0</t>
  </si>
  <si>
    <t>16.09lCMSOrganizational.4</t>
  </si>
  <si>
    <t>3006.0</t>
  </si>
  <si>
    <t>16.09lCMSOrganizational.5</t>
  </si>
  <si>
    <t>2433.0</t>
  </si>
  <si>
    <t>16.09lFedRAMPOrganizational.4</t>
  </si>
  <si>
    <t>2443.0</t>
  </si>
  <si>
    <t>16.09lFedRAMPOrganizational.5</t>
  </si>
  <si>
    <t>2850.0</t>
  </si>
  <si>
    <t>16.09lPCIOrganizational.1</t>
  </si>
  <si>
    <t>2805.0</t>
  </si>
  <si>
    <t>16.12bISO23894Organizational.1</t>
  </si>
  <si>
    <t>12.b Business Continuity and Risk Assessment</t>
  </si>
  <si>
    <t>The organization conducts business impact analyses on AI systems at a minimum annually, considering the |criticality of the impact, |tangible and intangible impacts, and |criteria used to establish the overall impact.||</t>
  </si>
  <si>
    <r>
      <rPr>
        <b/>
        <sz val="10"/>
        <color theme="1"/>
        <rFont val="Arial"/>
        <family val="2"/>
      </rPr>
      <t>Evidence Test: Business Impact Analysis</t>
    </r>
    <r>
      <rPr>
        <sz val="10"/>
        <color theme="1"/>
        <rFont val="Arial"/>
        <family val="2"/>
      </rPr>
      <t xml:space="preserve">
- performed annually
- defines criteria used to assess AI system
- assesses AI system impact on the organization </t>
    </r>
  </si>
  <si>
    <t>3009.0</t>
  </si>
  <si>
    <t>16.12cCMSOrganizational.12</t>
  </si>
  <si>
    <t>3010.0</t>
  </si>
  <si>
    <t>16.12cCMSOrganizational.13</t>
  </si>
  <si>
    <t>1519.0</t>
  </si>
  <si>
    <t>16.12cDEIDOrganizational.4</t>
  </si>
  <si>
    <t>2435.0</t>
  </si>
  <si>
    <t>16.12cFedRAMPOrganizational.4</t>
  </si>
  <si>
    <t>1537.0</t>
  </si>
  <si>
    <t>16.12cFTIOrganizational.3</t>
  </si>
  <si>
    <t>2304.0</t>
  </si>
  <si>
    <t>16.12cNIST80053Organizational.3</t>
  </si>
  <si>
    <t>2303.0</t>
  </si>
  <si>
    <t>16.12cNIST80053Organizational.4</t>
  </si>
  <si>
    <t>1515.0</t>
  </si>
  <si>
    <t>16.12cNIST80053Organizational.7</t>
  </si>
  <si>
    <t>1536.0</t>
  </si>
  <si>
    <t>16.12cNIST80053Organizational.8</t>
  </si>
  <si>
    <t>2595.0</t>
  </si>
  <si>
    <t>16.12dFTIOrganizational.1</t>
  </si>
  <si>
    <t>12.d Business Continuity Planning Framework</t>
  </si>
  <si>
    <t>2458.0</t>
  </si>
  <si>
    <t>16.12eCMSOrganizational.3</t>
  </si>
  <si>
    <t>3015.0</t>
  </si>
  <si>
    <t>16.12eDORAOrganizational.1</t>
  </si>
  <si>
    <t>2432.0</t>
  </si>
  <si>
    <t>16.12eFedRAMPOrganizational.1</t>
  </si>
  <si>
    <t>2434.0</t>
  </si>
  <si>
    <t>16.12eFedRAMPOrganizational.2</t>
  </si>
  <si>
    <t>2436.0</t>
  </si>
  <si>
    <t>16.12eFedRAMPOrganizational.3</t>
  </si>
  <si>
    <t>2448.0</t>
  </si>
  <si>
    <t>16.12eFedRAMPOrganizational.4</t>
  </si>
  <si>
    <t>2457.0</t>
  </si>
  <si>
    <t>16.12eFedRAMPOrganizational.5</t>
  </si>
  <si>
    <t>16.12eFedRAMPOrganizational.6</t>
  </si>
  <si>
    <t>1562.0</t>
  </si>
  <si>
    <t>16.12eNIST80053Organizational.2</t>
  </si>
  <si>
    <t>1513.0</t>
  </si>
  <si>
    <t>1601.12c2Organizational.7</t>
  </si>
  <si>
    <t>1514.0</t>
  </si>
  <si>
    <t>1602.12c1Organizational.4567</t>
  </si>
  <si>
    <t>1603.12c2Organizational.8</t>
  </si>
  <si>
    <t>1516.0</t>
  </si>
  <si>
    <t>1604.12c3Organizational.4</t>
  </si>
  <si>
    <t>1517.0</t>
  </si>
  <si>
    <t>1605.12c2Organizational.2</t>
  </si>
  <si>
    <t>1607.12c2Organizational.4</t>
  </si>
  <si>
    <t>1520.0</t>
  </si>
  <si>
    <t>1608.12c2Organizational.5</t>
  </si>
  <si>
    <t>1521.0</t>
  </si>
  <si>
    <t>1609.12c3Organizational.12</t>
  </si>
  <si>
    <t>1610.09h2System.4</t>
  </si>
  <si>
    <t>2016.0</t>
  </si>
  <si>
    <t>16100.12c3Organizational.5</t>
  </si>
  <si>
    <t>0856.0</t>
  </si>
  <si>
    <t>1611.09h1System.2</t>
  </si>
  <si>
    <t>The organization (1) has allocated sufficient storage capacity to reduce the likelihood of exceeding capacity and the impact on network infrastructure (e.g., bandwidth).</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</si>
  <si>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information system resources and confirm that storage capacity requirements have been defined to reduce the likelihood of exceeding capacity and reduce the impact on network infrastructure, (e.g., bandwidth). _x000D_
Confirm that system tuning, and monitoring has been implemented to ensure and where necessary, improve the availability and efficiency of the organization\'s network. _x000D_
Confirm that detective controls (e.g., capacity monitoring software, alert notifications) are put in place to indicate problems with the network infrastructure. _x000D_
Confirm that projections of future capacity requirements take account of new network infrastructure requirements and current and projected trends in the organizations information processing capabilities.</t>
  </si>
  <si>
    <t>0857.0</t>
  </si>
  <si>
    <t>1612.09h2System.1</t>
  </si>
  <si>
    <t>0858.0</t>
  </si>
  <si>
    <t>1613.09h2System.2</t>
  </si>
  <si>
    <t>0859.0</t>
  </si>
  <si>
    <t>1614.09h2System.3</t>
  </si>
  <si>
    <t>0861.0</t>
  </si>
  <si>
    <t>1615.09hFTISystem.1</t>
  </si>
  <si>
    <t>0901.0</t>
  </si>
  <si>
    <t>1616.09l1Organizational.16</t>
  </si>
  <si>
    <t>0902.0</t>
  </si>
  <si>
    <t>1617.09l1Organizational.23</t>
  </si>
  <si>
    <t>0903.0</t>
  </si>
  <si>
    <t>1618.09l1Organizational.45</t>
  </si>
  <si>
    <t>0904.0</t>
  </si>
  <si>
    <t>1619.09l2Organizational.4</t>
  </si>
  <si>
    <t>2166.0</t>
  </si>
  <si>
    <t>16194.09lNYDOHOrganizational.1</t>
  </si>
  <si>
    <t>0905.0</t>
  </si>
  <si>
    <t>1620.09l2Organizational.5</t>
  </si>
  <si>
    <t>0907.0</t>
  </si>
  <si>
    <t>1621.09l2Organizational.1</t>
  </si>
  <si>
    <t>0908.0</t>
  </si>
  <si>
    <t>1622.09l2Organizational.23</t>
  </si>
  <si>
    <t>0909.0</t>
  </si>
  <si>
    <t>1623.09l2Organizational.4</t>
  </si>
  <si>
    <t>0910.0</t>
  </si>
  <si>
    <t>1624.09l3Organizational.12</t>
  </si>
  <si>
    <t>0911.0</t>
  </si>
  <si>
    <t>1625.09l3Organizational.34</t>
  </si>
  <si>
    <t>2225.0</t>
  </si>
  <si>
    <t>16253.12cNYDOHOrganizational.1</t>
  </si>
  <si>
    <t>2226.0</t>
  </si>
  <si>
    <t>16254.12cNYDOHOrganizational.2</t>
  </si>
  <si>
    <t>2227.0</t>
  </si>
  <si>
    <t>16255.12cNYDOHOrganizational.3</t>
  </si>
  <si>
    <t>2228.0</t>
  </si>
  <si>
    <t>16256.12cNYDOHOrganizational.4</t>
  </si>
  <si>
    <t>2229.0</t>
  </si>
  <si>
    <t>16257.12cNYDOHOrganizational.5</t>
  </si>
  <si>
    <t>2230.0</t>
  </si>
  <si>
    <t>16258.12cNYDOHOrganizational.6</t>
  </si>
  <si>
    <t>2231.0</t>
  </si>
  <si>
    <t>16259.12cNYDOHOrganizational.7</t>
  </si>
  <si>
    <t>0912.0</t>
  </si>
  <si>
    <t>1626.09l3Organizational.5</t>
  </si>
  <si>
    <t>2232.0</t>
  </si>
  <si>
    <t>16260.12cNYDOHOrganizational.8</t>
  </si>
  <si>
    <t>2233.0</t>
  </si>
  <si>
    <t>16261.12cNYDOHOrganizational.9</t>
  </si>
  <si>
    <t>2238.0</t>
  </si>
  <si>
    <t>16266.12eNYDOHOrganizational.1</t>
  </si>
  <si>
    <t>2239.0</t>
  </si>
  <si>
    <t>16267.12eNYDOHOrganizational.2</t>
  </si>
  <si>
    <t>0913.0</t>
  </si>
  <si>
    <t>1627.09l3Organizational.6</t>
  </si>
  <si>
    <t>0916.0</t>
  </si>
  <si>
    <t>1628.09lCMSOrganizational.1</t>
  </si>
  <si>
    <t>0917.0</t>
  </si>
  <si>
    <t>1629.09lCMSOrganizational.2</t>
  </si>
  <si>
    <t>2271.0</t>
  </si>
  <si>
    <t>16298.00aNIST80053Organizational.17</t>
  </si>
  <si>
    <t>0922.0</t>
  </si>
  <si>
    <t>1631.09lFTIOrganizational.23</t>
  </si>
  <si>
    <t>1506.0</t>
  </si>
  <si>
    <t>1632.12a1Organizational.1</t>
  </si>
  <si>
    <t>12.a Including Information Security in the Business Continuity Management Process</t>
  </si>
  <si>
    <t>The organization: (1) identifies all the assets involved in critical business processes; (2) considers the purchase of suitable insurance which may form part of the overall business continuity process, as well as being part of operational risk management; (3) ensures the safety of personnel and the protection of information assets and organizational property; and (4) formulates and documents business continuity plans addressing information security requirements in line with the agreed business continuity strategy.</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</si>
  <si>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written policies and procedures and confirm that the organization has planned and brought together the following key information security elements of business continuity management: _x000D_
(i) examine evidence to confirm that the organization has identified all the assets involved in critical business processes; _x000D_
(ii) confirm that the organization has considered and/or purchased suitable insurance which may form part of the overall business continuity process, as well as being part of operational risk management; _x000D_
(iii) ensure that the organization has planned for the safety of personnel and the protection of information assets and organizational property; and, _x000D_
(iv) formulated and documented business continuity plans addressing information security requirements in line with the agreed business continuity strategy (see 12.c).</t>
  </si>
  <si>
    <r>
      <rPr>
        <b/>
        <sz val="10"/>
        <color theme="1"/>
        <rFont val="Arial"/>
        <family val="2"/>
      </rPr>
      <t>Documentation: Business Continuity and Disaster Recovery</t>
    </r>
    <r>
      <rPr>
        <sz val="10"/>
        <color theme="1"/>
        <rFont val="Arial"/>
        <family val="2"/>
      </rPr>
      <t xml:space="preserve">
- defines critical business processes
- defines purchase of suitable insurance
- defines safety of personnel and information assets
- plan formally outlined</t>
    </r>
  </si>
  <si>
    <t>1507.0</t>
  </si>
  <si>
    <t>1633.12a2Organizational.1</t>
  </si>
  <si>
    <t>1508.0</t>
  </si>
  <si>
    <t>1634.12b1Organizational.1</t>
  </si>
  <si>
    <t>1509.0</t>
  </si>
  <si>
    <t>1635.12b2Organizational.4</t>
  </si>
  <si>
    <t>1510.0</t>
  </si>
  <si>
    <t>1636.12b2Organizational.1</t>
  </si>
  <si>
    <t>1511.0</t>
  </si>
  <si>
    <t>1637.12b2Organizational.2</t>
  </si>
  <si>
    <t>1512.0</t>
  </si>
  <si>
    <t>1638.12b2Organizational.345</t>
  </si>
  <si>
    <t>2019.0</t>
  </si>
  <si>
    <t>1644.12cNIST80053Organizational.3</t>
  </si>
  <si>
    <t>2017.0</t>
  </si>
  <si>
    <t>1647.12c2Organizational.1315</t>
  </si>
  <si>
    <t>2018.0</t>
  </si>
  <si>
    <t>1649.12c3Organizational.345</t>
  </si>
  <si>
    <t>1522.0</t>
  </si>
  <si>
    <t>1650.12cCMSOrganizational.1</t>
  </si>
  <si>
    <t>1523.0</t>
  </si>
  <si>
    <t>1651.12cCMSOrganizational.26</t>
  </si>
  <si>
    <t>1524.0</t>
  </si>
  <si>
    <t>1652.12cCMSOrganizational.3</t>
  </si>
  <si>
    <t>1525.0</t>
  </si>
  <si>
    <t>1653.12cCMSOrganizational.4</t>
  </si>
  <si>
    <t>1526.0</t>
  </si>
  <si>
    <t>1654.12cCMSOrganizational.5</t>
  </si>
  <si>
    <t>1527.0</t>
  </si>
  <si>
    <t>1655.12cCMSOrganizational.7</t>
  </si>
  <si>
    <t>1528.0</t>
  </si>
  <si>
    <t>1656.12cCMSOrganizational.810</t>
  </si>
  <si>
    <t>1529.0</t>
  </si>
  <si>
    <t>1657.12cCMSOrganizational.9</t>
  </si>
  <si>
    <t>1530.0</t>
  </si>
  <si>
    <t>1658.12cCMSOrganizational.11</t>
  </si>
  <si>
    <t>1531.0</t>
  </si>
  <si>
    <t>1659.12cCMSOrganizational.12</t>
  </si>
  <si>
    <t>1532.0</t>
  </si>
  <si>
    <t>1660.12cCMSOrganizational.13</t>
  </si>
  <si>
    <t>1533.0</t>
  </si>
  <si>
    <t>1661.12cCMSOrganizational.14</t>
  </si>
  <si>
    <t>1538.0</t>
  </si>
  <si>
    <t>1662.12cFTIOrganizational.1</t>
  </si>
  <si>
    <t>1539.0</t>
  </si>
  <si>
    <t>1663.12cHIXOrganizational.1</t>
  </si>
  <si>
    <t>1540.0</t>
  </si>
  <si>
    <t>1664.12cHIXOrganizational.2</t>
  </si>
  <si>
    <t>1541.0</t>
  </si>
  <si>
    <t>1665.12cHIXOrganizational.3</t>
  </si>
  <si>
    <t>1542.0</t>
  </si>
  <si>
    <t>1666.12d1Organizational.1235</t>
  </si>
  <si>
    <t>1543.0</t>
  </si>
  <si>
    <t>1667.12d2Organizational.4</t>
  </si>
  <si>
    <t>1544.0</t>
  </si>
  <si>
    <t>1668.12d2Organizational.5</t>
  </si>
  <si>
    <t>1545.0</t>
  </si>
  <si>
    <t>1669.12d2Organizational.6</t>
  </si>
  <si>
    <t>1546.0</t>
  </si>
  <si>
    <t>1670.12d2Organizational.1</t>
  </si>
  <si>
    <t>1547.0</t>
  </si>
  <si>
    <t>1671.12d2Organizational.2</t>
  </si>
  <si>
    <t>1548.0</t>
  </si>
  <si>
    <t>1672.12d3Organizational.1</t>
  </si>
  <si>
    <t>1549.0</t>
  </si>
  <si>
    <t>1673.12e2Organizational.6</t>
  </si>
  <si>
    <t>1550.0</t>
  </si>
  <si>
    <t>1674.12e2Organizational.7</t>
  </si>
  <si>
    <t>1551.0</t>
  </si>
  <si>
    <t>1675.12e2Organizational.8</t>
  </si>
  <si>
    <r>
      <rPr>
        <b/>
        <sz val="10"/>
        <color theme="1"/>
        <rFont val="Arial"/>
        <family val="2"/>
      </rPr>
      <t>Sample Test:</t>
    </r>
    <r>
      <rPr>
        <sz val="10"/>
        <color theme="1"/>
        <rFont val="Arial"/>
        <family val="2"/>
      </rPr>
      <t xml:space="preserve">
- Test 075: Information Security (business continuity &amp; disaster test)</t>
    </r>
  </si>
  <si>
    <t>1552.0</t>
  </si>
  <si>
    <t>1676.12e2Organizational.9</t>
  </si>
  <si>
    <t>1553.0</t>
  </si>
  <si>
    <t>1677.12e1Organizational.6</t>
  </si>
  <si>
    <t>Responsibility (1) is assigned for regular reviews of at least a part of the business continuity plan at a minimum, annually.</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</si>
  <si>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business continuity tests and examine the test results to confirm that regular reviews of at least a part of the business continuity plan is performed, at a minimum, annually.</t>
  </si>
  <si>
    <t>1554.0</t>
  </si>
  <si>
    <t>1678.12e2Organizational.10</t>
  </si>
  <si>
    <t>1555.0</t>
  </si>
  <si>
    <t>1679.12e2Organizational.1</t>
  </si>
  <si>
    <t>1556.0</t>
  </si>
  <si>
    <t>1680.12e2Organizational.2</t>
  </si>
  <si>
    <t>1557.0</t>
  </si>
  <si>
    <t>1681.12e2Organizational.345</t>
  </si>
  <si>
    <t>1558.0</t>
  </si>
  <si>
    <t>1682.12e3Organizational.1</t>
  </si>
  <si>
    <t>1559.0</t>
  </si>
  <si>
    <t>1683.12e2Organizational.7</t>
  </si>
  <si>
    <t>1560.0</t>
  </si>
  <si>
    <t>1684.12eCMSOrganizational.1</t>
  </si>
  <si>
    <t>1686.12eFTIOrganizational.1</t>
  </si>
  <si>
    <t>0914.0</t>
  </si>
  <si>
    <t>1688.09lCISOrganizational.5</t>
  </si>
  <si>
    <t>0923.0</t>
  </si>
  <si>
    <t>1689.09lHIXOrganizational.1</t>
  </si>
  <si>
    <t>0924.0</t>
  </si>
  <si>
    <t>1690.09lHIXOrganizational.2</t>
  </si>
  <si>
    <t>1957.0</t>
  </si>
  <si>
    <t>16905.09hSRSystem.1</t>
  </si>
  <si>
    <t>1691.09hFedRAMPSystem.1</t>
  </si>
  <si>
    <t>0918.0</t>
  </si>
  <si>
    <t>1692.09lFedRAMPOrganizational.1</t>
  </si>
  <si>
    <t>1693.09lFedRAMPOrganizational.2</t>
  </si>
  <si>
    <t>0920.0</t>
  </si>
  <si>
    <t>1694.09lFedRAMPOrganizational.3</t>
  </si>
  <si>
    <t>1534.0</t>
  </si>
  <si>
    <t>1695.12cEHNACOrganizational.1</t>
  </si>
  <si>
    <t>1535.0</t>
  </si>
  <si>
    <t>1696.12cFedRAMPOrganizational.1</t>
  </si>
  <si>
    <t>1697.12cFedRAMPOrganizational.2</t>
  </si>
  <si>
    <t>1698.12cFedRAMPOrganizational.3</t>
  </si>
  <si>
    <t>2013.0</t>
  </si>
  <si>
    <t>16982.12aHIPAAOrganizational.1</t>
  </si>
  <si>
    <t>0906.0</t>
  </si>
  <si>
    <t>1699.09l2Organizational.6</t>
  </si>
  <si>
    <t>0925.0</t>
  </si>
  <si>
    <t>1699.09lNYCRR500Organizational.1</t>
  </si>
  <si>
    <t>17 Risk Management</t>
  </si>
  <si>
    <t>2395.0</t>
  </si>
  <si>
    <t>17.00aFedRAMPOrganizational.8</t>
  </si>
  <si>
    <t>The organization develops, documents, and disseminates to organization-defined personnel or roles (1) a risk assessment policy that addresses purpose, scope, roles, responsibilities, management commitment, coordination among organizational entities, and compliance, and (2) procedures to facilitate the implementation of the risk assessment policy and associated risk assessment controls. The organization reviews and updates the current (3) risk assessment policy at least annually, and (4) risk assessment procedures at least annually or whenever a significant change occurs.</t>
  </si>
  <si>
    <t>2642.0</t>
  </si>
  <si>
    <t>17.00aNIST80053Organizational.40</t>
  </si>
  <si>
    <t>The organization (1) develops, documents, and disseminates to designated organization-defined personnel or roles an organization-level risk assessment policy that is consistent with applicable laws, Executive Orders, directives, regulations, policies, standards, and guidelines, and (2) designates an organization-defined official to manage the development, documentation, and dissemination of the organization-level risk assessment policy and procedures.</t>
  </si>
  <si>
    <t>2726.0</t>
  </si>
  <si>
    <t>17.00aNYDOHOrganizational.3</t>
  </si>
  <si>
    <t>2536.0</t>
  </si>
  <si>
    <t>17.03aCMSOrganizational.2</t>
  </si>
  <si>
    <t>2667.0</t>
  </si>
  <si>
    <t>17.03aCMSOrganizational.3</t>
  </si>
  <si>
    <t>2668.0</t>
  </si>
  <si>
    <t>17.03aCMSOrganizational.4</t>
  </si>
  <si>
    <t>2671.0</t>
  </si>
  <si>
    <t>17.03aCMSOrganizational.5</t>
  </si>
  <si>
    <t>3032.0</t>
  </si>
  <si>
    <t>17.03aDORAOrganizational.1</t>
  </si>
  <si>
    <t>2802.0</t>
  </si>
  <si>
    <t>17.03aISO23894Organizational.12</t>
  </si>
  <si>
    <t>To support the risk management process, the organization maintains documentation of the following: |steps to understand uncertainty in all parts of the AI system, including the utilized data, software, mathematical models, physical extension, and human-in-the-loop aspects of the system; |awareness that AI is a fast-moving technology domain. Measurement methods should be consistently evaluated according to their effectiveness and appropriateness for the AI systems in use; |a consistent approach to determine the risk level. The approach should reflect the potential impact of AI systems regarding different AI-related objectives; |consideration of the organization’s AI capacity, knowledge level, and ability to mitigate realized AI risks when deciding its AI risk appetite.||</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</si>
  <si>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evidence to confirm the organization has documented the risk criteria for AI systems per the elements stipulated in the requirement statement.</t>
  </si>
  <si>
    <r>
      <rPr>
        <b/>
        <sz val="10"/>
        <color theme="1"/>
        <rFont val="Arial"/>
        <family val="2"/>
      </rPr>
      <t>Documentation: Artificial Intelligence Program</t>
    </r>
    <r>
      <rPr>
        <sz val="10"/>
        <color theme="1"/>
        <rFont val="Arial"/>
        <family val="2"/>
      </rPr>
      <t xml:space="preserve">
- defines steps to understand uncertainty in all parts of the AI system, including the utilized data, software, mathematical models, physical extension, and human-in-the-loop aspects of the system
- defines awareness that AI is a fast-moving technology domain
- defines a consistent approach to determine the risk level
- defines the organization’s AI capacity, knowledge level, and ability to mitigate realized AI risks when deciding its AI risk appetite</t>
    </r>
  </si>
  <si>
    <t>2800.0</t>
  </si>
  <si>
    <t>17.03aISO23894Organizational.15</t>
  </si>
  <si>
    <t>To support the risk management process, the organization maintains documentation of consideration of the following: |whether AI systems can harm human beings, deny essential services, infringe human rights or contribute to environmental harm; |external and internal expectations for the organization’s social responsibility; |external and internal expectations for the organization’s environmental responsibility.||</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</si>
  <si>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evidence to confirm the organization has documented the context of the risk management process for AI systems per the elements stipulated in the requirement statement.</t>
  </si>
  <si>
    <r>
      <rPr>
        <b/>
        <sz val="10"/>
        <color theme="1"/>
        <rFont val="Arial"/>
        <family val="2"/>
      </rPr>
      <t>Documentation: Artificial Intelligence Program</t>
    </r>
    <r>
      <rPr>
        <sz val="10"/>
        <color theme="1"/>
        <rFont val="Arial"/>
        <family val="2"/>
      </rPr>
      <t xml:space="preserve">
- defines whether AI systems can harm human beings, deny essential services, infringe human rights or contribute to environmental harm
- defines external and internal expectations for the organization’s social responsibility
- defines external and internal expectations for the organization’s environmental responsibility</t>
    </r>
  </si>
  <si>
    <t>2797.0</t>
  </si>
  <si>
    <t>17.03aISO23894Organizational.16</t>
  </si>
  <si>
    <t>The organization ensures the |authorities, |responsibilities, and |accountabilities|| for relevant roles with respect to AI risk management are assigned and communicated at all levels of the organization.||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</si>
  <si>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evidence to confirm the organization has communicated, at all levels of the organization, the authorities, responsibilities, and accountabilities for relevant roles with respect to AI risk management.</t>
  </si>
  <si>
    <r>
      <rPr>
        <b/>
        <sz val="10"/>
        <color theme="1"/>
        <rFont val="Arial"/>
        <family val="2"/>
      </rPr>
      <t>Evidence Test: Artificial Intelligence</t>
    </r>
    <r>
      <rPr>
        <sz val="10"/>
        <color theme="1"/>
        <rFont val="Arial"/>
        <family val="2"/>
      </rPr>
      <t xml:space="preserve">
- AI system authorities defined
- AI system responsibilities defined
- AI system accountabilities defined
- AI system roles and responsibilities communicated to workforce</t>
    </r>
  </si>
  <si>
    <t>2799.0</t>
  </si>
  <si>
    <t>17.03aISO23894Organizational.17</t>
  </si>
  <si>
    <t>The organization maintains documentation of consideration of the following stakeholders in the context of the risk management process for AI systems: |the organization itself; |customers, partners, and suppliers; |end users; |regulators; |civil organizations; |individuals; |affected communities; and |societies. ||</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</si>
  <si>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obtain and examine evidence to confirm the organization has documented the context of the risk management process for AI systems per the elements stipulated in the requirement statement.</t>
  </si>
  <si>
    <r>
      <rPr>
        <b/>
        <sz val="10"/>
        <color theme="1"/>
        <rFont val="Arial"/>
        <family val="2"/>
      </rPr>
      <t>Documentation: Artificial Intelligence Program</t>
    </r>
    <r>
      <rPr>
        <sz val="10"/>
        <color theme="1"/>
        <rFont val="Arial"/>
        <family val="2"/>
      </rPr>
      <t xml:space="preserve">
- defines risk considerations for the organization
- defines risk considerations for customers, partners, and suppliers
- defines risk considerations for end users/workforce members
- defines risk considerations for civil organizations (if required)
- defines risk considerations for affected communities (if required)
- defines risk considerations for societies (if required)</t>
    </r>
  </si>
  <si>
    <t>2798.0</t>
  </si>
  <si>
    <t>17.03aISO23894Organizational.19</t>
  </si>
  <si>
    <t>The organization |defines the scope of its risk management activities taking into consideration the objectives and purpose of the AI systems developed or used by the organization.||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</si>
  <si>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evidence to confirm the organization has defined the scope of its risk management activities taking into consideration the objectives and purpose of the AI systems developed or used by the organization.</t>
  </si>
  <si>
    <r>
      <rPr>
        <b/>
        <sz val="10"/>
        <color theme="1"/>
        <rFont val="Arial"/>
        <family val="2"/>
      </rPr>
      <t>Documentation: Artificial Intelligence Program</t>
    </r>
    <r>
      <rPr>
        <sz val="10"/>
        <color theme="1"/>
        <rFont val="Arial"/>
        <family val="2"/>
      </rPr>
      <t xml:space="preserve">
- defines scope objectives and purpose of program</t>
    </r>
  </si>
  <si>
    <t>2788.0</t>
  </si>
  <si>
    <t>17.03aISO23894Organizational.20</t>
  </si>
  <si>
    <t>The organization |issues statements related to its commitment to AI risk management to increase confidence of their stakeholders on their use of AI.||</t>
  </si>
  <si>
    <r>
      <rPr>
        <b/>
        <sz val="10"/>
        <color theme="1"/>
        <rFont val="Arial"/>
        <family val="2"/>
      </rPr>
      <t>Evidence Test: Artificial Intelligence</t>
    </r>
    <r>
      <rPr>
        <sz val="10"/>
        <color theme="1"/>
        <rFont val="Arial"/>
        <family val="2"/>
      </rPr>
      <t xml:space="preserve">
- issues statement to stakeholders regrading risk management of AI systems</t>
    </r>
  </si>
  <si>
    <t>2789.0</t>
  </si>
  <si>
    <t>17.03aISO23894Organizational.21</t>
  </si>
  <si>
    <t>The organization |allocates specialized resources to manage AI risk.||</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</si>
  <si>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evidence to confirm the organizations has allocated specialized resources to manage AI risk.</t>
  </si>
  <si>
    <r>
      <rPr>
        <b/>
        <sz val="10"/>
        <color theme="1"/>
        <rFont val="Arial"/>
        <family val="2"/>
      </rPr>
      <t>Evidence Test: Artificial Intelligence</t>
    </r>
    <r>
      <rPr>
        <sz val="10"/>
        <color theme="1"/>
        <rFont val="Arial"/>
        <family val="2"/>
      </rPr>
      <t xml:space="preserve">
- allocation of specialized resources to manage additional risk</t>
    </r>
  </si>
  <si>
    <t>2787.0</t>
  </si>
  <si>
    <t>17.03aISO23894Organizational.23</t>
  </si>
  <si>
    <t>The organization |develops, documents, and disseminates policies and statements related to AI risks and risk management to stakeholders.||</t>
  </si>
  <si>
    <r>
      <rPr>
        <b/>
        <sz val="10"/>
        <color theme="1"/>
        <rFont val="Arial"/>
        <family val="2"/>
      </rPr>
      <t>Evidence Test: Artificial Intelligence</t>
    </r>
    <r>
      <rPr>
        <sz val="10"/>
        <color theme="1"/>
        <rFont val="Arial"/>
        <family val="2"/>
      </rPr>
      <t xml:space="preserve">
- program is documented
- program is communicated to stakeholders</t>
    </r>
  </si>
  <si>
    <t>2813.0</t>
  </si>
  <si>
    <t>17.03aISO31000Organizational.10</t>
  </si>
  <si>
    <t>The organization |documents and |reports|| information about the risk management process and its results as defined in the risk management plan.|| The |creation, |retention, and |handling|| of such documented information takes into account the use, sensitivity, and external and internal context.||</t>
  </si>
  <si>
    <r>
      <rPr>
        <b/>
        <sz val="10"/>
        <color theme="1"/>
        <rFont val="Arial"/>
        <family val="2"/>
      </rPr>
      <t>Evidence Test: Risk Management</t>
    </r>
    <r>
      <rPr>
        <sz val="10"/>
        <color theme="1"/>
        <rFont val="Arial"/>
        <family val="2"/>
      </rPr>
      <t xml:space="preserve">
- plan defined and documented
</t>
    </r>
    <r>
      <rPr>
        <b/>
        <sz val="10"/>
        <color theme="1"/>
        <rFont val="Arial"/>
        <family val="2"/>
      </rPr>
      <t>Sample Test:</t>
    </r>
    <r>
      <rPr>
        <sz val="10"/>
        <color theme="1"/>
        <rFont val="Arial"/>
        <family val="2"/>
      </rPr>
      <t xml:space="preserve">
- Test 218: Information Security (risk management plan)</t>
    </r>
  </si>
  <si>
    <t>2821.0</t>
  </si>
  <si>
    <t>17.03aISO31000Organizational.11</t>
  </si>
  <si>
    <t>The organization |reviews the suitability, adequacy, and effectiveness of the organization-selected risk management framework and the way the risk management process is integrated into the organization at least annually.|| The organization |implements relevant improvements and |resolves gaps identified through this review.||</t>
  </si>
  <si>
    <t>Examine evidence that all evaluative elements within the requirement statement have been implemented as defined in the HITRUST scoring rubric, using a sample based test where possible for each evaluative element.
Example test(s):
For example, obtain and examine the most recent review of the organization-selected risk management framework and confirm it included consideration of the suitability, adequacy, and effectiveness of the organization-selected risk management framework and the way the risk management process is integrated into the organization. 
Examine evidence to confirm the organization implemented relevant improvements and resolved gaps identified by the review. 
Further, confirm the review was completed within the last year.</t>
  </si>
  <si>
    <r>
      <rPr>
        <b/>
        <sz val="10"/>
        <color theme="1"/>
        <rFont val="Arial"/>
        <family val="2"/>
      </rPr>
      <t>Evidence Test: Risk Management</t>
    </r>
    <r>
      <rPr>
        <sz val="10"/>
        <color theme="1"/>
        <rFont val="Arial"/>
        <family val="2"/>
      </rPr>
      <t xml:space="preserve">
- framework reviewed for suitability annually
- framework reviewed for adequacy annually
- framework reviewed for effectiveness annually
- identified improvements/gaps remediated</t>
    </r>
  </si>
  <si>
    <t>2823.0</t>
  </si>
  <si>
    <t>17.03aISO31000Organizational.12</t>
  </si>
  <si>
    <t>The organization's risk assessment involves |systematically gather and incorporate the knowledge and views of stakeholders, |collaboratively use the best available information, and |iteratively supplement with further enquiry as necessary.||</t>
  </si>
  <si>
    <t>Examine evidence that all evaluative elements within the requirement statement have been implemented as defined in the HITRUST scoring rubric, using a sample based test where possible for each evaluative element.
Example test(s):
For example, obtain and examine the risk assessment criteria to confirm whether the organization has established a risk assessment process to systematically gather and incorporate the knowledge and views of stakeholders, confirm how the organization ensured it collaboratively used the best available information, and confirm the organization iteratively supplemented with further enquiry as necessary. 
Further, select a sample of risk assessments and examine documentation to confirm the organization followed the established risk assessment process.</t>
  </si>
  <si>
    <r>
      <rPr>
        <b/>
        <sz val="10"/>
        <color theme="1"/>
        <rFont val="Arial"/>
        <family val="2"/>
      </rPr>
      <t>Documentation: Risk Management Program</t>
    </r>
    <r>
      <rPr>
        <sz val="10"/>
        <color theme="1"/>
        <rFont val="Arial"/>
        <family val="2"/>
      </rPr>
      <t xml:space="preserve">
- includes knowledge and views of stakeholders
- includes best available information from collaborative efforts
- includes inquiry from supplemental groups (as required)
</t>
    </r>
    <r>
      <rPr>
        <b/>
        <sz val="10"/>
        <color theme="1"/>
        <rFont val="Arial"/>
        <family val="2"/>
      </rPr>
      <t xml:space="preserve">Sample Test: 
</t>
    </r>
    <r>
      <rPr>
        <sz val="10"/>
        <color theme="1"/>
        <rFont val="Arial"/>
        <family val="2"/>
      </rPr>
      <t>- Test 124: Information Security (risk assessment)</t>
    </r>
  </si>
  <si>
    <t>2817.0</t>
  </si>
  <si>
    <t>17.03aISO31000Organizational.13</t>
  </si>
  <si>
    <t>The organization ensures the |authorities, |responsibilities, and |accountabilities|| for relevant roles with respect to risk management are assigned and communicated at all levels of the organization. ||</t>
  </si>
  <si>
    <t>Examine evidence that all evaluative elements within the requirement statement have been implemented as defined in the HITRUST scoring rubric, using a sample based test where possible for each evaluative element.
Example test(s):
For example, obtain and examine the risk management policy/plan document(s) and confirm they reflect the authorities, responsibilities, and accountabilities for relevant roles with respect to risk management. 
Further confirm whether they are assigned and whether they have been communicated to all levels of the organization.</t>
  </si>
  <si>
    <r>
      <rPr>
        <b/>
        <sz val="10"/>
        <color theme="1"/>
        <rFont val="Arial"/>
        <family val="2"/>
      </rPr>
      <t>Evidence Test: Risk Management</t>
    </r>
    <r>
      <rPr>
        <sz val="10"/>
        <color theme="1"/>
        <rFont val="Arial"/>
        <family val="2"/>
      </rPr>
      <t xml:space="preserve">
- plan defines jobs with risk management authority, responsibility, and/or accountability
- plan assignments communicated across the organization</t>
    </r>
  </si>
  <si>
    <t>2819.0</t>
  </si>
  <si>
    <t>17.03aISO31000Organizational.14</t>
  </si>
  <si>
    <t>The organization establishes a process to |communicate and |consult|| with stakeholders in order to support the risk management framework.|| Communication and consultation methods and content |reflect the expectations of stakeholders, |are timely, |ensure that relevant information is collected, collated, synthesized and shared, as appropriate, and |result in improvements being made based on feedback.||</t>
  </si>
  <si>
    <t>Examine evidence that all evaluative elements within the requirement statement have been implemented as defined in the HITRUST scoring rubric, using a sample based test where possible for each evaluative element.
Example test(s):
For example, obtain and examine risk management process documentation and confirm communication and consultation methods and content reflect the expectations of stakeholders, are timely, ensure that relevant information is collected, collated, synthesized and shared, as appropriate, and result in improvements being made based on feedback.</t>
  </si>
  <si>
    <r>
      <rPr>
        <b/>
        <sz val="10"/>
        <color theme="1"/>
        <rFont val="Arial"/>
        <family val="2"/>
      </rPr>
      <t>Documentation: Risk Management Program</t>
    </r>
    <r>
      <rPr>
        <sz val="10"/>
        <color theme="1"/>
        <rFont val="Arial"/>
        <family val="2"/>
      </rPr>
      <t xml:space="preserve">
- includes process to communicate/consult with stakeholders
</t>
    </r>
    <r>
      <rPr>
        <b/>
        <sz val="10"/>
        <color theme="1"/>
        <rFont val="Arial"/>
        <family val="2"/>
      </rPr>
      <t>Evidence Test: Risk Management</t>
    </r>
    <r>
      <rPr>
        <sz val="10"/>
        <color theme="1"/>
        <rFont val="Arial"/>
        <family val="2"/>
      </rPr>
      <t xml:space="preserve">
- communication/consultation with stakeholders is timely
- communication/consultation with stakeholders is collected, collated, synthesized and shared
- communication/consultation with stakeholders result in improvements being made to program</t>
    </r>
  </si>
  <si>
    <t>2814.0</t>
  </si>
  <si>
    <t>17.03aISO31000Organizational.15</t>
  </si>
  <si>
    <t>The organization establishes and implements standards for reporting risk management processes and results to stakeholders that consider |differing stakeholders, and their specific information needs and requirements, |cost, frequency, and timeliness of reporting, |method(s) of reporting, and |relevance of information to organizational objectives and decision-making.||</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</si>
  <si>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examine the risk management standards for reporting risk management processes and results to stakeholders and confirm if they include consideration the elements stipulated in the requirement statement. _x000D_
Further, select a sample of communications of risk management processes and results to stakeholders and examine evidence to confirm the established standards were followed.</t>
  </si>
  <si>
    <r>
      <rPr>
        <b/>
        <sz val="10"/>
        <color theme="1"/>
        <rFont val="Arial"/>
        <family val="2"/>
      </rPr>
      <t>Documentation: Risk Management Program</t>
    </r>
    <r>
      <rPr>
        <sz val="10"/>
        <color theme="1"/>
        <rFont val="Arial"/>
        <family val="2"/>
      </rPr>
      <t xml:space="preserve">
- includes reporting consideration for differing stakeholders, and their specific information needs and requirements
- includes reporting consideration for cost, frequency, and timeliness of reporting
- includes reporting consideration for method(s) of reporting
- includes reporting consideration for relevance of information to organizational objectives and decision-making
</t>
    </r>
    <r>
      <rPr>
        <b/>
        <sz val="10"/>
        <color theme="1"/>
        <rFont val="Arial"/>
        <family val="2"/>
      </rPr>
      <t xml:space="preserve">Sample Test: 
- </t>
    </r>
    <r>
      <rPr>
        <sz val="10"/>
        <color theme="1"/>
        <rFont val="Arial"/>
        <family val="2"/>
      </rPr>
      <t>Test 221: Information Security (risk management reporting)</t>
    </r>
  </si>
  <si>
    <t>2811.0</t>
  </si>
  <si>
    <t>17.03aISO31000Organizational.16</t>
  </si>
  <si>
    <t>The organization implements a risk management framework (e.g., industry-accepted, regulatory-required) by |developing an appropriate risk management plan including time and resources, |identifying where, when, and how different types of risk management decisions are made across the organization, and by whom, |modifying the applicable risk management decision-making processes where necessary, |ensuring that the organization’s arrangements for managing risk are clearly understood and practiced, and |reviewing and updating the risk management plan at least annually for changes in the organization's risk profile and for updates to the risk management framework.||</t>
  </si>
  <si>
    <t>Examine evidence that all evaluative elements within the requirement statement have been implemented as defined in the HITRUST scoring rubric, using a sample based test where possible for each evaluative element.
Example test(s):
For example, obtain and examine the most recent risk management plan to determine if it has been updated in the past year. 
Further, examine whether it includes the required content for developing an appropriate risk management plan including time and resources, identifying where, when, and how different types of decisions are made across the organization, and by whom, modifying the applicable decision-making processes where necessary, and ensuring that the organization’s arrangements for managing risk are clearly understood and practiced.</t>
  </si>
  <si>
    <r>
      <rPr>
        <b/>
        <sz val="10"/>
        <color theme="1"/>
        <rFont val="Arial"/>
        <family val="2"/>
      </rPr>
      <t>Documentation: Risk Management Program</t>
    </r>
    <r>
      <rPr>
        <sz val="10"/>
        <color theme="1"/>
        <rFont val="Arial"/>
        <family val="2"/>
      </rPr>
      <t xml:space="preserve">
- defines: time and resources required to create plan
- defines: where, when, and how different types of risk management decisions are made across the organization
- defines: modifying the applicable risk management decision-making processes where necessary
- defines: the organization’s arrangements for managing risk
</t>
    </r>
    <r>
      <rPr>
        <b/>
        <sz val="10"/>
        <color theme="1"/>
        <rFont val="Arial"/>
        <family val="2"/>
      </rPr>
      <t xml:space="preserve">Evidence Test: Risk Management
</t>
    </r>
    <r>
      <rPr>
        <sz val="10"/>
        <color theme="1"/>
        <rFont val="Arial"/>
        <family val="2"/>
      </rPr>
      <t>- plan updated within past 365 days</t>
    </r>
  </si>
  <si>
    <t>2816.0</t>
  </si>
  <si>
    <t>17.03aISO31000Organizational.17</t>
  </si>
  <si>
    <t>Senior management demonstrates their continual commitment to risk management through a formally documented policy/plan that: |reinforces the need to integrate risk management into the overall culture of the organization; |articulates authorities, responsibilities and accountabilities; |makes the necessary resources available; |describes the way in which conflicting objectives are dealt with; |defines measurement and reporting within the organization’s performance indicators; and |includes review and improvement.|| The documented commitment is |communicated within the organization and to stakeholders as appropriate. ||</t>
  </si>
  <si>
    <t>Examine evidence that all evaluative elements within the requirement statement have been implemented as defined in the HITRUST scoring rubric, using a sample based test where possible for each evaluative element.
Example test(s):
For example, obtain and examine the risk management policy/plan document(s) and confirm they reflect senior management’s continual commitment, including all elements stipulated in the requirement statement.</t>
  </si>
  <si>
    <r>
      <rPr>
        <b/>
        <sz val="10"/>
        <color theme="1"/>
        <rFont val="Arial"/>
        <family val="2"/>
      </rPr>
      <t>Documentation: Risk Management Program</t>
    </r>
    <r>
      <rPr>
        <sz val="10"/>
        <color theme="1"/>
        <rFont val="Arial"/>
        <family val="2"/>
      </rPr>
      <t xml:space="preserve">
- defines: the need to integrate risk management into the overall culture of the organization
- defines: authorities, responsibilities, and accountabilities
- defines: the necessary resources required
- defines: the way in which conflicting objectives are dealt with
- defines: measurement and reporting within the organization’s performance indicators
</t>
    </r>
    <r>
      <rPr>
        <b/>
        <sz val="10"/>
        <color theme="1"/>
        <rFont val="Arial"/>
        <family val="2"/>
      </rPr>
      <t xml:space="preserve">Evidence Test: Risk Management
</t>
    </r>
    <r>
      <rPr>
        <sz val="10"/>
        <color theme="1"/>
        <rFont val="Arial"/>
        <family val="2"/>
      </rPr>
      <t>- program includes revision table
- program communicated to appropriate parties</t>
    </r>
  </si>
  <si>
    <t>2786.0</t>
  </si>
  <si>
    <t>17.03aISO31000Organizational.4</t>
  </si>
  <si>
    <t>The organization |evaluates its existing risk management practices and processes, |evaluates any gaps, and |addresses those gaps|| within an organization-chosen risk management framework on an annual basis.|| The characteristics of the chosen risk management framework (e.g., industry-accepted, regulatory-required) and the way in which they work together are |customized and |implemented|| to meet the needs of the organization.||</t>
  </si>
  <si>
    <t>Examine evidence that all evaluative elements within the requirement statement have been implemented as defined in the HITRUST scoring rubric, using a sample based test where possible for each evaluative element.
Example test(s):
For example, examine evidence to confirm that the organization evaluated its existing risk management practices and processes, evaluated any gaps, and addressed those gaps within the last year.
Further, examine evidence to confirm the components of the chosen risk management framework and the way in which they work together have been customized and implemented to meet the needs of the organization.</t>
  </si>
  <si>
    <r>
      <rPr>
        <b/>
        <sz val="10"/>
        <color theme="1"/>
        <rFont val="Arial"/>
        <family val="2"/>
      </rPr>
      <t>Evidence Test: Risk Management</t>
    </r>
    <r>
      <rPr>
        <sz val="10"/>
        <color theme="1"/>
        <rFont val="Arial"/>
        <family val="2"/>
      </rPr>
      <t xml:space="preserve">
- program customized and implemented to fit the organization
- program evaluated within the past 365 days
- any non-compliances are corrected within 365 days of being identified</t>
    </r>
  </si>
  <si>
    <t>2822.0</t>
  </si>
  <si>
    <t>17.03aISO31000Organizational.5</t>
  </si>
  <si>
    <t>The organization |defines the scope of its risk management activities.||</t>
  </si>
  <si>
    <t>Examine evidence that all evaluative elements within the requirement statement have been implemented as defined in the HITRUST scoring rubric, using a sample based test where possible for each evaluative element.
Example test(s):
For example, obtain and examine the risk management documentation and related policies and procedures, and confirm the organization has defined the necessary scope of its risk management activities.</t>
  </si>
  <si>
    <r>
      <rPr>
        <b/>
        <sz val="10"/>
        <color theme="1"/>
        <rFont val="Arial"/>
        <family val="2"/>
      </rPr>
      <t>Documentation: Risk Management Program</t>
    </r>
    <r>
      <rPr>
        <sz val="10"/>
        <color theme="1"/>
        <rFont val="Arial"/>
        <family val="2"/>
      </rPr>
      <t xml:space="preserve">
- defines: scope of its risk management activities</t>
    </r>
  </si>
  <si>
    <t>2812.0</t>
  </si>
  <si>
    <t>17.03aISO31000Organizational.6</t>
  </si>
  <si>
    <t>The organization |considers human behavior and culture throughout the risk management process.||</t>
  </si>
  <si>
    <t>Examine evidence that all evaluative elements within the requirement statement have been implemented as defined in the HITRUST scoring rubric, using a sample based test where possible for each evaluative element.
Example test(s):
For example, examine the risk management plan to confirm the organization has considered human behavior and culture throughout the risk management process.</t>
  </si>
  <si>
    <r>
      <rPr>
        <b/>
        <sz val="10"/>
        <color theme="1"/>
        <rFont val="Arial"/>
        <family val="2"/>
      </rPr>
      <t>Evidence Test: Risk Management</t>
    </r>
    <r>
      <rPr>
        <sz val="10"/>
        <color theme="1"/>
        <rFont val="Arial"/>
        <family val="2"/>
      </rPr>
      <t xml:space="preserve">
- plan includes considerations for human behavior and culture</t>
    </r>
  </si>
  <si>
    <t>2815.0</t>
  </si>
  <si>
    <t>17.03aISO31000Organizational.7</t>
  </si>
  <si>
    <t>The organization documents its |external and |internal|| context in the design of the risk management plan.||</t>
  </si>
  <si>
    <t>Examine evidence that all evaluative elements within the requirement statement have been implemented as defined in the HITRUST scoring rubric, using a sample based test where possible for each evaluative element.
Example test(s):
For example, obtain and examine the risk management plan documentation and confirm it includes consideration of the external and internal context of the plan as stipulated by the organization. The organization’s external context may include but is not limited to considerations of social, cultural, political, legal, regulatory, financial, technological, economic and environmental factors, whether international, national, regional or local; key drivers and trends affecting the objectives of the organization; external stakeholders’ relationships, perceptions, values, needs and expectations; contractual relationships and commitments; and, the complexity of networks and dependencies. The organization’s internal context may include but is not limited to considerations of: vision, mission and values; governance, organizational structure, roles and accountabilities; strategy, objectives and policies; the organization’s culture; standards, guidelines and models adopted by the organization; capabilities, understood in terms of resources and knowledge (e.g. capital, time, people, intellectual property, processes, systems and technologies); data, information systems and information flows; relationships with internal stakeholders, taking into account their perceptions and values; contractual relationships and commitments; and interdependencies and interconnections.</t>
  </si>
  <si>
    <r>
      <rPr>
        <b/>
        <sz val="10"/>
        <color theme="1"/>
        <rFont val="Arial"/>
        <family val="2"/>
      </rPr>
      <t>Documentation: Risk Management Program</t>
    </r>
    <r>
      <rPr>
        <sz val="10"/>
        <color theme="1"/>
        <rFont val="Arial"/>
        <family val="2"/>
      </rPr>
      <t xml:space="preserve">
- defines: external and internal considerations to be evaluated
</t>
    </r>
    <r>
      <rPr>
        <b/>
        <sz val="10"/>
        <color theme="1"/>
        <rFont val="Arial"/>
        <family val="2"/>
      </rPr>
      <t>Evidence Test: Risk Management</t>
    </r>
    <r>
      <rPr>
        <sz val="10"/>
        <color theme="1"/>
        <rFont val="Arial"/>
        <family val="2"/>
      </rPr>
      <t xml:space="preserve">
- plan includes external and internal considerations outlined in program
</t>
    </r>
    <r>
      <rPr>
        <b/>
        <sz val="10"/>
        <color theme="1"/>
        <rFont val="Arial"/>
        <family val="2"/>
      </rPr>
      <t>Additional Information: Examples</t>
    </r>
    <r>
      <rPr>
        <sz val="10"/>
        <color theme="1"/>
        <rFont val="Arial"/>
        <family val="2"/>
      </rPr>
      <t xml:space="preserve">
- external: social and/or cultural 
- external: political, legal, and/or regulatory
- external: financial
- external: technological
- external: economic and environmental factors
- external: international, national, regional, and/or local
- external: key drivers and trends affecting the objectives of the organization
- external: external stakeholders’ relationships and/or perceptions, needs, and expectations
- external: contractual relationships and commitments
- external: the complexity of networks and dependencies
- internal: vision, mission, and/or values
- internal: governance, organizational structure, roles, and/or accountabilities
- internal: strategy, objectives, and/or policies
- internal: the organization’s culture
- internal: standards, guidelines, and/or models adopted by the organization
- internal: capabilities, understood in terms of resources and knowledge
- internal: data, information systems and information flows
- internal: relationships with internal stakeholders, taking into account their perceptions and values
- internal: contractual relationships and commitments
- internal: interdependencies and interconnections</t>
    </r>
  </si>
  <si>
    <t>2820.0</t>
  </si>
  <si>
    <t>17.03aISO31000Organizational.8</t>
  </si>
  <si>
    <t>The organization |monitors external and internal changes and adapts the risk management framework to maintain or improve its value to the organization.||</t>
  </si>
  <si>
    <t>Examine evidence that all evaluative elements within the requirement statement have been implemented as defined in the HITRUST scoring rubric, using a sample based test where possible for each evaluative element.
Example test(s):
For example, 
obtain and examine evidence to confirm the organization has monitored for external and internal changes and adapted the risk management framework where necessary to maintain or improve its value to the organization in light of observed changes. 
Further, examine evidence to confirm the organization\'s risk management framework was adapted to maintain or improve its value to the organization.</t>
  </si>
  <si>
    <r>
      <rPr>
        <b/>
        <sz val="10"/>
        <color theme="1"/>
        <rFont val="Arial"/>
        <family val="2"/>
      </rPr>
      <t>Evidence Test: Risk Management</t>
    </r>
    <r>
      <rPr>
        <sz val="10"/>
        <color theme="1"/>
        <rFont val="Arial"/>
        <family val="2"/>
      </rPr>
      <t xml:space="preserve">
- external and internal changes monitored
- program improved based on changes</t>
    </r>
  </si>
  <si>
    <t>2818.0</t>
  </si>
  <si>
    <t>17.03aISO31000Organizational.9</t>
  </si>
  <si>
    <t>The organization ensures allocation of appropriate resources for risk management, including considerations for: |people, skills, experience, and competence; |the organization’s processes, methods, and tools to be used for managing risk; |documented processes and procedures; |information and knowledge management systems; |professional development and training needs; and |capabilities of, and constraints on, existing resources.||</t>
  </si>
  <si>
    <t>Examine evidence that all evaluative elements within the requirement statement have been implemented as defined in the HITRUST scoring rubric, using a sample based test where possible for each evaluative element.
Example test(s):
For example, obtain and examine documentation of the organization\'s allocation of resources for risk management and confirm they include considerations for the elements stipulated in the requirement statement.</t>
  </si>
  <si>
    <r>
      <rPr>
        <b/>
        <sz val="10"/>
        <color theme="1"/>
        <rFont val="Arial"/>
        <family val="2"/>
      </rPr>
      <t>Evidence Test: Risk Management</t>
    </r>
    <r>
      <rPr>
        <sz val="10"/>
        <color theme="1"/>
        <rFont val="Arial"/>
        <family val="2"/>
      </rPr>
      <t xml:space="preserve">
- resource allocation considerations: people, skills, experience, and competence
- resource allocation considerations: the organization’s processes, methods, and tools to be used for managing risk
- resource allocation considerations: documented processes and procedures
- resource allocation considerations: information and knowledge management systems
- resource allocation considerations: professional development and training needs
- resource allocation considerations: capabilities of, and constraints on, existing resources</t>
    </r>
  </si>
  <si>
    <t>2935.0</t>
  </si>
  <si>
    <t>17.03aNIST800172Organizational.1</t>
  </si>
  <si>
    <t>0393.0</t>
  </si>
  <si>
    <t>17.03aNYDOHOrganizational.2</t>
  </si>
  <si>
    <t>2082.0</t>
  </si>
  <si>
    <t>17.03aNYDOHOrganizational.3</t>
  </si>
  <si>
    <t>3052.0</t>
  </si>
  <si>
    <t>17.03bAISecOrganizational.3</t>
  </si>
  <si>
    <t>03.b Performing Risk Assessments</t>
  </si>
  <si>
    <t>The organization evaluates the need to take additional measures against AI training data (e.g., adversarial training, using randomized smoothing techniques) to specifically ensure that the machine learning-based AI models it produces are more resistant to evasion and poisoning attacks. This evaluation is (1) |documented, |performed regularly (at least semiannually) thereafter, and |revisited when security incidents related to the AI system occur.|| Additional measures deemed necessary as a result of this evaluation are |implemented by the organization.</t>
  </si>
  <si>
    <t>Examine evidence that all evaluative elements within the requirement statement have been implemented as defined in the HITRUST scoring rubric, using a sample based test where possible for each evaluative element.
Example test(s):
For example, inspect the documentation produced as a result of the evaluation described in this requirement and confirm that any measures deemed necessary as a result of the evaluation have been implemented. Further, evidence that the evaluation was revisited at the frequency described in the requirement.</t>
  </si>
  <si>
    <r>
      <rPr>
        <b/>
        <sz val="10"/>
        <color theme="1"/>
        <rFont val="Arial"/>
        <family val="2"/>
      </rPr>
      <t>Evidence Test: Artificial Intelligence (evaluation)</t>
    </r>
    <r>
      <rPr>
        <sz val="10"/>
        <color theme="1"/>
        <rFont val="Arial"/>
        <family val="2"/>
      </rPr>
      <t xml:space="preserve">
- conducted against AI training data
- formally documented
- performed at least every 180 days
- performed when AI security incidents occur
- identified security measures implemented</t>
    </r>
  </si>
  <si>
    <t>3034.0</t>
  </si>
  <si>
    <t>17.03bAISecOrganizational.4</t>
  </si>
  <si>
    <t>The organization identifies the relevant AI-specific security threats (e.g., evasion, poisoning, prompt injection) to the deployed AI system |prior to deployment of new models, |regularly (at least semiannually) thereafter, and |when security incidents related to the AI system occur.|| The organization documents identified AI threat scenarios in a threat register which minimally contains |a description of the identified AI security threat and |the associated component(s) of the AI system (e.g., training data, models, APIs).</t>
  </si>
  <si>
    <t>Examine evidence that all evaluative elements within the requirement statement have been implemented as defined in the HITRUST scoring rubric, using a sample based test where possible for each evaluative element.
Example test(s):
For example, select a sample from the threat register to confirm all AI-specific security threats are identified and documented. Further, confirm that the threat register contains a detailed description of the identified AI security threat and the associated component(s) of the AI system (e.g., training data, models, APIs). Further, confirm that the threat register was reviewed and updated if needed at least at the frequency mandated in the requirement statement.</t>
  </si>
  <si>
    <r>
      <rPr>
        <b/>
        <sz val="10"/>
        <color theme="1"/>
        <rFont val="Arial"/>
        <family val="2"/>
      </rPr>
      <t>Evidence Test: Artificial Intelligence (evaluation)</t>
    </r>
    <r>
      <rPr>
        <sz val="10"/>
        <color theme="1"/>
        <rFont val="Arial"/>
        <family val="2"/>
      </rPr>
      <t xml:space="preserve">
- reviewed prior to deployment of new models
- reviewed every 180 days
- reviewed when security incidents related to the AI system occur
</t>
    </r>
    <r>
      <rPr>
        <b/>
        <sz val="10"/>
        <color theme="1"/>
        <rFont val="Arial"/>
        <family val="2"/>
      </rPr>
      <t>Sample Test:</t>
    </r>
    <r>
      <rPr>
        <sz val="10"/>
        <color theme="1"/>
        <rFont val="Arial"/>
        <family val="2"/>
      </rPr>
      <t xml:space="preserve">
- Test 223: Information Security (AI-specific non-compliance identified during compliance check)</t>
    </r>
  </si>
  <si>
    <t>3035.0</t>
  </si>
  <si>
    <t>17.03bAISecOrganizational.5</t>
  </si>
  <si>
    <t>The organization performs threat modeling for the AI system to |evaluate its exposure to identified AI security threats, |identify countermeasures currently in place to mitigate those threats, and |identify any additional countermeasures deemed necessary considering the organization’s overall risk tolerance and the risk categorization of the AI system.|| This activity is performed |upon identification of new AI security threats, |prior to deployment of new models, |regularly (at least semiannually) thereafter, and |when security incidents related to the AI system occur.</t>
  </si>
  <si>
    <t>Examine evidence that all evaluative elements within the requirement statement have been implemented as defined in the HITRUST scoring rubric, using a sample based test where possible for each evaluative element.
Example test(s):
For example, select a sample of the documented AI system threat modeling to confirm AI security threats are identified. Further, confirm that the modeling evaluates the exposure to identified AI security threats, identifies countermeasures currently in place to mitigate those threats, and identifies any additional countermeasures deemed necessary considering the organization’s overall risk tolerance and the risk categorization of the AI system.</t>
  </si>
  <si>
    <r>
      <rPr>
        <b/>
        <sz val="10"/>
        <color theme="1"/>
        <rFont val="Arial"/>
        <family val="2"/>
      </rPr>
      <t>Evidence Test: Artificial Intelligence (evaluation)</t>
    </r>
    <r>
      <rPr>
        <sz val="10"/>
        <color theme="1"/>
        <rFont val="Arial"/>
        <family val="2"/>
      </rPr>
      <t xml:space="preserve">
- reviewed prior to deployment of new models
- reviewed every 180 days
- reviewed when security incidents related to the AI system occur
- reviewed when new AI security threats have been detected
</t>
    </r>
    <r>
      <rPr>
        <b/>
        <sz val="10"/>
        <color theme="1"/>
        <rFont val="Arial"/>
        <family val="2"/>
      </rPr>
      <t>Sample Test:</t>
    </r>
    <r>
      <rPr>
        <sz val="10"/>
        <color theme="1"/>
        <rFont val="Arial"/>
        <family val="2"/>
      </rPr>
      <t xml:space="preserve">
- Test 224: Artificial Intelligence (evaluation)</t>
    </r>
  </si>
  <si>
    <t>2420.0</t>
  </si>
  <si>
    <t>17.03bFedRAMPOrganizational.2</t>
  </si>
  <si>
    <t>2792.0</t>
  </si>
  <si>
    <t>17.03bISO23894Organizational.10</t>
  </si>
  <si>
    <t>The organization |identifies assets related to the design and use of AI that fall within the scope of the risk management process, documenting considerations of both the value of the asset and the nature of the asset, both tangible (e.g. data, models, the AI system itself, the environment) and intangible (e.g., reputation, trust, individual privacy and safety).||</t>
  </si>
  <si>
    <t>Examine evidence that all evaluative elements within the requirement statement have been implemented as defined in the HITRUST scoring rubric, using a sample based test where possible for each evaluative element.
Example test(s):
For example, obtain and examine evidence to confirm the organization has identified assets related to the design and use of AI that fall within the scope of the risk management process, documenting considerations of both the value of the asset and the nature of the asset.</t>
  </si>
  <si>
    <r>
      <rPr>
        <b/>
        <sz val="10"/>
        <color theme="1"/>
        <rFont val="Arial"/>
        <family val="2"/>
      </rPr>
      <t>Evidence Test: Inventory</t>
    </r>
    <r>
      <rPr>
        <sz val="10"/>
        <color theme="1"/>
        <rFont val="Arial"/>
        <family val="2"/>
      </rPr>
      <t xml:space="preserve">
- identifies assets related to design and use of AI
- documents value of AI assets
- documents nature of AI assets</t>
    </r>
  </si>
  <si>
    <t>2793.0</t>
  </si>
  <si>
    <t>17.03bISO23894Organizational.11</t>
  </si>
  <si>
    <t>As part of the risk management process, the organization |identifies potential events that are related to the development or use of AI which could result in tangible or intangible consequences.||</t>
  </si>
  <si>
    <t>Examine evidence that all evaluative elements within the requirement statement have been implemented as defined in the HITRUST scoring rubric, using a sample based test where possible for each evaluative element.
Example test(s):
For example, 
examine documentation to confirm the organization has, as part of the risk management process, identified potential events that are related to the development or use of AI which could result in tangible or intangible consequences.</t>
  </si>
  <si>
    <r>
      <rPr>
        <b/>
        <sz val="10"/>
        <color theme="1"/>
        <rFont val="Arial"/>
        <family val="2"/>
      </rPr>
      <t>Evidence Test: Risk Management</t>
    </r>
    <r>
      <rPr>
        <sz val="10"/>
        <color theme="1"/>
        <rFont val="Arial"/>
        <family val="2"/>
      </rPr>
      <t xml:space="preserve">
- plan identifies potential events that are related to the development or use of AI which could result in tangible or intangible consequences</t>
    </r>
  </si>
  <si>
    <t>2791.0</t>
  </si>
  <si>
    <t>17.03bISO23894Organizational.12</t>
  </si>
  <si>
    <t>The organization |aligns risk assessment activities with the system life cycle for the development and/or use of AI systems.||</t>
  </si>
  <si>
    <t>Examine evidence that all evaluative elements within the requirement statement have been implemented as defined in the HITRUST scoring rubric, using a sample based test where possible for each evaluative element.
Example test(s):
For example, obtain and examine documentation to confirm the organization has aligned its risk assessment activities with the system life cycle for the development and/or use of AI systems.</t>
  </si>
  <si>
    <r>
      <rPr>
        <b/>
        <sz val="10"/>
        <color theme="1"/>
        <rFont val="Arial"/>
        <family val="2"/>
      </rPr>
      <t>Evidence Test: Risk Assessment</t>
    </r>
    <r>
      <rPr>
        <sz val="10"/>
        <color theme="1"/>
        <rFont val="Arial"/>
        <family val="2"/>
      </rPr>
      <t xml:space="preserve">
- includes system life cycle for development and/or use of AI Systems</t>
    </r>
  </si>
  <si>
    <t>2806.0</t>
  </si>
  <si>
    <t>17.03bISO23894Organizational.13</t>
  </si>
  <si>
    <t>The organization identifies, as part of the AI risk assessment, |risk consequences to the organization itself, to individuals, communities, groups, and societies, and |differences between the groups who experience the benefits of AI systems and the groups who experience negative consequences.||</t>
  </si>
  <si>
    <t>Examine evidence that all evaluative elements within the requirement statement have been implemented as defined in the HITRUST scoring rubric, using a sample based test where possible for each evaluative element.
Example test(s):
For example, examine documentation to confirm the organization has identified, as part of the AI risk assessment, risk consequences to the organization itself, to individuals, communities, groups, and societies, and differences between the groups who experience the benefits of AI systems and the groups who experience negative consequences.</t>
  </si>
  <si>
    <r>
      <rPr>
        <b/>
        <sz val="10"/>
        <color theme="1"/>
        <rFont val="Arial"/>
        <family val="2"/>
      </rPr>
      <t>Evidence Test: Risk Assessment</t>
    </r>
    <r>
      <rPr>
        <sz val="10"/>
        <color theme="1"/>
        <rFont val="Arial"/>
        <family val="2"/>
      </rPr>
      <t xml:space="preserve">
- identifies: risk consequences to the organization itself, to individuals, communities, groups, and/or societies
- identifies: differences between the groups who experience the benefits of AI systems and the groups who experience negative consequences</t>
    </r>
  </si>
  <si>
    <t>2807.0</t>
  </si>
  <si>
    <t>17.03bISO23894Organizational.14</t>
  </si>
  <si>
    <t>The organization identifies risk sources in the following areas related to the development and/or use of AI systems: |the organization; |processes and procedures; |management routines; |personnel; |physical environment; |data; |AI system configuration; |deployment environment; |hardware, software, network resources and services; and |dependence on external parties.||</t>
  </si>
  <si>
    <t>Examine evidence that all evaluative elements within the requirement statement have been implemented as defined in the HITRUST scoring rubric, using a sample based test where possible for each evaluative element.
Example test(s):
For example, examine documentation to confirm the organization has identified risk sources that are related to the development or use of AI as stipulated in the requirement statement.</t>
  </si>
  <si>
    <r>
      <rPr>
        <b/>
        <sz val="10"/>
        <color theme="1"/>
        <rFont val="Arial"/>
        <family val="2"/>
      </rPr>
      <t>Evidence Test: Risk Assessment</t>
    </r>
    <r>
      <rPr>
        <sz val="10"/>
        <color theme="1"/>
        <rFont val="Arial"/>
        <family val="2"/>
      </rPr>
      <t xml:space="preserve">
- identifies AI risk sources related to: the organization
- identifies AI risk sources related to: processes and procedures
- identifies AI risk sources related to: management routines
- identifies AI risk sources related to: personnel
- identifies AI risk sources related to: physical environment
- identifies AI risk sources related to: data
- identifies AI risk sources related to: AI system configuration
- identifies AI risk sources related to: deployment environment
- identifies AI risk sources related to: hardware, software, network resources and services
- identifies AI risk sources related to: dependence on external parties</t>
    </r>
  </si>
  <si>
    <t>2808.0</t>
  </si>
  <si>
    <t>17.03bISO23894Organizational.15</t>
  </si>
  <si>
    <t>The organization uses internal and external information on the trustworthiness of the AI system to |assess for previously undetected risks or previously assessed risks that are no longer acceptable. If such a risk is identified, the organization assesses the effect on previous risk management activities and feeds the results of this assessment back into the risk management process.|| The assessment documentation contains: |a description and identification of the system that has been analyzed; |the methodology applied; |a description of the intended use of the AI system; |the identity of the person(s) and organization that carried out the risk assessment; |the terms of reference and date of the risk assessment; |the release status of the risk assessment; |if and to what degree objectives have been met.||</t>
  </si>
  <si>
    <t>Examine evidence that all evaluative elements within the requirement statement have been implemented as defined in the HITRUST scoring rubric, using a sample based test where possible for each evaluative element.
Example test(s):
For example, obtain and examine the most recent AI system assessment and confirm the organization documented previously undetected risks or previously assessed risks that are no longer acceptable. 
If such a risk was identified, confirm evidence the organization assessed the effect on previous risk management activities and fed the results of the assessment back into the risk management process. 
Further, examine evidence to confirm the AI system assessment documentation contained the elements contained in the requirement statement.</t>
  </si>
  <si>
    <r>
      <rPr>
        <b/>
        <sz val="10"/>
        <color theme="1"/>
        <rFont val="Arial"/>
        <family val="2"/>
      </rPr>
      <t>Evidence Test: AI System Assessment</t>
    </r>
    <r>
      <rPr>
        <sz val="10"/>
        <color theme="1"/>
        <rFont val="Arial"/>
        <family val="2"/>
      </rPr>
      <t xml:space="preserve">
- contains: a description and identification of the system that has been analyzed
- contains: the methodology applied
- contains: a description of the intended use of the AI system
- contains: the identity of the person(s) and organization that carried out the risk assessment
- contains: the terms of reference and date of the risk assessment
- contains: the release status of the risk assessment
- contains: if and to what degree objectives have been met
- assesses for undetected risks
- assesses for previously assessed risks that are no longer acceptable
- mitigates identified risks</t>
    </r>
  </si>
  <si>
    <t>2803.0</t>
  </si>
  <si>
    <t>17.03bISO23894Organizational.16</t>
  </si>
  <si>
    <t>The organization conducts societal impact analyses on AI systems at a minimum annually, considering |the scope of societal impact, including who the system(s) are being used by or designed for, and |how the AI system(s) affects social and cultural values held by various affected groups.||</t>
  </si>
  <si>
    <t>Examine evidence that all evaluative elements within the requirement statement have been implemented as defined in the HITRUST scoring rubric, using a sample based test where possible for each evaluative element.
Example test(s):
For example, obtain and examine the most recent annual AI system societal impact analysis and confirm it contained the elements stipulated in the requirement statement.</t>
  </si>
  <si>
    <r>
      <rPr>
        <b/>
        <sz val="10"/>
        <color theme="1"/>
        <rFont val="Arial"/>
        <family val="2"/>
      </rPr>
      <t>Evidence Test: AI System Societal Impact Analysis</t>
    </r>
    <r>
      <rPr>
        <sz val="10"/>
        <color theme="1"/>
        <rFont val="Arial"/>
        <family val="2"/>
      </rPr>
      <t xml:space="preserve">
- includes the scope of societal impact, including who the system(s) are being used by or designed for
- includes how the AI system(s) affects social and cultural values held by various affected groups</t>
    </r>
  </si>
  <si>
    <t>2804.0</t>
  </si>
  <si>
    <t>17.03bISO23894Organizational.17</t>
  </si>
  <si>
    <t>The organization conducts individual impact analyses on AI systems at a minimum annually, considering |the types of data used from individuals, |intended impact of the development or use of AI, |potential bias impact to an individual, |potential impact on fundamental rights that can result in material and non-material damage to an individual, |potential fairness impact to an individual, |safety of an individual, |protections and mitigating controls around unwanted bias and unfairness, and |jurisdictional and cultural environment of the individual.||</t>
  </si>
  <si>
    <t>Examine evidence that all evaluative elements within the requirement statement have been implemented as defined in the HITRUST scoring rubric, using a sample based test where possible for each evaluative element.
Example test(s):
For example, obtain and examine the most recent annual individual impact analysis on AI systems and confirm it included consideration of the elements contained in the requirement statement.</t>
  </si>
  <si>
    <r>
      <rPr>
        <b/>
        <sz val="10"/>
        <color theme="1"/>
        <rFont val="Arial"/>
        <family val="2"/>
      </rPr>
      <t>Evidence Test: AI System Assessment</t>
    </r>
    <r>
      <rPr>
        <sz val="10"/>
        <color theme="1"/>
        <rFont val="Arial"/>
        <family val="2"/>
      </rPr>
      <t xml:space="preserve">
- includes: types of data used from individuals
- includes: intended impact of the development or use of AI
- includes: potential bias impact to an individual
- includes: potential impact on fundamental rights that can result in material and non-material damage to an individual
- includes: potential fairness impact to an individual
- includes: safety of an individual
- includes: protections and mitigating controls around unwanted bias and unfairness
- includes: jurisdictional and cultural environment of the individual</t>
    </r>
  </si>
  <si>
    <t>2824.0</t>
  </si>
  <si>
    <t>17.03bISO31000Organizational.1</t>
  </si>
  <si>
    <t>The organization |considers, |documents, and |communicates to decision makers|| potential influences and limitations to the risk analysis.||</t>
  </si>
  <si>
    <t>Examine evidence that all evaluative elements within the requirement statement have been implemented as defined in the HITRUST scoring rubric, using a sample based test where possible for each evaluative element.
Example test(s):
For example, obtain and examine risk management decision-related documents (e.g., mitigation approvals, improvement approvals, change management approvals), and confirm whether the organization communicated to decision makers the documented considerations of the potential influences and limitations to the risk analysis.</t>
  </si>
  <si>
    <r>
      <rPr>
        <b/>
        <sz val="10"/>
        <color theme="1"/>
        <rFont val="Arial"/>
        <family val="2"/>
      </rPr>
      <t>Evidence Test: Risk Management</t>
    </r>
    <r>
      <rPr>
        <sz val="10"/>
        <color theme="1"/>
        <rFont val="Arial"/>
        <family val="2"/>
      </rPr>
      <t xml:space="preserve">
- decision-related documents include potential influences and limitations to risk analysis
- decision-related documents communicated to decision makers
</t>
    </r>
    <r>
      <rPr>
        <b/>
        <sz val="10"/>
        <color theme="1"/>
        <rFont val="Arial"/>
        <family val="2"/>
      </rPr>
      <t>Additional Information: Examples</t>
    </r>
    <r>
      <rPr>
        <sz val="10"/>
        <color theme="1"/>
        <rFont val="Arial"/>
        <family val="2"/>
      </rPr>
      <t xml:space="preserve">
- decision-related documents: mitigation approvals
- decision-related documents: improvement approvals
- decision-related documents: change management approvals</t>
    </r>
  </si>
  <si>
    <t>2939.0</t>
  </si>
  <si>
    <t>17.03bNIST800172Organizational.1</t>
  </si>
  <si>
    <t>2916.0</t>
  </si>
  <si>
    <t>17.03bStateRAMPOrganizational.1</t>
  </si>
  <si>
    <t>2614.0</t>
  </si>
  <si>
    <t>17.03cCMSOrganizational.2</t>
  </si>
  <si>
    <t>03.c Risk Mitigation</t>
  </si>
  <si>
    <t>2615.0</t>
  </si>
  <si>
    <t>17.03cCMSOrganizational.3</t>
  </si>
  <si>
    <t>2833.0</t>
  </si>
  <si>
    <t>17.03cFedRAMPOrganizational.2</t>
  </si>
  <si>
    <t>2649.0</t>
  </si>
  <si>
    <t>17.03cFTIOrganizational.2</t>
  </si>
  <si>
    <t>2794.0</t>
  </si>
  <si>
    <t>17.03cISO23894Organizational.2</t>
  </si>
  <si>
    <t>As part of the risk management process, the organization |identifies key controls relevant to its development and/or use of AI systems.||</t>
  </si>
  <si>
    <t>Examine evidence that all evaluative elements within the requirement statement have been implemented as defined in the HITRUST scoring rubric, using a sample based test where possible for each evaluative element.
Example test(s):
For example, 
examine documentation to confirm the organization has, as part of the risk management process, identified key controls relevant to the development or use of AI systems.</t>
  </si>
  <si>
    <r>
      <rPr>
        <b/>
        <sz val="10"/>
        <color theme="1"/>
        <rFont val="Arial"/>
        <family val="2"/>
      </rPr>
      <t>Evidence Test: Risk Assessment</t>
    </r>
    <r>
      <rPr>
        <sz val="10"/>
        <color theme="1"/>
        <rFont val="Arial"/>
        <family val="2"/>
      </rPr>
      <t xml:space="preserve">
- identifies key controls relevant to its development and/or use of AI systems</t>
    </r>
  </si>
  <si>
    <t>2795.0</t>
  </si>
  <si>
    <t>17.03cISO23894Organizational.3</t>
  </si>
  <si>
    <t>The organization, using a risk-based process, |identifies, |assesses, |understands, and |takes appropriate treatment measures to address|| the AI risks to which they are exposed.||</t>
  </si>
  <si>
    <t>Examine evidence that all evaluative elements within the requirement statement have been implemented as defined in the HITRUST scoring rubric, using a sample based test where possible for each evaluative element.
Example test(s):
For example, examine evidence to confirm that the organization, using a risk-based process, identified, assessed, understood, and took appropriate treatment measures to address the AI risks to which they are exposed.</t>
  </si>
  <si>
    <r>
      <rPr>
        <b/>
        <sz val="10"/>
        <color theme="1"/>
        <rFont val="Arial"/>
        <family val="2"/>
      </rPr>
      <t>Evidence Test: Risk Assessment</t>
    </r>
    <r>
      <rPr>
        <sz val="10"/>
        <color theme="1"/>
        <rFont val="Arial"/>
        <family val="2"/>
      </rPr>
      <t xml:space="preserve">
- identifies and understands potential AI risks
- assesses and mitigates potential AI risks</t>
    </r>
  </si>
  <si>
    <t>2825.0</t>
  </si>
  <si>
    <t>17.03cISO31000Organizational.1</t>
  </si>
  <si>
    <t>The organization |integrates risk treatment plans into the management plans and processes of the organization.||</t>
  </si>
  <si>
    <t>Examine evidence that all evaluative elements within the requirement statement have been implemented as defined in the HITRUST scoring rubric, using a sample based test where possible for each evaluative element.
Example test(s):
For example, select a sample of management plans and examine evidence to confirm risk treatment plans (e.g., mitigation plans, improvement plans, change management plans) have been integrated into organizational processes.</t>
  </si>
  <si>
    <r>
      <rPr>
        <b/>
        <sz val="10"/>
        <color theme="1"/>
        <rFont val="Arial"/>
        <family val="2"/>
      </rPr>
      <t>Sample Test:</t>
    </r>
    <r>
      <rPr>
        <sz val="10"/>
        <color theme="1"/>
        <rFont val="Arial"/>
        <family val="2"/>
      </rPr>
      <t xml:space="preserve">
- Test 074: Information Security (business continuity &amp; disaster plan)
- Test 218: Information Security (risk management plan)
- Test 219: Information Security (incident response plan)
- Test 220: Information Security (security plan)</t>
    </r>
  </si>
  <si>
    <t>2934.0</t>
  </si>
  <si>
    <t>17.03cNIST800172Organizational.1</t>
  </si>
  <si>
    <t>2686.0</t>
  </si>
  <si>
    <t>17.03cTXRAMPOrganizational.1</t>
  </si>
  <si>
    <t>3017.0</t>
  </si>
  <si>
    <t>17.03dDORAOrganizational.1</t>
  </si>
  <si>
    <t>03.d Risk Evaluation</t>
  </si>
  <si>
    <t>3030.0</t>
  </si>
  <si>
    <t>17.03dDORAOrganizational.2</t>
  </si>
  <si>
    <t>2900.0</t>
  </si>
  <si>
    <t>17.03dFFIECCATOrganizational.2</t>
  </si>
  <si>
    <t>2882.0</t>
  </si>
  <si>
    <t>17.03dFFIECCATOrganizational.3</t>
  </si>
  <si>
    <t>2885.0</t>
  </si>
  <si>
    <t>17.03dFFIECCATOrganizational.4</t>
  </si>
  <si>
    <t>2889.0</t>
  </si>
  <si>
    <t>17.03dFFIECCATOrganizational.5</t>
  </si>
  <si>
    <t>2890.0</t>
  </si>
  <si>
    <t>17.03dFFIECCATOrganizational.6</t>
  </si>
  <si>
    <t>2891.0</t>
  </si>
  <si>
    <t>17.03dFFIECCATOrganizational.7</t>
  </si>
  <si>
    <t>2801.0</t>
  </si>
  <si>
    <t>17.03dISO23894Organizational.1</t>
  </si>
  <si>
    <t>The organization |identifies, |quantifies or qualitatively describes, and |prioritizes|| AI risk against risk criteria and objectives.||</t>
  </si>
  <si>
    <t>Examine evidence that all evaluative elements within the requirement statement have been implemented as defined in the HITRUST scoring rubric, using a sample based test where possible for each evaluative element.
Example test(s):
For example, 
examine documentation to confirm the organization has identified, quantified or qualitatively described, and prioritized AI risk against risk criteria and objectives.</t>
  </si>
  <si>
    <r>
      <rPr>
        <b/>
        <sz val="10"/>
        <color theme="1"/>
        <rFont val="Arial"/>
        <family val="2"/>
      </rPr>
      <t>Evidence Test: AI Risk</t>
    </r>
    <r>
      <rPr>
        <sz val="10"/>
        <color theme="1"/>
        <rFont val="Arial"/>
        <family val="2"/>
      </rPr>
      <t xml:space="preserve">
- identified
- quantitatively/qualitatively described
- prioritized</t>
    </r>
  </si>
  <si>
    <t>2938.0</t>
  </si>
  <si>
    <t>17.03dNIST800172Organizational.1</t>
  </si>
  <si>
    <t>1984.0</t>
  </si>
  <si>
    <t>17.03dNIST80053Organizational.2</t>
  </si>
  <si>
    <t>2298.0</t>
  </si>
  <si>
    <t>17.05dNIST80053Organizational.2</t>
  </si>
  <si>
    <t>2299.0</t>
  </si>
  <si>
    <t>17.05dNIST80053Organizational.3</t>
  </si>
  <si>
    <t>0482.0</t>
  </si>
  <si>
    <t>17.05fVAD6500Organizational.3</t>
  </si>
  <si>
    <t>05.f Contact with Authorities</t>
  </si>
  <si>
    <t>0662.0</t>
  </si>
  <si>
    <t>17.07dCMSOrganizational.4</t>
  </si>
  <si>
    <t>07.d Classification Guidelines</t>
  </si>
  <si>
    <t>2419.0</t>
  </si>
  <si>
    <t>17.07dFedRAMPOrganizational.1</t>
  </si>
  <si>
    <t>2300.0</t>
  </si>
  <si>
    <t>17.07dNIST80053Organizational.2</t>
  </si>
  <si>
    <t>0663.0</t>
  </si>
  <si>
    <t>17.07dNIST80053Organizational.3</t>
  </si>
  <si>
    <t>0657.0</t>
  </si>
  <si>
    <t>17.07dNIST80053Organizational.4</t>
  </si>
  <si>
    <t>17.09fCMSSystem.3</t>
  </si>
  <si>
    <t>2609.0</t>
  </si>
  <si>
    <t>17.10aCMSOrganizational.6</t>
  </si>
  <si>
    <t>2442.0</t>
  </si>
  <si>
    <t>17.10aFedRAMPOrganizational.3</t>
  </si>
  <si>
    <t>2452.0</t>
  </si>
  <si>
    <t>17.10aFedRAMPOrganizational.4</t>
  </si>
  <si>
    <t>2462.0</t>
  </si>
  <si>
    <t>17.10aFedRAMPOrganizational.5</t>
  </si>
  <si>
    <t>2462.1</t>
  </si>
  <si>
    <t>17.10aFedRAMPOrganizational.6</t>
  </si>
  <si>
    <t>2507.0</t>
  </si>
  <si>
    <t>17.10aFTIOrganizational.10</t>
  </si>
  <si>
    <t>2630.0</t>
  </si>
  <si>
    <t>17.10aFTIOrganizational.11</t>
  </si>
  <si>
    <t>2498.0</t>
  </si>
  <si>
    <t>17.10aFTIOrganizational.6</t>
  </si>
  <si>
    <t>2501.0</t>
  </si>
  <si>
    <t>17.10aFTIOrganizational.8</t>
  </si>
  <si>
    <t>2324.0</t>
  </si>
  <si>
    <t>17.10aHICPOrganizational.2</t>
  </si>
  <si>
    <t>2937.0</t>
  </si>
  <si>
    <t>17.10aNIST800172Organizational.1</t>
  </si>
  <si>
    <t>1260.0</t>
  </si>
  <si>
    <t>17.10aNIST80053Organizational.4</t>
  </si>
  <si>
    <t>2695.0</t>
  </si>
  <si>
    <t>17.10aVAD6500Organizational.1</t>
  </si>
  <si>
    <t>1241.0</t>
  </si>
  <si>
    <t>17.10k2Organizational.10</t>
  </si>
  <si>
    <t>1240.0</t>
  </si>
  <si>
    <t>17.10kNIST80053Organizational.3</t>
  </si>
  <si>
    <t>2534.0</t>
  </si>
  <si>
    <t>17.10mFTIOrganizational.9</t>
  </si>
  <si>
    <t>3016.0</t>
  </si>
  <si>
    <t>17.11aDORAOrganizational.1</t>
  </si>
  <si>
    <t>0383.0</t>
  </si>
  <si>
    <t>1701.03a1Organizational.12345678</t>
  </si>
  <si>
    <t>The organization’s risk management program includes: (1) objectives of the risk management process; (2) management’s clearly stated level of acceptable risk, informed by its role in the critical infrastructure and business-specific risk analysis; (3) the plan for managing operational risk communicated to stakeholders; (4) the connection between the risk management policy and the organization’s strategic planning processes; (5) documented risk assessment processes and procedures; (6) regular performance of risk assessments; (7) mitigation of risks identified from risk assessments and threat monitoring procedures; (8) risk tolerance thresholds are defined for each category of risk; (9) reassessment of the risk management policy to ensure management’s stated level of acceptable risk is still accurate, previously decided upon security controls are still applicable and effective, and to evaluate the possible risk level changes in the environment; (10) updating the risk management policy if any of these elements have changed; and (11) repeating the risk management process prior to any significant change, after a serious incident, whenever a new significant risk factor is identified, or at a minimum annually.</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</si>
  <si>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risk management policy and confirm that the following requirements have been documented: _x000D_
(i) the objectives of the risk management process; _x000D_
(ii) management\'s stated level of acceptable risk; _x000D_
(iii) the connection between the risk management policy and the organization\'s strategic planning processes; _x000D_
(iv) the plan for managing operational risk communicated to stakeholders; _x000D_
(v) documented risk assessment processes and procedures; _x000D_
(vi) the regular performance of risk assessments; _x000D_
(vii) the mitigation of risks identified from risk assessments and threat monitoring procedures; _x000D_
(viii) risk tolerance thresholds are defined for each category of risk; _x000D_
(ix) the periodic reassessment of the risk management policy; and, _x000D_
(x) repeating the risk management process prior to any significant change, after a serious incident, whenever a new significant risk factor is identified, or at a minimum annually.</t>
  </si>
  <si>
    <r>
      <rPr>
        <b/>
        <sz val="10"/>
        <color theme="1"/>
        <rFont val="Arial"/>
        <family val="2"/>
      </rPr>
      <t>Documentation: Risk Management Program</t>
    </r>
    <r>
      <rPr>
        <sz val="10"/>
        <color theme="1"/>
        <rFont val="Arial"/>
        <family val="2"/>
      </rPr>
      <t xml:space="preserve">
- defines objective of risk management
- defines risk acceptance level
- defines connection to strategic planning
- defines plan for managing operational risk
- defines risk assessment process
- defines risk assessment intervals
- defines mitigation of identified risk
- defines risk tolerance thresholds for each risk category
- defines review of risk management program intervals
- defines enacting risk program following significant change</t>
    </r>
  </si>
  <si>
    <t>0385.0</t>
  </si>
  <si>
    <t>1702.03a2Organizational.1</t>
  </si>
  <si>
    <t>A formal risk assessment (1) is performed. Risk treatment processes (2) are implemented. A repository and tracking system for risk assessments performed (3) is implemented. Risk mitigation (4) is completed or underway.</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</si>
  <si>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results of the most recent risk assessment performed and determine if the results and any corrective actions were documented and tracked in a repository (e.g., GRC system, risk register).</t>
  </si>
  <si>
    <t>0386.0</t>
  </si>
  <si>
    <t>1703.03a3Organizational.123</t>
  </si>
  <si>
    <t>0394.0</t>
  </si>
  <si>
    <t>1704.03b1Organizational.12</t>
  </si>
  <si>
    <t>1905.0</t>
  </si>
  <si>
    <t>1705.03b2Organizational.12</t>
  </si>
  <si>
    <t>A formal, documented process (1) is in place for identifying risks and performing risk assessments. The formal, documented process is in place for identifying risks and performing risk assessments includes: (2) the criteria for the evaluation; (3) the categorization of risks; (4) communicating the results of the risk assessments to the affected parties, and to management. The organization: (5) updates the results of a comprehensive risk assessment every two years; (6) updates the results of a comprehensive risk assessment whenever there is a significant change to the information system or operational environment; (7) assesses a subset of the security controls within every 365 days during continuous monitoring; (8) reviews the risk assessment results annually. Information security risk assessments require knowledge of: (9) external environment factors that could exacerbate or moderate any or all of the levels of the risk components described previously; (10) the types of accounts offered by the organization and the methods the organization provides to open and access its accounts; (11) incident histories and actual case impact scenarios; (12) systems architectures.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</si>
  <si>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results of the most recent comprehensive risk assessment and determine if it occurred within the past two years. _x000D_
Further, examine the risk assessment included an evaluation of external environmental factors, types of accounts, access methods, system architectures and recent security incidents.</t>
  </si>
  <si>
    <r>
      <rPr>
        <b/>
        <sz val="10"/>
        <color theme="1"/>
        <rFont val="Arial"/>
        <family val="2"/>
      </rPr>
      <t>Documentation: Risk Management Program</t>
    </r>
    <r>
      <rPr>
        <sz val="10"/>
        <color theme="1"/>
        <rFont val="Arial"/>
        <family val="2"/>
      </rPr>
      <t xml:space="preserve">
- defines process for performing risk assessments
- defines process for communicating risk assessment result to appropriate parties
- defines process for identifying risks
- defines process for categorizing risks
- defines process for evaluating risks
</t>
    </r>
    <r>
      <rPr>
        <b/>
        <sz val="10"/>
        <color theme="1"/>
        <rFont val="Arial"/>
        <family val="2"/>
      </rPr>
      <t>Evidence Test: Risk Assessment</t>
    </r>
    <r>
      <rPr>
        <sz val="10"/>
        <color theme="1"/>
        <rFont val="Arial"/>
        <family val="2"/>
      </rPr>
      <t xml:space="preserve">
- includes: evaluation of external environment factors
- includes: evaluation of the types of accounts offered by the organization
- includes: evaluation of system access methods
- includes: evaluation of system architecture
- includes: evaluation of recent security incidents
- results of comprehensive risk assessment updated within past 2 years/significant change
- results of comprehensive risk assessment reviewed every 365 days
- subset of comprehensive risk assessment updated every 365 days</t>
    </r>
  </si>
  <si>
    <t>0395.0</t>
  </si>
  <si>
    <t>1706.03bHIPAAOrganizational.3</t>
  </si>
  <si>
    <t>0416.0</t>
  </si>
  <si>
    <t>1707.03c2Organizational.2</t>
  </si>
  <si>
    <t>The organization has defined criteria to determine an appropriate risk treatment (e.g., accept, mitigate, transfer, or avoid) that include (1) industry or organizational laws, (2) regulations or standards, (3) contractual obligations, (4) business or other priorities, (5) cultural fit, (6) customer/client concerns, (7) IT policy and strategies, (8) risk and business strategies, (9) cost, (10) effectiveness, (11) type of protection, (12) threats covered, (13) risk levels, (14) existing alternatives, and (15) additional benefits derived from the risk treatment. Further, the organization (16) implements a process for ensuring that corrective action plans for the security program and the associated organizational information systems are prioritized and maintained. The remedial information security actions necessary to mitigate risk to organizational operations and assets, individuals, and other organizations (17) are documented.</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</si>
  <si>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organization\'s formal methodology for determining risk treatments (e.g., accept, mitigate, transfer or avoid) and confirm that associated criteria include considering: _x000D_
industry or operational laws; _x000D_
regulations or standards; _x000D_
contractual obligations; _x000D_
business or other priorities; _x000D_
cultural fit; _x000D_
customer/client concerns; _x000D_
IT policy and strategies; _x000D_
cost; _x000D_
control effectiveness; _x000D_
types of protection; _x000D_
risk levels; _x000D_
existing alternatives; _x000D_
and benefits derived from the risk treatment. _x000D_
Further, confirm that the organization implements a process for ensuring that corrective action plans for the security program and the associated organizational information systems are prioritized and maintained._x000D_
Further, confirm that the remedial information security actions necessary to mitigate risk to organizational operations and assets, individuals, and other organizations are documented.</t>
  </si>
  <si>
    <r>
      <rPr>
        <b/>
        <sz val="10"/>
        <color theme="1"/>
        <rFont val="Arial"/>
        <family val="2"/>
      </rPr>
      <t>Documentation: Risk Management Program</t>
    </r>
    <r>
      <rPr>
        <sz val="10"/>
        <color theme="1"/>
        <rFont val="Arial"/>
        <family val="2"/>
      </rPr>
      <t xml:space="preserve">
- risk treatment criteria considers: industry or operational laws
- risk treatment criteria considers: regulations or standards
- risk treatment criteria considers: contractual obligations
- risk treatment criteria considers: business or other priorities
- risk treatment criteria considers: cultural fit
- risk treatment criteria considers: customer/client concerns
- risk treatment criteria considers: IT policy and strategies
- risk treatment criteria considers: cost
- risk treatment criteria considers: control effectiveness
- risk treatment criteria considers: types of protection
- risk treatment criteria considers: risk levels
- risk treatment criteria considers: existing alternatives
- risk treatment criteria considers: benefits derived from the risk treatment
- defines process for ensuring corrective action plans are prioritized and maintained
</t>
    </r>
    <r>
      <rPr>
        <b/>
        <sz val="10"/>
        <color theme="1"/>
        <rFont val="Arial"/>
        <family val="2"/>
      </rPr>
      <t>Evidence Test: Corrective Action Plan</t>
    </r>
    <r>
      <rPr>
        <sz val="10"/>
        <color theme="1"/>
        <rFont val="Arial"/>
        <family val="2"/>
      </rPr>
      <t xml:space="preserve">
- formally documented/maintained for identified risk</t>
    </r>
  </si>
  <si>
    <t>0419.0</t>
  </si>
  <si>
    <t>1708.03c2Organizational.12</t>
  </si>
  <si>
    <t>The organization develops a formal risk treatment plan that includes: (1) risks and nonconformities; (2) priorities for managing information security risks; (3) performing a cost/benefit analysis for identified countermeasures; (4) documenting a risk treatment plan which provides recommended countermeasures to management; (5) documenting and presenting risk treatment summary reports to management; (6) management approves countermeasures documented in the risk treatment plan; (7) mapping decisions taken against the list of HITRUST CSF controls; (8) documenting planned implementations (current and future) in the organization’s security improvement plan; (9) implementing the management approved risk treatment plan; and (10) continually assessing the capability of technology needed to sustain an appropriate level of information security based on the size, complexity, and risk appetite of the organization.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</si>
  <si>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obtain and examine the most recent risk treatment plan to determine if it has been updated in the past 12 months. _x000D_
Further, select a sample of risks identified in the risk treatment plan and confirm that the following elements are documented: _x000D_
recommended countermeasures or risk treatment (e.g., accept, transfer, mitigate); _x000D_
a cost/benefit analysis for the recommended countermeasures or risk treatment; _x000D_
approved countermeasures or risk treatment; _x000D_
a mapping of decisions taken against the HITRUST CSF; _x000D_
and status on implementing the management-approved countermeasures or risk treatment. _x000D_
Further, examine evidence that the organization has a security improvement plan which includes planned implementations (current and future) which are influenced by the organization\'s formal risk treatment plan. _x000D_
Further, examine evidence to confirm that the organization continually assesses the capability of technology needed to sustain an appropriate level of information security based on its size, complexity, and risk appetite.</t>
  </si>
  <si>
    <r>
      <rPr>
        <b/>
        <sz val="10"/>
        <color theme="1"/>
        <rFont val="Arial"/>
        <family val="2"/>
      </rPr>
      <t>Evidence Test: Risk Treatment Plan</t>
    </r>
    <r>
      <rPr>
        <sz val="10"/>
        <color theme="1"/>
        <rFont val="Arial"/>
        <family val="2"/>
      </rPr>
      <t xml:space="preserve">
- updated in past 12 months
</t>
    </r>
    <r>
      <rPr>
        <b/>
        <sz val="10"/>
        <color theme="1"/>
        <rFont val="Arial"/>
        <family val="2"/>
      </rPr>
      <t>Evidence Test: Security Improvement Plan</t>
    </r>
    <r>
      <rPr>
        <sz val="10"/>
        <color theme="1"/>
        <rFont val="Arial"/>
        <family val="2"/>
      </rPr>
      <t xml:space="preserve">
- current and future security controls influenced by Risk Treatment Plan
- assesses controls based on size, complexity, and risk appetite.
</t>
    </r>
    <r>
      <rPr>
        <b/>
        <sz val="10"/>
        <color theme="1"/>
        <rFont val="Arial"/>
        <family val="2"/>
      </rPr>
      <t>Sample Test:</t>
    </r>
    <r>
      <rPr>
        <sz val="10"/>
        <color theme="1"/>
        <rFont val="Arial"/>
        <family val="2"/>
      </rPr>
      <t xml:space="preserve">
- Test 116: Information Security (non-compliance identified during compliance check)</t>
    </r>
  </si>
  <si>
    <t>0384.0</t>
  </si>
  <si>
    <t>1710.03a2Organizational.2</t>
  </si>
  <si>
    <t>1246.0</t>
  </si>
  <si>
    <t>17100.10a3Organizational.5</t>
  </si>
  <si>
    <t>1248.0</t>
  </si>
  <si>
    <t>17101.10a3Organizational.6</t>
  </si>
  <si>
    <t>1249.0</t>
  </si>
  <si>
    <t>17102.10aCMSOrganizational.1</t>
  </si>
  <si>
    <t>1250.0</t>
  </si>
  <si>
    <t>17103.10aCMSOrganizational.2</t>
  </si>
  <si>
    <t>1251.0</t>
  </si>
  <si>
    <t>17104.10aCMSOrganizational.3</t>
  </si>
  <si>
    <t>1252.0</t>
  </si>
  <si>
    <t>17105.10aCMSOrganizational.4</t>
  </si>
  <si>
    <t>2079.0</t>
  </si>
  <si>
    <t>17106.03bNYDOHOrganizational.1</t>
  </si>
  <si>
    <t>1253.0</t>
  </si>
  <si>
    <t>17106.10aCMSOrganizational.5</t>
  </si>
  <si>
    <t>2080.0</t>
  </si>
  <si>
    <t>17107.03bNYDOHOrganizational.2</t>
  </si>
  <si>
    <t>1256.0</t>
  </si>
  <si>
    <t>17107.10aFTIOrganizational.1</t>
  </si>
  <si>
    <t>2081.0</t>
  </si>
  <si>
    <t>17108.03bNYDOHOrganizational.3</t>
  </si>
  <si>
    <t>1257.0</t>
  </si>
  <si>
    <t>17108.10aFTIOrganizational.2</t>
  </si>
  <si>
    <t>17109.03bNYDOHOrganizational.4</t>
  </si>
  <si>
    <t>1258.0</t>
  </si>
  <si>
    <t>17109.10aFTIOrganizational.3</t>
  </si>
  <si>
    <t>0387.0</t>
  </si>
  <si>
    <t>1711.03a3Organizational.4</t>
  </si>
  <si>
    <t>2083.0</t>
  </si>
  <si>
    <t>17110.03bNYDOHOrganizational.5</t>
  </si>
  <si>
    <t>17111.10aFTIOrganizational.5</t>
  </si>
  <si>
    <t>1261.0</t>
  </si>
  <si>
    <t>17112.10aHIXOrganizational.1</t>
  </si>
  <si>
    <t>0390.0</t>
  </si>
  <si>
    <t>17114.03aDEIDOrganizational.1</t>
  </si>
  <si>
    <t>0389.0</t>
  </si>
  <si>
    <t>17115.03aCSPOrganizational.1</t>
  </si>
  <si>
    <t>0404.1</t>
  </si>
  <si>
    <t>17116.03bFTIOrganizational.3</t>
  </si>
  <si>
    <t>0405.0</t>
  </si>
  <si>
    <t>17117.03bFTIOrganizational.2</t>
  </si>
  <si>
    <t>0477.0</t>
  </si>
  <si>
    <t>17118.05dHIXOrganizational.1</t>
  </si>
  <si>
    <t>0494.0</t>
  </si>
  <si>
    <t>17119.05gHIXOrganizational.1</t>
  </si>
  <si>
    <t>05.g Contact with Special Interest Groups</t>
  </si>
  <si>
    <t>0388.0</t>
  </si>
  <si>
    <t>1712.03a3Organizational.5</t>
  </si>
  <si>
    <t>1247.0</t>
  </si>
  <si>
    <t>17120.10a3Organizational.5</t>
  </si>
  <si>
    <t>1917.0</t>
  </si>
  <si>
    <t>171203.03aSCIDSAOrganizational.1</t>
  </si>
  <si>
    <t>2094.0</t>
  </si>
  <si>
    <t>17121.05dNYDOHOrganizational.5</t>
  </si>
  <si>
    <t>1262.0</t>
  </si>
  <si>
    <t>17121.10aHIXOrganizational.2</t>
  </si>
  <si>
    <t>0402.0</t>
  </si>
  <si>
    <t>17122.03bFFIECISOrganizational.1</t>
  </si>
  <si>
    <t>0403.0</t>
  </si>
  <si>
    <t>17123.03bFFIECISOrganizational.2</t>
  </si>
  <si>
    <t>0422.0</t>
  </si>
  <si>
    <t>17124.03cFedRAMPOrganizational.1</t>
  </si>
  <si>
    <t>0423.0</t>
  </si>
  <si>
    <t>17125.03cFFIECISOrganizational.1</t>
  </si>
  <si>
    <t>0418.0</t>
  </si>
  <si>
    <t>17126.03c1Organizational.2</t>
  </si>
  <si>
    <t>2099.0</t>
  </si>
  <si>
    <t>17126.05hNYDOHOrganizational.5</t>
  </si>
  <si>
    <t>0391.0</t>
  </si>
  <si>
    <t>17127.03aEHNACOrganizational.1</t>
  </si>
  <si>
    <t>1254.0</t>
  </si>
  <si>
    <t>17127.10aFedRAMPOrganizational.1</t>
  </si>
  <si>
    <t>1255.0</t>
  </si>
  <si>
    <t>17128.10aFedRAMPOrganizational.2</t>
  </si>
  <si>
    <t>0493.0</t>
  </si>
  <si>
    <t>17129.05gFedRAMPOrganizational.1</t>
  </si>
  <si>
    <t>0493.1</t>
  </si>
  <si>
    <t>17129.05gFedRAMPOrganizational.2</t>
  </si>
  <si>
    <t>0417.0</t>
  </si>
  <si>
    <t>1713.03c2Organizational.3</t>
  </si>
  <si>
    <t>0401.0</t>
  </si>
  <si>
    <t>17130.03bFedRAMPOrganizational.1</t>
  </si>
  <si>
    <t>17131.03aGDPROrganizational.1</t>
  </si>
  <si>
    <t>0406.0</t>
  </si>
  <si>
    <t>17132.03bGDPROrganizational.1</t>
  </si>
  <si>
    <t>0407.0</t>
  </si>
  <si>
    <t>17133.03bGDPROrganizational.2</t>
  </si>
  <si>
    <t>0408.0</t>
  </si>
  <si>
    <t>17134.03bGDPROrganizational.3</t>
  </si>
  <si>
    <t>0409.0</t>
  </si>
  <si>
    <t>17135.03bGDPROrganizational.4</t>
  </si>
  <si>
    <t>0410.0</t>
  </si>
  <si>
    <t>17136.03bGDPROrganizational.5</t>
  </si>
  <si>
    <t>0392.0</t>
  </si>
  <si>
    <t>1714.03aFACOrganizational.12</t>
  </si>
  <si>
    <t>0397.0</t>
  </si>
  <si>
    <t>1719.03bCMSOrganizational.123</t>
  </si>
  <si>
    <t>0398.0</t>
  </si>
  <si>
    <t>1720.03bCMSOrganizational.4</t>
  </si>
  <si>
    <t>0399.0</t>
  </si>
  <si>
    <t>1721.03bCMSOrganizational.5</t>
  </si>
  <si>
    <t>0400.1</t>
  </si>
  <si>
    <t>1722.03bCMSOrganizational.5</t>
  </si>
  <si>
    <t>0400.0</t>
  </si>
  <si>
    <t>1722.03bCMSOrganizational.6</t>
  </si>
  <si>
    <t>2192.0</t>
  </si>
  <si>
    <t>17220.10aNYDOHOrganizational.2</t>
  </si>
  <si>
    <t>2194.0</t>
  </si>
  <si>
    <t>17222.10aNYDOHOrganizational.4</t>
  </si>
  <si>
    <t>2195.0</t>
  </si>
  <si>
    <t>17223.10aNYDOHOrganizational.5</t>
  </si>
  <si>
    <t>2196.0</t>
  </si>
  <si>
    <t>17224.10aNYDOHOrganizational.6</t>
  </si>
  <si>
    <t>0411.0</t>
  </si>
  <si>
    <t>1723.03bHIXOrganizational.13</t>
  </si>
  <si>
    <t>0412.0</t>
  </si>
  <si>
    <t>1724.03bHIXOrganizational.2</t>
  </si>
  <si>
    <t>0413.0</t>
  </si>
  <si>
    <t>1725.03bHIXOrganizational.4</t>
  </si>
  <si>
    <t>0414.0</t>
  </si>
  <si>
    <t>1726.03bHIXOrganizational.5</t>
  </si>
  <si>
    <t>0415.0</t>
  </si>
  <si>
    <t>1727.03bPCIOrganizational.12</t>
  </si>
  <si>
    <t>2254.0</t>
  </si>
  <si>
    <t>17281.03bDGFOrganizational.1</t>
  </si>
  <si>
    <t>2264.0</t>
  </si>
  <si>
    <t>17291.10aNIST80053Organizational.1</t>
  </si>
  <si>
    <t>0421.0</t>
  </si>
  <si>
    <t>1730.03cCMSOrganizational.23</t>
  </si>
  <si>
    <t>2279.0</t>
  </si>
  <si>
    <t>17306.00aNIST80053Organizational.9</t>
  </si>
  <si>
    <t>0424.0</t>
  </si>
  <si>
    <t>1731.03cFTIOrganizational.1</t>
  </si>
  <si>
    <t>0425.0</t>
  </si>
  <si>
    <t>1732.03cHIXOrganizational.1</t>
  </si>
  <si>
    <t>0426.0</t>
  </si>
  <si>
    <t>1733.03d2Organizational.3</t>
  </si>
  <si>
    <t>0427.0</t>
  </si>
  <si>
    <t>1734.03d1Organizational.2</t>
  </si>
  <si>
    <t>The risk management process (1) is integrated with the change management process.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</si>
  <si>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risk assessments performed by the organization and ensure that risks related to the change management process were identified and considered. _x000D_
Further, confirm that the results of the risk assessment results are included in the change management process.</t>
  </si>
  <si>
    <r>
      <rPr>
        <b/>
        <sz val="10"/>
        <color theme="1"/>
        <rFont val="Arial"/>
        <family val="2"/>
      </rPr>
      <t>Sample Test:</t>
    </r>
    <r>
      <rPr>
        <sz val="10"/>
        <color theme="1"/>
        <rFont val="Arial"/>
        <family val="2"/>
      </rPr>
      <t xml:space="preserve">
- Test 124: Information Security (risk assessment)</t>
    </r>
  </si>
  <si>
    <t>0428.0</t>
  </si>
  <si>
    <t>1735.03d2Organizational.23</t>
  </si>
  <si>
    <t>0429.0</t>
  </si>
  <si>
    <t>1736.03d2Organizational.4</t>
  </si>
  <si>
    <t>0472.0</t>
  </si>
  <si>
    <t>1738.05d2Organizational.1</t>
  </si>
  <si>
    <t>0473.0</t>
  </si>
  <si>
    <t>1739.05d1Organizational.3</t>
  </si>
  <si>
    <t>Management (1) formally authorizes (approves) new information assets and facilities for processing (use) before commencing operations and periodically reviews and updates authorizations (approvals) at a frequency defined by the organization – but no less than three years.</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</si>
  <si>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new information assets and facilities and examine evidence to confirm that management formally authorized them before commencing operations. _x000D_
Further, select a sample of information assets and facilities and confirm that management updates its authorizations at a frequency defined by the organization, but no less than three years.</t>
  </si>
  <si>
    <r>
      <rPr>
        <b/>
        <sz val="10"/>
        <color theme="1"/>
        <rFont val="Arial"/>
        <family val="2"/>
      </rPr>
      <t>Sample Test:</t>
    </r>
    <r>
      <rPr>
        <sz val="10"/>
        <color theme="1"/>
        <rFont val="Arial"/>
        <family val="2"/>
      </rPr>
      <t xml:space="preserve">
- Test 149: Information System (facility/secure area)
- Test 177: Information System (system component)</t>
    </r>
  </si>
  <si>
    <t>0474.0</t>
  </si>
  <si>
    <t>1740.05d3Organizational.12</t>
  </si>
  <si>
    <t>0475.0</t>
  </si>
  <si>
    <t>1741.05dCMSOrganizational.1</t>
  </si>
  <si>
    <t>1743.05f2Organizational.4</t>
  </si>
  <si>
    <t>0483.0</t>
  </si>
  <si>
    <t>1744.05f1Organizational.23</t>
  </si>
  <si>
    <t>The organization (1) includes key contacts including phone numbers and email addresses as part of its incident management and/or business continuity plan. The organization (2) designates a point of contact to review the list at least annually to keep it current.</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</si>
  <si>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organization\'s incident management policy and continuity plans and confirm that key contacts including phone numbers and email addresses have been documented. _x000D_
Further, examine evidence to confirm that the list of key contacts was reviewed by the designated point of contact within the past year.</t>
  </si>
  <si>
    <r>
      <rPr>
        <b/>
        <sz val="10"/>
        <color theme="1"/>
        <rFont val="Arial"/>
        <family val="2"/>
      </rPr>
      <t>Evidence Test: Business Continuity and Disaster Recovery Program</t>
    </r>
    <r>
      <rPr>
        <sz val="10"/>
        <color theme="1"/>
        <rFont val="Arial"/>
        <family val="2"/>
      </rPr>
      <t xml:space="preserve">
- key contacts phone number and email address documented
- key contacts reviewed annually
</t>
    </r>
    <r>
      <rPr>
        <b/>
        <sz val="10"/>
        <color theme="1"/>
        <rFont val="Arial"/>
        <family val="2"/>
      </rPr>
      <t>Evidence Test: Incident Response Program</t>
    </r>
    <r>
      <rPr>
        <sz val="10"/>
        <color theme="1"/>
        <rFont val="Arial"/>
        <family val="2"/>
      </rPr>
      <t xml:space="preserve">
- key contacts phone number and email address documented
- key contacts reviewed annually</t>
    </r>
  </si>
  <si>
    <t>0485.0</t>
  </si>
  <si>
    <t>1746.05f2Organizational.1</t>
  </si>
  <si>
    <t>0486.0</t>
  </si>
  <si>
    <t>1747.05f3Organizational.1</t>
  </si>
  <si>
    <t>0487.0</t>
  </si>
  <si>
    <t>1748.05f2Organizational.45</t>
  </si>
  <si>
    <t>0488.0</t>
  </si>
  <si>
    <t>1749.05g1Organizational.1</t>
  </si>
  <si>
    <t>Membership in organization-defined special interest groups or forums/services (1) are considered as a means to: improve knowledge of best practices and stay up to date with relevant security information; ensure the understanding of the information security environment is current and complete (e.g., threat monitoring/intelligence services); receive early warnings of alerts, advisories, and patches pertaining to attacks and vulnerabilities; gain access to specialist information security advice; share and exchange information about new technologies, products, threats, or vulnerabilities; and provide suitable liaison points when dealing with information security incidents.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</si>
  <si>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the organization is a member of organization-defined special interest groups or forums (e.g., professional associations, news groups, and/or peer groups of security professionals in similar organizations). _x000D_
Confirm that the membership of such special interest groups allows the organization to: improve knowledge about best practices and staying up to date with relevant security information; ensure the understanding of the information security environment is current and complete (e.g., threat monitoring/intelligence services); receive early warnings of alerts, advisories, and patches pertaining to attacks and vulnerabilities; gain access to specialist information security advice; share and exchange information about new technologies, products, threats, or vulnerabilities; provide suitable liaison points when dealing with information security incidents.</t>
  </si>
  <si>
    <r>
      <rPr>
        <b/>
        <sz val="10"/>
        <color theme="1"/>
        <rFont val="Arial"/>
        <family val="2"/>
      </rPr>
      <t>Evidence Test: Threat Landscape Knowledge</t>
    </r>
    <r>
      <rPr>
        <sz val="10"/>
        <color theme="1"/>
        <rFont val="Arial"/>
        <family val="2"/>
      </rPr>
      <t xml:space="preserve">
- subscribed to special interest groups and/or forums
- receive early warnings about new vulnerabilities
- gain access to security advice
</t>
    </r>
    <r>
      <rPr>
        <b/>
        <sz val="10"/>
        <color theme="1"/>
        <rFont val="Arial"/>
        <family val="2"/>
      </rPr>
      <t>Additional Information: Examples</t>
    </r>
    <r>
      <rPr>
        <sz val="10"/>
        <color theme="1"/>
        <rFont val="Arial"/>
        <family val="2"/>
      </rPr>
      <t xml:space="preserve">
- professional associates
- news groups
- peer groups of security professionals</t>
    </r>
  </si>
  <si>
    <t>0489.0</t>
  </si>
  <si>
    <t>1750.05g2Organizational.1</t>
  </si>
  <si>
    <t>0490.0</t>
  </si>
  <si>
    <t>1751.05g2Organizational.23</t>
  </si>
  <si>
    <t>0491.0</t>
  </si>
  <si>
    <t>1752.05g2Organizational.4</t>
  </si>
  <si>
    <t>0492.0</t>
  </si>
  <si>
    <t>1753.05gCMSOrganizational.1</t>
  </si>
  <si>
    <t>0619.1</t>
  </si>
  <si>
    <t>1754.06g2Organizational.6</t>
  </si>
  <si>
    <t>0620.0</t>
  </si>
  <si>
    <t>1755.06i2Organizational.1</t>
  </si>
  <si>
    <t>0621.0</t>
  </si>
  <si>
    <t>1756.06g2Organizational.5</t>
  </si>
  <si>
    <t>0655.0</t>
  </si>
  <si>
    <t>1757.07d2Organizational.10</t>
  </si>
  <si>
    <t>0656.0</t>
  </si>
  <si>
    <t>1758.07d2Organizational.125</t>
  </si>
  <si>
    <t>1759.07d2Organizational.3</t>
  </si>
  <si>
    <t>0658.0</t>
  </si>
  <si>
    <t>1760.07d2Organizational.4</t>
  </si>
  <si>
    <t>0659.0</t>
  </si>
  <si>
    <t>1761.07d2Organizational.6</t>
  </si>
  <si>
    <t>0660.0</t>
  </si>
  <si>
    <t>1762.07d2Organizational.78</t>
  </si>
  <si>
    <t>0661.0</t>
  </si>
  <si>
    <t>1763.07d2Organizational.910</t>
  </si>
  <si>
    <t>1764.07d2Organizational.11</t>
  </si>
  <si>
    <t>1765.07d2Organizational.12</t>
  </si>
  <si>
    <t>0664.0</t>
  </si>
  <si>
    <t>1766.07d2Organizational.13</t>
  </si>
  <si>
    <t>0665.0</t>
  </si>
  <si>
    <t>1767.07d1Organizational.2</t>
  </si>
  <si>
    <t>The organization (1) establishes a classification schema to differentiate between various levels of sensitivity and value. Information assets are classified according to their level of sensitivity as follows: (2) Level 1: Low-sensitive information that is not protected from disclosure, that if disclosed will not jeopardize the privacy or security of employees, clients, and partners. This includes information regularly made available to the public via electronic, verbal, or hard copy; Level 2: Sensitive information that may not to be protected from public disclosure but if made easily and readily available, the organization will follow its disclosure policies and procedures before providing this information to external parties; Level 3: Sensitive information intended for limited business use that can be exempt from public disclosure because, among other reasons, such disclosure will jeopardize the privacy or security of employees, clients, or partners; Level 4: Information that is deemed extremely sensitive and is intended for use by named individuals only. This information is typically exempt from public disclosure. Users of information systems will be (3) notified and made aware when the data they are accessing contains PII.</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</si>
  <si>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organization\'s classification policy and procedures and confirm that the organization has implemented a classification scheme which defines the various levels of sensitivity and value. _x000D_
Confirm that information assets are classified according to their level of sensitivity as follows: _x000D_
(i) Level 1: Low-sensitive information. Information not protected from disclosure, that if disclosed will not jeopardize the privacy or security of employees, clients, and partners. This includes information regularly made available to the public via electronic, verbal, or hard copy. _x000D_
(ii) Level 2: Sensitive information that may not to be protected from public disclosure but, if made easily and readily available, the organization follows its disclosure policies and procedures before providing this information to external parties. _x000D_
(iii) Level 3: Sensitive information intended for limited business use that can be exempt from public disclosure because, among other reasons, such disclosure will jeopardize the privacy or security of employees, clients, or partners. _x000D_
(iv) Level 4: Information that is deemed extremely sensitive and is intended for use by named individuals only. This information is typically exempt from public disclosure. Users of information systems are notified and made aware when the data they are accessing contains PII.</t>
  </si>
  <si>
    <r>
      <rPr>
        <b/>
        <sz val="10"/>
        <color theme="1"/>
        <rFont val="Arial"/>
        <family val="2"/>
      </rPr>
      <t>Documentation: Data Classification Program</t>
    </r>
    <r>
      <rPr>
        <sz val="10"/>
        <color theme="1"/>
        <rFont val="Arial"/>
        <family val="2"/>
      </rPr>
      <t xml:space="preserve">
- Level 1: Low-sensitive information. Information not protected from disclosure, that if disclosed will not jeopardize the privacy or security of employees, clients, and partners. This includes information regularly made available to the public via electronic, verbal, or hard copy. 
- Level 2: Sensitive information that may not to be protected from public disclosure but, if made easily and readily available, the organization follows its disclosure policies and procedures before providing this information to external parties. 
- Level 3: Sensitive information intended for limited business use that can be exempt from public disclosure because, among other reasons, such disclosure will jeopardize the privacy or security of employees, clients, or partners. 
- Level 4: Information that is deemed extremely sensitive and is intended for use by named individuals only. This information is typically exempt from public disclosure. Users of information systems are notified and made aware when the data they are accessing contains PII.</t>
    </r>
  </si>
  <si>
    <t>0862.0</t>
  </si>
  <si>
    <t>1769.09i1System.12</t>
  </si>
  <si>
    <t>09.i System Acceptance</t>
  </si>
  <si>
    <t>Requirements and criteria for acceptance of new systems are (1) clearly defined, (2) agreed, (3) documented, and (4) tested. The organization ensures (5) new information systems, (6) upgrades, and (7) new versions are only migrated into production after obtaining formal acceptance from management.</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</si>
  <si>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organization\'s system acceptance policy and confirm that requirements and criteria for acceptance of new systems are clearly defined, agreed, documented, and tested. _x000D_
Select a sample of system changes (e.g., new systems, upgrades, new version) and examine the change record and confirm that management formally accepted the change prior to being implemented into production.</t>
  </si>
  <si>
    <r>
      <rPr>
        <b/>
        <sz val="10"/>
        <color theme="1"/>
        <rFont val="Arial"/>
        <family val="2"/>
      </rPr>
      <t>Documentation: Change Management Program</t>
    </r>
    <r>
      <rPr>
        <sz val="10"/>
        <color theme="1"/>
        <rFont val="Arial"/>
        <family val="2"/>
      </rPr>
      <t xml:space="preserve">
- defines criteria for acceptance/acquisition of new systems
</t>
    </r>
    <r>
      <rPr>
        <b/>
        <sz val="10"/>
        <color theme="1"/>
        <rFont val="Arial"/>
        <family val="2"/>
      </rPr>
      <t xml:space="preserve">Sample Test:
</t>
    </r>
    <r>
      <rPr>
        <sz val="10"/>
        <color theme="1"/>
        <rFont val="Arial"/>
        <family val="2"/>
      </rPr>
      <t xml:space="preserve">- Test 030: Change (information system and system components)
</t>
    </r>
    <r>
      <rPr>
        <b/>
        <sz val="10"/>
        <color theme="1"/>
        <rFont val="Arial"/>
        <family val="2"/>
      </rPr>
      <t xml:space="preserve">Additional Information: Examples
</t>
    </r>
    <r>
      <rPr>
        <sz val="10"/>
        <color theme="1"/>
        <rFont val="Arial"/>
        <family val="2"/>
      </rPr>
      <t>- new systems added
- information system upgrades applied
- information system software versions updated</t>
    </r>
  </si>
  <si>
    <t>0863.0</t>
  </si>
  <si>
    <t>1770.09i2System.1</t>
  </si>
  <si>
    <t>0863.1</t>
  </si>
  <si>
    <t>1770.09i2System.4</t>
  </si>
  <si>
    <t>0864.0</t>
  </si>
  <si>
    <t>1771.09i2System.24</t>
  </si>
  <si>
    <t>0865.0</t>
  </si>
  <si>
    <t>1772.09i2System.3</t>
  </si>
  <si>
    <t>0866.0</t>
  </si>
  <si>
    <t>1773.09iCMSSystem.1</t>
  </si>
  <si>
    <t>0867.0</t>
  </si>
  <si>
    <t>1774.09iCMSSystem.2</t>
  </si>
  <si>
    <t>0868.0</t>
  </si>
  <si>
    <t>1775.09iCMSSystem.3</t>
  </si>
  <si>
    <t>0871.0</t>
  </si>
  <si>
    <t>1778.09iHIXSystem.1</t>
  </si>
  <si>
    <t>0872.0</t>
  </si>
  <si>
    <t>1779.09iHIXSystem.2</t>
  </si>
  <si>
    <t>1226.0</t>
  </si>
  <si>
    <t>1780.10a2Organizational.11</t>
  </si>
  <si>
    <t>1227.0</t>
  </si>
  <si>
    <t>1781.10a1Organizational.23</t>
  </si>
  <si>
    <t>1228.0</t>
  </si>
  <si>
    <t>1782.10a2Organizational.12</t>
  </si>
  <si>
    <t>1229.0</t>
  </si>
  <si>
    <t>1783.10a2Organizational.13</t>
  </si>
  <si>
    <t>1230.0</t>
  </si>
  <si>
    <t>1784.10aHICPOrganizational.2</t>
  </si>
  <si>
    <t>1231.0</t>
  </si>
  <si>
    <t>1785.10a2Organizational.14</t>
  </si>
  <si>
    <t>1232.0</t>
  </si>
  <si>
    <t>1786.10a2Organizational.15</t>
  </si>
  <si>
    <t>1233.0</t>
  </si>
  <si>
    <t>1787.10a2Organizational.1</t>
  </si>
  <si>
    <t>1234.0</t>
  </si>
  <si>
    <t>1788.10a2Organizational.2</t>
  </si>
  <si>
    <t>1235.0</t>
  </si>
  <si>
    <t>1789.10a2Organizational.3</t>
  </si>
  <si>
    <t>1236.0</t>
  </si>
  <si>
    <t>1790.10a2Organizational.45</t>
  </si>
  <si>
    <t>1237.0</t>
  </si>
  <si>
    <t>1791.10a2Organizational.6</t>
  </si>
  <si>
    <t>1238.0</t>
  </si>
  <si>
    <t>1792.10a2Organizational.7814</t>
  </si>
  <si>
    <t>1239.0</t>
  </si>
  <si>
    <t>1793.10a2Organizational.91011</t>
  </si>
  <si>
    <t>1794.10a2Organizational.12</t>
  </si>
  <si>
    <t>17944.03bNIST80053Organizational.1</t>
  </si>
  <si>
    <t>1998.0</t>
  </si>
  <si>
    <t>17945.10aNIST80053Organizational.2</t>
  </si>
  <si>
    <t>1795.10a2Organizational.13</t>
  </si>
  <si>
    <t>1242.0</t>
  </si>
  <si>
    <t>1796.10a2Organizational.15</t>
  </si>
  <si>
    <t>1243.0</t>
  </si>
  <si>
    <t>1797.10a3Organizational.1</t>
  </si>
  <si>
    <t>1244.0</t>
  </si>
  <si>
    <t>1798.10a3Organizational.2</t>
  </si>
  <si>
    <t>1245.0</t>
  </si>
  <si>
    <t>1799.10a3Organizational.34</t>
  </si>
  <si>
    <t>18 Physical &amp; Environmental Security</t>
  </si>
  <si>
    <t>2413.0</t>
  </si>
  <si>
    <t>18.00aFedRAMPOrganizational.12</t>
  </si>
  <si>
    <t>2664.0</t>
  </si>
  <si>
    <t>18.00aNIST80053Organizational.43</t>
  </si>
  <si>
    <t>2496.0</t>
  </si>
  <si>
    <t>18.07aFTIOrganizational.1</t>
  </si>
  <si>
    <t>0694.0</t>
  </si>
  <si>
    <t>18.08aNIST80053Organizational.2</t>
  </si>
  <si>
    <t>08.a Physical Security Perimeter</t>
  </si>
  <si>
    <t>2409.0</t>
  </si>
  <si>
    <t>18.08bFedRAMPOrganizational.2</t>
  </si>
  <si>
    <t>08.b Physical Entry Controls</t>
  </si>
  <si>
    <t>2665.0</t>
  </si>
  <si>
    <t>18.08bFTIOrganizational.6</t>
  </si>
  <si>
    <t>2682.0</t>
  </si>
  <si>
    <t>18.08bFTIOrganizational.7</t>
  </si>
  <si>
    <t>2320.0</t>
  </si>
  <si>
    <t>18.08bNIST800171Organizational.1</t>
  </si>
  <si>
    <t>0703.0</t>
  </si>
  <si>
    <t>18.08bNIST80053Organizational.10</t>
  </si>
  <si>
    <t>0716.0</t>
  </si>
  <si>
    <t>18.08bNIST80053Organizational.11</t>
  </si>
  <si>
    <t>0717.0</t>
  </si>
  <si>
    <t>18.08bNIST80053Organizational.12</t>
  </si>
  <si>
    <t>2313.0</t>
  </si>
  <si>
    <t>18.08bNIST80053Organizational.2</t>
  </si>
  <si>
    <t>0710.0</t>
  </si>
  <si>
    <t>18.08bSROrganizational.2</t>
  </si>
  <si>
    <t>2407.0</t>
  </si>
  <si>
    <t>18.08dFedRAMPOrganizational.2</t>
  </si>
  <si>
    <t>08.d Protecting Against External and Environmental Threats</t>
  </si>
  <si>
    <t>2296.0</t>
  </si>
  <si>
    <t>18.08dNIST80053Organizational.2</t>
  </si>
  <si>
    <t>0759.0</t>
  </si>
  <si>
    <t>18.08gCMSOrganizational.2</t>
  </si>
  <si>
    <t>08.g Equipment Siting and Protection</t>
  </si>
  <si>
    <t>2408.0</t>
  </si>
  <si>
    <t>18.08hFedRAMPOrganizational.2</t>
  </si>
  <si>
    <t>08.h Supporting Utilities</t>
  </si>
  <si>
    <t>2376.0</t>
  </si>
  <si>
    <t>18.08jFedRAMPOrganizational.2</t>
  </si>
  <si>
    <t>2646.0</t>
  </si>
  <si>
    <t>18.08jFTIOrganizational.1</t>
  </si>
  <si>
    <t>18.08jFTIOrganizational.3</t>
  </si>
  <si>
    <t>2711.0</t>
  </si>
  <si>
    <t>18.08jNYDOHOrganizational.2</t>
  </si>
  <si>
    <t>2400.0</t>
  </si>
  <si>
    <t>18.09pFedRAMPOrganizational.2</t>
  </si>
  <si>
    <t>09.p Disposal of Media</t>
  </si>
  <si>
    <t>2834.0</t>
  </si>
  <si>
    <t>18.09pFedRAMPOrganizational.3</t>
  </si>
  <si>
    <t>2520.0</t>
  </si>
  <si>
    <t>18.09pFTIOrganizational.10</t>
  </si>
  <si>
    <t>2533.0</t>
  </si>
  <si>
    <t>18.09pFTIOrganizational.11</t>
  </si>
  <si>
    <t>2602.0</t>
  </si>
  <si>
    <t>18.09pFTIOrganizational.12</t>
  </si>
  <si>
    <t>1021.0</t>
  </si>
  <si>
    <t>18.09pNIST80053Organizational.2</t>
  </si>
  <si>
    <t>1022.0</t>
  </si>
  <si>
    <t>18.09pNIST80053Organizational.3</t>
  </si>
  <si>
    <t>1013.0</t>
  </si>
  <si>
    <t>18.09pNYDOHOrganizational.3</t>
  </si>
  <si>
    <t>0698.0</t>
  </si>
  <si>
    <t>1801.08b2Organizational.9</t>
  </si>
  <si>
    <t>0699.0</t>
  </si>
  <si>
    <t>1802.08b1Organizational.3</t>
  </si>
  <si>
    <t>0700.0</t>
  </si>
  <si>
    <t>1803.08b2Organizational.10</t>
  </si>
  <si>
    <t>1804.08b2Organizational.12</t>
  </si>
  <si>
    <t>0704.0</t>
  </si>
  <si>
    <t>1805.08b2Organizational.3</t>
  </si>
  <si>
    <t>0705.0</t>
  </si>
  <si>
    <t>1806.08b2Organizational.4</t>
  </si>
  <si>
    <t>0706.0</t>
  </si>
  <si>
    <t>1807.08b2Organizational.56</t>
  </si>
  <si>
    <t>0707.0</t>
  </si>
  <si>
    <t>1808.08b2Organizational.7</t>
  </si>
  <si>
    <t>0711.0</t>
  </si>
  <si>
    <t>1809.08b3Organizational.1</t>
  </si>
  <si>
    <t>0712.0</t>
  </si>
  <si>
    <t>1810.08b3Organizational.2</t>
  </si>
  <si>
    <t>0776.0</t>
  </si>
  <si>
    <t>18100.08i2Organizational.6</t>
  </si>
  <si>
    <t>08.i Cabling Security</t>
  </si>
  <si>
    <t>0777.0</t>
  </si>
  <si>
    <t>18101.08i2Organizational.1</t>
  </si>
  <si>
    <t>0778.0</t>
  </si>
  <si>
    <t>18102.08i2Organizational.23</t>
  </si>
  <si>
    <t>0779.0</t>
  </si>
  <si>
    <t>18103.08i2Organizational.4</t>
  </si>
  <si>
    <t>0725.0</t>
  </si>
  <si>
    <t>18104.08bHIXOrganizational.1</t>
  </si>
  <si>
    <t>0780.0</t>
  </si>
  <si>
    <t>18104.08i2Organizational.56</t>
  </si>
  <si>
    <t>0781.0</t>
  </si>
  <si>
    <t>18105.08i2Organizational.78</t>
  </si>
  <si>
    <t>0782.0</t>
  </si>
  <si>
    <t>18106.08i3Organizational.1</t>
  </si>
  <si>
    <t>0784.0</t>
  </si>
  <si>
    <t>18108.08j1Organizational.1</t>
  </si>
  <si>
    <t>0786.0</t>
  </si>
  <si>
    <t>18109.08j2Organizational.5</t>
  </si>
  <si>
    <t>0713.0</t>
  </si>
  <si>
    <t>1811.08b3Organizational.3</t>
  </si>
  <si>
    <t>0787.0</t>
  </si>
  <si>
    <t>18110.08j2Organizational.6</t>
  </si>
  <si>
    <t>0788.0</t>
  </si>
  <si>
    <t>18111.08j2Organizational.7</t>
  </si>
  <si>
    <t>0794.0</t>
  </si>
  <si>
    <t>18112.08j3Organizational.4</t>
  </si>
  <si>
    <t>0795.0</t>
  </si>
  <si>
    <t>18113.08jCMSOrganizational.1</t>
  </si>
  <si>
    <t>0796.0</t>
  </si>
  <si>
    <t>18114.08jCMSOrganizational.2</t>
  </si>
  <si>
    <t>0797.0</t>
  </si>
  <si>
    <t>18115.08jCMSOrganizational.3</t>
  </si>
  <si>
    <t>0798.0</t>
  </si>
  <si>
    <t>18116.08jCMSOrganizational.4</t>
  </si>
  <si>
    <t>0799.0</t>
  </si>
  <si>
    <t>18117.08jCMSOrganizational.5</t>
  </si>
  <si>
    <t>0800.0</t>
  </si>
  <si>
    <t>18118.08jCMSOrganizational.6</t>
  </si>
  <si>
    <t>0801.0</t>
  </si>
  <si>
    <t>18119.08jCMSOrganizational.7</t>
  </si>
  <si>
    <t>0714.0</t>
  </si>
  <si>
    <t>1812.08b3Organizational.46</t>
  </si>
  <si>
    <t>0802.0</t>
  </si>
  <si>
    <t>18120.08jCMSOrganizational.8</t>
  </si>
  <si>
    <t>0803.0</t>
  </si>
  <si>
    <t>18121.08jCMSOrganizational.9</t>
  </si>
  <si>
    <t>0806.0</t>
  </si>
  <si>
    <t>18122.08k1Organizational.1</t>
  </si>
  <si>
    <t>08.k Security of Equipment Off-Premises</t>
  </si>
  <si>
    <t>Regardless of ownership, the use of any information processing equipment outside the organization’s premises, including equipment used by remote workers, even where such use is permanent (e.g., a core feature of the employee’s role), (1) is authorized by management.</t>
  </si>
  <si>
    <t>Examine evidence that all evaluative elements within the requirement statement have been implemented as defined in the HITRUST scoring rubric, using a sample based test where possible for each evaluative element._x000D_
_x000D_
_x000D_
Example test(s):_x000D_
For example, select a sample of processing equipment outside the organization\'s premises and examine evidence to confirm that such use was authorized by management.</t>
  </si>
  <si>
    <r>
      <rPr>
        <b/>
        <sz val="10"/>
        <color theme="1"/>
        <rFont val="Arial"/>
        <family val="2"/>
      </rPr>
      <t>Sample Test:</t>
    </r>
    <r>
      <rPr>
        <sz val="10"/>
        <color theme="1"/>
        <rFont val="Arial"/>
        <family val="2"/>
      </rPr>
      <t xml:space="preserve">
- Test 053: Endpoint Device (remote with ability to process data)
</t>
    </r>
    <r>
      <rPr>
        <b/>
        <sz val="10"/>
        <color theme="1"/>
        <rFont val="Arial"/>
        <family val="2"/>
      </rPr>
      <t>Additional Information: Examples</t>
    </r>
    <r>
      <rPr>
        <sz val="10"/>
        <color theme="1"/>
        <rFont val="Arial"/>
        <family val="2"/>
      </rPr>
      <t xml:space="preserve">
- teleworking devices</t>
    </r>
  </si>
  <si>
    <t>0807.0</t>
  </si>
  <si>
    <t>18123.08k2Organizational.1</t>
  </si>
  <si>
    <t>0808.0</t>
  </si>
  <si>
    <t>18124.08k2Organizational.2</t>
  </si>
  <si>
    <t>0809.0</t>
  </si>
  <si>
    <t>18125.08k2Organizational.3</t>
  </si>
  <si>
    <t>0810.0</t>
  </si>
  <si>
    <t>18126.08k2Organizational.4</t>
  </si>
  <si>
    <t>0812.0</t>
  </si>
  <si>
    <t>18127.08l1Organizational.3</t>
  </si>
  <si>
    <t>08.l Secure Disposal or Re-Use of Equipment</t>
  </si>
  <si>
    <t>0813.0</t>
  </si>
  <si>
    <t>18128.08m1Organizational.12</t>
  </si>
  <si>
    <t>08.m Removal of Property</t>
  </si>
  <si>
    <t>The organization ensures (1) equipment, (2) information, and (3) software are not taken off-site without prior authorization. The organization ensures (4) employees, (5) contractors, and (6) third-party users who have authority to permit off-site removal of assets are clearly identified.</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</si>
  <si>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written policies and procedures to confirm that guidelines have been defined to ensure equipment, information, or software are not taken off-site without prior authorization. _x000D_
Select a sample of employees and confirm their understanding of the organization\'s policies and procedures and where possible, confirm through observation. _x000D_
Further, examine evidence to confirm that the organization has formally defined and documented employees, contractors and third-party users who have authority to permit off-site removal of assets, and that they are clearly identified. _x000D_
Select a sample of requests for equipment, information, or software to be taken off-site and confirm that the request was formally authorized.</t>
  </si>
  <si>
    <r>
      <rPr>
        <b/>
        <sz val="10"/>
        <color theme="1"/>
        <rFont val="Arial"/>
        <family val="2"/>
      </rPr>
      <t>Documentation: System Maintenance Program</t>
    </r>
    <r>
      <rPr>
        <sz val="10"/>
        <color theme="1"/>
        <rFont val="Arial"/>
        <family val="2"/>
      </rPr>
      <t xml:space="preserve">
- guidelines established from removing equipment from facility/secure area
</t>
    </r>
    <r>
      <rPr>
        <b/>
        <sz val="10"/>
        <color theme="1"/>
        <rFont val="Arial"/>
        <family val="2"/>
      </rPr>
      <t>Evidence Test: Equipment Removal</t>
    </r>
    <r>
      <rPr>
        <sz val="10"/>
        <color theme="1"/>
        <rFont val="Arial"/>
        <family val="2"/>
      </rPr>
      <t xml:space="preserve">
- list of workforce members authorized to remove equipment is maintained
</t>
    </r>
    <r>
      <rPr>
        <b/>
        <sz val="10"/>
        <color theme="1"/>
        <rFont val="Arial"/>
        <family val="2"/>
      </rPr>
      <t>Sample Test:</t>
    </r>
    <r>
      <rPr>
        <sz val="10"/>
        <color theme="1"/>
        <rFont val="Arial"/>
        <family val="2"/>
      </rPr>
      <t xml:space="preserve">
- Test 192: Workforce Member (contractor)
- Test 193: Workforce Member (employee)
- Test 212: Workforce Member (third party user)
</t>
    </r>
    <r>
      <rPr>
        <b/>
        <sz val="10"/>
        <color theme="1"/>
        <rFont val="Arial"/>
        <family val="2"/>
      </rPr>
      <t>Additional Information: Examples</t>
    </r>
    <r>
      <rPr>
        <sz val="10"/>
        <color theme="1"/>
        <rFont val="Arial"/>
        <family val="2"/>
      </rPr>
      <t xml:space="preserve">
- information assets include physical equipment
- information assets include information/data
- information assets include application/software</t>
    </r>
  </si>
  <si>
    <t>0814.0</t>
  </si>
  <si>
    <t>18129.08m2Organizational.1</t>
  </si>
  <si>
    <t>0715.0</t>
  </si>
  <si>
    <t>1813.08b3Organizational.56</t>
  </si>
  <si>
    <t>1009.0</t>
  </si>
  <si>
    <t>18130.09p2Organizational.2</t>
  </si>
  <si>
    <t>1010.0</t>
  </si>
  <si>
    <t>18131.09p2Organizational.3</t>
  </si>
  <si>
    <t>1012.0</t>
  </si>
  <si>
    <t>18132.09pCMSOrganizational.1</t>
  </si>
  <si>
    <t>1014.0</t>
  </si>
  <si>
    <t>18133.09pFTIOrganizational.12</t>
  </si>
  <si>
    <t>1017.1</t>
  </si>
  <si>
    <t>18136.09pFTIOrganizational.12</t>
  </si>
  <si>
    <t>1019.0</t>
  </si>
  <si>
    <t>18138.09pFTIOrganizational.8</t>
  </si>
  <si>
    <t>1020.0</t>
  </si>
  <si>
    <t>18139.09pFTIOrganizational.9</t>
  </si>
  <si>
    <t>0732.0</t>
  </si>
  <si>
    <t>1814.08d2Organizational.3</t>
  </si>
  <si>
    <t>18140.09pFTIOrganizational.1012</t>
  </si>
  <si>
    <t>18141.09pFTIOrganizational.11</t>
  </si>
  <si>
    <t>1023.0</t>
  </si>
  <si>
    <t>18142.09pHIXOrganizational.12</t>
  </si>
  <si>
    <t>18145.08b3Organizational.7</t>
  </si>
  <si>
    <t>18146.08b3Organizational.8</t>
  </si>
  <si>
    <t>0805.0</t>
  </si>
  <si>
    <t>18147.08jHIXOrganizational.1</t>
  </si>
  <si>
    <t>18148.08gFedRAMPOrganizational.1</t>
  </si>
  <si>
    <t>0804.0</t>
  </si>
  <si>
    <t>18149.08jFedRAMPOrganizational.1</t>
  </si>
  <si>
    <t>0735.0</t>
  </si>
  <si>
    <t>1815.08d2Organizational.123</t>
  </si>
  <si>
    <t>18150.09pFedRAMPOrganizational.1</t>
  </si>
  <si>
    <t>0736.0</t>
  </si>
  <si>
    <t>1816.08d2Organizational.4</t>
  </si>
  <si>
    <t>2139.0</t>
  </si>
  <si>
    <t>18167.08bNYDOHOrganizational.1</t>
  </si>
  <si>
    <t>2140.0</t>
  </si>
  <si>
    <t>18168.08gNYDOHOrganizational.1</t>
  </si>
  <si>
    <t>2141.0</t>
  </si>
  <si>
    <t>18169.08jNYDOHOrganizational.1</t>
  </si>
  <si>
    <t>0737.0</t>
  </si>
  <si>
    <t>1817.08d3Organizational.12</t>
  </si>
  <si>
    <t>2142.0</t>
  </si>
  <si>
    <t>18170.08lNYDOHOrganizational.4</t>
  </si>
  <si>
    <t>2143.0</t>
  </si>
  <si>
    <t>18171.08lNYDOHOrganizational.2</t>
  </si>
  <si>
    <t>2144.0</t>
  </si>
  <si>
    <t>18172.08lNYDOHOrganizational.3</t>
  </si>
  <si>
    <t>0738.0</t>
  </si>
  <si>
    <t>1818.08d3Organizational.3</t>
  </si>
  <si>
    <t>0785.0</t>
  </si>
  <si>
    <t>1819.08j2Organizational.4</t>
  </si>
  <si>
    <t>0789.0</t>
  </si>
  <si>
    <t>1820.08j2Organizational.1</t>
  </si>
  <si>
    <t>2174.0</t>
  </si>
  <si>
    <t>18202.09pNYDOHOrganizational.1</t>
  </si>
  <si>
    <t>0791.0</t>
  </si>
  <si>
    <t>1821.08j2Organizational.3</t>
  </si>
  <si>
    <t>0790.0</t>
  </si>
  <si>
    <t>1822.08j2Organizational.2</t>
  </si>
  <si>
    <t>0792.0</t>
  </si>
  <si>
    <t>1823.08j3Organizational.12</t>
  </si>
  <si>
    <t>0793.0</t>
  </si>
  <si>
    <t>1824.08j3Organizational.3</t>
  </si>
  <si>
    <t>0811.0</t>
  </si>
  <si>
    <t>1825.08l2Organizational.1</t>
  </si>
  <si>
    <t>1008.0</t>
  </si>
  <si>
    <t>1826.09p1Organizational.1</t>
  </si>
  <si>
    <t>1011.0</t>
  </si>
  <si>
    <t>1827.09p2Organizational.1</t>
  </si>
  <si>
    <t>2244.0</t>
  </si>
  <si>
    <t>18272.08bNYDOHOrganizational.2</t>
  </si>
  <si>
    <t>0682.0</t>
  </si>
  <si>
    <t>1828.08a1Organizational.12</t>
  </si>
  <si>
    <t>Computers that store or process covered and/or confidential information are (1) located in rooms with doors and windows that are locked when unattended, and (2) are not located in areas that are unattended and have unrestricted access by the public. External protection (3) is considered for windows, particularly at ground level (public, sensitive, and restricted areas).</t>
  </si>
  <si>
    <t>Examine evidence that all evaluative elements within the requirement statement have been implemented as defined in the HITRUST scoring rubric, using a sample based test where possible for each evaluative element._x000D_
_x000D_
_x000D_
Example test(s):_x000D_
For example, perform a tour of the organization\'s facilities and confirm that computers that store or process covered and/or confidential information are located in rooms with doors and windows that are locked when unattended and external protection (e.g., security bars, reinforced windows) is considered for windows, particularly at ground level (public, sensitive, and restricted areas). _x000D_
Further, observe that computers that store or process covered and/or confidential information are not located in areas that are unattended and have unrestricted access by the public.</t>
  </si>
  <si>
    <r>
      <rPr>
        <b/>
        <sz val="10"/>
        <color theme="1"/>
        <rFont val="Arial"/>
        <family val="2"/>
      </rPr>
      <t>Evidence Test: Endpoint (handles covered/confidential information)</t>
    </r>
    <r>
      <rPr>
        <sz val="10"/>
        <color theme="1"/>
        <rFont val="Arial"/>
        <family val="2"/>
      </rPr>
      <t xml:space="preserve">
- located in rooms with locked doors and windows
- located in rooms with unattended and external protections
- not located in areas that allow unrestricted access by the public
</t>
    </r>
    <r>
      <rPr>
        <b/>
        <sz val="10"/>
        <color theme="1"/>
        <rFont val="Arial"/>
        <family val="2"/>
      </rPr>
      <t>Additional Information: Examples</t>
    </r>
    <r>
      <rPr>
        <sz val="10"/>
        <color theme="1"/>
        <rFont val="Arial"/>
        <family val="2"/>
      </rPr>
      <t xml:space="preserve">
- unattended and external protection include security bars
- unattended and external protection include reinforced windows
- unattended and external protection include CCTV
- unattended and external protection include physical security alarms</t>
    </r>
  </si>
  <si>
    <t>0683.0</t>
  </si>
  <si>
    <t>1829.08a2Organizational.6</t>
  </si>
  <si>
    <t>0685.0</t>
  </si>
  <si>
    <t>1830.08a2Organizational.1</t>
  </si>
  <si>
    <t>2276.0</t>
  </si>
  <si>
    <t>18303.00aNIST80053Organizational.12</t>
  </si>
  <si>
    <t>0686.0</t>
  </si>
  <si>
    <t>1831.08a2Organizational.23</t>
  </si>
  <si>
    <t>0687.0</t>
  </si>
  <si>
    <t>1832.08a2Organizational.4</t>
  </si>
  <si>
    <t>0688.0</t>
  </si>
  <si>
    <t>1833.08a2Organizational.5</t>
  </si>
  <si>
    <t>0684.0</t>
  </si>
  <si>
    <t>1834.08a2Organizational.7</t>
  </si>
  <si>
    <t>0689.0</t>
  </si>
  <si>
    <t>1835.08a2Organizational.78</t>
  </si>
  <si>
    <t>0690.0</t>
  </si>
  <si>
    <t>1836.08a3Organizational.1</t>
  </si>
  <si>
    <t>0691.0</t>
  </si>
  <si>
    <t>1837.08a3Organizational.2</t>
  </si>
  <si>
    <t>0692.0</t>
  </si>
  <si>
    <t>1838.08a3Organizational.3</t>
  </si>
  <si>
    <t>0693.0</t>
  </si>
  <si>
    <t>1839.08aFTIOrganizational.16789</t>
  </si>
  <si>
    <t>1840.08aFTIOrganizational.2</t>
  </si>
  <si>
    <t>0697.0</t>
  </si>
  <si>
    <t>1841.08aFTIOrganizational.5</t>
  </si>
  <si>
    <t>0695.0</t>
  </si>
  <si>
    <t>1842.08aFTIOrganizational.3</t>
  </si>
  <si>
    <t>0696.0</t>
  </si>
  <si>
    <t>1843.08aFTIOrganizational.4</t>
  </si>
  <si>
    <t>0701.0</t>
  </si>
  <si>
    <t>1844.08b2Organizational.11</t>
  </si>
  <si>
    <t>0702.0</t>
  </si>
  <si>
    <t>1845.08b1Organizational.7</t>
  </si>
  <si>
    <t>0708.0</t>
  </si>
  <si>
    <t>1846.08b2Organizational.8</t>
  </si>
  <si>
    <t>0709.0</t>
  </si>
  <si>
    <t>1847.08b2Organizational.910</t>
  </si>
  <si>
    <t>1848.08b2Organizational.11</t>
  </si>
  <si>
    <t>0718.0</t>
  </si>
  <si>
    <t>1849.08bCMSOrganizational.1</t>
  </si>
  <si>
    <t>0719.0</t>
  </si>
  <si>
    <t>1850.08bCMSOrganizational.2</t>
  </si>
  <si>
    <t>0720.1</t>
  </si>
  <si>
    <t>1851.08bFTIOrganizational.8</t>
  </si>
  <si>
    <t>0721.0</t>
  </si>
  <si>
    <t>1852.08bFTIOrganizational.2</t>
  </si>
  <si>
    <t>0722.0</t>
  </si>
  <si>
    <t>1853.08bFTIOrganizational.3</t>
  </si>
  <si>
    <t>0723.0</t>
  </si>
  <si>
    <t>1854.08bFTIOrganizational.4</t>
  </si>
  <si>
    <t>0724.0</t>
  </si>
  <si>
    <t>1855.08bFTIOrganizational.8</t>
  </si>
  <si>
    <t>0726.0</t>
  </si>
  <si>
    <t>1856.08bPCIOrganizational.12</t>
  </si>
  <si>
    <t>0727.0</t>
  </si>
  <si>
    <t>1857.08c1Organizational.1</t>
  </si>
  <si>
    <t>08.c Securing Offices, Rooms, and Facilities</t>
  </si>
  <si>
    <t>Relevant health and safety regulations and standards (1) are taken into consideration when securing facilities.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</si>
  <si>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relevant health and safety regulations and standards are taken into consideration when securing facilities. This can be performed through a risk assessment to ensure that the organization has identified the applicable health and safety regulations and standards and implemented relevant security controls to secure its facilities.</t>
  </si>
  <si>
    <r>
      <rPr>
        <b/>
        <sz val="10"/>
        <color theme="1"/>
        <rFont val="Arial"/>
        <family val="2"/>
      </rPr>
      <t>Evidence Test: Health and Safety Regulation</t>
    </r>
    <r>
      <rPr>
        <sz val="10"/>
        <color theme="1"/>
        <rFont val="Arial"/>
        <family val="2"/>
      </rPr>
      <t xml:space="preserve">
- considered when securing facility/secure area
</t>
    </r>
    <r>
      <rPr>
        <b/>
        <sz val="10"/>
        <color theme="1"/>
        <rFont val="Arial"/>
        <family val="2"/>
      </rPr>
      <t>Additional Evidence: Example</t>
    </r>
    <r>
      <rPr>
        <sz val="10"/>
        <color theme="1"/>
        <rFont val="Arial"/>
        <family val="2"/>
      </rPr>
      <t xml:space="preserve">
- can be confirmed through risk assessment
- OSHA regulations
- Fire regulations</t>
    </r>
  </si>
  <si>
    <t>0728.0</t>
  </si>
  <si>
    <t>1858.08c2Organizational.12</t>
  </si>
  <si>
    <t>0729.0</t>
  </si>
  <si>
    <t>1859.08c2Organizational.3</t>
  </si>
  <si>
    <t>0730.0</t>
  </si>
  <si>
    <t>1860.08c2Organizational.4567</t>
  </si>
  <si>
    <t>0731.0</t>
  </si>
  <si>
    <t>1861.08c2Organizational.8</t>
  </si>
  <si>
    <t>0733.0</t>
  </si>
  <si>
    <t>1862.08d3Organizational.3</t>
  </si>
  <si>
    <t>0734.0</t>
  </si>
  <si>
    <t>1863.08d1Organizational.4</t>
  </si>
  <si>
    <t>0739.0</t>
  </si>
  <si>
    <t>1864.08dCMSOrganizational.1</t>
  </si>
  <si>
    <t>0740.0</t>
  </si>
  <si>
    <t>1865.08dCMSOrganizational.2</t>
  </si>
  <si>
    <t>0741.0</t>
  </si>
  <si>
    <t>1866.08dHIXOrganizational.1</t>
  </si>
  <si>
    <t>0742.0</t>
  </si>
  <si>
    <t>1867.08e1Organizational.12</t>
  </si>
  <si>
    <t>08.e Working in Secure Areas</t>
  </si>
  <si>
    <t>The arrangements for working in secure areas (1) include controls for the employees, contractors, and third-party users working in the secure area, as well as other third-party activities taking place there. Personnel (2) are aware of the existence of, or activities within, a secure area on a need to know basis.</t>
  </si>
  <si>
    <t>Examine evidence that all evaluative elements within the requirement statement have been implemented as defined in the HITRUST scoring rubric, using a sample based test where possible for each evaluative element._x000D_
_x000D_
_x000D_
Example test(s):_x000D_
For example, perform a tour of the organization\'s secure areas and through observation confirm that arrangements for working in secure areas include controls (e.g., locked, access restricted) for the employees, contractors, and third-party users working in the secure area. _x000D_
Further, confirm that access (e.g., access control) to secure areas is based on a need to know basis.</t>
  </si>
  <si>
    <r>
      <rPr>
        <b/>
        <sz val="10"/>
        <color theme="1"/>
        <rFont val="Arial"/>
        <family val="2"/>
      </rPr>
      <t>Evidence Test: Facility/Secure Area</t>
    </r>
    <r>
      <rPr>
        <sz val="10"/>
        <color theme="1"/>
        <rFont val="Arial"/>
        <family val="2"/>
      </rPr>
      <t xml:space="preserve">
- access is restricted
- access list is limited to authorized individuals
- knowledge of activities is restricted</t>
    </r>
  </si>
  <si>
    <t>0743.0</t>
  </si>
  <si>
    <t>1868.08e2Organizational.1</t>
  </si>
  <si>
    <t>0744.0</t>
  </si>
  <si>
    <t>1869.08e2Organizational.2</t>
  </si>
  <si>
    <t>0745.0</t>
  </si>
  <si>
    <t>1870.08eFTIOrganizational.1</t>
  </si>
  <si>
    <t>0746.0</t>
  </si>
  <si>
    <t>1871.08f1Organizational.13</t>
  </si>
  <si>
    <t>08.f Public Access, Delivery, and Loading Areas</t>
  </si>
  <si>
    <t>Access to a delivery and loading area from outside of the building (1) is restricted to identified and authorized personnel. The external doors of a delivery and loading area (2) are secured when the internal doors are opened.</t>
  </si>
  <si>
    <t>Examine evidence that all evaluative elements within the requirement statement have been implemented as defined in the HITRUST scoring rubric, using a sample based test where possible for each evaluative element._x000D_
_x000D_
_x000D_
Example test(s):_x000D_
For example, perform a tour of the organization\'s delivery and loading areas and confirm through observation that access is restricted to identified and authorized personnel. _x000D_
If an access control system is place, review the access listing to confirm that access was limited to appropriate personnel. _x000D_
Further, through observation, confirm that the external doors of a delivery and loading area are secured (e.g., locked) when the internal doors are opened.</t>
  </si>
  <si>
    <r>
      <rPr>
        <b/>
        <sz val="10"/>
        <color theme="1"/>
        <rFont val="Arial"/>
        <family val="2"/>
      </rPr>
      <t>Evidence Test: Loading Bay/Dock</t>
    </r>
    <r>
      <rPr>
        <sz val="10"/>
        <color theme="1"/>
        <rFont val="Arial"/>
        <family val="2"/>
      </rPr>
      <t xml:space="preserve">
- access is restricted
- access list is limited to authorized individuals
- bay/dock doors are secured when internal doors are accessible</t>
    </r>
  </si>
  <si>
    <t>0747.0</t>
  </si>
  <si>
    <t>1872.08f2Organizational.2</t>
  </si>
  <si>
    <t>0748.0</t>
  </si>
  <si>
    <t>1873.08f2Organizational.3</t>
  </si>
  <si>
    <t>0749.0</t>
  </si>
  <si>
    <t>1874.08f2Organizational.1</t>
  </si>
  <si>
    <t>0750.0</t>
  </si>
  <si>
    <t>1875.08g2Organizational.3</t>
  </si>
  <si>
    <t>0751.0</t>
  </si>
  <si>
    <t>1876.08g2Organizational.4</t>
  </si>
  <si>
    <t>0752.0</t>
  </si>
  <si>
    <t>1877.08g2Organizational.5</t>
  </si>
  <si>
    <t>0753.0</t>
  </si>
  <si>
    <t>1878.08g2Organizational.6</t>
  </si>
  <si>
    <t>0754.0</t>
  </si>
  <si>
    <t>1879.08g2Organizational.7</t>
  </si>
  <si>
    <t>0755.0</t>
  </si>
  <si>
    <t>1880.08g1Organizational.6</t>
  </si>
  <si>
    <t>The organization (1) plans the location or site of the facility where the information system resides with regard to physical and environmental hazards and for existing facilities, and (2) considers the physical and environmental hazards in its risk mitigation strategy.</t>
  </si>
  <si>
    <t>Examine evidence that all evaluative elements within the requirement statement have been implemented as defined in the HITRUST scoring rubric, using a sample based test where possible for each evaluative element._x000D_
_x000D_
_x000D_
Example test(s):_x000D_
For example, physical and environmental hazards include, for example, flooding, fire, tornados, earthquakes, hurricanes, acts of terrorism, vandalism, electromagnetic pulse, electrical interference, and other forms of incoming electromagnetic radiation. Examine the organization\'s risk assessment or risk mitigation strategy and confirm that the organization takes into consideration of physical and environmental hazards.</t>
  </si>
  <si>
    <r>
      <rPr>
        <b/>
        <sz val="10"/>
        <color theme="1"/>
        <rFont val="Arial"/>
        <family val="2"/>
      </rPr>
      <t>Evidence Test: Risk Assessment</t>
    </r>
    <r>
      <rPr>
        <sz val="10"/>
        <color theme="1"/>
        <rFont val="Arial"/>
        <family val="2"/>
      </rPr>
      <t xml:space="preserve">
- includes consideration of physical and environmental hazards
</t>
    </r>
    <r>
      <rPr>
        <b/>
        <sz val="10"/>
        <color theme="1"/>
        <rFont val="Arial"/>
        <family val="2"/>
      </rPr>
      <t>Additional Information: Examples</t>
    </r>
    <r>
      <rPr>
        <sz val="10"/>
        <color theme="1"/>
        <rFont val="Arial"/>
        <family val="2"/>
      </rPr>
      <t xml:space="preserve">
- flooding
- fire
- tornados
- earthquakes
- hurricanes
- acts of terrorism
- vandalism
- electromagnetic pulse
- electrical interference</t>
    </r>
  </si>
  <si>
    <t>0756.0</t>
  </si>
  <si>
    <t>1881.08g2Organizational.8</t>
  </si>
  <si>
    <t>0757.0</t>
  </si>
  <si>
    <t>1882.08g2Organizational.1</t>
  </si>
  <si>
    <t>0758.0</t>
  </si>
  <si>
    <t>1883.08g2Organizational.2</t>
  </si>
  <si>
    <t>0760.0</t>
  </si>
  <si>
    <t>1884.08gFTIOrganizational.12</t>
  </si>
  <si>
    <t>0761.0</t>
  </si>
  <si>
    <t>1885.08gPCIOrganizational.1</t>
  </si>
  <si>
    <t>0762.0</t>
  </si>
  <si>
    <t>1886.08h2Organizational.7</t>
  </si>
  <si>
    <t>0763.0</t>
  </si>
  <si>
    <t>1887.08hNIST80053Organizational.1</t>
  </si>
  <si>
    <t>0764.0</t>
  </si>
  <si>
    <t>1888.08h1Organizational.456</t>
  </si>
  <si>
    <t>An uninterruptable power supply (UPS) to support orderly close down (1) is required for equipment supporting critical business operations. Power contingency plans (2) cover the action to be taken on failure of the UPS. The organization ensures (3) UPS equipment and (4) generators are regularly checked to ensure they have adequate capacity and are tested in accordance with the manufacturer’s recommendations.</t>
  </si>
  <si>
    <t>Examine evidence that all evaluative elements within the requirement statement have been implemented as defined in the HITRUST scoring rubric, using a sample based test where possible for each evaluative element._x000D_
_x000D_
_x000D_
Example test(s):_x000D_
For example, confirm that equipment is protected from power failures and other disruptions caused by failures in supporting utilities. _x000D_
Examine documented continuity plans and procedures to verify processes are defined to include the procedures for orderly close down for equipment supporting critical business operations. _x000D_
Further confirm that procedures have been defined for action to be taken on failure of the UPS. _x000D_
Select a sample of equipment supporting critical business operations and confirm that it is supported by a UPS system or generator. _x000D_
Further examine evidence to confirm that the UPS equipment and generators are regularly tested.</t>
  </si>
  <si>
    <r>
      <rPr>
        <b/>
        <sz val="10"/>
        <color theme="1"/>
        <rFont val="Arial"/>
        <family val="2"/>
      </rPr>
      <t>Documentation: Business Continuity and Disaster Recovery Plan</t>
    </r>
    <r>
      <rPr>
        <sz val="10"/>
        <color theme="1"/>
        <rFont val="Arial"/>
        <family val="2"/>
      </rPr>
      <t xml:space="preserve">
- define process for shutting down equipment supporting critical business operations during a disaster (order of shutdown)
- defines actions to be take in the event of a UPS failure
</t>
    </r>
    <r>
      <rPr>
        <b/>
        <sz val="10"/>
        <color theme="1"/>
        <rFont val="Arial"/>
        <family val="2"/>
      </rPr>
      <t>Evidence Test: Power Failure Equipment</t>
    </r>
    <r>
      <rPr>
        <sz val="10"/>
        <color theme="1"/>
        <rFont val="Arial"/>
        <family val="2"/>
      </rPr>
      <t xml:space="preserve">
- configured to protected critical business operations from disruptions/failures
- UPS and/or generator regularly tested by approved personnel
</t>
    </r>
    <r>
      <rPr>
        <b/>
        <sz val="10"/>
        <color theme="1"/>
        <rFont val="Arial"/>
        <family val="2"/>
      </rPr>
      <t>Sample Test:</t>
    </r>
    <r>
      <rPr>
        <sz val="10"/>
        <color theme="1"/>
        <rFont val="Arial"/>
        <family val="2"/>
      </rPr>
      <t xml:space="preserve">
- Test 165: Information System (system component classified critical)</t>
    </r>
  </si>
  <si>
    <t>0766.0</t>
  </si>
  <si>
    <t>1890.08h2Organizational.1</t>
  </si>
  <si>
    <t>0767.0</t>
  </si>
  <si>
    <t>1891.08h2Organizational.2</t>
  </si>
  <si>
    <t>0147.0</t>
  </si>
  <si>
    <t>1892.01lHICPOrganizational.1</t>
  </si>
  <si>
    <t>0768.0</t>
  </si>
  <si>
    <t>1892.08h2Organizational.3</t>
  </si>
  <si>
    <t>0769.0</t>
  </si>
  <si>
    <t>1893.08h2Organizational.456</t>
  </si>
  <si>
    <t>0770.0</t>
  </si>
  <si>
    <t>1894.08h2Organizational.7</t>
  </si>
  <si>
    <t>0771.0</t>
  </si>
  <si>
    <t>1895.08h2Organizational.8</t>
  </si>
  <si>
    <t>0772.0</t>
  </si>
  <si>
    <t>1896.08h3Organizational.1</t>
  </si>
  <si>
    <t>0773.0</t>
  </si>
  <si>
    <t>1897.08hCMSOrganizational.1</t>
  </si>
  <si>
    <t>0774.0</t>
  </si>
  <si>
    <t>1898.08hPRVOrganizational.123</t>
  </si>
  <si>
    <t>0775.0</t>
  </si>
  <si>
    <t>1899.08i1Organizational.1</t>
  </si>
  <si>
    <t>The organization protects (1) power equipment and (2) power cabling for the information system from damage and destruction.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</si>
  <si>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tour the organization\'s facilities and identify where power equipment and power cabling are located. Through observation, confirm that the organization has implemented controls to protect the equipment and cabling from damage and destruction. Such mechanisms include cabling segregation, locating cables underground, controlled access, and electromagnetic shielding.</t>
  </si>
  <si>
    <r>
      <rPr>
        <b/>
        <sz val="10"/>
        <color theme="1"/>
        <rFont val="Arial"/>
        <family val="2"/>
      </rPr>
      <t>Evidence Test: Power Equipment &amp; Cabling</t>
    </r>
    <r>
      <rPr>
        <sz val="10"/>
        <color theme="1"/>
        <rFont val="Arial"/>
        <family val="2"/>
      </rPr>
      <t xml:space="preserve">
- protected against damage and/or destruction
</t>
    </r>
    <r>
      <rPr>
        <b/>
        <sz val="10"/>
        <color theme="1"/>
        <rFont val="Arial"/>
        <family val="2"/>
      </rPr>
      <t>Additional Information: Examples</t>
    </r>
    <r>
      <rPr>
        <sz val="10"/>
        <color theme="1"/>
        <rFont val="Arial"/>
        <family val="2"/>
      </rPr>
      <t xml:space="preserve">
- cabling segregation
- underground cable location
- controlled access
- electromagnetic shielding</t>
    </r>
  </si>
  <si>
    <t>19 Data Protection &amp; Privacy</t>
  </si>
  <si>
    <t>2535.0</t>
  </si>
  <si>
    <t>19.03aCMSOrganizational.1</t>
  </si>
  <si>
    <t>2957.1</t>
  </si>
  <si>
    <t>19.06aAISecOrganizational.1</t>
  </si>
  <si>
    <t>The organization |performs an assessment to identify and evaluate its compliance with applicable legal and regulatory requirements addressing the development and deployment of AI systems, including potential liability for harmful, infringing, or damaging outputs or behaviors.|| This assessment is performed |prior to deployment of the AI system, and |regularly (at least annually) thereafter.||</t>
  </si>
  <si>
    <t>Examine evidence that all evaluative elements within the requirement statement have been implemented as defined in the HITRUST scoring rubric, using a sample based test where possible for each evaluative element.
Example test(s):
For example, review the organizations assessment documentation to evaluate its compliance with applicable legal and regulatory requirements addressing the development and deployment of AI systems, including potential liability for harmful, infringing, or damaging outputs or behaviors. Further, confirm that an assessment is performed prior to deployment of the AI system (if within the past year), and regularly (at least annually) thereafter.</t>
  </si>
  <si>
    <r>
      <rPr>
        <b/>
        <sz val="10"/>
        <color theme="1"/>
        <rFont val="Arial"/>
        <family val="2"/>
      </rPr>
      <t>Evidence Test: Artificial Intelligence (evaluation)</t>
    </r>
    <r>
      <rPr>
        <sz val="10"/>
        <color theme="1"/>
        <rFont val="Arial"/>
        <family val="2"/>
      </rPr>
      <t xml:space="preserve">
- includes compliance with applicable legal and regulatory requirements
- performed prior to deployment of AI system
- performed/reviewed every 365 days
</t>
    </r>
    <r>
      <rPr>
        <b/>
        <sz val="10"/>
        <color theme="1"/>
        <rFont val="Arial"/>
        <family val="2"/>
      </rPr>
      <t>Additional Information:</t>
    </r>
    <r>
      <rPr>
        <sz val="10"/>
        <color theme="1"/>
        <rFont val="Arial"/>
        <family val="2"/>
      </rPr>
      <t xml:space="preserve">
- Legal and regulatory requirements include potential liability for harmful, infringing, or damaging outputs or behaviors.</t>
    </r>
  </si>
  <si>
    <t>2994.0</t>
  </si>
  <si>
    <t>19.06bOWASPOrganizational.1</t>
  </si>
  <si>
    <t>06.b Intellectual Property Rights</t>
  </si>
  <si>
    <t>3046.0</t>
  </si>
  <si>
    <t>19.06cAISecOrganizational.1</t>
  </si>
  <si>
    <t>The organization performs an assessment to identify and evaluate its compliance with constraints on the data used for AI efforts (i.e., data used for training, validating, tuning, and augmenting the prompts of AI systems via RAG), including those related to |applicable laws, |applicable regulatory requirements, |applicable contractual obligations, |the organization’s self-imposed data governance requirements, and |copyrights or commercial interests.|| The organization |acts based on the results of this assessment, if deemed necessary.|| This assessment is performed |prior to deployment of new or changed models, and |regularly (at least annually) thereafter.</t>
  </si>
  <si>
    <t>Examine evidence that all evaluative elements within the requirement statement have been implemented as defined in the HITRUST scoring rubric, using a sample based test where possible for each evaluative element.
Example test(s):
For example, review the organizations assessment documentation to evaluate its compliance with constraints on the data used for AI efforts (i.e., data used for training, validating, tuning, and augmenting the prompts of AI systems via RAG), including those related to applicable laws, applicable regulatory or contractual obligations, the organization’s self-imposed data governance requirements, and copyrights or commercial interests. Additionally, the organization acts based on the results of this assessment, if deemed necessary. 
Further, confirm that the assessment is performed prior to deployment of new or changed models, and regularly (at least annually) thereafter.</t>
  </si>
  <si>
    <r>
      <rPr>
        <b/>
        <sz val="10"/>
        <color theme="1"/>
        <rFont val="Arial"/>
        <family val="2"/>
      </rPr>
      <t>Evidence Test: Artificial Intelligence (evaluation)</t>
    </r>
    <r>
      <rPr>
        <sz val="10"/>
        <color theme="1"/>
        <rFont val="Arial"/>
        <family val="2"/>
      </rPr>
      <t xml:space="preserve">
- includes compliance with applicable: laws
- includes compliance with applicable: regulatory requirements
- includes compliance with applicable: contractual obligations
- includes compliance with applicable: self-imposed data governance requirements
- includes compliance with applicable: copyrights or commercial interests
- performed prior to deployment of AI system
- performed/reviewed every 365 days</t>
    </r>
  </si>
  <si>
    <t>2479.0</t>
  </si>
  <si>
    <t>19.06cFedRAMPOrganizational.1</t>
  </si>
  <si>
    <t>2563.0</t>
  </si>
  <si>
    <t>19.06cFTIOrganizational.3</t>
  </si>
  <si>
    <t>2587.0</t>
  </si>
  <si>
    <t>19.06cFTIOrganizational.4</t>
  </si>
  <si>
    <t>0555.0</t>
  </si>
  <si>
    <t>19.06cHIPAAOrganizational.8</t>
  </si>
  <si>
    <t>2876.0</t>
  </si>
  <si>
    <t>19.06dATLASOrganizational.2</t>
  </si>
  <si>
    <t>2857.0</t>
  </si>
  <si>
    <t>19.06dCISOrganizational.2</t>
  </si>
  <si>
    <t>2307.0</t>
  </si>
  <si>
    <t>19.06dNIST80053Organizational.3</t>
  </si>
  <si>
    <t>2305.0</t>
  </si>
  <si>
    <t>19.06dNIST80053Organizational.4</t>
  </si>
  <si>
    <t>2684.0</t>
  </si>
  <si>
    <t>19.06dTXRAMPOrganizational.1</t>
  </si>
  <si>
    <t>2685.0</t>
  </si>
  <si>
    <t>19.06dTXRAMPOrganizational.2</t>
  </si>
  <si>
    <t>2696.0</t>
  </si>
  <si>
    <t>19.06dVAD6500Organizational.1</t>
  </si>
  <si>
    <t>2486.0</t>
  </si>
  <si>
    <t>19.06fFedRAMPOrganizational.1</t>
  </si>
  <si>
    <t>06.f Regulation of Cryptographic Controls</t>
  </si>
  <si>
    <t>2562.0</t>
  </si>
  <si>
    <t>19.06fFTIOrganizational.1</t>
  </si>
  <si>
    <t>2634.0</t>
  </si>
  <si>
    <t>19.06fFTIOrganizational.2</t>
  </si>
  <si>
    <t>2474.0</t>
  </si>
  <si>
    <t>19.07eFedRAMPOrganizational.1</t>
  </si>
  <si>
    <t>2478.0</t>
  </si>
  <si>
    <t>19.09mFedRAMPOrganizational.6</t>
  </si>
  <si>
    <t>19.09qPCIOrganizational.4</t>
  </si>
  <si>
    <t>19.09qPCIOrganizational.5</t>
  </si>
  <si>
    <t>19.09qPCIOrganizational.6</t>
  </si>
  <si>
    <t>2983.0</t>
  </si>
  <si>
    <t>19.09qTMRPAOrganizational.1</t>
  </si>
  <si>
    <t>2866.0</t>
  </si>
  <si>
    <t>19.09zAISecOrganizational.1</t>
  </si>
  <si>
    <t>09.z Publicly Available Information</t>
  </si>
  <si>
    <t>The organization limits the release of technical AI project details, including specific information on the |technical architecture of the overall AI system; |datasets used for training, testing, validating, and tuning of confidential and/or closed-source AI models; |datasets used for prompt augmentation via RAG (if performed); |algorithm(s) used to create confidential and/or closed-source AI models; |architecture of confidential and/or closed-source AI models; |language model tools used such as agents and plugins (if used); |safety and security checkpoints built into the AI system; and |information on teams developing and supporting the AI system.</t>
  </si>
  <si>
    <t>Examine evidence that all evaluative elements within the requirement statement have been implemented as defined in the HITRUST scoring rubric, using a sample based test where possible for each evaluative element.
Example test(s):
For example, examine released documentation on the AI system to ensure the organization restricts the release of the technical AI project details outlined in the requirement statement.</t>
  </si>
  <si>
    <r>
      <rPr>
        <b/>
        <sz val="10"/>
        <color theme="1"/>
        <rFont val="Arial"/>
        <family val="2"/>
      </rPr>
      <t>Evidence Test: Artificial Intelligence (release documentation)</t>
    </r>
    <r>
      <rPr>
        <sz val="10"/>
        <color theme="1"/>
        <rFont val="Arial"/>
        <family val="2"/>
      </rPr>
      <t xml:space="preserve">
- limits the release of technical AI project details including: technical architecture of the overall AI system
- limits the release of technical AI project details including: datasets used for training, testing, validating, and tuning of confidential and/or closed-source AI models
- limits the release of technical AI project details including: datasets used for prompt augmentation via RAG
- limits the release of technical AI project details including: algorithm(s) used to create confidential and/or closed-source AI models
- limits the release of technical AI project details including: architecture of confidential and/or closed-source AI models
- limits the release of technical AI project details including: language model tools used such as agents and plugins
- limits the release of technical AI project details including: safety and security checkpoints built into the AI system
- limits the release of technical AI project details including: information on teams developing and supporting the AI system</t>
    </r>
  </si>
  <si>
    <t>2947.0</t>
  </si>
  <si>
    <t>19.09zATLASOrganizational.3</t>
  </si>
  <si>
    <t>2373.0</t>
  </si>
  <si>
    <t>19.09zFedRAMPOrganizational.1</t>
  </si>
  <si>
    <t>2485.0</t>
  </si>
  <si>
    <t>19.10cFedRAMPSystem.2</t>
  </si>
  <si>
    <t>1272.0</t>
  </si>
  <si>
    <t>19.10cISO27001System.3</t>
  </si>
  <si>
    <t>2315.0</t>
  </si>
  <si>
    <t>19.10cNIST80053System.2</t>
  </si>
  <si>
    <t>1288.0</t>
  </si>
  <si>
    <t>19.10eNIST80053System.3</t>
  </si>
  <si>
    <t>2999.0</t>
  </si>
  <si>
    <t>19.10eOWASPSystem.2</t>
  </si>
  <si>
    <t>2846.0</t>
  </si>
  <si>
    <t>19.10iPCISystem.1</t>
  </si>
  <si>
    <t>10.i Protection of System Test Data</t>
  </si>
  <si>
    <t>3008.0</t>
  </si>
  <si>
    <t>19.13aCMSOrganizational.1</t>
  </si>
  <si>
    <t>13.a Privacy Notice</t>
  </si>
  <si>
    <t>2699.0</t>
  </si>
  <si>
    <t>19.13aPHIPAOrganizational.1</t>
  </si>
  <si>
    <t>2733.0</t>
  </si>
  <si>
    <t>19.13aPHIPAOrganizational.3</t>
  </si>
  <si>
    <t>2986.0</t>
  </si>
  <si>
    <t>19.13aTMRPAOrganizational.1</t>
  </si>
  <si>
    <t>0512.0</t>
  </si>
  <si>
    <t>19.13b2Organizational.2</t>
  </si>
  <si>
    <t>13.b Openness and Transparency</t>
  </si>
  <si>
    <t>2742.0</t>
  </si>
  <si>
    <t>19.13bPHIPAOrganizational.2</t>
  </si>
  <si>
    <t>2516.0</t>
  </si>
  <si>
    <t>19.13cCMSOrganizational.1</t>
  </si>
  <si>
    <t>13.c Accounting of Disclosures</t>
  </si>
  <si>
    <t>2679.0</t>
  </si>
  <si>
    <t>19.13cFTIOrganizational.1</t>
  </si>
  <si>
    <t>0568.0</t>
  </si>
  <si>
    <t>19.13d2Organizational.3</t>
  </si>
  <si>
    <t>13.d Consent</t>
  </si>
  <si>
    <t>2719.0</t>
  </si>
  <si>
    <t>19.13dNYDOHOrganizational.2</t>
  </si>
  <si>
    <t>2736.0</t>
  </si>
  <si>
    <t>19.13dPHIPAOrganizational.1</t>
  </si>
  <si>
    <t>2744.0</t>
  </si>
  <si>
    <t>19.13dPHIPAOrganizational.2</t>
  </si>
  <si>
    <t>2763.0</t>
  </si>
  <si>
    <t>19.13dPHIPAOrganizational.4</t>
  </si>
  <si>
    <t>2766.0</t>
  </si>
  <si>
    <t>19.13dPHIPAOrganizational.5</t>
  </si>
  <si>
    <t>2981.0</t>
  </si>
  <si>
    <t>19.13dTMRPAOrganizational.1</t>
  </si>
  <si>
    <t>2982.0</t>
  </si>
  <si>
    <t>19.13dTMRPAOrganizational.2</t>
  </si>
  <si>
    <t>2720.0</t>
  </si>
  <si>
    <t>19.13eNYDOHOrganizational.2</t>
  </si>
  <si>
    <t>13.e Choice</t>
  </si>
  <si>
    <t>2706.0</t>
  </si>
  <si>
    <t>19.13ePHIPAOrganizational.1</t>
  </si>
  <si>
    <t>2838.0</t>
  </si>
  <si>
    <t>19.13fGDPROrganizational.9</t>
  </si>
  <si>
    <t>13.f Principle Access</t>
  </si>
  <si>
    <t>2701.0</t>
  </si>
  <si>
    <t>19.13fPHIPAOrganizational.1</t>
  </si>
  <si>
    <t>2702.0</t>
  </si>
  <si>
    <t>19.13fPHIPAOrganizational.2</t>
  </si>
  <si>
    <t>2704.0</t>
  </si>
  <si>
    <t>19.13fPHIPAOrganizational.3</t>
  </si>
  <si>
    <t>2737.0</t>
  </si>
  <si>
    <t>19.13fPHIPAOrganizational.4</t>
  </si>
  <si>
    <t>2765.0</t>
  </si>
  <si>
    <t>19.13fPHIPAOrganizational.5</t>
  </si>
  <si>
    <t>2773.0</t>
  </si>
  <si>
    <t>19.13fPHIPAOrganizational.6</t>
  </si>
  <si>
    <t>2980.0</t>
  </si>
  <si>
    <t>19.13fTMRPAOrganizational.1</t>
  </si>
  <si>
    <t>2984.0</t>
  </si>
  <si>
    <t>19.13fTMRPAOrganizational.2</t>
  </si>
  <si>
    <t>2985.0</t>
  </si>
  <si>
    <t>19.13fTMRPAOrganizational.3</t>
  </si>
  <si>
    <t>2780.0</t>
  </si>
  <si>
    <t>19.13gNIST80053Organizational.1</t>
  </si>
  <si>
    <t>13.g Purpose Legitimacy</t>
  </si>
  <si>
    <t>2959.0</t>
  </si>
  <si>
    <t>19.13gOWASPOrganizational.1</t>
  </si>
  <si>
    <t>2537.0</t>
  </si>
  <si>
    <t>19.13hCMSOrganizational.1</t>
  </si>
  <si>
    <t>13.h Purpose Specification</t>
  </si>
  <si>
    <t>2514.0</t>
  </si>
  <si>
    <t>19.13hCMSOrganizational.3</t>
  </si>
  <si>
    <t>19.13hNIST80053Organizational.5</t>
  </si>
  <si>
    <t>2288.0</t>
  </si>
  <si>
    <t>19.13iNIST80053Organizational.3</t>
  </si>
  <si>
    <t>13.i Collection Limitation</t>
  </si>
  <si>
    <t>2707.0</t>
  </si>
  <si>
    <t>19.13iPHIPAOrganizational.1</t>
  </si>
  <si>
    <t>2764.0</t>
  </si>
  <si>
    <t>19.13iPHIPAOrganizational.2</t>
  </si>
  <si>
    <t>2958.0</t>
  </si>
  <si>
    <t>19.13jAISecOrganizational.1</t>
  </si>
  <si>
    <t>The organization reviews the data used to |train AI models, |fine-tune AI models, and |enhance AI prompts via RAG|| to identify any data fields or records that can be omitted or anonymized (to prevent them from potentially leaking) and takes action on findings.</t>
  </si>
  <si>
    <t>Examine evidence that all evaluative elements within the requirement statement have been implemented as defined in the HITRUST scoring rubric, using a sample based test where possible for each evaluative element.
Example test(s):
For example, evaluate the AI model to ensure the organization reviews the data used to train AI models, fine-tune AI models, and enhance AI prompts via RAG to identify any data fields or records that can be omitted or anonymized (to prevent them from potentially leaking) and takes action on findings.</t>
  </si>
  <si>
    <r>
      <rPr>
        <b/>
        <sz val="10"/>
        <color theme="1"/>
        <rFont val="Arial"/>
        <family val="2"/>
      </rPr>
      <t>Evidence Test: Artificial Intelligence</t>
    </r>
    <r>
      <rPr>
        <sz val="10"/>
        <color theme="1"/>
        <rFont val="Arial"/>
        <family val="2"/>
      </rPr>
      <t xml:space="preserve">
- reviews data used to train AI models to identify any data fields or records that can be omitted or anonymized
- reviews data used to fine-tune AI models to identify any data fields or records that can be omitted or anonymized
- reviews data used to enhance AI prompts via RAG to identify any data fields or records that can be omitted or anonymized</t>
    </r>
  </si>
  <si>
    <t>2301.0</t>
  </si>
  <si>
    <t>19.13jNIST80053Organizational.3</t>
  </si>
  <si>
    <t>2785.0</t>
  </si>
  <si>
    <t>19.13jNIST80053Organizational.4</t>
  </si>
  <si>
    <t>2968.0</t>
  </si>
  <si>
    <t>19.13jOWASPOrganizational.4</t>
  </si>
  <si>
    <t>2966.0</t>
  </si>
  <si>
    <t>19.13jOWASPOrganizational.5</t>
  </si>
  <si>
    <t>2735.0</t>
  </si>
  <si>
    <t>19.13jPHIPAOrganizational.2</t>
  </si>
  <si>
    <t>19.13kCMSOrganizational.1</t>
  </si>
  <si>
    <t>1609.0</t>
  </si>
  <si>
    <t>19.13kHIPAAOrganizational.37</t>
  </si>
  <si>
    <t>2779.0</t>
  </si>
  <si>
    <t>19.13kNIST80053Organizational.1</t>
  </si>
  <si>
    <t>2700.0</t>
  </si>
  <si>
    <t>19.13kPHIPAOrganizational.1</t>
  </si>
  <si>
    <t>2754.0</t>
  </si>
  <si>
    <t>19.13kPHIPAOrganizational.10</t>
  </si>
  <si>
    <t>2755.0</t>
  </si>
  <si>
    <t>19.13kPHIPAOrganizational.11</t>
  </si>
  <si>
    <t>2756.0</t>
  </si>
  <si>
    <t>19.13kPHIPAOrganizational.12</t>
  </si>
  <si>
    <t>2757.0</t>
  </si>
  <si>
    <t>19.13kPHIPAOrganizational.13</t>
  </si>
  <si>
    <t>2758.0</t>
  </si>
  <si>
    <t>19.13kPHIPAOrganizational.14</t>
  </si>
  <si>
    <t>2759.0</t>
  </si>
  <si>
    <t>19.13kPHIPAOrganizational.15</t>
  </si>
  <si>
    <t>2761.0</t>
  </si>
  <si>
    <t>19.13kPHIPAOrganizational.16</t>
  </si>
  <si>
    <t>2762.0</t>
  </si>
  <si>
    <t>19.13kPHIPAOrganizational.17</t>
  </si>
  <si>
    <t>2767.0</t>
  </si>
  <si>
    <t>19.13kPHIPAOrganizational.18</t>
  </si>
  <si>
    <t>2768.0</t>
  </si>
  <si>
    <t>19.13kPHIPAOrganizational.19</t>
  </si>
  <si>
    <t>2708.0</t>
  </si>
  <si>
    <t>19.13kPHIPAOrganizational.2</t>
  </si>
  <si>
    <t>2770.0</t>
  </si>
  <si>
    <t>19.13kPHIPAOrganizational.20</t>
  </si>
  <si>
    <t>2771.0</t>
  </si>
  <si>
    <t>19.13kPHIPAOrganizational.21</t>
  </si>
  <si>
    <t>2772.0</t>
  </si>
  <si>
    <t>19.13kPHIPAOrganizational.22</t>
  </si>
  <si>
    <t>2751.0</t>
  </si>
  <si>
    <t>19.13kPHIPAOrganizational.24</t>
  </si>
  <si>
    <t>2777.0</t>
  </si>
  <si>
    <t>19.13kPHIPAOrganizational.25</t>
  </si>
  <si>
    <t>2745.0</t>
  </si>
  <si>
    <t>19.13kPHIPAOrganizational.4</t>
  </si>
  <si>
    <t>2748.0</t>
  </si>
  <si>
    <t>19.13kPHIPAOrganizational.5</t>
  </si>
  <si>
    <t>2749.0</t>
  </si>
  <si>
    <t>19.13kPHIPAOrganizational.6</t>
  </si>
  <si>
    <t>2750.0</t>
  </si>
  <si>
    <t>19.13kPHIPAOrganizational.7</t>
  </si>
  <si>
    <t>2752.0</t>
  </si>
  <si>
    <t>19.13kPHIPAOrganizational.8</t>
  </si>
  <si>
    <t>2753.0</t>
  </si>
  <si>
    <t>19.13kPHIPAOrganizational.9</t>
  </si>
  <si>
    <t>2674.0</t>
  </si>
  <si>
    <t>19.13lCMSOrganizational.1</t>
  </si>
  <si>
    <t>3002.0</t>
  </si>
  <si>
    <t>19.13lGLBAOrganizational.1</t>
  </si>
  <si>
    <t>2960.0</t>
  </si>
  <si>
    <t>19.13lOWASPOrganizational.2</t>
  </si>
  <si>
    <t>19.13mCMSOrganizational.2</t>
  </si>
  <si>
    <t>13.m Accuracy and Quality</t>
  </si>
  <si>
    <t>2778.0</t>
  </si>
  <si>
    <t>19.13mNIST80053Organizational.1</t>
  </si>
  <si>
    <t>2285.0</t>
  </si>
  <si>
    <t>19.13mNIST80053Organizational.3</t>
  </si>
  <si>
    <t>2921.0</t>
  </si>
  <si>
    <t>19.13mPDPAOrganizational.2</t>
  </si>
  <si>
    <t>2691.0</t>
  </si>
  <si>
    <t>19.13mPHIPAOrganizational.1</t>
  </si>
  <si>
    <t>2919.0</t>
  </si>
  <si>
    <t>19.13nPDPAOrganizational.1</t>
  </si>
  <si>
    <t>13.n Participation and Redress</t>
  </si>
  <si>
    <t>2672.0</t>
  </si>
  <si>
    <t>19.13oCMSOrganizational.1</t>
  </si>
  <si>
    <t>2718.0</t>
  </si>
  <si>
    <t>19.13oNYDOHOrganizational.2</t>
  </si>
  <si>
    <t>2703.0</t>
  </si>
  <si>
    <t>19.13oPHIPAOrganizational.1</t>
  </si>
  <si>
    <t>2837.0</t>
  </si>
  <si>
    <t>19.13pGDPROrganizational.5</t>
  </si>
  <si>
    <t>13.p Governance</t>
  </si>
  <si>
    <t>2746.0</t>
  </si>
  <si>
    <t>19.13pPHIPAOrganizational.1</t>
  </si>
  <si>
    <t>2760.0</t>
  </si>
  <si>
    <t>19.13pPHIPAOrganizational.2</t>
  </si>
  <si>
    <t>2769.0</t>
  </si>
  <si>
    <t>19.13pPHIPAOrganizational.3</t>
  </si>
  <si>
    <t>2666.0</t>
  </si>
  <si>
    <t>19.13qCMSOrganizational.1</t>
  </si>
  <si>
    <t>13.q Privacy and Impact Assessment</t>
  </si>
  <si>
    <t>3005.0</t>
  </si>
  <si>
    <t>19.13qCMSOrganizational.2</t>
  </si>
  <si>
    <t>2669.0</t>
  </si>
  <si>
    <t>19.13tCMSOrganizational.1</t>
  </si>
  <si>
    <t>2670.0</t>
  </si>
  <si>
    <t>19.13tCMSOrganizational.2</t>
  </si>
  <si>
    <t>2738.0</t>
  </si>
  <si>
    <t>19.13uPHIPAOrganizational.1</t>
  </si>
  <si>
    <t>13.u Privacy Protection Reporting</t>
  </si>
  <si>
    <t>2739.0</t>
  </si>
  <si>
    <t>19.13uPHIPAOrganizational.2</t>
  </si>
  <si>
    <t>2740.0</t>
  </si>
  <si>
    <t>19.13uPHIPAOrganizational.3</t>
  </si>
  <si>
    <t>2741.0</t>
  </si>
  <si>
    <t>19.13uPHIPAOrganizational.4</t>
  </si>
  <si>
    <t>2743.0</t>
  </si>
  <si>
    <t>19.13uPHIPAOrganizational.5</t>
  </si>
  <si>
    <t>2747.0</t>
  </si>
  <si>
    <t>19.13uPHIPAOrganizational.6</t>
  </si>
  <si>
    <t>2774.0</t>
  </si>
  <si>
    <t>19.13uPHIPAOrganizational.7</t>
  </si>
  <si>
    <t>0567.0</t>
  </si>
  <si>
    <t>1901.06d2Organizational.5</t>
  </si>
  <si>
    <t>1902.06d2Organizational.4</t>
  </si>
  <si>
    <t>0569.0</t>
  </si>
  <si>
    <t>1903.06d1Organizational.3456711</t>
  </si>
  <si>
    <t>0573.0</t>
  </si>
  <si>
    <t>1904.06d2Organizational.1</t>
  </si>
  <si>
    <t>0556.0</t>
  </si>
  <si>
    <t>1905.06cHIPAAOrganizational.6</t>
  </si>
  <si>
    <t>0552.0</t>
  </si>
  <si>
    <t>1906.06cHIPAAOrganizational.4</t>
  </si>
  <si>
    <t>0553.0</t>
  </si>
  <si>
    <t>1907.06cHIPAAOrganizational.3</t>
  </si>
  <si>
    <t>0554.0</t>
  </si>
  <si>
    <t>1908.06cHIPAAOrganizational.2</t>
  </si>
  <si>
    <t>1265.0</t>
  </si>
  <si>
    <t>1908.10c1System.5</t>
  </si>
  <si>
    <t>1909.06c2Organizational.6</t>
  </si>
  <si>
    <t>1941.0</t>
  </si>
  <si>
    <t>191001.13fCCPAOrganizational.1</t>
  </si>
  <si>
    <t>1942.0</t>
  </si>
  <si>
    <t>191002.13fCCPAOrganizational.2</t>
  </si>
  <si>
    <t>1931.0</t>
  </si>
  <si>
    <t>191003.13bCCPAOrganizational.1</t>
  </si>
  <si>
    <t>1943.0</t>
  </si>
  <si>
    <t>191004.13fCCPAOrganizational.3</t>
  </si>
  <si>
    <t>1932.0</t>
  </si>
  <si>
    <t>191005.13bCCPAOrganizational.2</t>
  </si>
  <si>
    <t>1938.0</t>
  </si>
  <si>
    <t>191006.13dCCPAOrganizational.1</t>
  </si>
  <si>
    <t>1933.0</t>
  </si>
  <si>
    <t>191007.13bCCPAOrganizational.3</t>
  </si>
  <si>
    <t>1939.0</t>
  </si>
  <si>
    <t>191008.13dCCPAOrganizational.2</t>
  </si>
  <si>
    <t>1940.0</t>
  </si>
  <si>
    <t>191009.13eCCPAOrganizational.1</t>
  </si>
  <si>
    <t>1934.0</t>
  </si>
  <si>
    <t>191010.13bCCPAOrganizational.4</t>
  </si>
  <si>
    <t>1935.0</t>
  </si>
  <si>
    <t>191011.13bCCPAOrganizational.5</t>
  </si>
  <si>
    <t>1936.0</t>
  </si>
  <si>
    <t>191012.13bCCPAOrganizational.6</t>
  </si>
  <si>
    <t>1937.0</t>
  </si>
  <si>
    <t>191013.13bCCPAOrganizational.7</t>
  </si>
  <si>
    <t>1944.0</t>
  </si>
  <si>
    <t>191014.13tCCPAOrganizational.1</t>
  </si>
  <si>
    <t>0570.0</t>
  </si>
  <si>
    <t>1911.06d2Organizational.3</t>
  </si>
  <si>
    <t>0668.0</t>
  </si>
  <si>
    <t>1912.07eTexasOrganizational.2</t>
  </si>
  <si>
    <t>2100.0</t>
  </si>
  <si>
    <t>19127.05iNYDOHOrganizational.1</t>
  </si>
  <si>
    <t>2102.0</t>
  </si>
  <si>
    <t>19129.06cNYDOHOrganizational.4</t>
  </si>
  <si>
    <t>0681.0</t>
  </si>
  <si>
    <t>1913.07eTexasOrganizational.1</t>
  </si>
  <si>
    <t>0478.0</t>
  </si>
  <si>
    <t>19130.05eNIST80053Organizational.1</t>
  </si>
  <si>
    <t>05.e Confidentiality Agreements</t>
  </si>
  <si>
    <t>2103.0</t>
  </si>
  <si>
    <t>19130.06cNYDOHOrganizational.4</t>
  </si>
  <si>
    <t>0479.0</t>
  </si>
  <si>
    <t>19131.05e1Organizational.45</t>
  </si>
  <si>
    <t>Requirements for confidentiality and non-disclosure agreements are reviewed (1) at least annually and (2) when changes occur that influence these requirements. Confidentiality and non-disclosure agreements (3) comply with all applicable laws and regulations for the jurisdiction to which it applies.</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</si>
  <si>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annual review performed by the organization to ensure that requirements for confidentiality and non-disclosure agreements are reviewed at least annually and when changes occur that influence these requirements. _x000D_
Confirm that the review includes a review of applicable laws and regulations for the jurisdiction to which the agreements apply.</t>
  </si>
  <si>
    <r>
      <rPr>
        <b/>
        <sz val="10"/>
        <color theme="1"/>
        <rFont val="Arial"/>
        <family val="2"/>
      </rPr>
      <t>Evidence Test: Confidentiality &amp; Non-Disclosure Agreement</t>
    </r>
    <r>
      <rPr>
        <sz val="10"/>
        <color theme="1"/>
        <rFont val="Arial"/>
        <family val="2"/>
      </rPr>
      <t xml:space="preserve">
- reviewed annually
- review includes applicable laws and regulations for agreement jurisdiction</t>
    </r>
  </si>
  <si>
    <t>2104.0</t>
  </si>
  <si>
    <t>19131.06cNYDOHOrganizational.3</t>
  </si>
  <si>
    <t>0480.0</t>
  </si>
  <si>
    <t>19132.05e2Organizational.1</t>
  </si>
  <si>
    <t>2105.0</t>
  </si>
  <si>
    <t>19132.06dNYDOHOrganizational.1</t>
  </si>
  <si>
    <t>0481.0</t>
  </si>
  <si>
    <t>19133.05eHIEOrganizational.12</t>
  </si>
  <si>
    <t>2106.0</t>
  </si>
  <si>
    <t>19133.06dNYDOHOrganizational.9</t>
  </si>
  <si>
    <t>19134.05j2Organizational.5</t>
  </si>
  <si>
    <t>2107.0</t>
  </si>
  <si>
    <t>19134.06dNYDOHOrganizational.9</t>
  </si>
  <si>
    <t>0545.0</t>
  </si>
  <si>
    <t>19135.06b2Organizational.2</t>
  </si>
  <si>
    <t>2108.0</t>
  </si>
  <si>
    <t>19135.06dNYDOHOrganizational.9</t>
  </si>
  <si>
    <t>0546.0</t>
  </si>
  <si>
    <t>19136.06b2Organizational.1</t>
  </si>
  <si>
    <t>2109.0</t>
  </si>
  <si>
    <t>19136.06dNYDOHOrganizational.5</t>
  </si>
  <si>
    <t>0547.0</t>
  </si>
  <si>
    <t>19137.06b3Organizational.1</t>
  </si>
  <si>
    <t>2110.0</t>
  </si>
  <si>
    <t>19137.06dNYDOHOrganizational.6</t>
  </si>
  <si>
    <t>0548.0</t>
  </si>
  <si>
    <t>19138.06b3Organizational.2</t>
  </si>
  <si>
    <t>2111.0</t>
  </si>
  <si>
    <t>19138.06dNYDOHOrganizational.7</t>
  </si>
  <si>
    <t>0550.0</t>
  </si>
  <si>
    <t>19139.06bFTIOrganizational.1</t>
  </si>
  <si>
    <t>2112.0</t>
  </si>
  <si>
    <t>19139.06dNYDOHOrganizational.8</t>
  </si>
  <si>
    <t>0551.0</t>
  </si>
  <si>
    <t>19140.06c2Organizational.5</t>
  </si>
  <si>
    <t>2113.0</t>
  </si>
  <si>
    <t>19140.06eNYDOHOrganizational.1</t>
  </si>
  <si>
    <t>0557.0</t>
  </si>
  <si>
    <t>19141.06c2Organizational.4</t>
  </si>
  <si>
    <t>2114.0</t>
  </si>
  <si>
    <t>19141.06eNYDOHOrganizational.2</t>
  </si>
  <si>
    <t>0558.0</t>
  </si>
  <si>
    <t>19142.06c1Organizational.8</t>
  </si>
  <si>
    <t>2115.0</t>
  </si>
  <si>
    <t>19142.06fNYDOHOrganizational.1</t>
  </si>
  <si>
    <t>0559.0</t>
  </si>
  <si>
    <t>19143.06c2Organizational.3</t>
  </si>
  <si>
    <t>2116.0</t>
  </si>
  <si>
    <t>19143.06fNYDOHOrganizational.3</t>
  </si>
  <si>
    <t>0560.0</t>
  </si>
  <si>
    <t>19144.06c2Organizational.1</t>
  </si>
  <si>
    <t>0561.1</t>
  </si>
  <si>
    <t>19145.06c2Organizational.2</t>
  </si>
  <si>
    <t>0562.0</t>
  </si>
  <si>
    <t>19146.06cCMSOrganizational.1</t>
  </si>
  <si>
    <t>0565.0</t>
  </si>
  <si>
    <t>19148.06cHIXOrganizational.1</t>
  </si>
  <si>
    <t>0566.0</t>
  </si>
  <si>
    <t>19149.06cPCIOrganizational.1</t>
  </si>
  <si>
    <t>0577.0</t>
  </si>
  <si>
    <t>19153.06dFTIOrganizational.12</t>
  </si>
  <si>
    <t>0377.0</t>
  </si>
  <si>
    <t>19153.13k1Organizational.4</t>
  </si>
  <si>
    <t>0578.0</t>
  </si>
  <si>
    <t>19154.06dFTIOrganizational.3</t>
  </si>
  <si>
    <t>0582.0</t>
  </si>
  <si>
    <t>19155.06dPCIOrganizational.1</t>
  </si>
  <si>
    <t>0583.0</t>
  </si>
  <si>
    <t>19156.06dPCIOrganizational.23</t>
  </si>
  <si>
    <t>0589.0</t>
  </si>
  <si>
    <t>19157.06eCMSOrganizational.1</t>
  </si>
  <si>
    <t>0590.0</t>
  </si>
  <si>
    <t>19158.06eCMSOrganizational.2</t>
  </si>
  <si>
    <t>0595.0</t>
  </si>
  <si>
    <t>19161.06eFTIOrganizational.3</t>
  </si>
  <si>
    <t>0596.0</t>
  </si>
  <si>
    <t>19162.06f2Organizational.2</t>
  </si>
  <si>
    <t>0597.0</t>
  </si>
  <si>
    <t>19163.06f2Organizational.12</t>
  </si>
  <si>
    <t>0598.0</t>
  </si>
  <si>
    <t>19164.06fCMSOrganizational.1</t>
  </si>
  <si>
    <t>0667.0</t>
  </si>
  <si>
    <t>19165.07e1Organizational.13</t>
  </si>
  <si>
    <t>The organization (1) physically and/or electronically labels and handles sensitive information commensurate with the risk of the information or document. Labeling (2) reflects the classification according to the rules in the information classification policy.</t>
  </si>
  <si>
    <t>Examine evidence that all evaluative elements within the requirement statement have been implemented as defined in the HITRUST scoring rubric, using a sample based test where possible for each evaluative element._x000D_
_x000D_
_x000D_
Example test(s):_x000D_
For example, the term labeling refers to the application/use of human-readable security attributes. The term security labeling refers to the application/use of security attributes with regard to internal data structures within information systems. Information system media includes both digital and non-digital media. Select a sample of sensitive information and confirm that the organization physically and/or electronically labeled the sensitive information commensurate with the risk of the information or document. _x000D_
Confirm that appropriate safeguards (e.g., access controls) are implemented based on the classification according to rules in the organization\'s classification policy.</t>
  </si>
  <si>
    <r>
      <rPr>
        <b/>
        <sz val="10"/>
        <color theme="1"/>
        <rFont val="Arial"/>
        <family val="2"/>
      </rPr>
      <t>Sample Test:</t>
    </r>
    <r>
      <rPr>
        <sz val="10"/>
        <color theme="1"/>
        <rFont val="Arial"/>
        <family val="2"/>
      </rPr>
      <t xml:space="preserve">
- Test 175: Information System (system component that stores organizational record)
</t>
    </r>
    <r>
      <rPr>
        <b/>
        <sz val="10"/>
        <color theme="1"/>
        <rFont val="Arial"/>
        <family val="2"/>
      </rPr>
      <t>Additional Information: Examples</t>
    </r>
    <r>
      <rPr>
        <sz val="10"/>
        <color theme="1"/>
        <rFont val="Arial"/>
        <family val="2"/>
      </rPr>
      <t xml:space="preserve">
- safeguard: logical/physical access controls
- safeguard: encryption</t>
    </r>
  </si>
  <si>
    <t>2138.0</t>
  </si>
  <si>
    <t>19165.07eNYDOHOrganizational.1</t>
  </si>
  <si>
    <t>0669.0</t>
  </si>
  <si>
    <t>19166.07e2Organizational.7</t>
  </si>
  <si>
    <t>0671.0</t>
  </si>
  <si>
    <t>19167.07e2Organizational.1</t>
  </si>
  <si>
    <t>0672.0</t>
  </si>
  <si>
    <t>19168.07e2Organizational.2</t>
  </si>
  <si>
    <t>0673.0</t>
  </si>
  <si>
    <t>19169.07e2Organizational.3</t>
  </si>
  <si>
    <t>0674.0</t>
  </si>
  <si>
    <t>19170.07e2Organizational.4</t>
  </si>
  <si>
    <t>0675.0</t>
  </si>
  <si>
    <t>19171.07e2Organizational.5</t>
  </si>
  <si>
    <t>0676.0</t>
  </si>
  <si>
    <t>19172.07e3Organizational.12</t>
  </si>
  <si>
    <t>0677.0</t>
  </si>
  <si>
    <t>19173.07e3Organizational.3</t>
  </si>
  <si>
    <t>0678.0</t>
  </si>
  <si>
    <t>19174.07eFTIOrganizational.1</t>
  </si>
  <si>
    <t>0679.0</t>
  </si>
  <si>
    <t>19175.07eFTIOrganizational.2</t>
  </si>
  <si>
    <t>0680.0</t>
  </si>
  <si>
    <t>19176.07eFTIOrganizational.3</t>
  </si>
  <si>
    <t>1007.0</t>
  </si>
  <si>
    <t>19177.09oCMSOrganizational.4</t>
  </si>
  <si>
    <t>1102.0</t>
  </si>
  <si>
    <t>19179.09z2Organizational.4</t>
  </si>
  <si>
    <t>1103.0</t>
  </si>
  <si>
    <t>19180.09z1Organizational.2</t>
  </si>
  <si>
    <t>The organization (1) designates individuals authorized to post information onto a publicly accessible information system, and (2) trains these individuals to ensure that publicly accessible information does not contain nonpublic information.</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</si>
  <si>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the list of individuals with access to post information onto a publicly accessible information system. Confirm that the individuals on the list are designated and authorized by the organization. _x000D_
Select a sample of these users and examine evidence (e.g., training materials, training acknowledgement) to confirm that they have received training on how to ensure that publicly accessible information does not contain nonpublic information.</t>
  </si>
  <si>
    <r>
      <rPr>
        <b/>
        <sz val="10"/>
        <color theme="1"/>
        <rFont val="Arial"/>
        <family val="2"/>
      </rPr>
      <t>Evidence Test: Workforce Member (post information on publicly accessible system)</t>
    </r>
    <r>
      <rPr>
        <sz val="10"/>
        <color theme="1"/>
        <rFont val="Arial"/>
        <family val="2"/>
      </rPr>
      <t xml:space="preserve">
- list of members with ability maintained
</t>
    </r>
    <r>
      <rPr>
        <b/>
        <sz val="10"/>
        <color theme="1"/>
        <rFont val="Arial"/>
        <family val="2"/>
      </rPr>
      <t>Sample Test:</t>
    </r>
    <r>
      <rPr>
        <sz val="10"/>
        <color theme="1"/>
        <rFont val="Arial"/>
        <family val="2"/>
      </rPr>
      <t xml:space="preserve">
- Test 188: Workforce Member (ability to post information on publicly accessible system)
</t>
    </r>
    <r>
      <rPr>
        <b/>
        <sz val="10"/>
        <color theme="1"/>
        <rFont val="Arial"/>
        <family val="2"/>
      </rPr>
      <t>Additional Information: Examples</t>
    </r>
    <r>
      <rPr>
        <sz val="10"/>
        <color theme="1"/>
        <rFont val="Arial"/>
        <family val="2"/>
      </rPr>
      <t xml:space="preserve">
- training content/material
- training acknowledgement</t>
    </r>
  </si>
  <si>
    <t>1104.0</t>
  </si>
  <si>
    <t>19181.09z2Organizational.2</t>
  </si>
  <si>
    <t>1105.0</t>
  </si>
  <si>
    <t>19182.09z2Organizational.67</t>
  </si>
  <si>
    <t>1106.0</t>
  </si>
  <si>
    <t>19183.09z2Organizational.891011</t>
  </si>
  <si>
    <t>1107.0</t>
  </si>
  <si>
    <t>19184.09z3Organizational.12</t>
  </si>
  <si>
    <t>1108.0</t>
  </si>
  <si>
    <t>19185.09zCMSOrganizational.12</t>
  </si>
  <si>
    <t>1109.0</t>
  </si>
  <si>
    <t>19186.09zFTIOrganizational.1</t>
  </si>
  <si>
    <t>19189.10c2System.8</t>
  </si>
  <si>
    <t>1273.0</t>
  </si>
  <si>
    <t>19190.10c2System.7</t>
  </si>
  <si>
    <t>1274.0</t>
  </si>
  <si>
    <t>19191.10c2System.6</t>
  </si>
  <si>
    <t>1275.0</t>
  </si>
  <si>
    <t>19192.10c2System.125</t>
  </si>
  <si>
    <t>1276.0</t>
  </si>
  <si>
    <t>19193.10c2System.34</t>
  </si>
  <si>
    <t>1278.0</t>
  </si>
  <si>
    <t>19194.10c2System.7</t>
  </si>
  <si>
    <t>1280.0</t>
  </si>
  <si>
    <t>19195.10cCMSSystem.12</t>
  </si>
  <si>
    <t>1909.0</t>
  </si>
  <si>
    <t>19196.10cCMSSystem.35</t>
  </si>
  <si>
    <t>1282.0</t>
  </si>
  <si>
    <t>19197.10cCMSSystem.4</t>
  </si>
  <si>
    <t>1284.0</t>
  </si>
  <si>
    <t>19198.10cPRVSystem.1</t>
  </si>
  <si>
    <t>1287.0</t>
  </si>
  <si>
    <t>19199.10e1System.12</t>
  </si>
  <si>
    <t>19200.10e2System.1</t>
  </si>
  <si>
    <t>1298.0</t>
  </si>
  <si>
    <t>19202.10gCMSOrganizational.1</t>
  </si>
  <si>
    <t>1300.0</t>
  </si>
  <si>
    <t>19203.10gPCIOrganizational.1</t>
  </si>
  <si>
    <t>1321.0</t>
  </si>
  <si>
    <t>19204.10i1System.1</t>
  </si>
  <si>
    <t>The use of operational databases containing covered and/or confidential information for non-production (e.g., testing) purposes (1) is avoided; however, if covered and/or confidential information is used for testing purposes, all sensitive details and content is removed or modified beyond recognition (i.e., de-identified) before use.</t>
  </si>
  <si>
    <t>Examine evidence that all evaluative elements within the requirement statement have been implemented as defined in the HITRUST scoring rubric, using a sample based test where possible for each evaluative element._x000D_
_x000D_
_x000D_
Example test(s):_x000D_
For example, examine evidence to confirm that the use of operational databases containing covered and/or confidential information for non-production (e.g., testing) purposes is avoided. _x000D_
Identify whether covered and/or confidential information is used for testing purposes and confirm that all sensitive details and content is removed or modified beyond recognition (e.g., de-identified) before use.</t>
  </si>
  <si>
    <r>
      <rPr>
        <b/>
        <sz val="10"/>
        <color theme="1"/>
        <rFont val="Arial"/>
        <family val="2"/>
      </rPr>
      <t>Inquiry Test: Non-Production Environment</t>
    </r>
    <r>
      <rPr>
        <sz val="10"/>
        <color theme="1"/>
        <rFont val="Arial"/>
        <family val="2"/>
      </rPr>
      <t xml:space="preserve">
- Is covered/confidential information used for testing within a non-production environment?
- YES: provide evidence that covered/confidential information is de-identified/modified
- NO: provide proof that operational databases in non-production environments don't contain covered/confidential information</t>
    </r>
  </si>
  <si>
    <t>1322.0</t>
  </si>
  <si>
    <t>19205.10i2System.3</t>
  </si>
  <si>
    <t>1323.0</t>
  </si>
  <si>
    <t>19206.10i2System.1</t>
  </si>
  <si>
    <t>1324.0</t>
  </si>
  <si>
    <t>19207.10i2System.2</t>
  </si>
  <si>
    <t>2204.0</t>
  </si>
  <si>
    <t>19232.10iNYDOHSystem.2</t>
  </si>
  <si>
    <t>0575.0</t>
  </si>
  <si>
    <t>19244.06dCISOrganizational.16</t>
  </si>
  <si>
    <t>0574.0</t>
  </si>
  <si>
    <t>19245.06d2Organizational.2</t>
  </si>
  <si>
    <t>0576.0</t>
  </si>
  <si>
    <t>19246.06dDEIDOrganizational.1</t>
  </si>
  <si>
    <t>0549.0</t>
  </si>
  <si>
    <t>19249.06b1Organizational.2</t>
  </si>
  <si>
    <t>The organization (1) establishes restrictions on the use of open source software. Open source software used by the organization is (2) legally licensed, (3) authorized, and (4) adheres to the organizations secure configuration policy.</t>
  </si>
  <si>
    <t>Examine evidence that all evaluative elements within the requirement statement have been implemented as defined in the HITRUST scoring rubric, using a sample based test where possible for each evaluative element._x000D_
_x000D_
_x000D_
Example test(s):_x000D_
For example, _x000D_
confirm that the organization has established restrictions on the use of open source software. Further, _x000D_
select a sample of open source software used by the organization and confirm that the appropriate licensing was obtained, that the use of the software was authorized, and that its configuration adheres to a secure configuration baseline.</t>
  </si>
  <si>
    <r>
      <rPr>
        <b/>
        <sz val="10"/>
        <color theme="1"/>
        <rFont val="Arial"/>
        <family val="2"/>
      </rPr>
      <t>Evidence Test: Open Source Software</t>
    </r>
    <r>
      <rPr>
        <sz val="10"/>
        <color theme="1"/>
        <rFont val="Arial"/>
        <family val="2"/>
      </rPr>
      <t xml:space="preserve">
- restriction on use established
</t>
    </r>
    <r>
      <rPr>
        <b/>
        <sz val="10"/>
        <color theme="1"/>
        <rFont val="Arial"/>
        <family val="2"/>
      </rPr>
      <t>Sample Test:</t>
    </r>
    <r>
      <rPr>
        <sz val="10"/>
        <color theme="1"/>
        <rFont val="Arial"/>
        <family val="2"/>
      </rPr>
      <t xml:space="preserve">
- Test 018: Application (open source)</t>
    </r>
  </si>
  <si>
    <t>0591.0</t>
  </si>
  <si>
    <t>19250.06eFedRAMPOrganizational.1</t>
  </si>
  <si>
    <t>0592.0</t>
  </si>
  <si>
    <t>19251.06eFedRAMPOrganizational.2</t>
  </si>
  <si>
    <t>1283.0</t>
  </si>
  <si>
    <t>19252.10cFedRAMPSystem.1</t>
  </si>
  <si>
    <t>0579.0</t>
  </si>
  <si>
    <t>19257.06dGDPROrganizational.1</t>
  </si>
  <si>
    <t>0580.0</t>
  </si>
  <si>
    <t>19258.06dGDPROrganizational.2</t>
  </si>
  <si>
    <t>0580.1</t>
  </si>
  <si>
    <t>19258.06dGDPROrganizational.4</t>
  </si>
  <si>
    <t>0581.0</t>
  </si>
  <si>
    <t>19259.06dGDPROrganizational.3</t>
  </si>
  <si>
    <t>1566.0</t>
  </si>
  <si>
    <t>19293.13a1Organizational.1</t>
  </si>
  <si>
    <t>1786.0</t>
  </si>
  <si>
    <t>19294.13a1Organizational.2</t>
  </si>
  <si>
    <t>1787.0</t>
  </si>
  <si>
    <t>19295.13a1Organizational.3</t>
  </si>
  <si>
    <t>1565.0</t>
  </si>
  <si>
    <t>19296.13aHIPAAOrganizational.1</t>
  </si>
  <si>
    <t>1567.0</t>
  </si>
  <si>
    <t>19297.13aHIPAAOrganizational.2</t>
  </si>
  <si>
    <t>1568.0</t>
  </si>
  <si>
    <t>19299.13aGDPROrganizational.1</t>
  </si>
  <si>
    <t>1751.0</t>
  </si>
  <si>
    <t>19300.13aGDPROrganizational.2</t>
  </si>
  <si>
    <t>1788.0</t>
  </si>
  <si>
    <t>19301.13aGDPROrganizational.3</t>
  </si>
  <si>
    <t>1752.0</t>
  </si>
  <si>
    <t>19302.13aGDPROrganizational.4</t>
  </si>
  <si>
    <t>1591.0</t>
  </si>
  <si>
    <t>19303.13aTexasOrganizational.1</t>
  </si>
  <si>
    <t>1592.0</t>
  </si>
  <si>
    <t>19304.13aTexasOrganizational.2</t>
  </si>
  <si>
    <t>1593.0</t>
  </si>
  <si>
    <t>19305.13aTexasOrganizational.3</t>
  </si>
  <si>
    <t>1594.0</t>
  </si>
  <si>
    <t>19306.13aTexasOrganizational.4</t>
  </si>
  <si>
    <t>1595.0</t>
  </si>
  <si>
    <t>19307.13aTexasOrganizational.5</t>
  </si>
  <si>
    <t>1596.0</t>
  </si>
  <si>
    <t>19308.13aTexasOrganizational.6</t>
  </si>
  <si>
    <t>1597.0</t>
  </si>
  <si>
    <t>19309.13aTexasOrganizational.7</t>
  </si>
  <si>
    <t>1589.0</t>
  </si>
  <si>
    <t>19310.13aTexasOrganizational.8</t>
  </si>
  <si>
    <t>1590.0</t>
  </si>
  <si>
    <t>19311.13aTexasOrganizational.9</t>
  </si>
  <si>
    <t>19312.03aNIST80053Organizational.2</t>
  </si>
  <si>
    <t>1577.0</t>
  </si>
  <si>
    <t>19312.13aGroupPlansOrganizational.1</t>
  </si>
  <si>
    <t>1578.0</t>
  </si>
  <si>
    <t>19313.13aGroupPlansOrganizational.2</t>
  </si>
  <si>
    <t>2286.0</t>
  </si>
  <si>
    <t>19313.13hNIST80053Organizational.1</t>
  </si>
  <si>
    <t>1789.0</t>
  </si>
  <si>
    <t>19314.13b1Organizational.1</t>
  </si>
  <si>
    <t>2287.0</t>
  </si>
  <si>
    <t>19314.13iNIST80053Organizational.2</t>
  </si>
  <si>
    <t>19315.03aNIST80053Organizational.1</t>
  </si>
  <si>
    <t>1790.0</t>
  </si>
  <si>
    <t>19315.13b1Organizational.2</t>
  </si>
  <si>
    <t>1564.0</t>
  </si>
  <si>
    <t>19316.13bHIPAAOrganizational.1</t>
  </si>
  <si>
    <t>2289.0</t>
  </si>
  <si>
    <t>19316.13iNIST80053Organizational.1</t>
  </si>
  <si>
    <t>2290.0</t>
  </si>
  <si>
    <t>19317.13aNIST80053Organizational.1</t>
  </si>
  <si>
    <t>1753.0</t>
  </si>
  <si>
    <t>19317.13bGDPROrganizational.1</t>
  </si>
  <si>
    <t>1791.0</t>
  </si>
  <si>
    <t>19318.13bPDPAOrganizational.1</t>
  </si>
  <si>
    <t>2291.0</t>
  </si>
  <si>
    <t>19318.13hNIST80053Organizational.3</t>
  </si>
  <si>
    <t>1792.0</t>
  </si>
  <si>
    <t>19319.13bPDPAOrganizational.2</t>
  </si>
  <si>
    <t>2293.0</t>
  </si>
  <si>
    <t>19320.13aNIST80053Organizational.2</t>
  </si>
  <si>
    <t>1793.0</t>
  </si>
  <si>
    <t>19320.13bPDPAOrganizational.3</t>
  </si>
  <si>
    <t>1794.0</t>
  </si>
  <si>
    <t>19321.13c1Organizational.1</t>
  </si>
  <si>
    <t>2294.0</t>
  </si>
  <si>
    <t>19321.13hNIST80053Organizational.2</t>
  </si>
  <si>
    <t>1795.0</t>
  </si>
  <si>
    <t>19322.13c1Organizational.2</t>
  </si>
  <si>
    <t>1796.0</t>
  </si>
  <si>
    <t>19322.13c1Organizational.3</t>
  </si>
  <si>
    <t>1797.0</t>
  </si>
  <si>
    <t>19323.13c1Organizational.4</t>
  </si>
  <si>
    <t>1661.0</t>
  </si>
  <si>
    <t>19324.13cHIPAAOrganizational.1</t>
  </si>
  <si>
    <t>1754.0</t>
  </si>
  <si>
    <t>19325.13cHIPAAOrganizational.2</t>
  </si>
  <si>
    <t>1663.0</t>
  </si>
  <si>
    <t>19326.13cHIPAAOrganizational.3</t>
  </si>
  <si>
    <t>1755.0</t>
  </si>
  <si>
    <t>19327.13cHIPAAOrganizational.4</t>
  </si>
  <si>
    <t>1798.0</t>
  </si>
  <si>
    <t>19328.13d1Organizational.1</t>
  </si>
  <si>
    <t>1799.0</t>
  </si>
  <si>
    <t>19329.13d1Organizational.2</t>
  </si>
  <si>
    <t>1800.0</t>
  </si>
  <si>
    <t>19330.13d1Organizational.3</t>
  </si>
  <si>
    <t>1801.0</t>
  </si>
  <si>
    <t>19331.13d1Organizational.4</t>
  </si>
  <si>
    <t>1756.0</t>
  </si>
  <si>
    <t>19332.13dHIPAAOrganizational.1</t>
  </si>
  <si>
    <t>1805.0</t>
  </si>
  <si>
    <t>19333.13dHIPAAOrganizational.2</t>
  </si>
  <si>
    <t>1599.0</t>
  </si>
  <si>
    <t>19334.13dHIPAAOrganizational.3</t>
  </si>
  <si>
    <t>1602.0</t>
  </si>
  <si>
    <t>19335.13dHIPAAOrganizational.4</t>
  </si>
  <si>
    <t>1600.0</t>
  </si>
  <si>
    <t>19336.13dHIPAAOrganizational.5</t>
  </si>
  <si>
    <t>1601.0</t>
  </si>
  <si>
    <t>19337.13dHIPAAOrganizational.6</t>
  </si>
  <si>
    <t>1802.0</t>
  </si>
  <si>
    <t>19339.13dGDPROrganizational.1</t>
  </si>
  <si>
    <t>1803.0</t>
  </si>
  <si>
    <t>19340.13dGDPROrganizational.2</t>
  </si>
  <si>
    <t>1804.0</t>
  </si>
  <si>
    <t>19341.13dGDPROrganizational.3</t>
  </si>
  <si>
    <t>1806.0</t>
  </si>
  <si>
    <t>19342.13dPDPAOrganizational.1</t>
  </si>
  <si>
    <t>1807.0</t>
  </si>
  <si>
    <t>19343.13dPDPAOrganizational.2</t>
  </si>
  <si>
    <t>1588.0</t>
  </si>
  <si>
    <t>19344.13dTexasOrganizational.1</t>
  </si>
  <si>
    <t>1610.0</t>
  </si>
  <si>
    <t>19345.13dTexasOrganizational.2</t>
  </si>
  <si>
    <t>1611.0</t>
  </si>
  <si>
    <t>19346.13dTexasOrganizational.3</t>
  </si>
  <si>
    <t>1757.0</t>
  </si>
  <si>
    <t>19347.13e1Organizational.1</t>
  </si>
  <si>
    <t>1808.0</t>
  </si>
  <si>
    <t>19348.13e1Organizational.2</t>
  </si>
  <si>
    <t>1809.0</t>
  </si>
  <si>
    <t>19349.13e1Organizational.3</t>
  </si>
  <si>
    <t>1810.0</t>
  </si>
  <si>
    <t>19350.13e1Organizational.4</t>
  </si>
  <si>
    <t>1579.0</t>
  </si>
  <si>
    <t>19351.13eHIPAAOrganizational.1</t>
  </si>
  <si>
    <t>1815.0</t>
  </si>
  <si>
    <t>19352.13eHIPAAOrganizational.2</t>
  </si>
  <si>
    <t>1580.0</t>
  </si>
  <si>
    <t>19353.13eHIPAAOrganizational.3</t>
  </si>
  <si>
    <t>1581.0</t>
  </si>
  <si>
    <t>19354.13eHIPAAOrganizational.4</t>
  </si>
  <si>
    <t>1583.0</t>
  </si>
  <si>
    <t>19355.13eHIPAAOrganizational.5</t>
  </si>
  <si>
    <t>1760.0</t>
  </si>
  <si>
    <t>19356.13eHIPAAOrganizational.6</t>
  </si>
  <si>
    <t>1613.0</t>
  </si>
  <si>
    <t>19357.13eHIPAAOrganizational.7</t>
  </si>
  <si>
    <t>1614.0</t>
  </si>
  <si>
    <t>19358.13eHIPAAOrganizational.8</t>
  </si>
  <si>
    <t>1617.0</t>
  </si>
  <si>
    <t>19359.13eHIPAAOrganizational.9</t>
  </si>
  <si>
    <t>1603.0</t>
  </si>
  <si>
    <t>19360.13eHIPAAOrganizational.10</t>
  </si>
  <si>
    <t>1811.0</t>
  </si>
  <si>
    <t>19361.13eGDPROrganizational.1</t>
  </si>
  <si>
    <t>1758.0</t>
  </si>
  <si>
    <t>19362.13eGDPROrganizational.2</t>
  </si>
  <si>
    <t>1812.0</t>
  </si>
  <si>
    <t>19363.13eGDPROrganizational.3</t>
  </si>
  <si>
    <t>1813.0</t>
  </si>
  <si>
    <t>19364.13eGDPROrganizational.4</t>
  </si>
  <si>
    <t>1759.0</t>
  </si>
  <si>
    <t>19365.13eGDPROrganizational.5</t>
  </si>
  <si>
    <t>1621.0</t>
  </si>
  <si>
    <t>19366.13eGDPROrganizational.6</t>
  </si>
  <si>
    <t>1816.1</t>
  </si>
  <si>
    <t>19367.13ePDPAOrganizational.2</t>
  </si>
  <si>
    <t>1817.0</t>
  </si>
  <si>
    <t>19368.13f1Organizational.1</t>
  </si>
  <si>
    <t>1818.0</t>
  </si>
  <si>
    <t>19369.13f1Organizational.2</t>
  </si>
  <si>
    <t>0430.0</t>
  </si>
  <si>
    <t>1937.13k2Organizational.2</t>
  </si>
  <si>
    <t>1819.0</t>
  </si>
  <si>
    <t>19370.13f1Organizational.3</t>
  </si>
  <si>
    <t>1820.0</t>
  </si>
  <si>
    <t>19371.13f1Organizational.4</t>
  </si>
  <si>
    <t>1821.0</t>
  </si>
  <si>
    <t>19372.13f1Organizational.5</t>
  </si>
  <si>
    <t>1822.0</t>
  </si>
  <si>
    <t>19373.13f1Organizational.6</t>
  </si>
  <si>
    <t>1823.0</t>
  </si>
  <si>
    <t>19374.13f1Organizational.7</t>
  </si>
  <si>
    <t>1824.0</t>
  </si>
  <si>
    <t>19375.13f1Organizational.8</t>
  </si>
  <si>
    <t>1762.0</t>
  </si>
  <si>
    <t>19376.13fHIPAAOrganizational.1</t>
  </si>
  <si>
    <t>1830.0</t>
  </si>
  <si>
    <t>19377.13fHIPAAOrganizational.2</t>
  </si>
  <si>
    <t>1831.0</t>
  </si>
  <si>
    <t>19378.13fHIPAAOrganizational.3</t>
  </si>
  <si>
    <t>1698.1</t>
  </si>
  <si>
    <t>19379.13fHIPAAOrganizational.4</t>
  </si>
  <si>
    <t>1763.0</t>
  </si>
  <si>
    <t>19380.13fHIPAAOrganizational.5</t>
  </si>
  <si>
    <t>1764.0</t>
  </si>
  <si>
    <t>19381.13fHIPAAOrganizational.6</t>
  </si>
  <si>
    <t>1653.0</t>
  </si>
  <si>
    <t>19382.13fHIPAAOrganizational.7</t>
  </si>
  <si>
    <t>1666.0</t>
  </si>
  <si>
    <t>19383.13fHIPAAOrganizational.8</t>
  </si>
  <si>
    <t>1667.0</t>
  </si>
  <si>
    <t>19384.13fHIPAAOrganizational.9</t>
  </si>
  <si>
    <t>1832.0</t>
  </si>
  <si>
    <t>19385.13fHIPAAOrganizational.10</t>
  </si>
  <si>
    <t>1668.0</t>
  </si>
  <si>
    <t>19386.13fHIPAAOrganizational.11</t>
  </si>
  <si>
    <t>1669.0</t>
  </si>
  <si>
    <t>19387.13fHIPAAOrganizational.12</t>
  </si>
  <si>
    <t>1833.0</t>
  </si>
  <si>
    <t>19388.13fHIPAAOrganizational.13</t>
  </si>
  <si>
    <t>1728.1</t>
  </si>
  <si>
    <t>19389.13fHIPAAOrganizational.14</t>
  </si>
  <si>
    <t>1728.2</t>
  </si>
  <si>
    <t>19390.13fHIPAAOrganizational.15</t>
  </si>
  <si>
    <t>1834.0</t>
  </si>
  <si>
    <t>19391.13fHIPAAOrganizational.16</t>
  </si>
  <si>
    <t>1765.0</t>
  </si>
  <si>
    <t>19392.13fHIPAAOrganizational.17</t>
  </si>
  <si>
    <t>1761.0</t>
  </si>
  <si>
    <t>19393.13fGDPROrganizational.1</t>
  </si>
  <si>
    <t>1825.0</t>
  </si>
  <si>
    <t>19394.13fGDPROrganizational.2</t>
  </si>
  <si>
    <t>1659.0</t>
  </si>
  <si>
    <t>19395.13fGDPROrganizational.3</t>
  </si>
  <si>
    <t>1826.0</t>
  </si>
  <si>
    <t>19396.13fGDPROrganizational.4</t>
  </si>
  <si>
    <t>1827.0</t>
  </si>
  <si>
    <t>19397.13fGDPROrganizational.5</t>
  </si>
  <si>
    <t>1660.0</t>
  </si>
  <si>
    <t>19398.13fGDPROrganizational.6</t>
  </si>
  <si>
    <t>1828.0</t>
  </si>
  <si>
    <t>19399.13fGDPROrganizational.7</t>
  </si>
  <si>
    <t>1829.0</t>
  </si>
  <si>
    <t>19400.13fGDPROrganizational.8</t>
  </si>
  <si>
    <t>1835.0</t>
  </si>
  <si>
    <t>19401.13g1Organizational.1</t>
  </si>
  <si>
    <t>1836.0</t>
  </si>
  <si>
    <t>19402.13g1Organizational.2</t>
  </si>
  <si>
    <t>1837.0</t>
  </si>
  <si>
    <t>19403.13g1Organizational.3</t>
  </si>
  <si>
    <t>1838.0</t>
  </si>
  <si>
    <t>19404.13g1Organizational.4</t>
  </si>
  <si>
    <t>1839.0</t>
  </si>
  <si>
    <t>19405.13gGDPROrganizational.5</t>
  </si>
  <si>
    <t>1605.0</t>
  </si>
  <si>
    <t>19406.13gGDPROrganizational.6</t>
  </si>
  <si>
    <t>1840.0</t>
  </si>
  <si>
    <t>19407.13gPDPAOrganizational.1</t>
  </si>
  <si>
    <t>1841.0</t>
  </si>
  <si>
    <t>19408.13gPDPAOrganizational.2</t>
  </si>
  <si>
    <t>1842.0</t>
  </si>
  <si>
    <t>19409.13h1Organizational.1</t>
  </si>
  <si>
    <t>1843.0</t>
  </si>
  <si>
    <t>19410.13h1Organizational.2</t>
  </si>
  <si>
    <t>1844.0</t>
  </si>
  <si>
    <t>19411.13h1Organizational.3</t>
  </si>
  <si>
    <t>1766.0</t>
  </si>
  <si>
    <t>19412.13i1Organizational.1</t>
  </si>
  <si>
    <t>1767.0</t>
  </si>
  <si>
    <t>19413.13i1Organizational.2</t>
  </si>
  <si>
    <t>1845.0</t>
  </si>
  <si>
    <t>19414.13i1Organizational.3</t>
  </si>
  <si>
    <t>1768.0</t>
  </si>
  <si>
    <t>19415.13iGDPROrganizational.1</t>
  </si>
  <si>
    <t>1846.0</t>
  </si>
  <si>
    <t>19416.13j1Organizational.1</t>
  </si>
  <si>
    <t>1847.0</t>
  </si>
  <si>
    <t>19417.13j1Organizational.2</t>
  </si>
  <si>
    <t>1769.0</t>
  </si>
  <si>
    <t>19418.13j1Organizational.3</t>
  </si>
  <si>
    <t>1718.0</t>
  </si>
  <si>
    <t>19419.13jHIPAAOrganizational.1</t>
  </si>
  <si>
    <t>1717.1</t>
  </si>
  <si>
    <t>19420.13jHIPAAOrganizational.2</t>
  </si>
  <si>
    <t>1717.2</t>
  </si>
  <si>
    <t>19421.13jHIPAAOrganizational.3</t>
  </si>
  <si>
    <t>1716.0</t>
  </si>
  <si>
    <t>19422.13jHIPAAOrganizational.4</t>
  </si>
  <si>
    <t>1720.0</t>
  </si>
  <si>
    <t>19423.13jHIPAAOrganizational.5</t>
  </si>
  <si>
    <t>1713.0</t>
  </si>
  <si>
    <t>19424.13jHIPAAOrganizational.6</t>
  </si>
  <si>
    <t>1848.0</t>
  </si>
  <si>
    <t>19425.13jGDPROrganizational.1</t>
  </si>
  <si>
    <t>1770.0</t>
  </si>
  <si>
    <t>19426.13k1Organizational.1</t>
  </si>
  <si>
    <t>1849.0</t>
  </si>
  <si>
    <t>19427.13k1Organizational.2</t>
  </si>
  <si>
    <t>1645.0</t>
  </si>
  <si>
    <t>19428.13k1Organizational.3</t>
  </si>
  <si>
    <t>1771.0</t>
  </si>
  <si>
    <t>19429.13kHIPAAOrganizational.1</t>
  </si>
  <si>
    <t>1624.0</t>
  </si>
  <si>
    <t>19430.13kHIPAAOrganizational.2</t>
  </si>
  <si>
    <t>1625.0</t>
  </si>
  <si>
    <t>19431.13kHIPAAOrganizational.3</t>
  </si>
  <si>
    <t>1626.0</t>
  </si>
  <si>
    <t>19432.13kHIPAAOrganizational.4</t>
  </si>
  <si>
    <t>1627.0</t>
  </si>
  <si>
    <t>19433.13kHIPAAOrganizational.5</t>
  </si>
  <si>
    <t>1628.0</t>
  </si>
  <si>
    <t>19434.13kHIPAAOrganizational.6</t>
  </si>
  <si>
    <t>1772.0</t>
  </si>
  <si>
    <t>19435.13kHIPAAOrganizational.7</t>
  </si>
  <si>
    <t>1773.0</t>
  </si>
  <si>
    <t>19436.13kHIPAAOrganizational.8</t>
  </si>
  <si>
    <t>1643.0</t>
  </si>
  <si>
    <t>19437.13kHIPAAOrganizational.9</t>
  </si>
  <si>
    <t>1681.0</t>
  </si>
  <si>
    <t>19438.13kHIPAAOrganizational.10</t>
  </si>
  <si>
    <t>1851.0</t>
  </si>
  <si>
    <t>19439.13kHIPAAOrganizational.11</t>
  </si>
  <si>
    <t>1852.0</t>
  </si>
  <si>
    <t>19440.13kHIPAAOrganizational.12</t>
  </si>
  <si>
    <t>1853.1</t>
  </si>
  <si>
    <t>19441.13kHIPAAOrganizational.13</t>
  </si>
  <si>
    <t>1692.0</t>
  </si>
  <si>
    <t>19442.13kHIPAAOrganizational.14</t>
  </si>
  <si>
    <t>1693.0</t>
  </si>
  <si>
    <t>19443.13kHIPAAOrganizational.15</t>
  </si>
  <si>
    <t>1696.0</t>
  </si>
  <si>
    <t>19444.13kHIPAAOrganizational.16</t>
  </si>
  <si>
    <t>1697.0</t>
  </si>
  <si>
    <t>19445.13kHIPAAOrganizational.17</t>
  </si>
  <si>
    <t>1774.0</t>
  </si>
  <si>
    <t>19446.13kHIPAAOrganizational.18</t>
  </si>
  <si>
    <t>1738.0</t>
  </si>
  <si>
    <t>19447.13kHIPAAOrganizational.19</t>
  </si>
  <si>
    <t>1616.0</t>
  </si>
  <si>
    <t>19448.13kHIPAAOrganizational.20</t>
  </si>
  <si>
    <t>1775.0</t>
  </si>
  <si>
    <t>19449.13kHIPAAOrganizational.21</t>
  </si>
  <si>
    <t>1619.0</t>
  </si>
  <si>
    <t>19450.13kHIPAAOrganizational.22</t>
  </si>
  <si>
    <t>1854.0</t>
  </si>
  <si>
    <t>19451.13kHIPAAOrganizational.23</t>
  </si>
  <si>
    <t>1721.0</t>
  </si>
  <si>
    <t>19452.13kHIPAAOrganizational.24</t>
  </si>
  <si>
    <t>1855.0</t>
  </si>
  <si>
    <t>19453.13kPDPAOrganizational.1</t>
  </si>
  <si>
    <t>1856.0</t>
  </si>
  <si>
    <t>19454.13kPDPAOrganizational.2</t>
  </si>
  <si>
    <t>1850.0</t>
  </si>
  <si>
    <t>19455.13kGDPROrganizational.1</t>
  </si>
  <si>
    <t>1700.0</t>
  </si>
  <si>
    <t>19458.13kTexasOrganizational.1</t>
  </si>
  <si>
    <t>1701.0</t>
  </si>
  <si>
    <t>19459.13kTexasOrganizational.2</t>
  </si>
  <si>
    <t>1702.0</t>
  </si>
  <si>
    <t>19460.13kTexasOrganizational.3</t>
  </si>
  <si>
    <t>1703.0</t>
  </si>
  <si>
    <t>19461.13kTexasOrganizational.4</t>
  </si>
  <si>
    <t>1704.0</t>
  </si>
  <si>
    <t>19462.13kTexasOrganizational.5</t>
  </si>
  <si>
    <t>1705.0</t>
  </si>
  <si>
    <t>19463.13kTexasOrganizational.6</t>
  </si>
  <si>
    <t>1706.0</t>
  </si>
  <si>
    <t>19464.13kTexasOrganizational.7</t>
  </si>
  <si>
    <t>1707.0</t>
  </si>
  <si>
    <t>19465.13kTexasOrganizational.8</t>
  </si>
  <si>
    <t>1708.0</t>
  </si>
  <si>
    <t>19466.13kTexasOrganizational.9</t>
  </si>
  <si>
    <t>1709.0</t>
  </si>
  <si>
    <t>19467.13kTexasOrganizational.10</t>
  </si>
  <si>
    <t>1710.0</t>
  </si>
  <si>
    <t>19468.13kTexasOrganizational.11</t>
  </si>
  <si>
    <t>1714.0</t>
  </si>
  <si>
    <t>19469.13kTexasOrganizational.12</t>
  </si>
  <si>
    <t>1715.0</t>
  </si>
  <si>
    <t>19470.13kTexasOrganizational.13</t>
  </si>
  <si>
    <t>1737.0</t>
  </si>
  <si>
    <t>19471.13kTexasOrganizational.14</t>
  </si>
  <si>
    <t>1733.0</t>
  </si>
  <si>
    <t>19472.13kTexasOrganizational.15</t>
  </si>
  <si>
    <t>1734.0</t>
  </si>
  <si>
    <t>19473.13kTexasOrganizational.16</t>
  </si>
  <si>
    <t>1735.0</t>
  </si>
  <si>
    <t>19474.13kTexasOrganizational.17</t>
  </si>
  <si>
    <t>1736.0</t>
  </si>
  <si>
    <t>19475.13kTexasOrganizational.18</t>
  </si>
  <si>
    <t>1732.0</t>
  </si>
  <si>
    <t>19476.13kTexasOrganizational.19</t>
  </si>
  <si>
    <t>1612.0</t>
  </si>
  <si>
    <t>19477.13kTexasOrganizational.20</t>
  </si>
  <si>
    <t>1606.0</t>
  </si>
  <si>
    <t>19478.13kTexasOrganizational.21</t>
  </si>
  <si>
    <t>1607.0</t>
  </si>
  <si>
    <t>19479.13kTexasOrganizational.22</t>
  </si>
  <si>
    <t>1690.0</t>
  </si>
  <si>
    <t>19480.13kTexasOrganizational.23</t>
  </si>
  <si>
    <t>1608.0</t>
  </si>
  <si>
    <t>19481.13kTexasOrganizational.24</t>
  </si>
  <si>
    <t>19482.13kTexasOrganizational.25</t>
  </si>
  <si>
    <t>1648.0</t>
  </si>
  <si>
    <t>19483.13kTexasOrganizational.26</t>
  </si>
  <si>
    <t>1687.0</t>
  </si>
  <si>
    <t>19484.13kTexasOrganizational.27</t>
  </si>
  <si>
    <t>1688.0</t>
  </si>
  <si>
    <t>19485.13kTexasOrganizational.28</t>
  </si>
  <si>
    <t>1689.0</t>
  </si>
  <si>
    <t>19486.13kTexasOrganizational.29</t>
  </si>
  <si>
    <t>1744.0</t>
  </si>
  <si>
    <t>19487.13kGroupPlansOrganizational.1</t>
  </si>
  <si>
    <t>1745.0</t>
  </si>
  <si>
    <t>19488.13kGroupPlansOrganizational.2</t>
  </si>
  <si>
    <t>1746.0</t>
  </si>
  <si>
    <t>19489.13kGroupPlansOrganizational.3</t>
  </si>
  <si>
    <t>1747.0</t>
  </si>
  <si>
    <t>19490.13kGroupPlansOrganizational.4</t>
  </si>
  <si>
    <t>1646.0</t>
  </si>
  <si>
    <t>19491.13kFACOrganizational.1</t>
  </si>
  <si>
    <t>1647.0</t>
  </si>
  <si>
    <t>19492.13kFACOrganizational.2</t>
  </si>
  <si>
    <t>1723.1</t>
  </si>
  <si>
    <t>19493.13l1Organizational.1</t>
  </si>
  <si>
    <t>1723.2</t>
  </si>
  <si>
    <t>19494.13l1Organizational.2</t>
  </si>
  <si>
    <t>1679.0</t>
  </si>
  <si>
    <t>19495.13lGroupPlansOrganizational.1</t>
  </si>
  <si>
    <t>1777.0</t>
  </si>
  <si>
    <t>19496.13m1Organizational.1</t>
  </si>
  <si>
    <t>1857.0</t>
  </si>
  <si>
    <t>19497.13m1Organizational.2</t>
  </si>
  <si>
    <t>1858.0</t>
  </si>
  <si>
    <t>19498.13n1Organizational.1</t>
  </si>
  <si>
    <t>1778.0</t>
  </si>
  <si>
    <t>19499.13nGDPROrganizational.1</t>
  </si>
  <si>
    <t>1779.0</t>
  </si>
  <si>
    <t>19500.13nGDPROrganizational.2</t>
  </si>
  <si>
    <t>1677.0</t>
  </si>
  <si>
    <t>19501.13nGDPROrganizational.3</t>
  </si>
  <si>
    <t>1859.0</t>
  </si>
  <si>
    <t>19502.13nGDPROrganizational.4</t>
  </si>
  <si>
    <t>1678.0</t>
  </si>
  <si>
    <t>19503.13nGroupPlansOrganizational.1</t>
  </si>
  <si>
    <t>1780.0</t>
  </si>
  <si>
    <t>19504.13o1Organizational.1</t>
  </si>
  <si>
    <t>1781.0</t>
  </si>
  <si>
    <t>19505.13o1Organizational.2</t>
  </si>
  <si>
    <t>1860.0</t>
  </si>
  <si>
    <t>19506.13p1Organizational.1</t>
  </si>
  <si>
    <t>1861.0</t>
  </si>
  <si>
    <t>19507.13p1Organizational.2</t>
  </si>
  <si>
    <t>1862.0</t>
  </si>
  <si>
    <t>19508.13p1Organizational.3</t>
  </si>
  <si>
    <t>1863.0</t>
  </si>
  <si>
    <t>19509.13p1Organizational.4</t>
  </si>
  <si>
    <t>1864.0</t>
  </si>
  <si>
    <t>19510.13p1Organizational.5</t>
  </si>
  <si>
    <t>1741.0</t>
  </si>
  <si>
    <t>19512.13pGDPROrganizational.1</t>
  </si>
  <si>
    <t>1741.1</t>
  </si>
  <si>
    <t>19512.13pGDPROrganizational.5</t>
  </si>
  <si>
    <t>1865.0</t>
  </si>
  <si>
    <t>19513.13pGDPROrganizational.2</t>
  </si>
  <si>
    <t>1866.0</t>
  </si>
  <si>
    <t>19514.13pGDPROrganizational.3</t>
  </si>
  <si>
    <t>1782.0</t>
  </si>
  <si>
    <t>19515.13pGDPROrganizational.4</t>
  </si>
  <si>
    <t>1867.0</t>
  </si>
  <si>
    <t>19516.13q1Organizational.1</t>
  </si>
  <si>
    <t>1868.0</t>
  </si>
  <si>
    <t>19517.13qGDPROrganizational.1</t>
  </si>
  <si>
    <t>1869.0</t>
  </si>
  <si>
    <t>19518.13qGDPROrganizational.2</t>
  </si>
  <si>
    <t>1870.0</t>
  </si>
  <si>
    <t>19519.13qGDPROrganizational.3</t>
  </si>
  <si>
    <t>1871.0</t>
  </si>
  <si>
    <t>19520.13qGDPROrganizational.4</t>
  </si>
  <si>
    <t>1872.0</t>
  </si>
  <si>
    <t>19521.13r1Organizational.1</t>
  </si>
  <si>
    <t>1873.0</t>
  </si>
  <si>
    <t>19522.13r1Organizational.2</t>
  </si>
  <si>
    <t>1874.0</t>
  </si>
  <si>
    <t>19523.13r1Organizational.3</t>
  </si>
  <si>
    <t>1875.0</t>
  </si>
  <si>
    <t>19534.13r1Organizational.4</t>
  </si>
  <si>
    <t>1876.0</t>
  </si>
  <si>
    <t>19535.13r1Organizational.5</t>
  </si>
  <si>
    <t>1739.0</t>
  </si>
  <si>
    <t>19546.13rHIPAAOrganizational.1</t>
  </si>
  <si>
    <t>1740.0</t>
  </si>
  <si>
    <t>19547.13rHIPAAOrganizational.2</t>
  </si>
  <si>
    <t>1879.0</t>
  </si>
  <si>
    <t>19548.13rHIPAAOrganizational.3</t>
  </si>
  <si>
    <t>1783.0</t>
  </si>
  <si>
    <t>19549.13rGDPROrganizational.1</t>
  </si>
  <si>
    <t>1877.0</t>
  </si>
  <si>
    <t>19550.13rGDPROrganizational.2</t>
  </si>
  <si>
    <t>1878.0</t>
  </si>
  <si>
    <t>19551.13rGDPROrganizational.3</t>
  </si>
  <si>
    <t>1880.0</t>
  </si>
  <si>
    <t>19552.13s1Organizational.1</t>
  </si>
  <si>
    <t>13.s Privacy Monitoring and Auditing</t>
  </si>
  <si>
    <t>1881.0</t>
  </si>
  <si>
    <t>19554.13t1Organizational.1</t>
  </si>
  <si>
    <t>1882.0</t>
  </si>
  <si>
    <t>19555.13t1Organizational.2</t>
  </si>
  <si>
    <t>1883.0</t>
  </si>
  <si>
    <t>19559.13u1Organizational.1</t>
  </si>
  <si>
    <t>1884.0</t>
  </si>
  <si>
    <t>19560.13u2Organizational.1</t>
  </si>
  <si>
    <t>1586.0</t>
  </si>
  <si>
    <t>19561.13aEHNACOrganizational.1</t>
  </si>
  <si>
    <t>1655.0</t>
  </si>
  <si>
    <t>19562.13fEHNACOrganizational.1</t>
  </si>
  <si>
    <t>1686.0</t>
  </si>
  <si>
    <t>19563.13kEHNACOrganizational.1</t>
  </si>
  <si>
    <t>1699.1</t>
  </si>
  <si>
    <t>195634.13kEHNACOrganizational.3</t>
  </si>
  <si>
    <t>1699.2</t>
  </si>
  <si>
    <t>195634.13kEHNACOrganizational.4</t>
  </si>
  <si>
    <t>1684.0</t>
  </si>
  <si>
    <t>19565.13kDeIDOrganizational.1</t>
  </si>
  <si>
    <t>1685.0</t>
  </si>
  <si>
    <t>19566.13kDeIDOrganizational.2</t>
  </si>
  <si>
    <t>1727.0</t>
  </si>
  <si>
    <t>19567.13kDeIDOrganizational.3</t>
  </si>
  <si>
    <t>1569.0</t>
  </si>
  <si>
    <t>19600.13a2Organizational.1</t>
  </si>
  <si>
    <t>1570.0</t>
  </si>
  <si>
    <t>19601.13a2Organizational.2</t>
  </si>
  <si>
    <t>1571.0</t>
  </si>
  <si>
    <t>19602.13a2Organizational.3</t>
  </si>
  <si>
    <t>1604.0</t>
  </si>
  <si>
    <t>19603.13d2Organizational.1</t>
  </si>
  <si>
    <t>1654.0</t>
  </si>
  <si>
    <t>19604.13fHIPAAOrganizational.19</t>
  </si>
  <si>
    <t>1665.0</t>
  </si>
  <si>
    <t>19605.13cHIPAAOrganizational.6</t>
  </si>
  <si>
    <t>1671.0</t>
  </si>
  <si>
    <t>19605.13m2Organizational.1</t>
  </si>
  <si>
    <t>1672.0</t>
  </si>
  <si>
    <t>19606.13m2Organizational.2</t>
  </si>
  <si>
    <t>1683.0</t>
  </si>
  <si>
    <t>19607.13k2Organizational.1</t>
  </si>
  <si>
    <t>1673.0</t>
  </si>
  <si>
    <t>19607.13m2Organizational.3</t>
  </si>
  <si>
    <t>1725.0</t>
  </si>
  <si>
    <t>19608.13jHIPAAOrganizational.8</t>
  </si>
  <si>
    <t>1726.0</t>
  </si>
  <si>
    <t>19609.13j2Organizational.2</t>
  </si>
  <si>
    <t>1680.0</t>
  </si>
  <si>
    <t>19612.13kHIPAAOrganizational.25</t>
  </si>
  <si>
    <t>1629.0</t>
  </si>
  <si>
    <t>19613.13kHIPAAOrganizational.26</t>
  </si>
  <si>
    <t>1630.0</t>
  </si>
  <si>
    <t>19614.13kHIPAAOrganizational.27</t>
  </si>
  <si>
    <t>1631.0</t>
  </si>
  <si>
    <t>19615.13kHIPAAOrganizational.28</t>
  </si>
  <si>
    <t>1632.0</t>
  </si>
  <si>
    <t>19616.13kHIPAAOrganizational.29</t>
  </si>
  <si>
    <t>1637.0</t>
  </si>
  <si>
    <t>19617.13kHIPAAOrganizational.30</t>
  </si>
  <si>
    <t>1638.0</t>
  </si>
  <si>
    <t>19618.13kHIPAAOrganizational.31</t>
  </si>
  <si>
    <t>1639.0</t>
  </si>
  <si>
    <t>19619.13kHIPAAOrganizational.32</t>
  </si>
  <si>
    <t>1640.0</t>
  </si>
  <si>
    <t>19620.13kHIPAAOrganizational.33</t>
  </si>
  <si>
    <t>1641.0</t>
  </si>
  <si>
    <t>19621.13kHIPAAOrganizational.34</t>
  </si>
  <si>
    <t>1642.0</t>
  </si>
  <si>
    <t>19622.13kHIPAAOrganizational.35</t>
  </si>
  <si>
    <t>1776.0</t>
  </si>
  <si>
    <t>19623.13kHIPAAOrganizational.38</t>
  </si>
  <si>
    <t>1814.0</t>
  </si>
  <si>
    <t>19801.13eGDPROrganizational.7</t>
  </si>
  <si>
    <t>1950.0</t>
  </si>
  <si>
    <t>19906.06cSROrganizational.1</t>
  </si>
  <si>
    <t>1951.0</t>
  </si>
  <si>
    <t>19907.06cSROrganizational.5</t>
  </si>
  <si>
    <t>0057.0</t>
  </si>
  <si>
    <t>1991.01cFTISystem.9</t>
  </si>
  <si>
    <t>1952.0</t>
  </si>
  <si>
    <t>19910.06cSROrganizational.2</t>
  </si>
  <si>
    <t>1953.0</t>
  </si>
  <si>
    <t>19911.06cSROrganizational.3</t>
  </si>
  <si>
    <t>1954.0</t>
  </si>
  <si>
    <t>19922.06f1Organizational.2</t>
  </si>
  <si>
    <t>The encryption policy addresses the (1) type and strength of the encryption algorithm and (2) when used to protect the confidentiality of information. The organization employs cryptographic modules (3) that are certified and (4) that adhere to the minimum applicable standards.</t>
  </si>
  <si>
    <t xml:space="preserve">Examine evidence that all evaluative elements within the requirement statement have been implemented as defined in the HITRUST scoring rubric, using a sample based test where possible for each evaluative element._x000D_
_x000D_
_x000D_
Example test(s):_x000D_
For example, but not limited to, obtain and examine the encryption policy and procedures, and examine evidence to confirm that the organization employs cryptographic modules that are certified and that adhere to the minimum applicable standards when used to protect the confidentiality of information. </t>
  </si>
  <si>
    <r>
      <rPr>
        <b/>
        <sz val="10"/>
        <color theme="1"/>
        <rFont val="Arial"/>
        <family val="2"/>
      </rPr>
      <t>Documentation: Encryption Program</t>
    </r>
    <r>
      <rPr>
        <sz val="10"/>
        <color theme="1"/>
        <rFont val="Arial"/>
        <family val="2"/>
      </rPr>
      <t xml:space="preserve">
- cryptographic module defined
</t>
    </r>
    <r>
      <rPr>
        <b/>
        <sz val="10"/>
        <color theme="1"/>
        <rFont val="Arial"/>
        <family val="2"/>
      </rPr>
      <t>Evidence Test: Cryptographic Module</t>
    </r>
    <r>
      <rPr>
        <sz val="10"/>
        <color theme="1"/>
        <rFont val="Arial"/>
        <family val="2"/>
      </rPr>
      <t xml:space="preserve">
- implemented to protect covered/confidential information</t>
    </r>
  </si>
  <si>
    <t>2047.0</t>
  </si>
  <si>
    <t>19974.01mNYDOHOrganizational.3</t>
  </si>
  <si>
    <t>2011.1</t>
  </si>
  <si>
    <t>19980.06dHIPAAOrganizational.1</t>
  </si>
  <si>
    <t>2012.0</t>
  </si>
  <si>
    <t>19981.06dGroupPlansOrganizational.1</t>
  </si>
  <si>
    <t>Test</t>
  </si>
  <si>
    <t>Inquiry Test</t>
  </si>
  <si>
    <t>Position</t>
  </si>
  <si>
    <t>Test 001: Access Account (business partner)</t>
  </si>
  <si>
    <t xml:space="preserve">Population Source/Tool: </t>
  </si>
  <si>
    <t xml:space="preserve">Population Date Range: </t>
  </si>
  <si>
    <t xml:space="preserve">Population Size: </t>
  </si>
  <si>
    <t xml:space="preserve">Sample Methodology: </t>
  </si>
  <si>
    <t xml:space="preserve">Sample Size: </t>
  </si>
  <si>
    <t>Selected</t>
  </si>
  <si>
    <t>Provide evidence that an annual review of access was conducted for all selected samples.</t>
  </si>
  <si>
    <t>Provide evidence that logical access is configured according to the organization's access control program for all selected samples.</t>
  </si>
  <si>
    <t>Provide evidence that physical access is configured according to the organization's access control program for all selected samples.</t>
  </si>
  <si>
    <t>Provide evidence that access has been authorized for use and is still required for all selected samples.</t>
  </si>
  <si>
    <t>If access is no longer required, provide evidence that the account has been disabled/deactivated for all selected samples that apply.</t>
  </si>
  <si>
    <t>Provide evidence that account is assigned a unique ID/name to maintain accountability for all selected samples.</t>
  </si>
  <si>
    <t>Provide evidence that access and permissions are restricted to the minimum required for all selected samples.</t>
  </si>
  <si>
    <t>Provide evidence that access and permissions are limited in duration for all selected samples.</t>
  </si>
  <si>
    <t>Score</t>
  </si>
  <si>
    <t>Comment</t>
  </si>
  <si>
    <t>Test 002: Access Account (group/shared/generic)</t>
  </si>
  <si>
    <t>Provide evidence that additional controls exist to maintain accountability when accounts are used for all selected samples.</t>
  </si>
  <si>
    <t>Provide evidence that actions carried out while using accounts do not need to be traced for all selected samples.</t>
  </si>
  <si>
    <t>Test 003: Access Account (privileged)</t>
  </si>
  <si>
    <t>Provide evidence that multi-factor authentication is required to authenticate to the in-scope environment for all selected samples.</t>
  </si>
  <si>
    <t>Provide evidence that the workforce member associated with the privileged access account has a separate, standard user access account for all selected samples.</t>
  </si>
  <si>
    <t>Provide evidence that required privileges have been identified (e.g., security groups, permissions, etc.) for all selected samples.</t>
  </si>
  <si>
    <t>Provide evidence that access is restricted to appropriate workforce members for all selected samples.</t>
  </si>
  <si>
    <t>Test 004: Access Account (service)</t>
  </si>
  <si>
    <t>Test 005: Access Account (standard with LAN access to information system component/resource)</t>
  </si>
  <si>
    <t>Test 006: Access Account (standard)</t>
  </si>
  <si>
    <t>Test 007: Access Account (vendor with remote access to client/customer information)</t>
  </si>
  <si>
    <t>Test 008: Access Account (vendor)</t>
  </si>
  <si>
    <t>Test 009: Access Account (workforce member)</t>
  </si>
  <si>
    <t>Test 010: Application (allow access to other application)</t>
  </si>
  <si>
    <t>Provide evidence that access was approved and is being controlled for all selected samples.</t>
  </si>
  <si>
    <t>Provide evidence that access is in compliance with the organization's access control program for all selected samples.</t>
  </si>
  <si>
    <t>Test 011: Application (authentication not required)</t>
  </si>
  <si>
    <t>Provide evidence of formal business justification and approval by management for all selected samples.</t>
  </si>
  <si>
    <t>Test 012: Application (authentication required)</t>
  </si>
  <si>
    <t>Provide evidence that the current version is supported by vendor for all selected samples.</t>
  </si>
  <si>
    <t>Provide evidence that passwords are not displayed in plain text when entered for all selected samples.</t>
  </si>
  <si>
    <t>Provide evidence that automated tools have been implemented and configured to help workforce members select strong passwords/passphrases for all selected samples.</t>
  </si>
  <si>
    <t>If passwords are stored, provide evidence that encryption has been configured/enabled for all selected samples that apply.</t>
  </si>
  <si>
    <t>If passwords are transmitted, provide evidence that encryption has been configured/enabled for all selected samples that apply.</t>
  </si>
  <si>
    <t>Provide evidence that passwords are not included in any automated log-on process for all selected samples.</t>
  </si>
  <si>
    <t>If passwords are stored, provide evidence that encryption has been configured/enabled for all selected samples.</t>
  </si>
  <si>
    <t>If passwords are transmitted, provide evidence that encryption has been configured/enabled for all selected samples.</t>
  </si>
  <si>
    <t>Provide evidence that applications/systems can force workforce members to select new passwords upon initial logon for all selected samples.</t>
  </si>
  <si>
    <t>Provide evidence that default accounts and/or passwords have been removed/secured for all selected samples.</t>
  </si>
  <si>
    <t>Provide evidence that access accounts are unique and not redundant to maintain accountability for all selected samples.</t>
  </si>
  <si>
    <t>Provide evidence that group/shared/generic workforce access accounts do not exist for all selected samples.</t>
  </si>
  <si>
    <t>If group/shared/generic workforce access accounts exist, provide evidence of business justification for all identified accounts.</t>
  </si>
  <si>
    <t>Provide evidence that access rights have been restricted to the appropriate workforce members for all selected samples.</t>
  </si>
  <si>
    <t>Provide evidence that role-based access controls have been implemented for all selected samples.</t>
  </si>
  <si>
    <t>Provide evidence that role-based access controls and/or system routines/programs have been implemented to reduce the need to run elevated permissions for all selected samples.</t>
  </si>
  <si>
    <t>Provide evidence that default deny-all access control settings have been implemented for all selected samples.</t>
  </si>
  <si>
    <t>Provide evidence that critical system and workforce access accounts are reviewed every 60 days for all selected samples.</t>
  </si>
  <si>
    <t>Provide evidence that all other access accounts are reviewed every 90 days for all selected samples.</t>
  </si>
  <si>
    <t>If system is used to authenticate to an HIE system, provide evidence that role-based access controls have been implemented for all selected samples that apply.</t>
  </si>
  <si>
    <t>If system is used to authenticate to an HIE system, provide evidence that all access accounts associated with HIE activities are reviewed every 90 days for all selected samples that apply.</t>
  </si>
  <si>
    <t>If any discrepancies have been identified, provide evidence that they have been remediated in a timely manner for all selected samples that apply.</t>
  </si>
  <si>
    <t>Test 013: Application (classified sensitive)</t>
  </si>
  <si>
    <t>Provide evidence that sensitivity pertaining to data handled was documented and approved by management for all selected samples.</t>
  </si>
  <si>
    <t>Provide evidence that remote connections have been configured for predetermined time-slots and/or normal hours of operation for all selected samples.</t>
  </si>
  <si>
    <t>Provide evidence that remote connections require re-authentication at specific time intervals for all selected samples.</t>
  </si>
  <si>
    <t>Test 014: Application (commercial)</t>
  </si>
  <si>
    <t>Test 015: Application (developed and web facing)</t>
  </si>
  <si>
    <t>Test 016: Application (developed)</t>
  </si>
  <si>
    <t>Provide evidence that only approved application/code was installed/used for all selected samples.</t>
  </si>
  <si>
    <t>Provide evidence that vulnerability testing has been performed within the past 365 days for all selected samples.</t>
  </si>
  <si>
    <t>Provide evidence that vulnerability testing included testing input validation controls for all selected samples.</t>
  </si>
  <si>
    <t>Test 017: Application (handle covered/confidential information)</t>
  </si>
  <si>
    <t>Provide evidence that outputs of covered/confidential information is limited to the minimum necessary and only for authorized terminals/locations for all selected samples.</t>
  </si>
  <si>
    <t>If covered/confidential information is stored in a non-secure environment, provide evidence that encryption has been implemented for all selected samples that apply.</t>
  </si>
  <si>
    <t>If covered/confidential information is not encrypted in a secure environment, provide evidence that a business justification has been documented and approved for all selected samples that apply.</t>
  </si>
  <si>
    <t>Test 018: Application (open source)</t>
  </si>
  <si>
    <t>Provide evidence that appropriate licenses have been obtained for all selected samples.</t>
  </si>
  <si>
    <t>Provide evidence of formal approval for use, from management, for all selected samples.</t>
  </si>
  <si>
    <t>Provide evidence that a baseline configuration/standard was used for implementation/setup of all selected samples.</t>
  </si>
  <si>
    <t>Test 019: Application (remote access)</t>
  </si>
  <si>
    <t>Provide evidence that the ability to copy, move, print, and/or store locally has been disabled for all selected samples.</t>
  </si>
  <si>
    <t>If  the ability to copy, move, print, and/or store locally has not been disabled, provide evidence that a business justification has been documented and approved for all selected samples that apply.</t>
  </si>
  <si>
    <t>Test 020: Application (security-related)</t>
  </si>
  <si>
    <t>Test 021: Application (web application)</t>
  </si>
  <si>
    <t>Provide evidence that a web application firewall has been implemented and configured for all selected samples.</t>
  </si>
  <si>
    <t>If traffic is encrypted, provide evidence that the web application firewall has the ability to decrypt the traffic for all selected samples that apply.</t>
  </si>
  <si>
    <t>Test 022: Change</t>
  </si>
  <si>
    <t>Provide evidence that change was approved and an audit trail was maintained for all selected samples.</t>
  </si>
  <si>
    <t>Provide evidence that change was controlled and archived for all selected samples.</t>
  </si>
  <si>
    <t>Test 023: Change (access to guest/anonymous, shared/group, emergency, and/or temporary account)</t>
  </si>
  <si>
    <t>Provide evidence that access to account was authorized for all selected samples.</t>
  </si>
  <si>
    <t>If a workforce member was removed from an account, provide evidence that account credentials were modified for all selected samples that apply.</t>
  </si>
  <si>
    <t>Test 024: Change (access to information system)</t>
  </si>
  <si>
    <t>Provide evidence that access requests and authorizations are segregated between different workforce members/teams for all selected samples.</t>
  </si>
  <si>
    <t>Provide evidence that the organization's authorization process was followed for all selected samples.</t>
  </si>
  <si>
    <t>Provide evidence that the access request was explicitly authorized for all selected samples.</t>
  </si>
  <si>
    <t>Test 025: Change (access to privileged permissions)</t>
  </si>
  <si>
    <t>Test 026: Change (access to security tool)</t>
  </si>
  <si>
    <t>Test 027: Change (access to system document)</t>
  </si>
  <si>
    <t>Provide evidence that access was approved/authorized by the application/system owner for all selected samples.</t>
  </si>
  <si>
    <t>Test 028: Change (business continuity)</t>
  </si>
  <si>
    <t>Provide evidence that existing emergency procedures are amended as appropriate for all selected samples.</t>
  </si>
  <si>
    <t>Provide evidence that changes followed the change management process for all selected samples.</t>
  </si>
  <si>
    <t>Provide evidence that business continuity plans where updated for all selected samples.</t>
  </si>
  <si>
    <t>Provide evidence that business continuity and disaster recovery plans were amended/updated for all selected samples.</t>
  </si>
  <si>
    <t>Test 029: Change (commercial software)</t>
  </si>
  <si>
    <t>Provide evidence that business requirements were taken into consideration prior to implementation for all selected samples.</t>
  </si>
  <si>
    <t>Provide evidence that privacy and security impacts/requirements were considered prior to implementation for all selected samples.</t>
  </si>
  <si>
    <t>Provide evidence that implementation was conducted by an authorized administrator for all selected samples.</t>
  </si>
  <si>
    <t>Provide evidence that affected/related security controls were assessed prior to implementation/release for all selected samples.</t>
  </si>
  <si>
    <t>If required, provided evidence that manual controls were implemented for any affect security controls prior to implementation/release for all selected samples that apply.</t>
  </si>
  <si>
    <t>Test 030: Change (information system and system components)</t>
  </si>
  <si>
    <t>Provide evidence of formal documentation for all selected samples.</t>
  </si>
  <si>
    <t>Provide evidence of testing (if required) for all selected samples.</t>
  </si>
  <si>
    <t>Provide evidence of formal approval by management for all selected samples.</t>
  </si>
  <si>
    <t>Provide evidence that change was communicated after implementation for all selected samples.</t>
  </si>
  <si>
    <t>Test 031: Change (item on security report)</t>
  </si>
  <si>
    <t>Test 032: Change (mobile device)</t>
  </si>
  <si>
    <t>Provide evidence that change followed the organization's change management program for all selected samples.</t>
  </si>
  <si>
    <t>Test 033: Change (network connection)</t>
  </si>
  <si>
    <t>Provide evidence that change was formally documented, tested, and approved prior to implementation for all selected samples.</t>
  </si>
  <si>
    <t>If connection change significantly impacted the in-scope environment, provide evidence that the network diagram was updated to reflect the change for all selected samples that apply.</t>
  </si>
  <si>
    <t>Test 034: Change (new endpoint installation)</t>
  </si>
  <si>
    <t>Provide evidence that change was implemented after successful testing was conducted for all selected samples.</t>
  </si>
  <si>
    <t>Provide evidence that a risk assessment was performed following the implemented change for all selected samples.</t>
  </si>
  <si>
    <t>Test 035: Change (outsourced software/system development)</t>
  </si>
  <si>
    <t>Test 036: Change (physical security)</t>
  </si>
  <si>
    <t>Provide evidence that a record was documented and retained in accordance with the organization's retention policy for all selected samples.</t>
  </si>
  <si>
    <t>Test 037: Change (physical to virtual migration)</t>
  </si>
  <si>
    <t>Provide evidence that encrypted communication channels were used during the migration for all selected samples.</t>
  </si>
  <si>
    <t>Provide evidence that network segregation (i.e., non-production to production) was in place during migration for all selected samples.</t>
  </si>
  <si>
    <t>Test 038: Change (related to third party service/system)</t>
  </si>
  <si>
    <t>Provide evidence that the change is compliant with terms outlined in the executed agreement for all selected samples.</t>
  </si>
  <si>
    <t>Test 039: Change (significant to environment)</t>
  </si>
  <si>
    <t>Provide evidence that a formal fallback/rollback strategy was drafted for all selected samples.</t>
  </si>
  <si>
    <t>Provide evidence that testing included mobile device, operating system, and application compatibility for all selected samples.</t>
  </si>
  <si>
    <t>Provide evidence that testing was conducted in a separate testing environment (i.e., non-production) for all selected samples.</t>
  </si>
  <si>
    <t>If system/software documentation required updates following a change, provide evidence that the appropriate documentation was updated for all selected samples that apply.</t>
  </si>
  <si>
    <t>Provide evidence that the change was in accordance to a mutually-agreed-upon service expectation (between provider and customer), as well as the organization's service management program for all selected samples.</t>
  </si>
  <si>
    <t>Provide evidence that workforce members with security roles received updated training for all selected samples.</t>
  </si>
  <si>
    <t>Provide evidence that the information security architecture and security plan were reviewed and updated to reflect the implemented changes for all selected samples.</t>
  </si>
  <si>
    <t>Test 040: Change (software development release)</t>
  </si>
  <si>
    <t>Provide evidence that a promotion plan (development to production) was outlined prior to release for all selected samples.</t>
  </si>
  <si>
    <t>Provide evidence that testing included usability, security, and effects on other systems/system components for all selected samples.</t>
  </si>
  <si>
    <t>Provide evidence that a formal rollback strategy was drafted for all selected samples.</t>
  </si>
  <si>
    <t>Provide evidence that changes were implemented in accordance with the organization's configuration management program for all selected samples.</t>
  </si>
  <si>
    <t>Provide evidence that a code review, conducted by someone other than the originating author, was performed for all selected samples.</t>
  </si>
  <si>
    <t>Provide evidence that any non-compliances identified during the code review were implemented for all selected samples.</t>
  </si>
  <si>
    <t>Provide evidence that the code review was approved by management prior to release for all selected samples.</t>
  </si>
  <si>
    <t>Provide evidence that all test accounts and/or data was removed prior to release for all selected samples.</t>
  </si>
  <si>
    <t>Provide evidence that an appropriate acceptable design specification and security architecture was formally documented and included a description of the functional properties of the security controls to be employed for all selected samples.</t>
  </si>
  <si>
    <t>Provide evidence that an appropriate acceptable design specification and security architecture was formally documented and included design and implementation information for the security controls to be employed for all selected samples.</t>
  </si>
  <si>
    <t>Provide evidence that change formally identified and documented the functions, ports, protocols, and services intended for organizational use for all selected samples.</t>
  </si>
  <si>
    <t>Provide evidence that the change was in compliance with the organization's Software/System Development Life Cycle Program for all selected samples.</t>
  </si>
  <si>
    <t>Provide evidence that project definition/planning includes documentation of system requirements for information security processes for all selected samples.</t>
  </si>
  <si>
    <t>Provide evidence that project definition/planning includes the approval of data classifications and risks for any involved information assets for all selected samples.</t>
  </si>
  <si>
    <t>Provide evidence that independent software/system acceptance testing (e.g., user acceptance) was conducted for all selected samples.</t>
  </si>
  <si>
    <t>Provide evidence that output data validation testing was conducted for all selected samples.</t>
  </si>
  <si>
    <t>Provide evidence that a log of activities was created during output data validation testing for all selected samples.</t>
  </si>
  <si>
    <t>Test 041: Change (system development)</t>
  </si>
  <si>
    <t>Provide evidence that a checklist was used to implement change for all selected samples.</t>
  </si>
  <si>
    <t>Provide evidence that a vulnerability scan was performed against system component after change was implement for all selected samples</t>
  </si>
  <si>
    <t>Test 042: Change (virtual machine image)</t>
  </si>
  <si>
    <t>If change impacted how customer's can configure virtual instances, provide evidence that the change was made available for all customers to review for all selected samples that apply.</t>
  </si>
  <si>
    <t>Provide evidence that an alert was sent and validated for all selected samples.</t>
  </si>
  <si>
    <t>Test 043: Endpoint Device (auto-update capable)</t>
  </si>
  <si>
    <t>Provide evidence that auto-updates have been enabled for all selected samples.</t>
  </si>
  <si>
    <t>Test 044: Endpoint Device (auto-update incapable)</t>
  </si>
  <si>
    <t>Provide evidence that updates are manually tracked and installed for all selected samples.</t>
  </si>
  <si>
    <t>Test 045: Endpoint Device (BYOD)</t>
  </si>
  <si>
    <t>Provide evidence that endpoint protection agents/sensors are installed, operating, and up-to-date for all selected samples.</t>
  </si>
  <si>
    <t>Provide evidence that audit logs are generated for all checks performed by endpoint protection software for all selected samples.</t>
  </si>
  <si>
    <t>Provide evidence that tamper settings have been enabled on endpoint protection agents/sensors for all selected samples.</t>
  </si>
  <si>
    <t>Provide evidence that browsers have been configured to block unauthorized mobile code for all selected samples</t>
  </si>
  <si>
    <t>Provide evidence that a host-based firewall/port filter is configured with default-deny rule for all selected samples.</t>
  </si>
  <si>
    <t>Provide evidence that devices have the latest software/patches installed for all selected samples</t>
  </si>
  <si>
    <t>Provide evidence that controls have been implemented to prevent workforce members from disabling/removing security controls for all selected samples.</t>
  </si>
  <si>
    <t>Provide evidence that the most current version of all used web browsers are installed for all selected systems.</t>
  </si>
  <si>
    <t>Provide evidence that a baseline configuration/standard was used to setup the operating system of all selected samples.</t>
  </si>
  <si>
    <t>If baseline exceptions are required, provide evidence that they have been identified, documented, and approved for all selected samples that apply.</t>
  </si>
  <si>
    <t>Provide evidence that application black/whitelisting controls/tools have been implemented for all selected samples.</t>
  </si>
  <si>
    <t>Provide evidence that controls/tools have been implemented to prevent the execution of unauthorized software for all selected samples.</t>
  </si>
  <si>
    <t>Provide evidence that a technical compliance check is performed annually to identify any vulnerabilities for all selected samples.</t>
  </si>
  <si>
    <t>Provide evidence that insecure services have been disabled for all selected samples.</t>
  </si>
  <si>
    <t>If insecure services are in use, provide evidence that security features for used services have been configured for all selected samples.</t>
  </si>
  <si>
    <t>Provide evidence that interface characteristics, security requirements, and nature of information exchanged have been formally documented for all selected samples.</t>
  </si>
  <si>
    <t>Provide evidence that the connection was formally authorized and documented for all selected samples.</t>
  </si>
  <si>
    <t>Provide evidence that an allow-all, deny-by-exception or a deny-all, permit-by-exception policy has been formally defined in a security agreement and/or security plan for all selected samples.</t>
  </si>
  <si>
    <t>Provide evidence that specific functions, ports, and protocols intended for use have been formally defined in a security agreement and/or security plan for all selected samples.</t>
  </si>
  <si>
    <t>Provide evidence that workforce members are restricted from changing password/PIN complexities/requirements for all selected samples.</t>
  </si>
  <si>
    <t>Provide evidence that password policies are enforced through technical means for all selected samples.</t>
  </si>
  <si>
    <t>Provide evidence that access controls/administrative levels have been configured for all selected samples.</t>
  </si>
  <si>
    <t>Provide evidence that the ability to reconfigure system utilities requires authentication, identification, and authorization for all selected samples.</t>
  </si>
  <si>
    <t>Provide evidence that system utility applications are separated from operational applications for all selected samples.</t>
  </si>
  <si>
    <t>Provide evidence that the system is configured to pause all local sessions after 15 minutes of inactivity, and requires reauthentication to resume sessions for all selected samples.</t>
  </si>
  <si>
    <t>Provide evidence that the system is configured to terminate all network sessions after 30 minutes of inactivity for all selected samples.</t>
  </si>
  <si>
    <t>If the system cannot be modified, provide evidence that a limited form of time-out that clears the screen but does not close down the application or network sessions is configured for all selected samples that apply.</t>
  </si>
  <si>
    <t>Provide evidence that session time-outs have been configured and requires re-authentication for all selected systems.</t>
  </si>
  <si>
    <t>Test 046: Endpoint Device (classified as critical)</t>
  </si>
  <si>
    <t>Provide evidence that automatic updates have been disabled for all selected samples.</t>
  </si>
  <si>
    <t>Test 047: Endpoint Device (collaborative computing)</t>
  </si>
  <si>
    <t>Test 048: Endpoint Device (disposed)</t>
  </si>
  <si>
    <t>Provide evidence that data was deleted prior to disposal for all selected samples.</t>
  </si>
  <si>
    <t>Test 049: Endpoint Device (identified as unauthorized)</t>
  </si>
  <si>
    <t>Provide evidence that network access has been disabled for all selected samples.</t>
  </si>
  <si>
    <t>Test 050: Endpoint Device (laptop)</t>
  </si>
  <si>
    <t>Provide evidence that device registration is recorded in an asset inventory for all selected samples.</t>
  </si>
  <si>
    <t>Provide evidence that encryption has been implemented for all selected samples.</t>
  </si>
  <si>
    <t>If encryption is not used, provide evidence that physical security controls have been implemented for all selected samples that apply.</t>
  </si>
  <si>
    <t>Provide evidence that an automated banner has been configured stating the device is private for all selected samples.</t>
  </si>
  <si>
    <t>Provide evidence that an automated banner has been configured stating unauthorized access is prohibited for all selected samples.</t>
  </si>
  <si>
    <t>Provide evidence that an automated banner has been configured stating conditions and acceptable use of access for all selected samples.</t>
  </si>
  <si>
    <t>Provide evidence that an automated banner has been configured stating any privacy/security notices for all selected samples.</t>
  </si>
  <si>
    <t>Provide evidence that an automated banner has to be accepted in order to authenticate to the device for all selected samples.</t>
  </si>
  <si>
    <t>Test 051: Endpoint Device (multifunctional output)</t>
  </si>
  <si>
    <t>Test 052: Endpoint Device (not authorized for wireless use)</t>
  </si>
  <si>
    <t>Provide evidence that wireless capabilities have been disabled for all selected samples.</t>
  </si>
  <si>
    <t>Test 053: Endpoint Device (remote with ability to process data)</t>
  </si>
  <si>
    <t>Provide evidence that the device is not able to establish a connection with unauthorized remote resources (split tunneling) for all selected samples.</t>
  </si>
  <si>
    <t>Provide evidence that the device was formally authorized for use by management for all selected samples.</t>
  </si>
  <si>
    <t>Test 054: Endpoint Device (server)</t>
  </si>
  <si>
    <t>Provide evidence that clock synchronization is configured from at least two different time sources for all selected samples.</t>
  </si>
  <si>
    <t>Test 055: Endpoint Device (stores sensitive information)</t>
  </si>
  <si>
    <t>Test 056: Endpoint Device (virtual)</t>
  </si>
  <si>
    <t>Provide evidence that virtual device management console requires two/multi-factor authentication for all selected samples.</t>
  </si>
  <si>
    <t>Provide evidence that virtual device management console access is limited to appropriate workforce members for all selected samples.</t>
  </si>
  <si>
    <t>Test 057: Endpoint Device (wireless capable)</t>
  </si>
  <si>
    <t>Provide evidence that file sharing has been disabled on all selected samples.</t>
  </si>
  <si>
    <t>If file sharing is required, provide business justification for using file sharing on all selected samples that apply.</t>
  </si>
  <si>
    <t>Test 058: Endpoint Device (workstation)</t>
  </si>
  <si>
    <t>Test 059: External Entity (cloud/network service provider)</t>
  </si>
  <si>
    <t>Provide evidence that an agreement was executed that included security controls/features for all selected samples.</t>
  </si>
  <si>
    <t>Provide evidence that an agreement was executed that included service levels for all selected samples.</t>
  </si>
  <si>
    <t>Provide evidence that an agreement was executed that included management of service for all selected samples.</t>
  </si>
  <si>
    <t>Provide evidence that agreements are reviewed and updated on a consistent basis for all selected samples.</t>
  </si>
  <si>
    <t>If an audit was conducted, provide evidence of the audit results for all selected samples that apply.</t>
  </si>
  <si>
    <t>Test 060: External Entity (Computer Matching Agreement)</t>
  </si>
  <si>
    <t>Test 061: External Entity (customer)</t>
  </si>
  <si>
    <t>If customer requested data, provide evidence that structured and/or unstructured data was provided in an industry-standard format for all selected samples that apply.</t>
  </si>
  <si>
    <t>Provide evidence that the agreement/contract makes available the secure &amp; standard network protocol to import/export data for all selected samples.</t>
  </si>
  <si>
    <t>If external entity requires logical/physical access to the in-scope environment, provide evidence that security controls have been implemented to protect all access for all selected samples that apply.</t>
  </si>
  <si>
    <t>If external entity requires logical/physical access to the in-scope environment, provide evidence that a contract defining terms and conditions was fully executed for all selected samples that apply.</t>
  </si>
  <si>
    <t>Provide evidence that agreements/contracts define terms and conditions for service-to-service applications (API) for all selected samples.</t>
  </si>
  <si>
    <t>Provide evidence that agreements/contracts define terms and conditions for portability for application development and information exchange, usage, and integrity persistence for all selected samples.</t>
  </si>
  <si>
    <t>Provide evidence that agreements/contracts define terms and conditions for information processing interoperability for all selected samples.</t>
  </si>
  <si>
    <t>Provide evidence that agreements/contracts have been reviewed and approved by management for all selected samples.</t>
  </si>
  <si>
    <t>Provide evidence that supply chain agreements include provisions as outlined by control requirement 1453.05kCSPOrganizational.2 for all selected samples.</t>
  </si>
  <si>
    <t>Provide evidence that agreements/contracts are reviewed every 365 days for all selected samples.</t>
  </si>
  <si>
    <t>If any non-conformance items were identified, provide evidence that action items were implemented to address service-level conflicts or inconsistencies for all selected samples that apply.</t>
  </si>
  <si>
    <t>Provide evidence that agreements/contracts are reviewed annually, by management, to ensure compliance with information security and confidentiality, access control, service definitions, and service-level agreements for all selected samples.</t>
  </si>
  <si>
    <t>Test 062: External Entity (eCommerce trading partner)</t>
  </si>
  <si>
    <t>Provide evidence that an agreement was executed for all selected samples.</t>
  </si>
  <si>
    <t>Provide evidence that an agreement was executed that defines terms of trading (authorization) for all selected samples.</t>
  </si>
  <si>
    <t>Test 063: External Entity (information exchange with CMS)</t>
  </si>
  <si>
    <t>Test 064: External Entity (limited data set recipient)</t>
  </si>
  <si>
    <t>Test 065: External Entity (new third party)</t>
  </si>
  <si>
    <t>Provide evidence that security requirements are defined in an agreement/contract for all selected samples.</t>
  </si>
  <si>
    <t>Test 066: External Entity (non-local maintenance and diagnostic service)</t>
  </si>
  <si>
    <t>Test 067: External Entity (software development outsourcing)</t>
  </si>
  <si>
    <t>Provide evidence that all security flaws and resolutions are tracked and reported for all selected samples.</t>
  </si>
  <si>
    <t>Provide evidence that an agreement was executed that defines licensing requirements for all selected samples.</t>
  </si>
  <si>
    <t>Provide evidence that an agreement was executed that defines ownership requirements for all selected samples.</t>
  </si>
  <si>
    <t>Provide evidence that an agreement was executed that defines intellectual property rights for all selected samples.</t>
  </si>
  <si>
    <t>Provide evidence that an agreement was executed that defines certification requirements for all selected samples.</t>
  </si>
  <si>
    <t>Provide evidence that an agreement was executed that defines right of access to audit accuracy/quality requirements for all selected samples.</t>
  </si>
  <si>
    <t>Provide evidence that an agreement was executed that defines escrow requirements for all selected samples.</t>
  </si>
  <si>
    <t>Provide evidence that an agreement was executed that defines quality and security requirements for all selected samples.</t>
  </si>
  <si>
    <t>Provide evidence that an agreement was executed that defines security testing and evaluation requirements for all selected samples.</t>
  </si>
  <si>
    <t>Provide evidence that the outsourced development environment was certified by an independent security member/party for all selected samples.</t>
  </si>
  <si>
    <t>Provide evidence that certified security training was provided for all outsourced software developers for all selected samples.</t>
  </si>
  <si>
    <t>Provide evidence that code reviews are conducted for developed releases for all selected samples.</t>
  </si>
  <si>
    <t>Test 068: External Entity (system development outsourcing)</t>
  </si>
  <si>
    <t>Test 069: External Entity (third party information exchange)</t>
  </si>
  <si>
    <t>Provide evidence that a fully executed agreement exists that addresses the requirement statement (0837.09n2Organizational.2) for all selected samples.</t>
  </si>
  <si>
    <t>Provide evidence that a fully executed agreement outlines the service providers responsibility to protect any covered/confidential information shared for all selected samples.</t>
  </si>
  <si>
    <t>Provide evidence that anti-malware protection have been configured and implemented for all selected samples.</t>
  </si>
  <si>
    <t>Provide evidence that cryptographic techniques have been configured and implemented to protect the confidentiality, integrity, and authenticity of covered information for all selected samples.</t>
  </si>
  <si>
    <t>Provide evidence that controls and/or restrictions have been implemented for forwarding of communications for all selected samples.</t>
  </si>
  <si>
    <t>Provide evidence that the agreement defines terms and conditions for authorized individuals to access the in-scope environment and/or process covered/confidential information using external information devices/systems for all selected samples.</t>
  </si>
  <si>
    <t>If external entity requires remote access to the in-scope environment, provide evidence that encryption has been implemented for all connections to and/or from all selected samples that apply.</t>
  </si>
  <si>
    <t>Provide evidence that the agreement defines ownership and security requirements regarding information being exchanged for all selected samples.</t>
  </si>
  <si>
    <t>If connecting organization to HIE (Health Information Exchange) network, provide evidence that an agreement defining personnel security requirements, roles, and responsibilities was fully executed for all selected samples that apply.</t>
  </si>
  <si>
    <t>If connecting organization to HIE (Health Information Exchange) network, provide evidence that an agreement defining that it is the sole responsibility of the connecting organization to appropriately restrict access was fully executed for all selected samples that apply.</t>
  </si>
  <si>
    <t>If connecting organization to HIE (Health Information Exchange) network, provide evidence that an agreement defining the requirements of connecting organizations to request and receive detailed access logs was fully executed for all selected samples that apply.</t>
  </si>
  <si>
    <t>Provide evidence that the agreement defines classification regarding information being exchanged for all selected samples.</t>
  </si>
  <si>
    <t>Provide evidence that the agreement defines responsibilities for transmission regarding information being exchanged for all selected samples.</t>
  </si>
  <si>
    <t>Provide evidence that the agreement defines responsibilities of notifying sender of transmission regarding information being exchanged for all selected samples.</t>
  </si>
  <si>
    <t>Provide evidence that the agreement defines traceability and non-repudiation regarding information being exchanged for all selected samples.</t>
  </si>
  <si>
    <t>Provide evidence that the agreement defines packaging/transmission security regarding information being exchanged for all selected samples.</t>
  </si>
  <si>
    <t>Provide evidence that the agreement defines courier identification standards regarding information being exchanged for all selected samples.</t>
  </si>
  <si>
    <t>Provide evidence that the agreement defines responsibilities for security incidents regarding information being exchanged for all selected samples.</t>
  </si>
  <si>
    <t>Provide evidence that the agreement defines labeling requirements regarding information being exchanged for all selected samples.</t>
  </si>
  <si>
    <t>Provide evidence that the agreement defines special considerations regarding information being exchanged for all selected samples.</t>
  </si>
  <si>
    <t>Provide evidence that the agreement defines escrow agreements regarding information being exchanged for all selected samples.</t>
  </si>
  <si>
    <t>Provide evidence that a fully executed agreement exists that addresses the requirement statement (19546.13rHIPAAOrganizational.1) for all selected samples.</t>
  </si>
  <si>
    <t>Provide evidence that an agreement was executed and that it applies in the same manner as an agreement between the organization and its clients for all selected samples.</t>
  </si>
  <si>
    <t>Test 070: External Entity (third party)</t>
  </si>
  <si>
    <t>If external entity requires remote access to the in-scope environment, provide evidence that due diligence was performed prior to signing and/or annually thereafter for all selected samples that apply.</t>
  </si>
  <si>
    <t>If external entity requires remote access to the in-scope environment, provide evidence that appropriate controls have been implemented for all connections to and/or from all selected samples that apply.</t>
  </si>
  <si>
    <t>If external entity requires remote access to the in-scope environment, provide evidence that an agreement was executed that defines security requirements for all selected samples that apply.</t>
  </si>
  <si>
    <t>If external entity requires remote access to the in-scope environment, provide evidence that an agreement was executed that defines liabilities for all selected samples that apply.</t>
  </si>
  <si>
    <t>Provide evidence that due diligence was performed prior to signing and/or annually thereafter for all selected samples.</t>
  </si>
  <si>
    <t>Provide evidence that a non-disclosure agreement (NDA) was executed as part of the initial due diligence for all selected samples.</t>
  </si>
  <si>
    <t>Provide evidence that an agreement was executed that defines all requirements as outlined by the requirement statement for all selected samples.</t>
  </si>
  <si>
    <t>Provide evidence that a fully executed agreement exists that addresses the requirement statement (1407.05k2Organizational.1) for all selected samples.</t>
  </si>
  <si>
    <t>Provide evidence that an agreement was executed that defines security requirements for all selected samples.</t>
  </si>
  <si>
    <t>Provide evidence that an agreement was executed that defines liabilities for all selected samples.</t>
  </si>
  <si>
    <t>Provide evidence that an agreement was executed that defines service definitions for all selected samples.</t>
  </si>
  <si>
    <t>Provide evidence that an agreement was executed that defines all other aspects or service management for selected samples.</t>
  </si>
  <si>
    <t>Provide evidence that an agreement was executed that defines availability requirements for all selected samples.</t>
  </si>
  <si>
    <t>If a transition from one service to another occurred within the reporting period, provide evidence that security was considered and maintained for all selected samples that apply.</t>
  </si>
  <si>
    <t>Provide evidence that the executed agreement is reviewed annually for all selected samples.</t>
  </si>
  <si>
    <t>Provide evidence that the executed agreement is compared against SLA monitoring records for all selected samples.</t>
  </si>
  <si>
    <t>If external entity requires logical/physical access to the in-scope environment, provide evidence that all applicable risks related to the requirement statement (1418.05i2Organizational.5) were considered for all selected samples that apply.</t>
  </si>
  <si>
    <t>If the external entity requires logical and/or physical access, provide evidence that an agreement was executed that defines security controls related to access for all selected samples.</t>
  </si>
  <si>
    <t>Provide evidence that an agreement was executed that defines an indemnity clause for all selected samples.</t>
  </si>
  <si>
    <t>Provide evidence that the third party monitors its security controls for abnormalities and violations for all selected samples.</t>
  </si>
  <si>
    <t>Provide evidence that annual review was conducted to validate reasonable information security controls are in place for all selected samples.</t>
  </si>
  <si>
    <t>Test 071: Information Security (authorization/consent form)</t>
  </si>
  <si>
    <t>Test 072: Information Security (breach forensic investigation required)</t>
  </si>
  <si>
    <t>Test 073: Information Security (breach)</t>
  </si>
  <si>
    <t>If required to notify covered entities, provide evidence that processes where followed in accordance with the organization's Incident Response Program for all selected samples that apply.</t>
  </si>
  <si>
    <t>If required to notify media outlets serving the state/jurisdiction, provide evidence that processes where followed in accordance with the organization's Incident Response Program for all selected samples that apply.</t>
  </si>
  <si>
    <t>If required to notify the HHS Secretary, provide evidence that processes where followed in accordance with the organization's Incident Response Program for all selected samples that apply.</t>
  </si>
  <si>
    <t>Provide evidence that the breach/incident was handled in accordance with the organization's Incident Response Program for all selected samples.</t>
  </si>
  <si>
    <t>Provide evidence that a report was made to the designated official with 60 days of discovery for all selected samples.</t>
  </si>
  <si>
    <t>Provide evidence that the report includes a description of events for all selected samples.</t>
  </si>
  <si>
    <t>Provide evidence that the report includes the actual date of the breach and the date of discovery for all selected samples.</t>
  </si>
  <si>
    <t>Provide evidence that the report includes the types of data/information involved for all selected samples.</t>
  </si>
  <si>
    <t>Provide evidence that the report includes recommend steps for individuals and/or organizations affected for all selected samples.</t>
  </si>
  <si>
    <t>Provide evidence that the report includes the steps the organization has/will take to address the breach/incident for all selected samples.</t>
  </si>
  <si>
    <t>Provide evidence that the report includes the organization's point of contact information.</t>
  </si>
  <si>
    <t>Provide evidence that the appropriate authorities were promptly notified for all selected samples.</t>
  </si>
  <si>
    <t>Test 074: Information Security (business continuity &amp; disaster plan)</t>
  </si>
  <si>
    <t>Provide evidence that capacity requirements are defined for all selected samples.</t>
  </si>
  <si>
    <t>Provide evidence that critical business and mission functions are defined for all selected samples.</t>
  </si>
  <si>
    <t>Provide evidence that recovery objectives are defined for all selected samples.</t>
  </si>
  <si>
    <t>Provide evidence that recovery priorities are defined for all selected samples.</t>
  </si>
  <si>
    <t>Provide evidence that roles and responsibilities are defined for all selected samples.</t>
  </si>
  <si>
    <t>Provide evidence that all continuity procedures and agreements are defined for all selected samples.</t>
  </si>
  <si>
    <t>Provide evidence that acceptable loss of information and services has been identified and defined for all selected samples.</t>
  </si>
  <si>
    <t>Provide evidence that plans are stored remotely for all selected samples.</t>
  </si>
  <si>
    <t>Provide evidence that risk treatment plans/processes have been incorporated into all selected samples.</t>
  </si>
  <si>
    <t>Test 075: Information Security (business continuity &amp; disaster test)</t>
  </si>
  <si>
    <t>Provide evidence that testing was performed inline with the documented test schedule for all selected samples.</t>
  </si>
  <si>
    <t>Provide evidence that tests are designed in a programmatic basis such that each element builds upon the other ones for all selected samples.</t>
  </si>
  <si>
    <t>Provide evidence that lessons learned were identified for all selected samples.</t>
  </si>
  <si>
    <t>If identified plans required updates, provide evidence that updates were applied for all selected samples that apply.</t>
  </si>
  <si>
    <t>Provide evidence that the Business Continuity and Disaster Recovery program is tested at least annually for all selected samples.</t>
  </si>
  <si>
    <t>Provide evidence that various scenarios, simulations, and recovery efforts were considered, as outlined by the requirement statement, for all selected samples.</t>
  </si>
  <si>
    <t>Provide evidence that various scenarios, simulations, and recovery efforts were considered including alternate site recovery for all selected samples.</t>
  </si>
  <si>
    <t>Provide evidence that various scenarios, simulations, and recovery efforts were considered including supplier facilities and services for all selected samples.</t>
  </si>
  <si>
    <t>If corrective actions were identified, provide evidence that they were implemented for all selected samples that apply.</t>
  </si>
  <si>
    <t>Test 076: Information Security (business unit)</t>
  </si>
  <si>
    <t>Provide evidence that a security contact/specialist has been formally appointed by name for all selected samples.</t>
  </si>
  <si>
    <t>Provide evidence that a business continuity/disaster recovery plan has been created for all selected samples.</t>
  </si>
  <si>
    <t>Test 077: Information Security (capital planning/investment)</t>
  </si>
  <si>
    <t>Provide evidence that resources have been allocated to implemented the security program for all selected samples.</t>
  </si>
  <si>
    <t>Test 078: Information Security (collection of covered/confidential information)</t>
  </si>
  <si>
    <t>Test 079: Information Security (complaint made by consumer/data subject)</t>
  </si>
  <si>
    <t>If complaints about  failure to assist/cooperate with investigations conducted by the federal or state agency have been made, provide evidence that workforce members have been disciplined for all selected samples that apply.</t>
  </si>
  <si>
    <t>Test 080: Information Security (complaint)</t>
  </si>
  <si>
    <t>Provide evidence that complaints were documented, recorded and processed according to the organization's program for all selected samples.</t>
  </si>
  <si>
    <t>Test 081: Information Security (consumer/data subject notice)</t>
  </si>
  <si>
    <t>Test 082: Information Security (consumer/data subject request for access to his/her information)</t>
  </si>
  <si>
    <t>Provide evidence that the data subject followed the organization's process for requesting access to his/her records for all selected samples.</t>
  </si>
  <si>
    <t>Test 083: Information Security (consumer/data subject request for amendment to his/her information)</t>
  </si>
  <si>
    <t>Test 084: Information Security (consumer/data subject request for an accounting of disclosure)</t>
  </si>
  <si>
    <t>Test 085: Information Security (consumer/data subject request for the restriction of disclosure/use of his/her information)</t>
  </si>
  <si>
    <t>Test 086: Information Security (consumer/data subject request)</t>
  </si>
  <si>
    <t>Test 087: Information Security (consumer/data subject who has been offered/received financial incentives)</t>
  </si>
  <si>
    <t>Test 088: Information Security (consumer/data subject who has exercised his/her rights)</t>
  </si>
  <si>
    <t>Test 089: Information Security (covered information used in non-production environment)</t>
  </si>
  <si>
    <t>Test 090: Information Security (covered/confidential information)</t>
  </si>
  <si>
    <t>Provide evidence that the record meets the Human Services Executive Commissioner's minimum standards pertaining to medical records, as outlined in 25 TAC § 131.53, for all selected samples.</t>
  </si>
  <si>
    <t>Test 091: Information Security (data controller audit)</t>
  </si>
  <si>
    <t>Test 092: Information Security (data governance role)</t>
  </si>
  <si>
    <t>Test 093: Information Security (data impact assessment)</t>
  </si>
  <si>
    <t>Test 094: Information Security (de-identified data)</t>
  </si>
  <si>
    <t>Test 095: Information Security (delivery record)</t>
  </si>
  <si>
    <t>Test 096: Information Security (denial of consumer/data subject request for access to his/her information)</t>
  </si>
  <si>
    <t>Test 097: Information Security (denial of consumer/data subject request for amendment to his/her information)</t>
  </si>
  <si>
    <t>Test 098: Information Security (disciplinary record)</t>
  </si>
  <si>
    <t>Provide evidence that the record includes the nature and gravity of the breach and its impact on business for all selected samples.</t>
  </si>
  <si>
    <t>Provide evidence that the record includes whether or not this is a first or repeat offense for all selected samples.</t>
  </si>
  <si>
    <t>Provide evidence that the record includes whether or not the violator was properly trained for all selected samples.</t>
  </si>
  <si>
    <t>Provide evidence that the record includes relevant legislation and business contracts for all selected samples.</t>
  </si>
  <si>
    <t>Test 099: Information Security (disclosure of covered/confidential information for fundraising purposes)</t>
  </si>
  <si>
    <t>Test 100: Information Security (disclosure of covered/confidential information for judicial and administrative proceedings)</t>
  </si>
  <si>
    <t>Test 101: Information Security (disclosure of covered/confidential information for public health activities)</t>
  </si>
  <si>
    <t>Test 102: Information Security (disclosure of covered/confidential information to a coroner/medical examiner)</t>
  </si>
  <si>
    <t>Test 103: Information Security (disclosure of covered/confidential information to a health oversight agency)</t>
  </si>
  <si>
    <t>Test 104: Information Security (disclosure of covered/confidential information to government authorities)</t>
  </si>
  <si>
    <t>Test 105: Information Security (disclosure of covered/confidential information to law enforcement)</t>
  </si>
  <si>
    <t>Test 106: Information Security (disclosure/use of covered/confidential information)</t>
  </si>
  <si>
    <t>Provide evidence that a log/record containing the following information type, date, time, receiving party, and releasing party have been completed for all selected samples.</t>
  </si>
  <si>
    <t>Provide evidence that consent was obtained prior to disclosure/use of covered/confidential information for all selected samples.</t>
  </si>
  <si>
    <t>Provide evidence that the organization verified the identity of any individual requesting covered/confidential information for all selected samples.</t>
  </si>
  <si>
    <t>If PHI/PII was disclosed to/used by an individual, provide evidence that it was only done when requested/required under federal/state law, or when required by the Secretary of Health and Human Services for specific allowed uses/conditions for all selected samples that apply.</t>
  </si>
  <si>
    <t>Provide evidence that the disclosure/use of PHI/PII was conducted in accordance to its related contract and/or other arrangements for all selected samples.</t>
  </si>
  <si>
    <t>If covered/confidential data/information was disclosed to a service provided, provide evidence of an executed agreement that defines the safeguarding of the data/information for all selected samples that apply.</t>
  </si>
  <si>
    <t>If medical records pertaining to the Texas Cancer Registry were disclosed/used, provide evidence that patient authorization/consent was not requested prior to the lawful transfer for all selected samples that apply.</t>
  </si>
  <si>
    <t>If the organization disclosed/used covered/confidential information without written authorization of the data subject/opportunity for data subject to agree/object, provide evidence that the disclosure/use was required by law and complied with relevant requirements for all selected samples that apply.</t>
  </si>
  <si>
    <t>Test 107: Information Security (indication of increased risk)</t>
  </si>
  <si>
    <t>Test 108: Information Security (information security incident legal case)</t>
  </si>
  <si>
    <t>Provide evidence that evidence pertaining to the legal case was collected, retained, and presented in accordance with laws and regulations for all selected samples.</t>
  </si>
  <si>
    <t>Test 109: Information Security (information security incident response test)</t>
  </si>
  <si>
    <t>Provide evidence that the Incident Response program is tested at least annually for all selected samples.</t>
  </si>
  <si>
    <t>Test 110: Information Security (information security incident)</t>
  </si>
  <si>
    <t>If incident involved workforce member, provide evidence that a point of contact from HR was identified and involved in handling the incident for all selected samples that apply.</t>
  </si>
  <si>
    <t>If incident involved formal disciplinary actions/sanctions, provide evidence that the CISO/designated representative was notified for all selected samples that apply.</t>
  </si>
  <si>
    <t>Provide evidence that an assessment was performed to identify the effectiveness of current security controls for all selected samples.</t>
  </si>
  <si>
    <t>If security controls were identified as deficient, provide evidence that a corrective action was drafted and implemented to improve security controls for all selected samples that apply.</t>
  </si>
  <si>
    <t>Provide evidence that audit trails and evidence collections has been maintained for all selected samples.</t>
  </si>
  <si>
    <t>Provide evidence that all emergency actions were fully documented and reported to management for all selected samples.</t>
  </si>
  <si>
    <t>Provide evidence that an incident response support workforce member was contacted in a timely manner for all selected samples.</t>
  </si>
  <si>
    <t>Provide evidence that the incident was reported to management for all selected samples.</t>
  </si>
  <si>
    <t>Provide evidence the organization followed its Incident Response Program for all selected samples.</t>
  </si>
  <si>
    <t>Provide evidence that lessons learned were identified following the conclusion of the incident for all selected samples.</t>
  </si>
  <si>
    <t>Provide evidence that the incident was handled in accordance with the organization's Incident Response Program for all selected samples.</t>
  </si>
  <si>
    <t>Provide evidence that incident response was coordinated across the organization, as required, for all selected samples.</t>
  </si>
  <si>
    <t>If identified incident involved business continuity/disaster recovery, provide evidence that response efforts included the coordination of both the Incident Response Program and Business Continuity/Disaster Recovery Program for all selected samples that apply.</t>
  </si>
  <si>
    <t>If incident affected customers, provide evidence that incidents were made available to customers through electronic means for all selected samples that apply.</t>
  </si>
  <si>
    <t>Test 111: Information Security (logical security incident)</t>
  </si>
  <si>
    <t>Provide evidence that an evaluation was conducted to identify if new risk was introduced to the environment for all selected samples.</t>
  </si>
  <si>
    <t>If new risk was identified, provide evidence that the risk was evaluated and a corrective action was implemented for all selected samples that apply.</t>
  </si>
  <si>
    <t>Test 112: Information Security (maintenance record)</t>
  </si>
  <si>
    <t>If asset contains covered/confidential information, provide evidence that covered/confidential information was cleared from asset prior to maintenance for all selected samples that apply.</t>
  </si>
  <si>
    <t>If asset could not be cleared of covered/confidential information prior to maintenance, provide evidenced that maintenance was performed by personnel authorized to perform maintenance on assets with covered/confidential information for all selected samples that apply.</t>
  </si>
  <si>
    <t>Provide evidence that all potentially impacted security controls were verified after maintenance was concluded for all selected samples.</t>
  </si>
  <si>
    <t>Provide evidence that the date and time of maintenance is recorded in the record for all selected samples.</t>
  </si>
  <si>
    <t>Provide evidence that the name of individuals performing maintenance and the name of workforce members escorting the individuals (if required) are recorded in the record for all selected samples.</t>
  </si>
  <si>
    <t>Provide evidence that the description of maintenance performed and list of equipment removed/replaced are recorded in the record for all selected samples.</t>
  </si>
  <si>
    <t>Provide evidence that all maintenance tools have been approved, controlled, and monitored for all selected samples.</t>
  </si>
  <si>
    <t>If tools were brought onsite, provide evidence that tools were inspected for improper/unauthorized modifications for all selected samples that apply.</t>
  </si>
  <si>
    <t>Provide evidence that all media containing diagnostic and test programs are checked for malicious code prior to being used in the information system for all selected samples.</t>
  </si>
  <si>
    <t>Test 113: Information Security (media disposal record)</t>
  </si>
  <si>
    <t>Provide evidence that media was destroyed/disposed/sanitized commensurate with the confidentiality and integrity requirements for its classification level.</t>
  </si>
  <si>
    <t>Test 114: Information Security (new commercial product)</t>
  </si>
  <si>
    <t>Provide evidence that new component/product was purchased in accordance with the organization's acquisition program for all selected samples.</t>
  </si>
  <si>
    <t>Provide evidence that an assessment was conducted to disable/mitigate additional/unnecessary functionality for all selected samples.</t>
  </si>
  <si>
    <t>Provide evidence that an assessment/certification was conducted to validate security controls prior to implementation for all selected samples.</t>
  </si>
  <si>
    <t>Test 115: Information Security (new use of PII proposal)</t>
  </si>
  <si>
    <t>Test 116: Information Security (non-compliance identified during compliance check)</t>
  </si>
  <si>
    <t>Provide evidence that a root-cause analysis was conducted for all selected samples.</t>
  </si>
  <si>
    <t>Provide evidence that a corrective action was outlined and implemented for all selected samples.</t>
  </si>
  <si>
    <t>Provide evidence that management reviewed corrective action prior to implementation for all selected samples.</t>
  </si>
  <si>
    <t>Provide evidence that a re-evaluation was conducted after implementation of corrective action for all selected samples.</t>
  </si>
  <si>
    <t>Provide evidence that a risk ranking was assigned for all selected samples.</t>
  </si>
  <si>
    <t>Provide evidence that identified non-compliance was either corrected or accepted by management for all selected samples.</t>
  </si>
  <si>
    <t>If identified non-compliance was accepted by management, provide evidence that it is re-evaluated on an annual cadence for all selected samples that apply.</t>
  </si>
  <si>
    <t>If critical non-compliance, provide evidence that a review was conducted to identify if the non-compliance was ever exploited for all samples that apply.</t>
  </si>
  <si>
    <t>Provide evidence that the risk treatment (accept, mitigate, transfer) has been documented for all selected samples.</t>
  </si>
  <si>
    <t>Provide evidence that a cost/benefit analysis was performed for all selected samples.</t>
  </si>
  <si>
    <t>Provide evidence that a corrective action has been drafted for all selected samples.</t>
  </si>
  <si>
    <t>Test 117: Information Security (non-local maintenance record)</t>
  </si>
  <si>
    <t>Test 118: Information Security (physical security incident)</t>
  </si>
  <si>
    <t>Provide evidence that a formal investigation was conducted in accordance with the organization Incident Response Program for all selected samples.</t>
  </si>
  <si>
    <t>Test 119: Information Security (posted to publicly accessible system)</t>
  </si>
  <si>
    <t>Test 120: Information Security (privacy control assessment)</t>
  </si>
  <si>
    <t>Test 121: Information Security (program document)</t>
  </si>
  <si>
    <t>Test 122: Information Security (record extract of covered/confidential information)</t>
  </si>
  <si>
    <t>Provide evidence that a review is performed every 90 days to assess whether extracted information should be deleted or is still required for all selected samples.</t>
  </si>
  <si>
    <t>Test 123: Information Security (remediated non-compliance identified during compliance check)</t>
  </si>
  <si>
    <t>Test 124: Information Security (risk assessment)</t>
  </si>
  <si>
    <t>Provide evidence that the assessment was conducted in accordance with the organization's Risk Management Program for all selected samples.</t>
  </si>
  <si>
    <t>Provide evidence that the change management program was included for all selected samples.</t>
  </si>
  <si>
    <t>If any risks associated with the change management program were identified, provide evidence that the program was updated accordingly for all selected samples that apply.</t>
  </si>
  <si>
    <t>Provide evidence that prior to the assessment, audit requirements are agreed upon by management for all selected samples.</t>
  </si>
  <si>
    <t>Provide evidence that prior to the assessment, the scope of  the assessment is agreed upon and controlled by management for all selected samples.</t>
  </si>
  <si>
    <t>Provide evidence that access to perform assessment is limited to read-only for all selected samples.</t>
  </si>
  <si>
    <t>If access greater than read-only is requirement, provide evidence that files/systems being accessed are isolated and erased/validated after assessment is complete for all selected samples that apply.</t>
  </si>
  <si>
    <t>Provide evidence that IT resources (workforce members) required to perform the assessment have been identified and made available for all selected samples.</t>
  </si>
  <si>
    <t>Provide evidence that additional/special requirements have been identified for all selected samples.</t>
  </si>
  <si>
    <t>Provide evidence that all assessment access if monitored and logged for all selected samples.</t>
  </si>
  <si>
    <t>Provide evidence that all procedures, requirements, and responsibilities have been formally documented for all selected samples.</t>
  </si>
  <si>
    <t>Provide evidence that workforce members performing the assessment are independent of the activities/systems being assessed for all selected samples.</t>
  </si>
  <si>
    <t>Provide evidence that the assessment is conducted during times of least impact to business operations for all selected samples.</t>
  </si>
  <si>
    <t>Provide evidence that the assessment was scheduled in advance to ensure availability of proper individuals and systems, and coordination of all business units for all selected samples.</t>
  </si>
  <si>
    <t>Test 125: Information Security (sale of consumer/data subject information)</t>
  </si>
  <si>
    <t>Test 126: Information Security (sale of under age consumer/data subject information)</t>
  </si>
  <si>
    <t>Test 127: Information Security (security control assessment)</t>
  </si>
  <si>
    <t>Test 128: Information Security (security role)</t>
  </si>
  <si>
    <t>Provide evidence that security roles and responsibilities have been defined for all selected samples.</t>
  </si>
  <si>
    <t>Provide evidence that role-specific security training was provided to all selected samples.</t>
  </si>
  <si>
    <t>Provide evidence that job descriptions have been defined for all selected samples.</t>
  </si>
  <si>
    <t>Provide evidence that job responsibilities have been defined to support separation of duties across multiple workforce members for all selected samples.</t>
  </si>
  <si>
    <t>Test 129: Information Security (System of Records Notices)</t>
  </si>
  <si>
    <t>Test 130: Information Security (technical compliance check)</t>
  </si>
  <si>
    <t>Provide evidence that a check is performed annually for all selected samples.</t>
  </si>
  <si>
    <t>Provide evidence that the check was performed by a qualified individual/team for all selected samples.</t>
  </si>
  <si>
    <t>Provide evidence that the check is performed against in-scope platforms/systems for all selected samples.</t>
  </si>
  <si>
    <t>Provide evidence that the check is performed against a set of rules/known vulnerabilities for all selected samples.</t>
  </si>
  <si>
    <t>Provide evidence that the check includes a measured vulnerability impact for all selected samples.</t>
  </si>
  <si>
    <t>If technical compliance check is a vulnerability scan, provide evidence that scans are performed monthly on all in-scope applications, network devices, and endpoint devices for all samples that apply.</t>
  </si>
  <si>
    <t>If new vulnerabilities were identified, provide evidence that scans were performed on all in-scope applications, network devices, and endpoint devices for all samples that apply.</t>
  </si>
  <si>
    <t>Provide evidence that the technical compliance check is configured to scan all applications and devices within the in-scope environment for all selected samples.</t>
  </si>
  <si>
    <t>If tool is used to identify unauthorized components/devices, provide evidence that a scan is performed quarterly for all selected samples that apply.</t>
  </si>
  <si>
    <t>Test 131: Information Security (identity theft security incident)</t>
  </si>
  <si>
    <t>Provide evidence that procedures around identification, investigation, resolution, and reporting of financial identity theft was followed for all selected samples.</t>
  </si>
  <si>
    <t>Test 132: Information Security (training material)</t>
  </si>
  <si>
    <t>Provide evidence that the appropriate workforce members were provided with all of the selected samples.</t>
  </si>
  <si>
    <t>Test 133: Information Security (visitor log)</t>
  </si>
  <si>
    <t>Provided evidence that a review is conducted every 30 days for all selected samples.</t>
  </si>
  <si>
    <t>Test 134: Information Security (visitor related security incident)</t>
  </si>
  <si>
    <t>Test 135: Information Security (visitor with access to secure area/facility)</t>
  </si>
  <si>
    <t>Provide evidence that access is appropriate and limited for specific and authorized purposes for all selected samples.</t>
  </si>
  <si>
    <t>Provide evidence that training was provided for security requirements and emergency procedures for all selected samples.</t>
  </si>
  <si>
    <t>Provide evidence that access is updated when requirements change for all selected samples.</t>
  </si>
  <si>
    <t>Test 136: Information System</t>
  </si>
  <si>
    <t>Provide evidence that an owner has been assigned and his/her contact information has been shared for all selected samples.</t>
  </si>
  <si>
    <t>Provide evidence that the purpose of the system has been defined for all selected samples.</t>
  </si>
  <si>
    <t>Provide evidence that user functionality is separated from system management activities for all selected samples.</t>
  </si>
  <si>
    <t>Provide evidence that the security state was reported to the appropriate agency/personnel at organizationally defined intervals for all selected samples.</t>
  </si>
  <si>
    <t>Provide evidence that information system/system component baseline configurations are documented for all selected samples.</t>
  </si>
  <si>
    <t>Provide evidence that baselines have been reviewed within the past 6 months for all selected samples.</t>
  </si>
  <si>
    <t>If critical security patches, upgrades, and/or emergency changes occurred, provide evidence that baselines were appropriately amend for all selected samples that apply.</t>
  </si>
  <si>
    <t>Provide evidence that a list of access accounts is maintained for all selected samples.</t>
  </si>
  <si>
    <t>Provide evidence that all access accounts that are inactive for a period of ninety days are disabled and/or removed for all selected samples.</t>
  </si>
  <si>
    <t>Provide evidence that workforce member access to files is limited to the appropriate personnel for all selected samples.</t>
  </si>
  <si>
    <t>Provide evidence that all other workforce member do not have access to files for all selected samples.</t>
  </si>
  <si>
    <t>Provide evidence that Bluetooth has been disabled for system components for all selected samples.</t>
  </si>
  <si>
    <t>If Bluetooth is required, provide evidence that a formal business justification has been drafted for all selected samples that apply.</t>
  </si>
  <si>
    <t>Provide evidence that peer-to-peer protocols have been disabled for system components for all selected samples.</t>
  </si>
  <si>
    <t>If performed protocols are required, provide evidence that a formal business justification has been drafted for all selected samples that apply.</t>
  </si>
  <si>
    <t>Provide evidence that backups are configured to be performed at predetermined intervals/times for all selected samples.</t>
  </si>
  <si>
    <t>Provide evidence that backup restoration procedures are tested at regular intervals to validate the integrity of backups for all selected samples.</t>
  </si>
  <si>
    <t>Provide evidence that system restoration has been defined including: scope of data to be backed up for all selected samples.</t>
  </si>
  <si>
    <t>Provide evidence that system restoration has been defined including: frequency of backups for all selected samples.</t>
  </si>
  <si>
    <t>Provide evidence that system restoration has been defined including: retention of backups for all selected samples.</t>
  </si>
  <si>
    <t>Provide evidence that integrity controls have been implemented to address the use of add, modify, and/or delete functions associated with data modification for all selected samples.</t>
  </si>
  <si>
    <t>Provide evidence that integrity controls have been implemented to prevent programs from running in the wrong order and/or running after a failure for all selected samples.</t>
  </si>
  <si>
    <t>Provide evidence that integrity controls have been implemented to facilitate recovery after a system failure for all selected samples.</t>
  </si>
  <si>
    <t>Provide evidence that integrity controls have been implemented to protection against attacks using buffer overruns/overflows for all selected samples.</t>
  </si>
  <si>
    <t>Provide evidence that validation checks have been performed using a documented validation checklist for all selected samples.</t>
  </si>
  <si>
    <t>Test 137: Information System (acquisition)</t>
  </si>
  <si>
    <t>Provide evidence that an agreement/contract is in place and includes security functional, strength and assurance requirements for all selected samples.</t>
  </si>
  <si>
    <t>Provide evidence that an agreement/contract is in place and includes security-related documentation requirements for all selected samples.</t>
  </si>
  <si>
    <t>Provide evidence that an agreement/contract is in place and includes developmental and evaluation-related assurance requirements for all selected samples.</t>
  </si>
  <si>
    <t>Test 138: Information System (alternate facility/secure area)</t>
  </si>
  <si>
    <t>Provide evidence that alternate facility/secure areas are a sufficient distance from the primary facility/secure area for all selected samples.</t>
  </si>
  <si>
    <t>Provide evidence that logical and physical security is similar to the primary site for all selected samples.</t>
  </si>
  <si>
    <t>Provide evidence that priority-of-service provisions, including RTOs, have been formally defined and documented for all selected samples.</t>
  </si>
  <si>
    <t>Provide evidence that necessary third-party service agreements have been established for all selected samples.</t>
  </si>
  <si>
    <t>Provide evidence that failover telecommunication agreements have been implemented at all selected samples.</t>
  </si>
  <si>
    <t>If information system is used to respond to and manage any events and/or crisis (local, national, and/or international), provide evidence that the telecommunications agreement defines priority for all services used for national emergency preparedness for all selected samples that apply.</t>
  </si>
  <si>
    <t>Test 139: Information System (authentication not required for system component)</t>
  </si>
  <si>
    <t>Test 140: Information System (authentication sub-system)</t>
  </si>
  <si>
    <t>Provide evidence that password files are stored separate of application/system data for all selected samples.</t>
  </si>
  <si>
    <t>Provide evidence that password complexity has been configured for all selected samples.</t>
  </si>
  <si>
    <t>Provide evidence that password aging has been configured for all selected samples.</t>
  </si>
  <si>
    <t>Provide evidence that password history has been configured for all selected samples.</t>
  </si>
  <si>
    <t>Provide evidence that generic/unnecessary accounts have been removed/secured for all selected samples.</t>
  </si>
  <si>
    <t>Provide evidence that administrator/privileged access is limited to appropriate individuals for all selected samples.</t>
  </si>
  <si>
    <t>Provide evidence that workforce members configuring access to the information system do no perform audit functions regarding access controls for all selected samples.</t>
  </si>
  <si>
    <t>Test 141: Information System (backup sub-system)</t>
  </si>
  <si>
    <t>Provide evidence that an inventory of all backup records/snapshots is maintained including the location of the record/snapshot for all selected systems.</t>
  </si>
  <si>
    <t>Test 142: Information System (CMS)</t>
  </si>
  <si>
    <t>Test 143: Information System (data lose prevention sub-system)</t>
  </si>
  <si>
    <t>Test 144: Information System (data transmission)</t>
  </si>
  <si>
    <t>Provide evidence that encryption has been implemented according to the organization's encryption program for all selected samples.</t>
  </si>
  <si>
    <t>Provide evidence that cryptographic protocols and algorithms have been implemented and configured.</t>
  </si>
  <si>
    <t>If cryptographic hashing has been implemented, provide evidence that SHA-2 or greater is being used.</t>
  </si>
  <si>
    <t>Provide evidence that FIPS-validated cryptographic protocols and algorithms have been implemented and configured for all selected samples.</t>
  </si>
  <si>
    <t>Test 145: Information System (dial-up connection)</t>
  </si>
  <si>
    <t>Test 146: Information System (electronic signature based upon biometric)</t>
  </si>
  <si>
    <t>Test 147: Information System (encryption key)</t>
  </si>
  <si>
    <t>Test 148: Information System (encryption)</t>
  </si>
  <si>
    <t>Test 149: Information System (facility/secure area)</t>
  </si>
  <si>
    <t>Provide evidence that duress alarms have been implemented near workforce members for all selected samples.</t>
  </si>
  <si>
    <t>Provide evidence that the organization updates the authorization of use every 3 years for all selected samples.</t>
  </si>
  <si>
    <t>If the facility/secure area is new, provide evidence that management has formally authorized it for use for all selected samples that apply.</t>
  </si>
  <si>
    <t>Provide evidence that access is restricted and access lists are maintained for all selected samples.</t>
  </si>
  <si>
    <t>Provide evidence that visitors and workforce members are required to display identification at all times while onsite for all selected samples.</t>
  </si>
  <si>
    <t>Provide evidence that visitors are given access devices/badges that identify them as non-workforce members and are required to surrender the badge/device before leaving for all selected samples.</t>
  </si>
  <si>
    <t>Provide evidence that doors to secure areas and facilities lock automatically for all selected samples.</t>
  </si>
  <si>
    <t>Provide evidence that doors to secure areas and facilities are equipped with electronic locks for all selected samples.</t>
  </si>
  <si>
    <t>Provide evidence that a door delay alarm has been implemented on all doors to secure area and facilities for all selected samples.</t>
  </si>
  <si>
    <t>If high-risk entry/exit is identified, provide evidence that the combination/key for the entry/exit was changed within the past 365 days or when compromised for all selected samples that apply.</t>
  </si>
  <si>
    <t>Provide evidence that all external doors and windows are configured with an intruder detection system for all selected samples.</t>
  </si>
  <si>
    <t>Provide evidence that the intruder detection system has been tested within the past 365 days for all selected samples.</t>
  </si>
  <si>
    <t>If system has alerted an intrusion attempt within the past 365 days, provide evidence that all alerts/notifications were properly investigated for all selected samples that apply.</t>
  </si>
  <si>
    <t>Provide evidence that unoccupied areas are alarmed and monitored at all time for all selected samples.</t>
  </si>
  <si>
    <t>Provide evidence that an automated fire suppression system has been implemented for all selected samples.</t>
  </si>
  <si>
    <t>Provide evidence that the HVAC system is configured to automatically shut down upon fire detection for all selected samples.</t>
  </si>
  <si>
    <t>Provide evidence that water detectors have been implemented in dropped ceilings, raised floors, or both for all selected samples.</t>
  </si>
  <si>
    <t>Provide evidence that master shutoff/isolation valves have been implemented, are accessible, are working, and are known to key workforce member for all selected samples.</t>
  </si>
  <si>
    <t>Provide evidence that entry/exit logs are maintained for all selected samples.</t>
  </si>
  <si>
    <t>Provide evidence that physical access points are restricted/secured for all selected samples.</t>
  </si>
  <si>
    <t>Test 150: Information System (logging &amp; monitoring sub-system)</t>
  </si>
  <si>
    <t>Provide evidence that administrator and operator audit logs include the success/failure of event logged for all selected samples.</t>
  </si>
  <si>
    <t>Provide evidence that administrator and operator audit logs include the date and time of the event logged for all selected samples.</t>
  </si>
  <si>
    <t>Provide evidence that administrator and operator audit logs include information about the event and what processes were involved for all selected samples.</t>
  </si>
  <si>
    <t>Provide evidence that administrator and operator audit logs include the unique administrator/operator account of the workforce member that performed the event for all selected samples.</t>
  </si>
  <si>
    <t>If covered/confidential information was sent via end user messaging technologies, provide evidence that the audit log includes the date and time of the message for all selected samples.</t>
  </si>
  <si>
    <t>If covered/confidential information was sent via end user messaging technologies, provide evidence that the audit log includes the source and destination of the message for all selected samples.</t>
  </si>
  <si>
    <t>If covered/confidential information was sent via end user messaging technologies, provide evidence that the audit log does NOT include the message content for all selected samples.</t>
  </si>
  <si>
    <t>Provide evidence that audit logs include the success/failure of event logged for all selected samples.</t>
  </si>
  <si>
    <t>Provide evidence that audit logs include the date and time of the event logged for all selected samples.</t>
  </si>
  <si>
    <t>Provide evidence that audit logs include information about the event and what processes were involved for all selected samples.</t>
  </si>
  <si>
    <t>Provide evidence that audit logs include files accessed and kind of access during the event for all selected samples.</t>
  </si>
  <si>
    <t>Provide evidence that audit logs include network addresses and protocols used during the event for all selected samples</t>
  </si>
  <si>
    <t>Provide evidence that auditable events include use of privileged for all selected samples.</t>
  </si>
  <si>
    <t>Provide evidence that auditable events include use of system utilities and applications for all selected samples.</t>
  </si>
  <si>
    <t>Provide evidence that auditable events include alarms raised by the access control system for all selected samples.</t>
  </si>
  <si>
    <t>Provide evidence that auditable events include activation and de-activation of protection systems for all selected samples.</t>
  </si>
  <si>
    <t>Provide evidence that auditable events include creation and deletion of system level objects for all selected samples.</t>
  </si>
  <si>
    <t>Provide evidence that audit logs of account management activities are created for all selected samples.</t>
  </si>
  <si>
    <t>Provide evidence that audit logs of system/server shutdowns and reboots are created for all selected samples.</t>
  </si>
  <si>
    <t>Provide evidence that audit logs of system/server alerts and errors are created for all selected samples.</t>
  </si>
  <si>
    <t>Provide evidence that audit logs of application/system shutdowns and reboots are created for all selected samples.</t>
  </si>
  <si>
    <t>Provide evidence that audit logs of application errors and modifications are created for all selected samples.</t>
  </si>
  <si>
    <t>Provide evidence that audit logs of file changes (create, update, delete) are created for all selected samples.</t>
  </si>
  <si>
    <t>Provide evidence that audit logs of security policy changes are created for all selected samples.</t>
  </si>
  <si>
    <t>Provide evidence that audit logs of configuration changes are created for all selected samples.</t>
  </si>
  <si>
    <t>Provide evidence that audit logs of modification to sensitive information are created for all selected samples.</t>
  </si>
  <si>
    <t>Provide evidence that audit logs of read access to sensitive information are created for all selected samples.</t>
  </si>
  <si>
    <t>Provide evidence that audit logs of printing of sensitive information are created for all selected samples.</t>
  </si>
  <si>
    <t>Provide evidence that perimeter devices create audit logs that contain the name of files being accessed for all selected samples.</t>
  </si>
  <si>
    <t>Provide evidence that perimeter devices create audit logs that contain the program or command used to initiate an event for all selected samples.</t>
  </si>
  <si>
    <t>Provide evidence that perimeter devices create audit logs that contain the source and destination addresses for all selected samples.</t>
  </si>
  <si>
    <t>Provide evidence that logs of access and/or modification of covered/confidential information is maintained for all selected samples.</t>
  </si>
  <si>
    <t>Provide evidence that agents/sensors are deployed on various system to collect security and transaction logs for all selected samples.</t>
  </si>
  <si>
    <t>Provide evidence that console messages and/or alerts are monitored for all selected samples.</t>
  </si>
  <si>
    <t>Provide evidence that network alarms are monitored for all selected samples.</t>
  </si>
  <si>
    <t>Provide evidence that access control alarms are monitored for all selected samples.</t>
  </si>
  <si>
    <t>Provide evidence that security control alarms are monitored for all selected samples.</t>
  </si>
  <si>
    <t>If alert notifications have been generated within the reporting period, provide evidence that a formal investigation was performed for all selected samples that apply.</t>
  </si>
  <si>
    <t>Provide evidence that alerts are formally investigated by appropriate workforce members for all selected samples.</t>
  </si>
  <si>
    <t>Provide evidence that operator actions are logged and that logs are regularly reviewed for all selected samples.</t>
  </si>
  <si>
    <t>Provide evidence that administrator actions are logged and that logs are regularly reviewed for all selected samples.</t>
  </si>
  <si>
    <t>Provide evidence that error logging is enabled for all selected samples.</t>
  </si>
  <si>
    <t>Provide evidence that system faults are logged for all selected samples.</t>
  </si>
  <si>
    <t>Provide evidence that any identified fault logs were investigated and corrected for all selected samples.</t>
  </si>
  <si>
    <t>Test 151: Information System (new CMS)</t>
  </si>
  <si>
    <t>Test 152: Information System (new system component classified critical)</t>
  </si>
  <si>
    <t>Provide evidence that the CIO/Information Security Official/Equivalent was updated within 365 days of updating the asset inventory for all selected samples.</t>
  </si>
  <si>
    <t>Test 153: Information System (new system component/system resource)</t>
  </si>
  <si>
    <t>Test 154: Information System (new)</t>
  </si>
  <si>
    <t>Test 155: Information System (operating procedure)</t>
  </si>
  <si>
    <t>Provide evidence that the document has been formalized for all selected samples.</t>
  </si>
  <si>
    <t>Provide evidence that any changes/revisions are authorized by management for all selected samples.</t>
  </si>
  <si>
    <t>Test 156: Information System (password compromise)</t>
  </si>
  <si>
    <t>Provide evidence that the workforce member was required to change his/her password for all selected samples.</t>
  </si>
  <si>
    <t>Test 157: Information System (password request/reset)</t>
  </si>
  <si>
    <t>Provide evidence that workforce member's identity was verified for all selected samples.</t>
  </si>
  <si>
    <t>If a temporary password was used, provide evidence that the it was unique and not guessable for all selected samples that apply.</t>
  </si>
  <si>
    <t>If a new password was sent, provide evidence that it was provided through secure means (e.g., encryption) for all selected samples that apply.</t>
  </si>
  <si>
    <t>If a new password was sent, provide evidence that the receipt of it was acknowledge for all selected samples that apply.</t>
  </si>
  <si>
    <t>Test 158: Information System (password storage)</t>
  </si>
  <si>
    <t>Test 159: Information System (password transmission)</t>
  </si>
  <si>
    <t>Test 160: Information System (physical access sub-system)</t>
  </si>
  <si>
    <t>Test 161: Information System (physical equipment move)</t>
  </si>
  <si>
    <t>Provide evidence that a backup of the system component was taken prior to movement for all selected samples.</t>
  </si>
  <si>
    <t>Provide evidence that a backup of all covered/confidential data/information was taken prior to movement for all selected samples.</t>
  </si>
  <si>
    <t>Test 162: Information System (processing covered/confidential information)</t>
  </si>
  <si>
    <t>Provide evidence that the processing of covered/confidential information is done for legally authorized purposes for all selected samples.</t>
  </si>
  <si>
    <t>Test 163: Information System (successful unauthorized access attempt)</t>
  </si>
  <si>
    <t>Test 164: Information System (system component classified as sensitive)</t>
  </si>
  <si>
    <t>Provide evidence that shared system resources are released back to the system once a process has completed for all selected samples.</t>
  </si>
  <si>
    <t>Test 165: Information System (system component classified critical)</t>
  </si>
  <si>
    <t>Provide evidence that a UPS and/or generator is used to provide emergency power for all selected samples.</t>
  </si>
  <si>
    <t>Test 166: Information System (system component maintenance)</t>
  </si>
  <si>
    <t>Provide evidence that maintenance was performed in accordance to the supplier's recommended service intervals for all selected samples.</t>
  </si>
  <si>
    <t>If maintenance required a third party provider, provide evidence that an agreement was executed that identifies authorized maintenance personnel for all selected samples that apply.</t>
  </si>
  <si>
    <t>Test 167: Information System (system component patch)</t>
  </si>
  <si>
    <t>Provide evidence that patching was implemented after successful testing for all selected samples.</t>
  </si>
  <si>
    <t>Provide evidence that patches have been applied across all affected in-scope system component for all selected samples.</t>
  </si>
  <si>
    <t>Provide evidence that patches were installed in the disaster recovery environment in a timely manner for all selected samples.</t>
  </si>
  <si>
    <t>Test 168: Information System (system component that processes covered/confidential information)</t>
  </si>
  <si>
    <t>Provide evidence that auditable events include the access of covered/confidential data/information for all selected samples.</t>
  </si>
  <si>
    <t>Provide evidence that auditable events include the creation of covered/confidential data/information for all selected samples.</t>
  </si>
  <si>
    <t>Provide evidence that auditable events include the modification of covered/confidential data/information for all selected samples.</t>
  </si>
  <si>
    <t>Provide evidence that auditable events include the deletion of covered/confidential data/information for all selected samples.</t>
  </si>
  <si>
    <t>Test 169: Information System (system component that stores accounting of disclosure record)</t>
  </si>
  <si>
    <t>Test 170: Information System (system component that stores accounting of notice record)</t>
  </si>
  <si>
    <t>Provide evidence that data/information stored does not exceed retention requirements in accordance to the organization's Data Retention and Disposal Program for all selected samples.</t>
  </si>
  <si>
    <t>Provide evidence that data/information stored is retained in accordance to the organization's Data Retention and Disposal Program for all selected samples.</t>
  </si>
  <si>
    <t>If data is deleted, provide evidence that it was deleted securely for all selected samples that apply.</t>
  </si>
  <si>
    <t>Test 171: Information System (system component that stores accounting of restriction record)</t>
  </si>
  <si>
    <t>Test 172: Information System (system component that stores covered/confidential record after data subject death)</t>
  </si>
  <si>
    <t>Test 173: Information System (system component that stores covered/confidential record subject to access by data subject)</t>
  </si>
  <si>
    <t>Test 174: Information System (system component that stores covered/confidential record)</t>
  </si>
  <si>
    <t>Provide evidence that storage of covered/confidential information is aligned with the retention program for all selected samples.</t>
  </si>
  <si>
    <t>Test 175: Information System (system component that stores organizational record)</t>
  </si>
  <si>
    <t>Provide evidence that security controls have been implemented to prevent risk associated with unauthorized access/disclosure/modification for all selected samples.</t>
  </si>
  <si>
    <t>Provide evidence that guidelines have been assigned in accordance to the organization's data retention and classification program for all selected samples.</t>
  </si>
  <si>
    <t>Provide evidence that assigned security categorizations and associated guidelines were in accordance with management's review for all selected samples.</t>
  </si>
  <si>
    <t>Provide evidence that system components are labeled (electronically and/or physically) according to their classifications for all selected samples.</t>
  </si>
  <si>
    <t>Provide evidence that appropriate safeguards have been configured/implemented for all selected samples.</t>
  </si>
  <si>
    <t>Test 176: Information System (system component that was disposed/exchanged/transferred)</t>
  </si>
  <si>
    <t>Provide evidence that asset was managed in accordance with the organization's asset management program for all selected samples.</t>
  </si>
  <si>
    <t>Test 177: Information System (system component)</t>
  </si>
  <si>
    <t>Provide evidence that an inventory is maintained and includes the owner/custodian for all selected samples.</t>
  </si>
  <si>
    <t>Provide evidence that an inventory is maintained and includes a classification based off the business value and the data it handles for all selected samples.</t>
  </si>
  <si>
    <t>Provide evidence that an inventory is maintained and includes a unique identifier for all selected samples.</t>
  </si>
  <si>
    <t>Provide evidence that an inventory is maintained and includes what system the component belongs to for all selected samples.</t>
  </si>
  <si>
    <t>Provide evidence that an inventory is maintained and includes the component type for all selected samples.</t>
  </si>
  <si>
    <t>Provide evidence that an inventory is maintained and includes the model number (if applicable) for all selected samples.</t>
  </si>
  <si>
    <t>Provide evidence that an inventory is maintained and includes the installed operating system (if applicable) for all selected samples.</t>
  </si>
  <si>
    <t>Provide evidence that an inventory is maintained and includes if the component is physical/virtual (if applicable) for all selected samples.</t>
  </si>
  <si>
    <t>Provide evidence that an inventory is maintained and includes the location for all selected samples.</t>
  </si>
  <si>
    <t>Provide evidence that an inventory is maintained and includes the logical address (if applicable) for all selected samples.</t>
  </si>
  <si>
    <t>Provide evidence that an inventory is maintained and includes the operational status of all selected samples.</t>
  </si>
  <si>
    <t>Provide evidence that an inventory is maintained and includes administrative responsibilities for all selected samples.</t>
  </si>
  <si>
    <t>Provide evidence that an inventory is maintained and includes the primary user of all selected samples.</t>
  </si>
  <si>
    <t>If component allows the use of removable media, provide evidence that the auto-run feature has been disabled for all selected samples that apply.</t>
  </si>
  <si>
    <t>Provide evidence of classification level for all selected sample.</t>
  </si>
  <si>
    <t>If system component is classified as sensitive, provide evidence that it is supported by dedicated resources.</t>
  </si>
  <si>
    <t>If system component is not supported by dedicated resources, provide evidence that the risk has been reviewed and approved by the component owner.</t>
  </si>
  <si>
    <t>Provide evidence that access to privileged functions is restricted to authorized individuals for all selected samples.</t>
  </si>
  <si>
    <t>Provide evidence that storage capacity requirements have been defined for all selected samples.</t>
  </si>
  <si>
    <t>Provide evidence that capacity monitoring has been configured for all selected samples.</t>
  </si>
  <si>
    <t>Provide evidence that future capacity requirements have been considered/outlined for all selected samples.</t>
  </si>
  <si>
    <t>If the system component/system resource is new, provide evidence that management has formally authorized it for use for all selected samples that apply.</t>
  </si>
  <si>
    <t>Test 178: Information System (unauthorized access attempt)</t>
  </si>
  <si>
    <t>Provide evidence that a formal investigation was performed for all selected samples.</t>
  </si>
  <si>
    <t>Test 179: Information System (update to CMS)</t>
  </si>
  <si>
    <t>Test 180: Network Device (firewall)</t>
  </si>
  <si>
    <t>Provide evidence that additional policies/rules have been configured for all selected samples.</t>
  </si>
  <si>
    <t>Provide evidence that network traffic can be restricted by time intervals, messaging, file transfer, interactive access, and/or applications for all selected samples.</t>
  </si>
  <si>
    <t>Provide evidence that the organization limits the number of external network connections to the in-scope environment for all selected samples.</t>
  </si>
  <si>
    <t>Provide evidence that traffic flow policies are configured for external telecommunication managed interfaces for all selected samples.</t>
  </si>
  <si>
    <t>Provide evidence that outbound external connections transmitting sensitive information over public networks are encrypted for all selected samples.</t>
  </si>
  <si>
    <t>If allow by exception rules have been configured in addition to the default deny all policy/rule and general operation policies/rules, provide business justification for all additions.</t>
  </si>
  <si>
    <t>Provide evidence that a default deny-all policy/rule has been configured for all selected samples.</t>
  </si>
  <si>
    <t>Provide evidence that source and destination addresses are validated for all selected samples.</t>
  </si>
  <si>
    <t>Provide evidence that additional policies/rules have been configured for both inbound and outbound traffic for all selected samples.</t>
  </si>
  <si>
    <t>Provide evidence baseline documentation has been formally drafted and implemented for all selected samples.</t>
  </si>
  <si>
    <t>Provide evidence that all connections, including wireless networks, to the in-scope environment have been included in the baseline documentation for all selected samples.</t>
  </si>
  <si>
    <t>Provide evidence that business justification for all allow connections and insecure protocols and services have been included in the baseline documentation for all selected samples.</t>
  </si>
  <si>
    <t>Provide evidence that all policies/rules have been reviewed within the past 180 days for all selected samples.</t>
  </si>
  <si>
    <t>Provide evidence that different firewall vendors have been used to secure the in-scope environment for all selected samples.</t>
  </si>
  <si>
    <t>Provide evidence that firewalls use stateful packet inspection technology for all selected samples.</t>
  </si>
  <si>
    <t>Provide evidence that additional policies/rules have been configured to restrict connections between untrusted networks and the in-scope environment for all selected samples.</t>
  </si>
  <si>
    <t>Provide evidence that inbound and outbound traffic policies/rules have been configured to control traffic to the in-scope environment for all selected samples.</t>
  </si>
  <si>
    <t>Provide evidence that the running configuration is the same as the start-up configuration file for all selected samples.</t>
  </si>
  <si>
    <t>Provide evidence that devices are checked to validate dial-up capabilities are disabled/removed for all selected samples.</t>
  </si>
  <si>
    <t>Test 181: Network Device (identified as unauthorized)</t>
  </si>
  <si>
    <t>Test 182: Network Device (router)</t>
  </si>
  <si>
    <t>Test 183: Network Device (switch)</t>
  </si>
  <si>
    <t>Test 184: Network Device (wireless access point)</t>
  </si>
  <si>
    <t>Provide evidence that FIPS-approved encryption is used during authentication and transmission for all selected samples.</t>
  </si>
  <si>
    <t>Provide evidence that devices are placed in secure locations for all selected samples.</t>
  </si>
  <si>
    <t>Provide evidence that MAC address authentication has been enabled for all selected samples.</t>
  </si>
  <si>
    <t>Provide evidence that static IP addresses have been assigned for all selected samples.</t>
  </si>
  <si>
    <t>Provide evidence that the CIO/designated representative formally authorized the installation and use of all selected samples.</t>
  </si>
  <si>
    <t>Test 185: Removable Media</t>
  </si>
  <si>
    <t>Provide evidence that appropriate labeling was applied for all selected samples.</t>
  </si>
  <si>
    <t>Provide evidence that appropriate classification was applied for all selected samples.</t>
  </si>
  <si>
    <t>Provide evidence that appropriate protections were applied for all selected samples.</t>
  </si>
  <si>
    <t>Provide evidence that appropriate sanitizations were applied prior to use/reuse for all selected samples.</t>
  </si>
  <si>
    <t>Test 186: Removable Media (exempt from labeling)</t>
  </si>
  <si>
    <t>Provide evidence that devices are stored/remain within an organization-defined controlled area for all selected samples.</t>
  </si>
  <si>
    <t>Test 187: Removable Media (transported out of controlled area)</t>
  </si>
  <si>
    <t>Provide evidence that tamper-evidence packaging was used for all selected samples.</t>
  </si>
  <si>
    <t>If shipped with commercial carrier, provide evidence of trackable receipt for all selected samples that apply.</t>
  </si>
  <si>
    <t>If hand carried, provide evidence that a secure container was used for all selected samples that apply.</t>
  </si>
  <si>
    <t>If hand carried, provide evidence that device was removed by an authorized workforce member for all selected samples that apply.</t>
  </si>
  <si>
    <t>Provide evidence that approval was obtained prior to transfer for all selected samples.</t>
  </si>
  <si>
    <t>Provide evidence that the transfer was logged and monitored for all selected samples.</t>
  </si>
  <si>
    <t>Provide evidence that a record was created that contains the following information: name of recipient, signature, date/time received, control number and contents, the movement or routing information, and any disposal information if applicable, for all selected samples.</t>
  </si>
  <si>
    <t>Provide evidence that the use of media to transport covered/confidential information out of controlled areas is limited to authorized individuals for all selected samples.</t>
  </si>
  <si>
    <t>If media was transmitted to a third party, provide evidence that it was transported in accordance with the agreement setup between the organization and the receiving third party for all selected samples. that apply.</t>
  </si>
  <si>
    <t>Test 188: Workforce Member (ability to post information on publicly accessible system)</t>
  </si>
  <si>
    <t>Provide evidence that training was provided on not to post nonpublic information to publicly accessible systems/websites for all selected samples.</t>
  </si>
  <si>
    <t>Test 189: Workforce Member (access to encryption keys)</t>
  </si>
  <si>
    <t>Provide evidence that access was formally authorized and is required for all selected samples.</t>
  </si>
  <si>
    <t>Test 190: Workforce Member (access/handling of covered/confidential information)</t>
  </si>
  <si>
    <t>Provide evidence that the workforce member has been trained on the data controller’s process of a data subject's right to access, correct, and/or delete his/her PII for all selected samples.</t>
  </si>
  <si>
    <t>Test 191: Workforce Member (business continuity)</t>
  </si>
  <si>
    <t>Provide evidence that business continuity members have a copy of the Business Continuity/Disaster Recovery Plan for all selected samples.</t>
  </si>
  <si>
    <t>Test 192: Workforce Member (contractor)</t>
  </si>
  <si>
    <t>Provide evidence that prior to access to the in-scope environment, security roles and responsibilities were provided to all selected samples.</t>
  </si>
  <si>
    <t>Provide evidence that terms and conditions, regarding access and use of the in-scope environment, were acknowledged by all selected samples.</t>
  </si>
  <si>
    <t>Provide evidence that the organization's data privacy and security program was acknowledged by all selected samples.</t>
  </si>
  <si>
    <t>Provide evidence that training was provided on pausing remote access sessions when not present for all selected samples.</t>
  </si>
  <si>
    <t>Provide evidence that training was provided on ending/terminating remote access sessions when finished for all selected samples.</t>
  </si>
  <si>
    <t>Provide evidence that an agreement was executed that defines how assets are assigned, monitored, and returned for all selected samples.</t>
  </si>
  <si>
    <t>Provide evidence that the organization's access control program was acknowledged by all selected samples.</t>
  </si>
  <si>
    <t>Provide evidence that all access accounts are unique (not generic and/or redundant) for all selected samples.</t>
  </si>
  <si>
    <t>Provide evidence that logical and/or physical access has been restricted to the minimum necessary for all selected samples.</t>
  </si>
  <si>
    <t>Provide evidence that role specific training is provided annually for all selected samples.</t>
  </si>
  <si>
    <t>Provide evidence that the workforce member acknowledged (in writing) that violation of security policies may result in sanctions or disciplinary action for all selected samples.</t>
  </si>
  <si>
    <t>Provide evidence that screening was conducted, prior to access, for all selected samples.</t>
  </si>
  <si>
    <t>If workforce members were provided through an agency/third party, provide evidence that an executed agreement defines responsibilities for screening for all selected samples that apply.</t>
  </si>
  <si>
    <t>If workforce members were provided through an agency/third party, provide evidence that an executed agreement defines notification responsibilities of screening results for all selected samples that apply.</t>
  </si>
  <si>
    <t>Provide evidence that training was provided on who to contact in the event of an information security incident for all selected samples.</t>
  </si>
  <si>
    <t>Provide evidence that training was provided on the organization's incident response program for all selected samples.</t>
  </si>
  <si>
    <t>Provide evidence that training was provided on the System Maintenance program and to not remove IT assets from the facility/secure area for all selected samples.</t>
  </si>
  <si>
    <t>If an IT asset was removed from the facility/secure area, provide evidence that the removal was formally requested and authorized for all selected samples that apply.</t>
  </si>
  <si>
    <t>Provide evidence that fire prevention training has been provided for all selected samples.</t>
  </si>
  <si>
    <t>Test 193: Workforce Member (employee)</t>
  </si>
  <si>
    <t>Provide evidence that the workforce member acknowledged that his/her actions may be monitored for all selected samples.</t>
  </si>
  <si>
    <t>Provide evidence access is mapped to one or more roles, and each role to one or more functions in accordance with the workforce member's job responsibilities for all selected samples.</t>
  </si>
  <si>
    <t>If workforce member supports the HIE system, provide evidence that his/her access is mapped to one/more roles and that each role to one/more system functions/responsibilities for all selected samples that apply.</t>
  </si>
  <si>
    <t>Provide evidence that formal acknowledgement/training of security responsibilities were received for all selected samples.</t>
  </si>
  <si>
    <t>Provide evidence that workforce members understand the organization's crisis management program for all selected samples.</t>
  </si>
  <si>
    <t>Provide evidence that workforce members are trained on risks associated with information exchange as outlined by the requirement statement for all selected samples.</t>
  </si>
  <si>
    <t>Provide evidence that BYOD training was provided for all selected samples.</t>
  </si>
  <si>
    <t>Test 194: Workforce Member (entering security role)</t>
  </si>
  <si>
    <t>Provide evidence that role specific training was provided after entering new role for all selected samples.</t>
  </si>
  <si>
    <t>Test 195: Workforce Member (external maintenance)</t>
  </si>
  <si>
    <t>Provide evidence that access to facilities/secure areas was formally approved for all selected samples.</t>
  </si>
  <si>
    <t>Provide evidence that access is appropriate and at the minimal level required to perform maintenance activities for all selected samples.</t>
  </si>
  <si>
    <t>If logical access accounts have been provisioned, provided evidence that the CIO or his/her designated representative has formally authorized the account for all selected samples that apply.</t>
  </si>
  <si>
    <t>If logical access accounts have been provisioned, provided evidence that strong identification and authentication has been implemented for all selected samples that apply.</t>
  </si>
  <si>
    <t>If logical access accounts have been provisioned, provided evidence that accounts are logged and monitored for all selected samples that apply.</t>
  </si>
  <si>
    <t>If logical access accounts have been provisioned, provided evidence that accounts have been disabled/removed upon maintenance completion for all selected samples that apply.</t>
  </si>
  <si>
    <t>Test 196: Workforce Member (failing to comply with ISMP)</t>
  </si>
  <si>
    <t>Provide evidence that the appropriate person/team was notified of the failure to comply with the ISMP for all selected samples.</t>
  </si>
  <si>
    <t>If disciplinary actions/sanctions were carried out, provide evidence that the reason was documented for all selected samples that apply.</t>
  </si>
  <si>
    <t>If applicable, provide evidence that procedures for license, registration and certification denial or revocation were followed for all selected samples that apply.</t>
  </si>
  <si>
    <t>Test 197: Workforce Member (incident response)</t>
  </si>
  <si>
    <t>If workforce member assumed an incident response role within the past year, provide evidence that incident response training was provided within the first 90 days of assuming the role for all selected samples that apply.</t>
  </si>
  <si>
    <t>If workforce member assumed an incident response role over a year ago, provide evidence that incident response training was provided annually for all selected samples that apply.</t>
  </si>
  <si>
    <t>Test 198: Workforce Member (information security)</t>
  </si>
  <si>
    <t>Provide evidence that specialized security training was formally provided for all selected samples.</t>
  </si>
  <si>
    <t>Test 199: Workforce Member (lacking clearance/not U.S. citizen)</t>
  </si>
  <si>
    <t>Test 200: Workforce Member (new hire)</t>
  </si>
  <si>
    <t>Provide evidence that the Information Security Management Program was acknowledge for all selected samples.</t>
  </si>
  <si>
    <t>Provide evidence that screening was conducted, appropriate to job risk designation, for all selected samples</t>
  </si>
  <si>
    <t>Provide evidence that security roles and responsibilities were communicated prior to job acceptance for all selected samples.</t>
  </si>
  <si>
    <t>Provide evidence a statement was acknowledged with regards to keeping passwords confidential for all selected samples</t>
  </si>
  <si>
    <t>Provide evidence that identities were verified prior to establish accounts to for all selected samples.</t>
  </si>
  <si>
    <t>Provide evidence that access controls policies were communicated and acknowledged for all selected samples.</t>
  </si>
  <si>
    <t>Provide evidence that access was granted after appropriate management approval for all selected samples.</t>
  </si>
  <si>
    <t>Provide evidence that only the minimum necessary access was granted for all selected samples.</t>
  </si>
  <si>
    <t>Provide evidence that training on phishing was provided for all selected samples.</t>
  </si>
  <si>
    <t>Provide evidence that training was provided on security and privacy policies, relevant state and federal laws, and organizational expectations no later than 60 days after the date of hire for all selected samples.</t>
  </si>
  <si>
    <t>Provide evidence that workforce members are noted as completing the on-boarding process for all selected samples.</t>
  </si>
  <si>
    <t>Provide evidence that basic security training was provided during onboarding for all selected samples.</t>
  </si>
  <si>
    <t>Test 201: Workforce Member (new information system owner)</t>
  </si>
  <si>
    <t>Test 202: Workforce Member (provided hardware token)</t>
  </si>
  <si>
    <t>Provide evidence that the identity of the workforce member was obtained prior to providing a hardware token for all selected samples.</t>
  </si>
  <si>
    <t>Test 203: Workforce Member (responsible for disclosing covered/confidential information)</t>
  </si>
  <si>
    <t>Provide evidence that the workforce members understands that covered/confidential information exchange should be limited to the minimum necessary and compliant with HIPAA for all selected samples.</t>
  </si>
  <si>
    <t>Test 204: Workforce Member (responsible for handling consumer/data subject inquire)</t>
  </si>
  <si>
    <t>Test 205: Workforce Member (senior executive)</t>
  </si>
  <si>
    <t>Provide evidence that role-specific training was provided for all selected samples.</t>
  </si>
  <si>
    <t>Test 206: Workforce Member (significant security responsibility)</t>
  </si>
  <si>
    <t>Test 207: Workforce Member (software developer)</t>
  </si>
  <si>
    <t>Provide evidence that secure coding techniques/training is provided annually for all selected samples.</t>
  </si>
  <si>
    <t>Test 208: Workforce Member (teleworker)</t>
  </si>
  <si>
    <t>Provide evidence that a teleworking agreement was signed/acknowledged in accordance with the organization's policies for all selected samples.</t>
  </si>
  <si>
    <t>Provide evidence that training was provided on where to setup teleworking site for all selected samples.</t>
  </si>
  <si>
    <t>Provide evidence that an agreement was acknowledged/training was provided on potential risks/threats associated with teleworking sites for all selected samples.</t>
  </si>
  <si>
    <t>Provide evidence that an agreement was acknowledged/training was provided on potential risks/threats associated with unauthorized disclosures of covered/confidential information for all selected samples.</t>
  </si>
  <si>
    <t>Provide evidence that an agreement was acknowledged/training was provided on potential risks/threats associated with unauthorized remote access of covered/confidential information for all selected samples.</t>
  </si>
  <si>
    <t>Provide evidence that an agreement was acknowledged/training was provided on potential risks/threats associated with theft of teleworking equipment/information for all selected samples.</t>
  </si>
  <si>
    <t>Provide evidence that access is reviewed on a regular basis and that access is limited and appropriate for all selected samples.</t>
  </si>
  <si>
    <t>Provide evidence that multi-factor authentication is implemented for all selected samples.</t>
  </si>
  <si>
    <t>Provide evidence that remote access connections are encrypted for all selected samples.</t>
  </si>
  <si>
    <t>Provide evidence that remote access configurations are reviewed periodically to ensure dial-up capabilities are disabled for all selected samples.</t>
  </si>
  <si>
    <t>Provide evidence that teleworking training was provided and completed for all selected samples.</t>
  </si>
  <si>
    <t>Test 209: Workforce Member (termination high risk)</t>
  </si>
  <si>
    <t>Provide evidence that access was restricted/removed immediately upon notification for all selected samples.</t>
  </si>
  <si>
    <t>If required, provide evidence that workforce member was escorted off site for all selected samples that applied.</t>
  </si>
  <si>
    <t>Test 210: Workforce Member (termination with knowledge of wireless encryption key)</t>
  </si>
  <si>
    <t>Provide evidence that wireless encryption keys were changed for all selected samples.</t>
  </si>
  <si>
    <t>Test 211: Workforce Member (termination)</t>
  </si>
  <si>
    <t>Provide evidence that critical access was removed immediately for all selected samples.</t>
  </si>
  <si>
    <t>Provide evidence that non-critical access was removed within 24 hours for all selected samples.</t>
  </si>
  <si>
    <t>Provide evidence that logical and/or physical access was reviewed and updated/revoked as necessary for all selected samples.</t>
  </si>
  <si>
    <t>Provide evidence that any organization controlled IT assets were returned and that the returns were documented for all selected samples.</t>
  </si>
  <si>
    <t>Provide evidence that access rights were reviewed after implementing the change for all selected samples.</t>
  </si>
  <si>
    <t>If personally owned equipment was used, provide evidence that the organization recovered all organizational information and securely erased it from the personal equipment for all selected samples that apply.</t>
  </si>
  <si>
    <t>Provide evidence that all knowledge important to ongoing operations was documented and transferred to the organization for all selected samples.</t>
  </si>
  <si>
    <t>Provide evidence that all termination activities were documented for all selected samples.</t>
  </si>
  <si>
    <t>Test 212: Workforce Member (third party user)</t>
  </si>
  <si>
    <t>Provide evidence that access and permissions have been approved by management and is monitored for all selected samples.</t>
  </si>
  <si>
    <t>Provide evidence that the termination request was assigned to an appropriate workforce member/team for all selected samples.</t>
  </si>
  <si>
    <t>Provide evidence that the termination request was timely received by an appropriate workforce member/team for all selected samples.</t>
  </si>
  <si>
    <t>Provide evidence that the timeframe for removal of access was based on the evaluation of risk associated with the termination for all selected samples.</t>
  </si>
  <si>
    <t>Test 213: Workforce Member (transfer)</t>
  </si>
  <si>
    <t>Provide evidence that access rights were reviewed within 30 days after implementing the change for all selected samples.</t>
  </si>
  <si>
    <t>Test 214: Workforce Member (use of electronic signature)</t>
  </si>
  <si>
    <t>Test 215: Workforce Member (volunteer)</t>
  </si>
  <si>
    <t>Test 216: Application Programming Interface (API)</t>
  </si>
  <si>
    <t>Provide evidence that API is open and published to ensure support for interoperability between system components for all selected samples.</t>
  </si>
  <si>
    <t>Test 217: Information Security (interconnected system)</t>
  </si>
  <si>
    <t>Provide evidence that the interconnected systems have been configured in accordance with the organization's baseline standard for all selected samples.</t>
  </si>
  <si>
    <t>Test 218: Information Security (risk management plan)</t>
  </si>
  <si>
    <t>Provide evidence that the organization has defined creating, handling, and retaining risk management documentation based on use, sensitivity, and external/internal context for all selected samples.</t>
  </si>
  <si>
    <t>Test 219: Information Security (incident response plan)</t>
  </si>
  <si>
    <t>Test 220: Information Security (security plan)</t>
  </si>
  <si>
    <t>Test 221: Information Security (risk management reporting)</t>
  </si>
  <si>
    <t>Provide evidence that the reporting followed the organization's risk management process around reporting for all selected samples.</t>
  </si>
  <si>
    <t xml:space="preserve">Test 222: Change (artificial intelligence) </t>
  </si>
  <si>
    <t>If change was upgrading to newer version of an externally developed model, provide evidence that the release notes were obtained and reviewed, prior to upgrading, for all selected samples.</t>
  </si>
  <si>
    <t>Provide evidence that explicit linkage between the versions of the training dataset used, the pipeline configuration used, and the resulting AI model is documented for all selected samples.</t>
  </si>
  <si>
    <t>If using downloaded artificial intelligence software, provide evidence that the organization inspected all models, packages used to create, training, and/or deploy the model, and language model tools for all selected samples.</t>
  </si>
  <si>
    <t>If using downloaded artificial intelligence software, provide evidence that the organization acts upon any identified non-compliances from the inspection results for all selected samples.</t>
  </si>
  <si>
    <t>Test 223: Information Security (AI-specific non-compliance identified during compliance check)</t>
  </si>
  <si>
    <t>Provide evidence that a description of the identified AI security threat has been documented in a risk/threat register for all selected samples.</t>
  </si>
  <si>
    <t>Provide evidence that all associated components of the AI system affected by identified non-compliance are included in the risk/threat register for all selected samples.</t>
  </si>
  <si>
    <t>Test 224: Artificial Intelligence (evaluation)</t>
  </si>
  <si>
    <t>Provide evidence that the evaluation included exposure to identified AI security threats for all selected samples.</t>
  </si>
  <si>
    <t>Provide evidence that the evaluation included identifying countermeasures currently in place to mitigate threats for all selected samples.</t>
  </si>
  <si>
    <t>Provide evidence that the evaluation included identifying any additional countermeasures deemed necessary considering the organization’s overall risk tolerance and the risk categorization of the AI system for all selected samples.</t>
  </si>
  <si>
    <t xml:space="preserve">Test : </t>
  </si>
  <si>
    <t>Methodology:</t>
  </si>
  <si>
    <t>Population:</t>
  </si>
  <si>
    <t>Sample:</t>
  </si>
  <si>
    <t xml:space="preserve"> Weight</t>
  </si>
  <si>
    <t xml:space="preserve"> Policy</t>
  </si>
  <si>
    <t xml:space="preserve"> Process</t>
  </si>
  <si>
    <t xml:space="preserve"> Implemented</t>
  </si>
  <si>
    <t xml:space="preserve"> Measured</t>
  </si>
  <si>
    <t xml:space="preserve"> Managed</t>
  </si>
  <si>
    <t xml:space="preserve"> Comments</t>
  </si>
  <si>
    <t>Column</t>
  </si>
  <si>
    <t>Check</t>
  </si>
  <si>
    <t>Verification</t>
  </si>
  <si>
    <t>Assessor &amp; Date</t>
  </si>
  <si>
    <t>Manager &amp; Date</t>
  </si>
  <si>
    <t>Manager Comments</t>
  </si>
  <si>
    <t>QA &amp; Date</t>
  </si>
  <si>
    <t>QA Comments</t>
  </si>
  <si>
    <t>Policy &amp; Process Documents</t>
  </si>
  <si>
    <t>Document Date</t>
  </si>
  <si>
    <t>Control Count</t>
  </si>
  <si>
    <t>Math &amp; Assessment Tab align</t>
  </si>
  <si>
    <t>Manual</t>
  </si>
  <si>
    <t>All controls have scores</t>
  </si>
  <si>
    <t>Policy File Name</t>
  </si>
  <si>
    <t>All controls have file linked with extensions</t>
  </si>
  <si>
    <t>Policy Mapping</t>
  </si>
  <si>
    <t>All controls have section mapped</t>
  </si>
  <si>
    <t>Spell checked</t>
  </si>
  <si>
    <t>Policy Exception Notes</t>
  </si>
  <si>
    <t>All deficient controls have notes</t>
  </si>
  <si>
    <t>Score = 100: No exception notes</t>
  </si>
  <si>
    <t>Score = 75: Exception notes justify score</t>
  </si>
  <si>
    <t>Score = 50: Exception notes justify score</t>
  </si>
  <si>
    <t>Score = 25: Exception notes justify score</t>
  </si>
  <si>
    <t>Score = 0: No evidence/mapping</t>
  </si>
  <si>
    <t>Filled out for all controls</t>
  </si>
  <si>
    <t>Process File Name</t>
  </si>
  <si>
    <t>Process Mapping</t>
  </si>
  <si>
    <t>Process Exception Notes</t>
  </si>
  <si>
    <t>Control is not applicable</t>
  </si>
  <si>
    <t>N/A Reason</t>
  </si>
  <si>
    <t>Appropriate rational provided</t>
  </si>
  <si>
    <t>N/A Controls</t>
  </si>
  <si>
    <t>All notes removed from remaining columns</t>
  </si>
  <si>
    <t>Weights set</t>
  </si>
  <si>
    <t>Inherited Scores</t>
  </si>
  <si>
    <t>Scores imported</t>
  </si>
  <si>
    <t>Inheritance Notes - explain weight rational</t>
  </si>
  <si>
    <t>Filled out for all controls that were inherited</t>
  </si>
  <si>
    <t>Implemented Inquiry Contact</t>
  </si>
  <si>
    <t>Filled out as needed</t>
  </si>
  <si>
    <t>Implemented Inquiry Notes</t>
  </si>
  <si>
    <t>Implemented Observation Notes</t>
  </si>
  <si>
    <t>Implemented Evidence Reviewed</t>
  </si>
  <si>
    <t>Implemented Notes</t>
  </si>
  <si>
    <t>Relied on third party assessment mapped (e.g., SOC 2)</t>
  </si>
  <si>
    <t>Implemented Exception Notes</t>
  </si>
  <si>
    <t>Date Control Was Scored/Tested</t>
  </si>
  <si>
    <t>#REF errors corrected</t>
  </si>
  <si>
    <t>Sample Tables Tab</t>
  </si>
  <si>
    <t>Inquiry table filled out</t>
  </si>
  <si>
    <t>Methodology filled out for all tables</t>
  </si>
  <si>
    <t>Population size filled out for all tables</t>
  </si>
  <si>
    <t>Sample size filled out for all tables</t>
  </si>
  <si>
    <t>Non-occurrences have detailed explanations</t>
  </si>
  <si>
    <t>All partial scores have brief explanation</t>
  </si>
  <si>
    <t>All N/A scores have brief explanation</t>
  </si>
  <si>
    <t>All N/A tables have been removed</t>
  </si>
  <si>
    <t>Formatting remains consistent</t>
  </si>
  <si>
    <t>Analytics: Average Domain by Maturity</t>
  </si>
  <si>
    <t>Domains match scores in Math tab</t>
  </si>
  <si>
    <t>MyCSF: Name &amp; Security</t>
  </si>
  <si>
    <t>Appropriate access configured</t>
  </si>
  <si>
    <t>QA Reviewer &amp; Engagement Executive Set</t>
  </si>
  <si>
    <t>MyCSF: Organization Information</t>
  </si>
  <si>
    <t>Organization/Company Background</t>
  </si>
  <si>
    <t>Overview of the Security Organization</t>
  </si>
  <si>
    <t>Contact Information</t>
  </si>
  <si>
    <t>MyCSF: Scope of the Assessment</t>
  </si>
  <si>
    <t>Platforms/Systems</t>
  </si>
  <si>
    <t>Facilities</t>
  </si>
  <si>
    <t>Services Outsourced</t>
  </si>
  <si>
    <t>MyCSF: Factors</t>
  </si>
  <si>
    <t>No rationales</t>
  </si>
  <si>
    <t>MyCSF: Assessment</t>
  </si>
  <si>
    <t>Inheritance set</t>
  </si>
  <si>
    <t>Scores and N/A comments inputted</t>
  </si>
  <si>
    <t>Evidence linked</t>
  </si>
  <si>
    <t>MyCSF: Validated Report Agreement</t>
  </si>
  <si>
    <t>Signed</t>
  </si>
  <si>
    <t>MyCSF: QA Checklist</t>
  </si>
  <si>
    <t>Completed</t>
  </si>
  <si>
    <t>MyCSF: Representation Letter</t>
  </si>
  <si>
    <t>MyCSF: Test Plan</t>
  </si>
  <si>
    <t>Uploaded</t>
  </si>
  <si>
    <t>MyCSF: External Assessor Time Sheet</t>
  </si>
  <si>
    <t>MyCSF: Audits and Assessment Utilized</t>
  </si>
  <si>
    <t>MyCSF: CAPs</t>
  </si>
  <si>
    <t>Input by client and approved</t>
  </si>
  <si>
    <t>Domains</t>
  </si>
  <si>
    <t>Policy</t>
  </si>
  <si>
    <t>Process</t>
  </si>
  <si>
    <t>Implementation</t>
  </si>
  <si>
    <t>Measured</t>
  </si>
  <si>
    <t>Managed</t>
  </si>
  <si>
    <t>Count</t>
  </si>
  <si>
    <t>N/A</t>
  </si>
  <si>
    <t>Final</t>
  </si>
  <si>
    <t>Open</t>
  </si>
  <si>
    <t>Weight</t>
  </si>
  <si>
    <t>Totals</t>
  </si>
  <si>
    <t>In-Scope</t>
  </si>
  <si>
    <t>Category</t>
  </si>
  <si>
    <t>Request Type</t>
  </si>
  <si>
    <t>Description</t>
  </si>
  <si>
    <t>Criteria</t>
  </si>
  <si>
    <t>Date</t>
  </si>
  <si>
    <t>Location (Optional)</t>
  </si>
  <si>
    <t>SOC 2 Mapping</t>
  </si>
  <si>
    <t>ISO 27001 (2022) Mapping</t>
  </si>
  <si>
    <t>Uncategorized</t>
  </si>
  <si>
    <t>Provide all documents (i.e., polices, procedures, standards, etc.) along with associated mapping for the entire assessment.</t>
  </si>
  <si>
    <t>R-1105
R-1122
R-1315
R-1535
R-1296
R-1297
R-1124
R-1283
R-1436
R-1397
R-1454
R-1352
R-1975
R-1232
R-1382
R-1756
R-1005
R-1014
R-1553
R-1456
R-1065
R-1216
R-1499
R-1236
R-1473
R-1517
R-1141
R-1034
R-1088</t>
  </si>
  <si>
    <t>R-1105
R-1122
R-1123
R-1535
R-1296
R-2300
R-1117
R-1367
R-1124
R-1283
R-2307
R-1397
R-1430
R-1968
R-2058
R-2324
R-1454
R-2315
R-2313
R-1352
R-1232
R-1382
R-1988
R-2540
R-1005
R-1014
R-2317
R-1456
R-1065
R-1216
R-1514
R-1499
R-1473
R-2319
R-1474
R-1967
R-2322
R-1141
R-1034
R-2298
R-2285
R-2290
R-2308
R-2288
R-1594
R-1785
R-2311
R-2293
R-2291</t>
  </si>
  <si>
    <t>Provide all plans (Business Continuity/Disaster Recovery, Configuration, Incident Response, Security, System, etc.) for the in-scope environment.</t>
  </si>
  <si>
    <t>R-2294
R-2009
R-2325
R-1989</t>
  </si>
  <si>
    <t>Population</t>
  </si>
  <si>
    <t>Provide a population of all Access Accounts (business partner) associated with the in-scope environment/system (Test 001).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</si>
  <si>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R-1157</t>
  </si>
  <si>
    <t>Provide a population of all Access Accounts (group/shared/generic) associated with the in-scope environment/system (Test 002).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</si>
  <si>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Access Accounts (privileged) associated with the in-scope environment/system (Test 003).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</si>
  <si>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R-1163
R-1157
R-1158
R-1162
R-1167
R-1173
R-1180</t>
  </si>
  <si>
    <t>R-1187
R-1157
R-1158
R-1162
R-1167
R-1173
R-1180
R-2306</t>
  </si>
  <si>
    <t>Provide a population of all Access Accounts (service) associated with the in-scope environment/system (Test 004).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</si>
  <si>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R-1208</t>
  </si>
  <si>
    <t>Provide a population of all Access Accounts (standard with LAN access to information system component/resource) associated with the in-scope environment/system (Test 005).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</si>
  <si>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Access Accounts (standard) associated with the in-scope environment/system (Test 006).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</si>
  <si>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R-1162</t>
  </si>
  <si>
    <t>Provide a population of all Access Accounts (vendor with remote access to client/customer information) associated with the in-scope environment/system (Test 007).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</si>
  <si>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Access Accounts (vendor) associated with the in-scope environment/system (Test 008).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</si>
  <si>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Access Accounts (workforce member) associated with the in-scope environment/system (Test 009).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</si>
  <si>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(allow access to other application) associated with the in-scope environment/system (Test 010).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</si>
  <si>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(authentication not required) associated with the in-scope environment/system (Test 011).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</si>
  <si>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(authentication required) associated with the in-scope environment/system (Test 012).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</si>
  <si>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(classified sensitive) associated with the in-scope environment/system (Test 013).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</si>
  <si>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(commercial) associated with the in-scope environment/system (Test 014).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</si>
  <si>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(developed and web facing) associated with the in-scope environment/system (Test 015).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</si>
  <si>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(developed) associated with the in-scope environment/system (Test 016).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</si>
  <si>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(handle covered/confidential information) associated with the in-scope environment/system (Test 017).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</si>
  <si>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(open source) associated with the in-scope environment/system (Test 018).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</si>
  <si>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(remote access) associated with the in-scope environment/system (Test 019).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</si>
  <si>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(security-related) associated with the in-scope environment/system (Test 020).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</si>
  <si>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Applications (web application) associated with the in-scope environment/system (Test 021).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</si>
  <si>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within the past 12 months, associated with the in-scope environment/system (Test 022).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</si>
  <si>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P-20</t>
  </si>
  <si>
    <t>Provide a population of all Changes (access to guest/anonymous, shared/group, emergency, and/or temporary account), within the past 12 months, associated with the in-scope environment/system (Test 023).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</si>
  <si>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(access to information system), within the past 12 months, associated with the in-scope environment/system (Test 024).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</si>
  <si>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(access to privileged permissions), within the past 12 months, associated with the in-scope environment/system (Test 025).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</si>
  <si>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(access to security tool), within the past 12 months, associated with the in-scope environment/system (Test 026).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</si>
  <si>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(access to system document), within the past 12 months, associated with the in-scope environment/system (Test 027).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</si>
  <si>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(business continuity), within the past 12 months, associated with the in-scope environment/system (Test 028).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</si>
  <si>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(commercial software), within the past 12 months, associated with the in-scope environment/system (Test 029).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</si>
  <si>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(information system and system components), within the past 12 months, associated with the in-scope environment/system (Test 030).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</si>
  <si>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(item on security report), within the past 12 months, associated with the in-scope environment/system (Test 031).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</si>
  <si>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(mobile device), within the past 12 months, associated with the in-scope environment/system (Test 032).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</si>
  <si>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(network connection), within the past 12 months, associated with the in-scope environment/system (Test 033).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</si>
  <si>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P-13</t>
  </si>
  <si>
    <t>Provide a population of all Changes (new endpoint installation), within the past 12 months, associated with the in-scope environment/system (Test 034).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</si>
  <si>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(outsourced software/system development), within the past 12 months, associated with the in-scope environment/system (Test 035).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</si>
  <si>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(physical security), within the past 12 months, associated with the in-scope environment/system (Test 036).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</si>
  <si>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(physical to virtual migration), within the past 12 months, associated with the in-scope environment/system (Test 037).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</si>
  <si>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(related to third party service/system), within the past 12 months, associated with the in-scope environment/system (Test 038).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</si>
  <si>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(significant to environment), within the past 12 months, associated with the in-scope environment/system (Test 039).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</si>
  <si>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(software development release), within the past 12 months, associated with the in-scope environment/system (Test 040).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</si>
  <si>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t>
  </si>
  <si>
    <t>Provide a population of all Changes (system development), within the past 12 months, associated with the in-scope environment/system (Test 041).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</si>
  <si>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Changes (virtual machine image), within the past 12 months, associated with the in-scope environment/system (Test 042).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</si>
  <si>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(auto-update capable) associated with the in-scope environment/system (Test 043).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</si>
  <si>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(auto-update incapable) associated with the in-scope environment/system (Test 044).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</si>
  <si>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(BYOD) associated with the in-scope environment/system (Test 045).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</si>
  <si>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P-15</t>
  </si>
  <si>
    <t>Provide a population of all Endpoint Devices (classified as critical) associated with the in-scope environment/system (Test 046).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</si>
  <si>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(collaborative computing) associated with the in-scope environment/system (Test 047).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</si>
  <si>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(disposed) associated with the in-scope environment/system (Test 048).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</si>
  <si>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(identified as unauthorized) associated with the in-scope environment/system (Test 049).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</si>
  <si>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(laptop) associated with the in-scope environment/system (Test 050).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</si>
  <si>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(multifunctional output) associated with the in-scope environment/system (Test 051).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</si>
  <si>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(not authorized for wireless use) associated with the in-scope environment/system (Test 052).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</si>
  <si>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(remote with ability to process data) associated with the in-scope environment/system (Test 053).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</si>
  <si>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(server) associated with the in-scope environment/system (Test 054).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</si>
  <si>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P-19</t>
  </si>
  <si>
    <t>Provide a population of all Endpoint Devices (stores sensitive information) associated with the in-scope environment/system (Test 055).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</si>
  <si>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(virtual) associated with the in-scope environment/system (Test 056).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</si>
  <si>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(wireless capable) associated with the in-scope environment/system (Test 057).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</si>
  <si>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Endpoint Devices (workstation) associated with the in-scope environment/system (Test 058).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</si>
  <si>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(cloud/network service provider) associated with the in-scope environment/system (Test 059).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</si>
  <si>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P-122</t>
  </si>
  <si>
    <t>Provide a population of all External Entities (Computer Matching Agreement) associated with the in-scope environment/system (Test 060).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</si>
  <si>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(customer) associated with the in-scope environment/system (Test 061).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</si>
  <si>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P-7</t>
  </si>
  <si>
    <t>Provide a population of all External Entities (eCommerce trading partner) associated with the in-scope environment/system (Test 062).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</si>
  <si>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(information exchange with CMS) associated with the in-scope environment/system (Test 063).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</si>
  <si>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(limited data set recipient) associated with the in-scope environment/system (Test 064).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</si>
  <si>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(new third party), within the past 12 months, associated with the in-scope environment/system (Test 065).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</si>
  <si>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(non-local maintenance and diagnostic service) associated with the in-scope environment/system (Test 066).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</si>
  <si>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(software development outsourcing) associated with the in-scope environment/system (Test 067).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</si>
  <si>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R-1428</t>
  </si>
  <si>
    <t>Provide a population of all External Entities (system development outsourcing) associated with the in-scope environment/system (Test 068).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</si>
  <si>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(third party information exchange) associated with the in-scope environment/system (Test 069).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</si>
  <si>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External Entities (third party) associated with the in-scope environment/system (Test 070).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</si>
  <si>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P-22</t>
  </si>
  <si>
    <t>Provide a population of all authorization/consent forms associated with the in-scope environment/system (Test 071).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</si>
  <si>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breach forensic investigations associated with the in-scope environment/system (Test 072).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</si>
  <si>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breaches associated with the in-scope environment/system (Test 073).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</si>
  <si>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business continuity &amp; disaster plans associated with the in-scope environment/system (Test 074).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</si>
  <si>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business continuity &amp; disaster tests associated with the in-scope environment/system (Test 075).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</si>
  <si>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business units associated with the in-scope environment/system (Test 076).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</si>
  <si>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capital planning/investments associated with the in-scope environment/system (Test 077).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</si>
  <si>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collections of covered/confidential information associated with the in-scope environment/system (Test 078).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</si>
  <si>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complaints made by consumer/data subject associated with the in-scope environment/system (Test 079).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</si>
  <si>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P-10</t>
  </si>
  <si>
    <t>Provide a population of all complaints associated with the in-scope environment/system (Test 080).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</si>
  <si>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consumer/data subject notices associated with the in-scope environment/system (Test 081).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</si>
  <si>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consumer/data subject requests for access to his/her information associated with the in-scope environment/system (Test 082).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</si>
  <si>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consumer/data subject requests for amendment to his/her information associated with the in-scope environment/system (Test 083).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</si>
  <si>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consumer/data subject requests for an accounting of disclosure associated with the in-scope environment/system (Test 084).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</si>
  <si>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consumer/data subject requests for the restriction of disclosure/use of his/her information associated with the in-scope environment/system (Test 085).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</si>
  <si>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consumer/data subject requests associated with the in-scope environment/system (Test 086).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</si>
  <si>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consumers/data subjects who have been offered/received financial incentives associated with the in-scope environment/system (Test 087).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</si>
  <si>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consumers/data subjects who have exercised his/her rights associated with the in-scope environment/system (Test 088).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</si>
  <si>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P-11</t>
  </si>
  <si>
    <t>Provide a population of all covered information used in non-production environments associated with the in-scope environment/system (Test 089).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</si>
  <si>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covered/confidential information associated with the in-scope environment/system (Test 090).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</si>
  <si>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data controller audits associated with the in-scope environment/system (Test 091).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</si>
  <si>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data governance roles associated with the in-scope environment/system (Test 092).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</si>
  <si>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data impact assessments associated with the in-scope environment/system (Test 093).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</si>
  <si>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de-identified data associated with the in-scope environment/system (Test 094).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</si>
  <si>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delivery records associated with the in-scope environment/system (Test 095).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</si>
  <si>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denials of consumer/data subject requests for access to his/her information associated with the in-scope environment/system (Test 096).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</si>
  <si>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denials of consumer/data subject requests for amendment to his/her information associated with the in-scope environment/system (Test 097).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</si>
  <si>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disciplinary records associated with the in-scope environment/system (Test 098).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</si>
  <si>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 of covered/confidential information for fundraising purposes associated with the in-scope environment/system (Test 099).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</si>
  <si>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 of covered/confidential information for judicial and administrative proceedings associated with the in-scope environment/system (Test 100).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</si>
  <si>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 of covered/confidential information for public health activities associated with the in-scope environment/system (Test 101).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</si>
  <si>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 of covered/confidential information to a coroner/medical examiner associated with the in-scope environment/system (Test 102).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</si>
  <si>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 of covered/confidential information to a health oversight agency associated with the in-scope environment/system (Test 103).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</si>
  <si>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 of covered/confidential information to government authorities associated with the in-scope environment/system (Test 104).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</si>
  <si>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 of covered/confidential information to law enforcement associated with the in-scope environment/system (Test 105).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</si>
  <si>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disclosures/uses of covered/confidential information associated with the in-scope environment/system (Test 106).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</si>
  <si>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indications of increased risk associated with the in-scope environment/system (Test 107).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</si>
  <si>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legal cases associated with the in-scope environment/system (Test 108).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</si>
  <si>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incident response tests associated with the in-scope environment/system (Test 109).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</si>
  <si>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incidents associated with the in-scope environment/system (Test 110).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</si>
  <si>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P-14</t>
  </si>
  <si>
    <t>Provide a population of all logical security incidents associated with the in-scope environment/system (Test 111).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</si>
  <si>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maintenance records associated with the in-scope environment/system (Test 112).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</si>
  <si>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media disposal records associated with the in-scope environment/system (Test 113).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</si>
  <si>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P-8</t>
  </si>
  <si>
    <t>Provide a population of all new commercial products associated with the in-scope environment/system (Test 114).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</si>
  <si>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new use of PII proposals associated with the in-scope environment/system (Test 115).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</si>
  <si>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non-compliance identified during compliance checks associated with the in-scope environment/system (Test 116).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</si>
  <si>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P-29</t>
  </si>
  <si>
    <t>Provide a population of all non-local maintenance records associated with the in-scope environment/system (Test 117).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</si>
  <si>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physical security incidents associated with the in-scope environment/system (Test 118).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</si>
  <si>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posted to publicly accessible systems associated with the in-scope environment/system (Test 119).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</si>
  <si>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privacy control assessments associated with the in-scope environment/system (Test 120).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</si>
  <si>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program documents associated with the in-scope environment/system (Test 121).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</si>
  <si>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records extract of covered/confidential information associated with the in-scope environment/system (Test 122).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</si>
  <si>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remediated non-compliance identified during compliance checks associated with the in-scope environment/system (Test 123).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</si>
  <si>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risk assessments associated with the in-scope environment/system (Test 124).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</si>
  <si>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sales of consumer/data subject information associated with the in-scope environment/system (Test 125).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</si>
  <si>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sales of under age consumer/data subject information associated with the in-scope environment/system (Test 126).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</si>
  <si>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security control assessments associated with the in-scope environment/system (Test 127).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</si>
  <si>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security roles associated with the in-scope environment/system (Test 128).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</si>
  <si>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System of Records Notices associated with the in-scope environment/system (Test 129).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</si>
  <si>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technical compliance checks associated with the in-scope environment/system (Test 130).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</si>
  <si>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theft security incidents associated with the in-scope environment/system (Test 131).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</si>
  <si>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training materials associated with the in-scope environment/system (Test 132).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</si>
  <si>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visitor logs associated with the in-scope environment/system (Test 133).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</si>
  <si>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visitor related security incidents associated with the in-scope environment/system (Test 134).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</si>
  <si>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visitors with access to secure areas/facilities associated with the in-scope environment/system (Test 135).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</si>
  <si>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associated with the in-scope environment/system (Test 136).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</si>
  <si>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(acquisition) associated with the in-scope environment/system (Test 137).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</si>
  <si>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(alternate facility/secure area) associated with the in-scope environment/system (Test 138).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</si>
  <si>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(authentication not required for system component) associated with the in-scope environment/system (Test 139).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</si>
  <si>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(authentication sub-system) associated with the in-scope environment/system (Test 140).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</si>
  <si>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(backup sub-system) associated with the in-scope environment/system (Test 141).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</si>
  <si>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(CMS) associated with the in-scope environment/system (Test 142).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</si>
  <si>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(data lose prevention sub-system) associated with the in-scope environment/system (Test 143).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</si>
  <si>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(data transmission) associated with the in-scope environment/system (Test 144).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</si>
  <si>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(dial-up connection) associated with the in-scope environment/system (Test 145).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</si>
  <si>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(electronic signature based upon biometric) associated with the in-scope environment/system (Test 146).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</si>
  <si>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(encryption key) associated with the in-scope environment/system (Test 147).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</si>
  <si>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(encryption) associated with the in-scope environment/system (Test 148).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</si>
  <si>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(facility/secure area) associated with the in-scope environment/system (Test 149).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</si>
  <si>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(logging &amp; monitoring sub-system) associated with the in-scope environment/system (Test 150).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</si>
  <si>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(new CMS) associated with the in-scope environment/system (Test 151).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</si>
  <si>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(new system component classified critical) associated with the in-scope environment/system (Test 152).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</si>
  <si>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(new system component/system resource) associated with the in-scope environment/system (Test 153).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</si>
  <si>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(new) associated with the in-scope environment/system (Test 154).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</si>
  <si>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(operating procedure) associated with the in-scope environment/system (Test 155).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</si>
  <si>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(password compromise) associated with the in-scope environment/system (Test 156).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</si>
  <si>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(password request/reset) associated with the in-scope environment/system (Test 157).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</si>
  <si>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(password storage) associated with the in-scope environment/system (Test 158).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</si>
  <si>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(password transmission) associated with the in-scope environment/system (Test 159).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</si>
  <si>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(physical access sub-system) associated with the in-scope environment/system (Test 160).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</si>
  <si>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(physical equipment move) associated with the in-scope environment/system (Test 161).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</si>
  <si>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(processing covered/confidential information) associated with the in-scope environment/system (Test 162).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</si>
  <si>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(successful unauthorized access attempt) associated with the in-scope environment/system (Test 163).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</si>
  <si>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classified as sensitive) associated with the in-scope environment/system (Test 164).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</si>
  <si>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classified critical) associated with the in-scope environment/system (Test 165).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</si>
  <si>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maintenance) associated with the in-scope environment/system (Test 166).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</si>
  <si>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patch) associated with the in-scope environment/system (Test 167).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</si>
  <si>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P-52</t>
  </si>
  <si>
    <t>Provide a population of all Information Systems (system component that processes covered/confidential information) associated with the in-scope environment/system (Test 168).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</si>
  <si>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stores accounting of disclosure record) associated with the in-scope environment/system (Test 169).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</si>
  <si>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stores accounting of notice record) associated with the in-scope environment/system (Test 170).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</si>
  <si>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stores accounting of restriction record) associated with the in-scope environment/system (Test 171).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</si>
  <si>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stores covered/confidential record after data subject death) associated with the in-scope environment/system (Test 172).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</si>
  <si>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stores covered/confidential record subject to access by data subject) associated with the in-scope environment/system (Test 173).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</si>
  <si>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stores covered/confidential record) associated with the in-scope environment/system (Test 174).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</si>
  <si>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stores organizational record) associated with the in-scope environment/system (Test 175).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</si>
  <si>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that was disposed/exchanged/transferred) associated with the in-scope environment/system (Test 176).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</si>
  <si>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(system component) associated with the in-scope environment/system (Test 177).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</si>
  <si>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(unauthorized access attempt) associated with the in-scope environment/system (Test 178).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</si>
  <si>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Information Systems (update to CMS) associated with the in-scope environment/system (Test 179).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</si>
  <si>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Network Devices (firewall) associated with the in-scope environment/system (Test 180).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</si>
  <si>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Network Devices (identified as unauthorized) associated with the in-scope environment/system (Test 181).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</si>
  <si>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Network Devices (router) associated with the in-scope environment/system (Test 182).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</si>
  <si>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Network Devices (switch) associated with the in-scope environment/system (Test 183).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</si>
  <si>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Network Devices (wireless access point) associated with the in-scope environment/system (Test 184).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</si>
  <si>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Removable Media associated with the in-scope environment/system (Test 185).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</si>
  <si>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P-45</t>
  </si>
  <si>
    <t>Provide a population of all Removable Media (exempt from labeling) associated with the in-scope environment/system (Test 186).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</si>
  <si>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Removable Media (transported out of controlled area) associated with the in-scope environment/system (Test 187).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</si>
  <si>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(ability to post information on publicly accessible system) associated with the in-scope environment/system (Test 188).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</si>
  <si>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(access to encryption keys) associated with the in-scope environment/system (Test 189).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</si>
  <si>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(access/handling of covered/confidential information) associated with the in-scope environment/system (Test 190).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</si>
  <si>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t>
  </si>
  <si>
    <t>Provide a population of all Workforce Members (business continuity) associated with the in-scope environment/system (Test 191).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</si>
  <si>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(contractor) associated with the in-scope environment/system (Test 192).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</si>
  <si>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
P-22</t>
  </si>
  <si>
    <t>Provide a population of all Workforce Members (employee) associated with the in-scope environment/system (Test 193).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</si>
  <si>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
P-6
R-1157</t>
  </si>
  <si>
    <t>P-6
R-1157</t>
  </si>
  <si>
    <t>Provide a population of all Workforce Members (entering security role) associated with the in-scope environment/system (Test 194).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</si>
  <si>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(external maintenance) associated with the in-scope environment/system (Test 195).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</si>
  <si>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(failing to comply with ISMP) associated with the in-scope environment/system (Test 196).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</si>
  <si>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(incident response) associated with the in-scope environment/system (Test 197).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</si>
  <si>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(information security) associated with the in-scope environment/system (Test 198).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</si>
  <si>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(lacking clearance/not U.S. citizen) associated with the in-scope environment/system (Test 199).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</si>
  <si>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(new hire) associated with the in-scope environment/system (Test 200).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</si>
  <si>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P-18</t>
  </si>
  <si>
    <t>Provide a population of all Workforce Members (new information system owner) associated with the in-scope environment/system (Test 201).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</si>
  <si>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(provided hardware token) associated with the in-scope environment/system (Test 202).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</si>
  <si>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(responsible for disclosing covered/confidential information) associated with the in-scope environment/system (Test 203).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</si>
  <si>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(responsible for handling consumer/data subject inquire) associated with the in-scope environment/system (Test 204).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</si>
  <si>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(senior executive) associated with the in-scope environment/system (Test 205).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</si>
  <si>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P-40</t>
  </si>
  <si>
    <t>Provide a population of all Workforce Members (significant security responsibility) associated with the in-scope environment/system (Test 206).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</si>
  <si>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(software developer) associated with the in-scope environment/system (Test 207).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</si>
  <si>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R-1420</t>
  </si>
  <si>
    <t>Provide a population of all Workforce Members (teleworker) associated with the in-scope environment/system (Test 208).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</si>
  <si>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(termination high risk) associated with the in-scope environment/system (Test 209).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</si>
  <si>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(termination with knowledge of wireless encryption key) associated with the in-scope environment/system (Test 210).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</si>
  <si>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(termination) associated with the in-scope environment/system (Test 211).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</si>
  <si>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P-21</t>
  </si>
  <si>
    <t>Provide a population of all Workforce Members (third party user) associated with the in-scope environment/system (Test 212).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</si>
  <si>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(transfer) associated with the in-scope environment/system (Test 213).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</si>
  <si>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P-28</t>
  </si>
  <si>
    <t>Provide a population of all Workforce Members (use of electronic signature) associated with the in-scope environment/system (Test 214).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</si>
  <si>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Workforce Members (volunteer) associated with the in-scope environment/system (Test 215).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</si>
  <si>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Application Programming Interfaces (API) associated with the in-scope environment/system (Test 216).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</si>
  <si>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Interconnected Systems associated with the in-scope environment/system (Test 217).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</si>
  <si>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General</t>
  </si>
  <si>
    <t>Provide all evidence associated with Test 001: Access Account (business partner).</t>
  </si>
  <si>
    <t>Sample</t>
  </si>
  <si>
    <t>R-1085</t>
  </si>
  <si>
    <t>Provide all evidence associated with Test 002: Access Account (group/shared/generic).</t>
  </si>
  <si>
    <t>Provide all evidence associated with Test 003: Access Account (privileged).</t>
  </si>
  <si>
    <t>Provide all evidence associated with Test 004: Access Account (service).</t>
  </si>
  <si>
    <t>Provide all evidence associated with Test 005: Access Account (standard with LAN access to information system component/resource).</t>
  </si>
  <si>
    <t>Provide all evidence associated with Test 006: Access Account (standard).</t>
  </si>
  <si>
    <t>Provide all evidence associated with Test 007: Access Account (vendor with remote access to client/customer information).</t>
  </si>
  <si>
    <t>Provide all evidence associated with Test 008: Access Account (vendor).</t>
  </si>
  <si>
    <t>Provide all evidence associated with Test 009: Access Account (workforce member).</t>
  </si>
  <si>
    <t>Provide all evidence associated with Test 010: Application (allow access to other application).</t>
  </si>
  <si>
    <t>Provide all evidence associated with Test 011: Application (authentication not required).</t>
  </si>
  <si>
    <t>Provide all evidence associated with Test 012: Application (authentication required).</t>
  </si>
  <si>
    <t>R-1469</t>
  </si>
  <si>
    <t>R-1470
R-2309</t>
  </si>
  <si>
    <t>Provide all evidence associated with Test 013: Application (classified sensitive).</t>
  </si>
  <si>
    <t>Provide all evidence associated with Test 014: Application (commercial).</t>
  </si>
  <si>
    <t>Provide all evidence associated with Test 015: Application (developed and web facing).</t>
  </si>
  <si>
    <t>Provide all evidence associated with Test 016: Application (developed).</t>
  </si>
  <si>
    <t>Provide all evidence associated with Test 017: Application (handle covered/confidential information).</t>
  </si>
  <si>
    <t>Provide all evidence associated with Test 018: Application (open source).</t>
  </si>
  <si>
    <t>Provide all evidence associated with Test 019: Application (remote access).</t>
  </si>
  <si>
    <t>Provide all evidence associated with Test 020: Application (security-related).</t>
  </si>
  <si>
    <t>Provide all evidence associated with Test 021: Application (web application).</t>
  </si>
  <si>
    <t>Provide all evidence associated with Test 022: Change.</t>
  </si>
  <si>
    <t>Provide all evidence associated with Test 023: Change (access to guest/anonymous, shared/group, emergency, and/or temporary account).</t>
  </si>
  <si>
    <t>Provide all evidence associated with Test 024: Change (access to information system).</t>
  </si>
  <si>
    <t>Provide all evidence associated with Test 025: Change (access to privileged permissions).</t>
  </si>
  <si>
    <t>Provide all evidence associated with Test 026: Change (access to security tool).</t>
  </si>
  <si>
    <t>Provide all evidence associated with Test 027: Change (access to system document).</t>
  </si>
  <si>
    <t>Provide all evidence associated with Test 028: Change (business continuity).</t>
  </si>
  <si>
    <t>Provide all evidence associated with Test 029: Change (commercial software).</t>
  </si>
  <si>
    <t>Provide all evidence associated with Test 030: Change (information system and system components).</t>
  </si>
  <si>
    <t>R-1398-51746</t>
  </si>
  <si>
    <t>R-2310
R-1398
R-1405</t>
  </si>
  <si>
    <t>Provide all evidence associated with Test 031: Change (item on security report).</t>
  </si>
  <si>
    <t>Provide all evidence associated with Test 032: Change (mobile device).</t>
  </si>
  <si>
    <t>Provide all evidence associated with Test 033: Change (network connection).</t>
  </si>
  <si>
    <t>Provide all evidence associated with Test 034: Change (new endpoint installation).</t>
  </si>
  <si>
    <t>Provide all evidence associated with Test 035: Change (outsourced software/system development).</t>
  </si>
  <si>
    <t>Provide all evidence associated with Test 036: Change (physical security).</t>
  </si>
  <si>
    <t>Provide all evidence associated with Test 037: Change (physical to virtual migration).</t>
  </si>
  <si>
    <t>Provide all evidence associated with Test 038: Change (related to third party service/system).</t>
  </si>
  <si>
    <t>Provide all evidence associated with Test 039: Change (significant to environment).</t>
  </si>
  <si>
    <t>R-1405</t>
  </si>
  <si>
    <t>Provide all evidence associated with Test 040: Change (software development release).</t>
  </si>
  <si>
    <t>R-1039
R-1751</t>
  </si>
  <si>
    <t>Provide all evidence associated with Test 041: Change (system development).</t>
  </si>
  <si>
    <t>R-1413-51937</t>
  </si>
  <si>
    <t>Provide all evidence associated with Test 042: Change (virtual machine image).</t>
  </si>
  <si>
    <t>Provide all evidence associated with Test 043: Endpoint Device (auto-update capable).</t>
  </si>
  <si>
    <t>Provide all evidence associated with Test 044: Endpoint Device (auto-update incapable).</t>
  </si>
  <si>
    <t>Provide all evidence associated with Test 045: Endpoint Device (BYOD).</t>
  </si>
  <si>
    <t>R-1381-51519
R-1469</t>
  </si>
  <si>
    <t>R-2309</t>
  </si>
  <si>
    <t>Provide all evidence associated with Test 046: Endpoint Device (classified as critical).</t>
  </si>
  <si>
    <t>Provide all evidence associated with Test 047: Endpoint Device (collaborative computing).</t>
  </si>
  <si>
    <t>Provide all evidence associated with Test 048: Endpoint Device (disposed).</t>
  </si>
  <si>
    <t>Provide all evidence associated with Test 049: Endpoint Device (identified as unauthorized).</t>
  </si>
  <si>
    <t>Provide all evidence associated with Test 050: Endpoint Device (laptop).</t>
  </si>
  <si>
    <t>Provide all evidence associated with Test 051: Endpoint Device (multifunctional output).</t>
  </si>
  <si>
    <t>Provide all evidence associated with Test 052: Endpoint Device (not authorized for wireless use).</t>
  </si>
  <si>
    <t>Provide all evidence associated with Test 053: Endpoint Device (remote with ability to process data).</t>
  </si>
  <si>
    <t>Provide all evidence associated with Test 054: Endpoint Device (server).</t>
  </si>
  <si>
    <t>R-1265-51744
R-1237-51744
R-1469</t>
  </si>
  <si>
    <t>R-2309
R-1550</t>
  </si>
  <si>
    <t>Provide all evidence associated with Test 055: Endpoint Device (stores sensitive information).</t>
  </si>
  <si>
    <t>Provide all evidence associated with Test 056: Endpoint Device (virtual).</t>
  </si>
  <si>
    <t>Provide all evidence associated with Test 057: Endpoint Device (wireless capable).</t>
  </si>
  <si>
    <t>Provide all evidence associated with Test 058: Endpoint Device (workstation).</t>
  </si>
  <si>
    <t>R-1237-51744
R-1469</t>
  </si>
  <si>
    <t>Provide all evidence associated with Test 059: External Entity (cloud/network service provider).</t>
  </si>
  <si>
    <t>R-2320
R-2292</t>
  </si>
  <si>
    <t>Provide all evidence associated with Test 060: External Entity (Computer Matching Agreement).</t>
  </si>
  <si>
    <t>Provide all evidence associated with Test 061: External Entity (customer).</t>
  </si>
  <si>
    <t>Provide all evidence associated with Test 062: External Entity (eCommerce trading partner).</t>
  </si>
  <si>
    <t>Provide all evidence associated with Test 063: External Entity (information exchange with CMS).</t>
  </si>
  <si>
    <t>Provide all evidence associated with Test 064: External Entity (limited data set recipient).</t>
  </si>
  <si>
    <t>Provide all evidence associated with Test 065: External Entity (new third party).</t>
  </si>
  <si>
    <t>Provide all evidence associated with Test 066: External Entity (non-local maintenance and diagnostic service).</t>
  </si>
  <si>
    <t>Provide all evidence associated with Test 067: External Entity (software development outsourcing).</t>
  </si>
  <si>
    <t>Provide all evidence associated with Test 068: External Entity (system development outsourcing).</t>
  </si>
  <si>
    <t>Provide all evidence associated with Test 069: External Entity (third party information exchange).</t>
  </si>
  <si>
    <t>R-2289</t>
  </si>
  <si>
    <t>Provide all evidence associated with Test 070: External Entity (third party).</t>
  </si>
  <si>
    <t>R-1144
R-1145-51522</t>
  </si>
  <si>
    <t>R-1144
R-1145
R-1142</t>
  </si>
  <si>
    <t>Provide all evidence associated with Test 071: Information Security (authorization/consent form).</t>
  </si>
  <si>
    <t>Provide all evidence associated with Test 072: Information Security (breach forensic investigation required).</t>
  </si>
  <si>
    <t>Provide all evidence associated with Test 073: Information Security (breach).</t>
  </si>
  <si>
    <t>Provide all evidence associated with Test 074: Information Security (business continuity &amp; disaster plan).</t>
  </si>
  <si>
    <t>Provide all evidence associated with Test 075: Information Security (business continuity &amp; disaster test).</t>
  </si>
  <si>
    <t>R-1125</t>
  </si>
  <si>
    <t>R-1125
R-2295</t>
  </si>
  <si>
    <t>Provide all evidence associated with Test 076: Information Security (business unit).</t>
  </si>
  <si>
    <t>Provide all evidence associated with Test 077: Information Security (capital planning/investment).</t>
  </si>
  <si>
    <t>Provide all evidence associated with Test 078: Information Security (collection of covered/confidential information).</t>
  </si>
  <si>
    <t>Provide all evidence associated with Test 079: Information Security (complaint made by consumer/data subject).</t>
  </si>
  <si>
    <t>Provide all evidence associated with Test 080: Information Security (complaint).</t>
  </si>
  <si>
    <t>Provide all evidence associated with Test 081: Information Security (consumer/data subject notice).</t>
  </si>
  <si>
    <t>Provide all evidence associated with Test 082: Information Security (consumer/data subject request for access to his/her information).</t>
  </si>
  <si>
    <t>Provide all evidence associated with Test 083: Information Security (consumer/data subject request for amendment to his/her information).</t>
  </si>
  <si>
    <t>Provide all evidence associated with Test 084: Information Security (consumer/data subject request for an accounting of disclosure).</t>
  </si>
  <si>
    <t>Provide all evidence associated with Test 085: Information Security (consumer/data subject request for the restriction of disclosure/use of his/her information).</t>
  </si>
  <si>
    <t>Provide all evidence associated with Test 086: Information Security (consumer/data subject request).</t>
  </si>
  <si>
    <t>Provide all evidence associated with Test 087: Information Security (consumer/data subject who has been offered/received financial incentives).</t>
  </si>
  <si>
    <t>Provide all evidence associated with Test 088: Information Security (consumer/data subject who has exercised his/her rights).</t>
  </si>
  <si>
    <t>Provide all evidence associated with Test 089: Information Security (covered information used in non-production environment).</t>
  </si>
  <si>
    <t>Provide all evidence associated with Test 090: Information Security (covered/confidential information).</t>
  </si>
  <si>
    <t>Provide all evidence associated with Test 091: Information Security (data controller audit).</t>
  </si>
  <si>
    <t>Provide all evidence associated with Test 092: Information Security (data governance role).</t>
  </si>
  <si>
    <t>Provide all evidence associated with Test 093: Information Security (data impact assessment).</t>
  </si>
  <si>
    <t>Provide all evidence associated with Test 094: Information Security (de-identified data).</t>
  </si>
  <si>
    <t>Provide all evidence associated with Test 095: Information Security (delivery record).</t>
  </si>
  <si>
    <t>Provide all evidence associated with Test 096: Information Security (denial of consumer/data subject request for access to his/her information).</t>
  </si>
  <si>
    <t>Provide all evidence associated with Test 097: Information Security (denial of consumer/data subject request for amendment to his/her information).</t>
  </si>
  <si>
    <t>Provide all evidence associated with Test 098: Information Security (disciplinary record).</t>
  </si>
  <si>
    <t>Provide all evidence associated with Test 099: Information Security (disclosure of covered/confidential information for fundraising purposes).</t>
  </si>
  <si>
    <t>Provide all evidence associated with Test 100: Information Security (disclosure of covered/confidential information for judicial and administrative proceedings).</t>
  </si>
  <si>
    <t>Provide all evidence associated with Test 101: Information Security (disclosure of covered/confidential information for public health activities).</t>
  </si>
  <si>
    <t>Provide all evidence associated with Test 102: Information Security (disclosure of covered/confidential information to a coroner/medical examiner).</t>
  </si>
  <si>
    <t>Provide all evidence associated with Test 103: Information Security (disclosure of covered/confidential information to a health oversight agency).</t>
  </si>
  <si>
    <t>Provide all evidence associated with Test 104: Information Security (disclosure of covered/confidential information to government authorities).</t>
  </si>
  <si>
    <t>Provide all evidence associated with Test 105: Information Security (disclosure of covered/confidential information to law enforcement).</t>
  </si>
  <si>
    <t>Provide all evidence associated with Test 106: Information Security (disclosure/use of covered/confidential information).</t>
  </si>
  <si>
    <t>Provide all evidence associated with Test 107: Information Security (indication of increased risk).</t>
  </si>
  <si>
    <t>Provide all evidence associated with Test 108: Information Security (information security incident legal case).</t>
  </si>
  <si>
    <t>Provide all evidence associated with Test 109: Information Security (information security incident response test).</t>
  </si>
  <si>
    <t>Provide all evidence associated with Test 110: Information Security (information security incident).</t>
  </si>
  <si>
    <t>R-1388-51517
R-1763
R-1765</t>
  </si>
  <si>
    <t>R-1391
R-1392
R-1388</t>
  </si>
  <si>
    <t>Provide all evidence associated with Test 111: Information Security (logical security incident).</t>
  </si>
  <si>
    <t>Provide all evidence associated with Test 112: Information Security (maintenance record).</t>
  </si>
  <si>
    <t>Provide all evidence associated with Test 113: Information Security (media disposal record).</t>
  </si>
  <si>
    <t>Provide all evidence associated with Test 114: Information Security (new commercial product).</t>
  </si>
  <si>
    <t>Provide all evidence associated with Test 115: Information Security (new use of PII proposal).</t>
  </si>
  <si>
    <t>Provide all evidence associated with Test 116: Information Security (non-compliance identified during compliance check).</t>
  </si>
  <si>
    <t>R-1758-51765
R-1759-51765</t>
  </si>
  <si>
    <t>R-1064
R-1987
R-2326</t>
  </si>
  <si>
    <t>Provide all evidence associated with Test 117: Information Security (non-local maintenance record).</t>
  </si>
  <si>
    <t>Provide all evidence associated with Test 118: Information Security (physical security incident).</t>
  </si>
  <si>
    <t>Provide all evidence associated with Test 119: Information Security (posted to publicly accessible system).</t>
  </si>
  <si>
    <t>Provide all evidence associated with Test 120: Information Security (privacy control assessment).</t>
  </si>
  <si>
    <t>Provide all evidence associated with Test 121: Information Security (program document).</t>
  </si>
  <si>
    <t>Provide all evidence associated with Test 122: Information Security (record extract of covered/confidential information).</t>
  </si>
  <si>
    <t>Provide all evidence associated with Test 123: Information Security (remediated non-compliance identified during compliance check).</t>
  </si>
  <si>
    <t>Provide all evidence associated with Test 124: Information Security (risk assessment).</t>
  </si>
  <si>
    <t>Provide all evidence associated with Test 125: Information Security (sale of consumer/data subject information).</t>
  </si>
  <si>
    <t>Provide all evidence associated with Test 126: Information Security (sale of under age consumer/data subject information).</t>
  </si>
  <si>
    <t>Provide all evidence associated with Test 127: Information Security (security control assessment).</t>
  </si>
  <si>
    <t>Provide all evidence associated with Test 128: Information Security (security role).</t>
  </si>
  <si>
    <t>Provide all evidence associated with Test 129: Information Security (System of Records Notices).</t>
  </si>
  <si>
    <t>Provide all evidence associated with Test 130: Information Security (technical compliance check).</t>
  </si>
  <si>
    <t>R-1101
R-1089</t>
  </si>
  <si>
    <t>Provide all evidence associated with Test 131: Information Security (theft security incident).</t>
  </si>
  <si>
    <t>Provide all evidence associated with Test 132: Information Security (training material).</t>
  </si>
  <si>
    <t>R-1029</t>
  </si>
  <si>
    <t>Provide all evidence associated with Test 133: Information Security (visitor log).</t>
  </si>
  <si>
    <t>Provide all evidence associated with Test 134: Information Security (visitor related security incident).</t>
  </si>
  <si>
    <t>Provide all evidence associated with Test 135: Information Security (visitor with access to secure area/facility).</t>
  </si>
  <si>
    <t>Provide all evidence associated with Test 136: Information System.</t>
  </si>
  <si>
    <t>R-1131
R-1285
R-1289</t>
  </si>
  <si>
    <t>R-1131</t>
  </si>
  <si>
    <t>Provide all evidence associated with Test 137: Information System (acquisition).</t>
  </si>
  <si>
    <t>Provide all evidence associated with Test 138: Information System (alternate facility/secure area).</t>
  </si>
  <si>
    <t>Provide all evidence associated with Test 139: Information System (authentication not required for system component).</t>
  </si>
  <si>
    <t>Provide all evidence associated with Test 140: Information System (authentication sub-system).</t>
  </si>
  <si>
    <t>Provide all evidence associated with Test 141: Information System (backup sub-system).</t>
  </si>
  <si>
    <t>Provide all evidence associated with Test 142: Information System (CMS).</t>
  </si>
  <si>
    <t>Provide all evidence associated with Test 143: Information System (data lose prevention sub-system).</t>
  </si>
  <si>
    <t>Provide all evidence associated with Test 144: Information System (data transmission).</t>
  </si>
  <si>
    <t>Provide all evidence associated with Test 145: Information System (dial-up connection).</t>
  </si>
  <si>
    <t>Provide all evidence associated with Test 146: Information System (electronic signature based upon biometric).</t>
  </si>
  <si>
    <t>Provide all evidence associated with Test 147: Information System (encryption key).</t>
  </si>
  <si>
    <t>Provide all evidence associated with Test 148: Information System (encryption).</t>
  </si>
  <si>
    <t>Provide all evidence associated with Test 149: Information System (facility/secure area).</t>
  </si>
  <si>
    <t>R-1299</t>
  </si>
  <si>
    <t>R-1299
R-1302</t>
  </si>
  <si>
    <t>Provide all evidence associated with Test 150: Information System (logging &amp; monitoring sub-system).</t>
  </si>
  <si>
    <t>R-2304
R-1083
R-2318</t>
  </si>
  <si>
    <t>Provide all evidence associated with Test 151: Information System (new CMS).</t>
  </si>
  <si>
    <t>Provide all evidence associated with Test 152: Information System (new system component classified critical).</t>
  </si>
  <si>
    <t>Provide all evidence associated with Test 153: Information System (new system component/system resource).</t>
  </si>
  <si>
    <t>Provide all evidence associated with Test 154: Information System (new).</t>
  </si>
  <si>
    <t>Provide all evidence associated with Test 155: Information System (operating procedure).</t>
  </si>
  <si>
    <t>Provide all evidence associated with Test 156: Information System (password compromise).</t>
  </si>
  <si>
    <t>Provide all evidence associated with Test 157: Information System (password request/reset).</t>
  </si>
  <si>
    <t>Provide all evidence associated with Test 158: Information System (password storage).</t>
  </si>
  <si>
    <t>R-1581</t>
  </si>
  <si>
    <t>Provide all evidence associated with Test 159: Information System (password transmission).</t>
  </si>
  <si>
    <t>Provide all evidence associated with Test 160: Information System (physical access sub-system).</t>
  </si>
  <si>
    <t>Provide all evidence associated with Test 161: Information System (physical equipment move).</t>
  </si>
  <si>
    <t>Provide all evidence associated with Test 162: Information System (processing covered/confidential information).</t>
  </si>
  <si>
    <t>Provide all evidence associated with Test 163: Information System (successful unauthorized access attempt).</t>
  </si>
  <si>
    <t>Provide all evidence associated with Test 164: Information System (system component classified as sensitive).</t>
  </si>
  <si>
    <t>Provide all evidence associated with Test 165: Information System (system component classified critical).</t>
  </si>
  <si>
    <t>Provide all evidence associated with Test 166: Information System (system component maintenance).</t>
  </si>
  <si>
    <t>Provide all evidence associated with Test 167: Information System (system component patch).</t>
  </si>
  <si>
    <t>Provide all evidence associated with Test 168: Information System (system component that processes covered/confidential information).</t>
  </si>
  <si>
    <t>Provide all evidence associated with Test 169: Information System (system component that stores accounting of disclosure record).</t>
  </si>
  <si>
    <t>Provide all evidence associated with Test 170: Information System (system component that stores accounting of notice record).</t>
  </si>
  <si>
    <t>Provide all evidence associated with Test 171: Information System (system component that stores accounting of restriction record).</t>
  </si>
  <si>
    <t>Provide all evidence associated with Test 172: Information System (system component that stores covered/confidential record after data subject death).</t>
  </si>
  <si>
    <t>Provide all evidence associated with Test 173: Information System (system component that stores covered/confidential record subject to access by data subject).</t>
  </si>
  <si>
    <t>Provide all evidence associated with Test 174: Information System (system component that stores covered/confidential record).</t>
  </si>
  <si>
    <t>Provide all evidence associated with Test 175: Information System (system component that stores organizational record).</t>
  </si>
  <si>
    <t>R-1363</t>
  </si>
  <si>
    <t>Provide all evidence associated with Test 176: Information System (system component that was disposed/exchanged/transferred).</t>
  </si>
  <si>
    <t>Provide all evidence associated with Test 177: Information System (system component).</t>
  </si>
  <si>
    <t>R-1453</t>
  </si>
  <si>
    <t>Provide all evidence associated with Test 178: Information System (unauthorized access attempt).</t>
  </si>
  <si>
    <t>Provide all evidence associated with Test 179: Information System (update to CMS).</t>
  </si>
  <si>
    <t>Provide all evidence associated with Test 180: Network Device (firewall).</t>
  </si>
  <si>
    <t>R-1550</t>
  </si>
  <si>
    <t>Provide all evidence associated with Test 181: Network Device (identified as unauthorized).</t>
  </si>
  <si>
    <t>Provide all evidence associated with Test 182: Network Device (router).</t>
  </si>
  <si>
    <t>Provide all evidence associated with Test 183: Network Device (switch).</t>
  </si>
  <si>
    <t>Provide all evidence associated with Test 184: Network Device (wireless access point).</t>
  </si>
  <si>
    <t>R-1762</t>
  </si>
  <si>
    <t>Provide all evidence associated with Test 185: Removable Media.</t>
  </si>
  <si>
    <t>Provide all evidence associated with Test 186: Removable Media (exempt from labeling).</t>
  </si>
  <si>
    <t>Provide all evidence associated with Test 187: Removable Media (transported out of controlled area).</t>
  </si>
  <si>
    <t>R-1235
R-1718</t>
  </si>
  <si>
    <t>Provide all evidence associated with Test 188: Workforce Member (ability to post information on publicly accessible system).</t>
  </si>
  <si>
    <t>Provide all evidence associated with Test 189: Workforce Member (access to encryption keys).</t>
  </si>
  <si>
    <t>R-1516</t>
  </si>
  <si>
    <t>Provide all evidence associated with Test 190: Workforce Member (access/handling of covered/confidential information).</t>
  </si>
  <si>
    <t>Provide all evidence associated with Test 191: Workforce Member (business continuity).</t>
  </si>
  <si>
    <t>Provide all evidence associated with Test 192: Workforce Member (contractor).</t>
  </si>
  <si>
    <t>R-1054-51938
R-1973
R-2102</t>
  </si>
  <si>
    <t>R-1226</t>
  </si>
  <si>
    <t>Provide all evidence associated with Test 193: Workforce Member (employee).</t>
  </si>
  <si>
    <t>R-1004-51514
R-1027-51514
R-2102</t>
  </si>
  <si>
    <t>R-1226
R-1004
R-1027</t>
  </si>
  <si>
    <t>Provide all evidence associated with Test 194: Workforce Member (entering security role).</t>
  </si>
  <si>
    <t>Provide all evidence associated with Test 195: Workforce Member (external maintenance).</t>
  </si>
  <si>
    <t>Provide all evidence associated with Test 196: Workforce Member (failing to comply with ISMP).</t>
  </si>
  <si>
    <t>Provide all evidence associated with Test 197: Workforce Member (incident response).</t>
  </si>
  <si>
    <t>Provide all evidence associated with Test 198: Workforce Member (information security).</t>
  </si>
  <si>
    <t>Provide all evidence associated with Test 199: Workforce Member (lacking clearance/not U.S. citizen).</t>
  </si>
  <si>
    <t>Provide all evidence associated with Test 200: Workforce Member (new hire).</t>
  </si>
  <si>
    <t>R-1028-51520
R-1003-51520</t>
  </si>
  <si>
    <t>R-2286
R-1028
R-1003</t>
  </si>
  <si>
    <t>Provide all evidence associated with Test 201: Workforce Member (new information system owner).</t>
  </si>
  <si>
    <t>Provide all evidence associated with Test 202: Workforce Member (provided hardware token).</t>
  </si>
  <si>
    <t>Provide all evidence associated with Test 203: Workforce Member (responsible for disclosing covered/confidential information).</t>
  </si>
  <si>
    <t>Provide all evidence associated with Test 204: Workforce Member (responsible for handling consumer/data subject inquire).</t>
  </si>
  <si>
    <t>Provide all evidence associated with Test 205: Workforce Member (senior executive).</t>
  </si>
  <si>
    <t>Provide all evidence associated with Test 206: Workforce Member (significant security responsibility).</t>
  </si>
  <si>
    <t>Provide all evidence associated with Test 207: Workforce Member (software developer).</t>
  </si>
  <si>
    <t>Provide all evidence associated with Test 208: Workforce Member (teleworker).</t>
  </si>
  <si>
    <t>Provide all evidence associated with Test 209: Workforce Member (termination high risk).</t>
  </si>
  <si>
    <t>Provide all evidence associated with Test 210: Workforce Member (termination with knowledge of wireless encryption key).</t>
  </si>
  <si>
    <t>Provide all evidence associated with Test 211: Workforce Member (termination).</t>
  </si>
  <si>
    <t>R-1317-51521</t>
  </si>
  <si>
    <t>R-1317
R-1964</t>
  </si>
  <si>
    <t>Provide all evidence associated with Test 212: Workforce Member (third party user).</t>
  </si>
  <si>
    <t>R-1054-51938
R-2102</t>
  </si>
  <si>
    <t>Provide all evidence associated with Test 213: Workforce Member (transfer).</t>
  </si>
  <si>
    <t>Provide all evidence associated with Test 214: Workforce Member (use of electronic signature).</t>
  </si>
  <si>
    <t>Provide all evidence associated with Test 215: Workforce Member (volunteer).</t>
  </si>
  <si>
    <t>Provide all evidence associated with Test 216: Application Programming Interface (API).</t>
  </si>
  <si>
    <t>Provide all evidence associated with Test 217: Information Security (Interconnected System)</t>
  </si>
  <si>
    <t>Provide evidence that the Information Security Management Program was approved/signed by management (0101, 0102, 0114, 0115, 0118).</t>
  </si>
  <si>
    <t>00.a</t>
  </si>
  <si>
    <t>R-2297</t>
  </si>
  <si>
    <t>Provide evidence that the Information Security Management Program was reviewed within the past 365 days (0101, 0102, 0114, 0115, 0118).</t>
  </si>
  <si>
    <t>Provide evidence that previous versions of the Information Security Management Program are archived (0102).</t>
  </si>
  <si>
    <t>Provide evidence that workforce members are screened prior to providing access to the in-scope environment/system (01109).</t>
  </si>
  <si>
    <t>02.b</t>
  </si>
  <si>
    <t>Provide evidence that the Information Security Management Program is communicated/published to the organization's workforce (0113, 0114, 0118).</t>
  </si>
  <si>
    <t>04.a</t>
  </si>
  <si>
    <t>R-1152</t>
  </si>
  <si>
    <t>R-1596</t>
  </si>
  <si>
    <t>Provide evidence that a senior-level Information Security Official has been appointed by name (0110, 0117, 0119, 0172).</t>
  </si>
  <si>
    <t>05.a</t>
  </si>
  <si>
    <t>Provide evidence that the organization coordinates security activities/remediations throughout the organization (0126).</t>
  </si>
  <si>
    <t>05.b</t>
  </si>
  <si>
    <t>If coordination could not be carried out, provide evidence that any deviations were documented and reviewed by management (0126).</t>
  </si>
  <si>
    <t>Provide evidence that the terms and conditions provided to workforce members outlines the extent and nature of access (0151).</t>
  </si>
  <si>
    <t>02.c</t>
  </si>
  <si>
    <t>Provide evidence that the Security Plan is reviewed/updated every 3 years (0168).</t>
  </si>
  <si>
    <t>Provide evidence that Information Security responsibilities have been delegated to workforce members (0173).</t>
  </si>
  <si>
    <t>05.c</t>
  </si>
  <si>
    <t>Provide evidence that workforce members with Information Security responsibilities are held accountable and are required to perform all tasks correctly (0173).</t>
  </si>
  <si>
    <t>Provide evidence that an independent review of the Information Security Management Program was initiated by management within the past 365 days (0103, 0179, 0180).</t>
  </si>
  <si>
    <t>05.h</t>
  </si>
  <si>
    <t>R-1059
R-1060</t>
  </si>
  <si>
    <t>Provide evidence that the Information Security Management Program's documents are logically and/or physically protected from unauthorized disclosures and/or modifications (0199).</t>
  </si>
  <si>
    <t>Provide evidence that endpoint protection is centrally managed and up-to-date (0201, 0206, 0214, 02.09jNIST80053).</t>
  </si>
  <si>
    <t>09.j</t>
  </si>
  <si>
    <t>R-1238</t>
  </si>
  <si>
    <t>Provide evidence that endpoint protection definition files are automatically downloaded and pushed out to agents/clients/sensors (0201, 0226).</t>
  </si>
  <si>
    <t>Provide evidence that endpoint protection is configured to automatically scan/detect and remove malicious code (0201, 0205, 0217, 02.09jTXRAMP).</t>
  </si>
  <si>
    <t>Provide evidence that endpoint protection is configured to automatically scan portable/removable media (0201, 0217).</t>
  </si>
  <si>
    <t>Provide evidence that endpoint protection is configured to automatically scan email attachments (0201, 0217).</t>
  </si>
  <si>
    <t>Provide evidence that endpoint protection is configured to automatically scan downloads/files received over a network (0201, 0217).</t>
  </si>
  <si>
    <t>Provide evidence that anti-spam protection is centrally managed and up-to-date (0207).</t>
  </si>
  <si>
    <t>Provide evidence that anti-spam protection is implemented at network entry/exit points (0207).</t>
  </si>
  <si>
    <t>Provide evidence that anti-spam protection is configured to filter/scan emails, attachments, and web links (0207, 09.09).</t>
  </si>
  <si>
    <t>Provide evidence that endpoint protection is configured to alert the appropriate workforce members upon detection of malicious code (0205, 0215, 0217, 02.09jTXRAMP).</t>
  </si>
  <si>
    <t>R-2318
R-1238</t>
  </si>
  <si>
    <t>Provide evidence that removable media transport logs are up-to-date (0302).</t>
  </si>
  <si>
    <t>09.o</t>
  </si>
  <si>
    <t>R-1719</t>
  </si>
  <si>
    <t>Provide evidence that removable media transport logs include the individual responsible for transporting the media (0302).</t>
  </si>
  <si>
    <t>Provide evidence that writeable, removable media is blocked/restricted through technical configurations/tools (0303, 0304, 0330).</t>
  </si>
  <si>
    <t>R-1233</t>
  </si>
  <si>
    <t>R-2305</t>
  </si>
  <si>
    <t>If mobile devices handling covered/confidential information are not encrypted, provide evidence that the devices are identified and logged (04.01).</t>
  </si>
  <si>
    <t>01.x</t>
  </si>
  <si>
    <t>Provide evidence that the organization monitors for unauthorized connections of mobile devices to its in-scope environment (0403).</t>
  </si>
  <si>
    <t>Provide evidence that the network diagram demonstrates firewalls are configured to control traffic between the in-scope environment and wireless networks (0504, 0819).</t>
  </si>
  <si>
    <t>09.m</t>
  </si>
  <si>
    <t>Provide evidence that firewalls are configured with policies/rules to control traffic between the in-scope environment and any wireless networks (0504).</t>
  </si>
  <si>
    <t>Provide evidence that wireless network scans are performed every 90 days to identify rogue/unauthorized wireless access points (0505, 0858, 08.09mCMS).</t>
  </si>
  <si>
    <t>If rogue/unauthorized wireless access points have been identified, provide evidence that a formal investigation was conducted that resulted in the approval/removal of any identified devices (0505).</t>
  </si>
  <si>
    <t>Provide evidence that a compliance review of the entire Information Security Management Program was conducted (0601).</t>
  </si>
  <si>
    <t>06.g</t>
  </si>
  <si>
    <t>Provide evidence that the compliance review was conducted by individuals with the appropriate qualifications (0601).</t>
  </si>
  <si>
    <t>If non-compliance was identified during the review, provide evidence that a root cause analysis was performed on any/all non-compliances (0601, 069).</t>
  </si>
  <si>
    <t>R-1755</t>
  </si>
  <si>
    <t>If non-compliance was identified during the review, provide evidence that a corrective action plan was created for any/all non-compliances (0601, 069, 1707).</t>
  </si>
  <si>
    <t>If non-compliance was identified during the review, provide evidence that management reviewed the corrective action plan before implementation for any/all non-compliances (0601, 069).</t>
  </si>
  <si>
    <t>If non-compliance was identified during the review, provide evidence that a re-evaluation of the non-compliance was conducted after the implementation of the corrective action plan (0601, 069).</t>
  </si>
  <si>
    <t>Provide evidence that previous versions of software releases are maintained in the event a rollback is required (0607).</t>
  </si>
  <si>
    <t>10.h</t>
  </si>
  <si>
    <t>R-1426</t>
  </si>
  <si>
    <t>Provide evidence that integrity verification tools have been implemented and configured to monitor the in-scope environment/system (0625).</t>
  </si>
  <si>
    <t>10.c</t>
  </si>
  <si>
    <t>Provide evidence that an inventory of all information system components and versions is maintained (0628).</t>
  </si>
  <si>
    <t>R-1370</t>
  </si>
  <si>
    <t>If information system components are end of life/service, provide evidence that a formal migration plan has been created and approved (0628).</t>
  </si>
  <si>
    <t>If program libraries are developed internally, provide evidence that audit trails are maintained for any changes to the libraries (0629).</t>
  </si>
  <si>
    <t>Provide evidence that access is restricted to any in-scope program source code (0633).</t>
  </si>
  <si>
    <t>10.j</t>
  </si>
  <si>
    <t>Provide evidence that endpoint baseline configuration includes endpoint protection (0663).</t>
  </si>
  <si>
    <t>Provide evidence that endpoint baseline configuration includes file integrity monitoring (0663).</t>
  </si>
  <si>
    <t>R-1425</t>
  </si>
  <si>
    <t>Provide evidence that endpoint baseline configuration includes host-based firewall/port filtering (0663).</t>
  </si>
  <si>
    <t>Provide evidence that endpoint baseline configuration includes logging and monitoring (0663).</t>
  </si>
  <si>
    <t>Provide evidence that the organization maintains/reviews a black/whitelist every 365 days (0664, 0666, 1196, 11.10h3).</t>
  </si>
  <si>
    <t>Provide evidence that development/test tools are not accessible from production systems (06900).</t>
  </si>
  <si>
    <t>09.d</t>
  </si>
  <si>
    <t>R-1423</t>
  </si>
  <si>
    <t>R-1423
R-1431</t>
  </si>
  <si>
    <t>Provide evidence that development/test environments emulates production environments (06900).</t>
  </si>
  <si>
    <t>Provide evidence that development/test environments have different access accounts/usernames than production environments (06900).</t>
  </si>
  <si>
    <t>Provide evidence that covered/confidential information is not allowed in development/test environments (06900).</t>
  </si>
  <si>
    <t>R-1766
R-1423</t>
  </si>
  <si>
    <t>R-1423
R-1431
R-1521</t>
  </si>
  <si>
    <t>Provide evidence that an inventory of all in-scope assets is maintained/reviewed every 365 days (07.07, 0701, 0704).</t>
  </si>
  <si>
    <t>07.a</t>
  </si>
  <si>
    <t>R-1424</t>
  </si>
  <si>
    <t>Provide evidence that an inventory of all in-scope assets includes endpoint and network devices (0701).</t>
  </si>
  <si>
    <t>Provide evidence that access to system documentation is restricted to authorized personnel (0732).</t>
  </si>
  <si>
    <t>09.r</t>
  </si>
  <si>
    <t>R-1770</t>
  </si>
  <si>
    <t>Provide evidence that any identified non-compliance is tracked (0778).</t>
  </si>
  <si>
    <t>10.m</t>
  </si>
  <si>
    <t>Provide evidence that users are restricted from accessing unknown and/or malicious websites (08.09).</t>
  </si>
  <si>
    <t>Provide evidence that access approvals to the in-scope environment includes level of access required (0802).</t>
  </si>
  <si>
    <t>01.i</t>
  </si>
  <si>
    <t>Provide evidence that access approvals to the in-scope environment includes how environment is accessed (0802).</t>
  </si>
  <si>
    <t>Provide evidence that access approvals to the in-scope environment includes ports, services, applications, etc. required for use (0802).</t>
  </si>
  <si>
    <t>Provide evidence that access approvals to the in-scope environment includes rational for any non-secure protocols used for access (0802).</t>
  </si>
  <si>
    <t>Provide evidence that the network diagram demonstrates firewalls are configured to control traffic between the in-scope environment and a DMZ (0805, 0819).</t>
  </si>
  <si>
    <t>01.m</t>
  </si>
  <si>
    <t>R-1262
R-1273
R-1974</t>
  </si>
  <si>
    <t>Provide evidence that firewalls are configured with policies/rules to control traffic between the in-scope environment and a DMZ (0805, 0830).</t>
  </si>
  <si>
    <t>R-1264
R-1273
R-1974</t>
  </si>
  <si>
    <t>Provide evidence that a network based firewall has been implemented for any public facing applications that are not web based (0808).</t>
  </si>
  <si>
    <t>10.b</t>
  </si>
  <si>
    <t>If network traffic to the application is encrypted, provide evidence that the network based firewall is able to decrypt the traffic (0808).</t>
  </si>
  <si>
    <t>Provide evidence that Network Address Translation (NAT)/Proxies have been implemented and supports network traffic decryption (0815).</t>
  </si>
  <si>
    <t>01.o</t>
  </si>
  <si>
    <t>R-1267</t>
  </si>
  <si>
    <t>Provide evidence that Network Address Translation (NAT)/Proxies have been implemented and supports TCP session logging (0815).</t>
  </si>
  <si>
    <t>Provide evidence that Network Address Translation (NAT)/Proxies have been implemented and supports URL blocking (0815).</t>
  </si>
  <si>
    <t>Provide evidence that Network Address Translation (NAT)/Proxies have been implemented and supports DNS (0815).</t>
  </si>
  <si>
    <t>Provide evidence that Network Address Translation (NAT)/Proxies have been implemented and supports IP address whitelisting (0815).</t>
  </si>
  <si>
    <t>Provide evidence that network devices are uniquely identified and authenticated while on the network (0820).</t>
  </si>
  <si>
    <t>Provide evidence that access control lists have been implemented to restrict remote access to the in-scope environment (0820, 1121, 1175, 1179).</t>
  </si>
  <si>
    <t>Provide evidence that an Intrusion Detection/Prevention System has been implemented at network perimeters and wireless networks (0825, 1271).</t>
  </si>
  <si>
    <t>R-1248</t>
  </si>
  <si>
    <t>Provide evidence that the Intrusion Detection/Prevention System is configured to monitor all network traffic (0825, 1220).</t>
  </si>
  <si>
    <t>Provide evidence that the Intrusion Detection/Prevention System is configured to detect network based attacks (0825).</t>
  </si>
  <si>
    <t>Provide evidence that the Intrusion Detection/Prevention System is configured to alert/mitigate any detected attacks (0825, 1271, 1512, 15.11aNIST80053).</t>
  </si>
  <si>
    <t>Provide evidence that the Intrusion Detection/Prevention System is configured to update engines/baselines/signatures on a regular basis (0825).</t>
  </si>
  <si>
    <t>Provide evidence that Cloud/Network Service Providers have a fully executed agreement with the organization (0835, 0885).</t>
  </si>
  <si>
    <t>09.n</t>
  </si>
  <si>
    <t>Provide evidence that management has the ability to conduct an audit/due diligence on any Cloud/Network Service Provider (0835).</t>
  </si>
  <si>
    <t>Provide evidence that transmission encryption keys are stored in an encrypted format (0905).</t>
  </si>
  <si>
    <t>10.g</t>
  </si>
  <si>
    <t>Provide evidence that transmission encryption keys are stored separate from storage decryption keys (0905).</t>
  </si>
  <si>
    <t>Provide evidence that logic/physical access to transmission encryption keys is restricted (0905).</t>
  </si>
  <si>
    <t>Provide evidence that data is encrypted/protected when transmitted (0862, 0913, 0945, 0954, 1904, 19922).</t>
  </si>
  <si>
    <t>09.s</t>
  </si>
  <si>
    <t>R-1219</t>
  </si>
  <si>
    <t>R-1219
R-1969
R-1991</t>
  </si>
  <si>
    <t>Provide evidence that Sender Policy Framework (SPF) settings have been configured to prevent email spoofing (0931).</t>
  </si>
  <si>
    <t>09.v</t>
  </si>
  <si>
    <t>R-1991</t>
  </si>
  <si>
    <t>Provide evidence that DomainKeys Identified Mail (DKIM) settings have been configured to prevent email spoofing (0931).</t>
  </si>
  <si>
    <t>Provide evidence that Domain-Based Message Authentication, Reporting, &amp; Conformance (DMARC) settings have been configured to prevent email spoofing (0931).</t>
  </si>
  <si>
    <t>Provide evidence that a security baseline is documented for all interconnected systems (0936).</t>
  </si>
  <si>
    <t>09.w</t>
  </si>
  <si>
    <t>Provide evidence that password complexity requirements have been implemented inline with the organization's documented requirements (10.01).</t>
  </si>
  <si>
    <t>01.d</t>
  </si>
  <si>
    <t>R-1164</t>
  </si>
  <si>
    <t>If self-service password resets have been implemented, provide evidence that the workforce member must confirm his/her identity prior to the system sending a reset password (1003).</t>
  </si>
  <si>
    <t>Provide evidence that a list of commonly-used, expected of compromise, and/or compromised passwords is maintained/reviewed every 180 days (1004).</t>
  </si>
  <si>
    <t>Provide evidence that workforce members are trained/must acknowledge to protection passwords (1011).</t>
  </si>
  <si>
    <t>01.f</t>
  </si>
  <si>
    <t>Provide evidence that access to the in-scope environment is configured to lockout accounts for a predetermined amount of time following multiple unsuccessful login attempts (11.01).</t>
  </si>
  <si>
    <t>01.p</t>
  </si>
  <si>
    <t>R-1165</t>
  </si>
  <si>
    <t>R-1965</t>
  </si>
  <si>
    <t>Provide evidence that Multi-Factor Authentication has been configured for remote access to privileged accounts (11.01, 1121).</t>
  </si>
  <si>
    <t>01.q</t>
  </si>
  <si>
    <t>R-1159
R-1164
R-1169
R-1175
R-1182</t>
  </si>
  <si>
    <t>R-1191
R-1192</t>
  </si>
  <si>
    <t>Provide evidence that Multi-Factor Authentication has been configured for local access to privileged accounts (11.01).</t>
  </si>
  <si>
    <t>R-1192</t>
  </si>
  <si>
    <t>Provide evidence that Multi-Factor Authentication has been configured for remote access to standard accounts (11.01).</t>
  </si>
  <si>
    <t>Provide evidence that the Access Control Program is communicated/disseminated to the appropriate workforce members (1103).</t>
  </si>
  <si>
    <t>01.a</t>
  </si>
  <si>
    <t>Provide evidence that account managers are formally notified of access control changes (1108).</t>
  </si>
  <si>
    <t>01.b</t>
  </si>
  <si>
    <t>Provide evidence that Public/Private Key Infrastructure (PKI) keys/certificates are valid (11111).</t>
  </si>
  <si>
    <t>Provide evidence that Public/Private Key Infrastructure (PKI) keys/certificates are issued by an appropriate authority (0948, 11111).</t>
  </si>
  <si>
    <t>Provide evidence that Public/Private Key Infrastructure (PKI) keys/certificates map identities to corresponding accounts (11111).</t>
  </si>
  <si>
    <t>Provide evidence that Public/Private Key Infrastructure (PKI) keys/certificates revocation data is cached on local devices (0948, 11111).</t>
  </si>
  <si>
    <t>Provide evidence that replay-resistant authentication mechanisms have been configured for remote access accounts (11112).</t>
  </si>
  <si>
    <t>Provide evidence that replay-resistant authentication mechanisms have been configured for privileged access accounts (11112).</t>
  </si>
  <si>
    <t>Provide evidence that one of the factors for Multi-Factor Authentication is provided by a device separate from the information system (11113).</t>
  </si>
  <si>
    <t>Provide evidence that workforce members are required to acknowledge a clean desk policy (1114).</t>
  </si>
  <si>
    <t>01.h</t>
  </si>
  <si>
    <t>Provide evidence that endpoint devices are configured with in-activity time-outs (1114).</t>
  </si>
  <si>
    <t>If inter office mail is used to transport covered/confidential information,  provide evidence that opaque envelopes are used (1114).</t>
  </si>
  <si>
    <t>Provide evidence that a termination checklist has been implemented to outline the appropriate steps during the termination process (11149).</t>
  </si>
  <si>
    <t>02.g</t>
  </si>
  <si>
    <t>Provide evidence that a list of workforce members with access to covered/confidential information is maintained (11219).</t>
  </si>
  <si>
    <t>Provide evidence that any transactions involving information security requires workforce member identification (1128).</t>
  </si>
  <si>
    <t>Provide evidence that privileged access requests are formally authorized and allocated (0214, 1143, 02.09jNIST80053).</t>
  </si>
  <si>
    <t>01.c</t>
  </si>
  <si>
    <t>Provide evidence that access requests to security relevant information is explicitly authorized and allocated (1148).</t>
  </si>
  <si>
    <t>Provide evidence that automated/manual processes have been implemented to help facilitate sharing/collaboration decisions with business partners (1149).</t>
  </si>
  <si>
    <t>Provide evidence that privileged access accounts are tracked and monitored (1151).</t>
  </si>
  <si>
    <t>Provide evidence that a list of workforce members with access to the in-scope environment is maintained (1167, 11.01eNIST800171).</t>
  </si>
  <si>
    <t>01.e</t>
  </si>
  <si>
    <t>Provide evidence that system component hardening includes disabling unnecessary ports (1194).</t>
  </si>
  <si>
    <t>01.l</t>
  </si>
  <si>
    <t>Provide evidence that system component hardening includes disabling unnecessary services (1194).</t>
  </si>
  <si>
    <t>Provide evidence that system component hardening includes uninstalling unnecessary applications (1194).</t>
  </si>
  <si>
    <t>Provide evidence that system audit logs includes unique user IDs (1203).</t>
  </si>
  <si>
    <t>09.aa</t>
  </si>
  <si>
    <t>R-1161
R-1166
R-1171
R-1177
R-1184</t>
  </si>
  <si>
    <t>R-2287</t>
  </si>
  <si>
    <t>Provide evidence that system audit logs includes unique data subject IDs (1203).</t>
  </si>
  <si>
    <t>Provide evidence that system audit logs includes event/function performed (1203).</t>
  </si>
  <si>
    <t>Provide evidence that system audit logs includes data and time (1203).</t>
  </si>
  <si>
    <t>Provide evidence that a centralized tool for logging and monitoring has been implemented and configured (0108, 1213, 1215, 1217, 1218, 1219, 1220, 1222, 1244, 12100, 12103).</t>
  </si>
  <si>
    <t>09.ab</t>
  </si>
  <si>
    <t>Provide evidence that physical access alerts/logs are reviewed weekly (1213).</t>
  </si>
  <si>
    <t>R-1300</t>
  </si>
  <si>
    <t>Provide evidence that a NetFlow collection and analysis tool/system has been implemented to log and monitor DMZ alerts (1213).</t>
  </si>
  <si>
    <t>Provide evidence that privileged network and system operations are logged and monitored (1152, 1214, 1271).</t>
  </si>
  <si>
    <t>Provide evidence that authorized and unauthorized access, including remote, is logged and monitored (1120, 1179, 1212, 1214).</t>
  </si>
  <si>
    <t>Provide evidence that access to audit logs/records is limited to appropriate workforce members (1223).</t>
  </si>
  <si>
    <t>09.ac</t>
  </si>
  <si>
    <t>R-1207</t>
  </si>
  <si>
    <t>Provide evidence that audit logs/records are retained in accordance with the organization's retention program (1239).</t>
  </si>
  <si>
    <t>Provide evidence that phishing awareness training is included as part of the onboarding process (13.02).</t>
  </si>
  <si>
    <t>02.e</t>
  </si>
  <si>
    <t>Provide evidence that phishing awareness training is provided to all workforce members annually (13.02).</t>
  </si>
  <si>
    <t>Provide evidence that phishing awareness training includes recognition and reporting of phishing attempts (13.02).</t>
  </si>
  <si>
    <t>Provide evidence that the Acceptable Use/Rules of Behavior policy is made readily available to all workforce members (1307, 1308, 1324, 1875, 1876, 13.07cCMS).</t>
  </si>
  <si>
    <t>07.c</t>
  </si>
  <si>
    <t>Provide evidence that workforce members are preventing from installing unauthorized software through technical means (1308).</t>
  </si>
  <si>
    <t>R-1966</t>
  </si>
  <si>
    <t>Provide evidence that endpoint device auto-run features have been disabled (1308).</t>
  </si>
  <si>
    <t>Provide evidence that workforce members are trained/must acknowledge not to install unauthorized software (1308).</t>
  </si>
  <si>
    <t>Provide evidence that clients/customers must acknowledge/accept the organization's terms and conditions before gaining access to any assets/information (1419).</t>
  </si>
  <si>
    <t>05.j</t>
  </si>
  <si>
    <t>Provide evidence that the terms and conditions defines the description of products/services being provided (1419).</t>
  </si>
  <si>
    <t>R-1045</t>
  </si>
  <si>
    <t>Provide evidence that the terms and conditions defines the right of the organization to monitor and/or revoke the client's/customer's access (1419).</t>
  </si>
  <si>
    <t>Provide evidence that the terms and conditions defines the liability of all parties involved (1419).</t>
  </si>
  <si>
    <t>Provide evidence that any identified unauthorized activities are reviewed by management (1504).</t>
  </si>
  <si>
    <t>06.e</t>
  </si>
  <si>
    <t>Provide evidence that appropriate actions are taken when any unauthorized activities are identified (1504).</t>
  </si>
  <si>
    <t>Provide evidence that an organizational point of contact has been defined, by name, for security incidents (1506, 1511, 1517, 1522).</t>
  </si>
  <si>
    <t>11.a</t>
  </si>
  <si>
    <t>R-1385</t>
  </si>
  <si>
    <t>If third parties are used to support the in-scope environment, provide evidence that a point of contact has been defined, by name, for security incidents involving the third parties (1506).</t>
  </si>
  <si>
    <t>Provide evidence that workforce members are made aware/trained to report security events/incidents to management (1301, 1535).</t>
  </si>
  <si>
    <t>11.b</t>
  </si>
  <si>
    <t>Provide evidence that workforce members are made aware/trained on how to report security events/incidents to management (1301, 1535).</t>
  </si>
  <si>
    <t>Provide evidence that tools have been implemented and configured to help identify high-impact incidents (1560).</t>
  </si>
  <si>
    <t>11.d</t>
  </si>
  <si>
    <t>Provide evidence that offline backups have been configured and maintained (16.09).</t>
  </si>
  <si>
    <t>09.l</t>
  </si>
  <si>
    <t>R-1290</t>
  </si>
  <si>
    <t>Provide evidence that backups are configured to run at scheduled intervals/times (1616).</t>
  </si>
  <si>
    <t>R-1286</t>
  </si>
  <si>
    <t>Provide evidence that backups are stored in physically secure, remote locations (1618, 1622).</t>
  </si>
  <si>
    <t>Provide evidence that backups are protected by environmental/physical security controls (1618).</t>
  </si>
  <si>
    <t>Provide evidence that a Business Impact Analysis is conducted to evaluate the consequences of disasters (1635, 1637).</t>
  </si>
  <si>
    <t>12.b</t>
  </si>
  <si>
    <t>Provide evidence that a Business Impact Analysis is conducted to evaluate the consequences of security failures (1635, 1637).</t>
  </si>
  <si>
    <t>Provide evidence that a Business Impact Analysis is conducted to evaluate the consequences of loss of services (0824, 1635, 1637).</t>
  </si>
  <si>
    <t>Provide evidence that a Business Impact Analysis is conducted to evaluate the consequences of service availabilities (1635, 1637).</t>
  </si>
  <si>
    <t>Provide evidence that a risk assessment was performed in accordance with the organization's Risk Management Program (1704).</t>
  </si>
  <si>
    <t>03.b</t>
  </si>
  <si>
    <t>R-1066</t>
  </si>
  <si>
    <t>Provide evidence that the results of the risk assessment have been formally reviewed and documented within the past 365 days (1704, 1705, 1733).</t>
  </si>
  <si>
    <t>Provide evidence that the risk assessment evaluated the confidentiality of the information/system (1706).</t>
  </si>
  <si>
    <t>Provide evidence that the risk assessment evaluated the integrity of the information/system (1706).</t>
  </si>
  <si>
    <t>Provide evidence that the risk assessment evaluated the availability of the information/system (1706).</t>
  </si>
  <si>
    <t>Provide evidence that the Risk Treatment Plan/Register was updated within the past 365 days (1708).</t>
  </si>
  <si>
    <t>03.c</t>
  </si>
  <si>
    <t>Provide evidence that a Security Improvement Plan was documented for current and future controls based off the Risk Treatment Plan/Register (1708).</t>
  </si>
  <si>
    <t>Provide evidence that the Security Improvement Plan assesses controls based on size, complexity, and risk appetite of the information system (1708).</t>
  </si>
  <si>
    <t>Provide evidence that an integrated control system has been implemented at different layers to identify and mitigate risks (17126).</t>
  </si>
  <si>
    <t>Provide evidence that the Business Continuity and Disaster Recovery Plan includes phone numbers and email addresses of key contacts (1744).</t>
  </si>
  <si>
    <t>05.f</t>
  </si>
  <si>
    <t>Provide evidence that the Business Continuity and Disaster Recovery Plan's key contacts are reviewed annually (1744).</t>
  </si>
  <si>
    <t>Provide evidence that the Incident Response Plan includes phone numbers and email addresses of key contacts (1522, 1744).</t>
  </si>
  <si>
    <t>Provide evidence that the Incident Response Plan's key contacts are reviewed annually (1522, 1744).</t>
  </si>
  <si>
    <t>Provide evidence that the organization subscribes to special interest groups and/or forums to receive early warnings of new vulnerabilities and gain access to security advice (0737, 1749).</t>
  </si>
  <si>
    <t>05.g</t>
  </si>
  <si>
    <t>R-1386</t>
  </si>
  <si>
    <t>Provide evidence that security advisories/alerts are sent to appropriate workforce members (1752).</t>
  </si>
  <si>
    <t>If required, provide evidence that security advisories/alerts are disseminated to the entire workforce (1752).</t>
  </si>
  <si>
    <t>Provide evidence that policies, regulations, threat modeling, incident reviews, and/or vulnerability assessments are used to identify security requirements (1781).</t>
  </si>
  <si>
    <t>10.a</t>
  </si>
  <si>
    <t>Provide evidence that access to surplus equipment is restricted to authorized workforce members (18127).</t>
  </si>
  <si>
    <t>08.l</t>
  </si>
  <si>
    <t>Provide evidence that surplus equipment is sanitized and disposed of when no longer required (18127).</t>
  </si>
  <si>
    <t>Provide evidence that a list of workforce members authorized to remove equipment from secure areas/facilities is maintained (18128).</t>
  </si>
  <si>
    <t>08.m</t>
  </si>
  <si>
    <t>Provide evidence that the disposal of media is commensurate with the sensitivity of the information handled by the media (18131, 1825, 1826).</t>
  </si>
  <si>
    <t>09.p</t>
  </si>
  <si>
    <t>R-2057
R-2312</t>
  </si>
  <si>
    <t>Provide evidence that locked disposal bins for electronic and paper media are placed throughout secure areas/facilities (18131, 1826).</t>
  </si>
  <si>
    <t>Provide evidence that endpoint devices that handle covered/confidential information are located in rooms with locked doors and windows (1828).</t>
  </si>
  <si>
    <t>08.a</t>
  </si>
  <si>
    <t>Provide evidence that endpoint devices that handle covered/confidential information are located in rooms with unattended and external protections (1828).</t>
  </si>
  <si>
    <t>Provide evidence that endpoint devices that handle covered/confidential information are not located in areas that allow unrestricted access by the public (1828).</t>
  </si>
  <si>
    <t>Provide evidence that secure areas/boundaries are clearly defined (1830).</t>
  </si>
  <si>
    <t>Provide evidence that physical security has been implemented for secure areas/facilities (1829, 1830).</t>
  </si>
  <si>
    <t>Provide evidence that health and safety regulations have been considered for secure areas/facilities (1857).</t>
  </si>
  <si>
    <t>08.c</t>
  </si>
  <si>
    <t>Provide evidence that access to secure areas/facilities is restricted to authorized workforce members (1829, 1844,1867).</t>
  </si>
  <si>
    <t>08.e</t>
  </si>
  <si>
    <t>Provide evidence that knowledge of activities performed in secure areas/facilities is restricted to authorized workforce members (1867).</t>
  </si>
  <si>
    <t>Provide evidence that access to loading bays/docks/mail points is restricted to authorized workforce members (1871).</t>
  </si>
  <si>
    <t>08.f</t>
  </si>
  <si>
    <t>Provide evidence that loading bays/docks/mail points are secured when internal doors are accessible (1871).</t>
  </si>
  <si>
    <t>Provide evidence that the risk assessment considers physical and environmental risk to the in-scope environment (1705, 1880).</t>
  </si>
  <si>
    <t>08.g</t>
  </si>
  <si>
    <t>Provide evidence that power failure equipment is configured to protect critical business operations from disruptions/failures (1888).</t>
  </si>
  <si>
    <t>08.h</t>
  </si>
  <si>
    <t>Provide evidence that power failure equipment is regularly tested by qualified individuals (1888).</t>
  </si>
  <si>
    <t>R-1439
R-1441</t>
  </si>
  <si>
    <t>Provide evidence that power equipment and cabling is protected against damage and destruction (1899).</t>
  </si>
  <si>
    <t>08.i</t>
  </si>
  <si>
    <t>R-1444</t>
  </si>
  <si>
    <t>Provide evidence that covered/confidential information is encrypted at rest (1903, 19922).</t>
  </si>
  <si>
    <t>06.d</t>
  </si>
  <si>
    <t>R-1218</t>
  </si>
  <si>
    <t>R-1218
R-1969</t>
  </si>
  <si>
    <t>If full disk encryption is used, provide evidence that decryption of the disk is not tied to a user account (1903).</t>
  </si>
  <si>
    <t>If covered/confidential is not encrypted at rest, provide evidence that business justification was formally documented (1903).</t>
  </si>
  <si>
    <t>Provide evidence that Confidentiality/Non-Disclosure Agreements are reviewed every 365 days (19131).</t>
  </si>
  <si>
    <t>05.e</t>
  </si>
  <si>
    <t>Provide evidence that the Confidentiality/Non-Disclosure Agreement review includes applicable laws and regulations for agreement jurisdictions (19131)</t>
  </si>
  <si>
    <t>Provide evidence that an inventory of all encryption keys is maintained (19145).</t>
  </si>
  <si>
    <t>06.c</t>
  </si>
  <si>
    <t>Provide evidence that access to all encryption keys is restricted to only authorized workforce members (19145).</t>
  </si>
  <si>
    <t>Provide evidence that related key materials/programs are maintained/stored to enable decryption (19145).</t>
  </si>
  <si>
    <t>Provide evidence that a list of workforce members with the ability to post information to publicly accessible systems/sites is maintained (19180).</t>
  </si>
  <si>
    <t>Provide evidence that the organization restricts the use of open source software (19249).</t>
  </si>
  <si>
    <t>06.b</t>
  </si>
  <si>
    <t>If complaints about the failure to comply with HIPAA § 164.530(g) have been filed, provide evidence of disciplinary reports related to the complaint (19355).</t>
  </si>
  <si>
    <t>13.b</t>
  </si>
  <si>
    <t>Provide evidence that endpoint devices with access to covered/confidential information are configured to allow only required functions to be performed (19980).</t>
  </si>
  <si>
    <t>Provide evidence that endpoint devices with access to covered/confidential information are physically secured according to residing location (19980).</t>
  </si>
  <si>
    <t>Provide evidence that endpoint devices for workforce members traveling to locations deemed high risk by the organization are hardened (0404).</t>
  </si>
  <si>
    <t>Provide evidence that endpoint devices for workforce members traveling to locations deemed high risk by the organization are physically checked upon return (0404).</t>
  </si>
  <si>
    <t>Provide evidence that endpoint devices for workforce members traveling to locations deemed high risk by the organization are scanned for malware upon return (0404).</t>
  </si>
  <si>
    <t>Provide evidence that wireless networks used for the in-scope environment are explicitly approved (0502).</t>
  </si>
  <si>
    <t>Provide evidence that all eCommerce Information Service Providers have fully executed agreement (0939).</t>
  </si>
  <si>
    <t>09.x</t>
  </si>
  <si>
    <t>Provide evidence that all eCommerce Value-Added Network Providers have fully executed agreement (0939).</t>
  </si>
  <si>
    <t>Provide evidence that access to audit tools are limited to appropriate workforce members (1235).</t>
  </si>
  <si>
    <t>06.j</t>
  </si>
  <si>
    <t>Provide evidence that (standard) end users are prevented from making changes to endpoint devices (0214, 02.09jNIST80053).</t>
  </si>
  <si>
    <t>Provide evidence that end users are trained on/made aware of the restrictions involving the use of endpoint devices (0214, 02.09jNIST80053).</t>
  </si>
  <si>
    <t>Provide evidence that logs are maintained for all media containing covered/confidential information (0306).</t>
  </si>
  <si>
    <t>09.q</t>
  </si>
  <si>
    <t>If media containing covered/confidential information is unencrypted, provide evidence the media is logged and monitored by the organization (0306).</t>
  </si>
  <si>
    <t>Provide evidence that records of media exempt from labeling is maintained (0313).</t>
  </si>
  <si>
    <t>07.e</t>
  </si>
  <si>
    <t>Provide evidence that media exempt from labeling is authorized by the CIO or his/her designated representative (0313).</t>
  </si>
  <si>
    <t>Provide evidence that tracking is used for media containing covered/confidential information that is transported outside of controlled areas (0320).</t>
  </si>
  <si>
    <t>09.u</t>
  </si>
  <si>
    <t>If a courier service is used to transport media containing covered/confidential information, provide evidence that the courier service was approved by management (0320).</t>
  </si>
  <si>
    <t>If a courier service is used to transport media containing covered/confidential information, provide evidence that the courier is checked/verified when picking up media (0320).</t>
  </si>
  <si>
    <t>If a courier service is used to transport media containing covered/confidential information, provide evidence that adequate packaging is used to protect media during transport (0320).</t>
  </si>
  <si>
    <t>Provide evidence that mobile endpoint devices are configured with endpoint protection (0401).</t>
  </si>
  <si>
    <t>Provide evidence that mobile endpoint devices are configured with a host-based firewall/port filtering (0401).</t>
  </si>
  <si>
    <t>Provide evidence that mobile endpoint devices are configured with inactivity timeouts (0401).</t>
  </si>
  <si>
    <t>Provide evidence that mobile endpoint devices are physically protected (0401).</t>
  </si>
  <si>
    <t>Provide evidence that mobile endpoint devices are configured with disk encryption (0401).</t>
  </si>
  <si>
    <t>Provide evidence that mobile endpoint devices are configured to require identification and authentication to access (0401).</t>
  </si>
  <si>
    <t>Provide evidence that a list of approved application stores is maintained by the organization (0425).</t>
  </si>
  <si>
    <t>Provide evidence that unauthorized application stores have been restricted/removed from mobile devices (0425).</t>
  </si>
  <si>
    <t>Provide evidence that the results of the compliance review were approved by management (0602).</t>
  </si>
  <si>
    <t>Provide evidence that an inventory of all in-scope assets is maintained and does not include duplicate asset records (0720).</t>
  </si>
  <si>
    <t>Provide evidence that an inventory of all in-scope assets includes wireless access points (0721).</t>
  </si>
  <si>
    <t>If wireless access points are used, provide formal business justification for the use of wireless within the in-scope environment (0721).</t>
  </si>
  <si>
    <t>Provide evidence that an inventory of all in-scope assets includes assets assigned to contractors and/or volunteer workforce members (0722).</t>
  </si>
  <si>
    <t>Provide evidence that the network diagram has been reviewed/updated within the past 6 months (0819).</t>
  </si>
  <si>
    <t>Provide evidence that the network diagram outlines data flows and connections to the in-scope environment (0806, 0819, 1464).</t>
  </si>
  <si>
    <t>R-1040</t>
  </si>
  <si>
    <t>Provide evidence that all service providers that information is exchanged with (receiving/transmitting) have a fully executed agreement with the organization (0888).</t>
  </si>
  <si>
    <t>Provide evidence that the remote activation of collaborative computing devices is prohibited (0916).</t>
  </si>
  <si>
    <t>Provide evidence that a physical indicator is present when a collaborative computing device is active (0916).</t>
  </si>
  <si>
    <t>If encryption keys are maintained by the organization, provide evidence that the keys are not maintained/stored in the cloud environment (0961).</t>
  </si>
  <si>
    <t>Provide evidence that encryption keys are maintained by the cloud consumer or a trusted key management provider (0961).</t>
  </si>
  <si>
    <t>Provide evidence that workforce members acknowledge/are trained on the requirement statement associated with HITRUST unique ID 1020.01f2Organizational.1 (1020).</t>
  </si>
  <si>
    <t>Provide evidence that inactive/stale access accounts that are older than 90 days are identified and closed/removed (1135).</t>
  </si>
  <si>
    <t>02.i</t>
  </si>
  <si>
    <t>Provide evidence that audit logs/records are retained live (searchable) for at least 90 days (1207).</t>
  </si>
  <si>
    <t>Provide evidence that audit logs/records are retained offline/archived for at least 1 year (1207).</t>
  </si>
  <si>
    <t>Provide evidence that audit logs/records are collected from various system components (1222, 12100, 12103).</t>
  </si>
  <si>
    <t>Provide evidence that the Audit Logging and Monitoring Program is periodically tested (12102).</t>
  </si>
  <si>
    <t>Provide evidence that any identified Audit Logging and Monitoring Program non-compliances were remediated (12102).</t>
  </si>
  <si>
    <t>Provide evidence that a centralized tool for logging and monitoring has been implemented that supports report generation and audit reduction (1215, 1219).</t>
  </si>
  <si>
    <t>Provide evidence that a centralized tool for logging and monitoring has been implemented that does not alter the original content of logs (1215).</t>
  </si>
  <si>
    <t>Provide evidence that information security training material includes security and privacy (0108, 1301, 1302, 13.02eNIST80053).</t>
  </si>
  <si>
    <t>Provide evidence that information security training is conducted during workforce member on-boarding (1302, 13.02eNIST80053).</t>
  </si>
  <si>
    <t>Provide evidence that information security training material is reviewed and updated annually (0107, 1302, 13.02eNIST80053).</t>
  </si>
  <si>
    <t>Provide evidence that information security training material is delivered as short online modules whenever possible (0107, 1302, 13.02eNIST80053).</t>
  </si>
  <si>
    <t>Provide evidence that information security training material includes insider threat indicators (1302, 13.02eNIST80053).</t>
  </si>
  <si>
    <t>Provide evidence that information security training material includes commonly used methods of intrusion (1302, 13.02eNIST80053).</t>
  </si>
  <si>
    <t>Provide evidence that information security training material includes commitment/involvement by senior leadership (1302, 13.02eNIST80053).</t>
  </si>
  <si>
    <t>Provide evidence that a list is maintained of all new workforce members who have completed the security awareness training (1305).</t>
  </si>
  <si>
    <t>Provide evidence that onboarding records are maintained for at least 5 years (logically and/or physically) (1305).</t>
  </si>
  <si>
    <t>Provide evidence that workforce members using mobile devices are provided mobile device training (1309)</t>
  </si>
  <si>
    <t>Provide evidence that mobile device training material includes the risk associated with mobile devices (1309).</t>
  </si>
  <si>
    <t>Provide evidence that mobile device training material includes the security controls implemented on the mobile device (1309).</t>
  </si>
  <si>
    <t>Provide evidence that mobile device training material includes the responsibility of the workforce member to protect the mobile device (1309).</t>
  </si>
  <si>
    <t>Provide evidence that software development training material includes how sensitive data is handled in memory (1315).</t>
  </si>
  <si>
    <t>Provide evidence that BYOD (Bring Your Own Device) training material includes a list of organizationally approved applications, stores, and extensions/plugins (1326).</t>
  </si>
  <si>
    <t>Provide evidence that workforce members who interact with covered/confidential information are trained on where it can be stored (1327).</t>
  </si>
  <si>
    <t>Provide evidence that covered/confidential information is stored in locations outlined by the organization (1327, 19245).</t>
  </si>
  <si>
    <t>Provide evidence that a list of all in-scope service providers is maintained and reviewed/updated annually (1409, 17120).</t>
  </si>
  <si>
    <t>09.e</t>
  </si>
  <si>
    <t>Provide evidence that a list of all in-scope service providers includes a description of service for each provider (1409).</t>
  </si>
  <si>
    <t>Provide evidence that a service provider status meeting is conducted on a regular basis and includes a review of service level metrics (1412).</t>
  </si>
  <si>
    <t>09.f</t>
  </si>
  <si>
    <t>Provide evidence that a service provider status meeting is conducted on a regular basis and includes identified security incidents (1412).</t>
  </si>
  <si>
    <t>Provide evidence that a service provider status meeting is conducted on a regular basis and includes operational problems (1412).</t>
  </si>
  <si>
    <t>Provide evidence that a service provider status meeting is conducted on a regular basis and includes service failures (1412).</t>
  </si>
  <si>
    <t>Provide evidence that a service provider status meeting is conducted on a regular basis and includes follow-up items from previous meetings (1412).</t>
  </si>
  <si>
    <t>Provide evidence that service provider agreements define appropriate security controls and responsibilities including risk prevention, detection, and correction (1438).</t>
  </si>
  <si>
    <t>Provide evidence that a list of all workforce members involved in a security incident is maintained (1502, 15.02fHIPAA).</t>
  </si>
  <si>
    <t>02.f</t>
  </si>
  <si>
    <t>Provide evidence that all security incident investigations and outcomes are formally documented (1502, 15.02fHIPAA).</t>
  </si>
  <si>
    <t>Provide evidence that monitoring and detection tools have been configured to detect/prevent insider threat (1507).</t>
  </si>
  <si>
    <t>Provide evidence that an insider threat program has been communicated/disseminated to the organization's workforce members (1507).</t>
  </si>
  <si>
    <t>Provide evidence that a list of complaints regarding the failure to assist/cooperate with investigations conducted by TX state and local registrars has been maintained (1527).</t>
  </si>
  <si>
    <t>If workforce members have failed to assist/cooperate with investigations conducted by TX state and local registrars, provide evidence that disciplinary actions have been carried out against the workforce members (1527).</t>
  </si>
  <si>
    <t>Provide evidence that a list of complaints regarding the failure to assist/cooperate with investigations conducted by the TX Dept. of State Health Services has been maintained (1528).</t>
  </si>
  <si>
    <t>If workforce members have failed to assist/cooperate with investigations conducted by the TX Dept. of State Health Services, provide evidence that disciplinary actions have been carried out against the workforce members (1528).</t>
  </si>
  <si>
    <t>Provide evidence that prior to providing a new/replacement hardware token, in-person verification is required (1127).</t>
  </si>
  <si>
    <t>Provide evidence that third party backup service provider agreements contain details around protecting the confidentiality, integrity, and availability of backups (1620).</t>
  </si>
  <si>
    <t>R-1287</t>
  </si>
  <si>
    <t>Provide evidence that the results of a Business Impact Analysis (BIA)/Risk Assessment is used to create a business continuity strategy and plan endorsed by management (1635).</t>
  </si>
  <si>
    <t>Provide evidence that fallback arrangements for provided technical services is the responsibility of the service provider (1668).</t>
  </si>
  <si>
    <t>12.d</t>
  </si>
  <si>
    <t>Provide evidence that Business Continuity workforce members are aware/acknowledge the Business Continuity Plan and the responsibilities involved once the plan has been invoked (1673).</t>
  </si>
  <si>
    <t>12.e</t>
  </si>
  <si>
    <t>Provide evidence that a Business Continuity &amp; Disaster Recovery test schedule has been documented (1674).</t>
  </si>
  <si>
    <t>Provide evidence that a Business Continuity &amp; Disaster Recovery test schedule outlines how each element of the BC/DR Plan is tested (1674).</t>
  </si>
  <si>
    <t>Provide evidence that backups are conducted for organizational and client information stored on BYOD devices (1699).</t>
  </si>
  <si>
    <t>Provide evidence that the identity theft program is reviewed and updated annually (1703).</t>
  </si>
  <si>
    <t>03.a</t>
  </si>
  <si>
    <t>Provide evidence that a Risk Assessment/System Audit is performed annually/quarterly (1754).</t>
  </si>
  <si>
    <t>If a Risk Assessment/System Audit is performed quarterly, provide evidence that the equivalent of a full assessment/audit was performed after 4 consecutive quarters (1754).</t>
  </si>
  <si>
    <t>Provide evidence that visitor logs include the name and organization of visitor (1801).</t>
  </si>
  <si>
    <t>08.b</t>
  </si>
  <si>
    <t>R-1306</t>
  </si>
  <si>
    <t>Provide evidence that visitor logs include the signature of visitor (1801, 1804, 18.08bNIST80053).</t>
  </si>
  <si>
    <t>Provide evidence that visitor logs include the provided identification of visitor (1801).</t>
  </si>
  <si>
    <t>Provide evidence that visitor logs include the date and time of arrival and departure (1801, 1804, 18.08bNIST80053).</t>
  </si>
  <si>
    <t>Provide evidence that visitor logs include the purpose of visit (1801)</t>
  </si>
  <si>
    <t>Provide evidence that visitor logs include the name of person visited (1801, 1804, 18.08bNIST80053).</t>
  </si>
  <si>
    <t>Provide evidence that visitors are monitored/supervised when accessing the organization's premises (1801).</t>
  </si>
  <si>
    <t>Provide evidence that a list of authorized maintenance personnel is maintained (18109).</t>
  </si>
  <si>
    <t>08.j</t>
  </si>
  <si>
    <t>Provide evidence that maintenance personnel are supervised by designated workforce members (18109).</t>
  </si>
  <si>
    <t>Provide evidence that the organization maintains the necessary maintenance support and/or spare parts to meet Recovery Time Objectives (RTOs) (18111).</t>
  </si>
  <si>
    <t>Provide evidence that a fully executed agreement is maintained for third party disposal service providers (18130).</t>
  </si>
  <si>
    <t>Provide evidence that due diligence is performed for third party disposal service providers (18130).</t>
  </si>
  <si>
    <t>Provide evidence that a fire detection system has been placed throughout all in-scope facilities (1814).</t>
  </si>
  <si>
    <t>08.d</t>
  </si>
  <si>
    <t>Provide evidence that physical access lists to facilities/secure areas are reviewed quarterly and that unauthorized/unnecessary access is removed (1844).</t>
  </si>
  <si>
    <t>Provide evidence that the Acceptable Use Program/Employee Handbook defines guidelines for eating, drinking, and smoking near assets (1875, 1876).</t>
  </si>
  <si>
    <t>Provide evidence that assets handling covered/confidential information are positioned to prevent unauthorized viewing (1877).</t>
  </si>
  <si>
    <t>Provide evidence that storage assets handling covered/confidential information are physically secured (1877, 1878).</t>
  </si>
  <si>
    <t>Provide evidence that access to network and/or system devices is restricted to authorized workforce members (1879).</t>
  </si>
  <si>
    <t>Provide evidence that physical and environmental controls have been implemented to minimize the risk of theft and/or vandalism (1881).</t>
  </si>
  <si>
    <t>Provide evidence that physical and environmental controls have been implemented to minimize the risk of fire, explosives, and/or smoke (1881).</t>
  </si>
  <si>
    <t>Provide evidence that physical and environmental controls have been implemented to minimize the risk of water (or water supply failure) (1881).</t>
  </si>
  <si>
    <t>Provide evidence that physical and environmental controls have been implemented to minimize the risk of dust, vibration, and/or chemical effects (1881).</t>
  </si>
  <si>
    <t>Provide evidence that physical and environmental controls have been implemented to minimize the risk of electrical supply interference, communications interference, and/or electromagnetic radiation (1881).</t>
  </si>
  <si>
    <t>Provide evidence that hazardous and/or combustible materials are stored at a safe distance from secure areas (1881).</t>
  </si>
  <si>
    <t>Provide evidence that bulk supplies such as stationery are not stored within secure areas (1881).</t>
  </si>
  <si>
    <t>Provide evidence that fallback equipment and back-up media is stored at a safe distance to avoid damage (1881).</t>
  </si>
  <si>
    <t>Provide evidence that an independent review of the Information Security Management Program included testing the programs suitability, adequacy, and effectiveness (0103, 0108).</t>
  </si>
  <si>
    <t>Provide evidence that any findings of the independent review of the Information Security Management Program were reviewed by management (0103, 0178, 0179).</t>
  </si>
  <si>
    <t>Provide evidence that any findings of the independent review of the Information Security Management Program were corrected (0103, 0179).</t>
  </si>
  <si>
    <t>Provide evidence that senior management has appointed an information security official (0118, 01.05).</t>
  </si>
  <si>
    <t>Provide evidence that senior management has established/communicated information security mission, objective, and activities to workforce (0118, 01.05).</t>
  </si>
  <si>
    <t>Provide evidence that senior management has appointed an individual/team to govern the security plan and its implementation (0118, 01.05).</t>
  </si>
  <si>
    <t>Provide evidence that senior management has reviewed the effectiveness of the Information Security Management Program (0118, 01.05).</t>
  </si>
  <si>
    <t>Provide evidence that senior management has provided resources for information security (0118, 01.05).</t>
  </si>
  <si>
    <t>Provide evidence that senior management has implemented processes to prevent identity theft (0118, 01.05).</t>
  </si>
  <si>
    <t>Provide evidence that senior management has coordinated information security across the organization (0118, 01.05).</t>
  </si>
  <si>
    <t>Provide evidence that senior management has coordinated and reviewed security specialist advice (0118, 01.05).</t>
  </si>
  <si>
    <t>Provide evidence that the Information Security Management Program includes a Workforce Improvement Program (0118, 01.05).</t>
  </si>
  <si>
    <t>Provide evidence that roles and responsibilities of the senior-level Information Security Official have been formally defined and documented (0110, 0119, 0172).</t>
  </si>
  <si>
    <t>Provide evidence that an independent review of the Information Security Management Program included an assessment of the organizations adherence to its security plan (0177).</t>
  </si>
  <si>
    <t>Provide evidence that an independent review of the Information Security Management Program included notification requirements to confirm whom to inform within the organization about the timing and nature of the assessment (0177).</t>
  </si>
  <si>
    <t>Provide evidence that an independent review of the Information Security Management Program included the need for changes to the approach to security in light of evolving circumstances (0177).</t>
  </si>
  <si>
    <t>Provide evidence that an independent review of the Information Security Management Program included carefully controlled information security tests to limit the risks to confidentiality, integrity, and system availability (0108, 0177).</t>
  </si>
  <si>
    <t>Provide evidence that an independent review of the Information Security Management Program was carried out by individuals independent of the area under review (0177).</t>
  </si>
  <si>
    <t>Provide evidence that an independent review of the Information Security Management Program was carried out by individuals who have the appropriate skills and experience (0177).</t>
  </si>
  <si>
    <t>Provide evidence that the results of the independent review of the Information Security Management Program are maintained for at least 3 years (0178).</t>
  </si>
  <si>
    <t>Provide evidence that the storage of covered/confidential information is kept to the minimum required (1904).</t>
  </si>
  <si>
    <t>Provide evidence that Security Categorizations and Associated Guidelines are reviewed and approved by management on a regular basis (19143).</t>
  </si>
  <si>
    <t>Provide evidence that a verification checklist is outlined and followed when conducting software/system integrity testing (19189, 19.10cISO27001).</t>
  </si>
  <si>
    <t>Provide evidence that the verification checklist includes: session or batch controls to reconcile data file balances after transaction updates, balancing controls, check opening balances against previous closing balances (19191).</t>
  </si>
  <si>
    <t>Provide evidence that the verification checklist includes: validation of system-generated input data (19191).</t>
  </si>
  <si>
    <t>R-1039</t>
  </si>
  <si>
    <t>Provide evidence that the verification checklist includes: checks on the integrity, authenticity or any other security feature of data or software downloaded, or uploaded, between central and remote computers (19191)</t>
  </si>
  <si>
    <t>Provide evidence that the verification checklist includes: hash totals of records and files (19191)</t>
  </si>
  <si>
    <t>Provide evidence that the verification checklist includes: checks to ensure that application programs are run at the correct time (19191)</t>
  </si>
  <si>
    <t>Provide evidence that the verification checklist includes: checks to ensure that programs are run in the correct order and terminate in case of a failure, and that further processing is halted until the problem is resolved (19191)</t>
  </si>
  <si>
    <t>Provide evidence that the verification checklist includes: creating an automated log of the activities involved in the processing (19191).</t>
  </si>
  <si>
    <t>Provide evidence that consent is obtained by fair and lawful means prior to the collection of PII (19412).</t>
  </si>
  <si>
    <t>13.i</t>
  </si>
  <si>
    <t>Provide evidence that the collection of PII is limited to only relevant information (19412).</t>
  </si>
  <si>
    <t>Provide evidence that records of disclosure/use of covered/confidential information are maintained (19446).</t>
  </si>
  <si>
    <t>13.k</t>
  </si>
  <si>
    <t>Provide evidence that records of disclosure/use of covered/confidential information contain authorization and who the information was disclosed to/used by (19446).</t>
  </si>
  <si>
    <t>Provide evidence that PII is destroyed/erased/sanitized prior to asset disposal/reuse (19494).</t>
  </si>
  <si>
    <t>13.l</t>
  </si>
  <si>
    <t>Provide evidence that records of disclosures/transmittals include a valid written request (19310, 19344, 19345, 19346, 19460, 19461, 19462, 19463, 19464, 19466, 19469, 19470, 19471, 19472, 19473, 19474, 19475, 19476, 19477, 19478, 19479, 19480, 19481, 19485, 19486).</t>
  </si>
  <si>
    <t>13.a</t>
  </si>
  <si>
    <t>Provide evidence that records of disclosures/transmittals include the authorized receiving individual(s) (19310, 19344, 19345, 19346, 19460, 19461, 19462, 19463, 19464, 19466, 19469, 19470, 19471, 19472, 19473, 19474, 19475, 19476, 19477, 19478, 19479, 19480, 19481, 19485, 19486).</t>
  </si>
  <si>
    <t>Provide evidence that patient rights include confidentiality and privacy requirements (19303, 19304, 19305, 19306, 19307, 19308, 19309).</t>
  </si>
  <si>
    <t>Provide evidence that patient rights are prominently displayed for patients to see (19303, 19304, 19305, 19306, 19307, 19308, 19309).</t>
  </si>
  <si>
    <t>Provide evidence that a designated medical record official is appointed and responsible for the creation, maintenance, and disposal of medical records per 25 TAC § 131.53 (1913).</t>
  </si>
  <si>
    <t>Provide evidence that a designated medical record official is appointed and responsible for maintaining the confidentiality, security, and safe storage of medical records throughout the records lifecycle (1913).</t>
  </si>
  <si>
    <t>Provide evidence that disclosures/transmittals are performed in accordance with the organization's defined guidelines (19458).</t>
  </si>
  <si>
    <t>Provide evidence that procedures for the lawful transfer of Texas Cancer Registry reports, records, and/or information have been implemented (19483).</t>
  </si>
  <si>
    <t>Provide evidence that records of disclosures/transmittals include the content that was disclosed/transmitted (19484).</t>
  </si>
  <si>
    <t>Provide evidence that procedures have been defined for the timeliness of reporting laboratory information (19485).</t>
  </si>
  <si>
    <t>Provide evidence that risk designations for job roles have been reviewed within the past 365 days (0105).</t>
  </si>
  <si>
    <t>02.a</t>
  </si>
  <si>
    <t>Provide evidence that information security training provides a way to measure a workforce member's understanding of the training (0107).</t>
  </si>
  <si>
    <t>02.d</t>
  </si>
  <si>
    <t>Provide evidence that the Annual Information Program Report that is presented to the board of directors or equivalent governing body includes the status of the confidentiality of nonpublic information and the integrity and security of the organizations information systems (01111).</t>
  </si>
  <si>
    <t>Provide evidence that the Annual Information Program Report that is presented to the board of directors or equivalent governing body includes the status of the organizations cybersecurity policies and procedures (01111).</t>
  </si>
  <si>
    <t>Provide evidence that the Annual Information Program Report that is presented to the board of directors or equivalent governing body includes the status of material cybersecurity risks to the organization (01111).</t>
  </si>
  <si>
    <t>Provide evidence that the Annual Information Program Report that is presented to the board of directors or equivalent governing body includes the status of overall effectiveness of the organizations cybersecurity program (01111).</t>
  </si>
  <si>
    <t>Provide evidence that the Annual Information Program Report that is presented to the board of directors or equivalent governing body includes the status of material cybersecurity events involving the organization during the time period addressed by the report (01111).</t>
  </si>
  <si>
    <t>Provide evidence that the Acceptable Use Program has been reviewed, updated, and approved by management within the past 365 days (0112, 0197).</t>
  </si>
  <si>
    <t>Provide evidence that the Risk Management Program has been reviewed, updated, and approved within the past 365 days (0121).</t>
  </si>
  <si>
    <t>Provide evidence that the senior-level Information Security Official holds the appropriate Information Security certifications and/or has 5+ years of Information Security experience (0122).</t>
  </si>
  <si>
    <t>Provide evidence that Information Security contacts have been appointed by name for each business unit/department (0123, 01.05aFFIECIS).</t>
  </si>
  <si>
    <t>Provide evidence that an Information Security charter has been created and that the member list has been published (0124).</t>
  </si>
  <si>
    <t>Provide evidence that the Information Security charter meets on a regular basis and documents its meetings (0124).</t>
  </si>
  <si>
    <t>Provide evidence that an external review of the organization's Information Security Management Program was completed within the past 365 days (0125).</t>
  </si>
  <si>
    <t>Provide evidence that a Human Resource (HR) Program has been developed, reviewed, updated, and approved within the past 365 days (0137, 01.04).</t>
  </si>
  <si>
    <t>Provide evidence that a Human Resource (HR) Program has been communicated/disseminated to the organization's workforce (0137, 01.04).</t>
  </si>
  <si>
    <t>Provide evidence that endpoint protection is configured with either heuristic scanning or to scan during system boot (0204).</t>
  </si>
  <si>
    <t>Provide evidence that endpoint protection is configured with either heuristic scanning or to scan every 12 hours (0204).</t>
  </si>
  <si>
    <t>Provide evidence that all endpoint protection alerts are formally investigated by appropriate workforce members (0215).</t>
  </si>
  <si>
    <t>Provide evidence that false positive endpoint protection alerts are identified and documented (0215).</t>
  </si>
  <si>
    <t>Provide evidence that Address Space Layout Randomization and/or Data Execution Prevention is enabled on all endpoints to protect system memory from unauthorized code execution (0219).</t>
  </si>
  <si>
    <t>Provide evidence that all approved removable media is documented and maintained in an asset inventory (0307, 0308).</t>
  </si>
  <si>
    <t>Provide evidence that the teleworking agreement/acknowledgement outlines that wireless networks must be encrypted (0405, 1310).</t>
  </si>
  <si>
    <t>01.y</t>
  </si>
  <si>
    <t>Provide evidence that the teleworking agreement/acknowledgement outlines that remote access connections must be encrypted (0405, 1310).</t>
  </si>
  <si>
    <t>Provide evidence that the teleworking agreement/acknowledgement outlines that teleworkers must be uniquely identified before accessing the in-scope environment (0405, 1310).</t>
  </si>
  <si>
    <t>Provide evidence that the teleworking agreement/acknowledgement outlines that endpoint protection must be installed and maintained (0405, 0416, 1310).</t>
  </si>
  <si>
    <t>Provide evidence that the teleworking agreement/acknowledgement outlines that operating systems must be maintained/patched (0405, 1310).</t>
  </si>
  <si>
    <t>Provide evidence that the teleworking agreement/acknowledgement outlines that applications must be maintained/patched (0405, 1310).</t>
  </si>
  <si>
    <t>Provide evidence that the teleworking agreement/acknowledgement outlines that host-based firewalls must be maintained (0405, 0416, 1310).</t>
  </si>
  <si>
    <t>Provide evidence that the teleworking agreement/acknowledgement outlines that the organization has the right to restrict/remove access (0405, 1310).</t>
  </si>
  <si>
    <t>Provide evidence that the teleworking agreement/acknowledgement outlines that organization owned equipment must be return during separation (0405, 1310).</t>
  </si>
  <si>
    <t>Provide evidence that the Teleworking Agreement/Program is acknowledged/made available to all teleworking workforce members (0408).</t>
  </si>
  <si>
    <t>Provide evidence that additional insurance (e.g., cyber insurance) is purchased to cover increased risks associated with teleworking (0409).</t>
  </si>
  <si>
    <t>Provide evidence that teleworking agreements/training includes password best practices (0416, 1310).</t>
  </si>
  <si>
    <t>Provide evidence that teleworking agreements/training includes laptop cable locks best practices (0416, 1310).</t>
  </si>
  <si>
    <t>Provide evidence that teleworking agreements/training includes recording serial numbers and other identification information (0416, 1310).</t>
  </si>
  <si>
    <t>Provide evidence that teleworking agreements/training includes disconnecting modems at alternate worksites best practices (0416, 1310).</t>
  </si>
  <si>
    <t>Provide evidence that all mobile devices are centrally managed (0426, 0428).</t>
  </si>
  <si>
    <t>Provide evidence that all mobile devices have remote wipe enabled (0426, 0428).</t>
  </si>
  <si>
    <t>Provide evidence that all mobile devices are configured to prevent jailbreaking/rooting (0426).</t>
  </si>
  <si>
    <t>Provide evidence that all mobile devices are configured to validate software versions/patches (0426, 0427).</t>
  </si>
  <si>
    <t>Provide evidence that automated technical compliance tools/scans have been implemented to validate compliance for the in-scope systems (0603).</t>
  </si>
  <si>
    <t>Provide evidence that defined metrics are monitored annually as part of the Continuous Monitoring Program (0604).</t>
  </si>
  <si>
    <t>Provide evidence that annual compliance assessments are conducted against the in-scope systems as part of the Continuous Monitoring Program (0604).</t>
  </si>
  <si>
    <t>Provide evidence that ongoing status monitoring is conducted against the in-scope systems as part of the Continuous Monitoring Program (0604).</t>
  </si>
  <si>
    <t>Provide evidence that correlation and analysis of security events is conducted for the in-scope systems as part of the Continuous Monitoring Program (0604).</t>
  </si>
  <si>
    <t>Provide evidence that response actions, including reporting the security state of systems to external agencies (as required), are conducted for the in-scope systems as part of the Continuous Monitoring Program (0604).</t>
  </si>
  <si>
    <t>Provide evidence that an external review of the organization's Information Security Management Program was completed within the past 24 months (0604).</t>
  </si>
  <si>
    <t>Provide evidence that the Configuration Management Program is protected from unauthorized disclosures and modification (0637).</t>
  </si>
  <si>
    <t>10.k</t>
  </si>
  <si>
    <t>Provide evidence that alerts are generated and reviewed for any unauthorized system changes (0638, 0644).</t>
  </si>
  <si>
    <t>Provide evidence that baseline/hardening documentation/standards are based on proven authoritative sources (0643).</t>
  </si>
  <si>
    <t>Provide evidence that all configuration changes are controlled and monitored (0643).</t>
  </si>
  <si>
    <t>Provide evidence that configuration settings are centrally managed (0644).</t>
  </si>
  <si>
    <t>Provide evidence that the organization uses industry-recognized virtualization platforms (0662).</t>
  </si>
  <si>
    <t>Provide evidence that the organization uses industry-recognized virtualization formats (0662).</t>
  </si>
  <si>
    <t>Provide evidence that file integrity monitoring has been configured for virtual machine images (0672).</t>
  </si>
  <si>
    <t>Provide evidence that file integrity alerts for changes to virtual machine images are logged and investigated (0672).</t>
  </si>
  <si>
    <t>Provide evidence that an organizational chart/charter has been created that outlines workforce members/teams responsible for monitoring security controls for the in-scope systems (068).</t>
  </si>
  <si>
    <t>Provide evidence that the workforce members/teams have a documented level of independence from the in-scope systems being monitored (068).</t>
  </si>
  <si>
    <t>Provide evidence that information processing is part of the annual compliance review of the Information Security Management Program (069).</t>
  </si>
  <si>
    <t>Provide evidence that the Asset Lifecycle Program has been reviewed, updated, and approved within the past 365 days (0705).</t>
  </si>
  <si>
    <t>Provide evidence that a baseline/hardening configuration document/standard has been defined for all system components (e.g., applications, databases, endpoints, network devices, etc.) (0710).</t>
  </si>
  <si>
    <t>Provide evidence that a vulnerability assessment/scan has been conducted against the in-scope system within the past 90 days (0712).</t>
  </si>
  <si>
    <t>Provide evidence that the vulnerability assessment/scan was conducted by a qualified individual/team (0712).</t>
  </si>
  <si>
    <t>Provide evidence that all system component (e.g., applications, databases, endpoints, network devices, etc.) patches are tested for usability, security, and effects on other systems prior to implementation in the in-scope environment (0713).</t>
  </si>
  <si>
    <t>Provide evidence that an evaluation of the Vulnerability Management Program was conducted within the past 90 days (0714).</t>
  </si>
  <si>
    <t>Provide evidence that the evaluation of the Vulnerability Management Program included an evaluation of vulnerability monitoring (0714).</t>
  </si>
  <si>
    <t>Provide evidence that the evaluation of the Vulnerability Management Program included an evaluation of vulnerability risk assessments )0714).</t>
  </si>
  <si>
    <t>Provide evidence that the evaluation of the Vulnerability Management Program included an evaluation of vulnerability patching (0714).</t>
  </si>
  <si>
    <t>Provide evidence that the evaluation of the Vulnerability Management Program included an evaluation of vulnerability asset tracking (0714)</t>
  </si>
  <si>
    <t>Provide evidence that the evaluation of the Vulnerability Management Program included an evaluation of coordination responsibilities (0714).</t>
  </si>
  <si>
    <t>Provide evidence that a technical compliance check was performed against the organization within the past 365 days (0716).</t>
  </si>
  <si>
    <t>Provide evidence that technical compliance check tools are updated prior to use/automatically (0717).</t>
  </si>
  <si>
    <t>Provide evidence that a list of identified non-compliances is maintained by the organization (0719).</t>
  </si>
  <si>
    <t>Provide evidence that the list of identified non-compliances has been reviewed and updated within the past 30 days/when new non-compliances have been identified (0719).</t>
  </si>
  <si>
    <t>Provide evidence that assets handling covered/confidential information are identified in the asset inventory (0725).</t>
  </si>
  <si>
    <t>Provide evidence that technical compliance check tools are configured with privileged access to facilitate more thorough checks of the in-scope systems (0741).</t>
  </si>
  <si>
    <t>Provide evidence that a penetration test has been performed against the in-scope systems within the past 365 days (0788).</t>
  </si>
  <si>
    <t>Provide evidence that the penetration test was conducted from networks external to the in-scope systems (0788).</t>
  </si>
  <si>
    <t>Provide evidence that the penetration test was conducted from networks internal to the in-scope systems (0788).</t>
  </si>
  <si>
    <t>Provide evidence that the penetration test was conducted by a qualified individual/team (0788).</t>
  </si>
  <si>
    <t>Provide evidence that network segmentation has been implemented according to the organization's network diagram (0806).</t>
  </si>
  <si>
    <t>Provide evidence that exceptions to firewall policies/rules are formally documented with a duration of implementation and justification (0811, 0812).</t>
  </si>
  <si>
    <t>01.n</t>
  </si>
  <si>
    <t>Provide evidence that exceptions to firewall policies/rules are reviewed every 365 days (0811, 0812).</t>
  </si>
  <si>
    <t>Provide evidence that exceptions to firewall policies/rules are removed when the documented duration expires/when no longer required (0811).</t>
  </si>
  <si>
    <t>Provide evidence that exceptions to firewall policies/rules are formally documented with the workforce member/team responsible for the exception (0812).</t>
  </si>
  <si>
    <t>Provide evidence that technical scans are performed every 90 days to identify unauthorized components and devices (0828).</t>
  </si>
  <si>
    <t>Provide evidence that the demilitarized zone (DMZ) is configured to hide internal IP addresses from external sources (NAT/PAT) (0830).</t>
  </si>
  <si>
    <t>Provide evidence that the demilitarized zone (DMZ) is configured to prevent direct routes from the in-scope environment to the Internet (0830).</t>
  </si>
  <si>
    <t>Provide evidence that the demilitarized zone (DMZ) is configured to prevent internal address to pass from the Internet to the DMZ (0830).</t>
  </si>
  <si>
    <t>Provide evidence that the demilitarized zone (DMZ) is configured to prevent external IP addresses direct access to the in-scope environment (0830).</t>
  </si>
  <si>
    <t>Provide evidence that web servers reside within the demilitarized zone (DMZ) (0830).</t>
  </si>
  <si>
    <t>Provide evidence that system components that handle covered/confidential information reside behind the demilitarized zone (DMZ) (0830).</t>
  </si>
  <si>
    <t>Provide evidence that network diagram identifies both an external and an internal Domain Name System (DNS) (0832, 0871).</t>
  </si>
  <si>
    <t>Provide evidence that all in-scope devices are configured to authenticate/identify on in-scope local/wide are networks (LAN/WAN) (0861).</t>
  </si>
  <si>
    <t>Provide evidence that Voice over Internet Protocol (VoIP) usage for the in-scope systems is authorized, monitored, and controlled (0864).</t>
  </si>
  <si>
    <t>Provide evidence that all external information device and/or system connections have been authorized through a formal interconnection security agreement/contract (0865, 11192, 08.09n2).</t>
  </si>
  <si>
    <t>Provide evidence that network changes are conducted in a consistent way throughout the organization (0866).</t>
  </si>
  <si>
    <t>Provide evidence that network proxies are configured to deny-all traffic and permit-by-exception only (0870).</t>
  </si>
  <si>
    <t>Provide evidence that internal Domain Name Systems are configured to translate both external and internal names/addresses (0871).</t>
  </si>
  <si>
    <t>Provide evidence that external Domain Name Systems are configured to only translate external names/addresses (0871).</t>
  </si>
  <si>
    <t>Provide evidence that remote access sessions use secure protocols and are encrypted (0912, 1121, 09.09sNIST80053).</t>
  </si>
  <si>
    <t>Provide evidence that compliance audits are performed against all Information Systems/Components that are used to exchange information (0914).</t>
  </si>
  <si>
    <t>Provide evidence that online transactions are either checked (automated/manual) for covered/confidential information or secured (encrypted) to prevent information leaks (0943, 0944).</t>
  </si>
  <si>
    <t>09.y</t>
  </si>
  <si>
    <t>Provide evidence that workforce members must authenticate prior to initializing an online transaction (0944).</t>
  </si>
  <si>
    <t>Provide evidence that all logs related to the information system, including transaction logs, are protected by a firewall (0947).</t>
  </si>
  <si>
    <t>Provide evidence that Public/Private Key Infrastructure (PKI) keys/certificates are generated and implemented securely (by approved workforce members) (0948).</t>
  </si>
  <si>
    <t>Provide evidence that only secure and up-to-date protocols are used for information exchange (0949).</t>
  </si>
  <si>
    <t>Provide evidence that only secure and standardized protocols are used to export/import data (0960).</t>
  </si>
  <si>
    <t>Provide evidence that virtual endpoint devices are configured with endpoint protection (11180).</t>
  </si>
  <si>
    <t>Provide evidence that virtual endpoint devices are configured with a host-based firewall/port filtering (11180).</t>
  </si>
  <si>
    <t>Provide evidence that virtual endpoint devices are configured with file integrity monitoring (11180).</t>
  </si>
  <si>
    <t>Provide evidence that virtual endpoint devices are configured with logging and monitoring (11180).</t>
  </si>
  <si>
    <t>Provide evidence that virtual endpoint devices are located behind a network-based intrusion detection/prevention system (11180).</t>
  </si>
  <si>
    <t>Provide evidence that virtual endpoint devices are located behind a web application firewall (if required) (11180).</t>
  </si>
  <si>
    <t>Provide evidence that alerts/logs for unauthorized remote access connections have been reviewed within the past 90 days (1120).</t>
  </si>
  <si>
    <t>Provide evidence that alerts/logs for privileged network and system operations are formally investigated/reviewed (1152).</t>
  </si>
  <si>
    <t>Provide evidence that role-based access has been configured to prevent non-privileged workforce members from executing privileged functions (1152).</t>
  </si>
  <si>
    <t>Provide evidence that all remote access accounts, including third parties, have been reviewed and approved within the past 365 days (1177).</t>
  </si>
  <si>
    <t>01.j</t>
  </si>
  <si>
    <t>Provide evidence that secure encryption techniques are used for node authentication (1178).</t>
  </si>
  <si>
    <t>Provide evidence that physical access to network equipment/ports is restricted (1193).</t>
  </si>
  <si>
    <t>Provide evidence that system component have been scanned within the past 365 days to ensure unnecessary ports/protocols have been disabled/secured (1194).</t>
  </si>
  <si>
    <t>Provide evidence that system component have been scanned within the past 365 days to ensure unnecessary functions/services have been disabled/secured (1194).</t>
  </si>
  <si>
    <t>Provide evidence that black/whitelisting technologies have been implemented to prevent workforce members from installing unauthorized applications/software (1196, 11.10h3).</t>
  </si>
  <si>
    <t>Provide evidence that all security events are logged and monitored (1216).</t>
  </si>
  <si>
    <t>Provide evidence that all critical system components are logged and monitored (1216).</t>
  </si>
  <si>
    <t>Provide evidence that all system components that perform security functions are logged and monitored (1216).</t>
  </si>
  <si>
    <t>Provide evidence that alerts/logs are reviewed in real-time/daily for all initialization sequences (1216).</t>
  </si>
  <si>
    <t>Provide evidence that alerts/logs are reviewed in real-time/daily for all log-ons and errors (1216).</t>
  </si>
  <si>
    <t>Provide evidence that alerts/logs are reviewed in real-time/daily for all system processes and performance (1216).</t>
  </si>
  <si>
    <t>Provide evidence that alerts/logs are reviewed in real-time/daily for all system resources utilization (1216).</t>
  </si>
  <si>
    <t>Provide evidence that investigations are conducted for all identified anomalies (1216).</t>
  </si>
  <si>
    <t>Provide evidence that alerting has been configured for the detection of malicious code (1218).</t>
  </si>
  <si>
    <t>Provide evidence that alerting has been configured for the unauthorized export of information (1218).</t>
  </si>
  <si>
    <t>Provide evidence that alerting has been configured for signaling to an external system/device (1218).</t>
  </si>
  <si>
    <t>Provide evidence that alerting has been configured for potential intrusions (1218).</t>
  </si>
  <si>
    <t>Provide evidence that file integrity monitoring has been configured for critical configuration, content, system files (1220).</t>
  </si>
  <si>
    <t>Provide evidence that file integrity monitoring has been configured to perform weekly comparisons (1220).</t>
  </si>
  <si>
    <t>Provide evidence that a centralized tool for logging and monitoring has been implemented that allows for the ability to configure logging and monitoring rules (1222).</t>
  </si>
  <si>
    <t>Provide evidence that log reviews are correlated with inputs from non-technical sources (1222).</t>
  </si>
  <si>
    <t>Provide evidence that separation of duties have been implemented to prevent unauthorized/unintentional modifications of assets (1229).</t>
  </si>
  <si>
    <t>09.c</t>
  </si>
  <si>
    <t>Provide evidence that separation of duties have been implemented to prevent the ability of a single person to authorize and implement changes to the information system (1230, 1277).</t>
  </si>
  <si>
    <t>Provide evidence that alerting has been configured for access account creation, modification, &amp; deletion (1244)</t>
  </si>
  <si>
    <t>Provide evidence that network administrators are not allowed to configure the Intrusion Detection/Prevention System (1271).</t>
  </si>
  <si>
    <t>09.ad</t>
  </si>
  <si>
    <t>Provide evidence that separation of duties have been implemented to keep security audit activities independent of security implementation activities (1276).</t>
  </si>
  <si>
    <t>Provide evidence that roles and responsibilities that require separation of duties have been identified and access requirements defined(1278).</t>
  </si>
  <si>
    <t>Provide evidence that support for critical functions and/or systems is divided among separate workforce members/teams (1279).</t>
  </si>
  <si>
    <t>Provide evidence that workforce members are trained on the organization's Crisis Management Program (1311).</t>
  </si>
  <si>
    <t>12.c</t>
  </si>
  <si>
    <t>Provide evidence that information security training material includes not discussing or leaving critical information on printing systems (1325).</t>
  </si>
  <si>
    <t>Provide evidence that information security training material includes not revealing covered information through being overheard or intercepted when making a phone call (1325)</t>
  </si>
  <si>
    <t>Provide evidence that information security training material includes not leaving messages containing sensitive information on answering machines (1325).</t>
  </si>
  <si>
    <t>Provide evidence that information security training material includes information exchange risks associated with printers, facsimile, and copy machines (1325).</t>
  </si>
  <si>
    <t>Provide evidence that agreements/contracts with third parties includes the confidential nature and value of the covered information (1407).</t>
  </si>
  <si>
    <t>05.k</t>
  </si>
  <si>
    <t>Provide evidence that agreements/contracts with third parties includes the security measures to be implemented and/or complied with (1407).</t>
  </si>
  <si>
    <t>Provide evidence that agreements/contracts with third parties includes the limitations of access to services by third-parties (1407).</t>
  </si>
  <si>
    <t>Provide evidence that agreements/contracts with third parties includes the service levels to be achieved in the services provided (1407).</t>
  </si>
  <si>
    <t>Provide evidence that agreements/contracts with third parties includes the format and frequency of reporting to the organization’s Information Security Management Forum (1407).</t>
  </si>
  <si>
    <t>Provide evidence that agreements/contracts with third parties includes the arrangement for representation of the third-party in appropriate organization meetings and working groups (1407).</t>
  </si>
  <si>
    <t>Provide evidence that agreements/contracts with third parties includes the arrangements for compliance auditing of the third-parties (1407).</t>
  </si>
  <si>
    <t>Provide evidence that agreements/contracts with third parties includes the penalties exacted in the event of any failure in respect of the agreement (1407).</t>
  </si>
  <si>
    <t>Provide evidence that agreements/contracts with third parties includes the requirement to notify a specified person or office of any personnel transfers or terminations of third-party personnel working at organizational facilities with organizational credentials, badges, or information system privileges within one business day (1407).</t>
  </si>
  <si>
    <t>Provide evidence that prior to providing logical and/or physical access to in-scope systems, by an external party, the following risk is considered: the information asset(s) an external party is required to access (1418).</t>
  </si>
  <si>
    <t>05.i</t>
  </si>
  <si>
    <t>Provide evidence that prior to providing logical and/or physical access to in-scope systems, by an external party, the following risk is considered: the type of access the external party will have to the information and information asset(s) (1418).</t>
  </si>
  <si>
    <t>Provide evidence that prior to providing logical and/or physical access to in-scope systems, by an external party, the following risk is considered: the value and sensitivity of the information involved (1418).</t>
  </si>
  <si>
    <t>Provide evidence that prior to providing logical and/or physical access to in-scope systems, by an external party, the following risk is considered: the controls necessary to protect information that is not intended to be accessible by external parties (1418).</t>
  </si>
  <si>
    <t>Provide evidence that prior to providing logical and/or physical access to in-scope systems, by an external party, the following risk is considered: the external party personnel involved in handling the organization’s information (1418).</t>
  </si>
  <si>
    <t>Provide evidence that prior to providing logical and/or physical access to in-scope systems, by an external party, the following risk is considered: how the organization or personnel authorized to have access can be identified, the authorization verified, and how often this needs to be reconfirmed (1418).</t>
  </si>
  <si>
    <t>Provide evidence that prior to providing logical and/or physical access to in-scope systems, by an external party, the following risk is considered: the different means and controls employed by the external party when storing, processing, communicating, sharing, and exchanging information (1418).</t>
  </si>
  <si>
    <t>Provide evidence that prior to providing logical and/or physical access to in-scope systems, by an external party, the following risk is considered: the impact of access not being available to the external party when required (1418).</t>
  </si>
  <si>
    <t>Provide evidence that prior to providing logical and/or physical access to in-scope systems, by an external party, the following risk is considered: practices and procedures to deal with information security incidents and potential damages, and the terms and conditions for the continuation of external party access in the case of an information security incident (1418).</t>
  </si>
  <si>
    <t>Provide evidence that prior to providing logical and/or physical access to in-scope systems, by an external party, the following risk is considered: legal and regulatory requirements and other contractual obligations relevant to the external party (1418).</t>
  </si>
  <si>
    <t>Provide evidence that prior to providing logical and/or physical access to in-scope systems, by an external party, the following risk is considered: how the interests of any other stakeholders may be affected by the arrangements (1418).</t>
  </si>
  <si>
    <t>Provide evidence that the terms and conditions for customer access includes the following: procedures for protecting assets prior to access (1421, 1423).</t>
  </si>
  <si>
    <t>Provide evidence that the terms and conditions for customer access includes the following: procedures to detect if assets have been compromised (1421, 1423).</t>
  </si>
  <si>
    <t>Provide evidence that the terms and conditions for customer access includes the following: procedures to authorize user access and privileges (1421, 1423).</t>
  </si>
  <si>
    <t>Provide evidence that the terms and conditions for customer access includes the following: procedures for revoking/interrupting access connections (1421, 1423).</t>
  </si>
  <si>
    <t>Provide evidence that the terms and conditions for customer access includes the following: procedures for reporting information inaccuracies and/or incidents (1421, 1423).</t>
  </si>
  <si>
    <t>Provide evidence that the terms and conditions for customer access includes the following: procedures for notifying proper entities about information inaccuracies and/or incidents (1421, 1423).</t>
  </si>
  <si>
    <t>Provide evidence that the terms and conditions for customer access includes the following: procedures for investigating information inaccuracies and/or incidents (1421, 1423).</t>
  </si>
  <si>
    <t>Provide evidence that the terms and conditions for customer access includes the following: integrity requirements (1421).</t>
  </si>
  <si>
    <t>Provide evidence that the terms and conditions for customer access includes the following: restrictions on copying/disclosing information (1421).</t>
  </si>
  <si>
    <t>Provide evidence that the terms and conditions for customer access includes the following: permitted access methods and protection of unique identifiers (1421).</t>
  </si>
  <si>
    <t>Provide evidence that the terms and conditions for customer access includes the following: that all access that is not explicitly authorized is forbidden (1421).</t>
  </si>
  <si>
    <t>Provide evidence that the terms and conditions for customer access includes the following: description of each service provided (1421).</t>
  </si>
  <si>
    <t>Provide evidence that the terms and conditions for customer access includes the following: target and unacceptable levels of services (1421).</t>
  </si>
  <si>
    <t>Provide evidence that the terms and conditions for customer access includes the following: reasons, requirements, and/or benefits for access (1421).</t>
  </si>
  <si>
    <t>Provide evidence that the terms and conditions for customer access includes the following: legal responsibilities (1421).</t>
  </si>
  <si>
    <t>Provide evidence that the terms and conditions for customer access includes the following: intellectual property rights and copyright assignments (1421).</t>
  </si>
  <si>
    <t>Provide evidence that customers are provided access to the organization's Privacy Program (1423).</t>
  </si>
  <si>
    <t>Provide evidence that internal and/or external customers are required to authenticate to in-scope information systems (1424).</t>
  </si>
  <si>
    <t>Provide evidence that due diligence is performed annually on all in-scope service providers to ensure reasonable information security exists (1450).</t>
  </si>
  <si>
    <t>Provide evidence that the organization has implemented mechanisms to allow its workforce to anonymously report security issues (1508).</t>
  </si>
  <si>
    <t>Provide evidence that intrusion detection/prevention alerts are used to report information security events (1512, 15.11aNIST80053).</t>
  </si>
  <si>
    <t>Provide evidence that all information security incidents are logged and reported annually to appropriate parties (1519).</t>
  </si>
  <si>
    <t>11.c</t>
  </si>
  <si>
    <t>Provide evidence that the Incident Response Program has been reviewed, updated, and approved within the past 365 days (1520).</t>
  </si>
  <si>
    <t>Provide evidence that the Incident Response Program has been communicated/published to the organization's workforce members (1520).</t>
  </si>
  <si>
    <t>Provide evidence that an incident response test has been conducted within the past 365 days (1521).</t>
  </si>
  <si>
    <t>Provide evidence that the results of the incident response test have been formally documented including workforce members involved in the test and any identified lessons learned (1521).</t>
  </si>
  <si>
    <t>Provide evidence that automated tools have been implemented to help increase the availability of the Incident Response Program (1548).</t>
  </si>
  <si>
    <t>Provide evidence that Incident Response Plan has been updated within the past 365 days (1587).</t>
  </si>
  <si>
    <t>Provide evidence that emergency power has been implemented for all in-scope facilities and/or secure areas (1605).</t>
  </si>
  <si>
    <t>Provide evidence that failover/backup telecommunication has been implemented for all in-scope facilities and/or secure areas (1605).</t>
  </si>
  <si>
    <t>Provide evidence that the development of the Contingency Plan is integrated with contingency requirements from other, related plans (16100).</t>
  </si>
  <si>
    <t>Provide evidence that tools have been implemented to track and alert on the success/failure of all backups (1621, 1627).</t>
  </si>
  <si>
    <t>R-1284</t>
  </si>
  <si>
    <t>Provide evidence that an inventory of all backup jobs/media is maintained (1622).</t>
  </si>
  <si>
    <t>Provide evidence that risks to accessibility of backup information is documented and mitigated (1622).</t>
  </si>
  <si>
    <t>Provide evidence that backups of covered/confidential information is encrypted (1623).</t>
  </si>
  <si>
    <t>Provide evidence that incremental/differential backups are configured to run daily (1624).</t>
  </si>
  <si>
    <t>Provide evidence that full backups are configured to run weekly (1624).</t>
  </si>
  <si>
    <t>Provide evidence that three generations (full, plus all related incremental/differential backups) of backups are stored at remote locations (1625).</t>
  </si>
  <si>
    <t>Provide evidence that the inventory of all backup jobs/media includes name, date, time, and action of backups (1625).</t>
  </si>
  <si>
    <t>Provide evidence that the organization has performed a manual integrity check of backups within the past 365 days (1627).</t>
  </si>
  <si>
    <t>Provide evidence that a Business Continuity/Disaster Recovery Risk Assessment has been performed within the past 365 days (1638).</t>
  </si>
  <si>
    <t>Provide evidence that the Business Continuity/Disaster Recovery Risk Assessment considers all business processes (1638).</t>
  </si>
  <si>
    <t>Provide evidence that the Business Continuity/Disaster Recovery Risk Assessment is carried out with involvement from business process/resource owners (1638).</t>
  </si>
  <si>
    <t>Provide evidence that the Business Continuity/Disaster Recovery Risk Assessment identifies, quantifies, and prioritizes risks against key business objectives and criteria (1638).</t>
  </si>
  <si>
    <t>Provide evidence that the Business Continuity/Disaster Recovery Risk Assessment includes risks to critical resources (1638).</t>
  </si>
  <si>
    <t>Provide evidence that the Business Continuity/Disaster Recovery Risk Assessment includes impacts of disruptions (1638).</t>
  </si>
  <si>
    <t>Provide evidence that the Business Continuity/Disaster Recovery Risk Assessment includes allowable outage times (1638).</t>
  </si>
  <si>
    <t>Provide evidence that the Business Continuity/Disaster Recovery Risk Assessment includes recovery priorities (1638).</t>
  </si>
  <si>
    <t>Provide evidence that accessibility problems to alternate facilities and/or secure areas have been identified and mitigated (1647).</t>
  </si>
  <si>
    <t>Provide evidence that the risk assessment evaluated the types of accounts offered by the organization (1705).</t>
  </si>
  <si>
    <t>Provide evidence that the risk assessment evaluated the system access methods (1705).</t>
  </si>
  <si>
    <t>Provide evidence that the risk assessment evaluated the system architecture (1705).</t>
  </si>
  <si>
    <t>Provide evidence that the risk assessment evaluated recent security incidents (1705).</t>
  </si>
  <si>
    <t>Provide evidence that a comprehensive risk assessment was conducted/updated within the past 24 months/after a significant change to the in-scope environment (1705).</t>
  </si>
  <si>
    <t>Provide evidence that a subset of controls in the comprehensive risk assessment was updated within the past 365 days (1705).</t>
  </si>
  <si>
    <t>If contracted with a new in-scope service provider, provide evidence that a risk/security assessment was performed prior to signing agreement/contract (17120).</t>
  </si>
  <si>
    <t>Provide evidence that a comprehensive risk assessment was conducted/updated within the past 36 months/after a significant change to the in-scope environment/prior to a new formal authorization to operate (1736).</t>
  </si>
  <si>
    <t>03.d</t>
  </si>
  <si>
    <t>Provide evidence that the risk assessment considers the business impact/value of the in-scope information system components (1782).</t>
  </si>
  <si>
    <t>Provide evidence that the risk assessment considers the potential damages to the business in the event of security failures/absences (1782).</t>
  </si>
  <si>
    <t>Provide evidence that security and privacy objectives are outlined during the planning phase of project management (1787).</t>
  </si>
  <si>
    <t>Provide evidence that a project risk assessment was conducted during project management to identify any new risks to in-scope systems (1787).</t>
  </si>
  <si>
    <t>Provide evidence that the organization has identified information systems' availability requirements (1790)</t>
  </si>
  <si>
    <t>Provide evidence that redundancies have been implemented and tested to meet availability requirements of information systems (1790).</t>
  </si>
  <si>
    <t>Provide evidence that visitor logs include the organization represented by the visitor (1804, 18.08bNIST80053).</t>
  </si>
  <si>
    <t>Provide evidence that visitor logs are retained for a minimum of 2 years (1804, 18.08bNIST80053).</t>
  </si>
  <si>
    <t>Provide evidence that physical access logs include the date, time, and access for each access attempt (1806).</t>
  </si>
  <si>
    <t>Provide evidence that physical access logs are restricted to appropriate workforce members (1806).</t>
  </si>
  <si>
    <t>R-1298</t>
  </si>
  <si>
    <t>Provide evidence that physical security training includes notifying security workforce members if unescorted visitors are identified (1807).</t>
  </si>
  <si>
    <t>Provide evidence that physical security training includes notifying security workforce members if a person not wearing visible identification is spotted (1807).</t>
  </si>
  <si>
    <t>Provide evidence that physical access rights have been reviewed within the past 90 days and access was revoked/updated as required (1808).</t>
  </si>
  <si>
    <t>Provide evidence that an inventory of physical access devices has been reconciled within the past 90 days (1810).</t>
  </si>
  <si>
    <t>Provide evidence that physical security alarms are tested regularly and that a standard operating procedure is in place to test alarms (18145, 18.08bNIST80053).</t>
  </si>
  <si>
    <t>Provide evidence that physical security alarm alerts/logs are reviewed in real-time/every 30 days (18146, 18.08bNIST80053).</t>
  </si>
  <si>
    <t>Provide evidence that the risk assessment considers potential risks from neighboring areas/premises (1816).</t>
  </si>
  <si>
    <t>Provide evidence that the fire detection and suppression system is supported by an energy source independent of the facility/secure area (1818).</t>
  </si>
  <si>
    <t>Provide evidence that media is disposed of in accordance with the organization's disposal process to avoid the aggregation effect (1827).</t>
  </si>
  <si>
    <t>Provide evidence that the fire detection and suppression system automatically alerts/notifies the fire authorities when activated (1862).</t>
  </si>
  <si>
    <t>Provide evidence that the public has access to information about the organization's privacy activities (19134, 19.13b2).</t>
  </si>
  <si>
    <t>Provide evidence that the public has the ability to communicate with the organization's senior privacy official (19134, 19.13b2).</t>
  </si>
  <si>
    <t>If the organization controls system components that are not commonly affected by malicious code and does not have endpoint protection installed, provide evidence that the organization has performed periodic assessments to identify if the components have come under attack by new threats (0216).</t>
  </si>
  <si>
    <t>If the organization allows/requires information systems to execute mobile code, provide evidence that a logically isolated environment has been established for executing mobile code (0227).</t>
  </si>
  <si>
    <t>09.k</t>
  </si>
  <si>
    <t>If the organization allows/requires information systems to execute mobile code, provide evidence that technical measures have been enabled on specific systems intended for executing mobile code (0227).</t>
  </si>
  <si>
    <t>If the organization allows/requires information systems to execute mobile code, provide evidence that the organization controls resources with access to mobile code (0227).</t>
  </si>
  <si>
    <t>If the organization does not allows/requires information systems to execute mobile code, provide evidence that the organization has prevented/restricted the execution of mobile code through technical means (0227).</t>
  </si>
  <si>
    <t>Provide evidence that the Information Security Management Program has a defined owner (0115).</t>
  </si>
  <si>
    <t>04.b</t>
  </si>
  <si>
    <t>Provide evidence that the review of the Information Security Management Program included feedback from interested parties (0115).</t>
  </si>
  <si>
    <t>Provide evidence that the review of the Information Security Management Program included results of independent reviews (0115).</t>
  </si>
  <si>
    <t>Provide evidence that the review of the Information Security Management Program included status of preventive and corrective actions (0115).</t>
  </si>
  <si>
    <t>Provide evidence that the review of the Information Security Management Program included results of previous management reviews (0115).</t>
  </si>
  <si>
    <t>Provide evidence that the review of the Information Security Management Program included process performance and information security policy compliance (0115).</t>
  </si>
  <si>
    <t>Provide evidence that the review of the Information Security Management Program included changes that could affect the organization’s approach to managing information security (0115).</t>
  </si>
  <si>
    <t>Provide evidence that the review of the Information Security Management Program included trends related to threats and vulnerabilities (0115).</t>
  </si>
  <si>
    <t>Provide evidence that the review of the Information Security Management Program included reported information security incidents (0115).</t>
  </si>
  <si>
    <t>Provide evidence that the review of the Information Security Management Program included recommendations provided by relevant authorities (0115, 0116).</t>
  </si>
  <si>
    <t>Provide evidence that development/test environments are logically and/or physically separated from operational/production environments (0228).</t>
  </si>
  <si>
    <t>If development/test environments are logically separated from operational/production environments, provide evidence that VLAN ACLs and subnetting has been implemented (0228).</t>
  </si>
  <si>
    <t>If development/test environments are physically separated from operational/production environments, provide evidence that firewall ACLs and subnetting has been implemented (0228).</t>
  </si>
  <si>
    <t>Provide evidence that a fully executed agreement is maintained for all third party software development providers (0640).</t>
  </si>
  <si>
    <t>Provide evidence that the agreement between the organization and the third party software developer includes security flaws and resolution tracking and reporting (0640).</t>
  </si>
  <si>
    <t>Provide evidence that information security training material includes the use of assets and facilities (1301).</t>
  </si>
  <si>
    <t>Provide evidence that information security training material includes the HITRUST CSF objectives (1301).</t>
  </si>
  <si>
    <t>Provide evidence that the Workforce Improvement Program has been reviewed within the past 365 days (1314).</t>
  </si>
  <si>
    <t>Provide evidence that the review of the Workforce Improvement Program included the evaluation of the effectiveness of security and privacy education (1314).</t>
  </si>
  <si>
    <t>If risks were identified during the review of the Workforce Improvement Program, provide evidence that the program was updated to mitigate the risks (1314).</t>
  </si>
  <si>
    <t>Provide evidence that outsourced software development is supervised/monitored (1417).</t>
  </si>
  <si>
    <t>10.l</t>
  </si>
  <si>
    <t>Provide evidence that information security disciplinary/sanction reports include: personnel involved in the disciplinary process (1501).</t>
  </si>
  <si>
    <t>Provide evidence that information security disciplinary/sanction reports include: the steps taken (1501).</t>
  </si>
  <si>
    <t>Provide evidence that information security disciplinary/sanction reports include: timeline associated with the steps taken (1501).</t>
  </si>
  <si>
    <t>Provide evidence that information security disciplinary/sanction reports include: the steps taken for notification (1501).</t>
  </si>
  <si>
    <t>Provide evidence that information security disciplinary/sanction reports include: the rationale for the discipline (1501).</t>
  </si>
  <si>
    <t>Provide evidence that information security disciplinary/sanction reports include: whether the discipline was due to a compliance failure (1501).</t>
  </si>
  <si>
    <t>Provide evidence that information security disciplinary/sanction reports include: the final outcome (1501).</t>
  </si>
  <si>
    <t>Provide evidence that the development/test environment's design and implementation considered the sensitivity of data to be processed, stored and transmitted by the system (1788).</t>
  </si>
  <si>
    <t>Provide evidence that the development/test environment's design and implementation considered the applicable external and internal requirements (1788).</t>
  </si>
  <si>
    <t>Provide evidence that the development/test environment's design and implementation considered the security controls already implemented by the organization that support system development (1788).</t>
  </si>
  <si>
    <t>Provide evidence that the development/test environment's design and implementation considered the trustworthiness of personnel working in the environment (1788).</t>
  </si>
  <si>
    <t>Provide evidence that the development/test environment's design and implementation considered the degree of outsourcing associated with system development (1788).</t>
  </si>
  <si>
    <t>Provide evidence that the development/test environment's design and implementation considered the need for segregation between different development environments (1788).</t>
  </si>
  <si>
    <t>Provide evidence that the development/test environment's design and implementation considered the control of access to the development environment (1788).</t>
  </si>
  <si>
    <t>Provide evidence that the development/test environment's design and implementation considered the monitoring of change to the environment and code stored therein (1788).</t>
  </si>
  <si>
    <t>Provide evidence that the development/test environment's design and implementation considered backup storage  (1788).</t>
  </si>
  <si>
    <t>Provide evidence that the development/test environment's design and implementation considered the control over movement of data from – and to – the environment (1788).</t>
  </si>
  <si>
    <t>Provide evidence that software/system acquisition/development changes include implementing layered protections</t>
  </si>
  <si>
    <t>Provide evidence that software/system acquisition/development changes include establishing sound security policy, architecture, and controls as the foundation for design</t>
  </si>
  <si>
    <t>Provide evidence that software/system acquisition/development changes include delineating physical and logical security boundaries</t>
  </si>
  <si>
    <t>Provide evidence that software/system acquisition/development changes include training system developers on how to build secure software</t>
  </si>
  <si>
    <t>Provide evidence that software/system acquisition/development changes include tailoring security controls to meet organizational and operational needs</t>
  </si>
  <si>
    <t>Provide evidence that software/system acquisition/development changes include performing threat modeling to identify use cases, threat agents, attack vectors, and attack patterns, as well as compensating controls and design patterns needed to mitigate risk</t>
  </si>
  <si>
    <t>Provide evidence that software/system acquisition/development changes include reducing risk to acceptable levels, thus enabling informed risk management decisions</t>
  </si>
  <si>
    <t>Provide evidence that the Software/System Development Lifecycle Program defines process for request initiation (1792).</t>
  </si>
  <si>
    <t>Provide evidence that the Software/System Development Lifecycle Program defines process for requirements definition (1792).</t>
  </si>
  <si>
    <t>Provide evidence that the Software/System Development Lifecycle Program defines process for analysis (1792).</t>
  </si>
  <si>
    <t>Provide evidence that the Software/System Development Lifecycle Program defines process for communication (1792).</t>
  </si>
  <si>
    <t>Provide evidence that the Software/System Development Lifecycle Program defines process for conflict detection and resolution (1792).</t>
  </si>
  <si>
    <t>Provide evidence that the Software/System Development Lifecycle Program defines process for evolution of requirements (1792).</t>
  </si>
  <si>
    <t>Provide evidence that the Software/System Development Lifecycle Program defines roles and responsibilities associated with software/system development (1792).</t>
  </si>
  <si>
    <t>Provide evidence that the Software/System Development Lifecycle Program is integrated with risk management process (1792).</t>
  </si>
  <si>
    <t>Provide evidence that the review of the Information Security Management Program included a review of changes to operations, IT infrastructure, and/or the external environment (0116).</t>
  </si>
  <si>
    <t>Provide evidence that the review of the Information Security Management Program included a review of latest controls, compliance and assurance requirements of national bodies, legislation or regulation (0116).</t>
  </si>
  <si>
    <t>Provide evidence that the review of the Information Security Management Program included a review of results of legal cases (0116).</t>
  </si>
  <si>
    <t>Provide evidence that the review of the Information Security Management Program included a review of policy-related challenges and issues (0116).</t>
  </si>
  <si>
    <t>Provide evidence that security controls have been implemented to detect and prevent vulnerabilities associated with data leakage (0818).</t>
  </si>
  <si>
    <t>01.w</t>
  </si>
  <si>
    <t>Provide evidence that system processes are executed in separate domains/memory blocks (0853).</t>
  </si>
  <si>
    <t>Provide evidence that development, testing, quality assurance, and implementation tasks are separated between workforce members/teams so that a single individual cannot perform all tasks (1233).</t>
  </si>
  <si>
    <t>Provide evidence that developers of information systems, system components, or information system services are required to produce specific control design and implementation information (e.g., an acceptable design specification and security architecture) (17101).</t>
  </si>
  <si>
    <t>Provide evidence that information is not transmitted to external systems until appropriate security safeguards have been implemented by the external system's owner (11192).</t>
  </si>
  <si>
    <t>Provide evidence that the organization has validated the external system's security controls before transmitting information (11192).</t>
  </si>
  <si>
    <t>Provide evidence that a Privacy Program report has been developed, reviewed/updated, and disseminated on a regular basis (19560).</t>
  </si>
  <si>
    <t>13.u</t>
  </si>
  <si>
    <t>Provide evidence that the Privacy Program report demonstrates the organization's accountability with statutory and regulatory privacy program mandates (19560).</t>
  </si>
  <si>
    <t>Provide evidence that the Privacy Program report is presented to oversight bodies (as required), privacy officials (external/internal), and other personnel with privacy responsibilities (19560).</t>
  </si>
  <si>
    <t>If covered/confidential information is used in the development/test environment, provide evidence that the information has been de-identified/modified (19204).</t>
  </si>
  <si>
    <t>10.i</t>
  </si>
  <si>
    <t>R-1766</t>
  </si>
  <si>
    <t>R-2314</t>
  </si>
  <si>
    <t>Provide evidence that network scans are configured to identify unauthorized network components (0724, 07.09m3).</t>
  </si>
  <si>
    <t>Provide evidence that network scans are configured to run on a weekly cadence (0724, 07.09m3).</t>
  </si>
  <si>
    <t>Provide the organization's Artificial Intelligence Program documentation (e.g., policies, procedures, plans, etc.) (01.03aI, 17.03aI).</t>
  </si>
  <si>
    <t>Provide the organization's Risk Management Program documentation (e.g., policies, procedures, plans, etc.) (01.03aI, 17.03aI).</t>
  </si>
  <si>
    <t>Provide evidence that the Artificial Intelligence System's project-level processes are in alignment with the organization's objective (01.03aISO23894Organizational.25).</t>
  </si>
  <si>
    <t>Provide evidence that the organization issues statements to stakeholders regarding risk management of the Artificial Intelligence System (17.03aISO23894Organizational.20).</t>
  </si>
  <si>
    <t>Provide evidence that the organization appropriately allocates specialized resources to manage additional risks associated with Artificial Intelligence System (17.03aISO23894Organizational.21).</t>
  </si>
  <si>
    <t>Provide evidence that the organization has documented an Artificial Intelligence Program (e.g., policies, procedures, plans, etc.) (17.03aISO23894Organizational.23).</t>
  </si>
  <si>
    <t>Provide evidence that the organization has communicated/disseminated the Artificial Intelligence Program (e.g., policies, procedures, plans, etc.) to the appropriate stakeholders (17.03aISO23894Organizational.23).</t>
  </si>
  <si>
    <t>Provide evidence that the organization has defined authorities for the Artificial Intelligence System (17.03aISO23894Organizational.16).</t>
  </si>
  <si>
    <t>Provide evidence that the organization has defined responsibilities for the Artificial Intelligence System (17.03aISO23894Organizational.16).</t>
  </si>
  <si>
    <t>Provide evidence that the organization had defined accountabilities for the Artificial Intelligence System (17.03aISO23894Organizational.16).</t>
  </si>
  <si>
    <t>Provide evidence that the organization has communicated/disseminated authorities, responsibilities, and accountabilities for the Artificial Intelligence System to its workforce (17.03aISO23894Organizational.16).</t>
  </si>
  <si>
    <t>Provide evidence that the risk assessment includes the following considerations: system life cycle for development and/or use of Artificial Intelligence Systems (17.03bISO23894Organizational.12).</t>
  </si>
  <si>
    <t>Provide evidence that the risk assessment includes the following considerations: risk consequences to the organization itself, to individuals, communities, groups, and/or societies (17.03bISO23894Organizational.13).</t>
  </si>
  <si>
    <t>Provide evidence that the risk assessment includes the following considerations: differences between the groups who experience the benefits of Artificial Intelligence Systems and the groups who experience negative consequences (17.03bISO23894Organizational.13).</t>
  </si>
  <si>
    <t>Provide evidence that the risk assessment includes the following considerations: Artificial Intelligence risk sources related to the organization (17.03bISO23894Organizational.14).</t>
  </si>
  <si>
    <t>Provide evidence that the risk assessment includes the following considerations: Artificial Intelligence risk sources related to processes and procedures (17.03bISO23894Organizational.14).</t>
  </si>
  <si>
    <t>Provide evidence that the risk assessment includes the following considerations: Artificial Intelligence risk sources related to management routines (17.03bISO23894Organizational.14).</t>
  </si>
  <si>
    <t>Provide evidence that the risk assessment includes the following considerations: Artificial Intelligence risk sources related to personnel (17.03bISO23894Organizational.14).</t>
  </si>
  <si>
    <t>Provide evidence that the risk assessment includes the following considerations: Artificial Intelligence risk sources related to the physical environment (17.03bISO23894Organizational.14).</t>
  </si>
  <si>
    <t>Provide evidence that the risk assessment includes the following considerations: Artificial Intelligence risk sources related to data (17.03bISO23894Organizational.14).</t>
  </si>
  <si>
    <t>Provide evidence that the risk assessment includes the following considerations: Artificial Intelligence risk sources related to the system's configuration (17.03bISO23894Organizational.14).</t>
  </si>
  <si>
    <t>Provide evidence that the risk assessment includes the following considerations: Artificial Intelligence risk sources related to the deployment environment (17.03bISO23894Organizational.14).</t>
  </si>
  <si>
    <t>Provide evidence that the risk assessment includes the following considerations: Artificial Intelligence risk sources related to hardware, software, network resources and services (17.03bISO23894Organizational.14).</t>
  </si>
  <si>
    <t>Provide evidence that the risk assessment includes the following considerations: Artificial Intelligence risk sources related to dependences on external parties (17.03bISO23894Organizational.14).</t>
  </si>
  <si>
    <t>Provide evidence that the risk assessment includes the following considerations: key controls relevant to the development and/or use of Artificial Intelligence Systems (17.03cISO23894Organizational.2).</t>
  </si>
  <si>
    <t>Provide evidence that the risk assessment identifies, assesses/understands, and mitigates potential Artificial Intelligence risks (17.03cISO23894Organizational.3, 17.03dISO23894Organizational.1).</t>
  </si>
  <si>
    <t>Provide evidence that the organization's inventory includes: data associated with the Artificial Intelligence System (07.07aISO23894Organizational.2).</t>
  </si>
  <si>
    <t>Provide evidence that the organization's inventory includes: the models associated with the Artificial Intelligence System (07.07aISO23894Organizational.2).</t>
  </si>
  <si>
    <t>Provide evidence that the organization's inventory includes: the Artificial Intelligence System (07.07aISO23894Organizational.2).</t>
  </si>
  <si>
    <t>Provide evidence that the organization's inventory includes: assets associated with the Artificial Intelligence System (17.03bISO23894Organizational.10).</t>
  </si>
  <si>
    <t>Provide evidence that the organization's inventory includes: the value and nature of the assets associated with the Artificial Intelligence System (17.03bISO23894Organizational.10).</t>
  </si>
  <si>
    <t>Provide evidence that the organization has define, documented, and implemented a Risk Management Program (17.03aISO31000Organizational.4).</t>
  </si>
  <si>
    <t>Provide evidence that the Risk Management Program is based on an industry recognized framework and has been customized to fit the organization (17.03aISO31000Organizational.4).</t>
  </si>
  <si>
    <t>Provide evidence that the industry recognized framework the Risk Management Program is based on has been reviewed for suitability, adequacy, and effectiveness within the past 365 days (17.03aISO31000Organizational.11).</t>
  </si>
  <si>
    <t>Provide evidence that any improvements and/or gaps identified from the review of the industry recognized framework have been implemented and/or mitigated (17.03aISO31000Organizational.11).</t>
  </si>
  <si>
    <t>Provide evidence that the organization has communicated/consulted with its stakeholders regarding the Risk Management Program (17.03aISO31000Organizational.14).</t>
  </si>
  <si>
    <t>Provide evidence that the organization has implemented any improvements identified by communicating/consulting with its stakeholders regarding the Risk Management Program (17.03aISO31000Organizational.14).</t>
  </si>
  <si>
    <t>Provide evidence that the Risk Management Program includes a revision table (17.03aISO31000Organizational.17).</t>
  </si>
  <si>
    <t>Provide evidence that the Risk Management Program has been communicated/disseminated to the organization's workforce (17.03aISO31000Organizational.17).</t>
  </si>
  <si>
    <t>Provide evidence that the Risk Management Program has been reviewed and updated within the past 365 days (17.03aISO31000Organizational.4).</t>
  </si>
  <si>
    <t>Provide evidence that any non-compliances for the Risk Management Program are mitigated/remediated within 365 days of being identified (17.03aISO31000Organizational.4).</t>
  </si>
  <si>
    <t>Provide evidence that the organization monitors for external and internal changes related to risk management (17.03aISO31000Organizational.8).</t>
  </si>
  <si>
    <t>Provide evidence that the Risk Management Program is maintained and/or updated based on any identified external and/or internal changes related to risk management (17.03aISO31000Organizational.8).</t>
  </si>
  <si>
    <t>Provide evidence that the organization has define, documented, and implemented a Risk Management Plan (17.03aISO31000Organizational.10).</t>
  </si>
  <si>
    <t>Provide evidence that the Risk Management Plan defines jobs with risk management authority, responsibility, and/or accountability (17.03aISO31000Organizational.13).</t>
  </si>
  <si>
    <t>Provide evidence that the organization has communicated the Risk Management Plan assignments across its workforce (17.03aISO31000Organizational.13).</t>
  </si>
  <si>
    <t>Provide evidence that the organization has reviewed and updated the Risk Management Plan within the past 365 days (17.03aISO31000Organizational.16).</t>
  </si>
  <si>
    <t>Provide evidence that the Risk Management Plan defines considerations for human behavior and culture (17.03aISO31000Organizational.6).</t>
  </si>
  <si>
    <t>Provide evidence that the Risk Management Plan defines external and internal considerations outlined in the Risk Management Program (17.03aISO31000Organizational.7).</t>
  </si>
  <si>
    <t>Provide evidence that the Risk Management Plan defines potential events that are related to the development or use of Artificial Intelligence which could result in tangible or intangible consequences (17.03bISO23894Organizational.11).</t>
  </si>
  <si>
    <t>Provide evidence that the Risk Management Plan defines risk management resource allocations (17.03aISO31000Organizational.9).</t>
  </si>
  <si>
    <t>Provide evidence that resource allocations for risk management includes: people, skills, experience, and competence (17.03aISO31000Organizational.9).</t>
  </si>
  <si>
    <t>Provide evidence that resource allocations for risk management includes: the organization’s processes, methods, and tools to be used for managing risk (17.03aISO31000Organizational.9).</t>
  </si>
  <si>
    <t>Provide evidence that resource allocations for risk management includes: documented processes and procedures (17.03aISO31000Organizational.9).</t>
  </si>
  <si>
    <t>Provide evidence that resource allocations for risk management includes: information and knowledge management systems (17.03aISO31000Organizational.9).</t>
  </si>
  <si>
    <t>Provide evidence that resource allocations for risk management includes: professional development and training needs (17.03aISO31000Organizational.9).</t>
  </si>
  <si>
    <t>Provide evidence that resource allocations for risk management includes: capabilities of, and constraints on, existing resources (17.03aISO31000Organizational.9).</t>
  </si>
  <si>
    <t>Provide evidence that risk decision-related documents (e.g., mitigation approvals, improvement approvals, change management approvals, etc.) include potential influences and limitations to risk analysis (17.03bISO31000Organizational.1).</t>
  </si>
  <si>
    <t>Provide evidence that risk decision-related documents are communicated to the organization's decision makers (17.03bISO31000Organizational.1).</t>
  </si>
  <si>
    <t>Provide evidence that the organization has performed an Artificial Intelligence System Assessment (17.03bISO23894Organizational.15, 17.03bISO23894Organizational.17)</t>
  </si>
  <si>
    <t>Provide evidence that the Artificial Intelligence System Assessment includes: a description and identification of the system that has been analyzed (17.03bISO23894Organizational.15).</t>
  </si>
  <si>
    <t>Provide evidence that the Artificial Intelligence System Assessment includes: the methodology applied (17.03bISO23894Organizational.15).</t>
  </si>
  <si>
    <t>Provide evidence that the Artificial Intelligence System Assessment includes: a description of the intended use of the Artificial Intelligence System (17.03bISO23894Organizational.15).</t>
  </si>
  <si>
    <t>Provide evidence that the Artificial Intelligence System Assessment includes: the identity of the person(s) and organization that carried out the assessment (17.03bISO23894Organizational.15).</t>
  </si>
  <si>
    <t>Provide evidence that the Artificial Intelligence System Assessment includes: the terms of reference and date of the assessment (17.03bISO23894Organizational.15).</t>
  </si>
  <si>
    <t>Provide evidence that the Artificial Intelligence System Assessment includes: the release status of the assessment (17.03bISO23894Organizational.15).</t>
  </si>
  <si>
    <t>Provide evidence that the Artificial Intelligence System Assessment includes: if and to what degree objectives have been met (17.03bISO23894Organizational.15).</t>
  </si>
  <si>
    <t>Provide evidence that the Artificial Intelligence System Assessment includes: the types of data used from individuals (17.03bISO23894Organizational.17).</t>
  </si>
  <si>
    <t>Provide evidence that the Artificial Intelligence System Assessment includes: the intended impact of the development or use of Artificial Intelligence System (17.03bISO23894Organizational.17).</t>
  </si>
  <si>
    <t>Provide evidence that the Artificial Intelligence System Assessment includes: the potential bias impact to an individual (17.03bISO23894Organizational.17).</t>
  </si>
  <si>
    <t>Provide evidence that the Artificial Intelligence System Assessment includes: the potential impact on fundamental rights that can result in material and non-material damage to an individual (17.03bISO23894Organizational.17).</t>
  </si>
  <si>
    <t>Provide evidence that the Artificial Intelligence System Assessment includes: the potential fairness impact to an individual (17.03bISO23894Organizational.17).</t>
  </si>
  <si>
    <t>Provide evidence that the Artificial Intelligence System Assessment includes: the safety of an individual (17.03bISO23894Organizational.17).</t>
  </si>
  <si>
    <t>Provide evidence that the Artificial Intelligence System Assessment includes: the protections and mitigating controls around unwanted bias and unfairness (17.03bISO23894Organizational.17).</t>
  </si>
  <si>
    <t>Provide evidence that the Artificial Intelligence System Assessment includes: the jurisdictional and cultural environment of the individual (17.03bISO23894Organizational.17).</t>
  </si>
  <si>
    <t>Provide evidence that the Artificial Intelligence System Assessment assessed the system for undetected risks (17.03bISO23894Organizational.15).</t>
  </si>
  <si>
    <t>Provide evidence that the Artificial Intelligence System Assessment assessed the system for previously assessed risks that are no longer acceptable (17.03bISO23894Organizational.15).</t>
  </si>
  <si>
    <t>Provide evidence that the any identified non-compliances/risks associated with the Artificial Intelligence System have been mitigated/remediated (17.03bISO23894Organizational.15).</t>
  </si>
  <si>
    <t>Provide evidence that the organization has conducted an Artificial Intelligence System Societal Impact Analysis (17.03bISO23894Organizational.16).</t>
  </si>
  <si>
    <t>Provide evidence that the Artificial Intelligence System Societal Impact Analysis included: the scope of societal impact, including who the system(s) are being used by or designed for (17.03bISO23894Organizational.16).</t>
  </si>
  <si>
    <t>Provide evidence that the Artificial Intelligence System Societal Impact Analysis included: how the Artificial Intelligence System(s) affects social and cultural values held by various affected groups (17.03bISO23894Organizational.16)</t>
  </si>
  <si>
    <t>Provide evidence that identified Artificial Intelligence risks have been quantitatively/qualitatively described and prioritized (17.03dISO23894Organizational.1).</t>
  </si>
  <si>
    <t>Provide a population of all Risk Management Plans associated with the in-scope environment/system (Test 218).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</si>
  <si>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Incident Response Plans associated with the in-scope environment/system (Test 219).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</si>
  <si>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Security Plans associated with the in-scope environment/system (Test 220).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</si>
  <si>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 population of all Risk Management Reporting Correspondences associated with the in-scope environment/system (Test 221).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</si>
  <si>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all evidence associated with Test 218: Information Security (risk management plan)</t>
  </si>
  <si>
    <t>Provide all evidence associated with Test 219: Information Security (incident response plan)</t>
  </si>
  <si>
    <t>Provide all evidence associated with Test 220: Information Security (security plan)</t>
  </si>
  <si>
    <t>Provide all evidence associated with Test 221: Information Security (risk management reporting)</t>
  </si>
  <si>
    <t>Provide a population of all Changes (artificial intelligence) associated with the in-scope environment/system (Test 217).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</si>
  <si>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all evidence associated with Test 222: Change (artificial intelligence).</t>
  </si>
  <si>
    <t>Provide a population of all Information Security (AI-specific non-compliance identified during compliance check) associated with the in-scope environment/system (Test 217).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</si>
  <si>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all evidence associated with Test 223: Information Security (AI-specific non-compliance identified during compliance check).</t>
  </si>
  <si>
    <t>Provide a population of all Artificial Intelligence (evaluation) associated with the in-scope environment/system (Test 217). NOTE: When providing a population, please use the following guidelines. Run a report from a tool using the following parameters: date report was generated, date ranges included in report, and source/searchable items (include screenshots of the tool used to run the report along with the outlined parameters if not apparent in report). If report is not possible, include the following information in a short writeup: where information was obtained (e.g., departments, names, etc.), and how information is maintained for accuracy.</t>
  </si>
  <si>
    <t>Provide all evidence associated with Test 224: Artificial Intelligence (evaluation).</t>
  </si>
  <si>
    <t>Provide evidence that an inventory of all in-scope assets includes all AI components (06.10jAISec, 07.07aAISec).</t>
  </si>
  <si>
    <t>Provide evidence that the organization's inventory includes: code to create, train, and/or deploy AI models (06.10jAISec, 07.07aAISec).</t>
  </si>
  <si>
    <t>Provide evidence that the organization's inventory includes: AI training datasets (06.10jAISec, 07.07aAISec).</t>
  </si>
  <si>
    <t>Provide evidence that the organization's inventory includes: AI fine-tuning datasets (06.10jAISec, 07.07aAISec).</t>
  </si>
  <si>
    <t>Provide evidence that the organization's inventory includes: AI RAG datasets (if used) (06.10jAISec, 07.07aAISec).</t>
  </si>
  <si>
    <t>Provide evidence that the organization's inventory includes: configurations of pipelines used to create, train, and/or deploy AI models (06.10jAISec).</t>
  </si>
  <si>
    <t>Provide evidence that the organization's inventory includes: AI code used by language model tools such as agents and plugins (if used) (06.10jAISec).</t>
  </si>
  <si>
    <t>Provide evidence that the organization's inventory includes: AI models (06.10jAISec, 07.07aAISec).</t>
  </si>
  <si>
    <t>Provide evidence that the organization's inventory includes: AI system owner (07.07aAISecOrganizational.3).</t>
  </si>
  <si>
    <t>Provide evidence that the organization's inventory includes: AI system sensitivity/risk categorization (07.07aAISecOrganizational.3).</t>
  </si>
  <si>
    <t>Provide evidence that the organization's inventory includes: AI dataset creation dates and sensitivity levels (07.07aAISecOrganizational.5).</t>
  </si>
  <si>
    <t>Provide evidence that an inventory of all in-scope assets and data is maintained/reviewed every 180 days (07.07aAISec).</t>
  </si>
  <si>
    <t>Provide evidence that the organization assigns human accountability for actions performed by the Artificial Intelligence System (01.02aAISec).</t>
  </si>
  <si>
    <t>Provide evidence that the organization assigns human accountability for outputs produced by the Artificial Intelligence System (01.02aAISec).</t>
  </si>
  <si>
    <t>Provide evidence that the organization assigns human accountability for decisions made by the Artificial Intelligence System (01.02aAISec).</t>
  </si>
  <si>
    <t>Provide evidence that system documentation for AI systems includes creation, operation, and lifecycle management of any models (06.10hAISecSystem.6).</t>
  </si>
  <si>
    <t>Provide evidence that system documentation for AI systems includes datasets (including data used for training, tuning, and prompt enhancement via RAG) (06.10hAISecSystem.6).</t>
  </si>
  <si>
    <t>Provide evidence that system documentation for AI systems includes configurations (e.g., meta prompts) (06.10hAISecSystem.6).</t>
  </si>
  <si>
    <t>Provide evidence that system documentation for AI systems includes language model tools and plugins (06.10hAISecSystem.6).</t>
  </si>
  <si>
    <t>Provide evidence that system documentation for AI systems includes tooling resources (e.g., AI platforms, model engineering environments) (06.10hAISecSystem.6).</t>
  </si>
  <si>
    <t>Provide evidence that system documentation for AI systems includes system and computing resources (06.10hAISecSystem.6).</t>
  </si>
  <si>
    <t>Provide evidence that system documentation for AI systems includes human resources needed for development and operation (06.10hAISecSystem.6).</t>
  </si>
  <si>
    <t>Provide evidence that the AI system is configured to filter user inputs for suspicious and/or unexpected values/patterns (07.10bAISecSystem.1).</t>
  </si>
  <si>
    <t>Provide evidence that the AI system is configured to prevent sensitive data contained within generative artificial intelligence model from being shown to end users (07.10eAISecSystem.1).</t>
  </si>
  <si>
    <t>10.e</t>
  </si>
  <si>
    <t>Provide evidence that the AI system is configured to limit adversary's ability to extract information from model (07.10mAISecOrganizational.3).</t>
  </si>
  <si>
    <t>Provide evidence that the AI system is configured to apply output encoding on textual outputs (07.10mAISecOrganizational.4).</t>
  </si>
  <si>
    <t>Provide evidence that the AI system is configured to limit/throttle total number and rate of API calls a user can make (07.10mAISecOrganizational.5).</t>
  </si>
  <si>
    <t>Provide evidence that internally developed Artificial Intelligence System model cards include model details (06.10hAISecSystem.4).</t>
  </si>
  <si>
    <t>Provide evidence that internally developed Artificial Intelligence System model cards include intended use (06.10hAISecSystem.4).</t>
  </si>
  <si>
    <t>Provide evidence that internally developed Artificial Intelligence System model cards include training details (06.10hAISecSystem.4).</t>
  </si>
  <si>
    <t>Provide evidence that internally developed Artificial Intelligence System model cards include evaluation details (06.10hAISecSystem.4).</t>
  </si>
  <si>
    <t>Provide evidence that internally developed Artificial Intelligence System model cards include usage caveats (06.10hAISecSystem.4).</t>
  </si>
  <si>
    <t>Provide evidence that the organization checks AI model training during the AI System evaluation and prior to implementation (07.10bAISecSystem.2).</t>
  </si>
  <si>
    <t>Provide evidence that the organization checks AI model tuning during the AI System evaluation and prior to implementation (07.10bAISecSystem.2).</t>
  </si>
  <si>
    <t>Provide evidence that the organization checks AI prompt enhancement via RAG (if used) during the AI System evaluation and prior to implementation (07.10bAISecSystem.2).</t>
  </si>
  <si>
    <t>Provide evidence that any identified anomalous entries for the AI System are removed prior to implementation (07.10bAISecSystem.2).</t>
  </si>
  <si>
    <t>If downloading AI models, provide evidence that the organization verifies cryptographic hashes and/or digital signatures before use (07.10mAISecOrganizational.2).</t>
  </si>
  <si>
    <t>If downloading AI software packages, provide evidence that the organization verifies cryptographic hashes and/or digital signatures before use (07.10mAISecOrganizational.2).</t>
  </si>
  <si>
    <t>If downloading AI datasets, provide evidence that the organization verifies cryptographic hashes and/or digital signatures before use (07.10mAISecOrganizational.2).</t>
  </si>
  <si>
    <t>If downloading AI language model tools, provide evidence that the organization verifies cryptographic hashes and/or digital signatures before use (07.10mAISecOrganizational.2).</t>
  </si>
  <si>
    <t>If downloading AI models, provide evidence that the organization reviews externally sourced AI model cards prior to use (14.05iAISecOrganizational.1).</t>
  </si>
  <si>
    <t>Provide evidence that the organization’s incident response test includes considerations of AI specific threats (15.11cAISecOrganizational.1).</t>
  </si>
  <si>
    <t>Provide evidence that the organization conducts an AI System evaluation against AI Systems and Datasets (17.03bAISecOrganizational.3).</t>
  </si>
  <si>
    <t>Provide evidence that the evaluation of AI Systems and Datasets is formally documented (17.03bAISecOrganizational.3).</t>
  </si>
  <si>
    <t>Provide evidence that the evaluation of AI Systems and Datasets is performed/reviewed prior to new model releases, every 180 days, when AI security incidents occur, and/or when new AI security threats have been detected (17.03bAISec, 19.06aAISec).</t>
  </si>
  <si>
    <t>Provide evidence that any security measures identified during the evaluation of AI Systems and Datasets have been implemented (17.03bAISecOrganizational.3).</t>
  </si>
  <si>
    <t>Provide evidence that the evaluation of AI Systems and Datasets includes compliance with all applicable legal, regulatory requirements, contractual obligations, self-imposed data governance requirements, and/or copyright/commercial interests (19.06aAISec).</t>
  </si>
  <si>
    <t>06.a</t>
  </si>
  <si>
    <t>Provide evidence that the evaluation of AI Systems and Datasets includes identifying any data fields/records used to train AI models that can be omitted or anonymized (19.13jAISecOrganizational.1).</t>
  </si>
  <si>
    <t>13.j</t>
  </si>
  <si>
    <t>Provide evidence that the evaluation of AI Systems and Datasets includes identifying any data fields/records used to fine-tune AI models that can be omitted or anonymized (19.13jAISecOrganizational.1).</t>
  </si>
  <si>
    <t>Provide evidence that the evaluation of AI Systems and Datasets includes identifying any data fields/records used to enhance AI prompts via RAG that can be omitted or anonymized (19.13jAISecOrganizational.1).</t>
  </si>
  <si>
    <t>Provide evidence that the AI System has been configured to allow human operators the ability to evaluate outputs before relying upon them (12.09abAISecSystem.3).</t>
  </si>
  <si>
    <t>Provide evidence that the AI System has been configured to allow human operators the ability to intervene in model-initiated actions (12.09abAISecSystem.3).</t>
  </si>
  <si>
    <t>Provide evidence that the organization limits Generative AI System access, based on least privilege principle, to data and system capabilities (11.01cAISecSystem.5).</t>
  </si>
  <si>
    <t>Provide evidence that the organization limits workforce access, based on its Access Control Program, to data used to train, test, validate, and fine-tune AI models (11.01cAISecSystem.6).</t>
  </si>
  <si>
    <t>Provide evidence that the organization limits workforce access, based on its Access Control Program, to Generative AI models (11.01cAISecSystem.7).</t>
  </si>
  <si>
    <t>Provide evidence that the organization limits API and workforce access, based on its Access Control Program, to Generative AI models and language model tools (11.01cAISecSystem.8).</t>
  </si>
  <si>
    <t>Provide evidence that the organization limits workforce access to the AI engineering environment (11.01cAISecSystem.9).</t>
  </si>
  <si>
    <t>Provide evidence that the organization limits workforce access to code used to create, train, and/or deploy AI models (11.01cAISecSystem.9).</t>
  </si>
  <si>
    <t>Provide evidence that the organization limits workforce access to code of AI language model tools (11.01cAISecSystem.9).</t>
  </si>
  <si>
    <t>Provide evidence that encryption has been implemented between the AI model and the output interface (09.09sAISecOrganizational.1).</t>
  </si>
  <si>
    <t>Provide evidence that datasets used to train, test, and validate artificial intelligence models are encrypted while stored (11.01vAISecSystem.1).</t>
  </si>
  <si>
    <t>01.v</t>
  </si>
  <si>
    <t>Provide evidence that data used to fine-tune artificial intelligence models are encrypted while stored (11.01vAISecSystem.1).</t>
  </si>
  <si>
    <t>Provide evidence that artificial intelligence embeddings (if used) are encrypted while stored (11.01vAISecSystem.1).</t>
  </si>
  <si>
    <t>Provide evidence that artificial intelligence models are encrypted while stored (11.01vAISecSystem.1).</t>
  </si>
  <si>
    <t>Provide evidence that the organization monitors/reviews, on a monthly cadence, inputs of the AI system to identify anomalies (12.09abAISecSystem.4).</t>
  </si>
  <si>
    <t>Provide evidence that the organization monitors/reviews, on a monthly cadence, outputs of the AI system to identify anomalies (12.09abAISecSystem.4).</t>
  </si>
  <si>
    <t>Provide evidence that the organization monitors/reviews, on a monthly cadence, suspicious manipulation of AI-related datasets (12.09abAISecSystem.5).</t>
  </si>
  <si>
    <t>Provide evidence that the organization monitors/reviews, on a monthly cadence, suspicious manipulation of AI-relevant code/configuration (12.09abAISecSystem.5).</t>
  </si>
  <si>
    <t>Provide evidence that the organization monitors/reviews, on a monthly cadence, suspicious manipulation of AI models (12.09abAISecSystem.5).</t>
  </si>
  <si>
    <t>Provide evidence that logging is enabled for AI Systems and includes the exact input (12.09abAISecSystem.6).</t>
  </si>
  <si>
    <t>Provide evidence that logging is enabled for AI Systems and includes the date and time of the input (12.09abAISecSystem.6).</t>
  </si>
  <si>
    <t>Provide evidence that logging is enabled for AI Systems and includes the user account making the request (12.09abAISecSystem.6).</t>
  </si>
  <si>
    <t>Provide evidence that logging is enabled for AI Systems and includes where the request originated (12.09abAISecSystem.6).</t>
  </si>
  <si>
    <t>Provide evidence that logging is enabled for AI Systems and includes the exact output provided (12.09abAISecSystem.6).</t>
  </si>
  <si>
    <t>Provide evidence that logging is enabled for AI Systems and includes the version of the model used (12.09abAISecSystem.6).</t>
  </si>
  <si>
    <t>Provide evidence that the organization maintains AI System logs in accordance with its Audit Logging and Monitoring Program (12.09abAISecSystem.6).</t>
  </si>
  <si>
    <t>Provide evidence that audit logs for AI Systems are ingested into a centralized logging system (15.11cAISecOrganizational.1).</t>
  </si>
  <si>
    <t>Provide evidence that a centralized logging system is configured to alert appropriate workforce members on anomalous/suspicious AI System logs (15.11cAISecOrganizational.1).</t>
  </si>
  <si>
    <t>Provide evidence that the organization provides AI development training to appropriate workforce members (13.02eAISecOrganizational.1).</t>
  </si>
  <si>
    <t>Provide evidence that the organization provides AI data science training to appropriate workforce members (13.02eAISecOrganizational.1).</t>
  </si>
  <si>
    <t>Provide evidence that the organization provides AI cybersecurity training to appropriate workforce members (13.02eAISecOrganizational.1).</t>
  </si>
  <si>
    <t>Provide evidence that the organization provides AI based training to appropriate workforce members on an annual basis (13.02eAISecOrganizational.1).</t>
  </si>
  <si>
    <t>Provide evidence that backups are configured for AI System training, test, and validation datasets (16.09lAISecOrganizational.1).</t>
  </si>
  <si>
    <t>Provide evidence that backups are configured for code used to create, train, and/or deploy AI models (16.09lAISecOrganizational.1).</t>
  </si>
  <si>
    <t>Provide evidence that backups are configured for AI System tuning data (16.09lAISecOrganizational.1).</t>
  </si>
  <si>
    <t>Provide evidence that backups are configured for AI System models (16.09lAISecOrganizational.1).</t>
  </si>
  <si>
    <t>Provide evidence that backups are configured for AI System language model tools (16.09lAISecOrganizational.1).</t>
  </si>
  <si>
    <t>Provide evidence that backups are configured for AI System configurations (16.09lAISecOrganizational.1).</t>
  </si>
  <si>
    <t>Provide evidence that backups are configured for AI System prompt enhancement data for RAG (16.09lAISecOrganizational.1).</t>
  </si>
  <si>
    <t>Provide evidence that the organization includes the technical architecture of the overall AI system in AI System release documentation (19.09zAISecOrganizational.1).</t>
  </si>
  <si>
    <t>09.z</t>
  </si>
  <si>
    <t>Provide evidence that the organization includes the datasets used for training, testing, validating, and tuning of confidential and/or closed-source AI models in AI System release documentation (19.09zAISecOrganizational.1).</t>
  </si>
  <si>
    <t>Provide evidence that the organization includes the datasets used for prompt augmentation via RAG in AI System release documentation (19.09zAISecOrganizational.1).</t>
  </si>
  <si>
    <t>Provide evidence that the organization includes the algorithm(s) used to create confidential and/or closed-source AI models in AI System release documentation (19.09zAISecOrganizational.1).</t>
  </si>
  <si>
    <t>Provide evidence that the organization includes the architecture of confidential and/or closed-source AI models in AI System release documentation (19.09zAISecOrganizational.1).</t>
  </si>
  <si>
    <t>Provide evidence that the organization includes the language model tools used such as agents and plugins in AI System release documentation (19.09zAISecOrganizational.1).</t>
  </si>
  <si>
    <t>Provide evidence that the organization includes the safety and security checkpoints built into the AI system in release documentation (19.09zAISecOrganizational.1).</t>
  </si>
  <si>
    <t>Provide evidence that the organization includes the information on teams developing and supporting the AI system in release documentation (19.09zAISecOrganizational.1).</t>
  </si>
  <si>
    <t xml:space="preserve">Provide evidence that </t>
  </si>
  <si>
    <t>SOC 2 IDs</t>
  </si>
  <si>
    <t>HITRUST</t>
  </si>
  <si>
    <t>ISO 270001 IDs</t>
  </si>
  <si>
    <t>i1/r2</t>
  </si>
  <si>
    <t>P-121</t>
  </si>
  <si>
    <t>P-101</t>
  </si>
  <si>
    <t>e1/i1/r2</t>
  </si>
  <si>
    <t>P-24</t>
  </si>
  <si>
    <t>P-6</t>
  </si>
  <si>
    <t>R-1001</t>
  </si>
  <si>
    <t>R-1003</t>
  </si>
  <si>
    <t>R-1004</t>
  </si>
  <si>
    <t>P-39</t>
  </si>
  <si>
    <t>R-1005</t>
  </si>
  <si>
    <t>R-1013</t>
  </si>
  <si>
    <t>R-1014</t>
  </si>
  <si>
    <t>r2</t>
  </si>
  <si>
    <t>R-1015</t>
  </si>
  <si>
    <t>R-1019</t>
  </si>
  <si>
    <t>R-1027</t>
  </si>
  <si>
    <t>P-9</t>
  </si>
  <si>
    <t>R-1028</t>
  </si>
  <si>
    <t>R-1000</t>
  </si>
  <si>
    <t>R-1034</t>
  </si>
  <si>
    <t>R-1003-51520</t>
  </si>
  <si>
    <t>R-1004-51514</t>
  </si>
  <si>
    <t>R-1046</t>
  </si>
  <si>
    <t>R-1053</t>
  </si>
  <si>
    <t>R-1013-51520</t>
  </si>
  <si>
    <t>R-1058</t>
  </si>
  <si>
    <t>R-1059</t>
  </si>
  <si>
    <t>R-1015-51520</t>
  </si>
  <si>
    <t>R-1060</t>
  </si>
  <si>
    <t>R-1017-51514</t>
  </si>
  <si>
    <t>R-1063</t>
  </si>
  <si>
    <t>R-1018</t>
  </si>
  <si>
    <t>R-1064</t>
  </si>
  <si>
    <t>R-1065</t>
  </si>
  <si>
    <t>R-1027-51514</t>
  </si>
  <si>
    <t>R-1028-51520</t>
  </si>
  <si>
    <t>R-1078</t>
  </si>
  <si>
    <t>R-1083</t>
  </si>
  <si>
    <t>R-1033</t>
  </si>
  <si>
    <t>R-1089</t>
  </si>
  <si>
    <t>R-1036-51520</t>
  </si>
  <si>
    <t>R-1101</t>
  </si>
  <si>
    <t>R-1105</t>
  </si>
  <si>
    <t>R-1117</t>
  </si>
  <si>
    <t>R-1122</t>
  </si>
  <si>
    <t>R-1046-51515</t>
  </si>
  <si>
    <t>R-1123</t>
  </si>
  <si>
    <t>R-1124</t>
  </si>
  <si>
    <t>R-1054-51938</t>
  </si>
  <si>
    <t>R-1056</t>
  </si>
  <si>
    <t>R-1133</t>
  </si>
  <si>
    <t>R-1141</t>
  </si>
  <si>
    <t>R-1142</t>
  </si>
  <si>
    <t>R-1143</t>
  </si>
  <si>
    <t>R-1144</t>
  </si>
  <si>
    <t>R-1145</t>
  </si>
  <si>
    <t>R-1156</t>
  </si>
  <si>
    <t>R-1088</t>
  </si>
  <si>
    <t>R-1158</t>
  </si>
  <si>
    <t>R-1159</t>
  </si>
  <si>
    <t>R-1161</t>
  </si>
  <si>
    <t>R-1166</t>
  </si>
  <si>
    <t>R-1167</t>
  </si>
  <si>
    <t>R-1169</t>
  </si>
  <si>
    <t>R-1142-51522</t>
  </si>
  <si>
    <t>R-1171</t>
  </si>
  <si>
    <t>R-1143-51522</t>
  </si>
  <si>
    <t>R-1173</t>
  </si>
  <si>
    <t>R-1175</t>
  </si>
  <si>
    <t>R-1145-51522</t>
  </si>
  <si>
    <t>R-1177</t>
  </si>
  <si>
    <t>R-1150</t>
  </si>
  <si>
    <t>R-1180</t>
  </si>
  <si>
    <t>R-1182</t>
  </si>
  <si>
    <t>R-1184</t>
  </si>
  <si>
    <t>R-1187</t>
  </si>
  <si>
    <t>R-1191</t>
  </si>
  <si>
    <t>R-1160</t>
  </si>
  <si>
    <t>R-1163</t>
  </si>
  <si>
    <t>R-1216</t>
  </si>
  <si>
    <t>R-1232</t>
  </si>
  <si>
    <t>R-1168</t>
  </si>
  <si>
    <t>R-1235</t>
  </si>
  <si>
    <t>R-1170</t>
  </si>
  <si>
    <t>R-1262</t>
  </si>
  <si>
    <t>R-1264</t>
  </si>
  <si>
    <t>R-1174</t>
  </si>
  <si>
    <t>R-1283</t>
  </si>
  <si>
    <t>R-1176</t>
  </si>
  <si>
    <t>R-1296</t>
  </si>
  <si>
    <t>R-1181</t>
  </si>
  <si>
    <t>R-1302</t>
  </si>
  <si>
    <t>R-1183</t>
  </si>
  <si>
    <t>R-1316</t>
  </si>
  <si>
    <t>R-1317</t>
  </si>
  <si>
    <t>R-1351</t>
  </si>
  <si>
    <t>R-1352</t>
  </si>
  <si>
    <t>R-1353</t>
  </si>
  <si>
    <t>R-1354</t>
  </si>
  <si>
    <t>R-1358</t>
  </si>
  <si>
    <t>R-1236</t>
  </si>
  <si>
    <t>R-1237-51744</t>
  </si>
  <si>
    <t>R-1367</t>
  </si>
  <si>
    <t>R-1382</t>
  </si>
  <si>
    <t>R-1265-51744</t>
  </si>
  <si>
    <t>R-1388</t>
  </si>
  <si>
    <t>R-1391</t>
  </si>
  <si>
    <t>R-1273</t>
  </si>
  <si>
    <t>R-1392</t>
  </si>
  <si>
    <t>R-1397</t>
  </si>
  <si>
    <t>R-1398</t>
  </si>
  <si>
    <t>R-1285</t>
  </si>
  <si>
    <t>R-1289</t>
  </si>
  <si>
    <t>R-1430</t>
  </si>
  <si>
    <t>R-1297</t>
  </si>
  <si>
    <t>R-1431</t>
  </si>
  <si>
    <t>R-1437</t>
  </si>
  <si>
    <t>R-1439</t>
  </si>
  <si>
    <t>R-1440</t>
  </si>
  <si>
    <t>R-1441</t>
  </si>
  <si>
    <t>R-1311</t>
  </si>
  <si>
    <t>R-1442</t>
  </si>
  <si>
    <t>R-1315</t>
  </si>
  <si>
    <t>R-1316-51520</t>
  </si>
  <si>
    <t>R-1454</t>
  </si>
  <si>
    <t>R-1456</t>
  </si>
  <si>
    <t>R-1470</t>
  </si>
  <si>
    <t>R-1473</t>
  </si>
  <si>
    <t>R-1381-51519</t>
  </si>
  <si>
    <t>R-1474</t>
  </si>
  <si>
    <t>R-1499</t>
  </si>
  <si>
    <t>R-1388-51517</t>
  </si>
  <si>
    <t>R-1514</t>
  </si>
  <si>
    <t>R-1519</t>
  </si>
  <si>
    <t>R-1409-51936</t>
  </si>
  <si>
    <t>R-1521</t>
  </si>
  <si>
    <t>R-1522</t>
  </si>
  <si>
    <t>R-1535</t>
  </si>
  <si>
    <t>R-1422</t>
  </si>
  <si>
    <t>R-1594</t>
  </si>
  <si>
    <t>R-1595</t>
  </si>
  <si>
    <t>R-1427</t>
  </si>
  <si>
    <t>R-1598</t>
  </si>
  <si>
    <t>R-1436</t>
  </si>
  <si>
    <t>R-1718</t>
  </si>
  <si>
    <t>R-1785</t>
  </si>
  <si>
    <t>R-1790</t>
  </si>
  <si>
    <t>R-1963</t>
  </si>
  <si>
    <t>R-1964</t>
  </si>
  <si>
    <t>R-1455</t>
  </si>
  <si>
    <t>R-1967</t>
  </si>
  <si>
    <t>R-1968</t>
  </si>
  <si>
    <t>R-1460</t>
  </si>
  <si>
    <t>R-1969</t>
  </si>
  <si>
    <t>R-1464</t>
  </si>
  <si>
    <t>R-1971</t>
  </si>
  <si>
    <t>R-1465</t>
  </si>
  <si>
    <t>R-1987</t>
  </si>
  <si>
    <t>R-1466</t>
  </si>
  <si>
    <t>R-1988</t>
  </si>
  <si>
    <t>R-1989</t>
  </si>
  <si>
    <t>R-1990</t>
  </si>
  <si>
    <t>R-1517</t>
  </si>
  <si>
    <t>R-2009</t>
  </si>
  <si>
    <t>R-2057</t>
  </si>
  <si>
    <t>R-1553</t>
  </si>
  <si>
    <t>R-2058</t>
  </si>
  <si>
    <t>R-2111</t>
  </si>
  <si>
    <t>R-1695</t>
  </si>
  <si>
    <t>R-2280</t>
  </si>
  <si>
    <t>R-1746-51523</t>
  </si>
  <si>
    <t>R-2281</t>
  </si>
  <si>
    <t>R-1747</t>
  </si>
  <si>
    <t>R-2282</t>
  </si>
  <si>
    <t>R-1748</t>
  </si>
  <si>
    <t>R-2283</t>
  </si>
  <si>
    <t>R-1749</t>
  </si>
  <si>
    <t>R-2284</t>
  </si>
  <si>
    <t>R-1750</t>
  </si>
  <si>
    <t>R-2285</t>
  </si>
  <si>
    <t>R-1751</t>
  </si>
  <si>
    <t>R-2286</t>
  </si>
  <si>
    <t>R-1752</t>
  </si>
  <si>
    <t>R-1753</t>
  </si>
  <si>
    <t>R-2288</t>
  </si>
  <si>
    <t>R-1754</t>
  </si>
  <si>
    <t>R-2290</t>
  </si>
  <si>
    <t>R-1756</t>
  </si>
  <si>
    <t>R-2291</t>
  </si>
  <si>
    <t>R-1758-51765</t>
  </si>
  <si>
    <t>R-2292</t>
  </si>
  <si>
    <t>R-1759-51765</t>
  </si>
  <si>
    <t>R-2293</t>
  </si>
  <si>
    <t>R-1760</t>
  </si>
  <si>
    <t>R-2294</t>
  </si>
  <si>
    <t>R-1761</t>
  </si>
  <si>
    <t>R-2295</t>
  </si>
  <si>
    <t>R-2296</t>
  </si>
  <si>
    <t>R-1763</t>
  </si>
  <si>
    <t>R-1764</t>
  </si>
  <si>
    <t>R-2298</t>
  </si>
  <si>
    <t>R-1765</t>
  </si>
  <si>
    <t>R-2300</t>
  </si>
  <si>
    <t>R-2301</t>
  </si>
  <si>
    <t>R-1767</t>
  </si>
  <si>
    <t>R-2302</t>
  </si>
  <si>
    <t>R-1768</t>
  </si>
  <si>
    <t>R-2303</t>
  </si>
  <si>
    <t>R-1769</t>
  </si>
  <si>
    <t>R-2304</t>
  </si>
  <si>
    <t>R-1771</t>
  </si>
  <si>
    <t>R-2306</t>
  </si>
  <si>
    <t>R-1772-51939</t>
  </si>
  <si>
    <t>R-2307</t>
  </si>
  <si>
    <t>R-1773</t>
  </si>
  <si>
    <t>R-2308</t>
  </si>
  <si>
    <t>R-1774</t>
  </si>
  <si>
    <t>R-1775</t>
  </si>
  <si>
    <t>R-2310</t>
  </si>
  <si>
    <t>R-1776</t>
  </si>
  <si>
    <t>R-2311</t>
  </si>
  <si>
    <t>R-1777</t>
  </si>
  <si>
    <t>R-2312</t>
  </si>
  <si>
    <t>R-1778</t>
  </si>
  <si>
    <t>R-2313</t>
  </si>
  <si>
    <t>R-1779</t>
  </si>
  <si>
    <t>R-1780</t>
  </si>
  <si>
    <t>R-2315</t>
  </si>
  <si>
    <t>R-1781</t>
  </si>
  <si>
    <t>R-2316</t>
  </si>
  <si>
    <t>R-1782</t>
  </si>
  <si>
    <t>R-2317</t>
  </si>
  <si>
    <t>R-1783</t>
  </si>
  <si>
    <t>R-2318</t>
  </si>
  <si>
    <t>R-1961</t>
  </si>
  <si>
    <t>R-2319</t>
  </si>
  <si>
    <t>R-1970</t>
  </si>
  <si>
    <t>R-2320</t>
  </si>
  <si>
    <t>R-2321</t>
  </si>
  <si>
    <t>R-1972</t>
  </si>
  <si>
    <t>R-2322</t>
  </si>
  <si>
    <t>R-1973</t>
  </si>
  <si>
    <t>R-2323</t>
  </si>
  <si>
    <t>R-1974</t>
  </si>
  <si>
    <t>R-2324</t>
  </si>
  <si>
    <t>R-1975</t>
  </si>
  <si>
    <t>R-2325</t>
  </si>
  <si>
    <t>R-2102</t>
  </si>
  <si>
    <t>R-2326</t>
  </si>
  <si>
    <t>R-2540</t>
  </si>
  <si>
    <t>Scope Unique IDs</t>
  </si>
  <si>
    <t>i1 Unique IDs</t>
  </si>
  <si>
    <t>e1 Unique IDs</t>
  </si>
  <si>
    <t>BUID</t>
  </si>
  <si>
    <t>Baseline 11.4.0</t>
  </si>
  <si>
    <t>Amazon Web Services 11.2.0</t>
  </si>
  <si>
    <t>Aptible 11.1.0</t>
  </si>
  <si>
    <t>Armor 9.2</t>
  </si>
  <si>
    <t>ClearDATA 11.3.0</t>
  </si>
  <si>
    <t>Cloudticity 11.2.0</t>
  </si>
  <si>
    <t>Google 11.0.1</t>
  </si>
  <si>
    <t>LightEdge 9.2</t>
  </si>
  <si>
    <t>Microsoft Azure 11.2.0</t>
  </si>
  <si>
    <t>Microsoft 365 v11.2.0</t>
  </si>
  <si>
    <t>NextGen 9.4</t>
  </si>
  <si>
    <t>Ntirety 11.3.2</t>
  </si>
  <si>
    <t>Oracle Cloud Infrastructure 9.6</t>
  </si>
  <si>
    <t>Rackspace 9.6</t>
  </si>
  <si>
    <t>Salesforce 9.6.2</t>
  </si>
  <si>
    <t>Snowflake 9.6.2</t>
  </si>
  <si>
    <t>PARTIAL INHERITANCE</t>
  </si>
  <si>
    <t>01112.00a23NYCRR500.Organizational.1</t>
  </si>
  <si>
    <t>01113.00a23NYCRR500.Organizational.2</t>
  </si>
  <si>
    <t>01114.00a23NYCRR500.Organizational.3</t>
  </si>
  <si>
    <t>01115.00a23NYCRR500.Organizational.4</t>
  </si>
  <si>
    <t>01116.00a23NYCRR500.Organizational.5</t>
  </si>
  <si>
    <t>1102.01a1Organizational.3</t>
  </si>
  <si>
    <t>1103.01a1Organizational.67</t>
  </si>
  <si>
    <t>1104.01a2Organizational.123</t>
  </si>
  <si>
    <t>1105.01a2Organizational.4</t>
  </si>
  <si>
    <t>1106.01b1System.1</t>
  </si>
  <si>
    <t>1108.01b1System.3</t>
  </si>
  <si>
    <t>1109.01b1System.479</t>
  </si>
  <si>
    <t>1110.01b1System.5</t>
  </si>
  <si>
    <t>1139.01b1System.68</t>
  </si>
  <si>
    <t>11219.01b1Organizational.10</t>
  </si>
  <si>
    <t>11220.01b1System.10</t>
  </si>
  <si>
    <t>11200.01b2Organizational.3</t>
  </si>
  <si>
    <t>0031.0</t>
  </si>
  <si>
    <t>0034.0</t>
  </si>
  <si>
    <t>1142.01bHIXSystem.1</t>
  </si>
  <si>
    <t>1144.01c1System.4</t>
  </si>
  <si>
    <t>1151.01c3System.1</t>
  </si>
  <si>
    <t>0048.0</t>
  </si>
  <si>
    <t>11181.01c3System.7</t>
  </si>
  <si>
    <t>11182.01c3System.8</t>
  </si>
  <si>
    <t>0050.0</t>
  </si>
  <si>
    <t>11183.01c3System.9</t>
  </si>
  <si>
    <t>11184.01c3System.10</t>
  </si>
  <si>
    <t>0055.0</t>
  </si>
  <si>
    <t>1157.01cFTISystem.1</t>
  </si>
  <si>
    <t>1991.01cFTIOrganizational.2</t>
  </si>
  <si>
    <t>0058.0</t>
  </si>
  <si>
    <t>1159.01cFTISystem.3</t>
  </si>
  <si>
    <t>0059.0</t>
  </si>
  <si>
    <t>1160.01cFTISystem.4</t>
  </si>
  <si>
    <t>0060.0</t>
  </si>
  <si>
    <t>1161.01cFTISystem.5</t>
  </si>
  <si>
    <t>0061.0</t>
  </si>
  <si>
    <t>1162.01cFTISystem.6</t>
  </si>
  <si>
    <t>0062.0</t>
  </si>
  <si>
    <t>1163.01cFTISystem.78</t>
  </si>
  <si>
    <t>FULL INHERITANCE</t>
  </si>
  <si>
    <t>1002.01d1System.1</t>
  </si>
  <si>
    <t>1022.01d1System.15</t>
  </si>
  <si>
    <t>1004.01d1System.8913</t>
  </si>
  <si>
    <t>1005.01d1System.1011</t>
  </si>
  <si>
    <t>10.01dMASSSystem.5</t>
  </si>
  <si>
    <t>1014.01d1System.12</t>
  </si>
  <si>
    <t>1015.01d1System.14</t>
  </si>
  <si>
    <t>1023.01d2System.6</t>
  </si>
  <si>
    <t>1023.01dCISSystem.6</t>
  </si>
  <si>
    <t>0086.0</t>
  </si>
  <si>
    <t>1028.01PCISystem.4</t>
  </si>
  <si>
    <t>1166.01e1System.12</t>
  </si>
  <si>
    <t>11185.01e1System.3</t>
  </si>
  <si>
    <t>11186.01e2System.3</t>
  </si>
  <si>
    <t>0105.0</t>
  </si>
  <si>
    <t>1169.01eCMSSystem.1</t>
  </si>
  <si>
    <t>1020.01f1System.2</t>
  </si>
  <si>
    <t>0211.01g1Organizational.2</t>
  </si>
  <si>
    <t>1115.01h1Organizational.45</t>
  </si>
  <si>
    <t>0801.01i1Organizational.1</t>
  </si>
  <si>
    <t>0802.01i2Organizational.123</t>
  </si>
  <si>
    <t>08107.01iFedRAMPSystem.1</t>
  </si>
  <si>
    <t>1116.01j1Organizational.145</t>
  </si>
  <si>
    <t>1173.01j1Organizational.6</t>
  </si>
  <si>
    <t>1174.01j1Organizational.7</t>
  </si>
  <si>
    <t>1175.01j1Organizational.8</t>
  </si>
  <si>
    <t>11202.01jFedRAMPSystem.1</t>
  </si>
  <si>
    <t>11203.01jFedRAMPSystem.2</t>
  </si>
  <si>
    <t>1190.01k1System.1</t>
  </si>
  <si>
    <t>1191.01k1System.2</t>
  </si>
  <si>
    <t>1192.01l1Organizational.1</t>
  </si>
  <si>
    <t>1892.01l1Organizational.1</t>
  </si>
  <si>
    <t>1194.01l2Organizational.2</t>
  </si>
  <si>
    <t>0157.0</t>
  </si>
  <si>
    <t>11205.01lFedRAMPOrganizational.2</t>
  </si>
  <si>
    <t>0892.01m1Organizational.3</t>
  </si>
  <si>
    <t>0164.0</t>
  </si>
  <si>
    <t>0893.01m1Organizational.4</t>
  </si>
  <si>
    <t>0895.01m2Organizational.8</t>
  </si>
  <si>
    <t>0896.01m2Organizational.9</t>
  </si>
  <si>
    <t>0897.01m2Organizational.10</t>
  </si>
  <si>
    <t>0168.0</t>
  </si>
  <si>
    <t>0898.01m2Organizational.11</t>
  </si>
  <si>
    <t>0170.0</t>
  </si>
  <si>
    <t>0839.01mFTIOrganizational.1</t>
  </si>
  <si>
    <t>0171.0</t>
  </si>
  <si>
    <t>0840.01mFTIOrganizational.2</t>
  </si>
  <si>
    <t>0172.0</t>
  </si>
  <si>
    <t>0841.01mFTIOrganizational.3</t>
  </si>
  <si>
    <t>0173.0</t>
  </si>
  <si>
    <t>0842.01mFTIOrganizational.4</t>
  </si>
  <si>
    <t>0174.0</t>
  </si>
  <si>
    <t>0843.01mFTIOrganizational.56</t>
  </si>
  <si>
    <t>08108.01nFedRAMPSystem.1</t>
  </si>
  <si>
    <t>0184.0</t>
  </si>
  <si>
    <t>0847.01nFTIOrganizational.1</t>
  </si>
  <si>
    <t>0186.0</t>
  </si>
  <si>
    <t>0849.01nFTIOrganizational.3</t>
  </si>
  <si>
    <t>08103.01nHIXOrganizational.1</t>
  </si>
  <si>
    <t>0188.0</t>
  </si>
  <si>
    <t>0850.01o1Organizational.12</t>
  </si>
  <si>
    <t>0815.01o2Organizational.123</t>
  </si>
  <si>
    <t>0190.0</t>
  </si>
  <si>
    <t>0899.01o2Organizational.4</t>
  </si>
  <si>
    <t>0191.0</t>
  </si>
  <si>
    <t>08100.01o2Organizational.5</t>
  </si>
  <si>
    <t>11102.01p1Organizational.1</t>
  </si>
  <si>
    <t>11103.01p2Organizational.12</t>
  </si>
  <si>
    <t>11104.01p3Organizational.13</t>
  </si>
  <si>
    <t>1312.01p3Organizational.2</t>
  </si>
  <si>
    <t>11105.01pCMSOrganizational.123</t>
  </si>
  <si>
    <t>0197.0</t>
  </si>
  <si>
    <t>11106.01pCMSOrganizational.4</t>
  </si>
  <si>
    <t>0200.0</t>
  </si>
  <si>
    <t>11108.01pFTIOrganizational.1</t>
  </si>
  <si>
    <t>11108.01pFTISystem.2</t>
  </si>
  <si>
    <t>0201.0</t>
  </si>
  <si>
    <t>1122.01q1System.1</t>
  </si>
  <si>
    <t>0202.0</t>
  </si>
  <si>
    <t>1124.01q1System.34</t>
  </si>
  <si>
    <t>11109.01q1Organizational.57</t>
  </si>
  <si>
    <t>11110.01q1Organizational.6</t>
  </si>
  <si>
    <t>11208.01q1Organizational.8</t>
  </si>
  <si>
    <t>11112.01q2Organizational.67</t>
  </si>
  <si>
    <t>11209.01q2Organizational.9</t>
  </si>
  <si>
    <t>11210.01q2Organizational.10</t>
  </si>
  <si>
    <t>11211.01q2Organizational.11</t>
  </si>
  <si>
    <t>11113.01q3Organizational.1</t>
  </si>
  <si>
    <t>0216.0</t>
  </si>
  <si>
    <t>11188.01q2Organizational.8</t>
  </si>
  <si>
    <t>11189.01q2Organizational.8</t>
  </si>
  <si>
    <t>11189.01qCISOrganizational.8</t>
  </si>
  <si>
    <t>11114.01qCMSOrganizational.12</t>
  </si>
  <si>
    <t>11115.01qCMSOrganizational.3</t>
  </si>
  <si>
    <t>11116.01qCMSOrganizational.4</t>
  </si>
  <si>
    <t>11207.01qFedRAMPOrganizational.1</t>
  </si>
  <si>
    <t>11221.01qFedRAMPOrganizational.2</t>
  </si>
  <si>
    <t>0223.0</t>
  </si>
  <si>
    <t>11117.01qFTIOrganizational.1</t>
  </si>
  <si>
    <t>11117.01qFTISystem.5</t>
  </si>
  <si>
    <t>0224.0</t>
  </si>
  <si>
    <t>11118.01qFTIOrganizational.2</t>
  </si>
  <si>
    <t>11118.01qFTISystem.5</t>
  </si>
  <si>
    <t>0225.0</t>
  </si>
  <si>
    <t>11119.01qFTIOrganizational.3</t>
  </si>
  <si>
    <t>11119.01qFTISystem.5</t>
  </si>
  <si>
    <t>0226.0</t>
  </si>
  <si>
    <t>11120.01qFTIOrganizational.4</t>
  </si>
  <si>
    <t>11120.01qFTISystem.5</t>
  </si>
  <si>
    <t>11121.01qPCIOrganizational.1</t>
  </si>
  <si>
    <t>11122.01qPCIOrganizational.2</t>
  </si>
  <si>
    <t>11123.01qPCIOrganizational.3</t>
  </si>
  <si>
    <t>1126.01q2System.PCI</t>
  </si>
  <si>
    <t>1012.01r1System.12345</t>
  </si>
  <si>
    <t>1013.01r2System.12345</t>
  </si>
  <si>
    <t>1021.01rCMSOrganizational.1</t>
  </si>
  <si>
    <t>11124.01s1Organizational.1</t>
  </si>
  <si>
    <t>11125.01s2Organizational.12</t>
  </si>
  <si>
    <t>11126.01t1Organizational.12</t>
  </si>
  <si>
    <t>11190.01t1Organizational.3</t>
  </si>
  <si>
    <t>11127.01t2Organizational.1</t>
  </si>
  <si>
    <t>11129.01tFTIOrganizational.12</t>
  </si>
  <si>
    <t>11130.01tHIXOrganizational.1</t>
  </si>
  <si>
    <t>11131.01u1Organizational.1</t>
  </si>
  <si>
    <t>0854.01wCMSOrganizational.1</t>
  </si>
  <si>
    <t>0855.01wCMSOrganizational.2</t>
  </si>
  <si>
    <t>0833.01.wFTIOrganizational.1</t>
  </si>
  <si>
    <t>0833.01wFTIOrganizational.1</t>
  </si>
  <si>
    <t>0834.01.wFTIOrganizational.23</t>
  </si>
  <si>
    <t>0834.01wFTIOrganizational.23</t>
  </si>
  <si>
    <t>0856.01wFTIOrganizational.4</t>
  </si>
  <si>
    <t>0857.01wHIXOrganizational.1</t>
  </si>
  <si>
    <t>11135.01vCMSOrganizational.123</t>
  </si>
  <si>
    <t>11136.01vFTIOrganizational.1</t>
  </si>
  <si>
    <t>0261.0</t>
  </si>
  <si>
    <t>11137.01vFTIOrganizational.2</t>
  </si>
  <si>
    <t>11137.01vFTISystem.5</t>
  </si>
  <si>
    <t>11138.01vFTIOrganizational.3</t>
  </si>
  <si>
    <t>0263.0</t>
  </si>
  <si>
    <t>11139.01vFTIOrganizational.4</t>
  </si>
  <si>
    <t>11139.01vFTISystem.5</t>
  </si>
  <si>
    <t>11140.01vPCIOrganizational.1</t>
  </si>
  <si>
    <t>11141.01vPCIOrganizational.2</t>
  </si>
  <si>
    <t>11142.01vPCIOrganizational.3</t>
  </si>
  <si>
    <t>0401.01x1System.124579</t>
  </si>
  <si>
    <t>1309.01x1System.36</t>
  </si>
  <si>
    <t>0403.01x1System.8</t>
  </si>
  <si>
    <t>0404.01x1System.1011</t>
  </si>
  <si>
    <t>0410.01x1System.12</t>
  </si>
  <si>
    <t>0425.01x1System.13</t>
  </si>
  <si>
    <t>0429.01x1System.14</t>
  </si>
  <si>
    <t>0426.01x2System.1</t>
  </si>
  <si>
    <t>0427.01x2System.2</t>
  </si>
  <si>
    <t>0428.01x2System.3</t>
  </si>
  <si>
    <t>0411.01xCMSSystem.1</t>
  </si>
  <si>
    <t>0405.01y1Organizational.12345678</t>
  </si>
  <si>
    <t>1310.01y1Organizational.9</t>
  </si>
  <si>
    <t>0407.01y2Organizational.1</t>
  </si>
  <si>
    <t>0137.02a1Organizational.3</t>
  </si>
  <si>
    <t>0138.02b1Organizational.12</t>
  </si>
  <si>
    <t>0139.02b1Organizational.3</t>
  </si>
  <si>
    <t>0140.02b1Organizational.4</t>
  </si>
  <si>
    <t>0141.02b1Organizational.56</t>
  </si>
  <si>
    <t>0314.0</t>
  </si>
  <si>
    <t>0149.02bFTIOrganizational.12</t>
  </si>
  <si>
    <t>0150.02c1Organizational.1</t>
  </si>
  <si>
    <t>0154.02c2Organizational.4</t>
  </si>
  <si>
    <t>0321.0</t>
  </si>
  <si>
    <t>0107.02d1Organizational.1</t>
  </si>
  <si>
    <t>0108.02d1Organizational.23</t>
  </si>
  <si>
    <t>1301.02e1Organizational.12</t>
  </si>
  <si>
    <t>1313.02e1Organizational.3</t>
  </si>
  <si>
    <t>1326.02e1Organizational.4</t>
  </si>
  <si>
    <t>1336.02e1Organizational.5</t>
  </si>
  <si>
    <t>1304.02e3Organizational.1</t>
  </si>
  <si>
    <t>1335.02e21CFRPart11Organizational.1</t>
  </si>
  <si>
    <t>1328.02e2Organizational.9</t>
  </si>
  <si>
    <t>0348.0</t>
  </si>
  <si>
    <t>1329.02e2Organizational.10</t>
  </si>
  <si>
    <t>0349.0</t>
  </si>
  <si>
    <t>1330.02e2Organizational.11</t>
  </si>
  <si>
    <t>0356.0</t>
  </si>
  <si>
    <t>1320.02eFTIOrganizational.4</t>
  </si>
  <si>
    <t>1501.02f1Organizational.123</t>
  </si>
  <si>
    <t>1502.02f1Organizational.4</t>
  </si>
  <si>
    <t>1581.02f1Organizational.7</t>
  </si>
  <si>
    <t>11143.02g1Organizational.1</t>
  </si>
  <si>
    <t>11144.02g1Organizational.234</t>
  </si>
  <si>
    <t>11145.02g1Organizational.5</t>
  </si>
  <si>
    <t>11149.02g3Organizational.1</t>
  </si>
  <si>
    <t>11153.02h1Organizational.23</t>
  </si>
  <si>
    <t>1135.02i1Organizational.1234</t>
  </si>
  <si>
    <t>11154.02i1Organizational.5</t>
  </si>
  <si>
    <t>11155.02i2Organizational.2</t>
  </si>
  <si>
    <t>1710.03a1Organizational.9</t>
  </si>
  <si>
    <t>1711.03.a3Organizational.4</t>
  </si>
  <si>
    <t>1712.03.a3Organizational.5</t>
  </si>
  <si>
    <t>1706.03b1Organizational.3</t>
  </si>
  <si>
    <t>0396.0</t>
  </si>
  <si>
    <t>0404.0</t>
  </si>
  <si>
    <t>17116.03bFTIOrganizational.1</t>
  </si>
  <si>
    <t>1707.03c1Organizational.12</t>
  </si>
  <si>
    <t>1713.03c1Organizational.3</t>
  </si>
  <si>
    <t>17126.03c1System.6</t>
  </si>
  <si>
    <t>0420.0</t>
  </si>
  <si>
    <t>1729.03cCMSOrganizational.1</t>
  </si>
  <si>
    <t>1733.03d1Organizational.1</t>
  </si>
  <si>
    <t>1734.03d2Organizational.1</t>
  </si>
  <si>
    <t>1737.03d2Organizational.5</t>
  </si>
  <si>
    <t>0431.0</t>
  </si>
  <si>
    <t>0113.04a1Organizational.123</t>
  </si>
  <si>
    <t>0432.0</t>
  </si>
  <si>
    <t>0131.04.aFTIOrganizational.1</t>
  </si>
  <si>
    <t>0131.04aFTIOrganizational.1</t>
  </si>
  <si>
    <t>0433.0</t>
  </si>
  <si>
    <t>0160.04aFTIOrganizational.2</t>
  </si>
  <si>
    <t>0162.04b1Organizational.2</t>
  </si>
  <si>
    <t>0439.0</t>
  </si>
  <si>
    <t>0132.04.bFTIOrganizational.1</t>
  </si>
  <si>
    <t>0132.04bFTIOrganizational.1</t>
  </si>
  <si>
    <t>0118.05a1Organizational.2</t>
  </si>
  <si>
    <t>0119.05a1Organizational.3</t>
  </si>
  <si>
    <t>0120.05a1Organizational.4</t>
  </si>
  <si>
    <t>01110.05a1Organizational.5</t>
  </si>
  <si>
    <t>0127.05b1Organizational.2</t>
  </si>
  <si>
    <t>0166.05b1Organizational.34</t>
  </si>
  <si>
    <t>0464.0</t>
  </si>
  <si>
    <t>0134.05.bFTIOrganizational.12</t>
  </si>
  <si>
    <t>0134.05bFTIOrganizational.12</t>
  </si>
  <si>
    <t>0133.05.bFTIOrganizational.3</t>
  </si>
  <si>
    <t>0172.05c1Organizational.123</t>
  </si>
  <si>
    <t>1738.05d1Organizational.1</t>
  </si>
  <si>
    <t>1739.05d2Organizational.1</t>
  </si>
  <si>
    <t>0476.0</t>
  </si>
  <si>
    <t>1742.05dFTIOrganizational.12</t>
  </si>
  <si>
    <t>19130.05e1Organizational.123</t>
  </si>
  <si>
    <t>1743.05f1Organizational.1</t>
  </si>
  <si>
    <t>0484.0</t>
  </si>
  <si>
    <t>1745.05f1Organizational.4</t>
  </si>
  <si>
    <t>1747.05f2Organizational.23</t>
  </si>
  <si>
    <t>0177.05h1Organizational.12</t>
  </si>
  <si>
    <t>0178.05h1Organizational.3</t>
  </si>
  <si>
    <t>0179.05h1Organizational.4</t>
  </si>
  <si>
    <t>0180.05h2Organizational.1</t>
  </si>
  <si>
    <t>1401.05i1Organizational.1239</t>
  </si>
  <si>
    <t>1402.05i1Organizational.45</t>
  </si>
  <si>
    <t>1418.05i1Organizational.8</t>
  </si>
  <si>
    <t>1404.05i2Organizational.1</t>
  </si>
  <si>
    <t>0510.0</t>
  </si>
  <si>
    <t>1420.05j1Organizational.34</t>
  </si>
  <si>
    <t>19134.05j1Organizational.5</t>
  </si>
  <si>
    <t>0519.0</t>
  </si>
  <si>
    <t>1425.05jFTIOrganizational.1</t>
  </si>
  <si>
    <t>0520.0</t>
  </si>
  <si>
    <t>1426.05jFTIOrganizational.2</t>
  </si>
  <si>
    <t>0521.0</t>
  </si>
  <si>
    <t>1427.05jFTIOrganizational.3</t>
  </si>
  <si>
    <t>0522.0</t>
  </si>
  <si>
    <t>1406.05k1Organizational.110</t>
  </si>
  <si>
    <t>1429.05k1Organizational.34</t>
  </si>
  <si>
    <t>1430.05k1Organizational.56</t>
  </si>
  <si>
    <t>1431.05k1Organizational.7</t>
  </si>
  <si>
    <t>1432.05k1Organizational.89</t>
  </si>
  <si>
    <t>0533.0</t>
  </si>
  <si>
    <t>1433.05kFTIOrganizational.14</t>
  </si>
  <si>
    <t>19135.06b1Organizational.1</t>
  </si>
  <si>
    <t>19249.06bFedRAMPOrganizational.1</t>
  </si>
  <si>
    <t>19140.06c1Organizational.1</t>
  </si>
  <si>
    <t>1906.06.c1Organizational.2</t>
  </si>
  <si>
    <t>1906.06c1Organizational.2</t>
  </si>
  <si>
    <t>1907.06.c1Organizational.3</t>
  </si>
  <si>
    <t>1907.06c1Organizational.3</t>
  </si>
  <si>
    <t>1908.06.c1Organizational.4</t>
  </si>
  <si>
    <t>1908.06c1Organizational.4</t>
  </si>
  <si>
    <t>1909.06.c1Organizational.5</t>
  </si>
  <si>
    <t>1909.06c1Organizational.5</t>
  </si>
  <si>
    <t>1905.06.c1Organizational.6</t>
  </si>
  <si>
    <t>1905.06c1Organizational.6</t>
  </si>
  <si>
    <t>19141.06c1Organizational.7</t>
  </si>
  <si>
    <t>19143.06c1Organizational.9</t>
  </si>
  <si>
    <t>0561.0</t>
  </si>
  <si>
    <t>0564.0</t>
  </si>
  <si>
    <t>19147.06cFTIOrganizational.2</t>
  </si>
  <si>
    <t>1901.06d1Organizational.1</t>
  </si>
  <si>
    <t>1902.06d1Organizational.2</t>
  </si>
  <si>
    <t>1911.06d1Organizational.13</t>
  </si>
  <si>
    <t>0571.0</t>
  </si>
  <si>
    <t>19242.06d1Organizational.14</t>
  </si>
  <si>
    <t>0572.0</t>
  </si>
  <si>
    <t>19243.06d1Organizational.15</t>
  </si>
  <si>
    <t>1904.06.d2Organizational.1</t>
  </si>
  <si>
    <t>19244.06d1Organizational.16</t>
  </si>
  <si>
    <t>1137.06e1Organizational.1</t>
  </si>
  <si>
    <t>1201.06e1Organizational.2</t>
  </si>
  <si>
    <t>1504.06e1Organizational.34</t>
  </si>
  <si>
    <t>0593.0</t>
  </si>
  <si>
    <t>19159.06eFTIOrganizational.1</t>
  </si>
  <si>
    <t>0594.0</t>
  </si>
  <si>
    <t>19160.06eFTIOrganizational.2</t>
  </si>
  <si>
    <t>19162.06f1Organizational.12</t>
  </si>
  <si>
    <t>0602.06g1Organizational.3</t>
  </si>
  <si>
    <t>0606.0</t>
  </si>
  <si>
    <t>0611.06gFTIOrganizational.1</t>
  </si>
  <si>
    <t>0613.0</t>
  </si>
  <si>
    <t>0658.06h1Organizational.3</t>
  </si>
  <si>
    <t>0614.0</t>
  </si>
  <si>
    <t>0659.06h2Organizational.4</t>
  </si>
  <si>
    <t>0615.0</t>
  </si>
  <si>
    <t>0660.06h2Organizational.5</t>
  </si>
  <si>
    <t>0661.06h2Organizational.6</t>
  </si>
  <si>
    <t>0619.0</t>
  </si>
  <si>
    <t>1754.06i1Organizational.1</t>
  </si>
  <si>
    <t>1756.06i2Organizational.2</t>
  </si>
  <si>
    <t>1236.06j2Organizational.1</t>
  </si>
  <si>
    <t>0626.0</t>
  </si>
  <si>
    <t>0701.07a1Organizational.12</t>
  </si>
  <si>
    <t>0702.07a1Organizational.3</t>
  </si>
  <si>
    <t>0720.07a1Organizational.4</t>
  </si>
  <si>
    <t>0721.07a1Organizational.5</t>
  </si>
  <si>
    <t>0722.07a1Organizational.67</t>
  </si>
  <si>
    <t>0723.07a1Organizational.8</t>
  </si>
  <si>
    <t>0633.0</t>
  </si>
  <si>
    <t>0704.07a3Organizational.12</t>
  </si>
  <si>
    <t>0761.07a2Organizational.2</t>
  </si>
  <si>
    <t>0762.07a3Organizational.6</t>
  </si>
  <si>
    <t>0639.0</t>
  </si>
  <si>
    <t>0759.07a1Organizational.9</t>
  </si>
  <si>
    <t>0760.07a1Organizational.10</t>
  </si>
  <si>
    <t>0652.0</t>
  </si>
  <si>
    <t>0190.07bFTIOrganizational.2</t>
  </si>
  <si>
    <t>1324.07c1Organizational.3</t>
  </si>
  <si>
    <t>1757.07d1Organizational.1</t>
  </si>
  <si>
    <t>1767.07d3Organizational.1</t>
  </si>
  <si>
    <t>0666.0</t>
  </si>
  <si>
    <t>1768.07dFTIOrganizational.1</t>
  </si>
  <si>
    <t>1912.07.e1Organizational.2</t>
  </si>
  <si>
    <t>1912.07e1Organizational.2</t>
  </si>
  <si>
    <t>19.07eMASSOrganizational.4</t>
  </si>
  <si>
    <t>19166.07e1Organizational.4</t>
  </si>
  <si>
    <t>0313.07e1Organizational.5</t>
  </si>
  <si>
    <t>1829.08a1Organizational.34</t>
  </si>
  <si>
    <t>1834.08a2Organizational.6</t>
  </si>
  <si>
    <t>1801.08b1Organizational.124</t>
  </si>
  <si>
    <t>1803.08b1Organizational.5</t>
  </si>
  <si>
    <t>1844.08b1Organizational.6</t>
  </si>
  <si>
    <t>0720.0</t>
  </si>
  <si>
    <t>1851.08bFTIOrganizational.1567</t>
  </si>
  <si>
    <t>08104.08bHIXOrganizational.1</t>
  </si>
  <si>
    <t>1814.08d1Organizational.12</t>
  </si>
  <si>
    <t>1862.08d1Organizational.3</t>
  </si>
  <si>
    <t>1868.08e1Organizational.34</t>
  </si>
  <si>
    <t>1869.08e1Organizational.5</t>
  </si>
  <si>
    <t>1872.08f1Organizational.2</t>
  </si>
  <si>
    <t>1873.08f1Organizational.45</t>
  </si>
  <si>
    <t>1875.08g1Organizational.1</t>
  </si>
  <si>
    <t>1876.08g1Organizational.2</t>
  </si>
  <si>
    <t>1877.08g1Organizational.3</t>
  </si>
  <si>
    <t>1878.08g1Organizational.4</t>
  </si>
  <si>
    <t>1879.08g1Organizational.5</t>
  </si>
  <si>
    <t>1881.08g1Organizational.789</t>
  </si>
  <si>
    <t>1886.08h1Organizational.12</t>
  </si>
  <si>
    <t>1887.08h1Organizational.3</t>
  </si>
  <si>
    <t>0765.0</t>
  </si>
  <si>
    <t>1889.08h1Organizational.7</t>
  </si>
  <si>
    <t>18100.08i1Organizational.23</t>
  </si>
  <si>
    <t>0783.0</t>
  </si>
  <si>
    <t>18107.08iFTIOrganizational.1</t>
  </si>
  <si>
    <t>1819.08j1Organizational.23</t>
  </si>
  <si>
    <t>18109.08j1Organizational.4</t>
  </si>
  <si>
    <t>18110.08j1Organizational.5</t>
  </si>
  <si>
    <t>18111.08j1Organizational.6</t>
  </si>
  <si>
    <t>18123.08k1Organizational.234</t>
  </si>
  <si>
    <t>18124.08k1Organizational.5</t>
  </si>
  <si>
    <t>18125.08k1Organizational.6</t>
  </si>
  <si>
    <t>18126.08k1Organizational.7</t>
  </si>
  <si>
    <t>1825.08l1Organizational.12456</t>
  </si>
  <si>
    <t>18129.08m1Organizational.34</t>
  </si>
  <si>
    <t>0191.09a1System.1</t>
  </si>
  <si>
    <t>0192.09a1System.2</t>
  </si>
  <si>
    <t>0818.0</t>
  </si>
  <si>
    <t>0194.09aFTISystem.1</t>
  </si>
  <si>
    <t>0618.09b1System.1</t>
  </si>
  <si>
    <t>1229.09c1Organizational.1</t>
  </si>
  <si>
    <t>12.09cFISMAOrganizational.7</t>
  </si>
  <si>
    <t>12.09cFISMAOrganizational.6</t>
  </si>
  <si>
    <t>0832.0</t>
  </si>
  <si>
    <t>1280.09cFTIOrganizational.1</t>
  </si>
  <si>
    <t>0621.09d1System.12</t>
  </si>
  <si>
    <t>0836.0</t>
  </si>
  <si>
    <t>0624.09dFTISystem.1</t>
  </si>
  <si>
    <t>1464.09e2Organizational.5</t>
  </si>
  <si>
    <t>0844.0</t>
  </si>
  <si>
    <t>1439.09eFTISystem.1</t>
  </si>
  <si>
    <t>1412.09f2System.12</t>
  </si>
  <si>
    <t>1610.09h1System.1</t>
  </si>
  <si>
    <t>0869.0</t>
  </si>
  <si>
    <t>1776.09iFTISystem.1</t>
  </si>
  <si>
    <t>0870.0</t>
  </si>
  <si>
    <t>1777.09iFTISystem.2</t>
  </si>
  <si>
    <t>0202.09j1Organizational.3</t>
  </si>
  <si>
    <t>0875.0</t>
  </si>
  <si>
    <t>0214.09j1Organizational.6</t>
  </si>
  <si>
    <t>0207.09j2Organizational.56</t>
  </si>
  <si>
    <t>0217.09j2Organizational.10</t>
  </si>
  <si>
    <t>0886.0</t>
  </si>
  <si>
    <t>0231.09j1Organizational.7</t>
  </si>
  <si>
    <t>0231.09jCISOrganizational.7</t>
  </si>
  <si>
    <t>0232.09j2Organizational.13</t>
  </si>
  <si>
    <t>0888.0</t>
  </si>
  <si>
    <t>0233.09j2Organizational.14</t>
  </si>
  <si>
    <t>0225.09k1Organizational.1</t>
  </si>
  <si>
    <t>0899.0</t>
  </si>
  <si>
    <t>0229.09kCMSOrganizational.13</t>
  </si>
  <si>
    <t>0900.0</t>
  </si>
  <si>
    <t>0230.09kCMSOrganizational.245</t>
  </si>
  <si>
    <t>1619.09l1Organizational.7</t>
  </si>
  <si>
    <t>1620.09l1Organizational.8</t>
  </si>
  <si>
    <t>1699.09l1Organizational.10</t>
  </si>
  <si>
    <t>16.09lHIPAAOrganizational.2</t>
  </si>
  <si>
    <t>1688.09l2Organizational.5</t>
  </si>
  <si>
    <t>0915.0</t>
  </si>
  <si>
    <t>1687.09l1Organizational.9</t>
  </si>
  <si>
    <t>0921.0</t>
  </si>
  <si>
    <t>1630.09lFTIOrganizational.1</t>
  </si>
  <si>
    <t>1699.09l23NYCRR500Organizational.1</t>
  </si>
  <si>
    <t>0926.0</t>
  </si>
  <si>
    <t>0501.09m1Organizational.1</t>
  </si>
  <si>
    <t>0819.09m1Organizational.23</t>
  </si>
  <si>
    <t>0858.09m1Organizational.4</t>
  </si>
  <si>
    <t>0859.09m1Organizational.78</t>
  </si>
  <si>
    <t>0860.09m1Organizational.9</t>
  </si>
  <si>
    <t>0820.09m2Organizational.1</t>
  </si>
  <si>
    <t>0505.09m2Organizational.3</t>
  </si>
  <si>
    <t>0504.09m2Organizational.5</t>
  </si>
  <si>
    <t>0943.0</t>
  </si>
  <si>
    <t>0865.09m2Organizational.13</t>
  </si>
  <si>
    <t>0825.09m3Organizational.23</t>
  </si>
  <si>
    <t>0828.09m3Organizational.8</t>
  </si>
  <si>
    <t>0506.09m1Organizational.10</t>
  </si>
  <si>
    <t>0506.09mCISOrganizational.10</t>
  </si>
  <si>
    <t>0957.09m2Organizational.15</t>
  </si>
  <si>
    <t>0962.0</t>
  </si>
  <si>
    <t>0958.09m2Organizational.16</t>
  </si>
  <si>
    <t>0959.09m2Organizational.17</t>
  </si>
  <si>
    <t>08102.09m3Organizational.22</t>
  </si>
  <si>
    <t>0965.0</t>
  </si>
  <si>
    <t>0872.09mCMSOrganizational.1</t>
  </si>
  <si>
    <t>0976.0</t>
  </si>
  <si>
    <t>0878.09mFTIOrganizational.1</t>
  </si>
  <si>
    <t>0979.0</t>
  </si>
  <si>
    <t>0881.09mFTIOrganizational.4</t>
  </si>
  <si>
    <t>0980.0</t>
  </si>
  <si>
    <t>0882.09mFTIOrganizational.5</t>
  </si>
  <si>
    <t>0981.0</t>
  </si>
  <si>
    <t>0910.09mFTIOrganizational.7</t>
  </si>
  <si>
    <t>0836.09.n2Organizational.1</t>
  </si>
  <si>
    <t>0837.09.n2Organizational.2</t>
  </si>
  <si>
    <t>0301.09o1Organizational.123</t>
  </si>
  <si>
    <t>0302.09o2Organizational.1</t>
  </si>
  <si>
    <t>0304.09o3Organizational.1</t>
  </si>
  <si>
    <t>1003.0</t>
  </si>
  <si>
    <t>0330.09o3Organizational.2</t>
  </si>
  <si>
    <t>1004.0</t>
  </si>
  <si>
    <t>0310.09oCMSOrganizational.1</t>
  </si>
  <si>
    <t>0311.09oCMSOrganizational.2</t>
  </si>
  <si>
    <t>18130.09p1Organizational.24</t>
  </si>
  <si>
    <t>18131.09p1Organizational.3</t>
  </si>
  <si>
    <t>18132.09pCMSOrganizational.12</t>
  </si>
  <si>
    <t>1015.0</t>
  </si>
  <si>
    <t>18134.09pFTIOrganizational.34</t>
  </si>
  <si>
    <t>1016.0</t>
  </si>
  <si>
    <t>18135.09pFTIOrganizational.5</t>
  </si>
  <si>
    <t>1017.0</t>
  </si>
  <si>
    <t>18136.09pFTIOrganizational.6</t>
  </si>
  <si>
    <t>1018.0</t>
  </si>
  <si>
    <t>18137.09pFTIOrganizational.7</t>
  </si>
  <si>
    <t>0306.09q1Organizational.3</t>
  </si>
  <si>
    <t>0730.09r1Organizational.1</t>
  </si>
  <si>
    <t>0731.09r1Organizational.2</t>
  </si>
  <si>
    <t>0925.09v1Organizational.1</t>
  </si>
  <si>
    <t>0926.09v1Organizational.2</t>
  </si>
  <si>
    <t>0927.09v1Organizational.3</t>
  </si>
  <si>
    <t>0928.09v1Organizational.45</t>
  </si>
  <si>
    <t>0929.09v1Organizational.6</t>
  </si>
  <si>
    <t>0961.09v1Organizational.7</t>
  </si>
  <si>
    <t>1046.0</t>
  </si>
  <si>
    <t>0933.09w1Organizational.1</t>
  </si>
  <si>
    <t>1049.0</t>
  </si>
  <si>
    <t>0936.09w2Organizational.4</t>
  </si>
  <si>
    <t>0901.09s1Organizational.1</t>
  </si>
  <si>
    <t>0911.09s1Organizational.2</t>
  </si>
  <si>
    <t>1325.09s1Organizational.3</t>
  </si>
  <si>
    <t>0912.09s1Organizational.4</t>
  </si>
  <si>
    <t>0914.09s1Organizational.6</t>
  </si>
  <si>
    <t>1445.09t1Organizational.3</t>
  </si>
  <si>
    <t>0320.09u1Organizational.1</t>
  </si>
  <si>
    <t>1081.0</t>
  </si>
  <si>
    <t>0327.09uCMSOrganizational.45</t>
  </si>
  <si>
    <t>1083.0</t>
  </si>
  <si>
    <t>0329.09uFTIOrganizational.2</t>
  </si>
  <si>
    <t>0938.09x1Organizational.1</t>
  </si>
  <si>
    <t>0939.09x2Organizational.12</t>
  </si>
  <si>
    <t>1221.09xCMSSystem.1</t>
  </si>
  <si>
    <t>0943.09y1Organizational.1</t>
  </si>
  <si>
    <t>0944.09y1Organizational.2</t>
  </si>
  <si>
    <t>0949.09y2Organizational.5</t>
  </si>
  <si>
    <t>1098.0</t>
  </si>
  <si>
    <t>0951.09yFTIOrganizational.34</t>
  </si>
  <si>
    <t>1099.0</t>
  </si>
  <si>
    <t>0952.09yFTIOrganizational.5</t>
  </si>
  <si>
    <t>1101.0</t>
  </si>
  <si>
    <t>19178.09z1Organizational.123</t>
  </si>
  <si>
    <t>19179.09z1Organizational.4</t>
  </si>
  <si>
    <t>19180.09z2Organizational.12</t>
  </si>
  <si>
    <t>19181.09z2Organizational.345</t>
  </si>
  <si>
    <t>1202.09aa1System.1</t>
  </si>
  <si>
    <t>1204.09aa1System.3</t>
  </si>
  <si>
    <t>1120.0</t>
  </si>
  <si>
    <t>1281.09aa2System.10</t>
  </si>
  <si>
    <t>1282.09aa2System.11</t>
  </si>
  <si>
    <t>12102.09aaFedRAMPOrganizational.1</t>
  </si>
  <si>
    <t>12103.09aaFedRAMPOrganizational.2</t>
  </si>
  <si>
    <t>12104.09aaFedRAMPOrganizational.3</t>
  </si>
  <si>
    <t>12105.09aaFedRAMPOrganizational.4</t>
  </si>
  <si>
    <t>12106.09aaFedRAMPOrganizational.5</t>
  </si>
  <si>
    <t>12107.09aaFedRAMPOrganizational.6</t>
  </si>
  <si>
    <t>1133.0</t>
  </si>
  <si>
    <t>1139.0</t>
  </si>
  <si>
    <t>1256.09aaFTISystem.8</t>
  </si>
  <si>
    <t>12101.09aa23NYCRR500.System.1</t>
  </si>
  <si>
    <t>1212.09ab1System.1</t>
  </si>
  <si>
    <t>12101.09ab1Organizational.3</t>
  </si>
  <si>
    <t>12102.09ab1Organizational.4</t>
  </si>
  <si>
    <t>12103.09ab1Organizational.5</t>
  </si>
  <si>
    <t>1213.09ab2System.128</t>
  </si>
  <si>
    <t>1288.09ab2System.13</t>
  </si>
  <si>
    <t>1289.09ab2System.14</t>
  </si>
  <si>
    <t>1164.0</t>
  </si>
  <si>
    <t>1284.09ab1System.2</t>
  </si>
  <si>
    <t>1285.09ab2System.10</t>
  </si>
  <si>
    <t>1286.09ab2System.11</t>
  </si>
  <si>
    <t>1287.09ab2System.12</t>
  </si>
  <si>
    <t>1168.0</t>
  </si>
  <si>
    <t>1290.09ab3System.13</t>
  </si>
  <si>
    <t>1291.09ab3System.14</t>
  </si>
  <si>
    <t>1292.09ab3System.15</t>
  </si>
  <si>
    <t>1293.09ab3System.16</t>
  </si>
  <si>
    <t>1174.0</t>
  </si>
  <si>
    <t>11161.09abCMSSystem.34</t>
  </si>
  <si>
    <t>12108.09abFedRAMPOrganizational.1</t>
  </si>
  <si>
    <t>1185.0</t>
  </si>
  <si>
    <t>11167.09abFTISystem.3</t>
  </si>
  <si>
    <t>1187.0</t>
  </si>
  <si>
    <t>11169.09abFTISystem.5</t>
  </si>
  <si>
    <t>1189.0</t>
  </si>
  <si>
    <t>11171.09abFTISystem.7</t>
  </si>
  <si>
    <t>1190.0</t>
  </si>
  <si>
    <t>11172.09abFTISystem.8</t>
  </si>
  <si>
    <t>1203.0</t>
  </si>
  <si>
    <t>1207.0</t>
  </si>
  <si>
    <t>1294.09ac3System.4</t>
  </si>
  <si>
    <t>1264.09acCMSSystem.12</t>
  </si>
  <si>
    <t>1267.09acFTISystem.1</t>
  </si>
  <si>
    <t>1213.0</t>
  </si>
  <si>
    <t>1268.09acFTISystem.2</t>
  </si>
  <si>
    <t>12101.09acHIXSystem.1</t>
  </si>
  <si>
    <t>1271.09ad1System.1</t>
  </si>
  <si>
    <t>1273.09ae1System.2</t>
  </si>
  <si>
    <t>1226.09af1System.1234</t>
  </si>
  <si>
    <t>1295.09af2System.2</t>
  </si>
  <si>
    <t>1295.09afCISSystem.2</t>
  </si>
  <si>
    <t>1780.10a1Organizational.1</t>
  </si>
  <si>
    <t>1782.10a1Organizational.4</t>
  </si>
  <si>
    <t>1783.10a1Organizational.56</t>
  </si>
  <si>
    <t>1784.10a1Organizational.7</t>
  </si>
  <si>
    <t>1785.10a1Organizational.8</t>
  </si>
  <si>
    <t>1786.10a1Organizational.9</t>
  </si>
  <si>
    <t>17.10aFFIECISOrganizational.2</t>
  </si>
  <si>
    <t>1259.0</t>
  </si>
  <si>
    <t>17110.10aFTIOrganizational.4</t>
  </si>
  <si>
    <t>1263.0</t>
  </si>
  <si>
    <t>0706.10b1System.12</t>
  </si>
  <si>
    <t>0708.10b2System.2</t>
  </si>
  <si>
    <t>0791.10b2Organizational.4</t>
  </si>
  <si>
    <t>1269.0</t>
  </si>
  <si>
    <t>0763.10b2System.5</t>
  </si>
  <si>
    <t>0764.10b2System.6</t>
  </si>
  <si>
    <t>19189.10c1System.1</t>
  </si>
  <si>
    <t>19190.10c1System.2</t>
  </si>
  <si>
    <t>19191.10c1System.34</t>
  </si>
  <si>
    <t>1281.0</t>
  </si>
  <si>
    <t>0955.10d1System.2</t>
  </si>
  <si>
    <t>0963.10f21CFRPart11Organizational.1</t>
  </si>
  <si>
    <t>0961.10g1Organizational.5</t>
  </si>
  <si>
    <t>0605.10h1System.12</t>
  </si>
  <si>
    <t>1302.0</t>
  </si>
  <si>
    <t>0626.10h1System.3</t>
  </si>
  <si>
    <t>0628.10h1System.6</t>
  </si>
  <si>
    <t>0663.10h1System.7</t>
  </si>
  <si>
    <t>0663.10h2Organizational.9</t>
  </si>
  <si>
    <t>0664.10h2Organizational.10</t>
  </si>
  <si>
    <t>1312.0</t>
  </si>
  <si>
    <t>0666.10h3System.1</t>
  </si>
  <si>
    <t>0667.10h3System.2</t>
  </si>
  <si>
    <t>0667.10hCISSystem.2</t>
  </si>
  <si>
    <t>1314.0</t>
  </si>
  <si>
    <t>0668.10h3System.3</t>
  </si>
  <si>
    <t>0664.10h2System.7</t>
  </si>
  <si>
    <t>0665.10h2System.8</t>
  </si>
  <si>
    <t>1317.0</t>
  </si>
  <si>
    <t>1320.0</t>
  </si>
  <si>
    <t>0632.10hFTISystem.1</t>
  </si>
  <si>
    <t>19205.10i1System.2</t>
  </si>
  <si>
    <t>1325.0</t>
  </si>
  <si>
    <t>19247.10i2Organizational.3</t>
  </si>
  <si>
    <t>1326.0</t>
  </si>
  <si>
    <t>19208.10iFTISystem.12</t>
  </si>
  <si>
    <t>1327.0</t>
  </si>
  <si>
    <t>19209.10iFTISystem.3</t>
  </si>
  <si>
    <t>1328.0</t>
  </si>
  <si>
    <t>19210.10iFTISystem.4</t>
  </si>
  <si>
    <t>0635.10k1Organizational.12</t>
  </si>
  <si>
    <t>0671.10k1System.1</t>
  </si>
  <si>
    <t>0636.10k2Organizational.1</t>
  </si>
  <si>
    <t>1335.0</t>
  </si>
  <si>
    <t>0638.10k2Organizational.34569</t>
  </si>
  <si>
    <t>0672.10k3System.5</t>
  </si>
  <si>
    <t>1345.0</t>
  </si>
  <si>
    <t>0646.10kCMSOrganizational.3</t>
  </si>
  <si>
    <t>1347.0</t>
  </si>
  <si>
    <t>1359.0</t>
  </si>
  <si>
    <t>0654.10kFTIOrganizational.2</t>
  </si>
  <si>
    <t>1360.0</t>
  </si>
  <si>
    <t>0655.10kFTIOrganizational.3</t>
  </si>
  <si>
    <t>1361.0</t>
  </si>
  <si>
    <t>0656.10kFTIOrganizational.4</t>
  </si>
  <si>
    <t>1368.0</t>
  </si>
  <si>
    <t>1449.10lCMSOrganizational.2</t>
  </si>
  <si>
    <t>0715.10m2Organizational.8</t>
  </si>
  <si>
    <t>0765.10m1System.3</t>
  </si>
  <si>
    <t>0765.10mCISSystem.3</t>
  </si>
  <si>
    <t>1386.0</t>
  </si>
  <si>
    <t>0766.10m1System.4</t>
  </si>
  <si>
    <t>0767.10m3System.8</t>
  </si>
  <si>
    <t>0767.10mCISSystem.8</t>
  </si>
  <si>
    <t>1388.0</t>
  </si>
  <si>
    <t>0768.10m3System.9</t>
  </si>
  <si>
    <t>0769.10m3System.10</t>
  </si>
  <si>
    <t>0769.10mCISSystem.10</t>
  </si>
  <si>
    <t>0770.10m3System.11</t>
  </si>
  <si>
    <t>0770.10mCISSystem.11</t>
  </si>
  <si>
    <t>0771.10m3System.12</t>
  </si>
  <si>
    <t>0771.10mCISSystem.12</t>
  </si>
  <si>
    <t>1392.0</t>
  </si>
  <si>
    <t>0772.10m3System.13</t>
  </si>
  <si>
    <t>1393.0</t>
  </si>
  <si>
    <t>0773.10m3System.14</t>
  </si>
  <si>
    <t>0774.10m3System.15</t>
  </si>
  <si>
    <t>0774.10mCISSystem.15</t>
  </si>
  <si>
    <t>1395.0</t>
  </si>
  <si>
    <t>0775.10m3System.16</t>
  </si>
  <si>
    <t>0776.10m3System.17</t>
  </si>
  <si>
    <t>0776.10mCISSystem.17</t>
  </si>
  <si>
    <t>1397.0</t>
  </si>
  <si>
    <t>0777.10m3System.18</t>
  </si>
  <si>
    <t>0778.10m3System.19</t>
  </si>
  <si>
    <t>0778.10mCISSystem.19</t>
  </si>
  <si>
    <t>1403.0</t>
  </si>
  <si>
    <t>1413.0</t>
  </si>
  <si>
    <t>0748.10mFTIOrganizational.1</t>
  </si>
  <si>
    <t>1416.0</t>
  </si>
  <si>
    <t>0751.10mFTIOrganizational.4</t>
  </si>
  <si>
    <t>1418.0</t>
  </si>
  <si>
    <t>0753.10mFTIOrganizational.6</t>
  </si>
  <si>
    <t>1505.11a1Organizational.13</t>
  </si>
  <si>
    <t>1507.11a1Organizational.4</t>
  </si>
  <si>
    <t>1524.11a1Organizational.5</t>
  </si>
  <si>
    <t>1525.11a1Organizational.6</t>
  </si>
  <si>
    <t>1513.11a2Organizational.9</t>
  </si>
  <si>
    <t>1594.11a23NYCRR500Organizational.1</t>
  </si>
  <si>
    <t>1536.11b1Organizational.3</t>
  </si>
  <si>
    <t>1460.0</t>
  </si>
  <si>
    <t>1516.11c1Organizational.12</t>
  </si>
  <si>
    <t>1517.11c1Organizational.3</t>
  </si>
  <si>
    <t>1465.0</t>
  </si>
  <si>
    <t>1470.0</t>
  </si>
  <si>
    <t>1549.11cCMSOrganizational.1</t>
  </si>
  <si>
    <t>1480.0</t>
  </si>
  <si>
    <t>1554.11cFTIOrganizational.4</t>
  </si>
  <si>
    <t>1482.0</t>
  </si>
  <si>
    <t>1556.11cFTIOrganizational.6</t>
  </si>
  <si>
    <t>1483.0</t>
  </si>
  <si>
    <t>1557.11cFTIOrganizational.8</t>
  </si>
  <si>
    <t>1484.0</t>
  </si>
  <si>
    <t>1558.11cFTIOrganizational.9</t>
  </si>
  <si>
    <t>1561.11d2Organizational.14</t>
  </si>
  <si>
    <t>1563.11d2Organizational.3</t>
  </si>
  <si>
    <t>1635.12b1Organizational.2</t>
  </si>
  <si>
    <t>1601.12c1Organizational.1238</t>
  </si>
  <si>
    <t>1603.12c1Organizational.9</t>
  </si>
  <si>
    <t>1604.12c2Organizational.16789</t>
  </si>
  <si>
    <t>1667.12d1Organizational.4</t>
  </si>
  <si>
    <t>1668.12d1Organizational.67</t>
  </si>
  <si>
    <t>1669.12d1Organizational.8</t>
  </si>
  <si>
    <t>1672.12d2Organizational.3</t>
  </si>
  <si>
    <t>1673.12e1Organizational.1</t>
  </si>
  <si>
    <t>1674.12e1Organizational.2</t>
  </si>
  <si>
    <t>1675.12e1Organizational.3</t>
  </si>
  <si>
    <t>1676.12e1Organizational.45</t>
  </si>
  <si>
    <t>1678.12e1Organizational.78</t>
  </si>
  <si>
    <t>1682.12e2Organizational.6</t>
  </si>
  <si>
    <t>1561.0</t>
  </si>
  <si>
    <t>1685.12eCMSOrganizational.2</t>
  </si>
  <si>
    <t>1563.0</t>
  </si>
  <si>
    <t>1914.13a1Organizational.1</t>
  </si>
  <si>
    <t>1915.13a1Organizational.2</t>
  </si>
  <si>
    <t>1916.13a1Organizational.3</t>
  </si>
  <si>
    <t>1917.13a1Organizational.4</t>
  </si>
  <si>
    <t>1918.13a1Organizational.5</t>
  </si>
  <si>
    <t>19289.13a1Organizational.6</t>
  </si>
  <si>
    <t>19211.13a2Organizational.1</t>
  </si>
  <si>
    <t>19212.13a2Organizational.2</t>
  </si>
  <si>
    <t>19213.13a2Organizational.34</t>
  </si>
  <si>
    <t>1572.0</t>
  </si>
  <si>
    <t>19260.13aGDPROrganizational.1</t>
  </si>
  <si>
    <t>1573.0</t>
  </si>
  <si>
    <t>19261.13aGDPROrganizational.2</t>
  </si>
  <si>
    <t>1574.0</t>
  </si>
  <si>
    <t>19262.13aGDPROrganizational.3</t>
  </si>
  <si>
    <t>1575.0</t>
  </si>
  <si>
    <t>19263.13aGDPROrganizational.4</t>
  </si>
  <si>
    <t>1576.0</t>
  </si>
  <si>
    <t>19264.13aGDPROrganizational.5</t>
  </si>
  <si>
    <t>19215.13aGroupPlansOrganizational.134</t>
  </si>
  <si>
    <t>19216.13aGroupPlansOrganizational.2</t>
  </si>
  <si>
    <t>1927.13b1Organizational.8</t>
  </si>
  <si>
    <t>1928.13b1Organizational.9</t>
  </si>
  <si>
    <t>1929.13b1Organizational.10</t>
  </si>
  <si>
    <t>1582.0</t>
  </si>
  <si>
    <t>1930.13b1Organizational.11</t>
  </si>
  <si>
    <t>1931.13b1Organizational.12</t>
  </si>
  <si>
    <t>1584.0</t>
  </si>
  <si>
    <t>19266.13b1Organizational.13</t>
  </si>
  <si>
    <t>1585.0</t>
  </si>
  <si>
    <t>19214.13b2Organizational.1</t>
  </si>
  <si>
    <t>19253.13bEHNACOrganizational.1</t>
  </si>
  <si>
    <t>1587.0</t>
  </si>
  <si>
    <t>19265.13bGDPROrganizational.1</t>
  </si>
  <si>
    <t>1932.13bTexasOrganizational.1</t>
  </si>
  <si>
    <t>1933.13bTexasOrganizational.2</t>
  </si>
  <si>
    <t>1934.13bTexasOrganizational.3</t>
  </si>
  <si>
    <t>1920.13bTexasOrganizational.4</t>
  </si>
  <si>
    <t>1921.13bTexasOrganizational.5</t>
  </si>
  <si>
    <t>1922.13bTexasOrganizational.6</t>
  </si>
  <si>
    <t>1923.13bTexasOrganizational.7</t>
  </si>
  <si>
    <t>1924.13bTexasOrganizational.8</t>
  </si>
  <si>
    <t>1925.13bTexasOrganizational.9</t>
  </si>
  <si>
    <t>1926.13bTexasOrganizational.10</t>
  </si>
  <si>
    <t>1598.0</t>
  </si>
  <si>
    <t>1936.13c1Organizational.2</t>
  </si>
  <si>
    <t>1937.13c1Organizational.3</t>
  </si>
  <si>
    <t>1938.13c1Organizational.4</t>
  </si>
  <si>
    <t>1939.13c1Organizational.5</t>
  </si>
  <si>
    <t>19267.13c1Organizational.6</t>
  </si>
  <si>
    <t>19268.13c1Organizational.7</t>
  </si>
  <si>
    <t>19217.13c2Organizational.1</t>
  </si>
  <si>
    <t>19269.13cGDPROrganizational.1</t>
  </si>
  <si>
    <t>19406.13fGDPROrganizational.6</t>
  </si>
  <si>
    <t>1940.13cTexasOrganizational.1</t>
  </si>
  <si>
    <t>1941.13cTexasOrganizational.2</t>
  </si>
  <si>
    <t>1943.13cTexasOrganizational.4</t>
  </si>
  <si>
    <t>1944.13cTexasOrganizational.5</t>
  </si>
  <si>
    <t>1945.13cTexasOrganizational.6</t>
  </si>
  <si>
    <t>1946.13cTexasOrganizational.7</t>
  </si>
  <si>
    <t>1935.13cTexasOrganizational.8</t>
  </si>
  <si>
    <t>1947.13d1Organizational.1</t>
  </si>
  <si>
    <t>1948.13d1Organizational.2</t>
  </si>
  <si>
    <t>1615.0</t>
  </si>
  <si>
    <t>1949.13d1Organizational.3</t>
  </si>
  <si>
    <t>1950.13d1Organizational.48</t>
  </si>
  <si>
    <t>1951.13d1Organizational.5</t>
  </si>
  <si>
    <t>1618.0</t>
  </si>
  <si>
    <t>1952.13d1Organizational.6</t>
  </si>
  <si>
    <t>1953.13d1Organizational.7</t>
  </si>
  <si>
    <t>1620.0</t>
  </si>
  <si>
    <t>19290.13d1Organizational.9</t>
  </si>
  <si>
    <t>19291.13d1Organizational.10</t>
  </si>
  <si>
    <t>1622.0</t>
  </si>
  <si>
    <t>19292.13d1Organizational.11</t>
  </si>
  <si>
    <t>1623.0</t>
  </si>
  <si>
    <t>1954.13e1Organizational.1</t>
  </si>
  <si>
    <t>1955.13e1Organizational.2</t>
  </si>
  <si>
    <t>1956.13e1Organizational.3</t>
  </si>
  <si>
    <t>1957.13e1Organizational.4</t>
  </si>
  <si>
    <t>1958.13e1Organizational.5</t>
  </si>
  <si>
    <t>1959.13e1Organizational.6</t>
  </si>
  <si>
    <t>1960.13e1Organizational.7</t>
  </si>
  <si>
    <t>1961.13e1Organizational.8</t>
  </si>
  <si>
    <t>1962.13e1Organizational.9</t>
  </si>
  <si>
    <t>1963.13e1Organizational.10</t>
  </si>
  <si>
    <t>1633.0</t>
  </si>
  <si>
    <t>1964.13e1Organizational.11</t>
  </si>
  <si>
    <t>1634.0</t>
  </si>
  <si>
    <t>1965.13e1Organizational.12</t>
  </si>
  <si>
    <t>1635.0</t>
  </si>
  <si>
    <t>1966.13e1Organizational.13</t>
  </si>
  <si>
    <t>1636.0</t>
  </si>
  <si>
    <t>1967.13e1Organizational.14</t>
  </si>
  <si>
    <t>1968.13e1Organizational.15</t>
  </si>
  <si>
    <t>1969.13e1Organizational.16</t>
  </si>
  <si>
    <t>1970.13e1Organizational.17</t>
  </si>
  <si>
    <t>1971.13e1Organizational.18</t>
  </si>
  <si>
    <t>1972.13e1Organizational.19</t>
  </si>
  <si>
    <t>1973.13e1Organizational.20</t>
  </si>
  <si>
    <t>19218.13e1Organizational.21</t>
  </si>
  <si>
    <t>1644.0</t>
  </si>
  <si>
    <t>19270.13e1Organizational.22</t>
  </si>
  <si>
    <t>19271.13e1Organizational.23</t>
  </si>
  <si>
    <t>19219.13eFACOrganizational.1</t>
  </si>
  <si>
    <t>19220.13eFACOrganizational.2</t>
  </si>
  <si>
    <t>1974.13eTexasOrganizational.1</t>
  </si>
  <si>
    <t>1649.0</t>
  </si>
  <si>
    <t>1975.13f1Organizational.1</t>
  </si>
  <si>
    <t>1650.0</t>
  </si>
  <si>
    <t>1976.13f1Organizational.2</t>
  </si>
  <si>
    <t>1651.0</t>
  </si>
  <si>
    <t>1977.13f1Organizational.3</t>
  </si>
  <si>
    <t>1652.0</t>
  </si>
  <si>
    <t>1978.13f1Organizational.4</t>
  </si>
  <si>
    <t>1979.13f1Organizational.5</t>
  </si>
  <si>
    <t>19221.13f2Organizational.1</t>
  </si>
  <si>
    <t>19604.13f2Organizational.18</t>
  </si>
  <si>
    <t>19254.13fEHNACOrganizational.1</t>
  </si>
  <si>
    <t>1656.0</t>
  </si>
  <si>
    <t>19272.13fGDPROrganizational.1</t>
  </si>
  <si>
    <t>1657.0</t>
  </si>
  <si>
    <t>19273.13fGDPROrganizational.2</t>
  </si>
  <si>
    <t>1658.0</t>
  </si>
  <si>
    <t>19274.13fGDPROrganizational.3</t>
  </si>
  <si>
    <t>19275.13fGDPROrganizational.4</t>
  </si>
  <si>
    <t>19276.13fGDPROrganizational.5</t>
  </si>
  <si>
    <t>1980.13g1Organizational.1</t>
  </si>
  <si>
    <t>1662.0</t>
  </si>
  <si>
    <t>1981.13g1Organizational.2</t>
  </si>
  <si>
    <t>1982.13g1Organizational.3</t>
  </si>
  <si>
    <t>1664.0</t>
  </si>
  <si>
    <t>19222.13g1Organizational.4</t>
  </si>
  <si>
    <t>19223.13g2Organizational.1</t>
  </si>
  <si>
    <t>19605.13c2Organizational.5</t>
  </si>
  <si>
    <t>1983.13h1Organizational.1</t>
  </si>
  <si>
    <t>1984.13h1Organizational.2</t>
  </si>
  <si>
    <t>1985.13h1Organizational.3</t>
  </si>
  <si>
    <t>1986.13h1Organizational.4</t>
  </si>
  <si>
    <t>1670.0</t>
  </si>
  <si>
    <t>19281.13h1Organizational.5</t>
  </si>
  <si>
    <t>19224.13h2Organizational.1</t>
  </si>
  <si>
    <t>19225.13h2Organizational.2</t>
  </si>
  <si>
    <t>19226.13h2Organizational.3</t>
  </si>
  <si>
    <t>1674.0</t>
  </si>
  <si>
    <t>19277.13hGDPROrganizational.1</t>
  </si>
  <si>
    <t>1675.0</t>
  </si>
  <si>
    <t>19278.13hGDPROrganizational.2</t>
  </si>
  <si>
    <t>1676.0</t>
  </si>
  <si>
    <t>19279.13hGDPROrganizational.3</t>
  </si>
  <si>
    <t>19280.13hGDPROrganizational.4</t>
  </si>
  <si>
    <t>19227.13hGroupPlansOrganizational.1</t>
  </si>
  <si>
    <t>19228.13hGroupPlansOrganizational.2</t>
  </si>
  <si>
    <t>19229.13i1Organizational.12</t>
  </si>
  <si>
    <t>19230.13i1Organizational.34</t>
  </si>
  <si>
    <t>1682.0</t>
  </si>
  <si>
    <t>19231.13i2Organizational.1</t>
  </si>
  <si>
    <t>19232.13i2Organizational.2</t>
  </si>
  <si>
    <t>1296.13iDEIDSystem.1</t>
  </si>
  <si>
    <t>1297.13iDEIDSystem.2</t>
  </si>
  <si>
    <t>19255.13iEHNACOrganizational.1</t>
  </si>
  <si>
    <t>1987.13iTexasOrganizational.1</t>
  </si>
  <si>
    <t>1988.13iTexasOrganizational.2</t>
  </si>
  <si>
    <t>1989.13iTexasOrganizational.3</t>
  </si>
  <si>
    <t>1942.13iTexasOrganizational.4</t>
  </si>
  <si>
    <t>1691.0</t>
  </si>
  <si>
    <t>1990.13j1Organizational.1</t>
  </si>
  <si>
    <t>1992.13j1Organizational.2</t>
  </si>
  <si>
    <t>1993.13j1Organizational.3</t>
  </si>
  <si>
    <t>1694.0</t>
  </si>
  <si>
    <t>1995.13j1Organizational.5</t>
  </si>
  <si>
    <t>1695.0</t>
  </si>
  <si>
    <t>1996.13j1Organizational.6</t>
  </si>
  <si>
    <t>1997.13j1Organizational.7</t>
  </si>
  <si>
    <t>1998.13j1Organizational.8</t>
  </si>
  <si>
    <t>1698.0</t>
  </si>
  <si>
    <t>1999.13j1Organizational.9</t>
  </si>
  <si>
    <t>1699.0</t>
  </si>
  <si>
    <t>19256.13jEHNACOrganizational.1</t>
  </si>
  <si>
    <t>195634.13kEHNACOrganizational.2</t>
  </si>
  <si>
    <t>19100.13jTexasOrganizational.1</t>
  </si>
  <si>
    <t>19101.13jTexasOrganizational.2</t>
  </si>
  <si>
    <t>19102.13jTexasOrganizational.3</t>
  </si>
  <si>
    <t>19103.13jTexasOrganizational.4</t>
  </si>
  <si>
    <t>19104.13jTexasOrganizational.5</t>
  </si>
  <si>
    <t>19105.13jTexasOrganizational.6</t>
  </si>
  <si>
    <t>19106.13jTexasOrganizational.7</t>
  </si>
  <si>
    <t>19107.13jTexasOrganizational.8</t>
  </si>
  <si>
    <t>19108.13jTexasOrganizational.9</t>
  </si>
  <si>
    <t>19109.13jTexasOrganizational.10</t>
  </si>
  <si>
    <t>19110.13jTexasOrganizational.11</t>
  </si>
  <si>
    <t>1711.0</t>
  </si>
  <si>
    <t>19233.13k1Organizational.1</t>
  </si>
  <si>
    <t>1712.0</t>
  </si>
  <si>
    <t>19234.13k1Organizational.2</t>
  </si>
  <si>
    <t>19282.13kGDPROrganizational.1</t>
  </si>
  <si>
    <t>19111.13kTexasOrganizational.1</t>
  </si>
  <si>
    <t>19112.13kTexasOrganizational.2</t>
  </si>
  <si>
    <t>19113.13l1Organizational.1</t>
  </si>
  <si>
    <t>1717.0</t>
  </si>
  <si>
    <t>19114.13l1Organizational.2</t>
  </si>
  <si>
    <t>19115.13l1Organizational.3</t>
  </si>
  <si>
    <t>1719.0</t>
  </si>
  <si>
    <t>19116.13l1Organizational.4</t>
  </si>
  <si>
    <t>19117.13l1Organizational.5</t>
  </si>
  <si>
    <t>19118.13l1Organizational.6</t>
  </si>
  <si>
    <t>1722.0</t>
  </si>
  <si>
    <t>19283.13l1Organizational.7</t>
  </si>
  <si>
    <t>1723.0</t>
  </si>
  <si>
    <t>19284.13l1Organizational.8</t>
  </si>
  <si>
    <t>1724.0</t>
  </si>
  <si>
    <t>19285.13l1System.9</t>
  </si>
  <si>
    <t>19235.13l2Organizational.1</t>
  </si>
  <si>
    <t>19608.13j2Organizational.7</t>
  </si>
  <si>
    <t>19236.13l2Organizational.2</t>
  </si>
  <si>
    <t>19248.13lDEIDOrganizational.1</t>
  </si>
  <si>
    <t>1728.0</t>
  </si>
  <si>
    <t>19119.13m1Organizational.123</t>
  </si>
  <si>
    <t>1729.0</t>
  </si>
  <si>
    <t>19121.13m1Organizational.4</t>
  </si>
  <si>
    <t>1730.0</t>
  </si>
  <si>
    <t>19124.13m1Organizational.6</t>
  </si>
  <si>
    <t>1731.0</t>
  </si>
  <si>
    <t>19126.13m1Organizational.89</t>
  </si>
  <si>
    <t>19127.13mTexasOrganizational.1</t>
  </si>
  <si>
    <t>19120.13mTexasOrganizational.2</t>
  </si>
  <si>
    <t>19122.13mTexasOrganizational.4</t>
  </si>
  <si>
    <t>19123.13mTexasOrganizational.5</t>
  </si>
  <si>
    <t>19125.13mTexasOrganizational.7</t>
  </si>
  <si>
    <t>19119.13mTexasOrganizational.8</t>
  </si>
  <si>
    <t>19128.13n1Organizational.1</t>
  </si>
  <si>
    <t>19237.13n1Organizational.2</t>
  </si>
  <si>
    <t>19238.13n1Organizational.3</t>
  </si>
  <si>
    <t>19286.13nGDPROrganizational.1</t>
  </si>
  <si>
    <t>1742.0</t>
  </si>
  <si>
    <t>19287.13nGDPROrganizational.2</t>
  </si>
  <si>
    <t>1743.0</t>
  </si>
  <si>
    <t>19288.13nGDPROrganizational.3</t>
  </si>
  <si>
    <t>19129.13nGroupPlansOrganizational.1</t>
  </si>
  <si>
    <t>19239.13nGroupPlansOrganizational.2</t>
  </si>
  <si>
    <t>19240.13nGroupPlansOrganizational.3</t>
  </si>
  <si>
    <t>19241.13nGroupPlansOrganizational.4</t>
  </si>
  <si>
    <t>0673.10kCISSystem.6</t>
  </si>
  <si>
    <t>19300.13aGDPROrganiational.2</t>
  </si>
  <si>
    <t>19623.13k2Organizational.36</t>
  </si>
  <si>
    <t>1816.0</t>
  </si>
  <si>
    <t>19367.13eGDPROrganizational.1</t>
  </si>
  <si>
    <t>19408.13fPDPAOrganizational.2</t>
  </si>
  <si>
    <t>1853.0</t>
  </si>
  <si>
    <t>11188.01qCISOrganizational.8</t>
  </si>
  <si>
    <t>06.06hNIST80053Organizational.2</t>
  </si>
  <si>
    <t>1294.09acCISSystem.4</t>
  </si>
  <si>
    <t>0666.10hCISSystem.1</t>
  </si>
  <si>
    <t>0768.10mCISSystem.9</t>
  </si>
  <si>
    <t>0772.10mCISSystem.13</t>
  </si>
  <si>
    <t>11183.01cCISSystem.9</t>
  </si>
  <si>
    <t>0330.09oCISOrganizational.2</t>
  </si>
  <si>
    <t>0766.10mCISSystem.4</t>
  </si>
  <si>
    <t>0773.10mCISSystem.14</t>
  </si>
  <si>
    <t>121204.09aaSCIDSAOrganizational.1</t>
  </si>
  <si>
    <t>1926.0</t>
  </si>
  <si>
    <t>10902.01dSRSystem.1</t>
  </si>
  <si>
    <t>19.09dSRSystem.2</t>
  </si>
  <si>
    <t>19907.06cSRSystem.4</t>
  </si>
  <si>
    <t>19.09abSRSystem.2</t>
  </si>
  <si>
    <t>19922.06fCMMCSystem.1</t>
  </si>
  <si>
    <t>06900.09dSRSystem.1</t>
  </si>
  <si>
    <t>14909.09fSROrganizational.1</t>
  </si>
  <si>
    <t>08923.09jCMMCOrganizational.2</t>
  </si>
  <si>
    <t>1959.0</t>
  </si>
  <si>
    <t>08921.09mCMMCSystem.1</t>
  </si>
  <si>
    <t>08920.09abCMMCOrganizational.1</t>
  </si>
  <si>
    <t>01924.00aCMMCOrganizational.1</t>
  </si>
  <si>
    <t>1963.0</t>
  </si>
  <si>
    <t>01925.00aCMMCOrganizational.2</t>
  </si>
  <si>
    <t>1964.0</t>
  </si>
  <si>
    <t>01926.00aCMMCOrganizational.3</t>
  </si>
  <si>
    <t>01927.00aCMMCOrganizational.4</t>
  </si>
  <si>
    <t>1966.0</t>
  </si>
  <si>
    <t>01928.00aCMMCOrganizational.5</t>
  </si>
  <si>
    <t>01929.00aCMMCOrganizational.6</t>
  </si>
  <si>
    <t>01930.00aCMMCOrganizational.7</t>
  </si>
  <si>
    <t>1969.0</t>
  </si>
  <si>
    <t>01931.00aCMMCOrganizational.8</t>
  </si>
  <si>
    <t>1970.0</t>
  </si>
  <si>
    <t>01932.00aCMMCOrganizational.9</t>
  </si>
  <si>
    <t>1971.0</t>
  </si>
  <si>
    <t>01933.00aCMMCOrganizational.10</t>
  </si>
  <si>
    <t>01934.00aCMMCOrganizational.11</t>
  </si>
  <si>
    <t>1973.0</t>
  </si>
  <si>
    <t>01935.00aCMMCOrganizational.12</t>
  </si>
  <si>
    <t>01936.00aCMMCOrganizational.13</t>
  </si>
  <si>
    <t>01937.00aCMMCOrganizational.14</t>
  </si>
  <si>
    <t>1976.0</t>
  </si>
  <si>
    <t>01938.00aCMMCOrganizational.15</t>
  </si>
  <si>
    <t>1977.0</t>
  </si>
  <si>
    <t>01939.00aCMMCOrganizational.16</t>
  </si>
  <si>
    <t>01940.00aCMMCOrganizational.17</t>
  </si>
  <si>
    <t>11941.01jCMMCSystem.1</t>
  </si>
  <si>
    <t>08946.01oCMMCOrganizational.1</t>
  </si>
  <si>
    <t>08958.01oCSR002System.1</t>
  </si>
  <si>
    <t>11953.01qCSR002Organizational.1</t>
  </si>
  <si>
    <t>11974.01qCSR002Organizational.2</t>
  </si>
  <si>
    <t>17944.03bCMMCOrganizational.1</t>
  </si>
  <si>
    <t>14963.09eCSR002Organizational.1</t>
  </si>
  <si>
    <t>14964.09eCSR002Organizational.2</t>
  </si>
  <si>
    <t>02962.09jCSR002Organizational.1</t>
  </si>
  <si>
    <t>08959.09mCSR002System.6</t>
  </si>
  <si>
    <t>08960.09mCSR002System.7</t>
  </si>
  <si>
    <t>12975.09aaCSR002Organizational.1</t>
  </si>
  <si>
    <t>17945.10aCMMCOrganizational.1</t>
  </si>
  <si>
    <t>15961.10cCSR002Organizational.1</t>
  </si>
  <si>
    <t>2000.0</t>
  </si>
  <si>
    <t>06943.10hCMMCOrganizational.1</t>
  </si>
  <si>
    <t>15942.11cCMMCOrganizational.1</t>
  </si>
  <si>
    <t>2011.0</t>
  </si>
  <si>
    <t>1262.09ac2System.4</t>
  </si>
  <si>
    <t>16100.12c3Organizaitonal.15</t>
  </si>
  <si>
    <t>1644.12c1Organizational.15</t>
  </si>
  <si>
    <t>0853.01w3Organizational.5</t>
  </si>
  <si>
    <t>11968.01cNYDOHOrganizational.7</t>
  </si>
  <si>
    <t>11972.01jNYDOHSystem.1</t>
  </si>
  <si>
    <t>19974.01mNYDOHSystem.2</t>
  </si>
  <si>
    <t>09975.01nNYDOHSystem.1</t>
  </si>
  <si>
    <t>08977.01nNYDOHSystem.3</t>
  </si>
  <si>
    <t>11978.01qNYDOHOrganizational.1</t>
  </si>
  <si>
    <t>11979.01qNYDOHOrganizational.2</t>
  </si>
  <si>
    <t>11980.01qNYDOHOrganizational.3</t>
  </si>
  <si>
    <t>11981.01qNYDOHOrganizational.4</t>
  </si>
  <si>
    <t>11982.01qNYDOHOrganizational.5</t>
  </si>
  <si>
    <t>11984.01qNYDOHOrganizational.7</t>
  </si>
  <si>
    <t>11985.01qNYDOHOrganizational.8</t>
  </si>
  <si>
    <t>11986.01qNYDOHOrganizational.9</t>
  </si>
  <si>
    <t>11987.01qNYDOHOrganizational.10</t>
  </si>
  <si>
    <t>11994.01vNYDOHOrganizational.3</t>
  </si>
  <si>
    <t>04995.01xNYDOHSystem.1</t>
  </si>
  <si>
    <t>13998.02eNYDOHOrganizational.2</t>
  </si>
  <si>
    <t>19129.06cNYDOHSystem.1</t>
  </si>
  <si>
    <t>19130.06cNYDOHSystem.2</t>
  </si>
  <si>
    <t>19133.06dNYDOHSystem.2</t>
  </si>
  <si>
    <t>19134.06dNYDOHSystem.3</t>
  </si>
  <si>
    <t>19135.06dNYDOHSystem.4</t>
  </si>
  <si>
    <t>19143.06fNYDOHSystem.2</t>
  </si>
  <si>
    <t>06144.06hNYDOHSystem.1</t>
  </si>
  <si>
    <t>06145.06hNYDOHSystem.2</t>
  </si>
  <si>
    <t>12148.06iNYDOHOrganizational.2</t>
  </si>
  <si>
    <t>12154.06iNYDOHSystem.8</t>
  </si>
  <si>
    <t>12159.06iNYDOHSystem.13</t>
  </si>
  <si>
    <t>12161.06jNYDOHOrganizational.2</t>
  </si>
  <si>
    <t>18170.08lNYDOHSystem.1</t>
  </si>
  <si>
    <t>12174.09abNYDOHOrganizational.1</t>
  </si>
  <si>
    <t>08178.09abNYDOHOrganizational.5</t>
  </si>
  <si>
    <t>06180.09bNYDOHOrganizational.1</t>
  </si>
  <si>
    <t>06181.09bNYDOHOrganizational.2</t>
  </si>
  <si>
    <t>06182.09bNYDOHOrganizational.3</t>
  </si>
  <si>
    <t>06183.09bNYDOHOrganizational.4</t>
  </si>
  <si>
    <t>06185.09bNYDOHOrganizational.6</t>
  </si>
  <si>
    <t>06186.09bNYDOHOrganizational.7</t>
  </si>
  <si>
    <t>06188.09bNYDOHOrganizational.9</t>
  </si>
  <si>
    <t>14189.09eNYDOHOrganizational.1</t>
  </si>
  <si>
    <t>02192.09jNYDOHSystem.3</t>
  </si>
  <si>
    <t>08195.09mNYDOHSystem.1</t>
  </si>
  <si>
    <t>09196.09mNYDOHSystem.2</t>
  </si>
  <si>
    <t>09197.09mNYDOHSystem.3</t>
  </si>
  <si>
    <t>08198.09mNYDOHSystem.4</t>
  </si>
  <si>
    <t>05199.09mNYDOHSystem.5</t>
  </si>
  <si>
    <t>03205.09qNYDOHSystem.3</t>
  </si>
  <si>
    <t>09206.09sNYDOHSystem.1</t>
  </si>
  <si>
    <t>09207.09sNYDOHSystem.2</t>
  </si>
  <si>
    <t>06229.10hNYDOHOrganizational.1</t>
  </si>
  <si>
    <t>06231.10hNYDOHOrganizational.3</t>
  </si>
  <si>
    <t>19232.10iNYDOHOrganizational.1</t>
  </si>
  <si>
    <t>17291.10a3Organizational.7</t>
  </si>
  <si>
    <t>11292.06e2Organizational.13</t>
  </si>
  <si>
    <t>06293.00a1Organizational.1</t>
  </si>
  <si>
    <t>11294.01a1Organizational.4</t>
  </si>
  <si>
    <t>13295.00a1Organizational.2</t>
  </si>
  <si>
    <t>12296.12a1Organizational.2</t>
  </si>
  <si>
    <t>01297.00a1Organizational.3</t>
  </si>
  <si>
    <t>16298.00a1Organizational.4</t>
  </si>
  <si>
    <t>01299.00a1Organizational.5</t>
  </si>
  <si>
    <t>15300.00a1Organizational.6</t>
  </si>
  <si>
    <t>01301.00a1Organizational.7</t>
  </si>
  <si>
    <t>01302.00a1Organizational.8</t>
  </si>
  <si>
    <t>18303.00a1Organizational.9</t>
  </si>
  <si>
    <t>01304.00a1Organizational.10</t>
  </si>
  <si>
    <t>01305.00a1Organizational.11</t>
  </si>
  <si>
    <t>17306.00a1Organizational.12</t>
  </si>
  <si>
    <t>01307.00a1Organizational.13</t>
  </si>
  <si>
    <t>08308.00a1Organizational.14</t>
  </si>
  <si>
    <t>01309.00a1Organizational.15</t>
  </si>
  <si>
    <t>01310.00a1Organizational.16</t>
  </si>
  <si>
    <t>01311.00a1Organizational.17</t>
  </si>
  <si>
    <t>19312.03a1Organizational.1</t>
  </si>
  <si>
    <t>19313.13h1Organizational.4</t>
  </si>
  <si>
    <t>19314.13i1Organizational.4</t>
  </si>
  <si>
    <t>19315.03a1Organizational.2</t>
  </si>
  <si>
    <t>19316.13i1Organizational.5</t>
  </si>
  <si>
    <t>19317.13a1Organizational.4</t>
  </si>
  <si>
    <t>19318.13h1Organizational.5</t>
  </si>
  <si>
    <t>07319.07a1Organizational.9</t>
  </si>
  <si>
    <t>19320.13a1Organizational.5</t>
  </si>
  <si>
    <t>19321.13h1Organizational.6</t>
  </si>
  <si>
    <t>05322.09m3Organizational.24</t>
  </si>
  <si>
    <t>02.09jHICPSystem.1</t>
  </si>
  <si>
    <t>02.09jHICPSystem.2</t>
  </si>
  <si>
    <t>01.00aNYDOHOrganizational.5</t>
  </si>
  <si>
    <t>08.09mTXRAMPOrganizational.1</t>
  </si>
  <si>
    <t>15.11aPHIPAOrganizational.1</t>
  </si>
  <si>
    <t>19.13bPHIPAOrganizational.1</t>
  </si>
  <si>
    <t>19.13kPHIPAOrganizational.3</t>
  </si>
  <si>
    <t>19.13dPHIPAOrganizational.3</t>
  </si>
  <si>
    <t>11.01lCISOrganizational.1</t>
  </si>
  <si>
    <t>19.09zATLASOrganizational.2</t>
  </si>
  <si>
    <t>07.10mATLASOrganizational.1</t>
  </si>
  <si>
    <t>2869.0</t>
  </si>
  <si>
    <t>07.10mATLASOrganizational.2</t>
  </si>
  <si>
    <t>07.10mATLASOrganizational.3</t>
  </si>
  <si>
    <t>07.10bATLASSystem.2</t>
  </si>
  <si>
    <t>2901.0</t>
  </si>
  <si>
    <t>12.09abFFIECCATSystem.4</t>
  </si>
  <si>
    <t>07.10mOWASPOrganizational.5</t>
  </si>
  <si>
    <t>07.07aNIST800172Organizational.1</t>
  </si>
  <si>
    <t>07.10bATLASSystem.4</t>
  </si>
  <si>
    <t>2957.0</t>
  </si>
  <si>
    <t>19.06aOWASPOrganizational.2</t>
  </si>
  <si>
    <t>19.13jOWASPOrganizational.1</t>
  </si>
  <si>
    <t>2967.0</t>
  </si>
  <si>
    <t>19.13kOWASPOrganizational.2</t>
  </si>
  <si>
    <t>2971.0</t>
  </si>
  <si>
    <t>12.09abOWASPSystem.2</t>
  </si>
  <si>
    <t>Applicable</t>
  </si>
  <si>
    <t>Maturity Score</t>
  </si>
  <si>
    <t>Sample Score</t>
  </si>
  <si>
    <t>Controls Reviewed</t>
  </si>
  <si>
    <t>Prisma Score</t>
  </si>
  <si>
    <t>1. Non Compliant (0%)</t>
  </si>
  <si>
    <t>2. Somewhat Compliant (25%)</t>
  </si>
  <si>
    <t>Version</t>
  </si>
  <si>
    <t>Reviewer</t>
  </si>
  <si>
    <t>Notes</t>
  </si>
  <si>
    <t>New Test Plan</t>
  </si>
  <si>
    <t>Updated e1 control scope</t>
  </si>
  <si>
    <t>Updated sample data to include (Population Source/Tool, Population Date Range, Population Size, Sample Methodology, &amp; Sample Size</t>
  </si>
  <si>
    <t>Added Inheritance Notes - explain weight rational column and write-up
Added Date Control Was Scored/Tested column and write-up
Updated Checklist &amp; Documents tab
Updated Intro tab to include fieldwork dates</t>
  </si>
  <si>
    <t>Added Service Request IDs tab
Added SOC 2 and ISO 27001 (2022) mapping for e/i1
Updated SRMS to newest version 1.4.2</t>
  </si>
  <si>
    <t>Added v11.4.0 controls
Added Sample Table 217
Updated Sample Tables conditional formatting
Updated Samples Tables and Request list to include v11.4.0 BUIDs
Updated Control References
Updated SRMS to newest version 1.5.1
Updated Sample Table 053</t>
  </si>
  <si>
    <t>1.5.1</t>
  </si>
  <si>
    <t>APRIL FOOLS ON ME!
Updated Request List and Sample Tables for AI Risk Management Factor</t>
  </si>
  <si>
    <t>1.5.2</t>
  </si>
  <si>
    <t>Updated Request List and Sample Tables for Security for AI Systems Factor</t>
  </si>
  <si>
    <t>Examine evidence that all evaluative elements within the requirement statement have been implemented as defined in the HITRUST scoring rubric, using a sample based test where possible for each evaluative element.
Example test(s):
For example, examine evidence to confirm that the organization has screened individuals requiring access to organizational information and before authorizing access.</t>
  </si>
  <si>
    <t>Examine evidence that all evaluative elements within the requirement statement have been implemented as defined in the HITRUST scoring rubric, using a sample based test where possible for each evaluative element.
Example test(s):
For example, examine evidence to confirm that security activities (e.g., implementing controls, correcting nonconformities) are coordinated throughout the organization where necessary. 
Further, examine evidence to confirm that deviations are documented and formally reviewed by management.</t>
  </si>
  <si>
    <t xml:space="preserve">Matthew Macaluso - Director of System Operations
Roze Nicolas - Director of TechOps
</t>
  </si>
  <si>
    <t>Matthew Macaluso - Director of System Operations
Roze Nicolas - Director of TechOps</t>
  </si>
  <si>
    <t>Examine evidence that all evaluative elements within the requirement statement have been implemented as defined in the HITRUST scoring rubric, using a sample based test where possible for each evaluative element.
Example test(s):
For example, allocation of information security responsibilities are done in accordance with the information security policies. These responsibilities are supplemented, where necessary, with more detailed guidance for specific sites and information processing facilities. 
Examine written policies and procedures to confirm that information security responsibilities are clearly defined and indicate where applicable detailed guidance has been documented. 
Further identify if any information security responsibilities have been delegated and confirm that the individual originally assigned these responsibilities remains accountable and determines that any delegated tasks have been correctly performed.</t>
  </si>
  <si>
    <t>Observed SOP's in Google Drive which demonstrated that SOP's are formally controlled (section at the top of each document)</t>
  </si>
  <si>
    <t>Examine evidence that all evaluative elements within the requirement statement have been implemented as defined in the HITRUST scoring rubric, using a sample based test where possible for each evaluative element.
Example test(s):
For example, examine evidence to confirm that a centrally managed anti-spam software/device has been installed, operating and up-to- ate. 
Confirm that the software/device has been implemented at entry and exit points and at 
workstations, 
servers, or 
mobile computing devices. 
Examine the configuration settings and confirm that filter settings have been implemented for email, email attachments, Web access, or other common means, or insertion through the exploitation of information system vulnerabilities. 
Further, examine evidence to confirm that a centrally managed anti-malware solution is in place and is updated when new releases are made available in accordance with the organization\'s configuration management policy and procedures.</t>
  </si>
  <si>
    <t>NOTE: Portable and Removable Media is not technically restricted at this time</t>
  </si>
  <si>
    <t>Observed SentinelOne "Alert Configurations" which demonstrated that alerts are sent to Director of TechOps and the ticketing system (in the future this will be Jira)
Observed an example ticket considering a SentinelOne alert demonstrating that alerts are sent to the appropriate personnel</t>
  </si>
  <si>
    <t>Host-based firewalls on laptops are enforced through SentinelOne and Kanji</t>
  </si>
  <si>
    <t>Observed host-based firewall implemented and operating on Director of TechOps laptop
Observed Kandji configuration for the enforcement of host-based firewalls on laptops</t>
  </si>
  <si>
    <t>Microsoft Entra ID is used to control access to all appropriate program source code for the MERGE Marketing Solution</t>
  </si>
  <si>
    <t xml:space="preserve">SCCM - Utilized by the Azure VMs 
Native Google SecOps baselines are in place </t>
  </si>
  <si>
    <t>Observed the Azure authentication methods dashboard which demonstrated users are locked out after 5 unsuccessful attempts and are locked out after 1800 seconds.</t>
  </si>
  <si>
    <t>MFA is required for tech roles but it is not enforced throughout the organization.</t>
  </si>
  <si>
    <t>Not currently enforced, but moving into requiring MFA for all access, including remote like VPNs.</t>
  </si>
  <si>
    <t>Observed a change ticket for a new hire, which demonstrated that a workflow is in place to ensure users are granted the proper access rights and that the appropriate management involvement was followed to ensure appropriate roles/access rules/etc. are implemented.</t>
  </si>
  <si>
    <t>Groups within Google and Entra are utilized.</t>
  </si>
  <si>
    <t>Observed offboarding SLAs within Vanta which will be triggered when a user is terminated, which will create an offboarding ticket to be reviewed and completed to ensure that a user's access rights have been removed and the termination process has been followed.</t>
  </si>
  <si>
    <t>Termination Checklist can be provided in ASCEND</t>
  </si>
  <si>
    <t xml:space="preserve">defined within Entra and Google Workspace </t>
  </si>
  <si>
    <t xml:space="preserve">Observed the 2026 Merge Employee Handbook which demonstrated that the appropriate terms and conditions were included </t>
  </si>
  <si>
    <t xml:space="preserve">Observed the A-LIGN SOC 2 Type II report which demonstrated that an independent review was completed
Observed Vanta dashboard which demonstrated that they are internally comparing their existing controls to other compliance frameworks </t>
  </si>
  <si>
    <t>SOP's are formally controlled and reviewed within Google Drive by the appropriate stakeholders and control owners</t>
  </si>
  <si>
    <t>Google Workspace is used for anti-spam protection 
Integration with Google SecOps (replaced Rapid7) is used for logging and alerting to MSP (Foresite Cybersecurity)  
SentinelOne is used as an endpoint protection solution for all in-scope endpoints (laptops, servers)</t>
  </si>
  <si>
    <t xml:space="preserve">Observed the Fresh Service ticketing system and a sample of change tickets which demonstrated that changes are documented, tested, and approved </t>
  </si>
  <si>
    <t>Observed Microsoft Entra ID group memberships of users with access to program source code for the MERGE Marketing Solution</t>
  </si>
  <si>
    <t>Observed the Intune dashboard which demonstrated that the "App Install Status" includes only applications that are approved; if a user were to want an additional application that is not included then the entire change management process would need to be enacted. 
Observed Gatekeeper locks within the Kandji tool that blocks all downloads from the Internet; as well as an AppStore blocking policy. All application downloads must occur through Kandji.
Quarterly reviews are conducted through a reoccurring Fresh Service ticket (eventually moving to Jira)</t>
  </si>
  <si>
    <t>Observed the Entra Authentication Methods dashboard and determined that policies are configured to ensure password complexity is defined and enforced within the environment.</t>
  </si>
  <si>
    <t>Within the Merge Entra ID configurations to ensure password changes can be enforced, and that password history is defined and implemented.</t>
  </si>
  <si>
    <t>Whenever an alert has been generated for a possible password compromised a ticket will be generated with the Merge Help desk to ensure that a user completes a password change, typically through Entra and/or 1Password. Other password changes would be completed as a self service password change.</t>
  </si>
  <si>
    <t>Greenhouse is used to facilitate the pre-employment process (interviews, etc.) then ADP is used for managing the employees record
HR completes i-9 verification checks and background checks on all new hires during the onboarding process. Checkr is used as a background checking solution 
Right now, Fresh Service is used as a ticketing system to manage the onboarding process. However, they will be switching to Jira in the future</t>
  </si>
  <si>
    <r>
      <rPr>
        <b/>
        <sz val="10"/>
        <color theme="1"/>
        <rFont val="Arial"/>
        <family val="2"/>
      </rPr>
      <t>Note:</t>
    </r>
    <r>
      <rPr>
        <sz val="10"/>
        <color theme="1"/>
        <rFont val="Arial"/>
        <family val="2"/>
      </rPr>
      <t xml:space="preserve"> Testing will be covered in Domain 7</t>
    </r>
  </si>
  <si>
    <t xml:space="preserve">Dedicated Google channels are used for security notifications and general technology notifications
Weekly news letters are sent out to all users. These newsletters cover updates on organizational security activities 
Daily meetings "daily standups" are held with DevOps and Security teams meet to cover security activities
Quarterly change management board meetings cover security related concerns to exiting changes
Senior security leaders also meet on a weekly basis to cover security activities </t>
  </si>
  <si>
    <t>Observed Director of TechOps calendar which demonstrated that daily standups, TechOps Vertical Leads meeting, TechOps Production Meetings are held
Observed Google TechOps announcement chat where security activities and vulnerabilities are communicated to the workforce
Observed "Weekly Mashup" newsletter that is sent out to the workforce where security activities and vulnerabilities are communicated to the workforce</t>
  </si>
  <si>
    <r>
      <t xml:space="preserve">Employee Handbook is maintained within a Google Shared Drive. The TechOps drive is isolated to the appropriate team members.
Once the files are completed and finalized, they are put into AirMason for all employees to review and acknowledge 
</t>
    </r>
    <r>
      <rPr>
        <b/>
        <sz val="10"/>
        <color theme="1"/>
        <rFont val="Arial"/>
        <family val="2"/>
      </rPr>
      <t xml:space="preserve">Note: </t>
    </r>
    <r>
      <rPr>
        <sz val="10"/>
        <color theme="1"/>
        <rFont val="Arial"/>
        <family val="2"/>
      </rPr>
      <t>Policy &amp; procedure documentation will be uploaded to A-SCEND and tested</t>
    </r>
  </si>
  <si>
    <t>Observed the 2026 Merge Employee Handbook which demonstrated that the appropriate terms and conditions were included 
Observed the Tech Ops Google Drive which demonstrated that policies and procedures are maintained and managed</t>
  </si>
  <si>
    <r>
      <t xml:space="preserve">Employee Handbook is maintained within a Google Shared Drive. The TechOps drive is isolated to the appropriate team members.
Once the files are completed and finalized, they are put into AirMason for all employees to review and acknowledge 
</t>
    </r>
    <r>
      <rPr>
        <b/>
        <sz val="10"/>
        <color theme="1"/>
        <rFont val="Arial"/>
        <family val="2"/>
      </rPr>
      <t>Note:</t>
    </r>
    <r>
      <rPr>
        <sz val="10"/>
        <color theme="1"/>
        <rFont val="Arial"/>
        <family val="2"/>
      </rPr>
      <t xml:space="preserve"> Policy &amp; procedure documentation will be uploaded to A-SCEND and tested
</t>
    </r>
  </si>
  <si>
    <t>A SOC 2 Type II assessment is completed on an annual basis by an external firm
Internally, the Director of TechOps is using Vanta to compare their readiness against other compliance frameworks (ISO 42001, 27001</t>
  </si>
  <si>
    <t>Observed Google Workspace Admin console "Gmail" security configurations which showed that all appropriate anti-spam protection mechanisms are in place
Observed the SentinelOne dashboard which demonstrated that the solution is centrally managed, endpoints are appropriately managed</t>
  </si>
  <si>
    <t xml:space="preserve">Employee Handbook is maintained within a Google Shared Drive. The TechOps drive is isolated to the appropriate team members.
Once the files are completed and finalized, they are put into AirMason for all employees to review and acknowledge 
</t>
  </si>
  <si>
    <r>
      <t xml:space="preserve">Portable and removable media is </t>
    </r>
    <r>
      <rPr>
        <b/>
        <sz val="10"/>
        <color theme="1"/>
        <rFont val="Arial"/>
        <family val="2"/>
      </rPr>
      <t>NOT</t>
    </r>
    <r>
      <rPr>
        <sz val="10"/>
        <color theme="1"/>
        <rFont val="Arial"/>
        <family val="2"/>
      </rPr>
      <t xml:space="preserve"> currently restricted. The organization is thinking of using MDM's in use like Kandji and Intune to enforce this.
Right now, SentinelOne is configured to scan removable media like USB's inserted into laptops.
Alerting within  SentinelOne is configured to send emails to the Director of TechOps. Tickets within the ticketing system, Fresh Service, are also created based on alerts generated</t>
    </r>
  </si>
  <si>
    <t xml:space="preserve">All changes are documented within change tickets within the Fresh Service ticketing system 
Approvals for smaller to medium changes are approved by individual control owners. While for larger changes, they have to be approved by the change board 
Testing methods and notes are completed by the appropriate stakeholders and documented for each change
</t>
  </si>
  <si>
    <t>Users complete annual security awareness training within KnowBe4; users are also provided the Handbook and required to acknowledge that book at onboarding and then annually, Talent keeps tabs through AirMason which tracks when users need to re-acknowledge documents.</t>
  </si>
  <si>
    <r>
      <t xml:space="preserve">Gap: </t>
    </r>
    <r>
      <rPr>
        <sz val="10"/>
        <color theme="1"/>
        <rFont val="Arial"/>
        <family val="2"/>
      </rPr>
      <t xml:space="preserve">MFA is not currently enforced by default throughout the organization.
</t>
    </r>
    <r>
      <rPr>
        <b/>
        <sz val="10"/>
        <color theme="1"/>
        <rFont val="Arial"/>
        <family val="2"/>
      </rPr>
      <t>Recommendation:</t>
    </r>
    <r>
      <rPr>
        <sz val="10"/>
        <color theme="1"/>
        <rFont val="Arial"/>
        <family val="2"/>
      </rPr>
      <t xml:space="preserve"> Management should ensure that MFA is technically enforced for all access to the in-scope environment.</t>
    </r>
  </si>
  <si>
    <t>Observed a change ticket for a new hire, which demonstrated that a workflow is in place to ensure users are granted the proper access rights and that the appropriate management involvement was followed to ensure appropriate roles/access rules/etc. are implemented.
Also observed segregation between the one requesting access and the user who was responsible for approving the access rights.</t>
  </si>
  <si>
    <t>Groups within Google and Entra are utilized. Users will be assigned to specific groups within Google Workspace and/or Entra based in their role and then will be provided access to application/utilities based on their role designations.</t>
  </si>
  <si>
    <r>
      <rPr>
        <b/>
        <sz val="10"/>
        <color theme="1"/>
        <rFont val="Arial"/>
        <family val="2"/>
      </rPr>
      <t xml:space="preserve">Gap: </t>
    </r>
    <r>
      <rPr>
        <sz val="10"/>
        <color theme="1"/>
        <rFont val="Arial"/>
        <family val="2"/>
      </rPr>
      <t xml:space="preserve">process for ensuring that transfers have their access rights properly revoked/updated is not formally developed/defined.
</t>
    </r>
    <r>
      <rPr>
        <b/>
        <sz val="10"/>
        <color theme="1"/>
        <rFont val="Arial"/>
        <family val="2"/>
      </rPr>
      <t>Recommendation</t>
    </r>
    <r>
      <rPr>
        <sz val="10"/>
        <color theme="1"/>
        <rFont val="Arial"/>
        <family val="2"/>
      </rPr>
      <t>: Management should ensure that an access revocation/update process is defined and documented to ensure their access rights are accurate.</t>
    </r>
  </si>
  <si>
    <t>Connection time controls are not implemented since access to the environment is required at all times based on varying time zones of users.</t>
  </si>
  <si>
    <t>User access rights are determined based on roles defined within Entra and Google Workspace. Only a select number of individuals are designated at privileged users.</t>
  </si>
  <si>
    <t>Observed a Google SecOps page and confirmed that users ae required to utilize a username/email address for ID to maintain accountability.</t>
  </si>
  <si>
    <t>Users are required to establish a password to their devices.
Due to the nature of the in-scope environment Azure VM servers and Google GCP server instances do not utilize a default password. Admins must establish passwords through SSH keys and/or the "sudo passwd" command.
Since Security groups are utilized for network access control, no default passwords are utilized.</t>
  </si>
  <si>
    <t xml:space="preserve">1Password is used by the Help desk to share out passwords (typically for new hires), password share will only be live for 7 days and an email will be sent to the user with the link to set their password, self-service is tied to the Entra ID </t>
  </si>
  <si>
    <t>Observed a reoccurring Fresh Service ticket which demonstrated that user account reviews are conducted on a quarterly basis due to Vanta alerts which notify users to review the appropriate accounts.
Vanta has alerts set for quarterly account reviews (only Workspace and Entra for the scope)</t>
  </si>
  <si>
    <t>Observed a login screen for a user attempting to access the environment with only their admin account which would de their "email domain-da" and then they would use a standard account for other duties.
Also observed one of the google admin accounts which demonstrated that users included within that account must use their "da" account to login.</t>
  </si>
  <si>
    <t>Observed a login screen for a user attempting to access the environment with only their admin account which would de their "email domain-da" and then they would use a standard account for other duties.
Also observed one of the google admin accounts which demonstrated that users included within that account must use their "da" account to login.
Observed a Google Admin SecOps group and determined that only certain individuals are included and there accounts are tracked/managed/reviewed within the tools and Vanta.</t>
  </si>
  <si>
    <t>Observed the Google SecOps page (Foresight) to review vulnerability findings and determined that scans are regularly completed and reviewed to ensure that any vulnerabilities detected are appropriately reviewed, triaged, and mitigated.</t>
  </si>
  <si>
    <t>Gap for Incident Response Plan, components would need to be added for the collection, retention, presentation of evidence for any instances of legal cases.</t>
  </si>
  <si>
    <t>Training held through KnowBe4 (security awareness and phishing) 
Training is provided at onboarding and annually thereafter.</t>
  </si>
  <si>
    <t>Roze Nicolas - Director of TechOps</t>
  </si>
  <si>
    <t>Contractors are provided training when brought into the environment.</t>
  </si>
  <si>
    <t>Observed the KnowBe4 dashboard which outlined the different training campaigns provided to Merge Users and confirmed that security awareness training is provided which covers topics for acceptable use.</t>
  </si>
  <si>
    <t>Observed the KnowBe4 dashboard which demonstrated that security training is provided to all users at hire and annually thereafter.
Observed the Incident Response Training, and Developer training campaigns which are provided to managers, those entering security roles, and executive security roles.</t>
  </si>
  <si>
    <t>Roze Nicolas - Director of TechOps
Nathaniel Dynkiewicz - General Counsel</t>
  </si>
  <si>
    <t>Partially inherited by both GCP and Azure.</t>
  </si>
  <si>
    <t>Third-party changes are handled by GCP and Azure for their respective environments.</t>
  </si>
  <si>
    <t>Moving forward terms and conditions will be added to the website with acknowledgement for users.</t>
  </si>
  <si>
    <r>
      <t>Gap</t>
    </r>
    <r>
      <rPr>
        <sz val="10"/>
        <color theme="1"/>
        <rFont val="Arial"/>
        <family val="2"/>
      </rPr>
      <t xml:space="preserve">: Terms and conditions or the product/service, right to monitor, liability, and acknowledgement are not currently in place
</t>
    </r>
    <r>
      <rPr>
        <b/>
        <sz val="10"/>
        <color theme="1"/>
        <rFont val="Arial"/>
        <family val="2"/>
      </rPr>
      <t>Recommendation</t>
    </r>
    <r>
      <rPr>
        <sz val="10"/>
        <color theme="1"/>
        <rFont val="Arial"/>
        <family val="2"/>
      </rPr>
      <t>: Management should ensure that that proper terms and conditions are added to the website</t>
    </r>
  </si>
  <si>
    <t xml:space="preserve">
Example test(s):
For example, examine the results of the most recent risk assessment performed and determine if the results and any corrective actions were documented and tracked in a repository (e.g., GRC system, risk register).</t>
  </si>
  <si>
    <t>Observed the Vanta instances where Merge will document/track the risk assessment.</t>
  </si>
  <si>
    <t>Managed at the MDM level (Kandji &amp; Intune)</t>
  </si>
  <si>
    <t xml:space="preserve">Observed the Kandji and Intune dashboards for devices and confirmed that a default restrictions policy is configured/implemented to all devices to ensure that no insecure services are included. </t>
  </si>
  <si>
    <t>Leverages a native tool within Google Workspace</t>
  </si>
  <si>
    <t xml:space="preserve">Observed email configurations within Google Workspace and confirmed that configurations are in place </t>
  </si>
  <si>
    <t>Observed the KnowBe4 dashboard where Security Awareness training is provided which briefly covers the topics for incident response.</t>
  </si>
  <si>
    <t>No incidents in the past 12 months.
In the event an incident occurs, incident tracking and remediation will take place within the ticketing system, which includes all relevant stakeholders.</t>
  </si>
  <si>
    <t>Users complete incident response training within the Security Awareness training, but it is a very broad covering of incident response
Users are also provided guidance on incidents within the Merge handbook, which is made available to all users through Air mason (observed on Day 1)
No incidents in the past 12 months.
In the event an incident occurs, incident tracking and remediation will take place within the ticketing system, which includes all relevant stakeholders.</t>
  </si>
  <si>
    <t>Merge does not have or utilize wireless access points within the boundary of its in-scope environment(s)/system(s).</t>
  </si>
  <si>
    <t>Observed the Active directory domain groups page which is leverage for all access within Entra and GCP. Users must be included within certain groups (Entra/GCP) in order to obtain access. Any sort of access changes or access granting will be tracked/managed within a service ticket to ensure authorizations and approvals are documented and tracked. Tickets will also include the service/system that the user is attempting to gain access to.</t>
  </si>
  <si>
    <t>Observed the Cisco Meraki dashboard which is configured to support the required components outlined within the requirement statement.</t>
  </si>
  <si>
    <t>Observed the Cisco Meraki dashboard and Google Security Group instances, validating that the network groups are uniquely identified.
Observed the Active directory domain groups page which is leverage for all access within Entra and GCP. Users must be included within certain groups (Entra/GCP) in order to obtain access. Any sort of access changes or access granting will be tracked/managed within a service ticket to ensure authorizations and approvals are documented and tracked. Tickets will also include the service/system that the user is attempting to gain access to.</t>
  </si>
  <si>
    <r>
      <rPr>
        <b/>
        <sz val="10"/>
        <color theme="1"/>
        <rFont val="Arial"/>
        <family val="2"/>
      </rPr>
      <t>Gap</t>
    </r>
    <r>
      <rPr>
        <sz val="10"/>
        <color theme="1"/>
        <rFont val="Arial"/>
        <family val="2"/>
      </rPr>
      <t xml:space="preserve">: Documentation does not outline the mechanisms in place for ensuring IDS/IPS is implemented.
</t>
    </r>
    <r>
      <rPr>
        <b/>
        <sz val="10"/>
        <color theme="1"/>
        <rFont val="Arial"/>
        <family val="2"/>
      </rPr>
      <t>Recommendation</t>
    </r>
    <r>
      <rPr>
        <sz val="10"/>
        <color theme="1"/>
        <rFont val="Arial"/>
        <family val="2"/>
      </rPr>
      <t>: Update the current documentation to outline the mechanisms in place for ensuring IDS/IPS is implemented.</t>
    </r>
  </si>
  <si>
    <r>
      <rPr>
        <b/>
        <sz val="10"/>
        <color theme="1"/>
        <rFont val="Arial"/>
        <family val="2"/>
      </rPr>
      <t>Gap</t>
    </r>
    <r>
      <rPr>
        <sz val="10"/>
        <color theme="1"/>
        <rFont val="Arial"/>
        <family val="2"/>
      </rPr>
      <t xml:space="preserve">: Currently implemented, but not documented.
</t>
    </r>
    <r>
      <rPr>
        <b/>
        <sz val="10"/>
        <color theme="1"/>
        <rFont val="Arial"/>
        <family val="2"/>
      </rPr>
      <t>Recommendation</t>
    </r>
    <r>
      <rPr>
        <sz val="10"/>
        <color theme="1"/>
        <rFont val="Arial"/>
        <family val="2"/>
      </rPr>
      <t>: Management should update the current documentation to address the components outlined within the requirement statement.</t>
    </r>
  </si>
  <si>
    <r>
      <rPr>
        <b/>
        <sz val="10"/>
        <color theme="1"/>
        <rFont val="Arial"/>
        <family val="2"/>
      </rPr>
      <t>Gap</t>
    </r>
    <r>
      <rPr>
        <sz val="10"/>
        <color theme="1"/>
        <rFont val="Arial"/>
        <family val="2"/>
      </rPr>
      <t xml:space="preserve">: DKIM and DMARC not currently implemented; Documentation does not include implementation specifics.
</t>
    </r>
    <r>
      <rPr>
        <b/>
        <sz val="10"/>
        <color theme="1"/>
        <rFont val="Arial"/>
        <family val="2"/>
      </rPr>
      <t>Recommendation</t>
    </r>
    <r>
      <rPr>
        <sz val="10"/>
        <color theme="1"/>
        <rFont val="Arial"/>
        <family val="2"/>
      </rPr>
      <t>: Finalize implementing DKIM and DMARC, Ensure that documentation is updated to reflect the new changes/implementations.</t>
    </r>
  </si>
  <si>
    <t>Observed email spoofing configurations within Google Workspace and confirmed it is in place.</t>
  </si>
  <si>
    <t>Observed the VPN configurations within the Meraki dashboard and determined that secure protocols are utilized through the implementation of an IPv4 VPN.</t>
  </si>
  <si>
    <r>
      <rPr>
        <b/>
        <sz val="10"/>
        <color theme="1"/>
        <rFont val="Arial"/>
        <family val="2"/>
      </rPr>
      <t>Gap</t>
    </r>
    <r>
      <rPr>
        <sz val="10"/>
        <color theme="1"/>
        <rFont val="Arial"/>
        <family val="2"/>
      </rPr>
      <t xml:space="preserve">: Documentation needs to be improved; does not indicate the specifics for system management.
</t>
    </r>
    <r>
      <rPr>
        <b/>
        <sz val="10"/>
        <color theme="1"/>
        <rFont val="Arial"/>
        <family val="2"/>
      </rPr>
      <t>Recommendation</t>
    </r>
    <r>
      <rPr>
        <sz val="10"/>
        <color theme="1"/>
        <rFont val="Arial"/>
        <family val="2"/>
      </rPr>
      <t>: Ensure documentation is updated to include the necessary requirements for interconnected systems.</t>
    </r>
  </si>
  <si>
    <t xml:space="preserve">Gap: 
Recommendation: </t>
  </si>
  <si>
    <t xml:space="preserve">Gap: </t>
  </si>
  <si>
    <t>List is not currently maintained</t>
  </si>
  <si>
    <t xml:space="preserve">Michael Wood - VP of AI Engineering
Kyle Smith - IT Operations and AI Expert 
</t>
  </si>
  <si>
    <t xml:space="preserve">AI Model cards are not maintained at this time, however, the organization is not at this time internally developing an AI system by the letter of the control requirement </t>
  </si>
  <si>
    <t>An AI Inventory is not currently maintained. However, the organization is currently working on developing an inventory within an Google spreadsheet. End goal is to have the Inventory maintained within Vanta for compliance purposes</t>
  </si>
  <si>
    <t>Incident Response Plan will be updated for how to respond to an AI-specific incidents
A dedicated AI-specific incident response test will be completed on at least an annual basis</t>
  </si>
  <si>
    <t>Control is not yet implemented at this time. However, these assessments will be completed on at least an annual basis in conjunction with the legal team to address the requirements outlined in this control</t>
  </si>
  <si>
    <t>Google SecOps with Foresight as the MSP who will monitor the environment as well as mitigate any alerted threats.
Also leverage Meraki and SentinelOne to ensure protection mechanisms monitor traffic, detect attacks, and are present at the perimeter.</t>
  </si>
  <si>
    <t>Users are provided the Merge Handbook, which is also available to them through Air Mason, which outlines the proper use for devices.
All devices are also enrolled within Endpoint protection solutions to prevent the auto-run of software and installation of unapproved software.</t>
  </si>
  <si>
    <t xml:space="preserve">AI policies and procedures are not formally maintained at this time.
Documentation will be developed and integrated to existing Merge policies and procedures
</t>
  </si>
  <si>
    <t xml:space="preserve">A formal change management process is not in place for AI system development </t>
  </si>
  <si>
    <t>AI Security assessments (penetration tests) are not currently completed at this time.
However, Merge will ensure these are done in the future inline with their current penetration testing efforts/schedule</t>
  </si>
  <si>
    <r>
      <t xml:space="preserve">AI systems being used (Vertex and Gemini) will be evaluated against these configurations. However, confirmation needs to be obtained that the systems are secured as such. 
</t>
    </r>
    <r>
      <rPr>
        <b/>
        <sz val="10"/>
        <color theme="1"/>
        <rFont val="Arial"/>
        <family val="2"/>
      </rPr>
      <t>Client note:</t>
    </r>
    <r>
      <rPr>
        <sz val="10"/>
        <color theme="1"/>
        <rFont val="Arial"/>
        <family val="2"/>
      </rPr>
      <t xml:space="preserve"> Review AI Security (Model Armor) for these configurations.</t>
    </r>
  </si>
  <si>
    <r>
      <t xml:space="preserve">AI policies and procedures are not formally maintained at this time.
Documentation will be developed and integrated to existing Merge policies and procedures
Access controls to AI model data and other data will be evaluated, as it is not clear if this control is implemented.
</t>
    </r>
    <r>
      <rPr>
        <b/>
        <sz val="10"/>
        <color theme="1"/>
        <rFont val="Arial"/>
        <family val="2"/>
      </rPr>
      <t xml:space="preserve">Note: </t>
    </r>
    <r>
      <rPr>
        <sz val="10"/>
        <color theme="1"/>
        <rFont val="Arial"/>
        <family val="2"/>
      </rPr>
      <t xml:space="preserve">Google SSO is being implemented. 
</t>
    </r>
  </si>
  <si>
    <r>
      <t xml:space="preserve">AI policies and procedures are not formally maintained at this time.
Documentation will be developed and integrated to existing Merge policies and procedures
AI systems being used (Vertex and Gemini) will be evaluated against these configurations. However, confirmation needs to be obtained that the systems are secured as such. 
</t>
    </r>
    <r>
      <rPr>
        <b/>
        <sz val="10"/>
        <color theme="1"/>
        <rFont val="Arial"/>
        <family val="2"/>
      </rPr>
      <t>Client note:</t>
    </r>
    <r>
      <rPr>
        <sz val="10"/>
        <color theme="1"/>
        <rFont val="Arial"/>
        <family val="2"/>
      </rPr>
      <t xml:space="preserve"> Review AI Security (Model Armor) for these configurations.</t>
    </r>
  </si>
  <si>
    <r>
      <t xml:space="preserve">Formal AI training is not completed at this time.
</t>
    </r>
    <r>
      <rPr>
        <b/>
        <sz val="10"/>
        <color theme="1"/>
        <rFont val="Arial"/>
        <family val="2"/>
      </rPr>
      <t>Note:</t>
    </r>
    <r>
      <rPr>
        <sz val="10"/>
        <color theme="1"/>
        <rFont val="Arial"/>
        <family val="2"/>
      </rPr>
      <t xml:space="preserve"> Secure development training is provided to developers through Knowbe4
Training content within KnowBe4 will be updated to consider the security details outlined within the requirement statement</t>
    </r>
  </si>
  <si>
    <r>
      <t xml:space="preserve">AI policies and procedures are not formally maintained at this time.
Documentation will be developed and integrated to existing Merge policies and procedures
AI systems being used (Vertex and Gemini) will be evaluated against these configurations. However, confirmation needs to be obtained that the systems are secured as such. 
</t>
    </r>
    <r>
      <rPr>
        <b/>
        <sz val="10"/>
        <color theme="1"/>
        <rFont val="Arial"/>
        <family val="2"/>
      </rPr>
      <t>Client note:</t>
    </r>
    <r>
      <rPr>
        <sz val="10"/>
        <color theme="1"/>
        <rFont val="Arial"/>
        <family val="2"/>
      </rPr>
      <t xml:space="preserve"> Review AI Security (Model Armor) for these configurations.
</t>
    </r>
    <r>
      <rPr>
        <b/>
        <sz val="10"/>
        <color theme="1"/>
        <rFont val="Arial"/>
        <family val="2"/>
      </rPr>
      <t xml:space="preserve">Note: </t>
    </r>
    <r>
      <rPr>
        <sz val="10"/>
        <color theme="1"/>
        <rFont val="Arial"/>
        <family val="2"/>
      </rPr>
      <t>Google SecOps is used to aggregate and collect logs from the Google Workspace and GCP. 
Foresite is used as a managed SOC to evaluate logs aggregated by Google SecOps.</t>
    </r>
  </si>
  <si>
    <r>
      <t xml:space="preserve">AI systems being used (Vertex and Gemini) will be evaluated against these configurations. However, confirmation needs to be obtained that the systems are secured as such. 
</t>
    </r>
    <r>
      <rPr>
        <b/>
        <sz val="10"/>
        <color theme="1"/>
        <rFont val="Arial"/>
        <family val="2"/>
      </rPr>
      <t>Client note:</t>
    </r>
    <r>
      <rPr>
        <sz val="10"/>
        <color theme="1"/>
        <rFont val="Arial"/>
        <family val="2"/>
      </rPr>
      <t xml:space="preserve"> Review AI Security (Model Armor) for these configurations.
</t>
    </r>
    <r>
      <rPr>
        <b/>
        <sz val="10"/>
        <color theme="1"/>
        <rFont val="Arial"/>
        <family val="2"/>
      </rPr>
      <t xml:space="preserve">Note: </t>
    </r>
    <r>
      <rPr>
        <sz val="10"/>
        <color theme="1"/>
        <rFont val="Arial"/>
        <family val="2"/>
      </rPr>
      <t>Google SecOps is used to aggregate and collect logs from the Google Workspace and GCP. 
Foresite is used as a managed SOC to evaluate logs aggregated by Google SecOps.</t>
    </r>
  </si>
  <si>
    <r>
      <t xml:space="preserve">Public SLA's are maintained by Google for Vertex AI and Gemini
</t>
    </r>
    <r>
      <rPr>
        <b/>
        <sz val="10"/>
        <color theme="1"/>
        <rFont val="Arial"/>
        <family val="2"/>
      </rPr>
      <t>Note:</t>
    </r>
    <r>
      <rPr>
        <sz val="10"/>
        <color theme="1"/>
        <rFont val="Arial"/>
        <family val="2"/>
      </rPr>
      <t xml:space="preserve"> All contracts and agreements with Google will be evaluated against the use of Vertex AI and Gemini. Merge to review Zilo for contracts and agreements </t>
    </r>
  </si>
  <si>
    <t>AI policies and procedures are not formally maintained at this time.
Documentation will be developed and integrated to existing Merge policies and procedures
AI backups themselves will need to be configured against the following:
- backups are configured for: training, test, and validation datasets
- backups are configured for: code used to create, train, and/or deploy AI models
- backups are configured for: tuning data
- backups are configured for: models
- backups are configured for: language model tools (e.g., plugins, agents)
- backups are configured for: AI system configurations (e.g., meta prompts)
- backups are configured for: prompt enhancement data for RAG</t>
  </si>
  <si>
    <t>AI use centered risk assessments are not completed at this time.
However, in the future, AI use centered risk assessments will be completed within Vanta at least every 180 days. The assessments will include all of the details outlined within the requirement statement</t>
  </si>
  <si>
    <t>AI release documentation is not maintained at this time</t>
  </si>
  <si>
    <t>Examine evidence that all evaluative elements within the requirement statement have been implemented as defined in the HITRUST scoring rubric, using a sample based test where possible for each evaluative element.
Example test(s):
For example, examine the relevant risk assessment policy and confirm that the purpose, scope, roles, responsibilities, management commitment, coordination among organizational entities, and compliance have been formally defined and documented.</t>
  </si>
  <si>
    <t>Examine evidence that all evaluative elements within the requirement statement have been implemented as defined in the HITRUST scoring rubric, using a sample based test where possible for each evaluative element.
Example test(s):
For example, examine the relevant risk assessment policy and confirm that it is developed and documented to be consistent with applicable laws, Executive Orders, directives, regulations, policies, standards, and guidelines. 
Further, confirm the relevant risk assessment policy addresses the organization\'s designation of an official to manage the development, documentation, and dissemination of the risk assessment policy and procedures.</t>
  </si>
  <si>
    <t>Examine evidence that all evaluative elements within the requirement statement have been implemented as defined in the HITRUST scoring rubric, using a sample based test where possible for each evaluative element.
Example test(s):
For example, obtain and examine evidence the organization has developed, documented, and disseminated policies and statements related to AI risk and risk management to stakeholders.</t>
  </si>
  <si>
    <t>Examine evidence that all evaluative elements within the requirement statement have been implemented as defined in the HITRUST scoring rubric, using a sample based test where possible for each evaluative element.
Example test(s):
For example, 
select a sample of risk management process documentation and reports produced by the organization and confirm they were created, retained, and handled in compliance with the requirements stipulated by the organization. 
Further, examine the organization’s requirements for creation, retention, and handling of documented information and confirm they take into account the use, sensitivity, and external and internal context of such information.</t>
  </si>
  <si>
    <t>Examine evidence that all evaluative elements within the requirement statement have been implemented as defined in the HITRUST scoring rubric, using a sample based test where possible for each evaluative element.
Example test(s):
For example, 
obtain and examine evidence to confirm the organization maintains an inventory that includes AI data, models, and systems
that it uses and/or develops.</t>
  </si>
  <si>
    <t>Examine evidence that all evaluative elements within the requirement statement have been implemented as defined in the HITRUST scoring rubric, using a sample based test where possible for each evaluative element.
Example test(s):
For example, obtain and examine the most recent annual AI system business impact analysis and confirm it contains documented consideration of the criticality of the impact, tangible and intangible impacts, and criteria used to establish the overall impact.</t>
  </si>
  <si>
    <t>An AI system business impact analysis is not completed at this time</t>
  </si>
  <si>
    <t>Examine evidence that all evaluative elements within the requirement statement have been implemented as defined in the HITRUST scoring rubric, using a sample based test where possible for each evaluative element.
Example test(s):
For example, obtain and examine an issued statement related to the organization\'s commitment to AI risk management.</t>
  </si>
  <si>
    <t>Statements related to the organization's commitment to AI risk management are not completed at this time</t>
  </si>
  <si>
    <t>Unable to confirm that MERGE allocates specialized resources to manage AI risk</t>
  </si>
  <si>
    <r>
      <rPr>
        <b/>
        <sz val="10"/>
        <color theme="1"/>
        <rFont val="Arial"/>
        <family val="2"/>
      </rPr>
      <t>Gap</t>
    </r>
    <r>
      <rPr>
        <sz val="10"/>
        <color theme="1"/>
        <rFont val="Arial"/>
        <family val="2"/>
      </rPr>
      <t xml:space="preserve">: 
Risk Management plan is "in place' but needs enhancements
</t>
    </r>
    <r>
      <rPr>
        <b/>
        <sz val="10"/>
        <color theme="1"/>
        <rFont val="Arial"/>
        <family val="2"/>
      </rPr>
      <t>Recommendation</t>
    </r>
    <r>
      <rPr>
        <sz val="10"/>
        <color theme="1"/>
        <rFont val="Arial"/>
        <family val="2"/>
      </rPr>
      <t>: 
Management should ensure that the risk management program/risk register within Vanta is enhanced to satisfy the HITRUST CSF.</t>
    </r>
  </si>
  <si>
    <t xml:space="preserve">AI policies and procedures are not formally maintained at this time.
Documentation will be developed and integrated to existing Merge policies and procedures
A review of the organizations risk management framework is not completed on an annual basis at this time
</t>
  </si>
  <si>
    <t xml:space="preserve">AI policies and procedures are not formally maintained at this time.
Documentation will be developed and integrated to existing Merge policies and procedures
</t>
  </si>
  <si>
    <t xml:space="preserve">An AI system assessment is not completed at this time.
</t>
  </si>
  <si>
    <t>An AI system societal impact analysis is not completed at this time</t>
  </si>
  <si>
    <r>
      <rPr>
        <b/>
        <sz val="10"/>
        <color theme="1"/>
        <rFont val="Arial"/>
        <family val="2"/>
      </rPr>
      <t>Gap</t>
    </r>
    <r>
      <rPr>
        <sz val="10"/>
        <color theme="1"/>
        <rFont val="Arial"/>
        <family val="2"/>
      </rPr>
      <t xml:space="preserve">: All inventories are not formally documented.
</t>
    </r>
    <r>
      <rPr>
        <b/>
        <sz val="10"/>
        <color theme="1"/>
        <rFont val="Arial"/>
        <family val="2"/>
      </rPr>
      <t>Recommendation:</t>
    </r>
    <r>
      <rPr>
        <sz val="10"/>
        <color theme="1"/>
        <rFont val="Arial"/>
        <family val="2"/>
      </rPr>
      <t xml:space="preserve"> Management should ensure that all inventories for in-scope assets are maintained.</t>
    </r>
  </si>
  <si>
    <t>Observed the Vanta dashboard which follows the same process as the vendor review which sends users a reminder about an upcoming review that needs to be completed.</t>
  </si>
  <si>
    <r>
      <rPr>
        <b/>
        <sz val="10"/>
        <color theme="1"/>
        <rFont val="Arial"/>
        <family val="2"/>
      </rPr>
      <t>Gap</t>
    </r>
    <r>
      <rPr>
        <sz val="10"/>
        <color theme="1"/>
        <rFont val="Arial"/>
        <family val="2"/>
      </rPr>
      <t xml:space="preserve">: Operating system, primary/secondary administrator, primary users not currently included within the asset inventory.
</t>
    </r>
    <r>
      <rPr>
        <b/>
        <sz val="10"/>
        <color theme="1"/>
        <rFont val="Arial"/>
        <family val="2"/>
      </rPr>
      <t>Recommendation</t>
    </r>
    <r>
      <rPr>
        <sz val="10"/>
        <color theme="1"/>
        <rFont val="Arial"/>
        <family val="2"/>
      </rPr>
      <t>: Management should ensure that they update the asset inventory to address all components addressed within the requirement statement.</t>
    </r>
  </si>
  <si>
    <r>
      <rPr>
        <b/>
        <sz val="10"/>
        <color theme="1"/>
        <rFont val="Arial"/>
        <family val="2"/>
      </rPr>
      <t>Gap</t>
    </r>
    <r>
      <rPr>
        <sz val="10"/>
        <color theme="1"/>
        <rFont val="Arial"/>
        <family val="2"/>
      </rPr>
      <t xml:space="preserve">: Share permissions are currently being worked on to ensure that documents are only shared to specific drives rather than the entire organization.
</t>
    </r>
    <r>
      <rPr>
        <b/>
        <sz val="10"/>
        <color theme="1"/>
        <rFont val="Arial"/>
        <family val="2"/>
      </rPr>
      <t>Recommendation</t>
    </r>
    <r>
      <rPr>
        <sz val="10"/>
        <color theme="1"/>
        <rFont val="Arial"/>
        <family val="2"/>
      </rPr>
      <t>: Management should ensure that permissions within the environment are adjusted to ensure users only have access to drives that they need access to.</t>
    </r>
  </si>
  <si>
    <r>
      <rPr>
        <b/>
        <sz val="10"/>
        <color theme="1"/>
        <rFont val="Arial"/>
        <family val="2"/>
      </rPr>
      <t>Gap</t>
    </r>
    <r>
      <rPr>
        <sz val="10"/>
        <color theme="1"/>
        <rFont val="Arial"/>
        <family val="2"/>
      </rPr>
      <t xml:space="preserve">: Not currently documented.
</t>
    </r>
    <r>
      <rPr>
        <b/>
        <sz val="10"/>
        <color theme="1"/>
        <rFont val="Arial"/>
        <family val="2"/>
      </rPr>
      <t>Recommendation</t>
    </r>
    <r>
      <rPr>
        <sz val="10"/>
        <color theme="1"/>
        <rFont val="Arial"/>
        <family val="2"/>
      </rPr>
      <t>: Management should ensure that documentation is updated to include the components outlined within the requirement statement.</t>
    </r>
  </si>
  <si>
    <r>
      <rPr>
        <b/>
        <sz val="10"/>
        <color theme="1"/>
        <rFont val="Arial"/>
        <family val="2"/>
      </rPr>
      <t>Gap</t>
    </r>
    <r>
      <rPr>
        <sz val="10"/>
        <color theme="1"/>
        <rFont val="Arial"/>
        <family val="2"/>
      </rPr>
      <t xml:space="preserve">: All inventories are not formally documented.
</t>
    </r>
    <r>
      <rPr>
        <b/>
        <sz val="10"/>
        <color theme="1"/>
        <rFont val="Arial"/>
        <family val="2"/>
      </rPr>
      <t>Recommendation:</t>
    </r>
    <r>
      <rPr>
        <sz val="10"/>
        <color theme="1"/>
        <rFont val="Arial"/>
        <family val="2"/>
      </rPr>
      <t xml:space="preserve"> Management should ensure that all inventories for in-scope assets are maintained in accordance with the requirement statement.</t>
    </r>
  </si>
  <si>
    <t>Observed the Vanta dashboard which houses the asset inventories, as well as follows the same process as the vendor review which sends users a reminder about an upcoming review that needs to be completed.</t>
  </si>
  <si>
    <t>Observed the Foresight Catalyst dashboard where the MSP will track/mitigate any sort of vulnerability discovered within the environment</t>
  </si>
  <si>
    <t xml:space="preserve">Observed a Foresight Provision report which was generated from a Tenable scan which outlines 
Observed a report from a Google SecOps virtual red-teaming scan which demonstrated that </t>
  </si>
  <si>
    <r>
      <rPr>
        <b/>
        <sz val="10"/>
        <color theme="1"/>
        <rFont val="Arial"/>
        <family val="2"/>
      </rPr>
      <t>Gap</t>
    </r>
    <r>
      <rPr>
        <sz val="10"/>
        <color theme="1"/>
        <rFont val="Arial"/>
        <family val="2"/>
      </rPr>
      <t xml:space="preserve">: Risk assessment within Vanta is not fully outlined.
</t>
    </r>
    <r>
      <rPr>
        <b/>
        <sz val="10"/>
        <color theme="1"/>
        <rFont val="Arial"/>
        <family val="2"/>
      </rPr>
      <t>Recommendation</t>
    </r>
    <r>
      <rPr>
        <sz val="10"/>
        <color theme="1"/>
        <rFont val="Arial"/>
        <family val="2"/>
      </rPr>
      <t>: Management should ensure that the risk assessment within Vanta is generated and outlined in accordance with the requirement statement.</t>
    </r>
  </si>
  <si>
    <r>
      <rPr>
        <b/>
        <sz val="10"/>
        <color theme="1"/>
        <rFont val="Arial"/>
        <family val="2"/>
      </rPr>
      <t>Gap</t>
    </r>
    <r>
      <rPr>
        <sz val="10"/>
        <color theme="1"/>
        <rFont val="Arial"/>
        <family val="2"/>
      </rPr>
      <t xml:space="preserve">: Requirements not currently outlined and defined.
</t>
    </r>
    <r>
      <rPr>
        <b/>
        <sz val="10"/>
        <color theme="1"/>
        <rFont val="Arial"/>
        <family val="2"/>
      </rPr>
      <t>Recommendation</t>
    </r>
    <r>
      <rPr>
        <sz val="10"/>
        <color theme="1"/>
        <rFont val="Arial"/>
        <family val="2"/>
      </rPr>
      <t>: Management should ensure that a list, process, and training requirements for the removal of equipment (USBs) is formally outlined and defined.</t>
    </r>
  </si>
  <si>
    <t>Fully inherited between GCP and Azure.</t>
  </si>
  <si>
    <r>
      <rPr>
        <b/>
        <sz val="10"/>
        <color theme="1"/>
        <rFont val="Arial"/>
        <family val="2"/>
      </rPr>
      <t>Gap</t>
    </r>
    <r>
      <rPr>
        <sz val="10"/>
        <color theme="1"/>
        <rFont val="Arial"/>
        <family val="2"/>
      </rPr>
      <t xml:space="preserve">: Documentation does not currently address the required components.
</t>
    </r>
    <r>
      <rPr>
        <b/>
        <sz val="10"/>
        <color theme="1"/>
        <rFont val="Arial"/>
        <family val="2"/>
      </rPr>
      <t>Recommendation</t>
    </r>
    <r>
      <rPr>
        <sz val="10"/>
        <color theme="1"/>
        <rFont val="Arial"/>
        <family val="2"/>
      </rPr>
      <t>: Management should ensure that current documentation is updated to address the components within the requirement statement.</t>
    </r>
  </si>
  <si>
    <r>
      <rPr>
        <b/>
        <sz val="10"/>
        <color theme="1"/>
        <rFont val="Arial"/>
        <family val="2"/>
      </rPr>
      <t>Gap</t>
    </r>
    <r>
      <rPr>
        <sz val="10"/>
        <color theme="1"/>
        <rFont val="Arial"/>
        <family val="2"/>
      </rPr>
      <t xml:space="preserve">: Current risk assessment does not address environmental hazards.
</t>
    </r>
    <r>
      <rPr>
        <b/>
        <sz val="10"/>
        <color theme="1"/>
        <rFont val="Arial"/>
        <family val="2"/>
      </rPr>
      <t>Recommendation</t>
    </r>
    <r>
      <rPr>
        <sz val="10"/>
        <color theme="1"/>
        <rFont val="Arial"/>
        <family val="2"/>
      </rPr>
      <t>: Management should ensure that environmental factors/hazards are included within the risk assessment.</t>
    </r>
  </si>
  <si>
    <t>Office not currently in scope. Users access rights are determined based on group/roles from Entra ID.</t>
  </si>
  <si>
    <r>
      <rPr>
        <b/>
        <sz val="10"/>
        <color theme="1"/>
        <rFont val="Arial"/>
        <family val="2"/>
      </rPr>
      <t>Gap:</t>
    </r>
    <r>
      <rPr>
        <sz val="10"/>
        <color theme="1"/>
        <rFont val="Arial"/>
        <family val="2"/>
      </rPr>
      <t xml:space="preserve"> NDA template does not include the applicable laws and regulations that will need to be reviewed. 
</t>
    </r>
    <r>
      <rPr>
        <b/>
        <sz val="10"/>
        <color theme="1"/>
        <rFont val="Arial"/>
        <family val="2"/>
      </rPr>
      <t>Recommendation</t>
    </r>
    <r>
      <rPr>
        <sz val="10"/>
        <color theme="1"/>
        <rFont val="Arial"/>
        <family val="2"/>
      </rPr>
      <t>: Management should ensure that the current NDA template is updated to address the components outlined within the requirement statement.</t>
    </r>
  </si>
  <si>
    <t xml:space="preserve">Observed a fresh service change ticket which outlines the process for regular review of the NDA template. 
</t>
  </si>
  <si>
    <r>
      <rPr>
        <b/>
        <sz val="10"/>
        <color theme="1"/>
        <rFont val="Arial"/>
        <family val="2"/>
      </rPr>
      <t>Gap</t>
    </r>
    <r>
      <rPr>
        <sz val="10"/>
        <color theme="1"/>
        <rFont val="Arial"/>
        <family val="2"/>
      </rPr>
      <t xml:space="preserve">: Electronic Labeling not currently in place.
</t>
    </r>
    <r>
      <rPr>
        <b/>
        <sz val="10"/>
        <color theme="1"/>
        <rFont val="Arial"/>
        <family val="2"/>
      </rPr>
      <t>Recommendation</t>
    </r>
    <r>
      <rPr>
        <sz val="10"/>
        <color theme="1"/>
        <rFont val="Arial"/>
        <family val="2"/>
      </rPr>
      <t>: Management should ensure that information is labelled according to its classification.</t>
    </r>
  </si>
  <si>
    <t>Observed the Google and Azure key management services to ensure that cryptographic controls/protections are in place.</t>
  </si>
  <si>
    <t>Open Source software utilized within the AI Garage application. Streamlining for approval and patching would take place within a change ticket and apply the change management process.</t>
  </si>
  <si>
    <t>Due diligence on vendors and third-party service providers through risk assessments and compliance attestation reviews. 
A similar evaluation process would be used to inspect AI software assets</t>
  </si>
  <si>
    <t>Regular (daily/weekly/monthly) Tenable scans are conducted and are conducted by the Foresight MSP.
TechOps are currently working on formalizing penetration trusting cadences.</t>
  </si>
  <si>
    <t>Daily/Weekly/Monthly Tenable scans are conducted with Foresight
SentinelOne is also used but it is not leveraged for endpoint vulnerability scanning, it essentially shows the same results as tenable.</t>
  </si>
  <si>
    <t>NDA review is also completed through other legal entities Merge West Inc and Partners and Simons.</t>
  </si>
  <si>
    <t>Observed the Kandji dashboard which ensures all Mac devices are auto updated
Also observed the Intune dashboard and confirmed a global policy is configured/implemented to ensure that Windows devices are automatically updated 
Monthly patching is conducted on the Windows servers, any error reporting will hit the proper IT teams, not auto-updated but since it is scheduled those patches/updates are installed following a review.</t>
  </si>
  <si>
    <t>Observed the Cisco Meraki dashboard which leverages Entra ID to ensure that only select users will have access. As well as is configured to ensure certain IPs are included on an allow list and the active directory server is leveraged.
Also observed that users must be included within a VPN group in order to access the environment.
Also observed API control configurations within the Google Admin page to ensure that allow lists are implemented.</t>
  </si>
  <si>
    <t>Observed the Google Key Management Service and confirmed that access is only granted through group roles and that the keys are stored in an encrypted format and keys are stored separately (Google Secret Manager).</t>
  </si>
  <si>
    <t>Observed the Foreside Catalyst log aggregation tool user access list and determined that only select individuals have access to the audit log tool/record.</t>
  </si>
  <si>
    <t>Observed the Foreside Catalyst log aggregation tool dashboard and determined that any faults reported would be sent to the correct team for triaging and review.</t>
  </si>
  <si>
    <t>Observed the KnowBe4 dashboard which outlined the different training campaigns provided to Merge Users and confirmed that phishing awareness training that includes recognition and reporting is provided.</t>
  </si>
  <si>
    <t>Observed the KnowBe4 dashboard which demonstrated that role-based training is provided to user to ensure they are made aware of their responsibilities
Observed the Incident Response Training, and Developer training campaigns which are provided to managers, those entering security roles, and executive security roles.</t>
  </si>
  <si>
    <t>Observed the Sada (Google Workspace) agreement which demonstrated that an agreement for data exchange with third parties is in place.</t>
  </si>
  <si>
    <t xml:space="preserve">Observed the Risk Management/Risk Scenarios/Risk Register within Vanta </t>
  </si>
  <si>
    <t xml:space="preserve">Observed the Vantas "Scope" dashboard which outlines all that is in scope and what will be included. 
Observed the Vanta vendors page where management can be reminded to ensure the proper review/due diligence is approved for the continued use. Management will review proper agreements, attestations, and compliance reports within Vanta to ensure the security review is conducted. </t>
  </si>
  <si>
    <t>Observed emails sent to management that originated from special interest groups (Google Security, Foresight, CISA, etc.) 
Also observed the Foreside Catalyst dashboard which also sends alerts/emerging threats to Merge for them to review and be made aware of.</t>
  </si>
  <si>
    <t>Observed a fresh service change ticket which outlines the approval of devices to teleworking users. Observed that a workflow within the ticket includes management approval/authorization.
Also observed a retriever receipt showing that the authorized device was sent to the approved user.</t>
  </si>
  <si>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security administration
- defines: data governance
- defines: software development
- defines: risk management
- defines: incident management
- defines: business continuity
- defines: disaster recovery </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</si>
  <si>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roles and responsibilities for governance
- defines: roles and responsibilities for security
- defines: roles and responsibilities for risk management
Further, management should ensure that the organization assigns human accountability for the actions performed by, outputs produced by, and decisions made by the organization’s deployed AI systems.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</si>
  <si>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relative legal requirements related to AI
- defines guidelines on ethical use and design of AI
- defines domain-specific guidelines and frameworks related to AI
- defines technology trends and advancements related to areas of AI
- defines societal and political implications of the deployment of AI systems
- defines external stakeholder perceptions, needs, and expectations
- defines how the use of AI can affect the ability of the organization to meet contractual obligations and guarantees
- defines contractual relationships during the design and production of AI systems and services
- defines how the use of AI can increase the complexity of networks and dependencies
- defines how an AI system can replace an existing system
- defines the risk benefits and risk transfers of an AI system versus the existing system can be undertaken, considering safety, environmental, social, technical and financial issues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</si>
  <si>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the effect that an AI system can have on the organization’s culture by shifting and introducing new responsibilities, roles and tasks
- defines any additional international, regional, national and local standards and guidelines that are imposed by the use of AI systems
- defines the additional risks to organizational knowledge related to transparency and explainability of AI systems
- defines that the use of AI systems can result in changes to the number of human resources needed to realize a certain capability, or in a variation of the type of resources needed
- defines the specific knowledge in AI technologies and data science required to develop and use AI systems
- defines the availability of AI tools, platforms and libraries which can enable the development of AI systems without there being a full understanding of the technology, its limitations and potential pitfalls
- defines the potential for AI to raise issues and opportunities related to intellectual property for specific AI systems
- defines how AI systems can be used to automate, optimize and enhance data handling
- defines additional quality and completeness constraints on data and information can be imposed by AI systems
- defines how the use of AI systems can increase the complexity of interdependencies and interconnections
- defines the consideration that the use of AI systems can increase the need for specialized training</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</si>
  <si>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AI system project-level processes are aligned with the organization's objective</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</si>
  <si>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assesses the following risk criteria: nature and type of uncertainties that can affect outcomes and objectives (both tangible and intangible)
- assesses the following risk criteria: how consequences (both positive and negative) and likelihood will be defined and measured
- assesses the following risk criteria: time-related factors
- assesses the following risk criteria: consistency in the use of measurements
- assesses the following risk criteria: how the level of risk is to be determined
- assesses the following risk criteria: how combinations and sequences of multiple risks will be taken into account
- assesses the following risk criteria: the organization’s capacity</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</si>
  <si>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assesses the following risk criteria: tangible and intangible sources of risk
- assesses the following risk criteria: causes and events
- assesses the following risk criteria: time-related factors
- assesses the following risk criteria: changes in the external and internal context
- assesses the following risk criteria: how the level of risk is to be determined
- assesses the following risk criteria: how combinations and sequences of multiple risks will be taken into account
- assesses the following risk criteria: the organization’s capacity
- assesses the following risk criteria: threats and opportunities
- assesses the following risk criteria: vulnerabilities and capabilities
- assesses the following risk criteria: the nature and value of assets and resources
- assesses the following risk criteria: consequences and their impact on objectives
- assesses the following risk criteria: indicators of emerging risks
- assesses the following risk criteria: limitations of knowledge and reliability of information
- assesses the following risk criteria: biases, assumptions and beliefs of those involved</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</si>
  <si>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how to figure out the likelihood of events and consequences
- defines how to figure out the nature and magnitude of consequences
- defines how to figure out the effectiveness of existing controls
- defines sensitivity and confidence levels
- defines complexity and connectivity requirements
- defines time-related factors and volatility</t>
    </r>
  </si>
  <si>
    <r>
      <rPr>
        <b/>
        <sz val="10"/>
        <color theme="1"/>
        <rFont val="Arial"/>
        <family val="2"/>
      </rPr>
      <t xml:space="preserve">Gap: </t>
    </r>
    <r>
      <rPr>
        <sz val="10"/>
        <color theme="1"/>
        <rFont val="Arial"/>
        <family val="2"/>
      </rPr>
      <t xml:space="preserve">
A formal change management process is not in place for AI system development. 
</t>
    </r>
    <r>
      <rPr>
        <b/>
        <sz val="10"/>
        <color theme="1"/>
        <rFont val="Arial"/>
        <family val="2"/>
      </rPr>
      <t>Recommendation:</t>
    </r>
    <r>
      <rPr>
        <sz val="10"/>
        <color theme="1"/>
        <rFont val="Arial"/>
        <family val="2"/>
      </rPr>
      <t xml:space="preserve">
Management should ensure that a formal change management process is in place for AI system development. Merge will be moving to the Jira ticketing system to manage the development process. Workflow being developed will consider the following:
- defines process for: documenting changes
- defines process for: testing changes
- defines process for: approving changes
- defines process for: reviewing release notes</t>
    </r>
  </si>
  <si>
    <r>
      <rPr>
        <b/>
        <sz val="10"/>
        <color theme="1"/>
        <rFont val="Arial"/>
        <family val="2"/>
      </rPr>
      <t xml:space="preserve">Gap: </t>
    </r>
    <r>
      <rPr>
        <sz val="10"/>
        <color theme="1"/>
        <rFont val="Arial"/>
        <family val="2"/>
      </rPr>
      <t xml:space="preserve">
AI Model cards are not maintained at this time. 
</t>
    </r>
    <r>
      <rPr>
        <b/>
        <sz val="10"/>
        <color theme="1"/>
        <rFont val="Arial"/>
        <family val="2"/>
      </rPr>
      <t>Recommendation:</t>
    </r>
    <r>
      <rPr>
        <sz val="10"/>
        <color theme="1"/>
        <rFont val="Arial"/>
        <family val="2"/>
      </rPr>
      <t xml:space="preserve">
Management should ensure that for any internally produced AI system, AI Model cards are developed and maintained and contain the following:
- model card includes: model details
- model card includes: intended use
- model card includes: training details
- model card includes: evaluation details
- model card includes: usage caveats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</si>
  <si>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process for: documenting changes
- defines process for: testing changes
- defines process for: approving changes
</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</si>
  <si>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system documentation includes: creation, operation, and lifecycle management of any models
- system documentation includes: datasets (including data used for training, tuning, and prompt enhancement via RAG)
- system documentation includes: configurations (e.g., meta prompts)
- system documentation includes: language model tools and plugins
- system documentation includes: tooling resources (e.g., AI platforms, model engineering environments)
- system documentation includes: system and computing resources
- system documentation includes: human resources needed for development and operation</t>
    </r>
  </si>
  <si>
    <r>
      <rPr>
        <b/>
        <sz val="10"/>
        <color theme="1"/>
        <rFont val="Arial"/>
        <family val="2"/>
      </rPr>
      <t xml:space="preserve">Gap: </t>
    </r>
    <r>
      <rPr>
        <sz val="10"/>
        <color theme="1"/>
        <rFont val="Arial"/>
        <family val="2"/>
      </rPr>
      <t xml:space="preserve">
A formal change management process is not in place for AI system development. 
</t>
    </r>
    <r>
      <rPr>
        <b/>
        <sz val="10"/>
        <color theme="1"/>
        <rFont val="Arial"/>
        <family val="2"/>
      </rPr>
      <t>Recommendation:</t>
    </r>
    <r>
      <rPr>
        <sz val="10"/>
        <color theme="1"/>
        <rFont val="Arial"/>
        <family val="2"/>
      </rPr>
      <t xml:space="preserve">
Management should ensure that a formal change management process is in place for AI system development. Merge will be moving to the Jira ticketing system to manage the development process. Workflow being developed will consider the following:
- an explicit linkage between the versions of the training dataset used, the pipeline configuration used, and the resulting AI model.</t>
    </r>
  </si>
  <si>
    <r>
      <rPr>
        <b/>
        <sz val="10"/>
        <color theme="1"/>
        <rFont val="Arial"/>
        <family val="2"/>
      </rPr>
      <t xml:space="preserve">Gap: </t>
    </r>
    <r>
      <rPr>
        <sz val="10"/>
        <color theme="1"/>
        <rFont val="Arial"/>
        <family val="2"/>
      </rPr>
      <t xml:space="preserve">
An AI Inventory is not currently maintained. 
</t>
    </r>
    <r>
      <rPr>
        <b/>
        <sz val="10"/>
        <color theme="1"/>
        <rFont val="Arial"/>
        <family val="2"/>
      </rPr>
      <t>Recommendation:</t>
    </r>
    <r>
      <rPr>
        <sz val="10"/>
        <color theme="1"/>
        <rFont val="Arial"/>
        <family val="2"/>
      </rPr>
      <t xml:space="preserve">
Management should ensure that an AI inventory is developed using Google sheets and contains the following details:
- artificial intelligence assets are tracked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configurations of pipelines used to create, train, and/or deploy AI models
- artificial intelligence asset tracking includes: code used by language model tools such as agents and plugins (if used)
- artificial intelligence asset tracking includes: models
</t>
    </r>
  </si>
  <si>
    <r>
      <rPr>
        <b/>
        <sz val="10"/>
        <color theme="1"/>
        <rFont val="Arial"/>
        <family val="2"/>
      </rPr>
      <t xml:space="preserve">Gap: </t>
    </r>
    <r>
      <rPr>
        <sz val="10"/>
        <color theme="1"/>
        <rFont val="Arial"/>
        <family val="2"/>
      </rPr>
      <t xml:space="preserve">
AI security assessments (penetration tests) are not currently completed at this time.
</t>
    </r>
    <r>
      <rPr>
        <b/>
        <sz val="10"/>
        <color theme="1"/>
        <rFont val="Arial"/>
        <family val="2"/>
      </rPr>
      <t>Recommendation:</t>
    </r>
    <r>
      <rPr>
        <sz val="10"/>
        <color theme="1"/>
        <rFont val="Arial"/>
        <family val="2"/>
      </rPr>
      <t xml:space="preserve">
Management should ensure that AI security assessments (penetration tests) are completed on at least an annual basis. 
</t>
    </r>
  </si>
  <si>
    <r>
      <rPr>
        <b/>
        <sz val="10"/>
        <color theme="1"/>
        <rFont val="Arial"/>
        <family val="2"/>
      </rPr>
      <t xml:space="preserve">Gap: </t>
    </r>
    <r>
      <rPr>
        <sz val="10"/>
        <color theme="1"/>
        <rFont val="Arial"/>
        <family val="2"/>
      </rPr>
      <t xml:space="preserve">
An AI Inventory is not currently maintained. 
</t>
    </r>
    <r>
      <rPr>
        <b/>
        <sz val="10"/>
        <color theme="1"/>
        <rFont val="Arial"/>
        <family val="2"/>
      </rPr>
      <t>Recommendation:</t>
    </r>
    <r>
      <rPr>
        <sz val="10"/>
        <color theme="1"/>
        <rFont val="Arial"/>
        <family val="2"/>
      </rPr>
      <t xml:space="preserve">
Management should ensure that an AI inventory is developed using Google sheets and contains the following details:
- artificial intelligence assets are tracked
- artificial intelligence tracking includes: system owner
- artificial intelligence tracking includes: system sensitivity/risk categorization
- artificial intelligence tracking includes: models
Further, management should ensure that the inventory is reviewed at least every 180 days</t>
    </r>
  </si>
  <si>
    <r>
      <rPr>
        <b/>
        <sz val="10"/>
        <color theme="1"/>
        <rFont val="Arial"/>
        <family val="2"/>
      </rPr>
      <t xml:space="preserve">Gap: </t>
    </r>
    <r>
      <rPr>
        <sz val="10"/>
        <color theme="1"/>
        <rFont val="Arial"/>
        <family val="2"/>
      </rPr>
      <t xml:space="preserve">
An AI Inventory is not currently maintained. 
</t>
    </r>
    <r>
      <rPr>
        <b/>
        <sz val="10"/>
        <color theme="1"/>
        <rFont val="Arial"/>
        <family val="2"/>
      </rPr>
      <t>Recommendation:</t>
    </r>
    <r>
      <rPr>
        <sz val="10"/>
        <color theme="1"/>
        <rFont val="Arial"/>
        <family val="2"/>
      </rPr>
      <t xml:space="preserve">
Management should ensure that an AI inventory is developed using Google sheets and contains the following details: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t>
    </r>
  </si>
  <si>
    <r>
      <rPr>
        <b/>
        <sz val="10"/>
        <color theme="1"/>
        <rFont val="Arial"/>
        <family val="2"/>
      </rPr>
      <t xml:space="preserve">Gap: </t>
    </r>
    <r>
      <rPr>
        <sz val="10"/>
        <color theme="1"/>
        <rFont val="Arial"/>
        <family val="2"/>
      </rPr>
      <t xml:space="preserve">
An AI Inventory is not currently maintained. 
</t>
    </r>
    <r>
      <rPr>
        <b/>
        <sz val="10"/>
        <color theme="1"/>
        <rFont val="Arial"/>
        <family val="2"/>
      </rPr>
      <t>Recommendation:</t>
    </r>
    <r>
      <rPr>
        <sz val="10"/>
        <color theme="1"/>
        <rFont val="Arial"/>
        <family val="2"/>
      </rPr>
      <t xml:space="preserve">
Management should ensure that an AI inventory is developed using Google sheets and contains the following details: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dataset creation dates and sensitivity levels
Further, management should ensure that the inventory is reviewed at least every 180 days</t>
    </r>
  </si>
  <si>
    <r>
      <rPr>
        <b/>
        <sz val="10"/>
        <color theme="1"/>
        <rFont val="Arial"/>
        <family val="2"/>
      </rPr>
      <t xml:space="preserve">Gap: </t>
    </r>
    <r>
      <rPr>
        <sz val="10"/>
        <color theme="1"/>
        <rFont val="Arial"/>
        <family val="2"/>
      </rPr>
      <t xml:space="preserve">
An AI Inventory is not currently maintained. 
</t>
    </r>
    <r>
      <rPr>
        <b/>
        <sz val="10"/>
        <color theme="1"/>
        <rFont val="Arial"/>
        <family val="2"/>
      </rPr>
      <t>Recommendation:</t>
    </r>
    <r>
      <rPr>
        <sz val="10"/>
        <color theme="1"/>
        <rFont val="Arial"/>
        <family val="2"/>
      </rPr>
      <t xml:space="preserve">
Management should ensure that an AI inventory is developed using Google sheets and contains the following details:
- AI data
- AI models
- AI systems
</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</si>
  <si>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these configurations:
- configured to filter user inputs for suspicious and/or unexpected values/patterns</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</si>
  <si>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 artificial intelligence model training is checked prior to usage
- artificial intelligence model tuning is checked prior to usage
- artificial intelligence prompt enhancement via RAG (if used) is checked prior to usage
- identified anomalous entries are removed
 - checked using statistical methods
 - checked through manual inspection
 - checked through automated means</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</si>
  <si>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these configurations:
- configured to prevent sensitive data contained within generative artificial intelligence model from being shown to end users</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</si>
  <si>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 cryptographic hashes and/or digital signatures are checked for: downloaded artificial intelligence models
- cryptographic hashes and/or digital signatures are checked for: downloaded artificial intelligence software packages
- cryptographic hashes and/or digital signatures are checked for: downloaded artificial intelligence datasets
- cryptographic hashes and/or digital signatures are checked for: downloaded artificial intelligence language model tools</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</si>
  <si>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 precision and specificity of outputs configured to limit adversary's ability to extract information from model</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</si>
  <si>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these configurations:
- configured to apply output encoding on textual outputs</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</si>
  <si>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these configurations:
- configured to limit/throttle total number and rate of API calls a user can make</t>
    </r>
  </si>
  <si>
    <r>
      <rPr>
        <b/>
        <sz val="10"/>
        <color theme="1"/>
        <rFont val="Arial"/>
        <family val="2"/>
      </rPr>
      <t xml:space="preserve">Gap: </t>
    </r>
    <r>
      <rPr>
        <sz val="10"/>
        <color theme="1"/>
        <rFont val="Arial"/>
        <family val="2"/>
      </rPr>
      <t xml:space="preserve">
Do not have assurance that inspections were carried out on all AI software assets in use.
</t>
    </r>
    <r>
      <rPr>
        <b/>
        <sz val="10"/>
        <color theme="1"/>
        <rFont val="Arial"/>
        <family val="2"/>
      </rPr>
      <t>Recommendation:</t>
    </r>
    <r>
      <rPr>
        <sz val="10"/>
        <color theme="1"/>
        <rFont val="Arial"/>
        <family val="2"/>
      </rPr>
      <t xml:space="preserve">
Management should ensure that inspections are carried out on all AI software assets prior to their use. </t>
    </r>
  </si>
  <si>
    <r>
      <rPr>
        <b/>
        <sz val="10"/>
        <color theme="1"/>
        <rFont val="Arial"/>
        <family val="2"/>
      </rPr>
      <t>Gap</t>
    </r>
    <r>
      <rPr>
        <sz val="10"/>
        <color theme="1"/>
        <rFont val="Arial"/>
        <family val="2"/>
      </rPr>
      <t xml:space="preserve">: Documentation does not outline how Merge is ensuring that users cannot access unknown and/or malicious websites.
</t>
    </r>
    <r>
      <rPr>
        <b/>
        <sz val="10"/>
        <color theme="1"/>
        <rFont val="Arial"/>
        <family val="2"/>
      </rPr>
      <t>Recommendation</t>
    </r>
    <r>
      <rPr>
        <sz val="10"/>
        <color theme="1"/>
        <rFont val="Arial"/>
        <family val="2"/>
      </rPr>
      <t>: Management should update current documentation to outline the technical tools in place to ensure users cannot access unknown and/or malicious websites.</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</si>
  <si>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 encryption implemented between artificial intelligence model and output interface</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</si>
  <si>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Appropriate access controls to AI models and other assets could not be confirmed. 
</t>
    </r>
    <r>
      <rPr>
        <b/>
        <sz val="10"/>
        <color theme="1"/>
        <rFont val="Arial"/>
        <family val="2"/>
      </rPr>
      <t>Recommendation:</t>
    </r>
    <r>
      <rPr>
        <sz val="10"/>
        <color theme="1"/>
        <rFont val="Arial"/>
        <family val="2"/>
      </rPr>
      <t xml:space="preserve">
Management should ensure that AI policies and procedures are developed considering the following: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Further, management should ensure that appropriate access controls to AI models and other assets is implemented considering the following:
- access to data and system capabilities limited to least privilege principle for generative artificial intelligence model</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</si>
  <si>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Appropriate access controls to AI models and other assets could not be confirmed. 
</t>
    </r>
    <r>
      <rPr>
        <b/>
        <sz val="10"/>
        <color theme="1"/>
        <rFont val="Arial"/>
        <family val="2"/>
      </rPr>
      <t>Recommendation:</t>
    </r>
    <r>
      <rPr>
        <sz val="10"/>
        <color theme="1"/>
        <rFont val="Arial"/>
        <family val="2"/>
      </rPr>
      <t xml:space="preserve">
Management should ensure that AI policies and procedures are developed considering the following: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Further, management should ensure that appropriate access controls to AI models and other assets is implemented considering the following:
- access to data used to train, test, validate, and fine-tune model is restricts according to the organization’s access control program</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</si>
  <si>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Appropriate access controls to AI models and other assets could not be confirmed. 
</t>
    </r>
    <r>
      <rPr>
        <b/>
        <sz val="10"/>
        <color theme="1"/>
        <rFont val="Arial"/>
        <family val="2"/>
      </rPr>
      <t>Recommendation:</t>
    </r>
    <r>
      <rPr>
        <sz val="10"/>
        <color theme="1"/>
        <rFont val="Arial"/>
        <family val="2"/>
      </rPr>
      <t xml:space="preserve">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generative artificial intelligence model is restricted according to the organization’s access control program</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</si>
  <si>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Appropriate access controls to AI models and other assets could not be confirmed. 
</t>
    </r>
    <r>
      <rPr>
        <b/>
        <sz val="10"/>
        <color theme="1"/>
        <rFont val="Arial"/>
        <family val="2"/>
      </rPr>
      <t>Recommendation:</t>
    </r>
    <r>
      <rPr>
        <sz val="10"/>
        <color theme="1"/>
        <rFont val="Arial"/>
        <family val="2"/>
      </rPr>
      <t xml:space="preserve">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generative artificial intelligence model and language model tools is restricted for APIs and end-users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</si>
  <si>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Appropriate access controls to AI models and other assets could not be confirmed. 
</t>
    </r>
    <r>
      <rPr>
        <b/>
        <sz val="10"/>
        <color theme="1"/>
        <rFont val="Arial"/>
        <family val="2"/>
      </rPr>
      <t>Recommendation:</t>
    </r>
    <r>
      <rPr>
        <sz val="10"/>
        <color theme="1"/>
        <rFont val="Arial"/>
        <family val="2"/>
      </rPr>
      <t xml:space="preserve">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artificial intelligence engineering environment is restricted
- access to artificial intelligence code used to create, train, and/or deploy models is restricted
- access to artificial intelligence code of language model tools is restricted</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</si>
  <si>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policies and procedures are developed considering the following:
- outlines encryption strength for artificial intelligence data at rest
- outlines encryption key management for artificial intelligence data at rest
Management should ensure that AI systems being used (Vertex and Gemini) are evaluated against:
Management should ensure that AI systems being used (Vertex and Gemini) are evaluated against:
- encryption implemented between artificial intelligence model and output interface</t>
    </r>
  </si>
  <si>
    <r>
      <rPr>
        <b/>
        <sz val="10"/>
        <color theme="1"/>
        <rFont val="Arial"/>
        <family val="2"/>
      </rPr>
      <t xml:space="preserve">Gap: </t>
    </r>
    <r>
      <rPr>
        <sz val="10"/>
        <color theme="1"/>
        <rFont val="Arial"/>
        <family val="2"/>
      </rPr>
      <t xml:space="preserve">
Do not have assurance that AI systems being used are configured as the requirement statement has outlined. 
</t>
    </r>
    <r>
      <rPr>
        <b/>
        <sz val="10"/>
        <color theme="1"/>
        <rFont val="Arial"/>
        <family val="2"/>
      </rPr>
      <t>Recommendation:</t>
    </r>
    <r>
      <rPr>
        <sz val="10"/>
        <color theme="1"/>
        <rFont val="Arial"/>
        <family val="2"/>
      </rPr>
      <t xml:space="preserve">
Management should ensure that AI systems being used (Vertex and Gemini) are evaluated against:
- configured to allow human operators to ability to: evaluate outputs before relying on them
- configured to allow human operators to ability to: intervene in model-initiated actions</t>
    </r>
  </si>
  <si>
    <r>
      <rPr>
        <b/>
        <sz val="10"/>
        <color theme="1"/>
        <rFont val="Arial"/>
        <family val="2"/>
      </rPr>
      <t xml:space="preserve">Gap: </t>
    </r>
    <r>
      <rPr>
        <sz val="10"/>
        <color theme="1"/>
        <rFont val="Arial"/>
        <family val="2"/>
      </rPr>
      <t xml:space="preserve">
Do not have assurance that AI systems being used are monitored as outlined within the requirement statement. 
</t>
    </r>
    <r>
      <rPr>
        <b/>
        <sz val="10"/>
        <color theme="1"/>
        <rFont val="Arial"/>
        <family val="2"/>
      </rPr>
      <t>Recommendation:</t>
    </r>
    <r>
      <rPr>
        <sz val="10"/>
        <color theme="1"/>
        <rFont val="Arial"/>
        <family val="2"/>
      </rPr>
      <t xml:space="preserve">
Management should ensure that AI systems being used (Vertex and Gemini) are monitored and consider the following:
- monthly monitoring/review performed on artificial intelligence inputs to identify anomalies
- monthly monitoring/review performed on artificial intelligence outputs to identify anomalies</t>
    </r>
  </si>
  <si>
    <r>
      <rPr>
        <b/>
        <sz val="10"/>
        <color theme="1"/>
        <rFont val="Arial"/>
        <family val="2"/>
      </rPr>
      <t xml:space="preserve">Gap: </t>
    </r>
    <r>
      <rPr>
        <sz val="10"/>
        <color theme="1"/>
        <rFont val="Arial"/>
        <family val="2"/>
      </rPr>
      <t xml:space="preserve">
Do not have assurance that AI systems being used are monitored as outlined within the requirement statement. 
</t>
    </r>
    <r>
      <rPr>
        <b/>
        <sz val="10"/>
        <color theme="1"/>
        <rFont val="Arial"/>
        <family val="2"/>
      </rPr>
      <t>Recommendation:</t>
    </r>
    <r>
      <rPr>
        <sz val="10"/>
        <color theme="1"/>
        <rFont val="Arial"/>
        <family val="2"/>
      </rPr>
      <t xml:space="preserve">
Management should ensure that AI systems being used (Vertex and Gemini) are monitored and consider the following:
- monthly monitoring/review performed on artificial intelligence for suspicious manipulation of: AI-related datasets
- monthly monitoring/review performed on artificial intelligence for suspicious manipulation of: AI models
- monthly monitoring/review performed on artificial intelligence for suspicious manipulation of: AI-relevant code
- monthly monitoring/review performed on artificial intelligence for suspicious manipulation of: AI-relevant configurations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</si>
  <si>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Do not have assurance that AI systems being used are monitored as outlined within the requirement statement. 
</t>
    </r>
    <r>
      <rPr>
        <b/>
        <sz val="10"/>
        <color theme="1"/>
        <rFont val="Arial"/>
        <family val="2"/>
      </rPr>
      <t xml:space="preserve">Recommendation:
</t>
    </r>
    <r>
      <rPr>
        <sz val="10"/>
        <color theme="1"/>
        <rFont val="Arial"/>
        <family val="2"/>
      </rPr>
      <t xml:space="preserve">Management should ensure that AI policies and procedures are developed considering the following:
- outlines artificial intelligence log management process
Management should ensure that AI systems being used (Vertex and Gemini) are monitored and consider the following:
- logging includes: the exact input
- logging includes: the date and time of the input
- logging includes: the user account making the request
- logging includes: where the request originated
- logging includes: the exact output provided
- logging includes: the version of the model used
- logs managed in accordance with organization's audit logging and monitoring program </t>
    </r>
  </si>
  <si>
    <r>
      <rPr>
        <b/>
        <sz val="10"/>
        <color theme="1"/>
        <rFont val="Arial"/>
        <family val="2"/>
      </rPr>
      <t>Gap</t>
    </r>
    <r>
      <rPr>
        <sz val="10"/>
        <color theme="1"/>
        <rFont val="Arial"/>
        <family val="2"/>
      </rPr>
      <t xml:space="preserve">: Clock synchronization not currently in place.
</t>
    </r>
    <r>
      <rPr>
        <b/>
        <sz val="10"/>
        <color theme="1"/>
        <rFont val="Arial"/>
        <family val="2"/>
      </rPr>
      <t>Recommendation</t>
    </r>
    <r>
      <rPr>
        <sz val="10"/>
        <color theme="1"/>
        <rFont val="Arial"/>
        <family val="2"/>
      </rPr>
      <t>: Management shall ensure that in-scope network devices utilizes 2 different time sources to validate the time events occur within the in-scope environment.</t>
    </r>
  </si>
  <si>
    <r>
      <rPr>
        <b/>
        <sz val="10"/>
        <color theme="1"/>
        <rFont val="Arial"/>
        <family val="2"/>
      </rPr>
      <t xml:space="preserve">Gap: 
</t>
    </r>
    <r>
      <rPr>
        <sz val="10"/>
        <color theme="1"/>
        <rFont val="Arial"/>
        <family val="2"/>
      </rPr>
      <t xml:space="preserve">Formal AI training is not completed at this time.
</t>
    </r>
    <r>
      <rPr>
        <b/>
        <sz val="10"/>
        <color theme="1"/>
        <rFont val="Arial"/>
        <family val="2"/>
      </rPr>
      <t xml:space="preserve">Recommendation:
</t>
    </r>
    <r>
      <rPr>
        <sz val="10"/>
        <color theme="1"/>
        <rFont val="Arial"/>
        <family val="2"/>
      </rPr>
      <t>Management should ensure that formal AI training is completed on at least an annual basis and considers the following:
- artificial intelligence training provided on: development
- artificial intelligence training provided on: data science
- artificial intelligence training provided on: cybersecurity
- artificial intelligence training is provided at least annually to all appropriate parties</t>
    </r>
  </si>
  <si>
    <r>
      <rPr>
        <b/>
        <sz val="10"/>
        <color theme="1"/>
        <rFont val="Arial"/>
        <family val="2"/>
      </rPr>
      <t xml:space="preserve">Gap: </t>
    </r>
    <r>
      <rPr>
        <sz val="10"/>
        <color theme="1"/>
        <rFont val="Arial"/>
        <family val="2"/>
      </rPr>
      <t xml:space="preserve">
AI Model cards are not maintained at this time, nor are they reviewed prior to the deployment of AI models in production applications
</t>
    </r>
    <r>
      <rPr>
        <b/>
        <sz val="10"/>
        <color theme="1"/>
        <rFont val="Arial"/>
        <family val="2"/>
      </rPr>
      <t>Recommendation:</t>
    </r>
    <r>
      <rPr>
        <sz val="10"/>
        <color theme="1"/>
        <rFont val="Arial"/>
        <family val="2"/>
      </rPr>
      <t xml:space="preserve">
Management should ensure that for any internally produced AI system, AI Model cards are developed, maintained, and reviewed prior to deployment.</t>
    </r>
  </si>
  <si>
    <r>
      <rPr>
        <b/>
        <sz val="10"/>
        <color theme="1"/>
        <rFont val="Arial"/>
        <family val="2"/>
      </rPr>
      <t xml:space="preserve">Gap: </t>
    </r>
    <r>
      <rPr>
        <sz val="10"/>
        <color theme="1"/>
        <rFont val="Arial"/>
        <family val="2"/>
      </rPr>
      <t xml:space="preserve">
Assurance could not be obtained demonstrating that contracts and agreements with Google outline the details of the requirement statement. 
</t>
    </r>
    <r>
      <rPr>
        <b/>
        <sz val="10"/>
        <color theme="1"/>
        <rFont val="Arial"/>
        <family val="2"/>
      </rPr>
      <t>Recommendation:</t>
    </r>
    <r>
      <rPr>
        <sz val="10"/>
        <color theme="1"/>
        <rFont val="Arial"/>
        <family val="2"/>
      </rPr>
      <t xml:space="preserve">
Management should ensure that contracts and agreements with Google consider the following:
Provide evidence that an agreement was executed that included security requirements for AI models for all selected samples.
Provide evidence that an agreement was executed that included security requirements for AI datasets for all selected samples.
Provide evidence that an agreement was executed that included security requirements for AI software packages for all selected samples.
Provide evidence that an agreement was executed that included security requirements for AI platforms and computing infrastructure for all selected samples.
Provide evidence that an agreement was executed that included security requirements for AI language model tools for all selected samples.
Provide evidence that an agreement was executed that included contracted AI system-related services for all selected samples.</t>
    </r>
  </si>
  <si>
    <r>
      <rPr>
        <b/>
        <sz val="10"/>
        <color theme="1"/>
        <rFont val="Arial"/>
        <family val="2"/>
      </rPr>
      <t xml:space="preserve">Gap: </t>
    </r>
    <r>
      <rPr>
        <sz val="10"/>
        <color theme="1"/>
        <rFont val="Arial"/>
        <family val="2"/>
      </rPr>
      <t xml:space="preserve">
Do not have assurance that inspections were carried out on all AI software assets in use and annually after deployment. 
</t>
    </r>
    <r>
      <rPr>
        <b/>
        <sz val="10"/>
        <color theme="1"/>
        <rFont val="Arial"/>
        <family val="2"/>
      </rPr>
      <t>Recommendation:</t>
    </r>
    <r>
      <rPr>
        <sz val="10"/>
        <color theme="1"/>
        <rFont val="Arial"/>
        <family val="2"/>
      </rPr>
      <t xml:space="preserve">
Management should ensure that inspections are carried out on all AI software assets prior to their use and annually thereafter.</t>
    </r>
  </si>
  <si>
    <r>
      <rPr>
        <b/>
        <sz val="10"/>
        <color theme="1"/>
        <rFont val="Arial"/>
        <family val="2"/>
      </rPr>
      <t xml:space="preserve">Gap: </t>
    </r>
    <r>
      <rPr>
        <sz val="10"/>
        <color theme="1"/>
        <rFont val="Arial"/>
        <family val="2"/>
      </rPr>
      <t xml:space="preserve">
The Incident Response Plan does not address how to respond to an AI-specific incidents. 
A dedicated AI-specific incident response test is not completed on at least an annual basis. 
</t>
    </r>
    <r>
      <rPr>
        <b/>
        <sz val="10"/>
        <color theme="1"/>
        <rFont val="Arial"/>
        <family val="2"/>
      </rPr>
      <t>Recommendation:</t>
    </r>
    <r>
      <rPr>
        <sz val="10"/>
        <color theme="1"/>
        <rFont val="Arial"/>
        <family val="2"/>
      </rPr>
      <t xml:space="preserve">
Management should ensure that the Incident Response Plan addresses how to respond to an AI-specific incidents. 
Further, management should ensure that a dedicated AI-specific incident response test is completed on at least an annual basis. </t>
    </r>
  </si>
  <si>
    <r>
      <rPr>
        <b/>
        <sz val="10"/>
        <color theme="1"/>
        <rFont val="Arial"/>
        <family val="2"/>
      </rPr>
      <t>Gap:</t>
    </r>
    <r>
      <rPr>
        <sz val="10"/>
        <color theme="1"/>
        <rFont val="Arial"/>
        <family val="2"/>
      </rPr>
      <t xml:space="preserve"> Incident response plan does not include the required components for the collection, retention, and presentation of evidence for legal cases.</t>
    </r>
    <r>
      <rPr>
        <b/>
        <sz val="10"/>
        <color theme="1"/>
        <rFont val="Arial"/>
        <family val="2"/>
      </rPr>
      <t xml:space="preserve">
Recommendation</t>
    </r>
    <r>
      <rPr>
        <sz val="10"/>
        <color theme="1"/>
        <rFont val="Arial"/>
        <family val="2"/>
      </rPr>
      <t>: Update incident response plan to outline collection, retention, and presentation of evidence requirements for legal cases.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</si>
  <si>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AI backups are not performed based on the requirement statement.
</t>
    </r>
    <r>
      <rPr>
        <b/>
        <sz val="10"/>
        <color theme="1"/>
        <rFont val="Arial"/>
        <family val="2"/>
      </rPr>
      <t>Recommendation:</t>
    </r>
    <r>
      <rPr>
        <sz val="10"/>
        <color theme="1"/>
        <rFont val="Arial"/>
        <family val="2"/>
      </rPr>
      <t xml:space="preserve">
Management should ensure that AI policies and procedures are developed considering the following:
- outlines process for backing up AI assets and data
Further management should ensure that backups consider the following:
- backups are configured for: training, test, and validation datasets
- backups are configured for: code used to create, train, and/or deploy AI models
- backups are configured for: tuning data
- backups are configured for: models
- backups are configured for: language model tools (e.g., plugins, agents)
- backups are configured for: AI system configurations (e.g., meta prompts)
- backups are configured for: prompt enhancement data for RAG </t>
    </r>
  </si>
  <si>
    <r>
      <rPr>
        <b/>
        <sz val="10"/>
        <color theme="1"/>
        <rFont val="Arial"/>
        <family val="2"/>
      </rPr>
      <t xml:space="preserve">Gap: 
</t>
    </r>
    <r>
      <rPr>
        <sz val="10"/>
        <color theme="1"/>
        <rFont val="Arial"/>
        <family val="2"/>
      </rPr>
      <t xml:space="preserve">An AI system business impact analysis is not completed at this time.
</t>
    </r>
    <r>
      <rPr>
        <b/>
        <sz val="10"/>
        <color theme="1"/>
        <rFont val="Arial"/>
        <family val="2"/>
      </rPr>
      <t>Recommendation:</t>
    </r>
    <r>
      <rPr>
        <sz val="10"/>
        <color theme="1"/>
        <rFont val="Arial"/>
        <family val="2"/>
      </rPr>
      <t xml:space="preserve">
Management should ensure that an AI system business impact analysis is completed on at least an annual basis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</si>
  <si>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risk assessment policy contains the purpose, scope, roles, responsibilities, management commitment, coordination among organizational entities, and compliance </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</si>
  <si>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risk assessment policy is consistent with applicable laws, Executive Orders, directives, regulations, policies, standards, and guidelines. 
- risk assessment policy addresses organization\'s designation of an official to manage the development, documentation, and dissemination of the risk assessment policy and procedures.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</si>
  <si>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steps to understand uncertainty in all parts of the AI system, including the utilized data, software, mathematical models, physical extension, and human-in-the-loop aspects of the system
- defines awareness that AI is a fast-moving technology domain
- defines a consistent approach to determine the risk level
- defines the organization’s AI capacity, knowledge level, and ability to mitigate realized AI risks when deciding its AI risk appetite</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</si>
  <si>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whether AI systems can harm human beings, deny essential services, infringe human rights or contribute to environmental harm
- defines external and internal expectations for the organization’s social responsibility
- defines external and internal expectations for the organization’s environmental responsibility</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</si>
  <si>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AI system authorities defined
- AI system responsibilities defined
- AI system accountabilities defined
- AI system roles and responsibilities communicated to workforce</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</si>
  <si>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risk considerations for the organization
- defines risk considerations for customers, partners, and suppliers
- defines risk considerations for end users/workforce members
- defines risk considerations for civil organizations (if required)
- defines risk considerations for affected communities (if required)
- defines risk considerations for societies (if required)</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</si>
  <si>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scope objectives and purpose of program</t>
    </r>
  </si>
  <si>
    <r>
      <rPr>
        <b/>
        <sz val="10"/>
        <color theme="1"/>
        <rFont val="Arial"/>
        <family val="2"/>
      </rPr>
      <t xml:space="preserve">Gap: 
</t>
    </r>
    <r>
      <rPr>
        <sz val="10"/>
        <color theme="1"/>
        <rFont val="Arial"/>
        <family val="2"/>
      </rPr>
      <t xml:space="preserve">Statements related to the organization's commitment to AI risk management are not completed at this time.
</t>
    </r>
    <r>
      <rPr>
        <b/>
        <sz val="10"/>
        <color theme="1"/>
        <rFont val="Arial"/>
        <family val="2"/>
      </rPr>
      <t>Recommendation:</t>
    </r>
    <r>
      <rPr>
        <sz val="10"/>
        <color theme="1"/>
        <rFont val="Arial"/>
        <family val="2"/>
      </rPr>
      <t xml:space="preserve">
Management should ensure that statements related to MERGE's commitment to AI risk management are completed to increase confidence of their stakeholders on their use of AI</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</si>
  <si>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specialized resources to manage AI risk. </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</si>
  <si>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policies and statements related to AI risk and risk management to stakeholders.</t>
    </r>
  </si>
  <si>
    <r>
      <rPr>
        <b/>
        <sz val="10"/>
        <color theme="1"/>
        <rFont val="Arial"/>
        <family val="2"/>
      </rPr>
      <t xml:space="preserve">Gap: 
</t>
    </r>
    <r>
      <rPr>
        <sz val="10"/>
        <color theme="1"/>
        <rFont val="Arial"/>
        <family val="2"/>
      </rPr>
      <t xml:space="preserve">A review of the organizations risk management framework is not completed on an annual basis at this time
</t>
    </r>
    <r>
      <rPr>
        <b/>
        <sz val="10"/>
        <color theme="1"/>
        <rFont val="Arial"/>
        <family val="2"/>
      </rPr>
      <t>Recommendation:</t>
    </r>
    <r>
      <rPr>
        <sz val="10"/>
        <color theme="1"/>
        <rFont val="Arial"/>
        <family val="2"/>
      </rPr>
      <t xml:space="preserve">
Management should ensure that a review of MERGE's risk management framework is completed on an annual basis and includes the following:
- consideration of the suitability, adequacy, and effectiveness of the organization-selected risk management framework and the way the risk management process is integrated into the organization. </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</si>
  <si>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includes knowledge and views of stakeholders
- includes best available information from collaborative efforts
- includes inquiry from supplemental groups (as required)</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</si>
  <si>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plan defines jobs with risk management authority, responsibility, and/or accountability
- plan assignments communicated across the organization</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</si>
  <si>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includes process to communicate/consult with stakeholders
Further, management should ensure that:
- communication/consultation with stakeholders is timely
- communication/consultation with stakeholders is collected, collated, synthesized and shared
- communication/consultation with stakeholders result in improvements being made to program</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</si>
  <si>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time and resources required to create plan
- defines: where, when, and how different types of risk management decisions are made across the organization
- defines: modifying the applicable risk management decision-making processes where necessary
- defines: the organization’s arrangements for managing risk
Further, management should ensure that the risk assessment documentation plan updated every 365 days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</si>
  <si>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defines: the need to integrate risk management into the overall culture of the organization
- defines: authorities, responsibilities, and accountabilities
- defines: the necessary resources required
- defines: the way in which conflicting objectives are dealt with
- defines: measurement and reporting within the organization’s performance indicators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</si>
  <si>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program customized and implemented to fit the organization
Further, the overall risk management program is:
- program evaluated within the past 365 days
- any non-compliances are corrected within 365 days of being identified</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</si>
  <si>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organization has defined the necessary scope of its risk management activities.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</si>
  <si>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organization has defined the necessary scope of its risk management activities.
- external: social and/or cultural 
- external: political, legal, and/or regulatory
- external: financial
- external: technological
- external: economic and environmental factors
- external: international, national, regional, and/or local
- external: key drivers and trends affecting the objectives of the organization
- external: external stakeholders’ relationships and/or perceptions, needs, and expectations
- external: contractual relationships and commitments
- external: the complexity of networks and dependencies
- internal: vision, mission, and/or values
- internal: governance, organizational structure, roles, and/or accountabilities
- internal: strategy, objectives, and/or policies
- internal: the organization’s culture
- internal: standards, guidelines, and/or models adopted by the organization
- internal: capabilities, understood in terms of resources and knowledge
- internal: data, information systems and information flows
- internal: relationships with internal stakeholders, taking into account their perceptions and values
- internal: contractual relationships and commitments
- internal: interdependencies and interconnections</t>
    </r>
  </si>
  <si>
    <r>
      <rPr>
        <b/>
        <sz val="10"/>
        <color theme="1"/>
        <rFont val="Arial"/>
        <family val="2"/>
      </rPr>
      <t xml:space="preserve">Gap: 
</t>
    </r>
    <r>
      <rPr>
        <sz val="10"/>
        <color theme="1"/>
        <rFont val="Arial"/>
        <family val="2"/>
      </rPr>
      <t xml:space="preserve">Unable to confirm that Merge monitors external and internal changes and adapts the risk management framework to maintain or improve its value to the organization.
</t>
    </r>
    <r>
      <rPr>
        <b/>
        <sz val="10"/>
        <color theme="1"/>
        <rFont val="Arial"/>
        <family val="2"/>
      </rPr>
      <t>Recommendation:</t>
    </r>
    <r>
      <rPr>
        <sz val="10"/>
        <color theme="1"/>
        <rFont val="Arial"/>
        <family val="2"/>
      </rPr>
      <t xml:space="preserve">
Management should ensure that Merge monitors external and internal changes and adapts the risk management framework to maintain or improve its value to the organization. Management should ensure that corresponding documentation is updated accordingly. 
</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</si>
  <si>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resource allocation considerations: people, skills, experience, and competence
- resource allocation considerations: the organization’s processes, methods, and tools to be used for managing risk
- resource allocation considerations: documented processes and procedures
- resource allocation considerations: information and knowledge management systems
- resource allocation considerations: professional development and training needs
- resource allocation considerations: capabilities of, and constraints on, existing resources</t>
    </r>
  </si>
  <si>
    <r>
      <rPr>
        <b/>
        <sz val="10"/>
        <color theme="1"/>
        <rFont val="Arial"/>
        <family val="2"/>
      </rPr>
      <t xml:space="preserve">Gap: 
</t>
    </r>
    <r>
      <rPr>
        <sz val="10"/>
        <color theme="1"/>
        <rFont val="Arial"/>
        <family val="2"/>
      </rPr>
      <t xml:space="preserve">AI use centered risk assessments are not completed at this time.
</t>
    </r>
    <r>
      <rPr>
        <b/>
        <sz val="10"/>
        <color theme="1"/>
        <rFont val="Arial"/>
        <family val="2"/>
      </rPr>
      <t>Recommendation:</t>
    </r>
    <r>
      <rPr>
        <sz val="10"/>
        <color theme="1"/>
        <rFont val="Arial"/>
        <family val="2"/>
      </rPr>
      <t xml:space="preserve">
Management should ensure that AI use centered risk assessments are completed on at least every 180 days and consider the following:
- conducted against AI training data
- formally documented
- performed when AI security incidents occur
- identified security measures implemented</t>
    </r>
  </si>
  <si>
    <r>
      <rPr>
        <b/>
        <sz val="10"/>
        <color theme="1"/>
        <rFont val="Arial"/>
        <family val="2"/>
      </rPr>
      <t xml:space="preserve">Gap: 
</t>
    </r>
    <r>
      <rPr>
        <sz val="10"/>
        <color theme="1"/>
        <rFont val="Arial"/>
        <family val="2"/>
      </rPr>
      <t xml:space="preserve">AI use centered risk assessments are not completed at this time.
</t>
    </r>
    <r>
      <rPr>
        <b/>
        <sz val="10"/>
        <color theme="1"/>
        <rFont val="Arial"/>
        <family val="2"/>
      </rPr>
      <t>Recommendation:</t>
    </r>
    <r>
      <rPr>
        <sz val="10"/>
        <color theme="1"/>
        <rFont val="Arial"/>
        <family val="2"/>
      </rPr>
      <t xml:space="preserve">
Management should ensure that AI use centered risk assessments are completed on at least every 180 days and consider the following:
- reviewed prior to deployment of new models
- reviewed when security incidents related to the AI system occur</t>
    </r>
  </si>
  <si>
    <r>
      <rPr>
        <b/>
        <sz val="10"/>
        <color theme="1"/>
        <rFont val="Arial"/>
        <family val="2"/>
      </rPr>
      <t xml:space="preserve">Gap: 
</t>
    </r>
    <r>
      <rPr>
        <sz val="10"/>
        <color theme="1"/>
        <rFont val="Arial"/>
        <family val="2"/>
      </rPr>
      <t xml:space="preserve">AI use centered risk assessments are not completed at this time.
</t>
    </r>
    <r>
      <rPr>
        <b/>
        <sz val="10"/>
        <color theme="1"/>
        <rFont val="Arial"/>
        <family val="2"/>
      </rPr>
      <t>Recommendation:</t>
    </r>
    <r>
      <rPr>
        <sz val="10"/>
        <color theme="1"/>
        <rFont val="Arial"/>
        <family val="2"/>
      </rPr>
      <t xml:space="preserve">
Management should ensure that AI use centered risk assessments are completed on at least every 180 days and consider the following:
- reviewed prior to deployment of new models
- reviewed when security incidents related to the AI system occur
- reviewed when new AI security threats have been detected</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</si>
  <si>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plan identifies potential events that are related to the development or use of AI which could result in tangible or intangible consequences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</si>
  <si>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includes system life cycle for development and/or use of AI Systems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</si>
  <si>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identifies: risk consequences to the organization itself, to individuals, communities, groups, and/or societies
- identifies: differences between the groups who experience the benefits of AI systems and the groups who experience negative consequences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</si>
  <si>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identifies AI risk sources related to: the organization
- identifies AI risk sources related to: processes and procedures
- identifies AI risk sources related to: management routines
- identifies AI risk sources related to: personnel
- identifies AI risk sources related to: physical environment
- identifies AI risk sources related to: data
- identifies AI risk sources related to: AI system configuration
- identifies AI risk sources related to: deployment environment
- identifies AI risk sources related to: hardware, software, network resources and services
- identifies AI risk sources related to: dependence on external parties</t>
    </r>
  </si>
  <si>
    <r>
      <rPr>
        <b/>
        <sz val="10"/>
        <color theme="1"/>
        <rFont val="Arial"/>
        <family val="2"/>
      </rPr>
      <t xml:space="preserve">Gap: 
</t>
    </r>
    <r>
      <rPr>
        <sz val="10"/>
        <color theme="1"/>
        <rFont val="Arial"/>
        <family val="2"/>
      </rPr>
      <t xml:space="preserve">An AI system assessment is not completed at this time.
</t>
    </r>
    <r>
      <rPr>
        <b/>
        <sz val="10"/>
        <color theme="1"/>
        <rFont val="Arial"/>
        <family val="2"/>
      </rPr>
      <t>Recommendation:</t>
    </r>
    <r>
      <rPr>
        <sz val="10"/>
        <color theme="1"/>
        <rFont val="Arial"/>
        <family val="2"/>
      </rPr>
      <t xml:space="preserve">
Management should ensure that an AI system assessment is completed and considers the following:
- contains: a description and identification of the system that has been analyzed
- contains: the methodology applied
- contains: a description of the intended use of the AI system
- contains: the identity of the person(s) and organization that carried out the risk assessment
- contains: the terms of reference and date of the risk assessment
- contains: the release status of the risk assessment
- contains: if and to what degree objectives have been met
- assesses for undetected risks
- assesses for previously assessed risks that are no longer acceptable
- mitigates identified risks</t>
    </r>
  </si>
  <si>
    <r>
      <rPr>
        <b/>
        <sz val="10"/>
        <color theme="1"/>
        <rFont val="Arial"/>
        <family val="2"/>
      </rPr>
      <t xml:space="preserve">Gap: 
</t>
    </r>
    <r>
      <rPr>
        <sz val="10"/>
        <color theme="1"/>
        <rFont val="Arial"/>
        <family val="2"/>
      </rPr>
      <t xml:space="preserve">An AI system societal impact analysis is not completed at this time
</t>
    </r>
    <r>
      <rPr>
        <b/>
        <sz val="10"/>
        <color theme="1"/>
        <rFont val="Arial"/>
        <family val="2"/>
      </rPr>
      <t>Recommendation:</t>
    </r>
    <r>
      <rPr>
        <sz val="10"/>
        <color theme="1"/>
        <rFont val="Arial"/>
        <family val="2"/>
      </rPr>
      <t xml:space="preserve">
Management should ensure that an AI system societal impact analysis is completed and considers the following:
- includes the scope of societal impact, including who the system(s) are being used by or designed for
- includes how the AI system(s) affects social and cultural values held by various affected groups</t>
    </r>
  </si>
  <si>
    <r>
      <rPr>
        <b/>
        <sz val="10"/>
        <color theme="1"/>
        <rFont val="Arial"/>
        <family val="2"/>
      </rPr>
      <t xml:space="preserve">Gap: 
</t>
    </r>
    <r>
      <rPr>
        <sz val="10"/>
        <color theme="1"/>
        <rFont val="Arial"/>
        <family val="2"/>
      </rPr>
      <t xml:space="preserve">An AI system assessment is not completed at this time.
</t>
    </r>
    <r>
      <rPr>
        <b/>
        <sz val="10"/>
        <color theme="1"/>
        <rFont val="Arial"/>
        <family val="2"/>
      </rPr>
      <t>Recommendation:</t>
    </r>
    <r>
      <rPr>
        <sz val="10"/>
        <color theme="1"/>
        <rFont val="Arial"/>
        <family val="2"/>
      </rPr>
      <t xml:space="preserve">
Management should ensure that an AI system assessment is completed and considers the following:
- includes: types of data used from individuals
- includes: intended impact of the development or use of AI
- includes: potential bias impact to an individual
- includes: potential impact on fundamental rights that can result in material and non-material damage to an individual
- includes: potential fairness impact to an individual
- includes: safety of an individual
- includes: protections and mitigating controls around unwanted bias and unfairness
- includes: jurisdictional and cultural environment of the individual</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</si>
  <si>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decision-related documents include potential influences and limitations to risk analysis
- decision-related documents communicated to decision makers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</si>
  <si>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identifies key controls relevant to its development and/or use of AI systems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</si>
  <si>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identifies and understands potential AI risks
- assesses and mitigates potential AI risks</t>
    </r>
  </si>
  <si>
    <r>
      <rPr>
        <b/>
        <sz val="10"/>
        <color theme="1"/>
        <rFont val="Arial"/>
        <family val="2"/>
      </rPr>
      <t xml:space="preserve">Gap: 
</t>
    </r>
    <r>
      <rPr>
        <sz val="10"/>
        <color theme="1"/>
        <rFont val="Arial"/>
        <family val="2"/>
      </rPr>
      <t xml:space="preserve">AI policies and procedures considering the details of the requirement statement are not formally maintained at this time.
</t>
    </r>
    <r>
      <rPr>
        <b/>
        <sz val="10"/>
        <color theme="1"/>
        <rFont val="Arial"/>
        <family val="2"/>
      </rPr>
      <t>Recommendation:</t>
    </r>
    <r>
      <rPr>
        <sz val="10"/>
        <color theme="1"/>
        <rFont val="Arial"/>
        <family val="2"/>
      </rPr>
      <t xml:space="preserve">
Management should ensure that AI policies and procedures are developed considering the following:
- identified
- quantitatively/qualitatively described
- prioritized</t>
    </r>
  </si>
  <si>
    <r>
      <rPr>
        <b/>
        <sz val="10"/>
        <color theme="1"/>
        <rFont val="Arial"/>
        <family val="2"/>
      </rPr>
      <t xml:space="preserve">Gap: </t>
    </r>
    <r>
      <rPr>
        <sz val="10"/>
        <color theme="1"/>
        <rFont val="Arial"/>
        <family val="2"/>
      </rPr>
      <t xml:space="preserve">Documentation will need to be updated to include the implementation of Vanta.
</t>
    </r>
    <r>
      <rPr>
        <b/>
        <sz val="10"/>
        <color theme="1"/>
        <rFont val="Arial"/>
        <family val="2"/>
      </rPr>
      <t>Recommendation</t>
    </r>
    <r>
      <rPr>
        <sz val="10"/>
        <color theme="1"/>
        <rFont val="Arial"/>
        <family val="2"/>
      </rPr>
      <t>: Management should ensure that the current documentation is updated to address new implementations within the in-scope environment.</t>
    </r>
  </si>
  <si>
    <r>
      <rPr>
        <b/>
        <sz val="10"/>
        <color theme="1"/>
        <rFont val="Arial"/>
        <family val="2"/>
      </rPr>
      <t xml:space="preserve">Gap: 
</t>
    </r>
    <r>
      <rPr>
        <sz val="10"/>
        <color theme="1"/>
        <rFont val="Arial"/>
        <family val="2"/>
      </rPr>
      <t xml:space="preserve">An assessment to identify and evaluate compliance with applicable legal and regulatory requirements addressing the development and deployment of AI systems is not completed. 
</t>
    </r>
    <r>
      <rPr>
        <b/>
        <sz val="10"/>
        <color theme="1"/>
        <rFont val="Arial"/>
        <family val="2"/>
      </rPr>
      <t>Recommendation:</t>
    </r>
    <r>
      <rPr>
        <sz val="10"/>
        <color theme="1"/>
        <rFont val="Arial"/>
        <family val="2"/>
      </rPr>
      <t xml:space="preserve">
Management should ensure that an assessment to identify and evaluate compliance with applicable legal and regulatory requirements addressing the development and deployment of AI systems is completed on at least an annual basis.</t>
    </r>
  </si>
  <si>
    <r>
      <rPr>
        <b/>
        <sz val="10"/>
        <color theme="1"/>
        <rFont val="Arial"/>
        <family val="2"/>
      </rPr>
      <t xml:space="preserve">Gap: 
</t>
    </r>
    <r>
      <rPr>
        <sz val="10"/>
        <color theme="1"/>
        <rFont val="Arial"/>
        <family val="2"/>
      </rPr>
      <t xml:space="preserve">An assessment to identify and evaluate compliance with applicable legal and regulatory requirements addressing the development and deployment of AI systems is not completed. 
</t>
    </r>
    <r>
      <rPr>
        <b/>
        <sz val="10"/>
        <color theme="1"/>
        <rFont val="Arial"/>
        <family val="2"/>
      </rPr>
      <t>Recommendation:</t>
    </r>
    <r>
      <rPr>
        <sz val="10"/>
        <color theme="1"/>
        <rFont val="Arial"/>
        <family val="2"/>
      </rPr>
      <t xml:space="preserve">
Management should ensure that an assessment to identify and evaluate compliance with applicable legal and regulatory requirements addressing the development and deployment of AI systems is completed on at least an annual basis and considers the following:
- includes compliance with applicable: laws
- includes compliance with applicable: regulatory requirements
- includes compliance with applicable: contractual obligations
- includes compliance with applicable: self-imposed data governance requirements
- includes compliance with applicable: copyrights or commercial interests
</t>
    </r>
  </si>
  <si>
    <r>
      <rPr>
        <b/>
        <sz val="10"/>
        <color theme="1"/>
        <rFont val="Arial"/>
        <family val="2"/>
      </rPr>
      <t xml:space="preserve">Gap: 
</t>
    </r>
    <r>
      <rPr>
        <sz val="10"/>
        <color theme="1"/>
        <rFont val="Arial"/>
        <family val="2"/>
      </rPr>
      <t xml:space="preserve">AI release documentation is not maintained at this time
</t>
    </r>
    <r>
      <rPr>
        <b/>
        <sz val="10"/>
        <color theme="1"/>
        <rFont val="Arial"/>
        <family val="2"/>
      </rPr>
      <t>Recommendation:</t>
    </r>
    <r>
      <rPr>
        <sz val="10"/>
        <color theme="1"/>
        <rFont val="Arial"/>
        <family val="2"/>
      </rPr>
      <t xml:space="preserve">
Management should ensure that AI release documentation is maintained and considers the following: 
 limits the release of technical AI project details including: technical architecture of the overall AI system
- limits the release of technical AI project details including: datasets used for training, testing, validating, and tuning of confidential and/or closed-source AI models
- limits the release of technical AI project details including: datasets used for prompt augmentation via RAG
- limits the release of technical AI project details including: algorithm(s) used to create confidential and/or closed-source AI models
- limits the release of technical AI project details including: architecture of confidential and/or closed-source AI models
- limits the release of technical AI project details including: language model tools used such as agents and plugins
- limits the release of technical AI project details including: safety and security checkpoints built into the AI system
- limits the release of technical AI project details including: information on teams developing and supporting the AI system
</t>
    </r>
  </si>
  <si>
    <r>
      <rPr>
        <b/>
        <sz val="10"/>
        <color theme="1"/>
        <rFont val="Arial"/>
        <family val="2"/>
      </rPr>
      <t xml:space="preserve">Gap: </t>
    </r>
    <r>
      <rPr>
        <sz val="10"/>
        <color theme="1"/>
        <rFont val="Arial"/>
        <family val="2"/>
      </rPr>
      <t xml:space="preserve">
Reviews of the data used to train AI models, fine-tune AI models, and enhance AI prompts are not completed at this time.
</t>
    </r>
    <r>
      <rPr>
        <b/>
        <sz val="10"/>
        <color theme="1"/>
        <rFont val="Arial"/>
        <family val="2"/>
      </rPr>
      <t>Recommendation:</t>
    </r>
    <r>
      <rPr>
        <sz val="10"/>
        <color theme="1"/>
        <rFont val="Arial"/>
        <family val="2"/>
      </rPr>
      <t xml:space="preserve">
Management should ensure that reviews of the data used to train AI models, fine-tune AI models, and enhance AI prompts completed based on the following:
- reviews data used to train AI models to identify any data fields or records that can be omitted or anonymized
- reviews data used to fine-tune AI models to identify any data fields or records that can be omitted or anonymized
- reviews data used to enhance AI prompts via RAG to identify any data fields or records that can be omitted or anonymized</t>
    </r>
  </si>
  <si>
    <r>
      <rPr>
        <b/>
        <sz val="10"/>
        <color theme="1"/>
        <rFont val="Arial"/>
        <family val="2"/>
      </rPr>
      <t>Gap</t>
    </r>
    <r>
      <rPr>
        <sz val="10"/>
        <color theme="1"/>
        <rFont val="Arial"/>
        <family val="2"/>
      </rPr>
      <t xml:space="preserve">: Handbook does not currently contain the appropriate language. 
</t>
    </r>
    <r>
      <rPr>
        <b/>
        <sz val="10"/>
        <color theme="1"/>
        <rFont val="Arial"/>
        <family val="2"/>
      </rPr>
      <t xml:space="preserve">
Recommendation</t>
    </r>
    <r>
      <rPr>
        <sz val="10"/>
        <color theme="1"/>
        <rFont val="Arial"/>
        <family val="2"/>
      </rPr>
      <t>: Management should ensure that the appropriate language outlined within the requirement statement.</t>
    </r>
  </si>
  <si>
    <r>
      <rPr>
        <b/>
        <sz val="10"/>
        <color theme="1"/>
        <rFont val="Arial"/>
        <family val="2"/>
      </rPr>
      <t>Gap:</t>
    </r>
    <r>
      <rPr>
        <sz val="10"/>
        <color theme="1"/>
        <rFont val="Arial"/>
        <family val="2"/>
      </rPr>
      <t xml:space="preserve"> Open Source change management not currently in place. 
</t>
    </r>
    <r>
      <rPr>
        <b/>
        <sz val="10"/>
        <color theme="1"/>
        <rFont val="Arial"/>
        <family val="2"/>
      </rPr>
      <t>Recommendation</t>
    </r>
    <r>
      <rPr>
        <sz val="10"/>
        <color theme="1"/>
        <rFont val="Arial"/>
        <family val="2"/>
      </rPr>
      <t>: Management should ensure that a streamlined change management process for any type of approved open source software is implemented.</t>
    </r>
  </si>
  <si>
    <t>0113.04a1Organizational.2 MRG-026-Information Security Program.docx</t>
  </si>
  <si>
    <t>All policies and procedures are uploaded to Air Mason which is available to all users.</t>
  </si>
  <si>
    <t>0173.05c1Organizational.45 Information Security Roles and Responsibilities.docx</t>
  </si>
  <si>
    <t>0181.06a1Organizational.12 MRG-035-Security Awareness.docx
0113.04a1Organizational.2 MRG-026-Information Security Program.docx</t>
  </si>
  <si>
    <t>A-LIGN reviewed the Merge Security Awareness policy and procedure and was able to confirm that workforce responsibilities are included. Also confirmed through a review of the ISMP documentation.</t>
  </si>
  <si>
    <r>
      <rPr>
        <b/>
        <sz val="10"/>
        <color theme="1"/>
        <rFont val="Arial"/>
        <family val="2"/>
      </rPr>
      <t>Gap</t>
    </r>
    <r>
      <rPr>
        <sz val="10"/>
        <color theme="1"/>
        <rFont val="Arial"/>
        <family val="2"/>
      </rPr>
      <t xml:space="preserve">: Applicable Legislation is not included within the defined documentation.
</t>
    </r>
    <r>
      <rPr>
        <b/>
        <sz val="10"/>
        <color theme="1"/>
        <rFont val="Arial"/>
        <family val="2"/>
      </rPr>
      <t xml:space="preserve">
Recommendation</t>
    </r>
    <r>
      <rPr>
        <sz val="10"/>
        <color theme="1"/>
        <rFont val="Arial"/>
        <family val="2"/>
      </rPr>
      <t>: Management should ensure that the policy/procedure included the applicable legislation.</t>
    </r>
  </si>
  <si>
    <t>Observed the SentinelOne dashboard which is utilized to ensure logging of USB devices is implemented.
Also observed that only specific drives will be able to be used on approved devices.</t>
  </si>
  <si>
    <r>
      <rPr>
        <b/>
        <sz val="10"/>
        <color theme="1"/>
        <rFont val="Arial"/>
        <family val="2"/>
      </rPr>
      <t>Gap:</t>
    </r>
    <r>
      <rPr>
        <sz val="10"/>
        <color theme="1"/>
        <rFont val="Arial"/>
        <family val="2"/>
      </rPr>
      <t xml:space="preserve"> Policy and procedure documentation does not currently address the requirements around removable media.
</t>
    </r>
    <r>
      <rPr>
        <b/>
        <sz val="10"/>
        <color theme="1"/>
        <rFont val="Arial"/>
        <family val="2"/>
      </rPr>
      <t xml:space="preserve">Recommendation: </t>
    </r>
    <r>
      <rPr>
        <sz val="10"/>
        <color theme="1"/>
        <rFont val="Arial"/>
        <family val="2"/>
      </rPr>
      <t>Management should ensure that the current policies and procedures are updated to account for the proper removable media requirements.</t>
    </r>
  </si>
  <si>
    <r>
      <t xml:space="preserve">Gap: </t>
    </r>
    <r>
      <rPr>
        <sz val="10"/>
        <color theme="1"/>
        <rFont val="Arial"/>
        <family val="2"/>
      </rPr>
      <t xml:space="preserve">Log of transport is not currently maintained with the accountable individuals.
</t>
    </r>
    <r>
      <rPr>
        <b/>
        <sz val="10"/>
        <color theme="1"/>
        <rFont val="Arial"/>
        <family val="2"/>
      </rPr>
      <t>Recommendation</t>
    </r>
    <r>
      <rPr>
        <sz val="10"/>
        <color theme="1"/>
        <rFont val="Arial"/>
        <family val="2"/>
      </rPr>
      <t>: Ensure that a formalized removable media transport log is drafted and includes the accountable individuals.</t>
    </r>
  </si>
  <si>
    <t>UBSs provided to users are tracked within a ticket, and will be sent via FedEx which has tamper evident packaging and also has a tracking number associated with each device.</t>
  </si>
  <si>
    <t>Observed the SentinelOne dashboard which is utilized to ensure logging of USB devices is implemented.
Also observed that only specific drives will be able to be used on approved devices.
Observed within the Kandji dashboard that all disc burning is disallowed and that CDs and DVDs are denied and rejected.</t>
  </si>
  <si>
    <t>Any devices would be directly purcahased through Apple Business Manager or CDW (Windows)</t>
  </si>
  <si>
    <t xml:space="preserve">Observed that admin users have the ability to remote lock and remote wipe devices. In the case one were to be missing/stolen/no longer needed/etc. </t>
  </si>
  <si>
    <t>Observed the Windows BitLocker policy and confirmed that all in-scope devices are encrypted through global policy.</t>
  </si>
  <si>
    <t>No instances where Merge devices devices would be unencrypted.
In the event a hard drive is received and found to be unencrypted, that device will be tracked and monitored within Kandji to ensure proper protections/compensating controls are enacted.</t>
  </si>
  <si>
    <t>Observed a slide deck that was part of security training that addresses the acceptable use of devices being used for teleworking.</t>
  </si>
  <si>
    <t>Users are required to acknowledge the Merge handbook which outlines the requirements and do's/don’t's of teleworking, at the time of hire and annually thereafter</t>
  </si>
  <si>
    <t>0636.10k1Organizational.3 MRG-018-Change Management.docx</t>
  </si>
  <si>
    <t xml:space="preserve">Observed the Intune dashboard which demonstrated that the "App Install Status" includes only applications that are approved; if a user were to want an additional application that is not included then the entire change management process would need to be enacted. 
Observed Gatekeeper locks within the Kandji tool that blocks all downloads from the Internet; as well as an AppStore blocking policy. All application downloads must occur through Kandji.
</t>
  </si>
  <si>
    <r>
      <rPr>
        <b/>
        <sz val="10"/>
        <color theme="1"/>
        <rFont val="Arial"/>
        <family val="2"/>
      </rPr>
      <t>Gap:</t>
    </r>
    <r>
      <rPr>
        <sz val="10"/>
        <color theme="1"/>
        <rFont val="Arial"/>
        <family val="2"/>
      </rPr>
      <t xml:space="preserve"> Policy does not include 
- defines management's commitment to program
- defines enterprise coordination
- defines compliance requirements
</t>
    </r>
    <r>
      <rPr>
        <b/>
        <sz val="10"/>
        <color theme="1"/>
        <rFont val="Arial"/>
        <family val="2"/>
      </rPr>
      <t>Recommendation:</t>
    </r>
    <r>
      <rPr>
        <sz val="10"/>
        <color theme="1"/>
        <rFont val="Arial"/>
        <family val="2"/>
      </rPr>
      <t xml:space="preserve"> Management should ensure that the policies and procedures for configuration management address all the components outlined within the requirement statement.</t>
    </r>
  </si>
  <si>
    <r>
      <t xml:space="preserve">Gap: </t>
    </r>
    <r>
      <rPr>
        <sz val="10"/>
        <color theme="1"/>
        <rFont val="Arial"/>
        <family val="2"/>
      </rPr>
      <t xml:space="preserve">A-LIGN was unable to gain assurance that there is a separation between development and production environments.
</t>
    </r>
    <r>
      <rPr>
        <b/>
        <sz val="10"/>
        <color theme="1"/>
        <rFont val="Arial"/>
        <family val="2"/>
      </rPr>
      <t>Recommendation</t>
    </r>
    <r>
      <rPr>
        <sz val="10"/>
        <color theme="1"/>
        <rFont val="Arial"/>
        <family val="2"/>
      </rPr>
      <t>: Management should ensure that a separation between the development and production environments is implemented.</t>
    </r>
  </si>
  <si>
    <r>
      <rPr>
        <b/>
        <sz val="10"/>
        <color theme="1"/>
        <rFont val="Arial"/>
        <family val="2"/>
      </rPr>
      <t>Gap</t>
    </r>
    <r>
      <rPr>
        <sz val="10"/>
        <color theme="1"/>
        <rFont val="Arial"/>
        <family val="2"/>
      </rPr>
      <t xml:space="preserve">: Human Behavior and Culture is not currently a factor within Vanta for the Risk Management Program
</t>
    </r>
    <r>
      <rPr>
        <b/>
        <sz val="10"/>
        <color theme="1"/>
        <rFont val="Arial"/>
        <family val="2"/>
      </rPr>
      <t>Recommendation</t>
    </r>
    <r>
      <rPr>
        <sz val="10"/>
        <color theme="1"/>
        <rFont val="Arial"/>
        <family val="2"/>
      </rPr>
      <t>: Management should ensure that a factor is added to Vanta to satisfy this control.</t>
    </r>
  </si>
  <si>
    <t>A-LIGN reviewed the Merge information security policy and confirmed that a purpose, scope, roles and responsibilities, management commitment, and coordination and compliance efforts, and the approach to information security are formally defined.</t>
  </si>
  <si>
    <t>A-LIGN reviewed the Merge information security policy and confirmed that roles and responsibilities are included and defined.</t>
  </si>
  <si>
    <t>A-LIGN reviewed the MERGE Configuration management Policy/procedure and determined that a purpose, scope, and roles and responsibilities are included.</t>
  </si>
  <si>
    <r>
      <rPr>
        <b/>
        <sz val="10"/>
        <color theme="1"/>
        <rFont val="Arial"/>
        <family val="2"/>
      </rPr>
      <t xml:space="preserve">Gap: </t>
    </r>
    <r>
      <rPr>
        <sz val="10"/>
        <color theme="1"/>
        <rFont val="Arial"/>
        <family val="2"/>
      </rPr>
      <t xml:space="preserve">Control not currently implemented.
</t>
    </r>
    <r>
      <rPr>
        <b/>
        <sz val="10"/>
        <color theme="1"/>
        <rFont val="Arial"/>
        <family val="2"/>
      </rPr>
      <t xml:space="preserve">Recommendation: </t>
    </r>
    <r>
      <rPr>
        <sz val="10"/>
        <color theme="1"/>
        <rFont val="Arial"/>
        <family val="2"/>
      </rPr>
      <t>Management should ensure that backups within the in-scope environment are made immutable.</t>
    </r>
  </si>
  <si>
    <r>
      <rPr>
        <b/>
        <sz val="10"/>
        <color theme="1"/>
        <rFont val="Arial"/>
        <family val="2"/>
      </rPr>
      <t>Gap</t>
    </r>
    <r>
      <rPr>
        <sz val="10"/>
        <color theme="1"/>
        <rFont val="Arial"/>
        <family val="2"/>
      </rPr>
      <t xml:space="preserve">: Documentation needs to be improved; does not indicate the specifics for key management
</t>
    </r>
    <r>
      <rPr>
        <b/>
        <sz val="10"/>
        <color theme="1"/>
        <rFont val="Arial"/>
        <family val="2"/>
      </rPr>
      <t xml:space="preserve">Recommendation: </t>
    </r>
    <r>
      <rPr>
        <sz val="10"/>
        <color theme="1"/>
        <rFont val="Arial"/>
        <family val="2"/>
      </rPr>
      <t>Management should ensure that the current policies and procedures are updated to account for requirements regarding key management.</t>
    </r>
  </si>
  <si>
    <r>
      <rPr>
        <b/>
        <sz val="10"/>
        <color theme="1"/>
        <rFont val="Arial"/>
        <family val="2"/>
      </rPr>
      <t xml:space="preserve">Gap: </t>
    </r>
    <r>
      <rPr>
        <sz val="10"/>
        <color theme="1"/>
        <rFont val="Arial"/>
        <family val="2"/>
      </rPr>
      <t xml:space="preserve">A-LIGN was unable to gain assurance that sufficient storage capacity has been configured/allocated.
</t>
    </r>
    <r>
      <rPr>
        <b/>
        <sz val="10"/>
        <color theme="1"/>
        <rFont val="Arial"/>
        <family val="2"/>
      </rPr>
      <t xml:space="preserve">Recommendation: </t>
    </r>
    <r>
      <rPr>
        <sz val="10"/>
        <color theme="1"/>
        <rFont val="Arial"/>
        <family val="2"/>
      </rPr>
      <t>Management should ensure that in-scope tools (Entra/Google) are configured to ensure current and future capacity planning is in place.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</si>
</sst>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0"/>
      <color rgb="FFFFFFFF"/>
      <name val="Arial"/>
      <family val="2"/>
    </font>
    <font>
      <sz val="10"/>
      <color theme="1"/>
      <name val="Arial"/>
      <family val="2"/>
    </font>
    <font>
      <sz val="10"/>
      <color rgb="FF000000"/>
      <name val="Arial"/>
      <family val="2"/>
    </font>
    <font>
      <b/>
      <sz val="10"/>
      <color theme="1"/>
      <name val="Arial"/>
      <family val="2"/>
    </font>
    <font>
      <sz val="10"/>
      <name val="Arial"/>
      <family val="2"/>
    </font>
    <font>
      <sz val="8"/>
      <color theme="1"/>
      <name val="Arial"/>
      <family val="2"/>
    </font>
    <font>
      <b/>
      <sz val="10"/>
      <name val="Arial"/>
      <family val="2"/>
    </font>
    <font>
      <sz val="8"/>
      <name val="Calibri"/>
      <family val="2"/>
      <scheme val="minor"/>
    </font>
    <font>
      <sz val="11"/>
      <color theme="1"/>
      <name val="Calibri"/>
      <family val="2"/>
      <scheme val="minor"/>
    </font>
    <font>
      <b/>
      <sz val="8"/>
      <color theme="0"/>
      <name val="Arial"/>
      <family val="2"/>
    </font>
    <font>
      <u/>
      <sz val="10"/>
      <color theme="1"/>
      <name val="Arial"/>
      <family val="2"/>
    </font>
    <font>
      <b/>
      <sz val="10"/>
      <color rgb="FF000000"/>
      <name val="Arial"/>
      <family val="2"/>
    </font>
    <font>
      <b/>
      <sz val="10"/>
      <color theme="0"/>
      <name val="Arial"/>
      <family val="2"/>
    </font>
  </fonts>
  <fills count="19">
    <fill>
      <patternFill patternType="none"/>
    </fill>
    <fill>
      <patternFill patternType="gray125"/>
    </fill>
    <fill>
      <patternFill patternType="solid">
        <fgColor rgb="FF6EA3CC"/>
      </patternFill>
    </fill>
    <fill>
      <patternFill patternType="solid">
        <fgColor theme="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00B0F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50"/>
        <bgColor indexed="64"/>
      </patternFill>
    </fill>
    <fill>
      <patternFill patternType="solid">
        <fgColor theme="1"/>
        <bgColor indexed="64"/>
      </patternFill>
    </fill>
    <fill>
      <patternFill patternType="solid">
        <fgColor theme="5" tint="0.79998168889431442"/>
        <bgColor indexed="64"/>
      </patternFill>
    </fill>
  </fills>
  <borders count="20">
    <border>
      <left/>
      <right/>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style="thick">
        <color auto="1"/>
      </right>
      <top/>
      <bottom/>
      <diagonal/>
    </border>
    <border>
      <left style="thick">
        <color auto="1"/>
      </left>
      <right style="thick">
        <color auto="1"/>
      </right>
      <top/>
      <bottom/>
      <diagonal/>
    </border>
    <border>
      <left style="thick">
        <color auto="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9" fontId="9" fillId="0" borderId="0" applyFont="0" applyFill="0" applyBorder="0" applyAlignment="0" applyProtection="0"/>
  </cellStyleXfs>
  <cellXfs count="101">
    <xf numFmtId="0" fontId="0" fillId="0" borderId="0" xfId="0"/>
    <xf numFmtId="0" fontId="2" fillId="0" borderId="0" xfId="0" applyFont="1" applyAlignment="1" applyProtection="1">
      <alignment horizontal="left" vertical="top" wrapText="1"/>
      <protection locked="0"/>
    </xf>
    <xf numFmtId="0" fontId="6" fillId="0" borderId="0" xfId="0" applyFont="1"/>
    <xf numFmtId="0" fontId="2" fillId="5" borderId="0" xfId="0" applyFont="1" applyFill="1" applyAlignment="1" applyProtection="1">
      <alignment horizontal="left" vertical="top" wrapText="1"/>
      <protection locked="0"/>
    </xf>
    <xf numFmtId="0" fontId="1" fillId="2" borderId="1" xfId="0" applyFont="1" applyFill="1" applyBorder="1" applyAlignment="1" applyProtection="1">
      <alignment horizontal="center" vertical="center" wrapText="1"/>
      <protection locked="0"/>
    </xf>
    <xf numFmtId="0" fontId="2" fillId="0" borderId="0" xfId="0" applyFont="1" applyAlignment="1" applyProtection="1">
      <alignment horizontal="center" vertical="top" wrapText="1"/>
      <protection locked="0"/>
    </xf>
    <xf numFmtId="0" fontId="1" fillId="9" borderId="1" xfId="0" applyFont="1" applyFill="1" applyBorder="1" applyAlignment="1" applyProtection="1">
      <alignment horizontal="center" vertical="center" wrapText="1"/>
      <protection locked="0"/>
    </xf>
    <xf numFmtId="0" fontId="1" fillId="10" borderId="1" xfId="0" applyFont="1" applyFill="1" applyBorder="1" applyAlignment="1" applyProtection="1">
      <alignment horizontal="center" vertical="center" wrapText="1"/>
      <protection locked="0"/>
    </xf>
    <xf numFmtId="0" fontId="1" fillId="11" borderId="1" xfId="0"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horizontal="center" vertical="center" wrapText="1"/>
      <protection locked="0"/>
    </xf>
    <xf numFmtId="0" fontId="2" fillId="4"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4" fillId="4" borderId="1" xfId="0" applyFont="1" applyFill="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0" fontId="6" fillId="0" borderId="0" xfId="0" applyFont="1" applyAlignment="1">
      <alignment horizontal="center" vertical="center"/>
    </xf>
    <xf numFmtId="9" fontId="6" fillId="0" borderId="0" xfId="0" applyNumberFormat="1" applyFont="1" applyAlignment="1">
      <alignment horizontal="center" vertical="center" wrapText="1"/>
    </xf>
    <xf numFmtId="0" fontId="6" fillId="0" borderId="0" xfId="0" applyFont="1" applyAlignment="1">
      <alignment horizontal="center" vertical="center" wrapText="1"/>
    </xf>
    <xf numFmtId="9" fontId="6" fillId="13" borderId="0" xfId="0" applyNumberFormat="1" applyFont="1" applyFill="1" applyAlignment="1">
      <alignment horizontal="center" vertical="center" wrapText="1"/>
    </xf>
    <xf numFmtId="0" fontId="6" fillId="13" borderId="0" xfId="0" applyFont="1" applyFill="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left" vertical="top" wrapText="1"/>
    </xf>
    <xf numFmtId="164" fontId="6" fillId="13" borderId="0" xfId="1" applyNumberFormat="1" applyFont="1" applyFill="1" applyBorder="1" applyAlignment="1">
      <alignment horizontal="center" vertical="center" wrapText="1"/>
    </xf>
    <xf numFmtId="2" fontId="6" fillId="13" borderId="0" xfId="0" applyNumberFormat="1" applyFont="1" applyFill="1" applyAlignment="1">
      <alignment horizontal="center" vertical="center" wrapText="1"/>
    </xf>
    <xf numFmtId="164" fontId="6" fillId="13" borderId="0" xfId="0" applyNumberFormat="1" applyFont="1" applyFill="1" applyAlignment="1">
      <alignment horizontal="center" vertical="center" wrapText="1"/>
    </xf>
    <xf numFmtId="0" fontId="2" fillId="0" borderId="0" xfId="0" applyFont="1"/>
    <xf numFmtId="0" fontId="10" fillId="7" borderId="0" xfId="0" applyFont="1" applyFill="1" applyAlignment="1">
      <alignment horizontal="center"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 fillId="0" borderId="6" xfId="0" applyFont="1" applyBorder="1" applyAlignment="1">
      <alignment vertical="center" wrapText="1"/>
    </xf>
    <xf numFmtId="0" fontId="12" fillId="0" borderId="0" xfId="0" applyFont="1" applyAlignment="1">
      <alignment horizontal="center" vertical="center"/>
    </xf>
    <xf numFmtId="0" fontId="11" fillId="0" borderId="0" xfId="0" applyFont="1" applyAlignment="1">
      <alignment vertical="center"/>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8" xfId="0" applyFont="1" applyBorder="1" applyAlignment="1">
      <alignment vertical="center" wrapText="1"/>
    </xf>
    <xf numFmtId="0" fontId="2" fillId="0" borderId="11" xfId="0" applyFont="1" applyBorder="1" applyAlignment="1">
      <alignment vertical="center" wrapText="1"/>
    </xf>
    <xf numFmtId="0" fontId="2" fillId="0" borderId="10" xfId="0" applyFont="1" applyBorder="1" applyAlignment="1">
      <alignment vertical="center" wrapText="1"/>
    </xf>
    <xf numFmtId="0" fontId="2" fillId="0" borderId="0" xfId="0" applyFont="1" applyAlignment="1">
      <alignment vertical="center"/>
    </xf>
    <xf numFmtId="0" fontId="2" fillId="14" borderId="0" xfId="0" applyFont="1" applyFill="1" applyAlignment="1">
      <alignment vertical="center"/>
    </xf>
    <xf numFmtId="0" fontId="2" fillId="0" borderId="0" xfId="0" applyFont="1" applyAlignment="1">
      <alignment horizontal="left" vertical="center"/>
    </xf>
    <xf numFmtId="0" fontId="2" fillId="0" borderId="6" xfId="0" applyFont="1" applyBorder="1" applyAlignment="1">
      <alignment horizontal="left" vertical="center" wrapText="1"/>
    </xf>
    <xf numFmtId="0" fontId="2" fillId="0" borderId="0" xfId="0" applyFont="1" applyAlignment="1" applyProtection="1">
      <alignment horizontal="left" vertical="top"/>
      <protection locked="0"/>
    </xf>
    <xf numFmtId="0" fontId="10" fillId="12" borderId="0" xfId="0" applyFont="1" applyFill="1" applyAlignment="1">
      <alignment horizontal="center" vertical="center" wrapText="1"/>
    </xf>
    <xf numFmtId="0" fontId="2" fillId="0" borderId="0" xfId="0" applyFont="1" applyAlignment="1">
      <alignment horizontal="center" vertical="center"/>
    </xf>
    <xf numFmtId="0" fontId="1" fillId="7" borderId="1" xfId="0" applyFont="1" applyFill="1" applyBorder="1" applyAlignment="1" applyProtection="1">
      <alignment horizontal="center" vertical="center" wrapText="1"/>
      <protection locked="0"/>
    </xf>
    <xf numFmtId="0" fontId="13" fillId="12" borderId="0" xfId="0" applyFont="1" applyFill="1" applyAlignment="1">
      <alignment horizontal="center" vertical="center"/>
    </xf>
    <xf numFmtId="0" fontId="13" fillId="7" borderId="0" xfId="0" applyFont="1" applyFill="1" applyAlignment="1">
      <alignment horizontal="center" vertical="center" wrapText="1"/>
    </xf>
    <xf numFmtId="0" fontId="2" fillId="0" borderId="0" xfId="0" applyFont="1" applyAlignment="1" applyProtection="1">
      <alignment horizontal="left" vertical="center"/>
      <protection locked="0"/>
    </xf>
    <xf numFmtId="0" fontId="2" fillId="0" borderId="0" xfId="0" applyFont="1" applyAlignment="1">
      <alignment horizontal="center" vertical="center" wrapText="1"/>
    </xf>
    <xf numFmtId="0" fontId="13" fillId="7" borderId="0" xfId="0" applyFont="1" applyFill="1" applyAlignment="1">
      <alignment horizontal="center" vertical="center"/>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pplyProtection="1">
      <alignment horizontal="left" vertical="top" wrapText="1"/>
      <protection locked="0"/>
    </xf>
    <xf numFmtId="0" fontId="13" fillId="12" borderId="0" xfId="0" applyFont="1" applyFill="1" applyAlignment="1">
      <alignment horizontal="center" vertical="center" wrapText="1"/>
    </xf>
    <xf numFmtId="0" fontId="2" fillId="0" borderId="0" xfId="0" applyFont="1" applyAlignment="1">
      <alignment horizontal="left"/>
    </xf>
    <xf numFmtId="0" fontId="2" fillId="0" borderId="0" xfId="0" applyFont="1" applyAlignment="1">
      <alignment vertical="center" wrapText="1"/>
    </xf>
    <xf numFmtId="0" fontId="6" fillId="0" borderId="12" xfId="0" applyFont="1" applyBorder="1" applyAlignment="1">
      <alignment vertical="center" wrapText="1"/>
    </xf>
    <xf numFmtId="14" fontId="6" fillId="0" borderId="13" xfId="0" applyNumberFormat="1" applyFont="1" applyBorder="1" applyAlignment="1">
      <alignment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0" fontId="6" fillId="0" borderId="0" xfId="0" applyFont="1" applyAlignment="1">
      <alignment vertical="center"/>
    </xf>
    <xf numFmtId="0" fontId="6" fillId="0" borderId="0" xfId="0" applyFont="1" applyAlignment="1">
      <alignment horizontal="right" vertical="center"/>
    </xf>
    <xf numFmtId="2" fontId="6" fillId="0" borderId="0" xfId="0" applyNumberFormat="1" applyFont="1" applyAlignment="1">
      <alignment horizontal="center" vertical="center"/>
    </xf>
    <xf numFmtId="0" fontId="10" fillId="15" borderId="0" xfId="0" applyFont="1" applyFill="1" applyAlignment="1">
      <alignment horizontal="center" vertical="center" wrapText="1"/>
    </xf>
    <xf numFmtId="14" fontId="2" fillId="16" borderId="1" xfId="0" applyNumberFormat="1" applyFont="1" applyFill="1" applyBorder="1" applyAlignment="1" applyProtection="1">
      <alignment horizontal="center" vertical="center" wrapText="1"/>
      <protection locked="0"/>
    </xf>
    <xf numFmtId="49" fontId="2" fillId="0" borderId="0" xfId="0" applyNumberFormat="1" applyFont="1" applyAlignment="1" applyProtection="1">
      <alignment horizontal="left" vertical="top" wrapText="1"/>
      <protection locked="0"/>
    </xf>
    <xf numFmtId="0" fontId="4" fillId="16" borderId="1" xfId="0" applyFont="1" applyFill="1" applyBorder="1" applyAlignment="1" applyProtection="1">
      <alignment horizontal="center" vertical="center" wrapText="1"/>
      <protection locked="0"/>
    </xf>
    <xf numFmtId="0" fontId="2" fillId="0" borderId="15" xfId="0" applyFont="1" applyBorder="1" applyAlignment="1">
      <alignment horizontal="left" vertical="center"/>
    </xf>
    <xf numFmtId="0" fontId="2" fillId="0" borderId="2" xfId="0" applyFont="1" applyBorder="1" applyAlignment="1">
      <alignment horizontal="center" vertical="center"/>
    </xf>
    <xf numFmtId="0" fontId="2" fillId="0" borderId="15" xfId="0" applyFont="1" applyBorder="1" applyAlignment="1">
      <alignment horizontal="left" vertical="center" wrapText="1"/>
    </xf>
    <xf numFmtId="0" fontId="2" fillId="0" borderId="2" xfId="0" applyFont="1" applyBorder="1" applyAlignment="1">
      <alignment vertical="center" wrapText="1"/>
    </xf>
    <xf numFmtId="0" fontId="2" fillId="0" borderId="15" xfId="0" applyFont="1" applyBorder="1" applyAlignment="1">
      <alignment vertical="center" wrapText="1"/>
    </xf>
    <xf numFmtId="0" fontId="13" fillId="17" borderId="0" xfId="0" applyFont="1" applyFill="1" applyAlignment="1">
      <alignment horizontal="center" vertical="center" wrapText="1"/>
    </xf>
    <xf numFmtId="0" fontId="2" fillId="17" borderId="0" xfId="0" applyFont="1" applyFill="1"/>
    <xf numFmtId="0" fontId="2" fillId="0" borderId="0" xfId="0" applyFont="1" applyAlignment="1">
      <alignment horizontal="center"/>
    </xf>
    <xf numFmtId="0" fontId="6" fillId="0" borderId="0" xfId="0" applyFont="1" applyProtection="1">
      <protection locked="0"/>
    </xf>
    <xf numFmtId="0" fontId="10" fillId="12" borderId="0" xfId="0" applyFont="1" applyFill="1" applyAlignment="1" applyProtection="1">
      <alignment horizontal="center" vertical="center" wrapText="1"/>
      <protection locked="0"/>
    </xf>
    <xf numFmtId="0" fontId="6" fillId="0" borderId="0" xfId="0" applyFont="1" applyAlignment="1" applyProtection="1">
      <alignment vertical="top" wrapText="1"/>
      <protection locked="0"/>
    </xf>
    <xf numFmtId="164" fontId="6" fillId="0" borderId="0" xfId="0" applyNumberFormat="1" applyFont="1" applyProtection="1">
      <protection locked="0"/>
    </xf>
    <xf numFmtId="0" fontId="6" fillId="0" borderId="0" xfId="0" applyFont="1" applyAlignment="1">
      <alignment vertical="center" wrapText="1"/>
    </xf>
    <xf numFmtId="0" fontId="6" fillId="0" borderId="12" xfId="0" applyFont="1" applyBorder="1" applyAlignment="1">
      <alignment horizontal="right" vertical="center" wrapText="1"/>
    </xf>
    <xf numFmtId="0" fontId="2" fillId="18" borderId="0" xfId="0" applyFont="1" applyFill="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2" fillId="8" borderId="0" xfId="0" applyFont="1" applyFill="1" applyAlignment="1" applyProtection="1">
      <alignment horizontal="left" vertical="top" wrapText="1"/>
      <protection locked="0"/>
    </xf>
    <xf numFmtId="0" fontId="2" fillId="0" borderId="7" xfId="0" applyFont="1" applyBorder="1" applyAlignment="1">
      <alignment vertical="center" wrapText="1"/>
    </xf>
    <xf numFmtId="0" fontId="2" fillId="0" borderId="9" xfId="0" applyFont="1" applyBorder="1" applyAlignment="1">
      <alignment vertical="center" wrapText="1"/>
    </xf>
    <xf numFmtId="0" fontId="4" fillId="0" borderId="0" xfId="0" applyFont="1" applyAlignment="1">
      <alignment horizontal="center" vertical="center"/>
    </xf>
    <xf numFmtId="49" fontId="4" fillId="0" borderId="0" xfId="0" applyNumberFormat="1" applyFont="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5" xfId="0" applyFont="1" applyBorder="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6" fillId="0" borderId="0" xfId="0" applyFont="1" applyAlignment="1">
      <alignment horizontal="center"/>
    </xf>
  </cellXfs>
  <cellStyles count="2">
    <cellStyle name="Normal" xfId="0" builtinId="0"/>
    <cellStyle name="Percent" xfId="1" builtinId="5"/>
  </cellStyles>
  <dxfs count="95">
    <dxf>
      <font>
        <color rgb="FF9C0006"/>
      </font>
      <fill>
        <patternFill>
          <bgColor rgb="FFFFC7CE"/>
        </patternFill>
      </fill>
    </dxf>
    <dxf>
      <font>
        <color rgb="FF9C0006"/>
      </font>
      <fill>
        <patternFill>
          <bgColor rgb="FFFFC7CE"/>
        </patternFill>
      </fill>
    </dxf>
    <dxf>
      <font>
        <color rgb="FFC00000"/>
      </font>
      <fill>
        <patternFill>
          <bgColor theme="5" tint="0.59996337778862885"/>
        </patternFill>
      </fill>
    </dxf>
    <dxf>
      <font>
        <color theme="9" tint="-0.499984740745262"/>
      </font>
      <fill>
        <patternFill>
          <bgColor theme="9" tint="0.59996337778862885"/>
        </patternFill>
      </fill>
    </dxf>
    <dxf>
      <fill>
        <patternFill>
          <bgColor theme="4" tint="0.59996337778862885"/>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5" tint="0.39994506668294322"/>
        </patternFill>
      </fill>
    </dxf>
    <dxf>
      <fill>
        <patternFill>
          <bgColor theme="6"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5" tint="0.39994506668294322"/>
        </patternFill>
      </fill>
    </dxf>
    <dxf>
      <fill>
        <patternFill>
          <bgColor theme="6" tint="0.39994506668294322"/>
        </patternFill>
      </fill>
    </dxf>
    <dxf>
      <fill>
        <patternFill>
          <bgColor theme="6" tint="0.39994506668294322"/>
        </patternFill>
      </fill>
    </dxf>
    <dxf>
      <fill>
        <patternFill>
          <bgColor theme="5"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1"/>
        </patternFill>
      </fill>
    </dxf>
    <dxf>
      <fill>
        <patternFill>
          <bgColor theme="1"/>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theme="7" tint="0.59996337778862885"/>
        </patternFill>
      </fill>
    </dxf>
    <dxf>
      <fill>
        <patternFill>
          <bgColor rgb="FFFFFF00"/>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FF00"/>
        </patternFill>
      </fill>
    </dxf>
    <dxf>
      <fill>
        <patternFill>
          <bgColor theme="7" tint="0.59996337778862885"/>
        </patternFill>
      </fill>
    </dxf>
    <dxf>
      <fill>
        <patternFill>
          <bgColor theme="7" tint="0.59996337778862885"/>
        </patternFill>
      </fill>
    </dxf>
    <dxf>
      <fill>
        <patternFill>
          <bgColor rgb="FFFFFF00"/>
        </patternFill>
      </fill>
    </dxf>
    <dxf>
      <fill>
        <patternFill>
          <bgColor theme="7" tint="0.59996337778862885"/>
        </patternFill>
      </fill>
    </dxf>
    <dxf>
      <fill>
        <patternFill>
          <bgColor rgb="FFFF0000"/>
        </patternFill>
      </fill>
    </dxf>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ligncompliance.sharepoint.com/personal/myles_templin_a-lign_com/Documents/Desktop/Project/Sampling%20Module%20v93%20rev2.1-PIP%20-%20with%20testing%20tables%20500%20pl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Assessment"/>
      <sheetName val="Samples"/>
      <sheetName val="Sample Tables"/>
      <sheetName val="Interviews"/>
      <sheetName val="Populations"/>
      <sheetName val="Sheet1"/>
      <sheetName val="Requests"/>
      <sheetName val="Custom Requests"/>
      <sheetName val="Template Metadata"/>
      <sheetName val="PIP"/>
      <sheetName val="PIP review"/>
      <sheetName val="IQA Review"/>
      <sheetName val="Inherited"/>
      <sheetName val="Math"/>
      <sheetName val="Summary"/>
      <sheetName val="Error Check"/>
      <sheetName val="SRM"/>
      <sheetName val="MyIRL"/>
      <sheetName val="Scope"/>
      <sheetName val="Revision Table"/>
      <sheetName val="F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A2" t="str">
            <v>0101.00a1Organizational.123</v>
          </cell>
        </row>
      </sheetData>
      <sheetData sheetId="20"/>
      <sheetData sheetId="21">
        <row r="2">
          <cell r="A2" t="str">
            <v>Yes</v>
          </cell>
          <cell r="B2" t="str">
            <v>1. Non Compliant (0%)</v>
          </cell>
        </row>
        <row r="3">
          <cell r="A3" t="str">
            <v>No</v>
          </cell>
          <cell r="B3" t="str">
            <v>2. Somewhat Compliant (25%)</v>
          </cell>
        </row>
        <row r="4">
          <cell r="B4" t="str">
            <v>3. Partially Compliant (50%)</v>
          </cell>
        </row>
        <row r="5">
          <cell r="B5" t="str">
            <v>4. Mostly Compliant (75%)</v>
          </cell>
        </row>
        <row r="6">
          <cell r="B6" t="str">
            <v>5. Fully Compliant (100%)</v>
          </cell>
        </row>
      </sheetData>
    </sheetDataSet>
  </externalBook>
</externalLink>
</file>

<file path=xl/persons/person.xml><?xml version="1.0" encoding="utf-8"?>
<personList xmlns="http://schemas.microsoft.com/office/spreadsheetml/2018/threadedcomments" xmlns:x="http://schemas.openxmlformats.org/spreadsheetml/2006/main">
  <person displayName="Justin McQuillen" id="{700E21A0-AC50-4D02-9253-FF81BB0C2097}" userId="S::justin.mcquillen@a-lign.com::833952e1-10a7-4992-af8d-d8ffc8bcf62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K1" dT="2026-02-10T20:08:15.56" personId="{700E21A0-AC50-4D02-9253-FF81BB0C2097}" id="{3F4CDC70-4C1F-4F74-BDD9-E454096A8502}">
    <text>Ensure this column is filled out based on the template for all controls where inquiry notes (column AL) is filled out</text>
  </threadedComment>
  <threadedComment ref="AM1" dT="2026-02-10T20:06:33.61" personId="{700E21A0-AC50-4D02-9253-FF81BB0C2097}" id="{B220B2E0-1666-4923-8B45-3AC405B0085E}">
    <text>Observed x which demonstrated y</text>
  </threadedComment>
  <threadedComment ref="AN1" dT="2026-02-10T20:06:15.30" personId="{700E21A0-AC50-4D02-9253-FF81BB0C2097}" id="{E459B240-69D7-4E85-BDD1-A031ADC6EB3F}">
    <text xml:space="preserve">For any files uploaded into A-SCEND and reviewed, you can fill out column AN-AO just like you would for a Validation assessment </text>
  </threadedComment>
  <threadedComment ref="AQ1" dT="2026-02-10T20:05:37.00" personId="{700E21A0-AC50-4D02-9253-FF81BB0C2097}" id="{B965B8F5-456F-49D7-94F5-DC79A5CB49F0}">
    <text>Just like for Rethink, let’s update our inheritance notes to follow the same format:
Partially/Fully inherited by Azure and GCP at x% total weight. Each of the CSPs are partially/fully responsible for implementing this control within their data centers.
Azure - x%
GCP - x%</text>
  </threadedComment>
  <threadedComment ref="H14" dT="2026-01-26T17:59:41.69" personId="{700E21A0-AC50-4D02-9253-FF81BB0C2097}" id="{1538F47B-08C0-413C-894F-1B6149EEA5A6}">
    <text>Review the policies and procedures Roze uploads to A-SCEND</text>
  </threadedComment>
  <threadedComment ref="AM22" dT="2026-01-26T18:41:29.32" personId="{700E21A0-AC50-4D02-9253-FF81BB0C2097}" id="{36C267C6-082F-45B1-B5D6-A42163D0C6A2}">
    <text xml:space="preserve">Nate to have Nate pull firewall settings and upload them to A-SCEND once created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13A8-47F2-462B-997D-A66BB2FCDFC5}">
  <dimension ref="B2:C20"/>
  <sheetViews>
    <sheetView showGridLines="0" zoomScaleNormal="100" workbookViewId="0"/>
  </sheetViews>
  <sheetFormatPr defaultColWidth="8.7265625" defaultRowHeight="12.5" x14ac:dyDescent="0.35"/>
  <cols>
    <col min="1" max="1" width="8.7265625" style="40"/>
    <col min="2" max="3" width="25.54296875" style="40" customWidth="1"/>
    <col min="4" max="16384" width="8.7265625" style="40"/>
  </cols>
  <sheetData>
    <row r="2" spans="2:3" ht="13" x14ac:dyDescent="0.35">
      <c r="B2" s="89" t="s">
        <v>0</v>
      </c>
      <c r="C2" s="89"/>
    </row>
    <row r="3" spans="2:3" ht="13" x14ac:dyDescent="0.35">
      <c r="B3" s="89" t="s">
        <v>1</v>
      </c>
      <c r="C3" s="89"/>
    </row>
    <row r="4" spans="2:3" ht="13" x14ac:dyDescent="0.35">
      <c r="B4" s="90" t="s">
        <v>2</v>
      </c>
      <c r="C4" s="90"/>
    </row>
    <row r="5" spans="2:3" ht="13" thickBot="1" x14ac:dyDescent="0.4"/>
    <row r="6" spans="2:3" ht="13.5" thickBot="1" x14ac:dyDescent="0.4">
      <c r="B6" s="29" t="s">
        <v>3</v>
      </c>
      <c r="C6" s="30" t="s">
        <v>4</v>
      </c>
    </row>
    <row r="7" spans="2:3" ht="13" thickBot="1" x14ac:dyDescent="0.4">
      <c r="B7" s="36" t="s">
        <v>5</v>
      </c>
      <c r="C7" s="31"/>
    </row>
    <row r="8" spans="2:3" ht="13" thickBot="1" x14ac:dyDescent="0.4">
      <c r="B8" s="36" t="s">
        <v>6</v>
      </c>
      <c r="C8" s="31"/>
    </row>
    <row r="9" spans="2:3" ht="13" thickBot="1" x14ac:dyDescent="0.4">
      <c r="B9" s="36" t="s">
        <v>7</v>
      </c>
      <c r="C9" s="43" t="s">
        <v>8</v>
      </c>
    </row>
    <row r="10" spans="2:3" ht="25.5" thickBot="1" x14ac:dyDescent="0.4">
      <c r="B10" s="36" t="s">
        <v>9</v>
      </c>
      <c r="C10" s="31" t="s">
        <v>10</v>
      </c>
    </row>
    <row r="11" spans="2:3" ht="13" x14ac:dyDescent="0.35">
      <c r="B11" s="32"/>
    </row>
    <row r="12" spans="2:3" ht="13" thickBot="1" x14ac:dyDescent="0.4">
      <c r="B12" s="33" t="s">
        <v>11</v>
      </c>
    </row>
    <row r="13" spans="2:3" ht="25.5" thickBot="1" x14ac:dyDescent="0.4">
      <c r="B13" s="34" t="s">
        <v>12</v>
      </c>
      <c r="C13" s="35" t="s">
        <v>13</v>
      </c>
    </row>
    <row r="14" spans="2:3" ht="25.5" thickBot="1" x14ac:dyDescent="0.4">
      <c r="B14" s="36" t="s">
        <v>14</v>
      </c>
      <c r="C14" s="31" t="s">
        <v>15</v>
      </c>
    </row>
    <row r="15" spans="2:3" x14ac:dyDescent="0.35">
      <c r="B15" s="87" t="s">
        <v>16</v>
      </c>
      <c r="C15" s="37" t="s">
        <v>17</v>
      </c>
    </row>
    <row r="16" spans="2:3" ht="25" x14ac:dyDescent="0.35">
      <c r="B16" s="88"/>
      <c r="C16" s="37" t="s">
        <v>18</v>
      </c>
    </row>
    <row r="17" spans="2:3" ht="25" x14ac:dyDescent="0.35">
      <c r="B17" s="88"/>
      <c r="C17" s="37" t="s">
        <v>19</v>
      </c>
    </row>
    <row r="18" spans="2:3" x14ac:dyDescent="0.35">
      <c r="B18" s="88"/>
      <c r="C18" s="37" t="s">
        <v>20</v>
      </c>
    </row>
    <row r="19" spans="2:3" ht="13" thickBot="1" x14ac:dyDescent="0.4">
      <c r="B19" s="88"/>
      <c r="C19" s="37" t="s">
        <v>21</v>
      </c>
    </row>
    <row r="20" spans="2:3" ht="13" thickBot="1" x14ac:dyDescent="0.4">
      <c r="B20" s="38" t="s">
        <v>22</v>
      </c>
      <c r="C20" s="39" t="s">
        <v>23</v>
      </c>
    </row>
  </sheetData>
  <mergeCells count="4">
    <mergeCell ref="B15:B19"/>
    <mergeCell ref="B2:C2"/>
    <mergeCell ref="B3:C3"/>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BH204"/>
  <sheetViews>
    <sheetView tabSelected="1" topLeftCell="F1" zoomScale="70" zoomScaleNormal="70" workbookViewId="0">
      <pane ySplit="1" topLeftCell="A178" activePane="bottomLeft" state="frozen"/>
      <selection pane="bottomLeft" activeCell="M179" sqref="M179"/>
    </sheetView>
  </sheetViews>
  <sheetFormatPr defaultColWidth="9.1796875" defaultRowHeight="12.5" x14ac:dyDescent="0.35"/>
  <cols>
    <col min="1" max="2" width="30.54296875" style="1" hidden="1" customWidth="1"/>
    <col min="3" max="3" width="15.54296875" style="1" hidden="1" customWidth="1"/>
    <col min="4" max="5" width="15.54296875" style="5" hidden="1" customWidth="1"/>
    <col min="6" max="6" width="15.54296875" style="1" customWidth="1"/>
    <col min="7" max="7" width="15.54296875" style="1" hidden="1" customWidth="1"/>
    <col min="8" max="8" width="15.54296875" style="1" customWidth="1"/>
    <col min="9" max="9" width="15.54296875" style="5" customWidth="1"/>
    <col min="10" max="10" width="15.54296875" style="1" hidden="1" customWidth="1"/>
    <col min="11" max="11" width="33" style="1" customWidth="1"/>
    <col min="12" max="12" width="47.26953125" style="1" customWidth="1"/>
    <col min="13" max="13" width="27.7265625" style="1" customWidth="1"/>
    <col min="14" max="14" width="15.54296875" style="5" hidden="1" customWidth="1"/>
    <col min="15" max="15" width="15.54296875" style="1" customWidth="1"/>
    <col min="16" max="21" width="15.54296875" style="1" hidden="1" customWidth="1"/>
    <col min="22" max="23" width="15.54296875" style="1" customWidth="1"/>
    <col min="24" max="25" width="15.54296875" style="1" hidden="1" customWidth="1"/>
    <col min="26" max="26" width="15.54296875" style="1" customWidth="1"/>
    <col min="27" max="36" width="15.54296875" style="1" hidden="1" customWidth="1"/>
    <col min="37" max="37" width="15.54296875" style="1" customWidth="1"/>
    <col min="38" max="38" width="26.81640625" style="1" customWidth="1"/>
    <col min="39" max="39" width="27.26953125" style="1" customWidth="1"/>
    <col min="40" max="40" width="15.54296875" style="1" customWidth="1"/>
    <col min="41" max="41" width="40.453125" style="1" customWidth="1"/>
    <col min="42" max="42" width="31" style="1" customWidth="1"/>
    <col min="43" max="43" width="15.54296875" style="1" customWidth="1"/>
    <col min="44" max="44" width="15.54296875" style="68" hidden="1" customWidth="1"/>
    <col min="45" max="49" width="15.54296875" style="1" hidden="1" customWidth="1"/>
    <col min="50" max="59" width="30.54296875" style="1" hidden="1" customWidth="1"/>
    <col min="60" max="60" width="50.54296875" style="1" hidden="1" customWidth="1"/>
    <col min="61" max="61" width="18" style="1" customWidth="1"/>
    <col min="62" max="62" width="21.54296875" style="1" customWidth="1"/>
    <col min="63" max="64" width="9.1796875" style="1"/>
    <col min="65" max="65" width="20" style="1" customWidth="1"/>
    <col min="66" max="66" width="24.26953125" style="1" customWidth="1"/>
    <col min="67" max="16384" width="9.1796875" style="1"/>
  </cols>
  <sheetData>
    <row r="1" spans="1:60" s="15" customFormat="1" ht="75.5" thickBot="1" x14ac:dyDescent="0.4">
      <c r="A1" s="8" t="s">
        <v>24</v>
      </c>
      <c r="B1" s="8" t="s">
        <v>25</v>
      </c>
      <c r="C1" s="47" t="s">
        <v>26</v>
      </c>
      <c r="D1" s="47" t="s">
        <v>27</v>
      </c>
      <c r="E1" s="4" t="s">
        <v>28</v>
      </c>
      <c r="F1" s="4" t="s">
        <v>29</v>
      </c>
      <c r="G1" s="4" t="s">
        <v>30</v>
      </c>
      <c r="H1" s="4" t="s">
        <v>31</v>
      </c>
      <c r="I1" s="4" t="s">
        <v>32</v>
      </c>
      <c r="J1" s="4" t="s">
        <v>33</v>
      </c>
      <c r="K1" s="4" t="s">
        <v>34</v>
      </c>
      <c r="L1" s="4" t="s">
        <v>35</v>
      </c>
      <c r="M1" s="4" t="s">
        <v>36</v>
      </c>
      <c r="N1" s="4" t="s">
        <v>37</v>
      </c>
      <c r="O1" s="6" t="s">
        <v>38</v>
      </c>
      <c r="P1" s="7" t="s">
        <v>39</v>
      </c>
      <c r="Q1" s="7" t="s">
        <v>40</v>
      </c>
      <c r="R1" s="7" t="s">
        <v>41</v>
      </c>
      <c r="S1" s="7" t="s">
        <v>42</v>
      </c>
      <c r="T1" s="7" t="s">
        <v>43</v>
      </c>
      <c r="U1" s="7" t="s">
        <v>44</v>
      </c>
      <c r="V1" s="9" t="s">
        <v>45</v>
      </c>
      <c r="W1" s="10" t="s">
        <v>46</v>
      </c>
      <c r="X1" s="9" t="s">
        <v>47</v>
      </c>
      <c r="Y1" s="9" t="s">
        <v>48</v>
      </c>
      <c r="Z1" s="9" t="s">
        <v>49</v>
      </c>
      <c r="AA1" s="9" t="s">
        <v>50</v>
      </c>
      <c r="AB1" s="9" t="s">
        <v>51</v>
      </c>
      <c r="AC1" s="11" t="s">
        <v>52</v>
      </c>
      <c r="AD1" s="11" t="s">
        <v>53</v>
      </c>
      <c r="AE1" s="12" t="s">
        <v>54</v>
      </c>
      <c r="AF1" s="16" t="s">
        <v>55</v>
      </c>
      <c r="AG1" s="11" t="s">
        <v>56</v>
      </c>
      <c r="AH1" s="11" t="s">
        <v>57</v>
      </c>
      <c r="AI1" s="12" t="s">
        <v>58</v>
      </c>
      <c r="AJ1" s="16" t="s">
        <v>59</v>
      </c>
      <c r="AK1" s="12" t="s">
        <v>60</v>
      </c>
      <c r="AL1" s="12" t="s">
        <v>61</v>
      </c>
      <c r="AM1" s="12" t="s">
        <v>62</v>
      </c>
      <c r="AN1" s="13" t="s">
        <v>63</v>
      </c>
      <c r="AO1" s="11" t="s">
        <v>64</v>
      </c>
      <c r="AP1" s="12" t="s">
        <v>65</v>
      </c>
      <c r="AQ1" s="69" t="s">
        <v>66</v>
      </c>
      <c r="AR1" s="67" t="s">
        <v>67</v>
      </c>
      <c r="AS1" s="16" t="s">
        <v>68</v>
      </c>
      <c r="AT1" s="11" t="s">
        <v>69</v>
      </c>
      <c r="AU1" s="11" t="s">
        <v>70</v>
      </c>
      <c r="AV1" s="11" t="s">
        <v>71</v>
      </c>
      <c r="AW1" s="11" t="s">
        <v>72</v>
      </c>
      <c r="AX1" s="14" t="s">
        <v>73</v>
      </c>
      <c r="AY1" s="14" t="s">
        <v>74</v>
      </c>
      <c r="AZ1" s="14" t="s">
        <v>75</v>
      </c>
      <c r="BA1" s="14" t="s">
        <v>76</v>
      </c>
      <c r="BB1" s="14" t="s">
        <v>77</v>
      </c>
      <c r="BC1" s="14" t="s">
        <v>78</v>
      </c>
      <c r="BD1" s="14" t="s">
        <v>79</v>
      </c>
      <c r="BE1" s="14" t="s">
        <v>80</v>
      </c>
      <c r="BF1" s="14" t="s">
        <v>81</v>
      </c>
      <c r="BG1" s="14" t="s">
        <v>82</v>
      </c>
      <c r="BH1" s="14" t="s">
        <v>83</v>
      </c>
    </row>
    <row r="2" spans="1:60" s="15" customFormat="1" ht="409.5" x14ac:dyDescent="0.35">
      <c r="A2" s="1"/>
      <c r="B2" s="1"/>
      <c r="C2" s="1">
        <f t="shared" ref="C2:C9" si="0">IF(V2="No","Not Applicable",(IF(X2="1. Non Compliant (0%)","0",IF(X2="2. Somewhat Compliant (25%)","25",IF(X2="3. Partially Compliant (50%)","50",IF(X2="4. Mostly Compliant (75%)","75",IF(X2="5. Fully Compliant (100%)","100")))))*0.15)+((IF(Y2="1. Non Compliant (0%)","0",IF(Y2="2. Somewhat Compliant (25%)","25",IF(Y2="3. Partially Compliant (50%)","50",IF(Y2="4. Mostly Compliant (75%)","75",IF(Y2="5. Fully Compliant (100%)","100"))))))*0.2)+(IF(Z2="1. Non Compliant (0%)","0",IF(Z2="2. Somewhat Compliant (25%)","25",IF(Z2="3. Partially Compliant (50%)","50",IF(Z2="4. Mostly Compliant (75%)","75",IF(Z2="5. Fully Compliant (100%)","100")))))*0.4)+(IF(AA2="1. Non Compliant (0%)","0",IF(AA2="2. Somewhat Compliant (25%)","25",IF(AA2="3. Partially Compliant (50%)","50",IF(AA2="4. Mostly Compliant (75%)","75",IF(AA2="5. Fully Compliant (100%)","100")))))*0.1)+(IF(AB2="1. Non Compliant (0%)","0",IF(AB2="2. Somewhat Compliant (25%)","25",IF(AB2="3. Partially Compliant (50%)","50",IF(AB2="4. Mostly Compliant (75%)","75",IF(AB2="5. Fully Compliant (100%)","100")))))*0.15))</f>
        <v>0</v>
      </c>
      <c r="D2" s="5" t="str">
        <f>IF(AND((_xlfn.XLOOKUP(J2,'Fields &amp; Revisions'!$H:$H,'Fields &amp; Revisions'!$I:$I))&lt;70.99,(OR(Z2="4. Mostly Compliant (75%)",Z2="3. Partially Compliant (50%)",Z2="2. Somewhat Compliant (25%)",Z2="1. Non Compliant (0%)"))),"Yes","No")</f>
        <v>Yes</v>
      </c>
      <c r="E2" s="5" t="str">
        <f>IF(ISERROR(VLOOKUP(H2,Scope!A:A,1,FALSE)),"No","Yes")</f>
        <v>Yes</v>
      </c>
      <c r="F2" s="1" t="s">
        <v>90</v>
      </c>
      <c r="G2" s="53" t="s">
        <v>91</v>
      </c>
      <c r="H2" s="53" t="s">
        <v>92</v>
      </c>
      <c r="I2" s="5" t="s">
        <v>93</v>
      </c>
      <c r="J2" s="1" t="s">
        <v>94</v>
      </c>
      <c r="K2" s="54" t="s">
        <v>95</v>
      </c>
      <c r="L2" s="1" t="s">
        <v>96</v>
      </c>
      <c r="M2" s="1" t="s">
        <v>97</v>
      </c>
      <c r="N2" s="5" t="s">
        <v>98</v>
      </c>
      <c r="O2" s="1" t="str">
        <f>_xlfn.XLOOKUP(G2,SRMs!$A:$A,SRMs!$D:$D)</f>
        <v>NO INHERITANCE</v>
      </c>
      <c r="P2" s="1" t="str">
        <f>IFERROR(VLOOKUP(H2,Inherited!A:B,2,FALSE),"")</f>
        <v/>
      </c>
      <c r="Q2" s="1" t="e">
        <f>IF(MATCH(H2,Inherited!A:A),IF((((_xlfn.XLOOKUP(Assessment!#REF!,Inherited!A:A,Inherited!B:B))/100)*(_xlfn.XLOOKUP(Assessment!#REF!,Inherited!A:A,Inherited!C:C)))+(((100-(_xlfn.XLOOKUP(Assessment!#REF!,Inherited!A:A,Inherited!B:B)))/100)*IF(X2="1.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(100%)","100"))))))&lt;=10,"0", IF(AND((((_xlfn.XLOOKUP(Assessment!#REF!,Inherited!A:A,Inherited!B:B))/100)*(_xlfn.XLOOKUP(Assessment!#REF!,Inherited!A:A,Inherited!C:C)))+(((100-(_xlfn.XLOOKUP(Assessment!#REF!,Inherited!A:A,Inherited!B:B)))/100)*IF(X2="1.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(100%)","100"))))))&gt;=11,(((_xlfn.XLOOKUP(Assessment!#REF!,Inherited!A:A,Inherited!B:B))/100)*(_xlfn.XLOOKUP(Assessment!#REF!,Inherited!A:A,Inherited!C:C)))+(((100-(_xlfn.XLOOKUP(Assessment!#REF!,Inherited!A:A,Inherited!B:B)))/100)*IF(X2="1.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(100%)","100"))))))&lt;=32),"25",IF(AND((((_xlfn.XLOOKUP(Assessment!#REF!,Inherited!A:A,Inherited!B:B))/100)*(_xlfn.XLOOKUP(Assessment!#REF!,Inherited!A:A,Inherited!C:C)))+(((100-(_xlfn.XLOOKUP(Assessment!#REF!,Inherited!A:A,Inherited!B:B)))/100)*IF(X2="1.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(100%)","100"))))))&gt;=33,(((_xlfn.XLOOKUP(Assessment!#REF!,Inherited!A:A,Inherited!B:B))/100)*(_xlfn.XLOOKUP(Assessment!#REF!,Inherited!A:A,Inherited!C:C)))+(((100-(_xlfn.XLOOKUP(Assessment!#REF!,Inherited!A:A,Inherited!B:B)))/100)*IF(X2="1.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(100%)","100"))))))&lt;=65),"50",IF(AND((((_xlfn.XLOOKUP(Assessment!#REF!,Inherited!A:A,Inherited!B:B))/100)*(_xlfn.XLOOKUP(Assessment!#REF!,Inherited!A:A,Inherited!C:C)))+(((100-(_xlfn.XLOOKUP(Assessment!#REF!,Inherited!A:A,Inherited!B:B)))/100)*IF(X2="1.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(100%)","100"))))))&gt;=66,(((_xlfn.XLOOKUP(Assessment!#REF!,Inherited!A:A,Inherited!B:B))/100)*(_xlfn.XLOOKUP(Assessment!#REF!,Inherited!A:A,Inherited!C:C)))+(((100-(_xlfn.XLOOKUP(Assessment!#REF!,Inherited!A:A,Inherited!B:B)))/100)*IF(X2="1.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(100%)","100"))))))&lt;=89),"75",IF((((_xlfn.XLOOKUP(Assessment!#REF!,Inherited!A:A,Inherited!B:B))/100)*(_xlfn.XLOOKUP(Assessment!#REF!,Inherited!A:A,Inherited!C:C)))+(((100-(_xlfn.XLOOKUP(Assessment!#REF!,Inherited!A:A,Inherited!B:B)))/100)*IF(X2="1. Non Compliant (0%)","0",IF(X2="2. Somewhat Compliant (25%)","25",IF(X2="3. Partially Compliant (50%)","50",IF(X2="4. Mostly Compliant (75%)","75",IF(X2="5. Fully Compliant (100%)","100"))))))&gt;=90,"100"))))))</f>
        <v>#N/A</v>
      </c>
      <c r="R2" s="1" t="e">
        <f>IF(MATCH(H2,Inherited!A:A),IF((((_xlfn.XLOOKUP(Assessment!#REF!,Inherited!A:A,Inherited!B:B))/100)*(_xlfn.XLOOKUP(Assessment!#REF!,Inherited!A:A,Inherited!D:D)))+(((100-(_xlfn.XLOOKUP(Assessment!#REF!,Inherited!A:A,Inherited!B:B)))/100)*IF(Y2="1.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(100%)","100"))))))&lt;=10,"0", IF(AND((((_xlfn.XLOOKUP(Assessment!#REF!,Inherited!A:A,Inherited!B:B))/100)*(_xlfn.XLOOKUP(Assessment!#REF!,Inherited!A:A,Inherited!D:D)))+(((100-(_xlfn.XLOOKUP(Assessment!#REF!,Inherited!A:A,Inherited!B:B)))/100)*IF(Y2="1.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(100%)","100"))))))&gt;=11,(((_xlfn.XLOOKUP(Assessment!#REF!,Inherited!A:A,Inherited!B:B))/100)*(_xlfn.XLOOKUP(Assessment!#REF!,Inherited!A:A,Inherited!D:D)))+(((100-(_xlfn.XLOOKUP(Assessment!#REF!,Inherited!A:A,Inherited!B:B)))/100)*IF(Y2="1.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(100%)","100"))))))&lt;=32),"25",IF(AND((((_xlfn.XLOOKUP(Assessment!#REF!,Inherited!A:A,Inherited!B:B))/100)*(_xlfn.XLOOKUP(Assessment!#REF!,Inherited!A:A,Inherited!D:D)))+(((100-(_xlfn.XLOOKUP(Assessment!#REF!,Inherited!A:A,Inherited!B:B)))/100)*IF(Y2="1.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(100%)","100"))))))&gt;=33,(((_xlfn.XLOOKUP(Assessment!#REF!,Inherited!A:A,Inherited!B:B))/100)*(_xlfn.XLOOKUP(Assessment!#REF!,Inherited!A:A,Inherited!D:D)))+(((100-(_xlfn.XLOOKUP(Assessment!#REF!,Inherited!A:A,Inherited!B:B)))/100)*IF(Y2="1.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(100%)","100"))))))&lt;=65),"50",IF(AND((((_xlfn.XLOOKUP(Assessment!#REF!,Inherited!A:A,Inherited!B:B))/100)*(_xlfn.XLOOKUP(Assessment!#REF!,Inherited!A:A,Inherited!D:D)))+(((100-(_xlfn.XLOOKUP(Assessment!#REF!,Inherited!A:A,Inherited!B:B)))/100)*IF(Y2="1.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(100%)","100"))))))&gt;=66,(((_xlfn.XLOOKUP(Assessment!#REF!,Inherited!A:A,Inherited!B:B))/100)*(_xlfn.XLOOKUP(Assessment!#REF!,Inherited!A:A,Inherited!D:D)))+(((100-(_xlfn.XLOOKUP(Assessment!#REF!,Inherited!A:A,Inherited!B:B)))/100)*IF(Y2="1.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(100%)","100"))))))&lt;=89),"75",IF((((_xlfn.XLOOKUP(Assessment!#REF!,Inherited!A:A,Inherited!B:B))/100)*(_xlfn.XLOOKUP(Assessment!#REF!,Inherited!A:A,Inherited!D:D)))+(((100-(_xlfn.XLOOKUP(Assessment!#REF!,Inherited!A:A,Inherited!B:B)))/100)*IF(Y2="1. Non Compliant (0%)","0",IF(Y2="2. Somewhat Compliant (25%)","25",IF(Y2="3. Partially Compliant (50%)","50",IF(Y2="4. Mostly Compliant (75%)","75",IF(Y2="5. Fully Compliant (100%)","100"))))))&gt;=90,"100"))))))</f>
        <v>#N/A</v>
      </c>
      <c r="S2" s="1" t="e">
        <f>IF(MATCH(H2,Inherited!A:A),IF((((_xlfn.XLOOKUP(Assessment!#REF!,Inherited!A:A,Inherited!B:B))/100)*(_xlfn.XLOOKUP(Assessment!#REF!,Inherited!A:A,Inherited!E:E)))+(((100-(_xlfn.XLOOKUP(Assessment!#REF!,Inherited!A:A,Inherited!B:B)))/100)*IF(Z2="1.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(100%)","100"))))))&lt;=10,"0", IF(AND((((_xlfn.XLOOKUP(Assessment!#REF!,Inherited!A:A,Inherited!B:B))/100)*(_xlfn.XLOOKUP(Assessment!#REF!,Inherited!A:A,Inherited!E:E)))+(((100-(_xlfn.XLOOKUP(Assessment!#REF!,Inherited!A:A,Inherited!B:B)))/100)*IF(Z2="1.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(100%)","100"))))))&gt;=11,(((_xlfn.XLOOKUP(Assessment!#REF!,Inherited!A:A,Inherited!B:B))/100)*(_xlfn.XLOOKUP(Assessment!#REF!,Inherited!A:A,Inherited!E:E)))+(((100-(_xlfn.XLOOKUP(Assessment!#REF!,Inherited!A:A,Inherited!B:B)))/100)*IF(Z2="1.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(100%)","100"))))))&lt;=32),"25",IF(AND((((_xlfn.XLOOKUP(Assessment!#REF!,Inherited!A:A,Inherited!B:B))/100)*(_xlfn.XLOOKUP(Assessment!#REF!,Inherited!A:A,Inherited!E:E)))+(((100-(_xlfn.XLOOKUP(Assessment!#REF!,Inherited!A:A,Inherited!B:B)))/100)*IF(Z2="1.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(100%)","100"))))))&gt;=33,(((_xlfn.XLOOKUP(Assessment!#REF!,Inherited!A:A,Inherited!B:B))/100)*(_xlfn.XLOOKUP(Assessment!#REF!,Inherited!A:A,Inherited!E:E)))+(((100-(_xlfn.XLOOKUP(Assessment!#REF!,Inherited!A:A,Inherited!B:B)))/100)*IF(Z2="1.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(100%)","100"))))))&lt;=65),"50",IF(AND((((_xlfn.XLOOKUP(Assessment!#REF!,Inherited!A:A,Inherited!B:B))/100)*(_xlfn.XLOOKUP(Assessment!#REF!,Inherited!A:A,Inherited!E:E)))+(((100-(_xlfn.XLOOKUP(Assessment!#REF!,Inherited!A:A,Inherited!B:B)))/100)*IF(Z2="1.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(100%)","100"))))))&gt;=66,(((_xlfn.XLOOKUP(Assessment!#REF!,Inherited!A:A,Inherited!B:B))/100)*(_xlfn.XLOOKUP(Assessment!#REF!,Inherited!A:A,Inherited!E:E)))+(((100-(_xlfn.XLOOKUP(Assessment!#REF!,Inherited!A:A,Inherited!B:B)))/100)*IF(Z2="1.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(100%)","100"))))))&lt;=89),"75",IF((((_xlfn.XLOOKUP(Assessment!#REF!,Inherited!A:A,Inherited!B:B))/100)*(_xlfn.XLOOKUP(Assessment!#REF!,Inherited!A:A,Inherited!E:E)))+(((100-(_xlfn.XLOOKUP(Assessment!#REF!,Inherited!A:A,Inherited!B:B)))/100)*IF(Z2="1. Non Compliant (0%)","0",IF(Z2="2. Somewhat Compliant (25%)","25",IF(Z2="3. Partially Compliant (50%)","50",IF(Z2="4. Mostly Compliant (75%)","75",IF(Z2="5. Fully Compliant (100%)","100"))))))&gt;=90,"100"))))))</f>
        <v>#N/A</v>
      </c>
      <c r="T2" s="1" t="e">
        <f>IF(MATCH(H2,Inherited!A:A),IF((((_xlfn.XLOOKUP(Assessment!#REF!,Inherited!A:A,Inherited!B:B))/100)*(_xlfn.XLOOKUP(Assessment!#REF!,Inherited!A:A,Inherited!F:F)))+(((100-(_xlfn.XLOOKUP(Assessment!#REF!,Inherited!A:A,Inherited!B:B)))/100)*IF(AA2="1.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(100%)","100"))))))&lt;=10,"0", IF(AND((((_xlfn.XLOOKUP(Assessment!#REF!,Inherited!A:A,Inherited!B:B))/100)*(_xlfn.XLOOKUP(Assessment!#REF!,Inherited!A:A,Inherited!F:F)))+(((100-(_xlfn.XLOOKUP(Assessment!#REF!,Inherited!A:A,Inherited!B:B)))/100)*IF(AA2="1.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(100%)","100"))))))&gt;=11,(((_xlfn.XLOOKUP(Assessment!#REF!,Inherited!A:A,Inherited!B:B))/100)*(_xlfn.XLOOKUP(Assessment!#REF!,Inherited!A:A,Inherited!F:F)))+(((100-(_xlfn.XLOOKUP(Assessment!#REF!,Inherited!A:A,Inherited!B:B)))/100)*IF(AA2="1.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(100%)","100"))))))&lt;=32),"25",IF(AND((((_xlfn.XLOOKUP(Assessment!#REF!,Inherited!A:A,Inherited!B:B))/100)*(_xlfn.XLOOKUP(Assessment!#REF!,Inherited!A:A,Inherited!F:F)))+(((100-(_xlfn.XLOOKUP(Assessment!#REF!,Inherited!A:A,Inherited!B:B)))/100)*IF(AA2="1.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(100%)","100"))))))&gt;=33,(((_xlfn.XLOOKUP(Assessment!#REF!,Inherited!A:A,Inherited!B:B))/100)*(_xlfn.XLOOKUP(Assessment!#REF!,Inherited!A:A,Inherited!F:F)))+(((100-(_xlfn.XLOOKUP(Assessment!#REF!,Inherited!A:A,Inherited!B:B)))/100)*IF(AA2="1.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(100%)","100"))))))&lt;=65),"50",IF(AND((((_xlfn.XLOOKUP(Assessment!#REF!,Inherited!A:A,Inherited!B:B))/100)*(_xlfn.XLOOKUP(Assessment!#REF!,Inherited!A:A,Inherited!F:F)))+(((100-(_xlfn.XLOOKUP(Assessment!#REF!,Inherited!A:A,Inherited!B:B)))/100)*IF(AA2="1.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(100%)","100"))))))&gt;=66,(((_xlfn.XLOOKUP(Assessment!#REF!,Inherited!A:A,Inherited!B:B))/100)*(_xlfn.XLOOKUP(Assessment!#REF!,Inherited!A:A,Inherited!F:F)))+(((100-(_xlfn.XLOOKUP(Assessment!#REF!,Inherited!A:A,Inherited!B:B)))/100)*IF(AA2="1.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(100%)","100"))))))&lt;=89),"75",IF((((_xlfn.XLOOKUP(Assessment!#REF!,Inherited!A:A,Inherited!B:B))/100)*(_xlfn.XLOOKUP(Assessment!#REF!,Inherited!A:A,Inherited!F:F)))+(((100-(_xlfn.XLOOKUP(Assessment!#REF!,Inherited!A:A,Inherited!B:B)))/100)*IF(AA2="1. Non Compliant (0%)","0",IF(AA2="2. Somewhat Compliant (25%)","25",IF(AA2="3. Partially Compliant (50%)","50",IF(AA2="4. Mostly Compliant (75%)","75",IF(AA2="5. Fully Compliant (100%)","100"))))))&gt;=90,"100"))))))</f>
        <v>#N/A</v>
      </c>
      <c r="U2" s="1" t="e">
        <f>IF(MATCH(H2,Inherited!A:A),IF((((_xlfn.XLOOKUP(Assessment!#REF!,Inherited!A:A,Inherited!B:B))/100)*(_xlfn.XLOOKUP(Assessment!#REF!,Inherited!A:A,Inherited!G:G)))+(((100-(_xlfn.XLOOKUP(Assessment!#REF!,Inherited!A:A,Inherited!B:B)))/100)*IF(AB2="1.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(100%)","100"))))))&lt;=10,"0", IF(AND((((_xlfn.XLOOKUP(Assessment!#REF!,Inherited!A:A,Inherited!B:B))/100)*(_xlfn.XLOOKUP(Assessment!#REF!,Inherited!A:A,Inherited!G:G)))+(((100-(_xlfn.XLOOKUP(Assessment!#REF!,Inherited!A:A,Inherited!B:B)))/100)*IF(AB2="1.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(100%)","100"))))))&gt;=11,(((_xlfn.XLOOKUP(Assessment!#REF!,Inherited!A:A,Inherited!B:B))/100)*(_xlfn.XLOOKUP(Assessment!#REF!,Inherited!A:A,Inherited!G:G)))+(((100-(_xlfn.XLOOKUP(Assessment!#REF!,Inherited!A:A,Inherited!B:B)))/100)*IF(AB2="1.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(100%)","100"))))))&lt;=32),"25",IF(AND((((_xlfn.XLOOKUP(Assessment!#REF!,Inherited!A:A,Inherited!B:B))/100)*(_xlfn.XLOOKUP(Assessment!#REF!,Inherited!A:A,Inherited!G:G)))+(((100-(_xlfn.XLOOKUP(Assessment!#REF!,Inherited!A:A,Inherited!B:B)))/100)*IF(AB2="1.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(100%)","100"))))))&gt;=33,(((_xlfn.XLOOKUP(Assessment!#REF!,Inherited!A:A,Inherited!B:B))/100)*(_xlfn.XLOOKUP(Assessment!#REF!,Inherited!A:A,Inherited!G:G)))+(((100-(_xlfn.XLOOKUP(Assessment!#REF!,Inherited!A:A,Inherited!B:B)))/100)*IF(AB2="1.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(100%)","100"))))))&lt;=65),"50",IF(AND((((_xlfn.XLOOKUP(Assessment!#REF!,Inherited!A:A,Inherited!B:B))/100)*(_xlfn.XLOOKUP(Assessment!#REF!,Inherited!A:A,Inherited!G:G)))+(((100-(_xlfn.XLOOKUP(Assessment!#REF!,Inherited!A:A,Inherited!B:B)))/100)*IF(AB2="1.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(100%)","100"))))))&gt;=66,(((_xlfn.XLOOKUP(Assessment!#REF!,Inherited!A:A,Inherited!B:B))/100)*(_xlfn.XLOOKUP(Assessment!#REF!,Inherited!A:A,Inherited!G:G)))+(((100-(_xlfn.XLOOKUP(Assessment!#REF!,Inherited!A:A,Inherited!B:B)))/100)*IF(AB2="1.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(100%)","100"))))))&lt;=89),"75",IF((((_xlfn.XLOOKUP(Assessment!#REF!,Inherited!A:A,Inherited!B:B))/100)*(_xlfn.XLOOKUP(Assessment!#REF!,Inherited!A:A,Inherited!G:G)))+(((100-(_xlfn.XLOOKUP(Assessment!#REF!,Inherited!A:A,Inherited!B:B)))/100)*IF(AB2="1. Non Compliant (0%)","0",IF(AB2="2. Somewhat Compliant (25%)","25",IF(AB2="3. Partially Compliant (50%)","50",IF(AB2="4. Mostly Compliant (75%)","75",IF(AB2="5. Fully Compliant (100%)","100"))))))&gt;=90,"100"))))))</f>
        <v>#N/A</v>
      </c>
      <c r="V2" s="55" t="s">
        <v>85</v>
      </c>
      <c r="W2" s="55"/>
      <c r="X2" s="55"/>
      <c r="Y2" s="55"/>
      <c r="Z2" s="55" t="s">
        <v>10873</v>
      </c>
      <c r="AA2" s="55"/>
      <c r="AB2" s="55"/>
      <c r="AC2" s="1"/>
      <c r="AD2" s="1"/>
      <c r="AE2" s="1"/>
      <c r="AF2" s="1"/>
      <c r="AG2" s="1"/>
      <c r="AH2" s="1"/>
      <c r="AI2" s="1"/>
      <c r="AJ2" s="1"/>
      <c r="AK2" s="1" t="s">
        <v>10978</v>
      </c>
      <c r="AL2" s="1" t="s">
        <v>10985</v>
      </c>
      <c r="AM2" s="1"/>
      <c r="AN2" s="1"/>
      <c r="AO2" s="1"/>
      <c r="AP2" s="1" t="s">
        <v>11049</v>
      </c>
      <c r="AQ2" s="1"/>
      <c r="AR2" s="68"/>
      <c r="AS2" s="1"/>
      <c r="AT2" s="1"/>
      <c r="AU2" s="1"/>
      <c r="AV2" s="1"/>
      <c r="AW2" s="1"/>
      <c r="AX2" s="3" t="str">
        <f>_xlfn.CONCAT("A-LIGN finished its review of this control on ",AR2, " during the scheduled fieldwork window (",Intro!$B$4,")."&amp; CHAR(10)&amp; CHAR(10))</f>
        <v xml:space="preserve">A-LIGN finished its review of this control on  during the scheduled fieldwork window (Fieldwork: xx/xx/xxxx - xx/xx/xxxx).
</v>
      </c>
      <c r="AY2" s="3" t="str">
        <f t="shared" ref="AY2:AY8" si="1">IF(AQ2&lt;&gt;"",(_xlfn.CONCAT("Inheritance note: "&amp; CHAR(10),AQ2&amp; CHAR(10)&amp; CHAR(10))),"")</f>
        <v/>
      </c>
      <c r="AZ2" s="3" t="str">
        <f t="shared" ref="AZ2:AZ8" si="2">IFERROR(IF(AD2&lt;&gt;"",_xlfn.CONCAT("Examined the following policy during fieldwork:"&amp; CHAR(10),AD2&amp; CHAR(10)&amp; CHAR(10),IF(AND(X2&lt;&gt;"5. Fully Compliant (100%)",AE2&lt;&gt;""),"Reviewed policy exception note:"&amp; CHAR(10) &amp; AE2 &amp; CHAR(10) &amp; CHAR(10),"")),""),"")</f>
        <v/>
      </c>
      <c r="BA2" s="3" t="str">
        <f t="shared" ref="BA2:BA8" si="3">IFERROR(IF(AH2&lt;&gt;"",_xlfn.CONCAT("Examined the following process during fieldwork:"&amp; CHAR(10),AH2&amp; CHAR(10)&amp; CHAR(10),IF(AND(Y2&lt;&gt;"5. Fully Compliant (100%)",AI2&lt;&gt;""),"Reviewed process exception note:"&amp; CHAR(10) &amp; AI2 &amp; CHAR(10) &amp; CHAR(10),"")),""),"")</f>
        <v/>
      </c>
      <c r="BB2" s="3" t="str">
        <f t="shared" ref="BB2:BB8" si="4">IF(AK2&lt;&gt;"",(_xlfn.CONCAT("Inquired of the following workforce member: "&amp; CHAR(10),AK2&amp; CHAR(10)&amp; CHAR(10),"Inquiry lead to the following conclusions: "&amp; CHAR(10),AL2&amp; CHAR(10) &amp; CHAR(10))),"")</f>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2" s="3" t="str">
        <f t="shared" ref="BC2:BC8" si="5">IF(AM2&lt;&gt;"",(_xlfn.CONCAT("Observed the following live during fieldwork: "&amp; CHAR(10),AM2&amp; CHAR(10) &amp; CHAR(10))),"")</f>
        <v/>
      </c>
      <c r="BD2" s="3" t="str">
        <f t="shared" ref="BD2:BD8" si="6">_xlfn.CONCAT("Examined the following evidence during fieldwork:"&amp; CHAR(10),AN2&amp; CHAR(10)&amp; CHAR(10),IF(AO2&lt;&gt;"","Reviewed evidence note:"&amp; CHAR(10)&amp;AO2&amp; CHAR(10) &amp; CHAR(10),"Reviewed evidence addressed the requirement statement."&amp; CHAR(10) &amp; CHAR(10)),IF(AND(AP2&lt;&gt;"5. Fully Compliant (100%)",AP2&lt;&gt;""),"Reviewed evidence exception note: "&amp; CHAR(10) &amp; AP2 &amp; CHAR(10) &amp; CHAR(10),""))</f>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security administration
- defines: data governance
- defines: software development
- defines: risk management
- defines: incident management
- defines: business continuity
- defines: disaster recovery 
</v>
      </c>
      <c r="BE2" s="3" t="str">
        <f t="shared" ref="BE2:BE8" si="7">IF(AT2&lt;&gt;"",(_xlfn.CONCAT("Examined the following measure/metric during fieldwork:"&amp; CHAR(10),AT2&amp; CHAR(10)&amp; CHAR(10),"Reviewed measure/metric note:"&amp; CHAR(10),AU2 &amp; CHAR(10) &amp; CHAR(10))),"")</f>
        <v/>
      </c>
      <c r="BF2" s="3" t="str">
        <f t="shared" ref="BF2:BF8" si="8">IF(AV2&lt;&gt;"",(_xlfn.CONCAT("Examined the following measure/metric management during fieldwork:"&amp; CHAR(10),AV2&amp; CHAR(10)&amp; CHAR(10),"Reviewed measure/metric management note:"&amp; CHAR(10),AW2 &amp; CHAR(10) &amp; CHAR(10))),"")</f>
        <v/>
      </c>
      <c r="BG2" s="3" t="str">
        <f>_xlfn.CONCAT((IF((COUNTIF('Sample Tables'!B:B,"")&gt;0)=TRUE,_xlfn.CONCAT("",""),IF((COUNTIF('Sample Tables'!B:B,"")&gt;0)=FALSE,""))),)</f>
        <v/>
      </c>
      <c r="BH2" s="3" t="str">
        <f t="shared" ref="BH2:BH8" si="9">IF(V2="No","Not Applicable: "&amp;W2,(_xlfn.CONCAT(AX2,AY2,AZ2,BA2,BB2,BC2,BD2,BE2,BF2,BG2)))</f>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security administration
- defines: data governance
- defines: software development
- defines: risk management
- defines: incident management
- defines: business continuity
- defines: disaster recovery 
</v>
      </c>
    </row>
    <row r="3" spans="1:60" ht="324" customHeight="1" x14ac:dyDescent="0.35">
      <c r="C3" s="1">
        <f t="shared" si="0"/>
        <v>0</v>
      </c>
      <c r="D3" s="5" t="str">
        <f>IF(AND((_xlfn.XLOOKUP(J3,'Fields &amp; Revisions'!$H:$H,'Fields &amp; Revisions'!$I:$I))&lt;70.99,(OR(Z3="4. Mostly Compliant (75%)",Z3="3. Partially Compliant (50%)",Z3="2. Somewhat Compliant (25%)",Z3="1. Non Compliant (0%)"))),"Yes","No")</f>
        <v>Yes</v>
      </c>
      <c r="E3" s="5" t="str">
        <f>IF(ISERROR(VLOOKUP(H3,Scope!A:A,1,FALSE)),"No","Yes")</f>
        <v>Yes</v>
      </c>
      <c r="F3" s="1" t="s">
        <v>90</v>
      </c>
      <c r="G3" s="53" t="s">
        <v>181</v>
      </c>
      <c r="H3" s="53" t="s">
        <v>182</v>
      </c>
      <c r="I3" s="5" t="s">
        <v>93</v>
      </c>
      <c r="J3" s="1" t="s">
        <v>183</v>
      </c>
      <c r="K3" s="54" t="s">
        <v>184</v>
      </c>
      <c r="L3" s="1" t="s">
        <v>185</v>
      </c>
      <c r="M3" s="1" t="s">
        <v>186</v>
      </c>
      <c r="N3" s="5" t="s">
        <v>98</v>
      </c>
      <c r="O3" s="1" t="str">
        <f>_xlfn.XLOOKUP(G3,SRMs!$A:$A,SRMs!$D:$D)</f>
        <v>NO INHERITANCE</v>
      </c>
      <c r="P3" s="1" t="str">
        <f>IFERROR(VLOOKUP(H3,Inherited!A:B,2,FALSE),"")</f>
        <v/>
      </c>
      <c r="Q3" s="1" t="e">
        <f>IF(MATCH(H3,Inherited!A:A),IF((((_xlfn.XLOOKUP(Assessment!#REF!,Inherited!A:A,Inherited!B:B))/100)*(_xlfn.XLOOKUP(Assessment!#REF!,Inherited!A:A,Inherited!C:C)))+(((100-(_xlfn.XLOOKUP(Assessment!#REF!,Inherited!A:A,Inherited!B:B)))/100)*IF(X3="1.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(100%)","100"))))))&lt;=10,"0", IF(AND((((_xlfn.XLOOKUP(Assessment!#REF!,Inherited!A:A,Inherited!B:B))/100)*(_xlfn.XLOOKUP(Assessment!#REF!,Inherited!A:A,Inherited!C:C)))+(((100-(_xlfn.XLOOKUP(Assessment!#REF!,Inherited!A:A,Inherited!B:B)))/100)*IF(X3="1.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(100%)","100"))))))&gt;=11,(((_xlfn.XLOOKUP(Assessment!#REF!,Inherited!A:A,Inherited!B:B))/100)*(_xlfn.XLOOKUP(Assessment!#REF!,Inherited!A:A,Inherited!C:C)))+(((100-(_xlfn.XLOOKUP(Assessment!#REF!,Inherited!A:A,Inherited!B:B)))/100)*IF(X3="1.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(100%)","100"))))))&lt;=32),"25",IF(AND((((_xlfn.XLOOKUP(Assessment!#REF!,Inherited!A:A,Inherited!B:B))/100)*(_xlfn.XLOOKUP(Assessment!#REF!,Inherited!A:A,Inherited!C:C)))+(((100-(_xlfn.XLOOKUP(Assessment!#REF!,Inherited!A:A,Inherited!B:B)))/100)*IF(X3="1.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(100%)","100"))))))&gt;=33,(((_xlfn.XLOOKUP(Assessment!#REF!,Inherited!A:A,Inherited!B:B))/100)*(_xlfn.XLOOKUP(Assessment!#REF!,Inherited!A:A,Inherited!C:C)))+(((100-(_xlfn.XLOOKUP(Assessment!#REF!,Inherited!A:A,Inherited!B:B)))/100)*IF(X3="1.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(100%)","100"))))))&lt;=65),"50",IF(AND((((_xlfn.XLOOKUP(Assessment!#REF!,Inherited!A:A,Inherited!B:B))/100)*(_xlfn.XLOOKUP(Assessment!#REF!,Inherited!A:A,Inherited!C:C)))+(((100-(_xlfn.XLOOKUP(Assessment!#REF!,Inherited!A:A,Inherited!B:B)))/100)*IF(X3="1.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(100%)","100"))))))&gt;=66,(((_xlfn.XLOOKUP(Assessment!#REF!,Inherited!A:A,Inherited!B:B))/100)*(_xlfn.XLOOKUP(Assessment!#REF!,Inherited!A:A,Inherited!C:C)))+(((100-(_xlfn.XLOOKUP(Assessment!#REF!,Inherited!A:A,Inherited!B:B)))/100)*IF(X3="1.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(100%)","100"))))))&lt;=89),"75",IF((((_xlfn.XLOOKUP(Assessment!#REF!,Inherited!A:A,Inherited!B:B))/100)*(_xlfn.XLOOKUP(Assessment!#REF!,Inherited!A:A,Inherited!C:C)))+(((100-(_xlfn.XLOOKUP(Assessment!#REF!,Inherited!A:A,Inherited!B:B)))/100)*IF(X3="1. Non Compliant (0%)","0",IF(X3="2. Somewhat Compliant (25%)","25",IF(X3="3. Partially Compliant (50%)","50",IF(X3="4. Mostly Compliant (75%)","75",IF(X3="5. Fully Compliant (100%)","100"))))))&gt;=90,"100"))))))</f>
        <v>#N/A</v>
      </c>
      <c r="R3" s="1" t="e">
        <f>IF(MATCH(H3,Inherited!A:A),IF((((_xlfn.XLOOKUP(Assessment!#REF!,Inherited!A:A,Inherited!B:B))/100)*(_xlfn.XLOOKUP(Assessment!#REF!,Inherited!A:A,Inherited!D:D)))+(((100-(_xlfn.XLOOKUP(Assessment!#REF!,Inherited!A:A,Inherited!B:B)))/100)*IF(Y3="1.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(100%)","100"))))))&lt;=10,"0", IF(AND((((_xlfn.XLOOKUP(Assessment!#REF!,Inherited!A:A,Inherited!B:B))/100)*(_xlfn.XLOOKUP(Assessment!#REF!,Inherited!A:A,Inherited!D:D)))+(((100-(_xlfn.XLOOKUP(Assessment!#REF!,Inherited!A:A,Inherited!B:B)))/100)*IF(Y3="1.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(100%)","100"))))))&gt;=11,(((_xlfn.XLOOKUP(Assessment!#REF!,Inherited!A:A,Inherited!B:B))/100)*(_xlfn.XLOOKUP(Assessment!#REF!,Inherited!A:A,Inherited!D:D)))+(((100-(_xlfn.XLOOKUP(Assessment!#REF!,Inherited!A:A,Inherited!B:B)))/100)*IF(Y3="1.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(100%)","100"))))))&lt;=32),"25",IF(AND((((_xlfn.XLOOKUP(Assessment!#REF!,Inherited!A:A,Inherited!B:B))/100)*(_xlfn.XLOOKUP(Assessment!#REF!,Inherited!A:A,Inherited!D:D)))+(((100-(_xlfn.XLOOKUP(Assessment!#REF!,Inherited!A:A,Inherited!B:B)))/100)*IF(Y3="1.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(100%)","100"))))))&gt;=33,(((_xlfn.XLOOKUP(Assessment!#REF!,Inherited!A:A,Inherited!B:B))/100)*(_xlfn.XLOOKUP(Assessment!#REF!,Inherited!A:A,Inherited!D:D)))+(((100-(_xlfn.XLOOKUP(Assessment!#REF!,Inherited!A:A,Inherited!B:B)))/100)*IF(Y3="1.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(100%)","100"))))))&lt;=65),"50",IF(AND((((_xlfn.XLOOKUP(Assessment!#REF!,Inherited!A:A,Inherited!B:B))/100)*(_xlfn.XLOOKUP(Assessment!#REF!,Inherited!A:A,Inherited!D:D)))+(((100-(_xlfn.XLOOKUP(Assessment!#REF!,Inherited!A:A,Inherited!B:B)))/100)*IF(Y3="1.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(100%)","100"))))))&gt;=66,(((_xlfn.XLOOKUP(Assessment!#REF!,Inherited!A:A,Inherited!B:B))/100)*(_xlfn.XLOOKUP(Assessment!#REF!,Inherited!A:A,Inherited!D:D)))+(((100-(_xlfn.XLOOKUP(Assessment!#REF!,Inherited!A:A,Inherited!B:B)))/100)*IF(Y3="1.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(100%)","100"))))))&lt;=89),"75",IF((((_xlfn.XLOOKUP(Assessment!#REF!,Inherited!A:A,Inherited!B:B))/100)*(_xlfn.XLOOKUP(Assessment!#REF!,Inherited!A:A,Inherited!D:D)))+(((100-(_xlfn.XLOOKUP(Assessment!#REF!,Inherited!A:A,Inherited!B:B)))/100)*IF(Y3="1. Non Compliant (0%)","0",IF(Y3="2. Somewhat Compliant (25%)","25",IF(Y3="3. Partially Compliant (50%)","50",IF(Y3="4. Mostly Compliant (75%)","75",IF(Y3="5. Fully Compliant (100%)","100"))))))&gt;=90,"100"))))))</f>
        <v>#N/A</v>
      </c>
      <c r="S3" s="1" t="e">
        <f>IF(MATCH(H3,Inherited!A:A),IF((((_xlfn.XLOOKUP(Assessment!#REF!,Inherited!A:A,Inherited!B:B))/100)*(_xlfn.XLOOKUP(Assessment!#REF!,Inherited!A:A,Inherited!E:E)))+(((100-(_xlfn.XLOOKUP(Assessment!#REF!,Inherited!A:A,Inherited!B:B)))/100)*IF(Z3="1.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(100%)","100"))))))&lt;=10,"0", IF(AND((((_xlfn.XLOOKUP(Assessment!#REF!,Inherited!A:A,Inherited!B:B))/100)*(_xlfn.XLOOKUP(Assessment!#REF!,Inherited!A:A,Inherited!E:E)))+(((100-(_xlfn.XLOOKUP(Assessment!#REF!,Inherited!A:A,Inherited!B:B)))/100)*IF(Z3="1.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(100%)","100"))))))&gt;=11,(((_xlfn.XLOOKUP(Assessment!#REF!,Inherited!A:A,Inherited!B:B))/100)*(_xlfn.XLOOKUP(Assessment!#REF!,Inherited!A:A,Inherited!E:E)))+(((100-(_xlfn.XLOOKUP(Assessment!#REF!,Inherited!A:A,Inherited!B:B)))/100)*IF(Z3="1.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(100%)","100"))))))&lt;=32),"25",IF(AND((((_xlfn.XLOOKUP(Assessment!#REF!,Inherited!A:A,Inherited!B:B))/100)*(_xlfn.XLOOKUP(Assessment!#REF!,Inherited!A:A,Inherited!E:E)))+(((100-(_xlfn.XLOOKUP(Assessment!#REF!,Inherited!A:A,Inherited!B:B)))/100)*IF(Z3="1.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(100%)","100"))))))&gt;=33,(((_xlfn.XLOOKUP(Assessment!#REF!,Inherited!A:A,Inherited!B:B))/100)*(_xlfn.XLOOKUP(Assessment!#REF!,Inherited!A:A,Inherited!E:E)))+(((100-(_xlfn.XLOOKUP(Assessment!#REF!,Inherited!A:A,Inherited!B:B)))/100)*IF(Z3="1.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(100%)","100"))))))&lt;=65),"50",IF(AND((((_xlfn.XLOOKUP(Assessment!#REF!,Inherited!A:A,Inherited!B:B))/100)*(_xlfn.XLOOKUP(Assessment!#REF!,Inherited!A:A,Inherited!E:E)))+(((100-(_xlfn.XLOOKUP(Assessment!#REF!,Inherited!A:A,Inherited!B:B)))/100)*IF(Z3="1.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(100%)","100"))))))&gt;=66,(((_xlfn.XLOOKUP(Assessment!#REF!,Inherited!A:A,Inherited!B:B))/100)*(_xlfn.XLOOKUP(Assessment!#REF!,Inherited!A:A,Inherited!E:E)))+(((100-(_xlfn.XLOOKUP(Assessment!#REF!,Inherited!A:A,Inherited!B:B)))/100)*IF(Z3="1.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(100%)","100"))))))&lt;=89),"75",IF((((_xlfn.XLOOKUP(Assessment!#REF!,Inherited!A:A,Inherited!B:B))/100)*(_xlfn.XLOOKUP(Assessment!#REF!,Inherited!A:A,Inherited!E:E)))+(((100-(_xlfn.XLOOKUP(Assessment!#REF!,Inherited!A:A,Inherited!B:B)))/100)*IF(Z3="1. Non Compliant (0%)","0",IF(Z3="2. Somewhat Compliant (25%)","25",IF(Z3="3. Partially Compliant (50%)","50",IF(Z3="4. Mostly Compliant (75%)","75",IF(Z3="5. Fully Compliant (100%)","100"))))))&gt;=90,"100"))))))</f>
        <v>#N/A</v>
      </c>
      <c r="T3" s="1" t="e">
        <f>IF(MATCH(H3,Inherited!A:A),IF((((_xlfn.XLOOKUP(Assessment!#REF!,Inherited!A:A,Inherited!B:B))/100)*(_xlfn.XLOOKUP(Assessment!#REF!,Inherited!A:A,Inherited!F:F)))+(((100-(_xlfn.XLOOKUP(Assessment!#REF!,Inherited!A:A,Inherited!B:B)))/100)*IF(AA3="1.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(100%)","100"))))))&lt;=10,"0", IF(AND((((_xlfn.XLOOKUP(Assessment!#REF!,Inherited!A:A,Inherited!B:B))/100)*(_xlfn.XLOOKUP(Assessment!#REF!,Inherited!A:A,Inherited!F:F)))+(((100-(_xlfn.XLOOKUP(Assessment!#REF!,Inherited!A:A,Inherited!B:B)))/100)*IF(AA3="1.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(100%)","100"))))))&gt;=11,(((_xlfn.XLOOKUP(Assessment!#REF!,Inherited!A:A,Inherited!B:B))/100)*(_xlfn.XLOOKUP(Assessment!#REF!,Inherited!A:A,Inherited!F:F)))+(((100-(_xlfn.XLOOKUP(Assessment!#REF!,Inherited!A:A,Inherited!B:B)))/100)*IF(AA3="1.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(100%)","100"))))))&lt;=32),"25",IF(AND((((_xlfn.XLOOKUP(Assessment!#REF!,Inherited!A:A,Inherited!B:B))/100)*(_xlfn.XLOOKUP(Assessment!#REF!,Inherited!A:A,Inherited!F:F)))+(((100-(_xlfn.XLOOKUP(Assessment!#REF!,Inherited!A:A,Inherited!B:B)))/100)*IF(AA3="1.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(100%)","100"))))))&gt;=33,(((_xlfn.XLOOKUP(Assessment!#REF!,Inherited!A:A,Inherited!B:B))/100)*(_xlfn.XLOOKUP(Assessment!#REF!,Inherited!A:A,Inherited!F:F)))+(((100-(_xlfn.XLOOKUP(Assessment!#REF!,Inherited!A:A,Inherited!B:B)))/100)*IF(AA3="1.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(100%)","100"))))))&lt;=65),"50",IF(AND((((_xlfn.XLOOKUP(Assessment!#REF!,Inherited!A:A,Inherited!B:B))/100)*(_xlfn.XLOOKUP(Assessment!#REF!,Inherited!A:A,Inherited!F:F)))+(((100-(_xlfn.XLOOKUP(Assessment!#REF!,Inherited!A:A,Inherited!B:B)))/100)*IF(AA3="1.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(100%)","100"))))))&gt;=66,(((_xlfn.XLOOKUP(Assessment!#REF!,Inherited!A:A,Inherited!B:B))/100)*(_xlfn.XLOOKUP(Assessment!#REF!,Inherited!A:A,Inherited!F:F)))+(((100-(_xlfn.XLOOKUP(Assessment!#REF!,Inherited!A:A,Inherited!B:B)))/100)*IF(AA3="1.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(100%)","100"))))))&lt;=89),"75",IF((((_xlfn.XLOOKUP(Assessment!#REF!,Inherited!A:A,Inherited!B:B))/100)*(_xlfn.XLOOKUP(Assessment!#REF!,Inherited!A:A,Inherited!F:F)))+(((100-(_xlfn.XLOOKUP(Assessment!#REF!,Inherited!A:A,Inherited!B:B)))/100)*IF(AA3="1. Non Compliant (0%)","0",IF(AA3="2. Somewhat Compliant (25%)","25",IF(AA3="3. Partially Compliant (50%)","50",IF(AA3="4. Mostly Compliant (75%)","75",IF(AA3="5. Fully Compliant (100%)","100"))))))&gt;=90,"100"))))))</f>
        <v>#N/A</v>
      </c>
      <c r="U3" s="1" t="e">
        <f>IF(MATCH(H3,Inherited!A:A),IF((((_xlfn.XLOOKUP(Assessment!#REF!,Inherited!A:A,Inherited!B:B))/100)*(_xlfn.XLOOKUP(Assessment!#REF!,Inherited!A:A,Inherited!G:G)))+(((100-(_xlfn.XLOOKUP(Assessment!#REF!,Inherited!A:A,Inherited!B:B)))/100)*IF(AB3="1.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(100%)","100"))))))&lt;=10,"0", IF(AND((((_xlfn.XLOOKUP(Assessment!#REF!,Inherited!A:A,Inherited!B:B))/100)*(_xlfn.XLOOKUP(Assessment!#REF!,Inherited!A:A,Inherited!G:G)))+(((100-(_xlfn.XLOOKUP(Assessment!#REF!,Inherited!A:A,Inherited!B:B)))/100)*IF(AB3="1.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(100%)","100"))))))&gt;=11,(((_xlfn.XLOOKUP(Assessment!#REF!,Inherited!A:A,Inherited!B:B))/100)*(_xlfn.XLOOKUP(Assessment!#REF!,Inherited!A:A,Inherited!G:G)))+(((100-(_xlfn.XLOOKUP(Assessment!#REF!,Inherited!A:A,Inherited!B:B)))/100)*IF(AB3="1.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(100%)","100"))))))&lt;=32),"25",IF(AND((((_xlfn.XLOOKUP(Assessment!#REF!,Inherited!A:A,Inherited!B:B))/100)*(_xlfn.XLOOKUP(Assessment!#REF!,Inherited!A:A,Inherited!G:G)))+(((100-(_xlfn.XLOOKUP(Assessment!#REF!,Inherited!A:A,Inherited!B:B)))/100)*IF(AB3="1.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(100%)","100"))))))&gt;=33,(((_xlfn.XLOOKUP(Assessment!#REF!,Inherited!A:A,Inherited!B:B))/100)*(_xlfn.XLOOKUP(Assessment!#REF!,Inherited!A:A,Inherited!G:G)))+(((100-(_xlfn.XLOOKUP(Assessment!#REF!,Inherited!A:A,Inherited!B:B)))/100)*IF(AB3="1.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(100%)","100"))))))&lt;=65),"50",IF(AND((((_xlfn.XLOOKUP(Assessment!#REF!,Inherited!A:A,Inherited!B:B))/100)*(_xlfn.XLOOKUP(Assessment!#REF!,Inherited!A:A,Inherited!G:G)))+(((100-(_xlfn.XLOOKUP(Assessment!#REF!,Inherited!A:A,Inherited!B:B)))/100)*IF(AB3="1.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(100%)","100"))))))&gt;=66,(((_xlfn.XLOOKUP(Assessment!#REF!,Inherited!A:A,Inherited!B:B))/100)*(_xlfn.XLOOKUP(Assessment!#REF!,Inherited!A:A,Inherited!G:G)))+(((100-(_xlfn.XLOOKUP(Assessment!#REF!,Inherited!A:A,Inherited!B:B)))/100)*IF(AB3="1.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(100%)","100"))))))&lt;=89),"75",IF((((_xlfn.XLOOKUP(Assessment!#REF!,Inherited!A:A,Inherited!B:B))/100)*(_xlfn.XLOOKUP(Assessment!#REF!,Inherited!A:A,Inherited!G:G)))+(((100-(_xlfn.XLOOKUP(Assessment!#REF!,Inherited!A:A,Inherited!B:B)))/100)*IF(AB3="1. Non Compliant (0%)","0",IF(AB3="2. Somewhat Compliant (25%)","25",IF(AB3="3. Partially Compliant (50%)","50",IF(AB3="4. Mostly Compliant (75%)","75",IF(AB3="5. Fully Compliant (100%)","100"))))))&gt;=90,"100"))))))</f>
        <v>#N/A</v>
      </c>
      <c r="V3" s="55" t="s">
        <v>85</v>
      </c>
      <c r="W3" s="55"/>
      <c r="X3" s="55"/>
      <c r="Y3" s="55"/>
      <c r="Z3" s="55" t="s">
        <v>10873</v>
      </c>
      <c r="AA3" s="55"/>
      <c r="AB3" s="55"/>
      <c r="AK3" s="1" t="s">
        <v>10978</v>
      </c>
      <c r="AL3" s="1" t="s">
        <v>10985</v>
      </c>
      <c r="AP3" s="1" t="s">
        <v>11050</v>
      </c>
      <c r="AX3" s="3" t="str">
        <f>_xlfn.CONCAT("A-LIGN finished its review of this control on ",AR3, " during the scheduled fieldwork window (",Intro!$B$4,")."&amp; CHAR(10)&amp; CHAR(10))</f>
        <v xml:space="preserve">A-LIGN finished its review of this control on  during the scheduled fieldwork window (Fieldwork: xx/xx/xxxx - xx/xx/xxxx).
</v>
      </c>
      <c r="AY3" s="3" t="str">
        <f t="shared" si="1"/>
        <v/>
      </c>
      <c r="AZ3" s="3" t="str">
        <f t="shared" si="2"/>
        <v/>
      </c>
      <c r="BA3" s="3" t="str">
        <f t="shared" si="3"/>
        <v/>
      </c>
      <c r="BB3" s="3" t="str">
        <f t="shared" si="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3" s="3" t="str">
        <f t="shared" si="5"/>
        <v/>
      </c>
      <c r="BD3" s="3" t="str">
        <f t="shared" si="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roles and responsibilities for governance
- defines: roles and responsibilities for security
- defines: roles and responsibilities for risk management
Further, management should ensure that the organization assigns human accountability for the actions performed by, outputs produced by, and decisions made by the organization’s deployed AI systems.
</v>
      </c>
      <c r="BE3" s="3" t="str">
        <f t="shared" si="7"/>
        <v/>
      </c>
      <c r="BF3" s="3" t="str">
        <f t="shared" si="8"/>
        <v/>
      </c>
      <c r="BG3" s="3" t="str">
        <f>_xlfn.CONCAT((IF((COUNTIF('Sample Tables'!B:B,"")&gt;0)=TRUE,_xlfn.CONCAT("",""),IF((COUNTIF('Sample Tables'!B:B,"")&gt;0)=FALSE,""))),)</f>
        <v/>
      </c>
      <c r="BH3" s="3" t="str">
        <f t="shared" si="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roles and responsibilities for governance
- defines: roles and responsibilities for security
- defines: roles and responsibilities for risk management
Further, management should ensure that the organization assigns human accountability for the actions performed by, outputs produced by, and decisions made by the organization’s deployed AI systems.
</v>
      </c>
    </row>
    <row r="4" spans="1:60" ht="409.5" x14ac:dyDescent="0.35">
      <c r="C4" s="1">
        <f t="shared" si="0"/>
        <v>0</v>
      </c>
      <c r="D4" s="5" t="str">
        <f>IF(AND((_xlfn.XLOOKUP(J4,'Fields &amp; Revisions'!$H:$H,'Fields &amp; Revisions'!$I:$I))&lt;70.99,(OR(Z4="4. Mostly Compliant (75%)",Z4="3. Partially Compliant (50%)",Z4="2. Somewhat Compliant (25%)",Z4="1. Non Compliant (0%)"))),"Yes","No")</f>
        <v>Yes</v>
      </c>
      <c r="E4" s="5" t="str">
        <f>IF(ISERROR(VLOOKUP(H4,Scope!A:A,1,FALSE)),"No","Yes")</f>
        <v>Yes</v>
      </c>
      <c r="F4" s="1" t="s">
        <v>90</v>
      </c>
      <c r="G4" s="53" t="s">
        <v>223</v>
      </c>
      <c r="H4" s="53" t="s">
        <v>224</v>
      </c>
      <c r="I4" s="5" t="s">
        <v>225</v>
      </c>
      <c r="J4" s="1" t="s">
        <v>226</v>
      </c>
      <c r="K4" s="54" t="s">
        <v>227</v>
      </c>
      <c r="L4" s="1" t="s">
        <v>228</v>
      </c>
      <c r="M4" s="1" t="s">
        <v>229</v>
      </c>
      <c r="N4" s="5" t="s">
        <v>98</v>
      </c>
      <c r="O4" s="1" t="str">
        <f>_xlfn.XLOOKUP(G4,SRMs!$A:$A,SRMs!$D:$D)</f>
        <v>NO INHERITANCE</v>
      </c>
      <c r="P4" s="1" t="str">
        <f>IFERROR(VLOOKUP(H4,Inherited!A:B,2,FALSE),"")</f>
        <v/>
      </c>
      <c r="Q4" s="1" t="e">
        <f>IF(MATCH(H4,Inherited!A:A),IF((((_xlfn.XLOOKUP(Assessment!H5,Inherited!A:A,Inherited!B:B))/100)*(_xlfn.XLOOKUP(Assessment!H5,Inherited!A:A,Inherited!C:C)))+(((100-(_xlfn.XLOOKUP(Assessment!H5,Inherited!A:A,Inherited!B:B)))/100)*IF(X4="1.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(100%)","100"))))))&lt;=10,"0", IF(AND((((_xlfn.XLOOKUP(Assessment!H5,Inherited!A:A,Inherited!B:B))/100)*(_xlfn.XLOOKUP(Assessment!H5,Inherited!A:A,Inherited!C:C)))+(((100-(_xlfn.XLOOKUP(Assessment!H5,Inherited!A:A,Inherited!B:B)))/100)*IF(X4="1.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(100%)","100"))))))&gt;=11,(((_xlfn.XLOOKUP(Assessment!H5,Inherited!A:A,Inherited!B:B))/100)*(_xlfn.XLOOKUP(Assessment!H5,Inherited!A:A,Inherited!C:C)))+(((100-(_xlfn.XLOOKUP(Assessment!H5,Inherited!A:A,Inherited!B:B)))/100)*IF(X4="1.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(100%)","100"))))))&lt;=32),"25",IF(AND((((_xlfn.XLOOKUP(Assessment!H5,Inherited!A:A,Inherited!B:B))/100)*(_xlfn.XLOOKUP(Assessment!H5,Inherited!A:A,Inherited!C:C)))+(((100-(_xlfn.XLOOKUP(Assessment!H5,Inherited!A:A,Inherited!B:B)))/100)*IF(X4="1.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(100%)","100"))))))&gt;=33,(((_xlfn.XLOOKUP(Assessment!H5,Inherited!A:A,Inherited!B:B))/100)*(_xlfn.XLOOKUP(Assessment!H5,Inherited!A:A,Inherited!C:C)))+(((100-(_xlfn.XLOOKUP(Assessment!H5,Inherited!A:A,Inherited!B:B)))/100)*IF(X4="1.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(100%)","100"))))))&lt;=65),"50",IF(AND((((_xlfn.XLOOKUP(Assessment!H5,Inherited!A:A,Inherited!B:B))/100)*(_xlfn.XLOOKUP(Assessment!H5,Inherited!A:A,Inherited!C:C)))+(((100-(_xlfn.XLOOKUP(Assessment!H5,Inherited!A:A,Inherited!B:B)))/100)*IF(X4="1.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(100%)","100"))))))&gt;=66,(((_xlfn.XLOOKUP(Assessment!H5,Inherited!A:A,Inherited!B:B))/100)*(_xlfn.XLOOKUP(Assessment!H5,Inherited!A:A,Inherited!C:C)))+(((100-(_xlfn.XLOOKUP(Assessment!H5,Inherited!A:A,Inherited!B:B)))/100)*IF(X4="1.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(100%)","100"))))))&lt;=89),"75",IF((((_xlfn.XLOOKUP(Assessment!H5,Inherited!A:A,Inherited!B:B))/100)*(_xlfn.XLOOKUP(Assessment!H5,Inherited!A:A,Inherited!C:C)))+(((100-(_xlfn.XLOOKUP(Assessment!H5,Inherited!A:A,Inherited!B:B)))/100)*IF(X4="1. Non Compliant (0%)","0",IF(X4="2. Somewhat Compliant (25%)","25",IF(X4="3. Partially Compliant (50%)","50",IF(X4="4. Mostly Compliant (75%)","75",IF(X4="5. Fully Compliant (100%)","100"))))))&gt;=90,"100"))))))</f>
        <v>#N/A</v>
      </c>
      <c r="R4" s="1" t="e">
        <f>IF(MATCH(H4,Inherited!A:A),IF((((_xlfn.XLOOKUP(Assessment!H5,Inherited!A:A,Inherited!B:B))/100)*(_xlfn.XLOOKUP(Assessment!H5,Inherited!A:A,Inherited!D:D)))+(((100-(_xlfn.XLOOKUP(Assessment!H5,Inherited!A:A,Inherited!B:B)))/100)*IF(Y4="1.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(100%)","100"))))))&lt;=10,"0", IF(AND((((_xlfn.XLOOKUP(Assessment!H5,Inherited!A:A,Inherited!B:B))/100)*(_xlfn.XLOOKUP(Assessment!H5,Inherited!A:A,Inherited!D:D)))+(((100-(_xlfn.XLOOKUP(Assessment!H5,Inherited!A:A,Inherited!B:B)))/100)*IF(Y4="1.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(100%)","100"))))))&gt;=11,(((_xlfn.XLOOKUP(Assessment!H5,Inherited!A:A,Inherited!B:B))/100)*(_xlfn.XLOOKUP(Assessment!H5,Inherited!A:A,Inherited!D:D)))+(((100-(_xlfn.XLOOKUP(Assessment!H5,Inherited!A:A,Inherited!B:B)))/100)*IF(Y4="1.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(100%)","100"))))))&lt;=32),"25",IF(AND((((_xlfn.XLOOKUP(Assessment!H5,Inherited!A:A,Inherited!B:B))/100)*(_xlfn.XLOOKUP(Assessment!H5,Inherited!A:A,Inherited!D:D)))+(((100-(_xlfn.XLOOKUP(Assessment!H5,Inherited!A:A,Inherited!B:B)))/100)*IF(Y4="1.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(100%)","100"))))))&gt;=33,(((_xlfn.XLOOKUP(Assessment!H5,Inherited!A:A,Inherited!B:B))/100)*(_xlfn.XLOOKUP(Assessment!H5,Inherited!A:A,Inherited!D:D)))+(((100-(_xlfn.XLOOKUP(Assessment!H5,Inherited!A:A,Inherited!B:B)))/100)*IF(Y4="1.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(100%)","100"))))))&lt;=65),"50",IF(AND((((_xlfn.XLOOKUP(Assessment!H5,Inherited!A:A,Inherited!B:B))/100)*(_xlfn.XLOOKUP(Assessment!H5,Inherited!A:A,Inherited!D:D)))+(((100-(_xlfn.XLOOKUP(Assessment!H5,Inherited!A:A,Inherited!B:B)))/100)*IF(Y4="1.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(100%)","100"))))))&gt;=66,(((_xlfn.XLOOKUP(Assessment!H5,Inherited!A:A,Inherited!B:B))/100)*(_xlfn.XLOOKUP(Assessment!H5,Inherited!A:A,Inherited!D:D)))+(((100-(_xlfn.XLOOKUP(Assessment!H5,Inherited!A:A,Inherited!B:B)))/100)*IF(Y4="1.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(100%)","100"))))))&lt;=89),"75",IF((((_xlfn.XLOOKUP(Assessment!H5,Inherited!A:A,Inherited!B:B))/100)*(_xlfn.XLOOKUP(Assessment!H5,Inherited!A:A,Inherited!D:D)))+(((100-(_xlfn.XLOOKUP(Assessment!H5,Inherited!A:A,Inherited!B:B)))/100)*IF(Y4="1. Non Compliant (0%)","0",IF(Y4="2. Somewhat Compliant (25%)","25",IF(Y4="3. Partially Compliant (50%)","50",IF(Y4="4. Mostly Compliant (75%)","75",IF(Y4="5. Fully Compliant (100%)","100"))))))&gt;=90,"100"))))))</f>
        <v>#N/A</v>
      </c>
      <c r="S4" s="1" t="e">
        <f>IF(MATCH(H4,Inherited!A:A),IF((((_xlfn.XLOOKUP(Assessment!H5,Inherited!A:A,Inherited!B:B))/100)*(_xlfn.XLOOKUP(Assessment!H5,Inherited!A:A,Inherited!E:E)))+(((100-(_xlfn.XLOOKUP(Assessment!H5,Inherited!A:A,Inherited!B:B)))/100)*IF(Z4="1.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(100%)","100"))))))&lt;=10,"0", IF(AND((((_xlfn.XLOOKUP(Assessment!H5,Inherited!A:A,Inherited!B:B))/100)*(_xlfn.XLOOKUP(Assessment!H5,Inherited!A:A,Inherited!E:E)))+(((100-(_xlfn.XLOOKUP(Assessment!H5,Inherited!A:A,Inherited!B:B)))/100)*IF(Z4="1.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(100%)","100"))))))&gt;=11,(((_xlfn.XLOOKUP(Assessment!H5,Inherited!A:A,Inherited!B:B))/100)*(_xlfn.XLOOKUP(Assessment!H5,Inherited!A:A,Inherited!E:E)))+(((100-(_xlfn.XLOOKUP(Assessment!H5,Inherited!A:A,Inherited!B:B)))/100)*IF(Z4="1.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(100%)","100"))))))&lt;=32),"25",IF(AND((((_xlfn.XLOOKUP(Assessment!H5,Inherited!A:A,Inherited!B:B))/100)*(_xlfn.XLOOKUP(Assessment!H5,Inherited!A:A,Inherited!E:E)))+(((100-(_xlfn.XLOOKUP(Assessment!H5,Inherited!A:A,Inherited!B:B)))/100)*IF(Z4="1.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(100%)","100"))))))&gt;=33,(((_xlfn.XLOOKUP(Assessment!H5,Inherited!A:A,Inherited!B:B))/100)*(_xlfn.XLOOKUP(Assessment!H5,Inherited!A:A,Inherited!E:E)))+(((100-(_xlfn.XLOOKUP(Assessment!H5,Inherited!A:A,Inherited!B:B)))/100)*IF(Z4="1.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(100%)","100"))))))&lt;=65),"50",IF(AND((((_xlfn.XLOOKUP(Assessment!H5,Inherited!A:A,Inherited!B:B))/100)*(_xlfn.XLOOKUP(Assessment!H5,Inherited!A:A,Inherited!E:E)))+(((100-(_xlfn.XLOOKUP(Assessment!H5,Inherited!A:A,Inherited!B:B)))/100)*IF(Z4="1.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(100%)","100"))))))&gt;=66,(((_xlfn.XLOOKUP(Assessment!H5,Inherited!A:A,Inherited!B:B))/100)*(_xlfn.XLOOKUP(Assessment!H5,Inherited!A:A,Inherited!E:E)))+(((100-(_xlfn.XLOOKUP(Assessment!H5,Inherited!A:A,Inherited!B:B)))/100)*IF(Z4="1.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(100%)","100"))))))&lt;=89),"75",IF((((_xlfn.XLOOKUP(Assessment!H5,Inherited!A:A,Inherited!B:B))/100)*(_xlfn.XLOOKUP(Assessment!H5,Inherited!A:A,Inherited!E:E)))+(((100-(_xlfn.XLOOKUP(Assessment!H5,Inherited!A:A,Inherited!B:B)))/100)*IF(Z4="1. Non Compliant (0%)","0",IF(Z4="2. Somewhat Compliant (25%)","25",IF(Z4="3. Partially Compliant (50%)","50",IF(Z4="4. Mostly Compliant (75%)","75",IF(Z4="5. Fully Compliant (100%)","100"))))))&gt;=90,"100"))))))</f>
        <v>#N/A</v>
      </c>
      <c r="T4" s="1" t="e">
        <f>IF(MATCH(H4,Inherited!A:A),IF((((_xlfn.XLOOKUP(Assessment!H5,Inherited!A:A,Inherited!B:B))/100)*(_xlfn.XLOOKUP(Assessment!H5,Inherited!A:A,Inherited!F:F)))+(((100-(_xlfn.XLOOKUP(Assessment!H5,Inherited!A:A,Inherited!B:B)))/100)*IF(AA4="1.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(100%)","100"))))))&lt;=10,"0", IF(AND((((_xlfn.XLOOKUP(Assessment!H5,Inherited!A:A,Inherited!B:B))/100)*(_xlfn.XLOOKUP(Assessment!H5,Inherited!A:A,Inherited!F:F)))+(((100-(_xlfn.XLOOKUP(Assessment!H5,Inherited!A:A,Inherited!B:B)))/100)*IF(AA4="1.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(100%)","100"))))))&gt;=11,(((_xlfn.XLOOKUP(Assessment!H5,Inherited!A:A,Inherited!B:B))/100)*(_xlfn.XLOOKUP(Assessment!H5,Inherited!A:A,Inherited!F:F)))+(((100-(_xlfn.XLOOKUP(Assessment!H5,Inherited!A:A,Inherited!B:B)))/100)*IF(AA4="1.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(100%)","100"))))))&lt;=32),"25",IF(AND((((_xlfn.XLOOKUP(Assessment!H5,Inherited!A:A,Inherited!B:B))/100)*(_xlfn.XLOOKUP(Assessment!H5,Inherited!A:A,Inherited!F:F)))+(((100-(_xlfn.XLOOKUP(Assessment!H5,Inherited!A:A,Inherited!B:B)))/100)*IF(AA4="1.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(100%)","100"))))))&gt;=33,(((_xlfn.XLOOKUP(Assessment!H5,Inherited!A:A,Inherited!B:B))/100)*(_xlfn.XLOOKUP(Assessment!H5,Inherited!A:A,Inherited!F:F)))+(((100-(_xlfn.XLOOKUP(Assessment!H5,Inherited!A:A,Inherited!B:B)))/100)*IF(AA4="1.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(100%)","100"))))))&lt;=65),"50",IF(AND((((_xlfn.XLOOKUP(Assessment!H5,Inherited!A:A,Inherited!B:B))/100)*(_xlfn.XLOOKUP(Assessment!H5,Inherited!A:A,Inherited!F:F)))+(((100-(_xlfn.XLOOKUP(Assessment!H5,Inherited!A:A,Inherited!B:B)))/100)*IF(AA4="1.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(100%)","100"))))))&gt;=66,(((_xlfn.XLOOKUP(Assessment!H5,Inherited!A:A,Inherited!B:B))/100)*(_xlfn.XLOOKUP(Assessment!H5,Inherited!A:A,Inherited!F:F)))+(((100-(_xlfn.XLOOKUP(Assessment!H5,Inherited!A:A,Inherited!B:B)))/100)*IF(AA4="1.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(100%)","100"))))))&lt;=89),"75",IF((((_xlfn.XLOOKUP(Assessment!H5,Inherited!A:A,Inherited!B:B))/100)*(_xlfn.XLOOKUP(Assessment!H5,Inherited!A:A,Inherited!F:F)))+(((100-(_xlfn.XLOOKUP(Assessment!H5,Inherited!A:A,Inherited!B:B)))/100)*IF(AA4="1. Non Compliant (0%)","0",IF(AA4="2. Somewhat Compliant (25%)","25",IF(AA4="3. Partially Compliant (50%)","50",IF(AA4="4. Mostly Compliant (75%)","75",IF(AA4="5. Fully Compliant (100%)","100"))))))&gt;=90,"100"))))))</f>
        <v>#N/A</v>
      </c>
      <c r="U4" s="1" t="e">
        <f>IF(MATCH(H4,Inherited!A:A),IF((((_xlfn.XLOOKUP(Assessment!H5,Inherited!A:A,Inherited!B:B))/100)*(_xlfn.XLOOKUP(Assessment!H5,Inherited!A:A,Inherited!G:G)))+(((100-(_xlfn.XLOOKUP(Assessment!H5,Inherited!A:A,Inherited!B:B)))/100)*IF(AB4="1.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(100%)","100"))))))&lt;=10,"0", IF(AND((((_xlfn.XLOOKUP(Assessment!H5,Inherited!A:A,Inherited!B:B))/100)*(_xlfn.XLOOKUP(Assessment!H5,Inherited!A:A,Inherited!G:G)))+(((100-(_xlfn.XLOOKUP(Assessment!H5,Inherited!A:A,Inherited!B:B)))/100)*IF(AB4="1.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(100%)","100"))))))&gt;=11,(((_xlfn.XLOOKUP(Assessment!H5,Inherited!A:A,Inherited!B:B))/100)*(_xlfn.XLOOKUP(Assessment!H5,Inherited!A:A,Inherited!G:G)))+(((100-(_xlfn.XLOOKUP(Assessment!H5,Inherited!A:A,Inherited!B:B)))/100)*IF(AB4="1.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(100%)","100"))))))&lt;=32),"25",IF(AND((((_xlfn.XLOOKUP(Assessment!H5,Inherited!A:A,Inherited!B:B))/100)*(_xlfn.XLOOKUP(Assessment!H5,Inherited!A:A,Inherited!G:G)))+(((100-(_xlfn.XLOOKUP(Assessment!H5,Inherited!A:A,Inherited!B:B)))/100)*IF(AB4="1.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(100%)","100"))))))&gt;=33,(((_xlfn.XLOOKUP(Assessment!H5,Inherited!A:A,Inherited!B:B))/100)*(_xlfn.XLOOKUP(Assessment!H5,Inherited!A:A,Inherited!G:G)))+(((100-(_xlfn.XLOOKUP(Assessment!H5,Inherited!A:A,Inherited!B:B)))/100)*IF(AB4="1.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(100%)","100"))))))&lt;=65),"50",IF(AND((((_xlfn.XLOOKUP(Assessment!H5,Inherited!A:A,Inherited!B:B))/100)*(_xlfn.XLOOKUP(Assessment!H5,Inherited!A:A,Inherited!G:G)))+(((100-(_xlfn.XLOOKUP(Assessment!H5,Inherited!A:A,Inherited!B:B)))/100)*IF(AB4="1.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(100%)","100"))))))&gt;=66,(((_xlfn.XLOOKUP(Assessment!H5,Inherited!A:A,Inherited!B:B))/100)*(_xlfn.XLOOKUP(Assessment!H5,Inherited!A:A,Inherited!G:G)))+(((100-(_xlfn.XLOOKUP(Assessment!H5,Inherited!A:A,Inherited!B:B)))/100)*IF(AB4="1.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(100%)","100"))))))&lt;=89),"75",IF((((_xlfn.XLOOKUP(Assessment!H5,Inherited!A:A,Inherited!B:B))/100)*(_xlfn.XLOOKUP(Assessment!H5,Inherited!A:A,Inherited!G:G)))+(((100-(_xlfn.XLOOKUP(Assessment!H5,Inherited!A:A,Inherited!B:B)))/100)*IF(AB4="1. Non Compliant (0%)","0",IF(AB4="2. Somewhat Compliant (25%)","25",IF(AB4="3. Partially Compliant (50%)","50",IF(AB4="4. Mostly Compliant (75%)","75",IF(AB4="5. Fully Compliant (100%)","100"))))))&gt;=90,"100"))))))</f>
        <v>#N/A</v>
      </c>
      <c r="V4" s="55" t="s">
        <v>85</v>
      </c>
      <c r="W4" s="55"/>
      <c r="X4" s="55"/>
      <c r="Y4" s="55"/>
      <c r="Z4" s="55" t="s">
        <v>10873</v>
      </c>
      <c r="AA4" s="55"/>
      <c r="AB4" s="55"/>
      <c r="AK4" s="1" t="s">
        <v>10978</v>
      </c>
      <c r="AL4" s="1" t="s">
        <v>10985</v>
      </c>
      <c r="AP4" s="1" t="s">
        <v>11051</v>
      </c>
      <c r="AX4" s="3" t="str">
        <f>_xlfn.CONCAT("A-LIGN finished its review of this control on ",AR4, " during the scheduled fieldwork window (",Intro!$B$4,")."&amp; CHAR(10)&amp; CHAR(10))</f>
        <v xml:space="preserve">A-LIGN finished its review of this control on  during the scheduled fieldwork window (Fieldwork: xx/xx/xxxx - xx/xx/xxxx).
</v>
      </c>
      <c r="AY4" s="3" t="str">
        <f t="shared" si="1"/>
        <v/>
      </c>
      <c r="AZ4" s="3" t="str">
        <f t="shared" si="2"/>
        <v/>
      </c>
      <c r="BA4" s="3" t="str">
        <f t="shared" si="3"/>
        <v/>
      </c>
      <c r="BB4" s="3" t="str">
        <f t="shared" si="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4" s="3" t="str">
        <f t="shared" si="5"/>
        <v/>
      </c>
      <c r="BD4" s="3" t="str">
        <f t="shared" si="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relative legal requirements related to AI
- defines guidelines on ethical use and design of AI
- defines domain-specific guidelines and frameworks related to AI
- defines technology trends and advancements related to areas of AI
- defines societal and political implications of the deployment of AI systems
- defines external stakeholder perceptions, needs, and expectations
- defines how the use of AI can affect the ability of the organization to meet contractual obligations and guarantees
- defines contractual relationships during the design and production of AI systems and services
- defines how the use of AI can increase the complexity of networks and dependencies
- defines how an AI system can replace an existing system
- defines the risk benefits and risk transfers of an AI system versus the existing system can be undertaken, considering safety, environmental, social, technical and financial issues
</v>
      </c>
      <c r="BE4" s="3" t="str">
        <f t="shared" si="7"/>
        <v/>
      </c>
      <c r="BF4" s="3" t="str">
        <f t="shared" si="8"/>
        <v/>
      </c>
      <c r="BG4" s="3" t="str">
        <f>_xlfn.CONCAT((IF((COUNTIF('Sample Tables'!B:B,"")&gt;0)=TRUE,_xlfn.CONCAT("",""),IF((COUNTIF('Sample Tables'!B:B,"")&gt;0)=FALSE,""))),)</f>
        <v/>
      </c>
      <c r="BH4" s="3" t="str">
        <f t="shared" si="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relative legal requirements related to AI
- defines guidelines on ethical use and design of AI
- defines domain-specific guidelines and frameworks related to AI
- defines technology trends and advancements related to areas of AI
- defines societal and political implications of the deployment of AI systems
- defines external stakeholder perceptions, needs, and expectations
- defines how the use of AI can affect the ability of the organization to meet contractual obligations and guarantees
- defines contractual relationships during the design and production of AI systems and services
- defines how the use of AI can increase the complexity of networks and dependencies
- defines how an AI system can replace an existing system
- defines the risk benefits and risk transfers of an AI system versus the existing system can be undertaken, considering safety, environmental, social, technical and financial issues
</v>
      </c>
    </row>
    <row r="5" spans="1:60" ht="409.5" x14ac:dyDescent="0.35">
      <c r="C5" s="1">
        <f t="shared" si="0"/>
        <v>0</v>
      </c>
      <c r="D5" s="5" t="str">
        <f>IF(AND((_xlfn.XLOOKUP(J5,'Fields &amp; Revisions'!$H:$H,'Fields &amp; Revisions'!$I:$I))&lt;70.99,(OR(Z5="4. Mostly Compliant (75%)",Z5="3. Partially Compliant (50%)",Z5="2. Somewhat Compliant (25%)",Z5="1. Non Compliant (0%)"))),"Yes","No")</f>
        <v>Yes</v>
      </c>
      <c r="E5" s="5" t="str">
        <f>IF(ISERROR(VLOOKUP(H5,Scope!A:A,1,FALSE)),"No","Yes")</f>
        <v>Yes</v>
      </c>
      <c r="F5" s="1" t="s">
        <v>90</v>
      </c>
      <c r="G5" s="53" t="s">
        <v>230</v>
      </c>
      <c r="H5" s="53" t="s">
        <v>231</v>
      </c>
      <c r="I5" s="5" t="s">
        <v>225</v>
      </c>
      <c r="J5" s="1" t="s">
        <v>226</v>
      </c>
      <c r="K5" s="54" t="s">
        <v>232</v>
      </c>
      <c r="L5" s="1" t="s">
        <v>233</v>
      </c>
      <c r="M5" s="1" t="s">
        <v>234</v>
      </c>
      <c r="N5" s="5" t="s">
        <v>98</v>
      </c>
      <c r="O5" s="1" t="str">
        <f>_xlfn.XLOOKUP(G5,SRMs!$A:$A,SRMs!$D:$D)</f>
        <v>NO INHERITANCE</v>
      </c>
      <c r="P5" s="1" t="str">
        <f>IFERROR(VLOOKUP(H5,Inherited!A:B,2,FALSE),"")</f>
        <v/>
      </c>
      <c r="Q5" s="1" t="e">
        <f>IF(MATCH(H5,Inherited!A:A),IF((((_xlfn.XLOOKUP(Assessment!H6,Inherited!A:A,Inherited!B:B))/100)*(_xlfn.XLOOKUP(Assessment!H6,Inherited!A:A,Inherited!C:C)))+(((100-(_xlfn.XLOOKUP(Assessment!H6,Inherited!A:A,Inherited!B:B)))/100)*IF(X5="1.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(100%)","100"))))))&lt;=10,"0", IF(AND((((_xlfn.XLOOKUP(Assessment!H6,Inherited!A:A,Inherited!B:B))/100)*(_xlfn.XLOOKUP(Assessment!H6,Inherited!A:A,Inherited!C:C)))+(((100-(_xlfn.XLOOKUP(Assessment!H6,Inherited!A:A,Inherited!B:B)))/100)*IF(X5="1.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(100%)","100"))))))&gt;=11,(((_xlfn.XLOOKUP(Assessment!H6,Inherited!A:A,Inherited!B:B))/100)*(_xlfn.XLOOKUP(Assessment!H6,Inherited!A:A,Inherited!C:C)))+(((100-(_xlfn.XLOOKUP(Assessment!H6,Inherited!A:A,Inherited!B:B)))/100)*IF(X5="1.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(100%)","100"))))))&lt;=32),"25",IF(AND((((_xlfn.XLOOKUP(Assessment!H6,Inherited!A:A,Inherited!B:B))/100)*(_xlfn.XLOOKUP(Assessment!H6,Inherited!A:A,Inherited!C:C)))+(((100-(_xlfn.XLOOKUP(Assessment!H6,Inherited!A:A,Inherited!B:B)))/100)*IF(X5="1.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(100%)","100"))))))&gt;=33,(((_xlfn.XLOOKUP(Assessment!H6,Inherited!A:A,Inherited!B:B))/100)*(_xlfn.XLOOKUP(Assessment!H6,Inherited!A:A,Inherited!C:C)))+(((100-(_xlfn.XLOOKUP(Assessment!H6,Inherited!A:A,Inherited!B:B)))/100)*IF(X5="1.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(100%)","100"))))))&lt;=65),"50",IF(AND((((_xlfn.XLOOKUP(Assessment!H6,Inherited!A:A,Inherited!B:B))/100)*(_xlfn.XLOOKUP(Assessment!H6,Inherited!A:A,Inherited!C:C)))+(((100-(_xlfn.XLOOKUP(Assessment!H6,Inherited!A:A,Inherited!B:B)))/100)*IF(X5="1.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(100%)","100"))))))&gt;=66,(((_xlfn.XLOOKUP(Assessment!H6,Inherited!A:A,Inherited!B:B))/100)*(_xlfn.XLOOKUP(Assessment!H6,Inherited!A:A,Inherited!C:C)))+(((100-(_xlfn.XLOOKUP(Assessment!H6,Inherited!A:A,Inherited!B:B)))/100)*IF(X5="1.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(100%)","100"))))))&lt;=89),"75",IF((((_xlfn.XLOOKUP(Assessment!H6,Inherited!A:A,Inherited!B:B))/100)*(_xlfn.XLOOKUP(Assessment!H6,Inherited!A:A,Inherited!C:C)))+(((100-(_xlfn.XLOOKUP(Assessment!H6,Inherited!A:A,Inherited!B:B)))/100)*IF(X5="1. Non Compliant (0%)","0",IF(X5="2. Somewhat Compliant (25%)","25",IF(X5="3. Partially Compliant (50%)","50",IF(X5="4. Mostly Compliant (75%)","75",IF(X5="5. Fully Compliant (100%)","100"))))))&gt;=90,"100"))))))</f>
        <v>#N/A</v>
      </c>
      <c r="R5" s="1" t="e">
        <f>IF(MATCH(H5,Inherited!A:A),IF((((_xlfn.XLOOKUP(Assessment!H6,Inherited!A:A,Inherited!B:B))/100)*(_xlfn.XLOOKUP(Assessment!H6,Inherited!A:A,Inherited!D:D)))+(((100-(_xlfn.XLOOKUP(Assessment!H6,Inherited!A:A,Inherited!B:B)))/100)*IF(Y5="1.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(100%)","100"))))))&lt;=10,"0", IF(AND((((_xlfn.XLOOKUP(Assessment!H6,Inherited!A:A,Inherited!B:B))/100)*(_xlfn.XLOOKUP(Assessment!H6,Inherited!A:A,Inherited!D:D)))+(((100-(_xlfn.XLOOKUP(Assessment!H6,Inherited!A:A,Inherited!B:B)))/100)*IF(Y5="1.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(100%)","100"))))))&gt;=11,(((_xlfn.XLOOKUP(Assessment!H6,Inherited!A:A,Inherited!B:B))/100)*(_xlfn.XLOOKUP(Assessment!H6,Inherited!A:A,Inherited!D:D)))+(((100-(_xlfn.XLOOKUP(Assessment!H6,Inherited!A:A,Inherited!B:B)))/100)*IF(Y5="1.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(100%)","100"))))))&lt;=32),"25",IF(AND((((_xlfn.XLOOKUP(Assessment!H6,Inherited!A:A,Inherited!B:B))/100)*(_xlfn.XLOOKUP(Assessment!H6,Inherited!A:A,Inherited!D:D)))+(((100-(_xlfn.XLOOKUP(Assessment!H6,Inherited!A:A,Inherited!B:B)))/100)*IF(Y5="1.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(100%)","100"))))))&gt;=33,(((_xlfn.XLOOKUP(Assessment!H6,Inherited!A:A,Inherited!B:B))/100)*(_xlfn.XLOOKUP(Assessment!H6,Inherited!A:A,Inherited!D:D)))+(((100-(_xlfn.XLOOKUP(Assessment!H6,Inherited!A:A,Inherited!B:B)))/100)*IF(Y5="1.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(100%)","100"))))))&lt;=65),"50",IF(AND((((_xlfn.XLOOKUP(Assessment!H6,Inherited!A:A,Inherited!B:B))/100)*(_xlfn.XLOOKUP(Assessment!H6,Inherited!A:A,Inherited!D:D)))+(((100-(_xlfn.XLOOKUP(Assessment!H6,Inherited!A:A,Inherited!B:B)))/100)*IF(Y5="1.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(100%)","100"))))))&gt;=66,(((_xlfn.XLOOKUP(Assessment!H6,Inherited!A:A,Inherited!B:B))/100)*(_xlfn.XLOOKUP(Assessment!H6,Inherited!A:A,Inherited!D:D)))+(((100-(_xlfn.XLOOKUP(Assessment!H6,Inherited!A:A,Inherited!B:B)))/100)*IF(Y5="1.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(100%)","100"))))))&lt;=89),"75",IF((((_xlfn.XLOOKUP(Assessment!H6,Inherited!A:A,Inherited!B:B))/100)*(_xlfn.XLOOKUP(Assessment!H6,Inherited!A:A,Inherited!D:D)))+(((100-(_xlfn.XLOOKUP(Assessment!H6,Inherited!A:A,Inherited!B:B)))/100)*IF(Y5="1. Non Compliant (0%)","0",IF(Y5="2. Somewhat Compliant (25%)","25",IF(Y5="3. Partially Compliant (50%)","50",IF(Y5="4. Mostly Compliant (75%)","75",IF(Y5="5. Fully Compliant (100%)","100"))))))&gt;=90,"100"))))))</f>
        <v>#N/A</v>
      </c>
      <c r="S5" s="1" t="e">
        <f>IF(MATCH(H5,Inherited!A:A),IF((((_xlfn.XLOOKUP(Assessment!H6,Inherited!A:A,Inherited!B:B))/100)*(_xlfn.XLOOKUP(Assessment!H6,Inherited!A:A,Inherited!E:E)))+(((100-(_xlfn.XLOOKUP(Assessment!H6,Inherited!A:A,Inherited!B:B)))/100)*IF(Z5="1.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(100%)","100"))))))&lt;=10,"0", IF(AND((((_xlfn.XLOOKUP(Assessment!H6,Inherited!A:A,Inherited!B:B))/100)*(_xlfn.XLOOKUP(Assessment!H6,Inherited!A:A,Inherited!E:E)))+(((100-(_xlfn.XLOOKUP(Assessment!H6,Inherited!A:A,Inherited!B:B)))/100)*IF(Z5="1.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(100%)","100"))))))&gt;=11,(((_xlfn.XLOOKUP(Assessment!H6,Inherited!A:A,Inherited!B:B))/100)*(_xlfn.XLOOKUP(Assessment!H6,Inherited!A:A,Inherited!E:E)))+(((100-(_xlfn.XLOOKUP(Assessment!H6,Inherited!A:A,Inherited!B:B)))/100)*IF(Z5="1.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(100%)","100"))))))&lt;=32),"25",IF(AND((((_xlfn.XLOOKUP(Assessment!H6,Inherited!A:A,Inherited!B:B))/100)*(_xlfn.XLOOKUP(Assessment!H6,Inherited!A:A,Inherited!E:E)))+(((100-(_xlfn.XLOOKUP(Assessment!H6,Inherited!A:A,Inherited!B:B)))/100)*IF(Z5="1.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(100%)","100"))))))&gt;=33,(((_xlfn.XLOOKUP(Assessment!H6,Inherited!A:A,Inherited!B:B))/100)*(_xlfn.XLOOKUP(Assessment!H6,Inherited!A:A,Inherited!E:E)))+(((100-(_xlfn.XLOOKUP(Assessment!H6,Inherited!A:A,Inherited!B:B)))/100)*IF(Z5="1.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(100%)","100"))))))&lt;=65),"50",IF(AND((((_xlfn.XLOOKUP(Assessment!H6,Inherited!A:A,Inherited!B:B))/100)*(_xlfn.XLOOKUP(Assessment!H6,Inherited!A:A,Inherited!E:E)))+(((100-(_xlfn.XLOOKUP(Assessment!H6,Inherited!A:A,Inherited!B:B)))/100)*IF(Z5="1.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(100%)","100"))))))&gt;=66,(((_xlfn.XLOOKUP(Assessment!H6,Inherited!A:A,Inherited!B:B))/100)*(_xlfn.XLOOKUP(Assessment!H6,Inherited!A:A,Inherited!E:E)))+(((100-(_xlfn.XLOOKUP(Assessment!H6,Inherited!A:A,Inherited!B:B)))/100)*IF(Z5="1.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(100%)","100"))))))&lt;=89),"75",IF((((_xlfn.XLOOKUP(Assessment!H6,Inherited!A:A,Inherited!B:B))/100)*(_xlfn.XLOOKUP(Assessment!H6,Inherited!A:A,Inherited!E:E)))+(((100-(_xlfn.XLOOKUP(Assessment!H6,Inherited!A:A,Inherited!B:B)))/100)*IF(Z5="1. Non Compliant (0%)","0",IF(Z5="2. Somewhat Compliant (25%)","25",IF(Z5="3. Partially Compliant (50%)","50",IF(Z5="4. Mostly Compliant (75%)","75",IF(Z5="5. Fully Compliant (100%)","100"))))))&gt;=90,"100"))))))</f>
        <v>#N/A</v>
      </c>
      <c r="T5" s="1" t="e">
        <f>IF(MATCH(H5,Inherited!A:A),IF((((_xlfn.XLOOKUP(Assessment!H6,Inherited!A:A,Inherited!B:B))/100)*(_xlfn.XLOOKUP(Assessment!H6,Inherited!A:A,Inherited!F:F)))+(((100-(_xlfn.XLOOKUP(Assessment!H6,Inherited!A:A,Inherited!B:B)))/100)*IF(AA5="1.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(100%)","100"))))))&lt;=10,"0", IF(AND((((_xlfn.XLOOKUP(Assessment!H6,Inherited!A:A,Inherited!B:B))/100)*(_xlfn.XLOOKUP(Assessment!H6,Inherited!A:A,Inherited!F:F)))+(((100-(_xlfn.XLOOKUP(Assessment!H6,Inherited!A:A,Inherited!B:B)))/100)*IF(AA5="1.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(100%)","100"))))))&gt;=11,(((_xlfn.XLOOKUP(Assessment!H6,Inherited!A:A,Inherited!B:B))/100)*(_xlfn.XLOOKUP(Assessment!H6,Inherited!A:A,Inherited!F:F)))+(((100-(_xlfn.XLOOKUP(Assessment!H6,Inherited!A:A,Inherited!B:B)))/100)*IF(AA5="1.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(100%)","100"))))))&lt;=32),"25",IF(AND((((_xlfn.XLOOKUP(Assessment!H6,Inherited!A:A,Inherited!B:B))/100)*(_xlfn.XLOOKUP(Assessment!H6,Inherited!A:A,Inherited!F:F)))+(((100-(_xlfn.XLOOKUP(Assessment!H6,Inherited!A:A,Inherited!B:B)))/100)*IF(AA5="1.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(100%)","100"))))))&gt;=33,(((_xlfn.XLOOKUP(Assessment!H6,Inherited!A:A,Inherited!B:B))/100)*(_xlfn.XLOOKUP(Assessment!H6,Inherited!A:A,Inherited!F:F)))+(((100-(_xlfn.XLOOKUP(Assessment!H6,Inherited!A:A,Inherited!B:B)))/100)*IF(AA5="1.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(100%)","100"))))))&lt;=65),"50",IF(AND((((_xlfn.XLOOKUP(Assessment!H6,Inherited!A:A,Inherited!B:B))/100)*(_xlfn.XLOOKUP(Assessment!H6,Inherited!A:A,Inherited!F:F)))+(((100-(_xlfn.XLOOKUP(Assessment!H6,Inherited!A:A,Inherited!B:B)))/100)*IF(AA5="1.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(100%)","100"))))))&gt;=66,(((_xlfn.XLOOKUP(Assessment!H6,Inherited!A:A,Inherited!B:B))/100)*(_xlfn.XLOOKUP(Assessment!H6,Inherited!A:A,Inherited!F:F)))+(((100-(_xlfn.XLOOKUP(Assessment!H6,Inherited!A:A,Inherited!B:B)))/100)*IF(AA5="1.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(100%)","100"))))))&lt;=89),"75",IF((((_xlfn.XLOOKUP(Assessment!H6,Inherited!A:A,Inherited!B:B))/100)*(_xlfn.XLOOKUP(Assessment!H6,Inherited!A:A,Inherited!F:F)))+(((100-(_xlfn.XLOOKUP(Assessment!H6,Inherited!A:A,Inherited!B:B)))/100)*IF(AA5="1. Non Compliant (0%)","0",IF(AA5="2. Somewhat Compliant (25%)","25",IF(AA5="3. Partially Compliant (50%)","50",IF(AA5="4. Mostly Compliant (75%)","75",IF(AA5="5. Fully Compliant (100%)","100"))))))&gt;=90,"100"))))))</f>
        <v>#N/A</v>
      </c>
      <c r="U5" s="1" t="e">
        <f>IF(MATCH(H5,Inherited!A:A),IF((((_xlfn.XLOOKUP(Assessment!H6,Inherited!A:A,Inherited!B:B))/100)*(_xlfn.XLOOKUP(Assessment!H6,Inherited!A:A,Inherited!G:G)))+(((100-(_xlfn.XLOOKUP(Assessment!H6,Inherited!A:A,Inherited!B:B)))/100)*IF(AB5="1.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(100%)","100"))))))&lt;=10,"0", IF(AND((((_xlfn.XLOOKUP(Assessment!H6,Inherited!A:A,Inherited!B:B))/100)*(_xlfn.XLOOKUP(Assessment!H6,Inherited!A:A,Inherited!G:G)))+(((100-(_xlfn.XLOOKUP(Assessment!H6,Inherited!A:A,Inherited!B:B)))/100)*IF(AB5="1.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(100%)","100"))))))&gt;=11,(((_xlfn.XLOOKUP(Assessment!H6,Inherited!A:A,Inherited!B:B))/100)*(_xlfn.XLOOKUP(Assessment!H6,Inherited!A:A,Inherited!G:G)))+(((100-(_xlfn.XLOOKUP(Assessment!H6,Inherited!A:A,Inherited!B:B)))/100)*IF(AB5="1.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(100%)","100"))))))&lt;=32),"25",IF(AND((((_xlfn.XLOOKUP(Assessment!H6,Inherited!A:A,Inherited!B:B))/100)*(_xlfn.XLOOKUP(Assessment!H6,Inherited!A:A,Inherited!G:G)))+(((100-(_xlfn.XLOOKUP(Assessment!H6,Inherited!A:A,Inherited!B:B)))/100)*IF(AB5="1.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(100%)","100"))))))&gt;=33,(((_xlfn.XLOOKUP(Assessment!H6,Inherited!A:A,Inherited!B:B))/100)*(_xlfn.XLOOKUP(Assessment!H6,Inherited!A:A,Inherited!G:G)))+(((100-(_xlfn.XLOOKUP(Assessment!H6,Inherited!A:A,Inherited!B:B)))/100)*IF(AB5="1.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(100%)","100"))))))&lt;=65),"50",IF(AND((((_xlfn.XLOOKUP(Assessment!H6,Inherited!A:A,Inherited!B:B))/100)*(_xlfn.XLOOKUP(Assessment!H6,Inherited!A:A,Inherited!G:G)))+(((100-(_xlfn.XLOOKUP(Assessment!H6,Inherited!A:A,Inherited!B:B)))/100)*IF(AB5="1.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(100%)","100"))))))&gt;=66,(((_xlfn.XLOOKUP(Assessment!H6,Inherited!A:A,Inherited!B:B))/100)*(_xlfn.XLOOKUP(Assessment!H6,Inherited!A:A,Inherited!G:G)))+(((100-(_xlfn.XLOOKUP(Assessment!H6,Inherited!A:A,Inherited!B:B)))/100)*IF(AB5="1.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(100%)","100"))))))&lt;=89),"75",IF((((_xlfn.XLOOKUP(Assessment!H6,Inherited!A:A,Inherited!B:B))/100)*(_xlfn.XLOOKUP(Assessment!H6,Inherited!A:A,Inherited!G:G)))+(((100-(_xlfn.XLOOKUP(Assessment!H6,Inherited!A:A,Inherited!B:B)))/100)*IF(AB5="1. Non Compliant (0%)","0",IF(AB5="2. Somewhat Compliant (25%)","25",IF(AB5="3. Partially Compliant (50%)","50",IF(AB5="4. Mostly Compliant (75%)","75",IF(AB5="5. Fully Compliant (100%)","100"))))))&gt;=90,"100"))))))</f>
        <v>#N/A</v>
      </c>
      <c r="V5" s="55" t="s">
        <v>85</v>
      </c>
      <c r="W5" s="55"/>
      <c r="X5" s="55"/>
      <c r="Y5" s="55"/>
      <c r="Z5" s="55" t="s">
        <v>10873</v>
      </c>
      <c r="AA5" s="55"/>
      <c r="AB5" s="55"/>
      <c r="AK5" s="1" t="s">
        <v>10978</v>
      </c>
      <c r="AL5" s="1" t="s">
        <v>10985</v>
      </c>
      <c r="AP5" s="1" t="s">
        <v>11052</v>
      </c>
      <c r="AX5" s="3" t="str">
        <f>_xlfn.CONCAT("A-LIGN finished its review of this control on ",AR5, " during the scheduled fieldwork window (",Intro!$B$4,")."&amp; CHAR(10)&amp; CHAR(10))</f>
        <v xml:space="preserve">A-LIGN finished its review of this control on  during the scheduled fieldwork window (Fieldwork: xx/xx/xxxx - xx/xx/xxxx).
</v>
      </c>
      <c r="AY5" s="3" t="str">
        <f t="shared" si="1"/>
        <v/>
      </c>
      <c r="AZ5" s="3" t="str">
        <f t="shared" si="2"/>
        <v/>
      </c>
      <c r="BA5" s="3" t="str">
        <f t="shared" si="3"/>
        <v/>
      </c>
      <c r="BB5" s="3" t="str">
        <f t="shared" si="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5" s="3" t="str">
        <f t="shared" si="5"/>
        <v/>
      </c>
      <c r="BD5" s="3" t="str">
        <f t="shared" si="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the effect that an AI system can have on the organization’s culture by shifting and introducing new responsibilities, roles and tasks
- defines any additional international, regional, national and local standards and guidelines that are imposed by the use of AI systems
- defines the additional risks to organizational knowledge related to transparency and explainability of AI systems
- defines that the use of AI systems can result in changes to the number of human resources needed to realize a certain capability, or in a variation of the type of resources needed
- defines the specific knowledge in AI technologies and data science required to develop and use AI systems
- defines the availability of AI tools, platforms and libraries which can enable the development of AI systems without there being a full understanding of the technology, its limitations and potential pitfalls
- defines the potential for AI to raise issues and opportunities related to intellectual property for specific AI systems
- defines how AI systems can be used to automate, optimize and enhance data handling
- defines additional quality and completeness constraints on data and information can be imposed by AI systems
- defines how the use of AI systems can increase the complexity of interdependencies and interconnections
- defines the consideration that the use of AI systems can increase the need for specialized training
</v>
      </c>
      <c r="BE5" s="3" t="str">
        <f t="shared" si="7"/>
        <v/>
      </c>
      <c r="BF5" s="3" t="str">
        <f t="shared" si="8"/>
        <v/>
      </c>
      <c r="BG5" s="3" t="str">
        <f>_xlfn.CONCAT((IF((COUNTIF('Sample Tables'!B:B,"")&gt;0)=TRUE,_xlfn.CONCAT("",""),IF((COUNTIF('Sample Tables'!B:B,"")&gt;0)=FALSE,""))),)</f>
        <v/>
      </c>
      <c r="BH5" s="3" t="str">
        <f t="shared" si="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the effect that an AI system can have on the organization’s culture by shifting and introducing new responsibilities, roles and tasks
- defines any additional international, regional, national and local standards and guidelines that are imposed by the use of AI systems
- defines the additional risks to organizational knowledge related to transparency and explainability of AI systems
- defines that the use of AI systems can result in changes to the number of human resources needed to realize a certain capability, or in a variation of the type of resources needed
- defines the specific knowledge in AI technologies and data science required to develop and use AI systems
- defines the availability of AI tools, platforms and libraries which can enable the development of AI systems without there being a full understanding of the technology, its limitations and potential pitfalls
- defines the potential for AI to raise issues and opportunities related to intellectual property for specific AI systems
- defines how AI systems can be used to automate, optimize and enhance data handling
- defines additional quality and completeness constraints on data and information can be imposed by AI systems
- defines how the use of AI systems can increase the complexity of interdependencies and interconnections
- defines the consideration that the use of AI systems can increase the need for specialized training
</v>
      </c>
    </row>
    <row r="6" spans="1:60" ht="409.5" x14ac:dyDescent="0.35">
      <c r="C6" s="1">
        <f t="shared" si="0"/>
        <v>0</v>
      </c>
      <c r="D6" s="5" t="str">
        <f>IF(AND((_xlfn.XLOOKUP(J6,'Fields &amp; Revisions'!$H:$H,'Fields &amp; Revisions'!$I:$I))&lt;70.99,(OR(Z6="4. Mostly Compliant (75%)",Z6="3. Partially Compliant (50%)",Z6="2. Somewhat Compliant (25%)",Z6="1. Non Compliant (0%)"))),"Yes","No")</f>
        <v>Yes</v>
      </c>
      <c r="E6" s="5" t="str">
        <f>IF(ISERROR(VLOOKUP(H6,Scope!A:A,1,FALSE)),"No","Yes")</f>
        <v>Yes</v>
      </c>
      <c r="F6" s="1" t="s">
        <v>90</v>
      </c>
      <c r="G6" s="53" t="s">
        <v>235</v>
      </c>
      <c r="H6" s="53" t="s">
        <v>236</v>
      </c>
      <c r="I6" s="5" t="s">
        <v>225</v>
      </c>
      <c r="J6" s="1" t="s">
        <v>226</v>
      </c>
      <c r="K6" s="54" t="s">
        <v>237</v>
      </c>
      <c r="L6" s="1" t="s">
        <v>238</v>
      </c>
      <c r="M6" s="1" t="s">
        <v>239</v>
      </c>
      <c r="N6" s="5" t="s">
        <v>98</v>
      </c>
      <c r="O6" s="1" t="str">
        <f>_xlfn.XLOOKUP(G6,SRMs!$A:$A,SRMs!$D:$D)</f>
        <v>NO INHERITANCE</v>
      </c>
      <c r="P6" s="1" t="str">
        <f>IFERROR(VLOOKUP(H6,Inherited!A:B,2,FALSE),"")</f>
        <v/>
      </c>
      <c r="Q6" s="1" t="e">
        <f>IF(MATCH(H6,Inherited!A:A),IF((((_xlfn.XLOOKUP(Assessment!H7,Inherited!A:A,Inherited!B:B))/100)*(_xlfn.XLOOKUP(Assessment!H7,Inherited!A:A,Inherited!C:C)))+(((100-(_xlfn.XLOOKUP(Assessment!H7,Inherited!A:A,Inherited!B:B)))/100)*IF(X6="1.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(100%)","100"))))))&lt;=10,"0", IF(AND((((_xlfn.XLOOKUP(Assessment!H7,Inherited!A:A,Inherited!B:B))/100)*(_xlfn.XLOOKUP(Assessment!H7,Inherited!A:A,Inherited!C:C)))+(((100-(_xlfn.XLOOKUP(Assessment!H7,Inherited!A:A,Inherited!B:B)))/100)*IF(X6="1.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(100%)","100"))))))&gt;=11,(((_xlfn.XLOOKUP(Assessment!H7,Inherited!A:A,Inherited!B:B))/100)*(_xlfn.XLOOKUP(Assessment!H7,Inherited!A:A,Inherited!C:C)))+(((100-(_xlfn.XLOOKUP(Assessment!H7,Inherited!A:A,Inherited!B:B)))/100)*IF(X6="1.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(100%)","100"))))))&lt;=32),"25",IF(AND((((_xlfn.XLOOKUP(Assessment!H7,Inherited!A:A,Inherited!B:B))/100)*(_xlfn.XLOOKUP(Assessment!H7,Inherited!A:A,Inherited!C:C)))+(((100-(_xlfn.XLOOKUP(Assessment!H7,Inherited!A:A,Inherited!B:B)))/100)*IF(X6="1.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(100%)","100"))))))&gt;=33,(((_xlfn.XLOOKUP(Assessment!H7,Inherited!A:A,Inherited!B:B))/100)*(_xlfn.XLOOKUP(Assessment!H7,Inherited!A:A,Inherited!C:C)))+(((100-(_xlfn.XLOOKUP(Assessment!H7,Inherited!A:A,Inherited!B:B)))/100)*IF(X6="1.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(100%)","100"))))))&lt;=65),"50",IF(AND((((_xlfn.XLOOKUP(Assessment!H7,Inherited!A:A,Inherited!B:B))/100)*(_xlfn.XLOOKUP(Assessment!H7,Inherited!A:A,Inherited!C:C)))+(((100-(_xlfn.XLOOKUP(Assessment!H7,Inherited!A:A,Inherited!B:B)))/100)*IF(X6="1.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(100%)","100"))))))&gt;=66,(((_xlfn.XLOOKUP(Assessment!H7,Inherited!A:A,Inherited!B:B))/100)*(_xlfn.XLOOKUP(Assessment!H7,Inherited!A:A,Inherited!C:C)))+(((100-(_xlfn.XLOOKUP(Assessment!H7,Inherited!A:A,Inherited!B:B)))/100)*IF(X6="1.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(100%)","100"))))))&lt;=89),"75",IF((((_xlfn.XLOOKUP(Assessment!H7,Inherited!A:A,Inherited!B:B))/100)*(_xlfn.XLOOKUP(Assessment!H7,Inherited!A:A,Inherited!C:C)))+(((100-(_xlfn.XLOOKUP(Assessment!H7,Inherited!A:A,Inherited!B:B)))/100)*IF(X6="1. Non Compliant (0%)","0",IF(X6="2. Somewhat Compliant (25%)","25",IF(X6="3. Partially Compliant (50%)","50",IF(X6="4. Mostly Compliant (75%)","75",IF(X6="5. Fully Compliant (100%)","100"))))))&gt;=90,"100"))))))</f>
        <v>#N/A</v>
      </c>
      <c r="R6" s="1" t="e">
        <f>IF(MATCH(H6,Inherited!A:A),IF((((_xlfn.XLOOKUP(Assessment!H7,Inherited!A:A,Inherited!B:B))/100)*(_xlfn.XLOOKUP(Assessment!H7,Inherited!A:A,Inherited!D:D)))+(((100-(_xlfn.XLOOKUP(Assessment!H7,Inherited!A:A,Inherited!B:B)))/100)*IF(Y6="1.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(100%)","100"))))))&lt;=10,"0", IF(AND((((_xlfn.XLOOKUP(Assessment!H7,Inherited!A:A,Inherited!B:B))/100)*(_xlfn.XLOOKUP(Assessment!H7,Inherited!A:A,Inherited!D:D)))+(((100-(_xlfn.XLOOKUP(Assessment!H7,Inherited!A:A,Inherited!B:B)))/100)*IF(Y6="1.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(100%)","100"))))))&gt;=11,(((_xlfn.XLOOKUP(Assessment!H7,Inherited!A:A,Inherited!B:B))/100)*(_xlfn.XLOOKUP(Assessment!H7,Inherited!A:A,Inherited!D:D)))+(((100-(_xlfn.XLOOKUP(Assessment!H7,Inherited!A:A,Inherited!B:B)))/100)*IF(Y6="1.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(100%)","100"))))))&lt;=32),"25",IF(AND((((_xlfn.XLOOKUP(Assessment!H7,Inherited!A:A,Inherited!B:B))/100)*(_xlfn.XLOOKUP(Assessment!H7,Inherited!A:A,Inherited!D:D)))+(((100-(_xlfn.XLOOKUP(Assessment!H7,Inherited!A:A,Inherited!B:B)))/100)*IF(Y6="1.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(100%)","100"))))))&gt;=33,(((_xlfn.XLOOKUP(Assessment!H7,Inherited!A:A,Inherited!B:B))/100)*(_xlfn.XLOOKUP(Assessment!H7,Inherited!A:A,Inherited!D:D)))+(((100-(_xlfn.XLOOKUP(Assessment!H7,Inherited!A:A,Inherited!B:B)))/100)*IF(Y6="1.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(100%)","100"))))))&lt;=65),"50",IF(AND((((_xlfn.XLOOKUP(Assessment!H7,Inherited!A:A,Inherited!B:B))/100)*(_xlfn.XLOOKUP(Assessment!H7,Inherited!A:A,Inherited!D:D)))+(((100-(_xlfn.XLOOKUP(Assessment!H7,Inherited!A:A,Inherited!B:B)))/100)*IF(Y6="1.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(100%)","100"))))))&gt;=66,(((_xlfn.XLOOKUP(Assessment!H7,Inherited!A:A,Inherited!B:B))/100)*(_xlfn.XLOOKUP(Assessment!H7,Inherited!A:A,Inherited!D:D)))+(((100-(_xlfn.XLOOKUP(Assessment!H7,Inherited!A:A,Inherited!B:B)))/100)*IF(Y6="1.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(100%)","100"))))))&lt;=89),"75",IF((((_xlfn.XLOOKUP(Assessment!H7,Inherited!A:A,Inherited!B:B))/100)*(_xlfn.XLOOKUP(Assessment!H7,Inherited!A:A,Inherited!D:D)))+(((100-(_xlfn.XLOOKUP(Assessment!H7,Inherited!A:A,Inherited!B:B)))/100)*IF(Y6="1. Non Compliant (0%)","0",IF(Y6="2. Somewhat Compliant (25%)","25",IF(Y6="3. Partially Compliant (50%)","50",IF(Y6="4. Mostly Compliant (75%)","75",IF(Y6="5. Fully Compliant (100%)","100"))))))&gt;=90,"100"))))))</f>
        <v>#N/A</v>
      </c>
      <c r="S6" s="1" t="e">
        <f>IF(MATCH(H6,Inherited!A:A),IF((((_xlfn.XLOOKUP(Assessment!H7,Inherited!A:A,Inherited!B:B))/100)*(_xlfn.XLOOKUP(Assessment!H7,Inherited!A:A,Inherited!E:E)))+(((100-(_xlfn.XLOOKUP(Assessment!H7,Inherited!A:A,Inherited!B:B)))/100)*IF(Z6="1.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(100%)","100"))))))&lt;=10,"0", IF(AND((((_xlfn.XLOOKUP(Assessment!H7,Inherited!A:A,Inherited!B:B))/100)*(_xlfn.XLOOKUP(Assessment!H7,Inherited!A:A,Inherited!E:E)))+(((100-(_xlfn.XLOOKUP(Assessment!H7,Inherited!A:A,Inherited!B:B)))/100)*IF(Z6="1.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(100%)","100"))))))&gt;=11,(((_xlfn.XLOOKUP(Assessment!H7,Inherited!A:A,Inherited!B:B))/100)*(_xlfn.XLOOKUP(Assessment!H7,Inherited!A:A,Inherited!E:E)))+(((100-(_xlfn.XLOOKUP(Assessment!H7,Inherited!A:A,Inherited!B:B)))/100)*IF(Z6="1.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(100%)","100"))))))&lt;=32),"25",IF(AND((((_xlfn.XLOOKUP(Assessment!H7,Inherited!A:A,Inherited!B:B))/100)*(_xlfn.XLOOKUP(Assessment!H7,Inherited!A:A,Inherited!E:E)))+(((100-(_xlfn.XLOOKUP(Assessment!H7,Inherited!A:A,Inherited!B:B)))/100)*IF(Z6="1.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(100%)","100"))))))&gt;=33,(((_xlfn.XLOOKUP(Assessment!H7,Inherited!A:A,Inherited!B:B))/100)*(_xlfn.XLOOKUP(Assessment!H7,Inherited!A:A,Inherited!E:E)))+(((100-(_xlfn.XLOOKUP(Assessment!H7,Inherited!A:A,Inherited!B:B)))/100)*IF(Z6="1.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(100%)","100"))))))&lt;=65),"50",IF(AND((((_xlfn.XLOOKUP(Assessment!H7,Inherited!A:A,Inherited!B:B))/100)*(_xlfn.XLOOKUP(Assessment!H7,Inherited!A:A,Inherited!E:E)))+(((100-(_xlfn.XLOOKUP(Assessment!H7,Inherited!A:A,Inherited!B:B)))/100)*IF(Z6="1.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(100%)","100"))))))&gt;=66,(((_xlfn.XLOOKUP(Assessment!H7,Inherited!A:A,Inherited!B:B))/100)*(_xlfn.XLOOKUP(Assessment!H7,Inherited!A:A,Inherited!E:E)))+(((100-(_xlfn.XLOOKUP(Assessment!H7,Inherited!A:A,Inherited!B:B)))/100)*IF(Z6="1.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(100%)","100"))))))&lt;=89),"75",IF((((_xlfn.XLOOKUP(Assessment!H7,Inherited!A:A,Inherited!B:B))/100)*(_xlfn.XLOOKUP(Assessment!H7,Inherited!A:A,Inherited!E:E)))+(((100-(_xlfn.XLOOKUP(Assessment!H7,Inherited!A:A,Inherited!B:B)))/100)*IF(Z6="1. Non Compliant (0%)","0",IF(Z6="2. Somewhat Compliant (25%)","25",IF(Z6="3. Partially Compliant (50%)","50",IF(Z6="4. Mostly Compliant (75%)","75",IF(Z6="5. Fully Compliant (100%)","100"))))))&gt;=90,"100"))))))</f>
        <v>#N/A</v>
      </c>
      <c r="T6" s="1" t="e">
        <f>IF(MATCH(H6,Inherited!A:A),IF((((_xlfn.XLOOKUP(Assessment!H7,Inherited!A:A,Inherited!B:B))/100)*(_xlfn.XLOOKUP(Assessment!H7,Inherited!A:A,Inherited!F:F)))+(((100-(_xlfn.XLOOKUP(Assessment!H7,Inherited!A:A,Inherited!B:B)))/100)*IF(AA6="1.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(100%)","100"))))))&lt;=10,"0", IF(AND((((_xlfn.XLOOKUP(Assessment!H7,Inherited!A:A,Inherited!B:B))/100)*(_xlfn.XLOOKUP(Assessment!H7,Inherited!A:A,Inherited!F:F)))+(((100-(_xlfn.XLOOKUP(Assessment!H7,Inherited!A:A,Inherited!B:B)))/100)*IF(AA6="1.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(100%)","100"))))))&gt;=11,(((_xlfn.XLOOKUP(Assessment!H7,Inherited!A:A,Inherited!B:B))/100)*(_xlfn.XLOOKUP(Assessment!H7,Inherited!A:A,Inherited!F:F)))+(((100-(_xlfn.XLOOKUP(Assessment!H7,Inherited!A:A,Inherited!B:B)))/100)*IF(AA6="1.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(100%)","100"))))))&lt;=32),"25",IF(AND((((_xlfn.XLOOKUP(Assessment!H7,Inherited!A:A,Inherited!B:B))/100)*(_xlfn.XLOOKUP(Assessment!H7,Inherited!A:A,Inherited!F:F)))+(((100-(_xlfn.XLOOKUP(Assessment!H7,Inherited!A:A,Inherited!B:B)))/100)*IF(AA6="1.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(100%)","100"))))))&gt;=33,(((_xlfn.XLOOKUP(Assessment!H7,Inherited!A:A,Inherited!B:B))/100)*(_xlfn.XLOOKUP(Assessment!H7,Inherited!A:A,Inherited!F:F)))+(((100-(_xlfn.XLOOKUP(Assessment!H7,Inherited!A:A,Inherited!B:B)))/100)*IF(AA6="1.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(100%)","100"))))))&lt;=65),"50",IF(AND((((_xlfn.XLOOKUP(Assessment!H7,Inherited!A:A,Inherited!B:B))/100)*(_xlfn.XLOOKUP(Assessment!H7,Inherited!A:A,Inherited!F:F)))+(((100-(_xlfn.XLOOKUP(Assessment!H7,Inherited!A:A,Inherited!B:B)))/100)*IF(AA6="1.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(100%)","100"))))))&gt;=66,(((_xlfn.XLOOKUP(Assessment!H7,Inherited!A:A,Inherited!B:B))/100)*(_xlfn.XLOOKUP(Assessment!H7,Inherited!A:A,Inherited!F:F)))+(((100-(_xlfn.XLOOKUP(Assessment!H7,Inherited!A:A,Inherited!B:B)))/100)*IF(AA6="1.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(100%)","100"))))))&lt;=89),"75",IF((((_xlfn.XLOOKUP(Assessment!H7,Inherited!A:A,Inherited!B:B))/100)*(_xlfn.XLOOKUP(Assessment!H7,Inherited!A:A,Inherited!F:F)))+(((100-(_xlfn.XLOOKUP(Assessment!H7,Inherited!A:A,Inherited!B:B)))/100)*IF(AA6="1. Non Compliant (0%)","0",IF(AA6="2. Somewhat Compliant (25%)","25",IF(AA6="3. Partially Compliant (50%)","50",IF(AA6="4. Mostly Compliant (75%)","75",IF(AA6="5. Fully Compliant (100%)","100"))))))&gt;=90,"100"))))))</f>
        <v>#N/A</v>
      </c>
      <c r="U6" s="1" t="e">
        <f>IF(MATCH(H6,Inherited!A:A),IF((((_xlfn.XLOOKUP(Assessment!H7,Inherited!A:A,Inherited!B:B))/100)*(_xlfn.XLOOKUP(Assessment!H7,Inherited!A:A,Inherited!G:G)))+(((100-(_xlfn.XLOOKUP(Assessment!H7,Inherited!A:A,Inherited!B:B)))/100)*IF(AB6="1.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(100%)","100"))))))&lt;=10,"0", IF(AND((((_xlfn.XLOOKUP(Assessment!H7,Inherited!A:A,Inherited!B:B))/100)*(_xlfn.XLOOKUP(Assessment!H7,Inherited!A:A,Inherited!G:G)))+(((100-(_xlfn.XLOOKUP(Assessment!H7,Inherited!A:A,Inherited!B:B)))/100)*IF(AB6="1.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(100%)","100"))))))&gt;=11,(((_xlfn.XLOOKUP(Assessment!H7,Inherited!A:A,Inherited!B:B))/100)*(_xlfn.XLOOKUP(Assessment!H7,Inherited!A:A,Inherited!G:G)))+(((100-(_xlfn.XLOOKUP(Assessment!H7,Inherited!A:A,Inherited!B:B)))/100)*IF(AB6="1.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(100%)","100"))))))&lt;=32),"25",IF(AND((((_xlfn.XLOOKUP(Assessment!H7,Inherited!A:A,Inherited!B:B))/100)*(_xlfn.XLOOKUP(Assessment!H7,Inherited!A:A,Inherited!G:G)))+(((100-(_xlfn.XLOOKUP(Assessment!H7,Inherited!A:A,Inherited!B:B)))/100)*IF(AB6="1.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(100%)","100"))))))&gt;=33,(((_xlfn.XLOOKUP(Assessment!H7,Inherited!A:A,Inherited!B:B))/100)*(_xlfn.XLOOKUP(Assessment!H7,Inherited!A:A,Inherited!G:G)))+(((100-(_xlfn.XLOOKUP(Assessment!H7,Inherited!A:A,Inherited!B:B)))/100)*IF(AB6="1.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(100%)","100"))))))&lt;=65),"50",IF(AND((((_xlfn.XLOOKUP(Assessment!H7,Inherited!A:A,Inherited!B:B))/100)*(_xlfn.XLOOKUP(Assessment!H7,Inherited!A:A,Inherited!G:G)))+(((100-(_xlfn.XLOOKUP(Assessment!H7,Inherited!A:A,Inherited!B:B)))/100)*IF(AB6="1.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(100%)","100"))))))&gt;=66,(((_xlfn.XLOOKUP(Assessment!H7,Inherited!A:A,Inherited!B:B))/100)*(_xlfn.XLOOKUP(Assessment!H7,Inherited!A:A,Inherited!G:G)))+(((100-(_xlfn.XLOOKUP(Assessment!H7,Inherited!A:A,Inherited!B:B)))/100)*IF(AB6="1.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(100%)","100"))))))&lt;=89),"75",IF((((_xlfn.XLOOKUP(Assessment!H7,Inherited!A:A,Inherited!B:B))/100)*(_xlfn.XLOOKUP(Assessment!H7,Inherited!A:A,Inherited!G:G)))+(((100-(_xlfn.XLOOKUP(Assessment!H7,Inherited!A:A,Inherited!B:B)))/100)*IF(AB6="1. Non Compliant (0%)","0",IF(AB6="2. Somewhat Compliant (25%)","25",IF(AB6="3. Partially Compliant (50%)","50",IF(AB6="4. Mostly Compliant (75%)","75",IF(AB6="5. Fully Compliant (100%)","100"))))))&gt;=90,"100"))))))</f>
        <v>#N/A</v>
      </c>
      <c r="V6" s="55" t="s">
        <v>85</v>
      </c>
      <c r="W6" s="55"/>
      <c r="X6" s="55"/>
      <c r="Y6" s="55"/>
      <c r="Z6" s="55" t="s">
        <v>10873</v>
      </c>
      <c r="AA6" s="55"/>
      <c r="AB6" s="55"/>
      <c r="AK6" s="1" t="s">
        <v>10978</v>
      </c>
      <c r="AL6" s="1" t="s">
        <v>10985</v>
      </c>
      <c r="AP6" s="1" t="s">
        <v>11053</v>
      </c>
      <c r="AX6" s="3" t="str">
        <f>_xlfn.CONCAT("A-LIGN finished its review of this control on ",AR6, " during the scheduled fieldwork window (",Intro!$B$4,")."&amp; CHAR(10)&amp; CHAR(10))</f>
        <v xml:space="preserve">A-LIGN finished its review of this control on  during the scheduled fieldwork window (Fieldwork: xx/xx/xxxx - xx/xx/xxxx).
</v>
      </c>
      <c r="AY6" s="3" t="str">
        <f t="shared" si="1"/>
        <v/>
      </c>
      <c r="AZ6" s="3" t="str">
        <f t="shared" si="2"/>
        <v/>
      </c>
      <c r="BA6" s="3" t="str">
        <f t="shared" si="3"/>
        <v/>
      </c>
      <c r="BB6" s="3" t="str">
        <f t="shared" si="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6" s="3" t="str">
        <f t="shared" si="5"/>
        <v/>
      </c>
      <c r="BD6" s="3" t="str">
        <f t="shared" si="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AI system project-level processes are aligned with the organization's objective
</v>
      </c>
      <c r="BE6" s="3" t="str">
        <f t="shared" si="7"/>
        <v/>
      </c>
      <c r="BF6" s="3" t="str">
        <f t="shared" si="8"/>
        <v/>
      </c>
      <c r="BG6" s="3" t="str">
        <f>_xlfn.CONCAT((IF((COUNTIF('Sample Tables'!B:B,"")&gt;0)=TRUE,_xlfn.CONCAT("",""),IF((COUNTIF('Sample Tables'!B:B,"")&gt;0)=FALSE,""))),)</f>
        <v/>
      </c>
      <c r="BH6" s="3" t="str">
        <f t="shared" si="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AI system project-level processes are aligned with the organization's objective
</v>
      </c>
    </row>
    <row r="7" spans="1:60" ht="409.5" x14ac:dyDescent="0.35">
      <c r="C7" s="1">
        <f t="shared" si="0"/>
        <v>0</v>
      </c>
      <c r="D7" s="5" t="str">
        <f>IF(AND((_xlfn.XLOOKUP(J7,'Fields &amp; Revisions'!$H:$H,'Fields &amp; Revisions'!$I:$I))&lt;70.99,(OR(Z7="4. Mostly Compliant (75%)",Z7="3. Partially Compliant (50%)",Z7="2. Somewhat Compliant (25%)",Z7="1. Non Compliant (0%)"))),"Yes","No")</f>
        <v>Yes</v>
      </c>
      <c r="E7" s="5" t="str">
        <f>IF(ISERROR(VLOOKUP(H7,Scope!A:A,1,FALSE)),"No","Yes")</f>
        <v>Yes</v>
      </c>
      <c r="F7" s="1" t="s">
        <v>90</v>
      </c>
      <c r="G7" s="53" t="s">
        <v>240</v>
      </c>
      <c r="H7" s="53" t="s">
        <v>241</v>
      </c>
      <c r="I7" s="5" t="s">
        <v>242</v>
      </c>
      <c r="J7" s="1" t="s">
        <v>226</v>
      </c>
      <c r="K7" s="54" t="s">
        <v>243</v>
      </c>
      <c r="L7" s="1" t="s">
        <v>244</v>
      </c>
      <c r="M7" s="1" t="s">
        <v>245</v>
      </c>
      <c r="N7" s="5" t="s">
        <v>98</v>
      </c>
      <c r="O7" s="1" t="str">
        <f>_xlfn.XLOOKUP(G7,SRMs!$A:$A,SRMs!$D:$D)</f>
        <v>NO INHERITANCE</v>
      </c>
      <c r="P7" s="1" t="str">
        <f>IFERROR(VLOOKUP(H7,Inherited!A:B,2,FALSE),"")</f>
        <v/>
      </c>
      <c r="Q7" s="1" t="e">
        <f>IF(MATCH(H7,Inherited!A:A),IF((((_xlfn.XLOOKUP(Assessment!H8,Inherited!A:A,Inherited!B:B))/100)*(_xlfn.XLOOKUP(Assessment!H8,Inherited!A:A,Inherited!C:C)))+(((100-(_xlfn.XLOOKUP(Assessment!H8,Inherited!A:A,Inherited!B:B)))/100)*IF(X7="1.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(100%)","100"))))))&lt;=10,"0", IF(AND((((_xlfn.XLOOKUP(Assessment!H8,Inherited!A:A,Inherited!B:B))/100)*(_xlfn.XLOOKUP(Assessment!H8,Inherited!A:A,Inherited!C:C)))+(((100-(_xlfn.XLOOKUP(Assessment!H8,Inherited!A:A,Inherited!B:B)))/100)*IF(X7="1.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(100%)","100"))))))&gt;=11,(((_xlfn.XLOOKUP(Assessment!H8,Inherited!A:A,Inherited!B:B))/100)*(_xlfn.XLOOKUP(Assessment!H8,Inherited!A:A,Inherited!C:C)))+(((100-(_xlfn.XLOOKUP(Assessment!H8,Inherited!A:A,Inherited!B:B)))/100)*IF(X7="1.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(100%)","100"))))))&lt;=32),"25",IF(AND((((_xlfn.XLOOKUP(Assessment!H8,Inherited!A:A,Inherited!B:B))/100)*(_xlfn.XLOOKUP(Assessment!H8,Inherited!A:A,Inherited!C:C)))+(((100-(_xlfn.XLOOKUP(Assessment!H8,Inherited!A:A,Inherited!B:B)))/100)*IF(X7="1.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(100%)","100"))))))&gt;=33,(((_xlfn.XLOOKUP(Assessment!H8,Inherited!A:A,Inherited!B:B))/100)*(_xlfn.XLOOKUP(Assessment!H8,Inherited!A:A,Inherited!C:C)))+(((100-(_xlfn.XLOOKUP(Assessment!H8,Inherited!A:A,Inherited!B:B)))/100)*IF(X7="1.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(100%)","100"))))))&lt;=65),"50",IF(AND((((_xlfn.XLOOKUP(Assessment!H8,Inherited!A:A,Inherited!B:B))/100)*(_xlfn.XLOOKUP(Assessment!H8,Inherited!A:A,Inherited!C:C)))+(((100-(_xlfn.XLOOKUP(Assessment!H8,Inherited!A:A,Inherited!B:B)))/100)*IF(X7="1.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(100%)","100"))))))&gt;=66,(((_xlfn.XLOOKUP(Assessment!H8,Inherited!A:A,Inherited!B:B))/100)*(_xlfn.XLOOKUP(Assessment!H8,Inherited!A:A,Inherited!C:C)))+(((100-(_xlfn.XLOOKUP(Assessment!H8,Inherited!A:A,Inherited!B:B)))/100)*IF(X7="1.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(100%)","100"))))))&lt;=89),"75",IF((((_xlfn.XLOOKUP(Assessment!H8,Inherited!A:A,Inherited!B:B))/100)*(_xlfn.XLOOKUP(Assessment!H8,Inherited!A:A,Inherited!C:C)))+(((100-(_xlfn.XLOOKUP(Assessment!H8,Inherited!A:A,Inherited!B:B)))/100)*IF(X7="1. Non Compliant (0%)","0",IF(X7="2. Somewhat Compliant (25%)","25",IF(X7="3. Partially Compliant (50%)","50",IF(X7="4. Mostly Compliant (75%)","75",IF(X7="5. Fully Compliant (100%)","100"))))))&gt;=90,"100"))))))</f>
        <v>#N/A</v>
      </c>
      <c r="R7" s="1" t="e">
        <f>IF(MATCH(H7,Inherited!A:A),IF((((_xlfn.XLOOKUP(Assessment!H8,Inherited!A:A,Inherited!B:B))/100)*(_xlfn.XLOOKUP(Assessment!H8,Inherited!A:A,Inherited!D:D)))+(((100-(_xlfn.XLOOKUP(Assessment!H8,Inherited!A:A,Inherited!B:B)))/100)*IF(Y7="1.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(100%)","100"))))))&lt;=10,"0", IF(AND((((_xlfn.XLOOKUP(Assessment!H8,Inherited!A:A,Inherited!B:B))/100)*(_xlfn.XLOOKUP(Assessment!H8,Inherited!A:A,Inherited!D:D)))+(((100-(_xlfn.XLOOKUP(Assessment!H8,Inherited!A:A,Inherited!B:B)))/100)*IF(Y7="1.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(100%)","100"))))))&gt;=11,(((_xlfn.XLOOKUP(Assessment!H8,Inherited!A:A,Inherited!B:B))/100)*(_xlfn.XLOOKUP(Assessment!H8,Inherited!A:A,Inherited!D:D)))+(((100-(_xlfn.XLOOKUP(Assessment!H8,Inherited!A:A,Inherited!B:B)))/100)*IF(Y7="1.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(100%)","100"))))))&lt;=32),"25",IF(AND((((_xlfn.XLOOKUP(Assessment!H8,Inherited!A:A,Inherited!B:B))/100)*(_xlfn.XLOOKUP(Assessment!H8,Inherited!A:A,Inherited!D:D)))+(((100-(_xlfn.XLOOKUP(Assessment!H8,Inherited!A:A,Inherited!B:B)))/100)*IF(Y7="1.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(100%)","100"))))))&gt;=33,(((_xlfn.XLOOKUP(Assessment!H8,Inherited!A:A,Inherited!B:B))/100)*(_xlfn.XLOOKUP(Assessment!H8,Inherited!A:A,Inherited!D:D)))+(((100-(_xlfn.XLOOKUP(Assessment!H8,Inherited!A:A,Inherited!B:B)))/100)*IF(Y7="1.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(100%)","100"))))))&lt;=65),"50",IF(AND((((_xlfn.XLOOKUP(Assessment!H8,Inherited!A:A,Inherited!B:B))/100)*(_xlfn.XLOOKUP(Assessment!H8,Inherited!A:A,Inherited!D:D)))+(((100-(_xlfn.XLOOKUP(Assessment!H8,Inherited!A:A,Inherited!B:B)))/100)*IF(Y7="1.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(100%)","100"))))))&gt;=66,(((_xlfn.XLOOKUP(Assessment!H8,Inherited!A:A,Inherited!B:B))/100)*(_xlfn.XLOOKUP(Assessment!H8,Inherited!A:A,Inherited!D:D)))+(((100-(_xlfn.XLOOKUP(Assessment!H8,Inherited!A:A,Inherited!B:B)))/100)*IF(Y7="1.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(100%)","100"))))))&lt;=89),"75",IF((((_xlfn.XLOOKUP(Assessment!H8,Inherited!A:A,Inherited!B:B))/100)*(_xlfn.XLOOKUP(Assessment!H8,Inherited!A:A,Inherited!D:D)))+(((100-(_xlfn.XLOOKUP(Assessment!H8,Inherited!A:A,Inherited!B:B)))/100)*IF(Y7="1. Non Compliant (0%)","0",IF(Y7="2. Somewhat Compliant (25%)","25",IF(Y7="3. Partially Compliant (50%)","50",IF(Y7="4. Mostly Compliant (75%)","75",IF(Y7="5. Fully Compliant (100%)","100"))))))&gt;=90,"100"))))))</f>
        <v>#N/A</v>
      </c>
      <c r="S7" s="1" t="e">
        <f>IF(MATCH(H7,Inherited!A:A),IF((((_xlfn.XLOOKUP(Assessment!H8,Inherited!A:A,Inherited!B:B))/100)*(_xlfn.XLOOKUP(Assessment!H8,Inherited!A:A,Inherited!E:E)))+(((100-(_xlfn.XLOOKUP(Assessment!H8,Inherited!A:A,Inherited!B:B)))/100)*IF(Z7="1.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(100%)","100"))))))&lt;=10,"0", IF(AND((((_xlfn.XLOOKUP(Assessment!H8,Inherited!A:A,Inherited!B:B))/100)*(_xlfn.XLOOKUP(Assessment!H8,Inherited!A:A,Inherited!E:E)))+(((100-(_xlfn.XLOOKUP(Assessment!H8,Inherited!A:A,Inherited!B:B)))/100)*IF(Z7="1.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(100%)","100"))))))&gt;=11,(((_xlfn.XLOOKUP(Assessment!H8,Inherited!A:A,Inherited!B:B))/100)*(_xlfn.XLOOKUP(Assessment!H8,Inherited!A:A,Inherited!E:E)))+(((100-(_xlfn.XLOOKUP(Assessment!H8,Inherited!A:A,Inherited!B:B)))/100)*IF(Z7="1.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(100%)","100"))))))&lt;=32),"25",IF(AND((((_xlfn.XLOOKUP(Assessment!H8,Inherited!A:A,Inherited!B:B))/100)*(_xlfn.XLOOKUP(Assessment!H8,Inherited!A:A,Inherited!E:E)))+(((100-(_xlfn.XLOOKUP(Assessment!H8,Inherited!A:A,Inherited!B:B)))/100)*IF(Z7="1.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(100%)","100"))))))&gt;=33,(((_xlfn.XLOOKUP(Assessment!H8,Inherited!A:A,Inherited!B:B))/100)*(_xlfn.XLOOKUP(Assessment!H8,Inherited!A:A,Inherited!E:E)))+(((100-(_xlfn.XLOOKUP(Assessment!H8,Inherited!A:A,Inherited!B:B)))/100)*IF(Z7="1.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(100%)","100"))))))&lt;=65),"50",IF(AND((((_xlfn.XLOOKUP(Assessment!H8,Inherited!A:A,Inherited!B:B))/100)*(_xlfn.XLOOKUP(Assessment!H8,Inherited!A:A,Inherited!E:E)))+(((100-(_xlfn.XLOOKUP(Assessment!H8,Inherited!A:A,Inherited!B:B)))/100)*IF(Z7="1.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(100%)","100"))))))&gt;=66,(((_xlfn.XLOOKUP(Assessment!H8,Inherited!A:A,Inherited!B:B))/100)*(_xlfn.XLOOKUP(Assessment!H8,Inherited!A:A,Inherited!E:E)))+(((100-(_xlfn.XLOOKUP(Assessment!H8,Inherited!A:A,Inherited!B:B)))/100)*IF(Z7="1.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(100%)","100"))))))&lt;=89),"75",IF((((_xlfn.XLOOKUP(Assessment!H8,Inherited!A:A,Inherited!B:B))/100)*(_xlfn.XLOOKUP(Assessment!H8,Inherited!A:A,Inherited!E:E)))+(((100-(_xlfn.XLOOKUP(Assessment!H8,Inherited!A:A,Inherited!B:B)))/100)*IF(Z7="1. Non Compliant (0%)","0",IF(Z7="2. Somewhat Compliant (25%)","25",IF(Z7="3. Partially Compliant (50%)","50",IF(Z7="4. Mostly Compliant (75%)","75",IF(Z7="5. Fully Compliant (100%)","100"))))))&gt;=90,"100"))))))</f>
        <v>#N/A</v>
      </c>
      <c r="T7" s="1" t="e">
        <f>IF(MATCH(H7,Inherited!A:A),IF((((_xlfn.XLOOKUP(Assessment!H8,Inherited!A:A,Inherited!B:B))/100)*(_xlfn.XLOOKUP(Assessment!H8,Inherited!A:A,Inherited!F:F)))+(((100-(_xlfn.XLOOKUP(Assessment!H8,Inherited!A:A,Inherited!B:B)))/100)*IF(AA7="1.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(100%)","100"))))))&lt;=10,"0", IF(AND((((_xlfn.XLOOKUP(Assessment!H8,Inherited!A:A,Inherited!B:B))/100)*(_xlfn.XLOOKUP(Assessment!H8,Inherited!A:A,Inherited!F:F)))+(((100-(_xlfn.XLOOKUP(Assessment!H8,Inherited!A:A,Inherited!B:B)))/100)*IF(AA7="1.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(100%)","100"))))))&gt;=11,(((_xlfn.XLOOKUP(Assessment!H8,Inherited!A:A,Inherited!B:B))/100)*(_xlfn.XLOOKUP(Assessment!H8,Inherited!A:A,Inherited!F:F)))+(((100-(_xlfn.XLOOKUP(Assessment!H8,Inherited!A:A,Inherited!B:B)))/100)*IF(AA7="1.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(100%)","100"))))))&lt;=32),"25",IF(AND((((_xlfn.XLOOKUP(Assessment!H8,Inherited!A:A,Inherited!B:B))/100)*(_xlfn.XLOOKUP(Assessment!H8,Inherited!A:A,Inherited!F:F)))+(((100-(_xlfn.XLOOKUP(Assessment!H8,Inherited!A:A,Inherited!B:B)))/100)*IF(AA7="1.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(100%)","100"))))))&gt;=33,(((_xlfn.XLOOKUP(Assessment!H8,Inherited!A:A,Inherited!B:B))/100)*(_xlfn.XLOOKUP(Assessment!H8,Inherited!A:A,Inherited!F:F)))+(((100-(_xlfn.XLOOKUP(Assessment!H8,Inherited!A:A,Inherited!B:B)))/100)*IF(AA7="1.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(100%)","100"))))))&lt;=65),"50",IF(AND((((_xlfn.XLOOKUP(Assessment!H8,Inherited!A:A,Inherited!B:B))/100)*(_xlfn.XLOOKUP(Assessment!H8,Inherited!A:A,Inherited!F:F)))+(((100-(_xlfn.XLOOKUP(Assessment!H8,Inherited!A:A,Inherited!B:B)))/100)*IF(AA7="1.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(100%)","100"))))))&gt;=66,(((_xlfn.XLOOKUP(Assessment!H8,Inherited!A:A,Inherited!B:B))/100)*(_xlfn.XLOOKUP(Assessment!H8,Inherited!A:A,Inherited!F:F)))+(((100-(_xlfn.XLOOKUP(Assessment!H8,Inherited!A:A,Inherited!B:B)))/100)*IF(AA7="1.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(100%)","100"))))))&lt;=89),"75",IF((((_xlfn.XLOOKUP(Assessment!H8,Inherited!A:A,Inherited!B:B))/100)*(_xlfn.XLOOKUP(Assessment!H8,Inherited!A:A,Inherited!F:F)))+(((100-(_xlfn.XLOOKUP(Assessment!H8,Inherited!A:A,Inherited!B:B)))/100)*IF(AA7="1. Non Compliant (0%)","0",IF(AA7="2. Somewhat Compliant (25%)","25",IF(AA7="3. Partially Compliant (50%)","50",IF(AA7="4. Mostly Compliant (75%)","75",IF(AA7="5. Fully Compliant (100%)","100"))))))&gt;=90,"100"))))))</f>
        <v>#N/A</v>
      </c>
      <c r="U7" s="1" t="e">
        <f>IF(MATCH(H7,Inherited!A:A),IF((((_xlfn.XLOOKUP(Assessment!H8,Inherited!A:A,Inherited!B:B))/100)*(_xlfn.XLOOKUP(Assessment!H8,Inherited!A:A,Inherited!G:G)))+(((100-(_xlfn.XLOOKUP(Assessment!H8,Inherited!A:A,Inherited!B:B)))/100)*IF(AB7="1.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(100%)","100"))))))&lt;=10,"0", IF(AND((((_xlfn.XLOOKUP(Assessment!H8,Inherited!A:A,Inherited!B:B))/100)*(_xlfn.XLOOKUP(Assessment!H8,Inherited!A:A,Inherited!G:G)))+(((100-(_xlfn.XLOOKUP(Assessment!H8,Inherited!A:A,Inherited!B:B)))/100)*IF(AB7="1.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(100%)","100"))))))&gt;=11,(((_xlfn.XLOOKUP(Assessment!H8,Inherited!A:A,Inherited!B:B))/100)*(_xlfn.XLOOKUP(Assessment!H8,Inherited!A:A,Inherited!G:G)))+(((100-(_xlfn.XLOOKUP(Assessment!H8,Inherited!A:A,Inherited!B:B)))/100)*IF(AB7="1.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(100%)","100"))))))&lt;=32),"25",IF(AND((((_xlfn.XLOOKUP(Assessment!H8,Inherited!A:A,Inherited!B:B))/100)*(_xlfn.XLOOKUP(Assessment!H8,Inherited!A:A,Inherited!G:G)))+(((100-(_xlfn.XLOOKUP(Assessment!H8,Inherited!A:A,Inherited!B:B)))/100)*IF(AB7="1.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(100%)","100"))))))&gt;=33,(((_xlfn.XLOOKUP(Assessment!H8,Inherited!A:A,Inherited!B:B))/100)*(_xlfn.XLOOKUP(Assessment!H8,Inherited!A:A,Inherited!G:G)))+(((100-(_xlfn.XLOOKUP(Assessment!H8,Inherited!A:A,Inherited!B:B)))/100)*IF(AB7="1.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(100%)","100"))))))&lt;=65),"50",IF(AND((((_xlfn.XLOOKUP(Assessment!H8,Inherited!A:A,Inherited!B:B))/100)*(_xlfn.XLOOKUP(Assessment!H8,Inherited!A:A,Inherited!G:G)))+(((100-(_xlfn.XLOOKUP(Assessment!H8,Inherited!A:A,Inherited!B:B)))/100)*IF(AB7="1.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(100%)","100"))))))&gt;=66,(((_xlfn.XLOOKUP(Assessment!H8,Inherited!A:A,Inherited!B:B))/100)*(_xlfn.XLOOKUP(Assessment!H8,Inherited!A:A,Inherited!G:G)))+(((100-(_xlfn.XLOOKUP(Assessment!H8,Inherited!A:A,Inherited!B:B)))/100)*IF(AB7="1.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(100%)","100"))))))&lt;=89),"75",IF((((_xlfn.XLOOKUP(Assessment!H8,Inherited!A:A,Inherited!B:B))/100)*(_xlfn.XLOOKUP(Assessment!H8,Inherited!A:A,Inherited!G:G)))+(((100-(_xlfn.XLOOKUP(Assessment!H8,Inherited!A:A,Inherited!B:B)))/100)*IF(AB7="1. Non Compliant (0%)","0",IF(AB7="2. Somewhat Compliant (25%)","25",IF(AB7="3. Partially Compliant (50%)","50",IF(AB7="4. Mostly Compliant (75%)","75",IF(AB7="5. Fully Compliant (100%)","100"))))))&gt;=90,"100"))))))</f>
        <v>#N/A</v>
      </c>
      <c r="V7" s="55" t="s">
        <v>85</v>
      </c>
      <c r="W7" s="55"/>
      <c r="X7" s="55"/>
      <c r="Y7" s="55"/>
      <c r="Z7" s="55" t="s">
        <v>10873</v>
      </c>
      <c r="AA7" s="55"/>
      <c r="AB7" s="55"/>
      <c r="AK7" s="1" t="s">
        <v>10978</v>
      </c>
      <c r="AL7" s="1" t="s">
        <v>10985</v>
      </c>
      <c r="AP7" s="1" t="s">
        <v>11054</v>
      </c>
      <c r="AX7" s="3" t="str">
        <f>_xlfn.CONCAT("A-LIGN finished its review of this control on ",AR7, " during the scheduled fieldwork window (",Intro!$B$4,")."&amp; CHAR(10)&amp; CHAR(10))</f>
        <v xml:space="preserve">A-LIGN finished its review of this control on  during the scheduled fieldwork window (Fieldwork: xx/xx/xxxx - xx/xx/xxxx).
</v>
      </c>
      <c r="AY7" s="3" t="str">
        <f t="shared" si="1"/>
        <v/>
      </c>
      <c r="AZ7" s="3" t="str">
        <f t="shared" si="2"/>
        <v/>
      </c>
      <c r="BA7" s="3" t="str">
        <f t="shared" si="3"/>
        <v/>
      </c>
      <c r="BB7" s="3" t="str">
        <f t="shared" si="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7" s="3" t="str">
        <f t="shared" si="5"/>
        <v/>
      </c>
      <c r="BD7" s="3" t="str">
        <f t="shared" si="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assesses the following risk criteria: nature and type of uncertainties that can affect outcomes and objectives (both tangible and intangible)
- assesses the following risk criteria: how consequences (both positive and negative) and likelihood will be defined and measured
- assesses the following risk criteria: time-related factors
- assesses the following risk criteria: consistency in the use of measurements
- assesses the following risk criteria: how the level of risk is to be determined
- assesses the following risk criteria: how combinations and sequences of multiple risks will be taken into account
- assesses the following risk criteria: the organization’s capacity
</v>
      </c>
      <c r="BE7" s="3" t="str">
        <f t="shared" si="7"/>
        <v/>
      </c>
      <c r="BF7" s="3" t="str">
        <f t="shared" si="8"/>
        <v/>
      </c>
      <c r="BG7" s="3" t="str">
        <f>_xlfn.CONCAT((IF((COUNTIF('Sample Tables'!B:B,"")&gt;0)=TRUE,_xlfn.CONCAT("",""),IF((COUNTIF('Sample Tables'!B:B,"")&gt;0)=FALSE,""))),)</f>
        <v/>
      </c>
      <c r="BH7" s="3" t="str">
        <f t="shared" si="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assesses the following risk criteria: nature and type of uncertainties that can affect outcomes and objectives (both tangible and intangible)
- assesses the following risk criteria: how consequences (both positive and negative) and likelihood will be defined and measured
- assesses the following risk criteria: time-related factors
- assesses the following risk criteria: consistency in the use of measurements
- assesses the following risk criteria: how the level of risk is to be determined
- assesses the following risk criteria: how combinations and sequences of multiple risks will be taken into account
- assesses the following risk criteria: the organization’s capacity
</v>
      </c>
    </row>
    <row r="8" spans="1:60" ht="409.5" x14ac:dyDescent="0.35">
      <c r="C8" s="1">
        <f t="shared" si="0"/>
        <v>0</v>
      </c>
      <c r="D8" s="5" t="str">
        <f>IF(AND((_xlfn.XLOOKUP(J8,'Fields &amp; Revisions'!$H:$H,'Fields &amp; Revisions'!$I:$I))&lt;70.99,(OR(Z8="4. Mostly Compliant (75%)",Z8="3. Partially Compliant (50%)",Z8="2. Somewhat Compliant (25%)",Z8="1. Non Compliant (0%)"))),"Yes","No")</f>
        <v>Yes</v>
      </c>
      <c r="E8" s="5" t="str">
        <f>IF(ISERROR(VLOOKUP(H8,Scope!A:A,1,FALSE)),"No","Yes")</f>
        <v>Yes</v>
      </c>
      <c r="F8" s="1" t="s">
        <v>90</v>
      </c>
      <c r="G8" s="53" t="s">
        <v>246</v>
      </c>
      <c r="H8" s="53" t="s">
        <v>247</v>
      </c>
      <c r="I8" s="5" t="s">
        <v>242</v>
      </c>
      <c r="J8" s="1" t="s">
        <v>226</v>
      </c>
      <c r="K8" s="54" t="s">
        <v>248</v>
      </c>
      <c r="L8" s="1" t="s">
        <v>249</v>
      </c>
      <c r="M8" s="1" t="s">
        <v>250</v>
      </c>
      <c r="N8" s="5" t="s">
        <v>98</v>
      </c>
      <c r="O8" s="1" t="str">
        <f>_xlfn.XLOOKUP(G8,SRMs!$A:$A,SRMs!$D:$D)</f>
        <v>NO INHERITANCE</v>
      </c>
      <c r="P8" s="1" t="str">
        <f>IFERROR(VLOOKUP(H8,Inherited!A:B,2,FALSE),"")</f>
        <v/>
      </c>
      <c r="Q8" s="1" t="e">
        <f>IF(MATCH(H8,Inherited!A:A),IF((((_xlfn.XLOOKUP(Assessment!H9,Inherited!A:A,Inherited!B:B))/100)*(_xlfn.XLOOKUP(Assessment!H9,Inherited!A:A,Inherited!C:C)))+(((100-(_xlfn.XLOOKUP(Assessment!H9,Inherited!A:A,Inherited!B:B)))/100)*IF(X8="1.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(100%)","100"))))))&lt;=10,"0", IF(AND((((_xlfn.XLOOKUP(Assessment!H9,Inherited!A:A,Inherited!B:B))/100)*(_xlfn.XLOOKUP(Assessment!H9,Inherited!A:A,Inherited!C:C)))+(((100-(_xlfn.XLOOKUP(Assessment!H9,Inherited!A:A,Inherited!B:B)))/100)*IF(X8="1.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(100%)","100"))))))&gt;=11,(((_xlfn.XLOOKUP(Assessment!H9,Inherited!A:A,Inherited!B:B))/100)*(_xlfn.XLOOKUP(Assessment!H9,Inherited!A:A,Inherited!C:C)))+(((100-(_xlfn.XLOOKUP(Assessment!H9,Inherited!A:A,Inherited!B:B)))/100)*IF(X8="1.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(100%)","100"))))))&lt;=32),"25",IF(AND((((_xlfn.XLOOKUP(Assessment!H9,Inherited!A:A,Inherited!B:B))/100)*(_xlfn.XLOOKUP(Assessment!H9,Inherited!A:A,Inherited!C:C)))+(((100-(_xlfn.XLOOKUP(Assessment!H9,Inherited!A:A,Inherited!B:B)))/100)*IF(X8="1.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(100%)","100"))))))&gt;=33,(((_xlfn.XLOOKUP(Assessment!H9,Inherited!A:A,Inherited!B:B))/100)*(_xlfn.XLOOKUP(Assessment!H9,Inherited!A:A,Inherited!C:C)))+(((100-(_xlfn.XLOOKUP(Assessment!H9,Inherited!A:A,Inherited!B:B)))/100)*IF(X8="1.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(100%)","100"))))))&lt;=65),"50",IF(AND((((_xlfn.XLOOKUP(Assessment!H9,Inherited!A:A,Inherited!B:B))/100)*(_xlfn.XLOOKUP(Assessment!H9,Inherited!A:A,Inherited!C:C)))+(((100-(_xlfn.XLOOKUP(Assessment!H9,Inherited!A:A,Inherited!B:B)))/100)*IF(X8="1.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(100%)","100"))))))&gt;=66,(((_xlfn.XLOOKUP(Assessment!H9,Inherited!A:A,Inherited!B:B))/100)*(_xlfn.XLOOKUP(Assessment!H9,Inherited!A:A,Inherited!C:C)))+(((100-(_xlfn.XLOOKUP(Assessment!H9,Inherited!A:A,Inherited!B:B)))/100)*IF(X8="1.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(100%)","100"))))))&lt;=89),"75",IF((((_xlfn.XLOOKUP(Assessment!H9,Inherited!A:A,Inherited!B:B))/100)*(_xlfn.XLOOKUP(Assessment!H9,Inherited!A:A,Inherited!C:C)))+(((100-(_xlfn.XLOOKUP(Assessment!H9,Inherited!A:A,Inherited!B:B)))/100)*IF(X8="1. Non Compliant (0%)","0",IF(X8="2. Somewhat Compliant (25%)","25",IF(X8="3. Partially Compliant (50%)","50",IF(X8="4. Mostly Compliant (75%)","75",IF(X8="5. Fully Compliant (100%)","100"))))))&gt;=90,"100"))))))</f>
        <v>#N/A</v>
      </c>
      <c r="R8" s="1" t="e">
        <f>IF(MATCH(H8,Inherited!A:A),IF((((_xlfn.XLOOKUP(Assessment!H9,Inherited!A:A,Inherited!B:B))/100)*(_xlfn.XLOOKUP(Assessment!H9,Inherited!A:A,Inherited!D:D)))+(((100-(_xlfn.XLOOKUP(Assessment!H9,Inherited!A:A,Inherited!B:B)))/100)*IF(Y8="1.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(100%)","100"))))))&lt;=10,"0", IF(AND((((_xlfn.XLOOKUP(Assessment!H9,Inherited!A:A,Inherited!B:B))/100)*(_xlfn.XLOOKUP(Assessment!H9,Inherited!A:A,Inherited!D:D)))+(((100-(_xlfn.XLOOKUP(Assessment!H9,Inherited!A:A,Inherited!B:B)))/100)*IF(Y8="1.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(100%)","100"))))))&gt;=11,(((_xlfn.XLOOKUP(Assessment!H9,Inherited!A:A,Inherited!B:B))/100)*(_xlfn.XLOOKUP(Assessment!H9,Inherited!A:A,Inherited!D:D)))+(((100-(_xlfn.XLOOKUP(Assessment!H9,Inherited!A:A,Inherited!B:B)))/100)*IF(Y8="1.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(100%)","100"))))))&lt;=32),"25",IF(AND((((_xlfn.XLOOKUP(Assessment!H9,Inherited!A:A,Inherited!B:B))/100)*(_xlfn.XLOOKUP(Assessment!H9,Inherited!A:A,Inherited!D:D)))+(((100-(_xlfn.XLOOKUP(Assessment!H9,Inherited!A:A,Inherited!B:B)))/100)*IF(Y8="1.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(100%)","100"))))))&gt;=33,(((_xlfn.XLOOKUP(Assessment!H9,Inherited!A:A,Inherited!B:B))/100)*(_xlfn.XLOOKUP(Assessment!H9,Inherited!A:A,Inherited!D:D)))+(((100-(_xlfn.XLOOKUP(Assessment!H9,Inherited!A:A,Inherited!B:B)))/100)*IF(Y8="1.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(100%)","100"))))))&lt;=65),"50",IF(AND((((_xlfn.XLOOKUP(Assessment!H9,Inherited!A:A,Inherited!B:B))/100)*(_xlfn.XLOOKUP(Assessment!H9,Inherited!A:A,Inherited!D:D)))+(((100-(_xlfn.XLOOKUP(Assessment!H9,Inherited!A:A,Inherited!B:B)))/100)*IF(Y8="1.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(100%)","100"))))))&gt;=66,(((_xlfn.XLOOKUP(Assessment!H9,Inherited!A:A,Inherited!B:B))/100)*(_xlfn.XLOOKUP(Assessment!H9,Inherited!A:A,Inherited!D:D)))+(((100-(_xlfn.XLOOKUP(Assessment!H9,Inherited!A:A,Inherited!B:B)))/100)*IF(Y8="1.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(100%)","100"))))))&lt;=89),"75",IF((((_xlfn.XLOOKUP(Assessment!H9,Inherited!A:A,Inherited!B:B))/100)*(_xlfn.XLOOKUP(Assessment!H9,Inherited!A:A,Inherited!D:D)))+(((100-(_xlfn.XLOOKUP(Assessment!H9,Inherited!A:A,Inherited!B:B)))/100)*IF(Y8="1. Non Compliant (0%)","0",IF(Y8="2. Somewhat Compliant (25%)","25",IF(Y8="3. Partially Compliant (50%)","50",IF(Y8="4. Mostly Compliant (75%)","75",IF(Y8="5. Fully Compliant (100%)","100"))))))&gt;=90,"100"))))))</f>
        <v>#N/A</v>
      </c>
      <c r="S8" s="1" t="e">
        <f>IF(MATCH(H8,Inherited!A:A),IF((((_xlfn.XLOOKUP(Assessment!H9,Inherited!A:A,Inherited!B:B))/100)*(_xlfn.XLOOKUP(Assessment!H9,Inherited!A:A,Inherited!E:E)))+(((100-(_xlfn.XLOOKUP(Assessment!H9,Inherited!A:A,Inherited!B:B)))/100)*IF(Z8="1.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(100%)","100"))))))&lt;=10,"0", IF(AND((((_xlfn.XLOOKUP(Assessment!H9,Inherited!A:A,Inherited!B:B))/100)*(_xlfn.XLOOKUP(Assessment!H9,Inherited!A:A,Inherited!E:E)))+(((100-(_xlfn.XLOOKUP(Assessment!H9,Inherited!A:A,Inherited!B:B)))/100)*IF(Z8="1.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(100%)","100"))))))&gt;=11,(((_xlfn.XLOOKUP(Assessment!H9,Inherited!A:A,Inherited!B:B))/100)*(_xlfn.XLOOKUP(Assessment!H9,Inherited!A:A,Inherited!E:E)))+(((100-(_xlfn.XLOOKUP(Assessment!H9,Inherited!A:A,Inherited!B:B)))/100)*IF(Z8="1.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(100%)","100"))))))&lt;=32),"25",IF(AND((((_xlfn.XLOOKUP(Assessment!H9,Inherited!A:A,Inherited!B:B))/100)*(_xlfn.XLOOKUP(Assessment!H9,Inherited!A:A,Inherited!E:E)))+(((100-(_xlfn.XLOOKUP(Assessment!H9,Inherited!A:A,Inherited!B:B)))/100)*IF(Z8="1.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(100%)","100"))))))&gt;=33,(((_xlfn.XLOOKUP(Assessment!H9,Inherited!A:A,Inherited!B:B))/100)*(_xlfn.XLOOKUP(Assessment!H9,Inherited!A:A,Inherited!E:E)))+(((100-(_xlfn.XLOOKUP(Assessment!H9,Inherited!A:A,Inherited!B:B)))/100)*IF(Z8="1.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(100%)","100"))))))&lt;=65),"50",IF(AND((((_xlfn.XLOOKUP(Assessment!H9,Inherited!A:A,Inherited!B:B))/100)*(_xlfn.XLOOKUP(Assessment!H9,Inherited!A:A,Inherited!E:E)))+(((100-(_xlfn.XLOOKUP(Assessment!H9,Inherited!A:A,Inherited!B:B)))/100)*IF(Z8="1.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(100%)","100"))))))&gt;=66,(((_xlfn.XLOOKUP(Assessment!H9,Inherited!A:A,Inherited!B:B))/100)*(_xlfn.XLOOKUP(Assessment!H9,Inherited!A:A,Inherited!E:E)))+(((100-(_xlfn.XLOOKUP(Assessment!H9,Inherited!A:A,Inherited!B:B)))/100)*IF(Z8="1.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(100%)","100"))))))&lt;=89),"75",IF((((_xlfn.XLOOKUP(Assessment!H9,Inherited!A:A,Inherited!B:B))/100)*(_xlfn.XLOOKUP(Assessment!H9,Inherited!A:A,Inherited!E:E)))+(((100-(_xlfn.XLOOKUP(Assessment!H9,Inherited!A:A,Inherited!B:B)))/100)*IF(Z8="1. Non Compliant (0%)","0",IF(Z8="2. Somewhat Compliant (25%)","25",IF(Z8="3. Partially Compliant (50%)","50",IF(Z8="4. Mostly Compliant (75%)","75",IF(Z8="5. Fully Compliant (100%)","100"))))))&gt;=90,"100"))))))</f>
        <v>#N/A</v>
      </c>
      <c r="T8" s="1" t="e">
        <f>IF(MATCH(H8,Inherited!A:A),IF((((_xlfn.XLOOKUP(Assessment!H9,Inherited!A:A,Inherited!B:B))/100)*(_xlfn.XLOOKUP(Assessment!H9,Inherited!A:A,Inherited!F:F)))+(((100-(_xlfn.XLOOKUP(Assessment!H9,Inherited!A:A,Inherited!B:B)))/100)*IF(AA8="1.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(100%)","100"))))))&lt;=10,"0", IF(AND((((_xlfn.XLOOKUP(Assessment!H9,Inherited!A:A,Inherited!B:B))/100)*(_xlfn.XLOOKUP(Assessment!H9,Inherited!A:A,Inherited!F:F)))+(((100-(_xlfn.XLOOKUP(Assessment!H9,Inherited!A:A,Inherited!B:B)))/100)*IF(AA8="1.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(100%)","100"))))))&gt;=11,(((_xlfn.XLOOKUP(Assessment!H9,Inherited!A:A,Inherited!B:B))/100)*(_xlfn.XLOOKUP(Assessment!H9,Inherited!A:A,Inherited!F:F)))+(((100-(_xlfn.XLOOKUP(Assessment!H9,Inherited!A:A,Inherited!B:B)))/100)*IF(AA8="1.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(100%)","100"))))))&lt;=32),"25",IF(AND((((_xlfn.XLOOKUP(Assessment!H9,Inherited!A:A,Inherited!B:B))/100)*(_xlfn.XLOOKUP(Assessment!H9,Inherited!A:A,Inherited!F:F)))+(((100-(_xlfn.XLOOKUP(Assessment!H9,Inherited!A:A,Inherited!B:B)))/100)*IF(AA8="1.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(100%)","100"))))))&gt;=33,(((_xlfn.XLOOKUP(Assessment!H9,Inherited!A:A,Inherited!B:B))/100)*(_xlfn.XLOOKUP(Assessment!H9,Inherited!A:A,Inherited!F:F)))+(((100-(_xlfn.XLOOKUP(Assessment!H9,Inherited!A:A,Inherited!B:B)))/100)*IF(AA8="1.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(100%)","100"))))))&lt;=65),"50",IF(AND((((_xlfn.XLOOKUP(Assessment!H9,Inherited!A:A,Inherited!B:B))/100)*(_xlfn.XLOOKUP(Assessment!H9,Inherited!A:A,Inherited!F:F)))+(((100-(_xlfn.XLOOKUP(Assessment!H9,Inherited!A:A,Inherited!B:B)))/100)*IF(AA8="1.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(100%)","100"))))))&gt;=66,(((_xlfn.XLOOKUP(Assessment!H9,Inherited!A:A,Inherited!B:B))/100)*(_xlfn.XLOOKUP(Assessment!H9,Inherited!A:A,Inherited!F:F)))+(((100-(_xlfn.XLOOKUP(Assessment!H9,Inherited!A:A,Inherited!B:B)))/100)*IF(AA8="1.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(100%)","100"))))))&lt;=89),"75",IF((((_xlfn.XLOOKUP(Assessment!H9,Inherited!A:A,Inherited!B:B))/100)*(_xlfn.XLOOKUP(Assessment!H9,Inherited!A:A,Inherited!F:F)))+(((100-(_xlfn.XLOOKUP(Assessment!H9,Inherited!A:A,Inherited!B:B)))/100)*IF(AA8="1. Non Compliant (0%)","0",IF(AA8="2. Somewhat Compliant (25%)","25",IF(AA8="3. Partially Compliant (50%)","50",IF(AA8="4. Mostly Compliant (75%)","75",IF(AA8="5. Fully Compliant (100%)","100"))))))&gt;=90,"100"))))))</f>
        <v>#N/A</v>
      </c>
      <c r="U8" s="1" t="e">
        <f>IF(MATCH(H8,Inherited!A:A),IF((((_xlfn.XLOOKUP(Assessment!H9,Inherited!A:A,Inherited!B:B))/100)*(_xlfn.XLOOKUP(Assessment!H9,Inherited!A:A,Inherited!G:G)))+(((100-(_xlfn.XLOOKUP(Assessment!H9,Inherited!A:A,Inherited!B:B)))/100)*IF(AB8="1.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(100%)","100"))))))&lt;=10,"0", IF(AND((((_xlfn.XLOOKUP(Assessment!H9,Inherited!A:A,Inherited!B:B))/100)*(_xlfn.XLOOKUP(Assessment!H9,Inherited!A:A,Inherited!G:G)))+(((100-(_xlfn.XLOOKUP(Assessment!H9,Inherited!A:A,Inherited!B:B)))/100)*IF(AB8="1.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(100%)","100"))))))&gt;=11,(((_xlfn.XLOOKUP(Assessment!H9,Inherited!A:A,Inherited!B:B))/100)*(_xlfn.XLOOKUP(Assessment!H9,Inherited!A:A,Inherited!G:G)))+(((100-(_xlfn.XLOOKUP(Assessment!H9,Inherited!A:A,Inherited!B:B)))/100)*IF(AB8="1.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(100%)","100"))))))&lt;=32),"25",IF(AND((((_xlfn.XLOOKUP(Assessment!H9,Inherited!A:A,Inherited!B:B))/100)*(_xlfn.XLOOKUP(Assessment!H9,Inherited!A:A,Inherited!G:G)))+(((100-(_xlfn.XLOOKUP(Assessment!H9,Inherited!A:A,Inherited!B:B)))/100)*IF(AB8="1.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(100%)","100"))))))&gt;=33,(((_xlfn.XLOOKUP(Assessment!H9,Inherited!A:A,Inherited!B:B))/100)*(_xlfn.XLOOKUP(Assessment!H9,Inherited!A:A,Inherited!G:G)))+(((100-(_xlfn.XLOOKUP(Assessment!H9,Inherited!A:A,Inherited!B:B)))/100)*IF(AB8="1.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(100%)","100"))))))&lt;=65),"50",IF(AND((((_xlfn.XLOOKUP(Assessment!H9,Inherited!A:A,Inherited!B:B))/100)*(_xlfn.XLOOKUP(Assessment!H9,Inherited!A:A,Inherited!G:G)))+(((100-(_xlfn.XLOOKUP(Assessment!H9,Inherited!A:A,Inherited!B:B)))/100)*IF(AB8="1.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(100%)","100"))))))&gt;=66,(((_xlfn.XLOOKUP(Assessment!H9,Inherited!A:A,Inherited!B:B))/100)*(_xlfn.XLOOKUP(Assessment!H9,Inherited!A:A,Inherited!G:G)))+(((100-(_xlfn.XLOOKUP(Assessment!H9,Inherited!A:A,Inherited!B:B)))/100)*IF(AB8="1.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(100%)","100"))))))&lt;=89),"75",IF((((_xlfn.XLOOKUP(Assessment!H9,Inherited!A:A,Inherited!B:B))/100)*(_xlfn.XLOOKUP(Assessment!H9,Inherited!A:A,Inherited!G:G)))+(((100-(_xlfn.XLOOKUP(Assessment!H9,Inherited!A:A,Inherited!B:B)))/100)*IF(AB8="1. Non Compliant (0%)","0",IF(AB8="2. Somewhat Compliant (25%)","25",IF(AB8="3. Partially Compliant (50%)","50",IF(AB8="4. Mostly Compliant (75%)","75",IF(AB8="5. Fully Compliant (100%)","100"))))))&gt;=90,"100"))))))</f>
        <v>#N/A</v>
      </c>
      <c r="V8" s="55" t="s">
        <v>85</v>
      </c>
      <c r="W8" s="55"/>
      <c r="X8" s="55"/>
      <c r="Y8" s="55"/>
      <c r="Z8" s="55" t="s">
        <v>10873</v>
      </c>
      <c r="AA8" s="55"/>
      <c r="AB8" s="55"/>
      <c r="AK8" s="1" t="s">
        <v>10978</v>
      </c>
      <c r="AL8" s="1" t="s">
        <v>10985</v>
      </c>
      <c r="AP8" s="1" t="s">
        <v>11055</v>
      </c>
      <c r="AX8" s="3" t="str">
        <f>_xlfn.CONCAT("A-LIGN finished its review of this control on ",AR8, " during the scheduled fieldwork window (",Intro!$B$4,")."&amp; CHAR(10)&amp; CHAR(10))</f>
        <v xml:space="preserve">A-LIGN finished its review of this control on  during the scheduled fieldwork window (Fieldwork: xx/xx/xxxx - xx/xx/xxxx).
</v>
      </c>
      <c r="AY8" s="3" t="str">
        <f t="shared" si="1"/>
        <v/>
      </c>
      <c r="AZ8" s="3" t="str">
        <f t="shared" si="2"/>
        <v/>
      </c>
      <c r="BA8" s="3" t="str">
        <f t="shared" si="3"/>
        <v/>
      </c>
      <c r="BB8" s="3" t="str">
        <f t="shared" si="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8" s="3" t="str">
        <f t="shared" si="5"/>
        <v/>
      </c>
      <c r="BD8" s="3" t="str">
        <f t="shared" si="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assesses the following risk criteria: tangible and intangible sources of risk
- assesses the following risk criteria: causes and events
- assesses the following risk criteria: time-related factors
- assesses the following risk criteria: changes in the external and internal context
- assesses the following risk criteria: how the level of risk is to be determined
- assesses the following risk criteria: how combinations and sequences of multiple risks will be taken into account
- assesses the following risk criteria: the organization’s capacity
- assesses the following risk criteria: threats and opportunities
- assesses the following risk criteria: vulnerabilities and capabilities
- assesses the following risk criteria: the nature and value of assets and resources
- assesses the following risk criteria: consequences and their impact on objectives
- assesses the following risk criteria: indicators of emerging risks
- assesses the following risk criteria: limitations of knowledge and reliability of information
- assesses the following risk criteria: biases, assumptions and beliefs of those involved
</v>
      </c>
      <c r="BE8" s="3" t="str">
        <f t="shared" si="7"/>
        <v/>
      </c>
      <c r="BF8" s="3" t="str">
        <f t="shared" si="8"/>
        <v/>
      </c>
      <c r="BG8" s="3" t="str">
        <f>_xlfn.CONCAT((IF((COUNTIF('Sample Tables'!B:B,"")&gt;0)=TRUE,_xlfn.CONCAT("",""),IF((COUNTIF('Sample Tables'!B:B,"")&gt;0)=FALSE,""))),)</f>
        <v/>
      </c>
      <c r="BH8" s="3" t="str">
        <f t="shared" si="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assesses the following risk criteria: tangible and intangible sources of risk
- assesses the following risk criteria: causes and events
- assesses the following risk criteria: time-related factors
- assesses the following risk criteria: changes in the external and internal context
- assesses the following risk criteria: how the level of risk is to be determined
- assesses the following risk criteria: how combinations and sequences of multiple risks will be taken into account
- assesses the following risk criteria: the organization’s capacity
- assesses the following risk criteria: threats and opportunities
- assesses the following risk criteria: vulnerabilities and capabilities
- assesses the following risk criteria: the nature and value of assets and resources
- assesses the following risk criteria: consequences and their impact on objectives
- assesses the following risk criteria: indicators of emerging risks
- assesses the following risk criteria: limitations of knowledge and reliability of information
- assesses the following risk criteria: biases, assumptions and beliefs of those involved
</v>
      </c>
    </row>
    <row r="9" spans="1:60" ht="357" customHeight="1" x14ac:dyDescent="0.35">
      <c r="C9" s="1">
        <f t="shared" si="0"/>
        <v>0</v>
      </c>
      <c r="D9" s="5" t="str">
        <f>IF(AND((_xlfn.XLOOKUP(J9,'Fields &amp; Revisions'!$H:$H,'Fields &amp; Revisions'!$I:$I))&lt;70.99,(OR(Z9="4. Mostly Compliant (75%)",Z9="3. Partially Compliant (50%)",Z9="2. Somewhat Compliant (25%)",Z9="1. Non Compliant (0%)"))),"Yes","No")</f>
        <v>Yes</v>
      </c>
      <c r="E9" s="5" t="str">
        <f>IF(ISERROR(VLOOKUP(H9,Scope!A:A,1,FALSE)),"No","Yes")</f>
        <v>Yes</v>
      </c>
      <c r="F9" s="1" t="s">
        <v>90</v>
      </c>
      <c r="G9" s="53" t="s">
        <v>251</v>
      </c>
      <c r="H9" s="53" t="s">
        <v>252</v>
      </c>
      <c r="I9" s="5" t="s">
        <v>242</v>
      </c>
      <c r="J9" s="1" t="s">
        <v>226</v>
      </c>
      <c r="K9" s="54" t="s">
        <v>253</v>
      </c>
      <c r="L9" s="1" t="s">
        <v>254</v>
      </c>
      <c r="M9" s="1" t="s">
        <v>255</v>
      </c>
      <c r="N9" s="5" t="s">
        <v>98</v>
      </c>
      <c r="O9" s="1" t="str">
        <f>_xlfn.XLOOKUP(G9,SRMs!$A:$A,SRMs!$D:$D)</f>
        <v>NO INHERITANCE</v>
      </c>
      <c r="P9" s="1" t="str">
        <f>IFERROR(VLOOKUP(H9,Inherited!A:B,2,FALSE),"")</f>
        <v/>
      </c>
      <c r="Q9" s="1" t="e">
        <f>IF(MATCH(H9,Inherited!A:A),IF((((_xlfn.XLOOKUP(Assessment!#REF!,Inherited!A:A,Inherited!B:B))/100)*(_xlfn.XLOOKUP(Assessment!#REF!,Inherited!A:A,Inherited!C:C)))+(((100-(_xlfn.XLOOKUP(Assessment!#REF!,Inherited!A:A,Inherited!B:B)))/100)*IF(X9="1.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(100%)","100"))))))&lt;=10,"0", IF(AND((((_xlfn.XLOOKUP(Assessment!#REF!,Inherited!A:A,Inherited!B:B))/100)*(_xlfn.XLOOKUP(Assessment!#REF!,Inherited!A:A,Inherited!C:C)))+(((100-(_xlfn.XLOOKUP(Assessment!#REF!,Inherited!A:A,Inherited!B:B)))/100)*IF(X9="1.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(100%)","100"))))))&gt;=11,(((_xlfn.XLOOKUP(Assessment!#REF!,Inherited!A:A,Inherited!B:B))/100)*(_xlfn.XLOOKUP(Assessment!#REF!,Inherited!A:A,Inherited!C:C)))+(((100-(_xlfn.XLOOKUP(Assessment!#REF!,Inherited!A:A,Inherited!B:B)))/100)*IF(X9="1.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(100%)","100"))))))&lt;=32),"25",IF(AND((((_xlfn.XLOOKUP(Assessment!#REF!,Inherited!A:A,Inherited!B:B))/100)*(_xlfn.XLOOKUP(Assessment!#REF!,Inherited!A:A,Inherited!C:C)))+(((100-(_xlfn.XLOOKUP(Assessment!#REF!,Inherited!A:A,Inherited!B:B)))/100)*IF(X9="1.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(100%)","100"))))))&gt;=33,(((_xlfn.XLOOKUP(Assessment!#REF!,Inherited!A:A,Inherited!B:B))/100)*(_xlfn.XLOOKUP(Assessment!#REF!,Inherited!A:A,Inherited!C:C)))+(((100-(_xlfn.XLOOKUP(Assessment!#REF!,Inherited!A:A,Inherited!B:B)))/100)*IF(X9="1.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(100%)","100"))))))&lt;=65),"50",IF(AND((((_xlfn.XLOOKUP(Assessment!#REF!,Inherited!A:A,Inherited!B:B))/100)*(_xlfn.XLOOKUP(Assessment!#REF!,Inherited!A:A,Inherited!C:C)))+(((100-(_xlfn.XLOOKUP(Assessment!#REF!,Inherited!A:A,Inherited!B:B)))/100)*IF(X9="1.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(100%)","100"))))))&gt;=66,(((_xlfn.XLOOKUP(Assessment!#REF!,Inherited!A:A,Inherited!B:B))/100)*(_xlfn.XLOOKUP(Assessment!#REF!,Inherited!A:A,Inherited!C:C)))+(((100-(_xlfn.XLOOKUP(Assessment!#REF!,Inherited!A:A,Inherited!B:B)))/100)*IF(X9="1.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(100%)","100"))))))&lt;=89),"75",IF((((_xlfn.XLOOKUP(Assessment!#REF!,Inherited!A:A,Inherited!B:B))/100)*(_xlfn.XLOOKUP(Assessment!#REF!,Inherited!A:A,Inherited!C:C)))+(((100-(_xlfn.XLOOKUP(Assessment!#REF!,Inherited!A:A,Inherited!B:B)))/100)*IF(X9="1. Non Compliant (0%)","0",IF(X9="2. Somewhat Compliant (25%)","25",IF(X9="3. Partially Compliant (50%)","50",IF(X9="4. Mostly Compliant (75%)","75",IF(X9="5. Fully Compliant (100%)","100"))))))&gt;=90,"100"))))))</f>
        <v>#N/A</v>
      </c>
      <c r="R9" s="1" t="e">
        <f>IF(MATCH(H9,Inherited!A:A),IF((((_xlfn.XLOOKUP(Assessment!#REF!,Inherited!A:A,Inherited!B:B))/100)*(_xlfn.XLOOKUP(Assessment!#REF!,Inherited!A:A,Inherited!D:D)))+(((100-(_xlfn.XLOOKUP(Assessment!#REF!,Inherited!A:A,Inherited!B:B)))/100)*IF(Y9="1.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(100%)","100"))))))&lt;=10,"0", IF(AND((((_xlfn.XLOOKUP(Assessment!#REF!,Inherited!A:A,Inherited!B:B))/100)*(_xlfn.XLOOKUP(Assessment!#REF!,Inherited!A:A,Inherited!D:D)))+(((100-(_xlfn.XLOOKUP(Assessment!#REF!,Inherited!A:A,Inherited!B:B)))/100)*IF(Y9="1.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(100%)","100"))))))&gt;=11,(((_xlfn.XLOOKUP(Assessment!#REF!,Inherited!A:A,Inherited!B:B))/100)*(_xlfn.XLOOKUP(Assessment!#REF!,Inherited!A:A,Inherited!D:D)))+(((100-(_xlfn.XLOOKUP(Assessment!#REF!,Inherited!A:A,Inherited!B:B)))/100)*IF(Y9="1.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(100%)","100"))))))&lt;=32),"25",IF(AND((((_xlfn.XLOOKUP(Assessment!#REF!,Inherited!A:A,Inherited!B:B))/100)*(_xlfn.XLOOKUP(Assessment!#REF!,Inherited!A:A,Inherited!D:D)))+(((100-(_xlfn.XLOOKUP(Assessment!#REF!,Inherited!A:A,Inherited!B:B)))/100)*IF(Y9="1.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(100%)","100"))))))&gt;=33,(((_xlfn.XLOOKUP(Assessment!#REF!,Inherited!A:A,Inherited!B:B))/100)*(_xlfn.XLOOKUP(Assessment!#REF!,Inherited!A:A,Inherited!D:D)))+(((100-(_xlfn.XLOOKUP(Assessment!#REF!,Inherited!A:A,Inherited!B:B)))/100)*IF(Y9="1.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(100%)","100"))))))&lt;=65),"50",IF(AND((((_xlfn.XLOOKUP(Assessment!#REF!,Inherited!A:A,Inherited!B:B))/100)*(_xlfn.XLOOKUP(Assessment!#REF!,Inherited!A:A,Inherited!D:D)))+(((100-(_xlfn.XLOOKUP(Assessment!#REF!,Inherited!A:A,Inherited!B:B)))/100)*IF(Y9="1.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(100%)","100"))))))&gt;=66,(((_xlfn.XLOOKUP(Assessment!#REF!,Inherited!A:A,Inherited!B:B))/100)*(_xlfn.XLOOKUP(Assessment!#REF!,Inherited!A:A,Inherited!D:D)))+(((100-(_xlfn.XLOOKUP(Assessment!#REF!,Inherited!A:A,Inherited!B:B)))/100)*IF(Y9="1.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(100%)","100"))))))&lt;=89),"75",IF((((_xlfn.XLOOKUP(Assessment!#REF!,Inherited!A:A,Inherited!B:B))/100)*(_xlfn.XLOOKUP(Assessment!#REF!,Inherited!A:A,Inherited!D:D)))+(((100-(_xlfn.XLOOKUP(Assessment!#REF!,Inherited!A:A,Inherited!B:B)))/100)*IF(Y9="1. Non Compliant (0%)","0",IF(Y9="2. Somewhat Compliant (25%)","25",IF(Y9="3. Partially Compliant (50%)","50",IF(Y9="4. Mostly Compliant (75%)","75",IF(Y9="5. Fully Compliant (100%)","100"))))))&gt;=90,"100"))))))</f>
        <v>#N/A</v>
      </c>
      <c r="S9" s="1" t="e">
        <f>IF(MATCH(H9,Inherited!A:A),IF((((_xlfn.XLOOKUP(Assessment!#REF!,Inherited!A:A,Inherited!B:B))/100)*(_xlfn.XLOOKUP(Assessment!#REF!,Inherited!A:A,Inherited!E:E)))+(((100-(_xlfn.XLOOKUP(Assessment!#REF!,Inherited!A:A,Inherited!B:B)))/100)*IF(Z9="1.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(100%)","100"))))))&lt;=10,"0", IF(AND((((_xlfn.XLOOKUP(Assessment!#REF!,Inherited!A:A,Inherited!B:B))/100)*(_xlfn.XLOOKUP(Assessment!#REF!,Inherited!A:A,Inherited!E:E)))+(((100-(_xlfn.XLOOKUP(Assessment!#REF!,Inherited!A:A,Inherited!B:B)))/100)*IF(Z9="1.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(100%)","100"))))))&gt;=11,(((_xlfn.XLOOKUP(Assessment!#REF!,Inherited!A:A,Inherited!B:B))/100)*(_xlfn.XLOOKUP(Assessment!#REF!,Inherited!A:A,Inherited!E:E)))+(((100-(_xlfn.XLOOKUP(Assessment!#REF!,Inherited!A:A,Inherited!B:B)))/100)*IF(Z9="1.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(100%)","100"))))))&lt;=32),"25",IF(AND((((_xlfn.XLOOKUP(Assessment!#REF!,Inherited!A:A,Inherited!B:B))/100)*(_xlfn.XLOOKUP(Assessment!#REF!,Inherited!A:A,Inherited!E:E)))+(((100-(_xlfn.XLOOKUP(Assessment!#REF!,Inherited!A:A,Inherited!B:B)))/100)*IF(Z9="1.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(100%)","100"))))))&gt;=33,(((_xlfn.XLOOKUP(Assessment!#REF!,Inherited!A:A,Inherited!B:B))/100)*(_xlfn.XLOOKUP(Assessment!#REF!,Inherited!A:A,Inherited!E:E)))+(((100-(_xlfn.XLOOKUP(Assessment!#REF!,Inherited!A:A,Inherited!B:B)))/100)*IF(Z9="1.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(100%)","100"))))))&lt;=65),"50",IF(AND((((_xlfn.XLOOKUP(Assessment!#REF!,Inherited!A:A,Inherited!B:B))/100)*(_xlfn.XLOOKUP(Assessment!#REF!,Inherited!A:A,Inherited!E:E)))+(((100-(_xlfn.XLOOKUP(Assessment!#REF!,Inherited!A:A,Inherited!B:B)))/100)*IF(Z9="1.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(100%)","100"))))))&gt;=66,(((_xlfn.XLOOKUP(Assessment!#REF!,Inherited!A:A,Inherited!B:B))/100)*(_xlfn.XLOOKUP(Assessment!#REF!,Inherited!A:A,Inherited!E:E)))+(((100-(_xlfn.XLOOKUP(Assessment!#REF!,Inherited!A:A,Inherited!B:B)))/100)*IF(Z9="1.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(100%)","100"))))))&lt;=89),"75",IF((((_xlfn.XLOOKUP(Assessment!#REF!,Inherited!A:A,Inherited!B:B))/100)*(_xlfn.XLOOKUP(Assessment!#REF!,Inherited!A:A,Inherited!E:E)))+(((100-(_xlfn.XLOOKUP(Assessment!#REF!,Inherited!A:A,Inherited!B:B)))/100)*IF(Z9="1. Non Compliant (0%)","0",IF(Z9="2. Somewhat Compliant (25%)","25",IF(Z9="3. Partially Compliant (50%)","50",IF(Z9="4. Mostly Compliant (75%)","75",IF(Z9="5. Fully Compliant (100%)","100"))))))&gt;=90,"100"))))))</f>
        <v>#N/A</v>
      </c>
      <c r="T9" s="1" t="e">
        <f>IF(MATCH(H9,Inherited!A:A),IF((((_xlfn.XLOOKUP(Assessment!#REF!,Inherited!A:A,Inherited!B:B))/100)*(_xlfn.XLOOKUP(Assessment!#REF!,Inherited!A:A,Inherited!F:F)))+(((100-(_xlfn.XLOOKUP(Assessment!#REF!,Inherited!A:A,Inherited!B:B)))/100)*IF(AA9="1.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(100%)","100"))))))&lt;=10,"0", IF(AND((((_xlfn.XLOOKUP(Assessment!#REF!,Inherited!A:A,Inherited!B:B))/100)*(_xlfn.XLOOKUP(Assessment!#REF!,Inherited!A:A,Inherited!F:F)))+(((100-(_xlfn.XLOOKUP(Assessment!#REF!,Inherited!A:A,Inherited!B:B)))/100)*IF(AA9="1.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(100%)","100"))))))&gt;=11,(((_xlfn.XLOOKUP(Assessment!#REF!,Inherited!A:A,Inherited!B:B))/100)*(_xlfn.XLOOKUP(Assessment!#REF!,Inherited!A:A,Inherited!F:F)))+(((100-(_xlfn.XLOOKUP(Assessment!#REF!,Inherited!A:A,Inherited!B:B)))/100)*IF(AA9="1.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(100%)","100"))))))&lt;=32),"25",IF(AND((((_xlfn.XLOOKUP(Assessment!#REF!,Inherited!A:A,Inherited!B:B))/100)*(_xlfn.XLOOKUP(Assessment!#REF!,Inherited!A:A,Inherited!F:F)))+(((100-(_xlfn.XLOOKUP(Assessment!#REF!,Inherited!A:A,Inherited!B:B)))/100)*IF(AA9="1.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(100%)","100"))))))&gt;=33,(((_xlfn.XLOOKUP(Assessment!#REF!,Inherited!A:A,Inherited!B:B))/100)*(_xlfn.XLOOKUP(Assessment!#REF!,Inherited!A:A,Inherited!F:F)))+(((100-(_xlfn.XLOOKUP(Assessment!#REF!,Inherited!A:A,Inherited!B:B)))/100)*IF(AA9="1.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(100%)","100"))))))&lt;=65),"50",IF(AND((((_xlfn.XLOOKUP(Assessment!#REF!,Inherited!A:A,Inherited!B:B))/100)*(_xlfn.XLOOKUP(Assessment!#REF!,Inherited!A:A,Inherited!F:F)))+(((100-(_xlfn.XLOOKUP(Assessment!#REF!,Inherited!A:A,Inherited!B:B)))/100)*IF(AA9="1.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(100%)","100"))))))&gt;=66,(((_xlfn.XLOOKUP(Assessment!#REF!,Inherited!A:A,Inherited!B:B))/100)*(_xlfn.XLOOKUP(Assessment!#REF!,Inherited!A:A,Inherited!F:F)))+(((100-(_xlfn.XLOOKUP(Assessment!#REF!,Inherited!A:A,Inherited!B:B)))/100)*IF(AA9="1.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(100%)","100"))))))&lt;=89),"75",IF((((_xlfn.XLOOKUP(Assessment!#REF!,Inherited!A:A,Inherited!B:B))/100)*(_xlfn.XLOOKUP(Assessment!#REF!,Inherited!A:A,Inherited!F:F)))+(((100-(_xlfn.XLOOKUP(Assessment!#REF!,Inherited!A:A,Inherited!B:B)))/100)*IF(AA9="1. Non Compliant (0%)","0",IF(AA9="2. Somewhat Compliant (25%)","25",IF(AA9="3. Partially Compliant (50%)","50",IF(AA9="4. Mostly Compliant (75%)","75",IF(AA9="5. Fully Compliant (100%)","100"))))))&gt;=90,"100"))))))</f>
        <v>#N/A</v>
      </c>
      <c r="U9" s="1" t="e">
        <f>IF(MATCH(H9,Inherited!A:A),IF((((_xlfn.XLOOKUP(Assessment!#REF!,Inherited!A:A,Inherited!B:B))/100)*(_xlfn.XLOOKUP(Assessment!#REF!,Inherited!A:A,Inherited!G:G)))+(((100-(_xlfn.XLOOKUP(Assessment!#REF!,Inherited!A:A,Inherited!B:B)))/100)*IF(AB9="1.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(100%)","100"))))))&lt;=10,"0", IF(AND((((_xlfn.XLOOKUP(Assessment!#REF!,Inherited!A:A,Inherited!B:B))/100)*(_xlfn.XLOOKUP(Assessment!#REF!,Inherited!A:A,Inherited!G:G)))+(((100-(_xlfn.XLOOKUP(Assessment!#REF!,Inherited!A:A,Inherited!B:B)))/100)*IF(AB9="1.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(100%)","100"))))))&gt;=11,(((_xlfn.XLOOKUP(Assessment!#REF!,Inherited!A:A,Inherited!B:B))/100)*(_xlfn.XLOOKUP(Assessment!#REF!,Inherited!A:A,Inherited!G:G)))+(((100-(_xlfn.XLOOKUP(Assessment!#REF!,Inherited!A:A,Inherited!B:B)))/100)*IF(AB9="1.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(100%)","100"))))))&lt;=32),"25",IF(AND((((_xlfn.XLOOKUP(Assessment!#REF!,Inherited!A:A,Inherited!B:B))/100)*(_xlfn.XLOOKUP(Assessment!#REF!,Inherited!A:A,Inherited!G:G)))+(((100-(_xlfn.XLOOKUP(Assessment!#REF!,Inherited!A:A,Inherited!B:B)))/100)*IF(AB9="1.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(100%)","100"))))))&gt;=33,(((_xlfn.XLOOKUP(Assessment!#REF!,Inherited!A:A,Inherited!B:B))/100)*(_xlfn.XLOOKUP(Assessment!#REF!,Inherited!A:A,Inherited!G:G)))+(((100-(_xlfn.XLOOKUP(Assessment!#REF!,Inherited!A:A,Inherited!B:B)))/100)*IF(AB9="1.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(100%)","100"))))))&lt;=65),"50",IF(AND((((_xlfn.XLOOKUP(Assessment!#REF!,Inherited!A:A,Inherited!B:B))/100)*(_xlfn.XLOOKUP(Assessment!#REF!,Inherited!A:A,Inherited!G:G)))+(((100-(_xlfn.XLOOKUP(Assessment!#REF!,Inherited!A:A,Inherited!B:B)))/100)*IF(AB9="1.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(100%)","100"))))))&gt;=66,(((_xlfn.XLOOKUP(Assessment!#REF!,Inherited!A:A,Inherited!B:B))/100)*(_xlfn.XLOOKUP(Assessment!#REF!,Inherited!A:A,Inherited!G:G)))+(((100-(_xlfn.XLOOKUP(Assessment!#REF!,Inherited!A:A,Inherited!B:B)))/100)*IF(AB9="1.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(100%)","100"))))))&lt;=89),"75",IF((((_xlfn.XLOOKUP(Assessment!#REF!,Inherited!A:A,Inherited!B:B))/100)*(_xlfn.XLOOKUP(Assessment!#REF!,Inherited!A:A,Inherited!G:G)))+(((100-(_xlfn.XLOOKUP(Assessment!#REF!,Inherited!A:A,Inherited!B:B)))/100)*IF(AB9="1. Non Compliant (0%)","0",IF(AB9="2. Somewhat Compliant (25%)","25",IF(AB9="3. Partially Compliant (50%)","50",IF(AB9="4. Mostly Compliant (75%)","75",IF(AB9="5. Fully Compliant (100%)","100"))))))&gt;=90,"100"))))))</f>
        <v>#N/A</v>
      </c>
      <c r="V9" s="55" t="s">
        <v>85</v>
      </c>
      <c r="W9" s="55"/>
      <c r="X9" s="55"/>
      <c r="Y9" s="55"/>
      <c r="Z9" s="55" t="s">
        <v>10873</v>
      </c>
      <c r="AA9" s="55"/>
      <c r="AB9" s="55"/>
      <c r="AK9" s="1" t="s">
        <v>10978</v>
      </c>
      <c r="AL9" s="1" t="s">
        <v>10985</v>
      </c>
      <c r="AP9" s="1" t="s">
        <v>11056</v>
      </c>
      <c r="AX9" s="3" t="str">
        <f>_xlfn.CONCAT("A-LIGN finished its review of this control on ",AR9, " during the scheduled fieldwork window (",Intro!$B$4,")."&amp; CHAR(10)&amp; CHAR(10))</f>
        <v xml:space="preserve">A-LIGN finished its review of this control on  during the scheduled fieldwork window (Fieldwork: xx/xx/xxxx - xx/xx/xxxx).
</v>
      </c>
      <c r="AY9" s="3" t="str">
        <f t="shared" ref="AY9:AY11" si="10">IF(AQ9&lt;&gt;"",(_xlfn.CONCAT("Inheritance note: "&amp; CHAR(10),AQ9&amp; CHAR(10)&amp; CHAR(10))),"")</f>
        <v/>
      </c>
      <c r="AZ9" s="3" t="str">
        <f t="shared" ref="AZ9:AZ11" si="11">IFERROR(IF(AD9&lt;&gt;"",_xlfn.CONCAT("Examined the following policy during fieldwork:"&amp; CHAR(10),AD9&amp; CHAR(10)&amp; CHAR(10),IF(AND(X9&lt;&gt;"5. Fully Compliant (100%)",AE9&lt;&gt;""),"Reviewed policy exception note:"&amp; CHAR(10) &amp; AE9 &amp; CHAR(10) &amp; CHAR(10),"")),""),"")</f>
        <v/>
      </c>
      <c r="BA9" s="3" t="str">
        <f t="shared" ref="BA9:BA11" si="12">IFERROR(IF(AH9&lt;&gt;"",_xlfn.CONCAT("Examined the following process during fieldwork:"&amp; CHAR(10),AH9&amp; CHAR(10)&amp; CHAR(10),IF(AND(Y9&lt;&gt;"5. Fully Compliant (100%)",AI9&lt;&gt;""),"Reviewed process exception note:"&amp; CHAR(10) &amp; AI9 &amp; CHAR(10) &amp; CHAR(10),"")),""),"")</f>
        <v/>
      </c>
      <c r="BB9" s="3" t="str">
        <f t="shared" ref="BB9:BB11" si="13">IF(AK9&lt;&gt;"",(_xlfn.CONCAT("Inquired of the following workforce member: "&amp; CHAR(10),AK9&amp; CHAR(10)&amp; CHAR(10),"Inquiry lead to the following conclusions: "&amp; CHAR(10),AL9&amp; CHAR(10) &amp; CHAR(10))),"")</f>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9" s="3" t="str">
        <f t="shared" ref="BC9:BC11" si="14">IF(AM9&lt;&gt;"",(_xlfn.CONCAT("Observed the following live during fieldwork: "&amp; CHAR(10),AM9&amp; CHAR(10) &amp; CHAR(10))),"")</f>
        <v/>
      </c>
      <c r="BD9" s="3" t="str">
        <f t="shared" ref="BD9:BD11" si="15">_xlfn.CONCAT("Examined the following evidence during fieldwork:"&amp; CHAR(10),AN9&amp; CHAR(10)&amp; CHAR(10),IF(AO9&lt;&gt;"","Reviewed evidence note:"&amp; CHAR(10)&amp;AO9&amp; CHAR(10) &amp; CHAR(10),"Reviewed evidence addressed the requirement statement."&amp; CHAR(10) &amp; CHAR(10)),IF(AND(AP9&lt;&gt;"5. Fully Compliant (100%)",AP9&lt;&gt;""),"Reviewed evidence exception note: "&amp; CHAR(10) &amp; AP9 &amp; CHAR(10) &amp; CHAR(10),""))</f>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how to figure out the likelihood of events and consequences
- defines how to figure out the nature and magnitude of consequences
- defines how to figure out the effectiveness of existing controls
- defines sensitivity and confidence levels
- defines complexity and connectivity requirements
- defines time-related factors and volatility
</v>
      </c>
      <c r="BE9" s="3" t="str">
        <f t="shared" ref="BE9:BE11" si="16">IF(AT9&lt;&gt;"",(_xlfn.CONCAT("Examined the following measure/metric during fieldwork:"&amp; CHAR(10),AT9&amp; CHAR(10)&amp; CHAR(10),"Reviewed measure/metric note:"&amp; CHAR(10),AU9 &amp; CHAR(10) &amp; CHAR(10))),"")</f>
        <v/>
      </c>
      <c r="BF9" s="3" t="str">
        <f t="shared" ref="BF9:BF11" si="17">IF(AV9&lt;&gt;"",(_xlfn.CONCAT("Examined the following measure/metric management during fieldwork:"&amp; CHAR(10),AV9&amp; CHAR(10)&amp; CHAR(10),"Reviewed measure/metric management note:"&amp; CHAR(10),AW9 &amp; CHAR(10) &amp; CHAR(10))),"")</f>
        <v/>
      </c>
      <c r="BG9" s="3" t="str">
        <f>_xlfn.CONCAT((IF((COUNTIF('Sample Tables'!B:B,"")&gt;0)=TRUE,_xlfn.CONCAT("",""),IF((COUNTIF('Sample Tables'!B:B,"")&gt;0)=FALSE,""))),)</f>
        <v/>
      </c>
      <c r="BH9" s="3" t="str">
        <f t="shared" ref="BH9:BH11" si="18">IF(V9="No","Not Applicable: "&amp;W9,(_xlfn.CONCAT(AX9,AY9,AZ9,BA9,BB9,BC9,BD9,BE9,BF9,BG9)))</f>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how to figure out the likelihood of events and consequences
- defines how to figure out the nature and magnitude of consequences
- defines how to figure out the effectiveness of existing controls
- defines sensitivity and confidence levels
- defines complexity and connectivity requirements
- defines time-related factors and volatility
</v>
      </c>
    </row>
    <row r="10" spans="1:60" ht="408.65" customHeight="1" x14ac:dyDescent="0.35">
      <c r="C10" s="1">
        <f t="shared" ref="C10:C11" si="19">IF(V10="No","Not Applicable",(IF(X10="1. Non Compliant (0%)","0",IF(X10="2. Somewhat Compliant (25%)","25",IF(X10="3. Partially Compliant (50%)","50",IF(X10="4. Mostly Compliant (75%)","75",IF(X10="5. Fully Compliant (100%)","100")))))*0.15)+((IF(Y10="1. Non Compliant (0%)","0",IF(Y10="2. Somewhat Compliant (25%)","25",IF(Y10="3. Partially Compliant (50%)","50",IF(Y10="4. Mostly Compliant (75%)","75",IF(Y10="5. Fully Compliant (100%)","100"))))))*0.2)+(IF(Z10="1. Non Compliant (0%)","0",IF(Z10="2. Somewhat Compliant (25%)","25",IF(Z10="3. Partially Compliant (50%)","50",IF(Z10="4. Mostly Compliant (75%)","75",IF(Z10="5. Fully Compliant (100%)","100")))))*0.4)+(IF(AA10="1. Non Compliant (0%)","0",IF(AA10="2. Somewhat Compliant (25%)","25",IF(AA10="3. Partially Compliant (50%)","50",IF(AA10="4. Mostly Compliant (75%)","75",IF(AA10="5. Fully Compliant (100%)","100")))))*0.1)+(IF(AB10="1. Non Compliant (0%)","0",IF(AB10="2. Somewhat Compliant (25%)","25",IF(AB10="3. Partially Compliant (50%)","50",IF(AB10="4. Mostly Compliant (75%)","75",IF(AB10="5. Fully Compliant (100%)","100")))))*0.15))</f>
        <v>40</v>
      </c>
      <c r="D10" s="5" t="str">
        <f>IF(AND((_xlfn.XLOOKUP(J10,'Fields &amp; Revisions'!$H:$H,'Fields &amp; Revisions'!$I:$I))&lt;70.99,(OR(Z10="4. Mostly Compliant (75%)",Z10="3. Partially Compliant (50%)",Z10="2. Somewhat Compliant (25%)",Z10="1. Non Compliant (0%)"))),"Yes","No")</f>
        <v>No</v>
      </c>
      <c r="E10" s="5" t="str">
        <f>IF(ISERROR(VLOOKUP(H10,Scope!A:A,1,FALSE)),"No","Yes")</f>
        <v>Yes</v>
      </c>
      <c r="F10" s="1" t="s">
        <v>90</v>
      </c>
      <c r="G10" s="53" t="s">
        <v>332</v>
      </c>
      <c r="H10" s="53" t="s">
        <v>333</v>
      </c>
      <c r="I10" s="5">
        <v>1</v>
      </c>
      <c r="J10" s="1" t="s">
        <v>195</v>
      </c>
      <c r="K10" s="1" t="s">
        <v>334</v>
      </c>
      <c r="L10" s="1" t="s">
        <v>10888</v>
      </c>
      <c r="M10" s="1" t="s">
        <v>335</v>
      </c>
      <c r="N10" s="5" t="s">
        <v>98</v>
      </c>
      <c r="O10" s="1" t="str">
        <f>_xlfn.XLOOKUP(G10,SRMs!$A:$A,SRMs!$D:$D)</f>
        <v>NO INHERITANCE</v>
      </c>
      <c r="P10" s="1" t="str">
        <f>IFERROR(VLOOKUP(H10,Inherited!A:B,2,FALSE),"")</f>
        <v/>
      </c>
      <c r="Q10" s="1" t="e">
        <f>IF(MATCH(H10,Inherited!A:A),IF((((_xlfn.XLOOKUP(Assessment!#REF!,Inherited!A:A,Inherited!B:B))/100)*(_xlfn.XLOOKUP(Assessment!#REF!,Inherited!A:A,Inherited!C:C)))+(((100-(_xlfn.XLOOKUP(Assessment!#REF!,Inherited!A:A,Inherited!B:B)))/100)*IF(X10="1.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(100%)","100"))))))&lt;=10,"0", IF(AND((((_xlfn.XLOOKUP(Assessment!#REF!,Inherited!A:A,Inherited!B:B))/100)*(_xlfn.XLOOKUP(Assessment!#REF!,Inherited!A:A,Inherited!C:C)))+(((100-(_xlfn.XLOOKUP(Assessment!#REF!,Inherited!A:A,Inherited!B:B)))/100)*IF(X10="1.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(100%)","100"))))))&gt;=11,(((_xlfn.XLOOKUP(Assessment!#REF!,Inherited!A:A,Inherited!B:B))/100)*(_xlfn.XLOOKUP(Assessment!#REF!,Inherited!A:A,Inherited!C:C)))+(((100-(_xlfn.XLOOKUP(Assessment!#REF!,Inherited!A:A,Inherited!B:B)))/100)*IF(X10="1.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(100%)","100"))))))&lt;=32),"25",IF(AND((((_xlfn.XLOOKUP(Assessment!#REF!,Inherited!A:A,Inherited!B:B))/100)*(_xlfn.XLOOKUP(Assessment!#REF!,Inherited!A:A,Inherited!C:C)))+(((100-(_xlfn.XLOOKUP(Assessment!#REF!,Inherited!A:A,Inherited!B:B)))/100)*IF(X10="1.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(100%)","100"))))))&gt;=33,(((_xlfn.XLOOKUP(Assessment!#REF!,Inherited!A:A,Inherited!B:B))/100)*(_xlfn.XLOOKUP(Assessment!#REF!,Inherited!A:A,Inherited!C:C)))+(((100-(_xlfn.XLOOKUP(Assessment!#REF!,Inherited!A:A,Inherited!B:B)))/100)*IF(X10="1.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(100%)","100"))))))&lt;=65),"50",IF(AND((((_xlfn.XLOOKUP(Assessment!#REF!,Inherited!A:A,Inherited!B:B))/100)*(_xlfn.XLOOKUP(Assessment!#REF!,Inherited!A:A,Inherited!C:C)))+(((100-(_xlfn.XLOOKUP(Assessment!#REF!,Inherited!A:A,Inherited!B:B)))/100)*IF(X10="1.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(100%)","100"))))))&gt;=66,(((_xlfn.XLOOKUP(Assessment!#REF!,Inherited!A:A,Inherited!B:B))/100)*(_xlfn.XLOOKUP(Assessment!#REF!,Inherited!A:A,Inherited!C:C)))+(((100-(_xlfn.XLOOKUP(Assessment!#REF!,Inherited!A:A,Inherited!B:B)))/100)*IF(X10="1.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(100%)","100"))))))&lt;=89),"75",IF((((_xlfn.XLOOKUP(Assessment!#REF!,Inherited!A:A,Inherited!B:B))/100)*(_xlfn.XLOOKUP(Assessment!#REF!,Inherited!A:A,Inherited!C:C)))+(((100-(_xlfn.XLOOKUP(Assessment!#REF!,Inherited!A:A,Inherited!B:B)))/100)*IF(X10="1. Non Compliant (0%)","0",IF(X10="2. Somewhat Compliant (25%)","25",IF(X10="3. Partially Compliant (50%)","50",IF(X10="4. Mostly Compliant (75%)","75",IF(X10="5. Fully Compliant (100%)","100"))))))&gt;=90,"100"))))))</f>
        <v>#N/A</v>
      </c>
      <c r="R10" s="1" t="e">
        <f>IF(MATCH(H10,Inherited!A:A),IF((((_xlfn.XLOOKUP(Assessment!#REF!,Inherited!A:A,Inherited!B:B))/100)*(_xlfn.XLOOKUP(Assessment!#REF!,Inherited!A:A,Inherited!D:D)))+(((100-(_xlfn.XLOOKUP(Assessment!#REF!,Inherited!A:A,Inherited!B:B)))/100)*IF(Y10="1.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(100%)","100"))))))&lt;=10,"0", IF(AND((((_xlfn.XLOOKUP(Assessment!#REF!,Inherited!A:A,Inherited!B:B))/100)*(_xlfn.XLOOKUP(Assessment!#REF!,Inherited!A:A,Inherited!D:D)))+(((100-(_xlfn.XLOOKUP(Assessment!#REF!,Inherited!A:A,Inherited!B:B)))/100)*IF(Y10="1.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(100%)","100"))))))&gt;=11,(((_xlfn.XLOOKUP(Assessment!#REF!,Inherited!A:A,Inherited!B:B))/100)*(_xlfn.XLOOKUP(Assessment!#REF!,Inherited!A:A,Inherited!D:D)))+(((100-(_xlfn.XLOOKUP(Assessment!#REF!,Inherited!A:A,Inherited!B:B)))/100)*IF(Y10="1.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(100%)","100"))))))&lt;=32),"25",IF(AND((((_xlfn.XLOOKUP(Assessment!#REF!,Inherited!A:A,Inherited!B:B))/100)*(_xlfn.XLOOKUP(Assessment!#REF!,Inherited!A:A,Inherited!D:D)))+(((100-(_xlfn.XLOOKUP(Assessment!#REF!,Inherited!A:A,Inherited!B:B)))/100)*IF(Y10="1.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(100%)","100"))))))&gt;=33,(((_xlfn.XLOOKUP(Assessment!#REF!,Inherited!A:A,Inherited!B:B))/100)*(_xlfn.XLOOKUP(Assessment!#REF!,Inherited!A:A,Inherited!D:D)))+(((100-(_xlfn.XLOOKUP(Assessment!#REF!,Inherited!A:A,Inherited!B:B)))/100)*IF(Y10="1.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(100%)","100"))))))&lt;=65),"50",IF(AND((((_xlfn.XLOOKUP(Assessment!#REF!,Inherited!A:A,Inherited!B:B))/100)*(_xlfn.XLOOKUP(Assessment!#REF!,Inherited!A:A,Inherited!D:D)))+(((100-(_xlfn.XLOOKUP(Assessment!#REF!,Inherited!A:A,Inherited!B:B)))/100)*IF(Y10="1.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(100%)","100"))))))&gt;=66,(((_xlfn.XLOOKUP(Assessment!#REF!,Inherited!A:A,Inherited!B:B))/100)*(_xlfn.XLOOKUP(Assessment!#REF!,Inherited!A:A,Inherited!D:D)))+(((100-(_xlfn.XLOOKUP(Assessment!#REF!,Inherited!A:A,Inherited!B:B)))/100)*IF(Y10="1.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(100%)","100"))))))&lt;=89),"75",IF((((_xlfn.XLOOKUP(Assessment!#REF!,Inherited!A:A,Inherited!B:B))/100)*(_xlfn.XLOOKUP(Assessment!#REF!,Inherited!A:A,Inherited!D:D)))+(((100-(_xlfn.XLOOKUP(Assessment!#REF!,Inherited!A:A,Inherited!B:B)))/100)*IF(Y10="1. Non Compliant (0%)","0",IF(Y10="2. Somewhat Compliant (25%)","25",IF(Y10="3. Partially Compliant (50%)","50",IF(Y10="4. Mostly Compliant (75%)","75",IF(Y10="5. Fully Compliant (100%)","100"))))))&gt;=90,"100"))))))</f>
        <v>#N/A</v>
      </c>
      <c r="S10" s="1" t="e">
        <f>IF(MATCH(H10,Inherited!A:A),IF((((_xlfn.XLOOKUP(Assessment!#REF!,Inherited!A:A,Inherited!B:B))/100)*(_xlfn.XLOOKUP(Assessment!#REF!,Inherited!A:A,Inherited!E:E)))+(((100-(_xlfn.XLOOKUP(Assessment!#REF!,Inherited!A:A,Inherited!B:B)))/100)*IF(Z10="1.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(100%)","100"))))))&lt;=10,"0", IF(AND((((_xlfn.XLOOKUP(Assessment!#REF!,Inherited!A:A,Inherited!B:B))/100)*(_xlfn.XLOOKUP(Assessment!#REF!,Inherited!A:A,Inherited!E:E)))+(((100-(_xlfn.XLOOKUP(Assessment!#REF!,Inherited!A:A,Inherited!B:B)))/100)*IF(Z10="1.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(100%)","100"))))))&gt;=11,(((_xlfn.XLOOKUP(Assessment!#REF!,Inherited!A:A,Inherited!B:B))/100)*(_xlfn.XLOOKUP(Assessment!#REF!,Inherited!A:A,Inherited!E:E)))+(((100-(_xlfn.XLOOKUP(Assessment!#REF!,Inherited!A:A,Inherited!B:B)))/100)*IF(Z10="1.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(100%)","100"))))))&lt;=32),"25",IF(AND((((_xlfn.XLOOKUP(Assessment!#REF!,Inherited!A:A,Inherited!B:B))/100)*(_xlfn.XLOOKUP(Assessment!#REF!,Inherited!A:A,Inherited!E:E)))+(((100-(_xlfn.XLOOKUP(Assessment!#REF!,Inherited!A:A,Inherited!B:B)))/100)*IF(Z10="1.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(100%)","100"))))))&gt;=33,(((_xlfn.XLOOKUP(Assessment!#REF!,Inherited!A:A,Inherited!B:B))/100)*(_xlfn.XLOOKUP(Assessment!#REF!,Inherited!A:A,Inherited!E:E)))+(((100-(_xlfn.XLOOKUP(Assessment!#REF!,Inherited!A:A,Inherited!B:B)))/100)*IF(Z10="1.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(100%)","100"))))))&lt;=65),"50",IF(AND((((_xlfn.XLOOKUP(Assessment!#REF!,Inherited!A:A,Inherited!B:B))/100)*(_xlfn.XLOOKUP(Assessment!#REF!,Inherited!A:A,Inherited!E:E)))+(((100-(_xlfn.XLOOKUP(Assessment!#REF!,Inherited!A:A,Inherited!B:B)))/100)*IF(Z10="1.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(100%)","100"))))))&gt;=66,(((_xlfn.XLOOKUP(Assessment!#REF!,Inherited!A:A,Inherited!B:B))/100)*(_xlfn.XLOOKUP(Assessment!#REF!,Inherited!A:A,Inherited!E:E)))+(((100-(_xlfn.XLOOKUP(Assessment!#REF!,Inherited!A:A,Inherited!B:B)))/100)*IF(Z10="1.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(100%)","100"))))))&lt;=89),"75",IF((((_xlfn.XLOOKUP(Assessment!#REF!,Inherited!A:A,Inherited!B:B))/100)*(_xlfn.XLOOKUP(Assessment!#REF!,Inherited!A:A,Inherited!E:E)))+(((100-(_xlfn.XLOOKUP(Assessment!#REF!,Inherited!A:A,Inherited!B:B)))/100)*IF(Z10="1. Non Compliant (0%)","0",IF(Z10="2. Somewhat Compliant (25%)","25",IF(Z10="3. Partially Compliant (50%)","50",IF(Z10="4. Mostly Compliant (75%)","75",IF(Z10="5. Fully Compliant (100%)","100"))))))&gt;=90,"100"))))))</f>
        <v>#N/A</v>
      </c>
      <c r="T10" s="1" t="e">
        <f>IF(MATCH(H10,Inherited!A:A),IF((((_xlfn.XLOOKUP(Assessment!#REF!,Inherited!A:A,Inherited!B:B))/100)*(_xlfn.XLOOKUP(Assessment!#REF!,Inherited!A:A,Inherited!F:F)))+(((100-(_xlfn.XLOOKUP(Assessment!#REF!,Inherited!A:A,Inherited!B:B)))/100)*IF(AA10="1.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(100%)","100"))))))&lt;=10,"0", IF(AND((((_xlfn.XLOOKUP(Assessment!#REF!,Inherited!A:A,Inherited!B:B))/100)*(_xlfn.XLOOKUP(Assessment!#REF!,Inherited!A:A,Inherited!F:F)))+(((100-(_xlfn.XLOOKUP(Assessment!#REF!,Inherited!A:A,Inherited!B:B)))/100)*IF(AA10="1.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(100%)","100"))))))&gt;=11,(((_xlfn.XLOOKUP(Assessment!#REF!,Inherited!A:A,Inherited!B:B))/100)*(_xlfn.XLOOKUP(Assessment!#REF!,Inherited!A:A,Inherited!F:F)))+(((100-(_xlfn.XLOOKUP(Assessment!#REF!,Inherited!A:A,Inherited!B:B)))/100)*IF(AA10="1.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(100%)","100"))))))&lt;=32),"25",IF(AND((((_xlfn.XLOOKUP(Assessment!#REF!,Inherited!A:A,Inherited!B:B))/100)*(_xlfn.XLOOKUP(Assessment!#REF!,Inherited!A:A,Inherited!F:F)))+(((100-(_xlfn.XLOOKUP(Assessment!#REF!,Inherited!A:A,Inherited!B:B)))/100)*IF(AA10="1.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(100%)","100"))))))&gt;=33,(((_xlfn.XLOOKUP(Assessment!#REF!,Inherited!A:A,Inherited!B:B))/100)*(_xlfn.XLOOKUP(Assessment!#REF!,Inherited!A:A,Inherited!F:F)))+(((100-(_xlfn.XLOOKUP(Assessment!#REF!,Inherited!A:A,Inherited!B:B)))/100)*IF(AA10="1.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(100%)","100"))))))&lt;=65),"50",IF(AND((((_xlfn.XLOOKUP(Assessment!#REF!,Inherited!A:A,Inherited!B:B))/100)*(_xlfn.XLOOKUP(Assessment!#REF!,Inherited!A:A,Inherited!F:F)))+(((100-(_xlfn.XLOOKUP(Assessment!#REF!,Inherited!A:A,Inherited!B:B)))/100)*IF(AA10="1.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(100%)","100"))))))&gt;=66,(((_xlfn.XLOOKUP(Assessment!#REF!,Inherited!A:A,Inherited!B:B))/100)*(_xlfn.XLOOKUP(Assessment!#REF!,Inherited!A:A,Inherited!F:F)))+(((100-(_xlfn.XLOOKUP(Assessment!#REF!,Inherited!A:A,Inherited!B:B)))/100)*IF(AA10="1.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(100%)","100"))))))&lt;=89),"75",IF((((_xlfn.XLOOKUP(Assessment!#REF!,Inherited!A:A,Inherited!B:B))/100)*(_xlfn.XLOOKUP(Assessment!#REF!,Inherited!A:A,Inherited!F:F)))+(((100-(_xlfn.XLOOKUP(Assessment!#REF!,Inherited!A:A,Inherited!B:B)))/100)*IF(AA10="1. Non Compliant (0%)","0",IF(AA10="2. Somewhat Compliant (25%)","25",IF(AA10="3. Partially Compliant (50%)","50",IF(AA10="4. Mostly Compliant (75%)","75",IF(AA10="5. Fully Compliant (100%)","100"))))))&gt;=90,"100"))))))</f>
        <v>#N/A</v>
      </c>
      <c r="U10" s="1" t="e">
        <f>IF(MATCH(H10,Inherited!A:A),IF((((_xlfn.XLOOKUP(Assessment!#REF!,Inherited!A:A,Inherited!B:B))/100)*(_xlfn.XLOOKUP(Assessment!#REF!,Inherited!A:A,Inherited!G:G)))+(((100-(_xlfn.XLOOKUP(Assessment!#REF!,Inherited!A:A,Inherited!B:B)))/100)*IF(AB10="1.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(100%)","100"))))))&lt;=10,"0", IF(AND((((_xlfn.XLOOKUP(Assessment!#REF!,Inherited!A:A,Inherited!B:B))/100)*(_xlfn.XLOOKUP(Assessment!#REF!,Inherited!A:A,Inherited!G:G)))+(((100-(_xlfn.XLOOKUP(Assessment!#REF!,Inherited!A:A,Inherited!B:B)))/100)*IF(AB10="1.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(100%)","100"))))))&gt;=11,(((_xlfn.XLOOKUP(Assessment!#REF!,Inherited!A:A,Inherited!B:B))/100)*(_xlfn.XLOOKUP(Assessment!#REF!,Inherited!A:A,Inherited!G:G)))+(((100-(_xlfn.XLOOKUP(Assessment!#REF!,Inherited!A:A,Inherited!B:B)))/100)*IF(AB10="1.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(100%)","100"))))))&lt;=32),"25",IF(AND((((_xlfn.XLOOKUP(Assessment!#REF!,Inherited!A:A,Inherited!B:B))/100)*(_xlfn.XLOOKUP(Assessment!#REF!,Inherited!A:A,Inherited!G:G)))+(((100-(_xlfn.XLOOKUP(Assessment!#REF!,Inherited!A:A,Inherited!B:B)))/100)*IF(AB10="1.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(100%)","100"))))))&gt;=33,(((_xlfn.XLOOKUP(Assessment!#REF!,Inherited!A:A,Inherited!B:B))/100)*(_xlfn.XLOOKUP(Assessment!#REF!,Inherited!A:A,Inherited!G:G)))+(((100-(_xlfn.XLOOKUP(Assessment!#REF!,Inherited!A:A,Inherited!B:B)))/100)*IF(AB10="1.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(100%)","100"))))))&lt;=65),"50",IF(AND((((_xlfn.XLOOKUP(Assessment!#REF!,Inherited!A:A,Inherited!B:B))/100)*(_xlfn.XLOOKUP(Assessment!#REF!,Inherited!A:A,Inherited!G:G)))+(((100-(_xlfn.XLOOKUP(Assessment!#REF!,Inherited!A:A,Inherited!B:B)))/100)*IF(AB10="1.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(100%)","100"))))))&gt;=66,(((_xlfn.XLOOKUP(Assessment!#REF!,Inherited!A:A,Inherited!B:B))/100)*(_xlfn.XLOOKUP(Assessment!#REF!,Inherited!A:A,Inherited!G:G)))+(((100-(_xlfn.XLOOKUP(Assessment!#REF!,Inherited!A:A,Inherited!B:B)))/100)*IF(AB10="1.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(100%)","100"))))))&lt;=89),"75",IF((((_xlfn.XLOOKUP(Assessment!#REF!,Inherited!A:A,Inherited!B:B))/100)*(_xlfn.XLOOKUP(Assessment!#REF!,Inherited!A:A,Inherited!G:G)))+(((100-(_xlfn.XLOOKUP(Assessment!#REF!,Inherited!A:A,Inherited!B:B)))/100)*IF(AB10="1. Non Compliant (0%)","0",IF(AB10="2. Somewhat Compliant (25%)","25",IF(AB10="3. Partially Compliant (50%)","50",IF(AB10="4. Mostly Compliant (75%)","75",IF(AB10="5. Fully Compliant (100%)","100"))))))&gt;=90,"100"))))))</f>
        <v>#N/A</v>
      </c>
      <c r="V10" s="55" t="s">
        <v>85</v>
      </c>
      <c r="W10" s="55"/>
      <c r="X10" s="55"/>
      <c r="Y10" s="55"/>
      <c r="Z10" s="55" t="s">
        <v>86</v>
      </c>
      <c r="AA10" s="55"/>
      <c r="AB10" s="55"/>
      <c r="AK10" s="1" t="s">
        <v>10890</v>
      </c>
      <c r="AL10" s="1" t="s">
        <v>10919</v>
      </c>
      <c r="AX10" s="3" t="str">
        <f>_xlfn.CONCAT("A-LIGN finished its review of this control on ",AR10, " during the scheduled fieldwork window (",Intro!$B$4,")."&amp; CHAR(10)&amp; CHAR(10))</f>
        <v xml:space="preserve">A-LIGN finished its review of this control on  during the scheduled fieldwork window (Fieldwork: xx/xx/xxxx - xx/xx/xxxx).
</v>
      </c>
      <c r="AY10" s="3" t="str">
        <f t="shared" si="10"/>
        <v/>
      </c>
      <c r="AZ10" s="3" t="str">
        <f t="shared" si="11"/>
        <v/>
      </c>
      <c r="BA10" s="3" t="str">
        <f t="shared" si="12"/>
        <v/>
      </c>
      <c r="BB10" s="3" t="str">
        <f t="shared" si="13"/>
        <v xml:space="preserve">Inquired of the following workforce member: 
Matthew Macaluso - Director of System Operations
Roze Nicolas - Director of TechOps
Inquiry lead to the following conclusions: 
Greenhouse is used to facilitate the pre-employment process (interviews, etc.) then ADP is used for managing the employees record
HR completes i-9 verification checks and background checks on all new hires during the onboarding process. Checkr is used as a background checking solution 
Right now, Fresh Service is used as a ticketing system to manage the onboarding process. However, they will be switching to Jira in the future
</v>
      </c>
      <c r="BC10" s="3" t="str">
        <f t="shared" si="14"/>
        <v/>
      </c>
      <c r="BD10" s="3" t="str">
        <f t="shared" si="15"/>
        <v xml:space="preserve">Examined the following evidence during fieldwork:
Reviewed evidence addressed the requirement statement.
</v>
      </c>
      <c r="BE10" s="3" t="str">
        <f t="shared" si="16"/>
        <v/>
      </c>
      <c r="BF10" s="3" t="str">
        <f t="shared" si="17"/>
        <v/>
      </c>
      <c r="BG10" s="3" t="str">
        <f>_xlfn.CONCAT((IF((COUNTIF('Sample Tables'!B:B,"")&gt;0)=TRUE,_xlfn.CONCAT("",""),IF((COUNTIF('Sample Tables'!B:B,"")&gt;0)=FALSE,""))),)</f>
        <v/>
      </c>
      <c r="BH10" s="3" t="str">
        <f t="shared" si="1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Greenhouse is used to facilitate the pre-employment process (interviews, etc.) then ADP is used for managing the employees record
HR completes i-9 verification checks and background checks on all new hires during the onboarding process. Checkr is used as a background checking solution 
Right now, Fresh Service is used as a ticketing system to manage the onboarding process. However, they will be switching to Jira in the future
Examined the following evidence during fieldwork:
Reviewed evidence addressed the requirement statement.
</v>
      </c>
    </row>
    <row r="11" spans="1:60" ht="287.5" x14ac:dyDescent="0.35">
      <c r="C11" s="1">
        <f t="shared" si="19"/>
        <v>40</v>
      </c>
      <c r="D11" s="5" t="str">
        <f>IF(AND((_xlfn.XLOOKUP(J11,'Fields &amp; Revisions'!$H:$H,'Fields &amp; Revisions'!$I:$I))&lt;70.99,(OR(Z11="4. Mostly Compliant (75%)",Z11="3. Partially Compliant (50%)",Z11="2. Somewhat Compliant (25%)",Z11="1. Non Compliant (0%)"))),"Yes","No")</f>
        <v>No</v>
      </c>
      <c r="E11" s="5" t="str">
        <f>IF(ISERROR(VLOOKUP(H11,Scope!A:A,1,FALSE)),"No","Yes")</f>
        <v>Yes</v>
      </c>
      <c r="F11" s="1" t="s">
        <v>90</v>
      </c>
      <c r="G11" s="53" t="s">
        <v>387</v>
      </c>
      <c r="H11" s="53" t="s">
        <v>388</v>
      </c>
      <c r="I11" s="5">
        <v>1</v>
      </c>
      <c r="J11" s="1" t="s">
        <v>258</v>
      </c>
      <c r="K11" s="1" t="s">
        <v>389</v>
      </c>
      <c r="L11" s="1" t="s">
        <v>390</v>
      </c>
      <c r="M11" s="1" t="s">
        <v>391</v>
      </c>
      <c r="N11" s="5" t="s">
        <v>98</v>
      </c>
      <c r="O11" s="1" t="str">
        <f>_xlfn.XLOOKUP(G11,SRMs!$A:$A,SRMs!$D:$D)</f>
        <v>NO INHERITANCE</v>
      </c>
      <c r="P11" s="1" t="str">
        <f>IFERROR(VLOOKUP(H11,Inherited!A:B,2,FALSE),"")</f>
        <v/>
      </c>
      <c r="Q11" s="1" t="e">
        <f>IF(MATCH(H11,Inherited!A:A),IF((((_xlfn.XLOOKUP(Assessment!#REF!,Inherited!A:A,Inherited!B:B))/100)*(_xlfn.XLOOKUP(Assessment!#REF!,Inherited!A:A,Inherited!C:C)))+(((100-(_xlfn.XLOOKUP(Assessment!#REF!,Inherited!A:A,Inherited!B:B)))/100)*IF(X11="1.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(100%)","100"))))))&lt;=10,"0", IF(AND((((_xlfn.XLOOKUP(Assessment!#REF!,Inherited!A:A,Inherited!B:B))/100)*(_xlfn.XLOOKUP(Assessment!#REF!,Inherited!A:A,Inherited!C:C)))+(((100-(_xlfn.XLOOKUP(Assessment!#REF!,Inherited!A:A,Inherited!B:B)))/100)*IF(X11="1.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(100%)","100"))))))&gt;=11,(((_xlfn.XLOOKUP(Assessment!#REF!,Inherited!A:A,Inherited!B:B))/100)*(_xlfn.XLOOKUP(Assessment!#REF!,Inherited!A:A,Inherited!C:C)))+(((100-(_xlfn.XLOOKUP(Assessment!#REF!,Inherited!A:A,Inherited!B:B)))/100)*IF(X11="1.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(100%)","100"))))))&lt;=32),"25",IF(AND((((_xlfn.XLOOKUP(Assessment!#REF!,Inherited!A:A,Inherited!B:B))/100)*(_xlfn.XLOOKUP(Assessment!#REF!,Inherited!A:A,Inherited!C:C)))+(((100-(_xlfn.XLOOKUP(Assessment!#REF!,Inherited!A:A,Inherited!B:B)))/100)*IF(X11="1.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(100%)","100"))))))&gt;=33,(((_xlfn.XLOOKUP(Assessment!#REF!,Inherited!A:A,Inherited!B:B))/100)*(_xlfn.XLOOKUP(Assessment!#REF!,Inherited!A:A,Inherited!C:C)))+(((100-(_xlfn.XLOOKUP(Assessment!#REF!,Inherited!A:A,Inherited!B:B)))/100)*IF(X11="1.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(100%)","100"))))))&lt;=65),"50",IF(AND((((_xlfn.XLOOKUP(Assessment!#REF!,Inherited!A:A,Inherited!B:B))/100)*(_xlfn.XLOOKUP(Assessment!#REF!,Inherited!A:A,Inherited!C:C)))+(((100-(_xlfn.XLOOKUP(Assessment!#REF!,Inherited!A:A,Inherited!B:B)))/100)*IF(X11="1.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(100%)","100"))))))&gt;=66,(((_xlfn.XLOOKUP(Assessment!#REF!,Inherited!A:A,Inherited!B:B))/100)*(_xlfn.XLOOKUP(Assessment!#REF!,Inherited!A:A,Inherited!C:C)))+(((100-(_xlfn.XLOOKUP(Assessment!#REF!,Inherited!A:A,Inherited!B:B)))/100)*IF(X11="1.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(100%)","100"))))))&lt;=89),"75",IF((((_xlfn.XLOOKUP(Assessment!#REF!,Inherited!A:A,Inherited!B:B))/100)*(_xlfn.XLOOKUP(Assessment!#REF!,Inherited!A:A,Inherited!C:C)))+(((100-(_xlfn.XLOOKUP(Assessment!#REF!,Inherited!A:A,Inherited!B:B)))/100)*IF(X11="1. Non Compliant (0%)","0",IF(X11="2. Somewhat Compliant (25%)","25",IF(X11="3. Partially Compliant (50%)","50",IF(X11="4. Mostly Compliant (75%)","75",IF(X11="5. Fully Compliant (100%)","100"))))))&gt;=90,"100"))))))</f>
        <v>#N/A</v>
      </c>
      <c r="R11" s="1" t="e">
        <f>IF(MATCH(H11,Inherited!A:A),IF((((_xlfn.XLOOKUP(Assessment!#REF!,Inherited!A:A,Inherited!B:B))/100)*(_xlfn.XLOOKUP(Assessment!#REF!,Inherited!A:A,Inherited!D:D)))+(((100-(_xlfn.XLOOKUP(Assessment!#REF!,Inherited!A:A,Inherited!B:B)))/100)*IF(Y11="1.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(100%)","100"))))))&lt;=10,"0", IF(AND((((_xlfn.XLOOKUP(Assessment!#REF!,Inherited!A:A,Inherited!B:B))/100)*(_xlfn.XLOOKUP(Assessment!#REF!,Inherited!A:A,Inherited!D:D)))+(((100-(_xlfn.XLOOKUP(Assessment!#REF!,Inherited!A:A,Inherited!B:B)))/100)*IF(Y11="1.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(100%)","100"))))))&gt;=11,(((_xlfn.XLOOKUP(Assessment!#REF!,Inherited!A:A,Inherited!B:B))/100)*(_xlfn.XLOOKUP(Assessment!#REF!,Inherited!A:A,Inherited!D:D)))+(((100-(_xlfn.XLOOKUP(Assessment!#REF!,Inherited!A:A,Inherited!B:B)))/100)*IF(Y11="1.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(100%)","100"))))))&lt;=32),"25",IF(AND((((_xlfn.XLOOKUP(Assessment!#REF!,Inherited!A:A,Inherited!B:B))/100)*(_xlfn.XLOOKUP(Assessment!#REF!,Inherited!A:A,Inherited!D:D)))+(((100-(_xlfn.XLOOKUP(Assessment!#REF!,Inherited!A:A,Inherited!B:B)))/100)*IF(Y11="1.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(100%)","100"))))))&gt;=33,(((_xlfn.XLOOKUP(Assessment!#REF!,Inherited!A:A,Inherited!B:B))/100)*(_xlfn.XLOOKUP(Assessment!#REF!,Inherited!A:A,Inherited!D:D)))+(((100-(_xlfn.XLOOKUP(Assessment!#REF!,Inherited!A:A,Inherited!B:B)))/100)*IF(Y11="1.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(100%)","100"))))))&lt;=65),"50",IF(AND((((_xlfn.XLOOKUP(Assessment!#REF!,Inherited!A:A,Inherited!B:B))/100)*(_xlfn.XLOOKUP(Assessment!#REF!,Inherited!A:A,Inherited!D:D)))+(((100-(_xlfn.XLOOKUP(Assessment!#REF!,Inherited!A:A,Inherited!B:B)))/100)*IF(Y11="1.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(100%)","100"))))))&gt;=66,(((_xlfn.XLOOKUP(Assessment!#REF!,Inherited!A:A,Inherited!B:B))/100)*(_xlfn.XLOOKUP(Assessment!#REF!,Inherited!A:A,Inherited!D:D)))+(((100-(_xlfn.XLOOKUP(Assessment!#REF!,Inherited!A:A,Inherited!B:B)))/100)*IF(Y11="1.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(100%)","100"))))))&lt;=89),"75",IF((((_xlfn.XLOOKUP(Assessment!#REF!,Inherited!A:A,Inherited!B:B))/100)*(_xlfn.XLOOKUP(Assessment!#REF!,Inherited!A:A,Inherited!D:D)))+(((100-(_xlfn.XLOOKUP(Assessment!#REF!,Inherited!A:A,Inherited!B:B)))/100)*IF(Y11="1. Non Compliant (0%)","0",IF(Y11="2. Somewhat Compliant (25%)","25",IF(Y11="3. Partially Compliant (50%)","50",IF(Y11="4. Mostly Compliant (75%)","75",IF(Y11="5. Fully Compliant (100%)","100"))))))&gt;=90,"100"))))))</f>
        <v>#N/A</v>
      </c>
      <c r="S11" s="1" t="e">
        <f>IF(MATCH(H11,Inherited!A:A),IF((((_xlfn.XLOOKUP(Assessment!#REF!,Inherited!A:A,Inherited!B:B))/100)*(_xlfn.XLOOKUP(Assessment!#REF!,Inherited!A:A,Inherited!E:E)))+(((100-(_xlfn.XLOOKUP(Assessment!#REF!,Inherited!A:A,Inherited!B:B)))/100)*IF(Z11="1.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(100%)","100"))))))&lt;=10,"0", IF(AND((((_xlfn.XLOOKUP(Assessment!#REF!,Inherited!A:A,Inherited!B:B))/100)*(_xlfn.XLOOKUP(Assessment!#REF!,Inherited!A:A,Inherited!E:E)))+(((100-(_xlfn.XLOOKUP(Assessment!#REF!,Inherited!A:A,Inherited!B:B)))/100)*IF(Z11="1.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(100%)","100"))))))&gt;=11,(((_xlfn.XLOOKUP(Assessment!#REF!,Inherited!A:A,Inherited!B:B))/100)*(_xlfn.XLOOKUP(Assessment!#REF!,Inherited!A:A,Inherited!E:E)))+(((100-(_xlfn.XLOOKUP(Assessment!#REF!,Inherited!A:A,Inherited!B:B)))/100)*IF(Z11="1.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(100%)","100"))))))&lt;=32),"25",IF(AND((((_xlfn.XLOOKUP(Assessment!#REF!,Inherited!A:A,Inherited!B:B))/100)*(_xlfn.XLOOKUP(Assessment!#REF!,Inherited!A:A,Inherited!E:E)))+(((100-(_xlfn.XLOOKUP(Assessment!#REF!,Inherited!A:A,Inherited!B:B)))/100)*IF(Z11="1.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(100%)","100"))))))&gt;=33,(((_xlfn.XLOOKUP(Assessment!#REF!,Inherited!A:A,Inherited!B:B))/100)*(_xlfn.XLOOKUP(Assessment!#REF!,Inherited!A:A,Inherited!E:E)))+(((100-(_xlfn.XLOOKUP(Assessment!#REF!,Inherited!A:A,Inherited!B:B)))/100)*IF(Z11="1.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(100%)","100"))))))&lt;=65),"50",IF(AND((((_xlfn.XLOOKUP(Assessment!#REF!,Inherited!A:A,Inherited!B:B))/100)*(_xlfn.XLOOKUP(Assessment!#REF!,Inherited!A:A,Inherited!E:E)))+(((100-(_xlfn.XLOOKUP(Assessment!#REF!,Inherited!A:A,Inherited!B:B)))/100)*IF(Z11="1.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(100%)","100"))))))&gt;=66,(((_xlfn.XLOOKUP(Assessment!#REF!,Inherited!A:A,Inherited!B:B))/100)*(_xlfn.XLOOKUP(Assessment!#REF!,Inherited!A:A,Inherited!E:E)))+(((100-(_xlfn.XLOOKUP(Assessment!#REF!,Inherited!A:A,Inherited!B:B)))/100)*IF(Z11="1.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(100%)","100"))))))&lt;=89),"75",IF((((_xlfn.XLOOKUP(Assessment!#REF!,Inherited!A:A,Inherited!B:B))/100)*(_xlfn.XLOOKUP(Assessment!#REF!,Inherited!A:A,Inherited!E:E)))+(((100-(_xlfn.XLOOKUP(Assessment!#REF!,Inherited!A:A,Inherited!B:B)))/100)*IF(Z11="1. Non Compliant (0%)","0",IF(Z11="2. Somewhat Compliant (25%)","25",IF(Z11="3. Partially Compliant (50%)","50",IF(Z11="4. Mostly Compliant (75%)","75",IF(Z11="5. Fully Compliant (100%)","100"))))))&gt;=90,"100"))))))</f>
        <v>#N/A</v>
      </c>
      <c r="T11" s="1" t="e">
        <f>IF(MATCH(H11,Inherited!A:A),IF((((_xlfn.XLOOKUP(Assessment!#REF!,Inherited!A:A,Inherited!B:B))/100)*(_xlfn.XLOOKUP(Assessment!#REF!,Inherited!A:A,Inherited!F:F)))+(((100-(_xlfn.XLOOKUP(Assessment!#REF!,Inherited!A:A,Inherited!B:B)))/100)*IF(AA11="1.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(100%)","100"))))))&lt;=10,"0", IF(AND((((_xlfn.XLOOKUP(Assessment!#REF!,Inherited!A:A,Inherited!B:B))/100)*(_xlfn.XLOOKUP(Assessment!#REF!,Inherited!A:A,Inherited!F:F)))+(((100-(_xlfn.XLOOKUP(Assessment!#REF!,Inherited!A:A,Inherited!B:B)))/100)*IF(AA11="1.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(100%)","100"))))))&gt;=11,(((_xlfn.XLOOKUP(Assessment!#REF!,Inherited!A:A,Inherited!B:B))/100)*(_xlfn.XLOOKUP(Assessment!#REF!,Inherited!A:A,Inherited!F:F)))+(((100-(_xlfn.XLOOKUP(Assessment!#REF!,Inherited!A:A,Inherited!B:B)))/100)*IF(AA11="1.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(100%)","100"))))))&lt;=32),"25",IF(AND((((_xlfn.XLOOKUP(Assessment!#REF!,Inherited!A:A,Inherited!B:B))/100)*(_xlfn.XLOOKUP(Assessment!#REF!,Inherited!A:A,Inherited!F:F)))+(((100-(_xlfn.XLOOKUP(Assessment!#REF!,Inherited!A:A,Inherited!B:B)))/100)*IF(AA11="1.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(100%)","100"))))))&gt;=33,(((_xlfn.XLOOKUP(Assessment!#REF!,Inherited!A:A,Inherited!B:B))/100)*(_xlfn.XLOOKUP(Assessment!#REF!,Inherited!A:A,Inherited!F:F)))+(((100-(_xlfn.XLOOKUP(Assessment!#REF!,Inherited!A:A,Inherited!B:B)))/100)*IF(AA11="1.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(100%)","100"))))))&lt;=65),"50",IF(AND((((_xlfn.XLOOKUP(Assessment!#REF!,Inherited!A:A,Inherited!B:B))/100)*(_xlfn.XLOOKUP(Assessment!#REF!,Inherited!A:A,Inherited!F:F)))+(((100-(_xlfn.XLOOKUP(Assessment!#REF!,Inherited!A:A,Inherited!B:B)))/100)*IF(AA11="1.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(100%)","100"))))))&gt;=66,(((_xlfn.XLOOKUP(Assessment!#REF!,Inherited!A:A,Inherited!B:B))/100)*(_xlfn.XLOOKUP(Assessment!#REF!,Inherited!A:A,Inherited!F:F)))+(((100-(_xlfn.XLOOKUP(Assessment!#REF!,Inherited!A:A,Inherited!B:B)))/100)*IF(AA11="1.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(100%)","100"))))))&lt;=89),"75",IF((((_xlfn.XLOOKUP(Assessment!#REF!,Inherited!A:A,Inherited!B:B))/100)*(_xlfn.XLOOKUP(Assessment!#REF!,Inherited!A:A,Inherited!F:F)))+(((100-(_xlfn.XLOOKUP(Assessment!#REF!,Inherited!A:A,Inherited!B:B)))/100)*IF(AA11="1. Non Compliant (0%)","0",IF(AA11="2. Somewhat Compliant (25%)","25",IF(AA11="3. Partially Compliant (50%)","50",IF(AA11="4. Mostly Compliant (75%)","75",IF(AA11="5. Fully Compliant (100%)","100"))))))&gt;=90,"100"))))))</f>
        <v>#N/A</v>
      </c>
      <c r="U11" s="1" t="e">
        <f>IF(MATCH(H11,Inherited!A:A),IF((((_xlfn.XLOOKUP(Assessment!#REF!,Inherited!A:A,Inherited!B:B))/100)*(_xlfn.XLOOKUP(Assessment!#REF!,Inherited!A:A,Inherited!G:G)))+(((100-(_xlfn.XLOOKUP(Assessment!#REF!,Inherited!A:A,Inherited!B:B)))/100)*IF(AB11="1.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(100%)","100"))))))&lt;=10,"0", IF(AND((((_xlfn.XLOOKUP(Assessment!#REF!,Inherited!A:A,Inherited!B:B))/100)*(_xlfn.XLOOKUP(Assessment!#REF!,Inherited!A:A,Inherited!G:G)))+(((100-(_xlfn.XLOOKUP(Assessment!#REF!,Inherited!A:A,Inherited!B:B)))/100)*IF(AB11="1.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(100%)","100"))))))&gt;=11,(((_xlfn.XLOOKUP(Assessment!#REF!,Inherited!A:A,Inherited!B:B))/100)*(_xlfn.XLOOKUP(Assessment!#REF!,Inherited!A:A,Inherited!G:G)))+(((100-(_xlfn.XLOOKUP(Assessment!#REF!,Inherited!A:A,Inherited!B:B)))/100)*IF(AB11="1.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(100%)","100"))))))&lt;=32),"25",IF(AND((((_xlfn.XLOOKUP(Assessment!#REF!,Inherited!A:A,Inherited!B:B))/100)*(_xlfn.XLOOKUP(Assessment!#REF!,Inherited!A:A,Inherited!G:G)))+(((100-(_xlfn.XLOOKUP(Assessment!#REF!,Inherited!A:A,Inherited!B:B)))/100)*IF(AB11="1.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(100%)","100"))))))&gt;=33,(((_xlfn.XLOOKUP(Assessment!#REF!,Inherited!A:A,Inherited!B:B))/100)*(_xlfn.XLOOKUP(Assessment!#REF!,Inherited!A:A,Inherited!G:G)))+(((100-(_xlfn.XLOOKUP(Assessment!#REF!,Inherited!A:A,Inherited!B:B)))/100)*IF(AB11="1.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(100%)","100"))))))&lt;=65),"50",IF(AND((((_xlfn.XLOOKUP(Assessment!#REF!,Inherited!A:A,Inherited!B:B))/100)*(_xlfn.XLOOKUP(Assessment!#REF!,Inherited!A:A,Inherited!G:G)))+(((100-(_xlfn.XLOOKUP(Assessment!#REF!,Inherited!A:A,Inherited!B:B)))/100)*IF(AB11="1.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(100%)","100"))))))&gt;=66,(((_xlfn.XLOOKUP(Assessment!#REF!,Inherited!A:A,Inherited!B:B))/100)*(_xlfn.XLOOKUP(Assessment!#REF!,Inherited!A:A,Inherited!G:G)))+(((100-(_xlfn.XLOOKUP(Assessment!#REF!,Inherited!A:A,Inherited!B:B)))/100)*IF(AB11="1.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(100%)","100"))))))&lt;=89),"75",IF((((_xlfn.XLOOKUP(Assessment!#REF!,Inherited!A:A,Inherited!B:B))/100)*(_xlfn.XLOOKUP(Assessment!#REF!,Inherited!A:A,Inherited!G:G)))+(((100-(_xlfn.XLOOKUP(Assessment!#REF!,Inherited!A:A,Inherited!B:B)))/100)*IF(AB11="1. Non Compliant (0%)","0",IF(AB11="2. Somewhat Compliant (25%)","25",IF(AB11="3. Partially Compliant (50%)","50",IF(AB11="4. Mostly Compliant (75%)","75",IF(AB11="5. Fully Compliant (100%)","100"))))))&gt;=90,"100"))))))</f>
        <v>#N/A</v>
      </c>
      <c r="V11" s="55" t="s">
        <v>85</v>
      </c>
      <c r="W11" s="55"/>
      <c r="X11" s="55"/>
      <c r="Y11" s="55"/>
      <c r="Z11" s="55" t="s">
        <v>86</v>
      </c>
      <c r="AA11" s="55"/>
      <c r="AB11" s="55"/>
      <c r="AK11" s="1" t="s">
        <v>10947</v>
      </c>
      <c r="AL11" s="1" t="s">
        <v>11140</v>
      </c>
      <c r="AN11" s="1" t="s">
        <v>11139</v>
      </c>
      <c r="AO11" s="1" t="s">
        <v>11161</v>
      </c>
      <c r="AX11" s="3" t="str">
        <f>_xlfn.CONCAT("A-LIGN finished its review of this control on ",AR11, " during the scheduled fieldwork window (",Intro!$B$4,")."&amp; CHAR(10)&amp; CHAR(10))</f>
        <v xml:space="preserve">A-LIGN finished its review of this control on  during the scheduled fieldwork window (Fieldwork: xx/xx/xxxx - xx/xx/xxxx).
</v>
      </c>
      <c r="AY11" s="3" t="str">
        <f t="shared" si="10"/>
        <v/>
      </c>
      <c r="AZ11" s="3" t="str">
        <f t="shared" si="11"/>
        <v/>
      </c>
      <c r="BA11" s="3" t="str">
        <f t="shared" si="12"/>
        <v/>
      </c>
      <c r="BB11" s="3" t="str">
        <f t="shared" si="13"/>
        <v xml:space="preserve">Inquired of the following workforce member: 
Roze Nicolas - Director of TechOps
Inquiry lead to the following conclusions: 
All policies and procedures are uploaded to Air Mason which is available to all users.
</v>
      </c>
      <c r="BC11" s="3" t="str">
        <f t="shared" si="14"/>
        <v/>
      </c>
      <c r="BD11" s="3" t="str">
        <f t="shared" si="15"/>
        <v xml:space="preserve">Examined the following evidence during fieldwork:
0113.04a1Organizational.2 MRG-026-Information Security Program.docx
Reviewed evidence note:
A-LIGN reviewed the Merge information security policy and confirmed that a purpose, scope, roles and responsibilities, management commitment, and coordination and compliance efforts, and the approach to information security are formally defined.
</v>
      </c>
      <c r="BE11" s="3" t="str">
        <f t="shared" si="16"/>
        <v/>
      </c>
      <c r="BF11" s="3" t="str">
        <f t="shared" si="17"/>
        <v/>
      </c>
      <c r="BG11" s="3" t="str">
        <f>_xlfn.CONCAT((IF((COUNTIF('Sample Tables'!B:B,"")&gt;0)=TRUE,_xlfn.CONCAT("",""),IF((COUNTIF('Sample Tables'!B:B,"")&gt;0)=FALSE,""))),)</f>
        <v/>
      </c>
      <c r="BH11" s="3" t="str">
        <f t="shared" si="18"/>
        <v xml:space="preserve">A-LIGN finished its review of this control on  during the scheduled fieldwork window (Fieldwork: xx/xx/xxxx - xx/xx/xxxx).
Inquired of the following workforce member: 
Roze Nicolas - Director of TechOps
Inquiry lead to the following conclusions: 
All policies and procedures are uploaded to Air Mason which is available to all users.
Examined the following evidence during fieldwork:
0113.04a1Organizational.2 MRG-026-Information Security Program.docx
Reviewed evidence note:
A-LIGN reviewed the Merge information security policy and confirmed that a purpose, scope, roles and responsibilities, management commitment, and coordination and compliance efforts, and the approach to information security are formally defined.
</v>
      </c>
    </row>
    <row r="12" spans="1:60" ht="409.6" customHeight="1" x14ac:dyDescent="0.35">
      <c r="C12" s="1">
        <f t="shared" ref="C12:C13" si="20">IF(V12="No","Not Applicable",(IF(X12="1. Non Compliant (0%)","0",IF(X12="2. Somewhat Compliant (25%)","25",IF(X12="3. Partially Compliant (50%)","50",IF(X12="4. Mostly Compliant (75%)","75",IF(X12="5. Fully Compliant (100%)","100")))))*0.15)+((IF(Y12="1. Non Compliant (0%)","0",IF(Y12="2. Somewhat Compliant (25%)","25",IF(Y12="3. Partially Compliant (50%)","50",IF(Y12="4. Mostly Compliant (75%)","75",IF(Y12="5. Fully Compliant (100%)","100"))))))*0.2)+(IF(Z12="1. Non Compliant (0%)","0",IF(Z12="2. Somewhat Compliant (25%)","25",IF(Z12="3. Partially Compliant (50%)","50",IF(Z12="4. Mostly Compliant (75%)","75",IF(Z12="5. Fully Compliant (100%)","100")))))*0.4)+(IF(AA12="1. Non Compliant (0%)","0",IF(AA12="2. Somewhat Compliant (25%)","25",IF(AA12="3. Partially Compliant (50%)","50",IF(AA12="4. Mostly Compliant (75%)","75",IF(AA12="5. Fully Compliant (100%)","100")))))*0.1)+(IF(AB12="1. Non Compliant (0%)","0",IF(AB12="2. Somewhat Compliant (25%)","25",IF(AB12="3. Partially Compliant (50%)","50",IF(AB12="4. Mostly Compliant (75%)","75",IF(AB12="5. Fully Compliant (100%)","100")))))*0.15))</f>
        <v>40</v>
      </c>
      <c r="D12" s="5" t="str">
        <f>IF(AND((_xlfn.XLOOKUP(J12,'Fields &amp; Revisions'!$H:$H,'Fields &amp; Revisions'!$I:$I))&lt;70.99,(OR(Z12="4. Mostly Compliant (75%)",Z12="3. Partially Compliant (50%)",Z12="2. Somewhat Compliant (25%)",Z12="1. Non Compliant (0%)"))),"Yes","No")</f>
        <v>No</v>
      </c>
      <c r="E12" s="5" t="str">
        <f>IF(ISERROR(VLOOKUP(H12,Scope!A:A,1,FALSE)),"No","Yes")</f>
        <v>Yes</v>
      </c>
      <c r="F12" s="1" t="s">
        <v>90</v>
      </c>
      <c r="G12" s="53" t="s">
        <v>424</v>
      </c>
      <c r="H12" s="53" t="s">
        <v>425</v>
      </c>
      <c r="I12" s="5">
        <v>1</v>
      </c>
      <c r="J12" s="1" t="s">
        <v>270</v>
      </c>
      <c r="K12" s="1" t="s">
        <v>426</v>
      </c>
      <c r="L12" s="1" t="s">
        <v>10889</v>
      </c>
      <c r="M12" s="1" t="s">
        <v>427</v>
      </c>
      <c r="N12" s="5" t="s">
        <v>98</v>
      </c>
      <c r="O12" s="1" t="str">
        <f>_xlfn.XLOOKUP(G12,SRMs!$A:$A,SRMs!$D:$D)</f>
        <v>NO INHERITANCE</v>
      </c>
      <c r="P12" s="1" t="str">
        <f>IFERROR(VLOOKUP(H12,Inherited!A:B,2,FALSE),"")</f>
        <v/>
      </c>
      <c r="Q12" s="1" t="e">
        <f>IF(MATCH(H12,Inherited!A:A),IF((((_xlfn.XLOOKUP(Assessment!#REF!,Inherited!A:A,Inherited!B:B))/100)*(_xlfn.XLOOKUP(Assessment!#REF!,Inherited!A:A,Inherited!C:C)))+(((100-(_xlfn.XLOOKUP(Assessment!#REF!,Inherited!A:A,Inherited!B:B)))/100)*IF(X12="1.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(100%)","100"))))))&lt;=10,"0", IF(AND((((_xlfn.XLOOKUP(Assessment!#REF!,Inherited!A:A,Inherited!B:B))/100)*(_xlfn.XLOOKUP(Assessment!#REF!,Inherited!A:A,Inherited!C:C)))+(((100-(_xlfn.XLOOKUP(Assessment!#REF!,Inherited!A:A,Inherited!B:B)))/100)*IF(X12="1.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(100%)","100"))))))&gt;=11,(((_xlfn.XLOOKUP(Assessment!#REF!,Inherited!A:A,Inherited!B:B))/100)*(_xlfn.XLOOKUP(Assessment!#REF!,Inherited!A:A,Inherited!C:C)))+(((100-(_xlfn.XLOOKUP(Assessment!#REF!,Inherited!A:A,Inherited!B:B)))/100)*IF(X12="1.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(100%)","100"))))))&lt;=32),"25",IF(AND((((_xlfn.XLOOKUP(Assessment!#REF!,Inherited!A:A,Inherited!B:B))/100)*(_xlfn.XLOOKUP(Assessment!#REF!,Inherited!A:A,Inherited!C:C)))+(((100-(_xlfn.XLOOKUP(Assessment!#REF!,Inherited!A:A,Inherited!B:B)))/100)*IF(X12="1.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(100%)","100"))))))&gt;=33,(((_xlfn.XLOOKUP(Assessment!#REF!,Inherited!A:A,Inherited!B:B))/100)*(_xlfn.XLOOKUP(Assessment!#REF!,Inherited!A:A,Inherited!C:C)))+(((100-(_xlfn.XLOOKUP(Assessment!#REF!,Inherited!A:A,Inherited!B:B)))/100)*IF(X12="1.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(100%)","100"))))))&lt;=65),"50",IF(AND((((_xlfn.XLOOKUP(Assessment!#REF!,Inherited!A:A,Inherited!B:B))/100)*(_xlfn.XLOOKUP(Assessment!#REF!,Inherited!A:A,Inherited!C:C)))+(((100-(_xlfn.XLOOKUP(Assessment!#REF!,Inherited!A:A,Inherited!B:B)))/100)*IF(X12="1.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(100%)","100"))))))&gt;=66,(((_xlfn.XLOOKUP(Assessment!#REF!,Inherited!A:A,Inherited!B:B))/100)*(_xlfn.XLOOKUP(Assessment!#REF!,Inherited!A:A,Inherited!C:C)))+(((100-(_xlfn.XLOOKUP(Assessment!#REF!,Inherited!A:A,Inherited!B:B)))/100)*IF(X12="1.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(100%)","100"))))))&lt;=89),"75",IF((((_xlfn.XLOOKUP(Assessment!#REF!,Inherited!A:A,Inherited!B:B))/100)*(_xlfn.XLOOKUP(Assessment!#REF!,Inherited!A:A,Inherited!C:C)))+(((100-(_xlfn.XLOOKUP(Assessment!#REF!,Inherited!A:A,Inherited!B:B)))/100)*IF(X12="1. Non Compliant (0%)","0",IF(X12="2. Somewhat Compliant (25%)","25",IF(X12="3. Partially Compliant (50%)","50",IF(X12="4. Mostly Compliant (75%)","75",IF(X12="5. Fully Compliant (100%)","100"))))))&gt;=90,"100"))))))</f>
        <v>#N/A</v>
      </c>
      <c r="R12" s="1" t="e">
        <f>IF(MATCH(H12,Inherited!A:A),IF((((_xlfn.XLOOKUP(Assessment!#REF!,Inherited!A:A,Inherited!B:B))/100)*(_xlfn.XLOOKUP(Assessment!#REF!,Inherited!A:A,Inherited!D:D)))+(((100-(_xlfn.XLOOKUP(Assessment!#REF!,Inherited!A:A,Inherited!B:B)))/100)*IF(Y12="1.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(100%)","100"))))))&lt;=10,"0", IF(AND((((_xlfn.XLOOKUP(Assessment!#REF!,Inherited!A:A,Inherited!B:B))/100)*(_xlfn.XLOOKUP(Assessment!#REF!,Inherited!A:A,Inherited!D:D)))+(((100-(_xlfn.XLOOKUP(Assessment!#REF!,Inherited!A:A,Inherited!B:B)))/100)*IF(Y12="1.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(100%)","100"))))))&gt;=11,(((_xlfn.XLOOKUP(Assessment!#REF!,Inherited!A:A,Inherited!B:B))/100)*(_xlfn.XLOOKUP(Assessment!#REF!,Inherited!A:A,Inherited!D:D)))+(((100-(_xlfn.XLOOKUP(Assessment!#REF!,Inherited!A:A,Inherited!B:B)))/100)*IF(Y12="1.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(100%)","100"))))))&lt;=32),"25",IF(AND((((_xlfn.XLOOKUP(Assessment!#REF!,Inherited!A:A,Inherited!B:B))/100)*(_xlfn.XLOOKUP(Assessment!#REF!,Inherited!A:A,Inherited!D:D)))+(((100-(_xlfn.XLOOKUP(Assessment!#REF!,Inherited!A:A,Inherited!B:B)))/100)*IF(Y12="1.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(100%)","100"))))))&gt;=33,(((_xlfn.XLOOKUP(Assessment!#REF!,Inherited!A:A,Inherited!B:B))/100)*(_xlfn.XLOOKUP(Assessment!#REF!,Inherited!A:A,Inherited!D:D)))+(((100-(_xlfn.XLOOKUP(Assessment!#REF!,Inherited!A:A,Inherited!B:B)))/100)*IF(Y12="1.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(100%)","100"))))))&lt;=65),"50",IF(AND((((_xlfn.XLOOKUP(Assessment!#REF!,Inherited!A:A,Inherited!B:B))/100)*(_xlfn.XLOOKUP(Assessment!#REF!,Inherited!A:A,Inherited!D:D)))+(((100-(_xlfn.XLOOKUP(Assessment!#REF!,Inherited!A:A,Inherited!B:B)))/100)*IF(Y12="1.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(100%)","100"))))))&gt;=66,(((_xlfn.XLOOKUP(Assessment!#REF!,Inherited!A:A,Inherited!B:B))/100)*(_xlfn.XLOOKUP(Assessment!#REF!,Inherited!A:A,Inherited!D:D)))+(((100-(_xlfn.XLOOKUP(Assessment!#REF!,Inherited!A:A,Inherited!B:B)))/100)*IF(Y12="1.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(100%)","100"))))))&lt;=89),"75",IF((((_xlfn.XLOOKUP(Assessment!#REF!,Inherited!A:A,Inherited!B:B))/100)*(_xlfn.XLOOKUP(Assessment!#REF!,Inherited!A:A,Inherited!D:D)))+(((100-(_xlfn.XLOOKUP(Assessment!#REF!,Inherited!A:A,Inherited!B:B)))/100)*IF(Y12="1. Non Compliant (0%)","0",IF(Y12="2. Somewhat Compliant (25%)","25",IF(Y12="3. Partially Compliant (50%)","50",IF(Y12="4. Mostly Compliant (75%)","75",IF(Y12="5. Fully Compliant (100%)","100"))))))&gt;=90,"100"))))))</f>
        <v>#N/A</v>
      </c>
      <c r="S12" s="1" t="e">
        <f>IF(MATCH(H12,Inherited!A:A),IF((((_xlfn.XLOOKUP(Assessment!#REF!,Inherited!A:A,Inherited!B:B))/100)*(_xlfn.XLOOKUP(Assessment!#REF!,Inherited!A:A,Inherited!E:E)))+(((100-(_xlfn.XLOOKUP(Assessment!#REF!,Inherited!A:A,Inherited!B:B)))/100)*IF(Z12="1.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(100%)","100"))))))&lt;=10,"0", IF(AND((((_xlfn.XLOOKUP(Assessment!#REF!,Inherited!A:A,Inherited!B:B))/100)*(_xlfn.XLOOKUP(Assessment!#REF!,Inherited!A:A,Inherited!E:E)))+(((100-(_xlfn.XLOOKUP(Assessment!#REF!,Inherited!A:A,Inherited!B:B)))/100)*IF(Z12="1.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(100%)","100"))))))&gt;=11,(((_xlfn.XLOOKUP(Assessment!#REF!,Inherited!A:A,Inherited!B:B))/100)*(_xlfn.XLOOKUP(Assessment!#REF!,Inherited!A:A,Inherited!E:E)))+(((100-(_xlfn.XLOOKUP(Assessment!#REF!,Inherited!A:A,Inherited!B:B)))/100)*IF(Z12="1.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(100%)","100"))))))&lt;=32),"25",IF(AND((((_xlfn.XLOOKUP(Assessment!#REF!,Inherited!A:A,Inherited!B:B))/100)*(_xlfn.XLOOKUP(Assessment!#REF!,Inherited!A:A,Inherited!E:E)))+(((100-(_xlfn.XLOOKUP(Assessment!#REF!,Inherited!A:A,Inherited!B:B)))/100)*IF(Z12="1.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(100%)","100"))))))&gt;=33,(((_xlfn.XLOOKUP(Assessment!#REF!,Inherited!A:A,Inherited!B:B))/100)*(_xlfn.XLOOKUP(Assessment!#REF!,Inherited!A:A,Inherited!E:E)))+(((100-(_xlfn.XLOOKUP(Assessment!#REF!,Inherited!A:A,Inherited!B:B)))/100)*IF(Z12="1.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(100%)","100"))))))&lt;=65),"50",IF(AND((((_xlfn.XLOOKUP(Assessment!#REF!,Inherited!A:A,Inherited!B:B))/100)*(_xlfn.XLOOKUP(Assessment!#REF!,Inherited!A:A,Inherited!E:E)))+(((100-(_xlfn.XLOOKUP(Assessment!#REF!,Inherited!A:A,Inherited!B:B)))/100)*IF(Z12="1.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(100%)","100"))))))&gt;=66,(((_xlfn.XLOOKUP(Assessment!#REF!,Inherited!A:A,Inherited!B:B))/100)*(_xlfn.XLOOKUP(Assessment!#REF!,Inherited!A:A,Inherited!E:E)))+(((100-(_xlfn.XLOOKUP(Assessment!#REF!,Inherited!A:A,Inherited!B:B)))/100)*IF(Z12="1.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(100%)","100"))))))&lt;=89),"75",IF((((_xlfn.XLOOKUP(Assessment!#REF!,Inherited!A:A,Inherited!B:B))/100)*(_xlfn.XLOOKUP(Assessment!#REF!,Inherited!A:A,Inherited!E:E)))+(((100-(_xlfn.XLOOKUP(Assessment!#REF!,Inherited!A:A,Inherited!B:B)))/100)*IF(Z12="1. Non Compliant (0%)","0",IF(Z12="2. Somewhat Compliant (25%)","25",IF(Z12="3. Partially Compliant (50%)","50",IF(Z12="4. Mostly Compliant (75%)","75",IF(Z12="5. Fully Compliant (100%)","100"))))))&gt;=90,"100"))))))</f>
        <v>#N/A</v>
      </c>
      <c r="T12" s="1" t="e">
        <f>IF(MATCH(H12,Inherited!A:A),IF((((_xlfn.XLOOKUP(Assessment!#REF!,Inherited!A:A,Inherited!B:B))/100)*(_xlfn.XLOOKUP(Assessment!#REF!,Inherited!A:A,Inherited!F:F)))+(((100-(_xlfn.XLOOKUP(Assessment!#REF!,Inherited!A:A,Inherited!B:B)))/100)*IF(AA12="1.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(100%)","100"))))))&lt;=10,"0", IF(AND((((_xlfn.XLOOKUP(Assessment!#REF!,Inherited!A:A,Inherited!B:B))/100)*(_xlfn.XLOOKUP(Assessment!#REF!,Inherited!A:A,Inherited!F:F)))+(((100-(_xlfn.XLOOKUP(Assessment!#REF!,Inherited!A:A,Inherited!B:B)))/100)*IF(AA12="1.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(100%)","100"))))))&gt;=11,(((_xlfn.XLOOKUP(Assessment!#REF!,Inherited!A:A,Inherited!B:B))/100)*(_xlfn.XLOOKUP(Assessment!#REF!,Inherited!A:A,Inherited!F:F)))+(((100-(_xlfn.XLOOKUP(Assessment!#REF!,Inherited!A:A,Inherited!B:B)))/100)*IF(AA12="1.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(100%)","100"))))))&lt;=32),"25",IF(AND((((_xlfn.XLOOKUP(Assessment!#REF!,Inherited!A:A,Inherited!B:B))/100)*(_xlfn.XLOOKUP(Assessment!#REF!,Inherited!A:A,Inherited!F:F)))+(((100-(_xlfn.XLOOKUP(Assessment!#REF!,Inherited!A:A,Inherited!B:B)))/100)*IF(AA12="1.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(100%)","100"))))))&gt;=33,(((_xlfn.XLOOKUP(Assessment!#REF!,Inherited!A:A,Inherited!B:B))/100)*(_xlfn.XLOOKUP(Assessment!#REF!,Inherited!A:A,Inherited!F:F)))+(((100-(_xlfn.XLOOKUP(Assessment!#REF!,Inherited!A:A,Inherited!B:B)))/100)*IF(AA12="1.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(100%)","100"))))))&lt;=65),"50",IF(AND((((_xlfn.XLOOKUP(Assessment!#REF!,Inherited!A:A,Inherited!B:B))/100)*(_xlfn.XLOOKUP(Assessment!#REF!,Inherited!A:A,Inherited!F:F)))+(((100-(_xlfn.XLOOKUP(Assessment!#REF!,Inherited!A:A,Inherited!B:B)))/100)*IF(AA12="1.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(100%)","100"))))))&gt;=66,(((_xlfn.XLOOKUP(Assessment!#REF!,Inherited!A:A,Inherited!B:B))/100)*(_xlfn.XLOOKUP(Assessment!#REF!,Inherited!A:A,Inherited!F:F)))+(((100-(_xlfn.XLOOKUP(Assessment!#REF!,Inherited!A:A,Inherited!B:B)))/100)*IF(AA12="1.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(100%)","100"))))))&lt;=89),"75",IF((((_xlfn.XLOOKUP(Assessment!#REF!,Inherited!A:A,Inherited!B:B))/100)*(_xlfn.XLOOKUP(Assessment!#REF!,Inherited!A:A,Inherited!F:F)))+(((100-(_xlfn.XLOOKUP(Assessment!#REF!,Inherited!A:A,Inherited!B:B)))/100)*IF(AA12="1. Non Compliant (0%)","0",IF(AA12="2. Somewhat Compliant (25%)","25",IF(AA12="3. Partially Compliant (50%)","50",IF(AA12="4. Mostly Compliant (75%)","75",IF(AA12="5. Fully Compliant (100%)","100"))))))&gt;=90,"100"))))))</f>
        <v>#N/A</v>
      </c>
      <c r="U12" s="1" t="e">
        <f>IF(MATCH(H12,Inherited!A:A),IF((((_xlfn.XLOOKUP(Assessment!#REF!,Inherited!A:A,Inherited!B:B))/100)*(_xlfn.XLOOKUP(Assessment!#REF!,Inherited!A:A,Inherited!G:G)))+(((100-(_xlfn.XLOOKUP(Assessment!#REF!,Inherited!A:A,Inherited!B:B)))/100)*IF(AB12="1.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(100%)","100"))))))&lt;=10,"0", IF(AND((((_xlfn.XLOOKUP(Assessment!#REF!,Inherited!A:A,Inherited!B:B))/100)*(_xlfn.XLOOKUP(Assessment!#REF!,Inherited!A:A,Inherited!G:G)))+(((100-(_xlfn.XLOOKUP(Assessment!#REF!,Inherited!A:A,Inherited!B:B)))/100)*IF(AB12="1.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(100%)","100"))))))&gt;=11,(((_xlfn.XLOOKUP(Assessment!#REF!,Inherited!A:A,Inherited!B:B))/100)*(_xlfn.XLOOKUP(Assessment!#REF!,Inherited!A:A,Inherited!G:G)))+(((100-(_xlfn.XLOOKUP(Assessment!#REF!,Inherited!A:A,Inherited!B:B)))/100)*IF(AB12="1.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(100%)","100"))))))&lt;=32),"25",IF(AND((((_xlfn.XLOOKUP(Assessment!#REF!,Inherited!A:A,Inherited!B:B))/100)*(_xlfn.XLOOKUP(Assessment!#REF!,Inherited!A:A,Inherited!G:G)))+(((100-(_xlfn.XLOOKUP(Assessment!#REF!,Inherited!A:A,Inherited!B:B)))/100)*IF(AB12="1.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(100%)","100"))))))&gt;=33,(((_xlfn.XLOOKUP(Assessment!#REF!,Inherited!A:A,Inherited!B:B))/100)*(_xlfn.XLOOKUP(Assessment!#REF!,Inherited!A:A,Inherited!G:G)))+(((100-(_xlfn.XLOOKUP(Assessment!#REF!,Inherited!A:A,Inherited!B:B)))/100)*IF(AB12="1.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(100%)","100"))))))&lt;=65),"50",IF(AND((((_xlfn.XLOOKUP(Assessment!#REF!,Inherited!A:A,Inherited!B:B))/100)*(_xlfn.XLOOKUP(Assessment!#REF!,Inherited!A:A,Inherited!G:G)))+(((100-(_xlfn.XLOOKUP(Assessment!#REF!,Inherited!A:A,Inherited!B:B)))/100)*IF(AB12="1.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(100%)","100"))))))&gt;=66,(((_xlfn.XLOOKUP(Assessment!#REF!,Inherited!A:A,Inherited!B:B))/100)*(_xlfn.XLOOKUP(Assessment!#REF!,Inherited!A:A,Inherited!G:G)))+(((100-(_xlfn.XLOOKUP(Assessment!#REF!,Inherited!A:A,Inherited!B:B)))/100)*IF(AB12="1.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(100%)","100"))))))&lt;=89),"75",IF((((_xlfn.XLOOKUP(Assessment!#REF!,Inherited!A:A,Inherited!B:B))/100)*(_xlfn.XLOOKUP(Assessment!#REF!,Inherited!A:A,Inherited!G:G)))+(((100-(_xlfn.XLOOKUP(Assessment!#REF!,Inherited!A:A,Inherited!B:B)))/100)*IF(AB12="1. Non Compliant (0%)","0",IF(AB12="2. Somewhat Compliant (25%)","25",IF(AB12="3. Partially Compliant (50%)","50",IF(AB12="4. Mostly Compliant (75%)","75",IF(AB12="5. Fully Compliant (100%)","100"))))))&gt;=90,"100"))))))</f>
        <v>#N/A</v>
      </c>
      <c r="V12" s="55" t="s">
        <v>85</v>
      </c>
      <c r="W12" s="55"/>
      <c r="X12" s="55"/>
      <c r="Y12" s="55"/>
      <c r="Z12" s="55" t="s">
        <v>86</v>
      </c>
      <c r="AA12" s="55"/>
      <c r="AB12" s="55"/>
      <c r="AK12" s="1" t="s">
        <v>10891</v>
      </c>
      <c r="AL12" s="1" t="s">
        <v>10921</v>
      </c>
      <c r="AM12" s="1" t="s">
        <v>10922</v>
      </c>
      <c r="AX12" s="3" t="str">
        <f>_xlfn.CONCAT("A-LIGN finished its review of this control on ",AR12, " during the scheduled fieldwork window (",Intro!$B$4,")."&amp; CHAR(10)&amp; CHAR(10))</f>
        <v xml:space="preserve">A-LIGN finished its review of this control on  during the scheduled fieldwork window (Fieldwork: xx/xx/xxxx - xx/xx/xxxx).
</v>
      </c>
      <c r="AY12" s="3" t="str">
        <f t="shared" ref="AY12:AY13" si="21">IF(AQ12&lt;&gt;"",(_xlfn.CONCAT("Inheritance note: "&amp; CHAR(10),AQ12&amp; CHAR(10)&amp; CHAR(10))),"")</f>
        <v/>
      </c>
      <c r="AZ12" s="3" t="str">
        <f t="shared" ref="AZ12:AZ13" si="22">IFERROR(IF(AD12&lt;&gt;"",_xlfn.CONCAT("Examined the following policy during fieldwork:"&amp; CHAR(10),AD12&amp; CHAR(10)&amp; CHAR(10),IF(AND(X12&lt;&gt;"5. Fully Compliant (100%)",AE12&lt;&gt;""),"Reviewed policy exception note:"&amp; CHAR(10) &amp; AE12 &amp; CHAR(10) &amp; CHAR(10),"")),""),"")</f>
        <v/>
      </c>
      <c r="BA12" s="3" t="str">
        <f t="shared" ref="BA12:BA13" si="23">IFERROR(IF(AH12&lt;&gt;"",_xlfn.CONCAT("Examined the following process during fieldwork:"&amp; CHAR(10),AH12&amp; CHAR(10)&amp; CHAR(10),IF(AND(Y12&lt;&gt;"5. Fully Compliant (100%)",AI12&lt;&gt;""),"Reviewed process exception note:"&amp; CHAR(10) &amp; AI12 &amp; CHAR(10) &amp; CHAR(10),"")),""),"")</f>
        <v/>
      </c>
      <c r="BB12" s="3" t="str">
        <f t="shared" ref="BB12:BB13" si="24">IF(AK12&lt;&gt;"",(_xlfn.CONCAT("Inquired of the following workforce member: "&amp; CHAR(10),AK12&amp; CHAR(10)&amp; CHAR(10),"Inquiry lead to the following conclusions: "&amp; CHAR(10),AL12&amp; CHAR(10) &amp; CHAR(10))),"")</f>
        <v xml:space="preserve">Inquired of the following workforce member: 
Matthew Macaluso - Director of System Operations
Roze Nicolas - Director of TechOps
Inquiry lead to the following conclusions: 
Dedicated Google channels are used for security notifications and general technology notifications
Weekly news letters are sent out to all users. These newsletters cover updates on organizational security activities 
Daily meetings "daily standups" are held with DevOps and Security teams meet to cover security activities
Quarterly change management board meetings cover security related concerns to exiting changes
Senior security leaders also meet on a weekly basis to cover security activities 
</v>
      </c>
      <c r="BC12" s="3" t="str">
        <f t="shared" ref="BC12:BC13" si="25">IF(AM12&lt;&gt;"",(_xlfn.CONCAT("Observed the following live during fieldwork: "&amp; CHAR(10),AM12&amp; CHAR(10) &amp; CHAR(10))),"")</f>
        <v xml:space="preserve">Observed the following live during fieldwork: 
Observed Director of TechOps calendar which demonstrated that daily standups, TechOps Vertical Leads meeting, TechOps Production Meetings are held
Observed Google TechOps announcement chat where security activities and vulnerabilities are communicated to the workforce
Observed "Weekly Mashup" newsletter that is sent out to the workforce where security activities and vulnerabilities are communicated to the workforce
</v>
      </c>
      <c r="BD12" s="3" t="str">
        <f t="shared" ref="BD12:BD13" si="26">_xlfn.CONCAT("Examined the following evidence during fieldwork:"&amp; CHAR(10),AN12&amp; CHAR(10)&amp; CHAR(10),IF(AO12&lt;&gt;"","Reviewed evidence note:"&amp; CHAR(10)&amp;AO12&amp; CHAR(10) &amp; CHAR(10),"Reviewed evidence addressed the requirement statement."&amp; CHAR(10) &amp; CHAR(10)),IF(AND(AP12&lt;&gt;"5. Fully Compliant (100%)",AP12&lt;&gt;""),"Reviewed evidence exception note: "&amp; CHAR(10) &amp; AP12 &amp; CHAR(10) &amp; CHAR(10),""))</f>
        <v xml:space="preserve">Examined the following evidence during fieldwork:
Reviewed evidence addressed the requirement statement.
</v>
      </c>
      <c r="BE12" s="3" t="str">
        <f t="shared" ref="BE12:BE13" si="27">IF(AT12&lt;&gt;"",(_xlfn.CONCAT("Examined the following measure/metric during fieldwork:"&amp; CHAR(10),AT12&amp; CHAR(10)&amp; CHAR(10),"Reviewed measure/metric note:"&amp; CHAR(10),AU12 &amp; CHAR(10) &amp; CHAR(10))),"")</f>
        <v/>
      </c>
      <c r="BF12" s="3" t="str">
        <f t="shared" ref="BF12:BF13" si="28">IF(AV12&lt;&gt;"",(_xlfn.CONCAT("Examined the following measure/metric management during fieldwork:"&amp; CHAR(10),AV12&amp; CHAR(10)&amp; CHAR(10),"Reviewed measure/metric management note:"&amp; CHAR(10),AW12 &amp; CHAR(10) &amp; CHAR(10))),"")</f>
        <v/>
      </c>
      <c r="BG12" s="3" t="str">
        <f>_xlfn.CONCAT((IF((COUNTIF('Sample Tables'!B:B,"")&gt;0)=TRUE,_xlfn.CONCAT("",""),IF((COUNTIF('Sample Tables'!B:B,"")&gt;0)=FALSE,""))),)</f>
        <v/>
      </c>
      <c r="BH12" s="3" t="str">
        <f t="shared" ref="BH12:BH13" si="29">IF(V12="No","Not Applicable: "&amp;W12,(_xlfn.CONCAT(AX12,AY12,AZ12,BA12,BB12,BC12,BD12,BE12,BF12,BG12)))</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Dedicated Google channels are used for security notifications and general technology notifications
Weekly news letters are sent out to all users. These newsletters cover updates on organizational security activities 
Daily meetings "daily standups" are held with DevOps and Security teams meet to cover security activities
Quarterly change management board meetings cover security related concerns to exiting changes
Senior security leaders also meet on a weekly basis to cover security activities 
Observed the following live during fieldwork: 
Observed Director of TechOps calendar which demonstrated that daily standups, TechOps Vertical Leads meeting, TechOps Production Meetings are held
Observed Google TechOps announcement chat where security activities and vulnerabilities are communicated to the workforce
Observed "Weekly Mashup" newsletter that is sent out to the workforce where security activities and vulnerabilities are communicated to the workforce
Examined the following evidence during fieldwork:
Reviewed evidence addressed the requirement statement.
</v>
      </c>
    </row>
    <row r="13" spans="1:60" ht="409.5" x14ac:dyDescent="0.35">
      <c r="C13" s="1">
        <f t="shared" si="20"/>
        <v>40</v>
      </c>
      <c r="D13" s="5" t="str">
        <f>IF(AND((_xlfn.XLOOKUP(J13,'Fields &amp; Revisions'!$H:$H,'Fields &amp; Revisions'!$I:$I))&lt;70.99,(OR(Z13="4. Mostly Compliant (75%)",Z13="3. Partially Compliant (50%)",Z13="2. Somewhat Compliant (25%)",Z13="1. Non Compliant (0%)"))),"Yes","No")</f>
        <v>No</v>
      </c>
      <c r="E13" s="5" t="str">
        <f>IF(ISERROR(VLOOKUP(H13,Scope!A:A,1,FALSE)),"No","Yes")</f>
        <v>Yes</v>
      </c>
      <c r="F13" s="1" t="s">
        <v>90</v>
      </c>
      <c r="G13" s="53" t="s">
        <v>514</v>
      </c>
      <c r="H13" s="53" t="s">
        <v>515</v>
      </c>
      <c r="I13" s="5">
        <v>1</v>
      </c>
      <c r="J13" s="1" t="s">
        <v>208</v>
      </c>
      <c r="K13" s="1" t="s">
        <v>516</v>
      </c>
      <c r="L13" s="1" t="s">
        <v>517</v>
      </c>
      <c r="M13" s="1" t="s">
        <v>518</v>
      </c>
      <c r="N13" s="5" t="s">
        <v>85</v>
      </c>
      <c r="O13" s="1" t="str">
        <f>_xlfn.XLOOKUP(G13,SRMs!$A:$A,SRMs!$D:$D)</f>
        <v>NO INHERITANCE</v>
      </c>
      <c r="P13" s="1" t="str">
        <f>IFERROR(VLOOKUP(H13,Inherited!A:B,2,FALSE),"")</f>
        <v/>
      </c>
      <c r="Q13" s="1" t="e">
        <f>IF(MATCH(H13,Inherited!A:A),IF((((_xlfn.XLOOKUP(Assessment!#REF!,Inherited!A:A,Inherited!B:B))/100)*(_xlfn.XLOOKUP(Assessment!#REF!,Inherited!A:A,Inherited!C:C)))+(((100-(_xlfn.XLOOKUP(Assessment!#REF!,Inherited!A:A,Inherited!B:B)))/100)*IF(X13="1.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(100%)","100"))))))&lt;=10,"0", IF(AND((((_xlfn.XLOOKUP(Assessment!#REF!,Inherited!A:A,Inherited!B:B))/100)*(_xlfn.XLOOKUP(Assessment!#REF!,Inherited!A:A,Inherited!C:C)))+(((100-(_xlfn.XLOOKUP(Assessment!#REF!,Inherited!A:A,Inherited!B:B)))/100)*IF(X13="1.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(100%)","100"))))))&gt;=11,(((_xlfn.XLOOKUP(Assessment!#REF!,Inherited!A:A,Inherited!B:B))/100)*(_xlfn.XLOOKUP(Assessment!#REF!,Inherited!A:A,Inherited!C:C)))+(((100-(_xlfn.XLOOKUP(Assessment!#REF!,Inherited!A:A,Inherited!B:B)))/100)*IF(X13="1.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(100%)","100"))))))&lt;=32),"25",IF(AND((((_xlfn.XLOOKUP(Assessment!#REF!,Inherited!A:A,Inherited!B:B))/100)*(_xlfn.XLOOKUP(Assessment!#REF!,Inherited!A:A,Inherited!C:C)))+(((100-(_xlfn.XLOOKUP(Assessment!#REF!,Inherited!A:A,Inherited!B:B)))/100)*IF(X13="1.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(100%)","100"))))))&gt;=33,(((_xlfn.XLOOKUP(Assessment!#REF!,Inherited!A:A,Inherited!B:B))/100)*(_xlfn.XLOOKUP(Assessment!#REF!,Inherited!A:A,Inherited!C:C)))+(((100-(_xlfn.XLOOKUP(Assessment!#REF!,Inherited!A:A,Inherited!B:B)))/100)*IF(X13="1.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(100%)","100"))))))&lt;=65),"50",IF(AND((((_xlfn.XLOOKUP(Assessment!#REF!,Inherited!A:A,Inherited!B:B))/100)*(_xlfn.XLOOKUP(Assessment!#REF!,Inherited!A:A,Inherited!C:C)))+(((100-(_xlfn.XLOOKUP(Assessment!#REF!,Inherited!A:A,Inherited!B:B)))/100)*IF(X13="1.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(100%)","100"))))))&gt;=66,(((_xlfn.XLOOKUP(Assessment!#REF!,Inherited!A:A,Inherited!B:B))/100)*(_xlfn.XLOOKUP(Assessment!#REF!,Inherited!A:A,Inherited!C:C)))+(((100-(_xlfn.XLOOKUP(Assessment!#REF!,Inherited!A:A,Inherited!B:B)))/100)*IF(X13="1.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(100%)","100"))))))&lt;=89),"75",IF((((_xlfn.XLOOKUP(Assessment!#REF!,Inherited!A:A,Inherited!B:B))/100)*(_xlfn.XLOOKUP(Assessment!#REF!,Inherited!A:A,Inherited!C:C)))+(((100-(_xlfn.XLOOKUP(Assessment!#REF!,Inherited!A:A,Inherited!B:B)))/100)*IF(X13="1. Non Compliant (0%)","0",IF(X13="2. Somewhat Compliant (25%)","25",IF(X13="3. Partially Compliant (50%)","50",IF(X13="4. Mostly Compliant (75%)","75",IF(X13="5. Fully Compliant (100%)","100"))))))&gt;=90,"100"))))))</f>
        <v>#N/A</v>
      </c>
      <c r="R13" s="1" t="e">
        <f>IF(MATCH(H13,Inherited!A:A),IF((((_xlfn.XLOOKUP(Assessment!#REF!,Inherited!A:A,Inherited!B:B))/100)*(_xlfn.XLOOKUP(Assessment!#REF!,Inherited!A:A,Inherited!D:D)))+(((100-(_xlfn.XLOOKUP(Assessment!#REF!,Inherited!A:A,Inherited!B:B)))/100)*IF(Y13="1.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(100%)","100"))))))&lt;=10,"0", IF(AND((((_xlfn.XLOOKUP(Assessment!#REF!,Inherited!A:A,Inherited!B:B))/100)*(_xlfn.XLOOKUP(Assessment!#REF!,Inherited!A:A,Inherited!D:D)))+(((100-(_xlfn.XLOOKUP(Assessment!#REF!,Inherited!A:A,Inherited!B:B)))/100)*IF(Y13="1.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(100%)","100"))))))&gt;=11,(((_xlfn.XLOOKUP(Assessment!#REF!,Inherited!A:A,Inherited!B:B))/100)*(_xlfn.XLOOKUP(Assessment!#REF!,Inherited!A:A,Inherited!D:D)))+(((100-(_xlfn.XLOOKUP(Assessment!#REF!,Inherited!A:A,Inherited!B:B)))/100)*IF(Y13="1.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(100%)","100"))))))&lt;=32),"25",IF(AND((((_xlfn.XLOOKUP(Assessment!#REF!,Inherited!A:A,Inherited!B:B))/100)*(_xlfn.XLOOKUP(Assessment!#REF!,Inherited!A:A,Inherited!D:D)))+(((100-(_xlfn.XLOOKUP(Assessment!#REF!,Inherited!A:A,Inherited!B:B)))/100)*IF(Y13="1.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(100%)","100"))))))&gt;=33,(((_xlfn.XLOOKUP(Assessment!#REF!,Inherited!A:A,Inherited!B:B))/100)*(_xlfn.XLOOKUP(Assessment!#REF!,Inherited!A:A,Inherited!D:D)))+(((100-(_xlfn.XLOOKUP(Assessment!#REF!,Inherited!A:A,Inherited!B:B)))/100)*IF(Y13="1.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(100%)","100"))))))&lt;=65),"50",IF(AND((((_xlfn.XLOOKUP(Assessment!#REF!,Inherited!A:A,Inherited!B:B))/100)*(_xlfn.XLOOKUP(Assessment!#REF!,Inherited!A:A,Inherited!D:D)))+(((100-(_xlfn.XLOOKUP(Assessment!#REF!,Inherited!A:A,Inherited!B:B)))/100)*IF(Y13="1.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(100%)","100"))))))&gt;=66,(((_xlfn.XLOOKUP(Assessment!#REF!,Inherited!A:A,Inherited!B:B))/100)*(_xlfn.XLOOKUP(Assessment!#REF!,Inherited!A:A,Inherited!D:D)))+(((100-(_xlfn.XLOOKUP(Assessment!#REF!,Inherited!A:A,Inherited!B:B)))/100)*IF(Y13="1.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(100%)","100"))))))&lt;=89),"75",IF((((_xlfn.XLOOKUP(Assessment!#REF!,Inherited!A:A,Inherited!B:B))/100)*(_xlfn.XLOOKUP(Assessment!#REF!,Inherited!A:A,Inherited!D:D)))+(((100-(_xlfn.XLOOKUP(Assessment!#REF!,Inherited!A:A,Inherited!B:B)))/100)*IF(Y13="1. Non Compliant (0%)","0",IF(Y13="2. Somewhat Compliant (25%)","25",IF(Y13="3. Partially Compliant (50%)","50",IF(Y13="4. Mostly Compliant (75%)","75",IF(Y13="5. Fully Compliant (100%)","100"))))))&gt;=90,"100"))))))</f>
        <v>#N/A</v>
      </c>
      <c r="S13" s="1" t="e">
        <f>IF(MATCH(H13,Inherited!A:A),IF((((_xlfn.XLOOKUP(Assessment!#REF!,Inherited!A:A,Inherited!B:B))/100)*(_xlfn.XLOOKUP(Assessment!#REF!,Inherited!A:A,Inherited!E:E)))+(((100-(_xlfn.XLOOKUP(Assessment!#REF!,Inherited!A:A,Inherited!B:B)))/100)*IF(Z13="1.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(100%)","100"))))))&lt;=10,"0", IF(AND((((_xlfn.XLOOKUP(Assessment!#REF!,Inherited!A:A,Inherited!B:B))/100)*(_xlfn.XLOOKUP(Assessment!#REF!,Inherited!A:A,Inherited!E:E)))+(((100-(_xlfn.XLOOKUP(Assessment!#REF!,Inherited!A:A,Inherited!B:B)))/100)*IF(Z13="1.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(100%)","100"))))))&gt;=11,(((_xlfn.XLOOKUP(Assessment!#REF!,Inherited!A:A,Inherited!B:B))/100)*(_xlfn.XLOOKUP(Assessment!#REF!,Inherited!A:A,Inherited!E:E)))+(((100-(_xlfn.XLOOKUP(Assessment!#REF!,Inherited!A:A,Inherited!B:B)))/100)*IF(Z13="1.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(100%)","100"))))))&lt;=32),"25",IF(AND((((_xlfn.XLOOKUP(Assessment!#REF!,Inherited!A:A,Inherited!B:B))/100)*(_xlfn.XLOOKUP(Assessment!#REF!,Inherited!A:A,Inherited!E:E)))+(((100-(_xlfn.XLOOKUP(Assessment!#REF!,Inherited!A:A,Inherited!B:B)))/100)*IF(Z13="1.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(100%)","100"))))))&gt;=33,(((_xlfn.XLOOKUP(Assessment!#REF!,Inherited!A:A,Inherited!B:B))/100)*(_xlfn.XLOOKUP(Assessment!#REF!,Inherited!A:A,Inherited!E:E)))+(((100-(_xlfn.XLOOKUP(Assessment!#REF!,Inherited!A:A,Inherited!B:B)))/100)*IF(Z13="1.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(100%)","100"))))))&lt;=65),"50",IF(AND((((_xlfn.XLOOKUP(Assessment!#REF!,Inherited!A:A,Inherited!B:B))/100)*(_xlfn.XLOOKUP(Assessment!#REF!,Inherited!A:A,Inherited!E:E)))+(((100-(_xlfn.XLOOKUP(Assessment!#REF!,Inherited!A:A,Inherited!B:B)))/100)*IF(Z13="1.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(100%)","100"))))))&gt;=66,(((_xlfn.XLOOKUP(Assessment!#REF!,Inherited!A:A,Inherited!B:B))/100)*(_xlfn.XLOOKUP(Assessment!#REF!,Inherited!A:A,Inherited!E:E)))+(((100-(_xlfn.XLOOKUP(Assessment!#REF!,Inherited!A:A,Inherited!B:B)))/100)*IF(Z13="1.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(100%)","100"))))))&lt;=89),"75",IF((((_xlfn.XLOOKUP(Assessment!#REF!,Inherited!A:A,Inherited!B:B))/100)*(_xlfn.XLOOKUP(Assessment!#REF!,Inherited!A:A,Inherited!E:E)))+(((100-(_xlfn.XLOOKUP(Assessment!#REF!,Inherited!A:A,Inherited!B:B)))/100)*IF(Z13="1. Non Compliant (0%)","0",IF(Z13="2. Somewhat Compliant (25%)","25",IF(Z13="3. Partially Compliant (50%)","50",IF(Z13="4. Mostly Compliant (75%)","75",IF(Z13="5. Fully Compliant (100%)","100"))))))&gt;=90,"100"))))))</f>
        <v>#N/A</v>
      </c>
      <c r="T13" s="1" t="e">
        <f>IF(MATCH(H13,Inherited!A:A),IF((((_xlfn.XLOOKUP(Assessment!#REF!,Inherited!A:A,Inherited!B:B))/100)*(_xlfn.XLOOKUP(Assessment!#REF!,Inherited!A:A,Inherited!F:F)))+(((100-(_xlfn.XLOOKUP(Assessment!#REF!,Inherited!A:A,Inherited!B:B)))/100)*IF(AA13="1.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(100%)","100"))))))&lt;=10,"0", IF(AND((((_xlfn.XLOOKUP(Assessment!#REF!,Inherited!A:A,Inherited!B:B))/100)*(_xlfn.XLOOKUP(Assessment!#REF!,Inherited!A:A,Inherited!F:F)))+(((100-(_xlfn.XLOOKUP(Assessment!#REF!,Inherited!A:A,Inherited!B:B)))/100)*IF(AA13="1.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(100%)","100"))))))&gt;=11,(((_xlfn.XLOOKUP(Assessment!#REF!,Inherited!A:A,Inherited!B:B))/100)*(_xlfn.XLOOKUP(Assessment!#REF!,Inherited!A:A,Inherited!F:F)))+(((100-(_xlfn.XLOOKUP(Assessment!#REF!,Inherited!A:A,Inherited!B:B)))/100)*IF(AA13="1.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(100%)","100"))))))&lt;=32),"25",IF(AND((((_xlfn.XLOOKUP(Assessment!#REF!,Inherited!A:A,Inherited!B:B))/100)*(_xlfn.XLOOKUP(Assessment!#REF!,Inherited!A:A,Inherited!F:F)))+(((100-(_xlfn.XLOOKUP(Assessment!#REF!,Inherited!A:A,Inherited!B:B)))/100)*IF(AA13="1.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(100%)","100"))))))&gt;=33,(((_xlfn.XLOOKUP(Assessment!#REF!,Inherited!A:A,Inherited!B:B))/100)*(_xlfn.XLOOKUP(Assessment!#REF!,Inherited!A:A,Inherited!F:F)))+(((100-(_xlfn.XLOOKUP(Assessment!#REF!,Inherited!A:A,Inherited!B:B)))/100)*IF(AA13="1.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(100%)","100"))))))&lt;=65),"50",IF(AND((((_xlfn.XLOOKUP(Assessment!#REF!,Inherited!A:A,Inherited!B:B))/100)*(_xlfn.XLOOKUP(Assessment!#REF!,Inherited!A:A,Inherited!F:F)))+(((100-(_xlfn.XLOOKUP(Assessment!#REF!,Inherited!A:A,Inherited!B:B)))/100)*IF(AA13="1.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(100%)","100"))))))&gt;=66,(((_xlfn.XLOOKUP(Assessment!#REF!,Inherited!A:A,Inherited!B:B))/100)*(_xlfn.XLOOKUP(Assessment!#REF!,Inherited!A:A,Inherited!F:F)))+(((100-(_xlfn.XLOOKUP(Assessment!#REF!,Inherited!A:A,Inherited!B:B)))/100)*IF(AA13="1.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(100%)","100"))))))&lt;=89),"75",IF((((_xlfn.XLOOKUP(Assessment!#REF!,Inherited!A:A,Inherited!B:B))/100)*(_xlfn.XLOOKUP(Assessment!#REF!,Inherited!A:A,Inherited!F:F)))+(((100-(_xlfn.XLOOKUP(Assessment!#REF!,Inherited!A:A,Inherited!B:B)))/100)*IF(AA13="1. Non Compliant (0%)","0",IF(AA13="2. Somewhat Compliant (25%)","25",IF(AA13="3. Partially Compliant (50%)","50",IF(AA13="4. Mostly Compliant (75%)","75",IF(AA13="5. Fully Compliant (100%)","100"))))))&gt;=90,"100"))))))</f>
        <v>#N/A</v>
      </c>
      <c r="U13" s="1" t="e">
        <f>IF(MATCH(H13,Inherited!A:A),IF((((_xlfn.XLOOKUP(Assessment!#REF!,Inherited!A:A,Inherited!B:B))/100)*(_xlfn.XLOOKUP(Assessment!#REF!,Inherited!A:A,Inherited!G:G)))+(((100-(_xlfn.XLOOKUP(Assessment!#REF!,Inherited!A:A,Inherited!B:B)))/100)*IF(AB13="1.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(100%)","100"))))))&lt;=10,"0", IF(AND((((_xlfn.XLOOKUP(Assessment!#REF!,Inherited!A:A,Inherited!B:B))/100)*(_xlfn.XLOOKUP(Assessment!#REF!,Inherited!A:A,Inherited!G:G)))+(((100-(_xlfn.XLOOKUP(Assessment!#REF!,Inherited!A:A,Inherited!B:B)))/100)*IF(AB13="1.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(100%)","100"))))))&gt;=11,(((_xlfn.XLOOKUP(Assessment!#REF!,Inherited!A:A,Inherited!B:B))/100)*(_xlfn.XLOOKUP(Assessment!#REF!,Inherited!A:A,Inherited!G:G)))+(((100-(_xlfn.XLOOKUP(Assessment!#REF!,Inherited!A:A,Inherited!B:B)))/100)*IF(AB13="1.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(100%)","100"))))))&lt;=32),"25",IF(AND((((_xlfn.XLOOKUP(Assessment!#REF!,Inherited!A:A,Inherited!B:B))/100)*(_xlfn.XLOOKUP(Assessment!#REF!,Inherited!A:A,Inherited!G:G)))+(((100-(_xlfn.XLOOKUP(Assessment!#REF!,Inherited!A:A,Inherited!B:B)))/100)*IF(AB13="1.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(100%)","100"))))))&gt;=33,(((_xlfn.XLOOKUP(Assessment!#REF!,Inherited!A:A,Inherited!B:B))/100)*(_xlfn.XLOOKUP(Assessment!#REF!,Inherited!A:A,Inherited!G:G)))+(((100-(_xlfn.XLOOKUP(Assessment!#REF!,Inherited!A:A,Inherited!B:B)))/100)*IF(AB13="1.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(100%)","100"))))))&lt;=65),"50",IF(AND((((_xlfn.XLOOKUP(Assessment!#REF!,Inherited!A:A,Inherited!B:B))/100)*(_xlfn.XLOOKUP(Assessment!#REF!,Inherited!A:A,Inherited!G:G)))+(((100-(_xlfn.XLOOKUP(Assessment!#REF!,Inherited!A:A,Inherited!B:B)))/100)*IF(AB13="1.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(100%)","100"))))))&gt;=66,(((_xlfn.XLOOKUP(Assessment!#REF!,Inherited!A:A,Inherited!B:B))/100)*(_xlfn.XLOOKUP(Assessment!#REF!,Inherited!A:A,Inherited!G:G)))+(((100-(_xlfn.XLOOKUP(Assessment!#REF!,Inherited!A:A,Inherited!B:B)))/100)*IF(AB13="1.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(100%)","100"))))))&lt;=89),"75",IF((((_xlfn.XLOOKUP(Assessment!#REF!,Inherited!A:A,Inherited!B:B))/100)*(_xlfn.XLOOKUP(Assessment!#REF!,Inherited!A:A,Inherited!G:G)))+(((100-(_xlfn.XLOOKUP(Assessment!#REF!,Inherited!A:A,Inherited!B:B)))/100)*IF(AB13="1. Non Compliant (0%)","0",IF(AB13="2. Somewhat Compliant (25%)","25",IF(AB13="3. Partially Compliant (50%)","50",IF(AB13="4. Mostly Compliant (75%)","75",IF(AB13="5. Fully Compliant (100%)","100"))))))&gt;=90,"100"))))))</f>
        <v>#N/A</v>
      </c>
      <c r="V13" s="55" t="s">
        <v>85</v>
      </c>
      <c r="W13" s="55"/>
      <c r="X13" s="55"/>
      <c r="Y13" s="55"/>
      <c r="Z13" s="55" t="s">
        <v>86</v>
      </c>
      <c r="AA13" s="55"/>
      <c r="AB13" s="55"/>
      <c r="AK13" s="1" t="s">
        <v>10891</v>
      </c>
      <c r="AL13" s="1" t="s">
        <v>10923</v>
      </c>
      <c r="AM13" s="1" t="s">
        <v>10924</v>
      </c>
      <c r="AX13" s="3" t="str">
        <f>_xlfn.CONCAT("A-LIGN finished its review of this control on ",AR13, " during the scheduled fieldwork window (",Intro!$B$4,")."&amp; CHAR(10)&amp; CHAR(10))</f>
        <v xml:space="preserve">A-LIGN finished its review of this control on  during the scheduled fieldwork window (Fieldwork: xx/xx/xxxx - xx/xx/xxxx).
</v>
      </c>
      <c r="AY13" s="3" t="str">
        <f t="shared" si="21"/>
        <v/>
      </c>
      <c r="AZ13" s="3" t="str">
        <f t="shared" si="22"/>
        <v/>
      </c>
      <c r="BA13" s="3" t="str">
        <f t="shared" si="23"/>
        <v/>
      </c>
      <c r="BB13" s="3" t="str">
        <f t="shared" si="24"/>
        <v xml:space="preserve">Inquired of the following workforce member: 
Matthew Macaluso - Director of System Operations
Roze Nicolas - Director of TechOps
Inquiry lead to the following conclusions: 
Employee Handbook is maintained within a Google Shared Drive. The TechOps drive is isolated to the appropriate team members.
Once the files are completed and finalized, they are put into AirMason for all employees to review and acknowledge 
Note: Policy &amp; procedure documentation will be uploaded to A-SCEND and tested
</v>
      </c>
      <c r="BC13" s="3" t="str">
        <f t="shared" si="25"/>
        <v xml:space="preserve">Observed the following live during fieldwork: 
Observed the 2026 Merge Employee Handbook which demonstrated that the appropriate terms and conditions were included 
Observed the Tech Ops Google Drive which demonstrated that policies and procedures are maintained and managed
</v>
      </c>
      <c r="BD13" s="3" t="str">
        <f t="shared" si="26"/>
        <v xml:space="preserve">Examined the following evidence during fieldwork:
Reviewed evidence addressed the requirement statement.
</v>
      </c>
      <c r="BE13" s="3" t="str">
        <f t="shared" si="27"/>
        <v/>
      </c>
      <c r="BF13" s="3" t="str">
        <f t="shared" si="28"/>
        <v/>
      </c>
      <c r="BG13" s="3" t="str">
        <f>_xlfn.CONCAT((IF((COUNTIF('Sample Tables'!B:B,"Test 192: Workforce Member (contractor)")&gt;0)=TRUE,_xlfn.CONCAT("Sample test results are documented in ",'Sample Tables'!B2108," [",'Sample Tables'!B2109,", ",'Sample Tables'!B2110,", ",'Sample Tables'!B2111,", ",'Sample Tables'!B2112,", ",'Sample Tables'!B2113,"]."&amp;CHAR(10)),IF((COUNTIF('Sample Tables'!B:B,"Test 192: Workforce Member (contractor)")&gt;0)=FALSE,""))),(IF((COUNTIF('Sample Tables'!B:B,"Test 193: Workforce Member (employee)")&gt;0)=TRUE,_xlfn.CONCAT("Sample test results are documented in ",'Sample Tables'!B2119," [",'Sample Tables'!B2120,", ",'Sample Tables'!B2121,", ",'Sample Tables'!B2122,", ",'Sample Tables'!B2123,", ",'Sample Tables'!B2124,"]."&amp;CHAR(10)),IF((COUNTIF('Sample Tables'!B:B,"Test 193: Workforce Member (employee)")&gt;0)=FALSE,""))),(IF((COUNTIF('Sample Tables'!B:B,"Test 212: Workforce Member (third party user)")&gt;0)=TRUE,_xlfn.CONCAT("Sample test results are documented in ",'Sample Tables'!B2328," [",'Sample Tables'!B2329,", ",'Sample Tables'!B2330,", ",'Sample Tables'!B2331,", ",'Sample Tables'!B2332,", ",'Sample Tables'!B2333,"]."&amp;CHAR(10)),IF((COUNTIF('Sample Tables'!B:B,"Test 212: Workforce Member (third party user)")&gt;0)=FALSE,""))),)</f>
        <v xml:space="preserve">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212: Workforce Member (third party user) [Population Source/Tool: , Population Date Range: , Population Size: , Sample Methodology: , Sample Size: ].
</v>
      </c>
      <c r="BH13" s="3" t="str">
        <f t="shared" si="2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Employee Handbook is maintained within a Google Shared Drive. The TechOps drive is isolated to the appropriate team members.
Once the files are completed and finalized, they are put into AirMason for all employees to review and acknowledge 
Note: Policy &amp; procedure documentation will be uploaded to A-SCEND and tested
Observed the following live during fieldwork: 
Observed the 2026 Merge Employee Handbook which demonstrated that the appropriate terms and conditions were included 
Observed the Tech Ops Google Drive which demonstrated that policies and procedures are maintained and managed
Examined the following evidence during fieldwork:
Reviewed evidence addressed the requirement statement.
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212: Workforce Member (third party user) [Population Source/Tool: , Population Date Range: , Population Size: , Sample Methodology: , Sample Size: ].
</v>
      </c>
    </row>
    <row r="14" spans="1:60" ht="409.5" x14ac:dyDescent="0.35">
      <c r="C14" s="1">
        <f t="shared" ref="C14:C18" si="30">IF(V14="No","Not Applicable",(IF(X14="1. Non Compliant (0%)","0",IF(X14="2. Somewhat Compliant (25%)","25",IF(X14="3. Partially Compliant (50%)","50",IF(X14="4. Mostly Compliant (75%)","75",IF(X14="5. Fully Compliant (100%)","100")))))*0.15)+((IF(Y14="1. Non Compliant (0%)","0",IF(Y14="2. Somewhat Compliant (25%)","25",IF(Y14="3. Partially Compliant (50%)","50",IF(Y14="4. Mostly Compliant (75%)","75",IF(Y14="5. Fully Compliant (100%)","100"))))))*0.2)+(IF(Z14="1. Non Compliant (0%)","0",IF(Z14="2. Somewhat Compliant (25%)","25",IF(Z14="3. Partially Compliant (50%)","50",IF(Z14="4. Mostly Compliant (75%)","75",IF(Z14="5. Fully Compliant (100%)","100")))))*0.4)+(IF(AA14="1. Non Compliant (0%)","0",IF(AA14="2. Somewhat Compliant (25%)","25",IF(AA14="3. Partially Compliant (50%)","50",IF(AA14="4. Mostly Compliant (75%)","75",IF(AA14="5. Fully Compliant (100%)","100")))))*0.1)+(IF(AB14="1. Non Compliant (0%)","0",IF(AB14="2. Somewhat Compliant (25%)","25",IF(AB14="3. Partially Compliant (50%)","50",IF(AB14="4. Mostly Compliant (75%)","75",IF(AB14="5. Fully Compliant (100%)","100")))))*0.15))</f>
        <v>40</v>
      </c>
      <c r="D14" s="5" t="str">
        <f>IF(AND((_xlfn.XLOOKUP(J14,'Fields &amp; Revisions'!$H:$H,'Fields &amp; Revisions'!$I:$I))&lt;70.99,(OR(Z14="4. Mostly Compliant (75%)",Z14="3. Partially Compliant (50%)",Z14="2. Somewhat Compliant (25%)",Z14="1. Non Compliant (0%)"))),"Yes","No")</f>
        <v>No</v>
      </c>
      <c r="E14" s="5" t="str">
        <f>IF(ISERROR(VLOOKUP(H14,Scope!A:A,1,FALSE)),"No","Yes")</f>
        <v>Yes</v>
      </c>
      <c r="F14" s="1" t="s">
        <v>90</v>
      </c>
      <c r="G14" s="53" t="s">
        <v>550</v>
      </c>
      <c r="H14" s="53" t="s">
        <v>551</v>
      </c>
      <c r="I14" s="5">
        <v>1</v>
      </c>
      <c r="J14" s="1" t="s">
        <v>458</v>
      </c>
      <c r="K14" s="1" t="s">
        <v>552</v>
      </c>
      <c r="L14" s="1" t="s">
        <v>10892</v>
      </c>
      <c r="M14" s="1" t="s">
        <v>553</v>
      </c>
      <c r="N14" s="5" t="s">
        <v>98</v>
      </c>
      <c r="O14" s="1" t="str">
        <f>_xlfn.XLOOKUP(G14,SRMs!$A:$A,SRMs!$D:$D)</f>
        <v>NO INHERITANCE</v>
      </c>
      <c r="P14" s="1" t="str">
        <f>IFERROR(VLOOKUP(H14,Inherited!A:B,2,FALSE),"")</f>
        <v/>
      </c>
      <c r="Q14" s="1" t="e">
        <f>IF(MATCH(H14,Inherited!A:A),IF((((_xlfn.XLOOKUP(Assessment!#REF!,Inherited!A:A,Inherited!B:B))/100)*(_xlfn.XLOOKUP(Assessment!#REF!,Inherited!A:A,Inherited!C:C)))+(((100-(_xlfn.XLOOKUP(Assessment!#REF!,Inherited!A:A,Inherited!B:B)))/100)*IF(X14="1.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(100%)","100"))))))&lt;=10,"0", IF(AND((((_xlfn.XLOOKUP(Assessment!#REF!,Inherited!A:A,Inherited!B:B))/100)*(_xlfn.XLOOKUP(Assessment!#REF!,Inherited!A:A,Inherited!C:C)))+(((100-(_xlfn.XLOOKUP(Assessment!#REF!,Inherited!A:A,Inherited!B:B)))/100)*IF(X14="1.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(100%)","100"))))))&gt;=11,(((_xlfn.XLOOKUP(Assessment!#REF!,Inherited!A:A,Inherited!B:B))/100)*(_xlfn.XLOOKUP(Assessment!#REF!,Inherited!A:A,Inherited!C:C)))+(((100-(_xlfn.XLOOKUP(Assessment!#REF!,Inherited!A:A,Inherited!B:B)))/100)*IF(X14="1.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(100%)","100"))))))&lt;=32),"25",IF(AND((((_xlfn.XLOOKUP(Assessment!#REF!,Inherited!A:A,Inherited!B:B))/100)*(_xlfn.XLOOKUP(Assessment!#REF!,Inherited!A:A,Inherited!C:C)))+(((100-(_xlfn.XLOOKUP(Assessment!#REF!,Inherited!A:A,Inherited!B:B)))/100)*IF(X14="1.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(100%)","100"))))))&gt;=33,(((_xlfn.XLOOKUP(Assessment!#REF!,Inherited!A:A,Inherited!B:B))/100)*(_xlfn.XLOOKUP(Assessment!#REF!,Inherited!A:A,Inherited!C:C)))+(((100-(_xlfn.XLOOKUP(Assessment!#REF!,Inherited!A:A,Inherited!B:B)))/100)*IF(X14="1.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(100%)","100"))))))&lt;=65),"50",IF(AND((((_xlfn.XLOOKUP(Assessment!#REF!,Inherited!A:A,Inherited!B:B))/100)*(_xlfn.XLOOKUP(Assessment!#REF!,Inherited!A:A,Inherited!C:C)))+(((100-(_xlfn.XLOOKUP(Assessment!#REF!,Inherited!A:A,Inherited!B:B)))/100)*IF(X14="1.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(100%)","100"))))))&gt;=66,(((_xlfn.XLOOKUP(Assessment!#REF!,Inherited!A:A,Inherited!B:B))/100)*(_xlfn.XLOOKUP(Assessment!#REF!,Inherited!A:A,Inherited!C:C)))+(((100-(_xlfn.XLOOKUP(Assessment!#REF!,Inherited!A:A,Inherited!B:B)))/100)*IF(X14="1.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(100%)","100"))))))&lt;=89),"75",IF((((_xlfn.XLOOKUP(Assessment!#REF!,Inherited!A:A,Inherited!B:B))/100)*(_xlfn.XLOOKUP(Assessment!#REF!,Inherited!A:A,Inherited!C:C)))+(((100-(_xlfn.XLOOKUP(Assessment!#REF!,Inherited!A:A,Inherited!B:B)))/100)*IF(X14="1. Non Compliant (0%)","0",IF(X14="2. Somewhat Compliant (25%)","25",IF(X14="3. Partially Compliant (50%)","50",IF(X14="4. Mostly Compliant (75%)","75",IF(X14="5. Fully Compliant (100%)","100"))))))&gt;=90,"100"))))))</f>
        <v>#N/A</v>
      </c>
      <c r="R14" s="1" t="e">
        <f>IF(MATCH(H14,Inherited!A:A),IF((((_xlfn.XLOOKUP(Assessment!#REF!,Inherited!A:A,Inherited!B:B))/100)*(_xlfn.XLOOKUP(Assessment!#REF!,Inherited!A:A,Inherited!D:D)))+(((100-(_xlfn.XLOOKUP(Assessment!#REF!,Inherited!A:A,Inherited!B:B)))/100)*IF(Y14="1.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(100%)","100"))))))&lt;=10,"0", IF(AND((((_xlfn.XLOOKUP(Assessment!#REF!,Inherited!A:A,Inherited!B:B))/100)*(_xlfn.XLOOKUP(Assessment!#REF!,Inherited!A:A,Inherited!D:D)))+(((100-(_xlfn.XLOOKUP(Assessment!#REF!,Inherited!A:A,Inherited!B:B)))/100)*IF(Y14="1.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(100%)","100"))))))&gt;=11,(((_xlfn.XLOOKUP(Assessment!#REF!,Inherited!A:A,Inherited!B:B))/100)*(_xlfn.XLOOKUP(Assessment!#REF!,Inherited!A:A,Inherited!D:D)))+(((100-(_xlfn.XLOOKUP(Assessment!#REF!,Inherited!A:A,Inherited!B:B)))/100)*IF(Y14="1.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(100%)","100"))))))&lt;=32),"25",IF(AND((((_xlfn.XLOOKUP(Assessment!#REF!,Inherited!A:A,Inherited!B:B))/100)*(_xlfn.XLOOKUP(Assessment!#REF!,Inherited!A:A,Inherited!D:D)))+(((100-(_xlfn.XLOOKUP(Assessment!#REF!,Inherited!A:A,Inherited!B:B)))/100)*IF(Y14="1.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(100%)","100"))))))&gt;=33,(((_xlfn.XLOOKUP(Assessment!#REF!,Inherited!A:A,Inherited!B:B))/100)*(_xlfn.XLOOKUP(Assessment!#REF!,Inherited!A:A,Inherited!D:D)))+(((100-(_xlfn.XLOOKUP(Assessment!#REF!,Inherited!A:A,Inherited!B:B)))/100)*IF(Y14="1.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(100%)","100"))))))&lt;=65),"50",IF(AND((((_xlfn.XLOOKUP(Assessment!#REF!,Inherited!A:A,Inherited!B:B))/100)*(_xlfn.XLOOKUP(Assessment!#REF!,Inherited!A:A,Inherited!D:D)))+(((100-(_xlfn.XLOOKUP(Assessment!#REF!,Inherited!A:A,Inherited!B:B)))/100)*IF(Y14="1.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(100%)","100"))))))&gt;=66,(((_xlfn.XLOOKUP(Assessment!#REF!,Inherited!A:A,Inherited!B:B))/100)*(_xlfn.XLOOKUP(Assessment!#REF!,Inherited!A:A,Inherited!D:D)))+(((100-(_xlfn.XLOOKUP(Assessment!#REF!,Inherited!A:A,Inherited!B:B)))/100)*IF(Y14="1.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(100%)","100"))))))&lt;=89),"75",IF((((_xlfn.XLOOKUP(Assessment!#REF!,Inherited!A:A,Inherited!B:B))/100)*(_xlfn.XLOOKUP(Assessment!#REF!,Inherited!A:A,Inherited!D:D)))+(((100-(_xlfn.XLOOKUP(Assessment!#REF!,Inherited!A:A,Inherited!B:B)))/100)*IF(Y14="1. Non Compliant (0%)","0",IF(Y14="2. Somewhat Compliant (25%)","25",IF(Y14="3. Partially Compliant (50%)","50",IF(Y14="4. Mostly Compliant (75%)","75",IF(Y14="5. Fully Compliant (100%)","100"))))))&gt;=90,"100"))))))</f>
        <v>#N/A</v>
      </c>
      <c r="S14" s="1" t="e">
        <f>IF(MATCH(H14,Inherited!A:A),IF((((_xlfn.XLOOKUP(Assessment!#REF!,Inherited!A:A,Inherited!B:B))/100)*(_xlfn.XLOOKUP(Assessment!#REF!,Inherited!A:A,Inherited!E:E)))+(((100-(_xlfn.XLOOKUP(Assessment!#REF!,Inherited!A:A,Inherited!B:B)))/100)*IF(Z14="1.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(100%)","100"))))))&lt;=10,"0", IF(AND((((_xlfn.XLOOKUP(Assessment!#REF!,Inherited!A:A,Inherited!B:B))/100)*(_xlfn.XLOOKUP(Assessment!#REF!,Inherited!A:A,Inherited!E:E)))+(((100-(_xlfn.XLOOKUP(Assessment!#REF!,Inherited!A:A,Inherited!B:B)))/100)*IF(Z14="1.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(100%)","100"))))))&gt;=11,(((_xlfn.XLOOKUP(Assessment!#REF!,Inherited!A:A,Inherited!B:B))/100)*(_xlfn.XLOOKUP(Assessment!#REF!,Inherited!A:A,Inherited!E:E)))+(((100-(_xlfn.XLOOKUP(Assessment!#REF!,Inherited!A:A,Inherited!B:B)))/100)*IF(Z14="1.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(100%)","100"))))))&lt;=32),"25",IF(AND((((_xlfn.XLOOKUP(Assessment!#REF!,Inherited!A:A,Inherited!B:B))/100)*(_xlfn.XLOOKUP(Assessment!#REF!,Inherited!A:A,Inherited!E:E)))+(((100-(_xlfn.XLOOKUP(Assessment!#REF!,Inherited!A:A,Inherited!B:B)))/100)*IF(Z14="1.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(100%)","100"))))))&gt;=33,(((_xlfn.XLOOKUP(Assessment!#REF!,Inherited!A:A,Inherited!B:B))/100)*(_xlfn.XLOOKUP(Assessment!#REF!,Inherited!A:A,Inherited!E:E)))+(((100-(_xlfn.XLOOKUP(Assessment!#REF!,Inherited!A:A,Inherited!B:B)))/100)*IF(Z14="1.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(100%)","100"))))))&lt;=65),"50",IF(AND((((_xlfn.XLOOKUP(Assessment!#REF!,Inherited!A:A,Inherited!B:B))/100)*(_xlfn.XLOOKUP(Assessment!#REF!,Inherited!A:A,Inherited!E:E)))+(((100-(_xlfn.XLOOKUP(Assessment!#REF!,Inherited!A:A,Inherited!B:B)))/100)*IF(Z14="1.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(100%)","100"))))))&gt;=66,(((_xlfn.XLOOKUP(Assessment!#REF!,Inherited!A:A,Inherited!B:B))/100)*(_xlfn.XLOOKUP(Assessment!#REF!,Inherited!A:A,Inherited!E:E)))+(((100-(_xlfn.XLOOKUP(Assessment!#REF!,Inherited!A:A,Inherited!B:B)))/100)*IF(Z14="1.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(100%)","100"))))))&lt;=89),"75",IF((((_xlfn.XLOOKUP(Assessment!#REF!,Inherited!A:A,Inherited!B:B))/100)*(_xlfn.XLOOKUP(Assessment!#REF!,Inherited!A:A,Inherited!E:E)))+(((100-(_xlfn.XLOOKUP(Assessment!#REF!,Inherited!A:A,Inherited!B:B)))/100)*IF(Z14="1. Non Compliant (0%)","0",IF(Z14="2. Somewhat Compliant (25%)","25",IF(Z14="3. Partially Compliant (50%)","50",IF(Z14="4. Mostly Compliant (75%)","75",IF(Z14="5. Fully Compliant (100%)","100"))))))&gt;=90,"100"))))))</f>
        <v>#N/A</v>
      </c>
      <c r="T14" s="1" t="e">
        <f>IF(MATCH(H14,Inherited!A:A),IF((((_xlfn.XLOOKUP(Assessment!#REF!,Inherited!A:A,Inherited!B:B))/100)*(_xlfn.XLOOKUP(Assessment!#REF!,Inherited!A:A,Inherited!F:F)))+(((100-(_xlfn.XLOOKUP(Assessment!#REF!,Inherited!A:A,Inherited!B:B)))/100)*IF(AA14="1.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(100%)","100"))))))&lt;=10,"0", IF(AND((((_xlfn.XLOOKUP(Assessment!#REF!,Inherited!A:A,Inherited!B:B))/100)*(_xlfn.XLOOKUP(Assessment!#REF!,Inherited!A:A,Inherited!F:F)))+(((100-(_xlfn.XLOOKUP(Assessment!#REF!,Inherited!A:A,Inherited!B:B)))/100)*IF(AA14="1.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(100%)","100"))))))&gt;=11,(((_xlfn.XLOOKUP(Assessment!#REF!,Inherited!A:A,Inherited!B:B))/100)*(_xlfn.XLOOKUP(Assessment!#REF!,Inherited!A:A,Inherited!F:F)))+(((100-(_xlfn.XLOOKUP(Assessment!#REF!,Inherited!A:A,Inherited!B:B)))/100)*IF(AA14="1.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(100%)","100"))))))&lt;=32),"25",IF(AND((((_xlfn.XLOOKUP(Assessment!#REF!,Inherited!A:A,Inherited!B:B))/100)*(_xlfn.XLOOKUP(Assessment!#REF!,Inherited!A:A,Inherited!F:F)))+(((100-(_xlfn.XLOOKUP(Assessment!#REF!,Inherited!A:A,Inherited!B:B)))/100)*IF(AA14="1.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(100%)","100"))))))&gt;=33,(((_xlfn.XLOOKUP(Assessment!#REF!,Inherited!A:A,Inherited!B:B))/100)*(_xlfn.XLOOKUP(Assessment!#REF!,Inherited!A:A,Inherited!F:F)))+(((100-(_xlfn.XLOOKUP(Assessment!#REF!,Inherited!A:A,Inherited!B:B)))/100)*IF(AA14="1.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(100%)","100"))))))&lt;=65),"50",IF(AND((((_xlfn.XLOOKUP(Assessment!#REF!,Inherited!A:A,Inherited!B:B))/100)*(_xlfn.XLOOKUP(Assessment!#REF!,Inherited!A:A,Inherited!F:F)))+(((100-(_xlfn.XLOOKUP(Assessment!#REF!,Inherited!A:A,Inherited!B:B)))/100)*IF(AA14="1.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(100%)","100"))))))&gt;=66,(((_xlfn.XLOOKUP(Assessment!#REF!,Inherited!A:A,Inherited!B:B))/100)*(_xlfn.XLOOKUP(Assessment!#REF!,Inherited!A:A,Inherited!F:F)))+(((100-(_xlfn.XLOOKUP(Assessment!#REF!,Inherited!A:A,Inherited!B:B)))/100)*IF(AA14="1.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(100%)","100"))))))&lt;=89),"75",IF((((_xlfn.XLOOKUP(Assessment!#REF!,Inherited!A:A,Inherited!B:B))/100)*(_xlfn.XLOOKUP(Assessment!#REF!,Inherited!A:A,Inherited!F:F)))+(((100-(_xlfn.XLOOKUP(Assessment!#REF!,Inherited!A:A,Inherited!B:B)))/100)*IF(AA14="1. Non Compliant (0%)","0",IF(AA14="2. Somewhat Compliant (25%)","25",IF(AA14="3. Partially Compliant (50%)","50",IF(AA14="4. Mostly Compliant (75%)","75",IF(AA14="5. Fully Compliant (100%)","100"))))))&gt;=90,"100"))))))</f>
        <v>#N/A</v>
      </c>
      <c r="U14" s="1" t="e">
        <f>IF(MATCH(H14,Inherited!A:A),IF((((_xlfn.XLOOKUP(Assessment!#REF!,Inherited!A:A,Inherited!B:B))/100)*(_xlfn.XLOOKUP(Assessment!#REF!,Inherited!A:A,Inherited!G:G)))+(((100-(_xlfn.XLOOKUP(Assessment!#REF!,Inherited!A:A,Inherited!B:B)))/100)*IF(AB14="1.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(100%)","100"))))))&lt;=10,"0", IF(AND((((_xlfn.XLOOKUP(Assessment!#REF!,Inherited!A:A,Inherited!B:B))/100)*(_xlfn.XLOOKUP(Assessment!#REF!,Inherited!A:A,Inherited!G:G)))+(((100-(_xlfn.XLOOKUP(Assessment!#REF!,Inherited!A:A,Inherited!B:B)))/100)*IF(AB14="1.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(100%)","100"))))))&gt;=11,(((_xlfn.XLOOKUP(Assessment!#REF!,Inherited!A:A,Inherited!B:B))/100)*(_xlfn.XLOOKUP(Assessment!#REF!,Inherited!A:A,Inherited!G:G)))+(((100-(_xlfn.XLOOKUP(Assessment!#REF!,Inherited!A:A,Inherited!B:B)))/100)*IF(AB14="1.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(100%)","100"))))))&lt;=32),"25",IF(AND((((_xlfn.XLOOKUP(Assessment!#REF!,Inherited!A:A,Inherited!B:B))/100)*(_xlfn.XLOOKUP(Assessment!#REF!,Inherited!A:A,Inherited!G:G)))+(((100-(_xlfn.XLOOKUP(Assessment!#REF!,Inherited!A:A,Inherited!B:B)))/100)*IF(AB14="1.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(100%)","100"))))))&gt;=33,(((_xlfn.XLOOKUP(Assessment!#REF!,Inherited!A:A,Inherited!B:B))/100)*(_xlfn.XLOOKUP(Assessment!#REF!,Inherited!A:A,Inherited!G:G)))+(((100-(_xlfn.XLOOKUP(Assessment!#REF!,Inherited!A:A,Inherited!B:B)))/100)*IF(AB14="1.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(100%)","100"))))))&lt;=65),"50",IF(AND((((_xlfn.XLOOKUP(Assessment!#REF!,Inherited!A:A,Inherited!B:B))/100)*(_xlfn.XLOOKUP(Assessment!#REF!,Inherited!A:A,Inherited!G:G)))+(((100-(_xlfn.XLOOKUP(Assessment!#REF!,Inherited!A:A,Inherited!B:B)))/100)*IF(AB14="1.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(100%)","100"))))))&gt;=66,(((_xlfn.XLOOKUP(Assessment!#REF!,Inherited!A:A,Inherited!B:B))/100)*(_xlfn.XLOOKUP(Assessment!#REF!,Inherited!A:A,Inherited!G:G)))+(((100-(_xlfn.XLOOKUP(Assessment!#REF!,Inherited!A:A,Inherited!B:B)))/100)*IF(AB14="1.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(100%)","100"))))))&lt;=89),"75",IF((((_xlfn.XLOOKUP(Assessment!#REF!,Inherited!A:A,Inherited!B:B))/100)*(_xlfn.XLOOKUP(Assessment!#REF!,Inherited!A:A,Inherited!G:G)))+(((100-(_xlfn.XLOOKUP(Assessment!#REF!,Inherited!A:A,Inherited!B:B)))/100)*IF(AB14="1. Non Compliant (0%)","0",IF(AB14="2. Somewhat Compliant (25%)","25",IF(AB14="3. Partially Compliant (50%)","50",IF(AB14="4. Mostly Compliant (75%)","75",IF(AB14="5. Fully Compliant (100%)","100"))))))&gt;=90,"100"))))))</f>
        <v>#N/A</v>
      </c>
      <c r="V14" s="55" t="s">
        <v>85</v>
      </c>
      <c r="W14" s="55"/>
      <c r="X14" s="55"/>
      <c r="Y14" s="55"/>
      <c r="Z14" s="55" t="s">
        <v>86</v>
      </c>
      <c r="AA14" s="55"/>
      <c r="AB14" s="55"/>
      <c r="AK14" s="1" t="s">
        <v>10891</v>
      </c>
      <c r="AL14" s="1" t="s">
        <v>10925</v>
      </c>
      <c r="AM14" s="1" t="s">
        <v>10909</v>
      </c>
      <c r="AN14" s="1" t="s">
        <v>11141</v>
      </c>
      <c r="AO14" s="1" t="s">
        <v>11162</v>
      </c>
      <c r="AX14" s="3" t="str">
        <f>_xlfn.CONCAT("A-LIGN finished its review of this control on ",AR14, " during the scheduled fieldwork window (",Intro!$B$4,")."&amp; CHAR(10)&amp; CHAR(10))</f>
        <v xml:space="preserve">A-LIGN finished its review of this control on  during the scheduled fieldwork window (Fieldwork: xx/xx/xxxx - xx/xx/xxxx).
</v>
      </c>
      <c r="AY14" s="3" t="str">
        <f t="shared" ref="AY14:AY18" si="31">IF(AQ14&lt;&gt;"",(_xlfn.CONCAT("Inheritance note: "&amp; CHAR(10),AQ14&amp; CHAR(10)&amp; CHAR(10))),"")</f>
        <v/>
      </c>
      <c r="AZ14" s="3" t="str">
        <f t="shared" ref="AZ14:AZ18" si="32">IFERROR(IF(AD14&lt;&gt;"",_xlfn.CONCAT("Examined the following policy during fieldwork:"&amp; CHAR(10),AD14&amp; CHAR(10)&amp; CHAR(10),IF(AND(X14&lt;&gt;"5. Fully Compliant (100%)",AE14&lt;&gt;""),"Reviewed policy exception note:"&amp; CHAR(10) &amp; AE14 &amp; CHAR(10) &amp; CHAR(10),"")),""),"")</f>
        <v/>
      </c>
      <c r="BA14" s="3" t="str">
        <f t="shared" ref="BA14:BA18" si="33">IFERROR(IF(AH14&lt;&gt;"",_xlfn.CONCAT("Examined the following process during fieldwork:"&amp; CHAR(10),AH14&amp; CHAR(10)&amp; CHAR(10),IF(AND(Y14&lt;&gt;"5. Fully Compliant (100%)",AI14&lt;&gt;""),"Reviewed process exception note:"&amp; CHAR(10) &amp; AI14 &amp; CHAR(10) &amp; CHAR(10),"")),""),"")</f>
        <v/>
      </c>
      <c r="BB14" s="3" t="str">
        <f t="shared" ref="BB14:BB18" si="34">IF(AK14&lt;&gt;"",(_xlfn.CONCAT("Inquired of the following workforce member: "&amp; CHAR(10),AK14&amp; CHAR(10)&amp; CHAR(10),"Inquiry lead to the following conclusions: "&amp; CHAR(10),AL14&amp; CHAR(10) &amp; CHAR(10))),"")</f>
        <v xml:space="preserve">Inquired of the following workforce member: 
Matthew Macaluso - Director of System Operations
Roze Nicolas - Director of TechOps
Inquiry lead to the following conclusions: 
Employee Handbook is maintained within a Google Shared Drive. The TechOps drive is isolated to the appropriate team members.
Once the files are completed and finalized, they are put into AirMason for all employees to review and acknowledge 
Note: Policy &amp; procedure documentation will be uploaded to A-SCEND and tested
</v>
      </c>
      <c r="BC14" s="3" t="str">
        <f t="shared" ref="BC14:BC18" si="35">IF(AM14&lt;&gt;"",(_xlfn.CONCAT("Observed the following live during fieldwork: "&amp; CHAR(10),AM14&amp; CHAR(10) &amp; CHAR(10))),"")</f>
        <v xml:space="preserve">Observed the following live during fieldwork: 
Observed the 2026 Merge Employee Handbook which demonstrated that the appropriate terms and conditions were included 
</v>
      </c>
      <c r="BD14" s="3" t="str">
        <f t="shared" ref="BD14:BD18" si="36">_xlfn.CONCAT("Examined the following evidence during fieldwork:"&amp; CHAR(10),AN14&amp; CHAR(10)&amp; CHAR(10),IF(AO14&lt;&gt;"","Reviewed evidence note:"&amp; CHAR(10)&amp;AO14&amp; CHAR(10) &amp; CHAR(10),"Reviewed evidence addressed the requirement statement."&amp; CHAR(10) &amp; CHAR(10)),IF(AND(AP14&lt;&gt;"5. Fully Compliant (100%)",AP14&lt;&gt;""),"Reviewed evidence exception note: "&amp; CHAR(10) &amp; AP14 &amp; CHAR(10) &amp; CHAR(10),""))</f>
        <v xml:space="preserve">Examined the following evidence during fieldwork:
0173.05c1Organizational.45 Information Security Roles and Responsibilities.docx
Reviewed evidence note:
A-LIGN reviewed the Merge information security policy and confirmed that roles and responsibilities are included and defined.
</v>
      </c>
      <c r="BE14" s="3" t="str">
        <f t="shared" ref="BE14:BE18" si="37">IF(AT14&lt;&gt;"",(_xlfn.CONCAT("Examined the following measure/metric during fieldwork:"&amp; CHAR(10),AT14&amp; CHAR(10)&amp; CHAR(10),"Reviewed measure/metric note:"&amp; CHAR(10),AU14 &amp; CHAR(10) &amp; CHAR(10))),"")</f>
        <v/>
      </c>
      <c r="BF14" s="3" t="str">
        <f t="shared" ref="BF14:BF18" si="38">IF(AV14&lt;&gt;"",(_xlfn.CONCAT("Examined the following measure/metric management during fieldwork:"&amp; CHAR(10),AV14&amp; CHAR(10)&amp; CHAR(10),"Reviewed measure/metric management note:"&amp; CHAR(10),AW14 &amp; CHAR(10) &amp; CHAR(10))),"")</f>
        <v/>
      </c>
      <c r="BG14" s="3" t="str">
        <f>_xlfn.CONCAT((IF((COUNTIF('Sample Tables'!B:B,"")&gt;0)=TRUE,_xlfn.CONCAT("",""),IF((COUNTIF('Sample Tables'!B:B,"")&gt;0)=FALSE,""))),)</f>
        <v/>
      </c>
      <c r="BH14" s="3" t="str">
        <f t="shared" ref="BH14:BH18" si="39">IF(V14="No","Not Applicable: "&amp;W14,(_xlfn.CONCAT(AX14,AY14,AZ14,BA14,BB14,BC14,BD14,BE14,BF14,BG14)))</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Employee Handbook is maintained within a Google Shared Drive. The TechOps drive is isolated to the appropriate team members.
Once the files are completed and finalized, they are put into AirMason for all employees to review and acknowledge 
Note: Policy &amp; procedure documentation will be uploaded to A-SCEND and tested
Observed the following live during fieldwork: 
Observed the 2026 Merge Employee Handbook which demonstrated that the appropriate terms and conditions were included 
Examined the following evidence during fieldwork:
0173.05c1Organizational.45 Information Security Roles and Responsibilities.docx
Reviewed evidence note:
A-LIGN reviewed the Merge information security policy and confirmed that roles and responsibilities are included and defined.
</v>
      </c>
    </row>
    <row r="15" spans="1:60" ht="387.5" x14ac:dyDescent="0.35">
      <c r="C15" s="1">
        <f t="shared" si="30"/>
        <v>40</v>
      </c>
      <c r="D15" s="5" t="str">
        <f>IF(AND((_xlfn.XLOOKUP(J15,'Fields &amp; Revisions'!$H:$H,'Fields &amp; Revisions'!$I:$I))&lt;70.99,(OR(Z15="4. Mostly Compliant (75%)",Z15="3. Partially Compliant (50%)",Z15="2. Somewhat Compliant (25%)",Z15="1. Non Compliant (0%)"))),"Yes","No")</f>
        <v>No</v>
      </c>
      <c r="E15" s="5" t="str">
        <f>IF(ISERROR(VLOOKUP(H15,Scope!A:A,1,FALSE)),"No","Yes")</f>
        <v>Yes</v>
      </c>
      <c r="F15" s="1" t="s">
        <v>90</v>
      </c>
      <c r="G15" s="53" t="s">
        <v>566</v>
      </c>
      <c r="H15" s="53" t="s">
        <v>567</v>
      </c>
      <c r="I15" s="5">
        <v>1</v>
      </c>
      <c r="J15" s="1" t="s">
        <v>380</v>
      </c>
      <c r="K15" s="1" t="s">
        <v>568</v>
      </c>
      <c r="L15" s="1" t="s">
        <v>569</v>
      </c>
      <c r="M15" s="1" t="s">
        <v>570</v>
      </c>
      <c r="N15" s="5" t="s">
        <v>98</v>
      </c>
      <c r="O15" s="1" t="str">
        <f>_xlfn.XLOOKUP(G15,SRMs!$A:$A,SRMs!$D:$D)</f>
        <v>NO INHERITANCE</v>
      </c>
      <c r="P15" s="1" t="str">
        <f>IFERROR(VLOOKUP(H15,Inherited!A:B,2,FALSE),"")</f>
        <v/>
      </c>
      <c r="Q15" s="1" t="e">
        <f>IF(MATCH(H15,Inherited!A:A),IF((((_xlfn.XLOOKUP(Assessment!H16,Inherited!A:A,Inherited!B:B))/100)*(_xlfn.XLOOKUP(Assessment!H16,Inherited!A:A,Inherited!C:C)))+(((100-(_xlfn.XLOOKUP(Assessment!H16,Inherited!A:A,Inherited!B:B)))/100)*IF(X15="1.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(100%)","100"))))))&lt;=10,"0", IF(AND((((_xlfn.XLOOKUP(Assessment!H16,Inherited!A:A,Inherited!B:B))/100)*(_xlfn.XLOOKUP(Assessment!H16,Inherited!A:A,Inherited!C:C)))+(((100-(_xlfn.XLOOKUP(Assessment!H16,Inherited!A:A,Inherited!B:B)))/100)*IF(X15="1.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(100%)","100"))))))&gt;=11,(((_xlfn.XLOOKUP(Assessment!H16,Inherited!A:A,Inherited!B:B))/100)*(_xlfn.XLOOKUP(Assessment!H16,Inherited!A:A,Inherited!C:C)))+(((100-(_xlfn.XLOOKUP(Assessment!H16,Inherited!A:A,Inherited!B:B)))/100)*IF(X15="1.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(100%)","100"))))))&lt;=32),"25",IF(AND((((_xlfn.XLOOKUP(Assessment!H16,Inherited!A:A,Inherited!B:B))/100)*(_xlfn.XLOOKUP(Assessment!H16,Inherited!A:A,Inherited!C:C)))+(((100-(_xlfn.XLOOKUP(Assessment!H16,Inherited!A:A,Inherited!B:B)))/100)*IF(X15="1.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(100%)","100"))))))&gt;=33,(((_xlfn.XLOOKUP(Assessment!H16,Inherited!A:A,Inherited!B:B))/100)*(_xlfn.XLOOKUP(Assessment!H16,Inherited!A:A,Inherited!C:C)))+(((100-(_xlfn.XLOOKUP(Assessment!H16,Inherited!A:A,Inherited!B:B)))/100)*IF(X15="1.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(100%)","100"))))))&lt;=65),"50",IF(AND((((_xlfn.XLOOKUP(Assessment!H16,Inherited!A:A,Inherited!B:B))/100)*(_xlfn.XLOOKUP(Assessment!H16,Inherited!A:A,Inherited!C:C)))+(((100-(_xlfn.XLOOKUP(Assessment!H16,Inherited!A:A,Inherited!B:B)))/100)*IF(X15="1.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(100%)","100"))))))&gt;=66,(((_xlfn.XLOOKUP(Assessment!H16,Inherited!A:A,Inherited!B:B))/100)*(_xlfn.XLOOKUP(Assessment!H16,Inherited!A:A,Inherited!C:C)))+(((100-(_xlfn.XLOOKUP(Assessment!H16,Inherited!A:A,Inherited!B:B)))/100)*IF(X15="1.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(100%)","100"))))))&lt;=89),"75",IF((((_xlfn.XLOOKUP(Assessment!H16,Inherited!A:A,Inherited!B:B))/100)*(_xlfn.XLOOKUP(Assessment!H16,Inherited!A:A,Inherited!C:C)))+(((100-(_xlfn.XLOOKUP(Assessment!H16,Inherited!A:A,Inherited!B:B)))/100)*IF(X15="1. Non Compliant (0%)","0",IF(X15="2. Somewhat Compliant (25%)","25",IF(X15="3. Partially Compliant (50%)","50",IF(X15="4. Mostly Compliant (75%)","75",IF(X15="5. Fully Compliant (100%)","100"))))))&gt;=90,"100"))))))</f>
        <v>#N/A</v>
      </c>
      <c r="R15" s="1" t="e">
        <f>IF(MATCH(H15,Inherited!A:A),IF((((_xlfn.XLOOKUP(Assessment!H16,Inherited!A:A,Inherited!B:B))/100)*(_xlfn.XLOOKUP(Assessment!H16,Inherited!A:A,Inherited!D:D)))+(((100-(_xlfn.XLOOKUP(Assessment!H16,Inherited!A:A,Inherited!B:B)))/100)*IF(Y15="1.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(100%)","100"))))))&lt;=10,"0", IF(AND((((_xlfn.XLOOKUP(Assessment!H16,Inherited!A:A,Inherited!B:B))/100)*(_xlfn.XLOOKUP(Assessment!H16,Inherited!A:A,Inherited!D:D)))+(((100-(_xlfn.XLOOKUP(Assessment!H16,Inherited!A:A,Inherited!B:B)))/100)*IF(Y15="1.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(100%)","100"))))))&gt;=11,(((_xlfn.XLOOKUP(Assessment!H16,Inherited!A:A,Inherited!B:B))/100)*(_xlfn.XLOOKUP(Assessment!H16,Inherited!A:A,Inherited!D:D)))+(((100-(_xlfn.XLOOKUP(Assessment!H16,Inherited!A:A,Inherited!B:B)))/100)*IF(Y15="1.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(100%)","100"))))))&lt;=32),"25",IF(AND((((_xlfn.XLOOKUP(Assessment!H16,Inherited!A:A,Inherited!B:B))/100)*(_xlfn.XLOOKUP(Assessment!H16,Inherited!A:A,Inherited!D:D)))+(((100-(_xlfn.XLOOKUP(Assessment!H16,Inherited!A:A,Inherited!B:B)))/100)*IF(Y15="1.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(100%)","100"))))))&gt;=33,(((_xlfn.XLOOKUP(Assessment!H16,Inherited!A:A,Inherited!B:B))/100)*(_xlfn.XLOOKUP(Assessment!H16,Inherited!A:A,Inherited!D:D)))+(((100-(_xlfn.XLOOKUP(Assessment!H16,Inherited!A:A,Inherited!B:B)))/100)*IF(Y15="1.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(100%)","100"))))))&lt;=65),"50",IF(AND((((_xlfn.XLOOKUP(Assessment!H16,Inherited!A:A,Inherited!B:B))/100)*(_xlfn.XLOOKUP(Assessment!H16,Inherited!A:A,Inherited!D:D)))+(((100-(_xlfn.XLOOKUP(Assessment!H16,Inherited!A:A,Inherited!B:B)))/100)*IF(Y15="1.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(100%)","100"))))))&gt;=66,(((_xlfn.XLOOKUP(Assessment!H16,Inherited!A:A,Inherited!B:B))/100)*(_xlfn.XLOOKUP(Assessment!H16,Inherited!A:A,Inherited!D:D)))+(((100-(_xlfn.XLOOKUP(Assessment!H16,Inherited!A:A,Inherited!B:B)))/100)*IF(Y15="1.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(100%)","100"))))))&lt;=89),"75",IF((((_xlfn.XLOOKUP(Assessment!H16,Inherited!A:A,Inherited!B:B))/100)*(_xlfn.XLOOKUP(Assessment!H16,Inherited!A:A,Inherited!D:D)))+(((100-(_xlfn.XLOOKUP(Assessment!H16,Inherited!A:A,Inherited!B:B)))/100)*IF(Y15="1. Non Compliant (0%)","0",IF(Y15="2. Somewhat Compliant (25%)","25",IF(Y15="3. Partially Compliant (50%)","50",IF(Y15="4. Mostly Compliant (75%)","75",IF(Y15="5. Fully Compliant (100%)","100"))))))&gt;=90,"100"))))))</f>
        <v>#N/A</v>
      </c>
      <c r="S15" s="1" t="e">
        <f>IF(MATCH(H15,Inherited!A:A),IF((((_xlfn.XLOOKUP(Assessment!H16,Inherited!A:A,Inherited!B:B))/100)*(_xlfn.XLOOKUP(Assessment!H16,Inherited!A:A,Inherited!E:E)))+(((100-(_xlfn.XLOOKUP(Assessment!H16,Inherited!A:A,Inherited!B:B)))/100)*IF(Z15="1.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(100%)","100"))))))&lt;=10,"0", IF(AND((((_xlfn.XLOOKUP(Assessment!H16,Inherited!A:A,Inherited!B:B))/100)*(_xlfn.XLOOKUP(Assessment!H16,Inherited!A:A,Inherited!E:E)))+(((100-(_xlfn.XLOOKUP(Assessment!H16,Inherited!A:A,Inherited!B:B)))/100)*IF(Z15="1.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(100%)","100"))))))&gt;=11,(((_xlfn.XLOOKUP(Assessment!H16,Inherited!A:A,Inherited!B:B))/100)*(_xlfn.XLOOKUP(Assessment!H16,Inherited!A:A,Inherited!E:E)))+(((100-(_xlfn.XLOOKUP(Assessment!H16,Inherited!A:A,Inherited!B:B)))/100)*IF(Z15="1.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(100%)","100"))))))&lt;=32),"25",IF(AND((((_xlfn.XLOOKUP(Assessment!H16,Inherited!A:A,Inherited!B:B))/100)*(_xlfn.XLOOKUP(Assessment!H16,Inherited!A:A,Inherited!E:E)))+(((100-(_xlfn.XLOOKUP(Assessment!H16,Inherited!A:A,Inherited!B:B)))/100)*IF(Z15="1.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(100%)","100"))))))&gt;=33,(((_xlfn.XLOOKUP(Assessment!H16,Inherited!A:A,Inherited!B:B))/100)*(_xlfn.XLOOKUP(Assessment!H16,Inherited!A:A,Inherited!E:E)))+(((100-(_xlfn.XLOOKUP(Assessment!H16,Inherited!A:A,Inherited!B:B)))/100)*IF(Z15="1.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(100%)","100"))))))&lt;=65),"50",IF(AND((((_xlfn.XLOOKUP(Assessment!H16,Inherited!A:A,Inherited!B:B))/100)*(_xlfn.XLOOKUP(Assessment!H16,Inherited!A:A,Inherited!E:E)))+(((100-(_xlfn.XLOOKUP(Assessment!H16,Inherited!A:A,Inherited!B:B)))/100)*IF(Z15="1.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(100%)","100"))))))&gt;=66,(((_xlfn.XLOOKUP(Assessment!H16,Inherited!A:A,Inherited!B:B))/100)*(_xlfn.XLOOKUP(Assessment!H16,Inherited!A:A,Inherited!E:E)))+(((100-(_xlfn.XLOOKUP(Assessment!H16,Inherited!A:A,Inherited!B:B)))/100)*IF(Z15="1.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(100%)","100"))))))&lt;=89),"75",IF((((_xlfn.XLOOKUP(Assessment!H16,Inherited!A:A,Inherited!B:B))/100)*(_xlfn.XLOOKUP(Assessment!H16,Inherited!A:A,Inherited!E:E)))+(((100-(_xlfn.XLOOKUP(Assessment!H16,Inherited!A:A,Inherited!B:B)))/100)*IF(Z15="1. Non Compliant (0%)","0",IF(Z15="2. Somewhat Compliant (25%)","25",IF(Z15="3. Partially Compliant (50%)","50",IF(Z15="4. Mostly Compliant (75%)","75",IF(Z15="5. Fully Compliant (100%)","100"))))))&gt;=90,"100"))))))</f>
        <v>#N/A</v>
      </c>
      <c r="T15" s="1" t="e">
        <f>IF(MATCH(H15,Inherited!A:A),IF((((_xlfn.XLOOKUP(Assessment!H16,Inherited!A:A,Inherited!B:B))/100)*(_xlfn.XLOOKUP(Assessment!H16,Inherited!A:A,Inherited!F:F)))+(((100-(_xlfn.XLOOKUP(Assessment!H16,Inherited!A:A,Inherited!B:B)))/100)*IF(AA15="1.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(100%)","100"))))))&lt;=10,"0", IF(AND((((_xlfn.XLOOKUP(Assessment!H16,Inherited!A:A,Inherited!B:B))/100)*(_xlfn.XLOOKUP(Assessment!H16,Inherited!A:A,Inherited!F:F)))+(((100-(_xlfn.XLOOKUP(Assessment!H16,Inherited!A:A,Inherited!B:B)))/100)*IF(AA15="1.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(100%)","100"))))))&gt;=11,(((_xlfn.XLOOKUP(Assessment!H16,Inherited!A:A,Inherited!B:B))/100)*(_xlfn.XLOOKUP(Assessment!H16,Inherited!A:A,Inherited!F:F)))+(((100-(_xlfn.XLOOKUP(Assessment!H16,Inherited!A:A,Inherited!B:B)))/100)*IF(AA15="1.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(100%)","100"))))))&lt;=32),"25",IF(AND((((_xlfn.XLOOKUP(Assessment!H16,Inherited!A:A,Inherited!B:B))/100)*(_xlfn.XLOOKUP(Assessment!H16,Inherited!A:A,Inherited!F:F)))+(((100-(_xlfn.XLOOKUP(Assessment!H16,Inherited!A:A,Inherited!B:B)))/100)*IF(AA15="1.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(100%)","100"))))))&gt;=33,(((_xlfn.XLOOKUP(Assessment!H16,Inherited!A:A,Inherited!B:B))/100)*(_xlfn.XLOOKUP(Assessment!H16,Inherited!A:A,Inherited!F:F)))+(((100-(_xlfn.XLOOKUP(Assessment!H16,Inherited!A:A,Inherited!B:B)))/100)*IF(AA15="1.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(100%)","100"))))))&lt;=65),"50",IF(AND((((_xlfn.XLOOKUP(Assessment!H16,Inherited!A:A,Inherited!B:B))/100)*(_xlfn.XLOOKUP(Assessment!H16,Inherited!A:A,Inherited!F:F)))+(((100-(_xlfn.XLOOKUP(Assessment!H16,Inherited!A:A,Inherited!B:B)))/100)*IF(AA15="1.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(100%)","100"))))))&gt;=66,(((_xlfn.XLOOKUP(Assessment!H16,Inherited!A:A,Inherited!B:B))/100)*(_xlfn.XLOOKUP(Assessment!H16,Inherited!A:A,Inherited!F:F)))+(((100-(_xlfn.XLOOKUP(Assessment!H16,Inherited!A:A,Inherited!B:B)))/100)*IF(AA15="1.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(100%)","100"))))))&lt;=89),"75",IF((((_xlfn.XLOOKUP(Assessment!H16,Inherited!A:A,Inherited!B:B))/100)*(_xlfn.XLOOKUP(Assessment!H16,Inherited!A:A,Inherited!F:F)))+(((100-(_xlfn.XLOOKUP(Assessment!H16,Inherited!A:A,Inherited!B:B)))/100)*IF(AA15="1. Non Compliant (0%)","0",IF(AA15="2. Somewhat Compliant (25%)","25",IF(AA15="3. Partially Compliant (50%)","50",IF(AA15="4. Mostly Compliant (75%)","75",IF(AA15="5. Fully Compliant (100%)","100"))))))&gt;=90,"100"))))))</f>
        <v>#N/A</v>
      </c>
      <c r="U15" s="1" t="e">
        <f>IF(MATCH(H15,Inherited!A:A),IF((((_xlfn.XLOOKUP(Assessment!H16,Inherited!A:A,Inherited!B:B))/100)*(_xlfn.XLOOKUP(Assessment!H16,Inherited!A:A,Inherited!G:G)))+(((100-(_xlfn.XLOOKUP(Assessment!H16,Inherited!A:A,Inherited!B:B)))/100)*IF(AB15="1.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(100%)","100"))))))&lt;=10,"0", IF(AND((((_xlfn.XLOOKUP(Assessment!H16,Inherited!A:A,Inherited!B:B))/100)*(_xlfn.XLOOKUP(Assessment!H16,Inherited!A:A,Inherited!G:G)))+(((100-(_xlfn.XLOOKUP(Assessment!H16,Inherited!A:A,Inherited!B:B)))/100)*IF(AB15="1.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(100%)","100"))))))&gt;=11,(((_xlfn.XLOOKUP(Assessment!H16,Inherited!A:A,Inherited!B:B))/100)*(_xlfn.XLOOKUP(Assessment!H16,Inherited!A:A,Inherited!G:G)))+(((100-(_xlfn.XLOOKUP(Assessment!H16,Inherited!A:A,Inherited!B:B)))/100)*IF(AB15="1.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(100%)","100"))))))&lt;=32),"25",IF(AND((((_xlfn.XLOOKUP(Assessment!H16,Inherited!A:A,Inherited!B:B))/100)*(_xlfn.XLOOKUP(Assessment!H16,Inherited!A:A,Inherited!G:G)))+(((100-(_xlfn.XLOOKUP(Assessment!H16,Inherited!A:A,Inherited!B:B)))/100)*IF(AB15="1.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(100%)","100"))))))&gt;=33,(((_xlfn.XLOOKUP(Assessment!H16,Inherited!A:A,Inherited!B:B))/100)*(_xlfn.XLOOKUP(Assessment!H16,Inherited!A:A,Inherited!G:G)))+(((100-(_xlfn.XLOOKUP(Assessment!H16,Inherited!A:A,Inherited!B:B)))/100)*IF(AB15="1.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(100%)","100"))))))&lt;=65),"50",IF(AND((((_xlfn.XLOOKUP(Assessment!H16,Inherited!A:A,Inherited!B:B))/100)*(_xlfn.XLOOKUP(Assessment!H16,Inherited!A:A,Inherited!G:G)))+(((100-(_xlfn.XLOOKUP(Assessment!H16,Inherited!A:A,Inherited!B:B)))/100)*IF(AB15="1.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(100%)","100"))))))&gt;=66,(((_xlfn.XLOOKUP(Assessment!H16,Inherited!A:A,Inherited!B:B))/100)*(_xlfn.XLOOKUP(Assessment!H16,Inherited!A:A,Inherited!G:G)))+(((100-(_xlfn.XLOOKUP(Assessment!H16,Inherited!A:A,Inherited!B:B)))/100)*IF(AB15="1.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(100%)","100"))))))&lt;=89),"75",IF((((_xlfn.XLOOKUP(Assessment!H16,Inherited!A:A,Inherited!B:B))/100)*(_xlfn.XLOOKUP(Assessment!H16,Inherited!A:A,Inherited!G:G)))+(((100-(_xlfn.XLOOKUP(Assessment!H16,Inherited!A:A,Inherited!B:B)))/100)*IF(AB15="1. Non Compliant (0%)","0",IF(AB15="2. Somewhat Compliant (25%)","25",IF(AB15="3. Partially Compliant (50%)","50",IF(AB15="4. Mostly Compliant (75%)","75",IF(AB15="5. Fully Compliant (100%)","100"))))))&gt;=90,"100"))))))</f>
        <v>#N/A</v>
      </c>
      <c r="V15" s="55" t="s">
        <v>85</v>
      </c>
      <c r="W15" s="55"/>
      <c r="X15" s="55"/>
      <c r="Y15" s="55"/>
      <c r="Z15" s="55" t="s">
        <v>86</v>
      </c>
      <c r="AA15" s="55"/>
      <c r="AB15" s="55"/>
      <c r="AK15" s="1" t="s">
        <v>10891</v>
      </c>
      <c r="AL15" s="1" t="s">
        <v>10926</v>
      </c>
      <c r="AM15" s="1" t="s">
        <v>10910</v>
      </c>
      <c r="AX15" s="3" t="str">
        <f>_xlfn.CONCAT("A-LIGN finished its review of this control on ",AR15, " during the scheduled fieldwork window (",Intro!$B$4,")."&amp; CHAR(10)&amp; CHAR(10))</f>
        <v xml:space="preserve">A-LIGN finished its review of this control on  during the scheduled fieldwork window (Fieldwork: xx/xx/xxxx - xx/xx/xxxx).
</v>
      </c>
      <c r="AY15" s="3" t="str">
        <f t="shared" si="31"/>
        <v/>
      </c>
      <c r="AZ15" s="3" t="str">
        <f t="shared" si="32"/>
        <v/>
      </c>
      <c r="BA15" s="3" t="str">
        <f t="shared" si="33"/>
        <v/>
      </c>
      <c r="BB15" s="3" t="str">
        <f t="shared" si="34"/>
        <v xml:space="preserve">Inquired of the following workforce member: 
Matthew Macaluso - Director of System Operations
Roze Nicolas - Director of TechOps
Inquiry lead to the following conclusions: 
A SOC 2 Type II assessment is completed on an annual basis by an external firm
Internally, the Director of TechOps is using Vanta to compare their readiness against other compliance frameworks (ISO 42001, 27001
</v>
      </c>
      <c r="BC15" s="3" t="str">
        <f t="shared" si="35"/>
        <v xml:space="preserve">Observed the following live during fieldwork: 
Observed the A-LIGN SOC 2 Type II report which demonstrated that an independent review was completed
Observed Vanta dashboard which demonstrated that they are internally comparing their existing controls to other compliance frameworks 
</v>
      </c>
      <c r="BD15" s="3" t="str">
        <f t="shared" si="36"/>
        <v xml:space="preserve">Examined the following evidence during fieldwork:
Reviewed evidence addressed the requirement statement.
</v>
      </c>
      <c r="BE15" s="3" t="str">
        <f t="shared" si="37"/>
        <v/>
      </c>
      <c r="BF15" s="3" t="str">
        <f t="shared" si="38"/>
        <v/>
      </c>
      <c r="BG15" s="3" t="str">
        <f>_xlfn.CONCAT((IF((COUNTIF('Sample Tables'!B:B,"")&gt;0)=TRUE,_xlfn.CONCAT("",""),IF((COUNTIF('Sample Tables'!B:B,"")&gt;0)=FALSE,""))),)</f>
        <v/>
      </c>
      <c r="BH15" s="3" t="str">
        <f t="shared" si="3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A SOC 2 Type II assessment is completed on an annual basis by an external firm
Internally, the Director of TechOps is using Vanta to compare their readiness against other compliance frameworks (ISO 42001, 27001
Observed the following live during fieldwork: 
Observed the A-LIGN SOC 2 Type II report which demonstrated that an independent review was completed
Observed Vanta dashboard which demonstrated that they are internally comparing their existing controls to other compliance frameworks 
Examined the following evidence during fieldwork:
Reviewed evidence addressed the requirement statement.
</v>
      </c>
    </row>
    <row r="16" spans="1:60" ht="409.5" x14ac:dyDescent="0.35">
      <c r="C16" s="1">
        <f t="shared" si="30"/>
        <v>20</v>
      </c>
      <c r="D16" s="5" t="str">
        <f>IF(AND((_xlfn.XLOOKUP(J16,'Fields &amp; Revisions'!$H:$H,'Fields &amp; Revisions'!$I:$I))&lt;70.99,(OR(Z16="4. Mostly Compliant (75%)",Z16="3. Partially Compliant (50%)",Z16="2. Somewhat Compliant (25%)",Z16="1. Non Compliant (0%)"))),"Yes","No")</f>
        <v>Yes</v>
      </c>
      <c r="E16" s="5" t="str">
        <f>IF(ISERROR(VLOOKUP(H16,Scope!A:A,1,FALSE)),"No","Yes")</f>
        <v>Yes</v>
      </c>
      <c r="F16" s="1" t="s">
        <v>90</v>
      </c>
      <c r="G16" s="53" t="s">
        <v>571</v>
      </c>
      <c r="H16" s="53" t="s">
        <v>572</v>
      </c>
      <c r="I16" s="5">
        <v>1</v>
      </c>
      <c r="J16" s="1" t="s">
        <v>573</v>
      </c>
      <c r="K16" s="1" t="s">
        <v>574</v>
      </c>
      <c r="L16" s="1" t="s">
        <v>575</v>
      </c>
      <c r="M16" s="1" t="s">
        <v>576</v>
      </c>
      <c r="N16" s="5" t="s">
        <v>85</v>
      </c>
      <c r="O16" s="1" t="str">
        <f>_xlfn.XLOOKUP(G16,SRMs!$A:$A,SRMs!$D:$D)</f>
        <v>NO INHERITANCE</v>
      </c>
      <c r="P16" s="1" t="str">
        <f>IFERROR(VLOOKUP(H16,Inherited!A:B,2,FALSE),"")</f>
        <v/>
      </c>
      <c r="Q16" s="1" t="e">
        <f>IF(MATCH(H16,Inherited!A:A),IF((((_xlfn.XLOOKUP(Assessment!#REF!,Inherited!A:A,Inherited!B:B))/100)*(_xlfn.XLOOKUP(Assessment!#REF!,Inherited!A:A,Inherited!C:C)))+(((100-(_xlfn.XLOOKUP(Assessment!#REF!,Inherited!A:A,Inherited!B:B)))/100)*IF(X16="1.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(100%)","100"))))))&lt;=10,"0", IF(AND((((_xlfn.XLOOKUP(Assessment!#REF!,Inherited!A:A,Inherited!B:B))/100)*(_xlfn.XLOOKUP(Assessment!#REF!,Inherited!A:A,Inherited!C:C)))+(((100-(_xlfn.XLOOKUP(Assessment!#REF!,Inherited!A:A,Inherited!B:B)))/100)*IF(X16="1.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(100%)","100"))))))&gt;=11,(((_xlfn.XLOOKUP(Assessment!#REF!,Inherited!A:A,Inherited!B:B))/100)*(_xlfn.XLOOKUP(Assessment!#REF!,Inherited!A:A,Inherited!C:C)))+(((100-(_xlfn.XLOOKUP(Assessment!#REF!,Inherited!A:A,Inherited!B:B)))/100)*IF(X16="1.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(100%)","100"))))))&lt;=32),"25",IF(AND((((_xlfn.XLOOKUP(Assessment!#REF!,Inherited!A:A,Inherited!B:B))/100)*(_xlfn.XLOOKUP(Assessment!#REF!,Inherited!A:A,Inherited!C:C)))+(((100-(_xlfn.XLOOKUP(Assessment!#REF!,Inherited!A:A,Inherited!B:B)))/100)*IF(X16="1.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(100%)","100"))))))&gt;=33,(((_xlfn.XLOOKUP(Assessment!#REF!,Inherited!A:A,Inherited!B:B))/100)*(_xlfn.XLOOKUP(Assessment!#REF!,Inherited!A:A,Inherited!C:C)))+(((100-(_xlfn.XLOOKUP(Assessment!#REF!,Inherited!A:A,Inherited!B:B)))/100)*IF(X16="1.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(100%)","100"))))))&lt;=65),"50",IF(AND((((_xlfn.XLOOKUP(Assessment!#REF!,Inherited!A:A,Inherited!B:B))/100)*(_xlfn.XLOOKUP(Assessment!#REF!,Inherited!A:A,Inherited!C:C)))+(((100-(_xlfn.XLOOKUP(Assessment!#REF!,Inherited!A:A,Inherited!B:B)))/100)*IF(X16="1.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(100%)","100"))))))&gt;=66,(((_xlfn.XLOOKUP(Assessment!#REF!,Inherited!A:A,Inherited!B:B))/100)*(_xlfn.XLOOKUP(Assessment!#REF!,Inherited!A:A,Inherited!C:C)))+(((100-(_xlfn.XLOOKUP(Assessment!#REF!,Inherited!A:A,Inherited!B:B)))/100)*IF(X16="1.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(100%)","100"))))))&lt;=89),"75",IF((((_xlfn.XLOOKUP(Assessment!#REF!,Inherited!A:A,Inherited!B:B))/100)*(_xlfn.XLOOKUP(Assessment!#REF!,Inherited!A:A,Inherited!C:C)))+(((100-(_xlfn.XLOOKUP(Assessment!#REF!,Inherited!A:A,Inherited!B:B)))/100)*IF(X16="1. Non Compliant (0%)","0",IF(X16="2. Somewhat Compliant (25%)","25",IF(X16="3. Partially Compliant (50%)","50",IF(X16="4. Mostly Compliant (75%)","75",IF(X16="5. Fully Compliant (100%)","100"))))))&gt;=90,"100"))))))</f>
        <v>#N/A</v>
      </c>
      <c r="R16" s="1" t="e">
        <f>IF(MATCH(H16,Inherited!A:A),IF((((_xlfn.XLOOKUP(Assessment!#REF!,Inherited!A:A,Inherited!B:B))/100)*(_xlfn.XLOOKUP(Assessment!#REF!,Inherited!A:A,Inherited!D:D)))+(((100-(_xlfn.XLOOKUP(Assessment!#REF!,Inherited!A:A,Inherited!B:B)))/100)*IF(Y16="1.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(100%)","100"))))))&lt;=10,"0", IF(AND((((_xlfn.XLOOKUP(Assessment!#REF!,Inherited!A:A,Inherited!B:B))/100)*(_xlfn.XLOOKUP(Assessment!#REF!,Inherited!A:A,Inherited!D:D)))+(((100-(_xlfn.XLOOKUP(Assessment!#REF!,Inherited!A:A,Inherited!B:B)))/100)*IF(Y16="1.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(100%)","100"))))))&gt;=11,(((_xlfn.XLOOKUP(Assessment!#REF!,Inherited!A:A,Inherited!B:B))/100)*(_xlfn.XLOOKUP(Assessment!#REF!,Inherited!A:A,Inherited!D:D)))+(((100-(_xlfn.XLOOKUP(Assessment!#REF!,Inherited!A:A,Inherited!B:B)))/100)*IF(Y16="1.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(100%)","100"))))))&lt;=32),"25",IF(AND((((_xlfn.XLOOKUP(Assessment!#REF!,Inherited!A:A,Inherited!B:B))/100)*(_xlfn.XLOOKUP(Assessment!#REF!,Inherited!A:A,Inherited!D:D)))+(((100-(_xlfn.XLOOKUP(Assessment!#REF!,Inherited!A:A,Inherited!B:B)))/100)*IF(Y16="1.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(100%)","100"))))))&gt;=33,(((_xlfn.XLOOKUP(Assessment!#REF!,Inherited!A:A,Inherited!B:B))/100)*(_xlfn.XLOOKUP(Assessment!#REF!,Inherited!A:A,Inherited!D:D)))+(((100-(_xlfn.XLOOKUP(Assessment!#REF!,Inherited!A:A,Inherited!B:B)))/100)*IF(Y16="1.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(100%)","100"))))))&lt;=65),"50",IF(AND((((_xlfn.XLOOKUP(Assessment!#REF!,Inherited!A:A,Inherited!B:B))/100)*(_xlfn.XLOOKUP(Assessment!#REF!,Inherited!A:A,Inherited!D:D)))+(((100-(_xlfn.XLOOKUP(Assessment!#REF!,Inherited!A:A,Inherited!B:B)))/100)*IF(Y16="1.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(100%)","100"))))))&gt;=66,(((_xlfn.XLOOKUP(Assessment!#REF!,Inherited!A:A,Inherited!B:B))/100)*(_xlfn.XLOOKUP(Assessment!#REF!,Inherited!A:A,Inherited!D:D)))+(((100-(_xlfn.XLOOKUP(Assessment!#REF!,Inherited!A:A,Inherited!B:B)))/100)*IF(Y16="1.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(100%)","100"))))))&lt;=89),"75",IF((((_xlfn.XLOOKUP(Assessment!#REF!,Inherited!A:A,Inherited!B:B))/100)*(_xlfn.XLOOKUP(Assessment!#REF!,Inherited!A:A,Inherited!D:D)))+(((100-(_xlfn.XLOOKUP(Assessment!#REF!,Inherited!A:A,Inherited!B:B)))/100)*IF(Y16="1. Non Compliant (0%)","0",IF(Y16="2. Somewhat Compliant (25%)","25",IF(Y16="3. Partially Compliant (50%)","50",IF(Y16="4. Mostly Compliant (75%)","75",IF(Y16="5. Fully Compliant (100%)","100"))))))&gt;=90,"100"))))))</f>
        <v>#N/A</v>
      </c>
      <c r="S16" s="1" t="e">
        <f>IF(MATCH(H16,Inherited!A:A),IF((((_xlfn.XLOOKUP(Assessment!#REF!,Inherited!A:A,Inherited!B:B))/100)*(_xlfn.XLOOKUP(Assessment!#REF!,Inherited!A:A,Inherited!E:E)))+(((100-(_xlfn.XLOOKUP(Assessment!#REF!,Inherited!A:A,Inherited!B:B)))/100)*IF(Z16="1.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(100%)","100"))))))&lt;=10,"0", IF(AND((((_xlfn.XLOOKUP(Assessment!#REF!,Inherited!A:A,Inherited!B:B))/100)*(_xlfn.XLOOKUP(Assessment!#REF!,Inherited!A:A,Inherited!E:E)))+(((100-(_xlfn.XLOOKUP(Assessment!#REF!,Inherited!A:A,Inherited!B:B)))/100)*IF(Z16="1.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(100%)","100"))))))&gt;=11,(((_xlfn.XLOOKUP(Assessment!#REF!,Inherited!A:A,Inherited!B:B))/100)*(_xlfn.XLOOKUP(Assessment!#REF!,Inherited!A:A,Inherited!E:E)))+(((100-(_xlfn.XLOOKUP(Assessment!#REF!,Inherited!A:A,Inherited!B:B)))/100)*IF(Z16="1.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(100%)","100"))))))&lt;=32),"25",IF(AND((((_xlfn.XLOOKUP(Assessment!#REF!,Inherited!A:A,Inherited!B:B))/100)*(_xlfn.XLOOKUP(Assessment!#REF!,Inherited!A:A,Inherited!E:E)))+(((100-(_xlfn.XLOOKUP(Assessment!#REF!,Inherited!A:A,Inherited!B:B)))/100)*IF(Z16="1.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(100%)","100"))))))&gt;=33,(((_xlfn.XLOOKUP(Assessment!#REF!,Inherited!A:A,Inherited!B:B))/100)*(_xlfn.XLOOKUP(Assessment!#REF!,Inherited!A:A,Inherited!E:E)))+(((100-(_xlfn.XLOOKUP(Assessment!#REF!,Inherited!A:A,Inherited!B:B)))/100)*IF(Z16="1.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(100%)","100"))))))&lt;=65),"50",IF(AND((((_xlfn.XLOOKUP(Assessment!#REF!,Inherited!A:A,Inherited!B:B))/100)*(_xlfn.XLOOKUP(Assessment!#REF!,Inherited!A:A,Inherited!E:E)))+(((100-(_xlfn.XLOOKUP(Assessment!#REF!,Inherited!A:A,Inherited!B:B)))/100)*IF(Z16="1.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(100%)","100"))))))&gt;=66,(((_xlfn.XLOOKUP(Assessment!#REF!,Inherited!A:A,Inherited!B:B))/100)*(_xlfn.XLOOKUP(Assessment!#REF!,Inherited!A:A,Inherited!E:E)))+(((100-(_xlfn.XLOOKUP(Assessment!#REF!,Inherited!A:A,Inherited!B:B)))/100)*IF(Z16="1.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(100%)","100"))))))&lt;=89),"75",IF((((_xlfn.XLOOKUP(Assessment!#REF!,Inherited!A:A,Inherited!B:B))/100)*(_xlfn.XLOOKUP(Assessment!#REF!,Inherited!A:A,Inherited!E:E)))+(((100-(_xlfn.XLOOKUP(Assessment!#REF!,Inherited!A:A,Inherited!B:B)))/100)*IF(Z16="1. Non Compliant (0%)","0",IF(Z16="2. Somewhat Compliant (25%)","25",IF(Z16="3. Partially Compliant (50%)","50",IF(Z16="4. Mostly Compliant (75%)","75",IF(Z16="5. Fully Compliant (100%)","100"))))))&gt;=90,"100"))))))</f>
        <v>#N/A</v>
      </c>
      <c r="T16" s="1" t="e">
        <f>IF(MATCH(H16,Inherited!A:A),IF((((_xlfn.XLOOKUP(Assessment!#REF!,Inherited!A:A,Inherited!B:B))/100)*(_xlfn.XLOOKUP(Assessment!#REF!,Inherited!A:A,Inherited!F:F)))+(((100-(_xlfn.XLOOKUP(Assessment!#REF!,Inherited!A:A,Inherited!B:B)))/100)*IF(AA16="1.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(100%)","100"))))))&lt;=10,"0", IF(AND((((_xlfn.XLOOKUP(Assessment!#REF!,Inherited!A:A,Inherited!B:B))/100)*(_xlfn.XLOOKUP(Assessment!#REF!,Inherited!A:A,Inherited!F:F)))+(((100-(_xlfn.XLOOKUP(Assessment!#REF!,Inherited!A:A,Inherited!B:B)))/100)*IF(AA16="1.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(100%)","100"))))))&gt;=11,(((_xlfn.XLOOKUP(Assessment!#REF!,Inherited!A:A,Inherited!B:B))/100)*(_xlfn.XLOOKUP(Assessment!#REF!,Inherited!A:A,Inherited!F:F)))+(((100-(_xlfn.XLOOKUP(Assessment!#REF!,Inherited!A:A,Inherited!B:B)))/100)*IF(AA16="1.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(100%)","100"))))))&lt;=32),"25",IF(AND((((_xlfn.XLOOKUP(Assessment!#REF!,Inherited!A:A,Inherited!B:B))/100)*(_xlfn.XLOOKUP(Assessment!#REF!,Inherited!A:A,Inherited!F:F)))+(((100-(_xlfn.XLOOKUP(Assessment!#REF!,Inherited!A:A,Inherited!B:B)))/100)*IF(AA16="1.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(100%)","100"))))))&gt;=33,(((_xlfn.XLOOKUP(Assessment!#REF!,Inherited!A:A,Inherited!B:B))/100)*(_xlfn.XLOOKUP(Assessment!#REF!,Inherited!A:A,Inherited!F:F)))+(((100-(_xlfn.XLOOKUP(Assessment!#REF!,Inherited!A:A,Inherited!B:B)))/100)*IF(AA16="1.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(100%)","100"))))))&lt;=65),"50",IF(AND((((_xlfn.XLOOKUP(Assessment!#REF!,Inherited!A:A,Inherited!B:B))/100)*(_xlfn.XLOOKUP(Assessment!#REF!,Inherited!A:A,Inherited!F:F)))+(((100-(_xlfn.XLOOKUP(Assessment!#REF!,Inherited!A:A,Inherited!B:B)))/100)*IF(AA16="1.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(100%)","100"))))))&gt;=66,(((_xlfn.XLOOKUP(Assessment!#REF!,Inherited!A:A,Inherited!B:B))/100)*(_xlfn.XLOOKUP(Assessment!#REF!,Inherited!A:A,Inherited!F:F)))+(((100-(_xlfn.XLOOKUP(Assessment!#REF!,Inherited!A:A,Inherited!B:B)))/100)*IF(AA16="1.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(100%)","100"))))))&lt;=89),"75",IF((((_xlfn.XLOOKUP(Assessment!#REF!,Inherited!A:A,Inherited!B:B))/100)*(_xlfn.XLOOKUP(Assessment!#REF!,Inherited!A:A,Inherited!F:F)))+(((100-(_xlfn.XLOOKUP(Assessment!#REF!,Inherited!A:A,Inherited!B:B)))/100)*IF(AA16="1. Non Compliant (0%)","0",IF(AA16="2. Somewhat Compliant (25%)","25",IF(AA16="3. Partially Compliant (50%)","50",IF(AA16="4. Mostly Compliant (75%)","75",IF(AA16="5. Fully Compliant (100%)","100"))))))&gt;=90,"100"))))))</f>
        <v>#N/A</v>
      </c>
      <c r="U16" s="1" t="e">
        <f>IF(MATCH(H16,Inherited!A:A),IF((((_xlfn.XLOOKUP(Assessment!#REF!,Inherited!A:A,Inherited!B:B))/100)*(_xlfn.XLOOKUP(Assessment!#REF!,Inherited!A:A,Inherited!G:G)))+(((100-(_xlfn.XLOOKUP(Assessment!#REF!,Inherited!A:A,Inherited!B:B)))/100)*IF(AB16="1.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(100%)","100"))))))&lt;=10,"0", IF(AND((((_xlfn.XLOOKUP(Assessment!#REF!,Inherited!A:A,Inherited!B:B))/100)*(_xlfn.XLOOKUP(Assessment!#REF!,Inherited!A:A,Inherited!G:G)))+(((100-(_xlfn.XLOOKUP(Assessment!#REF!,Inherited!A:A,Inherited!B:B)))/100)*IF(AB16="1.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(100%)","100"))))))&gt;=11,(((_xlfn.XLOOKUP(Assessment!#REF!,Inherited!A:A,Inherited!B:B))/100)*(_xlfn.XLOOKUP(Assessment!#REF!,Inherited!A:A,Inherited!G:G)))+(((100-(_xlfn.XLOOKUP(Assessment!#REF!,Inherited!A:A,Inherited!B:B)))/100)*IF(AB16="1.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(100%)","100"))))))&lt;=32),"25",IF(AND((((_xlfn.XLOOKUP(Assessment!#REF!,Inherited!A:A,Inherited!B:B))/100)*(_xlfn.XLOOKUP(Assessment!#REF!,Inherited!A:A,Inherited!G:G)))+(((100-(_xlfn.XLOOKUP(Assessment!#REF!,Inherited!A:A,Inherited!B:B)))/100)*IF(AB16="1.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(100%)","100"))))))&gt;=33,(((_xlfn.XLOOKUP(Assessment!#REF!,Inherited!A:A,Inherited!B:B))/100)*(_xlfn.XLOOKUP(Assessment!#REF!,Inherited!A:A,Inherited!G:G)))+(((100-(_xlfn.XLOOKUP(Assessment!#REF!,Inherited!A:A,Inherited!B:B)))/100)*IF(AB16="1.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(100%)","100"))))))&lt;=65),"50",IF(AND((((_xlfn.XLOOKUP(Assessment!#REF!,Inherited!A:A,Inherited!B:B))/100)*(_xlfn.XLOOKUP(Assessment!#REF!,Inherited!A:A,Inherited!G:G)))+(((100-(_xlfn.XLOOKUP(Assessment!#REF!,Inherited!A:A,Inherited!B:B)))/100)*IF(AB16="1.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(100%)","100"))))))&gt;=66,(((_xlfn.XLOOKUP(Assessment!#REF!,Inherited!A:A,Inherited!B:B))/100)*(_xlfn.XLOOKUP(Assessment!#REF!,Inherited!A:A,Inherited!G:G)))+(((100-(_xlfn.XLOOKUP(Assessment!#REF!,Inherited!A:A,Inherited!B:B)))/100)*IF(AB16="1.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(100%)","100"))))))&lt;=89),"75",IF((((_xlfn.XLOOKUP(Assessment!#REF!,Inherited!A:A,Inherited!B:B))/100)*(_xlfn.XLOOKUP(Assessment!#REF!,Inherited!A:A,Inherited!G:G)))+(((100-(_xlfn.XLOOKUP(Assessment!#REF!,Inherited!A:A,Inherited!B:B)))/100)*IF(AB16="1. Non Compliant (0%)","0",IF(AB16="2. Somewhat Compliant (25%)","25",IF(AB16="3. Partially Compliant (50%)","50",IF(AB16="4. Mostly Compliant (75%)","75",IF(AB16="5. Fully Compliant (100%)","100"))))))&gt;=90,"100"))))))</f>
        <v>#N/A</v>
      </c>
      <c r="V16" s="55" t="s">
        <v>85</v>
      </c>
      <c r="W16" s="55"/>
      <c r="X16" s="55"/>
      <c r="Y16" s="55"/>
      <c r="Z16" s="55" t="s">
        <v>88</v>
      </c>
      <c r="AA16" s="55"/>
      <c r="AB16" s="55"/>
      <c r="AK16" s="1" t="s">
        <v>10891</v>
      </c>
      <c r="AN16" s="1" t="s">
        <v>11142</v>
      </c>
      <c r="AO16" s="1" t="s">
        <v>11143</v>
      </c>
      <c r="AP16" s="1" t="s">
        <v>11144</v>
      </c>
      <c r="AX16" s="3" t="str">
        <f>_xlfn.CONCAT("A-LIGN finished its review of this control on ",AR16, " during the scheduled fieldwork window (",Intro!$B$4,")."&amp; CHAR(10)&amp; CHAR(10))</f>
        <v xml:space="preserve">A-LIGN finished its review of this control on  during the scheduled fieldwork window (Fieldwork: xx/xx/xxxx - xx/xx/xxxx).
</v>
      </c>
      <c r="AY16" s="3" t="str">
        <f t="shared" si="31"/>
        <v/>
      </c>
      <c r="AZ16" s="3" t="str">
        <f t="shared" si="32"/>
        <v/>
      </c>
      <c r="BA16" s="3" t="str">
        <f t="shared" si="33"/>
        <v/>
      </c>
      <c r="BB16" s="3" t="str">
        <f t="shared" si="34"/>
        <v xml:space="preserve">Inquired of the following workforce member: 
Matthew Macaluso - Director of System Operations
Roze Nicolas - Director of TechOps
Inquiry lead to the following conclusions: 
</v>
      </c>
      <c r="BC16" s="3" t="str">
        <f t="shared" si="35"/>
        <v/>
      </c>
      <c r="BD16" s="3" t="str">
        <f t="shared" si="36"/>
        <v xml:space="preserve">Examined the following evidence during fieldwork:
0181.06a1Organizational.12 MRG-035-Security Awareness.docx
0113.04a1Organizational.2 MRG-026-Information Security Program.docx
Reviewed evidence note:
A-LIGN reviewed the Merge Security Awareness policy and procedure and was able to confirm that workforce responsibilities are included. Also confirmed through a review of the ISMP documentation.
Reviewed evidence exception note: 
Gap: Applicable Legislation is not included within the defined documentation.
Recommendation: Management should ensure that the policy/procedure included the applicable legislation.
</v>
      </c>
      <c r="BE16" s="3" t="str">
        <f t="shared" si="37"/>
        <v/>
      </c>
      <c r="BF16" s="3" t="str">
        <f t="shared" si="38"/>
        <v/>
      </c>
      <c r="BG16" s="3" t="str">
        <f>_xlfn.CONCAT((IF((COUNTIF('Sample Tables'!B:B,"Test 132: Information Security (training material)")&gt;0)=TRUE,_xlfn.CONCAT("Sample test results are documented in ",'Sample Tables'!B1448," [",'Sample Tables'!B1449,", ",'Sample Tables'!B1450,", ",'Sample Tables'!B1451,", ",'Sample Tables'!B1452,", ",'Sample Tables'!B1453,"]."&amp;CHAR(10)),IF((COUNTIF('Sample Tables'!B:B,"Test 132: Information Security (training material)")&gt;0)=FALSE,""))),)</f>
        <v xml:space="preserve">Sample test results are documented in Test 132: Information Security (training material) [Population Source/Tool: , Population Date Range: , Population Size: , Sample Methodology: , Sample Size: ].
</v>
      </c>
      <c r="BH16" s="3" t="str">
        <f t="shared" si="3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Examined the following evidence during fieldwork:
0181.06a1Organizational.12 MRG-035-Security Awareness.docx
0113.04a1Organizational.2 MRG-026-Information Security Program.docx
Reviewed evidence note:
A-LIGN reviewed the Merge Security Awareness policy and procedure and was able to confirm that workforce responsibilities are included. Also confirmed through a review of the ISMP documentation.
Reviewed evidence exception note: 
Gap: Applicable Legislation is not included within the defined documentation.
Recommendation: Management should ensure that the policy/procedure included the applicable legislation.
Sample test results are documented in Test 132: Information Security (training material) [Population Source/Tool: , Population Date Range: , Population Size: , Sample Methodology: , Sample Size: ].
</v>
      </c>
    </row>
    <row r="17" spans="3:60" ht="409.5" x14ac:dyDescent="0.35">
      <c r="C17" s="1">
        <f t="shared" si="30"/>
        <v>20</v>
      </c>
      <c r="D17" s="5" t="str">
        <f>IF(AND((_xlfn.XLOOKUP(J17,'Fields &amp; Revisions'!$H:$H,'Fields &amp; Revisions'!$I:$I))&lt;70.99,(OR(Z17="4. Mostly Compliant (75%)",Z17="3. Partially Compliant (50%)",Z17="2. Somewhat Compliant (25%)",Z17="1. Non Compliant (0%)"))),"Yes","No")</f>
        <v>Yes</v>
      </c>
      <c r="E17" s="5" t="str">
        <f>IF(ISERROR(VLOOKUP(H17,Scope!A:A,1,FALSE)),"No","Yes")</f>
        <v>Yes</v>
      </c>
      <c r="F17" s="1" t="s">
        <v>90</v>
      </c>
      <c r="G17" s="53" t="s">
        <v>579</v>
      </c>
      <c r="H17" s="53" t="s">
        <v>580</v>
      </c>
      <c r="I17" s="5">
        <v>1</v>
      </c>
      <c r="J17" s="1" t="s">
        <v>287</v>
      </c>
      <c r="K17" s="1" t="s">
        <v>581</v>
      </c>
      <c r="L17" s="1" t="s">
        <v>582</v>
      </c>
      <c r="M17" s="1" t="s">
        <v>583</v>
      </c>
      <c r="N17" s="5" t="s">
        <v>85</v>
      </c>
      <c r="O17" s="1" t="str">
        <f>_xlfn.XLOOKUP(G17,SRMs!$A:$A,SRMs!$D:$D)</f>
        <v>PARTIAL INHERITANCE</v>
      </c>
      <c r="P17" s="1" t="str">
        <f>IFERROR(VLOOKUP(H17,Inherited!A:B,2,FALSE),"")</f>
        <v/>
      </c>
      <c r="Q17" s="1" t="e">
        <f>IF(MATCH(H17,Inherited!A:A),IF((((_xlfn.XLOOKUP(Assessment!#REF!,Inherited!A:A,Inherited!B:B))/100)*(_xlfn.XLOOKUP(Assessment!#REF!,Inherited!A:A,Inherited!C:C)))+(((100-(_xlfn.XLOOKUP(Assessment!#REF!,Inherited!A:A,Inherited!B:B)))/100)*IF(X17="1.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(100%)","100"))))))&lt;=10,"0", IF(AND((((_xlfn.XLOOKUP(Assessment!#REF!,Inherited!A:A,Inherited!B:B))/100)*(_xlfn.XLOOKUP(Assessment!#REF!,Inherited!A:A,Inherited!C:C)))+(((100-(_xlfn.XLOOKUP(Assessment!#REF!,Inherited!A:A,Inherited!B:B)))/100)*IF(X17="1.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(100%)","100"))))))&gt;=11,(((_xlfn.XLOOKUP(Assessment!#REF!,Inherited!A:A,Inherited!B:B))/100)*(_xlfn.XLOOKUP(Assessment!#REF!,Inherited!A:A,Inherited!C:C)))+(((100-(_xlfn.XLOOKUP(Assessment!#REF!,Inherited!A:A,Inherited!B:B)))/100)*IF(X17="1.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(100%)","100"))))))&lt;=32),"25",IF(AND((((_xlfn.XLOOKUP(Assessment!#REF!,Inherited!A:A,Inherited!B:B))/100)*(_xlfn.XLOOKUP(Assessment!#REF!,Inherited!A:A,Inherited!C:C)))+(((100-(_xlfn.XLOOKUP(Assessment!#REF!,Inherited!A:A,Inherited!B:B)))/100)*IF(X17="1.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(100%)","100"))))))&gt;=33,(((_xlfn.XLOOKUP(Assessment!#REF!,Inherited!A:A,Inherited!B:B))/100)*(_xlfn.XLOOKUP(Assessment!#REF!,Inherited!A:A,Inherited!C:C)))+(((100-(_xlfn.XLOOKUP(Assessment!#REF!,Inherited!A:A,Inherited!B:B)))/100)*IF(X17="1.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(100%)","100"))))))&lt;=65),"50",IF(AND((((_xlfn.XLOOKUP(Assessment!#REF!,Inherited!A:A,Inherited!B:B))/100)*(_xlfn.XLOOKUP(Assessment!#REF!,Inherited!A:A,Inherited!C:C)))+(((100-(_xlfn.XLOOKUP(Assessment!#REF!,Inherited!A:A,Inherited!B:B)))/100)*IF(X17="1.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(100%)","100"))))))&gt;=66,(((_xlfn.XLOOKUP(Assessment!#REF!,Inherited!A:A,Inherited!B:B))/100)*(_xlfn.XLOOKUP(Assessment!#REF!,Inherited!A:A,Inherited!C:C)))+(((100-(_xlfn.XLOOKUP(Assessment!#REF!,Inherited!A:A,Inherited!B:B)))/100)*IF(X17="1.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(100%)","100"))))))&lt;=89),"75",IF((((_xlfn.XLOOKUP(Assessment!#REF!,Inherited!A:A,Inherited!B:B))/100)*(_xlfn.XLOOKUP(Assessment!#REF!,Inherited!A:A,Inherited!C:C)))+(((100-(_xlfn.XLOOKUP(Assessment!#REF!,Inherited!A:A,Inherited!B:B)))/100)*IF(X17="1. Non Compliant (0%)","0",IF(X17="2. Somewhat Compliant (25%)","25",IF(X17="3. Partially Compliant (50%)","50",IF(X17="4. Mostly Compliant (75%)","75",IF(X17="5. Fully Compliant (100%)","100"))))))&gt;=90,"100"))))))</f>
        <v>#N/A</v>
      </c>
      <c r="R17" s="1" t="e">
        <f>IF(MATCH(H17,Inherited!A:A),IF((((_xlfn.XLOOKUP(Assessment!#REF!,Inherited!A:A,Inherited!B:B))/100)*(_xlfn.XLOOKUP(Assessment!#REF!,Inherited!A:A,Inherited!D:D)))+(((100-(_xlfn.XLOOKUP(Assessment!#REF!,Inherited!A:A,Inherited!B:B)))/100)*IF(Y17="1.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(100%)","100"))))))&lt;=10,"0", IF(AND((((_xlfn.XLOOKUP(Assessment!#REF!,Inherited!A:A,Inherited!B:B))/100)*(_xlfn.XLOOKUP(Assessment!#REF!,Inherited!A:A,Inherited!D:D)))+(((100-(_xlfn.XLOOKUP(Assessment!#REF!,Inherited!A:A,Inherited!B:B)))/100)*IF(Y17="1.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(100%)","100"))))))&gt;=11,(((_xlfn.XLOOKUP(Assessment!#REF!,Inherited!A:A,Inherited!B:B))/100)*(_xlfn.XLOOKUP(Assessment!#REF!,Inherited!A:A,Inherited!D:D)))+(((100-(_xlfn.XLOOKUP(Assessment!#REF!,Inherited!A:A,Inherited!B:B)))/100)*IF(Y17="1.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(100%)","100"))))))&lt;=32),"25",IF(AND((((_xlfn.XLOOKUP(Assessment!#REF!,Inherited!A:A,Inherited!B:B))/100)*(_xlfn.XLOOKUP(Assessment!#REF!,Inherited!A:A,Inherited!D:D)))+(((100-(_xlfn.XLOOKUP(Assessment!#REF!,Inherited!A:A,Inherited!B:B)))/100)*IF(Y17="1.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(100%)","100"))))))&gt;=33,(((_xlfn.XLOOKUP(Assessment!#REF!,Inherited!A:A,Inherited!B:B))/100)*(_xlfn.XLOOKUP(Assessment!#REF!,Inherited!A:A,Inherited!D:D)))+(((100-(_xlfn.XLOOKUP(Assessment!#REF!,Inherited!A:A,Inherited!B:B)))/100)*IF(Y17="1.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(100%)","100"))))))&lt;=65),"50",IF(AND((((_xlfn.XLOOKUP(Assessment!#REF!,Inherited!A:A,Inherited!B:B))/100)*(_xlfn.XLOOKUP(Assessment!#REF!,Inherited!A:A,Inherited!D:D)))+(((100-(_xlfn.XLOOKUP(Assessment!#REF!,Inherited!A:A,Inherited!B:B)))/100)*IF(Y17="1.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(100%)","100"))))))&gt;=66,(((_xlfn.XLOOKUP(Assessment!#REF!,Inherited!A:A,Inherited!B:B))/100)*(_xlfn.XLOOKUP(Assessment!#REF!,Inherited!A:A,Inherited!D:D)))+(((100-(_xlfn.XLOOKUP(Assessment!#REF!,Inherited!A:A,Inherited!B:B)))/100)*IF(Y17="1.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(100%)","100"))))))&lt;=89),"75",IF((((_xlfn.XLOOKUP(Assessment!#REF!,Inherited!A:A,Inherited!B:B))/100)*(_xlfn.XLOOKUP(Assessment!#REF!,Inherited!A:A,Inherited!D:D)))+(((100-(_xlfn.XLOOKUP(Assessment!#REF!,Inherited!A:A,Inherited!B:B)))/100)*IF(Y17="1. Non Compliant (0%)","0",IF(Y17="2. Somewhat Compliant (25%)","25",IF(Y17="3. Partially Compliant (50%)","50",IF(Y17="4. Mostly Compliant (75%)","75",IF(Y17="5. Fully Compliant (100%)","100"))))))&gt;=90,"100"))))))</f>
        <v>#N/A</v>
      </c>
      <c r="S17" s="1" t="e">
        <f>IF(MATCH(H17,Inherited!A:A),IF((((_xlfn.XLOOKUP(Assessment!#REF!,Inherited!A:A,Inherited!B:B))/100)*(_xlfn.XLOOKUP(Assessment!#REF!,Inherited!A:A,Inherited!E:E)))+(((100-(_xlfn.XLOOKUP(Assessment!#REF!,Inherited!A:A,Inherited!B:B)))/100)*IF(Z17="1.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(100%)","100"))))))&lt;=10,"0", IF(AND((((_xlfn.XLOOKUP(Assessment!#REF!,Inherited!A:A,Inherited!B:B))/100)*(_xlfn.XLOOKUP(Assessment!#REF!,Inherited!A:A,Inherited!E:E)))+(((100-(_xlfn.XLOOKUP(Assessment!#REF!,Inherited!A:A,Inherited!B:B)))/100)*IF(Z17="1.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(100%)","100"))))))&gt;=11,(((_xlfn.XLOOKUP(Assessment!#REF!,Inherited!A:A,Inherited!B:B))/100)*(_xlfn.XLOOKUP(Assessment!#REF!,Inherited!A:A,Inherited!E:E)))+(((100-(_xlfn.XLOOKUP(Assessment!#REF!,Inherited!A:A,Inherited!B:B)))/100)*IF(Z17="1.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(100%)","100"))))))&lt;=32),"25",IF(AND((((_xlfn.XLOOKUP(Assessment!#REF!,Inherited!A:A,Inherited!B:B))/100)*(_xlfn.XLOOKUP(Assessment!#REF!,Inherited!A:A,Inherited!E:E)))+(((100-(_xlfn.XLOOKUP(Assessment!#REF!,Inherited!A:A,Inherited!B:B)))/100)*IF(Z17="1.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(100%)","100"))))))&gt;=33,(((_xlfn.XLOOKUP(Assessment!#REF!,Inherited!A:A,Inherited!B:B))/100)*(_xlfn.XLOOKUP(Assessment!#REF!,Inherited!A:A,Inherited!E:E)))+(((100-(_xlfn.XLOOKUP(Assessment!#REF!,Inherited!A:A,Inherited!B:B)))/100)*IF(Z17="1.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(100%)","100"))))))&lt;=65),"50",IF(AND((((_xlfn.XLOOKUP(Assessment!#REF!,Inherited!A:A,Inherited!B:B))/100)*(_xlfn.XLOOKUP(Assessment!#REF!,Inherited!A:A,Inherited!E:E)))+(((100-(_xlfn.XLOOKUP(Assessment!#REF!,Inherited!A:A,Inherited!B:B)))/100)*IF(Z17="1.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(100%)","100"))))))&gt;=66,(((_xlfn.XLOOKUP(Assessment!#REF!,Inherited!A:A,Inherited!B:B))/100)*(_xlfn.XLOOKUP(Assessment!#REF!,Inherited!A:A,Inherited!E:E)))+(((100-(_xlfn.XLOOKUP(Assessment!#REF!,Inherited!A:A,Inherited!B:B)))/100)*IF(Z17="1.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(100%)","100"))))))&lt;=89),"75",IF((((_xlfn.XLOOKUP(Assessment!#REF!,Inherited!A:A,Inherited!B:B))/100)*(_xlfn.XLOOKUP(Assessment!#REF!,Inherited!A:A,Inherited!E:E)))+(((100-(_xlfn.XLOOKUP(Assessment!#REF!,Inherited!A:A,Inherited!B:B)))/100)*IF(Z17="1. Non Compliant (0%)","0",IF(Z17="2. Somewhat Compliant (25%)","25",IF(Z17="3. Partially Compliant (50%)","50",IF(Z17="4. Mostly Compliant (75%)","75",IF(Z17="5. Fully Compliant (100%)","100"))))))&gt;=90,"100"))))))</f>
        <v>#N/A</v>
      </c>
      <c r="T17" s="1" t="e">
        <f>IF(MATCH(H17,Inherited!A:A),IF((((_xlfn.XLOOKUP(Assessment!#REF!,Inherited!A:A,Inherited!B:B))/100)*(_xlfn.XLOOKUP(Assessment!#REF!,Inherited!A:A,Inherited!F:F)))+(((100-(_xlfn.XLOOKUP(Assessment!#REF!,Inherited!A:A,Inherited!B:B)))/100)*IF(AA17="1.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(100%)","100"))))))&lt;=10,"0", IF(AND((((_xlfn.XLOOKUP(Assessment!#REF!,Inherited!A:A,Inherited!B:B))/100)*(_xlfn.XLOOKUP(Assessment!#REF!,Inherited!A:A,Inherited!F:F)))+(((100-(_xlfn.XLOOKUP(Assessment!#REF!,Inherited!A:A,Inherited!B:B)))/100)*IF(AA17="1.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(100%)","100"))))))&gt;=11,(((_xlfn.XLOOKUP(Assessment!#REF!,Inherited!A:A,Inherited!B:B))/100)*(_xlfn.XLOOKUP(Assessment!#REF!,Inherited!A:A,Inherited!F:F)))+(((100-(_xlfn.XLOOKUP(Assessment!#REF!,Inherited!A:A,Inherited!B:B)))/100)*IF(AA17="1.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(100%)","100"))))))&lt;=32),"25",IF(AND((((_xlfn.XLOOKUP(Assessment!#REF!,Inherited!A:A,Inherited!B:B))/100)*(_xlfn.XLOOKUP(Assessment!#REF!,Inherited!A:A,Inherited!F:F)))+(((100-(_xlfn.XLOOKUP(Assessment!#REF!,Inherited!A:A,Inherited!B:B)))/100)*IF(AA17="1.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(100%)","100"))))))&gt;=33,(((_xlfn.XLOOKUP(Assessment!#REF!,Inherited!A:A,Inherited!B:B))/100)*(_xlfn.XLOOKUP(Assessment!#REF!,Inherited!A:A,Inherited!F:F)))+(((100-(_xlfn.XLOOKUP(Assessment!#REF!,Inherited!A:A,Inherited!B:B)))/100)*IF(AA17="1.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(100%)","100"))))))&lt;=65),"50",IF(AND((((_xlfn.XLOOKUP(Assessment!#REF!,Inherited!A:A,Inherited!B:B))/100)*(_xlfn.XLOOKUP(Assessment!#REF!,Inherited!A:A,Inherited!F:F)))+(((100-(_xlfn.XLOOKUP(Assessment!#REF!,Inherited!A:A,Inherited!B:B)))/100)*IF(AA17="1.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(100%)","100"))))))&gt;=66,(((_xlfn.XLOOKUP(Assessment!#REF!,Inherited!A:A,Inherited!B:B))/100)*(_xlfn.XLOOKUP(Assessment!#REF!,Inherited!A:A,Inherited!F:F)))+(((100-(_xlfn.XLOOKUP(Assessment!#REF!,Inherited!A:A,Inherited!B:B)))/100)*IF(AA17="1.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(100%)","100"))))))&lt;=89),"75",IF((((_xlfn.XLOOKUP(Assessment!#REF!,Inherited!A:A,Inherited!B:B))/100)*(_xlfn.XLOOKUP(Assessment!#REF!,Inherited!A:A,Inherited!F:F)))+(((100-(_xlfn.XLOOKUP(Assessment!#REF!,Inherited!A:A,Inherited!B:B)))/100)*IF(AA17="1. Non Compliant (0%)","0",IF(AA17="2. Somewhat Compliant (25%)","25",IF(AA17="3. Partially Compliant (50%)","50",IF(AA17="4. Mostly Compliant (75%)","75",IF(AA17="5. Fully Compliant (100%)","100"))))))&gt;=90,"100"))))))</f>
        <v>#N/A</v>
      </c>
      <c r="U17" s="1" t="e">
        <f>IF(MATCH(H17,Inherited!A:A),IF((((_xlfn.XLOOKUP(Assessment!#REF!,Inherited!A:A,Inherited!B:B))/100)*(_xlfn.XLOOKUP(Assessment!#REF!,Inherited!A:A,Inherited!G:G)))+(((100-(_xlfn.XLOOKUP(Assessment!#REF!,Inherited!A:A,Inherited!B:B)))/100)*IF(AB17="1.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(100%)","100"))))))&lt;=10,"0", IF(AND((((_xlfn.XLOOKUP(Assessment!#REF!,Inherited!A:A,Inherited!B:B))/100)*(_xlfn.XLOOKUP(Assessment!#REF!,Inherited!A:A,Inherited!G:G)))+(((100-(_xlfn.XLOOKUP(Assessment!#REF!,Inherited!A:A,Inherited!B:B)))/100)*IF(AB17="1.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(100%)","100"))))))&gt;=11,(((_xlfn.XLOOKUP(Assessment!#REF!,Inherited!A:A,Inherited!B:B))/100)*(_xlfn.XLOOKUP(Assessment!#REF!,Inherited!A:A,Inherited!G:G)))+(((100-(_xlfn.XLOOKUP(Assessment!#REF!,Inherited!A:A,Inherited!B:B)))/100)*IF(AB17="1.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(100%)","100"))))))&lt;=32),"25",IF(AND((((_xlfn.XLOOKUP(Assessment!#REF!,Inherited!A:A,Inherited!B:B))/100)*(_xlfn.XLOOKUP(Assessment!#REF!,Inherited!A:A,Inherited!G:G)))+(((100-(_xlfn.XLOOKUP(Assessment!#REF!,Inherited!A:A,Inherited!B:B)))/100)*IF(AB17="1.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(100%)","100"))))))&gt;=33,(((_xlfn.XLOOKUP(Assessment!#REF!,Inherited!A:A,Inherited!B:B))/100)*(_xlfn.XLOOKUP(Assessment!#REF!,Inherited!A:A,Inherited!G:G)))+(((100-(_xlfn.XLOOKUP(Assessment!#REF!,Inherited!A:A,Inherited!B:B)))/100)*IF(AB17="1.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(100%)","100"))))))&lt;=65),"50",IF(AND((((_xlfn.XLOOKUP(Assessment!#REF!,Inherited!A:A,Inherited!B:B))/100)*(_xlfn.XLOOKUP(Assessment!#REF!,Inherited!A:A,Inherited!G:G)))+(((100-(_xlfn.XLOOKUP(Assessment!#REF!,Inherited!A:A,Inherited!B:B)))/100)*IF(AB17="1.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(100%)","100"))))))&gt;=66,(((_xlfn.XLOOKUP(Assessment!#REF!,Inherited!A:A,Inherited!B:B))/100)*(_xlfn.XLOOKUP(Assessment!#REF!,Inherited!A:A,Inherited!G:G)))+(((100-(_xlfn.XLOOKUP(Assessment!#REF!,Inherited!A:A,Inherited!B:B)))/100)*IF(AB17="1.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(100%)","100"))))))&lt;=89),"75",IF((((_xlfn.XLOOKUP(Assessment!#REF!,Inherited!A:A,Inherited!B:B))/100)*(_xlfn.XLOOKUP(Assessment!#REF!,Inherited!A:A,Inherited!G:G)))+(((100-(_xlfn.XLOOKUP(Assessment!#REF!,Inherited!A:A,Inherited!B:B)))/100)*IF(AB17="1. Non Compliant (0%)","0",IF(AB17="2. Somewhat Compliant (25%)","25",IF(AB17="3. Partially Compliant (50%)","50",IF(AB17="4. Mostly Compliant (75%)","75",IF(AB17="5. Fully Compliant (100%)","100"))))))&gt;=90,"100"))))))</f>
        <v>#N/A</v>
      </c>
      <c r="V17" s="55" t="s">
        <v>85</v>
      </c>
      <c r="W17" s="55"/>
      <c r="X17" s="55"/>
      <c r="Y17" s="55"/>
      <c r="Z17" s="55" t="s">
        <v>88</v>
      </c>
      <c r="AA17" s="55"/>
      <c r="AB17" s="55"/>
      <c r="AK17" s="1" t="s">
        <v>10891</v>
      </c>
      <c r="AL17" s="1" t="s">
        <v>10920</v>
      </c>
      <c r="AM17" s="1" t="s">
        <v>11019</v>
      </c>
      <c r="AP17" s="1" t="s">
        <v>11018</v>
      </c>
      <c r="AX17" s="3" t="str">
        <f>_xlfn.CONCAT("A-LIGN finished its review of this control on ",AR17, " during the scheduled fieldwork window (",Intro!$B$4,")."&amp; CHAR(10)&amp; CHAR(10))</f>
        <v xml:space="preserve">A-LIGN finished its review of this control on  during the scheduled fieldwork window (Fieldwork: xx/xx/xxxx - xx/xx/xxxx).
</v>
      </c>
      <c r="AY17" s="3" t="str">
        <f t="shared" si="31"/>
        <v/>
      </c>
      <c r="AZ17" s="3" t="str">
        <f t="shared" si="32"/>
        <v/>
      </c>
      <c r="BA17" s="3" t="str">
        <f t="shared" si="33"/>
        <v/>
      </c>
      <c r="BB17" s="3" t="str">
        <f t="shared" si="34"/>
        <v xml:space="preserve">Inquired of the following workforce member: 
Matthew Macaluso - Director of System Operations
Roze Nicolas - Director of TechOps
Inquiry lead to the following conclusions: 
Note: Testing will be covered in Domain 7
</v>
      </c>
      <c r="BC17" s="3" t="str">
        <f t="shared" si="35"/>
        <v xml:space="preserve">Observed the following live during fieldwork: 
Observed the Vanta dashboard which houses the asset inventories, as well as follows the same process as the vendor review which sends users a reminder about an upcoming review that needs to be completed.
</v>
      </c>
      <c r="BD17" s="3" t="str">
        <f t="shared" si="36"/>
        <v xml:space="preserve">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v>
      </c>
      <c r="BE17" s="3" t="str">
        <f t="shared" si="37"/>
        <v/>
      </c>
      <c r="BF17" s="3" t="str">
        <f t="shared" si="38"/>
        <v/>
      </c>
      <c r="BG17" s="3" t="str">
        <f>_xlfn.CONCAT((IF((COUNTIF('Sample Tables'!B:B,"Test 136: Information System")&gt;0)=TRUE,_xlfn.CONCAT("Sample test results are documented in ",'Sample Tables'!B1492," [",'Sample Tables'!B1493,", ",'Sample Tables'!B1494,", ",'Sample Tables'!B1495,", ",'Sample Tables'!B1496,", ",'Sample Tables'!B1497,"]."&amp;CHAR(10)),IF((COUNTIF('Sample Tables'!B:B,"Test 136: Information System")&gt;0)=FALSE,""))),)</f>
        <v xml:space="preserve">Sample test results are documented in Test 136: Information System [Population Source/Tool: , Population Date Range: , Population Size: , Sample Methodology: , Sample Size: ].
</v>
      </c>
      <c r="BH17" s="3" t="str">
        <f t="shared" si="3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Note: Testing will be covered in Domain 7
Observed the following live during fieldwork: 
Observed the Vanta dashboard which houses the asset inventories, as well as follows the same process as the vendor review which sends users a reminder about an upcoming review that needs to be completed.
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Sample test results are documented in Test 136: Information System [Population Source/Tool: , Population Date Range: , Population Size: , Sample Methodology: , Sample Size: ].
</v>
      </c>
    </row>
    <row r="18" spans="3:60" ht="232" customHeight="1" x14ac:dyDescent="0.35">
      <c r="C18" s="1">
        <f t="shared" si="30"/>
        <v>40</v>
      </c>
      <c r="D18" s="5" t="str">
        <f>IF(AND((_xlfn.XLOOKUP(J18,'Fields &amp; Revisions'!$H:$H,'Fields &amp; Revisions'!$I:$I))&lt;70.99,(OR(Z18="4. Mostly Compliant (75%)",Z18="3. Partially Compliant (50%)",Z18="2. Somewhat Compliant (25%)",Z18="1. Non Compliant (0%)"))),"Yes","No")</f>
        <v>No</v>
      </c>
      <c r="E18" s="5" t="str">
        <f>IF(ISERROR(VLOOKUP(H18,Scope!A:A,1,FALSE)),"No","Yes")</f>
        <v>Yes</v>
      </c>
      <c r="F18" s="1" t="s">
        <v>90</v>
      </c>
      <c r="G18" s="53" t="s">
        <v>607</v>
      </c>
      <c r="H18" s="53" t="s">
        <v>608</v>
      </c>
      <c r="I18" s="5">
        <v>1</v>
      </c>
      <c r="J18" s="1" t="s">
        <v>598</v>
      </c>
      <c r="K18" s="1" t="s">
        <v>609</v>
      </c>
      <c r="L18" s="1" t="s">
        <v>610</v>
      </c>
      <c r="M18" s="1" t="s">
        <v>611</v>
      </c>
      <c r="N18" s="5" t="s">
        <v>85</v>
      </c>
      <c r="O18" s="1" t="str">
        <f>_xlfn.XLOOKUP(G18,SRMs!$A:$A,SRMs!$D:$D)</f>
        <v>NO INHERITANCE</v>
      </c>
      <c r="P18" s="1" t="str">
        <f>IFERROR(VLOOKUP(H18,Inherited!A:B,2,FALSE),"")</f>
        <v/>
      </c>
      <c r="Q18" s="1" t="e">
        <f>IF(MATCH(H18,Inherited!A:A),IF((((_xlfn.XLOOKUP(Assessment!#REF!,Inherited!A:A,Inherited!B:B))/100)*(_xlfn.XLOOKUP(Assessment!#REF!,Inherited!A:A,Inherited!C:C)))+(((100-(_xlfn.XLOOKUP(Assessment!#REF!,Inherited!A:A,Inherited!B:B)))/100)*IF(X18="1.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(100%)","100"))))))&lt;=10,"0", IF(AND((((_xlfn.XLOOKUP(Assessment!#REF!,Inherited!A:A,Inherited!B:B))/100)*(_xlfn.XLOOKUP(Assessment!#REF!,Inherited!A:A,Inherited!C:C)))+(((100-(_xlfn.XLOOKUP(Assessment!#REF!,Inherited!A:A,Inherited!B:B)))/100)*IF(X18="1.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(100%)","100"))))))&gt;=11,(((_xlfn.XLOOKUP(Assessment!#REF!,Inherited!A:A,Inherited!B:B))/100)*(_xlfn.XLOOKUP(Assessment!#REF!,Inherited!A:A,Inherited!C:C)))+(((100-(_xlfn.XLOOKUP(Assessment!#REF!,Inherited!A:A,Inherited!B:B)))/100)*IF(X18="1.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(100%)","100"))))))&lt;=32),"25",IF(AND((((_xlfn.XLOOKUP(Assessment!#REF!,Inherited!A:A,Inherited!B:B))/100)*(_xlfn.XLOOKUP(Assessment!#REF!,Inherited!A:A,Inherited!C:C)))+(((100-(_xlfn.XLOOKUP(Assessment!#REF!,Inherited!A:A,Inherited!B:B)))/100)*IF(X18="1.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(100%)","100"))))))&gt;=33,(((_xlfn.XLOOKUP(Assessment!#REF!,Inherited!A:A,Inherited!B:B))/100)*(_xlfn.XLOOKUP(Assessment!#REF!,Inherited!A:A,Inherited!C:C)))+(((100-(_xlfn.XLOOKUP(Assessment!#REF!,Inherited!A:A,Inherited!B:B)))/100)*IF(X18="1.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(100%)","100"))))))&lt;=65),"50",IF(AND((((_xlfn.XLOOKUP(Assessment!#REF!,Inherited!A:A,Inherited!B:B))/100)*(_xlfn.XLOOKUP(Assessment!#REF!,Inherited!A:A,Inherited!C:C)))+(((100-(_xlfn.XLOOKUP(Assessment!#REF!,Inherited!A:A,Inherited!B:B)))/100)*IF(X18="1.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(100%)","100"))))))&gt;=66,(((_xlfn.XLOOKUP(Assessment!#REF!,Inherited!A:A,Inherited!B:B))/100)*(_xlfn.XLOOKUP(Assessment!#REF!,Inherited!A:A,Inherited!C:C)))+(((100-(_xlfn.XLOOKUP(Assessment!#REF!,Inherited!A:A,Inherited!B:B)))/100)*IF(X18="1.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(100%)","100"))))))&lt;=89),"75",IF((((_xlfn.XLOOKUP(Assessment!#REF!,Inherited!A:A,Inherited!B:B))/100)*(_xlfn.XLOOKUP(Assessment!#REF!,Inherited!A:A,Inherited!C:C)))+(((100-(_xlfn.XLOOKUP(Assessment!#REF!,Inherited!A:A,Inherited!B:B)))/100)*IF(X18="1. Non Compliant (0%)","0",IF(X18="2. Somewhat Compliant (25%)","25",IF(X18="3. Partially Compliant (50%)","50",IF(X18="4. Mostly Compliant (75%)","75",IF(X18="5. Fully Compliant (100%)","100"))))))&gt;=90,"100"))))))</f>
        <v>#N/A</v>
      </c>
      <c r="R18" s="1" t="e">
        <f>IF(MATCH(H18,Inherited!A:A),IF((((_xlfn.XLOOKUP(Assessment!#REF!,Inherited!A:A,Inherited!B:B))/100)*(_xlfn.XLOOKUP(Assessment!#REF!,Inherited!A:A,Inherited!D:D)))+(((100-(_xlfn.XLOOKUP(Assessment!#REF!,Inherited!A:A,Inherited!B:B)))/100)*IF(Y18="1.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(100%)","100"))))))&lt;=10,"0", IF(AND((((_xlfn.XLOOKUP(Assessment!#REF!,Inherited!A:A,Inherited!B:B))/100)*(_xlfn.XLOOKUP(Assessment!#REF!,Inherited!A:A,Inherited!D:D)))+(((100-(_xlfn.XLOOKUP(Assessment!#REF!,Inherited!A:A,Inherited!B:B)))/100)*IF(Y18="1.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(100%)","100"))))))&gt;=11,(((_xlfn.XLOOKUP(Assessment!#REF!,Inherited!A:A,Inherited!B:B))/100)*(_xlfn.XLOOKUP(Assessment!#REF!,Inherited!A:A,Inherited!D:D)))+(((100-(_xlfn.XLOOKUP(Assessment!#REF!,Inherited!A:A,Inherited!B:B)))/100)*IF(Y18="1.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(100%)","100"))))))&lt;=32),"25",IF(AND((((_xlfn.XLOOKUP(Assessment!#REF!,Inherited!A:A,Inherited!B:B))/100)*(_xlfn.XLOOKUP(Assessment!#REF!,Inherited!A:A,Inherited!D:D)))+(((100-(_xlfn.XLOOKUP(Assessment!#REF!,Inherited!A:A,Inherited!B:B)))/100)*IF(Y18="1.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(100%)","100"))))))&gt;=33,(((_xlfn.XLOOKUP(Assessment!#REF!,Inherited!A:A,Inherited!B:B))/100)*(_xlfn.XLOOKUP(Assessment!#REF!,Inherited!A:A,Inherited!D:D)))+(((100-(_xlfn.XLOOKUP(Assessment!#REF!,Inherited!A:A,Inherited!B:B)))/100)*IF(Y18="1.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(100%)","100"))))))&lt;=65),"50",IF(AND((((_xlfn.XLOOKUP(Assessment!#REF!,Inherited!A:A,Inherited!B:B))/100)*(_xlfn.XLOOKUP(Assessment!#REF!,Inherited!A:A,Inherited!D:D)))+(((100-(_xlfn.XLOOKUP(Assessment!#REF!,Inherited!A:A,Inherited!B:B)))/100)*IF(Y18="1.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(100%)","100"))))))&gt;=66,(((_xlfn.XLOOKUP(Assessment!#REF!,Inherited!A:A,Inherited!B:B))/100)*(_xlfn.XLOOKUP(Assessment!#REF!,Inherited!A:A,Inherited!D:D)))+(((100-(_xlfn.XLOOKUP(Assessment!#REF!,Inherited!A:A,Inherited!B:B)))/100)*IF(Y18="1.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(100%)","100"))))))&lt;=89),"75",IF((((_xlfn.XLOOKUP(Assessment!#REF!,Inherited!A:A,Inherited!B:B))/100)*(_xlfn.XLOOKUP(Assessment!#REF!,Inherited!A:A,Inherited!D:D)))+(((100-(_xlfn.XLOOKUP(Assessment!#REF!,Inherited!A:A,Inherited!B:B)))/100)*IF(Y18="1. Non Compliant (0%)","0",IF(Y18="2. Somewhat Compliant (25%)","25",IF(Y18="3. Partially Compliant (50%)","50",IF(Y18="4. Mostly Compliant (75%)","75",IF(Y18="5. Fully Compliant (100%)","100"))))))&gt;=90,"100"))))))</f>
        <v>#N/A</v>
      </c>
      <c r="S18" s="1" t="e">
        <f>IF(MATCH(H18,Inherited!A:A),IF((((_xlfn.XLOOKUP(Assessment!#REF!,Inherited!A:A,Inherited!B:B))/100)*(_xlfn.XLOOKUP(Assessment!#REF!,Inherited!A:A,Inherited!E:E)))+(((100-(_xlfn.XLOOKUP(Assessment!#REF!,Inherited!A:A,Inherited!B:B)))/100)*IF(Z18="1.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(100%)","100"))))))&lt;=10,"0", IF(AND((((_xlfn.XLOOKUP(Assessment!#REF!,Inherited!A:A,Inherited!B:B))/100)*(_xlfn.XLOOKUP(Assessment!#REF!,Inherited!A:A,Inherited!E:E)))+(((100-(_xlfn.XLOOKUP(Assessment!#REF!,Inherited!A:A,Inherited!B:B)))/100)*IF(Z18="1.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(100%)","100"))))))&gt;=11,(((_xlfn.XLOOKUP(Assessment!#REF!,Inherited!A:A,Inherited!B:B))/100)*(_xlfn.XLOOKUP(Assessment!#REF!,Inherited!A:A,Inherited!E:E)))+(((100-(_xlfn.XLOOKUP(Assessment!#REF!,Inherited!A:A,Inherited!B:B)))/100)*IF(Z18="1.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(100%)","100"))))))&lt;=32),"25",IF(AND((((_xlfn.XLOOKUP(Assessment!#REF!,Inherited!A:A,Inherited!B:B))/100)*(_xlfn.XLOOKUP(Assessment!#REF!,Inherited!A:A,Inherited!E:E)))+(((100-(_xlfn.XLOOKUP(Assessment!#REF!,Inherited!A:A,Inherited!B:B)))/100)*IF(Z18="1.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(100%)","100"))))))&gt;=33,(((_xlfn.XLOOKUP(Assessment!#REF!,Inherited!A:A,Inherited!B:B))/100)*(_xlfn.XLOOKUP(Assessment!#REF!,Inherited!A:A,Inherited!E:E)))+(((100-(_xlfn.XLOOKUP(Assessment!#REF!,Inherited!A:A,Inherited!B:B)))/100)*IF(Z18="1.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(100%)","100"))))))&lt;=65),"50",IF(AND((((_xlfn.XLOOKUP(Assessment!#REF!,Inherited!A:A,Inherited!B:B))/100)*(_xlfn.XLOOKUP(Assessment!#REF!,Inherited!A:A,Inherited!E:E)))+(((100-(_xlfn.XLOOKUP(Assessment!#REF!,Inherited!A:A,Inherited!B:B)))/100)*IF(Z18="1.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(100%)","100"))))))&gt;=66,(((_xlfn.XLOOKUP(Assessment!#REF!,Inherited!A:A,Inherited!B:B))/100)*(_xlfn.XLOOKUP(Assessment!#REF!,Inherited!A:A,Inherited!E:E)))+(((100-(_xlfn.XLOOKUP(Assessment!#REF!,Inherited!A:A,Inherited!B:B)))/100)*IF(Z18="1.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(100%)","100"))))))&lt;=89),"75",IF((((_xlfn.XLOOKUP(Assessment!#REF!,Inherited!A:A,Inherited!B:B))/100)*(_xlfn.XLOOKUP(Assessment!#REF!,Inherited!A:A,Inherited!E:E)))+(((100-(_xlfn.XLOOKUP(Assessment!#REF!,Inherited!A:A,Inherited!B:B)))/100)*IF(Z18="1. Non Compliant (0%)","0",IF(Z18="2. Somewhat Compliant (25%)","25",IF(Z18="3. Partially Compliant (50%)","50",IF(Z18="4. Mostly Compliant (75%)","75",IF(Z18="5. Fully Compliant (100%)","100"))))))&gt;=90,"100"))))))</f>
        <v>#N/A</v>
      </c>
      <c r="T18" s="1" t="e">
        <f>IF(MATCH(H18,Inherited!A:A),IF((((_xlfn.XLOOKUP(Assessment!#REF!,Inherited!A:A,Inherited!B:B))/100)*(_xlfn.XLOOKUP(Assessment!#REF!,Inherited!A:A,Inherited!F:F)))+(((100-(_xlfn.XLOOKUP(Assessment!#REF!,Inherited!A:A,Inherited!B:B)))/100)*IF(AA18="1.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(100%)","100"))))))&lt;=10,"0", IF(AND((((_xlfn.XLOOKUP(Assessment!#REF!,Inherited!A:A,Inherited!B:B))/100)*(_xlfn.XLOOKUP(Assessment!#REF!,Inherited!A:A,Inherited!F:F)))+(((100-(_xlfn.XLOOKUP(Assessment!#REF!,Inherited!A:A,Inherited!B:B)))/100)*IF(AA18="1.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(100%)","100"))))))&gt;=11,(((_xlfn.XLOOKUP(Assessment!#REF!,Inherited!A:A,Inherited!B:B))/100)*(_xlfn.XLOOKUP(Assessment!#REF!,Inherited!A:A,Inherited!F:F)))+(((100-(_xlfn.XLOOKUP(Assessment!#REF!,Inherited!A:A,Inherited!B:B)))/100)*IF(AA18="1.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(100%)","100"))))))&lt;=32),"25",IF(AND((((_xlfn.XLOOKUP(Assessment!#REF!,Inherited!A:A,Inherited!B:B))/100)*(_xlfn.XLOOKUP(Assessment!#REF!,Inherited!A:A,Inherited!F:F)))+(((100-(_xlfn.XLOOKUP(Assessment!#REF!,Inherited!A:A,Inherited!B:B)))/100)*IF(AA18="1.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(100%)","100"))))))&gt;=33,(((_xlfn.XLOOKUP(Assessment!#REF!,Inherited!A:A,Inherited!B:B))/100)*(_xlfn.XLOOKUP(Assessment!#REF!,Inherited!A:A,Inherited!F:F)))+(((100-(_xlfn.XLOOKUP(Assessment!#REF!,Inherited!A:A,Inherited!B:B)))/100)*IF(AA18="1.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(100%)","100"))))))&lt;=65),"50",IF(AND((((_xlfn.XLOOKUP(Assessment!#REF!,Inherited!A:A,Inherited!B:B))/100)*(_xlfn.XLOOKUP(Assessment!#REF!,Inherited!A:A,Inherited!F:F)))+(((100-(_xlfn.XLOOKUP(Assessment!#REF!,Inherited!A:A,Inherited!B:B)))/100)*IF(AA18="1.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(100%)","100"))))))&gt;=66,(((_xlfn.XLOOKUP(Assessment!#REF!,Inherited!A:A,Inherited!B:B))/100)*(_xlfn.XLOOKUP(Assessment!#REF!,Inherited!A:A,Inherited!F:F)))+(((100-(_xlfn.XLOOKUP(Assessment!#REF!,Inherited!A:A,Inherited!B:B)))/100)*IF(AA18="1.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(100%)","100"))))))&lt;=89),"75",IF((((_xlfn.XLOOKUP(Assessment!#REF!,Inherited!A:A,Inherited!B:B))/100)*(_xlfn.XLOOKUP(Assessment!#REF!,Inherited!A:A,Inherited!F:F)))+(((100-(_xlfn.XLOOKUP(Assessment!#REF!,Inherited!A:A,Inherited!B:B)))/100)*IF(AA18="1. Non Compliant (0%)","0",IF(AA18="2. Somewhat Compliant (25%)","25",IF(AA18="3. Partially Compliant (50%)","50",IF(AA18="4. Mostly Compliant (75%)","75",IF(AA18="5. Fully Compliant (100%)","100"))))))&gt;=90,"100"))))))</f>
        <v>#N/A</v>
      </c>
      <c r="U18" s="1" t="e">
        <f>IF(MATCH(H18,Inherited!A:A),IF((((_xlfn.XLOOKUP(Assessment!#REF!,Inherited!A:A,Inherited!B:B))/100)*(_xlfn.XLOOKUP(Assessment!#REF!,Inherited!A:A,Inherited!G:G)))+(((100-(_xlfn.XLOOKUP(Assessment!#REF!,Inherited!A:A,Inherited!B:B)))/100)*IF(AB18="1.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(100%)","100"))))))&lt;=10,"0", IF(AND((((_xlfn.XLOOKUP(Assessment!#REF!,Inherited!A:A,Inherited!B:B))/100)*(_xlfn.XLOOKUP(Assessment!#REF!,Inherited!A:A,Inherited!G:G)))+(((100-(_xlfn.XLOOKUP(Assessment!#REF!,Inherited!A:A,Inherited!B:B)))/100)*IF(AB18="1.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(100%)","100"))))))&gt;=11,(((_xlfn.XLOOKUP(Assessment!#REF!,Inherited!A:A,Inherited!B:B))/100)*(_xlfn.XLOOKUP(Assessment!#REF!,Inherited!A:A,Inherited!G:G)))+(((100-(_xlfn.XLOOKUP(Assessment!#REF!,Inherited!A:A,Inherited!B:B)))/100)*IF(AB18="1.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(100%)","100"))))))&lt;=32),"25",IF(AND((((_xlfn.XLOOKUP(Assessment!#REF!,Inherited!A:A,Inherited!B:B))/100)*(_xlfn.XLOOKUP(Assessment!#REF!,Inherited!A:A,Inherited!G:G)))+(((100-(_xlfn.XLOOKUP(Assessment!#REF!,Inherited!A:A,Inherited!B:B)))/100)*IF(AB18="1.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(100%)","100"))))))&gt;=33,(((_xlfn.XLOOKUP(Assessment!#REF!,Inherited!A:A,Inherited!B:B))/100)*(_xlfn.XLOOKUP(Assessment!#REF!,Inherited!A:A,Inherited!G:G)))+(((100-(_xlfn.XLOOKUP(Assessment!#REF!,Inherited!A:A,Inherited!B:B)))/100)*IF(AB18="1.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(100%)","100"))))))&lt;=65),"50",IF(AND((((_xlfn.XLOOKUP(Assessment!#REF!,Inherited!A:A,Inherited!B:B))/100)*(_xlfn.XLOOKUP(Assessment!#REF!,Inherited!A:A,Inherited!G:G)))+(((100-(_xlfn.XLOOKUP(Assessment!#REF!,Inherited!A:A,Inherited!B:B)))/100)*IF(AB18="1.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(100%)","100"))))))&gt;=66,(((_xlfn.XLOOKUP(Assessment!#REF!,Inherited!A:A,Inherited!B:B))/100)*(_xlfn.XLOOKUP(Assessment!#REF!,Inherited!A:A,Inherited!G:G)))+(((100-(_xlfn.XLOOKUP(Assessment!#REF!,Inherited!A:A,Inherited!B:B)))/100)*IF(AB18="1.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(100%)","100"))))))&lt;=89),"75",IF((((_xlfn.XLOOKUP(Assessment!#REF!,Inherited!A:A,Inherited!B:B))/100)*(_xlfn.XLOOKUP(Assessment!#REF!,Inherited!A:A,Inherited!G:G)))+(((100-(_xlfn.XLOOKUP(Assessment!#REF!,Inherited!A:A,Inherited!B:B)))/100)*IF(AB18="1. Non Compliant (0%)","0",IF(AB18="2. Somewhat Compliant (25%)","25",IF(AB18="3. Partially Compliant (50%)","50",IF(AB18="4. Mostly Compliant (75%)","75",IF(AB18="5. Fully Compliant (100%)","100"))))))&gt;=90,"100"))))))</f>
        <v>#N/A</v>
      </c>
      <c r="V18" s="55" t="s">
        <v>85</v>
      </c>
      <c r="W18" s="55"/>
      <c r="X18" s="55"/>
      <c r="Y18" s="55"/>
      <c r="Z18" s="55" t="s">
        <v>86</v>
      </c>
      <c r="AA18" s="55"/>
      <c r="AB18" s="55"/>
      <c r="AK18" s="1" t="s">
        <v>10891</v>
      </c>
      <c r="AL18" s="1" t="s">
        <v>10911</v>
      </c>
      <c r="AM18" s="1" t="s">
        <v>10893</v>
      </c>
      <c r="AX18" s="3" t="str">
        <f>_xlfn.CONCAT("A-LIGN finished its review of this control on ",AR18, " during the scheduled fieldwork window (",Intro!$B$4,")."&amp; CHAR(10)&amp; CHAR(10))</f>
        <v xml:space="preserve">A-LIGN finished its review of this control on  during the scheduled fieldwork window (Fieldwork: xx/xx/xxxx - xx/xx/xxxx).
</v>
      </c>
      <c r="AY18" s="3" t="str">
        <f t="shared" si="31"/>
        <v/>
      </c>
      <c r="AZ18" s="3" t="str">
        <f t="shared" si="32"/>
        <v/>
      </c>
      <c r="BA18" s="3" t="str">
        <f t="shared" si="33"/>
        <v/>
      </c>
      <c r="BB18" s="3" t="str">
        <f t="shared" si="34"/>
        <v xml:space="preserve">Inquired of the following workforce member: 
Matthew Macaluso - Director of System Operations
Roze Nicolas - Director of TechOps
Inquiry lead to the following conclusions: 
SOP's are formally controlled and reviewed within Google Drive by the appropriate stakeholders and control owners
</v>
      </c>
      <c r="BC18" s="3" t="str">
        <f t="shared" si="35"/>
        <v xml:space="preserve">Observed the following live during fieldwork: 
Observed SOP's in Google Drive which demonstrated that SOP's are formally controlled (section at the top of each document)
</v>
      </c>
      <c r="BD18" s="3" t="str">
        <f t="shared" si="36"/>
        <v xml:space="preserve">Examined the following evidence during fieldwork:
Reviewed evidence addressed the requirement statement.
</v>
      </c>
      <c r="BE18" s="3" t="str">
        <f t="shared" si="37"/>
        <v/>
      </c>
      <c r="BF18" s="3" t="str">
        <f t="shared" si="38"/>
        <v/>
      </c>
      <c r="BG18" s="3" t="str">
        <f>_xlfn.CONCAT((IF((COUNTIF('Sample Tables'!B:B,"Test 155: Information System (operating procedure)")&gt;0)=TRUE,_xlfn.CONCAT("Sample test results are documented in ",'Sample Tables'!B1701," [",'Sample Tables'!B1702,", ",'Sample Tables'!B1703,", ",'Sample Tables'!B1704,", ",'Sample Tables'!B1705,", ",'Sample Tables'!B1706,"]."&amp;CHAR(10)),IF((COUNTIF('Sample Tables'!B:B,"Test 155: Information System (operating procedure)")&gt;0)=FALSE,""))),)</f>
        <v xml:space="preserve">Sample test results are documented in Test 155: Information System (operating procedure) [Population Source/Tool: , Population Date Range: , Population Size: , Sample Methodology: , Sample Size: ].
</v>
      </c>
      <c r="BH18" s="3" t="str">
        <f t="shared" si="3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SOP's are formally controlled and reviewed within Google Drive by the appropriate stakeholders and control owners
Observed the following live during fieldwork: 
Observed SOP's in Google Drive which demonstrated that SOP's are formally controlled (section at the top of each document)
Examined the following evidence during fieldwork:
Reviewed evidence addressed the requirement statement.
Sample test results are documented in Test 155: Information System (operating procedure) [Population Source/Tool: , Population Date Range: , Population Size: , Sample Methodology: , Sample Size: ].
</v>
      </c>
    </row>
    <row r="19" spans="3:60" ht="409.5" x14ac:dyDescent="0.35">
      <c r="C19" s="1">
        <f t="shared" ref="C19:C26" si="40">IF(V19="No","Not Applicable",(IF(X19="1. Non Compliant (0%)","0",IF(X19="2. Somewhat Compliant (25%)","25",IF(X19="3. Partially Compliant (50%)","50",IF(X19="4. Mostly Compliant (75%)","75",IF(X19="5. Fully Compliant (100%)","100")))))*0.15)+((IF(Y19="1. Non Compliant (0%)","0",IF(Y19="2. Somewhat Compliant (25%)","25",IF(Y19="3. Partially Compliant (50%)","50",IF(Y19="4. Mostly Compliant (75%)","75",IF(Y19="5. Fully Compliant (100%)","100"))))))*0.2)+(IF(Z19="1. Non Compliant (0%)","0",IF(Z19="2. Somewhat Compliant (25%)","25",IF(Z19="3. Partially Compliant (50%)","50",IF(Z19="4. Mostly Compliant (75%)","75",IF(Z19="5. Fully Compliant (100%)","100")))))*0.4)+(IF(AA19="1. Non Compliant (0%)","0",IF(AA19="2. Somewhat Compliant (25%)","25",IF(AA19="3. Partially Compliant (50%)","50",IF(AA19="4. Mostly Compliant (75%)","75",IF(AA19="5. Fully Compliant (100%)","100")))))*0.1)+(IF(AB19="1. Non Compliant (0%)","0",IF(AB19="2. Somewhat Compliant (25%)","25",IF(AB19="3. Partially Compliant (50%)","50",IF(AB19="4. Mostly Compliant (75%)","75",IF(AB19="5. Fully Compliant (100%)","100")))))*0.15))</f>
        <v>40</v>
      </c>
      <c r="D19" s="5" t="str">
        <f>IF(AND((_xlfn.XLOOKUP(J19,'Fields &amp; Revisions'!$H:$H,'Fields &amp; Revisions'!$I:$I))&lt;70.99,(OR(Z19="4. Mostly Compliant (75%)",Z19="3. Partially Compliant (50%)",Z19="2. Somewhat Compliant (25%)",Z19="1. Non Compliant (0%)"))),"Yes","No")</f>
        <v>No</v>
      </c>
      <c r="E19" s="5" t="str">
        <f>IF(ISERROR(VLOOKUP(H19,Scope!A:A,1,FALSE)),"No","Yes")</f>
        <v>Yes</v>
      </c>
      <c r="F19" s="1" t="s">
        <v>632</v>
      </c>
      <c r="G19" s="53" t="s">
        <v>683</v>
      </c>
      <c r="H19" s="53" t="s">
        <v>684</v>
      </c>
      <c r="I19" s="5">
        <v>1</v>
      </c>
      <c r="J19" s="1" t="s">
        <v>647</v>
      </c>
      <c r="K19" s="1" t="s">
        <v>685</v>
      </c>
      <c r="L19" s="1" t="s">
        <v>10894</v>
      </c>
      <c r="M19" s="1" t="s">
        <v>686</v>
      </c>
      <c r="N19" s="5" t="s">
        <v>98</v>
      </c>
      <c r="O19" s="1" t="str">
        <f>_xlfn.XLOOKUP(G19,SRMs!$A:$A,SRMs!$D:$D)</f>
        <v>PARTIAL INHERITANCE</v>
      </c>
      <c r="P19" s="1" t="str">
        <f>IFERROR(VLOOKUP(H19,Inherited!A:B,2,FALSE),"")</f>
        <v/>
      </c>
      <c r="Q19" s="1" t="e">
        <f>IF(MATCH(H19,Inherited!A:A),IF((((_xlfn.XLOOKUP(Assessment!#REF!,Inherited!A:A,Inherited!B:B))/100)*(_xlfn.XLOOKUP(Assessment!#REF!,Inherited!A:A,Inherited!C:C)))+(((100-(_xlfn.XLOOKUP(Assessment!#REF!,Inherited!A:A,Inherited!B:B)))/100)*IF(X19="1.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(100%)","100"))))))&lt;=10,"0", IF(AND((((_xlfn.XLOOKUP(Assessment!#REF!,Inherited!A:A,Inherited!B:B))/100)*(_xlfn.XLOOKUP(Assessment!#REF!,Inherited!A:A,Inherited!C:C)))+(((100-(_xlfn.XLOOKUP(Assessment!#REF!,Inherited!A:A,Inherited!B:B)))/100)*IF(X19="1.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(100%)","100"))))))&gt;=11,(((_xlfn.XLOOKUP(Assessment!#REF!,Inherited!A:A,Inherited!B:B))/100)*(_xlfn.XLOOKUP(Assessment!#REF!,Inherited!A:A,Inherited!C:C)))+(((100-(_xlfn.XLOOKUP(Assessment!#REF!,Inherited!A:A,Inherited!B:B)))/100)*IF(X19="1.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(100%)","100"))))))&lt;=32),"25",IF(AND((((_xlfn.XLOOKUP(Assessment!#REF!,Inherited!A:A,Inherited!B:B))/100)*(_xlfn.XLOOKUP(Assessment!#REF!,Inherited!A:A,Inherited!C:C)))+(((100-(_xlfn.XLOOKUP(Assessment!#REF!,Inherited!A:A,Inherited!B:B)))/100)*IF(X19="1.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(100%)","100"))))))&gt;=33,(((_xlfn.XLOOKUP(Assessment!#REF!,Inherited!A:A,Inherited!B:B))/100)*(_xlfn.XLOOKUP(Assessment!#REF!,Inherited!A:A,Inherited!C:C)))+(((100-(_xlfn.XLOOKUP(Assessment!#REF!,Inherited!A:A,Inherited!B:B)))/100)*IF(X19="1.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(100%)","100"))))))&lt;=65),"50",IF(AND((((_xlfn.XLOOKUP(Assessment!#REF!,Inherited!A:A,Inherited!B:B))/100)*(_xlfn.XLOOKUP(Assessment!#REF!,Inherited!A:A,Inherited!C:C)))+(((100-(_xlfn.XLOOKUP(Assessment!#REF!,Inherited!A:A,Inherited!B:B)))/100)*IF(X19="1.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(100%)","100"))))))&gt;=66,(((_xlfn.XLOOKUP(Assessment!#REF!,Inherited!A:A,Inherited!B:B))/100)*(_xlfn.XLOOKUP(Assessment!#REF!,Inherited!A:A,Inherited!C:C)))+(((100-(_xlfn.XLOOKUP(Assessment!#REF!,Inherited!A:A,Inherited!B:B)))/100)*IF(X19="1.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(100%)","100"))))))&lt;=89),"75",IF((((_xlfn.XLOOKUP(Assessment!#REF!,Inherited!A:A,Inherited!B:B))/100)*(_xlfn.XLOOKUP(Assessment!#REF!,Inherited!A:A,Inherited!C:C)))+(((100-(_xlfn.XLOOKUP(Assessment!#REF!,Inherited!A:A,Inherited!B:B)))/100)*IF(X19="1. Non Compliant (0%)","0",IF(X19="2. Somewhat Compliant (25%)","25",IF(X19="3. Partially Compliant (50%)","50",IF(X19="4. Mostly Compliant (75%)","75",IF(X19="5. Fully Compliant (100%)","100"))))))&gt;=90,"100"))))))</f>
        <v>#N/A</v>
      </c>
      <c r="R19" s="1" t="e">
        <f>IF(MATCH(H19,Inherited!A:A),IF((((_xlfn.XLOOKUP(Assessment!#REF!,Inherited!A:A,Inherited!B:B))/100)*(_xlfn.XLOOKUP(Assessment!#REF!,Inherited!A:A,Inherited!D:D)))+(((100-(_xlfn.XLOOKUP(Assessment!#REF!,Inherited!A:A,Inherited!B:B)))/100)*IF(Y19="1.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(100%)","100"))))))&lt;=10,"0", IF(AND((((_xlfn.XLOOKUP(Assessment!#REF!,Inherited!A:A,Inherited!B:B))/100)*(_xlfn.XLOOKUP(Assessment!#REF!,Inherited!A:A,Inherited!D:D)))+(((100-(_xlfn.XLOOKUP(Assessment!#REF!,Inherited!A:A,Inherited!B:B)))/100)*IF(Y19="1.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(100%)","100"))))))&gt;=11,(((_xlfn.XLOOKUP(Assessment!#REF!,Inherited!A:A,Inherited!B:B))/100)*(_xlfn.XLOOKUP(Assessment!#REF!,Inherited!A:A,Inherited!D:D)))+(((100-(_xlfn.XLOOKUP(Assessment!#REF!,Inherited!A:A,Inherited!B:B)))/100)*IF(Y19="1.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(100%)","100"))))))&lt;=32),"25",IF(AND((((_xlfn.XLOOKUP(Assessment!#REF!,Inherited!A:A,Inherited!B:B))/100)*(_xlfn.XLOOKUP(Assessment!#REF!,Inherited!A:A,Inherited!D:D)))+(((100-(_xlfn.XLOOKUP(Assessment!#REF!,Inherited!A:A,Inherited!B:B)))/100)*IF(Y19="1.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(100%)","100"))))))&gt;=33,(((_xlfn.XLOOKUP(Assessment!#REF!,Inherited!A:A,Inherited!B:B))/100)*(_xlfn.XLOOKUP(Assessment!#REF!,Inherited!A:A,Inherited!D:D)))+(((100-(_xlfn.XLOOKUP(Assessment!#REF!,Inherited!A:A,Inherited!B:B)))/100)*IF(Y19="1.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(100%)","100"))))))&lt;=65),"50",IF(AND((((_xlfn.XLOOKUP(Assessment!#REF!,Inherited!A:A,Inherited!B:B))/100)*(_xlfn.XLOOKUP(Assessment!#REF!,Inherited!A:A,Inherited!D:D)))+(((100-(_xlfn.XLOOKUP(Assessment!#REF!,Inherited!A:A,Inherited!B:B)))/100)*IF(Y19="1.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(100%)","100"))))))&gt;=66,(((_xlfn.XLOOKUP(Assessment!#REF!,Inherited!A:A,Inherited!B:B))/100)*(_xlfn.XLOOKUP(Assessment!#REF!,Inherited!A:A,Inherited!D:D)))+(((100-(_xlfn.XLOOKUP(Assessment!#REF!,Inherited!A:A,Inherited!B:B)))/100)*IF(Y19="1.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(100%)","100"))))))&lt;=89),"75",IF((((_xlfn.XLOOKUP(Assessment!#REF!,Inherited!A:A,Inherited!B:B))/100)*(_xlfn.XLOOKUP(Assessment!#REF!,Inherited!A:A,Inherited!D:D)))+(((100-(_xlfn.XLOOKUP(Assessment!#REF!,Inherited!A:A,Inherited!B:B)))/100)*IF(Y19="1. Non Compliant (0%)","0",IF(Y19="2. Somewhat Compliant (25%)","25",IF(Y19="3. Partially Compliant (50%)","50",IF(Y19="4. Mostly Compliant (75%)","75",IF(Y19="5. Fully Compliant (100%)","100"))))))&gt;=90,"100"))))))</f>
        <v>#N/A</v>
      </c>
      <c r="S19" s="1" t="e">
        <f>IF(MATCH(H19,Inherited!A:A),IF((((_xlfn.XLOOKUP(Assessment!#REF!,Inherited!A:A,Inherited!B:B))/100)*(_xlfn.XLOOKUP(Assessment!#REF!,Inherited!A:A,Inherited!E:E)))+(((100-(_xlfn.XLOOKUP(Assessment!#REF!,Inherited!A:A,Inherited!B:B)))/100)*IF(Z19="1.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(100%)","100"))))))&lt;=10,"0", IF(AND((((_xlfn.XLOOKUP(Assessment!#REF!,Inherited!A:A,Inherited!B:B))/100)*(_xlfn.XLOOKUP(Assessment!#REF!,Inherited!A:A,Inherited!E:E)))+(((100-(_xlfn.XLOOKUP(Assessment!#REF!,Inherited!A:A,Inherited!B:B)))/100)*IF(Z19="1.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(100%)","100"))))))&gt;=11,(((_xlfn.XLOOKUP(Assessment!#REF!,Inherited!A:A,Inherited!B:B))/100)*(_xlfn.XLOOKUP(Assessment!#REF!,Inherited!A:A,Inherited!E:E)))+(((100-(_xlfn.XLOOKUP(Assessment!#REF!,Inherited!A:A,Inherited!B:B)))/100)*IF(Z19="1.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(100%)","100"))))))&lt;=32),"25",IF(AND((((_xlfn.XLOOKUP(Assessment!#REF!,Inherited!A:A,Inherited!B:B))/100)*(_xlfn.XLOOKUP(Assessment!#REF!,Inherited!A:A,Inherited!E:E)))+(((100-(_xlfn.XLOOKUP(Assessment!#REF!,Inherited!A:A,Inherited!B:B)))/100)*IF(Z19="1.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(100%)","100"))))))&gt;=33,(((_xlfn.XLOOKUP(Assessment!#REF!,Inherited!A:A,Inherited!B:B))/100)*(_xlfn.XLOOKUP(Assessment!#REF!,Inherited!A:A,Inherited!E:E)))+(((100-(_xlfn.XLOOKUP(Assessment!#REF!,Inherited!A:A,Inherited!B:B)))/100)*IF(Z19="1.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(100%)","100"))))))&lt;=65),"50",IF(AND((((_xlfn.XLOOKUP(Assessment!#REF!,Inherited!A:A,Inherited!B:B))/100)*(_xlfn.XLOOKUP(Assessment!#REF!,Inherited!A:A,Inherited!E:E)))+(((100-(_xlfn.XLOOKUP(Assessment!#REF!,Inherited!A:A,Inherited!B:B)))/100)*IF(Z19="1.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(100%)","100"))))))&gt;=66,(((_xlfn.XLOOKUP(Assessment!#REF!,Inherited!A:A,Inherited!B:B))/100)*(_xlfn.XLOOKUP(Assessment!#REF!,Inherited!A:A,Inherited!E:E)))+(((100-(_xlfn.XLOOKUP(Assessment!#REF!,Inherited!A:A,Inherited!B:B)))/100)*IF(Z19="1.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(100%)","100"))))))&lt;=89),"75",IF((((_xlfn.XLOOKUP(Assessment!#REF!,Inherited!A:A,Inherited!B:B))/100)*(_xlfn.XLOOKUP(Assessment!#REF!,Inherited!A:A,Inherited!E:E)))+(((100-(_xlfn.XLOOKUP(Assessment!#REF!,Inherited!A:A,Inherited!B:B)))/100)*IF(Z19="1. Non Compliant (0%)","0",IF(Z19="2. Somewhat Compliant (25%)","25",IF(Z19="3. Partially Compliant (50%)","50",IF(Z19="4. Mostly Compliant (75%)","75",IF(Z19="5. Fully Compliant (100%)","100"))))))&gt;=90,"100"))))))</f>
        <v>#N/A</v>
      </c>
      <c r="T19" s="1" t="e">
        <f>IF(MATCH(H19,Inherited!A:A),IF((((_xlfn.XLOOKUP(Assessment!#REF!,Inherited!A:A,Inherited!B:B))/100)*(_xlfn.XLOOKUP(Assessment!#REF!,Inherited!A:A,Inherited!F:F)))+(((100-(_xlfn.XLOOKUP(Assessment!#REF!,Inherited!A:A,Inherited!B:B)))/100)*IF(AA19="1.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(100%)","100"))))))&lt;=10,"0", IF(AND((((_xlfn.XLOOKUP(Assessment!#REF!,Inherited!A:A,Inherited!B:B))/100)*(_xlfn.XLOOKUP(Assessment!#REF!,Inherited!A:A,Inherited!F:F)))+(((100-(_xlfn.XLOOKUP(Assessment!#REF!,Inherited!A:A,Inherited!B:B)))/100)*IF(AA19="1.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(100%)","100"))))))&gt;=11,(((_xlfn.XLOOKUP(Assessment!#REF!,Inherited!A:A,Inherited!B:B))/100)*(_xlfn.XLOOKUP(Assessment!#REF!,Inherited!A:A,Inherited!F:F)))+(((100-(_xlfn.XLOOKUP(Assessment!#REF!,Inherited!A:A,Inherited!B:B)))/100)*IF(AA19="1.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(100%)","100"))))))&lt;=32),"25",IF(AND((((_xlfn.XLOOKUP(Assessment!#REF!,Inherited!A:A,Inherited!B:B))/100)*(_xlfn.XLOOKUP(Assessment!#REF!,Inherited!A:A,Inherited!F:F)))+(((100-(_xlfn.XLOOKUP(Assessment!#REF!,Inherited!A:A,Inherited!B:B)))/100)*IF(AA19="1.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(100%)","100"))))))&gt;=33,(((_xlfn.XLOOKUP(Assessment!#REF!,Inherited!A:A,Inherited!B:B))/100)*(_xlfn.XLOOKUP(Assessment!#REF!,Inherited!A:A,Inherited!F:F)))+(((100-(_xlfn.XLOOKUP(Assessment!#REF!,Inherited!A:A,Inherited!B:B)))/100)*IF(AA19="1.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(100%)","100"))))))&lt;=65),"50",IF(AND((((_xlfn.XLOOKUP(Assessment!#REF!,Inherited!A:A,Inherited!B:B))/100)*(_xlfn.XLOOKUP(Assessment!#REF!,Inherited!A:A,Inherited!F:F)))+(((100-(_xlfn.XLOOKUP(Assessment!#REF!,Inherited!A:A,Inherited!B:B)))/100)*IF(AA19="1.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(100%)","100"))))))&gt;=66,(((_xlfn.XLOOKUP(Assessment!#REF!,Inherited!A:A,Inherited!B:B))/100)*(_xlfn.XLOOKUP(Assessment!#REF!,Inherited!A:A,Inherited!F:F)))+(((100-(_xlfn.XLOOKUP(Assessment!#REF!,Inherited!A:A,Inherited!B:B)))/100)*IF(AA19="1.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(100%)","100"))))))&lt;=89),"75",IF((((_xlfn.XLOOKUP(Assessment!#REF!,Inherited!A:A,Inherited!B:B))/100)*(_xlfn.XLOOKUP(Assessment!#REF!,Inherited!A:A,Inherited!F:F)))+(((100-(_xlfn.XLOOKUP(Assessment!#REF!,Inherited!A:A,Inherited!B:B)))/100)*IF(AA19="1. Non Compliant (0%)","0",IF(AA19="2. Somewhat Compliant (25%)","25",IF(AA19="3. Partially Compliant (50%)","50",IF(AA19="4. Mostly Compliant (75%)","75",IF(AA19="5. Fully Compliant (100%)","100"))))))&gt;=90,"100"))))))</f>
        <v>#N/A</v>
      </c>
      <c r="U19" s="1" t="e">
        <f>IF(MATCH(H19,Inherited!A:A),IF((((_xlfn.XLOOKUP(Assessment!#REF!,Inherited!A:A,Inherited!B:B))/100)*(_xlfn.XLOOKUP(Assessment!#REF!,Inherited!A:A,Inherited!G:G)))+(((100-(_xlfn.XLOOKUP(Assessment!#REF!,Inherited!A:A,Inherited!B:B)))/100)*IF(AB19="1.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(100%)","100"))))))&lt;=10,"0", IF(AND((((_xlfn.XLOOKUP(Assessment!#REF!,Inherited!A:A,Inherited!B:B))/100)*(_xlfn.XLOOKUP(Assessment!#REF!,Inherited!A:A,Inherited!G:G)))+(((100-(_xlfn.XLOOKUP(Assessment!#REF!,Inherited!A:A,Inherited!B:B)))/100)*IF(AB19="1.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(100%)","100"))))))&gt;=11,(((_xlfn.XLOOKUP(Assessment!#REF!,Inherited!A:A,Inherited!B:B))/100)*(_xlfn.XLOOKUP(Assessment!#REF!,Inherited!A:A,Inherited!G:G)))+(((100-(_xlfn.XLOOKUP(Assessment!#REF!,Inherited!A:A,Inherited!B:B)))/100)*IF(AB19="1.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(100%)","100"))))))&lt;=32),"25",IF(AND((((_xlfn.XLOOKUP(Assessment!#REF!,Inherited!A:A,Inherited!B:B))/100)*(_xlfn.XLOOKUP(Assessment!#REF!,Inherited!A:A,Inherited!G:G)))+(((100-(_xlfn.XLOOKUP(Assessment!#REF!,Inherited!A:A,Inherited!B:B)))/100)*IF(AB19="1.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(100%)","100"))))))&gt;=33,(((_xlfn.XLOOKUP(Assessment!#REF!,Inherited!A:A,Inherited!B:B))/100)*(_xlfn.XLOOKUP(Assessment!#REF!,Inherited!A:A,Inherited!G:G)))+(((100-(_xlfn.XLOOKUP(Assessment!#REF!,Inherited!A:A,Inherited!B:B)))/100)*IF(AB19="1.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(100%)","100"))))))&lt;=65),"50",IF(AND((((_xlfn.XLOOKUP(Assessment!#REF!,Inherited!A:A,Inherited!B:B))/100)*(_xlfn.XLOOKUP(Assessment!#REF!,Inherited!A:A,Inherited!G:G)))+(((100-(_xlfn.XLOOKUP(Assessment!#REF!,Inherited!A:A,Inherited!B:B)))/100)*IF(AB19="1.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(100%)","100"))))))&gt;=66,(((_xlfn.XLOOKUP(Assessment!#REF!,Inherited!A:A,Inherited!B:B))/100)*(_xlfn.XLOOKUP(Assessment!#REF!,Inherited!A:A,Inherited!G:G)))+(((100-(_xlfn.XLOOKUP(Assessment!#REF!,Inherited!A:A,Inherited!B:B)))/100)*IF(AB19="1.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(100%)","100"))))))&lt;=89),"75",IF((((_xlfn.XLOOKUP(Assessment!#REF!,Inherited!A:A,Inherited!B:B))/100)*(_xlfn.XLOOKUP(Assessment!#REF!,Inherited!A:A,Inherited!G:G)))+(((100-(_xlfn.XLOOKUP(Assessment!#REF!,Inherited!A:A,Inherited!B:B)))/100)*IF(AB19="1. Non Compliant (0%)","0",IF(AB19="2. Somewhat Compliant (25%)","25",IF(AB19="3. Partially Compliant (50%)","50",IF(AB19="4. Mostly Compliant (75%)","75",IF(AB19="5. Fully Compliant (100%)","100"))))))&gt;=90,"100"))))))</f>
        <v>#N/A</v>
      </c>
      <c r="V19" s="55" t="s">
        <v>85</v>
      </c>
      <c r="W19" s="55"/>
      <c r="X19" s="55"/>
      <c r="Y19" s="55"/>
      <c r="Z19" s="55" t="s">
        <v>86</v>
      </c>
      <c r="AA19" s="55"/>
      <c r="AB19" s="55"/>
      <c r="AK19" s="1" t="s">
        <v>10891</v>
      </c>
      <c r="AL19" s="1" t="s">
        <v>10912</v>
      </c>
      <c r="AM19" s="1" t="s">
        <v>10927</v>
      </c>
      <c r="AX19" s="3" t="str">
        <f>_xlfn.CONCAT("A-LIGN finished its review of this control on ",AR19, " during the scheduled fieldwork window (",Intro!$B$4,")."&amp; CHAR(10)&amp; CHAR(10))</f>
        <v xml:space="preserve">A-LIGN finished its review of this control on  during the scheduled fieldwork window (Fieldwork: xx/xx/xxxx - xx/xx/xxxx).
</v>
      </c>
      <c r="AY19" s="3" t="str">
        <f t="shared" ref="AY19:AY26" si="41">IF(AQ19&lt;&gt;"",(_xlfn.CONCAT("Inheritance note: "&amp; CHAR(10),AQ19&amp; CHAR(10)&amp; CHAR(10))),"")</f>
        <v/>
      </c>
      <c r="AZ19" s="3" t="str">
        <f t="shared" ref="AZ19:AZ26" si="42">IFERROR(IF(AD19&lt;&gt;"",_xlfn.CONCAT("Examined the following policy during fieldwork:"&amp; CHAR(10),AD19&amp; CHAR(10)&amp; CHAR(10),IF(AND(X19&lt;&gt;"5. Fully Compliant (100%)",AE19&lt;&gt;""),"Reviewed policy exception note:"&amp; CHAR(10) &amp; AE19 &amp; CHAR(10) &amp; CHAR(10),"")),""),"")</f>
        <v/>
      </c>
      <c r="BA19" s="3" t="str">
        <f t="shared" ref="BA19:BA26" si="43">IFERROR(IF(AH19&lt;&gt;"",_xlfn.CONCAT("Examined the following process during fieldwork:"&amp; CHAR(10),AH19&amp; CHAR(10)&amp; CHAR(10),IF(AND(Y19&lt;&gt;"5. Fully Compliant (100%)",AI19&lt;&gt;""),"Reviewed process exception note:"&amp; CHAR(10) &amp; AI19 &amp; CHAR(10) &amp; CHAR(10),"")),""),"")</f>
        <v/>
      </c>
      <c r="BB19" s="3" t="str">
        <f t="shared" ref="BB19:BB26" si="44">IF(AK19&lt;&gt;"",(_xlfn.CONCAT("Inquired of the following workforce member: "&amp; CHAR(10),AK19&amp; CHAR(10)&amp; CHAR(10),"Inquiry lead to the following conclusions: "&amp; CHAR(10),AL19&amp; CHAR(10) &amp; CHAR(10))),"")</f>
        <v xml:space="preserve">Inquired of the following workforce member: 
Matthew Macaluso - Director of System Operations
Roze Nicolas - Director of TechOps
Inquiry lead to the following conclusions: 
Google Workspace is used for anti-spam protection 
Integration with Google SecOps (replaced Rapid7) is used for logging and alerting to MSP (Foresite Cybersecurity)  
SentinelOne is used as an endpoint protection solution for all in-scope endpoints (laptops, servers)
</v>
      </c>
      <c r="BC19" s="3" t="str">
        <f t="shared" ref="BC19:BC26" si="45">IF(AM19&lt;&gt;"",(_xlfn.CONCAT("Observed the following live during fieldwork: "&amp; CHAR(10),AM19&amp; CHAR(10) &amp; CHAR(10))),"")</f>
        <v xml:space="preserve">Observed the following live during fieldwork: 
Observed Google Workspace Admin console "Gmail" security configurations which showed that all appropriate anti-spam protection mechanisms are in place
Observed the SentinelOne dashboard which demonstrated that the solution is centrally managed, endpoints are appropriately managed
</v>
      </c>
      <c r="BD19" s="3" t="str">
        <f t="shared" ref="BD19:BD26" si="46">_xlfn.CONCAT("Examined the following evidence during fieldwork:"&amp; CHAR(10),AN19&amp; CHAR(10)&amp; CHAR(10),IF(AO19&lt;&gt;"","Reviewed evidence note:"&amp; CHAR(10)&amp;AO19&amp; CHAR(10) &amp; CHAR(10),"Reviewed evidence addressed the requirement statement."&amp; CHAR(10) &amp; CHAR(10)),IF(AND(AP19&lt;&gt;"5. Fully Compliant (100%)",AP19&lt;&gt;""),"Reviewed evidence exception note: "&amp; CHAR(10) &amp; AP19 &amp; CHAR(10) &amp; CHAR(10),""))</f>
        <v xml:space="preserve">Examined the following evidence during fieldwork:
Reviewed evidence addressed the requirement statement.
</v>
      </c>
      <c r="BE19" s="3" t="str">
        <f t="shared" ref="BE19:BE26" si="47">IF(AT19&lt;&gt;"",(_xlfn.CONCAT("Examined the following measure/metric during fieldwork:"&amp; CHAR(10),AT19&amp; CHAR(10)&amp; CHAR(10),"Reviewed measure/metric note:"&amp; CHAR(10),AU19 &amp; CHAR(10) &amp; CHAR(10))),"")</f>
        <v/>
      </c>
      <c r="BF19" s="3" t="str">
        <f t="shared" ref="BF19:BF26" si="48">IF(AV19&lt;&gt;"",(_xlfn.CONCAT("Examined the following measure/metric management during fieldwork:"&amp; CHAR(10),AV19&amp; CHAR(10)&amp; CHAR(10),"Reviewed measure/metric management note:"&amp; CHAR(10),AW19 &amp; CHAR(10) &amp; CHAR(10))),"")</f>
        <v/>
      </c>
      <c r="BG19" s="3" t="str">
        <f>_xlfn.CONCAT((IF((COUNTIF('Sample Tables'!B:B,"")&gt;0)=TRUE,_xlfn.CONCAT("",""),IF((COUNTIF('Sample Tables'!B:B,"")&gt;0)=FALSE,""))),)</f>
        <v/>
      </c>
      <c r="BH19" s="3" t="str">
        <f t="shared" ref="BH19:BH26" si="49">IF(V19="No","Not Applicable: "&amp;W19,(_xlfn.CONCAT(AX19,AY19,AZ19,BA19,BB19,BC19,BD19,BE19,BF19,BG19)))</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Google Workspace is used for anti-spam protection 
Integration with Google SecOps (replaced Rapid7) is used for logging and alerting to MSP (Foresite Cybersecurity)  
SentinelOne is used as an endpoint protection solution for all in-scope endpoints (laptops, servers)
Observed the following live during fieldwork: 
Observed Google Workspace Admin console "Gmail" security configurations which showed that all appropriate anti-spam protection mechanisms are in place
Observed the SentinelOne dashboard which demonstrated that the solution is centrally managed, endpoints are appropriately managed
Examined the following evidence during fieldwork:
Reviewed evidence addressed the requirement statement.
</v>
      </c>
    </row>
    <row r="20" spans="3:60" ht="409.5" x14ac:dyDescent="0.35">
      <c r="C20" s="1">
        <f t="shared" si="40"/>
        <v>40</v>
      </c>
      <c r="D20" s="5" t="str">
        <f>IF(AND((_xlfn.XLOOKUP(J20,'Fields &amp; Revisions'!$H:$H,'Fields &amp; Revisions'!$I:$I))&lt;70.99,(OR(Z20="4. Mostly Compliant (75%)",Z20="3. Partially Compliant (50%)",Z20="2. Somewhat Compliant (25%)",Z20="1. Non Compliant (0%)"))),"Yes","No")</f>
        <v>No</v>
      </c>
      <c r="E20" s="5" t="str">
        <f>IF(ISERROR(VLOOKUP(H20,Scope!A:A,1,FALSE)),"No","Yes")</f>
        <v>Yes</v>
      </c>
      <c r="F20" s="1" t="s">
        <v>632</v>
      </c>
      <c r="G20" s="53" t="s">
        <v>691</v>
      </c>
      <c r="H20" s="53" t="s">
        <v>692</v>
      </c>
      <c r="I20" s="5">
        <v>1</v>
      </c>
      <c r="J20" s="1" t="s">
        <v>635</v>
      </c>
      <c r="K20" s="1" t="s">
        <v>693</v>
      </c>
      <c r="L20" s="1" t="s">
        <v>694</v>
      </c>
      <c r="M20" s="1" t="s">
        <v>314</v>
      </c>
      <c r="N20" s="5" t="s">
        <v>85</v>
      </c>
      <c r="O20" s="1" t="str">
        <f>_xlfn.XLOOKUP(G20,SRMs!$A:$A,SRMs!$D:$D)</f>
        <v>FULL INHERITANCE</v>
      </c>
      <c r="P20" s="1" t="str">
        <f>IFERROR(VLOOKUP(H20,Inherited!A:B,2,FALSE),"")</f>
        <v/>
      </c>
      <c r="Q20" s="1" t="e">
        <f>IF(MATCH(H20,Inherited!A:A),IF((((_xlfn.XLOOKUP(Assessment!#REF!,Inherited!A:A,Inherited!B:B))/100)*(_xlfn.XLOOKUP(Assessment!#REF!,Inherited!A:A,Inherited!C:C)))+(((100-(_xlfn.XLOOKUP(Assessment!#REF!,Inherited!A:A,Inherited!B:B)))/100)*IF(X20="1.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(100%)","100"))))))&lt;=10,"0", IF(AND((((_xlfn.XLOOKUP(Assessment!#REF!,Inherited!A:A,Inherited!B:B))/100)*(_xlfn.XLOOKUP(Assessment!#REF!,Inherited!A:A,Inherited!C:C)))+(((100-(_xlfn.XLOOKUP(Assessment!#REF!,Inherited!A:A,Inherited!B:B)))/100)*IF(X20="1.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(100%)","100"))))))&gt;=11,(((_xlfn.XLOOKUP(Assessment!#REF!,Inherited!A:A,Inherited!B:B))/100)*(_xlfn.XLOOKUP(Assessment!#REF!,Inherited!A:A,Inherited!C:C)))+(((100-(_xlfn.XLOOKUP(Assessment!#REF!,Inherited!A:A,Inherited!B:B)))/100)*IF(X20="1.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(100%)","100"))))))&lt;=32),"25",IF(AND((((_xlfn.XLOOKUP(Assessment!#REF!,Inherited!A:A,Inherited!B:B))/100)*(_xlfn.XLOOKUP(Assessment!#REF!,Inherited!A:A,Inherited!C:C)))+(((100-(_xlfn.XLOOKUP(Assessment!#REF!,Inherited!A:A,Inherited!B:B)))/100)*IF(X20="1.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(100%)","100"))))))&gt;=33,(((_xlfn.XLOOKUP(Assessment!#REF!,Inherited!A:A,Inherited!B:B))/100)*(_xlfn.XLOOKUP(Assessment!#REF!,Inherited!A:A,Inherited!C:C)))+(((100-(_xlfn.XLOOKUP(Assessment!#REF!,Inherited!A:A,Inherited!B:B)))/100)*IF(X20="1.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(100%)","100"))))))&lt;=65),"50",IF(AND((((_xlfn.XLOOKUP(Assessment!#REF!,Inherited!A:A,Inherited!B:B))/100)*(_xlfn.XLOOKUP(Assessment!#REF!,Inherited!A:A,Inherited!C:C)))+(((100-(_xlfn.XLOOKUP(Assessment!#REF!,Inherited!A:A,Inherited!B:B)))/100)*IF(X20="1.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(100%)","100"))))))&gt;=66,(((_xlfn.XLOOKUP(Assessment!#REF!,Inherited!A:A,Inherited!B:B))/100)*(_xlfn.XLOOKUP(Assessment!#REF!,Inherited!A:A,Inherited!C:C)))+(((100-(_xlfn.XLOOKUP(Assessment!#REF!,Inherited!A:A,Inherited!B:B)))/100)*IF(X20="1.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(100%)","100"))))))&lt;=89),"75",IF((((_xlfn.XLOOKUP(Assessment!#REF!,Inherited!A:A,Inherited!B:B))/100)*(_xlfn.XLOOKUP(Assessment!#REF!,Inherited!A:A,Inherited!C:C)))+(((100-(_xlfn.XLOOKUP(Assessment!#REF!,Inherited!A:A,Inherited!B:B)))/100)*IF(X20="1. Non Compliant (0%)","0",IF(X20="2. Somewhat Compliant (25%)","25",IF(X20="3. Partially Compliant (50%)","50",IF(X20="4. Mostly Compliant (75%)","75",IF(X20="5. Fully Compliant (100%)","100"))))))&gt;=90,"100"))))))</f>
        <v>#N/A</v>
      </c>
      <c r="R20" s="1" t="e">
        <f>IF(MATCH(H20,Inherited!A:A),IF((((_xlfn.XLOOKUP(Assessment!#REF!,Inherited!A:A,Inherited!B:B))/100)*(_xlfn.XLOOKUP(Assessment!#REF!,Inherited!A:A,Inherited!D:D)))+(((100-(_xlfn.XLOOKUP(Assessment!#REF!,Inherited!A:A,Inherited!B:B)))/100)*IF(Y20="1.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(100%)","100"))))))&lt;=10,"0", IF(AND((((_xlfn.XLOOKUP(Assessment!#REF!,Inherited!A:A,Inherited!B:B))/100)*(_xlfn.XLOOKUP(Assessment!#REF!,Inherited!A:A,Inherited!D:D)))+(((100-(_xlfn.XLOOKUP(Assessment!#REF!,Inherited!A:A,Inherited!B:B)))/100)*IF(Y20="1.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(100%)","100"))))))&gt;=11,(((_xlfn.XLOOKUP(Assessment!#REF!,Inherited!A:A,Inherited!B:B))/100)*(_xlfn.XLOOKUP(Assessment!#REF!,Inherited!A:A,Inherited!D:D)))+(((100-(_xlfn.XLOOKUP(Assessment!#REF!,Inherited!A:A,Inherited!B:B)))/100)*IF(Y20="1.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(100%)","100"))))))&lt;=32),"25",IF(AND((((_xlfn.XLOOKUP(Assessment!#REF!,Inherited!A:A,Inherited!B:B))/100)*(_xlfn.XLOOKUP(Assessment!#REF!,Inherited!A:A,Inherited!D:D)))+(((100-(_xlfn.XLOOKUP(Assessment!#REF!,Inherited!A:A,Inherited!B:B)))/100)*IF(Y20="1.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(100%)","100"))))))&gt;=33,(((_xlfn.XLOOKUP(Assessment!#REF!,Inherited!A:A,Inherited!B:B))/100)*(_xlfn.XLOOKUP(Assessment!#REF!,Inherited!A:A,Inherited!D:D)))+(((100-(_xlfn.XLOOKUP(Assessment!#REF!,Inherited!A:A,Inherited!B:B)))/100)*IF(Y20="1.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(100%)","100"))))))&lt;=65),"50",IF(AND((((_xlfn.XLOOKUP(Assessment!#REF!,Inherited!A:A,Inherited!B:B))/100)*(_xlfn.XLOOKUP(Assessment!#REF!,Inherited!A:A,Inherited!D:D)))+(((100-(_xlfn.XLOOKUP(Assessment!#REF!,Inherited!A:A,Inherited!B:B)))/100)*IF(Y20="1.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(100%)","100"))))))&gt;=66,(((_xlfn.XLOOKUP(Assessment!#REF!,Inherited!A:A,Inherited!B:B))/100)*(_xlfn.XLOOKUP(Assessment!#REF!,Inherited!A:A,Inherited!D:D)))+(((100-(_xlfn.XLOOKUP(Assessment!#REF!,Inherited!A:A,Inherited!B:B)))/100)*IF(Y20="1.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(100%)","100"))))))&lt;=89),"75",IF((((_xlfn.XLOOKUP(Assessment!#REF!,Inherited!A:A,Inherited!B:B))/100)*(_xlfn.XLOOKUP(Assessment!#REF!,Inherited!A:A,Inherited!D:D)))+(((100-(_xlfn.XLOOKUP(Assessment!#REF!,Inherited!A:A,Inherited!B:B)))/100)*IF(Y20="1. Non Compliant (0%)","0",IF(Y20="2. Somewhat Compliant (25%)","25",IF(Y20="3. Partially Compliant (50%)","50",IF(Y20="4. Mostly Compliant (75%)","75",IF(Y20="5. Fully Compliant (100%)","100"))))))&gt;=90,"100"))))))</f>
        <v>#N/A</v>
      </c>
      <c r="S20" s="1" t="e">
        <f>IF(MATCH(H20,Inherited!A:A),IF((((_xlfn.XLOOKUP(Assessment!#REF!,Inherited!A:A,Inherited!B:B))/100)*(_xlfn.XLOOKUP(Assessment!#REF!,Inherited!A:A,Inherited!E:E)))+(((100-(_xlfn.XLOOKUP(Assessment!#REF!,Inherited!A:A,Inherited!B:B)))/100)*IF(Z20="1.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(100%)","100"))))))&lt;=10,"0", IF(AND((((_xlfn.XLOOKUP(Assessment!#REF!,Inherited!A:A,Inherited!B:B))/100)*(_xlfn.XLOOKUP(Assessment!#REF!,Inherited!A:A,Inherited!E:E)))+(((100-(_xlfn.XLOOKUP(Assessment!#REF!,Inherited!A:A,Inherited!B:B)))/100)*IF(Z20="1.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(100%)","100"))))))&gt;=11,(((_xlfn.XLOOKUP(Assessment!#REF!,Inherited!A:A,Inherited!B:B))/100)*(_xlfn.XLOOKUP(Assessment!#REF!,Inherited!A:A,Inherited!E:E)))+(((100-(_xlfn.XLOOKUP(Assessment!#REF!,Inherited!A:A,Inherited!B:B)))/100)*IF(Z20="1.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(100%)","100"))))))&lt;=32),"25",IF(AND((((_xlfn.XLOOKUP(Assessment!#REF!,Inherited!A:A,Inherited!B:B))/100)*(_xlfn.XLOOKUP(Assessment!#REF!,Inherited!A:A,Inherited!E:E)))+(((100-(_xlfn.XLOOKUP(Assessment!#REF!,Inherited!A:A,Inherited!B:B)))/100)*IF(Z20="1.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(100%)","100"))))))&gt;=33,(((_xlfn.XLOOKUP(Assessment!#REF!,Inherited!A:A,Inherited!B:B))/100)*(_xlfn.XLOOKUP(Assessment!#REF!,Inherited!A:A,Inherited!E:E)))+(((100-(_xlfn.XLOOKUP(Assessment!#REF!,Inherited!A:A,Inherited!B:B)))/100)*IF(Z20="1.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(100%)","100"))))))&lt;=65),"50",IF(AND((((_xlfn.XLOOKUP(Assessment!#REF!,Inherited!A:A,Inherited!B:B))/100)*(_xlfn.XLOOKUP(Assessment!#REF!,Inherited!A:A,Inherited!E:E)))+(((100-(_xlfn.XLOOKUP(Assessment!#REF!,Inherited!A:A,Inherited!B:B)))/100)*IF(Z20="1.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(100%)","100"))))))&gt;=66,(((_xlfn.XLOOKUP(Assessment!#REF!,Inherited!A:A,Inherited!B:B))/100)*(_xlfn.XLOOKUP(Assessment!#REF!,Inherited!A:A,Inherited!E:E)))+(((100-(_xlfn.XLOOKUP(Assessment!#REF!,Inherited!A:A,Inherited!B:B)))/100)*IF(Z20="1.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(100%)","100"))))))&lt;=89),"75",IF((((_xlfn.XLOOKUP(Assessment!#REF!,Inherited!A:A,Inherited!B:B))/100)*(_xlfn.XLOOKUP(Assessment!#REF!,Inherited!A:A,Inherited!E:E)))+(((100-(_xlfn.XLOOKUP(Assessment!#REF!,Inherited!A:A,Inherited!B:B)))/100)*IF(Z20="1. Non Compliant (0%)","0",IF(Z20="2. Somewhat Compliant (25%)","25",IF(Z20="3. Partially Compliant (50%)","50",IF(Z20="4. Mostly Compliant (75%)","75",IF(Z20="5. Fully Compliant (100%)","100"))))))&gt;=90,"100"))))))</f>
        <v>#N/A</v>
      </c>
      <c r="T20" s="1" t="e">
        <f>IF(MATCH(H20,Inherited!A:A),IF((((_xlfn.XLOOKUP(Assessment!#REF!,Inherited!A:A,Inherited!B:B))/100)*(_xlfn.XLOOKUP(Assessment!#REF!,Inherited!A:A,Inherited!F:F)))+(((100-(_xlfn.XLOOKUP(Assessment!#REF!,Inherited!A:A,Inherited!B:B)))/100)*IF(AA20="1.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(100%)","100"))))))&lt;=10,"0", IF(AND((((_xlfn.XLOOKUP(Assessment!#REF!,Inherited!A:A,Inherited!B:B))/100)*(_xlfn.XLOOKUP(Assessment!#REF!,Inherited!A:A,Inherited!F:F)))+(((100-(_xlfn.XLOOKUP(Assessment!#REF!,Inherited!A:A,Inherited!B:B)))/100)*IF(AA20="1.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(100%)","100"))))))&gt;=11,(((_xlfn.XLOOKUP(Assessment!#REF!,Inherited!A:A,Inherited!B:B))/100)*(_xlfn.XLOOKUP(Assessment!#REF!,Inherited!A:A,Inherited!F:F)))+(((100-(_xlfn.XLOOKUP(Assessment!#REF!,Inherited!A:A,Inherited!B:B)))/100)*IF(AA20="1.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(100%)","100"))))))&lt;=32),"25",IF(AND((((_xlfn.XLOOKUP(Assessment!#REF!,Inherited!A:A,Inherited!B:B))/100)*(_xlfn.XLOOKUP(Assessment!#REF!,Inherited!A:A,Inherited!F:F)))+(((100-(_xlfn.XLOOKUP(Assessment!#REF!,Inherited!A:A,Inherited!B:B)))/100)*IF(AA20="1.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(100%)","100"))))))&gt;=33,(((_xlfn.XLOOKUP(Assessment!#REF!,Inherited!A:A,Inherited!B:B))/100)*(_xlfn.XLOOKUP(Assessment!#REF!,Inherited!A:A,Inherited!F:F)))+(((100-(_xlfn.XLOOKUP(Assessment!#REF!,Inherited!A:A,Inherited!B:B)))/100)*IF(AA20="1.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(100%)","100"))))))&lt;=65),"50",IF(AND((((_xlfn.XLOOKUP(Assessment!#REF!,Inherited!A:A,Inherited!B:B))/100)*(_xlfn.XLOOKUP(Assessment!#REF!,Inherited!A:A,Inherited!F:F)))+(((100-(_xlfn.XLOOKUP(Assessment!#REF!,Inherited!A:A,Inherited!B:B)))/100)*IF(AA20="1.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(100%)","100"))))))&gt;=66,(((_xlfn.XLOOKUP(Assessment!#REF!,Inherited!A:A,Inherited!B:B))/100)*(_xlfn.XLOOKUP(Assessment!#REF!,Inherited!A:A,Inherited!F:F)))+(((100-(_xlfn.XLOOKUP(Assessment!#REF!,Inherited!A:A,Inherited!B:B)))/100)*IF(AA20="1.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(100%)","100"))))))&lt;=89),"75",IF((((_xlfn.XLOOKUP(Assessment!#REF!,Inherited!A:A,Inherited!B:B))/100)*(_xlfn.XLOOKUP(Assessment!#REF!,Inherited!A:A,Inherited!F:F)))+(((100-(_xlfn.XLOOKUP(Assessment!#REF!,Inherited!A:A,Inherited!B:B)))/100)*IF(AA20="1. Non Compliant (0%)","0",IF(AA20="2. Somewhat Compliant (25%)","25",IF(AA20="3. Partially Compliant (50%)","50",IF(AA20="4. Mostly Compliant (75%)","75",IF(AA20="5. Fully Compliant (100%)","100"))))))&gt;=90,"100"))))))</f>
        <v>#N/A</v>
      </c>
      <c r="U20" s="1" t="e">
        <f>IF(MATCH(H20,Inherited!A:A),IF((((_xlfn.XLOOKUP(Assessment!#REF!,Inherited!A:A,Inherited!B:B))/100)*(_xlfn.XLOOKUP(Assessment!#REF!,Inherited!A:A,Inherited!G:G)))+(((100-(_xlfn.XLOOKUP(Assessment!#REF!,Inherited!A:A,Inherited!B:B)))/100)*IF(AB20="1.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(100%)","100"))))))&lt;=10,"0", IF(AND((((_xlfn.XLOOKUP(Assessment!#REF!,Inherited!A:A,Inherited!B:B))/100)*(_xlfn.XLOOKUP(Assessment!#REF!,Inherited!A:A,Inherited!G:G)))+(((100-(_xlfn.XLOOKUP(Assessment!#REF!,Inherited!A:A,Inherited!B:B)))/100)*IF(AB20="1.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(100%)","100"))))))&gt;=11,(((_xlfn.XLOOKUP(Assessment!#REF!,Inherited!A:A,Inherited!B:B))/100)*(_xlfn.XLOOKUP(Assessment!#REF!,Inherited!A:A,Inherited!G:G)))+(((100-(_xlfn.XLOOKUP(Assessment!#REF!,Inherited!A:A,Inherited!B:B)))/100)*IF(AB20="1.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(100%)","100"))))))&lt;=32),"25",IF(AND((((_xlfn.XLOOKUP(Assessment!#REF!,Inherited!A:A,Inherited!B:B))/100)*(_xlfn.XLOOKUP(Assessment!#REF!,Inherited!A:A,Inherited!G:G)))+(((100-(_xlfn.XLOOKUP(Assessment!#REF!,Inherited!A:A,Inherited!B:B)))/100)*IF(AB20="1.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(100%)","100"))))))&gt;=33,(((_xlfn.XLOOKUP(Assessment!#REF!,Inherited!A:A,Inherited!B:B))/100)*(_xlfn.XLOOKUP(Assessment!#REF!,Inherited!A:A,Inherited!G:G)))+(((100-(_xlfn.XLOOKUP(Assessment!#REF!,Inherited!A:A,Inherited!B:B)))/100)*IF(AB20="1.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(100%)","100"))))))&lt;=65),"50",IF(AND((((_xlfn.XLOOKUP(Assessment!#REF!,Inherited!A:A,Inherited!B:B))/100)*(_xlfn.XLOOKUP(Assessment!#REF!,Inherited!A:A,Inherited!G:G)))+(((100-(_xlfn.XLOOKUP(Assessment!#REF!,Inherited!A:A,Inherited!B:B)))/100)*IF(AB20="1.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(100%)","100"))))))&gt;=66,(((_xlfn.XLOOKUP(Assessment!#REF!,Inherited!A:A,Inherited!B:B))/100)*(_xlfn.XLOOKUP(Assessment!#REF!,Inherited!A:A,Inherited!G:G)))+(((100-(_xlfn.XLOOKUP(Assessment!#REF!,Inherited!A:A,Inherited!B:B)))/100)*IF(AB20="1.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(100%)","100"))))))&lt;=89),"75",IF((((_xlfn.XLOOKUP(Assessment!#REF!,Inherited!A:A,Inherited!B:B))/100)*(_xlfn.XLOOKUP(Assessment!#REF!,Inherited!A:A,Inherited!G:G)))+(((100-(_xlfn.XLOOKUP(Assessment!#REF!,Inherited!A:A,Inherited!B:B)))/100)*IF(AB20="1. Non Compliant (0%)","0",IF(AB20="2. Somewhat Compliant (25%)","25",IF(AB20="3. Partially Compliant (50%)","50",IF(AB20="4. Mostly Compliant (75%)","75",IF(AB20="5. Fully Compliant (100%)","100"))))))&gt;=90,"100"))))))</f>
        <v>#N/A</v>
      </c>
      <c r="V20" s="55" t="s">
        <v>85</v>
      </c>
      <c r="W20" s="55"/>
      <c r="X20" s="55"/>
      <c r="Y20" s="55"/>
      <c r="Z20" s="55" t="s">
        <v>86</v>
      </c>
      <c r="AA20" s="55"/>
      <c r="AB20" s="55"/>
      <c r="AK20" s="1" t="s">
        <v>10891</v>
      </c>
      <c r="AL20" s="1" t="s">
        <v>10928</v>
      </c>
      <c r="AM20" s="1" t="s">
        <v>10909</v>
      </c>
      <c r="AX20" s="3" t="str">
        <f>_xlfn.CONCAT("A-LIGN finished its review of this control on ",AR20, " during the scheduled fieldwork window (",Intro!$B$4,")."&amp; CHAR(10)&amp; CHAR(10))</f>
        <v xml:space="preserve">A-LIGN finished its review of this control on  during the scheduled fieldwork window (Fieldwork: xx/xx/xxxx - xx/xx/xxxx).
</v>
      </c>
      <c r="AY20" s="3" t="str">
        <f t="shared" si="41"/>
        <v/>
      </c>
      <c r="AZ20" s="3" t="str">
        <f t="shared" si="42"/>
        <v/>
      </c>
      <c r="BA20" s="3" t="str">
        <f t="shared" si="43"/>
        <v/>
      </c>
      <c r="BB20" s="3" t="str">
        <f t="shared" si="44"/>
        <v xml:space="preserve">Inquired of the following workforce member: 
Matthew Macaluso - Director of System Operations
Roze Nicolas - Director of TechOps
Inquiry lead to the following conclusions: 
Employee Handbook is maintained within a Google Shared Drive. The TechOps drive is isolated to the appropriate team members.
Once the files are completed and finalized, they are put into AirMason for all employees to review and acknowledge 
</v>
      </c>
      <c r="BC20" s="3" t="str">
        <f t="shared" si="45"/>
        <v xml:space="preserve">Observed the following live during fieldwork: 
Observed the 2026 Merge Employee Handbook which demonstrated that the appropriate terms and conditions were included 
</v>
      </c>
      <c r="BD20" s="3" t="str">
        <f t="shared" si="46"/>
        <v xml:space="preserve">Examined the following evidence during fieldwork:
Reviewed evidence addressed the requirement statement.
</v>
      </c>
      <c r="BE20" s="3" t="str">
        <f t="shared" si="47"/>
        <v/>
      </c>
      <c r="BF20" s="3" t="str">
        <f t="shared" si="48"/>
        <v/>
      </c>
      <c r="BG20" s="3" t="str">
        <f>_xlfn.CONCAT((IF((COUNTIF('Sample Tables'!B:B,"Test 192: Workforce Member (contractor)")&gt;0)=TRUE,_xlfn.CONCAT("Sample test results are documented in ",'Sample Tables'!B2108," [",'Sample Tables'!B2109,", ",'Sample Tables'!B2110,", ",'Sample Tables'!B2111,", ",'Sample Tables'!B2112,", ",'Sample Tables'!B2113,"]."&amp;CHAR(10)),IF((COUNTIF('Sample Tables'!B:B,"Test 192: Workforce Member (contractor)")&gt;0)=FALSE,""))),(IF((COUNTIF('Sample Tables'!B:B,"Test 193: Workforce Member (employee)")&gt;0)=TRUE,_xlfn.CONCAT("Sample test results are documented in ",'Sample Tables'!B2119," [",'Sample Tables'!B2120,", ",'Sample Tables'!B2121,", ",'Sample Tables'!B2122,", ",'Sample Tables'!B2123,", ",'Sample Tables'!B2124,"]."&amp;CHAR(10)),IF((COUNTIF('Sample Tables'!B:B,"Test 193: Workforce Member (employee)")&gt;0)=FALSE,""))),(IF((COUNTIF('Sample Tables'!B:B,"Test 212: Workforce Member (third party user)")&gt;0)=TRUE,_xlfn.CONCAT("Sample test results are documented in ",'Sample Tables'!B2328," [",'Sample Tables'!B2329,", ",'Sample Tables'!B2330,", ",'Sample Tables'!B2331,", ",'Sample Tables'!B2332,", ",'Sample Tables'!B2333,"]."&amp;CHAR(10)),IF((COUNTIF('Sample Tables'!B:B,"Test 212: Workforce Member (third party user)")&gt;0)=FALSE,""))),)</f>
        <v xml:space="preserve">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212: Workforce Member (third party user) [Population Source/Tool: , Population Date Range: , Population Size: , Sample Methodology: , Sample Size: ].
</v>
      </c>
      <c r="BH20" s="3" t="str">
        <f t="shared" si="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Employee Handbook is maintained within a Google Shared Drive. The TechOps drive is isolated to the appropriate team members.
Once the files are completed and finalized, they are put into AirMason for all employees to review and acknowledge 
Observed the following live during fieldwork: 
Observed the 2026 Merge Employee Handbook which demonstrated that the appropriate terms and conditions were included 
Examined the following evidence during fieldwork:
Reviewed evidence addressed the requirement statement.
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212: Workforce Member (third party user) [Population Source/Tool: , Population Date Range: , Population Size: , Sample Methodology: , Sample Size: ].
</v>
      </c>
    </row>
    <row r="21" spans="3:60" ht="409.5" x14ac:dyDescent="0.35">
      <c r="C21" s="1">
        <f t="shared" si="40"/>
        <v>40</v>
      </c>
      <c r="D21" s="5" t="str">
        <f>IF(AND((_xlfn.XLOOKUP(J21,'Fields &amp; Revisions'!$H:$H,'Fields &amp; Revisions'!$I:$I))&lt;70.99,(OR(Z21="4. Mostly Compliant (75%)",Z21="3. Partially Compliant (50%)",Z21="2. Somewhat Compliant (25%)",Z21="1. Non Compliant (0%)"))),"Yes","No")</f>
        <v>No</v>
      </c>
      <c r="E21" s="5" t="str">
        <f>IF(ISERROR(VLOOKUP(H21,Scope!A:A,1,FALSE)),"No","Yes")</f>
        <v>Yes</v>
      </c>
      <c r="F21" s="1" t="s">
        <v>632</v>
      </c>
      <c r="G21" s="53" t="s">
        <v>706</v>
      </c>
      <c r="H21" s="53" t="s">
        <v>707</v>
      </c>
      <c r="I21" s="5">
        <v>1</v>
      </c>
      <c r="J21" s="1" t="s">
        <v>647</v>
      </c>
      <c r="K21" s="1" t="s">
        <v>708</v>
      </c>
      <c r="L21" s="1" t="s">
        <v>709</v>
      </c>
      <c r="M21" s="1" t="s">
        <v>710</v>
      </c>
      <c r="N21" s="5" t="s">
        <v>85</v>
      </c>
      <c r="O21" s="1" t="str">
        <f>_xlfn.XLOOKUP(G21,SRMs!$A:$A,SRMs!$D:$D)</f>
        <v>PARTIAL INHERITANCE</v>
      </c>
      <c r="P21" s="1" t="str">
        <f>IFERROR(VLOOKUP(H21,Inherited!A:B,2,FALSE),"")</f>
        <v/>
      </c>
      <c r="Q21" s="1" t="e">
        <f>IF(MATCH(H21,Inherited!A:A),IF((((_xlfn.XLOOKUP(Assessment!#REF!,Inherited!A:A,Inherited!B:B))/100)*(_xlfn.XLOOKUP(Assessment!#REF!,Inherited!A:A,Inherited!C:C)))+(((100-(_xlfn.XLOOKUP(Assessment!#REF!,Inherited!A:A,Inherited!B:B)))/100)*IF(X21="1.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(100%)","100"))))))&lt;=10,"0", IF(AND((((_xlfn.XLOOKUP(Assessment!#REF!,Inherited!A:A,Inherited!B:B))/100)*(_xlfn.XLOOKUP(Assessment!#REF!,Inherited!A:A,Inherited!C:C)))+(((100-(_xlfn.XLOOKUP(Assessment!#REF!,Inherited!A:A,Inherited!B:B)))/100)*IF(X21="1.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(100%)","100"))))))&gt;=11,(((_xlfn.XLOOKUP(Assessment!#REF!,Inherited!A:A,Inherited!B:B))/100)*(_xlfn.XLOOKUP(Assessment!#REF!,Inherited!A:A,Inherited!C:C)))+(((100-(_xlfn.XLOOKUP(Assessment!#REF!,Inherited!A:A,Inherited!B:B)))/100)*IF(X21="1.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(100%)","100"))))))&lt;=32),"25",IF(AND((((_xlfn.XLOOKUP(Assessment!#REF!,Inherited!A:A,Inherited!B:B))/100)*(_xlfn.XLOOKUP(Assessment!#REF!,Inherited!A:A,Inherited!C:C)))+(((100-(_xlfn.XLOOKUP(Assessment!#REF!,Inherited!A:A,Inherited!B:B)))/100)*IF(X21="1.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(100%)","100"))))))&gt;=33,(((_xlfn.XLOOKUP(Assessment!#REF!,Inherited!A:A,Inherited!B:B))/100)*(_xlfn.XLOOKUP(Assessment!#REF!,Inherited!A:A,Inherited!C:C)))+(((100-(_xlfn.XLOOKUP(Assessment!#REF!,Inherited!A:A,Inherited!B:B)))/100)*IF(X21="1.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(100%)","100"))))))&lt;=65),"50",IF(AND((((_xlfn.XLOOKUP(Assessment!#REF!,Inherited!A:A,Inherited!B:B))/100)*(_xlfn.XLOOKUP(Assessment!#REF!,Inherited!A:A,Inherited!C:C)))+(((100-(_xlfn.XLOOKUP(Assessment!#REF!,Inherited!A:A,Inherited!B:B)))/100)*IF(X21="1.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(100%)","100"))))))&gt;=66,(((_xlfn.XLOOKUP(Assessment!#REF!,Inherited!A:A,Inherited!B:B))/100)*(_xlfn.XLOOKUP(Assessment!#REF!,Inherited!A:A,Inherited!C:C)))+(((100-(_xlfn.XLOOKUP(Assessment!#REF!,Inherited!A:A,Inherited!B:B)))/100)*IF(X21="1.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(100%)","100"))))))&lt;=89),"75",IF((((_xlfn.XLOOKUP(Assessment!#REF!,Inherited!A:A,Inherited!B:B))/100)*(_xlfn.XLOOKUP(Assessment!#REF!,Inherited!A:A,Inherited!C:C)))+(((100-(_xlfn.XLOOKUP(Assessment!#REF!,Inherited!A:A,Inherited!B:B)))/100)*IF(X21="1. Non Compliant (0%)","0",IF(X21="2. Somewhat Compliant (25%)","25",IF(X21="3. Partially Compliant (50%)","50",IF(X21="4. Mostly Compliant (75%)","75",IF(X21="5. Fully Compliant (100%)","100"))))))&gt;=90,"100"))))))</f>
        <v>#N/A</v>
      </c>
      <c r="R21" s="1" t="e">
        <f>IF(MATCH(H21,Inherited!A:A),IF((((_xlfn.XLOOKUP(Assessment!#REF!,Inherited!A:A,Inherited!B:B))/100)*(_xlfn.XLOOKUP(Assessment!#REF!,Inherited!A:A,Inherited!D:D)))+(((100-(_xlfn.XLOOKUP(Assessment!#REF!,Inherited!A:A,Inherited!B:B)))/100)*IF(Y21="1.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(100%)","100"))))))&lt;=10,"0", IF(AND((((_xlfn.XLOOKUP(Assessment!#REF!,Inherited!A:A,Inherited!B:B))/100)*(_xlfn.XLOOKUP(Assessment!#REF!,Inherited!A:A,Inherited!D:D)))+(((100-(_xlfn.XLOOKUP(Assessment!#REF!,Inherited!A:A,Inherited!B:B)))/100)*IF(Y21="1.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(100%)","100"))))))&gt;=11,(((_xlfn.XLOOKUP(Assessment!#REF!,Inherited!A:A,Inherited!B:B))/100)*(_xlfn.XLOOKUP(Assessment!#REF!,Inherited!A:A,Inherited!D:D)))+(((100-(_xlfn.XLOOKUP(Assessment!#REF!,Inherited!A:A,Inherited!B:B)))/100)*IF(Y21="1.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(100%)","100"))))))&lt;=32),"25",IF(AND((((_xlfn.XLOOKUP(Assessment!#REF!,Inherited!A:A,Inherited!B:B))/100)*(_xlfn.XLOOKUP(Assessment!#REF!,Inherited!A:A,Inherited!D:D)))+(((100-(_xlfn.XLOOKUP(Assessment!#REF!,Inherited!A:A,Inherited!B:B)))/100)*IF(Y21="1.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(100%)","100"))))))&gt;=33,(((_xlfn.XLOOKUP(Assessment!#REF!,Inherited!A:A,Inherited!B:B))/100)*(_xlfn.XLOOKUP(Assessment!#REF!,Inherited!A:A,Inherited!D:D)))+(((100-(_xlfn.XLOOKUP(Assessment!#REF!,Inherited!A:A,Inherited!B:B)))/100)*IF(Y21="1.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(100%)","100"))))))&lt;=65),"50",IF(AND((((_xlfn.XLOOKUP(Assessment!#REF!,Inherited!A:A,Inherited!B:B))/100)*(_xlfn.XLOOKUP(Assessment!#REF!,Inherited!A:A,Inherited!D:D)))+(((100-(_xlfn.XLOOKUP(Assessment!#REF!,Inherited!A:A,Inherited!B:B)))/100)*IF(Y21="1.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(100%)","100"))))))&gt;=66,(((_xlfn.XLOOKUP(Assessment!#REF!,Inherited!A:A,Inherited!B:B))/100)*(_xlfn.XLOOKUP(Assessment!#REF!,Inherited!A:A,Inherited!D:D)))+(((100-(_xlfn.XLOOKUP(Assessment!#REF!,Inherited!A:A,Inherited!B:B)))/100)*IF(Y21="1.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(100%)","100"))))))&lt;=89),"75",IF((((_xlfn.XLOOKUP(Assessment!#REF!,Inherited!A:A,Inherited!B:B))/100)*(_xlfn.XLOOKUP(Assessment!#REF!,Inherited!A:A,Inherited!D:D)))+(((100-(_xlfn.XLOOKUP(Assessment!#REF!,Inherited!A:A,Inherited!B:B)))/100)*IF(Y21="1. Non Compliant (0%)","0",IF(Y21="2. Somewhat Compliant (25%)","25",IF(Y21="3. Partially Compliant (50%)","50",IF(Y21="4. Mostly Compliant (75%)","75",IF(Y21="5. Fully Compliant (100%)","100"))))))&gt;=90,"100"))))))</f>
        <v>#N/A</v>
      </c>
      <c r="S21" s="1" t="e">
        <f>IF(MATCH(H21,Inherited!A:A),IF((((_xlfn.XLOOKUP(Assessment!#REF!,Inherited!A:A,Inherited!B:B))/100)*(_xlfn.XLOOKUP(Assessment!#REF!,Inherited!A:A,Inherited!E:E)))+(((100-(_xlfn.XLOOKUP(Assessment!#REF!,Inherited!A:A,Inherited!B:B)))/100)*IF(Z21="1.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(100%)","100"))))))&lt;=10,"0", IF(AND((((_xlfn.XLOOKUP(Assessment!#REF!,Inherited!A:A,Inherited!B:B))/100)*(_xlfn.XLOOKUP(Assessment!#REF!,Inherited!A:A,Inherited!E:E)))+(((100-(_xlfn.XLOOKUP(Assessment!#REF!,Inherited!A:A,Inherited!B:B)))/100)*IF(Z21="1.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(100%)","100"))))))&gt;=11,(((_xlfn.XLOOKUP(Assessment!#REF!,Inherited!A:A,Inherited!B:B))/100)*(_xlfn.XLOOKUP(Assessment!#REF!,Inherited!A:A,Inherited!E:E)))+(((100-(_xlfn.XLOOKUP(Assessment!#REF!,Inherited!A:A,Inherited!B:B)))/100)*IF(Z21="1.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(100%)","100"))))))&lt;=32),"25",IF(AND((((_xlfn.XLOOKUP(Assessment!#REF!,Inherited!A:A,Inherited!B:B))/100)*(_xlfn.XLOOKUP(Assessment!#REF!,Inherited!A:A,Inherited!E:E)))+(((100-(_xlfn.XLOOKUP(Assessment!#REF!,Inherited!A:A,Inherited!B:B)))/100)*IF(Z21="1.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(100%)","100"))))))&gt;=33,(((_xlfn.XLOOKUP(Assessment!#REF!,Inherited!A:A,Inherited!B:B))/100)*(_xlfn.XLOOKUP(Assessment!#REF!,Inherited!A:A,Inherited!E:E)))+(((100-(_xlfn.XLOOKUP(Assessment!#REF!,Inherited!A:A,Inherited!B:B)))/100)*IF(Z21="1.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(100%)","100"))))))&lt;=65),"50",IF(AND((((_xlfn.XLOOKUP(Assessment!#REF!,Inherited!A:A,Inherited!B:B))/100)*(_xlfn.XLOOKUP(Assessment!#REF!,Inherited!A:A,Inherited!E:E)))+(((100-(_xlfn.XLOOKUP(Assessment!#REF!,Inherited!A:A,Inherited!B:B)))/100)*IF(Z21="1.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(100%)","100"))))))&gt;=66,(((_xlfn.XLOOKUP(Assessment!#REF!,Inherited!A:A,Inherited!B:B))/100)*(_xlfn.XLOOKUP(Assessment!#REF!,Inherited!A:A,Inherited!E:E)))+(((100-(_xlfn.XLOOKUP(Assessment!#REF!,Inherited!A:A,Inherited!B:B)))/100)*IF(Z21="1.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(100%)","100"))))))&lt;=89),"75",IF((((_xlfn.XLOOKUP(Assessment!#REF!,Inherited!A:A,Inherited!B:B))/100)*(_xlfn.XLOOKUP(Assessment!#REF!,Inherited!A:A,Inherited!E:E)))+(((100-(_xlfn.XLOOKUP(Assessment!#REF!,Inherited!A:A,Inherited!B:B)))/100)*IF(Z21="1. Non Compliant (0%)","0",IF(Z21="2. Somewhat Compliant (25%)","25",IF(Z21="3. Partially Compliant (50%)","50",IF(Z21="4. Mostly Compliant (75%)","75",IF(Z21="5. Fully Compliant (100%)","100"))))))&gt;=90,"100"))))))</f>
        <v>#N/A</v>
      </c>
      <c r="T21" s="1" t="e">
        <f>IF(MATCH(H21,Inherited!A:A),IF((((_xlfn.XLOOKUP(Assessment!#REF!,Inherited!A:A,Inherited!B:B))/100)*(_xlfn.XLOOKUP(Assessment!#REF!,Inherited!A:A,Inherited!F:F)))+(((100-(_xlfn.XLOOKUP(Assessment!#REF!,Inherited!A:A,Inherited!B:B)))/100)*IF(AA21="1.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(100%)","100"))))))&lt;=10,"0", IF(AND((((_xlfn.XLOOKUP(Assessment!#REF!,Inherited!A:A,Inherited!B:B))/100)*(_xlfn.XLOOKUP(Assessment!#REF!,Inherited!A:A,Inherited!F:F)))+(((100-(_xlfn.XLOOKUP(Assessment!#REF!,Inherited!A:A,Inherited!B:B)))/100)*IF(AA21="1.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(100%)","100"))))))&gt;=11,(((_xlfn.XLOOKUP(Assessment!#REF!,Inherited!A:A,Inherited!B:B))/100)*(_xlfn.XLOOKUP(Assessment!#REF!,Inherited!A:A,Inherited!F:F)))+(((100-(_xlfn.XLOOKUP(Assessment!#REF!,Inherited!A:A,Inherited!B:B)))/100)*IF(AA21="1.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(100%)","100"))))))&lt;=32),"25",IF(AND((((_xlfn.XLOOKUP(Assessment!#REF!,Inherited!A:A,Inherited!B:B))/100)*(_xlfn.XLOOKUP(Assessment!#REF!,Inherited!A:A,Inherited!F:F)))+(((100-(_xlfn.XLOOKUP(Assessment!#REF!,Inherited!A:A,Inherited!B:B)))/100)*IF(AA21="1.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(100%)","100"))))))&gt;=33,(((_xlfn.XLOOKUP(Assessment!#REF!,Inherited!A:A,Inherited!B:B))/100)*(_xlfn.XLOOKUP(Assessment!#REF!,Inherited!A:A,Inherited!F:F)))+(((100-(_xlfn.XLOOKUP(Assessment!#REF!,Inherited!A:A,Inherited!B:B)))/100)*IF(AA21="1.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(100%)","100"))))))&lt;=65),"50",IF(AND((((_xlfn.XLOOKUP(Assessment!#REF!,Inherited!A:A,Inherited!B:B))/100)*(_xlfn.XLOOKUP(Assessment!#REF!,Inherited!A:A,Inherited!F:F)))+(((100-(_xlfn.XLOOKUP(Assessment!#REF!,Inherited!A:A,Inherited!B:B)))/100)*IF(AA21="1.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(100%)","100"))))))&gt;=66,(((_xlfn.XLOOKUP(Assessment!#REF!,Inherited!A:A,Inherited!B:B))/100)*(_xlfn.XLOOKUP(Assessment!#REF!,Inherited!A:A,Inherited!F:F)))+(((100-(_xlfn.XLOOKUP(Assessment!#REF!,Inherited!A:A,Inherited!B:B)))/100)*IF(AA21="1.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(100%)","100"))))))&lt;=89),"75",IF((((_xlfn.XLOOKUP(Assessment!#REF!,Inherited!A:A,Inherited!B:B))/100)*(_xlfn.XLOOKUP(Assessment!#REF!,Inherited!A:A,Inherited!F:F)))+(((100-(_xlfn.XLOOKUP(Assessment!#REF!,Inherited!A:A,Inherited!B:B)))/100)*IF(AA21="1. Non Compliant (0%)","0",IF(AA21="2. Somewhat Compliant (25%)","25",IF(AA21="3. Partially Compliant (50%)","50",IF(AA21="4. Mostly Compliant (75%)","75",IF(AA21="5. Fully Compliant (100%)","100"))))))&gt;=90,"100"))))))</f>
        <v>#N/A</v>
      </c>
      <c r="U21" s="1" t="e">
        <f>IF(MATCH(H21,Inherited!A:A),IF((((_xlfn.XLOOKUP(Assessment!#REF!,Inherited!A:A,Inherited!B:B))/100)*(_xlfn.XLOOKUP(Assessment!#REF!,Inherited!A:A,Inherited!G:G)))+(((100-(_xlfn.XLOOKUP(Assessment!#REF!,Inherited!A:A,Inherited!B:B)))/100)*IF(AB21="1.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(100%)","100"))))))&lt;=10,"0", IF(AND((((_xlfn.XLOOKUP(Assessment!#REF!,Inherited!A:A,Inherited!B:B))/100)*(_xlfn.XLOOKUP(Assessment!#REF!,Inherited!A:A,Inherited!G:G)))+(((100-(_xlfn.XLOOKUP(Assessment!#REF!,Inherited!A:A,Inherited!B:B)))/100)*IF(AB21="1.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(100%)","100"))))))&gt;=11,(((_xlfn.XLOOKUP(Assessment!#REF!,Inherited!A:A,Inherited!B:B))/100)*(_xlfn.XLOOKUP(Assessment!#REF!,Inherited!A:A,Inherited!G:G)))+(((100-(_xlfn.XLOOKUP(Assessment!#REF!,Inherited!A:A,Inherited!B:B)))/100)*IF(AB21="1.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(100%)","100"))))))&lt;=32),"25",IF(AND((((_xlfn.XLOOKUP(Assessment!#REF!,Inherited!A:A,Inherited!B:B))/100)*(_xlfn.XLOOKUP(Assessment!#REF!,Inherited!A:A,Inherited!G:G)))+(((100-(_xlfn.XLOOKUP(Assessment!#REF!,Inherited!A:A,Inherited!B:B)))/100)*IF(AB21="1.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(100%)","100"))))))&gt;=33,(((_xlfn.XLOOKUP(Assessment!#REF!,Inherited!A:A,Inherited!B:B))/100)*(_xlfn.XLOOKUP(Assessment!#REF!,Inherited!A:A,Inherited!G:G)))+(((100-(_xlfn.XLOOKUP(Assessment!#REF!,Inherited!A:A,Inherited!B:B)))/100)*IF(AB21="1.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(100%)","100"))))))&lt;=65),"50",IF(AND((((_xlfn.XLOOKUP(Assessment!#REF!,Inherited!A:A,Inherited!B:B))/100)*(_xlfn.XLOOKUP(Assessment!#REF!,Inherited!A:A,Inherited!G:G)))+(((100-(_xlfn.XLOOKUP(Assessment!#REF!,Inherited!A:A,Inherited!B:B)))/100)*IF(AB21="1.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(100%)","100"))))))&gt;=66,(((_xlfn.XLOOKUP(Assessment!#REF!,Inherited!A:A,Inherited!B:B))/100)*(_xlfn.XLOOKUP(Assessment!#REF!,Inherited!A:A,Inherited!G:G)))+(((100-(_xlfn.XLOOKUP(Assessment!#REF!,Inherited!A:A,Inherited!B:B)))/100)*IF(AB21="1.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(100%)","100"))))))&lt;=89),"75",IF((((_xlfn.XLOOKUP(Assessment!#REF!,Inherited!A:A,Inherited!B:B))/100)*(_xlfn.XLOOKUP(Assessment!#REF!,Inherited!A:A,Inherited!G:G)))+(((100-(_xlfn.XLOOKUP(Assessment!#REF!,Inherited!A:A,Inherited!B:B)))/100)*IF(AB21="1. Non Compliant (0%)","0",IF(AB21="2. Somewhat Compliant (25%)","25",IF(AB21="3. Partially Compliant (50%)","50",IF(AB21="4. Mostly Compliant (75%)","75",IF(AB21="5. Fully Compliant (100%)","100"))))))&gt;=90,"100"))))))</f>
        <v>#N/A</v>
      </c>
      <c r="V21" s="55" t="s">
        <v>85</v>
      </c>
      <c r="W21" s="55"/>
      <c r="X21" s="55"/>
      <c r="Y21" s="55"/>
      <c r="Z21" s="55" t="s">
        <v>86</v>
      </c>
      <c r="AA21" s="55"/>
      <c r="AB21" s="55"/>
      <c r="AK21" s="1" t="s">
        <v>10891</v>
      </c>
      <c r="AL21" s="1" t="s">
        <v>10929</v>
      </c>
      <c r="AM21" s="1" t="s">
        <v>10896</v>
      </c>
      <c r="AX21" s="3" t="str">
        <f>_xlfn.CONCAT("A-LIGN finished its review of this control on ",AR21, " during the scheduled fieldwork window (",Intro!$B$4,")."&amp; CHAR(10)&amp; CHAR(10))</f>
        <v xml:space="preserve">A-LIGN finished its review of this control on  during the scheduled fieldwork window (Fieldwork: xx/xx/xxxx - xx/xx/xxxx).
</v>
      </c>
      <c r="AY21" s="3" t="str">
        <f t="shared" si="41"/>
        <v/>
      </c>
      <c r="AZ21" s="3" t="str">
        <f t="shared" si="42"/>
        <v/>
      </c>
      <c r="BA21" s="3" t="str">
        <f t="shared" si="43"/>
        <v/>
      </c>
      <c r="BB21" s="3" t="str">
        <f t="shared" si="44"/>
        <v xml:space="preserve">Inquired of the following workforce member: 
Matthew Macaluso - Director of System Operations
Roze Nicolas - Director of TechOps
Inquiry lead to the following conclusions: 
Portable and removable media is NOT currently restricted. The organization is thinking of using MDM's in use like Kandji and Intune to enforce this.
Right now, SentinelOne is configured to scan removable media like USB's inserted into laptops.
Alerting within  SentinelOne is configured to send emails to the Director of TechOps. Tickets within the ticketing system, Fresh Service, are also created based on alerts generated
</v>
      </c>
      <c r="BC21" s="3" t="str">
        <f t="shared" si="45"/>
        <v xml:space="preserve">Observed the following live during fieldwork: 
Observed SentinelOne "Alert Configurations" which demonstrated that alerts are sent to Director of TechOps and the ticketing system (in the future this will be Jira)
Observed an example ticket considering a SentinelOne alert demonstrating that alerts are sent to the appropriate personnel
</v>
      </c>
      <c r="BD21" s="3" t="str">
        <f t="shared" si="46"/>
        <v xml:space="preserve">Examined the following evidence during fieldwork:
Reviewed evidence addressed the requirement statement.
</v>
      </c>
      <c r="BE21" s="3" t="str">
        <f t="shared" si="47"/>
        <v/>
      </c>
      <c r="BF21" s="3" t="str">
        <f t="shared" si="48"/>
        <v/>
      </c>
      <c r="BG21" s="3" t="str">
        <f>_xlfn.CONCAT((IF((COUNTIF('Sample Tables'!B:B,"Test 045: Endpoint Device (BYOD)")&gt;0)=TRUE,_xlfn.CONCAT("Sample test results are documented in ",'Sample Tables'!B491," [",'Sample Tables'!B492,", ",'Sample Tables'!B493,", ",'Sample Tables'!B494,", ",'Sample Tables'!B495,", ",'Sample Tables'!B496,"]."&amp;CHAR(10)),IF((COUNTIF('Sample Tables'!B:B,"Test 045: Endpoint Device (BYOD)")&gt;0)=FALSE,""))),(IF((COUNTIF('Sample Tables'!B:B,"Test 050: Endpoint Device (laptop)")&gt;0)=TRUE,_xlfn.CONCAT("Sample test results are documented in ",'Sample Tables'!B546," [",'Sample Tables'!B547,", ",'Sample Tables'!B548,", ",'Sample Tables'!B549,", ",'Sample Tables'!B550,", ",'Sample Tables'!B551,"]."&amp;CHAR(10)),IF((COUNTIF('Sample Tables'!B:B,"Test 050: Endpoint Device (laptop)")&gt;0)=FALSE,""))),(IF((COUNTIF('Sample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058: Endpoint Device (workstation)")&gt;0)=TRUE,_xlfn.CONCAT("Sample test results are documented in ",'Sample Tables'!B634," [",'Sample Tables'!B635,", ",'Sample Tables'!B636,", ",'Sample Tables'!B637,", ",'Sample Tables'!B638,", ",'Sample Tables'!B639,"]."&amp;CHAR(10)),IF((COUNTIF('Sample Tables'!B:B,"Test 058: Endpoint Device (workstation)")&gt;0)=FALSE,""))),)</f>
        <v xml:space="preserve">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c r="BH21" s="3" t="str">
        <f t="shared" si="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Portable and removable media is NOT currently restricted. The organization is thinking of using MDM's in use like Kandji and Intune to enforce this.
Right now, SentinelOne is configured to scan removable media like USB's inserted into laptops.
Alerting within  SentinelOne is configured to send emails to the Director of TechOps. Tickets within the ticketing system, Fresh Service, are also created based on alerts generated
Observed the following live during fieldwork: 
Observed SentinelOne "Alert Configurations" which demonstrated that alerts are sent to Director of TechOps and the ticketing system (in the future this will be Jira)
Observed an example ticket considering a SentinelOne alert demonstrating that alerts are sent to the appropriate personnel
Examined the following evidence during fieldwork:
Reviewed evidence addressed the requirement statement.
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row>
    <row r="22" spans="3:60" ht="409.5" x14ac:dyDescent="0.35">
      <c r="C22" s="1">
        <f t="shared" si="40"/>
        <v>40</v>
      </c>
      <c r="D22" s="5" t="str">
        <f>IF(AND((_xlfn.XLOOKUP(J22,'Fields &amp; Revisions'!$H:$H,'Fields &amp; Revisions'!$I:$I))&lt;70.99,(OR(Z22="4. Mostly Compliant (75%)",Z22="3. Partially Compliant (50%)",Z22="2. Somewhat Compliant (25%)",Z22="1. Non Compliant (0%)"))),"Yes","No")</f>
        <v>No</v>
      </c>
      <c r="E22" s="5" t="str">
        <f>IF(ISERROR(VLOOKUP(H22,Scope!A:A,1,FALSE)),"No","Yes")</f>
        <v>Yes</v>
      </c>
      <c r="F22" s="1" t="s">
        <v>632</v>
      </c>
      <c r="G22" s="53" t="s">
        <v>741</v>
      </c>
      <c r="H22" s="53" t="s">
        <v>742</v>
      </c>
      <c r="I22" s="5">
        <v>1</v>
      </c>
      <c r="J22" s="1" t="s">
        <v>662</v>
      </c>
      <c r="K22" s="1" t="s">
        <v>743</v>
      </c>
      <c r="L22" s="1" t="s">
        <v>744</v>
      </c>
      <c r="M22" s="1" t="s">
        <v>677</v>
      </c>
      <c r="N22" s="5" t="s">
        <v>85</v>
      </c>
      <c r="O22" s="1" t="str">
        <f>_xlfn.XLOOKUP(G22,SRMs!$A:$A,SRMs!$D:$D)</f>
        <v>PARTIAL INHERITANCE</v>
      </c>
      <c r="P22" s="1" t="str">
        <f>IFERROR(VLOOKUP(H22,Inherited!A:B,2,FALSE),"")</f>
        <v/>
      </c>
      <c r="Q22" s="1" t="e">
        <f>IF(MATCH(H22,Inherited!A:A),IF((((_xlfn.XLOOKUP(Assessment!#REF!,Inherited!A:A,Inherited!B:B))/100)*(_xlfn.XLOOKUP(Assessment!#REF!,Inherited!A:A,Inherited!C:C)))+(((100-(_xlfn.XLOOKUP(Assessment!#REF!,Inherited!A:A,Inherited!B:B)))/100)*IF(X22="1.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(100%)","100"))))))&lt;=10,"0", IF(AND((((_xlfn.XLOOKUP(Assessment!#REF!,Inherited!A:A,Inherited!B:B))/100)*(_xlfn.XLOOKUP(Assessment!#REF!,Inherited!A:A,Inherited!C:C)))+(((100-(_xlfn.XLOOKUP(Assessment!#REF!,Inherited!A:A,Inherited!B:B)))/100)*IF(X22="1.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(100%)","100"))))))&gt;=11,(((_xlfn.XLOOKUP(Assessment!#REF!,Inherited!A:A,Inherited!B:B))/100)*(_xlfn.XLOOKUP(Assessment!#REF!,Inherited!A:A,Inherited!C:C)))+(((100-(_xlfn.XLOOKUP(Assessment!#REF!,Inherited!A:A,Inherited!B:B)))/100)*IF(X22="1.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(100%)","100"))))))&lt;=32),"25",IF(AND((((_xlfn.XLOOKUP(Assessment!#REF!,Inherited!A:A,Inherited!B:B))/100)*(_xlfn.XLOOKUP(Assessment!#REF!,Inherited!A:A,Inherited!C:C)))+(((100-(_xlfn.XLOOKUP(Assessment!#REF!,Inherited!A:A,Inherited!B:B)))/100)*IF(X22="1.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(100%)","100"))))))&gt;=33,(((_xlfn.XLOOKUP(Assessment!#REF!,Inherited!A:A,Inherited!B:B))/100)*(_xlfn.XLOOKUP(Assessment!#REF!,Inherited!A:A,Inherited!C:C)))+(((100-(_xlfn.XLOOKUP(Assessment!#REF!,Inherited!A:A,Inherited!B:B)))/100)*IF(X22="1.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(100%)","100"))))))&lt;=65),"50",IF(AND((((_xlfn.XLOOKUP(Assessment!#REF!,Inherited!A:A,Inherited!B:B))/100)*(_xlfn.XLOOKUP(Assessment!#REF!,Inherited!A:A,Inherited!C:C)))+(((100-(_xlfn.XLOOKUP(Assessment!#REF!,Inherited!A:A,Inherited!B:B)))/100)*IF(X22="1.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(100%)","100"))))))&gt;=66,(((_xlfn.XLOOKUP(Assessment!#REF!,Inherited!A:A,Inherited!B:B))/100)*(_xlfn.XLOOKUP(Assessment!#REF!,Inherited!A:A,Inherited!C:C)))+(((100-(_xlfn.XLOOKUP(Assessment!#REF!,Inherited!A:A,Inherited!B:B)))/100)*IF(X22="1.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(100%)","100"))))))&lt;=89),"75",IF((((_xlfn.XLOOKUP(Assessment!#REF!,Inherited!A:A,Inherited!B:B))/100)*(_xlfn.XLOOKUP(Assessment!#REF!,Inherited!A:A,Inherited!C:C)))+(((100-(_xlfn.XLOOKUP(Assessment!#REF!,Inherited!A:A,Inherited!B:B)))/100)*IF(X22="1. Non Compliant (0%)","0",IF(X22="2. Somewhat Compliant (25%)","25",IF(X22="3. Partially Compliant (50%)","50",IF(X22="4. Mostly Compliant (75%)","75",IF(X22="5. Fully Compliant (100%)","100"))))))&gt;=90,"100"))))))</f>
        <v>#N/A</v>
      </c>
      <c r="R22" s="1" t="e">
        <f>IF(MATCH(H22,Inherited!A:A),IF((((_xlfn.XLOOKUP(Assessment!#REF!,Inherited!A:A,Inherited!B:B))/100)*(_xlfn.XLOOKUP(Assessment!#REF!,Inherited!A:A,Inherited!D:D)))+(((100-(_xlfn.XLOOKUP(Assessment!#REF!,Inherited!A:A,Inherited!B:B)))/100)*IF(Y22="1.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(100%)","100"))))))&lt;=10,"0", IF(AND((((_xlfn.XLOOKUP(Assessment!#REF!,Inherited!A:A,Inherited!B:B))/100)*(_xlfn.XLOOKUP(Assessment!#REF!,Inherited!A:A,Inherited!D:D)))+(((100-(_xlfn.XLOOKUP(Assessment!#REF!,Inherited!A:A,Inherited!B:B)))/100)*IF(Y22="1.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(100%)","100"))))))&gt;=11,(((_xlfn.XLOOKUP(Assessment!#REF!,Inherited!A:A,Inherited!B:B))/100)*(_xlfn.XLOOKUP(Assessment!#REF!,Inherited!A:A,Inherited!D:D)))+(((100-(_xlfn.XLOOKUP(Assessment!#REF!,Inherited!A:A,Inherited!B:B)))/100)*IF(Y22="1.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(100%)","100"))))))&lt;=32),"25",IF(AND((((_xlfn.XLOOKUP(Assessment!#REF!,Inherited!A:A,Inherited!B:B))/100)*(_xlfn.XLOOKUP(Assessment!#REF!,Inherited!A:A,Inherited!D:D)))+(((100-(_xlfn.XLOOKUP(Assessment!#REF!,Inherited!A:A,Inherited!B:B)))/100)*IF(Y22="1.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(100%)","100"))))))&gt;=33,(((_xlfn.XLOOKUP(Assessment!#REF!,Inherited!A:A,Inherited!B:B))/100)*(_xlfn.XLOOKUP(Assessment!#REF!,Inherited!A:A,Inherited!D:D)))+(((100-(_xlfn.XLOOKUP(Assessment!#REF!,Inherited!A:A,Inherited!B:B)))/100)*IF(Y22="1.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(100%)","100"))))))&lt;=65),"50",IF(AND((((_xlfn.XLOOKUP(Assessment!#REF!,Inherited!A:A,Inherited!B:B))/100)*(_xlfn.XLOOKUP(Assessment!#REF!,Inherited!A:A,Inherited!D:D)))+(((100-(_xlfn.XLOOKUP(Assessment!#REF!,Inherited!A:A,Inherited!B:B)))/100)*IF(Y22="1.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(100%)","100"))))))&gt;=66,(((_xlfn.XLOOKUP(Assessment!#REF!,Inherited!A:A,Inherited!B:B))/100)*(_xlfn.XLOOKUP(Assessment!#REF!,Inherited!A:A,Inherited!D:D)))+(((100-(_xlfn.XLOOKUP(Assessment!#REF!,Inherited!A:A,Inherited!B:B)))/100)*IF(Y22="1.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(100%)","100"))))))&lt;=89),"75",IF((((_xlfn.XLOOKUP(Assessment!#REF!,Inherited!A:A,Inherited!B:B))/100)*(_xlfn.XLOOKUP(Assessment!#REF!,Inherited!A:A,Inherited!D:D)))+(((100-(_xlfn.XLOOKUP(Assessment!#REF!,Inherited!A:A,Inherited!B:B)))/100)*IF(Y22="1. Non Compliant (0%)","0",IF(Y22="2. Somewhat Compliant (25%)","25",IF(Y22="3. Partially Compliant (50%)","50",IF(Y22="4. Mostly Compliant (75%)","75",IF(Y22="5. Fully Compliant (100%)","100"))))))&gt;=90,"100"))))))</f>
        <v>#N/A</v>
      </c>
      <c r="S22" s="1" t="e">
        <f>IF(MATCH(H22,Inherited!A:A),IF((((_xlfn.XLOOKUP(Assessment!#REF!,Inherited!A:A,Inherited!B:B))/100)*(_xlfn.XLOOKUP(Assessment!#REF!,Inherited!A:A,Inherited!E:E)))+(((100-(_xlfn.XLOOKUP(Assessment!#REF!,Inherited!A:A,Inherited!B:B)))/100)*IF(Z22="1.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(100%)","100"))))))&lt;=10,"0", IF(AND((((_xlfn.XLOOKUP(Assessment!#REF!,Inherited!A:A,Inherited!B:B))/100)*(_xlfn.XLOOKUP(Assessment!#REF!,Inherited!A:A,Inherited!E:E)))+(((100-(_xlfn.XLOOKUP(Assessment!#REF!,Inherited!A:A,Inherited!B:B)))/100)*IF(Z22="1.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(100%)","100"))))))&gt;=11,(((_xlfn.XLOOKUP(Assessment!#REF!,Inherited!A:A,Inherited!B:B))/100)*(_xlfn.XLOOKUP(Assessment!#REF!,Inherited!A:A,Inherited!E:E)))+(((100-(_xlfn.XLOOKUP(Assessment!#REF!,Inherited!A:A,Inherited!B:B)))/100)*IF(Z22="1.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(100%)","100"))))))&lt;=32),"25",IF(AND((((_xlfn.XLOOKUP(Assessment!#REF!,Inherited!A:A,Inherited!B:B))/100)*(_xlfn.XLOOKUP(Assessment!#REF!,Inherited!A:A,Inherited!E:E)))+(((100-(_xlfn.XLOOKUP(Assessment!#REF!,Inherited!A:A,Inherited!B:B)))/100)*IF(Z22="1.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(100%)","100"))))))&gt;=33,(((_xlfn.XLOOKUP(Assessment!#REF!,Inherited!A:A,Inherited!B:B))/100)*(_xlfn.XLOOKUP(Assessment!#REF!,Inherited!A:A,Inherited!E:E)))+(((100-(_xlfn.XLOOKUP(Assessment!#REF!,Inherited!A:A,Inherited!B:B)))/100)*IF(Z22="1.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(100%)","100"))))))&lt;=65),"50",IF(AND((((_xlfn.XLOOKUP(Assessment!#REF!,Inherited!A:A,Inherited!B:B))/100)*(_xlfn.XLOOKUP(Assessment!#REF!,Inherited!A:A,Inherited!E:E)))+(((100-(_xlfn.XLOOKUP(Assessment!#REF!,Inherited!A:A,Inherited!B:B)))/100)*IF(Z22="1.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(100%)","100"))))))&gt;=66,(((_xlfn.XLOOKUP(Assessment!#REF!,Inherited!A:A,Inherited!B:B))/100)*(_xlfn.XLOOKUP(Assessment!#REF!,Inherited!A:A,Inherited!E:E)))+(((100-(_xlfn.XLOOKUP(Assessment!#REF!,Inherited!A:A,Inherited!B:B)))/100)*IF(Z22="1.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(100%)","100"))))))&lt;=89),"75",IF((((_xlfn.XLOOKUP(Assessment!#REF!,Inherited!A:A,Inherited!B:B))/100)*(_xlfn.XLOOKUP(Assessment!#REF!,Inherited!A:A,Inherited!E:E)))+(((100-(_xlfn.XLOOKUP(Assessment!#REF!,Inherited!A:A,Inherited!B:B)))/100)*IF(Z22="1. Non Compliant (0%)","0",IF(Z22="2. Somewhat Compliant (25%)","25",IF(Z22="3. Partially Compliant (50%)","50",IF(Z22="4. Mostly Compliant (75%)","75",IF(Z22="5. Fully Compliant (100%)","100"))))))&gt;=90,"100"))))))</f>
        <v>#N/A</v>
      </c>
      <c r="T22" s="1" t="e">
        <f>IF(MATCH(H22,Inherited!A:A),IF((((_xlfn.XLOOKUP(Assessment!#REF!,Inherited!A:A,Inherited!B:B))/100)*(_xlfn.XLOOKUP(Assessment!#REF!,Inherited!A:A,Inherited!F:F)))+(((100-(_xlfn.XLOOKUP(Assessment!#REF!,Inherited!A:A,Inherited!B:B)))/100)*IF(AA22="1.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(100%)","100"))))))&lt;=10,"0", IF(AND((((_xlfn.XLOOKUP(Assessment!#REF!,Inherited!A:A,Inherited!B:B))/100)*(_xlfn.XLOOKUP(Assessment!#REF!,Inherited!A:A,Inherited!F:F)))+(((100-(_xlfn.XLOOKUP(Assessment!#REF!,Inherited!A:A,Inherited!B:B)))/100)*IF(AA22="1.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(100%)","100"))))))&gt;=11,(((_xlfn.XLOOKUP(Assessment!#REF!,Inherited!A:A,Inherited!B:B))/100)*(_xlfn.XLOOKUP(Assessment!#REF!,Inherited!A:A,Inherited!F:F)))+(((100-(_xlfn.XLOOKUP(Assessment!#REF!,Inherited!A:A,Inherited!B:B)))/100)*IF(AA22="1.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(100%)","100"))))))&lt;=32),"25",IF(AND((((_xlfn.XLOOKUP(Assessment!#REF!,Inherited!A:A,Inherited!B:B))/100)*(_xlfn.XLOOKUP(Assessment!#REF!,Inherited!A:A,Inherited!F:F)))+(((100-(_xlfn.XLOOKUP(Assessment!#REF!,Inherited!A:A,Inherited!B:B)))/100)*IF(AA22="1.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(100%)","100"))))))&gt;=33,(((_xlfn.XLOOKUP(Assessment!#REF!,Inherited!A:A,Inherited!B:B))/100)*(_xlfn.XLOOKUP(Assessment!#REF!,Inherited!A:A,Inherited!F:F)))+(((100-(_xlfn.XLOOKUP(Assessment!#REF!,Inherited!A:A,Inherited!B:B)))/100)*IF(AA22="1.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(100%)","100"))))))&lt;=65),"50",IF(AND((((_xlfn.XLOOKUP(Assessment!#REF!,Inherited!A:A,Inherited!B:B))/100)*(_xlfn.XLOOKUP(Assessment!#REF!,Inherited!A:A,Inherited!F:F)))+(((100-(_xlfn.XLOOKUP(Assessment!#REF!,Inherited!A:A,Inherited!B:B)))/100)*IF(AA22="1.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(100%)","100"))))))&gt;=66,(((_xlfn.XLOOKUP(Assessment!#REF!,Inherited!A:A,Inherited!B:B))/100)*(_xlfn.XLOOKUP(Assessment!#REF!,Inherited!A:A,Inherited!F:F)))+(((100-(_xlfn.XLOOKUP(Assessment!#REF!,Inherited!A:A,Inherited!B:B)))/100)*IF(AA22="1.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(100%)","100"))))))&lt;=89),"75",IF((((_xlfn.XLOOKUP(Assessment!#REF!,Inherited!A:A,Inherited!B:B))/100)*(_xlfn.XLOOKUP(Assessment!#REF!,Inherited!A:A,Inherited!F:F)))+(((100-(_xlfn.XLOOKUP(Assessment!#REF!,Inherited!A:A,Inherited!B:B)))/100)*IF(AA22="1. Non Compliant (0%)","0",IF(AA22="2. Somewhat Compliant (25%)","25",IF(AA22="3. Partially Compliant (50%)","50",IF(AA22="4. Mostly Compliant (75%)","75",IF(AA22="5. Fully Compliant (100%)","100"))))))&gt;=90,"100"))))))</f>
        <v>#N/A</v>
      </c>
      <c r="U22" s="1" t="e">
        <f>IF(MATCH(H22,Inherited!A:A),IF((((_xlfn.XLOOKUP(Assessment!#REF!,Inherited!A:A,Inherited!B:B))/100)*(_xlfn.XLOOKUP(Assessment!#REF!,Inherited!A:A,Inherited!G:G)))+(((100-(_xlfn.XLOOKUP(Assessment!#REF!,Inherited!A:A,Inherited!B:B)))/100)*IF(AB22="1.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(100%)","100"))))))&lt;=10,"0", IF(AND((((_xlfn.XLOOKUP(Assessment!#REF!,Inherited!A:A,Inherited!B:B))/100)*(_xlfn.XLOOKUP(Assessment!#REF!,Inherited!A:A,Inherited!G:G)))+(((100-(_xlfn.XLOOKUP(Assessment!#REF!,Inherited!A:A,Inherited!B:B)))/100)*IF(AB22="1.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(100%)","100"))))))&gt;=11,(((_xlfn.XLOOKUP(Assessment!#REF!,Inherited!A:A,Inherited!B:B))/100)*(_xlfn.XLOOKUP(Assessment!#REF!,Inherited!A:A,Inherited!G:G)))+(((100-(_xlfn.XLOOKUP(Assessment!#REF!,Inherited!A:A,Inherited!B:B)))/100)*IF(AB22="1.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(100%)","100"))))))&lt;=32),"25",IF(AND((((_xlfn.XLOOKUP(Assessment!#REF!,Inherited!A:A,Inherited!B:B))/100)*(_xlfn.XLOOKUP(Assessment!#REF!,Inherited!A:A,Inherited!G:G)))+(((100-(_xlfn.XLOOKUP(Assessment!#REF!,Inherited!A:A,Inherited!B:B)))/100)*IF(AB22="1.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(100%)","100"))))))&gt;=33,(((_xlfn.XLOOKUP(Assessment!#REF!,Inherited!A:A,Inherited!B:B))/100)*(_xlfn.XLOOKUP(Assessment!#REF!,Inherited!A:A,Inherited!G:G)))+(((100-(_xlfn.XLOOKUP(Assessment!#REF!,Inherited!A:A,Inherited!B:B)))/100)*IF(AB22="1.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(100%)","100"))))))&lt;=65),"50",IF(AND((((_xlfn.XLOOKUP(Assessment!#REF!,Inherited!A:A,Inherited!B:B))/100)*(_xlfn.XLOOKUP(Assessment!#REF!,Inherited!A:A,Inherited!G:G)))+(((100-(_xlfn.XLOOKUP(Assessment!#REF!,Inherited!A:A,Inherited!B:B)))/100)*IF(AB22="1.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(100%)","100"))))))&gt;=66,(((_xlfn.XLOOKUP(Assessment!#REF!,Inherited!A:A,Inherited!B:B))/100)*(_xlfn.XLOOKUP(Assessment!#REF!,Inherited!A:A,Inherited!G:G)))+(((100-(_xlfn.XLOOKUP(Assessment!#REF!,Inherited!A:A,Inherited!B:B)))/100)*IF(AB22="1.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(100%)","100"))))))&lt;=89),"75",IF((((_xlfn.XLOOKUP(Assessment!#REF!,Inherited!A:A,Inherited!B:B))/100)*(_xlfn.XLOOKUP(Assessment!#REF!,Inherited!A:A,Inherited!G:G)))+(((100-(_xlfn.XLOOKUP(Assessment!#REF!,Inherited!A:A,Inherited!B:B)))/100)*IF(AB22="1. Non Compliant (0%)","0",IF(AB22="2. Somewhat Compliant (25%)","25",IF(AB22="3. Partially Compliant (50%)","50",IF(AB22="4. Mostly Compliant (75%)","75",IF(AB22="5. Fully Compliant (100%)","100"))))))&gt;=90,"100"))))))</f>
        <v>#N/A</v>
      </c>
      <c r="V22" s="55" t="s">
        <v>85</v>
      </c>
      <c r="W22" s="55"/>
      <c r="X22" s="55"/>
      <c r="Y22" s="55"/>
      <c r="Z22" s="55" t="s">
        <v>86</v>
      </c>
      <c r="AA22" s="55"/>
      <c r="AB22" s="55"/>
      <c r="AK22" s="1" t="s">
        <v>10891</v>
      </c>
      <c r="AL22" s="1" t="s">
        <v>10897</v>
      </c>
      <c r="AM22" s="84" t="s">
        <v>10898</v>
      </c>
      <c r="AX22" s="3" t="str">
        <f>_xlfn.CONCAT("A-LIGN finished its review of this control on ",AR22, " during the scheduled fieldwork window (",Intro!$B$4,")."&amp; CHAR(10)&amp; CHAR(10))</f>
        <v xml:space="preserve">A-LIGN finished its review of this control on  during the scheduled fieldwork window (Fieldwork: xx/xx/xxxx - xx/xx/xxxx).
</v>
      </c>
      <c r="AY22" s="3" t="str">
        <f t="shared" si="41"/>
        <v/>
      </c>
      <c r="AZ22" s="3" t="str">
        <f t="shared" si="42"/>
        <v/>
      </c>
      <c r="BA22" s="3" t="str">
        <f t="shared" si="43"/>
        <v/>
      </c>
      <c r="BB22" s="3" t="str">
        <f t="shared" si="44"/>
        <v xml:space="preserve">Inquired of the following workforce member: 
Matthew Macaluso - Director of System Operations
Roze Nicolas - Director of TechOps
Inquiry lead to the following conclusions: 
Host-based firewalls on laptops are enforced through SentinelOne and Kanji
</v>
      </c>
      <c r="BC22" s="3" t="str">
        <f t="shared" si="45"/>
        <v xml:space="preserve">Observed the following live during fieldwork: 
Observed host-based firewall implemented and operating on Director of TechOps laptop
Observed Kandji configuration for the enforcement of host-based firewalls on laptops
</v>
      </c>
      <c r="BD22" s="3" t="str">
        <f t="shared" si="46"/>
        <v xml:space="preserve">Examined the following evidence during fieldwork:
Reviewed evidence addressed the requirement statement.
</v>
      </c>
      <c r="BE22" s="3" t="str">
        <f t="shared" si="47"/>
        <v/>
      </c>
      <c r="BF22" s="3" t="str">
        <f t="shared" si="48"/>
        <v/>
      </c>
      <c r="BG22" s="3" t="str">
        <f>_xlfn.CONCAT((IF((COUNTIF('Sample Tables'!B:B,"Test 045: Endpoint Device (BYOD)")&gt;0)=TRUE,_xlfn.CONCAT("Sample test results are documented in ",'Sample Tables'!B491," [",'Sample Tables'!B492,", ",'Sample Tables'!B493,", ",'Sample Tables'!B494,", ",'Sample Tables'!B495,", ",'Sample Tables'!B496,"]."&amp;CHAR(10)),IF((COUNTIF('Sample Tables'!B:B,"Test 045: Endpoint Device (BYOD)")&gt;0)=FALSE,""))),(IF((COUNTIF('Sample Tables'!B:B,"Test 050: Endpoint Device (laptop)")&gt;0)=TRUE,_xlfn.CONCAT("Sample test results are documented in ",'Sample Tables'!B546," [",'Sample Tables'!B547,", ",'Sample Tables'!B548,", ",'Sample Tables'!B549,", ",'Sample Tables'!B550,", ",'Sample Tables'!B551,"]."&amp;CHAR(10)),IF((COUNTIF('Sample Tables'!B:B,"Test 050: Endpoint Device (laptop)")&gt;0)=FALSE,""))),(IF((COUNTIF('Sample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058: Endpoint Device (workstation)")&gt;0)=TRUE,_xlfn.CONCAT("Sample test results are documented in ",'Sample Tables'!B634," [",'Sample Tables'!B635,", ",'Sample Tables'!B636,", ",'Sample Tables'!B637,", ",'Sample Tables'!B638,", ",'Sample Tables'!B639,"]."&amp;CHAR(10)),IF((COUNTIF('Sample Tables'!B:B,"Test 058: Endpoint Device (workstation)")&gt;0)=FALSE,""))),)</f>
        <v xml:space="preserve">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c r="BH22" s="3" t="str">
        <f t="shared" si="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Host-based firewalls on laptops are enforced through SentinelOne and Kanji
Observed the following live during fieldwork: 
Observed host-based firewall implemented and operating on Director of TechOps laptop
Observed Kandji configuration for the enforcement of host-based firewalls on laptops
Examined the following evidence during fieldwork:
Reviewed evidence addressed the requirement statement.
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row>
    <row r="23" spans="3:60" ht="409.5" x14ac:dyDescent="0.35">
      <c r="C23" s="1">
        <f t="shared" si="40"/>
        <v>40</v>
      </c>
      <c r="D23" s="5" t="str">
        <f>IF(AND((_xlfn.XLOOKUP(J23,'Fields &amp; Revisions'!$H:$H,'Fields &amp; Revisions'!$I:$I))&lt;70.99,(OR(Z23="4. Mostly Compliant (75%)",Z23="3. Partially Compliant (50%)",Z23="2. Somewhat Compliant (25%)",Z23="1. Non Compliant (0%)"))),"Yes","No")</f>
        <v>No</v>
      </c>
      <c r="E23" s="5" t="str">
        <f>IF(ISERROR(VLOOKUP(H23,Scope!A:A,1,FALSE)),"No","Yes")</f>
        <v>Yes</v>
      </c>
      <c r="F23" s="1" t="s">
        <v>632</v>
      </c>
      <c r="G23" s="53" t="s">
        <v>747</v>
      </c>
      <c r="H23" s="53" t="s">
        <v>748</v>
      </c>
      <c r="I23" s="5">
        <v>1</v>
      </c>
      <c r="J23" s="1" t="s">
        <v>647</v>
      </c>
      <c r="K23" s="1" t="s">
        <v>749</v>
      </c>
      <c r="L23" s="1" t="s">
        <v>750</v>
      </c>
      <c r="M23" s="1" t="s">
        <v>751</v>
      </c>
      <c r="N23" s="5" t="s">
        <v>98</v>
      </c>
      <c r="O23" s="1" t="str">
        <f>_xlfn.XLOOKUP(G23,SRMs!$A:$A,SRMs!$D:$D)</f>
        <v>PARTIAL INHERITANCE</v>
      </c>
      <c r="P23" s="1" t="str">
        <f>IFERROR(VLOOKUP(H23,Inherited!A:B,2,FALSE),"")</f>
        <v/>
      </c>
      <c r="Q23" s="1" t="e">
        <f>IF(MATCH(H23,Inherited!A:A),IF((((_xlfn.XLOOKUP(Assessment!#REF!,Inherited!A:A,Inherited!B:B))/100)*(_xlfn.XLOOKUP(Assessment!#REF!,Inherited!A:A,Inherited!C:C)))+(((100-(_xlfn.XLOOKUP(Assessment!#REF!,Inherited!A:A,Inherited!B:B)))/100)*IF(X23="1.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(100%)","100"))))))&lt;=10,"0", IF(AND((((_xlfn.XLOOKUP(Assessment!#REF!,Inherited!A:A,Inherited!B:B))/100)*(_xlfn.XLOOKUP(Assessment!#REF!,Inherited!A:A,Inherited!C:C)))+(((100-(_xlfn.XLOOKUP(Assessment!#REF!,Inherited!A:A,Inherited!B:B)))/100)*IF(X23="1.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(100%)","100"))))))&gt;=11,(((_xlfn.XLOOKUP(Assessment!#REF!,Inherited!A:A,Inherited!B:B))/100)*(_xlfn.XLOOKUP(Assessment!#REF!,Inherited!A:A,Inherited!C:C)))+(((100-(_xlfn.XLOOKUP(Assessment!#REF!,Inherited!A:A,Inherited!B:B)))/100)*IF(X23="1.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(100%)","100"))))))&lt;=32),"25",IF(AND((((_xlfn.XLOOKUP(Assessment!#REF!,Inherited!A:A,Inherited!B:B))/100)*(_xlfn.XLOOKUP(Assessment!#REF!,Inherited!A:A,Inherited!C:C)))+(((100-(_xlfn.XLOOKUP(Assessment!#REF!,Inherited!A:A,Inherited!B:B)))/100)*IF(X23="1.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(100%)","100"))))))&gt;=33,(((_xlfn.XLOOKUP(Assessment!#REF!,Inherited!A:A,Inherited!B:B))/100)*(_xlfn.XLOOKUP(Assessment!#REF!,Inherited!A:A,Inherited!C:C)))+(((100-(_xlfn.XLOOKUP(Assessment!#REF!,Inherited!A:A,Inherited!B:B)))/100)*IF(X23="1.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(100%)","100"))))))&lt;=65),"50",IF(AND((((_xlfn.XLOOKUP(Assessment!#REF!,Inherited!A:A,Inherited!B:B))/100)*(_xlfn.XLOOKUP(Assessment!#REF!,Inherited!A:A,Inherited!C:C)))+(((100-(_xlfn.XLOOKUP(Assessment!#REF!,Inherited!A:A,Inherited!B:B)))/100)*IF(X23="1.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(100%)","100"))))))&gt;=66,(((_xlfn.XLOOKUP(Assessment!#REF!,Inherited!A:A,Inherited!B:B))/100)*(_xlfn.XLOOKUP(Assessment!#REF!,Inherited!A:A,Inherited!C:C)))+(((100-(_xlfn.XLOOKUP(Assessment!#REF!,Inherited!A:A,Inherited!B:B)))/100)*IF(X23="1.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(100%)","100"))))))&lt;=89),"75",IF((((_xlfn.XLOOKUP(Assessment!#REF!,Inherited!A:A,Inherited!B:B))/100)*(_xlfn.XLOOKUP(Assessment!#REF!,Inherited!A:A,Inherited!C:C)))+(((100-(_xlfn.XLOOKUP(Assessment!#REF!,Inherited!A:A,Inherited!B:B)))/100)*IF(X23="1. Non Compliant (0%)","0",IF(X23="2. Somewhat Compliant (25%)","25",IF(X23="3. Partially Compliant (50%)","50",IF(X23="4. Mostly Compliant (75%)","75",IF(X23="5. Fully Compliant (100%)","100"))))))&gt;=90,"100"))))))</f>
        <v>#N/A</v>
      </c>
      <c r="R23" s="1" t="e">
        <f>IF(MATCH(H23,Inherited!A:A),IF((((_xlfn.XLOOKUP(Assessment!#REF!,Inherited!A:A,Inherited!B:B))/100)*(_xlfn.XLOOKUP(Assessment!#REF!,Inherited!A:A,Inherited!D:D)))+(((100-(_xlfn.XLOOKUP(Assessment!#REF!,Inherited!A:A,Inherited!B:B)))/100)*IF(Y23="1.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(100%)","100"))))))&lt;=10,"0", IF(AND((((_xlfn.XLOOKUP(Assessment!#REF!,Inherited!A:A,Inherited!B:B))/100)*(_xlfn.XLOOKUP(Assessment!#REF!,Inherited!A:A,Inherited!D:D)))+(((100-(_xlfn.XLOOKUP(Assessment!#REF!,Inherited!A:A,Inherited!B:B)))/100)*IF(Y23="1.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(100%)","100"))))))&gt;=11,(((_xlfn.XLOOKUP(Assessment!#REF!,Inherited!A:A,Inherited!B:B))/100)*(_xlfn.XLOOKUP(Assessment!#REF!,Inherited!A:A,Inherited!D:D)))+(((100-(_xlfn.XLOOKUP(Assessment!#REF!,Inherited!A:A,Inherited!B:B)))/100)*IF(Y23="1.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(100%)","100"))))))&lt;=32),"25",IF(AND((((_xlfn.XLOOKUP(Assessment!#REF!,Inherited!A:A,Inherited!B:B))/100)*(_xlfn.XLOOKUP(Assessment!#REF!,Inherited!A:A,Inherited!D:D)))+(((100-(_xlfn.XLOOKUP(Assessment!#REF!,Inherited!A:A,Inherited!B:B)))/100)*IF(Y23="1.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(100%)","100"))))))&gt;=33,(((_xlfn.XLOOKUP(Assessment!#REF!,Inherited!A:A,Inherited!B:B))/100)*(_xlfn.XLOOKUP(Assessment!#REF!,Inherited!A:A,Inherited!D:D)))+(((100-(_xlfn.XLOOKUP(Assessment!#REF!,Inherited!A:A,Inherited!B:B)))/100)*IF(Y23="1.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(100%)","100"))))))&lt;=65),"50",IF(AND((((_xlfn.XLOOKUP(Assessment!#REF!,Inherited!A:A,Inherited!B:B))/100)*(_xlfn.XLOOKUP(Assessment!#REF!,Inherited!A:A,Inherited!D:D)))+(((100-(_xlfn.XLOOKUP(Assessment!#REF!,Inherited!A:A,Inherited!B:B)))/100)*IF(Y23="1.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(100%)","100"))))))&gt;=66,(((_xlfn.XLOOKUP(Assessment!#REF!,Inherited!A:A,Inherited!B:B))/100)*(_xlfn.XLOOKUP(Assessment!#REF!,Inherited!A:A,Inherited!D:D)))+(((100-(_xlfn.XLOOKUP(Assessment!#REF!,Inherited!A:A,Inherited!B:B)))/100)*IF(Y23="1.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(100%)","100"))))))&lt;=89),"75",IF((((_xlfn.XLOOKUP(Assessment!#REF!,Inherited!A:A,Inherited!B:B))/100)*(_xlfn.XLOOKUP(Assessment!#REF!,Inherited!A:A,Inherited!D:D)))+(((100-(_xlfn.XLOOKUP(Assessment!#REF!,Inherited!A:A,Inherited!B:B)))/100)*IF(Y23="1. Non Compliant (0%)","0",IF(Y23="2. Somewhat Compliant (25%)","25",IF(Y23="3. Partially Compliant (50%)","50",IF(Y23="4. Mostly Compliant (75%)","75",IF(Y23="5. Fully Compliant (100%)","100"))))))&gt;=90,"100"))))))</f>
        <v>#N/A</v>
      </c>
      <c r="S23" s="1" t="e">
        <f>IF(MATCH(H23,Inherited!A:A),IF((((_xlfn.XLOOKUP(Assessment!#REF!,Inherited!A:A,Inherited!B:B))/100)*(_xlfn.XLOOKUP(Assessment!#REF!,Inherited!A:A,Inherited!E:E)))+(((100-(_xlfn.XLOOKUP(Assessment!#REF!,Inherited!A:A,Inherited!B:B)))/100)*IF(Z23="1.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(100%)","100"))))))&lt;=10,"0", IF(AND((((_xlfn.XLOOKUP(Assessment!#REF!,Inherited!A:A,Inherited!B:B))/100)*(_xlfn.XLOOKUP(Assessment!#REF!,Inherited!A:A,Inherited!E:E)))+(((100-(_xlfn.XLOOKUP(Assessment!#REF!,Inherited!A:A,Inherited!B:B)))/100)*IF(Z23="1.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(100%)","100"))))))&gt;=11,(((_xlfn.XLOOKUP(Assessment!#REF!,Inherited!A:A,Inherited!B:B))/100)*(_xlfn.XLOOKUP(Assessment!#REF!,Inherited!A:A,Inherited!E:E)))+(((100-(_xlfn.XLOOKUP(Assessment!#REF!,Inherited!A:A,Inherited!B:B)))/100)*IF(Z23="1.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(100%)","100"))))))&lt;=32),"25",IF(AND((((_xlfn.XLOOKUP(Assessment!#REF!,Inherited!A:A,Inherited!B:B))/100)*(_xlfn.XLOOKUP(Assessment!#REF!,Inherited!A:A,Inherited!E:E)))+(((100-(_xlfn.XLOOKUP(Assessment!#REF!,Inherited!A:A,Inherited!B:B)))/100)*IF(Z23="1.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(100%)","100"))))))&gt;=33,(((_xlfn.XLOOKUP(Assessment!#REF!,Inherited!A:A,Inherited!B:B))/100)*(_xlfn.XLOOKUP(Assessment!#REF!,Inherited!A:A,Inherited!E:E)))+(((100-(_xlfn.XLOOKUP(Assessment!#REF!,Inherited!A:A,Inherited!B:B)))/100)*IF(Z23="1.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(100%)","100"))))))&lt;=65),"50",IF(AND((((_xlfn.XLOOKUP(Assessment!#REF!,Inherited!A:A,Inherited!B:B))/100)*(_xlfn.XLOOKUP(Assessment!#REF!,Inherited!A:A,Inherited!E:E)))+(((100-(_xlfn.XLOOKUP(Assessment!#REF!,Inherited!A:A,Inherited!B:B)))/100)*IF(Z23="1.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(100%)","100"))))))&gt;=66,(((_xlfn.XLOOKUP(Assessment!#REF!,Inherited!A:A,Inherited!B:B))/100)*(_xlfn.XLOOKUP(Assessment!#REF!,Inherited!A:A,Inherited!E:E)))+(((100-(_xlfn.XLOOKUP(Assessment!#REF!,Inherited!A:A,Inherited!B:B)))/100)*IF(Z23="1.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(100%)","100"))))))&lt;=89),"75",IF((((_xlfn.XLOOKUP(Assessment!#REF!,Inherited!A:A,Inherited!B:B))/100)*(_xlfn.XLOOKUP(Assessment!#REF!,Inherited!A:A,Inherited!E:E)))+(((100-(_xlfn.XLOOKUP(Assessment!#REF!,Inherited!A:A,Inherited!B:B)))/100)*IF(Z23="1. Non Compliant (0%)","0",IF(Z23="2. Somewhat Compliant (25%)","25",IF(Z23="3. Partially Compliant (50%)","50",IF(Z23="4. Mostly Compliant (75%)","75",IF(Z23="5. Fully Compliant (100%)","100"))))))&gt;=90,"100"))))))</f>
        <v>#N/A</v>
      </c>
      <c r="T23" s="1" t="e">
        <f>IF(MATCH(H23,Inherited!A:A),IF((((_xlfn.XLOOKUP(Assessment!#REF!,Inherited!A:A,Inherited!B:B))/100)*(_xlfn.XLOOKUP(Assessment!#REF!,Inherited!A:A,Inherited!F:F)))+(((100-(_xlfn.XLOOKUP(Assessment!#REF!,Inherited!A:A,Inherited!B:B)))/100)*IF(AA23="1.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(100%)","100"))))))&lt;=10,"0", IF(AND((((_xlfn.XLOOKUP(Assessment!#REF!,Inherited!A:A,Inherited!B:B))/100)*(_xlfn.XLOOKUP(Assessment!#REF!,Inherited!A:A,Inherited!F:F)))+(((100-(_xlfn.XLOOKUP(Assessment!#REF!,Inherited!A:A,Inherited!B:B)))/100)*IF(AA23="1.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(100%)","100"))))))&gt;=11,(((_xlfn.XLOOKUP(Assessment!#REF!,Inherited!A:A,Inherited!B:B))/100)*(_xlfn.XLOOKUP(Assessment!#REF!,Inherited!A:A,Inherited!F:F)))+(((100-(_xlfn.XLOOKUP(Assessment!#REF!,Inherited!A:A,Inherited!B:B)))/100)*IF(AA23="1.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(100%)","100"))))))&lt;=32),"25",IF(AND((((_xlfn.XLOOKUP(Assessment!#REF!,Inherited!A:A,Inherited!B:B))/100)*(_xlfn.XLOOKUP(Assessment!#REF!,Inherited!A:A,Inherited!F:F)))+(((100-(_xlfn.XLOOKUP(Assessment!#REF!,Inherited!A:A,Inherited!B:B)))/100)*IF(AA23="1.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(100%)","100"))))))&gt;=33,(((_xlfn.XLOOKUP(Assessment!#REF!,Inherited!A:A,Inherited!B:B))/100)*(_xlfn.XLOOKUP(Assessment!#REF!,Inherited!A:A,Inherited!F:F)))+(((100-(_xlfn.XLOOKUP(Assessment!#REF!,Inherited!A:A,Inherited!B:B)))/100)*IF(AA23="1.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(100%)","100"))))))&lt;=65),"50",IF(AND((((_xlfn.XLOOKUP(Assessment!#REF!,Inherited!A:A,Inherited!B:B))/100)*(_xlfn.XLOOKUP(Assessment!#REF!,Inherited!A:A,Inherited!F:F)))+(((100-(_xlfn.XLOOKUP(Assessment!#REF!,Inherited!A:A,Inherited!B:B)))/100)*IF(AA23="1.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(100%)","100"))))))&gt;=66,(((_xlfn.XLOOKUP(Assessment!#REF!,Inherited!A:A,Inherited!B:B))/100)*(_xlfn.XLOOKUP(Assessment!#REF!,Inherited!A:A,Inherited!F:F)))+(((100-(_xlfn.XLOOKUP(Assessment!#REF!,Inherited!A:A,Inherited!B:B)))/100)*IF(AA23="1.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(100%)","100"))))))&lt;=89),"75",IF((((_xlfn.XLOOKUP(Assessment!#REF!,Inherited!A:A,Inherited!B:B))/100)*(_xlfn.XLOOKUP(Assessment!#REF!,Inherited!A:A,Inherited!F:F)))+(((100-(_xlfn.XLOOKUP(Assessment!#REF!,Inherited!A:A,Inherited!B:B)))/100)*IF(AA23="1. Non Compliant (0%)","0",IF(AA23="2. Somewhat Compliant (25%)","25",IF(AA23="3. Partially Compliant (50%)","50",IF(AA23="4. Mostly Compliant (75%)","75",IF(AA23="5. Fully Compliant (100%)","100"))))))&gt;=90,"100"))))))</f>
        <v>#N/A</v>
      </c>
      <c r="U23" s="1" t="e">
        <f>IF(MATCH(H23,Inherited!A:A),IF((((_xlfn.XLOOKUP(Assessment!#REF!,Inherited!A:A,Inherited!B:B))/100)*(_xlfn.XLOOKUP(Assessment!#REF!,Inherited!A:A,Inherited!G:G)))+(((100-(_xlfn.XLOOKUP(Assessment!#REF!,Inherited!A:A,Inherited!B:B)))/100)*IF(AB23="1.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(100%)","100"))))))&lt;=10,"0", IF(AND((((_xlfn.XLOOKUP(Assessment!#REF!,Inherited!A:A,Inherited!B:B))/100)*(_xlfn.XLOOKUP(Assessment!#REF!,Inherited!A:A,Inherited!G:G)))+(((100-(_xlfn.XLOOKUP(Assessment!#REF!,Inherited!A:A,Inherited!B:B)))/100)*IF(AB23="1.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(100%)","100"))))))&gt;=11,(((_xlfn.XLOOKUP(Assessment!#REF!,Inherited!A:A,Inherited!B:B))/100)*(_xlfn.XLOOKUP(Assessment!#REF!,Inherited!A:A,Inherited!G:G)))+(((100-(_xlfn.XLOOKUP(Assessment!#REF!,Inherited!A:A,Inherited!B:B)))/100)*IF(AB23="1.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(100%)","100"))))))&lt;=32),"25",IF(AND((((_xlfn.XLOOKUP(Assessment!#REF!,Inherited!A:A,Inherited!B:B))/100)*(_xlfn.XLOOKUP(Assessment!#REF!,Inherited!A:A,Inherited!G:G)))+(((100-(_xlfn.XLOOKUP(Assessment!#REF!,Inherited!A:A,Inherited!B:B)))/100)*IF(AB23="1.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(100%)","100"))))))&gt;=33,(((_xlfn.XLOOKUP(Assessment!#REF!,Inherited!A:A,Inherited!B:B))/100)*(_xlfn.XLOOKUP(Assessment!#REF!,Inherited!A:A,Inherited!G:G)))+(((100-(_xlfn.XLOOKUP(Assessment!#REF!,Inherited!A:A,Inherited!B:B)))/100)*IF(AB23="1.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(100%)","100"))))))&lt;=65),"50",IF(AND((((_xlfn.XLOOKUP(Assessment!#REF!,Inherited!A:A,Inherited!B:B))/100)*(_xlfn.XLOOKUP(Assessment!#REF!,Inherited!A:A,Inherited!G:G)))+(((100-(_xlfn.XLOOKUP(Assessment!#REF!,Inherited!A:A,Inherited!B:B)))/100)*IF(AB23="1.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(100%)","100"))))))&gt;=66,(((_xlfn.XLOOKUP(Assessment!#REF!,Inherited!A:A,Inherited!B:B))/100)*(_xlfn.XLOOKUP(Assessment!#REF!,Inherited!A:A,Inherited!G:G)))+(((100-(_xlfn.XLOOKUP(Assessment!#REF!,Inherited!A:A,Inherited!B:B)))/100)*IF(AB23="1.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(100%)","100"))))))&lt;=89),"75",IF((((_xlfn.XLOOKUP(Assessment!#REF!,Inherited!A:A,Inherited!B:B))/100)*(_xlfn.XLOOKUP(Assessment!#REF!,Inherited!A:A,Inherited!G:G)))+(((100-(_xlfn.XLOOKUP(Assessment!#REF!,Inherited!A:A,Inherited!B:B)))/100)*IF(AB23="1. Non Compliant (0%)","0",IF(AB23="2. Somewhat Compliant (25%)","25",IF(AB23="3. Partially Compliant (50%)","50",IF(AB23="4. Mostly Compliant (75%)","75",IF(AB23="5. Fully Compliant (100%)","100"))))))&gt;=90,"100"))))))</f>
        <v>#N/A</v>
      </c>
      <c r="V23" s="55" t="s">
        <v>85</v>
      </c>
      <c r="W23" s="55"/>
      <c r="X23" s="55"/>
      <c r="Y23" s="55"/>
      <c r="Z23" s="55" t="s">
        <v>86</v>
      </c>
      <c r="AA23" s="55"/>
      <c r="AB23" s="55"/>
      <c r="AK23" s="1" t="s">
        <v>10891</v>
      </c>
      <c r="AL23" s="1" t="s">
        <v>10912</v>
      </c>
      <c r="AM23" s="1" t="s">
        <v>10927</v>
      </c>
      <c r="AX23" s="3" t="str">
        <f>_xlfn.CONCAT("A-LIGN finished its review of this control on ",AR23, " during the scheduled fieldwork window (",Intro!$B$4,")."&amp; CHAR(10)&amp; CHAR(10))</f>
        <v xml:space="preserve">A-LIGN finished its review of this control on  during the scheduled fieldwork window (Fieldwork: xx/xx/xxxx - xx/xx/xxxx).
</v>
      </c>
      <c r="AY23" s="3" t="str">
        <f t="shared" si="41"/>
        <v/>
      </c>
      <c r="AZ23" s="3" t="str">
        <f t="shared" si="42"/>
        <v/>
      </c>
      <c r="BA23" s="3" t="str">
        <f t="shared" si="43"/>
        <v/>
      </c>
      <c r="BB23" s="3" t="str">
        <f t="shared" si="44"/>
        <v xml:space="preserve">Inquired of the following workforce member: 
Matthew Macaluso - Director of System Operations
Roze Nicolas - Director of TechOps
Inquiry lead to the following conclusions: 
Google Workspace is used for anti-spam protection 
Integration with Google SecOps (replaced Rapid7) is used for logging and alerting to MSP (Foresite Cybersecurity)  
SentinelOne is used as an endpoint protection solution for all in-scope endpoints (laptops, servers)
</v>
      </c>
      <c r="BC23" s="3" t="str">
        <f t="shared" si="45"/>
        <v xml:space="preserve">Observed the following live during fieldwork: 
Observed Google Workspace Admin console "Gmail" security configurations which showed that all appropriate anti-spam protection mechanisms are in place
Observed the SentinelOne dashboard which demonstrated that the solution is centrally managed, endpoints are appropriately managed
</v>
      </c>
      <c r="BD23" s="3" t="str">
        <f t="shared" si="46"/>
        <v xml:space="preserve">Examined the following evidence during fieldwork:
Reviewed evidence addressed the requirement statement.
</v>
      </c>
      <c r="BE23" s="3" t="str">
        <f t="shared" si="47"/>
        <v/>
      </c>
      <c r="BF23" s="3" t="str">
        <f t="shared" si="48"/>
        <v/>
      </c>
      <c r="BG23" s="3" t="str">
        <f>_xlfn.CONCAT((IF((COUNTIF('Sample Tables'!B:B,"")&gt;0)=TRUE,_xlfn.CONCAT("",""),IF((COUNTIF('Sample Tables'!B:B,"")&gt;0)=FALSE,""))),)</f>
        <v/>
      </c>
      <c r="BH23" s="3" t="str">
        <f t="shared" si="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Google Workspace is used for anti-spam protection 
Integration with Google SecOps (replaced Rapid7) is used for logging and alerting to MSP (Foresite Cybersecurity)  
SentinelOne is used as an endpoint protection solution for all in-scope endpoints (laptops, servers)
Observed the following live during fieldwork: 
Observed Google Workspace Admin console "Gmail" security configurations which showed that all appropriate anti-spam protection mechanisms are in place
Observed the SentinelOne dashboard which demonstrated that the solution is centrally managed, endpoints are appropriately managed
Examined the following evidence during fieldwork:
Reviewed evidence addressed the requirement statement.
</v>
      </c>
    </row>
    <row r="24" spans="3:60" ht="375" x14ac:dyDescent="0.35">
      <c r="C24" s="1">
        <f t="shared" si="40"/>
        <v>0</v>
      </c>
      <c r="D24" s="5" t="str">
        <f>IF(AND((_xlfn.XLOOKUP(J24,'Fields &amp; Revisions'!$H:$H,'Fields &amp; Revisions'!$I:$I))&lt;70.99,(OR(Z24="4. Mostly Compliant (75%)",Z24="3. Partially Compliant (50%)",Z24="2. Somewhat Compliant (25%)",Z24="1. Non Compliant (0%)"))),"Yes","No")</f>
        <v>Yes</v>
      </c>
      <c r="E24" s="5" t="str">
        <f>IF(ISERROR(VLOOKUP(H24,Scope!A:A,1,FALSE)),"No","Yes")</f>
        <v>Yes</v>
      </c>
      <c r="F24" s="1" t="s">
        <v>752</v>
      </c>
      <c r="G24" s="53" t="s">
        <v>775</v>
      </c>
      <c r="H24" s="53" t="s">
        <v>776</v>
      </c>
      <c r="I24" s="5">
        <v>1</v>
      </c>
      <c r="J24" s="1" t="s">
        <v>758</v>
      </c>
      <c r="K24" s="1" t="s">
        <v>777</v>
      </c>
      <c r="L24" s="1" t="s">
        <v>778</v>
      </c>
      <c r="M24" s="1" t="s">
        <v>779</v>
      </c>
      <c r="N24" s="5" t="s">
        <v>85</v>
      </c>
      <c r="O24" s="1" t="str">
        <f>_xlfn.XLOOKUP(G24,SRMs!$A:$A,SRMs!$D:$D)</f>
        <v>FULL INHERITANCE</v>
      </c>
      <c r="P24" s="1" t="str">
        <f>IFERROR(VLOOKUP(H24,Inherited!A:B,2,FALSE),"")</f>
        <v/>
      </c>
      <c r="Q24" s="1" t="e">
        <f>IF(MATCH(H24,Inherited!A:A),IF((((_xlfn.XLOOKUP(Assessment!#REF!,Inherited!A:A,Inherited!B:B))/100)*(_xlfn.XLOOKUP(Assessment!#REF!,Inherited!A:A,Inherited!C:C)))+(((100-(_xlfn.XLOOKUP(Assessment!#REF!,Inherited!A:A,Inherited!B:B)))/100)*IF(X24="1.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(100%)","100"))))))&lt;=10,"0", IF(AND((((_xlfn.XLOOKUP(Assessment!#REF!,Inherited!A:A,Inherited!B:B))/100)*(_xlfn.XLOOKUP(Assessment!#REF!,Inherited!A:A,Inherited!C:C)))+(((100-(_xlfn.XLOOKUP(Assessment!#REF!,Inherited!A:A,Inherited!B:B)))/100)*IF(X24="1.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(100%)","100"))))))&gt;=11,(((_xlfn.XLOOKUP(Assessment!#REF!,Inherited!A:A,Inherited!B:B))/100)*(_xlfn.XLOOKUP(Assessment!#REF!,Inherited!A:A,Inherited!C:C)))+(((100-(_xlfn.XLOOKUP(Assessment!#REF!,Inherited!A:A,Inherited!B:B)))/100)*IF(X24="1.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(100%)","100"))))))&lt;=32),"25",IF(AND((((_xlfn.XLOOKUP(Assessment!#REF!,Inherited!A:A,Inherited!B:B))/100)*(_xlfn.XLOOKUP(Assessment!#REF!,Inherited!A:A,Inherited!C:C)))+(((100-(_xlfn.XLOOKUP(Assessment!#REF!,Inherited!A:A,Inherited!B:B)))/100)*IF(X24="1.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(100%)","100"))))))&gt;=33,(((_xlfn.XLOOKUP(Assessment!#REF!,Inherited!A:A,Inherited!B:B))/100)*(_xlfn.XLOOKUP(Assessment!#REF!,Inherited!A:A,Inherited!C:C)))+(((100-(_xlfn.XLOOKUP(Assessment!#REF!,Inherited!A:A,Inherited!B:B)))/100)*IF(X24="1.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(100%)","100"))))))&lt;=65),"50",IF(AND((((_xlfn.XLOOKUP(Assessment!#REF!,Inherited!A:A,Inherited!B:B))/100)*(_xlfn.XLOOKUP(Assessment!#REF!,Inherited!A:A,Inherited!C:C)))+(((100-(_xlfn.XLOOKUP(Assessment!#REF!,Inherited!A:A,Inherited!B:B)))/100)*IF(X24="1.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(100%)","100"))))))&gt;=66,(((_xlfn.XLOOKUP(Assessment!#REF!,Inherited!A:A,Inherited!B:B))/100)*(_xlfn.XLOOKUP(Assessment!#REF!,Inherited!A:A,Inherited!C:C)))+(((100-(_xlfn.XLOOKUP(Assessment!#REF!,Inherited!A:A,Inherited!B:B)))/100)*IF(X24="1.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(100%)","100"))))))&lt;=89),"75",IF((((_xlfn.XLOOKUP(Assessment!#REF!,Inherited!A:A,Inherited!B:B))/100)*(_xlfn.XLOOKUP(Assessment!#REF!,Inherited!A:A,Inherited!C:C)))+(((100-(_xlfn.XLOOKUP(Assessment!#REF!,Inherited!A:A,Inherited!B:B)))/100)*IF(X24="1. Non Compliant (0%)","0",IF(X24="2. Somewhat Compliant (25%)","25",IF(X24="3. Partially Compliant (50%)","50",IF(X24="4. Mostly Compliant (75%)","75",IF(X24="5. Fully Compliant (100%)","100"))))))&gt;=90,"100"))))))</f>
        <v>#N/A</v>
      </c>
      <c r="R24" s="1" t="e">
        <f>IF(MATCH(H24,Inherited!A:A),IF((((_xlfn.XLOOKUP(Assessment!#REF!,Inherited!A:A,Inherited!B:B))/100)*(_xlfn.XLOOKUP(Assessment!#REF!,Inherited!A:A,Inherited!D:D)))+(((100-(_xlfn.XLOOKUP(Assessment!#REF!,Inherited!A:A,Inherited!B:B)))/100)*IF(Y24="1.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(100%)","100"))))))&lt;=10,"0", IF(AND((((_xlfn.XLOOKUP(Assessment!#REF!,Inherited!A:A,Inherited!B:B))/100)*(_xlfn.XLOOKUP(Assessment!#REF!,Inherited!A:A,Inherited!D:D)))+(((100-(_xlfn.XLOOKUP(Assessment!#REF!,Inherited!A:A,Inherited!B:B)))/100)*IF(Y24="1.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(100%)","100"))))))&gt;=11,(((_xlfn.XLOOKUP(Assessment!#REF!,Inherited!A:A,Inherited!B:B))/100)*(_xlfn.XLOOKUP(Assessment!#REF!,Inherited!A:A,Inherited!D:D)))+(((100-(_xlfn.XLOOKUP(Assessment!#REF!,Inherited!A:A,Inherited!B:B)))/100)*IF(Y24="1.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(100%)","100"))))))&lt;=32),"25",IF(AND((((_xlfn.XLOOKUP(Assessment!#REF!,Inherited!A:A,Inherited!B:B))/100)*(_xlfn.XLOOKUP(Assessment!#REF!,Inherited!A:A,Inherited!D:D)))+(((100-(_xlfn.XLOOKUP(Assessment!#REF!,Inherited!A:A,Inherited!B:B)))/100)*IF(Y24="1.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(100%)","100"))))))&gt;=33,(((_xlfn.XLOOKUP(Assessment!#REF!,Inherited!A:A,Inherited!B:B))/100)*(_xlfn.XLOOKUP(Assessment!#REF!,Inherited!A:A,Inherited!D:D)))+(((100-(_xlfn.XLOOKUP(Assessment!#REF!,Inherited!A:A,Inherited!B:B)))/100)*IF(Y24="1.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(100%)","100"))))))&lt;=65),"50",IF(AND((((_xlfn.XLOOKUP(Assessment!#REF!,Inherited!A:A,Inherited!B:B))/100)*(_xlfn.XLOOKUP(Assessment!#REF!,Inherited!A:A,Inherited!D:D)))+(((100-(_xlfn.XLOOKUP(Assessment!#REF!,Inherited!A:A,Inherited!B:B)))/100)*IF(Y24="1.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(100%)","100"))))))&gt;=66,(((_xlfn.XLOOKUP(Assessment!#REF!,Inherited!A:A,Inherited!B:B))/100)*(_xlfn.XLOOKUP(Assessment!#REF!,Inherited!A:A,Inherited!D:D)))+(((100-(_xlfn.XLOOKUP(Assessment!#REF!,Inherited!A:A,Inherited!B:B)))/100)*IF(Y24="1.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(100%)","100"))))))&lt;=89),"75",IF((((_xlfn.XLOOKUP(Assessment!#REF!,Inherited!A:A,Inherited!B:B))/100)*(_xlfn.XLOOKUP(Assessment!#REF!,Inherited!A:A,Inherited!D:D)))+(((100-(_xlfn.XLOOKUP(Assessment!#REF!,Inherited!A:A,Inherited!B:B)))/100)*IF(Y24="1. Non Compliant (0%)","0",IF(Y24="2. Somewhat Compliant (25%)","25",IF(Y24="3. Partially Compliant (50%)","50",IF(Y24="4. Mostly Compliant (75%)","75",IF(Y24="5. Fully Compliant (100%)","100"))))))&gt;=90,"100"))))))</f>
        <v>#N/A</v>
      </c>
      <c r="S24" s="1" t="e">
        <f>IF(MATCH(H24,Inherited!A:A),IF((((_xlfn.XLOOKUP(Assessment!#REF!,Inherited!A:A,Inherited!B:B))/100)*(_xlfn.XLOOKUP(Assessment!#REF!,Inherited!A:A,Inherited!E:E)))+(((100-(_xlfn.XLOOKUP(Assessment!#REF!,Inherited!A:A,Inherited!B:B)))/100)*IF(Z24="1.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(100%)","100"))))))&lt;=10,"0", IF(AND((((_xlfn.XLOOKUP(Assessment!#REF!,Inherited!A:A,Inherited!B:B))/100)*(_xlfn.XLOOKUP(Assessment!#REF!,Inherited!A:A,Inherited!E:E)))+(((100-(_xlfn.XLOOKUP(Assessment!#REF!,Inherited!A:A,Inherited!B:B)))/100)*IF(Z24="1.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(100%)","100"))))))&gt;=11,(((_xlfn.XLOOKUP(Assessment!#REF!,Inherited!A:A,Inherited!B:B))/100)*(_xlfn.XLOOKUP(Assessment!#REF!,Inherited!A:A,Inherited!E:E)))+(((100-(_xlfn.XLOOKUP(Assessment!#REF!,Inherited!A:A,Inherited!B:B)))/100)*IF(Z24="1.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(100%)","100"))))))&lt;=32),"25",IF(AND((((_xlfn.XLOOKUP(Assessment!#REF!,Inherited!A:A,Inherited!B:B))/100)*(_xlfn.XLOOKUP(Assessment!#REF!,Inherited!A:A,Inherited!E:E)))+(((100-(_xlfn.XLOOKUP(Assessment!#REF!,Inherited!A:A,Inherited!B:B)))/100)*IF(Z24="1.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(100%)","100"))))))&gt;=33,(((_xlfn.XLOOKUP(Assessment!#REF!,Inherited!A:A,Inherited!B:B))/100)*(_xlfn.XLOOKUP(Assessment!#REF!,Inherited!A:A,Inherited!E:E)))+(((100-(_xlfn.XLOOKUP(Assessment!#REF!,Inherited!A:A,Inherited!B:B)))/100)*IF(Z24="1.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(100%)","100"))))))&lt;=65),"50",IF(AND((((_xlfn.XLOOKUP(Assessment!#REF!,Inherited!A:A,Inherited!B:B))/100)*(_xlfn.XLOOKUP(Assessment!#REF!,Inherited!A:A,Inherited!E:E)))+(((100-(_xlfn.XLOOKUP(Assessment!#REF!,Inherited!A:A,Inherited!B:B)))/100)*IF(Z24="1.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(100%)","100"))))))&gt;=66,(((_xlfn.XLOOKUP(Assessment!#REF!,Inherited!A:A,Inherited!B:B))/100)*(_xlfn.XLOOKUP(Assessment!#REF!,Inherited!A:A,Inherited!E:E)))+(((100-(_xlfn.XLOOKUP(Assessment!#REF!,Inherited!A:A,Inherited!B:B)))/100)*IF(Z24="1.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(100%)","100"))))))&lt;=89),"75",IF((((_xlfn.XLOOKUP(Assessment!#REF!,Inherited!A:A,Inherited!B:B))/100)*(_xlfn.XLOOKUP(Assessment!#REF!,Inherited!A:A,Inherited!E:E)))+(((100-(_xlfn.XLOOKUP(Assessment!#REF!,Inherited!A:A,Inherited!B:B)))/100)*IF(Z24="1. Non Compliant (0%)","0",IF(Z24="2. Somewhat Compliant (25%)","25",IF(Z24="3. Partially Compliant (50%)","50",IF(Z24="4. Mostly Compliant (75%)","75",IF(Z24="5. Fully Compliant (100%)","100"))))))&gt;=90,"100"))))))</f>
        <v>#N/A</v>
      </c>
      <c r="T24" s="1" t="e">
        <f>IF(MATCH(H24,Inherited!A:A),IF((((_xlfn.XLOOKUP(Assessment!#REF!,Inherited!A:A,Inherited!B:B))/100)*(_xlfn.XLOOKUP(Assessment!#REF!,Inherited!A:A,Inherited!F:F)))+(((100-(_xlfn.XLOOKUP(Assessment!#REF!,Inherited!A:A,Inherited!B:B)))/100)*IF(AA24="1.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(100%)","100"))))))&lt;=10,"0", IF(AND((((_xlfn.XLOOKUP(Assessment!#REF!,Inherited!A:A,Inherited!B:B))/100)*(_xlfn.XLOOKUP(Assessment!#REF!,Inherited!A:A,Inherited!F:F)))+(((100-(_xlfn.XLOOKUP(Assessment!#REF!,Inherited!A:A,Inherited!B:B)))/100)*IF(AA24="1.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(100%)","100"))))))&gt;=11,(((_xlfn.XLOOKUP(Assessment!#REF!,Inherited!A:A,Inherited!B:B))/100)*(_xlfn.XLOOKUP(Assessment!#REF!,Inherited!A:A,Inherited!F:F)))+(((100-(_xlfn.XLOOKUP(Assessment!#REF!,Inherited!A:A,Inherited!B:B)))/100)*IF(AA24="1.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(100%)","100"))))))&lt;=32),"25",IF(AND((((_xlfn.XLOOKUP(Assessment!#REF!,Inherited!A:A,Inherited!B:B))/100)*(_xlfn.XLOOKUP(Assessment!#REF!,Inherited!A:A,Inherited!F:F)))+(((100-(_xlfn.XLOOKUP(Assessment!#REF!,Inherited!A:A,Inherited!B:B)))/100)*IF(AA24="1.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(100%)","100"))))))&gt;=33,(((_xlfn.XLOOKUP(Assessment!#REF!,Inherited!A:A,Inherited!B:B))/100)*(_xlfn.XLOOKUP(Assessment!#REF!,Inherited!A:A,Inherited!F:F)))+(((100-(_xlfn.XLOOKUP(Assessment!#REF!,Inherited!A:A,Inherited!B:B)))/100)*IF(AA24="1.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(100%)","100"))))))&lt;=65),"50",IF(AND((((_xlfn.XLOOKUP(Assessment!#REF!,Inherited!A:A,Inherited!B:B))/100)*(_xlfn.XLOOKUP(Assessment!#REF!,Inherited!A:A,Inherited!F:F)))+(((100-(_xlfn.XLOOKUP(Assessment!#REF!,Inherited!A:A,Inherited!B:B)))/100)*IF(AA24="1.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(100%)","100"))))))&gt;=66,(((_xlfn.XLOOKUP(Assessment!#REF!,Inherited!A:A,Inherited!B:B))/100)*(_xlfn.XLOOKUP(Assessment!#REF!,Inherited!A:A,Inherited!F:F)))+(((100-(_xlfn.XLOOKUP(Assessment!#REF!,Inherited!A:A,Inherited!B:B)))/100)*IF(AA24="1.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(100%)","100"))))))&lt;=89),"75",IF((((_xlfn.XLOOKUP(Assessment!#REF!,Inherited!A:A,Inherited!B:B))/100)*(_xlfn.XLOOKUP(Assessment!#REF!,Inherited!A:A,Inherited!F:F)))+(((100-(_xlfn.XLOOKUP(Assessment!#REF!,Inherited!A:A,Inherited!B:B)))/100)*IF(AA24="1. Non Compliant (0%)","0",IF(AA24="2. Somewhat Compliant (25%)","25",IF(AA24="3. Partially Compliant (50%)","50",IF(AA24="4. Mostly Compliant (75%)","75",IF(AA24="5. Fully Compliant (100%)","100"))))))&gt;=90,"100"))))))</f>
        <v>#N/A</v>
      </c>
      <c r="U24" s="1" t="e">
        <f>IF(MATCH(H24,Inherited!A:A),IF((((_xlfn.XLOOKUP(Assessment!#REF!,Inherited!A:A,Inherited!B:B))/100)*(_xlfn.XLOOKUP(Assessment!#REF!,Inherited!A:A,Inherited!G:G)))+(((100-(_xlfn.XLOOKUP(Assessment!#REF!,Inherited!A:A,Inherited!B:B)))/100)*IF(AB24="1.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(100%)","100"))))))&lt;=10,"0", IF(AND((((_xlfn.XLOOKUP(Assessment!#REF!,Inherited!A:A,Inherited!B:B))/100)*(_xlfn.XLOOKUP(Assessment!#REF!,Inherited!A:A,Inherited!G:G)))+(((100-(_xlfn.XLOOKUP(Assessment!#REF!,Inherited!A:A,Inherited!B:B)))/100)*IF(AB24="1.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(100%)","100"))))))&gt;=11,(((_xlfn.XLOOKUP(Assessment!#REF!,Inherited!A:A,Inherited!B:B))/100)*(_xlfn.XLOOKUP(Assessment!#REF!,Inherited!A:A,Inherited!G:G)))+(((100-(_xlfn.XLOOKUP(Assessment!#REF!,Inherited!A:A,Inherited!B:B)))/100)*IF(AB24="1.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(100%)","100"))))))&lt;=32),"25",IF(AND((((_xlfn.XLOOKUP(Assessment!#REF!,Inherited!A:A,Inherited!B:B))/100)*(_xlfn.XLOOKUP(Assessment!#REF!,Inherited!A:A,Inherited!G:G)))+(((100-(_xlfn.XLOOKUP(Assessment!#REF!,Inherited!A:A,Inherited!B:B)))/100)*IF(AB24="1.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(100%)","100"))))))&gt;=33,(((_xlfn.XLOOKUP(Assessment!#REF!,Inherited!A:A,Inherited!B:B))/100)*(_xlfn.XLOOKUP(Assessment!#REF!,Inherited!A:A,Inherited!G:G)))+(((100-(_xlfn.XLOOKUP(Assessment!#REF!,Inherited!A:A,Inherited!B:B)))/100)*IF(AB24="1.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(100%)","100"))))))&lt;=65),"50",IF(AND((((_xlfn.XLOOKUP(Assessment!#REF!,Inherited!A:A,Inherited!B:B))/100)*(_xlfn.XLOOKUP(Assessment!#REF!,Inherited!A:A,Inherited!G:G)))+(((100-(_xlfn.XLOOKUP(Assessment!#REF!,Inherited!A:A,Inherited!B:B)))/100)*IF(AB24="1.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(100%)","100"))))))&gt;=66,(((_xlfn.XLOOKUP(Assessment!#REF!,Inherited!A:A,Inherited!B:B))/100)*(_xlfn.XLOOKUP(Assessment!#REF!,Inherited!A:A,Inherited!G:G)))+(((100-(_xlfn.XLOOKUP(Assessment!#REF!,Inherited!A:A,Inherited!B:B)))/100)*IF(AB24="1.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(100%)","100"))))))&lt;=89),"75",IF((((_xlfn.XLOOKUP(Assessment!#REF!,Inherited!A:A,Inherited!B:B))/100)*(_xlfn.XLOOKUP(Assessment!#REF!,Inherited!A:A,Inherited!G:G)))+(((100-(_xlfn.XLOOKUP(Assessment!#REF!,Inherited!A:A,Inherited!B:B)))/100)*IF(AB24="1. Non Compliant (0%)","0",IF(AB24="2. Somewhat Compliant (25%)","25",IF(AB24="3. Partially Compliant (50%)","50",IF(AB24="4. Mostly Compliant (75%)","75",IF(AB24="5. Fully Compliant (100%)","100"))))))&gt;=90,"100"))))))</f>
        <v>#N/A</v>
      </c>
      <c r="V24" s="55" t="s">
        <v>85</v>
      </c>
      <c r="W24" s="55"/>
      <c r="X24" s="55"/>
      <c r="Y24" s="55"/>
      <c r="Z24" s="55" t="s">
        <v>10873</v>
      </c>
      <c r="AA24" s="55"/>
      <c r="AB24" s="55"/>
      <c r="AK24" s="1" t="s">
        <v>10891</v>
      </c>
      <c r="AP24" s="85" t="s">
        <v>11147</v>
      </c>
      <c r="AX24" s="3" t="str">
        <f>_xlfn.CONCAT("A-LIGN finished its review of this control on ",AR24, " during the scheduled fieldwork window (",Intro!$B$4,")."&amp; CHAR(10)&amp; CHAR(10))</f>
        <v xml:space="preserve">A-LIGN finished its review of this control on  during the scheduled fieldwork window (Fieldwork: xx/xx/xxxx - xx/xx/xxxx).
</v>
      </c>
      <c r="AY24" s="3" t="str">
        <f t="shared" si="41"/>
        <v/>
      </c>
      <c r="AZ24" s="3" t="str">
        <f t="shared" si="42"/>
        <v/>
      </c>
      <c r="BA24" s="3" t="str">
        <f t="shared" si="43"/>
        <v/>
      </c>
      <c r="BB24" s="3" t="str">
        <f t="shared" si="44"/>
        <v xml:space="preserve">Inquired of the following workforce member: 
Matthew Macaluso - Director of System Operations
Roze Nicolas - Director of TechOps
Inquiry lead to the following conclusions: 
</v>
      </c>
      <c r="BC24" s="3" t="str">
        <f t="shared" si="45"/>
        <v/>
      </c>
      <c r="BD24" s="3" t="str">
        <f t="shared" si="46"/>
        <v xml:space="preserve">Examined the following evidence during fieldwork:
Reviewed evidence addressed the requirement statement.
Reviewed evidence exception note: 
Gap: Log of transport is not currently maintained with the accountable individuals.
Recommendation: Ensure that a formalized removable media transport log is drafted and includes the accountable individuals.
</v>
      </c>
      <c r="BE24" s="3" t="str">
        <f t="shared" si="47"/>
        <v/>
      </c>
      <c r="BF24" s="3" t="str">
        <f t="shared" si="48"/>
        <v/>
      </c>
      <c r="BG24" s="3" t="str">
        <f>_xlfn.CONCAT((IF((COUNTIF('Sample Tables'!B:B,"Test 187: Removable Media (transported out of controlled area)")&gt;0)=TRUE,_xlfn.CONCAT("Sample test results are documented in ",'Sample Tables'!B2053," [",'Sample Tables'!B2054,", ",'Sample Tables'!B2055,", ",'Sample Tables'!B2056,", ",'Sample Tables'!B2057,", ",'Sample Tables'!B2058,"]."&amp;CHAR(10)),IF((COUNTIF('Sample Tables'!B:B,"Test 187: Removable Media (transported out of controlled area)")&gt;0)=FALSE,""))),)</f>
        <v xml:space="preserve">Sample test results are documented in Test 187: Removable Media (transported out of controlled area) [Population Source/Tool: , Population Date Range: , Population Size: , Sample Methodology: , Sample Size: ].
</v>
      </c>
      <c r="BH24" s="3" t="str">
        <f t="shared" si="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Examined the following evidence during fieldwork:
Reviewed evidence addressed the requirement statement.
Reviewed evidence exception note: 
Gap: Log of transport is not currently maintained with the accountable individuals.
Recommendation: Ensure that a formalized removable media transport log is drafted and includes the accountable individuals.
Sample test results are documented in Test 187: Removable Media (transported out of controlled area) [Population Source/Tool: , Population Date Range: , Population Size: , Sample Methodology: , Sample Size: ].
</v>
      </c>
    </row>
    <row r="25" spans="3:60" ht="409.5" x14ac:dyDescent="0.35">
      <c r="C25" s="1">
        <f t="shared" si="40"/>
        <v>20</v>
      </c>
      <c r="D25" s="5" t="str">
        <f>IF(AND((_xlfn.XLOOKUP(J25,'Fields &amp; Revisions'!$H:$H,'Fields &amp; Revisions'!$I:$I))&lt;70.99,(OR(Z25="4. Mostly Compliant (75%)",Z25="3. Partially Compliant (50%)",Z25="2. Somewhat Compliant (25%)",Z25="1. Non Compliant (0%)"))),"Yes","No")</f>
        <v>Yes</v>
      </c>
      <c r="E25" s="5" t="str">
        <f>IF(ISERROR(VLOOKUP(H25,Scope!A:A,1,FALSE)),"No","Yes")</f>
        <v>Yes</v>
      </c>
      <c r="F25" s="1" t="s">
        <v>752</v>
      </c>
      <c r="G25" s="53" t="s">
        <v>782</v>
      </c>
      <c r="H25" s="53" t="s">
        <v>783</v>
      </c>
      <c r="I25" s="5">
        <v>1</v>
      </c>
      <c r="J25" s="1" t="s">
        <v>758</v>
      </c>
      <c r="K25" s="1" t="s">
        <v>784</v>
      </c>
      <c r="L25" s="1" t="s">
        <v>785</v>
      </c>
      <c r="M25" s="1" t="s">
        <v>786</v>
      </c>
      <c r="N25" s="5" t="s">
        <v>98</v>
      </c>
      <c r="O25" s="1" t="str">
        <f>_xlfn.XLOOKUP(G25,SRMs!$A:$A,SRMs!$D:$D)</f>
        <v>PARTIAL INHERITANCE</v>
      </c>
      <c r="P25" s="1" t="str">
        <f>IFERROR(VLOOKUP(H25,Inherited!A:B,2,FALSE),"")</f>
        <v/>
      </c>
      <c r="Q25" s="1" t="e">
        <f>IF(MATCH(H25,Inherited!A:A),IF((((_xlfn.XLOOKUP(Assessment!#REF!,Inherited!A:A,Inherited!B:B))/100)*(_xlfn.XLOOKUP(Assessment!#REF!,Inherited!A:A,Inherited!C:C)))+(((100-(_xlfn.XLOOKUP(Assessment!#REF!,Inherited!A:A,Inherited!B:B)))/100)*IF(X25="1.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(100%)","100"))))))&lt;=10,"0", IF(AND((((_xlfn.XLOOKUP(Assessment!#REF!,Inherited!A:A,Inherited!B:B))/100)*(_xlfn.XLOOKUP(Assessment!#REF!,Inherited!A:A,Inherited!C:C)))+(((100-(_xlfn.XLOOKUP(Assessment!#REF!,Inherited!A:A,Inherited!B:B)))/100)*IF(X25="1.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(100%)","100"))))))&gt;=11,(((_xlfn.XLOOKUP(Assessment!#REF!,Inherited!A:A,Inherited!B:B))/100)*(_xlfn.XLOOKUP(Assessment!#REF!,Inherited!A:A,Inherited!C:C)))+(((100-(_xlfn.XLOOKUP(Assessment!#REF!,Inherited!A:A,Inherited!B:B)))/100)*IF(X25="1.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(100%)","100"))))))&lt;=32),"25",IF(AND((((_xlfn.XLOOKUP(Assessment!#REF!,Inherited!A:A,Inherited!B:B))/100)*(_xlfn.XLOOKUP(Assessment!#REF!,Inherited!A:A,Inherited!C:C)))+(((100-(_xlfn.XLOOKUP(Assessment!#REF!,Inherited!A:A,Inherited!B:B)))/100)*IF(X25="1.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(100%)","100"))))))&gt;=33,(((_xlfn.XLOOKUP(Assessment!#REF!,Inherited!A:A,Inherited!B:B))/100)*(_xlfn.XLOOKUP(Assessment!#REF!,Inherited!A:A,Inherited!C:C)))+(((100-(_xlfn.XLOOKUP(Assessment!#REF!,Inherited!A:A,Inherited!B:B)))/100)*IF(X25="1.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(100%)","100"))))))&lt;=65),"50",IF(AND((((_xlfn.XLOOKUP(Assessment!#REF!,Inherited!A:A,Inherited!B:B))/100)*(_xlfn.XLOOKUP(Assessment!#REF!,Inherited!A:A,Inherited!C:C)))+(((100-(_xlfn.XLOOKUP(Assessment!#REF!,Inherited!A:A,Inherited!B:B)))/100)*IF(X25="1.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(100%)","100"))))))&gt;=66,(((_xlfn.XLOOKUP(Assessment!#REF!,Inherited!A:A,Inherited!B:B))/100)*(_xlfn.XLOOKUP(Assessment!#REF!,Inherited!A:A,Inherited!C:C)))+(((100-(_xlfn.XLOOKUP(Assessment!#REF!,Inherited!A:A,Inherited!B:B)))/100)*IF(X25="1.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(100%)","100"))))))&lt;=89),"75",IF((((_xlfn.XLOOKUP(Assessment!#REF!,Inherited!A:A,Inherited!B:B))/100)*(_xlfn.XLOOKUP(Assessment!#REF!,Inherited!A:A,Inherited!C:C)))+(((100-(_xlfn.XLOOKUP(Assessment!#REF!,Inherited!A:A,Inherited!B:B)))/100)*IF(X25="1. Non Compliant (0%)","0",IF(X25="2. Somewhat Compliant (25%)","25",IF(X25="3. Partially Compliant (50%)","50",IF(X25="4. Mostly Compliant (75%)","75",IF(X25="5. Fully Compliant (100%)","100"))))))&gt;=90,"100"))))))</f>
        <v>#N/A</v>
      </c>
      <c r="R25" s="1" t="e">
        <f>IF(MATCH(H25,Inherited!A:A),IF((((_xlfn.XLOOKUP(Assessment!#REF!,Inherited!A:A,Inherited!B:B))/100)*(_xlfn.XLOOKUP(Assessment!#REF!,Inherited!A:A,Inherited!D:D)))+(((100-(_xlfn.XLOOKUP(Assessment!#REF!,Inherited!A:A,Inherited!B:B)))/100)*IF(Y25="1.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(100%)","100"))))))&lt;=10,"0", IF(AND((((_xlfn.XLOOKUP(Assessment!#REF!,Inherited!A:A,Inherited!B:B))/100)*(_xlfn.XLOOKUP(Assessment!#REF!,Inherited!A:A,Inherited!D:D)))+(((100-(_xlfn.XLOOKUP(Assessment!#REF!,Inherited!A:A,Inherited!B:B)))/100)*IF(Y25="1.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(100%)","100"))))))&gt;=11,(((_xlfn.XLOOKUP(Assessment!#REF!,Inherited!A:A,Inherited!B:B))/100)*(_xlfn.XLOOKUP(Assessment!#REF!,Inherited!A:A,Inherited!D:D)))+(((100-(_xlfn.XLOOKUP(Assessment!#REF!,Inherited!A:A,Inherited!B:B)))/100)*IF(Y25="1.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(100%)","100"))))))&lt;=32),"25",IF(AND((((_xlfn.XLOOKUP(Assessment!#REF!,Inherited!A:A,Inherited!B:B))/100)*(_xlfn.XLOOKUP(Assessment!#REF!,Inherited!A:A,Inherited!D:D)))+(((100-(_xlfn.XLOOKUP(Assessment!#REF!,Inherited!A:A,Inherited!B:B)))/100)*IF(Y25="1.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(100%)","100"))))))&gt;=33,(((_xlfn.XLOOKUP(Assessment!#REF!,Inherited!A:A,Inherited!B:B))/100)*(_xlfn.XLOOKUP(Assessment!#REF!,Inherited!A:A,Inherited!D:D)))+(((100-(_xlfn.XLOOKUP(Assessment!#REF!,Inherited!A:A,Inherited!B:B)))/100)*IF(Y25="1.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(100%)","100"))))))&lt;=65),"50",IF(AND((((_xlfn.XLOOKUP(Assessment!#REF!,Inherited!A:A,Inherited!B:B))/100)*(_xlfn.XLOOKUP(Assessment!#REF!,Inherited!A:A,Inherited!D:D)))+(((100-(_xlfn.XLOOKUP(Assessment!#REF!,Inherited!A:A,Inherited!B:B)))/100)*IF(Y25="1.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(100%)","100"))))))&gt;=66,(((_xlfn.XLOOKUP(Assessment!#REF!,Inherited!A:A,Inherited!B:B))/100)*(_xlfn.XLOOKUP(Assessment!#REF!,Inherited!A:A,Inherited!D:D)))+(((100-(_xlfn.XLOOKUP(Assessment!#REF!,Inherited!A:A,Inherited!B:B)))/100)*IF(Y25="1.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(100%)","100"))))))&lt;=89),"75",IF((((_xlfn.XLOOKUP(Assessment!#REF!,Inherited!A:A,Inherited!B:B))/100)*(_xlfn.XLOOKUP(Assessment!#REF!,Inherited!A:A,Inherited!D:D)))+(((100-(_xlfn.XLOOKUP(Assessment!#REF!,Inherited!A:A,Inherited!B:B)))/100)*IF(Y25="1. Non Compliant (0%)","0",IF(Y25="2. Somewhat Compliant (25%)","25",IF(Y25="3. Partially Compliant (50%)","50",IF(Y25="4. Mostly Compliant (75%)","75",IF(Y25="5. Fully Compliant (100%)","100"))))))&gt;=90,"100"))))))</f>
        <v>#N/A</v>
      </c>
      <c r="S25" s="1" t="e">
        <f>IF(MATCH(H25,Inherited!A:A),IF((((_xlfn.XLOOKUP(Assessment!#REF!,Inherited!A:A,Inherited!B:B))/100)*(_xlfn.XLOOKUP(Assessment!#REF!,Inherited!A:A,Inherited!E:E)))+(((100-(_xlfn.XLOOKUP(Assessment!#REF!,Inherited!A:A,Inherited!B:B)))/100)*IF(Z25="1.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(100%)","100"))))))&lt;=10,"0", IF(AND((((_xlfn.XLOOKUP(Assessment!#REF!,Inherited!A:A,Inherited!B:B))/100)*(_xlfn.XLOOKUP(Assessment!#REF!,Inherited!A:A,Inherited!E:E)))+(((100-(_xlfn.XLOOKUP(Assessment!#REF!,Inherited!A:A,Inherited!B:B)))/100)*IF(Z25="1.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(100%)","100"))))))&gt;=11,(((_xlfn.XLOOKUP(Assessment!#REF!,Inherited!A:A,Inherited!B:B))/100)*(_xlfn.XLOOKUP(Assessment!#REF!,Inherited!A:A,Inherited!E:E)))+(((100-(_xlfn.XLOOKUP(Assessment!#REF!,Inherited!A:A,Inherited!B:B)))/100)*IF(Z25="1.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(100%)","100"))))))&lt;=32),"25",IF(AND((((_xlfn.XLOOKUP(Assessment!#REF!,Inherited!A:A,Inherited!B:B))/100)*(_xlfn.XLOOKUP(Assessment!#REF!,Inherited!A:A,Inherited!E:E)))+(((100-(_xlfn.XLOOKUP(Assessment!#REF!,Inherited!A:A,Inherited!B:B)))/100)*IF(Z25="1.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(100%)","100"))))))&gt;=33,(((_xlfn.XLOOKUP(Assessment!#REF!,Inherited!A:A,Inherited!B:B))/100)*(_xlfn.XLOOKUP(Assessment!#REF!,Inherited!A:A,Inherited!E:E)))+(((100-(_xlfn.XLOOKUP(Assessment!#REF!,Inherited!A:A,Inherited!B:B)))/100)*IF(Z25="1.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(100%)","100"))))))&lt;=65),"50",IF(AND((((_xlfn.XLOOKUP(Assessment!#REF!,Inherited!A:A,Inherited!B:B))/100)*(_xlfn.XLOOKUP(Assessment!#REF!,Inherited!A:A,Inherited!E:E)))+(((100-(_xlfn.XLOOKUP(Assessment!#REF!,Inherited!A:A,Inherited!B:B)))/100)*IF(Z25="1.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(100%)","100"))))))&gt;=66,(((_xlfn.XLOOKUP(Assessment!#REF!,Inherited!A:A,Inherited!B:B))/100)*(_xlfn.XLOOKUP(Assessment!#REF!,Inherited!A:A,Inherited!E:E)))+(((100-(_xlfn.XLOOKUP(Assessment!#REF!,Inherited!A:A,Inherited!B:B)))/100)*IF(Z25="1.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(100%)","100"))))))&lt;=89),"75",IF((((_xlfn.XLOOKUP(Assessment!#REF!,Inherited!A:A,Inherited!B:B))/100)*(_xlfn.XLOOKUP(Assessment!#REF!,Inherited!A:A,Inherited!E:E)))+(((100-(_xlfn.XLOOKUP(Assessment!#REF!,Inherited!A:A,Inherited!B:B)))/100)*IF(Z25="1. Non Compliant (0%)","0",IF(Z25="2. Somewhat Compliant (25%)","25",IF(Z25="3. Partially Compliant (50%)","50",IF(Z25="4. Mostly Compliant (75%)","75",IF(Z25="5. Fully Compliant (100%)","100"))))))&gt;=90,"100"))))))</f>
        <v>#N/A</v>
      </c>
      <c r="T25" s="1" t="e">
        <f>IF(MATCH(H25,Inherited!A:A),IF((((_xlfn.XLOOKUP(Assessment!#REF!,Inherited!A:A,Inherited!B:B))/100)*(_xlfn.XLOOKUP(Assessment!#REF!,Inherited!A:A,Inherited!F:F)))+(((100-(_xlfn.XLOOKUP(Assessment!#REF!,Inherited!A:A,Inherited!B:B)))/100)*IF(AA25="1.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(100%)","100"))))))&lt;=10,"0", IF(AND((((_xlfn.XLOOKUP(Assessment!#REF!,Inherited!A:A,Inherited!B:B))/100)*(_xlfn.XLOOKUP(Assessment!#REF!,Inherited!A:A,Inherited!F:F)))+(((100-(_xlfn.XLOOKUP(Assessment!#REF!,Inherited!A:A,Inherited!B:B)))/100)*IF(AA25="1.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(100%)","100"))))))&gt;=11,(((_xlfn.XLOOKUP(Assessment!#REF!,Inherited!A:A,Inherited!B:B))/100)*(_xlfn.XLOOKUP(Assessment!#REF!,Inherited!A:A,Inherited!F:F)))+(((100-(_xlfn.XLOOKUP(Assessment!#REF!,Inherited!A:A,Inherited!B:B)))/100)*IF(AA25="1.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(100%)","100"))))))&lt;=32),"25",IF(AND((((_xlfn.XLOOKUP(Assessment!#REF!,Inherited!A:A,Inherited!B:B))/100)*(_xlfn.XLOOKUP(Assessment!#REF!,Inherited!A:A,Inherited!F:F)))+(((100-(_xlfn.XLOOKUP(Assessment!#REF!,Inherited!A:A,Inherited!B:B)))/100)*IF(AA25="1.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(100%)","100"))))))&gt;=33,(((_xlfn.XLOOKUP(Assessment!#REF!,Inherited!A:A,Inherited!B:B))/100)*(_xlfn.XLOOKUP(Assessment!#REF!,Inherited!A:A,Inherited!F:F)))+(((100-(_xlfn.XLOOKUP(Assessment!#REF!,Inherited!A:A,Inherited!B:B)))/100)*IF(AA25="1.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(100%)","100"))))))&lt;=65),"50",IF(AND((((_xlfn.XLOOKUP(Assessment!#REF!,Inherited!A:A,Inherited!B:B))/100)*(_xlfn.XLOOKUP(Assessment!#REF!,Inherited!A:A,Inherited!F:F)))+(((100-(_xlfn.XLOOKUP(Assessment!#REF!,Inherited!A:A,Inherited!B:B)))/100)*IF(AA25="1.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(100%)","100"))))))&gt;=66,(((_xlfn.XLOOKUP(Assessment!#REF!,Inherited!A:A,Inherited!B:B))/100)*(_xlfn.XLOOKUP(Assessment!#REF!,Inherited!A:A,Inherited!F:F)))+(((100-(_xlfn.XLOOKUP(Assessment!#REF!,Inherited!A:A,Inherited!B:B)))/100)*IF(AA25="1.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(100%)","100"))))))&lt;=89),"75",IF((((_xlfn.XLOOKUP(Assessment!#REF!,Inherited!A:A,Inherited!B:B))/100)*(_xlfn.XLOOKUP(Assessment!#REF!,Inherited!A:A,Inherited!F:F)))+(((100-(_xlfn.XLOOKUP(Assessment!#REF!,Inherited!A:A,Inherited!B:B)))/100)*IF(AA25="1. Non Compliant (0%)","0",IF(AA25="2. Somewhat Compliant (25%)","25",IF(AA25="3. Partially Compliant (50%)","50",IF(AA25="4. Mostly Compliant (75%)","75",IF(AA25="5. Fully Compliant (100%)","100"))))))&gt;=90,"100"))))))</f>
        <v>#N/A</v>
      </c>
      <c r="U25" s="1" t="e">
        <f>IF(MATCH(H25,Inherited!A:A),IF((((_xlfn.XLOOKUP(Assessment!#REF!,Inherited!A:A,Inherited!B:B))/100)*(_xlfn.XLOOKUP(Assessment!#REF!,Inherited!A:A,Inherited!G:G)))+(((100-(_xlfn.XLOOKUP(Assessment!#REF!,Inherited!A:A,Inherited!B:B)))/100)*IF(AB25="1.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(100%)","100"))))))&lt;=10,"0", IF(AND((((_xlfn.XLOOKUP(Assessment!#REF!,Inherited!A:A,Inherited!B:B))/100)*(_xlfn.XLOOKUP(Assessment!#REF!,Inherited!A:A,Inherited!G:G)))+(((100-(_xlfn.XLOOKUP(Assessment!#REF!,Inherited!A:A,Inherited!B:B)))/100)*IF(AB25="1.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(100%)","100"))))))&gt;=11,(((_xlfn.XLOOKUP(Assessment!#REF!,Inherited!A:A,Inherited!B:B))/100)*(_xlfn.XLOOKUP(Assessment!#REF!,Inherited!A:A,Inherited!G:G)))+(((100-(_xlfn.XLOOKUP(Assessment!#REF!,Inherited!A:A,Inherited!B:B)))/100)*IF(AB25="1.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(100%)","100"))))))&lt;=32),"25",IF(AND((((_xlfn.XLOOKUP(Assessment!#REF!,Inherited!A:A,Inherited!B:B))/100)*(_xlfn.XLOOKUP(Assessment!#REF!,Inherited!A:A,Inherited!G:G)))+(((100-(_xlfn.XLOOKUP(Assessment!#REF!,Inherited!A:A,Inherited!B:B)))/100)*IF(AB25="1.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(100%)","100"))))))&gt;=33,(((_xlfn.XLOOKUP(Assessment!#REF!,Inherited!A:A,Inherited!B:B))/100)*(_xlfn.XLOOKUP(Assessment!#REF!,Inherited!A:A,Inherited!G:G)))+(((100-(_xlfn.XLOOKUP(Assessment!#REF!,Inherited!A:A,Inherited!B:B)))/100)*IF(AB25="1.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(100%)","100"))))))&lt;=65),"50",IF(AND((((_xlfn.XLOOKUP(Assessment!#REF!,Inherited!A:A,Inherited!B:B))/100)*(_xlfn.XLOOKUP(Assessment!#REF!,Inherited!A:A,Inherited!G:G)))+(((100-(_xlfn.XLOOKUP(Assessment!#REF!,Inherited!A:A,Inherited!B:B)))/100)*IF(AB25="1.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(100%)","100"))))))&gt;=66,(((_xlfn.XLOOKUP(Assessment!#REF!,Inherited!A:A,Inherited!B:B))/100)*(_xlfn.XLOOKUP(Assessment!#REF!,Inherited!A:A,Inherited!G:G)))+(((100-(_xlfn.XLOOKUP(Assessment!#REF!,Inherited!A:A,Inherited!B:B)))/100)*IF(AB25="1.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(100%)","100"))))))&lt;=89),"75",IF((((_xlfn.XLOOKUP(Assessment!#REF!,Inherited!A:A,Inherited!B:B))/100)*(_xlfn.XLOOKUP(Assessment!#REF!,Inherited!A:A,Inherited!G:G)))+(((100-(_xlfn.XLOOKUP(Assessment!#REF!,Inherited!A:A,Inherited!B:B)))/100)*IF(AB25="1. Non Compliant (0%)","0",IF(AB25="2. Somewhat Compliant (25%)","25",IF(AB25="3. Partially Compliant (50%)","50",IF(AB25="4. Mostly Compliant (75%)","75",IF(AB25="5. Fully Compliant (100%)","100"))))))&gt;=90,"100"))))))</f>
        <v>#N/A</v>
      </c>
      <c r="V25" s="55" t="s">
        <v>85</v>
      </c>
      <c r="W25" s="55"/>
      <c r="X25" s="55"/>
      <c r="Y25" s="55"/>
      <c r="Z25" s="55" t="s">
        <v>88</v>
      </c>
      <c r="AA25" s="55"/>
      <c r="AB25" s="55"/>
      <c r="AK25" s="1" t="s">
        <v>10891</v>
      </c>
      <c r="AL25" s="1" t="s">
        <v>10895</v>
      </c>
      <c r="AM25" s="1" t="s">
        <v>11145</v>
      </c>
      <c r="AP25" s="1" t="s">
        <v>11146</v>
      </c>
      <c r="AX25" s="3" t="str">
        <f>_xlfn.CONCAT("A-LIGN finished its review of this control on ",AR25, " during the scheduled fieldwork window (",Intro!$B$4,")."&amp; CHAR(10)&amp; CHAR(10))</f>
        <v xml:space="preserve">A-LIGN finished its review of this control on  during the scheduled fieldwork window (Fieldwork: xx/xx/xxxx - xx/xx/xxxx).
</v>
      </c>
      <c r="AY25" s="3" t="str">
        <f t="shared" si="41"/>
        <v/>
      </c>
      <c r="AZ25" s="3" t="str">
        <f t="shared" si="42"/>
        <v/>
      </c>
      <c r="BA25" s="3" t="str">
        <f t="shared" si="43"/>
        <v/>
      </c>
      <c r="BB25" s="3" t="str">
        <f t="shared" si="44"/>
        <v xml:space="preserve">Inquired of the following workforce member: 
Matthew Macaluso - Director of System Operations
Roze Nicolas - Director of TechOps
Inquiry lead to the following conclusions: 
NOTE: Portable and Removable Media is not technically restricted at this time
</v>
      </c>
      <c r="BC25" s="3" t="str">
        <f t="shared" si="45"/>
        <v xml:space="preserve">Observed the following live during fieldwork: 
Observed the SentinelOne dashboard which is utilized to ensure logging of USB devices is implemented.
Also observed that only specific drives will be able to be used on approved devices.
</v>
      </c>
      <c r="BD25" s="3" t="str">
        <f t="shared" si="46"/>
        <v xml:space="preserve">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v>
      </c>
      <c r="BE25" s="3" t="str">
        <f t="shared" si="47"/>
        <v/>
      </c>
      <c r="BF25" s="3" t="str">
        <f t="shared" si="48"/>
        <v/>
      </c>
      <c r="BG25" s="3" t="str">
        <f>_xlfn.CONCAT((IF((COUNTIF('Sample Tables'!B:B,"")&gt;0)=TRUE,_xlfn.CONCAT("",""),IF((COUNTIF('Sample Tables'!B:B,"")&gt;0)=FALSE,""))),)</f>
        <v/>
      </c>
      <c r="BH25" s="3" t="str">
        <f t="shared" si="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NOTE: Portable and Removable Media is not technically restricted at this time
Observed the following live during fieldwork: 
Observed the SentinelOne dashboard which is utilized to ensure logging of USB devices is implemented.
Also observed that only specific drives will be able to be used on approved devices.
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v>
      </c>
    </row>
    <row r="26" spans="3:60" ht="409.5" x14ac:dyDescent="0.35">
      <c r="C26" s="1">
        <f t="shared" si="40"/>
        <v>30</v>
      </c>
      <c r="D26" s="5" t="str">
        <f>IF(AND((_xlfn.XLOOKUP(J26,'Fields &amp; Revisions'!$H:$H,'Fields &amp; Revisions'!$I:$I))&lt;70.99,(OR(Z26="4. Mostly Compliant (75%)",Z26="3. Partially Compliant (50%)",Z26="2. Somewhat Compliant (25%)",Z26="1. Non Compliant (0%)"))),"Yes","No")</f>
        <v>Yes</v>
      </c>
      <c r="E26" s="5" t="str">
        <f>IF(ISERROR(VLOOKUP(H26,Scope!A:A,1,FALSE)),"No","Yes")</f>
        <v>Yes</v>
      </c>
      <c r="F26" s="1" t="s">
        <v>752</v>
      </c>
      <c r="G26" s="53" t="s">
        <v>795</v>
      </c>
      <c r="H26" s="53" t="s">
        <v>796</v>
      </c>
      <c r="I26" s="5">
        <v>1</v>
      </c>
      <c r="J26" s="1" t="s">
        <v>758</v>
      </c>
      <c r="K26" s="1" t="s">
        <v>797</v>
      </c>
      <c r="L26" s="1" t="s">
        <v>798</v>
      </c>
      <c r="M26" s="1" t="s">
        <v>799</v>
      </c>
      <c r="N26" s="5" t="s">
        <v>85</v>
      </c>
      <c r="O26" s="1" t="str">
        <f>_xlfn.XLOOKUP(G26,SRMs!$A:$A,SRMs!$D:$D)</f>
        <v>PARTIAL INHERITANCE</v>
      </c>
      <c r="P26" s="1" t="str">
        <f>IFERROR(VLOOKUP(H26,Inherited!A:B,2,FALSE),"")</f>
        <v/>
      </c>
      <c r="Q26" s="1" t="e">
        <f>IF(MATCH(H26,Inherited!A:A),IF((((_xlfn.XLOOKUP(Assessment!#REF!,Inherited!A:A,Inherited!B:B))/100)*(_xlfn.XLOOKUP(Assessment!#REF!,Inherited!A:A,Inherited!C:C)))+(((100-(_xlfn.XLOOKUP(Assessment!#REF!,Inherited!A:A,Inherited!B:B)))/100)*IF(X26="1.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(100%)","100"))))))&lt;=10,"0", IF(AND((((_xlfn.XLOOKUP(Assessment!#REF!,Inherited!A:A,Inherited!B:B))/100)*(_xlfn.XLOOKUP(Assessment!#REF!,Inherited!A:A,Inherited!C:C)))+(((100-(_xlfn.XLOOKUP(Assessment!#REF!,Inherited!A:A,Inherited!B:B)))/100)*IF(X26="1.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(100%)","100"))))))&gt;=11,(((_xlfn.XLOOKUP(Assessment!#REF!,Inherited!A:A,Inherited!B:B))/100)*(_xlfn.XLOOKUP(Assessment!#REF!,Inherited!A:A,Inherited!C:C)))+(((100-(_xlfn.XLOOKUP(Assessment!#REF!,Inherited!A:A,Inherited!B:B)))/100)*IF(X26="1.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(100%)","100"))))))&lt;=32),"25",IF(AND((((_xlfn.XLOOKUP(Assessment!#REF!,Inherited!A:A,Inherited!B:B))/100)*(_xlfn.XLOOKUP(Assessment!#REF!,Inherited!A:A,Inherited!C:C)))+(((100-(_xlfn.XLOOKUP(Assessment!#REF!,Inherited!A:A,Inherited!B:B)))/100)*IF(X26="1.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(100%)","100"))))))&gt;=33,(((_xlfn.XLOOKUP(Assessment!#REF!,Inherited!A:A,Inherited!B:B))/100)*(_xlfn.XLOOKUP(Assessment!#REF!,Inherited!A:A,Inherited!C:C)))+(((100-(_xlfn.XLOOKUP(Assessment!#REF!,Inherited!A:A,Inherited!B:B)))/100)*IF(X26="1.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(100%)","100"))))))&lt;=65),"50",IF(AND((((_xlfn.XLOOKUP(Assessment!#REF!,Inherited!A:A,Inherited!B:B))/100)*(_xlfn.XLOOKUP(Assessment!#REF!,Inherited!A:A,Inherited!C:C)))+(((100-(_xlfn.XLOOKUP(Assessment!#REF!,Inherited!A:A,Inherited!B:B)))/100)*IF(X26="1.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(100%)","100"))))))&gt;=66,(((_xlfn.XLOOKUP(Assessment!#REF!,Inherited!A:A,Inherited!B:B))/100)*(_xlfn.XLOOKUP(Assessment!#REF!,Inherited!A:A,Inherited!C:C)))+(((100-(_xlfn.XLOOKUP(Assessment!#REF!,Inherited!A:A,Inherited!B:B)))/100)*IF(X26="1.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(100%)","100"))))))&lt;=89),"75",IF((((_xlfn.XLOOKUP(Assessment!#REF!,Inherited!A:A,Inherited!B:B))/100)*(_xlfn.XLOOKUP(Assessment!#REF!,Inherited!A:A,Inherited!C:C)))+(((100-(_xlfn.XLOOKUP(Assessment!#REF!,Inherited!A:A,Inherited!B:B)))/100)*IF(X26="1. Non Compliant (0%)","0",IF(X26="2. Somewhat Compliant (25%)","25",IF(X26="3. Partially Compliant (50%)","50",IF(X26="4. Mostly Compliant (75%)","75",IF(X26="5. Fully Compliant (100%)","100"))))))&gt;=90,"100"))))))</f>
        <v>#N/A</v>
      </c>
      <c r="R26" s="1" t="e">
        <f>IF(MATCH(H26,Inherited!A:A),IF((((_xlfn.XLOOKUP(Assessment!#REF!,Inherited!A:A,Inherited!B:B))/100)*(_xlfn.XLOOKUP(Assessment!#REF!,Inherited!A:A,Inherited!D:D)))+(((100-(_xlfn.XLOOKUP(Assessment!#REF!,Inherited!A:A,Inherited!B:B)))/100)*IF(Y26="1.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(100%)","100"))))))&lt;=10,"0", IF(AND((((_xlfn.XLOOKUP(Assessment!#REF!,Inherited!A:A,Inherited!B:B))/100)*(_xlfn.XLOOKUP(Assessment!#REF!,Inherited!A:A,Inherited!D:D)))+(((100-(_xlfn.XLOOKUP(Assessment!#REF!,Inherited!A:A,Inherited!B:B)))/100)*IF(Y26="1.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(100%)","100"))))))&gt;=11,(((_xlfn.XLOOKUP(Assessment!#REF!,Inherited!A:A,Inherited!B:B))/100)*(_xlfn.XLOOKUP(Assessment!#REF!,Inherited!A:A,Inherited!D:D)))+(((100-(_xlfn.XLOOKUP(Assessment!#REF!,Inherited!A:A,Inherited!B:B)))/100)*IF(Y26="1.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(100%)","100"))))))&lt;=32),"25",IF(AND((((_xlfn.XLOOKUP(Assessment!#REF!,Inherited!A:A,Inherited!B:B))/100)*(_xlfn.XLOOKUP(Assessment!#REF!,Inherited!A:A,Inherited!D:D)))+(((100-(_xlfn.XLOOKUP(Assessment!#REF!,Inherited!A:A,Inherited!B:B)))/100)*IF(Y26="1.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(100%)","100"))))))&gt;=33,(((_xlfn.XLOOKUP(Assessment!#REF!,Inherited!A:A,Inherited!B:B))/100)*(_xlfn.XLOOKUP(Assessment!#REF!,Inherited!A:A,Inherited!D:D)))+(((100-(_xlfn.XLOOKUP(Assessment!#REF!,Inherited!A:A,Inherited!B:B)))/100)*IF(Y26="1.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(100%)","100"))))))&lt;=65),"50",IF(AND((((_xlfn.XLOOKUP(Assessment!#REF!,Inherited!A:A,Inherited!B:B))/100)*(_xlfn.XLOOKUP(Assessment!#REF!,Inherited!A:A,Inherited!D:D)))+(((100-(_xlfn.XLOOKUP(Assessment!#REF!,Inherited!A:A,Inherited!B:B)))/100)*IF(Y26="1.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(100%)","100"))))))&gt;=66,(((_xlfn.XLOOKUP(Assessment!#REF!,Inherited!A:A,Inherited!B:B))/100)*(_xlfn.XLOOKUP(Assessment!#REF!,Inherited!A:A,Inherited!D:D)))+(((100-(_xlfn.XLOOKUP(Assessment!#REF!,Inherited!A:A,Inherited!B:B)))/100)*IF(Y26="1.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(100%)","100"))))))&lt;=89),"75",IF((((_xlfn.XLOOKUP(Assessment!#REF!,Inherited!A:A,Inherited!B:B))/100)*(_xlfn.XLOOKUP(Assessment!#REF!,Inherited!A:A,Inherited!D:D)))+(((100-(_xlfn.XLOOKUP(Assessment!#REF!,Inherited!A:A,Inherited!B:B)))/100)*IF(Y26="1. Non Compliant (0%)","0",IF(Y26="2. Somewhat Compliant (25%)","25",IF(Y26="3. Partially Compliant (50%)","50",IF(Y26="4. Mostly Compliant (75%)","75",IF(Y26="5. Fully Compliant (100%)","100"))))))&gt;=90,"100"))))))</f>
        <v>#N/A</v>
      </c>
      <c r="S26" s="1" t="e">
        <f>IF(MATCH(H26,Inherited!A:A),IF((((_xlfn.XLOOKUP(Assessment!#REF!,Inherited!A:A,Inherited!B:B))/100)*(_xlfn.XLOOKUP(Assessment!#REF!,Inherited!A:A,Inherited!E:E)))+(((100-(_xlfn.XLOOKUP(Assessment!#REF!,Inherited!A:A,Inherited!B:B)))/100)*IF(Z26="1.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(100%)","100"))))))&lt;=10,"0", IF(AND((((_xlfn.XLOOKUP(Assessment!#REF!,Inherited!A:A,Inherited!B:B))/100)*(_xlfn.XLOOKUP(Assessment!#REF!,Inherited!A:A,Inherited!E:E)))+(((100-(_xlfn.XLOOKUP(Assessment!#REF!,Inherited!A:A,Inherited!B:B)))/100)*IF(Z26="1.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(100%)","100"))))))&gt;=11,(((_xlfn.XLOOKUP(Assessment!#REF!,Inherited!A:A,Inherited!B:B))/100)*(_xlfn.XLOOKUP(Assessment!#REF!,Inherited!A:A,Inherited!E:E)))+(((100-(_xlfn.XLOOKUP(Assessment!#REF!,Inherited!A:A,Inherited!B:B)))/100)*IF(Z26="1.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(100%)","100"))))))&lt;=32),"25",IF(AND((((_xlfn.XLOOKUP(Assessment!#REF!,Inherited!A:A,Inherited!B:B))/100)*(_xlfn.XLOOKUP(Assessment!#REF!,Inherited!A:A,Inherited!E:E)))+(((100-(_xlfn.XLOOKUP(Assessment!#REF!,Inherited!A:A,Inherited!B:B)))/100)*IF(Z26="1.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(100%)","100"))))))&gt;=33,(((_xlfn.XLOOKUP(Assessment!#REF!,Inherited!A:A,Inherited!B:B))/100)*(_xlfn.XLOOKUP(Assessment!#REF!,Inherited!A:A,Inherited!E:E)))+(((100-(_xlfn.XLOOKUP(Assessment!#REF!,Inherited!A:A,Inherited!B:B)))/100)*IF(Z26="1.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(100%)","100"))))))&lt;=65),"50",IF(AND((((_xlfn.XLOOKUP(Assessment!#REF!,Inherited!A:A,Inherited!B:B))/100)*(_xlfn.XLOOKUP(Assessment!#REF!,Inherited!A:A,Inherited!E:E)))+(((100-(_xlfn.XLOOKUP(Assessment!#REF!,Inherited!A:A,Inherited!B:B)))/100)*IF(Z26="1.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(100%)","100"))))))&gt;=66,(((_xlfn.XLOOKUP(Assessment!#REF!,Inherited!A:A,Inherited!B:B))/100)*(_xlfn.XLOOKUP(Assessment!#REF!,Inherited!A:A,Inherited!E:E)))+(((100-(_xlfn.XLOOKUP(Assessment!#REF!,Inherited!A:A,Inherited!B:B)))/100)*IF(Z26="1.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(100%)","100"))))))&lt;=89),"75",IF((((_xlfn.XLOOKUP(Assessment!#REF!,Inherited!A:A,Inherited!B:B))/100)*(_xlfn.XLOOKUP(Assessment!#REF!,Inherited!A:A,Inherited!E:E)))+(((100-(_xlfn.XLOOKUP(Assessment!#REF!,Inherited!A:A,Inherited!B:B)))/100)*IF(Z26="1. Non Compliant (0%)","0",IF(Z26="2. Somewhat Compliant (25%)","25",IF(Z26="3. Partially Compliant (50%)","50",IF(Z26="4. Mostly Compliant (75%)","75",IF(Z26="5. Fully Compliant (100%)","100"))))))&gt;=90,"100"))))))</f>
        <v>#N/A</v>
      </c>
      <c r="T26" s="1" t="e">
        <f>IF(MATCH(H26,Inherited!A:A),IF((((_xlfn.XLOOKUP(Assessment!#REF!,Inherited!A:A,Inherited!B:B))/100)*(_xlfn.XLOOKUP(Assessment!#REF!,Inherited!A:A,Inherited!F:F)))+(((100-(_xlfn.XLOOKUP(Assessment!#REF!,Inherited!A:A,Inherited!B:B)))/100)*IF(AA26="1.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(100%)","100"))))))&lt;=10,"0", IF(AND((((_xlfn.XLOOKUP(Assessment!#REF!,Inherited!A:A,Inherited!B:B))/100)*(_xlfn.XLOOKUP(Assessment!#REF!,Inherited!A:A,Inherited!F:F)))+(((100-(_xlfn.XLOOKUP(Assessment!#REF!,Inherited!A:A,Inherited!B:B)))/100)*IF(AA26="1.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(100%)","100"))))))&gt;=11,(((_xlfn.XLOOKUP(Assessment!#REF!,Inherited!A:A,Inherited!B:B))/100)*(_xlfn.XLOOKUP(Assessment!#REF!,Inherited!A:A,Inherited!F:F)))+(((100-(_xlfn.XLOOKUP(Assessment!#REF!,Inherited!A:A,Inherited!B:B)))/100)*IF(AA26="1.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(100%)","100"))))))&lt;=32),"25",IF(AND((((_xlfn.XLOOKUP(Assessment!#REF!,Inherited!A:A,Inherited!B:B))/100)*(_xlfn.XLOOKUP(Assessment!#REF!,Inherited!A:A,Inherited!F:F)))+(((100-(_xlfn.XLOOKUP(Assessment!#REF!,Inherited!A:A,Inherited!B:B)))/100)*IF(AA26="1.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(100%)","100"))))))&gt;=33,(((_xlfn.XLOOKUP(Assessment!#REF!,Inherited!A:A,Inherited!B:B))/100)*(_xlfn.XLOOKUP(Assessment!#REF!,Inherited!A:A,Inherited!F:F)))+(((100-(_xlfn.XLOOKUP(Assessment!#REF!,Inherited!A:A,Inherited!B:B)))/100)*IF(AA26="1.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(100%)","100"))))))&lt;=65),"50",IF(AND((((_xlfn.XLOOKUP(Assessment!#REF!,Inherited!A:A,Inherited!B:B))/100)*(_xlfn.XLOOKUP(Assessment!#REF!,Inherited!A:A,Inherited!F:F)))+(((100-(_xlfn.XLOOKUP(Assessment!#REF!,Inherited!A:A,Inherited!B:B)))/100)*IF(AA26="1.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(100%)","100"))))))&gt;=66,(((_xlfn.XLOOKUP(Assessment!#REF!,Inherited!A:A,Inherited!B:B))/100)*(_xlfn.XLOOKUP(Assessment!#REF!,Inherited!A:A,Inherited!F:F)))+(((100-(_xlfn.XLOOKUP(Assessment!#REF!,Inherited!A:A,Inherited!B:B)))/100)*IF(AA26="1.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(100%)","100"))))))&lt;=89),"75",IF((((_xlfn.XLOOKUP(Assessment!#REF!,Inherited!A:A,Inherited!B:B))/100)*(_xlfn.XLOOKUP(Assessment!#REF!,Inherited!A:A,Inherited!F:F)))+(((100-(_xlfn.XLOOKUP(Assessment!#REF!,Inherited!A:A,Inherited!B:B)))/100)*IF(AA26="1. Non Compliant (0%)","0",IF(AA26="2. Somewhat Compliant (25%)","25",IF(AA26="3. Partially Compliant (50%)","50",IF(AA26="4. Mostly Compliant (75%)","75",IF(AA26="5. Fully Compliant (100%)","100"))))))&gt;=90,"100"))))))</f>
        <v>#N/A</v>
      </c>
      <c r="U26" s="1" t="e">
        <f>IF(MATCH(H26,Inherited!A:A),IF((((_xlfn.XLOOKUP(Assessment!#REF!,Inherited!A:A,Inherited!B:B))/100)*(_xlfn.XLOOKUP(Assessment!#REF!,Inherited!A:A,Inherited!G:G)))+(((100-(_xlfn.XLOOKUP(Assessment!#REF!,Inherited!A:A,Inherited!B:B)))/100)*IF(AB26="1.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(100%)","100"))))))&lt;=10,"0", IF(AND((((_xlfn.XLOOKUP(Assessment!#REF!,Inherited!A:A,Inherited!B:B))/100)*(_xlfn.XLOOKUP(Assessment!#REF!,Inherited!A:A,Inherited!G:G)))+(((100-(_xlfn.XLOOKUP(Assessment!#REF!,Inherited!A:A,Inherited!B:B)))/100)*IF(AB26="1.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(100%)","100"))))))&gt;=11,(((_xlfn.XLOOKUP(Assessment!#REF!,Inherited!A:A,Inherited!B:B))/100)*(_xlfn.XLOOKUP(Assessment!#REF!,Inherited!A:A,Inherited!G:G)))+(((100-(_xlfn.XLOOKUP(Assessment!#REF!,Inherited!A:A,Inherited!B:B)))/100)*IF(AB26="1.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(100%)","100"))))))&lt;=32),"25",IF(AND((((_xlfn.XLOOKUP(Assessment!#REF!,Inherited!A:A,Inherited!B:B))/100)*(_xlfn.XLOOKUP(Assessment!#REF!,Inherited!A:A,Inherited!G:G)))+(((100-(_xlfn.XLOOKUP(Assessment!#REF!,Inherited!A:A,Inherited!B:B)))/100)*IF(AB26="1.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(100%)","100"))))))&gt;=33,(((_xlfn.XLOOKUP(Assessment!#REF!,Inherited!A:A,Inherited!B:B))/100)*(_xlfn.XLOOKUP(Assessment!#REF!,Inherited!A:A,Inherited!G:G)))+(((100-(_xlfn.XLOOKUP(Assessment!#REF!,Inherited!A:A,Inherited!B:B)))/100)*IF(AB26="1.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(100%)","100"))))))&lt;=65),"50",IF(AND((((_xlfn.XLOOKUP(Assessment!#REF!,Inherited!A:A,Inherited!B:B))/100)*(_xlfn.XLOOKUP(Assessment!#REF!,Inherited!A:A,Inherited!G:G)))+(((100-(_xlfn.XLOOKUP(Assessment!#REF!,Inherited!A:A,Inherited!B:B)))/100)*IF(AB26="1.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(100%)","100"))))))&gt;=66,(((_xlfn.XLOOKUP(Assessment!#REF!,Inherited!A:A,Inherited!B:B))/100)*(_xlfn.XLOOKUP(Assessment!#REF!,Inherited!A:A,Inherited!G:G)))+(((100-(_xlfn.XLOOKUP(Assessment!#REF!,Inherited!A:A,Inherited!B:B)))/100)*IF(AB26="1.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(100%)","100"))))))&lt;=89),"75",IF((((_xlfn.XLOOKUP(Assessment!#REF!,Inherited!A:A,Inherited!B:B))/100)*(_xlfn.XLOOKUP(Assessment!#REF!,Inherited!A:A,Inherited!G:G)))+(((100-(_xlfn.XLOOKUP(Assessment!#REF!,Inherited!A:A,Inherited!B:B)))/100)*IF(AB26="1. Non Compliant (0%)","0",IF(AB26="2. Somewhat Compliant (25%)","25",IF(AB26="3. Partially Compliant (50%)","50",IF(AB26="4. Mostly Compliant (75%)","75",IF(AB26="5. Fully Compliant (100%)","100"))))))&gt;=90,"100"))))))</f>
        <v>#N/A</v>
      </c>
      <c r="V26" s="55" t="s">
        <v>85</v>
      </c>
      <c r="W26" s="55"/>
      <c r="X26" s="55"/>
      <c r="Y26" s="55"/>
      <c r="Z26" s="55" t="s">
        <v>87</v>
      </c>
      <c r="AA26" s="55"/>
      <c r="AB26" s="55"/>
      <c r="AK26" s="1" t="s">
        <v>10891</v>
      </c>
      <c r="AL26" s="1" t="s">
        <v>11150</v>
      </c>
      <c r="AM26" s="1" t="s">
        <v>11151</v>
      </c>
      <c r="AP26" s="1" t="s">
        <v>11146</v>
      </c>
      <c r="AX26" s="3" t="str">
        <f>_xlfn.CONCAT("A-LIGN finished its review of this control on ",AR26, " during the scheduled fieldwork window (",Intro!$B$4,")."&amp; CHAR(10)&amp; CHAR(10))</f>
        <v xml:space="preserve">A-LIGN finished its review of this control on  during the scheduled fieldwork window (Fieldwork: xx/xx/xxxx - xx/xx/xxxx).
</v>
      </c>
      <c r="AY26" s="3" t="str">
        <f t="shared" si="41"/>
        <v/>
      </c>
      <c r="AZ26" s="3" t="str">
        <f t="shared" si="42"/>
        <v/>
      </c>
      <c r="BA26" s="3" t="str">
        <f t="shared" si="43"/>
        <v/>
      </c>
      <c r="BB26" s="3" t="str">
        <f t="shared" si="44"/>
        <v xml:space="preserve">Inquired of the following workforce member: 
Matthew Macaluso - Director of System Operations
Roze Nicolas - Director of TechOps
Inquiry lead to the following conclusions: 
Any devices would be directly purcahased through Apple Business Manager or CDW (Windows)
</v>
      </c>
      <c r="BC26" s="3" t="str">
        <f t="shared" si="45"/>
        <v xml:space="preserve">Observed the following live during fieldwork: 
Observed that admin users have the ability to remote lock and remote wipe devices. In the case one were to be missing/stolen/no longer needed/etc. 
</v>
      </c>
      <c r="BD26" s="3" t="str">
        <f t="shared" si="46"/>
        <v xml:space="preserve">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v>
      </c>
      <c r="BE26" s="3" t="str">
        <f t="shared" si="47"/>
        <v/>
      </c>
      <c r="BF26" s="3" t="str">
        <f t="shared" si="48"/>
        <v/>
      </c>
      <c r="BG26" s="3" t="str">
        <f>_xlfn.CONCAT((IF((COUNTIF('Sample Tables'!B:B,"Test 185: Removable Media")&gt;0)=TRUE,_xlfn.CONCAT("Sample test results are documented in ",'Sample Tables'!B2031," [",'Sample Tables'!B2032,", ",'Sample Tables'!B2033,", ",'Sample Tables'!B2034,", ",'Sample Tables'!B2035,", ",'Sample Tables'!B2036,"]."&amp;CHAR(10)),IF((COUNTIF('Sample Tables'!B:B,"Test 185: Removable Media")&gt;0)=FALSE,""))),)</f>
        <v xml:space="preserve">Sample test results are documented in Test 185: Removable Media [Population Source/Tool: , Population Date Range: , Population Size: , Sample Methodology: , Sample Size: ].
</v>
      </c>
      <c r="BH26" s="3" t="str">
        <f t="shared" si="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Any devices would be directly purcahased through Apple Business Manager or CDW (Windows)
Observed the following live during fieldwork: 
Observed that admin users have the ability to remote lock and remote wipe devices. In the case one were to be missing/stolen/no longer needed/etc. 
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Sample test results are documented in Test 185: Removable Media [Population Source/Tool: , Population Date Range: , Population Size: , Sample Methodology: , Sample Size: ].
</v>
      </c>
    </row>
    <row r="27" spans="3:60" ht="409.5" x14ac:dyDescent="0.35">
      <c r="C27" s="1">
        <f t="shared" ref="C27:C31" si="50">IF(V27="No","Not Applicable",(IF(X27="1. Non Compliant (0%)","0",IF(X27="2. Somewhat Compliant (25%)","25",IF(X27="3. Partially Compliant (50%)","50",IF(X27="4. Mostly Compliant (75%)","75",IF(X27="5. Fully Compliant (100%)","100")))))*0.15)+((IF(Y27="1. Non Compliant (0%)","0",IF(Y27="2. Somewhat Compliant (25%)","25",IF(Y27="3. Partially Compliant (50%)","50",IF(Y27="4. Mostly Compliant (75%)","75",IF(Y27="5. Fully Compliant (100%)","100"))))))*0.2)+(IF(Z27="1. Non Compliant (0%)","0",IF(Z27="2. Somewhat Compliant (25%)","25",IF(Z27="3. Partially Compliant (50%)","50",IF(Z27="4. Mostly Compliant (75%)","75",IF(Z27="5. Fully Compliant (100%)","100")))))*0.4)+(IF(AA27="1. Non Compliant (0%)","0",IF(AA27="2. Somewhat Compliant (25%)","25",IF(AA27="3. Partially Compliant (50%)","50",IF(AA27="4. Mostly Compliant (75%)","75",IF(AA27="5. Fully Compliant (100%)","100")))))*0.1)+(IF(AB27="1. Non Compliant (0%)","0",IF(AB27="2. Somewhat Compliant (25%)","25",IF(AB27="3. Partially Compliant (50%)","50",IF(AB27="4. Mostly Compliant (75%)","75",IF(AB27="5. Fully Compliant (100%)","100")))))*0.15))</f>
        <v>30</v>
      </c>
      <c r="D27" s="5" t="str">
        <f>IF(AND((_xlfn.XLOOKUP(J27,'Fields &amp; Revisions'!$H:$H,'Fields &amp; Revisions'!$I:$I))&lt;70.99,(OR(Z27="4. Mostly Compliant (75%)",Z27="3. Partially Compliant (50%)",Z27="2. Somewhat Compliant (25%)",Z27="1. Non Compliant (0%)"))),"Yes","No")</f>
        <v>Yes</v>
      </c>
      <c r="E27" s="5" t="str">
        <f>IF(ISERROR(VLOOKUP(H27,Scope!A:A,1,FALSE)),"No","Yes")</f>
        <v>Yes</v>
      </c>
      <c r="F27" s="1" t="s">
        <v>752</v>
      </c>
      <c r="G27" s="53" t="s">
        <v>826</v>
      </c>
      <c r="H27" s="53" t="s">
        <v>827</v>
      </c>
      <c r="I27" s="5">
        <v>1</v>
      </c>
      <c r="J27" s="1" t="s">
        <v>773</v>
      </c>
      <c r="K27" s="1" t="s">
        <v>828</v>
      </c>
      <c r="L27" s="1" t="s">
        <v>829</v>
      </c>
      <c r="M27" s="1" t="s">
        <v>805</v>
      </c>
      <c r="N27" s="5" t="s">
        <v>85</v>
      </c>
      <c r="O27" s="1" t="str">
        <f>_xlfn.XLOOKUP(G27,SRMs!$A:$A,SRMs!$D:$D)</f>
        <v>FULL INHERITANCE</v>
      </c>
      <c r="P27" s="1" t="str">
        <f>IFERROR(VLOOKUP(H27,Inherited!A:B,2,FALSE),"")</f>
        <v/>
      </c>
      <c r="Q27" s="1" t="e">
        <f>IF(MATCH(H27,Inherited!A:A),IF((((_xlfn.XLOOKUP(Assessment!#REF!,Inherited!A:A,Inherited!B:B))/100)*(_xlfn.XLOOKUP(Assessment!#REF!,Inherited!A:A,Inherited!C:C)))+(((100-(_xlfn.XLOOKUP(Assessment!#REF!,Inherited!A:A,Inherited!B:B)))/100)*IF(X27="1.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(100%)","100"))))))&lt;=10,"0", IF(AND((((_xlfn.XLOOKUP(Assessment!#REF!,Inherited!A:A,Inherited!B:B))/100)*(_xlfn.XLOOKUP(Assessment!#REF!,Inherited!A:A,Inherited!C:C)))+(((100-(_xlfn.XLOOKUP(Assessment!#REF!,Inherited!A:A,Inherited!B:B)))/100)*IF(X27="1.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(100%)","100"))))))&gt;=11,(((_xlfn.XLOOKUP(Assessment!#REF!,Inherited!A:A,Inherited!B:B))/100)*(_xlfn.XLOOKUP(Assessment!#REF!,Inherited!A:A,Inherited!C:C)))+(((100-(_xlfn.XLOOKUP(Assessment!#REF!,Inherited!A:A,Inherited!B:B)))/100)*IF(X27="1.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(100%)","100"))))))&lt;=32),"25",IF(AND((((_xlfn.XLOOKUP(Assessment!#REF!,Inherited!A:A,Inherited!B:B))/100)*(_xlfn.XLOOKUP(Assessment!#REF!,Inherited!A:A,Inherited!C:C)))+(((100-(_xlfn.XLOOKUP(Assessment!#REF!,Inherited!A:A,Inherited!B:B)))/100)*IF(X27="1.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(100%)","100"))))))&gt;=33,(((_xlfn.XLOOKUP(Assessment!#REF!,Inherited!A:A,Inherited!B:B))/100)*(_xlfn.XLOOKUP(Assessment!#REF!,Inherited!A:A,Inherited!C:C)))+(((100-(_xlfn.XLOOKUP(Assessment!#REF!,Inherited!A:A,Inherited!B:B)))/100)*IF(X27="1.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(100%)","100"))))))&lt;=65),"50",IF(AND((((_xlfn.XLOOKUP(Assessment!#REF!,Inherited!A:A,Inherited!B:B))/100)*(_xlfn.XLOOKUP(Assessment!#REF!,Inherited!A:A,Inherited!C:C)))+(((100-(_xlfn.XLOOKUP(Assessment!#REF!,Inherited!A:A,Inherited!B:B)))/100)*IF(X27="1.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(100%)","100"))))))&gt;=66,(((_xlfn.XLOOKUP(Assessment!#REF!,Inherited!A:A,Inherited!B:B))/100)*(_xlfn.XLOOKUP(Assessment!#REF!,Inherited!A:A,Inherited!C:C)))+(((100-(_xlfn.XLOOKUP(Assessment!#REF!,Inherited!A:A,Inherited!B:B)))/100)*IF(X27="1.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(100%)","100"))))))&lt;=89),"75",IF((((_xlfn.XLOOKUP(Assessment!#REF!,Inherited!A:A,Inherited!B:B))/100)*(_xlfn.XLOOKUP(Assessment!#REF!,Inherited!A:A,Inherited!C:C)))+(((100-(_xlfn.XLOOKUP(Assessment!#REF!,Inherited!A:A,Inherited!B:B)))/100)*IF(X27="1. Non Compliant (0%)","0",IF(X27="2. Somewhat Compliant (25%)","25",IF(X27="3. Partially Compliant (50%)","50",IF(X27="4. Mostly Compliant (75%)","75",IF(X27="5. Fully Compliant (100%)","100"))))))&gt;=90,"100"))))))</f>
        <v>#N/A</v>
      </c>
      <c r="R27" s="1" t="e">
        <f>IF(MATCH(H27,Inherited!A:A),IF((((_xlfn.XLOOKUP(Assessment!#REF!,Inherited!A:A,Inherited!B:B))/100)*(_xlfn.XLOOKUP(Assessment!#REF!,Inherited!A:A,Inherited!D:D)))+(((100-(_xlfn.XLOOKUP(Assessment!#REF!,Inherited!A:A,Inherited!B:B)))/100)*IF(Y27="1.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(100%)","100"))))))&lt;=10,"0", IF(AND((((_xlfn.XLOOKUP(Assessment!#REF!,Inherited!A:A,Inherited!B:B))/100)*(_xlfn.XLOOKUP(Assessment!#REF!,Inherited!A:A,Inherited!D:D)))+(((100-(_xlfn.XLOOKUP(Assessment!#REF!,Inherited!A:A,Inherited!B:B)))/100)*IF(Y27="1.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(100%)","100"))))))&gt;=11,(((_xlfn.XLOOKUP(Assessment!#REF!,Inherited!A:A,Inherited!B:B))/100)*(_xlfn.XLOOKUP(Assessment!#REF!,Inherited!A:A,Inherited!D:D)))+(((100-(_xlfn.XLOOKUP(Assessment!#REF!,Inherited!A:A,Inherited!B:B)))/100)*IF(Y27="1.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(100%)","100"))))))&lt;=32),"25",IF(AND((((_xlfn.XLOOKUP(Assessment!#REF!,Inherited!A:A,Inherited!B:B))/100)*(_xlfn.XLOOKUP(Assessment!#REF!,Inherited!A:A,Inherited!D:D)))+(((100-(_xlfn.XLOOKUP(Assessment!#REF!,Inherited!A:A,Inherited!B:B)))/100)*IF(Y27="1.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(100%)","100"))))))&gt;=33,(((_xlfn.XLOOKUP(Assessment!#REF!,Inherited!A:A,Inherited!B:B))/100)*(_xlfn.XLOOKUP(Assessment!#REF!,Inherited!A:A,Inherited!D:D)))+(((100-(_xlfn.XLOOKUP(Assessment!#REF!,Inherited!A:A,Inherited!B:B)))/100)*IF(Y27="1.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(100%)","100"))))))&lt;=65),"50",IF(AND((((_xlfn.XLOOKUP(Assessment!#REF!,Inherited!A:A,Inherited!B:B))/100)*(_xlfn.XLOOKUP(Assessment!#REF!,Inherited!A:A,Inherited!D:D)))+(((100-(_xlfn.XLOOKUP(Assessment!#REF!,Inherited!A:A,Inherited!B:B)))/100)*IF(Y27="1.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(100%)","100"))))))&gt;=66,(((_xlfn.XLOOKUP(Assessment!#REF!,Inherited!A:A,Inherited!B:B))/100)*(_xlfn.XLOOKUP(Assessment!#REF!,Inherited!A:A,Inherited!D:D)))+(((100-(_xlfn.XLOOKUP(Assessment!#REF!,Inherited!A:A,Inherited!B:B)))/100)*IF(Y27="1.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(100%)","100"))))))&lt;=89),"75",IF((((_xlfn.XLOOKUP(Assessment!#REF!,Inherited!A:A,Inherited!B:B))/100)*(_xlfn.XLOOKUP(Assessment!#REF!,Inherited!A:A,Inherited!D:D)))+(((100-(_xlfn.XLOOKUP(Assessment!#REF!,Inherited!A:A,Inherited!B:B)))/100)*IF(Y27="1. Non Compliant (0%)","0",IF(Y27="2. Somewhat Compliant (25%)","25",IF(Y27="3. Partially Compliant (50%)","50",IF(Y27="4. Mostly Compliant (75%)","75",IF(Y27="5. Fully Compliant (100%)","100"))))))&gt;=90,"100"))))))</f>
        <v>#N/A</v>
      </c>
      <c r="S27" s="1" t="e">
        <f>IF(MATCH(H27,Inherited!A:A),IF((((_xlfn.XLOOKUP(Assessment!#REF!,Inherited!A:A,Inherited!B:B))/100)*(_xlfn.XLOOKUP(Assessment!#REF!,Inherited!A:A,Inherited!E:E)))+(((100-(_xlfn.XLOOKUP(Assessment!#REF!,Inherited!A:A,Inherited!B:B)))/100)*IF(Z27="1.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(100%)","100"))))))&lt;=10,"0", IF(AND((((_xlfn.XLOOKUP(Assessment!#REF!,Inherited!A:A,Inherited!B:B))/100)*(_xlfn.XLOOKUP(Assessment!#REF!,Inherited!A:A,Inherited!E:E)))+(((100-(_xlfn.XLOOKUP(Assessment!#REF!,Inherited!A:A,Inherited!B:B)))/100)*IF(Z27="1.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(100%)","100"))))))&gt;=11,(((_xlfn.XLOOKUP(Assessment!#REF!,Inherited!A:A,Inherited!B:B))/100)*(_xlfn.XLOOKUP(Assessment!#REF!,Inherited!A:A,Inherited!E:E)))+(((100-(_xlfn.XLOOKUP(Assessment!#REF!,Inherited!A:A,Inherited!B:B)))/100)*IF(Z27="1.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(100%)","100"))))))&lt;=32),"25",IF(AND((((_xlfn.XLOOKUP(Assessment!#REF!,Inherited!A:A,Inherited!B:B))/100)*(_xlfn.XLOOKUP(Assessment!#REF!,Inherited!A:A,Inherited!E:E)))+(((100-(_xlfn.XLOOKUP(Assessment!#REF!,Inherited!A:A,Inherited!B:B)))/100)*IF(Z27="1.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(100%)","100"))))))&gt;=33,(((_xlfn.XLOOKUP(Assessment!#REF!,Inherited!A:A,Inherited!B:B))/100)*(_xlfn.XLOOKUP(Assessment!#REF!,Inherited!A:A,Inherited!E:E)))+(((100-(_xlfn.XLOOKUP(Assessment!#REF!,Inherited!A:A,Inherited!B:B)))/100)*IF(Z27="1.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(100%)","100"))))))&lt;=65),"50",IF(AND((((_xlfn.XLOOKUP(Assessment!#REF!,Inherited!A:A,Inherited!B:B))/100)*(_xlfn.XLOOKUP(Assessment!#REF!,Inherited!A:A,Inherited!E:E)))+(((100-(_xlfn.XLOOKUP(Assessment!#REF!,Inherited!A:A,Inherited!B:B)))/100)*IF(Z27="1.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(100%)","100"))))))&gt;=66,(((_xlfn.XLOOKUP(Assessment!#REF!,Inherited!A:A,Inherited!B:B))/100)*(_xlfn.XLOOKUP(Assessment!#REF!,Inherited!A:A,Inherited!E:E)))+(((100-(_xlfn.XLOOKUP(Assessment!#REF!,Inherited!A:A,Inherited!B:B)))/100)*IF(Z27="1.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(100%)","100"))))))&lt;=89),"75",IF((((_xlfn.XLOOKUP(Assessment!#REF!,Inherited!A:A,Inherited!B:B))/100)*(_xlfn.XLOOKUP(Assessment!#REF!,Inherited!A:A,Inherited!E:E)))+(((100-(_xlfn.XLOOKUP(Assessment!#REF!,Inherited!A:A,Inherited!B:B)))/100)*IF(Z27="1. Non Compliant (0%)","0",IF(Z27="2. Somewhat Compliant (25%)","25",IF(Z27="3. Partially Compliant (50%)","50",IF(Z27="4. Mostly Compliant (75%)","75",IF(Z27="5. Fully Compliant (100%)","100"))))))&gt;=90,"100"))))))</f>
        <v>#N/A</v>
      </c>
      <c r="T27" s="1" t="e">
        <f>IF(MATCH(H27,Inherited!A:A),IF((((_xlfn.XLOOKUP(Assessment!#REF!,Inherited!A:A,Inherited!B:B))/100)*(_xlfn.XLOOKUP(Assessment!#REF!,Inherited!A:A,Inherited!F:F)))+(((100-(_xlfn.XLOOKUP(Assessment!#REF!,Inherited!A:A,Inherited!B:B)))/100)*IF(AA27="1.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(100%)","100"))))))&lt;=10,"0", IF(AND((((_xlfn.XLOOKUP(Assessment!#REF!,Inherited!A:A,Inherited!B:B))/100)*(_xlfn.XLOOKUP(Assessment!#REF!,Inherited!A:A,Inherited!F:F)))+(((100-(_xlfn.XLOOKUP(Assessment!#REF!,Inherited!A:A,Inherited!B:B)))/100)*IF(AA27="1.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(100%)","100"))))))&gt;=11,(((_xlfn.XLOOKUP(Assessment!#REF!,Inherited!A:A,Inherited!B:B))/100)*(_xlfn.XLOOKUP(Assessment!#REF!,Inherited!A:A,Inherited!F:F)))+(((100-(_xlfn.XLOOKUP(Assessment!#REF!,Inherited!A:A,Inherited!B:B)))/100)*IF(AA27="1.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(100%)","100"))))))&lt;=32),"25",IF(AND((((_xlfn.XLOOKUP(Assessment!#REF!,Inherited!A:A,Inherited!B:B))/100)*(_xlfn.XLOOKUP(Assessment!#REF!,Inherited!A:A,Inherited!F:F)))+(((100-(_xlfn.XLOOKUP(Assessment!#REF!,Inherited!A:A,Inherited!B:B)))/100)*IF(AA27="1.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(100%)","100"))))))&gt;=33,(((_xlfn.XLOOKUP(Assessment!#REF!,Inherited!A:A,Inherited!B:B))/100)*(_xlfn.XLOOKUP(Assessment!#REF!,Inherited!A:A,Inherited!F:F)))+(((100-(_xlfn.XLOOKUP(Assessment!#REF!,Inherited!A:A,Inherited!B:B)))/100)*IF(AA27="1.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(100%)","100"))))))&lt;=65),"50",IF(AND((((_xlfn.XLOOKUP(Assessment!#REF!,Inherited!A:A,Inherited!B:B))/100)*(_xlfn.XLOOKUP(Assessment!#REF!,Inherited!A:A,Inherited!F:F)))+(((100-(_xlfn.XLOOKUP(Assessment!#REF!,Inherited!A:A,Inherited!B:B)))/100)*IF(AA27="1.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(100%)","100"))))))&gt;=66,(((_xlfn.XLOOKUP(Assessment!#REF!,Inherited!A:A,Inherited!B:B))/100)*(_xlfn.XLOOKUP(Assessment!#REF!,Inherited!A:A,Inherited!F:F)))+(((100-(_xlfn.XLOOKUP(Assessment!#REF!,Inherited!A:A,Inherited!B:B)))/100)*IF(AA27="1.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(100%)","100"))))))&lt;=89),"75",IF((((_xlfn.XLOOKUP(Assessment!#REF!,Inherited!A:A,Inherited!B:B))/100)*(_xlfn.XLOOKUP(Assessment!#REF!,Inherited!A:A,Inherited!F:F)))+(((100-(_xlfn.XLOOKUP(Assessment!#REF!,Inherited!A:A,Inherited!B:B)))/100)*IF(AA27="1. Non Compliant (0%)","0",IF(AA27="2. Somewhat Compliant (25%)","25",IF(AA27="3. Partially Compliant (50%)","50",IF(AA27="4. Mostly Compliant (75%)","75",IF(AA27="5. Fully Compliant (100%)","100"))))))&gt;=90,"100"))))))</f>
        <v>#N/A</v>
      </c>
      <c r="U27" s="1" t="e">
        <f>IF(MATCH(H27,Inherited!A:A),IF((((_xlfn.XLOOKUP(Assessment!#REF!,Inherited!A:A,Inherited!B:B))/100)*(_xlfn.XLOOKUP(Assessment!#REF!,Inherited!A:A,Inherited!G:G)))+(((100-(_xlfn.XLOOKUP(Assessment!#REF!,Inherited!A:A,Inherited!B:B)))/100)*IF(AB27="1.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(100%)","100"))))))&lt;=10,"0", IF(AND((((_xlfn.XLOOKUP(Assessment!#REF!,Inherited!A:A,Inherited!B:B))/100)*(_xlfn.XLOOKUP(Assessment!#REF!,Inherited!A:A,Inherited!G:G)))+(((100-(_xlfn.XLOOKUP(Assessment!#REF!,Inherited!A:A,Inherited!B:B)))/100)*IF(AB27="1.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(100%)","100"))))))&gt;=11,(((_xlfn.XLOOKUP(Assessment!#REF!,Inherited!A:A,Inherited!B:B))/100)*(_xlfn.XLOOKUP(Assessment!#REF!,Inherited!A:A,Inherited!G:G)))+(((100-(_xlfn.XLOOKUP(Assessment!#REF!,Inherited!A:A,Inherited!B:B)))/100)*IF(AB27="1.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(100%)","100"))))))&lt;=32),"25",IF(AND((((_xlfn.XLOOKUP(Assessment!#REF!,Inherited!A:A,Inherited!B:B))/100)*(_xlfn.XLOOKUP(Assessment!#REF!,Inherited!A:A,Inherited!G:G)))+(((100-(_xlfn.XLOOKUP(Assessment!#REF!,Inherited!A:A,Inherited!B:B)))/100)*IF(AB27="1.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(100%)","100"))))))&gt;=33,(((_xlfn.XLOOKUP(Assessment!#REF!,Inherited!A:A,Inherited!B:B))/100)*(_xlfn.XLOOKUP(Assessment!#REF!,Inherited!A:A,Inherited!G:G)))+(((100-(_xlfn.XLOOKUP(Assessment!#REF!,Inherited!A:A,Inherited!B:B)))/100)*IF(AB27="1.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(100%)","100"))))))&lt;=65),"50",IF(AND((((_xlfn.XLOOKUP(Assessment!#REF!,Inherited!A:A,Inherited!B:B))/100)*(_xlfn.XLOOKUP(Assessment!#REF!,Inherited!A:A,Inherited!G:G)))+(((100-(_xlfn.XLOOKUP(Assessment!#REF!,Inherited!A:A,Inherited!B:B)))/100)*IF(AB27="1.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(100%)","100"))))))&gt;=66,(((_xlfn.XLOOKUP(Assessment!#REF!,Inherited!A:A,Inherited!B:B))/100)*(_xlfn.XLOOKUP(Assessment!#REF!,Inherited!A:A,Inherited!G:G)))+(((100-(_xlfn.XLOOKUP(Assessment!#REF!,Inherited!A:A,Inherited!B:B)))/100)*IF(AB27="1.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(100%)","100"))))))&lt;=89),"75",IF((((_xlfn.XLOOKUP(Assessment!#REF!,Inherited!A:A,Inherited!B:B))/100)*(_xlfn.XLOOKUP(Assessment!#REF!,Inherited!A:A,Inherited!G:G)))+(((100-(_xlfn.XLOOKUP(Assessment!#REF!,Inherited!A:A,Inherited!B:B)))/100)*IF(AB27="1. Non Compliant (0%)","0",IF(AB27="2. Somewhat Compliant (25%)","25",IF(AB27="3. Partially Compliant (50%)","50",IF(AB27="4. Mostly Compliant (75%)","75",IF(AB27="5. Fully Compliant (100%)","100"))))))&gt;=90,"100"))))))</f>
        <v>#N/A</v>
      </c>
      <c r="V27" s="55" t="s">
        <v>85</v>
      </c>
      <c r="W27" s="55"/>
      <c r="X27" s="55"/>
      <c r="Y27" s="55"/>
      <c r="Z27" s="55" t="s">
        <v>87</v>
      </c>
      <c r="AA27" s="55"/>
      <c r="AB27" s="55"/>
      <c r="AK27" s="1" t="s">
        <v>10891</v>
      </c>
      <c r="AL27" s="1" t="s">
        <v>11148</v>
      </c>
      <c r="AP27" s="1" t="s">
        <v>11146</v>
      </c>
      <c r="AX27" s="3" t="str">
        <f>_xlfn.CONCAT("A-LIGN finished its review of this control on ",AR27, " during the scheduled fieldwork window (",Intro!$B$4,")."&amp; CHAR(10)&amp; CHAR(10))</f>
        <v xml:space="preserve">A-LIGN finished its review of this control on  during the scheduled fieldwork window (Fieldwork: xx/xx/xxxx - xx/xx/xxxx).
</v>
      </c>
      <c r="AY27" s="3" t="str">
        <f t="shared" ref="AY27:AY31" si="51">IF(AQ27&lt;&gt;"",(_xlfn.CONCAT("Inheritance note: "&amp; CHAR(10),AQ27&amp; CHAR(10)&amp; CHAR(10))),"")</f>
        <v/>
      </c>
      <c r="AZ27" s="3" t="str">
        <f t="shared" ref="AZ27:AZ31" si="52">IFERROR(IF(AD27&lt;&gt;"",_xlfn.CONCAT("Examined the following policy during fieldwork:"&amp; CHAR(10),AD27&amp; CHAR(10)&amp; CHAR(10),IF(AND(X27&lt;&gt;"5. Fully Compliant (100%)",AE27&lt;&gt;""),"Reviewed policy exception note:"&amp; CHAR(10) &amp; AE27 &amp; CHAR(10) &amp; CHAR(10),"")),""),"")</f>
        <v/>
      </c>
      <c r="BA27" s="3" t="str">
        <f t="shared" ref="BA27:BA31" si="53">IFERROR(IF(AH27&lt;&gt;"",_xlfn.CONCAT("Examined the following process during fieldwork:"&amp; CHAR(10),AH27&amp; CHAR(10)&amp; CHAR(10),IF(AND(Y27&lt;&gt;"5. Fully Compliant (100%)",AI27&lt;&gt;""),"Reviewed process exception note:"&amp; CHAR(10) &amp; AI27 &amp; CHAR(10) &amp; CHAR(10),"")),""),"")</f>
        <v/>
      </c>
      <c r="BB27" s="3" t="str">
        <f t="shared" ref="BB27:BB31" si="54">IF(AK27&lt;&gt;"",(_xlfn.CONCAT("Inquired of the following workforce member: "&amp; CHAR(10),AK27&amp; CHAR(10)&amp; CHAR(10),"Inquiry lead to the following conclusions: "&amp; CHAR(10),AL27&amp; CHAR(10) &amp; CHAR(10))),"")</f>
        <v xml:space="preserve">Inquired of the following workforce member: 
Matthew Macaluso - Director of System Operations
Roze Nicolas - Director of TechOps
Inquiry lead to the following conclusions: 
UBSs provided to users are tracked within a ticket, and will be sent via FedEx which has tamper evident packaging and also has a tracking number associated with each device.
</v>
      </c>
      <c r="BC27" s="3" t="str">
        <f t="shared" ref="BC27:BC31" si="55">IF(AM27&lt;&gt;"",(_xlfn.CONCAT("Observed the following live during fieldwork: "&amp; CHAR(10),AM27&amp; CHAR(10) &amp; CHAR(10))),"")</f>
        <v/>
      </c>
      <c r="BD27" s="3" t="str">
        <f t="shared" ref="BD27:BD31" si="56">_xlfn.CONCAT("Examined the following evidence during fieldwork:"&amp; CHAR(10),AN27&amp; CHAR(10)&amp; CHAR(10),IF(AO27&lt;&gt;"","Reviewed evidence note:"&amp; CHAR(10)&amp;AO27&amp; CHAR(10) &amp; CHAR(10),"Reviewed evidence addressed the requirement statement."&amp; CHAR(10) &amp; CHAR(10)),IF(AND(AP27&lt;&gt;"5. Fully Compliant (100%)",AP27&lt;&gt;""),"Reviewed evidence exception note: "&amp; CHAR(10) &amp; AP27 &amp; CHAR(10) &amp; CHAR(10),""))</f>
        <v xml:space="preserve">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v>
      </c>
      <c r="BE27" s="3" t="str">
        <f t="shared" ref="BE27:BE31" si="57">IF(AT27&lt;&gt;"",(_xlfn.CONCAT("Examined the following measure/metric during fieldwork:"&amp; CHAR(10),AT27&amp; CHAR(10)&amp; CHAR(10),"Reviewed measure/metric note:"&amp; CHAR(10),AU27 &amp; CHAR(10) &amp; CHAR(10))),"")</f>
        <v/>
      </c>
      <c r="BF27" s="3" t="str">
        <f t="shared" ref="BF27:BF31" si="58">IF(AV27&lt;&gt;"",(_xlfn.CONCAT("Examined the following measure/metric management during fieldwork:"&amp; CHAR(10),AV27&amp; CHAR(10)&amp; CHAR(10),"Reviewed measure/metric management note:"&amp; CHAR(10),AW27 &amp; CHAR(10) &amp; CHAR(10))),"")</f>
        <v/>
      </c>
      <c r="BG27" s="3" t="str">
        <f>_xlfn.CONCAT((IF((COUNTIF('Sample Tables'!B:B,"Test 187: Removable Media (transported out of controlled area)")&gt;0)=TRUE,_xlfn.CONCAT("Sample test results are documented in ",'Sample Tables'!B2053," [",'Sample Tables'!B2054,", ",'Sample Tables'!B2055,", ",'Sample Tables'!B2056,", ",'Sample Tables'!B2057,", ",'Sample Tables'!B2058,"]."&amp;CHAR(10)),IF((COUNTIF('Sample Tables'!B:B,"Test 187: Removable Media (transported out of controlled area)")&gt;0)=FALSE,""))),)</f>
        <v xml:space="preserve">Sample test results are documented in Test 187: Removable Media (transported out of controlled area) [Population Source/Tool: , Population Date Range: , Population Size: , Sample Methodology: , Sample Size: ].
</v>
      </c>
      <c r="BH27" s="3" t="str">
        <f t="shared" ref="BH27:BH31" si="59">IF(V27="No","Not Applicable: "&amp;W27,(_xlfn.CONCAT(AX27,AY27,AZ27,BA27,BB27,BC27,BD27,BE27,BF27,BG27)))</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UBSs provided to users are tracked within a ticket, and will be sent via FedEx which has tamper evident packaging and also has a tracking number associated with each device.
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Sample test results are documented in Test 187: Removable Media (transported out of controlled area) [Population Source/Tool: , Population Date Range: , Population Size: , Sample Methodology: , Sample Size: ].
</v>
      </c>
    </row>
    <row r="28" spans="3:60" ht="409.5" x14ac:dyDescent="0.35">
      <c r="C28" s="1">
        <f t="shared" si="50"/>
        <v>30</v>
      </c>
      <c r="D28" s="5" t="str">
        <f>IF(AND((_xlfn.XLOOKUP(J28,'Fields &amp; Revisions'!$H:$H,'Fields &amp; Revisions'!$I:$I))&lt;70.99,(OR(Z28="4. Mostly Compliant (75%)",Z28="3. Partially Compliant (50%)",Z28="2. Somewhat Compliant (25%)",Z28="1. Non Compliant (0%)"))),"Yes","No")</f>
        <v>Yes</v>
      </c>
      <c r="E28" s="5" t="str">
        <f>IF(ISERROR(VLOOKUP(H28,Scope!A:A,1,FALSE)),"No","Yes")</f>
        <v>Yes</v>
      </c>
      <c r="F28" s="1" t="s">
        <v>752</v>
      </c>
      <c r="G28" s="53" t="s">
        <v>845</v>
      </c>
      <c r="H28" s="53" t="s">
        <v>846</v>
      </c>
      <c r="I28" s="5">
        <v>1</v>
      </c>
      <c r="J28" s="1" t="s">
        <v>758</v>
      </c>
      <c r="K28" s="1" t="s">
        <v>847</v>
      </c>
      <c r="L28" s="1" t="s">
        <v>848</v>
      </c>
      <c r="M28" s="1" t="s">
        <v>786</v>
      </c>
      <c r="N28" s="5" t="s">
        <v>98</v>
      </c>
      <c r="O28" s="1" t="str">
        <f>_xlfn.XLOOKUP(G28,SRMs!$A:$A,SRMs!$D:$D)</f>
        <v>PARTIAL INHERITANCE</v>
      </c>
      <c r="P28" s="1" t="str">
        <f>IFERROR(VLOOKUP(H28,Inherited!A:B,2,FALSE),"")</f>
        <v/>
      </c>
      <c r="Q28" s="1" t="e">
        <f>IF(MATCH(H28,Inherited!A:A),IF((((_xlfn.XLOOKUP(Assessment!#REF!,Inherited!A:A,Inherited!B:B))/100)*(_xlfn.XLOOKUP(Assessment!#REF!,Inherited!A:A,Inherited!C:C)))+(((100-(_xlfn.XLOOKUP(Assessment!#REF!,Inherited!A:A,Inherited!B:B)))/100)*IF(X28="1.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(100%)","100"))))))&lt;=10,"0", IF(AND((((_xlfn.XLOOKUP(Assessment!#REF!,Inherited!A:A,Inherited!B:B))/100)*(_xlfn.XLOOKUP(Assessment!#REF!,Inherited!A:A,Inherited!C:C)))+(((100-(_xlfn.XLOOKUP(Assessment!#REF!,Inherited!A:A,Inherited!B:B)))/100)*IF(X28="1.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(100%)","100"))))))&gt;=11,(((_xlfn.XLOOKUP(Assessment!#REF!,Inherited!A:A,Inherited!B:B))/100)*(_xlfn.XLOOKUP(Assessment!#REF!,Inherited!A:A,Inherited!C:C)))+(((100-(_xlfn.XLOOKUP(Assessment!#REF!,Inherited!A:A,Inherited!B:B)))/100)*IF(X28="1.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(100%)","100"))))))&lt;=32),"25",IF(AND((((_xlfn.XLOOKUP(Assessment!#REF!,Inherited!A:A,Inherited!B:B))/100)*(_xlfn.XLOOKUP(Assessment!#REF!,Inherited!A:A,Inherited!C:C)))+(((100-(_xlfn.XLOOKUP(Assessment!#REF!,Inherited!A:A,Inherited!B:B)))/100)*IF(X28="1.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(100%)","100"))))))&gt;=33,(((_xlfn.XLOOKUP(Assessment!#REF!,Inherited!A:A,Inherited!B:B))/100)*(_xlfn.XLOOKUP(Assessment!#REF!,Inherited!A:A,Inherited!C:C)))+(((100-(_xlfn.XLOOKUP(Assessment!#REF!,Inherited!A:A,Inherited!B:B)))/100)*IF(X28="1.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(100%)","100"))))))&lt;=65),"50",IF(AND((((_xlfn.XLOOKUP(Assessment!#REF!,Inherited!A:A,Inherited!B:B))/100)*(_xlfn.XLOOKUP(Assessment!#REF!,Inherited!A:A,Inherited!C:C)))+(((100-(_xlfn.XLOOKUP(Assessment!#REF!,Inherited!A:A,Inherited!B:B)))/100)*IF(X28="1.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(100%)","100"))))))&gt;=66,(((_xlfn.XLOOKUP(Assessment!#REF!,Inherited!A:A,Inherited!B:B))/100)*(_xlfn.XLOOKUP(Assessment!#REF!,Inherited!A:A,Inherited!C:C)))+(((100-(_xlfn.XLOOKUP(Assessment!#REF!,Inherited!A:A,Inherited!B:B)))/100)*IF(X28="1.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(100%)","100"))))))&lt;=89),"75",IF((((_xlfn.XLOOKUP(Assessment!#REF!,Inherited!A:A,Inherited!B:B))/100)*(_xlfn.XLOOKUP(Assessment!#REF!,Inherited!A:A,Inherited!C:C)))+(((100-(_xlfn.XLOOKUP(Assessment!#REF!,Inherited!A:A,Inherited!B:B)))/100)*IF(X28="1. Non Compliant (0%)","0",IF(X28="2. Somewhat Compliant (25%)","25",IF(X28="3. Partially Compliant (50%)","50",IF(X28="4. Mostly Compliant (75%)","75",IF(X28="5. Fully Compliant (100%)","100"))))))&gt;=90,"100"))))))</f>
        <v>#N/A</v>
      </c>
      <c r="R28" s="1" t="e">
        <f>IF(MATCH(H28,Inherited!A:A),IF((((_xlfn.XLOOKUP(Assessment!#REF!,Inherited!A:A,Inherited!B:B))/100)*(_xlfn.XLOOKUP(Assessment!#REF!,Inherited!A:A,Inherited!D:D)))+(((100-(_xlfn.XLOOKUP(Assessment!#REF!,Inherited!A:A,Inherited!B:B)))/100)*IF(Y28="1.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(100%)","100"))))))&lt;=10,"0", IF(AND((((_xlfn.XLOOKUP(Assessment!#REF!,Inherited!A:A,Inherited!B:B))/100)*(_xlfn.XLOOKUP(Assessment!#REF!,Inherited!A:A,Inherited!D:D)))+(((100-(_xlfn.XLOOKUP(Assessment!#REF!,Inherited!A:A,Inherited!B:B)))/100)*IF(Y28="1.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(100%)","100"))))))&gt;=11,(((_xlfn.XLOOKUP(Assessment!#REF!,Inherited!A:A,Inherited!B:B))/100)*(_xlfn.XLOOKUP(Assessment!#REF!,Inherited!A:A,Inherited!D:D)))+(((100-(_xlfn.XLOOKUP(Assessment!#REF!,Inherited!A:A,Inherited!B:B)))/100)*IF(Y28="1.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(100%)","100"))))))&lt;=32),"25",IF(AND((((_xlfn.XLOOKUP(Assessment!#REF!,Inherited!A:A,Inherited!B:B))/100)*(_xlfn.XLOOKUP(Assessment!#REF!,Inherited!A:A,Inherited!D:D)))+(((100-(_xlfn.XLOOKUP(Assessment!#REF!,Inherited!A:A,Inherited!B:B)))/100)*IF(Y28="1.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(100%)","100"))))))&gt;=33,(((_xlfn.XLOOKUP(Assessment!#REF!,Inherited!A:A,Inherited!B:B))/100)*(_xlfn.XLOOKUP(Assessment!#REF!,Inherited!A:A,Inherited!D:D)))+(((100-(_xlfn.XLOOKUP(Assessment!#REF!,Inherited!A:A,Inherited!B:B)))/100)*IF(Y28="1.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(100%)","100"))))))&lt;=65),"50",IF(AND((((_xlfn.XLOOKUP(Assessment!#REF!,Inherited!A:A,Inherited!B:B))/100)*(_xlfn.XLOOKUP(Assessment!#REF!,Inherited!A:A,Inherited!D:D)))+(((100-(_xlfn.XLOOKUP(Assessment!#REF!,Inherited!A:A,Inherited!B:B)))/100)*IF(Y28="1.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(100%)","100"))))))&gt;=66,(((_xlfn.XLOOKUP(Assessment!#REF!,Inherited!A:A,Inherited!B:B))/100)*(_xlfn.XLOOKUP(Assessment!#REF!,Inherited!A:A,Inherited!D:D)))+(((100-(_xlfn.XLOOKUP(Assessment!#REF!,Inherited!A:A,Inherited!B:B)))/100)*IF(Y28="1.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(100%)","100"))))))&lt;=89),"75",IF((((_xlfn.XLOOKUP(Assessment!#REF!,Inherited!A:A,Inherited!B:B))/100)*(_xlfn.XLOOKUP(Assessment!#REF!,Inherited!A:A,Inherited!D:D)))+(((100-(_xlfn.XLOOKUP(Assessment!#REF!,Inherited!A:A,Inherited!B:B)))/100)*IF(Y28="1. Non Compliant (0%)","0",IF(Y28="2. Somewhat Compliant (25%)","25",IF(Y28="3. Partially Compliant (50%)","50",IF(Y28="4. Mostly Compliant (75%)","75",IF(Y28="5. Fully Compliant (100%)","100"))))))&gt;=90,"100"))))))</f>
        <v>#N/A</v>
      </c>
      <c r="S28" s="1" t="e">
        <f>IF(MATCH(H28,Inherited!A:A),IF((((_xlfn.XLOOKUP(Assessment!#REF!,Inherited!A:A,Inherited!B:B))/100)*(_xlfn.XLOOKUP(Assessment!#REF!,Inherited!A:A,Inherited!E:E)))+(((100-(_xlfn.XLOOKUP(Assessment!#REF!,Inherited!A:A,Inherited!B:B)))/100)*IF(Z28="1.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(100%)","100"))))))&lt;=10,"0", IF(AND((((_xlfn.XLOOKUP(Assessment!#REF!,Inherited!A:A,Inherited!B:B))/100)*(_xlfn.XLOOKUP(Assessment!#REF!,Inherited!A:A,Inherited!E:E)))+(((100-(_xlfn.XLOOKUP(Assessment!#REF!,Inherited!A:A,Inherited!B:B)))/100)*IF(Z28="1.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(100%)","100"))))))&gt;=11,(((_xlfn.XLOOKUP(Assessment!#REF!,Inherited!A:A,Inherited!B:B))/100)*(_xlfn.XLOOKUP(Assessment!#REF!,Inherited!A:A,Inherited!E:E)))+(((100-(_xlfn.XLOOKUP(Assessment!#REF!,Inherited!A:A,Inherited!B:B)))/100)*IF(Z28="1.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(100%)","100"))))))&lt;=32),"25",IF(AND((((_xlfn.XLOOKUP(Assessment!#REF!,Inherited!A:A,Inherited!B:B))/100)*(_xlfn.XLOOKUP(Assessment!#REF!,Inherited!A:A,Inherited!E:E)))+(((100-(_xlfn.XLOOKUP(Assessment!#REF!,Inherited!A:A,Inherited!B:B)))/100)*IF(Z28="1.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(100%)","100"))))))&gt;=33,(((_xlfn.XLOOKUP(Assessment!#REF!,Inherited!A:A,Inherited!B:B))/100)*(_xlfn.XLOOKUP(Assessment!#REF!,Inherited!A:A,Inherited!E:E)))+(((100-(_xlfn.XLOOKUP(Assessment!#REF!,Inherited!A:A,Inherited!B:B)))/100)*IF(Z28="1.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(100%)","100"))))))&lt;=65),"50",IF(AND((((_xlfn.XLOOKUP(Assessment!#REF!,Inherited!A:A,Inherited!B:B))/100)*(_xlfn.XLOOKUP(Assessment!#REF!,Inherited!A:A,Inherited!E:E)))+(((100-(_xlfn.XLOOKUP(Assessment!#REF!,Inherited!A:A,Inherited!B:B)))/100)*IF(Z28="1.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(100%)","100"))))))&gt;=66,(((_xlfn.XLOOKUP(Assessment!#REF!,Inherited!A:A,Inherited!B:B))/100)*(_xlfn.XLOOKUP(Assessment!#REF!,Inherited!A:A,Inherited!E:E)))+(((100-(_xlfn.XLOOKUP(Assessment!#REF!,Inherited!A:A,Inherited!B:B)))/100)*IF(Z28="1.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(100%)","100"))))))&lt;=89),"75",IF((((_xlfn.XLOOKUP(Assessment!#REF!,Inherited!A:A,Inherited!B:B))/100)*(_xlfn.XLOOKUP(Assessment!#REF!,Inherited!A:A,Inherited!E:E)))+(((100-(_xlfn.XLOOKUP(Assessment!#REF!,Inherited!A:A,Inherited!B:B)))/100)*IF(Z28="1. Non Compliant (0%)","0",IF(Z28="2. Somewhat Compliant (25%)","25",IF(Z28="3. Partially Compliant (50%)","50",IF(Z28="4. Mostly Compliant (75%)","75",IF(Z28="5. Fully Compliant (100%)","100"))))))&gt;=90,"100"))))))</f>
        <v>#N/A</v>
      </c>
      <c r="T28" s="1" t="e">
        <f>IF(MATCH(H28,Inherited!A:A),IF((((_xlfn.XLOOKUP(Assessment!#REF!,Inherited!A:A,Inherited!B:B))/100)*(_xlfn.XLOOKUP(Assessment!#REF!,Inherited!A:A,Inherited!F:F)))+(((100-(_xlfn.XLOOKUP(Assessment!#REF!,Inherited!A:A,Inherited!B:B)))/100)*IF(AA28="1.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(100%)","100"))))))&lt;=10,"0", IF(AND((((_xlfn.XLOOKUP(Assessment!#REF!,Inherited!A:A,Inherited!B:B))/100)*(_xlfn.XLOOKUP(Assessment!#REF!,Inherited!A:A,Inherited!F:F)))+(((100-(_xlfn.XLOOKUP(Assessment!#REF!,Inherited!A:A,Inherited!B:B)))/100)*IF(AA28="1.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(100%)","100"))))))&gt;=11,(((_xlfn.XLOOKUP(Assessment!#REF!,Inherited!A:A,Inherited!B:B))/100)*(_xlfn.XLOOKUP(Assessment!#REF!,Inherited!A:A,Inherited!F:F)))+(((100-(_xlfn.XLOOKUP(Assessment!#REF!,Inherited!A:A,Inherited!B:B)))/100)*IF(AA28="1.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(100%)","100"))))))&lt;=32),"25",IF(AND((((_xlfn.XLOOKUP(Assessment!#REF!,Inherited!A:A,Inherited!B:B))/100)*(_xlfn.XLOOKUP(Assessment!#REF!,Inherited!A:A,Inherited!F:F)))+(((100-(_xlfn.XLOOKUP(Assessment!#REF!,Inherited!A:A,Inherited!B:B)))/100)*IF(AA28="1.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(100%)","100"))))))&gt;=33,(((_xlfn.XLOOKUP(Assessment!#REF!,Inherited!A:A,Inherited!B:B))/100)*(_xlfn.XLOOKUP(Assessment!#REF!,Inherited!A:A,Inherited!F:F)))+(((100-(_xlfn.XLOOKUP(Assessment!#REF!,Inherited!A:A,Inherited!B:B)))/100)*IF(AA28="1.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(100%)","100"))))))&lt;=65),"50",IF(AND((((_xlfn.XLOOKUP(Assessment!#REF!,Inherited!A:A,Inherited!B:B))/100)*(_xlfn.XLOOKUP(Assessment!#REF!,Inherited!A:A,Inherited!F:F)))+(((100-(_xlfn.XLOOKUP(Assessment!#REF!,Inherited!A:A,Inherited!B:B)))/100)*IF(AA28="1.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(100%)","100"))))))&gt;=66,(((_xlfn.XLOOKUP(Assessment!#REF!,Inherited!A:A,Inherited!B:B))/100)*(_xlfn.XLOOKUP(Assessment!#REF!,Inherited!A:A,Inherited!F:F)))+(((100-(_xlfn.XLOOKUP(Assessment!#REF!,Inherited!A:A,Inherited!B:B)))/100)*IF(AA28="1.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(100%)","100"))))))&lt;=89),"75",IF((((_xlfn.XLOOKUP(Assessment!#REF!,Inherited!A:A,Inherited!B:B))/100)*(_xlfn.XLOOKUP(Assessment!#REF!,Inherited!A:A,Inherited!F:F)))+(((100-(_xlfn.XLOOKUP(Assessment!#REF!,Inherited!A:A,Inherited!B:B)))/100)*IF(AA28="1. Non Compliant (0%)","0",IF(AA28="2. Somewhat Compliant (25%)","25",IF(AA28="3. Partially Compliant (50%)","50",IF(AA28="4. Mostly Compliant (75%)","75",IF(AA28="5. Fully Compliant (100%)","100"))))))&gt;=90,"100"))))))</f>
        <v>#N/A</v>
      </c>
      <c r="U28" s="1" t="e">
        <f>IF(MATCH(H28,Inherited!A:A),IF((((_xlfn.XLOOKUP(Assessment!#REF!,Inherited!A:A,Inherited!B:B))/100)*(_xlfn.XLOOKUP(Assessment!#REF!,Inherited!A:A,Inherited!G:G)))+(((100-(_xlfn.XLOOKUP(Assessment!#REF!,Inherited!A:A,Inherited!B:B)))/100)*IF(AB28="1.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(100%)","100"))))))&lt;=10,"0", IF(AND((((_xlfn.XLOOKUP(Assessment!#REF!,Inherited!A:A,Inherited!B:B))/100)*(_xlfn.XLOOKUP(Assessment!#REF!,Inherited!A:A,Inherited!G:G)))+(((100-(_xlfn.XLOOKUP(Assessment!#REF!,Inherited!A:A,Inherited!B:B)))/100)*IF(AB28="1.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(100%)","100"))))))&gt;=11,(((_xlfn.XLOOKUP(Assessment!#REF!,Inherited!A:A,Inherited!B:B))/100)*(_xlfn.XLOOKUP(Assessment!#REF!,Inherited!A:A,Inherited!G:G)))+(((100-(_xlfn.XLOOKUP(Assessment!#REF!,Inherited!A:A,Inherited!B:B)))/100)*IF(AB28="1.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(100%)","100"))))))&lt;=32),"25",IF(AND((((_xlfn.XLOOKUP(Assessment!#REF!,Inherited!A:A,Inherited!B:B))/100)*(_xlfn.XLOOKUP(Assessment!#REF!,Inherited!A:A,Inherited!G:G)))+(((100-(_xlfn.XLOOKUP(Assessment!#REF!,Inherited!A:A,Inherited!B:B)))/100)*IF(AB28="1.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(100%)","100"))))))&gt;=33,(((_xlfn.XLOOKUP(Assessment!#REF!,Inherited!A:A,Inherited!B:B))/100)*(_xlfn.XLOOKUP(Assessment!#REF!,Inherited!A:A,Inherited!G:G)))+(((100-(_xlfn.XLOOKUP(Assessment!#REF!,Inherited!A:A,Inherited!B:B)))/100)*IF(AB28="1.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(100%)","100"))))))&lt;=65),"50",IF(AND((((_xlfn.XLOOKUP(Assessment!#REF!,Inherited!A:A,Inherited!B:B))/100)*(_xlfn.XLOOKUP(Assessment!#REF!,Inherited!A:A,Inherited!G:G)))+(((100-(_xlfn.XLOOKUP(Assessment!#REF!,Inherited!A:A,Inherited!B:B)))/100)*IF(AB28="1.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(100%)","100"))))))&gt;=66,(((_xlfn.XLOOKUP(Assessment!#REF!,Inherited!A:A,Inherited!B:B))/100)*(_xlfn.XLOOKUP(Assessment!#REF!,Inherited!A:A,Inherited!G:G)))+(((100-(_xlfn.XLOOKUP(Assessment!#REF!,Inherited!A:A,Inherited!B:B)))/100)*IF(AB28="1.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(100%)","100"))))))&lt;=89),"75",IF((((_xlfn.XLOOKUP(Assessment!#REF!,Inherited!A:A,Inherited!B:B))/100)*(_xlfn.XLOOKUP(Assessment!#REF!,Inherited!A:A,Inherited!G:G)))+(((100-(_xlfn.XLOOKUP(Assessment!#REF!,Inherited!A:A,Inherited!B:B)))/100)*IF(AB28="1. Non Compliant (0%)","0",IF(AB28="2. Somewhat Compliant (25%)","25",IF(AB28="3. Partially Compliant (50%)","50",IF(AB28="4. Mostly Compliant (75%)","75",IF(AB28="5. Fully Compliant (100%)","100"))))))&gt;=90,"100"))))))</f>
        <v>#N/A</v>
      </c>
      <c r="V28" s="55" t="s">
        <v>85</v>
      </c>
      <c r="W28" s="55"/>
      <c r="X28" s="55"/>
      <c r="Y28" s="55"/>
      <c r="Z28" s="55" t="s">
        <v>87</v>
      </c>
      <c r="AA28" s="55"/>
      <c r="AB28" s="55"/>
      <c r="AK28" s="1" t="s">
        <v>10891</v>
      </c>
      <c r="AM28" s="1" t="s">
        <v>11149</v>
      </c>
      <c r="AP28" s="1" t="s">
        <v>11146</v>
      </c>
      <c r="AX28" s="3" t="str">
        <f>_xlfn.CONCAT("A-LIGN finished its review of this control on ",AR28, " during the scheduled fieldwork window (",Intro!$B$4,")."&amp; CHAR(10)&amp; CHAR(10))</f>
        <v xml:space="preserve">A-LIGN finished its review of this control on  during the scheduled fieldwork window (Fieldwork: xx/xx/xxxx - xx/xx/xxxx).
</v>
      </c>
      <c r="AY28" s="3" t="str">
        <f t="shared" si="51"/>
        <v/>
      </c>
      <c r="AZ28" s="3" t="str">
        <f t="shared" si="52"/>
        <v/>
      </c>
      <c r="BA28" s="3" t="str">
        <f t="shared" si="53"/>
        <v/>
      </c>
      <c r="BB28" s="3" t="str">
        <f t="shared" si="54"/>
        <v xml:space="preserve">Inquired of the following workforce member: 
Matthew Macaluso - Director of System Operations
Roze Nicolas - Director of TechOps
Inquiry lead to the following conclusions: 
</v>
      </c>
      <c r="BC28" s="3" t="str">
        <f t="shared" si="55"/>
        <v xml:space="preserve">Observed the following live during fieldwork: 
Observed the SentinelOne dashboard which is utilized to ensure logging of USB devices is implemented.
Also observed that only specific drives will be able to be used on approved devices.
Observed within the Kandji dashboard that all disc burning is disallowed and that CDs and DVDs are denied and rejected.
</v>
      </c>
      <c r="BD28" s="3" t="str">
        <f t="shared" si="56"/>
        <v xml:space="preserve">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v>
      </c>
      <c r="BE28" s="3" t="str">
        <f t="shared" si="57"/>
        <v/>
      </c>
      <c r="BF28" s="3" t="str">
        <f t="shared" si="58"/>
        <v/>
      </c>
      <c r="BG28" s="3" t="str">
        <f>_xlfn.CONCAT((IF((COUNTIF('Sample Tables'!B:B,"")&gt;0)=TRUE,_xlfn.CONCAT("",""),IF((COUNTIF('Sample Tables'!B:B,"")&gt;0)=FALSE,""))),)</f>
        <v/>
      </c>
      <c r="BH28" s="3" t="str">
        <f t="shared" si="5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SentinelOne dashboard which is utilized to ensure logging of USB devices is implemented.
Also observed that only specific drives will be able to be used on approved devices.
Observed within the Kandji dashboard that all disc burning is disallowed and that CDs and DVDs are denied and rejected.
Examined the following evidence during fieldwork:
Reviewed evidence addressed the requirement statement.
Reviewed evidence exception note: 
Gap: Policy and procedure documentation does not currently address the requirements around removable media.
Recommendation: Management should ensure that the current policies and procedures are updated to account for the proper removable media requirements.
</v>
      </c>
    </row>
    <row r="29" spans="3:60" ht="391" x14ac:dyDescent="0.35">
      <c r="C29" s="1">
        <f t="shared" si="50"/>
        <v>40</v>
      </c>
      <c r="D29" s="5" t="str">
        <f>IF(AND((_xlfn.XLOOKUP(J29,'Fields &amp; Revisions'!$H:$H,'Fields &amp; Revisions'!$I:$I))&lt;70.99,(OR(Z29="4. Mostly Compliant (75%)",Z29="3. Partially Compliant (50%)",Z29="2. Somewhat Compliant (25%)",Z29="1. Non Compliant (0%)"))),"Yes","No")</f>
        <v>No</v>
      </c>
      <c r="E29" s="5" t="str">
        <f>IF(ISERROR(VLOOKUP(H29,Scope!A:A,1,FALSE)),"No","Yes")</f>
        <v>Yes</v>
      </c>
      <c r="F29" s="1" t="s">
        <v>851</v>
      </c>
      <c r="G29" s="53" t="s">
        <v>852</v>
      </c>
      <c r="H29" s="53" t="s">
        <v>853</v>
      </c>
      <c r="I29" s="5">
        <v>1</v>
      </c>
      <c r="J29" s="1" t="s">
        <v>854</v>
      </c>
      <c r="K29" s="1" t="s">
        <v>855</v>
      </c>
      <c r="L29" s="1" t="s">
        <v>856</v>
      </c>
      <c r="M29" s="1" t="s">
        <v>857</v>
      </c>
      <c r="N29" s="5" t="s">
        <v>98</v>
      </c>
      <c r="O29" s="1" t="str">
        <f>_xlfn.XLOOKUP(G29,SRMs!$A:$A,SRMs!$D:$D)</f>
        <v>PARTIAL INHERITANCE</v>
      </c>
      <c r="P29" s="1" t="str">
        <f>IFERROR(VLOOKUP(H29,Inherited!A:B,2,FALSE),"")</f>
        <v/>
      </c>
      <c r="Q29" s="1" t="e">
        <f>IF(MATCH(H29,Inherited!A:A),IF((((_xlfn.XLOOKUP(Assessment!#REF!,Inherited!A:A,Inherited!B:B))/100)*(_xlfn.XLOOKUP(Assessment!#REF!,Inherited!A:A,Inherited!C:C)))+(((100-(_xlfn.XLOOKUP(Assessment!#REF!,Inherited!A:A,Inherited!B:B)))/100)*IF(X29="1.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(100%)","100"))))))&lt;=10,"0", IF(AND((((_xlfn.XLOOKUP(Assessment!#REF!,Inherited!A:A,Inherited!B:B))/100)*(_xlfn.XLOOKUP(Assessment!#REF!,Inherited!A:A,Inherited!C:C)))+(((100-(_xlfn.XLOOKUP(Assessment!#REF!,Inherited!A:A,Inherited!B:B)))/100)*IF(X29="1.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(100%)","100"))))))&gt;=11,(((_xlfn.XLOOKUP(Assessment!#REF!,Inherited!A:A,Inherited!B:B))/100)*(_xlfn.XLOOKUP(Assessment!#REF!,Inherited!A:A,Inherited!C:C)))+(((100-(_xlfn.XLOOKUP(Assessment!#REF!,Inherited!A:A,Inherited!B:B)))/100)*IF(X29="1.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(100%)","100"))))))&lt;=32),"25",IF(AND((((_xlfn.XLOOKUP(Assessment!#REF!,Inherited!A:A,Inherited!B:B))/100)*(_xlfn.XLOOKUP(Assessment!#REF!,Inherited!A:A,Inherited!C:C)))+(((100-(_xlfn.XLOOKUP(Assessment!#REF!,Inherited!A:A,Inherited!B:B)))/100)*IF(X29="1.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(100%)","100"))))))&gt;=33,(((_xlfn.XLOOKUP(Assessment!#REF!,Inherited!A:A,Inherited!B:B))/100)*(_xlfn.XLOOKUP(Assessment!#REF!,Inherited!A:A,Inherited!C:C)))+(((100-(_xlfn.XLOOKUP(Assessment!#REF!,Inherited!A:A,Inherited!B:B)))/100)*IF(X29="1.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(100%)","100"))))))&lt;=65),"50",IF(AND((((_xlfn.XLOOKUP(Assessment!#REF!,Inherited!A:A,Inherited!B:B))/100)*(_xlfn.XLOOKUP(Assessment!#REF!,Inherited!A:A,Inherited!C:C)))+(((100-(_xlfn.XLOOKUP(Assessment!#REF!,Inherited!A:A,Inherited!B:B)))/100)*IF(X29="1.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(100%)","100"))))))&gt;=66,(((_xlfn.XLOOKUP(Assessment!#REF!,Inherited!A:A,Inherited!B:B))/100)*(_xlfn.XLOOKUP(Assessment!#REF!,Inherited!A:A,Inherited!C:C)))+(((100-(_xlfn.XLOOKUP(Assessment!#REF!,Inherited!A:A,Inherited!B:B)))/100)*IF(X29="1.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(100%)","100"))))))&lt;=89),"75",IF((((_xlfn.XLOOKUP(Assessment!#REF!,Inherited!A:A,Inherited!B:B))/100)*(_xlfn.XLOOKUP(Assessment!#REF!,Inherited!A:A,Inherited!C:C)))+(((100-(_xlfn.XLOOKUP(Assessment!#REF!,Inherited!A:A,Inherited!B:B)))/100)*IF(X29="1. Non Compliant (0%)","0",IF(X29="2. Somewhat Compliant (25%)","25",IF(X29="3. Partially Compliant (50%)","50",IF(X29="4. Mostly Compliant (75%)","75",IF(X29="5. Fully Compliant (100%)","100"))))))&gt;=90,"100"))))))</f>
        <v>#N/A</v>
      </c>
      <c r="R29" s="1" t="e">
        <f>IF(MATCH(H29,Inherited!A:A),IF((((_xlfn.XLOOKUP(Assessment!#REF!,Inherited!A:A,Inherited!B:B))/100)*(_xlfn.XLOOKUP(Assessment!#REF!,Inherited!A:A,Inherited!D:D)))+(((100-(_xlfn.XLOOKUP(Assessment!#REF!,Inherited!A:A,Inherited!B:B)))/100)*IF(Y29="1.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(100%)","100"))))))&lt;=10,"0", IF(AND((((_xlfn.XLOOKUP(Assessment!#REF!,Inherited!A:A,Inherited!B:B))/100)*(_xlfn.XLOOKUP(Assessment!#REF!,Inherited!A:A,Inherited!D:D)))+(((100-(_xlfn.XLOOKUP(Assessment!#REF!,Inherited!A:A,Inherited!B:B)))/100)*IF(Y29="1.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(100%)","100"))))))&gt;=11,(((_xlfn.XLOOKUP(Assessment!#REF!,Inherited!A:A,Inherited!B:B))/100)*(_xlfn.XLOOKUP(Assessment!#REF!,Inherited!A:A,Inherited!D:D)))+(((100-(_xlfn.XLOOKUP(Assessment!#REF!,Inherited!A:A,Inherited!B:B)))/100)*IF(Y29="1.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(100%)","100"))))))&lt;=32),"25",IF(AND((((_xlfn.XLOOKUP(Assessment!#REF!,Inherited!A:A,Inherited!B:B))/100)*(_xlfn.XLOOKUP(Assessment!#REF!,Inherited!A:A,Inherited!D:D)))+(((100-(_xlfn.XLOOKUP(Assessment!#REF!,Inherited!A:A,Inherited!B:B)))/100)*IF(Y29="1.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(100%)","100"))))))&gt;=33,(((_xlfn.XLOOKUP(Assessment!#REF!,Inherited!A:A,Inherited!B:B))/100)*(_xlfn.XLOOKUP(Assessment!#REF!,Inherited!A:A,Inherited!D:D)))+(((100-(_xlfn.XLOOKUP(Assessment!#REF!,Inherited!A:A,Inherited!B:B)))/100)*IF(Y29="1.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(100%)","100"))))))&lt;=65),"50",IF(AND((((_xlfn.XLOOKUP(Assessment!#REF!,Inherited!A:A,Inherited!B:B))/100)*(_xlfn.XLOOKUP(Assessment!#REF!,Inherited!A:A,Inherited!D:D)))+(((100-(_xlfn.XLOOKUP(Assessment!#REF!,Inherited!A:A,Inherited!B:B)))/100)*IF(Y29="1.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(100%)","100"))))))&gt;=66,(((_xlfn.XLOOKUP(Assessment!#REF!,Inherited!A:A,Inherited!B:B))/100)*(_xlfn.XLOOKUP(Assessment!#REF!,Inherited!A:A,Inherited!D:D)))+(((100-(_xlfn.XLOOKUP(Assessment!#REF!,Inherited!A:A,Inherited!B:B)))/100)*IF(Y29="1.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(100%)","100"))))))&lt;=89),"75",IF((((_xlfn.XLOOKUP(Assessment!#REF!,Inherited!A:A,Inherited!B:B))/100)*(_xlfn.XLOOKUP(Assessment!#REF!,Inherited!A:A,Inherited!D:D)))+(((100-(_xlfn.XLOOKUP(Assessment!#REF!,Inherited!A:A,Inherited!B:B)))/100)*IF(Y29="1. Non Compliant (0%)","0",IF(Y29="2. Somewhat Compliant (25%)","25",IF(Y29="3. Partially Compliant (50%)","50",IF(Y29="4. Mostly Compliant (75%)","75",IF(Y29="5. Fully Compliant (100%)","100"))))))&gt;=90,"100"))))))</f>
        <v>#N/A</v>
      </c>
      <c r="S29" s="1" t="e">
        <f>IF(MATCH(H29,Inherited!A:A),IF((((_xlfn.XLOOKUP(Assessment!#REF!,Inherited!A:A,Inherited!B:B))/100)*(_xlfn.XLOOKUP(Assessment!#REF!,Inherited!A:A,Inherited!E:E)))+(((100-(_xlfn.XLOOKUP(Assessment!#REF!,Inherited!A:A,Inherited!B:B)))/100)*IF(Z29="1.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(100%)","100"))))))&lt;=10,"0", IF(AND((((_xlfn.XLOOKUP(Assessment!#REF!,Inherited!A:A,Inherited!B:B))/100)*(_xlfn.XLOOKUP(Assessment!#REF!,Inherited!A:A,Inherited!E:E)))+(((100-(_xlfn.XLOOKUP(Assessment!#REF!,Inherited!A:A,Inherited!B:B)))/100)*IF(Z29="1.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(100%)","100"))))))&gt;=11,(((_xlfn.XLOOKUP(Assessment!#REF!,Inherited!A:A,Inherited!B:B))/100)*(_xlfn.XLOOKUP(Assessment!#REF!,Inherited!A:A,Inherited!E:E)))+(((100-(_xlfn.XLOOKUP(Assessment!#REF!,Inherited!A:A,Inherited!B:B)))/100)*IF(Z29="1.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(100%)","100"))))))&lt;=32),"25",IF(AND((((_xlfn.XLOOKUP(Assessment!#REF!,Inherited!A:A,Inherited!B:B))/100)*(_xlfn.XLOOKUP(Assessment!#REF!,Inherited!A:A,Inherited!E:E)))+(((100-(_xlfn.XLOOKUP(Assessment!#REF!,Inherited!A:A,Inherited!B:B)))/100)*IF(Z29="1.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(100%)","100"))))))&gt;=33,(((_xlfn.XLOOKUP(Assessment!#REF!,Inherited!A:A,Inherited!B:B))/100)*(_xlfn.XLOOKUP(Assessment!#REF!,Inherited!A:A,Inherited!E:E)))+(((100-(_xlfn.XLOOKUP(Assessment!#REF!,Inherited!A:A,Inherited!B:B)))/100)*IF(Z29="1.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(100%)","100"))))))&lt;=65),"50",IF(AND((((_xlfn.XLOOKUP(Assessment!#REF!,Inherited!A:A,Inherited!B:B))/100)*(_xlfn.XLOOKUP(Assessment!#REF!,Inherited!A:A,Inherited!E:E)))+(((100-(_xlfn.XLOOKUP(Assessment!#REF!,Inherited!A:A,Inherited!B:B)))/100)*IF(Z29="1.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(100%)","100"))))))&gt;=66,(((_xlfn.XLOOKUP(Assessment!#REF!,Inherited!A:A,Inherited!B:B))/100)*(_xlfn.XLOOKUP(Assessment!#REF!,Inherited!A:A,Inherited!E:E)))+(((100-(_xlfn.XLOOKUP(Assessment!#REF!,Inherited!A:A,Inherited!B:B)))/100)*IF(Z29="1.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(100%)","100"))))))&lt;=89),"75",IF((((_xlfn.XLOOKUP(Assessment!#REF!,Inherited!A:A,Inherited!B:B))/100)*(_xlfn.XLOOKUP(Assessment!#REF!,Inherited!A:A,Inherited!E:E)))+(((100-(_xlfn.XLOOKUP(Assessment!#REF!,Inherited!A:A,Inherited!B:B)))/100)*IF(Z29="1. Non Compliant (0%)","0",IF(Z29="2. Somewhat Compliant (25%)","25",IF(Z29="3. Partially Compliant (50%)","50",IF(Z29="4. Mostly Compliant (75%)","75",IF(Z29="5. Fully Compliant (100%)","100"))))))&gt;=90,"100"))))))</f>
        <v>#N/A</v>
      </c>
      <c r="T29" s="1" t="e">
        <f>IF(MATCH(H29,Inherited!A:A),IF((((_xlfn.XLOOKUP(Assessment!#REF!,Inherited!A:A,Inherited!B:B))/100)*(_xlfn.XLOOKUP(Assessment!#REF!,Inherited!A:A,Inherited!F:F)))+(((100-(_xlfn.XLOOKUP(Assessment!#REF!,Inherited!A:A,Inherited!B:B)))/100)*IF(AA29="1.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(100%)","100"))))))&lt;=10,"0", IF(AND((((_xlfn.XLOOKUP(Assessment!#REF!,Inherited!A:A,Inherited!B:B))/100)*(_xlfn.XLOOKUP(Assessment!#REF!,Inherited!A:A,Inherited!F:F)))+(((100-(_xlfn.XLOOKUP(Assessment!#REF!,Inherited!A:A,Inherited!B:B)))/100)*IF(AA29="1.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(100%)","100"))))))&gt;=11,(((_xlfn.XLOOKUP(Assessment!#REF!,Inherited!A:A,Inherited!B:B))/100)*(_xlfn.XLOOKUP(Assessment!#REF!,Inherited!A:A,Inherited!F:F)))+(((100-(_xlfn.XLOOKUP(Assessment!#REF!,Inherited!A:A,Inherited!B:B)))/100)*IF(AA29="1.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(100%)","100"))))))&lt;=32),"25",IF(AND((((_xlfn.XLOOKUP(Assessment!#REF!,Inherited!A:A,Inherited!B:B))/100)*(_xlfn.XLOOKUP(Assessment!#REF!,Inherited!A:A,Inherited!F:F)))+(((100-(_xlfn.XLOOKUP(Assessment!#REF!,Inherited!A:A,Inherited!B:B)))/100)*IF(AA29="1.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(100%)","100"))))))&gt;=33,(((_xlfn.XLOOKUP(Assessment!#REF!,Inherited!A:A,Inherited!B:B))/100)*(_xlfn.XLOOKUP(Assessment!#REF!,Inherited!A:A,Inherited!F:F)))+(((100-(_xlfn.XLOOKUP(Assessment!#REF!,Inherited!A:A,Inherited!B:B)))/100)*IF(AA29="1.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(100%)","100"))))))&lt;=65),"50",IF(AND((((_xlfn.XLOOKUP(Assessment!#REF!,Inherited!A:A,Inherited!B:B))/100)*(_xlfn.XLOOKUP(Assessment!#REF!,Inherited!A:A,Inherited!F:F)))+(((100-(_xlfn.XLOOKUP(Assessment!#REF!,Inherited!A:A,Inherited!B:B)))/100)*IF(AA29="1.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(100%)","100"))))))&gt;=66,(((_xlfn.XLOOKUP(Assessment!#REF!,Inherited!A:A,Inherited!B:B))/100)*(_xlfn.XLOOKUP(Assessment!#REF!,Inherited!A:A,Inherited!F:F)))+(((100-(_xlfn.XLOOKUP(Assessment!#REF!,Inherited!A:A,Inherited!B:B)))/100)*IF(AA29="1.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(100%)","100"))))))&lt;=89),"75",IF((((_xlfn.XLOOKUP(Assessment!#REF!,Inherited!A:A,Inherited!B:B))/100)*(_xlfn.XLOOKUP(Assessment!#REF!,Inherited!A:A,Inherited!F:F)))+(((100-(_xlfn.XLOOKUP(Assessment!#REF!,Inherited!A:A,Inherited!B:B)))/100)*IF(AA29="1. Non Compliant (0%)","0",IF(AA29="2. Somewhat Compliant (25%)","25",IF(AA29="3. Partially Compliant (50%)","50",IF(AA29="4. Mostly Compliant (75%)","75",IF(AA29="5. Fully Compliant (100%)","100"))))))&gt;=90,"100"))))))</f>
        <v>#N/A</v>
      </c>
      <c r="U29" s="1" t="e">
        <f>IF(MATCH(H29,Inherited!A:A),IF((((_xlfn.XLOOKUP(Assessment!#REF!,Inherited!A:A,Inherited!B:B))/100)*(_xlfn.XLOOKUP(Assessment!#REF!,Inherited!A:A,Inherited!G:G)))+(((100-(_xlfn.XLOOKUP(Assessment!#REF!,Inherited!A:A,Inherited!B:B)))/100)*IF(AB29="1.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(100%)","100"))))))&lt;=10,"0", IF(AND((((_xlfn.XLOOKUP(Assessment!#REF!,Inherited!A:A,Inherited!B:B))/100)*(_xlfn.XLOOKUP(Assessment!#REF!,Inherited!A:A,Inherited!G:G)))+(((100-(_xlfn.XLOOKUP(Assessment!#REF!,Inherited!A:A,Inherited!B:B)))/100)*IF(AB29="1.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(100%)","100"))))))&gt;=11,(((_xlfn.XLOOKUP(Assessment!#REF!,Inherited!A:A,Inherited!B:B))/100)*(_xlfn.XLOOKUP(Assessment!#REF!,Inherited!A:A,Inherited!G:G)))+(((100-(_xlfn.XLOOKUP(Assessment!#REF!,Inherited!A:A,Inherited!B:B)))/100)*IF(AB29="1.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(100%)","100"))))))&lt;=32),"25",IF(AND((((_xlfn.XLOOKUP(Assessment!#REF!,Inherited!A:A,Inherited!B:B))/100)*(_xlfn.XLOOKUP(Assessment!#REF!,Inherited!A:A,Inherited!G:G)))+(((100-(_xlfn.XLOOKUP(Assessment!#REF!,Inherited!A:A,Inherited!B:B)))/100)*IF(AB29="1.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(100%)","100"))))))&gt;=33,(((_xlfn.XLOOKUP(Assessment!#REF!,Inherited!A:A,Inherited!B:B))/100)*(_xlfn.XLOOKUP(Assessment!#REF!,Inherited!A:A,Inherited!G:G)))+(((100-(_xlfn.XLOOKUP(Assessment!#REF!,Inherited!A:A,Inherited!B:B)))/100)*IF(AB29="1.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(100%)","100"))))))&lt;=65),"50",IF(AND((((_xlfn.XLOOKUP(Assessment!#REF!,Inherited!A:A,Inherited!B:B))/100)*(_xlfn.XLOOKUP(Assessment!#REF!,Inherited!A:A,Inherited!G:G)))+(((100-(_xlfn.XLOOKUP(Assessment!#REF!,Inherited!A:A,Inherited!B:B)))/100)*IF(AB29="1.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(100%)","100"))))))&gt;=66,(((_xlfn.XLOOKUP(Assessment!#REF!,Inherited!A:A,Inherited!B:B))/100)*(_xlfn.XLOOKUP(Assessment!#REF!,Inherited!A:A,Inherited!G:G)))+(((100-(_xlfn.XLOOKUP(Assessment!#REF!,Inherited!A:A,Inherited!B:B)))/100)*IF(AB29="1.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(100%)","100"))))))&lt;=89),"75",IF((((_xlfn.XLOOKUP(Assessment!#REF!,Inherited!A:A,Inherited!B:B))/100)*(_xlfn.XLOOKUP(Assessment!#REF!,Inherited!A:A,Inherited!G:G)))+(((100-(_xlfn.XLOOKUP(Assessment!#REF!,Inherited!A:A,Inherited!B:B)))/100)*IF(AB29="1. Non Compliant (0%)","0",IF(AB29="2. Somewhat Compliant (25%)","25",IF(AB29="3. Partially Compliant (50%)","50",IF(AB29="4. Mostly Compliant (75%)","75",IF(AB29="5. Fully Compliant (100%)","100"))))))&gt;=90,"100"))))))</f>
        <v>#N/A</v>
      </c>
      <c r="V29" s="55" t="s">
        <v>85</v>
      </c>
      <c r="W29" s="55"/>
      <c r="X29" s="55"/>
      <c r="Y29" s="55"/>
      <c r="Z29" s="55" t="s">
        <v>86</v>
      </c>
      <c r="AA29" s="55"/>
      <c r="AB29" s="55"/>
      <c r="AK29" s="1" t="s">
        <v>10891</v>
      </c>
      <c r="AL29" s="1" t="s">
        <v>11153</v>
      </c>
      <c r="AM29" s="1" t="s">
        <v>11152</v>
      </c>
      <c r="AX29" s="3" t="str">
        <f>_xlfn.CONCAT("A-LIGN finished its review of this control on ",AR29, " during the scheduled fieldwork window (",Intro!$B$4,")."&amp; CHAR(10)&amp; CHAR(10))</f>
        <v xml:space="preserve">A-LIGN finished its review of this control on  during the scheduled fieldwork window (Fieldwork: xx/xx/xxxx - xx/xx/xxxx).
</v>
      </c>
      <c r="AY29" s="3" t="str">
        <f t="shared" si="51"/>
        <v/>
      </c>
      <c r="AZ29" s="3" t="str">
        <f t="shared" si="52"/>
        <v/>
      </c>
      <c r="BA29" s="3" t="str">
        <f t="shared" si="53"/>
        <v/>
      </c>
      <c r="BB29" s="3" t="str">
        <f t="shared" si="54"/>
        <v xml:space="preserve">Inquired of the following workforce member: 
Matthew Macaluso - Director of System Operations
Roze Nicolas - Director of TechOps
Inquiry lead to the following conclusions: 
No instances where Merge devices devices would be unencrypted.
In the event a hard drive is received and found to be unencrypted, that device will be tracked and monitored within Kandji to ensure proper protections/compensating controls are enacted.
</v>
      </c>
      <c r="BC29" s="3" t="str">
        <f t="shared" si="55"/>
        <v xml:space="preserve">Observed the following live during fieldwork: 
Observed the Windows BitLocker policy and confirmed that all in-scope devices are encrypted through global policy.
</v>
      </c>
      <c r="BD29" s="3" t="str">
        <f t="shared" si="56"/>
        <v xml:space="preserve">Examined the following evidence during fieldwork:
Reviewed evidence addressed the requirement statement.
</v>
      </c>
      <c r="BE29" s="3" t="str">
        <f t="shared" si="57"/>
        <v/>
      </c>
      <c r="BF29" s="3" t="str">
        <f t="shared" si="58"/>
        <v/>
      </c>
      <c r="BG29" s="3" t="str">
        <f>_xlfn.CONCAT((IF((COUNTIF('Sample Tables'!B:B,"")&gt;0)=TRUE,_xlfn.CONCAT("",""),IF((COUNTIF('Sample Tables'!B:B,"")&gt;0)=FALSE,""))),)</f>
        <v/>
      </c>
      <c r="BH29" s="3" t="str">
        <f t="shared" si="5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No instances where Merge devices devices would be unencrypted.
In the event a hard drive is received and found to be unencrypted, that device will be tracked and monitored within Kandji to ensure proper protections/compensating controls are enacted.
Observed the following live during fieldwork: 
Observed the Windows BitLocker policy and confirmed that all in-scope devices are encrypted through global policy.
Examined the following evidence during fieldwork:
Reviewed evidence addressed the requirement statement.
</v>
      </c>
    </row>
    <row r="30" spans="3:60" ht="362.5" x14ac:dyDescent="0.35">
      <c r="C30" s="1">
        <f t="shared" si="50"/>
        <v>40</v>
      </c>
      <c r="D30" s="5" t="str">
        <f>IF(AND((_xlfn.XLOOKUP(J30,'Fields &amp; Revisions'!$H:$H,'Fields &amp; Revisions'!$I:$I))&lt;70.99,(OR(Z30="4. Mostly Compliant (75%)",Z30="3. Partially Compliant (50%)",Z30="2. Somewhat Compliant (25%)",Z30="1. Non Compliant (0%)"))),"Yes","No")</f>
        <v>No</v>
      </c>
      <c r="E30" s="5" t="str">
        <f>IF(ISERROR(VLOOKUP(H30,Scope!A:A,1,FALSE)),"No","Yes")</f>
        <v>Yes</v>
      </c>
      <c r="F30" s="1" t="s">
        <v>851</v>
      </c>
      <c r="G30" s="53" t="s">
        <v>877</v>
      </c>
      <c r="H30" s="53" t="s">
        <v>878</v>
      </c>
      <c r="I30" s="5">
        <v>1</v>
      </c>
      <c r="J30" s="1" t="s">
        <v>876</v>
      </c>
      <c r="K30" s="1" t="s">
        <v>879</v>
      </c>
      <c r="L30" s="1" t="s">
        <v>880</v>
      </c>
      <c r="M30" s="1" t="s">
        <v>881</v>
      </c>
      <c r="N30" s="5" t="s">
        <v>85</v>
      </c>
      <c r="O30" s="1" t="str">
        <f>_xlfn.XLOOKUP(G30,SRMs!$A:$A,SRMs!$D:$D)</f>
        <v>NO INHERITANCE</v>
      </c>
      <c r="P30" s="1" t="str">
        <f>IFERROR(VLOOKUP(H30,Inherited!A:B,2,FALSE),"")</f>
        <v/>
      </c>
      <c r="Q30" s="1" t="e">
        <f>IF(MATCH(H30,Inherited!A:A),IF((((_xlfn.XLOOKUP(Assessment!#REF!,Inherited!A:A,Inherited!B:B))/100)*(_xlfn.XLOOKUP(Assessment!#REF!,Inherited!A:A,Inherited!C:C)))+(((100-(_xlfn.XLOOKUP(Assessment!#REF!,Inherited!A:A,Inherited!B:B)))/100)*IF(X30="1.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(100%)","100"))))))&lt;=10,"0", IF(AND((((_xlfn.XLOOKUP(Assessment!#REF!,Inherited!A:A,Inherited!B:B))/100)*(_xlfn.XLOOKUP(Assessment!#REF!,Inherited!A:A,Inherited!C:C)))+(((100-(_xlfn.XLOOKUP(Assessment!#REF!,Inherited!A:A,Inherited!B:B)))/100)*IF(X30="1.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(100%)","100"))))))&gt;=11,(((_xlfn.XLOOKUP(Assessment!#REF!,Inherited!A:A,Inherited!B:B))/100)*(_xlfn.XLOOKUP(Assessment!#REF!,Inherited!A:A,Inherited!C:C)))+(((100-(_xlfn.XLOOKUP(Assessment!#REF!,Inherited!A:A,Inherited!B:B)))/100)*IF(X30="1.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(100%)","100"))))))&lt;=32),"25",IF(AND((((_xlfn.XLOOKUP(Assessment!#REF!,Inherited!A:A,Inherited!B:B))/100)*(_xlfn.XLOOKUP(Assessment!#REF!,Inherited!A:A,Inherited!C:C)))+(((100-(_xlfn.XLOOKUP(Assessment!#REF!,Inherited!A:A,Inherited!B:B)))/100)*IF(X30="1.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(100%)","100"))))))&gt;=33,(((_xlfn.XLOOKUP(Assessment!#REF!,Inherited!A:A,Inherited!B:B))/100)*(_xlfn.XLOOKUP(Assessment!#REF!,Inherited!A:A,Inherited!C:C)))+(((100-(_xlfn.XLOOKUP(Assessment!#REF!,Inherited!A:A,Inherited!B:B)))/100)*IF(X30="1.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(100%)","100"))))))&lt;=65),"50",IF(AND((((_xlfn.XLOOKUP(Assessment!#REF!,Inherited!A:A,Inherited!B:B))/100)*(_xlfn.XLOOKUP(Assessment!#REF!,Inherited!A:A,Inherited!C:C)))+(((100-(_xlfn.XLOOKUP(Assessment!#REF!,Inherited!A:A,Inherited!B:B)))/100)*IF(X30="1.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(100%)","100"))))))&gt;=66,(((_xlfn.XLOOKUP(Assessment!#REF!,Inherited!A:A,Inherited!B:B))/100)*(_xlfn.XLOOKUP(Assessment!#REF!,Inherited!A:A,Inherited!C:C)))+(((100-(_xlfn.XLOOKUP(Assessment!#REF!,Inherited!A:A,Inherited!B:B)))/100)*IF(X30="1.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(100%)","100"))))))&lt;=89),"75",IF((((_xlfn.XLOOKUP(Assessment!#REF!,Inherited!A:A,Inherited!B:B))/100)*(_xlfn.XLOOKUP(Assessment!#REF!,Inherited!A:A,Inherited!C:C)))+(((100-(_xlfn.XLOOKUP(Assessment!#REF!,Inherited!A:A,Inherited!B:B)))/100)*IF(X30="1. Non Compliant (0%)","0",IF(X30="2. Somewhat Compliant (25%)","25",IF(X30="3. Partially Compliant (50%)","50",IF(X30="4. Mostly Compliant (75%)","75",IF(X30="5. Fully Compliant (100%)","100"))))))&gt;=90,"100"))))))</f>
        <v>#N/A</v>
      </c>
      <c r="R30" s="1" t="e">
        <f>IF(MATCH(H30,Inherited!A:A),IF((((_xlfn.XLOOKUP(Assessment!#REF!,Inherited!A:A,Inherited!B:B))/100)*(_xlfn.XLOOKUP(Assessment!#REF!,Inherited!A:A,Inherited!D:D)))+(((100-(_xlfn.XLOOKUP(Assessment!#REF!,Inherited!A:A,Inherited!B:B)))/100)*IF(Y30="1.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(100%)","100"))))))&lt;=10,"0", IF(AND((((_xlfn.XLOOKUP(Assessment!#REF!,Inherited!A:A,Inherited!B:B))/100)*(_xlfn.XLOOKUP(Assessment!#REF!,Inherited!A:A,Inherited!D:D)))+(((100-(_xlfn.XLOOKUP(Assessment!#REF!,Inherited!A:A,Inherited!B:B)))/100)*IF(Y30="1.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(100%)","100"))))))&gt;=11,(((_xlfn.XLOOKUP(Assessment!#REF!,Inherited!A:A,Inherited!B:B))/100)*(_xlfn.XLOOKUP(Assessment!#REF!,Inherited!A:A,Inherited!D:D)))+(((100-(_xlfn.XLOOKUP(Assessment!#REF!,Inherited!A:A,Inherited!B:B)))/100)*IF(Y30="1.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(100%)","100"))))))&lt;=32),"25",IF(AND((((_xlfn.XLOOKUP(Assessment!#REF!,Inherited!A:A,Inherited!B:B))/100)*(_xlfn.XLOOKUP(Assessment!#REF!,Inherited!A:A,Inherited!D:D)))+(((100-(_xlfn.XLOOKUP(Assessment!#REF!,Inherited!A:A,Inherited!B:B)))/100)*IF(Y30="1.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(100%)","100"))))))&gt;=33,(((_xlfn.XLOOKUP(Assessment!#REF!,Inherited!A:A,Inherited!B:B))/100)*(_xlfn.XLOOKUP(Assessment!#REF!,Inherited!A:A,Inherited!D:D)))+(((100-(_xlfn.XLOOKUP(Assessment!#REF!,Inherited!A:A,Inherited!B:B)))/100)*IF(Y30="1.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(100%)","100"))))))&lt;=65),"50",IF(AND((((_xlfn.XLOOKUP(Assessment!#REF!,Inherited!A:A,Inherited!B:B))/100)*(_xlfn.XLOOKUP(Assessment!#REF!,Inherited!A:A,Inherited!D:D)))+(((100-(_xlfn.XLOOKUP(Assessment!#REF!,Inherited!A:A,Inherited!B:B)))/100)*IF(Y30="1.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(100%)","100"))))))&gt;=66,(((_xlfn.XLOOKUP(Assessment!#REF!,Inherited!A:A,Inherited!B:B))/100)*(_xlfn.XLOOKUP(Assessment!#REF!,Inherited!A:A,Inherited!D:D)))+(((100-(_xlfn.XLOOKUP(Assessment!#REF!,Inherited!A:A,Inherited!B:B)))/100)*IF(Y30="1.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(100%)","100"))))))&lt;=89),"75",IF((((_xlfn.XLOOKUP(Assessment!#REF!,Inherited!A:A,Inherited!B:B))/100)*(_xlfn.XLOOKUP(Assessment!#REF!,Inherited!A:A,Inherited!D:D)))+(((100-(_xlfn.XLOOKUP(Assessment!#REF!,Inherited!A:A,Inherited!B:B)))/100)*IF(Y30="1. Non Compliant (0%)","0",IF(Y30="2. Somewhat Compliant (25%)","25",IF(Y30="3. Partially Compliant (50%)","50",IF(Y30="4. Mostly Compliant (75%)","75",IF(Y30="5. Fully Compliant (100%)","100"))))))&gt;=90,"100"))))))</f>
        <v>#N/A</v>
      </c>
      <c r="S30" s="1" t="e">
        <f>IF(MATCH(H30,Inherited!A:A),IF((((_xlfn.XLOOKUP(Assessment!#REF!,Inherited!A:A,Inherited!B:B))/100)*(_xlfn.XLOOKUP(Assessment!#REF!,Inherited!A:A,Inherited!E:E)))+(((100-(_xlfn.XLOOKUP(Assessment!#REF!,Inherited!A:A,Inherited!B:B)))/100)*IF(Z30="1.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(100%)","100"))))))&lt;=10,"0", IF(AND((((_xlfn.XLOOKUP(Assessment!#REF!,Inherited!A:A,Inherited!B:B))/100)*(_xlfn.XLOOKUP(Assessment!#REF!,Inherited!A:A,Inherited!E:E)))+(((100-(_xlfn.XLOOKUP(Assessment!#REF!,Inherited!A:A,Inherited!B:B)))/100)*IF(Z30="1.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(100%)","100"))))))&gt;=11,(((_xlfn.XLOOKUP(Assessment!#REF!,Inherited!A:A,Inherited!B:B))/100)*(_xlfn.XLOOKUP(Assessment!#REF!,Inherited!A:A,Inherited!E:E)))+(((100-(_xlfn.XLOOKUP(Assessment!#REF!,Inherited!A:A,Inherited!B:B)))/100)*IF(Z30="1.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(100%)","100"))))))&lt;=32),"25",IF(AND((((_xlfn.XLOOKUP(Assessment!#REF!,Inherited!A:A,Inherited!B:B))/100)*(_xlfn.XLOOKUP(Assessment!#REF!,Inherited!A:A,Inherited!E:E)))+(((100-(_xlfn.XLOOKUP(Assessment!#REF!,Inherited!A:A,Inherited!B:B)))/100)*IF(Z30="1.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(100%)","100"))))))&gt;=33,(((_xlfn.XLOOKUP(Assessment!#REF!,Inherited!A:A,Inherited!B:B))/100)*(_xlfn.XLOOKUP(Assessment!#REF!,Inherited!A:A,Inherited!E:E)))+(((100-(_xlfn.XLOOKUP(Assessment!#REF!,Inherited!A:A,Inherited!B:B)))/100)*IF(Z30="1.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(100%)","100"))))))&lt;=65),"50",IF(AND((((_xlfn.XLOOKUP(Assessment!#REF!,Inherited!A:A,Inherited!B:B))/100)*(_xlfn.XLOOKUP(Assessment!#REF!,Inherited!A:A,Inherited!E:E)))+(((100-(_xlfn.XLOOKUP(Assessment!#REF!,Inherited!A:A,Inherited!B:B)))/100)*IF(Z30="1.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(100%)","100"))))))&gt;=66,(((_xlfn.XLOOKUP(Assessment!#REF!,Inherited!A:A,Inherited!B:B))/100)*(_xlfn.XLOOKUP(Assessment!#REF!,Inherited!A:A,Inherited!E:E)))+(((100-(_xlfn.XLOOKUP(Assessment!#REF!,Inherited!A:A,Inherited!B:B)))/100)*IF(Z30="1.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(100%)","100"))))))&lt;=89),"75",IF((((_xlfn.XLOOKUP(Assessment!#REF!,Inherited!A:A,Inherited!B:B))/100)*(_xlfn.XLOOKUP(Assessment!#REF!,Inherited!A:A,Inherited!E:E)))+(((100-(_xlfn.XLOOKUP(Assessment!#REF!,Inherited!A:A,Inherited!B:B)))/100)*IF(Z30="1. Non Compliant (0%)","0",IF(Z30="2. Somewhat Compliant (25%)","25",IF(Z30="3. Partially Compliant (50%)","50",IF(Z30="4. Mostly Compliant (75%)","75",IF(Z30="5. Fully Compliant (100%)","100"))))))&gt;=90,"100"))))))</f>
        <v>#N/A</v>
      </c>
      <c r="T30" s="1" t="e">
        <f>IF(MATCH(H30,Inherited!A:A),IF((((_xlfn.XLOOKUP(Assessment!#REF!,Inherited!A:A,Inherited!B:B))/100)*(_xlfn.XLOOKUP(Assessment!#REF!,Inherited!A:A,Inherited!F:F)))+(((100-(_xlfn.XLOOKUP(Assessment!#REF!,Inherited!A:A,Inherited!B:B)))/100)*IF(AA30="1.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(100%)","100"))))))&lt;=10,"0", IF(AND((((_xlfn.XLOOKUP(Assessment!#REF!,Inherited!A:A,Inherited!B:B))/100)*(_xlfn.XLOOKUP(Assessment!#REF!,Inherited!A:A,Inherited!F:F)))+(((100-(_xlfn.XLOOKUP(Assessment!#REF!,Inherited!A:A,Inherited!B:B)))/100)*IF(AA30="1.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(100%)","100"))))))&gt;=11,(((_xlfn.XLOOKUP(Assessment!#REF!,Inherited!A:A,Inherited!B:B))/100)*(_xlfn.XLOOKUP(Assessment!#REF!,Inherited!A:A,Inherited!F:F)))+(((100-(_xlfn.XLOOKUP(Assessment!#REF!,Inherited!A:A,Inherited!B:B)))/100)*IF(AA30="1.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(100%)","100"))))))&lt;=32),"25",IF(AND((((_xlfn.XLOOKUP(Assessment!#REF!,Inherited!A:A,Inherited!B:B))/100)*(_xlfn.XLOOKUP(Assessment!#REF!,Inherited!A:A,Inherited!F:F)))+(((100-(_xlfn.XLOOKUP(Assessment!#REF!,Inherited!A:A,Inherited!B:B)))/100)*IF(AA30="1.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(100%)","100"))))))&gt;=33,(((_xlfn.XLOOKUP(Assessment!#REF!,Inherited!A:A,Inherited!B:B))/100)*(_xlfn.XLOOKUP(Assessment!#REF!,Inherited!A:A,Inherited!F:F)))+(((100-(_xlfn.XLOOKUP(Assessment!#REF!,Inherited!A:A,Inherited!B:B)))/100)*IF(AA30="1.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(100%)","100"))))))&lt;=65),"50",IF(AND((((_xlfn.XLOOKUP(Assessment!#REF!,Inherited!A:A,Inherited!B:B))/100)*(_xlfn.XLOOKUP(Assessment!#REF!,Inherited!A:A,Inherited!F:F)))+(((100-(_xlfn.XLOOKUP(Assessment!#REF!,Inherited!A:A,Inherited!B:B)))/100)*IF(AA30="1.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(100%)","100"))))))&gt;=66,(((_xlfn.XLOOKUP(Assessment!#REF!,Inherited!A:A,Inherited!B:B))/100)*(_xlfn.XLOOKUP(Assessment!#REF!,Inherited!A:A,Inherited!F:F)))+(((100-(_xlfn.XLOOKUP(Assessment!#REF!,Inherited!A:A,Inherited!B:B)))/100)*IF(AA30="1.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(100%)","100"))))))&lt;=89),"75",IF((((_xlfn.XLOOKUP(Assessment!#REF!,Inherited!A:A,Inherited!B:B))/100)*(_xlfn.XLOOKUP(Assessment!#REF!,Inherited!A:A,Inherited!F:F)))+(((100-(_xlfn.XLOOKUP(Assessment!#REF!,Inherited!A:A,Inherited!B:B)))/100)*IF(AA30="1. Non Compliant (0%)","0",IF(AA30="2. Somewhat Compliant (25%)","25",IF(AA30="3. Partially Compliant (50%)","50",IF(AA30="4. Mostly Compliant (75%)","75",IF(AA30="5. Fully Compliant (100%)","100"))))))&gt;=90,"100"))))))</f>
        <v>#N/A</v>
      </c>
      <c r="U30" s="1" t="e">
        <f>IF(MATCH(H30,Inherited!A:A),IF((((_xlfn.XLOOKUP(Assessment!#REF!,Inherited!A:A,Inherited!B:B))/100)*(_xlfn.XLOOKUP(Assessment!#REF!,Inherited!A:A,Inherited!G:G)))+(((100-(_xlfn.XLOOKUP(Assessment!#REF!,Inherited!A:A,Inherited!B:B)))/100)*IF(AB30="1.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(100%)","100"))))))&lt;=10,"0", IF(AND((((_xlfn.XLOOKUP(Assessment!#REF!,Inherited!A:A,Inherited!B:B))/100)*(_xlfn.XLOOKUP(Assessment!#REF!,Inherited!A:A,Inherited!G:G)))+(((100-(_xlfn.XLOOKUP(Assessment!#REF!,Inherited!A:A,Inherited!B:B)))/100)*IF(AB30="1.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(100%)","100"))))))&gt;=11,(((_xlfn.XLOOKUP(Assessment!#REF!,Inherited!A:A,Inherited!B:B))/100)*(_xlfn.XLOOKUP(Assessment!#REF!,Inherited!A:A,Inherited!G:G)))+(((100-(_xlfn.XLOOKUP(Assessment!#REF!,Inherited!A:A,Inherited!B:B)))/100)*IF(AB30="1.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(100%)","100"))))))&lt;=32),"25",IF(AND((((_xlfn.XLOOKUP(Assessment!#REF!,Inherited!A:A,Inherited!B:B))/100)*(_xlfn.XLOOKUP(Assessment!#REF!,Inherited!A:A,Inherited!G:G)))+(((100-(_xlfn.XLOOKUP(Assessment!#REF!,Inherited!A:A,Inherited!B:B)))/100)*IF(AB30="1.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(100%)","100"))))))&gt;=33,(((_xlfn.XLOOKUP(Assessment!#REF!,Inherited!A:A,Inherited!B:B))/100)*(_xlfn.XLOOKUP(Assessment!#REF!,Inherited!A:A,Inherited!G:G)))+(((100-(_xlfn.XLOOKUP(Assessment!#REF!,Inherited!A:A,Inherited!B:B)))/100)*IF(AB30="1.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(100%)","100"))))))&lt;=65),"50",IF(AND((((_xlfn.XLOOKUP(Assessment!#REF!,Inherited!A:A,Inherited!B:B))/100)*(_xlfn.XLOOKUP(Assessment!#REF!,Inherited!A:A,Inherited!G:G)))+(((100-(_xlfn.XLOOKUP(Assessment!#REF!,Inherited!A:A,Inherited!B:B)))/100)*IF(AB30="1.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(100%)","100"))))))&gt;=66,(((_xlfn.XLOOKUP(Assessment!#REF!,Inherited!A:A,Inherited!B:B))/100)*(_xlfn.XLOOKUP(Assessment!#REF!,Inherited!A:A,Inherited!G:G)))+(((100-(_xlfn.XLOOKUP(Assessment!#REF!,Inherited!A:A,Inherited!B:B)))/100)*IF(AB30="1.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(100%)","100"))))))&lt;=89),"75",IF((((_xlfn.XLOOKUP(Assessment!#REF!,Inherited!A:A,Inherited!B:B))/100)*(_xlfn.XLOOKUP(Assessment!#REF!,Inherited!A:A,Inherited!G:G)))+(((100-(_xlfn.XLOOKUP(Assessment!#REF!,Inherited!A:A,Inherited!B:B)))/100)*IF(AB30="1. Non Compliant (0%)","0",IF(AB30="2. Somewhat Compliant (25%)","25",IF(AB30="3. Partially Compliant (50%)","50",IF(AB30="4. Mostly Compliant (75%)","75",IF(AB30="5. Fully Compliant (100%)","100"))))))&gt;=90,"100"))))))</f>
        <v>#N/A</v>
      </c>
      <c r="V30" s="55" t="s">
        <v>85</v>
      </c>
      <c r="W30" s="55"/>
      <c r="X30" s="55"/>
      <c r="Y30" s="55"/>
      <c r="Z30" s="55" t="s">
        <v>86</v>
      </c>
      <c r="AA30" s="55"/>
      <c r="AB30" s="55"/>
      <c r="AK30" s="1" t="s">
        <v>10891</v>
      </c>
      <c r="AL30" s="1" t="s">
        <v>11155</v>
      </c>
      <c r="AM30" s="1" t="s">
        <v>11154</v>
      </c>
      <c r="AX30" s="3" t="str">
        <f>_xlfn.CONCAT("A-LIGN finished its review of this control on ",AR30, " during the scheduled fieldwork window (",Intro!$B$4,")."&amp; CHAR(10)&amp; CHAR(10))</f>
        <v xml:space="preserve">A-LIGN finished its review of this control on  during the scheduled fieldwork window (Fieldwork: xx/xx/xxxx - xx/xx/xxxx).
</v>
      </c>
      <c r="AY30" s="3" t="str">
        <f t="shared" si="51"/>
        <v/>
      </c>
      <c r="AZ30" s="3" t="str">
        <f t="shared" si="52"/>
        <v/>
      </c>
      <c r="BA30" s="3" t="str">
        <f t="shared" si="53"/>
        <v/>
      </c>
      <c r="BB30" s="3" t="str">
        <f t="shared" si="54"/>
        <v xml:space="preserve">Inquired of the following workforce member: 
Matthew Macaluso - Director of System Operations
Roze Nicolas - Director of TechOps
Inquiry lead to the following conclusions: 
Users are required to acknowledge the Merge handbook which outlines the requirements and do's/don’t's of teleworking, at the time of hire and annually thereafter
</v>
      </c>
      <c r="BC30" s="3" t="str">
        <f t="shared" si="55"/>
        <v xml:space="preserve">Observed the following live during fieldwork: 
Observed a slide deck that was part of security training that addresses the acceptable use of devices being used for teleworking.
</v>
      </c>
      <c r="BD30" s="3" t="str">
        <f t="shared" si="56"/>
        <v xml:space="preserve">Examined the following evidence during fieldwork:
Reviewed evidence addressed the requirement statement.
</v>
      </c>
      <c r="BE30" s="3" t="str">
        <f t="shared" si="57"/>
        <v/>
      </c>
      <c r="BF30" s="3" t="str">
        <f t="shared" si="58"/>
        <v/>
      </c>
      <c r="BG30" s="3" t="str">
        <f>_xlfn.CONCAT((IF((COUNTIF('Sample Tables'!B:B,"Test 208: Workforce Member (teleworker)")&gt;0)=TRUE,_xlfn.CONCAT("Sample test results are documented in ",'Sample Tables'!B2284," [",'Sample Tables'!B2285,", ",'Sample Tables'!B2286,", ",'Sample Tables'!B2287,", ",'Sample Tables'!B2288,", ",'Sample Tables'!B2289,"]."&amp;CHAR(10)),IF((COUNTIF('Sample Tables'!B:B,"Test 208: Workforce Member (teleworker)")&gt;0)=FALSE,""))),)</f>
        <v xml:space="preserve">Sample test results are documented in Test 208: Workforce Member (teleworker) [Population Source/Tool: , Population Date Range: , Population Size: , Sample Methodology: , Sample Size: ].
</v>
      </c>
      <c r="BH30" s="3" t="str">
        <f t="shared" si="5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Users are required to acknowledge the Merge handbook which outlines the requirements and do's/don’t's of teleworking, at the time of hire and annually thereafter
Observed the following live during fieldwork: 
Observed a slide deck that was part of security training that addresses the acceptable use of devices being used for teleworking.
Examined the following evidence during fieldwork:
Reviewed evidence addressed the requirement statement.
Sample test results are documented in Test 208: Workforce Member (teleworker) [Population Source/Tool: , Population Date Range: , Population Size: , Sample Methodology: , Sample Size: ].
</v>
      </c>
    </row>
    <row r="31" spans="3:60" ht="237.5" x14ac:dyDescent="0.35">
      <c r="C31" s="1" t="str">
        <f t="shared" si="50"/>
        <v>Not Applicable</v>
      </c>
      <c r="D31" s="5" t="str">
        <f>IF(AND((_xlfn.XLOOKUP(J31,'Fields &amp; Revisions'!$H:$H,'Fields &amp; Revisions'!$I:$I))&lt;70.99,(OR(Z31="4. Mostly Compliant (75%)",Z31="3. Partially Compliant (50%)",Z31="2. Somewhat Compliant (25%)",Z31="1. Non Compliant (0%)"))),"Yes","No")</f>
        <v>No</v>
      </c>
      <c r="E31" s="5" t="str">
        <f>IF(ISERROR(VLOOKUP(H31,Scope!A:A,1,FALSE)),"No","Yes")</f>
        <v>Yes</v>
      </c>
      <c r="F31" s="1" t="s">
        <v>931</v>
      </c>
      <c r="G31" s="53" t="s">
        <v>944</v>
      </c>
      <c r="H31" s="53" t="s">
        <v>945</v>
      </c>
      <c r="I31" s="5">
        <v>1</v>
      </c>
      <c r="J31" s="1" t="s">
        <v>662</v>
      </c>
      <c r="K31" s="54" t="s">
        <v>946</v>
      </c>
      <c r="L31" s="1" t="s">
        <v>947</v>
      </c>
      <c r="M31" s="1" t="s">
        <v>948</v>
      </c>
      <c r="N31" s="5" t="s">
        <v>85</v>
      </c>
      <c r="O31" s="1" t="str">
        <f>_xlfn.XLOOKUP(G31,SRMs!$A:$A,SRMs!$D:$D)</f>
        <v>PARTIAL INHERITANCE</v>
      </c>
      <c r="P31" s="1" t="str">
        <f>IFERROR(VLOOKUP(H31,Inherited!A:B,2,FALSE),"")</f>
        <v/>
      </c>
      <c r="Q31" s="1" t="e">
        <f>IF(MATCH(H31,Inherited!A:A),IF((((_xlfn.XLOOKUP(Assessment!#REF!,Inherited!A:A,Inherited!B:B))/100)*(_xlfn.XLOOKUP(Assessment!#REF!,Inherited!A:A,Inherited!C:C)))+(((100-(_xlfn.XLOOKUP(Assessment!#REF!,Inherited!A:A,Inherited!B:B)))/100)*IF(X31="1.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(100%)","100"))))))&lt;=10,"0", IF(AND((((_xlfn.XLOOKUP(Assessment!#REF!,Inherited!A:A,Inherited!B:B))/100)*(_xlfn.XLOOKUP(Assessment!#REF!,Inherited!A:A,Inherited!C:C)))+(((100-(_xlfn.XLOOKUP(Assessment!#REF!,Inherited!A:A,Inherited!B:B)))/100)*IF(X31="1.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(100%)","100"))))))&gt;=11,(((_xlfn.XLOOKUP(Assessment!#REF!,Inherited!A:A,Inherited!B:B))/100)*(_xlfn.XLOOKUP(Assessment!#REF!,Inherited!A:A,Inherited!C:C)))+(((100-(_xlfn.XLOOKUP(Assessment!#REF!,Inherited!A:A,Inherited!B:B)))/100)*IF(X31="1.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(100%)","100"))))))&lt;=32),"25",IF(AND((((_xlfn.XLOOKUP(Assessment!#REF!,Inherited!A:A,Inherited!B:B))/100)*(_xlfn.XLOOKUP(Assessment!#REF!,Inherited!A:A,Inherited!C:C)))+(((100-(_xlfn.XLOOKUP(Assessment!#REF!,Inherited!A:A,Inherited!B:B)))/100)*IF(X31="1.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(100%)","100"))))))&gt;=33,(((_xlfn.XLOOKUP(Assessment!#REF!,Inherited!A:A,Inherited!B:B))/100)*(_xlfn.XLOOKUP(Assessment!#REF!,Inherited!A:A,Inherited!C:C)))+(((100-(_xlfn.XLOOKUP(Assessment!#REF!,Inherited!A:A,Inherited!B:B)))/100)*IF(X31="1.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(100%)","100"))))))&lt;=65),"50",IF(AND((((_xlfn.XLOOKUP(Assessment!#REF!,Inherited!A:A,Inherited!B:B))/100)*(_xlfn.XLOOKUP(Assessment!#REF!,Inherited!A:A,Inherited!C:C)))+(((100-(_xlfn.XLOOKUP(Assessment!#REF!,Inherited!A:A,Inherited!B:B)))/100)*IF(X31="1.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(100%)","100"))))))&gt;=66,(((_xlfn.XLOOKUP(Assessment!#REF!,Inherited!A:A,Inherited!B:B))/100)*(_xlfn.XLOOKUP(Assessment!#REF!,Inherited!A:A,Inherited!C:C)))+(((100-(_xlfn.XLOOKUP(Assessment!#REF!,Inherited!A:A,Inherited!B:B)))/100)*IF(X31="1.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(100%)","100"))))))&lt;=89),"75",IF((((_xlfn.XLOOKUP(Assessment!#REF!,Inherited!A:A,Inherited!B:B))/100)*(_xlfn.XLOOKUP(Assessment!#REF!,Inherited!A:A,Inherited!C:C)))+(((100-(_xlfn.XLOOKUP(Assessment!#REF!,Inherited!A:A,Inherited!B:B)))/100)*IF(X31="1. Non Compliant (0%)","0",IF(X31="2. Somewhat Compliant (25%)","25",IF(X31="3. Partially Compliant (50%)","50",IF(X31="4. Mostly Compliant (75%)","75",IF(X31="5. Fully Compliant (100%)","100"))))))&gt;=90,"100"))))))</f>
        <v>#N/A</v>
      </c>
      <c r="R31" s="1" t="e">
        <f>IF(MATCH(H31,Inherited!A:A),IF((((_xlfn.XLOOKUP(Assessment!#REF!,Inherited!A:A,Inherited!B:B))/100)*(_xlfn.XLOOKUP(Assessment!#REF!,Inherited!A:A,Inherited!D:D)))+(((100-(_xlfn.XLOOKUP(Assessment!#REF!,Inherited!A:A,Inherited!B:B)))/100)*IF(Y31="1.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(100%)","100"))))))&lt;=10,"0", IF(AND((((_xlfn.XLOOKUP(Assessment!#REF!,Inherited!A:A,Inherited!B:B))/100)*(_xlfn.XLOOKUP(Assessment!#REF!,Inherited!A:A,Inherited!D:D)))+(((100-(_xlfn.XLOOKUP(Assessment!#REF!,Inherited!A:A,Inherited!B:B)))/100)*IF(Y31="1.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(100%)","100"))))))&gt;=11,(((_xlfn.XLOOKUP(Assessment!#REF!,Inherited!A:A,Inherited!B:B))/100)*(_xlfn.XLOOKUP(Assessment!#REF!,Inherited!A:A,Inherited!D:D)))+(((100-(_xlfn.XLOOKUP(Assessment!#REF!,Inherited!A:A,Inherited!B:B)))/100)*IF(Y31="1.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(100%)","100"))))))&lt;=32),"25",IF(AND((((_xlfn.XLOOKUP(Assessment!#REF!,Inherited!A:A,Inherited!B:B))/100)*(_xlfn.XLOOKUP(Assessment!#REF!,Inherited!A:A,Inherited!D:D)))+(((100-(_xlfn.XLOOKUP(Assessment!#REF!,Inherited!A:A,Inherited!B:B)))/100)*IF(Y31="1.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(100%)","100"))))))&gt;=33,(((_xlfn.XLOOKUP(Assessment!#REF!,Inherited!A:A,Inherited!B:B))/100)*(_xlfn.XLOOKUP(Assessment!#REF!,Inherited!A:A,Inherited!D:D)))+(((100-(_xlfn.XLOOKUP(Assessment!#REF!,Inherited!A:A,Inherited!B:B)))/100)*IF(Y31="1.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(100%)","100"))))))&lt;=65),"50",IF(AND((((_xlfn.XLOOKUP(Assessment!#REF!,Inherited!A:A,Inherited!B:B))/100)*(_xlfn.XLOOKUP(Assessment!#REF!,Inherited!A:A,Inherited!D:D)))+(((100-(_xlfn.XLOOKUP(Assessment!#REF!,Inherited!A:A,Inherited!B:B)))/100)*IF(Y31="1.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(100%)","100"))))))&gt;=66,(((_xlfn.XLOOKUP(Assessment!#REF!,Inherited!A:A,Inherited!B:B))/100)*(_xlfn.XLOOKUP(Assessment!#REF!,Inherited!A:A,Inherited!D:D)))+(((100-(_xlfn.XLOOKUP(Assessment!#REF!,Inherited!A:A,Inherited!B:B)))/100)*IF(Y31="1.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(100%)","100"))))))&lt;=89),"75",IF((((_xlfn.XLOOKUP(Assessment!#REF!,Inherited!A:A,Inherited!B:B))/100)*(_xlfn.XLOOKUP(Assessment!#REF!,Inherited!A:A,Inherited!D:D)))+(((100-(_xlfn.XLOOKUP(Assessment!#REF!,Inherited!A:A,Inherited!B:B)))/100)*IF(Y31="1. Non Compliant (0%)","0",IF(Y31="2. Somewhat Compliant (25%)","25",IF(Y31="3. Partially Compliant (50%)","50",IF(Y31="4. Mostly Compliant (75%)","75",IF(Y31="5. Fully Compliant (100%)","100"))))))&gt;=90,"100"))))))</f>
        <v>#N/A</v>
      </c>
      <c r="S31" s="1" t="e">
        <f>IF(MATCH(H31,Inherited!A:A),IF((((_xlfn.XLOOKUP(Assessment!#REF!,Inherited!A:A,Inherited!B:B))/100)*(_xlfn.XLOOKUP(Assessment!#REF!,Inherited!A:A,Inherited!E:E)))+(((100-(_xlfn.XLOOKUP(Assessment!#REF!,Inherited!A:A,Inherited!B:B)))/100)*IF(Z31="1.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(100%)","100"))))))&lt;=10,"0", IF(AND((((_xlfn.XLOOKUP(Assessment!#REF!,Inherited!A:A,Inherited!B:B))/100)*(_xlfn.XLOOKUP(Assessment!#REF!,Inherited!A:A,Inherited!E:E)))+(((100-(_xlfn.XLOOKUP(Assessment!#REF!,Inherited!A:A,Inherited!B:B)))/100)*IF(Z31="1.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(100%)","100"))))))&gt;=11,(((_xlfn.XLOOKUP(Assessment!#REF!,Inherited!A:A,Inherited!B:B))/100)*(_xlfn.XLOOKUP(Assessment!#REF!,Inherited!A:A,Inherited!E:E)))+(((100-(_xlfn.XLOOKUP(Assessment!#REF!,Inherited!A:A,Inherited!B:B)))/100)*IF(Z31="1.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(100%)","100"))))))&lt;=32),"25",IF(AND((((_xlfn.XLOOKUP(Assessment!#REF!,Inherited!A:A,Inherited!B:B))/100)*(_xlfn.XLOOKUP(Assessment!#REF!,Inherited!A:A,Inherited!E:E)))+(((100-(_xlfn.XLOOKUP(Assessment!#REF!,Inherited!A:A,Inherited!B:B)))/100)*IF(Z31="1.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(100%)","100"))))))&gt;=33,(((_xlfn.XLOOKUP(Assessment!#REF!,Inherited!A:A,Inherited!B:B))/100)*(_xlfn.XLOOKUP(Assessment!#REF!,Inherited!A:A,Inherited!E:E)))+(((100-(_xlfn.XLOOKUP(Assessment!#REF!,Inherited!A:A,Inherited!B:B)))/100)*IF(Z31="1.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(100%)","100"))))))&lt;=65),"50",IF(AND((((_xlfn.XLOOKUP(Assessment!#REF!,Inherited!A:A,Inherited!B:B))/100)*(_xlfn.XLOOKUP(Assessment!#REF!,Inherited!A:A,Inherited!E:E)))+(((100-(_xlfn.XLOOKUP(Assessment!#REF!,Inherited!A:A,Inherited!B:B)))/100)*IF(Z31="1.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(100%)","100"))))))&gt;=66,(((_xlfn.XLOOKUP(Assessment!#REF!,Inherited!A:A,Inherited!B:B))/100)*(_xlfn.XLOOKUP(Assessment!#REF!,Inherited!A:A,Inherited!E:E)))+(((100-(_xlfn.XLOOKUP(Assessment!#REF!,Inherited!A:A,Inherited!B:B)))/100)*IF(Z31="1.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(100%)","100"))))))&lt;=89),"75",IF((((_xlfn.XLOOKUP(Assessment!#REF!,Inherited!A:A,Inherited!B:B))/100)*(_xlfn.XLOOKUP(Assessment!#REF!,Inherited!A:A,Inherited!E:E)))+(((100-(_xlfn.XLOOKUP(Assessment!#REF!,Inherited!A:A,Inherited!B:B)))/100)*IF(Z31="1. Non Compliant (0%)","0",IF(Z31="2. Somewhat Compliant (25%)","25",IF(Z31="3. Partially Compliant (50%)","50",IF(Z31="4. Mostly Compliant (75%)","75",IF(Z31="5. Fully Compliant (100%)","100"))))))&gt;=90,"100"))))))</f>
        <v>#N/A</v>
      </c>
      <c r="T31" s="1" t="e">
        <f>IF(MATCH(H31,Inherited!A:A),IF((((_xlfn.XLOOKUP(Assessment!#REF!,Inherited!A:A,Inherited!B:B))/100)*(_xlfn.XLOOKUP(Assessment!#REF!,Inherited!A:A,Inherited!F:F)))+(((100-(_xlfn.XLOOKUP(Assessment!#REF!,Inherited!A:A,Inherited!B:B)))/100)*IF(AA31="1.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(100%)","100"))))))&lt;=10,"0", IF(AND((((_xlfn.XLOOKUP(Assessment!#REF!,Inherited!A:A,Inherited!B:B))/100)*(_xlfn.XLOOKUP(Assessment!#REF!,Inherited!A:A,Inherited!F:F)))+(((100-(_xlfn.XLOOKUP(Assessment!#REF!,Inherited!A:A,Inherited!B:B)))/100)*IF(AA31="1.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(100%)","100"))))))&gt;=11,(((_xlfn.XLOOKUP(Assessment!#REF!,Inherited!A:A,Inherited!B:B))/100)*(_xlfn.XLOOKUP(Assessment!#REF!,Inherited!A:A,Inherited!F:F)))+(((100-(_xlfn.XLOOKUP(Assessment!#REF!,Inherited!A:A,Inherited!B:B)))/100)*IF(AA31="1.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(100%)","100"))))))&lt;=32),"25",IF(AND((((_xlfn.XLOOKUP(Assessment!#REF!,Inherited!A:A,Inherited!B:B))/100)*(_xlfn.XLOOKUP(Assessment!#REF!,Inherited!A:A,Inherited!F:F)))+(((100-(_xlfn.XLOOKUP(Assessment!#REF!,Inherited!A:A,Inherited!B:B)))/100)*IF(AA31="1.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(100%)","100"))))))&gt;=33,(((_xlfn.XLOOKUP(Assessment!#REF!,Inherited!A:A,Inherited!B:B))/100)*(_xlfn.XLOOKUP(Assessment!#REF!,Inherited!A:A,Inherited!F:F)))+(((100-(_xlfn.XLOOKUP(Assessment!#REF!,Inherited!A:A,Inherited!B:B)))/100)*IF(AA31="1.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(100%)","100"))))))&lt;=65),"50",IF(AND((((_xlfn.XLOOKUP(Assessment!#REF!,Inherited!A:A,Inherited!B:B))/100)*(_xlfn.XLOOKUP(Assessment!#REF!,Inherited!A:A,Inherited!F:F)))+(((100-(_xlfn.XLOOKUP(Assessment!#REF!,Inherited!A:A,Inherited!B:B)))/100)*IF(AA31="1.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(100%)","100"))))))&gt;=66,(((_xlfn.XLOOKUP(Assessment!#REF!,Inherited!A:A,Inherited!B:B))/100)*(_xlfn.XLOOKUP(Assessment!#REF!,Inherited!A:A,Inherited!F:F)))+(((100-(_xlfn.XLOOKUP(Assessment!#REF!,Inherited!A:A,Inherited!B:B)))/100)*IF(AA31="1.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(100%)","100"))))))&lt;=89),"75",IF((((_xlfn.XLOOKUP(Assessment!#REF!,Inherited!A:A,Inherited!B:B))/100)*(_xlfn.XLOOKUP(Assessment!#REF!,Inherited!A:A,Inherited!F:F)))+(((100-(_xlfn.XLOOKUP(Assessment!#REF!,Inherited!A:A,Inherited!B:B)))/100)*IF(AA31="1. Non Compliant (0%)","0",IF(AA31="2. Somewhat Compliant (25%)","25",IF(AA31="3. Partially Compliant (50%)","50",IF(AA31="4. Mostly Compliant (75%)","75",IF(AA31="5. Fully Compliant (100%)","100"))))))&gt;=90,"100"))))))</f>
        <v>#N/A</v>
      </c>
      <c r="U31" s="1" t="e">
        <f>IF(MATCH(H31,Inherited!A:A),IF((((_xlfn.XLOOKUP(Assessment!#REF!,Inherited!A:A,Inherited!B:B))/100)*(_xlfn.XLOOKUP(Assessment!#REF!,Inherited!A:A,Inherited!G:G)))+(((100-(_xlfn.XLOOKUP(Assessment!#REF!,Inherited!A:A,Inherited!B:B)))/100)*IF(AB31="1.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(100%)","100"))))))&lt;=10,"0", IF(AND((((_xlfn.XLOOKUP(Assessment!#REF!,Inherited!A:A,Inherited!B:B))/100)*(_xlfn.XLOOKUP(Assessment!#REF!,Inherited!A:A,Inherited!G:G)))+(((100-(_xlfn.XLOOKUP(Assessment!#REF!,Inherited!A:A,Inherited!B:B)))/100)*IF(AB31="1.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(100%)","100"))))))&gt;=11,(((_xlfn.XLOOKUP(Assessment!#REF!,Inherited!A:A,Inherited!B:B))/100)*(_xlfn.XLOOKUP(Assessment!#REF!,Inherited!A:A,Inherited!G:G)))+(((100-(_xlfn.XLOOKUP(Assessment!#REF!,Inherited!A:A,Inherited!B:B)))/100)*IF(AB31="1.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(100%)","100"))))))&lt;=32),"25",IF(AND((((_xlfn.XLOOKUP(Assessment!#REF!,Inherited!A:A,Inherited!B:B))/100)*(_xlfn.XLOOKUP(Assessment!#REF!,Inherited!A:A,Inherited!G:G)))+(((100-(_xlfn.XLOOKUP(Assessment!#REF!,Inherited!A:A,Inherited!B:B)))/100)*IF(AB31="1.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(100%)","100"))))))&gt;=33,(((_xlfn.XLOOKUP(Assessment!#REF!,Inherited!A:A,Inherited!B:B))/100)*(_xlfn.XLOOKUP(Assessment!#REF!,Inherited!A:A,Inherited!G:G)))+(((100-(_xlfn.XLOOKUP(Assessment!#REF!,Inherited!A:A,Inherited!B:B)))/100)*IF(AB31="1.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(100%)","100"))))))&lt;=65),"50",IF(AND((((_xlfn.XLOOKUP(Assessment!#REF!,Inherited!A:A,Inherited!B:B))/100)*(_xlfn.XLOOKUP(Assessment!#REF!,Inherited!A:A,Inherited!G:G)))+(((100-(_xlfn.XLOOKUP(Assessment!#REF!,Inherited!A:A,Inherited!B:B)))/100)*IF(AB31="1.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(100%)","100"))))))&gt;=66,(((_xlfn.XLOOKUP(Assessment!#REF!,Inherited!A:A,Inherited!B:B))/100)*(_xlfn.XLOOKUP(Assessment!#REF!,Inherited!A:A,Inherited!G:G)))+(((100-(_xlfn.XLOOKUP(Assessment!#REF!,Inherited!A:A,Inherited!B:B)))/100)*IF(AB31="1.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(100%)","100"))))))&lt;=89),"75",IF((((_xlfn.XLOOKUP(Assessment!#REF!,Inherited!A:A,Inherited!B:B))/100)*(_xlfn.XLOOKUP(Assessment!#REF!,Inherited!A:A,Inherited!G:G)))+(((100-(_xlfn.XLOOKUP(Assessment!#REF!,Inherited!A:A,Inherited!B:B)))/100)*IF(AB31="1. Non Compliant (0%)","0",IF(AB31="2. Somewhat Compliant (25%)","25",IF(AB31="3. Partially Compliant (50%)","50",IF(AB31="4. Mostly Compliant (75%)","75",IF(AB31="5. Fully Compliant (100%)","100"))))))&gt;=90,"100"))))))</f>
        <v>#N/A</v>
      </c>
      <c r="V31" s="55" t="s">
        <v>98</v>
      </c>
      <c r="W31" s="55" t="s">
        <v>10965</v>
      </c>
      <c r="X31" s="55"/>
      <c r="Y31" s="55"/>
      <c r="Z31" s="55"/>
      <c r="AA31" s="55"/>
      <c r="AB31" s="55"/>
      <c r="AX31" s="3" t="str">
        <f>_xlfn.CONCAT("A-LIGN finished its review of this control on ",AR31, " during the scheduled fieldwork window (",Intro!$B$4,")."&amp; CHAR(10)&amp; CHAR(10))</f>
        <v xml:space="preserve">A-LIGN finished its review of this control on  during the scheduled fieldwork window (Fieldwork: xx/xx/xxxx - xx/xx/xxxx).
</v>
      </c>
      <c r="AY31" s="3" t="str">
        <f t="shared" si="51"/>
        <v/>
      </c>
      <c r="AZ31" s="3" t="str">
        <f t="shared" si="52"/>
        <v/>
      </c>
      <c r="BA31" s="3" t="str">
        <f t="shared" si="53"/>
        <v/>
      </c>
      <c r="BB31" s="3" t="str">
        <f t="shared" si="54"/>
        <v/>
      </c>
      <c r="BC31" s="3" t="str">
        <f t="shared" si="55"/>
        <v/>
      </c>
      <c r="BD31" s="3" t="str">
        <f t="shared" si="56"/>
        <v xml:space="preserve">Examined the following evidence during fieldwork:
Reviewed evidence addressed the requirement statement.
</v>
      </c>
      <c r="BE31" s="3" t="str">
        <f t="shared" si="57"/>
        <v/>
      </c>
      <c r="BF31" s="3" t="str">
        <f t="shared" si="58"/>
        <v/>
      </c>
      <c r="BG31" s="3" t="str">
        <f>_xlfn.CONCAT((IF((COUNTIF('Sample Tables'!B:B,"Test 052: Endpoint Device (not authorized for wireless use)")&gt;0)=TRUE,_xlfn.CONCAT("Sample test results are documented in ",'Sample Tables'!B568," [",'Sample Tables'!B569,", ",'Sample Tables'!B570,", ",'Sample Tables'!B571,", ",'Sample Tables'!B572,", ",'Sample Tables'!B573,"]."&amp;CHAR(10)),IF((COUNTIF('Sample Tables'!B:B,"Test 052: Endpoint Device (not authorized for wireless use)")&gt;0)=FALSE,""))),(IF((COUNTIF('Sample Tables'!B:B,"Test 184: Network Device (wireless access point)")&gt;0)=TRUE,_xlfn.CONCAT("Sample test results are documented in ",'Sample Tables'!B2020," [",'Sample Tables'!B2021,", ",'Sample Tables'!B2022,", ",'Sample Tables'!B2023,", ",'Sample Tables'!B2024,", ",'Sample Tables'!B2025,"]."&amp;CHAR(10)),IF((COUNTIF('Sample Tables'!B:B,"Test 184: Network Device (wireless access point)")&gt;0)=FALSE,""))),)</f>
        <v xml:space="preserve">Sample test results are documented in Test 052: Endpoint Device (not authorized for wireless use) [Population Source/Tool: , Population Date Range: , Population Size: , Sample Methodology: , Sample Size: ].
Sample test results are documented in Test 184: Network Device (wireless access point) [Population Source/Tool: , Population Date Range: , Population Size: , Sample Methodology: , Sample Size: ].
</v>
      </c>
      <c r="BH31" s="3" t="str">
        <f t="shared" si="59"/>
        <v>Not Applicable: Merge does not have or utilize wireless access points within the boundary of its in-scope environment(s)/system(s).</v>
      </c>
    </row>
    <row r="32" spans="3:60" ht="338.15" customHeight="1" x14ac:dyDescent="0.35">
      <c r="C32" s="1">
        <f t="shared" ref="C32:C38" si="60">IF(V32="No","Not Applicable",(IF(X32="1. Non Compliant (0%)","0",IF(X32="2. Somewhat Compliant (25%)","25",IF(X32="3. Partially Compliant (50%)","50",IF(X32="4. Mostly Compliant (75%)","75",IF(X32="5. Fully Compliant (100%)","100")))))*0.15)+((IF(Y32="1. Non Compliant (0%)","0",IF(Y32="2. Somewhat Compliant (25%)","25",IF(Y32="3. Partially Compliant (50%)","50",IF(Y32="4. Mostly Compliant (75%)","75",IF(Y32="5. Fully Compliant (100%)","100"))))))*0.2)+(IF(Z32="1. Non Compliant (0%)","0",IF(Z32="2. Somewhat Compliant (25%)","25",IF(Z32="3. Partially Compliant (50%)","50",IF(Z32="4. Mostly Compliant (75%)","75",IF(Z32="5. Fully Compliant (100%)","100")))))*0.4)+(IF(AA32="1. Non Compliant (0%)","0",IF(AA32="2. Somewhat Compliant (25%)","25",IF(AA32="3. Partially Compliant (50%)","50",IF(AA32="4. Mostly Compliant (75%)","75",IF(AA32="5. Fully Compliant (100%)","100")))))*0.1)+(IF(AB32="1. Non Compliant (0%)","0",IF(AB32="2. Somewhat Compliant (25%)","25",IF(AB32="3. Partially Compliant (50%)","50",IF(AB32="4. Mostly Compliant (75%)","75",IF(AB32="5. Fully Compliant (100%)","100")))))*0.15))</f>
        <v>40</v>
      </c>
      <c r="D32" s="5" t="str">
        <f>IF(AND((_xlfn.XLOOKUP(J32,'Fields &amp; Revisions'!$H:$H,'Fields &amp; Revisions'!$I:$I))&lt;70.99,(OR(Z32="4. Mostly Compliant (75%)",Z32="3. Partially Compliant (50%)",Z32="2. Somewhat Compliant (25%)",Z32="1. Non Compliant (0%)"))),"Yes","No")</f>
        <v>No</v>
      </c>
      <c r="E32" s="5" t="str">
        <f>IF(ISERROR(VLOOKUP(H32,Scope!A:A,1,FALSE)),"No","Yes")</f>
        <v>Yes</v>
      </c>
      <c r="F32" s="1" t="s">
        <v>957</v>
      </c>
      <c r="G32" s="53" t="s">
        <v>985</v>
      </c>
      <c r="H32" s="53" t="s">
        <v>986</v>
      </c>
      <c r="I32" s="5">
        <v>1</v>
      </c>
      <c r="J32" s="1" t="s">
        <v>987</v>
      </c>
      <c r="K32" s="1" t="s">
        <v>988</v>
      </c>
      <c r="L32" s="1" t="s">
        <v>989</v>
      </c>
      <c r="M32" s="1" t="s">
        <v>990</v>
      </c>
      <c r="N32" s="5" t="s">
        <v>85</v>
      </c>
      <c r="O32" s="1" t="str">
        <f>_xlfn.XLOOKUP(G32,SRMs!$A:$A,SRMs!$D:$D)</f>
        <v>PARTIAL INHERITANCE</v>
      </c>
      <c r="P32" s="1" t="str">
        <f>IFERROR(VLOOKUP(H32,Inherited!A:B,2,FALSE),"")</f>
        <v/>
      </c>
      <c r="Q32" s="1" t="e">
        <f>IF(MATCH(H32,Inherited!A:A),IF((((_xlfn.XLOOKUP(Assessment!H33,Inherited!A:A,Inherited!B:B))/100)*(_xlfn.XLOOKUP(Assessment!H33,Inherited!A:A,Inherited!C:C)))+(((100-(_xlfn.XLOOKUP(Assessment!H33,Inherited!A:A,Inherited!B:B)))/100)*IF(X32="1.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(100%)","100"))))))&lt;=10,"0", IF(AND((((_xlfn.XLOOKUP(Assessment!H33,Inherited!A:A,Inherited!B:B))/100)*(_xlfn.XLOOKUP(Assessment!H33,Inherited!A:A,Inherited!C:C)))+(((100-(_xlfn.XLOOKUP(Assessment!H33,Inherited!A:A,Inherited!B:B)))/100)*IF(X32="1.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(100%)","100"))))))&gt;=11,(((_xlfn.XLOOKUP(Assessment!H33,Inherited!A:A,Inherited!B:B))/100)*(_xlfn.XLOOKUP(Assessment!H33,Inherited!A:A,Inherited!C:C)))+(((100-(_xlfn.XLOOKUP(Assessment!H33,Inherited!A:A,Inherited!B:B)))/100)*IF(X32="1.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(100%)","100"))))))&lt;=32),"25",IF(AND((((_xlfn.XLOOKUP(Assessment!H33,Inherited!A:A,Inherited!B:B))/100)*(_xlfn.XLOOKUP(Assessment!H33,Inherited!A:A,Inherited!C:C)))+(((100-(_xlfn.XLOOKUP(Assessment!H33,Inherited!A:A,Inherited!B:B)))/100)*IF(X32="1.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(100%)","100"))))))&gt;=33,(((_xlfn.XLOOKUP(Assessment!H33,Inherited!A:A,Inherited!B:B))/100)*(_xlfn.XLOOKUP(Assessment!H33,Inherited!A:A,Inherited!C:C)))+(((100-(_xlfn.XLOOKUP(Assessment!H33,Inherited!A:A,Inherited!B:B)))/100)*IF(X32="1.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(100%)","100"))))))&lt;=65),"50",IF(AND((((_xlfn.XLOOKUP(Assessment!H33,Inherited!A:A,Inherited!B:B))/100)*(_xlfn.XLOOKUP(Assessment!H33,Inherited!A:A,Inherited!C:C)))+(((100-(_xlfn.XLOOKUP(Assessment!H33,Inherited!A:A,Inherited!B:B)))/100)*IF(X32="1.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(100%)","100"))))))&gt;=66,(((_xlfn.XLOOKUP(Assessment!H33,Inherited!A:A,Inherited!B:B))/100)*(_xlfn.XLOOKUP(Assessment!H33,Inherited!A:A,Inherited!C:C)))+(((100-(_xlfn.XLOOKUP(Assessment!H33,Inherited!A:A,Inherited!B:B)))/100)*IF(X32="1.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(100%)","100"))))))&lt;=89),"75",IF((((_xlfn.XLOOKUP(Assessment!H33,Inherited!A:A,Inherited!B:B))/100)*(_xlfn.XLOOKUP(Assessment!H33,Inherited!A:A,Inherited!C:C)))+(((100-(_xlfn.XLOOKUP(Assessment!H33,Inherited!A:A,Inherited!B:B)))/100)*IF(X32="1. Non Compliant (0%)","0",IF(X32="2. Somewhat Compliant (25%)","25",IF(X32="3. Partially Compliant (50%)","50",IF(X32="4. Mostly Compliant (75%)","75",IF(X32="5. Fully Compliant (100%)","100"))))))&gt;=90,"100"))))))</f>
        <v>#N/A</v>
      </c>
      <c r="R32" s="1" t="e">
        <f>IF(MATCH(H32,Inherited!A:A),IF((((_xlfn.XLOOKUP(Assessment!H33,Inherited!A:A,Inherited!B:B))/100)*(_xlfn.XLOOKUP(Assessment!H33,Inherited!A:A,Inherited!D:D)))+(((100-(_xlfn.XLOOKUP(Assessment!H33,Inherited!A:A,Inherited!B:B)))/100)*IF(Y32="1.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(100%)","100"))))))&lt;=10,"0", IF(AND((((_xlfn.XLOOKUP(Assessment!H33,Inherited!A:A,Inherited!B:B))/100)*(_xlfn.XLOOKUP(Assessment!H33,Inherited!A:A,Inherited!D:D)))+(((100-(_xlfn.XLOOKUP(Assessment!H33,Inherited!A:A,Inherited!B:B)))/100)*IF(Y32="1.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(100%)","100"))))))&gt;=11,(((_xlfn.XLOOKUP(Assessment!H33,Inherited!A:A,Inherited!B:B))/100)*(_xlfn.XLOOKUP(Assessment!H33,Inherited!A:A,Inherited!D:D)))+(((100-(_xlfn.XLOOKUP(Assessment!H33,Inherited!A:A,Inherited!B:B)))/100)*IF(Y32="1.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(100%)","100"))))))&lt;=32),"25",IF(AND((((_xlfn.XLOOKUP(Assessment!H33,Inherited!A:A,Inherited!B:B))/100)*(_xlfn.XLOOKUP(Assessment!H33,Inherited!A:A,Inherited!D:D)))+(((100-(_xlfn.XLOOKUP(Assessment!H33,Inherited!A:A,Inherited!B:B)))/100)*IF(Y32="1.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(100%)","100"))))))&gt;=33,(((_xlfn.XLOOKUP(Assessment!H33,Inherited!A:A,Inherited!B:B))/100)*(_xlfn.XLOOKUP(Assessment!H33,Inherited!A:A,Inherited!D:D)))+(((100-(_xlfn.XLOOKUP(Assessment!H33,Inherited!A:A,Inherited!B:B)))/100)*IF(Y32="1.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(100%)","100"))))))&lt;=65),"50",IF(AND((((_xlfn.XLOOKUP(Assessment!H33,Inherited!A:A,Inherited!B:B))/100)*(_xlfn.XLOOKUP(Assessment!H33,Inherited!A:A,Inherited!D:D)))+(((100-(_xlfn.XLOOKUP(Assessment!H33,Inherited!A:A,Inherited!B:B)))/100)*IF(Y32="1.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(100%)","100"))))))&gt;=66,(((_xlfn.XLOOKUP(Assessment!H33,Inherited!A:A,Inherited!B:B))/100)*(_xlfn.XLOOKUP(Assessment!H33,Inherited!A:A,Inherited!D:D)))+(((100-(_xlfn.XLOOKUP(Assessment!H33,Inherited!A:A,Inherited!B:B)))/100)*IF(Y32="1.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(100%)","100"))))))&lt;=89),"75",IF((((_xlfn.XLOOKUP(Assessment!H33,Inherited!A:A,Inherited!B:B))/100)*(_xlfn.XLOOKUP(Assessment!H33,Inherited!A:A,Inherited!D:D)))+(((100-(_xlfn.XLOOKUP(Assessment!H33,Inherited!A:A,Inherited!B:B)))/100)*IF(Y32="1. Non Compliant (0%)","0",IF(Y32="2. Somewhat Compliant (25%)","25",IF(Y32="3. Partially Compliant (50%)","50",IF(Y32="4. Mostly Compliant (75%)","75",IF(Y32="5. Fully Compliant (100%)","100"))))))&gt;=90,"100"))))))</f>
        <v>#N/A</v>
      </c>
      <c r="S32" s="1" t="e">
        <f>IF(MATCH(H32,Inherited!A:A),IF((((_xlfn.XLOOKUP(Assessment!H33,Inherited!A:A,Inherited!B:B))/100)*(_xlfn.XLOOKUP(Assessment!H33,Inherited!A:A,Inherited!E:E)))+(((100-(_xlfn.XLOOKUP(Assessment!H33,Inherited!A:A,Inherited!B:B)))/100)*IF(Z32="1.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(100%)","100"))))))&lt;=10,"0", IF(AND((((_xlfn.XLOOKUP(Assessment!H33,Inherited!A:A,Inherited!B:B))/100)*(_xlfn.XLOOKUP(Assessment!H33,Inherited!A:A,Inherited!E:E)))+(((100-(_xlfn.XLOOKUP(Assessment!H33,Inherited!A:A,Inherited!B:B)))/100)*IF(Z32="1.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(100%)","100"))))))&gt;=11,(((_xlfn.XLOOKUP(Assessment!H33,Inherited!A:A,Inherited!B:B))/100)*(_xlfn.XLOOKUP(Assessment!H33,Inherited!A:A,Inherited!E:E)))+(((100-(_xlfn.XLOOKUP(Assessment!H33,Inherited!A:A,Inherited!B:B)))/100)*IF(Z32="1.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(100%)","100"))))))&lt;=32),"25",IF(AND((((_xlfn.XLOOKUP(Assessment!H33,Inherited!A:A,Inherited!B:B))/100)*(_xlfn.XLOOKUP(Assessment!H33,Inherited!A:A,Inherited!E:E)))+(((100-(_xlfn.XLOOKUP(Assessment!H33,Inherited!A:A,Inherited!B:B)))/100)*IF(Z32="1.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(100%)","100"))))))&gt;=33,(((_xlfn.XLOOKUP(Assessment!H33,Inherited!A:A,Inherited!B:B))/100)*(_xlfn.XLOOKUP(Assessment!H33,Inherited!A:A,Inherited!E:E)))+(((100-(_xlfn.XLOOKUP(Assessment!H33,Inherited!A:A,Inherited!B:B)))/100)*IF(Z32="1.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(100%)","100"))))))&lt;=65),"50",IF(AND((((_xlfn.XLOOKUP(Assessment!H33,Inherited!A:A,Inherited!B:B))/100)*(_xlfn.XLOOKUP(Assessment!H33,Inherited!A:A,Inherited!E:E)))+(((100-(_xlfn.XLOOKUP(Assessment!H33,Inherited!A:A,Inherited!B:B)))/100)*IF(Z32="1.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(100%)","100"))))))&gt;=66,(((_xlfn.XLOOKUP(Assessment!H33,Inherited!A:A,Inherited!B:B))/100)*(_xlfn.XLOOKUP(Assessment!H33,Inherited!A:A,Inherited!E:E)))+(((100-(_xlfn.XLOOKUP(Assessment!H33,Inherited!A:A,Inherited!B:B)))/100)*IF(Z32="1.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(100%)","100"))))))&lt;=89),"75",IF((((_xlfn.XLOOKUP(Assessment!H33,Inherited!A:A,Inherited!B:B))/100)*(_xlfn.XLOOKUP(Assessment!H33,Inherited!A:A,Inherited!E:E)))+(((100-(_xlfn.XLOOKUP(Assessment!H33,Inherited!A:A,Inherited!B:B)))/100)*IF(Z32="1. Non Compliant (0%)","0",IF(Z32="2. Somewhat Compliant (25%)","25",IF(Z32="3. Partially Compliant (50%)","50",IF(Z32="4. Mostly Compliant (75%)","75",IF(Z32="5. Fully Compliant (100%)","100"))))))&gt;=90,"100"))))))</f>
        <v>#N/A</v>
      </c>
      <c r="T32" s="1" t="e">
        <f>IF(MATCH(H32,Inherited!A:A),IF((((_xlfn.XLOOKUP(Assessment!H33,Inherited!A:A,Inherited!B:B))/100)*(_xlfn.XLOOKUP(Assessment!H33,Inherited!A:A,Inherited!F:F)))+(((100-(_xlfn.XLOOKUP(Assessment!H33,Inherited!A:A,Inherited!B:B)))/100)*IF(AA32="1.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(100%)","100"))))))&lt;=10,"0", IF(AND((((_xlfn.XLOOKUP(Assessment!H33,Inherited!A:A,Inherited!B:B))/100)*(_xlfn.XLOOKUP(Assessment!H33,Inherited!A:A,Inherited!F:F)))+(((100-(_xlfn.XLOOKUP(Assessment!H33,Inherited!A:A,Inherited!B:B)))/100)*IF(AA32="1.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(100%)","100"))))))&gt;=11,(((_xlfn.XLOOKUP(Assessment!H33,Inherited!A:A,Inherited!B:B))/100)*(_xlfn.XLOOKUP(Assessment!H33,Inherited!A:A,Inherited!F:F)))+(((100-(_xlfn.XLOOKUP(Assessment!H33,Inherited!A:A,Inherited!B:B)))/100)*IF(AA32="1.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(100%)","100"))))))&lt;=32),"25",IF(AND((((_xlfn.XLOOKUP(Assessment!H33,Inherited!A:A,Inherited!B:B))/100)*(_xlfn.XLOOKUP(Assessment!H33,Inherited!A:A,Inherited!F:F)))+(((100-(_xlfn.XLOOKUP(Assessment!H33,Inherited!A:A,Inherited!B:B)))/100)*IF(AA32="1.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(100%)","100"))))))&gt;=33,(((_xlfn.XLOOKUP(Assessment!H33,Inherited!A:A,Inherited!B:B))/100)*(_xlfn.XLOOKUP(Assessment!H33,Inherited!A:A,Inherited!F:F)))+(((100-(_xlfn.XLOOKUP(Assessment!H33,Inherited!A:A,Inherited!B:B)))/100)*IF(AA32="1.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(100%)","100"))))))&lt;=65),"50",IF(AND((((_xlfn.XLOOKUP(Assessment!H33,Inherited!A:A,Inherited!B:B))/100)*(_xlfn.XLOOKUP(Assessment!H33,Inherited!A:A,Inherited!F:F)))+(((100-(_xlfn.XLOOKUP(Assessment!H33,Inherited!A:A,Inherited!B:B)))/100)*IF(AA32="1.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(100%)","100"))))))&gt;=66,(((_xlfn.XLOOKUP(Assessment!H33,Inherited!A:A,Inherited!B:B))/100)*(_xlfn.XLOOKUP(Assessment!H33,Inherited!A:A,Inherited!F:F)))+(((100-(_xlfn.XLOOKUP(Assessment!H33,Inherited!A:A,Inherited!B:B)))/100)*IF(AA32="1.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(100%)","100"))))))&lt;=89),"75",IF((((_xlfn.XLOOKUP(Assessment!H33,Inherited!A:A,Inherited!B:B))/100)*(_xlfn.XLOOKUP(Assessment!H33,Inherited!A:A,Inherited!F:F)))+(((100-(_xlfn.XLOOKUP(Assessment!H33,Inherited!A:A,Inherited!B:B)))/100)*IF(AA32="1. Non Compliant (0%)","0",IF(AA32="2. Somewhat Compliant (25%)","25",IF(AA32="3. Partially Compliant (50%)","50",IF(AA32="4. Mostly Compliant (75%)","75",IF(AA32="5. Fully Compliant (100%)","100"))))))&gt;=90,"100"))))))</f>
        <v>#N/A</v>
      </c>
      <c r="U32" s="1" t="e">
        <f>IF(MATCH(H32,Inherited!A:A),IF((((_xlfn.XLOOKUP(Assessment!H33,Inherited!A:A,Inherited!B:B))/100)*(_xlfn.XLOOKUP(Assessment!H33,Inherited!A:A,Inherited!G:G)))+(((100-(_xlfn.XLOOKUP(Assessment!H33,Inherited!A:A,Inherited!B:B)))/100)*IF(AB32="1.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(100%)","100"))))))&lt;=10,"0", IF(AND((((_xlfn.XLOOKUP(Assessment!H33,Inherited!A:A,Inherited!B:B))/100)*(_xlfn.XLOOKUP(Assessment!H33,Inherited!A:A,Inherited!G:G)))+(((100-(_xlfn.XLOOKUP(Assessment!H33,Inherited!A:A,Inherited!B:B)))/100)*IF(AB32="1.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(100%)","100"))))))&gt;=11,(((_xlfn.XLOOKUP(Assessment!H33,Inherited!A:A,Inherited!B:B))/100)*(_xlfn.XLOOKUP(Assessment!H33,Inherited!A:A,Inherited!G:G)))+(((100-(_xlfn.XLOOKUP(Assessment!H33,Inherited!A:A,Inherited!B:B)))/100)*IF(AB32="1.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(100%)","100"))))))&lt;=32),"25",IF(AND((((_xlfn.XLOOKUP(Assessment!H33,Inherited!A:A,Inherited!B:B))/100)*(_xlfn.XLOOKUP(Assessment!H33,Inherited!A:A,Inherited!G:G)))+(((100-(_xlfn.XLOOKUP(Assessment!H33,Inherited!A:A,Inherited!B:B)))/100)*IF(AB32="1.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(100%)","100"))))))&gt;=33,(((_xlfn.XLOOKUP(Assessment!H33,Inherited!A:A,Inherited!B:B))/100)*(_xlfn.XLOOKUP(Assessment!H33,Inherited!A:A,Inherited!G:G)))+(((100-(_xlfn.XLOOKUP(Assessment!H33,Inherited!A:A,Inherited!B:B)))/100)*IF(AB32="1.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(100%)","100"))))))&lt;=65),"50",IF(AND((((_xlfn.XLOOKUP(Assessment!H33,Inherited!A:A,Inherited!B:B))/100)*(_xlfn.XLOOKUP(Assessment!H33,Inherited!A:A,Inherited!G:G)))+(((100-(_xlfn.XLOOKUP(Assessment!H33,Inherited!A:A,Inherited!B:B)))/100)*IF(AB32="1.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(100%)","100"))))))&gt;=66,(((_xlfn.XLOOKUP(Assessment!H33,Inherited!A:A,Inherited!B:B))/100)*(_xlfn.XLOOKUP(Assessment!H33,Inherited!A:A,Inherited!G:G)))+(((100-(_xlfn.XLOOKUP(Assessment!H33,Inherited!A:A,Inherited!B:B)))/100)*IF(AB32="1.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(100%)","100"))))))&lt;=89),"75",IF((((_xlfn.XLOOKUP(Assessment!H33,Inherited!A:A,Inherited!B:B))/100)*(_xlfn.XLOOKUP(Assessment!H33,Inherited!A:A,Inherited!G:G)))+(((100-(_xlfn.XLOOKUP(Assessment!H33,Inherited!A:A,Inherited!B:B)))/100)*IF(AB32="1. Non Compliant (0%)","0",IF(AB32="2. Somewhat Compliant (25%)","25",IF(AB32="3. Partially Compliant (50%)","50",IF(AB32="4. Mostly Compliant (75%)","75",IF(AB32="5. Fully Compliant (100%)","100"))))))&gt;=90,"100"))))))</f>
        <v>#N/A</v>
      </c>
      <c r="V32" s="55" t="s">
        <v>85</v>
      </c>
      <c r="W32" s="55"/>
      <c r="X32" s="55"/>
      <c r="Y32" s="55"/>
      <c r="Z32" s="55" t="s">
        <v>86</v>
      </c>
      <c r="AA32" s="55"/>
      <c r="AB32" s="55"/>
      <c r="AK32" s="1" t="s">
        <v>10891</v>
      </c>
      <c r="AL32" s="1" t="s">
        <v>10930</v>
      </c>
      <c r="AM32" s="1" t="s">
        <v>10913</v>
      </c>
      <c r="AX32" s="3" t="str">
        <f>_xlfn.CONCAT("A-LIGN finished its review of this control on ",AR32, " during the scheduled fieldwork window (",Intro!$B$4,")."&amp; CHAR(10)&amp; CHAR(10))</f>
        <v xml:space="preserve">A-LIGN finished its review of this control on  during the scheduled fieldwork window (Fieldwork: xx/xx/xxxx - xx/xx/xxxx).
</v>
      </c>
      <c r="AY32" s="3" t="str">
        <f t="shared" ref="AY32:AY38" si="61">IF(AQ32&lt;&gt;"",(_xlfn.CONCAT("Inheritance note: "&amp; CHAR(10),AQ32&amp; CHAR(10)&amp; CHAR(10))),"")</f>
        <v/>
      </c>
      <c r="AZ32" s="3" t="str">
        <f t="shared" ref="AZ32:AZ38" si="62">IFERROR(IF(AD32&lt;&gt;"",_xlfn.CONCAT("Examined the following policy during fieldwork:"&amp; CHAR(10),AD32&amp; CHAR(10)&amp; CHAR(10),IF(AND(X32&lt;&gt;"5. Fully Compliant (100%)",AE32&lt;&gt;""),"Reviewed policy exception note:"&amp; CHAR(10) &amp; AE32 &amp; CHAR(10) &amp; CHAR(10),"")),""),"")</f>
        <v/>
      </c>
      <c r="BA32" s="3" t="str">
        <f t="shared" ref="BA32:BA38" si="63">IFERROR(IF(AH32&lt;&gt;"",_xlfn.CONCAT("Examined the following process during fieldwork:"&amp; CHAR(10),AH32&amp; CHAR(10)&amp; CHAR(10),IF(AND(Y32&lt;&gt;"5. Fully Compliant (100%)",AI32&lt;&gt;""),"Reviewed process exception note:"&amp; CHAR(10) &amp; AI32 &amp; CHAR(10) &amp; CHAR(10),"")),""),"")</f>
        <v/>
      </c>
      <c r="BB32" s="3" t="str">
        <f t="shared" ref="BB32:BB38" si="64">IF(AK32&lt;&gt;"",(_xlfn.CONCAT("Inquired of the following workforce member: "&amp; CHAR(10),AK32&amp; CHAR(10)&amp; CHAR(10),"Inquiry lead to the following conclusions: "&amp; CHAR(10),AL32&amp; CHAR(10) &amp; CHAR(10))),"")</f>
        <v xml:space="preserve">Inquired of the following workforce member: 
Matthew Macaluso - Director of System Operations
Roze Nicolas - Director of TechOps
Inquiry lead to the following conclusions: 
All changes are documented within change tickets within the Fresh Service ticketing system 
Approvals for smaller to medium changes are approved by individual control owners. While for larger changes, they have to be approved by the change board 
Testing methods and notes are completed by the appropriate stakeholders and documented for each change
</v>
      </c>
      <c r="BC32" s="3" t="str">
        <f t="shared" ref="BC32:BC38" si="65">IF(AM32&lt;&gt;"",(_xlfn.CONCAT("Observed the following live during fieldwork: "&amp; CHAR(10),AM32&amp; CHAR(10) &amp; CHAR(10))),"")</f>
        <v xml:space="preserve">Observed the following live during fieldwork: 
Observed the Fresh Service ticketing system and a sample of change tickets which demonstrated that changes are documented, tested, and approved 
</v>
      </c>
      <c r="BD32" s="3" t="str">
        <f t="shared" ref="BD32:BD38" si="66">_xlfn.CONCAT("Examined the following evidence during fieldwork:"&amp; CHAR(10),AN32&amp; CHAR(10)&amp; CHAR(10),IF(AO32&lt;&gt;"","Reviewed evidence note:"&amp; CHAR(10)&amp;AO32&amp; CHAR(10) &amp; CHAR(10),"Reviewed evidence addressed the requirement statement."&amp; CHAR(10) &amp; CHAR(10)),IF(AND(AP32&lt;&gt;"5. Fully Compliant (100%)",AP32&lt;&gt;""),"Reviewed evidence exception note: "&amp; CHAR(10) &amp; AP32 &amp; CHAR(10) &amp; CHAR(10),""))</f>
        <v xml:space="preserve">Examined the following evidence during fieldwork:
Reviewed evidence addressed the requirement statement.
</v>
      </c>
      <c r="BE32" s="3" t="str">
        <f t="shared" ref="BE32:BE38" si="67">IF(AT32&lt;&gt;"",(_xlfn.CONCAT("Examined the following measure/metric during fieldwork:"&amp; CHAR(10),AT32&amp; CHAR(10)&amp; CHAR(10),"Reviewed measure/metric note:"&amp; CHAR(10),AU32 &amp; CHAR(10) &amp; CHAR(10))),"")</f>
        <v/>
      </c>
      <c r="BF32" s="3" t="str">
        <f t="shared" ref="BF32:BF38" si="68">IF(AV32&lt;&gt;"",(_xlfn.CONCAT("Examined the following measure/metric management during fieldwork:"&amp; CHAR(10),AV32&amp; CHAR(10)&amp; CHAR(10),"Reviewed measure/metric management note:"&amp; CHAR(10),AW32 &amp; CHAR(10) &amp; CHAR(10))),"")</f>
        <v/>
      </c>
      <c r="BG32" s="3" t="str">
        <f>_xlfn.CONCAT((IF((COUNTIF('Sample Tables'!B:B,"Test 030: Change (information system and system components)")&gt;0)=TRUE,_xlfn.CONCAT("Sample test results are documented in ",'Sample Tables'!B326," [",'Sample Tables'!B327,", ",'Sample Tables'!B328,", ",'Sample Tables'!B329,", ",'Sample Tables'!B330,", ",'Sample Tables'!B331,"]."&amp;CHAR(10)),IF((COUNTIF('Sample Tables'!B:B,"Test 030: Change (information system and system components)")&gt;0)=FALSE,""))),)</f>
        <v xml:space="preserve">Sample test results are documented in Test 030: Change (information system and system components) [Population Source/Tool: , Population Date Range: , Population Size: , Sample Methodology: , Sample Size: ].
</v>
      </c>
      <c r="BH32" s="3" t="str">
        <f t="shared" ref="BH32:BH38" si="69">IF(V32="No","Not Applicable: "&amp;W32,(_xlfn.CONCAT(AX32,AY32,AZ32,BA32,BB32,BC32,BD32,BE32,BF32,BG32)))</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All changes are documented within change tickets within the Fresh Service ticketing system 
Approvals for smaller to medium changes are approved by individual control owners. While for larger changes, they have to be approved by the change board 
Testing methods and notes are completed by the appropriate stakeholders and documented for each change
Observed the following live during fieldwork: 
Observed the Fresh Service ticketing system and a sample of change tickets which demonstrated that changes are documented, tested, and approved 
Examined the following evidence during fieldwork:
Reviewed evidence addressed the requirement statement.
Sample test results are documented in Test 030: Change (information system and system components) [Population Source/Tool: , Population Date Range: , Population Size: , Sample Methodology: , Sample Size: ].
</v>
      </c>
    </row>
    <row r="33" spans="3:60" ht="409.5" x14ac:dyDescent="0.35">
      <c r="C33" s="1">
        <f t="shared" si="60"/>
        <v>0</v>
      </c>
      <c r="D33" s="5" t="str">
        <f>IF(AND((_xlfn.XLOOKUP(J33,'Fields &amp; Revisions'!$H:$H,'Fields &amp; Revisions'!$I:$I))&lt;70.99,(OR(Z33="4. Mostly Compliant (75%)",Z33="3. Partially Compliant (50%)",Z33="2. Somewhat Compliant (25%)",Z33="1. Non Compliant (0%)"))),"Yes","No")</f>
        <v>Yes</v>
      </c>
      <c r="E33" s="5" t="str">
        <f>IF(ISERROR(VLOOKUP(H33,Scope!A:A,1,FALSE)),"No","Yes")</f>
        <v>Yes</v>
      </c>
      <c r="F33" s="1" t="s">
        <v>957</v>
      </c>
      <c r="G33" s="53" t="s">
        <v>991</v>
      </c>
      <c r="H33" s="53" t="s">
        <v>992</v>
      </c>
      <c r="I33" s="5" t="s">
        <v>93</v>
      </c>
      <c r="J33" s="1" t="s">
        <v>987</v>
      </c>
      <c r="K33" s="54" t="s">
        <v>993</v>
      </c>
      <c r="L33" s="1" t="s">
        <v>994</v>
      </c>
      <c r="M33" s="1" t="s">
        <v>995</v>
      </c>
      <c r="N33" s="5" t="s">
        <v>85</v>
      </c>
      <c r="O33" s="1" t="str">
        <f>_xlfn.XLOOKUP(G33,SRMs!$A:$A,SRMs!$D:$D)</f>
        <v>NO INHERITANCE</v>
      </c>
      <c r="P33" s="1" t="str">
        <f>IFERROR(VLOOKUP(H33,Inherited!A:B,2,FALSE),"")</f>
        <v/>
      </c>
      <c r="Q33" s="1" t="e">
        <f>IF(MATCH(H33,Inherited!A:A),IF((((_xlfn.XLOOKUP(Assessment!#REF!,Inherited!A:A,Inherited!B:B))/100)*(_xlfn.XLOOKUP(Assessment!#REF!,Inherited!A:A,Inherited!C:C)))+(((100-(_xlfn.XLOOKUP(Assessment!#REF!,Inherited!A:A,Inherited!B:B)))/100)*IF(X33="1.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(100%)","100"))))))&lt;=10,"0", IF(AND((((_xlfn.XLOOKUP(Assessment!#REF!,Inherited!A:A,Inherited!B:B))/100)*(_xlfn.XLOOKUP(Assessment!#REF!,Inherited!A:A,Inherited!C:C)))+(((100-(_xlfn.XLOOKUP(Assessment!#REF!,Inherited!A:A,Inherited!B:B)))/100)*IF(X33="1.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(100%)","100"))))))&gt;=11,(((_xlfn.XLOOKUP(Assessment!#REF!,Inherited!A:A,Inherited!B:B))/100)*(_xlfn.XLOOKUP(Assessment!#REF!,Inherited!A:A,Inherited!C:C)))+(((100-(_xlfn.XLOOKUP(Assessment!#REF!,Inherited!A:A,Inherited!B:B)))/100)*IF(X33="1.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(100%)","100"))))))&lt;=32),"25",IF(AND((((_xlfn.XLOOKUP(Assessment!#REF!,Inherited!A:A,Inherited!B:B))/100)*(_xlfn.XLOOKUP(Assessment!#REF!,Inherited!A:A,Inherited!C:C)))+(((100-(_xlfn.XLOOKUP(Assessment!#REF!,Inherited!A:A,Inherited!B:B)))/100)*IF(X33="1.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(100%)","100"))))))&gt;=33,(((_xlfn.XLOOKUP(Assessment!#REF!,Inherited!A:A,Inherited!B:B))/100)*(_xlfn.XLOOKUP(Assessment!#REF!,Inherited!A:A,Inherited!C:C)))+(((100-(_xlfn.XLOOKUP(Assessment!#REF!,Inherited!A:A,Inherited!B:B)))/100)*IF(X33="1.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(100%)","100"))))))&lt;=65),"50",IF(AND((((_xlfn.XLOOKUP(Assessment!#REF!,Inherited!A:A,Inherited!B:B))/100)*(_xlfn.XLOOKUP(Assessment!#REF!,Inherited!A:A,Inherited!C:C)))+(((100-(_xlfn.XLOOKUP(Assessment!#REF!,Inherited!A:A,Inherited!B:B)))/100)*IF(X33="1.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(100%)","100"))))))&gt;=66,(((_xlfn.XLOOKUP(Assessment!#REF!,Inherited!A:A,Inherited!B:B))/100)*(_xlfn.XLOOKUP(Assessment!#REF!,Inherited!A:A,Inherited!C:C)))+(((100-(_xlfn.XLOOKUP(Assessment!#REF!,Inherited!A:A,Inherited!B:B)))/100)*IF(X33="1.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(100%)","100"))))))&lt;=89),"75",IF((((_xlfn.XLOOKUP(Assessment!#REF!,Inherited!A:A,Inherited!B:B))/100)*(_xlfn.XLOOKUP(Assessment!#REF!,Inherited!A:A,Inherited!C:C)))+(((100-(_xlfn.XLOOKUP(Assessment!#REF!,Inherited!A:A,Inherited!B:B)))/100)*IF(X33="1. Non Compliant (0%)","0",IF(X33="2. Somewhat Compliant (25%)","25",IF(X33="3. Partially Compliant (50%)","50",IF(X33="4. Mostly Compliant (75%)","75",IF(X33="5. Fully Compliant (100%)","100"))))))&gt;=90,"100"))))))</f>
        <v>#N/A</v>
      </c>
      <c r="R33" s="1" t="e">
        <f>IF(MATCH(H33,Inherited!A:A),IF((((_xlfn.XLOOKUP(Assessment!#REF!,Inherited!A:A,Inherited!B:B))/100)*(_xlfn.XLOOKUP(Assessment!#REF!,Inherited!A:A,Inherited!D:D)))+(((100-(_xlfn.XLOOKUP(Assessment!#REF!,Inherited!A:A,Inherited!B:B)))/100)*IF(Y33="1.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(100%)","100"))))))&lt;=10,"0", IF(AND((((_xlfn.XLOOKUP(Assessment!#REF!,Inherited!A:A,Inherited!B:B))/100)*(_xlfn.XLOOKUP(Assessment!#REF!,Inherited!A:A,Inherited!D:D)))+(((100-(_xlfn.XLOOKUP(Assessment!#REF!,Inherited!A:A,Inherited!B:B)))/100)*IF(Y33="1.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(100%)","100"))))))&gt;=11,(((_xlfn.XLOOKUP(Assessment!#REF!,Inherited!A:A,Inherited!B:B))/100)*(_xlfn.XLOOKUP(Assessment!#REF!,Inherited!A:A,Inherited!D:D)))+(((100-(_xlfn.XLOOKUP(Assessment!#REF!,Inherited!A:A,Inherited!B:B)))/100)*IF(Y33="1.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(100%)","100"))))))&lt;=32),"25",IF(AND((((_xlfn.XLOOKUP(Assessment!#REF!,Inherited!A:A,Inherited!B:B))/100)*(_xlfn.XLOOKUP(Assessment!#REF!,Inherited!A:A,Inherited!D:D)))+(((100-(_xlfn.XLOOKUP(Assessment!#REF!,Inherited!A:A,Inherited!B:B)))/100)*IF(Y33="1.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(100%)","100"))))))&gt;=33,(((_xlfn.XLOOKUP(Assessment!#REF!,Inherited!A:A,Inherited!B:B))/100)*(_xlfn.XLOOKUP(Assessment!#REF!,Inherited!A:A,Inherited!D:D)))+(((100-(_xlfn.XLOOKUP(Assessment!#REF!,Inherited!A:A,Inherited!B:B)))/100)*IF(Y33="1.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(100%)","100"))))))&lt;=65),"50",IF(AND((((_xlfn.XLOOKUP(Assessment!#REF!,Inherited!A:A,Inherited!B:B))/100)*(_xlfn.XLOOKUP(Assessment!#REF!,Inherited!A:A,Inherited!D:D)))+(((100-(_xlfn.XLOOKUP(Assessment!#REF!,Inherited!A:A,Inherited!B:B)))/100)*IF(Y33="1.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(100%)","100"))))))&gt;=66,(((_xlfn.XLOOKUP(Assessment!#REF!,Inherited!A:A,Inherited!B:B))/100)*(_xlfn.XLOOKUP(Assessment!#REF!,Inherited!A:A,Inherited!D:D)))+(((100-(_xlfn.XLOOKUP(Assessment!#REF!,Inherited!A:A,Inherited!B:B)))/100)*IF(Y33="1.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(100%)","100"))))))&lt;=89),"75",IF((((_xlfn.XLOOKUP(Assessment!#REF!,Inherited!A:A,Inherited!B:B))/100)*(_xlfn.XLOOKUP(Assessment!#REF!,Inherited!A:A,Inherited!D:D)))+(((100-(_xlfn.XLOOKUP(Assessment!#REF!,Inherited!A:A,Inherited!B:B)))/100)*IF(Y33="1. Non Compliant (0%)","0",IF(Y33="2. Somewhat Compliant (25%)","25",IF(Y33="3. Partially Compliant (50%)","50",IF(Y33="4. Mostly Compliant (75%)","75",IF(Y33="5. Fully Compliant (100%)","100"))))))&gt;=90,"100"))))))</f>
        <v>#N/A</v>
      </c>
      <c r="S33" s="1" t="e">
        <f>IF(MATCH(H33,Inherited!A:A),IF((((_xlfn.XLOOKUP(Assessment!#REF!,Inherited!A:A,Inherited!B:B))/100)*(_xlfn.XLOOKUP(Assessment!#REF!,Inherited!A:A,Inherited!E:E)))+(((100-(_xlfn.XLOOKUP(Assessment!#REF!,Inherited!A:A,Inherited!B:B)))/100)*IF(Z33="1.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(100%)","100"))))))&lt;=10,"0", IF(AND((((_xlfn.XLOOKUP(Assessment!#REF!,Inherited!A:A,Inherited!B:B))/100)*(_xlfn.XLOOKUP(Assessment!#REF!,Inherited!A:A,Inherited!E:E)))+(((100-(_xlfn.XLOOKUP(Assessment!#REF!,Inherited!A:A,Inherited!B:B)))/100)*IF(Z33="1.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(100%)","100"))))))&gt;=11,(((_xlfn.XLOOKUP(Assessment!#REF!,Inherited!A:A,Inherited!B:B))/100)*(_xlfn.XLOOKUP(Assessment!#REF!,Inherited!A:A,Inherited!E:E)))+(((100-(_xlfn.XLOOKUP(Assessment!#REF!,Inherited!A:A,Inherited!B:B)))/100)*IF(Z33="1.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(100%)","100"))))))&lt;=32),"25",IF(AND((((_xlfn.XLOOKUP(Assessment!#REF!,Inherited!A:A,Inherited!B:B))/100)*(_xlfn.XLOOKUP(Assessment!#REF!,Inherited!A:A,Inherited!E:E)))+(((100-(_xlfn.XLOOKUP(Assessment!#REF!,Inherited!A:A,Inherited!B:B)))/100)*IF(Z33="1.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(100%)","100"))))))&gt;=33,(((_xlfn.XLOOKUP(Assessment!#REF!,Inherited!A:A,Inherited!B:B))/100)*(_xlfn.XLOOKUP(Assessment!#REF!,Inherited!A:A,Inherited!E:E)))+(((100-(_xlfn.XLOOKUP(Assessment!#REF!,Inherited!A:A,Inherited!B:B)))/100)*IF(Z33="1.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(100%)","100"))))))&lt;=65),"50",IF(AND((((_xlfn.XLOOKUP(Assessment!#REF!,Inherited!A:A,Inherited!B:B))/100)*(_xlfn.XLOOKUP(Assessment!#REF!,Inherited!A:A,Inherited!E:E)))+(((100-(_xlfn.XLOOKUP(Assessment!#REF!,Inherited!A:A,Inherited!B:B)))/100)*IF(Z33="1.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(100%)","100"))))))&gt;=66,(((_xlfn.XLOOKUP(Assessment!#REF!,Inherited!A:A,Inherited!B:B))/100)*(_xlfn.XLOOKUP(Assessment!#REF!,Inherited!A:A,Inherited!E:E)))+(((100-(_xlfn.XLOOKUP(Assessment!#REF!,Inherited!A:A,Inherited!B:B)))/100)*IF(Z33="1.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(100%)","100"))))))&lt;=89),"75",IF((((_xlfn.XLOOKUP(Assessment!#REF!,Inherited!A:A,Inherited!B:B))/100)*(_xlfn.XLOOKUP(Assessment!#REF!,Inherited!A:A,Inherited!E:E)))+(((100-(_xlfn.XLOOKUP(Assessment!#REF!,Inherited!A:A,Inherited!B:B)))/100)*IF(Z33="1. Non Compliant (0%)","0",IF(Z33="2. Somewhat Compliant (25%)","25",IF(Z33="3. Partially Compliant (50%)","50",IF(Z33="4. Mostly Compliant (75%)","75",IF(Z33="5. Fully Compliant (100%)","100"))))))&gt;=90,"100"))))))</f>
        <v>#N/A</v>
      </c>
      <c r="T33" s="1" t="e">
        <f>IF(MATCH(H33,Inherited!A:A),IF((((_xlfn.XLOOKUP(Assessment!#REF!,Inherited!A:A,Inherited!B:B))/100)*(_xlfn.XLOOKUP(Assessment!#REF!,Inherited!A:A,Inherited!F:F)))+(((100-(_xlfn.XLOOKUP(Assessment!#REF!,Inherited!A:A,Inherited!B:B)))/100)*IF(AA33="1.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(100%)","100"))))))&lt;=10,"0", IF(AND((((_xlfn.XLOOKUP(Assessment!#REF!,Inherited!A:A,Inherited!B:B))/100)*(_xlfn.XLOOKUP(Assessment!#REF!,Inherited!A:A,Inherited!F:F)))+(((100-(_xlfn.XLOOKUP(Assessment!#REF!,Inherited!A:A,Inherited!B:B)))/100)*IF(AA33="1.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(100%)","100"))))))&gt;=11,(((_xlfn.XLOOKUP(Assessment!#REF!,Inherited!A:A,Inherited!B:B))/100)*(_xlfn.XLOOKUP(Assessment!#REF!,Inherited!A:A,Inherited!F:F)))+(((100-(_xlfn.XLOOKUP(Assessment!#REF!,Inherited!A:A,Inherited!B:B)))/100)*IF(AA33="1.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(100%)","100"))))))&lt;=32),"25",IF(AND((((_xlfn.XLOOKUP(Assessment!#REF!,Inherited!A:A,Inherited!B:B))/100)*(_xlfn.XLOOKUP(Assessment!#REF!,Inherited!A:A,Inherited!F:F)))+(((100-(_xlfn.XLOOKUP(Assessment!#REF!,Inherited!A:A,Inherited!B:B)))/100)*IF(AA33="1.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(100%)","100"))))))&gt;=33,(((_xlfn.XLOOKUP(Assessment!#REF!,Inherited!A:A,Inherited!B:B))/100)*(_xlfn.XLOOKUP(Assessment!#REF!,Inherited!A:A,Inherited!F:F)))+(((100-(_xlfn.XLOOKUP(Assessment!#REF!,Inherited!A:A,Inherited!B:B)))/100)*IF(AA33="1.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(100%)","100"))))))&lt;=65),"50",IF(AND((((_xlfn.XLOOKUP(Assessment!#REF!,Inherited!A:A,Inherited!B:B))/100)*(_xlfn.XLOOKUP(Assessment!#REF!,Inherited!A:A,Inherited!F:F)))+(((100-(_xlfn.XLOOKUP(Assessment!#REF!,Inherited!A:A,Inherited!B:B)))/100)*IF(AA33="1.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(100%)","100"))))))&gt;=66,(((_xlfn.XLOOKUP(Assessment!#REF!,Inherited!A:A,Inherited!B:B))/100)*(_xlfn.XLOOKUP(Assessment!#REF!,Inherited!A:A,Inherited!F:F)))+(((100-(_xlfn.XLOOKUP(Assessment!#REF!,Inherited!A:A,Inherited!B:B)))/100)*IF(AA33="1.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(100%)","100"))))))&lt;=89),"75",IF((((_xlfn.XLOOKUP(Assessment!#REF!,Inherited!A:A,Inherited!B:B))/100)*(_xlfn.XLOOKUP(Assessment!#REF!,Inherited!A:A,Inherited!F:F)))+(((100-(_xlfn.XLOOKUP(Assessment!#REF!,Inherited!A:A,Inherited!B:B)))/100)*IF(AA33="1. Non Compliant (0%)","0",IF(AA33="2. Somewhat Compliant (25%)","25",IF(AA33="3. Partially Compliant (50%)","50",IF(AA33="4. Mostly Compliant (75%)","75",IF(AA33="5. Fully Compliant (100%)","100"))))))&gt;=90,"100"))))))</f>
        <v>#N/A</v>
      </c>
      <c r="U33" s="1" t="e">
        <f>IF(MATCH(H33,Inherited!A:A),IF((((_xlfn.XLOOKUP(Assessment!#REF!,Inherited!A:A,Inherited!B:B))/100)*(_xlfn.XLOOKUP(Assessment!#REF!,Inherited!A:A,Inherited!G:G)))+(((100-(_xlfn.XLOOKUP(Assessment!#REF!,Inherited!A:A,Inherited!B:B)))/100)*IF(AB33="1.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(100%)","100"))))))&lt;=10,"0", IF(AND((((_xlfn.XLOOKUP(Assessment!#REF!,Inherited!A:A,Inherited!B:B))/100)*(_xlfn.XLOOKUP(Assessment!#REF!,Inherited!A:A,Inherited!G:G)))+(((100-(_xlfn.XLOOKUP(Assessment!#REF!,Inherited!A:A,Inherited!B:B)))/100)*IF(AB33="1.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(100%)","100"))))))&gt;=11,(((_xlfn.XLOOKUP(Assessment!#REF!,Inherited!A:A,Inherited!B:B))/100)*(_xlfn.XLOOKUP(Assessment!#REF!,Inherited!A:A,Inherited!G:G)))+(((100-(_xlfn.XLOOKUP(Assessment!#REF!,Inherited!A:A,Inherited!B:B)))/100)*IF(AB33="1.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(100%)","100"))))))&lt;=32),"25",IF(AND((((_xlfn.XLOOKUP(Assessment!#REF!,Inherited!A:A,Inherited!B:B))/100)*(_xlfn.XLOOKUP(Assessment!#REF!,Inherited!A:A,Inherited!G:G)))+(((100-(_xlfn.XLOOKUP(Assessment!#REF!,Inherited!A:A,Inherited!B:B)))/100)*IF(AB33="1.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(100%)","100"))))))&gt;=33,(((_xlfn.XLOOKUP(Assessment!#REF!,Inherited!A:A,Inherited!B:B))/100)*(_xlfn.XLOOKUP(Assessment!#REF!,Inherited!A:A,Inherited!G:G)))+(((100-(_xlfn.XLOOKUP(Assessment!#REF!,Inherited!A:A,Inherited!B:B)))/100)*IF(AB33="1.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(100%)","100"))))))&lt;=65),"50",IF(AND((((_xlfn.XLOOKUP(Assessment!#REF!,Inherited!A:A,Inherited!B:B))/100)*(_xlfn.XLOOKUP(Assessment!#REF!,Inherited!A:A,Inherited!G:G)))+(((100-(_xlfn.XLOOKUP(Assessment!#REF!,Inherited!A:A,Inherited!B:B)))/100)*IF(AB33="1.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(100%)","100"))))))&gt;=66,(((_xlfn.XLOOKUP(Assessment!#REF!,Inherited!A:A,Inherited!B:B))/100)*(_xlfn.XLOOKUP(Assessment!#REF!,Inherited!A:A,Inherited!G:G)))+(((100-(_xlfn.XLOOKUP(Assessment!#REF!,Inherited!A:A,Inherited!B:B)))/100)*IF(AB33="1.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(100%)","100"))))))&lt;=89),"75",IF((((_xlfn.XLOOKUP(Assessment!#REF!,Inherited!A:A,Inherited!B:B))/100)*(_xlfn.XLOOKUP(Assessment!#REF!,Inherited!A:A,Inherited!G:G)))+(((100-(_xlfn.XLOOKUP(Assessment!#REF!,Inherited!A:A,Inherited!B:B)))/100)*IF(AB33="1. Non Compliant (0%)","0",IF(AB33="2. Somewhat Compliant (25%)","25",IF(AB33="3. Partially Compliant (50%)","50",IF(AB33="4. Mostly Compliant (75%)","75",IF(AB33="5. Fully Compliant (100%)","100"))))))&gt;=90,"100"))))))</f>
        <v>#N/A</v>
      </c>
      <c r="V33" s="55" t="s">
        <v>85</v>
      </c>
      <c r="W33" s="55"/>
      <c r="X33" s="55"/>
      <c r="Y33" s="55"/>
      <c r="Z33" s="55" t="s">
        <v>10873</v>
      </c>
      <c r="AA33" s="55"/>
      <c r="AB33" s="55"/>
      <c r="AK33" s="1" t="s">
        <v>10978</v>
      </c>
      <c r="AL33" s="1" t="s">
        <v>10986</v>
      </c>
      <c r="AP33" s="1" t="s">
        <v>11057</v>
      </c>
      <c r="AX33" s="3" t="str">
        <f>_xlfn.CONCAT("A-LIGN finished its review of this control on ",AR33, " during the scheduled fieldwork window (",Intro!$B$4,")."&amp; CHAR(10)&amp; CHAR(10))</f>
        <v xml:space="preserve">A-LIGN finished its review of this control on  during the scheduled fieldwork window (Fieldwork: xx/xx/xxxx - xx/xx/xxxx).
</v>
      </c>
      <c r="AY33" s="3" t="str">
        <f t="shared" si="61"/>
        <v/>
      </c>
      <c r="AZ33" s="3" t="str">
        <f t="shared" si="62"/>
        <v/>
      </c>
      <c r="BA33" s="3" t="str">
        <f t="shared" si="63"/>
        <v/>
      </c>
      <c r="BB33" s="3" t="str">
        <f t="shared" si="64"/>
        <v xml:space="preserve">Inquired of the following workforce member: 
Michael Wood - VP of AI Engineering
Kyle Smith - IT Operations and AI Expert 
Inquiry lead to the following conclusions: 
A formal change management process is not in place for AI system development 
</v>
      </c>
      <c r="BC33" s="3" t="str">
        <f t="shared" si="65"/>
        <v/>
      </c>
      <c r="BD33" s="3" t="str">
        <f t="shared" si="66"/>
        <v xml:space="preserve">Examined the following evidence during fieldwork:
Reviewed evidence addressed the requirement statement.
Reviewed evidence exception note: 
Gap: 
A formal change management process is not in place for AI system development. 
Recommendation:
Management should ensure that a formal change management process is in place for AI system development. Merge will be moving to the Jira ticketing system to manage the development process. Workflow being developed will consider the following:
- defines process for: documenting changes
- defines process for: testing changes
- defines process for: approving changes
- defines process for: reviewing release notes
</v>
      </c>
      <c r="BE33" s="3" t="str">
        <f t="shared" si="67"/>
        <v/>
      </c>
      <c r="BF33" s="3" t="str">
        <f t="shared" si="68"/>
        <v/>
      </c>
      <c r="BG33" s="3" t="str">
        <f>_xlfn.CONCAT((IF((COUNTIF('Sample Tables'!B:B,"Test 222: Change (artificial intelligence) ")&gt;0)=TRUE,_xlfn.CONCAT("Sample test results are documented in ",'Sample Tables'!B2438," [",'Sample Tables'!B2439,", ",'Sample Tables'!B2440,", ",'Sample Tables'!B2441,", ",'Sample Tables'!B2442,", ",'Sample Tables'!B2443,"]."&amp;CHAR(10)),IF((COUNTIF('Sample Tables'!B:B,"Test 222: Change (artificial intelligence) ")&gt;0)=FALSE,""))),)</f>
        <v xml:space="preserve">Sample test results are documented in Test 222: Change (artificial intelligence)  [Population Source/Tool: , Population Date Range: , Population Size: , Sample Methodology: , Sample Size: ].
</v>
      </c>
      <c r="BH33" s="3" t="str">
        <f t="shared" si="6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 formal change management process is not in place for AI system development 
Examined the following evidence during fieldwork:
Reviewed evidence addressed the requirement statement.
Reviewed evidence exception note: 
Gap: 
A formal change management process is not in place for AI system development. 
Recommendation:
Management should ensure that a formal change management process is in place for AI system development. Merge will be moving to the Jira ticketing system to manage the development process. Workflow being developed will consider the following:
- defines process for: documenting changes
- defines process for: testing changes
- defines process for: approving changes
- defines process for: reviewing release notes
Sample test results are documented in Test 222: Change (artificial intelligence)  [Population Source/Tool: , Population Date Range: , Population Size: , Sample Methodology: , Sample Size: ].
</v>
      </c>
    </row>
    <row r="34" spans="3:60" ht="347.25" customHeight="1" x14ac:dyDescent="0.35">
      <c r="C34" s="1">
        <f t="shared" si="60"/>
        <v>0</v>
      </c>
      <c r="D34" s="5" t="str">
        <f>IF(AND((_xlfn.XLOOKUP(J34,'Fields &amp; Revisions'!$H:$H,'Fields &amp; Revisions'!$I:$I))&lt;70.99,(OR(Z34="4. Mostly Compliant (75%)",Z34="3. Partially Compliant (50%)",Z34="2. Somewhat Compliant (25%)",Z34="1. Non Compliant (0%)"))),"Yes","No")</f>
        <v>Yes</v>
      </c>
      <c r="E34" s="5" t="str">
        <f>IF(ISERROR(VLOOKUP(H34,Scope!A:A,1,FALSE)),"No","Yes")</f>
        <v>Yes</v>
      </c>
      <c r="F34" s="1" t="s">
        <v>957</v>
      </c>
      <c r="G34" s="53" t="s">
        <v>1010</v>
      </c>
      <c r="H34" s="53" t="s">
        <v>1011</v>
      </c>
      <c r="I34" s="5" t="s">
        <v>93</v>
      </c>
      <c r="J34" s="1" t="s">
        <v>1012</v>
      </c>
      <c r="K34" s="54" t="s">
        <v>1013</v>
      </c>
      <c r="L34" s="1" t="s">
        <v>1014</v>
      </c>
      <c r="M34" s="1" t="s">
        <v>1015</v>
      </c>
      <c r="N34" s="5" t="s">
        <v>98</v>
      </c>
      <c r="O34" s="1" t="str">
        <f>_xlfn.XLOOKUP(G34,SRMs!$A:$A,SRMs!$D:$D)</f>
        <v>NO INHERITANCE</v>
      </c>
      <c r="P34" s="1" t="str">
        <f>IFERROR(VLOOKUP(H34,Inherited!A:B,2,FALSE),"")</f>
        <v/>
      </c>
      <c r="Q34" s="1" t="e">
        <f>IF(MATCH(H34,Inherited!A:A),IF((((_xlfn.XLOOKUP(Assessment!H35,Inherited!A:A,Inherited!B:B))/100)*(_xlfn.XLOOKUP(Assessment!H35,Inherited!A:A,Inherited!C:C)))+(((100-(_xlfn.XLOOKUP(Assessment!H35,Inherited!A:A,Inherited!B:B)))/100)*IF(X34="1.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(100%)","100"))))))&lt;=10,"0", IF(AND((((_xlfn.XLOOKUP(Assessment!H35,Inherited!A:A,Inherited!B:B))/100)*(_xlfn.XLOOKUP(Assessment!H35,Inherited!A:A,Inherited!C:C)))+(((100-(_xlfn.XLOOKUP(Assessment!H35,Inherited!A:A,Inherited!B:B)))/100)*IF(X34="1.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(100%)","100"))))))&gt;=11,(((_xlfn.XLOOKUP(Assessment!H35,Inherited!A:A,Inherited!B:B))/100)*(_xlfn.XLOOKUP(Assessment!H35,Inherited!A:A,Inherited!C:C)))+(((100-(_xlfn.XLOOKUP(Assessment!H35,Inherited!A:A,Inherited!B:B)))/100)*IF(X34="1.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(100%)","100"))))))&lt;=32),"25",IF(AND((((_xlfn.XLOOKUP(Assessment!H35,Inherited!A:A,Inherited!B:B))/100)*(_xlfn.XLOOKUP(Assessment!H35,Inherited!A:A,Inherited!C:C)))+(((100-(_xlfn.XLOOKUP(Assessment!H35,Inherited!A:A,Inherited!B:B)))/100)*IF(X34="1.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(100%)","100"))))))&gt;=33,(((_xlfn.XLOOKUP(Assessment!H35,Inherited!A:A,Inherited!B:B))/100)*(_xlfn.XLOOKUP(Assessment!H35,Inherited!A:A,Inherited!C:C)))+(((100-(_xlfn.XLOOKUP(Assessment!H35,Inherited!A:A,Inherited!B:B)))/100)*IF(X34="1.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(100%)","100"))))))&lt;=65),"50",IF(AND((((_xlfn.XLOOKUP(Assessment!H35,Inherited!A:A,Inherited!B:B))/100)*(_xlfn.XLOOKUP(Assessment!H35,Inherited!A:A,Inherited!C:C)))+(((100-(_xlfn.XLOOKUP(Assessment!H35,Inherited!A:A,Inherited!B:B)))/100)*IF(X34="1.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(100%)","100"))))))&gt;=66,(((_xlfn.XLOOKUP(Assessment!H35,Inherited!A:A,Inherited!B:B))/100)*(_xlfn.XLOOKUP(Assessment!H35,Inherited!A:A,Inherited!C:C)))+(((100-(_xlfn.XLOOKUP(Assessment!H35,Inherited!A:A,Inherited!B:B)))/100)*IF(X34="1.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(100%)","100"))))))&lt;=89),"75",IF((((_xlfn.XLOOKUP(Assessment!H35,Inherited!A:A,Inherited!B:B))/100)*(_xlfn.XLOOKUP(Assessment!H35,Inherited!A:A,Inherited!C:C)))+(((100-(_xlfn.XLOOKUP(Assessment!H35,Inherited!A:A,Inherited!B:B)))/100)*IF(X34="1. Non Compliant (0%)","0",IF(X34="2. Somewhat Compliant (25%)","25",IF(X34="3. Partially Compliant (50%)","50",IF(X34="4. Mostly Compliant (75%)","75",IF(X34="5. Fully Compliant (100%)","100"))))))&gt;=90,"100"))))))</f>
        <v>#N/A</v>
      </c>
      <c r="R34" s="1" t="e">
        <f>IF(MATCH(H34,Inherited!A:A),IF((((_xlfn.XLOOKUP(Assessment!H35,Inherited!A:A,Inherited!B:B))/100)*(_xlfn.XLOOKUP(Assessment!H35,Inherited!A:A,Inherited!D:D)))+(((100-(_xlfn.XLOOKUP(Assessment!H35,Inherited!A:A,Inherited!B:B)))/100)*IF(Y34="1.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(100%)","100"))))))&lt;=10,"0", IF(AND((((_xlfn.XLOOKUP(Assessment!H35,Inherited!A:A,Inherited!B:B))/100)*(_xlfn.XLOOKUP(Assessment!H35,Inherited!A:A,Inherited!D:D)))+(((100-(_xlfn.XLOOKUP(Assessment!H35,Inherited!A:A,Inherited!B:B)))/100)*IF(Y34="1.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(100%)","100"))))))&gt;=11,(((_xlfn.XLOOKUP(Assessment!H35,Inherited!A:A,Inherited!B:B))/100)*(_xlfn.XLOOKUP(Assessment!H35,Inherited!A:A,Inherited!D:D)))+(((100-(_xlfn.XLOOKUP(Assessment!H35,Inherited!A:A,Inherited!B:B)))/100)*IF(Y34="1.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(100%)","100"))))))&lt;=32),"25",IF(AND((((_xlfn.XLOOKUP(Assessment!H35,Inherited!A:A,Inherited!B:B))/100)*(_xlfn.XLOOKUP(Assessment!H35,Inherited!A:A,Inherited!D:D)))+(((100-(_xlfn.XLOOKUP(Assessment!H35,Inherited!A:A,Inherited!B:B)))/100)*IF(Y34="1.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(100%)","100"))))))&gt;=33,(((_xlfn.XLOOKUP(Assessment!H35,Inherited!A:A,Inherited!B:B))/100)*(_xlfn.XLOOKUP(Assessment!H35,Inherited!A:A,Inherited!D:D)))+(((100-(_xlfn.XLOOKUP(Assessment!H35,Inherited!A:A,Inherited!B:B)))/100)*IF(Y34="1.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(100%)","100"))))))&lt;=65),"50",IF(AND((((_xlfn.XLOOKUP(Assessment!H35,Inherited!A:A,Inherited!B:B))/100)*(_xlfn.XLOOKUP(Assessment!H35,Inherited!A:A,Inherited!D:D)))+(((100-(_xlfn.XLOOKUP(Assessment!H35,Inherited!A:A,Inherited!B:B)))/100)*IF(Y34="1.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(100%)","100"))))))&gt;=66,(((_xlfn.XLOOKUP(Assessment!H35,Inherited!A:A,Inherited!B:B))/100)*(_xlfn.XLOOKUP(Assessment!H35,Inherited!A:A,Inherited!D:D)))+(((100-(_xlfn.XLOOKUP(Assessment!H35,Inherited!A:A,Inherited!B:B)))/100)*IF(Y34="1.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(100%)","100"))))))&lt;=89),"75",IF((((_xlfn.XLOOKUP(Assessment!H35,Inherited!A:A,Inherited!B:B))/100)*(_xlfn.XLOOKUP(Assessment!H35,Inherited!A:A,Inherited!D:D)))+(((100-(_xlfn.XLOOKUP(Assessment!H35,Inherited!A:A,Inherited!B:B)))/100)*IF(Y34="1. Non Compliant (0%)","0",IF(Y34="2. Somewhat Compliant (25%)","25",IF(Y34="3. Partially Compliant (50%)","50",IF(Y34="4. Mostly Compliant (75%)","75",IF(Y34="5. Fully Compliant (100%)","100"))))))&gt;=90,"100"))))))</f>
        <v>#N/A</v>
      </c>
      <c r="S34" s="1" t="e">
        <f>IF(MATCH(H34,Inherited!A:A),IF((((_xlfn.XLOOKUP(Assessment!H35,Inherited!A:A,Inherited!B:B))/100)*(_xlfn.XLOOKUP(Assessment!H35,Inherited!A:A,Inherited!E:E)))+(((100-(_xlfn.XLOOKUP(Assessment!H35,Inherited!A:A,Inherited!B:B)))/100)*IF(Z34="1.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(100%)","100"))))))&lt;=10,"0", IF(AND((((_xlfn.XLOOKUP(Assessment!H35,Inherited!A:A,Inherited!B:B))/100)*(_xlfn.XLOOKUP(Assessment!H35,Inherited!A:A,Inherited!E:E)))+(((100-(_xlfn.XLOOKUP(Assessment!H35,Inherited!A:A,Inherited!B:B)))/100)*IF(Z34="1.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(100%)","100"))))))&gt;=11,(((_xlfn.XLOOKUP(Assessment!H35,Inherited!A:A,Inherited!B:B))/100)*(_xlfn.XLOOKUP(Assessment!H35,Inherited!A:A,Inherited!E:E)))+(((100-(_xlfn.XLOOKUP(Assessment!H35,Inherited!A:A,Inherited!B:B)))/100)*IF(Z34="1.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(100%)","100"))))))&lt;=32),"25",IF(AND((((_xlfn.XLOOKUP(Assessment!H35,Inherited!A:A,Inherited!B:B))/100)*(_xlfn.XLOOKUP(Assessment!H35,Inherited!A:A,Inherited!E:E)))+(((100-(_xlfn.XLOOKUP(Assessment!H35,Inherited!A:A,Inherited!B:B)))/100)*IF(Z34="1.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(100%)","100"))))))&gt;=33,(((_xlfn.XLOOKUP(Assessment!H35,Inherited!A:A,Inherited!B:B))/100)*(_xlfn.XLOOKUP(Assessment!H35,Inherited!A:A,Inherited!E:E)))+(((100-(_xlfn.XLOOKUP(Assessment!H35,Inherited!A:A,Inherited!B:B)))/100)*IF(Z34="1.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(100%)","100"))))))&lt;=65),"50",IF(AND((((_xlfn.XLOOKUP(Assessment!H35,Inherited!A:A,Inherited!B:B))/100)*(_xlfn.XLOOKUP(Assessment!H35,Inherited!A:A,Inherited!E:E)))+(((100-(_xlfn.XLOOKUP(Assessment!H35,Inherited!A:A,Inherited!B:B)))/100)*IF(Z34="1.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(100%)","100"))))))&gt;=66,(((_xlfn.XLOOKUP(Assessment!H35,Inherited!A:A,Inherited!B:B))/100)*(_xlfn.XLOOKUP(Assessment!H35,Inherited!A:A,Inherited!E:E)))+(((100-(_xlfn.XLOOKUP(Assessment!H35,Inherited!A:A,Inherited!B:B)))/100)*IF(Z34="1.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(100%)","100"))))))&lt;=89),"75",IF((((_xlfn.XLOOKUP(Assessment!H35,Inherited!A:A,Inherited!B:B))/100)*(_xlfn.XLOOKUP(Assessment!H35,Inherited!A:A,Inherited!E:E)))+(((100-(_xlfn.XLOOKUP(Assessment!H35,Inherited!A:A,Inherited!B:B)))/100)*IF(Z34="1. Non Compliant (0%)","0",IF(Z34="2. Somewhat Compliant (25%)","25",IF(Z34="3. Partially Compliant (50%)","50",IF(Z34="4. Mostly Compliant (75%)","75",IF(Z34="5. Fully Compliant (100%)","100"))))))&gt;=90,"100"))))))</f>
        <v>#N/A</v>
      </c>
      <c r="T34" s="1" t="e">
        <f>IF(MATCH(H34,Inherited!A:A),IF((((_xlfn.XLOOKUP(Assessment!H35,Inherited!A:A,Inherited!B:B))/100)*(_xlfn.XLOOKUP(Assessment!H35,Inherited!A:A,Inherited!F:F)))+(((100-(_xlfn.XLOOKUP(Assessment!H35,Inherited!A:A,Inherited!B:B)))/100)*IF(AA34="1.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(100%)","100"))))))&lt;=10,"0", IF(AND((((_xlfn.XLOOKUP(Assessment!H35,Inherited!A:A,Inherited!B:B))/100)*(_xlfn.XLOOKUP(Assessment!H35,Inherited!A:A,Inherited!F:F)))+(((100-(_xlfn.XLOOKUP(Assessment!H35,Inherited!A:A,Inherited!B:B)))/100)*IF(AA34="1.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(100%)","100"))))))&gt;=11,(((_xlfn.XLOOKUP(Assessment!H35,Inherited!A:A,Inherited!B:B))/100)*(_xlfn.XLOOKUP(Assessment!H35,Inherited!A:A,Inherited!F:F)))+(((100-(_xlfn.XLOOKUP(Assessment!H35,Inherited!A:A,Inherited!B:B)))/100)*IF(AA34="1.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(100%)","100"))))))&lt;=32),"25",IF(AND((((_xlfn.XLOOKUP(Assessment!H35,Inherited!A:A,Inherited!B:B))/100)*(_xlfn.XLOOKUP(Assessment!H35,Inherited!A:A,Inherited!F:F)))+(((100-(_xlfn.XLOOKUP(Assessment!H35,Inherited!A:A,Inherited!B:B)))/100)*IF(AA34="1.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(100%)","100"))))))&gt;=33,(((_xlfn.XLOOKUP(Assessment!H35,Inherited!A:A,Inherited!B:B))/100)*(_xlfn.XLOOKUP(Assessment!H35,Inherited!A:A,Inherited!F:F)))+(((100-(_xlfn.XLOOKUP(Assessment!H35,Inherited!A:A,Inherited!B:B)))/100)*IF(AA34="1.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(100%)","100"))))))&lt;=65),"50",IF(AND((((_xlfn.XLOOKUP(Assessment!H35,Inherited!A:A,Inherited!B:B))/100)*(_xlfn.XLOOKUP(Assessment!H35,Inherited!A:A,Inherited!F:F)))+(((100-(_xlfn.XLOOKUP(Assessment!H35,Inherited!A:A,Inherited!B:B)))/100)*IF(AA34="1.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(100%)","100"))))))&gt;=66,(((_xlfn.XLOOKUP(Assessment!H35,Inherited!A:A,Inherited!B:B))/100)*(_xlfn.XLOOKUP(Assessment!H35,Inherited!A:A,Inherited!F:F)))+(((100-(_xlfn.XLOOKUP(Assessment!H35,Inherited!A:A,Inherited!B:B)))/100)*IF(AA34="1.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(100%)","100"))))))&lt;=89),"75",IF((((_xlfn.XLOOKUP(Assessment!H35,Inherited!A:A,Inherited!B:B))/100)*(_xlfn.XLOOKUP(Assessment!H35,Inherited!A:A,Inherited!F:F)))+(((100-(_xlfn.XLOOKUP(Assessment!H35,Inherited!A:A,Inherited!B:B)))/100)*IF(AA34="1. Non Compliant (0%)","0",IF(AA34="2. Somewhat Compliant (25%)","25",IF(AA34="3. Partially Compliant (50%)","50",IF(AA34="4. Mostly Compliant (75%)","75",IF(AA34="5. Fully Compliant (100%)","100"))))))&gt;=90,"100"))))))</f>
        <v>#N/A</v>
      </c>
      <c r="U34" s="1" t="e">
        <f>IF(MATCH(H34,Inherited!A:A),IF((((_xlfn.XLOOKUP(Assessment!H35,Inherited!A:A,Inherited!B:B))/100)*(_xlfn.XLOOKUP(Assessment!H35,Inherited!A:A,Inherited!G:G)))+(((100-(_xlfn.XLOOKUP(Assessment!H35,Inherited!A:A,Inherited!B:B)))/100)*IF(AB34="1.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(100%)","100"))))))&lt;=10,"0", IF(AND((((_xlfn.XLOOKUP(Assessment!H35,Inherited!A:A,Inherited!B:B))/100)*(_xlfn.XLOOKUP(Assessment!H35,Inherited!A:A,Inherited!G:G)))+(((100-(_xlfn.XLOOKUP(Assessment!H35,Inherited!A:A,Inherited!B:B)))/100)*IF(AB34="1.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(100%)","100"))))))&gt;=11,(((_xlfn.XLOOKUP(Assessment!H35,Inherited!A:A,Inherited!B:B))/100)*(_xlfn.XLOOKUP(Assessment!H35,Inherited!A:A,Inherited!G:G)))+(((100-(_xlfn.XLOOKUP(Assessment!H35,Inherited!A:A,Inherited!B:B)))/100)*IF(AB34="1.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(100%)","100"))))))&lt;=32),"25",IF(AND((((_xlfn.XLOOKUP(Assessment!H35,Inherited!A:A,Inherited!B:B))/100)*(_xlfn.XLOOKUP(Assessment!H35,Inherited!A:A,Inherited!G:G)))+(((100-(_xlfn.XLOOKUP(Assessment!H35,Inherited!A:A,Inherited!B:B)))/100)*IF(AB34="1.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(100%)","100"))))))&gt;=33,(((_xlfn.XLOOKUP(Assessment!H35,Inherited!A:A,Inherited!B:B))/100)*(_xlfn.XLOOKUP(Assessment!H35,Inherited!A:A,Inherited!G:G)))+(((100-(_xlfn.XLOOKUP(Assessment!H35,Inherited!A:A,Inherited!B:B)))/100)*IF(AB34="1.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(100%)","100"))))))&lt;=65),"50",IF(AND((((_xlfn.XLOOKUP(Assessment!H35,Inherited!A:A,Inherited!B:B))/100)*(_xlfn.XLOOKUP(Assessment!H35,Inherited!A:A,Inherited!G:G)))+(((100-(_xlfn.XLOOKUP(Assessment!H35,Inherited!A:A,Inherited!B:B)))/100)*IF(AB34="1.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(100%)","100"))))))&gt;=66,(((_xlfn.XLOOKUP(Assessment!H35,Inherited!A:A,Inherited!B:B))/100)*(_xlfn.XLOOKUP(Assessment!H35,Inherited!A:A,Inherited!G:G)))+(((100-(_xlfn.XLOOKUP(Assessment!H35,Inherited!A:A,Inherited!B:B)))/100)*IF(AB34="1.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(100%)","100"))))))&lt;=89),"75",IF((((_xlfn.XLOOKUP(Assessment!H35,Inherited!A:A,Inherited!B:B))/100)*(_xlfn.XLOOKUP(Assessment!H35,Inherited!A:A,Inherited!G:G)))+(((100-(_xlfn.XLOOKUP(Assessment!H35,Inherited!A:A,Inherited!B:B)))/100)*IF(AB34="1. Non Compliant (0%)","0",IF(AB34="2. Somewhat Compliant (25%)","25",IF(AB34="3. Partially Compliant (50%)","50",IF(AB34="4. Mostly Compliant (75%)","75",IF(AB34="5. Fully Compliant (100%)","100"))))))&gt;=90,"100"))))))</f>
        <v>#N/A</v>
      </c>
      <c r="V34" s="55" t="s">
        <v>85</v>
      </c>
      <c r="W34" s="55"/>
      <c r="X34" s="55"/>
      <c r="Y34" s="55"/>
      <c r="Z34" s="55" t="s">
        <v>10873</v>
      </c>
      <c r="AA34" s="55"/>
      <c r="AB34" s="55"/>
      <c r="AK34" s="1" t="s">
        <v>10978</v>
      </c>
      <c r="AL34" s="1" t="s">
        <v>10979</v>
      </c>
      <c r="AP34" s="1" t="s">
        <v>11058</v>
      </c>
      <c r="AX34" s="3" t="str">
        <f>_xlfn.CONCAT("A-LIGN finished its review of this control on ",AR34, " during the scheduled fieldwork window (",Intro!$B$4,")."&amp; CHAR(10)&amp; CHAR(10))</f>
        <v xml:space="preserve">A-LIGN finished its review of this control on  during the scheduled fieldwork window (Fieldwork: xx/xx/xxxx - xx/xx/xxxx).
</v>
      </c>
      <c r="AY34" s="3" t="str">
        <f t="shared" si="61"/>
        <v/>
      </c>
      <c r="AZ34" s="3" t="str">
        <f t="shared" si="62"/>
        <v/>
      </c>
      <c r="BA34" s="3" t="str">
        <f t="shared" si="63"/>
        <v/>
      </c>
      <c r="BB34" s="3" t="str">
        <f t="shared" si="64"/>
        <v xml:space="preserve">Inquired of the following workforce member: 
Michael Wood - VP of AI Engineering
Kyle Smith - IT Operations and AI Expert 
Inquiry lead to the following conclusions: 
AI Model cards are not maintained at this time, however, the organization is not at this time internally developing an AI system by the letter of the control requirement 
</v>
      </c>
      <c r="BC34" s="3" t="str">
        <f t="shared" si="65"/>
        <v/>
      </c>
      <c r="BD34" s="3" t="str">
        <f t="shared" si="66"/>
        <v xml:space="preserve">Examined the following evidence during fieldwork:
Reviewed evidence addressed the requirement statement.
Reviewed evidence exception note: 
Gap: 
AI Model cards are not maintained at this time. 
Recommendation:
Management should ensure that for any internally produced AI system, AI Model cards are developed and maintained and contain the following:
- model card includes: model details
- model card includes: intended use
- model card includes: training details
- model card includes: evaluation details
- model card includes: usage caveats
</v>
      </c>
      <c r="BE34" s="3" t="str">
        <f t="shared" si="67"/>
        <v/>
      </c>
      <c r="BF34" s="3" t="str">
        <f t="shared" si="68"/>
        <v/>
      </c>
      <c r="BG34" s="3" t="str">
        <f>_xlfn.CONCAT((IF((COUNTIF('Sample Tables'!B:B,"")&gt;0)=TRUE,_xlfn.CONCAT("",""),IF((COUNTIF('Sample Tables'!B:B,"")&gt;0)=FALSE,""))),)</f>
        <v/>
      </c>
      <c r="BH34" s="3" t="str">
        <f t="shared" si="6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Model cards are not maintained at this time, however, the organization is not at this time internally developing an AI system by the letter of the control requirement 
Examined the following evidence during fieldwork:
Reviewed evidence addressed the requirement statement.
Reviewed evidence exception note: 
Gap: 
AI Model cards are not maintained at this time. 
Recommendation:
Management should ensure that for any internally produced AI system, AI Model cards are developed and maintained and contain the following:
- model card includes: model details
- model card includes: intended use
- model card includes: training details
- model card includes: evaluation details
- model card includes: usage caveats
</v>
      </c>
    </row>
    <row r="35" spans="3:60" ht="409.5" x14ac:dyDescent="0.35">
      <c r="C35" s="1">
        <f t="shared" si="60"/>
        <v>0</v>
      </c>
      <c r="D35" s="5" t="str">
        <f>IF(AND((_xlfn.XLOOKUP(J35,'Fields &amp; Revisions'!$H:$H,'Fields &amp; Revisions'!$I:$I))&lt;70.99,(OR(Z35="4. Mostly Compliant (75%)",Z35="3. Partially Compliant (50%)",Z35="2. Somewhat Compliant (25%)",Z35="1. Non Compliant (0%)"))),"Yes","No")</f>
        <v>Yes</v>
      </c>
      <c r="E35" s="5" t="str">
        <f>IF(ISERROR(VLOOKUP(H35,Scope!A:A,1,FALSE)),"No","Yes")</f>
        <v>Yes</v>
      </c>
      <c r="F35" s="1" t="s">
        <v>957</v>
      </c>
      <c r="G35" s="53" t="s">
        <v>1016</v>
      </c>
      <c r="H35" s="53" t="s">
        <v>1017</v>
      </c>
      <c r="I35" s="5" t="s">
        <v>93</v>
      </c>
      <c r="J35" s="1" t="s">
        <v>1012</v>
      </c>
      <c r="K35" s="54" t="s">
        <v>1018</v>
      </c>
      <c r="L35" s="1" t="s">
        <v>1019</v>
      </c>
      <c r="M35" s="1" t="s">
        <v>1020</v>
      </c>
      <c r="N35" s="5" t="s">
        <v>85</v>
      </c>
      <c r="O35" s="1" t="str">
        <f>_xlfn.XLOOKUP(G35,SRMs!$A:$A,SRMs!$D:$D)</f>
        <v>NO INHERITANCE</v>
      </c>
      <c r="P35" s="1" t="str">
        <f>IFERROR(VLOOKUP(H35,Inherited!A:B,2,FALSE),"")</f>
        <v/>
      </c>
      <c r="Q35" s="1" t="e">
        <f>IF(MATCH(H35,Inherited!A:A),IF((((_xlfn.XLOOKUP(Assessment!H36,Inherited!A:A,Inherited!B:B))/100)*(_xlfn.XLOOKUP(Assessment!H36,Inherited!A:A,Inherited!C:C)))+(((100-(_xlfn.XLOOKUP(Assessment!H36,Inherited!A:A,Inherited!B:B)))/100)*IF(X35="1.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(100%)","100"))))))&lt;=10,"0", IF(AND((((_xlfn.XLOOKUP(Assessment!H36,Inherited!A:A,Inherited!B:B))/100)*(_xlfn.XLOOKUP(Assessment!H36,Inherited!A:A,Inherited!C:C)))+(((100-(_xlfn.XLOOKUP(Assessment!H36,Inherited!A:A,Inherited!B:B)))/100)*IF(X35="1.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(100%)","100"))))))&gt;=11,(((_xlfn.XLOOKUP(Assessment!H36,Inherited!A:A,Inherited!B:B))/100)*(_xlfn.XLOOKUP(Assessment!H36,Inherited!A:A,Inherited!C:C)))+(((100-(_xlfn.XLOOKUP(Assessment!H36,Inherited!A:A,Inherited!B:B)))/100)*IF(X35="1.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(100%)","100"))))))&lt;=32),"25",IF(AND((((_xlfn.XLOOKUP(Assessment!H36,Inherited!A:A,Inherited!B:B))/100)*(_xlfn.XLOOKUP(Assessment!H36,Inherited!A:A,Inherited!C:C)))+(((100-(_xlfn.XLOOKUP(Assessment!H36,Inherited!A:A,Inherited!B:B)))/100)*IF(X35="1.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(100%)","100"))))))&gt;=33,(((_xlfn.XLOOKUP(Assessment!H36,Inherited!A:A,Inherited!B:B))/100)*(_xlfn.XLOOKUP(Assessment!H36,Inherited!A:A,Inherited!C:C)))+(((100-(_xlfn.XLOOKUP(Assessment!H36,Inherited!A:A,Inherited!B:B)))/100)*IF(X35="1.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(100%)","100"))))))&lt;=65),"50",IF(AND((((_xlfn.XLOOKUP(Assessment!H36,Inherited!A:A,Inherited!B:B))/100)*(_xlfn.XLOOKUP(Assessment!H36,Inherited!A:A,Inherited!C:C)))+(((100-(_xlfn.XLOOKUP(Assessment!H36,Inherited!A:A,Inherited!B:B)))/100)*IF(X35="1.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(100%)","100"))))))&gt;=66,(((_xlfn.XLOOKUP(Assessment!H36,Inherited!A:A,Inherited!B:B))/100)*(_xlfn.XLOOKUP(Assessment!H36,Inherited!A:A,Inherited!C:C)))+(((100-(_xlfn.XLOOKUP(Assessment!H36,Inherited!A:A,Inherited!B:B)))/100)*IF(X35="1.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(100%)","100"))))))&lt;=89),"75",IF((((_xlfn.XLOOKUP(Assessment!H36,Inherited!A:A,Inherited!B:B))/100)*(_xlfn.XLOOKUP(Assessment!H36,Inherited!A:A,Inherited!C:C)))+(((100-(_xlfn.XLOOKUP(Assessment!H36,Inherited!A:A,Inherited!B:B)))/100)*IF(X35="1. Non Compliant (0%)","0",IF(X35="2. Somewhat Compliant (25%)","25",IF(X35="3. Partially Compliant (50%)","50",IF(X35="4. Mostly Compliant (75%)","75",IF(X35="5. Fully Compliant (100%)","100"))))))&gt;=90,"100"))))))</f>
        <v>#N/A</v>
      </c>
      <c r="R35" s="1" t="e">
        <f>IF(MATCH(H35,Inherited!A:A),IF((((_xlfn.XLOOKUP(Assessment!H36,Inherited!A:A,Inherited!B:B))/100)*(_xlfn.XLOOKUP(Assessment!H36,Inherited!A:A,Inherited!D:D)))+(((100-(_xlfn.XLOOKUP(Assessment!H36,Inherited!A:A,Inherited!B:B)))/100)*IF(Y35="1.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(100%)","100"))))))&lt;=10,"0", IF(AND((((_xlfn.XLOOKUP(Assessment!H36,Inherited!A:A,Inherited!B:B))/100)*(_xlfn.XLOOKUP(Assessment!H36,Inherited!A:A,Inherited!D:D)))+(((100-(_xlfn.XLOOKUP(Assessment!H36,Inherited!A:A,Inherited!B:B)))/100)*IF(Y35="1.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(100%)","100"))))))&gt;=11,(((_xlfn.XLOOKUP(Assessment!H36,Inherited!A:A,Inherited!B:B))/100)*(_xlfn.XLOOKUP(Assessment!H36,Inherited!A:A,Inherited!D:D)))+(((100-(_xlfn.XLOOKUP(Assessment!H36,Inherited!A:A,Inherited!B:B)))/100)*IF(Y35="1.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(100%)","100"))))))&lt;=32),"25",IF(AND((((_xlfn.XLOOKUP(Assessment!H36,Inherited!A:A,Inherited!B:B))/100)*(_xlfn.XLOOKUP(Assessment!H36,Inherited!A:A,Inherited!D:D)))+(((100-(_xlfn.XLOOKUP(Assessment!H36,Inherited!A:A,Inherited!B:B)))/100)*IF(Y35="1.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(100%)","100"))))))&gt;=33,(((_xlfn.XLOOKUP(Assessment!H36,Inherited!A:A,Inherited!B:B))/100)*(_xlfn.XLOOKUP(Assessment!H36,Inherited!A:A,Inherited!D:D)))+(((100-(_xlfn.XLOOKUP(Assessment!H36,Inherited!A:A,Inherited!B:B)))/100)*IF(Y35="1.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(100%)","100"))))))&lt;=65),"50",IF(AND((((_xlfn.XLOOKUP(Assessment!H36,Inherited!A:A,Inherited!B:B))/100)*(_xlfn.XLOOKUP(Assessment!H36,Inherited!A:A,Inherited!D:D)))+(((100-(_xlfn.XLOOKUP(Assessment!H36,Inherited!A:A,Inherited!B:B)))/100)*IF(Y35="1.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(100%)","100"))))))&gt;=66,(((_xlfn.XLOOKUP(Assessment!H36,Inherited!A:A,Inherited!B:B))/100)*(_xlfn.XLOOKUP(Assessment!H36,Inherited!A:A,Inherited!D:D)))+(((100-(_xlfn.XLOOKUP(Assessment!H36,Inherited!A:A,Inherited!B:B)))/100)*IF(Y35="1.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(100%)","100"))))))&lt;=89),"75",IF((((_xlfn.XLOOKUP(Assessment!H36,Inherited!A:A,Inherited!B:B))/100)*(_xlfn.XLOOKUP(Assessment!H36,Inherited!A:A,Inherited!D:D)))+(((100-(_xlfn.XLOOKUP(Assessment!H36,Inherited!A:A,Inherited!B:B)))/100)*IF(Y35="1. Non Compliant (0%)","0",IF(Y35="2. Somewhat Compliant (25%)","25",IF(Y35="3. Partially Compliant (50%)","50",IF(Y35="4. Mostly Compliant (75%)","75",IF(Y35="5. Fully Compliant (100%)","100"))))))&gt;=90,"100"))))))</f>
        <v>#N/A</v>
      </c>
      <c r="S35" s="1" t="e">
        <f>IF(MATCH(H35,Inherited!A:A),IF((((_xlfn.XLOOKUP(Assessment!H36,Inherited!A:A,Inherited!B:B))/100)*(_xlfn.XLOOKUP(Assessment!H36,Inherited!A:A,Inherited!E:E)))+(((100-(_xlfn.XLOOKUP(Assessment!H36,Inherited!A:A,Inherited!B:B)))/100)*IF(Z35="1.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(100%)","100"))))))&lt;=10,"0", IF(AND((((_xlfn.XLOOKUP(Assessment!H36,Inherited!A:A,Inherited!B:B))/100)*(_xlfn.XLOOKUP(Assessment!H36,Inherited!A:A,Inherited!E:E)))+(((100-(_xlfn.XLOOKUP(Assessment!H36,Inherited!A:A,Inherited!B:B)))/100)*IF(Z35="1.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(100%)","100"))))))&gt;=11,(((_xlfn.XLOOKUP(Assessment!H36,Inherited!A:A,Inherited!B:B))/100)*(_xlfn.XLOOKUP(Assessment!H36,Inherited!A:A,Inherited!E:E)))+(((100-(_xlfn.XLOOKUP(Assessment!H36,Inherited!A:A,Inherited!B:B)))/100)*IF(Z35="1.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(100%)","100"))))))&lt;=32),"25",IF(AND((((_xlfn.XLOOKUP(Assessment!H36,Inherited!A:A,Inherited!B:B))/100)*(_xlfn.XLOOKUP(Assessment!H36,Inherited!A:A,Inherited!E:E)))+(((100-(_xlfn.XLOOKUP(Assessment!H36,Inherited!A:A,Inherited!B:B)))/100)*IF(Z35="1.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(100%)","100"))))))&gt;=33,(((_xlfn.XLOOKUP(Assessment!H36,Inherited!A:A,Inherited!B:B))/100)*(_xlfn.XLOOKUP(Assessment!H36,Inherited!A:A,Inherited!E:E)))+(((100-(_xlfn.XLOOKUP(Assessment!H36,Inherited!A:A,Inherited!B:B)))/100)*IF(Z35="1.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(100%)","100"))))))&lt;=65),"50",IF(AND((((_xlfn.XLOOKUP(Assessment!H36,Inherited!A:A,Inherited!B:B))/100)*(_xlfn.XLOOKUP(Assessment!H36,Inherited!A:A,Inherited!E:E)))+(((100-(_xlfn.XLOOKUP(Assessment!H36,Inherited!A:A,Inherited!B:B)))/100)*IF(Z35="1.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(100%)","100"))))))&gt;=66,(((_xlfn.XLOOKUP(Assessment!H36,Inherited!A:A,Inherited!B:B))/100)*(_xlfn.XLOOKUP(Assessment!H36,Inherited!A:A,Inherited!E:E)))+(((100-(_xlfn.XLOOKUP(Assessment!H36,Inherited!A:A,Inherited!B:B)))/100)*IF(Z35="1.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(100%)","100"))))))&lt;=89),"75",IF((((_xlfn.XLOOKUP(Assessment!H36,Inherited!A:A,Inherited!B:B))/100)*(_xlfn.XLOOKUP(Assessment!H36,Inherited!A:A,Inherited!E:E)))+(((100-(_xlfn.XLOOKUP(Assessment!H36,Inherited!A:A,Inherited!B:B)))/100)*IF(Z35="1. Non Compliant (0%)","0",IF(Z35="2. Somewhat Compliant (25%)","25",IF(Z35="3. Partially Compliant (50%)","50",IF(Z35="4. Mostly Compliant (75%)","75",IF(Z35="5. Fully Compliant (100%)","100"))))))&gt;=90,"100"))))))</f>
        <v>#N/A</v>
      </c>
      <c r="T35" s="1" t="e">
        <f>IF(MATCH(H35,Inherited!A:A),IF((((_xlfn.XLOOKUP(Assessment!H36,Inherited!A:A,Inherited!B:B))/100)*(_xlfn.XLOOKUP(Assessment!H36,Inherited!A:A,Inherited!F:F)))+(((100-(_xlfn.XLOOKUP(Assessment!H36,Inherited!A:A,Inherited!B:B)))/100)*IF(AA35="1.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(100%)","100"))))))&lt;=10,"0", IF(AND((((_xlfn.XLOOKUP(Assessment!H36,Inherited!A:A,Inherited!B:B))/100)*(_xlfn.XLOOKUP(Assessment!H36,Inherited!A:A,Inherited!F:F)))+(((100-(_xlfn.XLOOKUP(Assessment!H36,Inherited!A:A,Inherited!B:B)))/100)*IF(AA35="1.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(100%)","100"))))))&gt;=11,(((_xlfn.XLOOKUP(Assessment!H36,Inherited!A:A,Inherited!B:B))/100)*(_xlfn.XLOOKUP(Assessment!H36,Inherited!A:A,Inherited!F:F)))+(((100-(_xlfn.XLOOKUP(Assessment!H36,Inherited!A:A,Inherited!B:B)))/100)*IF(AA35="1.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(100%)","100"))))))&lt;=32),"25",IF(AND((((_xlfn.XLOOKUP(Assessment!H36,Inherited!A:A,Inherited!B:B))/100)*(_xlfn.XLOOKUP(Assessment!H36,Inherited!A:A,Inherited!F:F)))+(((100-(_xlfn.XLOOKUP(Assessment!H36,Inherited!A:A,Inherited!B:B)))/100)*IF(AA35="1.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(100%)","100"))))))&gt;=33,(((_xlfn.XLOOKUP(Assessment!H36,Inherited!A:A,Inherited!B:B))/100)*(_xlfn.XLOOKUP(Assessment!H36,Inherited!A:A,Inherited!F:F)))+(((100-(_xlfn.XLOOKUP(Assessment!H36,Inherited!A:A,Inherited!B:B)))/100)*IF(AA35="1.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(100%)","100"))))))&lt;=65),"50",IF(AND((((_xlfn.XLOOKUP(Assessment!H36,Inherited!A:A,Inherited!B:B))/100)*(_xlfn.XLOOKUP(Assessment!H36,Inherited!A:A,Inherited!F:F)))+(((100-(_xlfn.XLOOKUP(Assessment!H36,Inherited!A:A,Inherited!B:B)))/100)*IF(AA35="1.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(100%)","100"))))))&gt;=66,(((_xlfn.XLOOKUP(Assessment!H36,Inherited!A:A,Inherited!B:B))/100)*(_xlfn.XLOOKUP(Assessment!H36,Inherited!A:A,Inherited!F:F)))+(((100-(_xlfn.XLOOKUP(Assessment!H36,Inherited!A:A,Inherited!B:B)))/100)*IF(AA35="1.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(100%)","100"))))))&lt;=89),"75",IF((((_xlfn.XLOOKUP(Assessment!H36,Inherited!A:A,Inherited!B:B))/100)*(_xlfn.XLOOKUP(Assessment!H36,Inherited!A:A,Inherited!F:F)))+(((100-(_xlfn.XLOOKUP(Assessment!H36,Inherited!A:A,Inherited!B:B)))/100)*IF(AA35="1. Non Compliant (0%)","0",IF(AA35="2. Somewhat Compliant (25%)","25",IF(AA35="3. Partially Compliant (50%)","50",IF(AA35="4. Mostly Compliant (75%)","75",IF(AA35="5. Fully Compliant (100%)","100"))))))&gt;=90,"100"))))))</f>
        <v>#N/A</v>
      </c>
      <c r="U35" s="1" t="e">
        <f>IF(MATCH(H35,Inherited!A:A),IF((((_xlfn.XLOOKUP(Assessment!H36,Inherited!A:A,Inherited!B:B))/100)*(_xlfn.XLOOKUP(Assessment!H36,Inherited!A:A,Inherited!G:G)))+(((100-(_xlfn.XLOOKUP(Assessment!H36,Inherited!A:A,Inherited!B:B)))/100)*IF(AB35="1.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(100%)","100"))))))&lt;=10,"0", IF(AND((((_xlfn.XLOOKUP(Assessment!H36,Inherited!A:A,Inherited!B:B))/100)*(_xlfn.XLOOKUP(Assessment!H36,Inherited!A:A,Inherited!G:G)))+(((100-(_xlfn.XLOOKUP(Assessment!H36,Inherited!A:A,Inherited!B:B)))/100)*IF(AB35="1.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(100%)","100"))))))&gt;=11,(((_xlfn.XLOOKUP(Assessment!H36,Inherited!A:A,Inherited!B:B))/100)*(_xlfn.XLOOKUP(Assessment!H36,Inherited!A:A,Inherited!G:G)))+(((100-(_xlfn.XLOOKUP(Assessment!H36,Inherited!A:A,Inherited!B:B)))/100)*IF(AB35="1.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(100%)","100"))))))&lt;=32),"25",IF(AND((((_xlfn.XLOOKUP(Assessment!H36,Inherited!A:A,Inherited!B:B))/100)*(_xlfn.XLOOKUP(Assessment!H36,Inherited!A:A,Inherited!G:G)))+(((100-(_xlfn.XLOOKUP(Assessment!H36,Inherited!A:A,Inherited!B:B)))/100)*IF(AB35="1.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(100%)","100"))))))&gt;=33,(((_xlfn.XLOOKUP(Assessment!H36,Inherited!A:A,Inherited!B:B))/100)*(_xlfn.XLOOKUP(Assessment!H36,Inherited!A:A,Inherited!G:G)))+(((100-(_xlfn.XLOOKUP(Assessment!H36,Inherited!A:A,Inherited!B:B)))/100)*IF(AB35="1.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(100%)","100"))))))&lt;=65),"50",IF(AND((((_xlfn.XLOOKUP(Assessment!H36,Inherited!A:A,Inherited!B:B))/100)*(_xlfn.XLOOKUP(Assessment!H36,Inherited!A:A,Inherited!G:G)))+(((100-(_xlfn.XLOOKUP(Assessment!H36,Inherited!A:A,Inherited!B:B)))/100)*IF(AB35="1.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(100%)","100"))))))&gt;=66,(((_xlfn.XLOOKUP(Assessment!H36,Inherited!A:A,Inherited!B:B))/100)*(_xlfn.XLOOKUP(Assessment!H36,Inherited!A:A,Inherited!G:G)))+(((100-(_xlfn.XLOOKUP(Assessment!H36,Inherited!A:A,Inherited!B:B)))/100)*IF(AB35="1.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(100%)","100"))))))&lt;=89),"75",IF((((_xlfn.XLOOKUP(Assessment!H36,Inherited!A:A,Inherited!B:B))/100)*(_xlfn.XLOOKUP(Assessment!H36,Inherited!A:A,Inherited!G:G)))+(((100-(_xlfn.XLOOKUP(Assessment!H36,Inherited!A:A,Inherited!B:B)))/100)*IF(AB35="1. Non Compliant (0%)","0",IF(AB35="2. Somewhat Compliant (25%)","25",IF(AB35="3. Partially Compliant (50%)","50",IF(AB35="4. Mostly Compliant (75%)","75",IF(AB35="5. Fully Compliant (100%)","100"))))))&gt;=90,"100"))))))</f>
        <v>#N/A</v>
      </c>
      <c r="V35" s="55" t="s">
        <v>85</v>
      </c>
      <c r="W35" s="55"/>
      <c r="X35" s="55"/>
      <c r="Y35" s="55"/>
      <c r="Z35" s="55" t="s">
        <v>10873</v>
      </c>
      <c r="AA35" s="55"/>
      <c r="AB35" s="55"/>
      <c r="AK35" s="1" t="s">
        <v>10978</v>
      </c>
      <c r="AL35" s="1" t="s">
        <v>10985</v>
      </c>
      <c r="AP35" s="1" t="s">
        <v>11059</v>
      </c>
      <c r="AX35" s="3" t="str">
        <f>_xlfn.CONCAT("A-LIGN finished its review of this control on ",AR35, " during the scheduled fieldwork window (",Intro!$B$4,")."&amp; CHAR(10)&amp; CHAR(10))</f>
        <v xml:space="preserve">A-LIGN finished its review of this control on  during the scheduled fieldwork window (Fieldwork: xx/xx/xxxx - xx/xx/xxxx).
</v>
      </c>
      <c r="AY35" s="3" t="str">
        <f t="shared" si="61"/>
        <v/>
      </c>
      <c r="AZ35" s="3" t="str">
        <f t="shared" si="62"/>
        <v/>
      </c>
      <c r="BA35" s="3" t="str">
        <f t="shared" si="63"/>
        <v/>
      </c>
      <c r="BB35" s="3" t="str">
        <f t="shared" si="6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35" s="3" t="str">
        <f t="shared" si="65"/>
        <v/>
      </c>
      <c r="BD35" s="3" t="str">
        <f t="shared" si="6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process for: documenting changes
- defines process for: testing changes
- defines process for: approving changes
</v>
      </c>
      <c r="BE35" s="3" t="str">
        <f t="shared" si="67"/>
        <v/>
      </c>
      <c r="BF35" s="3" t="str">
        <f t="shared" si="68"/>
        <v/>
      </c>
      <c r="BG35" s="3" t="str">
        <f>_xlfn.CONCAT((IF((COUNTIF('Sample Tables'!B:B,"Test 222: Change (artificial intelligence) ")&gt;0)=TRUE,_xlfn.CONCAT("Sample test results are documented in ",'Sample Tables'!B2438," [",'Sample Tables'!B2439,", ",'Sample Tables'!B2440,", ",'Sample Tables'!B2441,", ",'Sample Tables'!B2442,", ",'Sample Tables'!B2443,"]."&amp;CHAR(10)),IF((COUNTIF('Sample Tables'!B:B,"Test 222: Change (artificial intelligence) ")&gt;0)=FALSE,""))),)</f>
        <v xml:space="preserve">Sample test results are documented in Test 222: Change (artificial intelligence)  [Population Source/Tool: , Population Date Range: , Population Size: , Sample Methodology: , Sample Size: ].
</v>
      </c>
      <c r="BH35" s="3" t="str">
        <f t="shared" si="6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process for: documenting changes
- defines process for: testing changes
- defines process for: approving changes
Sample test results are documented in Test 222: Change (artificial intelligence)  [Population Source/Tool: , Population Date Range: , Population Size: , Sample Methodology: , Sample Size: ].
</v>
      </c>
    </row>
    <row r="36" spans="3:60" ht="409.5" customHeight="1" x14ac:dyDescent="0.35">
      <c r="C36" s="1">
        <f t="shared" si="60"/>
        <v>0</v>
      </c>
      <c r="D36" s="5" t="str">
        <f>IF(AND((_xlfn.XLOOKUP(J36,'Fields &amp; Revisions'!$H:$H,'Fields &amp; Revisions'!$I:$I))&lt;70.99,(OR(Z36="4. Mostly Compliant (75%)",Z36="3. Partially Compliant (50%)",Z36="2. Somewhat Compliant (25%)",Z36="1. Non Compliant (0%)"))),"Yes","No")</f>
        <v>Yes</v>
      </c>
      <c r="E36" s="5" t="str">
        <f>IF(ISERROR(VLOOKUP(H36,Scope!A:A,1,FALSE)),"No","Yes")</f>
        <v>Yes</v>
      </c>
      <c r="F36" s="1" t="s">
        <v>957</v>
      </c>
      <c r="G36" s="53" t="s">
        <v>1021</v>
      </c>
      <c r="H36" s="53" t="s">
        <v>1022</v>
      </c>
      <c r="I36" s="5" t="s">
        <v>93</v>
      </c>
      <c r="J36" s="1" t="s">
        <v>1012</v>
      </c>
      <c r="K36" s="54" t="s">
        <v>1023</v>
      </c>
      <c r="L36" s="1" t="s">
        <v>1024</v>
      </c>
      <c r="M36" s="1" t="s">
        <v>1025</v>
      </c>
      <c r="N36" s="5" t="s">
        <v>98</v>
      </c>
      <c r="O36" s="1" t="str">
        <f>_xlfn.XLOOKUP(G36,SRMs!$A:$A,SRMs!$D:$D)</f>
        <v>NO INHERITANCE</v>
      </c>
      <c r="P36" s="1" t="str">
        <f>IFERROR(VLOOKUP(H36,Inherited!A:B,2,FALSE),"")</f>
        <v/>
      </c>
      <c r="Q36" s="1" t="e">
        <f>IF(MATCH(H36,Inherited!A:A),IF((((_xlfn.XLOOKUP(Assessment!H37,Inherited!A:A,Inherited!B:B))/100)*(_xlfn.XLOOKUP(Assessment!H37,Inherited!A:A,Inherited!C:C)))+(((100-(_xlfn.XLOOKUP(Assessment!H37,Inherited!A:A,Inherited!B:B)))/100)*IF(X36="1.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(100%)","100"))))))&lt;=10,"0", IF(AND((((_xlfn.XLOOKUP(Assessment!H37,Inherited!A:A,Inherited!B:B))/100)*(_xlfn.XLOOKUP(Assessment!H37,Inherited!A:A,Inherited!C:C)))+(((100-(_xlfn.XLOOKUP(Assessment!H37,Inherited!A:A,Inherited!B:B)))/100)*IF(X36="1.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(100%)","100"))))))&gt;=11,(((_xlfn.XLOOKUP(Assessment!H37,Inherited!A:A,Inherited!B:B))/100)*(_xlfn.XLOOKUP(Assessment!H37,Inherited!A:A,Inherited!C:C)))+(((100-(_xlfn.XLOOKUP(Assessment!H37,Inherited!A:A,Inherited!B:B)))/100)*IF(X36="1.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(100%)","100"))))))&lt;=32),"25",IF(AND((((_xlfn.XLOOKUP(Assessment!H37,Inherited!A:A,Inherited!B:B))/100)*(_xlfn.XLOOKUP(Assessment!H37,Inherited!A:A,Inherited!C:C)))+(((100-(_xlfn.XLOOKUP(Assessment!H37,Inherited!A:A,Inherited!B:B)))/100)*IF(X36="1.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(100%)","100"))))))&gt;=33,(((_xlfn.XLOOKUP(Assessment!H37,Inherited!A:A,Inherited!B:B))/100)*(_xlfn.XLOOKUP(Assessment!H37,Inherited!A:A,Inherited!C:C)))+(((100-(_xlfn.XLOOKUP(Assessment!H37,Inherited!A:A,Inherited!B:B)))/100)*IF(X36="1.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(100%)","100"))))))&lt;=65),"50",IF(AND((((_xlfn.XLOOKUP(Assessment!H37,Inherited!A:A,Inherited!B:B))/100)*(_xlfn.XLOOKUP(Assessment!H37,Inherited!A:A,Inherited!C:C)))+(((100-(_xlfn.XLOOKUP(Assessment!H37,Inherited!A:A,Inherited!B:B)))/100)*IF(X36="1.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(100%)","100"))))))&gt;=66,(((_xlfn.XLOOKUP(Assessment!H37,Inherited!A:A,Inherited!B:B))/100)*(_xlfn.XLOOKUP(Assessment!H37,Inherited!A:A,Inherited!C:C)))+(((100-(_xlfn.XLOOKUP(Assessment!H37,Inherited!A:A,Inherited!B:B)))/100)*IF(X36="1.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(100%)","100"))))))&lt;=89),"75",IF((((_xlfn.XLOOKUP(Assessment!H37,Inherited!A:A,Inherited!B:B))/100)*(_xlfn.XLOOKUP(Assessment!H37,Inherited!A:A,Inherited!C:C)))+(((100-(_xlfn.XLOOKUP(Assessment!H37,Inherited!A:A,Inherited!B:B)))/100)*IF(X36="1. Non Compliant (0%)","0",IF(X36="2. Somewhat Compliant (25%)","25",IF(X36="3. Partially Compliant (50%)","50",IF(X36="4. Mostly Compliant (75%)","75",IF(X36="5. Fully Compliant (100%)","100"))))))&gt;=90,"100"))))))</f>
        <v>#N/A</v>
      </c>
      <c r="R36" s="1" t="e">
        <f>IF(MATCH(H36,Inherited!A:A),IF((((_xlfn.XLOOKUP(Assessment!H37,Inherited!A:A,Inherited!B:B))/100)*(_xlfn.XLOOKUP(Assessment!H37,Inherited!A:A,Inherited!D:D)))+(((100-(_xlfn.XLOOKUP(Assessment!H37,Inherited!A:A,Inherited!B:B)))/100)*IF(Y36="1.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(100%)","100"))))))&lt;=10,"0", IF(AND((((_xlfn.XLOOKUP(Assessment!H37,Inherited!A:A,Inherited!B:B))/100)*(_xlfn.XLOOKUP(Assessment!H37,Inherited!A:A,Inherited!D:D)))+(((100-(_xlfn.XLOOKUP(Assessment!H37,Inherited!A:A,Inherited!B:B)))/100)*IF(Y36="1.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(100%)","100"))))))&gt;=11,(((_xlfn.XLOOKUP(Assessment!H37,Inherited!A:A,Inherited!B:B))/100)*(_xlfn.XLOOKUP(Assessment!H37,Inherited!A:A,Inherited!D:D)))+(((100-(_xlfn.XLOOKUP(Assessment!H37,Inherited!A:A,Inherited!B:B)))/100)*IF(Y36="1.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(100%)","100"))))))&lt;=32),"25",IF(AND((((_xlfn.XLOOKUP(Assessment!H37,Inherited!A:A,Inherited!B:B))/100)*(_xlfn.XLOOKUP(Assessment!H37,Inherited!A:A,Inherited!D:D)))+(((100-(_xlfn.XLOOKUP(Assessment!H37,Inherited!A:A,Inherited!B:B)))/100)*IF(Y36="1.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(100%)","100"))))))&gt;=33,(((_xlfn.XLOOKUP(Assessment!H37,Inherited!A:A,Inherited!B:B))/100)*(_xlfn.XLOOKUP(Assessment!H37,Inherited!A:A,Inherited!D:D)))+(((100-(_xlfn.XLOOKUP(Assessment!H37,Inherited!A:A,Inherited!B:B)))/100)*IF(Y36="1.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(100%)","100"))))))&lt;=65),"50",IF(AND((((_xlfn.XLOOKUP(Assessment!H37,Inherited!A:A,Inherited!B:B))/100)*(_xlfn.XLOOKUP(Assessment!H37,Inherited!A:A,Inherited!D:D)))+(((100-(_xlfn.XLOOKUP(Assessment!H37,Inherited!A:A,Inherited!B:B)))/100)*IF(Y36="1.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(100%)","100"))))))&gt;=66,(((_xlfn.XLOOKUP(Assessment!H37,Inherited!A:A,Inherited!B:B))/100)*(_xlfn.XLOOKUP(Assessment!H37,Inherited!A:A,Inherited!D:D)))+(((100-(_xlfn.XLOOKUP(Assessment!H37,Inherited!A:A,Inherited!B:B)))/100)*IF(Y36="1.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(100%)","100"))))))&lt;=89),"75",IF((((_xlfn.XLOOKUP(Assessment!H37,Inherited!A:A,Inherited!B:B))/100)*(_xlfn.XLOOKUP(Assessment!H37,Inherited!A:A,Inherited!D:D)))+(((100-(_xlfn.XLOOKUP(Assessment!H37,Inherited!A:A,Inherited!B:B)))/100)*IF(Y36="1. Non Compliant (0%)","0",IF(Y36="2. Somewhat Compliant (25%)","25",IF(Y36="3. Partially Compliant (50%)","50",IF(Y36="4. Mostly Compliant (75%)","75",IF(Y36="5. Fully Compliant (100%)","100"))))))&gt;=90,"100"))))))</f>
        <v>#N/A</v>
      </c>
      <c r="S36" s="1" t="e">
        <f>IF(MATCH(H36,Inherited!A:A),IF((((_xlfn.XLOOKUP(Assessment!H37,Inherited!A:A,Inherited!B:B))/100)*(_xlfn.XLOOKUP(Assessment!H37,Inherited!A:A,Inherited!E:E)))+(((100-(_xlfn.XLOOKUP(Assessment!H37,Inherited!A:A,Inherited!B:B)))/100)*IF(Z36="1.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(100%)","100"))))))&lt;=10,"0", IF(AND((((_xlfn.XLOOKUP(Assessment!H37,Inherited!A:A,Inherited!B:B))/100)*(_xlfn.XLOOKUP(Assessment!H37,Inherited!A:A,Inherited!E:E)))+(((100-(_xlfn.XLOOKUP(Assessment!H37,Inherited!A:A,Inherited!B:B)))/100)*IF(Z36="1.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(100%)","100"))))))&gt;=11,(((_xlfn.XLOOKUP(Assessment!H37,Inherited!A:A,Inherited!B:B))/100)*(_xlfn.XLOOKUP(Assessment!H37,Inherited!A:A,Inherited!E:E)))+(((100-(_xlfn.XLOOKUP(Assessment!H37,Inherited!A:A,Inherited!B:B)))/100)*IF(Z36="1.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(100%)","100"))))))&lt;=32),"25",IF(AND((((_xlfn.XLOOKUP(Assessment!H37,Inherited!A:A,Inherited!B:B))/100)*(_xlfn.XLOOKUP(Assessment!H37,Inherited!A:A,Inherited!E:E)))+(((100-(_xlfn.XLOOKUP(Assessment!H37,Inherited!A:A,Inherited!B:B)))/100)*IF(Z36="1.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(100%)","100"))))))&gt;=33,(((_xlfn.XLOOKUP(Assessment!H37,Inherited!A:A,Inherited!B:B))/100)*(_xlfn.XLOOKUP(Assessment!H37,Inherited!A:A,Inherited!E:E)))+(((100-(_xlfn.XLOOKUP(Assessment!H37,Inherited!A:A,Inherited!B:B)))/100)*IF(Z36="1.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(100%)","100"))))))&lt;=65),"50",IF(AND((((_xlfn.XLOOKUP(Assessment!H37,Inherited!A:A,Inherited!B:B))/100)*(_xlfn.XLOOKUP(Assessment!H37,Inherited!A:A,Inherited!E:E)))+(((100-(_xlfn.XLOOKUP(Assessment!H37,Inherited!A:A,Inherited!B:B)))/100)*IF(Z36="1.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(100%)","100"))))))&gt;=66,(((_xlfn.XLOOKUP(Assessment!H37,Inherited!A:A,Inherited!B:B))/100)*(_xlfn.XLOOKUP(Assessment!H37,Inherited!A:A,Inherited!E:E)))+(((100-(_xlfn.XLOOKUP(Assessment!H37,Inherited!A:A,Inherited!B:B)))/100)*IF(Z36="1.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(100%)","100"))))))&lt;=89),"75",IF((((_xlfn.XLOOKUP(Assessment!H37,Inherited!A:A,Inherited!B:B))/100)*(_xlfn.XLOOKUP(Assessment!H37,Inherited!A:A,Inherited!E:E)))+(((100-(_xlfn.XLOOKUP(Assessment!H37,Inherited!A:A,Inherited!B:B)))/100)*IF(Z36="1. Non Compliant (0%)","0",IF(Z36="2. Somewhat Compliant (25%)","25",IF(Z36="3. Partially Compliant (50%)","50",IF(Z36="4. Mostly Compliant (75%)","75",IF(Z36="5. Fully Compliant (100%)","100"))))))&gt;=90,"100"))))))</f>
        <v>#N/A</v>
      </c>
      <c r="T36" s="1" t="e">
        <f>IF(MATCH(H36,Inherited!A:A),IF((((_xlfn.XLOOKUP(Assessment!H37,Inherited!A:A,Inherited!B:B))/100)*(_xlfn.XLOOKUP(Assessment!H37,Inherited!A:A,Inherited!F:F)))+(((100-(_xlfn.XLOOKUP(Assessment!H37,Inherited!A:A,Inherited!B:B)))/100)*IF(AA36="1.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(100%)","100"))))))&lt;=10,"0", IF(AND((((_xlfn.XLOOKUP(Assessment!H37,Inherited!A:A,Inherited!B:B))/100)*(_xlfn.XLOOKUP(Assessment!H37,Inherited!A:A,Inherited!F:F)))+(((100-(_xlfn.XLOOKUP(Assessment!H37,Inherited!A:A,Inherited!B:B)))/100)*IF(AA36="1.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(100%)","100"))))))&gt;=11,(((_xlfn.XLOOKUP(Assessment!H37,Inherited!A:A,Inherited!B:B))/100)*(_xlfn.XLOOKUP(Assessment!H37,Inherited!A:A,Inherited!F:F)))+(((100-(_xlfn.XLOOKUP(Assessment!H37,Inherited!A:A,Inherited!B:B)))/100)*IF(AA36="1.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(100%)","100"))))))&lt;=32),"25",IF(AND((((_xlfn.XLOOKUP(Assessment!H37,Inherited!A:A,Inherited!B:B))/100)*(_xlfn.XLOOKUP(Assessment!H37,Inherited!A:A,Inherited!F:F)))+(((100-(_xlfn.XLOOKUP(Assessment!H37,Inherited!A:A,Inherited!B:B)))/100)*IF(AA36="1.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(100%)","100"))))))&gt;=33,(((_xlfn.XLOOKUP(Assessment!H37,Inherited!A:A,Inherited!B:B))/100)*(_xlfn.XLOOKUP(Assessment!H37,Inherited!A:A,Inherited!F:F)))+(((100-(_xlfn.XLOOKUP(Assessment!H37,Inherited!A:A,Inherited!B:B)))/100)*IF(AA36="1.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(100%)","100"))))))&lt;=65),"50",IF(AND((((_xlfn.XLOOKUP(Assessment!H37,Inherited!A:A,Inherited!B:B))/100)*(_xlfn.XLOOKUP(Assessment!H37,Inherited!A:A,Inherited!F:F)))+(((100-(_xlfn.XLOOKUP(Assessment!H37,Inherited!A:A,Inherited!B:B)))/100)*IF(AA36="1.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(100%)","100"))))))&gt;=66,(((_xlfn.XLOOKUP(Assessment!H37,Inherited!A:A,Inherited!B:B))/100)*(_xlfn.XLOOKUP(Assessment!H37,Inherited!A:A,Inherited!F:F)))+(((100-(_xlfn.XLOOKUP(Assessment!H37,Inherited!A:A,Inherited!B:B)))/100)*IF(AA36="1.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(100%)","100"))))))&lt;=89),"75",IF((((_xlfn.XLOOKUP(Assessment!H37,Inherited!A:A,Inherited!B:B))/100)*(_xlfn.XLOOKUP(Assessment!H37,Inherited!A:A,Inherited!F:F)))+(((100-(_xlfn.XLOOKUP(Assessment!H37,Inherited!A:A,Inherited!B:B)))/100)*IF(AA36="1. Non Compliant (0%)","0",IF(AA36="2. Somewhat Compliant (25%)","25",IF(AA36="3. Partially Compliant (50%)","50",IF(AA36="4. Mostly Compliant (75%)","75",IF(AA36="5. Fully Compliant (100%)","100"))))))&gt;=90,"100"))))))</f>
        <v>#N/A</v>
      </c>
      <c r="U36" s="1" t="e">
        <f>IF(MATCH(H36,Inherited!A:A),IF((((_xlfn.XLOOKUP(Assessment!H37,Inherited!A:A,Inherited!B:B))/100)*(_xlfn.XLOOKUP(Assessment!H37,Inherited!A:A,Inherited!G:G)))+(((100-(_xlfn.XLOOKUP(Assessment!H37,Inherited!A:A,Inherited!B:B)))/100)*IF(AB36="1.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(100%)","100"))))))&lt;=10,"0", IF(AND((((_xlfn.XLOOKUP(Assessment!H37,Inherited!A:A,Inherited!B:B))/100)*(_xlfn.XLOOKUP(Assessment!H37,Inherited!A:A,Inherited!G:G)))+(((100-(_xlfn.XLOOKUP(Assessment!H37,Inherited!A:A,Inherited!B:B)))/100)*IF(AB36="1.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(100%)","100"))))))&gt;=11,(((_xlfn.XLOOKUP(Assessment!H37,Inherited!A:A,Inherited!B:B))/100)*(_xlfn.XLOOKUP(Assessment!H37,Inherited!A:A,Inherited!G:G)))+(((100-(_xlfn.XLOOKUP(Assessment!H37,Inherited!A:A,Inherited!B:B)))/100)*IF(AB36="1.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(100%)","100"))))))&lt;=32),"25",IF(AND((((_xlfn.XLOOKUP(Assessment!H37,Inherited!A:A,Inherited!B:B))/100)*(_xlfn.XLOOKUP(Assessment!H37,Inherited!A:A,Inherited!G:G)))+(((100-(_xlfn.XLOOKUP(Assessment!H37,Inherited!A:A,Inherited!B:B)))/100)*IF(AB36="1.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(100%)","100"))))))&gt;=33,(((_xlfn.XLOOKUP(Assessment!H37,Inherited!A:A,Inherited!B:B))/100)*(_xlfn.XLOOKUP(Assessment!H37,Inherited!A:A,Inherited!G:G)))+(((100-(_xlfn.XLOOKUP(Assessment!H37,Inherited!A:A,Inherited!B:B)))/100)*IF(AB36="1.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(100%)","100"))))))&lt;=65),"50",IF(AND((((_xlfn.XLOOKUP(Assessment!H37,Inherited!A:A,Inherited!B:B))/100)*(_xlfn.XLOOKUP(Assessment!H37,Inherited!A:A,Inherited!G:G)))+(((100-(_xlfn.XLOOKUP(Assessment!H37,Inherited!A:A,Inherited!B:B)))/100)*IF(AB36="1.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(100%)","100"))))))&gt;=66,(((_xlfn.XLOOKUP(Assessment!H37,Inherited!A:A,Inherited!B:B))/100)*(_xlfn.XLOOKUP(Assessment!H37,Inherited!A:A,Inherited!G:G)))+(((100-(_xlfn.XLOOKUP(Assessment!H37,Inherited!A:A,Inherited!B:B)))/100)*IF(AB36="1.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(100%)","100"))))))&lt;=89),"75",IF((((_xlfn.XLOOKUP(Assessment!H37,Inherited!A:A,Inherited!B:B))/100)*(_xlfn.XLOOKUP(Assessment!H37,Inherited!A:A,Inherited!G:G)))+(((100-(_xlfn.XLOOKUP(Assessment!H37,Inherited!A:A,Inherited!B:B)))/100)*IF(AB36="1. Non Compliant (0%)","0",IF(AB36="2. Somewhat Compliant (25%)","25",IF(AB36="3. Partially Compliant (50%)","50",IF(AB36="4. Mostly Compliant (75%)","75",IF(AB36="5. Fully Compliant (100%)","100"))))))&gt;=90,"100"))))))</f>
        <v>#N/A</v>
      </c>
      <c r="V36" s="55" t="s">
        <v>85</v>
      </c>
      <c r="W36" s="55"/>
      <c r="X36" s="55"/>
      <c r="Y36" s="55"/>
      <c r="Z36" s="55" t="s">
        <v>10873</v>
      </c>
      <c r="AA36" s="55"/>
      <c r="AB36" s="55"/>
      <c r="AK36" s="1" t="s">
        <v>10978</v>
      </c>
      <c r="AL36" s="1" t="s">
        <v>10985</v>
      </c>
      <c r="AP36" s="1" t="s">
        <v>11060</v>
      </c>
      <c r="AX36" s="3" t="str">
        <f>_xlfn.CONCAT("A-LIGN finished its review of this control on ",AR36, " during the scheduled fieldwork window (",Intro!$B$4,")."&amp; CHAR(10)&amp; CHAR(10))</f>
        <v xml:space="preserve">A-LIGN finished its review of this control on  during the scheduled fieldwork window (Fieldwork: xx/xx/xxxx - xx/xx/xxxx).
</v>
      </c>
      <c r="AY36" s="3" t="str">
        <f t="shared" si="61"/>
        <v/>
      </c>
      <c r="AZ36" s="3" t="str">
        <f t="shared" si="62"/>
        <v/>
      </c>
      <c r="BA36" s="3" t="str">
        <f t="shared" si="63"/>
        <v/>
      </c>
      <c r="BB36" s="3" t="str">
        <f t="shared" si="6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36" s="3" t="str">
        <f t="shared" si="65"/>
        <v/>
      </c>
      <c r="BD36" s="3" t="str">
        <f t="shared" si="6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system documentation includes: creation, operation, and lifecycle management of any models
- system documentation includes: datasets (including data used for training, tuning, and prompt enhancement via RAG)
- system documentation includes: configurations (e.g., meta prompts)
- system documentation includes: language model tools and plugins
- system documentation includes: tooling resources (e.g., AI platforms, model engineering environments)
- system documentation includes: system and computing resources
- system documentation includes: human resources needed for development and operation
</v>
      </c>
      <c r="BE36" s="3" t="str">
        <f t="shared" si="67"/>
        <v/>
      </c>
      <c r="BF36" s="3" t="str">
        <f t="shared" si="68"/>
        <v/>
      </c>
      <c r="BG36" s="3" t="str">
        <f>_xlfn.CONCAT((IF((COUNTIF('Sample Tables'!B:B,"")&gt;0)=TRUE,_xlfn.CONCAT("",""),IF((COUNTIF('Sample Tables'!B:B,"")&gt;0)=FALSE,""))),)</f>
        <v/>
      </c>
      <c r="BH36" s="3" t="str">
        <f t="shared" si="6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system documentation includes: creation, operation, and lifecycle management of any models
- system documentation includes: datasets (including data used for training, tuning, and prompt enhancement via RAG)
- system documentation includes: configurations (e.g., meta prompts)
- system documentation includes: language model tools and plugins
- system documentation includes: tooling resources (e.g., AI platforms, model engineering environments)
- system documentation includes: system and computing resources
- system documentation includes: human resources needed for development and operation
</v>
      </c>
    </row>
    <row r="37" spans="3:60" ht="384" customHeight="1" x14ac:dyDescent="0.35">
      <c r="C37" s="1">
        <f t="shared" si="60"/>
        <v>0</v>
      </c>
      <c r="D37" s="5" t="str">
        <f>IF(AND((_xlfn.XLOOKUP(J37,'Fields &amp; Revisions'!$H:$H,'Fields &amp; Revisions'!$I:$I))&lt;70.99,(OR(Z37="4. Mostly Compliant (75%)",Z37="3. Partially Compliant (50%)",Z37="2. Somewhat Compliant (25%)",Z37="1. Non Compliant (0%)"))),"Yes","No")</f>
        <v>Yes</v>
      </c>
      <c r="E37" s="5" t="str">
        <f>IF(ISERROR(VLOOKUP(H37,Scope!A:A,1,FALSE)),"No","Yes")</f>
        <v>Yes</v>
      </c>
      <c r="F37" s="1" t="s">
        <v>957</v>
      </c>
      <c r="G37" s="53" t="s">
        <v>1026</v>
      </c>
      <c r="H37" s="53" t="s">
        <v>1027</v>
      </c>
      <c r="I37" s="5" t="s">
        <v>93</v>
      </c>
      <c r="J37" s="1" t="s">
        <v>1012</v>
      </c>
      <c r="K37" s="54" t="s">
        <v>1028</v>
      </c>
      <c r="L37" s="1" t="s">
        <v>1029</v>
      </c>
      <c r="M37" s="1" t="s">
        <v>1030</v>
      </c>
      <c r="N37" s="5" t="s">
        <v>85</v>
      </c>
      <c r="O37" s="1" t="str">
        <f>_xlfn.XLOOKUP(G37,SRMs!$A:$A,SRMs!$D:$D)</f>
        <v>NO INHERITANCE</v>
      </c>
      <c r="P37" s="1" t="str">
        <f>IFERROR(VLOOKUP(H37,Inherited!A:B,2,FALSE),"")</f>
        <v/>
      </c>
      <c r="Q37" s="1" t="e">
        <f>IF(MATCH(H37,Inherited!A:A),IF((((_xlfn.XLOOKUP(Assessment!#REF!,Inherited!A:A,Inherited!B:B))/100)*(_xlfn.XLOOKUP(Assessment!#REF!,Inherited!A:A,Inherited!C:C)))+(((100-(_xlfn.XLOOKUP(Assessment!#REF!,Inherited!A:A,Inherited!B:B)))/100)*IF(X37="1.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(100%)","100"))))))&lt;=10,"0", IF(AND((((_xlfn.XLOOKUP(Assessment!#REF!,Inherited!A:A,Inherited!B:B))/100)*(_xlfn.XLOOKUP(Assessment!#REF!,Inherited!A:A,Inherited!C:C)))+(((100-(_xlfn.XLOOKUP(Assessment!#REF!,Inherited!A:A,Inherited!B:B)))/100)*IF(X37="1.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(100%)","100"))))))&gt;=11,(((_xlfn.XLOOKUP(Assessment!#REF!,Inherited!A:A,Inherited!B:B))/100)*(_xlfn.XLOOKUP(Assessment!#REF!,Inherited!A:A,Inherited!C:C)))+(((100-(_xlfn.XLOOKUP(Assessment!#REF!,Inherited!A:A,Inherited!B:B)))/100)*IF(X37="1.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(100%)","100"))))))&lt;=32),"25",IF(AND((((_xlfn.XLOOKUP(Assessment!#REF!,Inherited!A:A,Inherited!B:B))/100)*(_xlfn.XLOOKUP(Assessment!#REF!,Inherited!A:A,Inherited!C:C)))+(((100-(_xlfn.XLOOKUP(Assessment!#REF!,Inherited!A:A,Inherited!B:B)))/100)*IF(X37="1.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(100%)","100"))))))&gt;=33,(((_xlfn.XLOOKUP(Assessment!#REF!,Inherited!A:A,Inherited!B:B))/100)*(_xlfn.XLOOKUP(Assessment!#REF!,Inherited!A:A,Inherited!C:C)))+(((100-(_xlfn.XLOOKUP(Assessment!#REF!,Inherited!A:A,Inherited!B:B)))/100)*IF(X37="1.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(100%)","100"))))))&lt;=65),"50",IF(AND((((_xlfn.XLOOKUP(Assessment!#REF!,Inherited!A:A,Inherited!B:B))/100)*(_xlfn.XLOOKUP(Assessment!#REF!,Inherited!A:A,Inherited!C:C)))+(((100-(_xlfn.XLOOKUP(Assessment!#REF!,Inherited!A:A,Inherited!B:B)))/100)*IF(X37="1.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(100%)","100"))))))&gt;=66,(((_xlfn.XLOOKUP(Assessment!#REF!,Inherited!A:A,Inherited!B:B))/100)*(_xlfn.XLOOKUP(Assessment!#REF!,Inherited!A:A,Inherited!C:C)))+(((100-(_xlfn.XLOOKUP(Assessment!#REF!,Inherited!A:A,Inherited!B:B)))/100)*IF(X37="1.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(100%)","100"))))))&lt;=89),"75",IF((((_xlfn.XLOOKUP(Assessment!#REF!,Inherited!A:A,Inherited!B:B))/100)*(_xlfn.XLOOKUP(Assessment!#REF!,Inherited!A:A,Inherited!C:C)))+(((100-(_xlfn.XLOOKUP(Assessment!#REF!,Inherited!A:A,Inherited!B:B)))/100)*IF(X37="1. Non Compliant (0%)","0",IF(X37="2. Somewhat Compliant (25%)","25",IF(X37="3. Partially Compliant (50%)","50",IF(X37="4. Mostly Compliant (75%)","75",IF(X37="5. Fully Compliant (100%)","100"))))))&gt;=90,"100"))))))</f>
        <v>#N/A</v>
      </c>
      <c r="R37" s="1" t="e">
        <f>IF(MATCH(H37,Inherited!A:A),IF((((_xlfn.XLOOKUP(Assessment!#REF!,Inherited!A:A,Inherited!B:B))/100)*(_xlfn.XLOOKUP(Assessment!#REF!,Inherited!A:A,Inherited!D:D)))+(((100-(_xlfn.XLOOKUP(Assessment!#REF!,Inherited!A:A,Inherited!B:B)))/100)*IF(Y37="1.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(100%)","100"))))))&lt;=10,"0", IF(AND((((_xlfn.XLOOKUP(Assessment!#REF!,Inherited!A:A,Inherited!B:B))/100)*(_xlfn.XLOOKUP(Assessment!#REF!,Inherited!A:A,Inherited!D:D)))+(((100-(_xlfn.XLOOKUP(Assessment!#REF!,Inherited!A:A,Inherited!B:B)))/100)*IF(Y37="1.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(100%)","100"))))))&gt;=11,(((_xlfn.XLOOKUP(Assessment!#REF!,Inherited!A:A,Inherited!B:B))/100)*(_xlfn.XLOOKUP(Assessment!#REF!,Inherited!A:A,Inherited!D:D)))+(((100-(_xlfn.XLOOKUP(Assessment!#REF!,Inherited!A:A,Inherited!B:B)))/100)*IF(Y37="1.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(100%)","100"))))))&lt;=32),"25",IF(AND((((_xlfn.XLOOKUP(Assessment!#REF!,Inherited!A:A,Inherited!B:B))/100)*(_xlfn.XLOOKUP(Assessment!#REF!,Inherited!A:A,Inherited!D:D)))+(((100-(_xlfn.XLOOKUP(Assessment!#REF!,Inherited!A:A,Inherited!B:B)))/100)*IF(Y37="1.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(100%)","100"))))))&gt;=33,(((_xlfn.XLOOKUP(Assessment!#REF!,Inherited!A:A,Inherited!B:B))/100)*(_xlfn.XLOOKUP(Assessment!#REF!,Inherited!A:A,Inherited!D:D)))+(((100-(_xlfn.XLOOKUP(Assessment!#REF!,Inherited!A:A,Inherited!B:B)))/100)*IF(Y37="1.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(100%)","100"))))))&lt;=65),"50",IF(AND((((_xlfn.XLOOKUP(Assessment!#REF!,Inherited!A:A,Inherited!B:B))/100)*(_xlfn.XLOOKUP(Assessment!#REF!,Inherited!A:A,Inherited!D:D)))+(((100-(_xlfn.XLOOKUP(Assessment!#REF!,Inherited!A:A,Inherited!B:B)))/100)*IF(Y37="1.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(100%)","100"))))))&gt;=66,(((_xlfn.XLOOKUP(Assessment!#REF!,Inherited!A:A,Inherited!B:B))/100)*(_xlfn.XLOOKUP(Assessment!#REF!,Inherited!A:A,Inherited!D:D)))+(((100-(_xlfn.XLOOKUP(Assessment!#REF!,Inherited!A:A,Inherited!B:B)))/100)*IF(Y37="1.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(100%)","100"))))))&lt;=89),"75",IF((((_xlfn.XLOOKUP(Assessment!#REF!,Inherited!A:A,Inherited!B:B))/100)*(_xlfn.XLOOKUP(Assessment!#REF!,Inherited!A:A,Inherited!D:D)))+(((100-(_xlfn.XLOOKUP(Assessment!#REF!,Inherited!A:A,Inherited!B:B)))/100)*IF(Y37="1. Non Compliant (0%)","0",IF(Y37="2. Somewhat Compliant (25%)","25",IF(Y37="3. Partially Compliant (50%)","50",IF(Y37="4. Mostly Compliant (75%)","75",IF(Y37="5. Fully Compliant (100%)","100"))))))&gt;=90,"100"))))))</f>
        <v>#N/A</v>
      </c>
      <c r="S37" s="1" t="e">
        <f>IF(MATCH(H37,Inherited!A:A),IF((((_xlfn.XLOOKUP(Assessment!#REF!,Inherited!A:A,Inherited!B:B))/100)*(_xlfn.XLOOKUP(Assessment!#REF!,Inherited!A:A,Inherited!E:E)))+(((100-(_xlfn.XLOOKUP(Assessment!#REF!,Inherited!A:A,Inherited!B:B)))/100)*IF(Z37="1.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(100%)","100"))))))&lt;=10,"0", IF(AND((((_xlfn.XLOOKUP(Assessment!#REF!,Inherited!A:A,Inherited!B:B))/100)*(_xlfn.XLOOKUP(Assessment!#REF!,Inherited!A:A,Inherited!E:E)))+(((100-(_xlfn.XLOOKUP(Assessment!#REF!,Inherited!A:A,Inherited!B:B)))/100)*IF(Z37="1.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(100%)","100"))))))&gt;=11,(((_xlfn.XLOOKUP(Assessment!#REF!,Inherited!A:A,Inherited!B:B))/100)*(_xlfn.XLOOKUP(Assessment!#REF!,Inherited!A:A,Inherited!E:E)))+(((100-(_xlfn.XLOOKUP(Assessment!#REF!,Inherited!A:A,Inherited!B:B)))/100)*IF(Z37="1.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(100%)","100"))))))&lt;=32),"25",IF(AND((((_xlfn.XLOOKUP(Assessment!#REF!,Inherited!A:A,Inherited!B:B))/100)*(_xlfn.XLOOKUP(Assessment!#REF!,Inherited!A:A,Inherited!E:E)))+(((100-(_xlfn.XLOOKUP(Assessment!#REF!,Inherited!A:A,Inherited!B:B)))/100)*IF(Z37="1.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(100%)","100"))))))&gt;=33,(((_xlfn.XLOOKUP(Assessment!#REF!,Inherited!A:A,Inherited!B:B))/100)*(_xlfn.XLOOKUP(Assessment!#REF!,Inherited!A:A,Inherited!E:E)))+(((100-(_xlfn.XLOOKUP(Assessment!#REF!,Inherited!A:A,Inherited!B:B)))/100)*IF(Z37="1.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(100%)","100"))))))&lt;=65),"50",IF(AND((((_xlfn.XLOOKUP(Assessment!#REF!,Inherited!A:A,Inherited!B:B))/100)*(_xlfn.XLOOKUP(Assessment!#REF!,Inherited!A:A,Inherited!E:E)))+(((100-(_xlfn.XLOOKUP(Assessment!#REF!,Inherited!A:A,Inherited!B:B)))/100)*IF(Z37="1.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(100%)","100"))))))&gt;=66,(((_xlfn.XLOOKUP(Assessment!#REF!,Inherited!A:A,Inherited!B:B))/100)*(_xlfn.XLOOKUP(Assessment!#REF!,Inherited!A:A,Inherited!E:E)))+(((100-(_xlfn.XLOOKUP(Assessment!#REF!,Inherited!A:A,Inherited!B:B)))/100)*IF(Z37="1.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(100%)","100"))))))&lt;=89),"75",IF((((_xlfn.XLOOKUP(Assessment!#REF!,Inherited!A:A,Inherited!B:B))/100)*(_xlfn.XLOOKUP(Assessment!#REF!,Inherited!A:A,Inherited!E:E)))+(((100-(_xlfn.XLOOKUP(Assessment!#REF!,Inherited!A:A,Inherited!B:B)))/100)*IF(Z37="1. Non Compliant (0%)","0",IF(Z37="2. Somewhat Compliant (25%)","25",IF(Z37="3. Partially Compliant (50%)","50",IF(Z37="4. Mostly Compliant (75%)","75",IF(Z37="5. Fully Compliant (100%)","100"))))))&gt;=90,"100"))))))</f>
        <v>#N/A</v>
      </c>
      <c r="T37" s="1" t="e">
        <f>IF(MATCH(H37,Inherited!A:A),IF((((_xlfn.XLOOKUP(Assessment!#REF!,Inherited!A:A,Inherited!B:B))/100)*(_xlfn.XLOOKUP(Assessment!#REF!,Inherited!A:A,Inherited!F:F)))+(((100-(_xlfn.XLOOKUP(Assessment!#REF!,Inherited!A:A,Inherited!B:B)))/100)*IF(AA37="1.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(100%)","100"))))))&lt;=10,"0", IF(AND((((_xlfn.XLOOKUP(Assessment!#REF!,Inherited!A:A,Inherited!B:B))/100)*(_xlfn.XLOOKUP(Assessment!#REF!,Inherited!A:A,Inherited!F:F)))+(((100-(_xlfn.XLOOKUP(Assessment!#REF!,Inherited!A:A,Inherited!B:B)))/100)*IF(AA37="1.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(100%)","100"))))))&gt;=11,(((_xlfn.XLOOKUP(Assessment!#REF!,Inherited!A:A,Inherited!B:B))/100)*(_xlfn.XLOOKUP(Assessment!#REF!,Inherited!A:A,Inherited!F:F)))+(((100-(_xlfn.XLOOKUP(Assessment!#REF!,Inherited!A:A,Inherited!B:B)))/100)*IF(AA37="1.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(100%)","100"))))))&lt;=32),"25",IF(AND((((_xlfn.XLOOKUP(Assessment!#REF!,Inherited!A:A,Inherited!B:B))/100)*(_xlfn.XLOOKUP(Assessment!#REF!,Inherited!A:A,Inherited!F:F)))+(((100-(_xlfn.XLOOKUP(Assessment!#REF!,Inherited!A:A,Inherited!B:B)))/100)*IF(AA37="1.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(100%)","100"))))))&gt;=33,(((_xlfn.XLOOKUP(Assessment!#REF!,Inherited!A:A,Inherited!B:B))/100)*(_xlfn.XLOOKUP(Assessment!#REF!,Inherited!A:A,Inherited!F:F)))+(((100-(_xlfn.XLOOKUP(Assessment!#REF!,Inherited!A:A,Inherited!B:B)))/100)*IF(AA37="1.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(100%)","100"))))))&lt;=65),"50",IF(AND((((_xlfn.XLOOKUP(Assessment!#REF!,Inherited!A:A,Inherited!B:B))/100)*(_xlfn.XLOOKUP(Assessment!#REF!,Inherited!A:A,Inherited!F:F)))+(((100-(_xlfn.XLOOKUP(Assessment!#REF!,Inherited!A:A,Inherited!B:B)))/100)*IF(AA37="1.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(100%)","100"))))))&gt;=66,(((_xlfn.XLOOKUP(Assessment!#REF!,Inherited!A:A,Inherited!B:B))/100)*(_xlfn.XLOOKUP(Assessment!#REF!,Inherited!A:A,Inherited!F:F)))+(((100-(_xlfn.XLOOKUP(Assessment!#REF!,Inherited!A:A,Inherited!B:B)))/100)*IF(AA37="1.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(100%)","100"))))))&lt;=89),"75",IF((((_xlfn.XLOOKUP(Assessment!#REF!,Inherited!A:A,Inherited!B:B))/100)*(_xlfn.XLOOKUP(Assessment!#REF!,Inherited!A:A,Inherited!F:F)))+(((100-(_xlfn.XLOOKUP(Assessment!#REF!,Inherited!A:A,Inherited!B:B)))/100)*IF(AA37="1. Non Compliant (0%)","0",IF(AA37="2. Somewhat Compliant (25%)","25",IF(AA37="3. Partially Compliant (50%)","50",IF(AA37="4. Mostly Compliant (75%)","75",IF(AA37="5. Fully Compliant (100%)","100"))))))&gt;=90,"100"))))))</f>
        <v>#N/A</v>
      </c>
      <c r="U37" s="1" t="e">
        <f>IF(MATCH(H37,Inherited!A:A),IF((((_xlfn.XLOOKUP(Assessment!#REF!,Inherited!A:A,Inherited!B:B))/100)*(_xlfn.XLOOKUP(Assessment!#REF!,Inherited!A:A,Inherited!G:G)))+(((100-(_xlfn.XLOOKUP(Assessment!#REF!,Inherited!A:A,Inherited!B:B)))/100)*IF(AB37="1.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(100%)","100"))))))&lt;=10,"0", IF(AND((((_xlfn.XLOOKUP(Assessment!#REF!,Inherited!A:A,Inherited!B:B))/100)*(_xlfn.XLOOKUP(Assessment!#REF!,Inherited!A:A,Inherited!G:G)))+(((100-(_xlfn.XLOOKUP(Assessment!#REF!,Inherited!A:A,Inherited!B:B)))/100)*IF(AB37="1.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(100%)","100"))))))&gt;=11,(((_xlfn.XLOOKUP(Assessment!#REF!,Inherited!A:A,Inherited!B:B))/100)*(_xlfn.XLOOKUP(Assessment!#REF!,Inherited!A:A,Inherited!G:G)))+(((100-(_xlfn.XLOOKUP(Assessment!#REF!,Inherited!A:A,Inherited!B:B)))/100)*IF(AB37="1.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(100%)","100"))))))&lt;=32),"25",IF(AND((((_xlfn.XLOOKUP(Assessment!#REF!,Inherited!A:A,Inherited!B:B))/100)*(_xlfn.XLOOKUP(Assessment!#REF!,Inherited!A:A,Inherited!G:G)))+(((100-(_xlfn.XLOOKUP(Assessment!#REF!,Inherited!A:A,Inherited!B:B)))/100)*IF(AB37="1.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(100%)","100"))))))&gt;=33,(((_xlfn.XLOOKUP(Assessment!#REF!,Inherited!A:A,Inherited!B:B))/100)*(_xlfn.XLOOKUP(Assessment!#REF!,Inherited!A:A,Inherited!G:G)))+(((100-(_xlfn.XLOOKUP(Assessment!#REF!,Inherited!A:A,Inherited!B:B)))/100)*IF(AB37="1.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(100%)","100"))))))&lt;=65),"50",IF(AND((((_xlfn.XLOOKUP(Assessment!#REF!,Inherited!A:A,Inherited!B:B))/100)*(_xlfn.XLOOKUP(Assessment!#REF!,Inherited!A:A,Inherited!G:G)))+(((100-(_xlfn.XLOOKUP(Assessment!#REF!,Inherited!A:A,Inherited!B:B)))/100)*IF(AB37="1.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(100%)","100"))))))&gt;=66,(((_xlfn.XLOOKUP(Assessment!#REF!,Inherited!A:A,Inherited!B:B))/100)*(_xlfn.XLOOKUP(Assessment!#REF!,Inherited!A:A,Inherited!G:G)))+(((100-(_xlfn.XLOOKUP(Assessment!#REF!,Inherited!A:A,Inherited!B:B)))/100)*IF(AB37="1.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(100%)","100"))))))&lt;=89),"75",IF((((_xlfn.XLOOKUP(Assessment!#REF!,Inherited!A:A,Inherited!B:B))/100)*(_xlfn.XLOOKUP(Assessment!#REF!,Inherited!A:A,Inherited!G:G)))+(((100-(_xlfn.XLOOKUP(Assessment!#REF!,Inherited!A:A,Inherited!B:B)))/100)*IF(AB37="1. Non Compliant (0%)","0",IF(AB37="2. Somewhat Compliant (25%)","25",IF(AB37="3. Partially Compliant (50%)","50",IF(AB37="4. Mostly Compliant (75%)","75",IF(AB37="5. Fully Compliant (100%)","100"))))))&gt;=90,"100"))))))</f>
        <v>#N/A</v>
      </c>
      <c r="V37" s="55" t="s">
        <v>85</v>
      </c>
      <c r="W37" s="55"/>
      <c r="X37" s="55"/>
      <c r="Y37" s="55"/>
      <c r="Z37" s="55" t="s">
        <v>10873</v>
      </c>
      <c r="AA37" s="55"/>
      <c r="AB37" s="55"/>
      <c r="AK37" s="1" t="s">
        <v>10978</v>
      </c>
      <c r="AL37" s="1" t="s">
        <v>10986</v>
      </c>
      <c r="AP37" s="1" t="s">
        <v>11061</v>
      </c>
      <c r="AX37" s="3" t="str">
        <f>_xlfn.CONCAT("A-LIGN finished its review of this control on ",AR37, " during the scheduled fieldwork window (",Intro!$B$4,")."&amp; CHAR(10)&amp; CHAR(10))</f>
        <v xml:space="preserve">A-LIGN finished its review of this control on  during the scheduled fieldwork window (Fieldwork: xx/xx/xxxx - xx/xx/xxxx).
</v>
      </c>
      <c r="AY37" s="3" t="str">
        <f t="shared" si="61"/>
        <v/>
      </c>
      <c r="AZ37" s="3" t="str">
        <f t="shared" si="62"/>
        <v/>
      </c>
      <c r="BA37" s="3" t="str">
        <f t="shared" si="63"/>
        <v/>
      </c>
      <c r="BB37" s="3" t="str">
        <f t="shared" si="64"/>
        <v xml:space="preserve">Inquired of the following workforce member: 
Michael Wood - VP of AI Engineering
Kyle Smith - IT Operations and AI Expert 
Inquiry lead to the following conclusions: 
A formal change management process is not in place for AI system development 
</v>
      </c>
      <c r="BC37" s="3" t="str">
        <f t="shared" si="65"/>
        <v/>
      </c>
      <c r="BD37" s="3" t="str">
        <f t="shared" si="66"/>
        <v xml:space="preserve">Examined the following evidence during fieldwork:
Reviewed evidence addressed the requirement statement.
Reviewed evidence exception note: 
Gap: 
A formal change management process is not in place for AI system development. 
Recommendation:
Management should ensure that a formal change management process is in place for AI system development. Merge will be moving to the Jira ticketing system to manage the development process. Workflow being developed will consider the following:
- an explicit linkage between the versions of the training dataset used, the pipeline configuration used, and the resulting AI model.
</v>
      </c>
      <c r="BE37" s="3" t="str">
        <f t="shared" si="67"/>
        <v/>
      </c>
      <c r="BF37" s="3" t="str">
        <f t="shared" si="68"/>
        <v/>
      </c>
      <c r="BG37" s="3" t="str">
        <f>_xlfn.CONCAT((IF((COUNTIF('Sample Tables'!B:B,"Test 222: Change (artificial intelligence) ")&gt;0)=TRUE,_xlfn.CONCAT("Sample test results are documented in ",'Sample Tables'!B2438," [",'Sample Tables'!B2439,", ",'Sample Tables'!B2440,", ",'Sample Tables'!B2441,", ",'Sample Tables'!B2442,", ",'Sample Tables'!B2443,"]."&amp;CHAR(10)),IF((COUNTIF('Sample Tables'!B:B,"Test 222: Change (artificial intelligence) ")&gt;0)=FALSE,""))),)</f>
        <v xml:space="preserve">Sample test results are documented in Test 222: Change (artificial intelligence)  [Population Source/Tool: , Population Date Range: , Population Size: , Sample Methodology: , Sample Size: ].
</v>
      </c>
      <c r="BH37" s="3" t="str">
        <f t="shared" si="6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 formal change management process is not in place for AI system development 
Examined the following evidence during fieldwork:
Reviewed evidence addressed the requirement statement.
Reviewed evidence exception note: 
Gap: 
A formal change management process is not in place for AI system development. 
Recommendation:
Management should ensure that a formal change management process is in place for AI system development. Merge will be moving to the Jira ticketing system to manage the development process. Workflow being developed will consider the following:
- an explicit linkage between the versions of the training dataset used, the pipeline configuration used, and the resulting AI model.
Sample test results are documented in Test 222: Change (artificial intelligence)  [Population Source/Tool: , Population Date Range: , Population Size: , Sample Methodology: , Sample Size: ].
</v>
      </c>
    </row>
    <row r="38" spans="3:60" ht="360" customHeight="1" x14ac:dyDescent="0.35">
      <c r="C38" s="1">
        <f t="shared" si="60"/>
        <v>0</v>
      </c>
      <c r="D38" s="5" t="str">
        <f>IF(AND((_xlfn.XLOOKUP(J38,'Fields &amp; Revisions'!$H:$H,'Fields &amp; Revisions'!$I:$I))&lt;70.99,(OR(Z38="4. Mostly Compliant (75%)",Z38="3. Partially Compliant (50%)",Z38="2. Somewhat Compliant (25%)",Z38="1. Non Compliant (0%)"))),"Yes","No")</f>
        <v>Yes</v>
      </c>
      <c r="E38" s="5" t="str">
        <f>IF(ISERROR(VLOOKUP(H38,Scope!A:A,1,FALSE)),"No","Yes")</f>
        <v>Yes</v>
      </c>
      <c r="F38" s="1" t="s">
        <v>957</v>
      </c>
      <c r="G38" s="53" t="s">
        <v>1037</v>
      </c>
      <c r="H38" s="53" t="s">
        <v>1038</v>
      </c>
      <c r="I38" s="5" t="s">
        <v>93</v>
      </c>
      <c r="J38" s="1" t="s">
        <v>1039</v>
      </c>
      <c r="K38" s="54" t="s">
        <v>1040</v>
      </c>
      <c r="L38" s="1" t="s">
        <v>1041</v>
      </c>
      <c r="M38" s="1" t="s">
        <v>1042</v>
      </c>
      <c r="N38" s="5" t="s">
        <v>98</v>
      </c>
      <c r="O38" s="1" t="str">
        <f>_xlfn.XLOOKUP(G38,SRMs!$A:$A,SRMs!$D:$D)</f>
        <v>NO INHERITANCE</v>
      </c>
      <c r="P38" s="1" t="str">
        <f>IFERROR(VLOOKUP(H38,Inherited!A:B,2,FALSE),"")</f>
        <v/>
      </c>
      <c r="Q38" s="1" t="e">
        <f>IF(MATCH(H38,Inherited!A:A),IF((((_xlfn.XLOOKUP(Assessment!#REF!,Inherited!A:A,Inherited!B:B))/100)*(_xlfn.XLOOKUP(Assessment!#REF!,Inherited!A:A,Inherited!C:C)))+(((100-(_xlfn.XLOOKUP(Assessment!#REF!,Inherited!A:A,Inherited!B:B)))/100)*IF(X38="1.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(100%)","100"))))))&lt;=10,"0", IF(AND((((_xlfn.XLOOKUP(Assessment!#REF!,Inherited!A:A,Inherited!B:B))/100)*(_xlfn.XLOOKUP(Assessment!#REF!,Inherited!A:A,Inherited!C:C)))+(((100-(_xlfn.XLOOKUP(Assessment!#REF!,Inherited!A:A,Inherited!B:B)))/100)*IF(X38="1.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(100%)","100"))))))&gt;=11,(((_xlfn.XLOOKUP(Assessment!#REF!,Inherited!A:A,Inherited!B:B))/100)*(_xlfn.XLOOKUP(Assessment!#REF!,Inherited!A:A,Inherited!C:C)))+(((100-(_xlfn.XLOOKUP(Assessment!#REF!,Inherited!A:A,Inherited!B:B)))/100)*IF(X38="1.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(100%)","100"))))))&lt;=32),"25",IF(AND((((_xlfn.XLOOKUP(Assessment!#REF!,Inherited!A:A,Inherited!B:B))/100)*(_xlfn.XLOOKUP(Assessment!#REF!,Inherited!A:A,Inherited!C:C)))+(((100-(_xlfn.XLOOKUP(Assessment!#REF!,Inherited!A:A,Inherited!B:B)))/100)*IF(X38="1.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(100%)","100"))))))&gt;=33,(((_xlfn.XLOOKUP(Assessment!#REF!,Inherited!A:A,Inherited!B:B))/100)*(_xlfn.XLOOKUP(Assessment!#REF!,Inherited!A:A,Inherited!C:C)))+(((100-(_xlfn.XLOOKUP(Assessment!#REF!,Inherited!A:A,Inherited!B:B)))/100)*IF(X38="1.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(100%)","100"))))))&lt;=65),"50",IF(AND((((_xlfn.XLOOKUP(Assessment!#REF!,Inherited!A:A,Inherited!B:B))/100)*(_xlfn.XLOOKUP(Assessment!#REF!,Inherited!A:A,Inherited!C:C)))+(((100-(_xlfn.XLOOKUP(Assessment!#REF!,Inherited!A:A,Inherited!B:B)))/100)*IF(X38="1.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(100%)","100"))))))&gt;=66,(((_xlfn.XLOOKUP(Assessment!#REF!,Inherited!A:A,Inherited!B:B))/100)*(_xlfn.XLOOKUP(Assessment!#REF!,Inherited!A:A,Inherited!C:C)))+(((100-(_xlfn.XLOOKUP(Assessment!#REF!,Inherited!A:A,Inherited!B:B)))/100)*IF(X38="1.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(100%)","100"))))))&lt;=89),"75",IF((((_xlfn.XLOOKUP(Assessment!#REF!,Inherited!A:A,Inherited!B:B))/100)*(_xlfn.XLOOKUP(Assessment!#REF!,Inherited!A:A,Inherited!C:C)))+(((100-(_xlfn.XLOOKUP(Assessment!#REF!,Inherited!A:A,Inherited!B:B)))/100)*IF(X38="1. Non Compliant (0%)","0",IF(X38="2. Somewhat Compliant (25%)","25",IF(X38="3. Partially Compliant (50%)","50",IF(X38="4. Mostly Compliant (75%)","75",IF(X38="5. Fully Compliant (100%)","100"))))))&gt;=90,"100"))))))</f>
        <v>#N/A</v>
      </c>
      <c r="R38" s="1" t="e">
        <f>IF(MATCH(H38,Inherited!A:A),IF((((_xlfn.XLOOKUP(Assessment!#REF!,Inherited!A:A,Inherited!B:B))/100)*(_xlfn.XLOOKUP(Assessment!#REF!,Inherited!A:A,Inherited!D:D)))+(((100-(_xlfn.XLOOKUP(Assessment!#REF!,Inherited!A:A,Inherited!B:B)))/100)*IF(Y38="1.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(100%)","100"))))))&lt;=10,"0", IF(AND((((_xlfn.XLOOKUP(Assessment!#REF!,Inherited!A:A,Inherited!B:B))/100)*(_xlfn.XLOOKUP(Assessment!#REF!,Inherited!A:A,Inherited!D:D)))+(((100-(_xlfn.XLOOKUP(Assessment!#REF!,Inherited!A:A,Inherited!B:B)))/100)*IF(Y38="1.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(100%)","100"))))))&gt;=11,(((_xlfn.XLOOKUP(Assessment!#REF!,Inherited!A:A,Inherited!B:B))/100)*(_xlfn.XLOOKUP(Assessment!#REF!,Inherited!A:A,Inherited!D:D)))+(((100-(_xlfn.XLOOKUP(Assessment!#REF!,Inherited!A:A,Inherited!B:B)))/100)*IF(Y38="1.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(100%)","100"))))))&lt;=32),"25",IF(AND((((_xlfn.XLOOKUP(Assessment!#REF!,Inherited!A:A,Inherited!B:B))/100)*(_xlfn.XLOOKUP(Assessment!#REF!,Inherited!A:A,Inherited!D:D)))+(((100-(_xlfn.XLOOKUP(Assessment!#REF!,Inherited!A:A,Inherited!B:B)))/100)*IF(Y38="1.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(100%)","100"))))))&gt;=33,(((_xlfn.XLOOKUP(Assessment!#REF!,Inherited!A:A,Inherited!B:B))/100)*(_xlfn.XLOOKUP(Assessment!#REF!,Inherited!A:A,Inherited!D:D)))+(((100-(_xlfn.XLOOKUP(Assessment!#REF!,Inherited!A:A,Inherited!B:B)))/100)*IF(Y38="1.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(100%)","100"))))))&lt;=65),"50",IF(AND((((_xlfn.XLOOKUP(Assessment!#REF!,Inherited!A:A,Inherited!B:B))/100)*(_xlfn.XLOOKUP(Assessment!#REF!,Inherited!A:A,Inherited!D:D)))+(((100-(_xlfn.XLOOKUP(Assessment!#REF!,Inherited!A:A,Inherited!B:B)))/100)*IF(Y38="1.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(100%)","100"))))))&gt;=66,(((_xlfn.XLOOKUP(Assessment!#REF!,Inherited!A:A,Inherited!B:B))/100)*(_xlfn.XLOOKUP(Assessment!#REF!,Inherited!A:A,Inherited!D:D)))+(((100-(_xlfn.XLOOKUP(Assessment!#REF!,Inherited!A:A,Inherited!B:B)))/100)*IF(Y38="1.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(100%)","100"))))))&lt;=89),"75",IF((((_xlfn.XLOOKUP(Assessment!#REF!,Inherited!A:A,Inherited!B:B))/100)*(_xlfn.XLOOKUP(Assessment!#REF!,Inherited!A:A,Inherited!D:D)))+(((100-(_xlfn.XLOOKUP(Assessment!#REF!,Inherited!A:A,Inherited!B:B)))/100)*IF(Y38="1. Non Compliant (0%)","0",IF(Y38="2. Somewhat Compliant (25%)","25",IF(Y38="3. Partially Compliant (50%)","50",IF(Y38="4. Mostly Compliant (75%)","75",IF(Y38="5. Fully Compliant (100%)","100"))))))&gt;=90,"100"))))))</f>
        <v>#N/A</v>
      </c>
      <c r="S38" s="1" t="e">
        <f>IF(MATCH(H38,Inherited!A:A),IF((((_xlfn.XLOOKUP(Assessment!#REF!,Inherited!A:A,Inherited!B:B))/100)*(_xlfn.XLOOKUP(Assessment!#REF!,Inherited!A:A,Inherited!E:E)))+(((100-(_xlfn.XLOOKUP(Assessment!#REF!,Inherited!A:A,Inherited!B:B)))/100)*IF(Z38="1.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(100%)","100"))))))&lt;=10,"0", IF(AND((((_xlfn.XLOOKUP(Assessment!#REF!,Inherited!A:A,Inherited!B:B))/100)*(_xlfn.XLOOKUP(Assessment!#REF!,Inherited!A:A,Inherited!E:E)))+(((100-(_xlfn.XLOOKUP(Assessment!#REF!,Inherited!A:A,Inherited!B:B)))/100)*IF(Z38="1.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(100%)","100"))))))&gt;=11,(((_xlfn.XLOOKUP(Assessment!#REF!,Inherited!A:A,Inherited!B:B))/100)*(_xlfn.XLOOKUP(Assessment!#REF!,Inherited!A:A,Inherited!E:E)))+(((100-(_xlfn.XLOOKUP(Assessment!#REF!,Inherited!A:A,Inherited!B:B)))/100)*IF(Z38="1.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(100%)","100"))))))&lt;=32),"25",IF(AND((((_xlfn.XLOOKUP(Assessment!#REF!,Inherited!A:A,Inherited!B:B))/100)*(_xlfn.XLOOKUP(Assessment!#REF!,Inherited!A:A,Inherited!E:E)))+(((100-(_xlfn.XLOOKUP(Assessment!#REF!,Inherited!A:A,Inherited!B:B)))/100)*IF(Z38="1.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(100%)","100"))))))&gt;=33,(((_xlfn.XLOOKUP(Assessment!#REF!,Inherited!A:A,Inherited!B:B))/100)*(_xlfn.XLOOKUP(Assessment!#REF!,Inherited!A:A,Inherited!E:E)))+(((100-(_xlfn.XLOOKUP(Assessment!#REF!,Inherited!A:A,Inherited!B:B)))/100)*IF(Z38="1.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(100%)","100"))))))&lt;=65),"50",IF(AND((((_xlfn.XLOOKUP(Assessment!#REF!,Inherited!A:A,Inherited!B:B))/100)*(_xlfn.XLOOKUP(Assessment!#REF!,Inherited!A:A,Inherited!E:E)))+(((100-(_xlfn.XLOOKUP(Assessment!#REF!,Inherited!A:A,Inherited!B:B)))/100)*IF(Z38="1.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(100%)","100"))))))&gt;=66,(((_xlfn.XLOOKUP(Assessment!#REF!,Inherited!A:A,Inherited!B:B))/100)*(_xlfn.XLOOKUP(Assessment!#REF!,Inherited!A:A,Inherited!E:E)))+(((100-(_xlfn.XLOOKUP(Assessment!#REF!,Inherited!A:A,Inherited!B:B)))/100)*IF(Z38="1.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(100%)","100"))))))&lt;=89),"75",IF((((_xlfn.XLOOKUP(Assessment!#REF!,Inherited!A:A,Inherited!B:B))/100)*(_xlfn.XLOOKUP(Assessment!#REF!,Inherited!A:A,Inherited!E:E)))+(((100-(_xlfn.XLOOKUP(Assessment!#REF!,Inherited!A:A,Inherited!B:B)))/100)*IF(Z38="1. Non Compliant (0%)","0",IF(Z38="2. Somewhat Compliant (25%)","25",IF(Z38="3. Partially Compliant (50%)","50",IF(Z38="4. Mostly Compliant (75%)","75",IF(Z38="5. Fully Compliant (100%)","100"))))))&gt;=90,"100"))))))</f>
        <v>#N/A</v>
      </c>
      <c r="T38" s="1" t="e">
        <f>IF(MATCH(H38,Inherited!A:A),IF((((_xlfn.XLOOKUP(Assessment!#REF!,Inherited!A:A,Inherited!B:B))/100)*(_xlfn.XLOOKUP(Assessment!#REF!,Inherited!A:A,Inherited!F:F)))+(((100-(_xlfn.XLOOKUP(Assessment!#REF!,Inherited!A:A,Inherited!B:B)))/100)*IF(AA38="1.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(100%)","100"))))))&lt;=10,"0", IF(AND((((_xlfn.XLOOKUP(Assessment!#REF!,Inherited!A:A,Inherited!B:B))/100)*(_xlfn.XLOOKUP(Assessment!#REF!,Inherited!A:A,Inherited!F:F)))+(((100-(_xlfn.XLOOKUP(Assessment!#REF!,Inherited!A:A,Inherited!B:B)))/100)*IF(AA38="1.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(100%)","100"))))))&gt;=11,(((_xlfn.XLOOKUP(Assessment!#REF!,Inherited!A:A,Inherited!B:B))/100)*(_xlfn.XLOOKUP(Assessment!#REF!,Inherited!A:A,Inherited!F:F)))+(((100-(_xlfn.XLOOKUP(Assessment!#REF!,Inherited!A:A,Inherited!B:B)))/100)*IF(AA38="1.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(100%)","100"))))))&lt;=32),"25",IF(AND((((_xlfn.XLOOKUP(Assessment!#REF!,Inherited!A:A,Inherited!B:B))/100)*(_xlfn.XLOOKUP(Assessment!#REF!,Inherited!A:A,Inherited!F:F)))+(((100-(_xlfn.XLOOKUP(Assessment!#REF!,Inherited!A:A,Inherited!B:B)))/100)*IF(AA38="1.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(100%)","100"))))))&gt;=33,(((_xlfn.XLOOKUP(Assessment!#REF!,Inherited!A:A,Inherited!B:B))/100)*(_xlfn.XLOOKUP(Assessment!#REF!,Inherited!A:A,Inherited!F:F)))+(((100-(_xlfn.XLOOKUP(Assessment!#REF!,Inherited!A:A,Inherited!B:B)))/100)*IF(AA38="1.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(100%)","100"))))))&lt;=65),"50",IF(AND((((_xlfn.XLOOKUP(Assessment!#REF!,Inherited!A:A,Inherited!B:B))/100)*(_xlfn.XLOOKUP(Assessment!#REF!,Inherited!A:A,Inherited!F:F)))+(((100-(_xlfn.XLOOKUP(Assessment!#REF!,Inherited!A:A,Inherited!B:B)))/100)*IF(AA38="1.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(100%)","100"))))))&gt;=66,(((_xlfn.XLOOKUP(Assessment!#REF!,Inherited!A:A,Inherited!B:B))/100)*(_xlfn.XLOOKUP(Assessment!#REF!,Inherited!A:A,Inherited!F:F)))+(((100-(_xlfn.XLOOKUP(Assessment!#REF!,Inherited!A:A,Inherited!B:B)))/100)*IF(AA38="1.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(100%)","100"))))))&lt;=89),"75",IF((((_xlfn.XLOOKUP(Assessment!#REF!,Inherited!A:A,Inherited!B:B))/100)*(_xlfn.XLOOKUP(Assessment!#REF!,Inherited!A:A,Inherited!F:F)))+(((100-(_xlfn.XLOOKUP(Assessment!#REF!,Inherited!A:A,Inherited!B:B)))/100)*IF(AA38="1. Non Compliant (0%)","0",IF(AA38="2. Somewhat Compliant (25%)","25",IF(AA38="3. Partially Compliant (50%)","50",IF(AA38="4. Mostly Compliant (75%)","75",IF(AA38="5. Fully Compliant (100%)","100"))))))&gt;=90,"100"))))))</f>
        <v>#N/A</v>
      </c>
      <c r="U38" s="1" t="e">
        <f>IF(MATCH(H38,Inherited!A:A),IF((((_xlfn.XLOOKUP(Assessment!#REF!,Inherited!A:A,Inherited!B:B))/100)*(_xlfn.XLOOKUP(Assessment!#REF!,Inherited!A:A,Inherited!G:G)))+(((100-(_xlfn.XLOOKUP(Assessment!#REF!,Inherited!A:A,Inherited!B:B)))/100)*IF(AB38="1.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(100%)","100"))))))&lt;=10,"0", IF(AND((((_xlfn.XLOOKUP(Assessment!#REF!,Inherited!A:A,Inherited!B:B))/100)*(_xlfn.XLOOKUP(Assessment!#REF!,Inherited!A:A,Inherited!G:G)))+(((100-(_xlfn.XLOOKUP(Assessment!#REF!,Inherited!A:A,Inherited!B:B)))/100)*IF(AB38="1.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(100%)","100"))))))&gt;=11,(((_xlfn.XLOOKUP(Assessment!#REF!,Inherited!A:A,Inherited!B:B))/100)*(_xlfn.XLOOKUP(Assessment!#REF!,Inherited!A:A,Inherited!G:G)))+(((100-(_xlfn.XLOOKUP(Assessment!#REF!,Inherited!A:A,Inherited!B:B)))/100)*IF(AB38="1.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(100%)","100"))))))&lt;=32),"25",IF(AND((((_xlfn.XLOOKUP(Assessment!#REF!,Inherited!A:A,Inherited!B:B))/100)*(_xlfn.XLOOKUP(Assessment!#REF!,Inherited!A:A,Inherited!G:G)))+(((100-(_xlfn.XLOOKUP(Assessment!#REF!,Inherited!A:A,Inherited!B:B)))/100)*IF(AB38="1.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(100%)","100"))))))&gt;=33,(((_xlfn.XLOOKUP(Assessment!#REF!,Inherited!A:A,Inherited!B:B))/100)*(_xlfn.XLOOKUP(Assessment!#REF!,Inherited!A:A,Inherited!G:G)))+(((100-(_xlfn.XLOOKUP(Assessment!#REF!,Inherited!A:A,Inherited!B:B)))/100)*IF(AB38="1.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(100%)","100"))))))&lt;=65),"50",IF(AND((((_xlfn.XLOOKUP(Assessment!#REF!,Inherited!A:A,Inherited!B:B))/100)*(_xlfn.XLOOKUP(Assessment!#REF!,Inherited!A:A,Inherited!G:G)))+(((100-(_xlfn.XLOOKUP(Assessment!#REF!,Inherited!A:A,Inherited!B:B)))/100)*IF(AB38="1.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(100%)","100"))))))&gt;=66,(((_xlfn.XLOOKUP(Assessment!#REF!,Inherited!A:A,Inherited!B:B))/100)*(_xlfn.XLOOKUP(Assessment!#REF!,Inherited!A:A,Inherited!G:G)))+(((100-(_xlfn.XLOOKUP(Assessment!#REF!,Inherited!A:A,Inherited!B:B)))/100)*IF(AB38="1.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(100%)","100"))))))&lt;=89),"75",IF((((_xlfn.XLOOKUP(Assessment!#REF!,Inherited!A:A,Inherited!B:B))/100)*(_xlfn.XLOOKUP(Assessment!#REF!,Inherited!A:A,Inherited!G:G)))+(((100-(_xlfn.XLOOKUP(Assessment!#REF!,Inherited!A:A,Inherited!B:B)))/100)*IF(AB38="1. Non Compliant (0%)","0",IF(AB38="2. Somewhat Compliant (25%)","25",IF(AB38="3. Partially Compliant (50%)","50",IF(AB38="4. Mostly Compliant (75%)","75",IF(AB38="5. Fully Compliant (100%)","100"))))))&gt;=90,"100"))))))</f>
        <v>#N/A</v>
      </c>
      <c r="V38" s="55" t="s">
        <v>85</v>
      </c>
      <c r="W38" s="55"/>
      <c r="X38" s="55"/>
      <c r="Y38" s="55"/>
      <c r="Z38" s="55" t="s">
        <v>10873</v>
      </c>
      <c r="AA38" s="55"/>
      <c r="AB38" s="55"/>
      <c r="AK38" s="1" t="s">
        <v>10978</v>
      </c>
      <c r="AL38" s="1" t="s">
        <v>10980</v>
      </c>
      <c r="AP38" s="1" t="s">
        <v>11062</v>
      </c>
      <c r="AX38" s="3" t="str">
        <f>_xlfn.CONCAT("A-LIGN finished its review of this control on ",AR38, " during the scheduled fieldwork window (",Intro!$B$4,")."&amp; CHAR(10)&amp; CHAR(10))</f>
        <v xml:space="preserve">A-LIGN finished its review of this control on  during the scheduled fieldwork window (Fieldwork: xx/xx/xxxx - xx/xx/xxxx).
</v>
      </c>
      <c r="AY38" s="3" t="str">
        <f t="shared" si="61"/>
        <v/>
      </c>
      <c r="AZ38" s="3" t="str">
        <f t="shared" si="62"/>
        <v/>
      </c>
      <c r="BA38" s="3" t="str">
        <f t="shared" si="63"/>
        <v/>
      </c>
      <c r="BB38" s="3" t="str">
        <f t="shared" si="64"/>
        <v xml:space="preserve">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v>
      </c>
      <c r="BC38" s="3" t="str">
        <f t="shared" si="65"/>
        <v/>
      </c>
      <c r="BD38" s="3" t="str">
        <f t="shared" si="66"/>
        <v xml:space="preserve">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assets are tracked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configurations of pipelines used to create, train, and/or deploy AI models
- artificial intelligence asset tracking includes: code used by language model tools such as agents and plugins (if used)
- artificial intelligence asset tracking includes: models
</v>
      </c>
      <c r="BE38" s="3" t="str">
        <f t="shared" si="67"/>
        <v/>
      </c>
      <c r="BF38" s="3" t="str">
        <f t="shared" si="68"/>
        <v/>
      </c>
      <c r="BG38" s="3" t="str">
        <f>_xlfn.CONCAT((IF((COUNTIF('Sample Tables'!B:B,"")&gt;0)=TRUE,_xlfn.CONCAT("",""),IF((COUNTIF('Sample Tables'!B:B,"")&gt;0)=FALSE,""))),)</f>
        <v/>
      </c>
      <c r="BH38" s="3" t="str">
        <f t="shared" si="6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assets are tracked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configurations of pipelines used to create, train, and/or deploy AI models
- artificial intelligence asset tracking includes: code used by language model tools such as agents and plugins (if used)
- artificial intelligence asset tracking includes: models
</v>
      </c>
    </row>
    <row r="39" spans="3:60" ht="312.5" x14ac:dyDescent="0.35">
      <c r="C39" s="1">
        <f t="shared" ref="C39:C42" si="70">IF(V39="No","Not Applicable",(IF(X39="1. Non Compliant (0%)","0",IF(X39="2. Somewhat Compliant (25%)","25",IF(X39="3. Partially Compliant (50%)","50",IF(X39="4. Mostly Compliant (75%)","75",IF(X39="5. Fully Compliant (100%)","100")))))*0.15)+((IF(Y39="1. Non Compliant (0%)","0",IF(Y39="2. Somewhat Compliant (25%)","25",IF(Y39="3. Partially Compliant (50%)","50",IF(Y39="4. Mostly Compliant (75%)","75",IF(Y39="5. Fully Compliant (100%)","100"))))))*0.2)+(IF(Z39="1. Non Compliant (0%)","0",IF(Z39="2. Somewhat Compliant (25%)","25",IF(Z39="3. Partially Compliant (50%)","50",IF(Z39="4. Mostly Compliant (75%)","75",IF(Z39="5. Fully Compliant (100%)","100")))))*0.4)+(IF(AA39="1. Non Compliant (0%)","0",IF(AA39="2. Somewhat Compliant (25%)","25",IF(AA39="3. Partially Compliant (50%)","50",IF(AA39="4. Mostly Compliant (75%)","75",IF(AA39="5. Fully Compliant (100%)","100")))))*0.1)+(IF(AB39="1. Non Compliant (0%)","0",IF(AB39="2. Somewhat Compliant (25%)","25",IF(AB39="3. Partially Compliant (50%)","50",IF(AB39="4. Mostly Compliant (75%)","75",IF(AB39="5. Fully Compliant (100%)","100")))))*0.15))</f>
        <v>40</v>
      </c>
      <c r="D39" s="5" t="str">
        <f>IF(AND((_xlfn.XLOOKUP(J39,'Fields &amp; Revisions'!$H:$H,'Fields &amp; Revisions'!$I:$I))&lt;70.99,(OR(Z39="4. Mostly Compliant (75%)",Z39="3. Partially Compliant (50%)",Z39="2. Somewhat Compliant (25%)",Z39="1. Non Compliant (0%)"))),"Yes","No")</f>
        <v>No</v>
      </c>
      <c r="E39" s="5" t="str">
        <f>IF(ISERROR(VLOOKUP(H39,Scope!A:A,1,FALSE)),"No","Yes")</f>
        <v>Yes</v>
      </c>
      <c r="F39" s="1" t="s">
        <v>957</v>
      </c>
      <c r="G39" s="53" t="s">
        <v>1174</v>
      </c>
      <c r="H39" s="53" t="s">
        <v>1175</v>
      </c>
      <c r="I39" s="5">
        <v>1</v>
      </c>
      <c r="J39" s="1" t="s">
        <v>1039</v>
      </c>
      <c r="K39" s="1" t="s">
        <v>1176</v>
      </c>
      <c r="L39" s="1" t="s">
        <v>1177</v>
      </c>
      <c r="M39" s="1" t="s">
        <v>1178</v>
      </c>
      <c r="N39" s="5" t="s">
        <v>98</v>
      </c>
      <c r="O39" s="1" t="str">
        <f>_xlfn.XLOOKUP(G39,SRMs!$A:$A,SRMs!$D:$D)</f>
        <v>PARTIAL INHERITANCE</v>
      </c>
      <c r="P39" s="1" t="str">
        <f>IFERROR(VLOOKUP(H39,Inherited!A:B,2,FALSE),"")</f>
        <v/>
      </c>
      <c r="Q39" s="1" t="e">
        <f>IF(MATCH(H39,Inherited!A:A),IF((((_xlfn.XLOOKUP(Assessment!#REF!,Inherited!A:A,Inherited!B:B))/100)*(_xlfn.XLOOKUP(Assessment!#REF!,Inherited!A:A,Inherited!C:C)))+(((100-(_xlfn.XLOOKUP(Assessment!#REF!,Inherited!A:A,Inherited!B:B)))/100)*IF(X39="1.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(100%)","100"))))))&lt;=10,"0", IF(AND((((_xlfn.XLOOKUP(Assessment!#REF!,Inherited!A:A,Inherited!B:B))/100)*(_xlfn.XLOOKUP(Assessment!#REF!,Inherited!A:A,Inherited!C:C)))+(((100-(_xlfn.XLOOKUP(Assessment!#REF!,Inherited!A:A,Inherited!B:B)))/100)*IF(X39="1.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(100%)","100"))))))&gt;=11,(((_xlfn.XLOOKUP(Assessment!#REF!,Inherited!A:A,Inherited!B:B))/100)*(_xlfn.XLOOKUP(Assessment!#REF!,Inherited!A:A,Inherited!C:C)))+(((100-(_xlfn.XLOOKUP(Assessment!#REF!,Inherited!A:A,Inherited!B:B)))/100)*IF(X39="1.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(100%)","100"))))))&lt;=32),"25",IF(AND((((_xlfn.XLOOKUP(Assessment!#REF!,Inherited!A:A,Inherited!B:B))/100)*(_xlfn.XLOOKUP(Assessment!#REF!,Inherited!A:A,Inherited!C:C)))+(((100-(_xlfn.XLOOKUP(Assessment!#REF!,Inherited!A:A,Inherited!B:B)))/100)*IF(X39="1.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(100%)","100"))))))&gt;=33,(((_xlfn.XLOOKUP(Assessment!#REF!,Inherited!A:A,Inherited!B:B))/100)*(_xlfn.XLOOKUP(Assessment!#REF!,Inherited!A:A,Inherited!C:C)))+(((100-(_xlfn.XLOOKUP(Assessment!#REF!,Inherited!A:A,Inherited!B:B)))/100)*IF(X39="1.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(100%)","100"))))))&lt;=65),"50",IF(AND((((_xlfn.XLOOKUP(Assessment!#REF!,Inherited!A:A,Inherited!B:B))/100)*(_xlfn.XLOOKUP(Assessment!#REF!,Inherited!A:A,Inherited!C:C)))+(((100-(_xlfn.XLOOKUP(Assessment!#REF!,Inherited!A:A,Inherited!B:B)))/100)*IF(X39="1.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(100%)","100"))))))&gt;=66,(((_xlfn.XLOOKUP(Assessment!#REF!,Inherited!A:A,Inherited!B:B))/100)*(_xlfn.XLOOKUP(Assessment!#REF!,Inherited!A:A,Inherited!C:C)))+(((100-(_xlfn.XLOOKUP(Assessment!#REF!,Inherited!A:A,Inherited!B:B)))/100)*IF(X39="1.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(100%)","100"))))))&lt;=89),"75",IF((((_xlfn.XLOOKUP(Assessment!#REF!,Inherited!A:A,Inherited!B:B))/100)*(_xlfn.XLOOKUP(Assessment!#REF!,Inherited!A:A,Inherited!C:C)))+(((100-(_xlfn.XLOOKUP(Assessment!#REF!,Inherited!A:A,Inherited!B:B)))/100)*IF(X39="1. Non Compliant (0%)","0",IF(X39="2. Somewhat Compliant (25%)","25",IF(X39="3. Partially Compliant (50%)","50",IF(X39="4. Mostly Compliant (75%)","75",IF(X39="5. Fully Compliant (100%)","100"))))))&gt;=90,"100"))))))</f>
        <v>#N/A</v>
      </c>
      <c r="R39" s="1" t="e">
        <f>IF(MATCH(H39,Inherited!A:A),IF((((_xlfn.XLOOKUP(Assessment!#REF!,Inherited!A:A,Inherited!B:B))/100)*(_xlfn.XLOOKUP(Assessment!#REF!,Inherited!A:A,Inherited!D:D)))+(((100-(_xlfn.XLOOKUP(Assessment!#REF!,Inherited!A:A,Inherited!B:B)))/100)*IF(Y39="1.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(100%)","100"))))))&lt;=10,"0", IF(AND((((_xlfn.XLOOKUP(Assessment!#REF!,Inherited!A:A,Inherited!B:B))/100)*(_xlfn.XLOOKUP(Assessment!#REF!,Inherited!A:A,Inherited!D:D)))+(((100-(_xlfn.XLOOKUP(Assessment!#REF!,Inherited!A:A,Inherited!B:B)))/100)*IF(Y39="1.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(100%)","100"))))))&gt;=11,(((_xlfn.XLOOKUP(Assessment!#REF!,Inherited!A:A,Inherited!B:B))/100)*(_xlfn.XLOOKUP(Assessment!#REF!,Inherited!A:A,Inherited!D:D)))+(((100-(_xlfn.XLOOKUP(Assessment!#REF!,Inherited!A:A,Inherited!B:B)))/100)*IF(Y39="1.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(100%)","100"))))))&lt;=32),"25",IF(AND((((_xlfn.XLOOKUP(Assessment!#REF!,Inherited!A:A,Inherited!B:B))/100)*(_xlfn.XLOOKUP(Assessment!#REF!,Inherited!A:A,Inherited!D:D)))+(((100-(_xlfn.XLOOKUP(Assessment!#REF!,Inherited!A:A,Inherited!B:B)))/100)*IF(Y39="1.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(100%)","100"))))))&gt;=33,(((_xlfn.XLOOKUP(Assessment!#REF!,Inherited!A:A,Inherited!B:B))/100)*(_xlfn.XLOOKUP(Assessment!#REF!,Inherited!A:A,Inherited!D:D)))+(((100-(_xlfn.XLOOKUP(Assessment!#REF!,Inherited!A:A,Inherited!B:B)))/100)*IF(Y39="1.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(100%)","100"))))))&lt;=65),"50",IF(AND((((_xlfn.XLOOKUP(Assessment!#REF!,Inherited!A:A,Inherited!B:B))/100)*(_xlfn.XLOOKUP(Assessment!#REF!,Inherited!A:A,Inherited!D:D)))+(((100-(_xlfn.XLOOKUP(Assessment!#REF!,Inherited!A:A,Inherited!B:B)))/100)*IF(Y39="1.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(100%)","100"))))))&gt;=66,(((_xlfn.XLOOKUP(Assessment!#REF!,Inherited!A:A,Inherited!B:B))/100)*(_xlfn.XLOOKUP(Assessment!#REF!,Inherited!A:A,Inherited!D:D)))+(((100-(_xlfn.XLOOKUP(Assessment!#REF!,Inherited!A:A,Inherited!B:B)))/100)*IF(Y39="1.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(100%)","100"))))))&lt;=89),"75",IF((((_xlfn.XLOOKUP(Assessment!#REF!,Inherited!A:A,Inherited!B:B))/100)*(_xlfn.XLOOKUP(Assessment!#REF!,Inherited!A:A,Inherited!D:D)))+(((100-(_xlfn.XLOOKUP(Assessment!#REF!,Inherited!A:A,Inherited!B:B)))/100)*IF(Y39="1. Non Compliant (0%)","0",IF(Y39="2. Somewhat Compliant (25%)","25",IF(Y39="3. Partially Compliant (50%)","50",IF(Y39="4. Mostly Compliant (75%)","75",IF(Y39="5. Fully Compliant (100%)","100"))))))&gt;=90,"100"))))))</f>
        <v>#N/A</v>
      </c>
      <c r="S39" s="1" t="e">
        <f>IF(MATCH(H39,Inherited!A:A),IF((((_xlfn.XLOOKUP(Assessment!#REF!,Inherited!A:A,Inherited!B:B))/100)*(_xlfn.XLOOKUP(Assessment!#REF!,Inherited!A:A,Inherited!E:E)))+(((100-(_xlfn.XLOOKUP(Assessment!#REF!,Inherited!A:A,Inherited!B:B)))/100)*IF(Z39="1.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(100%)","100"))))))&lt;=10,"0", IF(AND((((_xlfn.XLOOKUP(Assessment!#REF!,Inherited!A:A,Inherited!B:B))/100)*(_xlfn.XLOOKUP(Assessment!#REF!,Inherited!A:A,Inherited!E:E)))+(((100-(_xlfn.XLOOKUP(Assessment!#REF!,Inherited!A:A,Inherited!B:B)))/100)*IF(Z39="1.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(100%)","100"))))))&gt;=11,(((_xlfn.XLOOKUP(Assessment!#REF!,Inherited!A:A,Inherited!B:B))/100)*(_xlfn.XLOOKUP(Assessment!#REF!,Inherited!A:A,Inherited!E:E)))+(((100-(_xlfn.XLOOKUP(Assessment!#REF!,Inherited!A:A,Inherited!B:B)))/100)*IF(Z39="1.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(100%)","100"))))))&lt;=32),"25",IF(AND((((_xlfn.XLOOKUP(Assessment!#REF!,Inherited!A:A,Inherited!B:B))/100)*(_xlfn.XLOOKUP(Assessment!#REF!,Inherited!A:A,Inherited!E:E)))+(((100-(_xlfn.XLOOKUP(Assessment!#REF!,Inherited!A:A,Inherited!B:B)))/100)*IF(Z39="1.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(100%)","100"))))))&gt;=33,(((_xlfn.XLOOKUP(Assessment!#REF!,Inherited!A:A,Inherited!B:B))/100)*(_xlfn.XLOOKUP(Assessment!#REF!,Inherited!A:A,Inherited!E:E)))+(((100-(_xlfn.XLOOKUP(Assessment!#REF!,Inherited!A:A,Inherited!B:B)))/100)*IF(Z39="1.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(100%)","100"))))))&lt;=65),"50",IF(AND((((_xlfn.XLOOKUP(Assessment!#REF!,Inherited!A:A,Inherited!B:B))/100)*(_xlfn.XLOOKUP(Assessment!#REF!,Inherited!A:A,Inherited!E:E)))+(((100-(_xlfn.XLOOKUP(Assessment!#REF!,Inherited!A:A,Inherited!B:B)))/100)*IF(Z39="1.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(100%)","100"))))))&gt;=66,(((_xlfn.XLOOKUP(Assessment!#REF!,Inherited!A:A,Inherited!B:B))/100)*(_xlfn.XLOOKUP(Assessment!#REF!,Inherited!A:A,Inherited!E:E)))+(((100-(_xlfn.XLOOKUP(Assessment!#REF!,Inherited!A:A,Inherited!B:B)))/100)*IF(Z39="1.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(100%)","100"))))))&lt;=89),"75",IF((((_xlfn.XLOOKUP(Assessment!#REF!,Inherited!A:A,Inherited!B:B))/100)*(_xlfn.XLOOKUP(Assessment!#REF!,Inherited!A:A,Inherited!E:E)))+(((100-(_xlfn.XLOOKUP(Assessment!#REF!,Inherited!A:A,Inherited!B:B)))/100)*IF(Z39="1. Non Compliant (0%)","0",IF(Z39="2. Somewhat Compliant (25%)","25",IF(Z39="3. Partially Compliant (50%)","50",IF(Z39="4. Mostly Compliant (75%)","75",IF(Z39="5. Fully Compliant (100%)","100"))))))&gt;=90,"100"))))))</f>
        <v>#N/A</v>
      </c>
      <c r="T39" s="1" t="e">
        <f>IF(MATCH(H39,Inherited!A:A),IF((((_xlfn.XLOOKUP(Assessment!#REF!,Inherited!A:A,Inherited!B:B))/100)*(_xlfn.XLOOKUP(Assessment!#REF!,Inherited!A:A,Inherited!F:F)))+(((100-(_xlfn.XLOOKUP(Assessment!#REF!,Inherited!A:A,Inherited!B:B)))/100)*IF(AA39="1.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(100%)","100"))))))&lt;=10,"0", IF(AND((((_xlfn.XLOOKUP(Assessment!#REF!,Inherited!A:A,Inherited!B:B))/100)*(_xlfn.XLOOKUP(Assessment!#REF!,Inherited!A:A,Inherited!F:F)))+(((100-(_xlfn.XLOOKUP(Assessment!#REF!,Inherited!A:A,Inherited!B:B)))/100)*IF(AA39="1.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(100%)","100"))))))&gt;=11,(((_xlfn.XLOOKUP(Assessment!#REF!,Inherited!A:A,Inherited!B:B))/100)*(_xlfn.XLOOKUP(Assessment!#REF!,Inherited!A:A,Inherited!F:F)))+(((100-(_xlfn.XLOOKUP(Assessment!#REF!,Inherited!A:A,Inherited!B:B)))/100)*IF(AA39="1.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(100%)","100"))))))&lt;=32),"25",IF(AND((((_xlfn.XLOOKUP(Assessment!#REF!,Inherited!A:A,Inherited!B:B))/100)*(_xlfn.XLOOKUP(Assessment!#REF!,Inherited!A:A,Inherited!F:F)))+(((100-(_xlfn.XLOOKUP(Assessment!#REF!,Inherited!A:A,Inherited!B:B)))/100)*IF(AA39="1.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(100%)","100"))))))&gt;=33,(((_xlfn.XLOOKUP(Assessment!#REF!,Inherited!A:A,Inherited!B:B))/100)*(_xlfn.XLOOKUP(Assessment!#REF!,Inherited!A:A,Inherited!F:F)))+(((100-(_xlfn.XLOOKUP(Assessment!#REF!,Inherited!A:A,Inherited!B:B)))/100)*IF(AA39="1.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(100%)","100"))))))&lt;=65),"50",IF(AND((((_xlfn.XLOOKUP(Assessment!#REF!,Inherited!A:A,Inherited!B:B))/100)*(_xlfn.XLOOKUP(Assessment!#REF!,Inherited!A:A,Inherited!F:F)))+(((100-(_xlfn.XLOOKUP(Assessment!#REF!,Inherited!A:A,Inherited!B:B)))/100)*IF(AA39="1.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(100%)","100"))))))&gt;=66,(((_xlfn.XLOOKUP(Assessment!#REF!,Inherited!A:A,Inherited!B:B))/100)*(_xlfn.XLOOKUP(Assessment!#REF!,Inherited!A:A,Inherited!F:F)))+(((100-(_xlfn.XLOOKUP(Assessment!#REF!,Inherited!A:A,Inherited!B:B)))/100)*IF(AA39="1.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(100%)","100"))))))&lt;=89),"75",IF((((_xlfn.XLOOKUP(Assessment!#REF!,Inherited!A:A,Inherited!B:B))/100)*(_xlfn.XLOOKUP(Assessment!#REF!,Inherited!A:A,Inherited!F:F)))+(((100-(_xlfn.XLOOKUP(Assessment!#REF!,Inherited!A:A,Inherited!B:B)))/100)*IF(AA39="1. Non Compliant (0%)","0",IF(AA39="2. Somewhat Compliant (25%)","25",IF(AA39="3. Partially Compliant (50%)","50",IF(AA39="4. Mostly Compliant (75%)","75",IF(AA39="5. Fully Compliant (100%)","100"))))))&gt;=90,"100"))))))</f>
        <v>#N/A</v>
      </c>
      <c r="U39" s="1" t="e">
        <f>IF(MATCH(H39,Inherited!A:A),IF((((_xlfn.XLOOKUP(Assessment!#REF!,Inherited!A:A,Inherited!B:B))/100)*(_xlfn.XLOOKUP(Assessment!#REF!,Inherited!A:A,Inherited!G:G)))+(((100-(_xlfn.XLOOKUP(Assessment!#REF!,Inherited!A:A,Inherited!B:B)))/100)*IF(AB39="1.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(100%)","100"))))))&lt;=10,"0", IF(AND((((_xlfn.XLOOKUP(Assessment!#REF!,Inherited!A:A,Inherited!B:B))/100)*(_xlfn.XLOOKUP(Assessment!#REF!,Inherited!A:A,Inherited!G:G)))+(((100-(_xlfn.XLOOKUP(Assessment!#REF!,Inherited!A:A,Inherited!B:B)))/100)*IF(AB39="1.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(100%)","100"))))))&gt;=11,(((_xlfn.XLOOKUP(Assessment!#REF!,Inherited!A:A,Inherited!B:B))/100)*(_xlfn.XLOOKUP(Assessment!#REF!,Inherited!A:A,Inherited!G:G)))+(((100-(_xlfn.XLOOKUP(Assessment!#REF!,Inherited!A:A,Inherited!B:B)))/100)*IF(AB39="1.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(100%)","100"))))))&lt;=32),"25",IF(AND((((_xlfn.XLOOKUP(Assessment!#REF!,Inherited!A:A,Inherited!B:B))/100)*(_xlfn.XLOOKUP(Assessment!#REF!,Inherited!A:A,Inherited!G:G)))+(((100-(_xlfn.XLOOKUP(Assessment!#REF!,Inherited!A:A,Inherited!B:B)))/100)*IF(AB39="1.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(100%)","100"))))))&gt;=33,(((_xlfn.XLOOKUP(Assessment!#REF!,Inherited!A:A,Inherited!B:B))/100)*(_xlfn.XLOOKUP(Assessment!#REF!,Inherited!A:A,Inherited!G:G)))+(((100-(_xlfn.XLOOKUP(Assessment!#REF!,Inherited!A:A,Inherited!B:B)))/100)*IF(AB39="1.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(100%)","100"))))))&lt;=65),"50",IF(AND((((_xlfn.XLOOKUP(Assessment!#REF!,Inherited!A:A,Inherited!B:B))/100)*(_xlfn.XLOOKUP(Assessment!#REF!,Inherited!A:A,Inherited!G:G)))+(((100-(_xlfn.XLOOKUP(Assessment!#REF!,Inherited!A:A,Inherited!B:B)))/100)*IF(AB39="1.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(100%)","100"))))))&gt;=66,(((_xlfn.XLOOKUP(Assessment!#REF!,Inherited!A:A,Inherited!B:B))/100)*(_xlfn.XLOOKUP(Assessment!#REF!,Inherited!A:A,Inherited!G:G)))+(((100-(_xlfn.XLOOKUP(Assessment!#REF!,Inherited!A:A,Inherited!B:B)))/100)*IF(AB39="1.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(100%)","100"))))))&lt;=89),"75",IF((((_xlfn.XLOOKUP(Assessment!#REF!,Inherited!A:A,Inherited!B:B))/100)*(_xlfn.XLOOKUP(Assessment!#REF!,Inherited!A:A,Inherited!G:G)))+(((100-(_xlfn.XLOOKUP(Assessment!#REF!,Inherited!A:A,Inherited!B:B)))/100)*IF(AB39="1. Non Compliant (0%)","0",IF(AB39="2. Somewhat Compliant (25%)","25",IF(AB39="3. Partially Compliant (50%)","50",IF(AB39="4. Mostly Compliant (75%)","75",IF(AB39="5. Fully Compliant (100%)","100"))))))&gt;=90,"100"))))))</f>
        <v>#N/A</v>
      </c>
      <c r="V39" s="55" t="s">
        <v>85</v>
      </c>
      <c r="W39" s="55"/>
      <c r="X39" s="55"/>
      <c r="Y39" s="55"/>
      <c r="Z39" s="55" t="s">
        <v>86</v>
      </c>
      <c r="AA39" s="55"/>
      <c r="AB39" s="55"/>
      <c r="AK39" s="1" t="s">
        <v>10891</v>
      </c>
      <c r="AL39" s="1" t="s">
        <v>10899</v>
      </c>
      <c r="AM39" s="1" t="s">
        <v>10914</v>
      </c>
      <c r="AX39" s="3" t="str">
        <f>_xlfn.CONCAT("A-LIGN finished its review of this control on ",AR39, " during the scheduled fieldwork window (",Intro!$B$4,")."&amp; CHAR(10)&amp; CHAR(10))</f>
        <v xml:space="preserve">A-LIGN finished its review of this control on  during the scheduled fieldwork window (Fieldwork: xx/xx/xxxx - xx/xx/xxxx).
</v>
      </c>
      <c r="AY39" s="3" t="str">
        <f t="shared" ref="AY39:AY42" si="71">IF(AQ39&lt;&gt;"",(_xlfn.CONCAT("Inheritance note: "&amp; CHAR(10),AQ39&amp; CHAR(10)&amp; CHAR(10))),"")</f>
        <v/>
      </c>
      <c r="AZ39" s="3" t="str">
        <f t="shared" ref="AZ39:AZ42" si="72">IFERROR(IF(AD39&lt;&gt;"",_xlfn.CONCAT("Examined the following policy during fieldwork:"&amp; CHAR(10),AD39&amp; CHAR(10)&amp; CHAR(10),IF(AND(X39&lt;&gt;"5. Fully Compliant (100%)",AE39&lt;&gt;""),"Reviewed policy exception note:"&amp; CHAR(10) &amp; AE39 &amp; CHAR(10) &amp; CHAR(10),"")),""),"")</f>
        <v/>
      </c>
      <c r="BA39" s="3" t="str">
        <f t="shared" ref="BA39:BA42" si="73">IFERROR(IF(AH39&lt;&gt;"",_xlfn.CONCAT("Examined the following process during fieldwork:"&amp; CHAR(10),AH39&amp; CHAR(10)&amp; CHAR(10),IF(AND(Y39&lt;&gt;"5. Fully Compliant (100%)",AI39&lt;&gt;""),"Reviewed process exception note:"&amp; CHAR(10) &amp; AI39 &amp; CHAR(10) &amp; CHAR(10),"")),""),"")</f>
        <v/>
      </c>
      <c r="BB39" s="3" t="str">
        <f t="shared" ref="BB39:BB42" si="74">IF(AK39&lt;&gt;"",(_xlfn.CONCAT("Inquired of the following workforce member: "&amp; CHAR(10),AK39&amp; CHAR(10)&amp; CHAR(10),"Inquiry lead to the following conclusions: "&amp; CHAR(10),AL39&amp; CHAR(10) &amp; CHAR(10))),"")</f>
        <v xml:space="preserve">Inquired of the following workforce member: 
Matthew Macaluso - Director of System Operations
Roze Nicolas - Director of TechOps
Inquiry lead to the following conclusions: 
Microsoft Entra ID is used to control access to all appropriate program source code for the MERGE Marketing Solution
</v>
      </c>
      <c r="BC39" s="3" t="str">
        <f t="shared" ref="BC39:BC42" si="75">IF(AM39&lt;&gt;"",(_xlfn.CONCAT("Observed the following live during fieldwork: "&amp; CHAR(10),AM39&amp; CHAR(10) &amp; CHAR(10))),"")</f>
        <v xml:space="preserve">Observed the following live during fieldwork: 
Observed Microsoft Entra ID group memberships of users with access to program source code for the MERGE Marketing Solution
</v>
      </c>
      <c r="BD39" s="3" t="str">
        <f t="shared" ref="BD39:BD42" si="76">_xlfn.CONCAT("Examined the following evidence during fieldwork:"&amp; CHAR(10),AN39&amp; CHAR(10)&amp; CHAR(10),IF(AO39&lt;&gt;"","Reviewed evidence note:"&amp; CHAR(10)&amp;AO39&amp; CHAR(10) &amp; CHAR(10),"Reviewed evidence addressed the requirement statement."&amp; CHAR(10) &amp; CHAR(10)),IF(AND(AP39&lt;&gt;"5. Fully Compliant (100%)",AP39&lt;&gt;""),"Reviewed evidence exception note: "&amp; CHAR(10) &amp; AP39 &amp; CHAR(10) &amp; CHAR(10),""))</f>
        <v xml:space="preserve">Examined the following evidence during fieldwork:
Reviewed evidence addressed the requirement statement.
</v>
      </c>
      <c r="BE39" s="3" t="str">
        <f t="shared" ref="BE39:BE42" si="77">IF(AT39&lt;&gt;"",(_xlfn.CONCAT("Examined the following measure/metric during fieldwork:"&amp; CHAR(10),AT39&amp; CHAR(10)&amp; CHAR(10),"Reviewed measure/metric note:"&amp; CHAR(10),AU39 &amp; CHAR(10) &amp; CHAR(10))),"")</f>
        <v/>
      </c>
      <c r="BF39" s="3" t="str">
        <f t="shared" ref="BF39:BF42" si="78">IF(AV39&lt;&gt;"",(_xlfn.CONCAT("Examined the following measure/metric management during fieldwork:"&amp; CHAR(10),AV39&amp; CHAR(10)&amp; CHAR(10),"Reviewed measure/metric management note:"&amp; CHAR(10),AW39 &amp; CHAR(10) &amp; CHAR(10))),"")</f>
        <v/>
      </c>
      <c r="BG39" s="3" t="str">
        <f>_xlfn.CONCAT((IF((COUNTIF('Sample Tables'!B:B,"")&gt;0)=TRUE,_xlfn.CONCAT("",""),IF((COUNTIF('Sample Tables'!B:B,"")&gt;0)=FALSE,""))),)</f>
        <v/>
      </c>
      <c r="BH39" s="3" t="str">
        <f t="shared" ref="BH39:BH42" si="79">IF(V39="No","Not Applicable: "&amp;W39,(_xlfn.CONCAT(AX39,AY39,AZ39,BA39,BB39,BC39,BD39,BE39,BF39,BG39)))</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Microsoft Entra ID is used to control access to all appropriate program source code for the MERGE Marketing Solution
Observed the following live during fieldwork: 
Observed Microsoft Entra ID group memberships of users with access to program source code for the MERGE Marketing Solution
Examined the following evidence during fieldwork:
Reviewed evidence addressed the requirement statement.
</v>
      </c>
    </row>
    <row r="40" spans="3:60" ht="337.5" x14ac:dyDescent="0.35">
      <c r="C40" s="1">
        <f t="shared" si="70"/>
        <v>20</v>
      </c>
      <c r="D40" s="5" t="str">
        <f>IF(AND((_xlfn.XLOOKUP(J40,'Fields &amp; Revisions'!$H:$H,'Fields &amp; Revisions'!$I:$I))&lt;70.99,(OR(Z40="4. Mostly Compliant (75%)",Z40="3. Partially Compliant (50%)",Z40="2. Somewhat Compliant (25%)",Z40="1. Non Compliant (0%)"))),"Yes","No")</f>
        <v>Yes</v>
      </c>
      <c r="E40" s="5" t="str">
        <f>IF(ISERROR(VLOOKUP(H40,Scope!A:A,1,FALSE)),"No","Yes")</f>
        <v>Yes</v>
      </c>
      <c r="F40" s="1" t="s">
        <v>957</v>
      </c>
      <c r="G40" s="53" t="s">
        <v>1183</v>
      </c>
      <c r="H40" s="53" t="s">
        <v>1184</v>
      </c>
      <c r="I40" s="5">
        <v>1</v>
      </c>
      <c r="J40" s="1" t="s">
        <v>1049</v>
      </c>
      <c r="K40" s="1" t="s">
        <v>1185</v>
      </c>
      <c r="L40" s="1" t="s">
        <v>1186</v>
      </c>
      <c r="M40" s="1" t="s">
        <v>1187</v>
      </c>
      <c r="N40" s="5" t="s">
        <v>98</v>
      </c>
      <c r="O40" s="1" t="str">
        <f>_xlfn.XLOOKUP(G40,SRMs!$A:$A,SRMs!$D:$D)</f>
        <v>NO INHERITANCE</v>
      </c>
      <c r="P40" s="1" t="str">
        <f>IFERROR(VLOOKUP(H40,Inherited!A:B,2,FALSE),"")</f>
        <v/>
      </c>
      <c r="Q40" s="1" t="e">
        <f>IF(MATCH(H40,Inherited!A:A),IF((((_xlfn.XLOOKUP(Assessment!#REF!,Inherited!A:A,Inherited!B:B))/100)*(_xlfn.XLOOKUP(Assessment!#REF!,Inherited!A:A,Inherited!C:C)))+(((100-(_xlfn.XLOOKUP(Assessment!#REF!,Inherited!A:A,Inherited!B:B)))/100)*IF(X40="1.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(100%)","100"))))))&lt;=10,"0", IF(AND((((_xlfn.XLOOKUP(Assessment!#REF!,Inherited!A:A,Inherited!B:B))/100)*(_xlfn.XLOOKUP(Assessment!#REF!,Inherited!A:A,Inherited!C:C)))+(((100-(_xlfn.XLOOKUP(Assessment!#REF!,Inherited!A:A,Inherited!B:B)))/100)*IF(X40="1.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(100%)","100"))))))&gt;=11,(((_xlfn.XLOOKUP(Assessment!#REF!,Inherited!A:A,Inherited!B:B))/100)*(_xlfn.XLOOKUP(Assessment!#REF!,Inherited!A:A,Inherited!C:C)))+(((100-(_xlfn.XLOOKUP(Assessment!#REF!,Inherited!A:A,Inherited!B:B)))/100)*IF(X40="1.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(100%)","100"))))))&lt;=32),"25",IF(AND((((_xlfn.XLOOKUP(Assessment!#REF!,Inherited!A:A,Inherited!B:B))/100)*(_xlfn.XLOOKUP(Assessment!#REF!,Inherited!A:A,Inherited!C:C)))+(((100-(_xlfn.XLOOKUP(Assessment!#REF!,Inherited!A:A,Inherited!B:B)))/100)*IF(X40="1.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(100%)","100"))))))&gt;=33,(((_xlfn.XLOOKUP(Assessment!#REF!,Inherited!A:A,Inherited!B:B))/100)*(_xlfn.XLOOKUP(Assessment!#REF!,Inherited!A:A,Inherited!C:C)))+(((100-(_xlfn.XLOOKUP(Assessment!#REF!,Inherited!A:A,Inherited!B:B)))/100)*IF(X40="1.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(100%)","100"))))))&lt;=65),"50",IF(AND((((_xlfn.XLOOKUP(Assessment!#REF!,Inherited!A:A,Inherited!B:B))/100)*(_xlfn.XLOOKUP(Assessment!#REF!,Inherited!A:A,Inherited!C:C)))+(((100-(_xlfn.XLOOKUP(Assessment!#REF!,Inherited!A:A,Inherited!B:B)))/100)*IF(X40="1.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(100%)","100"))))))&gt;=66,(((_xlfn.XLOOKUP(Assessment!#REF!,Inherited!A:A,Inherited!B:B))/100)*(_xlfn.XLOOKUP(Assessment!#REF!,Inherited!A:A,Inherited!C:C)))+(((100-(_xlfn.XLOOKUP(Assessment!#REF!,Inherited!A:A,Inherited!B:B)))/100)*IF(X40="1.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(100%)","100"))))))&lt;=89),"75",IF((((_xlfn.XLOOKUP(Assessment!#REF!,Inherited!A:A,Inherited!B:B))/100)*(_xlfn.XLOOKUP(Assessment!#REF!,Inherited!A:A,Inherited!C:C)))+(((100-(_xlfn.XLOOKUP(Assessment!#REF!,Inherited!A:A,Inherited!B:B)))/100)*IF(X40="1. Non Compliant (0%)","0",IF(X40="2. Somewhat Compliant (25%)","25",IF(X40="3. Partially Compliant (50%)","50",IF(X40="4. Mostly Compliant (75%)","75",IF(X40="5. Fully Compliant (100%)","100"))))))&gt;=90,"100"))))))</f>
        <v>#N/A</v>
      </c>
      <c r="R40" s="1" t="e">
        <f>IF(MATCH(H40,Inherited!A:A),IF((((_xlfn.XLOOKUP(Assessment!#REF!,Inherited!A:A,Inherited!B:B))/100)*(_xlfn.XLOOKUP(Assessment!#REF!,Inherited!A:A,Inherited!D:D)))+(((100-(_xlfn.XLOOKUP(Assessment!#REF!,Inherited!A:A,Inherited!B:B)))/100)*IF(Y40="1.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(100%)","100"))))))&lt;=10,"0", IF(AND((((_xlfn.XLOOKUP(Assessment!#REF!,Inherited!A:A,Inherited!B:B))/100)*(_xlfn.XLOOKUP(Assessment!#REF!,Inherited!A:A,Inherited!D:D)))+(((100-(_xlfn.XLOOKUP(Assessment!#REF!,Inherited!A:A,Inherited!B:B)))/100)*IF(Y40="1.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(100%)","100"))))))&gt;=11,(((_xlfn.XLOOKUP(Assessment!#REF!,Inherited!A:A,Inherited!B:B))/100)*(_xlfn.XLOOKUP(Assessment!#REF!,Inherited!A:A,Inherited!D:D)))+(((100-(_xlfn.XLOOKUP(Assessment!#REF!,Inherited!A:A,Inherited!B:B)))/100)*IF(Y40="1.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(100%)","100"))))))&lt;=32),"25",IF(AND((((_xlfn.XLOOKUP(Assessment!#REF!,Inherited!A:A,Inherited!B:B))/100)*(_xlfn.XLOOKUP(Assessment!#REF!,Inherited!A:A,Inherited!D:D)))+(((100-(_xlfn.XLOOKUP(Assessment!#REF!,Inherited!A:A,Inherited!B:B)))/100)*IF(Y40="1.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(100%)","100"))))))&gt;=33,(((_xlfn.XLOOKUP(Assessment!#REF!,Inherited!A:A,Inherited!B:B))/100)*(_xlfn.XLOOKUP(Assessment!#REF!,Inherited!A:A,Inherited!D:D)))+(((100-(_xlfn.XLOOKUP(Assessment!#REF!,Inherited!A:A,Inherited!B:B)))/100)*IF(Y40="1.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(100%)","100"))))))&lt;=65),"50",IF(AND((((_xlfn.XLOOKUP(Assessment!#REF!,Inherited!A:A,Inherited!B:B))/100)*(_xlfn.XLOOKUP(Assessment!#REF!,Inherited!A:A,Inherited!D:D)))+(((100-(_xlfn.XLOOKUP(Assessment!#REF!,Inherited!A:A,Inherited!B:B)))/100)*IF(Y40="1.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(100%)","100"))))))&gt;=66,(((_xlfn.XLOOKUP(Assessment!#REF!,Inherited!A:A,Inherited!B:B))/100)*(_xlfn.XLOOKUP(Assessment!#REF!,Inherited!A:A,Inherited!D:D)))+(((100-(_xlfn.XLOOKUP(Assessment!#REF!,Inherited!A:A,Inherited!B:B)))/100)*IF(Y40="1.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(100%)","100"))))))&lt;=89),"75",IF((((_xlfn.XLOOKUP(Assessment!#REF!,Inherited!A:A,Inherited!B:B))/100)*(_xlfn.XLOOKUP(Assessment!#REF!,Inherited!A:A,Inherited!D:D)))+(((100-(_xlfn.XLOOKUP(Assessment!#REF!,Inherited!A:A,Inherited!B:B)))/100)*IF(Y40="1. Non Compliant (0%)","0",IF(Y40="2. Somewhat Compliant (25%)","25",IF(Y40="3. Partially Compliant (50%)","50",IF(Y40="4. Mostly Compliant (75%)","75",IF(Y40="5. Fully Compliant (100%)","100"))))))&gt;=90,"100"))))))</f>
        <v>#N/A</v>
      </c>
      <c r="S40" s="1" t="e">
        <f>IF(MATCH(H40,Inherited!A:A),IF((((_xlfn.XLOOKUP(Assessment!#REF!,Inherited!A:A,Inherited!B:B))/100)*(_xlfn.XLOOKUP(Assessment!#REF!,Inherited!A:A,Inherited!E:E)))+(((100-(_xlfn.XLOOKUP(Assessment!#REF!,Inherited!A:A,Inherited!B:B)))/100)*IF(Z40="1.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(100%)","100"))))))&lt;=10,"0", IF(AND((((_xlfn.XLOOKUP(Assessment!#REF!,Inherited!A:A,Inherited!B:B))/100)*(_xlfn.XLOOKUP(Assessment!#REF!,Inherited!A:A,Inherited!E:E)))+(((100-(_xlfn.XLOOKUP(Assessment!#REF!,Inherited!A:A,Inherited!B:B)))/100)*IF(Z40="1.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(100%)","100"))))))&gt;=11,(((_xlfn.XLOOKUP(Assessment!#REF!,Inherited!A:A,Inherited!B:B))/100)*(_xlfn.XLOOKUP(Assessment!#REF!,Inherited!A:A,Inherited!E:E)))+(((100-(_xlfn.XLOOKUP(Assessment!#REF!,Inherited!A:A,Inherited!B:B)))/100)*IF(Z40="1.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(100%)","100"))))))&lt;=32),"25",IF(AND((((_xlfn.XLOOKUP(Assessment!#REF!,Inherited!A:A,Inherited!B:B))/100)*(_xlfn.XLOOKUP(Assessment!#REF!,Inherited!A:A,Inherited!E:E)))+(((100-(_xlfn.XLOOKUP(Assessment!#REF!,Inherited!A:A,Inherited!B:B)))/100)*IF(Z40="1.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(100%)","100"))))))&gt;=33,(((_xlfn.XLOOKUP(Assessment!#REF!,Inherited!A:A,Inherited!B:B))/100)*(_xlfn.XLOOKUP(Assessment!#REF!,Inherited!A:A,Inherited!E:E)))+(((100-(_xlfn.XLOOKUP(Assessment!#REF!,Inherited!A:A,Inherited!B:B)))/100)*IF(Z40="1.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(100%)","100"))))))&lt;=65),"50",IF(AND((((_xlfn.XLOOKUP(Assessment!#REF!,Inherited!A:A,Inherited!B:B))/100)*(_xlfn.XLOOKUP(Assessment!#REF!,Inherited!A:A,Inherited!E:E)))+(((100-(_xlfn.XLOOKUP(Assessment!#REF!,Inherited!A:A,Inherited!B:B)))/100)*IF(Z40="1.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(100%)","100"))))))&gt;=66,(((_xlfn.XLOOKUP(Assessment!#REF!,Inherited!A:A,Inherited!B:B))/100)*(_xlfn.XLOOKUP(Assessment!#REF!,Inherited!A:A,Inherited!E:E)))+(((100-(_xlfn.XLOOKUP(Assessment!#REF!,Inherited!A:A,Inherited!B:B)))/100)*IF(Z40="1.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(100%)","100"))))))&lt;=89),"75",IF((((_xlfn.XLOOKUP(Assessment!#REF!,Inherited!A:A,Inherited!B:B))/100)*(_xlfn.XLOOKUP(Assessment!#REF!,Inherited!A:A,Inherited!E:E)))+(((100-(_xlfn.XLOOKUP(Assessment!#REF!,Inherited!A:A,Inherited!B:B)))/100)*IF(Z40="1. Non Compliant (0%)","0",IF(Z40="2. Somewhat Compliant (25%)","25",IF(Z40="3. Partially Compliant (50%)","50",IF(Z40="4. Mostly Compliant (75%)","75",IF(Z40="5. Fully Compliant (100%)","100"))))))&gt;=90,"100"))))))</f>
        <v>#N/A</v>
      </c>
      <c r="T40" s="1" t="e">
        <f>IF(MATCH(H40,Inherited!A:A),IF((((_xlfn.XLOOKUP(Assessment!#REF!,Inherited!A:A,Inherited!B:B))/100)*(_xlfn.XLOOKUP(Assessment!#REF!,Inherited!A:A,Inherited!F:F)))+(((100-(_xlfn.XLOOKUP(Assessment!#REF!,Inherited!A:A,Inherited!B:B)))/100)*IF(AA40="1.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(100%)","100"))))))&lt;=10,"0", IF(AND((((_xlfn.XLOOKUP(Assessment!#REF!,Inherited!A:A,Inherited!B:B))/100)*(_xlfn.XLOOKUP(Assessment!#REF!,Inherited!A:A,Inherited!F:F)))+(((100-(_xlfn.XLOOKUP(Assessment!#REF!,Inherited!A:A,Inherited!B:B)))/100)*IF(AA40="1.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(100%)","100"))))))&gt;=11,(((_xlfn.XLOOKUP(Assessment!#REF!,Inherited!A:A,Inherited!B:B))/100)*(_xlfn.XLOOKUP(Assessment!#REF!,Inherited!A:A,Inherited!F:F)))+(((100-(_xlfn.XLOOKUP(Assessment!#REF!,Inherited!A:A,Inherited!B:B)))/100)*IF(AA40="1.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(100%)","100"))))))&lt;=32),"25",IF(AND((((_xlfn.XLOOKUP(Assessment!#REF!,Inherited!A:A,Inherited!B:B))/100)*(_xlfn.XLOOKUP(Assessment!#REF!,Inherited!A:A,Inherited!F:F)))+(((100-(_xlfn.XLOOKUP(Assessment!#REF!,Inherited!A:A,Inherited!B:B)))/100)*IF(AA40="1.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(100%)","100"))))))&gt;=33,(((_xlfn.XLOOKUP(Assessment!#REF!,Inherited!A:A,Inherited!B:B))/100)*(_xlfn.XLOOKUP(Assessment!#REF!,Inherited!A:A,Inherited!F:F)))+(((100-(_xlfn.XLOOKUP(Assessment!#REF!,Inherited!A:A,Inherited!B:B)))/100)*IF(AA40="1.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(100%)","100"))))))&lt;=65),"50",IF(AND((((_xlfn.XLOOKUP(Assessment!#REF!,Inherited!A:A,Inherited!B:B))/100)*(_xlfn.XLOOKUP(Assessment!#REF!,Inherited!A:A,Inherited!F:F)))+(((100-(_xlfn.XLOOKUP(Assessment!#REF!,Inherited!A:A,Inherited!B:B)))/100)*IF(AA40="1.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(100%)","100"))))))&gt;=66,(((_xlfn.XLOOKUP(Assessment!#REF!,Inherited!A:A,Inherited!B:B))/100)*(_xlfn.XLOOKUP(Assessment!#REF!,Inherited!A:A,Inherited!F:F)))+(((100-(_xlfn.XLOOKUP(Assessment!#REF!,Inherited!A:A,Inherited!B:B)))/100)*IF(AA40="1.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(100%)","100"))))))&lt;=89),"75",IF((((_xlfn.XLOOKUP(Assessment!#REF!,Inherited!A:A,Inherited!B:B))/100)*(_xlfn.XLOOKUP(Assessment!#REF!,Inherited!A:A,Inherited!F:F)))+(((100-(_xlfn.XLOOKUP(Assessment!#REF!,Inherited!A:A,Inherited!B:B)))/100)*IF(AA40="1. Non Compliant (0%)","0",IF(AA40="2. Somewhat Compliant (25%)","25",IF(AA40="3. Partially Compliant (50%)","50",IF(AA40="4. Mostly Compliant (75%)","75",IF(AA40="5. Fully Compliant (100%)","100"))))))&gt;=90,"100"))))))</f>
        <v>#N/A</v>
      </c>
      <c r="U40" s="1" t="e">
        <f>IF(MATCH(H40,Inherited!A:A),IF((((_xlfn.XLOOKUP(Assessment!#REF!,Inherited!A:A,Inherited!B:B))/100)*(_xlfn.XLOOKUP(Assessment!#REF!,Inherited!A:A,Inherited!G:G)))+(((100-(_xlfn.XLOOKUP(Assessment!#REF!,Inherited!A:A,Inherited!B:B)))/100)*IF(AB40="1.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(100%)","100"))))))&lt;=10,"0", IF(AND((((_xlfn.XLOOKUP(Assessment!#REF!,Inherited!A:A,Inherited!B:B))/100)*(_xlfn.XLOOKUP(Assessment!#REF!,Inherited!A:A,Inherited!G:G)))+(((100-(_xlfn.XLOOKUP(Assessment!#REF!,Inherited!A:A,Inherited!B:B)))/100)*IF(AB40="1.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(100%)","100"))))))&gt;=11,(((_xlfn.XLOOKUP(Assessment!#REF!,Inherited!A:A,Inherited!B:B))/100)*(_xlfn.XLOOKUP(Assessment!#REF!,Inherited!A:A,Inherited!G:G)))+(((100-(_xlfn.XLOOKUP(Assessment!#REF!,Inherited!A:A,Inherited!B:B)))/100)*IF(AB40="1.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(100%)","100"))))))&lt;=32),"25",IF(AND((((_xlfn.XLOOKUP(Assessment!#REF!,Inherited!A:A,Inherited!B:B))/100)*(_xlfn.XLOOKUP(Assessment!#REF!,Inherited!A:A,Inherited!G:G)))+(((100-(_xlfn.XLOOKUP(Assessment!#REF!,Inherited!A:A,Inherited!B:B)))/100)*IF(AB40="1.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(100%)","100"))))))&gt;=33,(((_xlfn.XLOOKUP(Assessment!#REF!,Inherited!A:A,Inherited!B:B))/100)*(_xlfn.XLOOKUP(Assessment!#REF!,Inherited!A:A,Inherited!G:G)))+(((100-(_xlfn.XLOOKUP(Assessment!#REF!,Inherited!A:A,Inherited!B:B)))/100)*IF(AB40="1.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(100%)","100"))))))&lt;=65),"50",IF(AND((((_xlfn.XLOOKUP(Assessment!#REF!,Inherited!A:A,Inherited!B:B))/100)*(_xlfn.XLOOKUP(Assessment!#REF!,Inherited!A:A,Inherited!G:G)))+(((100-(_xlfn.XLOOKUP(Assessment!#REF!,Inherited!A:A,Inherited!B:B)))/100)*IF(AB40="1.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(100%)","100"))))))&gt;=66,(((_xlfn.XLOOKUP(Assessment!#REF!,Inherited!A:A,Inherited!B:B))/100)*(_xlfn.XLOOKUP(Assessment!#REF!,Inherited!A:A,Inherited!G:G)))+(((100-(_xlfn.XLOOKUP(Assessment!#REF!,Inherited!A:A,Inherited!B:B)))/100)*IF(AB40="1.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(100%)","100"))))))&lt;=89),"75",IF((((_xlfn.XLOOKUP(Assessment!#REF!,Inherited!A:A,Inherited!B:B))/100)*(_xlfn.XLOOKUP(Assessment!#REF!,Inherited!A:A,Inherited!G:G)))+(((100-(_xlfn.XLOOKUP(Assessment!#REF!,Inherited!A:A,Inherited!B:B)))/100)*IF(AB40="1. Non Compliant (0%)","0",IF(AB40="2. Somewhat Compliant (25%)","25",IF(AB40="3. Partially Compliant (50%)","50",IF(AB40="4. Mostly Compliant (75%)","75",IF(AB40="5. Fully Compliant (100%)","100"))))))&gt;=90,"100"))))))</f>
        <v>#N/A</v>
      </c>
      <c r="V40" s="55" t="s">
        <v>85</v>
      </c>
      <c r="W40" s="55"/>
      <c r="X40" s="55"/>
      <c r="Y40" s="55"/>
      <c r="Z40" s="55" t="s">
        <v>88</v>
      </c>
      <c r="AA40" s="55"/>
      <c r="AB40" s="55"/>
      <c r="AN40" s="1" t="s">
        <v>11156</v>
      </c>
      <c r="AO40" s="1" t="s">
        <v>11163</v>
      </c>
      <c r="AP40" s="1" t="s">
        <v>11158</v>
      </c>
      <c r="AX40" s="3" t="str">
        <f>_xlfn.CONCAT("A-LIGN finished its review of this control on ",AR40, " during the scheduled fieldwork window (",Intro!$B$4,")."&amp; CHAR(10)&amp; CHAR(10))</f>
        <v xml:space="preserve">A-LIGN finished its review of this control on  during the scheduled fieldwork window (Fieldwork: xx/xx/xxxx - xx/xx/xxxx).
</v>
      </c>
      <c r="AY40" s="3" t="str">
        <f t="shared" si="71"/>
        <v/>
      </c>
      <c r="AZ40" s="3" t="str">
        <f t="shared" si="72"/>
        <v/>
      </c>
      <c r="BA40" s="3" t="str">
        <f t="shared" si="73"/>
        <v/>
      </c>
      <c r="BB40" s="3" t="str">
        <f t="shared" si="74"/>
        <v/>
      </c>
      <c r="BC40" s="3" t="str">
        <f t="shared" si="75"/>
        <v/>
      </c>
      <c r="BD40" s="3" t="str">
        <f t="shared" si="76"/>
        <v xml:space="preserve">Examined the following evidence during fieldwork:
0636.10k1Organizational.3 MRG-018-Change Management.docx
Reviewed evidence note:
A-LIGN reviewed the MERGE Configuration management Policy/procedure and determined that a purpose, scope, and roles and responsibilities are included.
Reviewed evidence exception note: 
Gap: Policy does not include 
- defines management's commitment to program
- defines enterprise coordination
- defines compliance requirements
Recommendation: Management should ensure that the policies and procedures for configuration management address all the components outlined within the requirement statement.
</v>
      </c>
      <c r="BE40" s="3" t="str">
        <f t="shared" si="77"/>
        <v/>
      </c>
      <c r="BF40" s="3" t="str">
        <f t="shared" si="78"/>
        <v/>
      </c>
      <c r="BG40" s="3" t="str">
        <f>_xlfn.CONCAT((IF((COUNTIF('Sample Tables'!B:B,"")&gt;0)=TRUE,_xlfn.CONCAT("",""),IF((COUNTIF('Sample Tables'!B:B,"")&gt;0)=FALSE,""))),)</f>
        <v/>
      </c>
      <c r="BH40" s="3" t="str">
        <f t="shared" si="79"/>
        <v xml:space="preserve">A-LIGN finished its review of this control on  during the scheduled fieldwork window (Fieldwork: xx/xx/xxxx - xx/xx/xxxx).
Examined the following evidence during fieldwork:
0636.10k1Organizational.3 MRG-018-Change Management.docx
Reviewed evidence note:
A-LIGN reviewed the MERGE Configuration management Policy/procedure and determined that a purpose, scope, and roles and responsibilities are included.
Reviewed evidence exception note: 
Gap: Policy does not include 
- defines management's commitment to program
- defines enterprise coordination
- defines compliance requirements
Recommendation: Management should ensure that the policies and procedures for configuration management address all the components outlined within the requirement statement.
</v>
      </c>
    </row>
    <row r="41" spans="3:60" ht="409.5" x14ac:dyDescent="0.35">
      <c r="C41" s="1">
        <f t="shared" si="70"/>
        <v>40</v>
      </c>
      <c r="D41" s="5" t="str">
        <f>IF(AND((_xlfn.XLOOKUP(J41,'Fields &amp; Revisions'!$H:$H,'Fields &amp; Revisions'!$I:$I))&lt;70.99,(OR(Z41="4. Mostly Compliant (75%)",Z41="3. Partially Compliant (50%)",Z41="2. Somewhat Compliant (25%)",Z41="1. Non Compliant (0%)"))),"Yes","No")</f>
        <v>No</v>
      </c>
      <c r="E41" s="5" t="str">
        <f>IF(ISERROR(VLOOKUP(H41,Scope!A:A,1,FALSE)),"No","Yes")</f>
        <v>Yes</v>
      </c>
      <c r="F41" s="1" t="s">
        <v>957</v>
      </c>
      <c r="G41" s="53" t="s">
        <v>1247</v>
      </c>
      <c r="H41" s="53" t="s">
        <v>1248</v>
      </c>
      <c r="I41" s="5">
        <v>1</v>
      </c>
      <c r="J41" s="1" t="s">
        <v>1012</v>
      </c>
      <c r="K41" s="1" t="s">
        <v>1249</v>
      </c>
      <c r="L41" s="1" t="s">
        <v>1250</v>
      </c>
      <c r="M41" s="1" t="s">
        <v>1251</v>
      </c>
      <c r="N41" s="5" t="s">
        <v>98</v>
      </c>
      <c r="O41" s="1" t="str">
        <f>_xlfn.XLOOKUP(G41,SRMs!$A:$A,SRMs!$D:$D)</f>
        <v>PARTIAL INHERITANCE</v>
      </c>
      <c r="P41" s="1" t="str">
        <f>IFERROR(VLOOKUP(H41,Inherited!A:B,2,FALSE),"")</f>
        <v/>
      </c>
      <c r="Q41" s="1" t="e">
        <f>IF(MATCH(H41,Inherited!A:A),IF((((_xlfn.XLOOKUP(Assessment!#REF!,Inherited!A:A,Inherited!B:B))/100)*(_xlfn.XLOOKUP(Assessment!#REF!,Inherited!A:A,Inherited!C:C)))+(((100-(_xlfn.XLOOKUP(Assessment!#REF!,Inherited!A:A,Inherited!B:B)))/100)*IF(X41="1.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(100%)","100"))))))&lt;=10,"0", IF(AND((((_xlfn.XLOOKUP(Assessment!#REF!,Inherited!A:A,Inherited!B:B))/100)*(_xlfn.XLOOKUP(Assessment!#REF!,Inherited!A:A,Inherited!C:C)))+(((100-(_xlfn.XLOOKUP(Assessment!#REF!,Inherited!A:A,Inherited!B:B)))/100)*IF(X41="1.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(100%)","100"))))))&gt;=11,(((_xlfn.XLOOKUP(Assessment!#REF!,Inherited!A:A,Inherited!B:B))/100)*(_xlfn.XLOOKUP(Assessment!#REF!,Inherited!A:A,Inherited!C:C)))+(((100-(_xlfn.XLOOKUP(Assessment!#REF!,Inherited!A:A,Inherited!B:B)))/100)*IF(X41="1.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(100%)","100"))))))&lt;=32),"25",IF(AND((((_xlfn.XLOOKUP(Assessment!#REF!,Inherited!A:A,Inherited!B:B))/100)*(_xlfn.XLOOKUP(Assessment!#REF!,Inherited!A:A,Inherited!C:C)))+(((100-(_xlfn.XLOOKUP(Assessment!#REF!,Inherited!A:A,Inherited!B:B)))/100)*IF(X41="1.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(100%)","100"))))))&gt;=33,(((_xlfn.XLOOKUP(Assessment!#REF!,Inherited!A:A,Inherited!B:B))/100)*(_xlfn.XLOOKUP(Assessment!#REF!,Inherited!A:A,Inherited!C:C)))+(((100-(_xlfn.XLOOKUP(Assessment!#REF!,Inherited!A:A,Inherited!B:B)))/100)*IF(X41="1.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(100%)","100"))))))&lt;=65),"50",IF(AND((((_xlfn.XLOOKUP(Assessment!#REF!,Inherited!A:A,Inherited!B:B))/100)*(_xlfn.XLOOKUP(Assessment!#REF!,Inherited!A:A,Inherited!C:C)))+(((100-(_xlfn.XLOOKUP(Assessment!#REF!,Inherited!A:A,Inherited!B:B)))/100)*IF(X41="1.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(100%)","100"))))))&gt;=66,(((_xlfn.XLOOKUP(Assessment!#REF!,Inherited!A:A,Inherited!B:B))/100)*(_xlfn.XLOOKUP(Assessment!#REF!,Inherited!A:A,Inherited!C:C)))+(((100-(_xlfn.XLOOKUP(Assessment!#REF!,Inherited!A:A,Inherited!B:B)))/100)*IF(X41="1.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(100%)","100"))))))&lt;=89),"75",IF((((_xlfn.XLOOKUP(Assessment!#REF!,Inherited!A:A,Inherited!B:B))/100)*(_xlfn.XLOOKUP(Assessment!#REF!,Inherited!A:A,Inherited!C:C)))+(((100-(_xlfn.XLOOKUP(Assessment!#REF!,Inherited!A:A,Inherited!B:B)))/100)*IF(X41="1. Non Compliant (0%)","0",IF(X41="2. Somewhat Compliant (25%)","25",IF(X41="3. Partially Compliant (50%)","50",IF(X41="4. Mostly Compliant (75%)","75",IF(X41="5. Fully Compliant (100%)","100"))))))&gt;=90,"100"))))))</f>
        <v>#N/A</v>
      </c>
      <c r="R41" s="1" t="e">
        <f>IF(MATCH(H41,Inherited!A:A),IF((((_xlfn.XLOOKUP(Assessment!#REF!,Inherited!A:A,Inherited!B:B))/100)*(_xlfn.XLOOKUP(Assessment!#REF!,Inherited!A:A,Inherited!D:D)))+(((100-(_xlfn.XLOOKUP(Assessment!#REF!,Inherited!A:A,Inherited!B:B)))/100)*IF(Y41="1.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(100%)","100"))))))&lt;=10,"0", IF(AND((((_xlfn.XLOOKUP(Assessment!#REF!,Inherited!A:A,Inherited!B:B))/100)*(_xlfn.XLOOKUP(Assessment!#REF!,Inherited!A:A,Inherited!D:D)))+(((100-(_xlfn.XLOOKUP(Assessment!#REF!,Inherited!A:A,Inherited!B:B)))/100)*IF(Y41="1.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(100%)","100"))))))&gt;=11,(((_xlfn.XLOOKUP(Assessment!#REF!,Inherited!A:A,Inherited!B:B))/100)*(_xlfn.XLOOKUP(Assessment!#REF!,Inherited!A:A,Inherited!D:D)))+(((100-(_xlfn.XLOOKUP(Assessment!#REF!,Inherited!A:A,Inherited!B:B)))/100)*IF(Y41="1.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(100%)","100"))))))&lt;=32),"25",IF(AND((((_xlfn.XLOOKUP(Assessment!#REF!,Inherited!A:A,Inherited!B:B))/100)*(_xlfn.XLOOKUP(Assessment!#REF!,Inherited!A:A,Inherited!D:D)))+(((100-(_xlfn.XLOOKUP(Assessment!#REF!,Inherited!A:A,Inherited!B:B)))/100)*IF(Y41="1.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(100%)","100"))))))&gt;=33,(((_xlfn.XLOOKUP(Assessment!#REF!,Inherited!A:A,Inherited!B:B))/100)*(_xlfn.XLOOKUP(Assessment!#REF!,Inherited!A:A,Inherited!D:D)))+(((100-(_xlfn.XLOOKUP(Assessment!#REF!,Inherited!A:A,Inherited!B:B)))/100)*IF(Y41="1.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(100%)","100"))))))&lt;=65),"50",IF(AND((((_xlfn.XLOOKUP(Assessment!#REF!,Inherited!A:A,Inherited!B:B))/100)*(_xlfn.XLOOKUP(Assessment!#REF!,Inherited!A:A,Inherited!D:D)))+(((100-(_xlfn.XLOOKUP(Assessment!#REF!,Inherited!A:A,Inherited!B:B)))/100)*IF(Y41="1.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(100%)","100"))))))&gt;=66,(((_xlfn.XLOOKUP(Assessment!#REF!,Inherited!A:A,Inherited!B:B))/100)*(_xlfn.XLOOKUP(Assessment!#REF!,Inherited!A:A,Inherited!D:D)))+(((100-(_xlfn.XLOOKUP(Assessment!#REF!,Inherited!A:A,Inherited!B:B)))/100)*IF(Y41="1.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(100%)","100"))))))&lt;=89),"75",IF((((_xlfn.XLOOKUP(Assessment!#REF!,Inherited!A:A,Inherited!B:B))/100)*(_xlfn.XLOOKUP(Assessment!#REF!,Inherited!A:A,Inherited!D:D)))+(((100-(_xlfn.XLOOKUP(Assessment!#REF!,Inherited!A:A,Inherited!B:B)))/100)*IF(Y41="1. Non Compliant (0%)","0",IF(Y41="2. Somewhat Compliant (25%)","25",IF(Y41="3. Partially Compliant (50%)","50",IF(Y41="4. Mostly Compliant (75%)","75",IF(Y41="5. Fully Compliant (100%)","100"))))))&gt;=90,"100"))))))</f>
        <v>#N/A</v>
      </c>
      <c r="S41" s="1" t="e">
        <f>IF(MATCH(H41,Inherited!A:A),IF((((_xlfn.XLOOKUP(Assessment!#REF!,Inherited!A:A,Inherited!B:B))/100)*(_xlfn.XLOOKUP(Assessment!#REF!,Inherited!A:A,Inherited!E:E)))+(((100-(_xlfn.XLOOKUP(Assessment!#REF!,Inherited!A:A,Inherited!B:B)))/100)*IF(Z41="1.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(100%)","100"))))))&lt;=10,"0", IF(AND((((_xlfn.XLOOKUP(Assessment!#REF!,Inherited!A:A,Inherited!B:B))/100)*(_xlfn.XLOOKUP(Assessment!#REF!,Inherited!A:A,Inherited!E:E)))+(((100-(_xlfn.XLOOKUP(Assessment!#REF!,Inherited!A:A,Inherited!B:B)))/100)*IF(Z41="1.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(100%)","100"))))))&gt;=11,(((_xlfn.XLOOKUP(Assessment!#REF!,Inherited!A:A,Inherited!B:B))/100)*(_xlfn.XLOOKUP(Assessment!#REF!,Inherited!A:A,Inherited!E:E)))+(((100-(_xlfn.XLOOKUP(Assessment!#REF!,Inherited!A:A,Inherited!B:B)))/100)*IF(Z41="1.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(100%)","100"))))))&lt;=32),"25",IF(AND((((_xlfn.XLOOKUP(Assessment!#REF!,Inherited!A:A,Inherited!B:B))/100)*(_xlfn.XLOOKUP(Assessment!#REF!,Inherited!A:A,Inherited!E:E)))+(((100-(_xlfn.XLOOKUP(Assessment!#REF!,Inherited!A:A,Inherited!B:B)))/100)*IF(Z41="1.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(100%)","100"))))))&gt;=33,(((_xlfn.XLOOKUP(Assessment!#REF!,Inherited!A:A,Inherited!B:B))/100)*(_xlfn.XLOOKUP(Assessment!#REF!,Inherited!A:A,Inherited!E:E)))+(((100-(_xlfn.XLOOKUP(Assessment!#REF!,Inherited!A:A,Inherited!B:B)))/100)*IF(Z41="1.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(100%)","100"))))))&lt;=65),"50",IF(AND((((_xlfn.XLOOKUP(Assessment!#REF!,Inherited!A:A,Inherited!B:B))/100)*(_xlfn.XLOOKUP(Assessment!#REF!,Inherited!A:A,Inherited!E:E)))+(((100-(_xlfn.XLOOKUP(Assessment!#REF!,Inherited!A:A,Inherited!B:B)))/100)*IF(Z41="1.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(100%)","100"))))))&gt;=66,(((_xlfn.XLOOKUP(Assessment!#REF!,Inherited!A:A,Inherited!B:B))/100)*(_xlfn.XLOOKUP(Assessment!#REF!,Inherited!A:A,Inherited!E:E)))+(((100-(_xlfn.XLOOKUP(Assessment!#REF!,Inherited!A:A,Inherited!B:B)))/100)*IF(Z41="1.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(100%)","100"))))))&lt;=89),"75",IF((((_xlfn.XLOOKUP(Assessment!#REF!,Inherited!A:A,Inherited!B:B))/100)*(_xlfn.XLOOKUP(Assessment!#REF!,Inherited!A:A,Inherited!E:E)))+(((100-(_xlfn.XLOOKUP(Assessment!#REF!,Inherited!A:A,Inherited!B:B)))/100)*IF(Z41="1. Non Compliant (0%)","0",IF(Z41="2. Somewhat Compliant (25%)","25",IF(Z41="3. Partially Compliant (50%)","50",IF(Z41="4. Mostly Compliant (75%)","75",IF(Z41="5. Fully Compliant (100%)","100"))))))&gt;=90,"100"))))))</f>
        <v>#N/A</v>
      </c>
      <c r="T41" s="1" t="e">
        <f>IF(MATCH(H41,Inherited!A:A),IF((((_xlfn.XLOOKUP(Assessment!#REF!,Inherited!A:A,Inherited!B:B))/100)*(_xlfn.XLOOKUP(Assessment!#REF!,Inherited!A:A,Inherited!F:F)))+(((100-(_xlfn.XLOOKUP(Assessment!#REF!,Inherited!A:A,Inherited!B:B)))/100)*IF(AA41="1.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(100%)","100"))))))&lt;=10,"0", IF(AND((((_xlfn.XLOOKUP(Assessment!#REF!,Inherited!A:A,Inherited!B:B))/100)*(_xlfn.XLOOKUP(Assessment!#REF!,Inherited!A:A,Inherited!F:F)))+(((100-(_xlfn.XLOOKUP(Assessment!#REF!,Inherited!A:A,Inherited!B:B)))/100)*IF(AA41="1.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(100%)","100"))))))&gt;=11,(((_xlfn.XLOOKUP(Assessment!#REF!,Inherited!A:A,Inherited!B:B))/100)*(_xlfn.XLOOKUP(Assessment!#REF!,Inherited!A:A,Inherited!F:F)))+(((100-(_xlfn.XLOOKUP(Assessment!#REF!,Inherited!A:A,Inherited!B:B)))/100)*IF(AA41="1.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(100%)","100"))))))&lt;=32),"25",IF(AND((((_xlfn.XLOOKUP(Assessment!#REF!,Inherited!A:A,Inherited!B:B))/100)*(_xlfn.XLOOKUP(Assessment!#REF!,Inherited!A:A,Inherited!F:F)))+(((100-(_xlfn.XLOOKUP(Assessment!#REF!,Inherited!A:A,Inherited!B:B)))/100)*IF(AA41="1.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(100%)","100"))))))&gt;=33,(((_xlfn.XLOOKUP(Assessment!#REF!,Inherited!A:A,Inherited!B:B))/100)*(_xlfn.XLOOKUP(Assessment!#REF!,Inherited!A:A,Inherited!F:F)))+(((100-(_xlfn.XLOOKUP(Assessment!#REF!,Inherited!A:A,Inherited!B:B)))/100)*IF(AA41="1.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(100%)","100"))))))&lt;=65),"50",IF(AND((((_xlfn.XLOOKUP(Assessment!#REF!,Inherited!A:A,Inherited!B:B))/100)*(_xlfn.XLOOKUP(Assessment!#REF!,Inherited!A:A,Inherited!F:F)))+(((100-(_xlfn.XLOOKUP(Assessment!#REF!,Inherited!A:A,Inherited!B:B)))/100)*IF(AA41="1.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(100%)","100"))))))&gt;=66,(((_xlfn.XLOOKUP(Assessment!#REF!,Inherited!A:A,Inherited!B:B))/100)*(_xlfn.XLOOKUP(Assessment!#REF!,Inherited!A:A,Inherited!F:F)))+(((100-(_xlfn.XLOOKUP(Assessment!#REF!,Inherited!A:A,Inherited!B:B)))/100)*IF(AA41="1.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(100%)","100"))))))&lt;=89),"75",IF((((_xlfn.XLOOKUP(Assessment!#REF!,Inherited!A:A,Inherited!B:B))/100)*(_xlfn.XLOOKUP(Assessment!#REF!,Inherited!A:A,Inherited!F:F)))+(((100-(_xlfn.XLOOKUP(Assessment!#REF!,Inherited!A:A,Inherited!B:B)))/100)*IF(AA41="1. Non Compliant (0%)","0",IF(AA41="2. Somewhat Compliant (25%)","25",IF(AA41="3. Partially Compliant (50%)","50",IF(AA41="4. Mostly Compliant (75%)","75",IF(AA41="5. Fully Compliant (100%)","100"))))))&gt;=90,"100"))))))</f>
        <v>#N/A</v>
      </c>
      <c r="U41" s="1" t="e">
        <f>IF(MATCH(H41,Inherited!A:A),IF((((_xlfn.XLOOKUP(Assessment!#REF!,Inherited!A:A,Inherited!B:B))/100)*(_xlfn.XLOOKUP(Assessment!#REF!,Inherited!A:A,Inherited!G:G)))+(((100-(_xlfn.XLOOKUP(Assessment!#REF!,Inherited!A:A,Inherited!B:B)))/100)*IF(AB41="1.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(100%)","100"))))))&lt;=10,"0", IF(AND((((_xlfn.XLOOKUP(Assessment!#REF!,Inherited!A:A,Inherited!B:B))/100)*(_xlfn.XLOOKUP(Assessment!#REF!,Inherited!A:A,Inherited!G:G)))+(((100-(_xlfn.XLOOKUP(Assessment!#REF!,Inherited!A:A,Inherited!B:B)))/100)*IF(AB41="1.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(100%)","100"))))))&gt;=11,(((_xlfn.XLOOKUP(Assessment!#REF!,Inherited!A:A,Inherited!B:B))/100)*(_xlfn.XLOOKUP(Assessment!#REF!,Inherited!A:A,Inherited!G:G)))+(((100-(_xlfn.XLOOKUP(Assessment!#REF!,Inherited!A:A,Inherited!B:B)))/100)*IF(AB41="1.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(100%)","100"))))))&lt;=32),"25",IF(AND((((_xlfn.XLOOKUP(Assessment!#REF!,Inherited!A:A,Inherited!B:B))/100)*(_xlfn.XLOOKUP(Assessment!#REF!,Inherited!A:A,Inherited!G:G)))+(((100-(_xlfn.XLOOKUP(Assessment!#REF!,Inherited!A:A,Inherited!B:B)))/100)*IF(AB41="1.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(100%)","100"))))))&gt;=33,(((_xlfn.XLOOKUP(Assessment!#REF!,Inherited!A:A,Inherited!B:B))/100)*(_xlfn.XLOOKUP(Assessment!#REF!,Inherited!A:A,Inherited!G:G)))+(((100-(_xlfn.XLOOKUP(Assessment!#REF!,Inherited!A:A,Inherited!B:B)))/100)*IF(AB41="1.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(100%)","100"))))))&lt;=65),"50",IF(AND((((_xlfn.XLOOKUP(Assessment!#REF!,Inherited!A:A,Inherited!B:B))/100)*(_xlfn.XLOOKUP(Assessment!#REF!,Inherited!A:A,Inherited!G:G)))+(((100-(_xlfn.XLOOKUP(Assessment!#REF!,Inherited!A:A,Inherited!B:B)))/100)*IF(AB41="1.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(100%)","100"))))))&gt;=66,(((_xlfn.XLOOKUP(Assessment!#REF!,Inherited!A:A,Inherited!B:B))/100)*(_xlfn.XLOOKUP(Assessment!#REF!,Inherited!A:A,Inherited!G:G)))+(((100-(_xlfn.XLOOKUP(Assessment!#REF!,Inherited!A:A,Inherited!B:B)))/100)*IF(AB41="1.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(100%)","100"))))))&lt;=89),"75",IF((((_xlfn.XLOOKUP(Assessment!#REF!,Inherited!A:A,Inherited!B:B))/100)*(_xlfn.XLOOKUP(Assessment!#REF!,Inherited!A:A,Inherited!G:G)))+(((100-(_xlfn.XLOOKUP(Assessment!#REF!,Inherited!A:A,Inherited!B:B)))/100)*IF(AB41="1. Non Compliant (0%)","0",IF(AB41="2. Somewhat Compliant (25%)","25",IF(AB41="3. Partially Compliant (50%)","50",IF(AB41="4. Mostly Compliant (75%)","75",IF(AB41="5. Fully Compliant (100%)","100"))))))&gt;=90,"100"))))))</f>
        <v>#N/A</v>
      </c>
      <c r="V41" s="55" t="s">
        <v>85</v>
      </c>
      <c r="W41" s="55"/>
      <c r="X41" s="55"/>
      <c r="Y41" s="55"/>
      <c r="Z41" s="55" t="s">
        <v>86</v>
      </c>
      <c r="AA41" s="55"/>
      <c r="AB41" s="55"/>
      <c r="AK41" s="1" t="s">
        <v>10891</v>
      </c>
      <c r="AM41" s="1" t="s">
        <v>10915</v>
      </c>
      <c r="AX41" s="3" t="str">
        <f>_xlfn.CONCAT("A-LIGN finished its review of this control on ",AR41, " during the scheduled fieldwork window (",Intro!$B$4,")."&amp; CHAR(10)&amp; CHAR(10))</f>
        <v xml:space="preserve">A-LIGN finished its review of this control on  during the scheduled fieldwork window (Fieldwork: xx/xx/xxxx - xx/xx/xxxx).
</v>
      </c>
      <c r="AY41" s="3" t="str">
        <f t="shared" si="71"/>
        <v/>
      </c>
      <c r="AZ41" s="3" t="str">
        <f t="shared" si="72"/>
        <v/>
      </c>
      <c r="BA41" s="3" t="str">
        <f t="shared" si="73"/>
        <v/>
      </c>
      <c r="BB41" s="3" t="str">
        <f t="shared" si="74"/>
        <v xml:space="preserve">Inquired of the following workforce member: 
Matthew Macaluso - Director of System Operations
Roze Nicolas - Director of TechOps
Inquiry lead to the following conclusions: 
</v>
      </c>
      <c r="BC41" s="3" t="str">
        <f t="shared" si="75"/>
        <v xml:space="preserve">Observed the following live during fieldwork: 
Observed the Intune dashboard which demonstrated that the "App Install Status" includes only applications that are approved; if a user were to want an additional application that is not included then the entire change management process would need to be enacted. 
Observed Gatekeeper locks within the Kandji tool that blocks all downloads from the Internet; as well as an AppStore blocking policy. All application downloads must occur through Kandji.
Quarterly reviews are conducted through a reoccurring Fresh Service ticket (eventually moving to Jira)
</v>
      </c>
      <c r="BD41" s="3" t="str">
        <f t="shared" si="76"/>
        <v xml:space="preserve">Examined the following evidence during fieldwork:
Reviewed evidence addressed the requirement statement.
</v>
      </c>
      <c r="BE41" s="3" t="str">
        <f t="shared" si="77"/>
        <v/>
      </c>
      <c r="BF41" s="3" t="str">
        <f t="shared" si="78"/>
        <v/>
      </c>
      <c r="BG41" s="3" t="str">
        <f>_xlfn.CONCAT((IF((COUNTIF('Sample Tables'!B:B,"")&gt;0)=TRUE,_xlfn.CONCAT("",""),IF((COUNTIF('Sample Tables'!B:B,"")&gt;0)=FALSE,""))),)</f>
        <v/>
      </c>
      <c r="BH41" s="3" t="str">
        <f t="shared" si="7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Intune dashboard which demonstrated that the "App Install Status" includes only applications that are approved; if a user were to want an additional application that is not included then the entire change management process would need to be enacted. 
Observed Gatekeeper locks within the Kandji tool that blocks all downloads from the Internet; as well as an AppStore blocking policy. All application downloads must occur through Kandji.
Quarterly reviews are conducted through a reoccurring Fresh Service ticket (eventually moving to Jira)
Examined the following evidence during fieldwork:
Reviewed evidence addressed the requirement statement.
</v>
      </c>
    </row>
    <row r="42" spans="3:60" ht="409.5" x14ac:dyDescent="0.35">
      <c r="C42" s="1">
        <f t="shared" si="70"/>
        <v>40</v>
      </c>
      <c r="D42" s="5" t="str">
        <f>IF(AND((_xlfn.XLOOKUP(J42,'Fields &amp; Revisions'!$H:$H,'Fields &amp; Revisions'!$I:$I))&lt;70.99,(OR(Z42="4. Mostly Compliant (75%)",Z42="3. Partially Compliant (50%)",Z42="2. Somewhat Compliant (25%)",Z42="1. Non Compliant (0%)"))),"Yes","No")</f>
        <v>No</v>
      </c>
      <c r="E42" s="5" t="str">
        <f>IF(ISERROR(VLOOKUP(H42,Scope!A:A,1,FALSE)),"No","Yes")</f>
        <v>Yes</v>
      </c>
      <c r="F42" s="1" t="s">
        <v>957</v>
      </c>
      <c r="G42" s="53" t="s">
        <v>1254</v>
      </c>
      <c r="H42" s="53" t="s">
        <v>1255</v>
      </c>
      <c r="I42" s="5">
        <v>1</v>
      </c>
      <c r="J42" s="1" t="s">
        <v>1012</v>
      </c>
      <c r="K42" s="1" t="s">
        <v>1256</v>
      </c>
      <c r="L42" s="1" t="s">
        <v>1257</v>
      </c>
      <c r="M42" s="1" t="s">
        <v>677</v>
      </c>
      <c r="N42" s="5" t="s">
        <v>85</v>
      </c>
      <c r="O42" s="1" t="str">
        <f>_xlfn.XLOOKUP(G42,SRMs!$A:$A,SRMs!$D:$D)</f>
        <v>PARTIAL INHERITANCE</v>
      </c>
      <c r="P42" s="1" t="str">
        <f>IFERROR(VLOOKUP(H42,Inherited!A:B,2,FALSE),"")</f>
        <v/>
      </c>
      <c r="Q42" s="1" t="e">
        <f>IF(MATCH(H42,Inherited!A:A),IF((((_xlfn.XLOOKUP(Assessment!#REF!,Inherited!A:A,Inherited!B:B))/100)*(_xlfn.XLOOKUP(Assessment!#REF!,Inherited!A:A,Inherited!C:C)))+(((100-(_xlfn.XLOOKUP(Assessment!#REF!,Inherited!A:A,Inherited!B:B)))/100)*IF(X42="1.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(100%)","100"))))))&lt;=10,"0", IF(AND((((_xlfn.XLOOKUP(Assessment!#REF!,Inherited!A:A,Inherited!B:B))/100)*(_xlfn.XLOOKUP(Assessment!#REF!,Inherited!A:A,Inherited!C:C)))+(((100-(_xlfn.XLOOKUP(Assessment!#REF!,Inherited!A:A,Inherited!B:B)))/100)*IF(X42="1.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(100%)","100"))))))&gt;=11,(((_xlfn.XLOOKUP(Assessment!#REF!,Inherited!A:A,Inherited!B:B))/100)*(_xlfn.XLOOKUP(Assessment!#REF!,Inherited!A:A,Inherited!C:C)))+(((100-(_xlfn.XLOOKUP(Assessment!#REF!,Inherited!A:A,Inherited!B:B)))/100)*IF(X42="1.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(100%)","100"))))))&lt;=32),"25",IF(AND((((_xlfn.XLOOKUP(Assessment!#REF!,Inherited!A:A,Inherited!B:B))/100)*(_xlfn.XLOOKUP(Assessment!#REF!,Inherited!A:A,Inherited!C:C)))+(((100-(_xlfn.XLOOKUP(Assessment!#REF!,Inherited!A:A,Inherited!B:B)))/100)*IF(X42="1.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(100%)","100"))))))&gt;=33,(((_xlfn.XLOOKUP(Assessment!#REF!,Inherited!A:A,Inherited!B:B))/100)*(_xlfn.XLOOKUP(Assessment!#REF!,Inherited!A:A,Inherited!C:C)))+(((100-(_xlfn.XLOOKUP(Assessment!#REF!,Inherited!A:A,Inherited!B:B)))/100)*IF(X42="1.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(100%)","100"))))))&lt;=65),"50",IF(AND((((_xlfn.XLOOKUP(Assessment!#REF!,Inherited!A:A,Inherited!B:B))/100)*(_xlfn.XLOOKUP(Assessment!#REF!,Inherited!A:A,Inherited!C:C)))+(((100-(_xlfn.XLOOKUP(Assessment!#REF!,Inherited!A:A,Inherited!B:B)))/100)*IF(X42="1.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(100%)","100"))))))&gt;=66,(((_xlfn.XLOOKUP(Assessment!#REF!,Inherited!A:A,Inherited!B:B))/100)*(_xlfn.XLOOKUP(Assessment!#REF!,Inherited!A:A,Inherited!C:C)))+(((100-(_xlfn.XLOOKUP(Assessment!#REF!,Inherited!A:A,Inherited!B:B)))/100)*IF(X42="1.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(100%)","100"))))))&lt;=89),"75",IF((((_xlfn.XLOOKUP(Assessment!#REF!,Inherited!A:A,Inherited!B:B))/100)*(_xlfn.XLOOKUP(Assessment!#REF!,Inherited!A:A,Inherited!C:C)))+(((100-(_xlfn.XLOOKUP(Assessment!#REF!,Inherited!A:A,Inherited!B:B)))/100)*IF(X42="1. Non Compliant (0%)","0",IF(X42="2. Somewhat Compliant (25%)","25",IF(X42="3. Partially Compliant (50%)","50",IF(X42="4. Mostly Compliant (75%)","75",IF(X42="5. Fully Compliant (100%)","100"))))))&gt;=90,"100"))))))</f>
        <v>#N/A</v>
      </c>
      <c r="R42" s="1" t="e">
        <f>IF(MATCH(H42,Inherited!A:A),IF((((_xlfn.XLOOKUP(Assessment!#REF!,Inherited!A:A,Inherited!B:B))/100)*(_xlfn.XLOOKUP(Assessment!#REF!,Inherited!A:A,Inherited!D:D)))+(((100-(_xlfn.XLOOKUP(Assessment!#REF!,Inherited!A:A,Inherited!B:B)))/100)*IF(Y42="1.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(100%)","100"))))))&lt;=10,"0", IF(AND((((_xlfn.XLOOKUP(Assessment!#REF!,Inherited!A:A,Inherited!B:B))/100)*(_xlfn.XLOOKUP(Assessment!#REF!,Inherited!A:A,Inherited!D:D)))+(((100-(_xlfn.XLOOKUP(Assessment!#REF!,Inherited!A:A,Inherited!B:B)))/100)*IF(Y42="1.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(100%)","100"))))))&gt;=11,(((_xlfn.XLOOKUP(Assessment!#REF!,Inherited!A:A,Inherited!B:B))/100)*(_xlfn.XLOOKUP(Assessment!#REF!,Inherited!A:A,Inherited!D:D)))+(((100-(_xlfn.XLOOKUP(Assessment!#REF!,Inherited!A:A,Inherited!B:B)))/100)*IF(Y42="1.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(100%)","100"))))))&lt;=32),"25",IF(AND((((_xlfn.XLOOKUP(Assessment!#REF!,Inherited!A:A,Inherited!B:B))/100)*(_xlfn.XLOOKUP(Assessment!#REF!,Inherited!A:A,Inherited!D:D)))+(((100-(_xlfn.XLOOKUP(Assessment!#REF!,Inherited!A:A,Inherited!B:B)))/100)*IF(Y42="1.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(100%)","100"))))))&gt;=33,(((_xlfn.XLOOKUP(Assessment!#REF!,Inherited!A:A,Inherited!B:B))/100)*(_xlfn.XLOOKUP(Assessment!#REF!,Inherited!A:A,Inherited!D:D)))+(((100-(_xlfn.XLOOKUP(Assessment!#REF!,Inherited!A:A,Inherited!B:B)))/100)*IF(Y42="1.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(100%)","100"))))))&lt;=65),"50",IF(AND((((_xlfn.XLOOKUP(Assessment!#REF!,Inherited!A:A,Inherited!B:B))/100)*(_xlfn.XLOOKUP(Assessment!#REF!,Inherited!A:A,Inherited!D:D)))+(((100-(_xlfn.XLOOKUP(Assessment!#REF!,Inherited!A:A,Inherited!B:B)))/100)*IF(Y42="1.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(100%)","100"))))))&gt;=66,(((_xlfn.XLOOKUP(Assessment!#REF!,Inherited!A:A,Inherited!B:B))/100)*(_xlfn.XLOOKUP(Assessment!#REF!,Inherited!A:A,Inherited!D:D)))+(((100-(_xlfn.XLOOKUP(Assessment!#REF!,Inherited!A:A,Inherited!B:B)))/100)*IF(Y42="1.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(100%)","100"))))))&lt;=89),"75",IF((((_xlfn.XLOOKUP(Assessment!#REF!,Inherited!A:A,Inherited!B:B))/100)*(_xlfn.XLOOKUP(Assessment!#REF!,Inherited!A:A,Inherited!D:D)))+(((100-(_xlfn.XLOOKUP(Assessment!#REF!,Inherited!A:A,Inherited!B:B)))/100)*IF(Y42="1. Non Compliant (0%)","0",IF(Y42="2. Somewhat Compliant (25%)","25",IF(Y42="3. Partially Compliant (50%)","50",IF(Y42="4. Mostly Compliant (75%)","75",IF(Y42="5. Fully Compliant (100%)","100"))))))&gt;=90,"100"))))))</f>
        <v>#N/A</v>
      </c>
      <c r="S42" s="1" t="e">
        <f>IF(MATCH(H42,Inherited!A:A),IF((((_xlfn.XLOOKUP(Assessment!#REF!,Inherited!A:A,Inherited!B:B))/100)*(_xlfn.XLOOKUP(Assessment!#REF!,Inherited!A:A,Inherited!E:E)))+(((100-(_xlfn.XLOOKUP(Assessment!#REF!,Inherited!A:A,Inherited!B:B)))/100)*IF(Z42="1.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(100%)","100"))))))&lt;=10,"0", IF(AND((((_xlfn.XLOOKUP(Assessment!#REF!,Inherited!A:A,Inherited!B:B))/100)*(_xlfn.XLOOKUP(Assessment!#REF!,Inherited!A:A,Inherited!E:E)))+(((100-(_xlfn.XLOOKUP(Assessment!#REF!,Inherited!A:A,Inherited!B:B)))/100)*IF(Z42="1.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(100%)","100"))))))&gt;=11,(((_xlfn.XLOOKUP(Assessment!#REF!,Inherited!A:A,Inherited!B:B))/100)*(_xlfn.XLOOKUP(Assessment!#REF!,Inherited!A:A,Inherited!E:E)))+(((100-(_xlfn.XLOOKUP(Assessment!#REF!,Inherited!A:A,Inherited!B:B)))/100)*IF(Z42="1.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(100%)","100"))))))&lt;=32),"25",IF(AND((((_xlfn.XLOOKUP(Assessment!#REF!,Inherited!A:A,Inherited!B:B))/100)*(_xlfn.XLOOKUP(Assessment!#REF!,Inherited!A:A,Inherited!E:E)))+(((100-(_xlfn.XLOOKUP(Assessment!#REF!,Inherited!A:A,Inherited!B:B)))/100)*IF(Z42="1.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(100%)","100"))))))&gt;=33,(((_xlfn.XLOOKUP(Assessment!#REF!,Inherited!A:A,Inherited!B:B))/100)*(_xlfn.XLOOKUP(Assessment!#REF!,Inherited!A:A,Inherited!E:E)))+(((100-(_xlfn.XLOOKUP(Assessment!#REF!,Inherited!A:A,Inherited!B:B)))/100)*IF(Z42="1.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(100%)","100"))))))&lt;=65),"50",IF(AND((((_xlfn.XLOOKUP(Assessment!#REF!,Inherited!A:A,Inherited!B:B))/100)*(_xlfn.XLOOKUP(Assessment!#REF!,Inherited!A:A,Inherited!E:E)))+(((100-(_xlfn.XLOOKUP(Assessment!#REF!,Inherited!A:A,Inherited!B:B)))/100)*IF(Z42="1.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(100%)","100"))))))&gt;=66,(((_xlfn.XLOOKUP(Assessment!#REF!,Inherited!A:A,Inherited!B:B))/100)*(_xlfn.XLOOKUP(Assessment!#REF!,Inherited!A:A,Inherited!E:E)))+(((100-(_xlfn.XLOOKUP(Assessment!#REF!,Inherited!A:A,Inherited!B:B)))/100)*IF(Z42="1.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(100%)","100"))))))&lt;=89),"75",IF((((_xlfn.XLOOKUP(Assessment!#REF!,Inherited!A:A,Inherited!B:B))/100)*(_xlfn.XLOOKUP(Assessment!#REF!,Inherited!A:A,Inherited!E:E)))+(((100-(_xlfn.XLOOKUP(Assessment!#REF!,Inherited!A:A,Inherited!B:B)))/100)*IF(Z42="1. Non Compliant (0%)","0",IF(Z42="2. Somewhat Compliant (25%)","25",IF(Z42="3. Partially Compliant (50%)","50",IF(Z42="4. Mostly Compliant (75%)","75",IF(Z42="5. Fully Compliant (100%)","100"))))))&gt;=90,"100"))))))</f>
        <v>#N/A</v>
      </c>
      <c r="T42" s="1" t="e">
        <f>IF(MATCH(H42,Inherited!A:A),IF((((_xlfn.XLOOKUP(Assessment!#REF!,Inherited!A:A,Inherited!B:B))/100)*(_xlfn.XLOOKUP(Assessment!#REF!,Inherited!A:A,Inherited!F:F)))+(((100-(_xlfn.XLOOKUP(Assessment!#REF!,Inherited!A:A,Inherited!B:B)))/100)*IF(AA42="1.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(100%)","100"))))))&lt;=10,"0", IF(AND((((_xlfn.XLOOKUP(Assessment!#REF!,Inherited!A:A,Inherited!B:B))/100)*(_xlfn.XLOOKUP(Assessment!#REF!,Inherited!A:A,Inherited!F:F)))+(((100-(_xlfn.XLOOKUP(Assessment!#REF!,Inherited!A:A,Inherited!B:B)))/100)*IF(AA42="1.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(100%)","100"))))))&gt;=11,(((_xlfn.XLOOKUP(Assessment!#REF!,Inherited!A:A,Inherited!B:B))/100)*(_xlfn.XLOOKUP(Assessment!#REF!,Inherited!A:A,Inherited!F:F)))+(((100-(_xlfn.XLOOKUP(Assessment!#REF!,Inherited!A:A,Inherited!B:B)))/100)*IF(AA42="1.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(100%)","100"))))))&lt;=32),"25",IF(AND((((_xlfn.XLOOKUP(Assessment!#REF!,Inherited!A:A,Inherited!B:B))/100)*(_xlfn.XLOOKUP(Assessment!#REF!,Inherited!A:A,Inherited!F:F)))+(((100-(_xlfn.XLOOKUP(Assessment!#REF!,Inherited!A:A,Inherited!B:B)))/100)*IF(AA42="1.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(100%)","100"))))))&gt;=33,(((_xlfn.XLOOKUP(Assessment!#REF!,Inherited!A:A,Inherited!B:B))/100)*(_xlfn.XLOOKUP(Assessment!#REF!,Inherited!A:A,Inherited!F:F)))+(((100-(_xlfn.XLOOKUP(Assessment!#REF!,Inherited!A:A,Inherited!B:B)))/100)*IF(AA42="1.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(100%)","100"))))))&lt;=65),"50",IF(AND((((_xlfn.XLOOKUP(Assessment!#REF!,Inherited!A:A,Inherited!B:B))/100)*(_xlfn.XLOOKUP(Assessment!#REF!,Inherited!A:A,Inherited!F:F)))+(((100-(_xlfn.XLOOKUP(Assessment!#REF!,Inherited!A:A,Inherited!B:B)))/100)*IF(AA42="1.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(100%)","100"))))))&gt;=66,(((_xlfn.XLOOKUP(Assessment!#REF!,Inherited!A:A,Inherited!B:B))/100)*(_xlfn.XLOOKUP(Assessment!#REF!,Inherited!A:A,Inherited!F:F)))+(((100-(_xlfn.XLOOKUP(Assessment!#REF!,Inherited!A:A,Inherited!B:B)))/100)*IF(AA42="1.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(100%)","100"))))))&lt;=89),"75",IF((((_xlfn.XLOOKUP(Assessment!#REF!,Inherited!A:A,Inherited!B:B))/100)*(_xlfn.XLOOKUP(Assessment!#REF!,Inherited!A:A,Inherited!F:F)))+(((100-(_xlfn.XLOOKUP(Assessment!#REF!,Inherited!A:A,Inherited!B:B)))/100)*IF(AA42="1. Non Compliant (0%)","0",IF(AA42="2. Somewhat Compliant (25%)","25",IF(AA42="3. Partially Compliant (50%)","50",IF(AA42="4. Mostly Compliant (75%)","75",IF(AA42="5. Fully Compliant (100%)","100"))))))&gt;=90,"100"))))))</f>
        <v>#N/A</v>
      </c>
      <c r="U42" s="1" t="e">
        <f>IF(MATCH(H42,Inherited!A:A),IF((((_xlfn.XLOOKUP(Assessment!#REF!,Inherited!A:A,Inherited!B:B))/100)*(_xlfn.XLOOKUP(Assessment!#REF!,Inherited!A:A,Inherited!G:G)))+(((100-(_xlfn.XLOOKUP(Assessment!#REF!,Inherited!A:A,Inherited!B:B)))/100)*IF(AB42="1.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(100%)","100"))))))&lt;=10,"0", IF(AND((((_xlfn.XLOOKUP(Assessment!#REF!,Inherited!A:A,Inherited!B:B))/100)*(_xlfn.XLOOKUP(Assessment!#REF!,Inherited!A:A,Inherited!G:G)))+(((100-(_xlfn.XLOOKUP(Assessment!#REF!,Inherited!A:A,Inherited!B:B)))/100)*IF(AB42="1.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(100%)","100"))))))&gt;=11,(((_xlfn.XLOOKUP(Assessment!#REF!,Inherited!A:A,Inherited!B:B))/100)*(_xlfn.XLOOKUP(Assessment!#REF!,Inherited!A:A,Inherited!G:G)))+(((100-(_xlfn.XLOOKUP(Assessment!#REF!,Inherited!A:A,Inherited!B:B)))/100)*IF(AB42="1.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(100%)","100"))))))&lt;=32),"25",IF(AND((((_xlfn.XLOOKUP(Assessment!#REF!,Inherited!A:A,Inherited!B:B))/100)*(_xlfn.XLOOKUP(Assessment!#REF!,Inherited!A:A,Inherited!G:G)))+(((100-(_xlfn.XLOOKUP(Assessment!#REF!,Inherited!A:A,Inherited!B:B)))/100)*IF(AB42="1.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(100%)","100"))))))&gt;=33,(((_xlfn.XLOOKUP(Assessment!#REF!,Inherited!A:A,Inherited!B:B))/100)*(_xlfn.XLOOKUP(Assessment!#REF!,Inherited!A:A,Inherited!G:G)))+(((100-(_xlfn.XLOOKUP(Assessment!#REF!,Inherited!A:A,Inherited!B:B)))/100)*IF(AB42="1.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(100%)","100"))))))&lt;=65),"50",IF(AND((((_xlfn.XLOOKUP(Assessment!#REF!,Inherited!A:A,Inherited!B:B))/100)*(_xlfn.XLOOKUP(Assessment!#REF!,Inherited!A:A,Inherited!G:G)))+(((100-(_xlfn.XLOOKUP(Assessment!#REF!,Inherited!A:A,Inherited!B:B)))/100)*IF(AB42="1.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(100%)","100"))))))&gt;=66,(((_xlfn.XLOOKUP(Assessment!#REF!,Inherited!A:A,Inherited!B:B))/100)*(_xlfn.XLOOKUP(Assessment!#REF!,Inherited!A:A,Inherited!G:G)))+(((100-(_xlfn.XLOOKUP(Assessment!#REF!,Inherited!A:A,Inherited!B:B)))/100)*IF(AB42="1.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(100%)","100"))))))&lt;=89),"75",IF((((_xlfn.XLOOKUP(Assessment!#REF!,Inherited!A:A,Inherited!B:B))/100)*(_xlfn.XLOOKUP(Assessment!#REF!,Inherited!A:A,Inherited!G:G)))+(((100-(_xlfn.XLOOKUP(Assessment!#REF!,Inherited!A:A,Inherited!B:B)))/100)*IF(AB42="1. Non Compliant (0%)","0",IF(AB42="2. Somewhat Compliant (25%)","25",IF(AB42="3. Partially Compliant (50%)","50",IF(AB42="4. Mostly Compliant (75%)","75",IF(AB42="5. Fully Compliant (100%)","100"))))))&gt;=90,"100"))))))</f>
        <v>#N/A</v>
      </c>
      <c r="V42" s="55" t="s">
        <v>85</v>
      </c>
      <c r="W42" s="55"/>
      <c r="X42" s="55"/>
      <c r="Y42" s="55"/>
      <c r="Z42" s="55" t="s">
        <v>86</v>
      </c>
      <c r="AA42" s="55"/>
      <c r="AB42" s="55"/>
      <c r="AK42" s="1" t="s">
        <v>10891</v>
      </c>
      <c r="AL42" s="1" t="s">
        <v>10900</v>
      </c>
      <c r="AM42" s="1" t="s">
        <v>11157</v>
      </c>
      <c r="AX42" s="3" t="str">
        <f>_xlfn.CONCAT("A-LIGN finished its review of this control on ",AR42, " during the scheduled fieldwork window (",Intro!$B$4,")."&amp; CHAR(10)&amp; CHAR(10))</f>
        <v xml:space="preserve">A-LIGN finished its review of this control on  during the scheduled fieldwork window (Fieldwork: xx/xx/xxxx - xx/xx/xxxx).
</v>
      </c>
      <c r="AY42" s="3" t="str">
        <f t="shared" si="71"/>
        <v/>
      </c>
      <c r="AZ42" s="3" t="str">
        <f t="shared" si="72"/>
        <v/>
      </c>
      <c r="BA42" s="3" t="str">
        <f t="shared" si="73"/>
        <v/>
      </c>
      <c r="BB42" s="3" t="str">
        <f t="shared" si="74"/>
        <v xml:space="preserve">Inquired of the following workforce member: 
Matthew Macaluso - Director of System Operations
Roze Nicolas - Director of TechOps
Inquiry lead to the following conclusions: 
SCCM - Utilized by the Azure VMs 
Native Google SecOps baselines are in place 
</v>
      </c>
      <c r="BC42" s="3" t="str">
        <f t="shared" si="75"/>
        <v xml:space="preserve">Observed the following live during fieldwork: 
Observed the Intune dashboard which demonstrated that the "App Install Status" includes only applications that are approved; if a user were to want an additional application that is not included then the entire change management process would need to be enacted. 
Observed Gatekeeper locks within the Kandji tool that blocks all downloads from the Internet; as well as an AppStore blocking policy. All application downloads must occur through Kandji.
</v>
      </c>
      <c r="BD42" s="3" t="str">
        <f t="shared" si="76"/>
        <v xml:space="preserve">Examined the following evidence during fieldwork:
Reviewed evidence addressed the requirement statement.
</v>
      </c>
      <c r="BE42" s="3" t="str">
        <f t="shared" si="77"/>
        <v/>
      </c>
      <c r="BF42" s="3" t="str">
        <f t="shared" si="78"/>
        <v/>
      </c>
      <c r="BG42" s="3" t="str">
        <f>_xlfn.CONCAT((IF((COUNTIF('Sample Tables'!B:B,"Test 045: Endpoint Device (BYOD)")&gt;0)=TRUE,_xlfn.CONCAT("Sample test results are documented in ",'Sample Tables'!B491," [",'Sample Tables'!B492,", ",'Sample Tables'!B493,", ",'Sample Tables'!B494,", ",'Sample Tables'!B495,", ",'Sample Tables'!B496,"]."&amp;CHAR(10)),IF((COUNTIF('Sample Tables'!B:B,"Test 045: Endpoint Device (BYOD)")&gt;0)=FALSE,""))),(IF((COUNTIF('Sample Tables'!B:B,"Test 050: Endpoint Device (laptop)")&gt;0)=TRUE,_xlfn.CONCAT("Sample test results are documented in ",'Sample Tables'!B546," [",'Sample Tables'!B547,", ",'Sample Tables'!B548,", ",'Sample Tables'!B549,", ",'Sample Tables'!B550,", ",'Sample Tables'!B551,"]."&amp;CHAR(10)),IF((COUNTIF('Sample Tables'!B:B,"Test 050: Endpoint Device (laptop)")&gt;0)=FALSE,""))),(IF((COUNTIF('Sample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058: Endpoint Device (workstation)")&gt;0)=TRUE,_xlfn.CONCAT("Sample test results are documented in ",'Sample Tables'!B634," [",'Sample Tables'!B635,", ",'Sample Tables'!B636,", ",'Sample Tables'!B637,", ",'Sample Tables'!B638,", ",'Sample Tables'!B639,"]."&amp;CHAR(10)),IF((COUNTIF('Sample Tables'!B:B,"Test 058: Endpoint Device (workstation)")&gt;0)=FALSE,""))),)</f>
        <v xml:space="preserve">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c r="BH42" s="3" t="str">
        <f t="shared" si="7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SCCM - Utilized by the Azure VMs 
Native Google SecOps baselines are in place 
Observed the following live during fieldwork: 
Observed the Intune dashboard which demonstrated that the "App Install Status" includes only applications that are approved; if a user were to want an additional application that is not included then the entire change management process would need to be enacted. 
Observed Gatekeeper locks within the Kandji tool that blocks all downloads from the Internet; as well as an AppStore blocking policy. All application downloads must occur through Kandji.
Examined the following evidence during fieldwork:
Reviewed evidence addressed the requirement statement.
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row>
    <row r="43" spans="3:60" ht="387.5" x14ac:dyDescent="0.35">
      <c r="C43" s="1">
        <f t="shared" ref="C43:C59" si="80">IF(V43="No","Not Applicable",(IF(X43="1. Non Compliant (0%)","0",IF(X43="2. Somewhat Compliant (25%)","25",IF(X43="3. Partially Compliant (50%)","50",IF(X43="4. Mostly Compliant (75%)","75",IF(X43="5. Fully Compliant (100%)","100")))))*0.15)+((IF(Y43="1. Non Compliant (0%)","0",IF(Y43="2. Somewhat Compliant (25%)","25",IF(Y43="3. Partially Compliant (50%)","50",IF(Y43="4. Mostly Compliant (75%)","75",IF(Y43="5. Fully Compliant (100%)","100"))))))*0.2)+(IF(Z43="1. Non Compliant (0%)","0",IF(Z43="2. Somewhat Compliant (25%)","25",IF(Z43="3. Partially Compliant (50%)","50",IF(Z43="4. Mostly Compliant (75%)","75",IF(Z43="5. Fully Compliant (100%)","100")))))*0.4)+(IF(AA43="1. Non Compliant (0%)","0",IF(AA43="2. Somewhat Compliant (25%)","25",IF(AA43="3. Partially Compliant (50%)","50",IF(AA43="4. Mostly Compliant (75%)","75",IF(AA43="5. Fully Compliant (100%)","100")))))*0.1)+(IF(AB43="1. Non Compliant (0%)","0",IF(AB43="2. Somewhat Compliant (25%)","25",IF(AB43="3. Partially Compliant (50%)","50",IF(AB43="4. Mostly Compliant (75%)","75",IF(AB43="5. Fully Compliant (100%)","100")))))*0.15))</f>
        <v>0</v>
      </c>
      <c r="D43" s="5" t="str">
        <f>IF(AND((_xlfn.XLOOKUP(J43,'Fields &amp; Revisions'!$H:$H,'Fields &amp; Revisions'!$I:$I))&lt;70.99,(OR(Z43="4. Mostly Compliant (75%)",Z43="3. Partially Compliant (50%)",Z43="2. Somewhat Compliant (25%)",Z43="1. Non Compliant (0%)"))),"Yes","No")</f>
        <v>Yes</v>
      </c>
      <c r="E43" s="5" t="str">
        <f>IF(ISERROR(VLOOKUP(H43,Scope!A:A,1,FALSE)),"No","Yes")</f>
        <v>Yes</v>
      </c>
      <c r="F43" s="1" t="s">
        <v>957</v>
      </c>
      <c r="G43" s="53" t="s">
        <v>1288</v>
      </c>
      <c r="H43" s="53" t="s">
        <v>1289</v>
      </c>
      <c r="I43" s="5">
        <v>1</v>
      </c>
      <c r="J43" s="1" t="s">
        <v>1004</v>
      </c>
      <c r="K43" s="1" t="s">
        <v>1290</v>
      </c>
      <c r="L43" s="1" t="s">
        <v>1291</v>
      </c>
      <c r="M43" s="1" t="s">
        <v>1292</v>
      </c>
      <c r="N43" s="5" t="s">
        <v>85</v>
      </c>
      <c r="O43" s="1" t="str">
        <f>_xlfn.XLOOKUP(G43,SRMs!$A:$A,SRMs!$D:$D)</f>
        <v>PARTIAL INHERITANCE</v>
      </c>
      <c r="P43" s="1" t="str">
        <f>IFERROR(VLOOKUP(H43,Inherited!A:B,2,FALSE),"")</f>
        <v/>
      </c>
      <c r="Q43" s="1" t="e">
        <f>IF(MATCH(H43,Inherited!A:A),IF((((_xlfn.XLOOKUP(Assessment!H44,Inherited!A:A,Inherited!B:B))/100)*(_xlfn.XLOOKUP(Assessment!H44,Inherited!A:A,Inherited!C:C)))+(((100-(_xlfn.XLOOKUP(Assessment!H44,Inherited!A:A,Inherited!B:B)))/100)*IF(X43="1.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(100%)","100"))))))&lt;=10,"0", IF(AND((((_xlfn.XLOOKUP(Assessment!H44,Inherited!A:A,Inherited!B:B))/100)*(_xlfn.XLOOKUP(Assessment!H44,Inherited!A:A,Inherited!C:C)))+(((100-(_xlfn.XLOOKUP(Assessment!H44,Inherited!A:A,Inherited!B:B)))/100)*IF(X43="1.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(100%)","100"))))))&gt;=11,(((_xlfn.XLOOKUP(Assessment!H44,Inherited!A:A,Inherited!B:B))/100)*(_xlfn.XLOOKUP(Assessment!H44,Inherited!A:A,Inherited!C:C)))+(((100-(_xlfn.XLOOKUP(Assessment!H44,Inherited!A:A,Inherited!B:B)))/100)*IF(X43="1.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(100%)","100"))))))&lt;=32),"25",IF(AND((((_xlfn.XLOOKUP(Assessment!H44,Inherited!A:A,Inherited!B:B))/100)*(_xlfn.XLOOKUP(Assessment!H44,Inherited!A:A,Inherited!C:C)))+(((100-(_xlfn.XLOOKUP(Assessment!H44,Inherited!A:A,Inherited!B:B)))/100)*IF(X43="1.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(100%)","100"))))))&gt;=33,(((_xlfn.XLOOKUP(Assessment!H44,Inherited!A:A,Inherited!B:B))/100)*(_xlfn.XLOOKUP(Assessment!H44,Inherited!A:A,Inherited!C:C)))+(((100-(_xlfn.XLOOKUP(Assessment!H44,Inherited!A:A,Inherited!B:B)))/100)*IF(X43="1.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(100%)","100"))))))&lt;=65),"50",IF(AND((((_xlfn.XLOOKUP(Assessment!H44,Inherited!A:A,Inherited!B:B))/100)*(_xlfn.XLOOKUP(Assessment!H44,Inherited!A:A,Inherited!C:C)))+(((100-(_xlfn.XLOOKUP(Assessment!H44,Inherited!A:A,Inherited!B:B)))/100)*IF(X43="1.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(100%)","100"))))))&gt;=66,(((_xlfn.XLOOKUP(Assessment!H44,Inherited!A:A,Inherited!B:B))/100)*(_xlfn.XLOOKUP(Assessment!H44,Inherited!A:A,Inherited!C:C)))+(((100-(_xlfn.XLOOKUP(Assessment!H44,Inherited!A:A,Inherited!B:B)))/100)*IF(X43="1.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(100%)","100"))))))&lt;=89),"75",IF((((_xlfn.XLOOKUP(Assessment!H44,Inherited!A:A,Inherited!B:B))/100)*(_xlfn.XLOOKUP(Assessment!H44,Inherited!A:A,Inherited!C:C)))+(((100-(_xlfn.XLOOKUP(Assessment!H44,Inherited!A:A,Inherited!B:B)))/100)*IF(X43="1. Non Compliant (0%)","0",IF(X43="2. Somewhat Compliant (25%)","25",IF(X43="3. Partially Compliant (50%)","50",IF(X43="4. Mostly Compliant (75%)","75",IF(X43="5. Fully Compliant (100%)","100"))))))&gt;=90,"100"))))))</f>
        <v>#N/A</v>
      </c>
      <c r="R43" s="1" t="e">
        <f>IF(MATCH(H43,Inherited!A:A),IF((((_xlfn.XLOOKUP(Assessment!H44,Inherited!A:A,Inherited!B:B))/100)*(_xlfn.XLOOKUP(Assessment!H44,Inherited!A:A,Inherited!D:D)))+(((100-(_xlfn.XLOOKUP(Assessment!H44,Inherited!A:A,Inherited!B:B)))/100)*IF(Y43="1.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(100%)","100"))))))&lt;=10,"0", IF(AND((((_xlfn.XLOOKUP(Assessment!H44,Inherited!A:A,Inherited!B:B))/100)*(_xlfn.XLOOKUP(Assessment!H44,Inherited!A:A,Inherited!D:D)))+(((100-(_xlfn.XLOOKUP(Assessment!H44,Inherited!A:A,Inherited!B:B)))/100)*IF(Y43="1.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(100%)","100"))))))&gt;=11,(((_xlfn.XLOOKUP(Assessment!H44,Inherited!A:A,Inherited!B:B))/100)*(_xlfn.XLOOKUP(Assessment!H44,Inherited!A:A,Inherited!D:D)))+(((100-(_xlfn.XLOOKUP(Assessment!H44,Inherited!A:A,Inherited!B:B)))/100)*IF(Y43="1.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(100%)","100"))))))&lt;=32),"25",IF(AND((((_xlfn.XLOOKUP(Assessment!H44,Inherited!A:A,Inherited!B:B))/100)*(_xlfn.XLOOKUP(Assessment!H44,Inherited!A:A,Inherited!D:D)))+(((100-(_xlfn.XLOOKUP(Assessment!H44,Inherited!A:A,Inherited!B:B)))/100)*IF(Y43="1.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(100%)","100"))))))&gt;=33,(((_xlfn.XLOOKUP(Assessment!H44,Inherited!A:A,Inherited!B:B))/100)*(_xlfn.XLOOKUP(Assessment!H44,Inherited!A:A,Inherited!D:D)))+(((100-(_xlfn.XLOOKUP(Assessment!H44,Inherited!A:A,Inherited!B:B)))/100)*IF(Y43="1.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(100%)","100"))))))&lt;=65),"50",IF(AND((((_xlfn.XLOOKUP(Assessment!H44,Inherited!A:A,Inherited!B:B))/100)*(_xlfn.XLOOKUP(Assessment!H44,Inherited!A:A,Inherited!D:D)))+(((100-(_xlfn.XLOOKUP(Assessment!H44,Inherited!A:A,Inherited!B:B)))/100)*IF(Y43="1.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(100%)","100"))))))&gt;=66,(((_xlfn.XLOOKUP(Assessment!H44,Inherited!A:A,Inherited!B:B))/100)*(_xlfn.XLOOKUP(Assessment!H44,Inherited!A:A,Inherited!D:D)))+(((100-(_xlfn.XLOOKUP(Assessment!H44,Inherited!A:A,Inherited!B:B)))/100)*IF(Y43="1.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(100%)","100"))))))&lt;=89),"75",IF((((_xlfn.XLOOKUP(Assessment!H44,Inherited!A:A,Inherited!B:B))/100)*(_xlfn.XLOOKUP(Assessment!H44,Inherited!A:A,Inherited!D:D)))+(((100-(_xlfn.XLOOKUP(Assessment!H44,Inherited!A:A,Inherited!B:B)))/100)*IF(Y43="1. Non Compliant (0%)","0",IF(Y43="2. Somewhat Compliant (25%)","25",IF(Y43="3. Partially Compliant (50%)","50",IF(Y43="4. Mostly Compliant (75%)","75",IF(Y43="5. Fully Compliant (100%)","100"))))))&gt;=90,"100"))))))</f>
        <v>#N/A</v>
      </c>
      <c r="S43" s="1" t="e">
        <f>IF(MATCH(H43,Inherited!A:A),IF((((_xlfn.XLOOKUP(Assessment!H44,Inherited!A:A,Inherited!B:B))/100)*(_xlfn.XLOOKUP(Assessment!H44,Inherited!A:A,Inherited!E:E)))+(((100-(_xlfn.XLOOKUP(Assessment!H44,Inherited!A:A,Inherited!B:B)))/100)*IF(Z43="1.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(100%)","100"))))))&lt;=10,"0", IF(AND((((_xlfn.XLOOKUP(Assessment!H44,Inherited!A:A,Inherited!B:B))/100)*(_xlfn.XLOOKUP(Assessment!H44,Inherited!A:A,Inherited!E:E)))+(((100-(_xlfn.XLOOKUP(Assessment!H44,Inherited!A:A,Inherited!B:B)))/100)*IF(Z43="1.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(100%)","100"))))))&gt;=11,(((_xlfn.XLOOKUP(Assessment!H44,Inherited!A:A,Inherited!B:B))/100)*(_xlfn.XLOOKUP(Assessment!H44,Inherited!A:A,Inherited!E:E)))+(((100-(_xlfn.XLOOKUP(Assessment!H44,Inherited!A:A,Inherited!B:B)))/100)*IF(Z43="1.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(100%)","100"))))))&lt;=32),"25",IF(AND((((_xlfn.XLOOKUP(Assessment!H44,Inherited!A:A,Inherited!B:B))/100)*(_xlfn.XLOOKUP(Assessment!H44,Inherited!A:A,Inherited!E:E)))+(((100-(_xlfn.XLOOKUP(Assessment!H44,Inherited!A:A,Inherited!B:B)))/100)*IF(Z43="1.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(100%)","100"))))))&gt;=33,(((_xlfn.XLOOKUP(Assessment!H44,Inherited!A:A,Inherited!B:B))/100)*(_xlfn.XLOOKUP(Assessment!H44,Inherited!A:A,Inherited!E:E)))+(((100-(_xlfn.XLOOKUP(Assessment!H44,Inherited!A:A,Inherited!B:B)))/100)*IF(Z43="1.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(100%)","100"))))))&lt;=65),"50",IF(AND((((_xlfn.XLOOKUP(Assessment!H44,Inherited!A:A,Inherited!B:B))/100)*(_xlfn.XLOOKUP(Assessment!H44,Inherited!A:A,Inherited!E:E)))+(((100-(_xlfn.XLOOKUP(Assessment!H44,Inherited!A:A,Inherited!B:B)))/100)*IF(Z43="1.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(100%)","100"))))))&gt;=66,(((_xlfn.XLOOKUP(Assessment!H44,Inherited!A:A,Inherited!B:B))/100)*(_xlfn.XLOOKUP(Assessment!H44,Inherited!A:A,Inherited!E:E)))+(((100-(_xlfn.XLOOKUP(Assessment!H44,Inherited!A:A,Inherited!B:B)))/100)*IF(Z43="1.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(100%)","100"))))))&lt;=89),"75",IF((((_xlfn.XLOOKUP(Assessment!H44,Inherited!A:A,Inherited!B:B))/100)*(_xlfn.XLOOKUP(Assessment!H44,Inherited!A:A,Inherited!E:E)))+(((100-(_xlfn.XLOOKUP(Assessment!H44,Inherited!A:A,Inherited!B:B)))/100)*IF(Z43="1. Non Compliant (0%)","0",IF(Z43="2. Somewhat Compliant (25%)","25",IF(Z43="3. Partially Compliant (50%)","50",IF(Z43="4. Mostly Compliant (75%)","75",IF(Z43="5. Fully Compliant (100%)","100"))))))&gt;=90,"100"))))))</f>
        <v>#N/A</v>
      </c>
      <c r="T43" s="1" t="e">
        <f>IF(MATCH(H43,Inherited!A:A),IF((((_xlfn.XLOOKUP(Assessment!H44,Inherited!A:A,Inherited!B:B))/100)*(_xlfn.XLOOKUP(Assessment!H44,Inherited!A:A,Inherited!F:F)))+(((100-(_xlfn.XLOOKUP(Assessment!H44,Inherited!A:A,Inherited!B:B)))/100)*IF(AA43="1.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(100%)","100"))))))&lt;=10,"0", IF(AND((((_xlfn.XLOOKUP(Assessment!H44,Inherited!A:A,Inherited!B:B))/100)*(_xlfn.XLOOKUP(Assessment!H44,Inherited!A:A,Inherited!F:F)))+(((100-(_xlfn.XLOOKUP(Assessment!H44,Inherited!A:A,Inherited!B:B)))/100)*IF(AA43="1.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(100%)","100"))))))&gt;=11,(((_xlfn.XLOOKUP(Assessment!H44,Inherited!A:A,Inherited!B:B))/100)*(_xlfn.XLOOKUP(Assessment!H44,Inherited!A:A,Inherited!F:F)))+(((100-(_xlfn.XLOOKUP(Assessment!H44,Inherited!A:A,Inherited!B:B)))/100)*IF(AA43="1.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(100%)","100"))))))&lt;=32),"25",IF(AND((((_xlfn.XLOOKUP(Assessment!H44,Inherited!A:A,Inherited!B:B))/100)*(_xlfn.XLOOKUP(Assessment!H44,Inherited!A:A,Inherited!F:F)))+(((100-(_xlfn.XLOOKUP(Assessment!H44,Inherited!A:A,Inherited!B:B)))/100)*IF(AA43="1.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(100%)","100"))))))&gt;=33,(((_xlfn.XLOOKUP(Assessment!H44,Inherited!A:A,Inherited!B:B))/100)*(_xlfn.XLOOKUP(Assessment!H44,Inherited!A:A,Inherited!F:F)))+(((100-(_xlfn.XLOOKUP(Assessment!H44,Inherited!A:A,Inherited!B:B)))/100)*IF(AA43="1.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(100%)","100"))))))&lt;=65),"50",IF(AND((((_xlfn.XLOOKUP(Assessment!H44,Inherited!A:A,Inherited!B:B))/100)*(_xlfn.XLOOKUP(Assessment!H44,Inherited!A:A,Inherited!F:F)))+(((100-(_xlfn.XLOOKUP(Assessment!H44,Inherited!A:A,Inherited!B:B)))/100)*IF(AA43="1.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(100%)","100"))))))&gt;=66,(((_xlfn.XLOOKUP(Assessment!H44,Inherited!A:A,Inherited!B:B))/100)*(_xlfn.XLOOKUP(Assessment!H44,Inherited!A:A,Inherited!F:F)))+(((100-(_xlfn.XLOOKUP(Assessment!H44,Inherited!A:A,Inherited!B:B)))/100)*IF(AA43="1.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(100%)","100"))))))&lt;=89),"75",IF((((_xlfn.XLOOKUP(Assessment!H44,Inherited!A:A,Inherited!B:B))/100)*(_xlfn.XLOOKUP(Assessment!H44,Inherited!A:A,Inherited!F:F)))+(((100-(_xlfn.XLOOKUP(Assessment!H44,Inherited!A:A,Inherited!B:B)))/100)*IF(AA43="1. Non Compliant (0%)","0",IF(AA43="2. Somewhat Compliant (25%)","25",IF(AA43="3. Partially Compliant (50%)","50",IF(AA43="4. Mostly Compliant (75%)","75",IF(AA43="5. Fully Compliant (100%)","100"))))))&gt;=90,"100"))))))</f>
        <v>#N/A</v>
      </c>
      <c r="U43" s="1" t="e">
        <f>IF(MATCH(H43,Inherited!A:A),IF((((_xlfn.XLOOKUP(Assessment!H44,Inherited!A:A,Inherited!B:B))/100)*(_xlfn.XLOOKUP(Assessment!H44,Inherited!A:A,Inherited!G:G)))+(((100-(_xlfn.XLOOKUP(Assessment!H44,Inherited!A:A,Inherited!B:B)))/100)*IF(AB43="1.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(100%)","100"))))))&lt;=10,"0", IF(AND((((_xlfn.XLOOKUP(Assessment!H44,Inherited!A:A,Inherited!B:B))/100)*(_xlfn.XLOOKUP(Assessment!H44,Inherited!A:A,Inherited!G:G)))+(((100-(_xlfn.XLOOKUP(Assessment!H44,Inherited!A:A,Inherited!B:B)))/100)*IF(AB43="1.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(100%)","100"))))))&gt;=11,(((_xlfn.XLOOKUP(Assessment!H44,Inherited!A:A,Inherited!B:B))/100)*(_xlfn.XLOOKUP(Assessment!H44,Inherited!A:A,Inherited!G:G)))+(((100-(_xlfn.XLOOKUP(Assessment!H44,Inherited!A:A,Inherited!B:B)))/100)*IF(AB43="1.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(100%)","100"))))))&lt;=32),"25",IF(AND((((_xlfn.XLOOKUP(Assessment!H44,Inherited!A:A,Inherited!B:B))/100)*(_xlfn.XLOOKUP(Assessment!H44,Inherited!A:A,Inherited!G:G)))+(((100-(_xlfn.XLOOKUP(Assessment!H44,Inherited!A:A,Inherited!B:B)))/100)*IF(AB43="1.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(100%)","100"))))))&gt;=33,(((_xlfn.XLOOKUP(Assessment!H44,Inherited!A:A,Inherited!B:B))/100)*(_xlfn.XLOOKUP(Assessment!H44,Inherited!A:A,Inherited!G:G)))+(((100-(_xlfn.XLOOKUP(Assessment!H44,Inherited!A:A,Inherited!B:B)))/100)*IF(AB43="1.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(100%)","100"))))))&lt;=65),"50",IF(AND((((_xlfn.XLOOKUP(Assessment!H44,Inherited!A:A,Inherited!B:B))/100)*(_xlfn.XLOOKUP(Assessment!H44,Inherited!A:A,Inherited!G:G)))+(((100-(_xlfn.XLOOKUP(Assessment!H44,Inherited!A:A,Inherited!B:B)))/100)*IF(AB43="1.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(100%)","100"))))))&gt;=66,(((_xlfn.XLOOKUP(Assessment!H44,Inherited!A:A,Inherited!B:B))/100)*(_xlfn.XLOOKUP(Assessment!H44,Inherited!A:A,Inherited!G:G)))+(((100-(_xlfn.XLOOKUP(Assessment!H44,Inherited!A:A,Inherited!B:B)))/100)*IF(AB43="1.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(100%)","100"))))))&lt;=89),"75",IF((((_xlfn.XLOOKUP(Assessment!H44,Inherited!A:A,Inherited!B:B))/100)*(_xlfn.XLOOKUP(Assessment!H44,Inherited!A:A,Inherited!G:G)))+(((100-(_xlfn.XLOOKUP(Assessment!H44,Inherited!A:A,Inherited!B:B)))/100)*IF(AB43="1. Non Compliant (0%)","0",IF(AB43="2. Somewhat Compliant (25%)","25",IF(AB43="3. Partially Compliant (50%)","50",IF(AB43="4. Mostly Compliant (75%)","75",IF(AB43="5. Fully Compliant (100%)","100"))))))&gt;=90,"100"))))))</f>
        <v>#N/A</v>
      </c>
      <c r="V43" s="55" t="s">
        <v>85</v>
      </c>
      <c r="W43" s="55"/>
      <c r="X43" s="55"/>
      <c r="Y43" s="55"/>
      <c r="Z43" s="55" t="s">
        <v>10873</v>
      </c>
      <c r="AA43" s="55"/>
      <c r="AB43" s="55"/>
      <c r="AK43" s="1" t="s">
        <v>10891</v>
      </c>
      <c r="AP43" s="85" t="s">
        <v>11159</v>
      </c>
      <c r="AX43" s="3" t="str">
        <f>_xlfn.CONCAT("A-LIGN finished its review of this control on ",AR43, " during the scheduled fieldwork window (",Intro!$B$4,")."&amp; CHAR(10)&amp; CHAR(10))</f>
        <v xml:space="preserve">A-LIGN finished its review of this control on  during the scheduled fieldwork window (Fieldwork: xx/xx/xxxx - xx/xx/xxxx).
</v>
      </c>
      <c r="AY43" s="3" t="str">
        <f t="shared" ref="AY43:AY59" si="81">IF(AQ43&lt;&gt;"",(_xlfn.CONCAT("Inheritance note: "&amp; CHAR(10),AQ43&amp; CHAR(10)&amp; CHAR(10))),"")</f>
        <v/>
      </c>
      <c r="AZ43" s="3" t="str">
        <f t="shared" ref="AZ43:AZ59" si="82">IFERROR(IF(AD43&lt;&gt;"",_xlfn.CONCAT("Examined the following policy during fieldwork:"&amp; CHAR(10),AD43&amp; CHAR(10)&amp; CHAR(10),IF(AND(X43&lt;&gt;"5. Fully Compliant (100%)",AE43&lt;&gt;""),"Reviewed policy exception note:"&amp; CHAR(10) &amp; AE43 &amp; CHAR(10) &amp; CHAR(10),"")),""),"")</f>
        <v/>
      </c>
      <c r="BA43" s="3" t="str">
        <f t="shared" ref="BA43:BA59" si="83">IFERROR(IF(AH43&lt;&gt;"",_xlfn.CONCAT("Examined the following process during fieldwork:"&amp; CHAR(10),AH43&amp; CHAR(10)&amp; CHAR(10),IF(AND(Y43&lt;&gt;"5. Fully Compliant (100%)",AI43&lt;&gt;""),"Reviewed process exception note:"&amp; CHAR(10) &amp; AI43 &amp; CHAR(10) &amp; CHAR(10),"")),""),"")</f>
        <v/>
      </c>
      <c r="BB43" s="3" t="str">
        <f t="shared" ref="BB43:BB59" si="84">IF(AK43&lt;&gt;"",(_xlfn.CONCAT("Inquired of the following workforce member: "&amp; CHAR(10),AK43&amp; CHAR(10)&amp; CHAR(10),"Inquiry lead to the following conclusions: "&amp; CHAR(10),AL43&amp; CHAR(10) &amp; CHAR(10))),"")</f>
        <v xml:space="preserve">Inquired of the following workforce member: 
Matthew Macaluso - Director of System Operations
Roze Nicolas - Director of TechOps
Inquiry lead to the following conclusions: 
</v>
      </c>
      <c r="BC43" s="3" t="str">
        <f t="shared" ref="BC43:BC59" si="85">IF(AM43&lt;&gt;"",(_xlfn.CONCAT("Observed the following live during fieldwork: "&amp; CHAR(10),AM43&amp; CHAR(10) &amp; CHAR(10))),"")</f>
        <v/>
      </c>
      <c r="BD43" s="3" t="str">
        <f t="shared" ref="BD43:BD59" si="86">_xlfn.CONCAT("Examined the following evidence during fieldwork:"&amp; CHAR(10),AN43&amp; CHAR(10)&amp; CHAR(10),IF(AO43&lt;&gt;"","Reviewed evidence note:"&amp; CHAR(10)&amp;AO43&amp; CHAR(10) &amp; CHAR(10),"Reviewed evidence addressed the requirement statement."&amp; CHAR(10) &amp; CHAR(10)),IF(AND(AP43&lt;&gt;"5. Fully Compliant (100%)",AP43&lt;&gt;""),"Reviewed evidence exception note: "&amp; CHAR(10) &amp; AP43 &amp; CHAR(10) &amp; CHAR(10),""))</f>
        <v xml:space="preserve">Examined the following evidence during fieldwork:
Reviewed evidence addressed the requirement statement.
Reviewed evidence exception note: 
Gap: A-LIGN was unable to gain assurance that there is a separation between development and production environments.
Recommendation: Management should ensure that a separation between the development and production environments is implemented.
</v>
      </c>
      <c r="BE43" s="3" t="str">
        <f t="shared" ref="BE43:BE59" si="87">IF(AT43&lt;&gt;"",(_xlfn.CONCAT("Examined the following measure/metric during fieldwork:"&amp; CHAR(10),AT43&amp; CHAR(10)&amp; CHAR(10),"Reviewed measure/metric note:"&amp; CHAR(10),AU43 &amp; CHAR(10) &amp; CHAR(10))),"")</f>
        <v/>
      </c>
      <c r="BF43" s="3" t="str">
        <f t="shared" ref="BF43:BF59" si="88">IF(AV43&lt;&gt;"",(_xlfn.CONCAT("Examined the following measure/metric management during fieldwork:"&amp; CHAR(10),AV43&amp; CHAR(10)&amp; CHAR(10),"Reviewed measure/metric management note:"&amp; CHAR(10),AW43 &amp; CHAR(10) &amp; CHAR(10))),"")</f>
        <v/>
      </c>
      <c r="BG43" s="3" t="str">
        <f>_xlfn.CONCAT((IF((COUNTIF('Sample Tables'!B:B,"Test 040: Change (software development release)")&gt;0)=TRUE,_xlfn.CONCAT("Sample test results are documented in ",'Sample Tables'!B436," [",'Sample Tables'!B437,", ",'Sample Tables'!B438,", ",'Sample Tables'!B439,", ",'Sample Tables'!B440,", ",'Sample Tables'!B441,"]."&amp;CHAR(10)),IF((COUNTIF('Sample Tables'!B:B,"Test 040: Change (software development release)")&gt;0)=FALSE,""))),)</f>
        <v xml:space="preserve">Sample test results are documented in Test 040: Change (software development release) [Population Source/Tool: , Population Date Range: , Population Size: , Sample Methodology: , Sample Size: ].
</v>
      </c>
      <c r="BH43" s="3" t="str">
        <f t="shared" ref="BH43:BH59" si="89">IF(V43="No","Not Applicable: "&amp;W43,(_xlfn.CONCAT(AX43,AY43,AZ43,BA43,BB43,BC43,BD43,BE43,BF43,BG43)))</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Examined the following evidence during fieldwork:
Reviewed evidence addressed the requirement statement.
Reviewed evidence exception note: 
Gap: A-LIGN was unable to gain assurance that there is a separation between development and production environments.
Recommendation: Management should ensure that a separation between the development and production environments is implemented.
Sample test results are documented in Test 040: Change (software development release) [Population Source/Tool: , Population Date Range: , Population Size: , Sample Methodology: , Sample Size: ].
</v>
      </c>
    </row>
    <row r="44" spans="3:60" ht="291.75" customHeight="1" x14ac:dyDescent="0.35">
      <c r="C44" s="1">
        <f t="shared" si="80"/>
        <v>0</v>
      </c>
      <c r="D44" s="5" t="str">
        <f>IF(AND((_xlfn.XLOOKUP(J44,'Fields &amp; Revisions'!$H:$H,'Fields &amp; Revisions'!$I:$I))&lt;70.99,(OR(Z44="4. Mostly Compliant (75%)",Z44="3. Partially Compliant (50%)",Z44="2. Somewhat Compliant (25%)",Z44="1. Non Compliant (0%)"))),"Yes","No")</f>
        <v>Yes</v>
      </c>
      <c r="E44" s="5" t="str">
        <f>IF(ISERROR(VLOOKUP(H44,Scope!A:A,1,FALSE)),"No","Yes")</f>
        <v>Yes</v>
      </c>
      <c r="F44" s="1" t="s">
        <v>1293</v>
      </c>
      <c r="G44" s="53" t="s">
        <v>1294</v>
      </c>
      <c r="H44" s="53" t="s">
        <v>1295</v>
      </c>
      <c r="I44" s="5" t="s">
        <v>93</v>
      </c>
      <c r="J44" s="1" t="s">
        <v>977</v>
      </c>
      <c r="K44" s="54" t="s">
        <v>1296</v>
      </c>
      <c r="L44" s="1" t="s">
        <v>1297</v>
      </c>
      <c r="M44" s="1" t="s">
        <v>1298</v>
      </c>
      <c r="N44" s="5" t="s">
        <v>85</v>
      </c>
      <c r="O44" s="1" t="str">
        <f>_xlfn.XLOOKUP(G44,SRMs!$A:$A,SRMs!$D:$D)</f>
        <v>NO INHERITANCE</v>
      </c>
      <c r="P44" s="1" t="str">
        <f>IFERROR(VLOOKUP(H44,Inherited!A:B,2,FALSE),"")</f>
        <v/>
      </c>
      <c r="Q44" s="1" t="e">
        <f>IF(MATCH(H44,Inherited!A:A),IF((((_xlfn.XLOOKUP(Assessment!H45,Inherited!A:A,Inherited!B:B))/100)*(_xlfn.XLOOKUP(Assessment!H45,Inherited!A:A,Inherited!C:C)))+(((100-(_xlfn.XLOOKUP(Assessment!H45,Inherited!A:A,Inherited!B:B)))/100)*IF(X44="1.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(100%)","100"))))))&lt;=10,"0", IF(AND((((_xlfn.XLOOKUP(Assessment!H45,Inherited!A:A,Inherited!B:B))/100)*(_xlfn.XLOOKUP(Assessment!H45,Inherited!A:A,Inherited!C:C)))+(((100-(_xlfn.XLOOKUP(Assessment!H45,Inherited!A:A,Inherited!B:B)))/100)*IF(X44="1.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(100%)","100"))))))&gt;=11,(((_xlfn.XLOOKUP(Assessment!H45,Inherited!A:A,Inherited!B:B))/100)*(_xlfn.XLOOKUP(Assessment!H45,Inherited!A:A,Inherited!C:C)))+(((100-(_xlfn.XLOOKUP(Assessment!H45,Inherited!A:A,Inherited!B:B)))/100)*IF(X44="1.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(100%)","100"))))))&lt;=32),"25",IF(AND((((_xlfn.XLOOKUP(Assessment!H45,Inherited!A:A,Inherited!B:B))/100)*(_xlfn.XLOOKUP(Assessment!H45,Inherited!A:A,Inherited!C:C)))+(((100-(_xlfn.XLOOKUP(Assessment!H45,Inherited!A:A,Inherited!B:B)))/100)*IF(X44="1.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(100%)","100"))))))&gt;=33,(((_xlfn.XLOOKUP(Assessment!H45,Inherited!A:A,Inherited!B:B))/100)*(_xlfn.XLOOKUP(Assessment!H45,Inherited!A:A,Inherited!C:C)))+(((100-(_xlfn.XLOOKUP(Assessment!H45,Inherited!A:A,Inherited!B:B)))/100)*IF(X44="1.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(100%)","100"))))))&lt;=65),"50",IF(AND((((_xlfn.XLOOKUP(Assessment!H45,Inherited!A:A,Inherited!B:B))/100)*(_xlfn.XLOOKUP(Assessment!H45,Inherited!A:A,Inherited!C:C)))+(((100-(_xlfn.XLOOKUP(Assessment!H45,Inherited!A:A,Inherited!B:B)))/100)*IF(X44="1.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(100%)","100"))))))&gt;=66,(((_xlfn.XLOOKUP(Assessment!H45,Inherited!A:A,Inherited!B:B))/100)*(_xlfn.XLOOKUP(Assessment!H45,Inherited!A:A,Inherited!C:C)))+(((100-(_xlfn.XLOOKUP(Assessment!H45,Inherited!A:A,Inherited!B:B)))/100)*IF(X44="1.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(100%)","100"))))))&lt;=89),"75",IF((((_xlfn.XLOOKUP(Assessment!H45,Inherited!A:A,Inherited!B:B))/100)*(_xlfn.XLOOKUP(Assessment!H45,Inherited!A:A,Inherited!C:C)))+(((100-(_xlfn.XLOOKUP(Assessment!H45,Inherited!A:A,Inherited!B:B)))/100)*IF(X44="1. Non Compliant (0%)","0",IF(X44="2. Somewhat Compliant (25%)","25",IF(X44="3. Partially Compliant (50%)","50",IF(X44="4. Mostly Compliant (75%)","75",IF(X44="5. Fully Compliant (100%)","100"))))))&gt;=90,"100"))))))</f>
        <v>#N/A</v>
      </c>
      <c r="R44" s="1" t="e">
        <f>IF(MATCH(H44,Inherited!A:A),IF((((_xlfn.XLOOKUP(Assessment!H45,Inherited!A:A,Inherited!B:B))/100)*(_xlfn.XLOOKUP(Assessment!H45,Inherited!A:A,Inherited!D:D)))+(((100-(_xlfn.XLOOKUP(Assessment!H45,Inherited!A:A,Inherited!B:B)))/100)*IF(Y44="1.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(100%)","100"))))))&lt;=10,"0", IF(AND((((_xlfn.XLOOKUP(Assessment!H45,Inherited!A:A,Inherited!B:B))/100)*(_xlfn.XLOOKUP(Assessment!H45,Inherited!A:A,Inherited!D:D)))+(((100-(_xlfn.XLOOKUP(Assessment!H45,Inherited!A:A,Inherited!B:B)))/100)*IF(Y44="1.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(100%)","100"))))))&gt;=11,(((_xlfn.XLOOKUP(Assessment!H45,Inherited!A:A,Inherited!B:B))/100)*(_xlfn.XLOOKUP(Assessment!H45,Inherited!A:A,Inherited!D:D)))+(((100-(_xlfn.XLOOKUP(Assessment!H45,Inherited!A:A,Inherited!B:B)))/100)*IF(Y44="1.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(100%)","100"))))))&lt;=32),"25",IF(AND((((_xlfn.XLOOKUP(Assessment!H45,Inherited!A:A,Inherited!B:B))/100)*(_xlfn.XLOOKUP(Assessment!H45,Inherited!A:A,Inherited!D:D)))+(((100-(_xlfn.XLOOKUP(Assessment!H45,Inherited!A:A,Inherited!B:B)))/100)*IF(Y44="1.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(100%)","100"))))))&gt;=33,(((_xlfn.XLOOKUP(Assessment!H45,Inherited!A:A,Inherited!B:B))/100)*(_xlfn.XLOOKUP(Assessment!H45,Inherited!A:A,Inherited!D:D)))+(((100-(_xlfn.XLOOKUP(Assessment!H45,Inherited!A:A,Inherited!B:B)))/100)*IF(Y44="1.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(100%)","100"))))))&lt;=65),"50",IF(AND((((_xlfn.XLOOKUP(Assessment!H45,Inherited!A:A,Inherited!B:B))/100)*(_xlfn.XLOOKUP(Assessment!H45,Inherited!A:A,Inherited!D:D)))+(((100-(_xlfn.XLOOKUP(Assessment!H45,Inherited!A:A,Inherited!B:B)))/100)*IF(Y44="1.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(100%)","100"))))))&gt;=66,(((_xlfn.XLOOKUP(Assessment!H45,Inherited!A:A,Inherited!B:B))/100)*(_xlfn.XLOOKUP(Assessment!H45,Inherited!A:A,Inherited!D:D)))+(((100-(_xlfn.XLOOKUP(Assessment!H45,Inherited!A:A,Inherited!B:B)))/100)*IF(Y44="1.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(100%)","100"))))))&lt;=89),"75",IF((((_xlfn.XLOOKUP(Assessment!H45,Inherited!A:A,Inherited!B:B))/100)*(_xlfn.XLOOKUP(Assessment!H45,Inherited!A:A,Inherited!D:D)))+(((100-(_xlfn.XLOOKUP(Assessment!H45,Inherited!A:A,Inherited!B:B)))/100)*IF(Y44="1. Non Compliant (0%)","0",IF(Y44="2. Somewhat Compliant (25%)","25",IF(Y44="3. Partially Compliant (50%)","50",IF(Y44="4. Mostly Compliant (75%)","75",IF(Y44="5. Fully Compliant (100%)","100"))))))&gt;=90,"100"))))))</f>
        <v>#N/A</v>
      </c>
      <c r="S44" s="1" t="e">
        <f>IF(MATCH(H44,Inherited!A:A),IF((((_xlfn.XLOOKUP(Assessment!H45,Inherited!A:A,Inherited!B:B))/100)*(_xlfn.XLOOKUP(Assessment!H45,Inherited!A:A,Inherited!E:E)))+(((100-(_xlfn.XLOOKUP(Assessment!H45,Inherited!A:A,Inherited!B:B)))/100)*IF(Z44="1.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(100%)","100"))))))&lt;=10,"0", IF(AND((((_xlfn.XLOOKUP(Assessment!H45,Inherited!A:A,Inherited!B:B))/100)*(_xlfn.XLOOKUP(Assessment!H45,Inherited!A:A,Inherited!E:E)))+(((100-(_xlfn.XLOOKUP(Assessment!H45,Inherited!A:A,Inherited!B:B)))/100)*IF(Z44="1.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(100%)","100"))))))&gt;=11,(((_xlfn.XLOOKUP(Assessment!H45,Inherited!A:A,Inherited!B:B))/100)*(_xlfn.XLOOKUP(Assessment!H45,Inherited!A:A,Inherited!E:E)))+(((100-(_xlfn.XLOOKUP(Assessment!H45,Inherited!A:A,Inherited!B:B)))/100)*IF(Z44="1.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(100%)","100"))))))&lt;=32),"25",IF(AND((((_xlfn.XLOOKUP(Assessment!H45,Inherited!A:A,Inherited!B:B))/100)*(_xlfn.XLOOKUP(Assessment!H45,Inherited!A:A,Inherited!E:E)))+(((100-(_xlfn.XLOOKUP(Assessment!H45,Inherited!A:A,Inherited!B:B)))/100)*IF(Z44="1.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(100%)","100"))))))&gt;=33,(((_xlfn.XLOOKUP(Assessment!H45,Inherited!A:A,Inherited!B:B))/100)*(_xlfn.XLOOKUP(Assessment!H45,Inherited!A:A,Inherited!E:E)))+(((100-(_xlfn.XLOOKUP(Assessment!H45,Inherited!A:A,Inherited!B:B)))/100)*IF(Z44="1.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(100%)","100"))))))&lt;=65),"50",IF(AND((((_xlfn.XLOOKUP(Assessment!H45,Inherited!A:A,Inherited!B:B))/100)*(_xlfn.XLOOKUP(Assessment!H45,Inherited!A:A,Inherited!E:E)))+(((100-(_xlfn.XLOOKUP(Assessment!H45,Inherited!A:A,Inherited!B:B)))/100)*IF(Z44="1.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(100%)","100"))))))&gt;=66,(((_xlfn.XLOOKUP(Assessment!H45,Inherited!A:A,Inherited!B:B))/100)*(_xlfn.XLOOKUP(Assessment!H45,Inherited!A:A,Inherited!E:E)))+(((100-(_xlfn.XLOOKUP(Assessment!H45,Inherited!A:A,Inherited!B:B)))/100)*IF(Z44="1.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(100%)","100"))))))&lt;=89),"75",IF((((_xlfn.XLOOKUP(Assessment!H45,Inherited!A:A,Inherited!B:B))/100)*(_xlfn.XLOOKUP(Assessment!H45,Inherited!A:A,Inherited!E:E)))+(((100-(_xlfn.XLOOKUP(Assessment!H45,Inherited!A:A,Inherited!B:B)))/100)*IF(Z44="1. Non Compliant (0%)","0",IF(Z44="2. Somewhat Compliant (25%)","25",IF(Z44="3. Partially Compliant (50%)","50",IF(Z44="4. Mostly Compliant (75%)","75",IF(Z44="5. Fully Compliant (100%)","100"))))))&gt;=90,"100"))))))</f>
        <v>#N/A</v>
      </c>
      <c r="T44" s="1" t="e">
        <f>IF(MATCH(H44,Inherited!A:A),IF((((_xlfn.XLOOKUP(Assessment!H45,Inherited!A:A,Inherited!B:B))/100)*(_xlfn.XLOOKUP(Assessment!H45,Inherited!A:A,Inherited!F:F)))+(((100-(_xlfn.XLOOKUP(Assessment!H45,Inherited!A:A,Inherited!B:B)))/100)*IF(AA44="1.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(100%)","100"))))))&lt;=10,"0", IF(AND((((_xlfn.XLOOKUP(Assessment!H45,Inherited!A:A,Inherited!B:B))/100)*(_xlfn.XLOOKUP(Assessment!H45,Inherited!A:A,Inherited!F:F)))+(((100-(_xlfn.XLOOKUP(Assessment!H45,Inherited!A:A,Inherited!B:B)))/100)*IF(AA44="1.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(100%)","100"))))))&gt;=11,(((_xlfn.XLOOKUP(Assessment!H45,Inherited!A:A,Inherited!B:B))/100)*(_xlfn.XLOOKUP(Assessment!H45,Inherited!A:A,Inherited!F:F)))+(((100-(_xlfn.XLOOKUP(Assessment!H45,Inherited!A:A,Inherited!B:B)))/100)*IF(AA44="1.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(100%)","100"))))))&lt;=32),"25",IF(AND((((_xlfn.XLOOKUP(Assessment!H45,Inherited!A:A,Inherited!B:B))/100)*(_xlfn.XLOOKUP(Assessment!H45,Inherited!A:A,Inherited!F:F)))+(((100-(_xlfn.XLOOKUP(Assessment!H45,Inherited!A:A,Inherited!B:B)))/100)*IF(AA44="1.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(100%)","100"))))))&gt;=33,(((_xlfn.XLOOKUP(Assessment!H45,Inherited!A:A,Inherited!B:B))/100)*(_xlfn.XLOOKUP(Assessment!H45,Inherited!A:A,Inherited!F:F)))+(((100-(_xlfn.XLOOKUP(Assessment!H45,Inherited!A:A,Inherited!B:B)))/100)*IF(AA44="1.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(100%)","100"))))))&lt;=65),"50",IF(AND((((_xlfn.XLOOKUP(Assessment!H45,Inherited!A:A,Inherited!B:B))/100)*(_xlfn.XLOOKUP(Assessment!H45,Inherited!A:A,Inherited!F:F)))+(((100-(_xlfn.XLOOKUP(Assessment!H45,Inherited!A:A,Inherited!B:B)))/100)*IF(AA44="1.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(100%)","100"))))))&gt;=66,(((_xlfn.XLOOKUP(Assessment!H45,Inherited!A:A,Inherited!B:B))/100)*(_xlfn.XLOOKUP(Assessment!H45,Inherited!A:A,Inherited!F:F)))+(((100-(_xlfn.XLOOKUP(Assessment!H45,Inherited!A:A,Inherited!B:B)))/100)*IF(AA44="1.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(100%)","100"))))))&lt;=89),"75",IF((((_xlfn.XLOOKUP(Assessment!H45,Inherited!A:A,Inherited!B:B))/100)*(_xlfn.XLOOKUP(Assessment!H45,Inherited!A:A,Inherited!F:F)))+(((100-(_xlfn.XLOOKUP(Assessment!H45,Inherited!A:A,Inherited!B:B)))/100)*IF(AA44="1. Non Compliant (0%)","0",IF(AA44="2. Somewhat Compliant (25%)","25",IF(AA44="3. Partially Compliant (50%)","50",IF(AA44="4. Mostly Compliant (75%)","75",IF(AA44="5. Fully Compliant (100%)","100"))))))&gt;=90,"100"))))))</f>
        <v>#N/A</v>
      </c>
      <c r="U44" s="1" t="e">
        <f>IF(MATCH(H44,Inherited!A:A),IF((((_xlfn.XLOOKUP(Assessment!H45,Inherited!A:A,Inherited!B:B))/100)*(_xlfn.XLOOKUP(Assessment!H45,Inherited!A:A,Inherited!G:G)))+(((100-(_xlfn.XLOOKUP(Assessment!H45,Inherited!A:A,Inherited!B:B)))/100)*IF(AB44="1.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(100%)","100"))))))&lt;=10,"0", IF(AND((((_xlfn.XLOOKUP(Assessment!H45,Inherited!A:A,Inherited!B:B))/100)*(_xlfn.XLOOKUP(Assessment!H45,Inherited!A:A,Inherited!G:G)))+(((100-(_xlfn.XLOOKUP(Assessment!H45,Inherited!A:A,Inherited!B:B)))/100)*IF(AB44="1.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(100%)","100"))))))&gt;=11,(((_xlfn.XLOOKUP(Assessment!H45,Inherited!A:A,Inherited!B:B))/100)*(_xlfn.XLOOKUP(Assessment!H45,Inherited!A:A,Inherited!G:G)))+(((100-(_xlfn.XLOOKUP(Assessment!H45,Inherited!A:A,Inherited!B:B)))/100)*IF(AB44="1.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(100%)","100"))))))&lt;=32),"25",IF(AND((((_xlfn.XLOOKUP(Assessment!H45,Inherited!A:A,Inherited!B:B))/100)*(_xlfn.XLOOKUP(Assessment!H45,Inherited!A:A,Inherited!G:G)))+(((100-(_xlfn.XLOOKUP(Assessment!H45,Inherited!A:A,Inherited!B:B)))/100)*IF(AB44="1.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(100%)","100"))))))&gt;=33,(((_xlfn.XLOOKUP(Assessment!H45,Inherited!A:A,Inherited!B:B))/100)*(_xlfn.XLOOKUP(Assessment!H45,Inherited!A:A,Inherited!G:G)))+(((100-(_xlfn.XLOOKUP(Assessment!H45,Inherited!A:A,Inherited!B:B)))/100)*IF(AB44="1.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(100%)","100"))))))&lt;=65),"50",IF(AND((((_xlfn.XLOOKUP(Assessment!H45,Inherited!A:A,Inherited!B:B))/100)*(_xlfn.XLOOKUP(Assessment!H45,Inherited!A:A,Inherited!G:G)))+(((100-(_xlfn.XLOOKUP(Assessment!H45,Inherited!A:A,Inherited!B:B)))/100)*IF(AB44="1.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(100%)","100"))))))&gt;=66,(((_xlfn.XLOOKUP(Assessment!H45,Inherited!A:A,Inherited!B:B))/100)*(_xlfn.XLOOKUP(Assessment!H45,Inherited!A:A,Inherited!G:G)))+(((100-(_xlfn.XLOOKUP(Assessment!H45,Inherited!A:A,Inherited!B:B)))/100)*IF(AB44="1.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(100%)","100"))))))&lt;=89),"75",IF((((_xlfn.XLOOKUP(Assessment!H45,Inherited!A:A,Inherited!B:B))/100)*(_xlfn.XLOOKUP(Assessment!H45,Inherited!A:A,Inherited!G:G)))+(((100-(_xlfn.XLOOKUP(Assessment!H45,Inherited!A:A,Inherited!B:B)))/100)*IF(AB44="1. Non Compliant (0%)","0",IF(AB44="2. Somewhat Compliant (25%)","25",IF(AB44="3. Partially Compliant (50%)","50",IF(AB44="4. Mostly Compliant (75%)","75",IF(AB44="5. Fully Compliant (100%)","100"))))))&gt;=90,"100"))))))</f>
        <v>#N/A</v>
      </c>
      <c r="V44" s="55" t="s">
        <v>85</v>
      </c>
      <c r="W44" s="55"/>
      <c r="X44" s="55"/>
      <c r="Y44" s="55"/>
      <c r="Z44" s="55" t="s">
        <v>10873</v>
      </c>
      <c r="AA44" s="55"/>
      <c r="AB44" s="55"/>
      <c r="AK44" s="1" t="s">
        <v>10978</v>
      </c>
      <c r="AL44" s="1" t="s">
        <v>10987</v>
      </c>
      <c r="AP44" s="1" t="s">
        <v>11063</v>
      </c>
      <c r="AX44" s="3" t="str">
        <f>_xlfn.CONCAT("A-LIGN finished its review of this control on ",AR44, " during the scheduled fieldwork window (",Intro!$B$4,")."&amp; CHAR(10)&amp; CHAR(10))</f>
        <v xml:space="preserve">A-LIGN finished its review of this control on  during the scheduled fieldwork window (Fieldwork: xx/xx/xxxx - xx/xx/xxxx).
</v>
      </c>
      <c r="AY44" s="3" t="str">
        <f t="shared" si="81"/>
        <v/>
      </c>
      <c r="AZ44" s="3" t="str">
        <f t="shared" si="82"/>
        <v/>
      </c>
      <c r="BA44" s="3" t="str">
        <f t="shared" si="83"/>
        <v/>
      </c>
      <c r="BB44" s="3" t="str">
        <f t="shared" si="84"/>
        <v xml:space="preserve">Inquired of the following workforce member: 
Michael Wood - VP of AI Engineering
Kyle Smith - IT Operations and AI Expert 
Inquiry lead to the following conclusions: 
AI Security assessments (penetration tests) are not currently completed at this time.
However, Merge will ensure these are done in the future inline with their current penetration testing efforts/schedule
</v>
      </c>
      <c r="BC44" s="3" t="str">
        <f t="shared" si="85"/>
        <v/>
      </c>
      <c r="BD44" s="3" t="str">
        <f t="shared" si="86"/>
        <v xml:space="preserve">Examined the following evidence during fieldwork:
Reviewed evidence addressed the requirement statement.
Reviewed evidence exception note: 
Gap: 
AI security assessments (penetration tests) are not currently completed at this time.
Recommendation:
Management should ensure that AI security assessments (penetration tests) are completed on at least an annual basis. 
</v>
      </c>
      <c r="BE44" s="3" t="str">
        <f t="shared" si="87"/>
        <v/>
      </c>
      <c r="BF44" s="3" t="str">
        <f t="shared" si="88"/>
        <v/>
      </c>
      <c r="BG44" s="3" t="str">
        <f>_xlfn.CONCAT((IF((COUNTIF('Sample Tables'!B:B,"Test 130: Information Security (technical compliance check)")&gt;0)=TRUE,_xlfn.CONCAT("Sample test results are documented in ",'Sample Tables'!B1426," [",'Sample Tables'!B1427,", ",'Sample Tables'!B1428,", ",'Sample Tables'!B1429,", ",'Sample Tables'!B1430,", ",'Sample Tables'!B1431,"]."&amp;CHAR(10)),IF((COUNTIF('Sample Tables'!B:B,"Test 130: Information Security (technical compliance check)")&gt;0)=FALSE,""))),)</f>
        <v xml:space="preserve">Sample test results are documented in Test 130: Information Security (technical compliance check) [Population Source/Tool: , Population Date Range: , Population Size: , Sample Methodology: , Sample Size: ].
</v>
      </c>
      <c r="BH44"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Security assessments (penetration tests) are not currently completed at this time.
However, Merge will ensure these are done in the future inline with their current penetration testing efforts/schedule
Examined the following evidence during fieldwork:
Reviewed evidence addressed the requirement statement.
Reviewed evidence exception note: 
Gap: 
AI security assessments (penetration tests) are not currently completed at this time.
Recommendation:
Management should ensure that AI security assessments (penetration tests) are completed on at least an annual basis. 
Sample test results are documented in Test 130: Information Security (technical compliance check) [Population Source/Tool: , Population Date Range: , Population Size: , Sample Methodology: , Sample Size: ].
</v>
      </c>
    </row>
    <row r="45" spans="3:60" ht="337.5" x14ac:dyDescent="0.35">
      <c r="C45" s="1">
        <f t="shared" si="80"/>
        <v>20</v>
      </c>
      <c r="D45" s="5" t="str">
        <f>IF(AND((_xlfn.XLOOKUP(J45,'Fields &amp; Revisions'!$H:$H,'Fields &amp; Revisions'!$I:$I))&lt;70.99,(OR(Z45="4. Mostly Compliant (75%)",Z45="3. Partially Compliant (50%)",Z45="2. Somewhat Compliant (25%)",Z45="1. Non Compliant (0%)"))),"Yes","No")</f>
        <v>Yes</v>
      </c>
      <c r="E45" s="5" t="str">
        <f>IF(ISERROR(VLOOKUP(H45,Scope!A:A,1,FALSE)),"No","Yes")</f>
        <v>Yes</v>
      </c>
      <c r="F45" s="1" t="s">
        <v>1293</v>
      </c>
      <c r="G45" s="53" t="s">
        <v>1299</v>
      </c>
      <c r="H45" s="53" t="s">
        <v>1300</v>
      </c>
      <c r="I45" s="5">
        <v>1</v>
      </c>
      <c r="J45" s="1" t="s">
        <v>284</v>
      </c>
      <c r="K45" s="1" t="s">
        <v>1301</v>
      </c>
      <c r="L45" s="1" t="s">
        <v>1302</v>
      </c>
      <c r="M45" s="1" t="s">
        <v>1303</v>
      </c>
      <c r="N45" s="5" t="s">
        <v>98</v>
      </c>
      <c r="O45" s="1" t="str">
        <f>_xlfn.XLOOKUP(G45,SRMs!$A:$A,SRMs!$D:$D)</f>
        <v>PARTIAL INHERITANCE</v>
      </c>
      <c r="P45" s="1" t="str">
        <f>IFERROR(VLOOKUP(H45,Inherited!A:B,2,FALSE),"")</f>
        <v/>
      </c>
      <c r="Q45" s="1" t="e">
        <f>IF(MATCH(H45,Inherited!A:A),IF((((_xlfn.XLOOKUP(Assessment!H46,Inherited!A:A,Inherited!B:B))/100)*(_xlfn.XLOOKUP(Assessment!H46,Inherited!A:A,Inherited!C:C)))+(((100-(_xlfn.XLOOKUP(Assessment!H46,Inherited!A:A,Inherited!B:B)))/100)*IF(X45="1.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(100%)","100"))))))&lt;=10,"0", IF(AND((((_xlfn.XLOOKUP(Assessment!H46,Inherited!A:A,Inherited!B:B))/100)*(_xlfn.XLOOKUP(Assessment!H46,Inherited!A:A,Inherited!C:C)))+(((100-(_xlfn.XLOOKUP(Assessment!H46,Inherited!A:A,Inherited!B:B)))/100)*IF(X45="1.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(100%)","100"))))))&gt;=11,(((_xlfn.XLOOKUP(Assessment!H46,Inherited!A:A,Inherited!B:B))/100)*(_xlfn.XLOOKUP(Assessment!H46,Inherited!A:A,Inherited!C:C)))+(((100-(_xlfn.XLOOKUP(Assessment!H46,Inherited!A:A,Inherited!B:B)))/100)*IF(X45="1.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(100%)","100"))))))&lt;=32),"25",IF(AND((((_xlfn.XLOOKUP(Assessment!H46,Inherited!A:A,Inherited!B:B))/100)*(_xlfn.XLOOKUP(Assessment!H46,Inherited!A:A,Inherited!C:C)))+(((100-(_xlfn.XLOOKUP(Assessment!H46,Inherited!A:A,Inherited!B:B)))/100)*IF(X45="1.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(100%)","100"))))))&gt;=33,(((_xlfn.XLOOKUP(Assessment!H46,Inherited!A:A,Inherited!B:B))/100)*(_xlfn.XLOOKUP(Assessment!H46,Inherited!A:A,Inherited!C:C)))+(((100-(_xlfn.XLOOKUP(Assessment!H46,Inherited!A:A,Inherited!B:B)))/100)*IF(X45="1.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(100%)","100"))))))&lt;=65),"50",IF(AND((((_xlfn.XLOOKUP(Assessment!H46,Inherited!A:A,Inherited!B:B))/100)*(_xlfn.XLOOKUP(Assessment!H46,Inherited!A:A,Inherited!C:C)))+(((100-(_xlfn.XLOOKUP(Assessment!H46,Inherited!A:A,Inherited!B:B)))/100)*IF(X45="1.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(100%)","100"))))))&gt;=66,(((_xlfn.XLOOKUP(Assessment!H46,Inherited!A:A,Inherited!B:B))/100)*(_xlfn.XLOOKUP(Assessment!H46,Inherited!A:A,Inherited!C:C)))+(((100-(_xlfn.XLOOKUP(Assessment!H46,Inherited!A:A,Inherited!B:B)))/100)*IF(X45="1.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(100%)","100"))))))&lt;=89),"75",IF((((_xlfn.XLOOKUP(Assessment!H46,Inherited!A:A,Inherited!B:B))/100)*(_xlfn.XLOOKUP(Assessment!H46,Inherited!A:A,Inherited!C:C)))+(((100-(_xlfn.XLOOKUP(Assessment!H46,Inherited!A:A,Inherited!B:B)))/100)*IF(X45="1. Non Compliant (0%)","0",IF(X45="2. Somewhat Compliant (25%)","25",IF(X45="3. Partially Compliant (50%)","50",IF(X45="4. Mostly Compliant (75%)","75",IF(X45="5. Fully Compliant (100%)","100"))))))&gt;=90,"100"))))))</f>
        <v>#N/A</v>
      </c>
      <c r="R45" s="1" t="e">
        <f>IF(MATCH(H45,Inherited!A:A),IF((((_xlfn.XLOOKUP(Assessment!H46,Inherited!A:A,Inherited!B:B))/100)*(_xlfn.XLOOKUP(Assessment!H46,Inherited!A:A,Inherited!D:D)))+(((100-(_xlfn.XLOOKUP(Assessment!H46,Inherited!A:A,Inherited!B:B)))/100)*IF(Y45="1.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(100%)","100"))))))&lt;=10,"0", IF(AND((((_xlfn.XLOOKUP(Assessment!H46,Inherited!A:A,Inherited!B:B))/100)*(_xlfn.XLOOKUP(Assessment!H46,Inherited!A:A,Inherited!D:D)))+(((100-(_xlfn.XLOOKUP(Assessment!H46,Inherited!A:A,Inherited!B:B)))/100)*IF(Y45="1.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(100%)","100"))))))&gt;=11,(((_xlfn.XLOOKUP(Assessment!H46,Inherited!A:A,Inherited!B:B))/100)*(_xlfn.XLOOKUP(Assessment!H46,Inherited!A:A,Inherited!D:D)))+(((100-(_xlfn.XLOOKUP(Assessment!H46,Inherited!A:A,Inherited!B:B)))/100)*IF(Y45="1.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(100%)","100"))))))&lt;=32),"25",IF(AND((((_xlfn.XLOOKUP(Assessment!H46,Inherited!A:A,Inherited!B:B))/100)*(_xlfn.XLOOKUP(Assessment!H46,Inherited!A:A,Inherited!D:D)))+(((100-(_xlfn.XLOOKUP(Assessment!H46,Inherited!A:A,Inherited!B:B)))/100)*IF(Y45="1.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(100%)","100"))))))&gt;=33,(((_xlfn.XLOOKUP(Assessment!H46,Inherited!A:A,Inherited!B:B))/100)*(_xlfn.XLOOKUP(Assessment!H46,Inherited!A:A,Inherited!D:D)))+(((100-(_xlfn.XLOOKUP(Assessment!H46,Inherited!A:A,Inherited!B:B)))/100)*IF(Y45="1.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(100%)","100"))))))&lt;=65),"50",IF(AND((((_xlfn.XLOOKUP(Assessment!H46,Inherited!A:A,Inherited!B:B))/100)*(_xlfn.XLOOKUP(Assessment!H46,Inherited!A:A,Inherited!D:D)))+(((100-(_xlfn.XLOOKUP(Assessment!H46,Inherited!A:A,Inherited!B:B)))/100)*IF(Y45="1.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(100%)","100"))))))&gt;=66,(((_xlfn.XLOOKUP(Assessment!H46,Inherited!A:A,Inherited!B:B))/100)*(_xlfn.XLOOKUP(Assessment!H46,Inherited!A:A,Inherited!D:D)))+(((100-(_xlfn.XLOOKUP(Assessment!H46,Inherited!A:A,Inherited!B:B)))/100)*IF(Y45="1.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(100%)","100"))))))&lt;=89),"75",IF((((_xlfn.XLOOKUP(Assessment!H46,Inherited!A:A,Inherited!B:B))/100)*(_xlfn.XLOOKUP(Assessment!H46,Inherited!A:A,Inherited!D:D)))+(((100-(_xlfn.XLOOKUP(Assessment!H46,Inherited!A:A,Inherited!B:B)))/100)*IF(Y45="1. Non Compliant (0%)","0",IF(Y45="2. Somewhat Compliant (25%)","25",IF(Y45="3. Partially Compliant (50%)","50",IF(Y45="4. Mostly Compliant (75%)","75",IF(Y45="5. Fully Compliant (100%)","100"))))))&gt;=90,"100"))))))</f>
        <v>#N/A</v>
      </c>
      <c r="S45" s="1" t="e">
        <f>IF(MATCH(H45,Inherited!A:A),IF((((_xlfn.XLOOKUP(Assessment!H46,Inherited!A:A,Inherited!B:B))/100)*(_xlfn.XLOOKUP(Assessment!H46,Inherited!A:A,Inherited!E:E)))+(((100-(_xlfn.XLOOKUP(Assessment!H46,Inherited!A:A,Inherited!B:B)))/100)*IF(Z45="1.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(100%)","100"))))))&lt;=10,"0", IF(AND((((_xlfn.XLOOKUP(Assessment!H46,Inherited!A:A,Inherited!B:B))/100)*(_xlfn.XLOOKUP(Assessment!H46,Inherited!A:A,Inherited!E:E)))+(((100-(_xlfn.XLOOKUP(Assessment!H46,Inherited!A:A,Inherited!B:B)))/100)*IF(Z45="1.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(100%)","100"))))))&gt;=11,(((_xlfn.XLOOKUP(Assessment!H46,Inherited!A:A,Inherited!B:B))/100)*(_xlfn.XLOOKUP(Assessment!H46,Inherited!A:A,Inherited!E:E)))+(((100-(_xlfn.XLOOKUP(Assessment!H46,Inherited!A:A,Inherited!B:B)))/100)*IF(Z45="1.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(100%)","100"))))))&lt;=32),"25",IF(AND((((_xlfn.XLOOKUP(Assessment!H46,Inherited!A:A,Inherited!B:B))/100)*(_xlfn.XLOOKUP(Assessment!H46,Inherited!A:A,Inherited!E:E)))+(((100-(_xlfn.XLOOKUP(Assessment!H46,Inherited!A:A,Inherited!B:B)))/100)*IF(Z45="1.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(100%)","100"))))))&gt;=33,(((_xlfn.XLOOKUP(Assessment!H46,Inherited!A:A,Inherited!B:B))/100)*(_xlfn.XLOOKUP(Assessment!H46,Inherited!A:A,Inherited!E:E)))+(((100-(_xlfn.XLOOKUP(Assessment!H46,Inherited!A:A,Inherited!B:B)))/100)*IF(Z45="1.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(100%)","100"))))))&lt;=65),"50",IF(AND((((_xlfn.XLOOKUP(Assessment!H46,Inherited!A:A,Inherited!B:B))/100)*(_xlfn.XLOOKUP(Assessment!H46,Inherited!A:A,Inherited!E:E)))+(((100-(_xlfn.XLOOKUP(Assessment!H46,Inherited!A:A,Inherited!B:B)))/100)*IF(Z45="1.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(100%)","100"))))))&gt;=66,(((_xlfn.XLOOKUP(Assessment!H46,Inherited!A:A,Inherited!B:B))/100)*(_xlfn.XLOOKUP(Assessment!H46,Inherited!A:A,Inherited!E:E)))+(((100-(_xlfn.XLOOKUP(Assessment!H46,Inherited!A:A,Inherited!B:B)))/100)*IF(Z45="1.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(100%)","100"))))))&lt;=89),"75",IF((((_xlfn.XLOOKUP(Assessment!H46,Inherited!A:A,Inherited!B:B))/100)*(_xlfn.XLOOKUP(Assessment!H46,Inherited!A:A,Inherited!E:E)))+(((100-(_xlfn.XLOOKUP(Assessment!H46,Inherited!A:A,Inherited!B:B)))/100)*IF(Z45="1. Non Compliant (0%)","0",IF(Z45="2. Somewhat Compliant (25%)","25",IF(Z45="3. Partially Compliant (50%)","50",IF(Z45="4. Mostly Compliant (75%)","75",IF(Z45="5. Fully Compliant (100%)","100"))))))&gt;=90,"100"))))))</f>
        <v>#N/A</v>
      </c>
      <c r="T45" s="1" t="e">
        <f>IF(MATCH(H45,Inherited!A:A),IF((((_xlfn.XLOOKUP(Assessment!H46,Inherited!A:A,Inherited!B:B))/100)*(_xlfn.XLOOKUP(Assessment!H46,Inherited!A:A,Inherited!F:F)))+(((100-(_xlfn.XLOOKUP(Assessment!H46,Inherited!A:A,Inherited!B:B)))/100)*IF(AA45="1.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(100%)","100"))))))&lt;=10,"0", IF(AND((((_xlfn.XLOOKUP(Assessment!H46,Inherited!A:A,Inherited!B:B))/100)*(_xlfn.XLOOKUP(Assessment!H46,Inherited!A:A,Inherited!F:F)))+(((100-(_xlfn.XLOOKUP(Assessment!H46,Inherited!A:A,Inherited!B:B)))/100)*IF(AA45="1.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(100%)","100"))))))&gt;=11,(((_xlfn.XLOOKUP(Assessment!H46,Inherited!A:A,Inherited!B:B))/100)*(_xlfn.XLOOKUP(Assessment!H46,Inherited!A:A,Inherited!F:F)))+(((100-(_xlfn.XLOOKUP(Assessment!H46,Inherited!A:A,Inherited!B:B)))/100)*IF(AA45="1.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(100%)","100"))))))&lt;=32),"25",IF(AND((((_xlfn.XLOOKUP(Assessment!H46,Inherited!A:A,Inherited!B:B))/100)*(_xlfn.XLOOKUP(Assessment!H46,Inherited!A:A,Inherited!F:F)))+(((100-(_xlfn.XLOOKUP(Assessment!H46,Inherited!A:A,Inherited!B:B)))/100)*IF(AA45="1.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(100%)","100"))))))&gt;=33,(((_xlfn.XLOOKUP(Assessment!H46,Inherited!A:A,Inherited!B:B))/100)*(_xlfn.XLOOKUP(Assessment!H46,Inherited!A:A,Inherited!F:F)))+(((100-(_xlfn.XLOOKUP(Assessment!H46,Inherited!A:A,Inherited!B:B)))/100)*IF(AA45="1.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(100%)","100"))))))&lt;=65),"50",IF(AND((((_xlfn.XLOOKUP(Assessment!H46,Inherited!A:A,Inherited!B:B))/100)*(_xlfn.XLOOKUP(Assessment!H46,Inherited!A:A,Inherited!F:F)))+(((100-(_xlfn.XLOOKUP(Assessment!H46,Inherited!A:A,Inherited!B:B)))/100)*IF(AA45="1.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(100%)","100"))))))&gt;=66,(((_xlfn.XLOOKUP(Assessment!H46,Inherited!A:A,Inherited!B:B))/100)*(_xlfn.XLOOKUP(Assessment!H46,Inherited!A:A,Inherited!F:F)))+(((100-(_xlfn.XLOOKUP(Assessment!H46,Inherited!A:A,Inherited!B:B)))/100)*IF(AA45="1.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(100%)","100"))))))&lt;=89),"75",IF((((_xlfn.XLOOKUP(Assessment!H46,Inherited!A:A,Inherited!B:B))/100)*(_xlfn.XLOOKUP(Assessment!H46,Inherited!A:A,Inherited!F:F)))+(((100-(_xlfn.XLOOKUP(Assessment!H46,Inherited!A:A,Inherited!B:B)))/100)*IF(AA45="1. Non Compliant (0%)","0",IF(AA45="2. Somewhat Compliant (25%)","25",IF(AA45="3. Partially Compliant (50%)","50",IF(AA45="4. Mostly Compliant (75%)","75",IF(AA45="5. Fully Compliant (100%)","100"))))))&gt;=90,"100"))))))</f>
        <v>#N/A</v>
      </c>
      <c r="U45" s="1" t="e">
        <f>IF(MATCH(H45,Inherited!A:A),IF((((_xlfn.XLOOKUP(Assessment!H46,Inherited!A:A,Inherited!B:B))/100)*(_xlfn.XLOOKUP(Assessment!H46,Inherited!A:A,Inherited!G:G)))+(((100-(_xlfn.XLOOKUP(Assessment!H46,Inherited!A:A,Inherited!B:B)))/100)*IF(AB45="1.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(100%)","100"))))))&lt;=10,"0", IF(AND((((_xlfn.XLOOKUP(Assessment!H46,Inherited!A:A,Inherited!B:B))/100)*(_xlfn.XLOOKUP(Assessment!H46,Inherited!A:A,Inherited!G:G)))+(((100-(_xlfn.XLOOKUP(Assessment!H46,Inherited!A:A,Inherited!B:B)))/100)*IF(AB45="1.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(100%)","100"))))))&gt;=11,(((_xlfn.XLOOKUP(Assessment!H46,Inherited!A:A,Inherited!B:B))/100)*(_xlfn.XLOOKUP(Assessment!H46,Inherited!A:A,Inherited!G:G)))+(((100-(_xlfn.XLOOKUP(Assessment!H46,Inherited!A:A,Inherited!B:B)))/100)*IF(AB45="1.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(100%)","100"))))))&lt;=32),"25",IF(AND((((_xlfn.XLOOKUP(Assessment!H46,Inherited!A:A,Inherited!B:B))/100)*(_xlfn.XLOOKUP(Assessment!H46,Inherited!A:A,Inherited!G:G)))+(((100-(_xlfn.XLOOKUP(Assessment!H46,Inherited!A:A,Inherited!B:B)))/100)*IF(AB45="1.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(100%)","100"))))))&gt;=33,(((_xlfn.XLOOKUP(Assessment!H46,Inherited!A:A,Inherited!B:B))/100)*(_xlfn.XLOOKUP(Assessment!H46,Inherited!A:A,Inherited!G:G)))+(((100-(_xlfn.XLOOKUP(Assessment!H46,Inherited!A:A,Inherited!B:B)))/100)*IF(AB45="1.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(100%)","100"))))))&lt;=65),"50",IF(AND((((_xlfn.XLOOKUP(Assessment!H46,Inherited!A:A,Inherited!B:B))/100)*(_xlfn.XLOOKUP(Assessment!H46,Inherited!A:A,Inherited!G:G)))+(((100-(_xlfn.XLOOKUP(Assessment!H46,Inherited!A:A,Inherited!B:B)))/100)*IF(AB45="1.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(100%)","100"))))))&gt;=66,(((_xlfn.XLOOKUP(Assessment!H46,Inherited!A:A,Inherited!B:B))/100)*(_xlfn.XLOOKUP(Assessment!H46,Inherited!A:A,Inherited!G:G)))+(((100-(_xlfn.XLOOKUP(Assessment!H46,Inherited!A:A,Inherited!B:B)))/100)*IF(AB45="1.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(100%)","100"))))))&lt;=89),"75",IF((((_xlfn.XLOOKUP(Assessment!H46,Inherited!A:A,Inherited!B:B))/100)*(_xlfn.XLOOKUP(Assessment!H46,Inherited!A:A,Inherited!G:G)))+(((100-(_xlfn.XLOOKUP(Assessment!H46,Inherited!A:A,Inherited!B:B)))/100)*IF(AB45="1. Non Compliant (0%)","0",IF(AB45="2. Somewhat Compliant (25%)","25",IF(AB45="3. Partially Compliant (50%)","50",IF(AB45="4. Mostly Compliant (75%)","75",IF(AB45="5. Fully Compliant (100%)","100"))))))&gt;=90,"100"))))))</f>
        <v>#N/A</v>
      </c>
      <c r="V45" s="55" t="s">
        <v>85</v>
      </c>
      <c r="W45" s="55"/>
      <c r="X45" s="55"/>
      <c r="Y45" s="55"/>
      <c r="Z45" s="55" t="s">
        <v>88</v>
      </c>
      <c r="AA45" s="55"/>
      <c r="AB45" s="55"/>
      <c r="AK45" s="1" t="s">
        <v>10947</v>
      </c>
      <c r="AM45" s="1" t="s">
        <v>11014</v>
      </c>
      <c r="AP45" s="1" t="s">
        <v>11013</v>
      </c>
      <c r="AX45" s="3" t="str">
        <f>_xlfn.CONCAT("A-LIGN finished its review of this control on ",AR45, " during the scheduled fieldwork window (",Intro!$B$4,")."&amp; CHAR(10)&amp; CHAR(10))</f>
        <v xml:space="preserve">A-LIGN finished its review of this control on  during the scheduled fieldwork window (Fieldwork: xx/xx/xxxx - xx/xx/xxxx).
</v>
      </c>
      <c r="AY45" s="3" t="str">
        <f t="shared" si="81"/>
        <v/>
      </c>
      <c r="AZ45" s="3" t="str">
        <f t="shared" si="82"/>
        <v/>
      </c>
      <c r="BA45" s="3" t="str">
        <f t="shared" si="83"/>
        <v/>
      </c>
      <c r="BB45" s="3" t="str">
        <f t="shared" si="84"/>
        <v xml:space="preserve">Inquired of the following workforce member: 
Roze Nicolas - Director of TechOps
Inquiry lead to the following conclusions: 
</v>
      </c>
      <c r="BC45" s="3" t="str">
        <f t="shared" si="85"/>
        <v xml:space="preserve">Observed the following live during fieldwork: 
Observed the Vanta dashboard which follows the same process as the vendor review which sends users a reminder about an upcoming review that needs to be completed.
</v>
      </c>
      <c r="BD45" s="3" t="str">
        <f t="shared" si="86"/>
        <v xml:space="preserve">Examined the following evidence during fieldwork:
Reviewed evidence addressed the requirement statement.
Reviewed evidence exception note: 
Gap: All inventories are not formally documented.
Recommendation: Management should ensure that all inventories for in-scope assets are maintained.
</v>
      </c>
      <c r="BE45" s="3" t="str">
        <f t="shared" si="87"/>
        <v/>
      </c>
      <c r="BF45" s="3" t="str">
        <f t="shared" si="88"/>
        <v/>
      </c>
      <c r="BG45" s="3" t="str">
        <f>_xlfn.CONCAT((IF((COUNTIF('Sample Tables'!B:B,"")&gt;0)=TRUE,_xlfn.CONCAT("",""),IF((COUNTIF('Sample Tables'!B:B,"")&gt;0)=FALSE,""))),)</f>
        <v/>
      </c>
      <c r="BH45" s="3" t="str">
        <f t="shared" si="89"/>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the Vanta dashboard which follows the same process as the vendor review which sends users a reminder about an upcoming review that needs to be completed.
Examined the following evidence during fieldwork:
Reviewed evidence addressed the requirement statement.
Reviewed evidence exception note: 
Gap: All inventories are not formally documented.
Recommendation: Management should ensure that all inventories for in-scope assets are maintained.
</v>
      </c>
    </row>
    <row r="46" spans="3:60" ht="363.75" customHeight="1" x14ac:dyDescent="0.35">
      <c r="C46" s="1">
        <f t="shared" si="80"/>
        <v>0</v>
      </c>
      <c r="D46" s="5" t="str">
        <f>IF(AND((_xlfn.XLOOKUP(J46,'Fields &amp; Revisions'!$H:$H,'Fields &amp; Revisions'!$I:$I))&lt;70.99,(OR(Z46="4. Mostly Compliant (75%)",Z46="3. Partially Compliant (50%)",Z46="2. Somewhat Compliant (25%)",Z46="1. Non Compliant (0%)"))),"Yes","No")</f>
        <v>Yes</v>
      </c>
      <c r="E46" s="5" t="str">
        <f>IF(ISERROR(VLOOKUP(H46,Scope!A:A,1,FALSE)),"No","Yes")</f>
        <v>Yes</v>
      </c>
      <c r="F46" s="1" t="s">
        <v>1293</v>
      </c>
      <c r="G46" s="53" t="s">
        <v>1304</v>
      </c>
      <c r="H46" s="53" t="s">
        <v>1305</v>
      </c>
      <c r="I46" s="5" t="s">
        <v>93</v>
      </c>
      <c r="J46" s="1" t="s">
        <v>284</v>
      </c>
      <c r="K46" s="54" t="s">
        <v>1306</v>
      </c>
      <c r="L46" s="1" t="s">
        <v>1307</v>
      </c>
      <c r="M46" s="1" t="s">
        <v>1308</v>
      </c>
      <c r="N46" s="5" t="s">
        <v>98</v>
      </c>
      <c r="O46" s="1" t="str">
        <f>_xlfn.XLOOKUP(G46,SRMs!$A:$A,SRMs!$D:$D)</f>
        <v>NO INHERITANCE</v>
      </c>
      <c r="P46" s="1" t="str">
        <f>IFERROR(VLOOKUP(H46,Inherited!A:B,2,FALSE),"")</f>
        <v/>
      </c>
      <c r="Q46" s="1" t="e">
        <f>IF(MATCH(H46,Inherited!A:A),IF((((_xlfn.XLOOKUP(Assessment!H47,Inherited!A:A,Inherited!B:B))/100)*(_xlfn.XLOOKUP(Assessment!H47,Inherited!A:A,Inherited!C:C)))+(((100-(_xlfn.XLOOKUP(Assessment!H47,Inherited!A:A,Inherited!B:B)))/100)*IF(X46="1.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(100%)","100"))))))&lt;=10,"0", IF(AND((((_xlfn.XLOOKUP(Assessment!H47,Inherited!A:A,Inherited!B:B))/100)*(_xlfn.XLOOKUP(Assessment!H47,Inherited!A:A,Inherited!C:C)))+(((100-(_xlfn.XLOOKUP(Assessment!H47,Inherited!A:A,Inherited!B:B)))/100)*IF(X46="1.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(100%)","100"))))))&gt;=11,(((_xlfn.XLOOKUP(Assessment!H47,Inherited!A:A,Inherited!B:B))/100)*(_xlfn.XLOOKUP(Assessment!H47,Inherited!A:A,Inherited!C:C)))+(((100-(_xlfn.XLOOKUP(Assessment!H47,Inherited!A:A,Inherited!B:B)))/100)*IF(X46="1.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(100%)","100"))))))&lt;=32),"25",IF(AND((((_xlfn.XLOOKUP(Assessment!H47,Inherited!A:A,Inherited!B:B))/100)*(_xlfn.XLOOKUP(Assessment!H47,Inherited!A:A,Inherited!C:C)))+(((100-(_xlfn.XLOOKUP(Assessment!H47,Inherited!A:A,Inherited!B:B)))/100)*IF(X46="1.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(100%)","100"))))))&gt;=33,(((_xlfn.XLOOKUP(Assessment!H47,Inherited!A:A,Inherited!B:B))/100)*(_xlfn.XLOOKUP(Assessment!H47,Inherited!A:A,Inherited!C:C)))+(((100-(_xlfn.XLOOKUP(Assessment!H47,Inherited!A:A,Inherited!B:B)))/100)*IF(X46="1.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(100%)","100"))))))&lt;=65),"50",IF(AND((((_xlfn.XLOOKUP(Assessment!H47,Inherited!A:A,Inherited!B:B))/100)*(_xlfn.XLOOKUP(Assessment!H47,Inherited!A:A,Inherited!C:C)))+(((100-(_xlfn.XLOOKUP(Assessment!H47,Inherited!A:A,Inherited!B:B)))/100)*IF(X46="1.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(100%)","100"))))))&gt;=66,(((_xlfn.XLOOKUP(Assessment!H47,Inherited!A:A,Inherited!B:B))/100)*(_xlfn.XLOOKUP(Assessment!H47,Inherited!A:A,Inherited!C:C)))+(((100-(_xlfn.XLOOKUP(Assessment!H47,Inherited!A:A,Inherited!B:B)))/100)*IF(X46="1.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(100%)","100"))))))&lt;=89),"75",IF((((_xlfn.XLOOKUP(Assessment!H47,Inherited!A:A,Inherited!B:B))/100)*(_xlfn.XLOOKUP(Assessment!H47,Inherited!A:A,Inherited!C:C)))+(((100-(_xlfn.XLOOKUP(Assessment!H47,Inherited!A:A,Inherited!B:B)))/100)*IF(X46="1. Non Compliant (0%)","0",IF(X46="2. Somewhat Compliant (25%)","25",IF(X46="3. Partially Compliant (50%)","50",IF(X46="4. Mostly Compliant (75%)","75",IF(X46="5. Fully Compliant (100%)","100"))))))&gt;=90,"100"))))))</f>
        <v>#N/A</v>
      </c>
      <c r="R46" s="1" t="e">
        <f>IF(MATCH(H46,Inherited!A:A),IF((((_xlfn.XLOOKUP(Assessment!H47,Inherited!A:A,Inherited!B:B))/100)*(_xlfn.XLOOKUP(Assessment!H47,Inherited!A:A,Inherited!D:D)))+(((100-(_xlfn.XLOOKUP(Assessment!H47,Inherited!A:A,Inherited!B:B)))/100)*IF(Y46="1.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(100%)","100"))))))&lt;=10,"0", IF(AND((((_xlfn.XLOOKUP(Assessment!H47,Inherited!A:A,Inherited!B:B))/100)*(_xlfn.XLOOKUP(Assessment!H47,Inherited!A:A,Inherited!D:D)))+(((100-(_xlfn.XLOOKUP(Assessment!H47,Inherited!A:A,Inherited!B:B)))/100)*IF(Y46="1.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(100%)","100"))))))&gt;=11,(((_xlfn.XLOOKUP(Assessment!H47,Inherited!A:A,Inherited!B:B))/100)*(_xlfn.XLOOKUP(Assessment!H47,Inherited!A:A,Inherited!D:D)))+(((100-(_xlfn.XLOOKUP(Assessment!H47,Inherited!A:A,Inherited!B:B)))/100)*IF(Y46="1.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(100%)","100"))))))&lt;=32),"25",IF(AND((((_xlfn.XLOOKUP(Assessment!H47,Inherited!A:A,Inherited!B:B))/100)*(_xlfn.XLOOKUP(Assessment!H47,Inherited!A:A,Inherited!D:D)))+(((100-(_xlfn.XLOOKUP(Assessment!H47,Inherited!A:A,Inherited!B:B)))/100)*IF(Y46="1.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(100%)","100"))))))&gt;=33,(((_xlfn.XLOOKUP(Assessment!H47,Inherited!A:A,Inherited!B:B))/100)*(_xlfn.XLOOKUP(Assessment!H47,Inherited!A:A,Inherited!D:D)))+(((100-(_xlfn.XLOOKUP(Assessment!H47,Inherited!A:A,Inherited!B:B)))/100)*IF(Y46="1.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(100%)","100"))))))&lt;=65),"50",IF(AND((((_xlfn.XLOOKUP(Assessment!H47,Inherited!A:A,Inherited!B:B))/100)*(_xlfn.XLOOKUP(Assessment!H47,Inherited!A:A,Inherited!D:D)))+(((100-(_xlfn.XLOOKUP(Assessment!H47,Inherited!A:A,Inherited!B:B)))/100)*IF(Y46="1.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(100%)","100"))))))&gt;=66,(((_xlfn.XLOOKUP(Assessment!H47,Inherited!A:A,Inherited!B:B))/100)*(_xlfn.XLOOKUP(Assessment!H47,Inherited!A:A,Inherited!D:D)))+(((100-(_xlfn.XLOOKUP(Assessment!H47,Inherited!A:A,Inherited!B:B)))/100)*IF(Y46="1.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(100%)","100"))))))&lt;=89),"75",IF((((_xlfn.XLOOKUP(Assessment!H47,Inherited!A:A,Inherited!B:B))/100)*(_xlfn.XLOOKUP(Assessment!H47,Inherited!A:A,Inherited!D:D)))+(((100-(_xlfn.XLOOKUP(Assessment!H47,Inherited!A:A,Inherited!B:B)))/100)*IF(Y46="1. Non Compliant (0%)","0",IF(Y46="2. Somewhat Compliant (25%)","25",IF(Y46="3. Partially Compliant (50%)","50",IF(Y46="4. Mostly Compliant (75%)","75",IF(Y46="5. Fully Compliant (100%)","100"))))))&gt;=90,"100"))))))</f>
        <v>#N/A</v>
      </c>
      <c r="S46" s="1" t="e">
        <f>IF(MATCH(H46,Inherited!A:A),IF((((_xlfn.XLOOKUP(Assessment!H47,Inherited!A:A,Inherited!B:B))/100)*(_xlfn.XLOOKUP(Assessment!H47,Inherited!A:A,Inherited!E:E)))+(((100-(_xlfn.XLOOKUP(Assessment!H47,Inherited!A:A,Inherited!B:B)))/100)*IF(Z46="1.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(100%)","100"))))))&lt;=10,"0", IF(AND((((_xlfn.XLOOKUP(Assessment!H47,Inherited!A:A,Inherited!B:B))/100)*(_xlfn.XLOOKUP(Assessment!H47,Inherited!A:A,Inherited!E:E)))+(((100-(_xlfn.XLOOKUP(Assessment!H47,Inherited!A:A,Inherited!B:B)))/100)*IF(Z46="1.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(100%)","100"))))))&gt;=11,(((_xlfn.XLOOKUP(Assessment!H47,Inherited!A:A,Inherited!B:B))/100)*(_xlfn.XLOOKUP(Assessment!H47,Inherited!A:A,Inherited!E:E)))+(((100-(_xlfn.XLOOKUP(Assessment!H47,Inherited!A:A,Inherited!B:B)))/100)*IF(Z46="1.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(100%)","100"))))))&lt;=32),"25",IF(AND((((_xlfn.XLOOKUP(Assessment!H47,Inherited!A:A,Inherited!B:B))/100)*(_xlfn.XLOOKUP(Assessment!H47,Inherited!A:A,Inherited!E:E)))+(((100-(_xlfn.XLOOKUP(Assessment!H47,Inherited!A:A,Inherited!B:B)))/100)*IF(Z46="1.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(100%)","100"))))))&gt;=33,(((_xlfn.XLOOKUP(Assessment!H47,Inherited!A:A,Inherited!B:B))/100)*(_xlfn.XLOOKUP(Assessment!H47,Inherited!A:A,Inherited!E:E)))+(((100-(_xlfn.XLOOKUP(Assessment!H47,Inherited!A:A,Inherited!B:B)))/100)*IF(Z46="1.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(100%)","100"))))))&lt;=65),"50",IF(AND((((_xlfn.XLOOKUP(Assessment!H47,Inherited!A:A,Inherited!B:B))/100)*(_xlfn.XLOOKUP(Assessment!H47,Inherited!A:A,Inherited!E:E)))+(((100-(_xlfn.XLOOKUP(Assessment!H47,Inherited!A:A,Inherited!B:B)))/100)*IF(Z46="1.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(100%)","100"))))))&gt;=66,(((_xlfn.XLOOKUP(Assessment!H47,Inherited!A:A,Inherited!B:B))/100)*(_xlfn.XLOOKUP(Assessment!H47,Inherited!A:A,Inherited!E:E)))+(((100-(_xlfn.XLOOKUP(Assessment!H47,Inherited!A:A,Inherited!B:B)))/100)*IF(Z46="1.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(100%)","100"))))))&lt;=89),"75",IF((((_xlfn.XLOOKUP(Assessment!H47,Inherited!A:A,Inherited!B:B))/100)*(_xlfn.XLOOKUP(Assessment!H47,Inherited!A:A,Inherited!E:E)))+(((100-(_xlfn.XLOOKUP(Assessment!H47,Inherited!A:A,Inherited!B:B)))/100)*IF(Z46="1. Non Compliant (0%)","0",IF(Z46="2. Somewhat Compliant (25%)","25",IF(Z46="3. Partially Compliant (50%)","50",IF(Z46="4. Mostly Compliant (75%)","75",IF(Z46="5. Fully Compliant (100%)","100"))))))&gt;=90,"100"))))))</f>
        <v>#N/A</v>
      </c>
      <c r="T46" s="1" t="e">
        <f>IF(MATCH(H46,Inherited!A:A),IF((((_xlfn.XLOOKUP(Assessment!H47,Inherited!A:A,Inherited!B:B))/100)*(_xlfn.XLOOKUP(Assessment!H47,Inherited!A:A,Inherited!F:F)))+(((100-(_xlfn.XLOOKUP(Assessment!H47,Inherited!A:A,Inherited!B:B)))/100)*IF(AA46="1.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(100%)","100"))))))&lt;=10,"0", IF(AND((((_xlfn.XLOOKUP(Assessment!H47,Inherited!A:A,Inherited!B:B))/100)*(_xlfn.XLOOKUP(Assessment!H47,Inherited!A:A,Inherited!F:F)))+(((100-(_xlfn.XLOOKUP(Assessment!H47,Inherited!A:A,Inherited!B:B)))/100)*IF(AA46="1.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(100%)","100"))))))&gt;=11,(((_xlfn.XLOOKUP(Assessment!H47,Inherited!A:A,Inherited!B:B))/100)*(_xlfn.XLOOKUP(Assessment!H47,Inherited!A:A,Inherited!F:F)))+(((100-(_xlfn.XLOOKUP(Assessment!H47,Inherited!A:A,Inherited!B:B)))/100)*IF(AA46="1.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(100%)","100"))))))&lt;=32),"25",IF(AND((((_xlfn.XLOOKUP(Assessment!H47,Inherited!A:A,Inherited!B:B))/100)*(_xlfn.XLOOKUP(Assessment!H47,Inherited!A:A,Inherited!F:F)))+(((100-(_xlfn.XLOOKUP(Assessment!H47,Inherited!A:A,Inherited!B:B)))/100)*IF(AA46="1.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(100%)","100"))))))&gt;=33,(((_xlfn.XLOOKUP(Assessment!H47,Inherited!A:A,Inherited!B:B))/100)*(_xlfn.XLOOKUP(Assessment!H47,Inherited!A:A,Inherited!F:F)))+(((100-(_xlfn.XLOOKUP(Assessment!H47,Inherited!A:A,Inherited!B:B)))/100)*IF(AA46="1.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(100%)","100"))))))&lt;=65),"50",IF(AND((((_xlfn.XLOOKUP(Assessment!H47,Inherited!A:A,Inherited!B:B))/100)*(_xlfn.XLOOKUP(Assessment!H47,Inherited!A:A,Inherited!F:F)))+(((100-(_xlfn.XLOOKUP(Assessment!H47,Inherited!A:A,Inherited!B:B)))/100)*IF(AA46="1.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(100%)","100"))))))&gt;=66,(((_xlfn.XLOOKUP(Assessment!H47,Inherited!A:A,Inherited!B:B))/100)*(_xlfn.XLOOKUP(Assessment!H47,Inherited!A:A,Inherited!F:F)))+(((100-(_xlfn.XLOOKUP(Assessment!H47,Inherited!A:A,Inherited!B:B)))/100)*IF(AA46="1.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(100%)","100"))))))&lt;=89),"75",IF((((_xlfn.XLOOKUP(Assessment!H47,Inherited!A:A,Inherited!B:B))/100)*(_xlfn.XLOOKUP(Assessment!H47,Inherited!A:A,Inherited!F:F)))+(((100-(_xlfn.XLOOKUP(Assessment!H47,Inherited!A:A,Inherited!B:B)))/100)*IF(AA46="1. Non Compliant (0%)","0",IF(AA46="2. Somewhat Compliant (25%)","25",IF(AA46="3. Partially Compliant (50%)","50",IF(AA46="4. Mostly Compliant (75%)","75",IF(AA46="5. Fully Compliant (100%)","100"))))))&gt;=90,"100"))))))</f>
        <v>#N/A</v>
      </c>
      <c r="U46" s="1" t="e">
        <f>IF(MATCH(H46,Inherited!A:A),IF((((_xlfn.XLOOKUP(Assessment!H47,Inherited!A:A,Inherited!B:B))/100)*(_xlfn.XLOOKUP(Assessment!H47,Inherited!A:A,Inherited!G:G)))+(((100-(_xlfn.XLOOKUP(Assessment!H47,Inherited!A:A,Inherited!B:B)))/100)*IF(AB46="1.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(100%)","100"))))))&lt;=10,"0", IF(AND((((_xlfn.XLOOKUP(Assessment!H47,Inherited!A:A,Inherited!B:B))/100)*(_xlfn.XLOOKUP(Assessment!H47,Inherited!A:A,Inherited!G:G)))+(((100-(_xlfn.XLOOKUP(Assessment!H47,Inherited!A:A,Inherited!B:B)))/100)*IF(AB46="1.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(100%)","100"))))))&gt;=11,(((_xlfn.XLOOKUP(Assessment!H47,Inherited!A:A,Inherited!B:B))/100)*(_xlfn.XLOOKUP(Assessment!H47,Inherited!A:A,Inherited!G:G)))+(((100-(_xlfn.XLOOKUP(Assessment!H47,Inherited!A:A,Inherited!B:B)))/100)*IF(AB46="1.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(100%)","100"))))))&lt;=32),"25",IF(AND((((_xlfn.XLOOKUP(Assessment!H47,Inherited!A:A,Inherited!B:B))/100)*(_xlfn.XLOOKUP(Assessment!H47,Inherited!A:A,Inherited!G:G)))+(((100-(_xlfn.XLOOKUP(Assessment!H47,Inherited!A:A,Inherited!B:B)))/100)*IF(AB46="1.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(100%)","100"))))))&gt;=33,(((_xlfn.XLOOKUP(Assessment!H47,Inherited!A:A,Inherited!B:B))/100)*(_xlfn.XLOOKUP(Assessment!H47,Inherited!A:A,Inherited!G:G)))+(((100-(_xlfn.XLOOKUP(Assessment!H47,Inherited!A:A,Inherited!B:B)))/100)*IF(AB46="1.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(100%)","100"))))))&lt;=65),"50",IF(AND((((_xlfn.XLOOKUP(Assessment!H47,Inherited!A:A,Inherited!B:B))/100)*(_xlfn.XLOOKUP(Assessment!H47,Inherited!A:A,Inherited!G:G)))+(((100-(_xlfn.XLOOKUP(Assessment!H47,Inherited!A:A,Inherited!B:B)))/100)*IF(AB46="1.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(100%)","100"))))))&gt;=66,(((_xlfn.XLOOKUP(Assessment!H47,Inherited!A:A,Inherited!B:B))/100)*(_xlfn.XLOOKUP(Assessment!H47,Inherited!A:A,Inherited!G:G)))+(((100-(_xlfn.XLOOKUP(Assessment!H47,Inherited!A:A,Inherited!B:B)))/100)*IF(AB46="1.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(100%)","100"))))))&lt;=89),"75",IF((((_xlfn.XLOOKUP(Assessment!H47,Inherited!A:A,Inherited!B:B))/100)*(_xlfn.XLOOKUP(Assessment!H47,Inherited!A:A,Inherited!G:G)))+(((100-(_xlfn.XLOOKUP(Assessment!H47,Inherited!A:A,Inherited!B:B)))/100)*IF(AB46="1. Non Compliant (0%)","0",IF(AB46="2. Somewhat Compliant (25%)","25",IF(AB46="3. Partially Compliant (50%)","50",IF(AB46="4. Mostly Compliant (75%)","75",IF(AB46="5. Fully Compliant (100%)","100"))))))&gt;=90,"100"))))))</f>
        <v>#N/A</v>
      </c>
      <c r="V46" s="55" t="s">
        <v>85</v>
      </c>
      <c r="W46" s="55"/>
      <c r="X46" s="55"/>
      <c r="Y46" s="55"/>
      <c r="Z46" s="55" t="s">
        <v>10873</v>
      </c>
      <c r="AA46" s="55"/>
      <c r="AB46" s="55"/>
      <c r="AK46" s="1" t="s">
        <v>10978</v>
      </c>
      <c r="AL46" s="1" t="s">
        <v>10980</v>
      </c>
      <c r="AP46" s="1" t="s">
        <v>11064</v>
      </c>
      <c r="AX46" s="3" t="str">
        <f>_xlfn.CONCAT("A-LIGN finished its review of this control on ",AR46, " during the scheduled fieldwork window (",Intro!$B$4,")."&amp; CHAR(10)&amp; CHAR(10))</f>
        <v xml:space="preserve">A-LIGN finished its review of this control on  during the scheduled fieldwork window (Fieldwork: xx/xx/xxxx - xx/xx/xxxx).
</v>
      </c>
      <c r="AY46" s="3" t="str">
        <f t="shared" si="81"/>
        <v/>
      </c>
      <c r="AZ46" s="3" t="str">
        <f t="shared" si="82"/>
        <v/>
      </c>
      <c r="BA46" s="3" t="str">
        <f t="shared" si="83"/>
        <v/>
      </c>
      <c r="BB46" s="3" t="str">
        <f t="shared" si="84"/>
        <v xml:space="preserve">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v>
      </c>
      <c r="BC46" s="3" t="str">
        <f t="shared" si="85"/>
        <v/>
      </c>
      <c r="BD46" s="3" t="str">
        <f t="shared" si="86"/>
        <v xml:space="preserve">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assets are tracked
- artificial intelligence tracking includes: system owner
- artificial intelligence tracking includes: system sensitivity/risk categorization
- artificial intelligence tracking includes: models
Further, management should ensure that the inventory is reviewed at least every 180 days
</v>
      </c>
      <c r="BE46" s="3" t="str">
        <f t="shared" si="87"/>
        <v/>
      </c>
      <c r="BF46" s="3" t="str">
        <f t="shared" si="88"/>
        <v/>
      </c>
      <c r="BG46" s="3" t="str">
        <f>_xlfn.CONCAT((IF((COUNTIF('Sample Tables'!B:B,"")&gt;0)=TRUE,_xlfn.CONCAT("",""),IF((COUNTIF('Sample Tables'!B:B,"")&gt;0)=FALSE,""))),)</f>
        <v/>
      </c>
      <c r="BH46"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assets are tracked
- artificial intelligence tracking includes: system owner
- artificial intelligence tracking includes: system sensitivity/risk categorization
- artificial intelligence tracking includes: models
Further, management should ensure that the inventory is reviewed at least every 180 days
</v>
      </c>
    </row>
    <row r="47" spans="3:60" ht="328.5" customHeight="1" x14ac:dyDescent="0.35">
      <c r="C47" s="1">
        <f t="shared" si="80"/>
        <v>0</v>
      </c>
      <c r="D47" s="5" t="str">
        <f>IF(AND((_xlfn.XLOOKUP(J47,'Fields &amp; Revisions'!$H:$H,'Fields &amp; Revisions'!$I:$I))&lt;70.99,(OR(Z47="4. Mostly Compliant (75%)",Z47="3. Partially Compliant (50%)",Z47="2. Somewhat Compliant (25%)",Z47="1. Non Compliant (0%)"))),"Yes","No")</f>
        <v>Yes</v>
      </c>
      <c r="E47" s="5" t="str">
        <f>IF(ISERROR(VLOOKUP(H47,Scope!A:A,1,FALSE)),"No","Yes")</f>
        <v>Yes</v>
      </c>
      <c r="F47" s="1" t="s">
        <v>1293</v>
      </c>
      <c r="G47" s="53" t="s">
        <v>1309</v>
      </c>
      <c r="H47" s="53" t="s">
        <v>1310</v>
      </c>
      <c r="I47" s="5" t="s">
        <v>93</v>
      </c>
      <c r="J47" s="1" t="s">
        <v>284</v>
      </c>
      <c r="K47" s="54" t="s">
        <v>1311</v>
      </c>
      <c r="L47" s="1" t="s">
        <v>1312</v>
      </c>
      <c r="M47" s="1" t="s">
        <v>1313</v>
      </c>
      <c r="N47" s="5" t="s">
        <v>98</v>
      </c>
      <c r="O47" s="1" t="str">
        <f>_xlfn.XLOOKUP(G47,SRMs!$A:$A,SRMs!$D:$D)</f>
        <v>NO INHERITANCE</v>
      </c>
      <c r="P47" s="1" t="str">
        <f>IFERROR(VLOOKUP(H47,Inherited!A:B,2,FALSE),"")</f>
        <v/>
      </c>
      <c r="Q47" s="1" t="e">
        <f>IF(MATCH(H47,Inherited!A:A),IF((((_xlfn.XLOOKUP(Assessment!H48,Inherited!A:A,Inherited!B:B))/100)*(_xlfn.XLOOKUP(Assessment!H48,Inherited!A:A,Inherited!C:C)))+(((100-(_xlfn.XLOOKUP(Assessment!H48,Inherited!A:A,Inherited!B:B)))/100)*IF(X47="1.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(100%)","100"))))))&lt;=10,"0", IF(AND((((_xlfn.XLOOKUP(Assessment!H48,Inherited!A:A,Inherited!B:B))/100)*(_xlfn.XLOOKUP(Assessment!H48,Inherited!A:A,Inherited!C:C)))+(((100-(_xlfn.XLOOKUP(Assessment!H48,Inherited!A:A,Inherited!B:B)))/100)*IF(X47="1.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(100%)","100"))))))&gt;=11,(((_xlfn.XLOOKUP(Assessment!H48,Inherited!A:A,Inherited!B:B))/100)*(_xlfn.XLOOKUP(Assessment!H48,Inherited!A:A,Inherited!C:C)))+(((100-(_xlfn.XLOOKUP(Assessment!H48,Inherited!A:A,Inherited!B:B)))/100)*IF(X47="1.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(100%)","100"))))))&lt;=32),"25",IF(AND((((_xlfn.XLOOKUP(Assessment!H48,Inherited!A:A,Inherited!B:B))/100)*(_xlfn.XLOOKUP(Assessment!H48,Inherited!A:A,Inherited!C:C)))+(((100-(_xlfn.XLOOKUP(Assessment!H48,Inherited!A:A,Inherited!B:B)))/100)*IF(X47="1.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(100%)","100"))))))&gt;=33,(((_xlfn.XLOOKUP(Assessment!H48,Inherited!A:A,Inherited!B:B))/100)*(_xlfn.XLOOKUP(Assessment!H48,Inherited!A:A,Inherited!C:C)))+(((100-(_xlfn.XLOOKUP(Assessment!H48,Inherited!A:A,Inherited!B:B)))/100)*IF(X47="1.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(100%)","100"))))))&lt;=65),"50",IF(AND((((_xlfn.XLOOKUP(Assessment!H48,Inherited!A:A,Inherited!B:B))/100)*(_xlfn.XLOOKUP(Assessment!H48,Inherited!A:A,Inherited!C:C)))+(((100-(_xlfn.XLOOKUP(Assessment!H48,Inherited!A:A,Inherited!B:B)))/100)*IF(X47="1.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(100%)","100"))))))&gt;=66,(((_xlfn.XLOOKUP(Assessment!H48,Inherited!A:A,Inherited!B:B))/100)*(_xlfn.XLOOKUP(Assessment!H48,Inherited!A:A,Inherited!C:C)))+(((100-(_xlfn.XLOOKUP(Assessment!H48,Inherited!A:A,Inherited!B:B)))/100)*IF(X47="1.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(100%)","100"))))))&lt;=89),"75",IF((((_xlfn.XLOOKUP(Assessment!H48,Inherited!A:A,Inherited!B:B))/100)*(_xlfn.XLOOKUP(Assessment!H48,Inherited!A:A,Inherited!C:C)))+(((100-(_xlfn.XLOOKUP(Assessment!H48,Inherited!A:A,Inherited!B:B)))/100)*IF(X47="1. Non Compliant (0%)","0",IF(X47="2. Somewhat Compliant (25%)","25",IF(X47="3. Partially Compliant (50%)","50",IF(X47="4. Mostly Compliant (75%)","75",IF(X47="5. Fully Compliant (100%)","100"))))))&gt;=90,"100"))))))</f>
        <v>#N/A</v>
      </c>
      <c r="R47" s="1" t="e">
        <f>IF(MATCH(H47,Inherited!A:A),IF((((_xlfn.XLOOKUP(Assessment!H48,Inherited!A:A,Inherited!B:B))/100)*(_xlfn.XLOOKUP(Assessment!H48,Inherited!A:A,Inherited!D:D)))+(((100-(_xlfn.XLOOKUP(Assessment!H48,Inherited!A:A,Inherited!B:B)))/100)*IF(Y47="1.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(100%)","100"))))))&lt;=10,"0", IF(AND((((_xlfn.XLOOKUP(Assessment!H48,Inherited!A:A,Inherited!B:B))/100)*(_xlfn.XLOOKUP(Assessment!H48,Inherited!A:A,Inherited!D:D)))+(((100-(_xlfn.XLOOKUP(Assessment!H48,Inherited!A:A,Inherited!B:B)))/100)*IF(Y47="1.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(100%)","100"))))))&gt;=11,(((_xlfn.XLOOKUP(Assessment!H48,Inherited!A:A,Inherited!B:B))/100)*(_xlfn.XLOOKUP(Assessment!H48,Inherited!A:A,Inherited!D:D)))+(((100-(_xlfn.XLOOKUP(Assessment!H48,Inherited!A:A,Inherited!B:B)))/100)*IF(Y47="1.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(100%)","100"))))))&lt;=32),"25",IF(AND((((_xlfn.XLOOKUP(Assessment!H48,Inherited!A:A,Inherited!B:B))/100)*(_xlfn.XLOOKUP(Assessment!H48,Inherited!A:A,Inherited!D:D)))+(((100-(_xlfn.XLOOKUP(Assessment!H48,Inherited!A:A,Inherited!B:B)))/100)*IF(Y47="1.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(100%)","100"))))))&gt;=33,(((_xlfn.XLOOKUP(Assessment!H48,Inherited!A:A,Inherited!B:B))/100)*(_xlfn.XLOOKUP(Assessment!H48,Inherited!A:A,Inherited!D:D)))+(((100-(_xlfn.XLOOKUP(Assessment!H48,Inherited!A:A,Inherited!B:B)))/100)*IF(Y47="1.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(100%)","100"))))))&lt;=65),"50",IF(AND((((_xlfn.XLOOKUP(Assessment!H48,Inherited!A:A,Inherited!B:B))/100)*(_xlfn.XLOOKUP(Assessment!H48,Inherited!A:A,Inherited!D:D)))+(((100-(_xlfn.XLOOKUP(Assessment!H48,Inherited!A:A,Inherited!B:B)))/100)*IF(Y47="1.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(100%)","100"))))))&gt;=66,(((_xlfn.XLOOKUP(Assessment!H48,Inherited!A:A,Inherited!B:B))/100)*(_xlfn.XLOOKUP(Assessment!H48,Inherited!A:A,Inherited!D:D)))+(((100-(_xlfn.XLOOKUP(Assessment!H48,Inherited!A:A,Inherited!B:B)))/100)*IF(Y47="1.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(100%)","100"))))))&lt;=89),"75",IF((((_xlfn.XLOOKUP(Assessment!H48,Inherited!A:A,Inherited!B:B))/100)*(_xlfn.XLOOKUP(Assessment!H48,Inherited!A:A,Inherited!D:D)))+(((100-(_xlfn.XLOOKUP(Assessment!H48,Inherited!A:A,Inherited!B:B)))/100)*IF(Y47="1. Non Compliant (0%)","0",IF(Y47="2. Somewhat Compliant (25%)","25",IF(Y47="3. Partially Compliant (50%)","50",IF(Y47="4. Mostly Compliant (75%)","75",IF(Y47="5. Fully Compliant (100%)","100"))))))&gt;=90,"100"))))))</f>
        <v>#N/A</v>
      </c>
      <c r="S47" s="1" t="e">
        <f>IF(MATCH(H47,Inherited!A:A),IF((((_xlfn.XLOOKUP(Assessment!H48,Inherited!A:A,Inherited!B:B))/100)*(_xlfn.XLOOKUP(Assessment!H48,Inherited!A:A,Inherited!E:E)))+(((100-(_xlfn.XLOOKUP(Assessment!H48,Inherited!A:A,Inherited!B:B)))/100)*IF(Z47="1.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(100%)","100"))))))&lt;=10,"0", IF(AND((((_xlfn.XLOOKUP(Assessment!H48,Inherited!A:A,Inherited!B:B))/100)*(_xlfn.XLOOKUP(Assessment!H48,Inherited!A:A,Inherited!E:E)))+(((100-(_xlfn.XLOOKUP(Assessment!H48,Inherited!A:A,Inherited!B:B)))/100)*IF(Z47="1.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(100%)","100"))))))&gt;=11,(((_xlfn.XLOOKUP(Assessment!H48,Inherited!A:A,Inherited!B:B))/100)*(_xlfn.XLOOKUP(Assessment!H48,Inherited!A:A,Inherited!E:E)))+(((100-(_xlfn.XLOOKUP(Assessment!H48,Inherited!A:A,Inherited!B:B)))/100)*IF(Z47="1.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(100%)","100"))))))&lt;=32),"25",IF(AND((((_xlfn.XLOOKUP(Assessment!H48,Inherited!A:A,Inherited!B:B))/100)*(_xlfn.XLOOKUP(Assessment!H48,Inherited!A:A,Inherited!E:E)))+(((100-(_xlfn.XLOOKUP(Assessment!H48,Inherited!A:A,Inherited!B:B)))/100)*IF(Z47="1.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(100%)","100"))))))&gt;=33,(((_xlfn.XLOOKUP(Assessment!H48,Inherited!A:A,Inherited!B:B))/100)*(_xlfn.XLOOKUP(Assessment!H48,Inherited!A:A,Inherited!E:E)))+(((100-(_xlfn.XLOOKUP(Assessment!H48,Inherited!A:A,Inherited!B:B)))/100)*IF(Z47="1.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(100%)","100"))))))&lt;=65),"50",IF(AND((((_xlfn.XLOOKUP(Assessment!H48,Inherited!A:A,Inherited!B:B))/100)*(_xlfn.XLOOKUP(Assessment!H48,Inherited!A:A,Inherited!E:E)))+(((100-(_xlfn.XLOOKUP(Assessment!H48,Inherited!A:A,Inherited!B:B)))/100)*IF(Z47="1.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(100%)","100"))))))&gt;=66,(((_xlfn.XLOOKUP(Assessment!H48,Inherited!A:A,Inherited!B:B))/100)*(_xlfn.XLOOKUP(Assessment!H48,Inherited!A:A,Inherited!E:E)))+(((100-(_xlfn.XLOOKUP(Assessment!H48,Inherited!A:A,Inherited!B:B)))/100)*IF(Z47="1.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(100%)","100"))))))&lt;=89),"75",IF((((_xlfn.XLOOKUP(Assessment!H48,Inherited!A:A,Inherited!B:B))/100)*(_xlfn.XLOOKUP(Assessment!H48,Inherited!A:A,Inherited!E:E)))+(((100-(_xlfn.XLOOKUP(Assessment!H48,Inherited!A:A,Inherited!B:B)))/100)*IF(Z47="1. Non Compliant (0%)","0",IF(Z47="2. Somewhat Compliant (25%)","25",IF(Z47="3. Partially Compliant (50%)","50",IF(Z47="4. Mostly Compliant (75%)","75",IF(Z47="5. Fully Compliant (100%)","100"))))))&gt;=90,"100"))))))</f>
        <v>#N/A</v>
      </c>
      <c r="T47" s="1" t="e">
        <f>IF(MATCH(H47,Inherited!A:A),IF((((_xlfn.XLOOKUP(Assessment!H48,Inherited!A:A,Inherited!B:B))/100)*(_xlfn.XLOOKUP(Assessment!H48,Inherited!A:A,Inherited!F:F)))+(((100-(_xlfn.XLOOKUP(Assessment!H48,Inherited!A:A,Inherited!B:B)))/100)*IF(AA47="1.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(100%)","100"))))))&lt;=10,"0", IF(AND((((_xlfn.XLOOKUP(Assessment!H48,Inherited!A:A,Inherited!B:B))/100)*(_xlfn.XLOOKUP(Assessment!H48,Inherited!A:A,Inherited!F:F)))+(((100-(_xlfn.XLOOKUP(Assessment!H48,Inherited!A:A,Inherited!B:B)))/100)*IF(AA47="1.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(100%)","100"))))))&gt;=11,(((_xlfn.XLOOKUP(Assessment!H48,Inherited!A:A,Inherited!B:B))/100)*(_xlfn.XLOOKUP(Assessment!H48,Inherited!A:A,Inherited!F:F)))+(((100-(_xlfn.XLOOKUP(Assessment!H48,Inherited!A:A,Inherited!B:B)))/100)*IF(AA47="1.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(100%)","100"))))))&lt;=32),"25",IF(AND((((_xlfn.XLOOKUP(Assessment!H48,Inherited!A:A,Inherited!B:B))/100)*(_xlfn.XLOOKUP(Assessment!H48,Inherited!A:A,Inherited!F:F)))+(((100-(_xlfn.XLOOKUP(Assessment!H48,Inherited!A:A,Inherited!B:B)))/100)*IF(AA47="1.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(100%)","100"))))))&gt;=33,(((_xlfn.XLOOKUP(Assessment!H48,Inherited!A:A,Inherited!B:B))/100)*(_xlfn.XLOOKUP(Assessment!H48,Inherited!A:A,Inherited!F:F)))+(((100-(_xlfn.XLOOKUP(Assessment!H48,Inherited!A:A,Inherited!B:B)))/100)*IF(AA47="1.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(100%)","100"))))))&lt;=65),"50",IF(AND((((_xlfn.XLOOKUP(Assessment!H48,Inherited!A:A,Inherited!B:B))/100)*(_xlfn.XLOOKUP(Assessment!H48,Inherited!A:A,Inherited!F:F)))+(((100-(_xlfn.XLOOKUP(Assessment!H48,Inherited!A:A,Inherited!B:B)))/100)*IF(AA47="1.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(100%)","100"))))))&gt;=66,(((_xlfn.XLOOKUP(Assessment!H48,Inherited!A:A,Inherited!B:B))/100)*(_xlfn.XLOOKUP(Assessment!H48,Inherited!A:A,Inherited!F:F)))+(((100-(_xlfn.XLOOKUP(Assessment!H48,Inherited!A:A,Inherited!B:B)))/100)*IF(AA47="1.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(100%)","100"))))))&lt;=89),"75",IF((((_xlfn.XLOOKUP(Assessment!H48,Inherited!A:A,Inherited!B:B))/100)*(_xlfn.XLOOKUP(Assessment!H48,Inherited!A:A,Inherited!F:F)))+(((100-(_xlfn.XLOOKUP(Assessment!H48,Inherited!A:A,Inherited!B:B)))/100)*IF(AA47="1. Non Compliant (0%)","0",IF(AA47="2. Somewhat Compliant (25%)","25",IF(AA47="3. Partially Compliant (50%)","50",IF(AA47="4. Mostly Compliant (75%)","75",IF(AA47="5. Fully Compliant (100%)","100"))))))&gt;=90,"100"))))))</f>
        <v>#N/A</v>
      </c>
      <c r="U47" s="1" t="e">
        <f>IF(MATCH(H47,Inherited!A:A),IF((((_xlfn.XLOOKUP(Assessment!H48,Inherited!A:A,Inherited!B:B))/100)*(_xlfn.XLOOKUP(Assessment!H48,Inherited!A:A,Inherited!G:G)))+(((100-(_xlfn.XLOOKUP(Assessment!H48,Inherited!A:A,Inherited!B:B)))/100)*IF(AB47="1.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(100%)","100"))))))&lt;=10,"0", IF(AND((((_xlfn.XLOOKUP(Assessment!H48,Inherited!A:A,Inherited!B:B))/100)*(_xlfn.XLOOKUP(Assessment!H48,Inherited!A:A,Inherited!G:G)))+(((100-(_xlfn.XLOOKUP(Assessment!H48,Inherited!A:A,Inherited!B:B)))/100)*IF(AB47="1.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(100%)","100"))))))&gt;=11,(((_xlfn.XLOOKUP(Assessment!H48,Inherited!A:A,Inherited!B:B))/100)*(_xlfn.XLOOKUP(Assessment!H48,Inherited!A:A,Inherited!G:G)))+(((100-(_xlfn.XLOOKUP(Assessment!H48,Inherited!A:A,Inherited!B:B)))/100)*IF(AB47="1.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(100%)","100"))))))&lt;=32),"25",IF(AND((((_xlfn.XLOOKUP(Assessment!H48,Inherited!A:A,Inherited!B:B))/100)*(_xlfn.XLOOKUP(Assessment!H48,Inherited!A:A,Inherited!G:G)))+(((100-(_xlfn.XLOOKUP(Assessment!H48,Inherited!A:A,Inherited!B:B)))/100)*IF(AB47="1.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(100%)","100"))))))&gt;=33,(((_xlfn.XLOOKUP(Assessment!H48,Inherited!A:A,Inherited!B:B))/100)*(_xlfn.XLOOKUP(Assessment!H48,Inherited!A:A,Inherited!G:G)))+(((100-(_xlfn.XLOOKUP(Assessment!H48,Inherited!A:A,Inherited!B:B)))/100)*IF(AB47="1.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(100%)","100"))))))&lt;=65),"50",IF(AND((((_xlfn.XLOOKUP(Assessment!H48,Inherited!A:A,Inherited!B:B))/100)*(_xlfn.XLOOKUP(Assessment!H48,Inherited!A:A,Inherited!G:G)))+(((100-(_xlfn.XLOOKUP(Assessment!H48,Inherited!A:A,Inherited!B:B)))/100)*IF(AB47="1.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(100%)","100"))))))&gt;=66,(((_xlfn.XLOOKUP(Assessment!H48,Inherited!A:A,Inherited!B:B))/100)*(_xlfn.XLOOKUP(Assessment!H48,Inherited!A:A,Inherited!G:G)))+(((100-(_xlfn.XLOOKUP(Assessment!H48,Inherited!A:A,Inherited!B:B)))/100)*IF(AB47="1.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(100%)","100"))))))&lt;=89),"75",IF((((_xlfn.XLOOKUP(Assessment!H48,Inherited!A:A,Inherited!B:B))/100)*(_xlfn.XLOOKUP(Assessment!H48,Inherited!A:A,Inherited!G:G)))+(((100-(_xlfn.XLOOKUP(Assessment!H48,Inherited!A:A,Inherited!B:B)))/100)*IF(AB47="1. Non Compliant (0%)","0",IF(AB47="2. Somewhat Compliant (25%)","25",IF(AB47="3. Partially Compliant (50%)","50",IF(AB47="4. Mostly Compliant (75%)","75",IF(AB47="5. Fully Compliant (100%)","100"))))))&gt;=90,"100"))))))</f>
        <v>#N/A</v>
      </c>
      <c r="V47" s="55" t="s">
        <v>85</v>
      </c>
      <c r="W47" s="55"/>
      <c r="X47" s="55"/>
      <c r="Y47" s="55"/>
      <c r="Z47" s="55" t="s">
        <v>10873</v>
      </c>
      <c r="AA47" s="55"/>
      <c r="AB47" s="55"/>
      <c r="AK47" s="1" t="s">
        <v>10978</v>
      </c>
      <c r="AL47" s="1" t="s">
        <v>10980</v>
      </c>
      <c r="AP47" s="1" t="s">
        <v>11065</v>
      </c>
      <c r="AX47" s="3" t="str">
        <f>_xlfn.CONCAT("A-LIGN finished its review of this control on ",AR47, " during the scheduled fieldwork window (",Intro!$B$4,")."&amp; CHAR(10)&amp; CHAR(10))</f>
        <v xml:space="preserve">A-LIGN finished its review of this control on  during the scheduled fieldwork window (Fieldwork: xx/xx/xxxx - xx/xx/xxxx).
</v>
      </c>
      <c r="AY47" s="3" t="str">
        <f t="shared" si="81"/>
        <v/>
      </c>
      <c r="AZ47" s="3" t="str">
        <f t="shared" si="82"/>
        <v/>
      </c>
      <c r="BA47" s="3" t="str">
        <f t="shared" si="83"/>
        <v/>
      </c>
      <c r="BB47" s="3" t="str">
        <f t="shared" si="84"/>
        <v xml:space="preserve">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v>
      </c>
      <c r="BC47" s="3" t="str">
        <f t="shared" si="85"/>
        <v/>
      </c>
      <c r="BD47" s="3" t="str">
        <f t="shared" si="86"/>
        <v xml:space="preserve">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v>
      </c>
      <c r="BE47" s="3" t="str">
        <f t="shared" si="87"/>
        <v/>
      </c>
      <c r="BF47" s="3" t="str">
        <f t="shared" si="88"/>
        <v/>
      </c>
      <c r="BG47" s="3" t="str">
        <f>_xlfn.CONCAT((IF((COUNTIF('Sample Tables'!B:B,"")&gt;0)=TRUE,_xlfn.CONCAT("",""),IF((COUNTIF('Sample Tables'!B:B,"")&gt;0)=FALSE,""))),)</f>
        <v/>
      </c>
      <c r="BH47"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v>
      </c>
    </row>
    <row r="48" spans="3:60" ht="355.5" customHeight="1" x14ac:dyDescent="0.35">
      <c r="C48" s="1">
        <f t="shared" si="80"/>
        <v>0</v>
      </c>
      <c r="D48" s="5" t="str">
        <f>IF(AND((_xlfn.XLOOKUP(J48,'Fields &amp; Revisions'!$H:$H,'Fields &amp; Revisions'!$I:$I))&lt;70.99,(OR(Z48="4. Mostly Compliant (75%)",Z48="3. Partially Compliant (50%)",Z48="2. Somewhat Compliant (25%)",Z48="1. Non Compliant (0%)"))),"Yes","No")</f>
        <v>Yes</v>
      </c>
      <c r="E48" s="5" t="str">
        <f>IF(ISERROR(VLOOKUP(H48,Scope!A:A,1,FALSE)),"No","Yes")</f>
        <v>Yes</v>
      </c>
      <c r="F48" s="1" t="s">
        <v>1293</v>
      </c>
      <c r="G48" s="53" t="s">
        <v>1314</v>
      </c>
      <c r="H48" s="53" t="s">
        <v>1315</v>
      </c>
      <c r="I48" s="5" t="s">
        <v>93</v>
      </c>
      <c r="J48" s="1" t="s">
        <v>284</v>
      </c>
      <c r="K48" s="54" t="s">
        <v>1316</v>
      </c>
      <c r="L48" s="1" t="s">
        <v>1317</v>
      </c>
      <c r="M48" s="1" t="s">
        <v>1318</v>
      </c>
      <c r="N48" s="5" t="s">
        <v>98</v>
      </c>
      <c r="O48" s="1" t="str">
        <f>_xlfn.XLOOKUP(G48,SRMs!$A:$A,SRMs!$D:$D)</f>
        <v>NO INHERITANCE</v>
      </c>
      <c r="P48" s="1" t="str">
        <f>IFERROR(VLOOKUP(H48,Inherited!A:B,2,FALSE),"")</f>
        <v/>
      </c>
      <c r="Q48" s="1" t="e">
        <f>IF(MATCH(H48,Inherited!A:A),IF((((_xlfn.XLOOKUP(Assessment!#REF!,Inherited!A:A,Inherited!B:B))/100)*(_xlfn.XLOOKUP(Assessment!#REF!,Inherited!A:A,Inherited!C:C)))+(((100-(_xlfn.XLOOKUP(Assessment!#REF!,Inherited!A:A,Inherited!B:B)))/100)*IF(X48="1.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(100%)","100"))))))&lt;=10,"0", IF(AND((((_xlfn.XLOOKUP(Assessment!#REF!,Inherited!A:A,Inherited!B:B))/100)*(_xlfn.XLOOKUP(Assessment!#REF!,Inherited!A:A,Inherited!C:C)))+(((100-(_xlfn.XLOOKUP(Assessment!#REF!,Inherited!A:A,Inherited!B:B)))/100)*IF(X48="1.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(100%)","100"))))))&gt;=11,(((_xlfn.XLOOKUP(Assessment!#REF!,Inherited!A:A,Inherited!B:B))/100)*(_xlfn.XLOOKUP(Assessment!#REF!,Inherited!A:A,Inherited!C:C)))+(((100-(_xlfn.XLOOKUP(Assessment!#REF!,Inherited!A:A,Inherited!B:B)))/100)*IF(X48="1.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(100%)","100"))))))&lt;=32),"25",IF(AND((((_xlfn.XLOOKUP(Assessment!#REF!,Inherited!A:A,Inherited!B:B))/100)*(_xlfn.XLOOKUP(Assessment!#REF!,Inherited!A:A,Inherited!C:C)))+(((100-(_xlfn.XLOOKUP(Assessment!#REF!,Inherited!A:A,Inherited!B:B)))/100)*IF(X48="1.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(100%)","100"))))))&gt;=33,(((_xlfn.XLOOKUP(Assessment!#REF!,Inherited!A:A,Inherited!B:B))/100)*(_xlfn.XLOOKUP(Assessment!#REF!,Inherited!A:A,Inherited!C:C)))+(((100-(_xlfn.XLOOKUP(Assessment!#REF!,Inherited!A:A,Inherited!B:B)))/100)*IF(X48="1.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(100%)","100"))))))&lt;=65),"50",IF(AND((((_xlfn.XLOOKUP(Assessment!#REF!,Inherited!A:A,Inherited!B:B))/100)*(_xlfn.XLOOKUP(Assessment!#REF!,Inherited!A:A,Inherited!C:C)))+(((100-(_xlfn.XLOOKUP(Assessment!#REF!,Inherited!A:A,Inherited!B:B)))/100)*IF(X48="1.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(100%)","100"))))))&gt;=66,(((_xlfn.XLOOKUP(Assessment!#REF!,Inherited!A:A,Inherited!B:B))/100)*(_xlfn.XLOOKUP(Assessment!#REF!,Inherited!A:A,Inherited!C:C)))+(((100-(_xlfn.XLOOKUP(Assessment!#REF!,Inherited!A:A,Inherited!B:B)))/100)*IF(X48="1.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(100%)","100"))))))&lt;=89),"75",IF((((_xlfn.XLOOKUP(Assessment!#REF!,Inherited!A:A,Inherited!B:B))/100)*(_xlfn.XLOOKUP(Assessment!#REF!,Inherited!A:A,Inherited!C:C)))+(((100-(_xlfn.XLOOKUP(Assessment!#REF!,Inherited!A:A,Inherited!B:B)))/100)*IF(X48="1. Non Compliant (0%)","0",IF(X48="2. Somewhat Compliant (25%)","25",IF(X48="3. Partially Compliant (50%)","50",IF(X48="4. Mostly Compliant (75%)","75",IF(X48="5. Fully Compliant (100%)","100"))))))&gt;=90,"100"))))))</f>
        <v>#N/A</v>
      </c>
      <c r="R48" s="1" t="e">
        <f>IF(MATCH(H48,Inherited!A:A),IF((((_xlfn.XLOOKUP(Assessment!#REF!,Inherited!A:A,Inherited!B:B))/100)*(_xlfn.XLOOKUP(Assessment!#REF!,Inherited!A:A,Inherited!D:D)))+(((100-(_xlfn.XLOOKUP(Assessment!#REF!,Inherited!A:A,Inherited!B:B)))/100)*IF(Y48="1.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(100%)","100"))))))&lt;=10,"0", IF(AND((((_xlfn.XLOOKUP(Assessment!#REF!,Inherited!A:A,Inherited!B:B))/100)*(_xlfn.XLOOKUP(Assessment!#REF!,Inherited!A:A,Inherited!D:D)))+(((100-(_xlfn.XLOOKUP(Assessment!#REF!,Inherited!A:A,Inherited!B:B)))/100)*IF(Y48="1.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(100%)","100"))))))&gt;=11,(((_xlfn.XLOOKUP(Assessment!#REF!,Inherited!A:A,Inherited!B:B))/100)*(_xlfn.XLOOKUP(Assessment!#REF!,Inherited!A:A,Inherited!D:D)))+(((100-(_xlfn.XLOOKUP(Assessment!#REF!,Inherited!A:A,Inherited!B:B)))/100)*IF(Y48="1.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(100%)","100"))))))&lt;=32),"25",IF(AND((((_xlfn.XLOOKUP(Assessment!#REF!,Inherited!A:A,Inherited!B:B))/100)*(_xlfn.XLOOKUP(Assessment!#REF!,Inherited!A:A,Inherited!D:D)))+(((100-(_xlfn.XLOOKUP(Assessment!#REF!,Inherited!A:A,Inherited!B:B)))/100)*IF(Y48="1.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(100%)","100"))))))&gt;=33,(((_xlfn.XLOOKUP(Assessment!#REF!,Inherited!A:A,Inherited!B:B))/100)*(_xlfn.XLOOKUP(Assessment!#REF!,Inherited!A:A,Inherited!D:D)))+(((100-(_xlfn.XLOOKUP(Assessment!#REF!,Inherited!A:A,Inherited!B:B)))/100)*IF(Y48="1.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(100%)","100"))))))&lt;=65),"50",IF(AND((((_xlfn.XLOOKUP(Assessment!#REF!,Inherited!A:A,Inherited!B:B))/100)*(_xlfn.XLOOKUP(Assessment!#REF!,Inherited!A:A,Inherited!D:D)))+(((100-(_xlfn.XLOOKUP(Assessment!#REF!,Inherited!A:A,Inherited!B:B)))/100)*IF(Y48="1.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(100%)","100"))))))&gt;=66,(((_xlfn.XLOOKUP(Assessment!#REF!,Inherited!A:A,Inherited!B:B))/100)*(_xlfn.XLOOKUP(Assessment!#REF!,Inherited!A:A,Inherited!D:D)))+(((100-(_xlfn.XLOOKUP(Assessment!#REF!,Inherited!A:A,Inherited!B:B)))/100)*IF(Y48="1.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(100%)","100"))))))&lt;=89),"75",IF((((_xlfn.XLOOKUP(Assessment!#REF!,Inherited!A:A,Inherited!B:B))/100)*(_xlfn.XLOOKUP(Assessment!#REF!,Inherited!A:A,Inherited!D:D)))+(((100-(_xlfn.XLOOKUP(Assessment!#REF!,Inherited!A:A,Inherited!B:B)))/100)*IF(Y48="1. Non Compliant (0%)","0",IF(Y48="2. Somewhat Compliant (25%)","25",IF(Y48="3. Partially Compliant (50%)","50",IF(Y48="4. Mostly Compliant (75%)","75",IF(Y48="5. Fully Compliant (100%)","100"))))))&gt;=90,"100"))))))</f>
        <v>#N/A</v>
      </c>
      <c r="S48" s="1" t="e">
        <f>IF(MATCH(H48,Inherited!A:A),IF((((_xlfn.XLOOKUP(Assessment!#REF!,Inherited!A:A,Inherited!B:B))/100)*(_xlfn.XLOOKUP(Assessment!#REF!,Inherited!A:A,Inherited!E:E)))+(((100-(_xlfn.XLOOKUP(Assessment!#REF!,Inherited!A:A,Inherited!B:B)))/100)*IF(Z48="1.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(100%)","100"))))))&lt;=10,"0", IF(AND((((_xlfn.XLOOKUP(Assessment!#REF!,Inherited!A:A,Inherited!B:B))/100)*(_xlfn.XLOOKUP(Assessment!#REF!,Inherited!A:A,Inherited!E:E)))+(((100-(_xlfn.XLOOKUP(Assessment!#REF!,Inherited!A:A,Inherited!B:B)))/100)*IF(Z48="1.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(100%)","100"))))))&gt;=11,(((_xlfn.XLOOKUP(Assessment!#REF!,Inherited!A:A,Inherited!B:B))/100)*(_xlfn.XLOOKUP(Assessment!#REF!,Inherited!A:A,Inherited!E:E)))+(((100-(_xlfn.XLOOKUP(Assessment!#REF!,Inherited!A:A,Inherited!B:B)))/100)*IF(Z48="1.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(100%)","100"))))))&lt;=32),"25",IF(AND((((_xlfn.XLOOKUP(Assessment!#REF!,Inherited!A:A,Inherited!B:B))/100)*(_xlfn.XLOOKUP(Assessment!#REF!,Inherited!A:A,Inherited!E:E)))+(((100-(_xlfn.XLOOKUP(Assessment!#REF!,Inherited!A:A,Inherited!B:B)))/100)*IF(Z48="1.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(100%)","100"))))))&gt;=33,(((_xlfn.XLOOKUP(Assessment!#REF!,Inherited!A:A,Inherited!B:B))/100)*(_xlfn.XLOOKUP(Assessment!#REF!,Inherited!A:A,Inherited!E:E)))+(((100-(_xlfn.XLOOKUP(Assessment!#REF!,Inherited!A:A,Inherited!B:B)))/100)*IF(Z48="1.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(100%)","100"))))))&lt;=65),"50",IF(AND((((_xlfn.XLOOKUP(Assessment!#REF!,Inherited!A:A,Inherited!B:B))/100)*(_xlfn.XLOOKUP(Assessment!#REF!,Inherited!A:A,Inherited!E:E)))+(((100-(_xlfn.XLOOKUP(Assessment!#REF!,Inherited!A:A,Inherited!B:B)))/100)*IF(Z48="1.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(100%)","100"))))))&gt;=66,(((_xlfn.XLOOKUP(Assessment!#REF!,Inherited!A:A,Inherited!B:B))/100)*(_xlfn.XLOOKUP(Assessment!#REF!,Inherited!A:A,Inherited!E:E)))+(((100-(_xlfn.XLOOKUP(Assessment!#REF!,Inherited!A:A,Inherited!B:B)))/100)*IF(Z48="1.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(100%)","100"))))))&lt;=89),"75",IF((((_xlfn.XLOOKUP(Assessment!#REF!,Inherited!A:A,Inherited!B:B))/100)*(_xlfn.XLOOKUP(Assessment!#REF!,Inherited!A:A,Inherited!E:E)))+(((100-(_xlfn.XLOOKUP(Assessment!#REF!,Inherited!A:A,Inherited!B:B)))/100)*IF(Z48="1. Non Compliant (0%)","0",IF(Z48="2. Somewhat Compliant (25%)","25",IF(Z48="3. Partially Compliant (50%)","50",IF(Z48="4. Mostly Compliant (75%)","75",IF(Z48="5. Fully Compliant (100%)","100"))))))&gt;=90,"100"))))))</f>
        <v>#N/A</v>
      </c>
      <c r="T48" s="1" t="e">
        <f>IF(MATCH(H48,Inherited!A:A),IF((((_xlfn.XLOOKUP(Assessment!#REF!,Inherited!A:A,Inherited!B:B))/100)*(_xlfn.XLOOKUP(Assessment!#REF!,Inherited!A:A,Inherited!F:F)))+(((100-(_xlfn.XLOOKUP(Assessment!#REF!,Inherited!A:A,Inherited!B:B)))/100)*IF(AA48="1.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(100%)","100"))))))&lt;=10,"0", IF(AND((((_xlfn.XLOOKUP(Assessment!#REF!,Inherited!A:A,Inherited!B:B))/100)*(_xlfn.XLOOKUP(Assessment!#REF!,Inherited!A:A,Inherited!F:F)))+(((100-(_xlfn.XLOOKUP(Assessment!#REF!,Inherited!A:A,Inherited!B:B)))/100)*IF(AA48="1.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(100%)","100"))))))&gt;=11,(((_xlfn.XLOOKUP(Assessment!#REF!,Inherited!A:A,Inherited!B:B))/100)*(_xlfn.XLOOKUP(Assessment!#REF!,Inherited!A:A,Inherited!F:F)))+(((100-(_xlfn.XLOOKUP(Assessment!#REF!,Inherited!A:A,Inherited!B:B)))/100)*IF(AA48="1.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(100%)","100"))))))&lt;=32),"25",IF(AND((((_xlfn.XLOOKUP(Assessment!#REF!,Inherited!A:A,Inherited!B:B))/100)*(_xlfn.XLOOKUP(Assessment!#REF!,Inherited!A:A,Inherited!F:F)))+(((100-(_xlfn.XLOOKUP(Assessment!#REF!,Inherited!A:A,Inherited!B:B)))/100)*IF(AA48="1.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(100%)","100"))))))&gt;=33,(((_xlfn.XLOOKUP(Assessment!#REF!,Inherited!A:A,Inherited!B:B))/100)*(_xlfn.XLOOKUP(Assessment!#REF!,Inherited!A:A,Inherited!F:F)))+(((100-(_xlfn.XLOOKUP(Assessment!#REF!,Inherited!A:A,Inherited!B:B)))/100)*IF(AA48="1.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(100%)","100"))))))&lt;=65),"50",IF(AND((((_xlfn.XLOOKUP(Assessment!#REF!,Inherited!A:A,Inherited!B:B))/100)*(_xlfn.XLOOKUP(Assessment!#REF!,Inherited!A:A,Inherited!F:F)))+(((100-(_xlfn.XLOOKUP(Assessment!#REF!,Inherited!A:A,Inherited!B:B)))/100)*IF(AA48="1.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(100%)","100"))))))&gt;=66,(((_xlfn.XLOOKUP(Assessment!#REF!,Inherited!A:A,Inherited!B:B))/100)*(_xlfn.XLOOKUP(Assessment!#REF!,Inherited!A:A,Inherited!F:F)))+(((100-(_xlfn.XLOOKUP(Assessment!#REF!,Inherited!A:A,Inherited!B:B)))/100)*IF(AA48="1.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(100%)","100"))))))&lt;=89),"75",IF((((_xlfn.XLOOKUP(Assessment!#REF!,Inherited!A:A,Inherited!B:B))/100)*(_xlfn.XLOOKUP(Assessment!#REF!,Inherited!A:A,Inherited!F:F)))+(((100-(_xlfn.XLOOKUP(Assessment!#REF!,Inherited!A:A,Inherited!B:B)))/100)*IF(AA48="1. Non Compliant (0%)","0",IF(AA48="2. Somewhat Compliant (25%)","25",IF(AA48="3. Partially Compliant (50%)","50",IF(AA48="4. Mostly Compliant (75%)","75",IF(AA48="5. Fully Compliant (100%)","100"))))))&gt;=90,"100"))))))</f>
        <v>#N/A</v>
      </c>
      <c r="U48" s="1" t="e">
        <f>IF(MATCH(H48,Inherited!A:A),IF((((_xlfn.XLOOKUP(Assessment!#REF!,Inherited!A:A,Inherited!B:B))/100)*(_xlfn.XLOOKUP(Assessment!#REF!,Inherited!A:A,Inherited!G:G)))+(((100-(_xlfn.XLOOKUP(Assessment!#REF!,Inherited!A:A,Inherited!B:B)))/100)*IF(AB48="1.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(100%)","100"))))))&lt;=10,"0", IF(AND((((_xlfn.XLOOKUP(Assessment!#REF!,Inherited!A:A,Inherited!B:B))/100)*(_xlfn.XLOOKUP(Assessment!#REF!,Inherited!A:A,Inherited!G:G)))+(((100-(_xlfn.XLOOKUP(Assessment!#REF!,Inherited!A:A,Inherited!B:B)))/100)*IF(AB48="1.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(100%)","100"))))))&gt;=11,(((_xlfn.XLOOKUP(Assessment!#REF!,Inherited!A:A,Inherited!B:B))/100)*(_xlfn.XLOOKUP(Assessment!#REF!,Inherited!A:A,Inherited!G:G)))+(((100-(_xlfn.XLOOKUP(Assessment!#REF!,Inherited!A:A,Inherited!B:B)))/100)*IF(AB48="1.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(100%)","100"))))))&lt;=32),"25",IF(AND((((_xlfn.XLOOKUP(Assessment!#REF!,Inherited!A:A,Inherited!B:B))/100)*(_xlfn.XLOOKUP(Assessment!#REF!,Inherited!A:A,Inherited!G:G)))+(((100-(_xlfn.XLOOKUP(Assessment!#REF!,Inherited!A:A,Inherited!B:B)))/100)*IF(AB48="1.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(100%)","100"))))))&gt;=33,(((_xlfn.XLOOKUP(Assessment!#REF!,Inherited!A:A,Inherited!B:B))/100)*(_xlfn.XLOOKUP(Assessment!#REF!,Inherited!A:A,Inherited!G:G)))+(((100-(_xlfn.XLOOKUP(Assessment!#REF!,Inherited!A:A,Inherited!B:B)))/100)*IF(AB48="1.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(100%)","100"))))))&lt;=65),"50",IF(AND((((_xlfn.XLOOKUP(Assessment!#REF!,Inherited!A:A,Inherited!B:B))/100)*(_xlfn.XLOOKUP(Assessment!#REF!,Inherited!A:A,Inherited!G:G)))+(((100-(_xlfn.XLOOKUP(Assessment!#REF!,Inherited!A:A,Inherited!B:B)))/100)*IF(AB48="1.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(100%)","100"))))))&gt;=66,(((_xlfn.XLOOKUP(Assessment!#REF!,Inherited!A:A,Inherited!B:B))/100)*(_xlfn.XLOOKUP(Assessment!#REF!,Inherited!A:A,Inherited!G:G)))+(((100-(_xlfn.XLOOKUP(Assessment!#REF!,Inherited!A:A,Inherited!B:B)))/100)*IF(AB48="1.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(100%)","100"))))))&lt;=89),"75",IF((((_xlfn.XLOOKUP(Assessment!#REF!,Inherited!A:A,Inherited!B:B))/100)*(_xlfn.XLOOKUP(Assessment!#REF!,Inherited!A:A,Inherited!G:G)))+(((100-(_xlfn.XLOOKUP(Assessment!#REF!,Inherited!A:A,Inherited!B:B)))/100)*IF(AB48="1. Non Compliant (0%)","0",IF(AB48="2. Somewhat Compliant (25%)","25",IF(AB48="3. Partially Compliant (50%)","50",IF(AB48="4. Mostly Compliant (75%)","75",IF(AB48="5. Fully Compliant (100%)","100"))))))&gt;=90,"100"))))))</f>
        <v>#N/A</v>
      </c>
      <c r="V48" s="55" t="s">
        <v>85</v>
      </c>
      <c r="W48" s="55"/>
      <c r="X48" s="55"/>
      <c r="Y48" s="55"/>
      <c r="Z48" s="55" t="s">
        <v>10873</v>
      </c>
      <c r="AA48" s="55"/>
      <c r="AB48" s="55"/>
      <c r="AK48" s="1" t="s">
        <v>10978</v>
      </c>
      <c r="AL48" s="1" t="s">
        <v>10980</v>
      </c>
      <c r="AP48" s="1" t="s">
        <v>11066</v>
      </c>
      <c r="AX48" s="3" t="str">
        <f>_xlfn.CONCAT("A-LIGN finished its review of this control on ",AR48, " during the scheduled fieldwork window (",Intro!$B$4,")."&amp; CHAR(10)&amp; CHAR(10))</f>
        <v xml:space="preserve">A-LIGN finished its review of this control on  during the scheduled fieldwork window (Fieldwork: xx/xx/xxxx - xx/xx/xxxx).
</v>
      </c>
      <c r="AY48" s="3" t="str">
        <f t="shared" si="81"/>
        <v/>
      </c>
      <c r="AZ48" s="3" t="str">
        <f t="shared" si="82"/>
        <v/>
      </c>
      <c r="BA48" s="3" t="str">
        <f t="shared" si="83"/>
        <v/>
      </c>
      <c r="BB48" s="3" t="str">
        <f t="shared" si="84"/>
        <v xml:space="preserve">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v>
      </c>
      <c r="BC48" s="3" t="str">
        <f t="shared" si="85"/>
        <v/>
      </c>
      <c r="BD48" s="3" t="str">
        <f t="shared" si="86"/>
        <v xml:space="preserve">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dataset creation dates and sensitivity levels
Further, management should ensure that the inventory is reviewed at least every 180 days
</v>
      </c>
      <c r="BE48" s="3" t="str">
        <f t="shared" si="87"/>
        <v/>
      </c>
      <c r="BF48" s="3" t="str">
        <f t="shared" si="88"/>
        <v/>
      </c>
      <c r="BG48" s="3" t="str">
        <f>_xlfn.CONCAT((IF((COUNTIF('Sample Tables'!B:B,"")&gt;0)=TRUE,_xlfn.CONCAT("",""),IF((COUNTIF('Sample Tables'!B:B,"")&gt;0)=FALSE,""))),)</f>
        <v/>
      </c>
      <c r="BH48"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artificial intelligence asset tracking includes: code to create, train, and/or deploy AI models
- artificial intelligence asset tracking includes: training datasets
- artificial intelligence asset tracking includes: fine-tuning datasets
- artificial intelligence asset tracking includes: RAG datasets (if used)
- artificial intelligence asset tracking includes: dataset creation dates and sensitivity levels
Further, management should ensure that the inventory is reviewed at least every 180 days
</v>
      </c>
    </row>
    <row r="49" spans="3:60" ht="408" customHeight="1" x14ac:dyDescent="0.35">
      <c r="C49" s="1">
        <f t="shared" si="80"/>
        <v>0</v>
      </c>
      <c r="D49" s="5" t="str">
        <f>IF(AND((_xlfn.XLOOKUP(J49,'Fields &amp; Revisions'!$H:$H,'Fields &amp; Revisions'!$I:$I))&lt;70.99,(OR(Z49="4. Mostly Compliant (75%)",Z49="3. Partially Compliant (50%)",Z49="2. Somewhat Compliant (25%)",Z49="1. Non Compliant (0%)"))),"Yes","No")</f>
        <v>Yes</v>
      </c>
      <c r="E49" s="5" t="str">
        <f>IF(ISERROR(VLOOKUP(H49,Scope!A:A,1,FALSE)),"No","Yes")</f>
        <v>Yes</v>
      </c>
      <c r="F49" s="1" t="s">
        <v>1293</v>
      </c>
      <c r="G49" s="53" t="s">
        <v>1327</v>
      </c>
      <c r="H49" s="53" t="s">
        <v>1328</v>
      </c>
      <c r="I49" s="5" t="s">
        <v>225</v>
      </c>
      <c r="J49" s="1" t="s">
        <v>284</v>
      </c>
      <c r="K49" s="54" t="s">
        <v>1329</v>
      </c>
      <c r="L49" s="1" t="s">
        <v>11002</v>
      </c>
      <c r="M49" s="1" t="s">
        <v>1330</v>
      </c>
      <c r="N49" s="5" t="s">
        <v>98</v>
      </c>
      <c r="O49" s="1" t="str">
        <f>_xlfn.XLOOKUP(G49,SRMs!$A:$A,SRMs!$D:$D)</f>
        <v>NO INHERITANCE</v>
      </c>
      <c r="P49" s="1" t="str">
        <f>IFERROR(VLOOKUP(H49,Inherited!A:B,2,FALSE),"")</f>
        <v/>
      </c>
      <c r="Q49" s="1" t="e">
        <f>IF(MATCH(H49,Inherited!A:A),IF((((_xlfn.XLOOKUP(Assessment!#REF!,Inherited!A:A,Inherited!B:B))/100)*(_xlfn.XLOOKUP(Assessment!#REF!,Inherited!A:A,Inherited!C:C)))+(((100-(_xlfn.XLOOKUP(Assessment!#REF!,Inherited!A:A,Inherited!B:B)))/100)*IF(X49="1.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(100%)","100"))))))&lt;=10,"0", IF(AND((((_xlfn.XLOOKUP(Assessment!#REF!,Inherited!A:A,Inherited!B:B))/100)*(_xlfn.XLOOKUP(Assessment!#REF!,Inherited!A:A,Inherited!C:C)))+(((100-(_xlfn.XLOOKUP(Assessment!#REF!,Inherited!A:A,Inherited!B:B)))/100)*IF(X49="1.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(100%)","100"))))))&gt;=11,(((_xlfn.XLOOKUP(Assessment!#REF!,Inherited!A:A,Inherited!B:B))/100)*(_xlfn.XLOOKUP(Assessment!#REF!,Inherited!A:A,Inherited!C:C)))+(((100-(_xlfn.XLOOKUP(Assessment!#REF!,Inherited!A:A,Inherited!B:B)))/100)*IF(X49="1.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(100%)","100"))))))&lt;=32),"25",IF(AND((((_xlfn.XLOOKUP(Assessment!#REF!,Inherited!A:A,Inherited!B:B))/100)*(_xlfn.XLOOKUP(Assessment!#REF!,Inherited!A:A,Inherited!C:C)))+(((100-(_xlfn.XLOOKUP(Assessment!#REF!,Inherited!A:A,Inherited!B:B)))/100)*IF(X49="1.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(100%)","100"))))))&gt;=33,(((_xlfn.XLOOKUP(Assessment!#REF!,Inherited!A:A,Inherited!B:B))/100)*(_xlfn.XLOOKUP(Assessment!#REF!,Inherited!A:A,Inherited!C:C)))+(((100-(_xlfn.XLOOKUP(Assessment!#REF!,Inherited!A:A,Inherited!B:B)))/100)*IF(X49="1.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(100%)","100"))))))&lt;=65),"50",IF(AND((((_xlfn.XLOOKUP(Assessment!#REF!,Inherited!A:A,Inherited!B:B))/100)*(_xlfn.XLOOKUP(Assessment!#REF!,Inherited!A:A,Inherited!C:C)))+(((100-(_xlfn.XLOOKUP(Assessment!#REF!,Inherited!A:A,Inherited!B:B)))/100)*IF(X49="1.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(100%)","100"))))))&gt;=66,(((_xlfn.XLOOKUP(Assessment!#REF!,Inherited!A:A,Inherited!B:B))/100)*(_xlfn.XLOOKUP(Assessment!#REF!,Inherited!A:A,Inherited!C:C)))+(((100-(_xlfn.XLOOKUP(Assessment!#REF!,Inherited!A:A,Inherited!B:B)))/100)*IF(X49="1.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(100%)","100"))))))&lt;=89),"75",IF((((_xlfn.XLOOKUP(Assessment!#REF!,Inherited!A:A,Inherited!B:B))/100)*(_xlfn.XLOOKUP(Assessment!#REF!,Inherited!A:A,Inherited!C:C)))+(((100-(_xlfn.XLOOKUP(Assessment!#REF!,Inherited!A:A,Inherited!B:B)))/100)*IF(X49="1. Non Compliant (0%)","0",IF(X49="2. Somewhat Compliant (25%)","25",IF(X49="3. Partially Compliant (50%)","50",IF(X49="4. Mostly Compliant (75%)","75",IF(X49="5. Fully Compliant (100%)","100"))))))&gt;=90,"100"))))))</f>
        <v>#N/A</v>
      </c>
      <c r="R49" s="1" t="e">
        <f>IF(MATCH(H49,Inherited!A:A),IF((((_xlfn.XLOOKUP(Assessment!#REF!,Inherited!A:A,Inherited!B:B))/100)*(_xlfn.XLOOKUP(Assessment!#REF!,Inherited!A:A,Inherited!D:D)))+(((100-(_xlfn.XLOOKUP(Assessment!#REF!,Inherited!A:A,Inherited!B:B)))/100)*IF(Y49="1.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(100%)","100"))))))&lt;=10,"0", IF(AND((((_xlfn.XLOOKUP(Assessment!#REF!,Inherited!A:A,Inherited!B:B))/100)*(_xlfn.XLOOKUP(Assessment!#REF!,Inherited!A:A,Inherited!D:D)))+(((100-(_xlfn.XLOOKUP(Assessment!#REF!,Inherited!A:A,Inherited!B:B)))/100)*IF(Y49="1.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(100%)","100"))))))&gt;=11,(((_xlfn.XLOOKUP(Assessment!#REF!,Inherited!A:A,Inherited!B:B))/100)*(_xlfn.XLOOKUP(Assessment!#REF!,Inherited!A:A,Inherited!D:D)))+(((100-(_xlfn.XLOOKUP(Assessment!#REF!,Inherited!A:A,Inherited!B:B)))/100)*IF(Y49="1.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(100%)","100"))))))&lt;=32),"25",IF(AND((((_xlfn.XLOOKUP(Assessment!#REF!,Inherited!A:A,Inherited!B:B))/100)*(_xlfn.XLOOKUP(Assessment!#REF!,Inherited!A:A,Inherited!D:D)))+(((100-(_xlfn.XLOOKUP(Assessment!#REF!,Inherited!A:A,Inherited!B:B)))/100)*IF(Y49="1.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(100%)","100"))))))&gt;=33,(((_xlfn.XLOOKUP(Assessment!#REF!,Inherited!A:A,Inherited!B:B))/100)*(_xlfn.XLOOKUP(Assessment!#REF!,Inherited!A:A,Inherited!D:D)))+(((100-(_xlfn.XLOOKUP(Assessment!#REF!,Inherited!A:A,Inherited!B:B)))/100)*IF(Y49="1.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(100%)","100"))))))&lt;=65),"50",IF(AND((((_xlfn.XLOOKUP(Assessment!#REF!,Inherited!A:A,Inherited!B:B))/100)*(_xlfn.XLOOKUP(Assessment!#REF!,Inherited!A:A,Inherited!D:D)))+(((100-(_xlfn.XLOOKUP(Assessment!#REF!,Inherited!A:A,Inherited!B:B)))/100)*IF(Y49="1.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(100%)","100"))))))&gt;=66,(((_xlfn.XLOOKUP(Assessment!#REF!,Inherited!A:A,Inherited!B:B))/100)*(_xlfn.XLOOKUP(Assessment!#REF!,Inherited!A:A,Inherited!D:D)))+(((100-(_xlfn.XLOOKUP(Assessment!#REF!,Inherited!A:A,Inherited!B:B)))/100)*IF(Y49="1.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(100%)","100"))))))&lt;=89),"75",IF((((_xlfn.XLOOKUP(Assessment!#REF!,Inherited!A:A,Inherited!B:B))/100)*(_xlfn.XLOOKUP(Assessment!#REF!,Inherited!A:A,Inherited!D:D)))+(((100-(_xlfn.XLOOKUP(Assessment!#REF!,Inherited!A:A,Inherited!B:B)))/100)*IF(Y49="1. Non Compliant (0%)","0",IF(Y49="2. Somewhat Compliant (25%)","25",IF(Y49="3. Partially Compliant (50%)","50",IF(Y49="4. Mostly Compliant (75%)","75",IF(Y49="5. Fully Compliant (100%)","100"))))))&gt;=90,"100"))))))</f>
        <v>#N/A</v>
      </c>
      <c r="S49" s="1" t="e">
        <f>IF(MATCH(H49,Inherited!A:A),IF((((_xlfn.XLOOKUP(Assessment!#REF!,Inherited!A:A,Inherited!B:B))/100)*(_xlfn.XLOOKUP(Assessment!#REF!,Inherited!A:A,Inherited!E:E)))+(((100-(_xlfn.XLOOKUP(Assessment!#REF!,Inherited!A:A,Inherited!B:B)))/100)*IF(Z49="1.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(100%)","100"))))))&lt;=10,"0", IF(AND((((_xlfn.XLOOKUP(Assessment!#REF!,Inherited!A:A,Inherited!B:B))/100)*(_xlfn.XLOOKUP(Assessment!#REF!,Inherited!A:A,Inherited!E:E)))+(((100-(_xlfn.XLOOKUP(Assessment!#REF!,Inherited!A:A,Inherited!B:B)))/100)*IF(Z49="1.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(100%)","100"))))))&gt;=11,(((_xlfn.XLOOKUP(Assessment!#REF!,Inherited!A:A,Inherited!B:B))/100)*(_xlfn.XLOOKUP(Assessment!#REF!,Inherited!A:A,Inherited!E:E)))+(((100-(_xlfn.XLOOKUP(Assessment!#REF!,Inherited!A:A,Inherited!B:B)))/100)*IF(Z49="1.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(100%)","100"))))))&lt;=32),"25",IF(AND((((_xlfn.XLOOKUP(Assessment!#REF!,Inherited!A:A,Inherited!B:B))/100)*(_xlfn.XLOOKUP(Assessment!#REF!,Inherited!A:A,Inherited!E:E)))+(((100-(_xlfn.XLOOKUP(Assessment!#REF!,Inherited!A:A,Inherited!B:B)))/100)*IF(Z49="1.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(100%)","100"))))))&gt;=33,(((_xlfn.XLOOKUP(Assessment!#REF!,Inherited!A:A,Inherited!B:B))/100)*(_xlfn.XLOOKUP(Assessment!#REF!,Inherited!A:A,Inherited!E:E)))+(((100-(_xlfn.XLOOKUP(Assessment!#REF!,Inherited!A:A,Inherited!B:B)))/100)*IF(Z49="1.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(100%)","100"))))))&lt;=65),"50",IF(AND((((_xlfn.XLOOKUP(Assessment!#REF!,Inherited!A:A,Inherited!B:B))/100)*(_xlfn.XLOOKUP(Assessment!#REF!,Inherited!A:A,Inherited!E:E)))+(((100-(_xlfn.XLOOKUP(Assessment!#REF!,Inherited!A:A,Inherited!B:B)))/100)*IF(Z49="1.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(100%)","100"))))))&gt;=66,(((_xlfn.XLOOKUP(Assessment!#REF!,Inherited!A:A,Inherited!B:B))/100)*(_xlfn.XLOOKUP(Assessment!#REF!,Inherited!A:A,Inherited!E:E)))+(((100-(_xlfn.XLOOKUP(Assessment!#REF!,Inherited!A:A,Inherited!B:B)))/100)*IF(Z49="1.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(100%)","100"))))))&lt;=89),"75",IF((((_xlfn.XLOOKUP(Assessment!#REF!,Inherited!A:A,Inherited!B:B))/100)*(_xlfn.XLOOKUP(Assessment!#REF!,Inherited!A:A,Inherited!E:E)))+(((100-(_xlfn.XLOOKUP(Assessment!#REF!,Inherited!A:A,Inherited!B:B)))/100)*IF(Z49="1. Non Compliant (0%)","0",IF(Z49="2. Somewhat Compliant (25%)","25",IF(Z49="3. Partially Compliant (50%)","50",IF(Z49="4. Mostly Compliant (75%)","75",IF(Z49="5. Fully Compliant (100%)","100"))))))&gt;=90,"100"))))))</f>
        <v>#N/A</v>
      </c>
      <c r="T49" s="1" t="e">
        <f>IF(MATCH(H49,Inherited!A:A),IF((((_xlfn.XLOOKUP(Assessment!#REF!,Inherited!A:A,Inherited!B:B))/100)*(_xlfn.XLOOKUP(Assessment!#REF!,Inherited!A:A,Inherited!F:F)))+(((100-(_xlfn.XLOOKUP(Assessment!#REF!,Inherited!A:A,Inherited!B:B)))/100)*IF(AA49="1.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(100%)","100"))))))&lt;=10,"0", IF(AND((((_xlfn.XLOOKUP(Assessment!#REF!,Inherited!A:A,Inherited!B:B))/100)*(_xlfn.XLOOKUP(Assessment!#REF!,Inherited!A:A,Inherited!F:F)))+(((100-(_xlfn.XLOOKUP(Assessment!#REF!,Inherited!A:A,Inherited!B:B)))/100)*IF(AA49="1.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(100%)","100"))))))&gt;=11,(((_xlfn.XLOOKUP(Assessment!#REF!,Inherited!A:A,Inherited!B:B))/100)*(_xlfn.XLOOKUP(Assessment!#REF!,Inherited!A:A,Inherited!F:F)))+(((100-(_xlfn.XLOOKUP(Assessment!#REF!,Inherited!A:A,Inherited!B:B)))/100)*IF(AA49="1.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(100%)","100"))))))&lt;=32),"25",IF(AND((((_xlfn.XLOOKUP(Assessment!#REF!,Inherited!A:A,Inherited!B:B))/100)*(_xlfn.XLOOKUP(Assessment!#REF!,Inherited!A:A,Inherited!F:F)))+(((100-(_xlfn.XLOOKUP(Assessment!#REF!,Inherited!A:A,Inherited!B:B)))/100)*IF(AA49="1.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(100%)","100"))))))&gt;=33,(((_xlfn.XLOOKUP(Assessment!#REF!,Inherited!A:A,Inherited!B:B))/100)*(_xlfn.XLOOKUP(Assessment!#REF!,Inherited!A:A,Inherited!F:F)))+(((100-(_xlfn.XLOOKUP(Assessment!#REF!,Inherited!A:A,Inherited!B:B)))/100)*IF(AA49="1.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(100%)","100"))))))&lt;=65),"50",IF(AND((((_xlfn.XLOOKUP(Assessment!#REF!,Inherited!A:A,Inherited!B:B))/100)*(_xlfn.XLOOKUP(Assessment!#REF!,Inherited!A:A,Inherited!F:F)))+(((100-(_xlfn.XLOOKUP(Assessment!#REF!,Inherited!A:A,Inherited!B:B)))/100)*IF(AA49="1.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(100%)","100"))))))&gt;=66,(((_xlfn.XLOOKUP(Assessment!#REF!,Inherited!A:A,Inherited!B:B))/100)*(_xlfn.XLOOKUP(Assessment!#REF!,Inherited!A:A,Inherited!F:F)))+(((100-(_xlfn.XLOOKUP(Assessment!#REF!,Inherited!A:A,Inherited!B:B)))/100)*IF(AA49="1.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(100%)","100"))))))&lt;=89),"75",IF((((_xlfn.XLOOKUP(Assessment!#REF!,Inherited!A:A,Inherited!B:B))/100)*(_xlfn.XLOOKUP(Assessment!#REF!,Inherited!A:A,Inherited!F:F)))+(((100-(_xlfn.XLOOKUP(Assessment!#REF!,Inherited!A:A,Inherited!B:B)))/100)*IF(AA49="1. Non Compliant (0%)","0",IF(AA49="2. Somewhat Compliant (25%)","25",IF(AA49="3. Partially Compliant (50%)","50",IF(AA49="4. Mostly Compliant (75%)","75",IF(AA49="5. Fully Compliant (100%)","100"))))))&gt;=90,"100"))))))</f>
        <v>#N/A</v>
      </c>
      <c r="U49" s="1" t="e">
        <f>IF(MATCH(H49,Inherited!A:A),IF((((_xlfn.XLOOKUP(Assessment!#REF!,Inherited!A:A,Inherited!B:B))/100)*(_xlfn.XLOOKUP(Assessment!#REF!,Inherited!A:A,Inherited!G:G)))+(((100-(_xlfn.XLOOKUP(Assessment!#REF!,Inherited!A:A,Inherited!B:B)))/100)*IF(AB49="1.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(100%)","100"))))))&lt;=10,"0", IF(AND((((_xlfn.XLOOKUP(Assessment!#REF!,Inherited!A:A,Inherited!B:B))/100)*(_xlfn.XLOOKUP(Assessment!#REF!,Inherited!A:A,Inherited!G:G)))+(((100-(_xlfn.XLOOKUP(Assessment!#REF!,Inherited!A:A,Inherited!B:B)))/100)*IF(AB49="1.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(100%)","100"))))))&gt;=11,(((_xlfn.XLOOKUP(Assessment!#REF!,Inherited!A:A,Inherited!B:B))/100)*(_xlfn.XLOOKUP(Assessment!#REF!,Inherited!A:A,Inherited!G:G)))+(((100-(_xlfn.XLOOKUP(Assessment!#REF!,Inherited!A:A,Inherited!B:B)))/100)*IF(AB49="1.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(100%)","100"))))))&lt;=32),"25",IF(AND((((_xlfn.XLOOKUP(Assessment!#REF!,Inherited!A:A,Inherited!B:B))/100)*(_xlfn.XLOOKUP(Assessment!#REF!,Inherited!A:A,Inherited!G:G)))+(((100-(_xlfn.XLOOKUP(Assessment!#REF!,Inherited!A:A,Inherited!B:B)))/100)*IF(AB49="1.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(100%)","100"))))))&gt;=33,(((_xlfn.XLOOKUP(Assessment!#REF!,Inherited!A:A,Inherited!B:B))/100)*(_xlfn.XLOOKUP(Assessment!#REF!,Inherited!A:A,Inherited!G:G)))+(((100-(_xlfn.XLOOKUP(Assessment!#REF!,Inherited!A:A,Inherited!B:B)))/100)*IF(AB49="1.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(100%)","100"))))))&lt;=65),"50",IF(AND((((_xlfn.XLOOKUP(Assessment!#REF!,Inherited!A:A,Inherited!B:B))/100)*(_xlfn.XLOOKUP(Assessment!#REF!,Inherited!A:A,Inherited!G:G)))+(((100-(_xlfn.XLOOKUP(Assessment!#REF!,Inherited!A:A,Inherited!B:B)))/100)*IF(AB49="1.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(100%)","100"))))))&gt;=66,(((_xlfn.XLOOKUP(Assessment!#REF!,Inherited!A:A,Inherited!B:B))/100)*(_xlfn.XLOOKUP(Assessment!#REF!,Inherited!A:A,Inherited!G:G)))+(((100-(_xlfn.XLOOKUP(Assessment!#REF!,Inherited!A:A,Inherited!B:B)))/100)*IF(AB49="1.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(100%)","100"))))))&lt;=89),"75",IF((((_xlfn.XLOOKUP(Assessment!#REF!,Inherited!A:A,Inherited!B:B))/100)*(_xlfn.XLOOKUP(Assessment!#REF!,Inherited!A:A,Inherited!G:G)))+(((100-(_xlfn.XLOOKUP(Assessment!#REF!,Inherited!A:A,Inherited!B:B)))/100)*IF(AB49="1. Non Compliant (0%)","0",IF(AB49="2. Somewhat Compliant (25%)","25",IF(AB49="3. Partially Compliant (50%)","50",IF(AB49="4. Mostly Compliant (75%)","75",IF(AB49="5. Fully Compliant (100%)","100"))))))&gt;=90,"100"))))))</f>
        <v>#N/A</v>
      </c>
      <c r="V49" s="55" t="s">
        <v>85</v>
      </c>
      <c r="W49" s="55"/>
      <c r="X49" s="55"/>
      <c r="Y49" s="55"/>
      <c r="Z49" s="55" t="s">
        <v>10873</v>
      </c>
      <c r="AA49" s="55"/>
      <c r="AB49" s="55"/>
      <c r="AK49" s="1" t="s">
        <v>10978</v>
      </c>
      <c r="AL49" s="1" t="s">
        <v>10980</v>
      </c>
      <c r="AP49" s="1" t="s">
        <v>11067</v>
      </c>
      <c r="AX49" s="3" t="str">
        <f>_xlfn.CONCAT("A-LIGN finished its review of this control on ",AR49, " during the scheduled fieldwork window (",Intro!$B$4,")."&amp; CHAR(10)&amp; CHAR(10))</f>
        <v xml:space="preserve">A-LIGN finished its review of this control on  during the scheduled fieldwork window (Fieldwork: xx/xx/xxxx - xx/xx/xxxx).
</v>
      </c>
      <c r="AY49" s="3" t="str">
        <f t="shared" si="81"/>
        <v/>
      </c>
      <c r="AZ49" s="3" t="str">
        <f t="shared" si="82"/>
        <v/>
      </c>
      <c r="BA49" s="3" t="str">
        <f t="shared" si="83"/>
        <v/>
      </c>
      <c r="BB49" s="3" t="str">
        <f t="shared" si="84"/>
        <v xml:space="preserve">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v>
      </c>
      <c r="BC49" s="3" t="str">
        <f t="shared" si="85"/>
        <v/>
      </c>
      <c r="BD49" s="3" t="str">
        <f t="shared" si="86"/>
        <v xml:space="preserve">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AI data
- AI models
- AI systems
</v>
      </c>
      <c r="BE49" s="3" t="str">
        <f t="shared" si="87"/>
        <v/>
      </c>
      <c r="BF49" s="3" t="str">
        <f t="shared" si="88"/>
        <v/>
      </c>
      <c r="BG49" s="3" t="str">
        <f>_xlfn.CONCAT((IF((COUNTIF('Sample Tables'!B:B,"")&gt;0)=TRUE,_xlfn.CONCAT("",""),IF((COUNTIF('Sample Tables'!B:B,"")&gt;0)=FALSE,""))),)</f>
        <v/>
      </c>
      <c r="BH49"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AI data
- AI models
- AI systems
</v>
      </c>
    </row>
    <row r="50" spans="3:60" ht="409.5" x14ac:dyDescent="0.35">
      <c r="C50" s="1">
        <f t="shared" si="80"/>
        <v>0</v>
      </c>
      <c r="D50" s="5" t="str">
        <f>IF(AND((_xlfn.XLOOKUP(J50,'Fields &amp; Revisions'!$H:$H,'Fields &amp; Revisions'!$I:$I))&lt;70.99,(OR(Z50="4. Mostly Compliant (75%)",Z50="3. Partially Compliant (50%)",Z50="2. Somewhat Compliant (25%)",Z50="1. Non Compliant (0%)"))),"Yes","No")</f>
        <v>Yes</v>
      </c>
      <c r="E50" s="5" t="str">
        <f>IF(ISERROR(VLOOKUP(H50,Scope!A:A,1,FALSE)),"No","Yes")</f>
        <v>Yes</v>
      </c>
      <c r="F50" s="1" t="s">
        <v>1293</v>
      </c>
      <c r="G50" s="53" t="s">
        <v>1342</v>
      </c>
      <c r="H50" s="53" t="s">
        <v>1343</v>
      </c>
      <c r="I50" s="5" t="s">
        <v>93</v>
      </c>
      <c r="J50" s="1" t="s">
        <v>1344</v>
      </c>
      <c r="K50" s="54" t="s">
        <v>1345</v>
      </c>
      <c r="L50" s="1" t="s">
        <v>1346</v>
      </c>
      <c r="M50" s="1" t="s">
        <v>1347</v>
      </c>
      <c r="N50" s="5" t="s">
        <v>98</v>
      </c>
      <c r="O50" s="1" t="str">
        <f>_xlfn.XLOOKUP(G50,SRMs!$A:$A,SRMs!$D:$D)</f>
        <v>NO INHERITANCE</v>
      </c>
      <c r="P50" s="1" t="str">
        <f>IFERROR(VLOOKUP(H50,Inherited!A:B,2,FALSE),"")</f>
        <v/>
      </c>
      <c r="Q50" s="1" t="e">
        <f>IF(MATCH(H50,Inherited!A:A),IF((((_xlfn.XLOOKUP(Assessment!H51,Inherited!A:A,Inherited!B:B))/100)*(_xlfn.XLOOKUP(Assessment!H51,Inherited!A:A,Inherited!C:C)))+(((100-(_xlfn.XLOOKUP(Assessment!H51,Inherited!A:A,Inherited!B:B)))/100)*IF(X50="1.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(100%)","100"))))))&lt;=10,"0", IF(AND((((_xlfn.XLOOKUP(Assessment!H51,Inherited!A:A,Inherited!B:B))/100)*(_xlfn.XLOOKUP(Assessment!H51,Inherited!A:A,Inherited!C:C)))+(((100-(_xlfn.XLOOKUP(Assessment!H51,Inherited!A:A,Inherited!B:B)))/100)*IF(X50="1.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(100%)","100"))))))&gt;=11,(((_xlfn.XLOOKUP(Assessment!H51,Inherited!A:A,Inherited!B:B))/100)*(_xlfn.XLOOKUP(Assessment!H51,Inherited!A:A,Inherited!C:C)))+(((100-(_xlfn.XLOOKUP(Assessment!H51,Inherited!A:A,Inherited!B:B)))/100)*IF(X50="1.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(100%)","100"))))))&lt;=32),"25",IF(AND((((_xlfn.XLOOKUP(Assessment!H51,Inherited!A:A,Inherited!B:B))/100)*(_xlfn.XLOOKUP(Assessment!H51,Inherited!A:A,Inherited!C:C)))+(((100-(_xlfn.XLOOKUP(Assessment!H51,Inherited!A:A,Inherited!B:B)))/100)*IF(X50="1.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(100%)","100"))))))&gt;=33,(((_xlfn.XLOOKUP(Assessment!H51,Inherited!A:A,Inherited!B:B))/100)*(_xlfn.XLOOKUP(Assessment!H51,Inherited!A:A,Inherited!C:C)))+(((100-(_xlfn.XLOOKUP(Assessment!H51,Inherited!A:A,Inherited!B:B)))/100)*IF(X50="1.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(100%)","100"))))))&lt;=65),"50",IF(AND((((_xlfn.XLOOKUP(Assessment!H51,Inherited!A:A,Inherited!B:B))/100)*(_xlfn.XLOOKUP(Assessment!H51,Inherited!A:A,Inherited!C:C)))+(((100-(_xlfn.XLOOKUP(Assessment!H51,Inherited!A:A,Inherited!B:B)))/100)*IF(X50="1.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(100%)","100"))))))&gt;=66,(((_xlfn.XLOOKUP(Assessment!H51,Inherited!A:A,Inherited!B:B))/100)*(_xlfn.XLOOKUP(Assessment!H51,Inherited!A:A,Inherited!C:C)))+(((100-(_xlfn.XLOOKUP(Assessment!H51,Inherited!A:A,Inherited!B:B)))/100)*IF(X50="1.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(100%)","100"))))))&lt;=89),"75",IF((((_xlfn.XLOOKUP(Assessment!H51,Inherited!A:A,Inherited!B:B))/100)*(_xlfn.XLOOKUP(Assessment!H51,Inherited!A:A,Inherited!C:C)))+(((100-(_xlfn.XLOOKUP(Assessment!H51,Inherited!A:A,Inherited!B:B)))/100)*IF(X50="1. Non Compliant (0%)","0",IF(X50="2. Somewhat Compliant (25%)","25",IF(X50="3. Partially Compliant (50%)","50",IF(X50="4. Mostly Compliant (75%)","75",IF(X50="5. Fully Compliant (100%)","100"))))))&gt;=90,"100"))))))</f>
        <v>#N/A</v>
      </c>
      <c r="R50" s="1" t="e">
        <f>IF(MATCH(H50,Inherited!A:A),IF((((_xlfn.XLOOKUP(Assessment!H51,Inherited!A:A,Inherited!B:B))/100)*(_xlfn.XLOOKUP(Assessment!H51,Inherited!A:A,Inherited!D:D)))+(((100-(_xlfn.XLOOKUP(Assessment!H51,Inherited!A:A,Inherited!B:B)))/100)*IF(Y50="1.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(100%)","100"))))))&lt;=10,"0", IF(AND((((_xlfn.XLOOKUP(Assessment!H51,Inherited!A:A,Inherited!B:B))/100)*(_xlfn.XLOOKUP(Assessment!H51,Inherited!A:A,Inherited!D:D)))+(((100-(_xlfn.XLOOKUP(Assessment!H51,Inherited!A:A,Inherited!B:B)))/100)*IF(Y50="1.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(100%)","100"))))))&gt;=11,(((_xlfn.XLOOKUP(Assessment!H51,Inherited!A:A,Inherited!B:B))/100)*(_xlfn.XLOOKUP(Assessment!H51,Inherited!A:A,Inherited!D:D)))+(((100-(_xlfn.XLOOKUP(Assessment!H51,Inherited!A:A,Inherited!B:B)))/100)*IF(Y50="1.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(100%)","100"))))))&lt;=32),"25",IF(AND((((_xlfn.XLOOKUP(Assessment!H51,Inherited!A:A,Inherited!B:B))/100)*(_xlfn.XLOOKUP(Assessment!H51,Inherited!A:A,Inherited!D:D)))+(((100-(_xlfn.XLOOKUP(Assessment!H51,Inherited!A:A,Inherited!B:B)))/100)*IF(Y50="1.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(100%)","100"))))))&gt;=33,(((_xlfn.XLOOKUP(Assessment!H51,Inherited!A:A,Inherited!B:B))/100)*(_xlfn.XLOOKUP(Assessment!H51,Inherited!A:A,Inherited!D:D)))+(((100-(_xlfn.XLOOKUP(Assessment!H51,Inherited!A:A,Inherited!B:B)))/100)*IF(Y50="1.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(100%)","100"))))))&lt;=65),"50",IF(AND((((_xlfn.XLOOKUP(Assessment!H51,Inherited!A:A,Inherited!B:B))/100)*(_xlfn.XLOOKUP(Assessment!H51,Inherited!A:A,Inherited!D:D)))+(((100-(_xlfn.XLOOKUP(Assessment!H51,Inherited!A:A,Inherited!B:B)))/100)*IF(Y50="1.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(100%)","100"))))))&gt;=66,(((_xlfn.XLOOKUP(Assessment!H51,Inherited!A:A,Inherited!B:B))/100)*(_xlfn.XLOOKUP(Assessment!H51,Inherited!A:A,Inherited!D:D)))+(((100-(_xlfn.XLOOKUP(Assessment!H51,Inherited!A:A,Inherited!B:B)))/100)*IF(Y50="1.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(100%)","100"))))))&lt;=89),"75",IF((((_xlfn.XLOOKUP(Assessment!H51,Inherited!A:A,Inherited!B:B))/100)*(_xlfn.XLOOKUP(Assessment!H51,Inherited!A:A,Inherited!D:D)))+(((100-(_xlfn.XLOOKUP(Assessment!H51,Inherited!A:A,Inherited!B:B)))/100)*IF(Y50="1. Non Compliant (0%)","0",IF(Y50="2. Somewhat Compliant (25%)","25",IF(Y50="3. Partially Compliant (50%)","50",IF(Y50="4. Mostly Compliant (75%)","75",IF(Y50="5. Fully Compliant (100%)","100"))))))&gt;=90,"100"))))))</f>
        <v>#N/A</v>
      </c>
      <c r="S50" s="1" t="e">
        <f>IF(MATCH(H50,Inherited!A:A),IF((((_xlfn.XLOOKUP(Assessment!H51,Inherited!A:A,Inherited!B:B))/100)*(_xlfn.XLOOKUP(Assessment!H51,Inherited!A:A,Inherited!E:E)))+(((100-(_xlfn.XLOOKUP(Assessment!H51,Inherited!A:A,Inherited!B:B)))/100)*IF(Z50="1.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(100%)","100"))))))&lt;=10,"0", IF(AND((((_xlfn.XLOOKUP(Assessment!H51,Inherited!A:A,Inherited!B:B))/100)*(_xlfn.XLOOKUP(Assessment!H51,Inherited!A:A,Inherited!E:E)))+(((100-(_xlfn.XLOOKUP(Assessment!H51,Inherited!A:A,Inherited!B:B)))/100)*IF(Z50="1.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(100%)","100"))))))&gt;=11,(((_xlfn.XLOOKUP(Assessment!H51,Inherited!A:A,Inherited!B:B))/100)*(_xlfn.XLOOKUP(Assessment!H51,Inherited!A:A,Inherited!E:E)))+(((100-(_xlfn.XLOOKUP(Assessment!H51,Inherited!A:A,Inherited!B:B)))/100)*IF(Z50="1.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(100%)","100"))))))&lt;=32),"25",IF(AND((((_xlfn.XLOOKUP(Assessment!H51,Inherited!A:A,Inherited!B:B))/100)*(_xlfn.XLOOKUP(Assessment!H51,Inherited!A:A,Inherited!E:E)))+(((100-(_xlfn.XLOOKUP(Assessment!H51,Inherited!A:A,Inherited!B:B)))/100)*IF(Z50="1.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(100%)","100"))))))&gt;=33,(((_xlfn.XLOOKUP(Assessment!H51,Inherited!A:A,Inherited!B:B))/100)*(_xlfn.XLOOKUP(Assessment!H51,Inherited!A:A,Inherited!E:E)))+(((100-(_xlfn.XLOOKUP(Assessment!H51,Inherited!A:A,Inherited!B:B)))/100)*IF(Z50="1.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(100%)","100"))))))&lt;=65),"50",IF(AND((((_xlfn.XLOOKUP(Assessment!H51,Inherited!A:A,Inherited!B:B))/100)*(_xlfn.XLOOKUP(Assessment!H51,Inherited!A:A,Inherited!E:E)))+(((100-(_xlfn.XLOOKUP(Assessment!H51,Inherited!A:A,Inherited!B:B)))/100)*IF(Z50="1.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(100%)","100"))))))&gt;=66,(((_xlfn.XLOOKUP(Assessment!H51,Inherited!A:A,Inherited!B:B))/100)*(_xlfn.XLOOKUP(Assessment!H51,Inherited!A:A,Inherited!E:E)))+(((100-(_xlfn.XLOOKUP(Assessment!H51,Inherited!A:A,Inherited!B:B)))/100)*IF(Z50="1.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(100%)","100"))))))&lt;=89),"75",IF((((_xlfn.XLOOKUP(Assessment!H51,Inherited!A:A,Inherited!B:B))/100)*(_xlfn.XLOOKUP(Assessment!H51,Inherited!A:A,Inherited!E:E)))+(((100-(_xlfn.XLOOKUP(Assessment!H51,Inherited!A:A,Inherited!B:B)))/100)*IF(Z50="1. Non Compliant (0%)","0",IF(Z50="2. Somewhat Compliant (25%)","25",IF(Z50="3. Partially Compliant (50%)","50",IF(Z50="4. Mostly Compliant (75%)","75",IF(Z50="5. Fully Compliant (100%)","100"))))))&gt;=90,"100"))))))</f>
        <v>#N/A</v>
      </c>
      <c r="T50" s="1" t="e">
        <f>IF(MATCH(H50,Inherited!A:A),IF((((_xlfn.XLOOKUP(Assessment!H51,Inherited!A:A,Inherited!B:B))/100)*(_xlfn.XLOOKUP(Assessment!H51,Inherited!A:A,Inherited!F:F)))+(((100-(_xlfn.XLOOKUP(Assessment!H51,Inherited!A:A,Inherited!B:B)))/100)*IF(AA50="1.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(100%)","100"))))))&lt;=10,"0", IF(AND((((_xlfn.XLOOKUP(Assessment!H51,Inherited!A:A,Inherited!B:B))/100)*(_xlfn.XLOOKUP(Assessment!H51,Inherited!A:A,Inherited!F:F)))+(((100-(_xlfn.XLOOKUP(Assessment!H51,Inherited!A:A,Inherited!B:B)))/100)*IF(AA50="1.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(100%)","100"))))))&gt;=11,(((_xlfn.XLOOKUP(Assessment!H51,Inherited!A:A,Inherited!B:B))/100)*(_xlfn.XLOOKUP(Assessment!H51,Inherited!A:A,Inherited!F:F)))+(((100-(_xlfn.XLOOKUP(Assessment!H51,Inherited!A:A,Inherited!B:B)))/100)*IF(AA50="1.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(100%)","100"))))))&lt;=32),"25",IF(AND((((_xlfn.XLOOKUP(Assessment!H51,Inherited!A:A,Inherited!B:B))/100)*(_xlfn.XLOOKUP(Assessment!H51,Inherited!A:A,Inherited!F:F)))+(((100-(_xlfn.XLOOKUP(Assessment!H51,Inherited!A:A,Inherited!B:B)))/100)*IF(AA50="1.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(100%)","100"))))))&gt;=33,(((_xlfn.XLOOKUP(Assessment!H51,Inherited!A:A,Inherited!B:B))/100)*(_xlfn.XLOOKUP(Assessment!H51,Inherited!A:A,Inherited!F:F)))+(((100-(_xlfn.XLOOKUP(Assessment!H51,Inherited!A:A,Inherited!B:B)))/100)*IF(AA50="1.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(100%)","100"))))))&lt;=65),"50",IF(AND((((_xlfn.XLOOKUP(Assessment!H51,Inherited!A:A,Inherited!B:B))/100)*(_xlfn.XLOOKUP(Assessment!H51,Inherited!A:A,Inherited!F:F)))+(((100-(_xlfn.XLOOKUP(Assessment!H51,Inherited!A:A,Inherited!B:B)))/100)*IF(AA50="1.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(100%)","100"))))))&gt;=66,(((_xlfn.XLOOKUP(Assessment!H51,Inherited!A:A,Inherited!B:B))/100)*(_xlfn.XLOOKUP(Assessment!H51,Inherited!A:A,Inherited!F:F)))+(((100-(_xlfn.XLOOKUP(Assessment!H51,Inherited!A:A,Inherited!B:B)))/100)*IF(AA50="1.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(100%)","100"))))))&lt;=89),"75",IF((((_xlfn.XLOOKUP(Assessment!H51,Inherited!A:A,Inherited!B:B))/100)*(_xlfn.XLOOKUP(Assessment!H51,Inherited!A:A,Inherited!F:F)))+(((100-(_xlfn.XLOOKUP(Assessment!H51,Inherited!A:A,Inherited!B:B)))/100)*IF(AA50="1. Non Compliant (0%)","0",IF(AA50="2. Somewhat Compliant (25%)","25",IF(AA50="3. Partially Compliant (50%)","50",IF(AA50="4. Mostly Compliant (75%)","75",IF(AA50="5. Fully Compliant (100%)","100"))))))&gt;=90,"100"))))))</f>
        <v>#N/A</v>
      </c>
      <c r="U50" s="1" t="e">
        <f>IF(MATCH(H50,Inherited!A:A),IF((((_xlfn.XLOOKUP(Assessment!H51,Inherited!A:A,Inherited!B:B))/100)*(_xlfn.XLOOKUP(Assessment!H51,Inherited!A:A,Inherited!G:G)))+(((100-(_xlfn.XLOOKUP(Assessment!H51,Inherited!A:A,Inherited!B:B)))/100)*IF(AB50="1.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(100%)","100"))))))&lt;=10,"0", IF(AND((((_xlfn.XLOOKUP(Assessment!H51,Inherited!A:A,Inherited!B:B))/100)*(_xlfn.XLOOKUP(Assessment!H51,Inherited!A:A,Inherited!G:G)))+(((100-(_xlfn.XLOOKUP(Assessment!H51,Inherited!A:A,Inherited!B:B)))/100)*IF(AB50="1.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(100%)","100"))))))&gt;=11,(((_xlfn.XLOOKUP(Assessment!H51,Inherited!A:A,Inherited!B:B))/100)*(_xlfn.XLOOKUP(Assessment!H51,Inherited!A:A,Inherited!G:G)))+(((100-(_xlfn.XLOOKUP(Assessment!H51,Inherited!A:A,Inherited!B:B)))/100)*IF(AB50="1.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(100%)","100"))))))&lt;=32),"25",IF(AND((((_xlfn.XLOOKUP(Assessment!H51,Inherited!A:A,Inherited!B:B))/100)*(_xlfn.XLOOKUP(Assessment!H51,Inherited!A:A,Inherited!G:G)))+(((100-(_xlfn.XLOOKUP(Assessment!H51,Inherited!A:A,Inherited!B:B)))/100)*IF(AB50="1.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(100%)","100"))))))&gt;=33,(((_xlfn.XLOOKUP(Assessment!H51,Inherited!A:A,Inherited!B:B))/100)*(_xlfn.XLOOKUP(Assessment!H51,Inherited!A:A,Inherited!G:G)))+(((100-(_xlfn.XLOOKUP(Assessment!H51,Inherited!A:A,Inherited!B:B)))/100)*IF(AB50="1.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(100%)","100"))))))&lt;=65),"50",IF(AND((((_xlfn.XLOOKUP(Assessment!H51,Inherited!A:A,Inherited!B:B))/100)*(_xlfn.XLOOKUP(Assessment!H51,Inherited!A:A,Inherited!G:G)))+(((100-(_xlfn.XLOOKUP(Assessment!H51,Inherited!A:A,Inherited!B:B)))/100)*IF(AB50="1.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(100%)","100"))))))&gt;=66,(((_xlfn.XLOOKUP(Assessment!H51,Inherited!A:A,Inherited!B:B))/100)*(_xlfn.XLOOKUP(Assessment!H51,Inherited!A:A,Inherited!G:G)))+(((100-(_xlfn.XLOOKUP(Assessment!H51,Inherited!A:A,Inherited!B:B)))/100)*IF(AB50="1.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(100%)","100"))))))&lt;=89),"75",IF((((_xlfn.XLOOKUP(Assessment!H51,Inherited!A:A,Inherited!B:B))/100)*(_xlfn.XLOOKUP(Assessment!H51,Inherited!A:A,Inherited!G:G)))+(((100-(_xlfn.XLOOKUP(Assessment!H51,Inherited!A:A,Inherited!B:B)))/100)*IF(AB50="1. Non Compliant (0%)","0",IF(AB50="2. Somewhat Compliant (25%)","25",IF(AB50="3. Partially Compliant (50%)","50",IF(AB50="4. Mostly Compliant (75%)","75",IF(AB50="5. Fully Compliant (100%)","100"))))))&gt;=90,"100"))))))</f>
        <v>#N/A</v>
      </c>
      <c r="V50" s="55" t="s">
        <v>85</v>
      </c>
      <c r="W50" s="55"/>
      <c r="X50" s="55"/>
      <c r="Y50" s="55"/>
      <c r="Z50" s="55" t="s">
        <v>10873</v>
      </c>
      <c r="AA50" s="55"/>
      <c r="AB50" s="55"/>
      <c r="AK50" s="1" t="s">
        <v>10978</v>
      </c>
      <c r="AL50" s="1" t="s">
        <v>10988</v>
      </c>
      <c r="AP50" s="1" t="s">
        <v>11068</v>
      </c>
      <c r="AX50" s="3" t="str">
        <f>_xlfn.CONCAT("A-LIGN finished its review of this control on ",AR50, " during the scheduled fieldwork window (",Intro!$B$4,")."&amp; CHAR(10)&amp; CHAR(10))</f>
        <v xml:space="preserve">A-LIGN finished its review of this control on  during the scheduled fieldwork window (Fieldwork: xx/xx/xxxx - xx/xx/xxxx).
</v>
      </c>
      <c r="AY50" s="3" t="str">
        <f t="shared" si="81"/>
        <v/>
      </c>
      <c r="AZ50" s="3" t="str">
        <f t="shared" si="82"/>
        <v/>
      </c>
      <c r="BA50" s="3" t="str">
        <f t="shared" si="83"/>
        <v/>
      </c>
      <c r="BB50" s="3" t="str">
        <f t="shared" si="8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50" s="3" t="str">
        <f t="shared" si="85"/>
        <v/>
      </c>
      <c r="BD50" s="3" t="str">
        <f t="shared" si="86"/>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filter user inputs for suspicious and/or unexpected values/patterns
</v>
      </c>
      <c r="BE50" s="3" t="str">
        <f t="shared" si="87"/>
        <v/>
      </c>
      <c r="BF50" s="3" t="str">
        <f t="shared" si="88"/>
        <v/>
      </c>
      <c r="BG50" s="3" t="str">
        <f>_xlfn.CONCAT((IF((COUNTIF('Sample Tables'!B:B,"")&gt;0)=TRUE,_xlfn.CONCAT("",""),IF((COUNTIF('Sample Tables'!B:B,"")&gt;0)=FALSE,""))),)</f>
        <v/>
      </c>
      <c r="BH50"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filter user inputs for suspicious and/or unexpected values/patterns
</v>
      </c>
    </row>
    <row r="51" spans="3:60" ht="330" customHeight="1" x14ac:dyDescent="0.35">
      <c r="C51" s="1">
        <f t="shared" si="80"/>
        <v>0</v>
      </c>
      <c r="D51" s="5" t="str">
        <f>IF(AND((_xlfn.XLOOKUP(J51,'Fields &amp; Revisions'!$H:$H,'Fields &amp; Revisions'!$I:$I))&lt;70.99,(OR(Z51="4. Mostly Compliant (75%)",Z51="3. Partially Compliant (50%)",Z51="2. Somewhat Compliant (25%)",Z51="1. Non Compliant (0%)"))),"Yes","No")</f>
        <v>Yes</v>
      </c>
      <c r="E51" s="5" t="str">
        <f>IF(ISERROR(VLOOKUP(H51,Scope!A:A,1,FALSE)),"No","Yes")</f>
        <v>Yes</v>
      </c>
      <c r="F51" s="1" t="s">
        <v>1293</v>
      </c>
      <c r="G51" s="53" t="s">
        <v>1348</v>
      </c>
      <c r="H51" s="53" t="s">
        <v>1349</v>
      </c>
      <c r="I51" s="5" t="s">
        <v>93</v>
      </c>
      <c r="J51" s="1" t="s">
        <v>1344</v>
      </c>
      <c r="K51" s="54" t="s">
        <v>1350</v>
      </c>
      <c r="L51" s="1" t="s">
        <v>1351</v>
      </c>
      <c r="M51" s="1" t="s">
        <v>1352</v>
      </c>
      <c r="N51" s="5" t="s">
        <v>98</v>
      </c>
      <c r="O51" s="1" t="str">
        <f>_xlfn.XLOOKUP(G51,SRMs!$A:$A,SRMs!$D:$D)</f>
        <v>NO INHERITANCE</v>
      </c>
      <c r="P51" s="1" t="str">
        <f>IFERROR(VLOOKUP(H51,Inherited!A:B,2,FALSE),"")</f>
        <v/>
      </c>
      <c r="Q51" s="1" t="e">
        <f>IF(MATCH(H51,Inherited!A:A),IF((((_xlfn.XLOOKUP(Assessment!#REF!,Inherited!A:A,Inherited!B:B))/100)*(_xlfn.XLOOKUP(Assessment!#REF!,Inherited!A:A,Inherited!C:C)))+(((100-(_xlfn.XLOOKUP(Assessment!#REF!,Inherited!A:A,Inherited!B:B)))/100)*IF(X51="1.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(100%)","100"))))))&lt;=10,"0", IF(AND((((_xlfn.XLOOKUP(Assessment!#REF!,Inherited!A:A,Inherited!B:B))/100)*(_xlfn.XLOOKUP(Assessment!#REF!,Inherited!A:A,Inherited!C:C)))+(((100-(_xlfn.XLOOKUP(Assessment!#REF!,Inherited!A:A,Inherited!B:B)))/100)*IF(X51="1.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(100%)","100"))))))&gt;=11,(((_xlfn.XLOOKUP(Assessment!#REF!,Inherited!A:A,Inherited!B:B))/100)*(_xlfn.XLOOKUP(Assessment!#REF!,Inherited!A:A,Inherited!C:C)))+(((100-(_xlfn.XLOOKUP(Assessment!#REF!,Inherited!A:A,Inherited!B:B)))/100)*IF(X51="1.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(100%)","100"))))))&lt;=32),"25",IF(AND((((_xlfn.XLOOKUP(Assessment!#REF!,Inherited!A:A,Inherited!B:B))/100)*(_xlfn.XLOOKUP(Assessment!#REF!,Inherited!A:A,Inherited!C:C)))+(((100-(_xlfn.XLOOKUP(Assessment!#REF!,Inherited!A:A,Inherited!B:B)))/100)*IF(X51="1.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(100%)","100"))))))&gt;=33,(((_xlfn.XLOOKUP(Assessment!#REF!,Inherited!A:A,Inherited!B:B))/100)*(_xlfn.XLOOKUP(Assessment!#REF!,Inherited!A:A,Inherited!C:C)))+(((100-(_xlfn.XLOOKUP(Assessment!#REF!,Inherited!A:A,Inherited!B:B)))/100)*IF(X51="1.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(100%)","100"))))))&lt;=65),"50",IF(AND((((_xlfn.XLOOKUP(Assessment!#REF!,Inherited!A:A,Inherited!B:B))/100)*(_xlfn.XLOOKUP(Assessment!#REF!,Inherited!A:A,Inherited!C:C)))+(((100-(_xlfn.XLOOKUP(Assessment!#REF!,Inherited!A:A,Inherited!B:B)))/100)*IF(X51="1.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(100%)","100"))))))&gt;=66,(((_xlfn.XLOOKUP(Assessment!#REF!,Inherited!A:A,Inherited!B:B))/100)*(_xlfn.XLOOKUP(Assessment!#REF!,Inherited!A:A,Inherited!C:C)))+(((100-(_xlfn.XLOOKUP(Assessment!#REF!,Inherited!A:A,Inherited!B:B)))/100)*IF(X51="1.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(100%)","100"))))))&lt;=89),"75",IF((((_xlfn.XLOOKUP(Assessment!#REF!,Inherited!A:A,Inherited!B:B))/100)*(_xlfn.XLOOKUP(Assessment!#REF!,Inherited!A:A,Inherited!C:C)))+(((100-(_xlfn.XLOOKUP(Assessment!#REF!,Inherited!A:A,Inherited!B:B)))/100)*IF(X51="1. Non Compliant (0%)","0",IF(X51="2. Somewhat Compliant (25%)","25",IF(X51="3. Partially Compliant (50%)","50",IF(X51="4. Mostly Compliant (75%)","75",IF(X51="5. Fully Compliant (100%)","100"))))))&gt;=90,"100"))))))</f>
        <v>#N/A</v>
      </c>
      <c r="R51" s="1" t="e">
        <f>IF(MATCH(H51,Inherited!A:A),IF((((_xlfn.XLOOKUP(Assessment!#REF!,Inherited!A:A,Inherited!B:B))/100)*(_xlfn.XLOOKUP(Assessment!#REF!,Inherited!A:A,Inherited!D:D)))+(((100-(_xlfn.XLOOKUP(Assessment!#REF!,Inherited!A:A,Inherited!B:B)))/100)*IF(Y51="1.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(100%)","100"))))))&lt;=10,"0", IF(AND((((_xlfn.XLOOKUP(Assessment!#REF!,Inherited!A:A,Inherited!B:B))/100)*(_xlfn.XLOOKUP(Assessment!#REF!,Inherited!A:A,Inherited!D:D)))+(((100-(_xlfn.XLOOKUP(Assessment!#REF!,Inherited!A:A,Inherited!B:B)))/100)*IF(Y51="1.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(100%)","100"))))))&gt;=11,(((_xlfn.XLOOKUP(Assessment!#REF!,Inherited!A:A,Inherited!B:B))/100)*(_xlfn.XLOOKUP(Assessment!#REF!,Inherited!A:A,Inherited!D:D)))+(((100-(_xlfn.XLOOKUP(Assessment!#REF!,Inherited!A:A,Inherited!B:B)))/100)*IF(Y51="1.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(100%)","100"))))))&lt;=32),"25",IF(AND((((_xlfn.XLOOKUP(Assessment!#REF!,Inherited!A:A,Inherited!B:B))/100)*(_xlfn.XLOOKUP(Assessment!#REF!,Inherited!A:A,Inherited!D:D)))+(((100-(_xlfn.XLOOKUP(Assessment!#REF!,Inherited!A:A,Inherited!B:B)))/100)*IF(Y51="1.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(100%)","100"))))))&gt;=33,(((_xlfn.XLOOKUP(Assessment!#REF!,Inherited!A:A,Inherited!B:B))/100)*(_xlfn.XLOOKUP(Assessment!#REF!,Inherited!A:A,Inherited!D:D)))+(((100-(_xlfn.XLOOKUP(Assessment!#REF!,Inherited!A:A,Inherited!B:B)))/100)*IF(Y51="1.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(100%)","100"))))))&lt;=65),"50",IF(AND((((_xlfn.XLOOKUP(Assessment!#REF!,Inherited!A:A,Inherited!B:B))/100)*(_xlfn.XLOOKUP(Assessment!#REF!,Inherited!A:A,Inherited!D:D)))+(((100-(_xlfn.XLOOKUP(Assessment!#REF!,Inherited!A:A,Inherited!B:B)))/100)*IF(Y51="1.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(100%)","100"))))))&gt;=66,(((_xlfn.XLOOKUP(Assessment!#REF!,Inherited!A:A,Inherited!B:B))/100)*(_xlfn.XLOOKUP(Assessment!#REF!,Inherited!A:A,Inherited!D:D)))+(((100-(_xlfn.XLOOKUP(Assessment!#REF!,Inherited!A:A,Inherited!B:B)))/100)*IF(Y51="1.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(100%)","100"))))))&lt;=89),"75",IF((((_xlfn.XLOOKUP(Assessment!#REF!,Inherited!A:A,Inherited!B:B))/100)*(_xlfn.XLOOKUP(Assessment!#REF!,Inherited!A:A,Inherited!D:D)))+(((100-(_xlfn.XLOOKUP(Assessment!#REF!,Inherited!A:A,Inherited!B:B)))/100)*IF(Y51="1. Non Compliant (0%)","0",IF(Y51="2. Somewhat Compliant (25%)","25",IF(Y51="3. Partially Compliant (50%)","50",IF(Y51="4. Mostly Compliant (75%)","75",IF(Y51="5. Fully Compliant (100%)","100"))))))&gt;=90,"100"))))))</f>
        <v>#N/A</v>
      </c>
      <c r="S51" s="1" t="e">
        <f>IF(MATCH(H51,Inherited!A:A),IF((((_xlfn.XLOOKUP(Assessment!#REF!,Inherited!A:A,Inherited!B:B))/100)*(_xlfn.XLOOKUP(Assessment!#REF!,Inherited!A:A,Inherited!E:E)))+(((100-(_xlfn.XLOOKUP(Assessment!#REF!,Inherited!A:A,Inherited!B:B)))/100)*IF(Z51="1.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(100%)","100"))))))&lt;=10,"0", IF(AND((((_xlfn.XLOOKUP(Assessment!#REF!,Inherited!A:A,Inherited!B:B))/100)*(_xlfn.XLOOKUP(Assessment!#REF!,Inherited!A:A,Inherited!E:E)))+(((100-(_xlfn.XLOOKUP(Assessment!#REF!,Inherited!A:A,Inherited!B:B)))/100)*IF(Z51="1.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(100%)","100"))))))&gt;=11,(((_xlfn.XLOOKUP(Assessment!#REF!,Inherited!A:A,Inherited!B:B))/100)*(_xlfn.XLOOKUP(Assessment!#REF!,Inherited!A:A,Inherited!E:E)))+(((100-(_xlfn.XLOOKUP(Assessment!#REF!,Inherited!A:A,Inherited!B:B)))/100)*IF(Z51="1.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(100%)","100"))))))&lt;=32),"25",IF(AND((((_xlfn.XLOOKUP(Assessment!#REF!,Inherited!A:A,Inherited!B:B))/100)*(_xlfn.XLOOKUP(Assessment!#REF!,Inherited!A:A,Inherited!E:E)))+(((100-(_xlfn.XLOOKUP(Assessment!#REF!,Inherited!A:A,Inherited!B:B)))/100)*IF(Z51="1.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(100%)","100"))))))&gt;=33,(((_xlfn.XLOOKUP(Assessment!#REF!,Inherited!A:A,Inherited!B:B))/100)*(_xlfn.XLOOKUP(Assessment!#REF!,Inherited!A:A,Inherited!E:E)))+(((100-(_xlfn.XLOOKUP(Assessment!#REF!,Inherited!A:A,Inherited!B:B)))/100)*IF(Z51="1.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(100%)","100"))))))&lt;=65),"50",IF(AND((((_xlfn.XLOOKUP(Assessment!#REF!,Inherited!A:A,Inherited!B:B))/100)*(_xlfn.XLOOKUP(Assessment!#REF!,Inherited!A:A,Inherited!E:E)))+(((100-(_xlfn.XLOOKUP(Assessment!#REF!,Inherited!A:A,Inherited!B:B)))/100)*IF(Z51="1.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(100%)","100"))))))&gt;=66,(((_xlfn.XLOOKUP(Assessment!#REF!,Inherited!A:A,Inherited!B:B))/100)*(_xlfn.XLOOKUP(Assessment!#REF!,Inherited!A:A,Inherited!E:E)))+(((100-(_xlfn.XLOOKUP(Assessment!#REF!,Inherited!A:A,Inherited!B:B)))/100)*IF(Z51="1.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(100%)","100"))))))&lt;=89),"75",IF((((_xlfn.XLOOKUP(Assessment!#REF!,Inherited!A:A,Inherited!B:B))/100)*(_xlfn.XLOOKUP(Assessment!#REF!,Inherited!A:A,Inherited!E:E)))+(((100-(_xlfn.XLOOKUP(Assessment!#REF!,Inherited!A:A,Inherited!B:B)))/100)*IF(Z51="1. Non Compliant (0%)","0",IF(Z51="2. Somewhat Compliant (25%)","25",IF(Z51="3. Partially Compliant (50%)","50",IF(Z51="4. Mostly Compliant (75%)","75",IF(Z51="5. Fully Compliant (100%)","100"))))))&gt;=90,"100"))))))</f>
        <v>#N/A</v>
      </c>
      <c r="T51" s="1" t="e">
        <f>IF(MATCH(H51,Inherited!A:A),IF((((_xlfn.XLOOKUP(Assessment!#REF!,Inherited!A:A,Inherited!B:B))/100)*(_xlfn.XLOOKUP(Assessment!#REF!,Inherited!A:A,Inherited!F:F)))+(((100-(_xlfn.XLOOKUP(Assessment!#REF!,Inherited!A:A,Inherited!B:B)))/100)*IF(AA51="1.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(100%)","100"))))))&lt;=10,"0", IF(AND((((_xlfn.XLOOKUP(Assessment!#REF!,Inherited!A:A,Inherited!B:B))/100)*(_xlfn.XLOOKUP(Assessment!#REF!,Inherited!A:A,Inherited!F:F)))+(((100-(_xlfn.XLOOKUP(Assessment!#REF!,Inherited!A:A,Inherited!B:B)))/100)*IF(AA51="1.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(100%)","100"))))))&gt;=11,(((_xlfn.XLOOKUP(Assessment!#REF!,Inherited!A:A,Inherited!B:B))/100)*(_xlfn.XLOOKUP(Assessment!#REF!,Inherited!A:A,Inherited!F:F)))+(((100-(_xlfn.XLOOKUP(Assessment!#REF!,Inherited!A:A,Inherited!B:B)))/100)*IF(AA51="1.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(100%)","100"))))))&lt;=32),"25",IF(AND((((_xlfn.XLOOKUP(Assessment!#REF!,Inherited!A:A,Inherited!B:B))/100)*(_xlfn.XLOOKUP(Assessment!#REF!,Inherited!A:A,Inherited!F:F)))+(((100-(_xlfn.XLOOKUP(Assessment!#REF!,Inherited!A:A,Inherited!B:B)))/100)*IF(AA51="1.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(100%)","100"))))))&gt;=33,(((_xlfn.XLOOKUP(Assessment!#REF!,Inherited!A:A,Inherited!B:B))/100)*(_xlfn.XLOOKUP(Assessment!#REF!,Inherited!A:A,Inherited!F:F)))+(((100-(_xlfn.XLOOKUP(Assessment!#REF!,Inherited!A:A,Inherited!B:B)))/100)*IF(AA51="1.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(100%)","100"))))))&lt;=65),"50",IF(AND((((_xlfn.XLOOKUP(Assessment!#REF!,Inherited!A:A,Inherited!B:B))/100)*(_xlfn.XLOOKUP(Assessment!#REF!,Inherited!A:A,Inherited!F:F)))+(((100-(_xlfn.XLOOKUP(Assessment!#REF!,Inherited!A:A,Inherited!B:B)))/100)*IF(AA51="1.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(100%)","100"))))))&gt;=66,(((_xlfn.XLOOKUP(Assessment!#REF!,Inherited!A:A,Inherited!B:B))/100)*(_xlfn.XLOOKUP(Assessment!#REF!,Inherited!A:A,Inherited!F:F)))+(((100-(_xlfn.XLOOKUP(Assessment!#REF!,Inherited!A:A,Inherited!B:B)))/100)*IF(AA51="1.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(100%)","100"))))))&lt;=89),"75",IF((((_xlfn.XLOOKUP(Assessment!#REF!,Inherited!A:A,Inherited!B:B))/100)*(_xlfn.XLOOKUP(Assessment!#REF!,Inherited!A:A,Inherited!F:F)))+(((100-(_xlfn.XLOOKUP(Assessment!#REF!,Inherited!A:A,Inherited!B:B)))/100)*IF(AA51="1. Non Compliant (0%)","0",IF(AA51="2. Somewhat Compliant (25%)","25",IF(AA51="3. Partially Compliant (50%)","50",IF(AA51="4. Mostly Compliant (75%)","75",IF(AA51="5. Fully Compliant (100%)","100"))))))&gt;=90,"100"))))))</f>
        <v>#N/A</v>
      </c>
      <c r="U51" s="1" t="e">
        <f>IF(MATCH(H51,Inherited!A:A),IF((((_xlfn.XLOOKUP(Assessment!#REF!,Inherited!A:A,Inherited!B:B))/100)*(_xlfn.XLOOKUP(Assessment!#REF!,Inherited!A:A,Inherited!G:G)))+(((100-(_xlfn.XLOOKUP(Assessment!#REF!,Inherited!A:A,Inherited!B:B)))/100)*IF(AB51="1.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(100%)","100"))))))&lt;=10,"0", IF(AND((((_xlfn.XLOOKUP(Assessment!#REF!,Inherited!A:A,Inherited!B:B))/100)*(_xlfn.XLOOKUP(Assessment!#REF!,Inherited!A:A,Inherited!G:G)))+(((100-(_xlfn.XLOOKUP(Assessment!#REF!,Inherited!A:A,Inherited!B:B)))/100)*IF(AB51="1.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(100%)","100"))))))&gt;=11,(((_xlfn.XLOOKUP(Assessment!#REF!,Inherited!A:A,Inherited!B:B))/100)*(_xlfn.XLOOKUP(Assessment!#REF!,Inherited!A:A,Inherited!G:G)))+(((100-(_xlfn.XLOOKUP(Assessment!#REF!,Inherited!A:A,Inherited!B:B)))/100)*IF(AB51="1.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(100%)","100"))))))&lt;=32),"25",IF(AND((((_xlfn.XLOOKUP(Assessment!#REF!,Inherited!A:A,Inherited!B:B))/100)*(_xlfn.XLOOKUP(Assessment!#REF!,Inherited!A:A,Inherited!G:G)))+(((100-(_xlfn.XLOOKUP(Assessment!#REF!,Inherited!A:A,Inherited!B:B)))/100)*IF(AB51="1.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(100%)","100"))))))&gt;=33,(((_xlfn.XLOOKUP(Assessment!#REF!,Inherited!A:A,Inherited!B:B))/100)*(_xlfn.XLOOKUP(Assessment!#REF!,Inherited!A:A,Inherited!G:G)))+(((100-(_xlfn.XLOOKUP(Assessment!#REF!,Inherited!A:A,Inherited!B:B)))/100)*IF(AB51="1.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(100%)","100"))))))&lt;=65),"50",IF(AND((((_xlfn.XLOOKUP(Assessment!#REF!,Inherited!A:A,Inherited!B:B))/100)*(_xlfn.XLOOKUP(Assessment!#REF!,Inherited!A:A,Inherited!G:G)))+(((100-(_xlfn.XLOOKUP(Assessment!#REF!,Inherited!A:A,Inherited!B:B)))/100)*IF(AB51="1.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(100%)","100"))))))&gt;=66,(((_xlfn.XLOOKUP(Assessment!#REF!,Inherited!A:A,Inherited!B:B))/100)*(_xlfn.XLOOKUP(Assessment!#REF!,Inherited!A:A,Inherited!G:G)))+(((100-(_xlfn.XLOOKUP(Assessment!#REF!,Inherited!A:A,Inherited!B:B)))/100)*IF(AB51="1.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(100%)","100"))))))&lt;=89),"75",IF((((_xlfn.XLOOKUP(Assessment!#REF!,Inherited!A:A,Inherited!B:B))/100)*(_xlfn.XLOOKUP(Assessment!#REF!,Inherited!A:A,Inherited!G:G)))+(((100-(_xlfn.XLOOKUP(Assessment!#REF!,Inherited!A:A,Inherited!B:B)))/100)*IF(AB51="1. Non Compliant (0%)","0",IF(AB51="2. Somewhat Compliant (25%)","25",IF(AB51="3. Partially Compliant (50%)","50",IF(AB51="4. Mostly Compliant (75%)","75",IF(AB51="5. Fully Compliant (100%)","100"))))))&gt;=90,"100"))))))</f>
        <v>#N/A</v>
      </c>
      <c r="V51" s="55" t="s">
        <v>85</v>
      </c>
      <c r="W51" s="55"/>
      <c r="X51" s="55"/>
      <c r="Y51" s="55"/>
      <c r="Z51" s="55" t="s">
        <v>10873</v>
      </c>
      <c r="AA51" s="55"/>
      <c r="AB51" s="55"/>
      <c r="AK51" s="1" t="s">
        <v>10978</v>
      </c>
      <c r="AL51" s="1" t="s">
        <v>10988</v>
      </c>
      <c r="AP51" s="1" t="s">
        <v>11069</v>
      </c>
      <c r="AX51" s="3" t="str">
        <f>_xlfn.CONCAT("A-LIGN finished its review of this control on ",AR51, " during the scheduled fieldwork window (",Intro!$B$4,")."&amp; CHAR(10)&amp; CHAR(10))</f>
        <v xml:space="preserve">A-LIGN finished its review of this control on  during the scheduled fieldwork window (Fieldwork: xx/xx/xxxx - xx/xx/xxxx).
</v>
      </c>
      <c r="AY51" s="3" t="str">
        <f t="shared" si="81"/>
        <v/>
      </c>
      <c r="AZ51" s="3" t="str">
        <f t="shared" si="82"/>
        <v/>
      </c>
      <c r="BA51" s="3" t="str">
        <f t="shared" si="83"/>
        <v/>
      </c>
      <c r="BB51" s="3" t="str">
        <f t="shared" si="8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51" s="3" t="str">
        <f t="shared" si="85"/>
        <v/>
      </c>
      <c r="BD51" s="3" t="str">
        <f t="shared" si="86"/>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artificial intelligence model training is checked prior to usage
- artificial intelligence model tuning is checked prior to usage
- artificial intelligence prompt enhancement via RAG (if used) is checked prior to usage
- identified anomalous entries are removed
 - checked using statistical methods
 - checked through manual inspection
 - checked through automated means
</v>
      </c>
      <c r="BE51" s="3" t="str">
        <f t="shared" si="87"/>
        <v/>
      </c>
      <c r="BF51" s="3" t="str">
        <f t="shared" si="88"/>
        <v/>
      </c>
      <c r="BG51" s="3" t="str">
        <f>_xlfn.CONCAT((IF((COUNTIF('Sample Tables'!B:B,"")&gt;0)=TRUE,_xlfn.CONCAT("",""),IF((COUNTIF('Sample Tables'!B:B,"")&gt;0)=FALSE,""))),)</f>
        <v/>
      </c>
      <c r="BH51"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artificial intelligence model training is checked prior to usage
- artificial intelligence model tuning is checked prior to usage
- artificial intelligence prompt enhancement via RAG (if used) is checked prior to usage
- identified anomalous entries are removed
 - checked using statistical methods
 - checked through manual inspection
 - checked through automated means
</v>
      </c>
    </row>
    <row r="52" spans="3:60" ht="409.5" x14ac:dyDescent="0.35">
      <c r="C52" s="1">
        <f t="shared" si="80"/>
        <v>0</v>
      </c>
      <c r="D52" s="5" t="str">
        <f>IF(AND((_xlfn.XLOOKUP(J52,'Fields &amp; Revisions'!$H:$H,'Fields &amp; Revisions'!$I:$I))&lt;70.99,(OR(Z52="4. Mostly Compliant (75%)",Z52="3. Partially Compliant (50%)",Z52="2. Somewhat Compliant (25%)",Z52="1. Non Compliant (0%)"))),"Yes","No")</f>
        <v>Yes</v>
      </c>
      <c r="E52" s="5" t="str">
        <f>IF(ISERROR(VLOOKUP(H52,Scope!A:A,1,FALSE)),"No","Yes")</f>
        <v>Yes</v>
      </c>
      <c r="F52" s="1" t="s">
        <v>1293</v>
      </c>
      <c r="G52" s="53" t="s">
        <v>1361</v>
      </c>
      <c r="H52" s="53" t="s">
        <v>1362</v>
      </c>
      <c r="I52" s="5" t="s">
        <v>93</v>
      </c>
      <c r="J52" s="1" t="s">
        <v>1363</v>
      </c>
      <c r="K52" s="54" t="s">
        <v>1364</v>
      </c>
      <c r="L52" s="1" t="s">
        <v>1365</v>
      </c>
      <c r="M52" s="1" t="s">
        <v>1366</v>
      </c>
      <c r="N52" s="5" t="s">
        <v>98</v>
      </c>
      <c r="O52" s="1" t="str">
        <f>_xlfn.XLOOKUP(G52,SRMs!$A:$A,SRMs!$D:$D)</f>
        <v>NO INHERITANCE</v>
      </c>
      <c r="P52" s="1" t="str">
        <f>IFERROR(VLOOKUP(H52,Inherited!A:B,2,FALSE),"")</f>
        <v/>
      </c>
      <c r="Q52" s="1" t="e">
        <f>IF(MATCH(H52,Inherited!A:A),IF((((_xlfn.XLOOKUP(Assessment!#REF!,Inherited!A:A,Inherited!B:B))/100)*(_xlfn.XLOOKUP(Assessment!#REF!,Inherited!A:A,Inherited!C:C)))+(((100-(_xlfn.XLOOKUP(Assessment!#REF!,Inherited!A:A,Inherited!B:B)))/100)*IF(X52="1.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(100%)","100"))))))&lt;=10,"0", IF(AND((((_xlfn.XLOOKUP(Assessment!#REF!,Inherited!A:A,Inherited!B:B))/100)*(_xlfn.XLOOKUP(Assessment!#REF!,Inherited!A:A,Inherited!C:C)))+(((100-(_xlfn.XLOOKUP(Assessment!#REF!,Inherited!A:A,Inherited!B:B)))/100)*IF(X52="1.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(100%)","100"))))))&gt;=11,(((_xlfn.XLOOKUP(Assessment!#REF!,Inherited!A:A,Inherited!B:B))/100)*(_xlfn.XLOOKUP(Assessment!#REF!,Inherited!A:A,Inherited!C:C)))+(((100-(_xlfn.XLOOKUP(Assessment!#REF!,Inherited!A:A,Inherited!B:B)))/100)*IF(X52="1.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(100%)","100"))))))&lt;=32),"25",IF(AND((((_xlfn.XLOOKUP(Assessment!#REF!,Inherited!A:A,Inherited!B:B))/100)*(_xlfn.XLOOKUP(Assessment!#REF!,Inherited!A:A,Inherited!C:C)))+(((100-(_xlfn.XLOOKUP(Assessment!#REF!,Inherited!A:A,Inherited!B:B)))/100)*IF(X52="1.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(100%)","100"))))))&gt;=33,(((_xlfn.XLOOKUP(Assessment!#REF!,Inherited!A:A,Inherited!B:B))/100)*(_xlfn.XLOOKUP(Assessment!#REF!,Inherited!A:A,Inherited!C:C)))+(((100-(_xlfn.XLOOKUP(Assessment!#REF!,Inherited!A:A,Inherited!B:B)))/100)*IF(X52="1.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(100%)","100"))))))&lt;=65),"50",IF(AND((((_xlfn.XLOOKUP(Assessment!#REF!,Inherited!A:A,Inherited!B:B))/100)*(_xlfn.XLOOKUP(Assessment!#REF!,Inherited!A:A,Inherited!C:C)))+(((100-(_xlfn.XLOOKUP(Assessment!#REF!,Inherited!A:A,Inherited!B:B)))/100)*IF(X52="1.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(100%)","100"))))))&gt;=66,(((_xlfn.XLOOKUP(Assessment!#REF!,Inherited!A:A,Inherited!B:B))/100)*(_xlfn.XLOOKUP(Assessment!#REF!,Inherited!A:A,Inherited!C:C)))+(((100-(_xlfn.XLOOKUP(Assessment!#REF!,Inherited!A:A,Inherited!B:B)))/100)*IF(X52="1.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(100%)","100"))))))&lt;=89),"75",IF((((_xlfn.XLOOKUP(Assessment!#REF!,Inherited!A:A,Inherited!B:B))/100)*(_xlfn.XLOOKUP(Assessment!#REF!,Inherited!A:A,Inherited!C:C)))+(((100-(_xlfn.XLOOKUP(Assessment!#REF!,Inherited!A:A,Inherited!B:B)))/100)*IF(X52="1. Non Compliant (0%)","0",IF(X52="2. Somewhat Compliant (25%)","25",IF(X52="3. Partially Compliant (50%)","50",IF(X52="4. Mostly Compliant (75%)","75",IF(X52="5. Fully Compliant (100%)","100"))))))&gt;=90,"100"))))))</f>
        <v>#N/A</v>
      </c>
      <c r="R52" s="1" t="e">
        <f>IF(MATCH(H52,Inherited!A:A),IF((((_xlfn.XLOOKUP(Assessment!#REF!,Inherited!A:A,Inherited!B:B))/100)*(_xlfn.XLOOKUP(Assessment!#REF!,Inherited!A:A,Inherited!D:D)))+(((100-(_xlfn.XLOOKUP(Assessment!#REF!,Inherited!A:A,Inherited!B:B)))/100)*IF(Y52="1.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(100%)","100"))))))&lt;=10,"0", IF(AND((((_xlfn.XLOOKUP(Assessment!#REF!,Inherited!A:A,Inherited!B:B))/100)*(_xlfn.XLOOKUP(Assessment!#REF!,Inherited!A:A,Inherited!D:D)))+(((100-(_xlfn.XLOOKUP(Assessment!#REF!,Inherited!A:A,Inherited!B:B)))/100)*IF(Y52="1.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(100%)","100"))))))&gt;=11,(((_xlfn.XLOOKUP(Assessment!#REF!,Inherited!A:A,Inherited!B:B))/100)*(_xlfn.XLOOKUP(Assessment!#REF!,Inherited!A:A,Inherited!D:D)))+(((100-(_xlfn.XLOOKUP(Assessment!#REF!,Inherited!A:A,Inherited!B:B)))/100)*IF(Y52="1.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(100%)","100"))))))&lt;=32),"25",IF(AND((((_xlfn.XLOOKUP(Assessment!#REF!,Inherited!A:A,Inherited!B:B))/100)*(_xlfn.XLOOKUP(Assessment!#REF!,Inherited!A:A,Inherited!D:D)))+(((100-(_xlfn.XLOOKUP(Assessment!#REF!,Inherited!A:A,Inherited!B:B)))/100)*IF(Y52="1.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(100%)","100"))))))&gt;=33,(((_xlfn.XLOOKUP(Assessment!#REF!,Inherited!A:A,Inherited!B:B))/100)*(_xlfn.XLOOKUP(Assessment!#REF!,Inherited!A:A,Inherited!D:D)))+(((100-(_xlfn.XLOOKUP(Assessment!#REF!,Inherited!A:A,Inherited!B:B)))/100)*IF(Y52="1.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(100%)","100"))))))&lt;=65),"50",IF(AND((((_xlfn.XLOOKUP(Assessment!#REF!,Inherited!A:A,Inherited!B:B))/100)*(_xlfn.XLOOKUP(Assessment!#REF!,Inherited!A:A,Inherited!D:D)))+(((100-(_xlfn.XLOOKUP(Assessment!#REF!,Inherited!A:A,Inherited!B:B)))/100)*IF(Y52="1.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(100%)","100"))))))&gt;=66,(((_xlfn.XLOOKUP(Assessment!#REF!,Inherited!A:A,Inherited!B:B))/100)*(_xlfn.XLOOKUP(Assessment!#REF!,Inherited!A:A,Inherited!D:D)))+(((100-(_xlfn.XLOOKUP(Assessment!#REF!,Inherited!A:A,Inherited!B:B)))/100)*IF(Y52="1.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(100%)","100"))))))&lt;=89),"75",IF((((_xlfn.XLOOKUP(Assessment!#REF!,Inherited!A:A,Inherited!B:B))/100)*(_xlfn.XLOOKUP(Assessment!#REF!,Inherited!A:A,Inherited!D:D)))+(((100-(_xlfn.XLOOKUP(Assessment!#REF!,Inherited!A:A,Inherited!B:B)))/100)*IF(Y52="1. Non Compliant (0%)","0",IF(Y52="2. Somewhat Compliant (25%)","25",IF(Y52="3. Partially Compliant (50%)","50",IF(Y52="4. Mostly Compliant (75%)","75",IF(Y52="5. Fully Compliant (100%)","100"))))))&gt;=90,"100"))))))</f>
        <v>#N/A</v>
      </c>
      <c r="S52" s="1" t="e">
        <f>IF(MATCH(H52,Inherited!A:A),IF((((_xlfn.XLOOKUP(Assessment!#REF!,Inherited!A:A,Inherited!B:B))/100)*(_xlfn.XLOOKUP(Assessment!#REF!,Inherited!A:A,Inherited!E:E)))+(((100-(_xlfn.XLOOKUP(Assessment!#REF!,Inherited!A:A,Inherited!B:B)))/100)*IF(Z52="1.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(100%)","100"))))))&lt;=10,"0", IF(AND((((_xlfn.XLOOKUP(Assessment!#REF!,Inherited!A:A,Inherited!B:B))/100)*(_xlfn.XLOOKUP(Assessment!#REF!,Inherited!A:A,Inherited!E:E)))+(((100-(_xlfn.XLOOKUP(Assessment!#REF!,Inherited!A:A,Inherited!B:B)))/100)*IF(Z52="1.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(100%)","100"))))))&gt;=11,(((_xlfn.XLOOKUP(Assessment!#REF!,Inherited!A:A,Inherited!B:B))/100)*(_xlfn.XLOOKUP(Assessment!#REF!,Inherited!A:A,Inherited!E:E)))+(((100-(_xlfn.XLOOKUP(Assessment!#REF!,Inherited!A:A,Inherited!B:B)))/100)*IF(Z52="1.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(100%)","100"))))))&lt;=32),"25",IF(AND((((_xlfn.XLOOKUP(Assessment!#REF!,Inherited!A:A,Inherited!B:B))/100)*(_xlfn.XLOOKUP(Assessment!#REF!,Inherited!A:A,Inherited!E:E)))+(((100-(_xlfn.XLOOKUP(Assessment!#REF!,Inherited!A:A,Inherited!B:B)))/100)*IF(Z52="1.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(100%)","100"))))))&gt;=33,(((_xlfn.XLOOKUP(Assessment!#REF!,Inherited!A:A,Inherited!B:B))/100)*(_xlfn.XLOOKUP(Assessment!#REF!,Inherited!A:A,Inherited!E:E)))+(((100-(_xlfn.XLOOKUP(Assessment!#REF!,Inherited!A:A,Inherited!B:B)))/100)*IF(Z52="1.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(100%)","100"))))))&lt;=65),"50",IF(AND((((_xlfn.XLOOKUP(Assessment!#REF!,Inherited!A:A,Inherited!B:B))/100)*(_xlfn.XLOOKUP(Assessment!#REF!,Inherited!A:A,Inherited!E:E)))+(((100-(_xlfn.XLOOKUP(Assessment!#REF!,Inherited!A:A,Inherited!B:B)))/100)*IF(Z52="1.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(100%)","100"))))))&gt;=66,(((_xlfn.XLOOKUP(Assessment!#REF!,Inherited!A:A,Inherited!B:B))/100)*(_xlfn.XLOOKUP(Assessment!#REF!,Inherited!A:A,Inherited!E:E)))+(((100-(_xlfn.XLOOKUP(Assessment!#REF!,Inherited!A:A,Inherited!B:B)))/100)*IF(Z52="1.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(100%)","100"))))))&lt;=89),"75",IF((((_xlfn.XLOOKUP(Assessment!#REF!,Inherited!A:A,Inherited!B:B))/100)*(_xlfn.XLOOKUP(Assessment!#REF!,Inherited!A:A,Inherited!E:E)))+(((100-(_xlfn.XLOOKUP(Assessment!#REF!,Inherited!A:A,Inherited!B:B)))/100)*IF(Z52="1. Non Compliant (0%)","0",IF(Z52="2. Somewhat Compliant (25%)","25",IF(Z52="3. Partially Compliant (50%)","50",IF(Z52="4. Mostly Compliant (75%)","75",IF(Z52="5. Fully Compliant (100%)","100"))))))&gt;=90,"100"))))))</f>
        <v>#N/A</v>
      </c>
      <c r="T52" s="1" t="e">
        <f>IF(MATCH(H52,Inherited!A:A),IF((((_xlfn.XLOOKUP(Assessment!#REF!,Inherited!A:A,Inherited!B:B))/100)*(_xlfn.XLOOKUP(Assessment!#REF!,Inherited!A:A,Inherited!F:F)))+(((100-(_xlfn.XLOOKUP(Assessment!#REF!,Inherited!A:A,Inherited!B:B)))/100)*IF(AA52="1.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(100%)","100"))))))&lt;=10,"0", IF(AND((((_xlfn.XLOOKUP(Assessment!#REF!,Inherited!A:A,Inherited!B:B))/100)*(_xlfn.XLOOKUP(Assessment!#REF!,Inherited!A:A,Inherited!F:F)))+(((100-(_xlfn.XLOOKUP(Assessment!#REF!,Inherited!A:A,Inherited!B:B)))/100)*IF(AA52="1.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(100%)","100"))))))&gt;=11,(((_xlfn.XLOOKUP(Assessment!#REF!,Inherited!A:A,Inherited!B:B))/100)*(_xlfn.XLOOKUP(Assessment!#REF!,Inherited!A:A,Inherited!F:F)))+(((100-(_xlfn.XLOOKUP(Assessment!#REF!,Inherited!A:A,Inherited!B:B)))/100)*IF(AA52="1.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(100%)","100"))))))&lt;=32),"25",IF(AND((((_xlfn.XLOOKUP(Assessment!#REF!,Inherited!A:A,Inherited!B:B))/100)*(_xlfn.XLOOKUP(Assessment!#REF!,Inherited!A:A,Inherited!F:F)))+(((100-(_xlfn.XLOOKUP(Assessment!#REF!,Inherited!A:A,Inherited!B:B)))/100)*IF(AA52="1.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(100%)","100"))))))&gt;=33,(((_xlfn.XLOOKUP(Assessment!#REF!,Inherited!A:A,Inherited!B:B))/100)*(_xlfn.XLOOKUP(Assessment!#REF!,Inherited!A:A,Inherited!F:F)))+(((100-(_xlfn.XLOOKUP(Assessment!#REF!,Inherited!A:A,Inherited!B:B)))/100)*IF(AA52="1.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(100%)","100"))))))&lt;=65),"50",IF(AND((((_xlfn.XLOOKUP(Assessment!#REF!,Inherited!A:A,Inherited!B:B))/100)*(_xlfn.XLOOKUP(Assessment!#REF!,Inherited!A:A,Inherited!F:F)))+(((100-(_xlfn.XLOOKUP(Assessment!#REF!,Inherited!A:A,Inherited!B:B)))/100)*IF(AA52="1.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(100%)","100"))))))&gt;=66,(((_xlfn.XLOOKUP(Assessment!#REF!,Inherited!A:A,Inherited!B:B))/100)*(_xlfn.XLOOKUP(Assessment!#REF!,Inherited!A:A,Inherited!F:F)))+(((100-(_xlfn.XLOOKUP(Assessment!#REF!,Inherited!A:A,Inherited!B:B)))/100)*IF(AA52="1.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(100%)","100"))))))&lt;=89),"75",IF((((_xlfn.XLOOKUP(Assessment!#REF!,Inherited!A:A,Inherited!B:B))/100)*(_xlfn.XLOOKUP(Assessment!#REF!,Inherited!A:A,Inherited!F:F)))+(((100-(_xlfn.XLOOKUP(Assessment!#REF!,Inherited!A:A,Inherited!B:B)))/100)*IF(AA52="1. Non Compliant (0%)","0",IF(AA52="2. Somewhat Compliant (25%)","25",IF(AA52="3. Partially Compliant (50%)","50",IF(AA52="4. Mostly Compliant (75%)","75",IF(AA52="5. Fully Compliant (100%)","100"))))))&gt;=90,"100"))))))</f>
        <v>#N/A</v>
      </c>
      <c r="U52" s="1" t="e">
        <f>IF(MATCH(H52,Inherited!A:A),IF((((_xlfn.XLOOKUP(Assessment!#REF!,Inherited!A:A,Inherited!B:B))/100)*(_xlfn.XLOOKUP(Assessment!#REF!,Inherited!A:A,Inherited!G:G)))+(((100-(_xlfn.XLOOKUP(Assessment!#REF!,Inherited!A:A,Inherited!B:B)))/100)*IF(AB52="1.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(100%)","100"))))))&lt;=10,"0", IF(AND((((_xlfn.XLOOKUP(Assessment!#REF!,Inherited!A:A,Inherited!B:B))/100)*(_xlfn.XLOOKUP(Assessment!#REF!,Inherited!A:A,Inherited!G:G)))+(((100-(_xlfn.XLOOKUP(Assessment!#REF!,Inherited!A:A,Inherited!B:B)))/100)*IF(AB52="1.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(100%)","100"))))))&gt;=11,(((_xlfn.XLOOKUP(Assessment!#REF!,Inherited!A:A,Inherited!B:B))/100)*(_xlfn.XLOOKUP(Assessment!#REF!,Inherited!A:A,Inherited!G:G)))+(((100-(_xlfn.XLOOKUP(Assessment!#REF!,Inherited!A:A,Inherited!B:B)))/100)*IF(AB52="1.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(100%)","100"))))))&lt;=32),"25",IF(AND((((_xlfn.XLOOKUP(Assessment!#REF!,Inherited!A:A,Inherited!B:B))/100)*(_xlfn.XLOOKUP(Assessment!#REF!,Inherited!A:A,Inherited!G:G)))+(((100-(_xlfn.XLOOKUP(Assessment!#REF!,Inherited!A:A,Inherited!B:B)))/100)*IF(AB52="1.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(100%)","100"))))))&gt;=33,(((_xlfn.XLOOKUP(Assessment!#REF!,Inherited!A:A,Inherited!B:B))/100)*(_xlfn.XLOOKUP(Assessment!#REF!,Inherited!A:A,Inherited!G:G)))+(((100-(_xlfn.XLOOKUP(Assessment!#REF!,Inherited!A:A,Inherited!B:B)))/100)*IF(AB52="1.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(100%)","100"))))))&lt;=65),"50",IF(AND((((_xlfn.XLOOKUP(Assessment!#REF!,Inherited!A:A,Inherited!B:B))/100)*(_xlfn.XLOOKUP(Assessment!#REF!,Inherited!A:A,Inherited!G:G)))+(((100-(_xlfn.XLOOKUP(Assessment!#REF!,Inherited!A:A,Inherited!B:B)))/100)*IF(AB52="1.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(100%)","100"))))))&gt;=66,(((_xlfn.XLOOKUP(Assessment!#REF!,Inherited!A:A,Inherited!B:B))/100)*(_xlfn.XLOOKUP(Assessment!#REF!,Inherited!A:A,Inherited!G:G)))+(((100-(_xlfn.XLOOKUP(Assessment!#REF!,Inherited!A:A,Inherited!B:B)))/100)*IF(AB52="1.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(100%)","100"))))))&lt;=89),"75",IF((((_xlfn.XLOOKUP(Assessment!#REF!,Inherited!A:A,Inherited!B:B))/100)*(_xlfn.XLOOKUP(Assessment!#REF!,Inherited!A:A,Inherited!G:G)))+(((100-(_xlfn.XLOOKUP(Assessment!#REF!,Inherited!A:A,Inherited!B:B)))/100)*IF(AB52="1. Non Compliant (0%)","0",IF(AB52="2. Somewhat Compliant (25%)","25",IF(AB52="3. Partially Compliant (50%)","50",IF(AB52="4. Mostly Compliant (75%)","75",IF(AB52="5. Fully Compliant (100%)","100"))))))&gt;=90,"100"))))))</f>
        <v>#N/A</v>
      </c>
      <c r="V52" s="55" t="s">
        <v>85</v>
      </c>
      <c r="W52" s="55"/>
      <c r="X52" s="55"/>
      <c r="Y52" s="55"/>
      <c r="Z52" s="55" t="s">
        <v>10873</v>
      </c>
      <c r="AA52" s="55"/>
      <c r="AB52" s="55"/>
      <c r="AK52" s="1" t="s">
        <v>10978</v>
      </c>
      <c r="AL52" s="1" t="s">
        <v>10988</v>
      </c>
      <c r="AP52" s="1" t="s">
        <v>11070</v>
      </c>
      <c r="AX52" s="3" t="str">
        <f>_xlfn.CONCAT("A-LIGN finished its review of this control on ",AR52, " during the scheduled fieldwork window (",Intro!$B$4,")."&amp; CHAR(10)&amp; CHAR(10))</f>
        <v xml:space="preserve">A-LIGN finished its review of this control on  during the scheduled fieldwork window (Fieldwork: xx/xx/xxxx - xx/xx/xxxx).
</v>
      </c>
      <c r="AY52" s="3" t="str">
        <f t="shared" si="81"/>
        <v/>
      </c>
      <c r="AZ52" s="3" t="str">
        <f t="shared" si="82"/>
        <v/>
      </c>
      <c r="BA52" s="3" t="str">
        <f t="shared" si="83"/>
        <v/>
      </c>
      <c r="BB52" s="3" t="str">
        <f t="shared" si="8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52" s="3" t="str">
        <f t="shared" si="85"/>
        <v/>
      </c>
      <c r="BD52" s="3" t="str">
        <f t="shared" si="86"/>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prevent sensitive data contained within generative artificial intelligence model from being shown to end users
</v>
      </c>
      <c r="BE52" s="3" t="str">
        <f t="shared" si="87"/>
        <v/>
      </c>
      <c r="BF52" s="3" t="str">
        <f t="shared" si="88"/>
        <v/>
      </c>
      <c r="BG52" s="3" t="str">
        <f>_xlfn.CONCAT((IF((COUNTIF('Sample Tables'!B:B,"")&gt;0)=TRUE,_xlfn.CONCAT("",""),IF((COUNTIF('Sample Tables'!B:B,"")&gt;0)=FALSE,""))),)</f>
        <v/>
      </c>
      <c r="BH52"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prevent sensitive data contained within generative artificial intelligence model from being shown to end users
</v>
      </c>
    </row>
    <row r="53" spans="3:60" ht="409.5" x14ac:dyDescent="0.35">
      <c r="C53" s="1">
        <f t="shared" si="80"/>
        <v>40</v>
      </c>
      <c r="D53" s="5" t="str">
        <f>IF(AND((_xlfn.XLOOKUP(J53,'Fields &amp; Revisions'!$H:$H,'Fields &amp; Revisions'!$I:$I))&lt;70.99,(OR(Z53="4. Mostly Compliant (75%)",Z53="3. Partially Compliant (50%)",Z53="2. Somewhat Compliant (25%)",Z53="1. Non Compliant (0%)"))),"Yes","No")</f>
        <v>No</v>
      </c>
      <c r="E53" s="5" t="str">
        <f>IF(ISERROR(VLOOKUP(H53,Scope!A:A,1,FALSE)),"No","Yes")</f>
        <v>Yes</v>
      </c>
      <c r="F53" s="1" t="s">
        <v>1293</v>
      </c>
      <c r="G53" s="53" t="s">
        <v>1371</v>
      </c>
      <c r="H53" s="53" t="s">
        <v>1372</v>
      </c>
      <c r="I53" s="5">
        <v>1</v>
      </c>
      <c r="J53" s="1" t="s">
        <v>1084</v>
      </c>
      <c r="K53" s="1" t="s">
        <v>1373</v>
      </c>
      <c r="L53" s="1" t="s">
        <v>1374</v>
      </c>
      <c r="M53" s="1" t="s">
        <v>1375</v>
      </c>
      <c r="N53" s="5" t="s">
        <v>85</v>
      </c>
      <c r="O53" s="1" t="str">
        <f>_xlfn.XLOOKUP(G53,SRMs!$A:$A,SRMs!$D:$D)</f>
        <v>PARTIAL INHERITANCE</v>
      </c>
      <c r="P53" s="1" t="str">
        <f>IFERROR(VLOOKUP(H53,Inherited!A:B,2,FALSE),"")</f>
        <v/>
      </c>
      <c r="Q53" s="1" t="e">
        <f>IF(MATCH(H53,Inherited!A:A),IF((((_xlfn.XLOOKUP(Assessment!H54,Inherited!A:A,Inherited!B:B))/100)*(_xlfn.XLOOKUP(Assessment!H54,Inherited!A:A,Inherited!C:C)))+(((100-(_xlfn.XLOOKUP(Assessment!H54,Inherited!A:A,Inherited!B:B)))/100)*IF(X53="1.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(100%)","100"))))))&lt;=10,"0", IF(AND((((_xlfn.XLOOKUP(Assessment!H54,Inherited!A:A,Inherited!B:B))/100)*(_xlfn.XLOOKUP(Assessment!H54,Inherited!A:A,Inherited!C:C)))+(((100-(_xlfn.XLOOKUP(Assessment!H54,Inherited!A:A,Inherited!B:B)))/100)*IF(X53="1.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(100%)","100"))))))&gt;=11,(((_xlfn.XLOOKUP(Assessment!H54,Inherited!A:A,Inherited!B:B))/100)*(_xlfn.XLOOKUP(Assessment!H54,Inherited!A:A,Inherited!C:C)))+(((100-(_xlfn.XLOOKUP(Assessment!H54,Inherited!A:A,Inherited!B:B)))/100)*IF(X53="1.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(100%)","100"))))))&lt;=32),"25",IF(AND((((_xlfn.XLOOKUP(Assessment!H54,Inherited!A:A,Inherited!B:B))/100)*(_xlfn.XLOOKUP(Assessment!H54,Inherited!A:A,Inherited!C:C)))+(((100-(_xlfn.XLOOKUP(Assessment!H54,Inherited!A:A,Inherited!B:B)))/100)*IF(X53="1.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(100%)","100"))))))&gt;=33,(((_xlfn.XLOOKUP(Assessment!H54,Inherited!A:A,Inherited!B:B))/100)*(_xlfn.XLOOKUP(Assessment!H54,Inherited!A:A,Inherited!C:C)))+(((100-(_xlfn.XLOOKUP(Assessment!H54,Inherited!A:A,Inherited!B:B)))/100)*IF(X53="1.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(100%)","100"))))))&lt;=65),"50",IF(AND((((_xlfn.XLOOKUP(Assessment!H54,Inherited!A:A,Inherited!B:B))/100)*(_xlfn.XLOOKUP(Assessment!H54,Inherited!A:A,Inherited!C:C)))+(((100-(_xlfn.XLOOKUP(Assessment!H54,Inherited!A:A,Inherited!B:B)))/100)*IF(X53="1.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(100%)","100"))))))&gt;=66,(((_xlfn.XLOOKUP(Assessment!H54,Inherited!A:A,Inherited!B:B))/100)*(_xlfn.XLOOKUP(Assessment!H54,Inherited!A:A,Inherited!C:C)))+(((100-(_xlfn.XLOOKUP(Assessment!H54,Inherited!A:A,Inherited!B:B)))/100)*IF(X53="1.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(100%)","100"))))))&lt;=89),"75",IF((((_xlfn.XLOOKUP(Assessment!H54,Inherited!A:A,Inherited!B:B))/100)*(_xlfn.XLOOKUP(Assessment!H54,Inherited!A:A,Inherited!C:C)))+(((100-(_xlfn.XLOOKUP(Assessment!H54,Inherited!A:A,Inherited!B:B)))/100)*IF(X53="1. Non Compliant (0%)","0",IF(X53="2. Somewhat Compliant (25%)","25",IF(X53="3. Partially Compliant (50%)","50",IF(X53="4. Mostly Compliant (75%)","75",IF(X53="5. Fully Compliant (100%)","100"))))))&gt;=90,"100"))))))</f>
        <v>#N/A</v>
      </c>
      <c r="R53" s="1" t="e">
        <f>IF(MATCH(H53,Inherited!A:A),IF((((_xlfn.XLOOKUP(Assessment!H54,Inherited!A:A,Inherited!B:B))/100)*(_xlfn.XLOOKUP(Assessment!H54,Inherited!A:A,Inherited!D:D)))+(((100-(_xlfn.XLOOKUP(Assessment!H54,Inherited!A:A,Inherited!B:B)))/100)*IF(Y53="1.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(100%)","100"))))))&lt;=10,"0", IF(AND((((_xlfn.XLOOKUP(Assessment!H54,Inherited!A:A,Inherited!B:B))/100)*(_xlfn.XLOOKUP(Assessment!H54,Inherited!A:A,Inherited!D:D)))+(((100-(_xlfn.XLOOKUP(Assessment!H54,Inherited!A:A,Inherited!B:B)))/100)*IF(Y53="1.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(100%)","100"))))))&gt;=11,(((_xlfn.XLOOKUP(Assessment!H54,Inherited!A:A,Inherited!B:B))/100)*(_xlfn.XLOOKUP(Assessment!H54,Inherited!A:A,Inherited!D:D)))+(((100-(_xlfn.XLOOKUP(Assessment!H54,Inherited!A:A,Inherited!B:B)))/100)*IF(Y53="1.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(100%)","100"))))))&lt;=32),"25",IF(AND((((_xlfn.XLOOKUP(Assessment!H54,Inherited!A:A,Inherited!B:B))/100)*(_xlfn.XLOOKUP(Assessment!H54,Inherited!A:A,Inherited!D:D)))+(((100-(_xlfn.XLOOKUP(Assessment!H54,Inherited!A:A,Inherited!B:B)))/100)*IF(Y53="1.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(100%)","100"))))))&gt;=33,(((_xlfn.XLOOKUP(Assessment!H54,Inherited!A:A,Inherited!B:B))/100)*(_xlfn.XLOOKUP(Assessment!H54,Inherited!A:A,Inherited!D:D)))+(((100-(_xlfn.XLOOKUP(Assessment!H54,Inherited!A:A,Inherited!B:B)))/100)*IF(Y53="1.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(100%)","100"))))))&lt;=65),"50",IF(AND((((_xlfn.XLOOKUP(Assessment!H54,Inherited!A:A,Inherited!B:B))/100)*(_xlfn.XLOOKUP(Assessment!H54,Inherited!A:A,Inherited!D:D)))+(((100-(_xlfn.XLOOKUP(Assessment!H54,Inherited!A:A,Inherited!B:B)))/100)*IF(Y53="1.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(100%)","100"))))))&gt;=66,(((_xlfn.XLOOKUP(Assessment!H54,Inherited!A:A,Inherited!B:B))/100)*(_xlfn.XLOOKUP(Assessment!H54,Inherited!A:A,Inherited!D:D)))+(((100-(_xlfn.XLOOKUP(Assessment!H54,Inherited!A:A,Inherited!B:B)))/100)*IF(Y53="1.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(100%)","100"))))))&lt;=89),"75",IF((((_xlfn.XLOOKUP(Assessment!H54,Inherited!A:A,Inherited!B:B))/100)*(_xlfn.XLOOKUP(Assessment!H54,Inherited!A:A,Inherited!D:D)))+(((100-(_xlfn.XLOOKUP(Assessment!H54,Inherited!A:A,Inherited!B:B)))/100)*IF(Y53="1. Non Compliant (0%)","0",IF(Y53="2. Somewhat Compliant (25%)","25",IF(Y53="3. Partially Compliant (50%)","50",IF(Y53="4. Mostly Compliant (75%)","75",IF(Y53="5. Fully Compliant (100%)","100"))))))&gt;=90,"100"))))))</f>
        <v>#N/A</v>
      </c>
      <c r="S53" s="1" t="e">
        <f>IF(MATCH(H53,Inherited!A:A),IF((((_xlfn.XLOOKUP(Assessment!H54,Inherited!A:A,Inherited!B:B))/100)*(_xlfn.XLOOKUP(Assessment!H54,Inherited!A:A,Inherited!E:E)))+(((100-(_xlfn.XLOOKUP(Assessment!H54,Inherited!A:A,Inherited!B:B)))/100)*IF(Z53="1.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(100%)","100"))))))&lt;=10,"0", IF(AND((((_xlfn.XLOOKUP(Assessment!H54,Inherited!A:A,Inherited!B:B))/100)*(_xlfn.XLOOKUP(Assessment!H54,Inherited!A:A,Inherited!E:E)))+(((100-(_xlfn.XLOOKUP(Assessment!H54,Inherited!A:A,Inherited!B:B)))/100)*IF(Z53="1.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(100%)","100"))))))&gt;=11,(((_xlfn.XLOOKUP(Assessment!H54,Inherited!A:A,Inherited!B:B))/100)*(_xlfn.XLOOKUP(Assessment!H54,Inherited!A:A,Inherited!E:E)))+(((100-(_xlfn.XLOOKUP(Assessment!H54,Inherited!A:A,Inherited!B:B)))/100)*IF(Z53="1.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(100%)","100"))))))&lt;=32),"25",IF(AND((((_xlfn.XLOOKUP(Assessment!H54,Inherited!A:A,Inherited!B:B))/100)*(_xlfn.XLOOKUP(Assessment!H54,Inherited!A:A,Inherited!E:E)))+(((100-(_xlfn.XLOOKUP(Assessment!H54,Inherited!A:A,Inherited!B:B)))/100)*IF(Z53="1.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(100%)","100"))))))&gt;=33,(((_xlfn.XLOOKUP(Assessment!H54,Inherited!A:A,Inherited!B:B))/100)*(_xlfn.XLOOKUP(Assessment!H54,Inherited!A:A,Inherited!E:E)))+(((100-(_xlfn.XLOOKUP(Assessment!H54,Inherited!A:A,Inherited!B:B)))/100)*IF(Z53="1.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(100%)","100"))))))&lt;=65),"50",IF(AND((((_xlfn.XLOOKUP(Assessment!H54,Inherited!A:A,Inherited!B:B))/100)*(_xlfn.XLOOKUP(Assessment!H54,Inherited!A:A,Inherited!E:E)))+(((100-(_xlfn.XLOOKUP(Assessment!H54,Inherited!A:A,Inherited!B:B)))/100)*IF(Z53="1.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(100%)","100"))))))&gt;=66,(((_xlfn.XLOOKUP(Assessment!H54,Inherited!A:A,Inherited!B:B))/100)*(_xlfn.XLOOKUP(Assessment!H54,Inherited!A:A,Inherited!E:E)))+(((100-(_xlfn.XLOOKUP(Assessment!H54,Inherited!A:A,Inherited!B:B)))/100)*IF(Z53="1.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(100%)","100"))))))&lt;=89),"75",IF((((_xlfn.XLOOKUP(Assessment!H54,Inherited!A:A,Inherited!B:B))/100)*(_xlfn.XLOOKUP(Assessment!H54,Inherited!A:A,Inherited!E:E)))+(((100-(_xlfn.XLOOKUP(Assessment!H54,Inherited!A:A,Inherited!B:B)))/100)*IF(Z53="1. Non Compliant (0%)","0",IF(Z53="2. Somewhat Compliant (25%)","25",IF(Z53="3. Partially Compliant (50%)","50",IF(Z53="4. Mostly Compliant (75%)","75",IF(Z53="5. Fully Compliant (100%)","100"))))))&gt;=90,"100"))))))</f>
        <v>#N/A</v>
      </c>
      <c r="T53" s="1" t="e">
        <f>IF(MATCH(H53,Inherited!A:A),IF((((_xlfn.XLOOKUP(Assessment!H54,Inherited!A:A,Inherited!B:B))/100)*(_xlfn.XLOOKUP(Assessment!H54,Inherited!A:A,Inherited!F:F)))+(((100-(_xlfn.XLOOKUP(Assessment!H54,Inherited!A:A,Inherited!B:B)))/100)*IF(AA53="1.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(100%)","100"))))))&lt;=10,"0", IF(AND((((_xlfn.XLOOKUP(Assessment!H54,Inherited!A:A,Inherited!B:B))/100)*(_xlfn.XLOOKUP(Assessment!H54,Inherited!A:A,Inherited!F:F)))+(((100-(_xlfn.XLOOKUP(Assessment!H54,Inherited!A:A,Inherited!B:B)))/100)*IF(AA53="1.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(100%)","100"))))))&gt;=11,(((_xlfn.XLOOKUP(Assessment!H54,Inherited!A:A,Inherited!B:B))/100)*(_xlfn.XLOOKUP(Assessment!H54,Inherited!A:A,Inherited!F:F)))+(((100-(_xlfn.XLOOKUP(Assessment!H54,Inherited!A:A,Inherited!B:B)))/100)*IF(AA53="1.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(100%)","100"))))))&lt;=32),"25",IF(AND((((_xlfn.XLOOKUP(Assessment!H54,Inherited!A:A,Inherited!B:B))/100)*(_xlfn.XLOOKUP(Assessment!H54,Inherited!A:A,Inherited!F:F)))+(((100-(_xlfn.XLOOKUP(Assessment!H54,Inherited!A:A,Inherited!B:B)))/100)*IF(AA53="1.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(100%)","100"))))))&gt;=33,(((_xlfn.XLOOKUP(Assessment!H54,Inherited!A:A,Inherited!B:B))/100)*(_xlfn.XLOOKUP(Assessment!H54,Inherited!A:A,Inherited!F:F)))+(((100-(_xlfn.XLOOKUP(Assessment!H54,Inherited!A:A,Inherited!B:B)))/100)*IF(AA53="1.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(100%)","100"))))))&lt;=65),"50",IF(AND((((_xlfn.XLOOKUP(Assessment!H54,Inherited!A:A,Inherited!B:B))/100)*(_xlfn.XLOOKUP(Assessment!H54,Inherited!A:A,Inherited!F:F)))+(((100-(_xlfn.XLOOKUP(Assessment!H54,Inherited!A:A,Inherited!B:B)))/100)*IF(AA53="1.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(100%)","100"))))))&gt;=66,(((_xlfn.XLOOKUP(Assessment!H54,Inherited!A:A,Inherited!B:B))/100)*(_xlfn.XLOOKUP(Assessment!H54,Inherited!A:A,Inherited!F:F)))+(((100-(_xlfn.XLOOKUP(Assessment!H54,Inherited!A:A,Inherited!B:B)))/100)*IF(AA53="1.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(100%)","100"))))))&lt;=89),"75",IF((((_xlfn.XLOOKUP(Assessment!H54,Inherited!A:A,Inherited!B:B))/100)*(_xlfn.XLOOKUP(Assessment!H54,Inherited!A:A,Inherited!F:F)))+(((100-(_xlfn.XLOOKUP(Assessment!H54,Inherited!A:A,Inherited!B:B)))/100)*IF(AA53="1. Non Compliant (0%)","0",IF(AA53="2. Somewhat Compliant (25%)","25",IF(AA53="3. Partially Compliant (50%)","50",IF(AA53="4. Mostly Compliant (75%)","75",IF(AA53="5. Fully Compliant (100%)","100"))))))&gt;=90,"100"))))))</f>
        <v>#N/A</v>
      </c>
      <c r="U53" s="1" t="e">
        <f>IF(MATCH(H53,Inherited!A:A),IF((((_xlfn.XLOOKUP(Assessment!H54,Inherited!A:A,Inherited!B:B))/100)*(_xlfn.XLOOKUP(Assessment!H54,Inherited!A:A,Inherited!G:G)))+(((100-(_xlfn.XLOOKUP(Assessment!H54,Inherited!A:A,Inherited!B:B)))/100)*IF(AB53="1.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(100%)","100"))))))&lt;=10,"0", IF(AND((((_xlfn.XLOOKUP(Assessment!H54,Inherited!A:A,Inherited!B:B))/100)*(_xlfn.XLOOKUP(Assessment!H54,Inherited!A:A,Inherited!G:G)))+(((100-(_xlfn.XLOOKUP(Assessment!H54,Inherited!A:A,Inherited!B:B)))/100)*IF(AB53="1.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(100%)","100"))))))&gt;=11,(((_xlfn.XLOOKUP(Assessment!H54,Inherited!A:A,Inherited!B:B))/100)*(_xlfn.XLOOKUP(Assessment!H54,Inherited!A:A,Inherited!G:G)))+(((100-(_xlfn.XLOOKUP(Assessment!H54,Inherited!A:A,Inherited!B:B)))/100)*IF(AB53="1.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(100%)","100"))))))&lt;=32),"25",IF(AND((((_xlfn.XLOOKUP(Assessment!H54,Inherited!A:A,Inherited!B:B))/100)*(_xlfn.XLOOKUP(Assessment!H54,Inherited!A:A,Inherited!G:G)))+(((100-(_xlfn.XLOOKUP(Assessment!H54,Inherited!A:A,Inherited!B:B)))/100)*IF(AB53="1.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(100%)","100"))))))&gt;=33,(((_xlfn.XLOOKUP(Assessment!H54,Inherited!A:A,Inherited!B:B))/100)*(_xlfn.XLOOKUP(Assessment!H54,Inherited!A:A,Inherited!G:G)))+(((100-(_xlfn.XLOOKUP(Assessment!H54,Inherited!A:A,Inherited!B:B)))/100)*IF(AB53="1.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(100%)","100"))))))&lt;=65),"50",IF(AND((((_xlfn.XLOOKUP(Assessment!H54,Inherited!A:A,Inherited!B:B))/100)*(_xlfn.XLOOKUP(Assessment!H54,Inherited!A:A,Inherited!G:G)))+(((100-(_xlfn.XLOOKUP(Assessment!H54,Inherited!A:A,Inherited!B:B)))/100)*IF(AB53="1.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(100%)","100"))))))&gt;=66,(((_xlfn.XLOOKUP(Assessment!H54,Inherited!A:A,Inherited!B:B))/100)*(_xlfn.XLOOKUP(Assessment!H54,Inherited!A:A,Inherited!G:G)))+(((100-(_xlfn.XLOOKUP(Assessment!H54,Inherited!A:A,Inherited!B:B)))/100)*IF(AB53="1.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(100%)","100"))))))&lt;=89),"75",IF((((_xlfn.XLOOKUP(Assessment!H54,Inherited!A:A,Inherited!B:B))/100)*(_xlfn.XLOOKUP(Assessment!H54,Inherited!A:A,Inherited!G:G)))+(((100-(_xlfn.XLOOKUP(Assessment!H54,Inherited!A:A,Inherited!B:B)))/100)*IF(AB53="1. Non Compliant (0%)","0",IF(AB53="2. Somewhat Compliant (25%)","25",IF(AB53="3. Partially Compliant (50%)","50",IF(AB53="4. Mostly Compliant (75%)","75",IF(AB53="5. Fully Compliant (100%)","100"))))))&gt;=90,"100"))))))</f>
        <v>#N/A</v>
      </c>
      <c r="V53" s="55" t="s">
        <v>85</v>
      </c>
      <c r="W53" s="55"/>
      <c r="X53" s="55"/>
      <c r="Y53" s="55"/>
      <c r="Z53" s="55" t="s">
        <v>86</v>
      </c>
      <c r="AA53" s="55"/>
      <c r="AB53" s="55"/>
      <c r="AK53" s="1" t="s">
        <v>10947</v>
      </c>
      <c r="AL53" s="1" t="s">
        <v>10958</v>
      </c>
      <c r="AM53" s="1" t="s">
        <v>11037</v>
      </c>
      <c r="AX53" s="3" t="str">
        <f>_xlfn.CONCAT("A-LIGN finished its review of this control on ",AR53, " during the scheduled fieldwork window (",Intro!$B$4,")."&amp; CHAR(10)&amp; CHAR(10))</f>
        <v xml:space="preserve">A-LIGN finished its review of this control on  during the scheduled fieldwork window (Fieldwork: xx/xx/xxxx - xx/xx/xxxx).
</v>
      </c>
      <c r="AY53" s="3" t="str">
        <f t="shared" si="81"/>
        <v/>
      </c>
      <c r="AZ53" s="3" t="str">
        <f t="shared" si="82"/>
        <v/>
      </c>
      <c r="BA53" s="3" t="str">
        <f t="shared" si="83"/>
        <v/>
      </c>
      <c r="BB53" s="3" t="str">
        <f t="shared" si="84"/>
        <v xml:space="preserve">Inquired of the following workforce member: 
Roze Nicolas - Director of TechOps
Inquiry lead to the following conclusions: 
Managed at the MDM level (Kandji &amp; Intune)
</v>
      </c>
      <c r="BC53" s="3" t="str">
        <f t="shared" si="85"/>
        <v xml:space="preserve">Observed the following live during fieldwork: 
Observed the Kandji dashboard which ensures all Mac devices are auto updated
Also observed the Intune dashboard and confirmed a global policy is configured/implemented to ensure that Windows devices are automatically updated 
Monthly patching is conducted on the Windows servers, any error reporting will hit the proper IT teams, not auto-updated but since it is scheduled those patches/updates are installed following a review.
</v>
      </c>
      <c r="BD53" s="3" t="str">
        <f t="shared" si="86"/>
        <v xml:space="preserve">Examined the following evidence during fieldwork:
Reviewed evidence addressed the requirement statement.
</v>
      </c>
      <c r="BE53" s="3" t="str">
        <f t="shared" si="87"/>
        <v/>
      </c>
      <c r="BF53" s="3" t="str">
        <f t="shared" si="88"/>
        <v/>
      </c>
      <c r="BG53" s="3" t="str">
        <f>_xlfn.CONCAT((IF((COUNTIF('Sample Tables'!B:B,"Test 043: Endpoint Device (auto-update capable)")&gt;0)=TRUE,_xlfn.CONCAT("Sample test results are documented in ",'Sample Tables'!B469," [",'Sample Tables'!B470,", ",'Sample Tables'!B471,", ",'Sample Tables'!B472,", ",'Sample Tables'!B473,", ",'Sample Tables'!B474,"]."&amp;CHAR(10)),IF((COUNTIF('Sample Tables'!B:B,"Test 043: Endpoint Device (auto-update capable)")&gt;0)=FALSE,""))),(IF((COUNTIF('Sample Tables'!B:B,"Test 044: Endpoint Device (auto-update incapable)")&gt;0)=TRUE,_xlfn.CONCAT("Sample test results are documented in ",'Sample Tables'!B480," [",'Sample Tables'!B481,", ",'Sample Tables'!B482,", ",'Sample Tables'!B483,", ",'Sample Tables'!B484,", ",'Sample Tables'!B485,"]."&amp;CHAR(10)),IF((COUNTIF('Sample Tables'!B:B,"Test 044: Endpoint Device (auto-update incapable)")&gt;0)=FALSE,""))),)</f>
        <v xml:space="preserve">Sample test results are documented in Test 043: Endpoint Device (auto-update capable) [Population Source/Tool: , Population Date Range: , Population Size: , Sample Methodology: , Sample Size: ].
Sample test results are documented in Test 044: Endpoint Device (auto-update incapable) [Population Source/Tool: , Population Date Range: , Population Size: , Sample Methodology: , Sample Size: ].
</v>
      </c>
      <c r="BH53" s="3" t="str">
        <f t="shared" si="89"/>
        <v xml:space="preserve">A-LIGN finished its review of this control on  during the scheduled fieldwork window (Fieldwork: xx/xx/xxxx - xx/xx/xxxx).
Inquired of the following workforce member: 
Roze Nicolas - Director of TechOps
Inquiry lead to the following conclusions: 
Managed at the MDM level (Kandji &amp; Intune)
Observed the following live during fieldwork: 
Observed the Kandji dashboard which ensures all Mac devices are auto updated
Also observed the Intune dashboard and confirmed a global policy is configured/implemented to ensure that Windows devices are automatically updated 
Monthly patching is conducted on the Windows servers, any error reporting will hit the proper IT teams, not auto-updated but since it is scheduled those patches/updates are installed following a review.
Examined the following evidence during fieldwork:
Reviewed evidence addressed the requirement statement.
Sample test results are documented in Test 043: Endpoint Device (auto-update capable) [Population Source/Tool: , Population Date Range: , Population Size: , Sample Methodology: , Sample Size: ].
Sample test results are documented in Test 044: Endpoint Device (auto-update incapable) [Population Source/Tool: , Population Date Range: , Population Size: , Sample Methodology: , Sample Size: ].
</v>
      </c>
    </row>
    <row r="54" spans="3:60" ht="409.5" x14ac:dyDescent="0.35">
      <c r="C54" s="1">
        <f t="shared" si="80"/>
        <v>40</v>
      </c>
      <c r="D54" s="5" t="str">
        <f>IF(AND((_xlfn.XLOOKUP(J54,'Fields &amp; Revisions'!$H:$H,'Fields &amp; Revisions'!$I:$I))&lt;70.99,(OR(Z54="4. Mostly Compliant (75%)",Z54="3. Partially Compliant (50%)",Z54="2. Somewhat Compliant (25%)",Z54="1. Non Compliant (0%)"))),"Yes","No")</f>
        <v>No</v>
      </c>
      <c r="E54" s="5" t="str">
        <f>IF(ISERROR(VLOOKUP(H54,Scope!A:A,1,FALSE)),"No","Yes")</f>
        <v>Yes</v>
      </c>
      <c r="F54" s="1" t="s">
        <v>1293</v>
      </c>
      <c r="G54" s="53" t="s">
        <v>1376</v>
      </c>
      <c r="H54" s="53" t="s">
        <v>1377</v>
      </c>
      <c r="I54" s="5">
        <v>1</v>
      </c>
      <c r="J54" s="1" t="s">
        <v>1084</v>
      </c>
      <c r="K54" s="1" t="s">
        <v>1378</v>
      </c>
      <c r="L54" s="1" t="s">
        <v>1379</v>
      </c>
      <c r="M54" s="1" t="s">
        <v>677</v>
      </c>
      <c r="N54" s="5" t="s">
        <v>85</v>
      </c>
      <c r="O54" s="1" t="str">
        <f>_xlfn.XLOOKUP(G54,SRMs!$A:$A,SRMs!$D:$D)</f>
        <v>PARTIAL INHERITANCE</v>
      </c>
      <c r="P54" s="1" t="str">
        <f>IFERROR(VLOOKUP(H54,Inherited!A:B,2,FALSE),"")</f>
        <v/>
      </c>
      <c r="Q54" s="1" t="e">
        <f>IF(MATCH(H54,Inherited!A:A),IF((((_xlfn.XLOOKUP(Assessment!H55,Inherited!A:A,Inherited!B:B))/100)*(_xlfn.XLOOKUP(Assessment!H55,Inherited!A:A,Inherited!C:C)))+(((100-(_xlfn.XLOOKUP(Assessment!H55,Inherited!A:A,Inherited!B:B)))/100)*IF(X54="1.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(100%)","100"))))))&lt;=10,"0", IF(AND((((_xlfn.XLOOKUP(Assessment!H55,Inherited!A:A,Inherited!B:B))/100)*(_xlfn.XLOOKUP(Assessment!H55,Inherited!A:A,Inherited!C:C)))+(((100-(_xlfn.XLOOKUP(Assessment!H55,Inherited!A:A,Inherited!B:B)))/100)*IF(X54="1.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(100%)","100"))))))&gt;=11,(((_xlfn.XLOOKUP(Assessment!H55,Inherited!A:A,Inherited!B:B))/100)*(_xlfn.XLOOKUP(Assessment!H55,Inherited!A:A,Inherited!C:C)))+(((100-(_xlfn.XLOOKUP(Assessment!H55,Inherited!A:A,Inherited!B:B)))/100)*IF(X54="1.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(100%)","100"))))))&lt;=32),"25",IF(AND((((_xlfn.XLOOKUP(Assessment!H55,Inherited!A:A,Inherited!B:B))/100)*(_xlfn.XLOOKUP(Assessment!H55,Inherited!A:A,Inherited!C:C)))+(((100-(_xlfn.XLOOKUP(Assessment!H55,Inherited!A:A,Inherited!B:B)))/100)*IF(X54="1.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(100%)","100"))))))&gt;=33,(((_xlfn.XLOOKUP(Assessment!H55,Inherited!A:A,Inherited!B:B))/100)*(_xlfn.XLOOKUP(Assessment!H55,Inherited!A:A,Inherited!C:C)))+(((100-(_xlfn.XLOOKUP(Assessment!H55,Inherited!A:A,Inherited!B:B)))/100)*IF(X54="1.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(100%)","100"))))))&lt;=65),"50",IF(AND((((_xlfn.XLOOKUP(Assessment!H55,Inherited!A:A,Inherited!B:B))/100)*(_xlfn.XLOOKUP(Assessment!H55,Inherited!A:A,Inherited!C:C)))+(((100-(_xlfn.XLOOKUP(Assessment!H55,Inherited!A:A,Inherited!B:B)))/100)*IF(X54="1.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(100%)","100"))))))&gt;=66,(((_xlfn.XLOOKUP(Assessment!H55,Inherited!A:A,Inherited!B:B))/100)*(_xlfn.XLOOKUP(Assessment!H55,Inherited!A:A,Inherited!C:C)))+(((100-(_xlfn.XLOOKUP(Assessment!H55,Inherited!A:A,Inherited!B:B)))/100)*IF(X54="1.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(100%)","100"))))))&lt;=89),"75",IF((((_xlfn.XLOOKUP(Assessment!H55,Inherited!A:A,Inherited!B:B))/100)*(_xlfn.XLOOKUP(Assessment!H55,Inherited!A:A,Inherited!C:C)))+(((100-(_xlfn.XLOOKUP(Assessment!H55,Inherited!A:A,Inherited!B:B)))/100)*IF(X54="1. Non Compliant (0%)","0",IF(X54="2. Somewhat Compliant (25%)","25",IF(X54="3. Partially Compliant (50%)","50",IF(X54="4. Mostly Compliant (75%)","75",IF(X54="5. Fully Compliant (100%)","100"))))))&gt;=90,"100"))))))</f>
        <v>#N/A</v>
      </c>
      <c r="R54" s="1" t="e">
        <f>IF(MATCH(H54,Inherited!A:A),IF((((_xlfn.XLOOKUP(Assessment!H55,Inherited!A:A,Inherited!B:B))/100)*(_xlfn.XLOOKUP(Assessment!H55,Inherited!A:A,Inherited!D:D)))+(((100-(_xlfn.XLOOKUP(Assessment!H55,Inherited!A:A,Inherited!B:B)))/100)*IF(Y54="1.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(100%)","100"))))))&lt;=10,"0", IF(AND((((_xlfn.XLOOKUP(Assessment!H55,Inherited!A:A,Inherited!B:B))/100)*(_xlfn.XLOOKUP(Assessment!H55,Inherited!A:A,Inherited!D:D)))+(((100-(_xlfn.XLOOKUP(Assessment!H55,Inherited!A:A,Inherited!B:B)))/100)*IF(Y54="1.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(100%)","100"))))))&gt;=11,(((_xlfn.XLOOKUP(Assessment!H55,Inherited!A:A,Inherited!B:B))/100)*(_xlfn.XLOOKUP(Assessment!H55,Inherited!A:A,Inherited!D:D)))+(((100-(_xlfn.XLOOKUP(Assessment!H55,Inherited!A:A,Inherited!B:B)))/100)*IF(Y54="1.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(100%)","100"))))))&lt;=32),"25",IF(AND((((_xlfn.XLOOKUP(Assessment!H55,Inherited!A:A,Inherited!B:B))/100)*(_xlfn.XLOOKUP(Assessment!H55,Inherited!A:A,Inherited!D:D)))+(((100-(_xlfn.XLOOKUP(Assessment!H55,Inherited!A:A,Inherited!B:B)))/100)*IF(Y54="1.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(100%)","100"))))))&gt;=33,(((_xlfn.XLOOKUP(Assessment!H55,Inherited!A:A,Inherited!B:B))/100)*(_xlfn.XLOOKUP(Assessment!H55,Inherited!A:A,Inherited!D:D)))+(((100-(_xlfn.XLOOKUP(Assessment!H55,Inherited!A:A,Inherited!B:B)))/100)*IF(Y54="1.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(100%)","100"))))))&lt;=65),"50",IF(AND((((_xlfn.XLOOKUP(Assessment!H55,Inherited!A:A,Inherited!B:B))/100)*(_xlfn.XLOOKUP(Assessment!H55,Inherited!A:A,Inherited!D:D)))+(((100-(_xlfn.XLOOKUP(Assessment!H55,Inherited!A:A,Inherited!B:B)))/100)*IF(Y54="1.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(100%)","100"))))))&gt;=66,(((_xlfn.XLOOKUP(Assessment!H55,Inherited!A:A,Inherited!B:B))/100)*(_xlfn.XLOOKUP(Assessment!H55,Inherited!A:A,Inherited!D:D)))+(((100-(_xlfn.XLOOKUP(Assessment!H55,Inherited!A:A,Inherited!B:B)))/100)*IF(Y54="1.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(100%)","100"))))))&lt;=89),"75",IF((((_xlfn.XLOOKUP(Assessment!H55,Inherited!A:A,Inherited!B:B))/100)*(_xlfn.XLOOKUP(Assessment!H55,Inherited!A:A,Inherited!D:D)))+(((100-(_xlfn.XLOOKUP(Assessment!H55,Inherited!A:A,Inherited!B:B)))/100)*IF(Y54="1. Non Compliant (0%)","0",IF(Y54="2. Somewhat Compliant (25%)","25",IF(Y54="3. Partially Compliant (50%)","50",IF(Y54="4. Mostly Compliant (75%)","75",IF(Y54="5. Fully Compliant (100%)","100"))))))&gt;=90,"100"))))))</f>
        <v>#N/A</v>
      </c>
      <c r="S54" s="1" t="e">
        <f>IF(MATCH(H54,Inherited!A:A),IF((((_xlfn.XLOOKUP(Assessment!H55,Inherited!A:A,Inherited!B:B))/100)*(_xlfn.XLOOKUP(Assessment!H55,Inherited!A:A,Inherited!E:E)))+(((100-(_xlfn.XLOOKUP(Assessment!H55,Inherited!A:A,Inherited!B:B)))/100)*IF(Z54="1.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(100%)","100"))))))&lt;=10,"0", IF(AND((((_xlfn.XLOOKUP(Assessment!H55,Inherited!A:A,Inherited!B:B))/100)*(_xlfn.XLOOKUP(Assessment!H55,Inherited!A:A,Inherited!E:E)))+(((100-(_xlfn.XLOOKUP(Assessment!H55,Inherited!A:A,Inherited!B:B)))/100)*IF(Z54="1.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(100%)","100"))))))&gt;=11,(((_xlfn.XLOOKUP(Assessment!H55,Inherited!A:A,Inherited!B:B))/100)*(_xlfn.XLOOKUP(Assessment!H55,Inherited!A:A,Inherited!E:E)))+(((100-(_xlfn.XLOOKUP(Assessment!H55,Inherited!A:A,Inherited!B:B)))/100)*IF(Z54="1.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(100%)","100"))))))&lt;=32),"25",IF(AND((((_xlfn.XLOOKUP(Assessment!H55,Inherited!A:A,Inherited!B:B))/100)*(_xlfn.XLOOKUP(Assessment!H55,Inherited!A:A,Inherited!E:E)))+(((100-(_xlfn.XLOOKUP(Assessment!H55,Inherited!A:A,Inherited!B:B)))/100)*IF(Z54="1.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(100%)","100"))))))&gt;=33,(((_xlfn.XLOOKUP(Assessment!H55,Inherited!A:A,Inherited!B:B))/100)*(_xlfn.XLOOKUP(Assessment!H55,Inherited!A:A,Inherited!E:E)))+(((100-(_xlfn.XLOOKUP(Assessment!H55,Inherited!A:A,Inherited!B:B)))/100)*IF(Z54="1.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(100%)","100"))))))&lt;=65),"50",IF(AND((((_xlfn.XLOOKUP(Assessment!H55,Inherited!A:A,Inherited!B:B))/100)*(_xlfn.XLOOKUP(Assessment!H55,Inherited!A:A,Inherited!E:E)))+(((100-(_xlfn.XLOOKUP(Assessment!H55,Inherited!A:A,Inherited!B:B)))/100)*IF(Z54="1.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(100%)","100"))))))&gt;=66,(((_xlfn.XLOOKUP(Assessment!H55,Inherited!A:A,Inherited!B:B))/100)*(_xlfn.XLOOKUP(Assessment!H55,Inherited!A:A,Inherited!E:E)))+(((100-(_xlfn.XLOOKUP(Assessment!H55,Inherited!A:A,Inherited!B:B)))/100)*IF(Z54="1.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(100%)","100"))))))&lt;=89),"75",IF((((_xlfn.XLOOKUP(Assessment!H55,Inherited!A:A,Inherited!B:B))/100)*(_xlfn.XLOOKUP(Assessment!H55,Inherited!A:A,Inherited!E:E)))+(((100-(_xlfn.XLOOKUP(Assessment!H55,Inherited!A:A,Inherited!B:B)))/100)*IF(Z54="1. Non Compliant (0%)","0",IF(Z54="2. Somewhat Compliant (25%)","25",IF(Z54="3. Partially Compliant (50%)","50",IF(Z54="4. Mostly Compliant (75%)","75",IF(Z54="5. Fully Compliant (100%)","100"))))))&gt;=90,"100"))))))</f>
        <v>#N/A</v>
      </c>
      <c r="T54" s="1" t="e">
        <f>IF(MATCH(H54,Inherited!A:A),IF((((_xlfn.XLOOKUP(Assessment!H55,Inherited!A:A,Inherited!B:B))/100)*(_xlfn.XLOOKUP(Assessment!H55,Inherited!A:A,Inherited!F:F)))+(((100-(_xlfn.XLOOKUP(Assessment!H55,Inherited!A:A,Inherited!B:B)))/100)*IF(AA54="1.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(100%)","100"))))))&lt;=10,"0", IF(AND((((_xlfn.XLOOKUP(Assessment!H55,Inherited!A:A,Inherited!B:B))/100)*(_xlfn.XLOOKUP(Assessment!H55,Inherited!A:A,Inherited!F:F)))+(((100-(_xlfn.XLOOKUP(Assessment!H55,Inherited!A:A,Inherited!B:B)))/100)*IF(AA54="1.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(100%)","100"))))))&gt;=11,(((_xlfn.XLOOKUP(Assessment!H55,Inherited!A:A,Inherited!B:B))/100)*(_xlfn.XLOOKUP(Assessment!H55,Inherited!A:A,Inherited!F:F)))+(((100-(_xlfn.XLOOKUP(Assessment!H55,Inherited!A:A,Inherited!B:B)))/100)*IF(AA54="1.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(100%)","100"))))))&lt;=32),"25",IF(AND((((_xlfn.XLOOKUP(Assessment!H55,Inherited!A:A,Inherited!B:B))/100)*(_xlfn.XLOOKUP(Assessment!H55,Inherited!A:A,Inherited!F:F)))+(((100-(_xlfn.XLOOKUP(Assessment!H55,Inherited!A:A,Inherited!B:B)))/100)*IF(AA54="1.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(100%)","100"))))))&gt;=33,(((_xlfn.XLOOKUP(Assessment!H55,Inherited!A:A,Inherited!B:B))/100)*(_xlfn.XLOOKUP(Assessment!H55,Inherited!A:A,Inherited!F:F)))+(((100-(_xlfn.XLOOKUP(Assessment!H55,Inherited!A:A,Inherited!B:B)))/100)*IF(AA54="1.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(100%)","100"))))))&lt;=65),"50",IF(AND((((_xlfn.XLOOKUP(Assessment!H55,Inherited!A:A,Inherited!B:B))/100)*(_xlfn.XLOOKUP(Assessment!H55,Inherited!A:A,Inherited!F:F)))+(((100-(_xlfn.XLOOKUP(Assessment!H55,Inherited!A:A,Inherited!B:B)))/100)*IF(AA54="1.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(100%)","100"))))))&gt;=66,(((_xlfn.XLOOKUP(Assessment!H55,Inherited!A:A,Inherited!B:B))/100)*(_xlfn.XLOOKUP(Assessment!H55,Inherited!A:A,Inherited!F:F)))+(((100-(_xlfn.XLOOKUP(Assessment!H55,Inherited!A:A,Inherited!B:B)))/100)*IF(AA54="1.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(100%)","100"))))))&lt;=89),"75",IF((((_xlfn.XLOOKUP(Assessment!H55,Inherited!A:A,Inherited!B:B))/100)*(_xlfn.XLOOKUP(Assessment!H55,Inherited!A:A,Inherited!F:F)))+(((100-(_xlfn.XLOOKUP(Assessment!H55,Inherited!A:A,Inherited!B:B)))/100)*IF(AA54="1. Non Compliant (0%)","0",IF(AA54="2. Somewhat Compliant (25%)","25",IF(AA54="3. Partially Compliant (50%)","50",IF(AA54="4. Mostly Compliant (75%)","75",IF(AA54="5. Fully Compliant (100%)","100"))))))&gt;=90,"100"))))))</f>
        <v>#N/A</v>
      </c>
      <c r="U54" s="1" t="e">
        <f>IF(MATCH(H54,Inherited!A:A),IF((((_xlfn.XLOOKUP(Assessment!H55,Inherited!A:A,Inherited!B:B))/100)*(_xlfn.XLOOKUP(Assessment!H55,Inherited!A:A,Inherited!G:G)))+(((100-(_xlfn.XLOOKUP(Assessment!H55,Inherited!A:A,Inherited!B:B)))/100)*IF(AB54="1.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(100%)","100"))))))&lt;=10,"0", IF(AND((((_xlfn.XLOOKUP(Assessment!H55,Inherited!A:A,Inherited!B:B))/100)*(_xlfn.XLOOKUP(Assessment!H55,Inherited!A:A,Inherited!G:G)))+(((100-(_xlfn.XLOOKUP(Assessment!H55,Inherited!A:A,Inherited!B:B)))/100)*IF(AB54="1.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(100%)","100"))))))&gt;=11,(((_xlfn.XLOOKUP(Assessment!H55,Inherited!A:A,Inherited!B:B))/100)*(_xlfn.XLOOKUP(Assessment!H55,Inherited!A:A,Inherited!G:G)))+(((100-(_xlfn.XLOOKUP(Assessment!H55,Inherited!A:A,Inherited!B:B)))/100)*IF(AB54="1.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(100%)","100"))))))&lt;=32),"25",IF(AND((((_xlfn.XLOOKUP(Assessment!H55,Inherited!A:A,Inherited!B:B))/100)*(_xlfn.XLOOKUP(Assessment!H55,Inherited!A:A,Inherited!G:G)))+(((100-(_xlfn.XLOOKUP(Assessment!H55,Inherited!A:A,Inherited!B:B)))/100)*IF(AB54="1.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(100%)","100"))))))&gt;=33,(((_xlfn.XLOOKUP(Assessment!H55,Inherited!A:A,Inherited!B:B))/100)*(_xlfn.XLOOKUP(Assessment!H55,Inherited!A:A,Inherited!G:G)))+(((100-(_xlfn.XLOOKUP(Assessment!H55,Inherited!A:A,Inherited!B:B)))/100)*IF(AB54="1.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(100%)","100"))))))&lt;=65),"50",IF(AND((((_xlfn.XLOOKUP(Assessment!H55,Inherited!A:A,Inherited!B:B))/100)*(_xlfn.XLOOKUP(Assessment!H55,Inherited!A:A,Inherited!G:G)))+(((100-(_xlfn.XLOOKUP(Assessment!H55,Inherited!A:A,Inherited!B:B)))/100)*IF(AB54="1.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(100%)","100"))))))&gt;=66,(((_xlfn.XLOOKUP(Assessment!H55,Inherited!A:A,Inherited!B:B))/100)*(_xlfn.XLOOKUP(Assessment!H55,Inherited!A:A,Inherited!G:G)))+(((100-(_xlfn.XLOOKUP(Assessment!H55,Inherited!A:A,Inherited!B:B)))/100)*IF(AB54="1.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(100%)","100"))))))&lt;=89),"75",IF((((_xlfn.XLOOKUP(Assessment!H55,Inherited!A:A,Inherited!B:B))/100)*(_xlfn.XLOOKUP(Assessment!H55,Inherited!A:A,Inherited!G:G)))+(((100-(_xlfn.XLOOKUP(Assessment!H55,Inherited!A:A,Inherited!B:B)))/100)*IF(AB54="1. Non Compliant (0%)","0",IF(AB54="2. Somewhat Compliant (25%)","25",IF(AB54="3. Partially Compliant (50%)","50",IF(AB54="4. Mostly Compliant (75%)","75",IF(AB54="5. Fully Compliant (100%)","100"))))))&gt;=90,"100"))))))</f>
        <v>#N/A</v>
      </c>
      <c r="V54" s="55" t="s">
        <v>85</v>
      </c>
      <c r="W54" s="55"/>
      <c r="X54" s="55"/>
      <c r="Y54" s="55"/>
      <c r="Z54" s="55" t="s">
        <v>86</v>
      </c>
      <c r="AA54" s="55"/>
      <c r="AB54" s="55"/>
      <c r="AK54" s="1" t="s">
        <v>10947</v>
      </c>
      <c r="AL54" s="1" t="s">
        <v>10958</v>
      </c>
      <c r="AM54" s="1" t="s">
        <v>11037</v>
      </c>
      <c r="AX54" s="3" t="str">
        <f>_xlfn.CONCAT("A-LIGN finished its review of this control on ",AR54, " during the scheduled fieldwork window (",Intro!$B$4,")."&amp; CHAR(10)&amp; CHAR(10))</f>
        <v xml:space="preserve">A-LIGN finished its review of this control on  during the scheduled fieldwork window (Fieldwork: xx/xx/xxxx - xx/xx/xxxx).
</v>
      </c>
      <c r="AY54" s="3" t="str">
        <f t="shared" si="81"/>
        <v/>
      </c>
      <c r="AZ54" s="3" t="str">
        <f t="shared" si="82"/>
        <v/>
      </c>
      <c r="BA54" s="3" t="str">
        <f t="shared" si="83"/>
        <v/>
      </c>
      <c r="BB54" s="3" t="str">
        <f t="shared" si="84"/>
        <v xml:space="preserve">Inquired of the following workforce member: 
Roze Nicolas - Director of TechOps
Inquiry lead to the following conclusions: 
Managed at the MDM level (Kandji &amp; Intune)
</v>
      </c>
      <c r="BC54" s="3" t="str">
        <f t="shared" si="85"/>
        <v xml:space="preserve">Observed the following live during fieldwork: 
Observed the Kandji dashboard which ensures all Mac devices are auto updated
Also observed the Intune dashboard and confirmed a global policy is configured/implemented to ensure that Windows devices are automatically updated 
Monthly patching is conducted on the Windows servers, any error reporting will hit the proper IT teams, not auto-updated but since it is scheduled those patches/updates are installed following a review.
</v>
      </c>
      <c r="BD54" s="3" t="str">
        <f t="shared" si="86"/>
        <v xml:space="preserve">Examined the following evidence during fieldwork:
Reviewed evidence addressed the requirement statement.
</v>
      </c>
      <c r="BE54" s="3" t="str">
        <f t="shared" si="87"/>
        <v/>
      </c>
      <c r="BF54" s="3" t="str">
        <f t="shared" si="88"/>
        <v/>
      </c>
      <c r="BG54" s="3" t="str">
        <f>_xlfn.CONCAT((IF((COUNTIF('Sample Tables'!B:B,"Test 045: Endpoint Device (BYOD)")&gt;0)=TRUE,_xlfn.CONCAT("Sample test results are documented in ",'Sample Tables'!B491," [",'Sample Tables'!B492,", ",'Sample Tables'!B493,", ",'Sample Tables'!B494,", ",'Sample Tables'!B495,", ",'Sample Tables'!B496,"]."&amp;CHAR(10)),IF((COUNTIF('Sample Tables'!B:B,"Test 045: Endpoint Device (BYOD)")&gt;0)=FALSE,""))),(IF((COUNTIF('Sample Tables'!B:B,"Test 050: Endpoint Device (laptop)")&gt;0)=TRUE,_xlfn.CONCAT("Sample test results are documented in ",'Sample Tables'!B546," [",'Sample Tables'!B547,", ",'Sample Tables'!B548,", ",'Sample Tables'!B549,", ",'Sample Tables'!B550,", ",'Sample Tables'!B551,"]."&amp;CHAR(10)),IF((COUNTIF('Sample Tables'!B:B,"Test 050: Endpoint Device (laptop)")&gt;0)=FALSE,""))),(IF((COUNTIF('Sample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058: Endpoint Device (workstation)")&gt;0)=TRUE,_xlfn.CONCAT("Sample test results are documented in ",'Sample Tables'!B634," [",'Sample Tables'!B635,", ",'Sample Tables'!B636,", ",'Sample Tables'!B637,", ",'Sample Tables'!B638,", ",'Sample Tables'!B639,"]."&amp;CHAR(10)),IF((COUNTIF('Sample Tables'!B:B,"Test 058: Endpoint Device (workstation)")&gt;0)=FALSE,""))),)</f>
        <v xml:space="preserve">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c r="BH54" s="3" t="str">
        <f t="shared" si="89"/>
        <v xml:space="preserve">A-LIGN finished its review of this control on  during the scheduled fieldwork window (Fieldwork: xx/xx/xxxx - xx/xx/xxxx).
Inquired of the following workforce member: 
Roze Nicolas - Director of TechOps
Inquiry lead to the following conclusions: 
Managed at the MDM level (Kandji &amp; Intune)
Observed the following live during fieldwork: 
Observed the Kandji dashboard which ensures all Mac devices are auto updated
Also observed the Intune dashboard and confirmed a global policy is configured/implemented to ensure that Windows devices are automatically updated 
Monthly patching is conducted on the Windows servers, any error reporting will hit the proper IT teams, not auto-updated but since it is scheduled those patches/updates are installed following a review.
Examined the following evidence during fieldwork:
Reviewed evidence addressed the requirement statement.
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row>
    <row r="55" spans="3:60" ht="312" customHeight="1" x14ac:dyDescent="0.35">
      <c r="C55" s="1">
        <f t="shared" si="80"/>
        <v>0</v>
      </c>
      <c r="D55" s="5" t="str">
        <f>IF(AND((_xlfn.XLOOKUP(J55,'Fields &amp; Revisions'!$H:$H,'Fields &amp; Revisions'!$I:$I))&lt;70.99,(OR(Z55="4. Mostly Compliant (75%)",Z55="3. Partially Compliant (50%)",Z55="2. Somewhat Compliant (25%)",Z55="1. Non Compliant (0%)"))),"Yes","No")</f>
        <v>Yes</v>
      </c>
      <c r="E55" s="5" t="str">
        <f>IF(ISERROR(VLOOKUP(H55,Scope!A:A,1,FALSE)),"No","Yes")</f>
        <v>Yes</v>
      </c>
      <c r="F55" s="1" t="s">
        <v>1293</v>
      </c>
      <c r="G55" s="53" t="s">
        <v>1380</v>
      </c>
      <c r="H55" s="53" t="s">
        <v>1381</v>
      </c>
      <c r="I55" s="5" t="s">
        <v>93</v>
      </c>
      <c r="J55" s="1" t="s">
        <v>1084</v>
      </c>
      <c r="K55" s="54" t="s">
        <v>1382</v>
      </c>
      <c r="L55" s="1" t="s">
        <v>1383</v>
      </c>
      <c r="M55" s="1" t="s">
        <v>1384</v>
      </c>
      <c r="N55" s="5" t="s">
        <v>98</v>
      </c>
      <c r="O55" s="1" t="str">
        <f>_xlfn.XLOOKUP(G55,SRMs!$A:$A,SRMs!$D:$D)</f>
        <v>NO INHERITANCE</v>
      </c>
      <c r="P55" s="1" t="str">
        <f>IFERROR(VLOOKUP(H55,Inherited!A:B,2,FALSE),"")</f>
        <v/>
      </c>
      <c r="Q55" s="1" t="e">
        <f>IF(MATCH(H55,Inherited!A:A),IF((((_xlfn.XLOOKUP(Assessment!H56,Inherited!A:A,Inherited!B:B))/100)*(_xlfn.XLOOKUP(Assessment!H56,Inherited!A:A,Inherited!C:C)))+(((100-(_xlfn.XLOOKUP(Assessment!H56,Inherited!A:A,Inherited!B:B)))/100)*IF(X55="1.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(100%)","100"))))))&lt;=10,"0", IF(AND((((_xlfn.XLOOKUP(Assessment!H56,Inherited!A:A,Inherited!B:B))/100)*(_xlfn.XLOOKUP(Assessment!H56,Inherited!A:A,Inherited!C:C)))+(((100-(_xlfn.XLOOKUP(Assessment!H56,Inherited!A:A,Inherited!B:B)))/100)*IF(X55="1.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(100%)","100"))))))&gt;=11,(((_xlfn.XLOOKUP(Assessment!H56,Inherited!A:A,Inherited!B:B))/100)*(_xlfn.XLOOKUP(Assessment!H56,Inherited!A:A,Inherited!C:C)))+(((100-(_xlfn.XLOOKUP(Assessment!H56,Inherited!A:A,Inherited!B:B)))/100)*IF(X55="1.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(100%)","100"))))))&lt;=32),"25",IF(AND((((_xlfn.XLOOKUP(Assessment!H56,Inherited!A:A,Inherited!B:B))/100)*(_xlfn.XLOOKUP(Assessment!H56,Inherited!A:A,Inherited!C:C)))+(((100-(_xlfn.XLOOKUP(Assessment!H56,Inherited!A:A,Inherited!B:B)))/100)*IF(X55="1.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(100%)","100"))))))&gt;=33,(((_xlfn.XLOOKUP(Assessment!H56,Inherited!A:A,Inherited!B:B))/100)*(_xlfn.XLOOKUP(Assessment!H56,Inherited!A:A,Inherited!C:C)))+(((100-(_xlfn.XLOOKUP(Assessment!H56,Inherited!A:A,Inherited!B:B)))/100)*IF(X55="1.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(100%)","100"))))))&lt;=65),"50",IF(AND((((_xlfn.XLOOKUP(Assessment!H56,Inherited!A:A,Inherited!B:B))/100)*(_xlfn.XLOOKUP(Assessment!H56,Inherited!A:A,Inherited!C:C)))+(((100-(_xlfn.XLOOKUP(Assessment!H56,Inherited!A:A,Inherited!B:B)))/100)*IF(X55="1.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(100%)","100"))))))&gt;=66,(((_xlfn.XLOOKUP(Assessment!H56,Inherited!A:A,Inherited!B:B))/100)*(_xlfn.XLOOKUP(Assessment!H56,Inherited!A:A,Inherited!C:C)))+(((100-(_xlfn.XLOOKUP(Assessment!H56,Inherited!A:A,Inherited!B:B)))/100)*IF(X55="1.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(100%)","100"))))))&lt;=89),"75",IF((((_xlfn.XLOOKUP(Assessment!H56,Inherited!A:A,Inherited!B:B))/100)*(_xlfn.XLOOKUP(Assessment!H56,Inherited!A:A,Inherited!C:C)))+(((100-(_xlfn.XLOOKUP(Assessment!H56,Inherited!A:A,Inherited!B:B)))/100)*IF(X55="1. Non Compliant (0%)","0",IF(X55="2. Somewhat Compliant (25%)","25",IF(X55="3. Partially Compliant (50%)","50",IF(X55="4. Mostly Compliant (75%)","75",IF(X55="5. Fully Compliant (100%)","100"))))))&gt;=90,"100"))))))</f>
        <v>#N/A</v>
      </c>
      <c r="R55" s="1" t="e">
        <f>IF(MATCH(H55,Inherited!A:A),IF((((_xlfn.XLOOKUP(Assessment!H56,Inherited!A:A,Inherited!B:B))/100)*(_xlfn.XLOOKUP(Assessment!H56,Inherited!A:A,Inherited!D:D)))+(((100-(_xlfn.XLOOKUP(Assessment!H56,Inherited!A:A,Inherited!B:B)))/100)*IF(Y55="1.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(100%)","100"))))))&lt;=10,"0", IF(AND((((_xlfn.XLOOKUP(Assessment!H56,Inherited!A:A,Inherited!B:B))/100)*(_xlfn.XLOOKUP(Assessment!H56,Inherited!A:A,Inherited!D:D)))+(((100-(_xlfn.XLOOKUP(Assessment!H56,Inherited!A:A,Inherited!B:B)))/100)*IF(Y55="1.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(100%)","100"))))))&gt;=11,(((_xlfn.XLOOKUP(Assessment!H56,Inherited!A:A,Inherited!B:B))/100)*(_xlfn.XLOOKUP(Assessment!H56,Inherited!A:A,Inherited!D:D)))+(((100-(_xlfn.XLOOKUP(Assessment!H56,Inherited!A:A,Inherited!B:B)))/100)*IF(Y55="1.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(100%)","100"))))))&lt;=32),"25",IF(AND((((_xlfn.XLOOKUP(Assessment!H56,Inherited!A:A,Inherited!B:B))/100)*(_xlfn.XLOOKUP(Assessment!H56,Inherited!A:A,Inherited!D:D)))+(((100-(_xlfn.XLOOKUP(Assessment!H56,Inherited!A:A,Inherited!B:B)))/100)*IF(Y55="1.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(100%)","100"))))))&gt;=33,(((_xlfn.XLOOKUP(Assessment!H56,Inherited!A:A,Inherited!B:B))/100)*(_xlfn.XLOOKUP(Assessment!H56,Inherited!A:A,Inherited!D:D)))+(((100-(_xlfn.XLOOKUP(Assessment!H56,Inherited!A:A,Inherited!B:B)))/100)*IF(Y55="1.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(100%)","100"))))))&lt;=65),"50",IF(AND((((_xlfn.XLOOKUP(Assessment!H56,Inherited!A:A,Inherited!B:B))/100)*(_xlfn.XLOOKUP(Assessment!H56,Inherited!A:A,Inherited!D:D)))+(((100-(_xlfn.XLOOKUP(Assessment!H56,Inherited!A:A,Inherited!B:B)))/100)*IF(Y55="1.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(100%)","100"))))))&gt;=66,(((_xlfn.XLOOKUP(Assessment!H56,Inherited!A:A,Inherited!B:B))/100)*(_xlfn.XLOOKUP(Assessment!H56,Inherited!A:A,Inherited!D:D)))+(((100-(_xlfn.XLOOKUP(Assessment!H56,Inherited!A:A,Inherited!B:B)))/100)*IF(Y55="1.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(100%)","100"))))))&lt;=89),"75",IF((((_xlfn.XLOOKUP(Assessment!H56,Inherited!A:A,Inherited!B:B))/100)*(_xlfn.XLOOKUP(Assessment!H56,Inherited!A:A,Inherited!D:D)))+(((100-(_xlfn.XLOOKUP(Assessment!H56,Inherited!A:A,Inherited!B:B)))/100)*IF(Y55="1. Non Compliant (0%)","0",IF(Y55="2. Somewhat Compliant (25%)","25",IF(Y55="3. Partially Compliant (50%)","50",IF(Y55="4. Mostly Compliant (75%)","75",IF(Y55="5. Fully Compliant (100%)","100"))))))&gt;=90,"100"))))))</f>
        <v>#N/A</v>
      </c>
      <c r="S55" s="1" t="e">
        <f>IF(MATCH(H55,Inherited!A:A),IF((((_xlfn.XLOOKUP(Assessment!H56,Inherited!A:A,Inherited!B:B))/100)*(_xlfn.XLOOKUP(Assessment!H56,Inherited!A:A,Inherited!E:E)))+(((100-(_xlfn.XLOOKUP(Assessment!H56,Inherited!A:A,Inherited!B:B)))/100)*IF(Z55="1.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(100%)","100"))))))&lt;=10,"0", IF(AND((((_xlfn.XLOOKUP(Assessment!H56,Inherited!A:A,Inherited!B:B))/100)*(_xlfn.XLOOKUP(Assessment!H56,Inherited!A:A,Inherited!E:E)))+(((100-(_xlfn.XLOOKUP(Assessment!H56,Inherited!A:A,Inherited!B:B)))/100)*IF(Z55="1.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(100%)","100"))))))&gt;=11,(((_xlfn.XLOOKUP(Assessment!H56,Inherited!A:A,Inherited!B:B))/100)*(_xlfn.XLOOKUP(Assessment!H56,Inherited!A:A,Inherited!E:E)))+(((100-(_xlfn.XLOOKUP(Assessment!H56,Inherited!A:A,Inherited!B:B)))/100)*IF(Z55="1.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(100%)","100"))))))&lt;=32),"25",IF(AND((((_xlfn.XLOOKUP(Assessment!H56,Inherited!A:A,Inherited!B:B))/100)*(_xlfn.XLOOKUP(Assessment!H56,Inherited!A:A,Inherited!E:E)))+(((100-(_xlfn.XLOOKUP(Assessment!H56,Inherited!A:A,Inherited!B:B)))/100)*IF(Z55="1.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(100%)","100"))))))&gt;=33,(((_xlfn.XLOOKUP(Assessment!H56,Inherited!A:A,Inherited!B:B))/100)*(_xlfn.XLOOKUP(Assessment!H56,Inherited!A:A,Inherited!E:E)))+(((100-(_xlfn.XLOOKUP(Assessment!H56,Inherited!A:A,Inherited!B:B)))/100)*IF(Z55="1.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(100%)","100"))))))&lt;=65),"50",IF(AND((((_xlfn.XLOOKUP(Assessment!H56,Inherited!A:A,Inherited!B:B))/100)*(_xlfn.XLOOKUP(Assessment!H56,Inherited!A:A,Inherited!E:E)))+(((100-(_xlfn.XLOOKUP(Assessment!H56,Inherited!A:A,Inherited!B:B)))/100)*IF(Z55="1.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(100%)","100"))))))&gt;=66,(((_xlfn.XLOOKUP(Assessment!H56,Inherited!A:A,Inherited!B:B))/100)*(_xlfn.XLOOKUP(Assessment!H56,Inherited!A:A,Inherited!E:E)))+(((100-(_xlfn.XLOOKUP(Assessment!H56,Inherited!A:A,Inherited!B:B)))/100)*IF(Z55="1.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(100%)","100"))))))&lt;=89),"75",IF((((_xlfn.XLOOKUP(Assessment!H56,Inherited!A:A,Inherited!B:B))/100)*(_xlfn.XLOOKUP(Assessment!H56,Inherited!A:A,Inherited!E:E)))+(((100-(_xlfn.XLOOKUP(Assessment!H56,Inherited!A:A,Inherited!B:B)))/100)*IF(Z55="1. Non Compliant (0%)","0",IF(Z55="2. Somewhat Compliant (25%)","25",IF(Z55="3. Partially Compliant (50%)","50",IF(Z55="4. Mostly Compliant (75%)","75",IF(Z55="5. Fully Compliant (100%)","100"))))))&gt;=90,"100"))))))</f>
        <v>#N/A</v>
      </c>
      <c r="T55" s="1" t="e">
        <f>IF(MATCH(H55,Inherited!A:A),IF((((_xlfn.XLOOKUP(Assessment!H56,Inherited!A:A,Inherited!B:B))/100)*(_xlfn.XLOOKUP(Assessment!H56,Inherited!A:A,Inherited!F:F)))+(((100-(_xlfn.XLOOKUP(Assessment!H56,Inherited!A:A,Inherited!B:B)))/100)*IF(AA55="1.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(100%)","100"))))))&lt;=10,"0", IF(AND((((_xlfn.XLOOKUP(Assessment!H56,Inherited!A:A,Inherited!B:B))/100)*(_xlfn.XLOOKUP(Assessment!H56,Inherited!A:A,Inherited!F:F)))+(((100-(_xlfn.XLOOKUP(Assessment!H56,Inherited!A:A,Inherited!B:B)))/100)*IF(AA55="1.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(100%)","100"))))))&gt;=11,(((_xlfn.XLOOKUP(Assessment!H56,Inherited!A:A,Inherited!B:B))/100)*(_xlfn.XLOOKUP(Assessment!H56,Inherited!A:A,Inherited!F:F)))+(((100-(_xlfn.XLOOKUP(Assessment!H56,Inherited!A:A,Inherited!B:B)))/100)*IF(AA55="1.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(100%)","100"))))))&lt;=32),"25",IF(AND((((_xlfn.XLOOKUP(Assessment!H56,Inherited!A:A,Inherited!B:B))/100)*(_xlfn.XLOOKUP(Assessment!H56,Inherited!A:A,Inherited!F:F)))+(((100-(_xlfn.XLOOKUP(Assessment!H56,Inherited!A:A,Inherited!B:B)))/100)*IF(AA55="1.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(100%)","100"))))))&gt;=33,(((_xlfn.XLOOKUP(Assessment!H56,Inherited!A:A,Inherited!B:B))/100)*(_xlfn.XLOOKUP(Assessment!H56,Inherited!A:A,Inherited!F:F)))+(((100-(_xlfn.XLOOKUP(Assessment!H56,Inherited!A:A,Inherited!B:B)))/100)*IF(AA55="1.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(100%)","100"))))))&lt;=65),"50",IF(AND((((_xlfn.XLOOKUP(Assessment!H56,Inherited!A:A,Inherited!B:B))/100)*(_xlfn.XLOOKUP(Assessment!H56,Inherited!A:A,Inherited!F:F)))+(((100-(_xlfn.XLOOKUP(Assessment!H56,Inherited!A:A,Inherited!B:B)))/100)*IF(AA55="1.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(100%)","100"))))))&gt;=66,(((_xlfn.XLOOKUP(Assessment!H56,Inherited!A:A,Inherited!B:B))/100)*(_xlfn.XLOOKUP(Assessment!H56,Inherited!A:A,Inherited!F:F)))+(((100-(_xlfn.XLOOKUP(Assessment!H56,Inherited!A:A,Inherited!B:B)))/100)*IF(AA55="1.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(100%)","100"))))))&lt;=89),"75",IF((((_xlfn.XLOOKUP(Assessment!H56,Inherited!A:A,Inherited!B:B))/100)*(_xlfn.XLOOKUP(Assessment!H56,Inherited!A:A,Inherited!F:F)))+(((100-(_xlfn.XLOOKUP(Assessment!H56,Inherited!A:A,Inherited!B:B)))/100)*IF(AA55="1. Non Compliant (0%)","0",IF(AA55="2. Somewhat Compliant (25%)","25",IF(AA55="3. Partially Compliant (50%)","50",IF(AA55="4. Mostly Compliant (75%)","75",IF(AA55="5. Fully Compliant (100%)","100"))))))&gt;=90,"100"))))))</f>
        <v>#N/A</v>
      </c>
      <c r="U55" s="1" t="e">
        <f>IF(MATCH(H55,Inherited!A:A),IF((((_xlfn.XLOOKUP(Assessment!H56,Inherited!A:A,Inherited!B:B))/100)*(_xlfn.XLOOKUP(Assessment!H56,Inherited!A:A,Inherited!G:G)))+(((100-(_xlfn.XLOOKUP(Assessment!H56,Inherited!A:A,Inherited!B:B)))/100)*IF(AB55="1.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(100%)","100"))))))&lt;=10,"0", IF(AND((((_xlfn.XLOOKUP(Assessment!H56,Inherited!A:A,Inherited!B:B))/100)*(_xlfn.XLOOKUP(Assessment!H56,Inherited!A:A,Inherited!G:G)))+(((100-(_xlfn.XLOOKUP(Assessment!H56,Inherited!A:A,Inherited!B:B)))/100)*IF(AB55="1.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(100%)","100"))))))&gt;=11,(((_xlfn.XLOOKUP(Assessment!H56,Inherited!A:A,Inherited!B:B))/100)*(_xlfn.XLOOKUP(Assessment!H56,Inherited!A:A,Inherited!G:G)))+(((100-(_xlfn.XLOOKUP(Assessment!H56,Inherited!A:A,Inherited!B:B)))/100)*IF(AB55="1.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(100%)","100"))))))&lt;=32),"25",IF(AND((((_xlfn.XLOOKUP(Assessment!H56,Inherited!A:A,Inherited!B:B))/100)*(_xlfn.XLOOKUP(Assessment!H56,Inherited!A:A,Inherited!G:G)))+(((100-(_xlfn.XLOOKUP(Assessment!H56,Inherited!A:A,Inherited!B:B)))/100)*IF(AB55="1.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(100%)","100"))))))&gt;=33,(((_xlfn.XLOOKUP(Assessment!H56,Inherited!A:A,Inherited!B:B))/100)*(_xlfn.XLOOKUP(Assessment!H56,Inherited!A:A,Inherited!G:G)))+(((100-(_xlfn.XLOOKUP(Assessment!H56,Inherited!A:A,Inherited!B:B)))/100)*IF(AB55="1.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(100%)","100"))))))&lt;=65),"50",IF(AND((((_xlfn.XLOOKUP(Assessment!H56,Inherited!A:A,Inherited!B:B))/100)*(_xlfn.XLOOKUP(Assessment!H56,Inherited!A:A,Inherited!G:G)))+(((100-(_xlfn.XLOOKUP(Assessment!H56,Inherited!A:A,Inherited!B:B)))/100)*IF(AB55="1.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(100%)","100"))))))&gt;=66,(((_xlfn.XLOOKUP(Assessment!H56,Inherited!A:A,Inherited!B:B))/100)*(_xlfn.XLOOKUP(Assessment!H56,Inherited!A:A,Inherited!G:G)))+(((100-(_xlfn.XLOOKUP(Assessment!H56,Inherited!A:A,Inherited!B:B)))/100)*IF(AB55="1.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(100%)","100"))))))&lt;=89),"75",IF((((_xlfn.XLOOKUP(Assessment!H56,Inherited!A:A,Inherited!B:B))/100)*(_xlfn.XLOOKUP(Assessment!H56,Inherited!A:A,Inherited!G:G)))+(((100-(_xlfn.XLOOKUP(Assessment!H56,Inherited!A:A,Inherited!B:B)))/100)*IF(AB55="1. Non Compliant (0%)","0",IF(AB55="2. Somewhat Compliant (25%)","25",IF(AB55="3. Partially Compliant (50%)","50",IF(AB55="4. Mostly Compliant (75%)","75",IF(AB55="5. Fully Compliant (100%)","100"))))))&gt;=90,"100"))))))</f>
        <v>#N/A</v>
      </c>
      <c r="V55" s="55" t="s">
        <v>85</v>
      </c>
      <c r="W55" s="55"/>
      <c r="X55" s="55"/>
      <c r="Y55" s="55"/>
      <c r="Z55" s="55" t="s">
        <v>10873</v>
      </c>
      <c r="AA55" s="55"/>
      <c r="AB55" s="55"/>
      <c r="AK55" s="1" t="s">
        <v>10978</v>
      </c>
      <c r="AL55" s="1" t="s">
        <v>10988</v>
      </c>
      <c r="AP55" s="1" t="s">
        <v>11071</v>
      </c>
      <c r="AX55" s="3" t="str">
        <f>_xlfn.CONCAT("A-LIGN finished its review of this control on ",AR55, " during the scheduled fieldwork window (",Intro!$B$4,")."&amp; CHAR(10)&amp; CHAR(10))</f>
        <v xml:space="preserve">A-LIGN finished its review of this control on  during the scheduled fieldwork window (Fieldwork: xx/xx/xxxx - xx/xx/xxxx).
</v>
      </c>
      <c r="AY55" s="3" t="str">
        <f t="shared" si="81"/>
        <v/>
      </c>
      <c r="AZ55" s="3" t="str">
        <f t="shared" si="82"/>
        <v/>
      </c>
      <c r="BA55" s="3" t="str">
        <f t="shared" si="83"/>
        <v/>
      </c>
      <c r="BB55" s="3" t="str">
        <f t="shared" si="8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55" s="3" t="str">
        <f t="shared" si="85"/>
        <v/>
      </c>
      <c r="BD55" s="3" t="str">
        <f t="shared" si="86"/>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cryptographic hashes and/or digital signatures are checked for: downloaded artificial intelligence models
- cryptographic hashes and/or digital signatures are checked for: downloaded artificial intelligence software packages
- cryptographic hashes and/or digital signatures are checked for: downloaded artificial intelligence datasets
- cryptographic hashes and/or digital signatures are checked for: downloaded artificial intelligence language model tools
</v>
      </c>
      <c r="BE55" s="3" t="str">
        <f t="shared" si="87"/>
        <v/>
      </c>
      <c r="BF55" s="3" t="str">
        <f t="shared" si="88"/>
        <v/>
      </c>
      <c r="BG55" s="3" t="str">
        <f>_xlfn.CONCAT((IF((COUNTIF('Sample Tables'!B:B,"")&gt;0)=TRUE,_xlfn.CONCAT("",""),IF((COUNTIF('Sample Tables'!B:B,"")&gt;0)=FALSE,""))),)</f>
        <v/>
      </c>
      <c r="BH55"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cryptographic hashes and/or digital signatures are checked for: downloaded artificial intelligence models
- cryptographic hashes and/or digital signatures are checked for: downloaded artificial intelligence software packages
- cryptographic hashes and/or digital signatures are checked for: downloaded artificial intelligence datasets
- cryptographic hashes and/or digital signatures are checked for: downloaded artificial intelligence language model tools
</v>
      </c>
    </row>
    <row r="56" spans="3:60" ht="409.5" x14ac:dyDescent="0.35">
      <c r="C56" s="1">
        <f t="shared" si="80"/>
        <v>0</v>
      </c>
      <c r="D56" s="5" t="str">
        <f>IF(AND((_xlfn.XLOOKUP(J56,'Fields &amp; Revisions'!$H:$H,'Fields &amp; Revisions'!$I:$I))&lt;70.99,(OR(Z56="4. Mostly Compliant (75%)",Z56="3. Partially Compliant (50%)",Z56="2. Somewhat Compliant (25%)",Z56="1. Non Compliant (0%)"))),"Yes","No")</f>
        <v>Yes</v>
      </c>
      <c r="E56" s="5" t="str">
        <f>IF(ISERROR(VLOOKUP(H56,Scope!A:A,1,FALSE)),"No","Yes")</f>
        <v>Yes</v>
      </c>
      <c r="F56" s="1" t="s">
        <v>1293</v>
      </c>
      <c r="G56" s="53" t="s">
        <v>1385</v>
      </c>
      <c r="H56" s="53" t="s">
        <v>1386</v>
      </c>
      <c r="I56" s="5" t="s">
        <v>93</v>
      </c>
      <c r="J56" s="1" t="s">
        <v>1084</v>
      </c>
      <c r="K56" s="54" t="s">
        <v>1387</v>
      </c>
      <c r="L56" s="1" t="s">
        <v>1388</v>
      </c>
      <c r="M56" s="1" t="s">
        <v>1389</v>
      </c>
      <c r="N56" s="5" t="s">
        <v>98</v>
      </c>
      <c r="O56" s="1" t="str">
        <f>_xlfn.XLOOKUP(G56,SRMs!$A:$A,SRMs!$D:$D)</f>
        <v>NO INHERITANCE</v>
      </c>
      <c r="P56" s="1" t="str">
        <f>IFERROR(VLOOKUP(H56,Inherited!A:B,2,FALSE),"")</f>
        <v/>
      </c>
      <c r="Q56" s="1" t="e">
        <f>IF(MATCH(H56,Inherited!A:A),IF((((_xlfn.XLOOKUP(Assessment!H57,Inherited!A:A,Inherited!B:B))/100)*(_xlfn.XLOOKUP(Assessment!H57,Inherited!A:A,Inherited!C:C)))+(((100-(_xlfn.XLOOKUP(Assessment!H57,Inherited!A:A,Inherited!B:B)))/100)*IF(X56="1.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(100%)","100"))))))&lt;=10,"0", IF(AND((((_xlfn.XLOOKUP(Assessment!H57,Inherited!A:A,Inherited!B:B))/100)*(_xlfn.XLOOKUP(Assessment!H57,Inherited!A:A,Inherited!C:C)))+(((100-(_xlfn.XLOOKUP(Assessment!H57,Inherited!A:A,Inherited!B:B)))/100)*IF(X56="1.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(100%)","100"))))))&gt;=11,(((_xlfn.XLOOKUP(Assessment!H57,Inherited!A:A,Inherited!B:B))/100)*(_xlfn.XLOOKUP(Assessment!H57,Inherited!A:A,Inherited!C:C)))+(((100-(_xlfn.XLOOKUP(Assessment!H57,Inherited!A:A,Inherited!B:B)))/100)*IF(X56="1.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(100%)","100"))))))&lt;=32),"25",IF(AND((((_xlfn.XLOOKUP(Assessment!H57,Inherited!A:A,Inherited!B:B))/100)*(_xlfn.XLOOKUP(Assessment!H57,Inherited!A:A,Inherited!C:C)))+(((100-(_xlfn.XLOOKUP(Assessment!H57,Inherited!A:A,Inherited!B:B)))/100)*IF(X56="1.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(100%)","100"))))))&gt;=33,(((_xlfn.XLOOKUP(Assessment!H57,Inherited!A:A,Inherited!B:B))/100)*(_xlfn.XLOOKUP(Assessment!H57,Inherited!A:A,Inherited!C:C)))+(((100-(_xlfn.XLOOKUP(Assessment!H57,Inherited!A:A,Inherited!B:B)))/100)*IF(X56="1.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(100%)","100"))))))&lt;=65),"50",IF(AND((((_xlfn.XLOOKUP(Assessment!H57,Inherited!A:A,Inherited!B:B))/100)*(_xlfn.XLOOKUP(Assessment!H57,Inherited!A:A,Inherited!C:C)))+(((100-(_xlfn.XLOOKUP(Assessment!H57,Inherited!A:A,Inherited!B:B)))/100)*IF(X56="1.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(100%)","100"))))))&gt;=66,(((_xlfn.XLOOKUP(Assessment!H57,Inherited!A:A,Inherited!B:B))/100)*(_xlfn.XLOOKUP(Assessment!H57,Inherited!A:A,Inherited!C:C)))+(((100-(_xlfn.XLOOKUP(Assessment!H57,Inherited!A:A,Inherited!B:B)))/100)*IF(X56="1.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(100%)","100"))))))&lt;=89),"75",IF((((_xlfn.XLOOKUP(Assessment!H57,Inherited!A:A,Inherited!B:B))/100)*(_xlfn.XLOOKUP(Assessment!H57,Inherited!A:A,Inherited!C:C)))+(((100-(_xlfn.XLOOKUP(Assessment!H57,Inherited!A:A,Inherited!B:B)))/100)*IF(X56="1. Non Compliant (0%)","0",IF(X56="2. Somewhat Compliant (25%)","25",IF(X56="3. Partially Compliant (50%)","50",IF(X56="4. Mostly Compliant (75%)","75",IF(X56="5. Fully Compliant (100%)","100"))))))&gt;=90,"100"))))))</f>
        <v>#N/A</v>
      </c>
      <c r="R56" s="1" t="e">
        <f>IF(MATCH(H56,Inherited!A:A),IF((((_xlfn.XLOOKUP(Assessment!H57,Inherited!A:A,Inherited!B:B))/100)*(_xlfn.XLOOKUP(Assessment!H57,Inherited!A:A,Inherited!D:D)))+(((100-(_xlfn.XLOOKUP(Assessment!H57,Inherited!A:A,Inherited!B:B)))/100)*IF(Y56="1.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(100%)","100"))))))&lt;=10,"0", IF(AND((((_xlfn.XLOOKUP(Assessment!H57,Inherited!A:A,Inherited!B:B))/100)*(_xlfn.XLOOKUP(Assessment!H57,Inherited!A:A,Inherited!D:D)))+(((100-(_xlfn.XLOOKUP(Assessment!H57,Inherited!A:A,Inherited!B:B)))/100)*IF(Y56="1.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(100%)","100"))))))&gt;=11,(((_xlfn.XLOOKUP(Assessment!H57,Inherited!A:A,Inherited!B:B))/100)*(_xlfn.XLOOKUP(Assessment!H57,Inherited!A:A,Inherited!D:D)))+(((100-(_xlfn.XLOOKUP(Assessment!H57,Inherited!A:A,Inherited!B:B)))/100)*IF(Y56="1.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(100%)","100"))))))&lt;=32),"25",IF(AND((((_xlfn.XLOOKUP(Assessment!H57,Inherited!A:A,Inherited!B:B))/100)*(_xlfn.XLOOKUP(Assessment!H57,Inherited!A:A,Inherited!D:D)))+(((100-(_xlfn.XLOOKUP(Assessment!H57,Inherited!A:A,Inherited!B:B)))/100)*IF(Y56="1.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(100%)","100"))))))&gt;=33,(((_xlfn.XLOOKUP(Assessment!H57,Inherited!A:A,Inherited!B:B))/100)*(_xlfn.XLOOKUP(Assessment!H57,Inherited!A:A,Inherited!D:D)))+(((100-(_xlfn.XLOOKUP(Assessment!H57,Inherited!A:A,Inherited!B:B)))/100)*IF(Y56="1.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(100%)","100"))))))&lt;=65),"50",IF(AND((((_xlfn.XLOOKUP(Assessment!H57,Inherited!A:A,Inherited!B:B))/100)*(_xlfn.XLOOKUP(Assessment!H57,Inherited!A:A,Inherited!D:D)))+(((100-(_xlfn.XLOOKUP(Assessment!H57,Inherited!A:A,Inherited!B:B)))/100)*IF(Y56="1.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(100%)","100"))))))&gt;=66,(((_xlfn.XLOOKUP(Assessment!H57,Inherited!A:A,Inherited!B:B))/100)*(_xlfn.XLOOKUP(Assessment!H57,Inherited!A:A,Inherited!D:D)))+(((100-(_xlfn.XLOOKUP(Assessment!H57,Inherited!A:A,Inherited!B:B)))/100)*IF(Y56="1.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(100%)","100"))))))&lt;=89),"75",IF((((_xlfn.XLOOKUP(Assessment!H57,Inherited!A:A,Inherited!B:B))/100)*(_xlfn.XLOOKUP(Assessment!H57,Inherited!A:A,Inherited!D:D)))+(((100-(_xlfn.XLOOKUP(Assessment!H57,Inherited!A:A,Inherited!B:B)))/100)*IF(Y56="1. Non Compliant (0%)","0",IF(Y56="2. Somewhat Compliant (25%)","25",IF(Y56="3. Partially Compliant (50%)","50",IF(Y56="4. Mostly Compliant (75%)","75",IF(Y56="5. Fully Compliant (100%)","100"))))))&gt;=90,"100"))))))</f>
        <v>#N/A</v>
      </c>
      <c r="S56" s="1" t="e">
        <f>IF(MATCH(H56,Inherited!A:A),IF((((_xlfn.XLOOKUP(Assessment!H57,Inherited!A:A,Inherited!B:B))/100)*(_xlfn.XLOOKUP(Assessment!H57,Inherited!A:A,Inherited!E:E)))+(((100-(_xlfn.XLOOKUP(Assessment!H57,Inherited!A:A,Inherited!B:B)))/100)*IF(Z56="1.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(100%)","100"))))))&lt;=10,"0", IF(AND((((_xlfn.XLOOKUP(Assessment!H57,Inherited!A:A,Inherited!B:B))/100)*(_xlfn.XLOOKUP(Assessment!H57,Inherited!A:A,Inherited!E:E)))+(((100-(_xlfn.XLOOKUP(Assessment!H57,Inherited!A:A,Inherited!B:B)))/100)*IF(Z56="1.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(100%)","100"))))))&gt;=11,(((_xlfn.XLOOKUP(Assessment!H57,Inherited!A:A,Inherited!B:B))/100)*(_xlfn.XLOOKUP(Assessment!H57,Inherited!A:A,Inherited!E:E)))+(((100-(_xlfn.XLOOKUP(Assessment!H57,Inherited!A:A,Inherited!B:B)))/100)*IF(Z56="1.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(100%)","100"))))))&lt;=32),"25",IF(AND((((_xlfn.XLOOKUP(Assessment!H57,Inherited!A:A,Inherited!B:B))/100)*(_xlfn.XLOOKUP(Assessment!H57,Inherited!A:A,Inherited!E:E)))+(((100-(_xlfn.XLOOKUP(Assessment!H57,Inherited!A:A,Inherited!B:B)))/100)*IF(Z56="1.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(100%)","100"))))))&gt;=33,(((_xlfn.XLOOKUP(Assessment!H57,Inherited!A:A,Inherited!B:B))/100)*(_xlfn.XLOOKUP(Assessment!H57,Inherited!A:A,Inherited!E:E)))+(((100-(_xlfn.XLOOKUP(Assessment!H57,Inherited!A:A,Inherited!B:B)))/100)*IF(Z56="1.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(100%)","100"))))))&lt;=65),"50",IF(AND((((_xlfn.XLOOKUP(Assessment!H57,Inherited!A:A,Inherited!B:B))/100)*(_xlfn.XLOOKUP(Assessment!H57,Inherited!A:A,Inherited!E:E)))+(((100-(_xlfn.XLOOKUP(Assessment!H57,Inherited!A:A,Inherited!B:B)))/100)*IF(Z56="1.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(100%)","100"))))))&gt;=66,(((_xlfn.XLOOKUP(Assessment!H57,Inherited!A:A,Inherited!B:B))/100)*(_xlfn.XLOOKUP(Assessment!H57,Inherited!A:A,Inherited!E:E)))+(((100-(_xlfn.XLOOKUP(Assessment!H57,Inherited!A:A,Inherited!B:B)))/100)*IF(Z56="1.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(100%)","100"))))))&lt;=89),"75",IF((((_xlfn.XLOOKUP(Assessment!H57,Inherited!A:A,Inherited!B:B))/100)*(_xlfn.XLOOKUP(Assessment!H57,Inherited!A:A,Inherited!E:E)))+(((100-(_xlfn.XLOOKUP(Assessment!H57,Inherited!A:A,Inherited!B:B)))/100)*IF(Z56="1. Non Compliant (0%)","0",IF(Z56="2. Somewhat Compliant (25%)","25",IF(Z56="3. Partially Compliant (50%)","50",IF(Z56="4. Mostly Compliant (75%)","75",IF(Z56="5. Fully Compliant (100%)","100"))))))&gt;=90,"100"))))))</f>
        <v>#N/A</v>
      </c>
      <c r="T56" s="1" t="e">
        <f>IF(MATCH(H56,Inherited!A:A),IF((((_xlfn.XLOOKUP(Assessment!H57,Inherited!A:A,Inherited!B:B))/100)*(_xlfn.XLOOKUP(Assessment!H57,Inherited!A:A,Inherited!F:F)))+(((100-(_xlfn.XLOOKUP(Assessment!H57,Inherited!A:A,Inherited!B:B)))/100)*IF(AA56="1.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(100%)","100"))))))&lt;=10,"0", IF(AND((((_xlfn.XLOOKUP(Assessment!H57,Inherited!A:A,Inherited!B:B))/100)*(_xlfn.XLOOKUP(Assessment!H57,Inherited!A:A,Inherited!F:F)))+(((100-(_xlfn.XLOOKUP(Assessment!H57,Inherited!A:A,Inherited!B:B)))/100)*IF(AA56="1.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(100%)","100"))))))&gt;=11,(((_xlfn.XLOOKUP(Assessment!H57,Inherited!A:A,Inherited!B:B))/100)*(_xlfn.XLOOKUP(Assessment!H57,Inherited!A:A,Inherited!F:F)))+(((100-(_xlfn.XLOOKUP(Assessment!H57,Inherited!A:A,Inherited!B:B)))/100)*IF(AA56="1.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(100%)","100"))))))&lt;=32),"25",IF(AND((((_xlfn.XLOOKUP(Assessment!H57,Inherited!A:A,Inherited!B:B))/100)*(_xlfn.XLOOKUP(Assessment!H57,Inherited!A:A,Inherited!F:F)))+(((100-(_xlfn.XLOOKUP(Assessment!H57,Inherited!A:A,Inherited!B:B)))/100)*IF(AA56="1.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(100%)","100"))))))&gt;=33,(((_xlfn.XLOOKUP(Assessment!H57,Inherited!A:A,Inherited!B:B))/100)*(_xlfn.XLOOKUP(Assessment!H57,Inherited!A:A,Inherited!F:F)))+(((100-(_xlfn.XLOOKUP(Assessment!H57,Inherited!A:A,Inherited!B:B)))/100)*IF(AA56="1.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(100%)","100"))))))&lt;=65),"50",IF(AND((((_xlfn.XLOOKUP(Assessment!H57,Inherited!A:A,Inherited!B:B))/100)*(_xlfn.XLOOKUP(Assessment!H57,Inherited!A:A,Inherited!F:F)))+(((100-(_xlfn.XLOOKUP(Assessment!H57,Inherited!A:A,Inherited!B:B)))/100)*IF(AA56="1.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(100%)","100"))))))&gt;=66,(((_xlfn.XLOOKUP(Assessment!H57,Inherited!A:A,Inherited!B:B))/100)*(_xlfn.XLOOKUP(Assessment!H57,Inherited!A:A,Inherited!F:F)))+(((100-(_xlfn.XLOOKUP(Assessment!H57,Inherited!A:A,Inherited!B:B)))/100)*IF(AA56="1.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(100%)","100"))))))&lt;=89),"75",IF((((_xlfn.XLOOKUP(Assessment!H57,Inherited!A:A,Inherited!B:B))/100)*(_xlfn.XLOOKUP(Assessment!H57,Inherited!A:A,Inherited!F:F)))+(((100-(_xlfn.XLOOKUP(Assessment!H57,Inherited!A:A,Inherited!B:B)))/100)*IF(AA56="1. Non Compliant (0%)","0",IF(AA56="2. Somewhat Compliant (25%)","25",IF(AA56="3. Partially Compliant (50%)","50",IF(AA56="4. Mostly Compliant (75%)","75",IF(AA56="5. Fully Compliant (100%)","100"))))))&gt;=90,"100"))))))</f>
        <v>#N/A</v>
      </c>
      <c r="U56" s="1" t="e">
        <f>IF(MATCH(H56,Inherited!A:A),IF((((_xlfn.XLOOKUP(Assessment!H57,Inherited!A:A,Inherited!B:B))/100)*(_xlfn.XLOOKUP(Assessment!H57,Inherited!A:A,Inherited!G:G)))+(((100-(_xlfn.XLOOKUP(Assessment!H57,Inherited!A:A,Inherited!B:B)))/100)*IF(AB56="1.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(100%)","100"))))))&lt;=10,"0", IF(AND((((_xlfn.XLOOKUP(Assessment!H57,Inherited!A:A,Inherited!B:B))/100)*(_xlfn.XLOOKUP(Assessment!H57,Inherited!A:A,Inherited!G:G)))+(((100-(_xlfn.XLOOKUP(Assessment!H57,Inherited!A:A,Inherited!B:B)))/100)*IF(AB56="1.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(100%)","100"))))))&gt;=11,(((_xlfn.XLOOKUP(Assessment!H57,Inherited!A:A,Inherited!B:B))/100)*(_xlfn.XLOOKUP(Assessment!H57,Inherited!A:A,Inherited!G:G)))+(((100-(_xlfn.XLOOKUP(Assessment!H57,Inherited!A:A,Inherited!B:B)))/100)*IF(AB56="1.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(100%)","100"))))))&lt;=32),"25",IF(AND((((_xlfn.XLOOKUP(Assessment!H57,Inherited!A:A,Inherited!B:B))/100)*(_xlfn.XLOOKUP(Assessment!H57,Inherited!A:A,Inherited!G:G)))+(((100-(_xlfn.XLOOKUP(Assessment!H57,Inherited!A:A,Inherited!B:B)))/100)*IF(AB56="1.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(100%)","100"))))))&gt;=33,(((_xlfn.XLOOKUP(Assessment!H57,Inherited!A:A,Inherited!B:B))/100)*(_xlfn.XLOOKUP(Assessment!H57,Inherited!A:A,Inherited!G:G)))+(((100-(_xlfn.XLOOKUP(Assessment!H57,Inherited!A:A,Inherited!B:B)))/100)*IF(AB56="1.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(100%)","100"))))))&lt;=65),"50",IF(AND((((_xlfn.XLOOKUP(Assessment!H57,Inherited!A:A,Inherited!B:B))/100)*(_xlfn.XLOOKUP(Assessment!H57,Inherited!A:A,Inherited!G:G)))+(((100-(_xlfn.XLOOKUP(Assessment!H57,Inherited!A:A,Inherited!B:B)))/100)*IF(AB56="1.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(100%)","100"))))))&gt;=66,(((_xlfn.XLOOKUP(Assessment!H57,Inherited!A:A,Inherited!B:B))/100)*(_xlfn.XLOOKUP(Assessment!H57,Inherited!A:A,Inherited!G:G)))+(((100-(_xlfn.XLOOKUP(Assessment!H57,Inherited!A:A,Inherited!B:B)))/100)*IF(AB56="1.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(100%)","100"))))))&lt;=89),"75",IF((((_xlfn.XLOOKUP(Assessment!H57,Inherited!A:A,Inherited!B:B))/100)*(_xlfn.XLOOKUP(Assessment!H57,Inherited!A:A,Inherited!G:G)))+(((100-(_xlfn.XLOOKUP(Assessment!H57,Inherited!A:A,Inherited!B:B)))/100)*IF(AB56="1. Non Compliant (0%)","0",IF(AB56="2. Somewhat Compliant (25%)","25",IF(AB56="3. Partially Compliant (50%)","50",IF(AB56="4. Mostly Compliant (75%)","75",IF(AB56="5. Fully Compliant (100%)","100"))))))&gt;=90,"100"))))))</f>
        <v>#N/A</v>
      </c>
      <c r="V56" s="55" t="s">
        <v>85</v>
      </c>
      <c r="W56" s="55"/>
      <c r="X56" s="55"/>
      <c r="Y56" s="55"/>
      <c r="Z56" s="55" t="s">
        <v>10873</v>
      </c>
      <c r="AA56" s="55"/>
      <c r="AB56" s="55"/>
      <c r="AK56" s="1" t="s">
        <v>10978</v>
      </c>
      <c r="AL56" s="1" t="s">
        <v>10988</v>
      </c>
      <c r="AP56" s="1" t="s">
        <v>11072</v>
      </c>
      <c r="AX56" s="3" t="str">
        <f>_xlfn.CONCAT("A-LIGN finished its review of this control on ",AR56, " during the scheduled fieldwork window (",Intro!$B$4,")."&amp; CHAR(10)&amp; CHAR(10))</f>
        <v xml:space="preserve">A-LIGN finished its review of this control on  during the scheduled fieldwork window (Fieldwork: xx/xx/xxxx - xx/xx/xxxx).
</v>
      </c>
      <c r="AY56" s="3" t="str">
        <f t="shared" si="81"/>
        <v/>
      </c>
      <c r="AZ56" s="3" t="str">
        <f t="shared" si="82"/>
        <v/>
      </c>
      <c r="BA56" s="3" t="str">
        <f t="shared" si="83"/>
        <v/>
      </c>
      <c r="BB56" s="3" t="str">
        <f t="shared" si="8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56" s="3" t="str">
        <f t="shared" si="85"/>
        <v/>
      </c>
      <c r="BD56" s="3" t="str">
        <f t="shared" si="86"/>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precision and specificity of outputs configured to limit adversary's ability to extract information from model
</v>
      </c>
      <c r="BE56" s="3" t="str">
        <f t="shared" si="87"/>
        <v/>
      </c>
      <c r="BF56" s="3" t="str">
        <f t="shared" si="88"/>
        <v/>
      </c>
      <c r="BG56" s="3" t="str">
        <f>_xlfn.CONCAT((IF((COUNTIF('Sample Tables'!B:B,"")&gt;0)=TRUE,_xlfn.CONCAT("",""),IF((COUNTIF('Sample Tables'!B:B,"")&gt;0)=FALSE,""))),)</f>
        <v/>
      </c>
      <c r="BH56"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precision and specificity of outputs configured to limit adversary's ability to extract information from model
</v>
      </c>
    </row>
    <row r="57" spans="3:60" ht="409.5" x14ac:dyDescent="0.35">
      <c r="C57" s="1">
        <f t="shared" si="80"/>
        <v>0</v>
      </c>
      <c r="D57" s="5" t="str">
        <f>IF(AND((_xlfn.XLOOKUP(J57,'Fields &amp; Revisions'!$H:$H,'Fields &amp; Revisions'!$I:$I))&lt;70.99,(OR(Z57="4. Mostly Compliant (75%)",Z57="3. Partially Compliant (50%)",Z57="2. Somewhat Compliant (25%)",Z57="1. Non Compliant (0%)"))),"Yes","No")</f>
        <v>Yes</v>
      </c>
      <c r="E57" s="5" t="str">
        <f>IF(ISERROR(VLOOKUP(H57,Scope!A:A,1,FALSE)),"No","Yes")</f>
        <v>Yes</v>
      </c>
      <c r="F57" s="1" t="s">
        <v>1293</v>
      </c>
      <c r="G57" s="53" t="s">
        <v>1390</v>
      </c>
      <c r="H57" s="53" t="s">
        <v>1391</v>
      </c>
      <c r="I57" s="5" t="s">
        <v>93</v>
      </c>
      <c r="J57" s="1" t="s">
        <v>1084</v>
      </c>
      <c r="K57" s="54" t="s">
        <v>1392</v>
      </c>
      <c r="L57" s="1" t="s">
        <v>1393</v>
      </c>
      <c r="M57" s="1" t="s">
        <v>1394</v>
      </c>
      <c r="N57" s="5" t="s">
        <v>98</v>
      </c>
      <c r="O57" s="1" t="str">
        <f>_xlfn.XLOOKUP(G57,SRMs!$A:$A,SRMs!$D:$D)</f>
        <v>NO INHERITANCE</v>
      </c>
      <c r="P57" s="1" t="str">
        <f>IFERROR(VLOOKUP(H57,Inherited!A:B,2,FALSE),"")</f>
        <v/>
      </c>
      <c r="Q57" s="1" t="e">
        <f>IF(MATCH(H57,Inherited!A:A),IF((((_xlfn.XLOOKUP(Assessment!H58,Inherited!A:A,Inherited!B:B))/100)*(_xlfn.XLOOKUP(Assessment!H58,Inherited!A:A,Inherited!C:C)))+(((100-(_xlfn.XLOOKUP(Assessment!H58,Inherited!A:A,Inherited!B:B)))/100)*IF(X57="1.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(100%)","100"))))))&lt;=10,"0", IF(AND((((_xlfn.XLOOKUP(Assessment!H58,Inherited!A:A,Inherited!B:B))/100)*(_xlfn.XLOOKUP(Assessment!H58,Inherited!A:A,Inherited!C:C)))+(((100-(_xlfn.XLOOKUP(Assessment!H58,Inherited!A:A,Inherited!B:B)))/100)*IF(X57="1.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(100%)","100"))))))&gt;=11,(((_xlfn.XLOOKUP(Assessment!H58,Inherited!A:A,Inherited!B:B))/100)*(_xlfn.XLOOKUP(Assessment!H58,Inherited!A:A,Inherited!C:C)))+(((100-(_xlfn.XLOOKUP(Assessment!H58,Inherited!A:A,Inherited!B:B)))/100)*IF(X57="1.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(100%)","100"))))))&lt;=32),"25",IF(AND((((_xlfn.XLOOKUP(Assessment!H58,Inherited!A:A,Inherited!B:B))/100)*(_xlfn.XLOOKUP(Assessment!H58,Inherited!A:A,Inherited!C:C)))+(((100-(_xlfn.XLOOKUP(Assessment!H58,Inherited!A:A,Inherited!B:B)))/100)*IF(X57="1.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(100%)","100"))))))&gt;=33,(((_xlfn.XLOOKUP(Assessment!H58,Inherited!A:A,Inherited!B:B))/100)*(_xlfn.XLOOKUP(Assessment!H58,Inherited!A:A,Inherited!C:C)))+(((100-(_xlfn.XLOOKUP(Assessment!H58,Inherited!A:A,Inherited!B:B)))/100)*IF(X57="1.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(100%)","100"))))))&lt;=65),"50",IF(AND((((_xlfn.XLOOKUP(Assessment!H58,Inherited!A:A,Inherited!B:B))/100)*(_xlfn.XLOOKUP(Assessment!H58,Inherited!A:A,Inherited!C:C)))+(((100-(_xlfn.XLOOKUP(Assessment!H58,Inherited!A:A,Inherited!B:B)))/100)*IF(X57="1.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(100%)","100"))))))&gt;=66,(((_xlfn.XLOOKUP(Assessment!H58,Inherited!A:A,Inherited!B:B))/100)*(_xlfn.XLOOKUP(Assessment!H58,Inherited!A:A,Inherited!C:C)))+(((100-(_xlfn.XLOOKUP(Assessment!H58,Inherited!A:A,Inherited!B:B)))/100)*IF(X57="1.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(100%)","100"))))))&lt;=89),"75",IF((((_xlfn.XLOOKUP(Assessment!H58,Inherited!A:A,Inherited!B:B))/100)*(_xlfn.XLOOKUP(Assessment!H58,Inherited!A:A,Inherited!C:C)))+(((100-(_xlfn.XLOOKUP(Assessment!H58,Inherited!A:A,Inherited!B:B)))/100)*IF(X57="1. Non Compliant (0%)","0",IF(X57="2. Somewhat Compliant (25%)","25",IF(X57="3. Partially Compliant (50%)","50",IF(X57="4. Mostly Compliant (75%)","75",IF(X57="5. Fully Compliant (100%)","100"))))))&gt;=90,"100"))))))</f>
        <v>#N/A</v>
      </c>
      <c r="R57" s="1" t="e">
        <f>IF(MATCH(H57,Inherited!A:A),IF((((_xlfn.XLOOKUP(Assessment!H58,Inherited!A:A,Inherited!B:B))/100)*(_xlfn.XLOOKUP(Assessment!H58,Inherited!A:A,Inherited!D:D)))+(((100-(_xlfn.XLOOKUP(Assessment!H58,Inherited!A:A,Inherited!B:B)))/100)*IF(Y57="1.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(100%)","100"))))))&lt;=10,"0", IF(AND((((_xlfn.XLOOKUP(Assessment!H58,Inherited!A:A,Inherited!B:B))/100)*(_xlfn.XLOOKUP(Assessment!H58,Inherited!A:A,Inherited!D:D)))+(((100-(_xlfn.XLOOKUP(Assessment!H58,Inherited!A:A,Inherited!B:B)))/100)*IF(Y57="1.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(100%)","100"))))))&gt;=11,(((_xlfn.XLOOKUP(Assessment!H58,Inherited!A:A,Inherited!B:B))/100)*(_xlfn.XLOOKUP(Assessment!H58,Inherited!A:A,Inherited!D:D)))+(((100-(_xlfn.XLOOKUP(Assessment!H58,Inherited!A:A,Inherited!B:B)))/100)*IF(Y57="1.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(100%)","100"))))))&lt;=32),"25",IF(AND((((_xlfn.XLOOKUP(Assessment!H58,Inherited!A:A,Inherited!B:B))/100)*(_xlfn.XLOOKUP(Assessment!H58,Inherited!A:A,Inherited!D:D)))+(((100-(_xlfn.XLOOKUP(Assessment!H58,Inherited!A:A,Inherited!B:B)))/100)*IF(Y57="1.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(100%)","100"))))))&gt;=33,(((_xlfn.XLOOKUP(Assessment!H58,Inherited!A:A,Inherited!B:B))/100)*(_xlfn.XLOOKUP(Assessment!H58,Inherited!A:A,Inherited!D:D)))+(((100-(_xlfn.XLOOKUP(Assessment!H58,Inherited!A:A,Inherited!B:B)))/100)*IF(Y57="1.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(100%)","100"))))))&lt;=65),"50",IF(AND((((_xlfn.XLOOKUP(Assessment!H58,Inherited!A:A,Inherited!B:B))/100)*(_xlfn.XLOOKUP(Assessment!H58,Inherited!A:A,Inherited!D:D)))+(((100-(_xlfn.XLOOKUP(Assessment!H58,Inherited!A:A,Inherited!B:B)))/100)*IF(Y57="1.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(100%)","100"))))))&gt;=66,(((_xlfn.XLOOKUP(Assessment!H58,Inherited!A:A,Inherited!B:B))/100)*(_xlfn.XLOOKUP(Assessment!H58,Inherited!A:A,Inherited!D:D)))+(((100-(_xlfn.XLOOKUP(Assessment!H58,Inherited!A:A,Inherited!B:B)))/100)*IF(Y57="1.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(100%)","100"))))))&lt;=89),"75",IF((((_xlfn.XLOOKUP(Assessment!H58,Inherited!A:A,Inherited!B:B))/100)*(_xlfn.XLOOKUP(Assessment!H58,Inherited!A:A,Inherited!D:D)))+(((100-(_xlfn.XLOOKUP(Assessment!H58,Inherited!A:A,Inherited!B:B)))/100)*IF(Y57="1. Non Compliant (0%)","0",IF(Y57="2. Somewhat Compliant (25%)","25",IF(Y57="3. Partially Compliant (50%)","50",IF(Y57="4. Mostly Compliant (75%)","75",IF(Y57="5. Fully Compliant (100%)","100"))))))&gt;=90,"100"))))))</f>
        <v>#N/A</v>
      </c>
      <c r="S57" s="1" t="e">
        <f>IF(MATCH(H57,Inherited!A:A),IF((((_xlfn.XLOOKUP(Assessment!H58,Inherited!A:A,Inherited!B:B))/100)*(_xlfn.XLOOKUP(Assessment!H58,Inherited!A:A,Inherited!E:E)))+(((100-(_xlfn.XLOOKUP(Assessment!H58,Inherited!A:A,Inherited!B:B)))/100)*IF(Z57="1.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(100%)","100"))))))&lt;=10,"0", IF(AND((((_xlfn.XLOOKUP(Assessment!H58,Inherited!A:A,Inherited!B:B))/100)*(_xlfn.XLOOKUP(Assessment!H58,Inherited!A:A,Inherited!E:E)))+(((100-(_xlfn.XLOOKUP(Assessment!H58,Inherited!A:A,Inherited!B:B)))/100)*IF(Z57="1.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(100%)","100"))))))&gt;=11,(((_xlfn.XLOOKUP(Assessment!H58,Inherited!A:A,Inherited!B:B))/100)*(_xlfn.XLOOKUP(Assessment!H58,Inherited!A:A,Inherited!E:E)))+(((100-(_xlfn.XLOOKUP(Assessment!H58,Inherited!A:A,Inherited!B:B)))/100)*IF(Z57="1.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(100%)","100"))))))&lt;=32),"25",IF(AND((((_xlfn.XLOOKUP(Assessment!H58,Inherited!A:A,Inherited!B:B))/100)*(_xlfn.XLOOKUP(Assessment!H58,Inherited!A:A,Inherited!E:E)))+(((100-(_xlfn.XLOOKUP(Assessment!H58,Inherited!A:A,Inherited!B:B)))/100)*IF(Z57="1.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(100%)","100"))))))&gt;=33,(((_xlfn.XLOOKUP(Assessment!H58,Inherited!A:A,Inherited!B:B))/100)*(_xlfn.XLOOKUP(Assessment!H58,Inherited!A:A,Inherited!E:E)))+(((100-(_xlfn.XLOOKUP(Assessment!H58,Inherited!A:A,Inherited!B:B)))/100)*IF(Z57="1.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(100%)","100"))))))&lt;=65),"50",IF(AND((((_xlfn.XLOOKUP(Assessment!H58,Inherited!A:A,Inherited!B:B))/100)*(_xlfn.XLOOKUP(Assessment!H58,Inherited!A:A,Inherited!E:E)))+(((100-(_xlfn.XLOOKUP(Assessment!H58,Inherited!A:A,Inherited!B:B)))/100)*IF(Z57="1.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(100%)","100"))))))&gt;=66,(((_xlfn.XLOOKUP(Assessment!H58,Inherited!A:A,Inherited!B:B))/100)*(_xlfn.XLOOKUP(Assessment!H58,Inherited!A:A,Inherited!E:E)))+(((100-(_xlfn.XLOOKUP(Assessment!H58,Inherited!A:A,Inherited!B:B)))/100)*IF(Z57="1.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(100%)","100"))))))&lt;=89),"75",IF((((_xlfn.XLOOKUP(Assessment!H58,Inherited!A:A,Inherited!B:B))/100)*(_xlfn.XLOOKUP(Assessment!H58,Inherited!A:A,Inherited!E:E)))+(((100-(_xlfn.XLOOKUP(Assessment!H58,Inherited!A:A,Inherited!B:B)))/100)*IF(Z57="1. Non Compliant (0%)","0",IF(Z57="2. Somewhat Compliant (25%)","25",IF(Z57="3. Partially Compliant (50%)","50",IF(Z57="4. Mostly Compliant (75%)","75",IF(Z57="5. Fully Compliant (100%)","100"))))))&gt;=90,"100"))))))</f>
        <v>#N/A</v>
      </c>
      <c r="T57" s="1" t="e">
        <f>IF(MATCH(H57,Inherited!A:A),IF((((_xlfn.XLOOKUP(Assessment!H58,Inherited!A:A,Inherited!B:B))/100)*(_xlfn.XLOOKUP(Assessment!H58,Inherited!A:A,Inherited!F:F)))+(((100-(_xlfn.XLOOKUP(Assessment!H58,Inherited!A:A,Inherited!B:B)))/100)*IF(AA57="1.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(100%)","100"))))))&lt;=10,"0", IF(AND((((_xlfn.XLOOKUP(Assessment!H58,Inherited!A:A,Inherited!B:B))/100)*(_xlfn.XLOOKUP(Assessment!H58,Inherited!A:A,Inherited!F:F)))+(((100-(_xlfn.XLOOKUP(Assessment!H58,Inherited!A:A,Inherited!B:B)))/100)*IF(AA57="1.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(100%)","100"))))))&gt;=11,(((_xlfn.XLOOKUP(Assessment!H58,Inherited!A:A,Inherited!B:B))/100)*(_xlfn.XLOOKUP(Assessment!H58,Inherited!A:A,Inherited!F:F)))+(((100-(_xlfn.XLOOKUP(Assessment!H58,Inherited!A:A,Inherited!B:B)))/100)*IF(AA57="1.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(100%)","100"))))))&lt;=32),"25",IF(AND((((_xlfn.XLOOKUP(Assessment!H58,Inherited!A:A,Inherited!B:B))/100)*(_xlfn.XLOOKUP(Assessment!H58,Inherited!A:A,Inherited!F:F)))+(((100-(_xlfn.XLOOKUP(Assessment!H58,Inherited!A:A,Inherited!B:B)))/100)*IF(AA57="1.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(100%)","100"))))))&gt;=33,(((_xlfn.XLOOKUP(Assessment!H58,Inherited!A:A,Inherited!B:B))/100)*(_xlfn.XLOOKUP(Assessment!H58,Inherited!A:A,Inherited!F:F)))+(((100-(_xlfn.XLOOKUP(Assessment!H58,Inherited!A:A,Inherited!B:B)))/100)*IF(AA57="1.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(100%)","100"))))))&lt;=65),"50",IF(AND((((_xlfn.XLOOKUP(Assessment!H58,Inherited!A:A,Inherited!B:B))/100)*(_xlfn.XLOOKUP(Assessment!H58,Inherited!A:A,Inherited!F:F)))+(((100-(_xlfn.XLOOKUP(Assessment!H58,Inherited!A:A,Inherited!B:B)))/100)*IF(AA57="1.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(100%)","100"))))))&gt;=66,(((_xlfn.XLOOKUP(Assessment!H58,Inherited!A:A,Inherited!B:B))/100)*(_xlfn.XLOOKUP(Assessment!H58,Inherited!A:A,Inherited!F:F)))+(((100-(_xlfn.XLOOKUP(Assessment!H58,Inherited!A:A,Inherited!B:B)))/100)*IF(AA57="1.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(100%)","100"))))))&lt;=89),"75",IF((((_xlfn.XLOOKUP(Assessment!H58,Inherited!A:A,Inherited!B:B))/100)*(_xlfn.XLOOKUP(Assessment!H58,Inherited!A:A,Inherited!F:F)))+(((100-(_xlfn.XLOOKUP(Assessment!H58,Inherited!A:A,Inherited!B:B)))/100)*IF(AA57="1. Non Compliant (0%)","0",IF(AA57="2. Somewhat Compliant (25%)","25",IF(AA57="3. Partially Compliant (50%)","50",IF(AA57="4. Mostly Compliant (75%)","75",IF(AA57="5. Fully Compliant (100%)","100"))))))&gt;=90,"100"))))))</f>
        <v>#N/A</v>
      </c>
      <c r="U57" s="1" t="e">
        <f>IF(MATCH(H57,Inherited!A:A),IF((((_xlfn.XLOOKUP(Assessment!H58,Inherited!A:A,Inherited!B:B))/100)*(_xlfn.XLOOKUP(Assessment!H58,Inherited!A:A,Inherited!G:G)))+(((100-(_xlfn.XLOOKUP(Assessment!H58,Inherited!A:A,Inherited!B:B)))/100)*IF(AB57="1.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(100%)","100"))))))&lt;=10,"0", IF(AND((((_xlfn.XLOOKUP(Assessment!H58,Inherited!A:A,Inherited!B:B))/100)*(_xlfn.XLOOKUP(Assessment!H58,Inherited!A:A,Inherited!G:G)))+(((100-(_xlfn.XLOOKUP(Assessment!H58,Inherited!A:A,Inherited!B:B)))/100)*IF(AB57="1.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(100%)","100"))))))&gt;=11,(((_xlfn.XLOOKUP(Assessment!H58,Inherited!A:A,Inherited!B:B))/100)*(_xlfn.XLOOKUP(Assessment!H58,Inherited!A:A,Inherited!G:G)))+(((100-(_xlfn.XLOOKUP(Assessment!H58,Inherited!A:A,Inherited!B:B)))/100)*IF(AB57="1.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(100%)","100"))))))&lt;=32),"25",IF(AND((((_xlfn.XLOOKUP(Assessment!H58,Inherited!A:A,Inherited!B:B))/100)*(_xlfn.XLOOKUP(Assessment!H58,Inherited!A:A,Inherited!G:G)))+(((100-(_xlfn.XLOOKUP(Assessment!H58,Inherited!A:A,Inherited!B:B)))/100)*IF(AB57="1.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(100%)","100"))))))&gt;=33,(((_xlfn.XLOOKUP(Assessment!H58,Inherited!A:A,Inherited!B:B))/100)*(_xlfn.XLOOKUP(Assessment!H58,Inherited!A:A,Inherited!G:G)))+(((100-(_xlfn.XLOOKUP(Assessment!H58,Inherited!A:A,Inherited!B:B)))/100)*IF(AB57="1.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(100%)","100"))))))&lt;=65),"50",IF(AND((((_xlfn.XLOOKUP(Assessment!H58,Inherited!A:A,Inherited!B:B))/100)*(_xlfn.XLOOKUP(Assessment!H58,Inherited!A:A,Inherited!G:G)))+(((100-(_xlfn.XLOOKUP(Assessment!H58,Inherited!A:A,Inherited!B:B)))/100)*IF(AB57="1.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(100%)","100"))))))&gt;=66,(((_xlfn.XLOOKUP(Assessment!H58,Inherited!A:A,Inherited!B:B))/100)*(_xlfn.XLOOKUP(Assessment!H58,Inherited!A:A,Inherited!G:G)))+(((100-(_xlfn.XLOOKUP(Assessment!H58,Inherited!A:A,Inherited!B:B)))/100)*IF(AB57="1.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(100%)","100"))))))&lt;=89),"75",IF((((_xlfn.XLOOKUP(Assessment!H58,Inherited!A:A,Inherited!B:B))/100)*(_xlfn.XLOOKUP(Assessment!H58,Inherited!A:A,Inherited!G:G)))+(((100-(_xlfn.XLOOKUP(Assessment!H58,Inherited!A:A,Inherited!B:B)))/100)*IF(AB57="1. Non Compliant (0%)","0",IF(AB57="2. Somewhat Compliant (25%)","25",IF(AB57="3. Partially Compliant (50%)","50",IF(AB57="4. Mostly Compliant (75%)","75",IF(AB57="5. Fully Compliant (100%)","100"))))))&gt;=90,"100"))))))</f>
        <v>#N/A</v>
      </c>
      <c r="V57" s="55" t="s">
        <v>85</v>
      </c>
      <c r="W57" s="55"/>
      <c r="X57" s="55"/>
      <c r="Y57" s="55"/>
      <c r="Z57" s="55" t="s">
        <v>10873</v>
      </c>
      <c r="AA57" s="55"/>
      <c r="AB57" s="55"/>
      <c r="AK57" s="1" t="s">
        <v>10978</v>
      </c>
      <c r="AL57" s="1" t="s">
        <v>10988</v>
      </c>
      <c r="AP57" s="1" t="s">
        <v>11073</v>
      </c>
      <c r="AX57" s="3" t="str">
        <f>_xlfn.CONCAT("A-LIGN finished its review of this control on ",AR57, " during the scheduled fieldwork window (",Intro!$B$4,")."&amp; CHAR(10)&amp; CHAR(10))</f>
        <v xml:space="preserve">A-LIGN finished its review of this control on  during the scheduled fieldwork window (Fieldwork: xx/xx/xxxx - xx/xx/xxxx).
</v>
      </c>
      <c r="AY57" s="3" t="str">
        <f t="shared" si="81"/>
        <v/>
      </c>
      <c r="AZ57" s="3" t="str">
        <f t="shared" si="82"/>
        <v/>
      </c>
      <c r="BA57" s="3" t="str">
        <f t="shared" si="83"/>
        <v/>
      </c>
      <c r="BB57" s="3" t="str">
        <f t="shared" si="8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57" s="3" t="str">
        <f t="shared" si="85"/>
        <v/>
      </c>
      <c r="BD57" s="3" t="str">
        <f t="shared" si="86"/>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apply output encoding on textual outputs
</v>
      </c>
      <c r="BE57" s="3" t="str">
        <f t="shared" si="87"/>
        <v/>
      </c>
      <c r="BF57" s="3" t="str">
        <f t="shared" si="88"/>
        <v/>
      </c>
      <c r="BG57" s="3" t="str">
        <f>_xlfn.CONCAT((IF((COUNTIF('Sample Tables'!B:B,"")&gt;0)=TRUE,_xlfn.CONCAT("",""),IF((COUNTIF('Sample Tables'!B:B,"")&gt;0)=FALSE,""))),)</f>
        <v/>
      </c>
      <c r="BH57"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apply output encoding on textual outputs
</v>
      </c>
    </row>
    <row r="58" spans="3:60" ht="409.5" x14ac:dyDescent="0.35">
      <c r="C58" s="1">
        <f t="shared" si="80"/>
        <v>0</v>
      </c>
      <c r="D58" s="5" t="str">
        <f>IF(AND((_xlfn.XLOOKUP(J58,'Fields &amp; Revisions'!$H:$H,'Fields &amp; Revisions'!$I:$I))&lt;70.99,(OR(Z58="4. Mostly Compliant (75%)",Z58="3. Partially Compliant (50%)",Z58="2. Somewhat Compliant (25%)",Z58="1. Non Compliant (0%)"))),"Yes","No")</f>
        <v>Yes</v>
      </c>
      <c r="E58" s="5" t="str">
        <f>IF(ISERROR(VLOOKUP(H58,Scope!A:A,1,FALSE)),"No","Yes")</f>
        <v>Yes</v>
      </c>
      <c r="F58" s="1" t="s">
        <v>1293</v>
      </c>
      <c r="G58" s="53" t="s">
        <v>1395</v>
      </c>
      <c r="H58" s="53" t="s">
        <v>1396</v>
      </c>
      <c r="I58" s="5" t="s">
        <v>93</v>
      </c>
      <c r="J58" s="1" t="s">
        <v>1084</v>
      </c>
      <c r="K58" s="54" t="s">
        <v>1397</v>
      </c>
      <c r="L58" s="1" t="s">
        <v>1398</v>
      </c>
      <c r="M58" s="1" t="s">
        <v>1399</v>
      </c>
      <c r="N58" s="5" t="s">
        <v>98</v>
      </c>
      <c r="O58" s="1" t="str">
        <f>_xlfn.XLOOKUP(G58,SRMs!$A:$A,SRMs!$D:$D)</f>
        <v>NO INHERITANCE</v>
      </c>
      <c r="P58" s="1" t="str">
        <f>IFERROR(VLOOKUP(H58,Inherited!A:B,2,FALSE),"")</f>
        <v/>
      </c>
      <c r="Q58" s="1" t="e">
        <f>IF(MATCH(H58,Inherited!A:A),IF((((_xlfn.XLOOKUP(Assessment!H59,Inherited!A:A,Inherited!B:B))/100)*(_xlfn.XLOOKUP(Assessment!H59,Inherited!A:A,Inherited!C:C)))+(((100-(_xlfn.XLOOKUP(Assessment!H59,Inherited!A:A,Inherited!B:B)))/100)*IF(X58="1.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(100%)","100"))))))&lt;=10,"0", IF(AND((((_xlfn.XLOOKUP(Assessment!H59,Inherited!A:A,Inherited!B:B))/100)*(_xlfn.XLOOKUP(Assessment!H59,Inherited!A:A,Inherited!C:C)))+(((100-(_xlfn.XLOOKUP(Assessment!H59,Inherited!A:A,Inherited!B:B)))/100)*IF(X58="1.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(100%)","100"))))))&gt;=11,(((_xlfn.XLOOKUP(Assessment!H59,Inherited!A:A,Inherited!B:B))/100)*(_xlfn.XLOOKUP(Assessment!H59,Inherited!A:A,Inherited!C:C)))+(((100-(_xlfn.XLOOKUP(Assessment!H59,Inherited!A:A,Inherited!B:B)))/100)*IF(X58="1.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(100%)","100"))))))&lt;=32),"25",IF(AND((((_xlfn.XLOOKUP(Assessment!H59,Inherited!A:A,Inherited!B:B))/100)*(_xlfn.XLOOKUP(Assessment!H59,Inherited!A:A,Inherited!C:C)))+(((100-(_xlfn.XLOOKUP(Assessment!H59,Inherited!A:A,Inherited!B:B)))/100)*IF(X58="1.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(100%)","100"))))))&gt;=33,(((_xlfn.XLOOKUP(Assessment!H59,Inherited!A:A,Inherited!B:B))/100)*(_xlfn.XLOOKUP(Assessment!H59,Inherited!A:A,Inherited!C:C)))+(((100-(_xlfn.XLOOKUP(Assessment!H59,Inherited!A:A,Inherited!B:B)))/100)*IF(X58="1.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(100%)","100"))))))&lt;=65),"50",IF(AND((((_xlfn.XLOOKUP(Assessment!H59,Inherited!A:A,Inherited!B:B))/100)*(_xlfn.XLOOKUP(Assessment!H59,Inherited!A:A,Inherited!C:C)))+(((100-(_xlfn.XLOOKUP(Assessment!H59,Inherited!A:A,Inherited!B:B)))/100)*IF(X58="1.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(100%)","100"))))))&gt;=66,(((_xlfn.XLOOKUP(Assessment!H59,Inherited!A:A,Inherited!B:B))/100)*(_xlfn.XLOOKUP(Assessment!H59,Inherited!A:A,Inherited!C:C)))+(((100-(_xlfn.XLOOKUP(Assessment!H59,Inherited!A:A,Inherited!B:B)))/100)*IF(X58="1.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(100%)","100"))))))&lt;=89),"75",IF((((_xlfn.XLOOKUP(Assessment!H59,Inherited!A:A,Inherited!B:B))/100)*(_xlfn.XLOOKUP(Assessment!H59,Inherited!A:A,Inherited!C:C)))+(((100-(_xlfn.XLOOKUP(Assessment!H59,Inherited!A:A,Inherited!B:B)))/100)*IF(X58="1. Non Compliant (0%)","0",IF(X58="2. Somewhat Compliant (25%)","25",IF(X58="3. Partially Compliant (50%)","50",IF(X58="4. Mostly Compliant (75%)","75",IF(X58="5. Fully Compliant (100%)","100"))))))&gt;=90,"100"))))))</f>
        <v>#N/A</v>
      </c>
      <c r="R58" s="1" t="e">
        <f>IF(MATCH(H58,Inherited!A:A),IF((((_xlfn.XLOOKUP(Assessment!H59,Inherited!A:A,Inherited!B:B))/100)*(_xlfn.XLOOKUP(Assessment!H59,Inherited!A:A,Inherited!D:D)))+(((100-(_xlfn.XLOOKUP(Assessment!H59,Inherited!A:A,Inherited!B:B)))/100)*IF(Y58="1.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(100%)","100"))))))&lt;=10,"0", IF(AND((((_xlfn.XLOOKUP(Assessment!H59,Inherited!A:A,Inherited!B:B))/100)*(_xlfn.XLOOKUP(Assessment!H59,Inherited!A:A,Inherited!D:D)))+(((100-(_xlfn.XLOOKUP(Assessment!H59,Inherited!A:A,Inherited!B:B)))/100)*IF(Y58="1.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(100%)","100"))))))&gt;=11,(((_xlfn.XLOOKUP(Assessment!H59,Inherited!A:A,Inherited!B:B))/100)*(_xlfn.XLOOKUP(Assessment!H59,Inherited!A:A,Inherited!D:D)))+(((100-(_xlfn.XLOOKUP(Assessment!H59,Inherited!A:A,Inherited!B:B)))/100)*IF(Y58="1.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(100%)","100"))))))&lt;=32),"25",IF(AND((((_xlfn.XLOOKUP(Assessment!H59,Inherited!A:A,Inherited!B:B))/100)*(_xlfn.XLOOKUP(Assessment!H59,Inherited!A:A,Inherited!D:D)))+(((100-(_xlfn.XLOOKUP(Assessment!H59,Inherited!A:A,Inherited!B:B)))/100)*IF(Y58="1.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(100%)","100"))))))&gt;=33,(((_xlfn.XLOOKUP(Assessment!H59,Inherited!A:A,Inherited!B:B))/100)*(_xlfn.XLOOKUP(Assessment!H59,Inherited!A:A,Inherited!D:D)))+(((100-(_xlfn.XLOOKUP(Assessment!H59,Inherited!A:A,Inherited!B:B)))/100)*IF(Y58="1.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(100%)","100"))))))&lt;=65),"50",IF(AND((((_xlfn.XLOOKUP(Assessment!H59,Inherited!A:A,Inherited!B:B))/100)*(_xlfn.XLOOKUP(Assessment!H59,Inherited!A:A,Inherited!D:D)))+(((100-(_xlfn.XLOOKUP(Assessment!H59,Inherited!A:A,Inherited!B:B)))/100)*IF(Y58="1.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(100%)","100"))))))&gt;=66,(((_xlfn.XLOOKUP(Assessment!H59,Inherited!A:A,Inherited!B:B))/100)*(_xlfn.XLOOKUP(Assessment!H59,Inherited!A:A,Inherited!D:D)))+(((100-(_xlfn.XLOOKUP(Assessment!H59,Inherited!A:A,Inherited!B:B)))/100)*IF(Y58="1.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(100%)","100"))))))&lt;=89),"75",IF((((_xlfn.XLOOKUP(Assessment!H59,Inherited!A:A,Inherited!B:B))/100)*(_xlfn.XLOOKUP(Assessment!H59,Inherited!A:A,Inherited!D:D)))+(((100-(_xlfn.XLOOKUP(Assessment!H59,Inherited!A:A,Inherited!B:B)))/100)*IF(Y58="1. Non Compliant (0%)","0",IF(Y58="2. Somewhat Compliant (25%)","25",IF(Y58="3. Partially Compliant (50%)","50",IF(Y58="4. Mostly Compliant (75%)","75",IF(Y58="5. Fully Compliant (100%)","100"))))))&gt;=90,"100"))))))</f>
        <v>#N/A</v>
      </c>
      <c r="S58" s="1" t="e">
        <f>IF(MATCH(H58,Inherited!A:A),IF((((_xlfn.XLOOKUP(Assessment!H59,Inherited!A:A,Inherited!B:B))/100)*(_xlfn.XLOOKUP(Assessment!H59,Inherited!A:A,Inherited!E:E)))+(((100-(_xlfn.XLOOKUP(Assessment!H59,Inherited!A:A,Inherited!B:B)))/100)*IF(Z58="1.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(100%)","100"))))))&lt;=10,"0", IF(AND((((_xlfn.XLOOKUP(Assessment!H59,Inherited!A:A,Inherited!B:B))/100)*(_xlfn.XLOOKUP(Assessment!H59,Inherited!A:A,Inherited!E:E)))+(((100-(_xlfn.XLOOKUP(Assessment!H59,Inherited!A:A,Inherited!B:B)))/100)*IF(Z58="1.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(100%)","100"))))))&gt;=11,(((_xlfn.XLOOKUP(Assessment!H59,Inherited!A:A,Inherited!B:B))/100)*(_xlfn.XLOOKUP(Assessment!H59,Inherited!A:A,Inherited!E:E)))+(((100-(_xlfn.XLOOKUP(Assessment!H59,Inherited!A:A,Inherited!B:B)))/100)*IF(Z58="1.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(100%)","100"))))))&lt;=32),"25",IF(AND((((_xlfn.XLOOKUP(Assessment!H59,Inherited!A:A,Inherited!B:B))/100)*(_xlfn.XLOOKUP(Assessment!H59,Inherited!A:A,Inherited!E:E)))+(((100-(_xlfn.XLOOKUP(Assessment!H59,Inherited!A:A,Inherited!B:B)))/100)*IF(Z58="1.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(100%)","100"))))))&gt;=33,(((_xlfn.XLOOKUP(Assessment!H59,Inherited!A:A,Inherited!B:B))/100)*(_xlfn.XLOOKUP(Assessment!H59,Inherited!A:A,Inherited!E:E)))+(((100-(_xlfn.XLOOKUP(Assessment!H59,Inherited!A:A,Inherited!B:B)))/100)*IF(Z58="1.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(100%)","100"))))))&lt;=65),"50",IF(AND((((_xlfn.XLOOKUP(Assessment!H59,Inherited!A:A,Inherited!B:B))/100)*(_xlfn.XLOOKUP(Assessment!H59,Inherited!A:A,Inherited!E:E)))+(((100-(_xlfn.XLOOKUP(Assessment!H59,Inherited!A:A,Inherited!B:B)))/100)*IF(Z58="1.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(100%)","100"))))))&gt;=66,(((_xlfn.XLOOKUP(Assessment!H59,Inherited!A:A,Inherited!B:B))/100)*(_xlfn.XLOOKUP(Assessment!H59,Inherited!A:A,Inherited!E:E)))+(((100-(_xlfn.XLOOKUP(Assessment!H59,Inherited!A:A,Inherited!B:B)))/100)*IF(Z58="1.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(100%)","100"))))))&lt;=89),"75",IF((((_xlfn.XLOOKUP(Assessment!H59,Inherited!A:A,Inherited!B:B))/100)*(_xlfn.XLOOKUP(Assessment!H59,Inherited!A:A,Inherited!E:E)))+(((100-(_xlfn.XLOOKUP(Assessment!H59,Inherited!A:A,Inherited!B:B)))/100)*IF(Z58="1. Non Compliant (0%)","0",IF(Z58="2. Somewhat Compliant (25%)","25",IF(Z58="3. Partially Compliant (50%)","50",IF(Z58="4. Mostly Compliant (75%)","75",IF(Z58="5. Fully Compliant (100%)","100"))))))&gt;=90,"100"))))))</f>
        <v>#N/A</v>
      </c>
      <c r="T58" s="1" t="e">
        <f>IF(MATCH(H58,Inherited!A:A),IF((((_xlfn.XLOOKUP(Assessment!H59,Inherited!A:A,Inherited!B:B))/100)*(_xlfn.XLOOKUP(Assessment!H59,Inherited!A:A,Inherited!F:F)))+(((100-(_xlfn.XLOOKUP(Assessment!H59,Inherited!A:A,Inherited!B:B)))/100)*IF(AA58="1.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(100%)","100"))))))&lt;=10,"0", IF(AND((((_xlfn.XLOOKUP(Assessment!H59,Inherited!A:A,Inherited!B:B))/100)*(_xlfn.XLOOKUP(Assessment!H59,Inherited!A:A,Inherited!F:F)))+(((100-(_xlfn.XLOOKUP(Assessment!H59,Inherited!A:A,Inherited!B:B)))/100)*IF(AA58="1.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(100%)","100"))))))&gt;=11,(((_xlfn.XLOOKUP(Assessment!H59,Inherited!A:A,Inherited!B:B))/100)*(_xlfn.XLOOKUP(Assessment!H59,Inherited!A:A,Inherited!F:F)))+(((100-(_xlfn.XLOOKUP(Assessment!H59,Inherited!A:A,Inherited!B:B)))/100)*IF(AA58="1.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(100%)","100"))))))&lt;=32),"25",IF(AND((((_xlfn.XLOOKUP(Assessment!H59,Inherited!A:A,Inherited!B:B))/100)*(_xlfn.XLOOKUP(Assessment!H59,Inherited!A:A,Inherited!F:F)))+(((100-(_xlfn.XLOOKUP(Assessment!H59,Inherited!A:A,Inherited!B:B)))/100)*IF(AA58="1.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(100%)","100"))))))&gt;=33,(((_xlfn.XLOOKUP(Assessment!H59,Inherited!A:A,Inherited!B:B))/100)*(_xlfn.XLOOKUP(Assessment!H59,Inherited!A:A,Inherited!F:F)))+(((100-(_xlfn.XLOOKUP(Assessment!H59,Inherited!A:A,Inherited!B:B)))/100)*IF(AA58="1.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(100%)","100"))))))&lt;=65),"50",IF(AND((((_xlfn.XLOOKUP(Assessment!H59,Inherited!A:A,Inherited!B:B))/100)*(_xlfn.XLOOKUP(Assessment!H59,Inherited!A:A,Inherited!F:F)))+(((100-(_xlfn.XLOOKUP(Assessment!H59,Inherited!A:A,Inherited!B:B)))/100)*IF(AA58="1.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(100%)","100"))))))&gt;=66,(((_xlfn.XLOOKUP(Assessment!H59,Inherited!A:A,Inherited!B:B))/100)*(_xlfn.XLOOKUP(Assessment!H59,Inherited!A:A,Inherited!F:F)))+(((100-(_xlfn.XLOOKUP(Assessment!H59,Inherited!A:A,Inherited!B:B)))/100)*IF(AA58="1.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(100%)","100"))))))&lt;=89),"75",IF((((_xlfn.XLOOKUP(Assessment!H59,Inherited!A:A,Inherited!B:B))/100)*(_xlfn.XLOOKUP(Assessment!H59,Inherited!A:A,Inherited!F:F)))+(((100-(_xlfn.XLOOKUP(Assessment!H59,Inherited!A:A,Inherited!B:B)))/100)*IF(AA58="1. Non Compliant (0%)","0",IF(AA58="2. Somewhat Compliant (25%)","25",IF(AA58="3. Partially Compliant (50%)","50",IF(AA58="4. Mostly Compliant (75%)","75",IF(AA58="5. Fully Compliant (100%)","100"))))))&gt;=90,"100"))))))</f>
        <v>#N/A</v>
      </c>
      <c r="U58" s="1" t="e">
        <f>IF(MATCH(H58,Inherited!A:A),IF((((_xlfn.XLOOKUP(Assessment!H59,Inherited!A:A,Inherited!B:B))/100)*(_xlfn.XLOOKUP(Assessment!H59,Inherited!A:A,Inherited!G:G)))+(((100-(_xlfn.XLOOKUP(Assessment!H59,Inherited!A:A,Inherited!B:B)))/100)*IF(AB58="1.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(100%)","100"))))))&lt;=10,"0", IF(AND((((_xlfn.XLOOKUP(Assessment!H59,Inherited!A:A,Inherited!B:B))/100)*(_xlfn.XLOOKUP(Assessment!H59,Inherited!A:A,Inherited!G:G)))+(((100-(_xlfn.XLOOKUP(Assessment!H59,Inherited!A:A,Inherited!B:B)))/100)*IF(AB58="1.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(100%)","100"))))))&gt;=11,(((_xlfn.XLOOKUP(Assessment!H59,Inherited!A:A,Inherited!B:B))/100)*(_xlfn.XLOOKUP(Assessment!H59,Inherited!A:A,Inherited!G:G)))+(((100-(_xlfn.XLOOKUP(Assessment!H59,Inherited!A:A,Inherited!B:B)))/100)*IF(AB58="1.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(100%)","100"))))))&lt;=32),"25",IF(AND((((_xlfn.XLOOKUP(Assessment!H59,Inherited!A:A,Inherited!B:B))/100)*(_xlfn.XLOOKUP(Assessment!H59,Inherited!A:A,Inherited!G:G)))+(((100-(_xlfn.XLOOKUP(Assessment!H59,Inherited!A:A,Inherited!B:B)))/100)*IF(AB58="1.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(100%)","100"))))))&gt;=33,(((_xlfn.XLOOKUP(Assessment!H59,Inherited!A:A,Inherited!B:B))/100)*(_xlfn.XLOOKUP(Assessment!H59,Inherited!A:A,Inherited!G:G)))+(((100-(_xlfn.XLOOKUP(Assessment!H59,Inherited!A:A,Inherited!B:B)))/100)*IF(AB58="1.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(100%)","100"))))))&lt;=65),"50",IF(AND((((_xlfn.XLOOKUP(Assessment!H59,Inherited!A:A,Inherited!B:B))/100)*(_xlfn.XLOOKUP(Assessment!H59,Inherited!A:A,Inherited!G:G)))+(((100-(_xlfn.XLOOKUP(Assessment!H59,Inherited!A:A,Inherited!B:B)))/100)*IF(AB58="1.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(100%)","100"))))))&gt;=66,(((_xlfn.XLOOKUP(Assessment!H59,Inherited!A:A,Inherited!B:B))/100)*(_xlfn.XLOOKUP(Assessment!H59,Inherited!A:A,Inherited!G:G)))+(((100-(_xlfn.XLOOKUP(Assessment!H59,Inherited!A:A,Inherited!B:B)))/100)*IF(AB58="1.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(100%)","100"))))))&lt;=89),"75",IF((((_xlfn.XLOOKUP(Assessment!H59,Inherited!A:A,Inherited!B:B))/100)*(_xlfn.XLOOKUP(Assessment!H59,Inherited!A:A,Inherited!G:G)))+(((100-(_xlfn.XLOOKUP(Assessment!H59,Inherited!A:A,Inherited!B:B)))/100)*IF(AB58="1. Non Compliant (0%)","0",IF(AB58="2. Somewhat Compliant (25%)","25",IF(AB58="3. Partially Compliant (50%)","50",IF(AB58="4. Mostly Compliant (75%)","75",IF(AB58="5. Fully Compliant (100%)","100"))))))&gt;=90,"100"))))))</f>
        <v>#N/A</v>
      </c>
      <c r="V58" s="55" t="s">
        <v>85</v>
      </c>
      <c r="W58" s="55"/>
      <c r="X58" s="55"/>
      <c r="Y58" s="55"/>
      <c r="Z58" s="55" t="s">
        <v>10873</v>
      </c>
      <c r="AA58" s="55"/>
      <c r="AB58" s="55"/>
      <c r="AK58" s="1" t="s">
        <v>10978</v>
      </c>
      <c r="AL58" s="1" t="s">
        <v>10988</v>
      </c>
      <c r="AP58" s="1" t="s">
        <v>11074</v>
      </c>
      <c r="AX58" s="3" t="str">
        <f>_xlfn.CONCAT("A-LIGN finished its review of this control on ",AR58, " during the scheduled fieldwork window (",Intro!$B$4,")."&amp; CHAR(10)&amp; CHAR(10))</f>
        <v xml:space="preserve">A-LIGN finished its review of this control on  during the scheduled fieldwork window (Fieldwork: xx/xx/xxxx - xx/xx/xxxx).
</v>
      </c>
      <c r="AY58" s="3" t="str">
        <f t="shared" si="81"/>
        <v/>
      </c>
      <c r="AZ58" s="3" t="str">
        <f t="shared" si="82"/>
        <v/>
      </c>
      <c r="BA58" s="3" t="str">
        <f t="shared" si="83"/>
        <v/>
      </c>
      <c r="BB58" s="3" t="str">
        <f t="shared" si="8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58" s="3" t="str">
        <f t="shared" si="85"/>
        <v/>
      </c>
      <c r="BD58" s="3" t="str">
        <f t="shared" si="86"/>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limit/throttle total number and rate of API calls a user can make
</v>
      </c>
      <c r="BE58" s="3" t="str">
        <f t="shared" si="87"/>
        <v/>
      </c>
      <c r="BF58" s="3" t="str">
        <f t="shared" si="88"/>
        <v/>
      </c>
      <c r="BG58" s="3" t="str">
        <f>_xlfn.CONCAT((IF((COUNTIF('Sample Tables'!B:B,"")&gt;0)=TRUE,_xlfn.CONCAT("",""),IF((COUNTIF('Sample Tables'!B:B,"")&gt;0)=FALSE,""))),)</f>
        <v/>
      </c>
      <c r="BH58"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these configurations:
- configured to limit/throttle total number and rate of API calls a user can make
</v>
      </c>
    </row>
    <row r="59" spans="3:60" ht="347.25" customHeight="1" x14ac:dyDescent="0.35">
      <c r="C59" s="1">
        <f t="shared" si="80"/>
        <v>20</v>
      </c>
      <c r="D59" s="5" t="str">
        <f>IF(AND((_xlfn.XLOOKUP(J59,'Fields &amp; Revisions'!$H:$H,'Fields &amp; Revisions'!$I:$I))&lt;70.99,(OR(Z59="4. Mostly Compliant (75%)",Z59="3. Partially Compliant (50%)",Z59="2. Somewhat Compliant (25%)",Z59="1. Non Compliant (0%)"))),"Yes","No")</f>
        <v>Yes</v>
      </c>
      <c r="E59" s="5" t="str">
        <f>IF(ISERROR(VLOOKUP(H59,Scope!A:A,1,FALSE)),"No","Yes")</f>
        <v>Yes</v>
      </c>
      <c r="F59" s="1" t="s">
        <v>1293</v>
      </c>
      <c r="G59" s="53" t="s">
        <v>1400</v>
      </c>
      <c r="H59" s="53" t="s">
        <v>1401</v>
      </c>
      <c r="I59" s="5" t="s">
        <v>93</v>
      </c>
      <c r="J59" s="1" t="s">
        <v>1084</v>
      </c>
      <c r="K59" s="54" t="s">
        <v>1402</v>
      </c>
      <c r="L59" s="1" t="s">
        <v>1403</v>
      </c>
      <c r="M59" s="1" t="s">
        <v>1030</v>
      </c>
      <c r="N59" s="5" t="s">
        <v>85</v>
      </c>
      <c r="O59" s="1" t="str">
        <f>_xlfn.XLOOKUP(G59,SRMs!$A:$A,SRMs!$D:$D)</f>
        <v>NO INHERITANCE</v>
      </c>
      <c r="P59" s="1" t="str">
        <f>IFERROR(VLOOKUP(H59,Inherited!A:B,2,FALSE),"")</f>
        <v/>
      </c>
      <c r="Q59" s="1" t="e">
        <f>IF(MATCH(H59,Inherited!A:A),IF((((_xlfn.XLOOKUP(Assessment!#REF!,Inherited!A:A,Inherited!B:B))/100)*(_xlfn.XLOOKUP(Assessment!#REF!,Inherited!A:A,Inherited!C:C)))+(((100-(_xlfn.XLOOKUP(Assessment!#REF!,Inherited!A:A,Inherited!B:B)))/100)*IF(X59="1.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(100%)","100"))))))&lt;=10,"0", IF(AND((((_xlfn.XLOOKUP(Assessment!#REF!,Inherited!A:A,Inherited!B:B))/100)*(_xlfn.XLOOKUP(Assessment!#REF!,Inherited!A:A,Inherited!C:C)))+(((100-(_xlfn.XLOOKUP(Assessment!#REF!,Inherited!A:A,Inherited!B:B)))/100)*IF(X59="1.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(100%)","100"))))))&gt;=11,(((_xlfn.XLOOKUP(Assessment!#REF!,Inherited!A:A,Inherited!B:B))/100)*(_xlfn.XLOOKUP(Assessment!#REF!,Inherited!A:A,Inherited!C:C)))+(((100-(_xlfn.XLOOKUP(Assessment!#REF!,Inherited!A:A,Inherited!B:B)))/100)*IF(X59="1.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(100%)","100"))))))&lt;=32),"25",IF(AND((((_xlfn.XLOOKUP(Assessment!#REF!,Inherited!A:A,Inherited!B:B))/100)*(_xlfn.XLOOKUP(Assessment!#REF!,Inherited!A:A,Inherited!C:C)))+(((100-(_xlfn.XLOOKUP(Assessment!#REF!,Inherited!A:A,Inherited!B:B)))/100)*IF(X59="1.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(100%)","100"))))))&gt;=33,(((_xlfn.XLOOKUP(Assessment!#REF!,Inherited!A:A,Inherited!B:B))/100)*(_xlfn.XLOOKUP(Assessment!#REF!,Inherited!A:A,Inherited!C:C)))+(((100-(_xlfn.XLOOKUP(Assessment!#REF!,Inherited!A:A,Inherited!B:B)))/100)*IF(X59="1.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(100%)","100"))))))&lt;=65),"50",IF(AND((((_xlfn.XLOOKUP(Assessment!#REF!,Inherited!A:A,Inherited!B:B))/100)*(_xlfn.XLOOKUP(Assessment!#REF!,Inherited!A:A,Inherited!C:C)))+(((100-(_xlfn.XLOOKUP(Assessment!#REF!,Inherited!A:A,Inherited!B:B)))/100)*IF(X59="1.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(100%)","100"))))))&gt;=66,(((_xlfn.XLOOKUP(Assessment!#REF!,Inherited!A:A,Inherited!B:B))/100)*(_xlfn.XLOOKUP(Assessment!#REF!,Inherited!A:A,Inherited!C:C)))+(((100-(_xlfn.XLOOKUP(Assessment!#REF!,Inherited!A:A,Inherited!B:B)))/100)*IF(X59="1.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(100%)","100"))))))&lt;=89),"75",IF((((_xlfn.XLOOKUP(Assessment!#REF!,Inherited!A:A,Inherited!B:B))/100)*(_xlfn.XLOOKUP(Assessment!#REF!,Inherited!A:A,Inherited!C:C)))+(((100-(_xlfn.XLOOKUP(Assessment!#REF!,Inherited!A:A,Inherited!B:B)))/100)*IF(X59="1. Non Compliant (0%)","0",IF(X59="2. Somewhat Compliant (25%)","25",IF(X59="3. Partially Compliant (50%)","50",IF(X59="4. Mostly Compliant (75%)","75",IF(X59="5. Fully Compliant (100%)","100"))))))&gt;=90,"100"))))))</f>
        <v>#N/A</v>
      </c>
      <c r="R59" s="1" t="e">
        <f>IF(MATCH(H59,Inherited!A:A),IF((((_xlfn.XLOOKUP(Assessment!#REF!,Inherited!A:A,Inherited!B:B))/100)*(_xlfn.XLOOKUP(Assessment!#REF!,Inherited!A:A,Inherited!D:D)))+(((100-(_xlfn.XLOOKUP(Assessment!#REF!,Inherited!A:A,Inherited!B:B)))/100)*IF(Y59="1.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(100%)","100"))))))&lt;=10,"0", IF(AND((((_xlfn.XLOOKUP(Assessment!#REF!,Inherited!A:A,Inherited!B:B))/100)*(_xlfn.XLOOKUP(Assessment!#REF!,Inherited!A:A,Inherited!D:D)))+(((100-(_xlfn.XLOOKUP(Assessment!#REF!,Inherited!A:A,Inherited!B:B)))/100)*IF(Y59="1.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(100%)","100"))))))&gt;=11,(((_xlfn.XLOOKUP(Assessment!#REF!,Inherited!A:A,Inherited!B:B))/100)*(_xlfn.XLOOKUP(Assessment!#REF!,Inherited!A:A,Inherited!D:D)))+(((100-(_xlfn.XLOOKUP(Assessment!#REF!,Inherited!A:A,Inherited!B:B)))/100)*IF(Y59="1.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(100%)","100"))))))&lt;=32),"25",IF(AND((((_xlfn.XLOOKUP(Assessment!#REF!,Inherited!A:A,Inherited!B:B))/100)*(_xlfn.XLOOKUP(Assessment!#REF!,Inherited!A:A,Inherited!D:D)))+(((100-(_xlfn.XLOOKUP(Assessment!#REF!,Inherited!A:A,Inherited!B:B)))/100)*IF(Y59="1.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(100%)","100"))))))&gt;=33,(((_xlfn.XLOOKUP(Assessment!#REF!,Inherited!A:A,Inherited!B:B))/100)*(_xlfn.XLOOKUP(Assessment!#REF!,Inherited!A:A,Inherited!D:D)))+(((100-(_xlfn.XLOOKUP(Assessment!#REF!,Inherited!A:A,Inherited!B:B)))/100)*IF(Y59="1.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(100%)","100"))))))&lt;=65),"50",IF(AND((((_xlfn.XLOOKUP(Assessment!#REF!,Inherited!A:A,Inherited!B:B))/100)*(_xlfn.XLOOKUP(Assessment!#REF!,Inherited!A:A,Inherited!D:D)))+(((100-(_xlfn.XLOOKUP(Assessment!#REF!,Inherited!A:A,Inherited!B:B)))/100)*IF(Y59="1.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(100%)","100"))))))&gt;=66,(((_xlfn.XLOOKUP(Assessment!#REF!,Inherited!A:A,Inherited!B:B))/100)*(_xlfn.XLOOKUP(Assessment!#REF!,Inherited!A:A,Inherited!D:D)))+(((100-(_xlfn.XLOOKUP(Assessment!#REF!,Inherited!A:A,Inherited!B:B)))/100)*IF(Y59="1.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(100%)","100"))))))&lt;=89),"75",IF((((_xlfn.XLOOKUP(Assessment!#REF!,Inherited!A:A,Inherited!B:B))/100)*(_xlfn.XLOOKUP(Assessment!#REF!,Inherited!A:A,Inherited!D:D)))+(((100-(_xlfn.XLOOKUP(Assessment!#REF!,Inherited!A:A,Inherited!B:B)))/100)*IF(Y59="1. Non Compliant (0%)","0",IF(Y59="2. Somewhat Compliant (25%)","25",IF(Y59="3. Partially Compliant (50%)","50",IF(Y59="4. Mostly Compliant (75%)","75",IF(Y59="5. Fully Compliant (100%)","100"))))))&gt;=90,"100"))))))</f>
        <v>#N/A</v>
      </c>
      <c r="S59" s="1" t="e">
        <f>IF(MATCH(H59,Inherited!A:A),IF((((_xlfn.XLOOKUP(Assessment!#REF!,Inherited!A:A,Inherited!B:B))/100)*(_xlfn.XLOOKUP(Assessment!#REF!,Inherited!A:A,Inherited!E:E)))+(((100-(_xlfn.XLOOKUP(Assessment!#REF!,Inherited!A:A,Inherited!B:B)))/100)*IF(Z59="1.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(100%)","100"))))))&lt;=10,"0", IF(AND((((_xlfn.XLOOKUP(Assessment!#REF!,Inherited!A:A,Inherited!B:B))/100)*(_xlfn.XLOOKUP(Assessment!#REF!,Inherited!A:A,Inherited!E:E)))+(((100-(_xlfn.XLOOKUP(Assessment!#REF!,Inherited!A:A,Inherited!B:B)))/100)*IF(Z59="1.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(100%)","100"))))))&gt;=11,(((_xlfn.XLOOKUP(Assessment!#REF!,Inherited!A:A,Inherited!B:B))/100)*(_xlfn.XLOOKUP(Assessment!#REF!,Inherited!A:A,Inherited!E:E)))+(((100-(_xlfn.XLOOKUP(Assessment!#REF!,Inherited!A:A,Inherited!B:B)))/100)*IF(Z59="1.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(100%)","100"))))))&lt;=32),"25",IF(AND((((_xlfn.XLOOKUP(Assessment!#REF!,Inherited!A:A,Inherited!B:B))/100)*(_xlfn.XLOOKUP(Assessment!#REF!,Inherited!A:A,Inherited!E:E)))+(((100-(_xlfn.XLOOKUP(Assessment!#REF!,Inherited!A:A,Inherited!B:B)))/100)*IF(Z59="1.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(100%)","100"))))))&gt;=33,(((_xlfn.XLOOKUP(Assessment!#REF!,Inherited!A:A,Inherited!B:B))/100)*(_xlfn.XLOOKUP(Assessment!#REF!,Inherited!A:A,Inherited!E:E)))+(((100-(_xlfn.XLOOKUP(Assessment!#REF!,Inherited!A:A,Inherited!B:B)))/100)*IF(Z59="1.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(100%)","100"))))))&lt;=65),"50",IF(AND((((_xlfn.XLOOKUP(Assessment!#REF!,Inherited!A:A,Inherited!B:B))/100)*(_xlfn.XLOOKUP(Assessment!#REF!,Inherited!A:A,Inherited!E:E)))+(((100-(_xlfn.XLOOKUP(Assessment!#REF!,Inherited!A:A,Inherited!B:B)))/100)*IF(Z59="1.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(100%)","100"))))))&gt;=66,(((_xlfn.XLOOKUP(Assessment!#REF!,Inherited!A:A,Inherited!B:B))/100)*(_xlfn.XLOOKUP(Assessment!#REF!,Inherited!A:A,Inherited!E:E)))+(((100-(_xlfn.XLOOKUP(Assessment!#REF!,Inherited!A:A,Inherited!B:B)))/100)*IF(Z59="1.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(100%)","100"))))))&lt;=89),"75",IF((((_xlfn.XLOOKUP(Assessment!#REF!,Inherited!A:A,Inherited!B:B))/100)*(_xlfn.XLOOKUP(Assessment!#REF!,Inherited!A:A,Inherited!E:E)))+(((100-(_xlfn.XLOOKUP(Assessment!#REF!,Inherited!A:A,Inherited!B:B)))/100)*IF(Z59="1. Non Compliant (0%)","0",IF(Z59="2. Somewhat Compliant (25%)","25",IF(Z59="3. Partially Compliant (50%)","50",IF(Z59="4. Mostly Compliant (75%)","75",IF(Z59="5. Fully Compliant (100%)","100"))))))&gt;=90,"100"))))))</f>
        <v>#N/A</v>
      </c>
      <c r="T59" s="1" t="e">
        <f>IF(MATCH(H59,Inherited!A:A),IF((((_xlfn.XLOOKUP(Assessment!#REF!,Inherited!A:A,Inherited!B:B))/100)*(_xlfn.XLOOKUP(Assessment!#REF!,Inherited!A:A,Inherited!F:F)))+(((100-(_xlfn.XLOOKUP(Assessment!#REF!,Inherited!A:A,Inherited!B:B)))/100)*IF(AA59="1.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(100%)","100"))))))&lt;=10,"0", IF(AND((((_xlfn.XLOOKUP(Assessment!#REF!,Inherited!A:A,Inherited!B:B))/100)*(_xlfn.XLOOKUP(Assessment!#REF!,Inherited!A:A,Inherited!F:F)))+(((100-(_xlfn.XLOOKUP(Assessment!#REF!,Inherited!A:A,Inherited!B:B)))/100)*IF(AA59="1.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(100%)","100"))))))&gt;=11,(((_xlfn.XLOOKUP(Assessment!#REF!,Inherited!A:A,Inherited!B:B))/100)*(_xlfn.XLOOKUP(Assessment!#REF!,Inherited!A:A,Inherited!F:F)))+(((100-(_xlfn.XLOOKUP(Assessment!#REF!,Inherited!A:A,Inherited!B:B)))/100)*IF(AA59="1.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(100%)","100"))))))&lt;=32),"25",IF(AND((((_xlfn.XLOOKUP(Assessment!#REF!,Inherited!A:A,Inherited!B:B))/100)*(_xlfn.XLOOKUP(Assessment!#REF!,Inherited!A:A,Inherited!F:F)))+(((100-(_xlfn.XLOOKUP(Assessment!#REF!,Inherited!A:A,Inherited!B:B)))/100)*IF(AA59="1.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(100%)","100"))))))&gt;=33,(((_xlfn.XLOOKUP(Assessment!#REF!,Inherited!A:A,Inherited!B:B))/100)*(_xlfn.XLOOKUP(Assessment!#REF!,Inherited!A:A,Inherited!F:F)))+(((100-(_xlfn.XLOOKUP(Assessment!#REF!,Inherited!A:A,Inherited!B:B)))/100)*IF(AA59="1.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(100%)","100"))))))&lt;=65),"50",IF(AND((((_xlfn.XLOOKUP(Assessment!#REF!,Inherited!A:A,Inherited!B:B))/100)*(_xlfn.XLOOKUP(Assessment!#REF!,Inherited!A:A,Inherited!F:F)))+(((100-(_xlfn.XLOOKUP(Assessment!#REF!,Inherited!A:A,Inherited!B:B)))/100)*IF(AA59="1.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(100%)","100"))))))&gt;=66,(((_xlfn.XLOOKUP(Assessment!#REF!,Inherited!A:A,Inherited!B:B))/100)*(_xlfn.XLOOKUP(Assessment!#REF!,Inherited!A:A,Inherited!F:F)))+(((100-(_xlfn.XLOOKUP(Assessment!#REF!,Inherited!A:A,Inherited!B:B)))/100)*IF(AA59="1.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(100%)","100"))))))&lt;=89),"75",IF((((_xlfn.XLOOKUP(Assessment!#REF!,Inherited!A:A,Inherited!B:B))/100)*(_xlfn.XLOOKUP(Assessment!#REF!,Inherited!A:A,Inherited!F:F)))+(((100-(_xlfn.XLOOKUP(Assessment!#REF!,Inherited!A:A,Inherited!B:B)))/100)*IF(AA59="1. Non Compliant (0%)","0",IF(AA59="2. Somewhat Compliant (25%)","25",IF(AA59="3. Partially Compliant (50%)","50",IF(AA59="4. Mostly Compliant (75%)","75",IF(AA59="5. Fully Compliant (100%)","100"))))))&gt;=90,"100"))))))</f>
        <v>#N/A</v>
      </c>
      <c r="U59" s="1" t="e">
        <f>IF(MATCH(H59,Inherited!A:A),IF((((_xlfn.XLOOKUP(Assessment!#REF!,Inherited!A:A,Inherited!B:B))/100)*(_xlfn.XLOOKUP(Assessment!#REF!,Inherited!A:A,Inherited!G:G)))+(((100-(_xlfn.XLOOKUP(Assessment!#REF!,Inherited!A:A,Inherited!B:B)))/100)*IF(AB59="1.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(100%)","100"))))))&lt;=10,"0", IF(AND((((_xlfn.XLOOKUP(Assessment!#REF!,Inherited!A:A,Inherited!B:B))/100)*(_xlfn.XLOOKUP(Assessment!#REF!,Inherited!A:A,Inherited!G:G)))+(((100-(_xlfn.XLOOKUP(Assessment!#REF!,Inherited!A:A,Inherited!B:B)))/100)*IF(AB59="1.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(100%)","100"))))))&gt;=11,(((_xlfn.XLOOKUP(Assessment!#REF!,Inherited!A:A,Inherited!B:B))/100)*(_xlfn.XLOOKUP(Assessment!#REF!,Inherited!A:A,Inherited!G:G)))+(((100-(_xlfn.XLOOKUP(Assessment!#REF!,Inherited!A:A,Inherited!B:B)))/100)*IF(AB59="1.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(100%)","100"))))))&lt;=32),"25",IF(AND((((_xlfn.XLOOKUP(Assessment!#REF!,Inherited!A:A,Inherited!B:B))/100)*(_xlfn.XLOOKUP(Assessment!#REF!,Inherited!A:A,Inherited!G:G)))+(((100-(_xlfn.XLOOKUP(Assessment!#REF!,Inherited!A:A,Inherited!B:B)))/100)*IF(AB59="1.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(100%)","100"))))))&gt;=33,(((_xlfn.XLOOKUP(Assessment!#REF!,Inherited!A:A,Inherited!B:B))/100)*(_xlfn.XLOOKUP(Assessment!#REF!,Inherited!A:A,Inherited!G:G)))+(((100-(_xlfn.XLOOKUP(Assessment!#REF!,Inherited!A:A,Inherited!B:B)))/100)*IF(AB59="1.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(100%)","100"))))))&lt;=65),"50",IF(AND((((_xlfn.XLOOKUP(Assessment!#REF!,Inherited!A:A,Inherited!B:B))/100)*(_xlfn.XLOOKUP(Assessment!#REF!,Inherited!A:A,Inherited!G:G)))+(((100-(_xlfn.XLOOKUP(Assessment!#REF!,Inherited!A:A,Inherited!B:B)))/100)*IF(AB59="1.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(100%)","100"))))))&gt;=66,(((_xlfn.XLOOKUP(Assessment!#REF!,Inherited!A:A,Inherited!B:B))/100)*(_xlfn.XLOOKUP(Assessment!#REF!,Inherited!A:A,Inherited!G:G)))+(((100-(_xlfn.XLOOKUP(Assessment!#REF!,Inherited!A:A,Inherited!B:B)))/100)*IF(AB59="1.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(100%)","100"))))))&lt;=89),"75",IF((((_xlfn.XLOOKUP(Assessment!#REF!,Inherited!A:A,Inherited!B:B))/100)*(_xlfn.XLOOKUP(Assessment!#REF!,Inherited!A:A,Inherited!G:G)))+(((100-(_xlfn.XLOOKUP(Assessment!#REF!,Inherited!A:A,Inherited!B:B)))/100)*IF(AB59="1. Non Compliant (0%)","0",IF(AB59="2. Somewhat Compliant (25%)","25",IF(AB59="3. Partially Compliant (50%)","50",IF(AB59="4. Mostly Compliant (75%)","75",IF(AB59="5. Fully Compliant (100%)","100"))))))&gt;=90,"100"))))))</f>
        <v>#N/A</v>
      </c>
      <c r="V59" s="55" t="s">
        <v>85</v>
      </c>
      <c r="W59" s="55"/>
      <c r="X59" s="55"/>
      <c r="Y59" s="55"/>
      <c r="Z59" s="55" t="s">
        <v>88</v>
      </c>
      <c r="AA59" s="55"/>
      <c r="AB59" s="55"/>
      <c r="AK59" s="1" t="s">
        <v>10978</v>
      </c>
      <c r="AL59" s="1" t="s">
        <v>11033</v>
      </c>
      <c r="AP59" s="1" t="s">
        <v>11075</v>
      </c>
      <c r="AX59" s="3" t="str">
        <f>_xlfn.CONCAT("A-LIGN finished its review of this control on ",AR59, " during the scheduled fieldwork window (",Intro!$B$4,")."&amp; CHAR(10)&amp; CHAR(10))</f>
        <v xml:space="preserve">A-LIGN finished its review of this control on  during the scheduled fieldwork window (Fieldwork: xx/xx/xxxx - xx/xx/xxxx).
</v>
      </c>
      <c r="AY59" s="3" t="str">
        <f t="shared" si="81"/>
        <v/>
      </c>
      <c r="AZ59" s="3" t="str">
        <f t="shared" si="82"/>
        <v/>
      </c>
      <c r="BA59" s="3" t="str">
        <f t="shared" si="83"/>
        <v/>
      </c>
      <c r="BB59" s="3" t="str">
        <f t="shared" si="84"/>
        <v xml:space="preserve">Inquired of the following workforce member: 
Michael Wood - VP of AI Engineering
Kyle Smith - IT Operations and AI Expert 
Inquiry lead to the following conclusions: 
Due diligence on vendors and third-party service providers through risk assessments and compliance attestation reviews. 
A similar evaluation process would be used to inspect AI software assets
</v>
      </c>
      <c r="BC59" s="3" t="str">
        <f t="shared" si="85"/>
        <v/>
      </c>
      <c r="BD59" s="3" t="str">
        <f t="shared" si="86"/>
        <v xml:space="preserve">Examined the following evidence during fieldwork:
Reviewed evidence addressed the requirement statement.
Reviewed evidence exception note: 
Gap: 
Do not have assurance that inspections were carried out on all AI software assets in use.
Recommendation:
Management should ensure that inspections are carried out on all AI software assets prior to their use. 
</v>
      </c>
      <c r="BE59" s="3" t="str">
        <f t="shared" si="87"/>
        <v/>
      </c>
      <c r="BF59" s="3" t="str">
        <f t="shared" si="88"/>
        <v/>
      </c>
      <c r="BG59" s="3" t="str">
        <f>_xlfn.CONCAT((IF((COUNTIF('Sample Tables'!B:B,"Test 222: Change (artificial intelligence) ")&gt;0)=TRUE,_xlfn.CONCAT("Sample test results are documented in ",'Sample Tables'!B2438," [",'Sample Tables'!B2439,", ",'Sample Tables'!B2440,", ",'Sample Tables'!B2441,", ",'Sample Tables'!B2442,", ",'Sample Tables'!B2443,"]."&amp;CHAR(10)),IF((COUNTIF('Sample Tables'!B:B,"Test 222: Change (artificial intelligence) ")&gt;0)=FALSE,""))),)</f>
        <v xml:space="preserve">Sample test results are documented in Test 222: Change (artificial intelligence)  [Population Source/Tool: , Population Date Range: , Population Size: , Sample Methodology: , Sample Size: ].
</v>
      </c>
      <c r="BH59" s="3" t="str">
        <f t="shared" si="8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Due diligence on vendors and third-party service providers through risk assessments and compliance attestation reviews. 
A similar evaluation process would be used to inspect AI software assets
Examined the following evidence during fieldwork:
Reviewed evidence addressed the requirement statement.
Reviewed evidence exception note: 
Gap: 
Do not have assurance that inspections were carried out on all AI software assets in use.
Recommendation:
Management should ensure that inspections are carried out on all AI software assets prior to their use. 
Sample test results are documented in Test 222: Change (artificial intelligence)  [Population Source/Tool: , Population Date Range: , Population Size: , Sample Methodology: , Sample Size: ].
</v>
      </c>
    </row>
    <row r="60" spans="3:60" ht="409.5" x14ac:dyDescent="0.35">
      <c r="C60" s="1">
        <f t="shared" ref="C60:C64" si="90">IF(V60="No","Not Applicable",(IF(X60="1. Non Compliant (0%)","0",IF(X60="2. Somewhat Compliant (25%)","25",IF(X60="3. Partially Compliant (50%)","50",IF(X60="4. Mostly Compliant (75%)","75",IF(X60="5. Fully Compliant (100%)","100")))))*0.15)+((IF(Y60="1. Non Compliant (0%)","0",IF(Y60="2. Somewhat Compliant (25%)","25",IF(Y60="3. Partially Compliant (50%)","50",IF(Y60="4. Mostly Compliant (75%)","75",IF(Y60="5. Fully Compliant (100%)","100"))))))*0.2)+(IF(Z60="1. Non Compliant (0%)","0",IF(Z60="2. Somewhat Compliant (25%)","25",IF(Z60="3. Partially Compliant (50%)","50",IF(Z60="4. Mostly Compliant (75%)","75",IF(Z60="5. Fully Compliant (100%)","100")))))*0.4)+(IF(AA60="1. Non Compliant (0%)","0",IF(AA60="2. Somewhat Compliant (25%)","25",IF(AA60="3. Partially Compliant (50%)","50",IF(AA60="4. Mostly Compliant (75%)","75",IF(AA60="5. Fully Compliant (100%)","100")))))*0.1)+(IF(AB60="1. Non Compliant (0%)","0",IF(AB60="2. Somewhat Compliant (25%)","25",IF(AB60="3. Partially Compliant (50%)","50",IF(AB60="4. Mostly Compliant (75%)","75",IF(AB60="5. Fully Compliant (100%)","100")))))*0.15))</f>
        <v>20</v>
      </c>
      <c r="D60" s="5" t="str">
        <f>IF(AND((_xlfn.XLOOKUP(J60,'Fields &amp; Revisions'!$H:$H,'Fields &amp; Revisions'!$I:$I))&lt;70.99,(OR(Z60="4. Mostly Compliant (75%)",Z60="3. Partially Compliant (50%)",Z60="2. Somewhat Compliant (25%)",Z60="1. Non Compliant (0%)"))),"Yes","No")</f>
        <v>Yes</v>
      </c>
      <c r="E60" s="5" t="str">
        <f>IF(ISERROR(VLOOKUP(H60,Scope!A:A,1,FALSE)),"No","Yes")</f>
        <v>Yes</v>
      </c>
      <c r="F60" s="1" t="s">
        <v>1293</v>
      </c>
      <c r="G60" s="53" t="s">
        <v>1519</v>
      </c>
      <c r="H60" s="53" t="s">
        <v>1520</v>
      </c>
      <c r="I60" s="5">
        <v>1</v>
      </c>
      <c r="J60" s="1" t="s">
        <v>284</v>
      </c>
      <c r="K60" s="1" t="s">
        <v>1521</v>
      </c>
      <c r="L60" s="1" t="s">
        <v>1522</v>
      </c>
      <c r="M60" s="1" t="s">
        <v>1523</v>
      </c>
      <c r="N60" s="5" t="s">
        <v>98</v>
      </c>
      <c r="O60" s="1" t="str">
        <f>_xlfn.XLOOKUP(G60,SRMs!$A:$A,SRMs!$D:$D)</f>
        <v>PARTIAL INHERITANCE</v>
      </c>
      <c r="P60" s="1" t="str">
        <f>IFERROR(VLOOKUP(H60,Inherited!A:B,2,FALSE),"")</f>
        <v/>
      </c>
      <c r="Q60" s="1" t="e">
        <f>IF(MATCH(H60,Inherited!A:A),IF((((_xlfn.XLOOKUP(Assessment!H61,Inherited!A:A,Inherited!B:B))/100)*(_xlfn.XLOOKUP(Assessment!H61,Inherited!A:A,Inherited!C:C)))+(((100-(_xlfn.XLOOKUP(Assessment!H61,Inherited!A:A,Inherited!B:B)))/100)*IF(X60="1.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(100%)","100"))))))&lt;=10,"0", IF(AND((((_xlfn.XLOOKUP(Assessment!H61,Inherited!A:A,Inherited!B:B))/100)*(_xlfn.XLOOKUP(Assessment!H61,Inherited!A:A,Inherited!C:C)))+(((100-(_xlfn.XLOOKUP(Assessment!H61,Inherited!A:A,Inherited!B:B)))/100)*IF(X60="1.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(100%)","100"))))))&gt;=11,(((_xlfn.XLOOKUP(Assessment!H61,Inherited!A:A,Inherited!B:B))/100)*(_xlfn.XLOOKUP(Assessment!H61,Inherited!A:A,Inherited!C:C)))+(((100-(_xlfn.XLOOKUP(Assessment!H61,Inherited!A:A,Inherited!B:B)))/100)*IF(X60="1.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(100%)","100"))))))&lt;=32),"25",IF(AND((((_xlfn.XLOOKUP(Assessment!H61,Inherited!A:A,Inherited!B:B))/100)*(_xlfn.XLOOKUP(Assessment!H61,Inherited!A:A,Inherited!C:C)))+(((100-(_xlfn.XLOOKUP(Assessment!H61,Inherited!A:A,Inherited!B:B)))/100)*IF(X60="1.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(100%)","100"))))))&gt;=33,(((_xlfn.XLOOKUP(Assessment!H61,Inherited!A:A,Inherited!B:B))/100)*(_xlfn.XLOOKUP(Assessment!H61,Inherited!A:A,Inherited!C:C)))+(((100-(_xlfn.XLOOKUP(Assessment!H61,Inherited!A:A,Inherited!B:B)))/100)*IF(X60="1.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(100%)","100"))))))&lt;=65),"50",IF(AND((((_xlfn.XLOOKUP(Assessment!H61,Inherited!A:A,Inherited!B:B))/100)*(_xlfn.XLOOKUP(Assessment!H61,Inherited!A:A,Inherited!C:C)))+(((100-(_xlfn.XLOOKUP(Assessment!H61,Inherited!A:A,Inherited!B:B)))/100)*IF(X60="1.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(100%)","100"))))))&gt;=66,(((_xlfn.XLOOKUP(Assessment!H61,Inherited!A:A,Inherited!B:B))/100)*(_xlfn.XLOOKUP(Assessment!H61,Inherited!A:A,Inherited!C:C)))+(((100-(_xlfn.XLOOKUP(Assessment!H61,Inherited!A:A,Inherited!B:B)))/100)*IF(X60="1.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(100%)","100"))))))&lt;=89),"75",IF((((_xlfn.XLOOKUP(Assessment!H61,Inherited!A:A,Inherited!B:B))/100)*(_xlfn.XLOOKUP(Assessment!H61,Inherited!A:A,Inherited!C:C)))+(((100-(_xlfn.XLOOKUP(Assessment!H61,Inherited!A:A,Inherited!B:B)))/100)*IF(X60="1. Non Compliant (0%)","0",IF(X60="2. Somewhat Compliant (25%)","25",IF(X60="3. Partially Compliant (50%)","50",IF(X60="4. Mostly Compliant (75%)","75",IF(X60="5. Fully Compliant (100%)","100"))))))&gt;=90,"100"))))))</f>
        <v>#N/A</v>
      </c>
      <c r="R60" s="1" t="e">
        <f>IF(MATCH(H60,Inherited!A:A),IF((((_xlfn.XLOOKUP(Assessment!H61,Inherited!A:A,Inherited!B:B))/100)*(_xlfn.XLOOKUP(Assessment!H61,Inherited!A:A,Inherited!D:D)))+(((100-(_xlfn.XLOOKUP(Assessment!H61,Inherited!A:A,Inherited!B:B)))/100)*IF(Y60="1.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(100%)","100"))))))&lt;=10,"0", IF(AND((((_xlfn.XLOOKUP(Assessment!H61,Inherited!A:A,Inherited!B:B))/100)*(_xlfn.XLOOKUP(Assessment!H61,Inherited!A:A,Inherited!D:D)))+(((100-(_xlfn.XLOOKUP(Assessment!H61,Inherited!A:A,Inherited!B:B)))/100)*IF(Y60="1.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(100%)","100"))))))&gt;=11,(((_xlfn.XLOOKUP(Assessment!H61,Inherited!A:A,Inherited!B:B))/100)*(_xlfn.XLOOKUP(Assessment!H61,Inherited!A:A,Inherited!D:D)))+(((100-(_xlfn.XLOOKUP(Assessment!H61,Inherited!A:A,Inherited!B:B)))/100)*IF(Y60="1.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(100%)","100"))))))&lt;=32),"25",IF(AND((((_xlfn.XLOOKUP(Assessment!H61,Inherited!A:A,Inherited!B:B))/100)*(_xlfn.XLOOKUP(Assessment!H61,Inherited!A:A,Inherited!D:D)))+(((100-(_xlfn.XLOOKUP(Assessment!H61,Inherited!A:A,Inherited!B:B)))/100)*IF(Y60="1.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(100%)","100"))))))&gt;=33,(((_xlfn.XLOOKUP(Assessment!H61,Inherited!A:A,Inherited!B:B))/100)*(_xlfn.XLOOKUP(Assessment!H61,Inherited!A:A,Inherited!D:D)))+(((100-(_xlfn.XLOOKUP(Assessment!H61,Inherited!A:A,Inherited!B:B)))/100)*IF(Y60="1.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(100%)","100"))))))&lt;=65),"50",IF(AND((((_xlfn.XLOOKUP(Assessment!H61,Inherited!A:A,Inherited!B:B))/100)*(_xlfn.XLOOKUP(Assessment!H61,Inherited!A:A,Inherited!D:D)))+(((100-(_xlfn.XLOOKUP(Assessment!H61,Inherited!A:A,Inherited!B:B)))/100)*IF(Y60="1.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(100%)","100"))))))&gt;=66,(((_xlfn.XLOOKUP(Assessment!H61,Inherited!A:A,Inherited!B:B))/100)*(_xlfn.XLOOKUP(Assessment!H61,Inherited!A:A,Inherited!D:D)))+(((100-(_xlfn.XLOOKUP(Assessment!H61,Inherited!A:A,Inherited!B:B)))/100)*IF(Y60="1.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(100%)","100"))))))&lt;=89),"75",IF((((_xlfn.XLOOKUP(Assessment!H61,Inherited!A:A,Inherited!B:B))/100)*(_xlfn.XLOOKUP(Assessment!H61,Inherited!A:A,Inherited!D:D)))+(((100-(_xlfn.XLOOKUP(Assessment!H61,Inherited!A:A,Inherited!B:B)))/100)*IF(Y60="1. Non Compliant (0%)","0",IF(Y60="2. Somewhat Compliant (25%)","25",IF(Y60="3. Partially Compliant (50%)","50",IF(Y60="4. Mostly Compliant (75%)","75",IF(Y60="5. Fully Compliant (100%)","100"))))))&gt;=90,"100"))))))</f>
        <v>#N/A</v>
      </c>
      <c r="S60" s="1" t="e">
        <f>IF(MATCH(H60,Inherited!A:A),IF((((_xlfn.XLOOKUP(Assessment!H61,Inherited!A:A,Inherited!B:B))/100)*(_xlfn.XLOOKUP(Assessment!H61,Inherited!A:A,Inherited!E:E)))+(((100-(_xlfn.XLOOKUP(Assessment!H61,Inherited!A:A,Inherited!B:B)))/100)*IF(Z60="1.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(100%)","100"))))))&lt;=10,"0", IF(AND((((_xlfn.XLOOKUP(Assessment!H61,Inherited!A:A,Inherited!B:B))/100)*(_xlfn.XLOOKUP(Assessment!H61,Inherited!A:A,Inherited!E:E)))+(((100-(_xlfn.XLOOKUP(Assessment!H61,Inherited!A:A,Inherited!B:B)))/100)*IF(Z60="1.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(100%)","100"))))))&gt;=11,(((_xlfn.XLOOKUP(Assessment!H61,Inherited!A:A,Inherited!B:B))/100)*(_xlfn.XLOOKUP(Assessment!H61,Inherited!A:A,Inherited!E:E)))+(((100-(_xlfn.XLOOKUP(Assessment!H61,Inherited!A:A,Inherited!B:B)))/100)*IF(Z60="1.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(100%)","100"))))))&lt;=32),"25",IF(AND((((_xlfn.XLOOKUP(Assessment!H61,Inherited!A:A,Inherited!B:B))/100)*(_xlfn.XLOOKUP(Assessment!H61,Inherited!A:A,Inherited!E:E)))+(((100-(_xlfn.XLOOKUP(Assessment!H61,Inherited!A:A,Inherited!B:B)))/100)*IF(Z60="1.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(100%)","100"))))))&gt;=33,(((_xlfn.XLOOKUP(Assessment!H61,Inherited!A:A,Inherited!B:B))/100)*(_xlfn.XLOOKUP(Assessment!H61,Inherited!A:A,Inherited!E:E)))+(((100-(_xlfn.XLOOKUP(Assessment!H61,Inherited!A:A,Inherited!B:B)))/100)*IF(Z60="1.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(100%)","100"))))))&lt;=65),"50",IF(AND((((_xlfn.XLOOKUP(Assessment!H61,Inherited!A:A,Inherited!B:B))/100)*(_xlfn.XLOOKUP(Assessment!H61,Inherited!A:A,Inherited!E:E)))+(((100-(_xlfn.XLOOKUP(Assessment!H61,Inherited!A:A,Inherited!B:B)))/100)*IF(Z60="1.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(100%)","100"))))))&gt;=66,(((_xlfn.XLOOKUP(Assessment!H61,Inherited!A:A,Inherited!B:B))/100)*(_xlfn.XLOOKUP(Assessment!H61,Inherited!A:A,Inherited!E:E)))+(((100-(_xlfn.XLOOKUP(Assessment!H61,Inherited!A:A,Inherited!B:B)))/100)*IF(Z60="1.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(100%)","100"))))))&lt;=89),"75",IF((((_xlfn.XLOOKUP(Assessment!H61,Inherited!A:A,Inherited!B:B))/100)*(_xlfn.XLOOKUP(Assessment!H61,Inherited!A:A,Inherited!E:E)))+(((100-(_xlfn.XLOOKUP(Assessment!H61,Inherited!A:A,Inherited!B:B)))/100)*IF(Z60="1. Non Compliant (0%)","0",IF(Z60="2. Somewhat Compliant (25%)","25",IF(Z60="3. Partially Compliant (50%)","50",IF(Z60="4. Mostly Compliant (75%)","75",IF(Z60="5. Fully Compliant (100%)","100"))))))&gt;=90,"100"))))))</f>
        <v>#N/A</v>
      </c>
      <c r="T60" s="1" t="e">
        <f>IF(MATCH(H60,Inherited!A:A),IF((((_xlfn.XLOOKUP(Assessment!H61,Inherited!A:A,Inherited!B:B))/100)*(_xlfn.XLOOKUP(Assessment!H61,Inherited!A:A,Inherited!F:F)))+(((100-(_xlfn.XLOOKUP(Assessment!H61,Inherited!A:A,Inherited!B:B)))/100)*IF(AA60="1.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(100%)","100"))))))&lt;=10,"0", IF(AND((((_xlfn.XLOOKUP(Assessment!H61,Inherited!A:A,Inherited!B:B))/100)*(_xlfn.XLOOKUP(Assessment!H61,Inherited!A:A,Inherited!F:F)))+(((100-(_xlfn.XLOOKUP(Assessment!H61,Inherited!A:A,Inherited!B:B)))/100)*IF(AA60="1.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(100%)","100"))))))&gt;=11,(((_xlfn.XLOOKUP(Assessment!H61,Inherited!A:A,Inherited!B:B))/100)*(_xlfn.XLOOKUP(Assessment!H61,Inherited!A:A,Inherited!F:F)))+(((100-(_xlfn.XLOOKUP(Assessment!H61,Inherited!A:A,Inherited!B:B)))/100)*IF(AA60="1.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(100%)","100"))))))&lt;=32),"25",IF(AND((((_xlfn.XLOOKUP(Assessment!H61,Inherited!A:A,Inherited!B:B))/100)*(_xlfn.XLOOKUP(Assessment!H61,Inherited!A:A,Inherited!F:F)))+(((100-(_xlfn.XLOOKUP(Assessment!H61,Inherited!A:A,Inherited!B:B)))/100)*IF(AA60="1.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(100%)","100"))))))&gt;=33,(((_xlfn.XLOOKUP(Assessment!H61,Inherited!A:A,Inherited!B:B))/100)*(_xlfn.XLOOKUP(Assessment!H61,Inherited!A:A,Inherited!F:F)))+(((100-(_xlfn.XLOOKUP(Assessment!H61,Inherited!A:A,Inherited!B:B)))/100)*IF(AA60="1.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(100%)","100"))))))&lt;=65),"50",IF(AND((((_xlfn.XLOOKUP(Assessment!H61,Inherited!A:A,Inherited!B:B))/100)*(_xlfn.XLOOKUP(Assessment!H61,Inherited!A:A,Inherited!F:F)))+(((100-(_xlfn.XLOOKUP(Assessment!H61,Inherited!A:A,Inherited!B:B)))/100)*IF(AA60="1.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(100%)","100"))))))&gt;=66,(((_xlfn.XLOOKUP(Assessment!H61,Inherited!A:A,Inherited!B:B))/100)*(_xlfn.XLOOKUP(Assessment!H61,Inherited!A:A,Inherited!F:F)))+(((100-(_xlfn.XLOOKUP(Assessment!H61,Inherited!A:A,Inherited!B:B)))/100)*IF(AA60="1.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(100%)","100"))))))&lt;=89),"75",IF((((_xlfn.XLOOKUP(Assessment!H61,Inherited!A:A,Inherited!B:B))/100)*(_xlfn.XLOOKUP(Assessment!H61,Inherited!A:A,Inherited!F:F)))+(((100-(_xlfn.XLOOKUP(Assessment!H61,Inherited!A:A,Inherited!B:B)))/100)*IF(AA60="1. Non Compliant (0%)","0",IF(AA60="2. Somewhat Compliant (25%)","25",IF(AA60="3. Partially Compliant (50%)","50",IF(AA60="4. Mostly Compliant (75%)","75",IF(AA60="5. Fully Compliant (100%)","100"))))))&gt;=90,"100"))))))</f>
        <v>#N/A</v>
      </c>
      <c r="U60" s="1" t="e">
        <f>IF(MATCH(H60,Inherited!A:A),IF((((_xlfn.XLOOKUP(Assessment!H61,Inherited!A:A,Inherited!B:B))/100)*(_xlfn.XLOOKUP(Assessment!H61,Inherited!A:A,Inherited!G:G)))+(((100-(_xlfn.XLOOKUP(Assessment!H61,Inherited!A:A,Inherited!B:B)))/100)*IF(AB60="1.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(100%)","100"))))))&lt;=10,"0", IF(AND((((_xlfn.XLOOKUP(Assessment!H61,Inherited!A:A,Inherited!B:B))/100)*(_xlfn.XLOOKUP(Assessment!H61,Inherited!A:A,Inherited!G:G)))+(((100-(_xlfn.XLOOKUP(Assessment!H61,Inherited!A:A,Inherited!B:B)))/100)*IF(AB60="1.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(100%)","100"))))))&gt;=11,(((_xlfn.XLOOKUP(Assessment!H61,Inherited!A:A,Inherited!B:B))/100)*(_xlfn.XLOOKUP(Assessment!H61,Inherited!A:A,Inherited!G:G)))+(((100-(_xlfn.XLOOKUP(Assessment!H61,Inherited!A:A,Inherited!B:B)))/100)*IF(AB60="1.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(100%)","100"))))))&lt;=32),"25",IF(AND((((_xlfn.XLOOKUP(Assessment!H61,Inherited!A:A,Inherited!B:B))/100)*(_xlfn.XLOOKUP(Assessment!H61,Inherited!A:A,Inherited!G:G)))+(((100-(_xlfn.XLOOKUP(Assessment!H61,Inherited!A:A,Inherited!B:B)))/100)*IF(AB60="1.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(100%)","100"))))))&gt;=33,(((_xlfn.XLOOKUP(Assessment!H61,Inherited!A:A,Inherited!B:B))/100)*(_xlfn.XLOOKUP(Assessment!H61,Inherited!A:A,Inherited!G:G)))+(((100-(_xlfn.XLOOKUP(Assessment!H61,Inherited!A:A,Inherited!B:B)))/100)*IF(AB60="1.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(100%)","100"))))))&lt;=65),"50",IF(AND((((_xlfn.XLOOKUP(Assessment!H61,Inherited!A:A,Inherited!B:B))/100)*(_xlfn.XLOOKUP(Assessment!H61,Inherited!A:A,Inherited!G:G)))+(((100-(_xlfn.XLOOKUP(Assessment!H61,Inherited!A:A,Inherited!B:B)))/100)*IF(AB60="1.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(100%)","100"))))))&gt;=66,(((_xlfn.XLOOKUP(Assessment!H61,Inherited!A:A,Inherited!B:B))/100)*(_xlfn.XLOOKUP(Assessment!H61,Inherited!A:A,Inherited!G:G)))+(((100-(_xlfn.XLOOKUP(Assessment!H61,Inherited!A:A,Inherited!B:B)))/100)*IF(AB60="1.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(100%)","100"))))))&lt;=89),"75",IF((((_xlfn.XLOOKUP(Assessment!H61,Inherited!A:A,Inherited!B:B))/100)*(_xlfn.XLOOKUP(Assessment!H61,Inherited!A:A,Inherited!G:G)))+(((100-(_xlfn.XLOOKUP(Assessment!H61,Inherited!A:A,Inherited!B:B)))/100)*IF(AB60="1. Non Compliant (0%)","0",IF(AB60="2. Somewhat Compliant (25%)","25",IF(AB60="3. Partially Compliant (50%)","50",IF(AB60="4. Mostly Compliant (75%)","75",IF(AB60="5. Fully Compliant (100%)","100"))))))&gt;=90,"100"))))))</f>
        <v>#N/A</v>
      </c>
      <c r="V60" s="55" t="s">
        <v>85</v>
      </c>
      <c r="W60" s="55"/>
      <c r="X60" s="55"/>
      <c r="Y60" s="55"/>
      <c r="Z60" s="55" t="s">
        <v>88</v>
      </c>
      <c r="AA60" s="55"/>
      <c r="AB60" s="55"/>
      <c r="AK60" s="1" t="s">
        <v>10947</v>
      </c>
      <c r="AM60" s="1" t="s">
        <v>11019</v>
      </c>
      <c r="AP60" s="1" t="s">
        <v>11018</v>
      </c>
      <c r="AX60" s="3" t="str">
        <f>_xlfn.CONCAT("A-LIGN finished its review of this control on ",AR60, " during the scheduled fieldwork window (",Intro!$B$4,")."&amp; CHAR(10)&amp; CHAR(10))</f>
        <v xml:space="preserve">A-LIGN finished its review of this control on  during the scheduled fieldwork window (Fieldwork: xx/xx/xxxx - xx/xx/xxxx).
</v>
      </c>
      <c r="AY60" s="3" t="str">
        <f t="shared" ref="AY60:AY64" si="91">IF(AQ60&lt;&gt;"",(_xlfn.CONCAT("Inheritance note: "&amp; CHAR(10),AQ60&amp; CHAR(10)&amp; CHAR(10))),"")</f>
        <v/>
      </c>
      <c r="AZ60" s="3" t="str">
        <f t="shared" ref="AZ60:AZ64" si="92">IFERROR(IF(AD60&lt;&gt;"",_xlfn.CONCAT("Examined the following policy during fieldwork:"&amp; CHAR(10),AD60&amp; CHAR(10)&amp; CHAR(10),IF(AND(X60&lt;&gt;"5. Fully Compliant (100%)",AE60&lt;&gt;""),"Reviewed policy exception note:"&amp; CHAR(10) &amp; AE60 &amp; CHAR(10) &amp; CHAR(10),"")),""),"")</f>
        <v/>
      </c>
      <c r="BA60" s="3" t="str">
        <f t="shared" ref="BA60:BA64" si="93">IFERROR(IF(AH60&lt;&gt;"",_xlfn.CONCAT("Examined the following process during fieldwork:"&amp; CHAR(10),AH60&amp; CHAR(10)&amp; CHAR(10),IF(AND(Y60&lt;&gt;"5. Fully Compliant (100%)",AI60&lt;&gt;""),"Reviewed process exception note:"&amp; CHAR(10) &amp; AI60 &amp; CHAR(10) &amp; CHAR(10),"")),""),"")</f>
        <v/>
      </c>
      <c r="BB60" s="3" t="str">
        <f t="shared" ref="BB60:BB64" si="94">IF(AK60&lt;&gt;"",(_xlfn.CONCAT("Inquired of the following workforce member: "&amp; CHAR(10),AK60&amp; CHAR(10)&amp; CHAR(10),"Inquiry lead to the following conclusions: "&amp; CHAR(10),AL60&amp; CHAR(10) &amp; CHAR(10))),"")</f>
        <v xml:space="preserve">Inquired of the following workforce member: 
Roze Nicolas - Director of TechOps
Inquiry lead to the following conclusions: 
</v>
      </c>
      <c r="BC60" s="3" t="str">
        <f t="shared" ref="BC60:BC64" si="95">IF(AM60&lt;&gt;"",(_xlfn.CONCAT("Observed the following live during fieldwork: "&amp; CHAR(10),AM60&amp; CHAR(10) &amp; CHAR(10))),"")</f>
        <v xml:space="preserve">Observed the following live during fieldwork: 
Observed the Vanta dashboard which houses the asset inventories, as well as follows the same process as the vendor review which sends users a reminder about an upcoming review that needs to be completed.
</v>
      </c>
      <c r="BD60" s="3" t="str">
        <f t="shared" ref="BD60:BD64" si="96">_xlfn.CONCAT("Examined the following evidence during fieldwork:"&amp; CHAR(10),AN60&amp; CHAR(10)&amp; CHAR(10),IF(AO60&lt;&gt;"","Reviewed evidence note:"&amp; CHAR(10)&amp;AO60&amp; CHAR(10) &amp; CHAR(10),"Reviewed evidence addressed the requirement statement."&amp; CHAR(10) &amp; CHAR(10)),IF(AND(AP60&lt;&gt;"5. Fully Compliant (100%)",AP60&lt;&gt;""),"Reviewed evidence exception note: "&amp; CHAR(10) &amp; AP60 &amp; CHAR(10) &amp; CHAR(10),""))</f>
        <v xml:space="preserve">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v>
      </c>
      <c r="BE60" s="3" t="str">
        <f t="shared" ref="BE60:BE64" si="97">IF(AT60&lt;&gt;"",(_xlfn.CONCAT("Examined the following measure/metric during fieldwork:"&amp; CHAR(10),AT60&amp; CHAR(10)&amp; CHAR(10),"Reviewed measure/metric note:"&amp; CHAR(10),AU60 &amp; CHAR(10) &amp; CHAR(10))),"")</f>
        <v/>
      </c>
      <c r="BF60" s="3" t="str">
        <f t="shared" ref="BF60:BF64" si="98">IF(AV60&lt;&gt;"",(_xlfn.CONCAT("Examined the following measure/metric management during fieldwork:"&amp; CHAR(10),AV60&amp; CHAR(10)&amp; CHAR(10),"Reviewed measure/metric management note:"&amp; CHAR(10),AW60 &amp; CHAR(10) &amp; CHAR(10))),"")</f>
        <v/>
      </c>
      <c r="BG60" s="3" t="str">
        <f>_xlfn.CONCAT((IF((COUNTIF('Sample Tables'!B:B,"")&gt;0)=TRUE,_xlfn.CONCAT("",""),IF((COUNTIF('Sample Tables'!B:B,"")&gt;0)=FALSE,""))),)</f>
        <v/>
      </c>
      <c r="BH60" s="3" t="str">
        <f t="shared" ref="BH60:BH64" si="99">IF(V60="No","Not Applicable: "&amp;W60,(_xlfn.CONCAT(AX60,AY60,AZ60,BA60,BB60,BC60,BD60,BE60,BF60,BG60)))</f>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the Vanta dashboard which houses the asset inventories, as well as follows the same process as the vendor review which sends users a reminder about an upcoming review that needs to be completed.
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v>
      </c>
    </row>
    <row r="61" spans="3:60" ht="362.5" x14ac:dyDescent="0.35">
      <c r="C61" s="1">
        <f t="shared" si="90"/>
        <v>20</v>
      </c>
      <c r="D61" s="5" t="str">
        <f>IF(AND((_xlfn.XLOOKUP(J61,'Fields &amp; Revisions'!$H:$H,'Fields &amp; Revisions'!$I:$I))&lt;70.99,(OR(Z61="4. Mostly Compliant (75%)",Z61="3. Partially Compliant (50%)",Z61="2. Somewhat Compliant (25%)",Z61="1. Non Compliant (0%)"))),"Yes","No")</f>
        <v>Yes</v>
      </c>
      <c r="E61" s="5" t="str">
        <f>IF(ISERROR(VLOOKUP(H61,Scope!A:A,1,FALSE)),"No","Yes")</f>
        <v>Yes</v>
      </c>
      <c r="F61" s="1" t="s">
        <v>1293</v>
      </c>
      <c r="G61" s="53" t="s">
        <v>1524</v>
      </c>
      <c r="H61" s="53" t="s">
        <v>1525</v>
      </c>
      <c r="I61" s="5">
        <v>1</v>
      </c>
      <c r="J61" s="1" t="s">
        <v>284</v>
      </c>
      <c r="K61" s="1" t="s">
        <v>1526</v>
      </c>
      <c r="L61" s="1" t="s">
        <v>1522</v>
      </c>
      <c r="M61" s="1" t="s">
        <v>1523</v>
      </c>
      <c r="N61" s="5" t="s">
        <v>98</v>
      </c>
      <c r="O61" s="1" t="str">
        <f>_xlfn.XLOOKUP(G61,SRMs!$A:$A,SRMs!$D:$D)</f>
        <v>PARTIAL INHERITANCE</v>
      </c>
      <c r="P61" s="1" t="str">
        <f>IFERROR(VLOOKUP(H61,Inherited!A:B,2,FALSE),"")</f>
        <v/>
      </c>
      <c r="Q61" s="1" t="e">
        <f>IF(MATCH(H61,Inherited!A:A),IF((((_xlfn.XLOOKUP(Assessment!#REF!,Inherited!A:A,Inherited!B:B))/100)*(_xlfn.XLOOKUP(Assessment!#REF!,Inherited!A:A,Inherited!C:C)))+(((100-(_xlfn.XLOOKUP(Assessment!#REF!,Inherited!A:A,Inherited!B:B)))/100)*IF(X61="1.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(100%)","100"))))))&lt;=10,"0", IF(AND((((_xlfn.XLOOKUP(Assessment!#REF!,Inherited!A:A,Inherited!B:B))/100)*(_xlfn.XLOOKUP(Assessment!#REF!,Inherited!A:A,Inherited!C:C)))+(((100-(_xlfn.XLOOKUP(Assessment!#REF!,Inherited!A:A,Inherited!B:B)))/100)*IF(X61="1.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(100%)","100"))))))&gt;=11,(((_xlfn.XLOOKUP(Assessment!#REF!,Inherited!A:A,Inherited!B:B))/100)*(_xlfn.XLOOKUP(Assessment!#REF!,Inherited!A:A,Inherited!C:C)))+(((100-(_xlfn.XLOOKUP(Assessment!#REF!,Inherited!A:A,Inherited!B:B)))/100)*IF(X61="1.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(100%)","100"))))))&lt;=32),"25",IF(AND((((_xlfn.XLOOKUP(Assessment!#REF!,Inherited!A:A,Inherited!B:B))/100)*(_xlfn.XLOOKUP(Assessment!#REF!,Inherited!A:A,Inherited!C:C)))+(((100-(_xlfn.XLOOKUP(Assessment!#REF!,Inherited!A:A,Inherited!B:B)))/100)*IF(X61="1.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(100%)","100"))))))&gt;=33,(((_xlfn.XLOOKUP(Assessment!#REF!,Inherited!A:A,Inherited!B:B))/100)*(_xlfn.XLOOKUP(Assessment!#REF!,Inherited!A:A,Inherited!C:C)))+(((100-(_xlfn.XLOOKUP(Assessment!#REF!,Inherited!A:A,Inherited!B:B)))/100)*IF(X61="1.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(100%)","100"))))))&lt;=65),"50",IF(AND((((_xlfn.XLOOKUP(Assessment!#REF!,Inherited!A:A,Inherited!B:B))/100)*(_xlfn.XLOOKUP(Assessment!#REF!,Inherited!A:A,Inherited!C:C)))+(((100-(_xlfn.XLOOKUP(Assessment!#REF!,Inherited!A:A,Inherited!B:B)))/100)*IF(X61="1.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(100%)","100"))))))&gt;=66,(((_xlfn.XLOOKUP(Assessment!#REF!,Inherited!A:A,Inherited!B:B))/100)*(_xlfn.XLOOKUP(Assessment!#REF!,Inherited!A:A,Inherited!C:C)))+(((100-(_xlfn.XLOOKUP(Assessment!#REF!,Inherited!A:A,Inherited!B:B)))/100)*IF(X61="1.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(100%)","100"))))))&lt;=89),"75",IF((((_xlfn.XLOOKUP(Assessment!#REF!,Inherited!A:A,Inherited!B:B))/100)*(_xlfn.XLOOKUP(Assessment!#REF!,Inherited!A:A,Inherited!C:C)))+(((100-(_xlfn.XLOOKUP(Assessment!#REF!,Inherited!A:A,Inherited!B:B)))/100)*IF(X61="1. Non Compliant (0%)","0",IF(X61="2. Somewhat Compliant (25%)","25",IF(X61="3. Partially Compliant (50%)","50",IF(X61="4. Mostly Compliant (75%)","75",IF(X61="5. Fully Compliant (100%)","100"))))))&gt;=90,"100"))))))</f>
        <v>#N/A</v>
      </c>
      <c r="R61" s="1" t="e">
        <f>IF(MATCH(H61,Inherited!A:A),IF((((_xlfn.XLOOKUP(Assessment!#REF!,Inherited!A:A,Inherited!B:B))/100)*(_xlfn.XLOOKUP(Assessment!#REF!,Inherited!A:A,Inherited!D:D)))+(((100-(_xlfn.XLOOKUP(Assessment!#REF!,Inherited!A:A,Inherited!B:B)))/100)*IF(Y61="1.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(100%)","100"))))))&lt;=10,"0", IF(AND((((_xlfn.XLOOKUP(Assessment!#REF!,Inherited!A:A,Inherited!B:B))/100)*(_xlfn.XLOOKUP(Assessment!#REF!,Inherited!A:A,Inherited!D:D)))+(((100-(_xlfn.XLOOKUP(Assessment!#REF!,Inherited!A:A,Inherited!B:B)))/100)*IF(Y61="1.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(100%)","100"))))))&gt;=11,(((_xlfn.XLOOKUP(Assessment!#REF!,Inherited!A:A,Inherited!B:B))/100)*(_xlfn.XLOOKUP(Assessment!#REF!,Inherited!A:A,Inherited!D:D)))+(((100-(_xlfn.XLOOKUP(Assessment!#REF!,Inherited!A:A,Inherited!B:B)))/100)*IF(Y61="1.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(100%)","100"))))))&lt;=32),"25",IF(AND((((_xlfn.XLOOKUP(Assessment!#REF!,Inherited!A:A,Inherited!B:B))/100)*(_xlfn.XLOOKUP(Assessment!#REF!,Inherited!A:A,Inherited!D:D)))+(((100-(_xlfn.XLOOKUP(Assessment!#REF!,Inherited!A:A,Inherited!B:B)))/100)*IF(Y61="1.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(100%)","100"))))))&gt;=33,(((_xlfn.XLOOKUP(Assessment!#REF!,Inherited!A:A,Inherited!B:B))/100)*(_xlfn.XLOOKUP(Assessment!#REF!,Inherited!A:A,Inherited!D:D)))+(((100-(_xlfn.XLOOKUP(Assessment!#REF!,Inherited!A:A,Inherited!B:B)))/100)*IF(Y61="1.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(100%)","100"))))))&lt;=65),"50",IF(AND((((_xlfn.XLOOKUP(Assessment!#REF!,Inherited!A:A,Inherited!B:B))/100)*(_xlfn.XLOOKUP(Assessment!#REF!,Inherited!A:A,Inherited!D:D)))+(((100-(_xlfn.XLOOKUP(Assessment!#REF!,Inherited!A:A,Inherited!B:B)))/100)*IF(Y61="1.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(100%)","100"))))))&gt;=66,(((_xlfn.XLOOKUP(Assessment!#REF!,Inherited!A:A,Inherited!B:B))/100)*(_xlfn.XLOOKUP(Assessment!#REF!,Inherited!A:A,Inherited!D:D)))+(((100-(_xlfn.XLOOKUP(Assessment!#REF!,Inherited!A:A,Inherited!B:B)))/100)*IF(Y61="1.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(100%)","100"))))))&lt;=89),"75",IF((((_xlfn.XLOOKUP(Assessment!#REF!,Inherited!A:A,Inherited!B:B))/100)*(_xlfn.XLOOKUP(Assessment!#REF!,Inherited!A:A,Inherited!D:D)))+(((100-(_xlfn.XLOOKUP(Assessment!#REF!,Inherited!A:A,Inherited!B:B)))/100)*IF(Y61="1. Non Compliant (0%)","0",IF(Y61="2. Somewhat Compliant (25%)","25",IF(Y61="3. Partially Compliant (50%)","50",IF(Y61="4. Mostly Compliant (75%)","75",IF(Y61="5. Fully Compliant (100%)","100"))))))&gt;=90,"100"))))))</f>
        <v>#N/A</v>
      </c>
      <c r="S61" s="1" t="e">
        <f>IF(MATCH(H61,Inherited!A:A),IF((((_xlfn.XLOOKUP(Assessment!#REF!,Inherited!A:A,Inherited!B:B))/100)*(_xlfn.XLOOKUP(Assessment!#REF!,Inherited!A:A,Inherited!E:E)))+(((100-(_xlfn.XLOOKUP(Assessment!#REF!,Inherited!A:A,Inherited!B:B)))/100)*IF(Z61="1.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(100%)","100"))))))&lt;=10,"0", IF(AND((((_xlfn.XLOOKUP(Assessment!#REF!,Inherited!A:A,Inherited!B:B))/100)*(_xlfn.XLOOKUP(Assessment!#REF!,Inherited!A:A,Inherited!E:E)))+(((100-(_xlfn.XLOOKUP(Assessment!#REF!,Inherited!A:A,Inherited!B:B)))/100)*IF(Z61="1.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(100%)","100"))))))&gt;=11,(((_xlfn.XLOOKUP(Assessment!#REF!,Inherited!A:A,Inherited!B:B))/100)*(_xlfn.XLOOKUP(Assessment!#REF!,Inherited!A:A,Inherited!E:E)))+(((100-(_xlfn.XLOOKUP(Assessment!#REF!,Inherited!A:A,Inherited!B:B)))/100)*IF(Z61="1.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(100%)","100"))))))&lt;=32),"25",IF(AND((((_xlfn.XLOOKUP(Assessment!#REF!,Inherited!A:A,Inherited!B:B))/100)*(_xlfn.XLOOKUP(Assessment!#REF!,Inherited!A:A,Inherited!E:E)))+(((100-(_xlfn.XLOOKUP(Assessment!#REF!,Inherited!A:A,Inherited!B:B)))/100)*IF(Z61="1.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(100%)","100"))))))&gt;=33,(((_xlfn.XLOOKUP(Assessment!#REF!,Inherited!A:A,Inherited!B:B))/100)*(_xlfn.XLOOKUP(Assessment!#REF!,Inherited!A:A,Inherited!E:E)))+(((100-(_xlfn.XLOOKUP(Assessment!#REF!,Inherited!A:A,Inherited!B:B)))/100)*IF(Z61="1.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(100%)","100"))))))&lt;=65),"50",IF(AND((((_xlfn.XLOOKUP(Assessment!#REF!,Inherited!A:A,Inherited!B:B))/100)*(_xlfn.XLOOKUP(Assessment!#REF!,Inherited!A:A,Inherited!E:E)))+(((100-(_xlfn.XLOOKUP(Assessment!#REF!,Inherited!A:A,Inherited!B:B)))/100)*IF(Z61="1.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(100%)","100"))))))&gt;=66,(((_xlfn.XLOOKUP(Assessment!#REF!,Inherited!A:A,Inherited!B:B))/100)*(_xlfn.XLOOKUP(Assessment!#REF!,Inherited!A:A,Inherited!E:E)))+(((100-(_xlfn.XLOOKUP(Assessment!#REF!,Inherited!A:A,Inherited!B:B)))/100)*IF(Z61="1.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(100%)","100"))))))&lt;=89),"75",IF((((_xlfn.XLOOKUP(Assessment!#REF!,Inherited!A:A,Inherited!B:B))/100)*(_xlfn.XLOOKUP(Assessment!#REF!,Inherited!A:A,Inherited!E:E)))+(((100-(_xlfn.XLOOKUP(Assessment!#REF!,Inherited!A:A,Inherited!B:B)))/100)*IF(Z61="1. Non Compliant (0%)","0",IF(Z61="2. Somewhat Compliant (25%)","25",IF(Z61="3. Partially Compliant (50%)","50",IF(Z61="4. Mostly Compliant (75%)","75",IF(Z61="5. Fully Compliant (100%)","100"))))))&gt;=90,"100"))))))</f>
        <v>#N/A</v>
      </c>
      <c r="T61" s="1" t="e">
        <f>IF(MATCH(H61,Inherited!A:A),IF((((_xlfn.XLOOKUP(Assessment!#REF!,Inherited!A:A,Inherited!B:B))/100)*(_xlfn.XLOOKUP(Assessment!#REF!,Inherited!A:A,Inherited!F:F)))+(((100-(_xlfn.XLOOKUP(Assessment!#REF!,Inherited!A:A,Inherited!B:B)))/100)*IF(AA61="1.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(100%)","100"))))))&lt;=10,"0", IF(AND((((_xlfn.XLOOKUP(Assessment!#REF!,Inherited!A:A,Inherited!B:B))/100)*(_xlfn.XLOOKUP(Assessment!#REF!,Inherited!A:A,Inherited!F:F)))+(((100-(_xlfn.XLOOKUP(Assessment!#REF!,Inherited!A:A,Inherited!B:B)))/100)*IF(AA61="1.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(100%)","100"))))))&gt;=11,(((_xlfn.XLOOKUP(Assessment!#REF!,Inherited!A:A,Inherited!B:B))/100)*(_xlfn.XLOOKUP(Assessment!#REF!,Inherited!A:A,Inherited!F:F)))+(((100-(_xlfn.XLOOKUP(Assessment!#REF!,Inherited!A:A,Inherited!B:B)))/100)*IF(AA61="1.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(100%)","100"))))))&lt;=32),"25",IF(AND((((_xlfn.XLOOKUP(Assessment!#REF!,Inherited!A:A,Inherited!B:B))/100)*(_xlfn.XLOOKUP(Assessment!#REF!,Inherited!A:A,Inherited!F:F)))+(((100-(_xlfn.XLOOKUP(Assessment!#REF!,Inherited!A:A,Inherited!B:B)))/100)*IF(AA61="1.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(100%)","100"))))))&gt;=33,(((_xlfn.XLOOKUP(Assessment!#REF!,Inherited!A:A,Inherited!B:B))/100)*(_xlfn.XLOOKUP(Assessment!#REF!,Inherited!A:A,Inherited!F:F)))+(((100-(_xlfn.XLOOKUP(Assessment!#REF!,Inherited!A:A,Inherited!B:B)))/100)*IF(AA61="1.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(100%)","100"))))))&lt;=65),"50",IF(AND((((_xlfn.XLOOKUP(Assessment!#REF!,Inherited!A:A,Inherited!B:B))/100)*(_xlfn.XLOOKUP(Assessment!#REF!,Inherited!A:A,Inherited!F:F)))+(((100-(_xlfn.XLOOKUP(Assessment!#REF!,Inherited!A:A,Inherited!B:B)))/100)*IF(AA61="1.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(100%)","100"))))))&gt;=66,(((_xlfn.XLOOKUP(Assessment!#REF!,Inherited!A:A,Inherited!B:B))/100)*(_xlfn.XLOOKUP(Assessment!#REF!,Inherited!A:A,Inherited!F:F)))+(((100-(_xlfn.XLOOKUP(Assessment!#REF!,Inherited!A:A,Inherited!B:B)))/100)*IF(AA61="1.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(100%)","100"))))))&lt;=89),"75",IF((((_xlfn.XLOOKUP(Assessment!#REF!,Inherited!A:A,Inherited!B:B))/100)*(_xlfn.XLOOKUP(Assessment!#REF!,Inherited!A:A,Inherited!F:F)))+(((100-(_xlfn.XLOOKUP(Assessment!#REF!,Inherited!A:A,Inherited!B:B)))/100)*IF(AA61="1. Non Compliant (0%)","0",IF(AA61="2. Somewhat Compliant (25%)","25",IF(AA61="3. Partially Compliant (50%)","50",IF(AA61="4. Mostly Compliant (75%)","75",IF(AA61="5. Fully Compliant (100%)","100"))))))&gt;=90,"100"))))))</f>
        <v>#N/A</v>
      </c>
      <c r="U61" s="1" t="e">
        <f>IF(MATCH(H61,Inherited!A:A),IF((((_xlfn.XLOOKUP(Assessment!#REF!,Inherited!A:A,Inherited!B:B))/100)*(_xlfn.XLOOKUP(Assessment!#REF!,Inherited!A:A,Inherited!G:G)))+(((100-(_xlfn.XLOOKUP(Assessment!#REF!,Inherited!A:A,Inherited!B:B)))/100)*IF(AB61="1.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(100%)","100"))))))&lt;=10,"0", IF(AND((((_xlfn.XLOOKUP(Assessment!#REF!,Inherited!A:A,Inherited!B:B))/100)*(_xlfn.XLOOKUP(Assessment!#REF!,Inherited!A:A,Inherited!G:G)))+(((100-(_xlfn.XLOOKUP(Assessment!#REF!,Inherited!A:A,Inherited!B:B)))/100)*IF(AB61="1.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(100%)","100"))))))&gt;=11,(((_xlfn.XLOOKUP(Assessment!#REF!,Inherited!A:A,Inherited!B:B))/100)*(_xlfn.XLOOKUP(Assessment!#REF!,Inherited!A:A,Inherited!G:G)))+(((100-(_xlfn.XLOOKUP(Assessment!#REF!,Inherited!A:A,Inherited!B:B)))/100)*IF(AB61="1.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(100%)","100"))))))&lt;=32),"25",IF(AND((((_xlfn.XLOOKUP(Assessment!#REF!,Inherited!A:A,Inherited!B:B))/100)*(_xlfn.XLOOKUP(Assessment!#REF!,Inherited!A:A,Inherited!G:G)))+(((100-(_xlfn.XLOOKUP(Assessment!#REF!,Inherited!A:A,Inherited!B:B)))/100)*IF(AB61="1.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(100%)","100"))))))&gt;=33,(((_xlfn.XLOOKUP(Assessment!#REF!,Inherited!A:A,Inherited!B:B))/100)*(_xlfn.XLOOKUP(Assessment!#REF!,Inherited!A:A,Inherited!G:G)))+(((100-(_xlfn.XLOOKUP(Assessment!#REF!,Inherited!A:A,Inherited!B:B)))/100)*IF(AB61="1.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(100%)","100"))))))&lt;=65),"50",IF(AND((((_xlfn.XLOOKUP(Assessment!#REF!,Inherited!A:A,Inherited!B:B))/100)*(_xlfn.XLOOKUP(Assessment!#REF!,Inherited!A:A,Inherited!G:G)))+(((100-(_xlfn.XLOOKUP(Assessment!#REF!,Inherited!A:A,Inherited!B:B)))/100)*IF(AB61="1.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(100%)","100"))))))&gt;=66,(((_xlfn.XLOOKUP(Assessment!#REF!,Inherited!A:A,Inherited!B:B))/100)*(_xlfn.XLOOKUP(Assessment!#REF!,Inherited!A:A,Inherited!G:G)))+(((100-(_xlfn.XLOOKUP(Assessment!#REF!,Inherited!A:A,Inherited!B:B)))/100)*IF(AB61="1.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(100%)","100"))))))&lt;=89),"75",IF((((_xlfn.XLOOKUP(Assessment!#REF!,Inherited!A:A,Inherited!B:B))/100)*(_xlfn.XLOOKUP(Assessment!#REF!,Inherited!A:A,Inherited!G:G)))+(((100-(_xlfn.XLOOKUP(Assessment!#REF!,Inherited!A:A,Inherited!B:B)))/100)*IF(AB61="1. Non Compliant (0%)","0",IF(AB61="2. Somewhat Compliant (25%)","25",IF(AB61="3. Partially Compliant (50%)","50",IF(AB61="4. Mostly Compliant (75%)","75",IF(AB61="5. Fully Compliant (100%)","100"))))))&gt;=90,"100"))))))</f>
        <v>#N/A</v>
      </c>
      <c r="V61" s="55" t="s">
        <v>85</v>
      </c>
      <c r="W61" s="55"/>
      <c r="X61" s="55"/>
      <c r="Y61" s="55"/>
      <c r="Z61" s="55" t="s">
        <v>88</v>
      </c>
      <c r="AA61" s="55"/>
      <c r="AB61" s="55"/>
      <c r="AK61" s="1" t="s">
        <v>10947</v>
      </c>
      <c r="AM61" s="1" t="s">
        <v>11019</v>
      </c>
      <c r="AP61" s="1" t="s">
        <v>11018</v>
      </c>
      <c r="AX61" s="3" t="str">
        <f>_xlfn.CONCAT("A-LIGN finished its review of this control on ",AR61, " during the scheduled fieldwork window (",Intro!$B$4,")."&amp; CHAR(10)&amp; CHAR(10))</f>
        <v xml:space="preserve">A-LIGN finished its review of this control on  during the scheduled fieldwork window (Fieldwork: xx/xx/xxxx - xx/xx/xxxx).
</v>
      </c>
      <c r="AY61" s="3" t="str">
        <f t="shared" si="91"/>
        <v/>
      </c>
      <c r="AZ61" s="3" t="str">
        <f t="shared" si="92"/>
        <v/>
      </c>
      <c r="BA61" s="3" t="str">
        <f t="shared" si="93"/>
        <v/>
      </c>
      <c r="BB61" s="3" t="str">
        <f t="shared" si="94"/>
        <v xml:space="preserve">Inquired of the following workforce member: 
Roze Nicolas - Director of TechOps
Inquiry lead to the following conclusions: 
</v>
      </c>
      <c r="BC61" s="3" t="str">
        <f t="shared" si="95"/>
        <v xml:space="preserve">Observed the following live during fieldwork: 
Observed the Vanta dashboard which houses the asset inventories, as well as follows the same process as the vendor review which sends users a reminder about an upcoming review that needs to be completed.
</v>
      </c>
      <c r="BD61" s="3" t="str">
        <f t="shared" si="96"/>
        <v xml:space="preserve">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v>
      </c>
      <c r="BE61" s="3" t="str">
        <f t="shared" si="97"/>
        <v/>
      </c>
      <c r="BF61" s="3" t="str">
        <f t="shared" si="98"/>
        <v/>
      </c>
      <c r="BG61" s="3" t="str">
        <f>_xlfn.CONCAT((IF((COUNTIF('Sample Tables'!B:B,"")&gt;0)=TRUE,_xlfn.CONCAT("",""),IF((COUNTIF('Sample Tables'!B:B,"")&gt;0)=FALSE,""))),)</f>
        <v/>
      </c>
      <c r="BH61" s="3" t="str">
        <f t="shared" si="99"/>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the Vanta dashboard which houses the asset inventories, as well as follows the same process as the vendor review which sends users a reminder about an upcoming review that needs to be completed.
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v>
      </c>
    </row>
    <row r="62" spans="3:60" ht="362.5" x14ac:dyDescent="0.35">
      <c r="C62" s="1">
        <f t="shared" si="90"/>
        <v>20</v>
      </c>
      <c r="D62" s="5" t="str">
        <f>IF(AND((_xlfn.XLOOKUP(J62,'Fields &amp; Revisions'!$H:$H,'Fields &amp; Revisions'!$I:$I))&lt;70.99,(OR(Z62="4. Mostly Compliant (75%)",Z62="3. Partially Compliant (50%)",Z62="2. Somewhat Compliant (25%)",Z62="1. Non Compliant (0%)"))),"Yes","No")</f>
        <v>Yes</v>
      </c>
      <c r="E62" s="5" t="str">
        <f>IF(ISERROR(VLOOKUP(H62,Scope!A:A,1,FALSE)),"No","Yes")</f>
        <v>Yes</v>
      </c>
      <c r="F62" s="1" t="s">
        <v>1293</v>
      </c>
      <c r="G62" s="53" t="s">
        <v>1532</v>
      </c>
      <c r="H62" s="53" t="s">
        <v>1533</v>
      </c>
      <c r="I62" s="5">
        <v>1</v>
      </c>
      <c r="J62" s="1" t="s">
        <v>284</v>
      </c>
      <c r="K62" s="1" t="s">
        <v>1534</v>
      </c>
      <c r="L62" s="1" t="s">
        <v>1535</v>
      </c>
      <c r="M62" s="1" t="s">
        <v>1536</v>
      </c>
      <c r="N62" s="5" t="s">
        <v>98</v>
      </c>
      <c r="O62" s="1" t="str">
        <f>_xlfn.XLOOKUP(G62,SRMs!$A:$A,SRMs!$D:$D)</f>
        <v>PARTIAL INHERITANCE</v>
      </c>
      <c r="P62" s="1" t="str">
        <f>IFERROR(VLOOKUP(H62,Inherited!A:B,2,FALSE),"")</f>
        <v/>
      </c>
      <c r="Q62" s="1" t="e">
        <f>IF(MATCH(H62,Inherited!A:A),IF((((_xlfn.XLOOKUP(Assessment!H63,Inherited!A:A,Inherited!B:B))/100)*(_xlfn.XLOOKUP(Assessment!H63,Inherited!A:A,Inherited!C:C)))+(((100-(_xlfn.XLOOKUP(Assessment!H63,Inherited!A:A,Inherited!B:B)))/100)*IF(X62="1.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(100%)","100"))))))&lt;=10,"0", IF(AND((((_xlfn.XLOOKUP(Assessment!H63,Inherited!A:A,Inherited!B:B))/100)*(_xlfn.XLOOKUP(Assessment!H63,Inherited!A:A,Inherited!C:C)))+(((100-(_xlfn.XLOOKUP(Assessment!H63,Inherited!A:A,Inherited!B:B)))/100)*IF(X62="1.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(100%)","100"))))))&gt;=11,(((_xlfn.XLOOKUP(Assessment!H63,Inherited!A:A,Inherited!B:B))/100)*(_xlfn.XLOOKUP(Assessment!H63,Inherited!A:A,Inherited!C:C)))+(((100-(_xlfn.XLOOKUP(Assessment!H63,Inherited!A:A,Inherited!B:B)))/100)*IF(X62="1.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(100%)","100"))))))&lt;=32),"25",IF(AND((((_xlfn.XLOOKUP(Assessment!H63,Inherited!A:A,Inherited!B:B))/100)*(_xlfn.XLOOKUP(Assessment!H63,Inherited!A:A,Inherited!C:C)))+(((100-(_xlfn.XLOOKUP(Assessment!H63,Inherited!A:A,Inherited!B:B)))/100)*IF(X62="1.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(100%)","100"))))))&gt;=33,(((_xlfn.XLOOKUP(Assessment!H63,Inherited!A:A,Inherited!B:B))/100)*(_xlfn.XLOOKUP(Assessment!H63,Inherited!A:A,Inherited!C:C)))+(((100-(_xlfn.XLOOKUP(Assessment!H63,Inherited!A:A,Inherited!B:B)))/100)*IF(X62="1.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(100%)","100"))))))&lt;=65),"50",IF(AND((((_xlfn.XLOOKUP(Assessment!H63,Inherited!A:A,Inherited!B:B))/100)*(_xlfn.XLOOKUP(Assessment!H63,Inherited!A:A,Inherited!C:C)))+(((100-(_xlfn.XLOOKUP(Assessment!H63,Inherited!A:A,Inherited!B:B)))/100)*IF(X62="1.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(100%)","100"))))))&gt;=66,(((_xlfn.XLOOKUP(Assessment!H63,Inherited!A:A,Inherited!B:B))/100)*(_xlfn.XLOOKUP(Assessment!H63,Inherited!A:A,Inherited!C:C)))+(((100-(_xlfn.XLOOKUP(Assessment!H63,Inherited!A:A,Inherited!B:B)))/100)*IF(X62="1.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(100%)","100"))))))&lt;=89),"75",IF((((_xlfn.XLOOKUP(Assessment!H63,Inherited!A:A,Inherited!B:B))/100)*(_xlfn.XLOOKUP(Assessment!H63,Inherited!A:A,Inherited!C:C)))+(((100-(_xlfn.XLOOKUP(Assessment!H63,Inherited!A:A,Inherited!B:B)))/100)*IF(X62="1. Non Compliant (0%)","0",IF(X62="2. Somewhat Compliant (25%)","25",IF(X62="3. Partially Compliant (50%)","50",IF(X62="4. Mostly Compliant (75%)","75",IF(X62="5. Fully Compliant (100%)","100"))))))&gt;=90,"100"))))))</f>
        <v>#N/A</v>
      </c>
      <c r="R62" s="1" t="e">
        <f>IF(MATCH(H62,Inherited!A:A),IF((((_xlfn.XLOOKUP(Assessment!H63,Inherited!A:A,Inherited!B:B))/100)*(_xlfn.XLOOKUP(Assessment!H63,Inherited!A:A,Inherited!D:D)))+(((100-(_xlfn.XLOOKUP(Assessment!H63,Inherited!A:A,Inherited!B:B)))/100)*IF(Y62="1.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(100%)","100"))))))&lt;=10,"0", IF(AND((((_xlfn.XLOOKUP(Assessment!H63,Inherited!A:A,Inherited!B:B))/100)*(_xlfn.XLOOKUP(Assessment!H63,Inherited!A:A,Inherited!D:D)))+(((100-(_xlfn.XLOOKUP(Assessment!H63,Inherited!A:A,Inherited!B:B)))/100)*IF(Y62="1.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(100%)","100"))))))&gt;=11,(((_xlfn.XLOOKUP(Assessment!H63,Inherited!A:A,Inherited!B:B))/100)*(_xlfn.XLOOKUP(Assessment!H63,Inherited!A:A,Inherited!D:D)))+(((100-(_xlfn.XLOOKUP(Assessment!H63,Inherited!A:A,Inherited!B:B)))/100)*IF(Y62="1.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(100%)","100"))))))&lt;=32),"25",IF(AND((((_xlfn.XLOOKUP(Assessment!H63,Inherited!A:A,Inherited!B:B))/100)*(_xlfn.XLOOKUP(Assessment!H63,Inherited!A:A,Inherited!D:D)))+(((100-(_xlfn.XLOOKUP(Assessment!H63,Inherited!A:A,Inherited!B:B)))/100)*IF(Y62="1.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(100%)","100"))))))&gt;=33,(((_xlfn.XLOOKUP(Assessment!H63,Inherited!A:A,Inherited!B:B))/100)*(_xlfn.XLOOKUP(Assessment!H63,Inherited!A:A,Inherited!D:D)))+(((100-(_xlfn.XLOOKUP(Assessment!H63,Inherited!A:A,Inherited!B:B)))/100)*IF(Y62="1.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(100%)","100"))))))&lt;=65),"50",IF(AND((((_xlfn.XLOOKUP(Assessment!H63,Inherited!A:A,Inherited!B:B))/100)*(_xlfn.XLOOKUP(Assessment!H63,Inherited!A:A,Inherited!D:D)))+(((100-(_xlfn.XLOOKUP(Assessment!H63,Inherited!A:A,Inherited!B:B)))/100)*IF(Y62="1.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(100%)","100"))))))&gt;=66,(((_xlfn.XLOOKUP(Assessment!H63,Inherited!A:A,Inherited!B:B))/100)*(_xlfn.XLOOKUP(Assessment!H63,Inherited!A:A,Inherited!D:D)))+(((100-(_xlfn.XLOOKUP(Assessment!H63,Inherited!A:A,Inherited!B:B)))/100)*IF(Y62="1.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(100%)","100"))))))&lt;=89),"75",IF((((_xlfn.XLOOKUP(Assessment!H63,Inherited!A:A,Inherited!B:B))/100)*(_xlfn.XLOOKUP(Assessment!H63,Inherited!A:A,Inherited!D:D)))+(((100-(_xlfn.XLOOKUP(Assessment!H63,Inherited!A:A,Inherited!B:B)))/100)*IF(Y62="1. Non Compliant (0%)","0",IF(Y62="2. Somewhat Compliant (25%)","25",IF(Y62="3. Partially Compliant (50%)","50",IF(Y62="4. Mostly Compliant (75%)","75",IF(Y62="5. Fully Compliant (100%)","100"))))))&gt;=90,"100"))))))</f>
        <v>#N/A</v>
      </c>
      <c r="S62" s="1" t="e">
        <f>IF(MATCH(H62,Inherited!A:A),IF((((_xlfn.XLOOKUP(Assessment!H63,Inherited!A:A,Inherited!B:B))/100)*(_xlfn.XLOOKUP(Assessment!H63,Inherited!A:A,Inherited!E:E)))+(((100-(_xlfn.XLOOKUP(Assessment!H63,Inherited!A:A,Inherited!B:B)))/100)*IF(Z62="1.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(100%)","100"))))))&lt;=10,"0", IF(AND((((_xlfn.XLOOKUP(Assessment!H63,Inherited!A:A,Inherited!B:B))/100)*(_xlfn.XLOOKUP(Assessment!H63,Inherited!A:A,Inherited!E:E)))+(((100-(_xlfn.XLOOKUP(Assessment!H63,Inherited!A:A,Inherited!B:B)))/100)*IF(Z62="1.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(100%)","100"))))))&gt;=11,(((_xlfn.XLOOKUP(Assessment!H63,Inherited!A:A,Inherited!B:B))/100)*(_xlfn.XLOOKUP(Assessment!H63,Inherited!A:A,Inherited!E:E)))+(((100-(_xlfn.XLOOKUP(Assessment!H63,Inherited!A:A,Inherited!B:B)))/100)*IF(Z62="1.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(100%)","100"))))))&lt;=32),"25",IF(AND((((_xlfn.XLOOKUP(Assessment!H63,Inherited!A:A,Inherited!B:B))/100)*(_xlfn.XLOOKUP(Assessment!H63,Inherited!A:A,Inherited!E:E)))+(((100-(_xlfn.XLOOKUP(Assessment!H63,Inherited!A:A,Inherited!B:B)))/100)*IF(Z62="1.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(100%)","100"))))))&gt;=33,(((_xlfn.XLOOKUP(Assessment!H63,Inherited!A:A,Inherited!B:B))/100)*(_xlfn.XLOOKUP(Assessment!H63,Inherited!A:A,Inherited!E:E)))+(((100-(_xlfn.XLOOKUP(Assessment!H63,Inherited!A:A,Inherited!B:B)))/100)*IF(Z62="1.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(100%)","100"))))))&lt;=65),"50",IF(AND((((_xlfn.XLOOKUP(Assessment!H63,Inherited!A:A,Inherited!B:B))/100)*(_xlfn.XLOOKUP(Assessment!H63,Inherited!A:A,Inherited!E:E)))+(((100-(_xlfn.XLOOKUP(Assessment!H63,Inherited!A:A,Inherited!B:B)))/100)*IF(Z62="1.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(100%)","100"))))))&gt;=66,(((_xlfn.XLOOKUP(Assessment!H63,Inherited!A:A,Inherited!B:B))/100)*(_xlfn.XLOOKUP(Assessment!H63,Inherited!A:A,Inherited!E:E)))+(((100-(_xlfn.XLOOKUP(Assessment!H63,Inherited!A:A,Inherited!B:B)))/100)*IF(Z62="1.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(100%)","100"))))))&lt;=89),"75",IF((((_xlfn.XLOOKUP(Assessment!H63,Inherited!A:A,Inherited!B:B))/100)*(_xlfn.XLOOKUP(Assessment!H63,Inherited!A:A,Inherited!E:E)))+(((100-(_xlfn.XLOOKUP(Assessment!H63,Inherited!A:A,Inherited!B:B)))/100)*IF(Z62="1. Non Compliant (0%)","0",IF(Z62="2. Somewhat Compliant (25%)","25",IF(Z62="3. Partially Compliant (50%)","50",IF(Z62="4. Mostly Compliant (75%)","75",IF(Z62="5. Fully Compliant (100%)","100"))))))&gt;=90,"100"))))))</f>
        <v>#N/A</v>
      </c>
      <c r="T62" s="1" t="e">
        <f>IF(MATCH(H62,Inherited!A:A),IF((((_xlfn.XLOOKUP(Assessment!H63,Inherited!A:A,Inherited!B:B))/100)*(_xlfn.XLOOKUP(Assessment!H63,Inherited!A:A,Inherited!F:F)))+(((100-(_xlfn.XLOOKUP(Assessment!H63,Inherited!A:A,Inherited!B:B)))/100)*IF(AA62="1.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(100%)","100"))))))&lt;=10,"0", IF(AND((((_xlfn.XLOOKUP(Assessment!H63,Inherited!A:A,Inherited!B:B))/100)*(_xlfn.XLOOKUP(Assessment!H63,Inherited!A:A,Inherited!F:F)))+(((100-(_xlfn.XLOOKUP(Assessment!H63,Inherited!A:A,Inherited!B:B)))/100)*IF(AA62="1.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(100%)","100"))))))&gt;=11,(((_xlfn.XLOOKUP(Assessment!H63,Inherited!A:A,Inherited!B:B))/100)*(_xlfn.XLOOKUP(Assessment!H63,Inherited!A:A,Inherited!F:F)))+(((100-(_xlfn.XLOOKUP(Assessment!H63,Inherited!A:A,Inherited!B:B)))/100)*IF(AA62="1.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(100%)","100"))))))&lt;=32),"25",IF(AND((((_xlfn.XLOOKUP(Assessment!H63,Inherited!A:A,Inherited!B:B))/100)*(_xlfn.XLOOKUP(Assessment!H63,Inherited!A:A,Inherited!F:F)))+(((100-(_xlfn.XLOOKUP(Assessment!H63,Inherited!A:A,Inherited!B:B)))/100)*IF(AA62="1.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(100%)","100"))))))&gt;=33,(((_xlfn.XLOOKUP(Assessment!H63,Inherited!A:A,Inherited!B:B))/100)*(_xlfn.XLOOKUP(Assessment!H63,Inherited!A:A,Inherited!F:F)))+(((100-(_xlfn.XLOOKUP(Assessment!H63,Inherited!A:A,Inherited!B:B)))/100)*IF(AA62="1.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(100%)","100"))))))&lt;=65),"50",IF(AND((((_xlfn.XLOOKUP(Assessment!H63,Inherited!A:A,Inherited!B:B))/100)*(_xlfn.XLOOKUP(Assessment!H63,Inherited!A:A,Inherited!F:F)))+(((100-(_xlfn.XLOOKUP(Assessment!H63,Inherited!A:A,Inherited!B:B)))/100)*IF(AA62="1.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(100%)","100"))))))&gt;=66,(((_xlfn.XLOOKUP(Assessment!H63,Inherited!A:A,Inherited!B:B))/100)*(_xlfn.XLOOKUP(Assessment!H63,Inherited!A:A,Inherited!F:F)))+(((100-(_xlfn.XLOOKUP(Assessment!H63,Inherited!A:A,Inherited!B:B)))/100)*IF(AA62="1.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(100%)","100"))))))&lt;=89),"75",IF((((_xlfn.XLOOKUP(Assessment!H63,Inherited!A:A,Inherited!B:B))/100)*(_xlfn.XLOOKUP(Assessment!H63,Inherited!A:A,Inherited!F:F)))+(((100-(_xlfn.XLOOKUP(Assessment!H63,Inherited!A:A,Inherited!B:B)))/100)*IF(AA62="1. Non Compliant (0%)","0",IF(AA62="2. Somewhat Compliant (25%)","25",IF(AA62="3. Partially Compliant (50%)","50",IF(AA62="4. Mostly Compliant (75%)","75",IF(AA62="5. Fully Compliant (100%)","100"))))))&gt;=90,"100"))))))</f>
        <v>#N/A</v>
      </c>
      <c r="U62" s="1" t="e">
        <f>IF(MATCH(H62,Inherited!A:A),IF((((_xlfn.XLOOKUP(Assessment!H63,Inherited!A:A,Inherited!B:B))/100)*(_xlfn.XLOOKUP(Assessment!H63,Inherited!A:A,Inherited!G:G)))+(((100-(_xlfn.XLOOKUP(Assessment!H63,Inherited!A:A,Inherited!B:B)))/100)*IF(AB62="1.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(100%)","100"))))))&lt;=10,"0", IF(AND((((_xlfn.XLOOKUP(Assessment!H63,Inherited!A:A,Inherited!B:B))/100)*(_xlfn.XLOOKUP(Assessment!H63,Inherited!A:A,Inherited!G:G)))+(((100-(_xlfn.XLOOKUP(Assessment!H63,Inherited!A:A,Inherited!B:B)))/100)*IF(AB62="1.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(100%)","100"))))))&gt;=11,(((_xlfn.XLOOKUP(Assessment!H63,Inherited!A:A,Inherited!B:B))/100)*(_xlfn.XLOOKUP(Assessment!H63,Inherited!A:A,Inherited!G:G)))+(((100-(_xlfn.XLOOKUP(Assessment!H63,Inherited!A:A,Inherited!B:B)))/100)*IF(AB62="1.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(100%)","100"))))))&lt;=32),"25",IF(AND((((_xlfn.XLOOKUP(Assessment!H63,Inherited!A:A,Inherited!B:B))/100)*(_xlfn.XLOOKUP(Assessment!H63,Inherited!A:A,Inherited!G:G)))+(((100-(_xlfn.XLOOKUP(Assessment!H63,Inherited!A:A,Inherited!B:B)))/100)*IF(AB62="1.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(100%)","100"))))))&gt;=33,(((_xlfn.XLOOKUP(Assessment!H63,Inherited!A:A,Inherited!B:B))/100)*(_xlfn.XLOOKUP(Assessment!H63,Inherited!A:A,Inherited!G:G)))+(((100-(_xlfn.XLOOKUP(Assessment!H63,Inherited!A:A,Inherited!B:B)))/100)*IF(AB62="1.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(100%)","100"))))))&lt;=65),"50",IF(AND((((_xlfn.XLOOKUP(Assessment!H63,Inherited!A:A,Inherited!B:B))/100)*(_xlfn.XLOOKUP(Assessment!H63,Inherited!A:A,Inherited!G:G)))+(((100-(_xlfn.XLOOKUP(Assessment!H63,Inherited!A:A,Inherited!B:B)))/100)*IF(AB62="1.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(100%)","100"))))))&gt;=66,(((_xlfn.XLOOKUP(Assessment!H63,Inherited!A:A,Inherited!B:B))/100)*(_xlfn.XLOOKUP(Assessment!H63,Inherited!A:A,Inherited!G:G)))+(((100-(_xlfn.XLOOKUP(Assessment!H63,Inherited!A:A,Inherited!B:B)))/100)*IF(AB62="1.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(100%)","100"))))))&lt;=89),"75",IF((((_xlfn.XLOOKUP(Assessment!H63,Inherited!A:A,Inherited!B:B))/100)*(_xlfn.XLOOKUP(Assessment!H63,Inherited!A:A,Inherited!G:G)))+(((100-(_xlfn.XLOOKUP(Assessment!H63,Inherited!A:A,Inherited!B:B)))/100)*IF(AB62="1. Non Compliant (0%)","0",IF(AB62="2. Somewhat Compliant (25%)","25",IF(AB62="3. Partially Compliant (50%)","50",IF(AB62="4. Mostly Compliant (75%)","75",IF(AB62="5. Fully Compliant (100%)","100"))))))&gt;=90,"100"))))))</f>
        <v>#N/A</v>
      </c>
      <c r="V62" s="55" t="s">
        <v>85</v>
      </c>
      <c r="W62" s="55"/>
      <c r="X62" s="55"/>
      <c r="Y62" s="55"/>
      <c r="Z62" s="55" t="s">
        <v>88</v>
      </c>
      <c r="AA62" s="55"/>
      <c r="AB62" s="55"/>
      <c r="AK62" s="1" t="s">
        <v>10947</v>
      </c>
      <c r="AM62" s="1" t="s">
        <v>11019</v>
      </c>
      <c r="AP62" s="1" t="s">
        <v>11018</v>
      </c>
      <c r="AX62" s="3" t="str">
        <f>_xlfn.CONCAT("A-LIGN finished its review of this control on ",AR62, " during the scheduled fieldwork window (",Intro!$B$4,")."&amp; CHAR(10)&amp; CHAR(10))</f>
        <v xml:space="preserve">A-LIGN finished its review of this control on  during the scheduled fieldwork window (Fieldwork: xx/xx/xxxx - xx/xx/xxxx).
</v>
      </c>
      <c r="AY62" s="3" t="str">
        <f t="shared" si="91"/>
        <v/>
      </c>
      <c r="AZ62" s="3" t="str">
        <f t="shared" si="92"/>
        <v/>
      </c>
      <c r="BA62" s="3" t="str">
        <f t="shared" si="93"/>
        <v/>
      </c>
      <c r="BB62" s="3" t="str">
        <f t="shared" si="94"/>
        <v xml:space="preserve">Inquired of the following workforce member: 
Roze Nicolas - Director of TechOps
Inquiry lead to the following conclusions: 
</v>
      </c>
      <c r="BC62" s="3" t="str">
        <f t="shared" si="95"/>
        <v xml:space="preserve">Observed the following live during fieldwork: 
Observed the Vanta dashboard which houses the asset inventories, as well as follows the same process as the vendor review which sends users a reminder about an upcoming review that needs to be completed.
</v>
      </c>
      <c r="BD62" s="3" t="str">
        <f t="shared" si="96"/>
        <v xml:space="preserve">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v>
      </c>
      <c r="BE62" s="3" t="str">
        <f t="shared" si="97"/>
        <v/>
      </c>
      <c r="BF62" s="3" t="str">
        <f t="shared" si="98"/>
        <v/>
      </c>
      <c r="BG62" s="3" t="str">
        <f>_xlfn.CONCAT((IF((COUNTIF('Sample Tables'!B:B,"")&gt;0)=TRUE,_xlfn.CONCAT("",""),IF((COUNTIF('Sample Tables'!B:B,"")&gt;0)=FALSE,""))),)</f>
        <v/>
      </c>
      <c r="BH62" s="3" t="str">
        <f t="shared" si="99"/>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the Vanta dashboard which houses the asset inventories, as well as follows the same process as the vendor review which sends users a reminder about an upcoming review that needs to be completed.
Examined the following evidence during fieldwork:
Reviewed evidence addressed the requirement statement.
Reviewed evidence exception note: 
Gap: All inventories are not formally documented.
Recommendation: Management should ensure that all inventories for in-scope assets are maintained in accordance with the requirement statement.
</v>
      </c>
    </row>
    <row r="63" spans="3:60" ht="409.5" x14ac:dyDescent="0.35">
      <c r="C63" s="1">
        <f t="shared" si="90"/>
        <v>30</v>
      </c>
      <c r="D63" s="5" t="str">
        <f>IF(AND((_xlfn.XLOOKUP(J63,'Fields &amp; Revisions'!$H:$H,'Fields &amp; Revisions'!$I:$I))&lt;70.99,(OR(Z63="4. Mostly Compliant (75%)",Z63="3. Partially Compliant (50%)",Z63="2. Somewhat Compliant (25%)",Z63="1. Non Compliant (0%)"))),"Yes","No")</f>
        <v>Yes</v>
      </c>
      <c r="E63" s="5" t="str">
        <f>IF(ISERROR(VLOOKUP(H63,Scope!A:A,1,FALSE)),"No","Yes")</f>
        <v>Yes</v>
      </c>
      <c r="F63" s="1" t="s">
        <v>1293</v>
      </c>
      <c r="G63" s="53" t="s">
        <v>1537</v>
      </c>
      <c r="H63" s="53" t="s">
        <v>1538</v>
      </c>
      <c r="I63" s="5">
        <v>1</v>
      </c>
      <c r="J63" s="1" t="s">
        <v>284</v>
      </c>
      <c r="K63" s="1" t="s">
        <v>1539</v>
      </c>
      <c r="L63" s="1" t="s">
        <v>1540</v>
      </c>
      <c r="M63" s="1" t="s">
        <v>1531</v>
      </c>
      <c r="N63" s="5" t="s">
        <v>85</v>
      </c>
      <c r="O63" s="1" t="str">
        <f>_xlfn.XLOOKUP(G63,SRMs!$A:$A,SRMs!$D:$D)</f>
        <v>PARTIAL INHERITANCE</v>
      </c>
      <c r="P63" s="1" t="str">
        <f>IFERROR(VLOOKUP(H63,Inherited!A:B,2,FALSE),"")</f>
        <v/>
      </c>
      <c r="Q63" s="1" t="e">
        <f>IF(MATCH(H63,Inherited!A:A),IF((((_xlfn.XLOOKUP(Assessment!#REF!,Inherited!A:A,Inherited!B:B))/100)*(_xlfn.XLOOKUP(Assessment!#REF!,Inherited!A:A,Inherited!C:C)))+(((100-(_xlfn.XLOOKUP(Assessment!#REF!,Inherited!A:A,Inherited!B:B)))/100)*IF(X63="1.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(100%)","100"))))))&lt;=10,"0", IF(AND((((_xlfn.XLOOKUP(Assessment!#REF!,Inherited!A:A,Inherited!B:B))/100)*(_xlfn.XLOOKUP(Assessment!#REF!,Inherited!A:A,Inherited!C:C)))+(((100-(_xlfn.XLOOKUP(Assessment!#REF!,Inherited!A:A,Inherited!B:B)))/100)*IF(X63="1.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(100%)","100"))))))&gt;=11,(((_xlfn.XLOOKUP(Assessment!#REF!,Inherited!A:A,Inherited!B:B))/100)*(_xlfn.XLOOKUP(Assessment!#REF!,Inherited!A:A,Inherited!C:C)))+(((100-(_xlfn.XLOOKUP(Assessment!#REF!,Inherited!A:A,Inherited!B:B)))/100)*IF(X63="1.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(100%)","100"))))))&lt;=32),"25",IF(AND((((_xlfn.XLOOKUP(Assessment!#REF!,Inherited!A:A,Inherited!B:B))/100)*(_xlfn.XLOOKUP(Assessment!#REF!,Inherited!A:A,Inherited!C:C)))+(((100-(_xlfn.XLOOKUP(Assessment!#REF!,Inherited!A:A,Inherited!B:B)))/100)*IF(X63="1.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(100%)","100"))))))&gt;=33,(((_xlfn.XLOOKUP(Assessment!#REF!,Inherited!A:A,Inherited!B:B))/100)*(_xlfn.XLOOKUP(Assessment!#REF!,Inherited!A:A,Inherited!C:C)))+(((100-(_xlfn.XLOOKUP(Assessment!#REF!,Inherited!A:A,Inherited!B:B)))/100)*IF(X63="1.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(100%)","100"))))))&lt;=65),"50",IF(AND((((_xlfn.XLOOKUP(Assessment!#REF!,Inherited!A:A,Inherited!B:B))/100)*(_xlfn.XLOOKUP(Assessment!#REF!,Inherited!A:A,Inherited!C:C)))+(((100-(_xlfn.XLOOKUP(Assessment!#REF!,Inherited!A:A,Inherited!B:B)))/100)*IF(X63="1.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(100%)","100"))))))&gt;=66,(((_xlfn.XLOOKUP(Assessment!#REF!,Inherited!A:A,Inherited!B:B))/100)*(_xlfn.XLOOKUP(Assessment!#REF!,Inherited!A:A,Inherited!C:C)))+(((100-(_xlfn.XLOOKUP(Assessment!#REF!,Inherited!A:A,Inherited!B:B)))/100)*IF(X63="1.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(100%)","100"))))))&lt;=89),"75",IF((((_xlfn.XLOOKUP(Assessment!#REF!,Inherited!A:A,Inherited!B:B))/100)*(_xlfn.XLOOKUP(Assessment!#REF!,Inherited!A:A,Inherited!C:C)))+(((100-(_xlfn.XLOOKUP(Assessment!#REF!,Inherited!A:A,Inherited!B:B)))/100)*IF(X63="1. Non Compliant (0%)","0",IF(X63="2. Somewhat Compliant (25%)","25",IF(X63="3. Partially Compliant (50%)","50",IF(X63="4. Mostly Compliant (75%)","75",IF(X63="5. Fully Compliant (100%)","100"))))))&gt;=90,"100"))))))</f>
        <v>#N/A</v>
      </c>
      <c r="R63" s="1" t="e">
        <f>IF(MATCH(H63,Inherited!A:A),IF((((_xlfn.XLOOKUP(Assessment!#REF!,Inherited!A:A,Inherited!B:B))/100)*(_xlfn.XLOOKUP(Assessment!#REF!,Inherited!A:A,Inherited!D:D)))+(((100-(_xlfn.XLOOKUP(Assessment!#REF!,Inherited!A:A,Inherited!B:B)))/100)*IF(Y63="1.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(100%)","100"))))))&lt;=10,"0", IF(AND((((_xlfn.XLOOKUP(Assessment!#REF!,Inherited!A:A,Inherited!B:B))/100)*(_xlfn.XLOOKUP(Assessment!#REF!,Inherited!A:A,Inherited!D:D)))+(((100-(_xlfn.XLOOKUP(Assessment!#REF!,Inherited!A:A,Inherited!B:B)))/100)*IF(Y63="1.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(100%)","100"))))))&gt;=11,(((_xlfn.XLOOKUP(Assessment!#REF!,Inherited!A:A,Inherited!B:B))/100)*(_xlfn.XLOOKUP(Assessment!#REF!,Inherited!A:A,Inherited!D:D)))+(((100-(_xlfn.XLOOKUP(Assessment!#REF!,Inherited!A:A,Inherited!B:B)))/100)*IF(Y63="1.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(100%)","100"))))))&lt;=32),"25",IF(AND((((_xlfn.XLOOKUP(Assessment!#REF!,Inherited!A:A,Inherited!B:B))/100)*(_xlfn.XLOOKUP(Assessment!#REF!,Inherited!A:A,Inherited!D:D)))+(((100-(_xlfn.XLOOKUP(Assessment!#REF!,Inherited!A:A,Inherited!B:B)))/100)*IF(Y63="1.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(100%)","100"))))))&gt;=33,(((_xlfn.XLOOKUP(Assessment!#REF!,Inherited!A:A,Inherited!B:B))/100)*(_xlfn.XLOOKUP(Assessment!#REF!,Inherited!A:A,Inherited!D:D)))+(((100-(_xlfn.XLOOKUP(Assessment!#REF!,Inherited!A:A,Inherited!B:B)))/100)*IF(Y63="1.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(100%)","100"))))))&lt;=65),"50",IF(AND((((_xlfn.XLOOKUP(Assessment!#REF!,Inherited!A:A,Inherited!B:B))/100)*(_xlfn.XLOOKUP(Assessment!#REF!,Inherited!A:A,Inherited!D:D)))+(((100-(_xlfn.XLOOKUP(Assessment!#REF!,Inherited!A:A,Inherited!B:B)))/100)*IF(Y63="1.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(100%)","100"))))))&gt;=66,(((_xlfn.XLOOKUP(Assessment!#REF!,Inherited!A:A,Inherited!B:B))/100)*(_xlfn.XLOOKUP(Assessment!#REF!,Inherited!A:A,Inherited!D:D)))+(((100-(_xlfn.XLOOKUP(Assessment!#REF!,Inherited!A:A,Inherited!B:B)))/100)*IF(Y63="1.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(100%)","100"))))))&lt;=89),"75",IF((((_xlfn.XLOOKUP(Assessment!#REF!,Inherited!A:A,Inherited!B:B))/100)*(_xlfn.XLOOKUP(Assessment!#REF!,Inherited!A:A,Inherited!D:D)))+(((100-(_xlfn.XLOOKUP(Assessment!#REF!,Inherited!A:A,Inherited!B:B)))/100)*IF(Y63="1. Non Compliant (0%)","0",IF(Y63="2. Somewhat Compliant (25%)","25",IF(Y63="3. Partially Compliant (50%)","50",IF(Y63="4. Mostly Compliant (75%)","75",IF(Y63="5. Fully Compliant (100%)","100"))))))&gt;=90,"100"))))))</f>
        <v>#N/A</v>
      </c>
      <c r="S63" s="1" t="e">
        <f>IF(MATCH(H63,Inherited!A:A),IF((((_xlfn.XLOOKUP(Assessment!#REF!,Inherited!A:A,Inherited!B:B))/100)*(_xlfn.XLOOKUP(Assessment!#REF!,Inherited!A:A,Inherited!E:E)))+(((100-(_xlfn.XLOOKUP(Assessment!#REF!,Inherited!A:A,Inherited!B:B)))/100)*IF(Z63="1.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(100%)","100"))))))&lt;=10,"0", IF(AND((((_xlfn.XLOOKUP(Assessment!#REF!,Inherited!A:A,Inherited!B:B))/100)*(_xlfn.XLOOKUP(Assessment!#REF!,Inherited!A:A,Inherited!E:E)))+(((100-(_xlfn.XLOOKUP(Assessment!#REF!,Inherited!A:A,Inherited!B:B)))/100)*IF(Z63="1.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(100%)","100"))))))&gt;=11,(((_xlfn.XLOOKUP(Assessment!#REF!,Inherited!A:A,Inherited!B:B))/100)*(_xlfn.XLOOKUP(Assessment!#REF!,Inherited!A:A,Inherited!E:E)))+(((100-(_xlfn.XLOOKUP(Assessment!#REF!,Inherited!A:A,Inherited!B:B)))/100)*IF(Z63="1.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(100%)","100"))))))&lt;=32),"25",IF(AND((((_xlfn.XLOOKUP(Assessment!#REF!,Inherited!A:A,Inherited!B:B))/100)*(_xlfn.XLOOKUP(Assessment!#REF!,Inherited!A:A,Inherited!E:E)))+(((100-(_xlfn.XLOOKUP(Assessment!#REF!,Inherited!A:A,Inherited!B:B)))/100)*IF(Z63="1.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(100%)","100"))))))&gt;=33,(((_xlfn.XLOOKUP(Assessment!#REF!,Inherited!A:A,Inherited!B:B))/100)*(_xlfn.XLOOKUP(Assessment!#REF!,Inherited!A:A,Inherited!E:E)))+(((100-(_xlfn.XLOOKUP(Assessment!#REF!,Inherited!A:A,Inherited!B:B)))/100)*IF(Z63="1.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(100%)","100"))))))&lt;=65),"50",IF(AND((((_xlfn.XLOOKUP(Assessment!#REF!,Inherited!A:A,Inherited!B:B))/100)*(_xlfn.XLOOKUP(Assessment!#REF!,Inherited!A:A,Inherited!E:E)))+(((100-(_xlfn.XLOOKUP(Assessment!#REF!,Inherited!A:A,Inherited!B:B)))/100)*IF(Z63="1.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(100%)","100"))))))&gt;=66,(((_xlfn.XLOOKUP(Assessment!#REF!,Inherited!A:A,Inherited!B:B))/100)*(_xlfn.XLOOKUP(Assessment!#REF!,Inherited!A:A,Inherited!E:E)))+(((100-(_xlfn.XLOOKUP(Assessment!#REF!,Inherited!A:A,Inherited!B:B)))/100)*IF(Z63="1.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(100%)","100"))))))&lt;=89),"75",IF((((_xlfn.XLOOKUP(Assessment!#REF!,Inherited!A:A,Inherited!B:B))/100)*(_xlfn.XLOOKUP(Assessment!#REF!,Inherited!A:A,Inherited!E:E)))+(((100-(_xlfn.XLOOKUP(Assessment!#REF!,Inherited!A:A,Inherited!B:B)))/100)*IF(Z63="1. Non Compliant (0%)","0",IF(Z63="2. Somewhat Compliant (25%)","25",IF(Z63="3. Partially Compliant (50%)","50",IF(Z63="4. Mostly Compliant (75%)","75",IF(Z63="5. Fully Compliant (100%)","100"))))))&gt;=90,"100"))))))</f>
        <v>#N/A</v>
      </c>
      <c r="T63" s="1" t="e">
        <f>IF(MATCH(H63,Inherited!A:A),IF((((_xlfn.XLOOKUP(Assessment!#REF!,Inherited!A:A,Inherited!B:B))/100)*(_xlfn.XLOOKUP(Assessment!#REF!,Inherited!A:A,Inherited!F:F)))+(((100-(_xlfn.XLOOKUP(Assessment!#REF!,Inherited!A:A,Inherited!B:B)))/100)*IF(AA63="1.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(100%)","100"))))))&lt;=10,"0", IF(AND((((_xlfn.XLOOKUP(Assessment!#REF!,Inherited!A:A,Inherited!B:B))/100)*(_xlfn.XLOOKUP(Assessment!#REF!,Inherited!A:A,Inherited!F:F)))+(((100-(_xlfn.XLOOKUP(Assessment!#REF!,Inherited!A:A,Inherited!B:B)))/100)*IF(AA63="1.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(100%)","100"))))))&gt;=11,(((_xlfn.XLOOKUP(Assessment!#REF!,Inherited!A:A,Inherited!B:B))/100)*(_xlfn.XLOOKUP(Assessment!#REF!,Inherited!A:A,Inherited!F:F)))+(((100-(_xlfn.XLOOKUP(Assessment!#REF!,Inherited!A:A,Inherited!B:B)))/100)*IF(AA63="1.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(100%)","100"))))))&lt;=32),"25",IF(AND((((_xlfn.XLOOKUP(Assessment!#REF!,Inherited!A:A,Inherited!B:B))/100)*(_xlfn.XLOOKUP(Assessment!#REF!,Inherited!A:A,Inherited!F:F)))+(((100-(_xlfn.XLOOKUP(Assessment!#REF!,Inherited!A:A,Inherited!B:B)))/100)*IF(AA63="1.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(100%)","100"))))))&gt;=33,(((_xlfn.XLOOKUP(Assessment!#REF!,Inherited!A:A,Inherited!B:B))/100)*(_xlfn.XLOOKUP(Assessment!#REF!,Inherited!A:A,Inherited!F:F)))+(((100-(_xlfn.XLOOKUP(Assessment!#REF!,Inherited!A:A,Inherited!B:B)))/100)*IF(AA63="1.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(100%)","100"))))))&lt;=65),"50",IF(AND((((_xlfn.XLOOKUP(Assessment!#REF!,Inherited!A:A,Inherited!B:B))/100)*(_xlfn.XLOOKUP(Assessment!#REF!,Inherited!A:A,Inherited!F:F)))+(((100-(_xlfn.XLOOKUP(Assessment!#REF!,Inherited!A:A,Inherited!B:B)))/100)*IF(AA63="1.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(100%)","100"))))))&gt;=66,(((_xlfn.XLOOKUP(Assessment!#REF!,Inherited!A:A,Inherited!B:B))/100)*(_xlfn.XLOOKUP(Assessment!#REF!,Inherited!A:A,Inherited!F:F)))+(((100-(_xlfn.XLOOKUP(Assessment!#REF!,Inherited!A:A,Inherited!B:B)))/100)*IF(AA63="1.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(100%)","100"))))))&lt;=89),"75",IF((((_xlfn.XLOOKUP(Assessment!#REF!,Inherited!A:A,Inherited!B:B))/100)*(_xlfn.XLOOKUP(Assessment!#REF!,Inherited!A:A,Inherited!F:F)))+(((100-(_xlfn.XLOOKUP(Assessment!#REF!,Inherited!A:A,Inherited!B:B)))/100)*IF(AA63="1. Non Compliant (0%)","0",IF(AA63="2. Somewhat Compliant (25%)","25",IF(AA63="3. Partially Compliant (50%)","50",IF(AA63="4. Mostly Compliant (75%)","75",IF(AA63="5. Fully Compliant (100%)","100"))))))&gt;=90,"100"))))))</f>
        <v>#N/A</v>
      </c>
      <c r="U63" s="1" t="e">
        <f>IF(MATCH(H63,Inherited!A:A),IF((((_xlfn.XLOOKUP(Assessment!#REF!,Inherited!A:A,Inherited!B:B))/100)*(_xlfn.XLOOKUP(Assessment!#REF!,Inherited!A:A,Inherited!G:G)))+(((100-(_xlfn.XLOOKUP(Assessment!#REF!,Inherited!A:A,Inherited!B:B)))/100)*IF(AB63="1.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(100%)","100"))))))&lt;=10,"0", IF(AND((((_xlfn.XLOOKUP(Assessment!#REF!,Inherited!A:A,Inherited!B:B))/100)*(_xlfn.XLOOKUP(Assessment!#REF!,Inherited!A:A,Inherited!G:G)))+(((100-(_xlfn.XLOOKUP(Assessment!#REF!,Inherited!A:A,Inherited!B:B)))/100)*IF(AB63="1.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(100%)","100"))))))&gt;=11,(((_xlfn.XLOOKUP(Assessment!#REF!,Inherited!A:A,Inherited!B:B))/100)*(_xlfn.XLOOKUP(Assessment!#REF!,Inherited!A:A,Inherited!G:G)))+(((100-(_xlfn.XLOOKUP(Assessment!#REF!,Inherited!A:A,Inherited!B:B)))/100)*IF(AB63="1.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(100%)","100"))))))&lt;=32),"25",IF(AND((((_xlfn.XLOOKUP(Assessment!#REF!,Inherited!A:A,Inherited!B:B))/100)*(_xlfn.XLOOKUP(Assessment!#REF!,Inherited!A:A,Inherited!G:G)))+(((100-(_xlfn.XLOOKUP(Assessment!#REF!,Inherited!A:A,Inherited!B:B)))/100)*IF(AB63="1.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(100%)","100"))))))&gt;=33,(((_xlfn.XLOOKUP(Assessment!#REF!,Inherited!A:A,Inherited!B:B))/100)*(_xlfn.XLOOKUP(Assessment!#REF!,Inherited!A:A,Inherited!G:G)))+(((100-(_xlfn.XLOOKUP(Assessment!#REF!,Inherited!A:A,Inherited!B:B)))/100)*IF(AB63="1.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(100%)","100"))))))&lt;=65),"50",IF(AND((((_xlfn.XLOOKUP(Assessment!#REF!,Inherited!A:A,Inherited!B:B))/100)*(_xlfn.XLOOKUP(Assessment!#REF!,Inherited!A:A,Inherited!G:G)))+(((100-(_xlfn.XLOOKUP(Assessment!#REF!,Inherited!A:A,Inherited!B:B)))/100)*IF(AB63="1.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(100%)","100"))))))&gt;=66,(((_xlfn.XLOOKUP(Assessment!#REF!,Inherited!A:A,Inherited!B:B))/100)*(_xlfn.XLOOKUP(Assessment!#REF!,Inherited!A:A,Inherited!G:G)))+(((100-(_xlfn.XLOOKUP(Assessment!#REF!,Inherited!A:A,Inherited!B:B)))/100)*IF(AB63="1.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(100%)","100"))))))&lt;=89),"75",IF((((_xlfn.XLOOKUP(Assessment!#REF!,Inherited!A:A,Inherited!B:B))/100)*(_xlfn.XLOOKUP(Assessment!#REF!,Inherited!A:A,Inherited!G:G)))+(((100-(_xlfn.XLOOKUP(Assessment!#REF!,Inherited!A:A,Inherited!B:B)))/100)*IF(AB63="1. Non Compliant (0%)","0",IF(AB63="2. Somewhat Compliant (25%)","25",IF(AB63="3. Partially Compliant (50%)","50",IF(AB63="4. Mostly Compliant (75%)","75",IF(AB63="5. Fully Compliant (100%)","100"))))))&gt;=90,"100"))))))</f>
        <v>#N/A</v>
      </c>
      <c r="V63" s="55" t="s">
        <v>85</v>
      </c>
      <c r="W63" s="55"/>
      <c r="X63" s="55"/>
      <c r="Y63" s="55"/>
      <c r="Z63" s="55" t="s">
        <v>87</v>
      </c>
      <c r="AA63" s="55"/>
      <c r="AB63" s="55"/>
      <c r="AK63" s="1" t="s">
        <v>10947</v>
      </c>
      <c r="AM63" s="1" t="s">
        <v>11019</v>
      </c>
      <c r="AP63" s="1" t="s">
        <v>11015</v>
      </c>
      <c r="AX63" s="3" t="str">
        <f>_xlfn.CONCAT("A-LIGN finished its review of this control on ",AR63, " during the scheduled fieldwork window (",Intro!$B$4,")."&amp; CHAR(10)&amp; CHAR(10))</f>
        <v xml:space="preserve">A-LIGN finished its review of this control on  during the scheduled fieldwork window (Fieldwork: xx/xx/xxxx - xx/xx/xxxx).
</v>
      </c>
      <c r="AY63" s="3" t="str">
        <f t="shared" si="91"/>
        <v/>
      </c>
      <c r="AZ63" s="3" t="str">
        <f t="shared" si="92"/>
        <v/>
      </c>
      <c r="BA63" s="3" t="str">
        <f t="shared" si="93"/>
        <v/>
      </c>
      <c r="BB63" s="3" t="str">
        <f t="shared" si="94"/>
        <v xml:space="preserve">Inquired of the following workforce member: 
Roze Nicolas - Director of TechOps
Inquiry lead to the following conclusions: 
</v>
      </c>
      <c r="BC63" s="3" t="str">
        <f t="shared" si="95"/>
        <v xml:space="preserve">Observed the following live during fieldwork: 
Observed the Vanta dashboard which houses the asset inventories, as well as follows the same process as the vendor review which sends users a reminder about an upcoming review that needs to be completed.
</v>
      </c>
      <c r="BD63" s="3" t="str">
        <f t="shared" si="96"/>
        <v xml:space="preserve">Examined the following evidence during fieldwork:
Reviewed evidence addressed the requirement statement.
Reviewed evidence exception note: 
Gap: Operating system, primary/secondary administrator, primary users not currently included within the asset inventory.
Recommendation: Management should ensure that they update the asset inventory to address all components addressed within the requirement statement.
</v>
      </c>
      <c r="BE63" s="3" t="str">
        <f t="shared" si="97"/>
        <v/>
      </c>
      <c r="BF63" s="3" t="str">
        <f t="shared" si="98"/>
        <v/>
      </c>
      <c r="BG63" s="3" t="str">
        <f>_xlfn.CONCAT((IF((COUNTIF('Sample Tables'!B:B,"Test 177: Information System (system component)")&gt;0)=TRUE,_xlfn.CONCAT("Sample test results are documented in ",'Sample Tables'!B1943," [",'Sample Tables'!B1944,", ",'Sample Tables'!B1945,", ",'Sample Tables'!B1946,", ",'Sample Tables'!B1947,", ",'Sample Tables'!B1948,"]."&amp;CHAR(10)),IF((COUNTIF('Sample Tables'!B:B,"Test 177: Information System (system component)")&gt;0)=FALSE,""))),)</f>
        <v xml:space="preserve">Sample test results are documented in Test 177: Information System (system component) [Population Source/Tool: , Population Date Range: , Population Size: , Sample Methodology: , Sample Size: ].
</v>
      </c>
      <c r="BH63" s="3" t="str">
        <f t="shared" si="99"/>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the Vanta dashboard which houses the asset inventories, as well as follows the same process as the vendor review which sends users a reminder about an upcoming review that needs to be completed.
Examined the following evidence during fieldwork:
Reviewed evidence addressed the requirement statement.
Reviewed evidence exception note: 
Gap: Operating system, primary/secondary administrator, primary users not currently included within the asset inventory.
Recommendation: Management should ensure that they update the asset inventory to address all components addressed within the requirement statement.
Sample test results are documented in Test 177: Information System (system component) [Population Source/Tool: , Population Date Range: , Population Size: , Sample Methodology: , Sample Size: ].
</v>
      </c>
    </row>
    <row r="64" spans="3:60" ht="409.5" x14ac:dyDescent="0.35">
      <c r="C64" s="1">
        <f t="shared" si="90"/>
        <v>20</v>
      </c>
      <c r="D64" s="5" t="str">
        <f>IF(AND((_xlfn.XLOOKUP(J64,'Fields &amp; Revisions'!$H:$H,'Fields &amp; Revisions'!$I:$I))&lt;70.99,(OR(Z64="4. Mostly Compliant (75%)",Z64="3. Partially Compliant (50%)",Z64="2. Somewhat Compliant (25%)",Z64="1. Non Compliant (0%)"))),"Yes","No")</f>
        <v>Yes</v>
      </c>
      <c r="E64" s="5" t="str">
        <f>IF(ISERROR(VLOOKUP(H64,Scope!A:A,1,FALSE)),"No","Yes")</f>
        <v>Yes</v>
      </c>
      <c r="F64" s="1" t="s">
        <v>1293</v>
      </c>
      <c r="G64" s="53" t="s">
        <v>1561</v>
      </c>
      <c r="H64" s="53" t="s">
        <v>1562</v>
      </c>
      <c r="I64" s="5">
        <v>1</v>
      </c>
      <c r="J64" s="1" t="s">
        <v>1084</v>
      </c>
      <c r="K64" s="1" t="s">
        <v>1563</v>
      </c>
      <c r="L64" s="1" t="s">
        <v>1564</v>
      </c>
      <c r="M64" s="1" t="s">
        <v>1565</v>
      </c>
      <c r="N64" s="5" t="s">
        <v>85</v>
      </c>
      <c r="O64" s="1" t="str">
        <f>_xlfn.XLOOKUP(G64,SRMs!$A:$A,SRMs!$D:$D)</f>
        <v>PARTIAL INHERITANCE</v>
      </c>
      <c r="P64" s="1" t="str">
        <f>IFERROR(VLOOKUP(H64,Inherited!A:B,2,FALSE),"")</f>
        <v/>
      </c>
      <c r="Q64" s="1" t="e">
        <f>IF(MATCH(H64,Inherited!A:A),IF((((_xlfn.XLOOKUP(Assessment!#REF!,Inherited!A:A,Inherited!B:B))/100)*(_xlfn.XLOOKUP(Assessment!#REF!,Inherited!A:A,Inherited!C:C)))+(((100-(_xlfn.XLOOKUP(Assessment!#REF!,Inherited!A:A,Inherited!B:B)))/100)*IF(X64="1.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(100%)","100"))))))&lt;=10,"0", IF(AND((((_xlfn.XLOOKUP(Assessment!#REF!,Inherited!A:A,Inherited!B:B))/100)*(_xlfn.XLOOKUP(Assessment!#REF!,Inherited!A:A,Inherited!C:C)))+(((100-(_xlfn.XLOOKUP(Assessment!#REF!,Inherited!A:A,Inherited!B:B)))/100)*IF(X64="1.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(100%)","100"))))))&gt;=11,(((_xlfn.XLOOKUP(Assessment!#REF!,Inherited!A:A,Inherited!B:B))/100)*(_xlfn.XLOOKUP(Assessment!#REF!,Inherited!A:A,Inherited!C:C)))+(((100-(_xlfn.XLOOKUP(Assessment!#REF!,Inherited!A:A,Inherited!B:B)))/100)*IF(X64="1.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(100%)","100"))))))&lt;=32),"25",IF(AND((((_xlfn.XLOOKUP(Assessment!#REF!,Inherited!A:A,Inherited!B:B))/100)*(_xlfn.XLOOKUP(Assessment!#REF!,Inherited!A:A,Inherited!C:C)))+(((100-(_xlfn.XLOOKUP(Assessment!#REF!,Inherited!A:A,Inherited!B:B)))/100)*IF(X64="1.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(100%)","100"))))))&gt;=33,(((_xlfn.XLOOKUP(Assessment!#REF!,Inherited!A:A,Inherited!B:B))/100)*(_xlfn.XLOOKUP(Assessment!#REF!,Inherited!A:A,Inherited!C:C)))+(((100-(_xlfn.XLOOKUP(Assessment!#REF!,Inherited!A:A,Inherited!B:B)))/100)*IF(X64="1.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(100%)","100"))))))&lt;=65),"50",IF(AND((((_xlfn.XLOOKUP(Assessment!#REF!,Inherited!A:A,Inherited!B:B))/100)*(_xlfn.XLOOKUP(Assessment!#REF!,Inherited!A:A,Inherited!C:C)))+(((100-(_xlfn.XLOOKUP(Assessment!#REF!,Inherited!A:A,Inherited!B:B)))/100)*IF(X64="1.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(100%)","100"))))))&gt;=66,(((_xlfn.XLOOKUP(Assessment!#REF!,Inherited!A:A,Inherited!B:B))/100)*(_xlfn.XLOOKUP(Assessment!#REF!,Inherited!A:A,Inherited!C:C)))+(((100-(_xlfn.XLOOKUP(Assessment!#REF!,Inherited!A:A,Inherited!B:B)))/100)*IF(X64="1.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(100%)","100"))))))&lt;=89),"75",IF((((_xlfn.XLOOKUP(Assessment!#REF!,Inherited!A:A,Inherited!B:B))/100)*(_xlfn.XLOOKUP(Assessment!#REF!,Inherited!A:A,Inherited!C:C)))+(((100-(_xlfn.XLOOKUP(Assessment!#REF!,Inherited!A:A,Inherited!B:B)))/100)*IF(X64="1. Non Compliant (0%)","0",IF(X64="2. Somewhat Compliant (25%)","25",IF(X64="3. Partially Compliant (50%)","50",IF(X64="4. Mostly Compliant (75%)","75",IF(X64="5. Fully Compliant (100%)","100"))))))&gt;=90,"100"))))))</f>
        <v>#N/A</v>
      </c>
      <c r="R64" s="1" t="e">
        <f>IF(MATCH(H64,Inherited!A:A),IF((((_xlfn.XLOOKUP(Assessment!#REF!,Inherited!A:A,Inherited!B:B))/100)*(_xlfn.XLOOKUP(Assessment!#REF!,Inherited!A:A,Inherited!D:D)))+(((100-(_xlfn.XLOOKUP(Assessment!#REF!,Inherited!A:A,Inherited!B:B)))/100)*IF(Y64="1.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(100%)","100"))))))&lt;=10,"0", IF(AND((((_xlfn.XLOOKUP(Assessment!#REF!,Inherited!A:A,Inherited!B:B))/100)*(_xlfn.XLOOKUP(Assessment!#REF!,Inherited!A:A,Inherited!D:D)))+(((100-(_xlfn.XLOOKUP(Assessment!#REF!,Inherited!A:A,Inherited!B:B)))/100)*IF(Y64="1.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(100%)","100"))))))&gt;=11,(((_xlfn.XLOOKUP(Assessment!#REF!,Inherited!A:A,Inherited!B:B))/100)*(_xlfn.XLOOKUP(Assessment!#REF!,Inherited!A:A,Inherited!D:D)))+(((100-(_xlfn.XLOOKUP(Assessment!#REF!,Inherited!A:A,Inherited!B:B)))/100)*IF(Y64="1.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(100%)","100"))))))&lt;=32),"25",IF(AND((((_xlfn.XLOOKUP(Assessment!#REF!,Inherited!A:A,Inherited!B:B))/100)*(_xlfn.XLOOKUP(Assessment!#REF!,Inherited!A:A,Inherited!D:D)))+(((100-(_xlfn.XLOOKUP(Assessment!#REF!,Inherited!A:A,Inherited!B:B)))/100)*IF(Y64="1.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(100%)","100"))))))&gt;=33,(((_xlfn.XLOOKUP(Assessment!#REF!,Inherited!A:A,Inherited!B:B))/100)*(_xlfn.XLOOKUP(Assessment!#REF!,Inherited!A:A,Inherited!D:D)))+(((100-(_xlfn.XLOOKUP(Assessment!#REF!,Inherited!A:A,Inherited!B:B)))/100)*IF(Y64="1.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(100%)","100"))))))&lt;=65),"50",IF(AND((((_xlfn.XLOOKUP(Assessment!#REF!,Inherited!A:A,Inherited!B:B))/100)*(_xlfn.XLOOKUP(Assessment!#REF!,Inherited!A:A,Inherited!D:D)))+(((100-(_xlfn.XLOOKUP(Assessment!#REF!,Inherited!A:A,Inherited!B:B)))/100)*IF(Y64="1.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(100%)","100"))))))&gt;=66,(((_xlfn.XLOOKUP(Assessment!#REF!,Inherited!A:A,Inherited!B:B))/100)*(_xlfn.XLOOKUP(Assessment!#REF!,Inherited!A:A,Inherited!D:D)))+(((100-(_xlfn.XLOOKUP(Assessment!#REF!,Inherited!A:A,Inherited!B:B)))/100)*IF(Y64="1.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(100%)","100"))))))&lt;=89),"75",IF((((_xlfn.XLOOKUP(Assessment!#REF!,Inherited!A:A,Inherited!B:B))/100)*(_xlfn.XLOOKUP(Assessment!#REF!,Inherited!A:A,Inherited!D:D)))+(((100-(_xlfn.XLOOKUP(Assessment!#REF!,Inherited!A:A,Inherited!B:B)))/100)*IF(Y64="1. Non Compliant (0%)","0",IF(Y64="2. Somewhat Compliant (25%)","25",IF(Y64="3. Partially Compliant (50%)","50",IF(Y64="4. Mostly Compliant (75%)","75",IF(Y64="5. Fully Compliant (100%)","100"))))))&gt;=90,"100"))))))</f>
        <v>#N/A</v>
      </c>
      <c r="S64" s="1" t="e">
        <f>IF(MATCH(H64,Inherited!A:A),IF((((_xlfn.XLOOKUP(Assessment!#REF!,Inherited!A:A,Inherited!B:B))/100)*(_xlfn.XLOOKUP(Assessment!#REF!,Inherited!A:A,Inherited!E:E)))+(((100-(_xlfn.XLOOKUP(Assessment!#REF!,Inherited!A:A,Inherited!B:B)))/100)*IF(Z64="1.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(100%)","100"))))))&lt;=10,"0", IF(AND((((_xlfn.XLOOKUP(Assessment!#REF!,Inherited!A:A,Inherited!B:B))/100)*(_xlfn.XLOOKUP(Assessment!#REF!,Inherited!A:A,Inherited!E:E)))+(((100-(_xlfn.XLOOKUP(Assessment!#REF!,Inherited!A:A,Inherited!B:B)))/100)*IF(Z64="1.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(100%)","100"))))))&gt;=11,(((_xlfn.XLOOKUP(Assessment!#REF!,Inherited!A:A,Inherited!B:B))/100)*(_xlfn.XLOOKUP(Assessment!#REF!,Inherited!A:A,Inherited!E:E)))+(((100-(_xlfn.XLOOKUP(Assessment!#REF!,Inherited!A:A,Inherited!B:B)))/100)*IF(Z64="1.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(100%)","100"))))))&lt;=32),"25",IF(AND((((_xlfn.XLOOKUP(Assessment!#REF!,Inherited!A:A,Inherited!B:B))/100)*(_xlfn.XLOOKUP(Assessment!#REF!,Inherited!A:A,Inherited!E:E)))+(((100-(_xlfn.XLOOKUP(Assessment!#REF!,Inherited!A:A,Inherited!B:B)))/100)*IF(Z64="1.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(100%)","100"))))))&gt;=33,(((_xlfn.XLOOKUP(Assessment!#REF!,Inherited!A:A,Inherited!B:B))/100)*(_xlfn.XLOOKUP(Assessment!#REF!,Inherited!A:A,Inherited!E:E)))+(((100-(_xlfn.XLOOKUP(Assessment!#REF!,Inherited!A:A,Inherited!B:B)))/100)*IF(Z64="1.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(100%)","100"))))))&lt;=65),"50",IF(AND((((_xlfn.XLOOKUP(Assessment!#REF!,Inherited!A:A,Inherited!B:B))/100)*(_xlfn.XLOOKUP(Assessment!#REF!,Inherited!A:A,Inherited!E:E)))+(((100-(_xlfn.XLOOKUP(Assessment!#REF!,Inherited!A:A,Inherited!B:B)))/100)*IF(Z64="1.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(100%)","100"))))))&gt;=66,(((_xlfn.XLOOKUP(Assessment!#REF!,Inherited!A:A,Inherited!B:B))/100)*(_xlfn.XLOOKUP(Assessment!#REF!,Inherited!A:A,Inherited!E:E)))+(((100-(_xlfn.XLOOKUP(Assessment!#REF!,Inherited!A:A,Inherited!B:B)))/100)*IF(Z64="1.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(100%)","100"))))))&lt;=89),"75",IF((((_xlfn.XLOOKUP(Assessment!#REF!,Inherited!A:A,Inherited!B:B))/100)*(_xlfn.XLOOKUP(Assessment!#REF!,Inherited!A:A,Inherited!E:E)))+(((100-(_xlfn.XLOOKUP(Assessment!#REF!,Inherited!A:A,Inherited!B:B)))/100)*IF(Z64="1. Non Compliant (0%)","0",IF(Z64="2. Somewhat Compliant (25%)","25",IF(Z64="3. Partially Compliant (50%)","50",IF(Z64="4. Mostly Compliant (75%)","75",IF(Z64="5. Fully Compliant (100%)","100"))))))&gt;=90,"100"))))))</f>
        <v>#N/A</v>
      </c>
      <c r="T64" s="1" t="e">
        <f>IF(MATCH(H64,Inherited!A:A),IF((((_xlfn.XLOOKUP(Assessment!#REF!,Inherited!A:A,Inherited!B:B))/100)*(_xlfn.XLOOKUP(Assessment!#REF!,Inherited!A:A,Inherited!F:F)))+(((100-(_xlfn.XLOOKUP(Assessment!#REF!,Inherited!A:A,Inherited!B:B)))/100)*IF(AA64="1.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(100%)","100"))))))&lt;=10,"0", IF(AND((((_xlfn.XLOOKUP(Assessment!#REF!,Inherited!A:A,Inherited!B:B))/100)*(_xlfn.XLOOKUP(Assessment!#REF!,Inherited!A:A,Inherited!F:F)))+(((100-(_xlfn.XLOOKUP(Assessment!#REF!,Inherited!A:A,Inherited!B:B)))/100)*IF(AA64="1.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(100%)","100"))))))&gt;=11,(((_xlfn.XLOOKUP(Assessment!#REF!,Inherited!A:A,Inherited!B:B))/100)*(_xlfn.XLOOKUP(Assessment!#REF!,Inherited!A:A,Inherited!F:F)))+(((100-(_xlfn.XLOOKUP(Assessment!#REF!,Inherited!A:A,Inherited!B:B)))/100)*IF(AA64="1.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(100%)","100"))))))&lt;=32),"25",IF(AND((((_xlfn.XLOOKUP(Assessment!#REF!,Inherited!A:A,Inherited!B:B))/100)*(_xlfn.XLOOKUP(Assessment!#REF!,Inherited!A:A,Inherited!F:F)))+(((100-(_xlfn.XLOOKUP(Assessment!#REF!,Inherited!A:A,Inherited!B:B)))/100)*IF(AA64="1.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(100%)","100"))))))&gt;=33,(((_xlfn.XLOOKUP(Assessment!#REF!,Inherited!A:A,Inherited!B:B))/100)*(_xlfn.XLOOKUP(Assessment!#REF!,Inherited!A:A,Inherited!F:F)))+(((100-(_xlfn.XLOOKUP(Assessment!#REF!,Inherited!A:A,Inherited!B:B)))/100)*IF(AA64="1.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(100%)","100"))))))&lt;=65),"50",IF(AND((((_xlfn.XLOOKUP(Assessment!#REF!,Inherited!A:A,Inherited!B:B))/100)*(_xlfn.XLOOKUP(Assessment!#REF!,Inherited!A:A,Inherited!F:F)))+(((100-(_xlfn.XLOOKUP(Assessment!#REF!,Inherited!A:A,Inherited!B:B)))/100)*IF(AA64="1.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(100%)","100"))))))&gt;=66,(((_xlfn.XLOOKUP(Assessment!#REF!,Inherited!A:A,Inherited!B:B))/100)*(_xlfn.XLOOKUP(Assessment!#REF!,Inherited!A:A,Inherited!F:F)))+(((100-(_xlfn.XLOOKUP(Assessment!#REF!,Inherited!A:A,Inherited!B:B)))/100)*IF(AA64="1.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(100%)","100"))))))&lt;=89),"75",IF((((_xlfn.XLOOKUP(Assessment!#REF!,Inherited!A:A,Inherited!B:B))/100)*(_xlfn.XLOOKUP(Assessment!#REF!,Inherited!A:A,Inherited!F:F)))+(((100-(_xlfn.XLOOKUP(Assessment!#REF!,Inherited!A:A,Inherited!B:B)))/100)*IF(AA64="1. Non Compliant (0%)","0",IF(AA64="2. Somewhat Compliant (25%)","25",IF(AA64="3. Partially Compliant (50%)","50",IF(AA64="4. Mostly Compliant (75%)","75",IF(AA64="5. Fully Compliant (100%)","100"))))))&gt;=90,"100"))))))</f>
        <v>#N/A</v>
      </c>
      <c r="U64" s="1" t="e">
        <f>IF(MATCH(H64,Inherited!A:A),IF((((_xlfn.XLOOKUP(Assessment!#REF!,Inherited!A:A,Inherited!B:B))/100)*(_xlfn.XLOOKUP(Assessment!#REF!,Inherited!A:A,Inherited!G:G)))+(((100-(_xlfn.XLOOKUP(Assessment!#REF!,Inherited!A:A,Inherited!B:B)))/100)*IF(AB64="1.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(100%)","100"))))))&lt;=10,"0", IF(AND((((_xlfn.XLOOKUP(Assessment!#REF!,Inherited!A:A,Inherited!B:B))/100)*(_xlfn.XLOOKUP(Assessment!#REF!,Inherited!A:A,Inherited!G:G)))+(((100-(_xlfn.XLOOKUP(Assessment!#REF!,Inherited!A:A,Inherited!B:B)))/100)*IF(AB64="1.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(100%)","100"))))))&gt;=11,(((_xlfn.XLOOKUP(Assessment!#REF!,Inherited!A:A,Inherited!B:B))/100)*(_xlfn.XLOOKUP(Assessment!#REF!,Inherited!A:A,Inherited!G:G)))+(((100-(_xlfn.XLOOKUP(Assessment!#REF!,Inherited!A:A,Inherited!B:B)))/100)*IF(AB64="1.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(100%)","100"))))))&lt;=32),"25",IF(AND((((_xlfn.XLOOKUP(Assessment!#REF!,Inherited!A:A,Inherited!B:B))/100)*(_xlfn.XLOOKUP(Assessment!#REF!,Inherited!A:A,Inherited!G:G)))+(((100-(_xlfn.XLOOKUP(Assessment!#REF!,Inherited!A:A,Inherited!B:B)))/100)*IF(AB64="1.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(100%)","100"))))))&gt;=33,(((_xlfn.XLOOKUP(Assessment!#REF!,Inherited!A:A,Inherited!B:B))/100)*(_xlfn.XLOOKUP(Assessment!#REF!,Inherited!A:A,Inherited!G:G)))+(((100-(_xlfn.XLOOKUP(Assessment!#REF!,Inherited!A:A,Inherited!B:B)))/100)*IF(AB64="1.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(100%)","100"))))))&lt;=65),"50",IF(AND((((_xlfn.XLOOKUP(Assessment!#REF!,Inherited!A:A,Inherited!B:B))/100)*(_xlfn.XLOOKUP(Assessment!#REF!,Inherited!A:A,Inherited!G:G)))+(((100-(_xlfn.XLOOKUP(Assessment!#REF!,Inherited!A:A,Inherited!B:B)))/100)*IF(AB64="1.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(100%)","100"))))))&gt;=66,(((_xlfn.XLOOKUP(Assessment!#REF!,Inherited!A:A,Inherited!B:B))/100)*(_xlfn.XLOOKUP(Assessment!#REF!,Inherited!A:A,Inherited!G:G)))+(((100-(_xlfn.XLOOKUP(Assessment!#REF!,Inherited!A:A,Inherited!B:B)))/100)*IF(AB64="1.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(100%)","100"))))))&lt;=89),"75",IF((((_xlfn.XLOOKUP(Assessment!#REF!,Inherited!A:A,Inherited!B:B))/100)*(_xlfn.XLOOKUP(Assessment!#REF!,Inherited!A:A,Inherited!G:G)))+(((100-(_xlfn.XLOOKUP(Assessment!#REF!,Inherited!A:A,Inherited!B:B)))/100)*IF(AB64="1. Non Compliant (0%)","0",IF(AB64="2. Somewhat Compliant (25%)","25",IF(AB64="3. Partially Compliant (50%)","50",IF(AB64="4. Mostly Compliant (75%)","75",IF(AB64="5. Fully Compliant (100%)","100"))))))&gt;=90,"100"))))))</f>
        <v>#N/A</v>
      </c>
      <c r="V64" s="55" t="s">
        <v>85</v>
      </c>
      <c r="W64" s="55"/>
      <c r="X64" s="55"/>
      <c r="Y64" s="55"/>
      <c r="Z64" s="55" t="s">
        <v>88</v>
      </c>
      <c r="AA64" s="55"/>
      <c r="AB64" s="55"/>
      <c r="AK64" s="1" t="s">
        <v>10947</v>
      </c>
      <c r="AM64" s="1" t="s">
        <v>10959</v>
      </c>
      <c r="AP64" s="1" t="s">
        <v>11017</v>
      </c>
      <c r="AX64" s="3" t="str">
        <f>_xlfn.CONCAT("A-LIGN finished its review of this control on ",AR64, " during the scheduled fieldwork window (",Intro!$B$4,")."&amp; CHAR(10)&amp; CHAR(10))</f>
        <v xml:space="preserve">A-LIGN finished its review of this control on  during the scheduled fieldwork window (Fieldwork: xx/xx/xxxx - xx/xx/xxxx).
</v>
      </c>
      <c r="AY64" s="3" t="str">
        <f t="shared" si="91"/>
        <v/>
      </c>
      <c r="AZ64" s="3" t="str">
        <f t="shared" si="92"/>
        <v/>
      </c>
      <c r="BA64" s="3" t="str">
        <f t="shared" si="93"/>
        <v/>
      </c>
      <c r="BB64" s="3" t="str">
        <f t="shared" si="94"/>
        <v xml:space="preserve">Inquired of the following workforce member: 
Roze Nicolas - Director of TechOps
Inquiry lead to the following conclusions: 
</v>
      </c>
      <c r="BC64" s="3" t="str">
        <f t="shared" si="95"/>
        <v xml:space="preserve">Observed the following live during fieldwork: 
Observed the Kandji and Intune dashboards for devices and confirmed that a default restrictions policy is configured/implemented to all devices to ensure that no insecure services are included. 
</v>
      </c>
      <c r="BD64" s="3" t="str">
        <f t="shared" si="96"/>
        <v xml:space="preserve">Examined the following evidence during fieldwork:
Reviewed evidence addressed the requirement statement.
Reviewed evidence exception note: 
Gap: Not currently documented.
Recommendation: Management should ensure that documentation is updated to include the components outlined within the requirement statement.
</v>
      </c>
      <c r="BE64" s="3" t="str">
        <f t="shared" si="97"/>
        <v/>
      </c>
      <c r="BF64" s="3" t="str">
        <f t="shared" si="98"/>
        <v/>
      </c>
      <c r="BG64" s="3" t="str">
        <f>_xlfn.CONCAT((IF((COUNTIF('Sample Tables'!B:B,"Test 045: Endpoint Device (BYOD)")&gt;0)=TRUE,_xlfn.CONCAT("Sample test results are documented in ",'Sample Tables'!B491," [",'Sample Tables'!B492,", ",'Sample Tables'!B493,", ",'Sample Tables'!B494,", ",'Sample Tables'!B495,", ",'Sample Tables'!B496,"]."&amp;CHAR(10)),IF((COUNTIF('Sample Tables'!B:B,"Test 045: Endpoint Device (BYOD)")&gt;0)=FALSE,""))),(IF((COUNTIF('Sample Tables'!B:B,"Test 050: Endpoint Device (laptop)")&gt;0)=TRUE,_xlfn.CONCAT("Sample test results are documented in ",'Sample Tables'!B546," [",'Sample Tables'!B547,", ",'Sample Tables'!B548,", ",'Sample Tables'!B549,", ",'Sample Tables'!B550,", ",'Sample Tables'!B551,"]."&amp;CHAR(10)),IF((COUNTIF('Sample Tables'!B:B,"Test 050: Endpoint Device (laptop)")&gt;0)=FALSE,""))),(IF((COUNTIF('Sample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058: Endpoint Device (workstation)")&gt;0)=TRUE,_xlfn.CONCAT("Sample test results are documented in ",'Sample Tables'!B634," [",'Sample Tables'!B635,", ",'Sample Tables'!B636,", ",'Sample Tables'!B637,", ",'Sample Tables'!B638,", ",'Sample Tables'!B639,"]."&amp;CHAR(10)),IF((COUNTIF('Sample Tables'!B:B,"Test 058: Endpoint Device (workstation)")&gt;0)=FALSE,""))),)</f>
        <v xml:space="preserve">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c r="BH64" s="3" t="str">
        <f t="shared" si="99"/>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the Kandji and Intune dashboards for devices and confirmed that a default restrictions policy is configured/implemented to all devices to ensure that no insecure services are included. 
Examined the following evidence during fieldwork:
Reviewed evidence addressed the requirement statement.
Reviewed evidence exception note: 
Gap: Not currently documented.
Recommendation: Management should ensure that documentation is updated to include the components outlined within the requirement statement.
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v>
      </c>
    </row>
    <row r="65" spans="3:60" ht="362.5" x14ac:dyDescent="0.35">
      <c r="C65" s="1">
        <f t="shared" ref="C65:C66" si="100">IF(V65="No","Not Applicable",(IF(X65="1. Non Compliant (0%)","0",IF(X65="2. Somewhat Compliant (25%)","25",IF(X65="3. Partially Compliant (50%)","50",IF(X65="4. Mostly Compliant (75%)","75",IF(X65="5. Fully Compliant (100%)","100")))))*0.15)+((IF(Y65="1. Non Compliant (0%)","0",IF(Y65="2. Somewhat Compliant (25%)","25",IF(Y65="3. Partially Compliant (50%)","50",IF(Y65="4. Mostly Compliant (75%)","75",IF(Y65="5. Fully Compliant (100%)","100"))))))*0.2)+(IF(Z65="1. Non Compliant (0%)","0",IF(Z65="2. Somewhat Compliant (25%)","25",IF(Z65="3. Partially Compliant (50%)","50",IF(Z65="4. Mostly Compliant (75%)","75",IF(Z65="5. Fully Compliant (100%)","100")))))*0.4)+(IF(AA65="1. Non Compliant (0%)","0",IF(AA65="2. Somewhat Compliant (25%)","25",IF(AA65="3. Partially Compliant (50%)","50",IF(AA65="4. Mostly Compliant (75%)","75",IF(AA65="5. Fully Compliant (100%)","100")))))*0.1)+(IF(AB65="1. Non Compliant (0%)","0",IF(AB65="2. Somewhat Compliant (25%)","25",IF(AB65="3. Partially Compliant (50%)","50",IF(AB65="4. Mostly Compliant (75%)","75",IF(AB65="5. Fully Compliant (100%)","100")))))*0.15))</f>
        <v>0</v>
      </c>
      <c r="D65" s="5" t="str">
        <f>IF(AND((_xlfn.XLOOKUP(J65,'Fields &amp; Revisions'!$H:$H,'Fields &amp; Revisions'!$I:$I))&lt;70.99,(OR(Z65="4. Mostly Compliant (75%)",Z65="3. Partially Compliant (50%)",Z65="2. Somewhat Compliant (25%)",Z65="1. Non Compliant (0%)"))),"Yes","No")</f>
        <v>Yes</v>
      </c>
      <c r="E65" s="5" t="str">
        <f>IF(ISERROR(VLOOKUP(H65,Scope!A:A,1,FALSE)),"No","Yes")</f>
        <v>Yes</v>
      </c>
      <c r="F65" s="1" t="s">
        <v>1293</v>
      </c>
      <c r="G65" s="53" t="s">
        <v>1621</v>
      </c>
      <c r="H65" s="53" t="s">
        <v>1622</v>
      </c>
      <c r="I65" s="5">
        <v>1</v>
      </c>
      <c r="J65" s="1" t="s">
        <v>1341</v>
      </c>
      <c r="K65" s="1" t="s">
        <v>1623</v>
      </c>
      <c r="L65" s="1" t="s">
        <v>1624</v>
      </c>
      <c r="M65" s="1" t="s">
        <v>1625</v>
      </c>
      <c r="N65" s="5" t="s">
        <v>85</v>
      </c>
      <c r="O65" s="1" t="str">
        <f>_xlfn.XLOOKUP(G65,SRMs!$A:$A,SRMs!$D:$D)</f>
        <v>NO INHERITANCE</v>
      </c>
      <c r="P65" s="1" t="str">
        <f>IFERROR(VLOOKUP(H65,Inherited!A:B,2,FALSE),"")</f>
        <v/>
      </c>
      <c r="Q65" s="1" t="e">
        <f>IF(MATCH(H65,Inherited!A:A),IF((((_xlfn.XLOOKUP(Assessment!#REF!,Inherited!A:A,Inherited!B:B))/100)*(_xlfn.XLOOKUP(Assessment!#REF!,Inherited!A:A,Inherited!C:C)))+(((100-(_xlfn.XLOOKUP(Assessment!#REF!,Inherited!A:A,Inherited!B:B)))/100)*IF(X65="1.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(100%)","100"))))))&lt;=10,"0", IF(AND((((_xlfn.XLOOKUP(Assessment!#REF!,Inherited!A:A,Inherited!B:B))/100)*(_xlfn.XLOOKUP(Assessment!#REF!,Inherited!A:A,Inherited!C:C)))+(((100-(_xlfn.XLOOKUP(Assessment!#REF!,Inherited!A:A,Inherited!B:B)))/100)*IF(X65="1.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(100%)","100"))))))&gt;=11,(((_xlfn.XLOOKUP(Assessment!#REF!,Inherited!A:A,Inherited!B:B))/100)*(_xlfn.XLOOKUP(Assessment!#REF!,Inherited!A:A,Inherited!C:C)))+(((100-(_xlfn.XLOOKUP(Assessment!#REF!,Inherited!A:A,Inherited!B:B)))/100)*IF(X65="1.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(100%)","100"))))))&lt;=32),"25",IF(AND((((_xlfn.XLOOKUP(Assessment!#REF!,Inherited!A:A,Inherited!B:B))/100)*(_xlfn.XLOOKUP(Assessment!#REF!,Inherited!A:A,Inherited!C:C)))+(((100-(_xlfn.XLOOKUP(Assessment!#REF!,Inherited!A:A,Inherited!B:B)))/100)*IF(X65="1.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(100%)","100"))))))&gt;=33,(((_xlfn.XLOOKUP(Assessment!#REF!,Inherited!A:A,Inherited!B:B))/100)*(_xlfn.XLOOKUP(Assessment!#REF!,Inherited!A:A,Inherited!C:C)))+(((100-(_xlfn.XLOOKUP(Assessment!#REF!,Inherited!A:A,Inherited!B:B)))/100)*IF(X65="1.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(100%)","100"))))))&lt;=65),"50",IF(AND((((_xlfn.XLOOKUP(Assessment!#REF!,Inherited!A:A,Inherited!B:B))/100)*(_xlfn.XLOOKUP(Assessment!#REF!,Inherited!A:A,Inherited!C:C)))+(((100-(_xlfn.XLOOKUP(Assessment!#REF!,Inherited!A:A,Inherited!B:B)))/100)*IF(X65="1.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(100%)","100"))))))&gt;=66,(((_xlfn.XLOOKUP(Assessment!#REF!,Inherited!A:A,Inherited!B:B))/100)*(_xlfn.XLOOKUP(Assessment!#REF!,Inherited!A:A,Inherited!C:C)))+(((100-(_xlfn.XLOOKUP(Assessment!#REF!,Inherited!A:A,Inherited!B:B)))/100)*IF(X65="1.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(100%)","100"))))))&lt;=89),"75",IF((((_xlfn.XLOOKUP(Assessment!#REF!,Inherited!A:A,Inherited!B:B))/100)*(_xlfn.XLOOKUP(Assessment!#REF!,Inherited!A:A,Inherited!C:C)))+(((100-(_xlfn.XLOOKUP(Assessment!#REF!,Inherited!A:A,Inherited!B:B)))/100)*IF(X65="1. Non Compliant (0%)","0",IF(X65="2. Somewhat Compliant (25%)","25",IF(X65="3. Partially Compliant (50%)","50",IF(X65="4. Mostly Compliant (75%)","75",IF(X65="5. Fully Compliant (100%)","100"))))))&gt;=90,"100"))))))</f>
        <v>#N/A</v>
      </c>
      <c r="R65" s="1" t="e">
        <f>IF(MATCH(H65,Inherited!A:A),IF((((_xlfn.XLOOKUP(Assessment!#REF!,Inherited!A:A,Inherited!B:B))/100)*(_xlfn.XLOOKUP(Assessment!#REF!,Inherited!A:A,Inherited!D:D)))+(((100-(_xlfn.XLOOKUP(Assessment!#REF!,Inherited!A:A,Inherited!B:B)))/100)*IF(Y65="1.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(100%)","100"))))))&lt;=10,"0", IF(AND((((_xlfn.XLOOKUP(Assessment!#REF!,Inherited!A:A,Inherited!B:B))/100)*(_xlfn.XLOOKUP(Assessment!#REF!,Inherited!A:A,Inherited!D:D)))+(((100-(_xlfn.XLOOKUP(Assessment!#REF!,Inherited!A:A,Inherited!B:B)))/100)*IF(Y65="1.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(100%)","100"))))))&gt;=11,(((_xlfn.XLOOKUP(Assessment!#REF!,Inherited!A:A,Inherited!B:B))/100)*(_xlfn.XLOOKUP(Assessment!#REF!,Inherited!A:A,Inherited!D:D)))+(((100-(_xlfn.XLOOKUP(Assessment!#REF!,Inherited!A:A,Inherited!B:B)))/100)*IF(Y65="1.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(100%)","100"))))))&lt;=32),"25",IF(AND((((_xlfn.XLOOKUP(Assessment!#REF!,Inherited!A:A,Inherited!B:B))/100)*(_xlfn.XLOOKUP(Assessment!#REF!,Inherited!A:A,Inherited!D:D)))+(((100-(_xlfn.XLOOKUP(Assessment!#REF!,Inherited!A:A,Inherited!B:B)))/100)*IF(Y65="1.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(100%)","100"))))))&gt;=33,(((_xlfn.XLOOKUP(Assessment!#REF!,Inherited!A:A,Inherited!B:B))/100)*(_xlfn.XLOOKUP(Assessment!#REF!,Inherited!A:A,Inherited!D:D)))+(((100-(_xlfn.XLOOKUP(Assessment!#REF!,Inherited!A:A,Inherited!B:B)))/100)*IF(Y65="1.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(100%)","100"))))))&lt;=65),"50",IF(AND((((_xlfn.XLOOKUP(Assessment!#REF!,Inherited!A:A,Inherited!B:B))/100)*(_xlfn.XLOOKUP(Assessment!#REF!,Inherited!A:A,Inherited!D:D)))+(((100-(_xlfn.XLOOKUP(Assessment!#REF!,Inherited!A:A,Inherited!B:B)))/100)*IF(Y65="1.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(100%)","100"))))))&gt;=66,(((_xlfn.XLOOKUP(Assessment!#REF!,Inherited!A:A,Inherited!B:B))/100)*(_xlfn.XLOOKUP(Assessment!#REF!,Inherited!A:A,Inherited!D:D)))+(((100-(_xlfn.XLOOKUP(Assessment!#REF!,Inherited!A:A,Inherited!B:B)))/100)*IF(Y65="1.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(100%)","100"))))))&lt;=89),"75",IF((((_xlfn.XLOOKUP(Assessment!#REF!,Inherited!A:A,Inherited!B:B))/100)*(_xlfn.XLOOKUP(Assessment!#REF!,Inherited!A:A,Inherited!D:D)))+(((100-(_xlfn.XLOOKUP(Assessment!#REF!,Inherited!A:A,Inherited!B:B)))/100)*IF(Y65="1. Non Compliant (0%)","0",IF(Y65="2. Somewhat Compliant (25%)","25",IF(Y65="3. Partially Compliant (50%)","50",IF(Y65="4. Mostly Compliant (75%)","75",IF(Y65="5. Fully Compliant (100%)","100"))))))&gt;=90,"100"))))))</f>
        <v>#N/A</v>
      </c>
      <c r="S65" s="1" t="e">
        <f>IF(MATCH(H65,Inherited!A:A),IF((((_xlfn.XLOOKUP(Assessment!#REF!,Inherited!A:A,Inherited!B:B))/100)*(_xlfn.XLOOKUP(Assessment!#REF!,Inherited!A:A,Inherited!E:E)))+(((100-(_xlfn.XLOOKUP(Assessment!#REF!,Inherited!A:A,Inherited!B:B)))/100)*IF(Z65="1.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(100%)","100"))))))&lt;=10,"0", IF(AND((((_xlfn.XLOOKUP(Assessment!#REF!,Inherited!A:A,Inherited!B:B))/100)*(_xlfn.XLOOKUP(Assessment!#REF!,Inherited!A:A,Inherited!E:E)))+(((100-(_xlfn.XLOOKUP(Assessment!#REF!,Inherited!A:A,Inherited!B:B)))/100)*IF(Z65="1.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(100%)","100"))))))&gt;=11,(((_xlfn.XLOOKUP(Assessment!#REF!,Inherited!A:A,Inherited!B:B))/100)*(_xlfn.XLOOKUP(Assessment!#REF!,Inherited!A:A,Inherited!E:E)))+(((100-(_xlfn.XLOOKUP(Assessment!#REF!,Inherited!A:A,Inherited!B:B)))/100)*IF(Z65="1.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(100%)","100"))))))&lt;=32),"25",IF(AND((((_xlfn.XLOOKUP(Assessment!#REF!,Inherited!A:A,Inherited!B:B))/100)*(_xlfn.XLOOKUP(Assessment!#REF!,Inherited!A:A,Inherited!E:E)))+(((100-(_xlfn.XLOOKUP(Assessment!#REF!,Inherited!A:A,Inherited!B:B)))/100)*IF(Z65="1.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(100%)","100"))))))&gt;=33,(((_xlfn.XLOOKUP(Assessment!#REF!,Inherited!A:A,Inherited!B:B))/100)*(_xlfn.XLOOKUP(Assessment!#REF!,Inherited!A:A,Inherited!E:E)))+(((100-(_xlfn.XLOOKUP(Assessment!#REF!,Inherited!A:A,Inherited!B:B)))/100)*IF(Z65="1.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(100%)","100"))))))&lt;=65),"50",IF(AND((((_xlfn.XLOOKUP(Assessment!#REF!,Inherited!A:A,Inherited!B:B))/100)*(_xlfn.XLOOKUP(Assessment!#REF!,Inherited!A:A,Inherited!E:E)))+(((100-(_xlfn.XLOOKUP(Assessment!#REF!,Inherited!A:A,Inherited!B:B)))/100)*IF(Z65="1.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(100%)","100"))))))&gt;=66,(((_xlfn.XLOOKUP(Assessment!#REF!,Inherited!A:A,Inherited!B:B))/100)*(_xlfn.XLOOKUP(Assessment!#REF!,Inherited!A:A,Inherited!E:E)))+(((100-(_xlfn.XLOOKUP(Assessment!#REF!,Inherited!A:A,Inherited!B:B)))/100)*IF(Z65="1.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(100%)","100"))))))&lt;=89),"75",IF((((_xlfn.XLOOKUP(Assessment!#REF!,Inherited!A:A,Inherited!B:B))/100)*(_xlfn.XLOOKUP(Assessment!#REF!,Inherited!A:A,Inherited!E:E)))+(((100-(_xlfn.XLOOKUP(Assessment!#REF!,Inherited!A:A,Inherited!B:B)))/100)*IF(Z65="1. Non Compliant (0%)","0",IF(Z65="2. Somewhat Compliant (25%)","25",IF(Z65="3. Partially Compliant (50%)","50",IF(Z65="4. Mostly Compliant (75%)","75",IF(Z65="5. Fully Compliant (100%)","100"))))))&gt;=90,"100"))))))</f>
        <v>#N/A</v>
      </c>
      <c r="T65" s="1" t="e">
        <f>IF(MATCH(H65,Inherited!A:A),IF((((_xlfn.XLOOKUP(Assessment!#REF!,Inherited!A:A,Inherited!B:B))/100)*(_xlfn.XLOOKUP(Assessment!#REF!,Inherited!A:A,Inherited!F:F)))+(((100-(_xlfn.XLOOKUP(Assessment!#REF!,Inherited!A:A,Inherited!B:B)))/100)*IF(AA65="1.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(100%)","100"))))))&lt;=10,"0", IF(AND((((_xlfn.XLOOKUP(Assessment!#REF!,Inherited!A:A,Inherited!B:B))/100)*(_xlfn.XLOOKUP(Assessment!#REF!,Inherited!A:A,Inherited!F:F)))+(((100-(_xlfn.XLOOKUP(Assessment!#REF!,Inherited!A:A,Inherited!B:B)))/100)*IF(AA65="1.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(100%)","100"))))))&gt;=11,(((_xlfn.XLOOKUP(Assessment!#REF!,Inherited!A:A,Inherited!B:B))/100)*(_xlfn.XLOOKUP(Assessment!#REF!,Inherited!A:A,Inherited!F:F)))+(((100-(_xlfn.XLOOKUP(Assessment!#REF!,Inherited!A:A,Inherited!B:B)))/100)*IF(AA65="1.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(100%)","100"))))))&lt;=32),"25",IF(AND((((_xlfn.XLOOKUP(Assessment!#REF!,Inherited!A:A,Inherited!B:B))/100)*(_xlfn.XLOOKUP(Assessment!#REF!,Inherited!A:A,Inherited!F:F)))+(((100-(_xlfn.XLOOKUP(Assessment!#REF!,Inherited!A:A,Inherited!B:B)))/100)*IF(AA65="1.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(100%)","100"))))))&gt;=33,(((_xlfn.XLOOKUP(Assessment!#REF!,Inherited!A:A,Inherited!B:B))/100)*(_xlfn.XLOOKUP(Assessment!#REF!,Inherited!A:A,Inherited!F:F)))+(((100-(_xlfn.XLOOKUP(Assessment!#REF!,Inherited!A:A,Inherited!B:B)))/100)*IF(AA65="1.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(100%)","100"))))))&lt;=65),"50",IF(AND((((_xlfn.XLOOKUP(Assessment!#REF!,Inherited!A:A,Inherited!B:B))/100)*(_xlfn.XLOOKUP(Assessment!#REF!,Inherited!A:A,Inherited!F:F)))+(((100-(_xlfn.XLOOKUP(Assessment!#REF!,Inherited!A:A,Inherited!B:B)))/100)*IF(AA65="1.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(100%)","100"))))))&gt;=66,(((_xlfn.XLOOKUP(Assessment!#REF!,Inherited!A:A,Inherited!B:B))/100)*(_xlfn.XLOOKUP(Assessment!#REF!,Inherited!A:A,Inherited!F:F)))+(((100-(_xlfn.XLOOKUP(Assessment!#REF!,Inherited!A:A,Inherited!B:B)))/100)*IF(AA65="1.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(100%)","100"))))))&lt;=89),"75",IF((((_xlfn.XLOOKUP(Assessment!#REF!,Inherited!A:A,Inherited!B:B))/100)*(_xlfn.XLOOKUP(Assessment!#REF!,Inherited!A:A,Inherited!F:F)))+(((100-(_xlfn.XLOOKUP(Assessment!#REF!,Inherited!A:A,Inherited!B:B)))/100)*IF(AA65="1. Non Compliant (0%)","0",IF(AA65="2. Somewhat Compliant (25%)","25",IF(AA65="3. Partially Compliant (50%)","50",IF(AA65="4. Mostly Compliant (75%)","75",IF(AA65="5. Fully Compliant (100%)","100"))))))&gt;=90,"100"))))))</f>
        <v>#N/A</v>
      </c>
      <c r="U65" s="1" t="e">
        <f>IF(MATCH(H65,Inherited!A:A),IF((((_xlfn.XLOOKUP(Assessment!#REF!,Inherited!A:A,Inherited!B:B))/100)*(_xlfn.XLOOKUP(Assessment!#REF!,Inherited!A:A,Inherited!G:G)))+(((100-(_xlfn.XLOOKUP(Assessment!#REF!,Inherited!A:A,Inherited!B:B)))/100)*IF(AB65="1.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(100%)","100"))))))&lt;=10,"0", IF(AND((((_xlfn.XLOOKUP(Assessment!#REF!,Inherited!A:A,Inherited!B:B))/100)*(_xlfn.XLOOKUP(Assessment!#REF!,Inherited!A:A,Inherited!G:G)))+(((100-(_xlfn.XLOOKUP(Assessment!#REF!,Inherited!A:A,Inherited!B:B)))/100)*IF(AB65="1.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(100%)","100"))))))&gt;=11,(((_xlfn.XLOOKUP(Assessment!#REF!,Inherited!A:A,Inherited!B:B))/100)*(_xlfn.XLOOKUP(Assessment!#REF!,Inherited!A:A,Inherited!G:G)))+(((100-(_xlfn.XLOOKUP(Assessment!#REF!,Inherited!A:A,Inherited!B:B)))/100)*IF(AB65="1.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(100%)","100"))))))&lt;=32),"25",IF(AND((((_xlfn.XLOOKUP(Assessment!#REF!,Inherited!A:A,Inherited!B:B))/100)*(_xlfn.XLOOKUP(Assessment!#REF!,Inherited!A:A,Inherited!G:G)))+(((100-(_xlfn.XLOOKUP(Assessment!#REF!,Inherited!A:A,Inherited!B:B)))/100)*IF(AB65="1.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(100%)","100"))))))&gt;=33,(((_xlfn.XLOOKUP(Assessment!#REF!,Inherited!A:A,Inherited!B:B))/100)*(_xlfn.XLOOKUP(Assessment!#REF!,Inherited!A:A,Inherited!G:G)))+(((100-(_xlfn.XLOOKUP(Assessment!#REF!,Inherited!A:A,Inherited!B:B)))/100)*IF(AB65="1.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(100%)","100"))))))&lt;=65),"50",IF(AND((((_xlfn.XLOOKUP(Assessment!#REF!,Inherited!A:A,Inherited!B:B))/100)*(_xlfn.XLOOKUP(Assessment!#REF!,Inherited!A:A,Inherited!G:G)))+(((100-(_xlfn.XLOOKUP(Assessment!#REF!,Inherited!A:A,Inherited!B:B)))/100)*IF(AB65="1.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(100%)","100"))))))&gt;=66,(((_xlfn.XLOOKUP(Assessment!#REF!,Inherited!A:A,Inherited!B:B))/100)*(_xlfn.XLOOKUP(Assessment!#REF!,Inherited!A:A,Inherited!G:G)))+(((100-(_xlfn.XLOOKUP(Assessment!#REF!,Inherited!A:A,Inherited!B:B)))/100)*IF(AB65="1.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(100%)","100"))))))&lt;=89),"75",IF((((_xlfn.XLOOKUP(Assessment!#REF!,Inherited!A:A,Inherited!B:B))/100)*(_xlfn.XLOOKUP(Assessment!#REF!,Inherited!A:A,Inherited!G:G)))+(((100-(_xlfn.XLOOKUP(Assessment!#REF!,Inherited!A:A,Inherited!B:B)))/100)*IF(AB65="1. Non Compliant (0%)","0",IF(AB65="2. Somewhat Compliant (25%)","25",IF(AB65="3. Partially Compliant (50%)","50",IF(AB65="4. Mostly Compliant (75%)","75",IF(AB65="5. Fully Compliant (100%)","100"))))))&gt;=90,"100"))))))</f>
        <v>#N/A</v>
      </c>
      <c r="V65" s="55" t="s">
        <v>85</v>
      </c>
      <c r="W65" s="55"/>
      <c r="X65" s="55"/>
      <c r="Y65" s="55"/>
      <c r="Z65" s="55" t="s">
        <v>10873</v>
      </c>
      <c r="AA65" s="55"/>
      <c r="AB65" s="55"/>
      <c r="AK65" s="1" t="s">
        <v>10947</v>
      </c>
      <c r="AP65" s="1" t="s">
        <v>11016</v>
      </c>
      <c r="AX65" s="3" t="str">
        <f>_xlfn.CONCAT("A-LIGN finished its review of this control on ",AR65, " during the scheduled fieldwork window (",Intro!$B$4,")."&amp; CHAR(10)&amp; CHAR(10))</f>
        <v xml:space="preserve">A-LIGN finished its review of this control on  during the scheduled fieldwork window (Fieldwork: xx/xx/xxxx - xx/xx/xxxx).
</v>
      </c>
      <c r="AY65" s="3" t="str">
        <f t="shared" ref="AY65:AY66" si="101">IF(AQ65&lt;&gt;"",(_xlfn.CONCAT("Inheritance note: "&amp; CHAR(10),AQ65&amp; CHAR(10)&amp; CHAR(10))),"")</f>
        <v/>
      </c>
      <c r="AZ65" s="3" t="str">
        <f t="shared" ref="AZ65:AZ66" si="102">IFERROR(IF(AD65&lt;&gt;"",_xlfn.CONCAT("Examined the following policy during fieldwork:"&amp; CHAR(10),AD65&amp; CHAR(10)&amp; CHAR(10),IF(AND(X65&lt;&gt;"5. Fully Compliant (100%)",AE65&lt;&gt;""),"Reviewed policy exception note:"&amp; CHAR(10) &amp; AE65 &amp; CHAR(10) &amp; CHAR(10),"")),""),"")</f>
        <v/>
      </c>
      <c r="BA65" s="3" t="str">
        <f t="shared" ref="BA65:BA66" si="103">IFERROR(IF(AH65&lt;&gt;"",_xlfn.CONCAT("Examined the following process during fieldwork:"&amp; CHAR(10),AH65&amp; CHAR(10)&amp; CHAR(10),IF(AND(Y65&lt;&gt;"5. Fully Compliant (100%)",AI65&lt;&gt;""),"Reviewed process exception note:"&amp; CHAR(10) &amp; AI65 &amp; CHAR(10) &amp; CHAR(10),"")),""),"")</f>
        <v/>
      </c>
      <c r="BB65" s="3" t="str">
        <f t="shared" ref="BB65:BB66" si="104">IF(AK65&lt;&gt;"",(_xlfn.CONCAT("Inquired of the following workforce member: "&amp; CHAR(10),AK65&amp; CHAR(10)&amp; CHAR(10),"Inquiry lead to the following conclusions: "&amp; CHAR(10),AL65&amp; CHAR(10) &amp; CHAR(10))),"")</f>
        <v xml:space="preserve">Inquired of the following workforce member: 
Roze Nicolas - Director of TechOps
Inquiry lead to the following conclusions: 
</v>
      </c>
      <c r="BC65" s="3" t="str">
        <f t="shared" ref="BC65:BC66" si="105">IF(AM65&lt;&gt;"",(_xlfn.CONCAT("Observed the following live during fieldwork: "&amp; CHAR(10),AM65&amp; CHAR(10) &amp; CHAR(10))),"")</f>
        <v/>
      </c>
      <c r="BD65" s="3" t="str">
        <f t="shared" ref="BD65:BD66" si="106">_xlfn.CONCAT("Examined the following evidence during fieldwork:"&amp; CHAR(10),AN65&amp; CHAR(10)&amp; CHAR(10),IF(AO65&lt;&gt;"","Reviewed evidence note:"&amp; CHAR(10)&amp;AO65&amp; CHAR(10) &amp; CHAR(10),"Reviewed evidence addressed the requirement statement."&amp; CHAR(10) &amp; CHAR(10)),IF(AND(AP65&lt;&gt;"5. Fully Compliant (100%)",AP65&lt;&gt;""),"Reviewed evidence exception note: "&amp; CHAR(10) &amp; AP65 &amp; CHAR(10) &amp; CHAR(10),""))</f>
        <v xml:space="preserve">Examined the following evidence during fieldwork:
Reviewed evidence addressed the requirement statement.
Reviewed evidence exception note: 
Gap: Share permissions are currently being worked on to ensure that documents are only shared to specific drives rather than the entire organization.
Recommendation: Management should ensure that permissions within the environment are adjusted to ensure users only have access to drives that they need access to.
</v>
      </c>
      <c r="BE65" s="3" t="str">
        <f t="shared" ref="BE65:BE66" si="107">IF(AT65&lt;&gt;"",(_xlfn.CONCAT("Examined the following measure/metric during fieldwork:"&amp; CHAR(10),AT65&amp; CHAR(10)&amp; CHAR(10),"Reviewed measure/metric note:"&amp; CHAR(10),AU65 &amp; CHAR(10) &amp; CHAR(10))),"")</f>
        <v/>
      </c>
      <c r="BF65" s="3" t="str">
        <f t="shared" ref="BF65:BF66" si="108">IF(AV65&lt;&gt;"",(_xlfn.CONCAT("Examined the following measure/metric management during fieldwork:"&amp; CHAR(10),AV65&amp; CHAR(10)&amp; CHAR(10),"Reviewed measure/metric management note:"&amp; CHAR(10),AW65 &amp; CHAR(10) &amp; CHAR(10))),"")</f>
        <v/>
      </c>
      <c r="BG65" s="3" t="str">
        <f>_xlfn.CONCAT((IF((COUNTIF('Sample Tables'!B:B,"Test 027: Change (access to system document)")&gt;0)=TRUE,_xlfn.CONCAT("Sample test results are documented in ",'Sample Tables'!B293," [",'Sample Tables'!B294,", ",'Sample Tables'!B295,", ",'Sample Tables'!B296,", ",'Sample Tables'!B297,", ",'Sample Tables'!B298,"]."&amp;CHAR(10)),IF((COUNTIF('Sample Tables'!B:B,"Test 027: Change (access to system document)")&gt;0)=FALSE,""))),)</f>
        <v xml:space="preserve">Sample test results are documented in Test 027: Change (access to system document) [Population Source/Tool: , Population Date Range: , Population Size: , Sample Methodology: , Sample Size: ].
</v>
      </c>
      <c r="BH65" s="3" t="str">
        <f t="shared" ref="BH65:BH66" si="109">IF(V65="No","Not Applicable: "&amp;W65,(_xlfn.CONCAT(AX65,AY65,AZ65,BA65,BB65,BC65,BD65,BE65,BF65,BG65)))</f>
        <v xml:space="preserve">A-LIGN finished its review of this control on  during the scheduled fieldwork window (Fieldwork: xx/xx/xxxx - xx/xx/xxxx).
Inquired of the following workforce member: 
Roze Nicolas - Director of TechOps
Inquiry lead to the following conclusions: 
Examined the following evidence during fieldwork:
Reviewed evidence addressed the requirement statement.
Reviewed evidence exception note: 
Gap: Share permissions are currently being worked on to ensure that documents are only shared to specific drives rather than the entire organization.
Recommendation: Management should ensure that permissions within the environment are adjusted to ensure users only have access to drives that they need access to.
Sample test results are documented in Test 027: Change (access to system document) [Population Source/Tool: , Population Date Range: , Population Size: , Sample Methodology: , Sample Size: ].
</v>
      </c>
    </row>
    <row r="66" spans="3:60" ht="375" x14ac:dyDescent="0.35">
      <c r="C66" s="1">
        <f t="shared" si="100"/>
        <v>40</v>
      </c>
      <c r="D66" s="5" t="str">
        <f>IF(AND((_xlfn.XLOOKUP(J66,'Fields &amp; Revisions'!$H:$H,'Fields &amp; Revisions'!$I:$I))&lt;70.99,(OR(Z66="4. Mostly Compliant (75%)",Z66="3. Partially Compliant (50%)",Z66="2. Somewhat Compliant (25%)",Z66="1. Non Compliant (0%)"))),"Yes","No")</f>
        <v>No</v>
      </c>
      <c r="E66" s="5" t="str">
        <f>IF(ISERROR(VLOOKUP(H66,Scope!A:A,1,FALSE)),"No","Yes")</f>
        <v>Yes</v>
      </c>
      <c r="F66" s="1" t="s">
        <v>1293</v>
      </c>
      <c r="G66" s="53" t="s">
        <v>1698</v>
      </c>
      <c r="H66" s="53" t="s">
        <v>1699</v>
      </c>
      <c r="I66" s="5">
        <v>1</v>
      </c>
      <c r="J66" s="1" t="s">
        <v>1084</v>
      </c>
      <c r="K66" s="1" t="s">
        <v>1700</v>
      </c>
      <c r="L66" s="1" t="s">
        <v>1701</v>
      </c>
      <c r="M66" s="1" t="s">
        <v>1702</v>
      </c>
      <c r="N66" s="5" t="s">
        <v>85</v>
      </c>
      <c r="O66" s="1" t="str">
        <f>_xlfn.XLOOKUP(G66,SRMs!$A:$A,SRMs!$D:$D)</f>
        <v>PARTIAL INHERITANCE</v>
      </c>
      <c r="P66" s="1" t="str">
        <f>IFERROR(VLOOKUP(H66,Inherited!A:B,2,FALSE),"")</f>
        <v/>
      </c>
      <c r="Q66" s="1" t="e">
        <f>IF(MATCH(H66,Inherited!A:A),IF((((_xlfn.XLOOKUP(Assessment!#REF!,Inherited!A:A,Inherited!B:B))/100)*(_xlfn.XLOOKUP(Assessment!#REF!,Inherited!A:A,Inherited!C:C)))+(((100-(_xlfn.XLOOKUP(Assessment!#REF!,Inherited!A:A,Inherited!B:B)))/100)*IF(X66="1.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(100%)","100"))))))&lt;=10,"0", IF(AND((((_xlfn.XLOOKUP(Assessment!#REF!,Inherited!A:A,Inherited!B:B))/100)*(_xlfn.XLOOKUP(Assessment!#REF!,Inherited!A:A,Inherited!C:C)))+(((100-(_xlfn.XLOOKUP(Assessment!#REF!,Inherited!A:A,Inherited!B:B)))/100)*IF(X66="1.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(100%)","100"))))))&gt;=11,(((_xlfn.XLOOKUP(Assessment!#REF!,Inherited!A:A,Inherited!B:B))/100)*(_xlfn.XLOOKUP(Assessment!#REF!,Inherited!A:A,Inherited!C:C)))+(((100-(_xlfn.XLOOKUP(Assessment!#REF!,Inherited!A:A,Inherited!B:B)))/100)*IF(X66="1.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(100%)","100"))))))&lt;=32),"25",IF(AND((((_xlfn.XLOOKUP(Assessment!#REF!,Inherited!A:A,Inherited!B:B))/100)*(_xlfn.XLOOKUP(Assessment!#REF!,Inherited!A:A,Inherited!C:C)))+(((100-(_xlfn.XLOOKUP(Assessment!#REF!,Inherited!A:A,Inherited!B:B)))/100)*IF(X66="1.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(100%)","100"))))))&gt;=33,(((_xlfn.XLOOKUP(Assessment!#REF!,Inherited!A:A,Inherited!B:B))/100)*(_xlfn.XLOOKUP(Assessment!#REF!,Inherited!A:A,Inherited!C:C)))+(((100-(_xlfn.XLOOKUP(Assessment!#REF!,Inherited!A:A,Inherited!B:B)))/100)*IF(X66="1.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(100%)","100"))))))&lt;=65),"50",IF(AND((((_xlfn.XLOOKUP(Assessment!#REF!,Inherited!A:A,Inherited!B:B))/100)*(_xlfn.XLOOKUP(Assessment!#REF!,Inherited!A:A,Inherited!C:C)))+(((100-(_xlfn.XLOOKUP(Assessment!#REF!,Inherited!A:A,Inherited!B:B)))/100)*IF(X66="1.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(100%)","100"))))))&gt;=66,(((_xlfn.XLOOKUP(Assessment!#REF!,Inherited!A:A,Inherited!B:B))/100)*(_xlfn.XLOOKUP(Assessment!#REF!,Inherited!A:A,Inherited!C:C)))+(((100-(_xlfn.XLOOKUP(Assessment!#REF!,Inherited!A:A,Inherited!B:B)))/100)*IF(X66="1.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(100%)","100"))))))&lt;=89),"75",IF((((_xlfn.XLOOKUP(Assessment!#REF!,Inherited!A:A,Inherited!B:B))/100)*(_xlfn.XLOOKUP(Assessment!#REF!,Inherited!A:A,Inherited!C:C)))+(((100-(_xlfn.XLOOKUP(Assessment!#REF!,Inherited!A:A,Inherited!B:B)))/100)*IF(X66="1. Non Compliant (0%)","0",IF(X66="2. Somewhat Compliant (25%)","25",IF(X66="3. Partially Compliant (50%)","50",IF(X66="4. Mostly Compliant (75%)","75",IF(X66="5. Fully Compliant (100%)","100"))))))&gt;=90,"100"))))))</f>
        <v>#N/A</v>
      </c>
      <c r="R66" s="1" t="e">
        <f>IF(MATCH(H66,Inherited!A:A),IF((((_xlfn.XLOOKUP(Assessment!#REF!,Inherited!A:A,Inherited!B:B))/100)*(_xlfn.XLOOKUP(Assessment!#REF!,Inherited!A:A,Inherited!D:D)))+(((100-(_xlfn.XLOOKUP(Assessment!#REF!,Inherited!A:A,Inherited!B:B)))/100)*IF(Y66="1.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(100%)","100"))))))&lt;=10,"0", IF(AND((((_xlfn.XLOOKUP(Assessment!#REF!,Inherited!A:A,Inherited!B:B))/100)*(_xlfn.XLOOKUP(Assessment!#REF!,Inherited!A:A,Inherited!D:D)))+(((100-(_xlfn.XLOOKUP(Assessment!#REF!,Inherited!A:A,Inherited!B:B)))/100)*IF(Y66="1.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(100%)","100"))))))&gt;=11,(((_xlfn.XLOOKUP(Assessment!#REF!,Inherited!A:A,Inherited!B:B))/100)*(_xlfn.XLOOKUP(Assessment!#REF!,Inherited!A:A,Inherited!D:D)))+(((100-(_xlfn.XLOOKUP(Assessment!#REF!,Inherited!A:A,Inherited!B:B)))/100)*IF(Y66="1.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(100%)","100"))))))&lt;=32),"25",IF(AND((((_xlfn.XLOOKUP(Assessment!#REF!,Inherited!A:A,Inherited!B:B))/100)*(_xlfn.XLOOKUP(Assessment!#REF!,Inherited!A:A,Inherited!D:D)))+(((100-(_xlfn.XLOOKUP(Assessment!#REF!,Inherited!A:A,Inherited!B:B)))/100)*IF(Y66="1.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(100%)","100"))))))&gt;=33,(((_xlfn.XLOOKUP(Assessment!#REF!,Inherited!A:A,Inherited!B:B))/100)*(_xlfn.XLOOKUP(Assessment!#REF!,Inherited!A:A,Inherited!D:D)))+(((100-(_xlfn.XLOOKUP(Assessment!#REF!,Inherited!A:A,Inherited!B:B)))/100)*IF(Y66="1.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(100%)","100"))))))&lt;=65),"50",IF(AND((((_xlfn.XLOOKUP(Assessment!#REF!,Inherited!A:A,Inherited!B:B))/100)*(_xlfn.XLOOKUP(Assessment!#REF!,Inherited!A:A,Inherited!D:D)))+(((100-(_xlfn.XLOOKUP(Assessment!#REF!,Inherited!A:A,Inherited!B:B)))/100)*IF(Y66="1.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(100%)","100"))))))&gt;=66,(((_xlfn.XLOOKUP(Assessment!#REF!,Inherited!A:A,Inherited!B:B))/100)*(_xlfn.XLOOKUP(Assessment!#REF!,Inherited!A:A,Inherited!D:D)))+(((100-(_xlfn.XLOOKUP(Assessment!#REF!,Inherited!A:A,Inherited!B:B)))/100)*IF(Y66="1.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(100%)","100"))))))&lt;=89),"75",IF((((_xlfn.XLOOKUP(Assessment!#REF!,Inherited!A:A,Inherited!B:B))/100)*(_xlfn.XLOOKUP(Assessment!#REF!,Inherited!A:A,Inherited!D:D)))+(((100-(_xlfn.XLOOKUP(Assessment!#REF!,Inherited!A:A,Inherited!B:B)))/100)*IF(Y66="1. Non Compliant (0%)","0",IF(Y66="2. Somewhat Compliant (25%)","25",IF(Y66="3. Partially Compliant (50%)","50",IF(Y66="4. Mostly Compliant (75%)","75",IF(Y66="5. Fully Compliant (100%)","100"))))))&gt;=90,"100"))))))</f>
        <v>#N/A</v>
      </c>
      <c r="S66" s="1" t="e">
        <f>IF(MATCH(H66,Inherited!A:A),IF((((_xlfn.XLOOKUP(Assessment!#REF!,Inherited!A:A,Inherited!B:B))/100)*(_xlfn.XLOOKUP(Assessment!#REF!,Inherited!A:A,Inherited!E:E)))+(((100-(_xlfn.XLOOKUP(Assessment!#REF!,Inherited!A:A,Inherited!B:B)))/100)*IF(Z66="1.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(100%)","100"))))))&lt;=10,"0", IF(AND((((_xlfn.XLOOKUP(Assessment!#REF!,Inherited!A:A,Inherited!B:B))/100)*(_xlfn.XLOOKUP(Assessment!#REF!,Inherited!A:A,Inherited!E:E)))+(((100-(_xlfn.XLOOKUP(Assessment!#REF!,Inherited!A:A,Inherited!B:B)))/100)*IF(Z66="1.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(100%)","100"))))))&gt;=11,(((_xlfn.XLOOKUP(Assessment!#REF!,Inherited!A:A,Inherited!B:B))/100)*(_xlfn.XLOOKUP(Assessment!#REF!,Inherited!A:A,Inherited!E:E)))+(((100-(_xlfn.XLOOKUP(Assessment!#REF!,Inherited!A:A,Inherited!B:B)))/100)*IF(Z66="1.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(100%)","100"))))))&lt;=32),"25",IF(AND((((_xlfn.XLOOKUP(Assessment!#REF!,Inherited!A:A,Inherited!B:B))/100)*(_xlfn.XLOOKUP(Assessment!#REF!,Inherited!A:A,Inherited!E:E)))+(((100-(_xlfn.XLOOKUP(Assessment!#REF!,Inherited!A:A,Inherited!B:B)))/100)*IF(Z66="1.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(100%)","100"))))))&gt;=33,(((_xlfn.XLOOKUP(Assessment!#REF!,Inherited!A:A,Inherited!B:B))/100)*(_xlfn.XLOOKUP(Assessment!#REF!,Inherited!A:A,Inherited!E:E)))+(((100-(_xlfn.XLOOKUP(Assessment!#REF!,Inherited!A:A,Inherited!B:B)))/100)*IF(Z66="1.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(100%)","100"))))))&lt;=65),"50",IF(AND((((_xlfn.XLOOKUP(Assessment!#REF!,Inherited!A:A,Inherited!B:B))/100)*(_xlfn.XLOOKUP(Assessment!#REF!,Inherited!A:A,Inherited!E:E)))+(((100-(_xlfn.XLOOKUP(Assessment!#REF!,Inherited!A:A,Inherited!B:B)))/100)*IF(Z66="1.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(100%)","100"))))))&gt;=66,(((_xlfn.XLOOKUP(Assessment!#REF!,Inherited!A:A,Inherited!B:B))/100)*(_xlfn.XLOOKUP(Assessment!#REF!,Inherited!A:A,Inherited!E:E)))+(((100-(_xlfn.XLOOKUP(Assessment!#REF!,Inherited!A:A,Inherited!B:B)))/100)*IF(Z66="1.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(100%)","100"))))))&lt;=89),"75",IF((((_xlfn.XLOOKUP(Assessment!#REF!,Inherited!A:A,Inherited!B:B))/100)*(_xlfn.XLOOKUP(Assessment!#REF!,Inherited!A:A,Inherited!E:E)))+(((100-(_xlfn.XLOOKUP(Assessment!#REF!,Inherited!A:A,Inherited!B:B)))/100)*IF(Z66="1. Non Compliant (0%)","0",IF(Z66="2. Somewhat Compliant (25%)","25",IF(Z66="3. Partially Compliant (50%)","50",IF(Z66="4. Mostly Compliant (75%)","75",IF(Z66="5. Fully Compliant (100%)","100"))))))&gt;=90,"100"))))))</f>
        <v>#N/A</v>
      </c>
      <c r="T66" s="1" t="e">
        <f>IF(MATCH(H66,Inherited!A:A),IF((((_xlfn.XLOOKUP(Assessment!#REF!,Inherited!A:A,Inherited!B:B))/100)*(_xlfn.XLOOKUP(Assessment!#REF!,Inherited!A:A,Inherited!F:F)))+(((100-(_xlfn.XLOOKUP(Assessment!#REF!,Inherited!A:A,Inherited!B:B)))/100)*IF(AA66="1.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(100%)","100"))))))&lt;=10,"0", IF(AND((((_xlfn.XLOOKUP(Assessment!#REF!,Inherited!A:A,Inherited!B:B))/100)*(_xlfn.XLOOKUP(Assessment!#REF!,Inherited!A:A,Inherited!F:F)))+(((100-(_xlfn.XLOOKUP(Assessment!#REF!,Inherited!A:A,Inherited!B:B)))/100)*IF(AA66="1.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(100%)","100"))))))&gt;=11,(((_xlfn.XLOOKUP(Assessment!#REF!,Inherited!A:A,Inherited!B:B))/100)*(_xlfn.XLOOKUP(Assessment!#REF!,Inherited!A:A,Inherited!F:F)))+(((100-(_xlfn.XLOOKUP(Assessment!#REF!,Inherited!A:A,Inherited!B:B)))/100)*IF(AA66="1.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(100%)","100"))))))&lt;=32),"25",IF(AND((((_xlfn.XLOOKUP(Assessment!#REF!,Inherited!A:A,Inherited!B:B))/100)*(_xlfn.XLOOKUP(Assessment!#REF!,Inherited!A:A,Inherited!F:F)))+(((100-(_xlfn.XLOOKUP(Assessment!#REF!,Inherited!A:A,Inherited!B:B)))/100)*IF(AA66="1.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(100%)","100"))))))&gt;=33,(((_xlfn.XLOOKUP(Assessment!#REF!,Inherited!A:A,Inherited!B:B))/100)*(_xlfn.XLOOKUP(Assessment!#REF!,Inherited!A:A,Inherited!F:F)))+(((100-(_xlfn.XLOOKUP(Assessment!#REF!,Inherited!A:A,Inherited!B:B)))/100)*IF(AA66="1.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(100%)","100"))))))&lt;=65),"50",IF(AND((((_xlfn.XLOOKUP(Assessment!#REF!,Inherited!A:A,Inherited!B:B))/100)*(_xlfn.XLOOKUP(Assessment!#REF!,Inherited!A:A,Inherited!F:F)))+(((100-(_xlfn.XLOOKUP(Assessment!#REF!,Inherited!A:A,Inherited!B:B)))/100)*IF(AA66="1.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(100%)","100"))))))&gt;=66,(((_xlfn.XLOOKUP(Assessment!#REF!,Inherited!A:A,Inherited!B:B))/100)*(_xlfn.XLOOKUP(Assessment!#REF!,Inherited!A:A,Inherited!F:F)))+(((100-(_xlfn.XLOOKUP(Assessment!#REF!,Inherited!A:A,Inherited!B:B)))/100)*IF(AA66="1.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(100%)","100"))))))&lt;=89),"75",IF((((_xlfn.XLOOKUP(Assessment!#REF!,Inherited!A:A,Inherited!B:B))/100)*(_xlfn.XLOOKUP(Assessment!#REF!,Inherited!A:A,Inherited!F:F)))+(((100-(_xlfn.XLOOKUP(Assessment!#REF!,Inherited!A:A,Inherited!B:B)))/100)*IF(AA66="1. Non Compliant (0%)","0",IF(AA66="2. Somewhat Compliant (25%)","25",IF(AA66="3. Partially Compliant (50%)","50",IF(AA66="4. Mostly Compliant (75%)","75",IF(AA66="5. Fully Compliant (100%)","100"))))))&gt;=90,"100"))))))</f>
        <v>#N/A</v>
      </c>
      <c r="U66" s="1" t="e">
        <f>IF(MATCH(H66,Inherited!A:A),IF((((_xlfn.XLOOKUP(Assessment!#REF!,Inherited!A:A,Inherited!B:B))/100)*(_xlfn.XLOOKUP(Assessment!#REF!,Inherited!A:A,Inherited!G:G)))+(((100-(_xlfn.XLOOKUP(Assessment!#REF!,Inherited!A:A,Inherited!B:B)))/100)*IF(AB66="1.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(100%)","100"))))))&lt;=10,"0", IF(AND((((_xlfn.XLOOKUP(Assessment!#REF!,Inherited!A:A,Inherited!B:B))/100)*(_xlfn.XLOOKUP(Assessment!#REF!,Inherited!A:A,Inherited!G:G)))+(((100-(_xlfn.XLOOKUP(Assessment!#REF!,Inherited!A:A,Inherited!B:B)))/100)*IF(AB66="1.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(100%)","100"))))))&gt;=11,(((_xlfn.XLOOKUP(Assessment!#REF!,Inherited!A:A,Inherited!B:B))/100)*(_xlfn.XLOOKUP(Assessment!#REF!,Inherited!A:A,Inherited!G:G)))+(((100-(_xlfn.XLOOKUP(Assessment!#REF!,Inherited!A:A,Inherited!B:B)))/100)*IF(AB66="1.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(100%)","100"))))))&lt;=32),"25",IF(AND((((_xlfn.XLOOKUP(Assessment!#REF!,Inherited!A:A,Inherited!B:B))/100)*(_xlfn.XLOOKUP(Assessment!#REF!,Inherited!A:A,Inherited!G:G)))+(((100-(_xlfn.XLOOKUP(Assessment!#REF!,Inherited!A:A,Inherited!B:B)))/100)*IF(AB66="1.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(100%)","100"))))))&gt;=33,(((_xlfn.XLOOKUP(Assessment!#REF!,Inherited!A:A,Inherited!B:B))/100)*(_xlfn.XLOOKUP(Assessment!#REF!,Inherited!A:A,Inherited!G:G)))+(((100-(_xlfn.XLOOKUP(Assessment!#REF!,Inherited!A:A,Inherited!B:B)))/100)*IF(AB66="1.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(100%)","100"))))))&lt;=65),"50",IF(AND((((_xlfn.XLOOKUP(Assessment!#REF!,Inherited!A:A,Inherited!B:B))/100)*(_xlfn.XLOOKUP(Assessment!#REF!,Inherited!A:A,Inherited!G:G)))+(((100-(_xlfn.XLOOKUP(Assessment!#REF!,Inherited!A:A,Inherited!B:B)))/100)*IF(AB66="1.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(100%)","100"))))))&gt;=66,(((_xlfn.XLOOKUP(Assessment!#REF!,Inherited!A:A,Inherited!B:B))/100)*(_xlfn.XLOOKUP(Assessment!#REF!,Inherited!A:A,Inherited!G:G)))+(((100-(_xlfn.XLOOKUP(Assessment!#REF!,Inherited!A:A,Inherited!B:B)))/100)*IF(AB66="1.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(100%)","100"))))))&lt;=89),"75",IF((((_xlfn.XLOOKUP(Assessment!#REF!,Inherited!A:A,Inherited!B:B))/100)*(_xlfn.XLOOKUP(Assessment!#REF!,Inherited!A:A,Inherited!G:G)))+(((100-(_xlfn.XLOOKUP(Assessment!#REF!,Inherited!A:A,Inherited!B:B)))/100)*IF(AB66="1. Non Compliant (0%)","0",IF(AB66="2. Somewhat Compliant (25%)","25",IF(AB66="3. Partially Compliant (50%)","50",IF(AB66="4. Mostly Compliant (75%)","75",IF(AB66="5. Fully Compliant (100%)","100"))))))&gt;=90,"100"))))))</f>
        <v>#N/A</v>
      </c>
      <c r="V66" s="55" t="s">
        <v>85</v>
      </c>
      <c r="W66" s="55"/>
      <c r="X66" s="55"/>
      <c r="Y66" s="55"/>
      <c r="Z66" s="55" t="s">
        <v>86</v>
      </c>
      <c r="AA66" s="55"/>
      <c r="AB66" s="55"/>
      <c r="AK66" s="1" t="s">
        <v>10947</v>
      </c>
      <c r="AL66" s="1" t="s">
        <v>11034</v>
      </c>
      <c r="AM66" s="1" t="s">
        <v>11020</v>
      </c>
      <c r="AX66" s="3" t="str">
        <f>_xlfn.CONCAT("A-LIGN finished its review of this control on ",AR66, " during the scheduled fieldwork window (",Intro!$B$4,")."&amp; CHAR(10)&amp; CHAR(10))</f>
        <v xml:space="preserve">A-LIGN finished its review of this control on  during the scheduled fieldwork window (Fieldwork: xx/xx/xxxx - xx/xx/xxxx).
</v>
      </c>
      <c r="AY66" s="3" t="str">
        <f t="shared" si="101"/>
        <v/>
      </c>
      <c r="AZ66" s="3" t="str">
        <f t="shared" si="102"/>
        <v/>
      </c>
      <c r="BA66" s="3" t="str">
        <f t="shared" si="103"/>
        <v/>
      </c>
      <c r="BB66" s="3" t="str">
        <f t="shared" si="104"/>
        <v xml:space="preserve">Inquired of the following workforce member: 
Roze Nicolas - Director of TechOps
Inquiry lead to the following conclusions: 
Regular (daily/weekly/monthly) Tenable scans are conducted and are conducted by the Foresight MSP.
TechOps are currently working on formalizing penetration trusting cadences.
</v>
      </c>
      <c r="BC66" s="3" t="str">
        <f t="shared" si="105"/>
        <v xml:space="preserve">Observed the following live during fieldwork: 
Observed the Foresight Catalyst dashboard where the MSP will track/mitigate any sort of vulnerability discovered within the environment
</v>
      </c>
      <c r="BD66" s="3" t="str">
        <f t="shared" si="106"/>
        <v xml:space="preserve">Examined the following evidence during fieldwork:
Reviewed evidence addressed the requirement statement.
</v>
      </c>
      <c r="BE66" s="3" t="str">
        <f t="shared" si="107"/>
        <v/>
      </c>
      <c r="BF66" s="3" t="str">
        <f t="shared" si="108"/>
        <v/>
      </c>
      <c r="BG66" s="3" t="str">
        <f>_xlfn.CONCAT((IF((COUNTIF('Sample Tables'!B:B,"Test 116: Information Security (non-compliance identified during compliance check)")&gt;0)=TRUE,_xlfn.CONCAT("Sample test results are documented in ",'Sample Tables'!B1272," [",'Sample Tables'!B1273,", ",'Sample Tables'!B1274,", ",'Sample Tables'!B1275,", ",'Sample Tables'!B1276,", ",'Sample Tables'!B1277,"]."&amp;CHAR(10)),IF((COUNTIF('Sample Tables'!B:B,"Test 116: Information Security (non-compliance identified during compliance check)")&gt;0)=FALSE,""))),)</f>
        <v xml:space="preserve">Sample test results are documented in Test 116: Information Security (non-compliance identified during compliance check) [Population Source/Tool: , Population Date Range: , Population Size: , Sample Methodology: , Sample Size: ].
</v>
      </c>
      <c r="BH66" s="3" t="str">
        <f t="shared" si="109"/>
        <v xml:space="preserve">A-LIGN finished its review of this control on  during the scheduled fieldwork window (Fieldwork: xx/xx/xxxx - xx/xx/xxxx).
Inquired of the following workforce member: 
Roze Nicolas - Director of TechOps
Inquiry lead to the following conclusions: 
Regular (daily/weekly/monthly) Tenable scans are conducted and are conducted by the Foresight MSP.
TechOps are currently working on formalizing penetration trusting cadences.
Observed the following live during fieldwork: 
Observed the Foresight Catalyst dashboard where the MSP will track/mitigate any sort of vulnerability discovered within the environment
Examined the following evidence during fieldwork:
Reviewed evidence addressed the requirement statement.
Sample test results are documented in Test 116: Information Security (non-compliance identified during compliance check) [Population Source/Tool: , Population Date Range: , Population Size: , Sample Methodology: , Sample Size: ].
</v>
      </c>
    </row>
    <row r="67" spans="3:60" ht="409.5" x14ac:dyDescent="0.35">
      <c r="C67" s="1">
        <f t="shared" ref="C67:C68" si="110">IF(V67="No","Not Applicable",(IF(X67="1. Non Compliant (0%)","0",IF(X67="2. Somewhat Compliant (25%)","25",IF(X67="3. Partially Compliant (50%)","50",IF(X67="4. Mostly Compliant (75%)","75",IF(X67="5. Fully Compliant (100%)","100")))))*0.15)+((IF(Y67="1. Non Compliant (0%)","0",IF(Y67="2. Somewhat Compliant (25%)","25",IF(Y67="3. Partially Compliant (50%)","50",IF(Y67="4. Mostly Compliant (75%)","75",IF(Y67="5. Fully Compliant (100%)","100"))))))*0.2)+(IF(Z67="1. Non Compliant (0%)","0",IF(Z67="2. Somewhat Compliant (25%)","25",IF(Z67="3. Partially Compliant (50%)","50",IF(Z67="4. Mostly Compliant (75%)","75",IF(Z67="5. Fully Compliant (100%)","100")))))*0.4)+(IF(AA67="1. Non Compliant (0%)","0",IF(AA67="2. Somewhat Compliant (25%)","25",IF(AA67="3. Partially Compliant (50%)","50",IF(AA67="4. Mostly Compliant (75%)","75",IF(AA67="5. Fully Compliant (100%)","100")))))*0.1)+(IF(AB67="1. Non Compliant (0%)","0",IF(AB67="2. Somewhat Compliant (25%)","25",IF(AB67="3. Partially Compliant (50%)","50",IF(AB67="4. Mostly Compliant (75%)","75",IF(AB67="5. Fully Compliant (100%)","100")))))*0.15))</f>
        <v>30</v>
      </c>
      <c r="D67" s="5" t="str">
        <f>IF(AND((_xlfn.XLOOKUP(J67,'Fields &amp; Revisions'!$H:$H,'Fields &amp; Revisions'!$I:$I))&lt;70.99,(OR(Z67="4. Mostly Compliant (75%)",Z67="3. Partially Compliant (50%)",Z67="2. Somewhat Compliant (25%)",Z67="1. Non Compliant (0%)"))),"Yes","No")</f>
        <v>Yes</v>
      </c>
      <c r="E67" s="5" t="str">
        <f>IF(ISERROR(VLOOKUP(H67,Scope!A:A,1,FALSE)),"No","Yes")</f>
        <v>Yes</v>
      </c>
      <c r="F67" s="1" t="s">
        <v>1732</v>
      </c>
      <c r="G67" s="53" t="s">
        <v>1778</v>
      </c>
      <c r="H67" s="53" t="s">
        <v>1779</v>
      </c>
      <c r="I67" s="5">
        <v>1</v>
      </c>
      <c r="J67" s="1" t="s">
        <v>662</v>
      </c>
      <c r="K67" s="1" t="s">
        <v>1780</v>
      </c>
      <c r="L67" s="1" t="s">
        <v>1781</v>
      </c>
      <c r="M67" s="1" t="s">
        <v>1782</v>
      </c>
      <c r="N67" s="5" t="s">
        <v>98</v>
      </c>
      <c r="O67" s="1" t="str">
        <f>_xlfn.XLOOKUP(G67,SRMs!$A:$A,SRMs!$D:$D)</f>
        <v>PARTIAL INHERITANCE</v>
      </c>
      <c r="P67" s="1" t="str">
        <f>IFERROR(VLOOKUP(H67,Inherited!A:B,2,FALSE),"")</f>
        <v/>
      </c>
      <c r="Q67" s="1" t="e">
        <f>IF(MATCH(H67,Inherited!A:A),IF((((_xlfn.XLOOKUP(Assessment!#REF!,Inherited!A:A,Inherited!B:B))/100)*(_xlfn.XLOOKUP(Assessment!#REF!,Inherited!A:A,Inherited!C:C)))+(((100-(_xlfn.XLOOKUP(Assessment!#REF!,Inherited!A:A,Inherited!B:B)))/100)*IF(X67="1.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(100%)","100"))))))&lt;=10,"0", IF(AND((((_xlfn.XLOOKUP(Assessment!#REF!,Inherited!A:A,Inherited!B:B))/100)*(_xlfn.XLOOKUP(Assessment!#REF!,Inherited!A:A,Inherited!C:C)))+(((100-(_xlfn.XLOOKUP(Assessment!#REF!,Inherited!A:A,Inherited!B:B)))/100)*IF(X67="1.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(100%)","100"))))))&gt;=11,(((_xlfn.XLOOKUP(Assessment!#REF!,Inherited!A:A,Inherited!B:B))/100)*(_xlfn.XLOOKUP(Assessment!#REF!,Inherited!A:A,Inherited!C:C)))+(((100-(_xlfn.XLOOKUP(Assessment!#REF!,Inherited!A:A,Inherited!B:B)))/100)*IF(X67="1.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(100%)","100"))))))&lt;=32),"25",IF(AND((((_xlfn.XLOOKUP(Assessment!#REF!,Inherited!A:A,Inherited!B:B))/100)*(_xlfn.XLOOKUP(Assessment!#REF!,Inherited!A:A,Inherited!C:C)))+(((100-(_xlfn.XLOOKUP(Assessment!#REF!,Inherited!A:A,Inherited!B:B)))/100)*IF(X67="1.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(100%)","100"))))))&gt;=33,(((_xlfn.XLOOKUP(Assessment!#REF!,Inherited!A:A,Inherited!B:B))/100)*(_xlfn.XLOOKUP(Assessment!#REF!,Inherited!A:A,Inherited!C:C)))+(((100-(_xlfn.XLOOKUP(Assessment!#REF!,Inherited!A:A,Inherited!B:B)))/100)*IF(X67="1.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(100%)","100"))))))&lt;=65),"50",IF(AND((((_xlfn.XLOOKUP(Assessment!#REF!,Inherited!A:A,Inherited!B:B))/100)*(_xlfn.XLOOKUP(Assessment!#REF!,Inherited!A:A,Inherited!C:C)))+(((100-(_xlfn.XLOOKUP(Assessment!#REF!,Inherited!A:A,Inherited!B:B)))/100)*IF(X67="1.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(100%)","100"))))))&gt;=66,(((_xlfn.XLOOKUP(Assessment!#REF!,Inherited!A:A,Inherited!B:B))/100)*(_xlfn.XLOOKUP(Assessment!#REF!,Inherited!A:A,Inherited!C:C)))+(((100-(_xlfn.XLOOKUP(Assessment!#REF!,Inherited!A:A,Inherited!B:B)))/100)*IF(X67="1.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(100%)","100"))))))&lt;=89),"75",IF((((_xlfn.XLOOKUP(Assessment!#REF!,Inherited!A:A,Inherited!B:B))/100)*(_xlfn.XLOOKUP(Assessment!#REF!,Inherited!A:A,Inherited!C:C)))+(((100-(_xlfn.XLOOKUP(Assessment!#REF!,Inherited!A:A,Inherited!B:B)))/100)*IF(X67="1. Non Compliant (0%)","0",IF(X67="2. Somewhat Compliant (25%)","25",IF(X67="3. Partially Compliant (50%)","50",IF(X67="4. Mostly Compliant (75%)","75",IF(X67="5. Fully Compliant (100%)","100"))))))&gt;=90,"100"))))))</f>
        <v>#N/A</v>
      </c>
      <c r="R67" s="1" t="e">
        <f>IF(MATCH(H67,Inherited!A:A),IF((((_xlfn.XLOOKUP(Assessment!#REF!,Inherited!A:A,Inherited!B:B))/100)*(_xlfn.XLOOKUP(Assessment!#REF!,Inherited!A:A,Inherited!D:D)))+(((100-(_xlfn.XLOOKUP(Assessment!#REF!,Inherited!A:A,Inherited!B:B)))/100)*IF(Y67="1.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(100%)","100"))))))&lt;=10,"0", IF(AND((((_xlfn.XLOOKUP(Assessment!#REF!,Inherited!A:A,Inherited!B:B))/100)*(_xlfn.XLOOKUP(Assessment!#REF!,Inherited!A:A,Inherited!D:D)))+(((100-(_xlfn.XLOOKUP(Assessment!#REF!,Inherited!A:A,Inherited!B:B)))/100)*IF(Y67="1.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(100%)","100"))))))&gt;=11,(((_xlfn.XLOOKUP(Assessment!#REF!,Inherited!A:A,Inherited!B:B))/100)*(_xlfn.XLOOKUP(Assessment!#REF!,Inherited!A:A,Inherited!D:D)))+(((100-(_xlfn.XLOOKUP(Assessment!#REF!,Inherited!A:A,Inherited!B:B)))/100)*IF(Y67="1.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(100%)","100"))))))&lt;=32),"25",IF(AND((((_xlfn.XLOOKUP(Assessment!#REF!,Inherited!A:A,Inherited!B:B))/100)*(_xlfn.XLOOKUP(Assessment!#REF!,Inherited!A:A,Inherited!D:D)))+(((100-(_xlfn.XLOOKUP(Assessment!#REF!,Inherited!A:A,Inherited!B:B)))/100)*IF(Y67="1.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(100%)","100"))))))&gt;=33,(((_xlfn.XLOOKUP(Assessment!#REF!,Inherited!A:A,Inherited!B:B))/100)*(_xlfn.XLOOKUP(Assessment!#REF!,Inherited!A:A,Inherited!D:D)))+(((100-(_xlfn.XLOOKUP(Assessment!#REF!,Inherited!A:A,Inherited!B:B)))/100)*IF(Y67="1.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(100%)","100"))))))&lt;=65),"50",IF(AND((((_xlfn.XLOOKUP(Assessment!#REF!,Inherited!A:A,Inherited!B:B))/100)*(_xlfn.XLOOKUP(Assessment!#REF!,Inherited!A:A,Inherited!D:D)))+(((100-(_xlfn.XLOOKUP(Assessment!#REF!,Inherited!A:A,Inherited!B:B)))/100)*IF(Y67="1.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(100%)","100"))))))&gt;=66,(((_xlfn.XLOOKUP(Assessment!#REF!,Inherited!A:A,Inherited!B:B))/100)*(_xlfn.XLOOKUP(Assessment!#REF!,Inherited!A:A,Inherited!D:D)))+(((100-(_xlfn.XLOOKUP(Assessment!#REF!,Inherited!A:A,Inherited!B:B)))/100)*IF(Y67="1.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(100%)","100"))))))&lt;=89),"75",IF((((_xlfn.XLOOKUP(Assessment!#REF!,Inherited!A:A,Inherited!B:B))/100)*(_xlfn.XLOOKUP(Assessment!#REF!,Inherited!A:A,Inherited!D:D)))+(((100-(_xlfn.XLOOKUP(Assessment!#REF!,Inherited!A:A,Inherited!B:B)))/100)*IF(Y67="1. Non Compliant (0%)","0",IF(Y67="2. Somewhat Compliant (25%)","25",IF(Y67="3. Partially Compliant (50%)","50",IF(Y67="4. Mostly Compliant (75%)","75",IF(Y67="5. Fully Compliant (100%)","100"))))))&gt;=90,"100"))))))</f>
        <v>#N/A</v>
      </c>
      <c r="S67" s="1" t="e">
        <f>IF(MATCH(H67,Inherited!A:A),IF((((_xlfn.XLOOKUP(Assessment!#REF!,Inherited!A:A,Inherited!B:B))/100)*(_xlfn.XLOOKUP(Assessment!#REF!,Inherited!A:A,Inherited!E:E)))+(((100-(_xlfn.XLOOKUP(Assessment!#REF!,Inherited!A:A,Inherited!B:B)))/100)*IF(Z67="1.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(100%)","100"))))))&lt;=10,"0", IF(AND((((_xlfn.XLOOKUP(Assessment!#REF!,Inherited!A:A,Inherited!B:B))/100)*(_xlfn.XLOOKUP(Assessment!#REF!,Inherited!A:A,Inherited!E:E)))+(((100-(_xlfn.XLOOKUP(Assessment!#REF!,Inherited!A:A,Inherited!B:B)))/100)*IF(Z67="1.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(100%)","100"))))))&gt;=11,(((_xlfn.XLOOKUP(Assessment!#REF!,Inherited!A:A,Inherited!B:B))/100)*(_xlfn.XLOOKUP(Assessment!#REF!,Inherited!A:A,Inherited!E:E)))+(((100-(_xlfn.XLOOKUP(Assessment!#REF!,Inherited!A:A,Inherited!B:B)))/100)*IF(Z67="1.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(100%)","100"))))))&lt;=32),"25",IF(AND((((_xlfn.XLOOKUP(Assessment!#REF!,Inherited!A:A,Inherited!B:B))/100)*(_xlfn.XLOOKUP(Assessment!#REF!,Inherited!A:A,Inherited!E:E)))+(((100-(_xlfn.XLOOKUP(Assessment!#REF!,Inherited!A:A,Inherited!B:B)))/100)*IF(Z67="1.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(100%)","100"))))))&gt;=33,(((_xlfn.XLOOKUP(Assessment!#REF!,Inherited!A:A,Inherited!B:B))/100)*(_xlfn.XLOOKUP(Assessment!#REF!,Inherited!A:A,Inherited!E:E)))+(((100-(_xlfn.XLOOKUP(Assessment!#REF!,Inherited!A:A,Inherited!B:B)))/100)*IF(Z67="1.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(100%)","100"))))))&lt;=65),"50",IF(AND((((_xlfn.XLOOKUP(Assessment!#REF!,Inherited!A:A,Inherited!B:B))/100)*(_xlfn.XLOOKUP(Assessment!#REF!,Inherited!A:A,Inherited!E:E)))+(((100-(_xlfn.XLOOKUP(Assessment!#REF!,Inherited!A:A,Inherited!B:B)))/100)*IF(Z67="1.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(100%)","100"))))))&gt;=66,(((_xlfn.XLOOKUP(Assessment!#REF!,Inherited!A:A,Inherited!B:B))/100)*(_xlfn.XLOOKUP(Assessment!#REF!,Inherited!A:A,Inherited!E:E)))+(((100-(_xlfn.XLOOKUP(Assessment!#REF!,Inherited!A:A,Inherited!B:B)))/100)*IF(Z67="1.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(100%)","100"))))))&lt;=89),"75",IF((((_xlfn.XLOOKUP(Assessment!#REF!,Inherited!A:A,Inherited!B:B))/100)*(_xlfn.XLOOKUP(Assessment!#REF!,Inherited!A:A,Inherited!E:E)))+(((100-(_xlfn.XLOOKUP(Assessment!#REF!,Inherited!A:A,Inherited!B:B)))/100)*IF(Z67="1. Non Compliant (0%)","0",IF(Z67="2. Somewhat Compliant (25%)","25",IF(Z67="3. Partially Compliant (50%)","50",IF(Z67="4. Mostly Compliant (75%)","75",IF(Z67="5. Fully Compliant (100%)","100"))))))&gt;=90,"100"))))))</f>
        <v>#N/A</v>
      </c>
      <c r="T67" s="1" t="e">
        <f>IF(MATCH(H67,Inherited!A:A),IF((((_xlfn.XLOOKUP(Assessment!#REF!,Inherited!A:A,Inherited!B:B))/100)*(_xlfn.XLOOKUP(Assessment!#REF!,Inherited!A:A,Inherited!F:F)))+(((100-(_xlfn.XLOOKUP(Assessment!#REF!,Inherited!A:A,Inherited!B:B)))/100)*IF(AA67="1.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(100%)","100"))))))&lt;=10,"0", IF(AND((((_xlfn.XLOOKUP(Assessment!#REF!,Inherited!A:A,Inherited!B:B))/100)*(_xlfn.XLOOKUP(Assessment!#REF!,Inherited!A:A,Inherited!F:F)))+(((100-(_xlfn.XLOOKUP(Assessment!#REF!,Inherited!A:A,Inherited!B:B)))/100)*IF(AA67="1.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(100%)","100"))))))&gt;=11,(((_xlfn.XLOOKUP(Assessment!#REF!,Inherited!A:A,Inherited!B:B))/100)*(_xlfn.XLOOKUP(Assessment!#REF!,Inherited!A:A,Inherited!F:F)))+(((100-(_xlfn.XLOOKUP(Assessment!#REF!,Inherited!A:A,Inherited!B:B)))/100)*IF(AA67="1.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(100%)","100"))))))&lt;=32),"25",IF(AND((((_xlfn.XLOOKUP(Assessment!#REF!,Inherited!A:A,Inherited!B:B))/100)*(_xlfn.XLOOKUP(Assessment!#REF!,Inherited!A:A,Inherited!F:F)))+(((100-(_xlfn.XLOOKUP(Assessment!#REF!,Inherited!A:A,Inherited!B:B)))/100)*IF(AA67="1.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(100%)","100"))))))&gt;=33,(((_xlfn.XLOOKUP(Assessment!#REF!,Inherited!A:A,Inherited!B:B))/100)*(_xlfn.XLOOKUP(Assessment!#REF!,Inherited!A:A,Inherited!F:F)))+(((100-(_xlfn.XLOOKUP(Assessment!#REF!,Inherited!A:A,Inherited!B:B)))/100)*IF(AA67="1.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(100%)","100"))))))&lt;=65),"50",IF(AND((((_xlfn.XLOOKUP(Assessment!#REF!,Inherited!A:A,Inherited!B:B))/100)*(_xlfn.XLOOKUP(Assessment!#REF!,Inherited!A:A,Inherited!F:F)))+(((100-(_xlfn.XLOOKUP(Assessment!#REF!,Inherited!A:A,Inherited!B:B)))/100)*IF(AA67="1.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(100%)","100"))))))&gt;=66,(((_xlfn.XLOOKUP(Assessment!#REF!,Inherited!A:A,Inherited!B:B))/100)*(_xlfn.XLOOKUP(Assessment!#REF!,Inherited!A:A,Inherited!F:F)))+(((100-(_xlfn.XLOOKUP(Assessment!#REF!,Inherited!A:A,Inherited!B:B)))/100)*IF(AA67="1.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(100%)","100"))))))&lt;=89),"75",IF((((_xlfn.XLOOKUP(Assessment!#REF!,Inherited!A:A,Inherited!B:B))/100)*(_xlfn.XLOOKUP(Assessment!#REF!,Inherited!A:A,Inherited!F:F)))+(((100-(_xlfn.XLOOKUP(Assessment!#REF!,Inherited!A:A,Inherited!B:B)))/100)*IF(AA67="1. Non Compliant (0%)","0",IF(AA67="2. Somewhat Compliant (25%)","25",IF(AA67="3. Partially Compliant (50%)","50",IF(AA67="4. Mostly Compliant (75%)","75",IF(AA67="5. Fully Compliant (100%)","100"))))))&gt;=90,"100"))))))</f>
        <v>#N/A</v>
      </c>
      <c r="U67" s="1" t="e">
        <f>IF(MATCH(H67,Inherited!A:A),IF((((_xlfn.XLOOKUP(Assessment!#REF!,Inherited!A:A,Inherited!B:B))/100)*(_xlfn.XLOOKUP(Assessment!#REF!,Inherited!A:A,Inherited!G:G)))+(((100-(_xlfn.XLOOKUP(Assessment!#REF!,Inherited!A:A,Inherited!B:B)))/100)*IF(AB67="1.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(100%)","100"))))))&lt;=10,"0", IF(AND((((_xlfn.XLOOKUP(Assessment!#REF!,Inherited!A:A,Inherited!B:B))/100)*(_xlfn.XLOOKUP(Assessment!#REF!,Inherited!A:A,Inherited!G:G)))+(((100-(_xlfn.XLOOKUP(Assessment!#REF!,Inherited!A:A,Inherited!B:B)))/100)*IF(AB67="1.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(100%)","100"))))))&gt;=11,(((_xlfn.XLOOKUP(Assessment!#REF!,Inherited!A:A,Inherited!B:B))/100)*(_xlfn.XLOOKUP(Assessment!#REF!,Inherited!A:A,Inherited!G:G)))+(((100-(_xlfn.XLOOKUP(Assessment!#REF!,Inherited!A:A,Inherited!B:B)))/100)*IF(AB67="1.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(100%)","100"))))))&lt;=32),"25",IF(AND((((_xlfn.XLOOKUP(Assessment!#REF!,Inherited!A:A,Inherited!B:B))/100)*(_xlfn.XLOOKUP(Assessment!#REF!,Inherited!A:A,Inherited!G:G)))+(((100-(_xlfn.XLOOKUP(Assessment!#REF!,Inherited!A:A,Inherited!B:B)))/100)*IF(AB67="1.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(100%)","100"))))))&gt;=33,(((_xlfn.XLOOKUP(Assessment!#REF!,Inherited!A:A,Inherited!B:B))/100)*(_xlfn.XLOOKUP(Assessment!#REF!,Inherited!A:A,Inherited!G:G)))+(((100-(_xlfn.XLOOKUP(Assessment!#REF!,Inherited!A:A,Inherited!B:B)))/100)*IF(AB67="1.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(100%)","100"))))))&lt;=65),"50",IF(AND((((_xlfn.XLOOKUP(Assessment!#REF!,Inherited!A:A,Inherited!B:B))/100)*(_xlfn.XLOOKUP(Assessment!#REF!,Inherited!A:A,Inherited!G:G)))+(((100-(_xlfn.XLOOKUP(Assessment!#REF!,Inherited!A:A,Inherited!B:B)))/100)*IF(AB67="1.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(100%)","100"))))))&gt;=66,(((_xlfn.XLOOKUP(Assessment!#REF!,Inherited!A:A,Inherited!B:B))/100)*(_xlfn.XLOOKUP(Assessment!#REF!,Inherited!A:A,Inherited!G:G)))+(((100-(_xlfn.XLOOKUP(Assessment!#REF!,Inherited!A:A,Inherited!B:B)))/100)*IF(AB67="1.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(100%)","100"))))))&lt;=89),"75",IF((((_xlfn.XLOOKUP(Assessment!#REF!,Inherited!A:A,Inherited!B:B))/100)*(_xlfn.XLOOKUP(Assessment!#REF!,Inherited!A:A,Inherited!G:G)))+(((100-(_xlfn.XLOOKUP(Assessment!#REF!,Inherited!A:A,Inherited!B:B)))/100)*IF(AB67="1. Non Compliant (0%)","0",IF(AB67="2. Somewhat Compliant (25%)","25",IF(AB67="3. Partially Compliant (50%)","50",IF(AB67="4. Mostly Compliant (75%)","75",IF(AB67="5. Fully Compliant (100%)","100"))))))&gt;=90,"100"))))))</f>
        <v>#N/A</v>
      </c>
      <c r="V67" s="55" t="s">
        <v>85</v>
      </c>
      <c r="W67" s="55"/>
      <c r="X67" s="55"/>
      <c r="Y67" s="55"/>
      <c r="Z67" s="55" t="s">
        <v>87</v>
      </c>
      <c r="AA67" s="55"/>
      <c r="AB67" s="55"/>
      <c r="AK67" s="1" t="s">
        <v>10891</v>
      </c>
      <c r="AM67" s="1" t="s">
        <v>11038</v>
      </c>
      <c r="AP67" s="1" t="s">
        <v>11076</v>
      </c>
      <c r="AX67" s="3" t="str">
        <f>_xlfn.CONCAT("A-LIGN finished its review of this control on ",AR67, " during the scheduled fieldwork window (",Intro!$B$4,")."&amp; CHAR(10)&amp; CHAR(10))</f>
        <v xml:space="preserve">A-LIGN finished its review of this control on  during the scheduled fieldwork window (Fieldwork: xx/xx/xxxx - xx/xx/xxxx).
</v>
      </c>
      <c r="AY67" s="3" t="str">
        <f t="shared" ref="AY67:AY68" si="111">IF(AQ67&lt;&gt;"",(_xlfn.CONCAT("Inheritance note: "&amp; CHAR(10),AQ67&amp; CHAR(10)&amp; CHAR(10))),"")</f>
        <v/>
      </c>
      <c r="AZ67" s="3" t="str">
        <f t="shared" ref="AZ67:AZ68" si="112">IFERROR(IF(AD67&lt;&gt;"",_xlfn.CONCAT("Examined the following policy during fieldwork:"&amp; CHAR(10),AD67&amp; CHAR(10)&amp; CHAR(10),IF(AND(X67&lt;&gt;"5. Fully Compliant (100%)",AE67&lt;&gt;""),"Reviewed policy exception note:"&amp; CHAR(10) &amp; AE67 &amp; CHAR(10) &amp; CHAR(10),"")),""),"")</f>
        <v/>
      </c>
      <c r="BA67" s="3" t="str">
        <f t="shared" ref="BA67:BA68" si="113">IFERROR(IF(AH67&lt;&gt;"",_xlfn.CONCAT("Examined the following process during fieldwork:"&amp; CHAR(10),AH67&amp; CHAR(10)&amp; CHAR(10),IF(AND(Y67&lt;&gt;"5. Fully Compliant (100%)",AI67&lt;&gt;""),"Reviewed process exception note:"&amp; CHAR(10) &amp; AI67 &amp; CHAR(10) &amp; CHAR(10),"")),""),"")</f>
        <v/>
      </c>
      <c r="BB67" s="3" t="str">
        <f t="shared" ref="BB67:BB68" si="114">IF(AK67&lt;&gt;"",(_xlfn.CONCAT("Inquired of the following workforce member: "&amp; CHAR(10),AK67&amp; CHAR(10)&amp; CHAR(10),"Inquiry lead to the following conclusions: "&amp; CHAR(10),AL67&amp; CHAR(10) &amp; CHAR(10))),"")</f>
        <v xml:space="preserve">Inquired of the following workforce member: 
Matthew Macaluso - Director of System Operations
Roze Nicolas - Director of TechOps
Inquiry lead to the following conclusions: 
</v>
      </c>
      <c r="BC67" s="3" t="str">
        <f t="shared" ref="BC67:BC68" si="115">IF(AM67&lt;&gt;"",(_xlfn.CONCAT("Observed the following live during fieldwork: "&amp; CHAR(10),AM67&amp; CHAR(10) &amp; CHAR(10))),"")</f>
        <v xml:space="preserve">Observed the following live during fieldwork: 
Observed the Cisco Meraki dashboard which leverages Entra ID to ensure that only select users will have access. As well as is configured to ensure certain IPs are included on an allow list and the active directory server is leveraged.
Also observed that users must be included within a VPN group in order to access the environment.
Also observed API control configurations within the Google Admin page to ensure that allow lists are implemented.
</v>
      </c>
      <c r="BD67" s="3" t="str">
        <f t="shared" ref="BD67:BD68" si="116">_xlfn.CONCAT("Examined the following evidence during fieldwork:"&amp; CHAR(10),AN67&amp; CHAR(10)&amp; CHAR(10),IF(AO67&lt;&gt;"","Reviewed evidence note:"&amp; CHAR(10)&amp;AO67&amp; CHAR(10) &amp; CHAR(10),"Reviewed evidence addressed the requirement statement."&amp; CHAR(10) &amp; CHAR(10)),IF(AND(AP67&lt;&gt;"5. Fully Compliant (100%)",AP67&lt;&gt;""),"Reviewed evidence exception note: "&amp; CHAR(10) &amp; AP67 &amp; CHAR(10) &amp; CHAR(10),""))</f>
        <v xml:space="preserve">Examined the following evidence during fieldwork:
Reviewed evidence addressed the requirement statement.
Reviewed evidence exception note: 
Gap: Documentation does not outline how Merge is ensuring that users cannot access unknown and/or malicious websites.
Recommendation: Management should update current documentation to outline the technical tools in place to ensure users cannot access unknown and/or malicious websites.
</v>
      </c>
      <c r="BE67" s="3" t="str">
        <f t="shared" ref="BE67:BE68" si="117">IF(AT67&lt;&gt;"",(_xlfn.CONCAT("Examined the following measure/metric during fieldwork:"&amp; CHAR(10),AT67&amp; CHAR(10)&amp; CHAR(10),"Reviewed measure/metric note:"&amp; CHAR(10),AU67 &amp; CHAR(10) &amp; CHAR(10))),"")</f>
        <v/>
      </c>
      <c r="BF67" s="3" t="str">
        <f t="shared" ref="BF67:BF68" si="118">IF(AV67&lt;&gt;"",(_xlfn.CONCAT("Examined the following measure/metric management during fieldwork:"&amp; CHAR(10),AV67&amp; CHAR(10)&amp; CHAR(10),"Reviewed measure/metric management note:"&amp; CHAR(10),AW67 &amp; CHAR(10) &amp; CHAR(10))),"")</f>
        <v/>
      </c>
      <c r="BG67" s="3" t="str">
        <f>_xlfn.CONCAT((IF((COUNTIF('Sample Tables'!B:B,"")&gt;0)=TRUE,_xlfn.CONCAT("",""),IF((COUNTIF('Sample Tables'!B:B,"")&gt;0)=FALSE,""))),)</f>
        <v/>
      </c>
      <c r="BH67" s="3" t="str">
        <f t="shared" ref="BH67:BH68" si="119">IF(V67="No","Not Applicable: "&amp;W67,(_xlfn.CONCAT(AX67,AY67,AZ67,BA67,BB67,BC67,BD67,BE67,BF67,BG67)))</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Cisco Meraki dashboard which leverages Entra ID to ensure that only select users will have access. As well as is configured to ensure certain IPs are included on an allow list and the active directory server is leveraged.
Also observed that users must be included within a VPN group in order to access the environment.
Also observed API control configurations within the Google Admin page to ensure that allow lists are implemented.
Examined the following evidence during fieldwork:
Reviewed evidence addressed the requirement statement.
Reviewed evidence exception note: 
Gap: Documentation does not outline how Merge is ensuring that users cannot access unknown and/or malicious websites.
Recommendation: Management should update current documentation to outline the technical tools in place to ensure users cannot access unknown and/or malicious websites.
</v>
      </c>
    </row>
    <row r="68" spans="3:60" ht="409.5" x14ac:dyDescent="0.35">
      <c r="C68" s="1">
        <f t="shared" si="110"/>
        <v>40</v>
      </c>
      <c r="D68" s="5" t="str">
        <f>IF(AND((_xlfn.XLOOKUP(J68,'Fields &amp; Revisions'!$H:$H,'Fields &amp; Revisions'!$I:$I))&lt;70.99,(OR(Z68="4. Mostly Compliant (75%)",Z68="3. Partially Compliant (50%)",Z68="2. Somewhat Compliant (25%)",Z68="1. Non Compliant (0%)"))),"Yes","No")</f>
        <v>No</v>
      </c>
      <c r="E68" s="5" t="str">
        <f>IF(ISERROR(VLOOKUP(H68,Scope!A:A,1,FALSE)),"No","Yes")</f>
        <v>Yes</v>
      </c>
      <c r="F68" s="1" t="s">
        <v>1732</v>
      </c>
      <c r="G68" s="53" t="s">
        <v>1814</v>
      </c>
      <c r="H68" s="53" t="s">
        <v>1815</v>
      </c>
      <c r="I68" s="5">
        <v>1</v>
      </c>
      <c r="J68" s="1" t="s">
        <v>1739</v>
      </c>
      <c r="K68" s="1" t="s">
        <v>1816</v>
      </c>
      <c r="L68" s="1" t="s">
        <v>1817</v>
      </c>
      <c r="M68" s="1" t="s">
        <v>1818</v>
      </c>
      <c r="N68" s="5" t="s">
        <v>98</v>
      </c>
      <c r="O68" s="1" t="str">
        <f>_xlfn.XLOOKUP(G68,SRMs!$A:$A,SRMs!$D:$D)</f>
        <v>PARTIAL INHERITANCE</v>
      </c>
      <c r="P68" s="1" t="str">
        <f>IFERROR(VLOOKUP(H68,Inherited!A:B,2,FALSE),"")</f>
        <v/>
      </c>
      <c r="Q68" s="1" t="e">
        <f>IF(MATCH(H68,Inherited!A:A),IF((((_xlfn.XLOOKUP(Assessment!#REF!,Inherited!A:A,Inherited!B:B))/100)*(_xlfn.XLOOKUP(Assessment!#REF!,Inherited!A:A,Inherited!C:C)))+(((100-(_xlfn.XLOOKUP(Assessment!#REF!,Inherited!A:A,Inherited!B:B)))/100)*IF(X68="1.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(100%)","100"))))))&lt;=10,"0", IF(AND((((_xlfn.XLOOKUP(Assessment!#REF!,Inherited!A:A,Inherited!B:B))/100)*(_xlfn.XLOOKUP(Assessment!#REF!,Inherited!A:A,Inherited!C:C)))+(((100-(_xlfn.XLOOKUP(Assessment!#REF!,Inherited!A:A,Inherited!B:B)))/100)*IF(X68="1.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(100%)","100"))))))&gt;=11,(((_xlfn.XLOOKUP(Assessment!#REF!,Inherited!A:A,Inherited!B:B))/100)*(_xlfn.XLOOKUP(Assessment!#REF!,Inherited!A:A,Inherited!C:C)))+(((100-(_xlfn.XLOOKUP(Assessment!#REF!,Inherited!A:A,Inherited!B:B)))/100)*IF(X68="1.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(100%)","100"))))))&lt;=32),"25",IF(AND((((_xlfn.XLOOKUP(Assessment!#REF!,Inherited!A:A,Inherited!B:B))/100)*(_xlfn.XLOOKUP(Assessment!#REF!,Inherited!A:A,Inherited!C:C)))+(((100-(_xlfn.XLOOKUP(Assessment!#REF!,Inherited!A:A,Inherited!B:B)))/100)*IF(X68="1.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(100%)","100"))))))&gt;=33,(((_xlfn.XLOOKUP(Assessment!#REF!,Inherited!A:A,Inherited!B:B))/100)*(_xlfn.XLOOKUP(Assessment!#REF!,Inherited!A:A,Inherited!C:C)))+(((100-(_xlfn.XLOOKUP(Assessment!#REF!,Inherited!A:A,Inherited!B:B)))/100)*IF(X68="1.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(100%)","100"))))))&lt;=65),"50",IF(AND((((_xlfn.XLOOKUP(Assessment!#REF!,Inherited!A:A,Inherited!B:B))/100)*(_xlfn.XLOOKUP(Assessment!#REF!,Inherited!A:A,Inherited!C:C)))+(((100-(_xlfn.XLOOKUP(Assessment!#REF!,Inherited!A:A,Inherited!B:B)))/100)*IF(X68="1.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(100%)","100"))))))&gt;=66,(((_xlfn.XLOOKUP(Assessment!#REF!,Inherited!A:A,Inherited!B:B))/100)*(_xlfn.XLOOKUP(Assessment!#REF!,Inherited!A:A,Inherited!C:C)))+(((100-(_xlfn.XLOOKUP(Assessment!#REF!,Inherited!A:A,Inherited!B:B)))/100)*IF(X68="1.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(100%)","100"))))))&lt;=89),"75",IF((((_xlfn.XLOOKUP(Assessment!#REF!,Inherited!A:A,Inherited!B:B))/100)*(_xlfn.XLOOKUP(Assessment!#REF!,Inherited!A:A,Inherited!C:C)))+(((100-(_xlfn.XLOOKUP(Assessment!#REF!,Inherited!A:A,Inherited!B:B)))/100)*IF(X68="1. Non Compliant (0%)","0",IF(X68="2. Somewhat Compliant (25%)","25",IF(X68="3. Partially Compliant (50%)","50",IF(X68="4. Mostly Compliant (75%)","75",IF(X68="5. Fully Compliant (100%)","100"))))))&gt;=90,"100"))))))</f>
        <v>#N/A</v>
      </c>
      <c r="R68" s="1" t="e">
        <f>IF(MATCH(H68,Inherited!A:A),IF((((_xlfn.XLOOKUP(Assessment!#REF!,Inherited!A:A,Inherited!B:B))/100)*(_xlfn.XLOOKUP(Assessment!#REF!,Inherited!A:A,Inherited!D:D)))+(((100-(_xlfn.XLOOKUP(Assessment!#REF!,Inherited!A:A,Inherited!B:B)))/100)*IF(Y68="1.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(100%)","100"))))))&lt;=10,"0", IF(AND((((_xlfn.XLOOKUP(Assessment!#REF!,Inherited!A:A,Inherited!B:B))/100)*(_xlfn.XLOOKUP(Assessment!#REF!,Inherited!A:A,Inherited!D:D)))+(((100-(_xlfn.XLOOKUP(Assessment!#REF!,Inherited!A:A,Inherited!B:B)))/100)*IF(Y68="1.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(100%)","100"))))))&gt;=11,(((_xlfn.XLOOKUP(Assessment!#REF!,Inherited!A:A,Inherited!B:B))/100)*(_xlfn.XLOOKUP(Assessment!#REF!,Inherited!A:A,Inherited!D:D)))+(((100-(_xlfn.XLOOKUP(Assessment!#REF!,Inherited!A:A,Inherited!B:B)))/100)*IF(Y68="1.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(100%)","100"))))))&lt;=32),"25",IF(AND((((_xlfn.XLOOKUP(Assessment!#REF!,Inherited!A:A,Inherited!B:B))/100)*(_xlfn.XLOOKUP(Assessment!#REF!,Inherited!A:A,Inherited!D:D)))+(((100-(_xlfn.XLOOKUP(Assessment!#REF!,Inherited!A:A,Inherited!B:B)))/100)*IF(Y68="1.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(100%)","100"))))))&gt;=33,(((_xlfn.XLOOKUP(Assessment!#REF!,Inherited!A:A,Inherited!B:B))/100)*(_xlfn.XLOOKUP(Assessment!#REF!,Inherited!A:A,Inherited!D:D)))+(((100-(_xlfn.XLOOKUP(Assessment!#REF!,Inherited!A:A,Inherited!B:B)))/100)*IF(Y68="1.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(100%)","100"))))))&lt;=65),"50",IF(AND((((_xlfn.XLOOKUP(Assessment!#REF!,Inherited!A:A,Inherited!B:B))/100)*(_xlfn.XLOOKUP(Assessment!#REF!,Inherited!A:A,Inherited!D:D)))+(((100-(_xlfn.XLOOKUP(Assessment!#REF!,Inherited!A:A,Inherited!B:B)))/100)*IF(Y68="1.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(100%)","100"))))))&gt;=66,(((_xlfn.XLOOKUP(Assessment!#REF!,Inherited!A:A,Inherited!B:B))/100)*(_xlfn.XLOOKUP(Assessment!#REF!,Inherited!A:A,Inherited!D:D)))+(((100-(_xlfn.XLOOKUP(Assessment!#REF!,Inherited!A:A,Inherited!B:B)))/100)*IF(Y68="1.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(100%)","100"))))))&lt;=89),"75",IF((((_xlfn.XLOOKUP(Assessment!#REF!,Inherited!A:A,Inherited!B:B))/100)*(_xlfn.XLOOKUP(Assessment!#REF!,Inherited!A:A,Inherited!D:D)))+(((100-(_xlfn.XLOOKUP(Assessment!#REF!,Inherited!A:A,Inherited!B:B)))/100)*IF(Y68="1. Non Compliant (0%)","0",IF(Y68="2. Somewhat Compliant (25%)","25",IF(Y68="3. Partially Compliant (50%)","50",IF(Y68="4. Mostly Compliant (75%)","75",IF(Y68="5. Fully Compliant (100%)","100"))))))&gt;=90,"100"))))))</f>
        <v>#N/A</v>
      </c>
      <c r="S68" s="1" t="e">
        <f>IF(MATCH(H68,Inherited!A:A),IF((((_xlfn.XLOOKUP(Assessment!#REF!,Inherited!A:A,Inherited!B:B))/100)*(_xlfn.XLOOKUP(Assessment!#REF!,Inherited!A:A,Inherited!E:E)))+(((100-(_xlfn.XLOOKUP(Assessment!#REF!,Inherited!A:A,Inherited!B:B)))/100)*IF(Z68="1.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(100%)","100"))))))&lt;=10,"0", IF(AND((((_xlfn.XLOOKUP(Assessment!#REF!,Inherited!A:A,Inherited!B:B))/100)*(_xlfn.XLOOKUP(Assessment!#REF!,Inherited!A:A,Inherited!E:E)))+(((100-(_xlfn.XLOOKUP(Assessment!#REF!,Inherited!A:A,Inherited!B:B)))/100)*IF(Z68="1.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(100%)","100"))))))&gt;=11,(((_xlfn.XLOOKUP(Assessment!#REF!,Inherited!A:A,Inherited!B:B))/100)*(_xlfn.XLOOKUP(Assessment!#REF!,Inherited!A:A,Inherited!E:E)))+(((100-(_xlfn.XLOOKUP(Assessment!#REF!,Inherited!A:A,Inherited!B:B)))/100)*IF(Z68="1.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(100%)","100"))))))&lt;=32),"25",IF(AND((((_xlfn.XLOOKUP(Assessment!#REF!,Inherited!A:A,Inherited!B:B))/100)*(_xlfn.XLOOKUP(Assessment!#REF!,Inherited!A:A,Inherited!E:E)))+(((100-(_xlfn.XLOOKUP(Assessment!#REF!,Inherited!A:A,Inherited!B:B)))/100)*IF(Z68="1.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(100%)","100"))))))&gt;=33,(((_xlfn.XLOOKUP(Assessment!#REF!,Inherited!A:A,Inherited!B:B))/100)*(_xlfn.XLOOKUP(Assessment!#REF!,Inherited!A:A,Inherited!E:E)))+(((100-(_xlfn.XLOOKUP(Assessment!#REF!,Inherited!A:A,Inherited!B:B)))/100)*IF(Z68="1.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(100%)","100"))))))&lt;=65),"50",IF(AND((((_xlfn.XLOOKUP(Assessment!#REF!,Inherited!A:A,Inherited!B:B))/100)*(_xlfn.XLOOKUP(Assessment!#REF!,Inherited!A:A,Inherited!E:E)))+(((100-(_xlfn.XLOOKUP(Assessment!#REF!,Inherited!A:A,Inherited!B:B)))/100)*IF(Z68="1.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(100%)","100"))))))&gt;=66,(((_xlfn.XLOOKUP(Assessment!#REF!,Inherited!A:A,Inherited!B:B))/100)*(_xlfn.XLOOKUP(Assessment!#REF!,Inherited!A:A,Inherited!E:E)))+(((100-(_xlfn.XLOOKUP(Assessment!#REF!,Inherited!A:A,Inherited!B:B)))/100)*IF(Z68="1.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(100%)","100"))))))&lt;=89),"75",IF((((_xlfn.XLOOKUP(Assessment!#REF!,Inherited!A:A,Inherited!B:B))/100)*(_xlfn.XLOOKUP(Assessment!#REF!,Inherited!A:A,Inherited!E:E)))+(((100-(_xlfn.XLOOKUP(Assessment!#REF!,Inherited!A:A,Inherited!B:B)))/100)*IF(Z68="1. Non Compliant (0%)","0",IF(Z68="2. Somewhat Compliant (25%)","25",IF(Z68="3. Partially Compliant (50%)","50",IF(Z68="4. Mostly Compliant (75%)","75",IF(Z68="5. Fully Compliant (100%)","100"))))))&gt;=90,"100"))))))</f>
        <v>#N/A</v>
      </c>
      <c r="T68" s="1" t="e">
        <f>IF(MATCH(H68,Inherited!A:A),IF((((_xlfn.XLOOKUP(Assessment!#REF!,Inherited!A:A,Inherited!B:B))/100)*(_xlfn.XLOOKUP(Assessment!#REF!,Inherited!A:A,Inherited!F:F)))+(((100-(_xlfn.XLOOKUP(Assessment!#REF!,Inherited!A:A,Inherited!B:B)))/100)*IF(AA68="1.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(100%)","100"))))))&lt;=10,"0", IF(AND((((_xlfn.XLOOKUP(Assessment!#REF!,Inherited!A:A,Inherited!B:B))/100)*(_xlfn.XLOOKUP(Assessment!#REF!,Inherited!A:A,Inherited!F:F)))+(((100-(_xlfn.XLOOKUP(Assessment!#REF!,Inherited!A:A,Inherited!B:B)))/100)*IF(AA68="1.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(100%)","100"))))))&gt;=11,(((_xlfn.XLOOKUP(Assessment!#REF!,Inherited!A:A,Inherited!B:B))/100)*(_xlfn.XLOOKUP(Assessment!#REF!,Inherited!A:A,Inherited!F:F)))+(((100-(_xlfn.XLOOKUP(Assessment!#REF!,Inherited!A:A,Inherited!B:B)))/100)*IF(AA68="1.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(100%)","100"))))))&lt;=32),"25",IF(AND((((_xlfn.XLOOKUP(Assessment!#REF!,Inherited!A:A,Inherited!B:B))/100)*(_xlfn.XLOOKUP(Assessment!#REF!,Inherited!A:A,Inherited!F:F)))+(((100-(_xlfn.XLOOKUP(Assessment!#REF!,Inherited!A:A,Inherited!B:B)))/100)*IF(AA68="1.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(100%)","100"))))))&gt;=33,(((_xlfn.XLOOKUP(Assessment!#REF!,Inherited!A:A,Inherited!B:B))/100)*(_xlfn.XLOOKUP(Assessment!#REF!,Inherited!A:A,Inherited!F:F)))+(((100-(_xlfn.XLOOKUP(Assessment!#REF!,Inherited!A:A,Inherited!B:B)))/100)*IF(AA68="1.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(100%)","100"))))))&lt;=65),"50",IF(AND((((_xlfn.XLOOKUP(Assessment!#REF!,Inherited!A:A,Inherited!B:B))/100)*(_xlfn.XLOOKUP(Assessment!#REF!,Inherited!A:A,Inherited!F:F)))+(((100-(_xlfn.XLOOKUP(Assessment!#REF!,Inherited!A:A,Inherited!B:B)))/100)*IF(AA68="1.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(100%)","100"))))))&gt;=66,(((_xlfn.XLOOKUP(Assessment!#REF!,Inherited!A:A,Inherited!B:B))/100)*(_xlfn.XLOOKUP(Assessment!#REF!,Inherited!A:A,Inherited!F:F)))+(((100-(_xlfn.XLOOKUP(Assessment!#REF!,Inherited!A:A,Inherited!B:B)))/100)*IF(AA68="1.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(100%)","100"))))))&lt;=89),"75",IF((((_xlfn.XLOOKUP(Assessment!#REF!,Inherited!A:A,Inherited!B:B))/100)*(_xlfn.XLOOKUP(Assessment!#REF!,Inherited!A:A,Inherited!F:F)))+(((100-(_xlfn.XLOOKUP(Assessment!#REF!,Inherited!A:A,Inherited!B:B)))/100)*IF(AA68="1. Non Compliant (0%)","0",IF(AA68="2. Somewhat Compliant (25%)","25",IF(AA68="3. Partially Compliant (50%)","50",IF(AA68="4. Mostly Compliant (75%)","75",IF(AA68="5. Fully Compliant (100%)","100"))))))&gt;=90,"100"))))))</f>
        <v>#N/A</v>
      </c>
      <c r="U68" s="1" t="e">
        <f>IF(MATCH(H68,Inherited!A:A),IF((((_xlfn.XLOOKUP(Assessment!#REF!,Inherited!A:A,Inherited!B:B))/100)*(_xlfn.XLOOKUP(Assessment!#REF!,Inherited!A:A,Inherited!G:G)))+(((100-(_xlfn.XLOOKUP(Assessment!#REF!,Inherited!A:A,Inherited!B:B)))/100)*IF(AB68="1.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(100%)","100"))))))&lt;=10,"0", IF(AND((((_xlfn.XLOOKUP(Assessment!#REF!,Inherited!A:A,Inherited!B:B))/100)*(_xlfn.XLOOKUP(Assessment!#REF!,Inherited!A:A,Inherited!G:G)))+(((100-(_xlfn.XLOOKUP(Assessment!#REF!,Inherited!A:A,Inherited!B:B)))/100)*IF(AB68="1.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(100%)","100"))))))&gt;=11,(((_xlfn.XLOOKUP(Assessment!#REF!,Inherited!A:A,Inherited!B:B))/100)*(_xlfn.XLOOKUP(Assessment!#REF!,Inherited!A:A,Inherited!G:G)))+(((100-(_xlfn.XLOOKUP(Assessment!#REF!,Inherited!A:A,Inherited!B:B)))/100)*IF(AB68="1.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(100%)","100"))))))&lt;=32),"25",IF(AND((((_xlfn.XLOOKUP(Assessment!#REF!,Inherited!A:A,Inherited!B:B))/100)*(_xlfn.XLOOKUP(Assessment!#REF!,Inherited!A:A,Inherited!G:G)))+(((100-(_xlfn.XLOOKUP(Assessment!#REF!,Inherited!A:A,Inherited!B:B)))/100)*IF(AB68="1.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(100%)","100"))))))&gt;=33,(((_xlfn.XLOOKUP(Assessment!#REF!,Inherited!A:A,Inherited!B:B))/100)*(_xlfn.XLOOKUP(Assessment!#REF!,Inherited!A:A,Inherited!G:G)))+(((100-(_xlfn.XLOOKUP(Assessment!#REF!,Inherited!A:A,Inherited!B:B)))/100)*IF(AB68="1.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(100%)","100"))))))&lt;=65),"50",IF(AND((((_xlfn.XLOOKUP(Assessment!#REF!,Inherited!A:A,Inherited!B:B))/100)*(_xlfn.XLOOKUP(Assessment!#REF!,Inherited!A:A,Inherited!G:G)))+(((100-(_xlfn.XLOOKUP(Assessment!#REF!,Inherited!A:A,Inherited!B:B)))/100)*IF(AB68="1.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(100%)","100"))))))&gt;=66,(((_xlfn.XLOOKUP(Assessment!#REF!,Inherited!A:A,Inherited!B:B))/100)*(_xlfn.XLOOKUP(Assessment!#REF!,Inherited!A:A,Inherited!G:G)))+(((100-(_xlfn.XLOOKUP(Assessment!#REF!,Inherited!A:A,Inherited!B:B)))/100)*IF(AB68="1.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(100%)","100"))))))&lt;=89),"75",IF((((_xlfn.XLOOKUP(Assessment!#REF!,Inherited!A:A,Inherited!B:B))/100)*(_xlfn.XLOOKUP(Assessment!#REF!,Inherited!A:A,Inherited!G:G)))+(((100-(_xlfn.XLOOKUP(Assessment!#REF!,Inherited!A:A,Inherited!B:B)))/100)*IF(AB68="1. Non Compliant (0%)","0",IF(AB68="2. Somewhat Compliant (25%)","25",IF(AB68="3. Partially Compliant (50%)","50",IF(AB68="4. Mostly Compliant (75%)","75",IF(AB68="5. Fully Compliant (100%)","100"))))))&gt;=90,"100"))))))</f>
        <v>#N/A</v>
      </c>
      <c r="V68" s="55" t="s">
        <v>85</v>
      </c>
      <c r="W68" s="55"/>
      <c r="X68" s="55"/>
      <c r="Y68" s="55"/>
      <c r="Z68" s="55" t="s">
        <v>86</v>
      </c>
      <c r="AA68" s="55"/>
      <c r="AB68" s="55"/>
      <c r="AK68" s="1" t="s">
        <v>10891</v>
      </c>
      <c r="AM68" s="1" t="s">
        <v>10966</v>
      </c>
      <c r="AX68" s="3" t="str">
        <f>_xlfn.CONCAT("A-LIGN finished its review of this control on ",AR68, " during the scheduled fieldwork window (",Intro!$B$4,")."&amp; CHAR(10)&amp; CHAR(10))</f>
        <v xml:space="preserve">A-LIGN finished its review of this control on  during the scheduled fieldwork window (Fieldwork: xx/xx/xxxx - xx/xx/xxxx).
</v>
      </c>
      <c r="AY68" s="3" t="str">
        <f t="shared" si="111"/>
        <v/>
      </c>
      <c r="AZ68" s="3" t="str">
        <f t="shared" si="112"/>
        <v/>
      </c>
      <c r="BA68" s="3" t="str">
        <f t="shared" si="113"/>
        <v/>
      </c>
      <c r="BB68" s="3" t="str">
        <f t="shared" si="114"/>
        <v xml:space="preserve">Inquired of the following workforce member: 
Matthew Macaluso - Director of System Operations
Roze Nicolas - Director of TechOps
Inquiry lead to the following conclusions: 
</v>
      </c>
      <c r="BC68" s="3" t="str">
        <f t="shared" si="115"/>
        <v xml:space="preserve">Observed the following live during fieldwork: 
Observed the Active directory domain groups page which is leverage for all access within Entra and GCP. Users must be included within certain groups (Entra/GCP) in order to obtain access. Any sort of access changes or access granting will be tracked/managed within a service ticket to ensure authorizations and approvals are documented and tracked. Tickets will also include the service/system that the user is attempting to gain access to.
</v>
      </c>
      <c r="BD68" s="3" t="str">
        <f t="shared" si="116"/>
        <v xml:space="preserve">Examined the following evidence during fieldwork:
Reviewed evidence addressed the requirement statement.
</v>
      </c>
      <c r="BE68" s="3" t="str">
        <f t="shared" si="117"/>
        <v/>
      </c>
      <c r="BF68" s="3" t="str">
        <f t="shared" si="118"/>
        <v/>
      </c>
      <c r="BG68" s="3" t="str">
        <f>_xlfn.CONCAT((IF((COUNTIF('Sample Tables'!B:B,"")&gt;0)=TRUE,_xlfn.CONCAT("",""),IF((COUNTIF('Sample Tables'!B:B,"")&gt;0)=FALSE,""))),)</f>
        <v/>
      </c>
      <c r="BH68" s="3" t="str">
        <f t="shared" si="11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Active directory domain groups page which is leverage for all access within Entra and GCP. Users must be included within certain groups (Entra/GCP) in order to obtain access. Any sort of access changes or access granting will be tracked/managed within a service ticket to ensure authorizations and approvals are documented and tracked. Tickets will also include the service/system that the user is attempting to gain access to.
Examined the following evidence during fieldwork:
Reviewed evidence addressed the requirement statement.
</v>
      </c>
    </row>
    <row r="69" spans="3:60" ht="409.5" x14ac:dyDescent="0.35">
      <c r="C69" s="1">
        <f t="shared" ref="C69:C71" si="120">IF(V69="No","Not Applicable",(IF(X69="1. Non Compliant (0%)","0",IF(X69="2. Somewhat Compliant (25%)","25",IF(X69="3. Partially Compliant (50%)","50",IF(X69="4. Mostly Compliant (75%)","75",IF(X69="5. Fully Compliant (100%)","100")))))*0.15)+((IF(Y69="1. Non Compliant (0%)","0",IF(Y69="2. Somewhat Compliant (25%)","25",IF(Y69="3. Partially Compliant (50%)","50",IF(Y69="4. Mostly Compliant (75%)","75",IF(Y69="5. Fully Compliant (100%)","100"))))))*0.2)+(IF(Z69="1. Non Compliant (0%)","0",IF(Z69="2. Somewhat Compliant (25%)","25",IF(Z69="3. Partially Compliant (50%)","50",IF(Z69="4. Mostly Compliant (75%)","75",IF(Z69="5. Fully Compliant (100%)","100")))))*0.4)+(IF(AA69="1. Non Compliant (0%)","0",IF(AA69="2. Somewhat Compliant (25%)","25",IF(AA69="3. Partially Compliant (50%)","50",IF(AA69="4. Mostly Compliant (75%)","75",IF(AA69="5. Fully Compliant (100%)","100")))))*0.1)+(IF(AB69="1. Non Compliant (0%)","0",IF(AB69="2. Somewhat Compliant (25%)","25",IF(AB69="3. Partially Compliant (50%)","50",IF(AB69="4. Mostly Compliant (75%)","75",IF(AB69="5. Fully Compliant (100%)","100")))))*0.15))</f>
        <v>30</v>
      </c>
      <c r="D69" s="5" t="str">
        <f>IF(AND((_xlfn.XLOOKUP(J69,'Fields &amp; Revisions'!$H:$H,'Fields &amp; Revisions'!$I:$I))&lt;70.99,(OR(Z69="4. Mostly Compliant (75%)",Z69="3. Partially Compliant (50%)",Z69="2. Somewhat Compliant (25%)",Z69="1. Non Compliant (0%)"))),"Yes","No")</f>
        <v>Yes</v>
      </c>
      <c r="E69" s="5" t="str">
        <f>IF(ISERROR(VLOOKUP(H69,Scope!A:A,1,FALSE)),"No","Yes")</f>
        <v>Yes</v>
      </c>
      <c r="F69" s="1" t="s">
        <v>1732</v>
      </c>
      <c r="G69" s="53" t="s">
        <v>1869</v>
      </c>
      <c r="H69" s="53" t="s">
        <v>1870</v>
      </c>
      <c r="I69" s="5">
        <v>1</v>
      </c>
      <c r="J69" s="1" t="s">
        <v>1759</v>
      </c>
      <c r="K69" s="1" t="s">
        <v>1871</v>
      </c>
      <c r="L69" s="1" t="s">
        <v>1872</v>
      </c>
      <c r="M69" s="1" t="s">
        <v>1873</v>
      </c>
      <c r="N69" s="5" t="s">
        <v>85</v>
      </c>
      <c r="O69" s="1" t="str">
        <f>_xlfn.XLOOKUP(G69,SRMs!$A:$A,SRMs!$D:$D)</f>
        <v>PARTIAL INHERITANCE</v>
      </c>
      <c r="P69" s="1" t="str">
        <f>IFERROR(VLOOKUP(H69,Inherited!A:B,2,FALSE),"")</f>
        <v/>
      </c>
      <c r="Q69" s="1" t="e">
        <f>IF(MATCH(H69,Inherited!A:A),IF((((_xlfn.XLOOKUP(Assessment!#REF!,Inherited!A:A,Inherited!B:B))/100)*(_xlfn.XLOOKUP(Assessment!#REF!,Inherited!A:A,Inherited!C:C)))+(((100-(_xlfn.XLOOKUP(Assessment!#REF!,Inherited!A:A,Inherited!B:B)))/100)*IF(X69="1.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(100%)","100"))))))&lt;=10,"0", IF(AND((((_xlfn.XLOOKUP(Assessment!#REF!,Inherited!A:A,Inherited!B:B))/100)*(_xlfn.XLOOKUP(Assessment!#REF!,Inherited!A:A,Inherited!C:C)))+(((100-(_xlfn.XLOOKUP(Assessment!#REF!,Inherited!A:A,Inherited!B:B)))/100)*IF(X69="1.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(100%)","100"))))))&gt;=11,(((_xlfn.XLOOKUP(Assessment!#REF!,Inherited!A:A,Inherited!B:B))/100)*(_xlfn.XLOOKUP(Assessment!#REF!,Inherited!A:A,Inherited!C:C)))+(((100-(_xlfn.XLOOKUP(Assessment!#REF!,Inherited!A:A,Inherited!B:B)))/100)*IF(X69="1.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(100%)","100"))))))&lt;=32),"25",IF(AND((((_xlfn.XLOOKUP(Assessment!#REF!,Inherited!A:A,Inherited!B:B))/100)*(_xlfn.XLOOKUP(Assessment!#REF!,Inherited!A:A,Inherited!C:C)))+(((100-(_xlfn.XLOOKUP(Assessment!#REF!,Inherited!A:A,Inherited!B:B)))/100)*IF(X69="1.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(100%)","100"))))))&gt;=33,(((_xlfn.XLOOKUP(Assessment!#REF!,Inherited!A:A,Inherited!B:B))/100)*(_xlfn.XLOOKUP(Assessment!#REF!,Inherited!A:A,Inherited!C:C)))+(((100-(_xlfn.XLOOKUP(Assessment!#REF!,Inherited!A:A,Inherited!B:B)))/100)*IF(X69="1.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(100%)","100"))))))&lt;=65),"50",IF(AND((((_xlfn.XLOOKUP(Assessment!#REF!,Inherited!A:A,Inherited!B:B))/100)*(_xlfn.XLOOKUP(Assessment!#REF!,Inherited!A:A,Inherited!C:C)))+(((100-(_xlfn.XLOOKUP(Assessment!#REF!,Inherited!A:A,Inherited!B:B)))/100)*IF(X69="1.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(100%)","100"))))))&gt;=66,(((_xlfn.XLOOKUP(Assessment!#REF!,Inherited!A:A,Inherited!B:B))/100)*(_xlfn.XLOOKUP(Assessment!#REF!,Inherited!A:A,Inherited!C:C)))+(((100-(_xlfn.XLOOKUP(Assessment!#REF!,Inherited!A:A,Inherited!B:B)))/100)*IF(X69="1.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(100%)","100"))))))&lt;=89),"75",IF((((_xlfn.XLOOKUP(Assessment!#REF!,Inherited!A:A,Inherited!B:B))/100)*(_xlfn.XLOOKUP(Assessment!#REF!,Inherited!A:A,Inherited!C:C)))+(((100-(_xlfn.XLOOKUP(Assessment!#REF!,Inherited!A:A,Inherited!B:B)))/100)*IF(X69="1. Non Compliant (0%)","0",IF(X69="2. Somewhat Compliant (25%)","25",IF(X69="3. Partially Compliant (50%)","50",IF(X69="4. Mostly Compliant (75%)","75",IF(X69="5. Fully Compliant (100%)","100"))))))&gt;=90,"100"))))))</f>
        <v>#N/A</v>
      </c>
      <c r="R69" s="1" t="e">
        <f>IF(MATCH(H69,Inherited!A:A),IF((((_xlfn.XLOOKUP(Assessment!#REF!,Inherited!A:A,Inherited!B:B))/100)*(_xlfn.XLOOKUP(Assessment!#REF!,Inherited!A:A,Inherited!D:D)))+(((100-(_xlfn.XLOOKUP(Assessment!#REF!,Inherited!A:A,Inherited!B:B)))/100)*IF(Y69="1.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(100%)","100"))))))&lt;=10,"0", IF(AND((((_xlfn.XLOOKUP(Assessment!#REF!,Inherited!A:A,Inherited!B:B))/100)*(_xlfn.XLOOKUP(Assessment!#REF!,Inherited!A:A,Inherited!D:D)))+(((100-(_xlfn.XLOOKUP(Assessment!#REF!,Inherited!A:A,Inherited!B:B)))/100)*IF(Y69="1.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(100%)","100"))))))&gt;=11,(((_xlfn.XLOOKUP(Assessment!#REF!,Inherited!A:A,Inherited!B:B))/100)*(_xlfn.XLOOKUP(Assessment!#REF!,Inherited!A:A,Inherited!D:D)))+(((100-(_xlfn.XLOOKUP(Assessment!#REF!,Inherited!A:A,Inherited!B:B)))/100)*IF(Y69="1.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(100%)","100"))))))&lt;=32),"25",IF(AND((((_xlfn.XLOOKUP(Assessment!#REF!,Inherited!A:A,Inherited!B:B))/100)*(_xlfn.XLOOKUP(Assessment!#REF!,Inherited!A:A,Inherited!D:D)))+(((100-(_xlfn.XLOOKUP(Assessment!#REF!,Inherited!A:A,Inherited!B:B)))/100)*IF(Y69="1.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(100%)","100"))))))&gt;=33,(((_xlfn.XLOOKUP(Assessment!#REF!,Inherited!A:A,Inherited!B:B))/100)*(_xlfn.XLOOKUP(Assessment!#REF!,Inherited!A:A,Inherited!D:D)))+(((100-(_xlfn.XLOOKUP(Assessment!#REF!,Inherited!A:A,Inherited!B:B)))/100)*IF(Y69="1.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(100%)","100"))))))&lt;=65),"50",IF(AND((((_xlfn.XLOOKUP(Assessment!#REF!,Inherited!A:A,Inherited!B:B))/100)*(_xlfn.XLOOKUP(Assessment!#REF!,Inherited!A:A,Inherited!D:D)))+(((100-(_xlfn.XLOOKUP(Assessment!#REF!,Inherited!A:A,Inherited!B:B)))/100)*IF(Y69="1.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(100%)","100"))))))&gt;=66,(((_xlfn.XLOOKUP(Assessment!#REF!,Inherited!A:A,Inherited!B:B))/100)*(_xlfn.XLOOKUP(Assessment!#REF!,Inherited!A:A,Inherited!D:D)))+(((100-(_xlfn.XLOOKUP(Assessment!#REF!,Inherited!A:A,Inherited!B:B)))/100)*IF(Y69="1.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(100%)","100"))))))&lt;=89),"75",IF((((_xlfn.XLOOKUP(Assessment!#REF!,Inherited!A:A,Inherited!B:B))/100)*(_xlfn.XLOOKUP(Assessment!#REF!,Inherited!A:A,Inherited!D:D)))+(((100-(_xlfn.XLOOKUP(Assessment!#REF!,Inherited!A:A,Inherited!B:B)))/100)*IF(Y69="1. Non Compliant (0%)","0",IF(Y69="2. Somewhat Compliant (25%)","25",IF(Y69="3. Partially Compliant (50%)","50",IF(Y69="4. Mostly Compliant (75%)","75",IF(Y69="5. Fully Compliant (100%)","100"))))))&gt;=90,"100"))))))</f>
        <v>#N/A</v>
      </c>
      <c r="S69" s="1" t="e">
        <f>IF(MATCH(H69,Inherited!A:A),IF((((_xlfn.XLOOKUP(Assessment!#REF!,Inherited!A:A,Inherited!B:B))/100)*(_xlfn.XLOOKUP(Assessment!#REF!,Inherited!A:A,Inherited!E:E)))+(((100-(_xlfn.XLOOKUP(Assessment!#REF!,Inherited!A:A,Inherited!B:B)))/100)*IF(Z69="1.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(100%)","100"))))))&lt;=10,"0", IF(AND((((_xlfn.XLOOKUP(Assessment!#REF!,Inherited!A:A,Inherited!B:B))/100)*(_xlfn.XLOOKUP(Assessment!#REF!,Inherited!A:A,Inherited!E:E)))+(((100-(_xlfn.XLOOKUP(Assessment!#REF!,Inherited!A:A,Inherited!B:B)))/100)*IF(Z69="1.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(100%)","100"))))))&gt;=11,(((_xlfn.XLOOKUP(Assessment!#REF!,Inherited!A:A,Inherited!B:B))/100)*(_xlfn.XLOOKUP(Assessment!#REF!,Inherited!A:A,Inherited!E:E)))+(((100-(_xlfn.XLOOKUP(Assessment!#REF!,Inherited!A:A,Inherited!B:B)))/100)*IF(Z69="1.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(100%)","100"))))))&lt;=32),"25",IF(AND((((_xlfn.XLOOKUP(Assessment!#REF!,Inherited!A:A,Inherited!B:B))/100)*(_xlfn.XLOOKUP(Assessment!#REF!,Inherited!A:A,Inherited!E:E)))+(((100-(_xlfn.XLOOKUP(Assessment!#REF!,Inherited!A:A,Inherited!B:B)))/100)*IF(Z69="1.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(100%)","100"))))))&gt;=33,(((_xlfn.XLOOKUP(Assessment!#REF!,Inherited!A:A,Inherited!B:B))/100)*(_xlfn.XLOOKUP(Assessment!#REF!,Inherited!A:A,Inherited!E:E)))+(((100-(_xlfn.XLOOKUP(Assessment!#REF!,Inherited!A:A,Inherited!B:B)))/100)*IF(Z69="1.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(100%)","100"))))))&lt;=65),"50",IF(AND((((_xlfn.XLOOKUP(Assessment!#REF!,Inherited!A:A,Inherited!B:B))/100)*(_xlfn.XLOOKUP(Assessment!#REF!,Inherited!A:A,Inherited!E:E)))+(((100-(_xlfn.XLOOKUP(Assessment!#REF!,Inherited!A:A,Inherited!B:B)))/100)*IF(Z69="1.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(100%)","100"))))))&gt;=66,(((_xlfn.XLOOKUP(Assessment!#REF!,Inherited!A:A,Inherited!B:B))/100)*(_xlfn.XLOOKUP(Assessment!#REF!,Inherited!A:A,Inherited!E:E)))+(((100-(_xlfn.XLOOKUP(Assessment!#REF!,Inherited!A:A,Inherited!B:B)))/100)*IF(Z69="1.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(100%)","100"))))))&lt;=89),"75",IF((((_xlfn.XLOOKUP(Assessment!#REF!,Inherited!A:A,Inherited!B:B))/100)*(_xlfn.XLOOKUP(Assessment!#REF!,Inherited!A:A,Inherited!E:E)))+(((100-(_xlfn.XLOOKUP(Assessment!#REF!,Inherited!A:A,Inherited!B:B)))/100)*IF(Z69="1. Non Compliant (0%)","0",IF(Z69="2. Somewhat Compliant (25%)","25",IF(Z69="3. Partially Compliant (50%)","50",IF(Z69="4. Mostly Compliant (75%)","75",IF(Z69="5. Fully Compliant (100%)","100"))))))&gt;=90,"100"))))))</f>
        <v>#N/A</v>
      </c>
      <c r="T69" s="1" t="e">
        <f>IF(MATCH(H69,Inherited!A:A),IF((((_xlfn.XLOOKUP(Assessment!#REF!,Inherited!A:A,Inherited!B:B))/100)*(_xlfn.XLOOKUP(Assessment!#REF!,Inherited!A:A,Inherited!F:F)))+(((100-(_xlfn.XLOOKUP(Assessment!#REF!,Inherited!A:A,Inherited!B:B)))/100)*IF(AA69="1.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(100%)","100"))))))&lt;=10,"0", IF(AND((((_xlfn.XLOOKUP(Assessment!#REF!,Inherited!A:A,Inherited!B:B))/100)*(_xlfn.XLOOKUP(Assessment!#REF!,Inherited!A:A,Inherited!F:F)))+(((100-(_xlfn.XLOOKUP(Assessment!#REF!,Inherited!A:A,Inherited!B:B)))/100)*IF(AA69="1.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(100%)","100"))))))&gt;=11,(((_xlfn.XLOOKUP(Assessment!#REF!,Inherited!A:A,Inherited!B:B))/100)*(_xlfn.XLOOKUP(Assessment!#REF!,Inherited!A:A,Inherited!F:F)))+(((100-(_xlfn.XLOOKUP(Assessment!#REF!,Inherited!A:A,Inherited!B:B)))/100)*IF(AA69="1.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(100%)","100"))))))&lt;=32),"25",IF(AND((((_xlfn.XLOOKUP(Assessment!#REF!,Inherited!A:A,Inherited!B:B))/100)*(_xlfn.XLOOKUP(Assessment!#REF!,Inherited!A:A,Inherited!F:F)))+(((100-(_xlfn.XLOOKUP(Assessment!#REF!,Inherited!A:A,Inherited!B:B)))/100)*IF(AA69="1.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(100%)","100"))))))&gt;=33,(((_xlfn.XLOOKUP(Assessment!#REF!,Inherited!A:A,Inherited!B:B))/100)*(_xlfn.XLOOKUP(Assessment!#REF!,Inherited!A:A,Inherited!F:F)))+(((100-(_xlfn.XLOOKUP(Assessment!#REF!,Inherited!A:A,Inherited!B:B)))/100)*IF(AA69="1.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(100%)","100"))))))&lt;=65),"50",IF(AND((((_xlfn.XLOOKUP(Assessment!#REF!,Inherited!A:A,Inherited!B:B))/100)*(_xlfn.XLOOKUP(Assessment!#REF!,Inherited!A:A,Inherited!F:F)))+(((100-(_xlfn.XLOOKUP(Assessment!#REF!,Inherited!A:A,Inherited!B:B)))/100)*IF(AA69="1.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(100%)","100"))))))&gt;=66,(((_xlfn.XLOOKUP(Assessment!#REF!,Inherited!A:A,Inherited!B:B))/100)*(_xlfn.XLOOKUP(Assessment!#REF!,Inherited!A:A,Inherited!F:F)))+(((100-(_xlfn.XLOOKUP(Assessment!#REF!,Inherited!A:A,Inherited!B:B)))/100)*IF(AA69="1.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(100%)","100"))))))&lt;=89),"75",IF((((_xlfn.XLOOKUP(Assessment!#REF!,Inherited!A:A,Inherited!B:B))/100)*(_xlfn.XLOOKUP(Assessment!#REF!,Inherited!A:A,Inherited!F:F)))+(((100-(_xlfn.XLOOKUP(Assessment!#REF!,Inherited!A:A,Inherited!B:B)))/100)*IF(AA69="1. Non Compliant (0%)","0",IF(AA69="2. Somewhat Compliant (25%)","25",IF(AA69="3. Partially Compliant (50%)","50",IF(AA69="4. Mostly Compliant (75%)","75",IF(AA69="5. Fully Compliant (100%)","100"))))))&gt;=90,"100"))))))</f>
        <v>#N/A</v>
      </c>
      <c r="U69" s="1" t="e">
        <f>IF(MATCH(H69,Inherited!A:A),IF((((_xlfn.XLOOKUP(Assessment!#REF!,Inherited!A:A,Inherited!B:B))/100)*(_xlfn.XLOOKUP(Assessment!#REF!,Inherited!A:A,Inherited!G:G)))+(((100-(_xlfn.XLOOKUP(Assessment!#REF!,Inherited!A:A,Inherited!B:B)))/100)*IF(AB69="1.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(100%)","100"))))))&lt;=10,"0", IF(AND((((_xlfn.XLOOKUP(Assessment!#REF!,Inherited!A:A,Inherited!B:B))/100)*(_xlfn.XLOOKUP(Assessment!#REF!,Inherited!A:A,Inherited!G:G)))+(((100-(_xlfn.XLOOKUP(Assessment!#REF!,Inherited!A:A,Inherited!B:B)))/100)*IF(AB69="1.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(100%)","100"))))))&gt;=11,(((_xlfn.XLOOKUP(Assessment!#REF!,Inherited!A:A,Inherited!B:B))/100)*(_xlfn.XLOOKUP(Assessment!#REF!,Inherited!A:A,Inherited!G:G)))+(((100-(_xlfn.XLOOKUP(Assessment!#REF!,Inherited!A:A,Inherited!B:B)))/100)*IF(AB69="1.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(100%)","100"))))))&lt;=32),"25",IF(AND((((_xlfn.XLOOKUP(Assessment!#REF!,Inherited!A:A,Inherited!B:B))/100)*(_xlfn.XLOOKUP(Assessment!#REF!,Inherited!A:A,Inherited!G:G)))+(((100-(_xlfn.XLOOKUP(Assessment!#REF!,Inherited!A:A,Inherited!B:B)))/100)*IF(AB69="1.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(100%)","100"))))))&gt;=33,(((_xlfn.XLOOKUP(Assessment!#REF!,Inherited!A:A,Inherited!B:B))/100)*(_xlfn.XLOOKUP(Assessment!#REF!,Inherited!A:A,Inherited!G:G)))+(((100-(_xlfn.XLOOKUP(Assessment!#REF!,Inherited!A:A,Inherited!B:B)))/100)*IF(AB69="1.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(100%)","100"))))))&lt;=65),"50",IF(AND((((_xlfn.XLOOKUP(Assessment!#REF!,Inherited!A:A,Inherited!B:B))/100)*(_xlfn.XLOOKUP(Assessment!#REF!,Inherited!A:A,Inherited!G:G)))+(((100-(_xlfn.XLOOKUP(Assessment!#REF!,Inherited!A:A,Inherited!B:B)))/100)*IF(AB69="1.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(100%)","100"))))))&gt;=66,(((_xlfn.XLOOKUP(Assessment!#REF!,Inherited!A:A,Inherited!B:B))/100)*(_xlfn.XLOOKUP(Assessment!#REF!,Inherited!A:A,Inherited!G:G)))+(((100-(_xlfn.XLOOKUP(Assessment!#REF!,Inherited!A:A,Inherited!B:B)))/100)*IF(AB69="1.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(100%)","100"))))))&lt;=89),"75",IF((((_xlfn.XLOOKUP(Assessment!#REF!,Inherited!A:A,Inherited!B:B))/100)*(_xlfn.XLOOKUP(Assessment!#REF!,Inherited!A:A,Inherited!G:G)))+(((100-(_xlfn.XLOOKUP(Assessment!#REF!,Inherited!A:A,Inherited!B:B)))/100)*IF(AB69="1. Non Compliant (0%)","0",IF(AB69="2. Somewhat Compliant (25%)","25",IF(AB69="3. Partially Compliant (50%)","50",IF(AB69="4. Mostly Compliant (75%)","75",IF(AB69="5. Fully Compliant (100%)","100"))))))&gt;=90,"100"))))))</f>
        <v>#N/A</v>
      </c>
      <c r="V69" s="55" t="s">
        <v>85</v>
      </c>
      <c r="W69" s="55"/>
      <c r="X69" s="55"/>
      <c r="Y69" s="55"/>
      <c r="Z69" s="55" t="s">
        <v>87</v>
      </c>
      <c r="AA69" s="55"/>
      <c r="AB69" s="55"/>
      <c r="AK69" s="1" t="s">
        <v>10891</v>
      </c>
      <c r="AM69" s="1" t="s">
        <v>10967</v>
      </c>
      <c r="AP69" s="1" t="s">
        <v>10970</v>
      </c>
      <c r="AX69" s="3" t="str">
        <f>_xlfn.CONCAT("A-LIGN finished its review of this control on ",AR69, " during the scheduled fieldwork window (",Intro!$B$4,")."&amp; CHAR(10)&amp; CHAR(10))</f>
        <v xml:space="preserve">A-LIGN finished its review of this control on  during the scheduled fieldwork window (Fieldwork: xx/xx/xxxx - xx/xx/xxxx).
</v>
      </c>
      <c r="AY69" s="3" t="str">
        <f t="shared" ref="AY69:AY71" si="121">IF(AQ69&lt;&gt;"",(_xlfn.CONCAT("Inheritance note: "&amp; CHAR(10),AQ69&amp; CHAR(10)&amp; CHAR(10))),"")</f>
        <v/>
      </c>
      <c r="AZ69" s="3" t="str">
        <f t="shared" ref="AZ69:AZ71" si="122">IFERROR(IF(AD69&lt;&gt;"",_xlfn.CONCAT("Examined the following policy during fieldwork:"&amp; CHAR(10),AD69&amp; CHAR(10)&amp; CHAR(10),IF(AND(X69&lt;&gt;"5. Fully Compliant (100%)",AE69&lt;&gt;""),"Reviewed policy exception note:"&amp; CHAR(10) &amp; AE69 &amp; CHAR(10) &amp; CHAR(10),"")),""),"")</f>
        <v/>
      </c>
      <c r="BA69" s="3" t="str">
        <f t="shared" ref="BA69:BA71" si="123">IFERROR(IF(AH69&lt;&gt;"",_xlfn.CONCAT("Examined the following process during fieldwork:"&amp; CHAR(10),AH69&amp; CHAR(10)&amp; CHAR(10),IF(AND(Y69&lt;&gt;"5. Fully Compliant (100%)",AI69&lt;&gt;""),"Reviewed process exception note:"&amp; CHAR(10) &amp; AI69 &amp; CHAR(10) &amp; CHAR(10),"")),""),"")</f>
        <v/>
      </c>
      <c r="BB69" s="3" t="str">
        <f t="shared" ref="BB69:BB71" si="124">IF(AK69&lt;&gt;"",(_xlfn.CONCAT("Inquired of the following workforce member: "&amp; CHAR(10),AK69&amp; CHAR(10)&amp; CHAR(10),"Inquiry lead to the following conclusions: "&amp; CHAR(10),AL69&amp; CHAR(10) &amp; CHAR(10))),"")</f>
        <v xml:space="preserve">Inquired of the following workforce member: 
Matthew Macaluso - Director of System Operations
Roze Nicolas - Director of TechOps
Inquiry lead to the following conclusions: 
</v>
      </c>
      <c r="BC69" s="3" t="str">
        <f t="shared" ref="BC69:BC71" si="125">IF(AM69&lt;&gt;"",(_xlfn.CONCAT("Observed the following live during fieldwork: "&amp; CHAR(10),AM69&amp; CHAR(10) &amp; CHAR(10))),"")</f>
        <v xml:space="preserve">Observed the following live during fieldwork: 
Observed the Cisco Meraki dashboard which is configured to support the required components outlined within the requirement statement.
</v>
      </c>
      <c r="BD69" s="3" t="str">
        <f t="shared" ref="BD69:BD71" si="126">_xlfn.CONCAT("Examined the following evidence during fieldwork:"&amp; CHAR(10),AN69&amp; CHAR(10)&amp; CHAR(10),IF(AO69&lt;&gt;"","Reviewed evidence note:"&amp; CHAR(10)&amp;AO69&amp; CHAR(10) &amp; CHAR(10),"Reviewed evidence addressed the requirement statement."&amp; CHAR(10) &amp; CHAR(10)),IF(AND(AP69&lt;&gt;"5. Fully Compliant (100%)",AP69&lt;&gt;""),"Reviewed evidence exception note: "&amp; CHAR(10) &amp; AP69 &amp; CHAR(10) &amp; CHAR(10),""))</f>
        <v xml:space="preserve">Examined the following evidence during fieldwork:
Reviewed evidence addressed the requirement statement.
Reviewed evidence exception note: 
Gap: Currently implemented, but not documented.
Recommendation: Management should update the current documentation to address the components outlined within the requirement statement.
</v>
      </c>
      <c r="BE69" s="3" t="str">
        <f t="shared" ref="BE69:BE71" si="127">IF(AT69&lt;&gt;"",(_xlfn.CONCAT("Examined the following measure/metric during fieldwork:"&amp; CHAR(10),AT69&amp; CHAR(10)&amp; CHAR(10),"Reviewed measure/metric note:"&amp; CHAR(10),AU69 &amp; CHAR(10) &amp; CHAR(10))),"")</f>
        <v/>
      </c>
      <c r="BF69" s="3" t="str">
        <f t="shared" ref="BF69:BF71" si="128">IF(AV69&lt;&gt;"",(_xlfn.CONCAT("Examined the following measure/metric management during fieldwork:"&amp; CHAR(10),AV69&amp; CHAR(10)&amp; CHAR(10),"Reviewed measure/metric management note:"&amp; CHAR(10),AW69 &amp; CHAR(10) &amp; CHAR(10))),"")</f>
        <v/>
      </c>
      <c r="BG69" s="3" t="str">
        <f>_xlfn.CONCAT((IF((COUNTIF('Sample Tables'!B:B,"Test 180: Network Device (firewall)")&gt;0)=TRUE,_xlfn.CONCAT("Sample test results are documented in ",'Sample Tables'!B1976," [",'Sample Tables'!B1977,", ",'Sample Tables'!B1978,", ",'Sample Tables'!B1979,", ",'Sample Tables'!B1980,", ",'Sample Tables'!B1981,"]."&amp;CHAR(10)),IF((COUNTIF('Sample Tables'!B:B,"Test 180: Network Device (firewall)")&gt;0)=FALSE,""))),)</f>
        <v xml:space="preserve">Sample test results are documented in Test 180: Network Device (firewall) [Population Source/Tool: , Population Date Range: , Population Size: , Sample Methodology: , Sample Size: ].
</v>
      </c>
      <c r="BH69" s="3" t="str">
        <f t="shared" ref="BH69:BH71" si="129">IF(V69="No","Not Applicable: "&amp;W69,(_xlfn.CONCAT(AX69,AY69,AZ69,BA69,BB69,BC69,BD69,BE69,BF69,BG69)))</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Cisco Meraki dashboard which is configured to support the required components outlined within the requirement statement.
Examined the following evidence during fieldwork:
Reviewed evidence addressed the requirement statement.
Reviewed evidence exception note: 
Gap: Currently implemented, but not documented.
Recommendation: Management should update the current documentation to address the components outlined within the requirement statement.
Sample test results are documented in Test 180: Network Device (firewall) [Population Source/Tool: , Population Date Range: , Population Size: , Sample Methodology: , Sample Size: ].
</v>
      </c>
    </row>
    <row r="70" spans="3:60" ht="400" x14ac:dyDescent="0.35">
      <c r="C70" s="1">
        <f t="shared" si="120"/>
        <v>40</v>
      </c>
      <c r="D70" s="5" t="str">
        <f>IF(AND((_xlfn.XLOOKUP(J70,'Fields &amp; Revisions'!$H:$H,'Fields &amp; Revisions'!$I:$I))&lt;70.99,(OR(Z70="4. Mostly Compliant (75%)",Z70="3. Partially Compliant (50%)",Z70="2. Somewhat Compliant (25%)",Z70="1. Non Compliant (0%)"))),"Yes","No")</f>
        <v>No</v>
      </c>
      <c r="E70" s="5" t="str">
        <f>IF(ISERROR(VLOOKUP(H70,Scope!A:A,1,FALSE)),"No","Yes")</f>
        <v>Yes</v>
      </c>
      <c r="F70" s="1" t="s">
        <v>1732</v>
      </c>
      <c r="G70" s="53" t="s">
        <v>1896</v>
      </c>
      <c r="H70" s="53" t="s">
        <v>1897</v>
      </c>
      <c r="I70" s="5">
        <v>1</v>
      </c>
      <c r="J70" s="1" t="s">
        <v>1898</v>
      </c>
      <c r="K70" s="1" t="s">
        <v>1899</v>
      </c>
      <c r="L70" s="1" t="s">
        <v>1900</v>
      </c>
      <c r="M70" s="1" t="s">
        <v>1901</v>
      </c>
      <c r="N70" s="5" t="s">
        <v>98</v>
      </c>
      <c r="O70" s="1" t="str">
        <f>_xlfn.XLOOKUP(G70,SRMs!$A:$A,SRMs!$D:$D)</f>
        <v>PARTIAL INHERITANCE</v>
      </c>
      <c r="P70" s="1" t="str">
        <f>IFERROR(VLOOKUP(H70,Inherited!A:B,2,FALSE),"")</f>
        <v/>
      </c>
      <c r="Q70" s="1" t="e">
        <f>IF(MATCH(H70,Inherited!A:A),IF((((_xlfn.XLOOKUP(Assessment!#REF!,Inherited!A:A,Inherited!B:B))/100)*(_xlfn.XLOOKUP(Assessment!#REF!,Inherited!A:A,Inherited!C:C)))+(((100-(_xlfn.XLOOKUP(Assessment!#REF!,Inherited!A:A,Inherited!B:B)))/100)*IF(X70="1.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(100%)","100"))))))&lt;=10,"0", IF(AND((((_xlfn.XLOOKUP(Assessment!#REF!,Inherited!A:A,Inherited!B:B))/100)*(_xlfn.XLOOKUP(Assessment!#REF!,Inherited!A:A,Inherited!C:C)))+(((100-(_xlfn.XLOOKUP(Assessment!#REF!,Inherited!A:A,Inherited!B:B)))/100)*IF(X70="1.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(100%)","100"))))))&gt;=11,(((_xlfn.XLOOKUP(Assessment!#REF!,Inherited!A:A,Inherited!B:B))/100)*(_xlfn.XLOOKUP(Assessment!#REF!,Inherited!A:A,Inherited!C:C)))+(((100-(_xlfn.XLOOKUP(Assessment!#REF!,Inherited!A:A,Inherited!B:B)))/100)*IF(X70="1.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(100%)","100"))))))&lt;=32),"25",IF(AND((((_xlfn.XLOOKUP(Assessment!#REF!,Inherited!A:A,Inherited!B:B))/100)*(_xlfn.XLOOKUP(Assessment!#REF!,Inherited!A:A,Inherited!C:C)))+(((100-(_xlfn.XLOOKUP(Assessment!#REF!,Inherited!A:A,Inherited!B:B)))/100)*IF(X70="1.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(100%)","100"))))))&gt;=33,(((_xlfn.XLOOKUP(Assessment!#REF!,Inherited!A:A,Inherited!B:B))/100)*(_xlfn.XLOOKUP(Assessment!#REF!,Inherited!A:A,Inherited!C:C)))+(((100-(_xlfn.XLOOKUP(Assessment!#REF!,Inherited!A:A,Inherited!B:B)))/100)*IF(X70="1.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(100%)","100"))))))&lt;=65),"50",IF(AND((((_xlfn.XLOOKUP(Assessment!#REF!,Inherited!A:A,Inherited!B:B))/100)*(_xlfn.XLOOKUP(Assessment!#REF!,Inherited!A:A,Inherited!C:C)))+(((100-(_xlfn.XLOOKUP(Assessment!#REF!,Inherited!A:A,Inherited!B:B)))/100)*IF(X70="1.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(100%)","100"))))))&gt;=66,(((_xlfn.XLOOKUP(Assessment!#REF!,Inherited!A:A,Inherited!B:B))/100)*(_xlfn.XLOOKUP(Assessment!#REF!,Inherited!A:A,Inherited!C:C)))+(((100-(_xlfn.XLOOKUP(Assessment!#REF!,Inherited!A:A,Inherited!B:B)))/100)*IF(X70="1.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(100%)","100"))))))&lt;=89),"75",IF((((_xlfn.XLOOKUP(Assessment!#REF!,Inherited!A:A,Inherited!B:B))/100)*(_xlfn.XLOOKUP(Assessment!#REF!,Inherited!A:A,Inherited!C:C)))+(((100-(_xlfn.XLOOKUP(Assessment!#REF!,Inherited!A:A,Inherited!B:B)))/100)*IF(X70="1. Non Compliant (0%)","0",IF(X70="2. Somewhat Compliant (25%)","25",IF(X70="3. Partially Compliant (50%)","50",IF(X70="4. Mostly Compliant (75%)","75",IF(X70="5. Fully Compliant (100%)","100"))))))&gt;=90,"100"))))))</f>
        <v>#N/A</v>
      </c>
      <c r="R70" s="1" t="e">
        <f>IF(MATCH(H70,Inherited!A:A),IF((((_xlfn.XLOOKUP(Assessment!#REF!,Inherited!A:A,Inherited!B:B))/100)*(_xlfn.XLOOKUP(Assessment!#REF!,Inherited!A:A,Inherited!D:D)))+(((100-(_xlfn.XLOOKUP(Assessment!#REF!,Inherited!A:A,Inherited!B:B)))/100)*IF(Y70="1.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(100%)","100"))))))&lt;=10,"0", IF(AND((((_xlfn.XLOOKUP(Assessment!#REF!,Inherited!A:A,Inherited!B:B))/100)*(_xlfn.XLOOKUP(Assessment!#REF!,Inherited!A:A,Inherited!D:D)))+(((100-(_xlfn.XLOOKUP(Assessment!#REF!,Inherited!A:A,Inherited!B:B)))/100)*IF(Y70="1.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(100%)","100"))))))&gt;=11,(((_xlfn.XLOOKUP(Assessment!#REF!,Inherited!A:A,Inherited!B:B))/100)*(_xlfn.XLOOKUP(Assessment!#REF!,Inherited!A:A,Inherited!D:D)))+(((100-(_xlfn.XLOOKUP(Assessment!#REF!,Inherited!A:A,Inherited!B:B)))/100)*IF(Y70="1.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(100%)","100"))))))&lt;=32),"25",IF(AND((((_xlfn.XLOOKUP(Assessment!#REF!,Inherited!A:A,Inherited!B:B))/100)*(_xlfn.XLOOKUP(Assessment!#REF!,Inherited!A:A,Inherited!D:D)))+(((100-(_xlfn.XLOOKUP(Assessment!#REF!,Inherited!A:A,Inherited!B:B)))/100)*IF(Y70="1.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(100%)","100"))))))&gt;=33,(((_xlfn.XLOOKUP(Assessment!#REF!,Inherited!A:A,Inherited!B:B))/100)*(_xlfn.XLOOKUP(Assessment!#REF!,Inherited!A:A,Inherited!D:D)))+(((100-(_xlfn.XLOOKUP(Assessment!#REF!,Inherited!A:A,Inherited!B:B)))/100)*IF(Y70="1.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(100%)","100"))))))&lt;=65),"50",IF(AND((((_xlfn.XLOOKUP(Assessment!#REF!,Inherited!A:A,Inherited!B:B))/100)*(_xlfn.XLOOKUP(Assessment!#REF!,Inherited!A:A,Inherited!D:D)))+(((100-(_xlfn.XLOOKUP(Assessment!#REF!,Inherited!A:A,Inherited!B:B)))/100)*IF(Y70="1.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(100%)","100"))))))&gt;=66,(((_xlfn.XLOOKUP(Assessment!#REF!,Inherited!A:A,Inherited!B:B))/100)*(_xlfn.XLOOKUP(Assessment!#REF!,Inherited!A:A,Inherited!D:D)))+(((100-(_xlfn.XLOOKUP(Assessment!#REF!,Inherited!A:A,Inherited!B:B)))/100)*IF(Y70="1.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(100%)","100"))))))&lt;=89),"75",IF((((_xlfn.XLOOKUP(Assessment!#REF!,Inherited!A:A,Inherited!B:B))/100)*(_xlfn.XLOOKUP(Assessment!#REF!,Inherited!A:A,Inherited!D:D)))+(((100-(_xlfn.XLOOKUP(Assessment!#REF!,Inherited!A:A,Inherited!B:B)))/100)*IF(Y70="1. Non Compliant (0%)","0",IF(Y70="2. Somewhat Compliant (25%)","25",IF(Y70="3. Partially Compliant (50%)","50",IF(Y70="4. Mostly Compliant (75%)","75",IF(Y70="5. Fully Compliant (100%)","100"))))))&gt;=90,"100"))))))</f>
        <v>#N/A</v>
      </c>
      <c r="S70" s="1" t="e">
        <f>IF(MATCH(H70,Inherited!A:A),IF((((_xlfn.XLOOKUP(Assessment!#REF!,Inherited!A:A,Inherited!B:B))/100)*(_xlfn.XLOOKUP(Assessment!#REF!,Inherited!A:A,Inherited!E:E)))+(((100-(_xlfn.XLOOKUP(Assessment!#REF!,Inherited!A:A,Inherited!B:B)))/100)*IF(Z70="1.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(100%)","100"))))))&lt;=10,"0", IF(AND((((_xlfn.XLOOKUP(Assessment!#REF!,Inherited!A:A,Inherited!B:B))/100)*(_xlfn.XLOOKUP(Assessment!#REF!,Inherited!A:A,Inherited!E:E)))+(((100-(_xlfn.XLOOKUP(Assessment!#REF!,Inherited!A:A,Inherited!B:B)))/100)*IF(Z70="1.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(100%)","100"))))))&gt;=11,(((_xlfn.XLOOKUP(Assessment!#REF!,Inherited!A:A,Inherited!B:B))/100)*(_xlfn.XLOOKUP(Assessment!#REF!,Inherited!A:A,Inherited!E:E)))+(((100-(_xlfn.XLOOKUP(Assessment!#REF!,Inherited!A:A,Inherited!B:B)))/100)*IF(Z70="1.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(100%)","100"))))))&lt;=32),"25",IF(AND((((_xlfn.XLOOKUP(Assessment!#REF!,Inherited!A:A,Inherited!B:B))/100)*(_xlfn.XLOOKUP(Assessment!#REF!,Inherited!A:A,Inherited!E:E)))+(((100-(_xlfn.XLOOKUP(Assessment!#REF!,Inherited!A:A,Inherited!B:B)))/100)*IF(Z70="1.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(100%)","100"))))))&gt;=33,(((_xlfn.XLOOKUP(Assessment!#REF!,Inherited!A:A,Inherited!B:B))/100)*(_xlfn.XLOOKUP(Assessment!#REF!,Inherited!A:A,Inherited!E:E)))+(((100-(_xlfn.XLOOKUP(Assessment!#REF!,Inherited!A:A,Inherited!B:B)))/100)*IF(Z70="1.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(100%)","100"))))))&lt;=65),"50",IF(AND((((_xlfn.XLOOKUP(Assessment!#REF!,Inherited!A:A,Inherited!B:B))/100)*(_xlfn.XLOOKUP(Assessment!#REF!,Inherited!A:A,Inherited!E:E)))+(((100-(_xlfn.XLOOKUP(Assessment!#REF!,Inherited!A:A,Inherited!B:B)))/100)*IF(Z70="1.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(100%)","100"))))))&gt;=66,(((_xlfn.XLOOKUP(Assessment!#REF!,Inherited!A:A,Inherited!B:B))/100)*(_xlfn.XLOOKUP(Assessment!#REF!,Inherited!A:A,Inherited!E:E)))+(((100-(_xlfn.XLOOKUP(Assessment!#REF!,Inherited!A:A,Inherited!B:B)))/100)*IF(Z70="1.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(100%)","100"))))))&lt;=89),"75",IF((((_xlfn.XLOOKUP(Assessment!#REF!,Inherited!A:A,Inherited!B:B))/100)*(_xlfn.XLOOKUP(Assessment!#REF!,Inherited!A:A,Inherited!E:E)))+(((100-(_xlfn.XLOOKUP(Assessment!#REF!,Inherited!A:A,Inherited!B:B)))/100)*IF(Z70="1. Non Compliant (0%)","0",IF(Z70="2. Somewhat Compliant (25%)","25",IF(Z70="3. Partially Compliant (50%)","50",IF(Z70="4. Mostly Compliant (75%)","75",IF(Z70="5. Fully Compliant (100%)","100"))))))&gt;=90,"100"))))))</f>
        <v>#N/A</v>
      </c>
      <c r="T70" s="1" t="e">
        <f>IF(MATCH(H70,Inherited!A:A),IF((((_xlfn.XLOOKUP(Assessment!#REF!,Inherited!A:A,Inherited!B:B))/100)*(_xlfn.XLOOKUP(Assessment!#REF!,Inherited!A:A,Inherited!F:F)))+(((100-(_xlfn.XLOOKUP(Assessment!#REF!,Inherited!A:A,Inherited!B:B)))/100)*IF(AA70="1.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(100%)","100"))))))&lt;=10,"0", IF(AND((((_xlfn.XLOOKUP(Assessment!#REF!,Inherited!A:A,Inherited!B:B))/100)*(_xlfn.XLOOKUP(Assessment!#REF!,Inherited!A:A,Inherited!F:F)))+(((100-(_xlfn.XLOOKUP(Assessment!#REF!,Inherited!A:A,Inherited!B:B)))/100)*IF(AA70="1.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(100%)","100"))))))&gt;=11,(((_xlfn.XLOOKUP(Assessment!#REF!,Inherited!A:A,Inherited!B:B))/100)*(_xlfn.XLOOKUP(Assessment!#REF!,Inherited!A:A,Inherited!F:F)))+(((100-(_xlfn.XLOOKUP(Assessment!#REF!,Inherited!A:A,Inherited!B:B)))/100)*IF(AA70="1.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(100%)","100"))))))&lt;=32),"25",IF(AND((((_xlfn.XLOOKUP(Assessment!#REF!,Inherited!A:A,Inherited!B:B))/100)*(_xlfn.XLOOKUP(Assessment!#REF!,Inherited!A:A,Inherited!F:F)))+(((100-(_xlfn.XLOOKUP(Assessment!#REF!,Inherited!A:A,Inherited!B:B)))/100)*IF(AA70="1.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(100%)","100"))))))&gt;=33,(((_xlfn.XLOOKUP(Assessment!#REF!,Inherited!A:A,Inherited!B:B))/100)*(_xlfn.XLOOKUP(Assessment!#REF!,Inherited!A:A,Inherited!F:F)))+(((100-(_xlfn.XLOOKUP(Assessment!#REF!,Inherited!A:A,Inherited!B:B)))/100)*IF(AA70="1.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(100%)","100"))))))&lt;=65),"50",IF(AND((((_xlfn.XLOOKUP(Assessment!#REF!,Inherited!A:A,Inherited!B:B))/100)*(_xlfn.XLOOKUP(Assessment!#REF!,Inherited!A:A,Inherited!F:F)))+(((100-(_xlfn.XLOOKUP(Assessment!#REF!,Inherited!A:A,Inherited!B:B)))/100)*IF(AA70="1.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(100%)","100"))))))&gt;=66,(((_xlfn.XLOOKUP(Assessment!#REF!,Inherited!A:A,Inherited!B:B))/100)*(_xlfn.XLOOKUP(Assessment!#REF!,Inherited!A:A,Inherited!F:F)))+(((100-(_xlfn.XLOOKUP(Assessment!#REF!,Inherited!A:A,Inherited!B:B)))/100)*IF(AA70="1.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(100%)","100"))))))&lt;=89),"75",IF((((_xlfn.XLOOKUP(Assessment!#REF!,Inherited!A:A,Inherited!B:B))/100)*(_xlfn.XLOOKUP(Assessment!#REF!,Inherited!A:A,Inherited!F:F)))+(((100-(_xlfn.XLOOKUP(Assessment!#REF!,Inherited!A:A,Inherited!B:B)))/100)*IF(AA70="1. Non Compliant (0%)","0",IF(AA70="2. Somewhat Compliant (25%)","25",IF(AA70="3. Partially Compliant (50%)","50",IF(AA70="4. Mostly Compliant (75%)","75",IF(AA70="5. Fully Compliant (100%)","100"))))))&gt;=90,"100"))))))</f>
        <v>#N/A</v>
      </c>
      <c r="U70" s="1" t="e">
        <f>IF(MATCH(H70,Inherited!A:A),IF((((_xlfn.XLOOKUP(Assessment!#REF!,Inherited!A:A,Inherited!B:B))/100)*(_xlfn.XLOOKUP(Assessment!#REF!,Inherited!A:A,Inherited!G:G)))+(((100-(_xlfn.XLOOKUP(Assessment!#REF!,Inherited!A:A,Inherited!B:B)))/100)*IF(AB70="1.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(100%)","100"))))))&lt;=10,"0", IF(AND((((_xlfn.XLOOKUP(Assessment!#REF!,Inherited!A:A,Inherited!B:B))/100)*(_xlfn.XLOOKUP(Assessment!#REF!,Inherited!A:A,Inherited!G:G)))+(((100-(_xlfn.XLOOKUP(Assessment!#REF!,Inherited!A:A,Inherited!B:B)))/100)*IF(AB70="1.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(100%)","100"))))))&gt;=11,(((_xlfn.XLOOKUP(Assessment!#REF!,Inherited!A:A,Inherited!B:B))/100)*(_xlfn.XLOOKUP(Assessment!#REF!,Inherited!A:A,Inherited!G:G)))+(((100-(_xlfn.XLOOKUP(Assessment!#REF!,Inherited!A:A,Inherited!B:B)))/100)*IF(AB70="1.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(100%)","100"))))))&lt;=32),"25",IF(AND((((_xlfn.XLOOKUP(Assessment!#REF!,Inherited!A:A,Inherited!B:B))/100)*(_xlfn.XLOOKUP(Assessment!#REF!,Inherited!A:A,Inherited!G:G)))+(((100-(_xlfn.XLOOKUP(Assessment!#REF!,Inherited!A:A,Inherited!B:B)))/100)*IF(AB70="1.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(100%)","100"))))))&gt;=33,(((_xlfn.XLOOKUP(Assessment!#REF!,Inherited!A:A,Inherited!B:B))/100)*(_xlfn.XLOOKUP(Assessment!#REF!,Inherited!A:A,Inherited!G:G)))+(((100-(_xlfn.XLOOKUP(Assessment!#REF!,Inherited!A:A,Inherited!B:B)))/100)*IF(AB70="1.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(100%)","100"))))))&lt;=65),"50",IF(AND((((_xlfn.XLOOKUP(Assessment!#REF!,Inherited!A:A,Inherited!B:B))/100)*(_xlfn.XLOOKUP(Assessment!#REF!,Inherited!A:A,Inherited!G:G)))+(((100-(_xlfn.XLOOKUP(Assessment!#REF!,Inherited!A:A,Inherited!B:B)))/100)*IF(AB70="1.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(100%)","100"))))))&gt;=66,(((_xlfn.XLOOKUP(Assessment!#REF!,Inherited!A:A,Inherited!B:B))/100)*(_xlfn.XLOOKUP(Assessment!#REF!,Inherited!A:A,Inherited!G:G)))+(((100-(_xlfn.XLOOKUP(Assessment!#REF!,Inherited!A:A,Inherited!B:B)))/100)*IF(AB70="1.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(100%)","100"))))))&lt;=89),"75",IF((((_xlfn.XLOOKUP(Assessment!#REF!,Inherited!A:A,Inherited!B:B))/100)*(_xlfn.XLOOKUP(Assessment!#REF!,Inherited!A:A,Inherited!G:G)))+(((100-(_xlfn.XLOOKUP(Assessment!#REF!,Inherited!A:A,Inherited!B:B)))/100)*IF(AB70="1. Non Compliant (0%)","0",IF(AB70="2. Somewhat Compliant (25%)","25",IF(AB70="3. Partially Compliant (50%)","50",IF(AB70="4. Mostly Compliant (75%)","75",IF(AB70="5. Fully Compliant (100%)","100"))))))&gt;=90,"100"))))))</f>
        <v>#N/A</v>
      </c>
      <c r="V70" s="55" t="s">
        <v>85</v>
      </c>
      <c r="W70" s="55"/>
      <c r="X70" s="55"/>
      <c r="Y70" s="55"/>
      <c r="Z70" s="55" t="s">
        <v>86</v>
      </c>
      <c r="AA70" s="55"/>
      <c r="AB70" s="55"/>
      <c r="AK70" s="1" t="s">
        <v>10891</v>
      </c>
      <c r="AM70" s="1" t="s">
        <v>10968</v>
      </c>
      <c r="AX70" s="3" t="str">
        <f>_xlfn.CONCAT("A-LIGN finished its review of this control on ",AR70, " during the scheduled fieldwork window (",Intro!$B$4,")."&amp; CHAR(10)&amp; CHAR(10))</f>
        <v xml:space="preserve">A-LIGN finished its review of this control on  during the scheduled fieldwork window (Fieldwork: xx/xx/xxxx - xx/xx/xxxx).
</v>
      </c>
      <c r="AY70" s="3" t="str">
        <f t="shared" si="121"/>
        <v/>
      </c>
      <c r="AZ70" s="3" t="str">
        <f t="shared" si="122"/>
        <v/>
      </c>
      <c r="BA70" s="3" t="str">
        <f t="shared" si="123"/>
        <v/>
      </c>
      <c r="BB70" s="3" t="str">
        <f t="shared" si="124"/>
        <v xml:space="preserve">Inquired of the following workforce member: 
Matthew Macaluso - Director of System Operations
Roze Nicolas - Director of TechOps
Inquiry lead to the following conclusions: 
</v>
      </c>
      <c r="BC70" s="3" t="str">
        <f t="shared" si="125"/>
        <v xml:space="preserve">Observed the following live during fieldwork: 
Observed the Cisco Meraki dashboard and Google Security Group instances, validating that the network groups are uniquely identified.
Observed the Active directory domain groups page which is leverage for all access within Entra and GCP. Users must be included within certain groups (Entra/GCP) in order to obtain access. Any sort of access changes or access granting will be tracked/managed within a service ticket to ensure authorizations and approvals are documented and tracked. Tickets will also include the service/system that the user is attempting to gain access to.
</v>
      </c>
      <c r="BD70" s="3" t="str">
        <f t="shared" si="126"/>
        <v xml:space="preserve">Examined the following evidence during fieldwork:
Reviewed evidence addressed the requirement statement.
</v>
      </c>
      <c r="BE70" s="3" t="str">
        <f t="shared" si="127"/>
        <v/>
      </c>
      <c r="BF70" s="3" t="str">
        <f t="shared" si="128"/>
        <v/>
      </c>
      <c r="BG70" s="3" t="str">
        <f>_xlfn.CONCAT((IF((COUNTIF('Sample Tables'!B:B,"")&gt;0)=TRUE,_xlfn.CONCAT("",""),IF((COUNTIF('Sample Tables'!B:B,"")&gt;0)=FALSE,""))),)</f>
        <v/>
      </c>
      <c r="BH70" s="3" t="str">
        <f t="shared" si="12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Cisco Meraki dashboard and Google Security Group instances, validating that the network groups are uniquely identified.
Observed the Active directory domain groups page which is leverage for all access within Entra and GCP. Users must be included within certain groups (Entra/GCP) in order to obtain access. Any sort of access changes or access granting will be tracked/managed within a service ticket to ensure authorizations and approvals are documented and tracked. Tickets will also include the service/system that the user is attempting to gain access to.
Examined the following evidence during fieldwork:
Reviewed evidence addressed the requirement statement.
</v>
      </c>
    </row>
    <row r="71" spans="3:60" ht="387.5" x14ac:dyDescent="0.35">
      <c r="C71" s="1">
        <f t="shared" si="120"/>
        <v>30</v>
      </c>
      <c r="D71" s="5" t="str">
        <f>IF(AND((_xlfn.XLOOKUP(J71,'Fields &amp; Revisions'!$H:$H,'Fields &amp; Revisions'!$I:$I))&lt;70.99,(OR(Z71="4. Mostly Compliant (75%)",Z71="3. Partially Compliant (50%)",Z71="2. Somewhat Compliant (25%)",Z71="1. Non Compliant (0%)"))),"Yes","No")</f>
        <v>Yes</v>
      </c>
      <c r="E71" s="5" t="str">
        <f>IF(ISERROR(VLOOKUP(H71,Scope!A:A,1,FALSE)),"No","Yes")</f>
        <v>Yes</v>
      </c>
      <c r="F71" s="1" t="s">
        <v>1732</v>
      </c>
      <c r="G71" s="53" t="s">
        <v>1910</v>
      </c>
      <c r="H71" s="53" t="s">
        <v>1911</v>
      </c>
      <c r="I71" s="5">
        <v>1</v>
      </c>
      <c r="J71" s="1" t="s">
        <v>662</v>
      </c>
      <c r="K71" s="1" t="s">
        <v>1912</v>
      </c>
      <c r="L71" s="1" t="s">
        <v>1913</v>
      </c>
      <c r="M71" s="1" t="s">
        <v>1914</v>
      </c>
      <c r="N71" s="5" t="s">
        <v>98</v>
      </c>
      <c r="O71" s="1" t="str">
        <f>_xlfn.XLOOKUP(G71,SRMs!$A:$A,SRMs!$D:$D)</f>
        <v>PARTIAL INHERITANCE</v>
      </c>
      <c r="P71" s="1" t="str">
        <f>IFERROR(VLOOKUP(H71,Inherited!A:B,2,FALSE),"")</f>
        <v/>
      </c>
      <c r="Q71" s="1" t="e">
        <f>IF(MATCH(H71,Inherited!A:A),IF((((_xlfn.XLOOKUP(Assessment!#REF!,Inherited!A:A,Inherited!B:B))/100)*(_xlfn.XLOOKUP(Assessment!#REF!,Inherited!A:A,Inherited!C:C)))+(((100-(_xlfn.XLOOKUP(Assessment!#REF!,Inherited!A:A,Inherited!B:B)))/100)*IF(X71="1.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(100%)","100"))))))&lt;=10,"0", IF(AND((((_xlfn.XLOOKUP(Assessment!#REF!,Inherited!A:A,Inherited!B:B))/100)*(_xlfn.XLOOKUP(Assessment!#REF!,Inherited!A:A,Inherited!C:C)))+(((100-(_xlfn.XLOOKUP(Assessment!#REF!,Inherited!A:A,Inherited!B:B)))/100)*IF(X71="1.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(100%)","100"))))))&gt;=11,(((_xlfn.XLOOKUP(Assessment!#REF!,Inherited!A:A,Inherited!B:B))/100)*(_xlfn.XLOOKUP(Assessment!#REF!,Inherited!A:A,Inherited!C:C)))+(((100-(_xlfn.XLOOKUP(Assessment!#REF!,Inherited!A:A,Inherited!B:B)))/100)*IF(X71="1.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(100%)","100"))))))&lt;=32),"25",IF(AND((((_xlfn.XLOOKUP(Assessment!#REF!,Inherited!A:A,Inherited!B:B))/100)*(_xlfn.XLOOKUP(Assessment!#REF!,Inherited!A:A,Inherited!C:C)))+(((100-(_xlfn.XLOOKUP(Assessment!#REF!,Inherited!A:A,Inherited!B:B)))/100)*IF(X71="1.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(100%)","100"))))))&gt;=33,(((_xlfn.XLOOKUP(Assessment!#REF!,Inherited!A:A,Inherited!B:B))/100)*(_xlfn.XLOOKUP(Assessment!#REF!,Inherited!A:A,Inherited!C:C)))+(((100-(_xlfn.XLOOKUP(Assessment!#REF!,Inherited!A:A,Inherited!B:B)))/100)*IF(X71="1.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(100%)","100"))))))&lt;=65),"50",IF(AND((((_xlfn.XLOOKUP(Assessment!#REF!,Inherited!A:A,Inherited!B:B))/100)*(_xlfn.XLOOKUP(Assessment!#REF!,Inherited!A:A,Inherited!C:C)))+(((100-(_xlfn.XLOOKUP(Assessment!#REF!,Inherited!A:A,Inherited!B:B)))/100)*IF(X71="1.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(100%)","100"))))))&gt;=66,(((_xlfn.XLOOKUP(Assessment!#REF!,Inherited!A:A,Inherited!B:B))/100)*(_xlfn.XLOOKUP(Assessment!#REF!,Inherited!A:A,Inherited!C:C)))+(((100-(_xlfn.XLOOKUP(Assessment!#REF!,Inherited!A:A,Inherited!B:B)))/100)*IF(X71="1.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(100%)","100"))))))&lt;=89),"75",IF((((_xlfn.XLOOKUP(Assessment!#REF!,Inherited!A:A,Inherited!B:B))/100)*(_xlfn.XLOOKUP(Assessment!#REF!,Inherited!A:A,Inherited!C:C)))+(((100-(_xlfn.XLOOKUP(Assessment!#REF!,Inherited!A:A,Inherited!B:B)))/100)*IF(X71="1. Non Compliant (0%)","0",IF(X71="2. Somewhat Compliant (25%)","25",IF(X71="3. Partially Compliant (50%)","50",IF(X71="4. Mostly Compliant (75%)","75",IF(X71="5. Fully Compliant (100%)","100"))))))&gt;=90,"100"))))))</f>
        <v>#N/A</v>
      </c>
      <c r="R71" s="1" t="e">
        <f>IF(MATCH(H71,Inherited!A:A),IF((((_xlfn.XLOOKUP(Assessment!#REF!,Inherited!A:A,Inherited!B:B))/100)*(_xlfn.XLOOKUP(Assessment!#REF!,Inherited!A:A,Inherited!D:D)))+(((100-(_xlfn.XLOOKUP(Assessment!#REF!,Inherited!A:A,Inherited!B:B)))/100)*IF(Y71="1.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(100%)","100"))))))&lt;=10,"0", IF(AND((((_xlfn.XLOOKUP(Assessment!#REF!,Inherited!A:A,Inherited!B:B))/100)*(_xlfn.XLOOKUP(Assessment!#REF!,Inherited!A:A,Inherited!D:D)))+(((100-(_xlfn.XLOOKUP(Assessment!#REF!,Inherited!A:A,Inherited!B:B)))/100)*IF(Y71="1.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(100%)","100"))))))&gt;=11,(((_xlfn.XLOOKUP(Assessment!#REF!,Inherited!A:A,Inherited!B:B))/100)*(_xlfn.XLOOKUP(Assessment!#REF!,Inherited!A:A,Inherited!D:D)))+(((100-(_xlfn.XLOOKUP(Assessment!#REF!,Inherited!A:A,Inherited!B:B)))/100)*IF(Y71="1.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(100%)","100"))))))&lt;=32),"25",IF(AND((((_xlfn.XLOOKUP(Assessment!#REF!,Inherited!A:A,Inherited!B:B))/100)*(_xlfn.XLOOKUP(Assessment!#REF!,Inherited!A:A,Inherited!D:D)))+(((100-(_xlfn.XLOOKUP(Assessment!#REF!,Inherited!A:A,Inherited!B:B)))/100)*IF(Y71="1.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(100%)","100"))))))&gt;=33,(((_xlfn.XLOOKUP(Assessment!#REF!,Inherited!A:A,Inherited!B:B))/100)*(_xlfn.XLOOKUP(Assessment!#REF!,Inherited!A:A,Inherited!D:D)))+(((100-(_xlfn.XLOOKUP(Assessment!#REF!,Inherited!A:A,Inherited!B:B)))/100)*IF(Y71="1.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(100%)","100"))))))&lt;=65),"50",IF(AND((((_xlfn.XLOOKUP(Assessment!#REF!,Inherited!A:A,Inherited!B:B))/100)*(_xlfn.XLOOKUP(Assessment!#REF!,Inherited!A:A,Inherited!D:D)))+(((100-(_xlfn.XLOOKUP(Assessment!#REF!,Inherited!A:A,Inherited!B:B)))/100)*IF(Y71="1.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(100%)","100"))))))&gt;=66,(((_xlfn.XLOOKUP(Assessment!#REF!,Inherited!A:A,Inherited!B:B))/100)*(_xlfn.XLOOKUP(Assessment!#REF!,Inherited!A:A,Inherited!D:D)))+(((100-(_xlfn.XLOOKUP(Assessment!#REF!,Inherited!A:A,Inherited!B:B)))/100)*IF(Y71="1.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(100%)","100"))))))&lt;=89),"75",IF((((_xlfn.XLOOKUP(Assessment!#REF!,Inherited!A:A,Inherited!B:B))/100)*(_xlfn.XLOOKUP(Assessment!#REF!,Inherited!A:A,Inherited!D:D)))+(((100-(_xlfn.XLOOKUP(Assessment!#REF!,Inherited!A:A,Inherited!B:B)))/100)*IF(Y71="1. Non Compliant (0%)","0",IF(Y71="2. Somewhat Compliant (25%)","25",IF(Y71="3. Partially Compliant (50%)","50",IF(Y71="4. Mostly Compliant (75%)","75",IF(Y71="5. Fully Compliant (100%)","100"))))))&gt;=90,"100"))))))</f>
        <v>#N/A</v>
      </c>
      <c r="S71" s="1" t="e">
        <f>IF(MATCH(H71,Inherited!A:A),IF((((_xlfn.XLOOKUP(Assessment!#REF!,Inherited!A:A,Inherited!B:B))/100)*(_xlfn.XLOOKUP(Assessment!#REF!,Inherited!A:A,Inherited!E:E)))+(((100-(_xlfn.XLOOKUP(Assessment!#REF!,Inherited!A:A,Inherited!B:B)))/100)*IF(Z71="1.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(100%)","100"))))))&lt;=10,"0", IF(AND((((_xlfn.XLOOKUP(Assessment!#REF!,Inherited!A:A,Inherited!B:B))/100)*(_xlfn.XLOOKUP(Assessment!#REF!,Inherited!A:A,Inherited!E:E)))+(((100-(_xlfn.XLOOKUP(Assessment!#REF!,Inherited!A:A,Inherited!B:B)))/100)*IF(Z71="1.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(100%)","100"))))))&gt;=11,(((_xlfn.XLOOKUP(Assessment!#REF!,Inherited!A:A,Inherited!B:B))/100)*(_xlfn.XLOOKUP(Assessment!#REF!,Inherited!A:A,Inherited!E:E)))+(((100-(_xlfn.XLOOKUP(Assessment!#REF!,Inherited!A:A,Inherited!B:B)))/100)*IF(Z71="1.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(100%)","100"))))))&lt;=32),"25",IF(AND((((_xlfn.XLOOKUP(Assessment!#REF!,Inherited!A:A,Inherited!B:B))/100)*(_xlfn.XLOOKUP(Assessment!#REF!,Inherited!A:A,Inherited!E:E)))+(((100-(_xlfn.XLOOKUP(Assessment!#REF!,Inherited!A:A,Inherited!B:B)))/100)*IF(Z71="1.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(100%)","100"))))))&gt;=33,(((_xlfn.XLOOKUP(Assessment!#REF!,Inherited!A:A,Inherited!B:B))/100)*(_xlfn.XLOOKUP(Assessment!#REF!,Inherited!A:A,Inherited!E:E)))+(((100-(_xlfn.XLOOKUP(Assessment!#REF!,Inherited!A:A,Inherited!B:B)))/100)*IF(Z71="1.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(100%)","100"))))))&lt;=65),"50",IF(AND((((_xlfn.XLOOKUP(Assessment!#REF!,Inherited!A:A,Inherited!B:B))/100)*(_xlfn.XLOOKUP(Assessment!#REF!,Inherited!A:A,Inherited!E:E)))+(((100-(_xlfn.XLOOKUP(Assessment!#REF!,Inherited!A:A,Inherited!B:B)))/100)*IF(Z71="1.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(100%)","100"))))))&gt;=66,(((_xlfn.XLOOKUP(Assessment!#REF!,Inherited!A:A,Inherited!B:B))/100)*(_xlfn.XLOOKUP(Assessment!#REF!,Inherited!A:A,Inherited!E:E)))+(((100-(_xlfn.XLOOKUP(Assessment!#REF!,Inherited!A:A,Inherited!B:B)))/100)*IF(Z71="1.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(100%)","100"))))))&lt;=89),"75",IF((((_xlfn.XLOOKUP(Assessment!#REF!,Inherited!A:A,Inherited!B:B))/100)*(_xlfn.XLOOKUP(Assessment!#REF!,Inherited!A:A,Inherited!E:E)))+(((100-(_xlfn.XLOOKUP(Assessment!#REF!,Inherited!A:A,Inherited!B:B)))/100)*IF(Z71="1. Non Compliant (0%)","0",IF(Z71="2. Somewhat Compliant (25%)","25",IF(Z71="3. Partially Compliant (50%)","50",IF(Z71="4. Mostly Compliant (75%)","75",IF(Z71="5. Fully Compliant (100%)","100"))))))&gt;=90,"100"))))))</f>
        <v>#N/A</v>
      </c>
      <c r="T71" s="1" t="e">
        <f>IF(MATCH(H71,Inherited!A:A),IF((((_xlfn.XLOOKUP(Assessment!#REF!,Inherited!A:A,Inherited!B:B))/100)*(_xlfn.XLOOKUP(Assessment!#REF!,Inherited!A:A,Inherited!F:F)))+(((100-(_xlfn.XLOOKUP(Assessment!#REF!,Inherited!A:A,Inherited!B:B)))/100)*IF(AA71="1.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(100%)","100"))))))&lt;=10,"0", IF(AND((((_xlfn.XLOOKUP(Assessment!#REF!,Inherited!A:A,Inherited!B:B))/100)*(_xlfn.XLOOKUP(Assessment!#REF!,Inherited!A:A,Inherited!F:F)))+(((100-(_xlfn.XLOOKUP(Assessment!#REF!,Inherited!A:A,Inherited!B:B)))/100)*IF(AA71="1.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(100%)","100"))))))&gt;=11,(((_xlfn.XLOOKUP(Assessment!#REF!,Inherited!A:A,Inherited!B:B))/100)*(_xlfn.XLOOKUP(Assessment!#REF!,Inherited!A:A,Inherited!F:F)))+(((100-(_xlfn.XLOOKUP(Assessment!#REF!,Inherited!A:A,Inherited!B:B)))/100)*IF(AA71="1.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(100%)","100"))))))&lt;=32),"25",IF(AND((((_xlfn.XLOOKUP(Assessment!#REF!,Inherited!A:A,Inherited!B:B))/100)*(_xlfn.XLOOKUP(Assessment!#REF!,Inherited!A:A,Inherited!F:F)))+(((100-(_xlfn.XLOOKUP(Assessment!#REF!,Inherited!A:A,Inherited!B:B)))/100)*IF(AA71="1.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(100%)","100"))))))&gt;=33,(((_xlfn.XLOOKUP(Assessment!#REF!,Inherited!A:A,Inherited!B:B))/100)*(_xlfn.XLOOKUP(Assessment!#REF!,Inherited!A:A,Inherited!F:F)))+(((100-(_xlfn.XLOOKUP(Assessment!#REF!,Inherited!A:A,Inherited!B:B)))/100)*IF(AA71="1.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(100%)","100"))))))&lt;=65),"50",IF(AND((((_xlfn.XLOOKUP(Assessment!#REF!,Inherited!A:A,Inherited!B:B))/100)*(_xlfn.XLOOKUP(Assessment!#REF!,Inherited!A:A,Inherited!F:F)))+(((100-(_xlfn.XLOOKUP(Assessment!#REF!,Inherited!A:A,Inherited!B:B)))/100)*IF(AA71="1.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(100%)","100"))))))&gt;=66,(((_xlfn.XLOOKUP(Assessment!#REF!,Inherited!A:A,Inherited!B:B))/100)*(_xlfn.XLOOKUP(Assessment!#REF!,Inherited!A:A,Inherited!F:F)))+(((100-(_xlfn.XLOOKUP(Assessment!#REF!,Inherited!A:A,Inherited!B:B)))/100)*IF(AA71="1.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(100%)","100"))))))&lt;=89),"75",IF((((_xlfn.XLOOKUP(Assessment!#REF!,Inherited!A:A,Inherited!B:B))/100)*(_xlfn.XLOOKUP(Assessment!#REF!,Inherited!A:A,Inherited!F:F)))+(((100-(_xlfn.XLOOKUP(Assessment!#REF!,Inherited!A:A,Inherited!B:B)))/100)*IF(AA71="1. Non Compliant (0%)","0",IF(AA71="2. Somewhat Compliant (25%)","25",IF(AA71="3. Partially Compliant (50%)","50",IF(AA71="4. Mostly Compliant (75%)","75",IF(AA71="5. Fully Compliant (100%)","100"))))))&gt;=90,"100"))))))</f>
        <v>#N/A</v>
      </c>
      <c r="U71" s="1" t="e">
        <f>IF(MATCH(H71,Inherited!A:A),IF((((_xlfn.XLOOKUP(Assessment!#REF!,Inherited!A:A,Inherited!B:B))/100)*(_xlfn.XLOOKUP(Assessment!#REF!,Inherited!A:A,Inherited!G:G)))+(((100-(_xlfn.XLOOKUP(Assessment!#REF!,Inherited!A:A,Inherited!B:B)))/100)*IF(AB71="1.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(100%)","100"))))))&lt;=10,"0", IF(AND((((_xlfn.XLOOKUP(Assessment!#REF!,Inherited!A:A,Inherited!B:B))/100)*(_xlfn.XLOOKUP(Assessment!#REF!,Inherited!A:A,Inherited!G:G)))+(((100-(_xlfn.XLOOKUP(Assessment!#REF!,Inherited!A:A,Inherited!B:B)))/100)*IF(AB71="1.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(100%)","100"))))))&gt;=11,(((_xlfn.XLOOKUP(Assessment!#REF!,Inherited!A:A,Inherited!B:B))/100)*(_xlfn.XLOOKUP(Assessment!#REF!,Inherited!A:A,Inherited!G:G)))+(((100-(_xlfn.XLOOKUP(Assessment!#REF!,Inherited!A:A,Inherited!B:B)))/100)*IF(AB71="1.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(100%)","100"))))))&lt;=32),"25",IF(AND((((_xlfn.XLOOKUP(Assessment!#REF!,Inherited!A:A,Inherited!B:B))/100)*(_xlfn.XLOOKUP(Assessment!#REF!,Inherited!A:A,Inherited!G:G)))+(((100-(_xlfn.XLOOKUP(Assessment!#REF!,Inherited!A:A,Inherited!B:B)))/100)*IF(AB71="1.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(100%)","100"))))))&gt;=33,(((_xlfn.XLOOKUP(Assessment!#REF!,Inherited!A:A,Inherited!B:B))/100)*(_xlfn.XLOOKUP(Assessment!#REF!,Inherited!A:A,Inherited!G:G)))+(((100-(_xlfn.XLOOKUP(Assessment!#REF!,Inherited!A:A,Inherited!B:B)))/100)*IF(AB71="1.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(100%)","100"))))))&lt;=65),"50",IF(AND((((_xlfn.XLOOKUP(Assessment!#REF!,Inherited!A:A,Inherited!B:B))/100)*(_xlfn.XLOOKUP(Assessment!#REF!,Inherited!A:A,Inherited!G:G)))+(((100-(_xlfn.XLOOKUP(Assessment!#REF!,Inherited!A:A,Inherited!B:B)))/100)*IF(AB71="1.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(100%)","100"))))))&gt;=66,(((_xlfn.XLOOKUP(Assessment!#REF!,Inherited!A:A,Inherited!B:B))/100)*(_xlfn.XLOOKUP(Assessment!#REF!,Inherited!A:A,Inherited!G:G)))+(((100-(_xlfn.XLOOKUP(Assessment!#REF!,Inherited!A:A,Inherited!B:B)))/100)*IF(AB71="1.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(100%)","100"))))))&lt;=89),"75",IF((((_xlfn.XLOOKUP(Assessment!#REF!,Inherited!A:A,Inherited!B:B))/100)*(_xlfn.XLOOKUP(Assessment!#REF!,Inherited!A:A,Inherited!G:G)))+(((100-(_xlfn.XLOOKUP(Assessment!#REF!,Inherited!A:A,Inherited!B:B)))/100)*IF(AB71="1. Non Compliant (0%)","0",IF(AB71="2. Somewhat Compliant (25%)","25",IF(AB71="3. Partially Compliant (50%)","50",IF(AB71="4. Mostly Compliant (75%)","75",IF(AB71="5. Fully Compliant (100%)","100"))))))&gt;=90,"100"))))))</f>
        <v>#N/A</v>
      </c>
      <c r="V71" s="55" t="s">
        <v>85</v>
      </c>
      <c r="W71" s="55"/>
      <c r="X71" s="55"/>
      <c r="Y71" s="55"/>
      <c r="Z71" s="55" t="s">
        <v>87</v>
      </c>
      <c r="AA71" s="55"/>
      <c r="AB71" s="55"/>
      <c r="AK71" s="1" t="s">
        <v>10891</v>
      </c>
      <c r="AL71" s="1" t="s">
        <v>10983</v>
      </c>
      <c r="AP71" s="1" t="s">
        <v>10969</v>
      </c>
      <c r="AX71" s="3" t="str">
        <f>_xlfn.CONCAT("A-LIGN finished its review of this control on ",AR71, " during the scheduled fieldwork window (",Intro!$B$4,")."&amp; CHAR(10)&amp; CHAR(10))</f>
        <v xml:space="preserve">A-LIGN finished its review of this control on  during the scheduled fieldwork window (Fieldwork: xx/xx/xxxx - xx/xx/xxxx).
</v>
      </c>
      <c r="AY71" s="3" t="str">
        <f t="shared" si="121"/>
        <v/>
      </c>
      <c r="AZ71" s="3" t="str">
        <f t="shared" si="122"/>
        <v/>
      </c>
      <c r="BA71" s="3" t="str">
        <f t="shared" si="123"/>
        <v/>
      </c>
      <c r="BB71" s="3" t="str">
        <f t="shared" si="124"/>
        <v xml:space="preserve">Inquired of the following workforce member: 
Matthew Macaluso - Director of System Operations
Roze Nicolas - Director of TechOps
Inquiry lead to the following conclusions: 
Google SecOps with Foresight as the MSP who will monitor the environment as well as mitigate any alerted threats.
Also leverage Meraki and SentinelOne to ensure protection mechanisms monitor traffic, detect attacks, and are present at the perimeter.
</v>
      </c>
      <c r="BC71" s="3" t="str">
        <f t="shared" si="125"/>
        <v/>
      </c>
      <c r="BD71" s="3" t="str">
        <f t="shared" si="126"/>
        <v xml:space="preserve">Examined the following evidence during fieldwork:
Reviewed evidence addressed the requirement statement.
Reviewed evidence exception note: 
Gap: Documentation does not outline the mechanisms in place for ensuring IDS/IPS is implemented.
Recommendation: Update the current documentation to outline the mechanisms in place for ensuring IDS/IPS is implemented.
</v>
      </c>
      <c r="BE71" s="3" t="str">
        <f t="shared" si="127"/>
        <v/>
      </c>
      <c r="BF71" s="3" t="str">
        <f t="shared" si="128"/>
        <v/>
      </c>
      <c r="BG71" s="3" t="str">
        <f>_xlfn.CONCAT((IF((COUNTIF('Sample Tables'!B:B,"")&gt;0)=TRUE,_xlfn.CONCAT("",""),IF((COUNTIF('Sample Tables'!B:B,"")&gt;0)=FALSE,""))),)</f>
        <v/>
      </c>
      <c r="BH71" s="3" t="str">
        <f t="shared" si="12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Google SecOps with Foresight as the MSP who will monitor the environment as well as mitigate any alerted threats.
Also leverage Meraki and SentinelOne to ensure protection mechanisms monitor traffic, detect attacks, and are present at the perimeter.
Examined the following evidence during fieldwork:
Reviewed evidence addressed the requirement statement.
Reviewed evidence exception note: 
Gap: Documentation does not outline the mechanisms in place for ensuring IDS/IPS is implemented.
Recommendation: Update the current documentation to outline the mechanisms in place for ensuring IDS/IPS is implemented.
</v>
      </c>
    </row>
    <row r="72" spans="3:60" ht="409.5" x14ac:dyDescent="0.35">
      <c r="C72" s="1">
        <f t="shared" ref="C72:C73" si="130">IF(V72="No","Not Applicable",(IF(X72="1. Non Compliant (0%)","0",IF(X72="2. Somewhat Compliant (25%)","25",IF(X72="3. Partially Compliant (50%)","50",IF(X72="4. Mostly Compliant (75%)","75",IF(X72="5. Fully Compliant (100%)","100")))))*0.15)+((IF(Y72="1. Non Compliant (0%)","0",IF(Y72="2. Somewhat Compliant (25%)","25",IF(Y72="3. Partially Compliant (50%)","50",IF(Y72="4. Mostly Compliant (75%)","75",IF(Y72="5. Fully Compliant (100%)","100"))))))*0.2)+(IF(Z72="1. Non Compliant (0%)","0",IF(Z72="2. Somewhat Compliant (25%)","25",IF(Z72="3. Partially Compliant (50%)","50",IF(Z72="4. Mostly Compliant (75%)","75",IF(Z72="5. Fully Compliant (100%)","100")))))*0.4)+(IF(AA72="1. Non Compliant (0%)","0",IF(AA72="2. Somewhat Compliant (25%)","25",IF(AA72="3. Partially Compliant (50%)","50",IF(AA72="4. Mostly Compliant (75%)","75",IF(AA72="5. Fully Compliant (100%)","100")))))*0.1)+(IF(AB72="1. Non Compliant (0%)","0",IF(AB72="2. Somewhat Compliant (25%)","25",IF(AB72="3. Partially Compliant (50%)","50",IF(AB72="4. Mostly Compliant (75%)","75",IF(AB72="5. Fully Compliant (100%)","100")))))*0.15))</f>
        <v>0</v>
      </c>
      <c r="D72" s="5" t="str">
        <f>IF(AND((_xlfn.XLOOKUP(J72,'Fields &amp; Revisions'!$H:$H,'Fields &amp; Revisions'!$I:$I))&lt;70.99,(OR(Z72="4. Mostly Compliant (75%)",Z72="3. Partially Compliant (50%)",Z72="2. Somewhat Compliant (25%)",Z72="1. Non Compliant (0%)"))),"Yes","No")</f>
        <v>Yes</v>
      </c>
      <c r="E72" s="5" t="str">
        <f>IF(ISERROR(VLOOKUP(H72,Scope!A:A,1,FALSE)),"No","Yes")</f>
        <v>Yes</v>
      </c>
      <c r="F72" s="1" t="s">
        <v>2048</v>
      </c>
      <c r="G72" s="53" t="s">
        <v>2070</v>
      </c>
      <c r="H72" s="53" t="s">
        <v>2071</v>
      </c>
      <c r="I72" s="5" t="s">
        <v>93</v>
      </c>
      <c r="J72" s="1" t="s">
        <v>1230</v>
      </c>
      <c r="K72" s="54" t="s">
        <v>2072</v>
      </c>
      <c r="L72" s="1" t="s">
        <v>2073</v>
      </c>
      <c r="M72" s="1" t="s">
        <v>2074</v>
      </c>
      <c r="N72" s="5" t="s">
        <v>98</v>
      </c>
      <c r="O72" s="1" t="str">
        <f>_xlfn.XLOOKUP(G72,SRMs!$A:$A,SRMs!$D:$D)</f>
        <v>NO INHERITANCE</v>
      </c>
      <c r="P72" s="1" t="str">
        <f>IFERROR(VLOOKUP(H72,Inherited!A:B,2,FALSE),"")</f>
        <v/>
      </c>
      <c r="Q72" s="1" t="e">
        <f>IF(MATCH(H72,Inherited!A:A),IF((((_xlfn.XLOOKUP(Assessment!#REF!,Inherited!A:A,Inherited!B:B))/100)*(_xlfn.XLOOKUP(Assessment!#REF!,Inherited!A:A,Inherited!C:C)))+(((100-(_xlfn.XLOOKUP(Assessment!#REF!,Inherited!A:A,Inherited!B:B)))/100)*IF(X72="1.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(100%)","100"))))))&lt;=10,"0", IF(AND((((_xlfn.XLOOKUP(Assessment!#REF!,Inherited!A:A,Inherited!B:B))/100)*(_xlfn.XLOOKUP(Assessment!#REF!,Inherited!A:A,Inherited!C:C)))+(((100-(_xlfn.XLOOKUP(Assessment!#REF!,Inherited!A:A,Inherited!B:B)))/100)*IF(X72="1.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(100%)","100"))))))&gt;=11,(((_xlfn.XLOOKUP(Assessment!#REF!,Inherited!A:A,Inherited!B:B))/100)*(_xlfn.XLOOKUP(Assessment!#REF!,Inherited!A:A,Inherited!C:C)))+(((100-(_xlfn.XLOOKUP(Assessment!#REF!,Inherited!A:A,Inherited!B:B)))/100)*IF(X72="1.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(100%)","100"))))))&lt;=32),"25",IF(AND((((_xlfn.XLOOKUP(Assessment!#REF!,Inherited!A:A,Inherited!B:B))/100)*(_xlfn.XLOOKUP(Assessment!#REF!,Inherited!A:A,Inherited!C:C)))+(((100-(_xlfn.XLOOKUP(Assessment!#REF!,Inherited!A:A,Inherited!B:B)))/100)*IF(X72="1.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(100%)","100"))))))&gt;=33,(((_xlfn.XLOOKUP(Assessment!#REF!,Inherited!A:A,Inherited!B:B))/100)*(_xlfn.XLOOKUP(Assessment!#REF!,Inherited!A:A,Inherited!C:C)))+(((100-(_xlfn.XLOOKUP(Assessment!#REF!,Inherited!A:A,Inherited!B:B)))/100)*IF(X72="1.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(100%)","100"))))))&lt;=65),"50",IF(AND((((_xlfn.XLOOKUP(Assessment!#REF!,Inherited!A:A,Inherited!B:B))/100)*(_xlfn.XLOOKUP(Assessment!#REF!,Inherited!A:A,Inherited!C:C)))+(((100-(_xlfn.XLOOKUP(Assessment!#REF!,Inherited!A:A,Inherited!B:B)))/100)*IF(X72="1.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(100%)","100"))))))&gt;=66,(((_xlfn.XLOOKUP(Assessment!#REF!,Inherited!A:A,Inherited!B:B))/100)*(_xlfn.XLOOKUP(Assessment!#REF!,Inherited!A:A,Inherited!C:C)))+(((100-(_xlfn.XLOOKUP(Assessment!#REF!,Inherited!A:A,Inherited!B:B)))/100)*IF(X72="1.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(100%)","100"))))))&lt;=89),"75",IF((((_xlfn.XLOOKUP(Assessment!#REF!,Inherited!A:A,Inherited!B:B))/100)*(_xlfn.XLOOKUP(Assessment!#REF!,Inherited!A:A,Inherited!C:C)))+(((100-(_xlfn.XLOOKUP(Assessment!#REF!,Inherited!A:A,Inherited!B:B)))/100)*IF(X72="1. Non Compliant (0%)","0",IF(X72="2. Somewhat Compliant (25%)","25",IF(X72="3. Partially Compliant (50%)","50",IF(X72="4. Mostly Compliant (75%)","75",IF(X72="5. Fully Compliant (100%)","100"))))))&gt;=90,"100"))))))</f>
        <v>#N/A</v>
      </c>
      <c r="R72" s="1" t="e">
        <f>IF(MATCH(H72,Inherited!A:A),IF((((_xlfn.XLOOKUP(Assessment!#REF!,Inherited!A:A,Inherited!B:B))/100)*(_xlfn.XLOOKUP(Assessment!#REF!,Inherited!A:A,Inherited!D:D)))+(((100-(_xlfn.XLOOKUP(Assessment!#REF!,Inherited!A:A,Inherited!B:B)))/100)*IF(Y72="1.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(100%)","100"))))))&lt;=10,"0", IF(AND((((_xlfn.XLOOKUP(Assessment!#REF!,Inherited!A:A,Inherited!B:B))/100)*(_xlfn.XLOOKUP(Assessment!#REF!,Inherited!A:A,Inherited!D:D)))+(((100-(_xlfn.XLOOKUP(Assessment!#REF!,Inherited!A:A,Inherited!B:B)))/100)*IF(Y72="1.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(100%)","100"))))))&gt;=11,(((_xlfn.XLOOKUP(Assessment!#REF!,Inherited!A:A,Inherited!B:B))/100)*(_xlfn.XLOOKUP(Assessment!#REF!,Inherited!A:A,Inherited!D:D)))+(((100-(_xlfn.XLOOKUP(Assessment!#REF!,Inherited!A:A,Inherited!B:B)))/100)*IF(Y72="1.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(100%)","100"))))))&lt;=32),"25",IF(AND((((_xlfn.XLOOKUP(Assessment!#REF!,Inherited!A:A,Inherited!B:B))/100)*(_xlfn.XLOOKUP(Assessment!#REF!,Inherited!A:A,Inherited!D:D)))+(((100-(_xlfn.XLOOKUP(Assessment!#REF!,Inherited!A:A,Inherited!B:B)))/100)*IF(Y72="1.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(100%)","100"))))))&gt;=33,(((_xlfn.XLOOKUP(Assessment!#REF!,Inherited!A:A,Inherited!B:B))/100)*(_xlfn.XLOOKUP(Assessment!#REF!,Inherited!A:A,Inherited!D:D)))+(((100-(_xlfn.XLOOKUP(Assessment!#REF!,Inherited!A:A,Inherited!B:B)))/100)*IF(Y72="1.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(100%)","100"))))))&lt;=65),"50",IF(AND((((_xlfn.XLOOKUP(Assessment!#REF!,Inherited!A:A,Inherited!B:B))/100)*(_xlfn.XLOOKUP(Assessment!#REF!,Inherited!A:A,Inherited!D:D)))+(((100-(_xlfn.XLOOKUP(Assessment!#REF!,Inherited!A:A,Inherited!B:B)))/100)*IF(Y72="1.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(100%)","100"))))))&gt;=66,(((_xlfn.XLOOKUP(Assessment!#REF!,Inherited!A:A,Inherited!B:B))/100)*(_xlfn.XLOOKUP(Assessment!#REF!,Inherited!A:A,Inherited!D:D)))+(((100-(_xlfn.XLOOKUP(Assessment!#REF!,Inherited!A:A,Inherited!B:B)))/100)*IF(Y72="1.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(100%)","100"))))))&lt;=89),"75",IF((((_xlfn.XLOOKUP(Assessment!#REF!,Inherited!A:A,Inherited!B:B))/100)*(_xlfn.XLOOKUP(Assessment!#REF!,Inherited!A:A,Inherited!D:D)))+(((100-(_xlfn.XLOOKUP(Assessment!#REF!,Inherited!A:A,Inherited!B:B)))/100)*IF(Y72="1. Non Compliant (0%)","0",IF(Y72="2. Somewhat Compliant (25%)","25",IF(Y72="3. Partially Compliant (50%)","50",IF(Y72="4. Mostly Compliant (75%)","75",IF(Y72="5. Fully Compliant (100%)","100"))))))&gt;=90,"100"))))))</f>
        <v>#N/A</v>
      </c>
      <c r="S72" s="1" t="e">
        <f>IF(MATCH(H72,Inherited!A:A),IF((((_xlfn.XLOOKUP(Assessment!#REF!,Inherited!A:A,Inherited!B:B))/100)*(_xlfn.XLOOKUP(Assessment!#REF!,Inherited!A:A,Inherited!E:E)))+(((100-(_xlfn.XLOOKUP(Assessment!#REF!,Inherited!A:A,Inherited!B:B)))/100)*IF(Z72="1.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(100%)","100"))))))&lt;=10,"0", IF(AND((((_xlfn.XLOOKUP(Assessment!#REF!,Inherited!A:A,Inherited!B:B))/100)*(_xlfn.XLOOKUP(Assessment!#REF!,Inherited!A:A,Inherited!E:E)))+(((100-(_xlfn.XLOOKUP(Assessment!#REF!,Inherited!A:A,Inherited!B:B)))/100)*IF(Z72="1.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(100%)","100"))))))&gt;=11,(((_xlfn.XLOOKUP(Assessment!#REF!,Inherited!A:A,Inherited!B:B))/100)*(_xlfn.XLOOKUP(Assessment!#REF!,Inherited!A:A,Inherited!E:E)))+(((100-(_xlfn.XLOOKUP(Assessment!#REF!,Inherited!A:A,Inherited!B:B)))/100)*IF(Z72="1.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(100%)","100"))))))&lt;=32),"25",IF(AND((((_xlfn.XLOOKUP(Assessment!#REF!,Inherited!A:A,Inherited!B:B))/100)*(_xlfn.XLOOKUP(Assessment!#REF!,Inherited!A:A,Inherited!E:E)))+(((100-(_xlfn.XLOOKUP(Assessment!#REF!,Inherited!A:A,Inherited!B:B)))/100)*IF(Z72="1.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(100%)","100"))))))&gt;=33,(((_xlfn.XLOOKUP(Assessment!#REF!,Inherited!A:A,Inherited!B:B))/100)*(_xlfn.XLOOKUP(Assessment!#REF!,Inherited!A:A,Inherited!E:E)))+(((100-(_xlfn.XLOOKUP(Assessment!#REF!,Inherited!A:A,Inherited!B:B)))/100)*IF(Z72="1.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(100%)","100"))))))&lt;=65),"50",IF(AND((((_xlfn.XLOOKUP(Assessment!#REF!,Inherited!A:A,Inherited!B:B))/100)*(_xlfn.XLOOKUP(Assessment!#REF!,Inherited!A:A,Inherited!E:E)))+(((100-(_xlfn.XLOOKUP(Assessment!#REF!,Inherited!A:A,Inherited!B:B)))/100)*IF(Z72="1.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(100%)","100"))))))&gt;=66,(((_xlfn.XLOOKUP(Assessment!#REF!,Inherited!A:A,Inherited!B:B))/100)*(_xlfn.XLOOKUP(Assessment!#REF!,Inherited!A:A,Inherited!E:E)))+(((100-(_xlfn.XLOOKUP(Assessment!#REF!,Inherited!A:A,Inherited!B:B)))/100)*IF(Z72="1.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(100%)","100"))))))&lt;=89),"75",IF((((_xlfn.XLOOKUP(Assessment!#REF!,Inherited!A:A,Inherited!B:B))/100)*(_xlfn.XLOOKUP(Assessment!#REF!,Inherited!A:A,Inherited!E:E)))+(((100-(_xlfn.XLOOKUP(Assessment!#REF!,Inherited!A:A,Inherited!B:B)))/100)*IF(Z72="1. Non Compliant (0%)","0",IF(Z72="2. Somewhat Compliant (25%)","25",IF(Z72="3. Partially Compliant (50%)","50",IF(Z72="4. Mostly Compliant (75%)","75",IF(Z72="5. Fully Compliant (100%)","100"))))))&gt;=90,"100"))))))</f>
        <v>#N/A</v>
      </c>
      <c r="T72" s="1" t="e">
        <f>IF(MATCH(H72,Inherited!A:A),IF((((_xlfn.XLOOKUP(Assessment!#REF!,Inherited!A:A,Inherited!B:B))/100)*(_xlfn.XLOOKUP(Assessment!#REF!,Inherited!A:A,Inherited!F:F)))+(((100-(_xlfn.XLOOKUP(Assessment!#REF!,Inherited!A:A,Inherited!B:B)))/100)*IF(AA72="1.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(100%)","100"))))))&lt;=10,"0", IF(AND((((_xlfn.XLOOKUP(Assessment!#REF!,Inherited!A:A,Inherited!B:B))/100)*(_xlfn.XLOOKUP(Assessment!#REF!,Inherited!A:A,Inherited!F:F)))+(((100-(_xlfn.XLOOKUP(Assessment!#REF!,Inherited!A:A,Inherited!B:B)))/100)*IF(AA72="1.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(100%)","100"))))))&gt;=11,(((_xlfn.XLOOKUP(Assessment!#REF!,Inherited!A:A,Inherited!B:B))/100)*(_xlfn.XLOOKUP(Assessment!#REF!,Inherited!A:A,Inherited!F:F)))+(((100-(_xlfn.XLOOKUP(Assessment!#REF!,Inherited!A:A,Inherited!B:B)))/100)*IF(AA72="1.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(100%)","100"))))))&lt;=32),"25",IF(AND((((_xlfn.XLOOKUP(Assessment!#REF!,Inherited!A:A,Inherited!B:B))/100)*(_xlfn.XLOOKUP(Assessment!#REF!,Inherited!A:A,Inherited!F:F)))+(((100-(_xlfn.XLOOKUP(Assessment!#REF!,Inherited!A:A,Inherited!B:B)))/100)*IF(AA72="1.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(100%)","100"))))))&gt;=33,(((_xlfn.XLOOKUP(Assessment!#REF!,Inherited!A:A,Inherited!B:B))/100)*(_xlfn.XLOOKUP(Assessment!#REF!,Inherited!A:A,Inherited!F:F)))+(((100-(_xlfn.XLOOKUP(Assessment!#REF!,Inherited!A:A,Inherited!B:B)))/100)*IF(AA72="1.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(100%)","100"))))))&lt;=65),"50",IF(AND((((_xlfn.XLOOKUP(Assessment!#REF!,Inherited!A:A,Inherited!B:B))/100)*(_xlfn.XLOOKUP(Assessment!#REF!,Inherited!A:A,Inherited!F:F)))+(((100-(_xlfn.XLOOKUP(Assessment!#REF!,Inherited!A:A,Inherited!B:B)))/100)*IF(AA72="1.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(100%)","100"))))))&gt;=66,(((_xlfn.XLOOKUP(Assessment!#REF!,Inherited!A:A,Inherited!B:B))/100)*(_xlfn.XLOOKUP(Assessment!#REF!,Inherited!A:A,Inherited!F:F)))+(((100-(_xlfn.XLOOKUP(Assessment!#REF!,Inherited!A:A,Inherited!B:B)))/100)*IF(AA72="1.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(100%)","100"))))))&lt;=89),"75",IF((((_xlfn.XLOOKUP(Assessment!#REF!,Inherited!A:A,Inherited!B:B))/100)*(_xlfn.XLOOKUP(Assessment!#REF!,Inherited!A:A,Inherited!F:F)))+(((100-(_xlfn.XLOOKUP(Assessment!#REF!,Inherited!A:A,Inherited!B:B)))/100)*IF(AA72="1. Non Compliant (0%)","0",IF(AA72="2. Somewhat Compliant (25%)","25",IF(AA72="3. Partially Compliant (50%)","50",IF(AA72="4. Mostly Compliant (75%)","75",IF(AA72="5. Fully Compliant (100%)","100"))))))&gt;=90,"100"))))))</f>
        <v>#N/A</v>
      </c>
      <c r="U72" s="1" t="e">
        <f>IF(MATCH(H72,Inherited!A:A),IF((((_xlfn.XLOOKUP(Assessment!#REF!,Inherited!A:A,Inherited!B:B))/100)*(_xlfn.XLOOKUP(Assessment!#REF!,Inherited!A:A,Inherited!G:G)))+(((100-(_xlfn.XLOOKUP(Assessment!#REF!,Inherited!A:A,Inherited!B:B)))/100)*IF(AB72="1.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(100%)","100"))))))&lt;=10,"0", IF(AND((((_xlfn.XLOOKUP(Assessment!#REF!,Inherited!A:A,Inherited!B:B))/100)*(_xlfn.XLOOKUP(Assessment!#REF!,Inherited!A:A,Inherited!G:G)))+(((100-(_xlfn.XLOOKUP(Assessment!#REF!,Inherited!A:A,Inherited!B:B)))/100)*IF(AB72="1.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(100%)","100"))))))&gt;=11,(((_xlfn.XLOOKUP(Assessment!#REF!,Inherited!A:A,Inherited!B:B))/100)*(_xlfn.XLOOKUP(Assessment!#REF!,Inherited!A:A,Inherited!G:G)))+(((100-(_xlfn.XLOOKUP(Assessment!#REF!,Inherited!A:A,Inherited!B:B)))/100)*IF(AB72="1.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(100%)","100"))))))&lt;=32),"25",IF(AND((((_xlfn.XLOOKUP(Assessment!#REF!,Inherited!A:A,Inherited!B:B))/100)*(_xlfn.XLOOKUP(Assessment!#REF!,Inherited!A:A,Inherited!G:G)))+(((100-(_xlfn.XLOOKUP(Assessment!#REF!,Inherited!A:A,Inherited!B:B)))/100)*IF(AB72="1.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(100%)","100"))))))&gt;=33,(((_xlfn.XLOOKUP(Assessment!#REF!,Inherited!A:A,Inherited!B:B))/100)*(_xlfn.XLOOKUP(Assessment!#REF!,Inherited!A:A,Inherited!G:G)))+(((100-(_xlfn.XLOOKUP(Assessment!#REF!,Inherited!A:A,Inherited!B:B)))/100)*IF(AB72="1.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(100%)","100"))))))&lt;=65),"50",IF(AND((((_xlfn.XLOOKUP(Assessment!#REF!,Inherited!A:A,Inherited!B:B))/100)*(_xlfn.XLOOKUP(Assessment!#REF!,Inherited!A:A,Inherited!G:G)))+(((100-(_xlfn.XLOOKUP(Assessment!#REF!,Inherited!A:A,Inherited!B:B)))/100)*IF(AB72="1.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(100%)","100"))))))&gt;=66,(((_xlfn.XLOOKUP(Assessment!#REF!,Inherited!A:A,Inherited!B:B))/100)*(_xlfn.XLOOKUP(Assessment!#REF!,Inherited!A:A,Inherited!G:G)))+(((100-(_xlfn.XLOOKUP(Assessment!#REF!,Inherited!A:A,Inherited!B:B)))/100)*IF(AB72="1.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(100%)","100"))))))&lt;=89),"75",IF((((_xlfn.XLOOKUP(Assessment!#REF!,Inherited!A:A,Inherited!B:B))/100)*(_xlfn.XLOOKUP(Assessment!#REF!,Inherited!A:A,Inherited!G:G)))+(((100-(_xlfn.XLOOKUP(Assessment!#REF!,Inherited!A:A,Inherited!B:B)))/100)*IF(AB72="1. Non Compliant (0%)","0",IF(AB72="2. Somewhat Compliant (25%)","25",IF(AB72="3. Partially Compliant (50%)","50",IF(AB72="4. Mostly Compliant (75%)","75",IF(AB72="5. Fully Compliant (100%)","100"))))))&gt;=90,"100"))))))</f>
        <v>#N/A</v>
      </c>
      <c r="V72" s="55" t="s">
        <v>85</v>
      </c>
      <c r="W72" s="55"/>
      <c r="X72" s="55"/>
      <c r="Y72" s="55"/>
      <c r="Z72" s="55" t="s">
        <v>10873</v>
      </c>
      <c r="AA72" s="55"/>
      <c r="AB72" s="55"/>
      <c r="AK72" s="1" t="s">
        <v>10978</v>
      </c>
      <c r="AL72" s="1" t="s">
        <v>10988</v>
      </c>
      <c r="AP72" s="1" t="s">
        <v>11077</v>
      </c>
      <c r="AX72" s="3" t="str">
        <f>_xlfn.CONCAT("A-LIGN finished its review of this control on ",AR72, " during the scheduled fieldwork window (",Intro!$B$4,")."&amp; CHAR(10)&amp; CHAR(10))</f>
        <v xml:space="preserve">A-LIGN finished its review of this control on  during the scheduled fieldwork window (Fieldwork: xx/xx/xxxx - xx/xx/xxxx).
</v>
      </c>
      <c r="AY72" s="3" t="str">
        <f t="shared" ref="AY72:AY73" si="131">IF(AQ72&lt;&gt;"",(_xlfn.CONCAT("Inheritance note: "&amp; CHAR(10),AQ72&amp; CHAR(10)&amp; CHAR(10))),"")</f>
        <v/>
      </c>
      <c r="AZ72" s="3" t="str">
        <f t="shared" ref="AZ72:AZ73" si="132">IFERROR(IF(AD72&lt;&gt;"",_xlfn.CONCAT("Examined the following policy during fieldwork:"&amp; CHAR(10),AD72&amp; CHAR(10)&amp; CHAR(10),IF(AND(X72&lt;&gt;"5. Fully Compliant (100%)",AE72&lt;&gt;""),"Reviewed policy exception note:"&amp; CHAR(10) &amp; AE72 &amp; CHAR(10) &amp; CHAR(10),"")),""),"")</f>
        <v/>
      </c>
      <c r="BA72" s="3" t="str">
        <f t="shared" ref="BA72:BA73" si="133">IFERROR(IF(AH72&lt;&gt;"",_xlfn.CONCAT("Examined the following process during fieldwork:"&amp; CHAR(10),AH72&amp; CHAR(10)&amp; CHAR(10),IF(AND(Y72&lt;&gt;"5. Fully Compliant (100%)",AI72&lt;&gt;""),"Reviewed process exception note:"&amp; CHAR(10) &amp; AI72 &amp; CHAR(10) &amp; CHAR(10),"")),""),"")</f>
        <v/>
      </c>
      <c r="BB72" s="3" t="str">
        <f t="shared" ref="BB72:BB73" si="134">IF(AK72&lt;&gt;"",(_xlfn.CONCAT("Inquired of the following workforce member: "&amp; CHAR(10),AK72&amp; CHAR(10)&amp; CHAR(10),"Inquiry lead to the following conclusions: "&amp; CHAR(10),AL72&amp; CHAR(10) &amp; CHAR(10))),"")</f>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72" s="3" t="str">
        <f t="shared" ref="BC72:BC73" si="135">IF(AM72&lt;&gt;"",(_xlfn.CONCAT("Observed the following live during fieldwork: "&amp; CHAR(10),AM72&amp; CHAR(10) &amp; CHAR(10))),"")</f>
        <v/>
      </c>
      <c r="BD72" s="3" t="str">
        <f t="shared" ref="BD72:BD73" si="136">_xlfn.CONCAT("Examined the following evidence during fieldwork:"&amp; CHAR(10),AN72&amp; CHAR(10)&amp; CHAR(10),IF(AO72&lt;&gt;"","Reviewed evidence note:"&amp; CHAR(10)&amp;AO72&amp; CHAR(10) &amp; CHAR(10),"Reviewed evidence addressed the requirement statement."&amp; CHAR(10) &amp; CHAR(10)),IF(AND(AP72&lt;&gt;"5. Fully Compliant (100%)",AP72&lt;&gt;""),"Reviewed evidence exception note: "&amp; CHAR(10) &amp; AP72 &amp; CHAR(10) &amp; CHAR(10),""))</f>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encryption implemented between artificial intelligence model and output interface
</v>
      </c>
      <c r="BE72" s="3" t="str">
        <f t="shared" ref="BE72:BE73" si="137">IF(AT72&lt;&gt;"",(_xlfn.CONCAT("Examined the following measure/metric during fieldwork:"&amp; CHAR(10),AT72&amp; CHAR(10)&amp; CHAR(10),"Reviewed measure/metric note:"&amp; CHAR(10),AU72 &amp; CHAR(10) &amp; CHAR(10))),"")</f>
        <v/>
      </c>
      <c r="BF72" s="3" t="str">
        <f t="shared" ref="BF72:BF73" si="138">IF(AV72&lt;&gt;"",(_xlfn.CONCAT("Examined the following measure/metric management during fieldwork:"&amp; CHAR(10),AV72&amp; CHAR(10)&amp; CHAR(10),"Reviewed measure/metric management note:"&amp; CHAR(10),AW72 &amp; CHAR(10) &amp; CHAR(10))),"")</f>
        <v/>
      </c>
      <c r="BG72" s="3" t="str">
        <f>_xlfn.CONCAT((IF((COUNTIF('Sample Tables'!B:B,"")&gt;0)=TRUE,_xlfn.CONCAT("",""),IF((COUNTIF('Sample Tables'!B:B,"")&gt;0)=FALSE,""))),)</f>
        <v/>
      </c>
      <c r="BH72" s="3" t="str">
        <f t="shared" ref="BH72:BH73" si="139">IF(V72="No","Not Applicable: "&amp;W72,(_xlfn.CONCAT(AX72,AY72,AZ72,BA72,BB72,BC72,BD72,BE72,BF72,BG72)))</f>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encryption implemented between artificial intelligence model and output interface
</v>
      </c>
    </row>
    <row r="73" spans="3:60" ht="275" x14ac:dyDescent="0.35">
      <c r="C73" s="1">
        <f t="shared" si="130"/>
        <v>40</v>
      </c>
      <c r="D73" s="5" t="str">
        <f>IF(AND((_xlfn.XLOOKUP(J73,'Fields &amp; Revisions'!$H:$H,'Fields &amp; Revisions'!$I:$I))&lt;70.99,(OR(Z73="4. Mostly Compliant (75%)",Z73="3. Partially Compliant (50%)",Z73="2. Somewhat Compliant (25%)",Z73="1. Non Compliant (0%)"))),"Yes","No")</f>
        <v>No</v>
      </c>
      <c r="E73" s="5" t="str">
        <f>IF(ISERROR(VLOOKUP(H73,Scope!A:A,1,FALSE)),"No","Yes")</f>
        <v>Yes</v>
      </c>
      <c r="F73" s="1" t="s">
        <v>2048</v>
      </c>
      <c r="G73" s="53" t="s">
        <v>2081</v>
      </c>
      <c r="H73" s="53" t="s">
        <v>2082</v>
      </c>
      <c r="I73" s="5">
        <v>1</v>
      </c>
      <c r="J73" s="1" t="s">
        <v>2083</v>
      </c>
      <c r="K73" s="1" t="s">
        <v>2084</v>
      </c>
      <c r="L73" s="1" t="s">
        <v>2085</v>
      </c>
      <c r="M73" s="1" t="s">
        <v>2086</v>
      </c>
      <c r="N73" s="5" t="s">
        <v>98</v>
      </c>
      <c r="O73" s="1" t="str">
        <f>_xlfn.XLOOKUP(G73,SRMs!$A:$A,SRMs!$D:$D)</f>
        <v>NO INHERITANCE</v>
      </c>
      <c r="P73" s="1" t="str">
        <f>IFERROR(VLOOKUP(H73,Inherited!A:B,2,FALSE),"")</f>
        <v/>
      </c>
      <c r="Q73" s="1" t="e">
        <f>IF(MATCH(H73,Inherited!A:A),IF((((_xlfn.XLOOKUP(Assessment!#REF!,Inherited!A:A,Inherited!B:B))/100)*(_xlfn.XLOOKUP(Assessment!#REF!,Inherited!A:A,Inherited!C:C)))+(((100-(_xlfn.XLOOKUP(Assessment!#REF!,Inherited!A:A,Inherited!B:B)))/100)*IF(X73="1.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(100%)","100"))))))&lt;=10,"0", IF(AND((((_xlfn.XLOOKUP(Assessment!#REF!,Inherited!A:A,Inherited!B:B))/100)*(_xlfn.XLOOKUP(Assessment!#REF!,Inherited!A:A,Inherited!C:C)))+(((100-(_xlfn.XLOOKUP(Assessment!#REF!,Inherited!A:A,Inherited!B:B)))/100)*IF(X73="1.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(100%)","100"))))))&gt;=11,(((_xlfn.XLOOKUP(Assessment!#REF!,Inherited!A:A,Inherited!B:B))/100)*(_xlfn.XLOOKUP(Assessment!#REF!,Inherited!A:A,Inherited!C:C)))+(((100-(_xlfn.XLOOKUP(Assessment!#REF!,Inherited!A:A,Inherited!B:B)))/100)*IF(X73="1.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(100%)","100"))))))&lt;=32),"25",IF(AND((((_xlfn.XLOOKUP(Assessment!#REF!,Inherited!A:A,Inherited!B:B))/100)*(_xlfn.XLOOKUP(Assessment!#REF!,Inherited!A:A,Inherited!C:C)))+(((100-(_xlfn.XLOOKUP(Assessment!#REF!,Inherited!A:A,Inherited!B:B)))/100)*IF(X73="1.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(100%)","100"))))))&gt;=33,(((_xlfn.XLOOKUP(Assessment!#REF!,Inherited!A:A,Inherited!B:B))/100)*(_xlfn.XLOOKUP(Assessment!#REF!,Inherited!A:A,Inherited!C:C)))+(((100-(_xlfn.XLOOKUP(Assessment!#REF!,Inherited!A:A,Inherited!B:B)))/100)*IF(X73="1.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(100%)","100"))))))&lt;=65),"50",IF(AND((((_xlfn.XLOOKUP(Assessment!#REF!,Inherited!A:A,Inherited!B:B))/100)*(_xlfn.XLOOKUP(Assessment!#REF!,Inherited!A:A,Inherited!C:C)))+(((100-(_xlfn.XLOOKUP(Assessment!#REF!,Inherited!A:A,Inherited!B:B)))/100)*IF(X73="1.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(100%)","100"))))))&gt;=66,(((_xlfn.XLOOKUP(Assessment!#REF!,Inherited!A:A,Inherited!B:B))/100)*(_xlfn.XLOOKUP(Assessment!#REF!,Inherited!A:A,Inherited!C:C)))+(((100-(_xlfn.XLOOKUP(Assessment!#REF!,Inherited!A:A,Inherited!B:B)))/100)*IF(X73="1.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(100%)","100"))))))&lt;=89),"75",IF((((_xlfn.XLOOKUP(Assessment!#REF!,Inherited!A:A,Inherited!B:B))/100)*(_xlfn.XLOOKUP(Assessment!#REF!,Inherited!A:A,Inherited!C:C)))+(((100-(_xlfn.XLOOKUP(Assessment!#REF!,Inherited!A:A,Inherited!B:B)))/100)*IF(X73="1. Non Compliant (0%)","0",IF(X73="2. Somewhat Compliant (25%)","25",IF(X73="3. Partially Compliant (50%)","50",IF(X73="4. Mostly Compliant (75%)","75",IF(X73="5. Fully Compliant (100%)","100"))))))&gt;=90,"100"))))))</f>
        <v>#N/A</v>
      </c>
      <c r="R73" s="1" t="e">
        <f>IF(MATCH(H73,Inherited!A:A),IF((((_xlfn.XLOOKUP(Assessment!#REF!,Inherited!A:A,Inherited!B:B))/100)*(_xlfn.XLOOKUP(Assessment!#REF!,Inherited!A:A,Inherited!D:D)))+(((100-(_xlfn.XLOOKUP(Assessment!#REF!,Inherited!A:A,Inherited!B:B)))/100)*IF(Y73="1.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(100%)","100"))))))&lt;=10,"0", IF(AND((((_xlfn.XLOOKUP(Assessment!#REF!,Inherited!A:A,Inherited!B:B))/100)*(_xlfn.XLOOKUP(Assessment!#REF!,Inherited!A:A,Inherited!D:D)))+(((100-(_xlfn.XLOOKUP(Assessment!#REF!,Inherited!A:A,Inherited!B:B)))/100)*IF(Y73="1.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(100%)","100"))))))&gt;=11,(((_xlfn.XLOOKUP(Assessment!#REF!,Inherited!A:A,Inherited!B:B))/100)*(_xlfn.XLOOKUP(Assessment!#REF!,Inherited!A:A,Inherited!D:D)))+(((100-(_xlfn.XLOOKUP(Assessment!#REF!,Inherited!A:A,Inherited!B:B)))/100)*IF(Y73="1.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(100%)","100"))))))&lt;=32),"25",IF(AND((((_xlfn.XLOOKUP(Assessment!#REF!,Inherited!A:A,Inherited!B:B))/100)*(_xlfn.XLOOKUP(Assessment!#REF!,Inherited!A:A,Inherited!D:D)))+(((100-(_xlfn.XLOOKUP(Assessment!#REF!,Inherited!A:A,Inherited!B:B)))/100)*IF(Y73="1.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(100%)","100"))))))&gt;=33,(((_xlfn.XLOOKUP(Assessment!#REF!,Inherited!A:A,Inherited!B:B))/100)*(_xlfn.XLOOKUP(Assessment!#REF!,Inherited!A:A,Inherited!D:D)))+(((100-(_xlfn.XLOOKUP(Assessment!#REF!,Inherited!A:A,Inherited!B:B)))/100)*IF(Y73="1.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(100%)","100"))))))&lt;=65),"50",IF(AND((((_xlfn.XLOOKUP(Assessment!#REF!,Inherited!A:A,Inherited!B:B))/100)*(_xlfn.XLOOKUP(Assessment!#REF!,Inherited!A:A,Inherited!D:D)))+(((100-(_xlfn.XLOOKUP(Assessment!#REF!,Inherited!A:A,Inherited!B:B)))/100)*IF(Y73="1.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(100%)","100"))))))&gt;=66,(((_xlfn.XLOOKUP(Assessment!#REF!,Inherited!A:A,Inherited!B:B))/100)*(_xlfn.XLOOKUP(Assessment!#REF!,Inherited!A:A,Inherited!D:D)))+(((100-(_xlfn.XLOOKUP(Assessment!#REF!,Inherited!A:A,Inherited!B:B)))/100)*IF(Y73="1.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(100%)","100"))))))&lt;=89),"75",IF((((_xlfn.XLOOKUP(Assessment!#REF!,Inherited!A:A,Inherited!B:B))/100)*(_xlfn.XLOOKUP(Assessment!#REF!,Inherited!A:A,Inherited!D:D)))+(((100-(_xlfn.XLOOKUP(Assessment!#REF!,Inherited!A:A,Inherited!B:B)))/100)*IF(Y73="1. Non Compliant (0%)","0",IF(Y73="2. Somewhat Compliant (25%)","25",IF(Y73="3. Partially Compliant (50%)","50",IF(Y73="4. Mostly Compliant (75%)","75",IF(Y73="5. Fully Compliant (100%)","100"))))))&gt;=90,"100"))))))</f>
        <v>#N/A</v>
      </c>
      <c r="S73" s="1" t="e">
        <f>IF(MATCH(H73,Inherited!A:A),IF((((_xlfn.XLOOKUP(Assessment!#REF!,Inherited!A:A,Inherited!B:B))/100)*(_xlfn.XLOOKUP(Assessment!#REF!,Inherited!A:A,Inherited!E:E)))+(((100-(_xlfn.XLOOKUP(Assessment!#REF!,Inherited!A:A,Inherited!B:B)))/100)*IF(Z73="1.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(100%)","100"))))))&lt;=10,"0", IF(AND((((_xlfn.XLOOKUP(Assessment!#REF!,Inherited!A:A,Inherited!B:B))/100)*(_xlfn.XLOOKUP(Assessment!#REF!,Inherited!A:A,Inherited!E:E)))+(((100-(_xlfn.XLOOKUP(Assessment!#REF!,Inherited!A:A,Inherited!B:B)))/100)*IF(Z73="1.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(100%)","100"))))))&gt;=11,(((_xlfn.XLOOKUP(Assessment!#REF!,Inherited!A:A,Inherited!B:B))/100)*(_xlfn.XLOOKUP(Assessment!#REF!,Inherited!A:A,Inherited!E:E)))+(((100-(_xlfn.XLOOKUP(Assessment!#REF!,Inherited!A:A,Inherited!B:B)))/100)*IF(Z73="1.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(100%)","100"))))))&lt;=32),"25",IF(AND((((_xlfn.XLOOKUP(Assessment!#REF!,Inherited!A:A,Inherited!B:B))/100)*(_xlfn.XLOOKUP(Assessment!#REF!,Inherited!A:A,Inherited!E:E)))+(((100-(_xlfn.XLOOKUP(Assessment!#REF!,Inherited!A:A,Inherited!B:B)))/100)*IF(Z73="1.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(100%)","100"))))))&gt;=33,(((_xlfn.XLOOKUP(Assessment!#REF!,Inherited!A:A,Inherited!B:B))/100)*(_xlfn.XLOOKUP(Assessment!#REF!,Inherited!A:A,Inherited!E:E)))+(((100-(_xlfn.XLOOKUP(Assessment!#REF!,Inherited!A:A,Inherited!B:B)))/100)*IF(Z73="1.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(100%)","100"))))))&lt;=65),"50",IF(AND((((_xlfn.XLOOKUP(Assessment!#REF!,Inherited!A:A,Inherited!B:B))/100)*(_xlfn.XLOOKUP(Assessment!#REF!,Inherited!A:A,Inherited!E:E)))+(((100-(_xlfn.XLOOKUP(Assessment!#REF!,Inherited!A:A,Inherited!B:B)))/100)*IF(Z73="1.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(100%)","100"))))))&gt;=66,(((_xlfn.XLOOKUP(Assessment!#REF!,Inherited!A:A,Inherited!B:B))/100)*(_xlfn.XLOOKUP(Assessment!#REF!,Inherited!A:A,Inherited!E:E)))+(((100-(_xlfn.XLOOKUP(Assessment!#REF!,Inherited!A:A,Inherited!B:B)))/100)*IF(Z73="1.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(100%)","100"))))))&lt;=89),"75",IF((((_xlfn.XLOOKUP(Assessment!#REF!,Inherited!A:A,Inherited!B:B))/100)*(_xlfn.XLOOKUP(Assessment!#REF!,Inherited!A:A,Inherited!E:E)))+(((100-(_xlfn.XLOOKUP(Assessment!#REF!,Inherited!A:A,Inherited!B:B)))/100)*IF(Z73="1. Non Compliant (0%)","0",IF(Z73="2. Somewhat Compliant (25%)","25",IF(Z73="3. Partially Compliant (50%)","50",IF(Z73="4. Mostly Compliant (75%)","75",IF(Z73="5. Fully Compliant (100%)","100"))))))&gt;=90,"100"))))))</f>
        <v>#N/A</v>
      </c>
      <c r="T73" s="1" t="e">
        <f>IF(MATCH(H73,Inherited!A:A),IF((((_xlfn.XLOOKUP(Assessment!#REF!,Inherited!A:A,Inherited!B:B))/100)*(_xlfn.XLOOKUP(Assessment!#REF!,Inherited!A:A,Inherited!F:F)))+(((100-(_xlfn.XLOOKUP(Assessment!#REF!,Inherited!A:A,Inherited!B:B)))/100)*IF(AA73="1.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(100%)","100"))))))&lt;=10,"0", IF(AND((((_xlfn.XLOOKUP(Assessment!#REF!,Inherited!A:A,Inherited!B:B))/100)*(_xlfn.XLOOKUP(Assessment!#REF!,Inherited!A:A,Inherited!F:F)))+(((100-(_xlfn.XLOOKUP(Assessment!#REF!,Inherited!A:A,Inherited!B:B)))/100)*IF(AA73="1.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(100%)","100"))))))&gt;=11,(((_xlfn.XLOOKUP(Assessment!#REF!,Inherited!A:A,Inherited!B:B))/100)*(_xlfn.XLOOKUP(Assessment!#REF!,Inherited!A:A,Inherited!F:F)))+(((100-(_xlfn.XLOOKUP(Assessment!#REF!,Inherited!A:A,Inherited!B:B)))/100)*IF(AA73="1.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(100%)","100"))))))&lt;=32),"25",IF(AND((((_xlfn.XLOOKUP(Assessment!#REF!,Inherited!A:A,Inherited!B:B))/100)*(_xlfn.XLOOKUP(Assessment!#REF!,Inherited!A:A,Inherited!F:F)))+(((100-(_xlfn.XLOOKUP(Assessment!#REF!,Inherited!A:A,Inherited!B:B)))/100)*IF(AA73="1.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(100%)","100"))))))&gt;=33,(((_xlfn.XLOOKUP(Assessment!#REF!,Inherited!A:A,Inherited!B:B))/100)*(_xlfn.XLOOKUP(Assessment!#REF!,Inherited!A:A,Inherited!F:F)))+(((100-(_xlfn.XLOOKUP(Assessment!#REF!,Inherited!A:A,Inherited!B:B)))/100)*IF(AA73="1.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(100%)","100"))))))&lt;=65),"50",IF(AND((((_xlfn.XLOOKUP(Assessment!#REF!,Inherited!A:A,Inherited!B:B))/100)*(_xlfn.XLOOKUP(Assessment!#REF!,Inherited!A:A,Inherited!F:F)))+(((100-(_xlfn.XLOOKUP(Assessment!#REF!,Inherited!A:A,Inherited!B:B)))/100)*IF(AA73="1.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(100%)","100"))))))&gt;=66,(((_xlfn.XLOOKUP(Assessment!#REF!,Inherited!A:A,Inherited!B:B))/100)*(_xlfn.XLOOKUP(Assessment!#REF!,Inherited!A:A,Inherited!F:F)))+(((100-(_xlfn.XLOOKUP(Assessment!#REF!,Inherited!A:A,Inherited!B:B)))/100)*IF(AA73="1.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(100%)","100"))))))&lt;=89),"75",IF((((_xlfn.XLOOKUP(Assessment!#REF!,Inherited!A:A,Inherited!B:B))/100)*(_xlfn.XLOOKUP(Assessment!#REF!,Inherited!A:A,Inherited!F:F)))+(((100-(_xlfn.XLOOKUP(Assessment!#REF!,Inherited!A:A,Inherited!B:B)))/100)*IF(AA73="1. Non Compliant (0%)","0",IF(AA73="2. Somewhat Compliant (25%)","25",IF(AA73="3. Partially Compliant (50%)","50",IF(AA73="4. Mostly Compliant (75%)","75",IF(AA73="5. Fully Compliant (100%)","100"))))))&gt;=90,"100"))))))</f>
        <v>#N/A</v>
      </c>
      <c r="U73" s="1" t="e">
        <f>IF(MATCH(H73,Inherited!A:A),IF((((_xlfn.XLOOKUP(Assessment!#REF!,Inherited!A:A,Inherited!B:B))/100)*(_xlfn.XLOOKUP(Assessment!#REF!,Inherited!A:A,Inherited!G:G)))+(((100-(_xlfn.XLOOKUP(Assessment!#REF!,Inherited!A:A,Inherited!B:B)))/100)*IF(AB73="1.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(100%)","100"))))))&lt;=10,"0", IF(AND((((_xlfn.XLOOKUP(Assessment!#REF!,Inherited!A:A,Inherited!B:B))/100)*(_xlfn.XLOOKUP(Assessment!#REF!,Inherited!A:A,Inherited!G:G)))+(((100-(_xlfn.XLOOKUP(Assessment!#REF!,Inherited!A:A,Inherited!B:B)))/100)*IF(AB73="1.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(100%)","100"))))))&gt;=11,(((_xlfn.XLOOKUP(Assessment!#REF!,Inherited!A:A,Inherited!B:B))/100)*(_xlfn.XLOOKUP(Assessment!#REF!,Inherited!A:A,Inherited!G:G)))+(((100-(_xlfn.XLOOKUP(Assessment!#REF!,Inherited!A:A,Inherited!B:B)))/100)*IF(AB73="1.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(100%)","100"))))))&lt;=32),"25",IF(AND((((_xlfn.XLOOKUP(Assessment!#REF!,Inherited!A:A,Inherited!B:B))/100)*(_xlfn.XLOOKUP(Assessment!#REF!,Inherited!A:A,Inherited!G:G)))+(((100-(_xlfn.XLOOKUP(Assessment!#REF!,Inherited!A:A,Inherited!B:B)))/100)*IF(AB73="1.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(100%)","100"))))))&gt;=33,(((_xlfn.XLOOKUP(Assessment!#REF!,Inherited!A:A,Inherited!B:B))/100)*(_xlfn.XLOOKUP(Assessment!#REF!,Inherited!A:A,Inherited!G:G)))+(((100-(_xlfn.XLOOKUP(Assessment!#REF!,Inherited!A:A,Inherited!B:B)))/100)*IF(AB73="1.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(100%)","100"))))))&lt;=65),"50",IF(AND((((_xlfn.XLOOKUP(Assessment!#REF!,Inherited!A:A,Inherited!B:B))/100)*(_xlfn.XLOOKUP(Assessment!#REF!,Inherited!A:A,Inherited!G:G)))+(((100-(_xlfn.XLOOKUP(Assessment!#REF!,Inherited!A:A,Inherited!B:B)))/100)*IF(AB73="1.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(100%)","100"))))))&gt;=66,(((_xlfn.XLOOKUP(Assessment!#REF!,Inherited!A:A,Inherited!B:B))/100)*(_xlfn.XLOOKUP(Assessment!#REF!,Inherited!A:A,Inherited!G:G)))+(((100-(_xlfn.XLOOKUP(Assessment!#REF!,Inherited!A:A,Inherited!B:B)))/100)*IF(AB73="1.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(100%)","100"))))))&lt;=89),"75",IF((((_xlfn.XLOOKUP(Assessment!#REF!,Inherited!A:A,Inherited!B:B))/100)*(_xlfn.XLOOKUP(Assessment!#REF!,Inherited!A:A,Inherited!G:G)))+(((100-(_xlfn.XLOOKUP(Assessment!#REF!,Inherited!A:A,Inherited!B:B)))/100)*IF(AB73="1. Non Compliant (0%)","0",IF(AB73="2. Somewhat Compliant (25%)","25",IF(AB73="3. Partially Compliant (50%)","50",IF(AB73="4. Mostly Compliant (75%)","75",IF(AB73="5. Fully Compliant (100%)","100"))))))&gt;=90,"100"))))))</f>
        <v>#N/A</v>
      </c>
      <c r="V73" s="55" t="s">
        <v>85</v>
      </c>
      <c r="W73" s="55"/>
      <c r="X73" s="55"/>
      <c r="Y73" s="55"/>
      <c r="Z73" s="55" t="s">
        <v>86</v>
      </c>
      <c r="AA73" s="55"/>
      <c r="AB73" s="55"/>
      <c r="AK73" s="1" t="s">
        <v>10891</v>
      </c>
      <c r="AL73" s="1" t="s">
        <v>10960</v>
      </c>
      <c r="AM73" s="1" t="s">
        <v>10961</v>
      </c>
      <c r="AX73" s="3" t="str">
        <f>_xlfn.CONCAT("A-LIGN finished its review of this control on ",AR73, " during the scheduled fieldwork window (",Intro!$B$4,")."&amp; CHAR(10)&amp; CHAR(10))</f>
        <v xml:space="preserve">A-LIGN finished its review of this control on  during the scheduled fieldwork window (Fieldwork: xx/xx/xxxx - xx/xx/xxxx).
</v>
      </c>
      <c r="AY73" s="3" t="str">
        <f t="shared" si="131"/>
        <v/>
      </c>
      <c r="AZ73" s="3" t="str">
        <f t="shared" si="132"/>
        <v/>
      </c>
      <c r="BA73" s="3" t="str">
        <f t="shared" si="133"/>
        <v/>
      </c>
      <c r="BB73" s="3" t="str">
        <f t="shared" si="134"/>
        <v xml:space="preserve">Inquired of the following workforce member: 
Matthew Macaluso - Director of System Operations
Roze Nicolas - Director of TechOps
Inquiry lead to the following conclusions: 
Leverages a native tool within Google Workspace
</v>
      </c>
      <c r="BC73" s="3" t="str">
        <f t="shared" si="135"/>
        <v xml:space="preserve">Observed the following live during fieldwork: 
Observed email configurations within Google Workspace and confirmed that configurations are in place 
</v>
      </c>
      <c r="BD73" s="3" t="str">
        <f t="shared" si="136"/>
        <v xml:space="preserve">Examined the following evidence during fieldwork:
Reviewed evidence addressed the requirement statement.
</v>
      </c>
      <c r="BE73" s="3" t="str">
        <f t="shared" si="137"/>
        <v/>
      </c>
      <c r="BF73" s="3" t="str">
        <f t="shared" si="138"/>
        <v/>
      </c>
      <c r="BG73" s="3" t="str">
        <f>_xlfn.CONCAT((IF((COUNTIF('Sample Tables'!B:B,"")&gt;0)=TRUE,_xlfn.CONCAT("",""),IF((COUNTIF('Sample Tables'!B:B,"")&gt;0)=FALSE,""))),)</f>
        <v/>
      </c>
      <c r="BH73" s="3" t="str">
        <f t="shared" si="13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Leverages a native tool within Google Workspace
Observed the following live during fieldwork: 
Observed email configurations within Google Workspace and confirmed that configurations are in place 
Examined the following evidence during fieldwork:
Reviewed evidence addressed the requirement statement.
</v>
      </c>
    </row>
    <row r="74" spans="3:60" ht="409.5" x14ac:dyDescent="0.35">
      <c r="C74" s="1">
        <f t="shared" ref="C74:C76" si="140">IF(V74="No","Not Applicable",(IF(X74="1. Non Compliant (0%)","0",IF(X74="2. Somewhat Compliant (25%)","25",IF(X74="3. Partially Compliant (50%)","50",IF(X74="4. Mostly Compliant (75%)","75",IF(X74="5. Fully Compliant (100%)","100")))))*0.15)+((IF(Y74="1. Non Compliant (0%)","0",IF(Y74="2. Somewhat Compliant (25%)","25",IF(Y74="3. Partially Compliant (50%)","50",IF(Y74="4. Mostly Compliant (75%)","75",IF(Y74="5. Fully Compliant (100%)","100"))))))*0.2)+(IF(Z74="1. Non Compliant (0%)","0",IF(Z74="2. Somewhat Compliant (25%)","25",IF(Z74="3. Partially Compliant (50%)","50",IF(Z74="4. Mostly Compliant (75%)","75",IF(Z74="5. Fully Compliant (100%)","100")))))*0.4)+(IF(AA74="1. Non Compliant (0%)","0",IF(AA74="2. Somewhat Compliant (25%)","25",IF(AA74="3. Partially Compliant (50%)","50",IF(AA74="4. Mostly Compliant (75%)","75",IF(AA74="5. Fully Compliant (100%)","100")))))*0.1)+(IF(AB74="1. Non Compliant (0%)","0",IF(AB74="2. Somewhat Compliant (25%)","25",IF(AB74="3. Partially Compliant (50%)","50",IF(AB74="4. Mostly Compliant (75%)","75",IF(AB74="5. Fully Compliant (100%)","100")))))*0.15))</f>
        <v>20</v>
      </c>
      <c r="D74" s="5" t="str">
        <f>IF(AND((_xlfn.XLOOKUP(J74,'Fields &amp; Revisions'!$H:$H,'Fields &amp; Revisions'!$I:$I))&lt;70.99,(OR(Z74="4. Mostly Compliant (75%)",Z74="3. Partially Compliant (50%)",Z74="2. Somewhat Compliant (25%)",Z74="1. Non Compliant (0%)"))),"Yes","No")</f>
        <v>Yes</v>
      </c>
      <c r="E74" s="5" t="str">
        <f>IF(ISERROR(VLOOKUP(H74,Scope!A:A,1,FALSE)),"No","Yes")</f>
        <v>Yes</v>
      </c>
      <c r="F74" s="1" t="s">
        <v>2048</v>
      </c>
      <c r="G74" s="53" t="s">
        <v>2141</v>
      </c>
      <c r="H74" s="53" t="s">
        <v>2142</v>
      </c>
      <c r="I74" s="5">
        <v>1</v>
      </c>
      <c r="J74" s="1" t="s">
        <v>2122</v>
      </c>
      <c r="K74" s="1" t="s">
        <v>2143</v>
      </c>
      <c r="L74" s="1" t="s">
        <v>2144</v>
      </c>
      <c r="M74" s="1" t="s">
        <v>2145</v>
      </c>
      <c r="N74" s="5" t="s">
        <v>85</v>
      </c>
      <c r="O74" s="1" t="str">
        <f>_xlfn.XLOOKUP(G74,SRMs!$A:$A,SRMs!$D:$D)</f>
        <v>PARTIAL INHERITANCE</v>
      </c>
      <c r="P74" s="1" t="str">
        <f>IFERROR(VLOOKUP(H74,Inherited!A:B,2,FALSE),"")</f>
        <v/>
      </c>
      <c r="Q74" s="1" t="e">
        <f>IF(MATCH(H74,Inherited!A:A),IF((((_xlfn.XLOOKUP(Assessment!#REF!,Inherited!A:A,Inherited!B:B))/100)*(_xlfn.XLOOKUP(Assessment!#REF!,Inherited!A:A,Inherited!C:C)))+(((100-(_xlfn.XLOOKUP(Assessment!#REF!,Inherited!A:A,Inherited!B:B)))/100)*IF(X74="1.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(100%)","100"))))))&lt;=10,"0", IF(AND((((_xlfn.XLOOKUP(Assessment!#REF!,Inherited!A:A,Inherited!B:B))/100)*(_xlfn.XLOOKUP(Assessment!#REF!,Inherited!A:A,Inherited!C:C)))+(((100-(_xlfn.XLOOKUP(Assessment!#REF!,Inherited!A:A,Inherited!B:B)))/100)*IF(X74="1.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(100%)","100"))))))&gt;=11,(((_xlfn.XLOOKUP(Assessment!#REF!,Inherited!A:A,Inherited!B:B))/100)*(_xlfn.XLOOKUP(Assessment!#REF!,Inherited!A:A,Inherited!C:C)))+(((100-(_xlfn.XLOOKUP(Assessment!#REF!,Inherited!A:A,Inherited!B:B)))/100)*IF(X74="1.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(100%)","100"))))))&lt;=32),"25",IF(AND((((_xlfn.XLOOKUP(Assessment!#REF!,Inherited!A:A,Inherited!B:B))/100)*(_xlfn.XLOOKUP(Assessment!#REF!,Inherited!A:A,Inherited!C:C)))+(((100-(_xlfn.XLOOKUP(Assessment!#REF!,Inherited!A:A,Inherited!B:B)))/100)*IF(X74="1.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(100%)","100"))))))&gt;=33,(((_xlfn.XLOOKUP(Assessment!#REF!,Inherited!A:A,Inherited!B:B))/100)*(_xlfn.XLOOKUP(Assessment!#REF!,Inherited!A:A,Inherited!C:C)))+(((100-(_xlfn.XLOOKUP(Assessment!#REF!,Inherited!A:A,Inherited!B:B)))/100)*IF(X74="1.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(100%)","100"))))))&lt;=65),"50",IF(AND((((_xlfn.XLOOKUP(Assessment!#REF!,Inherited!A:A,Inherited!B:B))/100)*(_xlfn.XLOOKUP(Assessment!#REF!,Inherited!A:A,Inherited!C:C)))+(((100-(_xlfn.XLOOKUP(Assessment!#REF!,Inherited!A:A,Inherited!B:B)))/100)*IF(X74="1.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(100%)","100"))))))&gt;=66,(((_xlfn.XLOOKUP(Assessment!#REF!,Inherited!A:A,Inherited!B:B))/100)*(_xlfn.XLOOKUP(Assessment!#REF!,Inherited!A:A,Inherited!C:C)))+(((100-(_xlfn.XLOOKUP(Assessment!#REF!,Inherited!A:A,Inherited!B:B)))/100)*IF(X74="1.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(100%)","100"))))))&lt;=89),"75",IF((((_xlfn.XLOOKUP(Assessment!#REF!,Inherited!A:A,Inherited!B:B))/100)*(_xlfn.XLOOKUP(Assessment!#REF!,Inherited!A:A,Inherited!C:C)))+(((100-(_xlfn.XLOOKUP(Assessment!#REF!,Inherited!A:A,Inherited!B:B)))/100)*IF(X74="1. Non Compliant (0%)","0",IF(X74="2. Somewhat Compliant (25%)","25",IF(X74="3. Partially Compliant (50%)","50",IF(X74="4. Mostly Compliant (75%)","75",IF(X74="5. Fully Compliant (100%)","100"))))))&gt;=90,"100"))))))</f>
        <v>#N/A</v>
      </c>
      <c r="R74" s="1" t="e">
        <f>IF(MATCH(H74,Inherited!A:A),IF((((_xlfn.XLOOKUP(Assessment!#REF!,Inherited!A:A,Inherited!B:B))/100)*(_xlfn.XLOOKUP(Assessment!#REF!,Inherited!A:A,Inherited!D:D)))+(((100-(_xlfn.XLOOKUP(Assessment!#REF!,Inherited!A:A,Inherited!B:B)))/100)*IF(Y74="1.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(100%)","100"))))))&lt;=10,"0", IF(AND((((_xlfn.XLOOKUP(Assessment!#REF!,Inherited!A:A,Inherited!B:B))/100)*(_xlfn.XLOOKUP(Assessment!#REF!,Inherited!A:A,Inherited!D:D)))+(((100-(_xlfn.XLOOKUP(Assessment!#REF!,Inherited!A:A,Inherited!B:B)))/100)*IF(Y74="1.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(100%)","100"))))))&gt;=11,(((_xlfn.XLOOKUP(Assessment!#REF!,Inherited!A:A,Inherited!B:B))/100)*(_xlfn.XLOOKUP(Assessment!#REF!,Inherited!A:A,Inherited!D:D)))+(((100-(_xlfn.XLOOKUP(Assessment!#REF!,Inherited!A:A,Inherited!B:B)))/100)*IF(Y74="1.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(100%)","100"))))))&lt;=32),"25",IF(AND((((_xlfn.XLOOKUP(Assessment!#REF!,Inherited!A:A,Inherited!B:B))/100)*(_xlfn.XLOOKUP(Assessment!#REF!,Inherited!A:A,Inherited!D:D)))+(((100-(_xlfn.XLOOKUP(Assessment!#REF!,Inherited!A:A,Inherited!B:B)))/100)*IF(Y74="1.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(100%)","100"))))))&gt;=33,(((_xlfn.XLOOKUP(Assessment!#REF!,Inherited!A:A,Inherited!B:B))/100)*(_xlfn.XLOOKUP(Assessment!#REF!,Inherited!A:A,Inherited!D:D)))+(((100-(_xlfn.XLOOKUP(Assessment!#REF!,Inherited!A:A,Inherited!B:B)))/100)*IF(Y74="1.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(100%)","100"))))))&lt;=65),"50",IF(AND((((_xlfn.XLOOKUP(Assessment!#REF!,Inherited!A:A,Inherited!B:B))/100)*(_xlfn.XLOOKUP(Assessment!#REF!,Inherited!A:A,Inherited!D:D)))+(((100-(_xlfn.XLOOKUP(Assessment!#REF!,Inherited!A:A,Inherited!B:B)))/100)*IF(Y74="1.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(100%)","100"))))))&gt;=66,(((_xlfn.XLOOKUP(Assessment!#REF!,Inherited!A:A,Inherited!B:B))/100)*(_xlfn.XLOOKUP(Assessment!#REF!,Inherited!A:A,Inherited!D:D)))+(((100-(_xlfn.XLOOKUP(Assessment!#REF!,Inherited!A:A,Inherited!B:B)))/100)*IF(Y74="1.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(100%)","100"))))))&lt;=89),"75",IF((((_xlfn.XLOOKUP(Assessment!#REF!,Inherited!A:A,Inherited!B:B))/100)*(_xlfn.XLOOKUP(Assessment!#REF!,Inherited!A:A,Inherited!D:D)))+(((100-(_xlfn.XLOOKUP(Assessment!#REF!,Inherited!A:A,Inherited!B:B)))/100)*IF(Y74="1. Non Compliant (0%)","0",IF(Y74="2. Somewhat Compliant (25%)","25",IF(Y74="3. Partially Compliant (50%)","50",IF(Y74="4. Mostly Compliant (75%)","75",IF(Y74="5. Fully Compliant (100%)","100"))))))&gt;=90,"100"))))))</f>
        <v>#N/A</v>
      </c>
      <c r="S74" s="1" t="e">
        <f>IF(MATCH(H74,Inherited!A:A),IF((((_xlfn.XLOOKUP(Assessment!#REF!,Inherited!A:A,Inherited!B:B))/100)*(_xlfn.XLOOKUP(Assessment!#REF!,Inherited!A:A,Inherited!E:E)))+(((100-(_xlfn.XLOOKUP(Assessment!#REF!,Inherited!A:A,Inherited!B:B)))/100)*IF(Z74="1.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(100%)","100"))))))&lt;=10,"0", IF(AND((((_xlfn.XLOOKUP(Assessment!#REF!,Inherited!A:A,Inherited!B:B))/100)*(_xlfn.XLOOKUP(Assessment!#REF!,Inherited!A:A,Inherited!E:E)))+(((100-(_xlfn.XLOOKUP(Assessment!#REF!,Inherited!A:A,Inherited!B:B)))/100)*IF(Z74="1.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(100%)","100"))))))&gt;=11,(((_xlfn.XLOOKUP(Assessment!#REF!,Inherited!A:A,Inherited!B:B))/100)*(_xlfn.XLOOKUP(Assessment!#REF!,Inherited!A:A,Inherited!E:E)))+(((100-(_xlfn.XLOOKUP(Assessment!#REF!,Inherited!A:A,Inherited!B:B)))/100)*IF(Z74="1.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(100%)","100"))))))&lt;=32),"25",IF(AND((((_xlfn.XLOOKUP(Assessment!#REF!,Inherited!A:A,Inherited!B:B))/100)*(_xlfn.XLOOKUP(Assessment!#REF!,Inherited!A:A,Inherited!E:E)))+(((100-(_xlfn.XLOOKUP(Assessment!#REF!,Inherited!A:A,Inherited!B:B)))/100)*IF(Z74="1.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(100%)","100"))))))&gt;=33,(((_xlfn.XLOOKUP(Assessment!#REF!,Inherited!A:A,Inherited!B:B))/100)*(_xlfn.XLOOKUP(Assessment!#REF!,Inherited!A:A,Inherited!E:E)))+(((100-(_xlfn.XLOOKUP(Assessment!#REF!,Inherited!A:A,Inherited!B:B)))/100)*IF(Z74="1.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(100%)","100"))))))&lt;=65),"50",IF(AND((((_xlfn.XLOOKUP(Assessment!#REF!,Inherited!A:A,Inherited!B:B))/100)*(_xlfn.XLOOKUP(Assessment!#REF!,Inherited!A:A,Inherited!E:E)))+(((100-(_xlfn.XLOOKUP(Assessment!#REF!,Inherited!A:A,Inherited!B:B)))/100)*IF(Z74="1.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(100%)","100"))))))&gt;=66,(((_xlfn.XLOOKUP(Assessment!#REF!,Inherited!A:A,Inherited!B:B))/100)*(_xlfn.XLOOKUP(Assessment!#REF!,Inherited!A:A,Inherited!E:E)))+(((100-(_xlfn.XLOOKUP(Assessment!#REF!,Inherited!A:A,Inherited!B:B)))/100)*IF(Z74="1.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(100%)","100"))))))&lt;=89),"75",IF((((_xlfn.XLOOKUP(Assessment!#REF!,Inherited!A:A,Inherited!B:B))/100)*(_xlfn.XLOOKUP(Assessment!#REF!,Inherited!A:A,Inherited!E:E)))+(((100-(_xlfn.XLOOKUP(Assessment!#REF!,Inherited!A:A,Inherited!B:B)))/100)*IF(Z74="1. Non Compliant (0%)","0",IF(Z74="2. Somewhat Compliant (25%)","25",IF(Z74="3. Partially Compliant (50%)","50",IF(Z74="4. Mostly Compliant (75%)","75",IF(Z74="5. Fully Compliant (100%)","100"))))))&gt;=90,"100"))))))</f>
        <v>#N/A</v>
      </c>
      <c r="T74" s="1" t="e">
        <f>IF(MATCH(H74,Inherited!A:A),IF((((_xlfn.XLOOKUP(Assessment!#REF!,Inherited!A:A,Inherited!B:B))/100)*(_xlfn.XLOOKUP(Assessment!#REF!,Inherited!A:A,Inherited!F:F)))+(((100-(_xlfn.XLOOKUP(Assessment!#REF!,Inherited!A:A,Inherited!B:B)))/100)*IF(AA74="1.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(100%)","100"))))))&lt;=10,"0", IF(AND((((_xlfn.XLOOKUP(Assessment!#REF!,Inherited!A:A,Inherited!B:B))/100)*(_xlfn.XLOOKUP(Assessment!#REF!,Inherited!A:A,Inherited!F:F)))+(((100-(_xlfn.XLOOKUP(Assessment!#REF!,Inherited!A:A,Inherited!B:B)))/100)*IF(AA74="1.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(100%)","100"))))))&gt;=11,(((_xlfn.XLOOKUP(Assessment!#REF!,Inherited!A:A,Inherited!B:B))/100)*(_xlfn.XLOOKUP(Assessment!#REF!,Inherited!A:A,Inherited!F:F)))+(((100-(_xlfn.XLOOKUP(Assessment!#REF!,Inherited!A:A,Inherited!B:B)))/100)*IF(AA74="1.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(100%)","100"))))))&lt;=32),"25",IF(AND((((_xlfn.XLOOKUP(Assessment!#REF!,Inherited!A:A,Inherited!B:B))/100)*(_xlfn.XLOOKUP(Assessment!#REF!,Inherited!A:A,Inherited!F:F)))+(((100-(_xlfn.XLOOKUP(Assessment!#REF!,Inherited!A:A,Inherited!B:B)))/100)*IF(AA74="1.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(100%)","100"))))))&gt;=33,(((_xlfn.XLOOKUP(Assessment!#REF!,Inherited!A:A,Inherited!B:B))/100)*(_xlfn.XLOOKUP(Assessment!#REF!,Inherited!A:A,Inherited!F:F)))+(((100-(_xlfn.XLOOKUP(Assessment!#REF!,Inherited!A:A,Inherited!B:B)))/100)*IF(AA74="1.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(100%)","100"))))))&lt;=65),"50",IF(AND((((_xlfn.XLOOKUP(Assessment!#REF!,Inherited!A:A,Inherited!B:B))/100)*(_xlfn.XLOOKUP(Assessment!#REF!,Inherited!A:A,Inherited!F:F)))+(((100-(_xlfn.XLOOKUP(Assessment!#REF!,Inherited!A:A,Inherited!B:B)))/100)*IF(AA74="1.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(100%)","100"))))))&gt;=66,(((_xlfn.XLOOKUP(Assessment!#REF!,Inherited!A:A,Inherited!B:B))/100)*(_xlfn.XLOOKUP(Assessment!#REF!,Inherited!A:A,Inherited!F:F)))+(((100-(_xlfn.XLOOKUP(Assessment!#REF!,Inherited!A:A,Inherited!B:B)))/100)*IF(AA74="1.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(100%)","100"))))))&lt;=89),"75",IF((((_xlfn.XLOOKUP(Assessment!#REF!,Inherited!A:A,Inherited!B:B))/100)*(_xlfn.XLOOKUP(Assessment!#REF!,Inherited!A:A,Inherited!F:F)))+(((100-(_xlfn.XLOOKUP(Assessment!#REF!,Inherited!A:A,Inherited!B:B)))/100)*IF(AA74="1. Non Compliant (0%)","0",IF(AA74="2. Somewhat Compliant (25%)","25",IF(AA74="3. Partially Compliant (50%)","50",IF(AA74="4. Mostly Compliant (75%)","75",IF(AA74="5. Fully Compliant (100%)","100"))))))&gt;=90,"100"))))))</f>
        <v>#N/A</v>
      </c>
      <c r="U74" s="1" t="e">
        <f>IF(MATCH(H74,Inherited!A:A),IF((((_xlfn.XLOOKUP(Assessment!#REF!,Inherited!A:A,Inherited!B:B))/100)*(_xlfn.XLOOKUP(Assessment!#REF!,Inherited!A:A,Inherited!G:G)))+(((100-(_xlfn.XLOOKUP(Assessment!#REF!,Inherited!A:A,Inherited!B:B)))/100)*IF(AB74="1.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(100%)","100"))))))&lt;=10,"0", IF(AND((((_xlfn.XLOOKUP(Assessment!#REF!,Inherited!A:A,Inherited!B:B))/100)*(_xlfn.XLOOKUP(Assessment!#REF!,Inherited!A:A,Inherited!G:G)))+(((100-(_xlfn.XLOOKUP(Assessment!#REF!,Inherited!A:A,Inherited!B:B)))/100)*IF(AB74="1.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(100%)","100"))))))&gt;=11,(((_xlfn.XLOOKUP(Assessment!#REF!,Inherited!A:A,Inherited!B:B))/100)*(_xlfn.XLOOKUP(Assessment!#REF!,Inherited!A:A,Inherited!G:G)))+(((100-(_xlfn.XLOOKUP(Assessment!#REF!,Inherited!A:A,Inherited!B:B)))/100)*IF(AB74="1.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(100%)","100"))))))&lt;=32),"25",IF(AND((((_xlfn.XLOOKUP(Assessment!#REF!,Inherited!A:A,Inherited!B:B))/100)*(_xlfn.XLOOKUP(Assessment!#REF!,Inherited!A:A,Inherited!G:G)))+(((100-(_xlfn.XLOOKUP(Assessment!#REF!,Inherited!A:A,Inherited!B:B)))/100)*IF(AB74="1.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(100%)","100"))))))&gt;=33,(((_xlfn.XLOOKUP(Assessment!#REF!,Inherited!A:A,Inherited!B:B))/100)*(_xlfn.XLOOKUP(Assessment!#REF!,Inherited!A:A,Inherited!G:G)))+(((100-(_xlfn.XLOOKUP(Assessment!#REF!,Inherited!A:A,Inherited!B:B)))/100)*IF(AB74="1.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(100%)","100"))))))&lt;=65),"50",IF(AND((((_xlfn.XLOOKUP(Assessment!#REF!,Inherited!A:A,Inherited!B:B))/100)*(_xlfn.XLOOKUP(Assessment!#REF!,Inherited!A:A,Inherited!G:G)))+(((100-(_xlfn.XLOOKUP(Assessment!#REF!,Inherited!A:A,Inherited!B:B)))/100)*IF(AB74="1.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(100%)","100"))))))&gt;=66,(((_xlfn.XLOOKUP(Assessment!#REF!,Inherited!A:A,Inherited!B:B))/100)*(_xlfn.XLOOKUP(Assessment!#REF!,Inherited!A:A,Inherited!G:G)))+(((100-(_xlfn.XLOOKUP(Assessment!#REF!,Inherited!A:A,Inherited!B:B)))/100)*IF(AB74="1.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(100%)","100"))))))&lt;=89),"75",IF((((_xlfn.XLOOKUP(Assessment!#REF!,Inherited!A:A,Inherited!B:B))/100)*(_xlfn.XLOOKUP(Assessment!#REF!,Inherited!A:A,Inherited!G:G)))+(((100-(_xlfn.XLOOKUP(Assessment!#REF!,Inherited!A:A,Inherited!B:B)))/100)*IF(AB74="1. Non Compliant (0%)","0",IF(AB74="2. Somewhat Compliant (25%)","25",IF(AB74="3. Partially Compliant (50%)","50",IF(AB74="4. Mostly Compliant (75%)","75",IF(AB74="5. Fully Compliant (100%)","100"))))))&gt;=90,"100"))))))</f>
        <v>#N/A</v>
      </c>
      <c r="V74" s="55" t="s">
        <v>85</v>
      </c>
      <c r="W74" s="55"/>
      <c r="X74" s="55"/>
      <c r="Y74" s="55"/>
      <c r="Z74" s="55" t="s">
        <v>88</v>
      </c>
      <c r="AA74" s="55"/>
      <c r="AB74" s="55"/>
      <c r="AK74" s="1" t="s">
        <v>10891</v>
      </c>
      <c r="AM74" s="1" t="s">
        <v>11039</v>
      </c>
      <c r="AP74" s="1" t="s">
        <v>11165</v>
      </c>
      <c r="AX74" s="3" t="str">
        <f>_xlfn.CONCAT("A-LIGN finished its review of this control on ",AR74, " during the scheduled fieldwork window (",Intro!$B$4,")."&amp; CHAR(10)&amp; CHAR(10))</f>
        <v xml:space="preserve">A-LIGN finished its review of this control on  during the scheduled fieldwork window (Fieldwork: xx/xx/xxxx - xx/xx/xxxx).
</v>
      </c>
      <c r="AY74" s="3" t="str">
        <f t="shared" ref="AY74:AY76" si="141">IF(AQ74&lt;&gt;"",(_xlfn.CONCAT("Inheritance note: "&amp; CHAR(10),AQ74&amp; CHAR(10)&amp; CHAR(10))),"")</f>
        <v/>
      </c>
      <c r="AZ74" s="3" t="str">
        <f t="shared" ref="AZ74:AZ76" si="142">IFERROR(IF(AD74&lt;&gt;"",_xlfn.CONCAT("Examined the following policy during fieldwork:"&amp; CHAR(10),AD74&amp; CHAR(10)&amp; CHAR(10),IF(AND(X74&lt;&gt;"5. Fully Compliant (100%)",AE74&lt;&gt;""),"Reviewed policy exception note:"&amp; CHAR(10) &amp; AE74 &amp; CHAR(10) &amp; CHAR(10),"")),""),"")</f>
        <v/>
      </c>
      <c r="BA74" s="3" t="str">
        <f t="shared" ref="BA74:BA76" si="143">IFERROR(IF(AH74&lt;&gt;"",_xlfn.CONCAT("Examined the following process during fieldwork:"&amp; CHAR(10),AH74&amp; CHAR(10)&amp; CHAR(10),IF(AND(Y74&lt;&gt;"5. Fully Compliant (100%)",AI74&lt;&gt;""),"Reviewed process exception note:"&amp; CHAR(10) &amp; AI74 &amp; CHAR(10) &amp; CHAR(10),"")),""),"")</f>
        <v/>
      </c>
      <c r="BB74" s="3" t="str">
        <f t="shared" ref="BB74:BB76" si="144">IF(AK74&lt;&gt;"",(_xlfn.CONCAT("Inquired of the following workforce member: "&amp; CHAR(10),AK74&amp; CHAR(10)&amp; CHAR(10),"Inquiry lead to the following conclusions: "&amp; CHAR(10),AL74&amp; CHAR(10) &amp; CHAR(10))),"")</f>
        <v xml:space="preserve">Inquired of the following workforce member: 
Matthew Macaluso - Director of System Operations
Roze Nicolas - Director of TechOps
Inquiry lead to the following conclusions: 
</v>
      </c>
      <c r="BC74" s="3" t="str">
        <f t="shared" ref="BC74:BC76" si="145">IF(AM74&lt;&gt;"",(_xlfn.CONCAT("Observed the following live during fieldwork: "&amp; CHAR(10),AM74&amp; CHAR(10) &amp; CHAR(10))),"")</f>
        <v xml:space="preserve">Observed the following live during fieldwork: 
Observed the Google Key Management Service and confirmed that access is only granted through group roles and that the keys are stored in an encrypted format and keys are stored separately (Google Secret Manager).
</v>
      </c>
      <c r="BD74" s="3" t="str">
        <f t="shared" ref="BD74:BD76" si="146">_xlfn.CONCAT("Examined the following evidence during fieldwork:"&amp; CHAR(10),AN74&amp; CHAR(10)&amp; CHAR(10),IF(AO74&lt;&gt;"","Reviewed evidence note:"&amp; CHAR(10)&amp;AO74&amp; CHAR(10) &amp; CHAR(10),"Reviewed evidence addressed the requirement statement."&amp; CHAR(10) &amp; CHAR(10)),IF(AND(AP74&lt;&gt;"5. Fully Compliant (100%)",AP74&lt;&gt;""),"Reviewed evidence exception note: "&amp; CHAR(10) &amp; AP74 &amp; CHAR(10) &amp; CHAR(10),""))</f>
        <v xml:space="preserve">Examined the following evidence during fieldwork:
Reviewed evidence addressed the requirement statement.
Reviewed evidence exception note: 
Gap: Documentation needs to be improved; does not indicate the specifics for key management
Recommendation: Management should ensure that the current policies and procedures are updated to account for requirements regarding key management.
</v>
      </c>
      <c r="BE74" s="3" t="str">
        <f t="shared" ref="BE74:BE76" si="147">IF(AT74&lt;&gt;"",(_xlfn.CONCAT("Examined the following measure/metric during fieldwork:"&amp; CHAR(10),AT74&amp; CHAR(10)&amp; CHAR(10),"Reviewed measure/metric note:"&amp; CHAR(10),AU74 &amp; CHAR(10) &amp; CHAR(10))),"")</f>
        <v/>
      </c>
      <c r="BF74" s="3" t="str">
        <f t="shared" ref="BF74:BF76" si="148">IF(AV74&lt;&gt;"",(_xlfn.CONCAT("Examined the following measure/metric management during fieldwork:"&amp; CHAR(10),AV74&amp; CHAR(10)&amp; CHAR(10),"Reviewed measure/metric management note:"&amp; CHAR(10),AW74 &amp; CHAR(10) &amp; CHAR(10))),"")</f>
        <v/>
      </c>
      <c r="BG74" s="3" t="str">
        <f>_xlfn.CONCAT((IF((COUNTIF('Sample Tables'!B:B,"Test 189: Workforce Member (access to encryption keys)")&gt;0)=TRUE,_xlfn.CONCAT("Sample test results are documented in ",'Sample Tables'!B2075," [",'Sample Tables'!B2076,", ",'Sample Tables'!B2077,", ",'Sample Tables'!B2078,", ",'Sample Tables'!B2079,", ",'Sample Tables'!B2080,"]."&amp;CHAR(10)),IF((COUNTIF('Sample Tables'!B:B,"Test 189: Workforce Member (access to encryption keys)")&gt;0)=FALSE,""))),)</f>
        <v xml:space="preserve">Sample test results are documented in Test 189: Workforce Member (access to encryption keys) [Population Source/Tool: , Population Date Range: , Population Size: , Sample Methodology: , Sample Size: ].
</v>
      </c>
      <c r="BH74" s="3" t="str">
        <f t="shared" ref="BH74:BH76" si="149">IF(V74="No","Not Applicable: "&amp;W74,(_xlfn.CONCAT(AX74,AY74,AZ74,BA74,BB74,BC74,BD74,BE74,BF74,BG74)))</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Google Key Management Service and confirmed that access is only granted through group roles and that the keys are stored in an encrypted format and keys are stored separately (Google Secret Manager).
Examined the following evidence during fieldwork:
Reviewed evidence addressed the requirement statement.
Reviewed evidence exception note: 
Gap: Documentation needs to be improved; does not indicate the specifics for key management
Recommendation: Management should ensure that the current policies and procedures are updated to account for requirements regarding key management.
Sample test results are documented in Test 189: Workforce Member (access to encryption keys) [Population Source/Tool: , Population Date Range: , Population Size: , Sample Methodology: , Sample Size: ].
</v>
      </c>
    </row>
    <row r="75" spans="3:60" ht="375" x14ac:dyDescent="0.35">
      <c r="C75" s="1">
        <f t="shared" si="140"/>
        <v>20</v>
      </c>
      <c r="D75" s="5" t="str">
        <f>IF(AND((_xlfn.XLOOKUP(J75,'Fields &amp; Revisions'!$H:$H,'Fields &amp; Revisions'!$I:$I))&lt;70.99,(OR(Z75="4. Mostly Compliant (75%)",Z75="3. Partially Compliant (50%)",Z75="2. Somewhat Compliant (25%)",Z75="1. Non Compliant (0%)"))),"Yes","No")</f>
        <v>Yes</v>
      </c>
      <c r="E75" s="5" t="str">
        <f>IF(ISERROR(VLOOKUP(H75,Scope!A:A,1,FALSE)),"No","Yes")</f>
        <v>Yes</v>
      </c>
      <c r="F75" s="1" t="s">
        <v>2048</v>
      </c>
      <c r="G75" s="53" t="s">
        <v>2213</v>
      </c>
      <c r="H75" s="53" t="s">
        <v>2214</v>
      </c>
      <c r="I75" s="5">
        <v>1</v>
      </c>
      <c r="J75" s="1" t="s">
        <v>2083</v>
      </c>
      <c r="K75" s="1" t="s">
        <v>2215</v>
      </c>
      <c r="L75" s="1" t="s">
        <v>2216</v>
      </c>
      <c r="M75" s="1" t="s">
        <v>2217</v>
      </c>
      <c r="N75" s="5" t="s">
        <v>98</v>
      </c>
      <c r="O75" s="1" t="str">
        <f>_xlfn.XLOOKUP(G75,SRMs!$A:$A,SRMs!$D:$D)</f>
        <v>NO INHERITANCE</v>
      </c>
      <c r="P75" s="1" t="str">
        <f>IFERROR(VLOOKUP(H75,Inherited!A:B,2,FALSE),"")</f>
        <v/>
      </c>
      <c r="Q75" s="1" t="e">
        <f>IF(MATCH(H75,Inherited!A:A),IF((((_xlfn.XLOOKUP(Assessment!#REF!,Inherited!A:A,Inherited!B:B))/100)*(_xlfn.XLOOKUP(Assessment!#REF!,Inherited!A:A,Inherited!C:C)))+(((100-(_xlfn.XLOOKUP(Assessment!#REF!,Inherited!A:A,Inherited!B:B)))/100)*IF(X75="1.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(100%)","100"))))))&lt;=10,"0", IF(AND((((_xlfn.XLOOKUP(Assessment!#REF!,Inherited!A:A,Inherited!B:B))/100)*(_xlfn.XLOOKUP(Assessment!#REF!,Inherited!A:A,Inherited!C:C)))+(((100-(_xlfn.XLOOKUP(Assessment!#REF!,Inherited!A:A,Inherited!B:B)))/100)*IF(X75="1.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(100%)","100"))))))&gt;=11,(((_xlfn.XLOOKUP(Assessment!#REF!,Inherited!A:A,Inherited!B:B))/100)*(_xlfn.XLOOKUP(Assessment!#REF!,Inherited!A:A,Inherited!C:C)))+(((100-(_xlfn.XLOOKUP(Assessment!#REF!,Inherited!A:A,Inherited!B:B)))/100)*IF(X75="1.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(100%)","100"))))))&lt;=32),"25",IF(AND((((_xlfn.XLOOKUP(Assessment!#REF!,Inherited!A:A,Inherited!B:B))/100)*(_xlfn.XLOOKUP(Assessment!#REF!,Inherited!A:A,Inherited!C:C)))+(((100-(_xlfn.XLOOKUP(Assessment!#REF!,Inherited!A:A,Inherited!B:B)))/100)*IF(X75="1.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(100%)","100"))))))&gt;=33,(((_xlfn.XLOOKUP(Assessment!#REF!,Inherited!A:A,Inherited!B:B))/100)*(_xlfn.XLOOKUP(Assessment!#REF!,Inherited!A:A,Inherited!C:C)))+(((100-(_xlfn.XLOOKUP(Assessment!#REF!,Inherited!A:A,Inherited!B:B)))/100)*IF(X75="1.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(100%)","100"))))))&lt;=65),"50",IF(AND((((_xlfn.XLOOKUP(Assessment!#REF!,Inherited!A:A,Inherited!B:B))/100)*(_xlfn.XLOOKUP(Assessment!#REF!,Inherited!A:A,Inherited!C:C)))+(((100-(_xlfn.XLOOKUP(Assessment!#REF!,Inherited!A:A,Inherited!B:B)))/100)*IF(X75="1.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(100%)","100"))))))&gt;=66,(((_xlfn.XLOOKUP(Assessment!#REF!,Inherited!A:A,Inherited!B:B))/100)*(_xlfn.XLOOKUP(Assessment!#REF!,Inherited!A:A,Inherited!C:C)))+(((100-(_xlfn.XLOOKUP(Assessment!#REF!,Inherited!A:A,Inherited!B:B)))/100)*IF(X75="1.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(100%)","100"))))))&lt;=89),"75",IF((((_xlfn.XLOOKUP(Assessment!#REF!,Inherited!A:A,Inherited!B:B))/100)*(_xlfn.XLOOKUP(Assessment!#REF!,Inherited!A:A,Inherited!C:C)))+(((100-(_xlfn.XLOOKUP(Assessment!#REF!,Inherited!A:A,Inherited!B:B)))/100)*IF(X75="1. Non Compliant (0%)","0",IF(X75="2. Somewhat Compliant (25%)","25",IF(X75="3. Partially Compliant (50%)","50",IF(X75="4. Mostly Compliant (75%)","75",IF(X75="5. Fully Compliant (100%)","100"))))))&gt;=90,"100"))))))</f>
        <v>#N/A</v>
      </c>
      <c r="R75" s="1" t="e">
        <f>IF(MATCH(H75,Inherited!A:A),IF((((_xlfn.XLOOKUP(Assessment!#REF!,Inherited!A:A,Inherited!B:B))/100)*(_xlfn.XLOOKUP(Assessment!#REF!,Inherited!A:A,Inherited!D:D)))+(((100-(_xlfn.XLOOKUP(Assessment!#REF!,Inherited!A:A,Inherited!B:B)))/100)*IF(Y75="1.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(100%)","100"))))))&lt;=10,"0", IF(AND((((_xlfn.XLOOKUP(Assessment!#REF!,Inherited!A:A,Inherited!B:B))/100)*(_xlfn.XLOOKUP(Assessment!#REF!,Inherited!A:A,Inherited!D:D)))+(((100-(_xlfn.XLOOKUP(Assessment!#REF!,Inherited!A:A,Inherited!B:B)))/100)*IF(Y75="1.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(100%)","100"))))))&gt;=11,(((_xlfn.XLOOKUP(Assessment!#REF!,Inherited!A:A,Inherited!B:B))/100)*(_xlfn.XLOOKUP(Assessment!#REF!,Inherited!A:A,Inherited!D:D)))+(((100-(_xlfn.XLOOKUP(Assessment!#REF!,Inherited!A:A,Inherited!B:B)))/100)*IF(Y75="1.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(100%)","100"))))))&lt;=32),"25",IF(AND((((_xlfn.XLOOKUP(Assessment!#REF!,Inherited!A:A,Inherited!B:B))/100)*(_xlfn.XLOOKUP(Assessment!#REF!,Inherited!A:A,Inherited!D:D)))+(((100-(_xlfn.XLOOKUP(Assessment!#REF!,Inherited!A:A,Inherited!B:B)))/100)*IF(Y75="1.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(100%)","100"))))))&gt;=33,(((_xlfn.XLOOKUP(Assessment!#REF!,Inherited!A:A,Inherited!B:B))/100)*(_xlfn.XLOOKUP(Assessment!#REF!,Inherited!A:A,Inherited!D:D)))+(((100-(_xlfn.XLOOKUP(Assessment!#REF!,Inherited!A:A,Inherited!B:B)))/100)*IF(Y75="1.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(100%)","100"))))))&lt;=65),"50",IF(AND((((_xlfn.XLOOKUP(Assessment!#REF!,Inherited!A:A,Inherited!B:B))/100)*(_xlfn.XLOOKUP(Assessment!#REF!,Inherited!A:A,Inherited!D:D)))+(((100-(_xlfn.XLOOKUP(Assessment!#REF!,Inherited!A:A,Inherited!B:B)))/100)*IF(Y75="1.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(100%)","100"))))))&gt;=66,(((_xlfn.XLOOKUP(Assessment!#REF!,Inherited!A:A,Inherited!B:B))/100)*(_xlfn.XLOOKUP(Assessment!#REF!,Inherited!A:A,Inherited!D:D)))+(((100-(_xlfn.XLOOKUP(Assessment!#REF!,Inherited!A:A,Inherited!B:B)))/100)*IF(Y75="1.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(100%)","100"))))))&lt;=89),"75",IF((((_xlfn.XLOOKUP(Assessment!#REF!,Inherited!A:A,Inherited!B:B))/100)*(_xlfn.XLOOKUP(Assessment!#REF!,Inherited!A:A,Inherited!D:D)))+(((100-(_xlfn.XLOOKUP(Assessment!#REF!,Inherited!A:A,Inherited!B:B)))/100)*IF(Y75="1. Non Compliant (0%)","0",IF(Y75="2. Somewhat Compliant (25%)","25",IF(Y75="3. Partially Compliant (50%)","50",IF(Y75="4. Mostly Compliant (75%)","75",IF(Y75="5. Fully Compliant (100%)","100"))))))&gt;=90,"100"))))))</f>
        <v>#N/A</v>
      </c>
      <c r="S75" s="1" t="e">
        <f>IF(MATCH(H75,Inherited!A:A),IF((((_xlfn.XLOOKUP(Assessment!#REF!,Inherited!A:A,Inherited!B:B))/100)*(_xlfn.XLOOKUP(Assessment!#REF!,Inherited!A:A,Inherited!E:E)))+(((100-(_xlfn.XLOOKUP(Assessment!#REF!,Inherited!A:A,Inherited!B:B)))/100)*IF(Z75="1.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(100%)","100"))))))&lt;=10,"0", IF(AND((((_xlfn.XLOOKUP(Assessment!#REF!,Inherited!A:A,Inherited!B:B))/100)*(_xlfn.XLOOKUP(Assessment!#REF!,Inherited!A:A,Inherited!E:E)))+(((100-(_xlfn.XLOOKUP(Assessment!#REF!,Inherited!A:A,Inherited!B:B)))/100)*IF(Z75="1.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(100%)","100"))))))&gt;=11,(((_xlfn.XLOOKUP(Assessment!#REF!,Inherited!A:A,Inherited!B:B))/100)*(_xlfn.XLOOKUP(Assessment!#REF!,Inherited!A:A,Inherited!E:E)))+(((100-(_xlfn.XLOOKUP(Assessment!#REF!,Inherited!A:A,Inherited!B:B)))/100)*IF(Z75="1.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(100%)","100"))))))&lt;=32),"25",IF(AND((((_xlfn.XLOOKUP(Assessment!#REF!,Inherited!A:A,Inherited!B:B))/100)*(_xlfn.XLOOKUP(Assessment!#REF!,Inherited!A:A,Inherited!E:E)))+(((100-(_xlfn.XLOOKUP(Assessment!#REF!,Inherited!A:A,Inherited!B:B)))/100)*IF(Z75="1.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(100%)","100"))))))&gt;=33,(((_xlfn.XLOOKUP(Assessment!#REF!,Inherited!A:A,Inherited!B:B))/100)*(_xlfn.XLOOKUP(Assessment!#REF!,Inherited!A:A,Inherited!E:E)))+(((100-(_xlfn.XLOOKUP(Assessment!#REF!,Inherited!A:A,Inherited!B:B)))/100)*IF(Z75="1.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(100%)","100"))))))&lt;=65),"50",IF(AND((((_xlfn.XLOOKUP(Assessment!#REF!,Inherited!A:A,Inherited!B:B))/100)*(_xlfn.XLOOKUP(Assessment!#REF!,Inherited!A:A,Inherited!E:E)))+(((100-(_xlfn.XLOOKUP(Assessment!#REF!,Inherited!A:A,Inherited!B:B)))/100)*IF(Z75="1.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(100%)","100"))))))&gt;=66,(((_xlfn.XLOOKUP(Assessment!#REF!,Inherited!A:A,Inherited!B:B))/100)*(_xlfn.XLOOKUP(Assessment!#REF!,Inherited!A:A,Inherited!E:E)))+(((100-(_xlfn.XLOOKUP(Assessment!#REF!,Inherited!A:A,Inherited!B:B)))/100)*IF(Z75="1.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(100%)","100"))))))&lt;=89),"75",IF((((_xlfn.XLOOKUP(Assessment!#REF!,Inherited!A:A,Inherited!B:B))/100)*(_xlfn.XLOOKUP(Assessment!#REF!,Inherited!A:A,Inherited!E:E)))+(((100-(_xlfn.XLOOKUP(Assessment!#REF!,Inherited!A:A,Inherited!B:B)))/100)*IF(Z75="1. Non Compliant (0%)","0",IF(Z75="2. Somewhat Compliant (25%)","25",IF(Z75="3. Partially Compliant (50%)","50",IF(Z75="4. Mostly Compliant (75%)","75",IF(Z75="5. Fully Compliant (100%)","100"))))))&gt;=90,"100"))))))</f>
        <v>#N/A</v>
      </c>
      <c r="T75" s="1" t="e">
        <f>IF(MATCH(H75,Inherited!A:A),IF((((_xlfn.XLOOKUP(Assessment!#REF!,Inherited!A:A,Inherited!B:B))/100)*(_xlfn.XLOOKUP(Assessment!#REF!,Inherited!A:A,Inherited!F:F)))+(((100-(_xlfn.XLOOKUP(Assessment!#REF!,Inherited!A:A,Inherited!B:B)))/100)*IF(AA75="1.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(100%)","100"))))))&lt;=10,"0", IF(AND((((_xlfn.XLOOKUP(Assessment!#REF!,Inherited!A:A,Inherited!B:B))/100)*(_xlfn.XLOOKUP(Assessment!#REF!,Inherited!A:A,Inherited!F:F)))+(((100-(_xlfn.XLOOKUP(Assessment!#REF!,Inherited!A:A,Inherited!B:B)))/100)*IF(AA75="1.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(100%)","100"))))))&gt;=11,(((_xlfn.XLOOKUP(Assessment!#REF!,Inherited!A:A,Inherited!B:B))/100)*(_xlfn.XLOOKUP(Assessment!#REF!,Inherited!A:A,Inherited!F:F)))+(((100-(_xlfn.XLOOKUP(Assessment!#REF!,Inherited!A:A,Inherited!B:B)))/100)*IF(AA75="1.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(100%)","100"))))))&lt;=32),"25",IF(AND((((_xlfn.XLOOKUP(Assessment!#REF!,Inherited!A:A,Inherited!B:B))/100)*(_xlfn.XLOOKUP(Assessment!#REF!,Inherited!A:A,Inherited!F:F)))+(((100-(_xlfn.XLOOKUP(Assessment!#REF!,Inherited!A:A,Inherited!B:B)))/100)*IF(AA75="1.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(100%)","100"))))))&gt;=33,(((_xlfn.XLOOKUP(Assessment!#REF!,Inherited!A:A,Inherited!B:B))/100)*(_xlfn.XLOOKUP(Assessment!#REF!,Inherited!A:A,Inherited!F:F)))+(((100-(_xlfn.XLOOKUP(Assessment!#REF!,Inherited!A:A,Inherited!B:B)))/100)*IF(AA75="1.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(100%)","100"))))))&lt;=65),"50",IF(AND((((_xlfn.XLOOKUP(Assessment!#REF!,Inherited!A:A,Inherited!B:B))/100)*(_xlfn.XLOOKUP(Assessment!#REF!,Inherited!A:A,Inherited!F:F)))+(((100-(_xlfn.XLOOKUP(Assessment!#REF!,Inherited!A:A,Inherited!B:B)))/100)*IF(AA75="1.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(100%)","100"))))))&gt;=66,(((_xlfn.XLOOKUP(Assessment!#REF!,Inherited!A:A,Inherited!B:B))/100)*(_xlfn.XLOOKUP(Assessment!#REF!,Inherited!A:A,Inherited!F:F)))+(((100-(_xlfn.XLOOKUP(Assessment!#REF!,Inherited!A:A,Inherited!B:B)))/100)*IF(AA75="1.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(100%)","100"))))))&lt;=89),"75",IF((((_xlfn.XLOOKUP(Assessment!#REF!,Inherited!A:A,Inherited!B:B))/100)*(_xlfn.XLOOKUP(Assessment!#REF!,Inherited!A:A,Inherited!F:F)))+(((100-(_xlfn.XLOOKUP(Assessment!#REF!,Inherited!A:A,Inherited!B:B)))/100)*IF(AA75="1. Non Compliant (0%)","0",IF(AA75="2. Somewhat Compliant (25%)","25",IF(AA75="3. Partially Compliant (50%)","50",IF(AA75="4. Mostly Compliant (75%)","75",IF(AA75="5. Fully Compliant (100%)","100"))))))&gt;=90,"100"))))))</f>
        <v>#N/A</v>
      </c>
      <c r="U75" s="1" t="e">
        <f>IF(MATCH(H75,Inherited!A:A),IF((((_xlfn.XLOOKUP(Assessment!#REF!,Inherited!A:A,Inherited!B:B))/100)*(_xlfn.XLOOKUP(Assessment!#REF!,Inherited!A:A,Inherited!G:G)))+(((100-(_xlfn.XLOOKUP(Assessment!#REF!,Inherited!A:A,Inherited!B:B)))/100)*IF(AB75="1.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(100%)","100"))))))&lt;=10,"0", IF(AND((((_xlfn.XLOOKUP(Assessment!#REF!,Inherited!A:A,Inherited!B:B))/100)*(_xlfn.XLOOKUP(Assessment!#REF!,Inherited!A:A,Inherited!G:G)))+(((100-(_xlfn.XLOOKUP(Assessment!#REF!,Inherited!A:A,Inherited!B:B)))/100)*IF(AB75="1.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(100%)","100"))))))&gt;=11,(((_xlfn.XLOOKUP(Assessment!#REF!,Inherited!A:A,Inherited!B:B))/100)*(_xlfn.XLOOKUP(Assessment!#REF!,Inherited!A:A,Inherited!G:G)))+(((100-(_xlfn.XLOOKUP(Assessment!#REF!,Inherited!A:A,Inherited!B:B)))/100)*IF(AB75="1.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(100%)","100"))))))&lt;=32),"25",IF(AND((((_xlfn.XLOOKUP(Assessment!#REF!,Inherited!A:A,Inherited!B:B))/100)*(_xlfn.XLOOKUP(Assessment!#REF!,Inherited!A:A,Inherited!G:G)))+(((100-(_xlfn.XLOOKUP(Assessment!#REF!,Inherited!A:A,Inherited!B:B)))/100)*IF(AB75="1.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(100%)","100"))))))&gt;=33,(((_xlfn.XLOOKUP(Assessment!#REF!,Inherited!A:A,Inherited!B:B))/100)*(_xlfn.XLOOKUP(Assessment!#REF!,Inherited!A:A,Inherited!G:G)))+(((100-(_xlfn.XLOOKUP(Assessment!#REF!,Inherited!A:A,Inherited!B:B)))/100)*IF(AB75="1.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(100%)","100"))))))&lt;=65),"50",IF(AND((((_xlfn.XLOOKUP(Assessment!#REF!,Inherited!A:A,Inherited!B:B))/100)*(_xlfn.XLOOKUP(Assessment!#REF!,Inherited!A:A,Inherited!G:G)))+(((100-(_xlfn.XLOOKUP(Assessment!#REF!,Inherited!A:A,Inherited!B:B)))/100)*IF(AB75="1.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(100%)","100"))))))&gt;=66,(((_xlfn.XLOOKUP(Assessment!#REF!,Inherited!A:A,Inherited!B:B))/100)*(_xlfn.XLOOKUP(Assessment!#REF!,Inherited!A:A,Inherited!G:G)))+(((100-(_xlfn.XLOOKUP(Assessment!#REF!,Inherited!A:A,Inherited!B:B)))/100)*IF(AB75="1.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(100%)","100"))))))&lt;=89),"75",IF((((_xlfn.XLOOKUP(Assessment!#REF!,Inherited!A:A,Inherited!B:B))/100)*(_xlfn.XLOOKUP(Assessment!#REF!,Inherited!A:A,Inherited!G:G)))+(((100-(_xlfn.XLOOKUP(Assessment!#REF!,Inherited!A:A,Inherited!B:B)))/100)*IF(AB75="1. Non Compliant (0%)","0",IF(AB75="2. Somewhat Compliant (25%)","25",IF(AB75="3. Partially Compliant (50%)","50",IF(AB75="4. Mostly Compliant (75%)","75",IF(AB75="5. Fully Compliant (100%)","100"))))))&gt;=90,"100"))))))</f>
        <v>#N/A</v>
      </c>
      <c r="V75" s="55" t="s">
        <v>85</v>
      </c>
      <c r="W75" s="55"/>
      <c r="X75" s="55"/>
      <c r="Y75" s="55"/>
      <c r="Z75" s="55" t="s">
        <v>88</v>
      </c>
      <c r="AA75" s="55"/>
      <c r="AB75" s="55"/>
      <c r="AK75" s="1" t="s">
        <v>10891</v>
      </c>
      <c r="AM75" s="1" t="s">
        <v>10972</v>
      </c>
      <c r="AP75" s="1" t="s">
        <v>10971</v>
      </c>
      <c r="AX75" s="3" t="str">
        <f>_xlfn.CONCAT("A-LIGN finished its review of this control on ",AR75, " during the scheduled fieldwork window (",Intro!$B$4,")."&amp; CHAR(10)&amp; CHAR(10))</f>
        <v xml:space="preserve">A-LIGN finished its review of this control on  during the scheduled fieldwork window (Fieldwork: xx/xx/xxxx - xx/xx/xxxx).
</v>
      </c>
      <c r="AY75" s="3" t="str">
        <f t="shared" si="141"/>
        <v/>
      </c>
      <c r="AZ75" s="3" t="str">
        <f t="shared" si="142"/>
        <v/>
      </c>
      <c r="BA75" s="3" t="str">
        <f t="shared" si="143"/>
        <v/>
      </c>
      <c r="BB75" s="3" t="str">
        <f t="shared" si="144"/>
        <v xml:space="preserve">Inquired of the following workforce member: 
Matthew Macaluso - Director of System Operations
Roze Nicolas - Director of TechOps
Inquiry lead to the following conclusions: 
</v>
      </c>
      <c r="BC75" s="3" t="str">
        <f t="shared" si="145"/>
        <v xml:space="preserve">Observed the following live during fieldwork: 
Observed email spoofing configurations within Google Workspace and confirmed it is in place.
</v>
      </c>
      <c r="BD75" s="3" t="str">
        <f t="shared" si="146"/>
        <v xml:space="preserve">Examined the following evidence during fieldwork:
Reviewed evidence addressed the requirement statement.
Reviewed evidence exception note: 
Gap: DKIM and DMARC not currently implemented; Documentation does not include implementation specifics.
Recommendation: Finalize implementing DKIM and DMARC, Ensure that documentation is updated to reflect the new changes/implementations.
</v>
      </c>
      <c r="BE75" s="3" t="str">
        <f t="shared" si="147"/>
        <v/>
      </c>
      <c r="BF75" s="3" t="str">
        <f t="shared" si="148"/>
        <v/>
      </c>
      <c r="BG75" s="3" t="str">
        <f>_xlfn.CONCAT((IF((COUNTIF('Sample Tables'!B:B,"")&gt;0)=TRUE,_xlfn.CONCAT("",""),IF((COUNTIF('Sample Tables'!B:B,"")&gt;0)=FALSE,""))),)</f>
        <v/>
      </c>
      <c r="BH75" s="3" t="str">
        <f t="shared" si="1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email spoofing configurations within Google Workspace and confirmed it is in place.
Examined the following evidence during fieldwork:
Reviewed evidence addressed the requirement statement.
Reviewed evidence exception note: 
Gap: DKIM and DMARC not currently implemented; Documentation does not include implementation specifics.
Recommendation: Finalize implementing DKIM and DMARC, Ensure that documentation is updated to reflect the new changes/implementations.
</v>
      </c>
    </row>
    <row r="76" spans="3:60" ht="409.5" x14ac:dyDescent="0.35">
      <c r="C76" s="1">
        <f t="shared" si="140"/>
        <v>20</v>
      </c>
      <c r="D76" s="5" t="str">
        <f>IF(AND((_xlfn.XLOOKUP(J76,'Fields &amp; Revisions'!$H:$H,'Fields &amp; Revisions'!$I:$I))&lt;70.99,(OR(Z76="4. Mostly Compliant (75%)",Z76="3. Partially Compliant (50%)",Z76="2. Somewhat Compliant (25%)",Z76="1. Non Compliant (0%)"))),"Yes","No")</f>
        <v>Yes</v>
      </c>
      <c r="E76" s="5" t="str">
        <f>IF(ISERROR(VLOOKUP(H76,Scope!A:A,1,FALSE)),"No","Yes")</f>
        <v>Yes</v>
      </c>
      <c r="F76" s="1" t="s">
        <v>2048</v>
      </c>
      <c r="G76" s="53" t="s">
        <v>2226</v>
      </c>
      <c r="H76" s="53" t="s">
        <v>2227</v>
      </c>
      <c r="I76" s="5">
        <v>1</v>
      </c>
      <c r="J76" s="1" t="s">
        <v>2093</v>
      </c>
      <c r="K76" s="1" t="s">
        <v>2228</v>
      </c>
      <c r="L76" s="1" t="s">
        <v>2229</v>
      </c>
      <c r="M76" s="1" t="s">
        <v>2230</v>
      </c>
      <c r="N76" s="5" t="s">
        <v>85</v>
      </c>
      <c r="O76" s="1" t="str">
        <f>_xlfn.XLOOKUP(G76,SRMs!$A:$A,SRMs!$D:$D)</f>
        <v>PARTIAL INHERITANCE</v>
      </c>
      <c r="P76" s="1" t="str">
        <f>IFERROR(VLOOKUP(H76,Inherited!A:B,2,FALSE),"")</f>
        <v/>
      </c>
      <c r="Q76" s="1" t="e">
        <f>IF(MATCH(H76,Inherited!A:A),IF((((_xlfn.XLOOKUP(Assessment!#REF!,Inherited!A:A,Inherited!B:B))/100)*(_xlfn.XLOOKUP(Assessment!#REF!,Inherited!A:A,Inherited!C:C)))+(((100-(_xlfn.XLOOKUP(Assessment!#REF!,Inherited!A:A,Inherited!B:B)))/100)*IF(X76="1.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(100%)","100"))))))&lt;=10,"0", IF(AND((((_xlfn.XLOOKUP(Assessment!#REF!,Inherited!A:A,Inherited!B:B))/100)*(_xlfn.XLOOKUP(Assessment!#REF!,Inherited!A:A,Inherited!C:C)))+(((100-(_xlfn.XLOOKUP(Assessment!#REF!,Inherited!A:A,Inherited!B:B)))/100)*IF(X76="1.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(100%)","100"))))))&gt;=11,(((_xlfn.XLOOKUP(Assessment!#REF!,Inherited!A:A,Inherited!B:B))/100)*(_xlfn.XLOOKUP(Assessment!#REF!,Inherited!A:A,Inherited!C:C)))+(((100-(_xlfn.XLOOKUP(Assessment!#REF!,Inherited!A:A,Inherited!B:B)))/100)*IF(X76="1.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(100%)","100"))))))&lt;=32),"25",IF(AND((((_xlfn.XLOOKUP(Assessment!#REF!,Inherited!A:A,Inherited!B:B))/100)*(_xlfn.XLOOKUP(Assessment!#REF!,Inherited!A:A,Inherited!C:C)))+(((100-(_xlfn.XLOOKUP(Assessment!#REF!,Inherited!A:A,Inherited!B:B)))/100)*IF(X76="1.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(100%)","100"))))))&gt;=33,(((_xlfn.XLOOKUP(Assessment!#REF!,Inherited!A:A,Inherited!B:B))/100)*(_xlfn.XLOOKUP(Assessment!#REF!,Inherited!A:A,Inherited!C:C)))+(((100-(_xlfn.XLOOKUP(Assessment!#REF!,Inherited!A:A,Inherited!B:B)))/100)*IF(X76="1.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(100%)","100"))))))&lt;=65),"50",IF(AND((((_xlfn.XLOOKUP(Assessment!#REF!,Inherited!A:A,Inherited!B:B))/100)*(_xlfn.XLOOKUP(Assessment!#REF!,Inherited!A:A,Inherited!C:C)))+(((100-(_xlfn.XLOOKUP(Assessment!#REF!,Inherited!A:A,Inherited!B:B)))/100)*IF(X76="1.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(100%)","100"))))))&gt;=66,(((_xlfn.XLOOKUP(Assessment!#REF!,Inherited!A:A,Inherited!B:B))/100)*(_xlfn.XLOOKUP(Assessment!#REF!,Inherited!A:A,Inherited!C:C)))+(((100-(_xlfn.XLOOKUP(Assessment!#REF!,Inherited!A:A,Inherited!B:B)))/100)*IF(X76="1.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(100%)","100"))))))&lt;=89),"75",IF((((_xlfn.XLOOKUP(Assessment!#REF!,Inherited!A:A,Inherited!B:B))/100)*(_xlfn.XLOOKUP(Assessment!#REF!,Inherited!A:A,Inherited!C:C)))+(((100-(_xlfn.XLOOKUP(Assessment!#REF!,Inherited!A:A,Inherited!B:B)))/100)*IF(X76="1. Non Compliant (0%)","0",IF(X76="2. Somewhat Compliant (25%)","25",IF(X76="3. Partially Compliant (50%)","50",IF(X76="4. Mostly Compliant (75%)","75",IF(X76="5. Fully Compliant (100%)","100"))))))&gt;=90,"100"))))))</f>
        <v>#N/A</v>
      </c>
      <c r="R76" s="1" t="e">
        <f>IF(MATCH(H76,Inherited!A:A),IF((((_xlfn.XLOOKUP(Assessment!#REF!,Inherited!A:A,Inherited!B:B))/100)*(_xlfn.XLOOKUP(Assessment!#REF!,Inherited!A:A,Inherited!D:D)))+(((100-(_xlfn.XLOOKUP(Assessment!#REF!,Inherited!A:A,Inherited!B:B)))/100)*IF(Y76="1.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(100%)","100"))))))&lt;=10,"0", IF(AND((((_xlfn.XLOOKUP(Assessment!#REF!,Inherited!A:A,Inherited!B:B))/100)*(_xlfn.XLOOKUP(Assessment!#REF!,Inherited!A:A,Inherited!D:D)))+(((100-(_xlfn.XLOOKUP(Assessment!#REF!,Inherited!A:A,Inherited!B:B)))/100)*IF(Y76="1.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(100%)","100"))))))&gt;=11,(((_xlfn.XLOOKUP(Assessment!#REF!,Inherited!A:A,Inherited!B:B))/100)*(_xlfn.XLOOKUP(Assessment!#REF!,Inherited!A:A,Inherited!D:D)))+(((100-(_xlfn.XLOOKUP(Assessment!#REF!,Inherited!A:A,Inherited!B:B)))/100)*IF(Y76="1.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(100%)","100"))))))&lt;=32),"25",IF(AND((((_xlfn.XLOOKUP(Assessment!#REF!,Inherited!A:A,Inherited!B:B))/100)*(_xlfn.XLOOKUP(Assessment!#REF!,Inherited!A:A,Inherited!D:D)))+(((100-(_xlfn.XLOOKUP(Assessment!#REF!,Inherited!A:A,Inherited!B:B)))/100)*IF(Y76="1.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(100%)","100"))))))&gt;=33,(((_xlfn.XLOOKUP(Assessment!#REF!,Inherited!A:A,Inherited!B:B))/100)*(_xlfn.XLOOKUP(Assessment!#REF!,Inherited!A:A,Inherited!D:D)))+(((100-(_xlfn.XLOOKUP(Assessment!#REF!,Inherited!A:A,Inherited!B:B)))/100)*IF(Y76="1.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(100%)","100"))))))&lt;=65),"50",IF(AND((((_xlfn.XLOOKUP(Assessment!#REF!,Inherited!A:A,Inherited!B:B))/100)*(_xlfn.XLOOKUP(Assessment!#REF!,Inherited!A:A,Inherited!D:D)))+(((100-(_xlfn.XLOOKUP(Assessment!#REF!,Inherited!A:A,Inherited!B:B)))/100)*IF(Y76="1.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(100%)","100"))))))&gt;=66,(((_xlfn.XLOOKUP(Assessment!#REF!,Inherited!A:A,Inherited!B:B))/100)*(_xlfn.XLOOKUP(Assessment!#REF!,Inherited!A:A,Inherited!D:D)))+(((100-(_xlfn.XLOOKUP(Assessment!#REF!,Inherited!A:A,Inherited!B:B)))/100)*IF(Y76="1.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(100%)","100"))))))&lt;=89),"75",IF((((_xlfn.XLOOKUP(Assessment!#REF!,Inherited!A:A,Inherited!B:B))/100)*(_xlfn.XLOOKUP(Assessment!#REF!,Inherited!A:A,Inherited!D:D)))+(((100-(_xlfn.XLOOKUP(Assessment!#REF!,Inherited!A:A,Inherited!B:B)))/100)*IF(Y76="1. Non Compliant (0%)","0",IF(Y76="2. Somewhat Compliant (25%)","25",IF(Y76="3. Partially Compliant (50%)","50",IF(Y76="4. Mostly Compliant (75%)","75",IF(Y76="5. Fully Compliant (100%)","100"))))))&gt;=90,"100"))))))</f>
        <v>#N/A</v>
      </c>
      <c r="S76" s="1" t="e">
        <f>IF(MATCH(H76,Inherited!A:A),IF((((_xlfn.XLOOKUP(Assessment!#REF!,Inherited!A:A,Inherited!B:B))/100)*(_xlfn.XLOOKUP(Assessment!#REF!,Inherited!A:A,Inherited!E:E)))+(((100-(_xlfn.XLOOKUP(Assessment!#REF!,Inherited!A:A,Inherited!B:B)))/100)*IF(Z76="1.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(100%)","100"))))))&lt;=10,"0", IF(AND((((_xlfn.XLOOKUP(Assessment!#REF!,Inherited!A:A,Inherited!B:B))/100)*(_xlfn.XLOOKUP(Assessment!#REF!,Inherited!A:A,Inherited!E:E)))+(((100-(_xlfn.XLOOKUP(Assessment!#REF!,Inherited!A:A,Inherited!B:B)))/100)*IF(Z76="1.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(100%)","100"))))))&gt;=11,(((_xlfn.XLOOKUP(Assessment!#REF!,Inherited!A:A,Inherited!B:B))/100)*(_xlfn.XLOOKUP(Assessment!#REF!,Inherited!A:A,Inherited!E:E)))+(((100-(_xlfn.XLOOKUP(Assessment!#REF!,Inherited!A:A,Inherited!B:B)))/100)*IF(Z76="1.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(100%)","100"))))))&lt;=32),"25",IF(AND((((_xlfn.XLOOKUP(Assessment!#REF!,Inherited!A:A,Inherited!B:B))/100)*(_xlfn.XLOOKUP(Assessment!#REF!,Inherited!A:A,Inherited!E:E)))+(((100-(_xlfn.XLOOKUP(Assessment!#REF!,Inherited!A:A,Inherited!B:B)))/100)*IF(Z76="1.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(100%)","100"))))))&gt;=33,(((_xlfn.XLOOKUP(Assessment!#REF!,Inherited!A:A,Inherited!B:B))/100)*(_xlfn.XLOOKUP(Assessment!#REF!,Inherited!A:A,Inherited!E:E)))+(((100-(_xlfn.XLOOKUP(Assessment!#REF!,Inherited!A:A,Inherited!B:B)))/100)*IF(Z76="1.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(100%)","100"))))))&lt;=65),"50",IF(AND((((_xlfn.XLOOKUP(Assessment!#REF!,Inherited!A:A,Inherited!B:B))/100)*(_xlfn.XLOOKUP(Assessment!#REF!,Inherited!A:A,Inherited!E:E)))+(((100-(_xlfn.XLOOKUP(Assessment!#REF!,Inherited!A:A,Inherited!B:B)))/100)*IF(Z76="1.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(100%)","100"))))))&gt;=66,(((_xlfn.XLOOKUP(Assessment!#REF!,Inherited!A:A,Inherited!B:B))/100)*(_xlfn.XLOOKUP(Assessment!#REF!,Inherited!A:A,Inherited!E:E)))+(((100-(_xlfn.XLOOKUP(Assessment!#REF!,Inherited!A:A,Inherited!B:B)))/100)*IF(Z76="1.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(100%)","100"))))))&lt;=89),"75",IF((((_xlfn.XLOOKUP(Assessment!#REF!,Inherited!A:A,Inherited!B:B))/100)*(_xlfn.XLOOKUP(Assessment!#REF!,Inherited!A:A,Inherited!E:E)))+(((100-(_xlfn.XLOOKUP(Assessment!#REF!,Inherited!A:A,Inherited!B:B)))/100)*IF(Z76="1. Non Compliant (0%)","0",IF(Z76="2. Somewhat Compliant (25%)","25",IF(Z76="3. Partially Compliant (50%)","50",IF(Z76="4. Mostly Compliant (75%)","75",IF(Z76="5. Fully Compliant (100%)","100"))))))&gt;=90,"100"))))))</f>
        <v>#N/A</v>
      </c>
      <c r="T76" s="1" t="e">
        <f>IF(MATCH(H76,Inherited!A:A),IF((((_xlfn.XLOOKUP(Assessment!#REF!,Inherited!A:A,Inherited!B:B))/100)*(_xlfn.XLOOKUP(Assessment!#REF!,Inherited!A:A,Inherited!F:F)))+(((100-(_xlfn.XLOOKUP(Assessment!#REF!,Inherited!A:A,Inherited!B:B)))/100)*IF(AA76="1.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(100%)","100"))))))&lt;=10,"0", IF(AND((((_xlfn.XLOOKUP(Assessment!#REF!,Inherited!A:A,Inherited!B:B))/100)*(_xlfn.XLOOKUP(Assessment!#REF!,Inherited!A:A,Inherited!F:F)))+(((100-(_xlfn.XLOOKUP(Assessment!#REF!,Inherited!A:A,Inherited!B:B)))/100)*IF(AA76="1.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(100%)","100"))))))&gt;=11,(((_xlfn.XLOOKUP(Assessment!#REF!,Inherited!A:A,Inherited!B:B))/100)*(_xlfn.XLOOKUP(Assessment!#REF!,Inherited!A:A,Inherited!F:F)))+(((100-(_xlfn.XLOOKUP(Assessment!#REF!,Inherited!A:A,Inherited!B:B)))/100)*IF(AA76="1.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(100%)","100"))))))&lt;=32),"25",IF(AND((((_xlfn.XLOOKUP(Assessment!#REF!,Inherited!A:A,Inherited!B:B))/100)*(_xlfn.XLOOKUP(Assessment!#REF!,Inherited!A:A,Inherited!F:F)))+(((100-(_xlfn.XLOOKUP(Assessment!#REF!,Inherited!A:A,Inherited!B:B)))/100)*IF(AA76="1.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(100%)","100"))))))&gt;=33,(((_xlfn.XLOOKUP(Assessment!#REF!,Inherited!A:A,Inherited!B:B))/100)*(_xlfn.XLOOKUP(Assessment!#REF!,Inherited!A:A,Inherited!F:F)))+(((100-(_xlfn.XLOOKUP(Assessment!#REF!,Inherited!A:A,Inherited!B:B)))/100)*IF(AA76="1.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(100%)","100"))))))&lt;=65),"50",IF(AND((((_xlfn.XLOOKUP(Assessment!#REF!,Inherited!A:A,Inherited!B:B))/100)*(_xlfn.XLOOKUP(Assessment!#REF!,Inherited!A:A,Inherited!F:F)))+(((100-(_xlfn.XLOOKUP(Assessment!#REF!,Inherited!A:A,Inherited!B:B)))/100)*IF(AA76="1.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(100%)","100"))))))&gt;=66,(((_xlfn.XLOOKUP(Assessment!#REF!,Inherited!A:A,Inherited!B:B))/100)*(_xlfn.XLOOKUP(Assessment!#REF!,Inherited!A:A,Inherited!F:F)))+(((100-(_xlfn.XLOOKUP(Assessment!#REF!,Inherited!A:A,Inherited!B:B)))/100)*IF(AA76="1.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(100%)","100"))))))&lt;=89),"75",IF((((_xlfn.XLOOKUP(Assessment!#REF!,Inherited!A:A,Inherited!B:B))/100)*(_xlfn.XLOOKUP(Assessment!#REF!,Inherited!A:A,Inherited!F:F)))+(((100-(_xlfn.XLOOKUP(Assessment!#REF!,Inherited!A:A,Inherited!B:B)))/100)*IF(AA76="1. Non Compliant (0%)","0",IF(AA76="2. Somewhat Compliant (25%)","25",IF(AA76="3. Partially Compliant (50%)","50",IF(AA76="4. Mostly Compliant (75%)","75",IF(AA76="5. Fully Compliant (100%)","100"))))))&gt;=90,"100"))))))</f>
        <v>#N/A</v>
      </c>
      <c r="U76" s="1" t="e">
        <f>IF(MATCH(H76,Inherited!A:A),IF((((_xlfn.XLOOKUP(Assessment!#REF!,Inherited!A:A,Inherited!B:B))/100)*(_xlfn.XLOOKUP(Assessment!#REF!,Inherited!A:A,Inherited!G:G)))+(((100-(_xlfn.XLOOKUP(Assessment!#REF!,Inherited!A:A,Inherited!B:B)))/100)*IF(AB76="1.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(100%)","100"))))))&lt;=10,"0", IF(AND((((_xlfn.XLOOKUP(Assessment!#REF!,Inherited!A:A,Inherited!B:B))/100)*(_xlfn.XLOOKUP(Assessment!#REF!,Inherited!A:A,Inherited!G:G)))+(((100-(_xlfn.XLOOKUP(Assessment!#REF!,Inherited!A:A,Inherited!B:B)))/100)*IF(AB76="1.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(100%)","100"))))))&gt;=11,(((_xlfn.XLOOKUP(Assessment!#REF!,Inherited!A:A,Inherited!B:B))/100)*(_xlfn.XLOOKUP(Assessment!#REF!,Inherited!A:A,Inherited!G:G)))+(((100-(_xlfn.XLOOKUP(Assessment!#REF!,Inherited!A:A,Inherited!B:B)))/100)*IF(AB76="1.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(100%)","100"))))))&lt;=32),"25",IF(AND((((_xlfn.XLOOKUP(Assessment!#REF!,Inherited!A:A,Inherited!B:B))/100)*(_xlfn.XLOOKUP(Assessment!#REF!,Inherited!A:A,Inherited!G:G)))+(((100-(_xlfn.XLOOKUP(Assessment!#REF!,Inherited!A:A,Inherited!B:B)))/100)*IF(AB76="1.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(100%)","100"))))))&gt;=33,(((_xlfn.XLOOKUP(Assessment!#REF!,Inherited!A:A,Inherited!B:B))/100)*(_xlfn.XLOOKUP(Assessment!#REF!,Inherited!A:A,Inherited!G:G)))+(((100-(_xlfn.XLOOKUP(Assessment!#REF!,Inherited!A:A,Inherited!B:B)))/100)*IF(AB76="1.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(100%)","100"))))))&lt;=65),"50",IF(AND((((_xlfn.XLOOKUP(Assessment!#REF!,Inherited!A:A,Inherited!B:B))/100)*(_xlfn.XLOOKUP(Assessment!#REF!,Inherited!A:A,Inherited!G:G)))+(((100-(_xlfn.XLOOKUP(Assessment!#REF!,Inherited!A:A,Inherited!B:B)))/100)*IF(AB76="1.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(100%)","100"))))))&gt;=66,(((_xlfn.XLOOKUP(Assessment!#REF!,Inherited!A:A,Inherited!B:B))/100)*(_xlfn.XLOOKUP(Assessment!#REF!,Inherited!A:A,Inherited!G:G)))+(((100-(_xlfn.XLOOKUP(Assessment!#REF!,Inherited!A:A,Inherited!B:B)))/100)*IF(AB76="1.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(100%)","100"))))))&lt;=89),"75",IF((((_xlfn.XLOOKUP(Assessment!#REF!,Inherited!A:A,Inherited!B:B))/100)*(_xlfn.XLOOKUP(Assessment!#REF!,Inherited!A:A,Inherited!G:G)))+(((100-(_xlfn.XLOOKUP(Assessment!#REF!,Inherited!A:A,Inherited!B:B)))/100)*IF(AB76="1. Non Compliant (0%)","0",IF(AB76="2. Somewhat Compliant (25%)","25",IF(AB76="3. Partially Compliant (50%)","50",IF(AB76="4. Mostly Compliant (75%)","75",IF(AB76="5. Fully Compliant (100%)","100"))))))&gt;=90,"100"))))))</f>
        <v>#N/A</v>
      </c>
      <c r="V76" s="55" t="s">
        <v>85</v>
      </c>
      <c r="W76" s="55"/>
      <c r="X76" s="55"/>
      <c r="Y76" s="55"/>
      <c r="Z76" s="55" t="s">
        <v>88</v>
      </c>
      <c r="AA76" s="55"/>
      <c r="AB76" s="55"/>
      <c r="AK76" s="1" t="s">
        <v>10891</v>
      </c>
      <c r="AM76" s="1" t="s">
        <v>10973</v>
      </c>
      <c r="AP76" s="1" t="s">
        <v>10974</v>
      </c>
      <c r="AX76" s="3" t="str">
        <f>_xlfn.CONCAT("A-LIGN finished its review of this control on ",AR76, " during the scheduled fieldwork window (",Intro!$B$4,")."&amp; CHAR(10)&amp; CHAR(10))</f>
        <v xml:space="preserve">A-LIGN finished its review of this control on  during the scheduled fieldwork window (Fieldwork: xx/xx/xxxx - xx/xx/xxxx).
</v>
      </c>
      <c r="AY76" s="3" t="str">
        <f t="shared" si="141"/>
        <v/>
      </c>
      <c r="AZ76" s="3" t="str">
        <f t="shared" si="142"/>
        <v/>
      </c>
      <c r="BA76" s="3" t="str">
        <f t="shared" si="143"/>
        <v/>
      </c>
      <c r="BB76" s="3" t="str">
        <f t="shared" si="144"/>
        <v xml:space="preserve">Inquired of the following workforce member: 
Matthew Macaluso - Director of System Operations
Roze Nicolas - Director of TechOps
Inquiry lead to the following conclusions: 
</v>
      </c>
      <c r="BC76" s="3" t="str">
        <f t="shared" si="145"/>
        <v xml:space="preserve">Observed the following live during fieldwork: 
Observed the VPN configurations within the Meraki dashboard and determined that secure protocols are utilized through the implementation of an IPv4 VPN.
</v>
      </c>
      <c r="BD76" s="3" t="str">
        <f t="shared" si="146"/>
        <v xml:space="preserve">Examined the following evidence during fieldwork:
Reviewed evidence addressed the requirement statement.
Reviewed evidence exception note: 
Gap: Documentation needs to be improved; does not indicate the specifics for system management.
Recommendation: Ensure documentation is updated to include the necessary requirements for interconnected systems.
</v>
      </c>
      <c r="BE76" s="3" t="str">
        <f t="shared" si="147"/>
        <v/>
      </c>
      <c r="BF76" s="3" t="str">
        <f t="shared" si="148"/>
        <v/>
      </c>
      <c r="BG76" s="3" t="str">
        <f>_xlfn.CONCAT((IF((COUNTIF('Sample Tables'!B:B,"Test 053: Endpoint Device (remote with ability to process data)")&gt;0)=TRUE,_xlfn.CONCAT("Sample test results are documented in ",'Sample Tables'!B579," [",'Sample Tables'!B580,", ",'Sample Tables'!B581,", ",'Sample Tables'!B582,", ",'Sample Tables'!B583,", ",'Sample Tables'!B584,"]."&amp;CHAR(10)),IF((COUNTIF('Sample Tables'!B:B,"Test 053: Endpoint Device (remote with ability to process data)")&gt;0)=FALSE,""))),)</f>
        <v xml:space="preserve">Sample test results are documented in Test 053: Endpoint Device (remote with ability to process data) [Population Source/Tool: , Population Date Range: , Population Size: , Sample Methodology: , Sample Size: ].
</v>
      </c>
      <c r="BH76" s="3" t="str">
        <f t="shared" si="1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VPN configurations within the Meraki dashboard and determined that secure protocols are utilized through the implementation of an IPv4 VPN.
Examined the following evidence during fieldwork:
Reviewed evidence addressed the requirement statement.
Reviewed evidence exception note: 
Gap: Documentation needs to be improved; does not indicate the specifics for system management.
Recommendation: Ensure documentation is updated to include the necessary requirements for interconnected systems.
Sample test results are documented in Test 053: Endpoint Device (remote with ability to process data) [Population Source/Tool: , Population Date Range: , Population Size: , Sample Methodology: , Sample Size: ].
</v>
      </c>
    </row>
    <row r="77" spans="3:60" ht="287.5" x14ac:dyDescent="0.35">
      <c r="C77" s="1">
        <f t="shared" ref="C77:C82" si="150">IF(V77="No","Not Applicable",(IF(X77="1. Non Compliant (0%)","0",IF(X77="2. Somewhat Compliant (25%)","25",IF(X77="3. Partially Compliant (50%)","50",IF(X77="4. Mostly Compliant (75%)","75",IF(X77="5. Fully Compliant (100%)","100")))))*0.15)+((IF(Y77="1. Non Compliant (0%)","0",IF(Y77="2. Somewhat Compliant (25%)","25",IF(Y77="3. Partially Compliant (50%)","50",IF(Y77="4. Mostly Compliant (75%)","75",IF(Y77="5. Fully Compliant (100%)","100"))))))*0.2)+(IF(Z77="1. Non Compliant (0%)","0",IF(Z77="2. Somewhat Compliant (25%)","25",IF(Z77="3. Partially Compliant (50%)","50",IF(Z77="4. Mostly Compliant (75%)","75",IF(Z77="5. Fully Compliant (100%)","100")))))*0.4)+(IF(AA77="1. Non Compliant (0%)","0",IF(AA77="2. Somewhat Compliant (25%)","25",IF(AA77="3. Partially Compliant (50%)","50",IF(AA77="4. Mostly Compliant (75%)","75",IF(AA77="5. Fully Compliant (100%)","100")))))*0.1)+(IF(AB77="1. Non Compliant (0%)","0",IF(AB77="2. Somewhat Compliant (25%)","25",IF(AB77="3. Partially Compliant (50%)","50",IF(AB77="4. Mostly Compliant (75%)","75",IF(AB77="5. Fully Compliant (100%)","100")))))*0.15))</f>
        <v>40</v>
      </c>
      <c r="D77" s="5" t="str">
        <f>IF(AND((_xlfn.XLOOKUP(J77,'Fields &amp; Revisions'!$H:$H,'Fields &amp; Revisions'!$I:$I))&lt;70.99,(OR(Z77="4. Mostly Compliant (75%)",Z77="3. Partially Compliant (50%)",Z77="2. Somewhat Compliant (25%)",Z77="1. Non Compliant (0%)"))),"Yes","No")</f>
        <v>No</v>
      </c>
      <c r="E77" s="5" t="str">
        <f>IF(ISERROR(VLOOKUP(H77,Scope!A:A,1,FALSE)),"No","Yes")</f>
        <v>Yes</v>
      </c>
      <c r="F77" s="1" t="s">
        <v>2048</v>
      </c>
      <c r="G77" s="53" t="s">
        <v>2260</v>
      </c>
      <c r="H77" s="53" t="s">
        <v>2261</v>
      </c>
      <c r="I77" s="5">
        <v>1</v>
      </c>
      <c r="J77" s="1" t="s">
        <v>2110</v>
      </c>
      <c r="K77" s="1" t="s">
        <v>2262</v>
      </c>
      <c r="L77" s="1" t="s">
        <v>2263</v>
      </c>
      <c r="M77" s="1" t="s">
        <v>2248</v>
      </c>
      <c r="N77" s="5" t="s">
        <v>98</v>
      </c>
      <c r="O77" s="1" t="str">
        <f>_xlfn.XLOOKUP(G77,SRMs!$A:$A,SRMs!$D:$D)</f>
        <v>PARTIAL INHERITANCE</v>
      </c>
      <c r="P77" s="1" t="str">
        <f>IFERROR(VLOOKUP(H77,Inherited!A:B,2,FALSE),"")</f>
        <v/>
      </c>
      <c r="Q77" s="1" t="e">
        <f>IF(MATCH(H77,Inherited!A:A),IF((((_xlfn.XLOOKUP(Assessment!#REF!,Inherited!A:A,Inherited!B:B))/100)*(_xlfn.XLOOKUP(Assessment!#REF!,Inherited!A:A,Inherited!C:C)))+(((100-(_xlfn.XLOOKUP(Assessment!#REF!,Inherited!A:A,Inherited!B:B)))/100)*IF(X77="1.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(100%)","100"))))))&lt;=10,"0", IF(AND((((_xlfn.XLOOKUP(Assessment!#REF!,Inherited!A:A,Inherited!B:B))/100)*(_xlfn.XLOOKUP(Assessment!#REF!,Inherited!A:A,Inherited!C:C)))+(((100-(_xlfn.XLOOKUP(Assessment!#REF!,Inherited!A:A,Inherited!B:B)))/100)*IF(X77="1.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(100%)","100"))))))&gt;=11,(((_xlfn.XLOOKUP(Assessment!#REF!,Inherited!A:A,Inherited!B:B))/100)*(_xlfn.XLOOKUP(Assessment!#REF!,Inherited!A:A,Inherited!C:C)))+(((100-(_xlfn.XLOOKUP(Assessment!#REF!,Inherited!A:A,Inherited!B:B)))/100)*IF(X77="1.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(100%)","100"))))))&lt;=32),"25",IF(AND((((_xlfn.XLOOKUP(Assessment!#REF!,Inherited!A:A,Inherited!B:B))/100)*(_xlfn.XLOOKUP(Assessment!#REF!,Inherited!A:A,Inherited!C:C)))+(((100-(_xlfn.XLOOKUP(Assessment!#REF!,Inherited!A:A,Inherited!B:B)))/100)*IF(X77="1.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(100%)","100"))))))&gt;=33,(((_xlfn.XLOOKUP(Assessment!#REF!,Inherited!A:A,Inherited!B:B))/100)*(_xlfn.XLOOKUP(Assessment!#REF!,Inherited!A:A,Inherited!C:C)))+(((100-(_xlfn.XLOOKUP(Assessment!#REF!,Inherited!A:A,Inherited!B:B)))/100)*IF(X77="1.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(100%)","100"))))))&lt;=65),"50",IF(AND((((_xlfn.XLOOKUP(Assessment!#REF!,Inherited!A:A,Inherited!B:B))/100)*(_xlfn.XLOOKUP(Assessment!#REF!,Inherited!A:A,Inherited!C:C)))+(((100-(_xlfn.XLOOKUP(Assessment!#REF!,Inherited!A:A,Inherited!B:B)))/100)*IF(X77="1.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(100%)","100"))))))&gt;=66,(((_xlfn.XLOOKUP(Assessment!#REF!,Inherited!A:A,Inherited!B:B))/100)*(_xlfn.XLOOKUP(Assessment!#REF!,Inherited!A:A,Inherited!C:C)))+(((100-(_xlfn.XLOOKUP(Assessment!#REF!,Inherited!A:A,Inherited!B:B)))/100)*IF(X77="1.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(100%)","100"))))))&lt;=89),"75",IF((((_xlfn.XLOOKUP(Assessment!#REF!,Inherited!A:A,Inherited!B:B))/100)*(_xlfn.XLOOKUP(Assessment!#REF!,Inherited!A:A,Inherited!C:C)))+(((100-(_xlfn.XLOOKUP(Assessment!#REF!,Inherited!A:A,Inherited!B:B)))/100)*IF(X77="1. Non Compliant (0%)","0",IF(X77="2. Somewhat Compliant (25%)","25",IF(X77="3. Partially Compliant (50%)","50",IF(X77="4. Mostly Compliant (75%)","75",IF(X77="5. Fully Compliant (100%)","100"))))))&gt;=90,"100"))))))</f>
        <v>#N/A</v>
      </c>
      <c r="R77" s="1" t="e">
        <f>IF(MATCH(H77,Inherited!A:A),IF((((_xlfn.XLOOKUP(Assessment!#REF!,Inherited!A:A,Inherited!B:B))/100)*(_xlfn.XLOOKUP(Assessment!#REF!,Inherited!A:A,Inherited!D:D)))+(((100-(_xlfn.XLOOKUP(Assessment!#REF!,Inherited!A:A,Inherited!B:B)))/100)*IF(Y77="1.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(100%)","100"))))))&lt;=10,"0", IF(AND((((_xlfn.XLOOKUP(Assessment!#REF!,Inherited!A:A,Inherited!B:B))/100)*(_xlfn.XLOOKUP(Assessment!#REF!,Inherited!A:A,Inherited!D:D)))+(((100-(_xlfn.XLOOKUP(Assessment!#REF!,Inherited!A:A,Inherited!B:B)))/100)*IF(Y77="1.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(100%)","100"))))))&gt;=11,(((_xlfn.XLOOKUP(Assessment!#REF!,Inherited!A:A,Inherited!B:B))/100)*(_xlfn.XLOOKUP(Assessment!#REF!,Inherited!A:A,Inherited!D:D)))+(((100-(_xlfn.XLOOKUP(Assessment!#REF!,Inherited!A:A,Inherited!B:B)))/100)*IF(Y77="1.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(100%)","100"))))))&lt;=32),"25",IF(AND((((_xlfn.XLOOKUP(Assessment!#REF!,Inherited!A:A,Inherited!B:B))/100)*(_xlfn.XLOOKUP(Assessment!#REF!,Inherited!A:A,Inherited!D:D)))+(((100-(_xlfn.XLOOKUP(Assessment!#REF!,Inherited!A:A,Inherited!B:B)))/100)*IF(Y77="1.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(100%)","100"))))))&gt;=33,(((_xlfn.XLOOKUP(Assessment!#REF!,Inherited!A:A,Inherited!B:B))/100)*(_xlfn.XLOOKUP(Assessment!#REF!,Inherited!A:A,Inherited!D:D)))+(((100-(_xlfn.XLOOKUP(Assessment!#REF!,Inherited!A:A,Inherited!B:B)))/100)*IF(Y77="1.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(100%)","100"))))))&lt;=65),"50",IF(AND((((_xlfn.XLOOKUP(Assessment!#REF!,Inherited!A:A,Inherited!B:B))/100)*(_xlfn.XLOOKUP(Assessment!#REF!,Inherited!A:A,Inherited!D:D)))+(((100-(_xlfn.XLOOKUP(Assessment!#REF!,Inherited!A:A,Inherited!B:B)))/100)*IF(Y77="1.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(100%)","100"))))))&gt;=66,(((_xlfn.XLOOKUP(Assessment!#REF!,Inherited!A:A,Inherited!B:B))/100)*(_xlfn.XLOOKUP(Assessment!#REF!,Inherited!A:A,Inherited!D:D)))+(((100-(_xlfn.XLOOKUP(Assessment!#REF!,Inherited!A:A,Inherited!B:B)))/100)*IF(Y77="1.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(100%)","100"))))))&lt;=89),"75",IF((((_xlfn.XLOOKUP(Assessment!#REF!,Inherited!A:A,Inherited!B:B))/100)*(_xlfn.XLOOKUP(Assessment!#REF!,Inherited!A:A,Inherited!D:D)))+(((100-(_xlfn.XLOOKUP(Assessment!#REF!,Inherited!A:A,Inherited!B:B)))/100)*IF(Y77="1. Non Compliant (0%)","0",IF(Y77="2. Somewhat Compliant (25%)","25",IF(Y77="3. Partially Compliant (50%)","50",IF(Y77="4. Mostly Compliant (75%)","75",IF(Y77="5. Fully Compliant (100%)","100"))))))&gt;=90,"100"))))))</f>
        <v>#N/A</v>
      </c>
      <c r="S77" s="1" t="e">
        <f>IF(MATCH(H77,Inherited!A:A),IF((((_xlfn.XLOOKUP(Assessment!#REF!,Inherited!A:A,Inherited!B:B))/100)*(_xlfn.XLOOKUP(Assessment!#REF!,Inherited!A:A,Inherited!E:E)))+(((100-(_xlfn.XLOOKUP(Assessment!#REF!,Inherited!A:A,Inherited!B:B)))/100)*IF(Z77="1.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(100%)","100"))))))&lt;=10,"0", IF(AND((((_xlfn.XLOOKUP(Assessment!#REF!,Inherited!A:A,Inherited!B:B))/100)*(_xlfn.XLOOKUP(Assessment!#REF!,Inherited!A:A,Inherited!E:E)))+(((100-(_xlfn.XLOOKUP(Assessment!#REF!,Inherited!A:A,Inherited!B:B)))/100)*IF(Z77="1.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(100%)","100"))))))&gt;=11,(((_xlfn.XLOOKUP(Assessment!#REF!,Inherited!A:A,Inherited!B:B))/100)*(_xlfn.XLOOKUP(Assessment!#REF!,Inherited!A:A,Inherited!E:E)))+(((100-(_xlfn.XLOOKUP(Assessment!#REF!,Inherited!A:A,Inherited!B:B)))/100)*IF(Z77="1.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(100%)","100"))))))&lt;=32),"25",IF(AND((((_xlfn.XLOOKUP(Assessment!#REF!,Inherited!A:A,Inherited!B:B))/100)*(_xlfn.XLOOKUP(Assessment!#REF!,Inherited!A:A,Inherited!E:E)))+(((100-(_xlfn.XLOOKUP(Assessment!#REF!,Inherited!A:A,Inherited!B:B)))/100)*IF(Z77="1.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(100%)","100"))))))&gt;=33,(((_xlfn.XLOOKUP(Assessment!#REF!,Inherited!A:A,Inherited!B:B))/100)*(_xlfn.XLOOKUP(Assessment!#REF!,Inherited!A:A,Inherited!E:E)))+(((100-(_xlfn.XLOOKUP(Assessment!#REF!,Inherited!A:A,Inherited!B:B)))/100)*IF(Z77="1.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(100%)","100"))))))&lt;=65),"50",IF(AND((((_xlfn.XLOOKUP(Assessment!#REF!,Inherited!A:A,Inherited!B:B))/100)*(_xlfn.XLOOKUP(Assessment!#REF!,Inherited!A:A,Inherited!E:E)))+(((100-(_xlfn.XLOOKUP(Assessment!#REF!,Inherited!A:A,Inherited!B:B)))/100)*IF(Z77="1.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(100%)","100"))))))&gt;=66,(((_xlfn.XLOOKUP(Assessment!#REF!,Inherited!A:A,Inherited!B:B))/100)*(_xlfn.XLOOKUP(Assessment!#REF!,Inherited!A:A,Inherited!E:E)))+(((100-(_xlfn.XLOOKUP(Assessment!#REF!,Inherited!A:A,Inherited!B:B)))/100)*IF(Z77="1.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(100%)","100"))))))&lt;=89),"75",IF((((_xlfn.XLOOKUP(Assessment!#REF!,Inherited!A:A,Inherited!B:B))/100)*(_xlfn.XLOOKUP(Assessment!#REF!,Inherited!A:A,Inherited!E:E)))+(((100-(_xlfn.XLOOKUP(Assessment!#REF!,Inherited!A:A,Inherited!B:B)))/100)*IF(Z77="1. Non Compliant (0%)","0",IF(Z77="2. Somewhat Compliant (25%)","25",IF(Z77="3. Partially Compliant (50%)","50",IF(Z77="4. Mostly Compliant (75%)","75",IF(Z77="5. Fully Compliant (100%)","100"))))))&gt;=90,"100"))))))</f>
        <v>#N/A</v>
      </c>
      <c r="T77" s="1" t="e">
        <f>IF(MATCH(H77,Inherited!A:A),IF((((_xlfn.XLOOKUP(Assessment!#REF!,Inherited!A:A,Inherited!B:B))/100)*(_xlfn.XLOOKUP(Assessment!#REF!,Inherited!A:A,Inherited!F:F)))+(((100-(_xlfn.XLOOKUP(Assessment!#REF!,Inherited!A:A,Inherited!B:B)))/100)*IF(AA77="1.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(100%)","100"))))))&lt;=10,"0", IF(AND((((_xlfn.XLOOKUP(Assessment!#REF!,Inherited!A:A,Inherited!B:B))/100)*(_xlfn.XLOOKUP(Assessment!#REF!,Inherited!A:A,Inherited!F:F)))+(((100-(_xlfn.XLOOKUP(Assessment!#REF!,Inherited!A:A,Inherited!B:B)))/100)*IF(AA77="1.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(100%)","100"))))))&gt;=11,(((_xlfn.XLOOKUP(Assessment!#REF!,Inherited!A:A,Inherited!B:B))/100)*(_xlfn.XLOOKUP(Assessment!#REF!,Inherited!A:A,Inherited!F:F)))+(((100-(_xlfn.XLOOKUP(Assessment!#REF!,Inherited!A:A,Inherited!B:B)))/100)*IF(AA77="1.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(100%)","100"))))))&lt;=32),"25",IF(AND((((_xlfn.XLOOKUP(Assessment!#REF!,Inherited!A:A,Inherited!B:B))/100)*(_xlfn.XLOOKUP(Assessment!#REF!,Inherited!A:A,Inherited!F:F)))+(((100-(_xlfn.XLOOKUP(Assessment!#REF!,Inherited!A:A,Inherited!B:B)))/100)*IF(AA77="1.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(100%)","100"))))))&gt;=33,(((_xlfn.XLOOKUP(Assessment!#REF!,Inherited!A:A,Inherited!B:B))/100)*(_xlfn.XLOOKUP(Assessment!#REF!,Inherited!A:A,Inherited!F:F)))+(((100-(_xlfn.XLOOKUP(Assessment!#REF!,Inherited!A:A,Inherited!B:B)))/100)*IF(AA77="1.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(100%)","100"))))))&lt;=65),"50",IF(AND((((_xlfn.XLOOKUP(Assessment!#REF!,Inherited!A:A,Inherited!B:B))/100)*(_xlfn.XLOOKUP(Assessment!#REF!,Inherited!A:A,Inherited!F:F)))+(((100-(_xlfn.XLOOKUP(Assessment!#REF!,Inherited!A:A,Inherited!B:B)))/100)*IF(AA77="1.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(100%)","100"))))))&gt;=66,(((_xlfn.XLOOKUP(Assessment!#REF!,Inherited!A:A,Inherited!B:B))/100)*(_xlfn.XLOOKUP(Assessment!#REF!,Inherited!A:A,Inherited!F:F)))+(((100-(_xlfn.XLOOKUP(Assessment!#REF!,Inherited!A:A,Inherited!B:B)))/100)*IF(AA77="1.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(100%)","100"))))))&lt;=89),"75",IF((((_xlfn.XLOOKUP(Assessment!#REF!,Inherited!A:A,Inherited!B:B))/100)*(_xlfn.XLOOKUP(Assessment!#REF!,Inherited!A:A,Inherited!F:F)))+(((100-(_xlfn.XLOOKUP(Assessment!#REF!,Inherited!A:A,Inherited!B:B)))/100)*IF(AA77="1. Non Compliant (0%)","0",IF(AA77="2. Somewhat Compliant (25%)","25",IF(AA77="3. Partially Compliant (50%)","50",IF(AA77="4. Mostly Compliant (75%)","75",IF(AA77="5. Fully Compliant (100%)","100"))))))&gt;=90,"100"))))))</f>
        <v>#N/A</v>
      </c>
      <c r="U77" s="1" t="e">
        <f>IF(MATCH(H77,Inherited!A:A),IF((((_xlfn.XLOOKUP(Assessment!#REF!,Inherited!A:A,Inherited!B:B))/100)*(_xlfn.XLOOKUP(Assessment!#REF!,Inherited!A:A,Inherited!G:G)))+(((100-(_xlfn.XLOOKUP(Assessment!#REF!,Inherited!A:A,Inherited!B:B)))/100)*IF(AB77="1.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(100%)","100"))))))&lt;=10,"0", IF(AND((((_xlfn.XLOOKUP(Assessment!#REF!,Inherited!A:A,Inherited!B:B))/100)*(_xlfn.XLOOKUP(Assessment!#REF!,Inherited!A:A,Inherited!G:G)))+(((100-(_xlfn.XLOOKUP(Assessment!#REF!,Inherited!A:A,Inherited!B:B)))/100)*IF(AB77="1.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(100%)","100"))))))&gt;=11,(((_xlfn.XLOOKUP(Assessment!#REF!,Inherited!A:A,Inherited!B:B))/100)*(_xlfn.XLOOKUP(Assessment!#REF!,Inherited!A:A,Inherited!G:G)))+(((100-(_xlfn.XLOOKUP(Assessment!#REF!,Inherited!A:A,Inherited!B:B)))/100)*IF(AB77="1.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(100%)","100"))))))&lt;=32),"25",IF(AND((((_xlfn.XLOOKUP(Assessment!#REF!,Inherited!A:A,Inherited!B:B))/100)*(_xlfn.XLOOKUP(Assessment!#REF!,Inherited!A:A,Inherited!G:G)))+(((100-(_xlfn.XLOOKUP(Assessment!#REF!,Inherited!A:A,Inherited!B:B)))/100)*IF(AB77="1.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(100%)","100"))))))&gt;=33,(((_xlfn.XLOOKUP(Assessment!#REF!,Inherited!A:A,Inherited!B:B))/100)*(_xlfn.XLOOKUP(Assessment!#REF!,Inherited!A:A,Inherited!G:G)))+(((100-(_xlfn.XLOOKUP(Assessment!#REF!,Inherited!A:A,Inherited!B:B)))/100)*IF(AB77="1.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(100%)","100"))))))&lt;=65),"50",IF(AND((((_xlfn.XLOOKUP(Assessment!#REF!,Inherited!A:A,Inherited!B:B))/100)*(_xlfn.XLOOKUP(Assessment!#REF!,Inherited!A:A,Inherited!G:G)))+(((100-(_xlfn.XLOOKUP(Assessment!#REF!,Inherited!A:A,Inherited!B:B)))/100)*IF(AB77="1.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(100%)","100"))))))&gt;=66,(((_xlfn.XLOOKUP(Assessment!#REF!,Inherited!A:A,Inherited!B:B))/100)*(_xlfn.XLOOKUP(Assessment!#REF!,Inherited!A:A,Inherited!G:G)))+(((100-(_xlfn.XLOOKUP(Assessment!#REF!,Inherited!A:A,Inherited!B:B)))/100)*IF(AB77="1.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(100%)","100"))))))&lt;=89),"75",IF((((_xlfn.XLOOKUP(Assessment!#REF!,Inherited!A:A,Inherited!B:B))/100)*(_xlfn.XLOOKUP(Assessment!#REF!,Inherited!A:A,Inherited!G:G)))+(((100-(_xlfn.XLOOKUP(Assessment!#REF!,Inherited!A:A,Inherited!B:B)))/100)*IF(AB77="1. Non Compliant (0%)","0",IF(AB77="2. Somewhat Compliant (25%)","25",IF(AB77="3. Partially Compliant (50%)","50",IF(AB77="4. Mostly Compliant (75%)","75",IF(AB77="5. Fully Compliant (100%)","100"))))))&gt;=90,"100"))))))</f>
        <v>#N/A</v>
      </c>
      <c r="V77" s="55" t="s">
        <v>85</v>
      </c>
      <c r="W77" s="55"/>
      <c r="X77" s="55"/>
      <c r="Y77" s="55"/>
      <c r="Z77" s="55" t="s">
        <v>86</v>
      </c>
      <c r="AA77" s="55"/>
      <c r="AB77" s="55"/>
      <c r="AK77" s="1" t="s">
        <v>10891</v>
      </c>
      <c r="AM77" s="1" t="s">
        <v>10973</v>
      </c>
      <c r="AX77" s="3" t="str">
        <f>_xlfn.CONCAT("A-LIGN finished its review of this control on ",AR77, " during the scheduled fieldwork window (",Intro!$B$4,")."&amp; CHAR(10)&amp; CHAR(10))</f>
        <v xml:space="preserve">A-LIGN finished its review of this control on  during the scheduled fieldwork window (Fieldwork: xx/xx/xxxx - xx/xx/xxxx).
</v>
      </c>
      <c r="AY77" s="3" t="str">
        <f t="shared" ref="AY77:AY81" si="151">IF(AQ77&lt;&gt;"",(_xlfn.CONCAT("Inheritance note: "&amp; CHAR(10),AQ77&amp; CHAR(10)&amp; CHAR(10))),"")</f>
        <v/>
      </c>
      <c r="AZ77" s="3" t="str">
        <f t="shared" ref="AZ77:AZ81" si="152">IFERROR(IF(AD77&lt;&gt;"",_xlfn.CONCAT("Examined the following policy during fieldwork:"&amp; CHAR(10),AD77&amp; CHAR(10)&amp; CHAR(10),IF(AND(X77&lt;&gt;"5. Fully Compliant (100%)",AE77&lt;&gt;""),"Reviewed policy exception note:"&amp; CHAR(10) &amp; AE77 &amp; CHAR(10) &amp; CHAR(10),"")),""),"")</f>
        <v/>
      </c>
      <c r="BA77" s="3" t="str">
        <f t="shared" ref="BA77:BA81" si="153">IFERROR(IF(AH77&lt;&gt;"",_xlfn.CONCAT("Examined the following process during fieldwork:"&amp; CHAR(10),AH77&amp; CHAR(10)&amp; CHAR(10),IF(AND(Y77&lt;&gt;"5. Fully Compliant (100%)",AI77&lt;&gt;""),"Reviewed process exception note:"&amp; CHAR(10) &amp; AI77 &amp; CHAR(10) &amp; CHAR(10),"")),""),"")</f>
        <v/>
      </c>
      <c r="BB77" s="3" t="str">
        <f t="shared" ref="BB77:BB81" si="154">IF(AK77&lt;&gt;"",(_xlfn.CONCAT("Inquired of the following workforce member: "&amp; CHAR(10),AK77&amp; CHAR(10)&amp; CHAR(10),"Inquiry lead to the following conclusions: "&amp; CHAR(10),AL77&amp; CHAR(10) &amp; CHAR(10))),"")</f>
        <v xml:space="preserve">Inquired of the following workforce member: 
Matthew Macaluso - Director of System Operations
Roze Nicolas - Director of TechOps
Inquiry lead to the following conclusions: 
</v>
      </c>
      <c r="BC77" s="3" t="str">
        <f t="shared" ref="BC77:BC81" si="155">IF(AM77&lt;&gt;"",(_xlfn.CONCAT("Observed the following live during fieldwork: "&amp; CHAR(10),AM77&amp; CHAR(10) &amp; CHAR(10))),"")</f>
        <v xml:space="preserve">Observed the following live during fieldwork: 
Observed the VPN configurations within the Meraki dashboard and determined that secure protocols are utilized through the implementation of an IPv4 VPN.
</v>
      </c>
      <c r="BD77" s="3" t="str">
        <f t="shared" ref="BD77:BD81" si="156">_xlfn.CONCAT("Examined the following evidence during fieldwork:"&amp; CHAR(10),AN77&amp; CHAR(10)&amp; CHAR(10),IF(AO77&lt;&gt;"","Reviewed evidence note:"&amp; CHAR(10)&amp;AO77&amp; CHAR(10) &amp; CHAR(10),"Reviewed evidence addressed the requirement statement."&amp; CHAR(10) &amp; CHAR(10)),IF(AND(AP77&lt;&gt;"5. Fully Compliant (100%)",AP77&lt;&gt;""),"Reviewed evidence exception note: "&amp; CHAR(10) &amp; AP77 &amp; CHAR(10) &amp; CHAR(10),""))</f>
        <v xml:space="preserve">Examined the following evidence during fieldwork:
Reviewed evidence addressed the requirement statement.
</v>
      </c>
      <c r="BE77" s="3" t="str">
        <f t="shared" ref="BE77:BE81" si="157">IF(AT77&lt;&gt;"",(_xlfn.CONCAT("Examined the following measure/metric during fieldwork:"&amp; CHAR(10),AT77&amp; CHAR(10)&amp; CHAR(10),"Reviewed measure/metric note:"&amp; CHAR(10),AU77 &amp; CHAR(10) &amp; CHAR(10))),"")</f>
        <v/>
      </c>
      <c r="BF77" s="3" t="str">
        <f t="shared" ref="BF77:BF81" si="158">IF(AV77&lt;&gt;"",(_xlfn.CONCAT("Examined the following measure/metric management during fieldwork:"&amp; CHAR(10),AV77&amp; CHAR(10)&amp; CHAR(10),"Reviewed measure/metric management note:"&amp; CHAR(10),AW77 &amp; CHAR(10) &amp; CHAR(10))),"")</f>
        <v/>
      </c>
      <c r="BG77" s="3" t="str">
        <f>_xlfn.CONCAT((IF((COUNTIF('Sample Tables'!B:B,"")&gt;0)=TRUE,_xlfn.CONCAT("",""),IF((COUNTIF('Sample Tables'!B:B,"")&gt;0)=FALSE,""))),)</f>
        <v/>
      </c>
      <c r="BH77" s="3" t="str">
        <f t="shared" ref="BH77:BH81" si="159">IF(V77="No","Not Applicable: "&amp;W77,(_xlfn.CONCAT(AX77,AY77,AZ77,BA77,BB77,BC77,BD77,BE77,BF77,BG77)))</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VPN configurations within the Meraki dashboard and determined that secure protocols are utilized through the implementation of an IPv4 VPN.
Examined the following evidence during fieldwork:
Reviewed evidence addressed the requirement statement.
</v>
      </c>
    </row>
    <row r="78" spans="3:60" ht="287.5" x14ac:dyDescent="0.35">
      <c r="C78" s="1">
        <f t="shared" si="150"/>
        <v>40</v>
      </c>
      <c r="D78" s="5" t="str">
        <f>IF(AND((_xlfn.XLOOKUP(J78,'Fields &amp; Revisions'!$H:$H,'Fields &amp; Revisions'!$I:$I))&lt;70.99,(OR(Z78="4. Mostly Compliant (75%)",Z78="3. Partially Compliant (50%)",Z78="2. Somewhat Compliant (25%)",Z78="1. Non Compliant (0%)"))),"Yes","No")</f>
        <v>No</v>
      </c>
      <c r="E78" s="5" t="str">
        <f>IF(ISERROR(VLOOKUP(H78,Scope!A:A,1,FALSE)),"No","Yes")</f>
        <v>Yes</v>
      </c>
      <c r="F78" s="1" t="s">
        <v>2290</v>
      </c>
      <c r="G78" s="53" t="s">
        <v>2291</v>
      </c>
      <c r="H78" s="53" t="s">
        <v>2292</v>
      </c>
      <c r="I78" s="5">
        <v>1</v>
      </c>
      <c r="J78" s="1" t="s">
        <v>2293</v>
      </c>
      <c r="K78" s="1" t="s">
        <v>2294</v>
      </c>
      <c r="L78" s="1" t="s">
        <v>2295</v>
      </c>
      <c r="M78" s="1" t="s">
        <v>2296</v>
      </c>
      <c r="N78" s="5" t="s">
        <v>98</v>
      </c>
      <c r="O78" s="1" t="str">
        <f>_xlfn.XLOOKUP(G78,SRMs!$A:$A,SRMs!$D:$D)</f>
        <v>PARTIAL INHERITANCE</v>
      </c>
      <c r="P78" s="1" t="str">
        <f>IFERROR(VLOOKUP(H78,Inherited!A:B,2,FALSE),"")</f>
        <v/>
      </c>
      <c r="Q78" s="1" t="e">
        <f>IF(MATCH(H78,Inherited!A:A),IF((((_xlfn.XLOOKUP(Assessment!#REF!,Inherited!A:A,Inherited!B:B))/100)*(_xlfn.XLOOKUP(Assessment!#REF!,Inherited!A:A,Inherited!C:C)))+(((100-(_xlfn.XLOOKUP(Assessment!#REF!,Inherited!A:A,Inherited!B:B)))/100)*IF(X78="1.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(100%)","100"))))))&lt;=10,"0", IF(AND((((_xlfn.XLOOKUP(Assessment!#REF!,Inherited!A:A,Inherited!B:B))/100)*(_xlfn.XLOOKUP(Assessment!#REF!,Inherited!A:A,Inherited!C:C)))+(((100-(_xlfn.XLOOKUP(Assessment!#REF!,Inherited!A:A,Inherited!B:B)))/100)*IF(X78="1.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(100%)","100"))))))&gt;=11,(((_xlfn.XLOOKUP(Assessment!#REF!,Inherited!A:A,Inherited!B:B))/100)*(_xlfn.XLOOKUP(Assessment!#REF!,Inherited!A:A,Inherited!C:C)))+(((100-(_xlfn.XLOOKUP(Assessment!#REF!,Inherited!A:A,Inherited!B:B)))/100)*IF(X78="1.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(100%)","100"))))))&lt;=32),"25",IF(AND((((_xlfn.XLOOKUP(Assessment!#REF!,Inherited!A:A,Inherited!B:B))/100)*(_xlfn.XLOOKUP(Assessment!#REF!,Inherited!A:A,Inherited!C:C)))+(((100-(_xlfn.XLOOKUP(Assessment!#REF!,Inherited!A:A,Inherited!B:B)))/100)*IF(X78="1.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(100%)","100"))))))&gt;=33,(((_xlfn.XLOOKUP(Assessment!#REF!,Inherited!A:A,Inherited!B:B))/100)*(_xlfn.XLOOKUP(Assessment!#REF!,Inherited!A:A,Inherited!C:C)))+(((100-(_xlfn.XLOOKUP(Assessment!#REF!,Inherited!A:A,Inherited!B:B)))/100)*IF(X78="1.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(100%)","100"))))))&lt;=65),"50",IF(AND((((_xlfn.XLOOKUP(Assessment!#REF!,Inherited!A:A,Inherited!B:B))/100)*(_xlfn.XLOOKUP(Assessment!#REF!,Inherited!A:A,Inherited!C:C)))+(((100-(_xlfn.XLOOKUP(Assessment!#REF!,Inherited!A:A,Inherited!B:B)))/100)*IF(X78="1.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(100%)","100"))))))&gt;=66,(((_xlfn.XLOOKUP(Assessment!#REF!,Inherited!A:A,Inherited!B:B))/100)*(_xlfn.XLOOKUP(Assessment!#REF!,Inherited!A:A,Inherited!C:C)))+(((100-(_xlfn.XLOOKUP(Assessment!#REF!,Inherited!A:A,Inherited!B:B)))/100)*IF(X78="1.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(100%)","100"))))))&lt;=89),"75",IF((((_xlfn.XLOOKUP(Assessment!#REF!,Inherited!A:A,Inherited!B:B))/100)*(_xlfn.XLOOKUP(Assessment!#REF!,Inherited!A:A,Inherited!C:C)))+(((100-(_xlfn.XLOOKUP(Assessment!#REF!,Inherited!A:A,Inherited!B:B)))/100)*IF(X78="1. Non Compliant (0%)","0",IF(X78="2. Somewhat Compliant (25%)","25",IF(X78="3. Partially Compliant (50%)","50",IF(X78="4. Mostly Compliant (75%)","75",IF(X78="5. Fully Compliant (100%)","100"))))))&gt;=90,"100"))))))</f>
        <v>#N/A</v>
      </c>
      <c r="R78" s="1" t="e">
        <f>IF(MATCH(H78,Inherited!A:A),IF((((_xlfn.XLOOKUP(Assessment!#REF!,Inherited!A:A,Inherited!B:B))/100)*(_xlfn.XLOOKUP(Assessment!#REF!,Inherited!A:A,Inherited!D:D)))+(((100-(_xlfn.XLOOKUP(Assessment!#REF!,Inherited!A:A,Inherited!B:B)))/100)*IF(Y78="1.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(100%)","100"))))))&lt;=10,"0", IF(AND((((_xlfn.XLOOKUP(Assessment!#REF!,Inherited!A:A,Inherited!B:B))/100)*(_xlfn.XLOOKUP(Assessment!#REF!,Inherited!A:A,Inherited!D:D)))+(((100-(_xlfn.XLOOKUP(Assessment!#REF!,Inherited!A:A,Inherited!B:B)))/100)*IF(Y78="1.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(100%)","100"))))))&gt;=11,(((_xlfn.XLOOKUP(Assessment!#REF!,Inherited!A:A,Inherited!B:B))/100)*(_xlfn.XLOOKUP(Assessment!#REF!,Inherited!A:A,Inherited!D:D)))+(((100-(_xlfn.XLOOKUP(Assessment!#REF!,Inherited!A:A,Inherited!B:B)))/100)*IF(Y78="1.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(100%)","100"))))))&lt;=32),"25",IF(AND((((_xlfn.XLOOKUP(Assessment!#REF!,Inherited!A:A,Inherited!B:B))/100)*(_xlfn.XLOOKUP(Assessment!#REF!,Inherited!A:A,Inherited!D:D)))+(((100-(_xlfn.XLOOKUP(Assessment!#REF!,Inherited!A:A,Inherited!B:B)))/100)*IF(Y78="1.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(100%)","100"))))))&gt;=33,(((_xlfn.XLOOKUP(Assessment!#REF!,Inherited!A:A,Inherited!B:B))/100)*(_xlfn.XLOOKUP(Assessment!#REF!,Inherited!A:A,Inherited!D:D)))+(((100-(_xlfn.XLOOKUP(Assessment!#REF!,Inherited!A:A,Inherited!B:B)))/100)*IF(Y78="1.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(100%)","100"))))))&lt;=65),"50",IF(AND((((_xlfn.XLOOKUP(Assessment!#REF!,Inherited!A:A,Inherited!B:B))/100)*(_xlfn.XLOOKUP(Assessment!#REF!,Inherited!A:A,Inherited!D:D)))+(((100-(_xlfn.XLOOKUP(Assessment!#REF!,Inherited!A:A,Inherited!B:B)))/100)*IF(Y78="1.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(100%)","100"))))))&gt;=66,(((_xlfn.XLOOKUP(Assessment!#REF!,Inherited!A:A,Inherited!B:B))/100)*(_xlfn.XLOOKUP(Assessment!#REF!,Inherited!A:A,Inherited!D:D)))+(((100-(_xlfn.XLOOKUP(Assessment!#REF!,Inherited!A:A,Inherited!B:B)))/100)*IF(Y78="1.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(100%)","100"))))))&lt;=89),"75",IF((((_xlfn.XLOOKUP(Assessment!#REF!,Inherited!A:A,Inherited!B:B))/100)*(_xlfn.XLOOKUP(Assessment!#REF!,Inherited!A:A,Inherited!D:D)))+(((100-(_xlfn.XLOOKUP(Assessment!#REF!,Inherited!A:A,Inherited!B:B)))/100)*IF(Y78="1. Non Compliant (0%)","0",IF(Y78="2. Somewhat Compliant (25%)","25",IF(Y78="3. Partially Compliant (50%)","50",IF(Y78="4. Mostly Compliant (75%)","75",IF(Y78="5. Fully Compliant (100%)","100"))))))&gt;=90,"100"))))))</f>
        <v>#N/A</v>
      </c>
      <c r="S78" s="1" t="e">
        <f>IF(MATCH(H78,Inherited!A:A),IF((((_xlfn.XLOOKUP(Assessment!#REF!,Inherited!A:A,Inherited!B:B))/100)*(_xlfn.XLOOKUP(Assessment!#REF!,Inherited!A:A,Inherited!E:E)))+(((100-(_xlfn.XLOOKUP(Assessment!#REF!,Inherited!A:A,Inherited!B:B)))/100)*IF(Z78="1.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(100%)","100"))))))&lt;=10,"0", IF(AND((((_xlfn.XLOOKUP(Assessment!#REF!,Inherited!A:A,Inherited!B:B))/100)*(_xlfn.XLOOKUP(Assessment!#REF!,Inherited!A:A,Inherited!E:E)))+(((100-(_xlfn.XLOOKUP(Assessment!#REF!,Inherited!A:A,Inherited!B:B)))/100)*IF(Z78="1.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(100%)","100"))))))&gt;=11,(((_xlfn.XLOOKUP(Assessment!#REF!,Inherited!A:A,Inherited!B:B))/100)*(_xlfn.XLOOKUP(Assessment!#REF!,Inherited!A:A,Inherited!E:E)))+(((100-(_xlfn.XLOOKUP(Assessment!#REF!,Inherited!A:A,Inherited!B:B)))/100)*IF(Z78="1.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(100%)","100"))))))&lt;=32),"25",IF(AND((((_xlfn.XLOOKUP(Assessment!#REF!,Inherited!A:A,Inherited!B:B))/100)*(_xlfn.XLOOKUP(Assessment!#REF!,Inherited!A:A,Inherited!E:E)))+(((100-(_xlfn.XLOOKUP(Assessment!#REF!,Inherited!A:A,Inherited!B:B)))/100)*IF(Z78="1.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(100%)","100"))))))&gt;=33,(((_xlfn.XLOOKUP(Assessment!#REF!,Inherited!A:A,Inherited!B:B))/100)*(_xlfn.XLOOKUP(Assessment!#REF!,Inherited!A:A,Inherited!E:E)))+(((100-(_xlfn.XLOOKUP(Assessment!#REF!,Inherited!A:A,Inherited!B:B)))/100)*IF(Z78="1.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(100%)","100"))))))&lt;=65),"50",IF(AND((((_xlfn.XLOOKUP(Assessment!#REF!,Inherited!A:A,Inherited!B:B))/100)*(_xlfn.XLOOKUP(Assessment!#REF!,Inherited!A:A,Inherited!E:E)))+(((100-(_xlfn.XLOOKUP(Assessment!#REF!,Inherited!A:A,Inherited!B:B)))/100)*IF(Z78="1.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(100%)","100"))))))&gt;=66,(((_xlfn.XLOOKUP(Assessment!#REF!,Inherited!A:A,Inherited!B:B))/100)*(_xlfn.XLOOKUP(Assessment!#REF!,Inherited!A:A,Inherited!E:E)))+(((100-(_xlfn.XLOOKUP(Assessment!#REF!,Inherited!A:A,Inherited!B:B)))/100)*IF(Z78="1.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(100%)","100"))))))&lt;=89),"75",IF((((_xlfn.XLOOKUP(Assessment!#REF!,Inherited!A:A,Inherited!B:B))/100)*(_xlfn.XLOOKUP(Assessment!#REF!,Inherited!A:A,Inherited!E:E)))+(((100-(_xlfn.XLOOKUP(Assessment!#REF!,Inherited!A:A,Inherited!B:B)))/100)*IF(Z78="1. Non Compliant (0%)","0",IF(Z78="2. Somewhat Compliant (25%)","25",IF(Z78="3. Partially Compliant (50%)","50",IF(Z78="4. Mostly Compliant (75%)","75",IF(Z78="5. Fully Compliant (100%)","100"))))))&gt;=90,"100"))))))</f>
        <v>#N/A</v>
      </c>
      <c r="T78" s="1" t="e">
        <f>IF(MATCH(H78,Inherited!A:A),IF((((_xlfn.XLOOKUP(Assessment!#REF!,Inherited!A:A,Inherited!B:B))/100)*(_xlfn.XLOOKUP(Assessment!#REF!,Inherited!A:A,Inherited!F:F)))+(((100-(_xlfn.XLOOKUP(Assessment!#REF!,Inherited!A:A,Inherited!B:B)))/100)*IF(AA78="1.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(100%)","100"))))))&lt;=10,"0", IF(AND((((_xlfn.XLOOKUP(Assessment!#REF!,Inherited!A:A,Inherited!B:B))/100)*(_xlfn.XLOOKUP(Assessment!#REF!,Inherited!A:A,Inherited!F:F)))+(((100-(_xlfn.XLOOKUP(Assessment!#REF!,Inherited!A:A,Inherited!B:B)))/100)*IF(AA78="1.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(100%)","100"))))))&gt;=11,(((_xlfn.XLOOKUP(Assessment!#REF!,Inherited!A:A,Inherited!B:B))/100)*(_xlfn.XLOOKUP(Assessment!#REF!,Inherited!A:A,Inherited!F:F)))+(((100-(_xlfn.XLOOKUP(Assessment!#REF!,Inherited!A:A,Inherited!B:B)))/100)*IF(AA78="1.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(100%)","100"))))))&lt;=32),"25",IF(AND((((_xlfn.XLOOKUP(Assessment!#REF!,Inherited!A:A,Inherited!B:B))/100)*(_xlfn.XLOOKUP(Assessment!#REF!,Inherited!A:A,Inherited!F:F)))+(((100-(_xlfn.XLOOKUP(Assessment!#REF!,Inherited!A:A,Inherited!B:B)))/100)*IF(AA78="1.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(100%)","100"))))))&gt;=33,(((_xlfn.XLOOKUP(Assessment!#REF!,Inherited!A:A,Inherited!B:B))/100)*(_xlfn.XLOOKUP(Assessment!#REF!,Inherited!A:A,Inherited!F:F)))+(((100-(_xlfn.XLOOKUP(Assessment!#REF!,Inherited!A:A,Inherited!B:B)))/100)*IF(AA78="1.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(100%)","100"))))))&lt;=65),"50",IF(AND((((_xlfn.XLOOKUP(Assessment!#REF!,Inherited!A:A,Inherited!B:B))/100)*(_xlfn.XLOOKUP(Assessment!#REF!,Inherited!A:A,Inherited!F:F)))+(((100-(_xlfn.XLOOKUP(Assessment!#REF!,Inherited!A:A,Inherited!B:B)))/100)*IF(AA78="1.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(100%)","100"))))))&gt;=66,(((_xlfn.XLOOKUP(Assessment!#REF!,Inherited!A:A,Inherited!B:B))/100)*(_xlfn.XLOOKUP(Assessment!#REF!,Inherited!A:A,Inherited!F:F)))+(((100-(_xlfn.XLOOKUP(Assessment!#REF!,Inherited!A:A,Inherited!B:B)))/100)*IF(AA78="1.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(100%)","100"))))))&lt;=89),"75",IF((((_xlfn.XLOOKUP(Assessment!#REF!,Inherited!A:A,Inherited!B:B))/100)*(_xlfn.XLOOKUP(Assessment!#REF!,Inherited!A:A,Inherited!F:F)))+(((100-(_xlfn.XLOOKUP(Assessment!#REF!,Inherited!A:A,Inherited!B:B)))/100)*IF(AA78="1. Non Compliant (0%)","0",IF(AA78="2. Somewhat Compliant (25%)","25",IF(AA78="3. Partially Compliant (50%)","50",IF(AA78="4. Mostly Compliant (75%)","75",IF(AA78="5. Fully Compliant (100%)","100"))))))&gt;=90,"100"))))))</f>
        <v>#N/A</v>
      </c>
      <c r="U78" s="1" t="e">
        <f>IF(MATCH(H78,Inherited!A:A),IF((((_xlfn.XLOOKUP(Assessment!#REF!,Inherited!A:A,Inherited!B:B))/100)*(_xlfn.XLOOKUP(Assessment!#REF!,Inherited!A:A,Inherited!G:G)))+(((100-(_xlfn.XLOOKUP(Assessment!#REF!,Inherited!A:A,Inherited!B:B)))/100)*IF(AB78="1.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(100%)","100"))))))&lt;=10,"0", IF(AND((((_xlfn.XLOOKUP(Assessment!#REF!,Inherited!A:A,Inherited!B:B))/100)*(_xlfn.XLOOKUP(Assessment!#REF!,Inherited!A:A,Inherited!G:G)))+(((100-(_xlfn.XLOOKUP(Assessment!#REF!,Inherited!A:A,Inherited!B:B)))/100)*IF(AB78="1.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(100%)","100"))))))&gt;=11,(((_xlfn.XLOOKUP(Assessment!#REF!,Inherited!A:A,Inherited!B:B))/100)*(_xlfn.XLOOKUP(Assessment!#REF!,Inherited!A:A,Inherited!G:G)))+(((100-(_xlfn.XLOOKUP(Assessment!#REF!,Inherited!A:A,Inherited!B:B)))/100)*IF(AB78="1.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(100%)","100"))))))&lt;=32),"25",IF(AND((((_xlfn.XLOOKUP(Assessment!#REF!,Inherited!A:A,Inherited!B:B))/100)*(_xlfn.XLOOKUP(Assessment!#REF!,Inherited!A:A,Inherited!G:G)))+(((100-(_xlfn.XLOOKUP(Assessment!#REF!,Inherited!A:A,Inherited!B:B)))/100)*IF(AB78="1.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(100%)","100"))))))&gt;=33,(((_xlfn.XLOOKUP(Assessment!#REF!,Inherited!A:A,Inherited!B:B))/100)*(_xlfn.XLOOKUP(Assessment!#REF!,Inherited!A:A,Inherited!G:G)))+(((100-(_xlfn.XLOOKUP(Assessment!#REF!,Inherited!A:A,Inherited!B:B)))/100)*IF(AB78="1.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(100%)","100"))))))&lt;=65),"50",IF(AND((((_xlfn.XLOOKUP(Assessment!#REF!,Inherited!A:A,Inherited!B:B))/100)*(_xlfn.XLOOKUP(Assessment!#REF!,Inherited!A:A,Inherited!G:G)))+(((100-(_xlfn.XLOOKUP(Assessment!#REF!,Inherited!A:A,Inherited!B:B)))/100)*IF(AB78="1.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(100%)","100"))))))&gt;=66,(((_xlfn.XLOOKUP(Assessment!#REF!,Inherited!A:A,Inherited!B:B))/100)*(_xlfn.XLOOKUP(Assessment!#REF!,Inherited!A:A,Inherited!G:G)))+(((100-(_xlfn.XLOOKUP(Assessment!#REF!,Inherited!A:A,Inherited!B:B)))/100)*IF(AB78="1.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(100%)","100"))))))&lt;=89),"75",IF((((_xlfn.XLOOKUP(Assessment!#REF!,Inherited!A:A,Inherited!B:B))/100)*(_xlfn.XLOOKUP(Assessment!#REF!,Inherited!A:A,Inherited!G:G)))+(((100-(_xlfn.XLOOKUP(Assessment!#REF!,Inherited!A:A,Inherited!B:B)))/100)*IF(AB78="1. Non Compliant (0%)","0",IF(AB78="2. Somewhat Compliant (25%)","25",IF(AB78="3. Partially Compliant (50%)","50",IF(AB78="4. Mostly Compliant (75%)","75",IF(AB78="5. Fully Compliant (100%)","100"))))))&gt;=90,"100"))))))</f>
        <v>#N/A</v>
      </c>
      <c r="V78" s="55" t="s">
        <v>85</v>
      </c>
      <c r="W78" s="55"/>
      <c r="X78" s="55"/>
      <c r="Y78" s="55"/>
      <c r="Z78" s="55" t="s">
        <v>86</v>
      </c>
      <c r="AA78" s="55"/>
      <c r="AB78" s="55"/>
      <c r="AK78" s="1" t="s">
        <v>10891</v>
      </c>
      <c r="AM78" s="1" t="s">
        <v>10916</v>
      </c>
      <c r="AX78" s="3" t="str">
        <f>_xlfn.CONCAT("A-LIGN finished its review of this control on ",AR78, " during the scheduled fieldwork window (",Intro!$B$4,")."&amp; CHAR(10)&amp; CHAR(10))</f>
        <v xml:space="preserve">A-LIGN finished its review of this control on  during the scheduled fieldwork window (Fieldwork: xx/xx/xxxx - xx/xx/xxxx).
</v>
      </c>
      <c r="AY78" s="3" t="str">
        <f t="shared" si="151"/>
        <v/>
      </c>
      <c r="AZ78" s="3" t="str">
        <f t="shared" si="152"/>
        <v/>
      </c>
      <c r="BA78" s="3" t="str">
        <f t="shared" si="153"/>
        <v/>
      </c>
      <c r="BB78" s="3" t="str">
        <f t="shared" si="154"/>
        <v xml:space="preserve">Inquired of the following workforce member: 
Matthew Macaluso - Director of System Operations
Roze Nicolas - Director of TechOps
Inquiry lead to the following conclusions: 
</v>
      </c>
      <c r="BC78" s="3" t="str">
        <f t="shared" si="155"/>
        <v xml:space="preserve">Observed the following live during fieldwork: 
Observed the Entra Authentication Methods dashboard and determined that policies are configured to ensure password complexity is defined and enforced within the environment.
</v>
      </c>
      <c r="BD78" s="3" t="str">
        <f t="shared" si="156"/>
        <v xml:space="preserve">Examined the following evidence during fieldwork:
Reviewed evidence addressed the requirement statement.
</v>
      </c>
      <c r="BE78" s="3" t="str">
        <f t="shared" si="157"/>
        <v/>
      </c>
      <c r="BF78" s="3" t="str">
        <f t="shared" si="158"/>
        <v/>
      </c>
      <c r="BG78" s="3" t="str">
        <f>_xlfn.CONCAT((IF((COUNTIF('Sample Tables'!B:B,"")&gt;0)=TRUE,_xlfn.CONCAT("",""),IF((COUNTIF('Sample Tables'!B:B,"")&gt;0)=FALSE,""))),)</f>
        <v/>
      </c>
      <c r="BH78" s="3" t="str">
        <f t="shared" si="15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Entra Authentication Methods dashboard and determined that policies are configured to ensure password complexity is defined and enforced within the environment.
Examined the following evidence during fieldwork:
Reviewed evidence addressed the requirement statement.
</v>
      </c>
    </row>
    <row r="79" spans="3:60" ht="275" x14ac:dyDescent="0.35">
      <c r="C79" s="1">
        <f t="shared" si="150"/>
        <v>40</v>
      </c>
      <c r="D79" s="5" t="str">
        <f>IF(AND((_xlfn.XLOOKUP(J79,'Fields &amp; Revisions'!$H:$H,'Fields &amp; Revisions'!$I:$I))&lt;70.99,(OR(Z79="4. Mostly Compliant (75%)",Z79="3. Partially Compliant (50%)",Z79="2. Somewhat Compliant (25%)",Z79="1. Non Compliant (0%)"))),"Yes","No")</f>
        <v>No</v>
      </c>
      <c r="E79" s="5" t="str">
        <f>IF(ISERROR(VLOOKUP(H79,Scope!A:A,1,FALSE)),"No","Yes")</f>
        <v>Yes</v>
      </c>
      <c r="F79" s="1" t="s">
        <v>2290</v>
      </c>
      <c r="G79" s="53" t="s">
        <v>2346</v>
      </c>
      <c r="H79" s="53" t="s">
        <v>2347</v>
      </c>
      <c r="I79" s="5">
        <v>1</v>
      </c>
      <c r="J79" s="1" t="s">
        <v>2348</v>
      </c>
      <c r="K79" s="1" t="s">
        <v>2349</v>
      </c>
      <c r="L79" s="1" t="s">
        <v>2350</v>
      </c>
      <c r="M79" s="1" t="s">
        <v>2351</v>
      </c>
      <c r="N79" s="5" t="s">
        <v>98</v>
      </c>
      <c r="O79" s="1" t="str">
        <f>_xlfn.XLOOKUP(G79,SRMs!$A:$A,SRMs!$D:$D)</f>
        <v>PARTIAL INHERITANCE</v>
      </c>
      <c r="P79" s="1" t="str">
        <f>IFERROR(VLOOKUP(H79,Inherited!A:B,2,FALSE),"")</f>
        <v/>
      </c>
      <c r="Q79" s="1" t="e">
        <f>IF(MATCH(H79,Inherited!A:A),IF((((_xlfn.XLOOKUP(Assessment!#REF!,Inherited!A:A,Inherited!B:B))/100)*(_xlfn.XLOOKUP(Assessment!#REF!,Inherited!A:A,Inherited!C:C)))+(((100-(_xlfn.XLOOKUP(Assessment!#REF!,Inherited!A:A,Inherited!B:B)))/100)*IF(X79="1.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(100%)","100"))))))&lt;=10,"0", IF(AND((((_xlfn.XLOOKUP(Assessment!#REF!,Inherited!A:A,Inherited!B:B))/100)*(_xlfn.XLOOKUP(Assessment!#REF!,Inherited!A:A,Inherited!C:C)))+(((100-(_xlfn.XLOOKUP(Assessment!#REF!,Inherited!A:A,Inherited!B:B)))/100)*IF(X79="1.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(100%)","100"))))))&gt;=11,(((_xlfn.XLOOKUP(Assessment!#REF!,Inherited!A:A,Inherited!B:B))/100)*(_xlfn.XLOOKUP(Assessment!#REF!,Inherited!A:A,Inherited!C:C)))+(((100-(_xlfn.XLOOKUP(Assessment!#REF!,Inherited!A:A,Inherited!B:B)))/100)*IF(X79="1.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(100%)","100"))))))&lt;=32),"25",IF(AND((((_xlfn.XLOOKUP(Assessment!#REF!,Inherited!A:A,Inherited!B:B))/100)*(_xlfn.XLOOKUP(Assessment!#REF!,Inherited!A:A,Inherited!C:C)))+(((100-(_xlfn.XLOOKUP(Assessment!#REF!,Inherited!A:A,Inherited!B:B)))/100)*IF(X79="1.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(100%)","100"))))))&gt;=33,(((_xlfn.XLOOKUP(Assessment!#REF!,Inherited!A:A,Inherited!B:B))/100)*(_xlfn.XLOOKUP(Assessment!#REF!,Inherited!A:A,Inherited!C:C)))+(((100-(_xlfn.XLOOKUP(Assessment!#REF!,Inherited!A:A,Inherited!B:B)))/100)*IF(X79="1.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(100%)","100"))))))&lt;=65),"50",IF(AND((((_xlfn.XLOOKUP(Assessment!#REF!,Inherited!A:A,Inherited!B:B))/100)*(_xlfn.XLOOKUP(Assessment!#REF!,Inherited!A:A,Inherited!C:C)))+(((100-(_xlfn.XLOOKUP(Assessment!#REF!,Inherited!A:A,Inherited!B:B)))/100)*IF(X79="1.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(100%)","100"))))))&gt;=66,(((_xlfn.XLOOKUP(Assessment!#REF!,Inherited!A:A,Inherited!B:B))/100)*(_xlfn.XLOOKUP(Assessment!#REF!,Inherited!A:A,Inherited!C:C)))+(((100-(_xlfn.XLOOKUP(Assessment!#REF!,Inherited!A:A,Inherited!B:B)))/100)*IF(X79="1.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(100%)","100"))))))&lt;=89),"75",IF((((_xlfn.XLOOKUP(Assessment!#REF!,Inherited!A:A,Inherited!B:B))/100)*(_xlfn.XLOOKUP(Assessment!#REF!,Inherited!A:A,Inherited!C:C)))+(((100-(_xlfn.XLOOKUP(Assessment!#REF!,Inherited!A:A,Inherited!B:B)))/100)*IF(X79="1. Non Compliant (0%)","0",IF(X79="2. Somewhat Compliant (25%)","25",IF(X79="3. Partially Compliant (50%)","50",IF(X79="4. Mostly Compliant (75%)","75",IF(X79="5. Fully Compliant (100%)","100"))))))&gt;=90,"100"))))))</f>
        <v>#N/A</v>
      </c>
      <c r="R79" s="1" t="e">
        <f>IF(MATCH(H79,Inherited!A:A),IF((((_xlfn.XLOOKUP(Assessment!#REF!,Inherited!A:A,Inherited!B:B))/100)*(_xlfn.XLOOKUP(Assessment!#REF!,Inherited!A:A,Inherited!D:D)))+(((100-(_xlfn.XLOOKUP(Assessment!#REF!,Inherited!A:A,Inherited!B:B)))/100)*IF(Y79="1.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(100%)","100"))))))&lt;=10,"0", IF(AND((((_xlfn.XLOOKUP(Assessment!#REF!,Inherited!A:A,Inherited!B:B))/100)*(_xlfn.XLOOKUP(Assessment!#REF!,Inherited!A:A,Inherited!D:D)))+(((100-(_xlfn.XLOOKUP(Assessment!#REF!,Inherited!A:A,Inherited!B:B)))/100)*IF(Y79="1.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(100%)","100"))))))&gt;=11,(((_xlfn.XLOOKUP(Assessment!#REF!,Inherited!A:A,Inherited!B:B))/100)*(_xlfn.XLOOKUP(Assessment!#REF!,Inherited!A:A,Inherited!D:D)))+(((100-(_xlfn.XLOOKUP(Assessment!#REF!,Inherited!A:A,Inherited!B:B)))/100)*IF(Y79="1.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(100%)","100"))))))&lt;=32),"25",IF(AND((((_xlfn.XLOOKUP(Assessment!#REF!,Inherited!A:A,Inherited!B:B))/100)*(_xlfn.XLOOKUP(Assessment!#REF!,Inherited!A:A,Inherited!D:D)))+(((100-(_xlfn.XLOOKUP(Assessment!#REF!,Inherited!A:A,Inherited!B:B)))/100)*IF(Y79="1.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(100%)","100"))))))&gt;=33,(((_xlfn.XLOOKUP(Assessment!#REF!,Inherited!A:A,Inherited!B:B))/100)*(_xlfn.XLOOKUP(Assessment!#REF!,Inherited!A:A,Inherited!D:D)))+(((100-(_xlfn.XLOOKUP(Assessment!#REF!,Inherited!A:A,Inherited!B:B)))/100)*IF(Y79="1.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(100%)","100"))))))&lt;=65),"50",IF(AND((((_xlfn.XLOOKUP(Assessment!#REF!,Inherited!A:A,Inherited!B:B))/100)*(_xlfn.XLOOKUP(Assessment!#REF!,Inherited!A:A,Inherited!D:D)))+(((100-(_xlfn.XLOOKUP(Assessment!#REF!,Inherited!A:A,Inherited!B:B)))/100)*IF(Y79="1.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(100%)","100"))))))&gt;=66,(((_xlfn.XLOOKUP(Assessment!#REF!,Inherited!A:A,Inherited!B:B))/100)*(_xlfn.XLOOKUP(Assessment!#REF!,Inherited!A:A,Inherited!D:D)))+(((100-(_xlfn.XLOOKUP(Assessment!#REF!,Inherited!A:A,Inherited!B:B)))/100)*IF(Y79="1.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(100%)","100"))))))&lt;=89),"75",IF((((_xlfn.XLOOKUP(Assessment!#REF!,Inherited!A:A,Inherited!B:B))/100)*(_xlfn.XLOOKUP(Assessment!#REF!,Inherited!A:A,Inherited!D:D)))+(((100-(_xlfn.XLOOKUP(Assessment!#REF!,Inherited!A:A,Inherited!B:B)))/100)*IF(Y79="1. Non Compliant (0%)","0",IF(Y79="2. Somewhat Compliant (25%)","25",IF(Y79="3. Partially Compliant (50%)","50",IF(Y79="4. Mostly Compliant (75%)","75",IF(Y79="5. Fully Compliant (100%)","100"))))))&gt;=90,"100"))))))</f>
        <v>#N/A</v>
      </c>
      <c r="S79" s="1" t="e">
        <f>IF(MATCH(H79,Inherited!A:A),IF((((_xlfn.XLOOKUP(Assessment!#REF!,Inherited!A:A,Inherited!B:B))/100)*(_xlfn.XLOOKUP(Assessment!#REF!,Inherited!A:A,Inherited!E:E)))+(((100-(_xlfn.XLOOKUP(Assessment!#REF!,Inherited!A:A,Inherited!B:B)))/100)*IF(Z79="1.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(100%)","100"))))))&lt;=10,"0", IF(AND((((_xlfn.XLOOKUP(Assessment!#REF!,Inherited!A:A,Inherited!B:B))/100)*(_xlfn.XLOOKUP(Assessment!#REF!,Inherited!A:A,Inherited!E:E)))+(((100-(_xlfn.XLOOKUP(Assessment!#REF!,Inherited!A:A,Inherited!B:B)))/100)*IF(Z79="1.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(100%)","100"))))))&gt;=11,(((_xlfn.XLOOKUP(Assessment!#REF!,Inherited!A:A,Inherited!B:B))/100)*(_xlfn.XLOOKUP(Assessment!#REF!,Inherited!A:A,Inherited!E:E)))+(((100-(_xlfn.XLOOKUP(Assessment!#REF!,Inherited!A:A,Inherited!B:B)))/100)*IF(Z79="1.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(100%)","100"))))))&lt;=32),"25",IF(AND((((_xlfn.XLOOKUP(Assessment!#REF!,Inherited!A:A,Inherited!B:B))/100)*(_xlfn.XLOOKUP(Assessment!#REF!,Inherited!A:A,Inherited!E:E)))+(((100-(_xlfn.XLOOKUP(Assessment!#REF!,Inherited!A:A,Inherited!B:B)))/100)*IF(Z79="1.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(100%)","100"))))))&gt;=33,(((_xlfn.XLOOKUP(Assessment!#REF!,Inherited!A:A,Inherited!B:B))/100)*(_xlfn.XLOOKUP(Assessment!#REF!,Inherited!A:A,Inherited!E:E)))+(((100-(_xlfn.XLOOKUP(Assessment!#REF!,Inherited!A:A,Inherited!B:B)))/100)*IF(Z79="1.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(100%)","100"))))))&lt;=65),"50",IF(AND((((_xlfn.XLOOKUP(Assessment!#REF!,Inherited!A:A,Inherited!B:B))/100)*(_xlfn.XLOOKUP(Assessment!#REF!,Inherited!A:A,Inherited!E:E)))+(((100-(_xlfn.XLOOKUP(Assessment!#REF!,Inherited!A:A,Inherited!B:B)))/100)*IF(Z79="1.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(100%)","100"))))))&gt;=66,(((_xlfn.XLOOKUP(Assessment!#REF!,Inherited!A:A,Inherited!B:B))/100)*(_xlfn.XLOOKUP(Assessment!#REF!,Inherited!A:A,Inherited!E:E)))+(((100-(_xlfn.XLOOKUP(Assessment!#REF!,Inherited!A:A,Inherited!B:B)))/100)*IF(Z79="1.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(100%)","100"))))))&lt;=89),"75",IF((((_xlfn.XLOOKUP(Assessment!#REF!,Inherited!A:A,Inherited!B:B))/100)*(_xlfn.XLOOKUP(Assessment!#REF!,Inherited!A:A,Inherited!E:E)))+(((100-(_xlfn.XLOOKUP(Assessment!#REF!,Inherited!A:A,Inherited!B:B)))/100)*IF(Z79="1. Non Compliant (0%)","0",IF(Z79="2. Somewhat Compliant (25%)","25",IF(Z79="3. Partially Compliant (50%)","50",IF(Z79="4. Mostly Compliant (75%)","75",IF(Z79="5. Fully Compliant (100%)","100"))))))&gt;=90,"100"))))))</f>
        <v>#N/A</v>
      </c>
      <c r="T79" s="1" t="e">
        <f>IF(MATCH(H79,Inherited!A:A),IF((((_xlfn.XLOOKUP(Assessment!#REF!,Inherited!A:A,Inherited!B:B))/100)*(_xlfn.XLOOKUP(Assessment!#REF!,Inherited!A:A,Inherited!F:F)))+(((100-(_xlfn.XLOOKUP(Assessment!#REF!,Inherited!A:A,Inherited!B:B)))/100)*IF(AA79="1.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(100%)","100"))))))&lt;=10,"0", IF(AND((((_xlfn.XLOOKUP(Assessment!#REF!,Inherited!A:A,Inherited!B:B))/100)*(_xlfn.XLOOKUP(Assessment!#REF!,Inherited!A:A,Inherited!F:F)))+(((100-(_xlfn.XLOOKUP(Assessment!#REF!,Inherited!A:A,Inherited!B:B)))/100)*IF(AA79="1.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(100%)","100"))))))&gt;=11,(((_xlfn.XLOOKUP(Assessment!#REF!,Inherited!A:A,Inherited!B:B))/100)*(_xlfn.XLOOKUP(Assessment!#REF!,Inherited!A:A,Inherited!F:F)))+(((100-(_xlfn.XLOOKUP(Assessment!#REF!,Inherited!A:A,Inherited!B:B)))/100)*IF(AA79="1.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(100%)","100"))))))&lt;=32),"25",IF(AND((((_xlfn.XLOOKUP(Assessment!#REF!,Inherited!A:A,Inherited!B:B))/100)*(_xlfn.XLOOKUP(Assessment!#REF!,Inherited!A:A,Inherited!F:F)))+(((100-(_xlfn.XLOOKUP(Assessment!#REF!,Inherited!A:A,Inherited!B:B)))/100)*IF(AA79="1.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(100%)","100"))))))&gt;=33,(((_xlfn.XLOOKUP(Assessment!#REF!,Inherited!A:A,Inherited!B:B))/100)*(_xlfn.XLOOKUP(Assessment!#REF!,Inherited!A:A,Inherited!F:F)))+(((100-(_xlfn.XLOOKUP(Assessment!#REF!,Inherited!A:A,Inherited!B:B)))/100)*IF(AA79="1.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(100%)","100"))))))&lt;=65),"50",IF(AND((((_xlfn.XLOOKUP(Assessment!#REF!,Inherited!A:A,Inherited!B:B))/100)*(_xlfn.XLOOKUP(Assessment!#REF!,Inherited!A:A,Inherited!F:F)))+(((100-(_xlfn.XLOOKUP(Assessment!#REF!,Inherited!A:A,Inherited!B:B)))/100)*IF(AA79="1.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(100%)","100"))))))&gt;=66,(((_xlfn.XLOOKUP(Assessment!#REF!,Inherited!A:A,Inherited!B:B))/100)*(_xlfn.XLOOKUP(Assessment!#REF!,Inherited!A:A,Inherited!F:F)))+(((100-(_xlfn.XLOOKUP(Assessment!#REF!,Inherited!A:A,Inherited!B:B)))/100)*IF(AA79="1.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(100%)","100"))))))&lt;=89),"75",IF((((_xlfn.XLOOKUP(Assessment!#REF!,Inherited!A:A,Inherited!B:B))/100)*(_xlfn.XLOOKUP(Assessment!#REF!,Inherited!A:A,Inherited!F:F)))+(((100-(_xlfn.XLOOKUP(Assessment!#REF!,Inherited!A:A,Inherited!B:B)))/100)*IF(AA79="1. Non Compliant (0%)","0",IF(AA79="2. Somewhat Compliant (25%)","25",IF(AA79="3. Partially Compliant (50%)","50",IF(AA79="4. Mostly Compliant (75%)","75",IF(AA79="5. Fully Compliant (100%)","100"))))))&gt;=90,"100"))))))</f>
        <v>#N/A</v>
      </c>
      <c r="U79" s="1" t="e">
        <f>IF(MATCH(H79,Inherited!A:A),IF((((_xlfn.XLOOKUP(Assessment!#REF!,Inherited!A:A,Inherited!B:B))/100)*(_xlfn.XLOOKUP(Assessment!#REF!,Inherited!A:A,Inherited!G:G)))+(((100-(_xlfn.XLOOKUP(Assessment!#REF!,Inherited!A:A,Inherited!B:B)))/100)*IF(AB79="1.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(100%)","100"))))))&lt;=10,"0", IF(AND((((_xlfn.XLOOKUP(Assessment!#REF!,Inherited!A:A,Inherited!B:B))/100)*(_xlfn.XLOOKUP(Assessment!#REF!,Inherited!A:A,Inherited!G:G)))+(((100-(_xlfn.XLOOKUP(Assessment!#REF!,Inherited!A:A,Inherited!B:B)))/100)*IF(AB79="1.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(100%)","100"))))))&gt;=11,(((_xlfn.XLOOKUP(Assessment!#REF!,Inherited!A:A,Inherited!B:B))/100)*(_xlfn.XLOOKUP(Assessment!#REF!,Inherited!A:A,Inherited!G:G)))+(((100-(_xlfn.XLOOKUP(Assessment!#REF!,Inherited!A:A,Inherited!B:B)))/100)*IF(AB79="1.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(100%)","100"))))))&lt;=32),"25",IF(AND((((_xlfn.XLOOKUP(Assessment!#REF!,Inherited!A:A,Inherited!B:B))/100)*(_xlfn.XLOOKUP(Assessment!#REF!,Inherited!A:A,Inherited!G:G)))+(((100-(_xlfn.XLOOKUP(Assessment!#REF!,Inherited!A:A,Inherited!B:B)))/100)*IF(AB79="1.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(100%)","100"))))))&gt;=33,(((_xlfn.XLOOKUP(Assessment!#REF!,Inherited!A:A,Inherited!B:B))/100)*(_xlfn.XLOOKUP(Assessment!#REF!,Inherited!A:A,Inherited!G:G)))+(((100-(_xlfn.XLOOKUP(Assessment!#REF!,Inherited!A:A,Inherited!B:B)))/100)*IF(AB79="1.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(100%)","100"))))))&lt;=65),"50",IF(AND((((_xlfn.XLOOKUP(Assessment!#REF!,Inherited!A:A,Inherited!B:B))/100)*(_xlfn.XLOOKUP(Assessment!#REF!,Inherited!A:A,Inherited!G:G)))+(((100-(_xlfn.XLOOKUP(Assessment!#REF!,Inherited!A:A,Inherited!B:B)))/100)*IF(AB79="1.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(100%)","100"))))))&gt;=66,(((_xlfn.XLOOKUP(Assessment!#REF!,Inherited!A:A,Inherited!B:B))/100)*(_xlfn.XLOOKUP(Assessment!#REF!,Inherited!A:A,Inherited!G:G)))+(((100-(_xlfn.XLOOKUP(Assessment!#REF!,Inherited!A:A,Inherited!B:B)))/100)*IF(AB79="1.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(100%)","100"))))))&lt;=89),"75",IF((((_xlfn.XLOOKUP(Assessment!#REF!,Inherited!A:A,Inherited!B:B))/100)*(_xlfn.XLOOKUP(Assessment!#REF!,Inherited!A:A,Inherited!G:G)))+(((100-(_xlfn.XLOOKUP(Assessment!#REF!,Inherited!A:A,Inherited!B:B)))/100)*IF(AB79="1. Non Compliant (0%)","0",IF(AB79="2. Somewhat Compliant (25%)","25",IF(AB79="3. Partially Compliant (50%)","50",IF(AB79="4. Mostly Compliant (75%)","75",IF(AB79="5. Fully Compliant (100%)","100"))))))&gt;=90,"100"))))))</f>
        <v>#N/A</v>
      </c>
      <c r="V79" s="55" t="s">
        <v>85</v>
      </c>
      <c r="W79" s="55"/>
      <c r="X79" s="55"/>
      <c r="Y79" s="55"/>
      <c r="Z79" s="55" t="s">
        <v>86</v>
      </c>
      <c r="AA79" s="55"/>
      <c r="AB79" s="55"/>
      <c r="AK79" s="1" t="s">
        <v>10891</v>
      </c>
      <c r="AL79" s="1" t="s">
        <v>10931</v>
      </c>
      <c r="AX79" s="3" t="str">
        <f>_xlfn.CONCAT("A-LIGN finished its review of this control on ",AR79, " during the scheduled fieldwork window (",Intro!$B$4,")."&amp; CHAR(10)&amp; CHAR(10))</f>
        <v xml:space="preserve">A-LIGN finished its review of this control on  during the scheduled fieldwork window (Fieldwork: xx/xx/xxxx - xx/xx/xxxx).
</v>
      </c>
      <c r="AY79" s="3" t="str">
        <f t="shared" si="151"/>
        <v/>
      </c>
      <c r="AZ79" s="3" t="str">
        <f t="shared" si="152"/>
        <v/>
      </c>
      <c r="BA79" s="3" t="str">
        <f t="shared" si="153"/>
        <v/>
      </c>
      <c r="BB79" s="3" t="str">
        <f t="shared" si="154"/>
        <v xml:space="preserve">Inquired of the following workforce member: 
Matthew Macaluso - Director of System Operations
Roze Nicolas - Director of TechOps
Inquiry lead to the following conclusions: 
Users complete annual security awareness training within KnowBe4; users are also provided the Handbook and required to acknowledge that book at onboarding and then annually, Talent keeps tabs through AirMason which tracks when users need to re-acknowledge documents.
</v>
      </c>
      <c r="BC79" s="3" t="str">
        <f t="shared" si="155"/>
        <v/>
      </c>
      <c r="BD79" s="3" t="str">
        <f t="shared" si="156"/>
        <v xml:space="preserve">Examined the following evidence during fieldwork:
Reviewed evidence addressed the requirement statement.
</v>
      </c>
      <c r="BE79" s="3" t="str">
        <f t="shared" si="157"/>
        <v/>
      </c>
      <c r="BF79" s="3" t="str">
        <f t="shared" si="158"/>
        <v/>
      </c>
      <c r="BG79" s="3" t="str">
        <f>_xlfn.CONCAT((IF((COUNTIF('Sample Tables'!B:B,"")&gt;0)=TRUE,_xlfn.CONCAT("",""),IF((COUNTIF('Sample Tables'!B:B,"")&gt;0)=FALSE,""))),)</f>
        <v/>
      </c>
      <c r="BH79" s="3" t="str">
        <f t="shared" si="15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Users complete annual security awareness training within KnowBe4; users are also provided the Handbook and required to acknowledge that book at onboarding and then annually, Talent keeps tabs through AirMason which tracks when users need to re-acknowledge documents.
Examined the following evidence during fieldwork:
Reviewed evidence addressed the requirement statement.
</v>
      </c>
    </row>
    <row r="80" spans="3:60" ht="400" x14ac:dyDescent="0.35">
      <c r="C80" s="1">
        <f t="shared" si="150"/>
        <v>40</v>
      </c>
      <c r="D80" s="5" t="str">
        <f>IF(AND((_xlfn.XLOOKUP(J80,'Fields &amp; Revisions'!$H:$H,'Fields &amp; Revisions'!$I:$I))&lt;70.99,(OR(Z80="4. Mostly Compliant (75%)",Z80="3. Partially Compliant (50%)",Z80="2. Somewhat Compliant (25%)",Z80="1. Non Compliant (0%)"))),"Yes","No")</f>
        <v>No</v>
      </c>
      <c r="E80" s="5" t="str">
        <f>IF(ISERROR(VLOOKUP(H80,Scope!A:A,1,FALSE)),"No","Yes")</f>
        <v>Yes</v>
      </c>
      <c r="F80" s="1" t="s">
        <v>2290</v>
      </c>
      <c r="G80" s="53" t="s">
        <v>2355</v>
      </c>
      <c r="H80" s="53" t="s">
        <v>2356</v>
      </c>
      <c r="I80" s="5">
        <v>1</v>
      </c>
      <c r="J80" s="1" t="s">
        <v>2354</v>
      </c>
      <c r="K80" s="1" t="s">
        <v>2357</v>
      </c>
      <c r="L80" s="1" t="s">
        <v>2358</v>
      </c>
      <c r="M80" s="1" t="s">
        <v>2359</v>
      </c>
      <c r="N80" s="5" t="s">
        <v>85</v>
      </c>
      <c r="O80" s="1" t="str">
        <f>_xlfn.XLOOKUP(G80,SRMs!$A:$A,SRMs!$D:$D)</f>
        <v>PARTIAL INHERITANCE</v>
      </c>
      <c r="P80" s="1" t="str">
        <f>IFERROR(VLOOKUP(H80,Inherited!A:B,2,FALSE),"")</f>
        <v/>
      </c>
      <c r="Q80" s="1" t="e">
        <f>IF(MATCH(H80,Inherited!A:A),IF((((_xlfn.XLOOKUP(Assessment!#REF!,Inherited!A:A,Inherited!B:B))/100)*(_xlfn.XLOOKUP(Assessment!#REF!,Inherited!A:A,Inherited!C:C)))+(((100-(_xlfn.XLOOKUP(Assessment!#REF!,Inherited!A:A,Inherited!B:B)))/100)*IF(X80="1.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(100%)","100"))))))&lt;=10,"0", IF(AND((((_xlfn.XLOOKUP(Assessment!#REF!,Inherited!A:A,Inherited!B:B))/100)*(_xlfn.XLOOKUP(Assessment!#REF!,Inherited!A:A,Inherited!C:C)))+(((100-(_xlfn.XLOOKUP(Assessment!#REF!,Inherited!A:A,Inherited!B:B)))/100)*IF(X80="1.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(100%)","100"))))))&gt;=11,(((_xlfn.XLOOKUP(Assessment!#REF!,Inherited!A:A,Inherited!B:B))/100)*(_xlfn.XLOOKUP(Assessment!#REF!,Inherited!A:A,Inherited!C:C)))+(((100-(_xlfn.XLOOKUP(Assessment!#REF!,Inherited!A:A,Inherited!B:B)))/100)*IF(X80="1.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(100%)","100"))))))&lt;=32),"25",IF(AND((((_xlfn.XLOOKUP(Assessment!#REF!,Inherited!A:A,Inherited!B:B))/100)*(_xlfn.XLOOKUP(Assessment!#REF!,Inherited!A:A,Inherited!C:C)))+(((100-(_xlfn.XLOOKUP(Assessment!#REF!,Inherited!A:A,Inherited!B:B)))/100)*IF(X80="1.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(100%)","100"))))))&gt;=33,(((_xlfn.XLOOKUP(Assessment!#REF!,Inherited!A:A,Inherited!B:B))/100)*(_xlfn.XLOOKUP(Assessment!#REF!,Inherited!A:A,Inherited!C:C)))+(((100-(_xlfn.XLOOKUP(Assessment!#REF!,Inherited!A:A,Inherited!B:B)))/100)*IF(X80="1.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(100%)","100"))))))&lt;=65),"50",IF(AND((((_xlfn.XLOOKUP(Assessment!#REF!,Inherited!A:A,Inherited!B:B))/100)*(_xlfn.XLOOKUP(Assessment!#REF!,Inherited!A:A,Inherited!C:C)))+(((100-(_xlfn.XLOOKUP(Assessment!#REF!,Inherited!A:A,Inherited!B:B)))/100)*IF(X80="1.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(100%)","100"))))))&gt;=66,(((_xlfn.XLOOKUP(Assessment!#REF!,Inherited!A:A,Inherited!B:B))/100)*(_xlfn.XLOOKUP(Assessment!#REF!,Inherited!A:A,Inherited!C:C)))+(((100-(_xlfn.XLOOKUP(Assessment!#REF!,Inherited!A:A,Inherited!B:B)))/100)*IF(X80="1.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(100%)","100"))))))&lt;=89),"75",IF((((_xlfn.XLOOKUP(Assessment!#REF!,Inherited!A:A,Inherited!B:B))/100)*(_xlfn.XLOOKUP(Assessment!#REF!,Inherited!A:A,Inherited!C:C)))+(((100-(_xlfn.XLOOKUP(Assessment!#REF!,Inherited!A:A,Inherited!B:B)))/100)*IF(X80="1. Non Compliant (0%)","0",IF(X80="2. Somewhat Compliant (25%)","25",IF(X80="3. Partially Compliant (50%)","50",IF(X80="4. Mostly Compliant (75%)","75",IF(X80="5. Fully Compliant (100%)","100"))))))&gt;=90,"100"))))))</f>
        <v>#N/A</v>
      </c>
      <c r="R80" s="1" t="e">
        <f>IF(MATCH(H80,Inherited!A:A),IF((((_xlfn.XLOOKUP(Assessment!#REF!,Inherited!A:A,Inherited!B:B))/100)*(_xlfn.XLOOKUP(Assessment!#REF!,Inherited!A:A,Inherited!D:D)))+(((100-(_xlfn.XLOOKUP(Assessment!#REF!,Inherited!A:A,Inherited!B:B)))/100)*IF(Y80="1.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(100%)","100"))))))&lt;=10,"0", IF(AND((((_xlfn.XLOOKUP(Assessment!#REF!,Inherited!A:A,Inherited!B:B))/100)*(_xlfn.XLOOKUP(Assessment!#REF!,Inherited!A:A,Inherited!D:D)))+(((100-(_xlfn.XLOOKUP(Assessment!#REF!,Inherited!A:A,Inherited!B:B)))/100)*IF(Y80="1.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(100%)","100"))))))&gt;=11,(((_xlfn.XLOOKUP(Assessment!#REF!,Inherited!A:A,Inherited!B:B))/100)*(_xlfn.XLOOKUP(Assessment!#REF!,Inherited!A:A,Inherited!D:D)))+(((100-(_xlfn.XLOOKUP(Assessment!#REF!,Inherited!A:A,Inherited!B:B)))/100)*IF(Y80="1.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(100%)","100"))))))&lt;=32),"25",IF(AND((((_xlfn.XLOOKUP(Assessment!#REF!,Inherited!A:A,Inherited!B:B))/100)*(_xlfn.XLOOKUP(Assessment!#REF!,Inherited!A:A,Inherited!D:D)))+(((100-(_xlfn.XLOOKUP(Assessment!#REF!,Inherited!A:A,Inherited!B:B)))/100)*IF(Y80="1.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(100%)","100"))))))&gt;=33,(((_xlfn.XLOOKUP(Assessment!#REF!,Inherited!A:A,Inherited!B:B))/100)*(_xlfn.XLOOKUP(Assessment!#REF!,Inherited!A:A,Inherited!D:D)))+(((100-(_xlfn.XLOOKUP(Assessment!#REF!,Inherited!A:A,Inherited!B:B)))/100)*IF(Y80="1.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(100%)","100"))))))&lt;=65),"50",IF(AND((((_xlfn.XLOOKUP(Assessment!#REF!,Inherited!A:A,Inherited!B:B))/100)*(_xlfn.XLOOKUP(Assessment!#REF!,Inherited!A:A,Inherited!D:D)))+(((100-(_xlfn.XLOOKUP(Assessment!#REF!,Inherited!A:A,Inherited!B:B)))/100)*IF(Y80="1.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(100%)","100"))))))&gt;=66,(((_xlfn.XLOOKUP(Assessment!#REF!,Inherited!A:A,Inherited!B:B))/100)*(_xlfn.XLOOKUP(Assessment!#REF!,Inherited!A:A,Inherited!D:D)))+(((100-(_xlfn.XLOOKUP(Assessment!#REF!,Inherited!A:A,Inherited!B:B)))/100)*IF(Y80="1.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(100%)","100"))))))&lt;=89),"75",IF((((_xlfn.XLOOKUP(Assessment!#REF!,Inherited!A:A,Inherited!B:B))/100)*(_xlfn.XLOOKUP(Assessment!#REF!,Inherited!A:A,Inherited!D:D)))+(((100-(_xlfn.XLOOKUP(Assessment!#REF!,Inherited!A:A,Inherited!B:B)))/100)*IF(Y80="1. Non Compliant (0%)","0",IF(Y80="2. Somewhat Compliant (25%)","25",IF(Y80="3. Partially Compliant (50%)","50",IF(Y80="4. Mostly Compliant (75%)","75",IF(Y80="5. Fully Compliant (100%)","100"))))))&gt;=90,"100"))))))</f>
        <v>#N/A</v>
      </c>
      <c r="S80" s="1" t="e">
        <f>IF(MATCH(H80,Inherited!A:A),IF((((_xlfn.XLOOKUP(Assessment!#REF!,Inherited!A:A,Inherited!B:B))/100)*(_xlfn.XLOOKUP(Assessment!#REF!,Inherited!A:A,Inherited!E:E)))+(((100-(_xlfn.XLOOKUP(Assessment!#REF!,Inherited!A:A,Inherited!B:B)))/100)*IF(Z80="1.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(100%)","100"))))))&lt;=10,"0", IF(AND((((_xlfn.XLOOKUP(Assessment!#REF!,Inherited!A:A,Inherited!B:B))/100)*(_xlfn.XLOOKUP(Assessment!#REF!,Inherited!A:A,Inherited!E:E)))+(((100-(_xlfn.XLOOKUP(Assessment!#REF!,Inherited!A:A,Inherited!B:B)))/100)*IF(Z80="1.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(100%)","100"))))))&gt;=11,(((_xlfn.XLOOKUP(Assessment!#REF!,Inherited!A:A,Inherited!B:B))/100)*(_xlfn.XLOOKUP(Assessment!#REF!,Inherited!A:A,Inherited!E:E)))+(((100-(_xlfn.XLOOKUP(Assessment!#REF!,Inherited!A:A,Inherited!B:B)))/100)*IF(Z80="1.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(100%)","100"))))))&lt;=32),"25",IF(AND((((_xlfn.XLOOKUP(Assessment!#REF!,Inherited!A:A,Inherited!B:B))/100)*(_xlfn.XLOOKUP(Assessment!#REF!,Inherited!A:A,Inherited!E:E)))+(((100-(_xlfn.XLOOKUP(Assessment!#REF!,Inherited!A:A,Inherited!B:B)))/100)*IF(Z80="1.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(100%)","100"))))))&gt;=33,(((_xlfn.XLOOKUP(Assessment!#REF!,Inherited!A:A,Inherited!B:B))/100)*(_xlfn.XLOOKUP(Assessment!#REF!,Inherited!A:A,Inherited!E:E)))+(((100-(_xlfn.XLOOKUP(Assessment!#REF!,Inherited!A:A,Inherited!B:B)))/100)*IF(Z80="1.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(100%)","100"))))))&lt;=65),"50",IF(AND((((_xlfn.XLOOKUP(Assessment!#REF!,Inherited!A:A,Inherited!B:B))/100)*(_xlfn.XLOOKUP(Assessment!#REF!,Inherited!A:A,Inherited!E:E)))+(((100-(_xlfn.XLOOKUP(Assessment!#REF!,Inherited!A:A,Inherited!B:B)))/100)*IF(Z80="1.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(100%)","100"))))))&gt;=66,(((_xlfn.XLOOKUP(Assessment!#REF!,Inherited!A:A,Inherited!B:B))/100)*(_xlfn.XLOOKUP(Assessment!#REF!,Inherited!A:A,Inherited!E:E)))+(((100-(_xlfn.XLOOKUP(Assessment!#REF!,Inherited!A:A,Inherited!B:B)))/100)*IF(Z80="1.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(100%)","100"))))))&lt;=89),"75",IF((((_xlfn.XLOOKUP(Assessment!#REF!,Inherited!A:A,Inherited!B:B))/100)*(_xlfn.XLOOKUP(Assessment!#REF!,Inherited!A:A,Inherited!E:E)))+(((100-(_xlfn.XLOOKUP(Assessment!#REF!,Inherited!A:A,Inherited!B:B)))/100)*IF(Z80="1. Non Compliant (0%)","0",IF(Z80="2. Somewhat Compliant (25%)","25",IF(Z80="3. Partially Compliant (50%)","50",IF(Z80="4. Mostly Compliant (75%)","75",IF(Z80="5. Fully Compliant (100%)","100"))))))&gt;=90,"100"))))))</f>
        <v>#N/A</v>
      </c>
      <c r="T80" s="1" t="e">
        <f>IF(MATCH(H80,Inherited!A:A),IF((((_xlfn.XLOOKUP(Assessment!#REF!,Inherited!A:A,Inherited!B:B))/100)*(_xlfn.XLOOKUP(Assessment!#REF!,Inherited!A:A,Inherited!F:F)))+(((100-(_xlfn.XLOOKUP(Assessment!#REF!,Inherited!A:A,Inherited!B:B)))/100)*IF(AA80="1.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(100%)","100"))))))&lt;=10,"0", IF(AND((((_xlfn.XLOOKUP(Assessment!#REF!,Inherited!A:A,Inherited!B:B))/100)*(_xlfn.XLOOKUP(Assessment!#REF!,Inherited!A:A,Inherited!F:F)))+(((100-(_xlfn.XLOOKUP(Assessment!#REF!,Inherited!A:A,Inherited!B:B)))/100)*IF(AA80="1.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(100%)","100"))))))&gt;=11,(((_xlfn.XLOOKUP(Assessment!#REF!,Inherited!A:A,Inherited!B:B))/100)*(_xlfn.XLOOKUP(Assessment!#REF!,Inherited!A:A,Inherited!F:F)))+(((100-(_xlfn.XLOOKUP(Assessment!#REF!,Inherited!A:A,Inherited!B:B)))/100)*IF(AA80="1.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(100%)","100"))))))&lt;=32),"25",IF(AND((((_xlfn.XLOOKUP(Assessment!#REF!,Inherited!A:A,Inherited!B:B))/100)*(_xlfn.XLOOKUP(Assessment!#REF!,Inherited!A:A,Inherited!F:F)))+(((100-(_xlfn.XLOOKUP(Assessment!#REF!,Inherited!A:A,Inherited!B:B)))/100)*IF(AA80="1.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(100%)","100"))))))&gt;=33,(((_xlfn.XLOOKUP(Assessment!#REF!,Inherited!A:A,Inherited!B:B))/100)*(_xlfn.XLOOKUP(Assessment!#REF!,Inherited!A:A,Inherited!F:F)))+(((100-(_xlfn.XLOOKUP(Assessment!#REF!,Inherited!A:A,Inherited!B:B)))/100)*IF(AA80="1.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(100%)","100"))))))&lt;=65),"50",IF(AND((((_xlfn.XLOOKUP(Assessment!#REF!,Inherited!A:A,Inherited!B:B))/100)*(_xlfn.XLOOKUP(Assessment!#REF!,Inherited!A:A,Inherited!F:F)))+(((100-(_xlfn.XLOOKUP(Assessment!#REF!,Inherited!A:A,Inherited!B:B)))/100)*IF(AA80="1.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(100%)","100"))))))&gt;=66,(((_xlfn.XLOOKUP(Assessment!#REF!,Inherited!A:A,Inherited!B:B))/100)*(_xlfn.XLOOKUP(Assessment!#REF!,Inherited!A:A,Inherited!F:F)))+(((100-(_xlfn.XLOOKUP(Assessment!#REF!,Inherited!A:A,Inherited!B:B)))/100)*IF(AA80="1.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(100%)","100"))))))&lt;=89),"75",IF((((_xlfn.XLOOKUP(Assessment!#REF!,Inherited!A:A,Inherited!B:B))/100)*(_xlfn.XLOOKUP(Assessment!#REF!,Inherited!A:A,Inherited!F:F)))+(((100-(_xlfn.XLOOKUP(Assessment!#REF!,Inherited!A:A,Inherited!B:B)))/100)*IF(AA80="1. Non Compliant (0%)","0",IF(AA80="2. Somewhat Compliant (25%)","25",IF(AA80="3. Partially Compliant (50%)","50",IF(AA80="4. Mostly Compliant (75%)","75",IF(AA80="5. Fully Compliant (100%)","100"))))))&gt;=90,"100"))))))</f>
        <v>#N/A</v>
      </c>
      <c r="U80" s="1" t="e">
        <f>IF(MATCH(H80,Inherited!A:A),IF((((_xlfn.XLOOKUP(Assessment!#REF!,Inherited!A:A,Inherited!B:B))/100)*(_xlfn.XLOOKUP(Assessment!#REF!,Inherited!A:A,Inherited!G:G)))+(((100-(_xlfn.XLOOKUP(Assessment!#REF!,Inherited!A:A,Inherited!B:B)))/100)*IF(AB80="1.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(100%)","100"))))))&lt;=10,"0", IF(AND((((_xlfn.XLOOKUP(Assessment!#REF!,Inherited!A:A,Inherited!B:B))/100)*(_xlfn.XLOOKUP(Assessment!#REF!,Inherited!A:A,Inherited!G:G)))+(((100-(_xlfn.XLOOKUP(Assessment!#REF!,Inherited!A:A,Inherited!B:B)))/100)*IF(AB80="1.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(100%)","100"))))))&gt;=11,(((_xlfn.XLOOKUP(Assessment!#REF!,Inherited!A:A,Inherited!B:B))/100)*(_xlfn.XLOOKUP(Assessment!#REF!,Inherited!A:A,Inherited!G:G)))+(((100-(_xlfn.XLOOKUP(Assessment!#REF!,Inherited!A:A,Inherited!B:B)))/100)*IF(AB80="1.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(100%)","100"))))))&lt;=32),"25",IF(AND((((_xlfn.XLOOKUP(Assessment!#REF!,Inherited!A:A,Inherited!B:B))/100)*(_xlfn.XLOOKUP(Assessment!#REF!,Inherited!A:A,Inherited!G:G)))+(((100-(_xlfn.XLOOKUP(Assessment!#REF!,Inherited!A:A,Inherited!B:B)))/100)*IF(AB80="1.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(100%)","100"))))))&gt;=33,(((_xlfn.XLOOKUP(Assessment!#REF!,Inherited!A:A,Inherited!B:B))/100)*(_xlfn.XLOOKUP(Assessment!#REF!,Inherited!A:A,Inherited!G:G)))+(((100-(_xlfn.XLOOKUP(Assessment!#REF!,Inherited!A:A,Inherited!B:B)))/100)*IF(AB80="1.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(100%)","100"))))))&lt;=65),"50",IF(AND((((_xlfn.XLOOKUP(Assessment!#REF!,Inherited!A:A,Inherited!B:B))/100)*(_xlfn.XLOOKUP(Assessment!#REF!,Inherited!A:A,Inherited!G:G)))+(((100-(_xlfn.XLOOKUP(Assessment!#REF!,Inherited!A:A,Inherited!B:B)))/100)*IF(AB80="1.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(100%)","100"))))))&gt;=66,(((_xlfn.XLOOKUP(Assessment!#REF!,Inherited!A:A,Inherited!B:B))/100)*(_xlfn.XLOOKUP(Assessment!#REF!,Inherited!A:A,Inherited!G:G)))+(((100-(_xlfn.XLOOKUP(Assessment!#REF!,Inherited!A:A,Inherited!B:B)))/100)*IF(AB80="1.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(100%)","100"))))))&lt;=89),"75",IF((((_xlfn.XLOOKUP(Assessment!#REF!,Inherited!A:A,Inherited!B:B))/100)*(_xlfn.XLOOKUP(Assessment!#REF!,Inherited!A:A,Inherited!G:G)))+(((100-(_xlfn.XLOOKUP(Assessment!#REF!,Inherited!A:A,Inherited!B:B)))/100)*IF(AB80="1. Non Compliant (0%)","0",IF(AB80="2. Somewhat Compliant (25%)","25",IF(AB80="3. Partially Compliant (50%)","50",IF(AB80="4. Mostly Compliant (75%)","75",IF(AB80="5. Fully Compliant (100%)","100"))))))&gt;=90,"100"))))))</f>
        <v>#N/A</v>
      </c>
      <c r="V80" s="55" t="s">
        <v>85</v>
      </c>
      <c r="W80" s="55"/>
      <c r="X80" s="55"/>
      <c r="Y80" s="55"/>
      <c r="Z80" s="55" t="s">
        <v>86</v>
      </c>
      <c r="AA80" s="55"/>
      <c r="AB80" s="55"/>
      <c r="AK80" s="1" t="s">
        <v>10891</v>
      </c>
      <c r="AL80" s="1" t="s">
        <v>10917</v>
      </c>
      <c r="AX80" s="3" t="str">
        <f>_xlfn.CONCAT("A-LIGN finished its review of this control on ",AR80, " during the scheduled fieldwork window (",Intro!$B$4,")."&amp; CHAR(10)&amp; CHAR(10))</f>
        <v xml:space="preserve">A-LIGN finished its review of this control on  during the scheduled fieldwork window (Fieldwork: xx/xx/xxxx - xx/xx/xxxx).
</v>
      </c>
      <c r="AY80" s="3" t="str">
        <f t="shared" si="151"/>
        <v/>
      </c>
      <c r="AZ80" s="3" t="str">
        <f t="shared" si="152"/>
        <v/>
      </c>
      <c r="BA80" s="3" t="str">
        <f t="shared" si="153"/>
        <v/>
      </c>
      <c r="BB80" s="3" t="str">
        <f t="shared" si="154"/>
        <v xml:space="preserve">Inquired of the following workforce member: 
Matthew Macaluso - Director of System Operations
Roze Nicolas - Director of TechOps
Inquiry lead to the following conclusions: 
Within the Merge Entra ID configurations to ensure password changes can be enforced, and that password history is defined and implemented.
</v>
      </c>
      <c r="BC80" s="3" t="str">
        <f t="shared" si="155"/>
        <v/>
      </c>
      <c r="BD80" s="3" t="str">
        <f t="shared" si="156"/>
        <v xml:space="preserve">Examined the following evidence during fieldwork:
Reviewed evidence addressed the requirement statement.
</v>
      </c>
      <c r="BE80" s="3" t="str">
        <f t="shared" si="157"/>
        <v/>
      </c>
      <c r="BF80" s="3" t="str">
        <f t="shared" si="158"/>
        <v/>
      </c>
      <c r="BG80" s="3" t="str">
        <f>_xlfn.CONCAT((IF((COUNTIF('Sample Tables'!B:B,"Test 140: Information System (authentication sub-system)")&gt;0)=TRUE,_xlfn.CONCAT("Sample test results are documented in ",'Sample Tables'!B1536," [",'Sample Tables'!B1537,", ",'Sample Tables'!B1538,", ",'Sample Tables'!B1539,", ",'Sample Tables'!B1540,", ",'Sample Tables'!B1541,"]."&amp;CHAR(10)),IF((COUNTIF('Sample Tables'!B:B,"Test 140: Information System (authentication sub-system)")&gt;0)=FALSE,""))),(IF((COUNTIF('Sample Tables'!B:B,"Test 158: Information System (password storage)")&gt;0)=TRUE,_xlfn.CONCAT("Sample test results are documented in ",'Sample Tables'!B1734," [",'Sample Tables'!B1735,", ",'Sample Tables'!B1736,", ",'Sample Tables'!B1737,", ",'Sample Tables'!B1738,", ",'Sample Tables'!B1739,"]."&amp;CHAR(10)),IF((COUNTIF('Sample Tables'!B:B,"Test 158: Information System (password storage)")&gt;0)=FALSE,""))),(IF((COUNTIF('Sample Tables'!B:B,"Test 159: Information System (password transmission)")&gt;0)=TRUE,_xlfn.CONCAT("Sample test results are documented in ",'Sample Tables'!B1745," [",'Sample Tables'!B1746,", ",'Sample Tables'!B1747,", ",'Sample Tables'!B1748,", ",'Sample Tables'!B1749,", ",'Sample Tables'!B1750,"]."&amp;CHAR(10)),IF((COUNTIF('Sample Tables'!B:B,"Test 159: Information System (password transmission)")&gt;0)=FALSE,""))),)</f>
        <v xml:space="preserve">Sample test results are documented in Test 140: Information System (authentication sub-system) [Population Source/Tool: , Population Date Range: , Population Size: , Sample Methodology: , Sample Size: ].
Sample test results are documented in Test 158: Information System (password storage) [Population Source/Tool: , Population Date Range: , Population Size: , Sample Methodology: , Sample Size: ].
Sample test results are documented in Test 159: Information System (password transmission) [Population Source/Tool: , Population Date Range: , Population Size: , Sample Methodology: , Sample Size: ].
</v>
      </c>
      <c r="BH80" s="3" t="str">
        <f t="shared" si="15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Within the Merge Entra ID configurations to ensure password changes can be enforced, and that password history is defined and implemented.
Examined the following evidence during fieldwork:
Reviewed evidence addressed the requirement statement.
Sample test results are documented in Test 140: Information System (authentication sub-system) [Population Source/Tool: , Population Date Range: , Population Size: , Sample Methodology: , Sample Size: ].
Sample test results are documented in Test 158: Information System (password storage) [Population Source/Tool: , Population Date Range: , Population Size: , Sample Methodology: , Sample Size: ].
Sample test results are documented in Test 159: Information System (password transmission) [Population Source/Tool: , Population Date Range: , Population Size: , Sample Methodology: , Sample Size: ].
</v>
      </c>
    </row>
    <row r="81" spans="3:60" ht="409.5" x14ac:dyDescent="0.35">
      <c r="C81" s="1">
        <f t="shared" si="150"/>
        <v>40</v>
      </c>
      <c r="D81" s="5" t="str">
        <f>IF(AND((_xlfn.XLOOKUP(J81,'Fields &amp; Revisions'!$H:$H,'Fields &amp; Revisions'!$I:$I))&lt;70.99,(OR(Z81="4. Mostly Compliant (75%)",Z81="3. Partially Compliant (50%)",Z81="2. Somewhat Compliant (25%)",Z81="1. Non Compliant (0%)"))),"Yes","No")</f>
        <v>No</v>
      </c>
      <c r="E81" s="5" t="str">
        <f>IF(ISERROR(VLOOKUP(H81,Scope!A:A,1,FALSE)),"No","Yes")</f>
        <v>Yes</v>
      </c>
      <c r="F81" s="1" t="s">
        <v>2290</v>
      </c>
      <c r="G81" s="53" t="s">
        <v>2378</v>
      </c>
      <c r="H81" s="53" t="s">
        <v>2379</v>
      </c>
      <c r="I81" s="5">
        <v>1</v>
      </c>
      <c r="J81" s="1" t="s">
        <v>2293</v>
      </c>
      <c r="K81" s="1" t="s">
        <v>2380</v>
      </c>
      <c r="L81" s="1" t="s">
        <v>2381</v>
      </c>
      <c r="M81" s="1" t="s">
        <v>2382</v>
      </c>
      <c r="N81" s="5" t="s">
        <v>85</v>
      </c>
      <c r="O81" s="1" t="str">
        <f>_xlfn.XLOOKUP(G81,SRMs!$A:$A,SRMs!$D:$D)</f>
        <v>PARTIAL INHERITANCE</v>
      </c>
      <c r="P81" s="1" t="str">
        <f>IFERROR(VLOOKUP(H81,Inherited!A:B,2,FALSE),"")</f>
        <v/>
      </c>
      <c r="Q81" s="1" t="e">
        <f>IF(MATCH(H81,Inherited!A:A),IF((((_xlfn.XLOOKUP(Assessment!#REF!,Inherited!A:A,Inherited!B:B))/100)*(_xlfn.XLOOKUP(Assessment!#REF!,Inherited!A:A,Inherited!C:C)))+(((100-(_xlfn.XLOOKUP(Assessment!#REF!,Inherited!A:A,Inherited!B:B)))/100)*IF(X81="1.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(100%)","100"))))))&lt;=10,"0", IF(AND((((_xlfn.XLOOKUP(Assessment!#REF!,Inherited!A:A,Inherited!B:B))/100)*(_xlfn.XLOOKUP(Assessment!#REF!,Inherited!A:A,Inherited!C:C)))+(((100-(_xlfn.XLOOKUP(Assessment!#REF!,Inherited!A:A,Inherited!B:B)))/100)*IF(X81="1.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(100%)","100"))))))&gt;=11,(((_xlfn.XLOOKUP(Assessment!#REF!,Inherited!A:A,Inherited!B:B))/100)*(_xlfn.XLOOKUP(Assessment!#REF!,Inherited!A:A,Inherited!C:C)))+(((100-(_xlfn.XLOOKUP(Assessment!#REF!,Inherited!A:A,Inherited!B:B)))/100)*IF(X81="1.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(100%)","100"))))))&lt;=32),"25",IF(AND((((_xlfn.XLOOKUP(Assessment!#REF!,Inherited!A:A,Inherited!B:B))/100)*(_xlfn.XLOOKUP(Assessment!#REF!,Inherited!A:A,Inherited!C:C)))+(((100-(_xlfn.XLOOKUP(Assessment!#REF!,Inherited!A:A,Inherited!B:B)))/100)*IF(X81="1.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(100%)","100"))))))&gt;=33,(((_xlfn.XLOOKUP(Assessment!#REF!,Inherited!A:A,Inherited!B:B))/100)*(_xlfn.XLOOKUP(Assessment!#REF!,Inherited!A:A,Inherited!C:C)))+(((100-(_xlfn.XLOOKUP(Assessment!#REF!,Inherited!A:A,Inherited!B:B)))/100)*IF(X81="1.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(100%)","100"))))))&lt;=65),"50",IF(AND((((_xlfn.XLOOKUP(Assessment!#REF!,Inherited!A:A,Inherited!B:B))/100)*(_xlfn.XLOOKUP(Assessment!#REF!,Inherited!A:A,Inherited!C:C)))+(((100-(_xlfn.XLOOKUP(Assessment!#REF!,Inherited!A:A,Inherited!B:B)))/100)*IF(X81="1.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(100%)","100"))))))&gt;=66,(((_xlfn.XLOOKUP(Assessment!#REF!,Inherited!A:A,Inherited!B:B))/100)*(_xlfn.XLOOKUP(Assessment!#REF!,Inherited!A:A,Inherited!C:C)))+(((100-(_xlfn.XLOOKUP(Assessment!#REF!,Inherited!A:A,Inherited!B:B)))/100)*IF(X81="1.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(100%)","100"))))))&lt;=89),"75",IF((((_xlfn.XLOOKUP(Assessment!#REF!,Inherited!A:A,Inherited!B:B))/100)*(_xlfn.XLOOKUP(Assessment!#REF!,Inherited!A:A,Inherited!C:C)))+(((100-(_xlfn.XLOOKUP(Assessment!#REF!,Inherited!A:A,Inherited!B:B)))/100)*IF(X81="1. Non Compliant (0%)","0",IF(X81="2. Somewhat Compliant (25%)","25",IF(X81="3. Partially Compliant (50%)","50",IF(X81="4. Mostly Compliant (75%)","75",IF(X81="5. Fully Compliant (100%)","100"))))))&gt;=90,"100"))))))</f>
        <v>#N/A</v>
      </c>
      <c r="R81" s="1" t="e">
        <f>IF(MATCH(H81,Inherited!A:A),IF((((_xlfn.XLOOKUP(Assessment!#REF!,Inherited!A:A,Inherited!B:B))/100)*(_xlfn.XLOOKUP(Assessment!#REF!,Inherited!A:A,Inherited!D:D)))+(((100-(_xlfn.XLOOKUP(Assessment!#REF!,Inherited!A:A,Inherited!B:B)))/100)*IF(Y81="1.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(100%)","100"))))))&lt;=10,"0", IF(AND((((_xlfn.XLOOKUP(Assessment!#REF!,Inherited!A:A,Inherited!B:B))/100)*(_xlfn.XLOOKUP(Assessment!#REF!,Inherited!A:A,Inherited!D:D)))+(((100-(_xlfn.XLOOKUP(Assessment!#REF!,Inherited!A:A,Inherited!B:B)))/100)*IF(Y81="1.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(100%)","100"))))))&gt;=11,(((_xlfn.XLOOKUP(Assessment!#REF!,Inherited!A:A,Inherited!B:B))/100)*(_xlfn.XLOOKUP(Assessment!#REF!,Inherited!A:A,Inherited!D:D)))+(((100-(_xlfn.XLOOKUP(Assessment!#REF!,Inherited!A:A,Inherited!B:B)))/100)*IF(Y81="1.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(100%)","100"))))))&lt;=32),"25",IF(AND((((_xlfn.XLOOKUP(Assessment!#REF!,Inherited!A:A,Inherited!B:B))/100)*(_xlfn.XLOOKUP(Assessment!#REF!,Inherited!A:A,Inherited!D:D)))+(((100-(_xlfn.XLOOKUP(Assessment!#REF!,Inherited!A:A,Inherited!B:B)))/100)*IF(Y81="1.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(100%)","100"))))))&gt;=33,(((_xlfn.XLOOKUP(Assessment!#REF!,Inherited!A:A,Inherited!B:B))/100)*(_xlfn.XLOOKUP(Assessment!#REF!,Inherited!A:A,Inherited!D:D)))+(((100-(_xlfn.XLOOKUP(Assessment!#REF!,Inherited!A:A,Inherited!B:B)))/100)*IF(Y81="1.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(100%)","100"))))))&lt;=65),"50",IF(AND((((_xlfn.XLOOKUP(Assessment!#REF!,Inherited!A:A,Inherited!B:B))/100)*(_xlfn.XLOOKUP(Assessment!#REF!,Inherited!A:A,Inherited!D:D)))+(((100-(_xlfn.XLOOKUP(Assessment!#REF!,Inherited!A:A,Inherited!B:B)))/100)*IF(Y81="1.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(100%)","100"))))))&gt;=66,(((_xlfn.XLOOKUP(Assessment!#REF!,Inherited!A:A,Inherited!B:B))/100)*(_xlfn.XLOOKUP(Assessment!#REF!,Inherited!A:A,Inherited!D:D)))+(((100-(_xlfn.XLOOKUP(Assessment!#REF!,Inherited!A:A,Inherited!B:B)))/100)*IF(Y81="1.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(100%)","100"))))))&lt;=89),"75",IF((((_xlfn.XLOOKUP(Assessment!#REF!,Inherited!A:A,Inherited!B:B))/100)*(_xlfn.XLOOKUP(Assessment!#REF!,Inherited!A:A,Inherited!D:D)))+(((100-(_xlfn.XLOOKUP(Assessment!#REF!,Inherited!A:A,Inherited!B:B)))/100)*IF(Y81="1. Non Compliant (0%)","0",IF(Y81="2. Somewhat Compliant (25%)","25",IF(Y81="3. Partially Compliant (50%)","50",IF(Y81="4. Mostly Compliant (75%)","75",IF(Y81="5. Fully Compliant (100%)","100"))))))&gt;=90,"100"))))))</f>
        <v>#N/A</v>
      </c>
      <c r="S81" s="1" t="e">
        <f>IF(MATCH(H81,Inherited!A:A),IF((((_xlfn.XLOOKUP(Assessment!#REF!,Inherited!A:A,Inherited!B:B))/100)*(_xlfn.XLOOKUP(Assessment!#REF!,Inherited!A:A,Inherited!E:E)))+(((100-(_xlfn.XLOOKUP(Assessment!#REF!,Inherited!A:A,Inherited!B:B)))/100)*IF(Z81="1.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(100%)","100"))))))&lt;=10,"0", IF(AND((((_xlfn.XLOOKUP(Assessment!#REF!,Inherited!A:A,Inherited!B:B))/100)*(_xlfn.XLOOKUP(Assessment!#REF!,Inherited!A:A,Inherited!E:E)))+(((100-(_xlfn.XLOOKUP(Assessment!#REF!,Inherited!A:A,Inherited!B:B)))/100)*IF(Z81="1.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(100%)","100"))))))&gt;=11,(((_xlfn.XLOOKUP(Assessment!#REF!,Inherited!A:A,Inherited!B:B))/100)*(_xlfn.XLOOKUP(Assessment!#REF!,Inherited!A:A,Inherited!E:E)))+(((100-(_xlfn.XLOOKUP(Assessment!#REF!,Inherited!A:A,Inherited!B:B)))/100)*IF(Z81="1.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(100%)","100"))))))&lt;=32),"25",IF(AND((((_xlfn.XLOOKUP(Assessment!#REF!,Inherited!A:A,Inherited!B:B))/100)*(_xlfn.XLOOKUP(Assessment!#REF!,Inherited!A:A,Inherited!E:E)))+(((100-(_xlfn.XLOOKUP(Assessment!#REF!,Inherited!A:A,Inherited!B:B)))/100)*IF(Z81="1.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(100%)","100"))))))&gt;=33,(((_xlfn.XLOOKUP(Assessment!#REF!,Inherited!A:A,Inherited!B:B))/100)*(_xlfn.XLOOKUP(Assessment!#REF!,Inherited!A:A,Inherited!E:E)))+(((100-(_xlfn.XLOOKUP(Assessment!#REF!,Inherited!A:A,Inherited!B:B)))/100)*IF(Z81="1.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(100%)","100"))))))&lt;=65),"50",IF(AND((((_xlfn.XLOOKUP(Assessment!#REF!,Inherited!A:A,Inherited!B:B))/100)*(_xlfn.XLOOKUP(Assessment!#REF!,Inherited!A:A,Inherited!E:E)))+(((100-(_xlfn.XLOOKUP(Assessment!#REF!,Inherited!A:A,Inherited!B:B)))/100)*IF(Z81="1.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(100%)","100"))))))&gt;=66,(((_xlfn.XLOOKUP(Assessment!#REF!,Inherited!A:A,Inherited!B:B))/100)*(_xlfn.XLOOKUP(Assessment!#REF!,Inherited!A:A,Inherited!E:E)))+(((100-(_xlfn.XLOOKUP(Assessment!#REF!,Inherited!A:A,Inherited!B:B)))/100)*IF(Z81="1.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(100%)","100"))))))&lt;=89),"75",IF((((_xlfn.XLOOKUP(Assessment!#REF!,Inherited!A:A,Inherited!B:B))/100)*(_xlfn.XLOOKUP(Assessment!#REF!,Inherited!A:A,Inherited!E:E)))+(((100-(_xlfn.XLOOKUP(Assessment!#REF!,Inherited!A:A,Inherited!B:B)))/100)*IF(Z81="1. Non Compliant (0%)","0",IF(Z81="2. Somewhat Compliant (25%)","25",IF(Z81="3. Partially Compliant (50%)","50",IF(Z81="4. Mostly Compliant (75%)","75",IF(Z81="5. Fully Compliant (100%)","100"))))))&gt;=90,"100"))))))</f>
        <v>#N/A</v>
      </c>
      <c r="T81" s="1" t="e">
        <f>IF(MATCH(H81,Inherited!A:A),IF((((_xlfn.XLOOKUP(Assessment!#REF!,Inherited!A:A,Inherited!B:B))/100)*(_xlfn.XLOOKUP(Assessment!#REF!,Inherited!A:A,Inherited!F:F)))+(((100-(_xlfn.XLOOKUP(Assessment!#REF!,Inherited!A:A,Inherited!B:B)))/100)*IF(AA81="1.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(100%)","100"))))))&lt;=10,"0", IF(AND((((_xlfn.XLOOKUP(Assessment!#REF!,Inherited!A:A,Inherited!B:B))/100)*(_xlfn.XLOOKUP(Assessment!#REF!,Inherited!A:A,Inherited!F:F)))+(((100-(_xlfn.XLOOKUP(Assessment!#REF!,Inherited!A:A,Inherited!B:B)))/100)*IF(AA81="1.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(100%)","100"))))))&gt;=11,(((_xlfn.XLOOKUP(Assessment!#REF!,Inherited!A:A,Inherited!B:B))/100)*(_xlfn.XLOOKUP(Assessment!#REF!,Inherited!A:A,Inherited!F:F)))+(((100-(_xlfn.XLOOKUP(Assessment!#REF!,Inherited!A:A,Inherited!B:B)))/100)*IF(AA81="1.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(100%)","100"))))))&lt;=32),"25",IF(AND((((_xlfn.XLOOKUP(Assessment!#REF!,Inherited!A:A,Inherited!B:B))/100)*(_xlfn.XLOOKUP(Assessment!#REF!,Inherited!A:A,Inherited!F:F)))+(((100-(_xlfn.XLOOKUP(Assessment!#REF!,Inherited!A:A,Inherited!B:B)))/100)*IF(AA81="1.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(100%)","100"))))))&gt;=33,(((_xlfn.XLOOKUP(Assessment!#REF!,Inherited!A:A,Inherited!B:B))/100)*(_xlfn.XLOOKUP(Assessment!#REF!,Inherited!A:A,Inherited!F:F)))+(((100-(_xlfn.XLOOKUP(Assessment!#REF!,Inherited!A:A,Inherited!B:B)))/100)*IF(AA81="1.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(100%)","100"))))))&lt;=65),"50",IF(AND((((_xlfn.XLOOKUP(Assessment!#REF!,Inherited!A:A,Inherited!B:B))/100)*(_xlfn.XLOOKUP(Assessment!#REF!,Inherited!A:A,Inherited!F:F)))+(((100-(_xlfn.XLOOKUP(Assessment!#REF!,Inherited!A:A,Inherited!B:B)))/100)*IF(AA81="1.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(100%)","100"))))))&gt;=66,(((_xlfn.XLOOKUP(Assessment!#REF!,Inherited!A:A,Inherited!B:B))/100)*(_xlfn.XLOOKUP(Assessment!#REF!,Inherited!A:A,Inherited!F:F)))+(((100-(_xlfn.XLOOKUP(Assessment!#REF!,Inherited!A:A,Inherited!B:B)))/100)*IF(AA81="1.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(100%)","100"))))))&lt;=89),"75",IF((((_xlfn.XLOOKUP(Assessment!#REF!,Inherited!A:A,Inherited!B:B))/100)*(_xlfn.XLOOKUP(Assessment!#REF!,Inherited!A:A,Inherited!F:F)))+(((100-(_xlfn.XLOOKUP(Assessment!#REF!,Inherited!A:A,Inherited!B:B)))/100)*IF(AA81="1. Non Compliant (0%)","0",IF(AA81="2. Somewhat Compliant (25%)","25",IF(AA81="3. Partially Compliant (50%)","50",IF(AA81="4. Mostly Compliant (75%)","75",IF(AA81="5. Fully Compliant (100%)","100"))))))&gt;=90,"100"))))))</f>
        <v>#N/A</v>
      </c>
      <c r="U81" s="1" t="e">
        <f>IF(MATCH(H81,Inherited!A:A),IF((((_xlfn.XLOOKUP(Assessment!#REF!,Inherited!A:A,Inherited!B:B))/100)*(_xlfn.XLOOKUP(Assessment!#REF!,Inherited!A:A,Inherited!G:G)))+(((100-(_xlfn.XLOOKUP(Assessment!#REF!,Inherited!A:A,Inherited!B:B)))/100)*IF(AB81="1.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(100%)","100"))))))&lt;=10,"0", IF(AND((((_xlfn.XLOOKUP(Assessment!#REF!,Inherited!A:A,Inherited!B:B))/100)*(_xlfn.XLOOKUP(Assessment!#REF!,Inherited!A:A,Inherited!G:G)))+(((100-(_xlfn.XLOOKUP(Assessment!#REF!,Inherited!A:A,Inherited!B:B)))/100)*IF(AB81="1.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(100%)","100"))))))&gt;=11,(((_xlfn.XLOOKUP(Assessment!#REF!,Inherited!A:A,Inherited!B:B))/100)*(_xlfn.XLOOKUP(Assessment!#REF!,Inherited!A:A,Inherited!G:G)))+(((100-(_xlfn.XLOOKUP(Assessment!#REF!,Inherited!A:A,Inherited!B:B)))/100)*IF(AB81="1.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(100%)","100"))))))&lt;=32),"25",IF(AND((((_xlfn.XLOOKUP(Assessment!#REF!,Inherited!A:A,Inherited!B:B))/100)*(_xlfn.XLOOKUP(Assessment!#REF!,Inherited!A:A,Inherited!G:G)))+(((100-(_xlfn.XLOOKUP(Assessment!#REF!,Inherited!A:A,Inherited!B:B)))/100)*IF(AB81="1.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(100%)","100"))))))&gt;=33,(((_xlfn.XLOOKUP(Assessment!#REF!,Inherited!A:A,Inherited!B:B))/100)*(_xlfn.XLOOKUP(Assessment!#REF!,Inherited!A:A,Inherited!G:G)))+(((100-(_xlfn.XLOOKUP(Assessment!#REF!,Inherited!A:A,Inherited!B:B)))/100)*IF(AB81="1.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(100%)","100"))))))&lt;=65),"50",IF(AND((((_xlfn.XLOOKUP(Assessment!#REF!,Inherited!A:A,Inherited!B:B))/100)*(_xlfn.XLOOKUP(Assessment!#REF!,Inherited!A:A,Inherited!G:G)))+(((100-(_xlfn.XLOOKUP(Assessment!#REF!,Inherited!A:A,Inherited!B:B)))/100)*IF(AB81="1.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(100%)","100"))))))&gt;=66,(((_xlfn.XLOOKUP(Assessment!#REF!,Inherited!A:A,Inherited!B:B))/100)*(_xlfn.XLOOKUP(Assessment!#REF!,Inherited!A:A,Inherited!G:G)))+(((100-(_xlfn.XLOOKUP(Assessment!#REF!,Inherited!A:A,Inherited!B:B)))/100)*IF(AB81="1.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(100%)","100"))))))&lt;=89),"75",IF((((_xlfn.XLOOKUP(Assessment!#REF!,Inherited!A:A,Inherited!B:B))/100)*(_xlfn.XLOOKUP(Assessment!#REF!,Inherited!A:A,Inherited!G:G)))+(((100-(_xlfn.XLOOKUP(Assessment!#REF!,Inherited!A:A,Inherited!B:B)))/100)*IF(AB81="1. Non Compliant (0%)","0",IF(AB81="2. Somewhat Compliant (25%)","25",IF(AB81="3. Partially Compliant (50%)","50",IF(AB81="4. Mostly Compliant (75%)","75",IF(AB81="5. Fully Compliant (100%)","100"))))))&gt;=90,"100"))))))</f>
        <v>#N/A</v>
      </c>
      <c r="V81" s="55" t="s">
        <v>85</v>
      </c>
      <c r="W81" s="55"/>
      <c r="X81" s="55"/>
      <c r="Y81" s="55"/>
      <c r="Z81" s="55" t="s">
        <v>86</v>
      </c>
      <c r="AA81" s="55"/>
      <c r="AB81" s="55"/>
      <c r="AK81" s="1" t="s">
        <v>10891</v>
      </c>
      <c r="AL81" s="1" t="s">
        <v>10939</v>
      </c>
      <c r="AX81" s="3" t="str">
        <f>_xlfn.CONCAT("A-LIGN finished its review of this control on ",AR81, " during the scheduled fieldwork window (",Intro!$B$4,")."&amp; CHAR(10)&amp; CHAR(10))</f>
        <v xml:space="preserve">A-LIGN finished its review of this control on  during the scheduled fieldwork window (Fieldwork: xx/xx/xxxx - xx/xx/xxxx).
</v>
      </c>
      <c r="AY81" s="3" t="str">
        <f t="shared" si="151"/>
        <v/>
      </c>
      <c r="AZ81" s="3" t="str">
        <f t="shared" si="152"/>
        <v/>
      </c>
      <c r="BA81" s="3" t="str">
        <f t="shared" si="153"/>
        <v/>
      </c>
      <c r="BB81" s="3" t="str">
        <f t="shared" si="154"/>
        <v xml:space="preserve">Inquired of the following workforce member: 
Matthew Macaluso - Director of System Operations
Roze Nicolas - Director of TechOps
Inquiry lead to the following conclusions: 
Users are required to establish a password to their devices.
Due to the nature of the in-scope environment Azure VM servers and Google GCP server instances do not utilize a default password. Admins must establish passwords through SSH keys and/or the "sudo passwd" command.
Since Security groups are utilized for network access control, no default passwords are utilized.
</v>
      </c>
      <c r="BC81" s="3" t="str">
        <f t="shared" si="155"/>
        <v/>
      </c>
      <c r="BD81" s="3" t="str">
        <f t="shared" si="156"/>
        <v xml:space="preserve">Examined the following evidence during fieldwork:
Reviewed evidence addressed the requirement statement.
</v>
      </c>
      <c r="BE81" s="3" t="str">
        <f t="shared" si="157"/>
        <v/>
      </c>
      <c r="BF81" s="3" t="str">
        <f t="shared" si="158"/>
        <v/>
      </c>
      <c r="BG81" s="3" t="str">
        <f>_xlfn.CONCAT((IF((COUNTIF('Sample Tables'!B:B,"Test 045: Endpoint Device (BYOD)")&gt;0)=TRUE,_xlfn.CONCAT("Sample test results are documented in ",'Sample Tables'!B491," [",'Sample Tables'!B492,", ",'Sample Tables'!B493,", ",'Sample Tables'!B494,", ",'Sample Tables'!B495,", ",'Sample Tables'!B496,"]."&amp;CHAR(10)),IF((COUNTIF('Sample Tables'!B:B,"Test 045: Endpoint Device (BYOD)")&gt;0)=FALSE,""))),(IF((COUNTIF('Sample Tables'!B:B,"Test 050: Endpoint Device (laptop)")&gt;0)=TRUE,_xlfn.CONCAT("Sample test results are documented in ",'Sample Tables'!B546," [",'Sample Tables'!B547,", ",'Sample Tables'!B548,", ",'Sample Tables'!B549,", ",'Sample Tables'!B550,", ",'Sample Tables'!B551,"]."&amp;CHAR(10)),IF((COUNTIF('Sample Tables'!B:B,"Test 050: Endpoint Device (laptop)")&gt;0)=FALSE,""))),(IF((COUNTIF('Sample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058: Endpoint Device (workstation)")&gt;0)=TRUE,_xlfn.CONCAT("Sample test results are documented in ",'Sample Tables'!B634," [",'Sample Tables'!B635,", ",'Sample Tables'!B636,", ",'Sample Tables'!B637,", ",'Sample Tables'!B638,", ",'Sample Tables'!B639,"]."&amp;CHAR(10)),IF((COUNTIF('Sample Tables'!B:B,"")&gt;0)=FALSE,"Test 058: Endpoint Device (workstation)"))),(IF((COUNTIF('Sample Tables'!B:B,"Test 180: Network Device (firewall)")&gt;0)=TRUE,_xlfn.CONCAT("Sample test results are documented in ",'Sample Tables'!B1976," [",'Sample Tables'!B1977,", ",'Sample Tables'!B1978,", ",'Sample Tables'!B1979,", ",'Sample Tables'!B1980,", ",'Sample Tables'!B1981,"]."&amp;CHAR(10)),IF((COUNTIF('Sample Tables'!B:B,"Test 180: Network Device (firewall)")&gt;0)=FALSE,""))),(IF((COUNTIF('Sample Tables'!B:B,"Test 182: Network Device (router)")&gt;0)=TRUE,_xlfn.CONCAT("Sample test results are documented in ",'Sample Tables'!B1998," [",'Sample Tables'!B1999,", ",'Sample Tables'!B2000,", ",'Sample Tables'!B2001,", ",'Sample Tables'!B2002,", ",'Sample Tables'!B2003,"]."&amp;CHAR(10)),IF((COUNTIF('Sample Tables'!B:B,"Test 182: Network Device (router)")&gt;0)=FALSE,""))),(IF((COUNTIF('Sample Tables'!B:B,"Test 183: Network Device (switch)")&gt;0)=TRUE,_xlfn.CONCAT("Sample test results are documented in ",'Sample Tables'!B2009," [",'Sample Tables'!B2010,", ",'Sample Tables'!B2011,", ",'Sample Tables'!B2012,", ",'Sample Tables'!B2013,", ",'Sample Tables'!B2014,"]."&amp;CHAR(10)),IF((COUNTIF('Sample Tables'!B:B,"Test 183: Network Device (switch)")&gt;0)=FALSE,""))),(IF((COUNTIF('Sample Tables'!B:B,"Test 184: Network Device (wireless access point)")&gt;0)=TRUE,_xlfn.CONCAT("Sample test results are documented in ",'Sample Tables'!B2020," [",'Sample Tables'!B2021,", ",'Sample Tables'!B2022,", ",'Sample Tables'!B2023,", ",'Sample Tables'!B2024,", ",'Sample Tables'!B2025,"]."&amp;CHAR(10)),IF((COUNTIF('Sample Tables'!B:B,"Test 184: Network Device (wireless access point)")&gt;0)=FALSE,""))),)</f>
        <v xml:space="preserve">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Sample test results are documented in Test 180: Network Device (firewall) [Population Source/Tool: , Population Date Range: , Population Size: , Sample Methodology: , Sample Size: ].
Sample test results are documented in Test 182: Network Device (router) [Population Source/Tool: , Population Date Range: , Population Size: , Sample Methodology: , Sample Size: ].
Sample test results are documented in Test 183: Network Device (switch) [Population Source/Tool: , Population Date Range: , Population Size: , Sample Methodology: , Sample Size: ].
Sample test results are documented in Test 184: Network Device (wireless access point) [Population Source/Tool: , Population Date Range: , Population Size: , Sample Methodology: , Sample Size: ].
</v>
      </c>
      <c r="BH81" s="3" t="str">
        <f t="shared" si="15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Users are required to establish a password to their devices.
Due to the nature of the in-scope environment Azure VM servers and Google GCP server instances do not utilize a default password. Admins must establish passwords through SSH keys and/or the "sudo passwd" command.
Since Security groups are utilized for network access control, no default passwords are utilized.
Examined the following evidence during fieldwork:
Reviewed evidence addressed the requirement statement.
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Sample test results are documented in Test 180: Network Device (firewall) [Population Source/Tool: , Population Date Range: , Population Size: , Sample Methodology: , Sample Size: ].
Sample test results are documented in Test 182: Network Device (router) [Population Source/Tool: , Population Date Range: , Population Size: , Sample Methodology: , Sample Size: ].
Sample test results are documented in Test 183: Network Device (switch) [Population Source/Tool: , Population Date Range: , Population Size: , Sample Methodology: , Sample Size: ].
Sample test results are documented in Test 184: Network Device (wireless access point) [Population Source/Tool: , Population Date Range: , Population Size: , Sample Methodology: , Sample Size: ].
</v>
      </c>
    </row>
    <row r="82" spans="3:60" ht="409.5" x14ac:dyDescent="0.35">
      <c r="C82" s="1">
        <f t="shared" si="150"/>
        <v>40</v>
      </c>
      <c r="D82" s="5" t="str">
        <f>IF(AND((_xlfn.XLOOKUP(J82,'Fields &amp; Revisions'!$H:$H,'Fields &amp; Revisions'!$I:$I))&lt;70.99,(OR(Z82="4. Mostly Compliant (75%)",Z82="3. Partially Compliant (50%)",Z82="2. Somewhat Compliant (25%)",Z82="1. Non Compliant (0%)"))),"Yes","No")</f>
        <v>No</v>
      </c>
      <c r="E82" s="5" t="str">
        <f>IF(ISERROR(VLOOKUP(H82,Scope!A:A,1,FALSE)),"No","Yes")</f>
        <v>Yes</v>
      </c>
      <c r="F82" s="1" t="s">
        <v>2290</v>
      </c>
      <c r="G82" s="53" t="s">
        <v>2397</v>
      </c>
      <c r="H82" s="53" t="s">
        <v>2398</v>
      </c>
      <c r="I82" s="5">
        <v>2</v>
      </c>
      <c r="J82" s="1" t="s">
        <v>2293</v>
      </c>
      <c r="K82" s="1" t="s">
        <v>2399</v>
      </c>
      <c r="L82" s="1" t="s">
        <v>2400</v>
      </c>
      <c r="M82" s="1" t="s">
        <v>2401</v>
      </c>
      <c r="N82" s="5" t="s">
        <v>85</v>
      </c>
      <c r="O82" s="1" t="str">
        <f>_xlfn.XLOOKUP(G82,SRMs!$A:$A,SRMs!$D:$D)</f>
        <v>NO INHERITANCE</v>
      </c>
      <c r="P82" s="1" t="str">
        <f>IFERROR(VLOOKUP(H82,Inherited!A:B,2,FALSE),"")</f>
        <v/>
      </c>
      <c r="Q82" s="1" t="e">
        <f>IF(MATCH(H82,Inherited!A:A),IF((((_xlfn.XLOOKUP(Assessment!#REF!,Inherited!A:A,Inherited!B:B))/100)*(_xlfn.XLOOKUP(Assessment!#REF!,Inherited!A:A,Inherited!C:C)))+(((100-(_xlfn.XLOOKUP(Assessment!#REF!,Inherited!A:A,Inherited!B:B)))/100)*IF(X82="1.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(100%)","100"))))))&lt;=10,"0", IF(AND((((_xlfn.XLOOKUP(Assessment!#REF!,Inherited!A:A,Inherited!B:B))/100)*(_xlfn.XLOOKUP(Assessment!#REF!,Inherited!A:A,Inherited!C:C)))+(((100-(_xlfn.XLOOKUP(Assessment!#REF!,Inherited!A:A,Inherited!B:B)))/100)*IF(X82="1.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(100%)","100"))))))&gt;=11,(((_xlfn.XLOOKUP(Assessment!#REF!,Inherited!A:A,Inherited!B:B))/100)*(_xlfn.XLOOKUP(Assessment!#REF!,Inherited!A:A,Inherited!C:C)))+(((100-(_xlfn.XLOOKUP(Assessment!#REF!,Inherited!A:A,Inherited!B:B)))/100)*IF(X82="1.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(100%)","100"))))))&lt;=32),"25",IF(AND((((_xlfn.XLOOKUP(Assessment!#REF!,Inherited!A:A,Inherited!B:B))/100)*(_xlfn.XLOOKUP(Assessment!#REF!,Inherited!A:A,Inherited!C:C)))+(((100-(_xlfn.XLOOKUP(Assessment!#REF!,Inherited!A:A,Inherited!B:B)))/100)*IF(X82="1.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(100%)","100"))))))&gt;=33,(((_xlfn.XLOOKUP(Assessment!#REF!,Inherited!A:A,Inherited!B:B))/100)*(_xlfn.XLOOKUP(Assessment!#REF!,Inherited!A:A,Inherited!C:C)))+(((100-(_xlfn.XLOOKUP(Assessment!#REF!,Inherited!A:A,Inherited!B:B)))/100)*IF(X82="1.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(100%)","100"))))))&lt;=65),"50",IF(AND((((_xlfn.XLOOKUP(Assessment!#REF!,Inherited!A:A,Inherited!B:B))/100)*(_xlfn.XLOOKUP(Assessment!#REF!,Inherited!A:A,Inherited!C:C)))+(((100-(_xlfn.XLOOKUP(Assessment!#REF!,Inherited!A:A,Inherited!B:B)))/100)*IF(X82="1.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(100%)","100"))))))&gt;=66,(((_xlfn.XLOOKUP(Assessment!#REF!,Inherited!A:A,Inherited!B:B))/100)*(_xlfn.XLOOKUP(Assessment!#REF!,Inherited!A:A,Inherited!C:C)))+(((100-(_xlfn.XLOOKUP(Assessment!#REF!,Inherited!A:A,Inherited!B:B)))/100)*IF(X82="1.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(100%)","100"))))))&lt;=89),"75",IF((((_xlfn.XLOOKUP(Assessment!#REF!,Inherited!A:A,Inherited!B:B))/100)*(_xlfn.XLOOKUP(Assessment!#REF!,Inherited!A:A,Inherited!C:C)))+(((100-(_xlfn.XLOOKUP(Assessment!#REF!,Inherited!A:A,Inherited!B:B)))/100)*IF(X82="1. Non Compliant (0%)","0",IF(X82="2. Somewhat Compliant (25%)","25",IF(X82="3. Partially Compliant (50%)","50",IF(X82="4. Mostly Compliant (75%)","75",IF(X82="5. Fully Compliant (100%)","100"))))))&gt;=90,"100"))))))</f>
        <v>#N/A</v>
      </c>
      <c r="R82" s="1" t="e">
        <f>IF(MATCH(H82,Inherited!A:A),IF((((_xlfn.XLOOKUP(Assessment!#REF!,Inherited!A:A,Inherited!B:B))/100)*(_xlfn.XLOOKUP(Assessment!#REF!,Inherited!A:A,Inherited!D:D)))+(((100-(_xlfn.XLOOKUP(Assessment!#REF!,Inherited!A:A,Inherited!B:B)))/100)*IF(Y82="1.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(100%)","100"))))))&lt;=10,"0", IF(AND((((_xlfn.XLOOKUP(Assessment!#REF!,Inherited!A:A,Inherited!B:B))/100)*(_xlfn.XLOOKUP(Assessment!#REF!,Inherited!A:A,Inherited!D:D)))+(((100-(_xlfn.XLOOKUP(Assessment!#REF!,Inherited!A:A,Inherited!B:B)))/100)*IF(Y82="1.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(100%)","100"))))))&gt;=11,(((_xlfn.XLOOKUP(Assessment!#REF!,Inherited!A:A,Inherited!B:B))/100)*(_xlfn.XLOOKUP(Assessment!#REF!,Inherited!A:A,Inherited!D:D)))+(((100-(_xlfn.XLOOKUP(Assessment!#REF!,Inherited!A:A,Inherited!B:B)))/100)*IF(Y82="1.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(100%)","100"))))))&lt;=32),"25",IF(AND((((_xlfn.XLOOKUP(Assessment!#REF!,Inherited!A:A,Inherited!B:B))/100)*(_xlfn.XLOOKUP(Assessment!#REF!,Inherited!A:A,Inherited!D:D)))+(((100-(_xlfn.XLOOKUP(Assessment!#REF!,Inherited!A:A,Inherited!B:B)))/100)*IF(Y82="1.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(100%)","100"))))))&gt;=33,(((_xlfn.XLOOKUP(Assessment!#REF!,Inherited!A:A,Inherited!B:B))/100)*(_xlfn.XLOOKUP(Assessment!#REF!,Inherited!A:A,Inherited!D:D)))+(((100-(_xlfn.XLOOKUP(Assessment!#REF!,Inherited!A:A,Inherited!B:B)))/100)*IF(Y82="1.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(100%)","100"))))))&lt;=65),"50",IF(AND((((_xlfn.XLOOKUP(Assessment!#REF!,Inherited!A:A,Inherited!B:B))/100)*(_xlfn.XLOOKUP(Assessment!#REF!,Inherited!A:A,Inherited!D:D)))+(((100-(_xlfn.XLOOKUP(Assessment!#REF!,Inherited!A:A,Inherited!B:B)))/100)*IF(Y82="1.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(100%)","100"))))))&gt;=66,(((_xlfn.XLOOKUP(Assessment!#REF!,Inherited!A:A,Inherited!B:B))/100)*(_xlfn.XLOOKUP(Assessment!#REF!,Inherited!A:A,Inherited!D:D)))+(((100-(_xlfn.XLOOKUP(Assessment!#REF!,Inherited!A:A,Inherited!B:B)))/100)*IF(Y82="1.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(100%)","100"))))))&lt;=89),"75",IF((((_xlfn.XLOOKUP(Assessment!#REF!,Inherited!A:A,Inherited!B:B))/100)*(_xlfn.XLOOKUP(Assessment!#REF!,Inherited!A:A,Inherited!D:D)))+(((100-(_xlfn.XLOOKUP(Assessment!#REF!,Inherited!A:A,Inherited!B:B)))/100)*IF(Y82="1. Non Compliant (0%)","0",IF(Y82="2. Somewhat Compliant (25%)","25",IF(Y82="3. Partially Compliant (50%)","50",IF(Y82="4. Mostly Compliant (75%)","75",IF(Y82="5. Fully Compliant (100%)","100"))))))&gt;=90,"100"))))))</f>
        <v>#N/A</v>
      </c>
      <c r="S82" s="1" t="e">
        <f>IF(MATCH(H82,Inherited!A:A),IF((((_xlfn.XLOOKUP(Assessment!#REF!,Inherited!A:A,Inherited!B:B))/100)*(_xlfn.XLOOKUP(Assessment!#REF!,Inherited!A:A,Inherited!E:E)))+(((100-(_xlfn.XLOOKUP(Assessment!#REF!,Inherited!A:A,Inherited!B:B)))/100)*IF(Z82="1.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(100%)","100"))))))&lt;=10,"0", IF(AND((((_xlfn.XLOOKUP(Assessment!#REF!,Inherited!A:A,Inherited!B:B))/100)*(_xlfn.XLOOKUP(Assessment!#REF!,Inherited!A:A,Inherited!E:E)))+(((100-(_xlfn.XLOOKUP(Assessment!#REF!,Inherited!A:A,Inherited!B:B)))/100)*IF(Z82="1.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(100%)","100"))))))&gt;=11,(((_xlfn.XLOOKUP(Assessment!#REF!,Inherited!A:A,Inherited!B:B))/100)*(_xlfn.XLOOKUP(Assessment!#REF!,Inherited!A:A,Inherited!E:E)))+(((100-(_xlfn.XLOOKUP(Assessment!#REF!,Inherited!A:A,Inherited!B:B)))/100)*IF(Z82="1.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(100%)","100"))))))&lt;=32),"25",IF(AND((((_xlfn.XLOOKUP(Assessment!#REF!,Inherited!A:A,Inherited!B:B))/100)*(_xlfn.XLOOKUP(Assessment!#REF!,Inherited!A:A,Inherited!E:E)))+(((100-(_xlfn.XLOOKUP(Assessment!#REF!,Inherited!A:A,Inherited!B:B)))/100)*IF(Z82="1.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(100%)","100"))))))&gt;=33,(((_xlfn.XLOOKUP(Assessment!#REF!,Inherited!A:A,Inherited!B:B))/100)*(_xlfn.XLOOKUP(Assessment!#REF!,Inherited!A:A,Inherited!E:E)))+(((100-(_xlfn.XLOOKUP(Assessment!#REF!,Inherited!A:A,Inherited!B:B)))/100)*IF(Z82="1.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(100%)","100"))))))&lt;=65),"50",IF(AND((((_xlfn.XLOOKUP(Assessment!#REF!,Inherited!A:A,Inherited!B:B))/100)*(_xlfn.XLOOKUP(Assessment!#REF!,Inherited!A:A,Inherited!E:E)))+(((100-(_xlfn.XLOOKUP(Assessment!#REF!,Inherited!A:A,Inherited!B:B)))/100)*IF(Z82="1.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(100%)","100"))))))&gt;=66,(((_xlfn.XLOOKUP(Assessment!#REF!,Inherited!A:A,Inherited!B:B))/100)*(_xlfn.XLOOKUP(Assessment!#REF!,Inherited!A:A,Inherited!E:E)))+(((100-(_xlfn.XLOOKUP(Assessment!#REF!,Inherited!A:A,Inherited!B:B)))/100)*IF(Z82="1.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(100%)","100"))))))&lt;=89),"75",IF((((_xlfn.XLOOKUP(Assessment!#REF!,Inherited!A:A,Inherited!B:B))/100)*(_xlfn.XLOOKUP(Assessment!#REF!,Inherited!A:A,Inherited!E:E)))+(((100-(_xlfn.XLOOKUP(Assessment!#REF!,Inherited!A:A,Inherited!B:B)))/100)*IF(Z82="1. Non Compliant (0%)","0",IF(Z82="2. Somewhat Compliant (25%)","25",IF(Z82="3. Partially Compliant (50%)","50",IF(Z82="4. Mostly Compliant (75%)","75",IF(Z82="5. Fully Compliant (100%)","100"))))))&gt;=90,"100"))))))</f>
        <v>#N/A</v>
      </c>
      <c r="T82" s="1" t="e">
        <f>IF(MATCH(H82,Inherited!A:A),IF((((_xlfn.XLOOKUP(Assessment!#REF!,Inherited!A:A,Inherited!B:B))/100)*(_xlfn.XLOOKUP(Assessment!#REF!,Inherited!A:A,Inherited!F:F)))+(((100-(_xlfn.XLOOKUP(Assessment!#REF!,Inherited!A:A,Inherited!B:B)))/100)*IF(AA82="1.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(100%)","100"))))))&lt;=10,"0", IF(AND((((_xlfn.XLOOKUP(Assessment!#REF!,Inherited!A:A,Inherited!B:B))/100)*(_xlfn.XLOOKUP(Assessment!#REF!,Inherited!A:A,Inherited!F:F)))+(((100-(_xlfn.XLOOKUP(Assessment!#REF!,Inherited!A:A,Inherited!B:B)))/100)*IF(AA82="1.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(100%)","100"))))))&gt;=11,(((_xlfn.XLOOKUP(Assessment!#REF!,Inherited!A:A,Inherited!B:B))/100)*(_xlfn.XLOOKUP(Assessment!#REF!,Inherited!A:A,Inherited!F:F)))+(((100-(_xlfn.XLOOKUP(Assessment!#REF!,Inherited!A:A,Inherited!B:B)))/100)*IF(AA82="1.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(100%)","100"))))))&lt;=32),"25",IF(AND((((_xlfn.XLOOKUP(Assessment!#REF!,Inherited!A:A,Inherited!B:B))/100)*(_xlfn.XLOOKUP(Assessment!#REF!,Inherited!A:A,Inherited!F:F)))+(((100-(_xlfn.XLOOKUP(Assessment!#REF!,Inherited!A:A,Inherited!B:B)))/100)*IF(AA82="1.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(100%)","100"))))))&gt;=33,(((_xlfn.XLOOKUP(Assessment!#REF!,Inherited!A:A,Inherited!B:B))/100)*(_xlfn.XLOOKUP(Assessment!#REF!,Inherited!A:A,Inherited!F:F)))+(((100-(_xlfn.XLOOKUP(Assessment!#REF!,Inherited!A:A,Inherited!B:B)))/100)*IF(AA82="1.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(100%)","100"))))))&lt;=65),"50",IF(AND((((_xlfn.XLOOKUP(Assessment!#REF!,Inherited!A:A,Inherited!B:B))/100)*(_xlfn.XLOOKUP(Assessment!#REF!,Inherited!A:A,Inherited!F:F)))+(((100-(_xlfn.XLOOKUP(Assessment!#REF!,Inherited!A:A,Inherited!B:B)))/100)*IF(AA82="1.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(100%)","100"))))))&gt;=66,(((_xlfn.XLOOKUP(Assessment!#REF!,Inherited!A:A,Inherited!B:B))/100)*(_xlfn.XLOOKUP(Assessment!#REF!,Inherited!A:A,Inherited!F:F)))+(((100-(_xlfn.XLOOKUP(Assessment!#REF!,Inherited!A:A,Inherited!B:B)))/100)*IF(AA82="1.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(100%)","100"))))))&lt;=89),"75",IF((((_xlfn.XLOOKUP(Assessment!#REF!,Inherited!A:A,Inherited!B:B))/100)*(_xlfn.XLOOKUP(Assessment!#REF!,Inherited!A:A,Inherited!F:F)))+(((100-(_xlfn.XLOOKUP(Assessment!#REF!,Inherited!A:A,Inherited!B:B)))/100)*IF(AA82="1. Non Compliant (0%)","0",IF(AA82="2. Somewhat Compliant (25%)","25",IF(AA82="3. Partially Compliant (50%)","50",IF(AA82="4. Mostly Compliant (75%)","75",IF(AA82="5. Fully Compliant (100%)","100"))))))&gt;=90,"100"))))))</f>
        <v>#N/A</v>
      </c>
      <c r="U82" s="1" t="e">
        <f>IF(MATCH(H82,Inherited!A:A),IF((((_xlfn.XLOOKUP(Assessment!#REF!,Inherited!A:A,Inherited!B:B))/100)*(_xlfn.XLOOKUP(Assessment!#REF!,Inherited!A:A,Inherited!G:G)))+(((100-(_xlfn.XLOOKUP(Assessment!#REF!,Inherited!A:A,Inherited!B:B)))/100)*IF(AB82="1.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(100%)","100"))))))&lt;=10,"0", IF(AND((((_xlfn.XLOOKUP(Assessment!#REF!,Inherited!A:A,Inherited!B:B))/100)*(_xlfn.XLOOKUP(Assessment!#REF!,Inherited!A:A,Inherited!G:G)))+(((100-(_xlfn.XLOOKUP(Assessment!#REF!,Inherited!A:A,Inherited!B:B)))/100)*IF(AB82="1.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(100%)","100"))))))&gt;=11,(((_xlfn.XLOOKUP(Assessment!#REF!,Inherited!A:A,Inherited!B:B))/100)*(_xlfn.XLOOKUP(Assessment!#REF!,Inherited!A:A,Inherited!G:G)))+(((100-(_xlfn.XLOOKUP(Assessment!#REF!,Inherited!A:A,Inherited!B:B)))/100)*IF(AB82="1.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(100%)","100"))))))&lt;=32),"25",IF(AND((((_xlfn.XLOOKUP(Assessment!#REF!,Inherited!A:A,Inherited!B:B))/100)*(_xlfn.XLOOKUP(Assessment!#REF!,Inherited!A:A,Inherited!G:G)))+(((100-(_xlfn.XLOOKUP(Assessment!#REF!,Inherited!A:A,Inherited!B:B)))/100)*IF(AB82="1.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(100%)","100"))))))&gt;=33,(((_xlfn.XLOOKUP(Assessment!#REF!,Inherited!A:A,Inherited!B:B))/100)*(_xlfn.XLOOKUP(Assessment!#REF!,Inherited!A:A,Inherited!G:G)))+(((100-(_xlfn.XLOOKUP(Assessment!#REF!,Inherited!A:A,Inherited!B:B)))/100)*IF(AB82="1.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(100%)","100"))))))&lt;=65),"50",IF(AND((((_xlfn.XLOOKUP(Assessment!#REF!,Inherited!A:A,Inherited!B:B))/100)*(_xlfn.XLOOKUP(Assessment!#REF!,Inherited!A:A,Inherited!G:G)))+(((100-(_xlfn.XLOOKUP(Assessment!#REF!,Inherited!A:A,Inherited!B:B)))/100)*IF(AB82="1.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(100%)","100"))))))&gt;=66,(((_xlfn.XLOOKUP(Assessment!#REF!,Inherited!A:A,Inherited!B:B))/100)*(_xlfn.XLOOKUP(Assessment!#REF!,Inherited!A:A,Inherited!G:G)))+(((100-(_xlfn.XLOOKUP(Assessment!#REF!,Inherited!A:A,Inherited!B:B)))/100)*IF(AB82="1.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(100%)","100"))))))&lt;=89),"75",IF((((_xlfn.XLOOKUP(Assessment!#REF!,Inherited!A:A,Inherited!B:B))/100)*(_xlfn.XLOOKUP(Assessment!#REF!,Inherited!A:A,Inherited!G:G)))+(((100-(_xlfn.XLOOKUP(Assessment!#REF!,Inherited!A:A,Inherited!B:B)))/100)*IF(AB82="1. Non Compliant (0%)","0",IF(AB82="2. Somewhat Compliant (25%)","25",IF(AB82="3. Partially Compliant (50%)","50",IF(AB82="4. Mostly Compliant (75%)","75",IF(AB82="5. Fully Compliant (100%)","100"))))))&gt;=90,"100"))))))</f>
        <v>#N/A</v>
      </c>
      <c r="V82" s="55" t="s">
        <v>85</v>
      </c>
      <c r="W82" s="55"/>
      <c r="X82" s="55"/>
      <c r="Y82" s="55"/>
      <c r="Z82" s="55" t="s">
        <v>86</v>
      </c>
      <c r="AA82" s="55"/>
      <c r="AB82" s="55"/>
      <c r="AK82" s="1" t="s">
        <v>10891</v>
      </c>
      <c r="AL82" s="1" t="s">
        <v>10918</v>
      </c>
      <c r="AX82" s="3" t="str">
        <f>_xlfn.CONCAT("A-LIGN finished its review of this control on ",AR82, " during the scheduled fieldwork window (",Intro!$B$4,")."&amp; CHAR(10)&amp; CHAR(10))</f>
        <v xml:space="preserve">A-LIGN finished its review of this control on  during the scheduled fieldwork window (Fieldwork: xx/xx/xxxx - xx/xx/xxxx).
</v>
      </c>
      <c r="AY82" s="3" t="str">
        <f t="shared" ref="AY82:AY89" si="160">IF(AQ82&lt;&gt;"",(_xlfn.CONCAT("Inheritance note: "&amp; CHAR(10),AQ82&amp; CHAR(10)&amp; CHAR(10))),"")</f>
        <v/>
      </c>
      <c r="AZ82" s="3" t="str">
        <f t="shared" ref="AZ82:AZ89" si="161">IFERROR(IF(AD82&lt;&gt;"",_xlfn.CONCAT("Examined the following policy during fieldwork:"&amp; CHAR(10),AD82&amp; CHAR(10)&amp; CHAR(10),IF(AND(X82&lt;&gt;"5. Fully Compliant (100%)",AE82&lt;&gt;""),"Reviewed policy exception note:"&amp; CHAR(10) &amp; AE82 &amp; CHAR(10) &amp; CHAR(10),"")),""),"")</f>
        <v/>
      </c>
      <c r="BA82" s="3" t="str">
        <f t="shared" ref="BA82:BA89" si="162">IFERROR(IF(AH82&lt;&gt;"",_xlfn.CONCAT("Examined the following process during fieldwork:"&amp; CHAR(10),AH82&amp; CHAR(10)&amp; CHAR(10),IF(AND(Y82&lt;&gt;"5. Fully Compliant (100%)",AI82&lt;&gt;""),"Reviewed process exception note:"&amp; CHAR(10) &amp; AI82 &amp; CHAR(10) &amp; CHAR(10),"")),""),"")</f>
        <v/>
      </c>
      <c r="BB82" s="3" t="str">
        <f t="shared" ref="BB82:BB89" si="163">IF(AK82&lt;&gt;"",(_xlfn.CONCAT("Inquired of the following workforce member: "&amp; CHAR(10),AK82&amp; CHAR(10)&amp; CHAR(10),"Inquiry lead to the following conclusions: "&amp; CHAR(10),AL82&amp; CHAR(10) &amp; CHAR(10))),"")</f>
        <v xml:space="preserve">Inquired of the following workforce member: 
Matthew Macaluso - Director of System Operations
Roze Nicolas - Director of TechOps
Inquiry lead to the following conclusions: 
Whenever an alert has been generated for a possible password compromised a ticket will be generated with the Merge Help desk to ensure that a user completes a password change, typically through Entra and/or 1Password. Other password changes would be completed as a self service password change.
</v>
      </c>
      <c r="BC82" s="3" t="str">
        <f t="shared" ref="BC82:BC89" si="164">IF(AM82&lt;&gt;"",(_xlfn.CONCAT("Observed the following live during fieldwork: "&amp; CHAR(10),AM82&amp; CHAR(10) &amp; CHAR(10))),"")</f>
        <v/>
      </c>
      <c r="BD82" s="3" t="str">
        <f t="shared" ref="BD82:BD89" si="165">_xlfn.CONCAT("Examined the following evidence during fieldwork:"&amp; CHAR(10),AN82&amp; CHAR(10)&amp; CHAR(10),IF(AO82&lt;&gt;"","Reviewed evidence note:"&amp; CHAR(10)&amp;AO82&amp; CHAR(10) &amp; CHAR(10),"Reviewed evidence addressed the requirement statement."&amp; CHAR(10) &amp; CHAR(10)),IF(AND(AP82&lt;&gt;"5. Fully Compliant (100%)",AP82&lt;&gt;""),"Reviewed evidence exception note: "&amp; CHAR(10) &amp; AP82 &amp; CHAR(10) &amp; CHAR(10),""))</f>
        <v xml:space="preserve">Examined the following evidence during fieldwork:
Reviewed evidence addressed the requirement statement.
</v>
      </c>
      <c r="BE82" s="3" t="str">
        <f t="shared" ref="BE82:BE89" si="166">IF(AT82&lt;&gt;"",(_xlfn.CONCAT("Examined the following measure/metric during fieldwork:"&amp; CHAR(10),AT82&amp; CHAR(10)&amp; CHAR(10),"Reviewed measure/metric note:"&amp; CHAR(10),AU82 &amp; CHAR(10) &amp; CHAR(10))),"")</f>
        <v/>
      </c>
      <c r="BF82" s="3" t="str">
        <f t="shared" ref="BF82:BF89" si="167">IF(AV82&lt;&gt;"",(_xlfn.CONCAT("Examined the following measure/metric management during fieldwork:"&amp; CHAR(10),AV82&amp; CHAR(10)&amp; CHAR(10),"Reviewed measure/metric management note:"&amp; CHAR(10),AW82 &amp; CHAR(10) &amp; CHAR(10))),"")</f>
        <v/>
      </c>
      <c r="BG82" s="3" t="str">
        <f>_xlfn.CONCAT((IF((COUNTIF('Sample Tables'!B:B,"Test 012: Application (authentication required)")&gt;0)=TRUE,_xlfn.CONCAT("Sample test results are documented in ",'Sample Tables'!B128," [",'Sample Tables'!B129,", ",'Sample Tables'!B130,", ",'Sample Tables'!B131,", ",'Sample Tables'!B132,", ",'Sample Tables'!B133,"]."&amp;CHAR(10)),IF((COUNTIF('Sample Tables'!B:B,"Test 012: Application (authentication required)")&gt;0)=FALSE,""))),(IF((COUNTIF('Sample Tables'!B:B,"Test 140: Information System (authentication sub-system)")&gt;0)=TRUE,_xlfn.CONCAT("Sample test results are documented in ",'Sample Tables'!B1536," [",'Sample Tables'!B1537,", ",'Sample Tables'!B1538,", ",'Sample Tables'!B1539,", ",'Sample Tables'!B1540,", ",'Sample Tables'!B1541,"]."&amp;CHAR(10)),IF((COUNTIF('Sample Tables'!B:B,"Test 140: Information System (authentication sub-system)")&gt;0)=FALSE,""))),(IF((COUNTIF('Sample Tables'!B:B,"Test 156: Information System (password compromise)")&gt;0)=TRUE,_xlfn.CONCAT("Sample test results are documented in ",'Sample Tables'!B1712," [",'Sample Tables'!B1713,", ",'Sample Tables'!B1714,", ",'Sample Tables'!B1715,", ",'Sample Tables'!B1716,", ",'Sample Tables'!B1717,"]."&amp;CHAR(10)),IF((COUNTIF('Sample Tables'!B:B,"Test 156: Information System (password compromise)")&gt;0)=FALSE,""))),)</f>
        <v xml:space="preserve">Sample test results are documented in Test 012: Application (authentication required) [Population Source/Tool: , Population Date Range: , Population Size: , Sample Methodology: , Sample Size: ].
Sample test results are documented in Test 140: Information System (authentication sub-system) [Population Source/Tool: , Population Date Range: , Population Size: , Sample Methodology: , Sample Size: ].
Sample test results are documented in Test 156: Information System (password compromise) [Population Source/Tool: , Population Date Range: , Population Size: , Sample Methodology: , Sample Size: ].
</v>
      </c>
      <c r="BH82" s="3" t="str">
        <f t="shared" ref="BH82:BH89" si="168">IF(V82="No","Not Applicable: "&amp;W82,(_xlfn.CONCAT(AX82,AY82,AZ82,BA82,BB82,BC82,BD82,BE82,BF82,BG82)))</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Whenever an alert has been generated for a possible password compromised a ticket will be generated with the Merge Help desk to ensure that a user completes a password change, typically through Entra and/or 1Password. Other password changes would be completed as a self service password change.
Examined the following evidence during fieldwork:
Reviewed evidence addressed the requirement statement.
Sample test results are documented in Test 012: Application (authentication required) [Population Source/Tool: , Population Date Range: , Population Size: , Sample Methodology: , Sample Size: ].
Sample test results are documented in Test 140: Information System (authentication sub-system) [Population Source/Tool: , Population Date Range: , Population Size: , Sample Methodology: , Sample Size: ].
Sample test results are documented in Test 156: Information System (password compromise) [Population Source/Tool: , Population Date Range: , Population Size: , Sample Methodology: , Sample Size: ].
</v>
      </c>
    </row>
    <row r="83" spans="3:60" ht="325" x14ac:dyDescent="0.35">
      <c r="C83" s="1">
        <f t="shared" ref="C83:C90" si="169">IF(V83="No","Not Applicable",(IF(X83="1. Non Compliant (0%)","0",IF(X83="2. Somewhat Compliant (25%)","25",IF(X83="3. Partially Compliant (50%)","50",IF(X83="4. Mostly Compliant (75%)","75",IF(X83="5. Fully Compliant (100%)","100")))))*0.15)+((IF(Y83="1. Non Compliant (0%)","0",IF(Y83="2. Somewhat Compliant (25%)","25",IF(Y83="3. Partially Compliant (50%)","50",IF(Y83="4. Mostly Compliant (75%)","75",IF(Y83="5. Fully Compliant (100%)","100"))))))*0.2)+(IF(Z83="1. Non Compliant (0%)","0",IF(Z83="2. Somewhat Compliant (25%)","25",IF(Z83="3. Partially Compliant (50%)","50",IF(Z83="4. Mostly Compliant (75%)","75",IF(Z83="5. Fully Compliant (100%)","100")))))*0.4)+(IF(AA83="1. Non Compliant (0%)","0",IF(AA83="2. Somewhat Compliant (25%)","25",IF(AA83="3. Partially Compliant (50%)","50",IF(AA83="4. Mostly Compliant (75%)","75",IF(AA83="5. Fully Compliant (100%)","100")))))*0.1)+(IF(AB83="1. Non Compliant (0%)","0",IF(AB83="2. Somewhat Compliant (25%)","25",IF(AB83="3. Partially Compliant (50%)","50",IF(AB83="4. Mostly Compliant (75%)","75",IF(AB83="5. Fully Compliant (100%)","100")))))*0.15))</f>
        <v>40</v>
      </c>
      <c r="D83" s="5" t="str">
        <f>IF(AND((_xlfn.XLOOKUP(J83,'Fields &amp; Revisions'!$H:$H,'Fields &amp; Revisions'!$I:$I))&lt;70.99,(OR(Z83="4. Mostly Compliant (75%)",Z83="3. Partially Compliant (50%)",Z83="2. Somewhat Compliant (25%)",Z83="1. Non Compliant (0%)"))),"Yes","No")</f>
        <v>No</v>
      </c>
      <c r="E83" s="5" t="str">
        <f>IF(ISERROR(VLOOKUP(H83,Scope!A:A,1,FALSE)),"No","Yes")</f>
        <v>Yes</v>
      </c>
      <c r="F83" s="1" t="s">
        <v>2290</v>
      </c>
      <c r="G83" s="53" t="s">
        <v>2417</v>
      </c>
      <c r="H83" s="53" t="s">
        <v>2418</v>
      </c>
      <c r="I83" s="5">
        <v>1</v>
      </c>
      <c r="J83" s="1" t="s">
        <v>2293</v>
      </c>
      <c r="K83" s="1" t="s">
        <v>2419</v>
      </c>
      <c r="L83" s="1" t="s">
        <v>2420</v>
      </c>
      <c r="M83" s="1" t="s">
        <v>2421</v>
      </c>
      <c r="N83" s="5" t="s">
        <v>85</v>
      </c>
      <c r="O83" s="1" t="str">
        <f>_xlfn.XLOOKUP(G83,SRMs!$A:$A,SRMs!$D:$D)</f>
        <v>PARTIAL INHERITANCE</v>
      </c>
      <c r="P83" s="1" t="str">
        <f>IFERROR(VLOOKUP(H83,Inherited!A:B,2,FALSE),"")</f>
        <v/>
      </c>
      <c r="Q83" s="1" t="e">
        <f>IF(MATCH(H83,Inherited!A:A),IF((((_xlfn.XLOOKUP(Assessment!#REF!,Inherited!A:A,Inherited!B:B))/100)*(_xlfn.XLOOKUP(Assessment!#REF!,Inherited!A:A,Inherited!C:C)))+(((100-(_xlfn.XLOOKUP(Assessment!#REF!,Inherited!A:A,Inherited!B:B)))/100)*IF(X83="1.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(100%)","100"))))))&lt;=10,"0", IF(AND((((_xlfn.XLOOKUP(Assessment!#REF!,Inherited!A:A,Inherited!B:B))/100)*(_xlfn.XLOOKUP(Assessment!#REF!,Inherited!A:A,Inherited!C:C)))+(((100-(_xlfn.XLOOKUP(Assessment!#REF!,Inherited!A:A,Inherited!B:B)))/100)*IF(X83="1.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(100%)","100"))))))&gt;=11,(((_xlfn.XLOOKUP(Assessment!#REF!,Inherited!A:A,Inherited!B:B))/100)*(_xlfn.XLOOKUP(Assessment!#REF!,Inherited!A:A,Inherited!C:C)))+(((100-(_xlfn.XLOOKUP(Assessment!#REF!,Inherited!A:A,Inherited!B:B)))/100)*IF(X83="1.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(100%)","100"))))))&lt;=32),"25",IF(AND((((_xlfn.XLOOKUP(Assessment!#REF!,Inherited!A:A,Inherited!B:B))/100)*(_xlfn.XLOOKUP(Assessment!#REF!,Inherited!A:A,Inherited!C:C)))+(((100-(_xlfn.XLOOKUP(Assessment!#REF!,Inherited!A:A,Inherited!B:B)))/100)*IF(X83="1.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(100%)","100"))))))&gt;=33,(((_xlfn.XLOOKUP(Assessment!#REF!,Inherited!A:A,Inherited!B:B))/100)*(_xlfn.XLOOKUP(Assessment!#REF!,Inherited!A:A,Inherited!C:C)))+(((100-(_xlfn.XLOOKUP(Assessment!#REF!,Inherited!A:A,Inherited!B:B)))/100)*IF(X83="1.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(100%)","100"))))))&lt;=65),"50",IF(AND((((_xlfn.XLOOKUP(Assessment!#REF!,Inherited!A:A,Inherited!B:B))/100)*(_xlfn.XLOOKUP(Assessment!#REF!,Inherited!A:A,Inherited!C:C)))+(((100-(_xlfn.XLOOKUP(Assessment!#REF!,Inherited!A:A,Inherited!B:B)))/100)*IF(X83="1.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(100%)","100"))))))&gt;=66,(((_xlfn.XLOOKUP(Assessment!#REF!,Inherited!A:A,Inherited!B:B))/100)*(_xlfn.XLOOKUP(Assessment!#REF!,Inherited!A:A,Inherited!C:C)))+(((100-(_xlfn.XLOOKUP(Assessment!#REF!,Inherited!A:A,Inherited!B:B)))/100)*IF(X83="1.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(100%)","100"))))))&lt;=89),"75",IF((((_xlfn.XLOOKUP(Assessment!#REF!,Inherited!A:A,Inherited!B:B))/100)*(_xlfn.XLOOKUP(Assessment!#REF!,Inherited!A:A,Inherited!C:C)))+(((100-(_xlfn.XLOOKUP(Assessment!#REF!,Inherited!A:A,Inherited!B:B)))/100)*IF(X83="1. Non Compliant (0%)","0",IF(X83="2. Somewhat Compliant (25%)","25",IF(X83="3. Partially Compliant (50%)","50",IF(X83="4. Mostly Compliant (75%)","75",IF(X83="5. Fully Compliant (100%)","100"))))))&gt;=90,"100"))))))</f>
        <v>#N/A</v>
      </c>
      <c r="R83" s="1" t="e">
        <f>IF(MATCH(H83,Inherited!A:A),IF((((_xlfn.XLOOKUP(Assessment!#REF!,Inherited!A:A,Inherited!B:B))/100)*(_xlfn.XLOOKUP(Assessment!#REF!,Inherited!A:A,Inherited!D:D)))+(((100-(_xlfn.XLOOKUP(Assessment!#REF!,Inherited!A:A,Inherited!B:B)))/100)*IF(Y83="1.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(100%)","100"))))))&lt;=10,"0", IF(AND((((_xlfn.XLOOKUP(Assessment!#REF!,Inherited!A:A,Inherited!B:B))/100)*(_xlfn.XLOOKUP(Assessment!#REF!,Inherited!A:A,Inherited!D:D)))+(((100-(_xlfn.XLOOKUP(Assessment!#REF!,Inherited!A:A,Inherited!B:B)))/100)*IF(Y83="1.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(100%)","100"))))))&gt;=11,(((_xlfn.XLOOKUP(Assessment!#REF!,Inherited!A:A,Inherited!B:B))/100)*(_xlfn.XLOOKUP(Assessment!#REF!,Inherited!A:A,Inherited!D:D)))+(((100-(_xlfn.XLOOKUP(Assessment!#REF!,Inherited!A:A,Inherited!B:B)))/100)*IF(Y83="1.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(100%)","100"))))))&lt;=32),"25",IF(AND((((_xlfn.XLOOKUP(Assessment!#REF!,Inherited!A:A,Inherited!B:B))/100)*(_xlfn.XLOOKUP(Assessment!#REF!,Inherited!A:A,Inherited!D:D)))+(((100-(_xlfn.XLOOKUP(Assessment!#REF!,Inherited!A:A,Inherited!B:B)))/100)*IF(Y83="1.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(100%)","100"))))))&gt;=33,(((_xlfn.XLOOKUP(Assessment!#REF!,Inherited!A:A,Inherited!B:B))/100)*(_xlfn.XLOOKUP(Assessment!#REF!,Inherited!A:A,Inherited!D:D)))+(((100-(_xlfn.XLOOKUP(Assessment!#REF!,Inherited!A:A,Inherited!B:B)))/100)*IF(Y83="1.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(100%)","100"))))))&lt;=65),"50",IF(AND((((_xlfn.XLOOKUP(Assessment!#REF!,Inherited!A:A,Inherited!B:B))/100)*(_xlfn.XLOOKUP(Assessment!#REF!,Inherited!A:A,Inherited!D:D)))+(((100-(_xlfn.XLOOKUP(Assessment!#REF!,Inherited!A:A,Inherited!B:B)))/100)*IF(Y83="1.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(100%)","100"))))))&gt;=66,(((_xlfn.XLOOKUP(Assessment!#REF!,Inherited!A:A,Inherited!B:B))/100)*(_xlfn.XLOOKUP(Assessment!#REF!,Inherited!A:A,Inherited!D:D)))+(((100-(_xlfn.XLOOKUP(Assessment!#REF!,Inherited!A:A,Inherited!B:B)))/100)*IF(Y83="1.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(100%)","100"))))))&lt;=89),"75",IF((((_xlfn.XLOOKUP(Assessment!#REF!,Inherited!A:A,Inherited!B:B))/100)*(_xlfn.XLOOKUP(Assessment!#REF!,Inherited!A:A,Inherited!D:D)))+(((100-(_xlfn.XLOOKUP(Assessment!#REF!,Inherited!A:A,Inherited!B:B)))/100)*IF(Y83="1. Non Compliant (0%)","0",IF(Y83="2. Somewhat Compliant (25%)","25",IF(Y83="3. Partially Compliant (50%)","50",IF(Y83="4. Mostly Compliant (75%)","75",IF(Y83="5. Fully Compliant (100%)","100"))))))&gt;=90,"100"))))))</f>
        <v>#N/A</v>
      </c>
      <c r="S83" s="1" t="e">
        <f>IF(MATCH(H83,Inherited!A:A),IF((((_xlfn.XLOOKUP(Assessment!#REF!,Inherited!A:A,Inherited!B:B))/100)*(_xlfn.XLOOKUP(Assessment!#REF!,Inherited!A:A,Inherited!E:E)))+(((100-(_xlfn.XLOOKUP(Assessment!#REF!,Inherited!A:A,Inherited!B:B)))/100)*IF(Z83="1.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(100%)","100"))))))&lt;=10,"0", IF(AND((((_xlfn.XLOOKUP(Assessment!#REF!,Inherited!A:A,Inherited!B:B))/100)*(_xlfn.XLOOKUP(Assessment!#REF!,Inherited!A:A,Inherited!E:E)))+(((100-(_xlfn.XLOOKUP(Assessment!#REF!,Inherited!A:A,Inherited!B:B)))/100)*IF(Z83="1.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(100%)","100"))))))&gt;=11,(((_xlfn.XLOOKUP(Assessment!#REF!,Inherited!A:A,Inherited!B:B))/100)*(_xlfn.XLOOKUP(Assessment!#REF!,Inherited!A:A,Inherited!E:E)))+(((100-(_xlfn.XLOOKUP(Assessment!#REF!,Inherited!A:A,Inherited!B:B)))/100)*IF(Z83="1.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(100%)","100"))))))&lt;=32),"25",IF(AND((((_xlfn.XLOOKUP(Assessment!#REF!,Inherited!A:A,Inherited!B:B))/100)*(_xlfn.XLOOKUP(Assessment!#REF!,Inherited!A:A,Inherited!E:E)))+(((100-(_xlfn.XLOOKUP(Assessment!#REF!,Inherited!A:A,Inherited!B:B)))/100)*IF(Z83="1.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(100%)","100"))))))&gt;=33,(((_xlfn.XLOOKUP(Assessment!#REF!,Inherited!A:A,Inherited!B:B))/100)*(_xlfn.XLOOKUP(Assessment!#REF!,Inherited!A:A,Inherited!E:E)))+(((100-(_xlfn.XLOOKUP(Assessment!#REF!,Inherited!A:A,Inherited!B:B)))/100)*IF(Z83="1.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(100%)","100"))))))&lt;=65),"50",IF(AND((((_xlfn.XLOOKUP(Assessment!#REF!,Inherited!A:A,Inherited!B:B))/100)*(_xlfn.XLOOKUP(Assessment!#REF!,Inherited!A:A,Inherited!E:E)))+(((100-(_xlfn.XLOOKUP(Assessment!#REF!,Inherited!A:A,Inherited!B:B)))/100)*IF(Z83="1.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(100%)","100"))))))&gt;=66,(((_xlfn.XLOOKUP(Assessment!#REF!,Inherited!A:A,Inherited!B:B))/100)*(_xlfn.XLOOKUP(Assessment!#REF!,Inherited!A:A,Inherited!E:E)))+(((100-(_xlfn.XLOOKUP(Assessment!#REF!,Inherited!A:A,Inherited!B:B)))/100)*IF(Z83="1.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(100%)","100"))))))&lt;=89),"75",IF((((_xlfn.XLOOKUP(Assessment!#REF!,Inherited!A:A,Inherited!B:B))/100)*(_xlfn.XLOOKUP(Assessment!#REF!,Inherited!A:A,Inherited!E:E)))+(((100-(_xlfn.XLOOKUP(Assessment!#REF!,Inherited!A:A,Inherited!B:B)))/100)*IF(Z83="1. Non Compliant (0%)","0",IF(Z83="2. Somewhat Compliant (25%)","25",IF(Z83="3. Partially Compliant (50%)","50",IF(Z83="4. Mostly Compliant (75%)","75",IF(Z83="5. Fully Compliant (100%)","100"))))))&gt;=90,"100"))))))</f>
        <v>#N/A</v>
      </c>
      <c r="T83" s="1" t="e">
        <f>IF(MATCH(H83,Inherited!A:A),IF((((_xlfn.XLOOKUP(Assessment!#REF!,Inherited!A:A,Inherited!B:B))/100)*(_xlfn.XLOOKUP(Assessment!#REF!,Inherited!A:A,Inherited!F:F)))+(((100-(_xlfn.XLOOKUP(Assessment!#REF!,Inherited!A:A,Inherited!B:B)))/100)*IF(AA83="1.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(100%)","100"))))))&lt;=10,"0", IF(AND((((_xlfn.XLOOKUP(Assessment!#REF!,Inherited!A:A,Inherited!B:B))/100)*(_xlfn.XLOOKUP(Assessment!#REF!,Inherited!A:A,Inherited!F:F)))+(((100-(_xlfn.XLOOKUP(Assessment!#REF!,Inherited!A:A,Inherited!B:B)))/100)*IF(AA83="1.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(100%)","100"))))))&gt;=11,(((_xlfn.XLOOKUP(Assessment!#REF!,Inherited!A:A,Inherited!B:B))/100)*(_xlfn.XLOOKUP(Assessment!#REF!,Inherited!A:A,Inherited!F:F)))+(((100-(_xlfn.XLOOKUP(Assessment!#REF!,Inherited!A:A,Inherited!B:B)))/100)*IF(AA83="1.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(100%)","100"))))))&lt;=32),"25",IF(AND((((_xlfn.XLOOKUP(Assessment!#REF!,Inherited!A:A,Inherited!B:B))/100)*(_xlfn.XLOOKUP(Assessment!#REF!,Inherited!A:A,Inherited!F:F)))+(((100-(_xlfn.XLOOKUP(Assessment!#REF!,Inherited!A:A,Inherited!B:B)))/100)*IF(AA83="1.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(100%)","100"))))))&gt;=33,(((_xlfn.XLOOKUP(Assessment!#REF!,Inherited!A:A,Inherited!B:B))/100)*(_xlfn.XLOOKUP(Assessment!#REF!,Inherited!A:A,Inherited!F:F)))+(((100-(_xlfn.XLOOKUP(Assessment!#REF!,Inherited!A:A,Inherited!B:B)))/100)*IF(AA83="1.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(100%)","100"))))))&lt;=65),"50",IF(AND((((_xlfn.XLOOKUP(Assessment!#REF!,Inherited!A:A,Inherited!B:B))/100)*(_xlfn.XLOOKUP(Assessment!#REF!,Inherited!A:A,Inherited!F:F)))+(((100-(_xlfn.XLOOKUP(Assessment!#REF!,Inherited!A:A,Inherited!B:B)))/100)*IF(AA83="1.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(100%)","100"))))))&gt;=66,(((_xlfn.XLOOKUP(Assessment!#REF!,Inherited!A:A,Inherited!B:B))/100)*(_xlfn.XLOOKUP(Assessment!#REF!,Inherited!A:A,Inherited!F:F)))+(((100-(_xlfn.XLOOKUP(Assessment!#REF!,Inherited!A:A,Inherited!B:B)))/100)*IF(AA83="1.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(100%)","100"))))))&lt;=89),"75",IF((((_xlfn.XLOOKUP(Assessment!#REF!,Inherited!A:A,Inherited!B:B))/100)*(_xlfn.XLOOKUP(Assessment!#REF!,Inherited!A:A,Inherited!F:F)))+(((100-(_xlfn.XLOOKUP(Assessment!#REF!,Inherited!A:A,Inherited!B:B)))/100)*IF(AA83="1. Non Compliant (0%)","0",IF(AA83="2. Somewhat Compliant (25%)","25",IF(AA83="3. Partially Compliant (50%)","50",IF(AA83="4. Mostly Compliant (75%)","75",IF(AA83="5. Fully Compliant (100%)","100"))))))&gt;=90,"100"))))))</f>
        <v>#N/A</v>
      </c>
      <c r="U83" s="1" t="e">
        <f>IF(MATCH(H83,Inherited!A:A),IF((((_xlfn.XLOOKUP(Assessment!#REF!,Inherited!A:A,Inherited!B:B))/100)*(_xlfn.XLOOKUP(Assessment!#REF!,Inherited!A:A,Inherited!G:G)))+(((100-(_xlfn.XLOOKUP(Assessment!#REF!,Inherited!A:A,Inherited!B:B)))/100)*IF(AB83="1.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(100%)","100"))))))&lt;=10,"0", IF(AND((((_xlfn.XLOOKUP(Assessment!#REF!,Inherited!A:A,Inherited!B:B))/100)*(_xlfn.XLOOKUP(Assessment!#REF!,Inherited!A:A,Inherited!G:G)))+(((100-(_xlfn.XLOOKUP(Assessment!#REF!,Inherited!A:A,Inherited!B:B)))/100)*IF(AB83="1.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(100%)","100"))))))&gt;=11,(((_xlfn.XLOOKUP(Assessment!#REF!,Inherited!A:A,Inherited!B:B))/100)*(_xlfn.XLOOKUP(Assessment!#REF!,Inherited!A:A,Inherited!G:G)))+(((100-(_xlfn.XLOOKUP(Assessment!#REF!,Inherited!A:A,Inherited!B:B)))/100)*IF(AB83="1.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(100%)","100"))))))&lt;=32),"25",IF(AND((((_xlfn.XLOOKUP(Assessment!#REF!,Inherited!A:A,Inherited!B:B))/100)*(_xlfn.XLOOKUP(Assessment!#REF!,Inherited!A:A,Inherited!G:G)))+(((100-(_xlfn.XLOOKUP(Assessment!#REF!,Inherited!A:A,Inherited!B:B)))/100)*IF(AB83="1.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(100%)","100"))))))&gt;=33,(((_xlfn.XLOOKUP(Assessment!#REF!,Inherited!A:A,Inherited!B:B))/100)*(_xlfn.XLOOKUP(Assessment!#REF!,Inherited!A:A,Inherited!G:G)))+(((100-(_xlfn.XLOOKUP(Assessment!#REF!,Inherited!A:A,Inherited!B:B)))/100)*IF(AB83="1.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(100%)","100"))))))&lt;=65),"50",IF(AND((((_xlfn.XLOOKUP(Assessment!#REF!,Inherited!A:A,Inherited!B:B))/100)*(_xlfn.XLOOKUP(Assessment!#REF!,Inherited!A:A,Inherited!G:G)))+(((100-(_xlfn.XLOOKUP(Assessment!#REF!,Inherited!A:A,Inherited!B:B)))/100)*IF(AB83="1.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(100%)","100"))))))&gt;=66,(((_xlfn.XLOOKUP(Assessment!#REF!,Inherited!A:A,Inherited!B:B))/100)*(_xlfn.XLOOKUP(Assessment!#REF!,Inherited!A:A,Inherited!G:G)))+(((100-(_xlfn.XLOOKUP(Assessment!#REF!,Inherited!A:A,Inherited!B:B)))/100)*IF(AB83="1.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(100%)","100"))))))&lt;=89),"75",IF((((_xlfn.XLOOKUP(Assessment!#REF!,Inherited!A:A,Inherited!B:B))/100)*(_xlfn.XLOOKUP(Assessment!#REF!,Inherited!A:A,Inherited!G:G)))+(((100-(_xlfn.XLOOKUP(Assessment!#REF!,Inherited!A:A,Inherited!B:B)))/100)*IF(AB83="1. Non Compliant (0%)","0",IF(AB83="2. Somewhat Compliant (25%)","25",IF(AB83="3. Partially Compliant (50%)","50",IF(AB83="4. Mostly Compliant (75%)","75",IF(AB83="5. Fully Compliant (100%)","100"))))))&gt;=90,"100"))))))</f>
        <v>#N/A</v>
      </c>
      <c r="V83" s="55" t="s">
        <v>85</v>
      </c>
      <c r="W83" s="55"/>
      <c r="X83" s="55"/>
      <c r="Y83" s="55"/>
      <c r="Z83" s="55" t="s">
        <v>86</v>
      </c>
      <c r="AA83" s="55"/>
      <c r="AB83" s="55"/>
      <c r="AK83" s="1" t="s">
        <v>10891</v>
      </c>
      <c r="AL83" s="1" t="s">
        <v>10940</v>
      </c>
      <c r="AX83" s="3" t="str">
        <f>_xlfn.CONCAT("A-LIGN finished its review of this control on ",AR83, " during the scheduled fieldwork window (",Intro!$B$4,")."&amp; CHAR(10)&amp; CHAR(10))</f>
        <v xml:space="preserve">A-LIGN finished its review of this control on  during the scheduled fieldwork window (Fieldwork: xx/xx/xxxx - xx/xx/xxxx).
</v>
      </c>
      <c r="AY83" s="3" t="str">
        <f t="shared" si="160"/>
        <v/>
      </c>
      <c r="AZ83" s="3" t="str">
        <f t="shared" si="161"/>
        <v/>
      </c>
      <c r="BA83" s="3" t="str">
        <f t="shared" si="162"/>
        <v/>
      </c>
      <c r="BB83" s="3" t="str">
        <f t="shared" si="163"/>
        <v xml:space="preserve">Inquired of the following workforce member: 
Matthew Macaluso - Director of System Operations
Roze Nicolas - Director of TechOps
Inquiry lead to the following conclusions: 
1Password is used by the Help desk to share out passwords (typically for new hires), password share will only be live for 7 days and an email will be sent to the user with the link to set their password, self-service is tied to the Entra ID 
</v>
      </c>
      <c r="BC83" s="3" t="str">
        <f t="shared" si="164"/>
        <v/>
      </c>
      <c r="BD83" s="3" t="str">
        <f t="shared" si="165"/>
        <v xml:space="preserve">Examined the following evidence during fieldwork:
Reviewed evidence addressed the requirement statement.
</v>
      </c>
      <c r="BE83" s="3" t="str">
        <f t="shared" si="166"/>
        <v/>
      </c>
      <c r="BF83" s="3" t="str">
        <f t="shared" si="167"/>
        <v/>
      </c>
      <c r="BG83" s="3" t="str">
        <f>_xlfn.CONCAT((IF((COUNTIF('Sample Tables'!B:B,"Test 159: Information System (password transmission)")&gt;0)=TRUE,_xlfn.CONCAT("Sample test results are documented in ",'Sample Tables'!B1745," [",'Sample Tables'!B1746,", ",'Sample Tables'!B1747,", ",'Sample Tables'!B1748,", ",'Sample Tables'!B1749,", ",'Sample Tables'!B1750,"]."&amp;CHAR(10)),IF((COUNTIF('Sample Tables'!B:B,"Test 159: Information System (password transmission)")&gt;0)=FALSE,""))),)</f>
        <v xml:space="preserve">Sample test results are documented in Test 159: Information System (password transmission) [Population Source/Tool: , Population Date Range: , Population Size: , Sample Methodology: , Sample Size: ].
</v>
      </c>
      <c r="BH83" s="3" t="str">
        <f t="shared" si="16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1Password is used by the Help desk to share out passwords (typically for new hires), password share will only be live for 7 days and an email will be sent to the user with the link to set their password, self-service is tied to the Entra ID 
Examined the following evidence during fieldwork:
Reviewed evidence addressed the requirement statement.
Sample test results are documented in Test 159: Information System (password transmission) [Population Source/Tool: , Population Date Range: , Population Size: , Sample Methodology: , Sample Size: ].
</v>
      </c>
    </row>
    <row r="84" spans="3:60" ht="298.5" customHeight="1" x14ac:dyDescent="0.35">
      <c r="C84" s="1">
        <f t="shared" si="169"/>
        <v>0</v>
      </c>
      <c r="D84" s="5" t="str">
        <f>IF(AND((_xlfn.XLOOKUP(J84,'Fields &amp; Revisions'!$H:$H,'Fields &amp; Revisions'!$I:$I))&lt;70.99,(OR(Z84="4. Mostly Compliant (75%)",Z84="3. Partially Compliant (50%)",Z84="2. Somewhat Compliant (25%)",Z84="1. Non Compliant (0%)"))),"Yes","No")</f>
        <v>Yes</v>
      </c>
      <c r="E84" s="5" t="str">
        <f>IF(ISERROR(VLOOKUP(H84,Scope!A:A,1,FALSE)),"No","Yes")</f>
        <v>Yes</v>
      </c>
      <c r="F84" s="1" t="s">
        <v>2424</v>
      </c>
      <c r="G84" s="53" t="s">
        <v>2471</v>
      </c>
      <c r="H84" s="53" t="s">
        <v>2472</v>
      </c>
      <c r="I84" s="5" t="s">
        <v>93</v>
      </c>
      <c r="J84" s="1" t="s">
        <v>2473</v>
      </c>
      <c r="K84" s="54" t="s">
        <v>2474</v>
      </c>
      <c r="L84" s="1" t="s">
        <v>2475</v>
      </c>
      <c r="M84" s="1" t="s">
        <v>2476</v>
      </c>
      <c r="N84" s="5" t="s">
        <v>98</v>
      </c>
      <c r="O84" s="1" t="str">
        <f>_xlfn.XLOOKUP(G84,SRMs!$A:$A,SRMs!$D:$D)</f>
        <v>NO INHERITANCE</v>
      </c>
      <c r="P84" s="1" t="str">
        <f>IFERROR(VLOOKUP(H84,Inherited!A:B,2,FALSE),"")</f>
        <v/>
      </c>
      <c r="Q84" s="1" t="e">
        <f>IF(MATCH(H84,Inherited!A:A),IF((((_xlfn.XLOOKUP(Assessment!H85,Inherited!A:A,Inherited!B:B))/100)*(_xlfn.XLOOKUP(Assessment!H85,Inherited!A:A,Inherited!C:C)))+(((100-(_xlfn.XLOOKUP(Assessment!H85,Inherited!A:A,Inherited!B:B)))/100)*IF(X84="1.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(100%)","100"))))))&lt;=10,"0", IF(AND((((_xlfn.XLOOKUP(Assessment!H85,Inherited!A:A,Inherited!B:B))/100)*(_xlfn.XLOOKUP(Assessment!H85,Inherited!A:A,Inherited!C:C)))+(((100-(_xlfn.XLOOKUP(Assessment!H85,Inherited!A:A,Inherited!B:B)))/100)*IF(X84="1.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(100%)","100"))))))&gt;=11,(((_xlfn.XLOOKUP(Assessment!H85,Inherited!A:A,Inherited!B:B))/100)*(_xlfn.XLOOKUP(Assessment!H85,Inherited!A:A,Inherited!C:C)))+(((100-(_xlfn.XLOOKUP(Assessment!H85,Inherited!A:A,Inherited!B:B)))/100)*IF(X84="1.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(100%)","100"))))))&lt;=32),"25",IF(AND((((_xlfn.XLOOKUP(Assessment!H85,Inherited!A:A,Inherited!B:B))/100)*(_xlfn.XLOOKUP(Assessment!H85,Inherited!A:A,Inherited!C:C)))+(((100-(_xlfn.XLOOKUP(Assessment!H85,Inherited!A:A,Inherited!B:B)))/100)*IF(X84="1.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(100%)","100"))))))&gt;=33,(((_xlfn.XLOOKUP(Assessment!H85,Inherited!A:A,Inherited!B:B))/100)*(_xlfn.XLOOKUP(Assessment!H85,Inherited!A:A,Inherited!C:C)))+(((100-(_xlfn.XLOOKUP(Assessment!H85,Inherited!A:A,Inherited!B:B)))/100)*IF(X84="1.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(100%)","100"))))))&lt;=65),"50",IF(AND((((_xlfn.XLOOKUP(Assessment!H85,Inherited!A:A,Inherited!B:B))/100)*(_xlfn.XLOOKUP(Assessment!H85,Inherited!A:A,Inherited!C:C)))+(((100-(_xlfn.XLOOKUP(Assessment!H85,Inherited!A:A,Inherited!B:B)))/100)*IF(X84="1.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(100%)","100"))))))&gt;=66,(((_xlfn.XLOOKUP(Assessment!H85,Inherited!A:A,Inherited!B:B))/100)*(_xlfn.XLOOKUP(Assessment!H85,Inherited!A:A,Inherited!C:C)))+(((100-(_xlfn.XLOOKUP(Assessment!H85,Inherited!A:A,Inherited!B:B)))/100)*IF(X84="1.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(100%)","100"))))))&lt;=89),"75",IF((((_xlfn.XLOOKUP(Assessment!H85,Inherited!A:A,Inherited!B:B))/100)*(_xlfn.XLOOKUP(Assessment!H85,Inherited!A:A,Inherited!C:C)))+(((100-(_xlfn.XLOOKUP(Assessment!H85,Inherited!A:A,Inherited!B:B)))/100)*IF(X84="1. Non Compliant (0%)","0",IF(X84="2. Somewhat Compliant (25%)","25",IF(X84="3. Partially Compliant (50%)","50",IF(X84="4. Mostly Compliant (75%)","75",IF(X84="5. Fully Compliant (100%)","100"))))))&gt;=90,"100"))))))</f>
        <v>#N/A</v>
      </c>
      <c r="R84" s="1" t="e">
        <f>IF(MATCH(H84,Inherited!A:A),IF((((_xlfn.XLOOKUP(Assessment!H85,Inherited!A:A,Inherited!B:B))/100)*(_xlfn.XLOOKUP(Assessment!H85,Inherited!A:A,Inherited!D:D)))+(((100-(_xlfn.XLOOKUP(Assessment!H85,Inherited!A:A,Inherited!B:B)))/100)*IF(Y84="1.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(100%)","100"))))))&lt;=10,"0", IF(AND((((_xlfn.XLOOKUP(Assessment!H85,Inherited!A:A,Inherited!B:B))/100)*(_xlfn.XLOOKUP(Assessment!H85,Inherited!A:A,Inherited!D:D)))+(((100-(_xlfn.XLOOKUP(Assessment!H85,Inherited!A:A,Inherited!B:B)))/100)*IF(Y84="1.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(100%)","100"))))))&gt;=11,(((_xlfn.XLOOKUP(Assessment!H85,Inherited!A:A,Inherited!B:B))/100)*(_xlfn.XLOOKUP(Assessment!H85,Inherited!A:A,Inherited!D:D)))+(((100-(_xlfn.XLOOKUP(Assessment!H85,Inherited!A:A,Inherited!B:B)))/100)*IF(Y84="1.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(100%)","100"))))))&lt;=32),"25",IF(AND((((_xlfn.XLOOKUP(Assessment!H85,Inherited!A:A,Inherited!B:B))/100)*(_xlfn.XLOOKUP(Assessment!H85,Inherited!A:A,Inherited!D:D)))+(((100-(_xlfn.XLOOKUP(Assessment!H85,Inherited!A:A,Inherited!B:B)))/100)*IF(Y84="1.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(100%)","100"))))))&gt;=33,(((_xlfn.XLOOKUP(Assessment!H85,Inherited!A:A,Inherited!B:B))/100)*(_xlfn.XLOOKUP(Assessment!H85,Inherited!A:A,Inherited!D:D)))+(((100-(_xlfn.XLOOKUP(Assessment!H85,Inherited!A:A,Inherited!B:B)))/100)*IF(Y84="1.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(100%)","100"))))))&lt;=65),"50",IF(AND((((_xlfn.XLOOKUP(Assessment!H85,Inherited!A:A,Inherited!B:B))/100)*(_xlfn.XLOOKUP(Assessment!H85,Inherited!A:A,Inherited!D:D)))+(((100-(_xlfn.XLOOKUP(Assessment!H85,Inherited!A:A,Inherited!B:B)))/100)*IF(Y84="1.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(100%)","100"))))))&gt;=66,(((_xlfn.XLOOKUP(Assessment!H85,Inherited!A:A,Inherited!B:B))/100)*(_xlfn.XLOOKUP(Assessment!H85,Inherited!A:A,Inherited!D:D)))+(((100-(_xlfn.XLOOKUP(Assessment!H85,Inherited!A:A,Inherited!B:B)))/100)*IF(Y84="1.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(100%)","100"))))))&lt;=89),"75",IF((((_xlfn.XLOOKUP(Assessment!H85,Inherited!A:A,Inherited!B:B))/100)*(_xlfn.XLOOKUP(Assessment!H85,Inherited!A:A,Inherited!D:D)))+(((100-(_xlfn.XLOOKUP(Assessment!H85,Inherited!A:A,Inherited!B:B)))/100)*IF(Y84="1. Non Compliant (0%)","0",IF(Y84="2. Somewhat Compliant (25%)","25",IF(Y84="3. Partially Compliant (50%)","50",IF(Y84="4. Mostly Compliant (75%)","75",IF(Y84="5. Fully Compliant (100%)","100"))))))&gt;=90,"100"))))))</f>
        <v>#N/A</v>
      </c>
      <c r="S84" s="1" t="e">
        <f>IF(MATCH(H84,Inherited!A:A),IF((((_xlfn.XLOOKUP(Assessment!H85,Inherited!A:A,Inherited!B:B))/100)*(_xlfn.XLOOKUP(Assessment!H85,Inherited!A:A,Inherited!E:E)))+(((100-(_xlfn.XLOOKUP(Assessment!H85,Inherited!A:A,Inherited!B:B)))/100)*IF(Z84="1.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(100%)","100"))))))&lt;=10,"0", IF(AND((((_xlfn.XLOOKUP(Assessment!H85,Inherited!A:A,Inherited!B:B))/100)*(_xlfn.XLOOKUP(Assessment!H85,Inherited!A:A,Inherited!E:E)))+(((100-(_xlfn.XLOOKUP(Assessment!H85,Inherited!A:A,Inherited!B:B)))/100)*IF(Z84="1.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(100%)","100"))))))&gt;=11,(((_xlfn.XLOOKUP(Assessment!H85,Inherited!A:A,Inherited!B:B))/100)*(_xlfn.XLOOKUP(Assessment!H85,Inherited!A:A,Inherited!E:E)))+(((100-(_xlfn.XLOOKUP(Assessment!H85,Inherited!A:A,Inherited!B:B)))/100)*IF(Z84="1.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(100%)","100"))))))&lt;=32),"25",IF(AND((((_xlfn.XLOOKUP(Assessment!H85,Inherited!A:A,Inherited!B:B))/100)*(_xlfn.XLOOKUP(Assessment!H85,Inherited!A:A,Inherited!E:E)))+(((100-(_xlfn.XLOOKUP(Assessment!H85,Inherited!A:A,Inherited!B:B)))/100)*IF(Z84="1.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(100%)","100"))))))&gt;=33,(((_xlfn.XLOOKUP(Assessment!H85,Inherited!A:A,Inherited!B:B))/100)*(_xlfn.XLOOKUP(Assessment!H85,Inherited!A:A,Inherited!E:E)))+(((100-(_xlfn.XLOOKUP(Assessment!H85,Inherited!A:A,Inherited!B:B)))/100)*IF(Z84="1.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(100%)","100"))))))&lt;=65),"50",IF(AND((((_xlfn.XLOOKUP(Assessment!H85,Inherited!A:A,Inherited!B:B))/100)*(_xlfn.XLOOKUP(Assessment!H85,Inherited!A:A,Inherited!E:E)))+(((100-(_xlfn.XLOOKUP(Assessment!H85,Inherited!A:A,Inherited!B:B)))/100)*IF(Z84="1.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(100%)","100"))))))&gt;=66,(((_xlfn.XLOOKUP(Assessment!H85,Inherited!A:A,Inherited!B:B))/100)*(_xlfn.XLOOKUP(Assessment!H85,Inherited!A:A,Inherited!E:E)))+(((100-(_xlfn.XLOOKUP(Assessment!H85,Inherited!A:A,Inherited!B:B)))/100)*IF(Z84="1.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(100%)","100"))))))&lt;=89),"75",IF((((_xlfn.XLOOKUP(Assessment!H85,Inherited!A:A,Inherited!B:B))/100)*(_xlfn.XLOOKUP(Assessment!H85,Inherited!A:A,Inherited!E:E)))+(((100-(_xlfn.XLOOKUP(Assessment!H85,Inherited!A:A,Inherited!B:B)))/100)*IF(Z84="1. Non Compliant (0%)","0",IF(Z84="2. Somewhat Compliant (25%)","25",IF(Z84="3. Partially Compliant (50%)","50",IF(Z84="4. Mostly Compliant (75%)","75",IF(Z84="5. Fully Compliant (100%)","100"))))))&gt;=90,"100"))))))</f>
        <v>#N/A</v>
      </c>
      <c r="T84" s="1" t="e">
        <f>IF(MATCH(H84,Inherited!A:A),IF((((_xlfn.XLOOKUP(Assessment!H85,Inherited!A:A,Inherited!B:B))/100)*(_xlfn.XLOOKUP(Assessment!H85,Inherited!A:A,Inherited!F:F)))+(((100-(_xlfn.XLOOKUP(Assessment!H85,Inherited!A:A,Inherited!B:B)))/100)*IF(AA84="1.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(100%)","100"))))))&lt;=10,"0", IF(AND((((_xlfn.XLOOKUP(Assessment!H85,Inherited!A:A,Inherited!B:B))/100)*(_xlfn.XLOOKUP(Assessment!H85,Inherited!A:A,Inherited!F:F)))+(((100-(_xlfn.XLOOKUP(Assessment!H85,Inherited!A:A,Inherited!B:B)))/100)*IF(AA84="1.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(100%)","100"))))))&gt;=11,(((_xlfn.XLOOKUP(Assessment!H85,Inherited!A:A,Inherited!B:B))/100)*(_xlfn.XLOOKUP(Assessment!H85,Inherited!A:A,Inherited!F:F)))+(((100-(_xlfn.XLOOKUP(Assessment!H85,Inherited!A:A,Inherited!B:B)))/100)*IF(AA84="1.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(100%)","100"))))))&lt;=32),"25",IF(AND((((_xlfn.XLOOKUP(Assessment!H85,Inherited!A:A,Inherited!B:B))/100)*(_xlfn.XLOOKUP(Assessment!H85,Inherited!A:A,Inherited!F:F)))+(((100-(_xlfn.XLOOKUP(Assessment!H85,Inherited!A:A,Inherited!B:B)))/100)*IF(AA84="1.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(100%)","100"))))))&gt;=33,(((_xlfn.XLOOKUP(Assessment!H85,Inherited!A:A,Inherited!B:B))/100)*(_xlfn.XLOOKUP(Assessment!H85,Inherited!A:A,Inherited!F:F)))+(((100-(_xlfn.XLOOKUP(Assessment!H85,Inherited!A:A,Inherited!B:B)))/100)*IF(AA84="1.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(100%)","100"))))))&lt;=65),"50",IF(AND((((_xlfn.XLOOKUP(Assessment!H85,Inherited!A:A,Inherited!B:B))/100)*(_xlfn.XLOOKUP(Assessment!H85,Inherited!A:A,Inherited!F:F)))+(((100-(_xlfn.XLOOKUP(Assessment!H85,Inherited!A:A,Inherited!B:B)))/100)*IF(AA84="1.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(100%)","100"))))))&gt;=66,(((_xlfn.XLOOKUP(Assessment!H85,Inherited!A:A,Inherited!B:B))/100)*(_xlfn.XLOOKUP(Assessment!H85,Inherited!A:A,Inherited!F:F)))+(((100-(_xlfn.XLOOKUP(Assessment!H85,Inherited!A:A,Inherited!B:B)))/100)*IF(AA84="1.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(100%)","100"))))))&lt;=89),"75",IF((((_xlfn.XLOOKUP(Assessment!H85,Inherited!A:A,Inherited!B:B))/100)*(_xlfn.XLOOKUP(Assessment!H85,Inherited!A:A,Inherited!F:F)))+(((100-(_xlfn.XLOOKUP(Assessment!H85,Inherited!A:A,Inherited!B:B)))/100)*IF(AA84="1. Non Compliant (0%)","0",IF(AA84="2. Somewhat Compliant (25%)","25",IF(AA84="3. Partially Compliant (50%)","50",IF(AA84="4. Mostly Compliant (75%)","75",IF(AA84="5. Fully Compliant (100%)","100"))))))&gt;=90,"100"))))))</f>
        <v>#N/A</v>
      </c>
      <c r="U84" s="1" t="e">
        <f>IF(MATCH(H84,Inherited!A:A),IF((((_xlfn.XLOOKUP(Assessment!H85,Inherited!A:A,Inherited!B:B))/100)*(_xlfn.XLOOKUP(Assessment!H85,Inherited!A:A,Inherited!G:G)))+(((100-(_xlfn.XLOOKUP(Assessment!H85,Inherited!A:A,Inherited!B:B)))/100)*IF(AB84="1.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(100%)","100"))))))&lt;=10,"0", IF(AND((((_xlfn.XLOOKUP(Assessment!H85,Inherited!A:A,Inherited!B:B))/100)*(_xlfn.XLOOKUP(Assessment!H85,Inherited!A:A,Inherited!G:G)))+(((100-(_xlfn.XLOOKUP(Assessment!H85,Inherited!A:A,Inherited!B:B)))/100)*IF(AB84="1.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(100%)","100"))))))&gt;=11,(((_xlfn.XLOOKUP(Assessment!H85,Inherited!A:A,Inherited!B:B))/100)*(_xlfn.XLOOKUP(Assessment!H85,Inherited!A:A,Inherited!G:G)))+(((100-(_xlfn.XLOOKUP(Assessment!H85,Inherited!A:A,Inherited!B:B)))/100)*IF(AB84="1.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(100%)","100"))))))&lt;=32),"25",IF(AND((((_xlfn.XLOOKUP(Assessment!H85,Inherited!A:A,Inherited!B:B))/100)*(_xlfn.XLOOKUP(Assessment!H85,Inherited!A:A,Inherited!G:G)))+(((100-(_xlfn.XLOOKUP(Assessment!H85,Inherited!A:A,Inherited!B:B)))/100)*IF(AB84="1.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(100%)","100"))))))&gt;=33,(((_xlfn.XLOOKUP(Assessment!H85,Inherited!A:A,Inherited!B:B))/100)*(_xlfn.XLOOKUP(Assessment!H85,Inherited!A:A,Inherited!G:G)))+(((100-(_xlfn.XLOOKUP(Assessment!H85,Inherited!A:A,Inherited!B:B)))/100)*IF(AB84="1.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(100%)","100"))))))&lt;=65),"50",IF(AND((((_xlfn.XLOOKUP(Assessment!H85,Inherited!A:A,Inherited!B:B))/100)*(_xlfn.XLOOKUP(Assessment!H85,Inherited!A:A,Inherited!G:G)))+(((100-(_xlfn.XLOOKUP(Assessment!H85,Inherited!A:A,Inherited!B:B)))/100)*IF(AB84="1.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(100%)","100"))))))&gt;=66,(((_xlfn.XLOOKUP(Assessment!H85,Inherited!A:A,Inherited!B:B))/100)*(_xlfn.XLOOKUP(Assessment!H85,Inherited!A:A,Inherited!G:G)))+(((100-(_xlfn.XLOOKUP(Assessment!H85,Inherited!A:A,Inherited!B:B)))/100)*IF(AB84="1.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(100%)","100"))))))&lt;=89),"75",IF((((_xlfn.XLOOKUP(Assessment!H85,Inherited!A:A,Inherited!B:B))/100)*(_xlfn.XLOOKUP(Assessment!H85,Inherited!A:A,Inherited!G:G)))+(((100-(_xlfn.XLOOKUP(Assessment!H85,Inherited!A:A,Inherited!B:B)))/100)*IF(AB84="1. Non Compliant (0%)","0",IF(AB84="2. Somewhat Compliant (25%)","25",IF(AB84="3. Partially Compliant (50%)","50",IF(AB84="4. Mostly Compliant (75%)","75",IF(AB84="5. Fully Compliant (100%)","100"))))))&gt;=90,"100"))))))</f>
        <v>#N/A</v>
      </c>
      <c r="V84" s="55" t="s">
        <v>85</v>
      </c>
      <c r="W84" s="55"/>
      <c r="X84" s="55"/>
      <c r="Y84" s="55"/>
      <c r="Z84" s="55" t="s">
        <v>10873</v>
      </c>
      <c r="AA84" s="55"/>
      <c r="AB84" s="55"/>
      <c r="AK84" s="1" t="s">
        <v>10978</v>
      </c>
      <c r="AL84" s="1" t="s">
        <v>10989</v>
      </c>
      <c r="AP84" s="1" t="s">
        <v>11078</v>
      </c>
      <c r="AX84" s="3" t="str">
        <f>_xlfn.CONCAT("A-LIGN finished its review of this control on ",AR84, " during the scheduled fieldwork window (",Intro!$B$4,")."&amp; CHAR(10)&amp; CHAR(10))</f>
        <v xml:space="preserve">A-LIGN finished its review of this control on  during the scheduled fieldwork window (Fieldwork: xx/xx/xxxx - xx/xx/xxxx).
</v>
      </c>
      <c r="AY84" s="3" t="str">
        <f t="shared" si="160"/>
        <v/>
      </c>
      <c r="AZ84" s="3" t="str">
        <f t="shared" si="161"/>
        <v/>
      </c>
      <c r="BA84" s="3" t="str">
        <f t="shared" si="162"/>
        <v/>
      </c>
      <c r="BB84" s="3" t="str">
        <f t="shared" si="16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v>
      </c>
      <c r="BC84" s="3" t="str">
        <f t="shared" si="164"/>
        <v/>
      </c>
      <c r="BD84" s="3" t="str">
        <f t="shared" si="16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Further, management should ensure that appropriate access controls to AI models and other assets is implemented considering the following:
- access to data and system capabilities limited to least privilege principle for generative artificial intelligence model
</v>
      </c>
      <c r="BE84" s="3" t="str">
        <f t="shared" si="166"/>
        <v/>
      </c>
      <c r="BF84" s="3" t="str">
        <f t="shared" si="167"/>
        <v/>
      </c>
      <c r="BG84" s="3" t="str">
        <f>_xlfn.CONCAT((IF((COUNTIF('Sample Tables'!B:B,"")&gt;0)=TRUE,_xlfn.CONCAT("",""),IF((COUNTIF('Sample Tables'!B:B,"")&gt;0)=FALSE,""))),)</f>
        <v/>
      </c>
      <c r="BH84" s="3" t="str">
        <f t="shared" si="16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Further, management should ensure that appropriate access controls to AI models and other assets is implemented considering the following:
- access to data and system capabilities limited to least privilege principle for generative artificial intelligence model
</v>
      </c>
    </row>
    <row r="85" spans="3:60" ht="305.25" customHeight="1" x14ac:dyDescent="0.35">
      <c r="C85" s="1">
        <f t="shared" si="169"/>
        <v>0</v>
      </c>
      <c r="D85" s="5" t="str">
        <f>IF(AND((_xlfn.XLOOKUP(J85,'Fields &amp; Revisions'!$H:$H,'Fields &amp; Revisions'!$I:$I))&lt;70.99,(OR(Z85="4. Mostly Compliant (75%)",Z85="3. Partially Compliant (50%)",Z85="2. Somewhat Compliant (25%)",Z85="1. Non Compliant (0%)"))),"Yes","No")</f>
        <v>Yes</v>
      </c>
      <c r="E85" s="5" t="str">
        <f>IF(ISERROR(VLOOKUP(H85,Scope!A:A,1,FALSE)),"No","Yes")</f>
        <v>Yes</v>
      </c>
      <c r="F85" s="1" t="s">
        <v>2424</v>
      </c>
      <c r="G85" s="53" t="s">
        <v>2477</v>
      </c>
      <c r="H85" s="53" t="s">
        <v>2478</v>
      </c>
      <c r="I85" s="5" t="s">
        <v>93</v>
      </c>
      <c r="J85" s="1" t="s">
        <v>2473</v>
      </c>
      <c r="K85" s="54" t="s">
        <v>2479</v>
      </c>
      <c r="L85" s="1" t="s">
        <v>2480</v>
      </c>
      <c r="M85" s="1" t="s">
        <v>2481</v>
      </c>
      <c r="N85" s="5" t="s">
        <v>98</v>
      </c>
      <c r="O85" s="1" t="str">
        <f>_xlfn.XLOOKUP(G85,SRMs!$A:$A,SRMs!$D:$D)</f>
        <v>NO INHERITANCE</v>
      </c>
      <c r="P85" s="1" t="str">
        <f>IFERROR(VLOOKUP(H85,Inherited!A:B,2,FALSE),"")</f>
        <v/>
      </c>
      <c r="Q85" s="1" t="e">
        <f>IF(MATCH(H85,Inherited!A:A),IF((((_xlfn.XLOOKUP(Assessment!H86,Inherited!A:A,Inherited!B:B))/100)*(_xlfn.XLOOKUP(Assessment!H86,Inherited!A:A,Inherited!C:C)))+(((100-(_xlfn.XLOOKUP(Assessment!H86,Inherited!A:A,Inherited!B:B)))/100)*IF(X85="1.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(100%)","100"))))))&lt;=10,"0", IF(AND((((_xlfn.XLOOKUP(Assessment!H86,Inherited!A:A,Inherited!B:B))/100)*(_xlfn.XLOOKUP(Assessment!H86,Inherited!A:A,Inherited!C:C)))+(((100-(_xlfn.XLOOKUP(Assessment!H86,Inherited!A:A,Inherited!B:B)))/100)*IF(X85="1.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(100%)","100"))))))&gt;=11,(((_xlfn.XLOOKUP(Assessment!H86,Inherited!A:A,Inherited!B:B))/100)*(_xlfn.XLOOKUP(Assessment!H86,Inherited!A:A,Inherited!C:C)))+(((100-(_xlfn.XLOOKUP(Assessment!H86,Inherited!A:A,Inherited!B:B)))/100)*IF(X85="1.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(100%)","100"))))))&lt;=32),"25",IF(AND((((_xlfn.XLOOKUP(Assessment!H86,Inherited!A:A,Inherited!B:B))/100)*(_xlfn.XLOOKUP(Assessment!H86,Inherited!A:A,Inherited!C:C)))+(((100-(_xlfn.XLOOKUP(Assessment!H86,Inherited!A:A,Inherited!B:B)))/100)*IF(X85="1.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(100%)","100"))))))&gt;=33,(((_xlfn.XLOOKUP(Assessment!H86,Inherited!A:A,Inherited!B:B))/100)*(_xlfn.XLOOKUP(Assessment!H86,Inherited!A:A,Inherited!C:C)))+(((100-(_xlfn.XLOOKUP(Assessment!H86,Inherited!A:A,Inherited!B:B)))/100)*IF(X85="1.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(100%)","100"))))))&lt;=65),"50",IF(AND((((_xlfn.XLOOKUP(Assessment!H86,Inherited!A:A,Inherited!B:B))/100)*(_xlfn.XLOOKUP(Assessment!H86,Inherited!A:A,Inherited!C:C)))+(((100-(_xlfn.XLOOKUP(Assessment!H86,Inherited!A:A,Inherited!B:B)))/100)*IF(X85="1.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(100%)","100"))))))&gt;=66,(((_xlfn.XLOOKUP(Assessment!H86,Inherited!A:A,Inherited!B:B))/100)*(_xlfn.XLOOKUP(Assessment!H86,Inherited!A:A,Inherited!C:C)))+(((100-(_xlfn.XLOOKUP(Assessment!H86,Inherited!A:A,Inherited!B:B)))/100)*IF(X85="1.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(100%)","100"))))))&lt;=89),"75",IF((((_xlfn.XLOOKUP(Assessment!H86,Inherited!A:A,Inherited!B:B))/100)*(_xlfn.XLOOKUP(Assessment!H86,Inherited!A:A,Inherited!C:C)))+(((100-(_xlfn.XLOOKUP(Assessment!H86,Inherited!A:A,Inherited!B:B)))/100)*IF(X85="1. Non Compliant (0%)","0",IF(X85="2. Somewhat Compliant (25%)","25",IF(X85="3. Partially Compliant (50%)","50",IF(X85="4. Mostly Compliant (75%)","75",IF(X85="5. Fully Compliant (100%)","100"))))))&gt;=90,"100"))))))</f>
        <v>#N/A</v>
      </c>
      <c r="R85" s="1" t="e">
        <f>IF(MATCH(H85,Inherited!A:A),IF((((_xlfn.XLOOKUP(Assessment!H86,Inherited!A:A,Inherited!B:B))/100)*(_xlfn.XLOOKUP(Assessment!H86,Inherited!A:A,Inherited!D:D)))+(((100-(_xlfn.XLOOKUP(Assessment!H86,Inherited!A:A,Inherited!B:B)))/100)*IF(Y85="1.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(100%)","100"))))))&lt;=10,"0", IF(AND((((_xlfn.XLOOKUP(Assessment!H86,Inherited!A:A,Inherited!B:B))/100)*(_xlfn.XLOOKUP(Assessment!H86,Inherited!A:A,Inherited!D:D)))+(((100-(_xlfn.XLOOKUP(Assessment!H86,Inherited!A:A,Inherited!B:B)))/100)*IF(Y85="1.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(100%)","100"))))))&gt;=11,(((_xlfn.XLOOKUP(Assessment!H86,Inherited!A:A,Inherited!B:B))/100)*(_xlfn.XLOOKUP(Assessment!H86,Inherited!A:A,Inherited!D:D)))+(((100-(_xlfn.XLOOKUP(Assessment!H86,Inherited!A:A,Inherited!B:B)))/100)*IF(Y85="1.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(100%)","100"))))))&lt;=32),"25",IF(AND((((_xlfn.XLOOKUP(Assessment!H86,Inherited!A:A,Inherited!B:B))/100)*(_xlfn.XLOOKUP(Assessment!H86,Inherited!A:A,Inherited!D:D)))+(((100-(_xlfn.XLOOKUP(Assessment!H86,Inherited!A:A,Inherited!B:B)))/100)*IF(Y85="1.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(100%)","100"))))))&gt;=33,(((_xlfn.XLOOKUP(Assessment!H86,Inherited!A:A,Inherited!B:B))/100)*(_xlfn.XLOOKUP(Assessment!H86,Inherited!A:A,Inherited!D:D)))+(((100-(_xlfn.XLOOKUP(Assessment!H86,Inherited!A:A,Inherited!B:B)))/100)*IF(Y85="1.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(100%)","100"))))))&lt;=65),"50",IF(AND((((_xlfn.XLOOKUP(Assessment!H86,Inherited!A:A,Inherited!B:B))/100)*(_xlfn.XLOOKUP(Assessment!H86,Inherited!A:A,Inherited!D:D)))+(((100-(_xlfn.XLOOKUP(Assessment!H86,Inherited!A:A,Inherited!B:B)))/100)*IF(Y85="1.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(100%)","100"))))))&gt;=66,(((_xlfn.XLOOKUP(Assessment!H86,Inherited!A:A,Inherited!B:B))/100)*(_xlfn.XLOOKUP(Assessment!H86,Inherited!A:A,Inherited!D:D)))+(((100-(_xlfn.XLOOKUP(Assessment!H86,Inherited!A:A,Inherited!B:B)))/100)*IF(Y85="1.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(100%)","100"))))))&lt;=89),"75",IF((((_xlfn.XLOOKUP(Assessment!H86,Inherited!A:A,Inherited!B:B))/100)*(_xlfn.XLOOKUP(Assessment!H86,Inherited!A:A,Inherited!D:D)))+(((100-(_xlfn.XLOOKUP(Assessment!H86,Inherited!A:A,Inherited!B:B)))/100)*IF(Y85="1. Non Compliant (0%)","0",IF(Y85="2. Somewhat Compliant (25%)","25",IF(Y85="3. Partially Compliant (50%)","50",IF(Y85="4. Mostly Compliant (75%)","75",IF(Y85="5. Fully Compliant (100%)","100"))))))&gt;=90,"100"))))))</f>
        <v>#N/A</v>
      </c>
      <c r="S85" s="1" t="e">
        <f>IF(MATCH(H85,Inherited!A:A),IF((((_xlfn.XLOOKUP(Assessment!H86,Inherited!A:A,Inherited!B:B))/100)*(_xlfn.XLOOKUP(Assessment!H86,Inherited!A:A,Inherited!E:E)))+(((100-(_xlfn.XLOOKUP(Assessment!H86,Inherited!A:A,Inherited!B:B)))/100)*IF(Z85="1.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(100%)","100"))))))&lt;=10,"0", IF(AND((((_xlfn.XLOOKUP(Assessment!H86,Inherited!A:A,Inherited!B:B))/100)*(_xlfn.XLOOKUP(Assessment!H86,Inherited!A:A,Inherited!E:E)))+(((100-(_xlfn.XLOOKUP(Assessment!H86,Inherited!A:A,Inherited!B:B)))/100)*IF(Z85="1.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(100%)","100"))))))&gt;=11,(((_xlfn.XLOOKUP(Assessment!H86,Inherited!A:A,Inherited!B:B))/100)*(_xlfn.XLOOKUP(Assessment!H86,Inherited!A:A,Inherited!E:E)))+(((100-(_xlfn.XLOOKUP(Assessment!H86,Inherited!A:A,Inherited!B:B)))/100)*IF(Z85="1.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(100%)","100"))))))&lt;=32),"25",IF(AND((((_xlfn.XLOOKUP(Assessment!H86,Inherited!A:A,Inherited!B:B))/100)*(_xlfn.XLOOKUP(Assessment!H86,Inherited!A:A,Inherited!E:E)))+(((100-(_xlfn.XLOOKUP(Assessment!H86,Inherited!A:A,Inherited!B:B)))/100)*IF(Z85="1.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(100%)","100"))))))&gt;=33,(((_xlfn.XLOOKUP(Assessment!H86,Inherited!A:A,Inherited!B:B))/100)*(_xlfn.XLOOKUP(Assessment!H86,Inherited!A:A,Inherited!E:E)))+(((100-(_xlfn.XLOOKUP(Assessment!H86,Inherited!A:A,Inherited!B:B)))/100)*IF(Z85="1.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(100%)","100"))))))&lt;=65),"50",IF(AND((((_xlfn.XLOOKUP(Assessment!H86,Inherited!A:A,Inherited!B:B))/100)*(_xlfn.XLOOKUP(Assessment!H86,Inherited!A:A,Inherited!E:E)))+(((100-(_xlfn.XLOOKUP(Assessment!H86,Inherited!A:A,Inherited!B:B)))/100)*IF(Z85="1.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(100%)","100"))))))&gt;=66,(((_xlfn.XLOOKUP(Assessment!H86,Inherited!A:A,Inherited!B:B))/100)*(_xlfn.XLOOKUP(Assessment!H86,Inherited!A:A,Inherited!E:E)))+(((100-(_xlfn.XLOOKUP(Assessment!H86,Inherited!A:A,Inherited!B:B)))/100)*IF(Z85="1.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(100%)","100"))))))&lt;=89),"75",IF((((_xlfn.XLOOKUP(Assessment!H86,Inherited!A:A,Inherited!B:B))/100)*(_xlfn.XLOOKUP(Assessment!H86,Inherited!A:A,Inherited!E:E)))+(((100-(_xlfn.XLOOKUP(Assessment!H86,Inherited!A:A,Inherited!B:B)))/100)*IF(Z85="1. Non Compliant (0%)","0",IF(Z85="2. Somewhat Compliant (25%)","25",IF(Z85="3. Partially Compliant (50%)","50",IF(Z85="4. Mostly Compliant (75%)","75",IF(Z85="5. Fully Compliant (100%)","100"))))))&gt;=90,"100"))))))</f>
        <v>#N/A</v>
      </c>
      <c r="T85" s="1" t="e">
        <f>IF(MATCH(H85,Inherited!A:A),IF((((_xlfn.XLOOKUP(Assessment!H86,Inherited!A:A,Inherited!B:B))/100)*(_xlfn.XLOOKUP(Assessment!H86,Inherited!A:A,Inherited!F:F)))+(((100-(_xlfn.XLOOKUP(Assessment!H86,Inherited!A:A,Inherited!B:B)))/100)*IF(AA85="1.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(100%)","100"))))))&lt;=10,"0", IF(AND((((_xlfn.XLOOKUP(Assessment!H86,Inherited!A:A,Inherited!B:B))/100)*(_xlfn.XLOOKUP(Assessment!H86,Inherited!A:A,Inherited!F:F)))+(((100-(_xlfn.XLOOKUP(Assessment!H86,Inherited!A:A,Inherited!B:B)))/100)*IF(AA85="1.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(100%)","100"))))))&gt;=11,(((_xlfn.XLOOKUP(Assessment!H86,Inherited!A:A,Inherited!B:B))/100)*(_xlfn.XLOOKUP(Assessment!H86,Inherited!A:A,Inherited!F:F)))+(((100-(_xlfn.XLOOKUP(Assessment!H86,Inherited!A:A,Inherited!B:B)))/100)*IF(AA85="1.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(100%)","100"))))))&lt;=32),"25",IF(AND((((_xlfn.XLOOKUP(Assessment!H86,Inherited!A:A,Inherited!B:B))/100)*(_xlfn.XLOOKUP(Assessment!H86,Inherited!A:A,Inherited!F:F)))+(((100-(_xlfn.XLOOKUP(Assessment!H86,Inherited!A:A,Inherited!B:B)))/100)*IF(AA85="1.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(100%)","100"))))))&gt;=33,(((_xlfn.XLOOKUP(Assessment!H86,Inherited!A:A,Inherited!B:B))/100)*(_xlfn.XLOOKUP(Assessment!H86,Inherited!A:A,Inherited!F:F)))+(((100-(_xlfn.XLOOKUP(Assessment!H86,Inherited!A:A,Inherited!B:B)))/100)*IF(AA85="1.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(100%)","100"))))))&lt;=65),"50",IF(AND((((_xlfn.XLOOKUP(Assessment!H86,Inherited!A:A,Inherited!B:B))/100)*(_xlfn.XLOOKUP(Assessment!H86,Inherited!A:A,Inherited!F:F)))+(((100-(_xlfn.XLOOKUP(Assessment!H86,Inherited!A:A,Inherited!B:B)))/100)*IF(AA85="1.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(100%)","100"))))))&gt;=66,(((_xlfn.XLOOKUP(Assessment!H86,Inherited!A:A,Inherited!B:B))/100)*(_xlfn.XLOOKUP(Assessment!H86,Inherited!A:A,Inherited!F:F)))+(((100-(_xlfn.XLOOKUP(Assessment!H86,Inherited!A:A,Inherited!B:B)))/100)*IF(AA85="1.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(100%)","100"))))))&lt;=89),"75",IF((((_xlfn.XLOOKUP(Assessment!H86,Inherited!A:A,Inherited!B:B))/100)*(_xlfn.XLOOKUP(Assessment!H86,Inherited!A:A,Inherited!F:F)))+(((100-(_xlfn.XLOOKUP(Assessment!H86,Inherited!A:A,Inherited!B:B)))/100)*IF(AA85="1. Non Compliant (0%)","0",IF(AA85="2. Somewhat Compliant (25%)","25",IF(AA85="3. Partially Compliant (50%)","50",IF(AA85="4. Mostly Compliant (75%)","75",IF(AA85="5. Fully Compliant (100%)","100"))))))&gt;=90,"100"))))))</f>
        <v>#N/A</v>
      </c>
      <c r="U85" s="1" t="e">
        <f>IF(MATCH(H85,Inherited!A:A),IF((((_xlfn.XLOOKUP(Assessment!H86,Inherited!A:A,Inherited!B:B))/100)*(_xlfn.XLOOKUP(Assessment!H86,Inherited!A:A,Inherited!G:G)))+(((100-(_xlfn.XLOOKUP(Assessment!H86,Inherited!A:A,Inherited!B:B)))/100)*IF(AB85="1.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(100%)","100"))))))&lt;=10,"0", IF(AND((((_xlfn.XLOOKUP(Assessment!H86,Inherited!A:A,Inherited!B:B))/100)*(_xlfn.XLOOKUP(Assessment!H86,Inherited!A:A,Inherited!G:G)))+(((100-(_xlfn.XLOOKUP(Assessment!H86,Inherited!A:A,Inherited!B:B)))/100)*IF(AB85="1.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(100%)","100"))))))&gt;=11,(((_xlfn.XLOOKUP(Assessment!H86,Inherited!A:A,Inherited!B:B))/100)*(_xlfn.XLOOKUP(Assessment!H86,Inherited!A:A,Inherited!G:G)))+(((100-(_xlfn.XLOOKUP(Assessment!H86,Inherited!A:A,Inherited!B:B)))/100)*IF(AB85="1.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(100%)","100"))))))&lt;=32),"25",IF(AND((((_xlfn.XLOOKUP(Assessment!H86,Inherited!A:A,Inherited!B:B))/100)*(_xlfn.XLOOKUP(Assessment!H86,Inherited!A:A,Inherited!G:G)))+(((100-(_xlfn.XLOOKUP(Assessment!H86,Inherited!A:A,Inherited!B:B)))/100)*IF(AB85="1.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(100%)","100"))))))&gt;=33,(((_xlfn.XLOOKUP(Assessment!H86,Inherited!A:A,Inherited!B:B))/100)*(_xlfn.XLOOKUP(Assessment!H86,Inherited!A:A,Inherited!G:G)))+(((100-(_xlfn.XLOOKUP(Assessment!H86,Inherited!A:A,Inherited!B:B)))/100)*IF(AB85="1.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(100%)","100"))))))&lt;=65),"50",IF(AND((((_xlfn.XLOOKUP(Assessment!H86,Inherited!A:A,Inherited!B:B))/100)*(_xlfn.XLOOKUP(Assessment!H86,Inherited!A:A,Inherited!G:G)))+(((100-(_xlfn.XLOOKUP(Assessment!H86,Inherited!A:A,Inherited!B:B)))/100)*IF(AB85="1.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(100%)","100"))))))&gt;=66,(((_xlfn.XLOOKUP(Assessment!H86,Inherited!A:A,Inherited!B:B))/100)*(_xlfn.XLOOKUP(Assessment!H86,Inherited!A:A,Inherited!G:G)))+(((100-(_xlfn.XLOOKUP(Assessment!H86,Inherited!A:A,Inherited!B:B)))/100)*IF(AB85="1.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(100%)","100"))))))&lt;=89),"75",IF((((_xlfn.XLOOKUP(Assessment!H86,Inherited!A:A,Inherited!B:B))/100)*(_xlfn.XLOOKUP(Assessment!H86,Inherited!A:A,Inherited!G:G)))+(((100-(_xlfn.XLOOKUP(Assessment!H86,Inherited!A:A,Inherited!B:B)))/100)*IF(AB85="1. Non Compliant (0%)","0",IF(AB85="2. Somewhat Compliant (25%)","25",IF(AB85="3. Partially Compliant (50%)","50",IF(AB85="4. Mostly Compliant (75%)","75",IF(AB85="5. Fully Compliant (100%)","100"))))))&gt;=90,"100"))))))</f>
        <v>#N/A</v>
      </c>
      <c r="V85" s="55" t="s">
        <v>85</v>
      </c>
      <c r="W85" s="55"/>
      <c r="X85" s="55"/>
      <c r="Y85" s="55"/>
      <c r="Z85" s="55" t="s">
        <v>10873</v>
      </c>
      <c r="AA85" s="55"/>
      <c r="AB85" s="55"/>
      <c r="AK85" s="1" t="s">
        <v>10978</v>
      </c>
      <c r="AL85" s="1" t="s">
        <v>10989</v>
      </c>
      <c r="AP85" s="1" t="s">
        <v>11079</v>
      </c>
      <c r="AX85" s="3" t="str">
        <f>_xlfn.CONCAT("A-LIGN finished its review of this control on ",AR85, " during the scheduled fieldwork window (",Intro!$B$4,")."&amp; CHAR(10)&amp; CHAR(10))</f>
        <v xml:space="preserve">A-LIGN finished its review of this control on  during the scheduled fieldwork window (Fieldwork: xx/xx/xxxx - xx/xx/xxxx).
</v>
      </c>
      <c r="AY85" s="3" t="str">
        <f t="shared" si="160"/>
        <v/>
      </c>
      <c r="AZ85" s="3" t="str">
        <f t="shared" si="161"/>
        <v/>
      </c>
      <c r="BA85" s="3" t="str">
        <f t="shared" si="162"/>
        <v/>
      </c>
      <c r="BB85" s="3" t="str">
        <f t="shared" si="16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v>
      </c>
      <c r="BC85" s="3" t="str">
        <f t="shared" si="164"/>
        <v/>
      </c>
      <c r="BD85" s="3" t="str">
        <f t="shared" si="16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Further, management should ensure that appropriate access controls to AI models and other assets is implemented considering the following:
- access to data used to train, test, validate, and fine-tune model is restricts according to the organization’s access control program
</v>
      </c>
      <c r="BE85" s="3" t="str">
        <f t="shared" si="166"/>
        <v/>
      </c>
      <c r="BF85" s="3" t="str">
        <f t="shared" si="167"/>
        <v/>
      </c>
      <c r="BG85" s="3" t="str">
        <f>_xlfn.CONCAT((IF((COUNTIF('Sample Tables'!B:B,"")&gt;0)=TRUE,_xlfn.CONCAT("",""),IF((COUNTIF('Sample Tables'!B:B,"")&gt;0)=FALSE,""))),)</f>
        <v/>
      </c>
      <c r="BH85" s="3" t="str">
        <f t="shared" si="16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generative artificial intelligence model
- outlines process for granting access to data and system capabilities for generative artificial intelligence model
- outlines process for authenticating access to data and system capabilities for generative artificial intelligence model
Further, management should ensure that appropriate access controls to AI models and other assets is implemented considering the following:
- access to data used to train, test, validate, and fine-tune model is restricts according to the organization’s access control program
</v>
      </c>
    </row>
    <row r="86" spans="3:60" ht="246" customHeight="1" x14ac:dyDescent="0.35">
      <c r="C86" s="1">
        <f t="shared" si="169"/>
        <v>0</v>
      </c>
      <c r="D86" s="5" t="str">
        <f>IF(AND((_xlfn.XLOOKUP(J86,'Fields &amp; Revisions'!$H:$H,'Fields &amp; Revisions'!$I:$I))&lt;70.99,(OR(Z86="4. Mostly Compliant (75%)",Z86="3. Partially Compliant (50%)",Z86="2. Somewhat Compliant (25%)",Z86="1. Non Compliant (0%)"))),"Yes","No")</f>
        <v>Yes</v>
      </c>
      <c r="E86" s="5" t="str">
        <f>IF(ISERROR(VLOOKUP(H86,Scope!A:A,1,FALSE)),"No","Yes")</f>
        <v>Yes</v>
      </c>
      <c r="F86" s="1" t="s">
        <v>2424</v>
      </c>
      <c r="G86" s="53" t="s">
        <v>2482</v>
      </c>
      <c r="H86" s="53" t="s">
        <v>2483</v>
      </c>
      <c r="I86" s="5" t="s">
        <v>93</v>
      </c>
      <c r="J86" s="1" t="s">
        <v>2473</v>
      </c>
      <c r="K86" s="54" t="s">
        <v>2484</v>
      </c>
      <c r="L86" s="1" t="s">
        <v>2485</v>
      </c>
      <c r="M86" s="1" t="s">
        <v>2486</v>
      </c>
      <c r="N86" s="5" t="s">
        <v>98</v>
      </c>
      <c r="O86" s="1" t="str">
        <f>_xlfn.XLOOKUP(G86,SRMs!$A:$A,SRMs!$D:$D)</f>
        <v>NO INHERITANCE</v>
      </c>
      <c r="P86" s="1" t="str">
        <f>IFERROR(VLOOKUP(H86,Inherited!A:B,2,FALSE),"")</f>
        <v/>
      </c>
      <c r="Q86" s="1" t="e">
        <f>IF(MATCH(H86,Inherited!A:A),IF((((_xlfn.XLOOKUP(Assessment!H87,Inherited!A:A,Inherited!B:B))/100)*(_xlfn.XLOOKUP(Assessment!H87,Inherited!A:A,Inherited!C:C)))+(((100-(_xlfn.XLOOKUP(Assessment!H87,Inherited!A:A,Inherited!B:B)))/100)*IF(X86="1.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(100%)","100"))))))&lt;=10,"0", IF(AND((((_xlfn.XLOOKUP(Assessment!H87,Inherited!A:A,Inherited!B:B))/100)*(_xlfn.XLOOKUP(Assessment!H87,Inherited!A:A,Inherited!C:C)))+(((100-(_xlfn.XLOOKUP(Assessment!H87,Inherited!A:A,Inherited!B:B)))/100)*IF(X86="1.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(100%)","100"))))))&gt;=11,(((_xlfn.XLOOKUP(Assessment!H87,Inherited!A:A,Inherited!B:B))/100)*(_xlfn.XLOOKUP(Assessment!H87,Inherited!A:A,Inherited!C:C)))+(((100-(_xlfn.XLOOKUP(Assessment!H87,Inherited!A:A,Inherited!B:B)))/100)*IF(X86="1.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(100%)","100"))))))&lt;=32),"25",IF(AND((((_xlfn.XLOOKUP(Assessment!H87,Inherited!A:A,Inherited!B:B))/100)*(_xlfn.XLOOKUP(Assessment!H87,Inherited!A:A,Inherited!C:C)))+(((100-(_xlfn.XLOOKUP(Assessment!H87,Inherited!A:A,Inherited!B:B)))/100)*IF(X86="1.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(100%)","100"))))))&gt;=33,(((_xlfn.XLOOKUP(Assessment!H87,Inherited!A:A,Inherited!B:B))/100)*(_xlfn.XLOOKUP(Assessment!H87,Inherited!A:A,Inherited!C:C)))+(((100-(_xlfn.XLOOKUP(Assessment!H87,Inherited!A:A,Inherited!B:B)))/100)*IF(X86="1.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(100%)","100"))))))&lt;=65),"50",IF(AND((((_xlfn.XLOOKUP(Assessment!H87,Inherited!A:A,Inherited!B:B))/100)*(_xlfn.XLOOKUP(Assessment!H87,Inherited!A:A,Inherited!C:C)))+(((100-(_xlfn.XLOOKUP(Assessment!H87,Inherited!A:A,Inherited!B:B)))/100)*IF(X86="1.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(100%)","100"))))))&gt;=66,(((_xlfn.XLOOKUP(Assessment!H87,Inherited!A:A,Inherited!B:B))/100)*(_xlfn.XLOOKUP(Assessment!H87,Inherited!A:A,Inherited!C:C)))+(((100-(_xlfn.XLOOKUP(Assessment!H87,Inherited!A:A,Inherited!B:B)))/100)*IF(X86="1.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(100%)","100"))))))&lt;=89),"75",IF((((_xlfn.XLOOKUP(Assessment!H87,Inherited!A:A,Inherited!B:B))/100)*(_xlfn.XLOOKUP(Assessment!H87,Inherited!A:A,Inherited!C:C)))+(((100-(_xlfn.XLOOKUP(Assessment!H87,Inherited!A:A,Inherited!B:B)))/100)*IF(X86="1. Non Compliant (0%)","0",IF(X86="2. Somewhat Compliant (25%)","25",IF(X86="3. Partially Compliant (50%)","50",IF(X86="4. Mostly Compliant (75%)","75",IF(X86="5. Fully Compliant (100%)","100"))))))&gt;=90,"100"))))))</f>
        <v>#N/A</v>
      </c>
      <c r="R86" s="1" t="e">
        <f>IF(MATCH(H86,Inherited!A:A),IF((((_xlfn.XLOOKUP(Assessment!H87,Inherited!A:A,Inherited!B:B))/100)*(_xlfn.XLOOKUP(Assessment!H87,Inherited!A:A,Inherited!D:D)))+(((100-(_xlfn.XLOOKUP(Assessment!H87,Inherited!A:A,Inherited!B:B)))/100)*IF(Y86="1.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(100%)","100"))))))&lt;=10,"0", IF(AND((((_xlfn.XLOOKUP(Assessment!H87,Inherited!A:A,Inherited!B:B))/100)*(_xlfn.XLOOKUP(Assessment!H87,Inherited!A:A,Inherited!D:D)))+(((100-(_xlfn.XLOOKUP(Assessment!H87,Inherited!A:A,Inherited!B:B)))/100)*IF(Y86="1.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(100%)","100"))))))&gt;=11,(((_xlfn.XLOOKUP(Assessment!H87,Inherited!A:A,Inherited!B:B))/100)*(_xlfn.XLOOKUP(Assessment!H87,Inherited!A:A,Inherited!D:D)))+(((100-(_xlfn.XLOOKUP(Assessment!H87,Inherited!A:A,Inherited!B:B)))/100)*IF(Y86="1.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(100%)","100"))))))&lt;=32),"25",IF(AND((((_xlfn.XLOOKUP(Assessment!H87,Inherited!A:A,Inherited!B:B))/100)*(_xlfn.XLOOKUP(Assessment!H87,Inherited!A:A,Inherited!D:D)))+(((100-(_xlfn.XLOOKUP(Assessment!H87,Inherited!A:A,Inherited!B:B)))/100)*IF(Y86="1.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(100%)","100"))))))&gt;=33,(((_xlfn.XLOOKUP(Assessment!H87,Inherited!A:A,Inherited!B:B))/100)*(_xlfn.XLOOKUP(Assessment!H87,Inherited!A:A,Inherited!D:D)))+(((100-(_xlfn.XLOOKUP(Assessment!H87,Inherited!A:A,Inherited!B:B)))/100)*IF(Y86="1.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(100%)","100"))))))&lt;=65),"50",IF(AND((((_xlfn.XLOOKUP(Assessment!H87,Inherited!A:A,Inherited!B:B))/100)*(_xlfn.XLOOKUP(Assessment!H87,Inherited!A:A,Inherited!D:D)))+(((100-(_xlfn.XLOOKUP(Assessment!H87,Inherited!A:A,Inherited!B:B)))/100)*IF(Y86="1.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(100%)","100"))))))&gt;=66,(((_xlfn.XLOOKUP(Assessment!H87,Inherited!A:A,Inherited!B:B))/100)*(_xlfn.XLOOKUP(Assessment!H87,Inherited!A:A,Inherited!D:D)))+(((100-(_xlfn.XLOOKUP(Assessment!H87,Inherited!A:A,Inherited!B:B)))/100)*IF(Y86="1.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(100%)","100"))))))&lt;=89),"75",IF((((_xlfn.XLOOKUP(Assessment!H87,Inherited!A:A,Inherited!B:B))/100)*(_xlfn.XLOOKUP(Assessment!H87,Inherited!A:A,Inherited!D:D)))+(((100-(_xlfn.XLOOKUP(Assessment!H87,Inherited!A:A,Inherited!B:B)))/100)*IF(Y86="1. Non Compliant (0%)","0",IF(Y86="2. Somewhat Compliant (25%)","25",IF(Y86="3. Partially Compliant (50%)","50",IF(Y86="4. Mostly Compliant (75%)","75",IF(Y86="5. Fully Compliant (100%)","100"))))))&gt;=90,"100"))))))</f>
        <v>#N/A</v>
      </c>
      <c r="S86" s="1" t="e">
        <f>IF(MATCH(H86,Inherited!A:A),IF((((_xlfn.XLOOKUP(Assessment!H87,Inherited!A:A,Inherited!B:B))/100)*(_xlfn.XLOOKUP(Assessment!H87,Inherited!A:A,Inherited!E:E)))+(((100-(_xlfn.XLOOKUP(Assessment!H87,Inherited!A:A,Inherited!B:B)))/100)*IF(Z86="1.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(100%)","100"))))))&lt;=10,"0", IF(AND((((_xlfn.XLOOKUP(Assessment!H87,Inherited!A:A,Inherited!B:B))/100)*(_xlfn.XLOOKUP(Assessment!H87,Inherited!A:A,Inherited!E:E)))+(((100-(_xlfn.XLOOKUP(Assessment!H87,Inherited!A:A,Inherited!B:B)))/100)*IF(Z86="1.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(100%)","100"))))))&gt;=11,(((_xlfn.XLOOKUP(Assessment!H87,Inherited!A:A,Inherited!B:B))/100)*(_xlfn.XLOOKUP(Assessment!H87,Inherited!A:A,Inherited!E:E)))+(((100-(_xlfn.XLOOKUP(Assessment!H87,Inherited!A:A,Inherited!B:B)))/100)*IF(Z86="1.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(100%)","100"))))))&lt;=32),"25",IF(AND((((_xlfn.XLOOKUP(Assessment!H87,Inherited!A:A,Inherited!B:B))/100)*(_xlfn.XLOOKUP(Assessment!H87,Inherited!A:A,Inherited!E:E)))+(((100-(_xlfn.XLOOKUP(Assessment!H87,Inherited!A:A,Inherited!B:B)))/100)*IF(Z86="1.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(100%)","100"))))))&gt;=33,(((_xlfn.XLOOKUP(Assessment!H87,Inherited!A:A,Inherited!B:B))/100)*(_xlfn.XLOOKUP(Assessment!H87,Inherited!A:A,Inherited!E:E)))+(((100-(_xlfn.XLOOKUP(Assessment!H87,Inherited!A:A,Inherited!B:B)))/100)*IF(Z86="1.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(100%)","100"))))))&lt;=65),"50",IF(AND((((_xlfn.XLOOKUP(Assessment!H87,Inherited!A:A,Inherited!B:B))/100)*(_xlfn.XLOOKUP(Assessment!H87,Inherited!A:A,Inherited!E:E)))+(((100-(_xlfn.XLOOKUP(Assessment!H87,Inherited!A:A,Inherited!B:B)))/100)*IF(Z86="1.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(100%)","100"))))))&gt;=66,(((_xlfn.XLOOKUP(Assessment!H87,Inherited!A:A,Inherited!B:B))/100)*(_xlfn.XLOOKUP(Assessment!H87,Inherited!A:A,Inherited!E:E)))+(((100-(_xlfn.XLOOKUP(Assessment!H87,Inherited!A:A,Inherited!B:B)))/100)*IF(Z86="1.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(100%)","100"))))))&lt;=89),"75",IF((((_xlfn.XLOOKUP(Assessment!H87,Inherited!A:A,Inherited!B:B))/100)*(_xlfn.XLOOKUP(Assessment!H87,Inherited!A:A,Inherited!E:E)))+(((100-(_xlfn.XLOOKUP(Assessment!H87,Inherited!A:A,Inherited!B:B)))/100)*IF(Z86="1. Non Compliant (0%)","0",IF(Z86="2. Somewhat Compliant (25%)","25",IF(Z86="3. Partially Compliant (50%)","50",IF(Z86="4. Mostly Compliant (75%)","75",IF(Z86="5. Fully Compliant (100%)","100"))))))&gt;=90,"100"))))))</f>
        <v>#N/A</v>
      </c>
      <c r="T86" s="1" t="e">
        <f>IF(MATCH(H86,Inherited!A:A),IF((((_xlfn.XLOOKUP(Assessment!H87,Inherited!A:A,Inherited!B:B))/100)*(_xlfn.XLOOKUP(Assessment!H87,Inherited!A:A,Inherited!F:F)))+(((100-(_xlfn.XLOOKUP(Assessment!H87,Inherited!A:A,Inherited!B:B)))/100)*IF(AA86="1.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(100%)","100"))))))&lt;=10,"0", IF(AND((((_xlfn.XLOOKUP(Assessment!H87,Inherited!A:A,Inherited!B:B))/100)*(_xlfn.XLOOKUP(Assessment!H87,Inherited!A:A,Inherited!F:F)))+(((100-(_xlfn.XLOOKUP(Assessment!H87,Inherited!A:A,Inherited!B:B)))/100)*IF(AA86="1.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(100%)","100"))))))&gt;=11,(((_xlfn.XLOOKUP(Assessment!H87,Inherited!A:A,Inherited!B:B))/100)*(_xlfn.XLOOKUP(Assessment!H87,Inherited!A:A,Inherited!F:F)))+(((100-(_xlfn.XLOOKUP(Assessment!H87,Inherited!A:A,Inherited!B:B)))/100)*IF(AA86="1.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(100%)","100"))))))&lt;=32),"25",IF(AND((((_xlfn.XLOOKUP(Assessment!H87,Inherited!A:A,Inherited!B:B))/100)*(_xlfn.XLOOKUP(Assessment!H87,Inherited!A:A,Inherited!F:F)))+(((100-(_xlfn.XLOOKUP(Assessment!H87,Inherited!A:A,Inherited!B:B)))/100)*IF(AA86="1.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(100%)","100"))))))&gt;=33,(((_xlfn.XLOOKUP(Assessment!H87,Inherited!A:A,Inherited!B:B))/100)*(_xlfn.XLOOKUP(Assessment!H87,Inherited!A:A,Inherited!F:F)))+(((100-(_xlfn.XLOOKUP(Assessment!H87,Inherited!A:A,Inherited!B:B)))/100)*IF(AA86="1.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(100%)","100"))))))&lt;=65),"50",IF(AND((((_xlfn.XLOOKUP(Assessment!H87,Inherited!A:A,Inherited!B:B))/100)*(_xlfn.XLOOKUP(Assessment!H87,Inherited!A:A,Inherited!F:F)))+(((100-(_xlfn.XLOOKUP(Assessment!H87,Inherited!A:A,Inherited!B:B)))/100)*IF(AA86="1.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(100%)","100"))))))&gt;=66,(((_xlfn.XLOOKUP(Assessment!H87,Inherited!A:A,Inherited!B:B))/100)*(_xlfn.XLOOKUP(Assessment!H87,Inherited!A:A,Inherited!F:F)))+(((100-(_xlfn.XLOOKUP(Assessment!H87,Inherited!A:A,Inherited!B:B)))/100)*IF(AA86="1.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(100%)","100"))))))&lt;=89),"75",IF((((_xlfn.XLOOKUP(Assessment!H87,Inherited!A:A,Inherited!B:B))/100)*(_xlfn.XLOOKUP(Assessment!H87,Inherited!A:A,Inherited!F:F)))+(((100-(_xlfn.XLOOKUP(Assessment!H87,Inherited!A:A,Inherited!B:B)))/100)*IF(AA86="1. Non Compliant (0%)","0",IF(AA86="2. Somewhat Compliant (25%)","25",IF(AA86="3. Partially Compliant (50%)","50",IF(AA86="4. Mostly Compliant (75%)","75",IF(AA86="5. Fully Compliant (100%)","100"))))))&gt;=90,"100"))))))</f>
        <v>#N/A</v>
      </c>
      <c r="U86" s="1" t="e">
        <f>IF(MATCH(H86,Inherited!A:A),IF((((_xlfn.XLOOKUP(Assessment!H87,Inherited!A:A,Inherited!B:B))/100)*(_xlfn.XLOOKUP(Assessment!H87,Inherited!A:A,Inherited!G:G)))+(((100-(_xlfn.XLOOKUP(Assessment!H87,Inherited!A:A,Inherited!B:B)))/100)*IF(AB86="1.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(100%)","100"))))))&lt;=10,"0", IF(AND((((_xlfn.XLOOKUP(Assessment!H87,Inherited!A:A,Inherited!B:B))/100)*(_xlfn.XLOOKUP(Assessment!H87,Inherited!A:A,Inherited!G:G)))+(((100-(_xlfn.XLOOKUP(Assessment!H87,Inherited!A:A,Inherited!B:B)))/100)*IF(AB86="1.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(100%)","100"))))))&gt;=11,(((_xlfn.XLOOKUP(Assessment!H87,Inherited!A:A,Inherited!B:B))/100)*(_xlfn.XLOOKUP(Assessment!H87,Inherited!A:A,Inherited!G:G)))+(((100-(_xlfn.XLOOKUP(Assessment!H87,Inherited!A:A,Inherited!B:B)))/100)*IF(AB86="1.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(100%)","100"))))))&lt;=32),"25",IF(AND((((_xlfn.XLOOKUP(Assessment!H87,Inherited!A:A,Inherited!B:B))/100)*(_xlfn.XLOOKUP(Assessment!H87,Inherited!A:A,Inherited!G:G)))+(((100-(_xlfn.XLOOKUP(Assessment!H87,Inherited!A:A,Inherited!B:B)))/100)*IF(AB86="1.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(100%)","100"))))))&gt;=33,(((_xlfn.XLOOKUP(Assessment!H87,Inherited!A:A,Inherited!B:B))/100)*(_xlfn.XLOOKUP(Assessment!H87,Inherited!A:A,Inherited!G:G)))+(((100-(_xlfn.XLOOKUP(Assessment!H87,Inherited!A:A,Inherited!B:B)))/100)*IF(AB86="1.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(100%)","100"))))))&lt;=65),"50",IF(AND((((_xlfn.XLOOKUP(Assessment!H87,Inherited!A:A,Inherited!B:B))/100)*(_xlfn.XLOOKUP(Assessment!H87,Inherited!A:A,Inherited!G:G)))+(((100-(_xlfn.XLOOKUP(Assessment!H87,Inherited!A:A,Inherited!B:B)))/100)*IF(AB86="1.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(100%)","100"))))))&gt;=66,(((_xlfn.XLOOKUP(Assessment!H87,Inherited!A:A,Inherited!B:B))/100)*(_xlfn.XLOOKUP(Assessment!H87,Inherited!A:A,Inherited!G:G)))+(((100-(_xlfn.XLOOKUP(Assessment!H87,Inherited!A:A,Inherited!B:B)))/100)*IF(AB86="1.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(100%)","100"))))))&lt;=89),"75",IF((((_xlfn.XLOOKUP(Assessment!H87,Inherited!A:A,Inherited!B:B))/100)*(_xlfn.XLOOKUP(Assessment!H87,Inherited!A:A,Inherited!G:G)))+(((100-(_xlfn.XLOOKUP(Assessment!H87,Inherited!A:A,Inherited!B:B)))/100)*IF(AB86="1. Non Compliant (0%)","0",IF(AB86="2. Somewhat Compliant (25%)","25",IF(AB86="3. Partially Compliant (50%)","50",IF(AB86="4. Mostly Compliant (75%)","75",IF(AB86="5. Fully Compliant (100%)","100"))))))&gt;=90,"100"))))))</f>
        <v>#N/A</v>
      </c>
      <c r="V86" s="55" t="s">
        <v>85</v>
      </c>
      <c r="W86" s="55"/>
      <c r="X86" s="55"/>
      <c r="Y86" s="55"/>
      <c r="Z86" s="55" t="s">
        <v>10873</v>
      </c>
      <c r="AA86" s="55"/>
      <c r="AB86" s="55"/>
      <c r="AK86" s="1" t="s">
        <v>10978</v>
      </c>
      <c r="AL86" s="1" t="s">
        <v>10989</v>
      </c>
      <c r="AP86" s="1" t="s">
        <v>11080</v>
      </c>
      <c r="AX86" s="3" t="str">
        <f>_xlfn.CONCAT("A-LIGN finished its review of this control on ",AR86, " during the scheduled fieldwork window (",Intro!$B$4,")."&amp; CHAR(10)&amp; CHAR(10))</f>
        <v xml:space="preserve">A-LIGN finished its review of this control on  during the scheduled fieldwork window (Fieldwork: xx/xx/xxxx - xx/xx/xxxx).
</v>
      </c>
      <c r="AY86" s="3" t="str">
        <f t="shared" si="160"/>
        <v/>
      </c>
      <c r="AZ86" s="3" t="str">
        <f t="shared" si="161"/>
        <v/>
      </c>
      <c r="BA86" s="3" t="str">
        <f t="shared" si="162"/>
        <v/>
      </c>
      <c r="BB86" s="3" t="str">
        <f t="shared" si="16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v>
      </c>
      <c r="BC86" s="3" t="str">
        <f t="shared" si="164"/>
        <v/>
      </c>
      <c r="BD86" s="3" t="str">
        <f t="shared" si="16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generative artificial intelligence model is restricted according to the organization’s access control program
</v>
      </c>
      <c r="BE86" s="3" t="str">
        <f t="shared" si="166"/>
        <v/>
      </c>
      <c r="BF86" s="3" t="str">
        <f t="shared" si="167"/>
        <v/>
      </c>
      <c r="BG86" s="3" t="str">
        <f>_xlfn.CONCAT((IF((COUNTIF('Sample Tables'!B:B,"")&gt;0)=TRUE,_xlfn.CONCAT("",""),IF((COUNTIF('Sample Tables'!B:B,"")&gt;0)=FALSE,""))),)</f>
        <v/>
      </c>
      <c r="BH86" s="3" t="str">
        <f t="shared" si="16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generative artificial intelligence model is restricted according to the organization’s access control program
</v>
      </c>
    </row>
    <row r="87" spans="3:60" ht="409.5" x14ac:dyDescent="0.35">
      <c r="C87" s="1">
        <f t="shared" si="169"/>
        <v>0</v>
      </c>
      <c r="D87" s="5" t="str">
        <f>IF(AND((_xlfn.XLOOKUP(J87,'Fields &amp; Revisions'!$H:$H,'Fields &amp; Revisions'!$I:$I))&lt;70.99,(OR(Z87="4. Mostly Compliant (75%)",Z87="3. Partially Compliant (50%)",Z87="2. Somewhat Compliant (25%)",Z87="1. Non Compliant (0%)"))),"Yes","No")</f>
        <v>Yes</v>
      </c>
      <c r="E87" s="5" t="str">
        <f>IF(ISERROR(VLOOKUP(H87,Scope!A:A,1,FALSE)),"No","Yes")</f>
        <v>Yes</v>
      </c>
      <c r="F87" s="1" t="s">
        <v>2424</v>
      </c>
      <c r="G87" s="53" t="s">
        <v>2487</v>
      </c>
      <c r="H87" s="53" t="s">
        <v>2488</v>
      </c>
      <c r="I87" s="5" t="s">
        <v>93</v>
      </c>
      <c r="J87" s="1" t="s">
        <v>2473</v>
      </c>
      <c r="K87" s="54" t="s">
        <v>2489</v>
      </c>
      <c r="L87" s="1" t="s">
        <v>2490</v>
      </c>
      <c r="M87" s="1" t="s">
        <v>2491</v>
      </c>
      <c r="N87" s="5" t="s">
        <v>98</v>
      </c>
      <c r="O87" s="1" t="str">
        <f>_xlfn.XLOOKUP(G87,SRMs!$A:$A,SRMs!$D:$D)</f>
        <v>NO INHERITANCE</v>
      </c>
      <c r="P87" s="1" t="str">
        <f>IFERROR(VLOOKUP(H87,Inherited!A:B,2,FALSE),"")</f>
        <v/>
      </c>
      <c r="Q87" s="1" t="e">
        <f>IF(MATCH(H87,Inherited!A:A),IF((((_xlfn.XLOOKUP(Assessment!H88,Inherited!A:A,Inherited!B:B))/100)*(_xlfn.XLOOKUP(Assessment!H88,Inherited!A:A,Inherited!C:C)))+(((100-(_xlfn.XLOOKUP(Assessment!H88,Inherited!A:A,Inherited!B:B)))/100)*IF(X87="1.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(100%)","100"))))))&lt;=10,"0", IF(AND((((_xlfn.XLOOKUP(Assessment!H88,Inherited!A:A,Inherited!B:B))/100)*(_xlfn.XLOOKUP(Assessment!H88,Inherited!A:A,Inherited!C:C)))+(((100-(_xlfn.XLOOKUP(Assessment!H88,Inherited!A:A,Inherited!B:B)))/100)*IF(X87="1.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(100%)","100"))))))&gt;=11,(((_xlfn.XLOOKUP(Assessment!H88,Inherited!A:A,Inherited!B:B))/100)*(_xlfn.XLOOKUP(Assessment!H88,Inherited!A:A,Inherited!C:C)))+(((100-(_xlfn.XLOOKUP(Assessment!H88,Inherited!A:A,Inherited!B:B)))/100)*IF(X87="1.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(100%)","100"))))))&lt;=32),"25",IF(AND((((_xlfn.XLOOKUP(Assessment!H88,Inherited!A:A,Inherited!B:B))/100)*(_xlfn.XLOOKUP(Assessment!H88,Inherited!A:A,Inherited!C:C)))+(((100-(_xlfn.XLOOKUP(Assessment!H88,Inherited!A:A,Inherited!B:B)))/100)*IF(X87="1.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(100%)","100"))))))&gt;=33,(((_xlfn.XLOOKUP(Assessment!H88,Inherited!A:A,Inherited!B:B))/100)*(_xlfn.XLOOKUP(Assessment!H88,Inherited!A:A,Inherited!C:C)))+(((100-(_xlfn.XLOOKUP(Assessment!H88,Inherited!A:A,Inherited!B:B)))/100)*IF(X87="1.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(100%)","100"))))))&lt;=65),"50",IF(AND((((_xlfn.XLOOKUP(Assessment!H88,Inherited!A:A,Inherited!B:B))/100)*(_xlfn.XLOOKUP(Assessment!H88,Inherited!A:A,Inherited!C:C)))+(((100-(_xlfn.XLOOKUP(Assessment!H88,Inherited!A:A,Inherited!B:B)))/100)*IF(X87="1.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(100%)","100"))))))&gt;=66,(((_xlfn.XLOOKUP(Assessment!H88,Inherited!A:A,Inherited!B:B))/100)*(_xlfn.XLOOKUP(Assessment!H88,Inherited!A:A,Inherited!C:C)))+(((100-(_xlfn.XLOOKUP(Assessment!H88,Inherited!A:A,Inherited!B:B)))/100)*IF(X87="1.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(100%)","100"))))))&lt;=89),"75",IF((((_xlfn.XLOOKUP(Assessment!H88,Inherited!A:A,Inherited!B:B))/100)*(_xlfn.XLOOKUP(Assessment!H88,Inherited!A:A,Inherited!C:C)))+(((100-(_xlfn.XLOOKUP(Assessment!H88,Inherited!A:A,Inherited!B:B)))/100)*IF(X87="1. Non Compliant (0%)","0",IF(X87="2. Somewhat Compliant (25%)","25",IF(X87="3. Partially Compliant (50%)","50",IF(X87="4. Mostly Compliant (75%)","75",IF(X87="5. Fully Compliant (100%)","100"))))))&gt;=90,"100"))))))</f>
        <v>#N/A</v>
      </c>
      <c r="R87" s="1" t="e">
        <f>IF(MATCH(H87,Inherited!A:A),IF((((_xlfn.XLOOKUP(Assessment!H88,Inherited!A:A,Inherited!B:B))/100)*(_xlfn.XLOOKUP(Assessment!H88,Inherited!A:A,Inherited!D:D)))+(((100-(_xlfn.XLOOKUP(Assessment!H88,Inherited!A:A,Inherited!B:B)))/100)*IF(Y87="1.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(100%)","100"))))))&lt;=10,"0", IF(AND((((_xlfn.XLOOKUP(Assessment!H88,Inherited!A:A,Inherited!B:B))/100)*(_xlfn.XLOOKUP(Assessment!H88,Inherited!A:A,Inherited!D:D)))+(((100-(_xlfn.XLOOKUP(Assessment!H88,Inherited!A:A,Inherited!B:B)))/100)*IF(Y87="1.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(100%)","100"))))))&gt;=11,(((_xlfn.XLOOKUP(Assessment!H88,Inherited!A:A,Inherited!B:B))/100)*(_xlfn.XLOOKUP(Assessment!H88,Inherited!A:A,Inherited!D:D)))+(((100-(_xlfn.XLOOKUP(Assessment!H88,Inherited!A:A,Inherited!B:B)))/100)*IF(Y87="1.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(100%)","100"))))))&lt;=32),"25",IF(AND((((_xlfn.XLOOKUP(Assessment!H88,Inherited!A:A,Inherited!B:B))/100)*(_xlfn.XLOOKUP(Assessment!H88,Inherited!A:A,Inherited!D:D)))+(((100-(_xlfn.XLOOKUP(Assessment!H88,Inherited!A:A,Inherited!B:B)))/100)*IF(Y87="1.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(100%)","100"))))))&gt;=33,(((_xlfn.XLOOKUP(Assessment!H88,Inherited!A:A,Inherited!B:B))/100)*(_xlfn.XLOOKUP(Assessment!H88,Inherited!A:A,Inherited!D:D)))+(((100-(_xlfn.XLOOKUP(Assessment!H88,Inherited!A:A,Inherited!B:B)))/100)*IF(Y87="1.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(100%)","100"))))))&lt;=65),"50",IF(AND((((_xlfn.XLOOKUP(Assessment!H88,Inherited!A:A,Inherited!B:B))/100)*(_xlfn.XLOOKUP(Assessment!H88,Inherited!A:A,Inherited!D:D)))+(((100-(_xlfn.XLOOKUP(Assessment!H88,Inherited!A:A,Inherited!B:B)))/100)*IF(Y87="1.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(100%)","100"))))))&gt;=66,(((_xlfn.XLOOKUP(Assessment!H88,Inherited!A:A,Inherited!B:B))/100)*(_xlfn.XLOOKUP(Assessment!H88,Inherited!A:A,Inherited!D:D)))+(((100-(_xlfn.XLOOKUP(Assessment!H88,Inherited!A:A,Inherited!B:B)))/100)*IF(Y87="1.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(100%)","100"))))))&lt;=89),"75",IF((((_xlfn.XLOOKUP(Assessment!H88,Inherited!A:A,Inherited!B:B))/100)*(_xlfn.XLOOKUP(Assessment!H88,Inherited!A:A,Inherited!D:D)))+(((100-(_xlfn.XLOOKUP(Assessment!H88,Inherited!A:A,Inherited!B:B)))/100)*IF(Y87="1. Non Compliant (0%)","0",IF(Y87="2. Somewhat Compliant (25%)","25",IF(Y87="3. Partially Compliant (50%)","50",IF(Y87="4. Mostly Compliant (75%)","75",IF(Y87="5. Fully Compliant (100%)","100"))))))&gt;=90,"100"))))))</f>
        <v>#N/A</v>
      </c>
      <c r="S87" s="1" t="e">
        <f>IF(MATCH(H87,Inherited!A:A),IF((((_xlfn.XLOOKUP(Assessment!H88,Inherited!A:A,Inherited!B:B))/100)*(_xlfn.XLOOKUP(Assessment!H88,Inherited!A:A,Inherited!E:E)))+(((100-(_xlfn.XLOOKUP(Assessment!H88,Inherited!A:A,Inherited!B:B)))/100)*IF(Z87="1.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(100%)","100"))))))&lt;=10,"0", IF(AND((((_xlfn.XLOOKUP(Assessment!H88,Inherited!A:A,Inherited!B:B))/100)*(_xlfn.XLOOKUP(Assessment!H88,Inherited!A:A,Inherited!E:E)))+(((100-(_xlfn.XLOOKUP(Assessment!H88,Inherited!A:A,Inherited!B:B)))/100)*IF(Z87="1.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(100%)","100"))))))&gt;=11,(((_xlfn.XLOOKUP(Assessment!H88,Inherited!A:A,Inherited!B:B))/100)*(_xlfn.XLOOKUP(Assessment!H88,Inherited!A:A,Inherited!E:E)))+(((100-(_xlfn.XLOOKUP(Assessment!H88,Inherited!A:A,Inherited!B:B)))/100)*IF(Z87="1.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(100%)","100"))))))&lt;=32),"25",IF(AND((((_xlfn.XLOOKUP(Assessment!H88,Inherited!A:A,Inherited!B:B))/100)*(_xlfn.XLOOKUP(Assessment!H88,Inherited!A:A,Inherited!E:E)))+(((100-(_xlfn.XLOOKUP(Assessment!H88,Inherited!A:A,Inherited!B:B)))/100)*IF(Z87="1.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(100%)","100"))))))&gt;=33,(((_xlfn.XLOOKUP(Assessment!H88,Inherited!A:A,Inherited!B:B))/100)*(_xlfn.XLOOKUP(Assessment!H88,Inherited!A:A,Inherited!E:E)))+(((100-(_xlfn.XLOOKUP(Assessment!H88,Inherited!A:A,Inherited!B:B)))/100)*IF(Z87="1.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(100%)","100"))))))&lt;=65),"50",IF(AND((((_xlfn.XLOOKUP(Assessment!H88,Inherited!A:A,Inherited!B:B))/100)*(_xlfn.XLOOKUP(Assessment!H88,Inherited!A:A,Inherited!E:E)))+(((100-(_xlfn.XLOOKUP(Assessment!H88,Inherited!A:A,Inherited!B:B)))/100)*IF(Z87="1.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(100%)","100"))))))&gt;=66,(((_xlfn.XLOOKUP(Assessment!H88,Inherited!A:A,Inherited!B:B))/100)*(_xlfn.XLOOKUP(Assessment!H88,Inherited!A:A,Inherited!E:E)))+(((100-(_xlfn.XLOOKUP(Assessment!H88,Inherited!A:A,Inherited!B:B)))/100)*IF(Z87="1.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(100%)","100"))))))&lt;=89),"75",IF((((_xlfn.XLOOKUP(Assessment!H88,Inherited!A:A,Inherited!B:B))/100)*(_xlfn.XLOOKUP(Assessment!H88,Inherited!A:A,Inherited!E:E)))+(((100-(_xlfn.XLOOKUP(Assessment!H88,Inherited!A:A,Inherited!B:B)))/100)*IF(Z87="1. Non Compliant (0%)","0",IF(Z87="2. Somewhat Compliant (25%)","25",IF(Z87="3. Partially Compliant (50%)","50",IF(Z87="4. Mostly Compliant (75%)","75",IF(Z87="5. Fully Compliant (100%)","100"))))))&gt;=90,"100"))))))</f>
        <v>#N/A</v>
      </c>
      <c r="T87" s="1" t="e">
        <f>IF(MATCH(H87,Inherited!A:A),IF((((_xlfn.XLOOKUP(Assessment!H88,Inherited!A:A,Inherited!B:B))/100)*(_xlfn.XLOOKUP(Assessment!H88,Inherited!A:A,Inherited!F:F)))+(((100-(_xlfn.XLOOKUP(Assessment!H88,Inherited!A:A,Inherited!B:B)))/100)*IF(AA87="1.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(100%)","100"))))))&lt;=10,"0", IF(AND((((_xlfn.XLOOKUP(Assessment!H88,Inherited!A:A,Inherited!B:B))/100)*(_xlfn.XLOOKUP(Assessment!H88,Inherited!A:A,Inherited!F:F)))+(((100-(_xlfn.XLOOKUP(Assessment!H88,Inherited!A:A,Inherited!B:B)))/100)*IF(AA87="1.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(100%)","100"))))))&gt;=11,(((_xlfn.XLOOKUP(Assessment!H88,Inherited!A:A,Inherited!B:B))/100)*(_xlfn.XLOOKUP(Assessment!H88,Inherited!A:A,Inherited!F:F)))+(((100-(_xlfn.XLOOKUP(Assessment!H88,Inherited!A:A,Inherited!B:B)))/100)*IF(AA87="1.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(100%)","100"))))))&lt;=32),"25",IF(AND((((_xlfn.XLOOKUP(Assessment!H88,Inherited!A:A,Inherited!B:B))/100)*(_xlfn.XLOOKUP(Assessment!H88,Inherited!A:A,Inherited!F:F)))+(((100-(_xlfn.XLOOKUP(Assessment!H88,Inherited!A:A,Inherited!B:B)))/100)*IF(AA87="1.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(100%)","100"))))))&gt;=33,(((_xlfn.XLOOKUP(Assessment!H88,Inherited!A:A,Inherited!B:B))/100)*(_xlfn.XLOOKUP(Assessment!H88,Inherited!A:A,Inherited!F:F)))+(((100-(_xlfn.XLOOKUP(Assessment!H88,Inherited!A:A,Inherited!B:B)))/100)*IF(AA87="1.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(100%)","100"))))))&lt;=65),"50",IF(AND((((_xlfn.XLOOKUP(Assessment!H88,Inherited!A:A,Inherited!B:B))/100)*(_xlfn.XLOOKUP(Assessment!H88,Inherited!A:A,Inherited!F:F)))+(((100-(_xlfn.XLOOKUP(Assessment!H88,Inherited!A:A,Inherited!B:B)))/100)*IF(AA87="1.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(100%)","100"))))))&gt;=66,(((_xlfn.XLOOKUP(Assessment!H88,Inherited!A:A,Inherited!B:B))/100)*(_xlfn.XLOOKUP(Assessment!H88,Inherited!A:A,Inherited!F:F)))+(((100-(_xlfn.XLOOKUP(Assessment!H88,Inherited!A:A,Inherited!B:B)))/100)*IF(AA87="1.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(100%)","100"))))))&lt;=89),"75",IF((((_xlfn.XLOOKUP(Assessment!H88,Inherited!A:A,Inherited!B:B))/100)*(_xlfn.XLOOKUP(Assessment!H88,Inherited!A:A,Inherited!F:F)))+(((100-(_xlfn.XLOOKUP(Assessment!H88,Inherited!A:A,Inherited!B:B)))/100)*IF(AA87="1. Non Compliant (0%)","0",IF(AA87="2. Somewhat Compliant (25%)","25",IF(AA87="3. Partially Compliant (50%)","50",IF(AA87="4. Mostly Compliant (75%)","75",IF(AA87="5. Fully Compliant (100%)","100"))))))&gt;=90,"100"))))))</f>
        <v>#N/A</v>
      </c>
      <c r="U87" s="1" t="e">
        <f>IF(MATCH(H87,Inherited!A:A),IF((((_xlfn.XLOOKUP(Assessment!H88,Inherited!A:A,Inherited!B:B))/100)*(_xlfn.XLOOKUP(Assessment!H88,Inherited!A:A,Inherited!G:G)))+(((100-(_xlfn.XLOOKUP(Assessment!H88,Inherited!A:A,Inherited!B:B)))/100)*IF(AB87="1.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(100%)","100"))))))&lt;=10,"0", IF(AND((((_xlfn.XLOOKUP(Assessment!H88,Inherited!A:A,Inherited!B:B))/100)*(_xlfn.XLOOKUP(Assessment!H88,Inherited!A:A,Inherited!G:G)))+(((100-(_xlfn.XLOOKUP(Assessment!H88,Inherited!A:A,Inherited!B:B)))/100)*IF(AB87="1.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(100%)","100"))))))&gt;=11,(((_xlfn.XLOOKUP(Assessment!H88,Inherited!A:A,Inherited!B:B))/100)*(_xlfn.XLOOKUP(Assessment!H88,Inherited!A:A,Inherited!G:G)))+(((100-(_xlfn.XLOOKUP(Assessment!H88,Inherited!A:A,Inherited!B:B)))/100)*IF(AB87="1.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(100%)","100"))))))&lt;=32),"25",IF(AND((((_xlfn.XLOOKUP(Assessment!H88,Inherited!A:A,Inherited!B:B))/100)*(_xlfn.XLOOKUP(Assessment!H88,Inherited!A:A,Inherited!G:G)))+(((100-(_xlfn.XLOOKUP(Assessment!H88,Inherited!A:A,Inherited!B:B)))/100)*IF(AB87="1.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(100%)","100"))))))&gt;=33,(((_xlfn.XLOOKUP(Assessment!H88,Inherited!A:A,Inherited!B:B))/100)*(_xlfn.XLOOKUP(Assessment!H88,Inherited!A:A,Inherited!G:G)))+(((100-(_xlfn.XLOOKUP(Assessment!H88,Inherited!A:A,Inherited!B:B)))/100)*IF(AB87="1.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(100%)","100"))))))&lt;=65),"50",IF(AND((((_xlfn.XLOOKUP(Assessment!H88,Inherited!A:A,Inherited!B:B))/100)*(_xlfn.XLOOKUP(Assessment!H88,Inherited!A:A,Inherited!G:G)))+(((100-(_xlfn.XLOOKUP(Assessment!H88,Inherited!A:A,Inherited!B:B)))/100)*IF(AB87="1.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(100%)","100"))))))&gt;=66,(((_xlfn.XLOOKUP(Assessment!H88,Inherited!A:A,Inherited!B:B))/100)*(_xlfn.XLOOKUP(Assessment!H88,Inherited!A:A,Inherited!G:G)))+(((100-(_xlfn.XLOOKUP(Assessment!H88,Inherited!A:A,Inherited!B:B)))/100)*IF(AB87="1.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(100%)","100"))))))&lt;=89),"75",IF((((_xlfn.XLOOKUP(Assessment!H88,Inherited!A:A,Inherited!B:B))/100)*(_xlfn.XLOOKUP(Assessment!H88,Inherited!A:A,Inherited!G:G)))+(((100-(_xlfn.XLOOKUP(Assessment!H88,Inherited!A:A,Inherited!B:B)))/100)*IF(AB87="1. Non Compliant (0%)","0",IF(AB87="2. Somewhat Compliant (25%)","25",IF(AB87="3. Partially Compliant (50%)","50",IF(AB87="4. Mostly Compliant (75%)","75",IF(AB87="5. Fully Compliant (100%)","100"))))))&gt;=90,"100"))))))</f>
        <v>#N/A</v>
      </c>
      <c r="V87" s="55" t="s">
        <v>85</v>
      </c>
      <c r="W87" s="55"/>
      <c r="X87" s="55"/>
      <c r="Y87" s="55"/>
      <c r="Z87" s="55" t="s">
        <v>10873</v>
      </c>
      <c r="AA87" s="55"/>
      <c r="AB87" s="55"/>
      <c r="AK87" s="1" t="s">
        <v>10978</v>
      </c>
      <c r="AL87" s="1" t="s">
        <v>10989</v>
      </c>
      <c r="AP87" s="1" t="s">
        <v>11081</v>
      </c>
      <c r="AX87" s="3" t="str">
        <f>_xlfn.CONCAT("A-LIGN finished its review of this control on ",AR87, " during the scheduled fieldwork window (",Intro!$B$4,")."&amp; CHAR(10)&amp; CHAR(10))</f>
        <v xml:space="preserve">A-LIGN finished its review of this control on  during the scheduled fieldwork window (Fieldwork: xx/xx/xxxx - xx/xx/xxxx).
</v>
      </c>
      <c r="AY87" s="3" t="str">
        <f t="shared" si="160"/>
        <v/>
      </c>
      <c r="AZ87" s="3" t="str">
        <f t="shared" si="161"/>
        <v/>
      </c>
      <c r="BA87" s="3" t="str">
        <f t="shared" si="162"/>
        <v/>
      </c>
      <c r="BB87" s="3" t="str">
        <f t="shared" si="16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v>
      </c>
      <c r="BC87" s="3" t="str">
        <f t="shared" si="164"/>
        <v/>
      </c>
      <c r="BD87" s="3" t="str">
        <f t="shared" si="16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generative artificial intelligence model and language model tools is restricted for APIs and end-users
</v>
      </c>
      <c r="BE87" s="3" t="str">
        <f t="shared" si="166"/>
        <v/>
      </c>
      <c r="BF87" s="3" t="str">
        <f t="shared" si="167"/>
        <v/>
      </c>
      <c r="BG87" s="3" t="str">
        <f>_xlfn.CONCAT((IF((COUNTIF('Sample Tables'!B:B,"")&gt;0)=TRUE,_xlfn.CONCAT("",""),IF((COUNTIF('Sample Tables'!B:B,"")&gt;0)=FALSE,""))),)</f>
        <v/>
      </c>
      <c r="BH87" s="3" t="str">
        <f t="shared" si="16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generative artificial intelligence model and language model tools is restricted for APIs and end-users
</v>
      </c>
    </row>
    <row r="88" spans="3:60" ht="409.5" x14ac:dyDescent="0.35">
      <c r="C88" s="1">
        <f t="shared" si="169"/>
        <v>0</v>
      </c>
      <c r="D88" s="5" t="str">
        <f>IF(AND((_xlfn.XLOOKUP(J88,'Fields &amp; Revisions'!$H:$H,'Fields &amp; Revisions'!$I:$I))&lt;70.99,(OR(Z88="4. Mostly Compliant (75%)",Z88="3. Partially Compliant (50%)",Z88="2. Somewhat Compliant (25%)",Z88="1. Non Compliant (0%)"))),"Yes","No")</f>
        <v>Yes</v>
      </c>
      <c r="E88" s="5" t="str">
        <f>IF(ISERROR(VLOOKUP(H88,Scope!A:A,1,FALSE)),"No","Yes")</f>
        <v>Yes</v>
      </c>
      <c r="F88" s="1" t="s">
        <v>2424</v>
      </c>
      <c r="G88" s="53" t="s">
        <v>2492</v>
      </c>
      <c r="H88" s="53" t="s">
        <v>2493</v>
      </c>
      <c r="I88" s="5" t="s">
        <v>93</v>
      </c>
      <c r="J88" s="1" t="s">
        <v>2473</v>
      </c>
      <c r="K88" s="54" t="s">
        <v>2494</v>
      </c>
      <c r="L88" s="1" t="s">
        <v>2495</v>
      </c>
      <c r="M88" s="1" t="s">
        <v>2496</v>
      </c>
      <c r="N88" s="5" t="s">
        <v>98</v>
      </c>
      <c r="O88" s="1" t="str">
        <f>_xlfn.XLOOKUP(G88,SRMs!$A:$A,SRMs!$D:$D)</f>
        <v>NO INHERITANCE</v>
      </c>
      <c r="P88" s="1" t="str">
        <f>IFERROR(VLOOKUP(H88,Inherited!A:B,2,FALSE),"")</f>
        <v/>
      </c>
      <c r="Q88" s="1" t="e">
        <f>IF(MATCH(H88,Inherited!A:A),IF((((_xlfn.XLOOKUP(Assessment!#REF!,Inherited!A:A,Inherited!B:B))/100)*(_xlfn.XLOOKUP(Assessment!#REF!,Inherited!A:A,Inherited!C:C)))+(((100-(_xlfn.XLOOKUP(Assessment!#REF!,Inherited!A:A,Inherited!B:B)))/100)*IF(X88="1.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(100%)","100"))))))&lt;=10,"0", IF(AND((((_xlfn.XLOOKUP(Assessment!#REF!,Inherited!A:A,Inherited!B:B))/100)*(_xlfn.XLOOKUP(Assessment!#REF!,Inherited!A:A,Inherited!C:C)))+(((100-(_xlfn.XLOOKUP(Assessment!#REF!,Inherited!A:A,Inherited!B:B)))/100)*IF(X88="1.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(100%)","100"))))))&gt;=11,(((_xlfn.XLOOKUP(Assessment!#REF!,Inherited!A:A,Inherited!B:B))/100)*(_xlfn.XLOOKUP(Assessment!#REF!,Inherited!A:A,Inherited!C:C)))+(((100-(_xlfn.XLOOKUP(Assessment!#REF!,Inherited!A:A,Inherited!B:B)))/100)*IF(X88="1.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(100%)","100"))))))&lt;=32),"25",IF(AND((((_xlfn.XLOOKUP(Assessment!#REF!,Inherited!A:A,Inherited!B:B))/100)*(_xlfn.XLOOKUP(Assessment!#REF!,Inherited!A:A,Inherited!C:C)))+(((100-(_xlfn.XLOOKUP(Assessment!#REF!,Inherited!A:A,Inherited!B:B)))/100)*IF(X88="1.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(100%)","100"))))))&gt;=33,(((_xlfn.XLOOKUP(Assessment!#REF!,Inherited!A:A,Inherited!B:B))/100)*(_xlfn.XLOOKUP(Assessment!#REF!,Inherited!A:A,Inherited!C:C)))+(((100-(_xlfn.XLOOKUP(Assessment!#REF!,Inherited!A:A,Inherited!B:B)))/100)*IF(X88="1.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(100%)","100"))))))&lt;=65),"50",IF(AND((((_xlfn.XLOOKUP(Assessment!#REF!,Inherited!A:A,Inherited!B:B))/100)*(_xlfn.XLOOKUP(Assessment!#REF!,Inherited!A:A,Inherited!C:C)))+(((100-(_xlfn.XLOOKUP(Assessment!#REF!,Inherited!A:A,Inherited!B:B)))/100)*IF(X88="1.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(100%)","100"))))))&gt;=66,(((_xlfn.XLOOKUP(Assessment!#REF!,Inherited!A:A,Inherited!B:B))/100)*(_xlfn.XLOOKUP(Assessment!#REF!,Inherited!A:A,Inherited!C:C)))+(((100-(_xlfn.XLOOKUP(Assessment!#REF!,Inherited!A:A,Inherited!B:B)))/100)*IF(X88="1.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(100%)","100"))))))&lt;=89),"75",IF((((_xlfn.XLOOKUP(Assessment!#REF!,Inherited!A:A,Inherited!B:B))/100)*(_xlfn.XLOOKUP(Assessment!#REF!,Inherited!A:A,Inherited!C:C)))+(((100-(_xlfn.XLOOKUP(Assessment!#REF!,Inherited!A:A,Inherited!B:B)))/100)*IF(X88="1. Non Compliant (0%)","0",IF(X88="2. Somewhat Compliant (25%)","25",IF(X88="3. Partially Compliant (50%)","50",IF(X88="4. Mostly Compliant (75%)","75",IF(X88="5. Fully Compliant (100%)","100"))))))&gt;=90,"100"))))))</f>
        <v>#N/A</v>
      </c>
      <c r="R88" s="1" t="e">
        <f>IF(MATCH(H88,Inherited!A:A),IF((((_xlfn.XLOOKUP(Assessment!#REF!,Inherited!A:A,Inherited!B:B))/100)*(_xlfn.XLOOKUP(Assessment!#REF!,Inherited!A:A,Inherited!D:D)))+(((100-(_xlfn.XLOOKUP(Assessment!#REF!,Inherited!A:A,Inherited!B:B)))/100)*IF(Y88="1.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(100%)","100"))))))&lt;=10,"0", IF(AND((((_xlfn.XLOOKUP(Assessment!#REF!,Inherited!A:A,Inherited!B:B))/100)*(_xlfn.XLOOKUP(Assessment!#REF!,Inherited!A:A,Inherited!D:D)))+(((100-(_xlfn.XLOOKUP(Assessment!#REF!,Inherited!A:A,Inherited!B:B)))/100)*IF(Y88="1.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(100%)","100"))))))&gt;=11,(((_xlfn.XLOOKUP(Assessment!#REF!,Inherited!A:A,Inherited!B:B))/100)*(_xlfn.XLOOKUP(Assessment!#REF!,Inherited!A:A,Inherited!D:D)))+(((100-(_xlfn.XLOOKUP(Assessment!#REF!,Inherited!A:A,Inherited!B:B)))/100)*IF(Y88="1.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(100%)","100"))))))&lt;=32),"25",IF(AND((((_xlfn.XLOOKUP(Assessment!#REF!,Inherited!A:A,Inherited!B:B))/100)*(_xlfn.XLOOKUP(Assessment!#REF!,Inherited!A:A,Inherited!D:D)))+(((100-(_xlfn.XLOOKUP(Assessment!#REF!,Inherited!A:A,Inherited!B:B)))/100)*IF(Y88="1.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(100%)","100"))))))&gt;=33,(((_xlfn.XLOOKUP(Assessment!#REF!,Inherited!A:A,Inherited!B:B))/100)*(_xlfn.XLOOKUP(Assessment!#REF!,Inherited!A:A,Inherited!D:D)))+(((100-(_xlfn.XLOOKUP(Assessment!#REF!,Inherited!A:A,Inherited!B:B)))/100)*IF(Y88="1.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(100%)","100"))))))&lt;=65),"50",IF(AND((((_xlfn.XLOOKUP(Assessment!#REF!,Inherited!A:A,Inherited!B:B))/100)*(_xlfn.XLOOKUP(Assessment!#REF!,Inherited!A:A,Inherited!D:D)))+(((100-(_xlfn.XLOOKUP(Assessment!#REF!,Inherited!A:A,Inherited!B:B)))/100)*IF(Y88="1.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(100%)","100"))))))&gt;=66,(((_xlfn.XLOOKUP(Assessment!#REF!,Inherited!A:A,Inherited!B:B))/100)*(_xlfn.XLOOKUP(Assessment!#REF!,Inherited!A:A,Inherited!D:D)))+(((100-(_xlfn.XLOOKUP(Assessment!#REF!,Inherited!A:A,Inherited!B:B)))/100)*IF(Y88="1.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(100%)","100"))))))&lt;=89),"75",IF((((_xlfn.XLOOKUP(Assessment!#REF!,Inherited!A:A,Inherited!B:B))/100)*(_xlfn.XLOOKUP(Assessment!#REF!,Inherited!A:A,Inherited!D:D)))+(((100-(_xlfn.XLOOKUP(Assessment!#REF!,Inherited!A:A,Inherited!B:B)))/100)*IF(Y88="1. Non Compliant (0%)","0",IF(Y88="2. Somewhat Compliant (25%)","25",IF(Y88="3. Partially Compliant (50%)","50",IF(Y88="4. Mostly Compliant (75%)","75",IF(Y88="5. Fully Compliant (100%)","100"))))))&gt;=90,"100"))))))</f>
        <v>#N/A</v>
      </c>
      <c r="S88" s="1" t="e">
        <f>IF(MATCH(H88,Inherited!A:A),IF((((_xlfn.XLOOKUP(Assessment!#REF!,Inherited!A:A,Inherited!B:B))/100)*(_xlfn.XLOOKUP(Assessment!#REF!,Inherited!A:A,Inherited!E:E)))+(((100-(_xlfn.XLOOKUP(Assessment!#REF!,Inherited!A:A,Inherited!B:B)))/100)*IF(Z88="1.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(100%)","100"))))))&lt;=10,"0", IF(AND((((_xlfn.XLOOKUP(Assessment!#REF!,Inherited!A:A,Inherited!B:B))/100)*(_xlfn.XLOOKUP(Assessment!#REF!,Inherited!A:A,Inherited!E:E)))+(((100-(_xlfn.XLOOKUP(Assessment!#REF!,Inherited!A:A,Inherited!B:B)))/100)*IF(Z88="1.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(100%)","100"))))))&gt;=11,(((_xlfn.XLOOKUP(Assessment!#REF!,Inherited!A:A,Inherited!B:B))/100)*(_xlfn.XLOOKUP(Assessment!#REF!,Inherited!A:A,Inherited!E:E)))+(((100-(_xlfn.XLOOKUP(Assessment!#REF!,Inherited!A:A,Inherited!B:B)))/100)*IF(Z88="1.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(100%)","100"))))))&lt;=32),"25",IF(AND((((_xlfn.XLOOKUP(Assessment!#REF!,Inherited!A:A,Inherited!B:B))/100)*(_xlfn.XLOOKUP(Assessment!#REF!,Inherited!A:A,Inherited!E:E)))+(((100-(_xlfn.XLOOKUP(Assessment!#REF!,Inherited!A:A,Inherited!B:B)))/100)*IF(Z88="1.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(100%)","100"))))))&gt;=33,(((_xlfn.XLOOKUP(Assessment!#REF!,Inherited!A:A,Inherited!B:B))/100)*(_xlfn.XLOOKUP(Assessment!#REF!,Inherited!A:A,Inherited!E:E)))+(((100-(_xlfn.XLOOKUP(Assessment!#REF!,Inherited!A:A,Inherited!B:B)))/100)*IF(Z88="1.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(100%)","100"))))))&lt;=65),"50",IF(AND((((_xlfn.XLOOKUP(Assessment!#REF!,Inherited!A:A,Inherited!B:B))/100)*(_xlfn.XLOOKUP(Assessment!#REF!,Inherited!A:A,Inherited!E:E)))+(((100-(_xlfn.XLOOKUP(Assessment!#REF!,Inherited!A:A,Inherited!B:B)))/100)*IF(Z88="1.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(100%)","100"))))))&gt;=66,(((_xlfn.XLOOKUP(Assessment!#REF!,Inherited!A:A,Inherited!B:B))/100)*(_xlfn.XLOOKUP(Assessment!#REF!,Inherited!A:A,Inherited!E:E)))+(((100-(_xlfn.XLOOKUP(Assessment!#REF!,Inherited!A:A,Inherited!B:B)))/100)*IF(Z88="1.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(100%)","100"))))))&lt;=89),"75",IF((((_xlfn.XLOOKUP(Assessment!#REF!,Inherited!A:A,Inherited!B:B))/100)*(_xlfn.XLOOKUP(Assessment!#REF!,Inherited!A:A,Inherited!E:E)))+(((100-(_xlfn.XLOOKUP(Assessment!#REF!,Inherited!A:A,Inherited!B:B)))/100)*IF(Z88="1. Non Compliant (0%)","0",IF(Z88="2. Somewhat Compliant (25%)","25",IF(Z88="3. Partially Compliant (50%)","50",IF(Z88="4. Mostly Compliant (75%)","75",IF(Z88="5. Fully Compliant (100%)","100"))))))&gt;=90,"100"))))))</f>
        <v>#N/A</v>
      </c>
      <c r="T88" s="1" t="e">
        <f>IF(MATCH(H88,Inherited!A:A),IF((((_xlfn.XLOOKUP(Assessment!#REF!,Inherited!A:A,Inherited!B:B))/100)*(_xlfn.XLOOKUP(Assessment!#REF!,Inherited!A:A,Inherited!F:F)))+(((100-(_xlfn.XLOOKUP(Assessment!#REF!,Inherited!A:A,Inherited!B:B)))/100)*IF(AA88="1.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(100%)","100"))))))&lt;=10,"0", IF(AND((((_xlfn.XLOOKUP(Assessment!#REF!,Inherited!A:A,Inherited!B:B))/100)*(_xlfn.XLOOKUP(Assessment!#REF!,Inherited!A:A,Inherited!F:F)))+(((100-(_xlfn.XLOOKUP(Assessment!#REF!,Inherited!A:A,Inherited!B:B)))/100)*IF(AA88="1.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(100%)","100"))))))&gt;=11,(((_xlfn.XLOOKUP(Assessment!#REF!,Inherited!A:A,Inherited!B:B))/100)*(_xlfn.XLOOKUP(Assessment!#REF!,Inherited!A:A,Inherited!F:F)))+(((100-(_xlfn.XLOOKUP(Assessment!#REF!,Inherited!A:A,Inherited!B:B)))/100)*IF(AA88="1.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(100%)","100"))))))&lt;=32),"25",IF(AND((((_xlfn.XLOOKUP(Assessment!#REF!,Inherited!A:A,Inherited!B:B))/100)*(_xlfn.XLOOKUP(Assessment!#REF!,Inherited!A:A,Inherited!F:F)))+(((100-(_xlfn.XLOOKUP(Assessment!#REF!,Inherited!A:A,Inherited!B:B)))/100)*IF(AA88="1.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(100%)","100"))))))&gt;=33,(((_xlfn.XLOOKUP(Assessment!#REF!,Inherited!A:A,Inherited!B:B))/100)*(_xlfn.XLOOKUP(Assessment!#REF!,Inherited!A:A,Inherited!F:F)))+(((100-(_xlfn.XLOOKUP(Assessment!#REF!,Inherited!A:A,Inherited!B:B)))/100)*IF(AA88="1.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(100%)","100"))))))&lt;=65),"50",IF(AND((((_xlfn.XLOOKUP(Assessment!#REF!,Inherited!A:A,Inherited!B:B))/100)*(_xlfn.XLOOKUP(Assessment!#REF!,Inherited!A:A,Inherited!F:F)))+(((100-(_xlfn.XLOOKUP(Assessment!#REF!,Inherited!A:A,Inherited!B:B)))/100)*IF(AA88="1.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(100%)","100"))))))&gt;=66,(((_xlfn.XLOOKUP(Assessment!#REF!,Inherited!A:A,Inherited!B:B))/100)*(_xlfn.XLOOKUP(Assessment!#REF!,Inherited!A:A,Inherited!F:F)))+(((100-(_xlfn.XLOOKUP(Assessment!#REF!,Inherited!A:A,Inherited!B:B)))/100)*IF(AA88="1.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(100%)","100"))))))&lt;=89),"75",IF((((_xlfn.XLOOKUP(Assessment!#REF!,Inherited!A:A,Inherited!B:B))/100)*(_xlfn.XLOOKUP(Assessment!#REF!,Inherited!A:A,Inherited!F:F)))+(((100-(_xlfn.XLOOKUP(Assessment!#REF!,Inherited!A:A,Inherited!B:B)))/100)*IF(AA88="1. Non Compliant (0%)","0",IF(AA88="2. Somewhat Compliant (25%)","25",IF(AA88="3. Partially Compliant (50%)","50",IF(AA88="4. Mostly Compliant (75%)","75",IF(AA88="5. Fully Compliant (100%)","100"))))))&gt;=90,"100"))))))</f>
        <v>#N/A</v>
      </c>
      <c r="U88" s="1" t="e">
        <f>IF(MATCH(H88,Inherited!A:A),IF((((_xlfn.XLOOKUP(Assessment!#REF!,Inherited!A:A,Inherited!B:B))/100)*(_xlfn.XLOOKUP(Assessment!#REF!,Inherited!A:A,Inherited!G:G)))+(((100-(_xlfn.XLOOKUP(Assessment!#REF!,Inherited!A:A,Inherited!B:B)))/100)*IF(AB88="1.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(100%)","100"))))))&lt;=10,"0", IF(AND((((_xlfn.XLOOKUP(Assessment!#REF!,Inherited!A:A,Inherited!B:B))/100)*(_xlfn.XLOOKUP(Assessment!#REF!,Inherited!A:A,Inherited!G:G)))+(((100-(_xlfn.XLOOKUP(Assessment!#REF!,Inherited!A:A,Inherited!B:B)))/100)*IF(AB88="1.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(100%)","100"))))))&gt;=11,(((_xlfn.XLOOKUP(Assessment!#REF!,Inherited!A:A,Inherited!B:B))/100)*(_xlfn.XLOOKUP(Assessment!#REF!,Inherited!A:A,Inherited!G:G)))+(((100-(_xlfn.XLOOKUP(Assessment!#REF!,Inherited!A:A,Inherited!B:B)))/100)*IF(AB88="1.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(100%)","100"))))))&lt;=32),"25",IF(AND((((_xlfn.XLOOKUP(Assessment!#REF!,Inherited!A:A,Inherited!B:B))/100)*(_xlfn.XLOOKUP(Assessment!#REF!,Inherited!A:A,Inherited!G:G)))+(((100-(_xlfn.XLOOKUP(Assessment!#REF!,Inherited!A:A,Inherited!B:B)))/100)*IF(AB88="1.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(100%)","100"))))))&gt;=33,(((_xlfn.XLOOKUP(Assessment!#REF!,Inherited!A:A,Inherited!B:B))/100)*(_xlfn.XLOOKUP(Assessment!#REF!,Inherited!A:A,Inherited!G:G)))+(((100-(_xlfn.XLOOKUP(Assessment!#REF!,Inherited!A:A,Inherited!B:B)))/100)*IF(AB88="1.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(100%)","100"))))))&lt;=65),"50",IF(AND((((_xlfn.XLOOKUP(Assessment!#REF!,Inherited!A:A,Inherited!B:B))/100)*(_xlfn.XLOOKUP(Assessment!#REF!,Inherited!A:A,Inherited!G:G)))+(((100-(_xlfn.XLOOKUP(Assessment!#REF!,Inherited!A:A,Inherited!B:B)))/100)*IF(AB88="1.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(100%)","100"))))))&gt;=66,(((_xlfn.XLOOKUP(Assessment!#REF!,Inherited!A:A,Inherited!B:B))/100)*(_xlfn.XLOOKUP(Assessment!#REF!,Inherited!A:A,Inherited!G:G)))+(((100-(_xlfn.XLOOKUP(Assessment!#REF!,Inherited!A:A,Inherited!B:B)))/100)*IF(AB88="1.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(100%)","100"))))))&lt;=89),"75",IF((((_xlfn.XLOOKUP(Assessment!#REF!,Inherited!A:A,Inherited!B:B))/100)*(_xlfn.XLOOKUP(Assessment!#REF!,Inherited!A:A,Inherited!G:G)))+(((100-(_xlfn.XLOOKUP(Assessment!#REF!,Inherited!A:A,Inherited!B:B)))/100)*IF(AB88="1. Non Compliant (0%)","0",IF(AB88="2. Somewhat Compliant (25%)","25",IF(AB88="3. Partially Compliant (50%)","50",IF(AB88="4. Mostly Compliant (75%)","75",IF(AB88="5. Fully Compliant (100%)","100"))))))&gt;=90,"100"))))))</f>
        <v>#N/A</v>
      </c>
      <c r="V88" s="55" t="s">
        <v>85</v>
      </c>
      <c r="W88" s="55"/>
      <c r="X88" s="55"/>
      <c r="Y88" s="55"/>
      <c r="Z88" s="55" t="s">
        <v>10873</v>
      </c>
      <c r="AA88" s="55"/>
      <c r="AB88" s="55"/>
      <c r="AK88" s="1" t="s">
        <v>10978</v>
      </c>
      <c r="AL88" s="1" t="s">
        <v>10989</v>
      </c>
      <c r="AP88" s="1" t="s">
        <v>11082</v>
      </c>
      <c r="AX88" s="3" t="str">
        <f>_xlfn.CONCAT("A-LIGN finished its review of this control on ",AR88, " during the scheduled fieldwork window (",Intro!$B$4,")."&amp; CHAR(10)&amp; CHAR(10))</f>
        <v xml:space="preserve">A-LIGN finished its review of this control on  during the scheduled fieldwork window (Fieldwork: xx/xx/xxxx - xx/xx/xxxx).
</v>
      </c>
      <c r="AY88" s="3" t="str">
        <f t="shared" si="160"/>
        <v/>
      </c>
      <c r="AZ88" s="3" t="str">
        <f t="shared" si="161"/>
        <v/>
      </c>
      <c r="BA88" s="3" t="str">
        <f t="shared" si="162"/>
        <v/>
      </c>
      <c r="BB88" s="3" t="str">
        <f t="shared" si="16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v>
      </c>
      <c r="BC88" s="3" t="str">
        <f t="shared" si="164"/>
        <v/>
      </c>
      <c r="BD88" s="3" t="str">
        <f t="shared" si="16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artificial intelligence engineering environment is restricted
- access to artificial intelligence code used to create, train, and/or deploy models is restricted
- access to artificial intelligence code of language model tools is restricted
</v>
      </c>
      <c r="BE88" s="3" t="str">
        <f t="shared" si="166"/>
        <v/>
      </c>
      <c r="BF88" s="3" t="str">
        <f t="shared" si="167"/>
        <v/>
      </c>
      <c r="BG88" s="3" t="str">
        <f>_xlfn.CONCAT((IF((COUNTIF('Sample Tables'!B:B,"")&gt;0)=TRUE,_xlfn.CONCAT("",""),IF((COUNTIF('Sample Tables'!B:B,"")&gt;0)=FALSE,""))),)</f>
        <v/>
      </c>
      <c r="BH88" s="3" t="str">
        <f t="shared" si="16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Access controls to AI model data and other data will be evaluated, as it is not clear if this control is implemented.
Note: Google SSO is being implemented. 
Examined the following evidence during fieldwork:
Reviewed evidence addressed the requirement statement.
Reviewed evidence exception note: 
Gap: 
AI policies and procedures considering the details of the requirement statement are not formally maintained at this time.
Appropriate access controls to AI models and other assets could not be confirmed. 
Recommendation:
Management should ensure that AI policies and procedures are developed considering the following:
- outlines least privilege principle for access to generative artificial intelligence model
Further, management should ensure that appropriate access controls to AI models and other assets is implemented considering the following:
- access to artificial intelligence engineering environment is restricted
- access to artificial intelligence code used to create, train, and/or deploy models is restricted
- access to artificial intelligence code of language model tools is restricted
</v>
      </c>
    </row>
    <row r="89" spans="3:60" ht="409.5" x14ac:dyDescent="0.35">
      <c r="C89" s="1">
        <f t="shared" si="169"/>
        <v>40</v>
      </c>
      <c r="D89" s="5" t="str">
        <f>IF(AND((_xlfn.XLOOKUP(J89,'Fields &amp; Revisions'!$H:$H,'Fields &amp; Revisions'!$I:$I))&lt;70.99,(OR(Z89="4. Mostly Compliant (75%)",Z89="3. Partially Compliant (50%)",Z89="2. Somewhat Compliant (25%)",Z89="1. Non Compliant (0%)"))),"Yes","No")</f>
        <v>No</v>
      </c>
      <c r="E89" s="5" t="str">
        <f>IF(ISERROR(VLOOKUP(H89,Scope!A:A,1,FALSE)),"No","Yes")</f>
        <v>Yes</v>
      </c>
      <c r="F89" s="1" t="s">
        <v>2424</v>
      </c>
      <c r="G89" s="53" t="s">
        <v>2509</v>
      </c>
      <c r="H89" s="53" t="s">
        <v>2510</v>
      </c>
      <c r="I89" s="5">
        <v>1</v>
      </c>
      <c r="J89" s="1" t="s">
        <v>2511</v>
      </c>
      <c r="K89" s="1" t="s">
        <v>2512</v>
      </c>
      <c r="L89" s="1" t="s">
        <v>2513</v>
      </c>
      <c r="M89" s="1" t="s">
        <v>2514</v>
      </c>
      <c r="N89" s="5" t="s">
        <v>85</v>
      </c>
      <c r="O89" s="1" t="str">
        <f>_xlfn.XLOOKUP(G89,SRMs!$A:$A,SRMs!$D:$D)</f>
        <v>PARTIAL INHERITANCE</v>
      </c>
      <c r="P89" s="1" t="str">
        <f>IFERROR(VLOOKUP(H89,Inherited!A:B,2,FALSE),"")</f>
        <v/>
      </c>
      <c r="Q89" s="1" t="e">
        <f>IF(MATCH(H89,Inherited!A:A),IF((((_xlfn.XLOOKUP(Assessment!#REF!,Inherited!A:A,Inherited!B:B))/100)*(_xlfn.XLOOKUP(Assessment!#REF!,Inherited!A:A,Inherited!C:C)))+(((100-(_xlfn.XLOOKUP(Assessment!#REF!,Inherited!A:A,Inherited!B:B)))/100)*IF(X89="1.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(100%)","100"))))))&lt;=10,"0", IF(AND((((_xlfn.XLOOKUP(Assessment!#REF!,Inherited!A:A,Inherited!B:B))/100)*(_xlfn.XLOOKUP(Assessment!#REF!,Inherited!A:A,Inherited!C:C)))+(((100-(_xlfn.XLOOKUP(Assessment!#REF!,Inherited!A:A,Inherited!B:B)))/100)*IF(X89="1.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(100%)","100"))))))&gt;=11,(((_xlfn.XLOOKUP(Assessment!#REF!,Inherited!A:A,Inherited!B:B))/100)*(_xlfn.XLOOKUP(Assessment!#REF!,Inherited!A:A,Inherited!C:C)))+(((100-(_xlfn.XLOOKUP(Assessment!#REF!,Inherited!A:A,Inherited!B:B)))/100)*IF(X89="1.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(100%)","100"))))))&lt;=32),"25",IF(AND((((_xlfn.XLOOKUP(Assessment!#REF!,Inherited!A:A,Inherited!B:B))/100)*(_xlfn.XLOOKUP(Assessment!#REF!,Inherited!A:A,Inherited!C:C)))+(((100-(_xlfn.XLOOKUP(Assessment!#REF!,Inherited!A:A,Inherited!B:B)))/100)*IF(X89="1.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(100%)","100"))))))&gt;=33,(((_xlfn.XLOOKUP(Assessment!#REF!,Inherited!A:A,Inherited!B:B))/100)*(_xlfn.XLOOKUP(Assessment!#REF!,Inherited!A:A,Inherited!C:C)))+(((100-(_xlfn.XLOOKUP(Assessment!#REF!,Inherited!A:A,Inherited!B:B)))/100)*IF(X89="1.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(100%)","100"))))))&lt;=65),"50",IF(AND((((_xlfn.XLOOKUP(Assessment!#REF!,Inherited!A:A,Inherited!B:B))/100)*(_xlfn.XLOOKUP(Assessment!#REF!,Inherited!A:A,Inherited!C:C)))+(((100-(_xlfn.XLOOKUP(Assessment!#REF!,Inherited!A:A,Inherited!B:B)))/100)*IF(X89="1.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(100%)","100"))))))&gt;=66,(((_xlfn.XLOOKUP(Assessment!#REF!,Inherited!A:A,Inherited!B:B))/100)*(_xlfn.XLOOKUP(Assessment!#REF!,Inherited!A:A,Inherited!C:C)))+(((100-(_xlfn.XLOOKUP(Assessment!#REF!,Inherited!A:A,Inherited!B:B)))/100)*IF(X89="1.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(100%)","100"))))))&lt;=89),"75",IF((((_xlfn.XLOOKUP(Assessment!#REF!,Inherited!A:A,Inherited!B:B))/100)*(_xlfn.XLOOKUP(Assessment!#REF!,Inherited!A:A,Inherited!C:C)))+(((100-(_xlfn.XLOOKUP(Assessment!#REF!,Inherited!A:A,Inherited!B:B)))/100)*IF(X89="1. Non Compliant (0%)","0",IF(X89="2. Somewhat Compliant (25%)","25",IF(X89="3. Partially Compliant (50%)","50",IF(X89="4. Mostly Compliant (75%)","75",IF(X89="5. Fully Compliant (100%)","100"))))))&gt;=90,"100"))))))</f>
        <v>#N/A</v>
      </c>
      <c r="R89" s="1" t="e">
        <f>IF(MATCH(H89,Inherited!A:A),IF((((_xlfn.XLOOKUP(Assessment!#REF!,Inherited!A:A,Inherited!B:B))/100)*(_xlfn.XLOOKUP(Assessment!#REF!,Inherited!A:A,Inherited!D:D)))+(((100-(_xlfn.XLOOKUP(Assessment!#REF!,Inherited!A:A,Inherited!B:B)))/100)*IF(Y89="1.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(100%)","100"))))))&lt;=10,"0", IF(AND((((_xlfn.XLOOKUP(Assessment!#REF!,Inherited!A:A,Inherited!B:B))/100)*(_xlfn.XLOOKUP(Assessment!#REF!,Inherited!A:A,Inherited!D:D)))+(((100-(_xlfn.XLOOKUP(Assessment!#REF!,Inherited!A:A,Inherited!B:B)))/100)*IF(Y89="1.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(100%)","100"))))))&gt;=11,(((_xlfn.XLOOKUP(Assessment!#REF!,Inherited!A:A,Inherited!B:B))/100)*(_xlfn.XLOOKUP(Assessment!#REF!,Inherited!A:A,Inherited!D:D)))+(((100-(_xlfn.XLOOKUP(Assessment!#REF!,Inherited!A:A,Inherited!B:B)))/100)*IF(Y89="1.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(100%)","100"))))))&lt;=32),"25",IF(AND((((_xlfn.XLOOKUP(Assessment!#REF!,Inherited!A:A,Inherited!B:B))/100)*(_xlfn.XLOOKUP(Assessment!#REF!,Inherited!A:A,Inherited!D:D)))+(((100-(_xlfn.XLOOKUP(Assessment!#REF!,Inherited!A:A,Inherited!B:B)))/100)*IF(Y89="1.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(100%)","100"))))))&gt;=33,(((_xlfn.XLOOKUP(Assessment!#REF!,Inherited!A:A,Inherited!B:B))/100)*(_xlfn.XLOOKUP(Assessment!#REF!,Inherited!A:A,Inherited!D:D)))+(((100-(_xlfn.XLOOKUP(Assessment!#REF!,Inherited!A:A,Inherited!B:B)))/100)*IF(Y89="1.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(100%)","100"))))))&lt;=65),"50",IF(AND((((_xlfn.XLOOKUP(Assessment!#REF!,Inherited!A:A,Inherited!B:B))/100)*(_xlfn.XLOOKUP(Assessment!#REF!,Inherited!A:A,Inherited!D:D)))+(((100-(_xlfn.XLOOKUP(Assessment!#REF!,Inherited!A:A,Inherited!B:B)))/100)*IF(Y89="1.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(100%)","100"))))))&gt;=66,(((_xlfn.XLOOKUP(Assessment!#REF!,Inherited!A:A,Inherited!B:B))/100)*(_xlfn.XLOOKUP(Assessment!#REF!,Inherited!A:A,Inherited!D:D)))+(((100-(_xlfn.XLOOKUP(Assessment!#REF!,Inherited!A:A,Inherited!B:B)))/100)*IF(Y89="1.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(100%)","100"))))))&lt;=89),"75",IF((((_xlfn.XLOOKUP(Assessment!#REF!,Inherited!A:A,Inherited!B:B))/100)*(_xlfn.XLOOKUP(Assessment!#REF!,Inherited!A:A,Inherited!D:D)))+(((100-(_xlfn.XLOOKUP(Assessment!#REF!,Inherited!A:A,Inherited!B:B)))/100)*IF(Y89="1. Non Compliant (0%)","0",IF(Y89="2. Somewhat Compliant (25%)","25",IF(Y89="3. Partially Compliant (50%)","50",IF(Y89="4. Mostly Compliant (75%)","75",IF(Y89="5. Fully Compliant (100%)","100"))))))&gt;=90,"100"))))))</f>
        <v>#N/A</v>
      </c>
      <c r="S89" s="1" t="e">
        <f>IF(MATCH(H89,Inherited!A:A),IF((((_xlfn.XLOOKUP(Assessment!#REF!,Inherited!A:A,Inherited!B:B))/100)*(_xlfn.XLOOKUP(Assessment!#REF!,Inherited!A:A,Inherited!E:E)))+(((100-(_xlfn.XLOOKUP(Assessment!#REF!,Inherited!A:A,Inherited!B:B)))/100)*IF(Z89="1.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(100%)","100"))))))&lt;=10,"0", IF(AND((((_xlfn.XLOOKUP(Assessment!#REF!,Inherited!A:A,Inherited!B:B))/100)*(_xlfn.XLOOKUP(Assessment!#REF!,Inherited!A:A,Inherited!E:E)))+(((100-(_xlfn.XLOOKUP(Assessment!#REF!,Inherited!A:A,Inherited!B:B)))/100)*IF(Z89="1.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(100%)","100"))))))&gt;=11,(((_xlfn.XLOOKUP(Assessment!#REF!,Inherited!A:A,Inherited!B:B))/100)*(_xlfn.XLOOKUP(Assessment!#REF!,Inherited!A:A,Inherited!E:E)))+(((100-(_xlfn.XLOOKUP(Assessment!#REF!,Inherited!A:A,Inherited!B:B)))/100)*IF(Z89="1.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(100%)","100"))))))&lt;=32),"25",IF(AND((((_xlfn.XLOOKUP(Assessment!#REF!,Inherited!A:A,Inherited!B:B))/100)*(_xlfn.XLOOKUP(Assessment!#REF!,Inherited!A:A,Inherited!E:E)))+(((100-(_xlfn.XLOOKUP(Assessment!#REF!,Inherited!A:A,Inherited!B:B)))/100)*IF(Z89="1.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(100%)","100"))))))&gt;=33,(((_xlfn.XLOOKUP(Assessment!#REF!,Inherited!A:A,Inherited!B:B))/100)*(_xlfn.XLOOKUP(Assessment!#REF!,Inherited!A:A,Inherited!E:E)))+(((100-(_xlfn.XLOOKUP(Assessment!#REF!,Inherited!A:A,Inherited!B:B)))/100)*IF(Z89="1.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(100%)","100"))))))&lt;=65),"50",IF(AND((((_xlfn.XLOOKUP(Assessment!#REF!,Inherited!A:A,Inherited!B:B))/100)*(_xlfn.XLOOKUP(Assessment!#REF!,Inherited!A:A,Inherited!E:E)))+(((100-(_xlfn.XLOOKUP(Assessment!#REF!,Inherited!A:A,Inherited!B:B)))/100)*IF(Z89="1.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(100%)","100"))))))&gt;=66,(((_xlfn.XLOOKUP(Assessment!#REF!,Inherited!A:A,Inherited!B:B))/100)*(_xlfn.XLOOKUP(Assessment!#REF!,Inherited!A:A,Inherited!E:E)))+(((100-(_xlfn.XLOOKUP(Assessment!#REF!,Inherited!A:A,Inherited!B:B)))/100)*IF(Z89="1.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(100%)","100"))))))&lt;=89),"75",IF((((_xlfn.XLOOKUP(Assessment!#REF!,Inherited!A:A,Inherited!B:B))/100)*(_xlfn.XLOOKUP(Assessment!#REF!,Inherited!A:A,Inherited!E:E)))+(((100-(_xlfn.XLOOKUP(Assessment!#REF!,Inherited!A:A,Inherited!B:B)))/100)*IF(Z89="1. Non Compliant (0%)","0",IF(Z89="2. Somewhat Compliant (25%)","25",IF(Z89="3. Partially Compliant (50%)","50",IF(Z89="4. Mostly Compliant (75%)","75",IF(Z89="5. Fully Compliant (100%)","100"))))))&gt;=90,"100"))))))</f>
        <v>#N/A</v>
      </c>
      <c r="T89" s="1" t="e">
        <f>IF(MATCH(H89,Inherited!A:A),IF((((_xlfn.XLOOKUP(Assessment!#REF!,Inherited!A:A,Inherited!B:B))/100)*(_xlfn.XLOOKUP(Assessment!#REF!,Inherited!A:A,Inherited!F:F)))+(((100-(_xlfn.XLOOKUP(Assessment!#REF!,Inherited!A:A,Inherited!B:B)))/100)*IF(AA89="1.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(100%)","100"))))))&lt;=10,"0", IF(AND((((_xlfn.XLOOKUP(Assessment!#REF!,Inherited!A:A,Inherited!B:B))/100)*(_xlfn.XLOOKUP(Assessment!#REF!,Inherited!A:A,Inherited!F:F)))+(((100-(_xlfn.XLOOKUP(Assessment!#REF!,Inherited!A:A,Inherited!B:B)))/100)*IF(AA89="1.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(100%)","100"))))))&gt;=11,(((_xlfn.XLOOKUP(Assessment!#REF!,Inherited!A:A,Inherited!B:B))/100)*(_xlfn.XLOOKUP(Assessment!#REF!,Inherited!A:A,Inherited!F:F)))+(((100-(_xlfn.XLOOKUP(Assessment!#REF!,Inherited!A:A,Inherited!B:B)))/100)*IF(AA89="1.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(100%)","100"))))))&lt;=32),"25",IF(AND((((_xlfn.XLOOKUP(Assessment!#REF!,Inherited!A:A,Inherited!B:B))/100)*(_xlfn.XLOOKUP(Assessment!#REF!,Inherited!A:A,Inherited!F:F)))+(((100-(_xlfn.XLOOKUP(Assessment!#REF!,Inherited!A:A,Inherited!B:B)))/100)*IF(AA89="1.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(100%)","100"))))))&gt;=33,(((_xlfn.XLOOKUP(Assessment!#REF!,Inherited!A:A,Inherited!B:B))/100)*(_xlfn.XLOOKUP(Assessment!#REF!,Inherited!A:A,Inherited!F:F)))+(((100-(_xlfn.XLOOKUP(Assessment!#REF!,Inherited!A:A,Inherited!B:B)))/100)*IF(AA89="1.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(100%)","100"))))))&lt;=65),"50",IF(AND((((_xlfn.XLOOKUP(Assessment!#REF!,Inherited!A:A,Inherited!B:B))/100)*(_xlfn.XLOOKUP(Assessment!#REF!,Inherited!A:A,Inherited!F:F)))+(((100-(_xlfn.XLOOKUP(Assessment!#REF!,Inherited!A:A,Inherited!B:B)))/100)*IF(AA89="1.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(100%)","100"))))))&gt;=66,(((_xlfn.XLOOKUP(Assessment!#REF!,Inherited!A:A,Inherited!B:B))/100)*(_xlfn.XLOOKUP(Assessment!#REF!,Inherited!A:A,Inherited!F:F)))+(((100-(_xlfn.XLOOKUP(Assessment!#REF!,Inherited!A:A,Inherited!B:B)))/100)*IF(AA89="1.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(100%)","100"))))))&lt;=89),"75",IF((((_xlfn.XLOOKUP(Assessment!#REF!,Inherited!A:A,Inherited!B:B))/100)*(_xlfn.XLOOKUP(Assessment!#REF!,Inherited!A:A,Inherited!F:F)))+(((100-(_xlfn.XLOOKUP(Assessment!#REF!,Inherited!A:A,Inherited!B:B)))/100)*IF(AA89="1. Non Compliant (0%)","0",IF(AA89="2. Somewhat Compliant (25%)","25",IF(AA89="3. Partially Compliant (50%)","50",IF(AA89="4. Mostly Compliant (75%)","75",IF(AA89="5. Fully Compliant (100%)","100"))))))&gt;=90,"100"))))))</f>
        <v>#N/A</v>
      </c>
      <c r="U89" s="1" t="e">
        <f>IF(MATCH(H89,Inherited!A:A),IF((((_xlfn.XLOOKUP(Assessment!#REF!,Inherited!A:A,Inherited!B:B))/100)*(_xlfn.XLOOKUP(Assessment!#REF!,Inherited!A:A,Inherited!G:G)))+(((100-(_xlfn.XLOOKUP(Assessment!#REF!,Inherited!A:A,Inherited!B:B)))/100)*IF(AB89="1.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(100%)","100"))))))&lt;=10,"0", IF(AND((((_xlfn.XLOOKUP(Assessment!#REF!,Inherited!A:A,Inherited!B:B))/100)*(_xlfn.XLOOKUP(Assessment!#REF!,Inherited!A:A,Inherited!G:G)))+(((100-(_xlfn.XLOOKUP(Assessment!#REF!,Inherited!A:A,Inherited!B:B)))/100)*IF(AB89="1.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(100%)","100"))))))&gt;=11,(((_xlfn.XLOOKUP(Assessment!#REF!,Inherited!A:A,Inherited!B:B))/100)*(_xlfn.XLOOKUP(Assessment!#REF!,Inherited!A:A,Inherited!G:G)))+(((100-(_xlfn.XLOOKUP(Assessment!#REF!,Inherited!A:A,Inherited!B:B)))/100)*IF(AB89="1.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(100%)","100"))))))&lt;=32),"25",IF(AND((((_xlfn.XLOOKUP(Assessment!#REF!,Inherited!A:A,Inherited!B:B))/100)*(_xlfn.XLOOKUP(Assessment!#REF!,Inherited!A:A,Inherited!G:G)))+(((100-(_xlfn.XLOOKUP(Assessment!#REF!,Inherited!A:A,Inherited!B:B)))/100)*IF(AB89="1.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(100%)","100"))))))&gt;=33,(((_xlfn.XLOOKUP(Assessment!#REF!,Inherited!A:A,Inherited!B:B))/100)*(_xlfn.XLOOKUP(Assessment!#REF!,Inherited!A:A,Inherited!G:G)))+(((100-(_xlfn.XLOOKUP(Assessment!#REF!,Inherited!A:A,Inherited!B:B)))/100)*IF(AB89="1.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(100%)","100"))))))&lt;=65),"50",IF(AND((((_xlfn.XLOOKUP(Assessment!#REF!,Inherited!A:A,Inherited!B:B))/100)*(_xlfn.XLOOKUP(Assessment!#REF!,Inherited!A:A,Inherited!G:G)))+(((100-(_xlfn.XLOOKUP(Assessment!#REF!,Inherited!A:A,Inherited!B:B)))/100)*IF(AB89="1.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(100%)","100"))))))&gt;=66,(((_xlfn.XLOOKUP(Assessment!#REF!,Inherited!A:A,Inherited!B:B))/100)*(_xlfn.XLOOKUP(Assessment!#REF!,Inherited!A:A,Inherited!G:G)))+(((100-(_xlfn.XLOOKUP(Assessment!#REF!,Inherited!A:A,Inherited!B:B)))/100)*IF(AB89="1.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(100%)","100"))))))&lt;=89),"75",IF((((_xlfn.XLOOKUP(Assessment!#REF!,Inherited!A:A,Inherited!B:B))/100)*(_xlfn.XLOOKUP(Assessment!#REF!,Inherited!A:A,Inherited!G:G)))+(((100-(_xlfn.XLOOKUP(Assessment!#REF!,Inherited!A:A,Inherited!B:B)))/100)*IF(AB89="1. Non Compliant (0%)","0",IF(AB89="2. Somewhat Compliant (25%)","25",IF(AB89="3. Partially Compliant (50%)","50",IF(AB89="4. Mostly Compliant (75%)","75",IF(AB89="5. Fully Compliant (100%)","100"))))))&gt;=90,"100"))))))</f>
        <v>#N/A</v>
      </c>
      <c r="V89" s="55" t="s">
        <v>85</v>
      </c>
      <c r="W89" s="55"/>
      <c r="X89" s="55"/>
      <c r="Y89" s="55"/>
      <c r="Z89" s="55" t="s">
        <v>86</v>
      </c>
      <c r="AA89" s="55"/>
      <c r="AB89" s="55"/>
      <c r="AK89" s="1" t="s">
        <v>10891</v>
      </c>
      <c r="AM89" s="1" t="s">
        <v>10941</v>
      </c>
      <c r="AX89" s="3" t="str">
        <f>_xlfn.CONCAT("A-LIGN finished its review of this control on ",AR89, " during the scheduled fieldwork window (",Intro!$B$4,")."&amp; CHAR(10)&amp; CHAR(10))</f>
        <v xml:space="preserve">A-LIGN finished its review of this control on  during the scheduled fieldwork window (Fieldwork: xx/xx/xxxx - xx/xx/xxxx).
</v>
      </c>
      <c r="AY89" s="3" t="str">
        <f t="shared" si="160"/>
        <v/>
      </c>
      <c r="AZ89" s="3" t="str">
        <f t="shared" si="161"/>
        <v/>
      </c>
      <c r="BA89" s="3" t="str">
        <f t="shared" si="162"/>
        <v/>
      </c>
      <c r="BB89" s="3" t="str">
        <f t="shared" si="163"/>
        <v xml:space="preserve">Inquired of the following workforce member: 
Matthew Macaluso - Director of System Operations
Roze Nicolas - Director of TechOps
Inquiry lead to the following conclusions: 
</v>
      </c>
      <c r="BC89" s="3" t="str">
        <f t="shared" si="164"/>
        <v xml:space="preserve">Observed the following live during fieldwork: 
Observed a reoccurring Fresh Service ticket which demonstrated that user account reviews are conducted on a quarterly basis due to Vanta alerts which notify users to review the appropriate accounts.
Vanta has alerts set for quarterly account reviews (only Workspace and Entra for the scope)
</v>
      </c>
      <c r="BD89" s="3" t="str">
        <f t="shared" si="165"/>
        <v xml:space="preserve">Examined the following evidence during fieldwork:
Reviewed evidence addressed the requirement statement.
</v>
      </c>
      <c r="BE89" s="3" t="str">
        <f t="shared" si="166"/>
        <v/>
      </c>
      <c r="BF89" s="3" t="str">
        <f t="shared" si="167"/>
        <v/>
      </c>
      <c r="BG89" s="3" t="str">
        <f>_xlfn.CONCAT((IF((COUNTIF('Sample Tables'!B:B,"Test 001: Access Account (business partner)")&gt;0)=TRUE,_xlfn.CONCAT("Sample test results are documented in ",'Sample Tables'!B7," [",'Sample Tables'!B8,", ",'Sample Tables'!B9,", ",'Sample Tables'!B10,", ",'Sample Tables'!B11,", ",'Sample Tables'!B12,"]."&amp;CHAR(10)),IF((COUNTIF('Sample Tables'!B:B,"Test 001: Access Account (business partner)")&gt;0)=FALSE,""))),(IF((COUNTIF('Sample Tables'!B:B,"Test 003: Access Account (privileged)")&gt;0)=TRUE,_xlfn.CONCAT("Sample test results are documented in ",'Sample Tables'!B29," [",'Sample Tables'!B30,", ",'Sample Tables'!B31,", ",'Sample Tables'!B32,", ",'Sample Tables'!B33,", ",'Sample Tables'!B34,"]."&amp;CHAR(10)),IF((COUNTIF('Sample Tables'!B:B,"Test 003: Access Account (privileged)")&gt;0)=FALSE,""))),(IF((COUNTIF('Sample Tables'!B:B,"Test 004: Access Account (service)")&gt;0)=TRUE,_xlfn.CONCAT("Sample test results are documented in ",'Sample Tables'!B40," [",'Sample Tables'!B41,", ",'Sample Tables'!B42,", ",'Sample Tables'!B43,", ",'Sample Tables'!B44,", ",'Sample Tables'!B45,"]."&amp;CHAR(10)),IF((COUNTIF('Sample Tables'!B:B,"Test 004: Access Account (service)")&gt;0)=FALSE,""))),(IF((COUNTIF('Sample Tables'!B:B,"Test 008: Access Account (vendor)")&gt;0)=TRUE,_xlfn.CONCAT("Sample test results are documented in ",'Sample Tables'!B84," [",'Sample Tables'!B85,", ",'Sample Tables'!B86,", ",'Sample Tables'!B87,", ",'Sample Tables'!B88,", ",'Sample Tables'!B89,"]."&amp;CHAR(10)),IF((COUNTIF('Sample Tables'!B:B,"Test 008: Access Account (vendor)")&gt;0)=FALSE,""))),(IF((COUNTIF('Sample Tables'!B:B,"Test 009: Access Account (workforce member)")&gt;0)=TRUE,_xlfn.CONCAT("Sample test results are documented in ",'Sample Tables'!B95," [",'Sample Tables'!B96,", ",'Sample Tables'!B97,", ",'Sample Tables'!B98,", ",'Sample Tables'!B99,", ",'Sample Tables'!B100,"]."&amp;CHAR(10)),IF((COUNTIF('Sample Tables'!B:B,"Test 009: Access Account (workforce member)")&gt;0)=FALSE,""))),)</f>
        <v xml:space="preserve">Sample test results are documented in Test 001: Access Account (business partner) [Population Source/Tool: , Population Date Range: , Population Size: , Sample Methodology: , Sample Size: ].
Sample test results are documented in Test 003: Access Account (privileged) [Population Source/Tool: , Population Date Range: , Population Size: , Sample Methodology: , Sample Size: ].
Sample test results are documented in Test 004: Access Account (service) [Population Source/Tool: , Population Date Range: , Population Size: , Sample Methodology: , Sample Size: ].
Sample test results are documented in Test 008: Access Account (vendor) [Population Source/Tool: , Population Date Range: , Population Size: , Sample Methodology: , Sample Size: ].
Sample test results are documented in Test 009: Access Account (workforce member) [Population Source/Tool: , Population Date Range: , Population Size: , Sample Methodology: , Sample Size: ].
</v>
      </c>
      <c r="BH89" s="3" t="str">
        <f t="shared" si="16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a reoccurring Fresh Service ticket which demonstrated that user account reviews are conducted on a quarterly basis due to Vanta alerts which notify users to review the appropriate accounts.
Vanta has alerts set for quarterly account reviews (only Workspace and Entra for the scope)
Examined the following evidence during fieldwork:
Reviewed evidence addressed the requirement statement.
Sample test results are documented in Test 001: Access Account (business partner) [Population Source/Tool: , Population Date Range: , Population Size: , Sample Methodology: , Sample Size: ].
Sample test results are documented in Test 003: Access Account (privileged) [Population Source/Tool: , Population Date Range: , Population Size: , Sample Methodology: , Sample Size: ].
Sample test results are documented in Test 004: Access Account (service) [Population Source/Tool: , Population Date Range: , Population Size: , Sample Methodology: , Sample Size: ].
Sample test results are documented in Test 008: Access Account (vendor) [Population Source/Tool: , Population Date Range: , Population Size: , Sample Methodology: , Sample Size: ].
Sample test results are documented in Test 009: Access Account (workforce member) [Population Source/Tool: , Population Date Range: , Population Size: , Sample Methodology: , Sample Size: ].
</v>
      </c>
    </row>
    <row r="90" spans="3:60" ht="300" x14ac:dyDescent="0.35">
      <c r="C90" s="1">
        <f t="shared" si="169"/>
        <v>40</v>
      </c>
      <c r="D90" s="5" t="str">
        <f>IF(AND((_xlfn.XLOOKUP(J90,'Fields &amp; Revisions'!$H:$H,'Fields &amp; Revisions'!$I:$I))&lt;70.99,(OR(Z90="4. Mostly Compliant (75%)",Z90="3. Partially Compliant (50%)",Z90="2. Somewhat Compliant (25%)",Z90="1. Non Compliant (0%)"))),"Yes","No")</f>
        <v>No</v>
      </c>
      <c r="E90" s="5" t="str">
        <f>IF(ISERROR(VLOOKUP(H90,Scope!A:A,1,FALSE)),"No","Yes")</f>
        <v>Yes</v>
      </c>
      <c r="F90" s="1" t="s">
        <v>2424</v>
      </c>
      <c r="G90" s="53" t="s">
        <v>2550</v>
      </c>
      <c r="H90" s="53" t="s">
        <v>2551</v>
      </c>
      <c r="I90" s="5">
        <v>1</v>
      </c>
      <c r="J90" s="1" t="s">
        <v>2552</v>
      </c>
      <c r="K90" s="1" t="s">
        <v>2553</v>
      </c>
      <c r="L90" s="1" t="s">
        <v>2554</v>
      </c>
      <c r="M90" s="1" t="s">
        <v>2555</v>
      </c>
      <c r="N90" s="5" t="s">
        <v>98</v>
      </c>
      <c r="O90" s="1" t="str">
        <f>_xlfn.XLOOKUP(G90,SRMs!$A:$A,SRMs!$D:$D)</f>
        <v>PARTIAL INHERITANCE</v>
      </c>
      <c r="P90" s="1" t="str">
        <f>IFERROR(VLOOKUP(H90,Inherited!A:B,2,FALSE),"")</f>
        <v/>
      </c>
      <c r="Q90" s="1" t="e">
        <f>IF(MATCH(H90,Inherited!A:A),IF((((_xlfn.XLOOKUP(Assessment!#REF!,Inherited!A:A,Inherited!B:B))/100)*(_xlfn.XLOOKUP(Assessment!#REF!,Inherited!A:A,Inherited!C:C)))+(((100-(_xlfn.XLOOKUP(Assessment!#REF!,Inherited!A:A,Inherited!B:B)))/100)*IF(X90="1.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(100%)","100"))))))&lt;=10,"0", IF(AND((((_xlfn.XLOOKUP(Assessment!#REF!,Inherited!A:A,Inherited!B:B))/100)*(_xlfn.XLOOKUP(Assessment!#REF!,Inherited!A:A,Inherited!C:C)))+(((100-(_xlfn.XLOOKUP(Assessment!#REF!,Inherited!A:A,Inherited!B:B)))/100)*IF(X90="1.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(100%)","100"))))))&gt;=11,(((_xlfn.XLOOKUP(Assessment!#REF!,Inherited!A:A,Inherited!B:B))/100)*(_xlfn.XLOOKUP(Assessment!#REF!,Inherited!A:A,Inherited!C:C)))+(((100-(_xlfn.XLOOKUP(Assessment!#REF!,Inherited!A:A,Inherited!B:B)))/100)*IF(X90="1.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(100%)","100"))))))&lt;=32),"25",IF(AND((((_xlfn.XLOOKUP(Assessment!#REF!,Inherited!A:A,Inherited!B:B))/100)*(_xlfn.XLOOKUP(Assessment!#REF!,Inherited!A:A,Inherited!C:C)))+(((100-(_xlfn.XLOOKUP(Assessment!#REF!,Inherited!A:A,Inherited!B:B)))/100)*IF(X90="1.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(100%)","100"))))))&gt;=33,(((_xlfn.XLOOKUP(Assessment!#REF!,Inherited!A:A,Inherited!B:B))/100)*(_xlfn.XLOOKUP(Assessment!#REF!,Inherited!A:A,Inherited!C:C)))+(((100-(_xlfn.XLOOKUP(Assessment!#REF!,Inherited!A:A,Inherited!B:B)))/100)*IF(X90="1.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(100%)","100"))))))&lt;=65),"50",IF(AND((((_xlfn.XLOOKUP(Assessment!#REF!,Inherited!A:A,Inherited!B:B))/100)*(_xlfn.XLOOKUP(Assessment!#REF!,Inherited!A:A,Inherited!C:C)))+(((100-(_xlfn.XLOOKUP(Assessment!#REF!,Inherited!A:A,Inherited!B:B)))/100)*IF(X90="1.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(100%)","100"))))))&gt;=66,(((_xlfn.XLOOKUP(Assessment!#REF!,Inherited!A:A,Inherited!B:B))/100)*(_xlfn.XLOOKUP(Assessment!#REF!,Inherited!A:A,Inherited!C:C)))+(((100-(_xlfn.XLOOKUP(Assessment!#REF!,Inherited!A:A,Inherited!B:B)))/100)*IF(X90="1.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(100%)","100"))))))&lt;=89),"75",IF((((_xlfn.XLOOKUP(Assessment!#REF!,Inherited!A:A,Inherited!B:B))/100)*(_xlfn.XLOOKUP(Assessment!#REF!,Inherited!A:A,Inherited!C:C)))+(((100-(_xlfn.XLOOKUP(Assessment!#REF!,Inherited!A:A,Inherited!B:B)))/100)*IF(X90="1. Non Compliant (0%)","0",IF(X90="2. Somewhat Compliant (25%)","25",IF(X90="3. Partially Compliant (50%)","50",IF(X90="4. Mostly Compliant (75%)","75",IF(X90="5. Fully Compliant (100%)","100"))))))&gt;=90,"100"))))))</f>
        <v>#N/A</v>
      </c>
      <c r="R90" s="1" t="e">
        <f>IF(MATCH(H90,Inherited!A:A),IF((((_xlfn.XLOOKUP(Assessment!#REF!,Inherited!A:A,Inherited!B:B))/100)*(_xlfn.XLOOKUP(Assessment!#REF!,Inherited!A:A,Inherited!D:D)))+(((100-(_xlfn.XLOOKUP(Assessment!#REF!,Inherited!A:A,Inherited!B:B)))/100)*IF(Y90="1.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(100%)","100"))))))&lt;=10,"0", IF(AND((((_xlfn.XLOOKUP(Assessment!#REF!,Inherited!A:A,Inherited!B:B))/100)*(_xlfn.XLOOKUP(Assessment!#REF!,Inherited!A:A,Inherited!D:D)))+(((100-(_xlfn.XLOOKUP(Assessment!#REF!,Inherited!A:A,Inherited!B:B)))/100)*IF(Y90="1.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(100%)","100"))))))&gt;=11,(((_xlfn.XLOOKUP(Assessment!#REF!,Inherited!A:A,Inherited!B:B))/100)*(_xlfn.XLOOKUP(Assessment!#REF!,Inherited!A:A,Inherited!D:D)))+(((100-(_xlfn.XLOOKUP(Assessment!#REF!,Inherited!A:A,Inherited!B:B)))/100)*IF(Y90="1.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(100%)","100"))))))&lt;=32),"25",IF(AND((((_xlfn.XLOOKUP(Assessment!#REF!,Inherited!A:A,Inherited!B:B))/100)*(_xlfn.XLOOKUP(Assessment!#REF!,Inherited!A:A,Inherited!D:D)))+(((100-(_xlfn.XLOOKUP(Assessment!#REF!,Inherited!A:A,Inherited!B:B)))/100)*IF(Y90="1.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(100%)","100"))))))&gt;=33,(((_xlfn.XLOOKUP(Assessment!#REF!,Inherited!A:A,Inherited!B:B))/100)*(_xlfn.XLOOKUP(Assessment!#REF!,Inherited!A:A,Inherited!D:D)))+(((100-(_xlfn.XLOOKUP(Assessment!#REF!,Inherited!A:A,Inherited!B:B)))/100)*IF(Y90="1.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(100%)","100"))))))&lt;=65),"50",IF(AND((((_xlfn.XLOOKUP(Assessment!#REF!,Inherited!A:A,Inherited!B:B))/100)*(_xlfn.XLOOKUP(Assessment!#REF!,Inherited!A:A,Inherited!D:D)))+(((100-(_xlfn.XLOOKUP(Assessment!#REF!,Inherited!A:A,Inherited!B:B)))/100)*IF(Y90="1.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(100%)","100"))))))&gt;=66,(((_xlfn.XLOOKUP(Assessment!#REF!,Inherited!A:A,Inherited!B:B))/100)*(_xlfn.XLOOKUP(Assessment!#REF!,Inherited!A:A,Inherited!D:D)))+(((100-(_xlfn.XLOOKUP(Assessment!#REF!,Inherited!A:A,Inherited!B:B)))/100)*IF(Y90="1.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(100%)","100"))))))&lt;=89),"75",IF((((_xlfn.XLOOKUP(Assessment!#REF!,Inherited!A:A,Inherited!B:B))/100)*(_xlfn.XLOOKUP(Assessment!#REF!,Inherited!A:A,Inherited!D:D)))+(((100-(_xlfn.XLOOKUP(Assessment!#REF!,Inherited!A:A,Inherited!B:B)))/100)*IF(Y90="1. Non Compliant (0%)","0",IF(Y90="2. Somewhat Compliant (25%)","25",IF(Y90="3. Partially Compliant (50%)","50",IF(Y90="4. Mostly Compliant (75%)","75",IF(Y90="5. Fully Compliant (100%)","100"))))))&gt;=90,"100"))))))</f>
        <v>#N/A</v>
      </c>
      <c r="S90" s="1" t="e">
        <f>IF(MATCH(H90,Inherited!A:A),IF((((_xlfn.XLOOKUP(Assessment!#REF!,Inherited!A:A,Inherited!B:B))/100)*(_xlfn.XLOOKUP(Assessment!#REF!,Inherited!A:A,Inherited!E:E)))+(((100-(_xlfn.XLOOKUP(Assessment!#REF!,Inherited!A:A,Inherited!B:B)))/100)*IF(Z90="1.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(100%)","100"))))))&lt;=10,"0", IF(AND((((_xlfn.XLOOKUP(Assessment!#REF!,Inherited!A:A,Inherited!B:B))/100)*(_xlfn.XLOOKUP(Assessment!#REF!,Inherited!A:A,Inherited!E:E)))+(((100-(_xlfn.XLOOKUP(Assessment!#REF!,Inherited!A:A,Inherited!B:B)))/100)*IF(Z90="1.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(100%)","100"))))))&gt;=11,(((_xlfn.XLOOKUP(Assessment!#REF!,Inherited!A:A,Inherited!B:B))/100)*(_xlfn.XLOOKUP(Assessment!#REF!,Inherited!A:A,Inherited!E:E)))+(((100-(_xlfn.XLOOKUP(Assessment!#REF!,Inherited!A:A,Inherited!B:B)))/100)*IF(Z90="1.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(100%)","100"))))))&lt;=32),"25",IF(AND((((_xlfn.XLOOKUP(Assessment!#REF!,Inherited!A:A,Inherited!B:B))/100)*(_xlfn.XLOOKUP(Assessment!#REF!,Inherited!A:A,Inherited!E:E)))+(((100-(_xlfn.XLOOKUP(Assessment!#REF!,Inherited!A:A,Inherited!B:B)))/100)*IF(Z90="1.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(100%)","100"))))))&gt;=33,(((_xlfn.XLOOKUP(Assessment!#REF!,Inherited!A:A,Inherited!B:B))/100)*(_xlfn.XLOOKUP(Assessment!#REF!,Inherited!A:A,Inherited!E:E)))+(((100-(_xlfn.XLOOKUP(Assessment!#REF!,Inherited!A:A,Inherited!B:B)))/100)*IF(Z90="1.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(100%)","100"))))))&lt;=65),"50",IF(AND((((_xlfn.XLOOKUP(Assessment!#REF!,Inherited!A:A,Inherited!B:B))/100)*(_xlfn.XLOOKUP(Assessment!#REF!,Inherited!A:A,Inherited!E:E)))+(((100-(_xlfn.XLOOKUP(Assessment!#REF!,Inherited!A:A,Inherited!B:B)))/100)*IF(Z90="1.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(100%)","100"))))))&gt;=66,(((_xlfn.XLOOKUP(Assessment!#REF!,Inherited!A:A,Inherited!B:B))/100)*(_xlfn.XLOOKUP(Assessment!#REF!,Inherited!A:A,Inherited!E:E)))+(((100-(_xlfn.XLOOKUP(Assessment!#REF!,Inherited!A:A,Inherited!B:B)))/100)*IF(Z90="1.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(100%)","100"))))))&lt;=89),"75",IF((((_xlfn.XLOOKUP(Assessment!#REF!,Inherited!A:A,Inherited!B:B))/100)*(_xlfn.XLOOKUP(Assessment!#REF!,Inherited!A:A,Inherited!E:E)))+(((100-(_xlfn.XLOOKUP(Assessment!#REF!,Inherited!A:A,Inherited!B:B)))/100)*IF(Z90="1. Non Compliant (0%)","0",IF(Z90="2. Somewhat Compliant (25%)","25",IF(Z90="3. Partially Compliant (50%)","50",IF(Z90="4. Mostly Compliant (75%)","75",IF(Z90="5. Fully Compliant (100%)","100"))))))&gt;=90,"100"))))))</f>
        <v>#N/A</v>
      </c>
      <c r="T90" s="1" t="e">
        <f>IF(MATCH(H90,Inherited!A:A),IF((((_xlfn.XLOOKUP(Assessment!#REF!,Inherited!A:A,Inherited!B:B))/100)*(_xlfn.XLOOKUP(Assessment!#REF!,Inherited!A:A,Inherited!F:F)))+(((100-(_xlfn.XLOOKUP(Assessment!#REF!,Inherited!A:A,Inherited!B:B)))/100)*IF(AA90="1.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(100%)","100"))))))&lt;=10,"0", IF(AND((((_xlfn.XLOOKUP(Assessment!#REF!,Inherited!A:A,Inherited!B:B))/100)*(_xlfn.XLOOKUP(Assessment!#REF!,Inherited!A:A,Inherited!F:F)))+(((100-(_xlfn.XLOOKUP(Assessment!#REF!,Inherited!A:A,Inherited!B:B)))/100)*IF(AA90="1.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(100%)","100"))))))&gt;=11,(((_xlfn.XLOOKUP(Assessment!#REF!,Inherited!A:A,Inherited!B:B))/100)*(_xlfn.XLOOKUP(Assessment!#REF!,Inherited!A:A,Inherited!F:F)))+(((100-(_xlfn.XLOOKUP(Assessment!#REF!,Inherited!A:A,Inherited!B:B)))/100)*IF(AA90="1.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(100%)","100"))))))&lt;=32),"25",IF(AND((((_xlfn.XLOOKUP(Assessment!#REF!,Inherited!A:A,Inherited!B:B))/100)*(_xlfn.XLOOKUP(Assessment!#REF!,Inherited!A:A,Inherited!F:F)))+(((100-(_xlfn.XLOOKUP(Assessment!#REF!,Inherited!A:A,Inherited!B:B)))/100)*IF(AA90="1.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(100%)","100"))))))&gt;=33,(((_xlfn.XLOOKUP(Assessment!#REF!,Inherited!A:A,Inherited!B:B))/100)*(_xlfn.XLOOKUP(Assessment!#REF!,Inherited!A:A,Inherited!F:F)))+(((100-(_xlfn.XLOOKUP(Assessment!#REF!,Inherited!A:A,Inherited!B:B)))/100)*IF(AA90="1.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(100%)","100"))))))&lt;=65),"50",IF(AND((((_xlfn.XLOOKUP(Assessment!#REF!,Inherited!A:A,Inherited!B:B))/100)*(_xlfn.XLOOKUP(Assessment!#REF!,Inherited!A:A,Inherited!F:F)))+(((100-(_xlfn.XLOOKUP(Assessment!#REF!,Inherited!A:A,Inherited!B:B)))/100)*IF(AA90="1.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(100%)","100"))))))&gt;=66,(((_xlfn.XLOOKUP(Assessment!#REF!,Inherited!A:A,Inherited!B:B))/100)*(_xlfn.XLOOKUP(Assessment!#REF!,Inherited!A:A,Inherited!F:F)))+(((100-(_xlfn.XLOOKUP(Assessment!#REF!,Inherited!A:A,Inherited!B:B)))/100)*IF(AA90="1.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(100%)","100"))))))&lt;=89),"75",IF((((_xlfn.XLOOKUP(Assessment!#REF!,Inherited!A:A,Inherited!B:B))/100)*(_xlfn.XLOOKUP(Assessment!#REF!,Inherited!A:A,Inherited!F:F)))+(((100-(_xlfn.XLOOKUP(Assessment!#REF!,Inherited!A:A,Inherited!B:B)))/100)*IF(AA90="1. Non Compliant (0%)","0",IF(AA90="2. Somewhat Compliant (25%)","25",IF(AA90="3. Partially Compliant (50%)","50",IF(AA90="4. Mostly Compliant (75%)","75",IF(AA90="5. Fully Compliant (100%)","100"))))))&gt;=90,"100"))))))</f>
        <v>#N/A</v>
      </c>
      <c r="U90" s="1" t="e">
        <f>IF(MATCH(H90,Inherited!A:A),IF((((_xlfn.XLOOKUP(Assessment!#REF!,Inherited!A:A,Inherited!B:B))/100)*(_xlfn.XLOOKUP(Assessment!#REF!,Inherited!A:A,Inherited!G:G)))+(((100-(_xlfn.XLOOKUP(Assessment!#REF!,Inherited!A:A,Inherited!B:B)))/100)*IF(AB90="1.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(100%)","100"))))))&lt;=10,"0", IF(AND((((_xlfn.XLOOKUP(Assessment!#REF!,Inherited!A:A,Inherited!B:B))/100)*(_xlfn.XLOOKUP(Assessment!#REF!,Inherited!A:A,Inherited!G:G)))+(((100-(_xlfn.XLOOKUP(Assessment!#REF!,Inherited!A:A,Inherited!B:B)))/100)*IF(AB90="1.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(100%)","100"))))))&gt;=11,(((_xlfn.XLOOKUP(Assessment!#REF!,Inherited!A:A,Inherited!B:B))/100)*(_xlfn.XLOOKUP(Assessment!#REF!,Inherited!A:A,Inherited!G:G)))+(((100-(_xlfn.XLOOKUP(Assessment!#REF!,Inherited!A:A,Inherited!B:B)))/100)*IF(AB90="1.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(100%)","100"))))))&lt;=32),"25",IF(AND((((_xlfn.XLOOKUP(Assessment!#REF!,Inherited!A:A,Inherited!B:B))/100)*(_xlfn.XLOOKUP(Assessment!#REF!,Inherited!A:A,Inherited!G:G)))+(((100-(_xlfn.XLOOKUP(Assessment!#REF!,Inherited!A:A,Inherited!B:B)))/100)*IF(AB90="1.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(100%)","100"))))))&gt;=33,(((_xlfn.XLOOKUP(Assessment!#REF!,Inherited!A:A,Inherited!B:B))/100)*(_xlfn.XLOOKUP(Assessment!#REF!,Inherited!A:A,Inherited!G:G)))+(((100-(_xlfn.XLOOKUP(Assessment!#REF!,Inherited!A:A,Inherited!B:B)))/100)*IF(AB90="1.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(100%)","100"))))))&lt;=65),"50",IF(AND((((_xlfn.XLOOKUP(Assessment!#REF!,Inherited!A:A,Inherited!B:B))/100)*(_xlfn.XLOOKUP(Assessment!#REF!,Inherited!A:A,Inherited!G:G)))+(((100-(_xlfn.XLOOKUP(Assessment!#REF!,Inherited!A:A,Inherited!B:B)))/100)*IF(AB90="1.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(100%)","100"))))))&gt;=66,(((_xlfn.XLOOKUP(Assessment!#REF!,Inherited!A:A,Inherited!B:B))/100)*(_xlfn.XLOOKUP(Assessment!#REF!,Inherited!A:A,Inherited!G:G)))+(((100-(_xlfn.XLOOKUP(Assessment!#REF!,Inherited!A:A,Inherited!B:B)))/100)*IF(AB90="1.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(100%)","100"))))))&lt;=89),"75",IF((((_xlfn.XLOOKUP(Assessment!#REF!,Inherited!A:A,Inherited!B:B))/100)*(_xlfn.XLOOKUP(Assessment!#REF!,Inherited!A:A,Inherited!G:G)))+(((100-(_xlfn.XLOOKUP(Assessment!#REF!,Inherited!A:A,Inherited!B:B)))/100)*IF(AB90="1. Non Compliant (0%)","0",IF(AB90="2. Somewhat Compliant (25%)","25",IF(AB90="3. Partially Compliant (50%)","50",IF(AB90="4. Mostly Compliant (75%)","75",IF(AB90="5. Fully Compliant (100%)","100"))))))&gt;=90,"100"))))))</f>
        <v>#N/A</v>
      </c>
      <c r="V90" s="55" t="s">
        <v>85</v>
      </c>
      <c r="W90" s="55"/>
      <c r="X90" s="55"/>
      <c r="Y90" s="55"/>
      <c r="Z90" s="55" t="s">
        <v>86</v>
      </c>
      <c r="AA90" s="55"/>
      <c r="AB90" s="55"/>
      <c r="AK90" s="1" t="s">
        <v>10891</v>
      </c>
      <c r="AM90" s="1" t="s">
        <v>10901</v>
      </c>
      <c r="AX90" s="3" t="str">
        <f>_xlfn.CONCAT("A-LIGN finished its review of this control on ",AR90, " during the scheduled fieldwork window (",Intro!$B$4,")."&amp; CHAR(10)&amp; CHAR(10))</f>
        <v xml:space="preserve">A-LIGN finished its review of this control on  during the scheduled fieldwork window (Fieldwork: xx/xx/xxxx - xx/xx/xxxx).
</v>
      </c>
      <c r="AY90" s="3" t="str">
        <f t="shared" ref="AY90:AY94" si="170">IF(AQ90&lt;&gt;"",(_xlfn.CONCAT("Inheritance note: "&amp; CHAR(10),AQ90&amp; CHAR(10)&amp; CHAR(10))),"")</f>
        <v/>
      </c>
      <c r="AZ90" s="3" t="str">
        <f t="shared" ref="AZ90:AZ94" si="171">IFERROR(IF(AD90&lt;&gt;"",_xlfn.CONCAT("Examined the following policy during fieldwork:"&amp; CHAR(10),AD90&amp; CHAR(10)&amp; CHAR(10),IF(AND(X90&lt;&gt;"5. Fully Compliant (100%)",AE90&lt;&gt;""),"Reviewed policy exception note:"&amp; CHAR(10) &amp; AE90 &amp; CHAR(10) &amp; CHAR(10),"")),""),"")</f>
        <v/>
      </c>
      <c r="BA90" s="3" t="str">
        <f t="shared" ref="BA90:BA94" si="172">IFERROR(IF(AH90&lt;&gt;"",_xlfn.CONCAT("Examined the following process during fieldwork:"&amp; CHAR(10),AH90&amp; CHAR(10)&amp; CHAR(10),IF(AND(Y90&lt;&gt;"5. Fully Compliant (100%)",AI90&lt;&gt;""),"Reviewed process exception note:"&amp; CHAR(10) &amp; AI90 &amp; CHAR(10) &amp; CHAR(10),"")),""),"")</f>
        <v/>
      </c>
      <c r="BB90" s="3" t="str">
        <f t="shared" ref="BB90:BB94" si="173">IF(AK90&lt;&gt;"",(_xlfn.CONCAT("Inquired of the following workforce member: "&amp; CHAR(10),AK90&amp; CHAR(10)&amp; CHAR(10),"Inquiry lead to the following conclusions: "&amp; CHAR(10),AL90&amp; CHAR(10) &amp; CHAR(10))),"")</f>
        <v xml:space="preserve">Inquired of the following workforce member: 
Matthew Macaluso - Director of System Operations
Roze Nicolas - Director of TechOps
Inquiry lead to the following conclusions: 
</v>
      </c>
      <c r="BC90" s="3" t="str">
        <f t="shared" ref="BC90:BC94" si="174">IF(AM90&lt;&gt;"",(_xlfn.CONCAT("Observed the following live during fieldwork: "&amp; CHAR(10),AM90&amp; CHAR(10) &amp; CHAR(10))),"")</f>
        <v xml:space="preserve">Observed the following live during fieldwork: 
Observed the Azure authentication methods dashboard which demonstrated users are locked out after 5 unsuccessful attempts and are locked out after 1800 seconds.
</v>
      </c>
      <c r="BD90" s="3" t="str">
        <f t="shared" ref="BD90:BD94" si="175">_xlfn.CONCAT("Examined the following evidence during fieldwork:"&amp; CHAR(10),AN90&amp; CHAR(10)&amp; CHAR(10),IF(AO90&lt;&gt;"","Reviewed evidence note:"&amp; CHAR(10)&amp;AO90&amp; CHAR(10) &amp; CHAR(10),"Reviewed evidence addressed the requirement statement."&amp; CHAR(10) &amp; CHAR(10)),IF(AND(AP90&lt;&gt;"5. Fully Compliant (100%)",AP90&lt;&gt;""),"Reviewed evidence exception note: "&amp; CHAR(10) &amp; AP90 &amp; CHAR(10) &amp; CHAR(10),""))</f>
        <v xml:space="preserve">Examined the following evidence during fieldwork:
Reviewed evidence addressed the requirement statement.
</v>
      </c>
      <c r="BE90" s="3" t="str">
        <f t="shared" ref="BE90:BE94" si="176">IF(AT90&lt;&gt;"",(_xlfn.CONCAT("Examined the following measure/metric during fieldwork:"&amp; CHAR(10),AT90&amp; CHAR(10)&amp; CHAR(10),"Reviewed measure/metric note:"&amp; CHAR(10),AU90 &amp; CHAR(10) &amp; CHAR(10))),"")</f>
        <v/>
      </c>
      <c r="BF90" s="3" t="str">
        <f t="shared" ref="BF90:BF94" si="177">IF(AV90&lt;&gt;"",(_xlfn.CONCAT("Examined the following measure/metric management during fieldwork:"&amp; CHAR(10),AV90&amp; CHAR(10)&amp; CHAR(10),"Reviewed measure/metric management note:"&amp; CHAR(10),AW90 &amp; CHAR(10) &amp; CHAR(10))),"")</f>
        <v/>
      </c>
      <c r="BG90" s="3" t="str">
        <f>_xlfn.CONCAT((IF((COUNTIF('Sample Tables'!B:B,"")&gt;0)=TRUE,_xlfn.CONCAT("",""),IF((COUNTIF('Sample Tables'!B:B,"")&gt;0)=FALSE,""))),)</f>
        <v/>
      </c>
      <c r="BH90" s="3" t="str">
        <f t="shared" ref="BH90:BH94" si="178">IF(V90="No","Not Applicable: "&amp;W90,(_xlfn.CONCAT(AX90,AY90,AZ90,BA90,BB90,BC90,BD90,BE90,BF90,BG90)))</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Azure authentication methods dashboard which demonstrated users are locked out after 5 unsuccessful attempts and are locked out after 1800 seconds.
Examined the following evidence during fieldwork:
Reviewed evidence addressed the requirement statement.
</v>
      </c>
    </row>
    <row r="91" spans="3:60" ht="337.5" x14ac:dyDescent="0.35">
      <c r="C91" s="1">
        <f t="shared" ref="C91:C94" si="179">IF(V91="No","Not Applicable",(IF(X91="1. Non Compliant (0%)","0",IF(X91="2. Somewhat Compliant (25%)","25",IF(X91="3. Partially Compliant (50%)","50",IF(X91="4. Mostly Compliant (75%)","75",IF(X91="5. Fully Compliant (100%)","100")))))*0.15)+((IF(Y91="1. Non Compliant (0%)","0",IF(Y91="2. Somewhat Compliant (25%)","25",IF(Y91="3. Partially Compliant (50%)","50",IF(Y91="4. Mostly Compliant (75%)","75",IF(Y91="5. Fully Compliant (100%)","100"))))))*0.2)+(IF(Z91="1. Non Compliant (0%)","0",IF(Z91="2. Somewhat Compliant (25%)","25",IF(Z91="3. Partially Compliant (50%)","50",IF(Z91="4. Mostly Compliant (75%)","75",IF(Z91="5. Fully Compliant (100%)","100")))))*0.4)+(IF(AA91="1. Non Compliant (0%)","0",IF(AA91="2. Somewhat Compliant (25%)","25",IF(AA91="3. Partially Compliant (50%)","50",IF(AA91="4. Mostly Compliant (75%)","75",IF(AA91="5. Fully Compliant (100%)","100")))))*0.1)+(IF(AB91="1. Non Compliant (0%)","0",IF(AB91="2. Somewhat Compliant (25%)","25",IF(AB91="3. Partially Compliant (50%)","50",IF(AB91="4. Mostly Compliant (75%)","75",IF(AB91="5. Fully Compliant (100%)","100")))))*0.15))</f>
        <v>20</v>
      </c>
      <c r="D91" s="5" t="str">
        <f>IF(AND((_xlfn.XLOOKUP(J91,'Fields &amp; Revisions'!$H:$H,'Fields &amp; Revisions'!$I:$I))&lt;70.99,(OR(Z91="4. Mostly Compliant (75%)",Z91="3. Partially Compliant (50%)",Z91="2. Somewhat Compliant (25%)",Z91="1. Non Compliant (0%)"))),"Yes","No")</f>
        <v>Yes</v>
      </c>
      <c r="E91" s="5" t="str">
        <f>IF(ISERROR(VLOOKUP(H91,Scope!A:A,1,FALSE)),"No","Yes")</f>
        <v>Yes</v>
      </c>
      <c r="F91" s="1" t="s">
        <v>2424</v>
      </c>
      <c r="G91" s="53" t="s">
        <v>2573</v>
      </c>
      <c r="H91" s="53" t="s">
        <v>2574</v>
      </c>
      <c r="I91" s="5">
        <v>1</v>
      </c>
      <c r="J91" s="1" t="s">
        <v>2051</v>
      </c>
      <c r="K91" s="1" t="s">
        <v>2575</v>
      </c>
      <c r="L91" s="1" t="s">
        <v>2576</v>
      </c>
      <c r="M91" s="1" t="s">
        <v>2577</v>
      </c>
      <c r="N91" s="5" t="s">
        <v>98</v>
      </c>
      <c r="O91" s="1" t="str">
        <f>_xlfn.XLOOKUP(G91,SRMs!$A:$A,SRMs!$D:$D)</f>
        <v>PARTIAL INHERITANCE</v>
      </c>
      <c r="P91" s="1" t="str">
        <f>IFERROR(VLOOKUP(H91,Inherited!A:B,2,FALSE),"")</f>
        <v/>
      </c>
      <c r="Q91" s="1" t="e">
        <f>IF(MATCH(H91,Inherited!A:A),IF((((_xlfn.XLOOKUP(Assessment!H92,Inherited!A:A,Inherited!B:B))/100)*(_xlfn.XLOOKUP(Assessment!H92,Inherited!A:A,Inherited!C:C)))+(((100-(_xlfn.XLOOKUP(Assessment!H92,Inherited!A:A,Inherited!B:B)))/100)*IF(X91="1.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(100%)","100"))))))&lt;=10,"0", IF(AND((((_xlfn.XLOOKUP(Assessment!H92,Inherited!A:A,Inherited!B:B))/100)*(_xlfn.XLOOKUP(Assessment!H92,Inherited!A:A,Inherited!C:C)))+(((100-(_xlfn.XLOOKUP(Assessment!H92,Inherited!A:A,Inherited!B:B)))/100)*IF(X91="1.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(100%)","100"))))))&gt;=11,(((_xlfn.XLOOKUP(Assessment!H92,Inherited!A:A,Inherited!B:B))/100)*(_xlfn.XLOOKUP(Assessment!H92,Inherited!A:A,Inherited!C:C)))+(((100-(_xlfn.XLOOKUP(Assessment!H92,Inherited!A:A,Inherited!B:B)))/100)*IF(X91="1.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(100%)","100"))))))&lt;=32),"25",IF(AND((((_xlfn.XLOOKUP(Assessment!H92,Inherited!A:A,Inherited!B:B))/100)*(_xlfn.XLOOKUP(Assessment!H92,Inherited!A:A,Inherited!C:C)))+(((100-(_xlfn.XLOOKUP(Assessment!H92,Inherited!A:A,Inherited!B:B)))/100)*IF(X91="1.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(100%)","100"))))))&gt;=33,(((_xlfn.XLOOKUP(Assessment!H92,Inherited!A:A,Inherited!B:B))/100)*(_xlfn.XLOOKUP(Assessment!H92,Inherited!A:A,Inherited!C:C)))+(((100-(_xlfn.XLOOKUP(Assessment!H92,Inherited!A:A,Inherited!B:B)))/100)*IF(X91="1.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(100%)","100"))))))&lt;=65),"50",IF(AND((((_xlfn.XLOOKUP(Assessment!H92,Inherited!A:A,Inherited!B:B))/100)*(_xlfn.XLOOKUP(Assessment!H92,Inherited!A:A,Inherited!C:C)))+(((100-(_xlfn.XLOOKUP(Assessment!H92,Inherited!A:A,Inherited!B:B)))/100)*IF(X91="1.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(100%)","100"))))))&gt;=66,(((_xlfn.XLOOKUP(Assessment!H92,Inherited!A:A,Inherited!B:B))/100)*(_xlfn.XLOOKUP(Assessment!H92,Inherited!A:A,Inherited!C:C)))+(((100-(_xlfn.XLOOKUP(Assessment!H92,Inherited!A:A,Inherited!B:B)))/100)*IF(X91="1.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(100%)","100"))))))&lt;=89),"75",IF((((_xlfn.XLOOKUP(Assessment!H92,Inherited!A:A,Inherited!B:B))/100)*(_xlfn.XLOOKUP(Assessment!H92,Inherited!A:A,Inherited!C:C)))+(((100-(_xlfn.XLOOKUP(Assessment!H92,Inherited!A:A,Inherited!B:B)))/100)*IF(X91="1. Non Compliant (0%)","0",IF(X91="2. Somewhat Compliant (25%)","25",IF(X91="3. Partially Compliant (50%)","50",IF(X91="4. Mostly Compliant (75%)","75",IF(X91="5. Fully Compliant (100%)","100"))))))&gt;=90,"100"))))))</f>
        <v>#N/A</v>
      </c>
      <c r="R91" s="1" t="e">
        <f>IF(MATCH(H91,Inherited!A:A),IF((((_xlfn.XLOOKUP(Assessment!H92,Inherited!A:A,Inherited!B:B))/100)*(_xlfn.XLOOKUP(Assessment!H92,Inherited!A:A,Inherited!D:D)))+(((100-(_xlfn.XLOOKUP(Assessment!H92,Inherited!A:A,Inherited!B:B)))/100)*IF(Y91="1.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(100%)","100"))))))&lt;=10,"0", IF(AND((((_xlfn.XLOOKUP(Assessment!H92,Inherited!A:A,Inherited!B:B))/100)*(_xlfn.XLOOKUP(Assessment!H92,Inherited!A:A,Inherited!D:D)))+(((100-(_xlfn.XLOOKUP(Assessment!H92,Inherited!A:A,Inherited!B:B)))/100)*IF(Y91="1.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(100%)","100"))))))&gt;=11,(((_xlfn.XLOOKUP(Assessment!H92,Inherited!A:A,Inherited!B:B))/100)*(_xlfn.XLOOKUP(Assessment!H92,Inherited!A:A,Inherited!D:D)))+(((100-(_xlfn.XLOOKUP(Assessment!H92,Inherited!A:A,Inherited!B:B)))/100)*IF(Y91="1.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(100%)","100"))))))&lt;=32),"25",IF(AND((((_xlfn.XLOOKUP(Assessment!H92,Inherited!A:A,Inherited!B:B))/100)*(_xlfn.XLOOKUP(Assessment!H92,Inherited!A:A,Inherited!D:D)))+(((100-(_xlfn.XLOOKUP(Assessment!H92,Inherited!A:A,Inherited!B:B)))/100)*IF(Y91="1.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(100%)","100"))))))&gt;=33,(((_xlfn.XLOOKUP(Assessment!H92,Inherited!A:A,Inherited!B:B))/100)*(_xlfn.XLOOKUP(Assessment!H92,Inherited!A:A,Inherited!D:D)))+(((100-(_xlfn.XLOOKUP(Assessment!H92,Inherited!A:A,Inherited!B:B)))/100)*IF(Y91="1.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(100%)","100"))))))&lt;=65),"50",IF(AND((((_xlfn.XLOOKUP(Assessment!H92,Inherited!A:A,Inherited!B:B))/100)*(_xlfn.XLOOKUP(Assessment!H92,Inherited!A:A,Inherited!D:D)))+(((100-(_xlfn.XLOOKUP(Assessment!H92,Inherited!A:A,Inherited!B:B)))/100)*IF(Y91="1.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(100%)","100"))))))&gt;=66,(((_xlfn.XLOOKUP(Assessment!H92,Inherited!A:A,Inherited!B:B))/100)*(_xlfn.XLOOKUP(Assessment!H92,Inherited!A:A,Inherited!D:D)))+(((100-(_xlfn.XLOOKUP(Assessment!H92,Inherited!A:A,Inherited!B:B)))/100)*IF(Y91="1.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(100%)","100"))))))&lt;=89),"75",IF((((_xlfn.XLOOKUP(Assessment!H92,Inherited!A:A,Inherited!B:B))/100)*(_xlfn.XLOOKUP(Assessment!H92,Inherited!A:A,Inherited!D:D)))+(((100-(_xlfn.XLOOKUP(Assessment!H92,Inherited!A:A,Inherited!B:B)))/100)*IF(Y91="1. Non Compliant (0%)","0",IF(Y91="2. Somewhat Compliant (25%)","25",IF(Y91="3. Partially Compliant (50%)","50",IF(Y91="4. Mostly Compliant (75%)","75",IF(Y91="5. Fully Compliant (100%)","100"))))))&gt;=90,"100"))))))</f>
        <v>#N/A</v>
      </c>
      <c r="S91" s="1" t="e">
        <f>IF(MATCH(H91,Inherited!A:A),IF((((_xlfn.XLOOKUP(Assessment!H92,Inherited!A:A,Inherited!B:B))/100)*(_xlfn.XLOOKUP(Assessment!H92,Inherited!A:A,Inherited!E:E)))+(((100-(_xlfn.XLOOKUP(Assessment!H92,Inherited!A:A,Inherited!B:B)))/100)*IF(Z91="1.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(100%)","100"))))))&lt;=10,"0", IF(AND((((_xlfn.XLOOKUP(Assessment!H92,Inherited!A:A,Inherited!B:B))/100)*(_xlfn.XLOOKUP(Assessment!H92,Inherited!A:A,Inherited!E:E)))+(((100-(_xlfn.XLOOKUP(Assessment!H92,Inherited!A:A,Inherited!B:B)))/100)*IF(Z91="1.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(100%)","100"))))))&gt;=11,(((_xlfn.XLOOKUP(Assessment!H92,Inherited!A:A,Inherited!B:B))/100)*(_xlfn.XLOOKUP(Assessment!H92,Inherited!A:A,Inherited!E:E)))+(((100-(_xlfn.XLOOKUP(Assessment!H92,Inherited!A:A,Inherited!B:B)))/100)*IF(Z91="1.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(100%)","100"))))))&lt;=32),"25",IF(AND((((_xlfn.XLOOKUP(Assessment!H92,Inherited!A:A,Inherited!B:B))/100)*(_xlfn.XLOOKUP(Assessment!H92,Inherited!A:A,Inherited!E:E)))+(((100-(_xlfn.XLOOKUP(Assessment!H92,Inherited!A:A,Inherited!B:B)))/100)*IF(Z91="1.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(100%)","100"))))))&gt;=33,(((_xlfn.XLOOKUP(Assessment!H92,Inherited!A:A,Inherited!B:B))/100)*(_xlfn.XLOOKUP(Assessment!H92,Inherited!A:A,Inherited!E:E)))+(((100-(_xlfn.XLOOKUP(Assessment!H92,Inherited!A:A,Inherited!B:B)))/100)*IF(Z91="1.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(100%)","100"))))))&lt;=65),"50",IF(AND((((_xlfn.XLOOKUP(Assessment!H92,Inherited!A:A,Inherited!B:B))/100)*(_xlfn.XLOOKUP(Assessment!H92,Inherited!A:A,Inherited!E:E)))+(((100-(_xlfn.XLOOKUP(Assessment!H92,Inherited!A:A,Inherited!B:B)))/100)*IF(Z91="1.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(100%)","100"))))))&gt;=66,(((_xlfn.XLOOKUP(Assessment!H92,Inherited!A:A,Inherited!B:B))/100)*(_xlfn.XLOOKUP(Assessment!H92,Inherited!A:A,Inherited!E:E)))+(((100-(_xlfn.XLOOKUP(Assessment!H92,Inherited!A:A,Inherited!B:B)))/100)*IF(Z91="1.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(100%)","100"))))))&lt;=89),"75",IF((((_xlfn.XLOOKUP(Assessment!H92,Inherited!A:A,Inherited!B:B))/100)*(_xlfn.XLOOKUP(Assessment!H92,Inherited!A:A,Inherited!E:E)))+(((100-(_xlfn.XLOOKUP(Assessment!H92,Inherited!A:A,Inherited!B:B)))/100)*IF(Z91="1. Non Compliant (0%)","0",IF(Z91="2. Somewhat Compliant (25%)","25",IF(Z91="3. Partially Compliant (50%)","50",IF(Z91="4. Mostly Compliant (75%)","75",IF(Z91="5. Fully Compliant (100%)","100"))))))&gt;=90,"100"))))))</f>
        <v>#N/A</v>
      </c>
      <c r="T91" s="1" t="e">
        <f>IF(MATCH(H91,Inherited!A:A),IF((((_xlfn.XLOOKUP(Assessment!H92,Inherited!A:A,Inherited!B:B))/100)*(_xlfn.XLOOKUP(Assessment!H92,Inherited!A:A,Inherited!F:F)))+(((100-(_xlfn.XLOOKUP(Assessment!H92,Inherited!A:A,Inherited!B:B)))/100)*IF(AA91="1.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(100%)","100"))))))&lt;=10,"0", IF(AND((((_xlfn.XLOOKUP(Assessment!H92,Inherited!A:A,Inherited!B:B))/100)*(_xlfn.XLOOKUP(Assessment!H92,Inherited!A:A,Inherited!F:F)))+(((100-(_xlfn.XLOOKUP(Assessment!H92,Inherited!A:A,Inherited!B:B)))/100)*IF(AA91="1.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(100%)","100"))))))&gt;=11,(((_xlfn.XLOOKUP(Assessment!H92,Inherited!A:A,Inherited!B:B))/100)*(_xlfn.XLOOKUP(Assessment!H92,Inherited!A:A,Inherited!F:F)))+(((100-(_xlfn.XLOOKUP(Assessment!H92,Inherited!A:A,Inherited!B:B)))/100)*IF(AA91="1.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(100%)","100"))))))&lt;=32),"25",IF(AND((((_xlfn.XLOOKUP(Assessment!H92,Inherited!A:A,Inherited!B:B))/100)*(_xlfn.XLOOKUP(Assessment!H92,Inherited!A:A,Inherited!F:F)))+(((100-(_xlfn.XLOOKUP(Assessment!H92,Inherited!A:A,Inherited!B:B)))/100)*IF(AA91="1.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(100%)","100"))))))&gt;=33,(((_xlfn.XLOOKUP(Assessment!H92,Inherited!A:A,Inherited!B:B))/100)*(_xlfn.XLOOKUP(Assessment!H92,Inherited!A:A,Inherited!F:F)))+(((100-(_xlfn.XLOOKUP(Assessment!H92,Inherited!A:A,Inherited!B:B)))/100)*IF(AA91="1.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(100%)","100"))))))&lt;=65),"50",IF(AND((((_xlfn.XLOOKUP(Assessment!H92,Inherited!A:A,Inherited!B:B))/100)*(_xlfn.XLOOKUP(Assessment!H92,Inherited!A:A,Inherited!F:F)))+(((100-(_xlfn.XLOOKUP(Assessment!H92,Inherited!A:A,Inherited!B:B)))/100)*IF(AA91="1.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(100%)","100"))))))&gt;=66,(((_xlfn.XLOOKUP(Assessment!H92,Inherited!A:A,Inherited!B:B))/100)*(_xlfn.XLOOKUP(Assessment!H92,Inherited!A:A,Inherited!F:F)))+(((100-(_xlfn.XLOOKUP(Assessment!H92,Inherited!A:A,Inherited!B:B)))/100)*IF(AA91="1.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(100%)","100"))))))&lt;=89),"75",IF((((_xlfn.XLOOKUP(Assessment!H92,Inherited!A:A,Inherited!B:B))/100)*(_xlfn.XLOOKUP(Assessment!H92,Inherited!A:A,Inherited!F:F)))+(((100-(_xlfn.XLOOKUP(Assessment!H92,Inherited!A:A,Inherited!B:B)))/100)*IF(AA91="1. Non Compliant (0%)","0",IF(AA91="2. Somewhat Compliant (25%)","25",IF(AA91="3. Partially Compliant (50%)","50",IF(AA91="4. Mostly Compliant (75%)","75",IF(AA91="5. Fully Compliant (100%)","100"))))))&gt;=90,"100"))))))</f>
        <v>#N/A</v>
      </c>
      <c r="U91" s="1" t="e">
        <f>IF(MATCH(H91,Inherited!A:A),IF((((_xlfn.XLOOKUP(Assessment!H92,Inherited!A:A,Inherited!B:B))/100)*(_xlfn.XLOOKUP(Assessment!H92,Inherited!A:A,Inherited!G:G)))+(((100-(_xlfn.XLOOKUP(Assessment!H92,Inherited!A:A,Inherited!B:B)))/100)*IF(AB91="1.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(100%)","100"))))))&lt;=10,"0", IF(AND((((_xlfn.XLOOKUP(Assessment!H92,Inherited!A:A,Inherited!B:B))/100)*(_xlfn.XLOOKUP(Assessment!H92,Inherited!A:A,Inherited!G:G)))+(((100-(_xlfn.XLOOKUP(Assessment!H92,Inherited!A:A,Inherited!B:B)))/100)*IF(AB91="1.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(100%)","100"))))))&gt;=11,(((_xlfn.XLOOKUP(Assessment!H92,Inherited!A:A,Inherited!B:B))/100)*(_xlfn.XLOOKUP(Assessment!H92,Inherited!A:A,Inherited!G:G)))+(((100-(_xlfn.XLOOKUP(Assessment!H92,Inherited!A:A,Inherited!B:B)))/100)*IF(AB91="1.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(100%)","100"))))))&lt;=32),"25",IF(AND((((_xlfn.XLOOKUP(Assessment!H92,Inherited!A:A,Inherited!B:B))/100)*(_xlfn.XLOOKUP(Assessment!H92,Inherited!A:A,Inherited!G:G)))+(((100-(_xlfn.XLOOKUP(Assessment!H92,Inherited!A:A,Inherited!B:B)))/100)*IF(AB91="1.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(100%)","100"))))))&gt;=33,(((_xlfn.XLOOKUP(Assessment!H92,Inherited!A:A,Inherited!B:B))/100)*(_xlfn.XLOOKUP(Assessment!H92,Inherited!A:A,Inherited!G:G)))+(((100-(_xlfn.XLOOKUP(Assessment!H92,Inherited!A:A,Inherited!B:B)))/100)*IF(AB91="1.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(100%)","100"))))))&lt;=65),"50",IF(AND((((_xlfn.XLOOKUP(Assessment!H92,Inherited!A:A,Inherited!B:B))/100)*(_xlfn.XLOOKUP(Assessment!H92,Inherited!A:A,Inherited!G:G)))+(((100-(_xlfn.XLOOKUP(Assessment!H92,Inherited!A:A,Inherited!B:B)))/100)*IF(AB91="1.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(100%)","100"))))))&gt;=66,(((_xlfn.XLOOKUP(Assessment!H92,Inherited!A:A,Inherited!B:B))/100)*(_xlfn.XLOOKUP(Assessment!H92,Inherited!A:A,Inherited!G:G)))+(((100-(_xlfn.XLOOKUP(Assessment!H92,Inherited!A:A,Inherited!B:B)))/100)*IF(AB91="1.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(100%)","100"))))))&lt;=89),"75",IF((((_xlfn.XLOOKUP(Assessment!H92,Inherited!A:A,Inherited!B:B))/100)*(_xlfn.XLOOKUP(Assessment!H92,Inherited!A:A,Inherited!G:G)))+(((100-(_xlfn.XLOOKUP(Assessment!H92,Inherited!A:A,Inherited!B:B)))/100)*IF(AB91="1. Non Compliant (0%)","0",IF(AB91="2. Somewhat Compliant (25%)","25",IF(AB91="3. Partially Compliant (50%)","50",IF(AB91="4. Mostly Compliant (75%)","75",IF(AB91="5. Fully Compliant (100%)","100"))))))&gt;=90,"100"))))))</f>
        <v>#N/A</v>
      </c>
      <c r="V91" s="55" t="s">
        <v>85</v>
      </c>
      <c r="W91" s="55"/>
      <c r="X91" s="55"/>
      <c r="Y91" s="55"/>
      <c r="Z91" s="55" t="s">
        <v>88</v>
      </c>
      <c r="AA91" s="55"/>
      <c r="AB91" s="55"/>
      <c r="AK91" s="1" t="s">
        <v>10891</v>
      </c>
      <c r="AL91" s="1" t="s">
        <v>10902</v>
      </c>
      <c r="AP91" s="85" t="s">
        <v>10932</v>
      </c>
      <c r="AX91" s="3" t="str">
        <f>_xlfn.CONCAT("A-LIGN finished its review of this control on ",AR91, " during the scheduled fieldwork window (",Intro!$B$4,")."&amp; CHAR(10)&amp; CHAR(10))</f>
        <v xml:space="preserve">A-LIGN finished its review of this control on  during the scheduled fieldwork window (Fieldwork: xx/xx/xxxx - xx/xx/xxxx).
</v>
      </c>
      <c r="AY91" s="3" t="str">
        <f t="shared" si="170"/>
        <v/>
      </c>
      <c r="AZ91" s="3" t="str">
        <f t="shared" si="171"/>
        <v/>
      </c>
      <c r="BA91" s="3" t="str">
        <f t="shared" si="172"/>
        <v/>
      </c>
      <c r="BB91" s="3" t="str">
        <f t="shared" si="173"/>
        <v xml:space="preserve">Inquired of the following workforce member: 
Matthew Macaluso - Director of System Operations
Roze Nicolas - Director of TechOps
Inquiry lead to the following conclusions: 
MFA is required for tech roles but it is not enforced throughout the organization.
</v>
      </c>
      <c r="BC91" s="3" t="str">
        <f t="shared" si="174"/>
        <v/>
      </c>
      <c r="BD91" s="3" t="str">
        <f t="shared" si="175"/>
        <v xml:space="preserve">Examined the following evidence during fieldwork:
Reviewed evidence addressed the requirement statement.
Reviewed evidence exception note: 
Gap: MFA is not currently enforced by default throughout the organization.
Recommendation: Management should ensure that MFA is technically enforced for all access to the in-scope environment.
</v>
      </c>
      <c r="BE91" s="3" t="str">
        <f t="shared" si="176"/>
        <v/>
      </c>
      <c r="BF91" s="3" t="str">
        <f t="shared" si="177"/>
        <v/>
      </c>
      <c r="BG91" s="3" t="str">
        <f>_xlfn.CONCAT((IF((COUNTIF('Sample Tables'!B:B,"")&gt;0)=TRUE,_xlfn.CONCAT("",""),IF((COUNTIF('Sample Tables'!B:B,"")&gt;0)=FALSE,""))),)</f>
        <v/>
      </c>
      <c r="BH91" s="3" t="str">
        <f t="shared" si="17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MFA is required for tech roles but it is not enforced throughout the organization.
Examined the following evidence during fieldwork:
Reviewed evidence addressed the requirement statement.
Reviewed evidence exception note: 
Gap: MFA is not currently enforced by default throughout the organization.
Recommendation: Management should ensure that MFA is technically enforced for all access to the in-scope environment.
</v>
      </c>
    </row>
    <row r="92" spans="3:60" ht="337.5" x14ac:dyDescent="0.35">
      <c r="C92" s="1">
        <f t="shared" si="179"/>
        <v>20</v>
      </c>
      <c r="D92" s="5" t="str">
        <f>IF(AND((_xlfn.XLOOKUP(J92,'Fields &amp; Revisions'!$H:$H,'Fields &amp; Revisions'!$I:$I))&lt;70.99,(OR(Z92="4. Mostly Compliant (75%)",Z92="3. Partially Compliant (50%)",Z92="2. Somewhat Compliant (25%)",Z92="1. Non Compliant (0%)"))),"Yes","No")</f>
        <v>Yes</v>
      </c>
      <c r="E92" s="5" t="str">
        <f>IF(ISERROR(VLOOKUP(H92,Scope!A:A,1,FALSE)),"No","Yes")</f>
        <v>Yes</v>
      </c>
      <c r="F92" s="1" t="s">
        <v>2424</v>
      </c>
      <c r="G92" s="53" t="s">
        <v>2578</v>
      </c>
      <c r="H92" s="53" t="s">
        <v>2579</v>
      </c>
      <c r="I92" s="5">
        <v>1</v>
      </c>
      <c r="J92" s="1" t="s">
        <v>2051</v>
      </c>
      <c r="K92" s="1" t="s">
        <v>2580</v>
      </c>
      <c r="L92" s="1" t="s">
        <v>2581</v>
      </c>
      <c r="M92" s="1" t="s">
        <v>2582</v>
      </c>
      <c r="N92" s="5" t="s">
        <v>98</v>
      </c>
      <c r="O92" s="1" t="str">
        <f>_xlfn.XLOOKUP(G92,SRMs!$A:$A,SRMs!$D:$D)</f>
        <v>PARTIAL INHERITANCE</v>
      </c>
      <c r="P92" s="1" t="str">
        <f>IFERROR(VLOOKUP(H92,Inherited!A:B,2,FALSE),"")</f>
        <v/>
      </c>
      <c r="Q92" s="1" t="e">
        <f>IF(MATCH(H92,Inherited!A:A),IF((((_xlfn.XLOOKUP(Assessment!#REF!,Inherited!A:A,Inherited!B:B))/100)*(_xlfn.XLOOKUP(Assessment!#REF!,Inherited!A:A,Inherited!C:C)))+(((100-(_xlfn.XLOOKUP(Assessment!#REF!,Inherited!A:A,Inherited!B:B)))/100)*IF(X92="1.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(100%)","100"))))))&lt;=10,"0", IF(AND((((_xlfn.XLOOKUP(Assessment!#REF!,Inherited!A:A,Inherited!B:B))/100)*(_xlfn.XLOOKUP(Assessment!#REF!,Inherited!A:A,Inherited!C:C)))+(((100-(_xlfn.XLOOKUP(Assessment!#REF!,Inherited!A:A,Inherited!B:B)))/100)*IF(X92="1.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(100%)","100"))))))&gt;=11,(((_xlfn.XLOOKUP(Assessment!#REF!,Inherited!A:A,Inherited!B:B))/100)*(_xlfn.XLOOKUP(Assessment!#REF!,Inherited!A:A,Inherited!C:C)))+(((100-(_xlfn.XLOOKUP(Assessment!#REF!,Inherited!A:A,Inherited!B:B)))/100)*IF(X92="1.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(100%)","100"))))))&lt;=32),"25",IF(AND((((_xlfn.XLOOKUP(Assessment!#REF!,Inherited!A:A,Inherited!B:B))/100)*(_xlfn.XLOOKUP(Assessment!#REF!,Inherited!A:A,Inherited!C:C)))+(((100-(_xlfn.XLOOKUP(Assessment!#REF!,Inherited!A:A,Inherited!B:B)))/100)*IF(X92="1.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(100%)","100"))))))&gt;=33,(((_xlfn.XLOOKUP(Assessment!#REF!,Inherited!A:A,Inherited!B:B))/100)*(_xlfn.XLOOKUP(Assessment!#REF!,Inherited!A:A,Inherited!C:C)))+(((100-(_xlfn.XLOOKUP(Assessment!#REF!,Inherited!A:A,Inherited!B:B)))/100)*IF(X92="1.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(100%)","100"))))))&lt;=65),"50",IF(AND((((_xlfn.XLOOKUP(Assessment!#REF!,Inherited!A:A,Inherited!B:B))/100)*(_xlfn.XLOOKUP(Assessment!#REF!,Inherited!A:A,Inherited!C:C)))+(((100-(_xlfn.XLOOKUP(Assessment!#REF!,Inherited!A:A,Inherited!B:B)))/100)*IF(X92="1.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(100%)","100"))))))&gt;=66,(((_xlfn.XLOOKUP(Assessment!#REF!,Inherited!A:A,Inherited!B:B))/100)*(_xlfn.XLOOKUP(Assessment!#REF!,Inherited!A:A,Inherited!C:C)))+(((100-(_xlfn.XLOOKUP(Assessment!#REF!,Inherited!A:A,Inherited!B:B)))/100)*IF(X92="1.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(100%)","100"))))))&lt;=89),"75",IF((((_xlfn.XLOOKUP(Assessment!#REF!,Inherited!A:A,Inherited!B:B))/100)*(_xlfn.XLOOKUP(Assessment!#REF!,Inherited!A:A,Inherited!C:C)))+(((100-(_xlfn.XLOOKUP(Assessment!#REF!,Inherited!A:A,Inherited!B:B)))/100)*IF(X92="1. Non Compliant (0%)","0",IF(X92="2. Somewhat Compliant (25%)","25",IF(X92="3. Partially Compliant (50%)","50",IF(X92="4. Mostly Compliant (75%)","75",IF(X92="5. Fully Compliant (100%)","100"))))))&gt;=90,"100"))))))</f>
        <v>#N/A</v>
      </c>
      <c r="R92" s="1" t="e">
        <f>IF(MATCH(H92,Inherited!A:A),IF((((_xlfn.XLOOKUP(Assessment!#REF!,Inherited!A:A,Inherited!B:B))/100)*(_xlfn.XLOOKUP(Assessment!#REF!,Inherited!A:A,Inherited!D:D)))+(((100-(_xlfn.XLOOKUP(Assessment!#REF!,Inherited!A:A,Inherited!B:B)))/100)*IF(Y92="1.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(100%)","100"))))))&lt;=10,"0", IF(AND((((_xlfn.XLOOKUP(Assessment!#REF!,Inherited!A:A,Inherited!B:B))/100)*(_xlfn.XLOOKUP(Assessment!#REF!,Inherited!A:A,Inherited!D:D)))+(((100-(_xlfn.XLOOKUP(Assessment!#REF!,Inherited!A:A,Inherited!B:B)))/100)*IF(Y92="1.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(100%)","100"))))))&gt;=11,(((_xlfn.XLOOKUP(Assessment!#REF!,Inherited!A:A,Inherited!B:B))/100)*(_xlfn.XLOOKUP(Assessment!#REF!,Inherited!A:A,Inherited!D:D)))+(((100-(_xlfn.XLOOKUP(Assessment!#REF!,Inherited!A:A,Inherited!B:B)))/100)*IF(Y92="1.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(100%)","100"))))))&lt;=32),"25",IF(AND((((_xlfn.XLOOKUP(Assessment!#REF!,Inherited!A:A,Inherited!B:B))/100)*(_xlfn.XLOOKUP(Assessment!#REF!,Inherited!A:A,Inherited!D:D)))+(((100-(_xlfn.XLOOKUP(Assessment!#REF!,Inherited!A:A,Inherited!B:B)))/100)*IF(Y92="1.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(100%)","100"))))))&gt;=33,(((_xlfn.XLOOKUP(Assessment!#REF!,Inherited!A:A,Inherited!B:B))/100)*(_xlfn.XLOOKUP(Assessment!#REF!,Inherited!A:A,Inherited!D:D)))+(((100-(_xlfn.XLOOKUP(Assessment!#REF!,Inherited!A:A,Inherited!B:B)))/100)*IF(Y92="1.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(100%)","100"))))))&lt;=65),"50",IF(AND((((_xlfn.XLOOKUP(Assessment!#REF!,Inherited!A:A,Inherited!B:B))/100)*(_xlfn.XLOOKUP(Assessment!#REF!,Inherited!A:A,Inherited!D:D)))+(((100-(_xlfn.XLOOKUP(Assessment!#REF!,Inherited!A:A,Inherited!B:B)))/100)*IF(Y92="1.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(100%)","100"))))))&gt;=66,(((_xlfn.XLOOKUP(Assessment!#REF!,Inherited!A:A,Inherited!B:B))/100)*(_xlfn.XLOOKUP(Assessment!#REF!,Inherited!A:A,Inherited!D:D)))+(((100-(_xlfn.XLOOKUP(Assessment!#REF!,Inherited!A:A,Inherited!B:B)))/100)*IF(Y92="1.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(100%)","100"))))))&lt;=89),"75",IF((((_xlfn.XLOOKUP(Assessment!#REF!,Inherited!A:A,Inherited!B:B))/100)*(_xlfn.XLOOKUP(Assessment!#REF!,Inherited!A:A,Inherited!D:D)))+(((100-(_xlfn.XLOOKUP(Assessment!#REF!,Inherited!A:A,Inherited!B:B)))/100)*IF(Y92="1. Non Compliant (0%)","0",IF(Y92="2. Somewhat Compliant (25%)","25",IF(Y92="3. Partially Compliant (50%)","50",IF(Y92="4. Mostly Compliant (75%)","75",IF(Y92="5. Fully Compliant (100%)","100"))))))&gt;=90,"100"))))))</f>
        <v>#N/A</v>
      </c>
      <c r="S92" s="1" t="e">
        <f>IF(MATCH(H92,Inherited!A:A),IF((((_xlfn.XLOOKUP(Assessment!#REF!,Inherited!A:A,Inherited!B:B))/100)*(_xlfn.XLOOKUP(Assessment!#REF!,Inherited!A:A,Inherited!E:E)))+(((100-(_xlfn.XLOOKUP(Assessment!#REF!,Inherited!A:A,Inherited!B:B)))/100)*IF(Z92="1.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(100%)","100"))))))&lt;=10,"0", IF(AND((((_xlfn.XLOOKUP(Assessment!#REF!,Inherited!A:A,Inherited!B:B))/100)*(_xlfn.XLOOKUP(Assessment!#REF!,Inherited!A:A,Inherited!E:E)))+(((100-(_xlfn.XLOOKUP(Assessment!#REF!,Inherited!A:A,Inherited!B:B)))/100)*IF(Z92="1.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(100%)","100"))))))&gt;=11,(((_xlfn.XLOOKUP(Assessment!#REF!,Inherited!A:A,Inherited!B:B))/100)*(_xlfn.XLOOKUP(Assessment!#REF!,Inherited!A:A,Inherited!E:E)))+(((100-(_xlfn.XLOOKUP(Assessment!#REF!,Inherited!A:A,Inherited!B:B)))/100)*IF(Z92="1.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(100%)","100"))))))&lt;=32),"25",IF(AND((((_xlfn.XLOOKUP(Assessment!#REF!,Inherited!A:A,Inherited!B:B))/100)*(_xlfn.XLOOKUP(Assessment!#REF!,Inherited!A:A,Inherited!E:E)))+(((100-(_xlfn.XLOOKUP(Assessment!#REF!,Inherited!A:A,Inherited!B:B)))/100)*IF(Z92="1.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(100%)","100"))))))&gt;=33,(((_xlfn.XLOOKUP(Assessment!#REF!,Inherited!A:A,Inherited!B:B))/100)*(_xlfn.XLOOKUP(Assessment!#REF!,Inherited!A:A,Inherited!E:E)))+(((100-(_xlfn.XLOOKUP(Assessment!#REF!,Inherited!A:A,Inherited!B:B)))/100)*IF(Z92="1.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(100%)","100"))))))&lt;=65),"50",IF(AND((((_xlfn.XLOOKUP(Assessment!#REF!,Inherited!A:A,Inherited!B:B))/100)*(_xlfn.XLOOKUP(Assessment!#REF!,Inherited!A:A,Inherited!E:E)))+(((100-(_xlfn.XLOOKUP(Assessment!#REF!,Inherited!A:A,Inherited!B:B)))/100)*IF(Z92="1.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(100%)","100"))))))&gt;=66,(((_xlfn.XLOOKUP(Assessment!#REF!,Inherited!A:A,Inherited!B:B))/100)*(_xlfn.XLOOKUP(Assessment!#REF!,Inherited!A:A,Inherited!E:E)))+(((100-(_xlfn.XLOOKUP(Assessment!#REF!,Inherited!A:A,Inherited!B:B)))/100)*IF(Z92="1.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(100%)","100"))))))&lt;=89),"75",IF((((_xlfn.XLOOKUP(Assessment!#REF!,Inherited!A:A,Inherited!B:B))/100)*(_xlfn.XLOOKUP(Assessment!#REF!,Inherited!A:A,Inherited!E:E)))+(((100-(_xlfn.XLOOKUP(Assessment!#REF!,Inherited!A:A,Inherited!B:B)))/100)*IF(Z92="1. Non Compliant (0%)","0",IF(Z92="2. Somewhat Compliant (25%)","25",IF(Z92="3. Partially Compliant (50%)","50",IF(Z92="4. Mostly Compliant (75%)","75",IF(Z92="5. Fully Compliant (100%)","100"))))))&gt;=90,"100"))))))</f>
        <v>#N/A</v>
      </c>
      <c r="T92" s="1" t="e">
        <f>IF(MATCH(H92,Inherited!A:A),IF((((_xlfn.XLOOKUP(Assessment!#REF!,Inherited!A:A,Inherited!B:B))/100)*(_xlfn.XLOOKUP(Assessment!#REF!,Inherited!A:A,Inherited!F:F)))+(((100-(_xlfn.XLOOKUP(Assessment!#REF!,Inherited!A:A,Inherited!B:B)))/100)*IF(AA92="1.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(100%)","100"))))))&lt;=10,"0", IF(AND((((_xlfn.XLOOKUP(Assessment!#REF!,Inherited!A:A,Inherited!B:B))/100)*(_xlfn.XLOOKUP(Assessment!#REF!,Inherited!A:A,Inherited!F:F)))+(((100-(_xlfn.XLOOKUP(Assessment!#REF!,Inherited!A:A,Inherited!B:B)))/100)*IF(AA92="1.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(100%)","100"))))))&gt;=11,(((_xlfn.XLOOKUP(Assessment!#REF!,Inherited!A:A,Inherited!B:B))/100)*(_xlfn.XLOOKUP(Assessment!#REF!,Inherited!A:A,Inherited!F:F)))+(((100-(_xlfn.XLOOKUP(Assessment!#REF!,Inherited!A:A,Inherited!B:B)))/100)*IF(AA92="1.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(100%)","100"))))))&lt;=32),"25",IF(AND((((_xlfn.XLOOKUP(Assessment!#REF!,Inherited!A:A,Inherited!B:B))/100)*(_xlfn.XLOOKUP(Assessment!#REF!,Inherited!A:A,Inherited!F:F)))+(((100-(_xlfn.XLOOKUP(Assessment!#REF!,Inherited!A:A,Inherited!B:B)))/100)*IF(AA92="1.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(100%)","100"))))))&gt;=33,(((_xlfn.XLOOKUP(Assessment!#REF!,Inherited!A:A,Inherited!B:B))/100)*(_xlfn.XLOOKUP(Assessment!#REF!,Inherited!A:A,Inherited!F:F)))+(((100-(_xlfn.XLOOKUP(Assessment!#REF!,Inherited!A:A,Inherited!B:B)))/100)*IF(AA92="1.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(100%)","100"))))))&lt;=65),"50",IF(AND((((_xlfn.XLOOKUP(Assessment!#REF!,Inherited!A:A,Inherited!B:B))/100)*(_xlfn.XLOOKUP(Assessment!#REF!,Inherited!A:A,Inherited!F:F)))+(((100-(_xlfn.XLOOKUP(Assessment!#REF!,Inherited!A:A,Inherited!B:B)))/100)*IF(AA92="1.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(100%)","100"))))))&gt;=66,(((_xlfn.XLOOKUP(Assessment!#REF!,Inherited!A:A,Inherited!B:B))/100)*(_xlfn.XLOOKUP(Assessment!#REF!,Inherited!A:A,Inherited!F:F)))+(((100-(_xlfn.XLOOKUP(Assessment!#REF!,Inherited!A:A,Inherited!B:B)))/100)*IF(AA92="1.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(100%)","100"))))))&lt;=89),"75",IF((((_xlfn.XLOOKUP(Assessment!#REF!,Inherited!A:A,Inherited!B:B))/100)*(_xlfn.XLOOKUP(Assessment!#REF!,Inherited!A:A,Inherited!F:F)))+(((100-(_xlfn.XLOOKUP(Assessment!#REF!,Inherited!A:A,Inherited!B:B)))/100)*IF(AA92="1. Non Compliant (0%)","0",IF(AA92="2. Somewhat Compliant (25%)","25",IF(AA92="3. Partially Compliant (50%)","50",IF(AA92="4. Mostly Compliant (75%)","75",IF(AA92="5. Fully Compliant (100%)","100"))))))&gt;=90,"100"))))))</f>
        <v>#N/A</v>
      </c>
      <c r="U92" s="1" t="e">
        <f>IF(MATCH(H92,Inherited!A:A),IF((((_xlfn.XLOOKUP(Assessment!#REF!,Inherited!A:A,Inherited!B:B))/100)*(_xlfn.XLOOKUP(Assessment!#REF!,Inherited!A:A,Inherited!G:G)))+(((100-(_xlfn.XLOOKUP(Assessment!#REF!,Inherited!A:A,Inherited!B:B)))/100)*IF(AB92="1.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(100%)","100"))))))&lt;=10,"0", IF(AND((((_xlfn.XLOOKUP(Assessment!#REF!,Inherited!A:A,Inherited!B:B))/100)*(_xlfn.XLOOKUP(Assessment!#REF!,Inherited!A:A,Inherited!G:G)))+(((100-(_xlfn.XLOOKUP(Assessment!#REF!,Inherited!A:A,Inherited!B:B)))/100)*IF(AB92="1.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(100%)","100"))))))&gt;=11,(((_xlfn.XLOOKUP(Assessment!#REF!,Inherited!A:A,Inherited!B:B))/100)*(_xlfn.XLOOKUP(Assessment!#REF!,Inherited!A:A,Inherited!G:G)))+(((100-(_xlfn.XLOOKUP(Assessment!#REF!,Inherited!A:A,Inherited!B:B)))/100)*IF(AB92="1.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(100%)","100"))))))&lt;=32),"25",IF(AND((((_xlfn.XLOOKUP(Assessment!#REF!,Inherited!A:A,Inherited!B:B))/100)*(_xlfn.XLOOKUP(Assessment!#REF!,Inherited!A:A,Inherited!G:G)))+(((100-(_xlfn.XLOOKUP(Assessment!#REF!,Inherited!A:A,Inherited!B:B)))/100)*IF(AB92="1.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(100%)","100"))))))&gt;=33,(((_xlfn.XLOOKUP(Assessment!#REF!,Inherited!A:A,Inherited!B:B))/100)*(_xlfn.XLOOKUP(Assessment!#REF!,Inherited!A:A,Inherited!G:G)))+(((100-(_xlfn.XLOOKUP(Assessment!#REF!,Inherited!A:A,Inherited!B:B)))/100)*IF(AB92="1.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(100%)","100"))))))&lt;=65),"50",IF(AND((((_xlfn.XLOOKUP(Assessment!#REF!,Inherited!A:A,Inherited!B:B))/100)*(_xlfn.XLOOKUP(Assessment!#REF!,Inherited!A:A,Inherited!G:G)))+(((100-(_xlfn.XLOOKUP(Assessment!#REF!,Inherited!A:A,Inherited!B:B)))/100)*IF(AB92="1.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(100%)","100"))))))&gt;=66,(((_xlfn.XLOOKUP(Assessment!#REF!,Inherited!A:A,Inherited!B:B))/100)*(_xlfn.XLOOKUP(Assessment!#REF!,Inherited!A:A,Inherited!G:G)))+(((100-(_xlfn.XLOOKUP(Assessment!#REF!,Inherited!A:A,Inherited!B:B)))/100)*IF(AB92="1.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(100%)","100"))))))&lt;=89),"75",IF((((_xlfn.XLOOKUP(Assessment!#REF!,Inherited!A:A,Inherited!B:B))/100)*(_xlfn.XLOOKUP(Assessment!#REF!,Inherited!A:A,Inherited!G:G)))+(((100-(_xlfn.XLOOKUP(Assessment!#REF!,Inherited!A:A,Inherited!B:B)))/100)*IF(AB92="1. Non Compliant (0%)","0",IF(AB92="2. Somewhat Compliant (25%)","25",IF(AB92="3. Partially Compliant (50%)","50",IF(AB92="4. Mostly Compliant (75%)","75",IF(AB92="5. Fully Compliant (100%)","100"))))))&gt;=90,"100"))))))</f>
        <v>#N/A</v>
      </c>
      <c r="V92" s="55" t="s">
        <v>85</v>
      </c>
      <c r="W92" s="55"/>
      <c r="X92" s="55"/>
      <c r="Y92" s="55"/>
      <c r="Z92" s="55" t="s">
        <v>88</v>
      </c>
      <c r="AA92" s="55"/>
      <c r="AB92" s="55"/>
      <c r="AK92" s="1" t="s">
        <v>10891</v>
      </c>
      <c r="AL92" s="1" t="s">
        <v>10903</v>
      </c>
      <c r="AP92" s="85" t="s">
        <v>10932</v>
      </c>
      <c r="AX92" s="3" t="str">
        <f>_xlfn.CONCAT("A-LIGN finished its review of this control on ",AR92, " during the scheduled fieldwork window (",Intro!$B$4,")."&amp; CHAR(10)&amp; CHAR(10))</f>
        <v xml:space="preserve">A-LIGN finished its review of this control on  during the scheduled fieldwork window (Fieldwork: xx/xx/xxxx - xx/xx/xxxx).
</v>
      </c>
      <c r="AY92" s="3" t="str">
        <f t="shared" si="170"/>
        <v/>
      </c>
      <c r="AZ92" s="3" t="str">
        <f t="shared" si="171"/>
        <v/>
      </c>
      <c r="BA92" s="3" t="str">
        <f t="shared" si="172"/>
        <v/>
      </c>
      <c r="BB92" s="3" t="str">
        <f t="shared" si="173"/>
        <v xml:space="preserve">Inquired of the following workforce member: 
Matthew Macaluso - Director of System Operations
Roze Nicolas - Director of TechOps
Inquiry lead to the following conclusions: 
Not currently enforced, but moving into requiring MFA for all access, including remote like VPNs.
</v>
      </c>
      <c r="BC92" s="3" t="str">
        <f t="shared" si="174"/>
        <v/>
      </c>
      <c r="BD92" s="3" t="str">
        <f t="shared" si="175"/>
        <v xml:space="preserve">Examined the following evidence during fieldwork:
Reviewed evidence addressed the requirement statement.
Reviewed evidence exception note: 
Gap: MFA is not currently enforced by default throughout the organization.
Recommendation: Management should ensure that MFA is technically enforced for all access to the in-scope environment.
</v>
      </c>
      <c r="BE92" s="3" t="str">
        <f t="shared" si="176"/>
        <v/>
      </c>
      <c r="BF92" s="3" t="str">
        <f t="shared" si="177"/>
        <v/>
      </c>
      <c r="BG92" s="3" t="str">
        <f>_xlfn.CONCAT((IF((COUNTIF('Sample Tables'!B:B,"")&gt;0)=TRUE,_xlfn.CONCAT("",""),IF((COUNTIF('Sample Tables'!B:B,"")&gt;0)=FALSE,""))),)</f>
        <v/>
      </c>
      <c r="BH92" s="3" t="str">
        <f t="shared" si="17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Not currently enforced, but moving into requiring MFA for all access, including remote like VPNs.
Examined the following evidence during fieldwork:
Reviewed evidence addressed the requirement statement.
Reviewed evidence exception note: 
Gap: MFA is not currently enforced by default throughout the organization.
Recommendation: Management should ensure that MFA is technically enforced for all access to the in-scope environment.
</v>
      </c>
    </row>
    <row r="93" spans="3:60" ht="409.5" x14ac:dyDescent="0.35">
      <c r="C93" s="1">
        <f t="shared" si="179"/>
        <v>0</v>
      </c>
      <c r="D93" s="5" t="str">
        <f>IF(AND((_xlfn.XLOOKUP(J93,'Fields &amp; Revisions'!$H:$H,'Fields &amp; Revisions'!$I:$I))&lt;70.99,(OR(Z93="4. Mostly Compliant (75%)",Z93="3. Partially Compliant (50%)",Z93="2. Somewhat Compliant (25%)",Z93="1. Non Compliant (0%)"))),"Yes","No")</f>
        <v>Yes</v>
      </c>
      <c r="E93" s="5" t="str">
        <f>IF(ISERROR(VLOOKUP(H93,Scope!A:A,1,FALSE)),"No","Yes")</f>
        <v>Yes</v>
      </c>
      <c r="F93" s="1" t="s">
        <v>2424</v>
      </c>
      <c r="G93" s="53" t="s">
        <v>2635</v>
      </c>
      <c r="H93" s="53" t="s">
        <v>2636</v>
      </c>
      <c r="I93" s="5" t="s">
        <v>93</v>
      </c>
      <c r="J93" s="1" t="s">
        <v>2637</v>
      </c>
      <c r="K93" s="54" t="s">
        <v>2638</v>
      </c>
      <c r="L93" s="1" t="s">
        <v>2639</v>
      </c>
      <c r="M93" s="1" t="s">
        <v>2640</v>
      </c>
      <c r="N93" s="5" t="s">
        <v>98</v>
      </c>
      <c r="O93" s="1" t="str">
        <f>_xlfn.XLOOKUP(G93,SRMs!$A:$A,SRMs!$D:$D)</f>
        <v>NO INHERITANCE</v>
      </c>
      <c r="P93" s="1" t="str">
        <f>IFERROR(VLOOKUP(H93,Inherited!A:B,2,FALSE),"")</f>
        <v/>
      </c>
      <c r="Q93" s="1" t="e">
        <f>IF(MATCH(H93,Inherited!A:A),IF((((_xlfn.XLOOKUP(Assessment!#REF!,Inherited!A:A,Inherited!B:B))/100)*(_xlfn.XLOOKUP(Assessment!#REF!,Inherited!A:A,Inherited!C:C)))+(((100-(_xlfn.XLOOKUP(Assessment!#REF!,Inherited!A:A,Inherited!B:B)))/100)*IF(X93="1.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(100%)","100"))))))&lt;=10,"0", IF(AND((((_xlfn.XLOOKUP(Assessment!#REF!,Inherited!A:A,Inherited!B:B))/100)*(_xlfn.XLOOKUP(Assessment!#REF!,Inherited!A:A,Inherited!C:C)))+(((100-(_xlfn.XLOOKUP(Assessment!#REF!,Inherited!A:A,Inherited!B:B)))/100)*IF(X93="1.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(100%)","100"))))))&gt;=11,(((_xlfn.XLOOKUP(Assessment!#REF!,Inherited!A:A,Inherited!B:B))/100)*(_xlfn.XLOOKUP(Assessment!#REF!,Inherited!A:A,Inherited!C:C)))+(((100-(_xlfn.XLOOKUP(Assessment!#REF!,Inherited!A:A,Inherited!B:B)))/100)*IF(X93="1.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(100%)","100"))))))&lt;=32),"25",IF(AND((((_xlfn.XLOOKUP(Assessment!#REF!,Inherited!A:A,Inherited!B:B))/100)*(_xlfn.XLOOKUP(Assessment!#REF!,Inherited!A:A,Inherited!C:C)))+(((100-(_xlfn.XLOOKUP(Assessment!#REF!,Inherited!A:A,Inherited!B:B)))/100)*IF(X93="1.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(100%)","100"))))))&gt;=33,(((_xlfn.XLOOKUP(Assessment!#REF!,Inherited!A:A,Inherited!B:B))/100)*(_xlfn.XLOOKUP(Assessment!#REF!,Inherited!A:A,Inherited!C:C)))+(((100-(_xlfn.XLOOKUP(Assessment!#REF!,Inherited!A:A,Inherited!B:B)))/100)*IF(X93="1.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(100%)","100"))))))&lt;=65),"50",IF(AND((((_xlfn.XLOOKUP(Assessment!#REF!,Inherited!A:A,Inherited!B:B))/100)*(_xlfn.XLOOKUP(Assessment!#REF!,Inherited!A:A,Inherited!C:C)))+(((100-(_xlfn.XLOOKUP(Assessment!#REF!,Inherited!A:A,Inherited!B:B)))/100)*IF(X93="1.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(100%)","100"))))))&gt;=66,(((_xlfn.XLOOKUP(Assessment!#REF!,Inherited!A:A,Inherited!B:B))/100)*(_xlfn.XLOOKUP(Assessment!#REF!,Inherited!A:A,Inherited!C:C)))+(((100-(_xlfn.XLOOKUP(Assessment!#REF!,Inherited!A:A,Inherited!B:B)))/100)*IF(X93="1.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(100%)","100"))))))&lt;=89),"75",IF((((_xlfn.XLOOKUP(Assessment!#REF!,Inherited!A:A,Inherited!B:B))/100)*(_xlfn.XLOOKUP(Assessment!#REF!,Inherited!A:A,Inherited!C:C)))+(((100-(_xlfn.XLOOKUP(Assessment!#REF!,Inherited!A:A,Inherited!B:B)))/100)*IF(X93="1. Non Compliant (0%)","0",IF(X93="2. Somewhat Compliant (25%)","25",IF(X93="3. Partially Compliant (50%)","50",IF(X93="4. Mostly Compliant (75%)","75",IF(X93="5. Fully Compliant (100%)","100"))))))&gt;=90,"100"))))))</f>
        <v>#N/A</v>
      </c>
      <c r="R93" s="1" t="e">
        <f>IF(MATCH(H93,Inherited!A:A),IF((((_xlfn.XLOOKUP(Assessment!#REF!,Inherited!A:A,Inherited!B:B))/100)*(_xlfn.XLOOKUP(Assessment!#REF!,Inherited!A:A,Inherited!D:D)))+(((100-(_xlfn.XLOOKUP(Assessment!#REF!,Inherited!A:A,Inherited!B:B)))/100)*IF(Y93="1.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(100%)","100"))))))&lt;=10,"0", IF(AND((((_xlfn.XLOOKUP(Assessment!#REF!,Inherited!A:A,Inherited!B:B))/100)*(_xlfn.XLOOKUP(Assessment!#REF!,Inherited!A:A,Inherited!D:D)))+(((100-(_xlfn.XLOOKUP(Assessment!#REF!,Inherited!A:A,Inherited!B:B)))/100)*IF(Y93="1.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(100%)","100"))))))&gt;=11,(((_xlfn.XLOOKUP(Assessment!#REF!,Inherited!A:A,Inherited!B:B))/100)*(_xlfn.XLOOKUP(Assessment!#REF!,Inherited!A:A,Inherited!D:D)))+(((100-(_xlfn.XLOOKUP(Assessment!#REF!,Inherited!A:A,Inherited!B:B)))/100)*IF(Y93="1.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(100%)","100"))))))&lt;=32),"25",IF(AND((((_xlfn.XLOOKUP(Assessment!#REF!,Inherited!A:A,Inherited!B:B))/100)*(_xlfn.XLOOKUP(Assessment!#REF!,Inherited!A:A,Inherited!D:D)))+(((100-(_xlfn.XLOOKUP(Assessment!#REF!,Inherited!A:A,Inherited!B:B)))/100)*IF(Y93="1.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(100%)","100"))))))&gt;=33,(((_xlfn.XLOOKUP(Assessment!#REF!,Inherited!A:A,Inherited!B:B))/100)*(_xlfn.XLOOKUP(Assessment!#REF!,Inherited!A:A,Inherited!D:D)))+(((100-(_xlfn.XLOOKUP(Assessment!#REF!,Inherited!A:A,Inherited!B:B)))/100)*IF(Y93="1.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(100%)","100"))))))&lt;=65),"50",IF(AND((((_xlfn.XLOOKUP(Assessment!#REF!,Inherited!A:A,Inherited!B:B))/100)*(_xlfn.XLOOKUP(Assessment!#REF!,Inherited!A:A,Inherited!D:D)))+(((100-(_xlfn.XLOOKUP(Assessment!#REF!,Inherited!A:A,Inherited!B:B)))/100)*IF(Y93="1.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(100%)","100"))))))&gt;=66,(((_xlfn.XLOOKUP(Assessment!#REF!,Inherited!A:A,Inherited!B:B))/100)*(_xlfn.XLOOKUP(Assessment!#REF!,Inherited!A:A,Inherited!D:D)))+(((100-(_xlfn.XLOOKUP(Assessment!#REF!,Inherited!A:A,Inherited!B:B)))/100)*IF(Y93="1.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(100%)","100"))))))&lt;=89),"75",IF((((_xlfn.XLOOKUP(Assessment!#REF!,Inherited!A:A,Inherited!B:B))/100)*(_xlfn.XLOOKUP(Assessment!#REF!,Inherited!A:A,Inherited!D:D)))+(((100-(_xlfn.XLOOKUP(Assessment!#REF!,Inherited!A:A,Inherited!B:B)))/100)*IF(Y93="1. Non Compliant (0%)","0",IF(Y93="2. Somewhat Compliant (25%)","25",IF(Y93="3. Partially Compliant (50%)","50",IF(Y93="4. Mostly Compliant (75%)","75",IF(Y93="5. Fully Compliant (100%)","100"))))))&gt;=90,"100"))))))</f>
        <v>#N/A</v>
      </c>
      <c r="S93" s="1" t="e">
        <f>IF(MATCH(H93,Inherited!A:A),IF((((_xlfn.XLOOKUP(Assessment!#REF!,Inherited!A:A,Inherited!B:B))/100)*(_xlfn.XLOOKUP(Assessment!#REF!,Inherited!A:A,Inherited!E:E)))+(((100-(_xlfn.XLOOKUP(Assessment!#REF!,Inherited!A:A,Inherited!B:B)))/100)*IF(Z93="1.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(100%)","100"))))))&lt;=10,"0", IF(AND((((_xlfn.XLOOKUP(Assessment!#REF!,Inherited!A:A,Inherited!B:B))/100)*(_xlfn.XLOOKUP(Assessment!#REF!,Inherited!A:A,Inherited!E:E)))+(((100-(_xlfn.XLOOKUP(Assessment!#REF!,Inherited!A:A,Inherited!B:B)))/100)*IF(Z93="1.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(100%)","100"))))))&gt;=11,(((_xlfn.XLOOKUP(Assessment!#REF!,Inherited!A:A,Inherited!B:B))/100)*(_xlfn.XLOOKUP(Assessment!#REF!,Inherited!A:A,Inherited!E:E)))+(((100-(_xlfn.XLOOKUP(Assessment!#REF!,Inherited!A:A,Inherited!B:B)))/100)*IF(Z93="1.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(100%)","100"))))))&lt;=32),"25",IF(AND((((_xlfn.XLOOKUP(Assessment!#REF!,Inherited!A:A,Inherited!B:B))/100)*(_xlfn.XLOOKUP(Assessment!#REF!,Inherited!A:A,Inherited!E:E)))+(((100-(_xlfn.XLOOKUP(Assessment!#REF!,Inherited!A:A,Inherited!B:B)))/100)*IF(Z93="1.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(100%)","100"))))))&gt;=33,(((_xlfn.XLOOKUP(Assessment!#REF!,Inherited!A:A,Inherited!B:B))/100)*(_xlfn.XLOOKUP(Assessment!#REF!,Inherited!A:A,Inherited!E:E)))+(((100-(_xlfn.XLOOKUP(Assessment!#REF!,Inherited!A:A,Inherited!B:B)))/100)*IF(Z93="1.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(100%)","100"))))))&lt;=65),"50",IF(AND((((_xlfn.XLOOKUP(Assessment!#REF!,Inherited!A:A,Inherited!B:B))/100)*(_xlfn.XLOOKUP(Assessment!#REF!,Inherited!A:A,Inherited!E:E)))+(((100-(_xlfn.XLOOKUP(Assessment!#REF!,Inherited!A:A,Inherited!B:B)))/100)*IF(Z93="1.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(100%)","100"))))))&gt;=66,(((_xlfn.XLOOKUP(Assessment!#REF!,Inherited!A:A,Inherited!B:B))/100)*(_xlfn.XLOOKUP(Assessment!#REF!,Inherited!A:A,Inherited!E:E)))+(((100-(_xlfn.XLOOKUP(Assessment!#REF!,Inherited!A:A,Inherited!B:B)))/100)*IF(Z93="1.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(100%)","100"))))))&lt;=89),"75",IF((((_xlfn.XLOOKUP(Assessment!#REF!,Inherited!A:A,Inherited!B:B))/100)*(_xlfn.XLOOKUP(Assessment!#REF!,Inherited!A:A,Inherited!E:E)))+(((100-(_xlfn.XLOOKUP(Assessment!#REF!,Inherited!A:A,Inherited!B:B)))/100)*IF(Z93="1. Non Compliant (0%)","0",IF(Z93="2. Somewhat Compliant (25%)","25",IF(Z93="3. Partially Compliant (50%)","50",IF(Z93="4. Mostly Compliant (75%)","75",IF(Z93="5. Fully Compliant (100%)","100"))))))&gt;=90,"100"))))))</f>
        <v>#N/A</v>
      </c>
      <c r="T93" s="1" t="e">
        <f>IF(MATCH(H93,Inherited!A:A),IF((((_xlfn.XLOOKUP(Assessment!#REF!,Inherited!A:A,Inherited!B:B))/100)*(_xlfn.XLOOKUP(Assessment!#REF!,Inherited!A:A,Inherited!F:F)))+(((100-(_xlfn.XLOOKUP(Assessment!#REF!,Inherited!A:A,Inherited!B:B)))/100)*IF(AA93="1.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(100%)","100"))))))&lt;=10,"0", IF(AND((((_xlfn.XLOOKUP(Assessment!#REF!,Inherited!A:A,Inherited!B:B))/100)*(_xlfn.XLOOKUP(Assessment!#REF!,Inherited!A:A,Inherited!F:F)))+(((100-(_xlfn.XLOOKUP(Assessment!#REF!,Inherited!A:A,Inherited!B:B)))/100)*IF(AA93="1.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(100%)","100"))))))&gt;=11,(((_xlfn.XLOOKUP(Assessment!#REF!,Inherited!A:A,Inherited!B:B))/100)*(_xlfn.XLOOKUP(Assessment!#REF!,Inherited!A:A,Inherited!F:F)))+(((100-(_xlfn.XLOOKUP(Assessment!#REF!,Inherited!A:A,Inherited!B:B)))/100)*IF(AA93="1.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(100%)","100"))))))&lt;=32),"25",IF(AND((((_xlfn.XLOOKUP(Assessment!#REF!,Inherited!A:A,Inherited!B:B))/100)*(_xlfn.XLOOKUP(Assessment!#REF!,Inherited!A:A,Inherited!F:F)))+(((100-(_xlfn.XLOOKUP(Assessment!#REF!,Inherited!A:A,Inherited!B:B)))/100)*IF(AA93="1.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(100%)","100"))))))&gt;=33,(((_xlfn.XLOOKUP(Assessment!#REF!,Inherited!A:A,Inherited!B:B))/100)*(_xlfn.XLOOKUP(Assessment!#REF!,Inherited!A:A,Inherited!F:F)))+(((100-(_xlfn.XLOOKUP(Assessment!#REF!,Inherited!A:A,Inherited!B:B)))/100)*IF(AA93="1.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(100%)","100"))))))&lt;=65),"50",IF(AND((((_xlfn.XLOOKUP(Assessment!#REF!,Inherited!A:A,Inherited!B:B))/100)*(_xlfn.XLOOKUP(Assessment!#REF!,Inherited!A:A,Inherited!F:F)))+(((100-(_xlfn.XLOOKUP(Assessment!#REF!,Inherited!A:A,Inherited!B:B)))/100)*IF(AA93="1.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(100%)","100"))))))&gt;=66,(((_xlfn.XLOOKUP(Assessment!#REF!,Inherited!A:A,Inherited!B:B))/100)*(_xlfn.XLOOKUP(Assessment!#REF!,Inherited!A:A,Inherited!F:F)))+(((100-(_xlfn.XLOOKUP(Assessment!#REF!,Inherited!A:A,Inherited!B:B)))/100)*IF(AA93="1.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(100%)","100"))))))&lt;=89),"75",IF((((_xlfn.XLOOKUP(Assessment!#REF!,Inherited!A:A,Inherited!B:B))/100)*(_xlfn.XLOOKUP(Assessment!#REF!,Inherited!A:A,Inherited!F:F)))+(((100-(_xlfn.XLOOKUP(Assessment!#REF!,Inherited!A:A,Inherited!B:B)))/100)*IF(AA93="1. Non Compliant (0%)","0",IF(AA93="2. Somewhat Compliant (25%)","25",IF(AA93="3. Partially Compliant (50%)","50",IF(AA93="4. Mostly Compliant (75%)","75",IF(AA93="5. Fully Compliant (100%)","100"))))))&gt;=90,"100"))))))</f>
        <v>#N/A</v>
      </c>
      <c r="U93" s="1" t="e">
        <f>IF(MATCH(H93,Inherited!A:A),IF((((_xlfn.XLOOKUP(Assessment!#REF!,Inherited!A:A,Inherited!B:B))/100)*(_xlfn.XLOOKUP(Assessment!#REF!,Inherited!A:A,Inherited!G:G)))+(((100-(_xlfn.XLOOKUP(Assessment!#REF!,Inherited!A:A,Inherited!B:B)))/100)*IF(AB93="1.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(100%)","100"))))))&lt;=10,"0", IF(AND((((_xlfn.XLOOKUP(Assessment!#REF!,Inherited!A:A,Inherited!B:B))/100)*(_xlfn.XLOOKUP(Assessment!#REF!,Inherited!A:A,Inherited!G:G)))+(((100-(_xlfn.XLOOKUP(Assessment!#REF!,Inherited!A:A,Inherited!B:B)))/100)*IF(AB93="1.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(100%)","100"))))))&gt;=11,(((_xlfn.XLOOKUP(Assessment!#REF!,Inherited!A:A,Inherited!B:B))/100)*(_xlfn.XLOOKUP(Assessment!#REF!,Inherited!A:A,Inherited!G:G)))+(((100-(_xlfn.XLOOKUP(Assessment!#REF!,Inherited!A:A,Inherited!B:B)))/100)*IF(AB93="1.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(100%)","100"))))))&lt;=32),"25",IF(AND((((_xlfn.XLOOKUP(Assessment!#REF!,Inherited!A:A,Inherited!B:B))/100)*(_xlfn.XLOOKUP(Assessment!#REF!,Inherited!A:A,Inherited!G:G)))+(((100-(_xlfn.XLOOKUP(Assessment!#REF!,Inherited!A:A,Inherited!B:B)))/100)*IF(AB93="1.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(100%)","100"))))))&gt;=33,(((_xlfn.XLOOKUP(Assessment!#REF!,Inherited!A:A,Inherited!B:B))/100)*(_xlfn.XLOOKUP(Assessment!#REF!,Inherited!A:A,Inherited!G:G)))+(((100-(_xlfn.XLOOKUP(Assessment!#REF!,Inherited!A:A,Inherited!B:B)))/100)*IF(AB93="1.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(100%)","100"))))))&lt;=65),"50",IF(AND((((_xlfn.XLOOKUP(Assessment!#REF!,Inherited!A:A,Inherited!B:B))/100)*(_xlfn.XLOOKUP(Assessment!#REF!,Inherited!A:A,Inherited!G:G)))+(((100-(_xlfn.XLOOKUP(Assessment!#REF!,Inherited!A:A,Inherited!B:B)))/100)*IF(AB93="1.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(100%)","100"))))))&gt;=66,(((_xlfn.XLOOKUP(Assessment!#REF!,Inherited!A:A,Inherited!B:B))/100)*(_xlfn.XLOOKUP(Assessment!#REF!,Inherited!A:A,Inherited!G:G)))+(((100-(_xlfn.XLOOKUP(Assessment!#REF!,Inherited!A:A,Inherited!B:B)))/100)*IF(AB93="1.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(100%)","100"))))))&lt;=89),"75",IF((((_xlfn.XLOOKUP(Assessment!#REF!,Inherited!A:A,Inherited!B:B))/100)*(_xlfn.XLOOKUP(Assessment!#REF!,Inherited!A:A,Inherited!G:G)))+(((100-(_xlfn.XLOOKUP(Assessment!#REF!,Inherited!A:A,Inherited!B:B)))/100)*IF(AB93="1. Non Compliant (0%)","0",IF(AB93="2. Somewhat Compliant (25%)","25",IF(AB93="3. Partially Compliant (50%)","50",IF(AB93="4. Mostly Compliant (75%)","75",IF(AB93="5. Fully Compliant (100%)","100"))))))&gt;=90,"100"))))))</f>
        <v>#N/A</v>
      </c>
      <c r="V93" s="55" t="s">
        <v>85</v>
      </c>
      <c r="W93" s="55"/>
      <c r="X93" s="55"/>
      <c r="Y93" s="55"/>
      <c r="Z93" s="55" t="s">
        <v>10873</v>
      </c>
      <c r="AA93" s="55"/>
      <c r="AB93" s="55"/>
      <c r="AK93" s="1" t="s">
        <v>10978</v>
      </c>
      <c r="AL93" s="1" t="s">
        <v>10990</v>
      </c>
      <c r="AP93" s="1" t="s">
        <v>11083</v>
      </c>
      <c r="AX93" s="3" t="str">
        <f>_xlfn.CONCAT("A-LIGN finished its review of this control on ",AR93, " during the scheduled fieldwork window (",Intro!$B$4,")."&amp; CHAR(10)&amp; CHAR(10))</f>
        <v xml:space="preserve">A-LIGN finished its review of this control on  during the scheduled fieldwork window (Fieldwork: xx/xx/xxxx - xx/xx/xxxx).
</v>
      </c>
      <c r="AY93" s="3" t="str">
        <f t="shared" si="170"/>
        <v/>
      </c>
      <c r="AZ93" s="3" t="str">
        <f t="shared" si="171"/>
        <v/>
      </c>
      <c r="BA93" s="3" t="str">
        <f t="shared" si="172"/>
        <v/>
      </c>
      <c r="BB93" s="3" t="str">
        <f t="shared" si="17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AI systems being used (Vertex and Gemini) will be evaluated against these configurations. However, confirmation needs to be obtained that the systems are secured as such. 
Client note: Review AI Security (Model Armor) for these configurations.
</v>
      </c>
      <c r="BC93" s="3" t="str">
        <f t="shared" si="174"/>
        <v/>
      </c>
      <c r="BD93" s="3" t="str">
        <f t="shared" si="17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Do not have assurance that AI systems being used are configured as the requirement statement has outlined. 
Recommendation:
Management should ensure that AI policies and procedures are developed considering the following:
- outlines encryption strength for artificial intelligence data at rest
- outlines encryption key management for artificial intelligence data at rest
Management should ensure that AI systems being used (Vertex and Gemini) are evaluated against:
Management should ensure that AI systems being used (Vertex and Gemini) are evaluated against:
- encryption implemented between artificial intelligence model and output interface
</v>
      </c>
      <c r="BE93" s="3" t="str">
        <f t="shared" si="176"/>
        <v/>
      </c>
      <c r="BF93" s="3" t="str">
        <f t="shared" si="177"/>
        <v/>
      </c>
      <c r="BG93" s="3" t="str">
        <f>_xlfn.CONCAT((IF((COUNTIF('Sample Tables'!B:B,"")&gt;0)=TRUE,_xlfn.CONCAT("",""),IF((COUNTIF('Sample Tables'!B:B,"")&gt;0)=FALSE,""))),)</f>
        <v/>
      </c>
      <c r="BH93" s="3" t="str">
        <f t="shared" si="17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AI policies and procedures considering the details of the requirement statement are not formally maintained at this time.
Do not have assurance that AI systems being used are configured as the requirement statement has outlined. 
Recommendation:
Management should ensure that AI policies and procedures are developed considering the following:
- outlines encryption strength for artificial intelligence data at rest
- outlines encryption key management for artificial intelligence data at rest
Management should ensure that AI systems being used (Vertex and Gemini) are evaluated against:
Management should ensure that AI systems being used (Vertex and Gemini) are evaluated against:
- encryption implemented between artificial intelligence model and output interface
</v>
      </c>
    </row>
    <row r="94" spans="3:60" ht="409.5" x14ac:dyDescent="0.35">
      <c r="C94" s="1">
        <f t="shared" si="179"/>
        <v>40</v>
      </c>
      <c r="D94" s="5" t="str">
        <f>IF(AND((_xlfn.XLOOKUP(J94,'Fields &amp; Revisions'!$H:$H,'Fields &amp; Revisions'!$I:$I))&lt;70.99,(OR(Z94="4. Mostly Compliant (75%)",Z94="3. Partially Compliant (50%)",Z94="2. Somewhat Compliant (25%)",Z94="1. Non Compliant (0%)"))),"Yes","No")</f>
        <v>No</v>
      </c>
      <c r="E94" s="5" t="str">
        <f>IF(ISERROR(VLOOKUP(H94,Scope!A:A,1,FALSE)),"No","Yes")</f>
        <v>Yes</v>
      </c>
      <c r="F94" s="1" t="s">
        <v>2424</v>
      </c>
      <c r="G94" s="53" t="s">
        <v>2687</v>
      </c>
      <c r="H94" s="53" t="s">
        <v>2688</v>
      </c>
      <c r="I94" s="5">
        <v>1</v>
      </c>
      <c r="J94" s="1" t="s">
        <v>180</v>
      </c>
      <c r="K94" s="1" t="s">
        <v>2689</v>
      </c>
      <c r="L94" s="1" t="s">
        <v>2690</v>
      </c>
      <c r="M94" s="1" t="s">
        <v>2514</v>
      </c>
      <c r="N94" s="5" t="s">
        <v>85</v>
      </c>
      <c r="O94" s="1" t="str">
        <f>_xlfn.XLOOKUP(G94,SRMs!$A:$A,SRMs!$D:$D)</f>
        <v>PARTIAL INHERITANCE</v>
      </c>
      <c r="P94" s="1" t="str">
        <f>IFERROR(VLOOKUP(H94,Inherited!A:B,2,FALSE),"")</f>
        <v/>
      </c>
      <c r="Q94" s="1" t="e">
        <f>IF(MATCH(H94,Inherited!A:A),IF((((_xlfn.XLOOKUP(Assessment!#REF!,Inherited!A:A,Inherited!B:B))/100)*(_xlfn.XLOOKUP(Assessment!#REF!,Inherited!A:A,Inherited!C:C)))+(((100-(_xlfn.XLOOKUP(Assessment!#REF!,Inherited!A:A,Inherited!B:B)))/100)*IF(X94="1.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(100%)","100"))))))&lt;=10,"0", IF(AND((((_xlfn.XLOOKUP(Assessment!#REF!,Inherited!A:A,Inherited!B:B))/100)*(_xlfn.XLOOKUP(Assessment!#REF!,Inherited!A:A,Inherited!C:C)))+(((100-(_xlfn.XLOOKUP(Assessment!#REF!,Inherited!A:A,Inherited!B:B)))/100)*IF(X94="1.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(100%)","100"))))))&gt;=11,(((_xlfn.XLOOKUP(Assessment!#REF!,Inherited!A:A,Inherited!B:B))/100)*(_xlfn.XLOOKUP(Assessment!#REF!,Inherited!A:A,Inherited!C:C)))+(((100-(_xlfn.XLOOKUP(Assessment!#REF!,Inherited!A:A,Inherited!B:B)))/100)*IF(X94="1.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(100%)","100"))))))&lt;=32),"25",IF(AND((((_xlfn.XLOOKUP(Assessment!#REF!,Inherited!A:A,Inherited!B:B))/100)*(_xlfn.XLOOKUP(Assessment!#REF!,Inherited!A:A,Inherited!C:C)))+(((100-(_xlfn.XLOOKUP(Assessment!#REF!,Inherited!A:A,Inherited!B:B)))/100)*IF(X94="1.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(100%)","100"))))))&gt;=33,(((_xlfn.XLOOKUP(Assessment!#REF!,Inherited!A:A,Inherited!B:B))/100)*(_xlfn.XLOOKUP(Assessment!#REF!,Inherited!A:A,Inherited!C:C)))+(((100-(_xlfn.XLOOKUP(Assessment!#REF!,Inherited!A:A,Inherited!B:B)))/100)*IF(X94="1.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(100%)","100"))))))&lt;=65),"50",IF(AND((((_xlfn.XLOOKUP(Assessment!#REF!,Inherited!A:A,Inherited!B:B))/100)*(_xlfn.XLOOKUP(Assessment!#REF!,Inherited!A:A,Inherited!C:C)))+(((100-(_xlfn.XLOOKUP(Assessment!#REF!,Inherited!A:A,Inherited!B:B)))/100)*IF(X94="1.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(100%)","100"))))))&gt;=66,(((_xlfn.XLOOKUP(Assessment!#REF!,Inherited!A:A,Inherited!B:B))/100)*(_xlfn.XLOOKUP(Assessment!#REF!,Inherited!A:A,Inherited!C:C)))+(((100-(_xlfn.XLOOKUP(Assessment!#REF!,Inherited!A:A,Inherited!B:B)))/100)*IF(X94="1.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(100%)","100"))))))&lt;=89),"75",IF((((_xlfn.XLOOKUP(Assessment!#REF!,Inherited!A:A,Inherited!B:B))/100)*(_xlfn.XLOOKUP(Assessment!#REF!,Inherited!A:A,Inherited!C:C)))+(((100-(_xlfn.XLOOKUP(Assessment!#REF!,Inherited!A:A,Inherited!B:B)))/100)*IF(X94="1. Non Compliant (0%)","0",IF(X94="2. Somewhat Compliant (25%)","25",IF(X94="3. Partially Compliant (50%)","50",IF(X94="4. Mostly Compliant (75%)","75",IF(X94="5. Fully Compliant (100%)","100"))))))&gt;=90,"100"))))))</f>
        <v>#N/A</v>
      </c>
      <c r="R94" s="1" t="e">
        <f>IF(MATCH(H94,Inherited!A:A),IF((((_xlfn.XLOOKUP(Assessment!#REF!,Inherited!A:A,Inherited!B:B))/100)*(_xlfn.XLOOKUP(Assessment!#REF!,Inherited!A:A,Inherited!D:D)))+(((100-(_xlfn.XLOOKUP(Assessment!#REF!,Inherited!A:A,Inherited!B:B)))/100)*IF(Y94="1.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(100%)","100"))))))&lt;=10,"0", IF(AND((((_xlfn.XLOOKUP(Assessment!#REF!,Inherited!A:A,Inherited!B:B))/100)*(_xlfn.XLOOKUP(Assessment!#REF!,Inherited!A:A,Inherited!D:D)))+(((100-(_xlfn.XLOOKUP(Assessment!#REF!,Inherited!A:A,Inherited!B:B)))/100)*IF(Y94="1.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(100%)","100"))))))&gt;=11,(((_xlfn.XLOOKUP(Assessment!#REF!,Inherited!A:A,Inherited!B:B))/100)*(_xlfn.XLOOKUP(Assessment!#REF!,Inherited!A:A,Inherited!D:D)))+(((100-(_xlfn.XLOOKUP(Assessment!#REF!,Inherited!A:A,Inherited!B:B)))/100)*IF(Y94="1.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(100%)","100"))))))&lt;=32),"25",IF(AND((((_xlfn.XLOOKUP(Assessment!#REF!,Inherited!A:A,Inherited!B:B))/100)*(_xlfn.XLOOKUP(Assessment!#REF!,Inherited!A:A,Inherited!D:D)))+(((100-(_xlfn.XLOOKUP(Assessment!#REF!,Inherited!A:A,Inherited!B:B)))/100)*IF(Y94="1.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(100%)","100"))))))&gt;=33,(((_xlfn.XLOOKUP(Assessment!#REF!,Inherited!A:A,Inherited!B:B))/100)*(_xlfn.XLOOKUP(Assessment!#REF!,Inherited!A:A,Inherited!D:D)))+(((100-(_xlfn.XLOOKUP(Assessment!#REF!,Inherited!A:A,Inherited!B:B)))/100)*IF(Y94="1.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(100%)","100"))))))&lt;=65),"50",IF(AND((((_xlfn.XLOOKUP(Assessment!#REF!,Inherited!A:A,Inherited!B:B))/100)*(_xlfn.XLOOKUP(Assessment!#REF!,Inherited!A:A,Inherited!D:D)))+(((100-(_xlfn.XLOOKUP(Assessment!#REF!,Inherited!A:A,Inherited!B:B)))/100)*IF(Y94="1.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(100%)","100"))))))&gt;=66,(((_xlfn.XLOOKUP(Assessment!#REF!,Inherited!A:A,Inherited!B:B))/100)*(_xlfn.XLOOKUP(Assessment!#REF!,Inherited!A:A,Inherited!D:D)))+(((100-(_xlfn.XLOOKUP(Assessment!#REF!,Inherited!A:A,Inherited!B:B)))/100)*IF(Y94="1.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(100%)","100"))))))&lt;=89),"75",IF((((_xlfn.XLOOKUP(Assessment!#REF!,Inherited!A:A,Inherited!B:B))/100)*(_xlfn.XLOOKUP(Assessment!#REF!,Inherited!A:A,Inherited!D:D)))+(((100-(_xlfn.XLOOKUP(Assessment!#REF!,Inherited!A:A,Inherited!B:B)))/100)*IF(Y94="1. Non Compliant (0%)","0",IF(Y94="2. Somewhat Compliant (25%)","25",IF(Y94="3. Partially Compliant (50%)","50",IF(Y94="4. Mostly Compliant (75%)","75",IF(Y94="5. Fully Compliant (100%)","100"))))))&gt;=90,"100"))))))</f>
        <v>#N/A</v>
      </c>
      <c r="S94" s="1" t="e">
        <f>IF(MATCH(H94,Inherited!A:A),IF((((_xlfn.XLOOKUP(Assessment!#REF!,Inherited!A:A,Inherited!B:B))/100)*(_xlfn.XLOOKUP(Assessment!#REF!,Inherited!A:A,Inherited!E:E)))+(((100-(_xlfn.XLOOKUP(Assessment!#REF!,Inherited!A:A,Inherited!B:B)))/100)*IF(Z94="1.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(100%)","100"))))))&lt;=10,"0", IF(AND((((_xlfn.XLOOKUP(Assessment!#REF!,Inherited!A:A,Inherited!B:B))/100)*(_xlfn.XLOOKUP(Assessment!#REF!,Inherited!A:A,Inherited!E:E)))+(((100-(_xlfn.XLOOKUP(Assessment!#REF!,Inherited!A:A,Inherited!B:B)))/100)*IF(Z94="1.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(100%)","100"))))))&gt;=11,(((_xlfn.XLOOKUP(Assessment!#REF!,Inherited!A:A,Inherited!B:B))/100)*(_xlfn.XLOOKUP(Assessment!#REF!,Inherited!A:A,Inherited!E:E)))+(((100-(_xlfn.XLOOKUP(Assessment!#REF!,Inherited!A:A,Inherited!B:B)))/100)*IF(Z94="1.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(100%)","100"))))))&lt;=32),"25",IF(AND((((_xlfn.XLOOKUP(Assessment!#REF!,Inherited!A:A,Inherited!B:B))/100)*(_xlfn.XLOOKUP(Assessment!#REF!,Inherited!A:A,Inherited!E:E)))+(((100-(_xlfn.XLOOKUP(Assessment!#REF!,Inherited!A:A,Inherited!B:B)))/100)*IF(Z94="1.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(100%)","100"))))))&gt;=33,(((_xlfn.XLOOKUP(Assessment!#REF!,Inherited!A:A,Inherited!B:B))/100)*(_xlfn.XLOOKUP(Assessment!#REF!,Inherited!A:A,Inherited!E:E)))+(((100-(_xlfn.XLOOKUP(Assessment!#REF!,Inherited!A:A,Inherited!B:B)))/100)*IF(Z94="1.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(100%)","100"))))))&lt;=65),"50",IF(AND((((_xlfn.XLOOKUP(Assessment!#REF!,Inherited!A:A,Inherited!B:B))/100)*(_xlfn.XLOOKUP(Assessment!#REF!,Inherited!A:A,Inherited!E:E)))+(((100-(_xlfn.XLOOKUP(Assessment!#REF!,Inherited!A:A,Inherited!B:B)))/100)*IF(Z94="1.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(100%)","100"))))))&gt;=66,(((_xlfn.XLOOKUP(Assessment!#REF!,Inherited!A:A,Inherited!B:B))/100)*(_xlfn.XLOOKUP(Assessment!#REF!,Inherited!A:A,Inherited!E:E)))+(((100-(_xlfn.XLOOKUP(Assessment!#REF!,Inherited!A:A,Inherited!B:B)))/100)*IF(Z94="1.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(100%)","100"))))))&lt;=89),"75",IF((((_xlfn.XLOOKUP(Assessment!#REF!,Inherited!A:A,Inherited!B:B))/100)*(_xlfn.XLOOKUP(Assessment!#REF!,Inherited!A:A,Inherited!E:E)))+(((100-(_xlfn.XLOOKUP(Assessment!#REF!,Inherited!A:A,Inherited!B:B)))/100)*IF(Z94="1. Non Compliant (0%)","0",IF(Z94="2. Somewhat Compliant (25%)","25",IF(Z94="3. Partially Compliant (50%)","50",IF(Z94="4. Mostly Compliant (75%)","75",IF(Z94="5. Fully Compliant (100%)","100"))))))&gt;=90,"100"))))))</f>
        <v>#N/A</v>
      </c>
      <c r="T94" s="1" t="e">
        <f>IF(MATCH(H94,Inherited!A:A),IF((((_xlfn.XLOOKUP(Assessment!#REF!,Inherited!A:A,Inherited!B:B))/100)*(_xlfn.XLOOKUP(Assessment!#REF!,Inherited!A:A,Inherited!F:F)))+(((100-(_xlfn.XLOOKUP(Assessment!#REF!,Inherited!A:A,Inherited!B:B)))/100)*IF(AA94="1.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(100%)","100"))))))&lt;=10,"0", IF(AND((((_xlfn.XLOOKUP(Assessment!#REF!,Inherited!A:A,Inherited!B:B))/100)*(_xlfn.XLOOKUP(Assessment!#REF!,Inherited!A:A,Inherited!F:F)))+(((100-(_xlfn.XLOOKUP(Assessment!#REF!,Inherited!A:A,Inherited!B:B)))/100)*IF(AA94="1.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(100%)","100"))))))&gt;=11,(((_xlfn.XLOOKUP(Assessment!#REF!,Inherited!A:A,Inherited!B:B))/100)*(_xlfn.XLOOKUP(Assessment!#REF!,Inherited!A:A,Inherited!F:F)))+(((100-(_xlfn.XLOOKUP(Assessment!#REF!,Inherited!A:A,Inherited!B:B)))/100)*IF(AA94="1.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(100%)","100"))))))&lt;=32),"25",IF(AND((((_xlfn.XLOOKUP(Assessment!#REF!,Inherited!A:A,Inherited!B:B))/100)*(_xlfn.XLOOKUP(Assessment!#REF!,Inherited!A:A,Inherited!F:F)))+(((100-(_xlfn.XLOOKUP(Assessment!#REF!,Inherited!A:A,Inherited!B:B)))/100)*IF(AA94="1.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(100%)","100"))))))&gt;=33,(((_xlfn.XLOOKUP(Assessment!#REF!,Inherited!A:A,Inherited!B:B))/100)*(_xlfn.XLOOKUP(Assessment!#REF!,Inherited!A:A,Inherited!F:F)))+(((100-(_xlfn.XLOOKUP(Assessment!#REF!,Inherited!A:A,Inherited!B:B)))/100)*IF(AA94="1.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(100%)","100"))))))&lt;=65),"50",IF(AND((((_xlfn.XLOOKUP(Assessment!#REF!,Inherited!A:A,Inherited!B:B))/100)*(_xlfn.XLOOKUP(Assessment!#REF!,Inherited!A:A,Inherited!F:F)))+(((100-(_xlfn.XLOOKUP(Assessment!#REF!,Inherited!A:A,Inherited!B:B)))/100)*IF(AA94="1.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(100%)","100"))))))&gt;=66,(((_xlfn.XLOOKUP(Assessment!#REF!,Inherited!A:A,Inherited!B:B))/100)*(_xlfn.XLOOKUP(Assessment!#REF!,Inherited!A:A,Inherited!F:F)))+(((100-(_xlfn.XLOOKUP(Assessment!#REF!,Inherited!A:A,Inherited!B:B)))/100)*IF(AA94="1.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(100%)","100"))))))&lt;=89),"75",IF((((_xlfn.XLOOKUP(Assessment!#REF!,Inherited!A:A,Inherited!B:B))/100)*(_xlfn.XLOOKUP(Assessment!#REF!,Inherited!A:A,Inherited!F:F)))+(((100-(_xlfn.XLOOKUP(Assessment!#REF!,Inherited!A:A,Inherited!B:B)))/100)*IF(AA94="1. Non Compliant (0%)","0",IF(AA94="2. Somewhat Compliant (25%)","25",IF(AA94="3. Partially Compliant (50%)","50",IF(AA94="4. Mostly Compliant (75%)","75",IF(AA94="5. Fully Compliant (100%)","100"))))))&gt;=90,"100"))))))</f>
        <v>#N/A</v>
      </c>
      <c r="U94" s="1" t="e">
        <f>IF(MATCH(H94,Inherited!A:A),IF((((_xlfn.XLOOKUP(Assessment!#REF!,Inherited!A:A,Inherited!B:B))/100)*(_xlfn.XLOOKUP(Assessment!#REF!,Inherited!A:A,Inherited!G:G)))+(((100-(_xlfn.XLOOKUP(Assessment!#REF!,Inherited!A:A,Inherited!B:B)))/100)*IF(AB94="1.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(100%)","100"))))))&lt;=10,"0", IF(AND((((_xlfn.XLOOKUP(Assessment!#REF!,Inherited!A:A,Inherited!B:B))/100)*(_xlfn.XLOOKUP(Assessment!#REF!,Inherited!A:A,Inherited!G:G)))+(((100-(_xlfn.XLOOKUP(Assessment!#REF!,Inherited!A:A,Inherited!B:B)))/100)*IF(AB94="1.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(100%)","100"))))))&gt;=11,(((_xlfn.XLOOKUP(Assessment!#REF!,Inherited!A:A,Inherited!B:B))/100)*(_xlfn.XLOOKUP(Assessment!#REF!,Inherited!A:A,Inherited!G:G)))+(((100-(_xlfn.XLOOKUP(Assessment!#REF!,Inherited!A:A,Inherited!B:B)))/100)*IF(AB94="1.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(100%)","100"))))))&lt;=32),"25",IF(AND((((_xlfn.XLOOKUP(Assessment!#REF!,Inherited!A:A,Inherited!B:B))/100)*(_xlfn.XLOOKUP(Assessment!#REF!,Inherited!A:A,Inherited!G:G)))+(((100-(_xlfn.XLOOKUP(Assessment!#REF!,Inherited!A:A,Inherited!B:B)))/100)*IF(AB94="1.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(100%)","100"))))))&gt;=33,(((_xlfn.XLOOKUP(Assessment!#REF!,Inherited!A:A,Inherited!B:B))/100)*(_xlfn.XLOOKUP(Assessment!#REF!,Inherited!A:A,Inherited!G:G)))+(((100-(_xlfn.XLOOKUP(Assessment!#REF!,Inherited!A:A,Inherited!B:B)))/100)*IF(AB94="1.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(100%)","100"))))))&lt;=65),"50",IF(AND((((_xlfn.XLOOKUP(Assessment!#REF!,Inherited!A:A,Inherited!B:B))/100)*(_xlfn.XLOOKUP(Assessment!#REF!,Inherited!A:A,Inherited!G:G)))+(((100-(_xlfn.XLOOKUP(Assessment!#REF!,Inherited!A:A,Inherited!B:B)))/100)*IF(AB94="1.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(100%)","100"))))))&gt;=66,(((_xlfn.XLOOKUP(Assessment!#REF!,Inherited!A:A,Inherited!B:B))/100)*(_xlfn.XLOOKUP(Assessment!#REF!,Inherited!A:A,Inherited!G:G)))+(((100-(_xlfn.XLOOKUP(Assessment!#REF!,Inherited!A:A,Inherited!B:B)))/100)*IF(AB94="1.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(100%)","100"))))))&lt;=89),"75",IF((((_xlfn.XLOOKUP(Assessment!#REF!,Inherited!A:A,Inherited!B:B))/100)*(_xlfn.XLOOKUP(Assessment!#REF!,Inherited!A:A,Inherited!G:G)))+(((100-(_xlfn.XLOOKUP(Assessment!#REF!,Inherited!A:A,Inherited!B:B)))/100)*IF(AB94="1. Non Compliant (0%)","0",IF(AB94="2. Somewhat Compliant (25%)","25",IF(AB94="3. Partially Compliant (50%)","50",IF(AB94="4. Mostly Compliant (75%)","75",IF(AB94="5. Fully Compliant (100%)","100"))))))&gt;=90,"100"))))))</f>
        <v>#N/A</v>
      </c>
      <c r="V94" s="55" t="s">
        <v>85</v>
      </c>
      <c r="W94" s="55"/>
      <c r="X94" s="55"/>
      <c r="Y94" s="55"/>
      <c r="Z94" s="55" t="s">
        <v>86</v>
      </c>
      <c r="AA94" s="55"/>
      <c r="AB94" s="55"/>
      <c r="AK94" s="1" t="s">
        <v>10891</v>
      </c>
      <c r="AM94" s="1" t="s">
        <v>10904</v>
      </c>
      <c r="AX94" s="3" t="str">
        <f>_xlfn.CONCAT("A-LIGN finished its review of this control on ",AR94, " during the scheduled fieldwork window (",Intro!$B$4,")."&amp; CHAR(10)&amp; CHAR(10))</f>
        <v xml:space="preserve">A-LIGN finished its review of this control on  during the scheduled fieldwork window (Fieldwork: xx/xx/xxxx - xx/xx/xxxx).
</v>
      </c>
      <c r="AY94" s="3" t="str">
        <f t="shared" si="170"/>
        <v/>
      </c>
      <c r="AZ94" s="3" t="str">
        <f t="shared" si="171"/>
        <v/>
      </c>
      <c r="BA94" s="3" t="str">
        <f t="shared" si="172"/>
        <v/>
      </c>
      <c r="BB94" s="3" t="str">
        <f t="shared" si="173"/>
        <v xml:space="preserve">Inquired of the following workforce member: 
Matthew Macaluso - Director of System Operations
Roze Nicolas - Director of TechOps
Inquiry lead to the following conclusions: 
</v>
      </c>
      <c r="BC94" s="3" t="str">
        <f t="shared" si="174"/>
        <v xml:space="preserve">Observed the following live during fieldwork: 
Observed a change ticket for a new hire, which demonstrated that a workflow is in place to ensure users are granted the proper access rights and that the appropriate management involvement was followed to ensure appropriate roles/access rules/etc. are implemented.
</v>
      </c>
      <c r="BD94" s="3" t="str">
        <f t="shared" si="175"/>
        <v xml:space="preserve">Examined the following evidence during fieldwork:
Reviewed evidence addressed the requirement statement.
</v>
      </c>
      <c r="BE94" s="3" t="str">
        <f t="shared" si="176"/>
        <v/>
      </c>
      <c r="BF94" s="3" t="str">
        <f t="shared" si="177"/>
        <v/>
      </c>
      <c r="BG94" s="3" t="str">
        <f>_xlfn.CONCAT((IF((COUNTIF('Sample Tables'!B:B,"Test 001: Access Account (business partner)")&gt;0)=TRUE,_xlfn.CONCAT("Sample test results are documented in ",'Sample Tables'!B7," [",'Sample Tables'!B8,", ",'Sample Tables'!B9,", ",'Sample Tables'!B10,", ",'Sample Tables'!B11,", ",'Sample Tables'!B12,"]."&amp;CHAR(10)),IF((COUNTIF('Sample Tables'!B:B,"Test 001: Access Account (business partner)")&gt;0)=FALSE,""))),(IF((COUNTIF('Sample Tables'!B:B,"Test 003: Access Account (privileged)")&gt;0)=TRUE,_xlfn.CONCAT("Sample test results are documented in ",'Sample Tables'!B29," [",'Sample Tables'!B30,", ",'Sample Tables'!B31,", ",'Sample Tables'!B32,", ",'Sample Tables'!B33,", ",'Sample Tables'!B34,"]."&amp;CHAR(10)),IF((COUNTIF('Sample Tables'!B:B,"Test 003: Access Account (privileged)")&gt;0)=FALSE,""))),(IF((COUNTIF('Sample Tables'!B:B,"Test 004: Access Account (service)")&gt;0)=TRUE,_xlfn.CONCAT("Sample test results are documented in ",'Sample Tables'!B40," [",'Sample Tables'!B41,", ",'Sample Tables'!B42,", ",'Sample Tables'!B43,", ",'Sample Tables'!B44,", ",'Sample Tables'!B45,"]."&amp;CHAR(10)),IF((COUNTIF('Sample Tables'!B:B,"Test 004: Access Account (service)")&gt;0)=FALSE,""))),(IF((COUNTIF('Sample Tables'!B:B,"Test 008: Access Account (vendor)")&gt;0)=TRUE,_xlfn.CONCAT("Sample test results are documented in ",'Sample Tables'!B84," [",'Sample Tables'!B85,", ",'Sample Tables'!B86,", ",'Sample Tables'!B87,", ",'Sample Tables'!B88,", ",'Sample Tables'!B89,"]."&amp;CHAR(10)),IF((COUNTIF('Sample Tables'!B:B,"Test 008: Access Account (vendor)")&gt;0)=FALSE,""))),(IF((COUNTIF('Sample Tables'!B:B,"Test 009: Access Account (workforce member)")&gt;0)=TRUE,_xlfn.CONCAT("Sample test results are documented in ",'Sample Tables'!B95," [",'Sample Tables'!B96,", ",'Sample Tables'!B97,", ",'Sample Tables'!B98,", ",'Sample Tables'!B99,", ",'Sample Tables'!B100,"]."&amp;CHAR(10)),IF((COUNTIF('Sample Tables'!B:B,"Test 009: Access Account (workforce member)")&gt;0)=FALSE,""))),)</f>
        <v xml:space="preserve">Sample test results are documented in Test 001: Access Account (business partner) [Population Source/Tool: , Population Date Range: , Population Size: , Sample Methodology: , Sample Size: ].
Sample test results are documented in Test 003: Access Account (privileged) [Population Source/Tool: , Population Date Range: , Population Size: , Sample Methodology: , Sample Size: ].
Sample test results are documented in Test 004: Access Account (service) [Population Source/Tool: , Population Date Range: , Population Size: , Sample Methodology: , Sample Size: ].
Sample test results are documented in Test 008: Access Account (vendor) [Population Source/Tool: , Population Date Range: , Population Size: , Sample Methodology: , Sample Size: ].
Sample test results are documented in Test 009: Access Account (workforce member) [Population Source/Tool: , Population Date Range: , Population Size: , Sample Methodology: , Sample Size: ].
</v>
      </c>
      <c r="BH94" s="3" t="str">
        <f t="shared" si="17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a change ticket for a new hire, which demonstrated that a workflow is in place to ensure users are granted the proper access rights and that the appropriate management involvement was followed to ensure appropriate roles/access rules/etc. are implemented.
Examined the following evidence during fieldwork:
Reviewed evidence addressed the requirement statement.
Sample test results are documented in Test 001: Access Account (business partner) [Population Source/Tool: , Population Date Range: , Population Size: , Sample Methodology: , Sample Size: ].
Sample test results are documented in Test 003: Access Account (privileged) [Population Source/Tool: , Population Date Range: , Population Size: , Sample Methodology: , Sample Size: ].
Sample test results are documented in Test 004: Access Account (service) [Population Source/Tool: , Population Date Range: , Population Size: , Sample Methodology: , Sample Size: ].
Sample test results are documented in Test 008: Access Account (vendor) [Population Source/Tool: , Population Date Range: , Population Size: , Sample Methodology: , Sample Size: ].
Sample test results are documented in Test 009: Access Account (workforce member) [Population Source/Tool: , Population Date Range: , Population Size: , Sample Methodology: , Sample Size: ].
</v>
      </c>
    </row>
    <row r="95" spans="3:60" ht="409.5" x14ac:dyDescent="0.35">
      <c r="C95" s="1">
        <f t="shared" ref="C95:C100" si="180">IF(V95="No","Not Applicable",(IF(X95="1. Non Compliant (0%)","0",IF(X95="2. Somewhat Compliant (25%)","25",IF(X95="3. Partially Compliant (50%)","50",IF(X95="4. Mostly Compliant (75%)","75",IF(X95="5. Fully Compliant (100%)","100")))))*0.15)+((IF(Y95="1. Non Compliant (0%)","0",IF(Y95="2. Somewhat Compliant (25%)","25",IF(Y95="3. Partially Compliant (50%)","50",IF(Y95="4. Mostly Compliant (75%)","75",IF(Y95="5. Fully Compliant (100%)","100"))))))*0.2)+(IF(Z95="1. Non Compliant (0%)","0",IF(Z95="2. Somewhat Compliant (25%)","25",IF(Z95="3. Partially Compliant (50%)","50",IF(Z95="4. Mostly Compliant (75%)","75",IF(Z95="5. Fully Compliant (100%)","100")))))*0.4)+(IF(AA95="1. Non Compliant (0%)","0",IF(AA95="2. Somewhat Compliant (25%)","25",IF(AA95="3. Partially Compliant (50%)","50",IF(AA95="4. Mostly Compliant (75%)","75",IF(AA95="5. Fully Compliant (100%)","100")))))*0.1)+(IF(AB95="1. Non Compliant (0%)","0",IF(AB95="2. Somewhat Compliant (25%)","25",IF(AB95="3. Partially Compliant (50%)","50",IF(AB95="4. Mostly Compliant (75%)","75",IF(AB95="5. Fully Compliant (100%)","100")))))*0.15))</f>
        <v>40</v>
      </c>
      <c r="D95" s="5" t="str">
        <f>IF(AND((_xlfn.XLOOKUP(J95,'Fields &amp; Revisions'!$H:$H,'Fields &amp; Revisions'!$I:$I))&lt;70.99,(OR(Z95="4. Mostly Compliant (75%)",Z95="3. Partially Compliant (50%)",Z95="2. Somewhat Compliant (25%)",Z95="1. Non Compliant (0%)"))),"Yes","No")</f>
        <v>No</v>
      </c>
      <c r="E95" s="5" t="str">
        <f>IF(ISERROR(VLOOKUP(H95,Scope!A:A,1,FALSE)),"No","Yes")</f>
        <v>Yes</v>
      </c>
      <c r="F95" s="1" t="s">
        <v>2424</v>
      </c>
      <c r="G95" s="53" t="s">
        <v>2697</v>
      </c>
      <c r="H95" s="53" t="s">
        <v>2698</v>
      </c>
      <c r="I95" s="5">
        <v>1</v>
      </c>
      <c r="J95" s="1" t="s">
        <v>2699</v>
      </c>
      <c r="K95" s="1" t="s">
        <v>2700</v>
      </c>
      <c r="L95" s="1" t="s">
        <v>2701</v>
      </c>
      <c r="M95" s="1" t="s">
        <v>2702</v>
      </c>
      <c r="N95" s="5" t="s">
        <v>85</v>
      </c>
      <c r="O95" s="1" t="str">
        <f>_xlfn.XLOOKUP(G95,SRMs!$A:$A,SRMs!$D:$D)</f>
        <v>PARTIAL INHERITANCE</v>
      </c>
      <c r="P95" s="1" t="str">
        <f>IFERROR(VLOOKUP(H95,Inherited!A:B,2,FALSE),"")</f>
        <v/>
      </c>
      <c r="Q95" s="1" t="e">
        <f>IF(MATCH(H95,Inherited!A:A),IF((((_xlfn.XLOOKUP(Assessment!#REF!,Inherited!A:A,Inherited!B:B))/100)*(_xlfn.XLOOKUP(Assessment!#REF!,Inherited!A:A,Inherited!C:C)))+(((100-(_xlfn.XLOOKUP(Assessment!#REF!,Inherited!A:A,Inherited!B:B)))/100)*IF(X95="1.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(100%)","100"))))))&lt;=10,"0", IF(AND((((_xlfn.XLOOKUP(Assessment!#REF!,Inherited!A:A,Inherited!B:B))/100)*(_xlfn.XLOOKUP(Assessment!#REF!,Inherited!A:A,Inherited!C:C)))+(((100-(_xlfn.XLOOKUP(Assessment!#REF!,Inherited!A:A,Inherited!B:B)))/100)*IF(X95="1.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(100%)","100"))))))&gt;=11,(((_xlfn.XLOOKUP(Assessment!#REF!,Inherited!A:A,Inherited!B:B))/100)*(_xlfn.XLOOKUP(Assessment!#REF!,Inherited!A:A,Inherited!C:C)))+(((100-(_xlfn.XLOOKUP(Assessment!#REF!,Inherited!A:A,Inherited!B:B)))/100)*IF(X95="1.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(100%)","100"))))))&lt;=32),"25",IF(AND((((_xlfn.XLOOKUP(Assessment!#REF!,Inherited!A:A,Inherited!B:B))/100)*(_xlfn.XLOOKUP(Assessment!#REF!,Inherited!A:A,Inherited!C:C)))+(((100-(_xlfn.XLOOKUP(Assessment!#REF!,Inherited!A:A,Inherited!B:B)))/100)*IF(X95="1.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(100%)","100"))))))&gt;=33,(((_xlfn.XLOOKUP(Assessment!#REF!,Inherited!A:A,Inherited!B:B))/100)*(_xlfn.XLOOKUP(Assessment!#REF!,Inherited!A:A,Inherited!C:C)))+(((100-(_xlfn.XLOOKUP(Assessment!#REF!,Inherited!A:A,Inherited!B:B)))/100)*IF(X95="1.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(100%)","100"))))))&lt;=65),"50",IF(AND((((_xlfn.XLOOKUP(Assessment!#REF!,Inherited!A:A,Inherited!B:B))/100)*(_xlfn.XLOOKUP(Assessment!#REF!,Inherited!A:A,Inherited!C:C)))+(((100-(_xlfn.XLOOKUP(Assessment!#REF!,Inherited!A:A,Inherited!B:B)))/100)*IF(X95="1.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(100%)","100"))))))&gt;=66,(((_xlfn.XLOOKUP(Assessment!#REF!,Inherited!A:A,Inherited!B:B))/100)*(_xlfn.XLOOKUP(Assessment!#REF!,Inherited!A:A,Inherited!C:C)))+(((100-(_xlfn.XLOOKUP(Assessment!#REF!,Inherited!A:A,Inherited!B:B)))/100)*IF(X95="1.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(100%)","100"))))))&lt;=89),"75",IF((((_xlfn.XLOOKUP(Assessment!#REF!,Inherited!A:A,Inherited!B:B))/100)*(_xlfn.XLOOKUP(Assessment!#REF!,Inherited!A:A,Inherited!C:C)))+(((100-(_xlfn.XLOOKUP(Assessment!#REF!,Inherited!A:A,Inherited!B:B)))/100)*IF(X95="1. Non Compliant (0%)","0",IF(X95="2. Somewhat Compliant (25%)","25",IF(X95="3. Partially Compliant (50%)","50",IF(X95="4. Mostly Compliant (75%)","75",IF(X95="5. Fully Compliant (100%)","100"))))))&gt;=90,"100"))))))</f>
        <v>#N/A</v>
      </c>
      <c r="R95" s="1" t="e">
        <f>IF(MATCH(H95,Inherited!A:A),IF((((_xlfn.XLOOKUP(Assessment!#REF!,Inherited!A:A,Inherited!B:B))/100)*(_xlfn.XLOOKUP(Assessment!#REF!,Inherited!A:A,Inherited!D:D)))+(((100-(_xlfn.XLOOKUP(Assessment!#REF!,Inherited!A:A,Inherited!B:B)))/100)*IF(Y95="1.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(100%)","100"))))))&lt;=10,"0", IF(AND((((_xlfn.XLOOKUP(Assessment!#REF!,Inherited!A:A,Inherited!B:B))/100)*(_xlfn.XLOOKUP(Assessment!#REF!,Inherited!A:A,Inherited!D:D)))+(((100-(_xlfn.XLOOKUP(Assessment!#REF!,Inherited!A:A,Inherited!B:B)))/100)*IF(Y95="1.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(100%)","100"))))))&gt;=11,(((_xlfn.XLOOKUP(Assessment!#REF!,Inherited!A:A,Inherited!B:B))/100)*(_xlfn.XLOOKUP(Assessment!#REF!,Inherited!A:A,Inherited!D:D)))+(((100-(_xlfn.XLOOKUP(Assessment!#REF!,Inherited!A:A,Inherited!B:B)))/100)*IF(Y95="1.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(100%)","100"))))))&lt;=32),"25",IF(AND((((_xlfn.XLOOKUP(Assessment!#REF!,Inherited!A:A,Inherited!B:B))/100)*(_xlfn.XLOOKUP(Assessment!#REF!,Inherited!A:A,Inherited!D:D)))+(((100-(_xlfn.XLOOKUP(Assessment!#REF!,Inherited!A:A,Inherited!B:B)))/100)*IF(Y95="1.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(100%)","100"))))))&gt;=33,(((_xlfn.XLOOKUP(Assessment!#REF!,Inherited!A:A,Inherited!B:B))/100)*(_xlfn.XLOOKUP(Assessment!#REF!,Inherited!A:A,Inherited!D:D)))+(((100-(_xlfn.XLOOKUP(Assessment!#REF!,Inherited!A:A,Inherited!B:B)))/100)*IF(Y95="1.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(100%)","100"))))))&lt;=65),"50",IF(AND((((_xlfn.XLOOKUP(Assessment!#REF!,Inherited!A:A,Inherited!B:B))/100)*(_xlfn.XLOOKUP(Assessment!#REF!,Inherited!A:A,Inherited!D:D)))+(((100-(_xlfn.XLOOKUP(Assessment!#REF!,Inherited!A:A,Inherited!B:B)))/100)*IF(Y95="1.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(100%)","100"))))))&gt;=66,(((_xlfn.XLOOKUP(Assessment!#REF!,Inherited!A:A,Inherited!B:B))/100)*(_xlfn.XLOOKUP(Assessment!#REF!,Inherited!A:A,Inherited!D:D)))+(((100-(_xlfn.XLOOKUP(Assessment!#REF!,Inherited!A:A,Inherited!B:B)))/100)*IF(Y95="1.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(100%)","100"))))))&lt;=89),"75",IF((((_xlfn.XLOOKUP(Assessment!#REF!,Inherited!A:A,Inherited!B:B))/100)*(_xlfn.XLOOKUP(Assessment!#REF!,Inherited!A:A,Inherited!D:D)))+(((100-(_xlfn.XLOOKUP(Assessment!#REF!,Inherited!A:A,Inherited!B:B)))/100)*IF(Y95="1. Non Compliant (0%)","0",IF(Y95="2. Somewhat Compliant (25%)","25",IF(Y95="3. Partially Compliant (50%)","50",IF(Y95="4. Mostly Compliant (75%)","75",IF(Y95="5. Fully Compliant (100%)","100"))))))&gt;=90,"100"))))))</f>
        <v>#N/A</v>
      </c>
      <c r="S95" s="1" t="e">
        <f>IF(MATCH(H95,Inherited!A:A),IF((((_xlfn.XLOOKUP(Assessment!#REF!,Inherited!A:A,Inherited!B:B))/100)*(_xlfn.XLOOKUP(Assessment!#REF!,Inherited!A:A,Inherited!E:E)))+(((100-(_xlfn.XLOOKUP(Assessment!#REF!,Inherited!A:A,Inherited!B:B)))/100)*IF(Z95="1.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(100%)","100"))))))&lt;=10,"0", IF(AND((((_xlfn.XLOOKUP(Assessment!#REF!,Inherited!A:A,Inherited!B:B))/100)*(_xlfn.XLOOKUP(Assessment!#REF!,Inherited!A:A,Inherited!E:E)))+(((100-(_xlfn.XLOOKUP(Assessment!#REF!,Inherited!A:A,Inherited!B:B)))/100)*IF(Z95="1.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(100%)","100"))))))&gt;=11,(((_xlfn.XLOOKUP(Assessment!#REF!,Inherited!A:A,Inherited!B:B))/100)*(_xlfn.XLOOKUP(Assessment!#REF!,Inherited!A:A,Inherited!E:E)))+(((100-(_xlfn.XLOOKUP(Assessment!#REF!,Inherited!A:A,Inherited!B:B)))/100)*IF(Z95="1.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(100%)","100"))))))&lt;=32),"25",IF(AND((((_xlfn.XLOOKUP(Assessment!#REF!,Inherited!A:A,Inherited!B:B))/100)*(_xlfn.XLOOKUP(Assessment!#REF!,Inherited!A:A,Inherited!E:E)))+(((100-(_xlfn.XLOOKUP(Assessment!#REF!,Inherited!A:A,Inherited!B:B)))/100)*IF(Z95="1.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(100%)","100"))))))&gt;=33,(((_xlfn.XLOOKUP(Assessment!#REF!,Inherited!A:A,Inherited!B:B))/100)*(_xlfn.XLOOKUP(Assessment!#REF!,Inherited!A:A,Inherited!E:E)))+(((100-(_xlfn.XLOOKUP(Assessment!#REF!,Inherited!A:A,Inherited!B:B)))/100)*IF(Z95="1.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(100%)","100"))))))&lt;=65),"50",IF(AND((((_xlfn.XLOOKUP(Assessment!#REF!,Inherited!A:A,Inherited!B:B))/100)*(_xlfn.XLOOKUP(Assessment!#REF!,Inherited!A:A,Inherited!E:E)))+(((100-(_xlfn.XLOOKUP(Assessment!#REF!,Inherited!A:A,Inherited!B:B)))/100)*IF(Z95="1.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(100%)","100"))))))&gt;=66,(((_xlfn.XLOOKUP(Assessment!#REF!,Inherited!A:A,Inherited!B:B))/100)*(_xlfn.XLOOKUP(Assessment!#REF!,Inherited!A:A,Inherited!E:E)))+(((100-(_xlfn.XLOOKUP(Assessment!#REF!,Inherited!A:A,Inherited!B:B)))/100)*IF(Z95="1.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(100%)","100"))))))&lt;=89),"75",IF((((_xlfn.XLOOKUP(Assessment!#REF!,Inherited!A:A,Inherited!B:B))/100)*(_xlfn.XLOOKUP(Assessment!#REF!,Inherited!A:A,Inherited!E:E)))+(((100-(_xlfn.XLOOKUP(Assessment!#REF!,Inherited!A:A,Inherited!B:B)))/100)*IF(Z95="1. Non Compliant (0%)","0",IF(Z95="2. Somewhat Compliant (25%)","25",IF(Z95="3. Partially Compliant (50%)","50",IF(Z95="4. Mostly Compliant (75%)","75",IF(Z95="5. Fully Compliant (100%)","100"))))))&gt;=90,"100"))))))</f>
        <v>#N/A</v>
      </c>
      <c r="T95" s="1" t="e">
        <f>IF(MATCH(H95,Inherited!A:A),IF((((_xlfn.XLOOKUP(Assessment!#REF!,Inherited!A:A,Inherited!B:B))/100)*(_xlfn.XLOOKUP(Assessment!#REF!,Inherited!A:A,Inherited!F:F)))+(((100-(_xlfn.XLOOKUP(Assessment!#REF!,Inherited!A:A,Inherited!B:B)))/100)*IF(AA95="1.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(100%)","100"))))))&lt;=10,"0", IF(AND((((_xlfn.XLOOKUP(Assessment!#REF!,Inherited!A:A,Inherited!B:B))/100)*(_xlfn.XLOOKUP(Assessment!#REF!,Inherited!A:A,Inherited!F:F)))+(((100-(_xlfn.XLOOKUP(Assessment!#REF!,Inherited!A:A,Inherited!B:B)))/100)*IF(AA95="1.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(100%)","100"))))))&gt;=11,(((_xlfn.XLOOKUP(Assessment!#REF!,Inherited!A:A,Inherited!B:B))/100)*(_xlfn.XLOOKUP(Assessment!#REF!,Inherited!A:A,Inherited!F:F)))+(((100-(_xlfn.XLOOKUP(Assessment!#REF!,Inherited!A:A,Inherited!B:B)))/100)*IF(AA95="1.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(100%)","100"))))))&lt;=32),"25",IF(AND((((_xlfn.XLOOKUP(Assessment!#REF!,Inherited!A:A,Inherited!B:B))/100)*(_xlfn.XLOOKUP(Assessment!#REF!,Inherited!A:A,Inherited!F:F)))+(((100-(_xlfn.XLOOKUP(Assessment!#REF!,Inherited!A:A,Inherited!B:B)))/100)*IF(AA95="1.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(100%)","100"))))))&gt;=33,(((_xlfn.XLOOKUP(Assessment!#REF!,Inherited!A:A,Inherited!B:B))/100)*(_xlfn.XLOOKUP(Assessment!#REF!,Inherited!A:A,Inherited!F:F)))+(((100-(_xlfn.XLOOKUP(Assessment!#REF!,Inherited!A:A,Inherited!B:B)))/100)*IF(AA95="1.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(100%)","100"))))))&lt;=65),"50",IF(AND((((_xlfn.XLOOKUP(Assessment!#REF!,Inherited!A:A,Inherited!B:B))/100)*(_xlfn.XLOOKUP(Assessment!#REF!,Inherited!A:A,Inherited!F:F)))+(((100-(_xlfn.XLOOKUP(Assessment!#REF!,Inherited!A:A,Inherited!B:B)))/100)*IF(AA95="1.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(100%)","100"))))))&gt;=66,(((_xlfn.XLOOKUP(Assessment!#REF!,Inherited!A:A,Inherited!B:B))/100)*(_xlfn.XLOOKUP(Assessment!#REF!,Inherited!A:A,Inherited!F:F)))+(((100-(_xlfn.XLOOKUP(Assessment!#REF!,Inherited!A:A,Inherited!B:B)))/100)*IF(AA95="1.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(100%)","100"))))))&lt;=89),"75",IF((((_xlfn.XLOOKUP(Assessment!#REF!,Inherited!A:A,Inherited!B:B))/100)*(_xlfn.XLOOKUP(Assessment!#REF!,Inherited!A:A,Inherited!F:F)))+(((100-(_xlfn.XLOOKUP(Assessment!#REF!,Inherited!A:A,Inherited!B:B)))/100)*IF(AA95="1. Non Compliant (0%)","0",IF(AA95="2. Somewhat Compliant (25%)","25",IF(AA95="3. Partially Compliant (50%)","50",IF(AA95="4. Mostly Compliant (75%)","75",IF(AA95="5. Fully Compliant (100%)","100"))))))&gt;=90,"100"))))))</f>
        <v>#N/A</v>
      </c>
      <c r="U95" s="1" t="e">
        <f>IF(MATCH(H95,Inherited!A:A),IF((((_xlfn.XLOOKUP(Assessment!#REF!,Inherited!A:A,Inherited!B:B))/100)*(_xlfn.XLOOKUP(Assessment!#REF!,Inherited!A:A,Inherited!G:G)))+(((100-(_xlfn.XLOOKUP(Assessment!#REF!,Inherited!A:A,Inherited!B:B)))/100)*IF(AB95="1.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(100%)","100"))))))&lt;=10,"0", IF(AND((((_xlfn.XLOOKUP(Assessment!#REF!,Inherited!A:A,Inherited!B:B))/100)*(_xlfn.XLOOKUP(Assessment!#REF!,Inherited!A:A,Inherited!G:G)))+(((100-(_xlfn.XLOOKUP(Assessment!#REF!,Inherited!A:A,Inherited!B:B)))/100)*IF(AB95="1.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(100%)","100"))))))&gt;=11,(((_xlfn.XLOOKUP(Assessment!#REF!,Inherited!A:A,Inherited!B:B))/100)*(_xlfn.XLOOKUP(Assessment!#REF!,Inherited!A:A,Inherited!G:G)))+(((100-(_xlfn.XLOOKUP(Assessment!#REF!,Inherited!A:A,Inherited!B:B)))/100)*IF(AB95="1.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(100%)","100"))))))&lt;=32),"25",IF(AND((((_xlfn.XLOOKUP(Assessment!#REF!,Inherited!A:A,Inherited!B:B))/100)*(_xlfn.XLOOKUP(Assessment!#REF!,Inherited!A:A,Inherited!G:G)))+(((100-(_xlfn.XLOOKUP(Assessment!#REF!,Inherited!A:A,Inherited!B:B)))/100)*IF(AB95="1.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(100%)","100"))))))&gt;=33,(((_xlfn.XLOOKUP(Assessment!#REF!,Inherited!A:A,Inherited!B:B))/100)*(_xlfn.XLOOKUP(Assessment!#REF!,Inherited!A:A,Inherited!G:G)))+(((100-(_xlfn.XLOOKUP(Assessment!#REF!,Inherited!A:A,Inherited!B:B)))/100)*IF(AB95="1.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(100%)","100"))))))&lt;=65),"50",IF(AND((((_xlfn.XLOOKUP(Assessment!#REF!,Inherited!A:A,Inherited!B:B))/100)*(_xlfn.XLOOKUP(Assessment!#REF!,Inherited!A:A,Inherited!G:G)))+(((100-(_xlfn.XLOOKUP(Assessment!#REF!,Inherited!A:A,Inherited!B:B)))/100)*IF(AB95="1.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(100%)","100"))))))&gt;=66,(((_xlfn.XLOOKUP(Assessment!#REF!,Inherited!A:A,Inherited!B:B))/100)*(_xlfn.XLOOKUP(Assessment!#REF!,Inherited!A:A,Inherited!G:G)))+(((100-(_xlfn.XLOOKUP(Assessment!#REF!,Inherited!A:A,Inherited!B:B)))/100)*IF(AB95="1.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(100%)","100"))))))&lt;=89),"75",IF((((_xlfn.XLOOKUP(Assessment!#REF!,Inherited!A:A,Inherited!B:B))/100)*(_xlfn.XLOOKUP(Assessment!#REF!,Inherited!A:A,Inherited!G:G)))+(((100-(_xlfn.XLOOKUP(Assessment!#REF!,Inherited!A:A,Inherited!B:B)))/100)*IF(AB95="1. Non Compliant (0%)","0",IF(AB95="2. Somewhat Compliant (25%)","25",IF(AB95="3. Partially Compliant (50%)","50",IF(AB95="4. Mostly Compliant (75%)","75",IF(AB95="5. Fully Compliant (100%)","100"))))))&gt;=90,"100"))))))</f>
        <v>#N/A</v>
      </c>
      <c r="V95" s="55" t="s">
        <v>85</v>
      </c>
      <c r="W95" s="55"/>
      <c r="X95" s="55"/>
      <c r="Y95" s="55"/>
      <c r="Z95" s="55" t="s">
        <v>86</v>
      </c>
      <c r="AA95" s="55"/>
      <c r="AB95" s="55"/>
      <c r="AK95" s="1" t="s">
        <v>10891</v>
      </c>
      <c r="AL95" s="1" t="s">
        <v>10905</v>
      </c>
      <c r="AM95" s="1" t="s">
        <v>10933</v>
      </c>
      <c r="AX95" s="3" t="str">
        <f>_xlfn.CONCAT("A-LIGN finished its review of this control on ",AR95, " during the scheduled fieldwork window (",Intro!$B$4,")."&amp; CHAR(10)&amp; CHAR(10))</f>
        <v xml:space="preserve">A-LIGN finished its review of this control on  during the scheduled fieldwork window (Fieldwork: xx/xx/xxxx - xx/xx/xxxx).
</v>
      </c>
      <c r="AY95" s="3" t="str">
        <f t="shared" ref="AY95:AY100" si="181">IF(AQ95&lt;&gt;"",(_xlfn.CONCAT("Inheritance note: "&amp; CHAR(10),AQ95&amp; CHAR(10)&amp; CHAR(10))),"")</f>
        <v/>
      </c>
      <c r="AZ95" s="3" t="str">
        <f t="shared" ref="AZ95:AZ100" si="182">IFERROR(IF(AD95&lt;&gt;"",_xlfn.CONCAT("Examined the following policy during fieldwork:"&amp; CHAR(10),AD95&amp; CHAR(10)&amp; CHAR(10),IF(AND(X95&lt;&gt;"5. Fully Compliant (100%)",AE95&lt;&gt;""),"Reviewed policy exception note:"&amp; CHAR(10) &amp; AE95 &amp; CHAR(10) &amp; CHAR(10),"")),""),"")</f>
        <v/>
      </c>
      <c r="BA95" s="3" t="str">
        <f t="shared" ref="BA95:BA100" si="183">IFERROR(IF(AH95&lt;&gt;"",_xlfn.CONCAT("Examined the following process during fieldwork:"&amp; CHAR(10),AH95&amp; CHAR(10)&amp; CHAR(10),IF(AND(Y95&lt;&gt;"5. Fully Compliant (100%)",AI95&lt;&gt;""),"Reviewed process exception note:"&amp; CHAR(10) &amp; AI95 &amp; CHAR(10) &amp; CHAR(10),"")),""),"")</f>
        <v/>
      </c>
      <c r="BB95" s="3" t="str">
        <f t="shared" ref="BB95:BB100" si="184">IF(AK95&lt;&gt;"",(_xlfn.CONCAT("Inquired of the following workforce member: "&amp; CHAR(10),AK95&amp; CHAR(10)&amp; CHAR(10),"Inquiry lead to the following conclusions: "&amp; CHAR(10),AL95&amp; CHAR(10) &amp; CHAR(10))),"")</f>
        <v xml:space="preserve">Inquired of the following workforce member: 
Matthew Macaluso - Director of System Operations
Roze Nicolas - Director of TechOps
Inquiry lead to the following conclusions: 
Groups within Google and Entra are utilized.
</v>
      </c>
      <c r="BC95" s="3" t="str">
        <f t="shared" ref="BC95:BC100" si="185">IF(AM95&lt;&gt;"",(_xlfn.CONCAT("Observed the following live during fieldwork: "&amp; CHAR(10),AM95&amp; CHAR(10) &amp; CHAR(10))),"")</f>
        <v xml:space="preserve">Observed the following live during fieldwork: 
Observed a change ticket for a new hire, which demonstrated that a workflow is in place to ensure users are granted the proper access rights and that the appropriate management involvement was followed to ensure appropriate roles/access rules/etc. are implemented.
Also observed segregation between the one requesting access and the user who was responsible for approving the access rights.
</v>
      </c>
      <c r="BD95" s="3" t="str">
        <f t="shared" ref="BD95:BD100" si="186">_xlfn.CONCAT("Examined the following evidence during fieldwork:"&amp; CHAR(10),AN95&amp; CHAR(10)&amp; CHAR(10),IF(AO95&lt;&gt;"","Reviewed evidence note:"&amp; CHAR(10)&amp;AO95&amp; CHAR(10) &amp; CHAR(10),"Reviewed evidence addressed the requirement statement."&amp; CHAR(10) &amp; CHAR(10)),IF(AND(AP95&lt;&gt;"5. Fully Compliant (100%)",AP95&lt;&gt;""),"Reviewed evidence exception note: "&amp; CHAR(10) &amp; AP95 &amp; CHAR(10) &amp; CHAR(10),""))</f>
        <v xml:space="preserve">Examined the following evidence during fieldwork:
Reviewed evidence addressed the requirement statement.
</v>
      </c>
      <c r="BE95" s="3" t="str">
        <f t="shared" ref="BE95:BE100" si="187">IF(AT95&lt;&gt;"",(_xlfn.CONCAT("Examined the following measure/metric during fieldwork:"&amp; CHAR(10),AT95&amp; CHAR(10)&amp; CHAR(10),"Reviewed measure/metric note:"&amp; CHAR(10),AU95 &amp; CHAR(10) &amp; CHAR(10))),"")</f>
        <v/>
      </c>
      <c r="BF95" s="3" t="str">
        <f t="shared" ref="BF95:BF100" si="188">IF(AV95&lt;&gt;"",(_xlfn.CONCAT("Examined the following measure/metric management during fieldwork:"&amp; CHAR(10),AV95&amp; CHAR(10)&amp; CHAR(10),"Reviewed measure/metric management note:"&amp; CHAR(10),AW95 &amp; CHAR(10) &amp; CHAR(10))),"")</f>
        <v/>
      </c>
      <c r="BG95" s="3" t="str">
        <f>_xlfn.CONCAT((IF((COUNTIF('Sample Tables'!B:B,"Test 024: Change (access to information system)")&gt;0)=TRUE,_xlfn.CONCAT("Sample test results are documented in ",'Sample Tables'!B260," [",'Sample Tables'!B261,", ",'Sample Tables'!B262,", ",'Sample Tables'!B263,", ",'Sample Tables'!B264,", ",'Sample Tables'!B265,"]."&amp;CHAR(10)),IF((COUNTIF('Sample Tables'!B:B,"Test 024: Change (access to information system)")&gt;0)=FALSE,""))),(IF((COUNTIF('Sample Tables'!B:B,"Test 025: Change (access to privileged permissions)")&gt;0)=TRUE,_xlfn.CONCAT("Sample test results are documented in ",'Sample Tables'!B271," [",'Sample Tables'!B272,", ",'Sample Tables'!B273,", ",'Sample Tables'!B274,", ",'Sample Tables'!B275,", ",'Sample Tables'!B276,"]."&amp;CHAR(10)),IF((COUNTIF('Sample Tables'!B:B,"Test 025: Change (access to privileged permissions)")&gt;0)=FALSE,""))),)</f>
        <v xml:space="preserve">Sample test results are documented in Test 024: Change (access to information system) [Population Source/Tool: , Population Date Range: , Population Size: , Sample Methodology: , Sample Size: ].
Sample test results are documented in Test 025: Change (access to privileged permissions) [Population Source/Tool: , Population Date Range: , Population Size: , Sample Methodology: , Sample Size: ].
</v>
      </c>
      <c r="BH95" s="3" t="str">
        <f t="shared" ref="BH95:BH100" si="189">IF(V95="No","Not Applicable: "&amp;W95,(_xlfn.CONCAT(AX95,AY95,AZ95,BA95,BB95,BC95,BD95,BE95,BF95,BG95)))</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Groups within Google and Entra are utilized.
Observed the following live during fieldwork: 
Observed a change ticket for a new hire, which demonstrated that a workflow is in place to ensure users are granted the proper access rights and that the appropriate management involvement was followed to ensure appropriate roles/access rules/etc. are implemented.
Also observed segregation between the one requesting access and the user who was responsible for approving the access rights.
Examined the following evidence during fieldwork:
Reviewed evidence addressed the requirement statement.
Sample test results are documented in Test 024: Change (access to information system) [Population Source/Tool: , Population Date Range: , Population Size: , Sample Methodology: , Sample Size: ].
Sample test results are documented in Test 025: Change (access to privileged permissions) [Population Source/Tool: , Population Date Range: , Population Size: , Sample Methodology: , Sample Size: ].
</v>
      </c>
    </row>
    <row r="96" spans="3:60" ht="409.5" x14ac:dyDescent="0.35">
      <c r="C96" s="1">
        <f t="shared" si="180"/>
        <v>40</v>
      </c>
      <c r="D96" s="5" t="str">
        <f>IF(AND((_xlfn.XLOOKUP(J96,'Fields &amp; Revisions'!$H:$H,'Fields &amp; Revisions'!$I:$I))&lt;70.99,(OR(Z96="4. Mostly Compliant (75%)",Z96="3. Partially Compliant (50%)",Z96="2. Somewhat Compliant (25%)",Z96="1. Non Compliant (0%)"))),"Yes","No")</f>
        <v>No</v>
      </c>
      <c r="E96" s="5" t="str">
        <f>IF(ISERROR(VLOOKUP(H96,Scope!A:A,1,FALSE)),"No","Yes")</f>
        <v>Yes</v>
      </c>
      <c r="F96" s="1" t="s">
        <v>2424</v>
      </c>
      <c r="G96" s="53" t="s">
        <v>2757</v>
      </c>
      <c r="H96" s="53" t="s">
        <v>2758</v>
      </c>
      <c r="I96" s="5">
        <v>1</v>
      </c>
      <c r="J96" s="1" t="s">
        <v>2759</v>
      </c>
      <c r="K96" s="1" t="s">
        <v>2760</v>
      </c>
      <c r="L96" s="1" t="s">
        <v>2761</v>
      </c>
      <c r="M96" s="1" t="s">
        <v>2762</v>
      </c>
      <c r="N96" s="5" t="s">
        <v>85</v>
      </c>
      <c r="O96" s="1" t="str">
        <f>_xlfn.XLOOKUP(G96,SRMs!$A:$A,SRMs!$D:$D)</f>
        <v>PARTIAL INHERITANCE</v>
      </c>
      <c r="P96" s="1" t="str">
        <f>IFERROR(VLOOKUP(H96,Inherited!A:B,2,FALSE),"")</f>
        <v/>
      </c>
      <c r="Q96" s="1" t="e">
        <f>IF(MATCH(H96,Inherited!A:A),IF((((_xlfn.XLOOKUP(Assessment!#REF!,Inherited!A:A,Inherited!B:B))/100)*(_xlfn.XLOOKUP(Assessment!#REF!,Inherited!A:A,Inherited!C:C)))+(((100-(_xlfn.XLOOKUP(Assessment!#REF!,Inherited!A:A,Inherited!B:B)))/100)*IF(X96="1.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(100%)","100"))))))&lt;=10,"0", IF(AND((((_xlfn.XLOOKUP(Assessment!#REF!,Inherited!A:A,Inherited!B:B))/100)*(_xlfn.XLOOKUP(Assessment!#REF!,Inherited!A:A,Inherited!C:C)))+(((100-(_xlfn.XLOOKUP(Assessment!#REF!,Inherited!A:A,Inherited!B:B)))/100)*IF(X96="1.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(100%)","100"))))))&gt;=11,(((_xlfn.XLOOKUP(Assessment!#REF!,Inherited!A:A,Inherited!B:B))/100)*(_xlfn.XLOOKUP(Assessment!#REF!,Inherited!A:A,Inherited!C:C)))+(((100-(_xlfn.XLOOKUP(Assessment!#REF!,Inherited!A:A,Inherited!B:B)))/100)*IF(X96="1.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(100%)","100"))))))&lt;=32),"25",IF(AND((((_xlfn.XLOOKUP(Assessment!#REF!,Inherited!A:A,Inherited!B:B))/100)*(_xlfn.XLOOKUP(Assessment!#REF!,Inherited!A:A,Inherited!C:C)))+(((100-(_xlfn.XLOOKUP(Assessment!#REF!,Inherited!A:A,Inherited!B:B)))/100)*IF(X96="1.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(100%)","100"))))))&gt;=33,(((_xlfn.XLOOKUP(Assessment!#REF!,Inherited!A:A,Inherited!B:B))/100)*(_xlfn.XLOOKUP(Assessment!#REF!,Inherited!A:A,Inherited!C:C)))+(((100-(_xlfn.XLOOKUP(Assessment!#REF!,Inherited!A:A,Inherited!B:B)))/100)*IF(X96="1.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(100%)","100"))))))&lt;=65),"50",IF(AND((((_xlfn.XLOOKUP(Assessment!#REF!,Inherited!A:A,Inherited!B:B))/100)*(_xlfn.XLOOKUP(Assessment!#REF!,Inherited!A:A,Inherited!C:C)))+(((100-(_xlfn.XLOOKUP(Assessment!#REF!,Inherited!A:A,Inherited!B:B)))/100)*IF(X96="1.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(100%)","100"))))))&gt;=66,(((_xlfn.XLOOKUP(Assessment!#REF!,Inherited!A:A,Inherited!B:B))/100)*(_xlfn.XLOOKUP(Assessment!#REF!,Inherited!A:A,Inherited!C:C)))+(((100-(_xlfn.XLOOKUP(Assessment!#REF!,Inherited!A:A,Inherited!B:B)))/100)*IF(X96="1.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(100%)","100"))))))&lt;=89),"75",IF((((_xlfn.XLOOKUP(Assessment!#REF!,Inherited!A:A,Inherited!B:B))/100)*(_xlfn.XLOOKUP(Assessment!#REF!,Inherited!A:A,Inherited!C:C)))+(((100-(_xlfn.XLOOKUP(Assessment!#REF!,Inherited!A:A,Inherited!B:B)))/100)*IF(X96="1. Non Compliant (0%)","0",IF(X96="2. Somewhat Compliant (25%)","25",IF(X96="3. Partially Compliant (50%)","50",IF(X96="4. Mostly Compliant (75%)","75",IF(X96="5. Fully Compliant (100%)","100"))))))&gt;=90,"100"))))))</f>
        <v>#N/A</v>
      </c>
      <c r="R96" s="1" t="e">
        <f>IF(MATCH(H96,Inherited!A:A),IF((((_xlfn.XLOOKUP(Assessment!#REF!,Inherited!A:A,Inherited!B:B))/100)*(_xlfn.XLOOKUP(Assessment!#REF!,Inherited!A:A,Inherited!D:D)))+(((100-(_xlfn.XLOOKUP(Assessment!#REF!,Inherited!A:A,Inherited!B:B)))/100)*IF(Y96="1.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(100%)","100"))))))&lt;=10,"0", IF(AND((((_xlfn.XLOOKUP(Assessment!#REF!,Inherited!A:A,Inherited!B:B))/100)*(_xlfn.XLOOKUP(Assessment!#REF!,Inherited!A:A,Inherited!D:D)))+(((100-(_xlfn.XLOOKUP(Assessment!#REF!,Inherited!A:A,Inherited!B:B)))/100)*IF(Y96="1.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(100%)","100"))))))&gt;=11,(((_xlfn.XLOOKUP(Assessment!#REF!,Inherited!A:A,Inherited!B:B))/100)*(_xlfn.XLOOKUP(Assessment!#REF!,Inherited!A:A,Inherited!D:D)))+(((100-(_xlfn.XLOOKUP(Assessment!#REF!,Inherited!A:A,Inherited!B:B)))/100)*IF(Y96="1.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(100%)","100"))))))&lt;=32),"25",IF(AND((((_xlfn.XLOOKUP(Assessment!#REF!,Inherited!A:A,Inherited!B:B))/100)*(_xlfn.XLOOKUP(Assessment!#REF!,Inherited!A:A,Inherited!D:D)))+(((100-(_xlfn.XLOOKUP(Assessment!#REF!,Inherited!A:A,Inherited!B:B)))/100)*IF(Y96="1.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(100%)","100"))))))&gt;=33,(((_xlfn.XLOOKUP(Assessment!#REF!,Inherited!A:A,Inherited!B:B))/100)*(_xlfn.XLOOKUP(Assessment!#REF!,Inherited!A:A,Inherited!D:D)))+(((100-(_xlfn.XLOOKUP(Assessment!#REF!,Inherited!A:A,Inherited!B:B)))/100)*IF(Y96="1.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(100%)","100"))))))&lt;=65),"50",IF(AND((((_xlfn.XLOOKUP(Assessment!#REF!,Inherited!A:A,Inherited!B:B))/100)*(_xlfn.XLOOKUP(Assessment!#REF!,Inherited!A:A,Inherited!D:D)))+(((100-(_xlfn.XLOOKUP(Assessment!#REF!,Inherited!A:A,Inherited!B:B)))/100)*IF(Y96="1.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(100%)","100"))))))&gt;=66,(((_xlfn.XLOOKUP(Assessment!#REF!,Inherited!A:A,Inherited!B:B))/100)*(_xlfn.XLOOKUP(Assessment!#REF!,Inherited!A:A,Inherited!D:D)))+(((100-(_xlfn.XLOOKUP(Assessment!#REF!,Inherited!A:A,Inherited!B:B)))/100)*IF(Y96="1.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(100%)","100"))))))&lt;=89),"75",IF((((_xlfn.XLOOKUP(Assessment!#REF!,Inherited!A:A,Inherited!B:B))/100)*(_xlfn.XLOOKUP(Assessment!#REF!,Inherited!A:A,Inherited!D:D)))+(((100-(_xlfn.XLOOKUP(Assessment!#REF!,Inherited!A:A,Inherited!B:B)))/100)*IF(Y96="1. Non Compliant (0%)","0",IF(Y96="2. Somewhat Compliant (25%)","25",IF(Y96="3. Partially Compliant (50%)","50",IF(Y96="4. Mostly Compliant (75%)","75",IF(Y96="5. Fully Compliant (100%)","100"))))))&gt;=90,"100"))))))</f>
        <v>#N/A</v>
      </c>
      <c r="S96" s="1" t="e">
        <f>IF(MATCH(H96,Inherited!A:A),IF((((_xlfn.XLOOKUP(Assessment!#REF!,Inherited!A:A,Inherited!B:B))/100)*(_xlfn.XLOOKUP(Assessment!#REF!,Inherited!A:A,Inherited!E:E)))+(((100-(_xlfn.XLOOKUP(Assessment!#REF!,Inherited!A:A,Inherited!B:B)))/100)*IF(Z96="1.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(100%)","100"))))))&lt;=10,"0", IF(AND((((_xlfn.XLOOKUP(Assessment!#REF!,Inherited!A:A,Inherited!B:B))/100)*(_xlfn.XLOOKUP(Assessment!#REF!,Inherited!A:A,Inherited!E:E)))+(((100-(_xlfn.XLOOKUP(Assessment!#REF!,Inherited!A:A,Inherited!B:B)))/100)*IF(Z96="1.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(100%)","100"))))))&gt;=11,(((_xlfn.XLOOKUP(Assessment!#REF!,Inherited!A:A,Inherited!B:B))/100)*(_xlfn.XLOOKUP(Assessment!#REF!,Inherited!A:A,Inherited!E:E)))+(((100-(_xlfn.XLOOKUP(Assessment!#REF!,Inherited!A:A,Inherited!B:B)))/100)*IF(Z96="1.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(100%)","100"))))))&lt;=32),"25",IF(AND((((_xlfn.XLOOKUP(Assessment!#REF!,Inherited!A:A,Inherited!B:B))/100)*(_xlfn.XLOOKUP(Assessment!#REF!,Inherited!A:A,Inherited!E:E)))+(((100-(_xlfn.XLOOKUP(Assessment!#REF!,Inherited!A:A,Inherited!B:B)))/100)*IF(Z96="1.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(100%)","100"))))))&gt;=33,(((_xlfn.XLOOKUP(Assessment!#REF!,Inherited!A:A,Inherited!B:B))/100)*(_xlfn.XLOOKUP(Assessment!#REF!,Inherited!A:A,Inherited!E:E)))+(((100-(_xlfn.XLOOKUP(Assessment!#REF!,Inherited!A:A,Inherited!B:B)))/100)*IF(Z96="1.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(100%)","100"))))))&lt;=65),"50",IF(AND((((_xlfn.XLOOKUP(Assessment!#REF!,Inherited!A:A,Inherited!B:B))/100)*(_xlfn.XLOOKUP(Assessment!#REF!,Inherited!A:A,Inherited!E:E)))+(((100-(_xlfn.XLOOKUP(Assessment!#REF!,Inherited!A:A,Inherited!B:B)))/100)*IF(Z96="1.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(100%)","100"))))))&gt;=66,(((_xlfn.XLOOKUP(Assessment!#REF!,Inherited!A:A,Inherited!B:B))/100)*(_xlfn.XLOOKUP(Assessment!#REF!,Inherited!A:A,Inherited!E:E)))+(((100-(_xlfn.XLOOKUP(Assessment!#REF!,Inherited!A:A,Inherited!B:B)))/100)*IF(Z96="1.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(100%)","100"))))))&lt;=89),"75",IF((((_xlfn.XLOOKUP(Assessment!#REF!,Inherited!A:A,Inherited!B:B))/100)*(_xlfn.XLOOKUP(Assessment!#REF!,Inherited!A:A,Inherited!E:E)))+(((100-(_xlfn.XLOOKUP(Assessment!#REF!,Inherited!A:A,Inherited!B:B)))/100)*IF(Z96="1. Non Compliant (0%)","0",IF(Z96="2. Somewhat Compliant (25%)","25",IF(Z96="3. Partially Compliant (50%)","50",IF(Z96="4. Mostly Compliant (75%)","75",IF(Z96="5. Fully Compliant (100%)","100"))))))&gt;=90,"100"))))))</f>
        <v>#N/A</v>
      </c>
      <c r="T96" s="1" t="e">
        <f>IF(MATCH(H96,Inherited!A:A),IF((((_xlfn.XLOOKUP(Assessment!#REF!,Inherited!A:A,Inherited!B:B))/100)*(_xlfn.XLOOKUP(Assessment!#REF!,Inherited!A:A,Inherited!F:F)))+(((100-(_xlfn.XLOOKUP(Assessment!#REF!,Inherited!A:A,Inherited!B:B)))/100)*IF(AA96="1.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(100%)","100"))))))&lt;=10,"0", IF(AND((((_xlfn.XLOOKUP(Assessment!#REF!,Inherited!A:A,Inherited!B:B))/100)*(_xlfn.XLOOKUP(Assessment!#REF!,Inherited!A:A,Inherited!F:F)))+(((100-(_xlfn.XLOOKUP(Assessment!#REF!,Inherited!A:A,Inherited!B:B)))/100)*IF(AA96="1.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(100%)","100"))))))&gt;=11,(((_xlfn.XLOOKUP(Assessment!#REF!,Inherited!A:A,Inherited!B:B))/100)*(_xlfn.XLOOKUP(Assessment!#REF!,Inherited!A:A,Inherited!F:F)))+(((100-(_xlfn.XLOOKUP(Assessment!#REF!,Inherited!A:A,Inherited!B:B)))/100)*IF(AA96="1.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(100%)","100"))))))&lt;=32),"25",IF(AND((((_xlfn.XLOOKUP(Assessment!#REF!,Inherited!A:A,Inherited!B:B))/100)*(_xlfn.XLOOKUP(Assessment!#REF!,Inherited!A:A,Inherited!F:F)))+(((100-(_xlfn.XLOOKUP(Assessment!#REF!,Inherited!A:A,Inherited!B:B)))/100)*IF(AA96="1.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(100%)","100"))))))&gt;=33,(((_xlfn.XLOOKUP(Assessment!#REF!,Inherited!A:A,Inherited!B:B))/100)*(_xlfn.XLOOKUP(Assessment!#REF!,Inherited!A:A,Inherited!F:F)))+(((100-(_xlfn.XLOOKUP(Assessment!#REF!,Inherited!A:A,Inherited!B:B)))/100)*IF(AA96="1.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(100%)","100"))))))&lt;=65),"50",IF(AND((((_xlfn.XLOOKUP(Assessment!#REF!,Inherited!A:A,Inherited!B:B))/100)*(_xlfn.XLOOKUP(Assessment!#REF!,Inherited!A:A,Inherited!F:F)))+(((100-(_xlfn.XLOOKUP(Assessment!#REF!,Inherited!A:A,Inherited!B:B)))/100)*IF(AA96="1.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(100%)","100"))))))&gt;=66,(((_xlfn.XLOOKUP(Assessment!#REF!,Inherited!A:A,Inherited!B:B))/100)*(_xlfn.XLOOKUP(Assessment!#REF!,Inherited!A:A,Inherited!F:F)))+(((100-(_xlfn.XLOOKUP(Assessment!#REF!,Inherited!A:A,Inherited!B:B)))/100)*IF(AA96="1.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(100%)","100"))))))&lt;=89),"75",IF((((_xlfn.XLOOKUP(Assessment!#REF!,Inherited!A:A,Inherited!B:B))/100)*(_xlfn.XLOOKUP(Assessment!#REF!,Inherited!A:A,Inherited!F:F)))+(((100-(_xlfn.XLOOKUP(Assessment!#REF!,Inherited!A:A,Inherited!B:B)))/100)*IF(AA96="1. Non Compliant (0%)","0",IF(AA96="2. Somewhat Compliant (25%)","25",IF(AA96="3. Partially Compliant (50%)","50",IF(AA96="4. Mostly Compliant (75%)","75",IF(AA96="5. Fully Compliant (100%)","100"))))))&gt;=90,"100"))))))</f>
        <v>#N/A</v>
      </c>
      <c r="U96" s="1" t="e">
        <f>IF(MATCH(H96,Inherited!A:A),IF((((_xlfn.XLOOKUP(Assessment!#REF!,Inherited!A:A,Inherited!B:B))/100)*(_xlfn.XLOOKUP(Assessment!#REF!,Inherited!A:A,Inherited!G:G)))+(((100-(_xlfn.XLOOKUP(Assessment!#REF!,Inherited!A:A,Inherited!B:B)))/100)*IF(AB96="1.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(100%)","100"))))))&lt;=10,"0", IF(AND((((_xlfn.XLOOKUP(Assessment!#REF!,Inherited!A:A,Inherited!B:B))/100)*(_xlfn.XLOOKUP(Assessment!#REF!,Inherited!A:A,Inherited!G:G)))+(((100-(_xlfn.XLOOKUP(Assessment!#REF!,Inherited!A:A,Inherited!B:B)))/100)*IF(AB96="1.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(100%)","100"))))))&gt;=11,(((_xlfn.XLOOKUP(Assessment!#REF!,Inherited!A:A,Inherited!B:B))/100)*(_xlfn.XLOOKUP(Assessment!#REF!,Inherited!A:A,Inherited!G:G)))+(((100-(_xlfn.XLOOKUP(Assessment!#REF!,Inherited!A:A,Inherited!B:B)))/100)*IF(AB96="1.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(100%)","100"))))))&lt;=32),"25",IF(AND((((_xlfn.XLOOKUP(Assessment!#REF!,Inherited!A:A,Inherited!B:B))/100)*(_xlfn.XLOOKUP(Assessment!#REF!,Inherited!A:A,Inherited!G:G)))+(((100-(_xlfn.XLOOKUP(Assessment!#REF!,Inherited!A:A,Inherited!B:B)))/100)*IF(AB96="1.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(100%)","100"))))))&gt;=33,(((_xlfn.XLOOKUP(Assessment!#REF!,Inherited!A:A,Inherited!B:B))/100)*(_xlfn.XLOOKUP(Assessment!#REF!,Inherited!A:A,Inherited!G:G)))+(((100-(_xlfn.XLOOKUP(Assessment!#REF!,Inherited!A:A,Inherited!B:B)))/100)*IF(AB96="1.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(100%)","100"))))))&lt;=65),"50",IF(AND((((_xlfn.XLOOKUP(Assessment!#REF!,Inherited!A:A,Inherited!B:B))/100)*(_xlfn.XLOOKUP(Assessment!#REF!,Inherited!A:A,Inherited!G:G)))+(((100-(_xlfn.XLOOKUP(Assessment!#REF!,Inherited!A:A,Inherited!B:B)))/100)*IF(AB96="1.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(100%)","100"))))))&gt;=66,(((_xlfn.XLOOKUP(Assessment!#REF!,Inherited!A:A,Inherited!B:B))/100)*(_xlfn.XLOOKUP(Assessment!#REF!,Inherited!A:A,Inherited!G:G)))+(((100-(_xlfn.XLOOKUP(Assessment!#REF!,Inherited!A:A,Inherited!B:B)))/100)*IF(AB96="1.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(100%)","100"))))))&lt;=89),"75",IF((((_xlfn.XLOOKUP(Assessment!#REF!,Inherited!A:A,Inherited!B:B))/100)*(_xlfn.XLOOKUP(Assessment!#REF!,Inherited!A:A,Inherited!G:G)))+(((100-(_xlfn.XLOOKUP(Assessment!#REF!,Inherited!A:A,Inherited!B:B)))/100)*IF(AB96="1. Non Compliant (0%)","0",IF(AB96="2. Somewhat Compliant (25%)","25",IF(AB96="3. Partially Compliant (50%)","50",IF(AB96="4. Mostly Compliant (75%)","75",IF(AB96="5. Fully Compliant (100%)","100"))))))&gt;=90,"100"))))))</f>
        <v>#N/A</v>
      </c>
      <c r="V96" s="55" t="s">
        <v>85</v>
      </c>
      <c r="W96" s="55"/>
      <c r="X96" s="55"/>
      <c r="Y96" s="55"/>
      <c r="Z96" s="55" t="s">
        <v>86</v>
      </c>
      <c r="AA96" s="55"/>
      <c r="AB96" s="55"/>
      <c r="AK96" s="1" t="s">
        <v>10891</v>
      </c>
      <c r="AL96" s="1" t="s">
        <v>10934</v>
      </c>
      <c r="AX96" s="3" t="str">
        <f>_xlfn.CONCAT("A-LIGN finished its review of this control on ",AR96, " during the scheduled fieldwork window (",Intro!$B$4,")."&amp; CHAR(10)&amp; CHAR(10))</f>
        <v xml:space="preserve">A-LIGN finished its review of this control on  during the scheduled fieldwork window (Fieldwork: xx/xx/xxxx - xx/xx/xxxx).
</v>
      </c>
      <c r="AY96" s="3" t="str">
        <f t="shared" si="181"/>
        <v/>
      </c>
      <c r="AZ96" s="3" t="str">
        <f t="shared" si="182"/>
        <v/>
      </c>
      <c r="BA96" s="3" t="str">
        <f t="shared" si="183"/>
        <v/>
      </c>
      <c r="BB96" s="3" t="str">
        <f t="shared" si="184"/>
        <v xml:space="preserve">Inquired of the following workforce member: 
Matthew Macaluso - Director of System Operations
Roze Nicolas - Director of TechOps
Inquiry lead to the following conclusions: 
Groups within Google and Entra are utilized. Users will be assigned to specific groups within Google Workspace and/or Entra based in their role and then will be provided access to application/utilities based on their role designations.
</v>
      </c>
      <c r="BC96" s="3" t="str">
        <f t="shared" si="185"/>
        <v/>
      </c>
      <c r="BD96" s="3" t="str">
        <f t="shared" si="186"/>
        <v xml:space="preserve">Examined the following evidence during fieldwork:
Reviewed evidence addressed the requirement statement.
</v>
      </c>
      <c r="BE96" s="3" t="str">
        <f t="shared" si="187"/>
        <v/>
      </c>
      <c r="BF96" s="3" t="str">
        <f t="shared" si="188"/>
        <v/>
      </c>
      <c r="BG96" s="3" t="str">
        <f>_xlfn.CONCAT((IF((COUNTIF('Sample Tables'!B:B,"Test 045: Endpoint Device (BYOD)")&gt;0)=TRUE,_xlfn.CONCAT("Sample test results are documented in ",'Sample Tables'!B491," [",'Sample Tables'!B492,", ",'Sample Tables'!B493,", ",'Sample Tables'!B494,", ",'Sample Tables'!B495,", ",'Sample Tables'!B496,"]."&amp;CHAR(10)),IF((COUNTIF('Sample Tables'!B:B,"Test 045: Endpoint Device (BYOD)")&gt;0)=FALSE,""))),(IF((COUNTIF('Sample Tables'!B:B,"Test 050: Endpoint Device (laptop)")&gt;0)=TRUE,_xlfn.CONCAT("Sample test results are documented in ",'Sample Tables'!B546," [",'Sample Tables'!B547,", ",'Sample Tables'!B548,", ",'Sample Tables'!B549,", ",'Sample Tables'!B550,", ",'Sample Tables'!B551,"]."&amp;CHAR(10)),IF((COUNTIF('Sample Tables'!B:B,"Test 050: Endpoint Device (laptop)")&gt;0)=FALSE,""))),(IF((COUNTIF('Sample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058: Endpoint Device (workstation)")&gt;0)=TRUE,_xlfn.CONCAT("Sample test results are documented in ",'Sample Tables'!B634," [",'Sample Tables'!B635,", ",'Sample Tables'!B636,", ",'Sample Tables'!B637,", ",'Sample Tables'!B638,", ",'Sample Tables'!B639,"]."&amp;CHAR(10)),IF((COUNTIF('Sample Tables'!B:B,"")&gt;0)=FALSE,"Test 058: Endpoint Device (workstation)"))),(IF((COUNTIF('Sample Tables'!B:B,"Test 180: Network Device (firewall)")&gt;0)=TRUE,_xlfn.CONCAT("Sample test results are documented in ",'Sample Tables'!B1976," [",'Sample Tables'!B1977,", ",'Sample Tables'!B1978,", ",'Sample Tables'!B1979,", ",'Sample Tables'!B1980,", ",'Sample Tables'!B1981,"]."&amp;CHAR(10)),IF((COUNTIF('Sample Tables'!B:B,"Test 180: Network Device (firewall)")&gt;0)=FALSE,""))),(IF((COUNTIF('Sample Tables'!B:B,"Test 182: Network Device (router)")&gt;0)=TRUE,_xlfn.CONCAT("Sample test results are documented in ",'Sample Tables'!B1998," [",'Sample Tables'!B1999,", ",'Sample Tables'!B2000,", ",'Sample Tables'!B2001,", ",'Sample Tables'!B2002,", ",'Sample Tables'!B2003,"]."&amp;CHAR(10)),IF((COUNTIF('Sample Tables'!B:B,"Test 182: Network Device (router)")&gt;0)=FALSE,""))),(IF((COUNTIF('Sample Tables'!B:B,"Test 183: Network Device (switch)")&gt;0)=TRUE,_xlfn.CONCAT("Sample test results are documented in ",'Sample Tables'!B2009," [",'Sample Tables'!B2010,", ",'Sample Tables'!B2011,", ",'Sample Tables'!B2012,", ",'Sample Tables'!B2013,", ",'Sample Tables'!B2014,"]."&amp;CHAR(10)),IF((COUNTIF('Sample Tables'!B:B,"Test 183: Network Device (switch)")&gt;0)=FALSE,""))),(IF((COUNTIF('Sample Tables'!B:B,"Test 184: Network Device (wireless access point)")&gt;0)=TRUE,_xlfn.CONCAT("Sample test results are documented in ",'Sample Tables'!B2020," [",'Sample Tables'!B2021,", ",'Sample Tables'!B2022,", ",'Sample Tables'!B2023,", ",'Sample Tables'!B2024,", ",'Sample Tables'!B2025,"]."&amp;CHAR(10)),IF((COUNTIF('Sample Tables'!B:B,"Test 184: Network Device (wireless access point)")&gt;0)=FALSE,""))),)</f>
        <v xml:space="preserve">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Sample test results are documented in Test 180: Network Device (firewall) [Population Source/Tool: , Population Date Range: , Population Size: , Sample Methodology: , Sample Size: ].
Sample test results are documented in Test 182: Network Device (router) [Population Source/Tool: , Population Date Range: , Population Size: , Sample Methodology: , Sample Size: ].
Sample test results are documented in Test 183: Network Device (switch) [Population Source/Tool: , Population Date Range: , Population Size: , Sample Methodology: , Sample Size: ].
Sample test results are documented in Test 184: Network Device (wireless access point) [Population Source/Tool: , Population Date Range: , Population Size: , Sample Methodology: , Sample Size: ].
</v>
      </c>
      <c r="BH96" s="3" t="str">
        <f t="shared" si="18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Groups within Google and Entra are utilized. Users will be assigned to specific groups within Google Workspace and/or Entra based in their role and then will be provided access to application/utilities based on their role designations.
Examined the following evidence during fieldwork:
Reviewed evidence addressed the requirement statement.
Sample test results are documented in Test 045: Endpoint Device (BYOD) [Population Source/Tool: , Population Date Range: , Population Size: , Sample Methodology: , Sample Size: ].
Sample test results are documented in Test 050: Endpoint Device (laptop) [Population Source/Tool: , Population Date Range: , Population Size: , Sample Methodology: , Sample Size: ].
Sample test results are documented in Test 054: Endpoint Device (server) [Population Source/Tool: , Population Date Range: , Population Size: , Sample Methodology: , Sample Size: ].
Sample test results are documented in Test 058: Endpoint Device (workstation) [Population Source/Tool: , Population Date Range: , Population Size: , Sample Methodology: , Sample Size: ].
Sample test results are documented in Test 180: Network Device (firewall) [Population Source/Tool: , Population Date Range: , Population Size: , Sample Methodology: , Sample Size: ].
Sample test results are documented in Test 182: Network Device (router) [Population Source/Tool: , Population Date Range: , Population Size: , Sample Methodology: , Sample Size: ].
Sample test results are documented in Test 183: Network Device (switch) [Population Source/Tool: , Population Date Range: , Population Size: , Sample Methodology: , Sample Size: ].
Sample test results are documented in Test 184: Network Device (wireless access point) [Population Source/Tool: , Population Date Range: , Population Size: , Sample Methodology: , Sample Size: ].
</v>
      </c>
    </row>
    <row r="97" spans="3:60" ht="362.5" x14ac:dyDescent="0.35">
      <c r="C97" s="1">
        <f t="shared" si="180"/>
        <v>40</v>
      </c>
      <c r="D97" s="5" t="str">
        <f>IF(AND((_xlfn.XLOOKUP(J97,'Fields &amp; Revisions'!$H:$H,'Fields &amp; Revisions'!$I:$I))&lt;70.99,(OR(Z97="4. Mostly Compliant (75%)",Z97="3. Partially Compliant (50%)",Z97="2. Somewhat Compliant (25%)",Z97="1. Non Compliant (0%)"))),"Yes","No")</f>
        <v>No</v>
      </c>
      <c r="E97" s="5" t="str">
        <f>IF(ISERROR(VLOOKUP(H97,Scope!A:A,1,FALSE)),"No","Yes")</f>
        <v>Yes</v>
      </c>
      <c r="F97" s="1" t="s">
        <v>2424</v>
      </c>
      <c r="G97" s="53" t="s">
        <v>2780</v>
      </c>
      <c r="H97" s="53" t="s">
        <v>2781</v>
      </c>
      <c r="I97" s="5">
        <v>1</v>
      </c>
      <c r="J97" s="1" t="s">
        <v>2782</v>
      </c>
      <c r="K97" s="1" t="s">
        <v>2783</v>
      </c>
      <c r="L97" s="1" t="s">
        <v>2784</v>
      </c>
      <c r="M97" s="1" t="s">
        <v>1876</v>
      </c>
      <c r="N97" s="5" t="s">
        <v>85</v>
      </c>
      <c r="O97" s="1" t="str">
        <f>_xlfn.XLOOKUP(G97,SRMs!$A:$A,SRMs!$D:$D)</f>
        <v>PARTIAL INHERITANCE</v>
      </c>
      <c r="P97" s="1" t="str">
        <f>IFERROR(VLOOKUP(H97,Inherited!A:B,2,FALSE),"")</f>
        <v/>
      </c>
      <c r="Q97" s="1" t="e">
        <f>IF(MATCH(H97,Inherited!A:A),IF((((_xlfn.XLOOKUP(Assessment!#REF!,Inherited!A:A,Inherited!B:B))/100)*(_xlfn.XLOOKUP(Assessment!#REF!,Inherited!A:A,Inherited!C:C)))+(((100-(_xlfn.XLOOKUP(Assessment!#REF!,Inherited!A:A,Inherited!B:B)))/100)*IF(X97="1.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(100%)","100"))))))&lt;=10,"0", IF(AND((((_xlfn.XLOOKUP(Assessment!#REF!,Inherited!A:A,Inherited!B:B))/100)*(_xlfn.XLOOKUP(Assessment!#REF!,Inherited!A:A,Inherited!C:C)))+(((100-(_xlfn.XLOOKUP(Assessment!#REF!,Inherited!A:A,Inherited!B:B)))/100)*IF(X97="1.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(100%)","100"))))))&gt;=11,(((_xlfn.XLOOKUP(Assessment!#REF!,Inherited!A:A,Inherited!B:B))/100)*(_xlfn.XLOOKUP(Assessment!#REF!,Inherited!A:A,Inherited!C:C)))+(((100-(_xlfn.XLOOKUP(Assessment!#REF!,Inherited!A:A,Inherited!B:B)))/100)*IF(X97="1.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(100%)","100"))))))&lt;=32),"25",IF(AND((((_xlfn.XLOOKUP(Assessment!#REF!,Inherited!A:A,Inherited!B:B))/100)*(_xlfn.XLOOKUP(Assessment!#REF!,Inherited!A:A,Inherited!C:C)))+(((100-(_xlfn.XLOOKUP(Assessment!#REF!,Inherited!A:A,Inherited!B:B)))/100)*IF(X97="1.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(100%)","100"))))))&gt;=33,(((_xlfn.XLOOKUP(Assessment!#REF!,Inherited!A:A,Inherited!B:B))/100)*(_xlfn.XLOOKUP(Assessment!#REF!,Inherited!A:A,Inherited!C:C)))+(((100-(_xlfn.XLOOKUP(Assessment!#REF!,Inherited!A:A,Inherited!B:B)))/100)*IF(X97="1.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(100%)","100"))))))&lt;=65),"50",IF(AND((((_xlfn.XLOOKUP(Assessment!#REF!,Inherited!A:A,Inherited!B:B))/100)*(_xlfn.XLOOKUP(Assessment!#REF!,Inherited!A:A,Inherited!C:C)))+(((100-(_xlfn.XLOOKUP(Assessment!#REF!,Inherited!A:A,Inherited!B:B)))/100)*IF(X97="1.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(100%)","100"))))))&gt;=66,(((_xlfn.XLOOKUP(Assessment!#REF!,Inherited!A:A,Inherited!B:B))/100)*(_xlfn.XLOOKUP(Assessment!#REF!,Inherited!A:A,Inherited!C:C)))+(((100-(_xlfn.XLOOKUP(Assessment!#REF!,Inherited!A:A,Inherited!B:B)))/100)*IF(X97="1.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(100%)","100"))))))&lt;=89),"75",IF((((_xlfn.XLOOKUP(Assessment!#REF!,Inherited!A:A,Inherited!B:B))/100)*(_xlfn.XLOOKUP(Assessment!#REF!,Inherited!A:A,Inherited!C:C)))+(((100-(_xlfn.XLOOKUP(Assessment!#REF!,Inherited!A:A,Inherited!B:B)))/100)*IF(X97="1. Non Compliant (0%)","0",IF(X97="2. Somewhat Compliant (25%)","25",IF(X97="3. Partially Compliant (50%)","50",IF(X97="4. Mostly Compliant (75%)","75",IF(X97="5. Fully Compliant (100%)","100"))))))&gt;=90,"100"))))))</f>
        <v>#N/A</v>
      </c>
      <c r="R97" s="1" t="e">
        <f>IF(MATCH(H97,Inherited!A:A),IF((((_xlfn.XLOOKUP(Assessment!#REF!,Inherited!A:A,Inherited!B:B))/100)*(_xlfn.XLOOKUP(Assessment!#REF!,Inherited!A:A,Inherited!D:D)))+(((100-(_xlfn.XLOOKUP(Assessment!#REF!,Inherited!A:A,Inherited!B:B)))/100)*IF(Y97="1.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(100%)","100"))))))&lt;=10,"0", IF(AND((((_xlfn.XLOOKUP(Assessment!#REF!,Inherited!A:A,Inherited!B:B))/100)*(_xlfn.XLOOKUP(Assessment!#REF!,Inherited!A:A,Inherited!D:D)))+(((100-(_xlfn.XLOOKUP(Assessment!#REF!,Inherited!A:A,Inherited!B:B)))/100)*IF(Y97="1.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(100%)","100"))))))&gt;=11,(((_xlfn.XLOOKUP(Assessment!#REF!,Inherited!A:A,Inherited!B:B))/100)*(_xlfn.XLOOKUP(Assessment!#REF!,Inherited!A:A,Inherited!D:D)))+(((100-(_xlfn.XLOOKUP(Assessment!#REF!,Inherited!A:A,Inherited!B:B)))/100)*IF(Y97="1.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(100%)","100"))))))&lt;=32),"25",IF(AND((((_xlfn.XLOOKUP(Assessment!#REF!,Inherited!A:A,Inherited!B:B))/100)*(_xlfn.XLOOKUP(Assessment!#REF!,Inherited!A:A,Inherited!D:D)))+(((100-(_xlfn.XLOOKUP(Assessment!#REF!,Inherited!A:A,Inherited!B:B)))/100)*IF(Y97="1.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(100%)","100"))))))&gt;=33,(((_xlfn.XLOOKUP(Assessment!#REF!,Inherited!A:A,Inherited!B:B))/100)*(_xlfn.XLOOKUP(Assessment!#REF!,Inherited!A:A,Inherited!D:D)))+(((100-(_xlfn.XLOOKUP(Assessment!#REF!,Inherited!A:A,Inherited!B:B)))/100)*IF(Y97="1.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(100%)","100"))))))&lt;=65),"50",IF(AND((((_xlfn.XLOOKUP(Assessment!#REF!,Inherited!A:A,Inherited!B:B))/100)*(_xlfn.XLOOKUP(Assessment!#REF!,Inherited!A:A,Inherited!D:D)))+(((100-(_xlfn.XLOOKUP(Assessment!#REF!,Inherited!A:A,Inherited!B:B)))/100)*IF(Y97="1.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(100%)","100"))))))&gt;=66,(((_xlfn.XLOOKUP(Assessment!#REF!,Inherited!A:A,Inherited!B:B))/100)*(_xlfn.XLOOKUP(Assessment!#REF!,Inherited!A:A,Inherited!D:D)))+(((100-(_xlfn.XLOOKUP(Assessment!#REF!,Inherited!A:A,Inherited!B:B)))/100)*IF(Y97="1.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(100%)","100"))))))&lt;=89),"75",IF((((_xlfn.XLOOKUP(Assessment!#REF!,Inherited!A:A,Inherited!B:B))/100)*(_xlfn.XLOOKUP(Assessment!#REF!,Inherited!A:A,Inherited!D:D)))+(((100-(_xlfn.XLOOKUP(Assessment!#REF!,Inherited!A:A,Inherited!B:B)))/100)*IF(Y97="1. Non Compliant (0%)","0",IF(Y97="2. Somewhat Compliant (25%)","25",IF(Y97="3. Partially Compliant (50%)","50",IF(Y97="4. Mostly Compliant (75%)","75",IF(Y97="5. Fully Compliant (100%)","100"))))))&gt;=90,"100"))))))</f>
        <v>#N/A</v>
      </c>
      <c r="S97" s="1" t="e">
        <f>IF(MATCH(H97,Inherited!A:A),IF((((_xlfn.XLOOKUP(Assessment!#REF!,Inherited!A:A,Inherited!B:B))/100)*(_xlfn.XLOOKUP(Assessment!#REF!,Inherited!A:A,Inherited!E:E)))+(((100-(_xlfn.XLOOKUP(Assessment!#REF!,Inherited!A:A,Inherited!B:B)))/100)*IF(Z97="1.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(100%)","100"))))))&lt;=10,"0", IF(AND((((_xlfn.XLOOKUP(Assessment!#REF!,Inherited!A:A,Inherited!B:B))/100)*(_xlfn.XLOOKUP(Assessment!#REF!,Inherited!A:A,Inherited!E:E)))+(((100-(_xlfn.XLOOKUP(Assessment!#REF!,Inherited!A:A,Inherited!B:B)))/100)*IF(Z97="1.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(100%)","100"))))))&gt;=11,(((_xlfn.XLOOKUP(Assessment!#REF!,Inherited!A:A,Inherited!B:B))/100)*(_xlfn.XLOOKUP(Assessment!#REF!,Inherited!A:A,Inherited!E:E)))+(((100-(_xlfn.XLOOKUP(Assessment!#REF!,Inherited!A:A,Inherited!B:B)))/100)*IF(Z97="1.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(100%)","100"))))))&lt;=32),"25",IF(AND((((_xlfn.XLOOKUP(Assessment!#REF!,Inherited!A:A,Inherited!B:B))/100)*(_xlfn.XLOOKUP(Assessment!#REF!,Inherited!A:A,Inherited!E:E)))+(((100-(_xlfn.XLOOKUP(Assessment!#REF!,Inherited!A:A,Inherited!B:B)))/100)*IF(Z97="1.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(100%)","100"))))))&gt;=33,(((_xlfn.XLOOKUP(Assessment!#REF!,Inherited!A:A,Inherited!B:B))/100)*(_xlfn.XLOOKUP(Assessment!#REF!,Inherited!A:A,Inherited!E:E)))+(((100-(_xlfn.XLOOKUP(Assessment!#REF!,Inherited!A:A,Inherited!B:B)))/100)*IF(Z97="1.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(100%)","100"))))))&lt;=65),"50",IF(AND((((_xlfn.XLOOKUP(Assessment!#REF!,Inherited!A:A,Inherited!B:B))/100)*(_xlfn.XLOOKUP(Assessment!#REF!,Inherited!A:A,Inherited!E:E)))+(((100-(_xlfn.XLOOKUP(Assessment!#REF!,Inherited!A:A,Inherited!B:B)))/100)*IF(Z97="1.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(100%)","100"))))))&gt;=66,(((_xlfn.XLOOKUP(Assessment!#REF!,Inherited!A:A,Inherited!B:B))/100)*(_xlfn.XLOOKUP(Assessment!#REF!,Inherited!A:A,Inherited!E:E)))+(((100-(_xlfn.XLOOKUP(Assessment!#REF!,Inherited!A:A,Inherited!B:B)))/100)*IF(Z97="1.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(100%)","100"))))))&lt;=89),"75",IF((((_xlfn.XLOOKUP(Assessment!#REF!,Inherited!A:A,Inherited!B:B))/100)*(_xlfn.XLOOKUP(Assessment!#REF!,Inherited!A:A,Inherited!E:E)))+(((100-(_xlfn.XLOOKUP(Assessment!#REF!,Inherited!A:A,Inherited!B:B)))/100)*IF(Z97="1. Non Compliant (0%)","0",IF(Z97="2. Somewhat Compliant (25%)","25",IF(Z97="3. Partially Compliant (50%)","50",IF(Z97="4. Mostly Compliant (75%)","75",IF(Z97="5. Fully Compliant (100%)","100"))))))&gt;=90,"100"))))))</f>
        <v>#N/A</v>
      </c>
      <c r="T97" s="1" t="e">
        <f>IF(MATCH(H97,Inherited!A:A),IF((((_xlfn.XLOOKUP(Assessment!#REF!,Inherited!A:A,Inherited!B:B))/100)*(_xlfn.XLOOKUP(Assessment!#REF!,Inherited!A:A,Inherited!F:F)))+(((100-(_xlfn.XLOOKUP(Assessment!#REF!,Inherited!A:A,Inherited!B:B)))/100)*IF(AA97="1.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(100%)","100"))))))&lt;=10,"0", IF(AND((((_xlfn.XLOOKUP(Assessment!#REF!,Inherited!A:A,Inherited!B:B))/100)*(_xlfn.XLOOKUP(Assessment!#REF!,Inherited!A:A,Inherited!F:F)))+(((100-(_xlfn.XLOOKUP(Assessment!#REF!,Inherited!A:A,Inherited!B:B)))/100)*IF(AA97="1.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(100%)","100"))))))&gt;=11,(((_xlfn.XLOOKUP(Assessment!#REF!,Inherited!A:A,Inherited!B:B))/100)*(_xlfn.XLOOKUP(Assessment!#REF!,Inherited!A:A,Inherited!F:F)))+(((100-(_xlfn.XLOOKUP(Assessment!#REF!,Inherited!A:A,Inherited!B:B)))/100)*IF(AA97="1.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(100%)","100"))))))&lt;=32),"25",IF(AND((((_xlfn.XLOOKUP(Assessment!#REF!,Inherited!A:A,Inherited!B:B))/100)*(_xlfn.XLOOKUP(Assessment!#REF!,Inherited!A:A,Inherited!F:F)))+(((100-(_xlfn.XLOOKUP(Assessment!#REF!,Inherited!A:A,Inherited!B:B)))/100)*IF(AA97="1.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(100%)","100"))))))&gt;=33,(((_xlfn.XLOOKUP(Assessment!#REF!,Inherited!A:A,Inherited!B:B))/100)*(_xlfn.XLOOKUP(Assessment!#REF!,Inherited!A:A,Inherited!F:F)))+(((100-(_xlfn.XLOOKUP(Assessment!#REF!,Inherited!A:A,Inherited!B:B)))/100)*IF(AA97="1.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(100%)","100"))))))&lt;=65),"50",IF(AND((((_xlfn.XLOOKUP(Assessment!#REF!,Inherited!A:A,Inherited!B:B))/100)*(_xlfn.XLOOKUP(Assessment!#REF!,Inherited!A:A,Inherited!F:F)))+(((100-(_xlfn.XLOOKUP(Assessment!#REF!,Inherited!A:A,Inherited!B:B)))/100)*IF(AA97="1.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(100%)","100"))))))&gt;=66,(((_xlfn.XLOOKUP(Assessment!#REF!,Inherited!A:A,Inherited!B:B))/100)*(_xlfn.XLOOKUP(Assessment!#REF!,Inherited!A:A,Inherited!F:F)))+(((100-(_xlfn.XLOOKUP(Assessment!#REF!,Inherited!A:A,Inherited!B:B)))/100)*IF(AA97="1.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(100%)","100"))))))&lt;=89),"75",IF((((_xlfn.XLOOKUP(Assessment!#REF!,Inherited!A:A,Inherited!B:B))/100)*(_xlfn.XLOOKUP(Assessment!#REF!,Inherited!A:A,Inherited!F:F)))+(((100-(_xlfn.XLOOKUP(Assessment!#REF!,Inherited!A:A,Inherited!B:B)))/100)*IF(AA97="1. Non Compliant (0%)","0",IF(AA97="2. Somewhat Compliant (25%)","25",IF(AA97="3. Partially Compliant (50%)","50",IF(AA97="4. Mostly Compliant (75%)","75",IF(AA97="5. Fully Compliant (100%)","100"))))))&gt;=90,"100"))))))</f>
        <v>#N/A</v>
      </c>
      <c r="U97" s="1" t="e">
        <f>IF(MATCH(H97,Inherited!A:A),IF((((_xlfn.XLOOKUP(Assessment!#REF!,Inherited!A:A,Inherited!B:B))/100)*(_xlfn.XLOOKUP(Assessment!#REF!,Inherited!A:A,Inherited!G:G)))+(((100-(_xlfn.XLOOKUP(Assessment!#REF!,Inherited!A:A,Inherited!B:B)))/100)*IF(AB97="1.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(100%)","100"))))))&lt;=10,"0", IF(AND((((_xlfn.XLOOKUP(Assessment!#REF!,Inherited!A:A,Inherited!B:B))/100)*(_xlfn.XLOOKUP(Assessment!#REF!,Inherited!A:A,Inherited!G:G)))+(((100-(_xlfn.XLOOKUP(Assessment!#REF!,Inherited!A:A,Inherited!B:B)))/100)*IF(AB97="1.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(100%)","100"))))))&gt;=11,(((_xlfn.XLOOKUP(Assessment!#REF!,Inherited!A:A,Inherited!B:B))/100)*(_xlfn.XLOOKUP(Assessment!#REF!,Inherited!A:A,Inherited!G:G)))+(((100-(_xlfn.XLOOKUP(Assessment!#REF!,Inherited!A:A,Inherited!B:B)))/100)*IF(AB97="1.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(100%)","100"))))))&lt;=32),"25",IF(AND((((_xlfn.XLOOKUP(Assessment!#REF!,Inherited!A:A,Inherited!B:B))/100)*(_xlfn.XLOOKUP(Assessment!#REF!,Inherited!A:A,Inherited!G:G)))+(((100-(_xlfn.XLOOKUP(Assessment!#REF!,Inherited!A:A,Inherited!B:B)))/100)*IF(AB97="1.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(100%)","100"))))))&gt;=33,(((_xlfn.XLOOKUP(Assessment!#REF!,Inherited!A:A,Inherited!B:B))/100)*(_xlfn.XLOOKUP(Assessment!#REF!,Inherited!A:A,Inherited!G:G)))+(((100-(_xlfn.XLOOKUP(Assessment!#REF!,Inherited!A:A,Inherited!B:B)))/100)*IF(AB97="1.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(100%)","100"))))))&lt;=65),"50",IF(AND((((_xlfn.XLOOKUP(Assessment!#REF!,Inherited!A:A,Inherited!B:B))/100)*(_xlfn.XLOOKUP(Assessment!#REF!,Inherited!A:A,Inherited!G:G)))+(((100-(_xlfn.XLOOKUP(Assessment!#REF!,Inherited!A:A,Inherited!B:B)))/100)*IF(AB97="1.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(100%)","100"))))))&gt;=66,(((_xlfn.XLOOKUP(Assessment!#REF!,Inherited!A:A,Inherited!B:B))/100)*(_xlfn.XLOOKUP(Assessment!#REF!,Inherited!A:A,Inherited!G:G)))+(((100-(_xlfn.XLOOKUP(Assessment!#REF!,Inherited!A:A,Inherited!B:B)))/100)*IF(AB97="1.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(100%)","100"))))))&lt;=89),"75",IF((((_xlfn.XLOOKUP(Assessment!#REF!,Inherited!A:A,Inherited!B:B))/100)*(_xlfn.XLOOKUP(Assessment!#REF!,Inherited!A:A,Inherited!G:G)))+(((100-(_xlfn.XLOOKUP(Assessment!#REF!,Inherited!A:A,Inherited!B:B)))/100)*IF(AB97="1. Non Compliant (0%)","0",IF(AB97="2. Somewhat Compliant (25%)","25",IF(AB97="3. Partially Compliant (50%)","50",IF(AB97="4. Mostly Compliant (75%)","75",IF(AB97="5. Fully Compliant (100%)","100"))))))&gt;=90,"100"))))))</f>
        <v>#N/A</v>
      </c>
      <c r="V97" s="55" t="s">
        <v>85</v>
      </c>
      <c r="W97" s="55"/>
      <c r="X97" s="55"/>
      <c r="Y97" s="55"/>
      <c r="Z97" s="55" t="s">
        <v>86</v>
      </c>
      <c r="AA97" s="55"/>
      <c r="AB97" s="55"/>
      <c r="AK97" s="1" t="s">
        <v>10891</v>
      </c>
      <c r="AL97" s="1" t="s">
        <v>10936</v>
      </c>
      <c r="AX97" s="3" t="str">
        <f>_xlfn.CONCAT("A-LIGN finished its review of this control on ",AR97, " during the scheduled fieldwork window (",Intro!$B$4,")."&amp; CHAR(10)&amp; CHAR(10))</f>
        <v xml:space="preserve">A-LIGN finished its review of this control on  during the scheduled fieldwork window (Fieldwork: xx/xx/xxxx - xx/xx/xxxx).
</v>
      </c>
      <c r="AY97" s="3" t="str">
        <f t="shared" si="181"/>
        <v/>
      </c>
      <c r="AZ97" s="3" t="str">
        <f t="shared" si="182"/>
        <v/>
      </c>
      <c r="BA97" s="3" t="str">
        <f t="shared" si="183"/>
        <v/>
      </c>
      <c r="BB97" s="3" t="str">
        <f t="shared" si="184"/>
        <v xml:space="preserve">Inquired of the following workforce member: 
Matthew Macaluso - Director of System Operations
Roze Nicolas - Director of TechOps
Inquiry lead to the following conclusions: 
Connection time controls are not implemented since access to the environment is required at all times based on varying time zones of users.
</v>
      </c>
      <c r="BC97" s="3" t="str">
        <f t="shared" si="185"/>
        <v/>
      </c>
      <c r="BD97" s="3" t="str">
        <f t="shared" si="186"/>
        <v xml:space="preserve">Examined the following evidence during fieldwork:
Reviewed evidence addressed the requirement statement.
</v>
      </c>
      <c r="BE97" s="3" t="str">
        <f t="shared" si="187"/>
        <v/>
      </c>
      <c r="BF97" s="3" t="str">
        <f t="shared" si="188"/>
        <v/>
      </c>
      <c r="BG97" s="3" t="str">
        <f>_xlfn.CONCAT((IF((COUNTIF('Sample Tables'!B:B,"Test 013: Application (classified sensitive)")&gt;0)=TRUE,_xlfn.CONCAT("Sample test results are documented in ",'Sample Tables'!B139," [",'Sample Tables'!B140,", ",'Sample Tables'!B141,", ",'Sample Tables'!B142,", ",'Sample Tables'!B143,", ",'Sample Tables'!B144,"]."&amp;CHAR(10)),IF((COUNTIF('Sample Tables'!B:B,"Test 013: Application (classified sensitive)")&gt;0)=FALSE,""))),(IF((COUNTIF('Sample Tables'!B:B,"Test 164: Information System (system component classified as sensitive)")&gt;0)=TRUE,_xlfn.CONCAT("Sample test results are documented in ",'Sample Tables'!B1800," [",'Sample Tables'!B1801,", ",'Sample Tables'!B1802,", ",'Sample Tables'!B1803,", ",'Sample Tables'!B1804,", ",'Sample Tables'!B1805,"]."&amp;CHAR(10)),IF((COUNTIF('Sample Tables'!B:B,"Test 164: Information System (system component classified as sensitive)")&gt;0)=FALSE,""))),)</f>
        <v xml:space="preserve">Sample test results are documented in Test 013: Application (classified sensitive) [Population Source/Tool: , Population Date Range: , Population Size: , Sample Methodology: , Sample Size: ].
Sample test results are documented in Test 164: Information System (system component classified as sensitive) [Population Source/Tool: , Population Date Range: , Population Size: , Sample Methodology: , Sample Size: ].
</v>
      </c>
      <c r="BH97" s="3" t="str">
        <f t="shared" si="18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Connection time controls are not implemented since access to the environment is required at all times based on varying time zones of users.
Examined the following evidence during fieldwork:
Reviewed evidence addressed the requirement statement.
Sample test results are documented in Test 013: Application (classified sensitive) [Population Source/Tool: , Population Date Range: , Population Size: , Sample Methodology: , Sample Size: ].
Sample test results are documented in Test 164: Information System (system component classified as sensitive) [Population Source/Tool: , Population Date Range: , Population Size: , Sample Methodology: , Sample Size: ].
</v>
      </c>
    </row>
    <row r="98" spans="3:60" ht="409.5" x14ac:dyDescent="0.35">
      <c r="C98" s="1">
        <f t="shared" si="180"/>
        <v>20</v>
      </c>
      <c r="D98" s="5" t="str">
        <f>IF(AND((_xlfn.XLOOKUP(J98,'Fields &amp; Revisions'!$H:$H,'Fields &amp; Revisions'!$I:$I))&lt;70.99,(OR(Z98="4. Mostly Compliant (75%)",Z98="3. Partially Compliant (50%)",Z98="2. Somewhat Compliant (25%)",Z98="1. Non Compliant (0%)"))),"Yes","No")</f>
        <v>Yes</v>
      </c>
      <c r="E98" s="5" t="str">
        <f>IF(ISERROR(VLOOKUP(H98,Scope!A:A,1,FALSE)),"No","Yes")</f>
        <v>Yes</v>
      </c>
      <c r="F98" s="1" t="s">
        <v>2424</v>
      </c>
      <c r="G98" s="53" t="s">
        <v>2800</v>
      </c>
      <c r="H98" s="53" t="s">
        <v>2801</v>
      </c>
      <c r="I98" s="5">
        <v>1</v>
      </c>
      <c r="J98" s="1" t="s">
        <v>2650</v>
      </c>
      <c r="K98" s="1" t="s">
        <v>2802</v>
      </c>
      <c r="L98" s="1" t="s">
        <v>2803</v>
      </c>
      <c r="M98" s="1" t="s">
        <v>2804</v>
      </c>
      <c r="N98" s="5" t="s">
        <v>85</v>
      </c>
      <c r="O98" s="1" t="str">
        <f>_xlfn.XLOOKUP(G98,SRMs!$A:$A,SRMs!$D:$D)</f>
        <v>PARTIAL INHERITANCE</v>
      </c>
      <c r="P98" s="1" t="str">
        <f>IFERROR(VLOOKUP(H98,Inherited!A:B,2,FALSE),"")</f>
        <v/>
      </c>
      <c r="Q98" s="1" t="e">
        <f>IF(MATCH(H98,Inherited!A:A),IF((((_xlfn.XLOOKUP(Assessment!#REF!,Inherited!A:A,Inherited!B:B))/100)*(_xlfn.XLOOKUP(Assessment!#REF!,Inherited!A:A,Inherited!C:C)))+(((100-(_xlfn.XLOOKUP(Assessment!#REF!,Inherited!A:A,Inherited!B:B)))/100)*IF(X98="1.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(100%)","100"))))))&lt;=10,"0", IF(AND((((_xlfn.XLOOKUP(Assessment!#REF!,Inherited!A:A,Inherited!B:B))/100)*(_xlfn.XLOOKUP(Assessment!#REF!,Inherited!A:A,Inherited!C:C)))+(((100-(_xlfn.XLOOKUP(Assessment!#REF!,Inherited!A:A,Inherited!B:B)))/100)*IF(X98="1.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(100%)","100"))))))&gt;=11,(((_xlfn.XLOOKUP(Assessment!#REF!,Inherited!A:A,Inherited!B:B))/100)*(_xlfn.XLOOKUP(Assessment!#REF!,Inherited!A:A,Inherited!C:C)))+(((100-(_xlfn.XLOOKUP(Assessment!#REF!,Inherited!A:A,Inherited!B:B)))/100)*IF(X98="1.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(100%)","100"))))))&lt;=32),"25",IF(AND((((_xlfn.XLOOKUP(Assessment!#REF!,Inherited!A:A,Inherited!B:B))/100)*(_xlfn.XLOOKUP(Assessment!#REF!,Inherited!A:A,Inherited!C:C)))+(((100-(_xlfn.XLOOKUP(Assessment!#REF!,Inherited!A:A,Inherited!B:B)))/100)*IF(X98="1.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(100%)","100"))))))&gt;=33,(((_xlfn.XLOOKUP(Assessment!#REF!,Inherited!A:A,Inherited!B:B))/100)*(_xlfn.XLOOKUP(Assessment!#REF!,Inherited!A:A,Inherited!C:C)))+(((100-(_xlfn.XLOOKUP(Assessment!#REF!,Inherited!A:A,Inherited!B:B)))/100)*IF(X98="1.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(100%)","100"))))))&lt;=65),"50",IF(AND((((_xlfn.XLOOKUP(Assessment!#REF!,Inherited!A:A,Inherited!B:B))/100)*(_xlfn.XLOOKUP(Assessment!#REF!,Inherited!A:A,Inherited!C:C)))+(((100-(_xlfn.XLOOKUP(Assessment!#REF!,Inherited!A:A,Inherited!B:B)))/100)*IF(X98="1.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(100%)","100"))))))&gt;=66,(((_xlfn.XLOOKUP(Assessment!#REF!,Inherited!A:A,Inherited!B:B))/100)*(_xlfn.XLOOKUP(Assessment!#REF!,Inherited!A:A,Inherited!C:C)))+(((100-(_xlfn.XLOOKUP(Assessment!#REF!,Inherited!A:A,Inherited!B:B)))/100)*IF(X98="1.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(100%)","100"))))))&lt;=89),"75",IF((((_xlfn.XLOOKUP(Assessment!#REF!,Inherited!A:A,Inherited!B:B))/100)*(_xlfn.XLOOKUP(Assessment!#REF!,Inherited!A:A,Inherited!C:C)))+(((100-(_xlfn.XLOOKUP(Assessment!#REF!,Inherited!A:A,Inherited!B:B)))/100)*IF(X98="1. Non Compliant (0%)","0",IF(X98="2. Somewhat Compliant (25%)","25",IF(X98="3. Partially Compliant (50%)","50",IF(X98="4. Mostly Compliant (75%)","75",IF(X98="5. Fully Compliant (100%)","100"))))))&gt;=90,"100"))))))</f>
        <v>#N/A</v>
      </c>
      <c r="R98" s="1" t="e">
        <f>IF(MATCH(H98,Inherited!A:A),IF((((_xlfn.XLOOKUP(Assessment!#REF!,Inherited!A:A,Inherited!B:B))/100)*(_xlfn.XLOOKUP(Assessment!#REF!,Inherited!A:A,Inherited!D:D)))+(((100-(_xlfn.XLOOKUP(Assessment!#REF!,Inherited!A:A,Inherited!B:B)))/100)*IF(Y98="1.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(100%)","100"))))))&lt;=10,"0", IF(AND((((_xlfn.XLOOKUP(Assessment!#REF!,Inherited!A:A,Inherited!B:B))/100)*(_xlfn.XLOOKUP(Assessment!#REF!,Inherited!A:A,Inherited!D:D)))+(((100-(_xlfn.XLOOKUP(Assessment!#REF!,Inherited!A:A,Inherited!B:B)))/100)*IF(Y98="1.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(100%)","100"))))))&gt;=11,(((_xlfn.XLOOKUP(Assessment!#REF!,Inherited!A:A,Inherited!B:B))/100)*(_xlfn.XLOOKUP(Assessment!#REF!,Inherited!A:A,Inherited!D:D)))+(((100-(_xlfn.XLOOKUP(Assessment!#REF!,Inherited!A:A,Inherited!B:B)))/100)*IF(Y98="1.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(100%)","100"))))))&lt;=32),"25",IF(AND((((_xlfn.XLOOKUP(Assessment!#REF!,Inherited!A:A,Inherited!B:B))/100)*(_xlfn.XLOOKUP(Assessment!#REF!,Inherited!A:A,Inherited!D:D)))+(((100-(_xlfn.XLOOKUP(Assessment!#REF!,Inherited!A:A,Inherited!B:B)))/100)*IF(Y98="1.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(100%)","100"))))))&gt;=33,(((_xlfn.XLOOKUP(Assessment!#REF!,Inherited!A:A,Inherited!B:B))/100)*(_xlfn.XLOOKUP(Assessment!#REF!,Inherited!A:A,Inherited!D:D)))+(((100-(_xlfn.XLOOKUP(Assessment!#REF!,Inherited!A:A,Inherited!B:B)))/100)*IF(Y98="1.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(100%)","100"))))))&lt;=65),"50",IF(AND((((_xlfn.XLOOKUP(Assessment!#REF!,Inherited!A:A,Inherited!B:B))/100)*(_xlfn.XLOOKUP(Assessment!#REF!,Inherited!A:A,Inherited!D:D)))+(((100-(_xlfn.XLOOKUP(Assessment!#REF!,Inherited!A:A,Inherited!B:B)))/100)*IF(Y98="1.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(100%)","100"))))))&gt;=66,(((_xlfn.XLOOKUP(Assessment!#REF!,Inherited!A:A,Inherited!B:B))/100)*(_xlfn.XLOOKUP(Assessment!#REF!,Inherited!A:A,Inherited!D:D)))+(((100-(_xlfn.XLOOKUP(Assessment!#REF!,Inherited!A:A,Inherited!B:B)))/100)*IF(Y98="1.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(100%)","100"))))))&lt;=89),"75",IF((((_xlfn.XLOOKUP(Assessment!#REF!,Inherited!A:A,Inherited!B:B))/100)*(_xlfn.XLOOKUP(Assessment!#REF!,Inherited!A:A,Inherited!D:D)))+(((100-(_xlfn.XLOOKUP(Assessment!#REF!,Inherited!A:A,Inherited!B:B)))/100)*IF(Y98="1. Non Compliant (0%)","0",IF(Y98="2. Somewhat Compliant (25%)","25",IF(Y98="3. Partially Compliant (50%)","50",IF(Y98="4. Mostly Compliant (75%)","75",IF(Y98="5. Fully Compliant (100%)","100"))))))&gt;=90,"100"))))))</f>
        <v>#N/A</v>
      </c>
      <c r="S98" s="1" t="e">
        <f>IF(MATCH(H98,Inherited!A:A),IF((((_xlfn.XLOOKUP(Assessment!#REF!,Inherited!A:A,Inherited!B:B))/100)*(_xlfn.XLOOKUP(Assessment!#REF!,Inherited!A:A,Inherited!E:E)))+(((100-(_xlfn.XLOOKUP(Assessment!#REF!,Inherited!A:A,Inherited!B:B)))/100)*IF(Z98="1.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(100%)","100"))))))&lt;=10,"0", IF(AND((((_xlfn.XLOOKUP(Assessment!#REF!,Inherited!A:A,Inherited!B:B))/100)*(_xlfn.XLOOKUP(Assessment!#REF!,Inherited!A:A,Inherited!E:E)))+(((100-(_xlfn.XLOOKUP(Assessment!#REF!,Inherited!A:A,Inherited!B:B)))/100)*IF(Z98="1.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(100%)","100"))))))&gt;=11,(((_xlfn.XLOOKUP(Assessment!#REF!,Inherited!A:A,Inherited!B:B))/100)*(_xlfn.XLOOKUP(Assessment!#REF!,Inherited!A:A,Inherited!E:E)))+(((100-(_xlfn.XLOOKUP(Assessment!#REF!,Inherited!A:A,Inherited!B:B)))/100)*IF(Z98="1.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(100%)","100"))))))&lt;=32),"25",IF(AND((((_xlfn.XLOOKUP(Assessment!#REF!,Inherited!A:A,Inherited!B:B))/100)*(_xlfn.XLOOKUP(Assessment!#REF!,Inherited!A:A,Inherited!E:E)))+(((100-(_xlfn.XLOOKUP(Assessment!#REF!,Inherited!A:A,Inherited!B:B)))/100)*IF(Z98="1.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(100%)","100"))))))&gt;=33,(((_xlfn.XLOOKUP(Assessment!#REF!,Inherited!A:A,Inherited!B:B))/100)*(_xlfn.XLOOKUP(Assessment!#REF!,Inherited!A:A,Inherited!E:E)))+(((100-(_xlfn.XLOOKUP(Assessment!#REF!,Inherited!A:A,Inherited!B:B)))/100)*IF(Z98="1.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(100%)","100"))))))&lt;=65),"50",IF(AND((((_xlfn.XLOOKUP(Assessment!#REF!,Inherited!A:A,Inherited!B:B))/100)*(_xlfn.XLOOKUP(Assessment!#REF!,Inherited!A:A,Inherited!E:E)))+(((100-(_xlfn.XLOOKUP(Assessment!#REF!,Inherited!A:A,Inherited!B:B)))/100)*IF(Z98="1.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(100%)","100"))))))&gt;=66,(((_xlfn.XLOOKUP(Assessment!#REF!,Inherited!A:A,Inherited!B:B))/100)*(_xlfn.XLOOKUP(Assessment!#REF!,Inherited!A:A,Inherited!E:E)))+(((100-(_xlfn.XLOOKUP(Assessment!#REF!,Inherited!A:A,Inherited!B:B)))/100)*IF(Z98="1.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(100%)","100"))))))&lt;=89),"75",IF((((_xlfn.XLOOKUP(Assessment!#REF!,Inherited!A:A,Inherited!B:B))/100)*(_xlfn.XLOOKUP(Assessment!#REF!,Inherited!A:A,Inherited!E:E)))+(((100-(_xlfn.XLOOKUP(Assessment!#REF!,Inherited!A:A,Inherited!B:B)))/100)*IF(Z98="1. Non Compliant (0%)","0",IF(Z98="2. Somewhat Compliant (25%)","25",IF(Z98="3. Partially Compliant (50%)","50",IF(Z98="4. Mostly Compliant (75%)","75",IF(Z98="5. Fully Compliant (100%)","100"))))))&gt;=90,"100"))))))</f>
        <v>#N/A</v>
      </c>
      <c r="T98" s="1" t="e">
        <f>IF(MATCH(H98,Inherited!A:A),IF((((_xlfn.XLOOKUP(Assessment!#REF!,Inherited!A:A,Inherited!B:B))/100)*(_xlfn.XLOOKUP(Assessment!#REF!,Inherited!A:A,Inherited!F:F)))+(((100-(_xlfn.XLOOKUP(Assessment!#REF!,Inherited!A:A,Inherited!B:B)))/100)*IF(AA98="1.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(100%)","100"))))))&lt;=10,"0", IF(AND((((_xlfn.XLOOKUP(Assessment!#REF!,Inherited!A:A,Inherited!B:B))/100)*(_xlfn.XLOOKUP(Assessment!#REF!,Inherited!A:A,Inherited!F:F)))+(((100-(_xlfn.XLOOKUP(Assessment!#REF!,Inherited!A:A,Inherited!B:B)))/100)*IF(AA98="1.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(100%)","100"))))))&gt;=11,(((_xlfn.XLOOKUP(Assessment!#REF!,Inherited!A:A,Inherited!B:B))/100)*(_xlfn.XLOOKUP(Assessment!#REF!,Inherited!A:A,Inherited!F:F)))+(((100-(_xlfn.XLOOKUP(Assessment!#REF!,Inherited!A:A,Inherited!B:B)))/100)*IF(AA98="1.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(100%)","100"))))))&lt;=32),"25",IF(AND((((_xlfn.XLOOKUP(Assessment!#REF!,Inherited!A:A,Inherited!B:B))/100)*(_xlfn.XLOOKUP(Assessment!#REF!,Inherited!A:A,Inherited!F:F)))+(((100-(_xlfn.XLOOKUP(Assessment!#REF!,Inherited!A:A,Inherited!B:B)))/100)*IF(AA98="1.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(100%)","100"))))))&gt;=33,(((_xlfn.XLOOKUP(Assessment!#REF!,Inherited!A:A,Inherited!B:B))/100)*(_xlfn.XLOOKUP(Assessment!#REF!,Inherited!A:A,Inherited!F:F)))+(((100-(_xlfn.XLOOKUP(Assessment!#REF!,Inherited!A:A,Inherited!B:B)))/100)*IF(AA98="1.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(100%)","100"))))))&lt;=65),"50",IF(AND((((_xlfn.XLOOKUP(Assessment!#REF!,Inherited!A:A,Inherited!B:B))/100)*(_xlfn.XLOOKUP(Assessment!#REF!,Inherited!A:A,Inherited!F:F)))+(((100-(_xlfn.XLOOKUP(Assessment!#REF!,Inherited!A:A,Inherited!B:B)))/100)*IF(AA98="1.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(100%)","100"))))))&gt;=66,(((_xlfn.XLOOKUP(Assessment!#REF!,Inherited!A:A,Inherited!B:B))/100)*(_xlfn.XLOOKUP(Assessment!#REF!,Inherited!A:A,Inherited!F:F)))+(((100-(_xlfn.XLOOKUP(Assessment!#REF!,Inherited!A:A,Inherited!B:B)))/100)*IF(AA98="1.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(100%)","100"))))))&lt;=89),"75",IF((((_xlfn.XLOOKUP(Assessment!#REF!,Inherited!A:A,Inherited!B:B))/100)*(_xlfn.XLOOKUP(Assessment!#REF!,Inherited!A:A,Inherited!F:F)))+(((100-(_xlfn.XLOOKUP(Assessment!#REF!,Inherited!A:A,Inherited!B:B)))/100)*IF(AA98="1. Non Compliant (0%)","0",IF(AA98="2. Somewhat Compliant (25%)","25",IF(AA98="3. Partially Compliant (50%)","50",IF(AA98="4. Mostly Compliant (75%)","75",IF(AA98="5. Fully Compliant (100%)","100"))))))&gt;=90,"100"))))))</f>
        <v>#N/A</v>
      </c>
      <c r="U98" s="1" t="e">
        <f>IF(MATCH(H98,Inherited!A:A),IF((((_xlfn.XLOOKUP(Assessment!#REF!,Inherited!A:A,Inherited!B:B))/100)*(_xlfn.XLOOKUP(Assessment!#REF!,Inherited!A:A,Inherited!G:G)))+(((100-(_xlfn.XLOOKUP(Assessment!#REF!,Inherited!A:A,Inherited!B:B)))/100)*IF(AB98="1.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(100%)","100"))))))&lt;=10,"0", IF(AND((((_xlfn.XLOOKUP(Assessment!#REF!,Inherited!A:A,Inherited!B:B))/100)*(_xlfn.XLOOKUP(Assessment!#REF!,Inherited!A:A,Inherited!G:G)))+(((100-(_xlfn.XLOOKUP(Assessment!#REF!,Inherited!A:A,Inherited!B:B)))/100)*IF(AB98="1.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(100%)","100"))))))&gt;=11,(((_xlfn.XLOOKUP(Assessment!#REF!,Inherited!A:A,Inherited!B:B))/100)*(_xlfn.XLOOKUP(Assessment!#REF!,Inherited!A:A,Inherited!G:G)))+(((100-(_xlfn.XLOOKUP(Assessment!#REF!,Inherited!A:A,Inherited!B:B)))/100)*IF(AB98="1.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(100%)","100"))))))&lt;=32),"25",IF(AND((((_xlfn.XLOOKUP(Assessment!#REF!,Inherited!A:A,Inherited!B:B))/100)*(_xlfn.XLOOKUP(Assessment!#REF!,Inherited!A:A,Inherited!G:G)))+(((100-(_xlfn.XLOOKUP(Assessment!#REF!,Inherited!A:A,Inherited!B:B)))/100)*IF(AB98="1.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(100%)","100"))))))&gt;=33,(((_xlfn.XLOOKUP(Assessment!#REF!,Inherited!A:A,Inherited!B:B))/100)*(_xlfn.XLOOKUP(Assessment!#REF!,Inherited!A:A,Inherited!G:G)))+(((100-(_xlfn.XLOOKUP(Assessment!#REF!,Inherited!A:A,Inherited!B:B)))/100)*IF(AB98="1.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(100%)","100"))))))&lt;=65),"50",IF(AND((((_xlfn.XLOOKUP(Assessment!#REF!,Inherited!A:A,Inherited!B:B))/100)*(_xlfn.XLOOKUP(Assessment!#REF!,Inherited!A:A,Inherited!G:G)))+(((100-(_xlfn.XLOOKUP(Assessment!#REF!,Inherited!A:A,Inherited!B:B)))/100)*IF(AB98="1.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(100%)","100"))))))&gt;=66,(((_xlfn.XLOOKUP(Assessment!#REF!,Inherited!A:A,Inherited!B:B))/100)*(_xlfn.XLOOKUP(Assessment!#REF!,Inherited!A:A,Inherited!G:G)))+(((100-(_xlfn.XLOOKUP(Assessment!#REF!,Inherited!A:A,Inherited!B:B)))/100)*IF(AB98="1.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(100%)","100"))))))&lt;=89),"75",IF((((_xlfn.XLOOKUP(Assessment!#REF!,Inherited!A:A,Inherited!B:B))/100)*(_xlfn.XLOOKUP(Assessment!#REF!,Inherited!A:A,Inherited!G:G)))+(((100-(_xlfn.XLOOKUP(Assessment!#REF!,Inherited!A:A,Inherited!B:B)))/100)*IF(AB98="1. Non Compliant (0%)","0",IF(AB98="2. Somewhat Compliant (25%)","25",IF(AB98="3. Partially Compliant (50%)","50",IF(AB98="4. Mostly Compliant (75%)","75",IF(AB98="5. Fully Compliant (100%)","100"))))))&gt;=90,"100"))))))</f>
        <v>#N/A</v>
      </c>
      <c r="V98" s="55" t="s">
        <v>85</v>
      </c>
      <c r="W98" s="55"/>
      <c r="X98" s="55"/>
      <c r="Y98" s="55"/>
      <c r="Z98" s="55" t="s">
        <v>88</v>
      </c>
      <c r="AA98" s="55"/>
      <c r="AB98" s="55"/>
      <c r="AK98" s="1" t="s">
        <v>10891</v>
      </c>
      <c r="AM98" s="1" t="s">
        <v>10906</v>
      </c>
      <c r="AP98" s="1" t="s">
        <v>10935</v>
      </c>
      <c r="AX98" s="3" t="str">
        <f>_xlfn.CONCAT("A-LIGN finished its review of this control on ",AR98, " during the scheduled fieldwork window (",Intro!$B$4,")."&amp; CHAR(10)&amp; CHAR(10))</f>
        <v xml:space="preserve">A-LIGN finished its review of this control on  during the scheduled fieldwork window (Fieldwork: xx/xx/xxxx - xx/xx/xxxx).
</v>
      </c>
      <c r="AY98" s="3" t="str">
        <f t="shared" si="181"/>
        <v/>
      </c>
      <c r="AZ98" s="3" t="str">
        <f t="shared" si="182"/>
        <v/>
      </c>
      <c r="BA98" s="3" t="str">
        <f t="shared" si="183"/>
        <v/>
      </c>
      <c r="BB98" s="3" t="str">
        <f t="shared" si="184"/>
        <v xml:space="preserve">Inquired of the following workforce member: 
Matthew Macaluso - Director of System Operations
Roze Nicolas - Director of TechOps
Inquiry lead to the following conclusions: 
</v>
      </c>
      <c r="BC98" s="3" t="str">
        <f t="shared" si="185"/>
        <v xml:space="preserve">Observed the following live during fieldwork: 
Observed offboarding SLAs within Vanta which will be triggered when a user is terminated, which will create an offboarding ticket to be reviewed and completed to ensure that a user's access rights have been removed and the termination process has been followed.
</v>
      </c>
      <c r="BD98" s="3" t="str">
        <f t="shared" si="186"/>
        <v xml:space="preserve">Examined the following evidence during fieldwork:
Reviewed evidence addressed the requirement statement.
Reviewed evidence exception note: 
Gap: process for ensuring that transfers have their access rights properly revoked/updated is not formally developed/defined.
Recommendation: Management should ensure that an access revocation/update process is defined and documented to ensure their access rights are accurate.
</v>
      </c>
      <c r="BE98" s="3" t="str">
        <f t="shared" si="187"/>
        <v/>
      </c>
      <c r="BF98" s="3" t="str">
        <f t="shared" si="188"/>
        <v/>
      </c>
      <c r="BG98" s="3" t="str">
        <f>_xlfn.CONCAT((IF((COUNTIF('Sample Tables'!B:B,"Test 211: Workforce Member (termination)")&gt;0)=TRUE,_xlfn.CONCAT("Sample test results are documented in ",'Sample Tables'!B2317," [",'Sample Tables'!B2318,", ",'Sample Tables'!B2319,", ",'Sample Tables'!B2320,", ",'Sample Tables'!B2321,", ",'Sample Tables'!B2322,"]."&amp;CHAR(10)),IF((COUNTIF('Sample Tables'!B:B,"Test 211: Workforce Member (termination)")&gt;0)=FALSE,""))),(IF((COUNTIF('Sample Tables'!B:B,"Test 213: Workforce Member (transfer)")&gt;0)=TRUE,_xlfn.CONCAT("Sample test results are documented in ",'Sample Tables'!B2339," [",'Sample Tables'!B2340,", ",'Sample Tables'!B2341,", ",'Sample Tables'!B2342,", ",'Sample Tables'!B2343,", ",'Sample Tables'!B2344,"]."&amp;CHAR(10)),IF((COUNTIF('Sample Tables'!B:B,"Test 213: Workforce Member (transfer)")&gt;0)=FALSE,""))),)</f>
        <v xml:space="preserve">Sample test results are documented in Test 211: Workforce Member (termination) [Population Source/Tool: , Population Date Range: , Population Size: , Sample Methodology: , Sample Size: ].
Sample test results are documented in Test 213: Workforce Member (transfer) [Population Source/Tool: , Population Date Range: , Population Size: , Sample Methodology: , Sample Size: ].
</v>
      </c>
      <c r="BH98" s="3" t="str">
        <f t="shared" si="18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offboarding SLAs within Vanta which will be triggered when a user is terminated, which will create an offboarding ticket to be reviewed and completed to ensure that a user's access rights have been removed and the termination process has been followed.
Examined the following evidence during fieldwork:
Reviewed evidence addressed the requirement statement.
Reviewed evidence exception note: 
Gap: process for ensuring that transfers have their access rights properly revoked/updated is not formally developed/defined.
Recommendation: Management should ensure that an access revocation/update process is defined and documented to ensure their access rights are accurate.
Sample test results are documented in Test 211: Workforce Member (termination) [Population Source/Tool: , Population Date Range: , Population Size: , Sample Methodology: , Sample Size: ].
Sample test results are documented in Test 213: Workforce Member (transfer) [Population Source/Tool: , Population Date Range: , Population Size: , Sample Methodology: , Sample Size: ].
</v>
      </c>
    </row>
    <row r="99" spans="3:60" ht="225" x14ac:dyDescent="0.35">
      <c r="C99" s="1">
        <f t="shared" si="180"/>
        <v>0</v>
      </c>
      <c r="D99" s="5" t="str">
        <f>IF(AND((_xlfn.XLOOKUP(J99,'Fields &amp; Revisions'!$H:$H,'Fields &amp; Revisions'!$I:$I))&lt;70.99,(OR(Z99="4. Mostly Compliant (75%)",Z99="3. Partially Compliant (50%)",Z99="2. Somewhat Compliant (25%)",Z99="1. Non Compliant (0%)"))),"Yes","No")</f>
        <v>No</v>
      </c>
      <c r="E99" s="5" t="str">
        <f>IF(ISERROR(VLOOKUP(H99,Scope!A:A,1,FALSE)),"No","Yes")</f>
        <v>Yes</v>
      </c>
      <c r="F99" s="1" t="s">
        <v>2424</v>
      </c>
      <c r="G99" s="53" t="s">
        <v>2815</v>
      </c>
      <c r="H99" s="53" t="s">
        <v>2816</v>
      </c>
      <c r="I99" s="5">
        <v>1</v>
      </c>
      <c r="J99" s="1" t="s">
        <v>2647</v>
      </c>
      <c r="K99" s="1" t="s">
        <v>2817</v>
      </c>
      <c r="L99" s="1" t="s">
        <v>2818</v>
      </c>
      <c r="M99" s="1" t="s">
        <v>2819</v>
      </c>
      <c r="N99" s="5" t="s">
        <v>98</v>
      </c>
      <c r="O99" s="1" t="str">
        <f>_xlfn.XLOOKUP(G99,SRMs!$A:$A,SRMs!$D:$D)</f>
        <v>NO INHERITANCE</v>
      </c>
      <c r="P99" s="1" t="str">
        <f>IFERROR(VLOOKUP(H99,Inherited!A:B,2,FALSE),"")</f>
        <v/>
      </c>
      <c r="Q99" s="1" t="e">
        <f>IF(MATCH(H99,Inherited!A:A),IF((((_xlfn.XLOOKUP(Assessment!#REF!,Inherited!A:A,Inherited!B:B))/100)*(_xlfn.XLOOKUP(Assessment!#REF!,Inherited!A:A,Inherited!C:C)))+(((100-(_xlfn.XLOOKUP(Assessment!#REF!,Inherited!A:A,Inherited!B:B)))/100)*IF(X99="1.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(100%)","100"))))))&lt;=10,"0", IF(AND((((_xlfn.XLOOKUP(Assessment!#REF!,Inherited!A:A,Inherited!B:B))/100)*(_xlfn.XLOOKUP(Assessment!#REF!,Inherited!A:A,Inherited!C:C)))+(((100-(_xlfn.XLOOKUP(Assessment!#REF!,Inherited!A:A,Inherited!B:B)))/100)*IF(X99="1.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(100%)","100"))))))&gt;=11,(((_xlfn.XLOOKUP(Assessment!#REF!,Inherited!A:A,Inherited!B:B))/100)*(_xlfn.XLOOKUP(Assessment!#REF!,Inherited!A:A,Inherited!C:C)))+(((100-(_xlfn.XLOOKUP(Assessment!#REF!,Inherited!A:A,Inherited!B:B)))/100)*IF(X99="1.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(100%)","100"))))))&lt;=32),"25",IF(AND((((_xlfn.XLOOKUP(Assessment!#REF!,Inherited!A:A,Inherited!B:B))/100)*(_xlfn.XLOOKUP(Assessment!#REF!,Inherited!A:A,Inherited!C:C)))+(((100-(_xlfn.XLOOKUP(Assessment!#REF!,Inherited!A:A,Inherited!B:B)))/100)*IF(X99="1.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(100%)","100"))))))&gt;=33,(((_xlfn.XLOOKUP(Assessment!#REF!,Inherited!A:A,Inherited!B:B))/100)*(_xlfn.XLOOKUP(Assessment!#REF!,Inherited!A:A,Inherited!C:C)))+(((100-(_xlfn.XLOOKUP(Assessment!#REF!,Inherited!A:A,Inherited!B:B)))/100)*IF(X99="1.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(100%)","100"))))))&lt;=65),"50",IF(AND((((_xlfn.XLOOKUP(Assessment!#REF!,Inherited!A:A,Inherited!B:B))/100)*(_xlfn.XLOOKUP(Assessment!#REF!,Inherited!A:A,Inherited!C:C)))+(((100-(_xlfn.XLOOKUP(Assessment!#REF!,Inherited!A:A,Inherited!B:B)))/100)*IF(X99="1.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(100%)","100"))))))&gt;=66,(((_xlfn.XLOOKUP(Assessment!#REF!,Inherited!A:A,Inherited!B:B))/100)*(_xlfn.XLOOKUP(Assessment!#REF!,Inherited!A:A,Inherited!C:C)))+(((100-(_xlfn.XLOOKUP(Assessment!#REF!,Inherited!A:A,Inherited!B:B)))/100)*IF(X99="1.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(100%)","100"))))))&lt;=89),"75",IF((((_xlfn.XLOOKUP(Assessment!#REF!,Inherited!A:A,Inherited!B:B))/100)*(_xlfn.XLOOKUP(Assessment!#REF!,Inherited!A:A,Inherited!C:C)))+(((100-(_xlfn.XLOOKUP(Assessment!#REF!,Inherited!A:A,Inherited!B:B)))/100)*IF(X99="1. Non Compliant (0%)","0",IF(X99="2. Somewhat Compliant (25%)","25",IF(X99="3. Partially Compliant (50%)","50",IF(X99="4. Mostly Compliant (75%)","75",IF(X99="5. Fully Compliant (100%)","100"))))))&gt;=90,"100"))))))</f>
        <v>#N/A</v>
      </c>
      <c r="R99" s="1" t="e">
        <f>IF(MATCH(H99,Inherited!A:A),IF((((_xlfn.XLOOKUP(Assessment!#REF!,Inherited!A:A,Inherited!B:B))/100)*(_xlfn.XLOOKUP(Assessment!#REF!,Inherited!A:A,Inherited!D:D)))+(((100-(_xlfn.XLOOKUP(Assessment!#REF!,Inherited!A:A,Inherited!B:B)))/100)*IF(Y99="1.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(100%)","100"))))))&lt;=10,"0", IF(AND((((_xlfn.XLOOKUP(Assessment!#REF!,Inherited!A:A,Inherited!B:B))/100)*(_xlfn.XLOOKUP(Assessment!#REF!,Inherited!A:A,Inherited!D:D)))+(((100-(_xlfn.XLOOKUP(Assessment!#REF!,Inherited!A:A,Inherited!B:B)))/100)*IF(Y99="1.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(100%)","100"))))))&gt;=11,(((_xlfn.XLOOKUP(Assessment!#REF!,Inherited!A:A,Inherited!B:B))/100)*(_xlfn.XLOOKUP(Assessment!#REF!,Inherited!A:A,Inherited!D:D)))+(((100-(_xlfn.XLOOKUP(Assessment!#REF!,Inherited!A:A,Inherited!B:B)))/100)*IF(Y99="1.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(100%)","100"))))))&lt;=32),"25",IF(AND((((_xlfn.XLOOKUP(Assessment!#REF!,Inherited!A:A,Inherited!B:B))/100)*(_xlfn.XLOOKUP(Assessment!#REF!,Inherited!A:A,Inherited!D:D)))+(((100-(_xlfn.XLOOKUP(Assessment!#REF!,Inherited!A:A,Inherited!B:B)))/100)*IF(Y99="1.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(100%)","100"))))))&gt;=33,(((_xlfn.XLOOKUP(Assessment!#REF!,Inherited!A:A,Inherited!B:B))/100)*(_xlfn.XLOOKUP(Assessment!#REF!,Inherited!A:A,Inherited!D:D)))+(((100-(_xlfn.XLOOKUP(Assessment!#REF!,Inherited!A:A,Inherited!B:B)))/100)*IF(Y99="1.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(100%)","100"))))))&lt;=65),"50",IF(AND((((_xlfn.XLOOKUP(Assessment!#REF!,Inherited!A:A,Inherited!B:B))/100)*(_xlfn.XLOOKUP(Assessment!#REF!,Inherited!A:A,Inherited!D:D)))+(((100-(_xlfn.XLOOKUP(Assessment!#REF!,Inherited!A:A,Inherited!B:B)))/100)*IF(Y99="1.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(100%)","100"))))))&gt;=66,(((_xlfn.XLOOKUP(Assessment!#REF!,Inherited!A:A,Inherited!B:B))/100)*(_xlfn.XLOOKUP(Assessment!#REF!,Inherited!A:A,Inherited!D:D)))+(((100-(_xlfn.XLOOKUP(Assessment!#REF!,Inherited!A:A,Inherited!B:B)))/100)*IF(Y99="1.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(100%)","100"))))))&lt;=89),"75",IF((((_xlfn.XLOOKUP(Assessment!#REF!,Inherited!A:A,Inherited!B:B))/100)*(_xlfn.XLOOKUP(Assessment!#REF!,Inherited!A:A,Inherited!D:D)))+(((100-(_xlfn.XLOOKUP(Assessment!#REF!,Inherited!A:A,Inherited!B:B)))/100)*IF(Y99="1. Non Compliant (0%)","0",IF(Y99="2. Somewhat Compliant (25%)","25",IF(Y99="3. Partially Compliant (50%)","50",IF(Y99="4. Mostly Compliant (75%)","75",IF(Y99="5. Fully Compliant (100%)","100"))))))&gt;=90,"100"))))))</f>
        <v>#N/A</v>
      </c>
      <c r="S99" s="1" t="e">
        <f>IF(MATCH(H99,Inherited!A:A),IF((((_xlfn.XLOOKUP(Assessment!#REF!,Inherited!A:A,Inherited!B:B))/100)*(_xlfn.XLOOKUP(Assessment!#REF!,Inherited!A:A,Inherited!E:E)))+(((100-(_xlfn.XLOOKUP(Assessment!#REF!,Inherited!A:A,Inherited!B:B)))/100)*IF(Z99="1.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(100%)","100"))))))&lt;=10,"0", IF(AND((((_xlfn.XLOOKUP(Assessment!#REF!,Inherited!A:A,Inherited!B:B))/100)*(_xlfn.XLOOKUP(Assessment!#REF!,Inherited!A:A,Inherited!E:E)))+(((100-(_xlfn.XLOOKUP(Assessment!#REF!,Inherited!A:A,Inherited!B:B)))/100)*IF(Z99="1.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(100%)","100"))))))&gt;=11,(((_xlfn.XLOOKUP(Assessment!#REF!,Inherited!A:A,Inherited!B:B))/100)*(_xlfn.XLOOKUP(Assessment!#REF!,Inherited!A:A,Inherited!E:E)))+(((100-(_xlfn.XLOOKUP(Assessment!#REF!,Inherited!A:A,Inherited!B:B)))/100)*IF(Z99="1.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(100%)","100"))))))&lt;=32),"25",IF(AND((((_xlfn.XLOOKUP(Assessment!#REF!,Inherited!A:A,Inherited!B:B))/100)*(_xlfn.XLOOKUP(Assessment!#REF!,Inherited!A:A,Inherited!E:E)))+(((100-(_xlfn.XLOOKUP(Assessment!#REF!,Inherited!A:A,Inherited!B:B)))/100)*IF(Z99="1.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(100%)","100"))))))&gt;=33,(((_xlfn.XLOOKUP(Assessment!#REF!,Inherited!A:A,Inherited!B:B))/100)*(_xlfn.XLOOKUP(Assessment!#REF!,Inherited!A:A,Inherited!E:E)))+(((100-(_xlfn.XLOOKUP(Assessment!#REF!,Inherited!A:A,Inherited!B:B)))/100)*IF(Z99="1.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(100%)","100"))))))&lt;=65),"50",IF(AND((((_xlfn.XLOOKUP(Assessment!#REF!,Inherited!A:A,Inherited!B:B))/100)*(_xlfn.XLOOKUP(Assessment!#REF!,Inherited!A:A,Inherited!E:E)))+(((100-(_xlfn.XLOOKUP(Assessment!#REF!,Inherited!A:A,Inherited!B:B)))/100)*IF(Z99="1.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(100%)","100"))))))&gt;=66,(((_xlfn.XLOOKUP(Assessment!#REF!,Inherited!A:A,Inherited!B:B))/100)*(_xlfn.XLOOKUP(Assessment!#REF!,Inherited!A:A,Inherited!E:E)))+(((100-(_xlfn.XLOOKUP(Assessment!#REF!,Inherited!A:A,Inherited!B:B)))/100)*IF(Z99="1.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(100%)","100"))))))&lt;=89),"75",IF((((_xlfn.XLOOKUP(Assessment!#REF!,Inherited!A:A,Inherited!B:B))/100)*(_xlfn.XLOOKUP(Assessment!#REF!,Inherited!A:A,Inherited!E:E)))+(((100-(_xlfn.XLOOKUP(Assessment!#REF!,Inherited!A:A,Inherited!B:B)))/100)*IF(Z99="1. Non Compliant (0%)","0",IF(Z99="2. Somewhat Compliant (25%)","25",IF(Z99="3. Partially Compliant (50%)","50",IF(Z99="4. Mostly Compliant (75%)","75",IF(Z99="5. Fully Compliant (100%)","100"))))))&gt;=90,"100"))))))</f>
        <v>#N/A</v>
      </c>
      <c r="T99" s="1" t="e">
        <f>IF(MATCH(H99,Inherited!A:A),IF((((_xlfn.XLOOKUP(Assessment!#REF!,Inherited!A:A,Inherited!B:B))/100)*(_xlfn.XLOOKUP(Assessment!#REF!,Inherited!A:A,Inherited!F:F)))+(((100-(_xlfn.XLOOKUP(Assessment!#REF!,Inherited!A:A,Inherited!B:B)))/100)*IF(AA99="1.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(100%)","100"))))))&lt;=10,"0", IF(AND((((_xlfn.XLOOKUP(Assessment!#REF!,Inherited!A:A,Inherited!B:B))/100)*(_xlfn.XLOOKUP(Assessment!#REF!,Inherited!A:A,Inherited!F:F)))+(((100-(_xlfn.XLOOKUP(Assessment!#REF!,Inherited!A:A,Inherited!B:B)))/100)*IF(AA99="1.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(100%)","100"))))))&gt;=11,(((_xlfn.XLOOKUP(Assessment!#REF!,Inherited!A:A,Inherited!B:B))/100)*(_xlfn.XLOOKUP(Assessment!#REF!,Inherited!A:A,Inherited!F:F)))+(((100-(_xlfn.XLOOKUP(Assessment!#REF!,Inherited!A:A,Inherited!B:B)))/100)*IF(AA99="1.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(100%)","100"))))))&lt;=32),"25",IF(AND((((_xlfn.XLOOKUP(Assessment!#REF!,Inherited!A:A,Inherited!B:B))/100)*(_xlfn.XLOOKUP(Assessment!#REF!,Inherited!A:A,Inherited!F:F)))+(((100-(_xlfn.XLOOKUP(Assessment!#REF!,Inherited!A:A,Inherited!B:B)))/100)*IF(AA99="1.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(100%)","100"))))))&gt;=33,(((_xlfn.XLOOKUP(Assessment!#REF!,Inherited!A:A,Inherited!B:B))/100)*(_xlfn.XLOOKUP(Assessment!#REF!,Inherited!A:A,Inherited!F:F)))+(((100-(_xlfn.XLOOKUP(Assessment!#REF!,Inherited!A:A,Inherited!B:B)))/100)*IF(AA99="1.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(100%)","100"))))))&lt;=65),"50",IF(AND((((_xlfn.XLOOKUP(Assessment!#REF!,Inherited!A:A,Inherited!B:B))/100)*(_xlfn.XLOOKUP(Assessment!#REF!,Inherited!A:A,Inherited!F:F)))+(((100-(_xlfn.XLOOKUP(Assessment!#REF!,Inherited!A:A,Inherited!B:B)))/100)*IF(AA99="1.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(100%)","100"))))))&gt;=66,(((_xlfn.XLOOKUP(Assessment!#REF!,Inherited!A:A,Inherited!B:B))/100)*(_xlfn.XLOOKUP(Assessment!#REF!,Inherited!A:A,Inherited!F:F)))+(((100-(_xlfn.XLOOKUP(Assessment!#REF!,Inherited!A:A,Inherited!B:B)))/100)*IF(AA99="1.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(100%)","100"))))))&lt;=89),"75",IF((((_xlfn.XLOOKUP(Assessment!#REF!,Inherited!A:A,Inherited!B:B))/100)*(_xlfn.XLOOKUP(Assessment!#REF!,Inherited!A:A,Inherited!F:F)))+(((100-(_xlfn.XLOOKUP(Assessment!#REF!,Inherited!A:A,Inherited!B:B)))/100)*IF(AA99="1. Non Compliant (0%)","0",IF(AA99="2. Somewhat Compliant (25%)","25",IF(AA99="3. Partially Compliant (50%)","50",IF(AA99="4. Mostly Compliant (75%)","75",IF(AA99="5. Fully Compliant (100%)","100"))))))&gt;=90,"100"))))))</f>
        <v>#N/A</v>
      </c>
      <c r="U99" s="1" t="e">
        <f>IF(MATCH(H99,Inherited!A:A),IF((((_xlfn.XLOOKUP(Assessment!#REF!,Inherited!A:A,Inherited!B:B))/100)*(_xlfn.XLOOKUP(Assessment!#REF!,Inherited!A:A,Inherited!G:G)))+(((100-(_xlfn.XLOOKUP(Assessment!#REF!,Inherited!A:A,Inherited!B:B)))/100)*IF(AB99="1.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(100%)","100"))))))&lt;=10,"0", IF(AND((((_xlfn.XLOOKUP(Assessment!#REF!,Inherited!A:A,Inherited!B:B))/100)*(_xlfn.XLOOKUP(Assessment!#REF!,Inherited!A:A,Inherited!G:G)))+(((100-(_xlfn.XLOOKUP(Assessment!#REF!,Inherited!A:A,Inherited!B:B)))/100)*IF(AB99="1.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(100%)","100"))))))&gt;=11,(((_xlfn.XLOOKUP(Assessment!#REF!,Inherited!A:A,Inherited!B:B))/100)*(_xlfn.XLOOKUP(Assessment!#REF!,Inherited!A:A,Inherited!G:G)))+(((100-(_xlfn.XLOOKUP(Assessment!#REF!,Inherited!A:A,Inherited!B:B)))/100)*IF(AB99="1.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(100%)","100"))))))&lt;=32),"25",IF(AND((((_xlfn.XLOOKUP(Assessment!#REF!,Inherited!A:A,Inherited!B:B))/100)*(_xlfn.XLOOKUP(Assessment!#REF!,Inherited!A:A,Inherited!G:G)))+(((100-(_xlfn.XLOOKUP(Assessment!#REF!,Inherited!A:A,Inherited!B:B)))/100)*IF(AB99="1.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(100%)","100"))))))&gt;=33,(((_xlfn.XLOOKUP(Assessment!#REF!,Inherited!A:A,Inherited!B:B))/100)*(_xlfn.XLOOKUP(Assessment!#REF!,Inherited!A:A,Inherited!G:G)))+(((100-(_xlfn.XLOOKUP(Assessment!#REF!,Inherited!A:A,Inherited!B:B)))/100)*IF(AB99="1.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(100%)","100"))))))&lt;=65),"50",IF(AND((((_xlfn.XLOOKUP(Assessment!#REF!,Inherited!A:A,Inherited!B:B))/100)*(_xlfn.XLOOKUP(Assessment!#REF!,Inherited!A:A,Inherited!G:G)))+(((100-(_xlfn.XLOOKUP(Assessment!#REF!,Inherited!A:A,Inherited!B:B)))/100)*IF(AB99="1.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(100%)","100"))))))&gt;=66,(((_xlfn.XLOOKUP(Assessment!#REF!,Inherited!A:A,Inherited!B:B))/100)*(_xlfn.XLOOKUP(Assessment!#REF!,Inherited!A:A,Inherited!G:G)))+(((100-(_xlfn.XLOOKUP(Assessment!#REF!,Inherited!A:A,Inherited!B:B)))/100)*IF(AB99="1.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(100%)","100"))))))&lt;=89),"75",IF((((_xlfn.XLOOKUP(Assessment!#REF!,Inherited!A:A,Inherited!B:B))/100)*(_xlfn.XLOOKUP(Assessment!#REF!,Inherited!A:A,Inherited!G:G)))+(((100-(_xlfn.XLOOKUP(Assessment!#REF!,Inherited!A:A,Inherited!B:B)))/100)*IF(AB99="1. Non Compliant (0%)","0",IF(AB99="2. Somewhat Compliant (25%)","25",IF(AB99="3. Partially Compliant (50%)","50",IF(AB99="4. Mostly Compliant (75%)","75",IF(AB99="5. Fully Compliant (100%)","100"))))))&gt;=90,"100"))))))</f>
        <v>#N/A</v>
      </c>
      <c r="V99" s="55" t="s">
        <v>85</v>
      </c>
      <c r="W99" s="55"/>
      <c r="X99" s="55"/>
      <c r="Y99" s="55"/>
      <c r="Z99" s="55"/>
      <c r="AA99" s="55"/>
      <c r="AB99" s="55"/>
      <c r="AK99" s="1" t="s">
        <v>10891</v>
      </c>
      <c r="AL99" s="1" t="s">
        <v>10907</v>
      </c>
      <c r="AX99" s="3" t="str">
        <f>_xlfn.CONCAT("A-LIGN finished its review of this control on ",AR99, " during the scheduled fieldwork window (",Intro!$B$4,")."&amp; CHAR(10)&amp; CHAR(10))</f>
        <v xml:space="preserve">A-LIGN finished its review of this control on  during the scheduled fieldwork window (Fieldwork: xx/xx/xxxx - xx/xx/xxxx).
</v>
      </c>
      <c r="AY99" s="3" t="str">
        <f t="shared" si="181"/>
        <v/>
      </c>
      <c r="AZ99" s="3" t="str">
        <f t="shared" si="182"/>
        <v/>
      </c>
      <c r="BA99" s="3" t="str">
        <f t="shared" si="183"/>
        <v/>
      </c>
      <c r="BB99" s="3" t="str">
        <f t="shared" si="184"/>
        <v xml:space="preserve">Inquired of the following workforce member: 
Matthew Macaluso - Director of System Operations
Roze Nicolas - Director of TechOps
Inquiry lead to the following conclusions: 
Termination Checklist can be provided in ASCEND
</v>
      </c>
      <c r="BC99" s="3" t="str">
        <f t="shared" si="185"/>
        <v/>
      </c>
      <c r="BD99" s="3" t="str">
        <f t="shared" si="186"/>
        <v xml:space="preserve">Examined the following evidence during fieldwork:
Reviewed evidence addressed the requirement statement.
</v>
      </c>
      <c r="BE99" s="3" t="str">
        <f t="shared" si="187"/>
        <v/>
      </c>
      <c r="BF99" s="3" t="str">
        <f t="shared" si="188"/>
        <v/>
      </c>
      <c r="BG99" s="3" t="str">
        <f>_xlfn.CONCAT((IF((COUNTIF('Sample Tables'!B:B,"")&gt;0)=TRUE,_xlfn.CONCAT("",""),IF((COUNTIF('Sample Tables'!B:B,"")&gt;0)=FALSE,""))),)</f>
        <v/>
      </c>
      <c r="BH99" s="3" t="str">
        <f t="shared" si="18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Termination Checklist can be provided in ASCEND
Examined the following evidence during fieldwork:
Reviewed evidence addressed the requirement statement.
</v>
      </c>
    </row>
    <row r="100" spans="3:60" ht="275" x14ac:dyDescent="0.35">
      <c r="C100" s="1">
        <f t="shared" si="180"/>
        <v>0</v>
      </c>
      <c r="D100" s="5" t="str">
        <f>IF(AND((_xlfn.XLOOKUP(J100,'Fields &amp; Revisions'!$H:$H,'Fields &amp; Revisions'!$I:$I))&lt;70.99,(OR(Z100="4. Mostly Compliant (75%)",Z100="3. Partially Compliant (50%)",Z100="2. Somewhat Compliant (25%)",Z100="1. Non Compliant (0%)"))),"Yes","No")</f>
        <v>No</v>
      </c>
      <c r="E100" s="5" t="str">
        <f>IF(ISERROR(VLOOKUP(H100,Scope!A:A,1,FALSE)),"No","Yes")</f>
        <v>Yes</v>
      </c>
      <c r="F100" s="1" t="s">
        <v>2424</v>
      </c>
      <c r="G100" s="53" t="s">
        <v>2826</v>
      </c>
      <c r="H100" s="53" t="s">
        <v>2827</v>
      </c>
      <c r="I100" s="5">
        <v>1</v>
      </c>
      <c r="J100" s="1" t="s">
        <v>2828</v>
      </c>
      <c r="K100" s="1" t="s">
        <v>2829</v>
      </c>
      <c r="L100" s="1" t="s">
        <v>2830</v>
      </c>
      <c r="M100" s="1" t="s">
        <v>2806</v>
      </c>
      <c r="N100" s="5" t="s">
        <v>85</v>
      </c>
      <c r="O100" s="1" t="str">
        <f>_xlfn.XLOOKUP(G100,SRMs!$A:$A,SRMs!$D:$D)</f>
        <v>PARTIAL INHERITANCE</v>
      </c>
      <c r="P100" s="1" t="str">
        <f>IFERROR(VLOOKUP(H100,Inherited!A:B,2,FALSE),"")</f>
        <v/>
      </c>
      <c r="Q100" s="1" t="e">
        <f>IF(MATCH(H100,Inherited!A:A),IF((((_xlfn.XLOOKUP(Assessment!#REF!,Inherited!A:A,Inherited!B:B))/100)*(_xlfn.XLOOKUP(Assessment!#REF!,Inherited!A:A,Inherited!C:C)))+(((100-(_xlfn.XLOOKUP(Assessment!#REF!,Inherited!A:A,Inherited!B:B)))/100)*IF(X100="1.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(100%)","100"))))))&lt;=10,"0", IF(AND((((_xlfn.XLOOKUP(Assessment!#REF!,Inherited!A:A,Inherited!B:B))/100)*(_xlfn.XLOOKUP(Assessment!#REF!,Inherited!A:A,Inherited!C:C)))+(((100-(_xlfn.XLOOKUP(Assessment!#REF!,Inherited!A:A,Inherited!B:B)))/100)*IF(X100="1.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(100%)","100"))))))&gt;=11,(((_xlfn.XLOOKUP(Assessment!#REF!,Inherited!A:A,Inherited!B:B))/100)*(_xlfn.XLOOKUP(Assessment!#REF!,Inherited!A:A,Inherited!C:C)))+(((100-(_xlfn.XLOOKUP(Assessment!#REF!,Inherited!A:A,Inherited!B:B)))/100)*IF(X100="1.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(100%)","100"))))))&lt;=32),"25",IF(AND((((_xlfn.XLOOKUP(Assessment!#REF!,Inherited!A:A,Inherited!B:B))/100)*(_xlfn.XLOOKUP(Assessment!#REF!,Inherited!A:A,Inherited!C:C)))+(((100-(_xlfn.XLOOKUP(Assessment!#REF!,Inherited!A:A,Inherited!B:B)))/100)*IF(X100="1.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(100%)","100"))))))&gt;=33,(((_xlfn.XLOOKUP(Assessment!#REF!,Inherited!A:A,Inherited!B:B))/100)*(_xlfn.XLOOKUP(Assessment!#REF!,Inherited!A:A,Inherited!C:C)))+(((100-(_xlfn.XLOOKUP(Assessment!#REF!,Inherited!A:A,Inherited!B:B)))/100)*IF(X100="1.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(100%)","100"))))))&lt;=65),"50",IF(AND((((_xlfn.XLOOKUP(Assessment!#REF!,Inherited!A:A,Inherited!B:B))/100)*(_xlfn.XLOOKUP(Assessment!#REF!,Inherited!A:A,Inherited!C:C)))+(((100-(_xlfn.XLOOKUP(Assessment!#REF!,Inherited!A:A,Inherited!B:B)))/100)*IF(X100="1.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(100%)","100"))))))&gt;=66,(((_xlfn.XLOOKUP(Assessment!#REF!,Inherited!A:A,Inherited!B:B))/100)*(_xlfn.XLOOKUP(Assessment!#REF!,Inherited!A:A,Inherited!C:C)))+(((100-(_xlfn.XLOOKUP(Assessment!#REF!,Inherited!A:A,Inherited!B:B)))/100)*IF(X100="1.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(100%)","100"))))))&lt;=89),"75",IF((((_xlfn.XLOOKUP(Assessment!#REF!,Inherited!A:A,Inherited!B:B))/100)*(_xlfn.XLOOKUP(Assessment!#REF!,Inherited!A:A,Inherited!C:C)))+(((100-(_xlfn.XLOOKUP(Assessment!#REF!,Inherited!A:A,Inherited!B:B)))/100)*IF(X100="1. Non Compliant (0%)","0",IF(X100="2. Somewhat Compliant (25%)","25",IF(X100="3. Partially Compliant (50%)","50",IF(X100="4. Mostly Compliant (75%)","75",IF(X100="5. Fully Compliant (100%)","100"))))))&gt;=90,"100"))))))</f>
        <v>#N/A</v>
      </c>
      <c r="R100" s="1" t="e">
        <f>IF(MATCH(H100,Inherited!A:A),IF((((_xlfn.XLOOKUP(Assessment!#REF!,Inherited!A:A,Inherited!B:B))/100)*(_xlfn.XLOOKUP(Assessment!#REF!,Inherited!A:A,Inherited!D:D)))+(((100-(_xlfn.XLOOKUP(Assessment!#REF!,Inherited!A:A,Inherited!B:B)))/100)*IF(Y100="1.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(100%)","100"))))))&lt;=10,"0", IF(AND((((_xlfn.XLOOKUP(Assessment!#REF!,Inherited!A:A,Inherited!B:B))/100)*(_xlfn.XLOOKUP(Assessment!#REF!,Inherited!A:A,Inherited!D:D)))+(((100-(_xlfn.XLOOKUP(Assessment!#REF!,Inherited!A:A,Inherited!B:B)))/100)*IF(Y100="1.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(100%)","100"))))))&gt;=11,(((_xlfn.XLOOKUP(Assessment!#REF!,Inherited!A:A,Inherited!B:B))/100)*(_xlfn.XLOOKUP(Assessment!#REF!,Inherited!A:A,Inherited!D:D)))+(((100-(_xlfn.XLOOKUP(Assessment!#REF!,Inherited!A:A,Inherited!B:B)))/100)*IF(Y100="1.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(100%)","100"))))))&lt;=32),"25",IF(AND((((_xlfn.XLOOKUP(Assessment!#REF!,Inherited!A:A,Inherited!B:B))/100)*(_xlfn.XLOOKUP(Assessment!#REF!,Inherited!A:A,Inherited!D:D)))+(((100-(_xlfn.XLOOKUP(Assessment!#REF!,Inherited!A:A,Inherited!B:B)))/100)*IF(Y100="1.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(100%)","100"))))))&gt;=33,(((_xlfn.XLOOKUP(Assessment!#REF!,Inherited!A:A,Inherited!B:B))/100)*(_xlfn.XLOOKUP(Assessment!#REF!,Inherited!A:A,Inherited!D:D)))+(((100-(_xlfn.XLOOKUP(Assessment!#REF!,Inherited!A:A,Inherited!B:B)))/100)*IF(Y100="1.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(100%)","100"))))))&lt;=65),"50",IF(AND((((_xlfn.XLOOKUP(Assessment!#REF!,Inherited!A:A,Inherited!B:B))/100)*(_xlfn.XLOOKUP(Assessment!#REF!,Inherited!A:A,Inherited!D:D)))+(((100-(_xlfn.XLOOKUP(Assessment!#REF!,Inherited!A:A,Inherited!B:B)))/100)*IF(Y100="1.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(100%)","100"))))))&gt;=66,(((_xlfn.XLOOKUP(Assessment!#REF!,Inherited!A:A,Inherited!B:B))/100)*(_xlfn.XLOOKUP(Assessment!#REF!,Inherited!A:A,Inherited!D:D)))+(((100-(_xlfn.XLOOKUP(Assessment!#REF!,Inherited!A:A,Inherited!B:B)))/100)*IF(Y100="1.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(100%)","100"))))))&lt;=89),"75",IF((((_xlfn.XLOOKUP(Assessment!#REF!,Inherited!A:A,Inherited!B:B))/100)*(_xlfn.XLOOKUP(Assessment!#REF!,Inherited!A:A,Inherited!D:D)))+(((100-(_xlfn.XLOOKUP(Assessment!#REF!,Inherited!A:A,Inherited!B:B)))/100)*IF(Y100="1. Non Compliant (0%)","0",IF(Y100="2. Somewhat Compliant (25%)","25",IF(Y100="3. Partially Compliant (50%)","50",IF(Y100="4. Mostly Compliant (75%)","75",IF(Y100="5. Fully Compliant (100%)","100"))))))&gt;=90,"100"))))))</f>
        <v>#N/A</v>
      </c>
      <c r="S100" s="1" t="e">
        <f>IF(MATCH(H100,Inherited!A:A),IF((((_xlfn.XLOOKUP(Assessment!#REF!,Inherited!A:A,Inherited!B:B))/100)*(_xlfn.XLOOKUP(Assessment!#REF!,Inherited!A:A,Inherited!E:E)))+(((100-(_xlfn.XLOOKUP(Assessment!#REF!,Inherited!A:A,Inherited!B:B)))/100)*IF(Z100="1.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(100%)","100"))))))&lt;=10,"0", IF(AND((((_xlfn.XLOOKUP(Assessment!#REF!,Inherited!A:A,Inherited!B:B))/100)*(_xlfn.XLOOKUP(Assessment!#REF!,Inherited!A:A,Inherited!E:E)))+(((100-(_xlfn.XLOOKUP(Assessment!#REF!,Inherited!A:A,Inherited!B:B)))/100)*IF(Z100="1.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(100%)","100"))))))&gt;=11,(((_xlfn.XLOOKUP(Assessment!#REF!,Inherited!A:A,Inherited!B:B))/100)*(_xlfn.XLOOKUP(Assessment!#REF!,Inherited!A:A,Inherited!E:E)))+(((100-(_xlfn.XLOOKUP(Assessment!#REF!,Inherited!A:A,Inherited!B:B)))/100)*IF(Z100="1.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(100%)","100"))))))&lt;=32),"25",IF(AND((((_xlfn.XLOOKUP(Assessment!#REF!,Inherited!A:A,Inherited!B:B))/100)*(_xlfn.XLOOKUP(Assessment!#REF!,Inherited!A:A,Inherited!E:E)))+(((100-(_xlfn.XLOOKUP(Assessment!#REF!,Inherited!A:A,Inherited!B:B)))/100)*IF(Z100="1.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(100%)","100"))))))&gt;=33,(((_xlfn.XLOOKUP(Assessment!#REF!,Inherited!A:A,Inherited!B:B))/100)*(_xlfn.XLOOKUP(Assessment!#REF!,Inherited!A:A,Inherited!E:E)))+(((100-(_xlfn.XLOOKUP(Assessment!#REF!,Inherited!A:A,Inherited!B:B)))/100)*IF(Z100="1.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(100%)","100"))))))&lt;=65),"50",IF(AND((((_xlfn.XLOOKUP(Assessment!#REF!,Inherited!A:A,Inherited!B:B))/100)*(_xlfn.XLOOKUP(Assessment!#REF!,Inherited!A:A,Inherited!E:E)))+(((100-(_xlfn.XLOOKUP(Assessment!#REF!,Inherited!A:A,Inherited!B:B)))/100)*IF(Z100="1.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(100%)","100"))))))&gt;=66,(((_xlfn.XLOOKUP(Assessment!#REF!,Inherited!A:A,Inherited!B:B))/100)*(_xlfn.XLOOKUP(Assessment!#REF!,Inherited!A:A,Inherited!E:E)))+(((100-(_xlfn.XLOOKUP(Assessment!#REF!,Inherited!A:A,Inherited!B:B)))/100)*IF(Z100="1.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(100%)","100"))))))&lt;=89),"75",IF((((_xlfn.XLOOKUP(Assessment!#REF!,Inherited!A:A,Inherited!B:B))/100)*(_xlfn.XLOOKUP(Assessment!#REF!,Inherited!A:A,Inherited!E:E)))+(((100-(_xlfn.XLOOKUP(Assessment!#REF!,Inherited!A:A,Inherited!B:B)))/100)*IF(Z100="1. Non Compliant (0%)","0",IF(Z100="2. Somewhat Compliant (25%)","25",IF(Z100="3. Partially Compliant (50%)","50",IF(Z100="4. Mostly Compliant (75%)","75",IF(Z100="5. Fully Compliant (100%)","100"))))))&gt;=90,"100"))))))</f>
        <v>#N/A</v>
      </c>
      <c r="T100" s="1" t="e">
        <f>IF(MATCH(H100,Inherited!A:A),IF((((_xlfn.XLOOKUP(Assessment!#REF!,Inherited!A:A,Inherited!B:B))/100)*(_xlfn.XLOOKUP(Assessment!#REF!,Inherited!A:A,Inherited!F:F)))+(((100-(_xlfn.XLOOKUP(Assessment!#REF!,Inherited!A:A,Inherited!B:B)))/100)*IF(AA100="1.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(100%)","100"))))))&lt;=10,"0", IF(AND((((_xlfn.XLOOKUP(Assessment!#REF!,Inherited!A:A,Inherited!B:B))/100)*(_xlfn.XLOOKUP(Assessment!#REF!,Inherited!A:A,Inherited!F:F)))+(((100-(_xlfn.XLOOKUP(Assessment!#REF!,Inherited!A:A,Inherited!B:B)))/100)*IF(AA100="1.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(100%)","100"))))))&gt;=11,(((_xlfn.XLOOKUP(Assessment!#REF!,Inherited!A:A,Inherited!B:B))/100)*(_xlfn.XLOOKUP(Assessment!#REF!,Inherited!A:A,Inherited!F:F)))+(((100-(_xlfn.XLOOKUP(Assessment!#REF!,Inherited!A:A,Inherited!B:B)))/100)*IF(AA100="1.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(100%)","100"))))))&lt;=32),"25",IF(AND((((_xlfn.XLOOKUP(Assessment!#REF!,Inherited!A:A,Inherited!B:B))/100)*(_xlfn.XLOOKUP(Assessment!#REF!,Inherited!A:A,Inherited!F:F)))+(((100-(_xlfn.XLOOKUP(Assessment!#REF!,Inherited!A:A,Inherited!B:B)))/100)*IF(AA100="1.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(100%)","100"))))))&gt;=33,(((_xlfn.XLOOKUP(Assessment!#REF!,Inherited!A:A,Inherited!B:B))/100)*(_xlfn.XLOOKUP(Assessment!#REF!,Inherited!A:A,Inherited!F:F)))+(((100-(_xlfn.XLOOKUP(Assessment!#REF!,Inherited!A:A,Inherited!B:B)))/100)*IF(AA100="1.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(100%)","100"))))))&lt;=65),"50",IF(AND((((_xlfn.XLOOKUP(Assessment!#REF!,Inherited!A:A,Inherited!B:B))/100)*(_xlfn.XLOOKUP(Assessment!#REF!,Inherited!A:A,Inherited!F:F)))+(((100-(_xlfn.XLOOKUP(Assessment!#REF!,Inherited!A:A,Inherited!B:B)))/100)*IF(AA100="1.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(100%)","100"))))))&gt;=66,(((_xlfn.XLOOKUP(Assessment!#REF!,Inherited!A:A,Inherited!B:B))/100)*(_xlfn.XLOOKUP(Assessment!#REF!,Inherited!A:A,Inherited!F:F)))+(((100-(_xlfn.XLOOKUP(Assessment!#REF!,Inherited!A:A,Inherited!B:B)))/100)*IF(AA100="1.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(100%)","100"))))))&lt;=89),"75",IF((((_xlfn.XLOOKUP(Assessment!#REF!,Inherited!A:A,Inherited!B:B))/100)*(_xlfn.XLOOKUP(Assessment!#REF!,Inherited!A:A,Inherited!F:F)))+(((100-(_xlfn.XLOOKUP(Assessment!#REF!,Inherited!A:A,Inherited!B:B)))/100)*IF(AA100="1. Non Compliant (0%)","0",IF(AA100="2. Somewhat Compliant (25%)","25",IF(AA100="3. Partially Compliant (50%)","50",IF(AA100="4. Mostly Compliant (75%)","75",IF(AA100="5. Fully Compliant (100%)","100"))))))&gt;=90,"100"))))))</f>
        <v>#N/A</v>
      </c>
      <c r="U100" s="1" t="e">
        <f>IF(MATCH(H100,Inherited!A:A),IF((((_xlfn.XLOOKUP(Assessment!#REF!,Inherited!A:A,Inherited!B:B))/100)*(_xlfn.XLOOKUP(Assessment!#REF!,Inherited!A:A,Inherited!G:G)))+(((100-(_xlfn.XLOOKUP(Assessment!#REF!,Inherited!A:A,Inherited!B:B)))/100)*IF(AB100="1.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(100%)","100"))))))&lt;=10,"0", IF(AND((((_xlfn.XLOOKUP(Assessment!#REF!,Inherited!A:A,Inherited!B:B))/100)*(_xlfn.XLOOKUP(Assessment!#REF!,Inherited!A:A,Inherited!G:G)))+(((100-(_xlfn.XLOOKUP(Assessment!#REF!,Inherited!A:A,Inherited!B:B)))/100)*IF(AB100="1.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(100%)","100"))))))&gt;=11,(((_xlfn.XLOOKUP(Assessment!#REF!,Inherited!A:A,Inherited!B:B))/100)*(_xlfn.XLOOKUP(Assessment!#REF!,Inherited!A:A,Inherited!G:G)))+(((100-(_xlfn.XLOOKUP(Assessment!#REF!,Inherited!A:A,Inherited!B:B)))/100)*IF(AB100="1.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(100%)","100"))))))&lt;=32),"25",IF(AND((((_xlfn.XLOOKUP(Assessment!#REF!,Inherited!A:A,Inherited!B:B))/100)*(_xlfn.XLOOKUP(Assessment!#REF!,Inherited!A:A,Inherited!G:G)))+(((100-(_xlfn.XLOOKUP(Assessment!#REF!,Inherited!A:A,Inherited!B:B)))/100)*IF(AB100="1.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(100%)","100"))))))&gt;=33,(((_xlfn.XLOOKUP(Assessment!#REF!,Inherited!A:A,Inherited!B:B))/100)*(_xlfn.XLOOKUP(Assessment!#REF!,Inherited!A:A,Inherited!G:G)))+(((100-(_xlfn.XLOOKUP(Assessment!#REF!,Inherited!A:A,Inherited!B:B)))/100)*IF(AB100="1.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(100%)","100"))))))&lt;=65),"50",IF(AND((((_xlfn.XLOOKUP(Assessment!#REF!,Inherited!A:A,Inherited!B:B))/100)*(_xlfn.XLOOKUP(Assessment!#REF!,Inherited!A:A,Inherited!G:G)))+(((100-(_xlfn.XLOOKUP(Assessment!#REF!,Inherited!A:A,Inherited!B:B)))/100)*IF(AB100="1.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(100%)","100"))))))&gt;=66,(((_xlfn.XLOOKUP(Assessment!#REF!,Inherited!A:A,Inherited!B:B))/100)*(_xlfn.XLOOKUP(Assessment!#REF!,Inherited!A:A,Inherited!G:G)))+(((100-(_xlfn.XLOOKUP(Assessment!#REF!,Inherited!A:A,Inherited!B:B)))/100)*IF(AB100="1.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(100%)","100"))))))&lt;=89),"75",IF((((_xlfn.XLOOKUP(Assessment!#REF!,Inherited!A:A,Inherited!B:B))/100)*(_xlfn.XLOOKUP(Assessment!#REF!,Inherited!A:A,Inherited!G:G)))+(((100-(_xlfn.XLOOKUP(Assessment!#REF!,Inherited!A:A,Inherited!B:B)))/100)*IF(AB100="1. Non Compliant (0%)","0",IF(AB100="2. Somewhat Compliant (25%)","25",IF(AB100="3. Partially Compliant (50%)","50",IF(AB100="4. Mostly Compliant (75%)","75",IF(AB100="5. Fully Compliant (100%)","100"))))))&gt;=90,"100"))))))</f>
        <v>#N/A</v>
      </c>
      <c r="V100" s="55" t="s">
        <v>85</v>
      </c>
      <c r="W100" s="55"/>
      <c r="X100" s="55"/>
      <c r="Y100" s="55"/>
      <c r="Z100" s="55"/>
      <c r="AA100" s="55"/>
      <c r="AB100" s="55"/>
      <c r="AK100" s="1" t="s">
        <v>10891</v>
      </c>
      <c r="AL100" s="1" t="s">
        <v>10907</v>
      </c>
      <c r="AX100" s="3" t="str">
        <f>_xlfn.CONCAT("A-LIGN finished its review of this control on ",AR100, " during the scheduled fieldwork window (",Intro!$B$4,")."&amp; CHAR(10)&amp; CHAR(10))</f>
        <v xml:space="preserve">A-LIGN finished its review of this control on  during the scheduled fieldwork window (Fieldwork: xx/xx/xxxx - xx/xx/xxxx).
</v>
      </c>
      <c r="AY100" s="3" t="str">
        <f t="shared" si="181"/>
        <v/>
      </c>
      <c r="AZ100" s="3" t="str">
        <f t="shared" si="182"/>
        <v/>
      </c>
      <c r="BA100" s="3" t="str">
        <f t="shared" si="183"/>
        <v/>
      </c>
      <c r="BB100" s="3" t="str">
        <f t="shared" si="184"/>
        <v xml:space="preserve">Inquired of the following workforce member: 
Matthew Macaluso - Director of System Operations
Roze Nicolas - Director of TechOps
Inquiry lead to the following conclusions: 
Termination Checklist can be provided in ASCEND
</v>
      </c>
      <c r="BC100" s="3" t="str">
        <f t="shared" si="185"/>
        <v/>
      </c>
      <c r="BD100" s="3" t="str">
        <f t="shared" si="186"/>
        <v xml:space="preserve">Examined the following evidence during fieldwork:
Reviewed evidence addressed the requirement statement.
</v>
      </c>
      <c r="BE100" s="3" t="str">
        <f t="shared" si="187"/>
        <v/>
      </c>
      <c r="BF100" s="3" t="str">
        <f t="shared" si="188"/>
        <v/>
      </c>
      <c r="BG100" s="3" t="str">
        <f>_xlfn.CONCAT((IF((COUNTIF('Sample Tables'!B:B,"Test 211: Workforce Member (termination)")&gt;0)=TRUE,_xlfn.CONCAT("Sample test results are documented in ",'Sample Tables'!B2317," [",'Sample Tables'!B2318,", ",'Sample Tables'!B2319,", ",'Sample Tables'!B2320,", ",'Sample Tables'!B2321,", ",'Sample Tables'!B2322,"]."&amp;CHAR(10)),IF((COUNTIF('Sample Tables'!B:B,"Test 211: Workforce Member (termination)")&gt;0)=FALSE,""))),)</f>
        <v xml:space="preserve">Sample test results are documented in Test 211: Workforce Member (termination) [Population Source/Tool: , Population Date Range: , Population Size: , Sample Methodology: , Sample Size: ].
</v>
      </c>
      <c r="BH100" s="3" t="str">
        <f t="shared" si="18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Termination Checklist can be provided in ASCEND
Examined the following evidence during fieldwork:
Reviewed evidence addressed the requirement statement.
Sample test results are documented in Test 211: Workforce Member (termination) [Population Source/Tool: , Population Date Range: , Population Size: , Sample Methodology: , Sample Size: ].
</v>
      </c>
    </row>
    <row r="101" spans="3:60" ht="400" x14ac:dyDescent="0.35">
      <c r="C101" s="1">
        <f t="shared" ref="C101:C102" si="190">IF(V101="No","Not Applicable",(IF(X101="1. Non Compliant (0%)","0",IF(X101="2. Somewhat Compliant (25%)","25",IF(X101="3. Partially Compliant (50%)","50",IF(X101="4. Mostly Compliant (75%)","75",IF(X101="5. Fully Compliant (100%)","100")))))*0.15)+((IF(Y101="1. Non Compliant (0%)","0",IF(Y101="2. Somewhat Compliant (25%)","25",IF(Y101="3. Partially Compliant (50%)","50",IF(Y101="4. Mostly Compliant (75%)","75",IF(Y101="5. Fully Compliant (100%)","100"))))))*0.2)+(IF(Z101="1. Non Compliant (0%)","0",IF(Z101="2. Somewhat Compliant (25%)","25",IF(Z101="3. Partially Compliant (50%)","50",IF(Z101="4. Mostly Compliant (75%)","75",IF(Z101="5. Fully Compliant (100%)","100")))))*0.4)+(IF(AA101="1. Non Compliant (0%)","0",IF(AA101="2. Somewhat Compliant (25%)","25",IF(AA101="3. Partially Compliant (50%)","50",IF(AA101="4. Mostly Compliant (75%)","75",IF(AA101="5. Fully Compliant (100%)","100")))))*0.1)+(IF(AB101="1. Non Compliant (0%)","0",IF(AB101="2. Somewhat Compliant (25%)","25",IF(AB101="3. Partially Compliant (50%)","50",IF(AB101="4. Mostly Compliant (75%)","75",IF(AB101="5. Fully Compliant (100%)","100")))))*0.15))</f>
        <v>40</v>
      </c>
      <c r="D101" s="5" t="str">
        <f>IF(AND((_xlfn.XLOOKUP(J101,'Fields &amp; Revisions'!$H:$H,'Fields &amp; Revisions'!$I:$I))&lt;70.99,(OR(Z101="4. Mostly Compliant (75%)",Z101="3. Partially Compliant (50%)",Z101="2. Somewhat Compliant (25%)",Z101="1. Non Compliant (0%)"))),"Yes","No")</f>
        <v>No</v>
      </c>
      <c r="E101" s="5" t="str">
        <f>IF(ISERROR(VLOOKUP(H101,Scope!A:A,1,FALSE)),"No","Yes")</f>
        <v>Yes</v>
      </c>
      <c r="F101" s="1" t="s">
        <v>2424</v>
      </c>
      <c r="G101" s="53" t="s">
        <v>2879</v>
      </c>
      <c r="H101" s="53" t="s">
        <v>2880</v>
      </c>
      <c r="I101" s="5">
        <v>1</v>
      </c>
      <c r="J101" s="1" t="s">
        <v>2473</v>
      </c>
      <c r="K101" s="1" t="s">
        <v>2881</v>
      </c>
      <c r="L101" s="1" t="s">
        <v>2882</v>
      </c>
      <c r="M101" s="1" t="s">
        <v>2883</v>
      </c>
      <c r="N101" s="5" t="s">
        <v>85</v>
      </c>
      <c r="O101" s="1" t="str">
        <f>_xlfn.XLOOKUP(G101,SRMs!$A:$A,SRMs!$D:$D)</f>
        <v>PARTIAL INHERITANCE</v>
      </c>
      <c r="P101" s="1" t="str">
        <f>IFERROR(VLOOKUP(H101,Inherited!A:B,2,FALSE),"")</f>
        <v/>
      </c>
      <c r="Q101" s="1" t="e">
        <f>IF(MATCH(H101,Inherited!A:A),IF((((_xlfn.XLOOKUP(Assessment!#REF!,Inherited!A:A,Inherited!B:B))/100)*(_xlfn.XLOOKUP(Assessment!#REF!,Inherited!A:A,Inherited!C:C)))+(((100-(_xlfn.XLOOKUP(Assessment!#REF!,Inherited!A:A,Inherited!B:B)))/100)*IF(X101="1.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(100%)","100"))))))&lt;=10,"0", IF(AND((((_xlfn.XLOOKUP(Assessment!#REF!,Inherited!A:A,Inherited!B:B))/100)*(_xlfn.XLOOKUP(Assessment!#REF!,Inherited!A:A,Inherited!C:C)))+(((100-(_xlfn.XLOOKUP(Assessment!#REF!,Inherited!A:A,Inherited!B:B)))/100)*IF(X101="1.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(100%)","100"))))))&gt;=11,(((_xlfn.XLOOKUP(Assessment!#REF!,Inherited!A:A,Inherited!B:B))/100)*(_xlfn.XLOOKUP(Assessment!#REF!,Inherited!A:A,Inherited!C:C)))+(((100-(_xlfn.XLOOKUP(Assessment!#REF!,Inherited!A:A,Inherited!B:B)))/100)*IF(X101="1.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(100%)","100"))))))&lt;=32),"25",IF(AND((((_xlfn.XLOOKUP(Assessment!#REF!,Inherited!A:A,Inherited!B:B))/100)*(_xlfn.XLOOKUP(Assessment!#REF!,Inherited!A:A,Inherited!C:C)))+(((100-(_xlfn.XLOOKUP(Assessment!#REF!,Inherited!A:A,Inherited!B:B)))/100)*IF(X101="1.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(100%)","100"))))))&gt;=33,(((_xlfn.XLOOKUP(Assessment!#REF!,Inherited!A:A,Inherited!B:B))/100)*(_xlfn.XLOOKUP(Assessment!#REF!,Inherited!A:A,Inherited!C:C)))+(((100-(_xlfn.XLOOKUP(Assessment!#REF!,Inherited!A:A,Inherited!B:B)))/100)*IF(X101="1.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(100%)","100"))))))&lt;=65),"50",IF(AND((((_xlfn.XLOOKUP(Assessment!#REF!,Inherited!A:A,Inherited!B:B))/100)*(_xlfn.XLOOKUP(Assessment!#REF!,Inherited!A:A,Inherited!C:C)))+(((100-(_xlfn.XLOOKUP(Assessment!#REF!,Inherited!A:A,Inherited!B:B)))/100)*IF(X101="1.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(100%)","100"))))))&gt;=66,(((_xlfn.XLOOKUP(Assessment!#REF!,Inherited!A:A,Inherited!B:B))/100)*(_xlfn.XLOOKUP(Assessment!#REF!,Inherited!A:A,Inherited!C:C)))+(((100-(_xlfn.XLOOKUP(Assessment!#REF!,Inherited!A:A,Inherited!B:B)))/100)*IF(X101="1.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(100%)","100"))))))&lt;=89),"75",IF((((_xlfn.XLOOKUP(Assessment!#REF!,Inherited!A:A,Inherited!B:B))/100)*(_xlfn.XLOOKUP(Assessment!#REF!,Inherited!A:A,Inherited!C:C)))+(((100-(_xlfn.XLOOKUP(Assessment!#REF!,Inherited!A:A,Inherited!B:B)))/100)*IF(X101="1. Non Compliant (0%)","0",IF(X101="2. Somewhat Compliant (25%)","25",IF(X101="3. Partially Compliant (50%)","50",IF(X101="4. Mostly Compliant (75%)","75",IF(X101="5. Fully Compliant (100%)","100"))))))&gt;=90,"100"))))))</f>
        <v>#N/A</v>
      </c>
      <c r="R101" s="1" t="e">
        <f>IF(MATCH(H101,Inherited!A:A),IF((((_xlfn.XLOOKUP(Assessment!#REF!,Inherited!A:A,Inherited!B:B))/100)*(_xlfn.XLOOKUP(Assessment!#REF!,Inherited!A:A,Inherited!D:D)))+(((100-(_xlfn.XLOOKUP(Assessment!#REF!,Inherited!A:A,Inherited!B:B)))/100)*IF(Y101="1.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(100%)","100"))))))&lt;=10,"0", IF(AND((((_xlfn.XLOOKUP(Assessment!#REF!,Inherited!A:A,Inherited!B:B))/100)*(_xlfn.XLOOKUP(Assessment!#REF!,Inherited!A:A,Inherited!D:D)))+(((100-(_xlfn.XLOOKUP(Assessment!#REF!,Inherited!A:A,Inherited!B:B)))/100)*IF(Y101="1.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(100%)","100"))))))&gt;=11,(((_xlfn.XLOOKUP(Assessment!#REF!,Inherited!A:A,Inherited!B:B))/100)*(_xlfn.XLOOKUP(Assessment!#REF!,Inherited!A:A,Inherited!D:D)))+(((100-(_xlfn.XLOOKUP(Assessment!#REF!,Inherited!A:A,Inherited!B:B)))/100)*IF(Y101="1.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(100%)","100"))))))&lt;=32),"25",IF(AND((((_xlfn.XLOOKUP(Assessment!#REF!,Inherited!A:A,Inherited!B:B))/100)*(_xlfn.XLOOKUP(Assessment!#REF!,Inherited!A:A,Inherited!D:D)))+(((100-(_xlfn.XLOOKUP(Assessment!#REF!,Inherited!A:A,Inherited!B:B)))/100)*IF(Y101="1.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(100%)","100"))))))&gt;=33,(((_xlfn.XLOOKUP(Assessment!#REF!,Inherited!A:A,Inherited!B:B))/100)*(_xlfn.XLOOKUP(Assessment!#REF!,Inherited!A:A,Inherited!D:D)))+(((100-(_xlfn.XLOOKUP(Assessment!#REF!,Inherited!A:A,Inherited!B:B)))/100)*IF(Y101="1.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(100%)","100"))))))&lt;=65),"50",IF(AND((((_xlfn.XLOOKUP(Assessment!#REF!,Inherited!A:A,Inherited!B:B))/100)*(_xlfn.XLOOKUP(Assessment!#REF!,Inherited!A:A,Inherited!D:D)))+(((100-(_xlfn.XLOOKUP(Assessment!#REF!,Inherited!A:A,Inherited!B:B)))/100)*IF(Y101="1.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(100%)","100"))))))&gt;=66,(((_xlfn.XLOOKUP(Assessment!#REF!,Inherited!A:A,Inherited!B:B))/100)*(_xlfn.XLOOKUP(Assessment!#REF!,Inherited!A:A,Inherited!D:D)))+(((100-(_xlfn.XLOOKUP(Assessment!#REF!,Inherited!A:A,Inherited!B:B)))/100)*IF(Y101="1.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(100%)","100"))))))&lt;=89),"75",IF((((_xlfn.XLOOKUP(Assessment!#REF!,Inherited!A:A,Inherited!B:B))/100)*(_xlfn.XLOOKUP(Assessment!#REF!,Inherited!A:A,Inherited!D:D)))+(((100-(_xlfn.XLOOKUP(Assessment!#REF!,Inherited!A:A,Inherited!B:B)))/100)*IF(Y101="1. Non Compliant (0%)","0",IF(Y101="2. Somewhat Compliant (25%)","25",IF(Y101="3. Partially Compliant (50%)","50",IF(Y101="4. Mostly Compliant (75%)","75",IF(Y101="5. Fully Compliant (100%)","100"))))))&gt;=90,"100"))))))</f>
        <v>#N/A</v>
      </c>
      <c r="S101" s="1" t="e">
        <f>IF(MATCH(H101,Inherited!A:A),IF((((_xlfn.XLOOKUP(Assessment!#REF!,Inherited!A:A,Inherited!B:B))/100)*(_xlfn.XLOOKUP(Assessment!#REF!,Inherited!A:A,Inherited!E:E)))+(((100-(_xlfn.XLOOKUP(Assessment!#REF!,Inherited!A:A,Inherited!B:B)))/100)*IF(Z101="1.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(100%)","100"))))))&lt;=10,"0", IF(AND((((_xlfn.XLOOKUP(Assessment!#REF!,Inherited!A:A,Inherited!B:B))/100)*(_xlfn.XLOOKUP(Assessment!#REF!,Inherited!A:A,Inherited!E:E)))+(((100-(_xlfn.XLOOKUP(Assessment!#REF!,Inherited!A:A,Inherited!B:B)))/100)*IF(Z101="1.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(100%)","100"))))))&gt;=11,(((_xlfn.XLOOKUP(Assessment!#REF!,Inherited!A:A,Inherited!B:B))/100)*(_xlfn.XLOOKUP(Assessment!#REF!,Inherited!A:A,Inherited!E:E)))+(((100-(_xlfn.XLOOKUP(Assessment!#REF!,Inherited!A:A,Inherited!B:B)))/100)*IF(Z101="1.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(100%)","100"))))))&lt;=32),"25",IF(AND((((_xlfn.XLOOKUP(Assessment!#REF!,Inherited!A:A,Inherited!B:B))/100)*(_xlfn.XLOOKUP(Assessment!#REF!,Inherited!A:A,Inherited!E:E)))+(((100-(_xlfn.XLOOKUP(Assessment!#REF!,Inherited!A:A,Inherited!B:B)))/100)*IF(Z101="1.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(100%)","100"))))))&gt;=33,(((_xlfn.XLOOKUP(Assessment!#REF!,Inherited!A:A,Inherited!B:B))/100)*(_xlfn.XLOOKUP(Assessment!#REF!,Inherited!A:A,Inherited!E:E)))+(((100-(_xlfn.XLOOKUP(Assessment!#REF!,Inherited!A:A,Inherited!B:B)))/100)*IF(Z101="1.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(100%)","100"))))))&lt;=65),"50",IF(AND((((_xlfn.XLOOKUP(Assessment!#REF!,Inherited!A:A,Inherited!B:B))/100)*(_xlfn.XLOOKUP(Assessment!#REF!,Inherited!A:A,Inherited!E:E)))+(((100-(_xlfn.XLOOKUP(Assessment!#REF!,Inherited!A:A,Inherited!B:B)))/100)*IF(Z101="1.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(100%)","100"))))))&gt;=66,(((_xlfn.XLOOKUP(Assessment!#REF!,Inherited!A:A,Inherited!B:B))/100)*(_xlfn.XLOOKUP(Assessment!#REF!,Inherited!A:A,Inherited!E:E)))+(((100-(_xlfn.XLOOKUP(Assessment!#REF!,Inherited!A:A,Inherited!B:B)))/100)*IF(Z101="1.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(100%)","100"))))))&lt;=89),"75",IF((((_xlfn.XLOOKUP(Assessment!#REF!,Inherited!A:A,Inherited!B:B))/100)*(_xlfn.XLOOKUP(Assessment!#REF!,Inherited!A:A,Inherited!E:E)))+(((100-(_xlfn.XLOOKUP(Assessment!#REF!,Inherited!A:A,Inherited!B:B)))/100)*IF(Z101="1. Non Compliant (0%)","0",IF(Z101="2. Somewhat Compliant (25%)","25",IF(Z101="3. Partially Compliant (50%)","50",IF(Z101="4. Mostly Compliant (75%)","75",IF(Z101="5. Fully Compliant (100%)","100"))))))&gt;=90,"100"))))))</f>
        <v>#N/A</v>
      </c>
      <c r="T101" s="1" t="e">
        <f>IF(MATCH(H101,Inherited!A:A),IF((((_xlfn.XLOOKUP(Assessment!#REF!,Inherited!A:A,Inherited!B:B))/100)*(_xlfn.XLOOKUP(Assessment!#REF!,Inherited!A:A,Inherited!F:F)))+(((100-(_xlfn.XLOOKUP(Assessment!#REF!,Inherited!A:A,Inherited!B:B)))/100)*IF(AA101="1.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(100%)","100"))))))&lt;=10,"0", IF(AND((((_xlfn.XLOOKUP(Assessment!#REF!,Inherited!A:A,Inherited!B:B))/100)*(_xlfn.XLOOKUP(Assessment!#REF!,Inherited!A:A,Inherited!F:F)))+(((100-(_xlfn.XLOOKUP(Assessment!#REF!,Inherited!A:A,Inherited!B:B)))/100)*IF(AA101="1.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(100%)","100"))))))&gt;=11,(((_xlfn.XLOOKUP(Assessment!#REF!,Inherited!A:A,Inherited!B:B))/100)*(_xlfn.XLOOKUP(Assessment!#REF!,Inherited!A:A,Inherited!F:F)))+(((100-(_xlfn.XLOOKUP(Assessment!#REF!,Inherited!A:A,Inherited!B:B)))/100)*IF(AA101="1.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(100%)","100"))))))&lt;=32),"25",IF(AND((((_xlfn.XLOOKUP(Assessment!#REF!,Inherited!A:A,Inherited!B:B))/100)*(_xlfn.XLOOKUP(Assessment!#REF!,Inherited!A:A,Inherited!F:F)))+(((100-(_xlfn.XLOOKUP(Assessment!#REF!,Inherited!A:A,Inherited!B:B)))/100)*IF(AA101="1.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(100%)","100"))))))&gt;=33,(((_xlfn.XLOOKUP(Assessment!#REF!,Inherited!A:A,Inherited!B:B))/100)*(_xlfn.XLOOKUP(Assessment!#REF!,Inherited!A:A,Inherited!F:F)))+(((100-(_xlfn.XLOOKUP(Assessment!#REF!,Inherited!A:A,Inherited!B:B)))/100)*IF(AA101="1.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(100%)","100"))))))&lt;=65),"50",IF(AND((((_xlfn.XLOOKUP(Assessment!#REF!,Inherited!A:A,Inherited!B:B))/100)*(_xlfn.XLOOKUP(Assessment!#REF!,Inherited!A:A,Inherited!F:F)))+(((100-(_xlfn.XLOOKUP(Assessment!#REF!,Inherited!A:A,Inherited!B:B)))/100)*IF(AA101="1.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(100%)","100"))))))&gt;=66,(((_xlfn.XLOOKUP(Assessment!#REF!,Inherited!A:A,Inherited!B:B))/100)*(_xlfn.XLOOKUP(Assessment!#REF!,Inherited!A:A,Inherited!F:F)))+(((100-(_xlfn.XLOOKUP(Assessment!#REF!,Inherited!A:A,Inherited!B:B)))/100)*IF(AA101="1.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(100%)","100"))))))&lt;=89),"75",IF((((_xlfn.XLOOKUP(Assessment!#REF!,Inherited!A:A,Inherited!B:B))/100)*(_xlfn.XLOOKUP(Assessment!#REF!,Inherited!A:A,Inherited!F:F)))+(((100-(_xlfn.XLOOKUP(Assessment!#REF!,Inherited!A:A,Inherited!B:B)))/100)*IF(AA101="1. Non Compliant (0%)","0",IF(AA101="2. Somewhat Compliant (25%)","25",IF(AA101="3. Partially Compliant (50%)","50",IF(AA101="4. Mostly Compliant (75%)","75",IF(AA101="5. Fully Compliant (100%)","100"))))))&gt;=90,"100"))))))</f>
        <v>#N/A</v>
      </c>
      <c r="U101" s="1" t="e">
        <f>IF(MATCH(H101,Inherited!A:A),IF((((_xlfn.XLOOKUP(Assessment!#REF!,Inherited!A:A,Inherited!B:B))/100)*(_xlfn.XLOOKUP(Assessment!#REF!,Inherited!A:A,Inherited!G:G)))+(((100-(_xlfn.XLOOKUP(Assessment!#REF!,Inherited!A:A,Inherited!B:B)))/100)*IF(AB101="1.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(100%)","100"))))))&lt;=10,"0", IF(AND((((_xlfn.XLOOKUP(Assessment!#REF!,Inherited!A:A,Inherited!B:B))/100)*(_xlfn.XLOOKUP(Assessment!#REF!,Inherited!A:A,Inherited!G:G)))+(((100-(_xlfn.XLOOKUP(Assessment!#REF!,Inherited!A:A,Inherited!B:B)))/100)*IF(AB101="1.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(100%)","100"))))))&gt;=11,(((_xlfn.XLOOKUP(Assessment!#REF!,Inherited!A:A,Inherited!B:B))/100)*(_xlfn.XLOOKUP(Assessment!#REF!,Inherited!A:A,Inherited!G:G)))+(((100-(_xlfn.XLOOKUP(Assessment!#REF!,Inherited!A:A,Inherited!B:B)))/100)*IF(AB101="1.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(100%)","100"))))))&lt;=32),"25",IF(AND((((_xlfn.XLOOKUP(Assessment!#REF!,Inherited!A:A,Inherited!B:B))/100)*(_xlfn.XLOOKUP(Assessment!#REF!,Inherited!A:A,Inherited!G:G)))+(((100-(_xlfn.XLOOKUP(Assessment!#REF!,Inherited!A:A,Inherited!B:B)))/100)*IF(AB101="1.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(100%)","100"))))))&gt;=33,(((_xlfn.XLOOKUP(Assessment!#REF!,Inherited!A:A,Inherited!B:B))/100)*(_xlfn.XLOOKUP(Assessment!#REF!,Inherited!A:A,Inherited!G:G)))+(((100-(_xlfn.XLOOKUP(Assessment!#REF!,Inherited!A:A,Inherited!B:B)))/100)*IF(AB101="1.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(100%)","100"))))))&lt;=65),"50",IF(AND((((_xlfn.XLOOKUP(Assessment!#REF!,Inherited!A:A,Inherited!B:B))/100)*(_xlfn.XLOOKUP(Assessment!#REF!,Inherited!A:A,Inherited!G:G)))+(((100-(_xlfn.XLOOKUP(Assessment!#REF!,Inherited!A:A,Inherited!B:B)))/100)*IF(AB101="1.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(100%)","100"))))))&gt;=66,(((_xlfn.XLOOKUP(Assessment!#REF!,Inherited!A:A,Inherited!B:B))/100)*(_xlfn.XLOOKUP(Assessment!#REF!,Inherited!A:A,Inherited!G:G)))+(((100-(_xlfn.XLOOKUP(Assessment!#REF!,Inherited!A:A,Inherited!B:B)))/100)*IF(AB101="1.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(100%)","100"))))))&lt;=89),"75",IF((((_xlfn.XLOOKUP(Assessment!#REF!,Inherited!A:A,Inherited!B:B))/100)*(_xlfn.XLOOKUP(Assessment!#REF!,Inherited!A:A,Inherited!G:G)))+(((100-(_xlfn.XLOOKUP(Assessment!#REF!,Inherited!A:A,Inherited!B:B)))/100)*IF(AB101="1. Non Compliant (0%)","0",IF(AB101="2. Somewhat Compliant (25%)","25",IF(AB101="3. Partially Compliant (50%)","50",IF(AB101="4. Mostly Compliant (75%)","75",IF(AB101="5. Fully Compliant (100%)","100"))))))&gt;=90,"100"))))))</f>
        <v>#N/A</v>
      </c>
      <c r="V101" s="55" t="s">
        <v>85</v>
      </c>
      <c r="W101" s="55"/>
      <c r="X101" s="55"/>
      <c r="Y101" s="55"/>
      <c r="Z101" s="55" t="s">
        <v>86</v>
      </c>
      <c r="AA101" s="55"/>
      <c r="AB101" s="55"/>
      <c r="AK101" s="1" t="s">
        <v>10891</v>
      </c>
      <c r="AM101" s="1" t="s">
        <v>10942</v>
      </c>
      <c r="AX101" s="3" t="str">
        <f>_xlfn.CONCAT("A-LIGN finished its review of this control on ",AR101, " during the scheduled fieldwork window (",Intro!$B$4,")."&amp; CHAR(10)&amp; CHAR(10))</f>
        <v xml:space="preserve">A-LIGN finished its review of this control on  during the scheduled fieldwork window (Fieldwork: xx/xx/xxxx - xx/xx/xxxx).
</v>
      </c>
      <c r="AY101" s="3" t="str">
        <f t="shared" ref="AY101" si="191">IF(AQ101&lt;&gt;"",(_xlfn.CONCAT("Inheritance note: "&amp; CHAR(10),AQ101&amp; CHAR(10)&amp; CHAR(10))),"")</f>
        <v/>
      </c>
      <c r="AZ101" s="3" t="str">
        <f t="shared" ref="AZ101" si="192">IFERROR(IF(AD101&lt;&gt;"",_xlfn.CONCAT("Examined the following policy during fieldwork:"&amp; CHAR(10),AD101&amp; CHAR(10)&amp; CHAR(10),IF(AND(X101&lt;&gt;"5. Fully Compliant (100%)",AE101&lt;&gt;""),"Reviewed policy exception note:"&amp; CHAR(10) &amp; AE101 &amp; CHAR(10) &amp; CHAR(10),"")),""),"")</f>
        <v/>
      </c>
      <c r="BA101" s="3" t="str">
        <f t="shared" ref="BA101" si="193">IFERROR(IF(AH101&lt;&gt;"",_xlfn.CONCAT("Examined the following process during fieldwork:"&amp; CHAR(10),AH101&amp; CHAR(10)&amp; CHAR(10),IF(AND(Y101&lt;&gt;"5. Fully Compliant (100%)",AI101&lt;&gt;""),"Reviewed process exception note:"&amp; CHAR(10) &amp; AI101 &amp; CHAR(10) &amp; CHAR(10),"")),""),"")</f>
        <v/>
      </c>
      <c r="BB101" s="3" t="str">
        <f t="shared" ref="BB101" si="194">IF(AK101&lt;&gt;"",(_xlfn.CONCAT("Inquired of the following workforce member: "&amp; CHAR(10),AK101&amp; CHAR(10)&amp; CHAR(10),"Inquiry lead to the following conclusions: "&amp; CHAR(10),AL101&amp; CHAR(10) &amp; CHAR(10))),"")</f>
        <v xml:space="preserve">Inquired of the following workforce member: 
Matthew Macaluso - Director of System Operations
Roze Nicolas - Director of TechOps
Inquiry lead to the following conclusions: 
</v>
      </c>
      <c r="BC101" s="3" t="str">
        <f t="shared" ref="BC101" si="195">IF(AM101&lt;&gt;"",(_xlfn.CONCAT("Observed the following live during fieldwork: "&amp; CHAR(10),AM101&amp; CHAR(10) &amp; CHAR(10))),"")</f>
        <v xml:space="preserve">Observed the following live during fieldwork: 
Observed a login screen for a user attempting to access the environment with only their admin account which would de their "email domain-da" and then they would use a standard account for other duties.
Also observed one of the google admin accounts which demonstrated that users included within that account must use their "da" account to login.
</v>
      </c>
      <c r="BD101" s="3" t="str">
        <f t="shared" ref="BD101" si="196">_xlfn.CONCAT("Examined the following evidence during fieldwork:"&amp; CHAR(10),AN101&amp; CHAR(10)&amp; CHAR(10),IF(AO101&lt;&gt;"","Reviewed evidence note:"&amp; CHAR(10)&amp;AO101&amp; CHAR(10) &amp; CHAR(10),"Reviewed evidence addressed the requirement statement."&amp; CHAR(10) &amp; CHAR(10)),IF(AND(AP101&lt;&gt;"5. Fully Compliant (100%)",AP101&lt;&gt;""),"Reviewed evidence exception note: "&amp; CHAR(10) &amp; AP101 &amp; CHAR(10) &amp; CHAR(10),""))</f>
        <v xml:space="preserve">Examined the following evidence during fieldwork:
Reviewed evidence addressed the requirement statement.
</v>
      </c>
      <c r="BE101" s="3" t="str">
        <f t="shared" ref="BE101" si="197">IF(AT101&lt;&gt;"",(_xlfn.CONCAT("Examined the following measure/metric during fieldwork:"&amp; CHAR(10),AT101&amp; CHAR(10)&amp; CHAR(10),"Reviewed measure/metric note:"&amp; CHAR(10),AU101 &amp; CHAR(10) &amp; CHAR(10))),"")</f>
        <v/>
      </c>
      <c r="BF101" s="3" t="str">
        <f t="shared" ref="BF101" si="198">IF(AV101&lt;&gt;"",(_xlfn.CONCAT("Examined the following measure/metric management during fieldwork:"&amp; CHAR(10),AV101&amp; CHAR(10)&amp; CHAR(10),"Reviewed measure/metric management note:"&amp; CHAR(10),AW101 &amp; CHAR(10) &amp; CHAR(10))),"")</f>
        <v/>
      </c>
      <c r="BG101" s="3" t="str">
        <f>_xlfn.CONCAT((IF((COUNTIF('Sample Tables'!B:B,"Test 003: Access Account (privileged)")&gt;0)=TRUE,_xlfn.CONCAT("Sample test results are documented in ",'Sample Tables'!B29," [",'Sample Tables'!B30,", ",'Sample Tables'!B31,", ",'Sample Tables'!B32,", ",'Sample Tables'!B33,", ",'Sample Tables'!B34,"]."&amp;CHAR(10)),IF((COUNTIF('Sample Tables'!B:B,"Test 003: Access Account (privileged)")&gt;0)=FALSE,""))),)</f>
        <v xml:space="preserve">Sample test results are documented in Test 003: Access Account (privileged) [Population Source/Tool: , Population Date Range: , Population Size: , Sample Methodology: , Sample Size: ].
</v>
      </c>
      <c r="BH101" s="3" t="str">
        <f t="shared" ref="BH101" si="199">IF(V101="No","Not Applicable: "&amp;W101,(_xlfn.CONCAT(AX101,AY101,AZ101,BA101,BB101,BC101,BD101,BE101,BF101,BG101)))</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a login screen for a user attempting to access the environment with only their admin account which would de their "email domain-da" and then they would use a standard account for other duties.
Also observed one of the google admin accounts which demonstrated that users included within that account must use their "da" account to login.
Examined the following evidence during fieldwork:
Reviewed evidence addressed the requirement statement.
Sample test results are documented in Test 003: Access Account (privileged) [Population Source/Tool: , Population Date Range: , Population Size: , Sample Methodology: , Sample Size: ].
</v>
      </c>
    </row>
    <row r="102" spans="3:60" ht="409.5" x14ac:dyDescent="0.35">
      <c r="C102" s="1">
        <f t="shared" si="190"/>
        <v>40</v>
      </c>
      <c r="D102" s="5" t="str">
        <f>IF(AND((_xlfn.XLOOKUP(J102,'Fields &amp; Revisions'!$H:$H,'Fields &amp; Revisions'!$I:$I))&lt;70.99,(OR(Z102="4. Mostly Compliant (75%)",Z102="3. Partially Compliant (50%)",Z102="2. Somewhat Compliant (25%)",Z102="1. Non Compliant (0%)"))),"Yes","No")</f>
        <v>No</v>
      </c>
      <c r="E102" s="5" t="str">
        <f>IF(ISERROR(VLOOKUP(H102,Scope!A:A,1,FALSE)),"No","Yes")</f>
        <v>Yes</v>
      </c>
      <c r="F102" s="1" t="s">
        <v>2424</v>
      </c>
      <c r="G102" s="53" t="s">
        <v>2965</v>
      </c>
      <c r="H102" s="53" t="s">
        <v>2966</v>
      </c>
      <c r="I102" s="5">
        <v>1</v>
      </c>
      <c r="J102" s="1" t="s">
        <v>2051</v>
      </c>
      <c r="K102" s="54" t="s">
        <v>2967</v>
      </c>
      <c r="L102" s="1" t="s">
        <v>2968</v>
      </c>
      <c r="M102" s="1" t="s">
        <v>2514</v>
      </c>
      <c r="N102" s="5" t="s">
        <v>85</v>
      </c>
      <c r="O102" s="1" t="str">
        <f>_xlfn.XLOOKUP(G102,SRMs!$A:$A,SRMs!$D:$D)</f>
        <v>PARTIAL INHERITANCE</v>
      </c>
      <c r="P102" s="1" t="str">
        <f>IFERROR(VLOOKUP(H102,Inherited!A:B,2,FALSE),"")</f>
        <v/>
      </c>
      <c r="Q102" s="1" t="e">
        <f>IF(MATCH(H102,Inherited!A:A),IF((((_xlfn.XLOOKUP(Assessment!#REF!,Inherited!A:A,Inherited!B:B))/100)*(_xlfn.XLOOKUP(Assessment!#REF!,Inherited!A:A,Inherited!C:C)))+(((100-(_xlfn.XLOOKUP(Assessment!#REF!,Inherited!A:A,Inherited!B:B)))/100)*IF(X102="1.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(100%)","100"))))))&lt;=10,"0", IF(AND((((_xlfn.XLOOKUP(Assessment!#REF!,Inherited!A:A,Inherited!B:B))/100)*(_xlfn.XLOOKUP(Assessment!#REF!,Inherited!A:A,Inherited!C:C)))+(((100-(_xlfn.XLOOKUP(Assessment!#REF!,Inherited!A:A,Inherited!B:B)))/100)*IF(X102="1.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(100%)","100"))))))&gt;=11,(((_xlfn.XLOOKUP(Assessment!#REF!,Inherited!A:A,Inherited!B:B))/100)*(_xlfn.XLOOKUP(Assessment!#REF!,Inherited!A:A,Inherited!C:C)))+(((100-(_xlfn.XLOOKUP(Assessment!#REF!,Inherited!A:A,Inherited!B:B)))/100)*IF(X102="1.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(100%)","100"))))))&lt;=32),"25",IF(AND((((_xlfn.XLOOKUP(Assessment!#REF!,Inherited!A:A,Inherited!B:B))/100)*(_xlfn.XLOOKUP(Assessment!#REF!,Inherited!A:A,Inherited!C:C)))+(((100-(_xlfn.XLOOKUP(Assessment!#REF!,Inherited!A:A,Inherited!B:B)))/100)*IF(X102="1.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(100%)","100"))))))&gt;=33,(((_xlfn.XLOOKUP(Assessment!#REF!,Inherited!A:A,Inherited!B:B))/100)*(_xlfn.XLOOKUP(Assessment!#REF!,Inherited!A:A,Inherited!C:C)))+(((100-(_xlfn.XLOOKUP(Assessment!#REF!,Inherited!A:A,Inherited!B:B)))/100)*IF(X102="1.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(100%)","100"))))))&lt;=65),"50",IF(AND((((_xlfn.XLOOKUP(Assessment!#REF!,Inherited!A:A,Inherited!B:B))/100)*(_xlfn.XLOOKUP(Assessment!#REF!,Inherited!A:A,Inherited!C:C)))+(((100-(_xlfn.XLOOKUP(Assessment!#REF!,Inherited!A:A,Inherited!B:B)))/100)*IF(X102="1.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(100%)","100"))))))&gt;=66,(((_xlfn.XLOOKUP(Assessment!#REF!,Inherited!A:A,Inherited!B:B))/100)*(_xlfn.XLOOKUP(Assessment!#REF!,Inherited!A:A,Inherited!C:C)))+(((100-(_xlfn.XLOOKUP(Assessment!#REF!,Inherited!A:A,Inherited!B:B)))/100)*IF(X102="1.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(100%)","100"))))))&lt;=89),"75",IF((((_xlfn.XLOOKUP(Assessment!#REF!,Inherited!A:A,Inherited!B:B))/100)*(_xlfn.XLOOKUP(Assessment!#REF!,Inherited!A:A,Inherited!C:C)))+(((100-(_xlfn.XLOOKUP(Assessment!#REF!,Inherited!A:A,Inherited!B:B)))/100)*IF(X102="1. Non Compliant (0%)","0",IF(X102="2. Somewhat Compliant (25%)","25",IF(X102="3. Partially Compliant (50%)","50",IF(X102="4. Mostly Compliant (75%)","75",IF(X102="5. Fully Compliant (100%)","100"))))))&gt;=90,"100"))))))</f>
        <v>#N/A</v>
      </c>
      <c r="R102" s="1" t="e">
        <f>IF(MATCH(H102,Inherited!A:A),IF((((_xlfn.XLOOKUP(Assessment!#REF!,Inherited!A:A,Inherited!B:B))/100)*(_xlfn.XLOOKUP(Assessment!#REF!,Inherited!A:A,Inherited!D:D)))+(((100-(_xlfn.XLOOKUP(Assessment!#REF!,Inherited!A:A,Inherited!B:B)))/100)*IF(Y102="1.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(100%)","100"))))))&lt;=10,"0", IF(AND((((_xlfn.XLOOKUP(Assessment!#REF!,Inherited!A:A,Inherited!B:B))/100)*(_xlfn.XLOOKUP(Assessment!#REF!,Inherited!A:A,Inherited!D:D)))+(((100-(_xlfn.XLOOKUP(Assessment!#REF!,Inherited!A:A,Inherited!B:B)))/100)*IF(Y102="1.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(100%)","100"))))))&gt;=11,(((_xlfn.XLOOKUP(Assessment!#REF!,Inherited!A:A,Inherited!B:B))/100)*(_xlfn.XLOOKUP(Assessment!#REF!,Inherited!A:A,Inherited!D:D)))+(((100-(_xlfn.XLOOKUP(Assessment!#REF!,Inherited!A:A,Inherited!B:B)))/100)*IF(Y102="1.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(100%)","100"))))))&lt;=32),"25",IF(AND((((_xlfn.XLOOKUP(Assessment!#REF!,Inherited!A:A,Inherited!B:B))/100)*(_xlfn.XLOOKUP(Assessment!#REF!,Inherited!A:A,Inherited!D:D)))+(((100-(_xlfn.XLOOKUP(Assessment!#REF!,Inherited!A:A,Inherited!B:B)))/100)*IF(Y102="1.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(100%)","100"))))))&gt;=33,(((_xlfn.XLOOKUP(Assessment!#REF!,Inherited!A:A,Inherited!B:B))/100)*(_xlfn.XLOOKUP(Assessment!#REF!,Inherited!A:A,Inherited!D:D)))+(((100-(_xlfn.XLOOKUP(Assessment!#REF!,Inherited!A:A,Inherited!B:B)))/100)*IF(Y102="1.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(100%)","100"))))))&lt;=65),"50",IF(AND((((_xlfn.XLOOKUP(Assessment!#REF!,Inherited!A:A,Inherited!B:B))/100)*(_xlfn.XLOOKUP(Assessment!#REF!,Inherited!A:A,Inherited!D:D)))+(((100-(_xlfn.XLOOKUP(Assessment!#REF!,Inherited!A:A,Inherited!B:B)))/100)*IF(Y102="1.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(100%)","100"))))))&gt;=66,(((_xlfn.XLOOKUP(Assessment!#REF!,Inherited!A:A,Inherited!B:B))/100)*(_xlfn.XLOOKUP(Assessment!#REF!,Inherited!A:A,Inherited!D:D)))+(((100-(_xlfn.XLOOKUP(Assessment!#REF!,Inherited!A:A,Inherited!B:B)))/100)*IF(Y102="1.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(100%)","100"))))))&lt;=89),"75",IF((((_xlfn.XLOOKUP(Assessment!#REF!,Inherited!A:A,Inherited!B:B))/100)*(_xlfn.XLOOKUP(Assessment!#REF!,Inherited!A:A,Inherited!D:D)))+(((100-(_xlfn.XLOOKUP(Assessment!#REF!,Inherited!A:A,Inherited!B:B)))/100)*IF(Y102="1. Non Compliant (0%)","0",IF(Y102="2. Somewhat Compliant (25%)","25",IF(Y102="3. Partially Compliant (50%)","50",IF(Y102="4. Mostly Compliant (75%)","75",IF(Y102="5. Fully Compliant (100%)","100"))))))&gt;=90,"100"))))))</f>
        <v>#N/A</v>
      </c>
      <c r="S102" s="1" t="e">
        <f>IF(MATCH(H102,Inherited!A:A),IF((((_xlfn.XLOOKUP(Assessment!#REF!,Inherited!A:A,Inherited!B:B))/100)*(_xlfn.XLOOKUP(Assessment!#REF!,Inherited!A:A,Inherited!E:E)))+(((100-(_xlfn.XLOOKUP(Assessment!#REF!,Inherited!A:A,Inherited!B:B)))/100)*IF(Z102="1.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(100%)","100"))))))&lt;=10,"0", IF(AND((((_xlfn.XLOOKUP(Assessment!#REF!,Inherited!A:A,Inherited!B:B))/100)*(_xlfn.XLOOKUP(Assessment!#REF!,Inherited!A:A,Inherited!E:E)))+(((100-(_xlfn.XLOOKUP(Assessment!#REF!,Inherited!A:A,Inherited!B:B)))/100)*IF(Z102="1.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(100%)","100"))))))&gt;=11,(((_xlfn.XLOOKUP(Assessment!#REF!,Inherited!A:A,Inherited!B:B))/100)*(_xlfn.XLOOKUP(Assessment!#REF!,Inherited!A:A,Inherited!E:E)))+(((100-(_xlfn.XLOOKUP(Assessment!#REF!,Inherited!A:A,Inherited!B:B)))/100)*IF(Z102="1.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(100%)","100"))))))&lt;=32),"25",IF(AND((((_xlfn.XLOOKUP(Assessment!#REF!,Inherited!A:A,Inherited!B:B))/100)*(_xlfn.XLOOKUP(Assessment!#REF!,Inherited!A:A,Inherited!E:E)))+(((100-(_xlfn.XLOOKUP(Assessment!#REF!,Inherited!A:A,Inherited!B:B)))/100)*IF(Z102="1.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(100%)","100"))))))&gt;=33,(((_xlfn.XLOOKUP(Assessment!#REF!,Inherited!A:A,Inherited!B:B))/100)*(_xlfn.XLOOKUP(Assessment!#REF!,Inherited!A:A,Inherited!E:E)))+(((100-(_xlfn.XLOOKUP(Assessment!#REF!,Inherited!A:A,Inherited!B:B)))/100)*IF(Z102="1.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(100%)","100"))))))&lt;=65),"50",IF(AND((((_xlfn.XLOOKUP(Assessment!#REF!,Inherited!A:A,Inherited!B:B))/100)*(_xlfn.XLOOKUP(Assessment!#REF!,Inherited!A:A,Inherited!E:E)))+(((100-(_xlfn.XLOOKUP(Assessment!#REF!,Inherited!A:A,Inherited!B:B)))/100)*IF(Z102="1.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(100%)","100"))))))&gt;=66,(((_xlfn.XLOOKUP(Assessment!#REF!,Inherited!A:A,Inherited!B:B))/100)*(_xlfn.XLOOKUP(Assessment!#REF!,Inherited!A:A,Inherited!E:E)))+(((100-(_xlfn.XLOOKUP(Assessment!#REF!,Inherited!A:A,Inherited!B:B)))/100)*IF(Z102="1.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(100%)","100"))))))&lt;=89),"75",IF((((_xlfn.XLOOKUP(Assessment!#REF!,Inherited!A:A,Inherited!B:B))/100)*(_xlfn.XLOOKUP(Assessment!#REF!,Inherited!A:A,Inherited!E:E)))+(((100-(_xlfn.XLOOKUP(Assessment!#REF!,Inherited!A:A,Inherited!B:B)))/100)*IF(Z102="1. Non Compliant (0%)","0",IF(Z102="2. Somewhat Compliant (25%)","25",IF(Z102="3. Partially Compliant (50%)","50",IF(Z102="4. Mostly Compliant (75%)","75",IF(Z102="5. Fully Compliant (100%)","100"))))))&gt;=90,"100"))))))</f>
        <v>#N/A</v>
      </c>
      <c r="T102" s="1" t="e">
        <f>IF(MATCH(H102,Inherited!A:A),IF((((_xlfn.XLOOKUP(Assessment!#REF!,Inherited!A:A,Inherited!B:B))/100)*(_xlfn.XLOOKUP(Assessment!#REF!,Inherited!A:A,Inherited!F:F)))+(((100-(_xlfn.XLOOKUP(Assessment!#REF!,Inherited!A:A,Inherited!B:B)))/100)*IF(AA102="1.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(100%)","100"))))))&lt;=10,"0", IF(AND((((_xlfn.XLOOKUP(Assessment!#REF!,Inherited!A:A,Inherited!B:B))/100)*(_xlfn.XLOOKUP(Assessment!#REF!,Inherited!A:A,Inherited!F:F)))+(((100-(_xlfn.XLOOKUP(Assessment!#REF!,Inherited!A:A,Inherited!B:B)))/100)*IF(AA102="1.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(100%)","100"))))))&gt;=11,(((_xlfn.XLOOKUP(Assessment!#REF!,Inherited!A:A,Inherited!B:B))/100)*(_xlfn.XLOOKUP(Assessment!#REF!,Inherited!A:A,Inherited!F:F)))+(((100-(_xlfn.XLOOKUP(Assessment!#REF!,Inherited!A:A,Inherited!B:B)))/100)*IF(AA102="1.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(100%)","100"))))))&lt;=32),"25",IF(AND((((_xlfn.XLOOKUP(Assessment!#REF!,Inherited!A:A,Inherited!B:B))/100)*(_xlfn.XLOOKUP(Assessment!#REF!,Inherited!A:A,Inherited!F:F)))+(((100-(_xlfn.XLOOKUP(Assessment!#REF!,Inherited!A:A,Inherited!B:B)))/100)*IF(AA102="1.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(100%)","100"))))))&gt;=33,(((_xlfn.XLOOKUP(Assessment!#REF!,Inherited!A:A,Inherited!B:B))/100)*(_xlfn.XLOOKUP(Assessment!#REF!,Inherited!A:A,Inherited!F:F)))+(((100-(_xlfn.XLOOKUP(Assessment!#REF!,Inherited!A:A,Inherited!B:B)))/100)*IF(AA102="1.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(100%)","100"))))))&lt;=65),"50",IF(AND((((_xlfn.XLOOKUP(Assessment!#REF!,Inherited!A:A,Inherited!B:B))/100)*(_xlfn.XLOOKUP(Assessment!#REF!,Inherited!A:A,Inherited!F:F)))+(((100-(_xlfn.XLOOKUP(Assessment!#REF!,Inherited!A:A,Inherited!B:B)))/100)*IF(AA102="1.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(100%)","100"))))))&gt;=66,(((_xlfn.XLOOKUP(Assessment!#REF!,Inherited!A:A,Inherited!B:B))/100)*(_xlfn.XLOOKUP(Assessment!#REF!,Inherited!A:A,Inherited!F:F)))+(((100-(_xlfn.XLOOKUP(Assessment!#REF!,Inherited!A:A,Inherited!B:B)))/100)*IF(AA102="1.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(100%)","100"))))))&lt;=89),"75",IF((((_xlfn.XLOOKUP(Assessment!#REF!,Inherited!A:A,Inherited!B:B))/100)*(_xlfn.XLOOKUP(Assessment!#REF!,Inherited!A:A,Inherited!F:F)))+(((100-(_xlfn.XLOOKUP(Assessment!#REF!,Inherited!A:A,Inherited!B:B)))/100)*IF(AA102="1. Non Compliant (0%)","0",IF(AA102="2. Somewhat Compliant (25%)","25",IF(AA102="3. Partially Compliant (50%)","50",IF(AA102="4. Mostly Compliant (75%)","75",IF(AA102="5. Fully Compliant (100%)","100"))))))&gt;=90,"100"))))))</f>
        <v>#N/A</v>
      </c>
      <c r="U102" s="1" t="e">
        <f>IF(MATCH(H102,Inherited!A:A),IF((((_xlfn.XLOOKUP(Assessment!#REF!,Inherited!A:A,Inherited!B:B))/100)*(_xlfn.XLOOKUP(Assessment!#REF!,Inherited!A:A,Inherited!G:G)))+(((100-(_xlfn.XLOOKUP(Assessment!#REF!,Inherited!A:A,Inherited!B:B)))/100)*IF(AB102="1.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(100%)","100"))))))&lt;=10,"0", IF(AND((((_xlfn.XLOOKUP(Assessment!#REF!,Inherited!A:A,Inherited!B:B))/100)*(_xlfn.XLOOKUP(Assessment!#REF!,Inherited!A:A,Inherited!G:G)))+(((100-(_xlfn.XLOOKUP(Assessment!#REF!,Inherited!A:A,Inherited!B:B)))/100)*IF(AB102="1.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(100%)","100"))))))&gt;=11,(((_xlfn.XLOOKUP(Assessment!#REF!,Inherited!A:A,Inherited!B:B))/100)*(_xlfn.XLOOKUP(Assessment!#REF!,Inherited!A:A,Inherited!G:G)))+(((100-(_xlfn.XLOOKUP(Assessment!#REF!,Inherited!A:A,Inherited!B:B)))/100)*IF(AB102="1.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(100%)","100"))))))&lt;=32),"25",IF(AND((((_xlfn.XLOOKUP(Assessment!#REF!,Inherited!A:A,Inherited!B:B))/100)*(_xlfn.XLOOKUP(Assessment!#REF!,Inherited!A:A,Inherited!G:G)))+(((100-(_xlfn.XLOOKUP(Assessment!#REF!,Inherited!A:A,Inherited!B:B)))/100)*IF(AB102="1.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(100%)","100"))))))&gt;=33,(((_xlfn.XLOOKUP(Assessment!#REF!,Inherited!A:A,Inherited!B:B))/100)*(_xlfn.XLOOKUP(Assessment!#REF!,Inherited!A:A,Inherited!G:G)))+(((100-(_xlfn.XLOOKUP(Assessment!#REF!,Inherited!A:A,Inherited!B:B)))/100)*IF(AB102="1.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(100%)","100"))))))&lt;=65),"50",IF(AND((((_xlfn.XLOOKUP(Assessment!#REF!,Inherited!A:A,Inherited!B:B))/100)*(_xlfn.XLOOKUP(Assessment!#REF!,Inherited!A:A,Inherited!G:G)))+(((100-(_xlfn.XLOOKUP(Assessment!#REF!,Inherited!A:A,Inherited!B:B)))/100)*IF(AB102="1.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(100%)","100"))))))&gt;=66,(((_xlfn.XLOOKUP(Assessment!#REF!,Inherited!A:A,Inherited!B:B))/100)*(_xlfn.XLOOKUP(Assessment!#REF!,Inherited!A:A,Inherited!G:G)))+(((100-(_xlfn.XLOOKUP(Assessment!#REF!,Inherited!A:A,Inherited!B:B)))/100)*IF(AB102="1.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(100%)","100"))))))&lt;=89),"75",IF((((_xlfn.XLOOKUP(Assessment!#REF!,Inherited!A:A,Inherited!B:B))/100)*(_xlfn.XLOOKUP(Assessment!#REF!,Inherited!A:A,Inherited!G:G)))+(((100-(_xlfn.XLOOKUP(Assessment!#REF!,Inherited!A:A,Inherited!B:B)))/100)*IF(AB102="1. Non Compliant (0%)","0",IF(AB102="2. Somewhat Compliant (25%)","25",IF(AB102="3. Partially Compliant (50%)","50",IF(AB102="4. Mostly Compliant (75%)","75",IF(AB102="5. Fully Compliant (100%)","100"))))))&gt;=90,"100"))))))</f>
        <v>#N/A</v>
      </c>
      <c r="V102" s="55" t="s">
        <v>85</v>
      </c>
      <c r="W102" s="55"/>
      <c r="X102" s="55"/>
      <c r="Y102" s="55"/>
      <c r="Z102" s="55" t="s">
        <v>86</v>
      </c>
      <c r="AA102" s="55"/>
      <c r="AB102" s="55"/>
      <c r="AK102" s="1" t="s">
        <v>10891</v>
      </c>
      <c r="AL102" s="1" t="s">
        <v>10908</v>
      </c>
      <c r="AM102" s="1" t="s">
        <v>10938</v>
      </c>
      <c r="AX102" s="3" t="str">
        <f>_xlfn.CONCAT("A-LIGN finished its review of this control on ",AR102, " during the scheduled fieldwork window (",Intro!$B$4,")."&amp; CHAR(10)&amp; CHAR(10))</f>
        <v xml:space="preserve">A-LIGN finished its review of this control on  during the scheduled fieldwork window (Fieldwork: xx/xx/xxxx - xx/xx/xxxx).
</v>
      </c>
      <c r="AY102" s="3" t="str">
        <f t="shared" ref="AY102:AY104" si="200">IF(AQ102&lt;&gt;"",(_xlfn.CONCAT("Inheritance note: "&amp; CHAR(10),AQ102&amp; CHAR(10)&amp; CHAR(10))),"")</f>
        <v/>
      </c>
      <c r="AZ102" s="3" t="str">
        <f t="shared" ref="AZ102:AZ104" si="201">IFERROR(IF(AD102&lt;&gt;"",_xlfn.CONCAT("Examined the following policy during fieldwork:"&amp; CHAR(10),AD102&amp; CHAR(10)&amp; CHAR(10),IF(AND(X102&lt;&gt;"5. Fully Compliant (100%)",AE102&lt;&gt;""),"Reviewed policy exception note:"&amp; CHAR(10) &amp; AE102 &amp; CHAR(10) &amp; CHAR(10),"")),""),"")</f>
        <v/>
      </c>
      <c r="BA102" s="3" t="str">
        <f t="shared" ref="BA102:BA104" si="202">IFERROR(IF(AH102&lt;&gt;"",_xlfn.CONCAT("Examined the following process during fieldwork:"&amp; CHAR(10),AH102&amp; CHAR(10)&amp; CHAR(10),IF(AND(Y102&lt;&gt;"5. Fully Compliant (100%)",AI102&lt;&gt;""),"Reviewed process exception note:"&amp; CHAR(10) &amp; AI102 &amp; CHAR(10) &amp; CHAR(10),"")),""),"")</f>
        <v/>
      </c>
      <c r="BB102" s="3" t="str">
        <f t="shared" ref="BB102:BB104" si="203">IF(AK102&lt;&gt;"",(_xlfn.CONCAT("Inquired of the following workforce member: "&amp; CHAR(10),AK102&amp; CHAR(10)&amp; CHAR(10),"Inquiry lead to the following conclusions: "&amp; CHAR(10),AL102&amp; CHAR(10) &amp; CHAR(10))),"")</f>
        <v xml:space="preserve">Inquired of the following workforce member: 
Matthew Macaluso - Director of System Operations
Roze Nicolas - Director of TechOps
Inquiry lead to the following conclusions: 
defined within Entra and Google Workspace 
</v>
      </c>
      <c r="BC102" s="3" t="str">
        <f t="shared" ref="BC102:BC104" si="204">IF(AM102&lt;&gt;"",(_xlfn.CONCAT("Observed the following live during fieldwork: "&amp; CHAR(10),AM102&amp; CHAR(10) &amp; CHAR(10))),"")</f>
        <v xml:space="preserve">Observed the following live during fieldwork: 
Observed a Google SecOps page and confirmed that users ae required to utilize a username/email address for ID to maintain accountability.
</v>
      </c>
      <c r="BD102" s="3" t="str">
        <f t="shared" ref="BD102:BD104" si="205">_xlfn.CONCAT("Examined the following evidence during fieldwork:"&amp; CHAR(10),AN102&amp; CHAR(10)&amp; CHAR(10),IF(AO102&lt;&gt;"","Reviewed evidence note:"&amp; CHAR(10)&amp;AO102&amp; CHAR(10) &amp; CHAR(10),"Reviewed evidence addressed the requirement statement."&amp; CHAR(10) &amp; CHAR(10)),IF(AND(AP102&lt;&gt;"5. Fully Compliant (100%)",AP102&lt;&gt;""),"Reviewed evidence exception note: "&amp; CHAR(10) &amp; AP102 &amp; CHAR(10) &amp; CHAR(10),""))</f>
        <v xml:space="preserve">Examined the following evidence during fieldwork:
Reviewed evidence addressed the requirement statement.
</v>
      </c>
      <c r="BE102" s="3" t="str">
        <f t="shared" ref="BE102:BE104" si="206">IF(AT102&lt;&gt;"",(_xlfn.CONCAT("Examined the following measure/metric during fieldwork:"&amp; CHAR(10),AT102&amp; CHAR(10)&amp; CHAR(10),"Reviewed measure/metric note:"&amp; CHAR(10),AU102 &amp; CHAR(10) &amp; CHAR(10))),"")</f>
        <v/>
      </c>
      <c r="BF102" s="3" t="str">
        <f t="shared" ref="BF102:BF104" si="207">IF(AV102&lt;&gt;"",(_xlfn.CONCAT("Examined the following measure/metric management during fieldwork:"&amp; CHAR(10),AV102&amp; CHAR(10)&amp; CHAR(10),"Reviewed measure/metric management note:"&amp; CHAR(10),AW102 &amp; CHAR(10) &amp; CHAR(10))),"")</f>
        <v/>
      </c>
      <c r="BG102" s="3" t="str">
        <f>_xlfn.CONCAT((IF((COUNTIF('Sample Tables'!B:B,"Test 001: Access Account (business partner)")&gt;0)=TRUE,_xlfn.CONCAT("Sample test results are documented in ",'Sample Tables'!B7," [",'Sample Tables'!B8,", ",'Sample Tables'!B9,", ",'Sample Tables'!B10,", ",'Sample Tables'!B11,", ",'Sample Tables'!B12,"]."&amp;CHAR(10)),IF((COUNTIF('Sample Tables'!B:B,"Test 001: Access Account (business partner)")&gt;0)=FALSE,""))),(IF((COUNTIF('Sample Tables'!B:B,"Test 003: Access Account (privileged)")&gt;0)=TRUE,_xlfn.CONCAT("Sample test results are documented in ",'Sample Tables'!B29," [",'Sample Tables'!B30,", ",'Sample Tables'!B31,", ",'Sample Tables'!B32,", ",'Sample Tables'!B33,", ",'Sample Tables'!B34,"]."&amp;CHAR(10)),IF((COUNTIF('Sample Tables'!B:B,"Test 003: Access Account (privileged)")&gt;0)=FALSE,""))),(IF((COUNTIF('Sample Tables'!B:B,"Test 004: Access Account (service)")&gt;0)=TRUE,_xlfn.CONCAT("Sample test results are documented in ",'Sample Tables'!B40," [",'Sample Tables'!B41,", ",'Sample Tables'!B42,", ",'Sample Tables'!B43,", ",'Sample Tables'!B44,", ",'Sample Tables'!B45,"]."&amp;CHAR(10)),IF((COUNTIF('Sample Tables'!B:B,"Test 004: Access Account (service)")&gt;0)=FALSE,""))),(IF((COUNTIF('Sample Tables'!B:B,"Test 008: Access Account (vendor)")&gt;0)=TRUE,_xlfn.CONCAT("Sample test results are documented in ",'Sample Tables'!B84," [",'Sample Tables'!B85,", ",'Sample Tables'!B86,", ",'Sample Tables'!B87,", ",'Sample Tables'!B88,", ",'Sample Tables'!B89,"]."&amp;CHAR(10)),IF((COUNTIF('Sample Tables'!B:B,"Test 008: Access Account (vendor)")&gt;0)=FALSE,""))),(IF((COUNTIF('Sample Tables'!B:B,"Test 009: Access Account (workforce member)")&gt;0)=TRUE,_xlfn.CONCAT("Sample test results are documented in ",'Sample Tables'!B95," [",'Sample Tables'!B96,", ",'Sample Tables'!B97,", ",'Sample Tables'!B98,", ",'Sample Tables'!B99,", ",'Sample Tables'!B100,"]."&amp;CHAR(10)),IF((COUNTIF('Sample Tables'!B:B,"Test 009: Access Account (workforce member)")&gt;0)=FALSE,""))),)</f>
        <v xml:space="preserve">Sample test results are documented in Test 001: Access Account (business partner) [Population Source/Tool: , Population Date Range: , Population Size: , Sample Methodology: , Sample Size: ].
Sample test results are documented in Test 003: Access Account (privileged) [Population Source/Tool: , Population Date Range: , Population Size: , Sample Methodology: , Sample Size: ].
Sample test results are documented in Test 004: Access Account (service) [Population Source/Tool: , Population Date Range: , Population Size: , Sample Methodology: , Sample Size: ].
Sample test results are documented in Test 008: Access Account (vendor) [Population Source/Tool: , Population Date Range: , Population Size: , Sample Methodology: , Sample Size: ].
Sample test results are documented in Test 009: Access Account (workforce member) [Population Source/Tool: , Population Date Range: , Population Size: , Sample Methodology: , Sample Size: ].
</v>
      </c>
      <c r="BH102" s="3" t="str">
        <f t="shared" ref="BH102:BH104" si="208">IF(V102="No","Not Applicable: "&amp;W102,(_xlfn.CONCAT(AX102,AY102,AZ102,BA102,BB102,BC102,BD102,BE102,BF102,BG102)))</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defined within Entra and Google Workspace 
Observed the following live during fieldwork: 
Observed a Google SecOps page and confirmed that users ae required to utilize a username/email address for ID to maintain accountability.
Examined the following evidence during fieldwork:
Reviewed evidence addressed the requirement statement.
Sample test results are documented in Test 001: Access Account (business partner) [Population Source/Tool: , Population Date Range: , Population Size: , Sample Methodology: , Sample Size: ].
Sample test results are documented in Test 003: Access Account (privileged) [Population Source/Tool: , Population Date Range: , Population Size: , Sample Methodology: , Sample Size: ].
Sample test results are documented in Test 004: Access Account (service) [Population Source/Tool: , Population Date Range: , Population Size: , Sample Methodology: , Sample Size: ].
Sample test results are documented in Test 008: Access Account (vendor) [Population Source/Tool: , Population Date Range: , Population Size: , Sample Methodology: , Sample Size: ].
Sample test results are documented in Test 009: Access Account (workforce member) [Population Source/Tool: , Population Date Range: , Population Size: , Sample Methodology: , Sample Size: ].
</v>
      </c>
    </row>
    <row r="103" spans="3:60" ht="409.5" x14ac:dyDescent="0.35">
      <c r="C103" s="1">
        <f t="shared" ref="C103:C104" si="209">IF(V103="No","Not Applicable",(IF(X103="1. Non Compliant (0%)","0",IF(X103="2. Somewhat Compliant (25%)","25",IF(X103="3. Partially Compliant (50%)","50",IF(X103="4. Mostly Compliant (75%)","75",IF(X103="5. Fully Compliant (100%)","100")))))*0.15)+((IF(Y103="1. Non Compliant (0%)","0",IF(Y103="2. Somewhat Compliant (25%)","25",IF(Y103="3. Partially Compliant (50%)","50",IF(Y103="4. Mostly Compliant (75%)","75",IF(Y103="5. Fully Compliant (100%)","100"))))))*0.2)+(IF(Z103="1. Non Compliant (0%)","0",IF(Z103="2. Somewhat Compliant (25%)","25",IF(Z103="3. Partially Compliant (50%)","50",IF(Z103="4. Mostly Compliant (75%)","75",IF(Z103="5. Fully Compliant (100%)","100")))))*0.4)+(IF(AA103="1. Non Compliant (0%)","0",IF(AA103="2. Somewhat Compliant (25%)","25",IF(AA103="3. Partially Compliant (50%)","50",IF(AA103="4. Mostly Compliant (75%)","75",IF(AA103="5. Fully Compliant (100%)","100")))))*0.1)+(IF(AB103="1. Non Compliant (0%)","0",IF(AB103="2. Somewhat Compliant (25%)","25",IF(AB103="3. Partially Compliant (50%)","50",IF(AB103="4. Mostly Compliant (75%)","75",IF(AB103="5. Fully Compliant (100%)","100")))))*0.15))</f>
        <v>40</v>
      </c>
      <c r="D103" s="5" t="str">
        <f>IF(AND((_xlfn.XLOOKUP(J103,'Fields &amp; Revisions'!$H:$H,'Fields &amp; Revisions'!$I:$I))&lt;70.99,(OR(Z103="4. Mostly Compliant (75%)",Z103="3. Partially Compliant (50%)",Z103="2. Somewhat Compliant (25%)",Z103="1. Non Compliant (0%)"))),"Yes","No")</f>
        <v>No</v>
      </c>
      <c r="E103" s="5" t="str">
        <f>IF(ISERROR(VLOOKUP(H103,Scope!A:A,1,FALSE)),"No","Yes")</f>
        <v>Yes</v>
      </c>
      <c r="F103" s="1" t="s">
        <v>2424</v>
      </c>
      <c r="G103" s="53" t="s">
        <v>3025</v>
      </c>
      <c r="H103" s="53" t="s">
        <v>3026</v>
      </c>
      <c r="I103" s="5">
        <v>1</v>
      </c>
      <c r="J103" s="1" t="s">
        <v>2473</v>
      </c>
      <c r="K103" s="1" t="s">
        <v>3027</v>
      </c>
      <c r="L103" s="1" t="s">
        <v>3028</v>
      </c>
      <c r="M103" s="1" t="s">
        <v>3029</v>
      </c>
      <c r="N103" s="5" t="s">
        <v>85</v>
      </c>
      <c r="O103" s="1" t="str">
        <f>_xlfn.XLOOKUP(G103,SRMs!$A:$A,SRMs!$D:$D)</f>
        <v>PARTIAL INHERITANCE</v>
      </c>
      <c r="P103" s="1" t="str">
        <f>IFERROR(VLOOKUP(H103,Inherited!A:B,2,FALSE),"")</f>
        <v/>
      </c>
      <c r="Q103" s="1" t="e">
        <f>IF(MATCH(H103,Inherited!A:A),IF((((_xlfn.XLOOKUP(Assessment!#REF!,Inherited!A:A,Inherited!B:B))/100)*(_xlfn.XLOOKUP(Assessment!#REF!,Inherited!A:A,Inherited!C:C)))+(((100-(_xlfn.XLOOKUP(Assessment!#REF!,Inherited!A:A,Inherited!B:B)))/100)*IF(X103="1.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(100%)","100"))))))&lt;=10,"0", IF(AND((((_xlfn.XLOOKUP(Assessment!#REF!,Inherited!A:A,Inherited!B:B))/100)*(_xlfn.XLOOKUP(Assessment!#REF!,Inherited!A:A,Inherited!C:C)))+(((100-(_xlfn.XLOOKUP(Assessment!#REF!,Inherited!A:A,Inherited!B:B)))/100)*IF(X103="1.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(100%)","100"))))))&gt;=11,(((_xlfn.XLOOKUP(Assessment!#REF!,Inherited!A:A,Inherited!B:B))/100)*(_xlfn.XLOOKUP(Assessment!#REF!,Inherited!A:A,Inherited!C:C)))+(((100-(_xlfn.XLOOKUP(Assessment!#REF!,Inherited!A:A,Inherited!B:B)))/100)*IF(X103="1.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(100%)","100"))))))&lt;=32),"25",IF(AND((((_xlfn.XLOOKUP(Assessment!#REF!,Inherited!A:A,Inherited!B:B))/100)*(_xlfn.XLOOKUP(Assessment!#REF!,Inherited!A:A,Inherited!C:C)))+(((100-(_xlfn.XLOOKUP(Assessment!#REF!,Inherited!A:A,Inherited!B:B)))/100)*IF(X103="1.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(100%)","100"))))))&gt;=33,(((_xlfn.XLOOKUP(Assessment!#REF!,Inherited!A:A,Inherited!B:B))/100)*(_xlfn.XLOOKUP(Assessment!#REF!,Inherited!A:A,Inherited!C:C)))+(((100-(_xlfn.XLOOKUP(Assessment!#REF!,Inherited!A:A,Inherited!B:B)))/100)*IF(X103="1.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(100%)","100"))))))&lt;=65),"50",IF(AND((((_xlfn.XLOOKUP(Assessment!#REF!,Inherited!A:A,Inherited!B:B))/100)*(_xlfn.XLOOKUP(Assessment!#REF!,Inherited!A:A,Inherited!C:C)))+(((100-(_xlfn.XLOOKUP(Assessment!#REF!,Inherited!A:A,Inherited!B:B)))/100)*IF(X103="1.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(100%)","100"))))))&gt;=66,(((_xlfn.XLOOKUP(Assessment!#REF!,Inherited!A:A,Inherited!B:B))/100)*(_xlfn.XLOOKUP(Assessment!#REF!,Inherited!A:A,Inherited!C:C)))+(((100-(_xlfn.XLOOKUP(Assessment!#REF!,Inherited!A:A,Inherited!B:B)))/100)*IF(X103="1.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(100%)","100"))))))&lt;=89),"75",IF((((_xlfn.XLOOKUP(Assessment!#REF!,Inherited!A:A,Inherited!B:B))/100)*(_xlfn.XLOOKUP(Assessment!#REF!,Inherited!A:A,Inherited!C:C)))+(((100-(_xlfn.XLOOKUP(Assessment!#REF!,Inherited!A:A,Inherited!B:B)))/100)*IF(X103="1. Non Compliant (0%)","0",IF(X103="2. Somewhat Compliant (25%)","25",IF(X103="3. Partially Compliant (50%)","50",IF(X103="4. Mostly Compliant (75%)","75",IF(X103="5. Fully Compliant (100%)","100"))))))&gt;=90,"100"))))))</f>
        <v>#N/A</v>
      </c>
      <c r="R103" s="1" t="e">
        <f>IF(MATCH(H103,Inherited!A:A),IF((((_xlfn.XLOOKUP(Assessment!#REF!,Inherited!A:A,Inherited!B:B))/100)*(_xlfn.XLOOKUP(Assessment!#REF!,Inherited!A:A,Inherited!D:D)))+(((100-(_xlfn.XLOOKUP(Assessment!#REF!,Inherited!A:A,Inherited!B:B)))/100)*IF(Y103="1.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(100%)","100"))))))&lt;=10,"0", IF(AND((((_xlfn.XLOOKUP(Assessment!#REF!,Inherited!A:A,Inherited!B:B))/100)*(_xlfn.XLOOKUP(Assessment!#REF!,Inherited!A:A,Inherited!D:D)))+(((100-(_xlfn.XLOOKUP(Assessment!#REF!,Inherited!A:A,Inherited!B:B)))/100)*IF(Y103="1.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(100%)","100"))))))&gt;=11,(((_xlfn.XLOOKUP(Assessment!#REF!,Inherited!A:A,Inherited!B:B))/100)*(_xlfn.XLOOKUP(Assessment!#REF!,Inherited!A:A,Inherited!D:D)))+(((100-(_xlfn.XLOOKUP(Assessment!#REF!,Inherited!A:A,Inherited!B:B)))/100)*IF(Y103="1.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(100%)","100"))))))&lt;=32),"25",IF(AND((((_xlfn.XLOOKUP(Assessment!#REF!,Inherited!A:A,Inherited!B:B))/100)*(_xlfn.XLOOKUP(Assessment!#REF!,Inherited!A:A,Inherited!D:D)))+(((100-(_xlfn.XLOOKUP(Assessment!#REF!,Inherited!A:A,Inherited!B:B)))/100)*IF(Y103="1.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(100%)","100"))))))&gt;=33,(((_xlfn.XLOOKUP(Assessment!#REF!,Inherited!A:A,Inherited!B:B))/100)*(_xlfn.XLOOKUP(Assessment!#REF!,Inherited!A:A,Inherited!D:D)))+(((100-(_xlfn.XLOOKUP(Assessment!#REF!,Inherited!A:A,Inherited!B:B)))/100)*IF(Y103="1.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(100%)","100"))))))&lt;=65),"50",IF(AND((((_xlfn.XLOOKUP(Assessment!#REF!,Inherited!A:A,Inherited!B:B))/100)*(_xlfn.XLOOKUP(Assessment!#REF!,Inherited!A:A,Inherited!D:D)))+(((100-(_xlfn.XLOOKUP(Assessment!#REF!,Inherited!A:A,Inherited!B:B)))/100)*IF(Y103="1.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(100%)","100"))))))&gt;=66,(((_xlfn.XLOOKUP(Assessment!#REF!,Inherited!A:A,Inherited!B:B))/100)*(_xlfn.XLOOKUP(Assessment!#REF!,Inherited!A:A,Inherited!D:D)))+(((100-(_xlfn.XLOOKUP(Assessment!#REF!,Inherited!A:A,Inherited!B:B)))/100)*IF(Y103="1.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(100%)","100"))))))&lt;=89),"75",IF((((_xlfn.XLOOKUP(Assessment!#REF!,Inherited!A:A,Inherited!B:B))/100)*(_xlfn.XLOOKUP(Assessment!#REF!,Inherited!A:A,Inherited!D:D)))+(((100-(_xlfn.XLOOKUP(Assessment!#REF!,Inherited!A:A,Inherited!B:B)))/100)*IF(Y103="1. Non Compliant (0%)","0",IF(Y103="2. Somewhat Compliant (25%)","25",IF(Y103="3. Partially Compliant (50%)","50",IF(Y103="4. Mostly Compliant (75%)","75",IF(Y103="5. Fully Compliant (100%)","100"))))))&gt;=90,"100"))))))</f>
        <v>#N/A</v>
      </c>
      <c r="S103" s="1" t="e">
        <f>IF(MATCH(H103,Inherited!A:A),IF((((_xlfn.XLOOKUP(Assessment!#REF!,Inherited!A:A,Inherited!B:B))/100)*(_xlfn.XLOOKUP(Assessment!#REF!,Inherited!A:A,Inherited!E:E)))+(((100-(_xlfn.XLOOKUP(Assessment!#REF!,Inherited!A:A,Inherited!B:B)))/100)*IF(Z103="1.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(100%)","100"))))))&lt;=10,"0", IF(AND((((_xlfn.XLOOKUP(Assessment!#REF!,Inherited!A:A,Inherited!B:B))/100)*(_xlfn.XLOOKUP(Assessment!#REF!,Inherited!A:A,Inherited!E:E)))+(((100-(_xlfn.XLOOKUP(Assessment!#REF!,Inherited!A:A,Inherited!B:B)))/100)*IF(Z103="1.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(100%)","100"))))))&gt;=11,(((_xlfn.XLOOKUP(Assessment!#REF!,Inherited!A:A,Inherited!B:B))/100)*(_xlfn.XLOOKUP(Assessment!#REF!,Inherited!A:A,Inherited!E:E)))+(((100-(_xlfn.XLOOKUP(Assessment!#REF!,Inherited!A:A,Inherited!B:B)))/100)*IF(Z103="1.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(100%)","100"))))))&lt;=32),"25",IF(AND((((_xlfn.XLOOKUP(Assessment!#REF!,Inherited!A:A,Inherited!B:B))/100)*(_xlfn.XLOOKUP(Assessment!#REF!,Inherited!A:A,Inherited!E:E)))+(((100-(_xlfn.XLOOKUP(Assessment!#REF!,Inherited!A:A,Inherited!B:B)))/100)*IF(Z103="1.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(100%)","100"))))))&gt;=33,(((_xlfn.XLOOKUP(Assessment!#REF!,Inherited!A:A,Inherited!B:B))/100)*(_xlfn.XLOOKUP(Assessment!#REF!,Inherited!A:A,Inherited!E:E)))+(((100-(_xlfn.XLOOKUP(Assessment!#REF!,Inherited!A:A,Inherited!B:B)))/100)*IF(Z103="1.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(100%)","100"))))))&lt;=65),"50",IF(AND((((_xlfn.XLOOKUP(Assessment!#REF!,Inherited!A:A,Inherited!B:B))/100)*(_xlfn.XLOOKUP(Assessment!#REF!,Inherited!A:A,Inherited!E:E)))+(((100-(_xlfn.XLOOKUP(Assessment!#REF!,Inherited!A:A,Inherited!B:B)))/100)*IF(Z103="1.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(100%)","100"))))))&gt;=66,(((_xlfn.XLOOKUP(Assessment!#REF!,Inherited!A:A,Inherited!B:B))/100)*(_xlfn.XLOOKUP(Assessment!#REF!,Inherited!A:A,Inherited!E:E)))+(((100-(_xlfn.XLOOKUP(Assessment!#REF!,Inherited!A:A,Inherited!B:B)))/100)*IF(Z103="1.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(100%)","100"))))))&lt;=89),"75",IF((((_xlfn.XLOOKUP(Assessment!#REF!,Inherited!A:A,Inherited!B:B))/100)*(_xlfn.XLOOKUP(Assessment!#REF!,Inherited!A:A,Inherited!E:E)))+(((100-(_xlfn.XLOOKUP(Assessment!#REF!,Inherited!A:A,Inherited!B:B)))/100)*IF(Z103="1. Non Compliant (0%)","0",IF(Z103="2. Somewhat Compliant (25%)","25",IF(Z103="3. Partially Compliant (50%)","50",IF(Z103="4. Mostly Compliant (75%)","75",IF(Z103="5. Fully Compliant (100%)","100"))))))&gt;=90,"100"))))))</f>
        <v>#N/A</v>
      </c>
      <c r="T103" s="1" t="e">
        <f>IF(MATCH(H103,Inherited!A:A),IF((((_xlfn.XLOOKUP(Assessment!#REF!,Inherited!A:A,Inherited!B:B))/100)*(_xlfn.XLOOKUP(Assessment!#REF!,Inherited!A:A,Inherited!F:F)))+(((100-(_xlfn.XLOOKUP(Assessment!#REF!,Inherited!A:A,Inherited!B:B)))/100)*IF(AA103="1.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(100%)","100"))))))&lt;=10,"0", IF(AND((((_xlfn.XLOOKUP(Assessment!#REF!,Inherited!A:A,Inherited!B:B))/100)*(_xlfn.XLOOKUP(Assessment!#REF!,Inherited!A:A,Inherited!F:F)))+(((100-(_xlfn.XLOOKUP(Assessment!#REF!,Inherited!A:A,Inherited!B:B)))/100)*IF(AA103="1.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(100%)","100"))))))&gt;=11,(((_xlfn.XLOOKUP(Assessment!#REF!,Inherited!A:A,Inherited!B:B))/100)*(_xlfn.XLOOKUP(Assessment!#REF!,Inherited!A:A,Inherited!F:F)))+(((100-(_xlfn.XLOOKUP(Assessment!#REF!,Inherited!A:A,Inherited!B:B)))/100)*IF(AA103="1.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(100%)","100"))))))&lt;=32),"25",IF(AND((((_xlfn.XLOOKUP(Assessment!#REF!,Inherited!A:A,Inherited!B:B))/100)*(_xlfn.XLOOKUP(Assessment!#REF!,Inherited!A:A,Inherited!F:F)))+(((100-(_xlfn.XLOOKUP(Assessment!#REF!,Inherited!A:A,Inherited!B:B)))/100)*IF(AA103="1.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(100%)","100"))))))&gt;=33,(((_xlfn.XLOOKUP(Assessment!#REF!,Inherited!A:A,Inherited!B:B))/100)*(_xlfn.XLOOKUP(Assessment!#REF!,Inherited!A:A,Inherited!F:F)))+(((100-(_xlfn.XLOOKUP(Assessment!#REF!,Inherited!A:A,Inherited!B:B)))/100)*IF(AA103="1.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(100%)","100"))))))&lt;=65),"50",IF(AND((((_xlfn.XLOOKUP(Assessment!#REF!,Inherited!A:A,Inherited!B:B))/100)*(_xlfn.XLOOKUP(Assessment!#REF!,Inherited!A:A,Inherited!F:F)))+(((100-(_xlfn.XLOOKUP(Assessment!#REF!,Inherited!A:A,Inherited!B:B)))/100)*IF(AA103="1.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(100%)","100"))))))&gt;=66,(((_xlfn.XLOOKUP(Assessment!#REF!,Inherited!A:A,Inherited!B:B))/100)*(_xlfn.XLOOKUP(Assessment!#REF!,Inherited!A:A,Inherited!F:F)))+(((100-(_xlfn.XLOOKUP(Assessment!#REF!,Inherited!A:A,Inherited!B:B)))/100)*IF(AA103="1.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(100%)","100"))))))&lt;=89),"75",IF((((_xlfn.XLOOKUP(Assessment!#REF!,Inherited!A:A,Inherited!B:B))/100)*(_xlfn.XLOOKUP(Assessment!#REF!,Inherited!A:A,Inherited!F:F)))+(((100-(_xlfn.XLOOKUP(Assessment!#REF!,Inherited!A:A,Inherited!B:B)))/100)*IF(AA103="1. Non Compliant (0%)","0",IF(AA103="2. Somewhat Compliant (25%)","25",IF(AA103="3. Partially Compliant (50%)","50",IF(AA103="4. Mostly Compliant (75%)","75",IF(AA103="5. Fully Compliant (100%)","100"))))))&gt;=90,"100"))))))</f>
        <v>#N/A</v>
      </c>
      <c r="U103" s="1" t="e">
        <f>IF(MATCH(H103,Inherited!A:A),IF((((_xlfn.XLOOKUP(Assessment!#REF!,Inherited!A:A,Inherited!B:B))/100)*(_xlfn.XLOOKUP(Assessment!#REF!,Inherited!A:A,Inherited!G:G)))+(((100-(_xlfn.XLOOKUP(Assessment!#REF!,Inherited!A:A,Inherited!B:B)))/100)*IF(AB103="1.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(100%)","100"))))))&lt;=10,"0", IF(AND((((_xlfn.XLOOKUP(Assessment!#REF!,Inherited!A:A,Inherited!B:B))/100)*(_xlfn.XLOOKUP(Assessment!#REF!,Inherited!A:A,Inherited!G:G)))+(((100-(_xlfn.XLOOKUP(Assessment!#REF!,Inherited!A:A,Inherited!B:B)))/100)*IF(AB103="1.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(100%)","100"))))))&gt;=11,(((_xlfn.XLOOKUP(Assessment!#REF!,Inherited!A:A,Inherited!B:B))/100)*(_xlfn.XLOOKUP(Assessment!#REF!,Inherited!A:A,Inherited!G:G)))+(((100-(_xlfn.XLOOKUP(Assessment!#REF!,Inherited!A:A,Inherited!B:B)))/100)*IF(AB103="1.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(100%)","100"))))))&lt;=32),"25",IF(AND((((_xlfn.XLOOKUP(Assessment!#REF!,Inherited!A:A,Inherited!B:B))/100)*(_xlfn.XLOOKUP(Assessment!#REF!,Inherited!A:A,Inherited!G:G)))+(((100-(_xlfn.XLOOKUP(Assessment!#REF!,Inherited!A:A,Inherited!B:B)))/100)*IF(AB103="1.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(100%)","100"))))))&gt;=33,(((_xlfn.XLOOKUP(Assessment!#REF!,Inherited!A:A,Inherited!B:B))/100)*(_xlfn.XLOOKUP(Assessment!#REF!,Inherited!A:A,Inherited!G:G)))+(((100-(_xlfn.XLOOKUP(Assessment!#REF!,Inherited!A:A,Inherited!B:B)))/100)*IF(AB103="1.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(100%)","100"))))))&lt;=65),"50",IF(AND((((_xlfn.XLOOKUP(Assessment!#REF!,Inherited!A:A,Inherited!B:B))/100)*(_xlfn.XLOOKUP(Assessment!#REF!,Inherited!A:A,Inherited!G:G)))+(((100-(_xlfn.XLOOKUP(Assessment!#REF!,Inherited!A:A,Inherited!B:B)))/100)*IF(AB103="1.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(100%)","100"))))))&gt;=66,(((_xlfn.XLOOKUP(Assessment!#REF!,Inherited!A:A,Inherited!B:B))/100)*(_xlfn.XLOOKUP(Assessment!#REF!,Inherited!A:A,Inherited!G:G)))+(((100-(_xlfn.XLOOKUP(Assessment!#REF!,Inherited!A:A,Inherited!B:B)))/100)*IF(AB103="1.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(100%)","100"))))))&lt;=89),"75",IF((((_xlfn.XLOOKUP(Assessment!#REF!,Inherited!A:A,Inherited!B:B))/100)*(_xlfn.XLOOKUP(Assessment!#REF!,Inherited!A:A,Inherited!G:G)))+(((100-(_xlfn.XLOOKUP(Assessment!#REF!,Inherited!A:A,Inherited!B:B)))/100)*IF(AB103="1. Non Compliant (0%)","0",IF(AB103="2. Somewhat Compliant (25%)","25",IF(AB103="3. Partially Compliant (50%)","50",IF(AB103="4. Mostly Compliant (75%)","75",IF(AB103="5. Fully Compliant (100%)","100"))))))&gt;=90,"100"))))))</f>
        <v>#N/A</v>
      </c>
      <c r="V103" s="55" t="s">
        <v>85</v>
      </c>
      <c r="W103" s="55"/>
      <c r="X103" s="55"/>
      <c r="Y103" s="55"/>
      <c r="Z103" s="55" t="s">
        <v>86</v>
      </c>
      <c r="AA103" s="55"/>
      <c r="AB103" s="55"/>
      <c r="AK103" s="1" t="s">
        <v>10891</v>
      </c>
      <c r="AL103" s="1" t="s">
        <v>10937</v>
      </c>
      <c r="AM103" s="1" t="s">
        <v>10943</v>
      </c>
      <c r="AX103" s="3" t="str">
        <f>_xlfn.CONCAT("A-LIGN finished its review of this control on ",AR103, " during the scheduled fieldwork window (",Intro!$B$4,")."&amp; CHAR(10)&amp; CHAR(10))</f>
        <v xml:space="preserve">A-LIGN finished its review of this control on  during the scheduled fieldwork window (Fieldwork: xx/xx/xxxx - xx/xx/xxxx).
</v>
      </c>
      <c r="AY103" s="3" t="str">
        <f t="shared" si="200"/>
        <v/>
      </c>
      <c r="AZ103" s="3" t="str">
        <f t="shared" si="201"/>
        <v/>
      </c>
      <c r="BA103" s="3" t="str">
        <f t="shared" si="202"/>
        <v/>
      </c>
      <c r="BB103" s="3" t="str">
        <f t="shared" si="203"/>
        <v xml:space="preserve">Inquired of the following workforce member: 
Matthew Macaluso - Director of System Operations
Roze Nicolas - Director of TechOps
Inquiry lead to the following conclusions: 
User access rights are determined based on roles defined within Entra and Google Workspace. Only a select number of individuals are designated at privileged users.
</v>
      </c>
      <c r="BC103" s="3" t="str">
        <f t="shared" si="204"/>
        <v xml:space="preserve">Observed the following live during fieldwork: 
Observed a login screen for a user attempting to access the environment with only their admin account which would de their "email domain-da" and then they would use a standard account for other duties.
Also observed one of the google admin accounts which demonstrated that users included within that account must use their "da" account to login.
Observed a Google Admin SecOps group and determined that only certain individuals are included and there accounts are tracked/managed/reviewed within the tools and Vanta.
</v>
      </c>
      <c r="BD103" s="3" t="str">
        <f t="shared" si="205"/>
        <v xml:space="preserve">Examined the following evidence during fieldwork:
Reviewed evidence addressed the requirement statement.
</v>
      </c>
      <c r="BE103" s="3" t="str">
        <f t="shared" si="206"/>
        <v/>
      </c>
      <c r="BF103" s="3" t="str">
        <f t="shared" si="207"/>
        <v/>
      </c>
      <c r="BG103" s="3" t="str">
        <f>_xlfn.CONCAT((IF((COUNTIF('Sample Tables'!B:B,"Test 003: Access Account (privileged)")&gt;0)=TRUE,_xlfn.CONCAT("Sample test results are documented in ",'Sample Tables'!B29," [",'Sample Tables'!B30,", ",'Sample Tables'!B31,", ",'Sample Tables'!B32,", ",'Sample Tables'!B33,", ",'Sample Tables'!B34,"]."&amp;CHAR(10)),IF((COUNTIF('Sample Tables'!B:B,"Test 003: Access Account (privileged)")&gt;0)=FALSE,""))),)</f>
        <v xml:space="preserve">Sample test results are documented in Test 003: Access Account (privileged) [Population Source/Tool: , Population Date Range: , Population Size: , Sample Methodology: , Sample Size: ].
</v>
      </c>
      <c r="BH103" s="3" t="str">
        <f t="shared" si="20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User access rights are determined based on roles defined within Entra and Google Workspace. Only a select number of individuals are designated at privileged users.
Observed the following live during fieldwork: 
Observed a login screen for a user attempting to access the environment with only their admin account which would de their "email domain-da" and then they would use a standard account for other duties.
Also observed one of the google admin accounts which demonstrated that users included within that account must use their "da" account to login.
Observed a Google Admin SecOps group and determined that only certain individuals are included and there accounts are tracked/managed/reviewed within the tools and Vanta.
Examined the following evidence during fieldwork:
Reviewed evidence addressed the requirement statement.
Sample test results are documented in Test 003: Access Account (privileged) [Population Source/Tool: , Population Date Range: , Population Size: , Sample Methodology: , Sample Size: ].
</v>
      </c>
    </row>
    <row r="104" spans="3:60" ht="312.5" x14ac:dyDescent="0.35">
      <c r="C104" s="1">
        <f t="shared" si="209"/>
        <v>40</v>
      </c>
      <c r="D104" s="5" t="str">
        <f>IF(AND((_xlfn.XLOOKUP(J104,'Fields &amp; Revisions'!$H:$H,'Fields &amp; Revisions'!$I:$I))&lt;70.99,(OR(Z104="4. Mostly Compliant (75%)",Z104="3. Partially Compliant (50%)",Z104="2. Somewhat Compliant (25%)",Z104="1. Non Compliant (0%)"))),"Yes","No")</f>
        <v>No</v>
      </c>
      <c r="E104" s="5" t="str">
        <f>IF(ISERROR(VLOOKUP(H104,Scope!A:A,1,FALSE)),"No","Yes")</f>
        <v>Yes</v>
      </c>
      <c r="F104" s="1" t="s">
        <v>2424</v>
      </c>
      <c r="G104" s="53" t="s">
        <v>3095</v>
      </c>
      <c r="H104" s="53" t="s">
        <v>3096</v>
      </c>
      <c r="I104" s="5">
        <v>1</v>
      </c>
      <c r="J104" s="1" t="s">
        <v>1742</v>
      </c>
      <c r="K104" s="1" t="s">
        <v>3097</v>
      </c>
      <c r="L104" s="1" t="s">
        <v>3098</v>
      </c>
      <c r="M104" s="1" t="s">
        <v>3099</v>
      </c>
      <c r="N104" s="5" t="s">
        <v>98</v>
      </c>
      <c r="O104" s="1" t="str">
        <f>_xlfn.XLOOKUP(G104,SRMs!$A:$A,SRMs!$D:$D)</f>
        <v>PARTIAL INHERITANCE</v>
      </c>
      <c r="P104" s="1" t="str">
        <f>IFERROR(VLOOKUP(H104,Inherited!A:B,2,FALSE),"")</f>
        <v/>
      </c>
      <c r="Q104" s="1" t="e">
        <f>IF(MATCH(H104,Inherited!A:A),IF((((_xlfn.XLOOKUP(Assessment!#REF!,Inherited!A:A,Inherited!B:B))/100)*(_xlfn.XLOOKUP(Assessment!#REF!,Inherited!A:A,Inherited!C:C)))+(((100-(_xlfn.XLOOKUP(Assessment!#REF!,Inherited!A:A,Inherited!B:B)))/100)*IF(X104="1.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(100%)","100"))))))&lt;=10,"0", IF(AND((((_xlfn.XLOOKUP(Assessment!#REF!,Inherited!A:A,Inherited!B:B))/100)*(_xlfn.XLOOKUP(Assessment!#REF!,Inherited!A:A,Inherited!C:C)))+(((100-(_xlfn.XLOOKUP(Assessment!#REF!,Inherited!A:A,Inherited!B:B)))/100)*IF(X104="1.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(100%)","100"))))))&gt;=11,(((_xlfn.XLOOKUP(Assessment!#REF!,Inherited!A:A,Inherited!B:B))/100)*(_xlfn.XLOOKUP(Assessment!#REF!,Inherited!A:A,Inherited!C:C)))+(((100-(_xlfn.XLOOKUP(Assessment!#REF!,Inherited!A:A,Inherited!B:B)))/100)*IF(X104="1.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(100%)","100"))))))&lt;=32),"25",IF(AND((((_xlfn.XLOOKUP(Assessment!#REF!,Inherited!A:A,Inherited!B:B))/100)*(_xlfn.XLOOKUP(Assessment!#REF!,Inherited!A:A,Inherited!C:C)))+(((100-(_xlfn.XLOOKUP(Assessment!#REF!,Inherited!A:A,Inherited!B:B)))/100)*IF(X104="1.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(100%)","100"))))))&gt;=33,(((_xlfn.XLOOKUP(Assessment!#REF!,Inherited!A:A,Inherited!B:B))/100)*(_xlfn.XLOOKUP(Assessment!#REF!,Inherited!A:A,Inherited!C:C)))+(((100-(_xlfn.XLOOKUP(Assessment!#REF!,Inherited!A:A,Inherited!B:B)))/100)*IF(X104="1.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(100%)","100"))))))&lt;=65),"50",IF(AND((((_xlfn.XLOOKUP(Assessment!#REF!,Inherited!A:A,Inherited!B:B))/100)*(_xlfn.XLOOKUP(Assessment!#REF!,Inherited!A:A,Inherited!C:C)))+(((100-(_xlfn.XLOOKUP(Assessment!#REF!,Inherited!A:A,Inherited!B:B)))/100)*IF(X104="1.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(100%)","100"))))))&gt;=66,(((_xlfn.XLOOKUP(Assessment!#REF!,Inherited!A:A,Inherited!B:B))/100)*(_xlfn.XLOOKUP(Assessment!#REF!,Inherited!A:A,Inherited!C:C)))+(((100-(_xlfn.XLOOKUP(Assessment!#REF!,Inherited!A:A,Inherited!B:B)))/100)*IF(X104="1.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(100%)","100"))))))&lt;=89),"75",IF((((_xlfn.XLOOKUP(Assessment!#REF!,Inherited!A:A,Inherited!B:B))/100)*(_xlfn.XLOOKUP(Assessment!#REF!,Inherited!A:A,Inherited!C:C)))+(((100-(_xlfn.XLOOKUP(Assessment!#REF!,Inherited!A:A,Inherited!B:B)))/100)*IF(X104="1. Non Compliant (0%)","0",IF(X104="2. Somewhat Compliant (25%)","25",IF(X104="3. Partially Compliant (50%)","50",IF(X104="4. Mostly Compliant (75%)","75",IF(X104="5. Fully Compliant (100%)","100"))))))&gt;=90,"100"))))))</f>
        <v>#N/A</v>
      </c>
      <c r="R104" s="1" t="e">
        <f>IF(MATCH(H104,Inherited!A:A),IF((((_xlfn.XLOOKUP(Assessment!#REF!,Inherited!A:A,Inherited!B:B))/100)*(_xlfn.XLOOKUP(Assessment!#REF!,Inherited!A:A,Inherited!D:D)))+(((100-(_xlfn.XLOOKUP(Assessment!#REF!,Inherited!A:A,Inherited!B:B)))/100)*IF(Y104="1.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(100%)","100"))))))&lt;=10,"0", IF(AND((((_xlfn.XLOOKUP(Assessment!#REF!,Inherited!A:A,Inherited!B:B))/100)*(_xlfn.XLOOKUP(Assessment!#REF!,Inherited!A:A,Inherited!D:D)))+(((100-(_xlfn.XLOOKUP(Assessment!#REF!,Inherited!A:A,Inherited!B:B)))/100)*IF(Y104="1.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(100%)","100"))))))&gt;=11,(((_xlfn.XLOOKUP(Assessment!#REF!,Inherited!A:A,Inherited!B:B))/100)*(_xlfn.XLOOKUP(Assessment!#REF!,Inherited!A:A,Inherited!D:D)))+(((100-(_xlfn.XLOOKUP(Assessment!#REF!,Inherited!A:A,Inherited!B:B)))/100)*IF(Y104="1.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(100%)","100"))))))&lt;=32),"25",IF(AND((((_xlfn.XLOOKUP(Assessment!#REF!,Inherited!A:A,Inherited!B:B))/100)*(_xlfn.XLOOKUP(Assessment!#REF!,Inherited!A:A,Inherited!D:D)))+(((100-(_xlfn.XLOOKUP(Assessment!#REF!,Inherited!A:A,Inherited!B:B)))/100)*IF(Y104="1.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(100%)","100"))))))&gt;=33,(((_xlfn.XLOOKUP(Assessment!#REF!,Inherited!A:A,Inherited!B:B))/100)*(_xlfn.XLOOKUP(Assessment!#REF!,Inherited!A:A,Inherited!D:D)))+(((100-(_xlfn.XLOOKUP(Assessment!#REF!,Inherited!A:A,Inherited!B:B)))/100)*IF(Y104="1.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(100%)","100"))))))&lt;=65),"50",IF(AND((((_xlfn.XLOOKUP(Assessment!#REF!,Inherited!A:A,Inherited!B:B))/100)*(_xlfn.XLOOKUP(Assessment!#REF!,Inherited!A:A,Inherited!D:D)))+(((100-(_xlfn.XLOOKUP(Assessment!#REF!,Inherited!A:A,Inherited!B:B)))/100)*IF(Y104="1.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(100%)","100"))))))&gt;=66,(((_xlfn.XLOOKUP(Assessment!#REF!,Inherited!A:A,Inherited!B:B))/100)*(_xlfn.XLOOKUP(Assessment!#REF!,Inherited!A:A,Inherited!D:D)))+(((100-(_xlfn.XLOOKUP(Assessment!#REF!,Inherited!A:A,Inherited!B:B)))/100)*IF(Y104="1.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(100%)","100"))))))&lt;=89),"75",IF((((_xlfn.XLOOKUP(Assessment!#REF!,Inherited!A:A,Inherited!B:B))/100)*(_xlfn.XLOOKUP(Assessment!#REF!,Inherited!A:A,Inherited!D:D)))+(((100-(_xlfn.XLOOKUP(Assessment!#REF!,Inherited!A:A,Inherited!B:B)))/100)*IF(Y104="1. Non Compliant (0%)","0",IF(Y104="2. Somewhat Compliant (25%)","25",IF(Y104="3. Partially Compliant (50%)","50",IF(Y104="4. Mostly Compliant (75%)","75",IF(Y104="5. Fully Compliant (100%)","100"))))))&gt;=90,"100"))))))</f>
        <v>#N/A</v>
      </c>
      <c r="S104" s="1" t="e">
        <f>IF(MATCH(H104,Inherited!A:A),IF((((_xlfn.XLOOKUP(Assessment!#REF!,Inherited!A:A,Inherited!B:B))/100)*(_xlfn.XLOOKUP(Assessment!#REF!,Inherited!A:A,Inherited!E:E)))+(((100-(_xlfn.XLOOKUP(Assessment!#REF!,Inherited!A:A,Inherited!B:B)))/100)*IF(Z104="1.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(100%)","100"))))))&lt;=10,"0", IF(AND((((_xlfn.XLOOKUP(Assessment!#REF!,Inherited!A:A,Inherited!B:B))/100)*(_xlfn.XLOOKUP(Assessment!#REF!,Inherited!A:A,Inherited!E:E)))+(((100-(_xlfn.XLOOKUP(Assessment!#REF!,Inherited!A:A,Inherited!B:B)))/100)*IF(Z104="1.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(100%)","100"))))))&gt;=11,(((_xlfn.XLOOKUP(Assessment!#REF!,Inherited!A:A,Inherited!B:B))/100)*(_xlfn.XLOOKUP(Assessment!#REF!,Inherited!A:A,Inherited!E:E)))+(((100-(_xlfn.XLOOKUP(Assessment!#REF!,Inherited!A:A,Inherited!B:B)))/100)*IF(Z104="1.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(100%)","100"))))))&lt;=32),"25",IF(AND((((_xlfn.XLOOKUP(Assessment!#REF!,Inherited!A:A,Inherited!B:B))/100)*(_xlfn.XLOOKUP(Assessment!#REF!,Inherited!A:A,Inherited!E:E)))+(((100-(_xlfn.XLOOKUP(Assessment!#REF!,Inherited!A:A,Inherited!B:B)))/100)*IF(Z104="1.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(100%)","100"))))))&gt;=33,(((_xlfn.XLOOKUP(Assessment!#REF!,Inherited!A:A,Inherited!B:B))/100)*(_xlfn.XLOOKUP(Assessment!#REF!,Inherited!A:A,Inherited!E:E)))+(((100-(_xlfn.XLOOKUP(Assessment!#REF!,Inherited!A:A,Inherited!B:B)))/100)*IF(Z104="1.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(100%)","100"))))))&lt;=65),"50",IF(AND((((_xlfn.XLOOKUP(Assessment!#REF!,Inherited!A:A,Inherited!B:B))/100)*(_xlfn.XLOOKUP(Assessment!#REF!,Inherited!A:A,Inherited!E:E)))+(((100-(_xlfn.XLOOKUP(Assessment!#REF!,Inherited!A:A,Inherited!B:B)))/100)*IF(Z104="1.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(100%)","100"))))))&gt;=66,(((_xlfn.XLOOKUP(Assessment!#REF!,Inherited!A:A,Inherited!B:B))/100)*(_xlfn.XLOOKUP(Assessment!#REF!,Inherited!A:A,Inherited!E:E)))+(((100-(_xlfn.XLOOKUP(Assessment!#REF!,Inherited!A:A,Inherited!B:B)))/100)*IF(Z104="1.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(100%)","100"))))))&lt;=89),"75",IF((((_xlfn.XLOOKUP(Assessment!#REF!,Inherited!A:A,Inherited!B:B))/100)*(_xlfn.XLOOKUP(Assessment!#REF!,Inherited!A:A,Inherited!E:E)))+(((100-(_xlfn.XLOOKUP(Assessment!#REF!,Inherited!A:A,Inherited!B:B)))/100)*IF(Z104="1. Non Compliant (0%)","0",IF(Z104="2. Somewhat Compliant (25%)","25",IF(Z104="3. Partially Compliant (50%)","50",IF(Z104="4. Mostly Compliant (75%)","75",IF(Z104="5. Fully Compliant (100%)","100"))))))&gt;=90,"100"))))))</f>
        <v>#N/A</v>
      </c>
      <c r="T104" s="1" t="e">
        <f>IF(MATCH(H104,Inherited!A:A),IF((((_xlfn.XLOOKUP(Assessment!#REF!,Inherited!A:A,Inherited!B:B))/100)*(_xlfn.XLOOKUP(Assessment!#REF!,Inherited!A:A,Inherited!F:F)))+(((100-(_xlfn.XLOOKUP(Assessment!#REF!,Inherited!A:A,Inherited!B:B)))/100)*IF(AA104="1.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(100%)","100"))))))&lt;=10,"0", IF(AND((((_xlfn.XLOOKUP(Assessment!#REF!,Inherited!A:A,Inherited!B:B))/100)*(_xlfn.XLOOKUP(Assessment!#REF!,Inherited!A:A,Inherited!F:F)))+(((100-(_xlfn.XLOOKUP(Assessment!#REF!,Inherited!A:A,Inherited!B:B)))/100)*IF(AA104="1.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(100%)","100"))))))&gt;=11,(((_xlfn.XLOOKUP(Assessment!#REF!,Inherited!A:A,Inherited!B:B))/100)*(_xlfn.XLOOKUP(Assessment!#REF!,Inherited!A:A,Inherited!F:F)))+(((100-(_xlfn.XLOOKUP(Assessment!#REF!,Inherited!A:A,Inherited!B:B)))/100)*IF(AA104="1.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(100%)","100"))))))&lt;=32),"25",IF(AND((((_xlfn.XLOOKUP(Assessment!#REF!,Inherited!A:A,Inherited!B:B))/100)*(_xlfn.XLOOKUP(Assessment!#REF!,Inherited!A:A,Inherited!F:F)))+(((100-(_xlfn.XLOOKUP(Assessment!#REF!,Inherited!A:A,Inherited!B:B)))/100)*IF(AA104="1.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(100%)","100"))))))&gt;=33,(((_xlfn.XLOOKUP(Assessment!#REF!,Inherited!A:A,Inherited!B:B))/100)*(_xlfn.XLOOKUP(Assessment!#REF!,Inherited!A:A,Inherited!F:F)))+(((100-(_xlfn.XLOOKUP(Assessment!#REF!,Inherited!A:A,Inherited!B:B)))/100)*IF(AA104="1.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(100%)","100"))))))&lt;=65),"50",IF(AND((((_xlfn.XLOOKUP(Assessment!#REF!,Inherited!A:A,Inherited!B:B))/100)*(_xlfn.XLOOKUP(Assessment!#REF!,Inherited!A:A,Inherited!F:F)))+(((100-(_xlfn.XLOOKUP(Assessment!#REF!,Inherited!A:A,Inherited!B:B)))/100)*IF(AA104="1.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(100%)","100"))))))&gt;=66,(((_xlfn.XLOOKUP(Assessment!#REF!,Inherited!A:A,Inherited!B:B))/100)*(_xlfn.XLOOKUP(Assessment!#REF!,Inherited!A:A,Inherited!F:F)))+(((100-(_xlfn.XLOOKUP(Assessment!#REF!,Inherited!A:A,Inherited!B:B)))/100)*IF(AA104="1.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(100%)","100"))))))&lt;=89),"75",IF((((_xlfn.XLOOKUP(Assessment!#REF!,Inherited!A:A,Inherited!B:B))/100)*(_xlfn.XLOOKUP(Assessment!#REF!,Inherited!A:A,Inherited!F:F)))+(((100-(_xlfn.XLOOKUP(Assessment!#REF!,Inherited!A:A,Inherited!B:B)))/100)*IF(AA104="1. Non Compliant (0%)","0",IF(AA104="2. Somewhat Compliant (25%)","25",IF(AA104="3. Partially Compliant (50%)","50",IF(AA104="4. Mostly Compliant (75%)","75",IF(AA104="5. Fully Compliant (100%)","100"))))))&gt;=90,"100"))))))</f>
        <v>#N/A</v>
      </c>
      <c r="U104" s="1" t="e">
        <f>IF(MATCH(H104,Inherited!A:A),IF((((_xlfn.XLOOKUP(Assessment!#REF!,Inherited!A:A,Inherited!B:B))/100)*(_xlfn.XLOOKUP(Assessment!#REF!,Inherited!A:A,Inherited!G:G)))+(((100-(_xlfn.XLOOKUP(Assessment!#REF!,Inherited!A:A,Inherited!B:B)))/100)*IF(AB104="1.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(100%)","100"))))))&lt;=10,"0", IF(AND((((_xlfn.XLOOKUP(Assessment!#REF!,Inherited!A:A,Inherited!B:B))/100)*(_xlfn.XLOOKUP(Assessment!#REF!,Inherited!A:A,Inherited!G:G)))+(((100-(_xlfn.XLOOKUP(Assessment!#REF!,Inherited!A:A,Inherited!B:B)))/100)*IF(AB104="1.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(100%)","100"))))))&gt;=11,(((_xlfn.XLOOKUP(Assessment!#REF!,Inherited!A:A,Inherited!B:B))/100)*(_xlfn.XLOOKUP(Assessment!#REF!,Inherited!A:A,Inherited!G:G)))+(((100-(_xlfn.XLOOKUP(Assessment!#REF!,Inherited!A:A,Inherited!B:B)))/100)*IF(AB104="1.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(100%)","100"))))))&lt;=32),"25",IF(AND((((_xlfn.XLOOKUP(Assessment!#REF!,Inherited!A:A,Inherited!B:B))/100)*(_xlfn.XLOOKUP(Assessment!#REF!,Inherited!A:A,Inherited!G:G)))+(((100-(_xlfn.XLOOKUP(Assessment!#REF!,Inherited!A:A,Inherited!B:B)))/100)*IF(AB104="1.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(100%)","100"))))))&gt;=33,(((_xlfn.XLOOKUP(Assessment!#REF!,Inherited!A:A,Inherited!B:B))/100)*(_xlfn.XLOOKUP(Assessment!#REF!,Inherited!A:A,Inherited!G:G)))+(((100-(_xlfn.XLOOKUP(Assessment!#REF!,Inherited!A:A,Inherited!B:B)))/100)*IF(AB104="1.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(100%)","100"))))))&lt;=65),"50",IF(AND((((_xlfn.XLOOKUP(Assessment!#REF!,Inherited!A:A,Inherited!B:B))/100)*(_xlfn.XLOOKUP(Assessment!#REF!,Inherited!A:A,Inherited!G:G)))+(((100-(_xlfn.XLOOKUP(Assessment!#REF!,Inherited!A:A,Inherited!B:B)))/100)*IF(AB104="1.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(100%)","100"))))))&gt;=66,(((_xlfn.XLOOKUP(Assessment!#REF!,Inherited!A:A,Inherited!B:B))/100)*(_xlfn.XLOOKUP(Assessment!#REF!,Inherited!A:A,Inherited!G:G)))+(((100-(_xlfn.XLOOKUP(Assessment!#REF!,Inherited!A:A,Inherited!B:B)))/100)*IF(AB104="1.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(100%)","100"))))))&lt;=89),"75",IF((((_xlfn.XLOOKUP(Assessment!#REF!,Inherited!A:A,Inherited!B:B))/100)*(_xlfn.XLOOKUP(Assessment!#REF!,Inherited!A:A,Inherited!G:G)))+(((100-(_xlfn.XLOOKUP(Assessment!#REF!,Inherited!A:A,Inherited!B:B)))/100)*IF(AB104="1. Non Compliant (0%)","0",IF(AB104="2. Somewhat Compliant (25%)","25",IF(AB104="3. Partially Compliant (50%)","50",IF(AB104="4. Mostly Compliant (75%)","75",IF(AB104="5. Fully Compliant (100%)","100"))))))&gt;=90,"100"))))))</f>
        <v>#N/A</v>
      </c>
      <c r="V104" s="55" t="s">
        <v>85</v>
      </c>
      <c r="W104" s="55"/>
      <c r="X104" s="55"/>
      <c r="Y104" s="55"/>
      <c r="Z104" s="55" t="s">
        <v>86</v>
      </c>
      <c r="AA104" s="55"/>
      <c r="AB104" s="55"/>
      <c r="AK104" s="1" t="s">
        <v>10891</v>
      </c>
      <c r="AM104" s="1" t="s">
        <v>10944</v>
      </c>
      <c r="AX104" s="3" t="str">
        <f>_xlfn.CONCAT("A-LIGN finished its review of this control on ",AR104, " during the scheduled fieldwork window (",Intro!$B$4,")."&amp; CHAR(10)&amp; CHAR(10))</f>
        <v xml:space="preserve">A-LIGN finished its review of this control on  during the scheduled fieldwork window (Fieldwork: xx/xx/xxxx - xx/xx/xxxx).
</v>
      </c>
      <c r="AY104" s="3" t="str">
        <f t="shared" si="200"/>
        <v/>
      </c>
      <c r="AZ104" s="3" t="str">
        <f t="shared" si="201"/>
        <v/>
      </c>
      <c r="BA104" s="3" t="str">
        <f t="shared" si="202"/>
        <v/>
      </c>
      <c r="BB104" s="3" t="str">
        <f t="shared" si="203"/>
        <v xml:space="preserve">Inquired of the following workforce member: 
Matthew Macaluso - Director of System Operations
Roze Nicolas - Director of TechOps
Inquiry lead to the following conclusions: 
</v>
      </c>
      <c r="BC104" s="3" t="str">
        <f t="shared" si="204"/>
        <v xml:space="preserve">Observed the following live during fieldwork: 
Observed the Google SecOps page (Foresight) to review vulnerability findings and determined that scans are regularly completed and reviewed to ensure that any vulnerabilities detected are appropriately reviewed, triaged, and mitigated.
</v>
      </c>
      <c r="BD104" s="3" t="str">
        <f t="shared" si="205"/>
        <v xml:space="preserve">Examined the following evidence during fieldwork:
Reviewed evidence addressed the requirement statement.
</v>
      </c>
      <c r="BE104" s="3" t="str">
        <f t="shared" si="206"/>
        <v/>
      </c>
      <c r="BF104" s="3" t="str">
        <f t="shared" si="207"/>
        <v/>
      </c>
      <c r="BG104" s="3" t="str">
        <f>_xlfn.CONCAT((IF((COUNTIF('Sample Tables'!B:B,"")&gt;0)=TRUE,_xlfn.CONCAT("",""),IF((COUNTIF('Sample Tables'!B:B,"")&gt;0)=FALSE,""))),)</f>
        <v/>
      </c>
      <c r="BH104" s="3" t="str">
        <f t="shared" si="208"/>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Google SecOps page (Foresight) to review vulnerability findings and determined that scans are regularly completed and reviewed to ensure that any vulnerabilities detected are appropriately reviewed, triaged, and mitigated.
Examined the following evidence during fieldwork:
Reviewed evidence addressed the requirement statement.
</v>
      </c>
    </row>
    <row r="105" spans="3:60" ht="282.75" customHeight="1" x14ac:dyDescent="0.35">
      <c r="C105" s="1">
        <f t="shared" ref="C105:C108" si="210">IF(V105="No","Not Applicable",(IF(X105="1. Non Compliant (0%)","0",IF(X105="2. Somewhat Compliant (25%)","25",IF(X105="3. Partially Compliant (50%)","50",IF(X105="4. Mostly Compliant (75%)","75",IF(X105="5. Fully Compliant (100%)","100")))))*0.15)+((IF(Y105="1. Non Compliant (0%)","0",IF(Y105="2. Somewhat Compliant (25%)","25",IF(Y105="3. Partially Compliant (50%)","50",IF(Y105="4. Mostly Compliant (75%)","75",IF(Y105="5. Fully Compliant (100%)","100"))))))*0.2)+(IF(Z105="1. Non Compliant (0%)","0",IF(Z105="2. Somewhat Compliant (25%)","25",IF(Z105="3. Partially Compliant (50%)","50",IF(Z105="4. Mostly Compliant (75%)","75",IF(Z105="5. Fully Compliant (100%)","100")))))*0.4)+(IF(AA105="1. Non Compliant (0%)","0",IF(AA105="2. Somewhat Compliant (25%)","25",IF(AA105="3. Partially Compliant (50%)","50",IF(AA105="4. Mostly Compliant (75%)","75",IF(AA105="5. Fully Compliant (100%)","100")))))*0.1)+(IF(AB105="1. Non Compliant (0%)","0",IF(AB105="2. Somewhat Compliant (25%)","25",IF(AB105="3. Partially Compliant (50%)","50",IF(AB105="4. Mostly Compliant (75%)","75",IF(AB105="5. Fully Compliant (100%)","100")))))*0.15))</f>
        <v>0</v>
      </c>
      <c r="D105" s="5" t="str">
        <f>IF(AND((_xlfn.XLOOKUP(J105,'Fields &amp; Revisions'!$H:$H,'Fields &amp; Revisions'!$I:$I))&lt;70.99,(OR(Z105="4. Mostly Compliant (75%)",Z105="3. Partially Compliant (50%)",Z105="2. Somewhat Compliant (25%)",Z105="1. Non Compliant (0%)"))),"Yes","No")</f>
        <v>Yes</v>
      </c>
      <c r="E105" s="5" t="str">
        <f>IF(ISERROR(VLOOKUP(H105,Scope!A:A,1,FALSE)),"No","Yes")</f>
        <v>Yes</v>
      </c>
      <c r="F105" s="1" t="s">
        <v>3189</v>
      </c>
      <c r="G105" s="53" t="s">
        <v>3249</v>
      </c>
      <c r="H105" s="53" t="s">
        <v>3250</v>
      </c>
      <c r="I105" s="5" t="s">
        <v>93</v>
      </c>
      <c r="J105" s="1" t="s">
        <v>984</v>
      </c>
      <c r="K105" s="54" t="s">
        <v>3251</v>
      </c>
      <c r="L105" s="1" t="s">
        <v>3252</v>
      </c>
      <c r="M105" s="1" t="s">
        <v>3253</v>
      </c>
      <c r="N105" s="5" t="s">
        <v>98</v>
      </c>
      <c r="O105" s="1" t="str">
        <f>_xlfn.XLOOKUP(G105,SRMs!$A:$A,SRMs!$D:$D)</f>
        <v>NO INHERITANCE</v>
      </c>
      <c r="P105" s="1" t="str">
        <f>IFERROR(VLOOKUP(H105,Inherited!A:B,2,FALSE),"")</f>
        <v/>
      </c>
      <c r="Q105" s="1" t="e">
        <f>IF(MATCH(H105,Inherited!A:A),IF((((_xlfn.XLOOKUP(Assessment!H106,Inherited!A:A,Inherited!B:B))/100)*(_xlfn.XLOOKUP(Assessment!H106,Inherited!A:A,Inherited!C:C)))+(((100-(_xlfn.XLOOKUP(Assessment!H106,Inherited!A:A,Inherited!B:B)))/100)*IF(X105="1.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(100%)","100"))))))&lt;=10,"0", IF(AND((((_xlfn.XLOOKUP(Assessment!H106,Inherited!A:A,Inherited!B:B))/100)*(_xlfn.XLOOKUP(Assessment!H106,Inherited!A:A,Inherited!C:C)))+(((100-(_xlfn.XLOOKUP(Assessment!H106,Inherited!A:A,Inherited!B:B)))/100)*IF(X105="1.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(100%)","100"))))))&gt;=11,(((_xlfn.XLOOKUP(Assessment!H106,Inherited!A:A,Inherited!B:B))/100)*(_xlfn.XLOOKUP(Assessment!H106,Inherited!A:A,Inherited!C:C)))+(((100-(_xlfn.XLOOKUP(Assessment!H106,Inherited!A:A,Inherited!B:B)))/100)*IF(X105="1.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(100%)","100"))))))&lt;=32),"25",IF(AND((((_xlfn.XLOOKUP(Assessment!H106,Inherited!A:A,Inherited!B:B))/100)*(_xlfn.XLOOKUP(Assessment!H106,Inherited!A:A,Inherited!C:C)))+(((100-(_xlfn.XLOOKUP(Assessment!H106,Inherited!A:A,Inherited!B:B)))/100)*IF(X105="1.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(100%)","100"))))))&gt;=33,(((_xlfn.XLOOKUP(Assessment!H106,Inherited!A:A,Inherited!B:B))/100)*(_xlfn.XLOOKUP(Assessment!H106,Inherited!A:A,Inherited!C:C)))+(((100-(_xlfn.XLOOKUP(Assessment!H106,Inherited!A:A,Inherited!B:B)))/100)*IF(X105="1.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(100%)","100"))))))&lt;=65),"50",IF(AND((((_xlfn.XLOOKUP(Assessment!H106,Inherited!A:A,Inherited!B:B))/100)*(_xlfn.XLOOKUP(Assessment!H106,Inherited!A:A,Inherited!C:C)))+(((100-(_xlfn.XLOOKUP(Assessment!H106,Inherited!A:A,Inherited!B:B)))/100)*IF(X105="1.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(100%)","100"))))))&gt;=66,(((_xlfn.XLOOKUP(Assessment!H106,Inherited!A:A,Inherited!B:B))/100)*(_xlfn.XLOOKUP(Assessment!H106,Inherited!A:A,Inherited!C:C)))+(((100-(_xlfn.XLOOKUP(Assessment!H106,Inherited!A:A,Inherited!B:B)))/100)*IF(X105="1.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(100%)","100"))))))&lt;=89),"75",IF((((_xlfn.XLOOKUP(Assessment!H106,Inherited!A:A,Inherited!B:B))/100)*(_xlfn.XLOOKUP(Assessment!H106,Inherited!A:A,Inherited!C:C)))+(((100-(_xlfn.XLOOKUP(Assessment!H106,Inherited!A:A,Inherited!B:B)))/100)*IF(X105="1. Non Compliant (0%)","0",IF(X105="2. Somewhat Compliant (25%)","25",IF(X105="3. Partially Compliant (50%)","50",IF(X105="4. Mostly Compliant (75%)","75",IF(X105="5. Fully Compliant (100%)","100"))))))&gt;=90,"100"))))))</f>
        <v>#N/A</v>
      </c>
      <c r="R105" s="1" t="e">
        <f>IF(MATCH(H105,Inherited!A:A),IF((((_xlfn.XLOOKUP(Assessment!H106,Inherited!A:A,Inherited!B:B))/100)*(_xlfn.XLOOKUP(Assessment!H106,Inherited!A:A,Inherited!D:D)))+(((100-(_xlfn.XLOOKUP(Assessment!H106,Inherited!A:A,Inherited!B:B)))/100)*IF(Y105="1.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(100%)","100"))))))&lt;=10,"0", IF(AND((((_xlfn.XLOOKUP(Assessment!H106,Inherited!A:A,Inherited!B:B))/100)*(_xlfn.XLOOKUP(Assessment!H106,Inherited!A:A,Inherited!D:D)))+(((100-(_xlfn.XLOOKUP(Assessment!H106,Inherited!A:A,Inherited!B:B)))/100)*IF(Y105="1.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(100%)","100"))))))&gt;=11,(((_xlfn.XLOOKUP(Assessment!H106,Inherited!A:A,Inherited!B:B))/100)*(_xlfn.XLOOKUP(Assessment!H106,Inherited!A:A,Inherited!D:D)))+(((100-(_xlfn.XLOOKUP(Assessment!H106,Inherited!A:A,Inherited!B:B)))/100)*IF(Y105="1.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(100%)","100"))))))&lt;=32),"25",IF(AND((((_xlfn.XLOOKUP(Assessment!H106,Inherited!A:A,Inherited!B:B))/100)*(_xlfn.XLOOKUP(Assessment!H106,Inherited!A:A,Inherited!D:D)))+(((100-(_xlfn.XLOOKUP(Assessment!H106,Inherited!A:A,Inherited!B:B)))/100)*IF(Y105="1.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(100%)","100"))))))&gt;=33,(((_xlfn.XLOOKUP(Assessment!H106,Inherited!A:A,Inherited!B:B))/100)*(_xlfn.XLOOKUP(Assessment!H106,Inherited!A:A,Inherited!D:D)))+(((100-(_xlfn.XLOOKUP(Assessment!H106,Inherited!A:A,Inherited!B:B)))/100)*IF(Y105="1.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(100%)","100"))))))&lt;=65),"50",IF(AND((((_xlfn.XLOOKUP(Assessment!H106,Inherited!A:A,Inherited!B:B))/100)*(_xlfn.XLOOKUP(Assessment!H106,Inherited!A:A,Inherited!D:D)))+(((100-(_xlfn.XLOOKUP(Assessment!H106,Inherited!A:A,Inherited!B:B)))/100)*IF(Y105="1.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(100%)","100"))))))&gt;=66,(((_xlfn.XLOOKUP(Assessment!H106,Inherited!A:A,Inherited!B:B))/100)*(_xlfn.XLOOKUP(Assessment!H106,Inherited!A:A,Inherited!D:D)))+(((100-(_xlfn.XLOOKUP(Assessment!H106,Inherited!A:A,Inherited!B:B)))/100)*IF(Y105="1.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(100%)","100"))))))&lt;=89),"75",IF((((_xlfn.XLOOKUP(Assessment!H106,Inherited!A:A,Inherited!B:B))/100)*(_xlfn.XLOOKUP(Assessment!H106,Inherited!A:A,Inherited!D:D)))+(((100-(_xlfn.XLOOKUP(Assessment!H106,Inherited!A:A,Inherited!B:B)))/100)*IF(Y105="1. Non Compliant (0%)","0",IF(Y105="2. Somewhat Compliant (25%)","25",IF(Y105="3. Partially Compliant (50%)","50",IF(Y105="4. Mostly Compliant (75%)","75",IF(Y105="5. Fully Compliant (100%)","100"))))))&gt;=90,"100"))))))</f>
        <v>#N/A</v>
      </c>
      <c r="S105" s="1" t="e">
        <f>IF(MATCH(H105,Inherited!A:A),IF((((_xlfn.XLOOKUP(Assessment!H106,Inherited!A:A,Inherited!B:B))/100)*(_xlfn.XLOOKUP(Assessment!H106,Inherited!A:A,Inherited!E:E)))+(((100-(_xlfn.XLOOKUP(Assessment!H106,Inherited!A:A,Inherited!B:B)))/100)*IF(Z105="1.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(100%)","100"))))))&lt;=10,"0", IF(AND((((_xlfn.XLOOKUP(Assessment!H106,Inherited!A:A,Inherited!B:B))/100)*(_xlfn.XLOOKUP(Assessment!H106,Inherited!A:A,Inherited!E:E)))+(((100-(_xlfn.XLOOKUP(Assessment!H106,Inherited!A:A,Inherited!B:B)))/100)*IF(Z105="1.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(100%)","100"))))))&gt;=11,(((_xlfn.XLOOKUP(Assessment!H106,Inherited!A:A,Inherited!B:B))/100)*(_xlfn.XLOOKUP(Assessment!H106,Inherited!A:A,Inherited!E:E)))+(((100-(_xlfn.XLOOKUP(Assessment!H106,Inherited!A:A,Inherited!B:B)))/100)*IF(Z105="1.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(100%)","100"))))))&lt;=32),"25",IF(AND((((_xlfn.XLOOKUP(Assessment!H106,Inherited!A:A,Inherited!B:B))/100)*(_xlfn.XLOOKUP(Assessment!H106,Inherited!A:A,Inherited!E:E)))+(((100-(_xlfn.XLOOKUP(Assessment!H106,Inherited!A:A,Inherited!B:B)))/100)*IF(Z105="1.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(100%)","100"))))))&gt;=33,(((_xlfn.XLOOKUP(Assessment!H106,Inherited!A:A,Inherited!B:B))/100)*(_xlfn.XLOOKUP(Assessment!H106,Inherited!A:A,Inherited!E:E)))+(((100-(_xlfn.XLOOKUP(Assessment!H106,Inherited!A:A,Inherited!B:B)))/100)*IF(Z105="1.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(100%)","100"))))))&lt;=65),"50",IF(AND((((_xlfn.XLOOKUP(Assessment!H106,Inherited!A:A,Inherited!B:B))/100)*(_xlfn.XLOOKUP(Assessment!H106,Inherited!A:A,Inherited!E:E)))+(((100-(_xlfn.XLOOKUP(Assessment!H106,Inherited!A:A,Inherited!B:B)))/100)*IF(Z105="1.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(100%)","100"))))))&gt;=66,(((_xlfn.XLOOKUP(Assessment!H106,Inherited!A:A,Inherited!B:B))/100)*(_xlfn.XLOOKUP(Assessment!H106,Inherited!A:A,Inherited!E:E)))+(((100-(_xlfn.XLOOKUP(Assessment!H106,Inherited!A:A,Inherited!B:B)))/100)*IF(Z105="1.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(100%)","100"))))))&lt;=89),"75",IF((((_xlfn.XLOOKUP(Assessment!H106,Inherited!A:A,Inherited!B:B))/100)*(_xlfn.XLOOKUP(Assessment!H106,Inherited!A:A,Inherited!E:E)))+(((100-(_xlfn.XLOOKUP(Assessment!H106,Inherited!A:A,Inherited!B:B)))/100)*IF(Z105="1. Non Compliant (0%)","0",IF(Z105="2. Somewhat Compliant (25%)","25",IF(Z105="3. Partially Compliant (50%)","50",IF(Z105="4. Mostly Compliant (75%)","75",IF(Z105="5. Fully Compliant (100%)","100"))))))&gt;=90,"100"))))))</f>
        <v>#N/A</v>
      </c>
      <c r="T105" s="1" t="e">
        <f>IF(MATCH(H105,Inherited!A:A),IF((((_xlfn.XLOOKUP(Assessment!H106,Inherited!A:A,Inherited!B:B))/100)*(_xlfn.XLOOKUP(Assessment!H106,Inherited!A:A,Inherited!F:F)))+(((100-(_xlfn.XLOOKUP(Assessment!H106,Inherited!A:A,Inherited!B:B)))/100)*IF(AA105="1.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(100%)","100"))))))&lt;=10,"0", IF(AND((((_xlfn.XLOOKUP(Assessment!H106,Inherited!A:A,Inherited!B:B))/100)*(_xlfn.XLOOKUP(Assessment!H106,Inherited!A:A,Inherited!F:F)))+(((100-(_xlfn.XLOOKUP(Assessment!H106,Inherited!A:A,Inherited!B:B)))/100)*IF(AA105="1.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(100%)","100"))))))&gt;=11,(((_xlfn.XLOOKUP(Assessment!H106,Inherited!A:A,Inherited!B:B))/100)*(_xlfn.XLOOKUP(Assessment!H106,Inherited!A:A,Inherited!F:F)))+(((100-(_xlfn.XLOOKUP(Assessment!H106,Inherited!A:A,Inherited!B:B)))/100)*IF(AA105="1.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(100%)","100"))))))&lt;=32),"25",IF(AND((((_xlfn.XLOOKUP(Assessment!H106,Inherited!A:A,Inherited!B:B))/100)*(_xlfn.XLOOKUP(Assessment!H106,Inherited!A:A,Inherited!F:F)))+(((100-(_xlfn.XLOOKUP(Assessment!H106,Inherited!A:A,Inherited!B:B)))/100)*IF(AA105="1.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(100%)","100"))))))&gt;=33,(((_xlfn.XLOOKUP(Assessment!H106,Inherited!A:A,Inherited!B:B))/100)*(_xlfn.XLOOKUP(Assessment!H106,Inherited!A:A,Inherited!F:F)))+(((100-(_xlfn.XLOOKUP(Assessment!H106,Inherited!A:A,Inherited!B:B)))/100)*IF(AA105="1.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(100%)","100"))))))&lt;=65),"50",IF(AND((((_xlfn.XLOOKUP(Assessment!H106,Inherited!A:A,Inherited!B:B))/100)*(_xlfn.XLOOKUP(Assessment!H106,Inherited!A:A,Inherited!F:F)))+(((100-(_xlfn.XLOOKUP(Assessment!H106,Inherited!A:A,Inherited!B:B)))/100)*IF(AA105="1.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(100%)","100"))))))&gt;=66,(((_xlfn.XLOOKUP(Assessment!H106,Inherited!A:A,Inherited!B:B))/100)*(_xlfn.XLOOKUP(Assessment!H106,Inherited!A:A,Inherited!F:F)))+(((100-(_xlfn.XLOOKUP(Assessment!H106,Inherited!A:A,Inherited!B:B)))/100)*IF(AA105="1.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(100%)","100"))))))&lt;=89),"75",IF((((_xlfn.XLOOKUP(Assessment!H106,Inherited!A:A,Inherited!B:B))/100)*(_xlfn.XLOOKUP(Assessment!H106,Inherited!A:A,Inherited!F:F)))+(((100-(_xlfn.XLOOKUP(Assessment!H106,Inherited!A:A,Inherited!B:B)))/100)*IF(AA105="1. Non Compliant (0%)","0",IF(AA105="2. Somewhat Compliant (25%)","25",IF(AA105="3. Partially Compliant (50%)","50",IF(AA105="4. Mostly Compliant (75%)","75",IF(AA105="5. Fully Compliant (100%)","100"))))))&gt;=90,"100"))))))</f>
        <v>#N/A</v>
      </c>
      <c r="U105" s="1" t="e">
        <f>IF(MATCH(H105,Inherited!A:A),IF((((_xlfn.XLOOKUP(Assessment!H106,Inherited!A:A,Inherited!B:B))/100)*(_xlfn.XLOOKUP(Assessment!H106,Inherited!A:A,Inherited!G:G)))+(((100-(_xlfn.XLOOKUP(Assessment!H106,Inherited!A:A,Inherited!B:B)))/100)*IF(AB105="1.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(100%)","100"))))))&lt;=10,"0", IF(AND((((_xlfn.XLOOKUP(Assessment!H106,Inherited!A:A,Inherited!B:B))/100)*(_xlfn.XLOOKUP(Assessment!H106,Inherited!A:A,Inherited!G:G)))+(((100-(_xlfn.XLOOKUP(Assessment!H106,Inherited!A:A,Inherited!B:B)))/100)*IF(AB105="1.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(100%)","100"))))))&gt;=11,(((_xlfn.XLOOKUP(Assessment!H106,Inherited!A:A,Inherited!B:B))/100)*(_xlfn.XLOOKUP(Assessment!H106,Inherited!A:A,Inherited!G:G)))+(((100-(_xlfn.XLOOKUP(Assessment!H106,Inherited!A:A,Inherited!B:B)))/100)*IF(AB105="1.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(100%)","100"))))))&lt;=32),"25",IF(AND((((_xlfn.XLOOKUP(Assessment!H106,Inherited!A:A,Inherited!B:B))/100)*(_xlfn.XLOOKUP(Assessment!H106,Inherited!A:A,Inherited!G:G)))+(((100-(_xlfn.XLOOKUP(Assessment!H106,Inherited!A:A,Inherited!B:B)))/100)*IF(AB105="1.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(100%)","100"))))))&gt;=33,(((_xlfn.XLOOKUP(Assessment!H106,Inherited!A:A,Inherited!B:B))/100)*(_xlfn.XLOOKUP(Assessment!H106,Inherited!A:A,Inherited!G:G)))+(((100-(_xlfn.XLOOKUP(Assessment!H106,Inherited!A:A,Inherited!B:B)))/100)*IF(AB105="1.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(100%)","100"))))))&lt;=65),"50",IF(AND((((_xlfn.XLOOKUP(Assessment!H106,Inherited!A:A,Inherited!B:B))/100)*(_xlfn.XLOOKUP(Assessment!H106,Inherited!A:A,Inherited!G:G)))+(((100-(_xlfn.XLOOKUP(Assessment!H106,Inherited!A:A,Inherited!B:B)))/100)*IF(AB105="1.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(100%)","100"))))))&gt;=66,(((_xlfn.XLOOKUP(Assessment!H106,Inherited!A:A,Inherited!B:B))/100)*(_xlfn.XLOOKUP(Assessment!H106,Inherited!A:A,Inherited!G:G)))+(((100-(_xlfn.XLOOKUP(Assessment!H106,Inherited!A:A,Inherited!B:B)))/100)*IF(AB105="1.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(100%)","100"))))))&lt;=89),"75",IF((((_xlfn.XLOOKUP(Assessment!H106,Inherited!A:A,Inherited!B:B))/100)*(_xlfn.XLOOKUP(Assessment!H106,Inherited!A:A,Inherited!G:G)))+(((100-(_xlfn.XLOOKUP(Assessment!H106,Inherited!A:A,Inherited!B:B)))/100)*IF(AB105="1. Non Compliant (0%)","0",IF(AB105="2. Somewhat Compliant (25%)","25",IF(AB105="3. Partially Compliant (50%)","50",IF(AB105="4. Mostly Compliant (75%)","75",IF(AB105="5. Fully Compliant (100%)","100"))))))&gt;=90,"100"))))))</f>
        <v>#N/A</v>
      </c>
      <c r="V105" s="55" t="s">
        <v>85</v>
      </c>
      <c r="W105" s="55"/>
      <c r="X105" s="55"/>
      <c r="Y105" s="55"/>
      <c r="Z105" s="55" t="s">
        <v>10873</v>
      </c>
      <c r="AA105" s="55"/>
      <c r="AB105" s="55"/>
      <c r="AK105" s="1" t="s">
        <v>10978</v>
      </c>
      <c r="AL105" s="1" t="s">
        <v>10993</v>
      </c>
      <c r="AP105" s="1" t="s">
        <v>11084</v>
      </c>
      <c r="AX105" s="3" t="str">
        <f>_xlfn.CONCAT("A-LIGN finished its review of this control on ",AR105, " during the scheduled fieldwork window (",Intro!$B$4,")."&amp; CHAR(10)&amp; CHAR(10))</f>
        <v xml:space="preserve">A-LIGN finished its review of this control on  during the scheduled fieldwork window (Fieldwork: xx/xx/xxxx - xx/xx/xxxx).
</v>
      </c>
      <c r="AY105" s="3" t="str">
        <f t="shared" ref="AY105:AY108" si="211">IF(AQ105&lt;&gt;"",(_xlfn.CONCAT("Inheritance note: "&amp; CHAR(10),AQ105&amp; CHAR(10)&amp; CHAR(10))),"")</f>
        <v/>
      </c>
      <c r="AZ105" s="3" t="str">
        <f t="shared" ref="AZ105:AZ108" si="212">IFERROR(IF(AD105&lt;&gt;"",_xlfn.CONCAT("Examined the following policy during fieldwork:"&amp; CHAR(10),AD105&amp; CHAR(10)&amp; CHAR(10),IF(AND(X105&lt;&gt;"5. Fully Compliant (100%)",AE105&lt;&gt;""),"Reviewed policy exception note:"&amp; CHAR(10) &amp; AE105 &amp; CHAR(10) &amp; CHAR(10),"")),""),"")</f>
        <v/>
      </c>
      <c r="BA105" s="3" t="str">
        <f t="shared" ref="BA105:BA108" si="213">IFERROR(IF(AH105&lt;&gt;"",_xlfn.CONCAT("Examined the following process during fieldwork:"&amp; CHAR(10),AH105&amp; CHAR(10)&amp; CHAR(10),IF(AND(Y105&lt;&gt;"5. Fully Compliant (100%)",AI105&lt;&gt;""),"Reviewed process exception note:"&amp; CHAR(10) &amp; AI105 &amp; CHAR(10) &amp; CHAR(10),"")),""),"")</f>
        <v/>
      </c>
      <c r="BB105" s="3" t="str">
        <f t="shared" ref="BB105:BB108" si="214">IF(AK105&lt;&gt;"",(_xlfn.CONCAT("Inquired of the following workforce member: "&amp; CHAR(10),AK105&amp; CHAR(10)&amp; CHAR(10),"Inquiry lead to the following conclusions: "&amp; CHAR(10),AL105&amp; CHAR(10) &amp; CHAR(10))),"")</f>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v>
      </c>
      <c r="BC105" s="3" t="str">
        <f t="shared" ref="BC105:BC108" si="215">IF(AM105&lt;&gt;"",(_xlfn.CONCAT("Observed the following live during fieldwork: "&amp; CHAR(10),AM105&amp; CHAR(10) &amp; CHAR(10))),"")</f>
        <v/>
      </c>
      <c r="BD105" s="3" t="str">
        <f t="shared" ref="BD105:BD108" si="216">_xlfn.CONCAT("Examined the following evidence during fieldwork:"&amp; CHAR(10),AN105&amp; CHAR(10)&amp; CHAR(10),IF(AO105&lt;&gt;"","Reviewed evidence note:"&amp; CHAR(10)&amp;AO105&amp; CHAR(10) &amp; CHAR(10),"Reviewed evidence addressed the requirement statement."&amp; CHAR(10) &amp; CHAR(10)),IF(AND(AP105&lt;&gt;"5. Fully Compliant (100%)",AP105&lt;&gt;""),"Reviewed evidence exception note: "&amp; CHAR(10) &amp; AP105 &amp; CHAR(10) &amp; CHAR(10),""))</f>
        <v xml:space="preserve">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configured to allow human operators to ability to: evaluate outputs before relying on them
- configured to allow human operators to ability to: intervene in model-initiated actions
</v>
      </c>
      <c r="BE105" s="3" t="str">
        <f t="shared" ref="BE105:BE108" si="217">IF(AT105&lt;&gt;"",(_xlfn.CONCAT("Examined the following measure/metric during fieldwork:"&amp; CHAR(10),AT105&amp; CHAR(10)&amp; CHAR(10),"Reviewed measure/metric note:"&amp; CHAR(10),AU105 &amp; CHAR(10) &amp; CHAR(10))),"")</f>
        <v/>
      </c>
      <c r="BF105" s="3" t="str">
        <f t="shared" ref="BF105:BF108" si="218">IF(AV105&lt;&gt;"",(_xlfn.CONCAT("Examined the following measure/metric management during fieldwork:"&amp; CHAR(10),AV105&amp; CHAR(10)&amp; CHAR(10),"Reviewed measure/metric management note:"&amp; CHAR(10),AW105 &amp; CHAR(10) &amp; CHAR(10))),"")</f>
        <v/>
      </c>
      <c r="BG105" s="3" t="str">
        <f>_xlfn.CONCAT((IF((COUNTIF('Sample Tables'!B:B,"")&gt;0)=TRUE,_xlfn.CONCAT("",""),IF((COUNTIF('Sample Tables'!B:B,"")&gt;0)=FALSE,""))),)</f>
        <v/>
      </c>
      <c r="BH105" s="3" t="str">
        <f t="shared" ref="BH105:BH108" si="219">IF(V105="No","Not Applicable: "&amp;W105,(_xlfn.CONCAT(AX105,AY105,AZ105,BA105,BB105,BC105,BD105,BE105,BF105,BG105)))</f>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Examined the following evidence during fieldwork:
Reviewed evidence addressed the requirement statement.
Reviewed evidence exception note: 
Gap: 
Do not have assurance that AI systems being used are configured as the requirement statement has outlined. 
Recommendation:
Management should ensure that AI systems being used (Vertex and Gemini) are evaluated against:
- configured to allow human operators to ability to: evaluate outputs before relying on them
- configured to allow human operators to ability to: intervene in model-initiated actions
</v>
      </c>
    </row>
    <row r="106" spans="3:60" ht="309" customHeight="1" x14ac:dyDescent="0.35">
      <c r="C106" s="1">
        <f t="shared" si="210"/>
        <v>0</v>
      </c>
      <c r="D106" s="5" t="str">
        <f>IF(AND((_xlfn.XLOOKUP(J106,'Fields &amp; Revisions'!$H:$H,'Fields &amp; Revisions'!$I:$I))&lt;70.99,(OR(Z106="4. Mostly Compliant (75%)",Z106="3. Partially Compliant (50%)",Z106="2. Somewhat Compliant (25%)",Z106="1. Non Compliant (0%)"))),"Yes","No")</f>
        <v>Yes</v>
      </c>
      <c r="E106" s="5" t="str">
        <f>IF(ISERROR(VLOOKUP(H106,Scope!A:A,1,FALSE)),"No","Yes")</f>
        <v>Yes</v>
      </c>
      <c r="F106" s="1" t="s">
        <v>3189</v>
      </c>
      <c r="G106" s="53" t="s">
        <v>3254</v>
      </c>
      <c r="H106" s="53" t="s">
        <v>3255</v>
      </c>
      <c r="I106" s="5" t="s">
        <v>93</v>
      </c>
      <c r="J106" s="1" t="s">
        <v>984</v>
      </c>
      <c r="K106" s="54" t="s">
        <v>3256</v>
      </c>
      <c r="L106" s="1" t="s">
        <v>3257</v>
      </c>
      <c r="M106" s="1" t="s">
        <v>3258</v>
      </c>
      <c r="N106" s="5" t="s">
        <v>98</v>
      </c>
      <c r="O106" s="1" t="str">
        <f>_xlfn.XLOOKUP(G106,SRMs!$A:$A,SRMs!$D:$D)</f>
        <v>NO INHERITANCE</v>
      </c>
      <c r="P106" s="1" t="str">
        <f>IFERROR(VLOOKUP(H106,Inherited!A:B,2,FALSE),"")</f>
        <v/>
      </c>
      <c r="Q106" s="1" t="e">
        <f>IF(MATCH(H106,Inherited!A:A),IF((((_xlfn.XLOOKUP(Assessment!H107,Inherited!A:A,Inherited!B:B))/100)*(_xlfn.XLOOKUP(Assessment!H107,Inherited!A:A,Inherited!C:C)))+(((100-(_xlfn.XLOOKUP(Assessment!H107,Inherited!A:A,Inherited!B:B)))/100)*IF(X106="1.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(100%)","100"))))))&lt;=10,"0", IF(AND((((_xlfn.XLOOKUP(Assessment!H107,Inherited!A:A,Inherited!B:B))/100)*(_xlfn.XLOOKUP(Assessment!H107,Inherited!A:A,Inherited!C:C)))+(((100-(_xlfn.XLOOKUP(Assessment!H107,Inherited!A:A,Inherited!B:B)))/100)*IF(X106="1.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(100%)","100"))))))&gt;=11,(((_xlfn.XLOOKUP(Assessment!H107,Inherited!A:A,Inherited!B:B))/100)*(_xlfn.XLOOKUP(Assessment!H107,Inherited!A:A,Inherited!C:C)))+(((100-(_xlfn.XLOOKUP(Assessment!H107,Inherited!A:A,Inherited!B:B)))/100)*IF(X106="1.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(100%)","100"))))))&lt;=32),"25",IF(AND((((_xlfn.XLOOKUP(Assessment!H107,Inherited!A:A,Inherited!B:B))/100)*(_xlfn.XLOOKUP(Assessment!H107,Inherited!A:A,Inherited!C:C)))+(((100-(_xlfn.XLOOKUP(Assessment!H107,Inherited!A:A,Inherited!B:B)))/100)*IF(X106="1.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(100%)","100"))))))&gt;=33,(((_xlfn.XLOOKUP(Assessment!H107,Inherited!A:A,Inherited!B:B))/100)*(_xlfn.XLOOKUP(Assessment!H107,Inherited!A:A,Inherited!C:C)))+(((100-(_xlfn.XLOOKUP(Assessment!H107,Inherited!A:A,Inherited!B:B)))/100)*IF(X106="1.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(100%)","100"))))))&lt;=65),"50",IF(AND((((_xlfn.XLOOKUP(Assessment!H107,Inherited!A:A,Inherited!B:B))/100)*(_xlfn.XLOOKUP(Assessment!H107,Inherited!A:A,Inherited!C:C)))+(((100-(_xlfn.XLOOKUP(Assessment!H107,Inherited!A:A,Inherited!B:B)))/100)*IF(X106="1.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(100%)","100"))))))&gt;=66,(((_xlfn.XLOOKUP(Assessment!H107,Inherited!A:A,Inherited!B:B))/100)*(_xlfn.XLOOKUP(Assessment!H107,Inherited!A:A,Inherited!C:C)))+(((100-(_xlfn.XLOOKUP(Assessment!H107,Inherited!A:A,Inherited!B:B)))/100)*IF(X106="1.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(100%)","100"))))))&lt;=89),"75",IF((((_xlfn.XLOOKUP(Assessment!H107,Inherited!A:A,Inherited!B:B))/100)*(_xlfn.XLOOKUP(Assessment!H107,Inherited!A:A,Inherited!C:C)))+(((100-(_xlfn.XLOOKUP(Assessment!H107,Inherited!A:A,Inherited!B:B)))/100)*IF(X106="1. Non Compliant (0%)","0",IF(X106="2. Somewhat Compliant (25%)","25",IF(X106="3. Partially Compliant (50%)","50",IF(X106="4. Mostly Compliant (75%)","75",IF(X106="5. Fully Compliant (100%)","100"))))))&gt;=90,"100"))))))</f>
        <v>#N/A</v>
      </c>
      <c r="R106" s="1" t="e">
        <f>IF(MATCH(H106,Inherited!A:A),IF((((_xlfn.XLOOKUP(Assessment!H107,Inherited!A:A,Inherited!B:B))/100)*(_xlfn.XLOOKUP(Assessment!H107,Inherited!A:A,Inherited!D:D)))+(((100-(_xlfn.XLOOKUP(Assessment!H107,Inherited!A:A,Inherited!B:B)))/100)*IF(Y106="1.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(100%)","100"))))))&lt;=10,"0", IF(AND((((_xlfn.XLOOKUP(Assessment!H107,Inherited!A:A,Inherited!B:B))/100)*(_xlfn.XLOOKUP(Assessment!H107,Inherited!A:A,Inherited!D:D)))+(((100-(_xlfn.XLOOKUP(Assessment!H107,Inherited!A:A,Inherited!B:B)))/100)*IF(Y106="1.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(100%)","100"))))))&gt;=11,(((_xlfn.XLOOKUP(Assessment!H107,Inherited!A:A,Inherited!B:B))/100)*(_xlfn.XLOOKUP(Assessment!H107,Inherited!A:A,Inherited!D:D)))+(((100-(_xlfn.XLOOKUP(Assessment!H107,Inherited!A:A,Inherited!B:B)))/100)*IF(Y106="1.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(100%)","100"))))))&lt;=32),"25",IF(AND((((_xlfn.XLOOKUP(Assessment!H107,Inherited!A:A,Inherited!B:B))/100)*(_xlfn.XLOOKUP(Assessment!H107,Inherited!A:A,Inherited!D:D)))+(((100-(_xlfn.XLOOKUP(Assessment!H107,Inherited!A:A,Inherited!B:B)))/100)*IF(Y106="1.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(100%)","100"))))))&gt;=33,(((_xlfn.XLOOKUP(Assessment!H107,Inherited!A:A,Inherited!B:B))/100)*(_xlfn.XLOOKUP(Assessment!H107,Inherited!A:A,Inherited!D:D)))+(((100-(_xlfn.XLOOKUP(Assessment!H107,Inherited!A:A,Inherited!B:B)))/100)*IF(Y106="1.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(100%)","100"))))))&lt;=65),"50",IF(AND((((_xlfn.XLOOKUP(Assessment!H107,Inherited!A:A,Inherited!B:B))/100)*(_xlfn.XLOOKUP(Assessment!H107,Inherited!A:A,Inherited!D:D)))+(((100-(_xlfn.XLOOKUP(Assessment!H107,Inherited!A:A,Inherited!B:B)))/100)*IF(Y106="1.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(100%)","100"))))))&gt;=66,(((_xlfn.XLOOKUP(Assessment!H107,Inherited!A:A,Inherited!B:B))/100)*(_xlfn.XLOOKUP(Assessment!H107,Inherited!A:A,Inherited!D:D)))+(((100-(_xlfn.XLOOKUP(Assessment!H107,Inherited!A:A,Inherited!B:B)))/100)*IF(Y106="1.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(100%)","100"))))))&lt;=89),"75",IF((((_xlfn.XLOOKUP(Assessment!H107,Inherited!A:A,Inherited!B:B))/100)*(_xlfn.XLOOKUP(Assessment!H107,Inherited!A:A,Inherited!D:D)))+(((100-(_xlfn.XLOOKUP(Assessment!H107,Inherited!A:A,Inherited!B:B)))/100)*IF(Y106="1. Non Compliant (0%)","0",IF(Y106="2. Somewhat Compliant (25%)","25",IF(Y106="3. Partially Compliant (50%)","50",IF(Y106="4. Mostly Compliant (75%)","75",IF(Y106="5. Fully Compliant (100%)","100"))))))&gt;=90,"100"))))))</f>
        <v>#N/A</v>
      </c>
      <c r="S106" s="1" t="e">
        <f>IF(MATCH(H106,Inherited!A:A),IF((((_xlfn.XLOOKUP(Assessment!H107,Inherited!A:A,Inherited!B:B))/100)*(_xlfn.XLOOKUP(Assessment!H107,Inherited!A:A,Inherited!E:E)))+(((100-(_xlfn.XLOOKUP(Assessment!H107,Inherited!A:A,Inherited!B:B)))/100)*IF(Z106="1.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(100%)","100"))))))&lt;=10,"0", IF(AND((((_xlfn.XLOOKUP(Assessment!H107,Inherited!A:A,Inherited!B:B))/100)*(_xlfn.XLOOKUP(Assessment!H107,Inherited!A:A,Inherited!E:E)))+(((100-(_xlfn.XLOOKUP(Assessment!H107,Inherited!A:A,Inherited!B:B)))/100)*IF(Z106="1.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(100%)","100"))))))&gt;=11,(((_xlfn.XLOOKUP(Assessment!H107,Inherited!A:A,Inherited!B:B))/100)*(_xlfn.XLOOKUP(Assessment!H107,Inherited!A:A,Inherited!E:E)))+(((100-(_xlfn.XLOOKUP(Assessment!H107,Inherited!A:A,Inherited!B:B)))/100)*IF(Z106="1.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(100%)","100"))))))&lt;=32),"25",IF(AND((((_xlfn.XLOOKUP(Assessment!H107,Inherited!A:A,Inherited!B:B))/100)*(_xlfn.XLOOKUP(Assessment!H107,Inherited!A:A,Inherited!E:E)))+(((100-(_xlfn.XLOOKUP(Assessment!H107,Inherited!A:A,Inherited!B:B)))/100)*IF(Z106="1.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(100%)","100"))))))&gt;=33,(((_xlfn.XLOOKUP(Assessment!H107,Inherited!A:A,Inherited!B:B))/100)*(_xlfn.XLOOKUP(Assessment!H107,Inherited!A:A,Inherited!E:E)))+(((100-(_xlfn.XLOOKUP(Assessment!H107,Inherited!A:A,Inherited!B:B)))/100)*IF(Z106="1.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(100%)","100"))))))&lt;=65),"50",IF(AND((((_xlfn.XLOOKUP(Assessment!H107,Inherited!A:A,Inherited!B:B))/100)*(_xlfn.XLOOKUP(Assessment!H107,Inherited!A:A,Inherited!E:E)))+(((100-(_xlfn.XLOOKUP(Assessment!H107,Inherited!A:A,Inherited!B:B)))/100)*IF(Z106="1.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(100%)","100"))))))&gt;=66,(((_xlfn.XLOOKUP(Assessment!H107,Inherited!A:A,Inherited!B:B))/100)*(_xlfn.XLOOKUP(Assessment!H107,Inherited!A:A,Inherited!E:E)))+(((100-(_xlfn.XLOOKUP(Assessment!H107,Inherited!A:A,Inherited!B:B)))/100)*IF(Z106="1.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(100%)","100"))))))&lt;=89),"75",IF((((_xlfn.XLOOKUP(Assessment!H107,Inherited!A:A,Inherited!B:B))/100)*(_xlfn.XLOOKUP(Assessment!H107,Inherited!A:A,Inherited!E:E)))+(((100-(_xlfn.XLOOKUP(Assessment!H107,Inherited!A:A,Inherited!B:B)))/100)*IF(Z106="1. Non Compliant (0%)","0",IF(Z106="2. Somewhat Compliant (25%)","25",IF(Z106="3. Partially Compliant (50%)","50",IF(Z106="4. Mostly Compliant (75%)","75",IF(Z106="5. Fully Compliant (100%)","100"))))))&gt;=90,"100"))))))</f>
        <v>#N/A</v>
      </c>
      <c r="T106" s="1" t="e">
        <f>IF(MATCH(H106,Inherited!A:A),IF((((_xlfn.XLOOKUP(Assessment!H107,Inherited!A:A,Inherited!B:B))/100)*(_xlfn.XLOOKUP(Assessment!H107,Inherited!A:A,Inherited!F:F)))+(((100-(_xlfn.XLOOKUP(Assessment!H107,Inherited!A:A,Inherited!B:B)))/100)*IF(AA106="1.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(100%)","100"))))))&lt;=10,"0", IF(AND((((_xlfn.XLOOKUP(Assessment!H107,Inherited!A:A,Inherited!B:B))/100)*(_xlfn.XLOOKUP(Assessment!H107,Inherited!A:A,Inherited!F:F)))+(((100-(_xlfn.XLOOKUP(Assessment!H107,Inherited!A:A,Inherited!B:B)))/100)*IF(AA106="1.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(100%)","100"))))))&gt;=11,(((_xlfn.XLOOKUP(Assessment!H107,Inherited!A:A,Inherited!B:B))/100)*(_xlfn.XLOOKUP(Assessment!H107,Inherited!A:A,Inherited!F:F)))+(((100-(_xlfn.XLOOKUP(Assessment!H107,Inherited!A:A,Inherited!B:B)))/100)*IF(AA106="1.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(100%)","100"))))))&lt;=32),"25",IF(AND((((_xlfn.XLOOKUP(Assessment!H107,Inherited!A:A,Inherited!B:B))/100)*(_xlfn.XLOOKUP(Assessment!H107,Inherited!A:A,Inherited!F:F)))+(((100-(_xlfn.XLOOKUP(Assessment!H107,Inherited!A:A,Inherited!B:B)))/100)*IF(AA106="1.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(100%)","100"))))))&gt;=33,(((_xlfn.XLOOKUP(Assessment!H107,Inherited!A:A,Inherited!B:B))/100)*(_xlfn.XLOOKUP(Assessment!H107,Inherited!A:A,Inherited!F:F)))+(((100-(_xlfn.XLOOKUP(Assessment!H107,Inherited!A:A,Inherited!B:B)))/100)*IF(AA106="1.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(100%)","100"))))))&lt;=65),"50",IF(AND((((_xlfn.XLOOKUP(Assessment!H107,Inherited!A:A,Inherited!B:B))/100)*(_xlfn.XLOOKUP(Assessment!H107,Inherited!A:A,Inherited!F:F)))+(((100-(_xlfn.XLOOKUP(Assessment!H107,Inherited!A:A,Inherited!B:B)))/100)*IF(AA106="1.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(100%)","100"))))))&gt;=66,(((_xlfn.XLOOKUP(Assessment!H107,Inherited!A:A,Inherited!B:B))/100)*(_xlfn.XLOOKUP(Assessment!H107,Inherited!A:A,Inherited!F:F)))+(((100-(_xlfn.XLOOKUP(Assessment!H107,Inherited!A:A,Inherited!B:B)))/100)*IF(AA106="1.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(100%)","100"))))))&lt;=89),"75",IF((((_xlfn.XLOOKUP(Assessment!H107,Inherited!A:A,Inherited!B:B))/100)*(_xlfn.XLOOKUP(Assessment!H107,Inherited!A:A,Inherited!F:F)))+(((100-(_xlfn.XLOOKUP(Assessment!H107,Inherited!A:A,Inherited!B:B)))/100)*IF(AA106="1. Non Compliant (0%)","0",IF(AA106="2. Somewhat Compliant (25%)","25",IF(AA106="3. Partially Compliant (50%)","50",IF(AA106="4. Mostly Compliant (75%)","75",IF(AA106="5. Fully Compliant (100%)","100"))))))&gt;=90,"100"))))))</f>
        <v>#N/A</v>
      </c>
      <c r="U106" s="1" t="e">
        <f>IF(MATCH(H106,Inherited!A:A),IF((((_xlfn.XLOOKUP(Assessment!H107,Inherited!A:A,Inherited!B:B))/100)*(_xlfn.XLOOKUP(Assessment!H107,Inherited!A:A,Inherited!G:G)))+(((100-(_xlfn.XLOOKUP(Assessment!H107,Inherited!A:A,Inherited!B:B)))/100)*IF(AB106="1.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(100%)","100"))))))&lt;=10,"0", IF(AND((((_xlfn.XLOOKUP(Assessment!H107,Inherited!A:A,Inherited!B:B))/100)*(_xlfn.XLOOKUP(Assessment!H107,Inherited!A:A,Inherited!G:G)))+(((100-(_xlfn.XLOOKUP(Assessment!H107,Inherited!A:A,Inherited!B:B)))/100)*IF(AB106="1.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(100%)","100"))))))&gt;=11,(((_xlfn.XLOOKUP(Assessment!H107,Inherited!A:A,Inherited!B:B))/100)*(_xlfn.XLOOKUP(Assessment!H107,Inherited!A:A,Inherited!G:G)))+(((100-(_xlfn.XLOOKUP(Assessment!H107,Inherited!A:A,Inherited!B:B)))/100)*IF(AB106="1.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(100%)","100"))))))&lt;=32),"25",IF(AND((((_xlfn.XLOOKUP(Assessment!H107,Inherited!A:A,Inherited!B:B))/100)*(_xlfn.XLOOKUP(Assessment!H107,Inherited!A:A,Inherited!G:G)))+(((100-(_xlfn.XLOOKUP(Assessment!H107,Inherited!A:A,Inherited!B:B)))/100)*IF(AB106="1.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(100%)","100"))))))&gt;=33,(((_xlfn.XLOOKUP(Assessment!H107,Inherited!A:A,Inherited!B:B))/100)*(_xlfn.XLOOKUP(Assessment!H107,Inherited!A:A,Inherited!G:G)))+(((100-(_xlfn.XLOOKUP(Assessment!H107,Inherited!A:A,Inherited!B:B)))/100)*IF(AB106="1.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(100%)","100"))))))&lt;=65),"50",IF(AND((((_xlfn.XLOOKUP(Assessment!H107,Inherited!A:A,Inherited!B:B))/100)*(_xlfn.XLOOKUP(Assessment!H107,Inherited!A:A,Inherited!G:G)))+(((100-(_xlfn.XLOOKUP(Assessment!H107,Inherited!A:A,Inherited!B:B)))/100)*IF(AB106="1.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(100%)","100"))))))&gt;=66,(((_xlfn.XLOOKUP(Assessment!H107,Inherited!A:A,Inherited!B:B))/100)*(_xlfn.XLOOKUP(Assessment!H107,Inherited!A:A,Inherited!G:G)))+(((100-(_xlfn.XLOOKUP(Assessment!H107,Inherited!A:A,Inherited!B:B)))/100)*IF(AB106="1.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(100%)","100"))))))&lt;=89),"75",IF((((_xlfn.XLOOKUP(Assessment!H107,Inherited!A:A,Inherited!B:B))/100)*(_xlfn.XLOOKUP(Assessment!H107,Inherited!A:A,Inherited!G:G)))+(((100-(_xlfn.XLOOKUP(Assessment!H107,Inherited!A:A,Inherited!B:B)))/100)*IF(AB106="1. Non Compliant (0%)","0",IF(AB106="2. Somewhat Compliant (25%)","25",IF(AB106="3. Partially Compliant (50%)","50",IF(AB106="4. Mostly Compliant (75%)","75",IF(AB106="5. Fully Compliant (100%)","100"))))))&gt;=90,"100"))))))</f>
        <v>#N/A</v>
      </c>
      <c r="V106" s="55" t="s">
        <v>85</v>
      </c>
      <c r="W106" s="55"/>
      <c r="X106" s="55"/>
      <c r="Y106" s="55"/>
      <c r="Z106" s="55" t="s">
        <v>10873</v>
      </c>
      <c r="AA106" s="55"/>
      <c r="AB106" s="55"/>
      <c r="AK106" s="1" t="s">
        <v>10978</v>
      </c>
      <c r="AL106" s="1" t="s">
        <v>10993</v>
      </c>
      <c r="AP106" s="1" t="s">
        <v>11085</v>
      </c>
      <c r="AX106" s="3" t="str">
        <f>_xlfn.CONCAT("A-LIGN finished its review of this control on ",AR106, " during the scheduled fieldwork window (",Intro!$B$4,")."&amp; CHAR(10)&amp; CHAR(10))</f>
        <v xml:space="preserve">A-LIGN finished its review of this control on  during the scheduled fieldwork window (Fieldwork: xx/xx/xxxx - xx/xx/xxxx).
</v>
      </c>
      <c r="AY106" s="3" t="str">
        <f t="shared" si="211"/>
        <v/>
      </c>
      <c r="AZ106" s="3" t="str">
        <f t="shared" si="212"/>
        <v/>
      </c>
      <c r="BA106" s="3" t="str">
        <f t="shared" si="213"/>
        <v/>
      </c>
      <c r="BB106" s="3" t="str">
        <f t="shared" si="21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v>
      </c>
      <c r="BC106" s="3" t="str">
        <f t="shared" si="215"/>
        <v/>
      </c>
      <c r="BD106" s="3" t="str">
        <f t="shared" si="216"/>
        <v xml:space="preserve">Examined the following evidence during fieldwork:
Reviewed evidence addressed the requirement statement.
Reviewed evidence exception note: 
Gap: 
Do not have assurance that AI systems being used are monitored as outlined within the requirement statement. 
Recommendation:
Management should ensure that AI systems being used (Vertex and Gemini) are monitored and consider the following:
- monthly monitoring/review performed on artificial intelligence inputs to identify anomalies
- monthly monitoring/review performed on artificial intelligence outputs to identify anomalies
</v>
      </c>
      <c r="BE106" s="3" t="str">
        <f t="shared" si="217"/>
        <v/>
      </c>
      <c r="BF106" s="3" t="str">
        <f t="shared" si="218"/>
        <v/>
      </c>
      <c r="BG106" s="3" t="str">
        <f>_xlfn.CONCAT((IF((COUNTIF('Sample Tables'!B:B,"")&gt;0)=TRUE,_xlfn.CONCAT("",""),IF((COUNTIF('Sample Tables'!B:B,"")&gt;0)=FALSE,""))),)</f>
        <v/>
      </c>
      <c r="BH106" s="3" t="str">
        <f t="shared" si="2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Examined the following evidence during fieldwork:
Reviewed evidence addressed the requirement statement.
Reviewed evidence exception note: 
Gap: 
Do not have assurance that AI systems being used are monitored as outlined within the requirement statement. 
Recommendation:
Management should ensure that AI systems being used (Vertex and Gemini) are monitored and consider the following:
- monthly monitoring/review performed on artificial intelligence inputs to identify anomalies
- monthly monitoring/review performed on artificial intelligence outputs to identify anomalies
</v>
      </c>
    </row>
    <row r="107" spans="3:60" ht="409.5" x14ac:dyDescent="0.35">
      <c r="C107" s="1">
        <f t="shared" si="210"/>
        <v>0</v>
      </c>
      <c r="D107" s="5" t="str">
        <f>IF(AND((_xlfn.XLOOKUP(J107,'Fields &amp; Revisions'!$H:$H,'Fields &amp; Revisions'!$I:$I))&lt;70.99,(OR(Z107="4. Mostly Compliant (75%)",Z107="3. Partially Compliant (50%)",Z107="2. Somewhat Compliant (25%)",Z107="1. Non Compliant (0%)"))),"Yes","No")</f>
        <v>Yes</v>
      </c>
      <c r="E107" s="5" t="str">
        <f>IF(ISERROR(VLOOKUP(H107,Scope!A:A,1,FALSE)),"No","Yes")</f>
        <v>Yes</v>
      </c>
      <c r="F107" s="1" t="s">
        <v>3189</v>
      </c>
      <c r="G107" s="53" t="s">
        <v>3259</v>
      </c>
      <c r="H107" s="53" t="s">
        <v>3260</v>
      </c>
      <c r="I107" s="5" t="s">
        <v>93</v>
      </c>
      <c r="J107" s="1" t="s">
        <v>984</v>
      </c>
      <c r="K107" s="54" t="s">
        <v>3261</v>
      </c>
      <c r="L107" s="1" t="s">
        <v>3262</v>
      </c>
      <c r="M107" s="1" t="s">
        <v>3263</v>
      </c>
      <c r="N107" s="5" t="s">
        <v>98</v>
      </c>
      <c r="O107" s="1" t="str">
        <f>_xlfn.XLOOKUP(G107,SRMs!$A:$A,SRMs!$D:$D)</f>
        <v>NO INHERITANCE</v>
      </c>
      <c r="P107" s="1" t="str">
        <f>IFERROR(VLOOKUP(H107,Inherited!A:B,2,FALSE),"")</f>
        <v/>
      </c>
      <c r="Q107" s="1" t="e">
        <f>IF(MATCH(H107,Inherited!A:A),IF((((_xlfn.XLOOKUP(Assessment!H108,Inherited!A:A,Inherited!B:B))/100)*(_xlfn.XLOOKUP(Assessment!H108,Inherited!A:A,Inherited!C:C)))+(((100-(_xlfn.XLOOKUP(Assessment!H108,Inherited!A:A,Inherited!B:B)))/100)*IF(X107="1.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(100%)","100"))))))&lt;=10,"0", IF(AND((((_xlfn.XLOOKUP(Assessment!H108,Inherited!A:A,Inherited!B:B))/100)*(_xlfn.XLOOKUP(Assessment!H108,Inherited!A:A,Inherited!C:C)))+(((100-(_xlfn.XLOOKUP(Assessment!H108,Inherited!A:A,Inherited!B:B)))/100)*IF(X107="1.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(100%)","100"))))))&gt;=11,(((_xlfn.XLOOKUP(Assessment!H108,Inherited!A:A,Inherited!B:B))/100)*(_xlfn.XLOOKUP(Assessment!H108,Inherited!A:A,Inherited!C:C)))+(((100-(_xlfn.XLOOKUP(Assessment!H108,Inherited!A:A,Inherited!B:B)))/100)*IF(X107="1.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(100%)","100"))))))&lt;=32),"25",IF(AND((((_xlfn.XLOOKUP(Assessment!H108,Inherited!A:A,Inherited!B:B))/100)*(_xlfn.XLOOKUP(Assessment!H108,Inherited!A:A,Inherited!C:C)))+(((100-(_xlfn.XLOOKUP(Assessment!H108,Inherited!A:A,Inherited!B:B)))/100)*IF(X107="1.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(100%)","100"))))))&gt;=33,(((_xlfn.XLOOKUP(Assessment!H108,Inherited!A:A,Inherited!B:B))/100)*(_xlfn.XLOOKUP(Assessment!H108,Inherited!A:A,Inherited!C:C)))+(((100-(_xlfn.XLOOKUP(Assessment!H108,Inherited!A:A,Inherited!B:B)))/100)*IF(X107="1.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(100%)","100"))))))&lt;=65),"50",IF(AND((((_xlfn.XLOOKUP(Assessment!H108,Inherited!A:A,Inherited!B:B))/100)*(_xlfn.XLOOKUP(Assessment!H108,Inherited!A:A,Inherited!C:C)))+(((100-(_xlfn.XLOOKUP(Assessment!H108,Inherited!A:A,Inherited!B:B)))/100)*IF(X107="1.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(100%)","100"))))))&gt;=66,(((_xlfn.XLOOKUP(Assessment!H108,Inherited!A:A,Inherited!B:B))/100)*(_xlfn.XLOOKUP(Assessment!H108,Inherited!A:A,Inherited!C:C)))+(((100-(_xlfn.XLOOKUP(Assessment!H108,Inherited!A:A,Inherited!B:B)))/100)*IF(X107="1.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(100%)","100"))))))&lt;=89),"75",IF((((_xlfn.XLOOKUP(Assessment!H108,Inherited!A:A,Inherited!B:B))/100)*(_xlfn.XLOOKUP(Assessment!H108,Inherited!A:A,Inherited!C:C)))+(((100-(_xlfn.XLOOKUP(Assessment!H108,Inherited!A:A,Inherited!B:B)))/100)*IF(X107="1. Non Compliant (0%)","0",IF(X107="2. Somewhat Compliant (25%)","25",IF(X107="3. Partially Compliant (50%)","50",IF(X107="4. Mostly Compliant (75%)","75",IF(X107="5. Fully Compliant (100%)","100"))))))&gt;=90,"100"))))))</f>
        <v>#N/A</v>
      </c>
      <c r="R107" s="1" t="e">
        <f>IF(MATCH(H107,Inherited!A:A),IF((((_xlfn.XLOOKUP(Assessment!H108,Inherited!A:A,Inherited!B:B))/100)*(_xlfn.XLOOKUP(Assessment!H108,Inherited!A:A,Inherited!D:D)))+(((100-(_xlfn.XLOOKUP(Assessment!H108,Inherited!A:A,Inherited!B:B)))/100)*IF(Y107="1.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(100%)","100"))))))&lt;=10,"0", IF(AND((((_xlfn.XLOOKUP(Assessment!H108,Inherited!A:A,Inherited!B:B))/100)*(_xlfn.XLOOKUP(Assessment!H108,Inherited!A:A,Inherited!D:D)))+(((100-(_xlfn.XLOOKUP(Assessment!H108,Inherited!A:A,Inherited!B:B)))/100)*IF(Y107="1.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(100%)","100"))))))&gt;=11,(((_xlfn.XLOOKUP(Assessment!H108,Inherited!A:A,Inherited!B:B))/100)*(_xlfn.XLOOKUP(Assessment!H108,Inherited!A:A,Inherited!D:D)))+(((100-(_xlfn.XLOOKUP(Assessment!H108,Inherited!A:A,Inherited!B:B)))/100)*IF(Y107="1.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(100%)","100"))))))&lt;=32),"25",IF(AND((((_xlfn.XLOOKUP(Assessment!H108,Inherited!A:A,Inherited!B:B))/100)*(_xlfn.XLOOKUP(Assessment!H108,Inherited!A:A,Inherited!D:D)))+(((100-(_xlfn.XLOOKUP(Assessment!H108,Inherited!A:A,Inherited!B:B)))/100)*IF(Y107="1.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(100%)","100"))))))&gt;=33,(((_xlfn.XLOOKUP(Assessment!H108,Inherited!A:A,Inherited!B:B))/100)*(_xlfn.XLOOKUP(Assessment!H108,Inherited!A:A,Inherited!D:D)))+(((100-(_xlfn.XLOOKUP(Assessment!H108,Inherited!A:A,Inherited!B:B)))/100)*IF(Y107="1.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(100%)","100"))))))&lt;=65),"50",IF(AND((((_xlfn.XLOOKUP(Assessment!H108,Inherited!A:A,Inherited!B:B))/100)*(_xlfn.XLOOKUP(Assessment!H108,Inherited!A:A,Inherited!D:D)))+(((100-(_xlfn.XLOOKUP(Assessment!H108,Inherited!A:A,Inherited!B:B)))/100)*IF(Y107="1.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(100%)","100"))))))&gt;=66,(((_xlfn.XLOOKUP(Assessment!H108,Inherited!A:A,Inherited!B:B))/100)*(_xlfn.XLOOKUP(Assessment!H108,Inherited!A:A,Inherited!D:D)))+(((100-(_xlfn.XLOOKUP(Assessment!H108,Inherited!A:A,Inherited!B:B)))/100)*IF(Y107="1.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(100%)","100"))))))&lt;=89),"75",IF((((_xlfn.XLOOKUP(Assessment!H108,Inherited!A:A,Inherited!B:B))/100)*(_xlfn.XLOOKUP(Assessment!H108,Inherited!A:A,Inherited!D:D)))+(((100-(_xlfn.XLOOKUP(Assessment!H108,Inherited!A:A,Inherited!B:B)))/100)*IF(Y107="1. Non Compliant (0%)","0",IF(Y107="2. Somewhat Compliant (25%)","25",IF(Y107="3. Partially Compliant (50%)","50",IF(Y107="4. Mostly Compliant (75%)","75",IF(Y107="5. Fully Compliant (100%)","100"))))))&gt;=90,"100"))))))</f>
        <v>#N/A</v>
      </c>
      <c r="S107" s="1" t="e">
        <f>IF(MATCH(H107,Inherited!A:A),IF((((_xlfn.XLOOKUP(Assessment!H108,Inherited!A:A,Inherited!B:B))/100)*(_xlfn.XLOOKUP(Assessment!H108,Inherited!A:A,Inherited!E:E)))+(((100-(_xlfn.XLOOKUP(Assessment!H108,Inherited!A:A,Inherited!B:B)))/100)*IF(Z107="1.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(100%)","100"))))))&lt;=10,"0", IF(AND((((_xlfn.XLOOKUP(Assessment!H108,Inherited!A:A,Inherited!B:B))/100)*(_xlfn.XLOOKUP(Assessment!H108,Inherited!A:A,Inherited!E:E)))+(((100-(_xlfn.XLOOKUP(Assessment!H108,Inherited!A:A,Inherited!B:B)))/100)*IF(Z107="1.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(100%)","100"))))))&gt;=11,(((_xlfn.XLOOKUP(Assessment!H108,Inherited!A:A,Inherited!B:B))/100)*(_xlfn.XLOOKUP(Assessment!H108,Inherited!A:A,Inherited!E:E)))+(((100-(_xlfn.XLOOKUP(Assessment!H108,Inherited!A:A,Inherited!B:B)))/100)*IF(Z107="1.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(100%)","100"))))))&lt;=32),"25",IF(AND((((_xlfn.XLOOKUP(Assessment!H108,Inherited!A:A,Inherited!B:B))/100)*(_xlfn.XLOOKUP(Assessment!H108,Inherited!A:A,Inherited!E:E)))+(((100-(_xlfn.XLOOKUP(Assessment!H108,Inherited!A:A,Inherited!B:B)))/100)*IF(Z107="1.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(100%)","100"))))))&gt;=33,(((_xlfn.XLOOKUP(Assessment!H108,Inherited!A:A,Inherited!B:B))/100)*(_xlfn.XLOOKUP(Assessment!H108,Inherited!A:A,Inherited!E:E)))+(((100-(_xlfn.XLOOKUP(Assessment!H108,Inherited!A:A,Inherited!B:B)))/100)*IF(Z107="1.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(100%)","100"))))))&lt;=65),"50",IF(AND((((_xlfn.XLOOKUP(Assessment!H108,Inherited!A:A,Inherited!B:B))/100)*(_xlfn.XLOOKUP(Assessment!H108,Inherited!A:A,Inherited!E:E)))+(((100-(_xlfn.XLOOKUP(Assessment!H108,Inherited!A:A,Inherited!B:B)))/100)*IF(Z107="1.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(100%)","100"))))))&gt;=66,(((_xlfn.XLOOKUP(Assessment!H108,Inherited!A:A,Inherited!B:B))/100)*(_xlfn.XLOOKUP(Assessment!H108,Inherited!A:A,Inherited!E:E)))+(((100-(_xlfn.XLOOKUP(Assessment!H108,Inherited!A:A,Inherited!B:B)))/100)*IF(Z107="1.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(100%)","100"))))))&lt;=89),"75",IF((((_xlfn.XLOOKUP(Assessment!H108,Inherited!A:A,Inherited!B:B))/100)*(_xlfn.XLOOKUP(Assessment!H108,Inherited!A:A,Inherited!E:E)))+(((100-(_xlfn.XLOOKUP(Assessment!H108,Inherited!A:A,Inherited!B:B)))/100)*IF(Z107="1. Non Compliant (0%)","0",IF(Z107="2. Somewhat Compliant (25%)","25",IF(Z107="3. Partially Compliant (50%)","50",IF(Z107="4. Mostly Compliant (75%)","75",IF(Z107="5. Fully Compliant (100%)","100"))))))&gt;=90,"100"))))))</f>
        <v>#N/A</v>
      </c>
      <c r="T107" s="1" t="e">
        <f>IF(MATCH(H107,Inherited!A:A),IF((((_xlfn.XLOOKUP(Assessment!H108,Inherited!A:A,Inherited!B:B))/100)*(_xlfn.XLOOKUP(Assessment!H108,Inherited!A:A,Inherited!F:F)))+(((100-(_xlfn.XLOOKUP(Assessment!H108,Inherited!A:A,Inherited!B:B)))/100)*IF(AA107="1.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(100%)","100"))))))&lt;=10,"0", IF(AND((((_xlfn.XLOOKUP(Assessment!H108,Inherited!A:A,Inherited!B:B))/100)*(_xlfn.XLOOKUP(Assessment!H108,Inherited!A:A,Inherited!F:F)))+(((100-(_xlfn.XLOOKUP(Assessment!H108,Inherited!A:A,Inherited!B:B)))/100)*IF(AA107="1.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(100%)","100"))))))&gt;=11,(((_xlfn.XLOOKUP(Assessment!H108,Inherited!A:A,Inherited!B:B))/100)*(_xlfn.XLOOKUP(Assessment!H108,Inherited!A:A,Inherited!F:F)))+(((100-(_xlfn.XLOOKUP(Assessment!H108,Inherited!A:A,Inherited!B:B)))/100)*IF(AA107="1.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(100%)","100"))))))&lt;=32),"25",IF(AND((((_xlfn.XLOOKUP(Assessment!H108,Inherited!A:A,Inherited!B:B))/100)*(_xlfn.XLOOKUP(Assessment!H108,Inherited!A:A,Inherited!F:F)))+(((100-(_xlfn.XLOOKUP(Assessment!H108,Inherited!A:A,Inherited!B:B)))/100)*IF(AA107="1.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(100%)","100"))))))&gt;=33,(((_xlfn.XLOOKUP(Assessment!H108,Inherited!A:A,Inherited!B:B))/100)*(_xlfn.XLOOKUP(Assessment!H108,Inherited!A:A,Inherited!F:F)))+(((100-(_xlfn.XLOOKUP(Assessment!H108,Inherited!A:A,Inherited!B:B)))/100)*IF(AA107="1.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(100%)","100"))))))&lt;=65),"50",IF(AND((((_xlfn.XLOOKUP(Assessment!H108,Inherited!A:A,Inherited!B:B))/100)*(_xlfn.XLOOKUP(Assessment!H108,Inherited!A:A,Inherited!F:F)))+(((100-(_xlfn.XLOOKUP(Assessment!H108,Inherited!A:A,Inherited!B:B)))/100)*IF(AA107="1.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(100%)","100"))))))&gt;=66,(((_xlfn.XLOOKUP(Assessment!H108,Inherited!A:A,Inherited!B:B))/100)*(_xlfn.XLOOKUP(Assessment!H108,Inherited!A:A,Inherited!F:F)))+(((100-(_xlfn.XLOOKUP(Assessment!H108,Inherited!A:A,Inherited!B:B)))/100)*IF(AA107="1.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(100%)","100"))))))&lt;=89),"75",IF((((_xlfn.XLOOKUP(Assessment!H108,Inherited!A:A,Inherited!B:B))/100)*(_xlfn.XLOOKUP(Assessment!H108,Inherited!A:A,Inherited!F:F)))+(((100-(_xlfn.XLOOKUP(Assessment!H108,Inherited!A:A,Inherited!B:B)))/100)*IF(AA107="1. Non Compliant (0%)","0",IF(AA107="2. Somewhat Compliant (25%)","25",IF(AA107="3. Partially Compliant (50%)","50",IF(AA107="4. Mostly Compliant (75%)","75",IF(AA107="5. Fully Compliant (100%)","100"))))))&gt;=90,"100"))))))</f>
        <v>#N/A</v>
      </c>
      <c r="U107" s="1" t="e">
        <f>IF(MATCH(H107,Inherited!A:A),IF((((_xlfn.XLOOKUP(Assessment!H108,Inherited!A:A,Inherited!B:B))/100)*(_xlfn.XLOOKUP(Assessment!H108,Inherited!A:A,Inherited!G:G)))+(((100-(_xlfn.XLOOKUP(Assessment!H108,Inherited!A:A,Inherited!B:B)))/100)*IF(AB107="1.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(100%)","100"))))))&lt;=10,"0", IF(AND((((_xlfn.XLOOKUP(Assessment!H108,Inherited!A:A,Inherited!B:B))/100)*(_xlfn.XLOOKUP(Assessment!H108,Inherited!A:A,Inherited!G:G)))+(((100-(_xlfn.XLOOKUP(Assessment!H108,Inherited!A:A,Inherited!B:B)))/100)*IF(AB107="1.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(100%)","100"))))))&gt;=11,(((_xlfn.XLOOKUP(Assessment!H108,Inherited!A:A,Inherited!B:B))/100)*(_xlfn.XLOOKUP(Assessment!H108,Inherited!A:A,Inherited!G:G)))+(((100-(_xlfn.XLOOKUP(Assessment!H108,Inherited!A:A,Inherited!B:B)))/100)*IF(AB107="1.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(100%)","100"))))))&lt;=32),"25",IF(AND((((_xlfn.XLOOKUP(Assessment!H108,Inherited!A:A,Inherited!B:B))/100)*(_xlfn.XLOOKUP(Assessment!H108,Inherited!A:A,Inherited!G:G)))+(((100-(_xlfn.XLOOKUP(Assessment!H108,Inherited!A:A,Inherited!B:B)))/100)*IF(AB107="1.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(100%)","100"))))))&gt;=33,(((_xlfn.XLOOKUP(Assessment!H108,Inherited!A:A,Inherited!B:B))/100)*(_xlfn.XLOOKUP(Assessment!H108,Inherited!A:A,Inherited!G:G)))+(((100-(_xlfn.XLOOKUP(Assessment!H108,Inherited!A:A,Inherited!B:B)))/100)*IF(AB107="1.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(100%)","100"))))))&lt;=65),"50",IF(AND((((_xlfn.XLOOKUP(Assessment!H108,Inherited!A:A,Inherited!B:B))/100)*(_xlfn.XLOOKUP(Assessment!H108,Inherited!A:A,Inherited!G:G)))+(((100-(_xlfn.XLOOKUP(Assessment!H108,Inherited!A:A,Inherited!B:B)))/100)*IF(AB107="1.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(100%)","100"))))))&gt;=66,(((_xlfn.XLOOKUP(Assessment!H108,Inherited!A:A,Inherited!B:B))/100)*(_xlfn.XLOOKUP(Assessment!H108,Inherited!A:A,Inherited!G:G)))+(((100-(_xlfn.XLOOKUP(Assessment!H108,Inherited!A:A,Inherited!B:B)))/100)*IF(AB107="1.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(100%)","100"))))))&lt;=89),"75",IF((((_xlfn.XLOOKUP(Assessment!H108,Inherited!A:A,Inherited!B:B))/100)*(_xlfn.XLOOKUP(Assessment!H108,Inherited!A:A,Inherited!G:G)))+(((100-(_xlfn.XLOOKUP(Assessment!H108,Inherited!A:A,Inherited!B:B)))/100)*IF(AB107="1. Non Compliant (0%)","0",IF(AB107="2. Somewhat Compliant (25%)","25",IF(AB107="3. Partially Compliant (50%)","50",IF(AB107="4. Mostly Compliant (75%)","75",IF(AB107="5. Fully Compliant (100%)","100"))))))&gt;=90,"100"))))))</f>
        <v>#N/A</v>
      </c>
      <c r="V107" s="55" t="s">
        <v>85</v>
      </c>
      <c r="W107" s="55"/>
      <c r="X107" s="55"/>
      <c r="Y107" s="55"/>
      <c r="Z107" s="55" t="s">
        <v>10873</v>
      </c>
      <c r="AA107" s="55"/>
      <c r="AB107" s="55"/>
      <c r="AK107" s="1" t="s">
        <v>10978</v>
      </c>
      <c r="AL107" s="1" t="s">
        <v>10993</v>
      </c>
      <c r="AP107" s="1" t="s">
        <v>11086</v>
      </c>
      <c r="AX107" s="3" t="str">
        <f>_xlfn.CONCAT("A-LIGN finished its review of this control on ",AR107, " during the scheduled fieldwork window (",Intro!$B$4,")."&amp; CHAR(10)&amp; CHAR(10))</f>
        <v xml:space="preserve">A-LIGN finished its review of this control on  during the scheduled fieldwork window (Fieldwork: xx/xx/xxxx - xx/xx/xxxx).
</v>
      </c>
      <c r="AY107" s="3" t="str">
        <f t="shared" si="211"/>
        <v/>
      </c>
      <c r="AZ107" s="3" t="str">
        <f t="shared" si="212"/>
        <v/>
      </c>
      <c r="BA107" s="3" t="str">
        <f t="shared" si="213"/>
        <v/>
      </c>
      <c r="BB107" s="3" t="str">
        <f t="shared" si="214"/>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v>
      </c>
      <c r="BC107" s="3" t="str">
        <f t="shared" si="215"/>
        <v/>
      </c>
      <c r="BD107" s="3" t="str">
        <f t="shared" si="216"/>
        <v xml:space="preserve">Examined the following evidence during fieldwork:
Reviewed evidence addressed the requirement statement.
Reviewed evidence exception note: 
Gap: 
Do not have assurance that AI systems being used are monitored as outlined within the requirement statement. 
Recommendation:
Management should ensure that AI systems being used (Vertex and Gemini) are monitored and consider the following:
- monthly monitoring/review performed on artificial intelligence for suspicious manipulation of: AI-related datasets
- monthly monitoring/review performed on artificial intelligence for suspicious manipulation of: AI models
- monthly monitoring/review performed on artificial intelligence for suspicious manipulation of: AI-relevant code
- monthly monitoring/review performed on artificial intelligence for suspicious manipulation of: AI-relevant configurations
</v>
      </c>
      <c r="BE107" s="3" t="str">
        <f t="shared" si="217"/>
        <v/>
      </c>
      <c r="BF107" s="3" t="str">
        <f t="shared" si="218"/>
        <v/>
      </c>
      <c r="BG107" s="3" t="str">
        <f>_xlfn.CONCAT((IF((COUNTIF('Sample Tables'!B:B,"")&gt;0)=TRUE,_xlfn.CONCAT("",""),IF((COUNTIF('Sample Tables'!B:B,"")&gt;0)=FALSE,""))),)</f>
        <v/>
      </c>
      <c r="BH107" s="3" t="str">
        <f t="shared" si="2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Examined the following evidence during fieldwork:
Reviewed evidence addressed the requirement statement.
Reviewed evidence exception note: 
Gap: 
Do not have assurance that AI systems being used are monitored as outlined within the requirement statement. 
Recommendation:
Management should ensure that AI systems being used (Vertex and Gemini) are monitored and consider the following:
- monthly monitoring/review performed on artificial intelligence for suspicious manipulation of: AI-related datasets
- monthly monitoring/review performed on artificial intelligence for suspicious manipulation of: AI models
- monthly monitoring/review performed on artificial intelligence for suspicious manipulation of: AI-relevant code
- monthly monitoring/review performed on artificial intelligence for suspicious manipulation of: AI-relevant configurations
</v>
      </c>
    </row>
    <row r="108" spans="3:60" ht="409.5" x14ac:dyDescent="0.35">
      <c r="C108" s="1">
        <f t="shared" si="210"/>
        <v>0</v>
      </c>
      <c r="D108" s="5" t="str">
        <f>IF(AND((_xlfn.XLOOKUP(J108,'Fields &amp; Revisions'!$H:$H,'Fields &amp; Revisions'!$I:$I))&lt;70.99,(OR(Z108="4. Mostly Compliant (75%)",Z108="3. Partially Compliant (50%)",Z108="2. Somewhat Compliant (25%)",Z108="1. Non Compliant (0%)"))),"Yes","No")</f>
        <v>Yes</v>
      </c>
      <c r="E108" s="5" t="str">
        <f>IF(ISERROR(VLOOKUP(H108,Scope!A:A,1,FALSE)),"No","Yes")</f>
        <v>Yes</v>
      </c>
      <c r="F108" s="1" t="s">
        <v>3189</v>
      </c>
      <c r="G108" s="53" t="s">
        <v>3264</v>
      </c>
      <c r="H108" s="53" t="s">
        <v>3265</v>
      </c>
      <c r="I108" s="5" t="s">
        <v>93</v>
      </c>
      <c r="J108" s="1" t="s">
        <v>984</v>
      </c>
      <c r="K108" s="54" t="s">
        <v>3266</v>
      </c>
      <c r="L108" s="1" t="s">
        <v>3267</v>
      </c>
      <c r="M108" s="1" t="s">
        <v>3268</v>
      </c>
      <c r="N108" s="5" t="s">
        <v>98</v>
      </c>
      <c r="O108" s="1" t="str">
        <f>_xlfn.XLOOKUP(G108,SRMs!$A:$A,SRMs!$D:$D)</f>
        <v>NO INHERITANCE</v>
      </c>
      <c r="P108" s="1" t="str">
        <f>IFERROR(VLOOKUP(H108,Inherited!A:B,2,FALSE),"")</f>
        <v/>
      </c>
      <c r="Q108" s="1" t="e">
        <f>IF(MATCH(H108,Inherited!A:A),IF((((_xlfn.XLOOKUP(Assessment!#REF!,Inherited!A:A,Inherited!B:B))/100)*(_xlfn.XLOOKUP(Assessment!#REF!,Inherited!A:A,Inherited!C:C)))+(((100-(_xlfn.XLOOKUP(Assessment!#REF!,Inherited!A:A,Inherited!B:B)))/100)*IF(X108="1.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(100%)","100"))))))&lt;=10,"0", IF(AND((((_xlfn.XLOOKUP(Assessment!#REF!,Inherited!A:A,Inherited!B:B))/100)*(_xlfn.XLOOKUP(Assessment!#REF!,Inherited!A:A,Inherited!C:C)))+(((100-(_xlfn.XLOOKUP(Assessment!#REF!,Inherited!A:A,Inherited!B:B)))/100)*IF(X108="1.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(100%)","100"))))))&gt;=11,(((_xlfn.XLOOKUP(Assessment!#REF!,Inherited!A:A,Inherited!B:B))/100)*(_xlfn.XLOOKUP(Assessment!#REF!,Inherited!A:A,Inherited!C:C)))+(((100-(_xlfn.XLOOKUP(Assessment!#REF!,Inherited!A:A,Inherited!B:B)))/100)*IF(X108="1.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(100%)","100"))))))&lt;=32),"25",IF(AND((((_xlfn.XLOOKUP(Assessment!#REF!,Inherited!A:A,Inherited!B:B))/100)*(_xlfn.XLOOKUP(Assessment!#REF!,Inherited!A:A,Inherited!C:C)))+(((100-(_xlfn.XLOOKUP(Assessment!#REF!,Inherited!A:A,Inherited!B:B)))/100)*IF(X108="1.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(100%)","100"))))))&gt;=33,(((_xlfn.XLOOKUP(Assessment!#REF!,Inherited!A:A,Inherited!B:B))/100)*(_xlfn.XLOOKUP(Assessment!#REF!,Inherited!A:A,Inherited!C:C)))+(((100-(_xlfn.XLOOKUP(Assessment!#REF!,Inherited!A:A,Inherited!B:B)))/100)*IF(X108="1.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(100%)","100"))))))&lt;=65),"50",IF(AND((((_xlfn.XLOOKUP(Assessment!#REF!,Inherited!A:A,Inherited!B:B))/100)*(_xlfn.XLOOKUP(Assessment!#REF!,Inherited!A:A,Inherited!C:C)))+(((100-(_xlfn.XLOOKUP(Assessment!#REF!,Inherited!A:A,Inherited!B:B)))/100)*IF(X108="1.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(100%)","100"))))))&gt;=66,(((_xlfn.XLOOKUP(Assessment!#REF!,Inherited!A:A,Inherited!B:B))/100)*(_xlfn.XLOOKUP(Assessment!#REF!,Inherited!A:A,Inherited!C:C)))+(((100-(_xlfn.XLOOKUP(Assessment!#REF!,Inherited!A:A,Inherited!B:B)))/100)*IF(X108="1.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(100%)","100"))))))&lt;=89),"75",IF((((_xlfn.XLOOKUP(Assessment!#REF!,Inherited!A:A,Inherited!B:B))/100)*(_xlfn.XLOOKUP(Assessment!#REF!,Inherited!A:A,Inherited!C:C)))+(((100-(_xlfn.XLOOKUP(Assessment!#REF!,Inherited!A:A,Inherited!B:B)))/100)*IF(X108="1. Non Compliant (0%)","0",IF(X108="2. Somewhat Compliant (25%)","25",IF(X108="3. Partially Compliant (50%)","50",IF(X108="4. Mostly Compliant (75%)","75",IF(X108="5. Fully Compliant (100%)","100"))))))&gt;=90,"100"))))))</f>
        <v>#N/A</v>
      </c>
      <c r="R108" s="1" t="e">
        <f>IF(MATCH(H108,Inherited!A:A),IF((((_xlfn.XLOOKUP(Assessment!#REF!,Inherited!A:A,Inherited!B:B))/100)*(_xlfn.XLOOKUP(Assessment!#REF!,Inherited!A:A,Inherited!D:D)))+(((100-(_xlfn.XLOOKUP(Assessment!#REF!,Inherited!A:A,Inherited!B:B)))/100)*IF(Y108="1.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(100%)","100"))))))&lt;=10,"0", IF(AND((((_xlfn.XLOOKUP(Assessment!#REF!,Inherited!A:A,Inherited!B:B))/100)*(_xlfn.XLOOKUP(Assessment!#REF!,Inherited!A:A,Inherited!D:D)))+(((100-(_xlfn.XLOOKUP(Assessment!#REF!,Inherited!A:A,Inherited!B:B)))/100)*IF(Y108="1.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(100%)","100"))))))&gt;=11,(((_xlfn.XLOOKUP(Assessment!#REF!,Inherited!A:A,Inherited!B:B))/100)*(_xlfn.XLOOKUP(Assessment!#REF!,Inherited!A:A,Inherited!D:D)))+(((100-(_xlfn.XLOOKUP(Assessment!#REF!,Inherited!A:A,Inherited!B:B)))/100)*IF(Y108="1.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(100%)","100"))))))&lt;=32),"25",IF(AND((((_xlfn.XLOOKUP(Assessment!#REF!,Inherited!A:A,Inherited!B:B))/100)*(_xlfn.XLOOKUP(Assessment!#REF!,Inherited!A:A,Inherited!D:D)))+(((100-(_xlfn.XLOOKUP(Assessment!#REF!,Inherited!A:A,Inherited!B:B)))/100)*IF(Y108="1.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(100%)","100"))))))&gt;=33,(((_xlfn.XLOOKUP(Assessment!#REF!,Inherited!A:A,Inherited!B:B))/100)*(_xlfn.XLOOKUP(Assessment!#REF!,Inherited!A:A,Inherited!D:D)))+(((100-(_xlfn.XLOOKUP(Assessment!#REF!,Inherited!A:A,Inherited!B:B)))/100)*IF(Y108="1.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(100%)","100"))))))&lt;=65),"50",IF(AND((((_xlfn.XLOOKUP(Assessment!#REF!,Inherited!A:A,Inherited!B:B))/100)*(_xlfn.XLOOKUP(Assessment!#REF!,Inherited!A:A,Inherited!D:D)))+(((100-(_xlfn.XLOOKUP(Assessment!#REF!,Inherited!A:A,Inherited!B:B)))/100)*IF(Y108="1.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(100%)","100"))))))&gt;=66,(((_xlfn.XLOOKUP(Assessment!#REF!,Inherited!A:A,Inherited!B:B))/100)*(_xlfn.XLOOKUP(Assessment!#REF!,Inherited!A:A,Inherited!D:D)))+(((100-(_xlfn.XLOOKUP(Assessment!#REF!,Inherited!A:A,Inherited!B:B)))/100)*IF(Y108="1.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(100%)","100"))))))&lt;=89),"75",IF((((_xlfn.XLOOKUP(Assessment!#REF!,Inherited!A:A,Inherited!B:B))/100)*(_xlfn.XLOOKUP(Assessment!#REF!,Inherited!A:A,Inherited!D:D)))+(((100-(_xlfn.XLOOKUP(Assessment!#REF!,Inherited!A:A,Inherited!B:B)))/100)*IF(Y108="1. Non Compliant (0%)","0",IF(Y108="2. Somewhat Compliant (25%)","25",IF(Y108="3. Partially Compliant (50%)","50",IF(Y108="4. Mostly Compliant (75%)","75",IF(Y108="5. Fully Compliant (100%)","100"))))))&gt;=90,"100"))))))</f>
        <v>#N/A</v>
      </c>
      <c r="S108" s="1" t="e">
        <f>IF(MATCH(H108,Inherited!A:A),IF((((_xlfn.XLOOKUP(Assessment!#REF!,Inherited!A:A,Inherited!B:B))/100)*(_xlfn.XLOOKUP(Assessment!#REF!,Inherited!A:A,Inherited!E:E)))+(((100-(_xlfn.XLOOKUP(Assessment!#REF!,Inherited!A:A,Inherited!B:B)))/100)*IF(Z108="1.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(100%)","100"))))))&lt;=10,"0", IF(AND((((_xlfn.XLOOKUP(Assessment!#REF!,Inherited!A:A,Inherited!B:B))/100)*(_xlfn.XLOOKUP(Assessment!#REF!,Inherited!A:A,Inherited!E:E)))+(((100-(_xlfn.XLOOKUP(Assessment!#REF!,Inherited!A:A,Inherited!B:B)))/100)*IF(Z108="1.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(100%)","100"))))))&gt;=11,(((_xlfn.XLOOKUP(Assessment!#REF!,Inherited!A:A,Inherited!B:B))/100)*(_xlfn.XLOOKUP(Assessment!#REF!,Inherited!A:A,Inherited!E:E)))+(((100-(_xlfn.XLOOKUP(Assessment!#REF!,Inherited!A:A,Inherited!B:B)))/100)*IF(Z108="1.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(100%)","100"))))))&lt;=32),"25",IF(AND((((_xlfn.XLOOKUP(Assessment!#REF!,Inherited!A:A,Inherited!B:B))/100)*(_xlfn.XLOOKUP(Assessment!#REF!,Inherited!A:A,Inherited!E:E)))+(((100-(_xlfn.XLOOKUP(Assessment!#REF!,Inherited!A:A,Inherited!B:B)))/100)*IF(Z108="1.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(100%)","100"))))))&gt;=33,(((_xlfn.XLOOKUP(Assessment!#REF!,Inherited!A:A,Inherited!B:B))/100)*(_xlfn.XLOOKUP(Assessment!#REF!,Inherited!A:A,Inherited!E:E)))+(((100-(_xlfn.XLOOKUP(Assessment!#REF!,Inherited!A:A,Inherited!B:B)))/100)*IF(Z108="1.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(100%)","100"))))))&lt;=65),"50",IF(AND((((_xlfn.XLOOKUP(Assessment!#REF!,Inherited!A:A,Inherited!B:B))/100)*(_xlfn.XLOOKUP(Assessment!#REF!,Inherited!A:A,Inherited!E:E)))+(((100-(_xlfn.XLOOKUP(Assessment!#REF!,Inherited!A:A,Inherited!B:B)))/100)*IF(Z108="1.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(100%)","100"))))))&gt;=66,(((_xlfn.XLOOKUP(Assessment!#REF!,Inherited!A:A,Inherited!B:B))/100)*(_xlfn.XLOOKUP(Assessment!#REF!,Inherited!A:A,Inherited!E:E)))+(((100-(_xlfn.XLOOKUP(Assessment!#REF!,Inherited!A:A,Inherited!B:B)))/100)*IF(Z108="1.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(100%)","100"))))))&lt;=89),"75",IF((((_xlfn.XLOOKUP(Assessment!#REF!,Inherited!A:A,Inherited!B:B))/100)*(_xlfn.XLOOKUP(Assessment!#REF!,Inherited!A:A,Inherited!E:E)))+(((100-(_xlfn.XLOOKUP(Assessment!#REF!,Inherited!A:A,Inherited!B:B)))/100)*IF(Z108="1. Non Compliant (0%)","0",IF(Z108="2. Somewhat Compliant (25%)","25",IF(Z108="3. Partially Compliant (50%)","50",IF(Z108="4. Mostly Compliant (75%)","75",IF(Z108="5. Fully Compliant (100%)","100"))))))&gt;=90,"100"))))))</f>
        <v>#N/A</v>
      </c>
      <c r="T108" s="1" t="e">
        <f>IF(MATCH(H108,Inherited!A:A),IF((((_xlfn.XLOOKUP(Assessment!#REF!,Inherited!A:A,Inherited!B:B))/100)*(_xlfn.XLOOKUP(Assessment!#REF!,Inherited!A:A,Inherited!F:F)))+(((100-(_xlfn.XLOOKUP(Assessment!#REF!,Inherited!A:A,Inherited!B:B)))/100)*IF(AA108="1.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(100%)","100"))))))&lt;=10,"0", IF(AND((((_xlfn.XLOOKUP(Assessment!#REF!,Inherited!A:A,Inherited!B:B))/100)*(_xlfn.XLOOKUP(Assessment!#REF!,Inherited!A:A,Inherited!F:F)))+(((100-(_xlfn.XLOOKUP(Assessment!#REF!,Inherited!A:A,Inherited!B:B)))/100)*IF(AA108="1.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(100%)","100"))))))&gt;=11,(((_xlfn.XLOOKUP(Assessment!#REF!,Inherited!A:A,Inherited!B:B))/100)*(_xlfn.XLOOKUP(Assessment!#REF!,Inherited!A:A,Inherited!F:F)))+(((100-(_xlfn.XLOOKUP(Assessment!#REF!,Inherited!A:A,Inherited!B:B)))/100)*IF(AA108="1.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(100%)","100"))))))&lt;=32),"25",IF(AND((((_xlfn.XLOOKUP(Assessment!#REF!,Inherited!A:A,Inherited!B:B))/100)*(_xlfn.XLOOKUP(Assessment!#REF!,Inherited!A:A,Inherited!F:F)))+(((100-(_xlfn.XLOOKUP(Assessment!#REF!,Inherited!A:A,Inherited!B:B)))/100)*IF(AA108="1.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(100%)","100"))))))&gt;=33,(((_xlfn.XLOOKUP(Assessment!#REF!,Inherited!A:A,Inherited!B:B))/100)*(_xlfn.XLOOKUP(Assessment!#REF!,Inherited!A:A,Inherited!F:F)))+(((100-(_xlfn.XLOOKUP(Assessment!#REF!,Inherited!A:A,Inherited!B:B)))/100)*IF(AA108="1.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(100%)","100"))))))&lt;=65),"50",IF(AND((((_xlfn.XLOOKUP(Assessment!#REF!,Inherited!A:A,Inherited!B:B))/100)*(_xlfn.XLOOKUP(Assessment!#REF!,Inherited!A:A,Inherited!F:F)))+(((100-(_xlfn.XLOOKUP(Assessment!#REF!,Inherited!A:A,Inherited!B:B)))/100)*IF(AA108="1.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(100%)","100"))))))&gt;=66,(((_xlfn.XLOOKUP(Assessment!#REF!,Inherited!A:A,Inherited!B:B))/100)*(_xlfn.XLOOKUP(Assessment!#REF!,Inherited!A:A,Inherited!F:F)))+(((100-(_xlfn.XLOOKUP(Assessment!#REF!,Inherited!A:A,Inherited!B:B)))/100)*IF(AA108="1.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(100%)","100"))))))&lt;=89),"75",IF((((_xlfn.XLOOKUP(Assessment!#REF!,Inherited!A:A,Inherited!B:B))/100)*(_xlfn.XLOOKUP(Assessment!#REF!,Inherited!A:A,Inherited!F:F)))+(((100-(_xlfn.XLOOKUP(Assessment!#REF!,Inherited!A:A,Inherited!B:B)))/100)*IF(AA108="1. Non Compliant (0%)","0",IF(AA108="2. Somewhat Compliant (25%)","25",IF(AA108="3. Partially Compliant (50%)","50",IF(AA108="4. Mostly Compliant (75%)","75",IF(AA108="5. Fully Compliant (100%)","100"))))))&gt;=90,"100"))))))</f>
        <v>#N/A</v>
      </c>
      <c r="U108" s="1" t="e">
        <f>IF(MATCH(H108,Inherited!A:A),IF((((_xlfn.XLOOKUP(Assessment!#REF!,Inherited!A:A,Inherited!B:B))/100)*(_xlfn.XLOOKUP(Assessment!#REF!,Inherited!A:A,Inherited!G:G)))+(((100-(_xlfn.XLOOKUP(Assessment!#REF!,Inherited!A:A,Inherited!B:B)))/100)*IF(AB108="1.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(100%)","100"))))))&lt;=10,"0", IF(AND((((_xlfn.XLOOKUP(Assessment!#REF!,Inherited!A:A,Inherited!B:B))/100)*(_xlfn.XLOOKUP(Assessment!#REF!,Inherited!A:A,Inherited!G:G)))+(((100-(_xlfn.XLOOKUP(Assessment!#REF!,Inherited!A:A,Inherited!B:B)))/100)*IF(AB108="1.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(100%)","100"))))))&gt;=11,(((_xlfn.XLOOKUP(Assessment!#REF!,Inherited!A:A,Inherited!B:B))/100)*(_xlfn.XLOOKUP(Assessment!#REF!,Inherited!A:A,Inherited!G:G)))+(((100-(_xlfn.XLOOKUP(Assessment!#REF!,Inherited!A:A,Inherited!B:B)))/100)*IF(AB108="1.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(100%)","100"))))))&lt;=32),"25",IF(AND((((_xlfn.XLOOKUP(Assessment!#REF!,Inherited!A:A,Inherited!B:B))/100)*(_xlfn.XLOOKUP(Assessment!#REF!,Inherited!A:A,Inherited!G:G)))+(((100-(_xlfn.XLOOKUP(Assessment!#REF!,Inherited!A:A,Inherited!B:B)))/100)*IF(AB108="1.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(100%)","100"))))))&gt;=33,(((_xlfn.XLOOKUP(Assessment!#REF!,Inherited!A:A,Inherited!B:B))/100)*(_xlfn.XLOOKUP(Assessment!#REF!,Inherited!A:A,Inherited!G:G)))+(((100-(_xlfn.XLOOKUP(Assessment!#REF!,Inherited!A:A,Inherited!B:B)))/100)*IF(AB108="1.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(100%)","100"))))))&lt;=65),"50",IF(AND((((_xlfn.XLOOKUP(Assessment!#REF!,Inherited!A:A,Inherited!B:B))/100)*(_xlfn.XLOOKUP(Assessment!#REF!,Inherited!A:A,Inherited!G:G)))+(((100-(_xlfn.XLOOKUP(Assessment!#REF!,Inherited!A:A,Inherited!B:B)))/100)*IF(AB108="1.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(100%)","100"))))))&gt;=66,(((_xlfn.XLOOKUP(Assessment!#REF!,Inherited!A:A,Inherited!B:B))/100)*(_xlfn.XLOOKUP(Assessment!#REF!,Inherited!A:A,Inherited!G:G)))+(((100-(_xlfn.XLOOKUP(Assessment!#REF!,Inherited!A:A,Inherited!B:B)))/100)*IF(AB108="1.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(100%)","100"))))))&lt;=89),"75",IF((((_xlfn.XLOOKUP(Assessment!#REF!,Inherited!A:A,Inherited!B:B))/100)*(_xlfn.XLOOKUP(Assessment!#REF!,Inherited!A:A,Inherited!G:G)))+(((100-(_xlfn.XLOOKUP(Assessment!#REF!,Inherited!A:A,Inherited!B:B)))/100)*IF(AB108="1. Non Compliant (0%)","0",IF(AB108="2. Somewhat Compliant (25%)","25",IF(AB108="3. Partially Compliant (50%)","50",IF(AB108="4. Mostly Compliant (75%)","75",IF(AB108="5. Fully Compliant (100%)","100"))))))&gt;=90,"100"))))))</f>
        <v>#N/A</v>
      </c>
      <c r="V108" s="55" t="s">
        <v>85</v>
      </c>
      <c r="W108" s="55"/>
      <c r="X108" s="55"/>
      <c r="Y108" s="55"/>
      <c r="Z108" s="55" t="s">
        <v>10873</v>
      </c>
      <c r="AA108" s="55"/>
      <c r="AB108" s="55"/>
      <c r="AK108" s="1" t="s">
        <v>10978</v>
      </c>
      <c r="AL108" s="1" t="s">
        <v>10992</v>
      </c>
      <c r="AP108" s="1" t="s">
        <v>11087</v>
      </c>
      <c r="AX108" s="3" t="str">
        <f>_xlfn.CONCAT("A-LIGN finished its review of this control on ",AR108, " during the scheduled fieldwork window (",Intro!$B$4,")."&amp; CHAR(10)&amp; CHAR(10))</f>
        <v xml:space="preserve">A-LIGN finished its review of this control on  during the scheduled fieldwork window (Fieldwork: xx/xx/xxxx - xx/xx/xxxx).
</v>
      </c>
      <c r="AY108" s="3" t="str">
        <f t="shared" si="211"/>
        <v/>
      </c>
      <c r="AZ108" s="3" t="str">
        <f t="shared" si="212"/>
        <v/>
      </c>
      <c r="BA108" s="3" t="str">
        <f t="shared" si="213"/>
        <v/>
      </c>
      <c r="BB108" s="3" t="str">
        <f t="shared" si="2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v>
      </c>
      <c r="BC108" s="3" t="str">
        <f t="shared" si="215"/>
        <v/>
      </c>
      <c r="BD108" s="3" t="str">
        <f t="shared" si="2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Do not have assurance that AI systems being used are monitored as outlined within the requirement statement. 
Recommendation:
Management should ensure that AI policies and procedures are developed considering the following:
- outlines artificial intelligence log management process
Management should ensure that AI systems being used (Vertex and Gemini) are monitored and consider the following:
- logging includes: the exact input
- logging includes: the date and time of the input
- logging includes: the user account making the request
- logging includes: where the request originated
- logging includes: the exact output provided
- logging includes: the version of the model used
- logs managed in accordance with organization's audit logging and monitoring program 
</v>
      </c>
      <c r="BE108" s="3" t="str">
        <f t="shared" si="217"/>
        <v/>
      </c>
      <c r="BF108" s="3" t="str">
        <f t="shared" si="218"/>
        <v/>
      </c>
      <c r="BG108" s="3" t="str">
        <f>_xlfn.CONCAT((IF((COUNTIF('Sample Tables'!B:B,"")&gt;0)=TRUE,_xlfn.CONCAT("",""),IF((COUNTIF('Sample Tables'!B:B,"")&gt;0)=FALSE,""))),)</f>
        <v/>
      </c>
      <c r="BH108" s="3" t="str">
        <f t="shared" si="2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AI systems being used (Vertex and Gemini) will be evaluated against these configurations. However, confirmation needs to be obtained that the systems are secured as such. 
Client note: Review AI Security (Model Armor) for these configurations.
Note: Google SecOps is used to aggregate and collect logs from the Google Workspace and GCP. 
Foresite is used as a managed SOC to evaluate logs aggregated by Google SecOps.
Examined the following evidence during fieldwork:
Reviewed evidence addressed the requirement statement.
Reviewed evidence exception note: 
Gap: 
AI policies and procedures considering the details of the requirement statement are not formally maintained at this time.
Do not have assurance that AI systems being used are monitored as outlined within the requirement statement. 
Recommendation:
Management should ensure that AI policies and procedures are developed considering the following:
- outlines artificial intelligence log management process
Management should ensure that AI systems being used (Vertex and Gemini) are monitored and consider the following:
- logging includes: the exact input
- logging includes: the date and time of the input
- logging includes: the user account making the request
- logging includes: where the request originated
- logging includes: the exact output provided
- logging includes: the version of the model used
- logs managed in accordance with organization's audit logging and monitoring program 
</v>
      </c>
    </row>
    <row r="109" spans="3:60" ht="225" x14ac:dyDescent="0.35">
      <c r="C109" s="1">
        <f t="shared" ref="C109:C110" si="220">IF(V109="No","Not Applicable",(IF(X109="1. Non Compliant (0%)","0",IF(X109="2. Somewhat Compliant (25%)","25",IF(X109="3. Partially Compliant (50%)","50",IF(X109="4. Mostly Compliant (75%)","75",IF(X109="5. Fully Compliant (100%)","100")))))*0.15)+((IF(Y109="1. Non Compliant (0%)","0",IF(Y109="2. Somewhat Compliant (25%)","25",IF(Y109="3. Partially Compliant (50%)","50",IF(Y109="4. Mostly Compliant (75%)","75",IF(Y109="5. Fully Compliant (100%)","100"))))))*0.2)+(IF(Z109="1. Non Compliant (0%)","0",IF(Z109="2. Somewhat Compliant (25%)","25",IF(Z109="3. Partially Compliant (50%)","50",IF(Z109="4. Mostly Compliant (75%)","75",IF(Z109="5. Fully Compliant (100%)","100")))))*0.4)+(IF(AA109="1. Non Compliant (0%)","0",IF(AA109="2. Somewhat Compliant (25%)","25",IF(AA109="3. Partially Compliant (50%)","50",IF(AA109="4. Mostly Compliant (75%)","75",IF(AA109="5. Fully Compliant (100%)","100")))))*0.1)+(IF(AB109="1. Non Compliant (0%)","0",IF(AB109="2. Somewhat Compliant (25%)","25",IF(AB109="3. Partially Compliant (50%)","50",IF(AB109="4. Mostly Compliant (75%)","75",IF(AB109="5. Fully Compliant (100%)","100")))))*0.15))</f>
        <v>0</v>
      </c>
      <c r="D109" s="5" t="str">
        <f>IF(AND((_xlfn.XLOOKUP(J109,'Fields &amp; Revisions'!$H:$H,'Fields &amp; Revisions'!$I:$I))&lt;70.99,(OR(Z109="4. Mostly Compliant (75%)",Z109="3. Partially Compliant (50%)",Z109="2. Somewhat Compliant (25%)",Z109="1. Non Compliant (0%)"))),"Yes","No")</f>
        <v>No</v>
      </c>
      <c r="E109" s="5" t="str">
        <f>IF(ISERROR(VLOOKUP(H109,Scope!A:A,1,FALSE)),"No","Yes")</f>
        <v>Yes</v>
      </c>
      <c r="F109" s="1" t="s">
        <v>3189</v>
      </c>
      <c r="G109" s="53" t="s">
        <v>3415</v>
      </c>
      <c r="H109" s="53" t="s">
        <v>3416</v>
      </c>
      <c r="I109" s="5">
        <v>1</v>
      </c>
      <c r="J109" s="1" t="s">
        <v>3192</v>
      </c>
      <c r="K109" s="1" t="s">
        <v>3417</v>
      </c>
      <c r="L109" s="1" t="s">
        <v>3418</v>
      </c>
      <c r="M109" s="1" t="s">
        <v>3419</v>
      </c>
      <c r="N109" s="5" t="s">
        <v>98</v>
      </c>
      <c r="O109" s="1" t="str">
        <f>_xlfn.XLOOKUP(G109,SRMs!$A:$A,SRMs!$D:$D)</f>
        <v>PARTIAL INHERITANCE</v>
      </c>
      <c r="P109" s="1" t="str">
        <f>IFERROR(VLOOKUP(H109,Inherited!A:B,2,FALSE),"")</f>
        <v/>
      </c>
      <c r="Q109" s="1" t="e">
        <f>IF(MATCH(H109,Inherited!A:A),IF((((_xlfn.XLOOKUP(Assessment!#REF!,Inherited!A:A,Inherited!B:B))/100)*(_xlfn.XLOOKUP(Assessment!#REF!,Inherited!A:A,Inherited!C:C)))+(((100-(_xlfn.XLOOKUP(Assessment!#REF!,Inherited!A:A,Inherited!B:B)))/100)*IF(X109="1.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(100%)","100"))))))&lt;=10,"0", IF(AND((((_xlfn.XLOOKUP(Assessment!#REF!,Inherited!A:A,Inherited!B:B))/100)*(_xlfn.XLOOKUP(Assessment!#REF!,Inherited!A:A,Inherited!C:C)))+(((100-(_xlfn.XLOOKUP(Assessment!#REF!,Inherited!A:A,Inherited!B:B)))/100)*IF(X109="1.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(100%)","100"))))))&gt;=11,(((_xlfn.XLOOKUP(Assessment!#REF!,Inherited!A:A,Inherited!B:B))/100)*(_xlfn.XLOOKUP(Assessment!#REF!,Inherited!A:A,Inherited!C:C)))+(((100-(_xlfn.XLOOKUP(Assessment!#REF!,Inherited!A:A,Inherited!B:B)))/100)*IF(X109="1.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(100%)","100"))))))&lt;=32),"25",IF(AND((((_xlfn.XLOOKUP(Assessment!#REF!,Inherited!A:A,Inherited!B:B))/100)*(_xlfn.XLOOKUP(Assessment!#REF!,Inherited!A:A,Inherited!C:C)))+(((100-(_xlfn.XLOOKUP(Assessment!#REF!,Inherited!A:A,Inherited!B:B)))/100)*IF(X109="1.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(100%)","100"))))))&gt;=33,(((_xlfn.XLOOKUP(Assessment!#REF!,Inherited!A:A,Inherited!B:B))/100)*(_xlfn.XLOOKUP(Assessment!#REF!,Inherited!A:A,Inherited!C:C)))+(((100-(_xlfn.XLOOKUP(Assessment!#REF!,Inherited!A:A,Inherited!B:B)))/100)*IF(X109="1.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(100%)","100"))))))&lt;=65),"50",IF(AND((((_xlfn.XLOOKUP(Assessment!#REF!,Inherited!A:A,Inherited!B:B))/100)*(_xlfn.XLOOKUP(Assessment!#REF!,Inherited!A:A,Inherited!C:C)))+(((100-(_xlfn.XLOOKUP(Assessment!#REF!,Inherited!A:A,Inherited!B:B)))/100)*IF(X109="1.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(100%)","100"))))))&gt;=66,(((_xlfn.XLOOKUP(Assessment!#REF!,Inherited!A:A,Inherited!B:B))/100)*(_xlfn.XLOOKUP(Assessment!#REF!,Inherited!A:A,Inherited!C:C)))+(((100-(_xlfn.XLOOKUP(Assessment!#REF!,Inherited!A:A,Inherited!B:B)))/100)*IF(X109="1.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(100%)","100"))))))&lt;=89),"75",IF((((_xlfn.XLOOKUP(Assessment!#REF!,Inherited!A:A,Inherited!B:B))/100)*(_xlfn.XLOOKUP(Assessment!#REF!,Inherited!A:A,Inherited!C:C)))+(((100-(_xlfn.XLOOKUP(Assessment!#REF!,Inherited!A:A,Inherited!B:B)))/100)*IF(X109="1. Non Compliant (0%)","0",IF(X109="2. Somewhat Compliant (25%)","25",IF(X109="3. Partially Compliant (50%)","50",IF(X109="4. Mostly Compliant (75%)","75",IF(X109="5. Fully Compliant (100%)","100"))))))&gt;=90,"100"))))))</f>
        <v>#N/A</v>
      </c>
      <c r="R109" s="1" t="e">
        <f>IF(MATCH(H109,Inherited!A:A),IF((((_xlfn.XLOOKUP(Assessment!#REF!,Inherited!A:A,Inherited!B:B))/100)*(_xlfn.XLOOKUP(Assessment!#REF!,Inherited!A:A,Inherited!D:D)))+(((100-(_xlfn.XLOOKUP(Assessment!#REF!,Inherited!A:A,Inherited!B:B)))/100)*IF(Y109="1.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(100%)","100"))))))&lt;=10,"0", IF(AND((((_xlfn.XLOOKUP(Assessment!#REF!,Inherited!A:A,Inherited!B:B))/100)*(_xlfn.XLOOKUP(Assessment!#REF!,Inherited!A:A,Inherited!D:D)))+(((100-(_xlfn.XLOOKUP(Assessment!#REF!,Inherited!A:A,Inherited!B:B)))/100)*IF(Y109="1.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(100%)","100"))))))&gt;=11,(((_xlfn.XLOOKUP(Assessment!#REF!,Inherited!A:A,Inherited!B:B))/100)*(_xlfn.XLOOKUP(Assessment!#REF!,Inherited!A:A,Inherited!D:D)))+(((100-(_xlfn.XLOOKUP(Assessment!#REF!,Inherited!A:A,Inherited!B:B)))/100)*IF(Y109="1.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(100%)","100"))))))&lt;=32),"25",IF(AND((((_xlfn.XLOOKUP(Assessment!#REF!,Inherited!A:A,Inherited!B:B))/100)*(_xlfn.XLOOKUP(Assessment!#REF!,Inherited!A:A,Inherited!D:D)))+(((100-(_xlfn.XLOOKUP(Assessment!#REF!,Inherited!A:A,Inherited!B:B)))/100)*IF(Y109="1.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(100%)","100"))))))&gt;=33,(((_xlfn.XLOOKUP(Assessment!#REF!,Inherited!A:A,Inherited!B:B))/100)*(_xlfn.XLOOKUP(Assessment!#REF!,Inherited!A:A,Inherited!D:D)))+(((100-(_xlfn.XLOOKUP(Assessment!#REF!,Inherited!A:A,Inherited!B:B)))/100)*IF(Y109="1.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(100%)","100"))))))&lt;=65),"50",IF(AND((((_xlfn.XLOOKUP(Assessment!#REF!,Inherited!A:A,Inherited!B:B))/100)*(_xlfn.XLOOKUP(Assessment!#REF!,Inherited!A:A,Inherited!D:D)))+(((100-(_xlfn.XLOOKUP(Assessment!#REF!,Inherited!A:A,Inherited!B:B)))/100)*IF(Y109="1.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(100%)","100"))))))&gt;=66,(((_xlfn.XLOOKUP(Assessment!#REF!,Inherited!A:A,Inherited!B:B))/100)*(_xlfn.XLOOKUP(Assessment!#REF!,Inherited!A:A,Inherited!D:D)))+(((100-(_xlfn.XLOOKUP(Assessment!#REF!,Inherited!A:A,Inherited!B:B)))/100)*IF(Y109="1.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(100%)","100"))))))&lt;=89),"75",IF((((_xlfn.XLOOKUP(Assessment!#REF!,Inherited!A:A,Inherited!B:B))/100)*(_xlfn.XLOOKUP(Assessment!#REF!,Inherited!A:A,Inherited!D:D)))+(((100-(_xlfn.XLOOKUP(Assessment!#REF!,Inherited!A:A,Inherited!B:B)))/100)*IF(Y109="1. Non Compliant (0%)","0",IF(Y109="2. Somewhat Compliant (25%)","25",IF(Y109="3. Partially Compliant (50%)","50",IF(Y109="4. Mostly Compliant (75%)","75",IF(Y109="5. Fully Compliant (100%)","100"))))))&gt;=90,"100"))))))</f>
        <v>#N/A</v>
      </c>
      <c r="S109" s="1" t="e">
        <f>IF(MATCH(H109,Inherited!A:A),IF((((_xlfn.XLOOKUP(Assessment!#REF!,Inherited!A:A,Inherited!B:B))/100)*(_xlfn.XLOOKUP(Assessment!#REF!,Inherited!A:A,Inherited!E:E)))+(((100-(_xlfn.XLOOKUP(Assessment!#REF!,Inherited!A:A,Inherited!B:B)))/100)*IF(Z109="1.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(100%)","100"))))))&lt;=10,"0", IF(AND((((_xlfn.XLOOKUP(Assessment!#REF!,Inherited!A:A,Inherited!B:B))/100)*(_xlfn.XLOOKUP(Assessment!#REF!,Inherited!A:A,Inherited!E:E)))+(((100-(_xlfn.XLOOKUP(Assessment!#REF!,Inherited!A:A,Inherited!B:B)))/100)*IF(Z109="1.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(100%)","100"))))))&gt;=11,(((_xlfn.XLOOKUP(Assessment!#REF!,Inherited!A:A,Inherited!B:B))/100)*(_xlfn.XLOOKUP(Assessment!#REF!,Inherited!A:A,Inherited!E:E)))+(((100-(_xlfn.XLOOKUP(Assessment!#REF!,Inherited!A:A,Inherited!B:B)))/100)*IF(Z109="1.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(100%)","100"))))))&lt;=32),"25",IF(AND((((_xlfn.XLOOKUP(Assessment!#REF!,Inherited!A:A,Inherited!B:B))/100)*(_xlfn.XLOOKUP(Assessment!#REF!,Inherited!A:A,Inherited!E:E)))+(((100-(_xlfn.XLOOKUP(Assessment!#REF!,Inherited!A:A,Inherited!B:B)))/100)*IF(Z109="1.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(100%)","100"))))))&gt;=33,(((_xlfn.XLOOKUP(Assessment!#REF!,Inherited!A:A,Inherited!B:B))/100)*(_xlfn.XLOOKUP(Assessment!#REF!,Inherited!A:A,Inherited!E:E)))+(((100-(_xlfn.XLOOKUP(Assessment!#REF!,Inherited!A:A,Inherited!B:B)))/100)*IF(Z109="1.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(100%)","100"))))))&lt;=65),"50",IF(AND((((_xlfn.XLOOKUP(Assessment!#REF!,Inherited!A:A,Inherited!B:B))/100)*(_xlfn.XLOOKUP(Assessment!#REF!,Inherited!A:A,Inherited!E:E)))+(((100-(_xlfn.XLOOKUP(Assessment!#REF!,Inherited!A:A,Inherited!B:B)))/100)*IF(Z109="1.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(100%)","100"))))))&gt;=66,(((_xlfn.XLOOKUP(Assessment!#REF!,Inherited!A:A,Inherited!B:B))/100)*(_xlfn.XLOOKUP(Assessment!#REF!,Inherited!A:A,Inherited!E:E)))+(((100-(_xlfn.XLOOKUP(Assessment!#REF!,Inherited!A:A,Inherited!B:B)))/100)*IF(Z109="1.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(100%)","100"))))))&lt;=89),"75",IF((((_xlfn.XLOOKUP(Assessment!#REF!,Inherited!A:A,Inherited!B:B))/100)*(_xlfn.XLOOKUP(Assessment!#REF!,Inherited!A:A,Inherited!E:E)))+(((100-(_xlfn.XLOOKUP(Assessment!#REF!,Inherited!A:A,Inherited!B:B)))/100)*IF(Z109="1. Non Compliant (0%)","0",IF(Z109="2. Somewhat Compliant (25%)","25",IF(Z109="3. Partially Compliant (50%)","50",IF(Z109="4. Mostly Compliant (75%)","75",IF(Z109="5. Fully Compliant (100%)","100"))))))&gt;=90,"100"))))))</f>
        <v>#N/A</v>
      </c>
      <c r="T109" s="1" t="e">
        <f>IF(MATCH(H109,Inherited!A:A),IF((((_xlfn.XLOOKUP(Assessment!#REF!,Inherited!A:A,Inherited!B:B))/100)*(_xlfn.XLOOKUP(Assessment!#REF!,Inherited!A:A,Inherited!F:F)))+(((100-(_xlfn.XLOOKUP(Assessment!#REF!,Inherited!A:A,Inherited!B:B)))/100)*IF(AA109="1.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(100%)","100"))))))&lt;=10,"0", IF(AND((((_xlfn.XLOOKUP(Assessment!#REF!,Inherited!A:A,Inherited!B:B))/100)*(_xlfn.XLOOKUP(Assessment!#REF!,Inherited!A:A,Inherited!F:F)))+(((100-(_xlfn.XLOOKUP(Assessment!#REF!,Inherited!A:A,Inherited!B:B)))/100)*IF(AA109="1.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(100%)","100"))))))&gt;=11,(((_xlfn.XLOOKUP(Assessment!#REF!,Inherited!A:A,Inherited!B:B))/100)*(_xlfn.XLOOKUP(Assessment!#REF!,Inherited!A:A,Inherited!F:F)))+(((100-(_xlfn.XLOOKUP(Assessment!#REF!,Inherited!A:A,Inherited!B:B)))/100)*IF(AA109="1.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(100%)","100"))))))&lt;=32),"25",IF(AND((((_xlfn.XLOOKUP(Assessment!#REF!,Inherited!A:A,Inherited!B:B))/100)*(_xlfn.XLOOKUP(Assessment!#REF!,Inherited!A:A,Inherited!F:F)))+(((100-(_xlfn.XLOOKUP(Assessment!#REF!,Inherited!A:A,Inherited!B:B)))/100)*IF(AA109="1.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(100%)","100"))))))&gt;=33,(((_xlfn.XLOOKUP(Assessment!#REF!,Inherited!A:A,Inherited!B:B))/100)*(_xlfn.XLOOKUP(Assessment!#REF!,Inherited!A:A,Inherited!F:F)))+(((100-(_xlfn.XLOOKUP(Assessment!#REF!,Inherited!A:A,Inherited!B:B)))/100)*IF(AA109="1.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(100%)","100"))))))&lt;=65),"50",IF(AND((((_xlfn.XLOOKUP(Assessment!#REF!,Inherited!A:A,Inherited!B:B))/100)*(_xlfn.XLOOKUP(Assessment!#REF!,Inherited!A:A,Inherited!F:F)))+(((100-(_xlfn.XLOOKUP(Assessment!#REF!,Inherited!A:A,Inherited!B:B)))/100)*IF(AA109="1.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(100%)","100"))))))&gt;=66,(((_xlfn.XLOOKUP(Assessment!#REF!,Inherited!A:A,Inherited!B:B))/100)*(_xlfn.XLOOKUP(Assessment!#REF!,Inherited!A:A,Inherited!F:F)))+(((100-(_xlfn.XLOOKUP(Assessment!#REF!,Inherited!A:A,Inherited!B:B)))/100)*IF(AA109="1.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(100%)","100"))))))&lt;=89),"75",IF((((_xlfn.XLOOKUP(Assessment!#REF!,Inherited!A:A,Inherited!B:B))/100)*(_xlfn.XLOOKUP(Assessment!#REF!,Inherited!A:A,Inherited!F:F)))+(((100-(_xlfn.XLOOKUP(Assessment!#REF!,Inherited!A:A,Inherited!B:B)))/100)*IF(AA109="1. Non Compliant (0%)","0",IF(AA109="2. Somewhat Compliant (25%)","25",IF(AA109="3. Partially Compliant (50%)","50",IF(AA109="4. Mostly Compliant (75%)","75",IF(AA109="5. Fully Compliant (100%)","100"))))))&gt;=90,"100"))))))</f>
        <v>#N/A</v>
      </c>
      <c r="U109" s="1" t="e">
        <f>IF(MATCH(H109,Inherited!A:A),IF((((_xlfn.XLOOKUP(Assessment!#REF!,Inherited!A:A,Inherited!B:B))/100)*(_xlfn.XLOOKUP(Assessment!#REF!,Inherited!A:A,Inherited!G:G)))+(((100-(_xlfn.XLOOKUP(Assessment!#REF!,Inherited!A:A,Inherited!B:B)))/100)*IF(AB109="1.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(100%)","100"))))))&lt;=10,"0", IF(AND((((_xlfn.XLOOKUP(Assessment!#REF!,Inherited!A:A,Inherited!B:B))/100)*(_xlfn.XLOOKUP(Assessment!#REF!,Inherited!A:A,Inherited!G:G)))+(((100-(_xlfn.XLOOKUP(Assessment!#REF!,Inherited!A:A,Inherited!B:B)))/100)*IF(AB109="1.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(100%)","100"))))))&gt;=11,(((_xlfn.XLOOKUP(Assessment!#REF!,Inherited!A:A,Inherited!B:B))/100)*(_xlfn.XLOOKUP(Assessment!#REF!,Inherited!A:A,Inherited!G:G)))+(((100-(_xlfn.XLOOKUP(Assessment!#REF!,Inherited!A:A,Inherited!B:B)))/100)*IF(AB109="1.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(100%)","100"))))))&lt;=32),"25",IF(AND((((_xlfn.XLOOKUP(Assessment!#REF!,Inherited!A:A,Inherited!B:B))/100)*(_xlfn.XLOOKUP(Assessment!#REF!,Inherited!A:A,Inherited!G:G)))+(((100-(_xlfn.XLOOKUP(Assessment!#REF!,Inherited!A:A,Inherited!B:B)))/100)*IF(AB109="1.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(100%)","100"))))))&gt;=33,(((_xlfn.XLOOKUP(Assessment!#REF!,Inherited!A:A,Inherited!B:B))/100)*(_xlfn.XLOOKUP(Assessment!#REF!,Inherited!A:A,Inherited!G:G)))+(((100-(_xlfn.XLOOKUP(Assessment!#REF!,Inherited!A:A,Inherited!B:B)))/100)*IF(AB109="1.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(100%)","100"))))))&lt;=65),"50",IF(AND((((_xlfn.XLOOKUP(Assessment!#REF!,Inherited!A:A,Inherited!B:B))/100)*(_xlfn.XLOOKUP(Assessment!#REF!,Inherited!A:A,Inherited!G:G)))+(((100-(_xlfn.XLOOKUP(Assessment!#REF!,Inherited!A:A,Inherited!B:B)))/100)*IF(AB109="1.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(100%)","100"))))))&gt;=66,(((_xlfn.XLOOKUP(Assessment!#REF!,Inherited!A:A,Inherited!B:B))/100)*(_xlfn.XLOOKUP(Assessment!#REF!,Inherited!A:A,Inherited!G:G)))+(((100-(_xlfn.XLOOKUP(Assessment!#REF!,Inherited!A:A,Inherited!B:B)))/100)*IF(AB109="1.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(100%)","100"))))))&lt;=89),"75",IF((((_xlfn.XLOOKUP(Assessment!#REF!,Inherited!A:A,Inherited!B:B))/100)*(_xlfn.XLOOKUP(Assessment!#REF!,Inherited!A:A,Inherited!G:G)))+(((100-(_xlfn.XLOOKUP(Assessment!#REF!,Inherited!A:A,Inherited!B:B)))/100)*IF(AB109="1. Non Compliant (0%)","0",IF(AB109="2. Somewhat Compliant (25%)","25",IF(AB109="3. Partially Compliant (50%)","50",IF(AB109="4. Mostly Compliant (75%)","75",IF(AB109="5. Fully Compliant (100%)","100"))))))&gt;=90,"100"))))))</f>
        <v>#N/A</v>
      </c>
      <c r="V109" s="55" t="s">
        <v>85</v>
      </c>
      <c r="W109" s="55"/>
      <c r="X109" s="55"/>
      <c r="Y109" s="55"/>
      <c r="Z109" s="55"/>
      <c r="AA109" s="55"/>
      <c r="AB109" s="55"/>
      <c r="AK109" s="1" t="s">
        <v>10891</v>
      </c>
      <c r="AX109" s="3" t="str">
        <f>_xlfn.CONCAT("A-LIGN finished its review of this control on ",AR109, " during the scheduled fieldwork window (",Intro!$B$4,")."&amp; CHAR(10)&amp; CHAR(10))</f>
        <v xml:space="preserve">A-LIGN finished its review of this control on  during the scheduled fieldwork window (Fieldwork: xx/xx/xxxx - xx/xx/xxxx).
</v>
      </c>
      <c r="AY109" s="3" t="str">
        <f t="shared" ref="AY109:AY110" si="221">IF(AQ109&lt;&gt;"",(_xlfn.CONCAT("Inheritance note: "&amp; CHAR(10),AQ109&amp; CHAR(10)&amp; CHAR(10))),"")</f>
        <v/>
      </c>
      <c r="AZ109" s="3" t="str">
        <f t="shared" ref="AZ109:AZ110" si="222">IFERROR(IF(AD109&lt;&gt;"",_xlfn.CONCAT("Examined the following policy during fieldwork:"&amp; CHAR(10),AD109&amp; CHAR(10)&amp; CHAR(10),IF(AND(X109&lt;&gt;"5. Fully Compliant (100%)",AE109&lt;&gt;""),"Reviewed policy exception note:"&amp; CHAR(10) &amp; AE109 &amp; CHAR(10) &amp; CHAR(10),"")),""),"")</f>
        <v/>
      </c>
      <c r="BA109" s="3" t="str">
        <f t="shared" ref="BA109:BA110" si="223">IFERROR(IF(AH109&lt;&gt;"",_xlfn.CONCAT("Examined the following process during fieldwork:"&amp; CHAR(10),AH109&amp; CHAR(10)&amp; CHAR(10),IF(AND(Y109&lt;&gt;"5. Fully Compliant (100%)",AI109&lt;&gt;""),"Reviewed process exception note:"&amp; CHAR(10) &amp; AI109 &amp; CHAR(10) &amp; CHAR(10),"")),""),"")</f>
        <v/>
      </c>
      <c r="BB109" s="3" t="str">
        <f t="shared" ref="BB109:BB110" si="224">IF(AK109&lt;&gt;"",(_xlfn.CONCAT("Inquired of the following workforce member: "&amp; CHAR(10),AK109&amp; CHAR(10)&amp; CHAR(10),"Inquiry lead to the following conclusions: "&amp; CHAR(10),AL109&amp; CHAR(10) &amp; CHAR(10))),"")</f>
        <v xml:space="preserve">Inquired of the following workforce member: 
Matthew Macaluso - Director of System Operations
Roze Nicolas - Director of TechOps
Inquiry lead to the following conclusions: 
</v>
      </c>
      <c r="BC109" s="3" t="str">
        <f t="shared" ref="BC109:BC110" si="225">IF(AM109&lt;&gt;"",(_xlfn.CONCAT("Observed the following live during fieldwork: "&amp; CHAR(10),AM109&amp; CHAR(10) &amp; CHAR(10))),"")</f>
        <v/>
      </c>
      <c r="BD109" s="3" t="str">
        <f t="shared" ref="BD109:BD110" si="226">_xlfn.CONCAT("Examined the following evidence during fieldwork:"&amp; CHAR(10),AN109&amp; CHAR(10)&amp; CHAR(10),IF(AO109&lt;&gt;"","Reviewed evidence note:"&amp; CHAR(10)&amp;AO109&amp; CHAR(10) &amp; CHAR(10),"Reviewed evidence addressed the requirement statement."&amp; CHAR(10) &amp; CHAR(10)),IF(AND(AP109&lt;&gt;"5. Fully Compliant (100%)",AP109&lt;&gt;""),"Reviewed evidence exception note: "&amp; CHAR(10) &amp; AP109 &amp; CHAR(10) &amp; CHAR(10),""))</f>
        <v xml:space="preserve">Examined the following evidence during fieldwork:
Reviewed evidence addressed the requirement statement.
</v>
      </c>
      <c r="BE109" s="3" t="str">
        <f t="shared" ref="BE109:BE110" si="227">IF(AT109&lt;&gt;"",(_xlfn.CONCAT("Examined the following measure/metric during fieldwork:"&amp; CHAR(10),AT109&amp; CHAR(10)&amp; CHAR(10),"Reviewed measure/metric note:"&amp; CHAR(10),AU109 &amp; CHAR(10) &amp; CHAR(10))),"")</f>
        <v/>
      </c>
      <c r="BF109" s="3" t="str">
        <f t="shared" ref="BF109:BF110" si="228">IF(AV109&lt;&gt;"",(_xlfn.CONCAT("Examined the following measure/metric management during fieldwork:"&amp; CHAR(10),AV109&amp; CHAR(10)&amp; CHAR(10),"Reviewed measure/metric management note:"&amp; CHAR(10),AW109 &amp; CHAR(10) &amp; CHAR(10))),"")</f>
        <v/>
      </c>
      <c r="BG109" s="3" t="str">
        <f>_xlfn.CONCAT((IF((COUNTIF('Sample Tables'!B:B,"")&gt;0)=TRUE,_xlfn.CONCAT("",""),IF((COUNTIF('Sample Tables'!B:B,"")&gt;0)=FALSE,""))),)</f>
        <v/>
      </c>
      <c r="BH109" s="3" t="str">
        <f t="shared" ref="BH109:BH110" si="229">IF(V109="No","Not Applicable: "&amp;W109,(_xlfn.CONCAT(AX109,AY109,AZ109,BA109,BB109,BC109,BD109,BE109,BF109,BG109)))</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Examined the following evidence during fieldwork:
Reviewed evidence addressed the requirement statement.
</v>
      </c>
    </row>
    <row r="110" spans="3:60" ht="287.5" x14ac:dyDescent="0.35">
      <c r="C110" s="1">
        <f t="shared" si="220"/>
        <v>40</v>
      </c>
      <c r="D110" s="5" t="str">
        <f>IF(AND((_xlfn.XLOOKUP(J110,'Fields &amp; Revisions'!$H:$H,'Fields &amp; Revisions'!$I:$I))&lt;70.99,(OR(Z110="4. Mostly Compliant (75%)",Z110="3. Partially Compliant (50%)",Z110="2. Somewhat Compliant (25%)",Z110="1. Non Compliant (0%)"))),"Yes","No")</f>
        <v>No</v>
      </c>
      <c r="E110" s="5" t="str">
        <f>IF(ISERROR(VLOOKUP(H110,Scope!A:A,1,FALSE)),"No","Yes")</f>
        <v>Yes</v>
      </c>
      <c r="F110" s="1" t="s">
        <v>3189</v>
      </c>
      <c r="G110" s="53" t="s">
        <v>3470</v>
      </c>
      <c r="H110" s="53" t="s">
        <v>3471</v>
      </c>
      <c r="I110" s="5">
        <v>1</v>
      </c>
      <c r="J110" s="1" t="s">
        <v>3323</v>
      </c>
      <c r="K110" s="54" t="s">
        <v>3472</v>
      </c>
      <c r="L110" s="1" t="s">
        <v>3473</v>
      </c>
      <c r="M110" s="1" t="s">
        <v>3474</v>
      </c>
      <c r="N110" s="5" t="s">
        <v>98</v>
      </c>
      <c r="O110" s="1" t="str">
        <f>_xlfn.XLOOKUP(G110,SRMs!$A:$A,SRMs!$D:$D)</f>
        <v>PARTIAL INHERITANCE</v>
      </c>
      <c r="P110" s="1" t="str">
        <f>IFERROR(VLOOKUP(H110,Inherited!A:B,2,FALSE),"")</f>
        <v/>
      </c>
      <c r="Q110" s="1" t="e">
        <f>IF(MATCH(H110,Inherited!A:A),IF((((_xlfn.XLOOKUP(Assessment!#REF!,Inherited!A:A,Inherited!B:B))/100)*(_xlfn.XLOOKUP(Assessment!#REF!,Inherited!A:A,Inherited!C:C)))+(((100-(_xlfn.XLOOKUP(Assessment!#REF!,Inherited!A:A,Inherited!B:B)))/100)*IF(X110="1.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(100%)","100"))))))&lt;=10,"0", IF(AND((((_xlfn.XLOOKUP(Assessment!#REF!,Inherited!A:A,Inherited!B:B))/100)*(_xlfn.XLOOKUP(Assessment!#REF!,Inherited!A:A,Inherited!C:C)))+(((100-(_xlfn.XLOOKUP(Assessment!#REF!,Inherited!A:A,Inherited!B:B)))/100)*IF(X110="1.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(100%)","100"))))))&gt;=11,(((_xlfn.XLOOKUP(Assessment!#REF!,Inherited!A:A,Inherited!B:B))/100)*(_xlfn.XLOOKUP(Assessment!#REF!,Inherited!A:A,Inherited!C:C)))+(((100-(_xlfn.XLOOKUP(Assessment!#REF!,Inherited!A:A,Inherited!B:B)))/100)*IF(X110="1.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(100%)","100"))))))&lt;=32),"25",IF(AND((((_xlfn.XLOOKUP(Assessment!#REF!,Inherited!A:A,Inherited!B:B))/100)*(_xlfn.XLOOKUP(Assessment!#REF!,Inherited!A:A,Inherited!C:C)))+(((100-(_xlfn.XLOOKUP(Assessment!#REF!,Inherited!A:A,Inherited!B:B)))/100)*IF(X110="1.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(100%)","100"))))))&gt;=33,(((_xlfn.XLOOKUP(Assessment!#REF!,Inherited!A:A,Inherited!B:B))/100)*(_xlfn.XLOOKUP(Assessment!#REF!,Inherited!A:A,Inherited!C:C)))+(((100-(_xlfn.XLOOKUP(Assessment!#REF!,Inherited!A:A,Inherited!B:B)))/100)*IF(X110="1.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(100%)","100"))))))&lt;=65),"50",IF(AND((((_xlfn.XLOOKUP(Assessment!#REF!,Inherited!A:A,Inherited!B:B))/100)*(_xlfn.XLOOKUP(Assessment!#REF!,Inherited!A:A,Inherited!C:C)))+(((100-(_xlfn.XLOOKUP(Assessment!#REF!,Inherited!A:A,Inherited!B:B)))/100)*IF(X110="1.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(100%)","100"))))))&gt;=66,(((_xlfn.XLOOKUP(Assessment!#REF!,Inherited!A:A,Inherited!B:B))/100)*(_xlfn.XLOOKUP(Assessment!#REF!,Inherited!A:A,Inherited!C:C)))+(((100-(_xlfn.XLOOKUP(Assessment!#REF!,Inherited!A:A,Inherited!B:B)))/100)*IF(X110="1.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(100%)","100"))))))&lt;=89),"75",IF((((_xlfn.XLOOKUP(Assessment!#REF!,Inherited!A:A,Inherited!B:B))/100)*(_xlfn.XLOOKUP(Assessment!#REF!,Inherited!A:A,Inherited!C:C)))+(((100-(_xlfn.XLOOKUP(Assessment!#REF!,Inherited!A:A,Inherited!B:B)))/100)*IF(X110="1. Non Compliant (0%)","0",IF(X110="2. Somewhat Compliant (25%)","25",IF(X110="3. Partially Compliant (50%)","50",IF(X110="4. Mostly Compliant (75%)","75",IF(X110="5. Fully Compliant (100%)","100"))))))&gt;=90,"100"))))))</f>
        <v>#N/A</v>
      </c>
      <c r="R110" s="1" t="e">
        <f>IF(MATCH(H110,Inherited!A:A),IF((((_xlfn.XLOOKUP(Assessment!#REF!,Inherited!A:A,Inherited!B:B))/100)*(_xlfn.XLOOKUP(Assessment!#REF!,Inherited!A:A,Inherited!D:D)))+(((100-(_xlfn.XLOOKUP(Assessment!#REF!,Inherited!A:A,Inherited!B:B)))/100)*IF(Y110="1.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(100%)","100"))))))&lt;=10,"0", IF(AND((((_xlfn.XLOOKUP(Assessment!#REF!,Inherited!A:A,Inherited!B:B))/100)*(_xlfn.XLOOKUP(Assessment!#REF!,Inherited!A:A,Inherited!D:D)))+(((100-(_xlfn.XLOOKUP(Assessment!#REF!,Inherited!A:A,Inherited!B:B)))/100)*IF(Y110="1.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(100%)","100"))))))&gt;=11,(((_xlfn.XLOOKUP(Assessment!#REF!,Inherited!A:A,Inherited!B:B))/100)*(_xlfn.XLOOKUP(Assessment!#REF!,Inherited!A:A,Inherited!D:D)))+(((100-(_xlfn.XLOOKUP(Assessment!#REF!,Inherited!A:A,Inherited!B:B)))/100)*IF(Y110="1.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(100%)","100"))))))&lt;=32),"25",IF(AND((((_xlfn.XLOOKUP(Assessment!#REF!,Inherited!A:A,Inherited!B:B))/100)*(_xlfn.XLOOKUP(Assessment!#REF!,Inherited!A:A,Inherited!D:D)))+(((100-(_xlfn.XLOOKUP(Assessment!#REF!,Inherited!A:A,Inherited!B:B)))/100)*IF(Y110="1.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(100%)","100"))))))&gt;=33,(((_xlfn.XLOOKUP(Assessment!#REF!,Inherited!A:A,Inherited!B:B))/100)*(_xlfn.XLOOKUP(Assessment!#REF!,Inherited!A:A,Inherited!D:D)))+(((100-(_xlfn.XLOOKUP(Assessment!#REF!,Inherited!A:A,Inherited!B:B)))/100)*IF(Y110="1.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(100%)","100"))))))&lt;=65),"50",IF(AND((((_xlfn.XLOOKUP(Assessment!#REF!,Inherited!A:A,Inherited!B:B))/100)*(_xlfn.XLOOKUP(Assessment!#REF!,Inherited!A:A,Inherited!D:D)))+(((100-(_xlfn.XLOOKUP(Assessment!#REF!,Inherited!A:A,Inherited!B:B)))/100)*IF(Y110="1.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(100%)","100"))))))&gt;=66,(((_xlfn.XLOOKUP(Assessment!#REF!,Inherited!A:A,Inherited!B:B))/100)*(_xlfn.XLOOKUP(Assessment!#REF!,Inherited!A:A,Inherited!D:D)))+(((100-(_xlfn.XLOOKUP(Assessment!#REF!,Inherited!A:A,Inherited!B:B)))/100)*IF(Y110="1.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(100%)","100"))))))&lt;=89),"75",IF((((_xlfn.XLOOKUP(Assessment!#REF!,Inherited!A:A,Inherited!B:B))/100)*(_xlfn.XLOOKUP(Assessment!#REF!,Inherited!A:A,Inherited!D:D)))+(((100-(_xlfn.XLOOKUP(Assessment!#REF!,Inherited!A:A,Inherited!B:B)))/100)*IF(Y110="1. Non Compliant (0%)","0",IF(Y110="2. Somewhat Compliant (25%)","25",IF(Y110="3. Partially Compliant (50%)","50",IF(Y110="4. Mostly Compliant (75%)","75",IF(Y110="5. Fully Compliant (100%)","100"))))))&gt;=90,"100"))))))</f>
        <v>#N/A</v>
      </c>
      <c r="S110" s="1" t="e">
        <f>IF(MATCH(H110,Inherited!A:A),IF((((_xlfn.XLOOKUP(Assessment!#REF!,Inherited!A:A,Inherited!B:B))/100)*(_xlfn.XLOOKUP(Assessment!#REF!,Inherited!A:A,Inherited!E:E)))+(((100-(_xlfn.XLOOKUP(Assessment!#REF!,Inherited!A:A,Inherited!B:B)))/100)*IF(Z110="1.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(100%)","100"))))))&lt;=10,"0", IF(AND((((_xlfn.XLOOKUP(Assessment!#REF!,Inherited!A:A,Inherited!B:B))/100)*(_xlfn.XLOOKUP(Assessment!#REF!,Inherited!A:A,Inherited!E:E)))+(((100-(_xlfn.XLOOKUP(Assessment!#REF!,Inherited!A:A,Inherited!B:B)))/100)*IF(Z110="1.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(100%)","100"))))))&gt;=11,(((_xlfn.XLOOKUP(Assessment!#REF!,Inherited!A:A,Inherited!B:B))/100)*(_xlfn.XLOOKUP(Assessment!#REF!,Inherited!A:A,Inherited!E:E)))+(((100-(_xlfn.XLOOKUP(Assessment!#REF!,Inherited!A:A,Inherited!B:B)))/100)*IF(Z110="1.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(100%)","100"))))))&lt;=32),"25",IF(AND((((_xlfn.XLOOKUP(Assessment!#REF!,Inherited!A:A,Inherited!B:B))/100)*(_xlfn.XLOOKUP(Assessment!#REF!,Inherited!A:A,Inherited!E:E)))+(((100-(_xlfn.XLOOKUP(Assessment!#REF!,Inherited!A:A,Inherited!B:B)))/100)*IF(Z110="1.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(100%)","100"))))))&gt;=33,(((_xlfn.XLOOKUP(Assessment!#REF!,Inherited!A:A,Inherited!B:B))/100)*(_xlfn.XLOOKUP(Assessment!#REF!,Inherited!A:A,Inherited!E:E)))+(((100-(_xlfn.XLOOKUP(Assessment!#REF!,Inherited!A:A,Inherited!B:B)))/100)*IF(Z110="1.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(100%)","100"))))))&lt;=65),"50",IF(AND((((_xlfn.XLOOKUP(Assessment!#REF!,Inherited!A:A,Inherited!B:B))/100)*(_xlfn.XLOOKUP(Assessment!#REF!,Inherited!A:A,Inherited!E:E)))+(((100-(_xlfn.XLOOKUP(Assessment!#REF!,Inherited!A:A,Inherited!B:B)))/100)*IF(Z110="1.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(100%)","100"))))))&gt;=66,(((_xlfn.XLOOKUP(Assessment!#REF!,Inherited!A:A,Inherited!B:B))/100)*(_xlfn.XLOOKUP(Assessment!#REF!,Inherited!A:A,Inherited!E:E)))+(((100-(_xlfn.XLOOKUP(Assessment!#REF!,Inherited!A:A,Inherited!B:B)))/100)*IF(Z110="1.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(100%)","100"))))))&lt;=89),"75",IF((((_xlfn.XLOOKUP(Assessment!#REF!,Inherited!A:A,Inherited!B:B))/100)*(_xlfn.XLOOKUP(Assessment!#REF!,Inherited!A:A,Inherited!E:E)))+(((100-(_xlfn.XLOOKUP(Assessment!#REF!,Inherited!A:A,Inherited!B:B)))/100)*IF(Z110="1. Non Compliant (0%)","0",IF(Z110="2. Somewhat Compliant (25%)","25",IF(Z110="3. Partially Compliant (50%)","50",IF(Z110="4. Mostly Compliant (75%)","75",IF(Z110="5. Fully Compliant (100%)","100"))))))&gt;=90,"100"))))))</f>
        <v>#N/A</v>
      </c>
      <c r="T110" s="1" t="e">
        <f>IF(MATCH(H110,Inherited!A:A),IF((((_xlfn.XLOOKUP(Assessment!#REF!,Inherited!A:A,Inherited!B:B))/100)*(_xlfn.XLOOKUP(Assessment!#REF!,Inherited!A:A,Inherited!F:F)))+(((100-(_xlfn.XLOOKUP(Assessment!#REF!,Inherited!A:A,Inherited!B:B)))/100)*IF(AA110="1.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(100%)","100"))))))&lt;=10,"0", IF(AND((((_xlfn.XLOOKUP(Assessment!#REF!,Inherited!A:A,Inherited!B:B))/100)*(_xlfn.XLOOKUP(Assessment!#REF!,Inherited!A:A,Inherited!F:F)))+(((100-(_xlfn.XLOOKUP(Assessment!#REF!,Inherited!A:A,Inherited!B:B)))/100)*IF(AA110="1.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(100%)","100"))))))&gt;=11,(((_xlfn.XLOOKUP(Assessment!#REF!,Inherited!A:A,Inherited!B:B))/100)*(_xlfn.XLOOKUP(Assessment!#REF!,Inherited!A:A,Inherited!F:F)))+(((100-(_xlfn.XLOOKUP(Assessment!#REF!,Inherited!A:A,Inherited!B:B)))/100)*IF(AA110="1.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(100%)","100"))))))&lt;=32),"25",IF(AND((((_xlfn.XLOOKUP(Assessment!#REF!,Inherited!A:A,Inherited!B:B))/100)*(_xlfn.XLOOKUP(Assessment!#REF!,Inherited!A:A,Inherited!F:F)))+(((100-(_xlfn.XLOOKUP(Assessment!#REF!,Inherited!A:A,Inherited!B:B)))/100)*IF(AA110="1.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(100%)","100"))))))&gt;=33,(((_xlfn.XLOOKUP(Assessment!#REF!,Inherited!A:A,Inherited!B:B))/100)*(_xlfn.XLOOKUP(Assessment!#REF!,Inherited!A:A,Inherited!F:F)))+(((100-(_xlfn.XLOOKUP(Assessment!#REF!,Inherited!A:A,Inherited!B:B)))/100)*IF(AA110="1.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(100%)","100"))))))&lt;=65),"50",IF(AND((((_xlfn.XLOOKUP(Assessment!#REF!,Inherited!A:A,Inherited!B:B))/100)*(_xlfn.XLOOKUP(Assessment!#REF!,Inherited!A:A,Inherited!F:F)))+(((100-(_xlfn.XLOOKUP(Assessment!#REF!,Inherited!A:A,Inherited!B:B)))/100)*IF(AA110="1.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(100%)","100"))))))&gt;=66,(((_xlfn.XLOOKUP(Assessment!#REF!,Inherited!A:A,Inherited!B:B))/100)*(_xlfn.XLOOKUP(Assessment!#REF!,Inherited!A:A,Inherited!F:F)))+(((100-(_xlfn.XLOOKUP(Assessment!#REF!,Inherited!A:A,Inherited!B:B)))/100)*IF(AA110="1.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(100%)","100"))))))&lt;=89),"75",IF((((_xlfn.XLOOKUP(Assessment!#REF!,Inherited!A:A,Inherited!B:B))/100)*(_xlfn.XLOOKUP(Assessment!#REF!,Inherited!A:A,Inherited!F:F)))+(((100-(_xlfn.XLOOKUP(Assessment!#REF!,Inherited!A:A,Inherited!B:B)))/100)*IF(AA110="1. Non Compliant (0%)","0",IF(AA110="2. Somewhat Compliant (25%)","25",IF(AA110="3. Partially Compliant (50%)","50",IF(AA110="4. Mostly Compliant (75%)","75",IF(AA110="5. Fully Compliant (100%)","100"))))))&gt;=90,"100"))))))</f>
        <v>#N/A</v>
      </c>
      <c r="U110" s="1" t="e">
        <f>IF(MATCH(H110,Inherited!A:A),IF((((_xlfn.XLOOKUP(Assessment!#REF!,Inherited!A:A,Inherited!B:B))/100)*(_xlfn.XLOOKUP(Assessment!#REF!,Inherited!A:A,Inherited!G:G)))+(((100-(_xlfn.XLOOKUP(Assessment!#REF!,Inherited!A:A,Inherited!B:B)))/100)*IF(AB110="1.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(100%)","100"))))))&lt;=10,"0", IF(AND((((_xlfn.XLOOKUP(Assessment!#REF!,Inherited!A:A,Inherited!B:B))/100)*(_xlfn.XLOOKUP(Assessment!#REF!,Inherited!A:A,Inherited!G:G)))+(((100-(_xlfn.XLOOKUP(Assessment!#REF!,Inherited!A:A,Inherited!B:B)))/100)*IF(AB110="1.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(100%)","100"))))))&gt;=11,(((_xlfn.XLOOKUP(Assessment!#REF!,Inherited!A:A,Inherited!B:B))/100)*(_xlfn.XLOOKUP(Assessment!#REF!,Inherited!A:A,Inherited!G:G)))+(((100-(_xlfn.XLOOKUP(Assessment!#REF!,Inherited!A:A,Inherited!B:B)))/100)*IF(AB110="1.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(100%)","100"))))))&lt;=32),"25",IF(AND((((_xlfn.XLOOKUP(Assessment!#REF!,Inherited!A:A,Inherited!B:B))/100)*(_xlfn.XLOOKUP(Assessment!#REF!,Inherited!A:A,Inherited!G:G)))+(((100-(_xlfn.XLOOKUP(Assessment!#REF!,Inherited!A:A,Inherited!B:B)))/100)*IF(AB110="1.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(100%)","100"))))))&gt;=33,(((_xlfn.XLOOKUP(Assessment!#REF!,Inherited!A:A,Inherited!B:B))/100)*(_xlfn.XLOOKUP(Assessment!#REF!,Inherited!A:A,Inherited!G:G)))+(((100-(_xlfn.XLOOKUP(Assessment!#REF!,Inherited!A:A,Inherited!B:B)))/100)*IF(AB110="1.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(100%)","100"))))))&lt;=65),"50",IF(AND((((_xlfn.XLOOKUP(Assessment!#REF!,Inherited!A:A,Inherited!B:B))/100)*(_xlfn.XLOOKUP(Assessment!#REF!,Inherited!A:A,Inherited!G:G)))+(((100-(_xlfn.XLOOKUP(Assessment!#REF!,Inherited!A:A,Inherited!B:B)))/100)*IF(AB110="1.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(100%)","100"))))))&gt;=66,(((_xlfn.XLOOKUP(Assessment!#REF!,Inherited!A:A,Inherited!B:B))/100)*(_xlfn.XLOOKUP(Assessment!#REF!,Inherited!A:A,Inherited!G:G)))+(((100-(_xlfn.XLOOKUP(Assessment!#REF!,Inherited!A:A,Inherited!B:B)))/100)*IF(AB110="1.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(100%)","100"))))))&lt;=89),"75",IF((((_xlfn.XLOOKUP(Assessment!#REF!,Inherited!A:A,Inherited!B:B))/100)*(_xlfn.XLOOKUP(Assessment!#REF!,Inherited!A:A,Inherited!G:G)))+(((100-(_xlfn.XLOOKUP(Assessment!#REF!,Inherited!A:A,Inherited!B:B)))/100)*IF(AB110="1. Non Compliant (0%)","0",IF(AB110="2. Somewhat Compliant (25%)","25",IF(AB110="3. Partially Compliant (50%)","50",IF(AB110="4. Mostly Compliant (75%)","75",IF(AB110="5. Fully Compliant (100%)","100"))))))&gt;=90,"100"))))))</f>
        <v>#N/A</v>
      </c>
      <c r="V110" s="55" t="s">
        <v>85</v>
      </c>
      <c r="W110" s="55"/>
      <c r="X110" s="55"/>
      <c r="Y110" s="55"/>
      <c r="Z110" s="55" t="s">
        <v>86</v>
      </c>
      <c r="AA110" s="55"/>
      <c r="AB110" s="55"/>
      <c r="AK110" s="1" t="s">
        <v>10891</v>
      </c>
      <c r="AM110" s="1" t="s">
        <v>11040</v>
      </c>
      <c r="AX110" s="3" t="str">
        <f>_xlfn.CONCAT("A-LIGN finished its review of this control on ",AR110, " during the scheduled fieldwork window (",Intro!$B$4,")."&amp; CHAR(10)&amp; CHAR(10))</f>
        <v xml:space="preserve">A-LIGN finished its review of this control on  during the scheduled fieldwork window (Fieldwork: xx/xx/xxxx - xx/xx/xxxx).
</v>
      </c>
      <c r="AY110" s="3" t="str">
        <f t="shared" si="221"/>
        <v/>
      </c>
      <c r="AZ110" s="3" t="str">
        <f t="shared" si="222"/>
        <v/>
      </c>
      <c r="BA110" s="3" t="str">
        <f t="shared" si="223"/>
        <v/>
      </c>
      <c r="BB110" s="3" t="str">
        <f t="shared" si="224"/>
        <v xml:space="preserve">Inquired of the following workforce member: 
Matthew Macaluso - Director of System Operations
Roze Nicolas - Director of TechOps
Inquiry lead to the following conclusions: 
</v>
      </c>
      <c r="BC110" s="3" t="str">
        <f t="shared" si="225"/>
        <v xml:space="preserve">Observed the following live during fieldwork: 
Observed the Foreside Catalyst log aggregation tool user access list and determined that only select individuals have access to the audit log tool/record.
</v>
      </c>
      <c r="BD110" s="3" t="str">
        <f t="shared" si="226"/>
        <v xml:space="preserve">Examined the following evidence during fieldwork:
Reviewed evidence addressed the requirement statement.
</v>
      </c>
      <c r="BE110" s="3" t="str">
        <f t="shared" si="227"/>
        <v/>
      </c>
      <c r="BF110" s="3" t="str">
        <f t="shared" si="228"/>
        <v/>
      </c>
      <c r="BG110" s="3" t="str">
        <f>_xlfn.CONCAT((IF((COUNTIF('Sample Tables'!B:B,"")&gt;0)=TRUE,_xlfn.CONCAT("",""),IF((COUNTIF('Sample Tables'!B:B,"")&gt;0)=FALSE,""))),)</f>
        <v/>
      </c>
      <c r="BH110" s="3" t="str">
        <f t="shared" si="22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Foreside Catalyst log aggregation tool user access list and determined that only select individuals have access to the audit log tool/record.
Examined the following evidence during fieldwork:
Reviewed evidence addressed the requirement statement.
</v>
      </c>
    </row>
    <row r="111" spans="3:60" ht="337.5" x14ac:dyDescent="0.35">
      <c r="C111" s="1">
        <f t="shared" ref="C111:C114" si="230">IF(V111="No","Not Applicable",(IF(X111="1. Non Compliant (0%)","0",IF(X111="2. Somewhat Compliant (25%)","25",IF(X111="3. Partially Compliant (50%)","50",IF(X111="4. Mostly Compliant (75%)","75",IF(X111="5. Fully Compliant (100%)","100")))))*0.15)+((IF(Y111="1. Non Compliant (0%)","0",IF(Y111="2. Somewhat Compliant (25%)","25",IF(Y111="3. Partially Compliant (50%)","50",IF(Y111="4. Mostly Compliant (75%)","75",IF(Y111="5. Fully Compliant (100%)","100"))))))*0.2)+(IF(Z111="1. Non Compliant (0%)","0",IF(Z111="2. Somewhat Compliant (25%)","25",IF(Z111="3. Partially Compliant (50%)","50",IF(Z111="4. Mostly Compliant (75%)","75",IF(Z111="5. Fully Compliant (100%)","100")))))*0.4)+(IF(AA111="1. Non Compliant (0%)","0",IF(AA111="2. Somewhat Compliant (25%)","25",IF(AA111="3. Partially Compliant (50%)","50",IF(AA111="4. Mostly Compliant (75%)","75",IF(AA111="5. Fully Compliant (100%)","100")))))*0.1)+(IF(AB111="1. Non Compliant (0%)","0",IF(AB111="2. Somewhat Compliant (25%)","25",IF(AB111="3. Partially Compliant (50%)","50",IF(AB111="4. Mostly Compliant (75%)","75",IF(AB111="5. Fully Compliant (100%)","100")))))*0.15))</f>
        <v>40</v>
      </c>
      <c r="D111" s="5" t="str">
        <f>IF(AND((_xlfn.XLOOKUP(J111,'Fields &amp; Revisions'!$H:$H,'Fields &amp; Revisions'!$I:$I))&lt;70.99,(OR(Z111="4. Mostly Compliant (75%)",Z111="3. Partially Compliant (50%)",Z111="2. Somewhat Compliant (25%)",Z111="1. Non Compliant (0%)"))),"Yes","No")</f>
        <v>No</v>
      </c>
      <c r="E111" s="5" t="str">
        <f>IF(ISERROR(VLOOKUP(H111,Scope!A:A,1,FALSE)),"No","Yes")</f>
        <v>Yes</v>
      </c>
      <c r="F111" s="1" t="s">
        <v>3189</v>
      </c>
      <c r="G111" s="53" t="s">
        <v>3561</v>
      </c>
      <c r="H111" s="53" t="s">
        <v>3562</v>
      </c>
      <c r="I111" s="5">
        <v>1</v>
      </c>
      <c r="J111" s="1" t="s">
        <v>3328</v>
      </c>
      <c r="K111" s="1" t="s">
        <v>3563</v>
      </c>
      <c r="L111" s="1" t="s">
        <v>3564</v>
      </c>
      <c r="M111" s="1" t="s">
        <v>3366</v>
      </c>
      <c r="N111" s="5" t="s">
        <v>85</v>
      </c>
      <c r="O111" s="1" t="str">
        <f>_xlfn.XLOOKUP(G111,SRMs!$A:$A,SRMs!$D:$D)</f>
        <v>PARTIAL INHERITANCE</v>
      </c>
      <c r="P111" s="1" t="str">
        <f>IFERROR(VLOOKUP(H111,Inherited!A:B,2,FALSE),"")</f>
        <v/>
      </c>
      <c r="Q111" s="1" t="e">
        <f>IF(MATCH(H111,Inherited!A:A),IF((((_xlfn.XLOOKUP(Assessment!#REF!,Inherited!A:A,Inherited!B:B))/100)*(_xlfn.XLOOKUP(Assessment!#REF!,Inherited!A:A,Inherited!C:C)))+(((100-(_xlfn.XLOOKUP(Assessment!#REF!,Inherited!A:A,Inherited!B:B)))/100)*IF(X111="1.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(100%)","100"))))))&lt;=10,"0", IF(AND((((_xlfn.XLOOKUP(Assessment!#REF!,Inherited!A:A,Inherited!B:B))/100)*(_xlfn.XLOOKUP(Assessment!#REF!,Inherited!A:A,Inherited!C:C)))+(((100-(_xlfn.XLOOKUP(Assessment!#REF!,Inherited!A:A,Inherited!B:B)))/100)*IF(X111="1.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(100%)","100"))))))&gt;=11,(((_xlfn.XLOOKUP(Assessment!#REF!,Inherited!A:A,Inherited!B:B))/100)*(_xlfn.XLOOKUP(Assessment!#REF!,Inherited!A:A,Inherited!C:C)))+(((100-(_xlfn.XLOOKUP(Assessment!#REF!,Inherited!A:A,Inherited!B:B)))/100)*IF(X111="1.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(100%)","100"))))))&lt;=32),"25",IF(AND((((_xlfn.XLOOKUP(Assessment!#REF!,Inherited!A:A,Inherited!B:B))/100)*(_xlfn.XLOOKUP(Assessment!#REF!,Inherited!A:A,Inherited!C:C)))+(((100-(_xlfn.XLOOKUP(Assessment!#REF!,Inherited!A:A,Inherited!B:B)))/100)*IF(X111="1.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(100%)","100"))))))&gt;=33,(((_xlfn.XLOOKUP(Assessment!#REF!,Inherited!A:A,Inherited!B:B))/100)*(_xlfn.XLOOKUP(Assessment!#REF!,Inherited!A:A,Inherited!C:C)))+(((100-(_xlfn.XLOOKUP(Assessment!#REF!,Inherited!A:A,Inherited!B:B)))/100)*IF(X111="1.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(100%)","100"))))))&lt;=65),"50",IF(AND((((_xlfn.XLOOKUP(Assessment!#REF!,Inherited!A:A,Inherited!B:B))/100)*(_xlfn.XLOOKUP(Assessment!#REF!,Inherited!A:A,Inherited!C:C)))+(((100-(_xlfn.XLOOKUP(Assessment!#REF!,Inherited!A:A,Inherited!B:B)))/100)*IF(X111="1.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(100%)","100"))))))&gt;=66,(((_xlfn.XLOOKUP(Assessment!#REF!,Inherited!A:A,Inherited!B:B))/100)*(_xlfn.XLOOKUP(Assessment!#REF!,Inherited!A:A,Inherited!C:C)))+(((100-(_xlfn.XLOOKUP(Assessment!#REF!,Inherited!A:A,Inherited!B:B)))/100)*IF(X111="1.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(100%)","100"))))))&lt;=89),"75",IF((((_xlfn.XLOOKUP(Assessment!#REF!,Inherited!A:A,Inherited!B:B))/100)*(_xlfn.XLOOKUP(Assessment!#REF!,Inherited!A:A,Inherited!C:C)))+(((100-(_xlfn.XLOOKUP(Assessment!#REF!,Inherited!A:A,Inherited!B:B)))/100)*IF(X111="1. Non Compliant (0%)","0",IF(X111="2. Somewhat Compliant (25%)","25",IF(X111="3. Partially Compliant (50%)","50",IF(X111="4. Mostly Compliant (75%)","75",IF(X111="5. Fully Compliant (100%)","100"))))))&gt;=90,"100"))))))</f>
        <v>#N/A</v>
      </c>
      <c r="R111" s="1" t="e">
        <f>IF(MATCH(H111,Inherited!A:A),IF((((_xlfn.XLOOKUP(Assessment!#REF!,Inherited!A:A,Inherited!B:B))/100)*(_xlfn.XLOOKUP(Assessment!#REF!,Inherited!A:A,Inherited!D:D)))+(((100-(_xlfn.XLOOKUP(Assessment!#REF!,Inherited!A:A,Inherited!B:B)))/100)*IF(Y111="1.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(100%)","100"))))))&lt;=10,"0", IF(AND((((_xlfn.XLOOKUP(Assessment!#REF!,Inherited!A:A,Inherited!B:B))/100)*(_xlfn.XLOOKUP(Assessment!#REF!,Inherited!A:A,Inherited!D:D)))+(((100-(_xlfn.XLOOKUP(Assessment!#REF!,Inherited!A:A,Inherited!B:B)))/100)*IF(Y111="1.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(100%)","100"))))))&gt;=11,(((_xlfn.XLOOKUP(Assessment!#REF!,Inherited!A:A,Inherited!B:B))/100)*(_xlfn.XLOOKUP(Assessment!#REF!,Inherited!A:A,Inherited!D:D)))+(((100-(_xlfn.XLOOKUP(Assessment!#REF!,Inherited!A:A,Inherited!B:B)))/100)*IF(Y111="1.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(100%)","100"))))))&lt;=32),"25",IF(AND((((_xlfn.XLOOKUP(Assessment!#REF!,Inherited!A:A,Inherited!B:B))/100)*(_xlfn.XLOOKUP(Assessment!#REF!,Inherited!A:A,Inherited!D:D)))+(((100-(_xlfn.XLOOKUP(Assessment!#REF!,Inherited!A:A,Inherited!B:B)))/100)*IF(Y111="1.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(100%)","100"))))))&gt;=33,(((_xlfn.XLOOKUP(Assessment!#REF!,Inherited!A:A,Inherited!B:B))/100)*(_xlfn.XLOOKUP(Assessment!#REF!,Inherited!A:A,Inherited!D:D)))+(((100-(_xlfn.XLOOKUP(Assessment!#REF!,Inherited!A:A,Inherited!B:B)))/100)*IF(Y111="1.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(100%)","100"))))))&lt;=65),"50",IF(AND((((_xlfn.XLOOKUP(Assessment!#REF!,Inherited!A:A,Inherited!B:B))/100)*(_xlfn.XLOOKUP(Assessment!#REF!,Inherited!A:A,Inherited!D:D)))+(((100-(_xlfn.XLOOKUP(Assessment!#REF!,Inherited!A:A,Inherited!B:B)))/100)*IF(Y111="1.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(100%)","100"))))))&gt;=66,(((_xlfn.XLOOKUP(Assessment!#REF!,Inherited!A:A,Inherited!B:B))/100)*(_xlfn.XLOOKUP(Assessment!#REF!,Inherited!A:A,Inherited!D:D)))+(((100-(_xlfn.XLOOKUP(Assessment!#REF!,Inherited!A:A,Inherited!B:B)))/100)*IF(Y111="1.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(100%)","100"))))))&lt;=89),"75",IF((((_xlfn.XLOOKUP(Assessment!#REF!,Inherited!A:A,Inherited!B:B))/100)*(_xlfn.XLOOKUP(Assessment!#REF!,Inherited!A:A,Inherited!D:D)))+(((100-(_xlfn.XLOOKUP(Assessment!#REF!,Inherited!A:A,Inherited!B:B)))/100)*IF(Y111="1. Non Compliant (0%)","0",IF(Y111="2. Somewhat Compliant (25%)","25",IF(Y111="3. Partially Compliant (50%)","50",IF(Y111="4. Mostly Compliant (75%)","75",IF(Y111="5. Fully Compliant (100%)","100"))))))&gt;=90,"100"))))))</f>
        <v>#N/A</v>
      </c>
      <c r="S111" s="1" t="e">
        <f>IF(MATCH(H111,Inherited!A:A),IF((((_xlfn.XLOOKUP(Assessment!#REF!,Inherited!A:A,Inherited!B:B))/100)*(_xlfn.XLOOKUP(Assessment!#REF!,Inherited!A:A,Inherited!E:E)))+(((100-(_xlfn.XLOOKUP(Assessment!#REF!,Inherited!A:A,Inherited!B:B)))/100)*IF(Z111="1.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(100%)","100"))))))&lt;=10,"0", IF(AND((((_xlfn.XLOOKUP(Assessment!#REF!,Inherited!A:A,Inherited!B:B))/100)*(_xlfn.XLOOKUP(Assessment!#REF!,Inherited!A:A,Inherited!E:E)))+(((100-(_xlfn.XLOOKUP(Assessment!#REF!,Inherited!A:A,Inherited!B:B)))/100)*IF(Z111="1.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(100%)","100"))))))&gt;=11,(((_xlfn.XLOOKUP(Assessment!#REF!,Inherited!A:A,Inherited!B:B))/100)*(_xlfn.XLOOKUP(Assessment!#REF!,Inherited!A:A,Inherited!E:E)))+(((100-(_xlfn.XLOOKUP(Assessment!#REF!,Inherited!A:A,Inherited!B:B)))/100)*IF(Z111="1.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(100%)","100"))))))&lt;=32),"25",IF(AND((((_xlfn.XLOOKUP(Assessment!#REF!,Inherited!A:A,Inherited!B:B))/100)*(_xlfn.XLOOKUP(Assessment!#REF!,Inherited!A:A,Inherited!E:E)))+(((100-(_xlfn.XLOOKUP(Assessment!#REF!,Inherited!A:A,Inherited!B:B)))/100)*IF(Z111="1.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(100%)","100"))))))&gt;=33,(((_xlfn.XLOOKUP(Assessment!#REF!,Inherited!A:A,Inherited!B:B))/100)*(_xlfn.XLOOKUP(Assessment!#REF!,Inherited!A:A,Inherited!E:E)))+(((100-(_xlfn.XLOOKUP(Assessment!#REF!,Inherited!A:A,Inherited!B:B)))/100)*IF(Z111="1.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(100%)","100"))))))&lt;=65),"50",IF(AND((((_xlfn.XLOOKUP(Assessment!#REF!,Inherited!A:A,Inherited!B:B))/100)*(_xlfn.XLOOKUP(Assessment!#REF!,Inherited!A:A,Inherited!E:E)))+(((100-(_xlfn.XLOOKUP(Assessment!#REF!,Inherited!A:A,Inherited!B:B)))/100)*IF(Z111="1.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(100%)","100"))))))&gt;=66,(((_xlfn.XLOOKUP(Assessment!#REF!,Inherited!A:A,Inherited!B:B))/100)*(_xlfn.XLOOKUP(Assessment!#REF!,Inherited!A:A,Inherited!E:E)))+(((100-(_xlfn.XLOOKUP(Assessment!#REF!,Inherited!A:A,Inherited!B:B)))/100)*IF(Z111="1.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(100%)","100"))))))&lt;=89),"75",IF((((_xlfn.XLOOKUP(Assessment!#REF!,Inherited!A:A,Inherited!B:B))/100)*(_xlfn.XLOOKUP(Assessment!#REF!,Inherited!A:A,Inherited!E:E)))+(((100-(_xlfn.XLOOKUP(Assessment!#REF!,Inherited!A:A,Inherited!B:B)))/100)*IF(Z111="1. Non Compliant (0%)","0",IF(Z111="2. Somewhat Compliant (25%)","25",IF(Z111="3. Partially Compliant (50%)","50",IF(Z111="4. Mostly Compliant (75%)","75",IF(Z111="5. Fully Compliant (100%)","100"))))))&gt;=90,"100"))))))</f>
        <v>#N/A</v>
      </c>
      <c r="T111" s="1" t="e">
        <f>IF(MATCH(H111,Inherited!A:A),IF((((_xlfn.XLOOKUP(Assessment!#REF!,Inherited!A:A,Inherited!B:B))/100)*(_xlfn.XLOOKUP(Assessment!#REF!,Inherited!A:A,Inherited!F:F)))+(((100-(_xlfn.XLOOKUP(Assessment!#REF!,Inherited!A:A,Inherited!B:B)))/100)*IF(AA111="1.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(100%)","100"))))))&lt;=10,"0", IF(AND((((_xlfn.XLOOKUP(Assessment!#REF!,Inherited!A:A,Inherited!B:B))/100)*(_xlfn.XLOOKUP(Assessment!#REF!,Inherited!A:A,Inherited!F:F)))+(((100-(_xlfn.XLOOKUP(Assessment!#REF!,Inherited!A:A,Inherited!B:B)))/100)*IF(AA111="1.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(100%)","100"))))))&gt;=11,(((_xlfn.XLOOKUP(Assessment!#REF!,Inherited!A:A,Inherited!B:B))/100)*(_xlfn.XLOOKUP(Assessment!#REF!,Inherited!A:A,Inherited!F:F)))+(((100-(_xlfn.XLOOKUP(Assessment!#REF!,Inherited!A:A,Inherited!B:B)))/100)*IF(AA111="1.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(100%)","100"))))))&lt;=32),"25",IF(AND((((_xlfn.XLOOKUP(Assessment!#REF!,Inherited!A:A,Inherited!B:B))/100)*(_xlfn.XLOOKUP(Assessment!#REF!,Inherited!A:A,Inherited!F:F)))+(((100-(_xlfn.XLOOKUP(Assessment!#REF!,Inherited!A:A,Inherited!B:B)))/100)*IF(AA111="1.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(100%)","100"))))))&gt;=33,(((_xlfn.XLOOKUP(Assessment!#REF!,Inherited!A:A,Inherited!B:B))/100)*(_xlfn.XLOOKUP(Assessment!#REF!,Inherited!A:A,Inherited!F:F)))+(((100-(_xlfn.XLOOKUP(Assessment!#REF!,Inherited!A:A,Inherited!B:B)))/100)*IF(AA111="1.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(100%)","100"))))))&lt;=65),"50",IF(AND((((_xlfn.XLOOKUP(Assessment!#REF!,Inherited!A:A,Inherited!B:B))/100)*(_xlfn.XLOOKUP(Assessment!#REF!,Inherited!A:A,Inherited!F:F)))+(((100-(_xlfn.XLOOKUP(Assessment!#REF!,Inherited!A:A,Inherited!B:B)))/100)*IF(AA111="1.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(100%)","100"))))))&gt;=66,(((_xlfn.XLOOKUP(Assessment!#REF!,Inherited!A:A,Inherited!B:B))/100)*(_xlfn.XLOOKUP(Assessment!#REF!,Inherited!A:A,Inherited!F:F)))+(((100-(_xlfn.XLOOKUP(Assessment!#REF!,Inherited!A:A,Inherited!B:B)))/100)*IF(AA111="1.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(100%)","100"))))))&lt;=89),"75",IF((((_xlfn.XLOOKUP(Assessment!#REF!,Inherited!A:A,Inherited!B:B))/100)*(_xlfn.XLOOKUP(Assessment!#REF!,Inherited!A:A,Inherited!F:F)))+(((100-(_xlfn.XLOOKUP(Assessment!#REF!,Inherited!A:A,Inherited!B:B)))/100)*IF(AA111="1. Non Compliant (0%)","0",IF(AA111="2. Somewhat Compliant (25%)","25",IF(AA111="3. Partially Compliant (50%)","50",IF(AA111="4. Mostly Compliant (75%)","75",IF(AA111="5. Fully Compliant (100%)","100"))))))&gt;=90,"100"))))))</f>
        <v>#N/A</v>
      </c>
      <c r="U111" s="1" t="e">
        <f>IF(MATCH(H111,Inherited!A:A),IF((((_xlfn.XLOOKUP(Assessment!#REF!,Inherited!A:A,Inherited!B:B))/100)*(_xlfn.XLOOKUP(Assessment!#REF!,Inherited!A:A,Inherited!G:G)))+(((100-(_xlfn.XLOOKUP(Assessment!#REF!,Inherited!A:A,Inherited!B:B)))/100)*IF(AB111="1.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(100%)","100"))))))&lt;=10,"0", IF(AND((((_xlfn.XLOOKUP(Assessment!#REF!,Inherited!A:A,Inherited!B:B))/100)*(_xlfn.XLOOKUP(Assessment!#REF!,Inherited!A:A,Inherited!G:G)))+(((100-(_xlfn.XLOOKUP(Assessment!#REF!,Inherited!A:A,Inherited!B:B)))/100)*IF(AB111="1.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(100%)","100"))))))&gt;=11,(((_xlfn.XLOOKUP(Assessment!#REF!,Inherited!A:A,Inherited!B:B))/100)*(_xlfn.XLOOKUP(Assessment!#REF!,Inherited!A:A,Inherited!G:G)))+(((100-(_xlfn.XLOOKUP(Assessment!#REF!,Inherited!A:A,Inherited!B:B)))/100)*IF(AB111="1.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(100%)","100"))))))&lt;=32),"25",IF(AND((((_xlfn.XLOOKUP(Assessment!#REF!,Inherited!A:A,Inherited!B:B))/100)*(_xlfn.XLOOKUP(Assessment!#REF!,Inherited!A:A,Inherited!G:G)))+(((100-(_xlfn.XLOOKUP(Assessment!#REF!,Inherited!A:A,Inherited!B:B)))/100)*IF(AB111="1.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(100%)","100"))))))&gt;=33,(((_xlfn.XLOOKUP(Assessment!#REF!,Inherited!A:A,Inherited!B:B))/100)*(_xlfn.XLOOKUP(Assessment!#REF!,Inherited!A:A,Inherited!G:G)))+(((100-(_xlfn.XLOOKUP(Assessment!#REF!,Inherited!A:A,Inherited!B:B)))/100)*IF(AB111="1.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(100%)","100"))))))&lt;=65),"50",IF(AND((((_xlfn.XLOOKUP(Assessment!#REF!,Inherited!A:A,Inherited!B:B))/100)*(_xlfn.XLOOKUP(Assessment!#REF!,Inherited!A:A,Inherited!G:G)))+(((100-(_xlfn.XLOOKUP(Assessment!#REF!,Inherited!A:A,Inherited!B:B)))/100)*IF(AB111="1.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(100%)","100"))))))&gt;=66,(((_xlfn.XLOOKUP(Assessment!#REF!,Inherited!A:A,Inherited!B:B))/100)*(_xlfn.XLOOKUP(Assessment!#REF!,Inherited!A:A,Inherited!G:G)))+(((100-(_xlfn.XLOOKUP(Assessment!#REF!,Inherited!A:A,Inherited!B:B)))/100)*IF(AB111="1.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(100%)","100"))))))&lt;=89),"75",IF((((_xlfn.XLOOKUP(Assessment!#REF!,Inherited!A:A,Inherited!B:B))/100)*(_xlfn.XLOOKUP(Assessment!#REF!,Inherited!A:A,Inherited!G:G)))+(((100-(_xlfn.XLOOKUP(Assessment!#REF!,Inherited!A:A,Inherited!B:B)))/100)*IF(AB111="1. Non Compliant (0%)","0",IF(AB111="2. Somewhat Compliant (25%)","25",IF(AB111="3. Partially Compliant (50%)","50",IF(AB111="4. Mostly Compliant (75%)","75",IF(AB111="5. Fully Compliant (100%)","100"))))))&gt;=90,"100"))))))</f>
        <v>#N/A</v>
      </c>
      <c r="V111" s="55" t="s">
        <v>85</v>
      </c>
      <c r="W111" s="55"/>
      <c r="X111" s="55"/>
      <c r="Y111" s="55"/>
      <c r="Z111" s="55" t="s">
        <v>86</v>
      </c>
      <c r="AA111" s="55"/>
      <c r="AB111" s="55"/>
      <c r="AK111" s="1" t="s">
        <v>10891</v>
      </c>
      <c r="AM111" s="1" t="s">
        <v>11041</v>
      </c>
      <c r="AX111" s="3" t="str">
        <f>_xlfn.CONCAT("A-LIGN finished its review of this control on ",AR111, " during the scheduled fieldwork window (",Intro!$B$4,")."&amp; CHAR(10)&amp; CHAR(10))</f>
        <v xml:space="preserve">A-LIGN finished its review of this control on  during the scheduled fieldwork window (Fieldwork: xx/xx/xxxx - xx/xx/xxxx).
</v>
      </c>
      <c r="AY111" s="3" t="str">
        <f t="shared" ref="AY111:AY114" si="231">IF(AQ111&lt;&gt;"",(_xlfn.CONCAT("Inheritance note: "&amp; CHAR(10),AQ111&amp; CHAR(10)&amp; CHAR(10))),"")</f>
        <v/>
      </c>
      <c r="AZ111" s="3" t="str">
        <f t="shared" ref="AZ111:AZ114" si="232">IFERROR(IF(AD111&lt;&gt;"",_xlfn.CONCAT("Examined the following policy during fieldwork:"&amp; CHAR(10),AD111&amp; CHAR(10)&amp; CHAR(10),IF(AND(X111&lt;&gt;"5. Fully Compliant (100%)",AE111&lt;&gt;""),"Reviewed policy exception note:"&amp; CHAR(10) &amp; AE111 &amp; CHAR(10) &amp; CHAR(10),"")),""),"")</f>
        <v/>
      </c>
      <c r="BA111" s="3" t="str">
        <f t="shared" ref="BA111:BA114" si="233">IFERROR(IF(AH111&lt;&gt;"",_xlfn.CONCAT("Examined the following process during fieldwork:"&amp; CHAR(10),AH111&amp; CHAR(10)&amp; CHAR(10),IF(AND(Y111&lt;&gt;"5. Fully Compliant (100%)",AI111&lt;&gt;""),"Reviewed process exception note:"&amp; CHAR(10) &amp; AI111 &amp; CHAR(10) &amp; CHAR(10),"")),""),"")</f>
        <v/>
      </c>
      <c r="BB111" s="3" t="str">
        <f t="shared" ref="BB111:BB114" si="234">IF(AK111&lt;&gt;"",(_xlfn.CONCAT("Inquired of the following workforce member: "&amp; CHAR(10),AK111&amp; CHAR(10)&amp; CHAR(10),"Inquiry lead to the following conclusions: "&amp; CHAR(10),AL111&amp; CHAR(10) &amp; CHAR(10))),"")</f>
        <v xml:space="preserve">Inquired of the following workforce member: 
Matthew Macaluso - Director of System Operations
Roze Nicolas - Director of TechOps
Inquiry lead to the following conclusions: 
</v>
      </c>
      <c r="BC111" s="3" t="str">
        <f t="shared" ref="BC111:BC114" si="235">IF(AM111&lt;&gt;"",(_xlfn.CONCAT("Observed the following live during fieldwork: "&amp; CHAR(10),AM111&amp; CHAR(10) &amp; CHAR(10))),"")</f>
        <v xml:space="preserve">Observed the following live during fieldwork: 
Observed the Foreside Catalyst log aggregation tool dashboard and determined that any faults reported would be sent to the correct team for triaging and review.
</v>
      </c>
      <c r="BD111" s="3" t="str">
        <f t="shared" ref="BD111:BD114" si="236">_xlfn.CONCAT("Examined the following evidence during fieldwork:"&amp; CHAR(10),AN111&amp; CHAR(10)&amp; CHAR(10),IF(AO111&lt;&gt;"","Reviewed evidence note:"&amp; CHAR(10)&amp;AO111&amp; CHAR(10) &amp; CHAR(10),"Reviewed evidence addressed the requirement statement."&amp; CHAR(10) &amp; CHAR(10)),IF(AND(AP111&lt;&gt;"5. Fully Compliant (100%)",AP111&lt;&gt;""),"Reviewed evidence exception note: "&amp; CHAR(10) &amp; AP111 &amp; CHAR(10) &amp; CHAR(10),""))</f>
        <v xml:space="preserve">Examined the following evidence during fieldwork:
Reviewed evidence addressed the requirement statement.
</v>
      </c>
      <c r="BE111" s="3" t="str">
        <f t="shared" ref="BE111:BE114" si="237">IF(AT111&lt;&gt;"",(_xlfn.CONCAT("Examined the following measure/metric during fieldwork:"&amp; CHAR(10),AT111&amp; CHAR(10)&amp; CHAR(10),"Reviewed measure/metric note:"&amp; CHAR(10),AU111 &amp; CHAR(10) &amp; CHAR(10))),"")</f>
        <v/>
      </c>
      <c r="BF111" s="3" t="str">
        <f t="shared" ref="BF111:BF114" si="238">IF(AV111&lt;&gt;"",(_xlfn.CONCAT("Examined the following measure/metric management during fieldwork:"&amp; CHAR(10),AV111&amp; CHAR(10)&amp; CHAR(10),"Reviewed measure/metric management note:"&amp; CHAR(10),AW111 &amp; CHAR(10) &amp; CHAR(10))),"")</f>
        <v/>
      </c>
      <c r="BG111" s="3" t="str">
        <f>_xlfn.CONCAT((IF((COUNTIF('Sample Tables'!B:B,"Test 150: Information System (logging &amp; monitoring sub-system)")&gt;0)=TRUE,_xlfn.CONCAT("Sample test results are documented in ",'Sample Tables'!B1646," [",'Sample Tables'!B1647,", ",'Sample Tables'!B1648,", ",'Sample Tables'!B1649,", ",'Sample Tables'!B1650,", ",'Sample Tables'!B1651,"]."&amp;CHAR(10)),IF((COUNTIF('Sample Tables'!B:B,"Test 150: Information System (logging &amp; monitoring sub-system)")&gt;0)=FALSE,""))),)</f>
        <v xml:space="preserve">Sample test results are documented in Test 150: Information System (logging &amp; monitoring sub-system) [Population Source/Tool: , Population Date Range: , Population Size: , Sample Methodology: , Sample Size: ].
</v>
      </c>
      <c r="BH111" s="3" t="str">
        <f t="shared" ref="BH111:BH114" si="239">IF(V111="No","Not Applicable: "&amp;W111,(_xlfn.CONCAT(AX111,AY111,AZ111,BA111,BB111,BC111,BD111,BE111,BF111,BG111)))</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Foreside Catalyst log aggregation tool dashboard and determined that any faults reported would be sent to the correct team for triaging and review.
Examined the following evidence during fieldwork:
Reviewed evidence addressed the requirement statement.
Sample test results are documented in Test 150: Information System (logging &amp; monitoring sub-system) [Population Source/Tool: , Population Date Range: , Population Size: , Sample Methodology: , Sample Size: ].
</v>
      </c>
    </row>
    <row r="112" spans="3:60" ht="409.5" x14ac:dyDescent="0.35">
      <c r="C112" s="1">
        <f t="shared" si="230"/>
        <v>0</v>
      </c>
      <c r="D112" s="5" t="str">
        <f>IF(AND((_xlfn.XLOOKUP(J112,'Fields &amp; Revisions'!$H:$H,'Fields &amp; Revisions'!$I:$I))&lt;70.99,(OR(Z112="4. Mostly Compliant (75%)",Z112="3. Partially Compliant (50%)",Z112="2. Somewhat Compliant (25%)",Z112="1. Non Compliant (0%)"))),"Yes","No")</f>
        <v>Yes</v>
      </c>
      <c r="E112" s="5" t="str">
        <f>IF(ISERROR(VLOOKUP(H112,Scope!A:A,1,FALSE)),"No","Yes")</f>
        <v>Yes</v>
      </c>
      <c r="F112" s="1" t="s">
        <v>3189</v>
      </c>
      <c r="G112" s="53" t="s">
        <v>3596</v>
      </c>
      <c r="H112" s="53" t="s">
        <v>3597</v>
      </c>
      <c r="I112" s="5">
        <v>1</v>
      </c>
      <c r="J112" s="1" t="s">
        <v>1885</v>
      </c>
      <c r="K112" s="1" t="s">
        <v>3598</v>
      </c>
      <c r="L112" s="1" t="s">
        <v>3599</v>
      </c>
      <c r="M112" s="1" t="s">
        <v>3600</v>
      </c>
      <c r="N112" s="5" t="s">
        <v>85</v>
      </c>
      <c r="O112" s="1" t="str">
        <f>_xlfn.XLOOKUP(G112,SRMs!$A:$A,SRMs!$D:$D)</f>
        <v>PARTIAL INHERITANCE</v>
      </c>
      <c r="P112" s="1" t="str">
        <f>IFERROR(VLOOKUP(H112,Inherited!A:B,2,FALSE),"")</f>
        <v/>
      </c>
      <c r="Q112" s="1" t="e">
        <f>IF(MATCH(H112,Inherited!A:A),IF((((_xlfn.XLOOKUP(Assessment!#REF!,Inherited!A:A,Inherited!B:B))/100)*(_xlfn.XLOOKUP(Assessment!#REF!,Inherited!A:A,Inherited!C:C)))+(((100-(_xlfn.XLOOKUP(Assessment!#REF!,Inherited!A:A,Inherited!B:B)))/100)*IF(X112="1.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(100%)","100"))))))&lt;=10,"0", IF(AND((((_xlfn.XLOOKUP(Assessment!#REF!,Inherited!A:A,Inherited!B:B))/100)*(_xlfn.XLOOKUP(Assessment!#REF!,Inherited!A:A,Inherited!C:C)))+(((100-(_xlfn.XLOOKUP(Assessment!#REF!,Inherited!A:A,Inherited!B:B)))/100)*IF(X112="1.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(100%)","100"))))))&gt;=11,(((_xlfn.XLOOKUP(Assessment!#REF!,Inherited!A:A,Inherited!B:B))/100)*(_xlfn.XLOOKUP(Assessment!#REF!,Inherited!A:A,Inherited!C:C)))+(((100-(_xlfn.XLOOKUP(Assessment!#REF!,Inherited!A:A,Inherited!B:B)))/100)*IF(X112="1.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(100%)","100"))))))&lt;=32),"25",IF(AND((((_xlfn.XLOOKUP(Assessment!#REF!,Inherited!A:A,Inherited!B:B))/100)*(_xlfn.XLOOKUP(Assessment!#REF!,Inherited!A:A,Inherited!C:C)))+(((100-(_xlfn.XLOOKUP(Assessment!#REF!,Inherited!A:A,Inherited!B:B)))/100)*IF(X112="1.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(100%)","100"))))))&gt;=33,(((_xlfn.XLOOKUP(Assessment!#REF!,Inherited!A:A,Inherited!B:B))/100)*(_xlfn.XLOOKUP(Assessment!#REF!,Inherited!A:A,Inherited!C:C)))+(((100-(_xlfn.XLOOKUP(Assessment!#REF!,Inherited!A:A,Inherited!B:B)))/100)*IF(X112="1.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(100%)","100"))))))&lt;=65),"50",IF(AND((((_xlfn.XLOOKUP(Assessment!#REF!,Inherited!A:A,Inherited!B:B))/100)*(_xlfn.XLOOKUP(Assessment!#REF!,Inherited!A:A,Inherited!C:C)))+(((100-(_xlfn.XLOOKUP(Assessment!#REF!,Inherited!A:A,Inherited!B:B)))/100)*IF(X112="1.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(100%)","100"))))))&gt;=66,(((_xlfn.XLOOKUP(Assessment!#REF!,Inherited!A:A,Inherited!B:B))/100)*(_xlfn.XLOOKUP(Assessment!#REF!,Inherited!A:A,Inherited!C:C)))+(((100-(_xlfn.XLOOKUP(Assessment!#REF!,Inherited!A:A,Inherited!B:B)))/100)*IF(X112="1.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(100%)","100"))))))&lt;=89),"75",IF((((_xlfn.XLOOKUP(Assessment!#REF!,Inherited!A:A,Inherited!B:B))/100)*(_xlfn.XLOOKUP(Assessment!#REF!,Inherited!A:A,Inherited!C:C)))+(((100-(_xlfn.XLOOKUP(Assessment!#REF!,Inherited!A:A,Inherited!B:B)))/100)*IF(X112="1. Non Compliant (0%)","0",IF(X112="2. Somewhat Compliant (25%)","25",IF(X112="3. Partially Compliant (50%)","50",IF(X112="4. Mostly Compliant (75%)","75",IF(X112="5. Fully Compliant (100%)","100"))))))&gt;=90,"100"))))))</f>
        <v>#N/A</v>
      </c>
      <c r="R112" s="1" t="e">
        <f>IF(MATCH(H112,Inherited!A:A),IF((((_xlfn.XLOOKUP(Assessment!#REF!,Inherited!A:A,Inherited!B:B))/100)*(_xlfn.XLOOKUP(Assessment!#REF!,Inherited!A:A,Inherited!D:D)))+(((100-(_xlfn.XLOOKUP(Assessment!#REF!,Inherited!A:A,Inherited!B:B)))/100)*IF(Y112="1.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(100%)","100"))))))&lt;=10,"0", IF(AND((((_xlfn.XLOOKUP(Assessment!#REF!,Inherited!A:A,Inherited!B:B))/100)*(_xlfn.XLOOKUP(Assessment!#REF!,Inherited!A:A,Inherited!D:D)))+(((100-(_xlfn.XLOOKUP(Assessment!#REF!,Inherited!A:A,Inherited!B:B)))/100)*IF(Y112="1.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(100%)","100"))))))&gt;=11,(((_xlfn.XLOOKUP(Assessment!#REF!,Inherited!A:A,Inherited!B:B))/100)*(_xlfn.XLOOKUP(Assessment!#REF!,Inherited!A:A,Inherited!D:D)))+(((100-(_xlfn.XLOOKUP(Assessment!#REF!,Inherited!A:A,Inherited!B:B)))/100)*IF(Y112="1.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(100%)","100"))))))&lt;=32),"25",IF(AND((((_xlfn.XLOOKUP(Assessment!#REF!,Inherited!A:A,Inherited!B:B))/100)*(_xlfn.XLOOKUP(Assessment!#REF!,Inherited!A:A,Inherited!D:D)))+(((100-(_xlfn.XLOOKUP(Assessment!#REF!,Inherited!A:A,Inherited!B:B)))/100)*IF(Y112="1.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(100%)","100"))))))&gt;=33,(((_xlfn.XLOOKUP(Assessment!#REF!,Inherited!A:A,Inherited!B:B))/100)*(_xlfn.XLOOKUP(Assessment!#REF!,Inherited!A:A,Inherited!D:D)))+(((100-(_xlfn.XLOOKUP(Assessment!#REF!,Inherited!A:A,Inherited!B:B)))/100)*IF(Y112="1.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(100%)","100"))))))&lt;=65),"50",IF(AND((((_xlfn.XLOOKUP(Assessment!#REF!,Inherited!A:A,Inherited!B:B))/100)*(_xlfn.XLOOKUP(Assessment!#REF!,Inherited!A:A,Inherited!D:D)))+(((100-(_xlfn.XLOOKUP(Assessment!#REF!,Inherited!A:A,Inherited!B:B)))/100)*IF(Y112="1.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(100%)","100"))))))&gt;=66,(((_xlfn.XLOOKUP(Assessment!#REF!,Inherited!A:A,Inherited!B:B))/100)*(_xlfn.XLOOKUP(Assessment!#REF!,Inherited!A:A,Inherited!D:D)))+(((100-(_xlfn.XLOOKUP(Assessment!#REF!,Inherited!A:A,Inherited!B:B)))/100)*IF(Y112="1.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(100%)","100"))))))&lt;=89),"75",IF((((_xlfn.XLOOKUP(Assessment!#REF!,Inherited!A:A,Inherited!B:B))/100)*(_xlfn.XLOOKUP(Assessment!#REF!,Inherited!A:A,Inherited!D:D)))+(((100-(_xlfn.XLOOKUP(Assessment!#REF!,Inherited!A:A,Inherited!B:B)))/100)*IF(Y112="1. Non Compliant (0%)","0",IF(Y112="2. Somewhat Compliant (25%)","25",IF(Y112="3. Partially Compliant (50%)","50",IF(Y112="4. Mostly Compliant (75%)","75",IF(Y112="5. Fully Compliant (100%)","100"))))))&gt;=90,"100"))))))</f>
        <v>#N/A</v>
      </c>
      <c r="S112" s="1" t="e">
        <f>IF(MATCH(H112,Inherited!A:A),IF((((_xlfn.XLOOKUP(Assessment!#REF!,Inherited!A:A,Inherited!B:B))/100)*(_xlfn.XLOOKUP(Assessment!#REF!,Inherited!A:A,Inherited!E:E)))+(((100-(_xlfn.XLOOKUP(Assessment!#REF!,Inherited!A:A,Inherited!B:B)))/100)*IF(Z112="1.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(100%)","100"))))))&lt;=10,"0", IF(AND((((_xlfn.XLOOKUP(Assessment!#REF!,Inherited!A:A,Inherited!B:B))/100)*(_xlfn.XLOOKUP(Assessment!#REF!,Inherited!A:A,Inherited!E:E)))+(((100-(_xlfn.XLOOKUP(Assessment!#REF!,Inherited!A:A,Inherited!B:B)))/100)*IF(Z112="1.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(100%)","100"))))))&gt;=11,(((_xlfn.XLOOKUP(Assessment!#REF!,Inherited!A:A,Inherited!B:B))/100)*(_xlfn.XLOOKUP(Assessment!#REF!,Inherited!A:A,Inherited!E:E)))+(((100-(_xlfn.XLOOKUP(Assessment!#REF!,Inherited!A:A,Inherited!B:B)))/100)*IF(Z112="1.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(100%)","100"))))))&lt;=32),"25",IF(AND((((_xlfn.XLOOKUP(Assessment!#REF!,Inherited!A:A,Inherited!B:B))/100)*(_xlfn.XLOOKUP(Assessment!#REF!,Inherited!A:A,Inherited!E:E)))+(((100-(_xlfn.XLOOKUP(Assessment!#REF!,Inherited!A:A,Inherited!B:B)))/100)*IF(Z112="1.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(100%)","100"))))))&gt;=33,(((_xlfn.XLOOKUP(Assessment!#REF!,Inherited!A:A,Inherited!B:B))/100)*(_xlfn.XLOOKUP(Assessment!#REF!,Inherited!A:A,Inherited!E:E)))+(((100-(_xlfn.XLOOKUP(Assessment!#REF!,Inherited!A:A,Inherited!B:B)))/100)*IF(Z112="1.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(100%)","100"))))))&lt;=65),"50",IF(AND((((_xlfn.XLOOKUP(Assessment!#REF!,Inherited!A:A,Inherited!B:B))/100)*(_xlfn.XLOOKUP(Assessment!#REF!,Inherited!A:A,Inherited!E:E)))+(((100-(_xlfn.XLOOKUP(Assessment!#REF!,Inherited!A:A,Inherited!B:B)))/100)*IF(Z112="1.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(100%)","100"))))))&gt;=66,(((_xlfn.XLOOKUP(Assessment!#REF!,Inherited!A:A,Inherited!B:B))/100)*(_xlfn.XLOOKUP(Assessment!#REF!,Inherited!A:A,Inherited!E:E)))+(((100-(_xlfn.XLOOKUP(Assessment!#REF!,Inherited!A:A,Inherited!B:B)))/100)*IF(Z112="1.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(100%)","100"))))))&lt;=89),"75",IF((((_xlfn.XLOOKUP(Assessment!#REF!,Inherited!A:A,Inherited!B:B))/100)*(_xlfn.XLOOKUP(Assessment!#REF!,Inherited!A:A,Inherited!E:E)))+(((100-(_xlfn.XLOOKUP(Assessment!#REF!,Inherited!A:A,Inherited!B:B)))/100)*IF(Z112="1. Non Compliant (0%)","0",IF(Z112="2. Somewhat Compliant (25%)","25",IF(Z112="3. Partially Compliant (50%)","50",IF(Z112="4. Mostly Compliant (75%)","75",IF(Z112="5. Fully Compliant (100%)","100"))))))&gt;=90,"100"))))))</f>
        <v>#N/A</v>
      </c>
      <c r="T112" s="1" t="e">
        <f>IF(MATCH(H112,Inherited!A:A),IF((((_xlfn.XLOOKUP(Assessment!#REF!,Inherited!A:A,Inherited!B:B))/100)*(_xlfn.XLOOKUP(Assessment!#REF!,Inherited!A:A,Inherited!F:F)))+(((100-(_xlfn.XLOOKUP(Assessment!#REF!,Inherited!A:A,Inherited!B:B)))/100)*IF(AA112="1.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(100%)","100"))))))&lt;=10,"0", IF(AND((((_xlfn.XLOOKUP(Assessment!#REF!,Inherited!A:A,Inherited!B:B))/100)*(_xlfn.XLOOKUP(Assessment!#REF!,Inherited!A:A,Inherited!F:F)))+(((100-(_xlfn.XLOOKUP(Assessment!#REF!,Inherited!A:A,Inherited!B:B)))/100)*IF(AA112="1.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(100%)","100"))))))&gt;=11,(((_xlfn.XLOOKUP(Assessment!#REF!,Inherited!A:A,Inherited!B:B))/100)*(_xlfn.XLOOKUP(Assessment!#REF!,Inherited!A:A,Inherited!F:F)))+(((100-(_xlfn.XLOOKUP(Assessment!#REF!,Inherited!A:A,Inherited!B:B)))/100)*IF(AA112="1.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(100%)","100"))))))&lt;=32),"25",IF(AND((((_xlfn.XLOOKUP(Assessment!#REF!,Inherited!A:A,Inherited!B:B))/100)*(_xlfn.XLOOKUP(Assessment!#REF!,Inherited!A:A,Inherited!F:F)))+(((100-(_xlfn.XLOOKUP(Assessment!#REF!,Inherited!A:A,Inherited!B:B)))/100)*IF(AA112="1.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(100%)","100"))))))&gt;=33,(((_xlfn.XLOOKUP(Assessment!#REF!,Inherited!A:A,Inherited!B:B))/100)*(_xlfn.XLOOKUP(Assessment!#REF!,Inherited!A:A,Inherited!F:F)))+(((100-(_xlfn.XLOOKUP(Assessment!#REF!,Inherited!A:A,Inherited!B:B)))/100)*IF(AA112="1.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(100%)","100"))))))&lt;=65),"50",IF(AND((((_xlfn.XLOOKUP(Assessment!#REF!,Inherited!A:A,Inherited!B:B))/100)*(_xlfn.XLOOKUP(Assessment!#REF!,Inherited!A:A,Inherited!F:F)))+(((100-(_xlfn.XLOOKUP(Assessment!#REF!,Inherited!A:A,Inherited!B:B)))/100)*IF(AA112="1.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(100%)","100"))))))&gt;=66,(((_xlfn.XLOOKUP(Assessment!#REF!,Inherited!A:A,Inherited!B:B))/100)*(_xlfn.XLOOKUP(Assessment!#REF!,Inherited!A:A,Inherited!F:F)))+(((100-(_xlfn.XLOOKUP(Assessment!#REF!,Inherited!A:A,Inherited!B:B)))/100)*IF(AA112="1.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(100%)","100"))))))&lt;=89),"75",IF((((_xlfn.XLOOKUP(Assessment!#REF!,Inherited!A:A,Inherited!B:B))/100)*(_xlfn.XLOOKUP(Assessment!#REF!,Inherited!A:A,Inherited!F:F)))+(((100-(_xlfn.XLOOKUP(Assessment!#REF!,Inherited!A:A,Inherited!B:B)))/100)*IF(AA112="1. Non Compliant (0%)","0",IF(AA112="2. Somewhat Compliant (25%)","25",IF(AA112="3. Partially Compliant (50%)","50",IF(AA112="4. Mostly Compliant (75%)","75",IF(AA112="5. Fully Compliant (100%)","100"))))))&gt;=90,"100"))))))</f>
        <v>#N/A</v>
      </c>
      <c r="U112" s="1" t="e">
        <f>IF(MATCH(H112,Inherited!A:A),IF((((_xlfn.XLOOKUP(Assessment!#REF!,Inherited!A:A,Inherited!B:B))/100)*(_xlfn.XLOOKUP(Assessment!#REF!,Inherited!A:A,Inherited!G:G)))+(((100-(_xlfn.XLOOKUP(Assessment!#REF!,Inherited!A:A,Inherited!B:B)))/100)*IF(AB112="1.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(100%)","100"))))))&lt;=10,"0", IF(AND((((_xlfn.XLOOKUP(Assessment!#REF!,Inherited!A:A,Inherited!B:B))/100)*(_xlfn.XLOOKUP(Assessment!#REF!,Inherited!A:A,Inherited!G:G)))+(((100-(_xlfn.XLOOKUP(Assessment!#REF!,Inherited!A:A,Inherited!B:B)))/100)*IF(AB112="1.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(100%)","100"))))))&gt;=11,(((_xlfn.XLOOKUP(Assessment!#REF!,Inherited!A:A,Inherited!B:B))/100)*(_xlfn.XLOOKUP(Assessment!#REF!,Inherited!A:A,Inherited!G:G)))+(((100-(_xlfn.XLOOKUP(Assessment!#REF!,Inherited!A:A,Inherited!B:B)))/100)*IF(AB112="1.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(100%)","100"))))))&lt;=32),"25",IF(AND((((_xlfn.XLOOKUP(Assessment!#REF!,Inherited!A:A,Inherited!B:B))/100)*(_xlfn.XLOOKUP(Assessment!#REF!,Inherited!A:A,Inherited!G:G)))+(((100-(_xlfn.XLOOKUP(Assessment!#REF!,Inherited!A:A,Inherited!B:B)))/100)*IF(AB112="1.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(100%)","100"))))))&gt;=33,(((_xlfn.XLOOKUP(Assessment!#REF!,Inherited!A:A,Inherited!B:B))/100)*(_xlfn.XLOOKUP(Assessment!#REF!,Inherited!A:A,Inherited!G:G)))+(((100-(_xlfn.XLOOKUP(Assessment!#REF!,Inherited!A:A,Inherited!B:B)))/100)*IF(AB112="1.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(100%)","100"))))))&lt;=65),"50",IF(AND((((_xlfn.XLOOKUP(Assessment!#REF!,Inherited!A:A,Inherited!B:B))/100)*(_xlfn.XLOOKUP(Assessment!#REF!,Inherited!A:A,Inherited!G:G)))+(((100-(_xlfn.XLOOKUP(Assessment!#REF!,Inherited!A:A,Inherited!B:B)))/100)*IF(AB112="1.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(100%)","100"))))))&gt;=66,(((_xlfn.XLOOKUP(Assessment!#REF!,Inherited!A:A,Inherited!B:B))/100)*(_xlfn.XLOOKUP(Assessment!#REF!,Inherited!A:A,Inherited!G:G)))+(((100-(_xlfn.XLOOKUP(Assessment!#REF!,Inherited!A:A,Inherited!B:B)))/100)*IF(AB112="1.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(100%)","100"))))))&lt;=89),"75",IF((((_xlfn.XLOOKUP(Assessment!#REF!,Inherited!A:A,Inherited!B:B))/100)*(_xlfn.XLOOKUP(Assessment!#REF!,Inherited!A:A,Inherited!G:G)))+(((100-(_xlfn.XLOOKUP(Assessment!#REF!,Inherited!A:A,Inherited!B:B)))/100)*IF(AB112="1. Non Compliant (0%)","0",IF(AB112="2. Somewhat Compliant (25%)","25",IF(AB112="3. Partially Compliant (50%)","50",IF(AB112="4. Mostly Compliant (75%)","75",IF(AB112="5. Fully Compliant (100%)","100"))))))&gt;=90,"100"))))))</f>
        <v>#N/A</v>
      </c>
      <c r="V112" s="55" t="s">
        <v>85</v>
      </c>
      <c r="W112" s="55"/>
      <c r="X112" s="55"/>
      <c r="Y112" s="55"/>
      <c r="Z112" s="55" t="s">
        <v>10873</v>
      </c>
      <c r="AA112" s="55"/>
      <c r="AB112" s="55"/>
      <c r="AK112" s="1" t="s">
        <v>10891</v>
      </c>
      <c r="AP112" s="1" t="s">
        <v>11088</v>
      </c>
      <c r="AX112" s="3" t="str">
        <f>_xlfn.CONCAT("A-LIGN finished its review of this control on ",AR112, " during the scheduled fieldwork window (",Intro!$B$4,")."&amp; CHAR(10)&amp; CHAR(10))</f>
        <v xml:space="preserve">A-LIGN finished its review of this control on  during the scheduled fieldwork window (Fieldwork: xx/xx/xxxx - xx/xx/xxxx).
</v>
      </c>
      <c r="AY112" s="3" t="str">
        <f t="shared" si="231"/>
        <v/>
      </c>
      <c r="AZ112" s="3" t="str">
        <f t="shared" si="232"/>
        <v/>
      </c>
      <c r="BA112" s="3" t="str">
        <f t="shared" si="233"/>
        <v/>
      </c>
      <c r="BB112" s="3" t="str">
        <f t="shared" si="234"/>
        <v xml:space="preserve">Inquired of the following workforce member: 
Matthew Macaluso - Director of System Operations
Roze Nicolas - Director of TechOps
Inquiry lead to the following conclusions: 
</v>
      </c>
      <c r="BC112" s="3" t="str">
        <f t="shared" si="235"/>
        <v/>
      </c>
      <c r="BD112" s="3" t="str">
        <f t="shared" si="236"/>
        <v xml:space="preserve">Examined the following evidence during fieldwork:
Reviewed evidence addressed the requirement statement.
Reviewed evidence exception note: 
Gap: Clock synchronization not currently in place.
Recommendation: Management shall ensure that in-scope network devices utilizes 2 different time sources to validate the time events occur within the in-scope environment.
</v>
      </c>
      <c r="BE112" s="3" t="str">
        <f t="shared" si="237"/>
        <v/>
      </c>
      <c r="BF112" s="3" t="str">
        <f t="shared" si="238"/>
        <v/>
      </c>
      <c r="BG112" s="3" t="str">
        <f>_xlfn.CONCAT((IF((COUNTIF('Sample Tables'!B:B,"Test 054: Endpoint Device (server)")&gt;0)=TRUE,_xlfn.CONCAT("Sample test results are documented in ",'Sample Tables'!B590," [",'Sample Tables'!B591,", ",'Sample Tables'!B592,", ",'Sample Tables'!B593,", ",'Sample Tables'!B594,", ",'Sample Tables'!B595,"]."&amp;CHAR(10)),IF((COUNTIF('Sample Tables'!B:B,"Test 054: Endpoint Device (server)")&gt;0)=FALSE,""))),(IF((COUNTIF('Sample Tables'!B:B,"Test 180: Network Device (firewall)")&gt;0)=TRUE,_xlfn.CONCAT("Sample test results are documented in ",'Sample Tables'!B1976," [",'Sample Tables'!B1977,", ",'Sample Tables'!B1978,", ",'Sample Tables'!B1979,", ",'Sample Tables'!B1980,", ",'Sample Tables'!B1981,"]."&amp;CHAR(10)),IF((COUNTIF('Sample Tables'!B:B,"Test 180: Network Device (firewall)")&gt;0)=FALSE,""))),(IF((COUNTIF('Sample Tables'!B:B,"Test 182: Network Device (router)")&gt;0)=TRUE,_xlfn.CONCAT("Sample test results are documented in ",'Sample Tables'!B1998," [",'Sample Tables'!B1999,", ",'Sample Tables'!B2000,", ",'Sample Tables'!B2001,", ",'Sample Tables'!B2002,", ",'Sample Tables'!B2003,"]."&amp;CHAR(10)),IF((COUNTIF('Sample Tables'!B:B,"Test 182: Network Device (router)")&gt;0)=FALSE,""))),(IF((COUNTIF('Sample Tables'!B:B,"Test 183: Network Device (switch)")&gt;0)=TRUE,_xlfn.CONCAT("Sample test results are documented in ",'Sample Tables'!B2009," [",'Sample Tables'!B2010,", ",'Sample Tables'!B2011,", ",'Sample Tables'!B2012,", ",'Sample Tables'!B2013,", ",'Sample Tables'!B2014,"]."&amp;CHAR(10)),IF((COUNTIF('Sample Tables'!B:B,"Test 183: Network Device (switch)")&gt;0)=FALSE,""))),(IF((COUNTIF('Sample Tables'!B:B,"Test 184: Network Device (wireless access point)")&gt;0)=TRUE,_xlfn.CONCAT("Sample test results are documented in ",'Sample Tables'!B2020," [",'Sample Tables'!B2021,", ",'Sample Tables'!B2022,", ",'Sample Tables'!B2023,", ",'Sample Tables'!B2024,", ",'Sample Tables'!B2025,"]."&amp;CHAR(10)),IF((COUNTIF('Sample Tables'!B:B,"Test 184: Network Device (wireless access point)")&gt;0)=FALSE,""))),)</f>
        <v xml:space="preserve">Sample test results are documented in Test 054: Endpoint Device (server) [Population Source/Tool: , Population Date Range: , Population Size: , Sample Methodology: , Sample Size: ].
Sample test results are documented in Test 180: Network Device (firewall) [Population Source/Tool: , Population Date Range: , Population Size: , Sample Methodology: , Sample Size: ].
Sample test results are documented in Test 182: Network Device (router) [Population Source/Tool: , Population Date Range: , Population Size: , Sample Methodology: , Sample Size: ].
Sample test results are documented in Test 183: Network Device (switch) [Population Source/Tool: , Population Date Range: , Population Size: , Sample Methodology: , Sample Size: ].
Sample test results are documented in Test 184: Network Device (wireless access point) [Population Source/Tool: , Population Date Range: , Population Size: , Sample Methodology: , Sample Size: ].
</v>
      </c>
      <c r="BH112" s="3" t="str">
        <f t="shared" si="23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Examined the following evidence during fieldwork:
Reviewed evidence addressed the requirement statement.
Reviewed evidence exception note: 
Gap: Clock synchronization not currently in place.
Recommendation: Management shall ensure that in-scope network devices utilizes 2 different time sources to validate the time events occur within the in-scope environment.
Sample test results are documented in Test 054: Endpoint Device (server) [Population Source/Tool: , Population Date Range: , Population Size: , Sample Methodology: , Sample Size: ].
Sample test results are documented in Test 180: Network Device (firewall) [Population Source/Tool: , Population Date Range: , Population Size: , Sample Methodology: , Sample Size: ].
Sample test results are documented in Test 182: Network Device (router) [Population Source/Tool: , Population Date Range: , Population Size: , Sample Methodology: , Sample Size: ].
Sample test results are documented in Test 183: Network Device (switch) [Population Source/Tool: , Population Date Range: , Population Size: , Sample Methodology: , Sample Size: ].
Sample test results are documented in Test 184: Network Device (wireless access point) [Population Source/Tool: , Population Date Range: , Population Size: , Sample Methodology: , Sample Size: ].
</v>
      </c>
    </row>
    <row r="113" spans="3:60" ht="362.5" x14ac:dyDescent="0.35">
      <c r="C113" s="1">
        <f t="shared" si="230"/>
        <v>40</v>
      </c>
      <c r="D113" s="5" t="str">
        <f>IF(AND((_xlfn.XLOOKUP(J113,'Fields &amp; Revisions'!$H:$H,'Fields &amp; Revisions'!$I:$I))&lt;70.99,(OR(Z113="4. Mostly Compliant (75%)",Z113="3. Partially Compliant (50%)",Z113="2. Somewhat Compliant (25%)",Z113="1. Non Compliant (0%)"))),"Yes","No")</f>
        <v>No</v>
      </c>
      <c r="E113" s="5" t="str">
        <f>IF(ISERROR(VLOOKUP(H113,Scope!A:A,1,FALSE)),"No","Yes")</f>
        <v>Yes</v>
      </c>
      <c r="F113" s="1" t="s">
        <v>3611</v>
      </c>
      <c r="G113" s="53" t="s">
        <v>3617</v>
      </c>
      <c r="H113" s="53" t="s">
        <v>3618</v>
      </c>
      <c r="I113" s="5">
        <v>1</v>
      </c>
      <c r="J113" s="1" t="s">
        <v>644</v>
      </c>
      <c r="K113" s="1" t="s">
        <v>3619</v>
      </c>
      <c r="L113" s="1" t="s">
        <v>3620</v>
      </c>
      <c r="M113" s="1" t="s">
        <v>3621</v>
      </c>
      <c r="N113" s="5" t="s">
        <v>85</v>
      </c>
      <c r="O113" s="1" t="str">
        <f>_xlfn.XLOOKUP(G113,SRMs!$A:$A,SRMs!$D:$D)</f>
        <v>NO INHERITANCE</v>
      </c>
      <c r="P113" s="1" t="str">
        <f>IFERROR(VLOOKUP(H113,Inherited!A:B,2,FALSE),"")</f>
        <v/>
      </c>
      <c r="Q113" s="1" t="e">
        <f>IF(MATCH(H113,Inherited!A:A),IF((((_xlfn.XLOOKUP(Assessment!H114,Inherited!A:A,Inherited!B:B))/100)*(_xlfn.XLOOKUP(Assessment!H114,Inherited!A:A,Inherited!C:C)))+(((100-(_xlfn.XLOOKUP(Assessment!H114,Inherited!A:A,Inherited!B:B)))/100)*IF(X113="1.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(100%)","100"))))))&lt;=10,"0", IF(AND((((_xlfn.XLOOKUP(Assessment!H114,Inherited!A:A,Inherited!B:B))/100)*(_xlfn.XLOOKUP(Assessment!H114,Inherited!A:A,Inherited!C:C)))+(((100-(_xlfn.XLOOKUP(Assessment!H114,Inherited!A:A,Inherited!B:B)))/100)*IF(X113="1.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(100%)","100"))))))&gt;=11,(((_xlfn.XLOOKUP(Assessment!H114,Inherited!A:A,Inherited!B:B))/100)*(_xlfn.XLOOKUP(Assessment!H114,Inherited!A:A,Inherited!C:C)))+(((100-(_xlfn.XLOOKUP(Assessment!H114,Inherited!A:A,Inherited!B:B)))/100)*IF(X113="1.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(100%)","100"))))))&lt;=32),"25",IF(AND((((_xlfn.XLOOKUP(Assessment!H114,Inherited!A:A,Inherited!B:B))/100)*(_xlfn.XLOOKUP(Assessment!H114,Inherited!A:A,Inherited!C:C)))+(((100-(_xlfn.XLOOKUP(Assessment!H114,Inherited!A:A,Inherited!B:B)))/100)*IF(X113="1.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(100%)","100"))))))&gt;=33,(((_xlfn.XLOOKUP(Assessment!H114,Inherited!A:A,Inherited!B:B))/100)*(_xlfn.XLOOKUP(Assessment!H114,Inherited!A:A,Inherited!C:C)))+(((100-(_xlfn.XLOOKUP(Assessment!H114,Inherited!A:A,Inherited!B:B)))/100)*IF(X113="1.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(100%)","100"))))))&lt;=65),"50",IF(AND((((_xlfn.XLOOKUP(Assessment!H114,Inherited!A:A,Inherited!B:B))/100)*(_xlfn.XLOOKUP(Assessment!H114,Inherited!A:A,Inherited!C:C)))+(((100-(_xlfn.XLOOKUP(Assessment!H114,Inherited!A:A,Inherited!B:B)))/100)*IF(X113="1.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(100%)","100"))))))&gt;=66,(((_xlfn.XLOOKUP(Assessment!H114,Inherited!A:A,Inherited!B:B))/100)*(_xlfn.XLOOKUP(Assessment!H114,Inherited!A:A,Inherited!C:C)))+(((100-(_xlfn.XLOOKUP(Assessment!H114,Inherited!A:A,Inherited!B:B)))/100)*IF(X113="1.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(100%)","100"))))))&lt;=89),"75",IF((((_xlfn.XLOOKUP(Assessment!H114,Inherited!A:A,Inherited!B:B))/100)*(_xlfn.XLOOKUP(Assessment!H114,Inherited!A:A,Inherited!C:C)))+(((100-(_xlfn.XLOOKUP(Assessment!H114,Inherited!A:A,Inherited!B:B)))/100)*IF(X113="1. Non Compliant (0%)","0",IF(X113="2. Somewhat Compliant (25%)","25",IF(X113="3. Partially Compliant (50%)","50",IF(X113="4. Mostly Compliant (75%)","75",IF(X113="5. Fully Compliant (100%)","100"))))))&gt;=90,"100"))))))</f>
        <v>#N/A</v>
      </c>
      <c r="R113" s="1" t="e">
        <f>IF(MATCH(H113,Inherited!A:A),IF((((_xlfn.XLOOKUP(Assessment!H114,Inherited!A:A,Inherited!B:B))/100)*(_xlfn.XLOOKUP(Assessment!H114,Inherited!A:A,Inherited!D:D)))+(((100-(_xlfn.XLOOKUP(Assessment!H114,Inherited!A:A,Inherited!B:B)))/100)*IF(Y113="1.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(100%)","100"))))))&lt;=10,"0", IF(AND((((_xlfn.XLOOKUP(Assessment!H114,Inherited!A:A,Inherited!B:B))/100)*(_xlfn.XLOOKUP(Assessment!H114,Inherited!A:A,Inherited!D:D)))+(((100-(_xlfn.XLOOKUP(Assessment!H114,Inherited!A:A,Inherited!B:B)))/100)*IF(Y113="1.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(100%)","100"))))))&gt;=11,(((_xlfn.XLOOKUP(Assessment!H114,Inherited!A:A,Inherited!B:B))/100)*(_xlfn.XLOOKUP(Assessment!H114,Inherited!A:A,Inherited!D:D)))+(((100-(_xlfn.XLOOKUP(Assessment!H114,Inherited!A:A,Inherited!B:B)))/100)*IF(Y113="1.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(100%)","100"))))))&lt;=32),"25",IF(AND((((_xlfn.XLOOKUP(Assessment!H114,Inherited!A:A,Inherited!B:B))/100)*(_xlfn.XLOOKUP(Assessment!H114,Inherited!A:A,Inherited!D:D)))+(((100-(_xlfn.XLOOKUP(Assessment!H114,Inherited!A:A,Inherited!B:B)))/100)*IF(Y113="1.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(100%)","100"))))))&gt;=33,(((_xlfn.XLOOKUP(Assessment!H114,Inherited!A:A,Inherited!B:B))/100)*(_xlfn.XLOOKUP(Assessment!H114,Inherited!A:A,Inherited!D:D)))+(((100-(_xlfn.XLOOKUP(Assessment!H114,Inherited!A:A,Inherited!B:B)))/100)*IF(Y113="1.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(100%)","100"))))))&lt;=65),"50",IF(AND((((_xlfn.XLOOKUP(Assessment!H114,Inherited!A:A,Inherited!B:B))/100)*(_xlfn.XLOOKUP(Assessment!H114,Inherited!A:A,Inherited!D:D)))+(((100-(_xlfn.XLOOKUP(Assessment!H114,Inherited!A:A,Inherited!B:B)))/100)*IF(Y113="1.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(100%)","100"))))))&gt;=66,(((_xlfn.XLOOKUP(Assessment!H114,Inherited!A:A,Inherited!B:B))/100)*(_xlfn.XLOOKUP(Assessment!H114,Inherited!A:A,Inherited!D:D)))+(((100-(_xlfn.XLOOKUP(Assessment!H114,Inherited!A:A,Inherited!B:B)))/100)*IF(Y113="1.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(100%)","100"))))))&lt;=89),"75",IF((((_xlfn.XLOOKUP(Assessment!H114,Inherited!A:A,Inherited!B:B))/100)*(_xlfn.XLOOKUP(Assessment!H114,Inherited!A:A,Inherited!D:D)))+(((100-(_xlfn.XLOOKUP(Assessment!H114,Inherited!A:A,Inherited!B:B)))/100)*IF(Y113="1. Non Compliant (0%)","0",IF(Y113="2. Somewhat Compliant (25%)","25",IF(Y113="3. Partially Compliant (50%)","50",IF(Y113="4. Mostly Compliant (75%)","75",IF(Y113="5. Fully Compliant (100%)","100"))))))&gt;=90,"100"))))))</f>
        <v>#N/A</v>
      </c>
      <c r="S113" s="1" t="e">
        <f>IF(MATCH(H113,Inherited!A:A),IF((((_xlfn.XLOOKUP(Assessment!H114,Inherited!A:A,Inherited!B:B))/100)*(_xlfn.XLOOKUP(Assessment!H114,Inherited!A:A,Inherited!E:E)))+(((100-(_xlfn.XLOOKUP(Assessment!H114,Inherited!A:A,Inherited!B:B)))/100)*IF(Z113="1.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(100%)","100"))))))&lt;=10,"0", IF(AND((((_xlfn.XLOOKUP(Assessment!H114,Inherited!A:A,Inherited!B:B))/100)*(_xlfn.XLOOKUP(Assessment!H114,Inherited!A:A,Inherited!E:E)))+(((100-(_xlfn.XLOOKUP(Assessment!H114,Inherited!A:A,Inherited!B:B)))/100)*IF(Z113="1.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(100%)","100"))))))&gt;=11,(((_xlfn.XLOOKUP(Assessment!H114,Inherited!A:A,Inherited!B:B))/100)*(_xlfn.XLOOKUP(Assessment!H114,Inherited!A:A,Inherited!E:E)))+(((100-(_xlfn.XLOOKUP(Assessment!H114,Inherited!A:A,Inherited!B:B)))/100)*IF(Z113="1.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(100%)","100"))))))&lt;=32),"25",IF(AND((((_xlfn.XLOOKUP(Assessment!H114,Inherited!A:A,Inherited!B:B))/100)*(_xlfn.XLOOKUP(Assessment!H114,Inherited!A:A,Inherited!E:E)))+(((100-(_xlfn.XLOOKUP(Assessment!H114,Inherited!A:A,Inherited!B:B)))/100)*IF(Z113="1.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(100%)","100"))))))&gt;=33,(((_xlfn.XLOOKUP(Assessment!H114,Inherited!A:A,Inherited!B:B))/100)*(_xlfn.XLOOKUP(Assessment!H114,Inherited!A:A,Inherited!E:E)))+(((100-(_xlfn.XLOOKUP(Assessment!H114,Inherited!A:A,Inherited!B:B)))/100)*IF(Z113="1.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(100%)","100"))))))&lt;=65),"50",IF(AND((((_xlfn.XLOOKUP(Assessment!H114,Inherited!A:A,Inherited!B:B))/100)*(_xlfn.XLOOKUP(Assessment!H114,Inherited!A:A,Inherited!E:E)))+(((100-(_xlfn.XLOOKUP(Assessment!H114,Inherited!A:A,Inherited!B:B)))/100)*IF(Z113="1.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(100%)","100"))))))&gt;=66,(((_xlfn.XLOOKUP(Assessment!H114,Inherited!A:A,Inherited!B:B))/100)*(_xlfn.XLOOKUP(Assessment!H114,Inherited!A:A,Inherited!E:E)))+(((100-(_xlfn.XLOOKUP(Assessment!H114,Inherited!A:A,Inherited!B:B)))/100)*IF(Z113="1.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(100%)","100"))))))&lt;=89),"75",IF((((_xlfn.XLOOKUP(Assessment!H114,Inherited!A:A,Inherited!B:B))/100)*(_xlfn.XLOOKUP(Assessment!H114,Inherited!A:A,Inherited!E:E)))+(((100-(_xlfn.XLOOKUP(Assessment!H114,Inherited!A:A,Inherited!B:B)))/100)*IF(Z113="1. Non Compliant (0%)","0",IF(Z113="2. Somewhat Compliant (25%)","25",IF(Z113="3. Partially Compliant (50%)","50",IF(Z113="4. Mostly Compliant (75%)","75",IF(Z113="5. Fully Compliant (100%)","100"))))))&gt;=90,"100"))))))</f>
        <v>#N/A</v>
      </c>
      <c r="T113" s="1" t="e">
        <f>IF(MATCH(H113,Inherited!A:A),IF((((_xlfn.XLOOKUP(Assessment!H114,Inherited!A:A,Inherited!B:B))/100)*(_xlfn.XLOOKUP(Assessment!H114,Inherited!A:A,Inherited!F:F)))+(((100-(_xlfn.XLOOKUP(Assessment!H114,Inherited!A:A,Inherited!B:B)))/100)*IF(AA113="1.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(100%)","100"))))))&lt;=10,"0", IF(AND((((_xlfn.XLOOKUP(Assessment!H114,Inherited!A:A,Inherited!B:B))/100)*(_xlfn.XLOOKUP(Assessment!H114,Inherited!A:A,Inherited!F:F)))+(((100-(_xlfn.XLOOKUP(Assessment!H114,Inherited!A:A,Inherited!B:B)))/100)*IF(AA113="1.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(100%)","100"))))))&gt;=11,(((_xlfn.XLOOKUP(Assessment!H114,Inherited!A:A,Inherited!B:B))/100)*(_xlfn.XLOOKUP(Assessment!H114,Inherited!A:A,Inherited!F:F)))+(((100-(_xlfn.XLOOKUP(Assessment!H114,Inherited!A:A,Inherited!B:B)))/100)*IF(AA113="1.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(100%)","100"))))))&lt;=32),"25",IF(AND((((_xlfn.XLOOKUP(Assessment!H114,Inherited!A:A,Inherited!B:B))/100)*(_xlfn.XLOOKUP(Assessment!H114,Inherited!A:A,Inherited!F:F)))+(((100-(_xlfn.XLOOKUP(Assessment!H114,Inherited!A:A,Inherited!B:B)))/100)*IF(AA113="1.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(100%)","100"))))))&gt;=33,(((_xlfn.XLOOKUP(Assessment!H114,Inherited!A:A,Inherited!B:B))/100)*(_xlfn.XLOOKUP(Assessment!H114,Inherited!A:A,Inherited!F:F)))+(((100-(_xlfn.XLOOKUP(Assessment!H114,Inherited!A:A,Inherited!B:B)))/100)*IF(AA113="1.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(100%)","100"))))))&lt;=65),"50",IF(AND((((_xlfn.XLOOKUP(Assessment!H114,Inherited!A:A,Inherited!B:B))/100)*(_xlfn.XLOOKUP(Assessment!H114,Inherited!A:A,Inherited!F:F)))+(((100-(_xlfn.XLOOKUP(Assessment!H114,Inherited!A:A,Inherited!B:B)))/100)*IF(AA113="1.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(100%)","100"))))))&gt;=66,(((_xlfn.XLOOKUP(Assessment!H114,Inherited!A:A,Inherited!B:B))/100)*(_xlfn.XLOOKUP(Assessment!H114,Inherited!A:A,Inherited!F:F)))+(((100-(_xlfn.XLOOKUP(Assessment!H114,Inherited!A:A,Inherited!B:B)))/100)*IF(AA113="1.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(100%)","100"))))))&lt;=89),"75",IF((((_xlfn.XLOOKUP(Assessment!H114,Inherited!A:A,Inherited!B:B))/100)*(_xlfn.XLOOKUP(Assessment!H114,Inherited!A:A,Inherited!F:F)))+(((100-(_xlfn.XLOOKUP(Assessment!H114,Inherited!A:A,Inherited!B:B)))/100)*IF(AA113="1. Non Compliant (0%)","0",IF(AA113="2. Somewhat Compliant (25%)","25",IF(AA113="3. Partially Compliant (50%)","50",IF(AA113="4. Mostly Compliant (75%)","75",IF(AA113="5. Fully Compliant (100%)","100"))))))&gt;=90,"100"))))))</f>
        <v>#N/A</v>
      </c>
      <c r="U113" s="1" t="e">
        <f>IF(MATCH(H113,Inherited!A:A),IF((((_xlfn.XLOOKUP(Assessment!H114,Inherited!A:A,Inherited!B:B))/100)*(_xlfn.XLOOKUP(Assessment!H114,Inherited!A:A,Inherited!G:G)))+(((100-(_xlfn.XLOOKUP(Assessment!H114,Inherited!A:A,Inherited!B:B)))/100)*IF(AB113="1.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(100%)","100"))))))&lt;=10,"0", IF(AND((((_xlfn.XLOOKUP(Assessment!H114,Inherited!A:A,Inherited!B:B))/100)*(_xlfn.XLOOKUP(Assessment!H114,Inherited!A:A,Inherited!G:G)))+(((100-(_xlfn.XLOOKUP(Assessment!H114,Inherited!A:A,Inherited!B:B)))/100)*IF(AB113="1.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(100%)","100"))))))&gt;=11,(((_xlfn.XLOOKUP(Assessment!H114,Inherited!A:A,Inherited!B:B))/100)*(_xlfn.XLOOKUP(Assessment!H114,Inherited!A:A,Inherited!G:G)))+(((100-(_xlfn.XLOOKUP(Assessment!H114,Inherited!A:A,Inherited!B:B)))/100)*IF(AB113="1.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(100%)","100"))))))&lt;=32),"25",IF(AND((((_xlfn.XLOOKUP(Assessment!H114,Inherited!A:A,Inherited!B:B))/100)*(_xlfn.XLOOKUP(Assessment!H114,Inherited!A:A,Inherited!G:G)))+(((100-(_xlfn.XLOOKUP(Assessment!H114,Inherited!A:A,Inherited!B:B)))/100)*IF(AB113="1.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(100%)","100"))))))&gt;=33,(((_xlfn.XLOOKUP(Assessment!H114,Inherited!A:A,Inherited!B:B))/100)*(_xlfn.XLOOKUP(Assessment!H114,Inherited!A:A,Inherited!G:G)))+(((100-(_xlfn.XLOOKUP(Assessment!H114,Inherited!A:A,Inherited!B:B)))/100)*IF(AB113="1.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(100%)","100"))))))&lt;=65),"50",IF(AND((((_xlfn.XLOOKUP(Assessment!H114,Inherited!A:A,Inherited!B:B))/100)*(_xlfn.XLOOKUP(Assessment!H114,Inherited!A:A,Inherited!G:G)))+(((100-(_xlfn.XLOOKUP(Assessment!H114,Inherited!A:A,Inherited!B:B)))/100)*IF(AB113="1.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(100%)","100"))))))&gt;=66,(((_xlfn.XLOOKUP(Assessment!H114,Inherited!A:A,Inherited!B:B))/100)*(_xlfn.XLOOKUP(Assessment!H114,Inherited!A:A,Inherited!G:G)))+(((100-(_xlfn.XLOOKUP(Assessment!H114,Inherited!A:A,Inherited!B:B)))/100)*IF(AB113="1.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(100%)","100"))))))&lt;=89),"75",IF((((_xlfn.XLOOKUP(Assessment!H114,Inherited!A:A,Inherited!B:B))/100)*(_xlfn.XLOOKUP(Assessment!H114,Inherited!A:A,Inherited!G:G)))+(((100-(_xlfn.XLOOKUP(Assessment!H114,Inherited!A:A,Inherited!B:B)))/100)*IF(AB113="1. Non Compliant (0%)","0",IF(AB113="2. Somewhat Compliant (25%)","25",IF(AB113="3. Partially Compliant (50%)","50",IF(AB113="4. Mostly Compliant (75%)","75",IF(AB113="5. Fully Compliant (100%)","100"))))))&gt;=90,"100"))))))</f>
        <v>#N/A</v>
      </c>
      <c r="V113" s="55" t="s">
        <v>85</v>
      </c>
      <c r="W113" s="55"/>
      <c r="X113" s="55"/>
      <c r="Y113" s="55"/>
      <c r="Z113" s="55" t="s">
        <v>86</v>
      </c>
      <c r="AA113" s="55"/>
      <c r="AB113" s="55"/>
      <c r="AK113" s="1" t="s">
        <v>10947</v>
      </c>
      <c r="AL113" s="1" t="s">
        <v>10946</v>
      </c>
      <c r="AM113" s="1" t="s">
        <v>11042</v>
      </c>
      <c r="AX113" s="3" t="str">
        <f>_xlfn.CONCAT("A-LIGN finished its review of this control on ",AR113, " during the scheduled fieldwork window (",Intro!$B$4,")."&amp; CHAR(10)&amp; CHAR(10))</f>
        <v xml:space="preserve">A-LIGN finished its review of this control on  during the scheduled fieldwork window (Fieldwork: xx/xx/xxxx - xx/xx/xxxx).
</v>
      </c>
      <c r="AY113" s="3" t="str">
        <f t="shared" si="231"/>
        <v/>
      </c>
      <c r="AZ113" s="3" t="str">
        <f t="shared" si="232"/>
        <v/>
      </c>
      <c r="BA113" s="3" t="str">
        <f t="shared" si="233"/>
        <v/>
      </c>
      <c r="BB113" s="3" t="str">
        <f t="shared" si="234"/>
        <v xml:space="preserve">Inquired of the following workforce member: 
Roze Nicolas - Director of TechOps
Inquiry lead to the following conclusions: 
Training held through KnowBe4 (security awareness and phishing) 
Training is provided at onboarding and annually thereafter.
</v>
      </c>
      <c r="BC113" s="3" t="str">
        <f t="shared" si="235"/>
        <v xml:space="preserve">Observed the following live during fieldwork: 
Observed the KnowBe4 dashboard which outlined the different training campaigns provided to Merge Users and confirmed that phishing awareness training that includes recognition and reporting is provided.
</v>
      </c>
      <c r="BD113" s="3" t="str">
        <f t="shared" si="236"/>
        <v xml:space="preserve">Examined the following evidence during fieldwork:
Reviewed evidence addressed the requirement statement.
</v>
      </c>
      <c r="BE113" s="3" t="str">
        <f t="shared" si="237"/>
        <v/>
      </c>
      <c r="BF113" s="3" t="str">
        <f t="shared" si="238"/>
        <v/>
      </c>
      <c r="BG113" s="3" t="str">
        <f>_xlfn.CONCAT((IF((COUNTIF('Sample Tables'!B:B,"Test 200: Workforce Member (new hire)")&gt;0)=TRUE,_xlfn.CONCAT("Sample test results are documented in ",'Sample Tables'!B2196," [",'Sample Tables'!B2197,", ",'Sample Tables'!B2198,", ",'Sample Tables'!B2199,", ",'Sample Tables'!B2200,", ",'Sample Tables'!B2201,"]."&amp;CHAR(10)),IF((COUNTIF('Sample Tables'!B:B,"Test 200: Workforce Member (new hire)")&gt;0)=FALSE,""))),)</f>
        <v xml:space="preserve">Sample test results are documented in Test 200: Workforce Member (new hire) [Population Source/Tool: , Population Date Range: , Population Size: , Sample Methodology: , Sample Size: ].
</v>
      </c>
      <c r="BH113" s="3" t="str">
        <f t="shared" si="239"/>
        <v xml:space="preserve">A-LIGN finished its review of this control on  during the scheduled fieldwork window (Fieldwork: xx/xx/xxxx - xx/xx/xxxx).
Inquired of the following workforce member: 
Roze Nicolas - Director of TechOps
Inquiry lead to the following conclusions: 
Training held through KnowBe4 (security awareness and phishing) 
Training is provided at onboarding and annually thereafter.
Observed the following live during fieldwork: 
Observed the KnowBe4 dashboard which outlined the different training campaigns provided to Merge Users and confirmed that phishing awareness training that includes recognition and reporting is provided.
Examined the following evidence during fieldwork:
Reviewed evidence addressed the requirement statement.
Sample test results are documented in Test 200: Workforce Member (new hire) [Population Source/Tool: , Population Date Range: , Population Size: , Sample Methodology: , Sample Size: ].
</v>
      </c>
    </row>
    <row r="114" spans="3:60" ht="409.5" x14ac:dyDescent="0.35">
      <c r="C114" s="1">
        <f t="shared" si="230"/>
        <v>0</v>
      </c>
      <c r="D114" s="5" t="str">
        <f>IF(AND((_xlfn.XLOOKUP(J114,'Fields &amp; Revisions'!$H:$H,'Fields &amp; Revisions'!$I:$I))&lt;70.99,(OR(Z114="4. Mostly Compliant (75%)",Z114="3. Partially Compliant (50%)",Z114="2. Somewhat Compliant (25%)",Z114="1. Non Compliant (0%)"))),"Yes","No")</f>
        <v>Yes</v>
      </c>
      <c r="E114" s="5" t="str">
        <f>IF(ISERROR(VLOOKUP(H114,Scope!A:A,1,FALSE)),"No","Yes")</f>
        <v>Yes</v>
      </c>
      <c r="F114" s="1" t="s">
        <v>3611</v>
      </c>
      <c r="G114" s="53" t="s">
        <v>3622</v>
      </c>
      <c r="H114" s="53" t="s">
        <v>3623</v>
      </c>
      <c r="I114" s="5" t="s">
        <v>93</v>
      </c>
      <c r="J114" s="1" t="s">
        <v>644</v>
      </c>
      <c r="K114" s="54" t="s">
        <v>3624</v>
      </c>
      <c r="L114" s="1" t="s">
        <v>3625</v>
      </c>
      <c r="M114" s="1" t="s">
        <v>3626</v>
      </c>
      <c r="N114" s="5" t="s">
        <v>98</v>
      </c>
      <c r="O114" s="1" t="str">
        <f>_xlfn.XLOOKUP(G114,SRMs!$A:$A,SRMs!$D:$D)</f>
        <v>NO INHERITANCE</v>
      </c>
      <c r="P114" s="1" t="str">
        <f>IFERROR(VLOOKUP(H114,Inherited!A:B,2,FALSE),"")</f>
        <v/>
      </c>
      <c r="Q114" s="1" t="e">
        <f>IF(MATCH(H114,Inherited!A:A),IF((((_xlfn.XLOOKUP(Assessment!#REF!,Inherited!A:A,Inherited!B:B))/100)*(_xlfn.XLOOKUP(Assessment!#REF!,Inherited!A:A,Inherited!C:C)))+(((100-(_xlfn.XLOOKUP(Assessment!#REF!,Inherited!A:A,Inherited!B:B)))/100)*IF(X114="1.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(100%)","100"))))))&lt;=10,"0", IF(AND((((_xlfn.XLOOKUP(Assessment!#REF!,Inherited!A:A,Inherited!B:B))/100)*(_xlfn.XLOOKUP(Assessment!#REF!,Inherited!A:A,Inherited!C:C)))+(((100-(_xlfn.XLOOKUP(Assessment!#REF!,Inherited!A:A,Inherited!B:B)))/100)*IF(X114="1.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(100%)","100"))))))&gt;=11,(((_xlfn.XLOOKUP(Assessment!#REF!,Inherited!A:A,Inherited!B:B))/100)*(_xlfn.XLOOKUP(Assessment!#REF!,Inherited!A:A,Inherited!C:C)))+(((100-(_xlfn.XLOOKUP(Assessment!#REF!,Inherited!A:A,Inherited!B:B)))/100)*IF(X114="1.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(100%)","100"))))))&lt;=32),"25",IF(AND((((_xlfn.XLOOKUP(Assessment!#REF!,Inherited!A:A,Inherited!B:B))/100)*(_xlfn.XLOOKUP(Assessment!#REF!,Inherited!A:A,Inherited!C:C)))+(((100-(_xlfn.XLOOKUP(Assessment!#REF!,Inherited!A:A,Inherited!B:B)))/100)*IF(X114="1.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(100%)","100"))))))&gt;=33,(((_xlfn.XLOOKUP(Assessment!#REF!,Inherited!A:A,Inherited!B:B))/100)*(_xlfn.XLOOKUP(Assessment!#REF!,Inherited!A:A,Inherited!C:C)))+(((100-(_xlfn.XLOOKUP(Assessment!#REF!,Inherited!A:A,Inherited!B:B)))/100)*IF(X114="1.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(100%)","100"))))))&lt;=65),"50",IF(AND((((_xlfn.XLOOKUP(Assessment!#REF!,Inherited!A:A,Inherited!B:B))/100)*(_xlfn.XLOOKUP(Assessment!#REF!,Inherited!A:A,Inherited!C:C)))+(((100-(_xlfn.XLOOKUP(Assessment!#REF!,Inherited!A:A,Inherited!B:B)))/100)*IF(X114="1.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(100%)","100"))))))&gt;=66,(((_xlfn.XLOOKUP(Assessment!#REF!,Inherited!A:A,Inherited!B:B))/100)*(_xlfn.XLOOKUP(Assessment!#REF!,Inherited!A:A,Inherited!C:C)))+(((100-(_xlfn.XLOOKUP(Assessment!#REF!,Inherited!A:A,Inherited!B:B)))/100)*IF(X114="1.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(100%)","100"))))))&lt;=89),"75",IF((((_xlfn.XLOOKUP(Assessment!#REF!,Inherited!A:A,Inherited!B:B))/100)*(_xlfn.XLOOKUP(Assessment!#REF!,Inherited!A:A,Inherited!C:C)))+(((100-(_xlfn.XLOOKUP(Assessment!#REF!,Inherited!A:A,Inherited!B:B)))/100)*IF(X114="1. Non Compliant (0%)","0",IF(X114="2. Somewhat Compliant (25%)","25",IF(X114="3. Partially Compliant (50%)","50",IF(X114="4. Mostly Compliant (75%)","75",IF(X114="5. Fully Compliant (100%)","100"))))))&gt;=90,"100"))))))</f>
        <v>#N/A</v>
      </c>
      <c r="R114" s="1" t="e">
        <f>IF(MATCH(H114,Inherited!A:A),IF((((_xlfn.XLOOKUP(Assessment!#REF!,Inherited!A:A,Inherited!B:B))/100)*(_xlfn.XLOOKUP(Assessment!#REF!,Inherited!A:A,Inherited!D:D)))+(((100-(_xlfn.XLOOKUP(Assessment!#REF!,Inherited!A:A,Inherited!B:B)))/100)*IF(Y114="1.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(100%)","100"))))))&lt;=10,"0", IF(AND((((_xlfn.XLOOKUP(Assessment!#REF!,Inherited!A:A,Inherited!B:B))/100)*(_xlfn.XLOOKUP(Assessment!#REF!,Inherited!A:A,Inherited!D:D)))+(((100-(_xlfn.XLOOKUP(Assessment!#REF!,Inherited!A:A,Inherited!B:B)))/100)*IF(Y114="1.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(100%)","100"))))))&gt;=11,(((_xlfn.XLOOKUP(Assessment!#REF!,Inherited!A:A,Inherited!B:B))/100)*(_xlfn.XLOOKUP(Assessment!#REF!,Inherited!A:A,Inherited!D:D)))+(((100-(_xlfn.XLOOKUP(Assessment!#REF!,Inherited!A:A,Inherited!B:B)))/100)*IF(Y114="1.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(100%)","100"))))))&lt;=32),"25",IF(AND((((_xlfn.XLOOKUP(Assessment!#REF!,Inherited!A:A,Inherited!B:B))/100)*(_xlfn.XLOOKUP(Assessment!#REF!,Inherited!A:A,Inherited!D:D)))+(((100-(_xlfn.XLOOKUP(Assessment!#REF!,Inherited!A:A,Inherited!B:B)))/100)*IF(Y114="1.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(100%)","100"))))))&gt;=33,(((_xlfn.XLOOKUP(Assessment!#REF!,Inherited!A:A,Inherited!B:B))/100)*(_xlfn.XLOOKUP(Assessment!#REF!,Inherited!A:A,Inherited!D:D)))+(((100-(_xlfn.XLOOKUP(Assessment!#REF!,Inherited!A:A,Inherited!B:B)))/100)*IF(Y114="1.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(100%)","100"))))))&lt;=65),"50",IF(AND((((_xlfn.XLOOKUP(Assessment!#REF!,Inherited!A:A,Inherited!B:B))/100)*(_xlfn.XLOOKUP(Assessment!#REF!,Inherited!A:A,Inherited!D:D)))+(((100-(_xlfn.XLOOKUP(Assessment!#REF!,Inherited!A:A,Inherited!B:B)))/100)*IF(Y114="1.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(100%)","100"))))))&gt;=66,(((_xlfn.XLOOKUP(Assessment!#REF!,Inherited!A:A,Inherited!B:B))/100)*(_xlfn.XLOOKUP(Assessment!#REF!,Inherited!A:A,Inherited!D:D)))+(((100-(_xlfn.XLOOKUP(Assessment!#REF!,Inherited!A:A,Inherited!B:B)))/100)*IF(Y114="1.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(100%)","100"))))))&lt;=89),"75",IF((((_xlfn.XLOOKUP(Assessment!#REF!,Inherited!A:A,Inherited!B:B))/100)*(_xlfn.XLOOKUP(Assessment!#REF!,Inherited!A:A,Inherited!D:D)))+(((100-(_xlfn.XLOOKUP(Assessment!#REF!,Inherited!A:A,Inherited!B:B)))/100)*IF(Y114="1. Non Compliant (0%)","0",IF(Y114="2. Somewhat Compliant (25%)","25",IF(Y114="3. Partially Compliant (50%)","50",IF(Y114="4. Mostly Compliant (75%)","75",IF(Y114="5. Fully Compliant (100%)","100"))))))&gt;=90,"100"))))))</f>
        <v>#N/A</v>
      </c>
      <c r="S114" s="1" t="e">
        <f>IF(MATCH(H114,Inherited!A:A),IF((((_xlfn.XLOOKUP(Assessment!#REF!,Inherited!A:A,Inherited!B:B))/100)*(_xlfn.XLOOKUP(Assessment!#REF!,Inherited!A:A,Inherited!E:E)))+(((100-(_xlfn.XLOOKUP(Assessment!#REF!,Inherited!A:A,Inherited!B:B)))/100)*IF(Z114="1.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(100%)","100"))))))&lt;=10,"0", IF(AND((((_xlfn.XLOOKUP(Assessment!#REF!,Inherited!A:A,Inherited!B:B))/100)*(_xlfn.XLOOKUP(Assessment!#REF!,Inherited!A:A,Inherited!E:E)))+(((100-(_xlfn.XLOOKUP(Assessment!#REF!,Inherited!A:A,Inherited!B:B)))/100)*IF(Z114="1.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(100%)","100"))))))&gt;=11,(((_xlfn.XLOOKUP(Assessment!#REF!,Inherited!A:A,Inherited!B:B))/100)*(_xlfn.XLOOKUP(Assessment!#REF!,Inherited!A:A,Inherited!E:E)))+(((100-(_xlfn.XLOOKUP(Assessment!#REF!,Inherited!A:A,Inherited!B:B)))/100)*IF(Z114="1.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(100%)","100"))))))&lt;=32),"25",IF(AND((((_xlfn.XLOOKUP(Assessment!#REF!,Inherited!A:A,Inherited!B:B))/100)*(_xlfn.XLOOKUP(Assessment!#REF!,Inherited!A:A,Inherited!E:E)))+(((100-(_xlfn.XLOOKUP(Assessment!#REF!,Inherited!A:A,Inherited!B:B)))/100)*IF(Z114="1.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(100%)","100"))))))&gt;=33,(((_xlfn.XLOOKUP(Assessment!#REF!,Inherited!A:A,Inherited!B:B))/100)*(_xlfn.XLOOKUP(Assessment!#REF!,Inherited!A:A,Inherited!E:E)))+(((100-(_xlfn.XLOOKUP(Assessment!#REF!,Inherited!A:A,Inherited!B:B)))/100)*IF(Z114="1.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(100%)","100"))))))&lt;=65),"50",IF(AND((((_xlfn.XLOOKUP(Assessment!#REF!,Inherited!A:A,Inherited!B:B))/100)*(_xlfn.XLOOKUP(Assessment!#REF!,Inherited!A:A,Inherited!E:E)))+(((100-(_xlfn.XLOOKUP(Assessment!#REF!,Inherited!A:A,Inherited!B:B)))/100)*IF(Z114="1.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(100%)","100"))))))&gt;=66,(((_xlfn.XLOOKUP(Assessment!#REF!,Inherited!A:A,Inherited!B:B))/100)*(_xlfn.XLOOKUP(Assessment!#REF!,Inherited!A:A,Inherited!E:E)))+(((100-(_xlfn.XLOOKUP(Assessment!#REF!,Inherited!A:A,Inherited!B:B)))/100)*IF(Z114="1.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(100%)","100"))))))&lt;=89),"75",IF((((_xlfn.XLOOKUP(Assessment!#REF!,Inherited!A:A,Inherited!B:B))/100)*(_xlfn.XLOOKUP(Assessment!#REF!,Inherited!A:A,Inherited!E:E)))+(((100-(_xlfn.XLOOKUP(Assessment!#REF!,Inherited!A:A,Inherited!B:B)))/100)*IF(Z114="1. Non Compliant (0%)","0",IF(Z114="2. Somewhat Compliant (25%)","25",IF(Z114="3. Partially Compliant (50%)","50",IF(Z114="4. Mostly Compliant (75%)","75",IF(Z114="5. Fully Compliant (100%)","100"))))))&gt;=90,"100"))))))</f>
        <v>#N/A</v>
      </c>
      <c r="T114" s="1" t="e">
        <f>IF(MATCH(H114,Inherited!A:A),IF((((_xlfn.XLOOKUP(Assessment!#REF!,Inherited!A:A,Inherited!B:B))/100)*(_xlfn.XLOOKUP(Assessment!#REF!,Inherited!A:A,Inherited!F:F)))+(((100-(_xlfn.XLOOKUP(Assessment!#REF!,Inherited!A:A,Inherited!B:B)))/100)*IF(AA114="1.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(100%)","100"))))))&lt;=10,"0", IF(AND((((_xlfn.XLOOKUP(Assessment!#REF!,Inherited!A:A,Inherited!B:B))/100)*(_xlfn.XLOOKUP(Assessment!#REF!,Inherited!A:A,Inherited!F:F)))+(((100-(_xlfn.XLOOKUP(Assessment!#REF!,Inherited!A:A,Inherited!B:B)))/100)*IF(AA114="1.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(100%)","100"))))))&gt;=11,(((_xlfn.XLOOKUP(Assessment!#REF!,Inherited!A:A,Inherited!B:B))/100)*(_xlfn.XLOOKUP(Assessment!#REF!,Inherited!A:A,Inherited!F:F)))+(((100-(_xlfn.XLOOKUP(Assessment!#REF!,Inherited!A:A,Inherited!B:B)))/100)*IF(AA114="1.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(100%)","100"))))))&lt;=32),"25",IF(AND((((_xlfn.XLOOKUP(Assessment!#REF!,Inherited!A:A,Inherited!B:B))/100)*(_xlfn.XLOOKUP(Assessment!#REF!,Inherited!A:A,Inherited!F:F)))+(((100-(_xlfn.XLOOKUP(Assessment!#REF!,Inherited!A:A,Inherited!B:B)))/100)*IF(AA114="1.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(100%)","100"))))))&gt;=33,(((_xlfn.XLOOKUP(Assessment!#REF!,Inherited!A:A,Inherited!B:B))/100)*(_xlfn.XLOOKUP(Assessment!#REF!,Inherited!A:A,Inherited!F:F)))+(((100-(_xlfn.XLOOKUP(Assessment!#REF!,Inherited!A:A,Inherited!B:B)))/100)*IF(AA114="1.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(100%)","100"))))))&lt;=65),"50",IF(AND((((_xlfn.XLOOKUP(Assessment!#REF!,Inherited!A:A,Inherited!B:B))/100)*(_xlfn.XLOOKUP(Assessment!#REF!,Inherited!A:A,Inherited!F:F)))+(((100-(_xlfn.XLOOKUP(Assessment!#REF!,Inherited!A:A,Inherited!B:B)))/100)*IF(AA114="1.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(100%)","100"))))))&gt;=66,(((_xlfn.XLOOKUP(Assessment!#REF!,Inherited!A:A,Inherited!B:B))/100)*(_xlfn.XLOOKUP(Assessment!#REF!,Inherited!A:A,Inherited!F:F)))+(((100-(_xlfn.XLOOKUP(Assessment!#REF!,Inherited!A:A,Inherited!B:B)))/100)*IF(AA114="1.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(100%)","100"))))))&lt;=89),"75",IF((((_xlfn.XLOOKUP(Assessment!#REF!,Inherited!A:A,Inherited!B:B))/100)*(_xlfn.XLOOKUP(Assessment!#REF!,Inherited!A:A,Inherited!F:F)))+(((100-(_xlfn.XLOOKUP(Assessment!#REF!,Inherited!A:A,Inherited!B:B)))/100)*IF(AA114="1. Non Compliant (0%)","0",IF(AA114="2. Somewhat Compliant (25%)","25",IF(AA114="3. Partially Compliant (50%)","50",IF(AA114="4. Mostly Compliant (75%)","75",IF(AA114="5. Fully Compliant (100%)","100"))))))&gt;=90,"100"))))))</f>
        <v>#N/A</v>
      </c>
      <c r="U114" s="1" t="e">
        <f>IF(MATCH(H114,Inherited!A:A),IF((((_xlfn.XLOOKUP(Assessment!#REF!,Inherited!A:A,Inherited!B:B))/100)*(_xlfn.XLOOKUP(Assessment!#REF!,Inherited!A:A,Inherited!G:G)))+(((100-(_xlfn.XLOOKUP(Assessment!#REF!,Inherited!A:A,Inherited!B:B)))/100)*IF(AB114="1.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(100%)","100"))))))&lt;=10,"0", IF(AND((((_xlfn.XLOOKUP(Assessment!#REF!,Inherited!A:A,Inherited!B:B))/100)*(_xlfn.XLOOKUP(Assessment!#REF!,Inherited!A:A,Inherited!G:G)))+(((100-(_xlfn.XLOOKUP(Assessment!#REF!,Inherited!A:A,Inherited!B:B)))/100)*IF(AB114="1.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(100%)","100"))))))&gt;=11,(((_xlfn.XLOOKUP(Assessment!#REF!,Inherited!A:A,Inherited!B:B))/100)*(_xlfn.XLOOKUP(Assessment!#REF!,Inherited!A:A,Inherited!G:G)))+(((100-(_xlfn.XLOOKUP(Assessment!#REF!,Inherited!A:A,Inherited!B:B)))/100)*IF(AB114="1.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(100%)","100"))))))&lt;=32),"25",IF(AND((((_xlfn.XLOOKUP(Assessment!#REF!,Inherited!A:A,Inherited!B:B))/100)*(_xlfn.XLOOKUP(Assessment!#REF!,Inherited!A:A,Inherited!G:G)))+(((100-(_xlfn.XLOOKUP(Assessment!#REF!,Inherited!A:A,Inherited!B:B)))/100)*IF(AB114="1.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(100%)","100"))))))&gt;=33,(((_xlfn.XLOOKUP(Assessment!#REF!,Inherited!A:A,Inherited!B:B))/100)*(_xlfn.XLOOKUP(Assessment!#REF!,Inherited!A:A,Inherited!G:G)))+(((100-(_xlfn.XLOOKUP(Assessment!#REF!,Inherited!A:A,Inherited!B:B)))/100)*IF(AB114="1.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(100%)","100"))))))&lt;=65),"50",IF(AND((((_xlfn.XLOOKUP(Assessment!#REF!,Inherited!A:A,Inherited!B:B))/100)*(_xlfn.XLOOKUP(Assessment!#REF!,Inherited!A:A,Inherited!G:G)))+(((100-(_xlfn.XLOOKUP(Assessment!#REF!,Inherited!A:A,Inherited!B:B)))/100)*IF(AB114="1.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(100%)","100"))))))&gt;=66,(((_xlfn.XLOOKUP(Assessment!#REF!,Inherited!A:A,Inherited!B:B))/100)*(_xlfn.XLOOKUP(Assessment!#REF!,Inherited!A:A,Inherited!G:G)))+(((100-(_xlfn.XLOOKUP(Assessment!#REF!,Inherited!A:A,Inherited!B:B)))/100)*IF(AB114="1.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(100%)","100"))))))&lt;=89),"75",IF((((_xlfn.XLOOKUP(Assessment!#REF!,Inherited!A:A,Inherited!B:B))/100)*(_xlfn.XLOOKUP(Assessment!#REF!,Inherited!A:A,Inherited!G:G)))+(((100-(_xlfn.XLOOKUP(Assessment!#REF!,Inherited!A:A,Inherited!B:B)))/100)*IF(AB114="1. Non Compliant (0%)","0",IF(AB114="2. Somewhat Compliant (25%)","25",IF(AB114="3. Partially Compliant (50%)","50",IF(AB114="4. Mostly Compliant (75%)","75",IF(AB114="5. Fully Compliant (100%)","100"))))))&gt;=90,"100"))))))</f>
        <v>#N/A</v>
      </c>
      <c r="V114" s="55" t="s">
        <v>85</v>
      </c>
      <c r="W114" s="55"/>
      <c r="X114" s="55"/>
      <c r="Y114" s="55"/>
      <c r="Z114" s="55" t="s">
        <v>10873</v>
      </c>
      <c r="AA114" s="55"/>
      <c r="AB114" s="55"/>
      <c r="AK114" s="1" t="s">
        <v>10978</v>
      </c>
      <c r="AL114" s="1" t="s">
        <v>10991</v>
      </c>
      <c r="AP114" s="1" t="s">
        <v>11089</v>
      </c>
      <c r="AX114" s="3" t="str">
        <f>_xlfn.CONCAT("A-LIGN finished its review of this control on ",AR114, " during the scheduled fieldwork window (",Intro!$B$4,")."&amp; CHAR(10)&amp; CHAR(10))</f>
        <v xml:space="preserve">A-LIGN finished its review of this control on  during the scheduled fieldwork window (Fieldwork: xx/xx/xxxx - xx/xx/xxxx).
</v>
      </c>
      <c r="AY114" s="3" t="str">
        <f t="shared" si="231"/>
        <v/>
      </c>
      <c r="AZ114" s="3" t="str">
        <f t="shared" si="232"/>
        <v/>
      </c>
      <c r="BA114" s="3" t="str">
        <f t="shared" si="233"/>
        <v/>
      </c>
      <c r="BB114" s="3" t="str">
        <f t="shared" si="234"/>
        <v xml:space="preserve">Inquired of the following workforce member: 
Michael Wood - VP of AI Engineering
Kyle Smith - IT Operations and AI Expert 
Inquiry lead to the following conclusions: 
Formal AI training is not completed at this time.
Note: Secure development training is provided to developers through Knowbe4
Training content within KnowBe4 will be updated to consider the security details outlined within the requirement statement
</v>
      </c>
      <c r="BC114" s="3" t="str">
        <f t="shared" si="235"/>
        <v/>
      </c>
      <c r="BD114" s="3" t="str">
        <f t="shared" si="236"/>
        <v xml:space="preserve">Examined the following evidence during fieldwork:
Reviewed evidence addressed the requirement statement.
Reviewed evidence exception note: 
Gap: 
Formal AI training is not completed at this time.
Recommendation:
Management should ensure that formal AI training is completed on at least an annual basis and considers the following:
- artificial intelligence training provided on: development
- artificial intelligence training provided on: data science
- artificial intelligence training provided on: cybersecurity
- artificial intelligence training is provided at least annually to all appropriate parties
</v>
      </c>
      <c r="BE114" s="3" t="str">
        <f t="shared" si="237"/>
        <v/>
      </c>
      <c r="BF114" s="3" t="str">
        <f t="shared" si="238"/>
        <v/>
      </c>
      <c r="BG114" s="3" t="str">
        <f>_xlfn.CONCAT((IF((COUNTIF('Sample Tables'!B:B,"")&gt;0)=TRUE,_xlfn.CONCAT("",""),IF((COUNTIF('Sample Tables'!B:B,"")&gt;0)=FALSE,""))),)</f>
        <v/>
      </c>
      <c r="BH114" s="3" t="str">
        <f t="shared" si="23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Formal AI training is not completed at this time.
Note: Secure development training is provided to developers through Knowbe4
Training content within KnowBe4 will be updated to consider the security details outlined within the requirement statement
Examined the following evidence during fieldwork:
Reviewed evidence addressed the requirement statement.
Reviewed evidence exception note: 
Gap: 
Formal AI training is not completed at this time.
Recommendation:
Management should ensure that formal AI training is completed on at least an annual basis and considers the following:
- artificial intelligence training provided on: development
- artificial intelligence training provided on: data science
- artificial intelligence training provided on: cybersecurity
- artificial intelligence training is provided at least annually to all appropriate parties
</v>
      </c>
    </row>
    <row r="115" spans="3:60" ht="409.5" x14ac:dyDescent="0.35">
      <c r="C115" s="1">
        <f t="shared" ref="C115:C116" si="240">IF(V115="No","Not Applicable",(IF(X115="1. Non Compliant (0%)","0",IF(X115="2. Somewhat Compliant (25%)","25",IF(X115="3. Partially Compliant (50%)","50",IF(X115="4. Mostly Compliant (75%)","75",IF(X115="5. Fully Compliant (100%)","100")))))*0.15)+((IF(Y115="1. Non Compliant (0%)","0",IF(Y115="2. Somewhat Compliant (25%)","25",IF(Y115="3. Partially Compliant (50%)","50",IF(Y115="4. Mostly Compliant (75%)","75",IF(Y115="5. Fully Compliant (100%)","100"))))))*0.2)+(IF(Z115="1. Non Compliant (0%)","0",IF(Z115="2. Somewhat Compliant (25%)","25",IF(Z115="3. Partially Compliant (50%)","50",IF(Z115="4. Mostly Compliant (75%)","75",IF(Z115="5. Fully Compliant (100%)","100")))))*0.4)+(IF(AA115="1. Non Compliant (0%)","0",IF(AA115="2. Somewhat Compliant (25%)","25",IF(AA115="3. Partially Compliant (50%)","50",IF(AA115="4. Mostly Compliant (75%)","75",IF(AA115="5. Fully Compliant (100%)","100")))))*0.1)+(IF(AB115="1. Non Compliant (0%)","0",IF(AB115="2. Somewhat Compliant (25%)","25",IF(AB115="3. Partially Compliant (50%)","50",IF(AB115="4. Mostly Compliant (75%)","75",IF(AB115="5. Fully Compliant (100%)","100")))))*0.15))</f>
        <v>40</v>
      </c>
      <c r="D115" s="5" t="str">
        <f>IF(AND((_xlfn.XLOOKUP(J115,'Fields &amp; Revisions'!$H:$H,'Fields &amp; Revisions'!$I:$I))&lt;70.99,(OR(Z115="4. Mostly Compliant (75%)",Z115="3. Partially Compliant (50%)",Z115="2. Somewhat Compliant (25%)",Z115="1. Non Compliant (0%)"))),"Yes","No")</f>
        <v>No</v>
      </c>
      <c r="E115" s="5" t="str">
        <f>IF(ISERROR(VLOOKUP(H115,Scope!A:A,1,FALSE)),"No","Yes")</f>
        <v>Yes</v>
      </c>
      <c r="F115" s="1" t="s">
        <v>3611</v>
      </c>
      <c r="G115" s="53" t="s">
        <v>3702</v>
      </c>
      <c r="H115" s="53" t="s">
        <v>3703</v>
      </c>
      <c r="I115" s="5">
        <v>1</v>
      </c>
      <c r="J115" s="1" t="s">
        <v>644</v>
      </c>
      <c r="K115" s="1" t="s">
        <v>3704</v>
      </c>
      <c r="L115" s="1" t="s">
        <v>3705</v>
      </c>
      <c r="M115" s="1" t="s">
        <v>3706</v>
      </c>
      <c r="N115" s="5" t="s">
        <v>85</v>
      </c>
      <c r="O115" s="1" t="str">
        <f>_xlfn.XLOOKUP(G115,SRMs!$A:$A,SRMs!$D:$D)</f>
        <v>NO INHERITANCE</v>
      </c>
      <c r="P115" s="1" t="str">
        <f>IFERROR(VLOOKUP(H115,Inherited!A:B,2,FALSE),"")</f>
        <v/>
      </c>
      <c r="Q115" s="1" t="e">
        <f>IF(MATCH(H115,Inherited!A:A),IF((((_xlfn.XLOOKUP(Assessment!#REF!,Inherited!A:A,Inherited!B:B))/100)*(_xlfn.XLOOKUP(Assessment!#REF!,Inherited!A:A,Inherited!C:C)))+(((100-(_xlfn.XLOOKUP(Assessment!#REF!,Inherited!A:A,Inherited!B:B)))/100)*IF(X115="1.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(100%)","100"))))))&lt;=10,"0", IF(AND((((_xlfn.XLOOKUP(Assessment!#REF!,Inherited!A:A,Inherited!B:B))/100)*(_xlfn.XLOOKUP(Assessment!#REF!,Inherited!A:A,Inherited!C:C)))+(((100-(_xlfn.XLOOKUP(Assessment!#REF!,Inherited!A:A,Inherited!B:B)))/100)*IF(X115="1.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(100%)","100"))))))&gt;=11,(((_xlfn.XLOOKUP(Assessment!#REF!,Inherited!A:A,Inherited!B:B))/100)*(_xlfn.XLOOKUP(Assessment!#REF!,Inherited!A:A,Inherited!C:C)))+(((100-(_xlfn.XLOOKUP(Assessment!#REF!,Inherited!A:A,Inherited!B:B)))/100)*IF(X115="1.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(100%)","100"))))))&lt;=32),"25",IF(AND((((_xlfn.XLOOKUP(Assessment!#REF!,Inherited!A:A,Inherited!B:B))/100)*(_xlfn.XLOOKUP(Assessment!#REF!,Inherited!A:A,Inherited!C:C)))+(((100-(_xlfn.XLOOKUP(Assessment!#REF!,Inherited!A:A,Inherited!B:B)))/100)*IF(X115="1.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(100%)","100"))))))&gt;=33,(((_xlfn.XLOOKUP(Assessment!#REF!,Inherited!A:A,Inherited!B:B))/100)*(_xlfn.XLOOKUP(Assessment!#REF!,Inherited!A:A,Inherited!C:C)))+(((100-(_xlfn.XLOOKUP(Assessment!#REF!,Inherited!A:A,Inherited!B:B)))/100)*IF(X115="1.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(100%)","100"))))))&lt;=65),"50",IF(AND((((_xlfn.XLOOKUP(Assessment!#REF!,Inherited!A:A,Inherited!B:B))/100)*(_xlfn.XLOOKUP(Assessment!#REF!,Inherited!A:A,Inherited!C:C)))+(((100-(_xlfn.XLOOKUP(Assessment!#REF!,Inherited!A:A,Inherited!B:B)))/100)*IF(X115="1.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(100%)","100"))))))&gt;=66,(((_xlfn.XLOOKUP(Assessment!#REF!,Inherited!A:A,Inherited!B:B))/100)*(_xlfn.XLOOKUP(Assessment!#REF!,Inherited!A:A,Inherited!C:C)))+(((100-(_xlfn.XLOOKUP(Assessment!#REF!,Inherited!A:A,Inherited!B:B)))/100)*IF(X115="1.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(100%)","100"))))))&lt;=89),"75",IF((((_xlfn.XLOOKUP(Assessment!#REF!,Inherited!A:A,Inherited!B:B))/100)*(_xlfn.XLOOKUP(Assessment!#REF!,Inherited!A:A,Inherited!C:C)))+(((100-(_xlfn.XLOOKUP(Assessment!#REF!,Inherited!A:A,Inherited!B:B)))/100)*IF(X115="1. Non Compliant (0%)","0",IF(X115="2. Somewhat Compliant (25%)","25",IF(X115="3. Partially Compliant (50%)","50",IF(X115="4. Mostly Compliant (75%)","75",IF(X115="5. Fully Compliant (100%)","100"))))))&gt;=90,"100"))))))</f>
        <v>#N/A</v>
      </c>
      <c r="R115" s="1" t="e">
        <f>IF(MATCH(H115,Inherited!A:A),IF((((_xlfn.XLOOKUP(Assessment!#REF!,Inherited!A:A,Inherited!B:B))/100)*(_xlfn.XLOOKUP(Assessment!#REF!,Inherited!A:A,Inherited!D:D)))+(((100-(_xlfn.XLOOKUP(Assessment!#REF!,Inherited!A:A,Inherited!B:B)))/100)*IF(Y115="1.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(100%)","100"))))))&lt;=10,"0", IF(AND((((_xlfn.XLOOKUP(Assessment!#REF!,Inherited!A:A,Inherited!B:B))/100)*(_xlfn.XLOOKUP(Assessment!#REF!,Inherited!A:A,Inherited!D:D)))+(((100-(_xlfn.XLOOKUP(Assessment!#REF!,Inherited!A:A,Inherited!B:B)))/100)*IF(Y115="1.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(100%)","100"))))))&gt;=11,(((_xlfn.XLOOKUP(Assessment!#REF!,Inherited!A:A,Inherited!B:B))/100)*(_xlfn.XLOOKUP(Assessment!#REF!,Inherited!A:A,Inherited!D:D)))+(((100-(_xlfn.XLOOKUP(Assessment!#REF!,Inherited!A:A,Inherited!B:B)))/100)*IF(Y115="1.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(100%)","100"))))))&lt;=32),"25",IF(AND((((_xlfn.XLOOKUP(Assessment!#REF!,Inherited!A:A,Inherited!B:B))/100)*(_xlfn.XLOOKUP(Assessment!#REF!,Inherited!A:A,Inherited!D:D)))+(((100-(_xlfn.XLOOKUP(Assessment!#REF!,Inherited!A:A,Inherited!B:B)))/100)*IF(Y115="1.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(100%)","100"))))))&gt;=33,(((_xlfn.XLOOKUP(Assessment!#REF!,Inherited!A:A,Inherited!B:B))/100)*(_xlfn.XLOOKUP(Assessment!#REF!,Inherited!A:A,Inherited!D:D)))+(((100-(_xlfn.XLOOKUP(Assessment!#REF!,Inherited!A:A,Inherited!B:B)))/100)*IF(Y115="1.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(100%)","100"))))))&lt;=65),"50",IF(AND((((_xlfn.XLOOKUP(Assessment!#REF!,Inherited!A:A,Inherited!B:B))/100)*(_xlfn.XLOOKUP(Assessment!#REF!,Inherited!A:A,Inherited!D:D)))+(((100-(_xlfn.XLOOKUP(Assessment!#REF!,Inherited!A:A,Inherited!B:B)))/100)*IF(Y115="1.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(100%)","100"))))))&gt;=66,(((_xlfn.XLOOKUP(Assessment!#REF!,Inherited!A:A,Inherited!B:B))/100)*(_xlfn.XLOOKUP(Assessment!#REF!,Inherited!A:A,Inherited!D:D)))+(((100-(_xlfn.XLOOKUP(Assessment!#REF!,Inherited!A:A,Inherited!B:B)))/100)*IF(Y115="1.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(100%)","100"))))))&lt;=89),"75",IF((((_xlfn.XLOOKUP(Assessment!#REF!,Inherited!A:A,Inherited!B:B))/100)*(_xlfn.XLOOKUP(Assessment!#REF!,Inherited!A:A,Inherited!D:D)))+(((100-(_xlfn.XLOOKUP(Assessment!#REF!,Inherited!A:A,Inherited!B:B)))/100)*IF(Y115="1. Non Compliant (0%)","0",IF(Y115="2. Somewhat Compliant (25%)","25",IF(Y115="3. Partially Compliant (50%)","50",IF(Y115="4. Mostly Compliant (75%)","75",IF(Y115="5. Fully Compliant (100%)","100"))))))&gt;=90,"100"))))))</f>
        <v>#N/A</v>
      </c>
      <c r="S115" s="1" t="e">
        <f>IF(MATCH(H115,Inherited!A:A),IF((((_xlfn.XLOOKUP(Assessment!#REF!,Inherited!A:A,Inherited!B:B))/100)*(_xlfn.XLOOKUP(Assessment!#REF!,Inherited!A:A,Inherited!E:E)))+(((100-(_xlfn.XLOOKUP(Assessment!#REF!,Inherited!A:A,Inherited!B:B)))/100)*IF(Z115="1.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(100%)","100"))))))&lt;=10,"0", IF(AND((((_xlfn.XLOOKUP(Assessment!#REF!,Inherited!A:A,Inherited!B:B))/100)*(_xlfn.XLOOKUP(Assessment!#REF!,Inherited!A:A,Inherited!E:E)))+(((100-(_xlfn.XLOOKUP(Assessment!#REF!,Inherited!A:A,Inherited!B:B)))/100)*IF(Z115="1.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(100%)","100"))))))&gt;=11,(((_xlfn.XLOOKUP(Assessment!#REF!,Inherited!A:A,Inherited!B:B))/100)*(_xlfn.XLOOKUP(Assessment!#REF!,Inherited!A:A,Inherited!E:E)))+(((100-(_xlfn.XLOOKUP(Assessment!#REF!,Inherited!A:A,Inherited!B:B)))/100)*IF(Z115="1.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(100%)","100"))))))&lt;=32),"25",IF(AND((((_xlfn.XLOOKUP(Assessment!#REF!,Inherited!A:A,Inherited!B:B))/100)*(_xlfn.XLOOKUP(Assessment!#REF!,Inherited!A:A,Inherited!E:E)))+(((100-(_xlfn.XLOOKUP(Assessment!#REF!,Inherited!A:A,Inherited!B:B)))/100)*IF(Z115="1.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(100%)","100"))))))&gt;=33,(((_xlfn.XLOOKUP(Assessment!#REF!,Inherited!A:A,Inherited!B:B))/100)*(_xlfn.XLOOKUP(Assessment!#REF!,Inherited!A:A,Inherited!E:E)))+(((100-(_xlfn.XLOOKUP(Assessment!#REF!,Inherited!A:A,Inherited!B:B)))/100)*IF(Z115="1.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(100%)","100"))))))&lt;=65),"50",IF(AND((((_xlfn.XLOOKUP(Assessment!#REF!,Inherited!A:A,Inherited!B:B))/100)*(_xlfn.XLOOKUP(Assessment!#REF!,Inherited!A:A,Inherited!E:E)))+(((100-(_xlfn.XLOOKUP(Assessment!#REF!,Inherited!A:A,Inherited!B:B)))/100)*IF(Z115="1.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(100%)","100"))))))&gt;=66,(((_xlfn.XLOOKUP(Assessment!#REF!,Inherited!A:A,Inherited!B:B))/100)*(_xlfn.XLOOKUP(Assessment!#REF!,Inherited!A:A,Inherited!E:E)))+(((100-(_xlfn.XLOOKUP(Assessment!#REF!,Inherited!A:A,Inherited!B:B)))/100)*IF(Z115="1.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(100%)","100"))))))&lt;=89),"75",IF((((_xlfn.XLOOKUP(Assessment!#REF!,Inherited!A:A,Inherited!B:B))/100)*(_xlfn.XLOOKUP(Assessment!#REF!,Inherited!A:A,Inherited!E:E)))+(((100-(_xlfn.XLOOKUP(Assessment!#REF!,Inherited!A:A,Inherited!B:B)))/100)*IF(Z115="1. Non Compliant (0%)","0",IF(Z115="2. Somewhat Compliant (25%)","25",IF(Z115="3. Partially Compliant (50%)","50",IF(Z115="4. Mostly Compliant (75%)","75",IF(Z115="5. Fully Compliant (100%)","100"))))))&gt;=90,"100"))))))</f>
        <v>#N/A</v>
      </c>
      <c r="T115" s="1" t="e">
        <f>IF(MATCH(H115,Inherited!A:A),IF((((_xlfn.XLOOKUP(Assessment!#REF!,Inherited!A:A,Inherited!B:B))/100)*(_xlfn.XLOOKUP(Assessment!#REF!,Inherited!A:A,Inherited!F:F)))+(((100-(_xlfn.XLOOKUP(Assessment!#REF!,Inherited!A:A,Inherited!B:B)))/100)*IF(AA115="1.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(100%)","100"))))))&lt;=10,"0", IF(AND((((_xlfn.XLOOKUP(Assessment!#REF!,Inherited!A:A,Inherited!B:B))/100)*(_xlfn.XLOOKUP(Assessment!#REF!,Inherited!A:A,Inherited!F:F)))+(((100-(_xlfn.XLOOKUP(Assessment!#REF!,Inherited!A:A,Inherited!B:B)))/100)*IF(AA115="1.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(100%)","100"))))))&gt;=11,(((_xlfn.XLOOKUP(Assessment!#REF!,Inherited!A:A,Inherited!B:B))/100)*(_xlfn.XLOOKUP(Assessment!#REF!,Inherited!A:A,Inherited!F:F)))+(((100-(_xlfn.XLOOKUP(Assessment!#REF!,Inherited!A:A,Inherited!B:B)))/100)*IF(AA115="1.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(100%)","100"))))))&lt;=32),"25",IF(AND((((_xlfn.XLOOKUP(Assessment!#REF!,Inherited!A:A,Inherited!B:B))/100)*(_xlfn.XLOOKUP(Assessment!#REF!,Inherited!A:A,Inherited!F:F)))+(((100-(_xlfn.XLOOKUP(Assessment!#REF!,Inherited!A:A,Inherited!B:B)))/100)*IF(AA115="1.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(100%)","100"))))))&gt;=33,(((_xlfn.XLOOKUP(Assessment!#REF!,Inherited!A:A,Inherited!B:B))/100)*(_xlfn.XLOOKUP(Assessment!#REF!,Inherited!A:A,Inherited!F:F)))+(((100-(_xlfn.XLOOKUP(Assessment!#REF!,Inherited!A:A,Inherited!B:B)))/100)*IF(AA115="1.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(100%)","100"))))))&lt;=65),"50",IF(AND((((_xlfn.XLOOKUP(Assessment!#REF!,Inherited!A:A,Inherited!B:B))/100)*(_xlfn.XLOOKUP(Assessment!#REF!,Inherited!A:A,Inherited!F:F)))+(((100-(_xlfn.XLOOKUP(Assessment!#REF!,Inherited!A:A,Inherited!B:B)))/100)*IF(AA115="1.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(100%)","100"))))))&gt;=66,(((_xlfn.XLOOKUP(Assessment!#REF!,Inherited!A:A,Inherited!B:B))/100)*(_xlfn.XLOOKUP(Assessment!#REF!,Inherited!A:A,Inherited!F:F)))+(((100-(_xlfn.XLOOKUP(Assessment!#REF!,Inherited!A:A,Inherited!B:B)))/100)*IF(AA115="1.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(100%)","100"))))))&lt;=89),"75",IF((((_xlfn.XLOOKUP(Assessment!#REF!,Inherited!A:A,Inherited!B:B))/100)*(_xlfn.XLOOKUP(Assessment!#REF!,Inherited!A:A,Inherited!F:F)))+(((100-(_xlfn.XLOOKUP(Assessment!#REF!,Inherited!A:A,Inherited!B:B)))/100)*IF(AA115="1. Non Compliant (0%)","0",IF(AA115="2. Somewhat Compliant (25%)","25",IF(AA115="3. Partially Compliant (50%)","50",IF(AA115="4. Mostly Compliant (75%)","75",IF(AA115="5. Fully Compliant (100%)","100"))))))&gt;=90,"100"))))))</f>
        <v>#N/A</v>
      </c>
      <c r="U115" s="1" t="e">
        <f>IF(MATCH(H115,Inherited!A:A),IF((((_xlfn.XLOOKUP(Assessment!#REF!,Inherited!A:A,Inherited!B:B))/100)*(_xlfn.XLOOKUP(Assessment!#REF!,Inherited!A:A,Inherited!G:G)))+(((100-(_xlfn.XLOOKUP(Assessment!#REF!,Inherited!A:A,Inherited!B:B)))/100)*IF(AB115="1.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(100%)","100"))))))&lt;=10,"0", IF(AND((((_xlfn.XLOOKUP(Assessment!#REF!,Inherited!A:A,Inherited!B:B))/100)*(_xlfn.XLOOKUP(Assessment!#REF!,Inherited!A:A,Inherited!G:G)))+(((100-(_xlfn.XLOOKUP(Assessment!#REF!,Inherited!A:A,Inherited!B:B)))/100)*IF(AB115="1.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(100%)","100"))))))&gt;=11,(((_xlfn.XLOOKUP(Assessment!#REF!,Inherited!A:A,Inherited!B:B))/100)*(_xlfn.XLOOKUP(Assessment!#REF!,Inherited!A:A,Inherited!G:G)))+(((100-(_xlfn.XLOOKUP(Assessment!#REF!,Inherited!A:A,Inherited!B:B)))/100)*IF(AB115="1.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(100%)","100"))))))&lt;=32),"25",IF(AND((((_xlfn.XLOOKUP(Assessment!#REF!,Inherited!A:A,Inherited!B:B))/100)*(_xlfn.XLOOKUP(Assessment!#REF!,Inherited!A:A,Inherited!G:G)))+(((100-(_xlfn.XLOOKUP(Assessment!#REF!,Inherited!A:A,Inherited!B:B)))/100)*IF(AB115="1.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(100%)","100"))))))&gt;=33,(((_xlfn.XLOOKUP(Assessment!#REF!,Inherited!A:A,Inherited!B:B))/100)*(_xlfn.XLOOKUP(Assessment!#REF!,Inherited!A:A,Inherited!G:G)))+(((100-(_xlfn.XLOOKUP(Assessment!#REF!,Inherited!A:A,Inherited!B:B)))/100)*IF(AB115="1.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(100%)","100"))))))&lt;=65),"50",IF(AND((((_xlfn.XLOOKUP(Assessment!#REF!,Inherited!A:A,Inherited!B:B))/100)*(_xlfn.XLOOKUP(Assessment!#REF!,Inherited!A:A,Inherited!G:G)))+(((100-(_xlfn.XLOOKUP(Assessment!#REF!,Inherited!A:A,Inherited!B:B)))/100)*IF(AB115="1.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(100%)","100"))))))&gt;=66,(((_xlfn.XLOOKUP(Assessment!#REF!,Inherited!A:A,Inherited!B:B))/100)*(_xlfn.XLOOKUP(Assessment!#REF!,Inherited!A:A,Inherited!G:G)))+(((100-(_xlfn.XLOOKUP(Assessment!#REF!,Inherited!A:A,Inherited!B:B)))/100)*IF(AB115="1.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(100%)","100"))))))&lt;=89),"75",IF((((_xlfn.XLOOKUP(Assessment!#REF!,Inherited!A:A,Inherited!B:B))/100)*(_xlfn.XLOOKUP(Assessment!#REF!,Inherited!A:A,Inherited!G:G)))+(((100-(_xlfn.XLOOKUP(Assessment!#REF!,Inherited!A:A,Inherited!B:B)))/100)*IF(AB115="1. Non Compliant (0%)","0",IF(AB115="2. Somewhat Compliant (25%)","25",IF(AB115="3. Partially Compliant (50%)","50",IF(AB115="4. Mostly Compliant (75%)","75",IF(AB115="5. Fully Compliant (100%)","100"))))))&gt;=90,"100"))))))</f>
        <v>#N/A</v>
      </c>
      <c r="V115" s="55" t="s">
        <v>85</v>
      </c>
      <c r="W115" s="55"/>
      <c r="X115" s="55"/>
      <c r="Y115" s="55"/>
      <c r="Z115" s="55" t="s">
        <v>86</v>
      </c>
      <c r="AA115" s="55"/>
      <c r="AB115" s="55"/>
      <c r="AK115" s="1" t="s">
        <v>10947</v>
      </c>
      <c r="AL115" s="1" t="s">
        <v>10948</v>
      </c>
      <c r="AM115" s="1" t="s">
        <v>11043</v>
      </c>
      <c r="AX115" s="3" t="str">
        <f>_xlfn.CONCAT("A-LIGN finished its review of this control on ",AR115, " during the scheduled fieldwork window (",Intro!$B$4,")."&amp; CHAR(10)&amp; CHAR(10))</f>
        <v xml:space="preserve">A-LIGN finished its review of this control on  during the scheduled fieldwork window (Fieldwork: xx/xx/xxxx - xx/xx/xxxx).
</v>
      </c>
      <c r="AY115" s="3" t="str">
        <f t="shared" ref="AY115:AY116" si="241">IF(AQ115&lt;&gt;"",(_xlfn.CONCAT("Inheritance note: "&amp; CHAR(10),AQ115&amp; CHAR(10)&amp; CHAR(10))),"")</f>
        <v/>
      </c>
      <c r="AZ115" s="3" t="str">
        <f t="shared" ref="AZ115:AZ116" si="242">IFERROR(IF(AD115&lt;&gt;"",_xlfn.CONCAT("Examined the following policy during fieldwork:"&amp; CHAR(10),AD115&amp; CHAR(10)&amp; CHAR(10),IF(AND(X115&lt;&gt;"5. Fully Compliant (100%)",AE115&lt;&gt;""),"Reviewed policy exception note:"&amp; CHAR(10) &amp; AE115 &amp; CHAR(10) &amp; CHAR(10),"")),""),"")</f>
        <v/>
      </c>
      <c r="BA115" s="3" t="str">
        <f t="shared" ref="BA115:BA116" si="243">IFERROR(IF(AH115&lt;&gt;"",_xlfn.CONCAT("Examined the following process during fieldwork:"&amp; CHAR(10),AH115&amp; CHAR(10)&amp; CHAR(10),IF(AND(Y115&lt;&gt;"5. Fully Compliant (100%)",AI115&lt;&gt;""),"Reviewed process exception note:"&amp; CHAR(10) &amp; AI115 &amp; CHAR(10) &amp; CHAR(10),"")),""),"")</f>
        <v/>
      </c>
      <c r="BB115" s="3" t="str">
        <f t="shared" ref="BB115:BB116" si="244">IF(AK115&lt;&gt;"",(_xlfn.CONCAT("Inquired of the following workforce member: "&amp; CHAR(10),AK115&amp; CHAR(10)&amp; CHAR(10),"Inquiry lead to the following conclusions: "&amp; CHAR(10),AL115&amp; CHAR(10) &amp; CHAR(10))),"")</f>
        <v xml:space="preserve">Inquired of the following workforce member: 
Roze Nicolas - Director of TechOps
Inquiry lead to the following conclusions: 
Contractors are provided training when brought into the environment.
</v>
      </c>
      <c r="BC115" s="3" t="str">
        <f t="shared" ref="BC115:BC116" si="245">IF(AM115&lt;&gt;"",(_xlfn.CONCAT("Observed the following live during fieldwork: "&amp; CHAR(10),AM115&amp; CHAR(10) &amp; CHAR(10))),"")</f>
        <v xml:space="preserve">Observed the following live during fieldwork: 
Observed the KnowBe4 dashboard which demonstrated that role-based training is provided to user to ensure they are made aware of their responsibilities
Observed the Incident Response Training, and Developer training campaigns which are provided to managers, those entering security roles, and executive security roles.
</v>
      </c>
      <c r="BD115" s="3" t="str">
        <f t="shared" ref="BD115:BD116" si="246">_xlfn.CONCAT("Examined the following evidence during fieldwork:"&amp; CHAR(10),AN115&amp; CHAR(10)&amp; CHAR(10),IF(AO115&lt;&gt;"","Reviewed evidence note:"&amp; CHAR(10)&amp;AO115&amp; CHAR(10) &amp; CHAR(10),"Reviewed evidence addressed the requirement statement."&amp; CHAR(10) &amp; CHAR(10)),IF(AND(AP115&lt;&gt;"5. Fully Compliant (100%)",AP115&lt;&gt;""),"Reviewed evidence exception note: "&amp; CHAR(10) &amp; AP115 &amp; CHAR(10) &amp; CHAR(10),""))</f>
        <v xml:space="preserve">Examined the following evidence during fieldwork:
Reviewed evidence addressed the requirement statement.
</v>
      </c>
      <c r="BE115" s="3" t="str">
        <f t="shared" ref="BE115:BE116" si="247">IF(AT115&lt;&gt;"",(_xlfn.CONCAT("Examined the following measure/metric during fieldwork:"&amp; CHAR(10),AT115&amp; CHAR(10)&amp; CHAR(10),"Reviewed measure/metric note:"&amp; CHAR(10),AU115 &amp; CHAR(10) &amp; CHAR(10))),"")</f>
        <v/>
      </c>
      <c r="BF115" s="3" t="str">
        <f t="shared" ref="BF115:BF116" si="248">IF(AV115&lt;&gt;"",(_xlfn.CONCAT("Examined the following measure/metric management during fieldwork:"&amp; CHAR(10),AV115&amp; CHAR(10)&amp; CHAR(10),"Reviewed measure/metric management note:"&amp; CHAR(10),AW115 &amp; CHAR(10) &amp; CHAR(10))),"")</f>
        <v/>
      </c>
      <c r="BG115" s="3" t="str">
        <f>_xlfn.CONCAT((IF((COUNTIF('Sample Tables'!B:B,"Test 039: Change (significant to environment)")&gt;0)=TRUE,_xlfn.CONCAT("Sample test results are documented in ",'Sample Tables'!B425," [",'Sample Tables'!B426,", ",'Sample Tables'!B427,", ",'Sample Tables'!B428,", ",'Sample Tables'!B429,", ",'Sample Tables'!B430,"]."&amp;CHAR(10)),IF((COUNTIF('Sample Tables'!B:B,"Test 039: Change (significant to environment)")&gt;0)=FALSE,""))),(IF((COUNTIF('Sample Tables'!B:B,"Test 192: Workforce Member (contractor)")&gt;0)=TRUE,_xlfn.CONCAT("Sample test results are documented in ",'Sample Tables'!B2108," [",'Sample Tables'!B2109,", ",'Sample Tables'!B2110,", ",'Sample Tables'!B2111,", ",'Sample Tables'!B2112,", ",'Sample Tables'!B2113,"]."&amp;CHAR(10)),IF((COUNTIF('Sample Tables'!B:B,"")&gt;0)=FALSE,"Test 192: Workforce Member (contractor)"))),(IF((COUNTIF('Sample Tables'!B:B,"Test 193: Workforce Member (employee)")&gt;0)=TRUE,_xlfn.CONCAT("Sample test results are documented in ",'Sample Tables'!B2119," [",'Sample Tables'!B2120,", ",'Sample Tables'!B2121,", ",'Sample Tables'!B2122,", ",'Sample Tables'!B2123,", ",'Sample Tables'!B2124,"]."&amp;CHAR(10)),IF((COUNTIF('Sample Tables'!B:B,"Test 193: Workforce Member (employee)")&gt;0)=FALSE,""))),(IF((COUNTIF('Sample Tables'!B:B,"Test 194: Workforce Member (entering security role)")&gt;0)=TRUE,_xlfn.CONCAT("Sample test results are documented in ",'Sample Tables'!B2130," [",'Sample Tables'!B2131,", ",'Sample Tables'!B2132,", ",'Sample Tables'!B2133,", ",'Sample Tables'!B2134,", ",'Sample Tables'!B2135,"]."&amp;CHAR(10)),IF((COUNTIF('Sample Tables'!B:B,"Test 194: Workforce Member (entering security role)")&gt;0)=FALSE,""))),(IF((COUNTIF('Sample Tables'!B:B,"Test 212: Workforce Member (third party user)")&gt;0)=TRUE,_xlfn.CONCAT("Sample test results are documented in ",'Sample Tables'!B2328," [",'Sample Tables'!B2329,", ",'Sample Tables'!B2330,", ",'Sample Tables'!B2331,", ",'Sample Tables'!B2332,", ",'Sample Tables'!B2333,"]."&amp;CHAR(10)),IF((COUNTIF('Sample Tables'!B:B,"Test 212: Workforce Member (third party user)")&gt;0)=FALSE,""))),)</f>
        <v xml:space="preserve">Sample test results are documented in Test 039: Change (significant to environment) [Population Source/Tool: , Population Date Range: , Population Size: , Sample Methodology: , Sample Size: ].
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194: Workforce Member (entering security role) [Population Source/Tool: , Population Date Range: , Population Size: , Sample Methodology: , Sample Size: ].
Sample test results are documented in Test 212: Workforce Member (third party user) [Population Source/Tool: , Population Date Range: , Population Size: , Sample Methodology: , Sample Size: ].
</v>
      </c>
      <c r="BH115" s="3" t="str">
        <f t="shared" ref="BH115:BH116" si="249">IF(V115="No","Not Applicable: "&amp;W115,(_xlfn.CONCAT(AX115,AY115,AZ115,BA115,BB115,BC115,BD115,BE115,BF115,BG115)))</f>
        <v xml:space="preserve">A-LIGN finished its review of this control on  during the scheduled fieldwork window (Fieldwork: xx/xx/xxxx - xx/xx/xxxx).
Inquired of the following workforce member: 
Roze Nicolas - Director of TechOps
Inquiry lead to the following conclusions: 
Contractors are provided training when brought into the environment.
Observed the following live during fieldwork: 
Observed the KnowBe4 dashboard which demonstrated that role-based training is provided to user to ensure they are made aware of their responsibilities
Observed the Incident Response Training, and Developer training campaigns which are provided to managers, those entering security roles, and executive security roles.
Examined the following evidence during fieldwork:
Reviewed evidence addressed the requirement statement.
Sample test results are documented in Test 039: Change (significant to environment) [Population Source/Tool: , Population Date Range: , Population Size: , Sample Methodology: , Sample Size: ].
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194: Workforce Member (entering security role) [Population Source/Tool: , Population Date Range: , Population Size: , Sample Methodology: , Sample Size: ].
Sample test results are documented in Test 212: Workforce Member (third party user) [Population Source/Tool: , Population Date Range: , Population Size: , Sample Methodology: , Sample Size: ].
</v>
      </c>
    </row>
    <row r="116" spans="3:60" ht="350" x14ac:dyDescent="0.35">
      <c r="C116" s="1">
        <f t="shared" si="240"/>
        <v>40</v>
      </c>
      <c r="D116" s="5" t="str">
        <f>IF(AND((_xlfn.XLOOKUP(J116,'Fields &amp; Revisions'!$H:$H,'Fields &amp; Revisions'!$I:$I))&lt;70.99,(OR(Z116="4. Mostly Compliant (75%)",Z116="3. Partially Compliant (50%)",Z116="2. Somewhat Compliant (25%)",Z116="1. Non Compliant (0%)"))),"Yes","No")</f>
        <v>No</v>
      </c>
      <c r="E116" s="5" t="str">
        <f>IF(ISERROR(VLOOKUP(H116,Scope!A:A,1,FALSE)),"No","Yes")</f>
        <v>Yes</v>
      </c>
      <c r="F116" s="1" t="s">
        <v>3611</v>
      </c>
      <c r="G116" s="53" t="s">
        <v>3713</v>
      </c>
      <c r="H116" s="53" t="s">
        <v>3714</v>
      </c>
      <c r="I116" s="5">
        <v>1</v>
      </c>
      <c r="J116" s="1" t="s">
        <v>647</v>
      </c>
      <c r="K116" s="54" t="s">
        <v>3715</v>
      </c>
      <c r="L116" s="1" t="s">
        <v>3716</v>
      </c>
      <c r="M116" s="1" t="s">
        <v>3717</v>
      </c>
      <c r="N116" s="5" t="s">
        <v>98</v>
      </c>
      <c r="O116" s="1" t="str">
        <f>_xlfn.XLOOKUP(G116,SRMs!$A:$A,SRMs!$D:$D)</f>
        <v>PARTIAL INHERITANCE</v>
      </c>
      <c r="P116" s="1" t="str">
        <f>IFERROR(VLOOKUP(H116,Inherited!A:B,2,FALSE),"")</f>
        <v/>
      </c>
      <c r="Q116" s="1" t="e">
        <f>IF(MATCH(H116,Inherited!A:A),IF((((_xlfn.XLOOKUP(Assessment!#REF!,Inherited!A:A,Inherited!B:B))/100)*(_xlfn.XLOOKUP(Assessment!#REF!,Inherited!A:A,Inherited!C:C)))+(((100-(_xlfn.XLOOKUP(Assessment!#REF!,Inherited!A:A,Inherited!B:B)))/100)*IF(X116="1.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(100%)","100"))))))&lt;=10,"0", IF(AND((((_xlfn.XLOOKUP(Assessment!#REF!,Inherited!A:A,Inherited!B:B))/100)*(_xlfn.XLOOKUP(Assessment!#REF!,Inherited!A:A,Inherited!C:C)))+(((100-(_xlfn.XLOOKUP(Assessment!#REF!,Inherited!A:A,Inherited!B:B)))/100)*IF(X116="1.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(100%)","100"))))))&gt;=11,(((_xlfn.XLOOKUP(Assessment!#REF!,Inherited!A:A,Inherited!B:B))/100)*(_xlfn.XLOOKUP(Assessment!#REF!,Inherited!A:A,Inherited!C:C)))+(((100-(_xlfn.XLOOKUP(Assessment!#REF!,Inherited!A:A,Inherited!B:B)))/100)*IF(X116="1.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(100%)","100"))))))&lt;=32),"25",IF(AND((((_xlfn.XLOOKUP(Assessment!#REF!,Inherited!A:A,Inherited!B:B))/100)*(_xlfn.XLOOKUP(Assessment!#REF!,Inherited!A:A,Inherited!C:C)))+(((100-(_xlfn.XLOOKUP(Assessment!#REF!,Inherited!A:A,Inherited!B:B)))/100)*IF(X116="1.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(100%)","100"))))))&gt;=33,(((_xlfn.XLOOKUP(Assessment!#REF!,Inherited!A:A,Inherited!B:B))/100)*(_xlfn.XLOOKUP(Assessment!#REF!,Inherited!A:A,Inherited!C:C)))+(((100-(_xlfn.XLOOKUP(Assessment!#REF!,Inherited!A:A,Inherited!B:B)))/100)*IF(X116="1.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(100%)","100"))))))&lt;=65),"50",IF(AND((((_xlfn.XLOOKUP(Assessment!#REF!,Inherited!A:A,Inherited!B:B))/100)*(_xlfn.XLOOKUP(Assessment!#REF!,Inherited!A:A,Inherited!C:C)))+(((100-(_xlfn.XLOOKUP(Assessment!#REF!,Inherited!A:A,Inherited!B:B)))/100)*IF(X116="1.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(100%)","100"))))))&gt;=66,(((_xlfn.XLOOKUP(Assessment!#REF!,Inherited!A:A,Inherited!B:B))/100)*(_xlfn.XLOOKUP(Assessment!#REF!,Inherited!A:A,Inherited!C:C)))+(((100-(_xlfn.XLOOKUP(Assessment!#REF!,Inherited!A:A,Inherited!B:B)))/100)*IF(X116="1.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(100%)","100"))))))&lt;=89),"75",IF((((_xlfn.XLOOKUP(Assessment!#REF!,Inherited!A:A,Inherited!B:B))/100)*(_xlfn.XLOOKUP(Assessment!#REF!,Inherited!A:A,Inherited!C:C)))+(((100-(_xlfn.XLOOKUP(Assessment!#REF!,Inherited!A:A,Inherited!B:B)))/100)*IF(X116="1. Non Compliant (0%)","0",IF(X116="2. Somewhat Compliant (25%)","25",IF(X116="3. Partially Compliant (50%)","50",IF(X116="4. Mostly Compliant (75%)","75",IF(X116="5. Fully Compliant (100%)","100"))))))&gt;=90,"100"))))))</f>
        <v>#N/A</v>
      </c>
      <c r="R116" s="1" t="e">
        <f>IF(MATCH(H116,Inherited!A:A),IF((((_xlfn.XLOOKUP(Assessment!#REF!,Inherited!A:A,Inherited!B:B))/100)*(_xlfn.XLOOKUP(Assessment!#REF!,Inherited!A:A,Inherited!D:D)))+(((100-(_xlfn.XLOOKUP(Assessment!#REF!,Inherited!A:A,Inherited!B:B)))/100)*IF(Y116="1.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(100%)","100"))))))&lt;=10,"0", IF(AND((((_xlfn.XLOOKUP(Assessment!#REF!,Inherited!A:A,Inherited!B:B))/100)*(_xlfn.XLOOKUP(Assessment!#REF!,Inherited!A:A,Inherited!D:D)))+(((100-(_xlfn.XLOOKUP(Assessment!#REF!,Inherited!A:A,Inherited!B:B)))/100)*IF(Y116="1.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(100%)","100"))))))&gt;=11,(((_xlfn.XLOOKUP(Assessment!#REF!,Inherited!A:A,Inherited!B:B))/100)*(_xlfn.XLOOKUP(Assessment!#REF!,Inherited!A:A,Inherited!D:D)))+(((100-(_xlfn.XLOOKUP(Assessment!#REF!,Inherited!A:A,Inherited!B:B)))/100)*IF(Y116="1.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(100%)","100"))))))&lt;=32),"25",IF(AND((((_xlfn.XLOOKUP(Assessment!#REF!,Inherited!A:A,Inherited!B:B))/100)*(_xlfn.XLOOKUP(Assessment!#REF!,Inherited!A:A,Inherited!D:D)))+(((100-(_xlfn.XLOOKUP(Assessment!#REF!,Inherited!A:A,Inherited!B:B)))/100)*IF(Y116="1.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(100%)","100"))))))&gt;=33,(((_xlfn.XLOOKUP(Assessment!#REF!,Inherited!A:A,Inherited!B:B))/100)*(_xlfn.XLOOKUP(Assessment!#REF!,Inherited!A:A,Inherited!D:D)))+(((100-(_xlfn.XLOOKUP(Assessment!#REF!,Inherited!A:A,Inherited!B:B)))/100)*IF(Y116="1.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(100%)","100"))))))&lt;=65),"50",IF(AND((((_xlfn.XLOOKUP(Assessment!#REF!,Inherited!A:A,Inherited!B:B))/100)*(_xlfn.XLOOKUP(Assessment!#REF!,Inherited!A:A,Inherited!D:D)))+(((100-(_xlfn.XLOOKUP(Assessment!#REF!,Inherited!A:A,Inherited!B:B)))/100)*IF(Y116="1.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(100%)","100"))))))&gt;=66,(((_xlfn.XLOOKUP(Assessment!#REF!,Inherited!A:A,Inherited!B:B))/100)*(_xlfn.XLOOKUP(Assessment!#REF!,Inherited!A:A,Inherited!D:D)))+(((100-(_xlfn.XLOOKUP(Assessment!#REF!,Inherited!A:A,Inherited!B:B)))/100)*IF(Y116="1.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(100%)","100"))))))&lt;=89),"75",IF((((_xlfn.XLOOKUP(Assessment!#REF!,Inherited!A:A,Inherited!B:B))/100)*(_xlfn.XLOOKUP(Assessment!#REF!,Inherited!A:A,Inherited!D:D)))+(((100-(_xlfn.XLOOKUP(Assessment!#REF!,Inherited!A:A,Inherited!B:B)))/100)*IF(Y116="1. Non Compliant (0%)","0",IF(Y116="2. Somewhat Compliant (25%)","25",IF(Y116="3. Partially Compliant (50%)","50",IF(Y116="4. Mostly Compliant (75%)","75",IF(Y116="5. Fully Compliant (100%)","100"))))))&gt;=90,"100"))))))</f>
        <v>#N/A</v>
      </c>
      <c r="S116" s="1" t="e">
        <f>IF(MATCH(H116,Inherited!A:A),IF((((_xlfn.XLOOKUP(Assessment!#REF!,Inherited!A:A,Inherited!B:B))/100)*(_xlfn.XLOOKUP(Assessment!#REF!,Inherited!A:A,Inherited!E:E)))+(((100-(_xlfn.XLOOKUP(Assessment!#REF!,Inherited!A:A,Inherited!B:B)))/100)*IF(Z116="1.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(100%)","100"))))))&lt;=10,"0", IF(AND((((_xlfn.XLOOKUP(Assessment!#REF!,Inherited!A:A,Inherited!B:B))/100)*(_xlfn.XLOOKUP(Assessment!#REF!,Inherited!A:A,Inherited!E:E)))+(((100-(_xlfn.XLOOKUP(Assessment!#REF!,Inherited!A:A,Inherited!B:B)))/100)*IF(Z116="1.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(100%)","100"))))))&gt;=11,(((_xlfn.XLOOKUP(Assessment!#REF!,Inherited!A:A,Inherited!B:B))/100)*(_xlfn.XLOOKUP(Assessment!#REF!,Inherited!A:A,Inherited!E:E)))+(((100-(_xlfn.XLOOKUP(Assessment!#REF!,Inherited!A:A,Inherited!B:B)))/100)*IF(Z116="1.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(100%)","100"))))))&lt;=32),"25",IF(AND((((_xlfn.XLOOKUP(Assessment!#REF!,Inherited!A:A,Inherited!B:B))/100)*(_xlfn.XLOOKUP(Assessment!#REF!,Inherited!A:A,Inherited!E:E)))+(((100-(_xlfn.XLOOKUP(Assessment!#REF!,Inherited!A:A,Inherited!B:B)))/100)*IF(Z116="1.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(100%)","100"))))))&gt;=33,(((_xlfn.XLOOKUP(Assessment!#REF!,Inherited!A:A,Inherited!B:B))/100)*(_xlfn.XLOOKUP(Assessment!#REF!,Inherited!A:A,Inherited!E:E)))+(((100-(_xlfn.XLOOKUP(Assessment!#REF!,Inherited!A:A,Inherited!B:B)))/100)*IF(Z116="1.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(100%)","100"))))))&lt;=65),"50",IF(AND((((_xlfn.XLOOKUP(Assessment!#REF!,Inherited!A:A,Inherited!B:B))/100)*(_xlfn.XLOOKUP(Assessment!#REF!,Inherited!A:A,Inherited!E:E)))+(((100-(_xlfn.XLOOKUP(Assessment!#REF!,Inherited!A:A,Inherited!B:B)))/100)*IF(Z116="1.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(100%)","100"))))))&gt;=66,(((_xlfn.XLOOKUP(Assessment!#REF!,Inherited!A:A,Inherited!B:B))/100)*(_xlfn.XLOOKUP(Assessment!#REF!,Inherited!A:A,Inherited!E:E)))+(((100-(_xlfn.XLOOKUP(Assessment!#REF!,Inherited!A:A,Inherited!B:B)))/100)*IF(Z116="1.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(100%)","100"))))))&lt;=89),"75",IF((((_xlfn.XLOOKUP(Assessment!#REF!,Inherited!A:A,Inherited!B:B))/100)*(_xlfn.XLOOKUP(Assessment!#REF!,Inherited!A:A,Inherited!E:E)))+(((100-(_xlfn.XLOOKUP(Assessment!#REF!,Inherited!A:A,Inherited!B:B)))/100)*IF(Z116="1. Non Compliant (0%)","0",IF(Z116="2. Somewhat Compliant (25%)","25",IF(Z116="3. Partially Compliant (50%)","50",IF(Z116="4. Mostly Compliant (75%)","75",IF(Z116="5. Fully Compliant (100%)","100"))))))&gt;=90,"100"))))))</f>
        <v>#N/A</v>
      </c>
      <c r="T116" s="1" t="e">
        <f>IF(MATCH(H116,Inherited!A:A),IF((((_xlfn.XLOOKUP(Assessment!#REF!,Inherited!A:A,Inherited!B:B))/100)*(_xlfn.XLOOKUP(Assessment!#REF!,Inherited!A:A,Inherited!F:F)))+(((100-(_xlfn.XLOOKUP(Assessment!#REF!,Inherited!A:A,Inherited!B:B)))/100)*IF(AA116="1.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(100%)","100"))))))&lt;=10,"0", IF(AND((((_xlfn.XLOOKUP(Assessment!#REF!,Inherited!A:A,Inherited!B:B))/100)*(_xlfn.XLOOKUP(Assessment!#REF!,Inherited!A:A,Inherited!F:F)))+(((100-(_xlfn.XLOOKUP(Assessment!#REF!,Inherited!A:A,Inherited!B:B)))/100)*IF(AA116="1.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(100%)","100"))))))&gt;=11,(((_xlfn.XLOOKUP(Assessment!#REF!,Inherited!A:A,Inherited!B:B))/100)*(_xlfn.XLOOKUP(Assessment!#REF!,Inherited!A:A,Inherited!F:F)))+(((100-(_xlfn.XLOOKUP(Assessment!#REF!,Inherited!A:A,Inherited!B:B)))/100)*IF(AA116="1.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(100%)","100"))))))&lt;=32),"25",IF(AND((((_xlfn.XLOOKUP(Assessment!#REF!,Inherited!A:A,Inherited!B:B))/100)*(_xlfn.XLOOKUP(Assessment!#REF!,Inherited!A:A,Inherited!F:F)))+(((100-(_xlfn.XLOOKUP(Assessment!#REF!,Inherited!A:A,Inherited!B:B)))/100)*IF(AA116="1.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(100%)","100"))))))&gt;=33,(((_xlfn.XLOOKUP(Assessment!#REF!,Inherited!A:A,Inherited!B:B))/100)*(_xlfn.XLOOKUP(Assessment!#REF!,Inherited!A:A,Inherited!F:F)))+(((100-(_xlfn.XLOOKUP(Assessment!#REF!,Inherited!A:A,Inherited!B:B)))/100)*IF(AA116="1.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(100%)","100"))))))&lt;=65),"50",IF(AND((((_xlfn.XLOOKUP(Assessment!#REF!,Inherited!A:A,Inherited!B:B))/100)*(_xlfn.XLOOKUP(Assessment!#REF!,Inherited!A:A,Inherited!F:F)))+(((100-(_xlfn.XLOOKUP(Assessment!#REF!,Inherited!A:A,Inherited!B:B)))/100)*IF(AA116="1.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(100%)","100"))))))&gt;=66,(((_xlfn.XLOOKUP(Assessment!#REF!,Inherited!A:A,Inherited!B:B))/100)*(_xlfn.XLOOKUP(Assessment!#REF!,Inherited!A:A,Inherited!F:F)))+(((100-(_xlfn.XLOOKUP(Assessment!#REF!,Inherited!A:A,Inherited!B:B)))/100)*IF(AA116="1.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(100%)","100"))))))&lt;=89),"75",IF((((_xlfn.XLOOKUP(Assessment!#REF!,Inherited!A:A,Inherited!B:B))/100)*(_xlfn.XLOOKUP(Assessment!#REF!,Inherited!A:A,Inherited!F:F)))+(((100-(_xlfn.XLOOKUP(Assessment!#REF!,Inherited!A:A,Inherited!B:B)))/100)*IF(AA116="1. Non Compliant (0%)","0",IF(AA116="2. Somewhat Compliant (25%)","25",IF(AA116="3. Partially Compliant (50%)","50",IF(AA116="4. Mostly Compliant (75%)","75",IF(AA116="5. Fully Compliant (100%)","100"))))))&gt;=90,"100"))))))</f>
        <v>#N/A</v>
      </c>
      <c r="U116" s="1" t="e">
        <f>IF(MATCH(H116,Inherited!A:A),IF((((_xlfn.XLOOKUP(Assessment!#REF!,Inherited!A:A,Inherited!B:B))/100)*(_xlfn.XLOOKUP(Assessment!#REF!,Inherited!A:A,Inherited!G:G)))+(((100-(_xlfn.XLOOKUP(Assessment!#REF!,Inherited!A:A,Inherited!B:B)))/100)*IF(AB116="1.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(100%)","100"))))))&lt;=10,"0", IF(AND((((_xlfn.XLOOKUP(Assessment!#REF!,Inherited!A:A,Inherited!B:B))/100)*(_xlfn.XLOOKUP(Assessment!#REF!,Inherited!A:A,Inherited!G:G)))+(((100-(_xlfn.XLOOKUP(Assessment!#REF!,Inherited!A:A,Inherited!B:B)))/100)*IF(AB116="1.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(100%)","100"))))))&gt;=11,(((_xlfn.XLOOKUP(Assessment!#REF!,Inherited!A:A,Inherited!B:B))/100)*(_xlfn.XLOOKUP(Assessment!#REF!,Inherited!A:A,Inherited!G:G)))+(((100-(_xlfn.XLOOKUP(Assessment!#REF!,Inherited!A:A,Inherited!B:B)))/100)*IF(AB116="1.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(100%)","100"))))))&lt;=32),"25",IF(AND((((_xlfn.XLOOKUP(Assessment!#REF!,Inherited!A:A,Inherited!B:B))/100)*(_xlfn.XLOOKUP(Assessment!#REF!,Inherited!A:A,Inherited!G:G)))+(((100-(_xlfn.XLOOKUP(Assessment!#REF!,Inherited!A:A,Inherited!B:B)))/100)*IF(AB116="1.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(100%)","100"))))))&gt;=33,(((_xlfn.XLOOKUP(Assessment!#REF!,Inherited!A:A,Inherited!B:B))/100)*(_xlfn.XLOOKUP(Assessment!#REF!,Inherited!A:A,Inherited!G:G)))+(((100-(_xlfn.XLOOKUP(Assessment!#REF!,Inherited!A:A,Inherited!B:B)))/100)*IF(AB116="1.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(100%)","100"))))))&lt;=65),"50",IF(AND((((_xlfn.XLOOKUP(Assessment!#REF!,Inherited!A:A,Inherited!B:B))/100)*(_xlfn.XLOOKUP(Assessment!#REF!,Inherited!A:A,Inherited!G:G)))+(((100-(_xlfn.XLOOKUP(Assessment!#REF!,Inherited!A:A,Inherited!B:B)))/100)*IF(AB116="1.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(100%)","100"))))))&gt;=66,(((_xlfn.XLOOKUP(Assessment!#REF!,Inherited!A:A,Inherited!B:B))/100)*(_xlfn.XLOOKUP(Assessment!#REF!,Inherited!A:A,Inherited!G:G)))+(((100-(_xlfn.XLOOKUP(Assessment!#REF!,Inherited!A:A,Inherited!B:B)))/100)*IF(AB116="1.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(100%)","100"))))))&lt;=89),"75",IF((((_xlfn.XLOOKUP(Assessment!#REF!,Inherited!A:A,Inherited!B:B))/100)*(_xlfn.XLOOKUP(Assessment!#REF!,Inherited!A:A,Inherited!G:G)))+(((100-(_xlfn.XLOOKUP(Assessment!#REF!,Inherited!A:A,Inherited!B:B)))/100)*IF(AB116="1. Non Compliant (0%)","0",IF(AB116="2. Somewhat Compliant (25%)","25",IF(AB116="3. Partially Compliant (50%)","50",IF(AB116="4. Mostly Compliant (75%)","75",IF(AB116="5. Fully Compliant (100%)","100"))))))&gt;=90,"100"))))))</f>
        <v>#N/A</v>
      </c>
      <c r="V116" s="55" t="s">
        <v>85</v>
      </c>
      <c r="W116" s="55"/>
      <c r="X116" s="55"/>
      <c r="Y116" s="55"/>
      <c r="Z116" s="55" t="s">
        <v>86</v>
      </c>
      <c r="AA116" s="55"/>
      <c r="AB116" s="55"/>
      <c r="AK116" s="1" t="s">
        <v>10947</v>
      </c>
      <c r="AL116" s="1" t="s">
        <v>10984</v>
      </c>
      <c r="AM116" s="1" t="s">
        <v>10949</v>
      </c>
      <c r="AX116" s="3" t="str">
        <f>_xlfn.CONCAT("A-LIGN finished its review of this control on ",AR116, " during the scheduled fieldwork window (",Intro!$B$4,")."&amp; CHAR(10)&amp; CHAR(10))</f>
        <v xml:space="preserve">A-LIGN finished its review of this control on  during the scheduled fieldwork window (Fieldwork: xx/xx/xxxx - xx/xx/xxxx).
</v>
      </c>
      <c r="AY116" s="3" t="str">
        <f t="shared" si="241"/>
        <v/>
      </c>
      <c r="AZ116" s="3" t="str">
        <f t="shared" si="242"/>
        <v/>
      </c>
      <c r="BA116" s="3" t="str">
        <f t="shared" si="243"/>
        <v/>
      </c>
      <c r="BB116" s="3" t="str">
        <f t="shared" si="244"/>
        <v xml:space="preserve">Inquired of the following workforce member: 
Roze Nicolas - Director of TechOps
Inquiry lead to the following conclusions: 
Users are provided the Merge Handbook, which is also available to them through Air Mason, which outlines the proper use for devices.
All devices are also enrolled within Endpoint protection solutions to prevent the auto-run of software and installation of unapproved software.
</v>
      </c>
      <c r="BC116" s="3" t="str">
        <f t="shared" si="245"/>
        <v xml:space="preserve">Observed the following live during fieldwork: 
Observed the KnowBe4 dashboard which outlined the different training campaigns provided to Merge Users and confirmed that security awareness training is provided which covers topics for acceptable use.
</v>
      </c>
      <c r="BD116" s="3" t="str">
        <f t="shared" si="246"/>
        <v xml:space="preserve">Examined the following evidence during fieldwork:
Reviewed evidence addressed the requirement statement.
</v>
      </c>
      <c r="BE116" s="3" t="str">
        <f t="shared" si="247"/>
        <v/>
      </c>
      <c r="BF116" s="3" t="str">
        <f t="shared" si="248"/>
        <v/>
      </c>
      <c r="BG116" s="3" t="str">
        <f>_xlfn.CONCAT((IF((COUNTIF('Sample Tables'!B:B,"")&gt;0)=TRUE,_xlfn.CONCAT("",""),IF((COUNTIF('Sample Tables'!B:B,"")&gt;0)=FALSE,""))),)</f>
        <v/>
      </c>
      <c r="BH116" s="3" t="str">
        <f t="shared" si="249"/>
        <v xml:space="preserve">A-LIGN finished its review of this control on  during the scheduled fieldwork window (Fieldwork: xx/xx/xxxx - xx/xx/xxxx).
Inquired of the following workforce member: 
Roze Nicolas - Director of TechOps
Inquiry lead to the following conclusions: 
Users are provided the Merge Handbook, which is also available to them through Air Mason, which outlines the proper use for devices.
All devices are also enrolled within Endpoint protection solutions to prevent the auto-run of software and installation of unapproved software.
Observed the following live during fieldwork: 
Observed the KnowBe4 dashboard which outlined the different training campaigns provided to Merge Users and confirmed that security awareness training is provided which covers topics for acceptable use.
Examined the following evidence during fieldwork:
Reviewed evidence addressed the requirement statement.
</v>
      </c>
    </row>
    <row r="117" spans="3:60" ht="362.5" x14ac:dyDescent="0.35">
      <c r="C117" s="1">
        <f t="shared" ref="C117:C122" si="250">IF(V117="No","Not Applicable",(IF(X117="1. Non Compliant (0%)","0",IF(X117="2. Somewhat Compliant (25%)","25",IF(X117="3. Partially Compliant (50%)","50",IF(X117="4. Mostly Compliant (75%)","75",IF(X117="5. Fully Compliant (100%)","100")))))*0.15)+((IF(Y117="1. Non Compliant (0%)","0",IF(Y117="2. Somewhat Compliant (25%)","25",IF(Y117="3. Partially Compliant (50%)","50",IF(Y117="4. Mostly Compliant (75%)","75",IF(Y117="5. Fully Compliant (100%)","100"))))))*0.2)+(IF(Z117="1. Non Compliant (0%)","0",IF(Z117="2. Somewhat Compliant (25%)","25",IF(Z117="3. Partially Compliant (50%)","50",IF(Z117="4. Mostly Compliant (75%)","75",IF(Z117="5. Fully Compliant (100%)","100")))))*0.4)+(IF(AA117="1. Non Compliant (0%)","0",IF(AA117="2. Somewhat Compliant (25%)","25",IF(AA117="3. Partially Compliant (50%)","50",IF(AA117="4. Mostly Compliant (75%)","75",IF(AA117="5. Fully Compliant (100%)","100")))))*0.1)+(IF(AB117="1. Non Compliant (0%)","0",IF(AB117="2. Somewhat Compliant (25%)","25",IF(AB117="3. Partially Compliant (50%)","50",IF(AB117="4. Mostly Compliant (75%)","75",IF(AB117="5. Fully Compliant (100%)","100")))))*0.15))</f>
        <v>40</v>
      </c>
      <c r="D117" s="5" t="str">
        <f>IF(AND((_xlfn.XLOOKUP(J117,'Fields &amp; Revisions'!$H:$H,'Fields &amp; Revisions'!$I:$I))&lt;70.99,(OR(Z117="4. Mostly Compliant (75%)",Z117="3. Partially Compliant (50%)",Z117="2. Somewhat Compliant (25%)",Z117="1. Non Compliant (0%)"))),"Yes","No")</f>
        <v>No</v>
      </c>
      <c r="E117" s="5" t="str">
        <f>IF(ISERROR(VLOOKUP(H117,Scope!A:A,1,FALSE)),"No","Yes")</f>
        <v>Yes</v>
      </c>
      <c r="F117" s="1" t="s">
        <v>3611</v>
      </c>
      <c r="G117" s="53" t="s">
        <v>3780</v>
      </c>
      <c r="H117" s="53" t="s">
        <v>3781</v>
      </c>
      <c r="I117" s="5">
        <v>1</v>
      </c>
      <c r="J117" s="1" t="s">
        <v>644</v>
      </c>
      <c r="K117" s="1" t="s">
        <v>3782</v>
      </c>
      <c r="L117" s="1" t="s">
        <v>3783</v>
      </c>
      <c r="M117" s="1" t="s">
        <v>2341</v>
      </c>
      <c r="N117" s="5" t="s">
        <v>85</v>
      </c>
      <c r="O117" s="1" t="str">
        <f>_xlfn.XLOOKUP(G117,SRMs!$A:$A,SRMs!$D:$D)</f>
        <v>NO INHERITANCE</v>
      </c>
      <c r="P117" s="1" t="str">
        <f>IFERROR(VLOOKUP(H117,Inherited!A:B,2,FALSE),"")</f>
        <v/>
      </c>
      <c r="Q117" s="1" t="e">
        <f>IF(MATCH(H117,Inherited!A:A),IF((((_xlfn.XLOOKUP(Assessment!#REF!,Inherited!A:A,Inherited!B:B))/100)*(_xlfn.XLOOKUP(Assessment!#REF!,Inherited!A:A,Inherited!C:C)))+(((100-(_xlfn.XLOOKUP(Assessment!#REF!,Inherited!A:A,Inherited!B:B)))/100)*IF(X117="1.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(100%)","100"))))))&lt;=10,"0", IF(AND((((_xlfn.XLOOKUP(Assessment!#REF!,Inherited!A:A,Inherited!B:B))/100)*(_xlfn.XLOOKUP(Assessment!#REF!,Inherited!A:A,Inherited!C:C)))+(((100-(_xlfn.XLOOKUP(Assessment!#REF!,Inherited!A:A,Inherited!B:B)))/100)*IF(X117="1.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(100%)","100"))))))&gt;=11,(((_xlfn.XLOOKUP(Assessment!#REF!,Inherited!A:A,Inherited!B:B))/100)*(_xlfn.XLOOKUP(Assessment!#REF!,Inherited!A:A,Inherited!C:C)))+(((100-(_xlfn.XLOOKUP(Assessment!#REF!,Inherited!A:A,Inherited!B:B)))/100)*IF(X117="1.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(100%)","100"))))))&lt;=32),"25",IF(AND((((_xlfn.XLOOKUP(Assessment!#REF!,Inherited!A:A,Inherited!B:B))/100)*(_xlfn.XLOOKUP(Assessment!#REF!,Inherited!A:A,Inherited!C:C)))+(((100-(_xlfn.XLOOKUP(Assessment!#REF!,Inherited!A:A,Inherited!B:B)))/100)*IF(X117="1.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(100%)","100"))))))&gt;=33,(((_xlfn.XLOOKUP(Assessment!#REF!,Inherited!A:A,Inherited!B:B))/100)*(_xlfn.XLOOKUP(Assessment!#REF!,Inherited!A:A,Inherited!C:C)))+(((100-(_xlfn.XLOOKUP(Assessment!#REF!,Inherited!A:A,Inherited!B:B)))/100)*IF(X117="1.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(100%)","100"))))))&lt;=65),"50",IF(AND((((_xlfn.XLOOKUP(Assessment!#REF!,Inherited!A:A,Inherited!B:B))/100)*(_xlfn.XLOOKUP(Assessment!#REF!,Inherited!A:A,Inherited!C:C)))+(((100-(_xlfn.XLOOKUP(Assessment!#REF!,Inherited!A:A,Inherited!B:B)))/100)*IF(X117="1.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(100%)","100"))))))&gt;=66,(((_xlfn.XLOOKUP(Assessment!#REF!,Inherited!A:A,Inherited!B:B))/100)*(_xlfn.XLOOKUP(Assessment!#REF!,Inherited!A:A,Inherited!C:C)))+(((100-(_xlfn.XLOOKUP(Assessment!#REF!,Inherited!A:A,Inherited!B:B)))/100)*IF(X117="1.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(100%)","100"))))))&lt;=89),"75",IF((((_xlfn.XLOOKUP(Assessment!#REF!,Inherited!A:A,Inherited!B:B))/100)*(_xlfn.XLOOKUP(Assessment!#REF!,Inherited!A:A,Inherited!C:C)))+(((100-(_xlfn.XLOOKUP(Assessment!#REF!,Inherited!A:A,Inherited!B:B)))/100)*IF(X117="1. Non Compliant (0%)","0",IF(X117="2. Somewhat Compliant (25%)","25",IF(X117="3. Partially Compliant (50%)","50",IF(X117="4. Mostly Compliant (75%)","75",IF(X117="5. Fully Compliant (100%)","100"))))))&gt;=90,"100"))))))</f>
        <v>#N/A</v>
      </c>
      <c r="R117" s="1" t="e">
        <f>IF(MATCH(H117,Inherited!A:A),IF((((_xlfn.XLOOKUP(Assessment!#REF!,Inherited!A:A,Inherited!B:B))/100)*(_xlfn.XLOOKUP(Assessment!#REF!,Inherited!A:A,Inherited!D:D)))+(((100-(_xlfn.XLOOKUP(Assessment!#REF!,Inherited!A:A,Inherited!B:B)))/100)*IF(Y117="1.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(100%)","100"))))))&lt;=10,"0", IF(AND((((_xlfn.XLOOKUP(Assessment!#REF!,Inherited!A:A,Inherited!B:B))/100)*(_xlfn.XLOOKUP(Assessment!#REF!,Inherited!A:A,Inherited!D:D)))+(((100-(_xlfn.XLOOKUP(Assessment!#REF!,Inherited!A:A,Inherited!B:B)))/100)*IF(Y117="1.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(100%)","100"))))))&gt;=11,(((_xlfn.XLOOKUP(Assessment!#REF!,Inherited!A:A,Inherited!B:B))/100)*(_xlfn.XLOOKUP(Assessment!#REF!,Inherited!A:A,Inherited!D:D)))+(((100-(_xlfn.XLOOKUP(Assessment!#REF!,Inherited!A:A,Inherited!B:B)))/100)*IF(Y117="1.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(100%)","100"))))))&lt;=32),"25",IF(AND((((_xlfn.XLOOKUP(Assessment!#REF!,Inherited!A:A,Inherited!B:B))/100)*(_xlfn.XLOOKUP(Assessment!#REF!,Inherited!A:A,Inherited!D:D)))+(((100-(_xlfn.XLOOKUP(Assessment!#REF!,Inherited!A:A,Inherited!B:B)))/100)*IF(Y117="1.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(100%)","100"))))))&gt;=33,(((_xlfn.XLOOKUP(Assessment!#REF!,Inherited!A:A,Inherited!B:B))/100)*(_xlfn.XLOOKUP(Assessment!#REF!,Inherited!A:A,Inherited!D:D)))+(((100-(_xlfn.XLOOKUP(Assessment!#REF!,Inherited!A:A,Inherited!B:B)))/100)*IF(Y117="1.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(100%)","100"))))))&lt;=65),"50",IF(AND((((_xlfn.XLOOKUP(Assessment!#REF!,Inherited!A:A,Inherited!B:B))/100)*(_xlfn.XLOOKUP(Assessment!#REF!,Inherited!A:A,Inherited!D:D)))+(((100-(_xlfn.XLOOKUP(Assessment!#REF!,Inherited!A:A,Inherited!B:B)))/100)*IF(Y117="1.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(100%)","100"))))))&gt;=66,(((_xlfn.XLOOKUP(Assessment!#REF!,Inherited!A:A,Inherited!B:B))/100)*(_xlfn.XLOOKUP(Assessment!#REF!,Inherited!A:A,Inherited!D:D)))+(((100-(_xlfn.XLOOKUP(Assessment!#REF!,Inherited!A:A,Inherited!B:B)))/100)*IF(Y117="1.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(100%)","100"))))))&lt;=89),"75",IF((((_xlfn.XLOOKUP(Assessment!#REF!,Inherited!A:A,Inherited!B:B))/100)*(_xlfn.XLOOKUP(Assessment!#REF!,Inherited!A:A,Inherited!D:D)))+(((100-(_xlfn.XLOOKUP(Assessment!#REF!,Inherited!A:A,Inherited!B:B)))/100)*IF(Y117="1. Non Compliant (0%)","0",IF(Y117="2. Somewhat Compliant (25%)","25",IF(Y117="3. Partially Compliant (50%)","50",IF(Y117="4. Mostly Compliant (75%)","75",IF(Y117="5. Fully Compliant (100%)","100"))))))&gt;=90,"100"))))))</f>
        <v>#N/A</v>
      </c>
      <c r="S117" s="1" t="e">
        <f>IF(MATCH(H117,Inherited!A:A),IF((((_xlfn.XLOOKUP(Assessment!#REF!,Inherited!A:A,Inherited!B:B))/100)*(_xlfn.XLOOKUP(Assessment!#REF!,Inherited!A:A,Inherited!E:E)))+(((100-(_xlfn.XLOOKUP(Assessment!#REF!,Inherited!A:A,Inherited!B:B)))/100)*IF(Z117="1.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(100%)","100"))))))&lt;=10,"0", IF(AND((((_xlfn.XLOOKUP(Assessment!#REF!,Inherited!A:A,Inherited!B:B))/100)*(_xlfn.XLOOKUP(Assessment!#REF!,Inherited!A:A,Inherited!E:E)))+(((100-(_xlfn.XLOOKUP(Assessment!#REF!,Inherited!A:A,Inherited!B:B)))/100)*IF(Z117="1.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(100%)","100"))))))&gt;=11,(((_xlfn.XLOOKUP(Assessment!#REF!,Inherited!A:A,Inherited!B:B))/100)*(_xlfn.XLOOKUP(Assessment!#REF!,Inherited!A:A,Inherited!E:E)))+(((100-(_xlfn.XLOOKUP(Assessment!#REF!,Inherited!A:A,Inherited!B:B)))/100)*IF(Z117="1.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(100%)","100"))))))&lt;=32),"25",IF(AND((((_xlfn.XLOOKUP(Assessment!#REF!,Inherited!A:A,Inherited!B:B))/100)*(_xlfn.XLOOKUP(Assessment!#REF!,Inherited!A:A,Inherited!E:E)))+(((100-(_xlfn.XLOOKUP(Assessment!#REF!,Inherited!A:A,Inherited!B:B)))/100)*IF(Z117="1.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(100%)","100"))))))&gt;=33,(((_xlfn.XLOOKUP(Assessment!#REF!,Inherited!A:A,Inherited!B:B))/100)*(_xlfn.XLOOKUP(Assessment!#REF!,Inherited!A:A,Inherited!E:E)))+(((100-(_xlfn.XLOOKUP(Assessment!#REF!,Inherited!A:A,Inherited!B:B)))/100)*IF(Z117="1.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(100%)","100"))))))&lt;=65),"50",IF(AND((((_xlfn.XLOOKUP(Assessment!#REF!,Inherited!A:A,Inherited!B:B))/100)*(_xlfn.XLOOKUP(Assessment!#REF!,Inherited!A:A,Inherited!E:E)))+(((100-(_xlfn.XLOOKUP(Assessment!#REF!,Inherited!A:A,Inherited!B:B)))/100)*IF(Z117="1.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(100%)","100"))))))&gt;=66,(((_xlfn.XLOOKUP(Assessment!#REF!,Inherited!A:A,Inherited!B:B))/100)*(_xlfn.XLOOKUP(Assessment!#REF!,Inherited!A:A,Inherited!E:E)))+(((100-(_xlfn.XLOOKUP(Assessment!#REF!,Inherited!A:A,Inherited!B:B)))/100)*IF(Z117="1.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(100%)","100"))))))&lt;=89),"75",IF((((_xlfn.XLOOKUP(Assessment!#REF!,Inherited!A:A,Inherited!B:B))/100)*(_xlfn.XLOOKUP(Assessment!#REF!,Inherited!A:A,Inherited!E:E)))+(((100-(_xlfn.XLOOKUP(Assessment!#REF!,Inherited!A:A,Inherited!B:B)))/100)*IF(Z117="1. Non Compliant (0%)","0",IF(Z117="2. Somewhat Compliant (25%)","25",IF(Z117="3. Partially Compliant (50%)","50",IF(Z117="4. Mostly Compliant (75%)","75",IF(Z117="5. Fully Compliant (100%)","100"))))))&gt;=90,"100"))))))</f>
        <v>#N/A</v>
      </c>
      <c r="T117" s="1" t="e">
        <f>IF(MATCH(H117,Inherited!A:A),IF((((_xlfn.XLOOKUP(Assessment!#REF!,Inherited!A:A,Inherited!B:B))/100)*(_xlfn.XLOOKUP(Assessment!#REF!,Inherited!A:A,Inherited!F:F)))+(((100-(_xlfn.XLOOKUP(Assessment!#REF!,Inherited!A:A,Inherited!B:B)))/100)*IF(AA117="1.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(100%)","100"))))))&lt;=10,"0", IF(AND((((_xlfn.XLOOKUP(Assessment!#REF!,Inherited!A:A,Inherited!B:B))/100)*(_xlfn.XLOOKUP(Assessment!#REF!,Inherited!A:A,Inherited!F:F)))+(((100-(_xlfn.XLOOKUP(Assessment!#REF!,Inherited!A:A,Inherited!B:B)))/100)*IF(AA117="1.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(100%)","100"))))))&gt;=11,(((_xlfn.XLOOKUP(Assessment!#REF!,Inherited!A:A,Inherited!B:B))/100)*(_xlfn.XLOOKUP(Assessment!#REF!,Inherited!A:A,Inherited!F:F)))+(((100-(_xlfn.XLOOKUP(Assessment!#REF!,Inherited!A:A,Inherited!B:B)))/100)*IF(AA117="1.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(100%)","100"))))))&lt;=32),"25",IF(AND((((_xlfn.XLOOKUP(Assessment!#REF!,Inherited!A:A,Inherited!B:B))/100)*(_xlfn.XLOOKUP(Assessment!#REF!,Inherited!A:A,Inherited!F:F)))+(((100-(_xlfn.XLOOKUP(Assessment!#REF!,Inherited!A:A,Inherited!B:B)))/100)*IF(AA117="1.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(100%)","100"))))))&gt;=33,(((_xlfn.XLOOKUP(Assessment!#REF!,Inherited!A:A,Inherited!B:B))/100)*(_xlfn.XLOOKUP(Assessment!#REF!,Inherited!A:A,Inherited!F:F)))+(((100-(_xlfn.XLOOKUP(Assessment!#REF!,Inherited!A:A,Inherited!B:B)))/100)*IF(AA117="1.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(100%)","100"))))))&lt;=65),"50",IF(AND((((_xlfn.XLOOKUP(Assessment!#REF!,Inherited!A:A,Inherited!B:B))/100)*(_xlfn.XLOOKUP(Assessment!#REF!,Inherited!A:A,Inherited!F:F)))+(((100-(_xlfn.XLOOKUP(Assessment!#REF!,Inherited!A:A,Inherited!B:B)))/100)*IF(AA117="1.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(100%)","100"))))))&gt;=66,(((_xlfn.XLOOKUP(Assessment!#REF!,Inherited!A:A,Inherited!B:B))/100)*(_xlfn.XLOOKUP(Assessment!#REF!,Inherited!A:A,Inherited!F:F)))+(((100-(_xlfn.XLOOKUP(Assessment!#REF!,Inherited!A:A,Inherited!B:B)))/100)*IF(AA117="1.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(100%)","100"))))))&lt;=89),"75",IF((((_xlfn.XLOOKUP(Assessment!#REF!,Inherited!A:A,Inherited!B:B))/100)*(_xlfn.XLOOKUP(Assessment!#REF!,Inherited!A:A,Inherited!F:F)))+(((100-(_xlfn.XLOOKUP(Assessment!#REF!,Inherited!A:A,Inherited!B:B)))/100)*IF(AA117="1. Non Compliant (0%)","0",IF(AA117="2. Somewhat Compliant (25%)","25",IF(AA117="3. Partially Compliant (50%)","50",IF(AA117="4. Mostly Compliant (75%)","75",IF(AA117="5. Fully Compliant (100%)","100"))))))&gt;=90,"100"))))))</f>
        <v>#N/A</v>
      </c>
      <c r="U117" s="1" t="e">
        <f>IF(MATCH(H117,Inherited!A:A),IF((((_xlfn.XLOOKUP(Assessment!#REF!,Inherited!A:A,Inherited!B:B))/100)*(_xlfn.XLOOKUP(Assessment!#REF!,Inherited!A:A,Inherited!G:G)))+(((100-(_xlfn.XLOOKUP(Assessment!#REF!,Inherited!A:A,Inherited!B:B)))/100)*IF(AB117="1.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(100%)","100"))))))&lt;=10,"0", IF(AND((((_xlfn.XLOOKUP(Assessment!#REF!,Inherited!A:A,Inherited!B:B))/100)*(_xlfn.XLOOKUP(Assessment!#REF!,Inherited!A:A,Inherited!G:G)))+(((100-(_xlfn.XLOOKUP(Assessment!#REF!,Inherited!A:A,Inherited!B:B)))/100)*IF(AB117="1.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(100%)","100"))))))&gt;=11,(((_xlfn.XLOOKUP(Assessment!#REF!,Inherited!A:A,Inherited!B:B))/100)*(_xlfn.XLOOKUP(Assessment!#REF!,Inherited!A:A,Inherited!G:G)))+(((100-(_xlfn.XLOOKUP(Assessment!#REF!,Inherited!A:A,Inherited!B:B)))/100)*IF(AB117="1.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(100%)","100"))))))&lt;=32),"25",IF(AND((((_xlfn.XLOOKUP(Assessment!#REF!,Inherited!A:A,Inherited!B:B))/100)*(_xlfn.XLOOKUP(Assessment!#REF!,Inherited!A:A,Inherited!G:G)))+(((100-(_xlfn.XLOOKUP(Assessment!#REF!,Inherited!A:A,Inherited!B:B)))/100)*IF(AB117="1.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(100%)","100"))))))&gt;=33,(((_xlfn.XLOOKUP(Assessment!#REF!,Inherited!A:A,Inherited!B:B))/100)*(_xlfn.XLOOKUP(Assessment!#REF!,Inherited!A:A,Inherited!G:G)))+(((100-(_xlfn.XLOOKUP(Assessment!#REF!,Inherited!A:A,Inherited!B:B)))/100)*IF(AB117="1.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(100%)","100"))))))&lt;=65),"50",IF(AND((((_xlfn.XLOOKUP(Assessment!#REF!,Inherited!A:A,Inherited!B:B))/100)*(_xlfn.XLOOKUP(Assessment!#REF!,Inherited!A:A,Inherited!G:G)))+(((100-(_xlfn.XLOOKUP(Assessment!#REF!,Inherited!A:A,Inherited!B:B)))/100)*IF(AB117="1.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(100%)","100"))))))&gt;=66,(((_xlfn.XLOOKUP(Assessment!#REF!,Inherited!A:A,Inherited!B:B))/100)*(_xlfn.XLOOKUP(Assessment!#REF!,Inherited!A:A,Inherited!G:G)))+(((100-(_xlfn.XLOOKUP(Assessment!#REF!,Inherited!A:A,Inherited!B:B)))/100)*IF(AB117="1.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(100%)","100"))))))&lt;=89),"75",IF((((_xlfn.XLOOKUP(Assessment!#REF!,Inherited!A:A,Inherited!B:B))/100)*(_xlfn.XLOOKUP(Assessment!#REF!,Inherited!A:A,Inherited!G:G)))+(((100-(_xlfn.XLOOKUP(Assessment!#REF!,Inherited!A:A,Inherited!B:B)))/100)*IF(AB117="1. Non Compliant (0%)","0",IF(AB117="2. Somewhat Compliant (25%)","25",IF(AB117="3. Partially Compliant (50%)","50",IF(AB117="4. Mostly Compliant (75%)","75",IF(AB117="5. Fully Compliant (100%)","100"))))))&gt;=90,"100"))))))</f>
        <v>#N/A</v>
      </c>
      <c r="V117" s="55" t="s">
        <v>85</v>
      </c>
      <c r="W117" s="55"/>
      <c r="X117" s="55"/>
      <c r="Y117" s="55"/>
      <c r="Z117" s="55" t="s">
        <v>86</v>
      </c>
      <c r="AA117" s="55"/>
      <c r="AB117" s="55"/>
      <c r="AK117" s="1" t="s">
        <v>10947</v>
      </c>
      <c r="AM117" s="1" t="s">
        <v>10950</v>
      </c>
      <c r="AX117" s="3" t="str">
        <f>_xlfn.CONCAT("A-LIGN finished its review of this control on ",AR117, " during the scheduled fieldwork window (",Intro!$B$4,")."&amp; CHAR(10)&amp; CHAR(10))</f>
        <v xml:space="preserve">A-LIGN finished its review of this control on  during the scheduled fieldwork window (Fieldwork: xx/xx/xxxx - xx/xx/xxxx).
</v>
      </c>
      <c r="AY117" s="3" t="str">
        <f t="shared" ref="AY117:AY121" si="251">IF(AQ117&lt;&gt;"",(_xlfn.CONCAT("Inheritance note: "&amp; CHAR(10),AQ117&amp; CHAR(10)&amp; CHAR(10))),"")</f>
        <v/>
      </c>
      <c r="AZ117" s="3" t="str">
        <f t="shared" ref="AZ117:AZ121" si="252">IFERROR(IF(AD117&lt;&gt;"",_xlfn.CONCAT("Examined the following policy during fieldwork:"&amp; CHAR(10),AD117&amp; CHAR(10)&amp; CHAR(10),IF(AND(X117&lt;&gt;"5. Fully Compliant (100%)",AE117&lt;&gt;""),"Reviewed policy exception note:"&amp; CHAR(10) &amp; AE117 &amp; CHAR(10) &amp; CHAR(10),"")),""),"")</f>
        <v/>
      </c>
      <c r="BA117" s="3" t="str">
        <f t="shared" ref="BA117:BA121" si="253">IFERROR(IF(AH117&lt;&gt;"",_xlfn.CONCAT("Examined the following process during fieldwork:"&amp; CHAR(10),AH117&amp; CHAR(10)&amp; CHAR(10),IF(AND(Y117&lt;&gt;"5. Fully Compliant (100%)",AI117&lt;&gt;""),"Reviewed process exception note:"&amp; CHAR(10) &amp; AI117 &amp; CHAR(10) &amp; CHAR(10),"")),""),"")</f>
        <v/>
      </c>
      <c r="BB117" s="3" t="str">
        <f t="shared" ref="BB117:BB121" si="254">IF(AK117&lt;&gt;"",(_xlfn.CONCAT("Inquired of the following workforce member: "&amp; CHAR(10),AK117&amp; CHAR(10)&amp; CHAR(10),"Inquiry lead to the following conclusions: "&amp; CHAR(10),AL117&amp; CHAR(10) &amp; CHAR(10))),"")</f>
        <v xml:space="preserve">Inquired of the following workforce member: 
Roze Nicolas - Director of TechOps
Inquiry lead to the following conclusions: 
</v>
      </c>
      <c r="BC117" s="3" t="str">
        <f t="shared" ref="BC117:BC121" si="255">IF(AM117&lt;&gt;"",(_xlfn.CONCAT("Observed the following live during fieldwork: "&amp; CHAR(10),AM117&amp; CHAR(10) &amp; CHAR(10))),"")</f>
        <v xml:space="preserve">Observed the following live during fieldwork: 
Observed the KnowBe4 dashboard which demonstrated that security training is provided to all users at hire and annually thereafter.
Observed the Incident Response Training, and Developer training campaigns which are provided to managers, those entering security roles, and executive security roles.
</v>
      </c>
      <c r="BD117" s="3" t="str">
        <f t="shared" ref="BD117:BD121" si="256">_xlfn.CONCAT("Examined the following evidence during fieldwork:"&amp; CHAR(10),AN117&amp; CHAR(10)&amp; CHAR(10),IF(AO117&lt;&gt;"","Reviewed evidence note:"&amp; CHAR(10)&amp;AO117&amp; CHAR(10) &amp; CHAR(10),"Reviewed evidence addressed the requirement statement."&amp; CHAR(10) &amp; CHAR(10)),IF(AND(AP117&lt;&gt;"5. Fully Compliant (100%)",AP117&lt;&gt;""),"Reviewed evidence exception note: "&amp; CHAR(10) &amp; AP117 &amp; CHAR(10) &amp; CHAR(10),""))</f>
        <v xml:space="preserve">Examined the following evidence during fieldwork:
Reviewed evidence addressed the requirement statement.
</v>
      </c>
      <c r="BE117" s="3" t="str">
        <f t="shared" ref="BE117:BE121" si="257">IF(AT117&lt;&gt;"",(_xlfn.CONCAT("Examined the following measure/metric during fieldwork:"&amp; CHAR(10),AT117&amp; CHAR(10)&amp; CHAR(10),"Reviewed measure/metric note:"&amp; CHAR(10),AU117 &amp; CHAR(10) &amp; CHAR(10))),"")</f>
        <v/>
      </c>
      <c r="BF117" s="3" t="str">
        <f t="shared" ref="BF117:BF121" si="258">IF(AV117&lt;&gt;"",(_xlfn.CONCAT("Examined the following measure/metric management during fieldwork:"&amp; CHAR(10),AV117&amp; CHAR(10)&amp; CHAR(10),"Reviewed measure/metric management note:"&amp; CHAR(10),AW117 &amp; CHAR(10) &amp; CHAR(10))),"")</f>
        <v/>
      </c>
      <c r="BG117" s="3" t="str">
        <f>_xlfn.CONCAT((IF((COUNTIF('Sample Tables'!B:B,"Test 200: Workforce Member (new hire)")&gt;0)=TRUE,_xlfn.CONCAT("Sample test results are documented in ",'Sample Tables'!B2196," [",'Sample Tables'!B2197,", ",'Sample Tables'!B2198,", ",'Sample Tables'!B2199,", ",'Sample Tables'!B2200,", ",'Sample Tables'!B2201,"]."&amp;CHAR(10)),IF((COUNTIF('Sample Tables'!B:B,"Test 200: Workforce Member (new hire)")&gt;0)=FALSE,""))),)</f>
        <v xml:space="preserve">Sample test results are documented in Test 200: Workforce Member (new hire) [Population Source/Tool: , Population Date Range: , Population Size: , Sample Methodology: , Sample Size: ].
</v>
      </c>
      <c r="BH117" s="3" t="str">
        <f t="shared" ref="BH117:BH121" si="259">IF(V117="No","Not Applicable: "&amp;W117,(_xlfn.CONCAT(AX117,AY117,AZ117,BA117,BB117,BC117,BD117,BE117,BF117,BG117)))</f>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the KnowBe4 dashboard which demonstrated that security training is provided to all users at hire and annually thereafter.
Observed the Incident Response Training, and Developer training campaigns which are provided to managers, those entering security roles, and executive security roles.
Examined the following evidence during fieldwork:
Reviewed evidence addressed the requirement statement.
Sample test results are documented in Test 200: Workforce Member (new hire) [Population Source/Tool: , Population Date Range: , Population Size: , Sample Methodology: , Sample Size: ].
</v>
      </c>
    </row>
    <row r="118" spans="3:60" ht="409.5" x14ac:dyDescent="0.35">
      <c r="C118" s="1">
        <f t="shared" si="250"/>
        <v>0</v>
      </c>
      <c r="D118" s="5" t="str">
        <f>IF(AND((_xlfn.XLOOKUP(J118,'Fields &amp; Revisions'!$H:$H,'Fields &amp; Revisions'!$I:$I))&lt;70.99,(OR(Z118="4. Mostly Compliant (75%)",Z118="3. Partially Compliant (50%)",Z118="2. Somewhat Compliant (25%)",Z118="1. Non Compliant (0%)"))),"Yes","No")</f>
        <v>Yes</v>
      </c>
      <c r="E118" s="5" t="str">
        <f>IF(ISERROR(VLOOKUP(H118,Scope!A:A,1,FALSE)),"No","Yes")</f>
        <v>Yes</v>
      </c>
      <c r="F118" s="1" t="s">
        <v>3786</v>
      </c>
      <c r="G118" s="53" t="s">
        <v>3789</v>
      </c>
      <c r="H118" s="53" t="s">
        <v>3790</v>
      </c>
      <c r="I118" s="5" t="s">
        <v>93</v>
      </c>
      <c r="J118" s="1" t="s">
        <v>2774</v>
      </c>
      <c r="K118" s="54" t="s">
        <v>3791</v>
      </c>
      <c r="L118" s="1" t="s">
        <v>3792</v>
      </c>
      <c r="M118" s="1" t="s">
        <v>3793</v>
      </c>
      <c r="N118" s="5" t="s">
        <v>98</v>
      </c>
      <c r="O118" s="1" t="str">
        <f>_xlfn.XLOOKUP(G118,SRMs!$A:$A,SRMs!$D:$D)</f>
        <v>NO INHERITANCE</v>
      </c>
      <c r="P118" s="1" t="str">
        <f>IFERROR(VLOOKUP(H118,Inherited!A:B,2,FALSE),"")</f>
        <v/>
      </c>
      <c r="Q118" s="1" t="e">
        <f>IF(MATCH(H118,Inherited!A:A),IF((((_xlfn.XLOOKUP(Assessment!#REF!,Inherited!A:A,Inherited!B:B))/100)*(_xlfn.XLOOKUP(Assessment!#REF!,Inherited!A:A,Inherited!C:C)))+(((100-(_xlfn.XLOOKUP(Assessment!#REF!,Inherited!A:A,Inherited!B:B)))/100)*IF(X118="1.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(100%)","100"))))))&lt;=10,"0", IF(AND((((_xlfn.XLOOKUP(Assessment!#REF!,Inherited!A:A,Inherited!B:B))/100)*(_xlfn.XLOOKUP(Assessment!#REF!,Inherited!A:A,Inherited!C:C)))+(((100-(_xlfn.XLOOKUP(Assessment!#REF!,Inherited!A:A,Inherited!B:B)))/100)*IF(X118="1.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(100%)","100"))))))&gt;=11,(((_xlfn.XLOOKUP(Assessment!#REF!,Inherited!A:A,Inherited!B:B))/100)*(_xlfn.XLOOKUP(Assessment!#REF!,Inherited!A:A,Inherited!C:C)))+(((100-(_xlfn.XLOOKUP(Assessment!#REF!,Inherited!A:A,Inherited!B:B)))/100)*IF(X118="1.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(100%)","100"))))))&lt;=32),"25",IF(AND((((_xlfn.XLOOKUP(Assessment!#REF!,Inherited!A:A,Inherited!B:B))/100)*(_xlfn.XLOOKUP(Assessment!#REF!,Inherited!A:A,Inherited!C:C)))+(((100-(_xlfn.XLOOKUP(Assessment!#REF!,Inherited!A:A,Inherited!B:B)))/100)*IF(X118="1.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(100%)","100"))))))&gt;=33,(((_xlfn.XLOOKUP(Assessment!#REF!,Inherited!A:A,Inherited!B:B))/100)*(_xlfn.XLOOKUP(Assessment!#REF!,Inherited!A:A,Inherited!C:C)))+(((100-(_xlfn.XLOOKUP(Assessment!#REF!,Inherited!A:A,Inherited!B:B)))/100)*IF(X118="1.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(100%)","100"))))))&lt;=65),"50",IF(AND((((_xlfn.XLOOKUP(Assessment!#REF!,Inherited!A:A,Inherited!B:B))/100)*(_xlfn.XLOOKUP(Assessment!#REF!,Inherited!A:A,Inherited!C:C)))+(((100-(_xlfn.XLOOKUP(Assessment!#REF!,Inherited!A:A,Inherited!B:B)))/100)*IF(X118="1.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(100%)","100"))))))&gt;=66,(((_xlfn.XLOOKUP(Assessment!#REF!,Inherited!A:A,Inherited!B:B))/100)*(_xlfn.XLOOKUP(Assessment!#REF!,Inherited!A:A,Inherited!C:C)))+(((100-(_xlfn.XLOOKUP(Assessment!#REF!,Inherited!A:A,Inherited!B:B)))/100)*IF(X118="1.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(100%)","100"))))))&lt;=89),"75",IF((((_xlfn.XLOOKUP(Assessment!#REF!,Inherited!A:A,Inherited!B:B))/100)*(_xlfn.XLOOKUP(Assessment!#REF!,Inherited!A:A,Inherited!C:C)))+(((100-(_xlfn.XLOOKUP(Assessment!#REF!,Inherited!A:A,Inherited!B:B)))/100)*IF(X118="1. Non Compliant (0%)","0",IF(X118="2. Somewhat Compliant (25%)","25",IF(X118="3. Partially Compliant (50%)","50",IF(X118="4. Mostly Compliant (75%)","75",IF(X118="5. Fully Compliant (100%)","100"))))))&gt;=90,"100"))))))</f>
        <v>#N/A</v>
      </c>
      <c r="R118" s="1" t="e">
        <f>IF(MATCH(H118,Inherited!A:A),IF((((_xlfn.XLOOKUP(Assessment!#REF!,Inherited!A:A,Inherited!B:B))/100)*(_xlfn.XLOOKUP(Assessment!#REF!,Inherited!A:A,Inherited!D:D)))+(((100-(_xlfn.XLOOKUP(Assessment!#REF!,Inherited!A:A,Inherited!B:B)))/100)*IF(Y118="1.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(100%)","100"))))))&lt;=10,"0", IF(AND((((_xlfn.XLOOKUP(Assessment!#REF!,Inherited!A:A,Inherited!B:B))/100)*(_xlfn.XLOOKUP(Assessment!#REF!,Inherited!A:A,Inherited!D:D)))+(((100-(_xlfn.XLOOKUP(Assessment!#REF!,Inherited!A:A,Inherited!B:B)))/100)*IF(Y118="1.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(100%)","100"))))))&gt;=11,(((_xlfn.XLOOKUP(Assessment!#REF!,Inherited!A:A,Inherited!B:B))/100)*(_xlfn.XLOOKUP(Assessment!#REF!,Inherited!A:A,Inherited!D:D)))+(((100-(_xlfn.XLOOKUP(Assessment!#REF!,Inherited!A:A,Inherited!B:B)))/100)*IF(Y118="1.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(100%)","100"))))))&lt;=32),"25",IF(AND((((_xlfn.XLOOKUP(Assessment!#REF!,Inherited!A:A,Inherited!B:B))/100)*(_xlfn.XLOOKUP(Assessment!#REF!,Inherited!A:A,Inherited!D:D)))+(((100-(_xlfn.XLOOKUP(Assessment!#REF!,Inherited!A:A,Inherited!B:B)))/100)*IF(Y118="1.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(100%)","100"))))))&gt;=33,(((_xlfn.XLOOKUP(Assessment!#REF!,Inherited!A:A,Inherited!B:B))/100)*(_xlfn.XLOOKUP(Assessment!#REF!,Inherited!A:A,Inherited!D:D)))+(((100-(_xlfn.XLOOKUP(Assessment!#REF!,Inherited!A:A,Inherited!B:B)))/100)*IF(Y118="1.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(100%)","100"))))))&lt;=65),"50",IF(AND((((_xlfn.XLOOKUP(Assessment!#REF!,Inherited!A:A,Inherited!B:B))/100)*(_xlfn.XLOOKUP(Assessment!#REF!,Inherited!A:A,Inherited!D:D)))+(((100-(_xlfn.XLOOKUP(Assessment!#REF!,Inherited!A:A,Inherited!B:B)))/100)*IF(Y118="1.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(100%)","100"))))))&gt;=66,(((_xlfn.XLOOKUP(Assessment!#REF!,Inherited!A:A,Inherited!B:B))/100)*(_xlfn.XLOOKUP(Assessment!#REF!,Inherited!A:A,Inherited!D:D)))+(((100-(_xlfn.XLOOKUP(Assessment!#REF!,Inherited!A:A,Inherited!B:B)))/100)*IF(Y118="1.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(100%)","100"))))))&lt;=89),"75",IF((((_xlfn.XLOOKUP(Assessment!#REF!,Inherited!A:A,Inherited!B:B))/100)*(_xlfn.XLOOKUP(Assessment!#REF!,Inherited!A:A,Inherited!D:D)))+(((100-(_xlfn.XLOOKUP(Assessment!#REF!,Inherited!A:A,Inherited!B:B)))/100)*IF(Y118="1. Non Compliant (0%)","0",IF(Y118="2. Somewhat Compliant (25%)","25",IF(Y118="3. Partially Compliant (50%)","50",IF(Y118="4. Mostly Compliant (75%)","75",IF(Y118="5. Fully Compliant (100%)","100"))))))&gt;=90,"100"))))))</f>
        <v>#N/A</v>
      </c>
      <c r="S118" s="1" t="e">
        <f>IF(MATCH(H118,Inherited!A:A),IF((((_xlfn.XLOOKUP(Assessment!#REF!,Inherited!A:A,Inherited!B:B))/100)*(_xlfn.XLOOKUP(Assessment!#REF!,Inherited!A:A,Inherited!E:E)))+(((100-(_xlfn.XLOOKUP(Assessment!#REF!,Inherited!A:A,Inherited!B:B)))/100)*IF(Z118="1.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(100%)","100"))))))&lt;=10,"0", IF(AND((((_xlfn.XLOOKUP(Assessment!#REF!,Inherited!A:A,Inherited!B:B))/100)*(_xlfn.XLOOKUP(Assessment!#REF!,Inherited!A:A,Inherited!E:E)))+(((100-(_xlfn.XLOOKUP(Assessment!#REF!,Inherited!A:A,Inherited!B:B)))/100)*IF(Z118="1.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(100%)","100"))))))&gt;=11,(((_xlfn.XLOOKUP(Assessment!#REF!,Inherited!A:A,Inherited!B:B))/100)*(_xlfn.XLOOKUP(Assessment!#REF!,Inherited!A:A,Inherited!E:E)))+(((100-(_xlfn.XLOOKUP(Assessment!#REF!,Inherited!A:A,Inherited!B:B)))/100)*IF(Z118="1.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(100%)","100"))))))&lt;=32),"25",IF(AND((((_xlfn.XLOOKUP(Assessment!#REF!,Inherited!A:A,Inherited!B:B))/100)*(_xlfn.XLOOKUP(Assessment!#REF!,Inherited!A:A,Inherited!E:E)))+(((100-(_xlfn.XLOOKUP(Assessment!#REF!,Inherited!A:A,Inherited!B:B)))/100)*IF(Z118="1.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(100%)","100"))))))&gt;=33,(((_xlfn.XLOOKUP(Assessment!#REF!,Inherited!A:A,Inherited!B:B))/100)*(_xlfn.XLOOKUP(Assessment!#REF!,Inherited!A:A,Inherited!E:E)))+(((100-(_xlfn.XLOOKUP(Assessment!#REF!,Inherited!A:A,Inherited!B:B)))/100)*IF(Z118="1.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(100%)","100"))))))&lt;=65),"50",IF(AND((((_xlfn.XLOOKUP(Assessment!#REF!,Inherited!A:A,Inherited!B:B))/100)*(_xlfn.XLOOKUP(Assessment!#REF!,Inherited!A:A,Inherited!E:E)))+(((100-(_xlfn.XLOOKUP(Assessment!#REF!,Inherited!A:A,Inherited!B:B)))/100)*IF(Z118="1.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(100%)","100"))))))&gt;=66,(((_xlfn.XLOOKUP(Assessment!#REF!,Inherited!A:A,Inherited!B:B))/100)*(_xlfn.XLOOKUP(Assessment!#REF!,Inherited!A:A,Inherited!E:E)))+(((100-(_xlfn.XLOOKUP(Assessment!#REF!,Inherited!A:A,Inherited!B:B)))/100)*IF(Z118="1.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(100%)","100"))))))&lt;=89),"75",IF((((_xlfn.XLOOKUP(Assessment!#REF!,Inherited!A:A,Inherited!B:B))/100)*(_xlfn.XLOOKUP(Assessment!#REF!,Inherited!A:A,Inherited!E:E)))+(((100-(_xlfn.XLOOKUP(Assessment!#REF!,Inherited!A:A,Inherited!B:B)))/100)*IF(Z118="1. Non Compliant (0%)","0",IF(Z118="2. Somewhat Compliant (25%)","25",IF(Z118="3. Partially Compliant (50%)","50",IF(Z118="4. Mostly Compliant (75%)","75",IF(Z118="5. Fully Compliant (100%)","100"))))))&gt;=90,"100"))))))</f>
        <v>#N/A</v>
      </c>
      <c r="T118" s="1" t="e">
        <f>IF(MATCH(H118,Inherited!A:A),IF((((_xlfn.XLOOKUP(Assessment!#REF!,Inherited!A:A,Inherited!B:B))/100)*(_xlfn.XLOOKUP(Assessment!#REF!,Inherited!A:A,Inherited!F:F)))+(((100-(_xlfn.XLOOKUP(Assessment!#REF!,Inherited!A:A,Inherited!B:B)))/100)*IF(AA118="1.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(100%)","100"))))))&lt;=10,"0", IF(AND((((_xlfn.XLOOKUP(Assessment!#REF!,Inherited!A:A,Inherited!B:B))/100)*(_xlfn.XLOOKUP(Assessment!#REF!,Inherited!A:A,Inherited!F:F)))+(((100-(_xlfn.XLOOKUP(Assessment!#REF!,Inherited!A:A,Inherited!B:B)))/100)*IF(AA118="1.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(100%)","100"))))))&gt;=11,(((_xlfn.XLOOKUP(Assessment!#REF!,Inherited!A:A,Inherited!B:B))/100)*(_xlfn.XLOOKUP(Assessment!#REF!,Inherited!A:A,Inherited!F:F)))+(((100-(_xlfn.XLOOKUP(Assessment!#REF!,Inherited!A:A,Inherited!B:B)))/100)*IF(AA118="1.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(100%)","100"))))))&lt;=32),"25",IF(AND((((_xlfn.XLOOKUP(Assessment!#REF!,Inherited!A:A,Inherited!B:B))/100)*(_xlfn.XLOOKUP(Assessment!#REF!,Inherited!A:A,Inherited!F:F)))+(((100-(_xlfn.XLOOKUP(Assessment!#REF!,Inherited!A:A,Inherited!B:B)))/100)*IF(AA118="1.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(100%)","100"))))))&gt;=33,(((_xlfn.XLOOKUP(Assessment!#REF!,Inherited!A:A,Inherited!B:B))/100)*(_xlfn.XLOOKUP(Assessment!#REF!,Inherited!A:A,Inherited!F:F)))+(((100-(_xlfn.XLOOKUP(Assessment!#REF!,Inherited!A:A,Inherited!B:B)))/100)*IF(AA118="1.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(100%)","100"))))))&lt;=65),"50",IF(AND((((_xlfn.XLOOKUP(Assessment!#REF!,Inherited!A:A,Inherited!B:B))/100)*(_xlfn.XLOOKUP(Assessment!#REF!,Inherited!A:A,Inherited!F:F)))+(((100-(_xlfn.XLOOKUP(Assessment!#REF!,Inherited!A:A,Inherited!B:B)))/100)*IF(AA118="1.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(100%)","100"))))))&gt;=66,(((_xlfn.XLOOKUP(Assessment!#REF!,Inherited!A:A,Inherited!B:B))/100)*(_xlfn.XLOOKUP(Assessment!#REF!,Inherited!A:A,Inherited!F:F)))+(((100-(_xlfn.XLOOKUP(Assessment!#REF!,Inherited!A:A,Inherited!B:B)))/100)*IF(AA118="1.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(100%)","100"))))))&lt;=89),"75",IF((((_xlfn.XLOOKUP(Assessment!#REF!,Inherited!A:A,Inherited!B:B))/100)*(_xlfn.XLOOKUP(Assessment!#REF!,Inherited!A:A,Inherited!F:F)))+(((100-(_xlfn.XLOOKUP(Assessment!#REF!,Inherited!A:A,Inherited!B:B)))/100)*IF(AA118="1. Non Compliant (0%)","0",IF(AA118="2. Somewhat Compliant (25%)","25",IF(AA118="3. Partially Compliant (50%)","50",IF(AA118="4. Mostly Compliant (75%)","75",IF(AA118="5. Fully Compliant (100%)","100"))))))&gt;=90,"100"))))))</f>
        <v>#N/A</v>
      </c>
      <c r="U118" s="1" t="e">
        <f>IF(MATCH(H118,Inherited!A:A),IF((((_xlfn.XLOOKUP(Assessment!#REF!,Inherited!A:A,Inherited!B:B))/100)*(_xlfn.XLOOKUP(Assessment!#REF!,Inherited!A:A,Inherited!G:G)))+(((100-(_xlfn.XLOOKUP(Assessment!#REF!,Inherited!A:A,Inherited!B:B)))/100)*IF(AB118="1.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(100%)","100"))))))&lt;=10,"0", IF(AND((((_xlfn.XLOOKUP(Assessment!#REF!,Inherited!A:A,Inherited!B:B))/100)*(_xlfn.XLOOKUP(Assessment!#REF!,Inherited!A:A,Inherited!G:G)))+(((100-(_xlfn.XLOOKUP(Assessment!#REF!,Inherited!A:A,Inherited!B:B)))/100)*IF(AB118="1.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(100%)","100"))))))&gt;=11,(((_xlfn.XLOOKUP(Assessment!#REF!,Inherited!A:A,Inherited!B:B))/100)*(_xlfn.XLOOKUP(Assessment!#REF!,Inherited!A:A,Inherited!G:G)))+(((100-(_xlfn.XLOOKUP(Assessment!#REF!,Inherited!A:A,Inherited!B:B)))/100)*IF(AB118="1.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(100%)","100"))))))&lt;=32),"25",IF(AND((((_xlfn.XLOOKUP(Assessment!#REF!,Inherited!A:A,Inherited!B:B))/100)*(_xlfn.XLOOKUP(Assessment!#REF!,Inherited!A:A,Inherited!G:G)))+(((100-(_xlfn.XLOOKUP(Assessment!#REF!,Inherited!A:A,Inherited!B:B)))/100)*IF(AB118="1.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(100%)","100"))))))&gt;=33,(((_xlfn.XLOOKUP(Assessment!#REF!,Inherited!A:A,Inherited!B:B))/100)*(_xlfn.XLOOKUP(Assessment!#REF!,Inherited!A:A,Inherited!G:G)))+(((100-(_xlfn.XLOOKUP(Assessment!#REF!,Inherited!A:A,Inherited!B:B)))/100)*IF(AB118="1.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(100%)","100"))))))&lt;=65),"50",IF(AND((((_xlfn.XLOOKUP(Assessment!#REF!,Inherited!A:A,Inherited!B:B))/100)*(_xlfn.XLOOKUP(Assessment!#REF!,Inherited!A:A,Inherited!G:G)))+(((100-(_xlfn.XLOOKUP(Assessment!#REF!,Inherited!A:A,Inherited!B:B)))/100)*IF(AB118="1.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(100%)","100"))))))&gt;=66,(((_xlfn.XLOOKUP(Assessment!#REF!,Inherited!A:A,Inherited!B:B))/100)*(_xlfn.XLOOKUP(Assessment!#REF!,Inherited!A:A,Inherited!G:G)))+(((100-(_xlfn.XLOOKUP(Assessment!#REF!,Inherited!A:A,Inherited!B:B)))/100)*IF(AB118="1.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(100%)","100"))))))&lt;=89),"75",IF((((_xlfn.XLOOKUP(Assessment!#REF!,Inherited!A:A,Inherited!B:B))/100)*(_xlfn.XLOOKUP(Assessment!#REF!,Inherited!A:A,Inherited!G:G)))+(((100-(_xlfn.XLOOKUP(Assessment!#REF!,Inherited!A:A,Inherited!B:B)))/100)*IF(AB118="1. Non Compliant (0%)","0",IF(AB118="2. Somewhat Compliant (25%)","25",IF(AB118="3. Partially Compliant (50%)","50",IF(AB118="4. Mostly Compliant (75%)","75",IF(AB118="5. Fully Compliant (100%)","100"))))))&gt;=90,"100"))))))</f>
        <v>#N/A</v>
      </c>
      <c r="V118" s="55" t="s">
        <v>85</v>
      </c>
      <c r="W118" s="55"/>
      <c r="X118" s="55"/>
      <c r="Y118" s="55"/>
      <c r="Z118" s="55" t="s">
        <v>10873</v>
      </c>
      <c r="AA118" s="55"/>
      <c r="AB118" s="55"/>
      <c r="AK118" s="1" t="s">
        <v>10978</v>
      </c>
      <c r="AL118" s="1" t="s">
        <v>10979</v>
      </c>
      <c r="AP118" s="1" t="s">
        <v>11090</v>
      </c>
      <c r="AX118" s="3" t="str">
        <f>_xlfn.CONCAT("A-LIGN finished its review of this control on ",AR118, " during the scheduled fieldwork window (",Intro!$B$4,")."&amp; CHAR(10)&amp; CHAR(10))</f>
        <v xml:space="preserve">A-LIGN finished its review of this control on  during the scheduled fieldwork window (Fieldwork: xx/xx/xxxx - xx/xx/xxxx).
</v>
      </c>
      <c r="AY118" s="3" t="str">
        <f t="shared" si="251"/>
        <v/>
      </c>
      <c r="AZ118" s="3" t="str">
        <f t="shared" si="252"/>
        <v/>
      </c>
      <c r="BA118" s="3" t="str">
        <f t="shared" si="253"/>
        <v/>
      </c>
      <c r="BB118" s="3" t="str">
        <f t="shared" si="254"/>
        <v xml:space="preserve">Inquired of the following workforce member: 
Michael Wood - VP of AI Engineering
Kyle Smith - IT Operations and AI Expert 
Inquiry lead to the following conclusions: 
AI Model cards are not maintained at this time, however, the organization is not at this time internally developing an AI system by the letter of the control requirement 
</v>
      </c>
      <c r="BC118" s="3" t="str">
        <f t="shared" si="255"/>
        <v/>
      </c>
      <c r="BD118" s="3" t="str">
        <f t="shared" si="256"/>
        <v xml:space="preserve">Examined the following evidence during fieldwork:
Reviewed evidence addressed the requirement statement.
Reviewed evidence exception note: 
Gap: 
AI Model cards are not maintained at this time, nor are they reviewed prior to the deployment of AI models in production applications
Recommendation:
Management should ensure that for any internally produced AI system, AI Model cards are developed, maintained, and reviewed prior to deployment.
</v>
      </c>
      <c r="BE118" s="3" t="str">
        <f t="shared" si="257"/>
        <v/>
      </c>
      <c r="BF118" s="3" t="str">
        <f t="shared" si="258"/>
        <v/>
      </c>
      <c r="BG118" s="3" t="str">
        <f>_xlfn.CONCAT((IF((COUNTIF('Sample Tables'!B:B,"")&gt;0)=TRUE,_xlfn.CONCAT("",""),IF((COUNTIF('Sample Tables'!B:B,"")&gt;0)=FALSE,""))),)</f>
        <v/>
      </c>
      <c r="BH118" s="3" t="str">
        <f t="shared" si="25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Model cards are not maintained at this time, however, the organization is not at this time internally developing an AI system by the letter of the control requirement 
Examined the following evidence during fieldwork:
Reviewed evidence addressed the requirement statement.
Reviewed evidence exception note: 
Gap: 
AI Model cards are not maintained at this time, nor are they reviewed prior to the deployment of AI models in production applications
Recommendation:
Management should ensure that for any internally produced AI system, AI Model cards are developed, maintained, and reviewed prior to deployment.
</v>
      </c>
    </row>
    <row r="119" spans="3:60" ht="288.75" customHeight="1" x14ac:dyDescent="0.35">
      <c r="C119" s="1">
        <f t="shared" si="250"/>
        <v>20</v>
      </c>
      <c r="D119" s="5" t="str">
        <f>IF(AND((_xlfn.XLOOKUP(J119,'Fields &amp; Revisions'!$H:$H,'Fields &amp; Revisions'!$I:$I))&lt;70.99,(OR(Z119="4. Mostly Compliant (75%)",Z119="3. Partially Compliant (50%)",Z119="2. Somewhat Compliant (25%)",Z119="1. Non Compliant (0%)"))),"Yes","No")</f>
        <v>Yes</v>
      </c>
      <c r="E119" s="5" t="str">
        <f>IF(ISERROR(VLOOKUP(H119,Scope!A:A,1,FALSE)),"No","Yes")</f>
        <v>Yes</v>
      </c>
      <c r="F119" s="1" t="s">
        <v>3786</v>
      </c>
      <c r="G119" s="53" t="s">
        <v>3815</v>
      </c>
      <c r="H119" s="53" t="s">
        <v>3816</v>
      </c>
      <c r="I119" s="5" t="s">
        <v>93</v>
      </c>
      <c r="J119" s="1" t="s">
        <v>3817</v>
      </c>
      <c r="K119" s="54" t="s">
        <v>3818</v>
      </c>
      <c r="L119" s="1" t="s">
        <v>3819</v>
      </c>
      <c r="M119" s="1" t="s">
        <v>3820</v>
      </c>
      <c r="N119" s="5" t="s">
        <v>98</v>
      </c>
      <c r="O119" s="1" t="str">
        <f>_xlfn.XLOOKUP(G119,SRMs!$A:$A,SRMs!$D:$D)</f>
        <v>NO INHERITANCE</v>
      </c>
      <c r="P119" s="1" t="str">
        <f>IFERROR(VLOOKUP(H119,Inherited!A:B,2,FALSE),"")</f>
        <v/>
      </c>
      <c r="Q119" s="1" t="e">
        <f>IF(MATCH(H119,Inherited!A:A),IF((((_xlfn.XLOOKUP(Assessment!#REF!,Inherited!A:A,Inherited!B:B))/100)*(_xlfn.XLOOKUP(Assessment!#REF!,Inherited!A:A,Inherited!C:C)))+(((100-(_xlfn.XLOOKUP(Assessment!#REF!,Inherited!A:A,Inherited!B:B)))/100)*IF(X119="1.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(100%)","100"))))))&lt;=10,"0", IF(AND((((_xlfn.XLOOKUP(Assessment!#REF!,Inherited!A:A,Inherited!B:B))/100)*(_xlfn.XLOOKUP(Assessment!#REF!,Inherited!A:A,Inherited!C:C)))+(((100-(_xlfn.XLOOKUP(Assessment!#REF!,Inherited!A:A,Inherited!B:B)))/100)*IF(X119="1.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(100%)","100"))))))&gt;=11,(((_xlfn.XLOOKUP(Assessment!#REF!,Inherited!A:A,Inherited!B:B))/100)*(_xlfn.XLOOKUP(Assessment!#REF!,Inherited!A:A,Inherited!C:C)))+(((100-(_xlfn.XLOOKUP(Assessment!#REF!,Inherited!A:A,Inherited!B:B)))/100)*IF(X119="1.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(100%)","100"))))))&lt;=32),"25",IF(AND((((_xlfn.XLOOKUP(Assessment!#REF!,Inherited!A:A,Inherited!B:B))/100)*(_xlfn.XLOOKUP(Assessment!#REF!,Inherited!A:A,Inherited!C:C)))+(((100-(_xlfn.XLOOKUP(Assessment!#REF!,Inherited!A:A,Inherited!B:B)))/100)*IF(X119="1.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(100%)","100"))))))&gt;=33,(((_xlfn.XLOOKUP(Assessment!#REF!,Inherited!A:A,Inherited!B:B))/100)*(_xlfn.XLOOKUP(Assessment!#REF!,Inherited!A:A,Inherited!C:C)))+(((100-(_xlfn.XLOOKUP(Assessment!#REF!,Inherited!A:A,Inherited!B:B)))/100)*IF(X119="1.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(100%)","100"))))))&lt;=65),"50",IF(AND((((_xlfn.XLOOKUP(Assessment!#REF!,Inherited!A:A,Inherited!B:B))/100)*(_xlfn.XLOOKUP(Assessment!#REF!,Inherited!A:A,Inherited!C:C)))+(((100-(_xlfn.XLOOKUP(Assessment!#REF!,Inherited!A:A,Inherited!B:B)))/100)*IF(X119="1.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(100%)","100"))))))&gt;=66,(((_xlfn.XLOOKUP(Assessment!#REF!,Inherited!A:A,Inherited!B:B))/100)*(_xlfn.XLOOKUP(Assessment!#REF!,Inherited!A:A,Inherited!C:C)))+(((100-(_xlfn.XLOOKUP(Assessment!#REF!,Inherited!A:A,Inherited!B:B)))/100)*IF(X119="1.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(100%)","100"))))))&lt;=89),"75",IF((((_xlfn.XLOOKUP(Assessment!#REF!,Inherited!A:A,Inherited!B:B))/100)*(_xlfn.XLOOKUP(Assessment!#REF!,Inherited!A:A,Inherited!C:C)))+(((100-(_xlfn.XLOOKUP(Assessment!#REF!,Inherited!A:A,Inherited!B:B)))/100)*IF(X119="1. Non Compliant (0%)","0",IF(X119="2. Somewhat Compliant (25%)","25",IF(X119="3. Partially Compliant (50%)","50",IF(X119="4. Mostly Compliant (75%)","75",IF(X119="5. Fully Compliant (100%)","100"))))))&gt;=90,"100"))))))</f>
        <v>#N/A</v>
      </c>
      <c r="R119" s="1" t="e">
        <f>IF(MATCH(H119,Inherited!A:A),IF((((_xlfn.XLOOKUP(Assessment!#REF!,Inherited!A:A,Inherited!B:B))/100)*(_xlfn.XLOOKUP(Assessment!#REF!,Inherited!A:A,Inherited!D:D)))+(((100-(_xlfn.XLOOKUP(Assessment!#REF!,Inherited!A:A,Inherited!B:B)))/100)*IF(Y119="1.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(100%)","100"))))))&lt;=10,"0", IF(AND((((_xlfn.XLOOKUP(Assessment!#REF!,Inherited!A:A,Inherited!B:B))/100)*(_xlfn.XLOOKUP(Assessment!#REF!,Inherited!A:A,Inherited!D:D)))+(((100-(_xlfn.XLOOKUP(Assessment!#REF!,Inherited!A:A,Inherited!B:B)))/100)*IF(Y119="1.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(100%)","100"))))))&gt;=11,(((_xlfn.XLOOKUP(Assessment!#REF!,Inherited!A:A,Inherited!B:B))/100)*(_xlfn.XLOOKUP(Assessment!#REF!,Inherited!A:A,Inherited!D:D)))+(((100-(_xlfn.XLOOKUP(Assessment!#REF!,Inherited!A:A,Inherited!B:B)))/100)*IF(Y119="1.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(100%)","100"))))))&lt;=32),"25",IF(AND((((_xlfn.XLOOKUP(Assessment!#REF!,Inherited!A:A,Inherited!B:B))/100)*(_xlfn.XLOOKUP(Assessment!#REF!,Inherited!A:A,Inherited!D:D)))+(((100-(_xlfn.XLOOKUP(Assessment!#REF!,Inherited!A:A,Inherited!B:B)))/100)*IF(Y119="1.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(100%)","100"))))))&gt;=33,(((_xlfn.XLOOKUP(Assessment!#REF!,Inherited!A:A,Inherited!B:B))/100)*(_xlfn.XLOOKUP(Assessment!#REF!,Inherited!A:A,Inherited!D:D)))+(((100-(_xlfn.XLOOKUP(Assessment!#REF!,Inherited!A:A,Inherited!B:B)))/100)*IF(Y119="1.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(100%)","100"))))))&lt;=65),"50",IF(AND((((_xlfn.XLOOKUP(Assessment!#REF!,Inherited!A:A,Inherited!B:B))/100)*(_xlfn.XLOOKUP(Assessment!#REF!,Inherited!A:A,Inherited!D:D)))+(((100-(_xlfn.XLOOKUP(Assessment!#REF!,Inherited!A:A,Inherited!B:B)))/100)*IF(Y119="1.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(100%)","100"))))))&gt;=66,(((_xlfn.XLOOKUP(Assessment!#REF!,Inherited!A:A,Inherited!B:B))/100)*(_xlfn.XLOOKUP(Assessment!#REF!,Inherited!A:A,Inherited!D:D)))+(((100-(_xlfn.XLOOKUP(Assessment!#REF!,Inherited!A:A,Inherited!B:B)))/100)*IF(Y119="1.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(100%)","100"))))))&lt;=89),"75",IF((((_xlfn.XLOOKUP(Assessment!#REF!,Inherited!A:A,Inherited!B:B))/100)*(_xlfn.XLOOKUP(Assessment!#REF!,Inherited!A:A,Inherited!D:D)))+(((100-(_xlfn.XLOOKUP(Assessment!#REF!,Inherited!A:A,Inherited!B:B)))/100)*IF(Y119="1. Non Compliant (0%)","0",IF(Y119="2. Somewhat Compliant (25%)","25",IF(Y119="3. Partially Compliant (50%)","50",IF(Y119="4. Mostly Compliant (75%)","75",IF(Y119="5. Fully Compliant (100%)","100"))))))&gt;=90,"100"))))))</f>
        <v>#N/A</v>
      </c>
      <c r="S119" s="1" t="e">
        <f>IF(MATCH(H119,Inherited!A:A),IF((((_xlfn.XLOOKUP(Assessment!#REF!,Inherited!A:A,Inherited!B:B))/100)*(_xlfn.XLOOKUP(Assessment!#REF!,Inherited!A:A,Inherited!E:E)))+(((100-(_xlfn.XLOOKUP(Assessment!#REF!,Inherited!A:A,Inherited!B:B)))/100)*IF(Z119="1.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(100%)","100"))))))&lt;=10,"0", IF(AND((((_xlfn.XLOOKUP(Assessment!#REF!,Inherited!A:A,Inherited!B:B))/100)*(_xlfn.XLOOKUP(Assessment!#REF!,Inherited!A:A,Inherited!E:E)))+(((100-(_xlfn.XLOOKUP(Assessment!#REF!,Inherited!A:A,Inherited!B:B)))/100)*IF(Z119="1.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(100%)","100"))))))&gt;=11,(((_xlfn.XLOOKUP(Assessment!#REF!,Inherited!A:A,Inherited!B:B))/100)*(_xlfn.XLOOKUP(Assessment!#REF!,Inherited!A:A,Inherited!E:E)))+(((100-(_xlfn.XLOOKUP(Assessment!#REF!,Inherited!A:A,Inherited!B:B)))/100)*IF(Z119="1.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(100%)","100"))))))&lt;=32),"25",IF(AND((((_xlfn.XLOOKUP(Assessment!#REF!,Inherited!A:A,Inherited!B:B))/100)*(_xlfn.XLOOKUP(Assessment!#REF!,Inherited!A:A,Inherited!E:E)))+(((100-(_xlfn.XLOOKUP(Assessment!#REF!,Inherited!A:A,Inherited!B:B)))/100)*IF(Z119="1.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(100%)","100"))))))&gt;=33,(((_xlfn.XLOOKUP(Assessment!#REF!,Inherited!A:A,Inherited!B:B))/100)*(_xlfn.XLOOKUP(Assessment!#REF!,Inherited!A:A,Inherited!E:E)))+(((100-(_xlfn.XLOOKUP(Assessment!#REF!,Inherited!A:A,Inherited!B:B)))/100)*IF(Z119="1.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(100%)","100"))))))&lt;=65),"50",IF(AND((((_xlfn.XLOOKUP(Assessment!#REF!,Inherited!A:A,Inherited!B:B))/100)*(_xlfn.XLOOKUP(Assessment!#REF!,Inherited!A:A,Inherited!E:E)))+(((100-(_xlfn.XLOOKUP(Assessment!#REF!,Inherited!A:A,Inherited!B:B)))/100)*IF(Z119="1.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(100%)","100"))))))&gt;=66,(((_xlfn.XLOOKUP(Assessment!#REF!,Inherited!A:A,Inherited!B:B))/100)*(_xlfn.XLOOKUP(Assessment!#REF!,Inherited!A:A,Inherited!E:E)))+(((100-(_xlfn.XLOOKUP(Assessment!#REF!,Inherited!A:A,Inherited!B:B)))/100)*IF(Z119="1.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(100%)","100"))))))&lt;=89),"75",IF((((_xlfn.XLOOKUP(Assessment!#REF!,Inherited!A:A,Inherited!B:B))/100)*(_xlfn.XLOOKUP(Assessment!#REF!,Inherited!A:A,Inherited!E:E)))+(((100-(_xlfn.XLOOKUP(Assessment!#REF!,Inherited!A:A,Inherited!B:B)))/100)*IF(Z119="1. Non Compliant (0%)","0",IF(Z119="2. Somewhat Compliant (25%)","25",IF(Z119="3. Partially Compliant (50%)","50",IF(Z119="4. Mostly Compliant (75%)","75",IF(Z119="5. Fully Compliant (100%)","100"))))))&gt;=90,"100"))))))</f>
        <v>#N/A</v>
      </c>
      <c r="T119" s="1" t="e">
        <f>IF(MATCH(H119,Inherited!A:A),IF((((_xlfn.XLOOKUP(Assessment!#REF!,Inherited!A:A,Inherited!B:B))/100)*(_xlfn.XLOOKUP(Assessment!#REF!,Inherited!A:A,Inherited!F:F)))+(((100-(_xlfn.XLOOKUP(Assessment!#REF!,Inherited!A:A,Inherited!B:B)))/100)*IF(AA119="1.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(100%)","100"))))))&lt;=10,"0", IF(AND((((_xlfn.XLOOKUP(Assessment!#REF!,Inherited!A:A,Inherited!B:B))/100)*(_xlfn.XLOOKUP(Assessment!#REF!,Inherited!A:A,Inherited!F:F)))+(((100-(_xlfn.XLOOKUP(Assessment!#REF!,Inherited!A:A,Inherited!B:B)))/100)*IF(AA119="1.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(100%)","100"))))))&gt;=11,(((_xlfn.XLOOKUP(Assessment!#REF!,Inherited!A:A,Inherited!B:B))/100)*(_xlfn.XLOOKUP(Assessment!#REF!,Inherited!A:A,Inherited!F:F)))+(((100-(_xlfn.XLOOKUP(Assessment!#REF!,Inherited!A:A,Inherited!B:B)))/100)*IF(AA119="1.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(100%)","100"))))))&lt;=32),"25",IF(AND((((_xlfn.XLOOKUP(Assessment!#REF!,Inherited!A:A,Inherited!B:B))/100)*(_xlfn.XLOOKUP(Assessment!#REF!,Inherited!A:A,Inherited!F:F)))+(((100-(_xlfn.XLOOKUP(Assessment!#REF!,Inherited!A:A,Inherited!B:B)))/100)*IF(AA119="1.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(100%)","100"))))))&gt;=33,(((_xlfn.XLOOKUP(Assessment!#REF!,Inherited!A:A,Inherited!B:B))/100)*(_xlfn.XLOOKUP(Assessment!#REF!,Inherited!A:A,Inherited!F:F)))+(((100-(_xlfn.XLOOKUP(Assessment!#REF!,Inherited!A:A,Inherited!B:B)))/100)*IF(AA119="1.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(100%)","100"))))))&lt;=65),"50",IF(AND((((_xlfn.XLOOKUP(Assessment!#REF!,Inherited!A:A,Inherited!B:B))/100)*(_xlfn.XLOOKUP(Assessment!#REF!,Inherited!A:A,Inherited!F:F)))+(((100-(_xlfn.XLOOKUP(Assessment!#REF!,Inherited!A:A,Inherited!B:B)))/100)*IF(AA119="1.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(100%)","100"))))))&gt;=66,(((_xlfn.XLOOKUP(Assessment!#REF!,Inherited!A:A,Inherited!B:B))/100)*(_xlfn.XLOOKUP(Assessment!#REF!,Inherited!A:A,Inherited!F:F)))+(((100-(_xlfn.XLOOKUP(Assessment!#REF!,Inherited!A:A,Inherited!B:B)))/100)*IF(AA119="1.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(100%)","100"))))))&lt;=89),"75",IF((((_xlfn.XLOOKUP(Assessment!#REF!,Inherited!A:A,Inherited!B:B))/100)*(_xlfn.XLOOKUP(Assessment!#REF!,Inherited!A:A,Inherited!F:F)))+(((100-(_xlfn.XLOOKUP(Assessment!#REF!,Inherited!A:A,Inherited!B:B)))/100)*IF(AA119="1. Non Compliant (0%)","0",IF(AA119="2. Somewhat Compliant (25%)","25",IF(AA119="3. Partially Compliant (50%)","50",IF(AA119="4. Mostly Compliant (75%)","75",IF(AA119="5. Fully Compliant (100%)","100"))))))&gt;=90,"100"))))))</f>
        <v>#N/A</v>
      </c>
      <c r="U119" s="1" t="e">
        <f>IF(MATCH(H119,Inherited!A:A),IF((((_xlfn.XLOOKUP(Assessment!#REF!,Inherited!A:A,Inherited!B:B))/100)*(_xlfn.XLOOKUP(Assessment!#REF!,Inherited!A:A,Inherited!G:G)))+(((100-(_xlfn.XLOOKUP(Assessment!#REF!,Inherited!A:A,Inherited!B:B)))/100)*IF(AB119="1.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(100%)","100"))))))&lt;=10,"0", IF(AND((((_xlfn.XLOOKUP(Assessment!#REF!,Inherited!A:A,Inherited!B:B))/100)*(_xlfn.XLOOKUP(Assessment!#REF!,Inherited!A:A,Inherited!G:G)))+(((100-(_xlfn.XLOOKUP(Assessment!#REF!,Inherited!A:A,Inherited!B:B)))/100)*IF(AB119="1.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(100%)","100"))))))&gt;=11,(((_xlfn.XLOOKUP(Assessment!#REF!,Inherited!A:A,Inherited!B:B))/100)*(_xlfn.XLOOKUP(Assessment!#REF!,Inherited!A:A,Inherited!G:G)))+(((100-(_xlfn.XLOOKUP(Assessment!#REF!,Inherited!A:A,Inherited!B:B)))/100)*IF(AB119="1.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(100%)","100"))))))&lt;=32),"25",IF(AND((((_xlfn.XLOOKUP(Assessment!#REF!,Inherited!A:A,Inherited!B:B))/100)*(_xlfn.XLOOKUP(Assessment!#REF!,Inherited!A:A,Inherited!G:G)))+(((100-(_xlfn.XLOOKUP(Assessment!#REF!,Inherited!A:A,Inherited!B:B)))/100)*IF(AB119="1.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(100%)","100"))))))&gt;=33,(((_xlfn.XLOOKUP(Assessment!#REF!,Inherited!A:A,Inherited!B:B))/100)*(_xlfn.XLOOKUP(Assessment!#REF!,Inherited!A:A,Inherited!G:G)))+(((100-(_xlfn.XLOOKUP(Assessment!#REF!,Inherited!A:A,Inherited!B:B)))/100)*IF(AB119="1.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(100%)","100"))))))&lt;=65),"50",IF(AND((((_xlfn.XLOOKUP(Assessment!#REF!,Inherited!A:A,Inherited!B:B))/100)*(_xlfn.XLOOKUP(Assessment!#REF!,Inherited!A:A,Inherited!G:G)))+(((100-(_xlfn.XLOOKUP(Assessment!#REF!,Inherited!A:A,Inherited!B:B)))/100)*IF(AB119="1.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(100%)","100"))))))&gt;=66,(((_xlfn.XLOOKUP(Assessment!#REF!,Inherited!A:A,Inherited!B:B))/100)*(_xlfn.XLOOKUP(Assessment!#REF!,Inherited!A:A,Inherited!G:G)))+(((100-(_xlfn.XLOOKUP(Assessment!#REF!,Inherited!A:A,Inherited!B:B)))/100)*IF(AB119="1.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(100%)","100"))))))&lt;=89),"75",IF((((_xlfn.XLOOKUP(Assessment!#REF!,Inherited!A:A,Inherited!B:B))/100)*(_xlfn.XLOOKUP(Assessment!#REF!,Inherited!A:A,Inherited!G:G)))+(((100-(_xlfn.XLOOKUP(Assessment!#REF!,Inherited!A:A,Inherited!B:B)))/100)*IF(AB119="1. Non Compliant (0%)","0",IF(AB119="2. Somewhat Compliant (25%)","25",IF(AB119="3. Partially Compliant (50%)","50",IF(AB119="4. Mostly Compliant (75%)","75",IF(AB119="5. Fully Compliant (100%)","100"))))))&gt;=90,"100"))))))</f>
        <v>#N/A</v>
      </c>
      <c r="V119" s="55" t="s">
        <v>85</v>
      </c>
      <c r="W119" s="55"/>
      <c r="X119" s="55"/>
      <c r="Y119" s="55"/>
      <c r="Z119" s="55" t="s">
        <v>88</v>
      </c>
      <c r="AA119" s="55"/>
      <c r="AB119" s="55"/>
      <c r="AK119" s="1" t="s">
        <v>10978</v>
      </c>
      <c r="AL119" s="1" t="s">
        <v>10994</v>
      </c>
      <c r="AP119" s="1" t="s">
        <v>11091</v>
      </c>
      <c r="AX119" s="3" t="str">
        <f>_xlfn.CONCAT("A-LIGN finished its review of this control on ",AR119, " during the scheduled fieldwork window (",Intro!$B$4,")."&amp; CHAR(10)&amp; CHAR(10))</f>
        <v xml:space="preserve">A-LIGN finished its review of this control on  during the scheduled fieldwork window (Fieldwork: xx/xx/xxxx - xx/xx/xxxx).
</v>
      </c>
      <c r="AY119" s="3" t="str">
        <f t="shared" si="251"/>
        <v/>
      </c>
      <c r="AZ119" s="3" t="str">
        <f t="shared" si="252"/>
        <v/>
      </c>
      <c r="BA119" s="3" t="str">
        <f t="shared" si="253"/>
        <v/>
      </c>
      <c r="BB119" s="3" t="str">
        <f t="shared" si="254"/>
        <v xml:space="preserve">Inquired of the following workforce member: 
Michael Wood - VP of AI Engineering
Kyle Smith - IT Operations and AI Expert 
Inquiry lead to the following conclusions: 
Public SLA's are maintained by Google for Vertex AI and Gemini
Note: All contracts and agreements with Google will be evaluated against the use of Vertex AI and Gemini. Merge to review Zilo for contracts and agreements 
</v>
      </c>
      <c r="BC119" s="3" t="str">
        <f t="shared" si="255"/>
        <v/>
      </c>
      <c r="BD119" s="3" t="str">
        <f t="shared" si="256"/>
        <v xml:space="preserve">Examined the following evidence during fieldwork:
Reviewed evidence addressed the requirement statement.
Reviewed evidence exception note: 
Gap: 
Assurance could not be obtained demonstrating that contracts and agreements with Google outline the details of the requirement statement. 
Recommendation:
Management should ensure that contracts and agreements with Google consider the following:
Provide evidence that an agreement was executed that included security requirements for AI models for all selected samples.
Provide evidence that an agreement was executed that included security requirements for AI datasets for all selected samples.
Provide evidence that an agreement was executed that included security requirements for AI software packages for all selected samples.
Provide evidence that an agreement was executed that included security requirements for AI platforms and computing infrastructure for all selected samples.
Provide evidence that an agreement was executed that included security requirements for AI language model tools for all selected samples.
Provide evidence that an agreement was executed that included contracted AI system-related services for all selected samples.
</v>
      </c>
      <c r="BE119" s="3" t="str">
        <f t="shared" si="257"/>
        <v/>
      </c>
      <c r="BF119" s="3" t="str">
        <f t="shared" si="258"/>
        <v/>
      </c>
      <c r="BG119" s="3" t="str">
        <f>_xlfn.CONCAT((IF((COUNTIF('Sample Tables'!B:B,"")&gt;0)=TRUE,_xlfn.CONCAT("",""),IF((COUNTIF('Sample Tables'!B:B,"")&gt;0)=FALSE,""))),)</f>
        <v/>
      </c>
      <c r="BH119" s="3" t="str">
        <f t="shared" si="25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Public SLA's are maintained by Google for Vertex AI and Gemini
Note: All contracts and agreements with Google will be evaluated against the use of Vertex AI and Gemini. Merge to review Zilo for contracts and agreements 
Examined the following evidence during fieldwork:
Reviewed evidence addressed the requirement statement.
Reviewed evidence exception note: 
Gap: 
Assurance could not be obtained demonstrating that contracts and agreements with Google outline the details of the requirement statement. 
Recommendation:
Management should ensure that contracts and agreements with Google consider the following:
Provide evidence that an agreement was executed that included security requirements for AI models for all selected samples.
Provide evidence that an agreement was executed that included security requirements for AI datasets for all selected samples.
Provide evidence that an agreement was executed that included security requirements for AI software packages for all selected samples.
Provide evidence that an agreement was executed that included security requirements for AI platforms and computing infrastructure for all selected samples.
Provide evidence that an agreement was executed that included security requirements for AI language model tools for all selected samples.
Provide evidence that an agreement was executed that included contracted AI system-related services for all selected samples.
</v>
      </c>
    </row>
    <row r="120" spans="3:60" ht="393.75" customHeight="1" x14ac:dyDescent="0.35">
      <c r="C120" s="1">
        <f t="shared" si="250"/>
        <v>20</v>
      </c>
      <c r="D120" s="5" t="str">
        <f>IF(AND((_xlfn.XLOOKUP(J120,'Fields &amp; Revisions'!$H:$H,'Fields &amp; Revisions'!$I:$I))&lt;70.99,(OR(Z120="4. Mostly Compliant (75%)",Z120="3. Partially Compliant (50%)",Z120="2. Somewhat Compliant (25%)",Z120="1. Non Compliant (0%)"))),"Yes","No")</f>
        <v>Yes</v>
      </c>
      <c r="E120" s="5" t="str">
        <f>IF(ISERROR(VLOOKUP(H120,Scope!A:A,1,FALSE)),"No","Yes")</f>
        <v>Yes</v>
      </c>
      <c r="F120" s="1" t="s">
        <v>3786</v>
      </c>
      <c r="G120" s="53" t="s">
        <v>3852</v>
      </c>
      <c r="H120" s="53" t="s">
        <v>3853</v>
      </c>
      <c r="I120" s="5" t="s">
        <v>93</v>
      </c>
      <c r="J120" s="1" t="s">
        <v>1777</v>
      </c>
      <c r="K120" s="54" t="s">
        <v>3854</v>
      </c>
      <c r="L120" s="1" t="s">
        <v>3855</v>
      </c>
      <c r="M120" s="1" t="s">
        <v>3856</v>
      </c>
      <c r="N120" s="5" t="s">
        <v>98</v>
      </c>
      <c r="O120" s="1" t="str">
        <f>_xlfn.XLOOKUP(G120,SRMs!$A:$A,SRMs!$D:$D)</f>
        <v>NO INHERITANCE</v>
      </c>
      <c r="P120" s="1" t="str">
        <f>IFERROR(VLOOKUP(H120,Inherited!A:B,2,FALSE),"")</f>
        <v/>
      </c>
      <c r="Q120" s="1" t="e">
        <f>IF(MATCH(H120,Inherited!A:A),IF((((_xlfn.XLOOKUP(Assessment!#REF!,Inherited!A:A,Inherited!B:B))/100)*(_xlfn.XLOOKUP(Assessment!#REF!,Inherited!A:A,Inherited!C:C)))+(((100-(_xlfn.XLOOKUP(Assessment!#REF!,Inherited!A:A,Inherited!B:B)))/100)*IF(X120="1.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(100%)","100"))))))&lt;=10,"0", IF(AND((((_xlfn.XLOOKUP(Assessment!#REF!,Inherited!A:A,Inherited!B:B))/100)*(_xlfn.XLOOKUP(Assessment!#REF!,Inherited!A:A,Inherited!C:C)))+(((100-(_xlfn.XLOOKUP(Assessment!#REF!,Inherited!A:A,Inherited!B:B)))/100)*IF(X120="1.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(100%)","100"))))))&gt;=11,(((_xlfn.XLOOKUP(Assessment!#REF!,Inherited!A:A,Inherited!B:B))/100)*(_xlfn.XLOOKUP(Assessment!#REF!,Inherited!A:A,Inherited!C:C)))+(((100-(_xlfn.XLOOKUP(Assessment!#REF!,Inherited!A:A,Inherited!B:B)))/100)*IF(X120="1.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(100%)","100"))))))&lt;=32),"25",IF(AND((((_xlfn.XLOOKUP(Assessment!#REF!,Inherited!A:A,Inherited!B:B))/100)*(_xlfn.XLOOKUP(Assessment!#REF!,Inherited!A:A,Inherited!C:C)))+(((100-(_xlfn.XLOOKUP(Assessment!#REF!,Inherited!A:A,Inherited!B:B)))/100)*IF(X120="1.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(100%)","100"))))))&gt;=33,(((_xlfn.XLOOKUP(Assessment!#REF!,Inherited!A:A,Inherited!B:B))/100)*(_xlfn.XLOOKUP(Assessment!#REF!,Inherited!A:A,Inherited!C:C)))+(((100-(_xlfn.XLOOKUP(Assessment!#REF!,Inherited!A:A,Inherited!B:B)))/100)*IF(X120="1.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(100%)","100"))))))&lt;=65),"50",IF(AND((((_xlfn.XLOOKUP(Assessment!#REF!,Inherited!A:A,Inherited!B:B))/100)*(_xlfn.XLOOKUP(Assessment!#REF!,Inherited!A:A,Inherited!C:C)))+(((100-(_xlfn.XLOOKUP(Assessment!#REF!,Inherited!A:A,Inherited!B:B)))/100)*IF(X120="1.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(100%)","100"))))))&gt;=66,(((_xlfn.XLOOKUP(Assessment!#REF!,Inherited!A:A,Inherited!B:B))/100)*(_xlfn.XLOOKUP(Assessment!#REF!,Inherited!A:A,Inherited!C:C)))+(((100-(_xlfn.XLOOKUP(Assessment!#REF!,Inherited!A:A,Inherited!B:B)))/100)*IF(X120="1.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(100%)","100"))))))&lt;=89),"75",IF((((_xlfn.XLOOKUP(Assessment!#REF!,Inherited!A:A,Inherited!B:B))/100)*(_xlfn.XLOOKUP(Assessment!#REF!,Inherited!A:A,Inherited!C:C)))+(((100-(_xlfn.XLOOKUP(Assessment!#REF!,Inherited!A:A,Inherited!B:B)))/100)*IF(X120="1. Non Compliant (0%)","0",IF(X120="2. Somewhat Compliant (25%)","25",IF(X120="3. Partially Compliant (50%)","50",IF(X120="4. Mostly Compliant (75%)","75",IF(X120="5. Fully Compliant (100%)","100"))))))&gt;=90,"100"))))))</f>
        <v>#N/A</v>
      </c>
      <c r="R120" s="1" t="e">
        <f>IF(MATCH(H120,Inherited!A:A),IF((((_xlfn.XLOOKUP(Assessment!#REF!,Inherited!A:A,Inherited!B:B))/100)*(_xlfn.XLOOKUP(Assessment!#REF!,Inherited!A:A,Inherited!D:D)))+(((100-(_xlfn.XLOOKUP(Assessment!#REF!,Inherited!A:A,Inherited!B:B)))/100)*IF(Y120="1.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(100%)","100"))))))&lt;=10,"0", IF(AND((((_xlfn.XLOOKUP(Assessment!#REF!,Inherited!A:A,Inherited!B:B))/100)*(_xlfn.XLOOKUP(Assessment!#REF!,Inherited!A:A,Inherited!D:D)))+(((100-(_xlfn.XLOOKUP(Assessment!#REF!,Inherited!A:A,Inherited!B:B)))/100)*IF(Y120="1.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(100%)","100"))))))&gt;=11,(((_xlfn.XLOOKUP(Assessment!#REF!,Inherited!A:A,Inherited!B:B))/100)*(_xlfn.XLOOKUP(Assessment!#REF!,Inherited!A:A,Inherited!D:D)))+(((100-(_xlfn.XLOOKUP(Assessment!#REF!,Inherited!A:A,Inherited!B:B)))/100)*IF(Y120="1.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(100%)","100"))))))&lt;=32),"25",IF(AND((((_xlfn.XLOOKUP(Assessment!#REF!,Inherited!A:A,Inherited!B:B))/100)*(_xlfn.XLOOKUP(Assessment!#REF!,Inherited!A:A,Inherited!D:D)))+(((100-(_xlfn.XLOOKUP(Assessment!#REF!,Inherited!A:A,Inherited!B:B)))/100)*IF(Y120="1.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(100%)","100"))))))&gt;=33,(((_xlfn.XLOOKUP(Assessment!#REF!,Inherited!A:A,Inherited!B:B))/100)*(_xlfn.XLOOKUP(Assessment!#REF!,Inherited!A:A,Inherited!D:D)))+(((100-(_xlfn.XLOOKUP(Assessment!#REF!,Inherited!A:A,Inherited!B:B)))/100)*IF(Y120="1.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(100%)","100"))))))&lt;=65),"50",IF(AND((((_xlfn.XLOOKUP(Assessment!#REF!,Inherited!A:A,Inherited!B:B))/100)*(_xlfn.XLOOKUP(Assessment!#REF!,Inherited!A:A,Inherited!D:D)))+(((100-(_xlfn.XLOOKUP(Assessment!#REF!,Inherited!A:A,Inherited!B:B)))/100)*IF(Y120="1.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(100%)","100"))))))&gt;=66,(((_xlfn.XLOOKUP(Assessment!#REF!,Inherited!A:A,Inherited!B:B))/100)*(_xlfn.XLOOKUP(Assessment!#REF!,Inherited!A:A,Inherited!D:D)))+(((100-(_xlfn.XLOOKUP(Assessment!#REF!,Inherited!A:A,Inherited!B:B)))/100)*IF(Y120="1.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(100%)","100"))))))&lt;=89),"75",IF((((_xlfn.XLOOKUP(Assessment!#REF!,Inherited!A:A,Inherited!B:B))/100)*(_xlfn.XLOOKUP(Assessment!#REF!,Inherited!A:A,Inherited!D:D)))+(((100-(_xlfn.XLOOKUP(Assessment!#REF!,Inherited!A:A,Inherited!B:B)))/100)*IF(Y120="1. Non Compliant (0%)","0",IF(Y120="2. Somewhat Compliant (25%)","25",IF(Y120="3. Partially Compliant (50%)","50",IF(Y120="4. Mostly Compliant (75%)","75",IF(Y120="5. Fully Compliant (100%)","100"))))))&gt;=90,"100"))))))</f>
        <v>#N/A</v>
      </c>
      <c r="S120" s="1" t="e">
        <f>IF(MATCH(H120,Inherited!A:A),IF((((_xlfn.XLOOKUP(Assessment!#REF!,Inherited!A:A,Inherited!B:B))/100)*(_xlfn.XLOOKUP(Assessment!#REF!,Inherited!A:A,Inherited!E:E)))+(((100-(_xlfn.XLOOKUP(Assessment!#REF!,Inherited!A:A,Inherited!B:B)))/100)*IF(Z120="1.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(100%)","100"))))))&lt;=10,"0", IF(AND((((_xlfn.XLOOKUP(Assessment!#REF!,Inherited!A:A,Inherited!B:B))/100)*(_xlfn.XLOOKUP(Assessment!#REF!,Inherited!A:A,Inherited!E:E)))+(((100-(_xlfn.XLOOKUP(Assessment!#REF!,Inherited!A:A,Inherited!B:B)))/100)*IF(Z120="1.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(100%)","100"))))))&gt;=11,(((_xlfn.XLOOKUP(Assessment!#REF!,Inherited!A:A,Inherited!B:B))/100)*(_xlfn.XLOOKUP(Assessment!#REF!,Inherited!A:A,Inherited!E:E)))+(((100-(_xlfn.XLOOKUP(Assessment!#REF!,Inherited!A:A,Inherited!B:B)))/100)*IF(Z120="1.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(100%)","100"))))))&lt;=32),"25",IF(AND((((_xlfn.XLOOKUP(Assessment!#REF!,Inherited!A:A,Inherited!B:B))/100)*(_xlfn.XLOOKUP(Assessment!#REF!,Inherited!A:A,Inherited!E:E)))+(((100-(_xlfn.XLOOKUP(Assessment!#REF!,Inherited!A:A,Inherited!B:B)))/100)*IF(Z120="1.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(100%)","100"))))))&gt;=33,(((_xlfn.XLOOKUP(Assessment!#REF!,Inherited!A:A,Inherited!B:B))/100)*(_xlfn.XLOOKUP(Assessment!#REF!,Inherited!A:A,Inherited!E:E)))+(((100-(_xlfn.XLOOKUP(Assessment!#REF!,Inherited!A:A,Inherited!B:B)))/100)*IF(Z120="1.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(100%)","100"))))))&lt;=65),"50",IF(AND((((_xlfn.XLOOKUP(Assessment!#REF!,Inherited!A:A,Inherited!B:B))/100)*(_xlfn.XLOOKUP(Assessment!#REF!,Inherited!A:A,Inherited!E:E)))+(((100-(_xlfn.XLOOKUP(Assessment!#REF!,Inherited!A:A,Inherited!B:B)))/100)*IF(Z120="1.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(100%)","100"))))))&gt;=66,(((_xlfn.XLOOKUP(Assessment!#REF!,Inherited!A:A,Inherited!B:B))/100)*(_xlfn.XLOOKUP(Assessment!#REF!,Inherited!A:A,Inherited!E:E)))+(((100-(_xlfn.XLOOKUP(Assessment!#REF!,Inherited!A:A,Inherited!B:B)))/100)*IF(Z120="1.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(100%)","100"))))))&lt;=89),"75",IF((((_xlfn.XLOOKUP(Assessment!#REF!,Inherited!A:A,Inherited!B:B))/100)*(_xlfn.XLOOKUP(Assessment!#REF!,Inherited!A:A,Inherited!E:E)))+(((100-(_xlfn.XLOOKUP(Assessment!#REF!,Inherited!A:A,Inherited!B:B)))/100)*IF(Z120="1. Non Compliant (0%)","0",IF(Z120="2. Somewhat Compliant (25%)","25",IF(Z120="3. Partially Compliant (50%)","50",IF(Z120="4. Mostly Compliant (75%)","75",IF(Z120="5. Fully Compliant (100%)","100"))))))&gt;=90,"100"))))))</f>
        <v>#N/A</v>
      </c>
      <c r="T120" s="1" t="e">
        <f>IF(MATCH(H120,Inherited!A:A),IF((((_xlfn.XLOOKUP(Assessment!#REF!,Inherited!A:A,Inherited!B:B))/100)*(_xlfn.XLOOKUP(Assessment!#REF!,Inherited!A:A,Inherited!F:F)))+(((100-(_xlfn.XLOOKUP(Assessment!#REF!,Inherited!A:A,Inherited!B:B)))/100)*IF(AA120="1.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(100%)","100"))))))&lt;=10,"0", IF(AND((((_xlfn.XLOOKUP(Assessment!#REF!,Inherited!A:A,Inherited!B:B))/100)*(_xlfn.XLOOKUP(Assessment!#REF!,Inherited!A:A,Inherited!F:F)))+(((100-(_xlfn.XLOOKUP(Assessment!#REF!,Inherited!A:A,Inherited!B:B)))/100)*IF(AA120="1.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(100%)","100"))))))&gt;=11,(((_xlfn.XLOOKUP(Assessment!#REF!,Inherited!A:A,Inherited!B:B))/100)*(_xlfn.XLOOKUP(Assessment!#REF!,Inherited!A:A,Inherited!F:F)))+(((100-(_xlfn.XLOOKUP(Assessment!#REF!,Inherited!A:A,Inherited!B:B)))/100)*IF(AA120="1.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(100%)","100"))))))&lt;=32),"25",IF(AND((((_xlfn.XLOOKUP(Assessment!#REF!,Inherited!A:A,Inherited!B:B))/100)*(_xlfn.XLOOKUP(Assessment!#REF!,Inherited!A:A,Inherited!F:F)))+(((100-(_xlfn.XLOOKUP(Assessment!#REF!,Inherited!A:A,Inherited!B:B)))/100)*IF(AA120="1.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(100%)","100"))))))&gt;=33,(((_xlfn.XLOOKUP(Assessment!#REF!,Inherited!A:A,Inherited!B:B))/100)*(_xlfn.XLOOKUP(Assessment!#REF!,Inherited!A:A,Inherited!F:F)))+(((100-(_xlfn.XLOOKUP(Assessment!#REF!,Inherited!A:A,Inherited!B:B)))/100)*IF(AA120="1.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(100%)","100"))))))&lt;=65),"50",IF(AND((((_xlfn.XLOOKUP(Assessment!#REF!,Inherited!A:A,Inherited!B:B))/100)*(_xlfn.XLOOKUP(Assessment!#REF!,Inherited!A:A,Inherited!F:F)))+(((100-(_xlfn.XLOOKUP(Assessment!#REF!,Inherited!A:A,Inherited!B:B)))/100)*IF(AA120="1.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(100%)","100"))))))&gt;=66,(((_xlfn.XLOOKUP(Assessment!#REF!,Inherited!A:A,Inherited!B:B))/100)*(_xlfn.XLOOKUP(Assessment!#REF!,Inherited!A:A,Inherited!F:F)))+(((100-(_xlfn.XLOOKUP(Assessment!#REF!,Inherited!A:A,Inherited!B:B)))/100)*IF(AA120="1.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(100%)","100"))))))&lt;=89),"75",IF((((_xlfn.XLOOKUP(Assessment!#REF!,Inherited!A:A,Inherited!B:B))/100)*(_xlfn.XLOOKUP(Assessment!#REF!,Inherited!A:A,Inherited!F:F)))+(((100-(_xlfn.XLOOKUP(Assessment!#REF!,Inherited!A:A,Inherited!B:B)))/100)*IF(AA120="1. Non Compliant (0%)","0",IF(AA120="2. Somewhat Compliant (25%)","25",IF(AA120="3. Partially Compliant (50%)","50",IF(AA120="4. Mostly Compliant (75%)","75",IF(AA120="5. Fully Compliant (100%)","100"))))))&gt;=90,"100"))))))</f>
        <v>#N/A</v>
      </c>
      <c r="U120" s="1" t="e">
        <f>IF(MATCH(H120,Inherited!A:A),IF((((_xlfn.XLOOKUP(Assessment!#REF!,Inherited!A:A,Inherited!B:B))/100)*(_xlfn.XLOOKUP(Assessment!#REF!,Inherited!A:A,Inherited!G:G)))+(((100-(_xlfn.XLOOKUP(Assessment!#REF!,Inherited!A:A,Inherited!B:B)))/100)*IF(AB120="1.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(100%)","100"))))))&lt;=10,"0", IF(AND((((_xlfn.XLOOKUP(Assessment!#REF!,Inherited!A:A,Inherited!B:B))/100)*(_xlfn.XLOOKUP(Assessment!#REF!,Inherited!A:A,Inherited!G:G)))+(((100-(_xlfn.XLOOKUP(Assessment!#REF!,Inherited!A:A,Inherited!B:B)))/100)*IF(AB120="1.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(100%)","100"))))))&gt;=11,(((_xlfn.XLOOKUP(Assessment!#REF!,Inherited!A:A,Inherited!B:B))/100)*(_xlfn.XLOOKUP(Assessment!#REF!,Inherited!A:A,Inherited!G:G)))+(((100-(_xlfn.XLOOKUP(Assessment!#REF!,Inherited!A:A,Inherited!B:B)))/100)*IF(AB120="1.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(100%)","100"))))))&lt;=32),"25",IF(AND((((_xlfn.XLOOKUP(Assessment!#REF!,Inherited!A:A,Inherited!B:B))/100)*(_xlfn.XLOOKUP(Assessment!#REF!,Inherited!A:A,Inherited!G:G)))+(((100-(_xlfn.XLOOKUP(Assessment!#REF!,Inherited!A:A,Inherited!B:B)))/100)*IF(AB120="1.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(100%)","100"))))))&gt;=33,(((_xlfn.XLOOKUP(Assessment!#REF!,Inherited!A:A,Inherited!B:B))/100)*(_xlfn.XLOOKUP(Assessment!#REF!,Inherited!A:A,Inherited!G:G)))+(((100-(_xlfn.XLOOKUP(Assessment!#REF!,Inherited!A:A,Inherited!B:B)))/100)*IF(AB120="1.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(100%)","100"))))))&lt;=65),"50",IF(AND((((_xlfn.XLOOKUP(Assessment!#REF!,Inherited!A:A,Inherited!B:B))/100)*(_xlfn.XLOOKUP(Assessment!#REF!,Inherited!A:A,Inherited!G:G)))+(((100-(_xlfn.XLOOKUP(Assessment!#REF!,Inherited!A:A,Inherited!B:B)))/100)*IF(AB120="1.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(100%)","100"))))))&gt;=66,(((_xlfn.XLOOKUP(Assessment!#REF!,Inherited!A:A,Inherited!B:B))/100)*(_xlfn.XLOOKUP(Assessment!#REF!,Inherited!A:A,Inherited!G:G)))+(((100-(_xlfn.XLOOKUP(Assessment!#REF!,Inherited!A:A,Inherited!B:B)))/100)*IF(AB120="1.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(100%)","100"))))))&lt;=89),"75",IF((((_xlfn.XLOOKUP(Assessment!#REF!,Inherited!A:A,Inherited!B:B))/100)*(_xlfn.XLOOKUP(Assessment!#REF!,Inherited!A:A,Inherited!G:G)))+(((100-(_xlfn.XLOOKUP(Assessment!#REF!,Inherited!A:A,Inherited!B:B)))/100)*IF(AB120="1. Non Compliant (0%)","0",IF(AB120="2. Somewhat Compliant (25%)","25",IF(AB120="3. Partially Compliant (50%)","50",IF(AB120="4. Mostly Compliant (75%)","75",IF(AB120="5. Fully Compliant (100%)","100"))))))&gt;=90,"100"))))))</f>
        <v>#N/A</v>
      </c>
      <c r="V120" s="55" t="s">
        <v>85</v>
      </c>
      <c r="W120" s="55"/>
      <c r="X120" s="55"/>
      <c r="Y120" s="55"/>
      <c r="Z120" s="55" t="s">
        <v>88</v>
      </c>
      <c r="AA120" s="55"/>
      <c r="AB120" s="55"/>
      <c r="AK120" s="1" t="s">
        <v>10978</v>
      </c>
      <c r="AL120" s="1" t="s">
        <v>11033</v>
      </c>
      <c r="AP120" s="1" t="s">
        <v>11092</v>
      </c>
      <c r="AX120" s="3" t="str">
        <f>_xlfn.CONCAT("A-LIGN finished its review of this control on ",AR120, " during the scheduled fieldwork window (",Intro!$B$4,")."&amp; CHAR(10)&amp; CHAR(10))</f>
        <v xml:space="preserve">A-LIGN finished its review of this control on  during the scheduled fieldwork window (Fieldwork: xx/xx/xxxx - xx/xx/xxxx).
</v>
      </c>
      <c r="AY120" s="3" t="str">
        <f t="shared" si="251"/>
        <v/>
      </c>
      <c r="AZ120" s="3" t="str">
        <f t="shared" si="252"/>
        <v/>
      </c>
      <c r="BA120" s="3" t="str">
        <f t="shared" si="253"/>
        <v/>
      </c>
      <c r="BB120" s="3" t="str">
        <f t="shared" si="254"/>
        <v xml:space="preserve">Inquired of the following workforce member: 
Michael Wood - VP of AI Engineering
Kyle Smith - IT Operations and AI Expert 
Inquiry lead to the following conclusions: 
Due diligence on vendors and third-party service providers through risk assessments and compliance attestation reviews. 
A similar evaluation process would be used to inspect AI software assets
</v>
      </c>
      <c r="BC120" s="3" t="str">
        <f t="shared" si="255"/>
        <v/>
      </c>
      <c r="BD120" s="3" t="str">
        <f t="shared" si="256"/>
        <v xml:space="preserve">Examined the following evidence during fieldwork:
Reviewed evidence addressed the requirement statement.
Reviewed evidence exception note: 
Gap: 
Do not have assurance that inspections were carried out on all AI software assets in use and annually after deployment. 
Recommendation:
Management should ensure that inspections are carried out on all AI software assets prior to their use and annually thereafter.
</v>
      </c>
      <c r="BE120" s="3" t="str">
        <f t="shared" si="257"/>
        <v/>
      </c>
      <c r="BF120" s="3" t="str">
        <f t="shared" si="258"/>
        <v/>
      </c>
      <c r="BG120" s="3" t="str">
        <f>_xlfn.CONCAT((IF((COUNTIF('Sample Tables'!B:B,"")&gt;0)=TRUE,_xlfn.CONCAT("",""),IF((COUNTIF('Sample Tables'!B:B,"")&gt;0)=FALSE,""))),)</f>
        <v/>
      </c>
      <c r="BH120" s="3" t="str">
        <f t="shared" si="25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Due diligence on vendors and third-party service providers through risk assessments and compliance attestation reviews. 
A similar evaluation process would be used to inspect AI software assets
Examined the following evidence during fieldwork:
Reviewed evidence addressed the requirement statement.
Reviewed evidence exception note: 
Gap: 
Do not have assurance that inspections were carried out on all AI software assets in use and annually after deployment. 
Recommendation:
Management should ensure that inspections are carried out on all AI software assets prior to their use and annually thereafter.
</v>
      </c>
    </row>
    <row r="121" spans="3:60" ht="325" x14ac:dyDescent="0.35">
      <c r="C121" s="1">
        <f t="shared" si="250"/>
        <v>40</v>
      </c>
      <c r="D121" s="5" t="str">
        <f>IF(AND((_xlfn.XLOOKUP(J121,'Fields &amp; Revisions'!$H:$H,'Fields &amp; Revisions'!$I:$I))&lt;70.99,(OR(Z121="4. Mostly Compliant (75%)",Z121="3. Partially Compliant (50%)",Z121="2. Somewhat Compliant (25%)",Z121="1. Non Compliant (0%)"))),"Yes","No")</f>
        <v>No</v>
      </c>
      <c r="E121" s="5" t="str">
        <f>IF(ISERROR(VLOOKUP(H121,Scope!A:A,1,FALSE)),"No","Yes")</f>
        <v>Yes</v>
      </c>
      <c r="F121" s="1" t="s">
        <v>3786</v>
      </c>
      <c r="G121" s="53" t="s">
        <v>3895</v>
      </c>
      <c r="H121" s="53" t="s">
        <v>3896</v>
      </c>
      <c r="I121" s="5">
        <v>1</v>
      </c>
      <c r="J121" s="1" t="s">
        <v>3897</v>
      </c>
      <c r="K121" s="1" t="s">
        <v>3898</v>
      </c>
      <c r="L121" s="1" t="s">
        <v>3899</v>
      </c>
      <c r="M121" s="1" t="s">
        <v>3900</v>
      </c>
      <c r="N121" s="5" t="s">
        <v>85</v>
      </c>
      <c r="O121" s="1" t="str">
        <f>_xlfn.XLOOKUP(G121,SRMs!$A:$A,SRMs!$D:$D)</f>
        <v>FULL INHERITANCE</v>
      </c>
      <c r="P121" s="1" t="str">
        <f>IFERROR(VLOOKUP(H121,Inherited!A:B,2,FALSE),"")</f>
        <v/>
      </c>
      <c r="Q121" s="1" t="e">
        <f>IF(MATCH(H121,Inherited!A:A),IF((((_xlfn.XLOOKUP(Assessment!#REF!,Inherited!A:A,Inherited!B:B))/100)*(_xlfn.XLOOKUP(Assessment!#REF!,Inherited!A:A,Inherited!C:C)))+(((100-(_xlfn.XLOOKUP(Assessment!#REF!,Inherited!A:A,Inherited!B:B)))/100)*IF(X121="1.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(100%)","100"))))))&lt;=10,"0", IF(AND((((_xlfn.XLOOKUP(Assessment!#REF!,Inherited!A:A,Inherited!B:B))/100)*(_xlfn.XLOOKUP(Assessment!#REF!,Inherited!A:A,Inherited!C:C)))+(((100-(_xlfn.XLOOKUP(Assessment!#REF!,Inherited!A:A,Inherited!B:B)))/100)*IF(X121="1.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(100%)","100"))))))&gt;=11,(((_xlfn.XLOOKUP(Assessment!#REF!,Inherited!A:A,Inherited!B:B))/100)*(_xlfn.XLOOKUP(Assessment!#REF!,Inherited!A:A,Inherited!C:C)))+(((100-(_xlfn.XLOOKUP(Assessment!#REF!,Inherited!A:A,Inherited!B:B)))/100)*IF(X121="1.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(100%)","100"))))))&lt;=32),"25",IF(AND((((_xlfn.XLOOKUP(Assessment!#REF!,Inherited!A:A,Inherited!B:B))/100)*(_xlfn.XLOOKUP(Assessment!#REF!,Inherited!A:A,Inherited!C:C)))+(((100-(_xlfn.XLOOKUP(Assessment!#REF!,Inherited!A:A,Inherited!B:B)))/100)*IF(X121="1.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(100%)","100"))))))&gt;=33,(((_xlfn.XLOOKUP(Assessment!#REF!,Inherited!A:A,Inherited!B:B))/100)*(_xlfn.XLOOKUP(Assessment!#REF!,Inherited!A:A,Inherited!C:C)))+(((100-(_xlfn.XLOOKUP(Assessment!#REF!,Inherited!A:A,Inherited!B:B)))/100)*IF(X121="1.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(100%)","100"))))))&lt;=65),"50",IF(AND((((_xlfn.XLOOKUP(Assessment!#REF!,Inherited!A:A,Inherited!B:B))/100)*(_xlfn.XLOOKUP(Assessment!#REF!,Inherited!A:A,Inherited!C:C)))+(((100-(_xlfn.XLOOKUP(Assessment!#REF!,Inherited!A:A,Inherited!B:B)))/100)*IF(X121="1.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(100%)","100"))))))&gt;=66,(((_xlfn.XLOOKUP(Assessment!#REF!,Inherited!A:A,Inherited!B:B))/100)*(_xlfn.XLOOKUP(Assessment!#REF!,Inherited!A:A,Inherited!C:C)))+(((100-(_xlfn.XLOOKUP(Assessment!#REF!,Inherited!A:A,Inherited!B:B)))/100)*IF(X121="1.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(100%)","100"))))))&lt;=89),"75",IF((((_xlfn.XLOOKUP(Assessment!#REF!,Inherited!A:A,Inherited!B:B))/100)*(_xlfn.XLOOKUP(Assessment!#REF!,Inherited!A:A,Inherited!C:C)))+(((100-(_xlfn.XLOOKUP(Assessment!#REF!,Inherited!A:A,Inherited!B:B)))/100)*IF(X121="1. Non Compliant (0%)","0",IF(X121="2. Somewhat Compliant (25%)","25",IF(X121="3. Partially Compliant (50%)","50",IF(X121="4. Mostly Compliant (75%)","75",IF(X121="5. Fully Compliant (100%)","100"))))))&gt;=90,"100"))))))</f>
        <v>#N/A</v>
      </c>
      <c r="R121" s="1" t="e">
        <f>IF(MATCH(H121,Inherited!A:A),IF((((_xlfn.XLOOKUP(Assessment!#REF!,Inherited!A:A,Inherited!B:B))/100)*(_xlfn.XLOOKUP(Assessment!#REF!,Inherited!A:A,Inherited!D:D)))+(((100-(_xlfn.XLOOKUP(Assessment!#REF!,Inherited!A:A,Inherited!B:B)))/100)*IF(Y121="1.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(100%)","100"))))))&lt;=10,"0", IF(AND((((_xlfn.XLOOKUP(Assessment!#REF!,Inherited!A:A,Inherited!B:B))/100)*(_xlfn.XLOOKUP(Assessment!#REF!,Inherited!A:A,Inherited!D:D)))+(((100-(_xlfn.XLOOKUP(Assessment!#REF!,Inherited!A:A,Inherited!B:B)))/100)*IF(Y121="1.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(100%)","100"))))))&gt;=11,(((_xlfn.XLOOKUP(Assessment!#REF!,Inherited!A:A,Inherited!B:B))/100)*(_xlfn.XLOOKUP(Assessment!#REF!,Inherited!A:A,Inherited!D:D)))+(((100-(_xlfn.XLOOKUP(Assessment!#REF!,Inherited!A:A,Inherited!B:B)))/100)*IF(Y121="1.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(100%)","100"))))))&lt;=32),"25",IF(AND((((_xlfn.XLOOKUP(Assessment!#REF!,Inherited!A:A,Inherited!B:B))/100)*(_xlfn.XLOOKUP(Assessment!#REF!,Inherited!A:A,Inherited!D:D)))+(((100-(_xlfn.XLOOKUP(Assessment!#REF!,Inherited!A:A,Inherited!B:B)))/100)*IF(Y121="1.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(100%)","100"))))))&gt;=33,(((_xlfn.XLOOKUP(Assessment!#REF!,Inherited!A:A,Inherited!B:B))/100)*(_xlfn.XLOOKUP(Assessment!#REF!,Inherited!A:A,Inherited!D:D)))+(((100-(_xlfn.XLOOKUP(Assessment!#REF!,Inherited!A:A,Inherited!B:B)))/100)*IF(Y121="1.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(100%)","100"))))))&lt;=65),"50",IF(AND((((_xlfn.XLOOKUP(Assessment!#REF!,Inherited!A:A,Inherited!B:B))/100)*(_xlfn.XLOOKUP(Assessment!#REF!,Inherited!A:A,Inherited!D:D)))+(((100-(_xlfn.XLOOKUP(Assessment!#REF!,Inherited!A:A,Inherited!B:B)))/100)*IF(Y121="1.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(100%)","100"))))))&gt;=66,(((_xlfn.XLOOKUP(Assessment!#REF!,Inherited!A:A,Inherited!B:B))/100)*(_xlfn.XLOOKUP(Assessment!#REF!,Inherited!A:A,Inherited!D:D)))+(((100-(_xlfn.XLOOKUP(Assessment!#REF!,Inherited!A:A,Inherited!B:B)))/100)*IF(Y121="1.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(100%)","100"))))))&lt;=89),"75",IF((((_xlfn.XLOOKUP(Assessment!#REF!,Inherited!A:A,Inherited!B:B))/100)*(_xlfn.XLOOKUP(Assessment!#REF!,Inherited!A:A,Inherited!D:D)))+(((100-(_xlfn.XLOOKUP(Assessment!#REF!,Inherited!A:A,Inherited!B:B)))/100)*IF(Y121="1. Non Compliant (0%)","0",IF(Y121="2. Somewhat Compliant (25%)","25",IF(Y121="3. Partially Compliant (50%)","50",IF(Y121="4. Mostly Compliant (75%)","75",IF(Y121="5. Fully Compliant (100%)","100"))))))&gt;=90,"100"))))))</f>
        <v>#N/A</v>
      </c>
      <c r="S121" s="1" t="e">
        <f>IF(MATCH(H121,Inherited!A:A),IF((((_xlfn.XLOOKUP(Assessment!#REF!,Inherited!A:A,Inherited!B:B))/100)*(_xlfn.XLOOKUP(Assessment!#REF!,Inherited!A:A,Inherited!E:E)))+(((100-(_xlfn.XLOOKUP(Assessment!#REF!,Inherited!A:A,Inherited!B:B)))/100)*IF(Z121="1.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(100%)","100"))))))&lt;=10,"0", IF(AND((((_xlfn.XLOOKUP(Assessment!#REF!,Inherited!A:A,Inherited!B:B))/100)*(_xlfn.XLOOKUP(Assessment!#REF!,Inherited!A:A,Inherited!E:E)))+(((100-(_xlfn.XLOOKUP(Assessment!#REF!,Inherited!A:A,Inherited!B:B)))/100)*IF(Z121="1.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(100%)","100"))))))&gt;=11,(((_xlfn.XLOOKUP(Assessment!#REF!,Inherited!A:A,Inherited!B:B))/100)*(_xlfn.XLOOKUP(Assessment!#REF!,Inherited!A:A,Inherited!E:E)))+(((100-(_xlfn.XLOOKUP(Assessment!#REF!,Inherited!A:A,Inherited!B:B)))/100)*IF(Z121="1.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(100%)","100"))))))&lt;=32),"25",IF(AND((((_xlfn.XLOOKUP(Assessment!#REF!,Inherited!A:A,Inherited!B:B))/100)*(_xlfn.XLOOKUP(Assessment!#REF!,Inherited!A:A,Inherited!E:E)))+(((100-(_xlfn.XLOOKUP(Assessment!#REF!,Inherited!A:A,Inherited!B:B)))/100)*IF(Z121="1.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(100%)","100"))))))&gt;=33,(((_xlfn.XLOOKUP(Assessment!#REF!,Inherited!A:A,Inherited!B:B))/100)*(_xlfn.XLOOKUP(Assessment!#REF!,Inherited!A:A,Inherited!E:E)))+(((100-(_xlfn.XLOOKUP(Assessment!#REF!,Inherited!A:A,Inherited!B:B)))/100)*IF(Z121="1.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(100%)","100"))))))&lt;=65),"50",IF(AND((((_xlfn.XLOOKUP(Assessment!#REF!,Inherited!A:A,Inherited!B:B))/100)*(_xlfn.XLOOKUP(Assessment!#REF!,Inherited!A:A,Inherited!E:E)))+(((100-(_xlfn.XLOOKUP(Assessment!#REF!,Inherited!A:A,Inherited!B:B)))/100)*IF(Z121="1.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(100%)","100"))))))&gt;=66,(((_xlfn.XLOOKUP(Assessment!#REF!,Inherited!A:A,Inherited!B:B))/100)*(_xlfn.XLOOKUP(Assessment!#REF!,Inherited!A:A,Inherited!E:E)))+(((100-(_xlfn.XLOOKUP(Assessment!#REF!,Inherited!A:A,Inherited!B:B)))/100)*IF(Z121="1.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(100%)","100"))))))&lt;=89),"75",IF((((_xlfn.XLOOKUP(Assessment!#REF!,Inherited!A:A,Inherited!B:B))/100)*(_xlfn.XLOOKUP(Assessment!#REF!,Inherited!A:A,Inherited!E:E)))+(((100-(_xlfn.XLOOKUP(Assessment!#REF!,Inherited!A:A,Inherited!B:B)))/100)*IF(Z121="1. Non Compliant (0%)","0",IF(Z121="2. Somewhat Compliant (25%)","25",IF(Z121="3. Partially Compliant (50%)","50",IF(Z121="4. Mostly Compliant (75%)","75",IF(Z121="5. Fully Compliant (100%)","100"))))))&gt;=90,"100"))))))</f>
        <v>#N/A</v>
      </c>
      <c r="T121" s="1" t="e">
        <f>IF(MATCH(H121,Inherited!A:A),IF((((_xlfn.XLOOKUP(Assessment!#REF!,Inherited!A:A,Inherited!B:B))/100)*(_xlfn.XLOOKUP(Assessment!#REF!,Inherited!A:A,Inherited!F:F)))+(((100-(_xlfn.XLOOKUP(Assessment!#REF!,Inherited!A:A,Inherited!B:B)))/100)*IF(AA121="1.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(100%)","100"))))))&lt;=10,"0", IF(AND((((_xlfn.XLOOKUP(Assessment!#REF!,Inherited!A:A,Inherited!B:B))/100)*(_xlfn.XLOOKUP(Assessment!#REF!,Inherited!A:A,Inherited!F:F)))+(((100-(_xlfn.XLOOKUP(Assessment!#REF!,Inherited!A:A,Inherited!B:B)))/100)*IF(AA121="1.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(100%)","100"))))))&gt;=11,(((_xlfn.XLOOKUP(Assessment!#REF!,Inherited!A:A,Inherited!B:B))/100)*(_xlfn.XLOOKUP(Assessment!#REF!,Inherited!A:A,Inherited!F:F)))+(((100-(_xlfn.XLOOKUP(Assessment!#REF!,Inherited!A:A,Inherited!B:B)))/100)*IF(AA121="1.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(100%)","100"))))))&lt;=32),"25",IF(AND((((_xlfn.XLOOKUP(Assessment!#REF!,Inherited!A:A,Inherited!B:B))/100)*(_xlfn.XLOOKUP(Assessment!#REF!,Inherited!A:A,Inherited!F:F)))+(((100-(_xlfn.XLOOKUP(Assessment!#REF!,Inherited!A:A,Inherited!B:B)))/100)*IF(AA121="1.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(100%)","100"))))))&gt;=33,(((_xlfn.XLOOKUP(Assessment!#REF!,Inherited!A:A,Inherited!B:B))/100)*(_xlfn.XLOOKUP(Assessment!#REF!,Inherited!A:A,Inherited!F:F)))+(((100-(_xlfn.XLOOKUP(Assessment!#REF!,Inherited!A:A,Inherited!B:B)))/100)*IF(AA121="1.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(100%)","100"))))))&lt;=65),"50",IF(AND((((_xlfn.XLOOKUP(Assessment!#REF!,Inherited!A:A,Inherited!B:B))/100)*(_xlfn.XLOOKUP(Assessment!#REF!,Inherited!A:A,Inherited!F:F)))+(((100-(_xlfn.XLOOKUP(Assessment!#REF!,Inherited!A:A,Inherited!B:B)))/100)*IF(AA121="1.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(100%)","100"))))))&gt;=66,(((_xlfn.XLOOKUP(Assessment!#REF!,Inherited!A:A,Inherited!B:B))/100)*(_xlfn.XLOOKUP(Assessment!#REF!,Inherited!A:A,Inherited!F:F)))+(((100-(_xlfn.XLOOKUP(Assessment!#REF!,Inherited!A:A,Inherited!B:B)))/100)*IF(AA121="1.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(100%)","100"))))))&lt;=89),"75",IF((((_xlfn.XLOOKUP(Assessment!#REF!,Inherited!A:A,Inherited!B:B))/100)*(_xlfn.XLOOKUP(Assessment!#REF!,Inherited!A:A,Inherited!F:F)))+(((100-(_xlfn.XLOOKUP(Assessment!#REF!,Inherited!A:A,Inherited!B:B)))/100)*IF(AA121="1. Non Compliant (0%)","0",IF(AA121="2. Somewhat Compliant (25%)","25",IF(AA121="3. Partially Compliant (50%)","50",IF(AA121="4. Mostly Compliant (75%)","75",IF(AA121="5. Fully Compliant (100%)","100"))))))&gt;=90,"100"))))))</f>
        <v>#N/A</v>
      </c>
      <c r="U121" s="1" t="e">
        <f>IF(MATCH(H121,Inherited!A:A),IF((((_xlfn.XLOOKUP(Assessment!#REF!,Inherited!A:A,Inherited!B:B))/100)*(_xlfn.XLOOKUP(Assessment!#REF!,Inherited!A:A,Inherited!G:G)))+(((100-(_xlfn.XLOOKUP(Assessment!#REF!,Inherited!A:A,Inherited!B:B)))/100)*IF(AB121="1.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(100%)","100"))))))&lt;=10,"0", IF(AND((((_xlfn.XLOOKUP(Assessment!#REF!,Inherited!A:A,Inherited!B:B))/100)*(_xlfn.XLOOKUP(Assessment!#REF!,Inherited!A:A,Inherited!G:G)))+(((100-(_xlfn.XLOOKUP(Assessment!#REF!,Inherited!A:A,Inherited!B:B)))/100)*IF(AB121="1.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(100%)","100"))))))&gt;=11,(((_xlfn.XLOOKUP(Assessment!#REF!,Inherited!A:A,Inherited!B:B))/100)*(_xlfn.XLOOKUP(Assessment!#REF!,Inherited!A:A,Inherited!G:G)))+(((100-(_xlfn.XLOOKUP(Assessment!#REF!,Inherited!A:A,Inherited!B:B)))/100)*IF(AB121="1.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(100%)","100"))))))&lt;=32),"25",IF(AND((((_xlfn.XLOOKUP(Assessment!#REF!,Inherited!A:A,Inherited!B:B))/100)*(_xlfn.XLOOKUP(Assessment!#REF!,Inherited!A:A,Inherited!G:G)))+(((100-(_xlfn.XLOOKUP(Assessment!#REF!,Inherited!A:A,Inherited!B:B)))/100)*IF(AB121="1.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(100%)","100"))))))&gt;=33,(((_xlfn.XLOOKUP(Assessment!#REF!,Inherited!A:A,Inherited!B:B))/100)*(_xlfn.XLOOKUP(Assessment!#REF!,Inherited!A:A,Inherited!G:G)))+(((100-(_xlfn.XLOOKUP(Assessment!#REF!,Inherited!A:A,Inherited!B:B)))/100)*IF(AB121="1.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(100%)","100"))))))&lt;=65),"50",IF(AND((((_xlfn.XLOOKUP(Assessment!#REF!,Inherited!A:A,Inherited!B:B))/100)*(_xlfn.XLOOKUP(Assessment!#REF!,Inherited!A:A,Inherited!G:G)))+(((100-(_xlfn.XLOOKUP(Assessment!#REF!,Inherited!A:A,Inherited!B:B)))/100)*IF(AB121="1.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(100%)","100"))))))&gt;=66,(((_xlfn.XLOOKUP(Assessment!#REF!,Inherited!A:A,Inherited!B:B))/100)*(_xlfn.XLOOKUP(Assessment!#REF!,Inherited!A:A,Inherited!G:G)))+(((100-(_xlfn.XLOOKUP(Assessment!#REF!,Inherited!A:A,Inherited!B:B)))/100)*IF(AB121="1.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(100%)","100"))))))&lt;=89),"75",IF((((_xlfn.XLOOKUP(Assessment!#REF!,Inherited!A:A,Inherited!B:B))/100)*(_xlfn.XLOOKUP(Assessment!#REF!,Inherited!A:A,Inherited!G:G)))+(((100-(_xlfn.XLOOKUP(Assessment!#REF!,Inherited!A:A,Inherited!B:B)))/100)*IF(AB121="1. Non Compliant (0%)","0",IF(AB121="2. Somewhat Compliant (25%)","25",IF(AB121="3. Partially Compliant (50%)","50",IF(AB121="4. Mostly Compliant (75%)","75",IF(AB121="5. Fully Compliant (100%)","100"))))))&gt;=90,"100"))))))</f>
        <v>#N/A</v>
      </c>
      <c r="V121" s="55" t="s">
        <v>85</v>
      </c>
      <c r="W121" s="55"/>
      <c r="X121" s="55"/>
      <c r="Y121" s="55"/>
      <c r="Z121" s="55" t="s">
        <v>86</v>
      </c>
      <c r="AA121" s="55"/>
      <c r="AB121" s="55"/>
      <c r="AK121" s="1" t="s">
        <v>10951</v>
      </c>
      <c r="AL121" s="1" t="s">
        <v>10953</v>
      </c>
      <c r="AQ121" s="1" t="s">
        <v>10952</v>
      </c>
      <c r="AX121" s="3" t="str">
        <f>_xlfn.CONCAT("A-LIGN finished its review of this control on ",AR121, " during the scheduled fieldwork window (",Intro!$B$4,")."&amp; CHAR(10)&amp; CHAR(10))</f>
        <v xml:space="preserve">A-LIGN finished its review of this control on  during the scheduled fieldwork window (Fieldwork: xx/xx/xxxx - xx/xx/xxxx).
</v>
      </c>
      <c r="AY121" s="3" t="str">
        <f t="shared" si="251"/>
        <v xml:space="preserve">Inheritance note: 
Partially inherited by both GCP and Azure.
</v>
      </c>
      <c r="AZ121" s="3" t="str">
        <f t="shared" si="252"/>
        <v/>
      </c>
      <c r="BA121" s="3" t="str">
        <f t="shared" si="253"/>
        <v/>
      </c>
      <c r="BB121" s="3" t="str">
        <f t="shared" si="254"/>
        <v xml:space="preserve">Inquired of the following workforce member: 
Roze Nicolas - Director of TechOps
Nathaniel Dynkiewicz - General Counsel
Inquiry lead to the following conclusions: 
Third-party changes are handled by GCP and Azure for their respective environments.
</v>
      </c>
      <c r="BC121" s="3" t="str">
        <f t="shared" si="255"/>
        <v/>
      </c>
      <c r="BD121" s="3" t="str">
        <f t="shared" si="256"/>
        <v xml:space="preserve">Examined the following evidence during fieldwork:
Reviewed evidence addressed the requirement statement.
</v>
      </c>
      <c r="BE121" s="3" t="str">
        <f t="shared" si="257"/>
        <v/>
      </c>
      <c r="BF121" s="3" t="str">
        <f t="shared" si="258"/>
        <v/>
      </c>
      <c r="BG121" s="3" t="str">
        <f>_xlfn.CONCAT((IF((COUNTIF('Sample Tables'!B:B,"Test 038: Change (related to third party service/system)")&gt;0)=TRUE,_xlfn.CONCAT("Sample test results are documented in ",'Sample Tables'!B414," [",'Sample Tables'!B415,", ",'Sample Tables'!B416,", ",'Sample Tables'!B417,", ",'Sample Tables'!B418,", ",'Sample Tables'!B419,"]."&amp;CHAR(10)),IF((COUNTIF('Sample Tables'!B:B,"Test 038: Change (related to third party service/system)")&gt;0)=FALSE,""))),)</f>
        <v xml:space="preserve">Sample test results are documented in Test 038: Change (related to third party service/system) [Population Source/Tool: , Population Date Range: , Population Size: , Sample Methodology: , Sample Size: ].
</v>
      </c>
      <c r="BH121" s="3" t="str">
        <f t="shared" si="259"/>
        <v xml:space="preserve">A-LIGN finished its review of this control on  during the scheduled fieldwork window (Fieldwork: xx/xx/xxxx - xx/xx/xxxx).
Inheritance note: 
Partially inherited by both GCP and Azure.
Inquired of the following workforce member: 
Roze Nicolas - Director of TechOps
Nathaniel Dynkiewicz - General Counsel
Inquiry lead to the following conclusions: 
Third-party changes are handled by GCP and Azure for their respective environments.
Examined the following evidence during fieldwork:
Reviewed evidence addressed the requirement statement.
Sample test results are documented in Test 038: Change (related to third party service/system) [Population Source/Tool: , Population Date Range: , Population Size: , Sample Methodology: , Sample Size: ].
</v>
      </c>
    </row>
    <row r="122" spans="3:60" ht="350" x14ac:dyDescent="0.35">
      <c r="C122" s="1">
        <f t="shared" si="250"/>
        <v>0</v>
      </c>
      <c r="D122" s="5" t="str">
        <f>IF(AND((_xlfn.XLOOKUP(J122,'Fields &amp; Revisions'!$H:$H,'Fields &amp; Revisions'!$I:$I))&lt;70.99,(OR(Z122="4. Mostly Compliant (75%)",Z122="3. Partially Compliant (50%)",Z122="2. Somewhat Compliant (25%)",Z122="1. Non Compliant (0%)"))),"Yes","No")</f>
        <v>Yes</v>
      </c>
      <c r="E122" s="5" t="str">
        <f>IF(ISERROR(VLOOKUP(H122,Scope!A:A,1,FALSE)),"No","Yes")</f>
        <v>Yes</v>
      </c>
      <c r="F122" s="1" t="s">
        <v>3786</v>
      </c>
      <c r="G122" s="53" t="s">
        <v>3912</v>
      </c>
      <c r="H122" s="53" t="s">
        <v>3913</v>
      </c>
      <c r="I122" s="5">
        <v>1</v>
      </c>
      <c r="J122" s="1" t="s">
        <v>3812</v>
      </c>
      <c r="K122" s="1" t="s">
        <v>3914</v>
      </c>
      <c r="L122" s="1" t="s">
        <v>3915</v>
      </c>
      <c r="M122" s="1" t="s">
        <v>3916</v>
      </c>
      <c r="N122" s="5" t="s">
        <v>98</v>
      </c>
      <c r="O122" s="1" t="str">
        <f>_xlfn.XLOOKUP(G122,SRMs!$A:$A,SRMs!$D:$D)</f>
        <v>NO INHERITANCE</v>
      </c>
      <c r="P122" s="1" t="str">
        <f>IFERROR(VLOOKUP(H122,Inherited!A:B,2,FALSE),"")</f>
        <v/>
      </c>
      <c r="Q122" s="1" t="e">
        <f>IF(MATCH(H122,Inherited!A:A),IF((((_xlfn.XLOOKUP(Assessment!#REF!,Inherited!A:A,Inherited!B:B))/100)*(_xlfn.XLOOKUP(Assessment!#REF!,Inherited!A:A,Inherited!C:C)))+(((100-(_xlfn.XLOOKUP(Assessment!#REF!,Inherited!A:A,Inherited!B:B)))/100)*IF(X122="1.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(100%)","100"))))))&lt;=10,"0", IF(AND((((_xlfn.XLOOKUP(Assessment!#REF!,Inherited!A:A,Inherited!B:B))/100)*(_xlfn.XLOOKUP(Assessment!#REF!,Inherited!A:A,Inherited!C:C)))+(((100-(_xlfn.XLOOKUP(Assessment!#REF!,Inherited!A:A,Inherited!B:B)))/100)*IF(X122="1.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(100%)","100"))))))&gt;=11,(((_xlfn.XLOOKUP(Assessment!#REF!,Inherited!A:A,Inherited!B:B))/100)*(_xlfn.XLOOKUP(Assessment!#REF!,Inherited!A:A,Inherited!C:C)))+(((100-(_xlfn.XLOOKUP(Assessment!#REF!,Inherited!A:A,Inherited!B:B)))/100)*IF(X122="1.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(100%)","100"))))))&lt;=32),"25",IF(AND((((_xlfn.XLOOKUP(Assessment!#REF!,Inherited!A:A,Inherited!B:B))/100)*(_xlfn.XLOOKUP(Assessment!#REF!,Inherited!A:A,Inherited!C:C)))+(((100-(_xlfn.XLOOKUP(Assessment!#REF!,Inherited!A:A,Inherited!B:B)))/100)*IF(X122="1.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(100%)","100"))))))&gt;=33,(((_xlfn.XLOOKUP(Assessment!#REF!,Inherited!A:A,Inherited!B:B))/100)*(_xlfn.XLOOKUP(Assessment!#REF!,Inherited!A:A,Inherited!C:C)))+(((100-(_xlfn.XLOOKUP(Assessment!#REF!,Inherited!A:A,Inherited!B:B)))/100)*IF(X122="1.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(100%)","100"))))))&lt;=65),"50",IF(AND((((_xlfn.XLOOKUP(Assessment!#REF!,Inherited!A:A,Inherited!B:B))/100)*(_xlfn.XLOOKUP(Assessment!#REF!,Inherited!A:A,Inherited!C:C)))+(((100-(_xlfn.XLOOKUP(Assessment!#REF!,Inherited!A:A,Inherited!B:B)))/100)*IF(X122="1.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(100%)","100"))))))&gt;=66,(((_xlfn.XLOOKUP(Assessment!#REF!,Inherited!A:A,Inherited!B:B))/100)*(_xlfn.XLOOKUP(Assessment!#REF!,Inherited!A:A,Inherited!C:C)))+(((100-(_xlfn.XLOOKUP(Assessment!#REF!,Inherited!A:A,Inherited!B:B)))/100)*IF(X122="1.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(100%)","100"))))))&lt;=89),"75",IF((((_xlfn.XLOOKUP(Assessment!#REF!,Inherited!A:A,Inherited!B:B))/100)*(_xlfn.XLOOKUP(Assessment!#REF!,Inherited!A:A,Inherited!C:C)))+(((100-(_xlfn.XLOOKUP(Assessment!#REF!,Inherited!A:A,Inherited!B:B)))/100)*IF(X122="1. Non Compliant (0%)","0",IF(X122="2. Somewhat Compliant (25%)","25",IF(X122="3. Partially Compliant (50%)","50",IF(X122="4. Mostly Compliant (75%)","75",IF(X122="5. Fully Compliant (100%)","100"))))))&gt;=90,"100"))))))</f>
        <v>#N/A</v>
      </c>
      <c r="R122" s="1" t="e">
        <f>IF(MATCH(H122,Inherited!A:A),IF((((_xlfn.XLOOKUP(Assessment!#REF!,Inherited!A:A,Inherited!B:B))/100)*(_xlfn.XLOOKUP(Assessment!#REF!,Inherited!A:A,Inherited!D:D)))+(((100-(_xlfn.XLOOKUP(Assessment!#REF!,Inherited!A:A,Inherited!B:B)))/100)*IF(Y122="1.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(100%)","100"))))))&lt;=10,"0", IF(AND((((_xlfn.XLOOKUP(Assessment!#REF!,Inherited!A:A,Inherited!B:B))/100)*(_xlfn.XLOOKUP(Assessment!#REF!,Inherited!A:A,Inherited!D:D)))+(((100-(_xlfn.XLOOKUP(Assessment!#REF!,Inherited!A:A,Inherited!B:B)))/100)*IF(Y122="1.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(100%)","100"))))))&gt;=11,(((_xlfn.XLOOKUP(Assessment!#REF!,Inherited!A:A,Inherited!B:B))/100)*(_xlfn.XLOOKUP(Assessment!#REF!,Inherited!A:A,Inherited!D:D)))+(((100-(_xlfn.XLOOKUP(Assessment!#REF!,Inherited!A:A,Inherited!B:B)))/100)*IF(Y122="1.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(100%)","100"))))))&lt;=32),"25",IF(AND((((_xlfn.XLOOKUP(Assessment!#REF!,Inherited!A:A,Inherited!B:B))/100)*(_xlfn.XLOOKUP(Assessment!#REF!,Inherited!A:A,Inherited!D:D)))+(((100-(_xlfn.XLOOKUP(Assessment!#REF!,Inherited!A:A,Inherited!B:B)))/100)*IF(Y122="1.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(100%)","100"))))))&gt;=33,(((_xlfn.XLOOKUP(Assessment!#REF!,Inherited!A:A,Inherited!B:B))/100)*(_xlfn.XLOOKUP(Assessment!#REF!,Inherited!A:A,Inherited!D:D)))+(((100-(_xlfn.XLOOKUP(Assessment!#REF!,Inherited!A:A,Inherited!B:B)))/100)*IF(Y122="1.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(100%)","100"))))))&lt;=65),"50",IF(AND((((_xlfn.XLOOKUP(Assessment!#REF!,Inherited!A:A,Inherited!B:B))/100)*(_xlfn.XLOOKUP(Assessment!#REF!,Inherited!A:A,Inherited!D:D)))+(((100-(_xlfn.XLOOKUP(Assessment!#REF!,Inherited!A:A,Inherited!B:B)))/100)*IF(Y122="1.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(100%)","100"))))))&gt;=66,(((_xlfn.XLOOKUP(Assessment!#REF!,Inherited!A:A,Inherited!B:B))/100)*(_xlfn.XLOOKUP(Assessment!#REF!,Inherited!A:A,Inherited!D:D)))+(((100-(_xlfn.XLOOKUP(Assessment!#REF!,Inherited!A:A,Inherited!B:B)))/100)*IF(Y122="1.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(100%)","100"))))))&lt;=89),"75",IF((((_xlfn.XLOOKUP(Assessment!#REF!,Inherited!A:A,Inherited!B:B))/100)*(_xlfn.XLOOKUP(Assessment!#REF!,Inherited!A:A,Inherited!D:D)))+(((100-(_xlfn.XLOOKUP(Assessment!#REF!,Inherited!A:A,Inherited!B:B)))/100)*IF(Y122="1. Non Compliant (0%)","0",IF(Y122="2. Somewhat Compliant (25%)","25",IF(Y122="3. Partially Compliant (50%)","50",IF(Y122="4. Mostly Compliant (75%)","75",IF(Y122="5. Fully Compliant (100%)","100"))))))&gt;=90,"100"))))))</f>
        <v>#N/A</v>
      </c>
      <c r="S122" s="1" t="e">
        <f>IF(MATCH(H122,Inherited!A:A),IF((((_xlfn.XLOOKUP(Assessment!#REF!,Inherited!A:A,Inherited!B:B))/100)*(_xlfn.XLOOKUP(Assessment!#REF!,Inherited!A:A,Inherited!E:E)))+(((100-(_xlfn.XLOOKUP(Assessment!#REF!,Inherited!A:A,Inherited!B:B)))/100)*IF(Z122="1.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(100%)","100"))))))&lt;=10,"0", IF(AND((((_xlfn.XLOOKUP(Assessment!#REF!,Inherited!A:A,Inherited!B:B))/100)*(_xlfn.XLOOKUP(Assessment!#REF!,Inherited!A:A,Inherited!E:E)))+(((100-(_xlfn.XLOOKUP(Assessment!#REF!,Inherited!A:A,Inherited!B:B)))/100)*IF(Z122="1.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(100%)","100"))))))&gt;=11,(((_xlfn.XLOOKUP(Assessment!#REF!,Inherited!A:A,Inherited!B:B))/100)*(_xlfn.XLOOKUP(Assessment!#REF!,Inherited!A:A,Inherited!E:E)))+(((100-(_xlfn.XLOOKUP(Assessment!#REF!,Inherited!A:A,Inherited!B:B)))/100)*IF(Z122="1.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(100%)","100"))))))&lt;=32),"25",IF(AND((((_xlfn.XLOOKUP(Assessment!#REF!,Inherited!A:A,Inherited!B:B))/100)*(_xlfn.XLOOKUP(Assessment!#REF!,Inherited!A:A,Inherited!E:E)))+(((100-(_xlfn.XLOOKUP(Assessment!#REF!,Inherited!A:A,Inherited!B:B)))/100)*IF(Z122="1.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(100%)","100"))))))&gt;=33,(((_xlfn.XLOOKUP(Assessment!#REF!,Inherited!A:A,Inherited!B:B))/100)*(_xlfn.XLOOKUP(Assessment!#REF!,Inherited!A:A,Inherited!E:E)))+(((100-(_xlfn.XLOOKUP(Assessment!#REF!,Inherited!A:A,Inherited!B:B)))/100)*IF(Z122="1.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(100%)","100"))))))&lt;=65),"50",IF(AND((((_xlfn.XLOOKUP(Assessment!#REF!,Inherited!A:A,Inherited!B:B))/100)*(_xlfn.XLOOKUP(Assessment!#REF!,Inherited!A:A,Inherited!E:E)))+(((100-(_xlfn.XLOOKUP(Assessment!#REF!,Inherited!A:A,Inherited!B:B)))/100)*IF(Z122="1.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(100%)","100"))))))&gt;=66,(((_xlfn.XLOOKUP(Assessment!#REF!,Inherited!A:A,Inherited!B:B))/100)*(_xlfn.XLOOKUP(Assessment!#REF!,Inherited!A:A,Inherited!E:E)))+(((100-(_xlfn.XLOOKUP(Assessment!#REF!,Inherited!A:A,Inherited!B:B)))/100)*IF(Z122="1.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(100%)","100"))))))&lt;=89),"75",IF((((_xlfn.XLOOKUP(Assessment!#REF!,Inherited!A:A,Inherited!B:B))/100)*(_xlfn.XLOOKUP(Assessment!#REF!,Inherited!A:A,Inherited!E:E)))+(((100-(_xlfn.XLOOKUP(Assessment!#REF!,Inherited!A:A,Inherited!B:B)))/100)*IF(Z122="1. Non Compliant (0%)","0",IF(Z122="2. Somewhat Compliant (25%)","25",IF(Z122="3. Partially Compliant (50%)","50",IF(Z122="4. Mostly Compliant (75%)","75",IF(Z122="5. Fully Compliant (100%)","100"))))))&gt;=90,"100"))))))</f>
        <v>#N/A</v>
      </c>
      <c r="T122" s="1" t="e">
        <f>IF(MATCH(H122,Inherited!A:A),IF((((_xlfn.XLOOKUP(Assessment!#REF!,Inherited!A:A,Inherited!B:B))/100)*(_xlfn.XLOOKUP(Assessment!#REF!,Inherited!A:A,Inherited!F:F)))+(((100-(_xlfn.XLOOKUP(Assessment!#REF!,Inherited!A:A,Inherited!B:B)))/100)*IF(AA122="1.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(100%)","100"))))))&lt;=10,"0", IF(AND((((_xlfn.XLOOKUP(Assessment!#REF!,Inherited!A:A,Inherited!B:B))/100)*(_xlfn.XLOOKUP(Assessment!#REF!,Inherited!A:A,Inherited!F:F)))+(((100-(_xlfn.XLOOKUP(Assessment!#REF!,Inherited!A:A,Inherited!B:B)))/100)*IF(AA122="1.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(100%)","100"))))))&gt;=11,(((_xlfn.XLOOKUP(Assessment!#REF!,Inherited!A:A,Inherited!B:B))/100)*(_xlfn.XLOOKUP(Assessment!#REF!,Inherited!A:A,Inherited!F:F)))+(((100-(_xlfn.XLOOKUP(Assessment!#REF!,Inherited!A:A,Inherited!B:B)))/100)*IF(AA122="1.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(100%)","100"))))))&lt;=32),"25",IF(AND((((_xlfn.XLOOKUP(Assessment!#REF!,Inherited!A:A,Inherited!B:B))/100)*(_xlfn.XLOOKUP(Assessment!#REF!,Inherited!A:A,Inherited!F:F)))+(((100-(_xlfn.XLOOKUP(Assessment!#REF!,Inherited!A:A,Inherited!B:B)))/100)*IF(AA122="1.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(100%)","100"))))))&gt;=33,(((_xlfn.XLOOKUP(Assessment!#REF!,Inherited!A:A,Inherited!B:B))/100)*(_xlfn.XLOOKUP(Assessment!#REF!,Inherited!A:A,Inherited!F:F)))+(((100-(_xlfn.XLOOKUP(Assessment!#REF!,Inherited!A:A,Inherited!B:B)))/100)*IF(AA122="1.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(100%)","100"))))))&lt;=65),"50",IF(AND((((_xlfn.XLOOKUP(Assessment!#REF!,Inherited!A:A,Inherited!B:B))/100)*(_xlfn.XLOOKUP(Assessment!#REF!,Inherited!A:A,Inherited!F:F)))+(((100-(_xlfn.XLOOKUP(Assessment!#REF!,Inherited!A:A,Inherited!B:B)))/100)*IF(AA122="1.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(100%)","100"))))))&gt;=66,(((_xlfn.XLOOKUP(Assessment!#REF!,Inherited!A:A,Inherited!B:B))/100)*(_xlfn.XLOOKUP(Assessment!#REF!,Inherited!A:A,Inherited!F:F)))+(((100-(_xlfn.XLOOKUP(Assessment!#REF!,Inherited!A:A,Inherited!B:B)))/100)*IF(AA122="1.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(100%)","100"))))))&lt;=89),"75",IF((((_xlfn.XLOOKUP(Assessment!#REF!,Inherited!A:A,Inherited!B:B))/100)*(_xlfn.XLOOKUP(Assessment!#REF!,Inherited!A:A,Inherited!F:F)))+(((100-(_xlfn.XLOOKUP(Assessment!#REF!,Inherited!A:A,Inherited!B:B)))/100)*IF(AA122="1. Non Compliant (0%)","0",IF(AA122="2. Somewhat Compliant (25%)","25",IF(AA122="3. Partially Compliant (50%)","50",IF(AA122="4. Mostly Compliant (75%)","75",IF(AA122="5. Fully Compliant (100%)","100"))))))&gt;=90,"100"))))))</f>
        <v>#N/A</v>
      </c>
      <c r="U122" s="1" t="e">
        <f>IF(MATCH(H122,Inherited!A:A),IF((((_xlfn.XLOOKUP(Assessment!#REF!,Inherited!A:A,Inherited!B:B))/100)*(_xlfn.XLOOKUP(Assessment!#REF!,Inherited!A:A,Inherited!G:G)))+(((100-(_xlfn.XLOOKUP(Assessment!#REF!,Inherited!A:A,Inherited!B:B)))/100)*IF(AB122="1.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(100%)","100"))))))&lt;=10,"0", IF(AND((((_xlfn.XLOOKUP(Assessment!#REF!,Inherited!A:A,Inherited!B:B))/100)*(_xlfn.XLOOKUP(Assessment!#REF!,Inherited!A:A,Inherited!G:G)))+(((100-(_xlfn.XLOOKUP(Assessment!#REF!,Inherited!A:A,Inherited!B:B)))/100)*IF(AB122="1.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(100%)","100"))))))&gt;=11,(((_xlfn.XLOOKUP(Assessment!#REF!,Inherited!A:A,Inherited!B:B))/100)*(_xlfn.XLOOKUP(Assessment!#REF!,Inherited!A:A,Inherited!G:G)))+(((100-(_xlfn.XLOOKUP(Assessment!#REF!,Inherited!A:A,Inherited!B:B)))/100)*IF(AB122="1.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(100%)","100"))))))&lt;=32),"25",IF(AND((((_xlfn.XLOOKUP(Assessment!#REF!,Inherited!A:A,Inherited!B:B))/100)*(_xlfn.XLOOKUP(Assessment!#REF!,Inherited!A:A,Inherited!G:G)))+(((100-(_xlfn.XLOOKUP(Assessment!#REF!,Inherited!A:A,Inherited!B:B)))/100)*IF(AB122="1.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(100%)","100"))))))&gt;=33,(((_xlfn.XLOOKUP(Assessment!#REF!,Inherited!A:A,Inherited!B:B))/100)*(_xlfn.XLOOKUP(Assessment!#REF!,Inherited!A:A,Inherited!G:G)))+(((100-(_xlfn.XLOOKUP(Assessment!#REF!,Inherited!A:A,Inherited!B:B)))/100)*IF(AB122="1.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(100%)","100"))))))&lt;=65),"50",IF(AND((((_xlfn.XLOOKUP(Assessment!#REF!,Inherited!A:A,Inherited!B:B))/100)*(_xlfn.XLOOKUP(Assessment!#REF!,Inherited!A:A,Inherited!G:G)))+(((100-(_xlfn.XLOOKUP(Assessment!#REF!,Inherited!A:A,Inherited!B:B)))/100)*IF(AB122="1.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(100%)","100"))))))&gt;=66,(((_xlfn.XLOOKUP(Assessment!#REF!,Inherited!A:A,Inherited!B:B))/100)*(_xlfn.XLOOKUP(Assessment!#REF!,Inherited!A:A,Inherited!G:G)))+(((100-(_xlfn.XLOOKUP(Assessment!#REF!,Inherited!A:A,Inherited!B:B)))/100)*IF(AB122="1.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(100%)","100"))))))&lt;=89),"75",IF((((_xlfn.XLOOKUP(Assessment!#REF!,Inherited!A:A,Inherited!B:B))/100)*(_xlfn.XLOOKUP(Assessment!#REF!,Inherited!A:A,Inherited!G:G)))+(((100-(_xlfn.XLOOKUP(Assessment!#REF!,Inherited!A:A,Inherited!B:B)))/100)*IF(AB122="1. Non Compliant (0%)","0",IF(AB122="2. Somewhat Compliant (25%)","25",IF(AB122="3. Partially Compliant (50%)","50",IF(AB122="4. Mostly Compliant (75%)","75",IF(AB122="5. Fully Compliant (100%)","100"))))))&gt;=90,"100"))))))</f>
        <v>#N/A</v>
      </c>
      <c r="V122" s="55" t="s">
        <v>85</v>
      </c>
      <c r="W122" s="55"/>
      <c r="X122" s="55"/>
      <c r="Y122" s="55"/>
      <c r="Z122" s="55" t="s">
        <v>10873</v>
      </c>
      <c r="AA122" s="55"/>
      <c r="AB122" s="55"/>
      <c r="AK122" s="1" t="s">
        <v>10951</v>
      </c>
      <c r="AL122" s="1" t="s">
        <v>10954</v>
      </c>
      <c r="AP122" s="85" t="s">
        <v>10955</v>
      </c>
      <c r="AX122" s="3" t="str">
        <f>_xlfn.CONCAT("A-LIGN finished its review of this control on ",AR122, " during the scheduled fieldwork window (",Intro!$B$4,")."&amp; CHAR(10)&amp; CHAR(10))</f>
        <v xml:space="preserve">A-LIGN finished its review of this control on  during the scheduled fieldwork window (Fieldwork: xx/xx/xxxx - xx/xx/xxxx).
</v>
      </c>
      <c r="AY122" s="3" t="str">
        <f t="shared" ref="AY122:AY123" si="260">IF(AQ122&lt;&gt;"",(_xlfn.CONCAT("Inheritance note: "&amp; CHAR(10),AQ122&amp; CHAR(10)&amp; CHAR(10))),"")</f>
        <v/>
      </c>
      <c r="AZ122" s="3" t="str">
        <f t="shared" ref="AZ122:AZ123" si="261">IFERROR(IF(AD122&lt;&gt;"",_xlfn.CONCAT("Examined the following policy during fieldwork:"&amp; CHAR(10),AD122&amp; CHAR(10)&amp; CHAR(10),IF(AND(X122&lt;&gt;"5. Fully Compliant (100%)",AE122&lt;&gt;""),"Reviewed policy exception note:"&amp; CHAR(10) &amp; AE122 &amp; CHAR(10) &amp; CHAR(10),"")),""),"")</f>
        <v/>
      </c>
      <c r="BA122" s="3" t="str">
        <f t="shared" ref="BA122:BA123" si="262">IFERROR(IF(AH122&lt;&gt;"",_xlfn.CONCAT("Examined the following process during fieldwork:"&amp; CHAR(10),AH122&amp; CHAR(10)&amp; CHAR(10),IF(AND(Y122&lt;&gt;"5. Fully Compliant (100%)",AI122&lt;&gt;""),"Reviewed process exception note:"&amp; CHAR(10) &amp; AI122 &amp; CHAR(10) &amp; CHAR(10),"")),""),"")</f>
        <v/>
      </c>
      <c r="BB122" s="3" t="str">
        <f t="shared" ref="BB122:BB123" si="263">IF(AK122&lt;&gt;"",(_xlfn.CONCAT("Inquired of the following workforce member: "&amp; CHAR(10),AK122&amp; CHAR(10)&amp; CHAR(10),"Inquiry lead to the following conclusions: "&amp; CHAR(10),AL122&amp; CHAR(10) &amp; CHAR(10))),"")</f>
        <v xml:space="preserve">Inquired of the following workforce member: 
Roze Nicolas - Director of TechOps
Nathaniel Dynkiewicz - General Counsel
Inquiry lead to the following conclusions: 
Moving forward terms and conditions will be added to the website with acknowledgement for users.
</v>
      </c>
      <c r="BC122" s="3" t="str">
        <f t="shared" ref="BC122:BC123" si="264">IF(AM122&lt;&gt;"",(_xlfn.CONCAT("Observed the following live during fieldwork: "&amp; CHAR(10),AM122&amp; CHAR(10) &amp; CHAR(10))),"")</f>
        <v/>
      </c>
      <c r="BD122" s="3" t="str">
        <f t="shared" ref="BD122:BD123" si="265">_xlfn.CONCAT("Examined the following evidence during fieldwork:"&amp; CHAR(10),AN122&amp; CHAR(10)&amp; CHAR(10),IF(AO122&lt;&gt;"","Reviewed evidence note:"&amp; CHAR(10)&amp;AO122&amp; CHAR(10) &amp; CHAR(10),"Reviewed evidence addressed the requirement statement."&amp; CHAR(10) &amp; CHAR(10)),IF(AND(AP122&lt;&gt;"5. Fully Compliant (100%)",AP122&lt;&gt;""),"Reviewed evidence exception note: "&amp; CHAR(10) &amp; AP122 &amp; CHAR(10) &amp; CHAR(10),""))</f>
        <v xml:space="preserve">Examined the following evidence during fieldwork:
Reviewed evidence addressed the requirement statement.
Reviewed evidence exception note: 
Gap: Terms and conditions or the product/service, right to monitor, liability, and acknowledgement are not currently in place
Recommendation: Management should ensure that that proper terms and conditions are added to the website
</v>
      </c>
      <c r="BE122" s="3" t="str">
        <f t="shared" ref="BE122:BE123" si="266">IF(AT122&lt;&gt;"",(_xlfn.CONCAT("Examined the following measure/metric during fieldwork:"&amp; CHAR(10),AT122&amp; CHAR(10)&amp; CHAR(10),"Reviewed measure/metric note:"&amp; CHAR(10),AU122 &amp; CHAR(10) &amp; CHAR(10))),"")</f>
        <v/>
      </c>
      <c r="BF122" s="3" t="str">
        <f t="shared" ref="BF122:BF123" si="267">IF(AV122&lt;&gt;"",(_xlfn.CONCAT("Examined the following measure/metric management during fieldwork:"&amp; CHAR(10),AV122&amp; CHAR(10)&amp; CHAR(10),"Reviewed measure/metric management note:"&amp; CHAR(10),AW122 &amp; CHAR(10) &amp; CHAR(10))),"")</f>
        <v/>
      </c>
      <c r="BG122" s="3" t="str">
        <f>_xlfn.CONCAT((IF((COUNTIF('Sample Tables'!B:B,"")&gt;0)=TRUE,_xlfn.CONCAT("",""),IF((COUNTIF('Sample Tables'!B:B,"")&gt;0)=FALSE,""))),)</f>
        <v/>
      </c>
      <c r="BH122" s="3" t="str">
        <f t="shared" ref="BH122:BH123" si="268">IF(V122="No","Not Applicable: "&amp;W122,(_xlfn.CONCAT(AX122,AY122,AZ122,BA122,BB122,BC122,BD122,BE122,BF122,BG122)))</f>
        <v xml:space="preserve">A-LIGN finished its review of this control on  during the scheduled fieldwork window (Fieldwork: xx/xx/xxxx - xx/xx/xxxx).
Inquired of the following workforce member: 
Roze Nicolas - Director of TechOps
Nathaniel Dynkiewicz - General Counsel
Inquiry lead to the following conclusions: 
Moving forward terms and conditions will be added to the website with acknowledgement for users.
Examined the following evidence during fieldwork:
Reviewed evidence addressed the requirement statement.
Reviewed evidence exception note: 
Gap: Terms and conditions or the product/service, right to monitor, liability, and acknowledgement are not currently in place
Recommendation: Management should ensure that that proper terms and conditions are added to the website
</v>
      </c>
    </row>
    <row r="123" spans="3:60" ht="409.5" x14ac:dyDescent="0.35">
      <c r="C123" s="1">
        <f t="shared" ref="C123" si="269">IF(V123="No","Not Applicable",(IF(X123="1. Non Compliant (0%)","0",IF(X123="2. Somewhat Compliant (25%)","25",IF(X123="3. Partially Compliant (50%)","50",IF(X123="4. Mostly Compliant (75%)","75",IF(X123="5. Fully Compliant (100%)","100")))))*0.15)+((IF(Y123="1. Non Compliant (0%)","0",IF(Y123="2. Somewhat Compliant (25%)","25",IF(Y123="3. Partially Compliant (50%)","50",IF(Y123="4. Mostly Compliant (75%)","75",IF(Y123="5. Fully Compliant (100%)","100"))))))*0.2)+(IF(Z123="1. Non Compliant (0%)","0",IF(Z123="2. Somewhat Compliant (25%)","25",IF(Z123="3. Partially Compliant (50%)","50",IF(Z123="4. Mostly Compliant (75%)","75",IF(Z123="5. Fully Compliant (100%)","100")))))*0.4)+(IF(AA123="1. Non Compliant (0%)","0",IF(AA123="2. Somewhat Compliant (25%)","25",IF(AA123="3. Partially Compliant (50%)","50",IF(AA123="4. Mostly Compliant (75%)","75",IF(AA123="5. Fully Compliant (100%)","100")))))*0.1)+(IF(AB123="1. Non Compliant (0%)","0",IF(AB123="2. Somewhat Compliant (25%)","25",IF(AB123="3. Partially Compliant (50%)","50",IF(AB123="4. Mostly Compliant (75%)","75",IF(AB123="5. Fully Compliant (100%)","100")))))*0.15))</f>
        <v>40</v>
      </c>
      <c r="D123" s="5" t="str">
        <f>IF(AND((_xlfn.XLOOKUP(J123,'Fields &amp; Revisions'!$H:$H,'Fields &amp; Revisions'!$I:$I))&lt;70.99,(OR(Z123="4. Mostly Compliant (75%)",Z123="3. Partially Compliant (50%)",Z123="2. Somewhat Compliant (25%)",Z123="1. Non Compliant (0%)"))),"Yes","No")</f>
        <v>No</v>
      </c>
      <c r="E123" s="5" t="str">
        <f>IF(ISERROR(VLOOKUP(H123,Scope!A:A,1,FALSE)),"No","Yes")</f>
        <v>Yes</v>
      </c>
      <c r="F123" s="1" t="s">
        <v>3786</v>
      </c>
      <c r="G123" s="53" t="s">
        <v>3970</v>
      </c>
      <c r="H123" s="53" t="s">
        <v>3971</v>
      </c>
      <c r="I123" s="5">
        <v>1</v>
      </c>
      <c r="J123" s="1" t="s">
        <v>416</v>
      </c>
      <c r="K123" s="1" t="s">
        <v>3972</v>
      </c>
      <c r="L123" s="1" t="s">
        <v>3973</v>
      </c>
      <c r="M123" s="1" t="s">
        <v>1939</v>
      </c>
      <c r="N123" s="5" t="s">
        <v>85</v>
      </c>
      <c r="O123" s="1" t="str">
        <f>_xlfn.XLOOKUP(G123,SRMs!$A:$A,SRMs!$D:$D)</f>
        <v>PARTIAL INHERITANCE</v>
      </c>
      <c r="P123" s="1" t="str">
        <f>IFERROR(VLOOKUP(H123,Inherited!A:B,2,FALSE),"")</f>
        <v/>
      </c>
      <c r="Q123" s="1" t="e">
        <f>IF(MATCH(H123,Inherited!A:A),IF((((_xlfn.XLOOKUP(Assessment!#REF!,Inherited!A:A,Inherited!B:B))/100)*(_xlfn.XLOOKUP(Assessment!#REF!,Inherited!A:A,Inherited!C:C)))+(((100-(_xlfn.XLOOKUP(Assessment!#REF!,Inherited!A:A,Inherited!B:B)))/100)*IF(X123="1.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(100%)","100"))))))&lt;=10,"0", IF(AND((((_xlfn.XLOOKUP(Assessment!#REF!,Inherited!A:A,Inherited!B:B))/100)*(_xlfn.XLOOKUP(Assessment!#REF!,Inherited!A:A,Inherited!C:C)))+(((100-(_xlfn.XLOOKUP(Assessment!#REF!,Inherited!A:A,Inherited!B:B)))/100)*IF(X123="1.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(100%)","100"))))))&gt;=11,(((_xlfn.XLOOKUP(Assessment!#REF!,Inherited!A:A,Inherited!B:B))/100)*(_xlfn.XLOOKUP(Assessment!#REF!,Inherited!A:A,Inherited!C:C)))+(((100-(_xlfn.XLOOKUP(Assessment!#REF!,Inherited!A:A,Inherited!B:B)))/100)*IF(X123="1.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(100%)","100"))))))&lt;=32),"25",IF(AND((((_xlfn.XLOOKUP(Assessment!#REF!,Inherited!A:A,Inherited!B:B))/100)*(_xlfn.XLOOKUP(Assessment!#REF!,Inherited!A:A,Inherited!C:C)))+(((100-(_xlfn.XLOOKUP(Assessment!#REF!,Inherited!A:A,Inherited!B:B)))/100)*IF(X123="1.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(100%)","100"))))))&gt;=33,(((_xlfn.XLOOKUP(Assessment!#REF!,Inherited!A:A,Inherited!B:B))/100)*(_xlfn.XLOOKUP(Assessment!#REF!,Inherited!A:A,Inherited!C:C)))+(((100-(_xlfn.XLOOKUP(Assessment!#REF!,Inherited!A:A,Inherited!B:B)))/100)*IF(X123="1.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(100%)","100"))))))&lt;=65),"50",IF(AND((((_xlfn.XLOOKUP(Assessment!#REF!,Inherited!A:A,Inherited!B:B))/100)*(_xlfn.XLOOKUP(Assessment!#REF!,Inherited!A:A,Inherited!C:C)))+(((100-(_xlfn.XLOOKUP(Assessment!#REF!,Inherited!A:A,Inherited!B:B)))/100)*IF(X123="1.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(100%)","100"))))))&gt;=66,(((_xlfn.XLOOKUP(Assessment!#REF!,Inherited!A:A,Inherited!B:B))/100)*(_xlfn.XLOOKUP(Assessment!#REF!,Inherited!A:A,Inherited!C:C)))+(((100-(_xlfn.XLOOKUP(Assessment!#REF!,Inherited!A:A,Inherited!B:B)))/100)*IF(X123="1.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(100%)","100"))))))&lt;=89),"75",IF((((_xlfn.XLOOKUP(Assessment!#REF!,Inherited!A:A,Inherited!B:B))/100)*(_xlfn.XLOOKUP(Assessment!#REF!,Inherited!A:A,Inherited!C:C)))+(((100-(_xlfn.XLOOKUP(Assessment!#REF!,Inherited!A:A,Inherited!B:B)))/100)*IF(X123="1. Non Compliant (0%)","0",IF(X123="2. Somewhat Compliant (25%)","25",IF(X123="3. Partially Compliant (50%)","50",IF(X123="4. Mostly Compliant (75%)","75",IF(X123="5. Fully Compliant (100%)","100"))))))&gt;=90,"100"))))))</f>
        <v>#N/A</v>
      </c>
      <c r="R123" s="1" t="e">
        <f>IF(MATCH(H123,Inherited!A:A),IF((((_xlfn.XLOOKUP(Assessment!#REF!,Inherited!A:A,Inherited!B:B))/100)*(_xlfn.XLOOKUP(Assessment!#REF!,Inherited!A:A,Inherited!D:D)))+(((100-(_xlfn.XLOOKUP(Assessment!#REF!,Inherited!A:A,Inherited!B:B)))/100)*IF(Y123="1.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(100%)","100"))))))&lt;=10,"0", IF(AND((((_xlfn.XLOOKUP(Assessment!#REF!,Inherited!A:A,Inherited!B:B))/100)*(_xlfn.XLOOKUP(Assessment!#REF!,Inherited!A:A,Inherited!D:D)))+(((100-(_xlfn.XLOOKUP(Assessment!#REF!,Inherited!A:A,Inherited!B:B)))/100)*IF(Y123="1.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(100%)","100"))))))&gt;=11,(((_xlfn.XLOOKUP(Assessment!#REF!,Inherited!A:A,Inherited!B:B))/100)*(_xlfn.XLOOKUP(Assessment!#REF!,Inherited!A:A,Inherited!D:D)))+(((100-(_xlfn.XLOOKUP(Assessment!#REF!,Inherited!A:A,Inherited!B:B)))/100)*IF(Y123="1.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(100%)","100"))))))&lt;=32),"25",IF(AND((((_xlfn.XLOOKUP(Assessment!#REF!,Inherited!A:A,Inherited!B:B))/100)*(_xlfn.XLOOKUP(Assessment!#REF!,Inherited!A:A,Inherited!D:D)))+(((100-(_xlfn.XLOOKUP(Assessment!#REF!,Inherited!A:A,Inherited!B:B)))/100)*IF(Y123="1.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(100%)","100"))))))&gt;=33,(((_xlfn.XLOOKUP(Assessment!#REF!,Inherited!A:A,Inherited!B:B))/100)*(_xlfn.XLOOKUP(Assessment!#REF!,Inherited!A:A,Inherited!D:D)))+(((100-(_xlfn.XLOOKUP(Assessment!#REF!,Inherited!A:A,Inherited!B:B)))/100)*IF(Y123="1.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(100%)","100"))))))&lt;=65),"50",IF(AND((((_xlfn.XLOOKUP(Assessment!#REF!,Inherited!A:A,Inherited!B:B))/100)*(_xlfn.XLOOKUP(Assessment!#REF!,Inherited!A:A,Inherited!D:D)))+(((100-(_xlfn.XLOOKUP(Assessment!#REF!,Inherited!A:A,Inherited!B:B)))/100)*IF(Y123="1.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(100%)","100"))))))&gt;=66,(((_xlfn.XLOOKUP(Assessment!#REF!,Inherited!A:A,Inherited!B:B))/100)*(_xlfn.XLOOKUP(Assessment!#REF!,Inherited!A:A,Inherited!D:D)))+(((100-(_xlfn.XLOOKUP(Assessment!#REF!,Inherited!A:A,Inherited!B:B)))/100)*IF(Y123="1.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(100%)","100"))))))&lt;=89),"75",IF((((_xlfn.XLOOKUP(Assessment!#REF!,Inherited!A:A,Inherited!B:B))/100)*(_xlfn.XLOOKUP(Assessment!#REF!,Inherited!A:A,Inherited!D:D)))+(((100-(_xlfn.XLOOKUP(Assessment!#REF!,Inherited!A:A,Inherited!B:B)))/100)*IF(Y123="1. Non Compliant (0%)","0",IF(Y123="2. Somewhat Compliant (25%)","25",IF(Y123="3. Partially Compliant (50%)","50",IF(Y123="4. Mostly Compliant (75%)","75",IF(Y123="5. Fully Compliant (100%)","100"))))))&gt;=90,"100"))))))</f>
        <v>#N/A</v>
      </c>
      <c r="S123" s="1" t="e">
        <f>IF(MATCH(H123,Inherited!A:A),IF((((_xlfn.XLOOKUP(Assessment!#REF!,Inherited!A:A,Inherited!B:B))/100)*(_xlfn.XLOOKUP(Assessment!#REF!,Inherited!A:A,Inherited!E:E)))+(((100-(_xlfn.XLOOKUP(Assessment!#REF!,Inherited!A:A,Inherited!B:B)))/100)*IF(Z123="1.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(100%)","100"))))))&lt;=10,"0", IF(AND((((_xlfn.XLOOKUP(Assessment!#REF!,Inherited!A:A,Inherited!B:B))/100)*(_xlfn.XLOOKUP(Assessment!#REF!,Inherited!A:A,Inherited!E:E)))+(((100-(_xlfn.XLOOKUP(Assessment!#REF!,Inherited!A:A,Inherited!B:B)))/100)*IF(Z123="1.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(100%)","100"))))))&gt;=11,(((_xlfn.XLOOKUP(Assessment!#REF!,Inherited!A:A,Inherited!B:B))/100)*(_xlfn.XLOOKUP(Assessment!#REF!,Inherited!A:A,Inherited!E:E)))+(((100-(_xlfn.XLOOKUP(Assessment!#REF!,Inherited!A:A,Inherited!B:B)))/100)*IF(Z123="1.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(100%)","100"))))))&lt;=32),"25",IF(AND((((_xlfn.XLOOKUP(Assessment!#REF!,Inherited!A:A,Inherited!B:B))/100)*(_xlfn.XLOOKUP(Assessment!#REF!,Inherited!A:A,Inherited!E:E)))+(((100-(_xlfn.XLOOKUP(Assessment!#REF!,Inherited!A:A,Inherited!B:B)))/100)*IF(Z123="1.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(100%)","100"))))))&gt;=33,(((_xlfn.XLOOKUP(Assessment!#REF!,Inherited!A:A,Inherited!B:B))/100)*(_xlfn.XLOOKUP(Assessment!#REF!,Inherited!A:A,Inherited!E:E)))+(((100-(_xlfn.XLOOKUP(Assessment!#REF!,Inherited!A:A,Inherited!B:B)))/100)*IF(Z123="1.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(100%)","100"))))))&lt;=65),"50",IF(AND((((_xlfn.XLOOKUP(Assessment!#REF!,Inherited!A:A,Inherited!B:B))/100)*(_xlfn.XLOOKUP(Assessment!#REF!,Inherited!A:A,Inherited!E:E)))+(((100-(_xlfn.XLOOKUP(Assessment!#REF!,Inherited!A:A,Inherited!B:B)))/100)*IF(Z123="1.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(100%)","100"))))))&gt;=66,(((_xlfn.XLOOKUP(Assessment!#REF!,Inherited!A:A,Inherited!B:B))/100)*(_xlfn.XLOOKUP(Assessment!#REF!,Inherited!A:A,Inherited!E:E)))+(((100-(_xlfn.XLOOKUP(Assessment!#REF!,Inherited!A:A,Inherited!B:B)))/100)*IF(Z123="1.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(100%)","100"))))))&lt;=89),"75",IF((((_xlfn.XLOOKUP(Assessment!#REF!,Inherited!A:A,Inherited!B:B))/100)*(_xlfn.XLOOKUP(Assessment!#REF!,Inherited!A:A,Inherited!E:E)))+(((100-(_xlfn.XLOOKUP(Assessment!#REF!,Inherited!A:A,Inherited!B:B)))/100)*IF(Z123="1. Non Compliant (0%)","0",IF(Z123="2. Somewhat Compliant (25%)","25",IF(Z123="3. Partially Compliant (50%)","50",IF(Z123="4. Mostly Compliant (75%)","75",IF(Z123="5. Fully Compliant (100%)","100"))))))&gt;=90,"100"))))))</f>
        <v>#N/A</v>
      </c>
      <c r="T123" s="1" t="e">
        <f>IF(MATCH(H123,Inherited!A:A),IF((((_xlfn.XLOOKUP(Assessment!#REF!,Inherited!A:A,Inherited!B:B))/100)*(_xlfn.XLOOKUP(Assessment!#REF!,Inherited!A:A,Inherited!F:F)))+(((100-(_xlfn.XLOOKUP(Assessment!#REF!,Inherited!A:A,Inherited!B:B)))/100)*IF(AA123="1.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(100%)","100"))))))&lt;=10,"0", IF(AND((((_xlfn.XLOOKUP(Assessment!#REF!,Inherited!A:A,Inherited!B:B))/100)*(_xlfn.XLOOKUP(Assessment!#REF!,Inherited!A:A,Inherited!F:F)))+(((100-(_xlfn.XLOOKUP(Assessment!#REF!,Inherited!A:A,Inherited!B:B)))/100)*IF(AA123="1.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(100%)","100"))))))&gt;=11,(((_xlfn.XLOOKUP(Assessment!#REF!,Inherited!A:A,Inherited!B:B))/100)*(_xlfn.XLOOKUP(Assessment!#REF!,Inherited!A:A,Inherited!F:F)))+(((100-(_xlfn.XLOOKUP(Assessment!#REF!,Inherited!A:A,Inherited!B:B)))/100)*IF(AA123="1.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(100%)","100"))))))&lt;=32),"25",IF(AND((((_xlfn.XLOOKUP(Assessment!#REF!,Inherited!A:A,Inherited!B:B))/100)*(_xlfn.XLOOKUP(Assessment!#REF!,Inherited!A:A,Inherited!F:F)))+(((100-(_xlfn.XLOOKUP(Assessment!#REF!,Inherited!A:A,Inherited!B:B)))/100)*IF(AA123="1.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(100%)","100"))))))&gt;=33,(((_xlfn.XLOOKUP(Assessment!#REF!,Inherited!A:A,Inherited!B:B))/100)*(_xlfn.XLOOKUP(Assessment!#REF!,Inherited!A:A,Inherited!F:F)))+(((100-(_xlfn.XLOOKUP(Assessment!#REF!,Inherited!A:A,Inherited!B:B)))/100)*IF(AA123="1.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(100%)","100"))))))&lt;=65),"50",IF(AND((((_xlfn.XLOOKUP(Assessment!#REF!,Inherited!A:A,Inherited!B:B))/100)*(_xlfn.XLOOKUP(Assessment!#REF!,Inherited!A:A,Inherited!F:F)))+(((100-(_xlfn.XLOOKUP(Assessment!#REF!,Inherited!A:A,Inherited!B:B)))/100)*IF(AA123="1.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(100%)","100"))))))&gt;=66,(((_xlfn.XLOOKUP(Assessment!#REF!,Inherited!A:A,Inherited!B:B))/100)*(_xlfn.XLOOKUP(Assessment!#REF!,Inherited!A:A,Inherited!F:F)))+(((100-(_xlfn.XLOOKUP(Assessment!#REF!,Inherited!A:A,Inherited!B:B)))/100)*IF(AA123="1.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(100%)","100"))))))&lt;=89),"75",IF((((_xlfn.XLOOKUP(Assessment!#REF!,Inherited!A:A,Inherited!B:B))/100)*(_xlfn.XLOOKUP(Assessment!#REF!,Inherited!A:A,Inherited!F:F)))+(((100-(_xlfn.XLOOKUP(Assessment!#REF!,Inherited!A:A,Inherited!B:B)))/100)*IF(AA123="1. Non Compliant (0%)","0",IF(AA123="2. Somewhat Compliant (25%)","25",IF(AA123="3. Partially Compliant (50%)","50",IF(AA123="4. Mostly Compliant (75%)","75",IF(AA123="5. Fully Compliant (100%)","100"))))))&gt;=90,"100"))))))</f>
        <v>#N/A</v>
      </c>
      <c r="U123" s="1" t="e">
        <f>IF(MATCH(H123,Inherited!A:A),IF((((_xlfn.XLOOKUP(Assessment!#REF!,Inherited!A:A,Inherited!B:B))/100)*(_xlfn.XLOOKUP(Assessment!#REF!,Inherited!A:A,Inherited!G:G)))+(((100-(_xlfn.XLOOKUP(Assessment!#REF!,Inherited!A:A,Inherited!B:B)))/100)*IF(AB123="1.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(100%)","100"))))))&lt;=10,"0", IF(AND((((_xlfn.XLOOKUP(Assessment!#REF!,Inherited!A:A,Inherited!B:B))/100)*(_xlfn.XLOOKUP(Assessment!#REF!,Inherited!A:A,Inherited!G:G)))+(((100-(_xlfn.XLOOKUP(Assessment!#REF!,Inherited!A:A,Inherited!B:B)))/100)*IF(AB123="1.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(100%)","100"))))))&gt;=11,(((_xlfn.XLOOKUP(Assessment!#REF!,Inherited!A:A,Inherited!B:B))/100)*(_xlfn.XLOOKUP(Assessment!#REF!,Inherited!A:A,Inherited!G:G)))+(((100-(_xlfn.XLOOKUP(Assessment!#REF!,Inherited!A:A,Inherited!B:B)))/100)*IF(AB123="1.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(100%)","100"))))))&lt;=32),"25",IF(AND((((_xlfn.XLOOKUP(Assessment!#REF!,Inherited!A:A,Inherited!B:B))/100)*(_xlfn.XLOOKUP(Assessment!#REF!,Inherited!A:A,Inherited!G:G)))+(((100-(_xlfn.XLOOKUP(Assessment!#REF!,Inherited!A:A,Inherited!B:B)))/100)*IF(AB123="1.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(100%)","100"))))))&gt;=33,(((_xlfn.XLOOKUP(Assessment!#REF!,Inherited!A:A,Inherited!B:B))/100)*(_xlfn.XLOOKUP(Assessment!#REF!,Inherited!A:A,Inherited!G:G)))+(((100-(_xlfn.XLOOKUP(Assessment!#REF!,Inherited!A:A,Inherited!B:B)))/100)*IF(AB123="1.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(100%)","100"))))))&lt;=65),"50",IF(AND((((_xlfn.XLOOKUP(Assessment!#REF!,Inherited!A:A,Inherited!B:B))/100)*(_xlfn.XLOOKUP(Assessment!#REF!,Inherited!A:A,Inherited!G:G)))+(((100-(_xlfn.XLOOKUP(Assessment!#REF!,Inherited!A:A,Inherited!B:B)))/100)*IF(AB123="1.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(100%)","100"))))))&gt;=66,(((_xlfn.XLOOKUP(Assessment!#REF!,Inherited!A:A,Inherited!B:B))/100)*(_xlfn.XLOOKUP(Assessment!#REF!,Inherited!A:A,Inherited!G:G)))+(((100-(_xlfn.XLOOKUP(Assessment!#REF!,Inherited!A:A,Inherited!B:B)))/100)*IF(AB123="1.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(100%)","100"))))))&lt;=89),"75",IF((((_xlfn.XLOOKUP(Assessment!#REF!,Inherited!A:A,Inherited!B:B))/100)*(_xlfn.XLOOKUP(Assessment!#REF!,Inherited!A:A,Inherited!G:G)))+(((100-(_xlfn.XLOOKUP(Assessment!#REF!,Inherited!A:A,Inherited!B:B)))/100)*IF(AB123="1. Non Compliant (0%)","0",IF(AB123="2. Somewhat Compliant (25%)","25",IF(AB123="3. Partially Compliant (50%)","50",IF(AB123="4. Mostly Compliant (75%)","75",IF(AB123="5. Fully Compliant (100%)","100"))))))&gt;=90,"100"))))))</f>
        <v>#N/A</v>
      </c>
      <c r="V123" s="55" t="s">
        <v>85</v>
      </c>
      <c r="W123" s="55"/>
      <c r="X123" s="55"/>
      <c r="Y123" s="55"/>
      <c r="Z123" s="55" t="s">
        <v>86</v>
      </c>
      <c r="AA123" s="55"/>
      <c r="AB123" s="55"/>
      <c r="AK123" s="1" t="s">
        <v>10951</v>
      </c>
      <c r="AM123" s="1" t="s">
        <v>11044</v>
      </c>
      <c r="AX123" s="3" t="str">
        <f>_xlfn.CONCAT("A-LIGN finished its review of this control on ",AR123, " during the scheduled fieldwork window (",Intro!$B$4,")."&amp; CHAR(10)&amp; CHAR(10))</f>
        <v xml:space="preserve">A-LIGN finished its review of this control on  during the scheduled fieldwork window (Fieldwork: xx/xx/xxxx - xx/xx/xxxx).
</v>
      </c>
      <c r="AY123" s="3" t="str">
        <f t="shared" si="260"/>
        <v/>
      </c>
      <c r="AZ123" s="3" t="str">
        <f t="shared" si="261"/>
        <v/>
      </c>
      <c r="BA123" s="3" t="str">
        <f t="shared" si="262"/>
        <v/>
      </c>
      <c r="BB123" s="3" t="str">
        <f t="shared" si="263"/>
        <v xml:space="preserve">Inquired of the following workforce member: 
Roze Nicolas - Director of TechOps
Nathaniel Dynkiewicz - General Counsel
Inquiry lead to the following conclusions: 
</v>
      </c>
      <c r="BC123" s="3" t="str">
        <f t="shared" si="264"/>
        <v xml:space="preserve">Observed the following live during fieldwork: 
Observed the Sada (Google Workspace) agreement which demonstrated that an agreement for data exchange with third parties is in place.
</v>
      </c>
      <c r="BD123" s="3" t="str">
        <f t="shared" si="265"/>
        <v xml:space="preserve">Examined the following evidence during fieldwork:
Reviewed evidence addressed the requirement statement.
</v>
      </c>
      <c r="BE123" s="3" t="str">
        <f t="shared" si="266"/>
        <v/>
      </c>
      <c r="BF123" s="3" t="str">
        <f t="shared" si="267"/>
        <v/>
      </c>
      <c r="BG123" s="3" t="str">
        <f>_xlfn.CONCAT((IF((COUNTIF('Sample Tables'!B:B,"Test 069: External Entity (third party information exchange)")&gt;0)=TRUE,_xlfn.CONCAT("Sample test results are documented in ",'Sample Tables'!B755," [",'Sample Tables'!B756,", ",'Sample Tables'!B757,", ",'Sample Tables'!B758,", ",'Sample Tables'!B759,", ",'Sample Tables'!B760,"]."&amp;CHAR(10)),IF((COUNTIF('Sample Tables'!B:B,"Test 069: External Entity (third party information exchange)")&gt;0)=FALSE,""))),)</f>
        <v xml:space="preserve">Sample test results are documented in Test 069: External Entity (third party information exchange) [Population Source/Tool: , Population Date Range: , Population Size: , Sample Methodology: , Sample Size: ].
</v>
      </c>
      <c r="BH123" s="3" t="str">
        <f t="shared" si="268"/>
        <v xml:space="preserve">A-LIGN finished its review of this control on  during the scheduled fieldwork window (Fieldwork: xx/xx/xxxx - xx/xx/xxxx).
Inquired of the following workforce member: 
Roze Nicolas - Director of TechOps
Nathaniel Dynkiewicz - General Counsel
Inquiry lead to the following conclusions: 
Observed the following live during fieldwork: 
Observed the Sada (Google Workspace) agreement which demonstrated that an agreement for data exchange with third parties is in place.
Examined the following evidence during fieldwork:
Reviewed evidence addressed the requirement statement.
Sample test results are documented in Test 069: External Entity (third party information exchange) [Population Source/Tool: , Population Date Range: , Population Size: , Sample Methodology: , Sample Size: ].
</v>
      </c>
    </row>
    <row r="124" spans="3:60" ht="273" customHeight="1" x14ac:dyDescent="0.35">
      <c r="C124" s="1">
        <f t="shared" ref="C124" si="270">IF(V124="No","Not Applicable",(IF(X124="1. Non Compliant (0%)","0",IF(X124="2. Somewhat Compliant (25%)","25",IF(X124="3. Partially Compliant (50%)","50",IF(X124="4. Mostly Compliant (75%)","75",IF(X124="5. Fully Compliant (100%)","100")))))*0.15)+((IF(Y124="1. Non Compliant (0%)","0",IF(Y124="2. Somewhat Compliant (25%)","25",IF(Y124="3. Partially Compliant (50%)","50",IF(Y124="4. Mostly Compliant (75%)","75",IF(Y124="5. Fully Compliant (100%)","100"))))))*0.2)+(IF(Z124="1. Non Compliant (0%)","0",IF(Z124="2. Somewhat Compliant (25%)","25",IF(Z124="3. Partially Compliant (50%)","50",IF(Z124="4. Mostly Compliant (75%)","75",IF(Z124="5. Fully Compliant (100%)","100")))))*0.4)+(IF(AA124="1. Non Compliant (0%)","0",IF(AA124="2. Somewhat Compliant (25%)","25",IF(AA124="3. Partially Compliant (50%)","50",IF(AA124="4. Mostly Compliant (75%)","75",IF(AA124="5. Fully Compliant (100%)","100")))))*0.1)+(IF(AB124="1. Non Compliant (0%)","0",IF(AB124="2. Somewhat Compliant (25%)","25",IF(AB124="3. Partially Compliant (50%)","50",IF(AB124="4. Mostly Compliant (75%)","75",IF(AB124="5. Fully Compliant (100%)","100")))))*0.15))</f>
        <v>0</v>
      </c>
      <c r="D124" s="5" t="str">
        <f>IF(AND((_xlfn.XLOOKUP(J124,'Fields &amp; Revisions'!$H:$H,'Fields &amp; Revisions'!$I:$I))&lt;70.99,(OR(Z124="4. Mostly Compliant (75%)",Z124="3. Partially Compliant (50%)",Z124="2. Somewhat Compliant (25%)",Z124="1. Non Compliant (0%)"))),"Yes","No")</f>
        <v>Yes</v>
      </c>
      <c r="E124" s="5" t="str">
        <f>IF(ISERROR(VLOOKUP(H124,Scope!A:A,1,FALSE)),"No","Yes")</f>
        <v>Yes</v>
      </c>
      <c r="F124" s="1" t="s">
        <v>4036</v>
      </c>
      <c r="G124" s="53" t="s">
        <v>4097</v>
      </c>
      <c r="H124" s="53" t="s">
        <v>4098</v>
      </c>
      <c r="I124" s="5" t="s">
        <v>93</v>
      </c>
      <c r="J124" s="1" t="s">
        <v>4099</v>
      </c>
      <c r="K124" s="54" t="s">
        <v>4100</v>
      </c>
      <c r="L124" s="1" t="s">
        <v>4101</v>
      </c>
      <c r="M124" s="1" t="s">
        <v>4102</v>
      </c>
      <c r="N124" s="5" t="s">
        <v>98</v>
      </c>
      <c r="O124" s="1" t="str">
        <f>_xlfn.XLOOKUP(G124,SRMs!$A:$A,SRMs!$D:$D)</f>
        <v>NO INHERITANCE</v>
      </c>
      <c r="P124" s="1" t="str">
        <f>IFERROR(VLOOKUP(H124,Inherited!A:B,2,FALSE),"")</f>
        <v/>
      </c>
      <c r="Q124" s="1" t="e">
        <f>IF(MATCH(H124,Inherited!A:A),IF((((_xlfn.XLOOKUP(Assessment!#REF!,Inherited!A:A,Inherited!B:B))/100)*(_xlfn.XLOOKUP(Assessment!#REF!,Inherited!A:A,Inherited!C:C)))+(((100-(_xlfn.XLOOKUP(Assessment!#REF!,Inherited!A:A,Inherited!B:B)))/100)*IF(X124="1.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(100%)","100"))))))&lt;=10,"0", IF(AND((((_xlfn.XLOOKUP(Assessment!#REF!,Inherited!A:A,Inherited!B:B))/100)*(_xlfn.XLOOKUP(Assessment!#REF!,Inherited!A:A,Inherited!C:C)))+(((100-(_xlfn.XLOOKUP(Assessment!#REF!,Inherited!A:A,Inherited!B:B)))/100)*IF(X124="1.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(100%)","100"))))))&gt;=11,(((_xlfn.XLOOKUP(Assessment!#REF!,Inherited!A:A,Inherited!B:B))/100)*(_xlfn.XLOOKUP(Assessment!#REF!,Inherited!A:A,Inherited!C:C)))+(((100-(_xlfn.XLOOKUP(Assessment!#REF!,Inherited!A:A,Inherited!B:B)))/100)*IF(X124="1.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(100%)","100"))))))&lt;=32),"25",IF(AND((((_xlfn.XLOOKUP(Assessment!#REF!,Inherited!A:A,Inherited!B:B))/100)*(_xlfn.XLOOKUP(Assessment!#REF!,Inherited!A:A,Inherited!C:C)))+(((100-(_xlfn.XLOOKUP(Assessment!#REF!,Inherited!A:A,Inherited!B:B)))/100)*IF(X124="1.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(100%)","100"))))))&gt;=33,(((_xlfn.XLOOKUP(Assessment!#REF!,Inherited!A:A,Inherited!B:B))/100)*(_xlfn.XLOOKUP(Assessment!#REF!,Inherited!A:A,Inherited!C:C)))+(((100-(_xlfn.XLOOKUP(Assessment!#REF!,Inherited!A:A,Inherited!B:B)))/100)*IF(X124="1.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(100%)","100"))))))&lt;=65),"50",IF(AND((((_xlfn.XLOOKUP(Assessment!#REF!,Inherited!A:A,Inherited!B:B))/100)*(_xlfn.XLOOKUP(Assessment!#REF!,Inherited!A:A,Inherited!C:C)))+(((100-(_xlfn.XLOOKUP(Assessment!#REF!,Inherited!A:A,Inherited!B:B)))/100)*IF(X124="1.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(100%)","100"))))))&gt;=66,(((_xlfn.XLOOKUP(Assessment!#REF!,Inherited!A:A,Inherited!B:B))/100)*(_xlfn.XLOOKUP(Assessment!#REF!,Inherited!A:A,Inherited!C:C)))+(((100-(_xlfn.XLOOKUP(Assessment!#REF!,Inherited!A:A,Inherited!B:B)))/100)*IF(X124="1.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(100%)","100"))))))&lt;=89),"75",IF((((_xlfn.XLOOKUP(Assessment!#REF!,Inherited!A:A,Inherited!B:B))/100)*(_xlfn.XLOOKUP(Assessment!#REF!,Inherited!A:A,Inherited!C:C)))+(((100-(_xlfn.XLOOKUP(Assessment!#REF!,Inherited!A:A,Inherited!B:B)))/100)*IF(X124="1. Non Compliant (0%)","0",IF(X124="2. Somewhat Compliant (25%)","25",IF(X124="3. Partially Compliant (50%)","50",IF(X124="4. Mostly Compliant (75%)","75",IF(X124="5. Fully Compliant (100%)","100"))))))&gt;=90,"100"))))))</f>
        <v>#N/A</v>
      </c>
      <c r="R124" s="1" t="e">
        <f>IF(MATCH(H124,Inherited!A:A),IF((((_xlfn.XLOOKUP(Assessment!#REF!,Inherited!A:A,Inherited!B:B))/100)*(_xlfn.XLOOKUP(Assessment!#REF!,Inherited!A:A,Inherited!D:D)))+(((100-(_xlfn.XLOOKUP(Assessment!#REF!,Inherited!A:A,Inherited!B:B)))/100)*IF(Y124="1.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(100%)","100"))))))&lt;=10,"0", IF(AND((((_xlfn.XLOOKUP(Assessment!#REF!,Inherited!A:A,Inherited!B:B))/100)*(_xlfn.XLOOKUP(Assessment!#REF!,Inherited!A:A,Inherited!D:D)))+(((100-(_xlfn.XLOOKUP(Assessment!#REF!,Inherited!A:A,Inherited!B:B)))/100)*IF(Y124="1.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(100%)","100"))))))&gt;=11,(((_xlfn.XLOOKUP(Assessment!#REF!,Inherited!A:A,Inherited!B:B))/100)*(_xlfn.XLOOKUP(Assessment!#REF!,Inherited!A:A,Inherited!D:D)))+(((100-(_xlfn.XLOOKUP(Assessment!#REF!,Inherited!A:A,Inherited!B:B)))/100)*IF(Y124="1.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(100%)","100"))))))&lt;=32),"25",IF(AND((((_xlfn.XLOOKUP(Assessment!#REF!,Inherited!A:A,Inherited!B:B))/100)*(_xlfn.XLOOKUP(Assessment!#REF!,Inherited!A:A,Inherited!D:D)))+(((100-(_xlfn.XLOOKUP(Assessment!#REF!,Inherited!A:A,Inherited!B:B)))/100)*IF(Y124="1.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(100%)","100"))))))&gt;=33,(((_xlfn.XLOOKUP(Assessment!#REF!,Inherited!A:A,Inherited!B:B))/100)*(_xlfn.XLOOKUP(Assessment!#REF!,Inherited!A:A,Inherited!D:D)))+(((100-(_xlfn.XLOOKUP(Assessment!#REF!,Inherited!A:A,Inherited!B:B)))/100)*IF(Y124="1.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(100%)","100"))))))&lt;=65),"50",IF(AND((((_xlfn.XLOOKUP(Assessment!#REF!,Inherited!A:A,Inherited!B:B))/100)*(_xlfn.XLOOKUP(Assessment!#REF!,Inherited!A:A,Inherited!D:D)))+(((100-(_xlfn.XLOOKUP(Assessment!#REF!,Inherited!A:A,Inherited!B:B)))/100)*IF(Y124="1.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(100%)","100"))))))&gt;=66,(((_xlfn.XLOOKUP(Assessment!#REF!,Inherited!A:A,Inherited!B:B))/100)*(_xlfn.XLOOKUP(Assessment!#REF!,Inherited!A:A,Inherited!D:D)))+(((100-(_xlfn.XLOOKUP(Assessment!#REF!,Inherited!A:A,Inherited!B:B)))/100)*IF(Y124="1.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(100%)","100"))))))&lt;=89),"75",IF((((_xlfn.XLOOKUP(Assessment!#REF!,Inherited!A:A,Inherited!B:B))/100)*(_xlfn.XLOOKUP(Assessment!#REF!,Inherited!A:A,Inherited!D:D)))+(((100-(_xlfn.XLOOKUP(Assessment!#REF!,Inherited!A:A,Inherited!B:B)))/100)*IF(Y124="1. Non Compliant (0%)","0",IF(Y124="2. Somewhat Compliant (25%)","25",IF(Y124="3. Partially Compliant (50%)","50",IF(Y124="4. Mostly Compliant (75%)","75",IF(Y124="5. Fully Compliant (100%)","100"))))))&gt;=90,"100"))))))</f>
        <v>#N/A</v>
      </c>
      <c r="S124" s="1" t="e">
        <f>IF(MATCH(H124,Inherited!A:A),IF((((_xlfn.XLOOKUP(Assessment!#REF!,Inherited!A:A,Inherited!B:B))/100)*(_xlfn.XLOOKUP(Assessment!#REF!,Inherited!A:A,Inherited!E:E)))+(((100-(_xlfn.XLOOKUP(Assessment!#REF!,Inherited!A:A,Inherited!B:B)))/100)*IF(Z124="1.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(100%)","100"))))))&lt;=10,"0", IF(AND((((_xlfn.XLOOKUP(Assessment!#REF!,Inherited!A:A,Inherited!B:B))/100)*(_xlfn.XLOOKUP(Assessment!#REF!,Inherited!A:A,Inherited!E:E)))+(((100-(_xlfn.XLOOKUP(Assessment!#REF!,Inherited!A:A,Inherited!B:B)))/100)*IF(Z124="1.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(100%)","100"))))))&gt;=11,(((_xlfn.XLOOKUP(Assessment!#REF!,Inherited!A:A,Inherited!B:B))/100)*(_xlfn.XLOOKUP(Assessment!#REF!,Inherited!A:A,Inherited!E:E)))+(((100-(_xlfn.XLOOKUP(Assessment!#REF!,Inherited!A:A,Inherited!B:B)))/100)*IF(Z124="1.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(100%)","100"))))))&lt;=32),"25",IF(AND((((_xlfn.XLOOKUP(Assessment!#REF!,Inherited!A:A,Inherited!B:B))/100)*(_xlfn.XLOOKUP(Assessment!#REF!,Inherited!A:A,Inherited!E:E)))+(((100-(_xlfn.XLOOKUP(Assessment!#REF!,Inherited!A:A,Inherited!B:B)))/100)*IF(Z124="1.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(100%)","100"))))))&gt;=33,(((_xlfn.XLOOKUP(Assessment!#REF!,Inherited!A:A,Inherited!B:B))/100)*(_xlfn.XLOOKUP(Assessment!#REF!,Inherited!A:A,Inherited!E:E)))+(((100-(_xlfn.XLOOKUP(Assessment!#REF!,Inherited!A:A,Inherited!B:B)))/100)*IF(Z124="1.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(100%)","100"))))))&lt;=65),"50",IF(AND((((_xlfn.XLOOKUP(Assessment!#REF!,Inherited!A:A,Inherited!B:B))/100)*(_xlfn.XLOOKUP(Assessment!#REF!,Inherited!A:A,Inherited!E:E)))+(((100-(_xlfn.XLOOKUP(Assessment!#REF!,Inherited!A:A,Inherited!B:B)))/100)*IF(Z124="1.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(100%)","100"))))))&gt;=66,(((_xlfn.XLOOKUP(Assessment!#REF!,Inherited!A:A,Inherited!B:B))/100)*(_xlfn.XLOOKUP(Assessment!#REF!,Inherited!A:A,Inherited!E:E)))+(((100-(_xlfn.XLOOKUP(Assessment!#REF!,Inherited!A:A,Inherited!B:B)))/100)*IF(Z124="1.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(100%)","100"))))))&lt;=89),"75",IF((((_xlfn.XLOOKUP(Assessment!#REF!,Inherited!A:A,Inherited!B:B))/100)*(_xlfn.XLOOKUP(Assessment!#REF!,Inherited!A:A,Inherited!E:E)))+(((100-(_xlfn.XLOOKUP(Assessment!#REF!,Inherited!A:A,Inherited!B:B)))/100)*IF(Z124="1. Non Compliant (0%)","0",IF(Z124="2. Somewhat Compliant (25%)","25",IF(Z124="3. Partially Compliant (50%)","50",IF(Z124="4. Mostly Compliant (75%)","75",IF(Z124="5. Fully Compliant (100%)","100"))))))&gt;=90,"100"))))))</f>
        <v>#N/A</v>
      </c>
      <c r="T124" s="1" t="e">
        <f>IF(MATCH(H124,Inherited!A:A),IF((((_xlfn.XLOOKUP(Assessment!#REF!,Inherited!A:A,Inherited!B:B))/100)*(_xlfn.XLOOKUP(Assessment!#REF!,Inherited!A:A,Inherited!F:F)))+(((100-(_xlfn.XLOOKUP(Assessment!#REF!,Inherited!A:A,Inherited!B:B)))/100)*IF(AA124="1.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(100%)","100"))))))&lt;=10,"0", IF(AND((((_xlfn.XLOOKUP(Assessment!#REF!,Inherited!A:A,Inherited!B:B))/100)*(_xlfn.XLOOKUP(Assessment!#REF!,Inherited!A:A,Inherited!F:F)))+(((100-(_xlfn.XLOOKUP(Assessment!#REF!,Inherited!A:A,Inherited!B:B)))/100)*IF(AA124="1.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(100%)","100"))))))&gt;=11,(((_xlfn.XLOOKUP(Assessment!#REF!,Inherited!A:A,Inherited!B:B))/100)*(_xlfn.XLOOKUP(Assessment!#REF!,Inherited!A:A,Inherited!F:F)))+(((100-(_xlfn.XLOOKUP(Assessment!#REF!,Inherited!A:A,Inherited!B:B)))/100)*IF(AA124="1.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(100%)","100"))))))&lt;=32),"25",IF(AND((((_xlfn.XLOOKUP(Assessment!#REF!,Inherited!A:A,Inherited!B:B))/100)*(_xlfn.XLOOKUP(Assessment!#REF!,Inherited!A:A,Inherited!F:F)))+(((100-(_xlfn.XLOOKUP(Assessment!#REF!,Inherited!A:A,Inherited!B:B)))/100)*IF(AA124="1.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(100%)","100"))))))&gt;=33,(((_xlfn.XLOOKUP(Assessment!#REF!,Inherited!A:A,Inherited!B:B))/100)*(_xlfn.XLOOKUP(Assessment!#REF!,Inherited!A:A,Inherited!F:F)))+(((100-(_xlfn.XLOOKUP(Assessment!#REF!,Inherited!A:A,Inherited!B:B)))/100)*IF(AA124="1.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(100%)","100"))))))&lt;=65),"50",IF(AND((((_xlfn.XLOOKUP(Assessment!#REF!,Inherited!A:A,Inherited!B:B))/100)*(_xlfn.XLOOKUP(Assessment!#REF!,Inherited!A:A,Inherited!F:F)))+(((100-(_xlfn.XLOOKUP(Assessment!#REF!,Inherited!A:A,Inherited!B:B)))/100)*IF(AA124="1.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(100%)","100"))))))&gt;=66,(((_xlfn.XLOOKUP(Assessment!#REF!,Inherited!A:A,Inherited!B:B))/100)*(_xlfn.XLOOKUP(Assessment!#REF!,Inherited!A:A,Inherited!F:F)))+(((100-(_xlfn.XLOOKUP(Assessment!#REF!,Inherited!A:A,Inherited!B:B)))/100)*IF(AA124="1.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(100%)","100"))))))&lt;=89),"75",IF((((_xlfn.XLOOKUP(Assessment!#REF!,Inherited!A:A,Inherited!B:B))/100)*(_xlfn.XLOOKUP(Assessment!#REF!,Inherited!A:A,Inherited!F:F)))+(((100-(_xlfn.XLOOKUP(Assessment!#REF!,Inherited!A:A,Inherited!B:B)))/100)*IF(AA124="1. Non Compliant (0%)","0",IF(AA124="2. Somewhat Compliant (25%)","25",IF(AA124="3. Partially Compliant (50%)","50",IF(AA124="4. Mostly Compliant (75%)","75",IF(AA124="5. Fully Compliant (100%)","100"))))))&gt;=90,"100"))))))</f>
        <v>#N/A</v>
      </c>
      <c r="U124" s="1" t="e">
        <f>IF(MATCH(H124,Inherited!A:A),IF((((_xlfn.XLOOKUP(Assessment!#REF!,Inherited!A:A,Inherited!B:B))/100)*(_xlfn.XLOOKUP(Assessment!#REF!,Inherited!A:A,Inherited!G:G)))+(((100-(_xlfn.XLOOKUP(Assessment!#REF!,Inherited!A:A,Inherited!B:B)))/100)*IF(AB124="1.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(100%)","100"))))))&lt;=10,"0", IF(AND((((_xlfn.XLOOKUP(Assessment!#REF!,Inherited!A:A,Inherited!B:B))/100)*(_xlfn.XLOOKUP(Assessment!#REF!,Inherited!A:A,Inherited!G:G)))+(((100-(_xlfn.XLOOKUP(Assessment!#REF!,Inherited!A:A,Inherited!B:B)))/100)*IF(AB124="1.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(100%)","100"))))))&gt;=11,(((_xlfn.XLOOKUP(Assessment!#REF!,Inherited!A:A,Inherited!B:B))/100)*(_xlfn.XLOOKUP(Assessment!#REF!,Inherited!A:A,Inherited!G:G)))+(((100-(_xlfn.XLOOKUP(Assessment!#REF!,Inherited!A:A,Inherited!B:B)))/100)*IF(AB124="1.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(100%)","100"))))))&lt;=32),"25",IF(AND((((_xlfn.XLOOKUP(Assessment!#REF!,Inherited!A:A,Inherited!B:B))/100)*(_xlfn.XLOOKUP(Assessment!#REF!,Inherited!A:A,Inherited!G:G)))+(((100-(_xlfn.XLOOKUP(Assessment!#REF!,Inherited!A:A,Inherited!B:B)))/100)*IF(AB124="1.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(100%)","100"))))))&gt;=33,(((_xlfn.XLOOKUP(Assessment!#REF!,Inherited!A:A,Inherited!B:B))/100)*(_xlfn.XLOOKUP(Assessment!#REF!,Inherited!A:A,Inherited!G:G)))+(((100-(_xlfn.XLOOKUP(Assessment!#REF!,Inherited!A:A,Inherited!B:B)))/100)*IF(AB124="1.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(100%)","100"))))))&lt;=65),"50",IF(AND((((_xlfn.XLOOKUP(Assessment!#REF!,Inherited!A:A,Inherited!B:B))/100)*(_xlfn.XLOOKUP(Assessment!#REF!,Inherited!A:A,Inherited!G:G)))+(((100-(_xlfn.XLOOKUP(Assessment!#REF!,Inherited!A:A,Inherited!B:B)))/100)*IF(AB124="1.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(100%)","100"))))))&gt;=66,(((_xlfn.XLOOKUP(Assessment!#REF!,Inherited!A:A,Inherited!B:B))/100)*(_xlfn.XLOOKUP(Assessment!#REF!,Inherited!A:A,Inherited!G:G)))+(((100-(_xlfn.XLOOKUP(Assessment!#REF!,Inherited!A:A,Inherited!B:B)))/100)*IF(AB124="1.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(100%)","100"))))))&lt;=89),"75",IF((((_xlfn.XLOOKUP(Assessment!#REF!,Inherited!A:A,Inherited!B:B))/100)*(_xlfn.XLOOKUP(Assessment!#REF!,Inherited!A:A,Inherited!G:G)))+(((100-(_xlfn.XLOOKUP(Assessment!#REF!,Inherited!A:A,Inherited!B:B)))/100)*IF(AB124="1. Non Compliant (0%)","0",IF(AB124="2. Somewhat Compliant (25%)","25",IF(AB124="3. Partially Compliant (50%)","50",IF(AB124="4. Mostly Compliant (75%)","75",IF(AB124="5. Fully Compliant (100%)","100"))))))&gt;=90,"100"))))))</f>
        <v>#N/A</v>
      </c>
      <c r="V124" s="55" t="s">
        <v>85</v>
      </c>
      <c r="W124" s="55"/>
      <c r="X124" s="55"/>
      <c r="Y124" s="55"/>
      <c r="Z124" s="55" t="s">
        <v>10873</v>
      </c>
      <c r="AA124" s="55"/>
      <c r="AB124" s="55"/>
      <c r="AK124" s="1" t="s">
        <v>10978</v>
      </c>
      <c r="AL124" s="1" t="s">
        <v>10981</v>
      </c>
      <c r="AP124" s="1" t="s">
        <v>11093</v>
      </c>
      <c r="AX124" s="3" t="str">
        <f>_xlfn.CONCAT("A-LIGN finished its review of this control on ",AR124, " during the scheduled fieldwork window (",Intro!$B$4,")."&amp; CHAR(10)&amp; CHAR(10))</f>
        <v xml:space="preserve">A-LIGN finished its review of this control on  during the scheduled fieldwork window (Fieldwork: xx/xx/xxxx - xx/xx/xxxx).
</v>
      </c>
      <c r="AY124" s="3" t="str">
        <f t="shared" ref="AY124" si="271">IF(AQ124&lt;&gt;"",(_xlfn.CONCAT("Inheritance note: "&amp; CHAR(10),AQ124&amp; CHAR(10)&amp; CHAR(10))),"")</f>
        <v/>
      </c>
      <c r="AZ124" s="3" t="str">
        <f t="shared" ref="AZ124" si="272">IFERROR(IF(AD124&lt;&gt;"",_xlfn.CONCAT("Examined the following policy during fieldwork:"&amp; CHAR(10),AD124&amp; CHAR(10)&amp; CHAR(10),IF(AND(X124&lt;&gt;"5. Fully Compliant (100%)",AE124&lt;&gt;""),"Reviewed policy exception note:"&amp; CHAR(10) &amp; AE124 &amp; CHAR(10) &amp; CHAR(10),"")),""),"")</f>
        <v/>
      </c>
      <c r="BA124" s="3" t="str">
        <f t="shared" ref="BA124" si="273">IFERROR(IF(AH124&lt;&gt;"",_xlfn.CONCAT("Examined the following process during fieldwork:"&amp; CHAR(10),AH124&amp; CHAR(10)&amp; CHAR(10),IF(AND(Y124&lt;&gt;"5. Fully Compliant (100%)",AI124&lt;&gt;""),"Reviewed process exception note:"&amp; CHAR(10) &amp; AI124 &amp; CHAR(10) &amp; CHAR(10),"")),""),"")</f>
        <v/>
      </c>
      <c r="BB124" s="3" t="str">
        <f t="shared" ref="BB124" si="274">IF(AK124&lt;&gt;"",(_xlfn.CONCAT("Inquired of the following workforce member: "&amp; CHAR(10),AK124&amp; CHAR(10)&amp; CHAR(10),"Inquiry lead to the following conclusions: "&amp; CHAR(10),AL124&amp; CHAR(10) &amp; CHAR(10))),"")</f>
        <v xml:space="preserve">Inquired of the following workforce member: 
Michael Wood - VP of AI Engineering
Kyle Smith - IT Operations and AI Expert 
Inquiry lead to the following conclusions: 
Incident Response Plan will be updated for how to respond to an AI-specific incidents
A dedicated AI-specific incident response test will be completed on at least an annual basis
</v>
      </c>
      <c r="BC124" s="3" t="str">
        <f t="shared" ref="BC124" si="275">IF(AM124&lt;&gt;"",(_xlfn.CONCAT("Observed the following live during fieldwork: "&amp; CHAR(10),AM124&amp; CHAR(10) &amp; CHAR(10))),"")</f>
        <v/>
      </c>
      <c r="BD124" s="3" t="str">
        <f t="shared" ref="BD124" si="276">_xlfn.CONCAT("Examined the following evidence during fieldwork:"&amp; CHAR(10),AN124&amp; CHAR(10)&amp; CHAR(10),IF(AO124&lt;&gt;"","Reviewed evidence note:"&amp; CHAR(10)&amp;AO124&amp; CHAR(10) &amp; CHAR(10),"Reviewed evidence addressed the requirement statement."&amp; CHAR(10) &amp; CHAR(10)),IF(AND(AP124&lt;&gt;"5. Fully Compliant (100%)",AP124&lt;&gt;""),"Reviewed evidence exception note: "&amp; CHAR(10) &amp; AP124 &amp; CHAR(10) &amp; CHAR(10),""))</f>
        <v xml:space="preserve">Examined the following evidence during fieldwork:
Reviewed evidence addressed the requirement statement.
Reviewed evidence exception note: 
Gap: 
The Incident Response Plan does not address how to respond to an AI-specific incidents. 
A dedicated AI-specific incident response test is not completed on at least an annual basis. 
Recommendation:
Management should ensure that the Incident Response Plan addresses how to respond to an AI-specific incidents. 
Further, management should ensure that a dedicated AI-specific incident response test is completed on at least an annual basis. 
</v>
      </c>
      <c r="BE124" s="3" t="str">
        <f t="shared" ref="BE124" si="277">IF(AT124&lt;&gt;"",(_xlfn.CONCAT("Examined the following measure/metric during fieldwork:"&amp; CHAR(10),AT124&amp; CHAR(10)&amp; CHAR(10),"Reviewed measure/metric note:"&amp; CHAR(10),AU124 &amp; CHAR(10) &amp; CHAR(10))),"")</f>
        <v/>
      </c>
      <c r="BF124" s="3" t="str">
        <f t="shared" ref="BF124" si="278">IF(AV124&lt;&gt;"",(_xlfn.CONCAT("Examined the following measure/metric management during fieldwork:"&amp; CHAR(10),AV124&amp; CHAR(10)&amp; CHAR(10),"Reviewed measure/metric management note:"&amp; CHAR(10),AW124 &amp; CHAR(10) &amp; CHAR(10))),"")</f>
        <v/>
      </c>
      <c r="BG124" s="3" t="str">
        <f>_xlfn.CONCAT((IF((COUNTIF('Sample Tables'!B:B,"")&gt;0)=TRUE,_xlfn.CONCAT("",""),IF((COUNTIF('Sample Tables'!B:B,"")&gt;0)=FALSE,""))),)</f>
        <v/>
      </c>
      <c r="BH124" s="3" t="str">
        <f t="shared" ref="BH124" si="279">IF(V124="No","Not Applicable: "&amp;W124,(_xlfn.CONCAT(AX124,AY124,AZ124,BA124,BB124,BC124,BD124,BE124,BF124,BG124)))</f>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Incident Response Plan will be updated for how to respond to an AI-specific incidents
A dedicated AI-specific incident response test will be completed on at least an annual basis
Examined the following evidence during fieldwork:
Reviewed evidence addressed the requirement statement.
Reviewed evidence exception note: 
Gap: 
The Incident Response Plan does not address how to respond to an AI-specific incidents. 
A dedicated AI-specific incident response test is not completed on at least an annual basis. 
Recommendation:
Management should ensure that the Incident Response Plan addresses how to respond to an AI-specific incidents. 
Further, management should ensure that a dedicated AI-specific incident response test is completed on at least an annual basis. 
</v>
      </c>
    </row>
    <row r="125" spans="3:60" ht="409.5" x14ac:dyDescent="0.35">
      <c r="C125" s="1">
        <f t="shared" ref="C125:C128" si="280">IF(V125="No","Not Applicable",(IF(X125="1. Non Compliant (0%)","0",IF(X125="2. Somewhat Compliant (25%)","25",IF(X125="3. Partially Compliant (50%)","50",IF(X125="4. Mostly Compliant (75%)","75",IF(X125="5. Fully Compliant (100%)","100")))))*0.15)+((IF(Y125="1. Non Compliant (0%)","0",IF(Y125="2. Somewhat Compliant (25%)","25",IF(Y125="3. Partially Compliant (50%)","50",IF(Y125="4. Mostly Compliant (75%)","75",IF(Y125="5. Fully Compliant (100%)","100"))))))*0.2)+(IF(Z125="1. Non Compliant (0%)","0",IF(Z125="2. Somewhat Compliant (25%)","25",IF(Z125="3. Partially Compliant (50%)","50",IF(Z125="4. Mostly Compliant (75%)","75",IF(Z125="5. Fully Compliant (100%)","100")))))*0.4)+(IF(AA125="1. Non Compliant (0%)","0",IF(AA125="2. Somewhat Compliant (25%)","25",IF(AA125="3. Partially Compliant (50%)","50",IF(AA125="4. Mostly Compliant (75%)","75",IF(AA125="5. Fully Compliant (100%)","100")))))*0.1)+(IF(AB125="1. Non Compliant (0%)","0",IF(AB125="2. Somewhat Compliant (25%)","25",IF(AB125="3. Partially Compliant (50%)","50",IF(AB125="4. Mostly Compliant (75%)","75",IF(AB125="5. Fully Compliant (100%)","100")))))*0.15))</f>
        <v>40</v>
      </c>
      <c r="D125" s="5" t="str">
        <f>IF(AND((_xlfn.XLOOKUP(J125,'Fields &amp; Revisions'!$H:$H,'Fields &amp; Revisions'!$I:$I))&lt;70.99,(OR(Z125="4. Mostly Compliant (75%)",Z125="3. Partially Compliant (50%)",Z125="2. Somewhat Compliant (25%)",Z125="1. Non Compliant (0%)"))),"Yes","No")</f>
        <v>No</v>
      </c>
      <c r="E125" s="5" t="str">
        <f>IF(ISERROR(VLOOKUP(H125,Scope!A:A,1,FALSE)),"No","Yes")</f>
        <v>Yes</v>
      </c>
      <c r="F125" s="1" t="s">
        <v>4036</v>
      </c>
      <c r="G125" s="53" t="s">
        <v>4251</v>
      </c>
      <c r="H125" s="53" t="s">
        <v>4252</v>
      </c>
      <c r="I125" s="5">
        <v>1</v>
      </c>
      <c r="J125" s="1" t="s">
        <v>4096</v>
      </c>
      <c r="K125" s="1" t="s">
        <v>4253</v>
      </c>
      <c r="L125" s="1" t="s">
        <v>4254</v>
      </c>
      <c r="M125" s="1" t="s">
        <v>4255</v>
      </c>
      <c r="N125" s="5" t="s">
        <v>85</v>
      </c>
      <c r="O125" s="1" t="str">
        <f>_xlfn.XLOOKUP(G125,SRMs!$A:$A,SRMs!$D:$D)</f>
        <v>PARTIAL INHERITANCE</v>
      </c>
      <c r="P125" s="1" t="str">
        <f>IFERROR(VLOOKUP(H125,Inherited!A:B,2,FALSE),"")</f>
        <v/>
      </c>
      <c r="Q125" s="1" t="e">
        <f>IF(MATCH(H125,Inherited!A:A),IF((((_xlfn.XLOOKUP(Assessment!#REF!,Inherited!A:A,Inherited!B:B))/100)*(_xlfn.XLOOKUP(Assessment!#REF!,Inherited!A:A,Inherited!C:C)))+(((100-(_xlfn.XLOOKUP(Assessment!#REF!,Inherited!A:A,Inherited!B:B)))/100)*IF(X125="1.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(100%)","100"))))))&lt;=10,"0", IF(AND((((_xlfn.XLOOKUP(Assessment!#REF!,Inherited!A:A,Inherited!B:B))/100)*(_xlfn.XLOOKUP(Assessment!#REF!,Inherited!A:A,Inherited!C:C)))+(((100-(_xlfn.XLOOKUP(Assessment!#REF!,Inherited!A:A,Inherited!B:B)))/100)*IF(X125="1.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(100%)","100"))))))&gt;=11,(((_xlfn.XLOOKUP(Assessment!#REF!,Inherited!A:A,Inherited!B:B))/100)*(_xlfn.XLOOKUP(Assessment!#REF!,Inherited!A:A,Inherited!C:C)))+(((100-(_xlfn.XLOOKUP(Assessment!#REF!,Inherited!A:A,Inherited!B:B)))/100)*IF(X125="1.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(100%)","100"))))))&lt;=32),"25",IF(AND((((_xlfn.XLOOKUP(Assessment!#REF!,Inherited!A:A,Inherited!B:B))/100)*(_xlfn.XLOOKUP(Assessment!#REF!,Inherited!A:A,Inherited!C:C)))+(((100-(_xlfn.XLOOKUP(Assessment!#REF!,Inherited!A:A,Inherited!B:B)))/100)*IF(X125="1.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(100%)","100"))))))&gt;=33,(((_xlfn.XLOOKUP(Assessment!#REF!,Inherited!A:A,Inherited!B:B))/100)*(_xlfn.XLOOKUP(Assessment!#REF!,Inherited!A:A,Inherited!C:C)))+(((100-(_xlfn.XLOOKUP(Assessment!#REF!,Inherited!A:A,Inherited!B:B)))/100)*IF(X125="1.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(100%)","100"))))))&lt;=65),"50",IF(AND((((_xlfn.XLOOKUP(Assessment!#REF!,Inherited!A:A,Inherited!B:B))/100)*(_xlfn.XLOOKUP(Assessment!#REF!,Inherited!A:A,Inherited!C:C)))+(((100-(_xlfn.XLOOKUP(Assessment!#REF!,Inherited!A:A,Inherited!B:B)))/100)*IF(X125="1.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(100%)","100"))))))&gt;=66,(((_xlfn.XLOOKUP(Assessment!#REF!,Inherited!A:A,Inherited!B:B))/100)*(_xlfn.XLOOKUP(Assessment!#REF!,Inherited!A:A,Inherited!C:C)))+(((100-(_xlfn.XLOOKUP(Assessment!#REF!,Inherited!A:A,Inherited!B:B)))/100)*IF(X125="1.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(100%)","100"))))))&lt;=89),"75",IF((((_xlfn.XLOOKUP(Assessment!#REF!,Inherited!A:A,Inherited!B:B))/100)*(_xlfn.XLOOKUP(Assessment!#REF!,Inherited!A:A,Inherited!C:C)))+(((100-(_xlfn.XLOOKUP(Assessment!#REF!,Inherited!A:A,Inherited!B:B)))/100)*IF(X125="1. Non Compliant (0%)","0",IF(X125="2. Somewhat Compliant (25%)","25",IF(X125="3. Partially Compliant (50%)","50",IF(X125="4. Mostly Compliant (75%)","75",IF(X125="5. Fully Compliant (100%)","100"))))))&gt;=90,"100"))))))</f>
        <v>#N/A</v>
      </c>
      <c r="R125" s="1" t="e">
        <f>IF(MATCH(H125,Inherited!A:A),IF((((_xlfn.XLOOKUP(Assessment!#REF!,Inherited!A:A,Inherited!B:B))/100)*(_xlfn.XLOOKUP(Assessment!#REF!,Inherited!A:A,Inherited!D:D)))+(((100-(_xlfn.XLOOKUP(Assessment!#REF!,Inherited!A:A,Inherited!B:B)))/100)*IF(Y125="1.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(100%)","100"))))))&lt;=10,"0", IF(AND((((_xlfn.XLOOKUP(Assessment!#REF!,Inherited!A:A,Inherited!B:B))/100)*(_xlfn.XLOOKUP(Assessment!#REF!,Inherited!A:A,Inherited!D:D)))+(((100-(_xlfn.XLOOKUP(Assessment!#REF!,Inherited!A:A,Inherited!B:B)))/100)*IF(Y125="1.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(100%)","100"))))))&gt;=11,(((_xlfn.XLOOKUP(Assessment!#REF!,Inherited!A:A,Inherited!B:B))/100)*(_xlfn.XLOOKUP(Assessment!#REF!,Inherited!A:A,Inherited!D:D)))+(((100-(_xlfn.XLOOKUP(Assessment!#REF!,Inherited!A:A,Inherited!B:B)))/100)*IF(Y125="1.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(100%)","100"))))))&lt;=32),"25",IF(AND((((_xlfn.XLOOKUP(Assessment!#REF!,Inherited!A:A,Inherited!B:B))/100)*(_xlfn.XLOOKUP(Assessment!#REF!,Inherited!A:A,Inherited!D:D)))+(((100-(_xlfn.XLOOKUP(Assessment!#REF!,Inherited!A:A,Inherited!B:B)))/100)*IF(Y125="1.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(100%)","100"))))))&gt;=33,(((_xlfn.XLOOKUP(Assessment!#REF!,Inherited!A:A,Inherited!B:B))/100)*(_xlfn.XLOOKUP(Assessment!#REF!,Inherited!A:A,Inherited!D:D)))+(((100-(_xlfn.XLOOKUP(Assessment!#REF!,Inherited!A:A,Inherited!B:B)))/100)*IF(Y125="1.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(100%)","100"))))))&lt;=65),"50",IF(AND((((_xlfn.XLOOKUP(Assessment!#REF!,Inherited!A:A,Inherited!B:B))/100)*(_xlfn.XLOOKUP(Assessment!#REF!,Inherited!A:A,Inherited!D:D)))+(((100-(_xlfn.XLOOKUP(Assessment!#REF!,Inherited!A:A,Inherited!B:B)))/100)*IF(Y125="1.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(100%)","100"))))))&gt;=66,(((_xlfn.XLOOKUP(Assessment!#REF!,Inherited!A:A,Inherited!B:B))/100)*(_xlfn.XLOOKUP(Assessment!#REF!,Inherited!A:A,Inherited!D:D)))+(((100-(_xlfn.XLOOKUP(Assessment!#REF!,Inherited!A:A,Inherited!B:B)))/100)*IF(Y125="1.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(100%)","100"))))))&lt;=89),"75",IF((((_xlfn.XLOOKUP(Assessment!#REF!,Inherited!A:A,Inherited!B:B))/100)*(_xlfn.XLOOKUP(Assessment!#REF!,Inherited!A:A,Inherited!D:D)))+(((100-(_xlfn.XLOOKUP(Assessment!#REF!,Inherited!A:A,Inherited!B:B)))/100)*IF(Y125="1. Non Compliant (0%)","0",IF(Y125="2. Somewhat Compliant (25%)","25",IF(Y125="3. Partially Compliant (50%)","50",IF(Y125="4. Mostly Compliant (75%)","75",IF(Y125="5. Fully Compliant (100%)","100"))))))&gt;=90,"100"))))))</f>
        <v>#N/A</v>
      </c>
      <c r="S125" s="1" t="e">
        <f>IF(MATCH(H125,Inherited!A:A),IF((((_xlfn.XLOOKUP(Assessment!#REF!,Inherited!A:A,Inherited!B:B))/100)*(_xlfn.XLOOKUP(Assessment!#REF!,Inherited!A:A,Inherited!E:E)))+(((100-(_xlfn.XLOOKUP(Assessment!#REF!,Inherited!A:A,Inherited!B:B)))/100)*IF(Z125="1.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(100%)","100"))))))&lt;=10,"0", IF(AND((((_xlfn.XLOOKUP(Assessment!#REF!,Inherited!A:A,Inherited!B:B))/100)*(_xlfn.XLOOKUP(Assessment!#REF!,Inherited!A:A,Inherited!E:E)))+(((100-(_xlfn.XLOOKUP(Assessment!#REF!,Inherited!A:A,Inherited!B:B)))/100)*IF(Z125="1.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(100%)","100"))))))&gt;=11,(((_xlfn.XLOOKUP(Assessment!#REF!,Inherited!A:A,Inherited!B:B))/100)*(_xlfn.XLOOKUP(Assessment!#REF!,Inherited!A:A,Inherited!E:E)))+(((100-(_xlfn.XLOOKUP(Assessment!#REF!,Inherited!A:A,Inherited!B:B)))/100)*IF(Z125="1.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(100%)","100"))))))&lt;=32),"25",IF(AND((((_xlfn.XLOOKUP(Assessment!#REF!,Inherited!A:A,Inherited!B:B))/100)*(_xlfn.XLOOKUP(Assessment!#REF!,Inherited!A:A,Inherited!E:E)))+(((100-(_xlfn.XLOOKUP(Assessment!#REF!,Inherited!A:A,Inherited!B:B)))/100)*IF(Z125="1.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(100%)","100"))))))&gt;=33,(((_xlfn.XLOOKUP(Assessment!#REF!,Inherited!A:A,Inherited!B:B))/100)*(_xlfn.XLOOKUP(Assessment!#REF!,Inherited!A:A,Inherited!E:E)))+(((100-(_xlfn.XLOOKUP(Assessment!#REF!,Inherited!A:A,Inherited!B:B)))/100)*IF(Z125="1.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(100%)","100"))))))&lt;=65),"50",IF(AND((((_xlfn.XLOOKUP(Assessment!#REF!,Inherited!A:A,Inherited!B:B))/100)*(_xlfn.XLOOKUP(Assessment!#REF!,Inherited!A:A,Inherited!E:E)))+(((100-(_xlfn.XLOOKUP(Assessment!#REF!,Inherited!A:A,Inherited!B:B)))/100)*IF(Z125="1.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(100%)","100"))))))&gt;=66,(((_xlfn.XLOOKUP(Assessment!#REF!,Inherited!A:A,Inherited!B:B))/100)*(_xlfn.XLOOKUP(Assessment!#REF!,Inherited!A:A,Inherited!E:E)))+(((100-(_xlfn.XLOOKUP(Assessment!#REF!,Inherited!A:A,Inherited!B:B)))/100)*IF(Z125="1.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(100%)","100"))))))&lt;=89),"75",IF((((_xlfn.XLOOKUP(Assessment!#REF!,Inherited!A:A,Inherited!B:B))/100)*(_xlfn.XLOOKUP(Assessment!#REF!,Inherited!A:A,Inherited!E:E)))+(((100-(_xlfn.XLOOKUP(Assessment!#REF!,Inherited!A:A,Inherited!B:B)))/100)*IF(Z125="1. Non Compliant (0%)","0",IF(Z125="2. Somewhat Compliant (25%)","25",IF(Z125="3. Partially Compliant (50%)","50",IF(Z125="4. Mostly Compliant (75%)","75",IF(Z125="5. Fully Compliant (100%)","100"))))))&gt;=90,"100"))))))</f>
        <v>#N/A</v>
      </c>
      <c r="T125" s="1" t="e">
        <f>IF(MATCH(H125,Inherited!A:A),IF((((_xlfn.XLOOKUP(Assessment!#REF!,Inherited!A:A,Inherited!B:B))/100)*(_xlfn.XLOOKUP(Assessment!#REF!,Inherited!A:A,Inherited!F:F)))+(((100-(_xlfn.XLOOKUP(Assessment!#REF!,Inherited!A:A,Inherited!B:B)))/100)*IF(AA125="1.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(100%)","100"))))))&lt;=10,"0", IF(AND((((_xlfn.XLOOKUP(Assessment!#REF!,Inherited!A:A,Inherited!B:B))/100)*(_xlfn.XLOOKUP(Assessment!#REF!,Inherited!A:A,Inherited!F:F)))+(((100-(_xlfn.XLOOKUP(Assessment!#REF!,Inherited!A:A,Inherited!B:B)))/100)*IF(AA125="1.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(100%)","100"))))))&gt;=11,(((_xlfn.XLOOKUP(Assessment!#REF!,Inherited!A:A,Inherited!B:B))/100)*(_xlfn.XLOOKUP(Assessment!#REF!,Inherited!A:A,Inherited!F:F)))+(((100-(_xlfn.XLOOKUP(Assessment!#REF!,Inherited!A:A,Inherited!B:B)))/100)*IF(AA125="1.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(100%)","100"))))))&lt;=32),"25",IF(AND((((_xlfn.XLOOKUP(Assessment!#REF!,Inherited!A:A,Inherited!B:B))/100)*(_xlfn.XLOOKUP(Assessment!#REF!,Inherited!A:A,Inherited!F:F)))+(((100-(_xlfn.XLOOKUP(Assessment!#REF!,Inherited!A:A,Inherited!B:B)))/100)*IF(AA125="1.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(100%)","100"))))))&gt;=33,(((_xlfn.XLOOKUP(Assessment!#REF!,Inherited!A:A,Inherited!B:B))/100)*(_xlfn.XLOOKUP(Assessment!#REF!,Inherited!A:A,Inherited!F:F)))+(((100-(_xlfn.XLOOKUP(Assessment!#REF!,Inherited!A:A,Inherited!B:B)))/100)*IF(AA125="1.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(100%)","100"))))))&lt;=65),"50",IF(AND((((_xlfn.XLOOKUP(Assessment!#REF!,Inherited!A:A,Inherited!B:B))/100)*(_xlfn.XLOOKUP(Assessment!#REF!,Inherited!A:A,Inherited!F:F)))+(((100-(_xlfn.XLOOKUP(Assessment!#REF!,Inherited!A:A,Inherited!B:B)))/100)*IF(AA125="1.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(100%)","100"))))))&gt;=66,(((_xlfn.XLOOKUP(Assessment!#REF!,Inherited!A:A,Inherited!B:B))/100)*(_xlfn.XLOOKUP(Assessment!#REF!,Inherited!A:A,Inherited!F:F)))+(((100-(_xlfn.XLOOKUP(Assessment!#REF!,Inherited!A:A,Inherited!B:B)))/100)*IF(AA125="1.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(100%)","100"))))))&lt;=89),"75",IF((((_xlfn.XLOOKUP(Assessment!#REF!,Inherited!A:A,Inherited!B:B))/100)*(_xlfn.XLOOKUP(Assessment!#REF!,Inherited!A:A,Inherited!F:F)))+(((100-(_xlfn.XLOOKUP(Assessment!#REF!,Inherited!A:A,Inherited!B:B)))/100)*IF(AA125="1. Non Compliant (0%)","0",IF(AA125="2. Somewhat Compliant (25%)","25",IF(AA125="3. Partially Compliant (50%)","50",IF(AA125="4. Mostly Compliant (75%)","75",IF(AA125="5. Fully Compliant (100%)","100"))))))&gt;=90,"100"))))))</f>
        <v>#N/A</v>
      </c>
      <c r="U125" s="1" t="e">
        <f>IF(MATCH(H125,Inherited!A:A),IF((((_xlfn.XLOOKUP(Assessment!#REF!,Inherited!A:A,Inherited!B:B))/100)*(_xlfn.XLOOKUP(Assessment!#REF!,Inherited!A:A,Inherited!G:G)))+(((100-(_xlfn.XLOOKUP(Assessment!#REF!,Inherited!A:A,Inherited!B:B)))/100)*IF(AB125="1.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(100%)","100"))))))&lt;=10,"0", IF(AND((((_xlfn.XLOOKUP(Assessment!#REF!,Inherited!A:A,Inherited!B:B))/100)*(_xlfn.XLOOKUP(Assessment!#REF!,Inherited!A:A,Inherited!G:G)))+(((100-(_xlfn.XLOOKUP(Assessment!#REF!,Inherited!A:A,Inherited!B:B)))/100)*IF(AB125="1.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(100%)","100"))))))&gt;=11,(((_xlfn.XLOOKUP(Assessment!#REF!,Inherited!A:A,Inherited!B:B))/100)*(_xlfn.XLOOKUP(Assessment!#REF!,Inherited!A:A,Inherited!G:G)))+(((100-(_xlfn.XLOOKUP(Assessment!#REF!,Inherited!A:A,Inherited!B:B)))/100)*IF(AB125="1.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(100%)","100"))))))&lt;=32),"25",IF(AND((((_xlfn.XLOOKUP(Assessment!#REF!,Inherited!A:A,Inherited!B:B))/100)*(_xlfn.XLOOKUP(Assessment!#REF!,Inherited!A:A,Inherited!G:G)))+(((100-(_xlfn.XLOOKUP(Assessment!#REF!,Inherited!A:A,Inherited!B:B)))/100)*IF(AB125="1.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(100%)","100"))))))&gt;=33,(((_xlfn.XLOOKUP(Assessment!#REF!,Inherited!A:A,Inherited!B:B))/100)*(_xlfn.XLOOKUP(Assessment!#REF!,Inherited!A:A,Inherited!G:G)))+(((100-(_xlfn.XLOOKUP(Assessment!#REF!,Inherited!A:A,Inherited!B:B)))/100)*IF(AB125="1.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(100%)","100"))))))&lt;=65),"50",IF(AND((((_xlfn.XLOOKUP(Assessment!#REF!,Inherited!A:A,Inherited!B:B))/100)*(_xlfn.XLOOKUP(Assessment!#REF!,Inherited!A:A,Inherited!G:G)))+(((100-(_xlfn.XLOOKUP(Assessment!#REF!,Inherited!A:A,Inherited!B:B)))/100)*IF(AB125="1.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(100%)","100"))))))&gt;=66,(((_xlfn.XLOOKUP(Assessment!#REF!,Inherited!A:A,Inherited!B:B))/100)*(_xlfn.XLOOKUP(Assessment!#REF!,Inherited!A:A,Inherited!G:G)))+(((100-(_xlfn.XLOOKUP(Assessment!#REF!,Inherited!A:A,Inherited!B:B)))/100)*IF(AB125="1.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(100%)","100"))))))&lt;=89),"75",IF((((_xlfn.XLOOKUP(Assessment!#REF!,Inherited!A:A,Inherited!B:B))/100)*(_xlfn.XLOOKUP(Assessment!#REF!,Inherited!A:A,Inherited!G:G)))+(((100-(_xlfn.XLOOKUP(Assessment!#REF!,Inherited!A:A,Inherited!B:B)))/100)*IF(AB125="1. Non Compliant (0%)","0",IF(AB125="2. Somewhat Compliant (25%)","25",IF(AB125="3. Partially Compliant (50%)","50",IF(AB125="4. Mostly Compliant (75%)","75",IF(AB125="5. Fully Compliant (100%)","100"))))))&gt;=90,"100"))))))</f>
        <v>#N/A</v>
      </c>
      <c r="V125" s="55" t="s">
        <v>85</v>
      </c>
      <c r="W125" s="55"/>
      <c r="X125" s="55"/>
      <c r="Y125" s="55"/>
      <c r="Z125" s="55" t="s">
        <v>86</v>
      </c>
      <c r="AA125" s="55"/>
      <c r="AB125" s="55"/>
      <c r="AK125" s="1" t="s">
        <v>10891</v>
      </c>
      <c r="AL125" s="1" t="s">
        <v>10964</v>
      </c>
      <c r="AM125" s="1" t="s">
        <v>10962</v>
      </c>
      <c r="AX125" s="3" t="str">
        <f>_xlfn.CONCAT("A-LIGN finished its review of this control on ",AR125, " during the scheduled fieldwork window (",Intro!$B$4,")."&amp; CHAR(10)&amp; CHAR(10))</f>
        <v xml:space="preserve">A-LIGN finished its review of this control on  during the scheduled fieldwork window (Fieldwork: xx/xx/xxxx - xx/xx/xxxx).
</v>
      </c>
      <c r="AY125" s="3" t="str">
        <f t="shared" ref="AY125:AY128" si="281">IF(AQ125&lt;&gt;"",(_xlfn.CONCAT("Inheritance note: "&amp; CHAR(10),AQ125&amp; CHAR(10)&amp; CHAR(10))),"")</f>
        <v/>
      </c>
      <c r="AZ125" s="3" t="str">
        <f t="shared" ref="AZ125:AZ128" si="282">IFERROR(IF(AD125&lt;&gt;"",_xlfn.CONCAT("Examined the following policy during fieldwork:"&amp; CHAR(10),AD125&amp; CHAR(10)&amp; CHAR(10),IF(AND(X125&lt;&gt;"5. Fully Compliant (100%)",AE125&lt;&gt;""),"Reviewed policy exception note:"&amp; CHAR(10) &amp; AE125 &amp; CHAR(10) &amp; CHAR(10),"")),""),"")</f>
        <v/>
      </c>
      <c r="BA125" s="3" t="str">
        <f t="shared" ref="BA125:BA128" si="283">IFERROR(IF(AH125&lt;&gt;"",_xlfn.CONCAT("Examined the following process during fieldwork:"&amp; CHAR(10),AH125&amp; CHAR(10)&amp; CHAR(10),IF(AND(Y125&lt;&gt;"5. Fully Compliant (100%)",AI125&lt;&gt;""),"Reviewed process exception note:"&amp; CHAR(10) &amp; AI125 &amp; CHAR(10) &amp; CHAR(10),"")),""),"")</f>
        <v/>
      </c>
      <c r="BB125" s="3" t="str">
        <f t="shared" ref="BB125:BB128" si="284">IF(AK125&lt;&gt;"",(_xlfn.CONCAT("Inquired of the following workforce member: "&amp; CHAR(10),AK125&amp; CHAR(10)&amp; CHAR(10),"Inquiry lead to the following conclusions: "&amp; CHAR(10),AL125&amp; CHAR(10) &amp; CHAR(10))),"")</f>
        <v xml:space="preserve">Inquired of the following workforce member: 
Matthew Macaluso - Director of System Operations
Roze Nicolas - Director of TechOps
Inquiry lead to the following conclusions: 
Users complete incident response training within the Security Awareness training, but it is a very broad covering of incident response
Users are also provided guidance on incidents within the Merge handbook, which is made available to all users through Air mason (observed on Day 1)
No incidents in the past 12 months.
In the event an incident occurs, incident tracking and remediation will take place within the ticketing system, which includes all relevant stakeholders.
</v>
      </c>
      <c r="BC125" s="3" t="str">
        <f t="shared" ref="BC125:BC128" si="285">IF(AM125&lt;&gt;"",(_xlfn.CONCAT("Observed the following live during fieldwork: "&amp; CHAR(10),AM125&amp; CHAR(10) &amp; CHAR(10))),"")</f>
        <v xml:space="preserve">Observed the following live during fieldwork: 
Observed the KnowBe4 dashboard where Security Awareness training is provided which briefly covers the topics for incident response.
</v>
      </c>
      <c r="BD125" s="3" t="str">
        <f t="shared" ref="BD125:BD128" si="286">_xlfn.CONCAT("Examined the following evidence during fieldwork:"&amp; CHAR(10),AN125&amp; CHAR(10)&amp; CHAR(10),IF(AO125&lt;&gt;"","Reviewed evidence note:"&amp; CHAR(10)&amp;AO125&amp; CHAR(10) &amp; CHAR(10),"Reviewed evidence addressed the requirement statement."&amp; CHAR(10) &amp; CHAR(10)),IF(AND(AP125&lt;&gt;"5. Fully Compliant (100%)",AP125&lt;&gt;""),"Reviewed evidence exception note: "&amp; CHAR(10) &amp; AP125 &amp; CHAR(10) &amp; CHAR(10),""))</f>
        <v xml:space="preserve">Examined the following evidence during fieldwork:
Reviewed evidence addressed the requirement statement.
</v>
      </c>
      <c r="BE125" s="3" t="str">
        <f t="shared" ref="BE125:BE128" si="287">IF(AT125&lt;&gt;"",(_xlfn.CONCAT("Examined the following measure/metric during fieldwork:"&amp; CHAR(10),AT125&amp; CHAR(10)&amp; CHAR(10),"Reviewed measure/metric note:"&amp; CHAR(10),AU125 &amp; CHAR(10) &amp; CHAR(10))),"")</f>
        <v/>
      </c>
      <c r="BF125" s="3" t="str">
        <f t="shared" ref="BF125:BF128" si="288">IF(AV125&lt;&gt;"",(_xlfn.CONCAT("Examined the following measure/metric management during fieldwork:"&amp; CHAR(10),AV125&amp; CHAR(10)&amp; CHAR(10),"Reviewed measure/metric management note:"&amp; CHAR(10),AW125 &amp; CHAR(10) &amp; CHAR(10))),"")</f>
        <v/>
      </c>
      <c r="BG125" s="3" t="str">
        <f>_xlfn.CONCAT((IF((COUNTIF('Sample Tables'!B:B,"Test 110: Information Security (information security incident)")&gt;0)=TRUE,_xlfn.CONCAT("Sample test results are documented in ",'Sample Tables'!B1206," [",'Sample Tables'!B1207,", ",'Sample Tables'!B1208,", ",'Sample Tables'!B1209,", ",'Sample Tables'!B1210,", ",'Sample Tables'!B1211,"]."&amp;CHAR(10)),IF((COUNTIF('Sample Tables'!B:B,"Test 110: Information Security (information security incident)")&gt;0)=FALSE,""))),)</f>
        <v xml:space="preserve">Sample test results are documented in Test 110: Information Security (information security incident) [Population Source/Tool: , Population Date Range: , Population Size: , Sample Methodology: , Sample Size: ].
</v>
      </c>
      <c r="BH125" s="3" t="str">
        <f t="shared" ref="BH125:BH128" si="289">IF(V125="No","Not Applicable: "&amp;W125,(_xlfn.CONCAT(AX125,AY125,AZ125,BA125,BB125,BC125,BD125,BE125,BF125,BG125)))</f>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Users complete incident response training within the Security Awareness training, but it is a very broad covering of incident response
Users are also provided guidance on incidents within the Merge handbook, which is made available to all users through Air mason (observed on Day 1)
No incidents in the past 12 months.
In the event an incident occurs, incident tracking and remediation will take place within the ticketing system, which includes all relevant stakeholders.
Observed the following live during fieldwork: 
Observed the KnowBe4 dashboard where Security Awareness training is provided which briefly covers the topics for incident response.
Examined the following evidence during fieldwork:
Reviewed evidence addressed the requirement statement.
Sample test results are documented in Test 110: Information Security (information security incident) [Population Source/Tool: , Population Date Range: , Population Size: , Sample Methodology: , Sample Size: ].
</v>
      </c>
    </row>
    <row r="126" spans="3:60" ht="409.5" x14ac:dyDescent="0.35">
      <c r="C126" s="1">
        <f t="shared" si="280"/>
        <v>0</v>
      </c>
      <c r="D126" s="5" t="str">
        <f>IF(AND((_xlfn.XLOOKUP(J126,'Fields &amp; Revisions'!$H:$H,'Fields &amp; Revisions'!$I:$I))&lt;70.99,(OR(Z126="4. Mostly Compliant (75%)",Z126="3. Partially Compliant (50%)",Z126="2. Somewhat Compliant (25%)",Z126="1. Non Compliant (0%)"))),"Yes","No")</f>
        <v>No</v>
      </c>
      <c r="E126" s="5" t="str">
        <f>IF(ISERROR(VLOOKUP(H126,Scope!A:A,1,FALSE)),"No","Yes")</f>
        <v>Yes</v>
      </c>
      <c r="F126" s="1" t="s">
        <v>4036</v>
      </c>
      <c r="G126" s="53" t="s">
        <v>4277</v>
      </c>
      <c r="H126" s="53" t="s">
        <v>4278</v>
      </c>
      <c r="I126" s="5">
        <v>1</v>
      </c>
      <c r="J126" s="1" t="s">
        <v>4099</v>
      </c>
      <c r="K126" s="1" t="s">
        <v>4279</v>
      </c>
      <c r="L126" s="1" t="s">
        <v>4280</v>
      </c>
      <c r="M126" s="1" t="s">
        <v>4281</v>
      </c>
      <c r="N126" s="5" t="s">
        <v>85</v>
      </c>
      <c r="O126" s="1" t="str">
        <f>_xlfn.XLOOKUP(G126,SRMs!$A:$A,SRMs!$D:$D)</f>
        <v>PARTIAL INHERITANCE</v>
      </c>
      <c r="P126" s="1" t="str">
        <f>IFERROR(VLOOKUP(H126,Inherited!A:B,2,FALSE),"")</f>
        <v/>
      </c>
      <c r="Q126" s="1" t="e">
        <f>IF(MATCH(H126,Inherited!A:A),IF((((_xlfn.XLOOKUP(Assessment!#REF!,Inherited!A:A,Inherited!B:B))/100)*(_xlfn.XLOOKUP(Assessment!#REF!,Inherited!A:A,Inherited!C:C)))+(((100-(_xlfn.XLOOKUP(Assessment!#REF!,Inherited!A:A,Inherited!B:B)))/100)*IF(X126="1.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(100%)","100"))))))&lt;=10,"0", IF(AND((((_xlfn.XLOOKUP(Assessment!#REF!,Inherited!A:A,Inherited!B:B))/100)*(_xlfn.XLOOKUP(Assessment!#REF!,Inherited!A:A,Inherited!C:C)))+(((100-(_xlfn.XLOOKUP(Assessment!#REF!,Inherited!A:A,Inherited!B:B)))/100)*IF(X126="1.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(100%)","100"))))))&gt;=11,(((_xlfn.XLOOKUP(Assessment!#REF!,Inherited!A:A,Inherited!B:B))/100)*(_xlfn.XLOOKUP(Assessment!#REF!,Inherited!A:A,Inherited!C:C)))+(((100-(_xlfn.XLOOKUP(Assessment!#REF!,Inherited!A:A,Inherited!B:B)))/100)*IF(X126="1.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(100%)","100"))))))&lt;=32),"25",IF(AND((((_xlfn.XLOOKUP(Assessment!#REF!,Inherited!A:A,Inherited!B:B))/100)*(_xlfn.XLOOKUP(Assessment!#REF!,Inherited!A:A,Inherited!C:C)))+(((100-(_xlfn.XLOOKUP(Assessment!#REF!,Inherited!A:A,Inherited!B:B)))/100)*IF(X126="1.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(100%)","100"))))))&gt;=33,(((_xlfn.XLOOKUP(Assessment!#REF!,Inherited!A:A,Inherited!B:B))/100)*(_xlfn.XLOOKUP(Assessment!#REF!,Inherited!A:A,Inherited!C:C)))+(((100-(_xlfn.XLOOKUP(Assessment!#REF!,Inherited!A:A,Inherited!B:B)))/100)*IF(X126="1.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(100%)","100"))))))&lt;=65),"50",IF(AND((((_xlfn.XLOOKUP(Assessment!#REF!,Inherited!A:A,Inherited!B:B))/100)*(_xlfn.XLOOKUP(Assessment!#REF!,Inherited!A:A,Inherited!C:C)))+(((100-(_xlfn.XLOOKUP(Assessment!#REF!,Inherited!A:A,Inherited!B:B)))/100)*IF(X126="1.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(100%)","100"))))))&gt;=66,(((_xlfn.XLOOKUP(Assessment!#REF!,Inherited!A:A,Inherited!B:B))/100)*(_xlfn.XLOOKUP(Assessment!#REF!,Inherited!A:A,Inherited!C:C)))+(((100-(_xlfn.XLOOKUP(Assessment!#REF!,Inherited!A:A,Inherited!B:B)))/100)*IF(X126="1.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(100%)","100"))))))&lt;=89),"75",IF((((_xlfn.XLOOKUP(Assessment!#REF!,Inherited!A:A,Inherited!B:B))/100)*(_xlfn.XLOOKUP(Assessment!#REF!,Inherited!A:A,Inherited!C:C)))+(((100-(_xlfn.XLOOKUP(Assessment!#REF!,Inherited!A:A,Inherited!B:B)))/100)*IF(X126="1. Non Compliant (0%)","0",IF(X126="2. Somewhat Compliant (25%)","25",IF(X126="3. Partially Compliant (50%)","50",IF(X126="4. Mostly Compliant (75%)","75",IF(X126="5. Fully Compliant (100%)","100"))))))&gt;=90,"100"))))))</f>
        <v>#N/A</v>
      </c>
      <c r="R126" s="1" t="e">
        <f>IF(MATCH(H126,Inherited!A:A),IF((((_xlfn.XLOOKUP(Assessment!#REF!,Inherited!A:A,Inherited!B:B))/100)*(_xlfn.XLOOKUP(Assessment!#REF!,Inherited!A:A,Inherited!D:D)))+(((100-(_xlfn.XLOOKUP(Assessment!#REF!,Inherited!A:A,Inherited!B:B)))/100)*IF(Y126="1.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(100%)","100"))))))&lt;=10,"0", IF(AND((((_xlfn.XLOOKUP(Assessment!#REF!,Inherited!A:A,Inherited!B:B))/100)*(_xlfn.XLOOKUP(Assessment!#REF!,Inherited!A:A,Inherited!D:D)))+(((100-(_xlfn.XLOOKUP(Assessment!#REF!,Inherited!A:A,Inherited!B:B)))/100)*IF(Y126="1.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(100%)","100"))))))&gt;=11,(((_xlfn.XLOOKUP(Assessment!#REF!,Inherited!A:A,Inherited!B:B))/100)*(_xlfn.XLOOKUP(Assessment!#REF!,Inherited!A:A,Inherited!D:D)))+(((100-(_xlfn.XLOOKUP(Assessment!#REF!,Inherited!A:A,Inherited!B:B)))/100)*IF(Y126="1.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(100%)","100"))))))&lt;=32),"25",IF(AND((((_xlfn.XLOOKUP(Assessment!#REF!,Inherited!A:A,Inherited!B:B))/100)*(_xlfn.XLOOKUP(Assessment!#REF!,Inherited!A:A,Inherited!D:D)))+(((100-(_xlfn.XLOOKUP(Assessment!#REF!,Inherited!A:A,Inherited!B:B)))/100)*IF(Y126="1.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(100%)","100"))))))&gt;=33,(((_xlfn.XLOOKUP(Assessment!#REF!,Inherited!A:A,Inherited!B:B))/100)*(_xlfn.XLOOKUP(Assessment!#REF!,Inherited!A:A,Inherited!D:D)))+(((100-(_xlfn.XLOOKUP(Assessment!#REF!,Inherited!A:A,Inherited!B:B)))/100)*IF(Y126="1.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(100%)","100"))))))&lt;=65),"50",IF(AND((((_xlfn.XLOOKUP(Assessment!#REF!,Inherited!A:A,Inherited!B:B))/100)*(_xlfn.XLOOKUP(Assessment!#REF!,Inherited!A:A,Inherited!D:D)))+(((100-(_xlfn.XLOOKUP(Assessment!#REF!,Inherited!A:A,Inherited!B:B)))/100)*IF(Y126="1.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(100%)","100"))))))&gt;=66,(((_xlfn.XLOOKUP(Assessment!#REF!,Inherited!A:A,Inherited!B:B))/100)*(_xlfn.XLOOKUP(Assessment!#REF!,Inherited!A:A,Inherited!D:D)))+(((100-(_xlfn.XLOOKUP(Assessment!#REF!,Inherited!A:A,Inherited!B:B)))/100)*IF(Y126="1.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(100%)","100"))))))&lt;=89),"75",IF((((_xlfn.XLOOKUP(Assessment!#REF!,Inherited!A:A,Inherited!B:B))/100)*(_xlfn.XLOOKUP(Assessment!#REF!,Inherited!A:A,Inherited!D:D)))+(((100-(_xlfn.XLOOKUP(Assessment!#REF!,Inherited!A:A,Inherited!B:B)))/100)*IF(Y126="1. Non Compliant (0%)","0",IF(Y126="2. Somewhat Compliant (25%)","25",IF(Y126="3. Partially Compliant (50%)","50",IF(Y126="4. Mostly Compliant (75%)","75",IF(Y126="5. Fully Compliant (100%)","100"))))))&gt;=90,"100"))))))</f>
        <v>#N/A</v>
      </c>
      <c r="S126" s="1" t="e">
        <f>IF(MATCH(H126,Inherited!A:A),IF((((_xlfn.XLOOKUP(Assessment!#REF!,Inherited!A:A,Inherited!B:B))/100)*(_xlfn.XLOOKUP(Assessment!#REF!,Inherited!A:A,Inherited!E:E)))+(((100-(_xlfn.XLOOKUP(Assessment!#REF!,Inherited!A:A,Inherited!B:B)))/100)*IF(Z126="1.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(100%)","100"))))))&lt;=10,"0", IF(AND((((_xlfn.XLOOKUP(Assessment!#REF!,Inherited!A:A,Inherited!B:B))/100)*(_xlfn.XLOOKUP(Assessment!#REF!,Inherited!A:A,Inherited!E:E)))+(((100-(_xlfn.XLOOKUP(Assessment!#REF!,Inherited!A:A,Inherited!B:B)))/100)*IF(Z126="1.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(100%)","100"))))))&gt;=11,(((_xlfn.XLOOKUP(Assessment!#REF!,Inherited!A:A,Inherited!B:B))/100)*(_xlfn.XLOOKUP(Assessment!#REF!,Inherited!A:A,Inherited!E:E)))+(((100-(_xlfn.XLOOKUP(Assessment!#REF!,Inherited!A:A,Inherited!B:B)))/100)*IF(Z126="1.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(100%)","100"))))))&lt;=32),"25",IF(AND((((_xlfn.XLOOKUP(Assessment!#REF!,Inherited!A:A,Inherited!B:B))/100)*(_xlfn.XLOOKUP(Assessment!#REF!,Inherited!A:A,Inherited!E:E)))+(((100-(_xlfn.XLOOKUP(Assessment!#REF!,Inherited!A:A,Inherited!B:B)))/100)*IF(Z126="1.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(100%)","100"))))))&gt;=33,(((_xlfn.XLOOKUP(Assessment!#REF!,Inherited!A:A,Inherited!B:B))/100)*(_xlfn.XLOOKUP(Assessment!#REF!,Inherited!A:A,Inherited!E:E)))+(((100-(_xlfn.XLOOKUP(Assessment!#REF!,Inherited!A:A,Inherited!B:B)))/100)*IF(Z126="1.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(100%)","100"))))))&lt;=65),"50",IF(AND((((_xlfn.XLOOKUP(Assessment!#REF!,Inherited!A:A,Inherited!B:B))/100)*(_xlfn.XLOOKUP(Assessment!#REF!,Inherited!A:A,Inherited!E:E)))+(((100-(_xlfn.XLOOKUP(Assessment!#REF!,Inherited!A:A,Inherited!B:B)))/100)*IF(Z126="1.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(100%)","100"))))))&gt;=66,(((_xlfn.XLOOKUP(Assessment!#REF!,Inherited!A:A,Inherited!B:B))/100)*(_xlfn.XLOOKUP(Assessment!#REF!,Inherited!A:A,Inherited!E:E)))+(((100-(_xlfn.XLOOKUP(Assessment!#REF!,Inherited!A:A,Inherited!B:B)))/100)*IF(Z126="1.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(100%)","100"))))))&lt;=89),"75",IF((((_xlfn.XLOOKUP(Assessment!#REF!,Inherited!A:A,Inherited!B:B))/100)*(_xlfn.XLOOKUP(Assessment!#REF!,Inherited!A:A,Inherited!E:E)))+(((100-(_xlfn.XLOOKUP(Assessment!#REF!,Inherited!A:A,Inherited!B:B)))/100)*IF(Z126="1. Non Compliant (0%)","0",IF(Z126="2. Somewhat Compliant (25%)","25",IF(Z126="3. Partially Compliant (50%)","50",IF(Z126="4. Mostly Compliant (75%)","75",IF(Z126="5. Fully Compliant (100%)","100"))))))&gt;=90,"100"))))))</f>
        <v>#N/A</v>
      </c>
      <c r="T126" s="1" t="e">
        <f>IF(MATCH(H126,Inherited!A:A),IF((((_xlfn.XLOOKUP(Assessment!#REF!,Inherited!A:A,Inherited!B:B))/100)*(_xlfn.XLOOKUP(Assessment!#REF!,Inherited!A:A,Inherited!F:F)))+(((100-(_xlfn.XLOOKUP(Assessment!#REF!,Inherited!A:A,Inherited!B:B)))/100)*IF(AA126="1.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(100%)","100"))))))&lt;=10,"0", IF(AND((((_xlfn.XLOOKUP(Assessment!#REF!,Inherited!A:A,Inherited!B:B))/100)*(_xlfn.XLOOKUP(Assessment!#REF!,Inherited!A:A,Inherited!F:F)))+(((100-(_xlfn.XLOOKUP(Assessment!#REF!,Inherited!A:A,Inherited!B:B)))/100)*IF(AA126="1.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(100%)","100"))))))&gt;=11,(((_xlfn.XLOOKUP(Assessment!#REF!,Inherited!A:A,Inherited!B:B))/100)*(_xlfn.XLOOKUP(Assessment!#REF!,Inherited!A:A,Inherited!F:F)))+(((100-(_xlfn.XLOOKUP(Assessment!#REF!,Inherited!A:A,Inherited!B:B)))/100)*IF(AA126="1.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(100%)","100"))))))&lt;=32),"25",IF(AND((((_xlfn.XLOOKUP(Assessment!#REF!,Inherited!A:A,Inherited!B:B))/100)*(_xlfn.XLOOKUP(Assessment!#REF!,Inherited!A:A,Inherited!F:F)))+(((100-(_xlfn.XLOOKUP(Assessment!#REF!,Inherited!A:A,Inherited!B:B)))/100)*IF(AA126="1.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(100%)","100"))))))&gt;=33,(((_xlfn.XLOOKUP(Assessment!#REF!,Inherited!A:A,Inherited!B:B))/100)*(_xlfn.XLOOKUP(Assessment!#REF!,Inherited!A:A,Inherited!F:F)))+(((100-(_xlfn.XLOOKUP(Assessment!#REF!,Inherited!A:A,Inherited!B:B)))/100)*IF(AA126="1.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(100%)","100"))))))&lt;=65),"50",IF(AND((((_xlfn.XLOOKUP(Assessment!#REF!,Inherited!A:A,Inherited!B:B))/100)*(_xlfn.XLOOKUP(Assessment!#REF!,Inherited!A:A,Inherited!F:F)))+(((100-(_xlfn.XLOOKUP(Assessment!#REF!,Inherited!A:A,Inherited!B:B)))/100)*IF(AA126="1.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(100%)","100"))))))&gt;=66,(((_xlfn.XLOOKUP(Assessment!#REF!,Inherited!A:A,Inherited!B:B))/100)*(_xlfn.XLOOKUP(Assessment!#REF!,Inherited!A:A,Inherited!F:F)))+(((100-(_xlfn.XLOOKUP(Assessment!#REF!,Inherited!A:A,Inherited!B:B)))/100)*IF(AA126="1.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(100%)","100"))))))&lt;=89),"75",IF((((_xlfn.XLOOKUP(Assessment!#REF!,Inherited!A:A,Inherited!B:B))/100)*(_xlfn.XLOOKUP(Assessment!#REF!,Inherited!A:A,Inherited!F:F)))+(((100-(_xlfn.XLOOKUP(Assessment!#REF!,Inherited!A:A,Inherited!B:B)))/100)*IF(AA126="1. Non Compliant (0%)","0",IF(AA126="2. Somewhat Compliant (25%)","25",IF(AA126="3. Partially Compliant (50%)","50",IF(AA126="4. Mostly Compliant (75%)","75",IF(AA126="5. Fully Compliant (100%)","100"))))))&gt;=90,"100"))))))</f>
        <v>#N/A</v>
      </c>
      <c r="U126" s="1" t="e">
        <f>IF(MATCH(H126,Inherited!A:A),IF((((_xlfn.XLOOKUP(Assessment!#REF!,Inherited!A:A,Inherited!B:B))/100)*(_xlfn.XLOOKUP(Assessment!#REF!,Inherited!A:A,Inherited!G:G)))+(((100-(_xlfn.XLOOKUP(Assessment!#REF!,Inherited!A:A,Inherited!B:B)))/100)*IF(AB126="1.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(100%)","100"))))))&lt;=10,"0", IF(AND((((_xlfn.XLOOKUP(Assessment!#REF!,Inherited!A:A,Inherited!B:B))/100)*(_xlfn.XLOOKUP(Assessment!#REF!,Inherited!A:A,Inherited!G:G)))+(((100-(_xlfn.XLOOKUP(Assessment!#REF!,Inherited!A:A,Inherited!B:B)))/100)*IF(AB126="1.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(100%)","100"))))))&gt;=11,(((_xlfn.XLOOKUP(Assessment!#REF!,Inherited!A:A,Inherited!B:B))/100)*(_xlfn.XLOOKUP(Assessment!#REF!,Inherited!A:A,Inherited!G:G)))+(((100-(_xlfn.XLOOKUP(Assessment!#REF!,Inherited!A:A,Inherited!B:B)))/100)*IF(AB126="1.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(100%)","100"))))))&lt;=32),"25",IF(AND((((_xlfn.XLOOKUP(Assessment!#REF!,Inherited!A:A,Inherited!B:B))/100)*(_xlfn.XLOOKUP(Assessment!#REF!,Inherited!A:A,Inherited!G:G)))+(((100-(_xlfn.XLOOKUP(Assessment!#REF!,Inherited!A:A,Inherited!B:B)))/100)*IF(AB126="1.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(100%)","100"))))))&gt;=33,(((_xlfn.XLOOKUP(Assessment!#REF!,Inherited!A:A,Inherited!B:B))/100)*(_xlfn.XLOOKUP(Assessment!#REF!,Inherited!A:A,Inherited!G:G)))+(((100-(_xlfn.XLOOKUP(Assessment!#REF!,Inherited!A:A,Inherited!B:B)))/100)*IF(AB126="1.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(100%)","100"))))))&lt;=65),"50",IF(AND((((_xlfn.XLOOKUP(Assessment!#REF!,Inherited!A:A,Inherited!B:B))/100)*(_xlfn.XLOOKUP(Assessment!#REF!,Inherited!A:A,Inherited!G:G)))+(((100-(_xlfn.XLOOKUP(Assessment!#REF!,Inherited!A:A,Inherited!B:B)))/100)*IF(AB126="1.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(100%)","100"))))))&gt;=66,(((_xlfn.XLOOKUP(Assessment!#REF!,Inherited!A:A,Inherited!B:B))/100)*(_xlfn.XLOOKUP(Assessment!#REF!,Inherited!A:A,Inherited!G:G)))+(((100-(_xlfn.XLOOKUP(Assessment!#REF!,Inherited!A:A,Inherited!B:B)))/100)*IF(AB126="1.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(100%)","100"))))))&lt;=89),"75",IF((((_xlfn.XLOOKUP(Assessment!#REF!,Inherited!A:A,Inherited!B:B))/100)*(_xlfn.XLOOKUP(Assessment!#REF!,Inherited!A:A,Inherited!G:G)))+(((100-(_xlfn.XLOOKUP(Assessment!#REF!,Inherited!A:A,Inherited!B:B)))/100)*IF(AB126="1. Non Compliant (0%)","0",IF(AB126="2. Somewhat Compliant (25%)","25",IF(AB126="3. Partially Compliant (50%)","50",IF(AB126="4. Mostly Compliant (75%)","75",IF(AB126="5. Fully Compliant (100%)","100"))))))&gt;=90,"100"))))))</f>
        <v>#N/A</v>
      </c>
      <c r="V126" s="55" t="s">
        <v>85</v>
      </c>
      <c r="W126" s="55"/>
      <c r="X126" s="55"/>
      <c r="Y126" s="55"/>
      <c r="Z126" s="55"/>
      <c r="AA126" s="55"/>
      <c r="AB126" s="55"/>
      <c r="AK126" s="1" t="s">
        <v>10891</v>
      </c>
      <c r="AL126" s="1" t="s">
        <v>10963</v>
      </c>
      <c r="AX126" s="3" t="str">
        <f>_xlfn.CONCAT("A-LIGN finished its review of this control on ",AR126, " during the scheduled fieldwork window (",Intro!$B$4,")."&amp; CHAR(10)&amp; CHAR(10))</f>
        <v xml:space="preserve">A-LIGN finished its review of this control on  during the scheduled fieldwork window (Fieldwork: xx/xx/xxxx - xx/xx/xxxx).
</v>
      </c>
      <c r="AY126" s="3" t="str">
        <f t="shared" si="281"/>
        <v/>
      </c>
      <c r="AZ126" s="3" t="str">
        <f t="shared" si="282"/>
        <v/>
      </c>
      <c r="BA126" s="3" t="str">
        <f t="shared" si="283"/>
        <v/>
      </c>
      <c r="BB126" s="3" t="str">
        <f t="shared" si="284"/>
        <v xml:space="preserve">Inquired of the following workforce member: 
Matthew Macaluso - Director of System Operations
Roze Nicolas - Director of TechOps
Inquiry lead to the following conclusions: 
No incidents in the past 12 months.
In the event an incident occurs, incident tracking and remediation will take place within the ticketing system, which includes all relevant stakeholders.
</v>
      </c>
      <c r="BC126" s="3" t="str">
        <f t="shared" si="285"/>
        <v/>
      </c>
      <c r="BD126" s="3" t="str">
        <f t="shared" si="286"/>
        <v xml:space="preserve">Examined the following evidence during fieldwork:
Reviewed evidence addressed the requirement statement.
</v>
      </c>
      <c r="BE126" s="3" t="str">
        <f t="shared" si="287"/>
        <v/>
      </c>
      <c r="BF126" s="3" t="str">
        <f t="shared" si="288"/>
        <v/>
      </c>
      <c r="BG126" s="3" t="str">
        <f>_xlfn.CONCAT((IF((COUNTIF('Sample Tables'!B:B,"Test 110: Information Security (information security incident)")&gt;0)=TRUE,_xlfn.CONCAT("Sample test results are documented in ",'Sample Tables'!B1206," [",'Sample Tables'!B1207,", ",'Sample Tables'!B1208,", ",'Sample Tables'!B1209,", ",'Sample Tables'!B1210,", ",'Sample Tables'!B1211,"]."&amp;CHAR(10)),IF((COUNTIF('Sample Tables'!B:B,"Test 110: Information Security (information security incident)")&gt;0)=FALSE,""))),)</f>
        <v xml:space="preserve">Sample test results are documented in Test 110: Information Security (information security incident) [Population Source/Tool: , Population Date Range: , Population Size: , Sample Methodology: , Sample Size: ].
</v>
      </c>
      <c r="BH126" s="3" t="str">
        <f t="shared" si="28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No incidents in the past 12 months.
In the event an incident occurs, incident tracking and remediation will take place within the ticketing system, which includes all relevant stakeholders.
Examined the following evidence during fieldwork:
Reviewed evidence addressed the requirement statement.
Sample test results are documented in Test 110: Information Security (information security incident) [Population Source/Tool: , Population Date Range: , Population Size: , Sample Methodology: , Sample Size: ].
</v>
      </c>
    </row>
    <row r="127" spans="3:60" ht="325" x14ac:dyDescent="0.35">
      <c r="C127" s="1">
        <f t="shared" si="280"/>
        <v>40</v>
      </c>
      <c r="D127" s="5" t="str">
        <f>IF(AND((_xlfn.XLOOKUP(J127,'Fields &amp; Revisions'!$H:$H,'Fields &amp; Revisions'!$I:$I))&lt;70.99,(OR(Z127="4. Mostly Compliant (75%)",Z127="3. Partially Compliant (50%)",Z127="2. Somewhat Compliant (25%)",Z127="1. Non Compliant (0%)"))),"Yes","No")</f>
        <v>No</v>
      </c>
      <c r="E127" s="5" t="str">
        <f>IF(ISERROR(VLOOKUP(H127,Scope!A:A,1,FALSE)),"No","Yes")</f>
        <v>Yes</v>
      </c>
      <c r="F127" s="1" t="s">
        <v>4036</v>
      </c>
      <c r="G127" s="53" t="s">
        <v>4284</v>
      </c>
      <c r="H127" s="53" t="s">
        <v>4285</v>
      </c>
      <c r="I127" s="5">
        <v>1</v>
      </c>
      <c r="J127" s="1" t="s">
        <v>4127</v>
      </c>
      <c r="K127" s="1" t="s">
        <v>4286</v>
      </c>
      <c r="L127" s="1" t="s">
        <v>4287</v>
      </c>
      <c r="M127" s="1" t="s">
        <v>4142</v>
      </c>
      <c r="N127" s="5" t="s">
        <v>85</v>
      </c>
      <c r="O127" s="1" t="str">
        <f>_xlfn.XLOOKUP(G127,SRMs!$A:$A,SRMs!$D:$D)</f>
        <v>PARTIAL INHERITANCE</v>
      </c>
      <c r="P127" s="1" t="str">
        <f>IFERROR(VLOOKUP(H127,Inherited!A:B,2,FALSE),"")</f>
        <v/>
      </c>
      <c r="Q127" s="1" t="e">
        <f>IF(MATCH(H127,Inherited!A:A),IF((((_xlfn.XLOOKUP(Assessment!#REF!,Inherited!A:A,Inherited!B:B))/100)*(_xlfn.XLOOKUP(Assessment!#REF!,Inherited!A:A,Inherited!C:C)))+(((100-(_xlfn.XLOOKUP(Assessment!#REF!,Inherited!A:A,Inherited!B:B)))/100)*IF(X127="1.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(100%)","100"))))))&lt;=10,"0", IF(AND((((_xlfn.XLOOKUP(Assessment!#REF!,Inherited!A:A,Inherited!B:B))/100)*(_xlfn.XLOOKUP(Assessment!#REF!,Inherited!A:A,Inherited!C:C)))+(((100-(_xlfn.XLOOKUP(Assessment!#REF!,Inherited!A:A,Inherited!B:B)))/100)*IF(X127="1.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(100%)","100"))))))&gt;=11,(((_xlfn.XLOOKUP(Assessment!#REF!,Inherited!A:A,Inherited!B:B))/100)*(_xlfn.XLOOKUP(Assessment!#REF!,Inherited!A:A,Inherited!C:C)))+(((100-(_xlfn.XLOOKUP(Assessment!#REF!,Inherited!A:A,Inherited!B:B)))/100)*IF(X127="1.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(100%)","100"))))))&lt;=32),"25",IF(AND((((_xlfn.XLOOKUP(Assessment!#REF!,Inherited!A:A,Inherited!B:B))/100)*(_xlfn.XLOOKUP(Assessment!#REF!,Inherited!A:A,Inherited!C:C)))+(((100-(_xlfn.XLOOKUP(Assessment!#REF!,Inherited!A:A,Inherited!B:B)))/100)*IF(X127="1.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(100%)","100"))))))&gt;=33,(((_xlfn.XLOOKUP(Assessment!#REF!,Inherited!A:A,Inherited!B:B))/100)*(_xlfn.XLOOKUP(Assessment!#REF!,Inherited!A:A,Inherited!C:C)))+(((100-(_xlfn.XLOOKUP(Assessment!#REF!,Inherited!A:A,Inherited!B:B)))/100)*IF(X127="1.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(100%)","100"))))))&lt;=65),"50",IF(AND((((_xlfn.XLOOKUP(Assessment!#REF!,Inherited!A:A,Inherited!B:B))/100)*(_xlfn.XLOOKUP(Assessment!#REF!,Inherited!A:A,Inherited!C:C)))+(((100-(_xlfn.XLOOKUP(Assessment!#REF!,Inherited!A:A,Inherited!B:B)))/100)*IF(X127="1.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(100%)","100"))))))&gt;=66,(((_xlfn.XLOOKUP(Assessment!#REF!,Inherited!A:A,Inherited!B:B))/100)*(_xlfn.XLOOKUP(Assessment!#REF!,Inherited!A:A,Inherited!C:C)))+(((100-(_xlfn.XLOOKUP(Assessment!#REF!,Inherited!A:A,Inherited!B:B)))/100)*IF(X127="1.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(100%)","100"))))))&lt;=89),"75",IF((((_xlfn.XLOOKUP(Assessment!#REF!,Inherited!A:A,Inherited!B:B))/100)*(_xlfn.XLOOKUP(Assessment!#REF!,Inherited!A:A,Inherited!C:C)))+(((100-(_xlfn.XLOOKUP(Assessment!#REF!,Inherited!A:A,Inherited!B:B)))/100)*IF(X127="1. Non Compliant (0%)","0",IF(X127="2. Somewhat Compliant (25%)","25",IF(X127="3. Partially Compliant (50%)","50",IF(X127="4. Mostly Compliant (75%)","75",IF(X127="5. Fully Compliant (100%)","100"))))))&gt;=90,"100"))))))</f>
        <v>#N/A</v>
      </c>
      <c r="R127" s="1" t="e">
        <f>IF(MATCH(H127,Inherited!A:A),IF((((_xlfn.XLOOKUP(Assessment!#REF!,Inherited!A:A,Inherited!B:B))/100)*(_xlfn.XLOOKUP(Assessment!#REF!,Inherited!A:A,Inherited!D:D)))+(((100-(_xlfn.XLOOKUP(Assessment!#REF!,Inherited!A:A,Inherited!B:B)))/100)*IF(Y127="1.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(100%)","100"))))))&lt;=10,"0", IF(AND((((_xlfn.XLOOKUP(Assessment!#REF!,Inherited!A:A,Inherited!B:B))/100)*(_xlfn.XLOOKUP(Assessment!#REF!,Inherited!A:A,Inherited!D:D)))+(((100-(_xlfn.XLOOKUP(Assessment!#REF!,Inherited!A:A,Inherited!B:B)))/100)*IF(Y127="1.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(100%)","100"))))))&gt;=11,(((_xlfn.XLOOKUP(Assessment!#REF!,Inherited!A:A,Inherited!B:B))/100)*(_xlfn.XLOOKUP(Assessment!#REF!,Inherited!A:A,Inherited!D:D)))+(((100-(_xlfn.XLOOKUP(Assessment!#REF!,Inherited!A:A,Inherited!B:B)))/100)*IF(Y127="1.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(100%)","100"))))))&lt;=32),"25",IF(AND((((_xlfn.XLOOKUP(Assessment!#REF!,Inherited!A:A,Inherited!B:B))/100)*(_xlfn.XLOOKUP(Assessment!#REF!,Inherited!A:A,Inherited!D:D)))+(((100-(_xlfn.XLOOKUP(Assessment!#REF!,Inherited!A:A,Inherited!B:B)))/100)*IF(Y127="1.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(100%)","100"))))))&gt;=33,(((_xlfn.XLOOKUP(Assessment!#REF!,Inherited!A:A,Inherited!B:B))/100)*(_xlfn.XLOOKUP(Assessment!#REF!,Inherited!A:A,Inherited!D:D)))+(((100-(_xlfn.XLOOKUP(Assessment!#REF!,Inherited!A:A,Inherited!B:B)))/100)*IF(Y127="1.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(100%)","100"))))))&lt;=65),"50",IF(AND((((_xlfn.XLOOKUP(Assessment!#REF!,Inherited!A:A,Inherited!B:B))/100)*(_xlfn.XLOOKUP(Assessment!#REF!,Inherited!A:A,Inherited!D:D)))+(((100-(_xlfn.XLOOKUP(Assessment!#REF!,Inherited!A:A,Inherited!B:B)))/100)*IF(Y127="1.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(100%)","100"))))))&gt;=66,(((_xlfn.XLOOKUP(Assessment!#REF!,Inherited!A:A,Inherited!B:B))/100)*(_xlfn.XLOOKUP(Assessment!#REF!,Inherited!A:A,Inherited!D:D)))+(((100-(_xlfn.XLOOKUP(Assessment!#REF!,Inherited!A:A,Inherited!B:B)))/100)*IF(Y127="1.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(100%)","100"))))))&lt;=89),"75",IF((((_xlfn.XLOOKUP(Assessment!#REF!,Inherited!A:A,Inherited!B:B))/100)*(_xlfn.XLOOKUP(Assessment!#REF!,Inherited!A:A,Inherited!D:D)))+(((100-(_xlfn.XLOOKUP(Assessment!#REF!,Inherited!A:A,Inherited!B:B)))/100)*IF(Y127="1. Non Compliant (0%)","0",IF(Y127="2. Somewhat Compliant (25%)","25",IF(Y127="3. Partially Compliant (50%)","50",IF(Y127="4. Mostly Compliant (75%)","75",IF(Y127="5. Fully Compliant (100%)","100"))))))&gt;=90,"100"))))))</f>
        <v>#N/A</v>
      </c>
      <c r="S127" s="1" t="e">
        <f>IF(MATCH(H127,Inherited!A:A),IF((((_xlfn.XLOOKUP(Assessment!#REF!,Inherited!A:A,Inherited!B:B))/100)*(_xlfn.XLOOKUP(Assessment!#REF!,Inherited!A:A,Inherited!E:E)))+(((100-(_xlfn.XLOOKUP(Assessment!#REF!,Inherited!A:A,Inherited!B:B)))/100)*IF(Z127="1.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(100%)","100"))))))&lt;=10,"0", IF(AND((((_xlfn.XLOOKUP(Assessment!#REF!,Inherited!A:A,Inherited!B:B))/100)*(_xlfn.XLOOKUP(Assessment!#REF!,Inherited!A:A,Inherited!E:E)))+(((100-(_xlfn.XLOOKUP(Assessment!#REF!,Inherited!A:A,Inherited!B:B)))/100)*IF(Z127="1.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(100%)","100"))))))&gt;=11,(((_xlfn.XLOOKUP(Assessment!#REF!,Inherited!A:A,Inherited!B:B))/100)*(_xlfn.XLOOKUP(Assessment!#REF!,Inherited!A:A,Inherited!E:E)))+(((100-(_xlfn.XLOOKUP(Assessment!#REF!,Inherited!A:A,Inherited!B:B)))/100)*IF(Z127="1.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(100%)","100"))))))&lt;=32),"25",IF(AND((((_xlfn.XLOOKUP(Assessment!#REF!,Inherited!A:A,Inherited!B:B))/100)*(_xlfn.XLOOKUP(Assessment!#REF!,Inherited!A:A,Inherited!E:E)))+(((100-(_xlfn.XLOOKUP(Assessment!#REF!,Inherited!A:A,Inherited!B:B)))/100)*IF(Z127="1.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(100%)","100"))))))&gt;=33,(((_xlfn.XLOOKUP(Assessment!#REF!,Inherited!A:A,Inherited!B:B))/100)*(_xlfn.XLOOKUP(Assessment!#REF!,Inherited!A:A,Inherited!E:E)))+(((100-(_xlfn.XLOOKUP(Assessment!#REF!,Inherited!A:A,Inherited!B:B)))/100)*IF(Z127="1.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(100%)","100"))))))&lt;=65),"50",IF(AND((((_xlfn.XLOOKUP(Assessment!#REF!,Inherited!A:A,Inherited!B:B))/100)*(_xlfn.XLOOKUP(Assessment!#REF!,Inherited!A:A,Inherited!E:E)))+(((100-(_xlfn.XLOOKUP(Assessment!#REF!,Inherited!A:A,Inherited!B:B)))/100)*IF(Z127="1.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(100%)","100"))))))&gt;=66,(((_xlfn.XLOOKUP(Assessment!#REF!,Inherited!A:A,Inherited!B:B))/100)*(_xlfn.XLOOKUP(Assessment!#REF!,Inherited!A:A,Inherited!E:E)))+(((100-(_xlfn.XLOOKUP(Assessment!#REF!,Inherited!A:A,Inherited!B:B)))/100)*IF(Z127="1.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(100%)","100"))))))&lt;=89),"75",IF((((_xlfn.XLOOKUP(Assessment!#REF!,Inherited!A:A,Inherited!B:B))/100)*(_xlfn.XLOOKUP(Assessment!#REF!,Inherited!A:A,Inherited!E:E)))+(((100-(_xlfn.XLOOKUP(Assessment!#REF!,Inherited!A:A,Inherited!B:B)))/100)*IF(Z127="1. Non Compliant (0%)","0",IF(Z127="2. Somewhat Compliant (25%)","25",IF(Z127="3. Partially Compliant (50%)","50",IF(Z127="4. Mostly Compliant (75%)","75",IF(Z127="5. Fully Compliant (100%)","100"))))))&gt;=90,"100"))))))</f>
        <v>#N/A</v>
      </c>
      <c r="T127" s="1" t="e">
        <f>IF(MATCH(H127,Inherited!A:A),IF((((_xlfn.XLOOKUP(Assessment!#REF!,Inherited!A:A,Inherited!B:B))/100)*(_xlfn.XLOOKUP(Assessment!#REF!,Inherited!A:A,Inherited!F:F)))+(((100-(_xlfn.XLOOKUP(Assessment!#REF!,Inherited!A:A,Inherited!B:B)))/100)*IF(AA127="1.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(100%)","100"))))))&lt;=10,"0", IF(AND((((_xlfn.XLOOKUP(Assessment!#REF!,Inherited!A:A,Inherited!B:B))/100)*(_xlfn.XLOOKUP(Assessment!#REF!,Inherited!A:A,Inherited!F:F)))+(((100-(_xlfn.XLOOKUP(Assessment!#REF!,Inherited!A:A,Inherited!B:B)))/100)*IF(AA127="1.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(100%)","100"))))))&gt;=11,(((_xlfn.XLOOKUP(Assessment!#REF!,Inherited!A:A,Inherited!B:B))/100)*(_xlfn.XLOOKUP(Assessment!#REF!,Inherited!A:A,Inherited!F:F)))+(((100-(_xlfn.XLOOKUP(Assessment!#REF!,Inherited!A:A,Inherited!B:B)))/100)*IF(AA127="1.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(100%)","100"))))))&lt;=32),"25",IF(AND((((_xlfn.XLOOKUP(Assessment!#REF!,Inherited!A:A,Inherited!B:B))/100)*(_xlfn.XLOOKUP(Assessment!#REF!,Inherited!A:A,Inherited!F:F)))+(((100-(_xlfn.XLOOKUP(Assessment!#REF!,Inherited!A:A,Inherited!B:B)))/100)*IF(AA127="1.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(100%)","100"))))))&gt;=33,(((_xlfn.XLOOKUP(Assessment!#REF!,Inherited!A:A,Inherited!B:B))/100)*(_xlfn.XLOOKUP(Assessment!#REF!,Inherited!A:A,Inherited!F:F)))+(((100-(_xlfn.XLOOKUP(Assessment!#REF!,Inherited!A:A,Inherited!B:B)))/100)*IF(AA127="1.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(100%)","100"))))))&lt;=65),"50",IF(AND((((_xlfn.XLOOKUP(Assessment!#REF!,Inherited!A:A,Inherited!B:B))/100)*(_xlfn.XLOOKUP(Assessment!#REF!,Inherited!A:A,Inherited!F:F)))+(((100-(_xlfn.XLOOKUP(Assessment!#REF!,Inherited!A:A,Inherited!B:B)))/100)*IF(AA127="1.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(100%)","100"))))))&gt;=66,(((_xlfn.XLOOKUP(Assessment!#REF!,Inherited!A:A,Inherited!B:B))/100)*(_xlfn.XLOOKUP(Assessment!#REF!,Inherited!A:A,Inherited!F:F)))+(((100-(_xlfn.XLOOKUP(Assessment!#REF!,Inherited!A:A,Inherited!B:B)))/100)*IF(AA127="1.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(100%)","100"))))))&lt;=89),"75",IF((((_xlfn.XLOOKUP(Assessment!#REF!,Inherited!A:A,Inherited!B:B))/100)*(_xlfn.XLOOKUP(Assessment!#REF!,Inherited!A:A,Inherited!F:F)))+(((100-(_xlfn.XLOOKUP(Assessment!#REF!,Inherited!A:A,Inherited!B:B)))/100)*IF(AA127="1. Non Compliant (0%)","0",IF(AA127="2. Somewhat Compliant (25%)","25",IF(AA127="3. Partially Compliant (50%)","50",IF(AA127="4. Mostly Compliant (75%)","75",IF(AA127="5. Fully Compliant (100%)","100"))))))&gt;=90,"100"))))))</f>
        <v>#N/A</v>
      </c>
      <c r="U127" s="1" t="e">
        <f>IF(MATCH(H127,Inherited!A:A),IF((((_xlfn.XLOOKUP(Assessment!#REF!,Inherited!A:A,Inherited!B:B))/100)*(_xlfn.XLOOKUP(Assessment!#REF!,Inherited!A:A,Inherited!G:G)))+(((100-(_xlfn.XLOOKUP(Assessment!#REF!,Inherited!A:A,Inherited!B:B)))/100)*IF(AB127="1.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(100%)","100"))))))&lt;=10,"0", IF(AND((((_xlfn.XLOOKUP(Assessment!#REF!,Inherited!A:A,Inherited!B:B))/100)*(_xlfn.XLOOKUP(Assessment!#REF!,Inherited!A:A,Inherited!G:G)))+(((100-(_xlfn.XLOOKUP(Assessment!#REF!,Inherited!A:A,Inherited!B:B)))/100)*IF(AB127="1.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(100%)","100"))))))&gt;=11,(((_xlfn.XLOOKUP(Assessment!#REF!,Inherited!A:A,Inherited!B:B))/100)*(_xlfn.XLOOKUP(Assessment!#REF!,Inherited!A:A,Inherited!G:G)))+(((100-(_xlfn.XLOOKUP(Assessment!#REF!,Inherited!A:A,Inherited!B:B)))/100)*IF(AB127="1.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(100%)","100"))))))&lt;=32),"25",IF(AND((((_xlfn.XLOOKUP(Assessment!#REF!,Inherited!A:A,Inherited!B:B))/100)*(_xlfn.XLOOKUP(Assessment!#REF!,Inherited!A:A,Inherited!G:G)))+(((100-(_xlfn.XLOOKUP(Assessment!#REF!,Inherited!A:A,Inherited!B:B)))/100)*IF(AB127="1.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(100%)","100"))))))&gt;=33,(((_xlfn.XLOOKUP(Assessment!#REF!,Inherited!A:A,Inherited!B:B))/100)*(_xlfn.XLOOKUP(Assessment!#REF!,Inherited!A:A,Inherited!G:G)))+(((100-(_xlfn.XLOOKUP(Assessment!#REF!,Inherited!A:A,Inherited!B:B)))/100)*IF(AB127="1.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(100%)","100"))))))&lt;=65),"50",IF(AND((((_xlfn.XLOOKUP(Assessment!#REF!,Inherited!A:A,Inherited!B:B))/100)*(_xlfn.XLOOKUP(Assessment!#REF!,Inherited!A:A,Inherited!G:G)))+(((100-(_xlfn.XLOOKUP(Assessment!#REF!,Inherited!A:A,Inherited!B:B)))/100)*IF(AB127="1.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(100%)","100"))))))&gt;=66,(((_xlfn.XLOOKUP(Assessment!#REF!,Inherited!A:A,Inherited!B:B))/100)*(_xlfn.XLOOKUP(Assessment!#REF!,Inherited!A:A,Inherited!G:G)))+(((100-(_xlfn.XLOOKUP(Assessment!#REF!,Inherited!A:A,Inherited!B:B)))/100)*IF(AB127="1.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(100%)","100"))))))&lt;=89),"75",IF((((_xlfn.XLOOKUP(Assessment!#REF!,Inherited!A:A,Inherited!B:B))/100)*(_xlfn.XLOOKUP(Assessment!#REF!,Inherited!A:A,Inherited!G:G)))+(((100-(_xlfn.XLOOKUP(Assessment!#REF!,Inherited!A:A,Inherited!B:B)))/100)*IF(AB127="1. Non Compliant (0%)","0",IF(AB127="2. Somewhat Compliant (25%)","25",IF(AB127="3. Partially Compliant (50%)","50",IF(AB127="4. Mostly Compliant (75%)","75",IF(AB127="5. Fully Compliant (100%)","100"))))))&gt;=90,"100"))))))</f>
        <v>#N/A</v>
      </c>
      <c r="V127" s="55" t="s">
        <v>85</v>
      </c>
      <c r="W127" s="55"/>
      <c r="X127" s="55"/>
      <c r="Y127" s="55"/>
      <c r="Z127" s="55" t="s">
        <v>86</v>
      </c>
      <c r="AA127" s="55"/>
      <c r="AB127" s="55"/>
      <c r="AK127" s="1" t="s">
        <v>10891</v>
      </c>
      <c r="AL127" s="1" t="s">
        <v>10963</v>
      </c>
      <c r="AX127" s="3" t="str">
        <f>_xlfn.CONCAT("A-LIGN finished its review of this control on ",AR127, " during the scheduled fieldwork window (",Intro!$B$4,")."&amp; CHAR(10)&amp; CHAR(10))</f>
        <v xml:space="preserve">A-LIGN finished its review of this control on  during the scheduled fieldwork window (Fieldwork: xx/xx/xxxx - xx/xx/xxxx).
</v>
      </c>
      <c r="AY127" s="3" t="str">
        <f t="shared" si="281"/>
        <v/>
      </c>
      <c r="AZ127" s="3" t="str">
        <f t="shared" si="282"/>
        <v/>
      </c>
      <c r="BA127" s="3" t="str">
        <f t="shared" si="283"/>
        <v/>
      </c>
      <c r="BB127" s="3" t="str">
        <f t="shared" si="284"/>
        <v xml:space="preserve">Inquired of the following workforce member: 
Matthew Macaluso - Director of System Operations
Roze Nicolas - Director of TechOps
Inquiry lead to the following conclusions: 
No incidents in the past 12 months.
In the event an incident occurs, incident tracking and remediation will take place within the ticketing system, which includes all relevant stakeholders.
</v>
      </c>
      <c r="BC127" s="3" t="str">
        <f t="shared" si="285"/>
        <v/>
      </c>
      <c r="BD127" s="3" t="str">
        <f t="shared" si="286"/>
        <v xml:space="preserve">Examined the following evidence during fieldwork:
Reviewed evidence addressed the requirement statement.
</v>
      </c>
      <c r="BE127" s="3" t="str">
        <f t="shared" si="287"/>
        <v/>
      </c>
      <c r="BF127" s="3" t="str">
        <f t="shared" si="288"/>
        <v/>
      </c>
      <c r="BG127" s="3" t="str">
        <f>_xlfn.CONCAT((IF((COUNTIF('Sample Tables'!B:B,"Test 110: Information Security (information security incident)")&gt;0)=TRUE,_xlfn.CONCAT("Sample test results are documented in ",'Sample Tables'!B1206," [",'Sample Tables'!B1207,", ",'Sample Tables'!B1208,", ",'Sample Tables'!B1209,", ",'Sample Tables'!B1210,", ",'Sample Tables'!B1211,"]."&amp;CHAR(10)),IF((COUNTIF('Sample Tables'!B:B,"Test 110: Information Security (information security incident)")&gt;0)=FALSE,""))),)</f>
        <v xml:space="preserve">Sample test results are documented in Test 110: Information Security (information security incident) [Population Source/Tool: , Population Date Range: , Population Size: , Sample Methodology: , Sample Size: ].
</v>
      </c>
      <c r="BH127" s="3" t="str">
        <f t="shared" si="28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No incidents in the past 12 months.
In the event an incident occurs, incident tracking and remediation will take place within the ticketing system, which includes all relevant stakeholders.
Examined the following evidence during fieldwork:
Reviewed evidence addressed the requirement statement.
Sample test results are documented in Test 110: Information Security (information security incident) [Population Source/Tool: , Population Date Range: , Population Size: , Sample Methodology: , Sample Size: ].
</v>
      </c>
    </row>
    <row r="128" spans="3:60" ht="287.5" x14ac:dyDescent="0.35">
      <c r="C128" s="1">
        <f t="shared" si="280"/>
        <v>0</v>
      </c>
      <c r="D128" s="5" t="str">
        <f>IF(AND((_xlfn.XLOOKUP(J128,'Fields &amp; Revisions'!$H:$H,'Fields &amp; Revisions'!$I:$I))&lt;70.99,(OR(Z128="4. Mostly Compliant (75%)",Z128="3. Partially Compliant (50%)",Z128="2. Somewhat Compliant (25%)",Z128="1. Non Compliant (0%)"))),"Yes","No")</f>
        <v>Yes</v>
      </c>
      <c r="E128" s="5" t="str">
        <f>IF(ISERROR(VLOOKUP(H128,Scope!A:A,1,FALSE)),"No","Yes")</f>
        <v>Yes</v>
      </c>
      <c r="F128" s="1" t="s">
        <v>4036</v>
      </c>
      <c r="G128" s="53" t="s">
        <v>4298</v>
      </c>
      <c r="H128" s="53" t="s">
        <v>4299</v>
      </c>
      <c r="I128" s="5">
        <v>1</v>
      </c>
      <c r="J128" s="1" t="s">
        <v>4130</v>
      </c>
      <c r="K128" s="1" t="s">
        <v>4300</v>
      </c>
      <c r="L128" s="1" t="s">
        <v>4301</v>
      </c>
      <c r="M128" s="1" t="s">
        <v>4302</v>
      </c>
      <c r="N128" s="5" t="s">
        <v>85</v>
      </c>
      <c r="O128" s="1" t="str">
        <f>_xlfn.XLOOKUP(G128,SRMs!$A:$A,SRMs!$D:$D)</f>
        <v>NO INHERITANCE</v>
      </c>
      <c r="P128" s="1" t="str">
        <f>IFERROR(VLOOKUP(H128,Inherited!A:B,2,FALSE),"")</f>
        <v/>
      </c>
      <c r="Q128" s="1" t="e">
        <f>IF(MATCH(H128,Inherited!A:A),IF((((_xlfn.XLOOKUP(Assessment!#REF!,Inherited!A:A,Inherited!B:B))/100)*(_xlfn.XLOOKUP(Assessment!#REF!,Inherited!A:A,Inherited!C:C)))+(((100-(_xlfn.XLOOKUP(Assessment!#REF!,Inherited!A:A,Inherited!B:B)))/100)*IF(X128="1.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(100%)","100"))))))&lt;=10,"0", IF(AND((((_xlfn.XLOOKUP(Assessment!#REF!,Inherited!A:A,Inherited!B:B))/100)*(_xlfn.XLOOKUP(Assessment!#REF!,Inherited!A:A,Inherited!C:C)))+(((100-(_xlfn.XLOOKUP(Assessment!#REF!,Inherited!A:A,Inherited!B:B)))/100)*IF(X128="1.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(100%)","100"))))))&gt;=11,(((_xlfn.XLOOKUP(Assessment!#REF!,Inherited!A:A,Inherited!B:B))/100)*(_xlfn.XLOOKUP(Assessment!#REF!,Inherited!A:A,Inherited!C:C)))+(((100-(_xlfn.XLOOKUP(Assessment!#REF!,Inherited!A:A,Inherited!B:B)))/100)*IF(X128="1.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(100%)","100"))))))&lt;=32),"25",IF(AND((((_xlfn.XLOOKUP(Assessment!#REF!,Inherited!A:A,Inherited!B:B))/100)*(_xlfn.XLOOKUP(Assessment!#REF!,Inherited!A:A,Inherited!C:C)))+(((100-(_xlfn.XLOOKUP(Assessment!#REF!,Inherited!A:A,Inherited!B:B)))/100)*IF(X128="1.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(100%)","100"))))))&gt;=33,(((_xlfn.XLOOKUP(Assessment!#REF!,Inherited!A:A,Inherited!B:B))/100)*(_xlfn.XLOOKUP(Assessment!#REF!,Inherited!A:A,Inherited!C:C)))+(((100-(_xlfn.XLOOKUP(Assessment!#REF!,Inherited!A:A,Inherited!B:B)))/100)*IF(X128="1.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(100%)","100"))))))&lt;=65),"50",IF(AND((((_xlfn.XLOOKUP(Assessment!#REF!,Inherited!A:A,Inherited!B:B))/100)*(_xlfn.XLOOKUP(Assessment!#REF!,Inherited!A:A,Inherited!C:C)))+(((100-(_xlfn.XLOOKUP(Assessment!#REF!,Inherited!A:A,Inherited!B:B)))/100)*IF(X128="1.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(100%)","100"))))))&gt;=66,(((_xlfn.XLOOKUP(Assessment!#REF!,Inherited!A:A,Inherited!B:B))/100)*(_xlfn.XLOOKUP(Assessment!#REF!,Inherited!A:A,Inherited!C:C)))+(((100-(_xlfn.XLOOKUP(Assessment!#REF!,Inherited!A:A,Inherited!B:B)))/100)*IF(X128="1.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(100%)","100"))))))&lt;=89),"75",IF((((_xlfn.XLOOKUP(Assessment!#REF!,Inherited!A:A,Inherited!B:B))/100)*(_xlfn.XLOOKUP(Assessment!#REF!,Inherited!A:A,Inherited!C:C)))+(((100-(_xlfn.XLOOKUP(Assessment!#REF!,Inherited!A:A,Inherited!B:B)))/100)*IF(X128="1. Non Compliant (0%)","0",IF(X128="2. Somewhat Compliant (25%)","25",IF(X128="3. Partially Compliant (50%)","50",IF(X128="4. Mostly Compliant (75%)","75",IF(X128="5. Fully Compliant (100%)","100"))))))&gt;=90,"100"))))))</f>
        <v>#N/A</v>
      </c>
      <c r="R128" s="1" t="e">
        <f>IF(MATCH(H128,Inherited!A:A),IF((((_xlfn.XLOOKUP(Assessment!#REF!,Inherited!A:A,Inherited!B:B))/100)*(_xlfn.XLOOKUP(Assessment!#REF!,Inherited!A:A,Inherited!D:D)))+(((100-(_xlfn.XLOOKUP(Assessment!#REF!,Inherited!A:A,Inherited!B:B)))/100)*IF(Y128="1.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(100%)","100"))))))&lt;=10,"0", IF(AND((((_xlfn.XLOOKUP(Assessment!#REF!,Inherited!A:A,Inherited!B:B))/100)*(_xlfn.XLOOKUP(Assessment!#REF!,Inherited!A:A,Inherited!D:D)))+(((100-(_xlfn.XLOOKUP(Assessment!#REF!,Inherited!A:A,Inherited!B:B)))/100)*IF(Y128="1.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(100%)","100"))))))&gt;=11,(((_xlfn.XLOOKUP(Assessment!#REF!,Inherited!A:A,Inherited!B:B))/100)*(_xlfn.XLOOKUP(Assessment!#REF!,Inherited!A:A,Inherited!D:D)))+(((100-(_xlfn.XLOOKUP(Assessment!#REF!,Inherited!A:A,Inherited!B:B)))/100)*IF(Y128="1.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(100%)","100"))))))&lt;=32),"25",IF(AND((((_xlfn.XLOOKUP(Assessment!#REF!,Inherited!A:A,Inherited!B:B))/100)*(_xlfn.XLOOKUP(Assessment!#REF!,Inherited!A:A,Inherited!D:D)))+(((100-(_xlfn.XLOOKUP(Assessment!#REF!,Inherited!A:A,Inherited!B:B)))/100)*IF(Y128="1.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(100%)","100"))))))&gt;=33,(((_xlfn.XLOOKUP(Assessment!#REF!,Inherited!A:A,Inherited!B:B))/100)*(_xlfn.XLOOKUP(Assessment!#REF!,Inherited!A:A,Inherited!D:D)))+(((100-(_xlfn.XLOOKUP(Assessment!#REF!,Inherited!A:A,Inherited!B:B)))/100)*IF(Y128="1.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(100%)","100"))))))&lt;=65),"50",IF(AND((((_xlfn.XLOOKUP(Assessment!#REF!,Inherited!A:A,Inherited!B:B))/100)*(_xlfn.XLOOKUP(Assessment!#REF!,Inherited!A:A,Inherited!D:D)))+(((100-(_xlfn.XLOOKUP(Assessment!#REF!,Inherited!A:A,Inherited!B:B)))/100)*IF(Y128="1.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(100%)","100"))))))&gt;=66,(((_xlfn.XLOOKUP(Assessment!#REF!,Inherited!A:A,Inherited!B:B))/100)*(_xlfn.XLOOKUP(Assessment!#REF!,Inherited!A:A,Inherited!D:D)))+(((100-(_xlfn.XLOOKUP(Assessment!#REF!,Inherited!A:A,Inherited!B:B)))/100)*IF(Y128="1.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(100%)","100"))))))&lt;=89),"75",IF((((_xlfn.XLOOKUP(Assessment!#REF!,Inherited!A:A,Inherited!B:B))/100)*(_xlfn.XLOOKUP(Assessment!#REF!,Inherited!A:A,Inherited!D:D)))+(((100-(_xlfn.XLOOKUP(Assessment!#REF!,Inherited!A:A,Inherited!B:B)))/100)*IF(Y128="1. Non Compliant (0%)","0",IF(Y128="2. Somewhat Compliant (25%)","25",IF(Y128="3. Partially Compliant (50%)","50",IF(Y128="4. Mostly Compliant (75%)","75",IF(Y128="5. Fully Compliant (100%)","100"))))))&gt;=90,"100"))))))</f>
        <v>#N/A</v>
      </c>
      <c r="S128" s="1" t="e">
        <f>IF(MATCH(H128,Inherited!A:A),IF((((_xlfn.XLOOKUP(Assessment!#REF!,Inherited!A:A,Inherited!B:B))/100)*(_xlfn.XLOOKUP(Assessment!#REF!,Inherited!A:A,Inherited!E:E)))+(((100-(_xlfn.XLOOKUP(Assessment!#REF!,Inherited!A:A,Inherited!B:B)))/100)*IF(Z128="1.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(100%)","100"))))))&lt;=10,"0", IF(AND((((_xlfn.XLOOKUP(Assessment!#REF!,Inherited!A:A,Inherited!B:B))/100)*(_xlfn.XLOOKUP(Assessment!#REF!,Inherited!A:A,Inherited!E:E)))+(((100-(_xlfn.XLOOKUP(Assessment!#REF!,Inherited!A:A,Inherited!B:B)))/100)*IF(Z128="1.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(100%)","100"))))))&gt;=11,(((_xlfn.XLOOKUP(Assessment!#REF!,Inherited!A:A,Inherited!B:B))/100)*(_xlfn.XLOOKUP(Assessment!#REF!,Inherited!A:A,Inherited!E:E)))+(((100-(_xlfn.XLOOKUP(Assessment!#REF!,Inherited!A:A,Inherited!B:B)))/100)*IF(Z128="1.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(100%)","100"))))))&lt;=32),"25",IF(AND((((_xlfn.XLOOKUP(Assessment!#REF!,Inherited!A:A,Inherited!B:B))/100)*(_xlfn.XLOOKUP(Assessment!#REF!,Inherited!A:A,Inherited!E:E)))+(((100-(_xlfn.XLOOKUP(Assessment!#REF!,Inherited!A:A,Inherited!B:B)))/100)*IF(Z128="1.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(100%)","100"))))))&gt;=33,(((_xlfn.XLOOKUP(Assessment!#REF!,Inherited!A:A,Inherited!B:B))/100)*(_xlfn.XLOOKUP(Assessment!#REF!,Inherited!A:A,Inherited!E:E)))+(((100-(_xlfn.XLOOKUP(Assessment!#REF!,Inherited!A:A,Inherited!B:B)))/100)*IF(Z128="1.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(100%)","100"))))))&lt;=65),"50",IF(AND((((_xlfn.XLOOKUP(Assessment!#REF!,Inherited!A:A,Inherited!B:B))/100)*(_xlfn.XLOOKUP(Assessment!#REF!,Inherited!A:A,Inherited!E:E)))+(((100-(_xlfn.XLOOKUP(Assessment!#REF!,Inherited!A:A,Inherited!B:B)))/100)*IF(Z128="1.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(100%)","100"))))))&gt;=66,(((_xlfn.XLOOKUP(Assessment!#REF!,Inherited!A:A,Inherited!B:B))/100)*(_xlfn.XLOOKUP(Assessment!#REF!,Inherited!A:A,Inherited!E:E)))+(((100-(_xlfn.XLOOKUP(Assessment!#REF!,Inherited!A:A,Inherited!B:B)))/100)*IF(Z128="1.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(100%)","100"))))))&lt;=89),"75",IF((((_xlfn.XLOOKUP(Assessment!#REF!,Inherited!A:A,Inherited!B:B))/100)*(_xlfn.XLOOKUP(Assessment!#REF!,Inherited!A:A,Inherited!E:E)))+(((100-(_xlfn.XLOOKUP(Assessment!#REF!,Inherited!A:A,Inherited!B:B)))/100)*IF(Z128="1. Non Compliant (0%)","0",IF(Z128="2. Somewhat Compliant (25%)","25",IF(Z128="3. Partially Compliant (50%)","50",IF(Z128="4. Mostly Compliant (75%)","75",IF(Z128="5. Fully Compliant (100%)","100"))))))&gt;=90,"100"))))))</f>
        <v>#N/A</v>
      </c>
      <c r="T128" s="1" t="e">
        <f>IF(MATCH(H128,Inherited!A:A),IF((((_xlfn.XLOOKUP(Assessment!#REF!,Inherited!A:A,Inherited!B:B))/100)*(_xlfn.XLOOKUP(Assessment!#REF!,Inherited!A:A,Inherited!F:F)))+(((100-(_xlfn.XLOOKUP(Assessment!#REF!,Inherited!A:A,Inherited!B:B)))/100)*IF(AA128="1.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(100%)","100"))))))&lt;=10,"0", IF(AND((((_xlfn.XLOOKUP(Assessment!#REF!,Inherited!A:A,Inherited!B:B))/100)*(_xlfn.XLOOKUP(Assessment!#REF!,Inherited!A:A,Inherited!F:F)))+(((100-(_xlfn.XLOOKUP(Assessment!#REF!,Inherited!A:A,Inherited!B:B)))/100)*IF(AA128="1.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(100%)","100"))))))&gt;=11,(((_xlfn.XLOOKUP(Assessment!#REF!,Inherited!A:A,Inherited!B:B))/100)*(_xlfn.XLOOKUP(Assessment!#REF!,Inherited!A:A,Inherited!F:F)))+(((100-(_xlfn.XLOOKUP(Assessment!#REF!,Inherited!A:A,Inherited!B:B)))/100)*IF(AA128="1.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(100%)","100"))))))&lt;=32),"25",IF(AND((((_xlfn.XLOOKUP(Assessment!#REF!,Inherited!A:A,Inherited!B:B))/100)*(_xlfn.XLOOKUP(Assessment!#REF!,Inherited!A:A,Inherited!F:F)))+(((100-(_xlfn.XLOOKUP(Assessment!#REF!,Inherited!A:A,Inherited!B:B)))/100)*IF(AA128="1.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(100%)","100"))))))&gt;=33,(((_xlfn.XLOOKUP(Assessment!#REF!,Inherited!A:A,Inherited!B:B))/100)*(_xlfn.XLOOKUP(Assessment!#REF!,Inherited!A:A,Inherited!F:F)))+(((100-(_xlfn.XLOOKUP(Assessment!#REF!,Inherited!A:A,Inherited!B:B)))/100)*IF(AA128="1.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(100%)","100"))))))&lt;=65),"50",IF(AND((((_xlfn.XLOOKUP(Assessment!#REF!,Inherited!A:A,Inherited!B:B))/100)*(_xlfn.XLOOKUP(Assessment!#REF!,Inherited!A:A,Inherited!F:F)))+(((100-(_xlfn.XLOOKUP(Assessment!#REF!,Inherited!A:A,Inherited!B:B)))/100)*IF(AA128="1.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(100%)","100"))))))&gt;=66,(((_xlfn.XLOOKUP(Assessment!#REF!,Inherited!A:A,Inherited!B:B))/100)*(_xlfn.XLOOKUP(Assessment!#REF!,Inherited!A:A,Inherited!F:F)))+(((100-(_xlfn.XLOOKUP(Assessment!#REF!,Inherited!A:A,Inherited!B:B)))/100)*IF(AA128="1.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(100%)","100"))))))&lt;=89),"75",IF((((_xlfn.XLOOKUP(Assessment!#REF!,Inherited!A:A,Inherited!B:B))/100)*(_xlfn.XLOOKUP(Assessment!#REF!,Inherited!A:A,Inherited!F:F)))+(((100-(_xlfn.XLOOKUP(Assessment!#REF!,Inherited!A:A,Inherited!B:B)))/100)*IF(AA128="1. Non Compliant (0%)","0",IF(AA128="2. Somewhat Compliant (25%)","25",IF(AA128="3. Partially Compliant (50%)","50",IF(AA128="4. Mostly Compliant (75%)","75",IF(AA128="5. Fully Compliant (100%)","100"))))))&gt;=90,"100"))))))</f>
        <v>#N/A</v>
      </c>
      <c r="U128" s="1" t="e">
        <f>IF(MATCH(H128,Inherited!A:A),IF((((_xlfn.XLOOKUP(Assessment!#REF!,Inherited!A:A,Inherited!B:B))/100)*(_xlfn.XLOOKUP(Assessment!#REF!,Inherited!A:A,Inherited!G:G)))+(((100-(_xlfn.XLOOKUP(Assessment!#REF!,Inherited!A:A,Inherited!B:B)))/100)*IF(AB128="1.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(100%)","100"))))))&lt;=10,"0", IF(AND((((_xlfn.XLOOKUP(Assessment!#REF!,Inherited!A:A,Inherited!B:B))/100)*(_xlfn.XLOOKUP(Assessment!#REF!,Inherited!A:A,Inherited!G:G)))+(((100-(_xlfn.XLOOKUP(Assessment!#REF!,Inherited!A:A,Inherited!B:B)))/100)*IF(AB128="1.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(100%)","100"))))))&gt;=11,(((_xlfn.XLOOKUP(Assessment!#REF!,Inherited!A:A,Inherited!B:B))/100)*(_xlfn.XLOOKUP(Assessment!#REF!,Inherited!A:A,Inherited!G:G)))+(((100-(_xlfn.XLOOKUP(Assessment!#REF!,Inherited!A:A,Inherited!B:B)))/100)*IF(AB128="1.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(100%)","100"))))))&lt;=32),"25",IF(AND((((_xlfn.XLOOKUP(Assessment!#REF!,Inherited!A:A,Inherited!B:B))/100)*(_xlfn.XLOOKUP(Assessment!#REF!,Inherited!A:A,Inherited!G:G)))+(((100-(_xlfn.XLOOKUP(Assessment!#REF!,Inherited!A:A,Inherited!B:B)))/100)*IF(AB128="1.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(100%)","100"))))))&gt;=33,(((_xlfn.XLOOKUP(Assessment!#REF!,Inherited!A:A,Inherited!B:B))/100)*(_xlfn.XLOOKUP(Assessment!#REF!,Inherited!A:A,Inherited!G:G)))+(((100-(_xlfn.XLOOKUP(Assessment!#REF!,Inherited!A:A,Inherited!B:B)))/100)*IF(AB128="1.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(100%)","100"))))))&lt;=65),"50",IF(AND((((_xlfn.XLOOKUP(Assessment!#REF!,Inherited!A:A,Inherited!B:B))/100)*(_xlfn.XLOOKUP(Assessment!#REF!,Inherited!A:A,Inherited!G:G)))+(((100-(_xlfn.XLOOKUP(Assessment!#REF!,Inherited!A:A,Inherited!B:B)))/100)*IF(AB128="1.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(100%)","100"))))))&gt;=66,(((_xlfn.XLOOKUP(Assessment!#REF!,Inherited!A:A,Inherited!B:B))/100)*(_xlfn.XLOOKUP(Assessment!#REF!,Inherited!A:A,Inherited!G:G)))+(((100-(_xlfn.XLOOKUP(Assessment!#REF!,Inherited!A:A,Inherited!B:B)))/100)*IF(AB128="1.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(100%)","100"))))))&lt;=89),"75",IF((((_xlfn.XLOOKUP(Assessment!#REF!,Inherited!A:A,Inherited!B:B))/100)*(_xlfn.XLOOKUP(Assessment!#REF!,Inherited!A:A,Inherited!G:G)))+(((100-(_xlfn.XLOOKUP(Assessment!#REF!,Inherited!A:A,Inherited!B:B)))/100)*IF(AB128="1. Non Compliant (0%)","0",IF(AB128="2. Somewhat Compliant (25%)","25",IF(AB128="3. Partially Compliant (50%)","50",IF(AB128="4. Mostly Compliant (75%)","75",IF(AB128="5. Fully Compliant (100%)","100"))))))&gt;=90,"100"))))))</f>
        <v>#N/A</v>
      </c>
      <c r="V128" s="55" t="s">
        <v>85</v>
      </c>
      <c r="W128" s="55"/>
      <c r="X128" s="55"/>
      <c r="Y128" s="55"/>
      <c r="Z128" s="55" t="s">
        <v>10873</v>
      </c>
      <c r="AA128" s="55"/>
      <c r="AB128" s="55"/>
      <c r="AL128" s="1" t="s">
        <v>10945</v>
      </c>
      <c r="AP128" s="1" t="s">
        <v>11094</v>
      </c>
      <c r="AX128" s="3" t="str">
        <f>_xlfn.CONCAT("A-LIGN finished its review of this control on ",AR128, " during the scheduled fieldwork window (",Intro!$B$4,")."&amp; CHAR(10)&amp; CHAR(10))</f>
        <v xml:space="preserve">A-LIGN finished its review of this control on  during the scheduled fieldwork window (Fieldwork: xx/xx/xxxx - xx/xx/xxxx).
</v>
      </c>
      <c r="AY128" s="3" t="str">
        <f t="shared" si="281"/>
        <v/>
      </c>
      <c r="AZ128" s="3" t="str">
        <f t="shared" si="282"/>
        <v/>
      </c>
      <c r="BA128" s="3" t="str">
        <f t="shared" si="283"/>
        <v/>
      </c>
      <c r="BB128" s="3" t="str">
        <f t="shared" si="284"/>
        <v/>
      </c>
      <c r="BC128" s="3" t="str">
        <f t="shared" si="285"/>
        <v/>
      </c>
      <c r="BD128" s="3" t="str">
        <f t="shared" si="286"/>
        <v xml:space="preserve">Examined the following evidence during fieldwork:
Reviewed evidence addressed the requirement statement.
Reviewed evidence exception note: 
Gap: Incident response plan does not include the required components for the collection, retention, and presentation of evidence for legal cases.
Recommendation: Update incident response plan to outline collection, retention, and presentation of evidence requirements for legal cases.
</v>
      </c>
      <c r="BE128" s="3" t="str">
        <f t="shared" si="287"/>
        <v/>
      </c>
      <c r="BF128" s="3" t="str">
        <f t="shared" si="288"/>
        <v/>
      </c>
      <c r="BG128" s="3" t="str">
        <f>_xlfn.CONCAT((IF((COUNTIF('Sample Tables'!B:B,"Test 108: Information Security (information security incident legal case)")&gt;0)=TRUE,_xlfn.CONCAT("Sample test results are documented in ",'Sample Tables'!B1184," [",'Sample Tables'!B1185,", ",'Sample Tables'!B1186,", ",'Sample Tables'!B1187,", ",'Sample Tables'!B1188,", ",'Sample Tables'!B1189,"]."&amp;CHAR(10)),IF((COUNTIF('Sample Tables'!B:B,"Test 108: Information Security (information security incident legal case)")&gt;0)=FALSE,""))),)</f>
        <v xml:space="preserve">Sample test results are documented in Test 108: Information Security (information security incident legal case) [Population Source/Tool: , Population Date Range: , Population Size: , Sample Methodology: , Sample Size: ].
</v>
      </c>
      <c r="BH128" s="3" t="str">
        <f t="shared" si="289"/>
        <v xml:space="preserve">A-LIGN finished its review of this control on  during the scheduled fieldwork window (Fieldwork: xx/xx/xxxx - xx/xx/xxxx).
Examined the following evidence during fieldwork:
Reviewed evidence addressed the requirement statement.
Reviewed evidence exception note: 
Gap: Incident response plan does not include the required components for the collection, retention, and presentation of evidence for legal cases.
Recommendation: Update incident response plan to outline collection, retention, and presentation of evidence requirements for legal cases.
Sample test results are documented in Test 108: Information Security (information security incident legal case) [Population Source/Tool: , Population Date Range: , Population Size: , Sample Methodology: , Sample Size: ].
</v>
      </c>
    </row>
    <row r="129" spans="3:60" ht="212.5" x14ac:dyDescent="0.35">
      <c r="C129" s="1">
        <f t="shared" ref="C129:C131" si="290">IF(V129="No","Not Applicable",(IF(X129="1. Non Compliant (0%)","0",IF(X129="2. Somewhat Compliant (25%)","25",IF(X129="3. Partially Compliant (50%)","50",IF(X129="4. Mostly Compliant (75%)","75",IF(X129="5. Fully Compliant (100%)","100")))))*0.15)+((IF(Y129="1. Non Compliant (0%)","0",IF(Y129="2. Somewhat Compliant (25%)","25",IF(Y129="3. Partially Compliant (50%)","50",IF(Y129="4. Mostly Compliant (75%)","75",IF(Y129="5. Fully Compliant (100%)","100"))))))*0.2)+(IF(Z129="1. Non Compliant (0%)","0",IF(Z129="2. Somewhat Compliant (25%)","25",IF(Z129="3. Partially Compliant (50%)","50",IF(Z129="4. Mostly Compliant (75%)","75",IF(Z129="5. Fully Compliant (100%)","100")))))*0.4)+(IF(AA129="1. Non Compliant (0%)","0",IF(AA129="2. Somewhat Compliant (25%)","25",IF(AA129="3. Partially Compliant (50%)","50",IF(AA129="4. Mostly Compliant (75%)","75",IF(AA129="5. Fully Compliant (100%)","100")))))*0.1)+(IF(AB129="1. Non Compliant (0%)","0",IF(AB129="2. Somewhat Compliant (25%)","25",IF(AB129="3. Partially Compliant (50%)","50",IF(AB129="4. Mostly Compliant (75%)","75",IF(AB129="5. Fully Compliant (100%)","100")))))*0.15))</f>
        <v>0</v>
      </c>
      <c r="D129" s="5" t="str">
        <f>IF(AND((_xlfn.XLOOKUP(J129,'Fields &amp; Revisions'!$H:$H,'Fields &amp; Revisions'!$I:$I))&lt;70.99,(OR(Z129="4. Mostly Compliant (75%)",Z129="3. Partially Compliant (50%)",Z129="2. Somewhat Compliant (25%)",Z129="1. Non Compliant (0%)"))),"Yes","No")</f>
        <v>Yes</v>
      </c>
      <c r="E129" s="5" t="str">
        <f>IF(ISERROR(VLOOKUP(H129,Scope!A:A,1,FALSE)),"No","Yes")</f>
        <v>Yes</v>
      </c>
      <c r="F129" s="1" t="s">
        <v>4382</v>
      </c>
      <c r="G129" s="53" t="s">
        <v>4393</v>
      </c>
      <c r="H129" s="53" t="s">
        <v>4394</v>
      </c>
      <c r="I129" s="5">
        <v>1</v>
      </c>
      <c r="J129" s="1" t="s">
        <v>4395</v>
      </c>
      <c r="K129" s="1" t="s">
        <v>4396</v>
      </c>
      <c r="L129" s="1" t="s">
        <v>4397</v>
      </c>
      <c r="M129" s="55" t="s">
        <v>4398</v>
      </c>
      <c r="N129" s="5" t="s">
        <v>98</v>
      </c>
      <c r="O129" s="1" t="str">
        <f>_xlfn.XLOOKUP(G129,SRMs!$A:$A,SRMs!$D:$D)</f>
        <v>PARTIAL INHERITANCE</v>
      </c>
      <c r="P129" s="1" t="str">
        <f>IFERROR(VLOOKUP(H129,Inherited!A:B,2,FALSE),"")</f>
        <v/>
      </c>
      <c r="Q129" s="1" t="e">
        <f>IF(MATCH(H129,Inherited!A:A),IF((((_xlfn.XLOOKUP(Assessment!H130,Inherited!A:A,Inherited!B:B))/100)*(_xlfn.XLOOKUP(Assessment!H130,Inherited!A:A,Inherited!C:C)))+(((100-(_xlfn.XLOOKUP(Assessment!H130,Inherited!A:A,Inherited!B:B)))/100)*IF(X129="1.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(100%)","100"))))))&lt;=10,"0", IF(AND((((_xlfn.XLOOKUP(Assessment!H130,Inherited!A:A,Inherited!B:B))/100)*(_xlfn.XLOOKUP(Assessment!H130,Inherited!A:A,Inherited!C:C)))+(((100-(_xlfn.XLOOKUP(Assessment!H130,Inherited!A:A,Inherited!B:B)))/100)*IF(X129="1.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(100%)","100"))))))&gt;=11,(((_xlfn.XLOOKUP(Assessment!H130,Inherited!A:A,Inherited!B:B))/100)*(_xlfn.XLOOKUP(Assessment!H130,Inherited!A:A,Inherited!C:C)))+(((100-(_xlfn.XLOOKUP(Assessment!H130,Inherited!A:A,Inherited!B:B)))/100)*IF(X129="1.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(100%)","100"))))))&lt;=32),"25",IF(AND((((_xlfn.XLOOKUP(Assessment!H130,Inherited!A:A,Inherited!B:B))/100)*(_xlfn.XLOOKUP(Assessment!H130,Inherited!A:A,Inherited!C:C)))+(((100-(_xlfn.XLOOKUP(Assessment!H130,Inherited!A:A,Inherited!B:B)))/100)*IF(X129="1.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(100%)","100"))))))&gt;=33,(((_xlfn.XLOOKUP(Assessment!H130,Inherited!A:A,Inherited!B:B))/100)*(_xlfn.XLOOKUP(Assessment!H130,Inherited!A:A,Inherited!C:C)))+(((100-(_xlfn.XLOOKUP(Assessment!H130,Inherited!A:A,Inherited!B:B)))/100)*IF(X129="1.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(100%)","100"))))))&lt;=65),"50",IF(AND((((_xlfn.XLOOKUP(Assessment!H130,Inherited!A:A,Inherited!B:B))/100)*(_xlfn.XLOOKUP(Assessment!H130,Inherited!A:A,Inherited!C:C)))+(((100-(_xlfn.XLOOKUP(Assessment!H130,Inherited!A:A,Inherited!B:B)))/100)*IF(X129="1.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(100%)","100"))))))&gt;=66,(((_xlfn.XLOOKUP(Assessment!H130,Inherited!A:A,Inherited!B:B))/100)*(_xlfn.XLOOKUP(Assessment!H130,Inherited!A:A,Inherited!C:C)))+(((100-(_xlfn.XLOOKUP(Assessment!H130,Inherited!A:A,Inherited!B:B)))/100)*IF(X129="1.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(100%)","100"))))))&lt;=89),"75",IF((((_xlfn.XLOOKUP(Assessment!H130,Inherited!A:A,Inherited!B:B))/100)*(_xlfn.XLOOKUP(Assessment!H130,Inherited!A:A,Inherited!C:C)))+(((100-(_xlfn.XLOOKUP(Assessment!H130,Inherited!A:A,Inherited!B:B)))/100)*IF(X129="1. Non Compliant (0%)","0",IF(X129="2. Somewhat Compliant (25%)","25",IF(X129="3. Partially Compliant (50%)","50",IF(X129="4. Mostly Compliant (75%)","75",IF(X129="5. Fully Compliant (100%)","100"))))))&gt;=90,"100"))))))</f>
        <v>#N/A</v>
      </c>
      <c r="R129" s="1" t="e">
        <f>IF(MATCH(H129,Inherited!A:A),IF((((_xlfn.XLOOKUP(Assessment!H130,Inherited!A:A,Inherited!B:B))/100)*(_xlfn.XLOOKUP(Assessment!H130,Inherited!A:A,Inherited!D:D)))+(((100-(_xlfn.XLOOKUP(Assessment!H130,Inherited!A:A,Inherited!B:B)))/100)*IF(Y129="1.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(100%)","100"))))))&lt;=10,"0", IF(AND((((_xlfn.XLOOKUP(Assessment!H130,Inherited!A:A,Inherited!B:B))/100)*(_xlfn.XLOOKUP(Assessment!H130,Inherited!A:A,Inherited!D:D)))+(((100-(_xlfn.XLOOKUP(Assessment!H130,Inherited!A:A,Inherited!B:B)))/100)*IF(Y129="1.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(100%)","100"))))))&gt;=11,(((_xlfn.XLOOKUP(Assessment!H130,Inherited!A:A,Inherited!B:B))/100)*(_xlfn.XLOOKUP(Assessment!H130,Inherited!A:A,Inherited!D:D)))+(((100-(_xlfn.XLOOKUP(Assessment!H130,Inherited!A:A,Inherited!B:B)))/100)*IF(Y129="1.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(100%)","100"))))))&lt;=32),"25",IF(AND((((_xlfn.XLOOKUP(Assessment!H130,Inherited!A:A,Inherited!B:B))/100)*(_xlfn.XLOOKUP(Assessment!H130,Inherited!A:A,Inherited!D:D)))+(((100-(_xlfn.XLOOKUP(Assessment!H130,Inherited!A:A,Inherited!B:B)))/100)*IF(Y129="1.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(100%)","100"))))))&gt;=33,(((_xlfn.XLOOKUP(Assessment!H130,Inherited!A:A,Inherited!B:B))/100)*(_xlfn.XLOOKUP(Assessment!H130,Inherited!A:A,Inherited!D:D)))+(((100-(_xlfn.XLOOKUP(Assessment!H130,Inherited!A:A,Inherited!B:B)))/100)*IF(Y129="1.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(100%)","100"))))))&lt;=65),"50",IF(AND((((_xlfn.XLOOKUP(Assessment!H130,Inherited!A:A,Inherited!B:B))/100)*(_xlfn.XLOOKUP(Assessment!H130,Inherited!A:A,Inherited!D:D)))+(((100-(_xlfn.XLOOKUP(Assessment!H130,Inherited!A:A,Inherited!B:B)))/100)*IF(Y129="1.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(100%)","100"))))))&gt;=66,(((_xlfn.XLOOKUP(Assessment!H130,Inherited!A:A,Inherited!B:B))/100)*(_xlfn.XLOOKUP(Assessment!H130,Inherited!A:A,Inherited!D:D)))+(((100-(_xlfn.XLOOKUP(Assessment!H130,Inherited!A:A,Inherited!B:B)))/100)*IF(Y129="1.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(100%)","100"))))))&lt;=89),"75",IF((((_xlfn.XLOOKUP(Assessment!H130,Inherited!A:A,Inherited!B:B))/100)*(_xlfn.XLOOKUP(Assessment!H130,Inherited!A:A,Inherited!D:D)))+(((100-(_xlfn.XLOOKUP(Assessment!H130,Inherited!A:A,Inherited!B:B)))/100)*IF(Y129="1. Non Compliant (0%)","0",IF(Y129="2. Somewhat Compliant (25%)","25",IF(Y129="3. Partially Compliant (50%)","50",IF(Y129="4. Mostly Compliant (75%)","75",IF(Y129="5. Fully Compliant (100%)","100"))))))&gt;=90,"100"))))))</f>
        <v>#N/A</v>
      </c>
      <c r="S129" s="1" t="e">
        <f>IF(MATCH(H129,Inherited!A:A),IF((((_xlfn.XLOOKUP(Assessment!H130,Inherited!A:A,Inherited!B:B))/100)*(_xlfn.XLOOKUP(Assessment!H130,Inherited!A:A,Inherited!E:E)))+(((100-(_xlfn.XLOOKUP(Assessment!H130,Inherited!A:A,Inherited!B:B)))/100)*IF(Z129="1.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(100%)","100"))))))&lt;=10,"0", IF(AND((((_xlfn.XLOOKUP(Assessment!H130,Inherited!A:A,Inherited!B:B))/100)*(_xlfn.XLOOKUP(Assessment!H130,Inherited!A:A,Inherited!E:E)))+(((100-(_xlfn.XLOOKUP(Assessment!H130,Inherited!A:A,Inherited!B:B)))/100)*IF(Z129="1.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(100%)","100"))))))&gt;=11,(((_xlfn.XLOOKUP(Assessment!H130,Inherited!A:A,Inherited!B:B))/100)*(_xlfn.XLOOKUP(Assessment!H130,Inherited!A:A,Inherited!E:E)))+(((100-(_xlfn.XLOOKUP(Assessment!H130,Inherited!A:A,Inherited!B:B)))/100)*IF(Z129="1.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(100%)","100"))))))&lt;=32),"25",IF(AND((((_xlfn.XLOOKUP(Assessment!H130,Inherited!A:A,Inherited!B:B))/100)*(_xlfn.XLOOKUP(Assessment!H130,Inherited!A:A,Inherited!E:E)))+(((100-(_xlfn.XLOOKUP(Assessment!H130,Inherited!A:A,Inherited!B:B)))/100)*IF(Z129="1.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(100%)","100"))))))&gt;=33,(((_xlfn.XLOOKUP(Assessment!H130,Inherited!A:A,Inherited!B:B))/100)*(_xlfn.XLOOKUP(Assessment!H130,Inherited!A:A,Inherited!E:E)))+(((100-(_xlfn.XLOOKUP(Assessment!H130,Inherited!A:A,Inherited!B:B)))/100)*IF(Z129="1.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(100%)","100"))))))&lt;=65),"50",IF(AND((((_xlfn.XLOOKUP(Assessment!H130,Inherited!A:A,Inherited!B:B))/100)*(_xlfn.XLOOKUP(Assessment!H130,Inherited!A:A,Inherited!E:E)))+(((100-(_xlfn.XLOOKUP(Assessment!H130,Inherited!A:A,Inherited!B:B)))/100)*IF(Z129="1.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(100%)","100"))))))&gt;=66,(((_xlfn.XLOOKUP(Assessment!H130,Inherited!A:A,Inherited!B:B))/100)*(_xlfn.XLOOKUP(Assessment!H130,Inherited!A:A,Inherited!E:E)))+(((100-(_xlfn.XLOOKUP(Assessment!H130,Inherited!A:A,Inherited!B:B)))/100)*IF(Z129="1.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(100%)","100"))))))&lt;=89),"75",IF((((_xlfn.XLOOKUP(Assessment!H130,Inherited!A:A,Inherited!B:B))/100)*(_xlfn.XLOOKUP(Assessment!H130,Inherited!A:A,Inherited!E:E)))+(((100-(_xlfn.XLOOKUP(Assessment!H130,Inherited!A:A,Inherited!B:B)))/100)*IF(Z129="1. Non Compliant (0%)","0",IF(Z129="2. Somewhat Compliant (25%)","25",IF(Z129="3. Partially Compliant (50%)","50",IF(Z129="4. Mostly Compliant (75%)","75",IF(Z129="5. Fully Compliant (100%)","100"))))))&gt;=90,"100"))))))</f>
        <v>#N/A</v>
      </c>
      <c r="T129" s="1" t="e">
        <f>IF(MATCH(H129,Inherited!A:A),IF((((_xlfn.XLOOKUP(Assessment!H130,Inherited!A:A,Inherited!B:B))/100)*(_xlfn.XLOOKUP(Assessment!H130,Inherited!A:A,Inherited!F:F)))+(((100-(_xlfn.XLOOKUP(Assessment!H130,Inherited!A:A,Inherited!B:B)))/100)*IF(AA129="1.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(100%)","100"))))))&lt;=10,"0", IF(AND((((_xlfn.XLOOKUP(Assessment!H130,Inherited!A:A,Inherited!B:B))/100)*(_xlfn.XLOOKUP(Assessment!H130,Inherited!A:A,Inherited!F:F)))+(((100-(_xlfn.XLOOKUP(Assessment!H130,Inherited!A:A,Inherited!B:B)))/100)*IF(AA129="1.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(100%)","100"))))))&gt;=11,(((_xlfn.XLOOKUP(Assessment!H130,Inherited!A:A,Inherited!B:B))/100)*(_xlfn.XLOOKUP(Assessment!H130,Inherited!A:A,Inherited!F:F)))+(((100-(_xlfn.XLOOKUP(Assessment!H130,Inherited!A:A,Inherited!B:B)))/100)*IF(AA129="1.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(100%)","100"))))))&lt;=32),"25",IF(AND((((_xlfn.XLOOKUP(Assessment!H130,Inherited!A:A,Inherited!B:B))/100)*(_xlfn.XLOOKUP(Assessment!H130,Inherited!A:A,Inherited!F:F)))+(((100-(_xlfn.XLOOKUP(Assessment!H130,Inherited!A:A,Inherited!B:B)))/100)*IF(AA129="1.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(100%)","100"))))))&gt;=33,(((_xlfn.XLOOKUP(Assessment!H130,Inherited!A:A,Inherited!B:B))/100)*(_xlfn.XLOOKUP(Assessment!H130,Inherited!A:A,Inherited!F:F)))+(((100-(_xlfn.XLOOKUP(Assessment!H130,Inherited!A:A,Inherited!B:B)))/100)*IF(AA129="1.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(100%)","100"))))))&lt;=65),"50",IF(AND((((_xlfn.XLOOKUP(Assessment!H130,Inherited!A:A,Inherited!B:B))/100)*(_xlfn.XLOOKUP(Assessment!H130,Inherited!A:A,Inherited!F:F)))+(((100-(_xlfn.XLOOKUP(Assessment!H130,Inherited!A:A,Inherited!B:B)))/100)*IF(AA129="1.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(100%)","100"))))))&gt;=66,(((_xlfn.XLOOKUP(Assessment!H130,Inherited!A:A,Inherited!B:B))/100)*(_xlfn.XLOOKUP(Assessment!H130,Inherited!A:A,Inherited!F:F)))+(((100-(_xlfn.XLOOKUP(Assessment!H130,Inherited!A:A,Inherited!B:B)))/100)*IF(AA129="1.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(100%)","100"))))))&lt;=89),"75",IF((((_xlfn.XLOOKUP(Assessment!H130,Inherited!A:A,Inherited!B:B))/100)*(_xlfn.XLOOKUP(Assessment!H130,Inherited!A:A,Inherited!F:F)))+(((100-(_xlfn.XLOOKUP(Assessment!H130,Inherited!A:A,Inherited!B:B)))/100)*IF(AA129="1. Non Compliant (0%)","0",IF(AA129="2. Somewhat Compliant (25%)","25",IF(AA129="3. Partially Compliant (50%)","50",IF(AA129="4. Mostly Compliant (75%)","75",IF(AA129="5. Fully Compliant (100%)","100"))))))&gt;=90,"100"))))))</f>
        <v>#N/A</v>
      </c>
      <c r="U129" s="1" t="e">
        <f>IF(MATCH(H129,Inherited!A:A),IF((((_xlfn.XLOOKUP(Assessment!H130,Inherited!A:A,Inherited!B:B))/100)*(_xlfn.XLOOKUP(Assessment!H130,Inherited!A:A,Inherited!G:G)))+(((100-(_xlfn.XLOOKUP(Assessment!H130,Inherited!A:A,Inherited!B:B)))/100)*IF(AB129="1.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(100%)","100"))))))&lt;=10,"0", IF(AND((((_xlfn.XLOOKUP(Assessment!H130,Inherited!A:A,Inherited!B:B))/100)*(_xlfn.XLOOKUP(Assessment!H130,Inherited!A:A,Inherited!G:G)))+(((100-(_xlfn.XLOOKUP(Assessment!H130,Inherited!A:A,Inherited!B:B)))/100)*IF(AB129="1.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(100%)","100"))))))&gt;=11,(((_xlfn.XLOOKUP(Assessment!H130,Inherited!A:A,Inherited!B:B))/100)*(_xlfn.XLOOKUP(Assessment!H130,Inherited!A:A,Inherited!G:G)))+(((100-(_xlfn.XLOOKUP(Assessment!H130,Inherited!A:A,Inherited!B:B)))/100)*IF(AB129="1.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(100%)","100"))))))&lt;=32),"25",IF(AND((((_xlfn.XLOOKUP(Assessment!H130,Inherited!A:A,Inherited!B:B))/100)*(_xlfn.XLOOKUP(Assessment!H130,Inherited!A:A,Inherited!G:G)))+(((100-(_xlfn.XLOOKUP(Assessment!H130,Inherited!A:A,Inherited!B:B)))/100)*IF(AB129="1.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(100%)","100"))))))&gt;=33,(((_xlfn.XLOOKUP(Assessment!H130,Inherited!A:A,Inherited!B:B))/100)*(_xlfn.XLOOKUP(Assessment!H130,Inherited!A:A,Inherited!G:G)))+(((100-(_xlfn.XLOOKUP(Assessment!H130,Inherited!A:A,Inherited!B:B)))/100)*IF(AB129="1.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(100%)","100"))))))&lt;=65),"50",IF(AND((((_xlfn.XLOOKUP(Assessment!H130,Inherited!A:A,Inherited!B:B))/100)*(_xlfn.XLOOKUP(Assessment!H130,Inherited!A:A,Inherited!G:G)))+(((100-(_xlfn.XLOOKUP(Assessment!H130,Inherited!A:A,Inherited!B:B)))/100)*IF(AB129="1.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(100%)","100"))))))&gt;=66,(((_xlfn.XLOOKUP(Assessment!H130,Inherited!A:A,Inherited!B:B))/100)*(_xlfn.XLOOKUP(Assessment!H130,Inherited!A:A,Inherited!G:G)))+(((100-(_xlfn.XLOOKUP(Assessment!H130,Inherited!A:A,Inherited!B:B)))/100)*IF(AB129="1.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(100%)","100"))))))&lt;=89),"75",IF((((_xlfn.XLOOKUP(Assessment!H130,Inherited!A:A,Inherited!B:B))/100)*(_xlfn.XLOOKUP(Assessment!H130,Inherited!A:A,Inherited!G:G)))+(((100-(_xlfn.XLOOKUP(Assessment!H130,Inherited!A:A,Inherited!B:B)))/100)*IF(AB129="1. Non Compliant (0%)","0",IF(AB129="2. Somewhat Compliant (25%)","25",IF(AB129="3. Partially Compliant (50%)","50",IF(AB129="4. Mostly Compliant (75%)","75",IF(AB129="5. Fully Compliant (100%)","100"))))))&gt;=90,"100"))))))</f>
        <v>#N/A</v>
      </c>
      <c r="V129" s="55" t="s">
        <v>85</v>
      </c>
      <c r="W129" s="55"/>
      <c r="X129" s="55"/>
      <c r="Y129" s="55"/>
      <c r="Z129" s="55" t="s">
        <v>10873</v>
      </c>
      <c r="AA129" s="55"/>
      <c r="AB129" s="55"/>
      <c r="AP129" s="1" t="s">
        <v>11164</v>
      </c>
      <c r="AX129" s="3" t="str">
        <f>_xlfn.CONCAT("A-LIGN finished its review of this control on ",AR129, " during the scheduled fieldwork window (",Intro!$B$4,")."&amp; CHAR(10)&amp; CHAR(10))</f>
        <v xml:space="preserve">A-LIGN finished its review of this control on  during the scheduled fieldwork window (Fieldwork: xx/xx/xxxx - xx/xx/xxxx).
</v>
      </c>
      <c r="AY129" s="3" t="str">
        <f t="shared" ref="AY129:AY131" si="291">IF(AQ129&lt;&gt;"",(_xlfn.CONCAT("Inheritance note: "&amp; CHAR(10),AQ129&amp; CHAR(10)&amp; CHAR(10))),"")</f>
        <v/>
      </c>
      <c r="AZ129" s="3" t="str">
        <f t="shared" ref="AZ129:AZ131" si="292">IFERROR(IF(AD129&lt;&gt;"",_xlfn.CONCAT("Examined the following policy during fieldwork:"&amp; CHAR(10),AD129&amp; CHAR(10)&amp; CHAR(10),IF(AND(X129&lt;&gt;"5. Fully Compliant (100%)",AE129&lt;&gt;""),"Reviewed policy exception note:"&amp; CHAR(10) &amp; AE129 &amp; CHAR(10) &amp; CHAR(10),"")),""),"")</f>
        <v/>
      </c>
      <c r="BA129" s="3" t="str">
        <f t="shared" ref="BA129:BA131" si="293">IFERROR(IF(AH129&lt;&gt;"",_xlfn.CONCAT("Examined the following process during fieldwork:"&amp; CHAR(10),AH129&amp; CHAR(10)&amp; CHAR(10),IF(AND(Y129&lt;&gt;"5. Fully Compliant (100%)",AI129&lt;&gt;""),"Reviewed process exception note:"&amp; CHAR(10) &amp; AI129 &amp; CHAR(10) &amp; CHAR(10),"")),""),"")</f>
        <v/>
      </c>
      <c r="BB129" s="3" t="str">
        <f t="shared" ref="BB129:BB131" si="294">IF(AK129&lt;&gt;"",(_xlfn.CONCAT("Inquired of the following workforce member: "&amp; CHAR(10),AK129&amp; CHAR(10)&amp; CHAR(10),"Inquiry lead to the following conclusions: "&amp; CHAR(10),AL129&amp; CHAR(10) &amp; CHAR(10))),"")</f>
        <v/>
      </c>
      <c r="BC129" s="3" t="str">
        <f t="shared" ref="BC129:BC131" si="295">IF(AM129&lt;&gt;"",(_xlfn.CONCAT("Observed the following live during fieldwork: "&amp; CHAR(10),AM129&amp; CHAR(10) &amp; CHAR(10))),"")</f>
        <v/>
      </c>
      <c r="BD129" s="3" t="str">
        <f t="shared" ref="BD129:BD131" si="296">_xlfn.CONCAT("Examined the following evidence during fieldwork:"&amp; CHAR(10),AN129&amp; CHAR(10)&amp; CHAR(10),IF(AO129&lt;&gt;"","Reviewed evidence note:"&amp; CHAR(10)&amp;AO129&amp; CHAR(10) &amp; CHAR(10),"Reviewed evidence addressed the requirement statement."&amp; CHAR(10) &amp; CHAR(10)),IF(AND(AP129&lt;&gt;"5. Fully Compliant (100%)",AP129&lt;&gt;""),"Reviewed evidence exception note: "&amp; CHAR(10) &amp; AP129 &amp; CHAR(10) &amp; CHAR(10),""))</f>
        <v xml:space="preserve">Examined the following evidence during fieldwork:
Reviewed evidence addressed the requirement statement.
Reviewed evidence exception note: 
Gap: Control not currently implemented.
Recommendation: Management should ensure that backups within the in-scope environment are made immutable.
</v>
      </c>
      <c r="BE129" s="3" t="str">
        <f t="shared" ref="BE129:BE131" si="297">IF(AT129&lt;&gt;"",(_xlfn.CONCAT("Examined the following measure/metric during fieldwork:"&amp; CHAR(10),AT129&amp; CHAR(10)&amp; CHAR(10),"Reviewed measure/metric note:"&amp; CHAR(10),AU129 &amp; CHAR(10) &amp; CHAR(10))),"")</f>
        <v/>
      </c>
      <c r="BF129" s="3" t="str">
        <f t="shared" ref="BF129:BF131" si="298">IF(AV129&lt;&gt;"",(_xlfn.CONCAT("Examined the following measure/metric management during fieldwork:"&amp; CHAR(10),AV129&amp; CHAR(10)&amp; CHAR(10),"Reviewed measure/metric management note:"&amp; CHAR(10),AW129 &amp; CHAR(10) &amp; CHAR(10))),"")</f>
        <v/>
      </c>
      <c r="BG129" s="3" t="str">
        <f>_xlfn.CONCAT((IF((COUNTIF('Sample Tables'!B:B,"")&gt;0)=TRUE,_xlfn.CONCAT("",""),IF((COUNTIF('Sample Tables'!B:B,"")&gt;0)=FALSE,""))),)</f>
        <v/>
      </c>
      <c r="BH129" s="3" t="str">
        <f t="shared" ref="BH129:BH131" si="299">IF(V129="No","Not Applicable: "&amp;W129,(_xlfn.CONCAT(AX129,AY129,AZ129,BA129,BB129,BC129,BD129,BE129,BF129,BG129)))</f>
        <v xml:space="preserve">A-LIGN finished its review of this control on  during the scheduled fieldwork window (Fieldwork: xx/xx/xxxx - xx/xx/xxxx).
Examined the following evidence during fieldwork:
Reviewed evidence addressed the requirement statement.
Reviewed evidence exception note: 
Gap: Control not currently implemented.
Recommendation: Management should ensure that backups within the in-scope environment are made immutable.
</v>
      </c>
    </row>
    <row r="130" spans="3:60" ht="409.5" x14ac:dyDescent="0.35">
      <c r="C130" s="1">
        <f t="shared" si="290"/>
        <v>0</v>
      </c>
      <c r="D130" s="5" t="str">
        <f>IF(AND((_xlfn.XLOOKUP(J130,'Fields &amp; Revisions'!$H:$H,'Fields &amp; Revisions'!$I:$I))&lt;70.99,(OR(Z130="4. Mostly Compliant (75%)",Z130="3. Partially Compliant (50%)",Z130="2. Somewhat Compliant (25%)",Z130="1. Non Compliant (0%)"))),"Yes","No")</f>
        <v>Yes</v>
      </c>
      <c r="E130" s="5" t="str">
        <f>IF(ISERROR(VLOOKUP(H130,Scope!A:A,1,FALSE)),"No","Yes")</f>
        <v>Yes</v>
      </c>
      <c r="F130" s="1" t="s">
        <v>4382</v>
      </c>
      <c r="G130" s="53" t="s">
        <v>4399</v>
      </c>
      <c r="H130" s="53" t="s">
        <v>4400</v>
      </c>
      <c r="I130" s="5" t="s">
        <v>93</v>
      </c>
      <c r="J130" s="1" t="s">
        <v>4395</v>
      </c>
      <c r="K130" s="54" t="s">
        <v>4401</v>
      </c>
      <c r="L130" s="1" t="s">
        <v>4402</v>
      </c>
      <c r="M130" s="1" t="s">
        <v>4403</v>
      </c>
      <c r="N130" s="5" t="s">
        <v>98</v>
      </c>
      <c r="O130" s="1" t="str">
        <f>_xlfn.XLOOKUP(G130,SRMs!$A:$A,SRMs!$D:$D)</f>
        <v>NO INHERITANCE</v>
      </c>
      <c r="P130" s="1" t="str">
        <f>IFERROR(VLOOKUP(H130,Inherited!A:B,2,FALSE),"")</f>
        <v/>
      </c>
      <c r="Q130" s="1" t="e">
        <f>IF(MATCH(H130,Inherited!A:A),IF((((_xlfn.XLOOKUP(Assessment!#REF!,Inherited!A:A,Inherited!B:B))/100)*(_xlfn.XLOOKUP(Assessment!#REF!,Inherited!A:A,Inherited!C:C)))+(((100-(_xlfn.XLOOKUP(Assessment!#REF!,Inherited!A:A,Inherited!B:B)))/100)*IF(X130="1.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(100%)","100"))))))&lt;=10,"0", IF(AND((((_xlfn.XLOOKUP(Assessment!#REF!,Inherited!A:A,Inherited!B:B))/100)*(_xlfn.XLOOKUP(Assessment!#REF!,Inherited!A:A,Inherited!C:C)))+(((100-(_xlfn.XLOOKUP(Assessment!#REF!,Inherited!A:A,Inherited!B:B)))/100)*IF(X130="1.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(100%)","100"))))))&gt;=11,(((_xlfn.XLOOKUP(Assessment!#REF!,Inherited!A:A,Inherited!B:B))/100)*(_xlfn.XLOOKUP(Assessment!#REF!,Inherited!A:A,Inherited!C:C)))+(((100-(_xlfn.XLOOKUP(Assessment!#REF!,Inherited!A:A,Inherited!B:B)))/100)*IF(X130="1.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(100%)","100"))))))&lt;=32),"25",IF(AND((((_xlfn.XLOOKUP(Assessment!#REF!,Inherited!A:A,Inherited!B:B))/100)*(_xlfn.XLOOKUP(Assessment!#REF!,Inherited!A:A,Inherited!C:C)))+(((100-(_xlfn.XLOOKUP(Assessment!#REF!,Inherited!A:A,Inherited!B:B)))/100)*IF(X130="1.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(100%)","100"))))))&gt;=33,(((_xlfn.XLOOKUP(Assessment!#REF!,Inherited!A:A,Inherited!B:B))/100)*(_xlfn.XLOOKUP(Assessment!#REF!,Inherited!A:A,Inherited!C:C)))+(((100-(_xlfn.XLOOKUP(Assessment!#REF!,Inherited!A:A,Inherited!B:B)))/100)*IF(X130="1.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(100%)","100"))))))&lt;=65),"50",IF(AND((((_xlfn.XLOOKUP(Assessment!#REF!,Inherited!A:A,Inherited!B:B))/100)*(_xlfn.XLOOKUP(Assessment!#REF!,Inherited!A:A,Inherited!C:C)))+(((100-(_xlfn.XLOOKUP(Assessment!#REF!,Inherited!A:A,Inherited!B:B)))/100)*IF(X130="1.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(100%)","100"))))))&gt;=66,(((_xlfn.XLOOKUP(Assessment!#REF!,Inherited!A:A,Inherited!B:B))/100)*(_xlfn.XLOOKUP(Assessment!#REF!,Inherited!A:A,Inherited!C:C)))+(((100-(_xlfn.XLOOKUP(Assessment!#REF!,Inherited!A:A,Inherited!B:B)))/100)*IF(X130="1.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(100%)","100"))))))&lt;=89),"75",IF((((_xlfn.XLOOKUP(Assessment!#REF!,Inherited!A:A,Inherited!B:B))/100)*(_xlfn.XLOOKUP(Assessment!#REF!,Inherited!A:A,Inherited!C:C)))+(((100-(_xlfn.XLOOKUP(Assessment!#REF!,Inherited!A:A,Inherited!B:B)))/100)*IF(X130="1. Non Compliant (0%)","0",IF(X130="2. Somewhat Compliant (25%)","25",IF(X130="3. Partially Compliant (50%)","50",IF(X130="4. Mostly Compliant (75%)","75",IF(X130="5. Fully Compliant (100%)","100"))))))&gt;=90,"100"))))))</f>
        <v>#N/A</v>
      </c>
      <c r="R130" s="1" t="e">
        <f>IF(MATCH(H130,Inherited!A:A),IF((((_xlfn.XLOOKUP(Assessment!#REF!,Inherited!A:A,Inherited!B:B))/100)*(_xlfn.XLOOKUP(Assessment!#REF!,Inherited!A:A,Inherited!D:D)))+(((100-(_xlfn.XLOOKUP(Assessment!#REF!,Inherited!A:A,Inherited!B:B)))/100)*IF(Y130="1.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(100%)","100"))))))&lt;=10,"0", IF(AND((((_xlfn.XLOOKUP(Assessment!#REF!,Inherited!A:A,Inherited!B:B))/100)*(_xlfn.XLOOKUP(Assessment!#REF!,Inherited!A:A,Inherited!D:D)))+(((100-(_xlfn.XLOOKUP(Assessment!#REF!,Inherited!A:A,Inherited!B:B)))/100)*IF(Y130="1.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(100%)","100"))))))&gt;=11,(((_xlfn.XLOOKUP(Assessment!#REF!,Inherited!A:A,Inherited!B:B))/100)*(_xlfn.XLOOKUP(Assessment!#REF!,Inherited!A:A,Inherited!D:D)))+(((100-(_xlfn.XLOOKUP(Assessment!#REF!,Inherited!A:A,Inherited!B:B)))/100)*IF(Y130="1.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(100%)","100"))))))&lt;=32),"25",IF(AND((((_xlfn.XLOOKUP(Assessment!#REF!,Inherited!A:A,Inherited!B:B))/100)*(_xlfn.XLOOKUP(Assessment!#REF!,Inherited!A:A,Inherited!D:D)))+(((100-(_xlfn.XLOOKUP(Assessment!#REF!,Inherited!A:A,Inherited!B:B)))/100)*IF(Y130="1.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(100%)","100"))))))&gt;=33,(((_xlfn.XLOOKUP(Assessment!#REF!,Inherited!A:A,Inherited!B:B))/100)*(_xlfn.XLOOKUP(Assessment!#REF!,Inherited!A:A,Inherited!D:D)))+(((100-(_xlfn.XLOOKUP(Assessment!#REF!,Inherited!A:A,Inherited!B:B)))/100)*IF(Y130="1.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(100%)","100"))))))&lt;=65),"50",IF(AND((((_xlfn.XLOOKUP(Assessment!#REF!,Inherited!A:A,Inherited!B:B))/100)*(_xlfn.XLOOKUP(Assessment!#REF!,Inherited!A:A,Inherited!D:D)))+(((100-(_xlfn.XLOOKUP(Assessment!#REF!,Inherited!A:A,Inherited!B:B)))/100)*IF(Y130="1.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(100%)","100"))))))&gt;=66,(((_xlfn.XLOOKUP(Assessment!#REF!,Inherited!A:A,Inherited!B:B))/100)*(_xlfn.XLOOKUP(Assessment!#REF!,Inherited!A:A,Inherited!D:D)))+(((100-(_xlfn.XLOOKUP(Assessment!#REF!,Inherited!A:A,Inherited!B:B)))/100)*IF(Y130="1.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(100%)","100"))))))&lt;=89),"75",IF((((_xlfn.XLOOKUP(Assessment!#REF!,Inherited!A:A,Inherited!B:B))/100)*(_xlfn.XLOOKUP(Assessment!#REF!,Inherited!A:A,Inherited!D:D)))+(((100-(_xlfn.XLOOKUP(Assessment!#REF!,Inherited!A:A,Inherited!B:B)))/100)*IF(Y130="1. Non Compliant (0%)","0",IF(Y130="2. Somewhat Compliant (25%)","25",IF(Y130="3. Partially Compliant (50%)","50",IF(Y130="4. Mostly Compliant (75%)","75",IF(Y130="5. Fully Compliant (100%)","100"))))))&gt;=90,"100"))))))</f>
        <v>#N/A</v>
      </c>
      <c r="S130" s="1" t="e">
        <f>IF(MATCH(H130,Inherited!A:A),IF((((_xlfn.XLOOKUP(Assessment!#REF!,Inherited!A:A,Inherited!B:B))/100)*(_xlfn.XLOOKUP(Assessment!#REF!,Inherited!A:A,Inherited!E:E)))+(((100-(_xlfn.XLOOKUP(Assessment!#REF!,Inherited!A:A,Inherited!B:B)))/100)*IF(Z130="1.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(100%)","100"))))))&lt;=10,"0", IF(AND((((_xlfn.XLOOKUP(Assessment!#REF!,Inherited!A:A,Inherited!B:B))/100)*(_xlfn.XLOOKUP(Assessment!#REF!,Inherited!A:A,Inherited!E:E)))+(((100-(_xlfn.XLOOKUP(Assessment!#REF!,Inherited!A:A,Inherited!B:B)))/100)*IF(Z130="1.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(100%)","100"))))))&gt;=11,(((_xlfn.XLOOKUP(Assessment!#REF!,Inherited!A:A,Inherited!B:B))/100)*(_xlfn.XLOOKUP(Assessment!#REF!,Inherited!A:A,Inherited!E:E)))+(((100-(_xlfn.XLOOKUP(Assessment!#REF!,Inherited!A:A,Inherited!B:B)))/100)*IF(Z130="1.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(100%)","100"))))))&lt;=32),"25",IF(AND((((_xlfn.XLOOKUP(Assessment!#REF!,Inherited!A:A,Inherited!B:B))/100)*(_xlfn.XLOOKUP(Assessment!#REF!,Inherited!A:A,Inherited!E:E)))+(((100-(_xlfn.XLOOKUP(Assessment!#REF!,Inherited!A:A,Inherited!B:B)))/100)*IF(Z130="1.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(100%)","100"))))))&gt;=33,(((_xlfn.XLOOKUP(Assessment!#REF!,Inherited!A:A,Inherited!B:B))/100)*(_xlfn.XLOOKUP(Assessment!#REF!,Inherited!A:A,Inherited!E:E)))+(((100-(_xlfn.XLOOKUP(Assessment!#REF!,Inherited!A:A,Inherited!B:B)))/100)*IF(Z130="1.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(100%)","100"))))))&lt;=65),"50",IF(AND((((_xlfn.XLOOKUP(Assessment!#REF!,Inherited!A:A,Inherited!B:B))/100)*(_xlfn.XLOOKUP(Assessment!#REF!,Inherited!A:A,Inherited!E:E)))+(((100-(_xlfn.XLOOKUP(Assessment!#REF!,Inherited!A:A,Inherited!B:B)))/100)*IF(Z130="1.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(100%)","100"))))))&gt;=66,(((_xlfn.XLOOKUP(Assessment!#REF!,Inherited!A:A,Inherited!B:B))/100)*(_xlfn.XLOOKUP(Assessment!#REF!,Inherited!A:A,Inherited!E:E)))+(((100-(_xlfn.XLOOKUP(Assessment!#REF!,Inherited!A:A,Inherited!B:B)))/100)*IF(Z130="1.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(100%)","100"))))))&lt;=89),"75",IF((((_xlfn.XLOOKUP(Assessment!#REF!,Inherited!A:A,Inherited!B:B))/100)*(_xlfn.XLOOKUP(Assessment!#REF!,Inherited!A:A,Inherited!E:E)))+(((100-(_xlfn.XLOOKUP(Assessment!#REF!,Inherited!A:A,Inherited!B:B)))/100)*IF(Z130="1. Non Compliant (0%)","0",IF(Z130="2. Somewhat Compliant (25%)","25",IF(Z130="3. Partially Compliant (50%)","50",IF(Z130="4. Mostly Compliant (75%)","75",IF(Z130="5. Fully Compliant (100%)","100"))))))&gt;=90,"100"))))))</f>
        <v>#N/A</v>
      </c>
      <c r="T130" s="1" t="e">
        <f>IF(MATCH(H130,Inherited!A:A),IF((((_xlfn.XLOOKUP(Assessment!#REF!,Inherited!A:A,Inherited!B:B))/100)*(_xlfn.XLOOKUP(Assessment!#REF!,Inherited!A:A,Inherited!F:F)))+(((100-(_xlfn.XLOOKUP(Assessment!#REF!,Inherited!A:A,Inherited!B:B)))/100)*IF(AA130="1.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(100%)","100"))))))&lt;=10,"0", IF(AND((((_xlfn.XLOOKUP(Assessment!#REF!,Inherited!A:A,Inherited!B:B))/100)*(_xlfn.XLOOKUP(Assessment!#REF!,Inherited!A:A,Inherited!F:F)))+(((100-(_xlfn.XLOOKUP(Assessment!#REF!,Inherited!A:A,Inherited!B:B)))/100)*IF(AA130="1.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(100%)","100"))))))&gt;=11,(((_xlfn.XLOOKUP(Assessment!#REF!,Inherited!A:A,Inherited!B:B))/100)*(_xlfn.XLOOKUP(Assessment!#REF!,Inherited!A:A,Inherited!F:F)))+(((100-(_xlfn.XLOOKUP(Assessment!#REF!,Inherited!A:A,Inherited!B:B)))/100)*IF(AA130="1.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(100%)","100"))))))&lt;=32),"25",IF(AND((((_xlfn.XLOOKUP(Assessment!#REF!,Inherited!A:A,Inherited!B:B))/100)*(_xlfn.XLOOKUP(Assessment!#REF!,Inherited!A:A,Inherited!F:F)))+(((100-(_xlfn.XLOOKUP(Assessment!#REF!,Inherited!A:A,Inherited!B:B)))/100)*IF(AA130="1.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(100%)","100"))))))&gt;=33,(((_xlfn.XLOOKUP(Assessment!#REF!,Inherited!A:A,Inherited!B:B))/100)*(_xlfn.XLOOKUP(Assessment!#REF!,Inherited!A:A,Inherited!F:F)))+(((100-(_xlfn.XLOOKUP(Assessment!#REF!,Inherited!A:A,Inherited!B:B)))/100)*IF(AA130="1.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(100%)","100"))))))&lt;=65),"50",IF(AND((((_xlfn.XLOOKUP(Assessment!#REF!,Inherited!A:A,Inherited!B:B))/100)*(_xlfn.XLOOKUP(Assessment!#REF!,Inherited!A:A,Inherited!F:F)))+(((100-(_xlfn.XLOOKUP(Assessment!#REF!,Inherited!A:A,Inherited!B:B)))/100)*IF(AA130="1.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(100%)","100"))))))&gt;=66,(((_xlfn.XLOOKUP(Assessment!#REF!,Inherited!A:A,Inherited!B:B))/100)*(_xlfn.XLOOKUP(Assessment!#REF!,Inherited!A:A,Inherited!F:F)))+(((100-(_xlfn.XLOOKUP(Assessment!#REF!,Inherited!A:A,Inherited!B:B)))/100)*IF(AA130="1.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(100%)","100"))))))&lt;=89),"75",IF((((_xlfn.XLOOKUP(Assessment!#REF!,Inherited!A:A,Inherited!B:B))/100)*(_xlfn.XLOOKUP(Assessment!#REF!,Inherited!A:A,Inherited!F:F)))+(((100-(_xlfn.XLOOKUP(Assessment!#REF!,Inherited!A:A,Inherited!B:B)))/100)*IF(AA130="1. Non Compliant (0%)","0",IF(AA130="2. Somewhat Compliant (25%)","25",IF(AA130="3. Partially Compliant (50%)","50",IF(AA130="4. Mostly Compliant (75%)","75",IF(AA130="5. Fully Compliant (100%)","100"))))))&gt;=90,"100"))))))</f>
        <v>#N/A</v>
      </c>
      <c r="U130" s="1" t="e">
        <f>IF(MATCH(H130,Inherited!A:A),IF((((_xlfn.XLOOKUP(Assessment!#REF!,Inherited!A:A,Inherited!B:B))/100)*(_xlfn.XLOOKUP(Assessment!#REF!,Inherited!A:A,Inherited!G:G)))+(((100-(_xlfn.XLOOKUP(Assessment!#REF!,Inherited!A:A,Inherited!B:B)))/100)*IF(AB130="1.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(100%)","100"))))))&lt;=10,"0", IF(AND((((_xlfn.XLOOKUP(Assessment!#REF!,Inherited!A:A,Inherited!B:B))/100)*(_xlfn.XLOOKUP(Assessment!#REF!,Inherited!A:A,Inherited!G:G)))+(((100-(_xlfn.XLOOKUP(Assessment!#REF!,Inherited!A:A,Inherited!B:B)))/100)*IF(AB130="1.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(100%)","100"))))))&gt;=11,(((_xlfn.XLOOKUP(Assessment!#REF!,Inherited!A:A,Inherited!B:B))/100)*(_xlfn.XLOOKUP(Assessment!#REF!,Inherited!A:A,Inherited!G:G)))+(((100-(_xlfn.XLOOKUP(Assessment!#REF!,Inherited!A:A,Inherited!B:B)))/100)*IF(AB130="1.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(100%)","100"))))))&lt;=32),"25",IF(AND((((_xlfn.XLOOKUP(Assessment!#REF!,Inherited!A:A,Inherited!B:B))/100)*(_xlfn.XLOOKUP(Assessment!#REF!,Inherited!A:A,Inherited!G:G)))+(((100-(_xlfn.XLOOKUP(Assessment!#REF!,Inherited!A:A,Inherited!B:B)))/100)*IF(AB130="1.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(100%)","100"))))))&gt;=33,(((_xlfn.XLOOKUP(Assessment!#REF!,Inherited!A:A,Inherited!B:B))/100)*(_xlfn.XLOOKUP(Assessment!#REF!,Inherited!A:A,Inherited!G:G)))+(((100-(_xlfn.XLOOKUP(Assessment!#REF!,Inherited!A:A,Inherited!B:B)))/100)*IF(AB130="1.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(100%)","100"))))))&lt;=65),"50",IF(AND((((_xlfn.XLOOKUP(Assessment!#REF!,Inherited!A:A,Inherited!B:B))/100)*(_xlfn.XLOOKUP(Assessment!#REF!,Inherited!A:A,Inherited!G:G)))+(((100-(_xlfn.XLOOKUP(Assessment!#REF!,Inherited!A:A,Inherited!B:B)))/100)*IF(AB130="1.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(100%)","100"))))))&gt;=66,(((_xlfn.XLOOKUP(Assessment!#REF!,Inherited!A:A,Inherited!B:B))/100)*(_xlfn.XLOOKUP(Assessment!#REF!,Inherited!A:A,Inherited!G:G)))+(((100-(_xlfn.XLOOKUP(Assessment!#REF!,Inherited!A:A,Inherited!B:B)))/100)*IF(AB130="1.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(100%)","100"))))))&lt;=89),"75",IF((((_xlfn.XLOOKUP(Assessment!#REF!,Inherited!A:A,Inherited!B:B))/100)*(_xlfn.XLOOKUP(Assessment!#REF!,Inherited!A:A,Inherited!G:G)))+(((100-(_xlfn.XLOOKUP(Assessment!#REF!,Inherited!A:A,Inherited!B:B)))/100)*IF(AB130="1. Non Compliant (0%)","0",IF(AB130="2. Somewhat Compliant (25%)","25",IF(AB130="3. Partially Compliant (50%)","50",IF(AB130="4. Mostly Compliant (75%)","75",IF(AB130="5. Fully Compliant (100%)","100"))))))&gt;=90,"100"))))))</f>
        <v>#N/A</v>
      </c>
      <c r="V130" s="55" t="s">
        <v>85</v>
      </c>
      <c r="W130" s="55"/>
      <c r="X130" s="55"/>
      <c r="Y130" s="55"/>
      <c r="Z130" s="55" t="s">
        <v>10873</v>
      </c>
      <c r="AA130" s="55"/>
      <c r="AB130" s="55"/>
      <c r="AK130" s="1" t="s">
        <v>10978</v>
      </c>
      <c r="AL130" s="1" t="s">
        <v>10995</v>
      </c>
      <c r="AP130" s="1" t="s">
        <v>11095</v>
      </c>
      <c r="AX130" s="3" t="str">
        <f>_xlfn.CONCAT("A-LIGN finished its review of this control on ",AR130, " during the scheduled fieldwork window (",Intro!$B$4,")."&amp; CHAR(10)&amp; CHAR(10))</f>
        <v xml:space="preserve">A-LIGN finished its review of this control on  during the scheduled fieldwork window (Fieldwork: xx/xx/xxxx - xx/xx/xxxx).
</v>
      </c>
      <c r="AY130" s="3" t="str">
        <f t="shared" si="291"/>
        <v/>
      </c>
      <c r="AZ130" s="3" t="str">
        <f t="shared" si="292"/>
        <v/>
      </c>
      <c r="BA130" s="3" t="str">
        <f t="shared" si="293"/>
        <v/>
      </c>
      <c r="BB130" s="3" t="str">
        <f t="shared" si="29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AI backups themselves will need to be configured against the following:
- backups are configured for: training, test, and validation datasets
- backups are configured for: code used to create, train, and/or deploy AI models
- backups are configured for: tuning data
- backups are configured for: models
- backups are configured for: language model tools (e.g., plugins, agents)
- backups are configured for: AI system configurations (e.g., meta prompts)
- backups are configured for: prompt enhancement data for RAG
</v>
      </c>
      <c r="BC130" s="3" t="str">
        <f t="shared" si="295"/>
        <v/>
      </c>
      <c r="BD130" s="3" t="str">
        <f t="shared" si="29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AI backups are not performed based on the requirement statement.
Recommendation:
Management should ensure that AI policies and procedures are developed considering the following:
- outlines process for backing up AI assets and data
Further management should ensure that backups consider the following:
- backups are configured for: training, test, and validation datasets
- backups are configured for: code used to create, train, and/or deploy AI models
- backups are configured for: tuning data
- backups are configured for: models
- backups are configured for: language model tools (e.g., plugins, agents)
- backups are configured for: AI system configurations (e.g., meta prompts)
- backups are configured for: prompt enhancement data for RAG 
</v>
      </c>
      <c r="BE130" s="3" t="str">
        <f t="shared" si="297"/>
        <v/>
      </c>
      <c r="BF130" s="3" t="str">
        <f t="shared" si="298"/>
        <v/>
      </c>
      <c r="BG130" s="3" t="str">
        <f>_xlfn.CONCAT((IF((COUNTIF('Sample Tables'!B:B,"")&gt;0)=TRUE,_xlfn.CONCAT("",""),IF((COUNTIF('Sample Tables'!B:B,"")&gt;0)=FALSE,""))),)</f>
        <v/>
      </c>
      <c r="BH130" s="3" t="str">
        <f t="shared" si="29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AI backups themselves will need to be configured against the following:
- backups are configured for: training, test, and validation datasets
- backups are configured for: code used to create, train, and/or deploy AI models
- backups are configured for: tuning data
- backups are configured for: models
- backups are configured for: language model tools (e.g., plugins, agents)
- backups are configured for: AI system configurations (e.g., meta prompts)
- backups are configured for: prompt enhancement data for RAG
Examined the following evidence during fieldwork:
Reviewed evidence addressed the requirement statement.
Reviewed evidence exception note: 
Gap: 
AI policies and procedures considering the details of the requirement statement are not formally maintained at this time.
AI backups are not performed based on the requirement statement.
Recommendation:
Management should ensure that AI policies and procedures are developed considering the following:
- outlines process for backing up AI assets and data
Further management should ensure that backups consider the following:
- backups are configured for: training, test, and validation datasets
- backups are configured for: code used to create, train, and/or deploy AI models
- backups are configured for: tuning data
- backups are configured for: models
- backups are configured for: language model tools (e.g., plugins, agents)
- backups are configured for: AI system configurations (e.g., meta prompts)
- backups are configured for: prompt enhancement data for RAG 
</v>
      </c>
    </row>
    <row r="131" spans="3:60" ht="326.25" customHeight="1" x14ac:dyDescent="0.35">
      <c r="C131" s="1">
        <f t="shared" si="290"/>
        <v>0</v>
      </c>
      <c r="D131" s="5" t="str">
        <f>IF(AND((_xlfn.XLOOKUP(J131,'Fields &amp; Revisions'!$H:$H,'Fields &amp; Revisions'!$I:$I))&lt;70.99,(OR(Z131="4. Mostly Compliant (75%)",Z131="3. Partially Compliant (50%)",Z131="2. Somewhat Compliant (25%)",Z131="1. Non Compliant (0%)"))),"Yes","No")</f>
        <v>Yes</v>
      </c>
      <c r="E131" s="5" t="str">
        <f>IF(ISERROR(VLOOKUP(H131,Scope!A:A,1,FALSE)),"No","Yes")</f>
        <v>Yes</v>
      </c>
      <c r="F131" s="1" t="s">
        <v>4382</v>
      </c>
      <c r="G131" s="53" t="s">
        <v>4414</v>
      </c>
      <c r="H131" s="53" t="s">
        <v>4415</v>
      </c>
      <c r="I131" s="5" t="s">
        <v>225</v>
      </c>
      <c r="J131" s="1" t="s">
        <v>4416</v>
      </c>
      <c r="K131" s="54" t="s">
        <v>4417</v>
      </c>
      <c r="L131" s="1" t="s">
        <v>11003</v>
      </c>
      <c r="M131" s="1" t="s">
        <v>4418</v>
      </c>
      <c r="N131" s="5" t="s">
        <v>98</v>
      </c>
      <c r="O131" s="1" t="str">
        <f>_xlfn.XLOOKUP(G131,SRMs!$A:$A,SRMs!$D:$D)</f>
        <v>NO INHERITANCE</v>
      </c>
      <c r="P131" s="1" t="str">
        <f>IFERROR(VLOOKUP(H131,Inherited!A:B,2,FALSE),"")</f>
        <v/>
      </c>
      <c r="Q131" s="1" t="e">
        <f>IF(MATCH(H131,Inherited!A:A),IF((((_xlfn.XLOOKUP(Assessment!#REF!,Inherited!A:A,Inherited!B:B))/100)*(_xlfn.XLOOKUP(Assessment!#REF!,Inherited!A:A,Inherited!C:C)))+(((100-(_xlfn.XLOOKUP(Assessment!#REF!,Inherited!A:A,Inherited!B:B)))/100)*IF(X131="1.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(100%)","100"))))))&lt;=10,"0", IF(AND((((_xlfn.XLOOKUP(Assessment!#REF!,Inherited!A:A,Inherited!B:B))/100)*(_xlfn.XLOOKUP(Assessment!#REF!,Inherited!A:A,Inherited!C:C)))+(((100-(_xlfn.XLOOKUP(Assessment!#REF!,Inherited!A:A,Inherited!B:B)))/100)*IF(X131="1.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(100%)","100"))))))&gt;=11,(((_xlfn.XLOOKUP(Assessment!#REF!,Inherited!A:A,Inherited!B:B))/100)*(_xlfn.XLOOKUP(Assessment!#REF!,Inherited!A:A,Inherited!C:C)))+(((100-(_xlfn.XLOOKUP(Assessment!#REF!,Inherited!A:A,Inherited!B:B)))/100)*IF(X131="1.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(100%)","100"))))))&lt;=32),"25",IF(AND((((_xlfn.XLOOKUP(Assessment!#REF!,Inherited!A:A,Inherited!B:B))/100)*(_xlfn.XLOOKUP(Assessment!#REF!,Inherited!A:A,Inherited!C:C)))+(((100-(_xlfn.XLOOKUP(Assessment!#REF!,Inherited!A:A,Inherited!B:B)))/100)*IF(X131="1.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(100%)","100"))))))&gt;=33,(((_xlfn.XLOOKUP(Assessment!#REF!,Inherited!A:A,Inherited!B:B))/100)*(_xlfn.XLOOKUP(Assessment!#REF!,Inherited!A:A,Inherited!C:C)))+(((100-(_xlfn.XLOOKUP(Assessment!#REF!,Inherited!A:A,Inherited!B:B)))/100)*IF(X131="1.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(100%)","100"))))))&lt;=65),"50",IF(AND((((_xlfn.XLOOKUP(Assessment!#REF!,Inherited!A:A,Inherited!B:B))/100)*(_xlfn.XLOOKUP(Assessment!#REF!,Inherited!A:A,Inherited!C:C)))+(((100-(_xlfn.XLOOKUP(Assessment!#REF!,Inherited!A:A,Inherited!B:B)))/100)*IF(X131="1.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(100%)","100"))))))&gt;=66,(((_xlfn.XLOOKUP(Assessment!#REF!,Inherited!A:A,Inherited!B:B))/100)*(_xlfn.XLOOKUP(Assessment!#REF!,Inherited!A:A,Inherited!C:C)))+(((100-(_xlfn.XLOOKUP(Assessment!#REF!,Inherited!A:A,Inherited!B:B)))/100)*IF(X131="1.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(100%)","100"))))))&lt;=89),"75",IF((((_xlfn.XLOOKUP(Assessment!#REF!,Inherited!A:A,Inherited!B:B))/100)*(_xlfn.XLOOKUP(Assessment!#REF!,Inherited!A:A,Inherited!C:C)))+(((100-(_xlfn.XLOOKUP(Assessment!#REF!,Inherited!A:A,Inherited!B:B)))/100)*IF(X131="1. Non Compliant (0%)","0",IF(X131="2. Somewhat Compliant (25%)","25",IF(X131="3. Partially Compliant (50%)","50",IF(X131="4. Mostly Compliant (75%)","75",IF(X131="5. Fully Compliant (100%)","100"))))))&gt;=90,"100"))))))</f>
        <v>#N/A</v>
      </c>
      <c r="R131" s="1" t="e">
        <f>IF(MATCH(H131,Inherited!A:A),IF((((_xlfn.XLOOKUP(Assessment!#REF!,Inherited!A:A,Inherited!B:B))/100)*(_xlfn.XLOOKUP(Assessment!#REF!,Inherited!A:A,Inherited!D:D)))+(((100-(_xlfn.XLOOKUP(Assessment!#REF!,Inherited!A:A,Inherited!B:B)))/100)*IF(Y131="1.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(100%)","100"))))))&lt;=10,"0", IF(AND((((_xlfn.XLOOKUP(Assessment!#REF!,Inherited!A:A,Inherited!B:B))/100)*(_xlfn.XLOOKUP(Assessment!#REF!,Inherited!A:A,Inherited!D:D)))+(((100-(_xlfn.XLOOKUP(Assessment!#REF!,Inherited!A:A,Inherited!B:B)))/100)*IF(Y131="1.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(100%)","100"))))))&gt;=11,(((_xlfn.XLOOKUP(Assessment!#REF!,Inherited!A:A,Inherited!B:B))/100)*(_xlfn.XLOOKUP(Assessment!#REF!,Inherited!A:A,Inherited!D:D)))+(((100-(_xlfn.XLOOKUP(Assessment!#REF!,Inherited!A:A,Inherited!B:B)))/100)*IF(Y131="1.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(100%)","100"))))))&lt;=32),"25",IF(AND((((_xlfn.XLOOKUP(Assessment!#REF!,Inherited!A:A,Inherited!B:B))/100)*(_xlfn.XLOOKUP(Assessment!#REF!,Inherited!A:A,Inherited!D:D)))+(((100-(_xlfn.XLOOKUP(Assessment!#REF!,Inherited!A:A,Inherited!B:B)))/100)*IF(Y131="1.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(100%)","100"))))))&gt;=33,(((_xlfn.XLOOKUP(Assessment!#REF!,Inherited!A:A,Inherited!B:B))/100)*(_xlfn.XLOOKUP(Assessment!#REF!,Inherited!A:A,Inherited!D:D)))+(((100-(_xlfn.XLOOKUP(Assessment!#REF!,Inherited!A:A,Inherited!B:B)))/100)*IF(Y131="1.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(100%)","100"))))))&lt;=65),"50",IF(AND((((_xlfn.XLOOKUP(Assessment!#REF!,Inherited!A:A,Inherited!B:B))/100)*(_xlfn.XLOOKUP(Assessment!#REF!,Inherited!A:A,Inherited!D:D)))+(((100-(_xlfn.XLOOKUP(Assessment!#REF!,Inherited!A:A,Inherited!B:B)))/100)*IF(Y131="1.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(100%)","100"))))))&gt;=66,(((_xlfn.XLOOKUP(Assessment!#REF!,Inherited!A:A,Inherited!B:B))/100)*(_xlfn.XLOOKUP(Assessment!#REF!,Inherited!A:A,Inherited!D:D)))+(((100-(_xlfn.XLOOKUP(Assessment!#REF!,Inherited!A:A,Inherited!B:B)))/100)*IF(Y131="1.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(100%)","100"))))))&lt;=89),"75",IF((((_xlfn.XLOOKUP(Assessment!#REF!,Inherited!A:A,Inherited!B:B))/100)*(_xlfn.XLOOKUP(Assessment!#REF!,Inherited!A:A,Inherited!D:D)))+(((100-(_xlfn.XLOOKUP(Assessment!#REF!,Inherited!A:A,Inherited!B:B)))/100)*IF(Y131="1. Non Compliant (0%)","0",IF(Y131="2. Somewhat Compliant (25%)","25",IF(Y131="3. Partially Compliant (50%)","50",IF(Y131="4. Mostly Compliant (75%)","75",IF(Y131="5. Fully Compliant (100%)","100"))))))&gt;=90,"100"))))))</f>
        <v>#N/A</v>
      </c>
      <c r="S131" s="1" t="e">
        <f>IF(MATCH(H131,Inherited!A:A),IF((((_xlfn.XLOOKUP(Assessment!#REF!,Inherited!A:A,Inherited!B:B))/100)*(_xlfn.XLOOKUP(Assessment!#REF!,Inherited!A:A,Inherited!E:E)))+(((100-(_xlfn.XLOOKUP(Assessment!#REF!,Inherited!A:A,Inherited!B:B)))/100)*IF(Z131="1.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(100%)","100"))))))&lt;=10,"0", IF(AND((((_xlfn.XLOOKUP(Assessment!#REF!,Inherited!A:A,Inherited!B:B))/100)*(_xlfn.XLOOKUP(Assessment!#REF!,Inherited!A:A,Inherited!E:E)))+(((100-(_xlfn.XLOOKUP(Assessment!#REF!,Inherited!A:A,Inherited!B:B)))/100)*IF(Z131="1.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(100%)","100"))))))&gt;=11,(((_xlfn.XLOOKUP(Assessment!#REF!,Inherited!A:A,Inherited!B:B))/100)*(_xlfn.XLOOKUP(Assessment!#REF!,Inherited!A:A,Inherited!E:E)))+(((100-(_xlfn.XLOOKUP(Assessment!#REF!,Inherited!A:A,Inherited!B:B)))/100)*IF(Z131="1.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(100%)","100"))))))&lt;=32),"25",IF(AND((((_xlfn.XLOOKUP(Assessment!#REF!,Inherited!A:A,Inherited!B:B))/100)*(_xlfn.XLOOKUP(Assessment!#REF!,Inherited!A:A,Inherited!E:E)))+(((100-(_xlfn.XLOOKUP(Assessment!#REF!,Inherited!A:A,Inherited!B:B)))/100)*IF(Z131="1.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(100%)","100"))))))&gt;=33,(((_xlfn.XLOOKUP(Assessment!#REF!,Inherited!A:A,Inherited!B:B))/100)*(_xlfn.XLOOKUP(Assessment!#REF!,Inherited!A:A,Inherited!E:E)))+(((100-(_xlfn.XLOOKUP(Assessment!#REF!,Inherited!A:A,Inherited!B:B)))/100)*IF(Z131="1.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(100%)","100"))))))&lt;=65),"50",IF(AND((((_xlfn.XLOOKUP(Assessment!#REF!,Inherited!A:A,Inherited!B:B))/100)*(_xlfn.XLOOKUP(Assessment!#REF!,Inherited!A:A,Inherited!E:E)))+(((100-(_xlfn.XLOOKUP(Assessment!#REF!,Inherited!A:A,Inherited!B:B)))/100)*IF(Z131="1.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(100%)","100"))))))&gt;=66,(((_xlfn.XLOOKUP(Assessment!#REF!,Inherited!A:A,Inherited!B:B))/100)*(_xlfn.XLOOKUP(Assessment!#REF!,Inherited!A:A,Inherited!E:E)))+(((100-(_xlfn.XLOOKUP(Assessment!#REF!,Inherited!A:A,Inherited!B:B)))/100)*IF(Z131="1.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(100%)","100"))))))&lt;=89),"75",IF((((_xlfn.XLOOKUP(Assessment!#REF!,Inherited!A:A,Inherited!B:B))/100)*(_xlfn.XLOOKUP(Assessment!#REF!,Inherited!A:A,Inherited!E:E)))+(((100-(_xlfn.XLOOKUP(Assessment!#REF!,Inherited!A:A,Inherited!B:B)))/100)*IF(Z131="1. Non Compliant (0%)","0",IF(Z131="2. Somewhat Compliant (25%)","25",IF(Z131="3. Partially Compliant (50%)","50",IF(Z131="4. Mostly Compliant (75%)","75",IF(Z131="5. Fully Compliant (100%)","100"))))))&gt;=90,"100"))))))</f>
        <v>#N/A</v>
      </c>
      <c r="T131" s="1" t="e">
        <f>IF(MATCH(H131,Inherited!A:A),IF((((_xlfn.XLOOKUP(Assessment!#REF!,Inherited!A:A,Inherited!B:B))/100)*(_xlfn.XLOOKUP(Assessment!#REF!,Inherited!A:A,Inherited!F:F)))+(((100-(_xlfn.XLOOKUP(Assessment!#REF!,Inherited!A:A,Inherited!B:B)))/100)*IF(AA131="1.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(100%)","100"))))))&lt;=10,"0", IF(AND((((_xlfn.XLOOKUP(Assessment!#REF!,Inherited!A:A,Inherited!B:B))/100)*(_xlfn.XLOOKUP(Assessment!#REF!,Inherited!A:A,Inherited!F:F)))+(((100-(_xlfn.XLOOKUP(Assessment!#REF!,Inherited!A:A,Inherited!B:B)))/100)*IF(AA131="1.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(100%)","100"))))))&gt;=11,(((_xlfn.XLOOKUP(Assessment!#REF!,Inherited!A:A,Inherited!B:B))/100)*(_xlfn.XLOOKUP(Assessment!#REF!,Inherited!A:A,Inherited!F:F)))+(((100-(_xlfn.XLOOKUP(Assessment!#REF!,Inherited!A:A,Inherited!B:B)))/100)*IF(AA131="1.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(100%)","100"))))))&lt;=32),"25",IF(AND((((_xlfn.XLOOKUP(Assessment!#REF!,Inherited!A:A,Inherited!B:B))/100)*(_xlfn.XLOOKUP(Assessment!#REF!,Inherited!A:A,Inherited!F:F)))+(((100-(_xlfn.XLOOKUP(Assessment!#REF!,Inherited!A:A,Inherited!B:B)))/100)*IF(AA131="1.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(100%)","100"))))))&gt;=33,(((_xlfn.XLOOKUP(Assessment!#REF!,Inherited!A:A,Inherited!B:B))/100)*(_xlfn.XLOOKUP(Assessment!#REF!,Inherited!A:A,Inherited!F:F)))+(((100-(_xlfn.XLOOKUP(Assessment!#REF!,Inherited!A:A,Inherited!B:B)))/100)*IF(AA131="1.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(100%)","100"))))))&lt;=65),"50",IF(AND((((_xlfn.XLOOKUP(Assessment!#REF!,Inherited!A:A,Inherited!B:B))/100)*(_xlfn.XLOOKUP(Assessment!#REF!,Inherited!A:A,Inherited!F:F)))+(((100-(_xlfn.XLOOKUP(Assessment!#REF!,Inherited!A:A,Inherited!B:B)))/100)*IF(AA131="1.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(100%)","100"))))))&gt;=66,(((_xlfn.XLOOKUP(Assessment!#REF!,Inherited!A:A,Inherited!B:B))/100)*(_xlfn.XLOOKUP(Assessment!#REF!,Inherited!A:A,Inherited!F:F)))+(((100-(_xlfn.XLOOKUP(Assessment!#REF!,Inherited!A:A,Inherited!B:B)))/100)*IF(AA131="1.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(100%)","100"))))))&lt;=89),"75",IF((((_xlfn.XLOOKUP(Assessment!#REF!,Inherited!A:A,Inherited!B:B))/100)*(_xlfn.XLOOKUP(Assessment!#REF!,Inherited!A:A,Inherited!F:F)))+(((100-(_xlfn.XLOOKUP(Assessment!#REF!,Inherited!A:A,Inherited!B:B)))/100)*IF(AA131="1. Non Compliant (0%)","0",IF(AA131="2. Somewhat Compliant (25%)","25",IF(AA131="3. Partially Compliant (50%)","50",IF(AA131="4. Mostly Compliant (75%)","75",IF(AA131="5. Fully Compliant (100%)","100"))))))&gt;=90,"100"))))))</f>
        <v>#N/A</v>
      </c>
      <c r="U131" s="1" t="e">
        <f>IF(MATCH(H131,Inherited!A:A),IF((((_xlfn.XLOOKUP(Assessment!#REF!,Inherited!A:A,Inherited!B:B))/100)*(_xlfn.XLOOKUP(Assessment!#REF!,Inherited!A:A,Inherited!G:G)))+(((100-(_xlfn.XLOOKUP(Assessment!#REF!,Inherited!A:A,Inherited!B:B)))/100)*IF(AB131="1.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(100%)","100"))))))&lt;=10,"0", IF(AND((((_xlfn.XLOOKUP(Assessment!#REF!,Inherited!A:A,Inherited!B:B))/100)*(_xlfn.XLOOKUP(Assessment!#REF!,Inherited!A:A,Inherited!G:G)))+(((100-(_xlfn.XLOOKUP(Assessment!#REF!,Inherited!A:A,Inherited!B:B)))/100)*IF(AB131="1.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(100%)","100"))))))&gt;=11,(((_xlfn.XLOOKUP(Assessment!#REF!,Inherited!A:A,Inherited!B:B))/100)*(_xlfn.XLOOKUP(Assessment!#REF!,Inherited!A:A,Inherited!G:G)))+(((100-(_xlfn.XLOOKUP(Assessment!#REF!,Inherited!A:A,Inherited!B:B)))/100)*IF(AB131="1.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(100%)","100"))))))&lt;=32),"25",IF(AND((((_xlfn.XLOOKUP(Assessment!#REF!,Inherited!A:A,Inherited!B:B))/100)*(_xlfn.XLOOKUP(Assessment!#REF!,Inherited!A:A,Inherited!G:G)))+(((100-(_xlfn.XLOOKUP(Assessment!#REF!,Inherited!A:A,Inherited!B:B)))/100)*IF(AB131="1.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(100%)","100"))))))&gt;=33,(((_xlfn.XLOOKUP(Assessment!#REF!,Inherited!A:A,Inherited!B:B))/100)*(_xlfn.XLOOKUP(Assessment!#REF!,Inherited!A:A,Inherited!G:G)))+(((100-(_xlfn.XLOOKUP(Assessment!#REF!,Inherited!A:A,Inherited!B:B)))/100)*IF(AB131="1.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(100%)","100"))))))&lt;=65),"50",IF(AND((((_xlfn.XLOOKUP(Assessment!#REF!,Inherited!A:A,Inherited!B:B))/100)*(_xlfn.XLOOKUP(Assessment!#REF!,Inherited!A:A,Inherited!G:G)))+(((100-(_xlfn.XLOOKUP(Assessment!#REF!,Inherited!A:A,Inherited!B:B)))/100)*IF(AB131="1.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(100%)","100"))))))&gt;=66,(((_xlfn.XLOOKUP(Assessment!#REF!,Inherited!A:A,Inherited!B:B))/100)*(_xlfn.XLOOKUP(Assessment!#REF!,Inherited!A:A,Inherited!G:G)))+(((100-(_xlfn.XLOOKUP(Assessment!#REF!,Inherited!A:A,Inherited!B:B)))/100)*IF(AB131="1.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(100%)","100"))))))&lt;=89),"75",IF((((_xlfn.XLOOKUP(Assessment!#REF!,Inherited!A:A,Inherited!B:B))/100)*(_xlfn.XLOOKUP(Assessment!#REF!,Inherited!A:A,Inherited!G:G)))+(((100-(_xlfn.XLOOKUP(Assessment!#REF!,Inherited!A:A,Inherited!B:B)))/100)*IF(AB131="1. Non Compliant (0%)","0",IF(AB131="2. Somewhat Compliant (25%)","25",IF(AB131="3. Partially Compliant (50%)","50",IF(AB131="4. Mostly Compliant (75%)","75",IF(AB131="5. Fully Compliant (100%)","100"))))))&gt;=90,"100"))))))</f>
        <v>#N/A</v>
      </c>
      <c r="V131" s="55" t="s">
        <v>85</v>
      </c>
      <c r="W131" s="55"/>
      <c r="X131" s="55"/>
      <c r="Y131" s="55"/>
      <c r="Z131" s="55" t="s">
        <v>10873</v>
      </c>
      <c r="AA131" s="55"/>
      <c r="AB131" s="55"/>
      <c r="AK131" s="1" t="s">
        <v>10978</v>
      </c>
      <c r="AL131" s="1" t="s">
        <v>11004</v>
      </c>
      <c r="AP131" s="1" t="s">
        <v>11096</v>
      </c>
      <c r="AX131" s="3" t="str">
        <f>_xlfn.CONCAT("A-LIGN finished its review of this control on ",AR131, " during the scheduled fieldwork window (",Intro!$B$4,")."&amp; CHAR(10)&amp; CHAR(10))</f>
        <v xml:space="preserve">A-LIGN finished its review of this control on  during the scheduled fieldwork window (Fieldwork: xx/xx/xxxx - xx/xx/xxxx).
</v>
      </c>
      <c r="AY131" s="3" t="str">
        <f t="shared" si="291"/>
        <v/>
      </c>
      <c r="AZ131" s="3" t="str">
        <f t="shared" si="292"/>
        <v/>
      </c>
      <c r="BA131" s="3" t="str">
        <f t="shared" si="293"/>
        <v/>
      </c>
      <c r="BB131" s="3" t="str">
        <f t="shared" si="294"/>
        <v xml:space="preserve">Inquired of the following workforce member: 
Michael Wood - VP of AI Engineering
Kyle Smith - IT Operations and AI Expert 
Inquiry lead to the following conclusions: 
An AI system business impact analysis is not completed at this time
</v>
      </c>
      <c r="BC131" s="3" t="str">
        <f t="shared" si="295"/>
        <v/>
      </c>
      <c r="BD131" s="3" t="str">
        <f t="shared" si="296"/>
        <v xml:space="preserve">Examined the following evidence during fieldwork:
Reviewed evidence addressed the requirement statement.
Reviewed evidence exception note: 
Gap: 
An AI system business impact analysis is not completed at this time.
Recommendation:
Management should ensure that an AI system business impact analysis is completed on at least an annual basis
</v>
      </c>
      <c r="BE131" s="3" t="str">
        <f t="shared" si="297"/>
        <v/>
      </c>
      <c r="BF131" s="3" t="str">
        <f t="shared" si="298"/>
        <v/>
      </c>
      <c r="BG131" s="3" t="str">
        <f>_xlfn.CONCAT((IF((COUNTIF('Sample Tables'!B:B,"")&gt;0)=TRUE,_xlfn.CONCAT("",""),IF((COUNTIF('Sample Tables'!B:B,"")&gt;0)=FALSE,""))),)</f>
        <v/>
      </c>
      <c r="BH131" s="3" t="str">
        <f t="shared" si="29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system business impact analysis is not completed at this time
Examined the following evidence during fieldwork:
Reviewed evidence addressed the requirement statement.
Reviewed evidence exception note: 
Gap: 
An AI system business impact analysis is not completed at this time.
Recommendation:
Management should ensure that an AI system business impact analysis is completed on at least an annual basis
</v>
      </c>
    </row>
    <row r="132" spans="3:60" ht="300" x14ac:dyDescent="0.35">
      <c r="C132" s="1">
        <f t="shared" ref="C132:C133" si="300">IF(V132="No","Not Applicable",(IF(X132="1. Non Compliant (0%)","0",IF(X132="2. Somewhat Compliant (25%)","25",IF(X132="3. Partially Compliant (50%)","50",IF(X132="4. Mostly Compliant (75%)","75",IF(X132="5. Fully Compliant (100%)","100")))))*0.15)+((IF(Y132="1. Non Compliant (0%)","0",IF(Y132="2. Somewhat Compliant (25%)","25",IF(Y132="3. Partially Compliant (50%)","50",IF(Y132="4. Mostly Compliant (75%)","75",IF(Y132="5. Fully Compliant (100%)","100"))))))*0.2)+(IF(Z132="1. Non Compliant (0%)","0",IF(Z132="2. Somewhat Compliant (25%)","25",IF(Z132="3. Partially Compliant (50%)","50",IF(Z132="4. Mostly Compliant (75%)","75",IF(Z132="5. Fully Compliant (100%)","100")))))*0.4)+(IF(AA132="1. Non Compliant (0%)","0",IF(AA132="2. Somewhat Compliant (25%)","25",IF(AA132="3. Partially Compliant (50%)","50",IF(AA132="4. Mostly Compliant (75%)","75",IF(AA132="5. Fully Compliant (100%)","100")))))*0.1)+(IF(AB132="1. Non Compliant (0%)","0",IF(AB132="2. Somewhat Compliant (25%)","25",IF(AB132="3. Partially Compliant (50%)","50",IF(AB132="4. Mostly Compliant (75%)","75",IF(AB132="5. Fully Compliant (100%)","100")))))*0.15))</f>
        <v>0</v>
      </c>
      <c r="D132" s="5" t="str">
        <f>IF(AND((_xlfn.XLOOKUP(J132,'Fields &amp; Revisions'!$H:$H,'Fields &amp; Revisions'!$I:$I))&lt;70.99,(OR(Z132="4. Mostly Compliant (75%)",Z132="3. Partially Compliant (50%)",Z132="2. Somewhat Compliant (25%)",Z132="1. Non Compliant (0%)"))),"Yes","No")</f>
        <v>Yes</v>
      </c>
      <c r="E132" s="5" t="str">
        <f>IF(ISERROR(VLOOKUP(H132,Scope!A:A,1,FALSE)),"No","Yes")</f>
        <v>Yes</v>
      </c>
      <c r="F132" s="1" t="s">
        <v>4382</v>
      </c>
      <c r="G132" s="53" t="s">
        <v>4474</v>
      </c>
      <c r="H132" s="53" t="s">
        <v>4475</v>
      </c>
      <c r="I132" s="5">
        <v>1</v>
      </c>
      <c r="J132" s="1" t="s">
        <v>3343</v>
      </c>
      <c r="K132" s="1" t="s">
        <v>4476</v>
      </c>
      <c r="L132" s="1" t="s">
        <v>4477</v>
      </c>
      <c r="M132" s="1" t="s">
        <v>1531</v>
      </c>
      <c r="N132" s="5" t="s">
        <v>85</v>
      </c>
      <c r="O132" s="1" t="str">
        <f>_xlfn.XLOOKUP(G132,SRMs!$A:$A,SRMs!$D:$D)</f>
        <v>PARTIAL INHERITANCE</v>
      </c>
      <c r="P132" s="1" t="str">
        <f>IFERROR(VLOOKUP(H132,Inherited!A:B,2,FALSE),"")</f>
        <v/>
      </c>
      <c r="Q132" s="1" t="e">
        <f>IF(MATCH(H132,Inherited!A:A),IF((((_xlfn.XLOOKUP(Assessment!#REF!,Inherited!A:A,Inherited!B:B))/100)*(_xlfn.XLOOKUP(Assessment!#REF!,Inherited!A:A,Inherited!C:C)))+(((100-(_xlfn.XLOOKUP(Assessment!#REF!,Inherited!A:A,Inherited!B:B)))/100)*IF(X132="1.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(100%)","100"))))))&lt;=10,"0", IF(AND((((_xlfn.XLOOKUP(Assessment!#REF!,Inherited!A:A,Inherited!B:B))/100)*(_xlfn.XLOOKUP(Assessment!#REF!,Inherited!A:A,Inherited!C:C)))+(((100-(_xlfn.XLOOKUP(Assessment!#REF!,Inherited!A:A,Inherited!B:B)))/100)*IF(X132="1.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(100%)","100"))))))&gt;=11,(((_xlfn.XLOOKUP(Assessment!#REF!,Inherited!A:A,Inherited!B:B))/100)*(_xlfn.XLOOKUP(Assessment!#REF!,Inherited!A:A,Inherited!C:C)))+(((100-(_xlfn.XLOOKUP(Assessment!#REF!,Inherited!A:A,Inherited!B:B)))/100)*IF(X132="1.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(100%)","100"))))))&lt;=32),"25",IF(AND((((_xlfn.XLOOKUP(Assessment!#REF!,Inherited!A:A,Inherited!B:B))/100)*(_xlfn.XLOOKUP(Assessment!#REF!,Inherited!A:A,Inherited!C:C)))+(((100-(_xlfn.XLOOKUP(Assessment!#REF!,Inherited!A:A,Inherited!B:B)))/100)*IF(X132="1.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(100%)","100"))))))&gt;=33,(((_xlfn.XLOOKUP(Assessment!#REF!,Inherited!A:A,Inherited!B:B))/100)*(_xlfn.XLOOKUP(Assessment!#REF!,Inherited!A:A,Inherited!C:C)))+(((100-(_xlfn.XLOOKUP(Assessment!#REF!,Inherited!A:A,Inherited!B:B)))/100)*IF(X132="1.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(100%)","100"))))))&lt;=65),"50",IF(AND((((_xlfn.XLOOKUP(Assessment!#REF!,Inherited!A:A,Inherited!B:B))/100)*(_xlfn.XLOOKUP(Assessment!#REF!,Inherited!A:A,Inherited!C:C)))+(((100-(_xlfn.XLOOKUP(Assessment!#REF!,Inherited!A:A,Inherited!B:B)))/100)*IF(X132="1.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(100%)","100"))))))&gt;=66,(((_xlfn.XLOOKUP(Assessment!#REF!,Inherited!A:A,Inherited!B:B))/100)*(_xlfn.XLOOKUP(Assessment!#REF!,Inherited!A:A,Inherited!C:C)))+(((100-(_xlfn.XLOOKUP(Assessment!#REF!,Inherited!A:A,Inherited!B:B)))/100)*IF(X132="1.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(100%)","100"))))))&lt;=89),"75",IF((((_xlfn.XLOOKUP(Assessment!#REF!,Inherited!A:A,Inherited!B:B))/100)*(_xlfn.XLOOKUP(Assessment!#REF!,Inherited!A:A,Inherited!C:C)))+(((100-(_xlfn.XLOOKUP(Assessment!#REF!,Inherited!A:A,Inherited!B:B)))/100)*IF(X132="1. Non Compliant (0%)","0",IF(X132="2. Somewhat Compliant (25%)","25",IF(X132="3. Partially Compliant (50%)","50",IF(X132="4. Mostly Compliant (75%)","75",IF(X132="5. Fully Compliant (100%)","100"))))))&gt;=90,"100"))))))</f>
        <v>#N/A</v>
      </c>
      <c r="R132" s="1" t="e">
        <f>IF(MATCH(H132,Inherited!A:A),IF((((_xlfn.XLOOKUP(Assessment!#REF!,Inherited!A:A,Inherited!B:B))/100)*(_xlfn.XLOOKUP(Assessment!#REF!,Inherited!A:A,Inherited!D:D)))+(((100-(_xlfn.XLOOKUP(Assessment!#REF!,Inherited!A:A,Inherited!B:B)))/100)*IF(Y132="1.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(100%)","100"))))))&lt;=10,"0", IF(AND((((_xlfn.XLOOKUP(Assessment!#REF!,Inherited!A:A,Inherited!B:B))/100)*(_xlfn.XLOOKUP(Assessment!#REF!,Inherited!A:A,Inherited!D:D)))+(((100-(_xlfn.XLOOKUP(Assessment!#REF!,Inherited!A:A,Inherited!B:B)))/100)*IF(Y132="1.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(100%)","100"))))))&gt;=11,(((_xlfn.XLOOKUP(Assessment!#REF!,Inherited!A:A,Inherited!B:B))/100)*(_xlfn.XLOOKUP(Assessment!#REF!,Inherited!A:A,Inherited!D:D)))+(((100-(_xlfn.XLOOKUP(Assessment!#REF!,Inherited!A:A,Inherited!B:B)))/100)*IF(Y132="1.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(100%)","100"))))))&lt;=32),"25",IF(AND((((_xlfn.XLOOKUP(Assessment!#REF!,Inherited!A:A,Inherited!B:B))/100)*(_xlfn.XLOOKUP(Assessment!#REF!,Inherited!A:A,Inherited!D:D)))+(((100-(_xlfn.XLOOKUP(Assessment!#REF!,Inherited!A:A,Inherited!B:B)))/100)*IF(Y132="1.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(100%)","100"))))))&gt;=33,(((_xlfn.XLOOKUP(Assessment!#REF!,Inherited!A:A,Inherited!B:B))/100)*(_xlfn.XLOOKUP(Assessment!#REF!,Inherited!A:A,Inherited!D:D)))+(((100-(_xlfn.XLOOKUP(Assessment!#REF!,Inherited!A:A,Inherited!B:B)))/100)*IF(Y132="1.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(100%)","100"))))))&lt;=65),"50",IF(AND((((_xlfn.XLOOKUP(Assessment!#REF!,Inherited!A:A,Inherited!B:B))/100)*(_xlfn.XLOOKUP(Assessment!#REF!,Inherited!A:A,Inherited!D:D)))+(((100-(_xlfn.XLOOKUP(Assessment!#REF!,Inherited!A:A,Inherited!B:B)))/100)*IF(Y132="1.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(100%)","100"))))))&gt;=66,(((_xlfn.XLOOKUP(Assessment!#REF!,Inherited!A:A,Inherited!B:B))/100)*(_xlfn.XLOOKUP(Assessment!#REF!,Inherited!A:A,Inherited!D:D)))+(((100-(_xlfn.XLOOKUP(Assessment!#REF!,Inherited!A:A,Inherited!B:B)))/100)*IF(Y132="1.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(100%)","100"))))))&lt;=89),"75",IF((((_xlfn.XLOOKUP(Assessment!#REF!,Inherited!A:A,Inherited!B:B))/100)*(_xlfn.XLOOKUP(Assessment!#REF!,Inherited!A:A,Inherited!D:D)))+(((100-(_xlfn.XLOOKUP(Assessment!#REF!,Inherited!A:A,Inherited!B:B)))/100)*IF(Y132="1. Non Compliant (0%)","0",IF(Y132="2. Somewhat Compliant (25%)","25",IF(Y132="3. Partially Compliant (50%)","50",IF(Y132="4. Mostly Compliant (75%)","75",IF(Y132="5. Fully Compliant (100%)","100"))))))&gt;=90,"100"))))))</f>
        <v>#N/A</v>
      </c>
      <c r="S132" s="1" t="e">
        <f>IF(MATCH(H132,Inherited!A:A),IF((((_xlfn.XLOOKUP(Assessment!#REF!,Inherited!A:A,Inherited!B:B))/100)*(_xlfn.XLOOKUP(Assessment!#REF!,Inherited!A:A,Inherited!E:E)))+(((100-(_xlfn.XLOOKUP(Assessment!#REF!,Inherited!A:A,Inherited!B:B)))/100)*IF(Z132="1.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(100%)","100"))))))&lt;=10,"0", IF(AND((((_xlfn.XLOOKUP(Assessment!#REF!,Inherited!A:A,Inherited!B:B))/100)*(_xlfn.XLOOKUP(Assessment!#REF!,Inherited!A:A,Inherited!E:E)))+(((100-(_xlfn.XLOOKUP(Assessment!#REF!,Inherited!A:A,Inherited!B:B)))/100)*IF(Z132="1.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(100%)","100"))))))&gt;=11,(((_xlfn.XLOOKUP(Assessment!#REF!,Inherited!A:A,Inherited!B:B))/100)*(_xlfn.XLOOKUP(Assessment!#REF!,Inherited!A:A,Inherited!E:E)))+(((100-(_xlfn.XLOOKUP(Assessment!#REF!,Inherited!A:A,Inherited!B:B)))/100)*IF(Z132="1.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(100%)","100"))))))&lt;=32),"25",IF(AND((((_xlfn.XLOOKUP(Assessment!#REF!,Inherited!A:A,Inherited!B:B))/100)*(_xlfn.XLOOKUP(Assessment!#REF!,Inherited!A:A,Inherited!E:E)))+(((100-(_xlfn.XLOOKUP(Assessment!#REF!,Inherited!A:A,Inherited!B:B)))/100)*IF(Z132="1.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(100%)","100"))))))&gt;=33,(((_xlfn.XLOOKUP(Assessment!#REF!,Inherited!A:A,Inherited!B:B))/100)*(_xlfn.XLOOKUP(Assessment!#REF!,Inherited!A:A,Inherited!E:E)))+(((100-(_xlfn.XLOOKUP(Assessment!#REF!,Inherited!A:A,Inherited!B:B)))/100)*IF(Z132="1.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(100%)","100"))))))&lt;=65),"50",IF(AND((((_xlfn.XLOOKUP(Assessment!#REF!,Inherited!A:A,Inherited!B:B))/100)*(_xlfn.XLOOKUP(Assessment!#REF!,Inherited!A:A,Inherited!E:E)))+(((100-(_xlfn.XLOOKUP(Assessment!#REF!,Inherited!A:A,Inherited!B:B)))/100)*IF(Z132="1.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(100%)","100"))))))&gt;=66,(((_xlfn.XLOOKUP(Assessment!#REF!,Inherited!A:A,Inherited!B:B))/100)*(_xlfn.XLOOKUP(Assessment!#REF!,Inherited!A:A,Inherited!E:E)))+(((100-(_xlfn.XLOOKUP(Assessment!#REF!,Inherited!A:A,Inherited!B:B)))/100)*IF(Z132="1.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(100%)","100"))))))&lt;=89),"75",IF((((_xlfn.XLOOKUP(Assessment!#REF!,Inherited!A:A,Inherited!B:B))/100)*(_xlfn.XLOOKUP(Assessment!#REF!,Inherited!A:A,Inherited!E:E)))+(((100-(_xlfn.XLOOKUP(Assessment!#REF!,Inherited!A:A,Inherited!B:B)))/100)*IF(Z132="1. Non Compliant (0%)","0",IF(Z132="2. Somewhat Compliant (25%)","25",IF(Z132="3. Partially Compliant (50%)","50",IF(Z132="4. Mostly Compliant (75%)","75",IF(Z132="5. Fully Compliant (100%)","100"))))))&gt;=90,"100"))))))</f>
        <v>#N/A</v>
      </c>
      <c r="T132" s="1" t="e">
        <f>IF(MATCH(H132,Inherited!A:A),IF((((_xlfn.XLOOKUP(Assessment!#REF!,Inherited!A:A,Inherited!B:B))/100)*(_xlfn.XLOOKUP(Assessment!#REF!,Inherited!A:A,Inherited!F:F)))+(((100-(_xlfn.XLOOKUP(Assessment!#REF!,Inherited!A:A,Inherited!B:B)))/100)*IF(AA132="1.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(100%)","100"))))))&lt;=10,"0", IF(AND((((_xlfn.XLOOKUP(Assessment!#REF!,Inherited!A:A,Inherited!B:B))/100)*(_xlfn.XLOOKUP(Assessment!#REF!,Inherited!A:A,Inherited!F:F)))+(((100-(_xlfn.XLOOKUP(Assessment!#REF!,Inherited!A:A,Inherited!B:B)))/100)*IF(AA132="1.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(100%)","100"))))))&gt;=11,(((_xlfn.XLOOKUP(Assessment!#REF!,Inherited!A:A,Inherited!B:B))/100)*(_xlfn.XLOOKUP(Assessment!#REF!,Inherited!A:A,Inherited!F:F)))+(((100-(_xlfn.XLOOKUP(Assessment!#REF!,Inherited!A:A,Inherited!B:B)))/100)*IF(AA132="1.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(100%)","100"))))))&lt;=32),"25",IF(AND((((_xlfn.XLOOKUP(Assessment!#REF!,Inherited!A:A,Inherited!B:B))/100)*(_xlfn.XLOOKUP(Assessment!#REF!,Inherited!A:A,Inherited!F:F)))+(((100-(_xlfn.XLOOKUP(Assessment!#REF!,Inherited!A:A,Inherited!B:B)))/100)*IF(AA132="1.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(100%)","100"))))))&gt;=33,(((_xlfn.XLOOKUP(Assessment!#REF!,Inherited!A:A,Inherited!B:B))/100)*(_xlfn.XLOOKUP(Assessment!#REF!,Inherited!A:A,Inherited!F:F)))+(((100-(_xlfn.XLOOKUP(Assessment!#REF!,Inherited!A:A,Inherited!B:B)))/100)*IF(AA132="1.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(100%)","100"))))))&lt;=65),"50",IF(AND((((_xlfn.XLOOKUP(Assessment!#REF!,Inherited!A:A,Inherited!B:B))/100)*(_xlfn.XLOOKUP(Assessment!#REF!,Inherited!A:A,Inherited!F:F)))+(((100-(_xlfn.XLOOKUP(Assessment!#REF!,Inherited!A:A,Inherited!B:B)))/100)*IF(AA132="1.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(100%)","100"))))))&gt;=66,(((_xlfn.XLOOKUP(Assessment!#REF!,Inherited!A:A,Inherited!B:B))/100)*(_xlfn.XLOOKUP(Assessment!#REF!,Inherited!A:A,Inherited!F:F)))+(((100-(_xlfn.XLOOKUP(Assessment!#REF!,Inherited!A:A,Inherited!B:B)))/100)*IF(AA132="1.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(100%)","100"))))))&lt;=89),"75",IF((((_xlfn.XLOOKUP(Assessment!#REF!,Inherited!A:A,Inherited!B:B))/100)*(_xlfn.XLOOKUP(Assessment!#REF!,Inherited!A:A,Inherited!F:F)))+(((100-(_xlfn.XLOOKUP(Assessment!#REF!,Inherited!A:A,Inherited!B:B)))/100)*IF(AA132="1. Non Compliant (0%)","0",IF(AA132="2. Somewhat Compliant (25%)","25",IF(AA132="3. Partially Compliant (50%)","50",IF(AA132="4. Mostly Compliant (75%)","75",IF(AA132="5. Fully Compliant (100%)","100"))))))&gt;=90,"100"))))))</f>
        <v>#N/A</v>
      </c>
      <c r="U132" s="1" t="e">
        <f>IF(MATCH(H132,Inherited!A:A),IF((((_xlfn.XLOOKUP(Assessment!#REF!,Inherited!A:A,Inherited!B:B))/100)*(_xlfn.XLOOKUP(Assessment!#REF!,Inherited!A:A,Inherited!G:G)))+(((100-(_xlfn.XLOOKUP(Assessment!#REF!,Inherited!A:A,Inherited!B:B)))/100)*IF(AB132="1.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(100%)","100"))))))&lt;=10,"0", IF(AND((((_xlfn.XLOOKUP(Assessment!#REF!,Inherited!A:A,Inherited!B:B))/100)*(_xlfn.XLOOKUP(Assessment!#REF!,Inherited!A:A,Inherited!G:G)))+(((100-(_xlfn.XLOOKUP(Assessment!#REF!,Inherited!A:A,Inherited!B:B)))/100)*IF(AB132="1.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(100%)","100"))))))&gt;=11,(((_xlfn.XLOOKUP(Assessment!#REF!,Inherited!A:A,Inherited!B:B))/100)*(_xlfn.XLOOKUP(Assessment!#REF!,Inherited!A:A,Inherited!G:G)))+(((100-(_xlfn.XLOOKUP(Assessment!#REF!,Inherited!A:A,Inherited!B:B)))/100)*IF(AB132="1.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(100%)","100"))))))&lt;=32),"25",IF(AND((((_xlfn.XLOOKUP(Assessment!#REF!,Inherited!A:A,Inherited!B:B))/100)*(_xlfn.XLOOKUP(Assessment!#REF!,Inherited!A:A,Inherited!G:G)))+(((100-(_xlfn.XLOOKUP(Assessment!#REF!,Inherited!A:A,Inherited!B:B)))/100)*IF(AB132="1.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(100%)","100"))))))&gt;=33,(((_xlfn.XLOOKUP(Assessment!#REF!,Inherited!A:A,Inherited!B:B))/100)*(_xlfn.XLOOKUP(Assessment!#REF!,Inherited!A:A,Inherited!G:G)))+(((100-(_xlfn.XLOOKUP(Assessment!#REF!,Inherited!A:A,Inherited!B:B)))/100)*IF(AB132="1.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(100%)","100"))))))&lt;=65),"50",IF(AND((((_xlfn.XLOOKUP(Assessment!#REF!,Inherited!A:A,Inherited!B:B))/100)*(_xlfn.XLOOKUP(Assessment!#REF!,Inherited!A:A,Inherited!G:G)))+(((100-(_xlfn.XLOOKUP(Assessment!#REF!,Inherited!A:A,Inherited!B:B)))/100)*IF(AB132="1.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(100%)","100"))))))&gt;=66,(((_xlfn.XLOOKUP(Assessment!#REF!,Inherited!A:A,Inherited!B:B))/100)*(_xlfn.XLOOKUP(Assessment!#REF!,Inherited!A:A,Inherited!G:G)))+(((100-(_xlfn.XLOOKUP(Assessment!#REF!,Inherited!A:A,Inherited!B:B)))/100)*IF(AB132="1.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(100%)","100"))))))&lt;=89),"75",IF((((_xlfn.XLOOKUP(Assessment!#REF!,Inherited!A:A,Inherited!B:B))/100)*(_xlfn.XLOOKUP(Assessment!#REF!,Inherited!A:A,Inherited!G:G)))+(((100-(_xlfn.XLOOKUP(Assessment!#REF!,Inherited!A:A,Inherited!B:B)))/100)*IF(AB132="1. Non Compliant (0%)","0",IF(AB132="2. Somewhat Compliant (25%)","25",IF(AB132="3. Partially Compliant (50%)","50",IF(AB132="4. Mostly Compliant (75%)","75",IF(AB132="5. Fully Compliant (100%)","100"))))))&gt;=90,"100"))))))</f>
        <v>#N/A</v>
      </c>
      <c r="V132" s="55" t="s">
        <v>85</v>
      </c>
      <c r="W132" s="55"/>
      <c r="X132" s="55"/>
      <c r="Y132" s="55"/>
      <c r="Z132" s="55" t="s">
        <v>10873</v>
      </c>
      <c r="AA132" s="55"/>
      <c r="AB132" s="55"/>
      <c r="AP132" s="1" t="s">
        <v>11166</v>
      </c>
      <c r="AX132" s="3" t="str">
        <f>_xlfn.CONCAT("A-LIGN finished its review of this control on ",AR132, " during the scheduled fieldwork window (",Intro!$B$4,")."&amp; CHAR(10)&amp; CHAR(10))</f>
        <v xml:space="preserve">A-LIGN finished its review of this control on  during the scheduled fieldwork window (Fieldwork: xx/xx/xxxx - xx/xx/xxxx).
</v>
      </c>
      <c r="AY132" s="3" t="str">
        <f t="shared" ref="AY132:AY133" si="301">IF(AQ132&lt;&gt;"",(_xlfn.CONCAT("Inheritance note: "&amp; CHAR(10),AQ132&amp; CHAR(10)&amp; CHAR(10))),"")</f>
        <v/>
      </c>
      <c r="AZ132" s="3" t="str">
        <f t="shared" ref="AZ132:AZ133" si="302">IFERROR(IF(AD132&lt;&gt;"",_xlfn.CONCAT("Examined the following policy during fieldwork:"&amp; CHAR(10),AD132&amp; CHAR(10)&amp; CHAR(10),IF(AND(X132&lt;&gt;"5. Fully Compliant (100%)",AE132&lt;&gt;""),"Reviewed policy exception note:"&amp; CHAR(10) &amp; AE132 &amp; CHAR(10) &amp; CHAR(10),"")),""),"")</f>
        <v/>
      </c>
      <c r="BA132" s="3" t="str">
        <f t="shared" ref="BA132:BA133" si="303">IFERROR(IF(AH132&lt;&gt;"",_xlfn.CONCAT("Examined the following process during fieldwork:"&amp; CHAR(10),AH132&amp; CHAR(10)&amp; CHAR(10),IF(AND(Y132&lt;&gt;"5. Fully Compliant (100%)",AI132&lt;&gt;""),"Reviewed process exception note:"&amp; CHAR(10) &amp; AI132 &amp; CHAR(10) &amp; CHAR(10),"")),""),"")</f>
        <v/>
      </c>
      <c r="BB132" s="3" t="str">
        <f t="shared" ref="BB132:BB133" si="304">IF(AK132&lt;&gt;"",(_xlfn.CONCAT("Inquired of the following workforce member: "&amp; CHAR(10),AK132&amp; CHAR(10)&amp; CHAR(10),"Inquiry lead to the following conclusions: "&amp; CHAR(10),AL132&amp; CHAR(10) &amp; CHAR(10))),"")</f>
        <v/>
      </c>
      <c r="BC132" s="3" t="str">
        <f t="shared" ref="BC132:BC133" si="305">IF(AM132&lt;&gt;"",(_xlfn.CONCAT("Observed the following live during fieldwork: "&amp; CHAR(10),AM132&amp; CHAR(10) &amp; CHAR(10))),"")</f>
        <v/>
      </c>
      <c r="BD132" s="3" t="str">
        <f t="shared" ref="BD132:BD133" si="306">_xlfn.CONCAT("Examined the following evidence during fieldwork:"&amp; CHAR(10),AN132&amp; CHAR(10)&amp; CHAR(10),IF(AO132&lt;&gt;"","Reviewed evidence note:"&amp; CHAR(10)&amp;AO132&amp; CHAR(10) &amp; CHAR(10),"Reviewed evidence addressed the requirement statement."&amp; CHAR(10) &amp; CHAR(10)),IF(AND(AP132&lt;&gt;"5. Fully Compliant (100%)",AP132&lt;&gt;""),"Reviewed evidence exception note: "&amp; CHAR(10) &amp; AP132 &amp; CHAR(10) &amp; CHAR(10),""))</f>
        <v xml:space="preserve">Examined the following evidence during fieldwork:
Reviewed evidence addressed the requirement statement.
Reviewed evidence exception note: 
Gap: A-LIGN was unable to gain assurance that sufficient storage capacity has been configured/allocated.
Recommendation: Management should ensure that in-scope tools (Entra/Google) are configured to ensure current and future capacity planning is in place.
</v>
      </c>
      <c r="BE132" s="3" t="str">
        <f t="shared" ref="BE132:BE133" si="307">IF(AT132&lt;&gt;"",(_xlfn.CONCAT("Examined the following measure/metric during fieldwork:"&amp; CHAR(10),AT132&amp; CHAR(10)&amp; CHAR(10),"Reviewed measure/metric note:"&amp; CHAR(10),AU132 &amp; CHAR(10) &amp; CHAR(10))),"")</f>
        <v/>
      </c>
      <c r="BF132" s="3" t="str">
        <f t="shared" ref="BF132:BF133" si="308">IF(AV132&lt;&gt;"",(_xlfn.CONCAT("Examined the following measure/metric management during fieldwork:"&amp; CHAR(10),AV132&amp; CHAR(10)&amp; CHAR(10),"Reviewed measure/metric management note:"&amp; CHAR(10),AW132 &amp; CHAR(10) &amp; CHAR(10))),"")</f>
        <v/>
      </c>
      <c r="BG132" s="3" t="str">
        <f>_xlfn.CONCAT((IF((COUNTIF('Sample Tables'!B:B,"Test 177: Information System (system component)")&gt;0)=TRUE,_xlfn.CONCAT("Sample test results are documented in ",'Sample Tables'!B1943," [",'Sample Tables'!B1944,", ",'Sample Tables'!B1945,", ",'Sample Tables'!B1946,", ",'Sample Tables'!B1947,", ",'Sample Tables'!B1948,"]."&amp;CHAR(10)),IF((COUNTIF('Sample Tables'!B:B,"Test 177: Information System (system component)")&gt;0)=FALSE,""))),)</f>
        <v xml:space="preserve">Sample test results are documented in Test 177: Information System (system component) [Population Source/Tool: , Population Date Range: , Population Size: , Sample Methodology: , Sample Size: ].
</v>
      </c>
      <c r="BH132" s="3" t="str">
        <f t="shared" ref="BH132:BH133" si="309">IF(V132="No","Not Applicable: "&amp;W132,(_xlfn.CONCAT(AX132,AY132,AZ132,BA132,BB132,BC132,BD132,BE132,BF132,BG132)))</f>
        <v xml:space="preserve">A-LIGN finished its review of this control on  during the scheduled fieldwork window (Fieldwork: xx/xx/xxxx - xx/xx/xxxx).
Examined the following evidence during fieldwork:
Reviewed evidence addressed the requirement statement.
Reviewed evidence exception note: 
Gap: A-LIGN was unable to gain assurance that sufficient storage capacity has been configured/allocated.
Recommendation: Management should ensure that in-scope tools (Entra/Google) are configured to ensure current and future capacity planning is in place.
Sample test results are documented in Test 177: Information System (system component) [Population Source/Tool: , Population Date Range: , Population Size: , Sample Methodology: , Sample Size: ].
</v>
      </c>
    </row>
    <row r="133" spans="3:60" ht="325" x14ac:dyDescent="0.35">
      <c r="C133" s="1">
        <f t="shared" si="300"/>
        <v>0</v>
      </c>
      <c r="D133" s="5" t="str">
        <f>IF(AND((_xlfn.XLOOKUP(J133,'Fields &amp; Revisions'!$H:$H,'Fields &amp; Revisions'!$I:$I))&lt;70.99,(OR(Z133="4. Mostly Compliant (75%)",Z133="3. Partially Compliant (50%)",Z133="2. Somewhat Compliant (25%)",Z133="1. Non Compliant (0%)"))),"Yes","No")</f>
        <v>No</v>
      </c>
      <c r="E133" s="5" t="str">
        <f>IF(ISERROR(VLOOKUP(H133,Scope!A:A,1,FALSE)),"No","Yes")</f>
        <v>Yes</v>
      </c>
      <c r="F133" s="1" t="s">
        <v>4382</v>
      </c>
      <c r="G133" s="53" t="s">
        <v>4542</v>
      </c>
      <c r="H133" s="53" t="s">
        <v>4543</v>
      </c>
      <c r="I133" s="5">
        <v>1</v>
      </c>
      <c r="J133" s="1" t="s">
        <v>4544</v>
      </c>
      <c r="K133" s="1" t="s">
        <v>4545</v>
      </c>
      <c r="L133" s="1" t="s">
        <v>4546</v>
      </c>
      <c r="M133" s="1" t="s">
        <v>4547</v>
      </c>
      <c r="N133" s="5" t="s">
        <v>98</v>
      </c>
      <c r="O133" s="1" t="str">
        <f>_xlfn.XLOOKUP(G133,SRMs!$A:$A,SRMs!$D:$D)</f>
        <v>PARTIAL INHERITANCE</v>
      </c>
      <c r="P133" s="1" t="str">
        <f>IFERROR(VLOOKUP(H133,Inherited!A:B,2,FALSE),"")</f>
        <v/>
      </c>
      <c r="Q133" s="1" t="e">
        <f>IF(MATCH(H133,Inherited!A:A),IF((((_xlfn.XLOOKUP(Assessment!#REF!,Inherited!A:A,Inherited!B:B))/100)*(_xlfn.XLOOKUP(Assessment!#REF!,Inherited!A:A,Inherited!C:C)))+(((100-(_xlfn.XLOOKUP(Assessment!#REF!,Inherited!A:A,Inherited!B:B)))/100)*IF(X133="1.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(100%)","100"))))))&lt;=10,"0", IF(AND((((_xlfn.XLOOKUP(Assessment!#REF!,Inherited!A:A,Inherited!B:B))/100)*(_xlfn.XLOOKUP(Assessment!#REF!,Inherited!A:A,Inherited!C:C)))+(((100-(_xlfn.XLOOKUP(Assessment!#REF!,Inherited!A:A,Inherited!B:B)))/100)*IF(X133="1.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(100%)","100"))))))&gt;=11,(((_xlfn.XLOOKUP(Assessment!#REF!,Inherited!A:A,Inherited!B:B))/100)*(_xlfn.XLOOKUP(Assessment!#REF!,Inherited!A:A,Inherited!C:C)))+(((100-(_xlfn.XLOOKUP(Assessment!#REF!,Inherited!A:A,Inherited!B:B)))/100)*IF(X133="1.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(100%)","100"))))))&lt;=32),"25",IF(AND((((_xlfn.XLOOKUP(Assessment!#REF!,Inherited!A:A,Inherited!B:B))/100)*(_xlfn.XLOOKUP(Assessment!#REF!,Inherited!A:A,Inherited!C:C)))+(((100-(_xlfn.XLOOKUP(Assessment!#REF!,Inherited!A:A,Inherited!B:B)))/100)*IF(X133="1.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(100%)","100"))))))&gt;=33,(((_xlfn.XLOOKUP(Assessment!#REF!,Inherited!A:A,Inherited!B:B))/100)*(_xlfn.XLOOKUP(Assessment!#REF!,Inherited!A:A,Inherited!C:C)))+(((100-(_xlfn.XLOOKUP(Assessment!#REF!,Inherited!A:A,Inherited!B:B)))/100)*IF(X133="1.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(100%)","100"))))))&lt;=65),"50",IF(AND((((_xlfn.XLOOKUP(Assessment!#REF!,Inherited!A:A,Inherited!B:B))/100)*(_xlfn.XLOOKUP(Assessment!#REF!,Inherited!A:A,Inherited!C:C)))+(((100-(_xlfn.XLOOKUP(Assessment!#REF!,Inherited!A:A,Inherited!B:B)))/100)*IF(X133="1.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(100%)","100"))))))&gt;=66,(((_xlfn.XLOOKUP(Assessment!#REF!,Inherited!A:A,Inherited!B:B))/100)*(_xlfn.XLOOKUP(Assessment!#REF!,Inherited!A:A,Inherited!C:C)))+(((100-(_xlfn.XLOOKUP(Assessment!#REF!,Inherited!A:A,Inherited!B:B)))/100)*IF(X133="1.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(100%)","100"))))))&lt;=89),"75",IF((((_xlfn.XLOOKUP(Assessment!#REF!,Inherited!A:A,Inherited!B:B))/100)*(_xlfn.XLOOKUP(Assessment!#REF!,Inherited!A:A,Inherited!C:C)))+(((100-(_xlfn.XLOOKUP(Assessment!#REF!,Inherited!A:A,Inherited!B:B)))/100)*IF(X133="1. Non Compliant (0%)","0",IF(X133="2. Somewhat Compliant (25%)","25",IF(X133="3. Partially Compliant (50%)","50",IF(X133="4. Mostly Compliant (75%)","75",IF(X133="5. Fully Compliant (100%)","100"))))))&gt;=90,"100"))))))</f>
        <v>#N/A</v>
      </c>
      <c r="R133" s="1" t="e">
        <f>IF(MATCH(H133,Inherited!A:A),IF((((_xlfn.XLOOKUP(Assessment!#REF!,Inherited!A:A,Inherited!B:B))/100)*(_xlfn.XLOOKUP(Assessment!#REF!,Inherited!A:A,Inherited!D:D)))+(((100-(_xlfn.XLOOKUP(Assessment!#REF!,Inherited!A:A,Inherited!B:B)))/100)*IF(Y133="1.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(100%)","100"))))))&lt;=10,"0", IF(AND((((_xlfn.XLOOKUP(Assessment!#REF!,Inherited!A:A,Inherited!B:B))/100)*(_xlfn.XLOOKUP(Assessment!#REF!,Inherited!A:A,Inherited!D:D)))+(((100-(_xlfn.XLOOKUP(Assessment!#REF!,Inherited!A:A,Inherited!B:B)))/100)*IF(Y133="1.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(100%)","100"))))))&gt;=11,(((_xlfn.XLOOKUP(Assessment!#REF!,Inherited!A:A,Inherited!B:B))/100)*(_xlfn.XLOOKUP(Assessment!#REF!,Inherited!A:A,Inherited!D:D)))+(((100-(_xlfn.XLOOKUP(Assessment!#REF!,Inherited!A:A,Inherited!B:B)))/100)*IF(Y133="1.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(100%)","100"))))))&lt;=32),"25",IF(AND((((_xlfn.XLOOKUP(Assessment!#REF!,Inherited!A:A,Inherited!B:B))/100)*(_xlfn.XLOOKUP(Assessment!#REF!,Inherited!A:A,Inherited!D:D)))+(((100-(_xlfn.XLOOKUP(Assessment!#REF!,Inherited!A:A,Inherited!B:B)))/100)*IF(Y133="1.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(100%)","100"))))))&gt;=33,(((_xlfn.XLOOKUP(Assessment!#REF!,Inherited!A:A,Inherited!B:B))/100)*(_xlfn.XLOOKUP(Assessment!#REF!,Inherited!A:A,Inherited!D:D)))+(((100-(_xlfn.XLOOKUP(Assessment!#REF!,Inherited!A:A,Inherited!B:B)))/100)*IF(Y133="1.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(100%)","100"))))))&lt;=65),"50",IF(AND((((_xlfn.XLOOKUP(Assessment!#REF!,Inherited!A:A,Inherited!B:B))/100)*(_xlfn.XLOOKUP(Assessment!#REF!,Inherited!A:A,Inherited!D:D)))+(((100-(_xlfn.XLOOKUP(Assessment!#REF!,Inherited!A:A,Inherited!B:B)))/100)*IF(Y133="1.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(100%)","100"))))))&gt;=66,(((_xlfn.XLOOKUP(Assessment!#REF!,Inherited!A:A,Inherited!B:B))/100)*(_xlfn.XLOOKUP(Assessment!#REF!,Inherited!A:A,Inherited!D:D)))+(((100-(_xlfn.XLOOKUP(Assessment!#REF!,Inherited!A:A,Inherited!B:B)))/100)*IF(Y133="1.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(100%)","100"))))))&lt;=89),"75",IF((((_xlfn.XLOOKUP(Assessment!#REF!,Inherited!A:A,Inherited!B:B))/100)*(_xlfn.XLOOKUP(Assessment!#REF!,Inherited!A:A,Inherited!D:D)))+(((100-(_xlfn.XLOOKUP(Assessment!#REF!,Inherited!A:A,Inherited!B:B)))/100)*IF(Y133="1. Non Compliant (0%)","0",IF(Y133="2. Somewhat Compliant (25%)","25",IF(Y133="3. Partially Compliant (50%)","50",IF(Y133="4. Mostly Compliant (75%)","75",IF(Y133="5. Fully Compliant (100%)","100"))))))&gt;=90,"100"))))))</f>
        <v>#N/A</v>
      </c>
      <c r="S133" s="1" t="e">
        <f>IF(MATCH(H133,Inherited!A:A),IF((((_xlfn.XLOOKUP(Assessment!#REF!,Inherited!A:A,Inherited!B:B))/100)*(_xlfn.XLOOKUP(Assessment!#REF!,Inherited!A:A,Inherited!E:E)))+(((100-(_xlfn.XLOOKUP(Assessment!#REF!,Inherited!A:A,Inherited!B:B)))/100)*IF(Z133="1.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(100%)","100"))))))&lt;=10,"0", IF(AND((((_xlfn.XLOOKUP(Assessment!#REF!,Inherited!A:A,Inherited!B:B))/100)*(_xlfn.XLOOKUP(Assessment!#REF!,Inherited!A:A,Inherited!E:E)))+(((100-(_xlfn.XLOOKUP(Assessment!#REF!,Inherited!A:A,Inherited!B:B)))/100)*IF(Z133="1.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(100%)","100"))))))&gt;=11,(((_xlfn.XLOOKUP(Assessment!#REF!,Inherited!A:A,Inherited!B:B))/100)*(_xlfn.XLOOKUP(Assessment!#REF!,Inherited!A:A,Inherited!E:E)))+(((100-(_xlfn.XLOOKUP(Assessment!#REF!,Inherited!A:A,Inherited!B:B)))/100)*IF(Z133="1.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(100%)","100"))))))&lt;=32),"25",IF(AND((((_xlfn.XLOOKUP(Assessment!#REF!,Inherited!A:A,Inherited!B:B))/100)*(_xlfn.XLOOKUP(Assessment!#REF!,Inherited!A:A,Inherited!E:E)))+(((100-(_xlfn.XLOOKUP(Assessment!#REF!,Inherited!A:A,Inherited!B:B)))/100)*IF(Z133="1.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(100%)","100"))))))&gt;=33,(((_xlfn.XLOOKUP(Assessment!#REF!,Inherited!A:A,Inherited!B:B))/100)*(_xlfn.XLOOKUP(Assessment!#REF!,Inherited!A:A,Inherited!E:E)))+(((100-(_xlfn.XLOOKUP(Assessment!#REF!,Inherited!A:A,Inherited!B:B)))/100)*IF(Z133="1.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(100%)","100"))))))&lt;=65),"50",IF(AND((((_xlfn.XLOOKUP(Assessment!#REF!,Inherited!A:A,Inherited!B:B))/100)*(_xlfn.XLOOKUP(Assessment!#REF!,Inherited!A:A,Inherited!E:E)))+(((100-(_xlfn.XLOOKUP(Assessment!#REF!,Inherited!A:A,Inherited!B:B)))/100)*IF(Z133="1.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(100%)","100"))))))&gt;=66,(((_xlfn.XLOOKUP(Assessment!#REF!,Inherited!A:A,Inherited!B:B))/100)*(_xlfn.XLOOKUP(Assessment!#REF!,Inherited!A:A,Inherited!E:E)))+(((100-(_xlfn.XLOOKUP(Assessment!#REF!,Inherited!A:A,Inherited!B:B)))/100)*IF(Z133="1.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(100%)","100"))))))&lt;=89),"75",IF((((_xlfn.XLOOKUP(Assessment!#REF!,Inherited!A:A,Inherited!B:B))/100)*(_xlfn.XLOOKUP(Assessment!#REF!,Inherited!A:A,Inherited!E:E)))+(((100-(_xlfn.XLOOKUP(Assessment!#REF!,Inherited!A:A,Inherited!B:B)))/100)*IF(Z133="1. Non Compliant (0%)","0",IF(Z133="2. Somewhat Compliant (25%)","25",IF(Z133="3. Partially Compliant (50%)","50",IF(Z133="4. Mostly Compliant (75%)","75",IF(Z133="5. Fully Compliant (100%)","100"))))))&gt;=90,"100"))))))</f>
        <v>#N/A</v>
      </c>
      <c r="T133" s="1" t="e">
        <f>IF(MATCH(H133,Inherited!A:A),IF((((_xlfn.XLOOKUP(Assessment!#REF!,Inherited!A:A,Inherited!B:B))/100)*(_xlfn.XLOOKUP(Assessment!#REF!,Inherited!A:A,Inherited!F:F)))+(((100-(_xlfn.XLOOKUP(Assessment!#REF!,Inherited!A:A,Inherited!B:B)))/100)*IF(AA133="1.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(100%)","100"))))))&lt;=10,"0", IF(AND((((_xlfn.XLOOKUP(Assessment!#REF!,Inherited!A:A,Inherited!B:B))/100)*(_xlfn.XLOOKUP(Assessment!#REF!,Inherited!A:A,Inherited!F:F)))+(((100-(_xlfn.XLOOKUP(Assessment!#REF!,Inherited!A:A,Inherited!B:B)))/100)*IF(AA133="1.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(100%)","100"))))))&gt;=11,(((_xlfn.XLOOKUP(Assessment!#REF!,Inherited!A:A,Inherited!B:B))/100)*(_xlfn.XLOOKUP(Assessment!#REF!,Inherited!A:A,Inherited!F:F)))+(((100-(_xlfn.XLOOKUP(Assessment!#REF!,Inherited!A:A,Inherited!B:B)))/100)*IF(AA133="1.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(100%)","100"))))))&lt;=32),"25",IF(AND((((_xlfn.XLOOKUP(Assessment!#REF!,Inherited!A:A,Inherited!B:B))/100)*(_xlfn.XLOOKUP(Assessment!#REF!,Inherited!A:A,Inherited!F:F)))+(((100-(_xlfn.XLOOKUP(Assessment!#REF!,Inherited!A:A,Inherited!B:B)))/100)*IF(AA133="1.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(100%)","100"))))))&gt;=33,(((_xlfn.XLOOKUP(Assessment!#REF!,Inherited!A:A,Inherited!B:B))/100)*(_xlfn.XLOOKUP(Assessment!#REF!,Inherited!A:A,Inherited!F:F)))+(((100-(_xlfn.XLOOKUP(Assessment!#REF!,Inherited!A:A,Inherited!B:B)))/100)*IF(AA133="1.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(100%)","100"))))))&lt;=65),"50",IF(AND((((_xlfn.XLOOKUP(Assessment!#REF!,Inherited!A:A,Inherited!B:B))/100)*(_xlfn.XLOOKUP(Assessment!#REF!,Inherited!A:A,Inherited!F:F)))+(((100-(_xlfn.XLOOKUP(Assessment!#REF!,Inherited!A:A,Inherited!B:B)))/100)*IF(AA133="1.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(100%)","100"))))))&gt;=66,(((_xlfn.XLOOKUP(Assessment!#REF!,Inherited!A:A,Inherited!B:B))/100)*(_xlfn.XLOOKUP(Assessment!#REF!,Inherited!A:A,Inherited!F:F)))+(((100-(_xlfn.XLOOKUP(Assessment!#REF!,Inherited!A:A,Inherited!B:B)))/100)*IF(AA133="1.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(100%)","100"))))))&lt;=89),"75",IF((((_xlfn.XLOOKUP(Assessment!#REF!,Inherited!A:A,Inherited!B:B))/100)*(_xlfn.XLOOKUP(Assessment!#REF!,Inherited!A:A,Inherited!F:F)))+(((100-(_xlfn.XLOOKUP(Assessment!#REF!,Inherited!A:A,Inherited!B:B)))/100)*IF(AA133="1. Non Compliant (0%)","0",IF(AA133="2. Somewhat Compliant (25%)","25",IF(AA133="3. Partially Compliant (50%)","50",IF(AA133="4. Mostly Compliant (75%)","75",IF(AA133="5. Fully Compliant (100%)","100"))))))&gt;=90,"100"))))))</f>
        <v>#N/A</v>
      </c>
      <c r="U133" s="1" t="e">
        <f>IF(MATCH(H133,Inherited!A:A),IF((((_xlfn.XLOOKUP(Assessment!#REF!,Inherited!A:A,Inherited!B:B))/100)*(_xlfn.XLOOKUP(Assessment!#REF!,Inherited!A:A,Inherited!G:G)))+(((100-(_xlfn.XLOOKUP(Assessment!#REF!,Inherited!A:A,Inherited!B:B)))/100)*IF(AB133="1.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(100%)","100"))))))&lt;=10,"0", IF(AND((((_xlfn.XLOOKUP(Assessment!#REF!,Inherited!A:A,Inherited!B:B))/100)*(_xlfn.XLOOKUP(Assessment!#REF!,Inherited!A:A,Inherited!G:G)))+(((100-(_xlfn.XLOOKUP(Assessment!#REF!,Inherited!A:A,Inherited!B:B)))/100)*IF(AB133="1.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(100%)","100"))))))&gt;=11,(((_xlfn.XLOOKUP(Assessment!#REF!,Inherited!A:A,Inherited!B:B))/100)*(_xlfn.XLOOKUP(Assessment!#REF!,Inherited!A:A,Inherited!G:G)))+(((100-(_xlfn.XLOOKUP(Assessment!#REF!,Inherited!A:A,Inherited!B:B)))/100)*IF(AB133="1.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(100%)","100"))))))&lt;=32),"25",IF(AND((((_xlfn.XLOOKUP(Assessment!#REF!,Inherited!A:A,Inherited!B:B))/100)*(_xlfn.XLOOKUP(Assessment!#REF!,Inherited!A:A,Inherited!G:G)))+(((100-(_xlfn.XLOOKUP(Assessment!#REF!,Inherited!A:A,Inherited!B:B)))/100)*IF(AB133="1.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(100%)","100"))))))&gt;=33,(((_xlfn.XLOOKUP(Assessment!#REF!,Inherited!A:A,Inherited!B:B))/100)*(_xlfn.XLOOKUP(Assessment!#REF!,Inherited!A:A,Inherited!G:G)))+(((100-(_xlfn.XLOOKUP(Assessment!#REF!,Inherited!A:A,Inherited!B:B)))/100)*IF(AB133="1.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(100%)","100"))))))&lt;=65),"50",IF(AND((((_xlfn.XLOOKUP(Assessment!#REF!,Inherited!A:A,Inherited!B:B))/100)*(_xlfn.XLOOKUP(Assessment!#REF!,Inherited!A:A,Inherited!G:G)))+(((100-(_xlfn.XLOOKUP(Assessment!#REF!,Inherited!A:A,Inherited!B:B)))/100)*IF(AB133="1.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(100%)","100"))))))&gt;=66,(((_xlfn.XLOOKUP(Assessment!#REF!,Inherited!A:A,Inherited!B:B))/100)*(_xlfn.XLOOKUP(Assessment!#REF!,Inherited!A:A,Inherited!G:G)))+(((100-(_xlfn.XLOOKUP(Assessment!#REF!,Inherited!A:A,Inherited!B:B)))/100)*IF(AB133="1.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(100%)","100"))))))&lt;=89),"75",IF((((_xlfn.XLOOKUP(Assessment!#REF!,Inherited!A:A,Inherited!B:B))/100)*(_xlfn.XLOOKUP(Assessment!#REF!,Inherited!A:A,Inherited!G:G)))+(((100-(_xlfn.XLOOKUP(Assessment!#REF!,Inherited!A:A,Inherited!B:B)))/100)*IF(AB133="1. Non Compliant (0%)","0",IF(AB133="2. Somewhat Compliant (25%)","25",IF(AB133="3. Partially Compliant (50%)","50",IF(AB133="4. Mostly Compliant (75%)","75",IF(AB133="5. Fully Compliant (100%)","100"))))))&gt;=90,"100"))))))</f>
        <v>#N/A</v>
      </c>
      <c r="V133" s="55" t="s">
        <v>85</v>
      </c>
      <c r="W133" s="55"/>
      <c r="X133" s="55"/>
      <c r="Y133" s="55"/>
      <c r="Z133" s="55"/>
      <c r="AA133" s="55"/>
      <c r="AB133" s="55"/>
      <c r="AX133" s="3" t="str">
        <f>_xlfn.CONCAT("A-LIGN finished its review of this control on ",AR133, " during the scheduled fieldwork window (",Intro!$B$4,")."&amp; CHAR(10)&amp; CHAR(10))</f>
        <v xml:space="preserve">A-LIGN finished its review of this control on  during the scheduled fieldwork window (Fieldwork: xx/xx/xxxx - xx/xx/xxxx).
</v>
      </c>
      <c r="AY133" s="3" t="str">
        <f t="shared" si="301"/>
        <v/>
      </c>
      <c r="AZ133" s="3" t="str">
        <f t="shared" si="302"/>
        <v/>
      </c>
      <c r="BA133" s="3" t="str">
        <f t="shared" si="303"/>
        <v/>
      </c>
      <c r="BB133" s="3" t="str">
        <f t="shared" si="304"/>
        <v/>
      </c>
      <c r="BC133" s="3" t="str">
        <f t="shared" si="305"/>
        <v/>
      </c>
      <c r="BD133" s="3" t="str">
        <f t="shared" si="306"/>
        <v xml:space="preserve">Examined the following evidence during fieldwork:
Reviewed evidence addressed the requirement statement.
</v>
      </c>
      <c r="BE133" s="3" t="str">
        <f t="shared" si="307"/>
        <v/>
      </c>
      <c r="BF133" s="3" t="str">
        <f t="shared" si="308"/>
        <v/>
      </c>
      <c r="BG133" s="3" t="str">
        <f>_xlfn.CONCAT((IF((COUNTIF('Sample Tables'!B:B,"")&gt;0)=TRUE,_xlfn.CONCAT("",""),IF((COUNTIF('Sample Tables'!B:B,"")&gt;0)=FALSE,""))),)</f>
        <v/>
      </c>
      <c r="BH133" s="3" t="str">
        <f t="shared" si="309"/>
        <v xml:space="preserve">A-LIGN finished its review of this control on  during the scheduled fieldwork window (Fieldwork: xx/xx/xxxx - xx/xx/xxxx).
Examined the following evidence during fieldwork:
Reviewed evidence addressed the requirement statement.
</v>
      </c>
    </row>
    <row r="134" spans="3:60" ht="237.5" x14ac:dyDescent="0.35">
      <c r="C134" s="1">
        <f t="shared" ref="C134:C150" si="310">IF(V134="No","Not Applicable",(IF(X134="1. Non Compliant (0%)","0",IF(X134="2. Somewhat Compliant (25%)","25",IF(X134="3. Partially Compliant (50%)","50",IF(X134="4. Mostly Compliant (75%)","75",IF(X134="5. Fully Compliant (100%)","100")))))*0.15)+((IF(Y134="1. Non Compliant (0%)","0",IF(Y134="2. Somewhat Compliant (25%)","25",IF(Y134="3. Partially Compliant (50%)","50",IF(Y134="4. Mostly Compliant (75%)","75",IF(Y134="5. Fully Compliant (100%)","100"))))))*0.2)+(IF(Z134="1. Non Compliant (0%)","0",IF(Z134="2. Somewhat Compliant (25%)","25",IF(Z134="3. Partially Compliant (50%)","50",IF(Z134="4. Mostly Compliant (75%)","75",IF(Z134="5. Fully Compliant (100%)","100")))))*0.4)+(IF(AA134="1. Non Compliant (0%)","0",IF(AA134="2. Somewhat Compliant (25%)","25",IF(AA134="3. Partially Compliant (50%)","50",IF(AA134="4. Mostly Compliant (75%)","75",IF(AA134="5. Fully Compliant (100%)","100")))))*0.1)+(IF(AB134="1. Non Compliant (0%)","0",IF(AB134="2. Somewhat Compliant (25%)","25",IF(AB134="3. Partially Compliant (50%)","50",IF(AB134="4. Mostly Compliant (75%)","75",IF(AB134="5. Fully Compliant (100%)","100")))))*0.15))</f>
        <v>0</v>
      </c>
      <c r="D134" s="5" t="str">
        <f>IF(AND((_xlfn.XLOOKUP(J134,'Fields &amp; Revisions'!$H:$H,'Fields &amp; Revisions'!$I:$I))&lt;70.99,(OR(Z134="4. Mostly Compliant (75%)",Z134="3. Partially Compliant (50%)",Z134="2. Somewhat Compliant (25%)",Z134="1. Non Compliant (0%)"))),"Yes","No")</f>
        <v>No</v>
      </c>
      <c r="E134" s="5" t="str">
        <f>IF(ISERROR(VLOOKUP(H134,Scope!A:A,1,FALSE)),"No","Yes")</f>
        <v>Yes</v>
      </c>
      <c r="F134" s="1" t="s">
        <v>4382</v>
      </c>
      <c r="G134" s="53" t="s">
        <v>4621</v>
      </c>
      <c r="H134" s="53" t="s">
        <v>4622</v>
      </c>
      <c r="I134" s="5">
        <v>1</v>
      </c>
      <c r="J134" s="1" t="s">
        <v>4133</v>
      </c>
      <c r="K134" s="1" t="s">
        <v>4623</v>
      </c>
      <c r="L134" s="1" t="s">
        <v>4624</v>
      </c>
      <c r="M134" s="1" t="s">
        <v>4618</v>
      </c>
      <c r="N134" s="5" t="s">
        <v>85</v>
      </c>
      <c r="O134" s="1" t="str">
        <f>_xlfn.XLOOKUP(G134,SRMs!$A:$A,SRMs!$D:$D)</f>
        <v>NO INHERITANCE</v>
      </c>
      <c r="P134" s="1" t="str">
        <f>IFERROR(VLOOKUP(H134,Inherited!A:B,2,FALSE),"")</f>
        <v/>
      </c>
      <c r="Q134" s="1" t="e">
        <f>IF(MATCH(H134,Inherited!A:A),IF((((_xlfn.XLOOKUP(Assessment!#REF!,Inherited!A:A,Inherited!B:B))/100)*(_xlfn.XLOOKUP(Assessment!#REF!,Inherited!A:A,Inherited!C:C)))+(((100-(_xlfn.XLOOKUP(Assessment!#REF!,Inherited!A:A,Inherited!B:B)))/100)*IF(X134="1.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(100%)","100"))))))&lt;=10,"0", IF(AND((((_xlfn.XLOOKUP(Assessment!#REF!,Inherited!A:A,Inherited!B:B))/100)*(_xlfn.XLOOKUP(Assessment!#REF!,Inherited!A:A,Inherited!C:C)))+(((100-(_xlfn.XLOOKUP(Assessment!#REF!,Inherited!A:A,Inherited!B:B)))/100)*IF(X134="1.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(100%)","100"))))))&gt;=11,(((_xlfn.XLOOKUP(Assessment!#REF!,Inherited!A:A,Inherited!B:B))/100)*(_xlfn.XLOOKUP(Assessment!#REF!,Inherited!A:A,Inherited!C:C)))+(((100-(_xlfn.XLOOKUP(Assessment!#REF!,Inherited!A:A,Inherited!B:B)))/100)*IF(X134="1.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(100%)","100"))))))&lt;=32),"25",IF(AND((((_xlfn.XLOOKUP(Assessment!#REF!,Inherited!A:A,Inherited!B:B))/100)*(_xlfn.XLOOKUP(Assessment!#REF!,Inherited!A:A,Inherited!C:C)))+(((100-(_xlfn.XLOOKUP(Assessment!#REF!,Inherited!A:A,Inherited!B:B)))/100)*IF(X134="1.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(100%)","100"))))))&gt;=33,(((_xlfn.XLOOKUP(Assessment!#REF!,Inherited!A:A,Inherited!B:B))/100)*(_xlfn.XLOOKUP(Assessment!#REF!,Inherited!A:A,Inherited!C:C)))+(((100-(_xlfn.XLOOKUP(Assessment!#REF!,Inherited!A:A,Inherited!B:B)))/100)*IF(X134="1.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(100%)","100"))))))&lt;=65),"50",IF(AND((((_xlfn.XLOOKUP(Assessment!#REF!,Inherited!A:A,Inherited!B:B))/100)*(_xlfn.XLOOKUP(Assessment!#REF!,Inherited!A:A,Inherited!C:C)))+(((100-(_xlfn.XLOOKUP(Assessment!#REF!,Inherited!A:A,Inherited!B:B)))/100)*IF(X134="1.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(100%)","100"))))))&gt;=66,(((_xlfn.XLOOKUP(Assessment!#REF!,Inherited!A:A,Inherited!B:B))/100)*(_xlfn.XLOOKUP(Assessment!#REF!,Inherited!A:A,Inherited!C:C)))+(((100-(_xlfn.XLOOKUP(Assessment!#REF!,Inherited!A:A,Inherited!B:B)))/100)*IF(X134="1.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(100%)","100"))))))&lt;=89),"75",IF((((_xlfn.XLOOKUP(Assessment!#REF!,Inherited!A:A,Inherited!B:B))/100)*(_xlfn.XLOOKUP(Assessment!#REF!,Inherited!A:A,Inherited!C:C)))+(((100-(_xlfn.XLOOKUP(Assessment!#REF!,Inherited!A:A,Inherited!B:B)))/100)*IF(X134="1. Non Compliant (0%)","0",IF(X134="2. Somewhat Compliant (25%)","25",IF(X134="3. Partially Compliant (50%)","50",IF(X134="4. Mostly Compliant (75%)","75",IF(X134="5. Fully Compliant (100%)","100"))))))&gt;=90,"100"))))))</f>
        <v>#N/A</v>
      </c>
      <c r="R134" s="1" t="e">
        <f>IF(MATCH(H134,Inherited!A:A),IF((((_xlfn.XLOOKUP(Assessment!#REF!,Inherited!A:A,Inherited!B:B))/100)*(_xlfn.XLOOKUP(Assessment!#REF!,Inherited!A:A,Inherited!D:D)))+(((100-(_xlfn.XLOOKUP(Assessment!#REF!,Inherited!A:A,Inherited!B:B)))/100)*IF(Y134="1.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(100%)","100"))))))&lt;=10,"0", IF(AND((((_xlfn.XLOOKUP(Assessment!#REF!,Inherited!A:A,Inherited!B:B))/100)*(_xlfn.XLOOKUP(Assessment!#REF!,Inherited!A:A,Inherited!D:D)))+(((100-(_xlfn.XLOOKUP(Assessment!#REF!,Inherited!A:A,Inherited!B:B)))/100)*IF(Y134="1.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(100%)","100"))))))&gt;=11,(((_xlfn.XLOOKUP(Assessment!#REF!,Inherited!A:A,Inherited!B:B))/100)*(_xlfn.XLOOKUP(Assessment!#REF!,Inherited!A:A,Inherited!D:D)))+(((100-(_xlfn.XLOOKUP(Assessment!#REF!,Inherited!A:A,Inherited!B:B)))/100)*IF(Y134="1.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(100%)","100"))))))&lt;=32),"25",IF(AND((((_xlfn.XLOOKUP(Assessment!#REF!,Inherited!A:A,Inherited!B:B))/100)*(_xlfn.XLOOKUP(Assessment!#REF!,Inherited!A:A,Inherited!D:D)))+(((100-(_xlfn.XLOOKUP(Assessment!#REF!,Inherited!A:A,Inherited!B:B)))/100)*IF(Y134="1.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(100%)","100"))))))&gt;=33,(((_xlfn.XLOOKUP(Assessment!#REF!,Inherited!A:A,Inherited!B:B))/100)*(_xlfn.XLOOKUP(Assessment!#REF!,Inherited!A:A,Inherited!D:D)))+(((100-(_xlfn.XLOOKUP(Assessment!#REF!,Inherited!A:A,Inherited!B:B)))/100)*IF(Y134="1.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(100%)","100"))))))&lt;=65),"50",IF(AND((((_xlfn.XLOOKUP(Assessment!#REF!,Inherited!A:A,Inherited!B:B))/100)*(_xlfn.XLOOKUP(Assessment!#REF!,Inherited!A:A,Inherited!D:D)))+(((100-(_xlfn.XLOOKUP(Assessment!#REF!,Inherited!A:A,Inherited!B:B)))/100)*IF(Y134="1.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(100%)","100"))))))&gt;=66,(((_xlfn.XLOOKUP(Assessment!#REF!,Inherited!A:A,Inherited!B:B))/100)*(_xlfn.XLOOKUP(Assessment!#REF!,Inherited!A:A,Inherited!D:D)))+(((100-(_xlfn.XLOOKUP(Assessment!#REF!,Inherited!A:A,Inherited!B:B)))/100)*IF(Y134="1.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(100%)","100"))))))&lt;=89),"75",IF((((_xlfn.XLOOKUP(Assessment!#REF!,Inherited!A:A,Inherited!B:B))/100)*(_xlfn.XLOOKUP(Assessment!#REF!,Inherited!A:A,Inherited!D:D)))+(((100-(_xlfn.XLOOKUP(Assessment!#REF!,Inherited!A:A,Inherited!B:B)))/100)*IF(Y134="1. Non Compliant (0%)","0",IF(Y134="2. Somewhat Compliant (25%)","25",IF(Y134="3. Partially Compliant (50%)","50",IF(Y134="4. Mostly Compliant (75%)","75",IF(Y134="5. Fully Compliant (100%)","100"))))))&gt;=90,"100"))))))</f>
        <v>#N/A</v>
      </c>
      <c r="S134" s="1" t="e">
        <f>IF(MATCH(H134,Inherited!A:A),IF((((_xlfn.XLOOKUP(Assessment!#REF!,Inherited!A:A,Inherited!B:B))/100)*(_xlfn.XLOOKUP(Assessment!#REF!,Inherited!A:A,Inherited!E:E)))+(((100-(_xlfn.XLOOKUP(Assessment!#REF!,Inherited!A:A,Inherited!B:B)))/100)*IF(Z134="1.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(100%)","100"))))))&lt;=10,"0", IF(AND((((_xlfn.XLOOKUP(Assessment!#REF!,Inherited!A:A,Inherited!B:B))/100)*(_xlfn.XLOOKUP(Assessment!#REF!,Inherited!A:A,Inherited!E:E)))+(((100-(_xlfn.XLOOKUP(Assessment!#REF!,Inherited!A:A,Inherited!B:B)))/100)*IF(Z134="1.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(100%)","100"))))))&gt;=11,(((_xlfn.XLOOKUP(Assessment!#REF!,Inherited!A:A,Inherited!B:B))/100)*(_xlfn.XLOOKUP(Assessment!#REF!,Inherited!A:A,Inherited!E:E)))+(((100-(_xlfn.XLOOKUP(Assessment!#REF!,Inherited!A:A,Inherited!B:B)))/100)*IF(Z134="1.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(100%)","100"))))))&lt;=32),"25",IF(AND((((_xlfn.XLOOKUP(Assessment!#REF!,Inherited!A:A,Inherited!B:B))/100)*(_xlfn.XLOOKUP(Assessment!#REF!,Inherited!A:A,Inherited!E:E)))+(((100-(_xlfn.XLOOKUP(Assessment!#REF!,Inherited!A:A,Inherited!B:B)))/100)*IF(Z134="1.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(100%)","100"))))))&gt;=33,(((_xlfn.XLOOKUP(Assessment!#REF!,Inherited!A:A,Inherited!B:B))/100)*(_xlfn.XLOOKUP(Assessment!#REF!,Inherited!A:A,Inherited!E:E)))+(((100-(_xlfn.XLOOKUP(Assessment!#REF!,Inherited!A:A,Inherited!B:B)))/100)*IF(Z134="1.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(100%)","100"))))))&lt;=65),"50",IF(AND((((_xlfn.XLOOKUP(Assessment!#REF!,Inherited!A:A,Inherited!B:B))/100)*(_xlfn.XLOOKUP(Assessment!#REF!,Inherited!A:A,Inherited!E:E)))+(((100-(_xlfn.XLOOKUP(Assessment!#REF!,Inherited!A:A,Inherited!B:B)))/100)*IF(Z134="1.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(100%)","100"))))))&gt;=66,(((_xlfn.XLOOKUP(Assessment!#REF!,Inherited!A:A,Inherited!B:B))/100)*(_xlfn.XLOOKUP(Assessment!#REF!,Inherited!A:A,Inherited!E:E)))+(((100-(_xlfn.XLOOKUP(Assessment!#REF!,Inherited!A:A,Inherited!B:B)))/100)*IF(Z134="1.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(100%)","100"))))))&lt;=89),"75",IF((((_xlfn.XLOOKUP(Assessment!#REF!,Inherited!A:A,Inherited!B:B))/100)*(_xlfn.XLOOKUP(Assessment!#REF!,Inherited!A:A,Inherited!E:E)))+(((100-(_xlfn.XLOOKUP(Assessment!#REF!,Inherited!A:A,Inherited!B:B)))/100)*IF(Z134="1. Non Compliant (0%)","0",IF(Z134="2. Somewhat Compliant (25%)","25",IF(Z134="3. Partially Compliant (50%)","50",IF(Z134="4. Mostly Compliant (75%)","75",IF(Z134="5. Fully Compliant (100%)","100"))))))&gt;=90,"100"))))))</f>
        <v>#N/A</v>
      </c>
      <c r="T134" s="1" t="e">
        <f>IF(MATCH(H134,Inherited!A:A),IF((((_xlfn.XLOOKUP(Assessment!#REF!,Inherited!A:A,Inherited!B:B))/100)*(_xlfn.XLOOKUP(Assessment!#REF!,Inherited!A:A,Inherited!F:F)))+(((100-(_xlfn.XLOOKUP(Assessment!#REF!,Inherited!A:A,Inherited!B:B)))/100)*IF(AA134="1.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(100%)","100"))))))&lt;=10,"0", IF(AND((((_xlfn.XLOOKUP(Assessment!#REF!,Inherited!A:A,Inherited!B:B))/100)*(_xlfn.XLOOKUP(Assessment!#REF!,Inherited!A:A,Inherited!F:F)))+(((100-(_xlfn.XLOOKUP(Assessment!#REF!,Inherited!A:A,Inherited!B:B)))/100)*IF(AA134="1.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(100%)","100"))))))&gt;=11,(((_xlfn.XLOOKUP(Assessment!#REF!,Inherited!A:A,Inherited!B:B))/100)*(_xlfn.XLOOKUP(Assessment!#REF!,Inherited!A:A,Inherited!F:F)))+(((100-(_xlfn.XLOOKUP(Assessment!#REF!,Inherited!A:A,Inherited!B:B)))/100)*IF(AA134="1.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(100%)","100"))))))&lt;=32),"25",IF(AND((((_xlfn.XLOOKUP(Assessment!#REF!,Inherited!A:A,Inherited!B:B))/100)*(_xlfn.XLOOKUP(Assessment!#REF!,Inherited!A:A,Inherited!F:F)))+(((100-(_xlfn.XLOOKUP(Assessment!#REF!,Inherited!A:A,Inherited!B:B)))/100)*IF(AA134="1.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(100%)","100"))))))&gt;=33,(((_xlfn.XLOOKUP(Assessment!#REF!,Inherited!A:A,Inherited!B:B))/100)*(_xlfn.XLOOKUP(Assessment!#REF!,Inherited!A:A,Inherited!F:F)))+(((100-(_xlfn.XLOOKUP(Assessment!#REF!,Inherited!A:A,Inherited!B:B)))/100)*IF(AA134="1.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(100%)","100"))))))&lt;=65),"50",IF(AND((((_xlfn.XLOOKUP(Assessment!#REF!,Inherited!A:A,Inherited!B:B))/100)*(_xlfn.XLOOKUP(Assessment!#REF!,Inherited!A:A,Inherited!F:F)))+(((100-(_xlfn.XLOOKUP(Assessment!#REF!,Inherited!A:A,Inherited!B:B)))/100)*IF(AA134="1.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(100%)","100"))))))&gt;=66,(((_xlfn.XLOOKUP(Assessment!#REF!,Inherited!A:A,Inherited!B:B))/100)*(_xlfn.XLOOKUP(Assessment!#REF!,Inherited!A:A,Inherited!F:F)))+(((100-(_xlfn.XLOOKUP(Assessment!#REF!,Inherited!A:A,Inherited!B:B)))/100)*IF(AA134="1.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(100%)","100"))))))&lt;=89),"75",IF((((_xlfn.XLOOKUP(Assessment!#REF!,Inherited!A:A,Inherited!B:B))/100)*(_xlfn.XLOOKUP(Assessment!#REF!,Inherited!A:A,Inherited!F:F)))+(((100-(_xlfn.XLOOKUP(Assessment!#REF!,Inherited!A:A,Inherited!B:B)))/100)*IF(AA134="1. Non Compliant (0%)","0",IF(AA134="2. Somewhat Compliant (25%)","25",IF(AA134="3. Partially Compliant (50%)","50",IF(AA134="4. Mostly Compliant (75%)","75",IF(AA134="5. Fully Compliant (100%)","100"))))))&gt;=90,"100"))))))</f>
        <v>#N/A</v>
      </c>
      <c r="U134" s="1" t="e">
        <f>IF(MATCH(H134,Inherited!A:A),IF((((_xlfn.XLOOKUP(Assessment!#REF!,Inherited!A:A,Inherited!B:B))/100)*(_xlfn.XLOOKUP(Assessment!#REF!,Inherited!A:A,Inherited!G:G)))+(((100-(_xlfn.XLOOKUP(Assessment!#REF!,Inherited!A:A,Inherited!B:B)))/100)*IF(AB134="1.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(100%)","100"))))))&lt;=10,"0", IF(AND((((_xlfn.XLOOKUP(Assessment!#REF!,Inherited!A:A,Inherited!B:B))/100)*(_xlfn.XLOOKUP(Assessment!#REF!,Inherited!A:A,Inherited!G:G)))+(((100-(_xlfn.XLOOKUP(Assessment!#REF!,Inherited!A:A,Inherited!B:B)))/100)*IF(AB134="1.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(100%)","100"))))))&gt;=11,(((_xlfn.XLOOKUP(Assessment!#REF!,Inherited!A:A,Inherited!B:B))/100)*(_xlfn.XLOOKUP(Assessment!#REF!,Inherited!A:A,Inherited!G:G)))+(((100-(_xlfn.XLOOKUP(Assessment!#REF!,Inherited!A:A,Inherited!B:B)))/100)*IF(AB134="1.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(100%)","100"))))))&lt;=32),"25",IF(AND((((_xlfn.XLOOKUP(Assessment!#REF!,Inherited!A:A,Inherited!B:B))/100)*(_xlfn.XLOOKUP(Assessment!#REF!,Inherited!A:A,Inherited!G:G)))+(((100-(_xlfn.XLOOKUP(Assessment!#REF!,Inherited!A:A,Inherited!B:B)))/100)*IF(AB134="1.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(100%)","100"))))))&gt;=33,(((_xlfn.XLOOKUP(Assessment!#REF!,Inherited!A:A,Inherited!B:B))/100)*(_xlfn.XLOOKUP(Assessment!#REF!,Inherited!A:A,Inherited!G:G)))+(((100-(_xlfn.XLOOKUP(Assessment!#REF!,Inherited!A:A,Inherited!B:B)))/100)*IF(AB134="1.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(100%)","100"))))))&lt;=65),"50",IF(AND((((_xlfn.XLOOKUP(Assessment!#REF!,Inherited!A:A,Inherited!B:B))/100)*(_xlfn.XLOOKUP(Assessment!#REF!,Inherited!A:A,Inherited!G:G)))+(((100-(_xlfn.XLOOKUP(Assessment!#REF!,Inherited!A:A,Inherited!B:B)))/100)*IF(AB134="1.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(100%)","100"))))))&gt;=66,(((_xlfn.XLOOKUP(Assessment!#REF!,Inherited!A:A,Inherited!B:B))/100)*(_xlfn.XLOOKUP(Assessment!#REF!,Inherited!A:A,Inherited!G:G)))+(((100-(_xlfn.XLOOKUP(Assessment!#REF!,Inherited!A:A,Inherited!B:B)))/100)*IF(AB134="1.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(100%)","100"))))))&lt;=89),"75",IF((((_xlfn.XLOOKUP(Assessment!#REF!,Inherited!A:A,Inherited!B:B))/100)*(_xlfn.XLOOKUP(Assessment!#REF!,Inherited!A:A,Inherited!G:G)))+(((100-(_xlfn.XLOOKUP(Assessment!#REF!,Inherited!A:A,Inherited!B:B)))/100)*IF(AB134="1. Non Compliant (0%)","0",IF(AB134="2. Somewhat Compliant (25%)","25",IF(AB134="3. Partially Compliant (50%)","50",IF(AB134="4. Mostly Compliant (75%)","75",IF(AB134="5. Fully Compliant (100%)","100"))))))&gt;=90,"100"))))))</f>
        <v>#N/A</v>
      </c>
      <c r="V134" s="55" t="s">
        <v>85</v>
      </c>
      <c r="W134" s="55"/>
      <c r="X134" s="55"/>
      <c r="Y134" s="55"/>
      <c r="Z134" s="55"/>
      <c r="AA134" s="55"/>
      <c r="AB134" s="55"/>
      <c r="AP134" s="1" t="s">
        <v>10975</v>
      </c>
      <c r="AX134" s="3" t="str">
        <f>_xlfn.CONCAT("A-LIGN finished its review of this control on ",AR134, " during the scheduled fieldwork window (",Intro!$B$4,")."&amp; CHAR(10)&amp; CHAR(10))</f>
        <v xml:space="preserve">A-LIGN finished its review of this control on  during the scheduled fieldwork window (Fieldwork: xx/xx/xxxx - xx/xx/xxxx).
</v>
      </c>
      <c r="AY134" s="3" t="str">
        <f t="shared" ref="AY134:AY149" si="311">IF(AQ134&lt;&gt;"",(_xlfn.CONCAT("Inheritance note: "&amp; CHAR(10),AQ134&amp; CHAR(10)&amp; CHAR(10))),"")</f>
        <v/>
      </c>
      <c r="AZ134" s="3" t="str">
        <f t="shared" ref="AZ134:AZ149" si="312">IFERROR(IF(AD134&lt;&gt;"",_xlfn.CONCAT("Examined the following policy during fieldwork:"&amp; CHAR(10),AD134&amp; CHAR(10)&amp; CHAR(10),IF(AND(X134&lt;&gt;"5. Fully Compliant (100%)",AE134&lt;&gt;""),"Reviewed policy exception note:"&amp; CHAR(10) &amp; AE134 &amp; CHAR(10) &amp; CHAR(10),"")),""),"")</f>
        <v/>
      </c>
      <c r="BA134" s="3" t="str">
        <f t="shared" ref="BA134:BA149" si="313">IFERROR(IF(AH134&lt;&gt;"",_xlfn.CONCAT("Examined the following process during fieldwork:"&amp; CHAR(10),AH134&amp; CHAR(10)&amp; CHAR(10),IF(AND(Y134&lt;&gt;"5. Fully Compliant (100%)",AI134&lt;&gt;""),"Reviewed process exception note:"&amp; CHAR(10) &amp; AI134 &amp; CHAR(10) &amp; CHAR(10),"")),""),"")</f>
        <v/>
      </c>
      <c r="BB134" s="3" t="str">
        <f t="shared" ref="BB134:BB149" si="314">IF(AK134&lt;&gt;"",(_xlfn.CONCAT("Inquired of the following workforce member: "&amp; CHAR(10),AK134&amp; CHAR(10)&amp; CHAR(10),"Inquiry lead to the following conclusions: "&amp; CHAR(10),AL134&amp; CHAR(10) &amp; CHAR(10))),"")</f>
        <v/>
      </c>
      <c r="BC134" s="3" t="str">
        <f t="shared" ref="BC134:BC149" si="315">IF(AM134&lt;&gt;"",(_xlfn.CONCAT("Observed the following live during fieldwork: "&amp; CHAR(10),AM134&amp; CHAR(10) &amp; CHAR(10))),"")</f>
        <v/>
      </c>
      <c r="BD134" s="3" t="str">
        <f t="shared" ref="BD134:BD149" si="316">_xlfn.CONCAT("Examined the following evidence during fieldwork:"&amp; CHAR(10),AN134&amp; CHAR(10)&amp; CHAR(10),IF(AO134&lt;&gt;"","Reviewed evidence note:"&amp; CHAR(10)&amp;AO134&amp; CHAR(10) &amp; CHAR(10),"Reviewed evidence addressed the requirement statement."&amp; CHAR(10) &amp; CHAR(10)),IF(AND(AP134&lt;&gt;"5. Fully Compliant (100%)",AP134&lt;&gt;""),"Reviewed evidence exception note: "&amp; CHAR(10) &amp; AP134 &amp; CHAR(10) &amp; CHAR(10),""))</f>
        <v xml:space="preserve">Examined the following evidence during fieldwork:
Reviewed evidence addressed the requirement statement.
Reviewed evidence exception note: 
Gap: 
Recommendation: 
</v>
      </c>
      <c r="BE134" s="3" t="str">
        <f t="shared" ref="BE134:BE149" si="317">IF(AT134&lt;&gt;"",(_xlfn.CONCAT("Examined the following measure/metric during fieldwork:"&amp; CHAR(10),AT134&amp; CHAR(10)&amp; CHAR(10),"Reviewed measure/metric note:"&amp; CHAR(10),AU134 &amp; CHAR(10) &amp; CHAR(10))),"")</f>
        <v/>
      </c>
      <c r="BF134" s="3" t="str">
        <f t="shared" ref="BF134:BF149" si="318">IF(AV134&lt;&gt;"",(_xlfn.CONCAT("Examined the following measure/metric management during fieldwork:"&amp; CHAR(10),AV134&amp; CHAR(10)&amp; CHAR(10),"Reviewed measure/metric management note:"&amp; CHAR(10),AW134 &amp; CHAR(10) &amp; CHAR(10))),"")</f>
        <v/>
      </c>
      <c r="BG134" s="3" t="str">
        <f>_xlfn.CONCAT((IF((COUNTIF('Sample Tables'!B:B,"Test 075: Information Security (business continuity &amp; disaster test)")&gt;0)=TRUE,_xlfn.CONCAT("Sample test results are documented in ",'Sample Tables'!B821," [",'Sample Tables'!B822,", ",'Sample Tables'!B823,", ",'Sample Tables'!B824,", ",'Sample Tables'!B825,", ",'Sample Tables'!B826,"]."&amp;CHAR(10)),IF((COUNTIF('Sample Tables'!B:B,"Test 075: Information Security (business continuity &amp; disaster test)")&gt;0)=FALSE,""))),)</f>
        <v xml:space="preserve">Sample test results are documented in Test 075: Information Security (business continuity &amp; disaster test) [Population Source/Tool: , Population Date Range: , Population Size: , Sample Methodology: , Sample Size: ].
</v>
      </c>
      <c r="BH134" s="3" t="str">
        <f t="shared" ref="BH134:BH149" si="319">IF(V134="No","Not Applicable: "&amp;W134,(_xlfn.CONCAT(AX134,AY134,AZ134,BA134,BB134,BC134,BD134,BE134,BF134,BG134)))</f>
        <v xml:space="preserve">A-LIGN finished its review of this control on  during the scheduled fieldwork window (Fieldwork: xx/xx/xxxx - xx/xx/xxxx).
Examined the following evidence during fieldwork:
Reviewed evidence addressed the requirement statement.
Reviewed evidence exception note: 
Gap: 
Recommendation: 
Sample test results are documented in Test 075: Information Security (business continuity &amp; disaster test) [Population Source/Tool: , Population Date Range: , Population Size: , Sample Methodology: , Sample Size: ].
</v>
      </c>
    </row>
    <row r="135" spans="3:60" ht="409.5" x14ac:dyDescent="0.35">
      <c r="C135" s="1">
        <f t="shared" si="310"/>
        <v>0</v>
      </c>
      <c r="D135" s="5" t="str">
        <f>IF(AND((_xlfn.XLOOKUP(J135,'Fields &amp; Revisions'!$H:$H,'Fields &amp; Revisions'!$I:$I))&lt;70.99,(OR(Z135="4. Mostly Compliant (75%)",Z135="3. Partially Compliant (50%)",Z135="2. Somewhat Compliant (25%)",Z135="1. Non Compliant (0%)"))),"Yes","No")</f>
        <v>Yes</v>
      </c>
      <c r="E135" s="5" t="str">
        <f>IF(ISERROR(VLOOKUP(H135,Scope!A:A,1,FALSE)),"No","Yes")</f>
        <v>Yes</v>
      </c>
      <c r="F135" s="1" t="s">
        <v>4666</v>
      </c>
      <c r="G135" s="53" t="s">
        <v>4667</v>
      </c>
      <c r="H135" s="53" t="s">
        <v>4668</v>
      </c>
      <c r="I135" s="5" t="s">
        <v>105</v>
      </c>
      <c r="J135" s="1" t="s">
        <v>94</v>
      </c>
      <c r="K135" s="54" t="s">
        <v>4669</v>
      </c>
      <c r="L135" s="1" t="s">
        <v>10998</v>
      </c>
      <c r="N135" s="5" t="s">
        <v>98</v>
      </c>
      <c r="O135" s="1" t="str">
        <f>_xlfn.XLOOKUP(G135,SRMs!$A:$A,SRMs!$D:$D)</f>
        <v>NO INHERITANCE</v>
      </c>
      <c r="P135" s="1" t="str">
        <f>IFERROR(VLOOKUP(H135,Inherited!A:B,2,FALSE),"")</f>
        <v/>
      </c>
      <c r="Q135" s="1" t="e">
        <f>IF(MATCH(H135,Inherited!A:A),IF((((_xlfn.XLOOKUP(Assessment!H136,Inherited!A:A,Inherited!B:B))/100)*(_xlfn.XLOOKUP(Assessment!H136,Inherited!A:A,Inherited!C:C)))+(((100-(_xlfn.XLOOKUP(Assessment!H136,Inherited!A:A,Inherited!B:B)))/100)*IF(X135="1.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(100%)","100"))))))&lt;=10,"0", IF(AND((((_xlfn.XLOOKUP(Assessment!H136,Inherited!A:A,Inherited!B:B))/100)*(_xlfn.XLOOKUP(Assessment!H136,Inherited!A:A,Inherited!C:C)))+(((100-(_xlfn.XLOOKUP(Assessment!H136,Inherited!A:A,Inherited!B:B)))/100)*IF(X135="1.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(100%)","100"))))))&gt;=11,(((_xlfn.XLOOKUP(Assessment!H136,Inherited!A:A,Inherited!B:B))/100)*(_xlfn.XLOOKUP(Assessment!H136,Inherited!A:A,Inherited!C:C)))+(((100-(_xlfn.XLOOKUP(Assessment!H136,Inherited!A:A,Inherited!B:B)))/100)*IF(X135="1.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(100%)","100"))))))&lt;=32),"25",IF(AND((((_xlfn.XLOOKUP(Assessment!H136,Inherited!A:A,Inherited!B:B))/100)*(_xlfn.XLOOKUP(Assessment!H136,Inherited!A:A,Inherited!C:C)))+(((100-(_xlfn.XLOOKUP(Assessment!H136,Inherited!A:A,Inherited!B:B)))/100)*IF(X135="1.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(100%)","100"))))))&gt;=33,(((_xlfn.XLOOKUP(Assessment!H136,Inherited!A:A,Inherited!B:B))/100)*(_xlfn.XLOOKUP(Assessment!H136,Inherited!A:A,Inherited!C:C)))+(((100-(_xlfn.XLOOKUP(Assessment!H136,Inherited!A:A,Inherited!B:B)))/100)*IF(X135="1.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(100%)","100"))))))&lt;=65),"50",IF(AND((((_xlfn.XLOOKUP(Assessment!H136,Inherited!A:A,Inherited!B:B))/100)*(_xlfn.XLOOKUP(Assessment!H136,Inherited!A:A,Inherited!C:C)))+(((100-(_xlfn.XLOOKUP(Assessment!H136,Inherited!A:A,Inherited!B:B)))/100)*IF(X135="1.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(100%)","100"))))))&gt;=66,(((_xlfn.XLOOKUP(Assessment!H136,Inherited!A:A,Inherited!B:B))/100)*(_xlfn.XLOOKUP(Assessment!H136,Inherited!A:A,Inherited!C:C)))+(((100-(_xlfn.XLOOKUP(Assessment!H136,Inherited!A:A,Inherited!B:B)))/100)*IF(X135="1.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(100%)","100"))))))&lt;=89),"75",IF((((_xlfn.XLOOKUP(Assessment!H136,Inherited!A:A,Inherited!B:B))/100)*(_xlfn.XLOOKUP(Assessment!H136,Inherited!A:A,Inherited!C:C)))+(((100-(_xlfn.XLOOKUP(Assessment!H136,Inherited!A:A,Inherited!B:B)))/100)*IF(X135="1. Non Compliant (0%)","0",IF(X135="2. Somewhat Compliant (25%)","25",IF(X135="3. Partially Compliant (50%)","50",IF(X135="4. Mostly Compliant (75%)","75",IF(X135="5. Fully Compliant (100%)","100"))))))&gt;=90,"100"))))))</f>
        <v>#N/A</v>
      </c>
      <c r="R135" s="1" t="e">
        <f>IF(MATCH(H135,Inherited!A:A),IF((((_xlfn.XLOOKUP(Assessment!H136,Inherited!A:A,Inherited!B:B))/100)*(_xlfn.XLOOKUP(Assessment!H136,Inherited!A:A,Inherited!D:D)))+(((100-(_xlfn.XLOOKUP(Assessment!H136,Inherited!A:A,Inherited!B:B)))/100)*IF(Y135="1.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(100%)","100"))))))&lt;=10,"0", IF(AND((((_xlfn.XLOOKUP(Assessment!H136,Inherited!A:A,Inherited!B:B))/100)*(_xlfn.XLOOKUP(Assessment!H136,Inherited!A:A,Inherited!D:D)))+(((100-(_xlfn.XLOOKUP(Assessment!H136,Inherited!A:A,Inherited!B:B)))/100)*IF(Y135="1.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(100%)","100"))))))&gt;=11,(((_xlfn.XLOOKUP(Assessment!H136,Inherited!A:A,Inherited!B:B))/100)*(_xlfn.XLOOKUP(Assessment!H136,Inherited!A:A,Inherited!D:D)))+(((100-(_xlfn.XLOOKUP(Assessment!H136,Inherited!A:A,Inherited!B:B)))/100)*IF(Y135="1.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(100%)","100"))))))&lt;=32),"25",IF(AND((((_xlfn.XLOOKUP(Assessment!H136,Inherited!A:A,Inherited!B:B))/100)*(_xlfn.XLOOKUP(Assessment!H136,Inherited!A:A,Inherited!D:D)))+(((100-(_xlfn.XLOOKUP(Assessment!H136,Inherited!A:A,Inherited!B:B)))/100)*IF(Y135="1.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(100%)","100"))))))&gt;=33,(((_xlfn.XLOOKUP(Assessment!H136,Inherited!A:A,Inherited!B:B))/100)*(_xlfn.XLOOKUP(Assessment!H136,Inherited!A:A,Inherited!D:D)))+(((100-(_xlfn.XLOOKUP(Assessment!H136,Inherited!A:A,Inherited!B:B)))/100)*IF(Y135="1.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(100%)","100"))))))&lt;=65),"50",IF(AND((((_xlfn.XLOOKUP(Assessment!H136,Inherited!A:A,Inherited!B:B))/100)*(_xlfn.XLOOKUP(Assessment!H136,Inherited!A:A,Inherited!D:D)))+(((100-(_xlfn.XLOOKUP(Assessment!H136,Inherited!A:A,Inherited!B:B)))/100)*IF(Y135="1.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(100%)","100"))))))&gt;=66,(((_xlfn.XLOOKUP(Assessment!H136,Inherited!A:A,Inherited!B:B))/100)*(_xlfn.XLOOKUP(Assessment!H136,Inherited!A:A,Inherited!D:D)))+(((100-(_xlfn.XLOOKUP(Assessment!H136,Inherited!A:A,Inherited!B:B)))/100)*IF(Y135="1.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(100%)","100"))))))&lt;=89),"75",IF((((_xlfn.XLOOKUP(Assessment!H136,Inherited!A:A,Inherited!B:B))/100)*(_xlfn.XLOOKUP(Assessment!H136,Inherited!A:A,Inherited!D:D)))+(((100-(_xlfn.XLOOKUP(Assessment!H136,Inherited!A:A,Inherited!B:B)))/100)*IF(Y135="1. Non Compliant (0%)","0",IF(Y135="2. Somewhat Compliant (25%)","25",IF(Y135="3. Partially Compliant (50%)","50",IF(Y135="4. Mostly Compliant (75%)","75",IF(Y135="5. Fully Compliant (100%)","100"))))))&gt;=90,"100"))))))</f>
        <v>#N/A</v>
      </c>
      <c r="S135" s="1" t="e">
        <f>IF(MATCH(H135,Inherited!A:A),IF((((_xlfn.XLOOKUP(Assessment!H136,Inherited!A:A,Inherited!B:B))/100)*(_xlfn.XLOOKUP(Assessment!H136,Inherited!A:A,Inherited!E:E)))+(((100-(_xlfn.XLOOKUP(Assessment!H136,Inherited!A:A,Inherited!B:B)))/100)*IF(Z135="1.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(100%)","100"))))))&lt;=10,"0", IF(AND((((_xlfn.XLOOKUP(Assessment!H136,Inherited!A:A,Inherited!B:B))/100)*(_xlfn.XLOOKUP(Assessment!H136,Inherited!A:A,Inherited!E:E)))+(((100-(_xlfn.XLOOKUP(Assessment!H136,Inherited!A:A,Inherited!B:B)))/100)*IF(Z135="1.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(100%)","100"))))))&gt;=11,(((_xlfn.XLOOKUP(Assessment!H136,Inherited!A:A,Inherited!B:B))/100)*(_xlfn.XLOOKUP(Assessment!H136,Inherited!A:A,Inherited!E:E)))+(((100-(_xlfn.XLOOKUP(Assessment!H136,Inherited!A:A,Inherited!B:B)))/100)*IF(Z135="1.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(100%)","100"))))))&lt;=32),"25",IF(AND((((_xlfn.XLOOKUP(Assessment!H136,Inherited!A:A,Inherited!B:B))/100)*(_xlfn.XLOOKUP(Assessment!H136,Inherited!A:A,Inherited!E:E)))+(((100-(_xlfn.XLOOKUP(Assessment!H136,Inherited!A:A,Inherited!B:B)))/100)*IF(Z135="1.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(100%)","100"))))))&gt;=33,(((_xlfn.XLOOKUP(Assessment!H136,Inherited!A:A,Inherited!B:B))/100)*(_xlfn.XLOOKUP(Assessment!H136,Inherited!A:A,Inherited!E:E)))+(((100-(_xlfn.XLOOKUP(Assessment!H136,Inherited!A:A,Inherited!B:B)))/100)*IF(Z135="1.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(100%)","100"))))))&lt;=65),"50",IF(AND((((_xlfn.XLOOKUP(Assessment!H136,Inherited!A:A,Inherited!B:B))/100)*(_xlfn.XLOOKUP(Assessment!H136,Inherited!A:A,Inherited!E:E)))+(((100-(_xlfn.XLOOKUP(Assessment!H136,Inherited!A:A,Inherited!B:B)))/100)*IF(Z135="1.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(100%)","100"))))))&gt;=66,(((_xlfn.XLOOKUP(Assessment!H136,Inherited!A:A,Inherited!B:B))/100)*(_xlfn.XLOOKUP(Assessment!H136,Inherited!A:A,Inherited!E:E)))+(((100-(_xlfn.XLOOKUP(Assessment!H136,Inherited!A:A,Inherited!B:B)))/100)*IF(Z135="1.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(100%)","100"))))))&lt;=89),"75",IF((((_xlfn.XLOOKUP(Assessment!H136,Inherited!A:A,Inherited!B:B))/100)*(_xlfn.XLOOKUP(Assessment!H136,Inherited!A:A,Inherited!E:E)))+(((100-(_xlfn.XLOOKUP(Assessment!H136,Inherited!A:A,Inherited!B:B)))/100)*IF(Z135="1. Non Compliant (0%)","0",IF(Z135="2. Somewhat Compliant (25%)","25",IF(Z135="3. Partially Compliant (50%)","50",IF(Z135="4. Mostly Compliant (75%)","75",IF(Z135="5. Fully Compliant (100%)","100"))))))&gt;=90,"100"))))))</f>
        <v>#N/A</v>
      </c>
      <c r="T135" s="1" t="e">
        <f>IF(MATCH(H135,Inherited!A:A),IF((((_xlfn.XLOOKUP(Assessment!H136,Inherited!A:A,Inherited!B:B))/100)*(_xlfn.XLOOKUP(Assessment!H136,Inherited!A:A,Inherited!F:F)))+(((100-(_xlfn.XLOOKUP(Assessment!H136,Inherited!A:A,Inherited!B:B)))/100)*IF(AA135="1.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(100%)","100"))))))&lt;=10,"0", IF(AND((((_xlfn.XLOOKUP(Assessment!H136,Inherited!A:A,Inherited!B:B))/100)*(_xlfn.XLOOKUP(Assessment!H136,Inherited!A:A,Inherited!F:F)))+(((100-(_xlfn.XLOOKUP(Assessment!H136,Inherited!A:A,Inherited!B:B)))/100)*IF(AA135="1.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(100%)","100"))))))&gt;=11,(((_xlfn.XLOOKUP(Assessment!H136,Inherited!A:A,Inherited!B:B))/100)*(_xlfn.XLOOKUP(Assessment!H136,Inherited!A:A,Inherited!F:F)))+(((100-(_xlfn.XLOOKUP(Assessment!H136,Inherited!A:A,Inherited!B:B)))/100)*IF(AA135="1.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(100%)","100"))))))&lt;=32),"25",IF(AND((((_xlfn.XLOOKUP(Assessment!H136,Inherited!A:A,Inherited!B:B))/100)*(_xlfn.XLOOKUP(Assessment!H136,Inherited!A:A,Inherited!F:F)))+(((100-(_xlfn.XLOOKUP(Assessment!H136,Inherited!A:A,Inherited!B:B)))/100)*IF(AA135="1.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(100%)","100"))))))&gt;=33,(((_xlfn.XLOOKUP(Assessment!H136,Inherited!A:A,Inherited!B:B))/100)*(_xlfn.XLOOKUP(Assessment!H136,Inherited!A:A,Inherited!F:F)))+(((100-(_xlfn.XLOOKUP(Assessment!H136,Inherited!A:A,Inherited!B:B)))/100)*IF(AA135="1.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(100%)","100"))))))&lt;=65),"50",IF(AND((((_xlfn.XLOOKUP(Assessment!H136,Inherited!A:A,Inherited!B:B))/100)*(_xlfn.XLOOKUP(Assessment!H136,Inherited!A:A,Inherited!F:F)))+(((100-(_xlfn.XLOOKUP(Assessment!H136,Inherited!A:A,Inherited!B:B)))/100)*IF(AA135="1.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(100%)","100"))))))&gt;=66,(((_xlfn.XLOOKUP(Assessment!H136,Inherited!A:A,Inherited!B:B))/100)*(_xlfn.XLOOKUP(Assessment!H136,Inherited!A:A,Inherited!F:F)))+(((100-(_xlfn.XLOOKUP(Assessment!H136,Inherited!A:A,Inherited!B:B)))/100)*IF(AA135="1.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(100%)","100"))))))&lt;=89),"75",IF((((_xlfn.XLOOKUP(Assessment!H136,Inherited!A:A,Inherited!B:B))/100)*(_xlfn.XLOOKUP(Assessment!H136,Inherited!A:A,Inherited!F:F)))+(((100-(_xlfn.XLOOKUP(Assessment!H136,Inherited!A:A,Inherited!B:B)))/100)*IF(AA135="1. Non Compliant (0%)","0",IF(AA135="2. Somewhat Compliant (25%)","25",IF(AA135="3. Partially Compliant (50%)","50",IF(AA135="4. Mostly Compliant (75%)","75",IF(AA135="5. Fully Compliant (100%)","100"))))))&gt;=90,"100"))))))</f>
        <v>#N/A</v>
      </c>
      <c r="U135" s="1" t="e">
        <f>IF(MATCH(H135,Inherited!A:A),IF((((_xlfn.XLOOKUP(Assessment!H136,Inherited!A:A,Inherited!B:B))/100)*(_xlfn.XLOOKUP(Assessment!H136,Inherited!A:A,Inherited!G:G)))+(((100-(_xlfn.XLOOKUP(Assessment!H136,Inherited!A:A,Inherited!B:B)))/100)*IF(AB135="1.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(100%)","100"))))))&lt;=10,"0", IF(AND((((_xlfn.XLOOKUP(Assessment!H136,Inherited!A:A,Inherited!B:B))/100)*(_xlfn.XLOOKUP(Assessment!H136,Inherited!A:A,Inherited!G:G)))+(((100-(_xlfn.XLOOKUP(Assessment!H136,Inherited!A:A,Inherited!B:B)))/100)*IF(AB135="1.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(100%)","100"))))))&gt;=11,(((_xlfn.XLOOKUP(Assessment!H136,Inherited!A:A,Inherited!B:B))/100)*(_xlfn.XLOOKUP(Assessment!H136,Inherited!A:A,Inherited!G:G)))+(((100-(_xlfn.XLOOKUP(Assessment!H136,Inherited!A:A,Inherited!B:B)))/100)*IF(AB135="1.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(100%)","100"))))))&lt;=32),"25",IF(AND((((_xlfn.XLOOKUP(Assessment!H136,Inherited!A:A,Inherited!B:B))/100)*(_xlfn.XLOOKUP(Assessment!H136,Inherited!A:A,Inherited!G:G)))+(((100-(_xlfn.XLOOKUP(Assessment!H136,Inherited!A:A,Inherited!B:B)))/100)*IF(AB135="1.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(100%)","100"))))))&gt;=33,(((_xlfn.XLOOKUP(Assessment!H136,Inherited!A:A,Inherited!B:B))/100)*(_xlfn.XLOOKUP(Assessment!H136,Inherited!A:A,Inherited!G:G)))+(((100-(_xlfn.XLOOKUP(Assessment!H136,Inherited!A:A,Inherited!B:B)))/100)*IF(AB135="1.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(100%)","100"))))))&lt;=65),"50",IF(AND((((_xlfn.XLOOKUP(Assessment!H136,Inherited!A:A,Inherited!B:B))/100)*(_xlfn.XLOOKUP(Assessment!H136,Inherited!A:A,Inherited!G:G)))+(((100-(_xlfn.XLOOKUP(Assessment!H136,Inherited!A:A,Inherited!B:B)))/100)*IF(AB135="1.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(100%)","100"))))))&gt;=66,(((_xlfn.XLOOKUP(Assessment!H136,Inherited!A:A,Inherited!B:B))/100)*(_xlfn.XLOOKUP(Assessment!H136,Inherited!A:A,Inherited!G:G)))+(((100-(_xlfn.XLOOKUP(Assessment!H136,Inherited!A:A,Inherited!B:B)))/100)*IF(AB135="1.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(100%)","100"))))))&lt;=89),"75",IF((((_xlfn.XLOOKUP(Assessment!H136,Inherited!A:A,Inherited!B:B))/100)*(_xlfn.XLOOKUP(Assessment!H136,Inherited!A:A,Inherited!G:G)))+(((100-(_xlfn.XLOOKUP(Assessment!H136,Inherited!A:A,Inherited!B:B)))/100)*IF(AB135="1. Non Compliant (0%)","0",IF(AB135="2. Somewhat Compliant (25%)","25",IF(AB135="3. Partially Compliant (50%)","50",IF(AB135="4. Mostly Compliant (75%)","75",IF(AB135="5. Fully Compliant (100%)","100"))))))&gt;=90,"100"))))))</f>
        <v>#N/A</v>
      </c>
      <c r="V135" s="55" t="s">
        <v>85</v>
      </c>
      <c r="W135" s="55"/>
      <c r="X135" s="55"/>
      <c r="Y135" s="55"/>
      <c r="Z135" s="55" t="s">
        <v>10873</v>
      </c>
      <c r="AA135" s="55"/>
      <c r="AB135" s="55"/>
      <c r="AK135" s="1" t="s">
        <v>10978</v>
      </c>
      <c r="AL135" s="1" t="s">
        <v>10985</v>
      </c>
      <c r="AP135" s="1" t="s">
        <v>11097</v>
      </c>
      <c r="AX135" s="3" t="str">
        <f>_xlfn.CONCAT("A-LIGN finished its review of this control on ",AR135, " during the scheduled fieldwork window (",Intro!$B$4,")."&amp; CHAR(10)&amp; CHAR(10))</f>
        <v xml:space="preserve">A-LIGN finished its review of this control on  during the scheduled fieldwork window (Fieldwork: xx/xx/xxxx - xx/xx/xxxx).
</v>
      </c>
      <c r="AY135" s="3" t="str">
        <f t="shared" si="311"/>
        <v/>
      </c>
      <c r="AZ135" s="3" t="str">
        <f t="shared" si="312"/>
        <v/>
      </c>
      <c r="BA135" s="3" t="str">
        <f t="shared" si="313"/>
        <v/>
      </c>
      <c r="BB135"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35" s="3" t="str">
        <f t="shared" si="315"/>
        <v/>
      </c>
      <c r="BD135"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risk assessment policy contains the purpose, scope, roles, responsibilities, management commitment, coordination among organizational entities, and compliance 
</v>
      </c>
      <c r="BE135" s="3" t="str">
        <f t="shared" si="317"/>
        <v/>
      </c>
      <c r="BF135" s="3" t="str">
        <f t="shared" si="318"/>
        <v/>
      </c>
      <c r="BG135" s="3" t="str">
        <f>_xlfn.CONCAT((IF((COUNTIF('Sample Tables'!B:B,"")&gt;0)=TRUE,_xlfn.CONCAT("",""),IF((COUNTIF('Sample Tables'!B:B,"")&gt;0)=FALSE,""))),)</f>
        <v/>
      </c>
      <c r="BH135"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risk assessment policy contains the purpose, scope, roles, responsibilities, management commitment, coordination among organizational entities, and compliance 
</v>
      </c>
    </row>
    <row r="136" spans="3:60" ht="409.5" x14ac:dyDescent="0.35">
      <c r="C136" s="1">
        <f t="shared" si="310"/>
        <v>0</v>
      </c>
      <c r="D136" s="5" t="str">
        <f>IF(AND((_xlfn.XLOOKUP(J136,'Fields &amp; Revisions'!$H:$H,'Fields &amp; Revisions'!$I:$I))&lt;70.99,(OR(Z136="4. Mostly Compliant (75%)",Z136="3. Partially Compliant (50%)",Z136="2. Somewhat Compliant (25%)",Z136="1. Non Compliant (0%)"))),"Yes","No")</f>
        <v>Yes</v>
      </c>
      <c r="E136" s="5" t="str">
        <f>IF(ISERROR(VLOOKUP(H136,Scope!A:A,1,FALSE)),"No","Yes")</f>
        <v>Yes</v>
      </c>
      <c r="F136" s="1" t="s">
        <v>4666</v>
      </c>
      <c r="G136" s="53" t="s">
        <v>4670</v>
      </c>
      <c r="H136" s="53" t="s">
        <v>4671</v>
      </c>
      <c r="I136" s="5" t="s">
        <v>137</v>
      </c>
      <c r="J136" s="1" t="s">
        <v>94</v>
      </c>
      <c r="K136" s="54" t="s">
        <v>4672</v>
      </c>
      <c r="L136" s="1" t="s">
        <v>10999</v>
      </c>
      <c r="O136" s="1" t="str">
        <f>_xlfn.XLOOKUP(G136,SRMs!$A:$A,SRMs!$D:$D)</f>
        <v>NO INHERITANCE</v>
      </c>
      <c r="P136" s="1" t="str">
        <f>IFERROR(VLOOKUP(H136,Inherited!A:B,2,FALSE),"")</f>
        <v/>
      </c>
      <c r="Q136" s="1" t="e">
        <f>IF(MATCH(H136,Inherited!A:A),IF((((_xlfn.XLOOKUP(Assessment!#REF!,Inherited!A:A,Inherited!B:B))/100)*(_xlfn.XLOOKUP(Assessment!#REF!,Inherited!A:A,Inherited!C:C)))+(((100-(_xlfn.XLOOKUP(Assessment!#REF!,Inherited!A:A,Inherited!B:B)))/100)*IF(X136="1.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(100%)","100"))))))&lt;=10,"0", IF(AND((((_xlfn.XLOOKUP(Assessment!#REF!,Inherited!A:A,Inherited!B:B))/100)*(_xlfn.XLOOKUP(Assessment!#REF!,Inherited!A:A,Inherited!C:C)))+(((100-(_xlfn.XLOOKUP(Assessment!#REF!,Inherited!A:A,Inherited!B:B)))/100)*IF(X136="1.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(100%)","100"))))))&gt;=11,(((_xlfn.XLOOKUP(Assessment!#REF!,Inherited!A:A,Inherited!B:B))/100)*(_xlfn.XLOOKUP(Assessment!#REF!,Inherited!A:A,Inherited!C:C)))+(((100-(_xlfn.XLOOKUP(Assessment!#REF!,Inherited!A:A,Inherited!B:B)))/100)*IF(X136="1.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(100%)","100"))))))&lt;=32),"25",IF(AND((((_xlfn.XLOOKUP(Assessment!#REF!,Inherited!A:A,Inherited!B:B))/100)*(_xlfn.XLOOKUP(Assessment!#REF!,Inherited!A:A,Inherited!C:C)))+(((100-(_xlfn.XLOOKUP(Assessment!#REF!,Inherited!A:A,Inherited!B:B)))/100)*IF(X136="1.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(100%)","100"))))))&gt;=33,(((_xlfn.XLOOKUP(Assessment!#REF!,Inherited!A:A,Inherited!B:B))/100)*(_xlfn.XLOOKUP(Assessment!#REF!,Inherited!A:A,Inherited!C:C)))+(((100-(_xlfn.XLOOKUP(Assessment!#REF!,Inherited!A:A,Inherited!B:B)))/100)*IF(X136="1.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(100%)","100"))))))&lt;=65),"50",IF(AND((((_xlfn.XLOOKUP(Assessment!#REF!,Inherited!A:A,Inherited!B:B))/100)*(_xlfn.XLOOKUP(Assessment!#REF!,Inherited!A:A,Inherited!C:C)))+(((100-(_xlfn.XLOOKUP(Assessment!#REF!,Inherited!A:A,Inherited!B:B)))/100)*IF(X136="1.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(100%)","100"))))))&gt;=66,(((_xlfn.XLOOKUP(Assessment!#REF!,Inherited!A:A,Inherited!B:B))/100)*(_xlfn.XLOOKUP(Assessment!#REF!,Inherited!A:A,Inherited!C:C)))+(((100-(_xlfn.XLOOKUP(Assessment!#REF!,Inherited!A:A,Inherited!B:B)))/100)*IF(X136="1.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(100%)","100"))))))&lt;=89),"75",IF((((_xlfn.XLOOKUP(Assessment!#REF!,Inherited!A:A,Inherited!B:B))/100)*(_xlfn.XLOOKUP(Assessment!#REF!,Inherited!A:A,Inherited!C:C)))+(((100-(_xlfn.XLOOKUP(Assessment!#REF!,Inherited!A:A,Inherited!B:B)))/100)*IF(X136="1. Non Compliant (0%)","0",IF(X136="2. Somewhat Compliant (25%)","25",IF(X136="3. Partially Compliant (50%)","50",IF(X136="4. Mostly Compliant (75%)","75",IF(X136="5. Fully Compliant (100%)","100"))))))&gt;=90,"100"))))))</f>
        <v>#N/A</v>
      </c>
      <c r="R136" s="1" t="e">
        <f>IF(MATCH(H136,Inherited!A:A),IF((((_xlfn.XLOOKUP(Assessment!#REF!,Inherited!A:A,Inherited!B:B))/100)*(_xlfn.XLOOKUP(Assessment!#REF!,Inherited!A:A,Inherited!D:D)))+(((100-(_xlfn.XLOOKUP(Assessment!#REF!,Inherited!A:A,Inherited!B:B)))/100)*IF(Y136="1.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(100%)","100"))))))&lt;=10,"0", IF(AND((((_xlfn.XLOOKUP(Assessment!#REF!,Inherited!A:A,Inherited!B:B))/100)*(_xlfn.XLOOKUP(Assessment!#REF!,Inherited!A:A,Inherited!D:D)))+(((100-(_xlfn.XLOOKUP(Assessment!#REF!,Inherited!A:A,Inherited!B:B)))/100)*IF(Y136="1.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(100%)","100"))))))&gt;=11,(((_xlfn.XLOOKUP(Assessment!#REF!,Inherited!A:A,Inherited!B:B))/100)*(_xlfn.XLOOKUP(Assessment!#REF!,Inherited!A:A,Inherited!D:D)))+(((100-(_xlfn.XLOOKUP(Assessment!#REF!,Inherited!A:A,Inherited!B:B)))/100)*IF(Y136="1.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(100%)","100"))))))&lt;=32),"25",IF(AND((((_xlfn.XLOOKUP(Assessment!#REF!,Inherited!A:A,Inherited!B:B))/100)*(_xlfn.XLOOKUP(Assessment!#REF!,Inherited!A:A,Inherited!D:D)))+(((100-(_xlfn.XLOOKUP(Assessment!#REF!,Inherited!A:A,Inherited!B:B)))/100)*IF(Y136="1.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(100%)","100"))))))&gt;=33,(((_xlfn.XLOOKUP(Assessment!#REF!,Inherited!A:A,Inherited!B:B))/100)*(_xlfn.XLOOKUP(Assessment!#REF!,Inherited!A:A,Inherited!D:D)))+(((100-(_xlfn.XLOOKUP(Assessment!#REF!,Inherited!A:A,Inherited!B:B)))/100)*IF(Y136="1.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(100%)","100"))))))&lt;=65),"50",IF(AND((((_xlfn.XLOOKUP(Assessment!#REF!,Inherited!A:A,Inherited!B:B))/100)*(_xlfn.XLOOKUP(Assessment!#REF!,Inherited!A:A,Inherited!D:D)))+(((100-(_xlfn.XLOOKUP(Assessment!#REF!,Inherited!A:A,Inherited!B:B)))/100)*IF(Y136="1.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(100%)","100"))))))&gt;=66,(((_xlfn.XLOOKUP(Assessment!#REF!,Inherited!A:A,Inherited!B:B))/100)*(_xlfn.XLOOKUP(Assessment!#REF!,Inherited!A:A,Inherited!D:D)))+(((100-(_xlfn.XLOOKUP(Assessment!#REF!,Inherited!A:A,Inherited!B:B)))/100)*IF(Y136="1.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(100%)","100"))))))&lt;=89),"75",IF((((_xlfn.XLOOKUP(Assessment!#REF!,Inherited!A:A,Inherited!B:B))/100)*(_xlfn.XLOOKUP(Assessment!#REF!,Inherited!A:A,Inherited!D:D)))+(((100-(_xlfn.XLOOKUP(Assessment!#REF!,Inherited!A:A,Inherited!B:B)))/100)*IF(Y136="1. Non Compliant (0%)","0",IF(Y136="2. Somewhat Compliant (25%)","25",IF(Y136="3. Partially Compliant (50%)","50",IF(Y136="4. Mostly Compliant (75%)","75",IF(Y136="5. Fully Compliant (100%)","100"))))))&gt;=90,"100"))))))</f>
        <v>#N/A</v>
      </c>
      <c r="S136" s="1" t="e">
        <f>IF(MATCH(H136,Inherited!A:A),IF((((_xlfn.XLOOKUP(Assessment!#REF!,Inherited!A:A,Inherited!B:B))/100)*(_xlfn.XLOOKUP(Assessment!#REF!,Inherited!A:A,Inherited!E:E)))+(((100-(_xlfn.XLOOKUP(Assessment!#REF!,Inherited!A:A,Inherited!B:B)))/100)*IF(Z136="1.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(100%)","100"))))))&lt;=10,"0", IF(AND((((_xlfn.XLOOKUP(Assessment!#REF!,Inherited!A:A,Inherited!B:B))/100)*(_xlfn.XLOOKUP(Assessment!#REF!,Inherited!A:A,Inherited!E:E)))+(((100-(_xlfn.XLOOKUP(Assessment!#REF!,Inherited!A:A,Inherited!B:B)))/100)*IF(Z136="1.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(100%)","100"))))))&gt;=11,(((_xlfn.XLOOKUP(Assessment!#REF!,Inherited!A:A,Inherited!B:B))/100)*(_xlfn.XLOOKUP(Assessment!#REF!,Inherited!A:A,Inherited!E:E)))+(((100-(_xlfn.XLOOKUP(Assessment!#REF!,Inherited!A:A,Inherited!B:B)))/100)*IF(Z136="1.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(100%)","100"))))))&lt;=32),"25",IF(AND((((_xlfn.XLOOKUP(Assessment!#REF!,Inherited!A:A,Inherited!B:B))/100)*(_xlfn.XLOOKUP(Assessment!#REF!,Inherited!A:A,Inherited!E:E)))+(((100-(_xlfn.XLOOKUP(Assessment!#REF!,Inherited!A:A,Inherited!B:B)))/100)*IF(Z136="1.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(100%)","100"))))))&gt;=33,(((_xlfn.XLOOKUP(Assessment!#REF!,Inherited!A:A,Inherited!B:B))/100)*(_xlfn.XLOOKUP(Assessment!#REF!,Inherited!A:A,Inherited!E:E)))+(((100-(_xlfn.XLOOKUP(Assessment!#REF!,Inherited!A:A,Inherited!B:B)))/100)*IF(Z136="1.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(100%)","100"))))))&lt;=65),"50",IF(AND((((_xlfn.XLOOKUP(Assessment!#REF!,Inherited!A:A,Inherited!B:B))/100)*(_xlfn.XLOOKUP(Assessment!#REF!,Inherited!A:A,Inherited!E:E)))+(((100-(_xlfn.XLOOKUP(Assessment!#REF!,Inherited!A:A,Inherited!B:B)))/100)*IF(Z136="1.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(100%)","100"))))))&gt;=66,(((_xlfn.XLOOKUP(Assessment!#REF!,Inherited!A:A,Inherited!B:B))/100)*(_xlfn.XLOOKUP(Assessment!#REF!,Inherited!A:A,Inherited!E:E)))+(((100-(_xlfn.XLOOKUP(Assessment!#REF!,Inherited!A:A,Inherited!B:B)))/100)*IF(Z136="1.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(100%)","100"))))))&lt;=89),"75",IF((((_xlfn.XLOOKUP(Assessment!#REF!,Inherited!A:A,Inherited!B:B))/100)*(_xlfn.XLOOKUP(Assessment!#REF!,Inherited!A:A,Inherited!E:E)))+(((100-(_xlfn.XLOOKUP(Assessment!#REF!,Inherited!A:A,Inherited!B:B)))/100)*IF(Z136="1. Non Compliant (0%)","0",IF(Z136="2. Somewhat Compliant (25%)","25",IF(Z136="3. Partially Compliant (50%)","50",IF(Z136="4. Mostly Compliant (75%)","75",IF(Z136="5. Fully Compliant (100%)","100"))))))&gt;=90,"100"))))))</f>
        <v>#N/A</v>
      </c>
      <c r="T136" s="1" t="e">
        <f>IF(MATCH(H136,Inherited!A:A),IF((((_xlfn.XLOOKUP(Assessment!#REF!,Inherited!A:A,Inherited!B:B))/100)*(_xlfn.XLOOKUP(Assessment!#REF!,Inherited!A:A,Inherited!F:F)))+(((100-(_xlfn.XLOOKUP(Assessment!#REF!,Inherited!A:A,Inherited!B:B)))/100)*IF(AA136="1.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(100%)","100"))))))&lt;=10,"0", IF(AND((((_xlfn.XLOOKUP(Assessment!#REF!,Inherited!A:A,Inherited!B:B))/100)*(_xlfn.XLOOKUP(Assessment!#REF!,Inherited!A:A,Inherited!F:F)))+(((100-(_xlfn.XLOOKUP(Assessment!#REF!,Inherited!A:A,Inherited!B:B)))/100)*IF(AA136="1.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(100%)","100"))))))&gt;=11,(((_xlfn.XLOOKUP(Assessment!#REF!,Inherited!A:A,Inherited!B:B))/100)*(_xlfn.XLOOKUP(Assessment!#REF!,Inherited!A:A,Inherited!F:F)))+(((100-(_xlfn.XLOOKUP(Assessment!#REF!,Inherited!A:A,Inherited!B:B)))/100)*IF(AA136="1.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(100%)","100"))))))&lt;=32),"25",IF(AND((((_xlfn.XLOOKUP(Assessment!#REF!,Inherited!A:A,Inherited!B:B))/100)*(_xlfn.XLOOKUP(Assessment!#REF!,Inherited!A:A,Inherited!F:F)))+(((100-(_xlfn.XLOOKUP(Assessment!#REF!,Inherited!A:A,Inherited!B:B)))/100)*IF(AA136="1.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(100%)","100"))))))&gt;=33,(((_xlfn.XLOOKUP(Assessment!#REF!,Inherited!A:A,Inherited!B:B))/100)*(_xlfn.XLOOKUP(Assessment!#REF!,Inherited!A:A,Inherited!F:F)))+(((100-(_xlfn.XLOOKUP(Assessment!#REF!,Inherited!A:A,Inherited!B:B)))/100)*IF(AA136="1.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(100%)","100"))))))&lt;=65),"50",IF(AND((((_xlfn.XLOOKUP(Assessment!#REF!,Inherited!A:A,Inherited!B:B))/100)*(_xlfn.XLOOKUP(Assessment!#REF!,Inherited!A:A,Inherited!F:F)))+(((100-(_xlfn.XLOOKUP(Assessment!#REF!,Inherited!A:A,Inherited!B:B)))/100)*IF(AA136="1.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(100%)","100"))))))&gt;=66,(((_xlfn.XLOOKUP(Assessment!#REF!,Inherited!A:A,Inherited!B:B))/100)*(_xlfn.XLOOKUP(Assessment!#REF!,Inherited!A:A,Inherited!F:F)))+(((100-(_xlfn.XLOOKUP(Assessment!#REF!,Inherited!A:A,Inherited!B:B)))/100)*IF(AA136="1.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(100%)","100"))))))&lt;=89),"75",IF((((_xlfn.XLOOKUP(Assessment!#REF!,Inherited!A:A,Inherited!B:B))/100)*(_xlfn.XLOOKUP(Assessment!#REF!,Inherited!A:A,Inherited!F:F)))+(((100-(_xlfn.XLOOKUP(Assessment!#REF!,Inherited!A:A,Inherited!B:B)))/100)*IF(AA136="1. Non Compliant (0%)","0",IF(AA136="2. Somewhat Compliant (25%)","25",IF(AA136="3. Partially Compliant (50%)","50",IF(AA136="4. Mostly Compliant (75%)","75",IF(AA136="5. Fully Compliant (100%)","100"))))))&gt;=90,"100"))))))</f>
        <v>#N/A</v>
      </c>
      <c r="U136" s="1" t="e">
        <f>IF(MATCH(H136,Inherited!A:A),IF((((_xlfn.XLOOKUP(Assessment!#REF!,Inherited!A:A,Inherited!B:B))/100)*(_xlfn.XLOOKUP(Assessment!#REF!,Inherited!A:A,Inherited!G:G)))+(((100-(_xlfn.XLOOKUP(Assessment!#REF!,Inherited!A:A,Inherited!B:B)))/100)*IF(AB136="1.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(100%)","100"))))))&lt;=10,"0", IF(AND((((_xlfn.XLOOKUP(Assessment!#REF!,Inherited!A:A,Inherited!B:B))/100)*(_xlfn.XLOOKUP(Assessment!#REF!,Inherited!A:A,Inherited!G:G)))+(((100-(_xlfn.XLOOKUP(Assessment!#REF!,Inherited!A:A,Inherited!B:B)))/100)*IF(AB136="1.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(100%)","100"))))))&gt;=11,(((_xlfn.XLOOKUP(Assessment!#REF!,Inherited!A:A,Inherited!B:B))/100)*(_xlfn.XLOOKUP(Assessment!#REF!,Inherited!A:A,Inherited!G:G)))+(((100-(_xlfn.XLOOKUP(Assessment!#REF!,Inherited!A:A,Inherited!B:B)))/100)*IF(AB136="1.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(100%)","100"))))))&lt;=32),"25",IF(AND((((_xlfn.XLOOKUP(Assessment!#REF!,Inherited!A:A,Inherited!B:B))/100)*(_xlfn.XLOOKUP(Assessment!#REF!,Inherited!A:A,Inherited!G:G)))+(((100-(_xlfn.XLOOKUP(Assessment!#REF!,Inherited!A:A,Inherited!B:B)))/100)*IF(AB136="1.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(100%)","100"))))))&gt;=33,(((_xlfn.XLOOKUP(Assessment!#REF!,Inherited!A:A,Inherited!B:B))/100)*(_xlfn.XLOOKUP(Assessment!#REF!,Inherited!A:A,Inherited!G:G)))+(((100-(_xlfn.XLOOKUP(Assessment!#REF!,Inherited!A:A,Inherited!B:B)))/100)*IF(AB136="1.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(100%)","100"))))))&lt;=65),"50",IF(AND((((_xlfn.XLOOKUP(Assessment!#REF!,Inherited!A:A,Inherited!B:B))/100)*(_xlfn.XLOOKUP(Assessment!#REF!,Inherited!A:A,Inherited!G:G)))+(((100-(_xlfn.XLOOKUP(Assessment!#REF!,Inherited!A:A,Inherited!B:B)))/100)*IF(AB136="1.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(100%)","100"))))))&gt;=66,(((_xlfn.XLOOKUP(Assessment!#REF!,Inherited!A:A,Inherited!B:B))/100)*(_xlfn.XLOOKUP(Assessment!#REF!,Inherited!A:A,Inherited!G:G)))+(((100-(_xlfn.XLOOKUP(Assessment!#REF!,Inherited!A:A,Inherited!B:B)))/100)*IF(AB136="1.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(100%)","100"))))))&lt;=89),"75",IF((((_xlfn.XLOOKUP(Assessment!#REF!,Inherited!A:A,Inherited!B:B))/100)*(_xlfn.XLOOKUP(Assessment!#REF!,Inherited!A:A,Inherited!G:G)))+(((100-(_xlfn.XLOOKUP(Assessment!#REF!,Inherited!A:A,Inherited!B:B)))/100)*IF(AB136="1. Non Compliant (0%)","0",IF(AB136="2. Somewhat Compliant (25%)","25",IF(AB136="3. Partially Compliant (50%)","50",IF(AB136="4. Mostly Compliant (75%)","75",IF(AB136="5. Fully Compliant (100%)","100"))))))&gt;=90,"100"))))))</f>
        <v>#N/A</v>
      </c>
      <c r="V136" s="55" t="s">
        <v>85</v>
      </c>
      <c r="W136" s="55"/>
      <c r="X136" s="55"/>
      <c r="Y136" s="55"/>
      <c r="Z136" s="55" t="s">
        <v>10873</v>
      </c>
      <c r="AA136" s="55"/>
      <c r="AB136" s="55"/>
      <c r="AK136" s="1" t="s">
        <v>10978</v>
      </c>
      <c r="AL136" s="1" t="s">
        <v>10985</v>
      </c>
      <c r="AP136" s="1" t="s">
        <v>11098</v>
      </c>
      <c r="AX136" s="3" t="str">
        <f>_xlfn.CONCAT("A-LIGN finished its review of this control on ",AR136, " during the scheduled fieldwork window (",Intro!$B$4,")."&amp; CHAR(10)&amp; CHAR(10))</f>
        <v xml:space="preserve">A-LIGN finished its review of this control on  during the scheduled fieldwork window (Fieldwork: xx/xx/xxxx - xx/xx/xxxx).
</v>
      </c>
      <c r="AY136" s="3" t="str">
        <f t="shared" si="311"/>
        <v/>
      </c>
      <c r="AZ136" s="3" t="str">
        <f t="shared" si="312"/>
        <v/>
      </c>
      <c r="BA136" s="3" t="str">
        <f t="shared" si="313"/>
        <v/>
      </c>
      <c r="BB136"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36" s="3" t="str">
        <f t="shared" si="315"/>
        <v/>
      </c>
      <c r="BD136"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risk assessment policy is consistent with applicable laws, Executive Orders, directives, regulations, policies, standards, and guidelines. 
- risk assessment policy addresses organization\'s designation of an official to manage the development, documentation, and dissemination of the risk assessment policy and procedures.
</v>
      </c>
      <c r="BE136" s="3" t="str">
        <f t="shared" si="317"/>
        <v/>
      </c>
      <c r="BF136" s="3" t="str">
        <f t="shared" si="318"/>
        <v/>
      </c>
      <c r="BG136" s="3" t="str">
        <f>_xlfn.CONCAT((IF((COUNTIF('Sample Tables'!B:B,"")&gt;0)=TRUE,_xlfn.CONCAT("",""),IF((COUNTIF('Sample Tables'!B:B,"")&gt;0)=FALSE,""))),)</f>
        <v/>
      </c>
      <c r="BH136"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risk assessment policy is consistent with applicable laws, Executive Orders, directives, regulations, policies, standards, and guidelines. 
- risk assessment policy addresses organization\'s designation of an official to manage the development, documentation, and dissemination of the risk assessment policy and procedures.
</v>
      </c>
    </row>
    <row r="137" spans="3:60" ht="409.5" x14ac:dyDescent="0.35">
      <c r="C137" s="1">
        <f t="shared" si="310"/>
        <v>0</v>
      </c>
      <c r="D137" s="5" t="str">
        <f>IF(AND((_xlfn.XLOOKUP(J137,'Fields &amp; Revisions'!$H:$H,'Fields &amp; Revisions'!$I:$I))&lt;70.99,(OR(Z137="4. Mostly Compliant (75%)",Z137="3. Partially Compliant (50%)",Z137="2. Somewhat Compliant (25%)",Z137="1. Non Compliant (0%)"))),"Yes","No")</f>
        <v>Yes</v>
      </c>
      <c r="E137" s="5" t="str">
        <f>IF(ISERROR(VLOOKUP(H137,Scope!A:A,1,FALSE)),"No","Yes")</f>
        <v>Yes</v>
      </c>
      <c r="F137" s="1" t="s">
        <v>4666</v>
      </c>
      <c r="G137" s="53" t="s">
        <v>4685</v>
      </c>
      <c r="H137" s="53" t="s">
        <v>4686</v>
      </c>
      <c r="I137" s="5" t="s">
        <v>225</v>
      </c>
      <c r="J137" s="1" t="s">
        <v>226</v>
      </c>
      <c r="K137" s="54" t="s">
        <v>4687</v>
      </c>
      <c r="L137" s="1" t="s">
        <v>4688</v>
      </c>
      <c r="M137" s="1" t="s">
        <v>4689</v>
      </c>
      <c r="N137" s="5" t="s">
        <v>98</v>
      </c>
      <c r="O137" s="1" t="str">
        <f>_xlfn.XLOOKUP(G137,SRMs!$A:$A,SRMs!$D:$D)</f>
        <v>NO INHERITANCE</v>
      </c>
      <c r="P137" s="1" t="str">
        <f>IFERROR(VLOOKUP(H137,Inherited!A:B,2,FALSE),"")</f>
        <v/>
      </c>
      <c r="Q137" s="1" t="e">
        <f>IF(MATCH(H137,Inherited!A:A),IF((((_xlfn.XLOOKUP(Assessment!H138,Inherited!A:A,Inherited!B:B))/100)*(_xlfn.XLOOKUP(Assessment!H138,Inherited!A:A,Inherited!C:C)))+(((100-(_xlfn.XLOOKUP(Assessment!H138,Inherited!A:A,Inherited!B:B)))/100)*IF(X137="1.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(100%)","100"))))))&lt;=10,"0", IF(AND((((_xlfn.XLOOKUP(Assessment!H138,Inherited!A:A,Inherited!B:B))/100)*(_xlfn.XLOOKUP(Assessment!H138,Inherited!A:A,Inherited!C:C)))+(((100-(_xlfn.XLOOKUP(Assessment!H138,Inherited!A:A,Inherited!B:B)))/100)*IF(X137="1.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(100%)","100"))))))&gt;=11,(((_xlfn.XLOOKUP(Assessment!H138,Inherited!A:A,Inherited!B:B))/100)*(_xlfn.XLOOKUP(Assessment!H138,Inherited!A:A,Inherited!C:C)))+(((100-(_xlfn.XLOOKUP(Assessment!H138,Inherited!A:A,Inherited!B:B)))/100)*IF(X137="1.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(100%)","100"))))))&lt;=32),"25",IF(AND((((_xlfn.XLOOKUP(Assessment!H138,Inherited!A:A,Inherited!B:B))/100)*(_xlfn.XLOOKUP(Assessment!H138,Inherited!A:A,Inherited!C:C)))+(((100-(_xlfn.XLOOKUP(Assessment!H138,Inherited!A:A,Inherited!B:B)))/100)*IF(X137="1.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(100%)","100"))))))&gt;=33,(((_xlfn.XLOOKUP(Assessment!H138,Inherited!A:A,Inherited!B:B))/100)*(_xlfn.XLOOKUP(Assessment!H138,Inherited!A:A,Inherited!C:C)))+(((100-(_xlfn.XLOOKUP(Assessment!H138,Inherited!A:A,Inherited!B:B)))/100)*IF(X137="1.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(100%)","100"))))))&lt;=65),"50",IF(AND((((_xlfn.XLOOKUP(Assessment!H138,Inherited!A:A,Inherited!B:B))/100)*(_xlfn.XLOOKUP(Assessment!H138,Inherited!A:A,Inherited!C:C)))+(((100-(_xlfn.XLOOKUP(Assessment!H138,Inherited!A:A,Inherited!B:B)))/100)*IF(X137="1.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(100%)","100"))))))&gt;=66,(((_xlfn.XLOOKUP(Assessment!H138,Inherited!A:A,Inherited!B:B))/100)*(_xlfn.XLOOKUP(Assessment!H138,Inherited!A:A,Inherited!C:C)))+(((100-(_xlfn.XLOOKUP(Assessment!H138,Inherited!A:A,Inherited!B:B)))/100)*IF(X137="1.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(100%)","100"))))))&lt;=89),"75",IF((((_xlfn.XLOOKUP(Assessment!H138,Inherited!A:A,Inherited!B:B))/100)*(_xlfn.XLOOKUP(Assessment!H138,Inherited!A:A,Inherited!C:C)))+(((100-(_xlfn.XLOOKUP(Assessment!H138,Inherited!A:A,Inherited!B:B)))/100)*IF(X137="1. Non Compliant (0%)","0",IF(X137="2. Somewhat Compliant (25%)","25",IF(X137="3. Partially Compliant (50%)","50",IF(X137="4. Mostly Compliant (75%)","75",IF(X137="5. Fully Compliant (100%)","100"))))))&gt;=90,"100"))))))</f>
        <v>#N/A</v>
      </c>
      <c r="R137" s="1" t="e">
        <f>IF(MATCH(H137,Inherited!A:A),IF((((_xlfn.XLOOKUP(Assessment!H138,Inherited!A:A,Inherited!B:B))/100)*(_xlfn.XLOOKUP(Assessment!H138,Inherited!A:A,Inherited!D:D)))+(((100-(_xlfn.XLOOKUP(Assessment!H138,Inherited!A:A,Inherited!B:B)))/100)*IF(Y137="1.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(100%)","100"))))))&lt;=10,"0", IF(AND((((_xlfn.XLOOKUP(Assessment!H138,Inherited!A:A,Inherited!B:B))/100)*(_xlfn.XLOOKUP(Assessment!H138,Inherited!A:A,Inherited!D:D)))+(((100-(_xlfn.XLOOKUP(Assessment!H138,Inherited!A:A,Inherited!B:B)))/100)*IF(Y137="1.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(100%)","100"))))))&gt;=11,(((_xlfn.XLOOKUP(Assessment!H138,Inherited!A:A,Inherited!B:B))/100)*(_xlfn.XLOOKUP(Assessment!H138,Inherited!A:A,Inherited!D:D)))+(((100-(_xlfn.XLOOKUP(Assessment!H138,Inherited!A:A,Inherited!B:B)))/100)*IF(Y137="1.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(100%)","100"))))))&lt;=32),"25",IF(AND((((_xlfn.XLOOKUP(Assessment!H138,Inherited!A:A,Inherited!B:B))/100)*(_xlfn.XLOOKUP(Assessment!H138,Inherited!A:A,Inherited!D:D)))+(((100-(_xlfn.XLOOKUP(Assessment!H138,Inherited!A:A,Inherited!B:B)))/100)*IF(Y137="1.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(100%)","100"))))))&gt;=33,(((_xlfn.XLOOKUP(Assessment!H138,Inherited!A:A,Inherited!B:B))/100)*(_xlfn.XLOOKUP(Assessment!H138,Inherited!A:A,Inherited!D:D)))+(((100-(_xlfn.XLOOKUP(Assessment!H138,Inherited!A:A,Inherited!B:B)))/100)*IF(Y137="1.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(100%)","100"))))))&lt;=65),"50",IF(AND((((_xlfn.XLOOKUP(Assessment!H138,Inherited!A:A,Inherited!B:B))/100)*(_xlfn.XLOOKUP(Assessment!H138,Inherited!A:A,Inherited!D:D)))+(((100-(_xlfn.XLOOKUP(Assessment!H138,Inherited!A:A,Inherited!B:B)))/100)*IF(Y137="1.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(100%)","100"))))))&gt;=66,(((_xlfn.XLOOKUP(Assessment!H138,Inherited!A:A,Inherited!B:B))/100)*(_xlfn.XLOOKUP(Assessment!H138,Inherited!A:A,Inherited!D:D)))+(((100-(_xlfn.XLOOKUP(Assessment!H138,Inherited!A:A,Inherited!B:B)))/100)*IF(Y137="1.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(100%)","100"))))))&lt;=89),"75",IF((((_xlfn.XLOOKUP(Assessment!H138,Inherited!A:A,Inherited!B:B))/100)*(_xlfn.XLOOKUP(Assessment!H138,Inherited!A:A,Inherited!D:D)))+(((100-(_xlfn.XLOOKUP(Assessment!H138,Inherited!A:A,Inherited!B:B)))/100)*IF(Y137="1. Non Compliant (0%)","0",IF(Y137="2. Somewhat Compliant (25%)","25",IF(Y137="3. Partially Compliant (50%)","50",IF(Y137="4. Mostly Compliant (75%)","75",IF(Y137="5. Fully Compliant (100%)","100"))))))&gt;=90,"100"))))))</f>
        <v>#N/A</v>
      </c>
      <c r="S137" s="1" t="e">
        <f>IF(MATCH(H137,Inherited!A:A),IF((((_xlfn.XLOOKUP(Assessment!H138,Inherited!A:A,Inherited!B:B))/100)*(_xlfn.XLOOKUP(Assessment!H138,Inherited!A:A,Inherited!E:E)))+(((100-(_xlfn.XLOOKUP(Assessment!H138,Inherited!A:A,Inherited!B:B)))/100)*IF(Z137="1.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(100%)","100"))))))&lt;=10,"0", IF(AND((((_xlfn.XLOOKUP(Assessment!H138,Inherited!A:A,Inherited!B:B))/100)*(_xlfn.XLOOKUP(Assessment!H138,Inherited!A:A,Inherited!E:E)))+(((100-(_xlfn.XLOOKUP(Assessment!H138,Inherited!A:A,Inherited!B:B)))/100)*IF(Z137="1.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(100%)","100"))))))&gt;=11,(((_xlfn.XLOOKUP(Assessment!H138,Inherited!A:A,Inherited!B:B))/100)*(_xlfn.XLOOKUP(Assessment!H138,Inherited!A:A,Inherited!E:E)))+(((100-(_xlfn.XLOOKUP(Assessment!H138,Inherited!A:A,Inherited!B:B)))/100)*IF(Z137="1.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(100%)","100"))))))&lt;=32),"25",IF(AND((((_xlfn.XLOOKUP(Assessment!H138,Inherited!A:A,Inherited!B:B))/100)*(_xlfn.XLOOKUP(Assessment!H138,Inherited!A:A,Inherited!E:E)))+(((100-(_xlfn.XLOOKUP(Assessment!H138,Inherited!A:A,Inherited!B:B)))/100)*IF(Z137="1.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(100%)","100"))))))&gt;=33,(((_xlfn.XLOOKUP(Assessment!H138,Inherited!A:A,Inherited!B:B))/100)*(_xlfn.XLOOKUP(Assessment!H138,Inherited!A:A,Inherited!E:E)))+(((100-(_xlfn.XLOOKUP(Assessment!H138,Inherited!A:A,Inherited!B:B)))/100)*IF(Z137="1.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(100%)","100"))))))&lt;=65),"50",IF(AND((((_xlfn.XLOOKUP(Assessment!H138,Inherited!A:A,Inherited!B:B))/100)*(_xlfn.XLOOKUP(Assessment!H138,Inherited!A:A,Inherited!E:E)))+(((100-(_xlfn.XLOOKUP(Assessment!H138,Inherited!A:A,Inherited!B:B)))/100)*IF(Z137="1.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(100%)","100"))))))&gt;=66,(((_xlfn.XLOOKUP(Assessment!H138,Inherited!A:A,Inherited!B:B))/100)*(_xlfn.XLOOKUP(Assessment!H138,Inherited!A:A,Inherited!E:E)))+(((100-(_xlfn.XLOOKUP(Assessment!H138,Inherited!A:A,Inherited!B:B)))/100)*IF(Z137="1.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(100%)","100"))))))&lt;=89),"75",IF((((_xlfn.XLOOKUP(Assessment!H138,Inherited!A:A,Inherited!B:B))/100)*(_xlfn.XLOOKUP(Assessment!H138,Inherited!A:A,Inherited!E:E)))+(((100-(_xlfn.XLOOKUP(Assessment!H138,Inherited!A:A,Inherited!B:B)))/100)*IF(Z137="1. Non Compliant (0%)","0",IF(Z137="2. Somewhat Compliant (25%)","25",IF(Z137="3. Partially Compliant (50%)","50",IF(Z137="4. Mostly Compliant (75%)","75",IF(Z137="5. Fully Compliant (100%)","100"))))))&gt;=90,"100"))))))</f>
        <v>#N/A</v>
      </c>
      <c r="T137" s="1" t="e">
        <f>IF(MATCH(H137,Inherited!A:A),IF((((_xlfn.XLOOKUP(Assessment!H138,Inherited!A:A,Inherited!B:B))/100)*(_xlfn.XLOOKUP(Assessment!H138,Inherited!A:A,Inherited!F:F)))+(((100-(_xlfn.XLOOKUP(Assessment!H138,Inherited!A:A,Inherited!B:B)))/100)*IF(AA137="1.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(100%)","100"))))))&lt;=10,"0", IF(AND((((_xlfn.XLOOKUP(Assessment!H138,Inherited!A:A,Inherited!B:B))/100)*(_xlfn.XLOOKUP(Assessment!H138,Inherited!A:A,Inherited!F:F)))+(((100-(_xlfn.XLOOKUP(Assessment!H138,Inherited!A:A,Inherited!B:B)))/100)*IF(AA137="1.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(100%)","100"))))))&gt;=11,(((_xlfn.XLOOKUP(Assessment!H138,Inherited!A:A,Inherited!B:B))/100)*(_xlfn.XLOOKUP(Assessment!H138,Inherited!A:A,Inherited!F:F)))+(((100-(_xlfn.XLOOKUP(Assessment!H138,Inherited!A:A,Inherited!B:B)))/100)*IF(AA137="1.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(100%)","100"))))))&lt;=32),"25",IF(AND((((_xlfn.XLOOKUP(Assessment!H138,Inherited!A:A,Inherited!B:B))/100)*(_xlfn.XLOOKUP(Assessment!H138,Inherited!A:A,Inherited!F:F)))+(((100-(_xlfn.XLOOKUP(Assessment!H138,Inherited!A:A,Inherited!B:B)))/100)*IF(AA137="1.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(100%)","100"))))))&gt;=33,(((_xlfn.XLOOKUP(Assessment!H138,Inherited!A:A,Inherited!B:B))/100)*(_xlfn.XLOOKUP(Assessment!H138,Inherited!A:A,Inherited!F:F)))+(((100-(_xlfn.XLOOKUP(Assessment!H138,Inherited!A:A,Inherited!B:B)))/100)*IF(AA137="1.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(100%)","100"))))))&lt;=65),"50",IF(AND((((_xlfn.XLOOKUP(Assessment!H138,Inherited!A:A,Inherited!B:B))/100)*(_xlfn.XLOOKUP(Assessment!H138,Inherited!A:A,Inherited!F:F)))+(((100-(_xlfn.XLOOKUP(Assessment!H138,Inherited!A:A,Inherited!B:B)))/100)*IF(AA137="1.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(100%)","100"))))))&gt;=66,(((_xlfn.XLOOKUP(Assessment!H138,Inherited!A:A,Inherited!B:B))/100)*(_xlfn.XLOOKUP(Assessment!H138,Inherited!A:A,Inherited!F:F)))+(((100-(_xlfn.XLOOKUP(Assessment!H138,Inherited!A:A,Inherited!B:B)))/100)*IF(AA137="1.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(100%)","100"))))))&lt;=89),"75",IF((((_xlfn.XLOOKUP(Assessment!H138,Inherited!A:A,Inherited!B:B))/100)*(_xlfn.XLOOKUP(Assessment!H138,Inherited!A:A,Inherited!F:F)))+(((100-(_xlfn.XLOOKUP(Assessment!H138,Inherited!A:A,Inherited!B:B)))/100)*IF(AA137="1. Non Compliant (0%)","0",IF(AA137="2. Somewhat Compliant (25%)","25",IF(AA137="3. Partially Compliant (50%)","50",IF(AA137="4. Mostly Compliant (75%)","75",IF(AA137="5. Fully Compliant (100%)","100"))))))&gt;=90,"100"))))))</f>
        <v>#N/A</v>
      </c>
      <c r="U137" s="1" t="e">
        <f>IF(MATCH(H137,Inherited!A:A),IF((((_xlfn.XLOOKUP(Assessment!H138,Inherited!A:A,Inherited!B:B))/100)*(_xlfn.XLOOKUP(Assessment!H138,Inherited!A:A,Inherited!G:G)))+(((100-(_xlfn.XLOOKUP(Assessment!H138,Inherited!A:A,Inherited!B:B)))/100)*IF(AB137="1.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(100%)","100"))))))&lt;=10,"0", IF(AND((((_xlfn.XLOOKUP(Assessment!H138,Inherited!A:A,Inherited!B:B))/100)*(_xlfn.XLOOKUP(Assessment!H138,Inherited!A:A,Inherited!G:G)))+(((100-(_xlfn.XLOOKUP(Assessment!H138,Inherited!A:A,Inherited!B:B)))/100)*IF(AB137="1.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(100%)","100"))))))&gt;=11,(((_xlfn.XLOOKUP(Assessment!H138,Inherited!A:A,Inherited!B:B))/100)*(_xlfn.XLOOKUP(Assessment!H138,Inherited!A:A,Inherited!G:G)))+(((100-(_xlfn.XLOOKUP(Assessment!H138,Inherited!A:A,Inherited!B:B)))/100)*IF(AB137="1.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(100%)","100"))))))&lt;=32),"25",IF(AND((((_xlfn.XLOOKUP(Assessment!H138,Inherited!A:A,Inherited!B:B))/100)*(_xlfn.XLOOKUP(Assessment!H138,Inherited!A:A,Inherited!G:G)))+(((100-(_xlfn.XLOOKUP(Assessment!H138,Inherited!A:A,Inherited!B:B)))/100)*IF(AB137="1.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(100%)","100"))))))&gt;=33,(((_xlfn.XLOOKUP(Assessment!H138,Inherited!A:A,Inherited!B:B))/100)*(_xlfn.XLOOKUP(Assessment!H138,Inherited!A:A,Inherited!G:G)))+(((100-(_xlfn.XLOOKUP(Assessment!H138,Inherited!A:A,Inherited!B:B)))/100)*IF(AB137="1.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(100%)","100"))))))&lt;=65),"50",IF(AND((((_xlfn.XLOOKUP(Assessment!H138,Inherited!A:A,Inherited!B:B))/100)*(_xlfn.XLOOKUP(Assessment!H138,Inherited!A:A,Inherited!G:G)))+(((100-(_xlfn.XLOOKUP(Assessment!H138,Inherited!A:A,Inherited!B:B)))/100)*IF(AB137="1.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(100%)","100"))))))&gt;=66,(((_xlfn.XLOOKUP(Assessment!H138,Inherited!A:A,Inherited!B:B))/100)*(_xlfn.XLOOKUP(Assessment!H138,Inherited!A:A,Inherited!G:G)))+(((100-(_xlfn.XLOOKUP(Assessment!H138,Inherited!A:A,Inherited!B:B)))/100)*IF(AB137="1.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(100%)","100"))))))&lt;=89),"75",IF((((_xlfn.XLOOKUP(Assessment!H138,Inherited!A:A,Inherited!B:B))/100)*(_xlfn.XLOOKUP(Assessment!H138,Inherited!A:A,Inherited!G:G)))+(((100-(_xlfn.XLOOKUP(Assessment!H138,Inherited!A:A,Inherited!B:B)))/100)*IF(AB137="1. Non Compliant (0%)","0",IF(AB137="2. Somewhat Compliant (25%)","25",IF(AB137="3. Partially Compliant (50%)","50",IF(AB137="4. Mostly Compliant (75%)","75",IF(AB137="5. Fully Compliant (100%)","100"))))))&gt;=90,"100"))))))</f>
        <v>#N/A</v>
      </c>
      <c r="V137" s="55" t="s">
        <v>85</v>
      </c>
      <c r="W137" s="55"/>
      <c r="X137" s="55"/>
      <c r="Y137" s="55"/>
      <c r="Z137" s="55" t="s">
        <v>10873</v>
      </c>
      <c r="AA137" s="55"/>
      <c r="AB137" s="55"/>
      <c r="AK137" s="1" t="s">
        <v>10978</v>
      </c>
      <c r="AL137" s="1" t="s">
        <v>10985</v>
      </c>
      <c r="AP137" s="1" t="s">
        <v>11099</v>
      </c>
      <c r="AX137" s="3" t="str">
        <f>_xlfn.CONCAT("A-LIGN finished its review of this control on ",AR137, " during the scheduled fieldwork window (",Intro!$B$4,")."&amp; CHAR(10)&amp; CHAR(10))</f>
        <v xml:space="preserve">A-LIGN finished its review of this control on  during the scheduled fieldwork window (Fieldwork: xx/xx/xxxx - xx/xx/xxxx).
</v>
      </c>
      <c r="AY137" s="3" t="str">
        <f t="shared" si="311"/>
        <v/>
      </c>
      <c r="AZ137" s="3" t="str">
        <f t="shared" si="312"/>
        <v/>
      </c>
      <c r="BA137" s="3" t="str">
        <f t="shared" si="313"/>
        <v/>
      </c>
      <c r="BB137"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37" s="3" t="str">
        <f t="shared" si="315"/>
        <v/>
      </c>
      <c r="BD137"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steps to understand uncertainty in all parts of the AI system, including the utilized data, software, mathematical models, physical extension, and human-in-the-loop aspects of the system
- defines awareness that AI is a fast-moving technology domain
- defines a consistent approach to determine the risk level
- defines the organization’s AI capacity, knowledge level, and ability to mitigate realized AI risks when deciding its AI risk appetite
</v>
      </c>
      <c r="BE137" s="3" t="str">
        <f t="shared" si="317"/>
        <v/>
      </c>
      <c r="BF137" s="3" t="str">
        <f t="shared" si="318"/>
        <v/>
      </c>
      <c r="BG137" s="3" t="str">
        <f>_xlfn.CONCAT((IF((COUNTIF('Sample Tables'!B:B,"")&gt;0)=TRUE,_xlfn.CONCAT("",""),IF((COUNTIF('Sample Tables'!B:B,"")&gt;0)=FALSE,""))),)</f>
        <v/>
      </c>
      <c r="BH137"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steps to understand uncertainty in all parts of the AI system, including the utilized data, software, mathematical models, physical extension, and human-in-the-loop aspects of the system
- defines awareness that AI is a fast-moving technology domain
- defines a consistent approach to determine the risk level
- defines the organization’s AI capacity, knowledge level, and ability to mitigate realized AI risks when deciding its AI risk appetite
</v>
      </c>
    </row>
    <row r="138" spans="3:60" ht="409.5" x14ac:dyDescent="0.35">
      <c r="C138" s="1">
        <f t="shared" si="310"/>
        <v>0</v>
      </c>
      <c r="D138" s="5" t="str">
        <f>IF(AND((_xlfn.XLOOKUP(J138,'Fields &amp; Revisions'!$H:$H,'Fields &amp; Revisions'!$I:$I))&lt;70.99,(OR(Z138="4. Mostly Compliant (75%)",Z138="3. Partially Compliant (50%)",Z138="2. Somewhat Compliant (25%)",Z138="1. Non Compliant (0%)"))),"Yes","No")</f>
        <v>Yes</v>
      </c>
      <c r="E138" s="5" t="str">
        <f>IF(ISERROR(VLOOKUP(H138,Scope!A:A,1,FALSE)),"No","Yes")</f>
        <v>Yes</v>
      </c>
      <c r="F138" s="1" t="s">
        <v>4666</v>
      </c>
      <c r="G138" s="53" t="s">
        <v>4690</v>
      </c>
      <c r="H138" s="53" t="s">
        <v>4691</v>
      </c>
      <c r="I138" s="5" t="s">
        <v>225</v>
      </c>
      <c r="J138" s="1" t="s">
        <v>226</v>
      </c>
      <c r="K138" s="54" t="s">
        <v>4692</v>
      </c>
      <c r="L138" s="1" t="s">
        <v>4693</v>
      </c>
      <c r="M138" s="1" t="s">
        <v>4694</v>
      </c>
      <c r="N138" s="5" t="s">
        <v>98</v>
      </c>
      <c r="O138" s="1" t="str">
        <f>_xlfn.XLOOKUP(G138,SRMs!$A:$A,SRMs!$D:$D)</f>
        <v>NO INHERITANCE</v>
      </c>
      <c r="P138" s="1" t="str">
        <f>IFERROR(VLOOKUP(H138,Inherited!A:B,2,FALSE),"")</f>
        <v/>
      </c>
      <c r="Q138" s="1" t="e">
        <f>IF(MATCH(H138,Inherited!A:A),IF((((_xlfn.XLOOKUP(Assessment!H139,Inherited!A:A,Inherited!B:B))/100)*(_xlfn.XLOOKUP(Assessment!H139,Inherited!A:A,Inherited!C:C)))+(((100-(_xlfn.XLOOKUP(Assessment!H139,Inherited!A:A,Inherited!B:B)))/100)*IF(X138="1.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(100%)","100"))))))&lt;=10,"0", IF(AND((((_xlfn.XLOOKUP(Assessment!H139,Inherited!A:A,Inherited!B:B))/100)*(_xlfn.XLOOKUP(Assessment!H139,Inherited!A:A,Inherited!C:C)))+(((100-(_xlfn.XLOOKUP(Assessment!H139,Inherited!A:A,Inherited!B:B)))/100)*IF(X138="1.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(100%)","100"))))))&gt;=11,(((_xlfn.XLOOKUP(Assessment!H139,Inherited!A:A,Inherited!B:B))/100)*(_xlfn.XLOOKUP(Assessment!H139,Inherited!A:A,Inherited!C:C)))+(((100-(_xlfn.XLOOKUP(Assessment!H139,Inherited!A:A,Inherited!B:B)))/100)*IF(X138="1.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(100%)","100"))))))&lt;=32),"25",IF(AND((((_xlfn.XLOOKUP(Assessment!H139,Inherited!A:A,Inherited!B:B))/100)*(_xlfn.XLOOKUP(Assessment!H139,Inherited!A:A,Inherited!C:C)))+(((100-(_xlfn.XLOOKUP(Assessment!H139,Inherited!A:A,Inherited!B:B)))/100)*IF(X138="1.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(100%)","100"))))))&gt;=33,(((_xlfn.XLOOKUP(Assessment!H139,Inherited!A:A,Inherited!B:B))/100)*(_xlfn.XLOOKUP(Assessment!H139,Inherited!A:A,Inherited!C:C)))+(((100-(_xlfn.XLOOKUP(Assessment!H139,Inherited!A:A,Inherited!B:B)))/100)*IF(X138="1.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(100%)","100"))))))&lt;=65),"50",IF(AND((((_xlfn.XLOOKUP(Assessment!H139,Inherited!A:A,Inherited!B:B))/100)*(_xlfn.XLOOKUP(Assessment!H139,Inherited!A:A,Inherited!C:C)))+(((100-(_xlfn.XLOOKUP(Assessment!H139,Inherited!A:A,Inherited!B:B)))/100)*IF(X138="1.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(100%)","100"))))))&gt;=66,(((_xlfn.XLOOKUP(Assessment!H139,Inherited!A:A,Inherited!B:B))/100)*(_xlfn.XLOOKUP(Assessment!H139,Inherited!A:A,Inherited!C:C)))+(((100-(_xlfn.XLOOKUP(Assessment!H139,Inherited!A:A,Inherited!B:B)))/100)*IF(X138="1.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(100%)","100"))))))&lt;=89),"75",IF((((_xlfn.XLOOKUP(Assessment!H139,Inherited!A:A,Inherited!B:B))/100)*(_xlfn.XLOOKUP(Assessment!H139,Inherited!A:A,Inherited!C:C)))+(((100-(_xlfn.XLOOKUP(Assessment!H139,Inherited!A:A,Inherited!B:B)))/100)*IF(X138="1. Non Compliant (0%)","0",IF(X138="2. Somewhat Compliant (25%)","25",IF(X138="3. Partially Compliant (50%)","50",IF(X138="4. Mostly Compliant (75%)","75",IF(X138="5. Fully Compliant (100%)","100"))))))&gt;=90,"100"))))))</f>
        <v>#N/A</v>
      </c>
      <c r="R138" s="1" t="e">
        <f>IF(MATCH(H138,Inherited!A:A),IF((((_xlfn.XLOOKUP(Assessment!H139,Inherited!A:A,Inherited!B:B))/100)*(_xlfn.XLOOKUP(Assessment!H139,Inherited!A:A,Inherited!D:D)))+(((100-(_xlfn.XLOOKUP(Assessment!H139,Inherited!A:A,Inherited!B:B)))/100)*IF(Y138="1.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(100%)","100"))))))&lt;=10,"0", IF(AND((((_xlfn.XLOOKUP(Assessment!H139,Inherited!A:A,Inherited!B:B))/100)*(_xlfn.XLOOKUP(Assessment!H139,Inherited!A:A,Inherited!D:D)))+(((100-(_xlfn.XLOOKUP(Assessment!H139,Inherited!A:A,Inherited!B:B)))/100)*IF(Y138="1.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(100%)","100"))))))&gt;=11,(((_xlfn.XLOOKUP(Assessment!H139,Inherited!A:A,Inherited!B:B))/100)*(_xlfn.XLOOKUP(Assessment!H139,Inherited!A:A,Inherited!D:D)))+(((100-(_xlfn.XLOOKUP(Assessment!H139,Inherited!A:A,Inherited!B:B)))/100)*IF(Y138="1.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(100%)","100"))))))&lt;=32),"25",IF(AND((((_xlfn.XLOOKUP(Assessment!H139,Inherited!A:A,Inherited!B:B))/100)*(_xlfn.XLOOKUP(Assessment!H139,Inherited!A:A,Inherited!D:D)))+(((100-(_xlfn.XLOOKUP(Assessment!H139,Inherited!A:A,Inherited!B:B)))/100)*IF(Y138="1.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(100%)","100"))))))&gt;=33,(((_xlfn.XLOOKUP(Assessment!H139,Inherited!A:A,Inherited!B:B))/100)*(_xlfn.XLOOKUP(Assessment!H139,Inherited!A:A,Inherited!D:D)))+(((100-(_xlfn.XLOOKUP(Assessment!H139,Inherited!A:A,Inherited!B:B)))/100)*IF(Y138="1.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(100%)","100"))))))&lt;=65),"50",IF(AND((((_xlfn.XLOOKUP(Assessment!H139,Inherited!A:A,Inherited!B:B))/100)*(_xlfn.XLOOKUP(Assessment!H139,Inherited!A:A,Inherited!D:D)))+(((100-(_xlfn.XLOOKUP(Assessment!H139,Inherited!A:A,Inherited!B:B)))/100)*IF(Y138="1.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(100%)","100"))))))&gt;=66,(((_xlfn.XLOOKUP(Assessment!H139,Inherited!A:A,Inherited!B:B))/100)*(_xlfn.XLOOKUP(Assessment!H139,Inherited!A:A,Inherited!D:D)))+(((100-(_xlfn.XLOOKUP(Assessment!H139,Inherited!A:A,Inherited!B:B)))/100)*IF(Y138="1.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(100%)","100"))))))&lt;=89),"75",IF((((_xlfn.XLOOKUP(Assessment!H139,Inherited!A:A,Inherited!B:B))/100)*(_xlfn.XLOOKUP(Assessment!H139,Inherited!A:A,Inherited!D:D)))+(((100-(_xlfn.XLOOKUP(Assessment!H139,Inherited!A:A,Inherited!B:B)))/100)*IF(Y138="1. Non Compliant (0%)","0",IF(Y138="2. Somewhat Compliant (25%)","25",IF(Y138="3. Partially Compliant (50%)","50",IF(Y138="4. Mostly Compliant (75%)","75",IF(Y138="5. Fully Compliant (100%)","100"))))))&gt;=90,"100"))))))</f>
        <v>#N/A</v>
      </c>
      <c r="S138" s="1" t="e">
        <f>IF(MATCH(H138,Inherited!A:A),IF((((_xlfn.XLOOKUP(Assessment!H139,Inherited!A:A,Inherited!B:B))/100)*(_xlfn.XLOOKUP(Assessment!H139,Inherited!A:A,Inherited!E:E)))+(((100-(_xlfn.XLOOKUP(Assessment!H139,Inherited!A:A,Inherited!B:B)))/100)*IF(Z138="1.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(100%)","100"))))))&lt;=10,"0", IF(AND((((_xlfn.XLOOKUP(Assessment!H139,Inherited!A:A,Inherited!B:B))/100)*(_xlfn.XLOOKUP(Assessment!H139,Inherited!A:A,Inherited!E:E)))+(((100-(_xlfn.XLOOKUP(Assessment!H139,Inherited!A:A,Inherited!B:B)))/100)*IF(Z138="1.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(100%)","100"))))))&gt;=11,(((_xlfn.XLOOKUP(Assessment!H139,Inherited!A:A,Inherited!B:B))/100)*(_xlfn.XLOOKUP(Assessment!H139,Inherited!A:A,Inherited!E:E)))+(((100-(_xlfn.XLOOKUP(Assessment!H139,Inherited!A:A,Inherited!B:B)))/100)*IF(Z138="1.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(100%)","100"))))))&lt;=32),"25",IF(AND((((_xlfn.XLOOKUP(Assessment!H139,Inherited!A:A,Inherited!B:B))/100)*(_xlfn.XLOOKUP(Assessment!H139,Inherited!A:A,Inherited!E:E)))+(((100-(_xlfn.XLOOKUP(Assessment!H139,Inherited!A:A,Inherited!B:B)))/100)*IF(Z138="1.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(100%)","100"))))))&gt;=33,(((_xlfn.XLOOKUP(Assessment!H139,Inherited!A:A,Inherited!B:B))/100)*(_xlfn.XLOOKUP(Assessment!H139,Inherited!A:A,Inherited!E:E)))+(((100-(_xlfn.XLOOKUP(Assessment!H139,Inherited!A:A,Inherited!B:B)))/100)*IF(Z138="1.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(100%)","100"))))))&lt;=65),"50",IF(AND((((_xlfn.XLOOKUP(Assessment!H139,Inherited!A:A,Inherited!B:B))/100)*(_xlfn.XLOOKUP(Assessment!H139,Inherited!A:A,Inherited!E:E)))+(((100-(_xlfn.XLOOKUP(Assessment!H139,Inherited!A:A,Inherited!B:B)))/100)*IF(Z138="1.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(100%)","100"))))))&gt;=66,(((_xlfn.XLOOKUP(Assessment!H139,Inherited!A:A,Inherited!B:B))/100)*(_xlfn.XLOOKUP(Assessment!H139,Inherited!A:A,Inherited!E:E)))+(((100-(_xlfn.XLOOKUP(Assessment!H139,Inherited!A:A,Inherited!B:B)))/100)*IF(Z138="1.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(100%)","100"))))))&lt;=89),"75",IF((((_xlfn.XLOOKUP(Assessment!H139,Inherited!A:A,Inherited!B:B))/100)*(_xlfn.XLOOKUP(Assessment!H139,Inherited!A:A,Inherited!E:E)))+(((100-(_xlfn.XLOOKUP(Assessment!H139,Inherited!A:A,Inherited!B:B)))/100)*IF(Z138="1. Non Compliant (0%)","0",IF(Z138="2. Somewhat Compliant (25%)","25",IF(Z138="3. Partially Compliant (50%)","50",IF(Z138="4. Mostly Compliant (75%)","75",IF(Z138="5. Fully Compliant (100%)","100"))))))&gt;=90,"100"))))))</f>
        <v>#N/A</v>
      </c>
      <c r="T138" s="1" t="e">
        <f>IF(MATCH(H138,Inherited!A:A),IF((((_xlfn.XLOOKUP(Assessment!H139,Inherited!A:A,Inherited!B:B))/100)*(_xlfn.XLOOKUP(Assessment!H139,Inherited!A:A,Inherited!F:F)))+(((100-(_xlfn.XLOOKUP(Assessment!H139,Inherited!A:A,Inherited!B:B)))/100)*IF(AA138="1.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(100%)","100"))))))&lt;=10,"0", IF(AND((((_xlfn.XLOOKUP(Assessment!H139,Inherited!A:A,Inherited!B:B))/100)*(_xlfn.XLOOKUP(Assessment!H139,Inherited!A:A,Inherited!F:F)))+(((100-(_xlfn.XLOOKUP(Assessment!H139,Inherited!A:A,Inherited!B:B)))/100)*IF(AA138="1.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(100%)","100"))))))&gt;=11,(((_xlfn.XLOOKUP(Assessment!H139,Inherited!A:A,Inherited!B:B))/100)*(_xlfn.XLOOKUP(Assessment!H139,Inherited!A:A,Inherited!F:F)))+(((100-(_xlfn.XLOOKUP(Assessment!H139,Inherited!A:A,Inherited!B:B)))/100)*IF(AA138="1.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(100%)","100"))))))&lt;=32),"25",IF(AND((((_xlfn.XLOOKUP(Assessment!H139,Inherited!A:A,Inherited!B:B))/100)*(_xlfn.XLOOKUP(Assessment!H139,Inherited!A:A,Inherited!F:F)))+(((100-(_xlfn.XLOOKUP(Assessment!H139,Inherited!A:A,Inherited!B:B)))/100)*IF(AA138="1.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(100%)","100"))))))&gt;=33,(((_xlfn.XLOOKUP(Assessment!H139,Inherited!A:A,Inherited!B:B))/100)*(_xlfn.XLOOKUP(Assessment!H139,Inherited!A:A,Inherited!F:F)))+(((100-(_xlfn.XLOOKUP(Assessment!H139,Inherited!A:A,Inherited!B:B)))/100)*IF(AA138="1.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(100%)","100"))))))&lt;=65),"50",IF(AND((((_xlfn.XLOOKUP(Assessment!H139,Inherited!A:A,Inherited!B:B))/100)*(_xlfn.XLOOKUP(Assessment!H139,Inherited!A:A,Inherited!F:F)))+(((100-(_xlfn.XLOOKUP(Assessment!H139,Inherited!A:A,Inherited!B:B)))/100)*IF(AA138="1.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(100%)","100"))))))&gt;=66,(((_xlfn.XLOOKUP(Assessment!H139,Inherited!A:A,Inherited!B:B))/100)*(_xlfn.XLOOKUP(Assessment!H139,Inherited!A:A,Inherited!F:F)))+(((100-(_xlfn.XLOOKUP(Assessment!H139,Inherited!A:A,Inherited!B:B)))/100)*IF(AA138="1.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(100%)","100"))))))&lt;=89),"75",IF((((_xlfn.XLOOKUP(Assessment!H139,Inherited!A:A,Inherited!B:B))/100)*(_xlfn.XLOOKUP(Assessment!H139,Inherited!A:A,Inherited!F:F)))+(((100-(_xlfn.XLOOKUP(Assessment!H139,Inherited!A:A,Inherited!B:B)))/100)*IF(AA138="1. Non Compliant (0%)","0",IF(AA138="2. Somewhat Compliant (25%)","25",IF(AA138="3. Partially Compliant (50%)","50",IF(AA138="4. Mostly Compliant (75%)","75",IF(AA138="5. Fully Compliant (100%)","100"))))))&gt;=90,"100"))))))</f>
        <v>#N/A</v>
      </c>
      <c r="U138" s="1" t="e">
        <f>IF(MATCH(H138,Inherited!A:A),IF((((_xlfn.XLOOKUP(Assessment!H139,Inherited!A:A,Inherited!B:B))/100)*(_xlfn.XLOOKUP(Assessment!H139,Inherited!A:A,Inherited!G:G)))+(((100-(_xlfn.XLOOKUP(Assessment!H139,Inherited!A:A,Inherited!B:B)))/100)*IF(AB138="1.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(100%)","100"))))))&lt;=10,"0", IF(AND((((_xlfn.XLOOKUP(Assessment!H139,Inherited!A:A,Inherited!B:B))/100)*(_xlfn.XLOOKUP(Assessment!H139,Inherited!A:A,Inherited!G:G)))+(((100-(_xlfn.XLOOKUP(Assessment!H139,Inherited!A:A,Inherited!B:B)))/100)*IF(AB138="1.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(100%)","100"))))))&gt;=11,(((_xlfn.XLOOKUP(Assessment!H139,Inherited!A:A,Inherited!B:B))/100)*(_xlfn.XLOOKUP(Assessment!H139,Inherited!A:A,Inherited!G:G)))+(((100-(_xlfn.XLOOKUP(Assessment!H139,Inherited!A:A,Inherited!B:B)))/100)*IF(AB138="1.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(100%)","100"))))))&lt;=32),"25",IF(AND((((_xlfn.XLOOKUP(Assessment!H139,Inherited!A:A,Inherited!B:B))/100)*(_xlfn.XLOOKUP(Assessment!H139,Inherited!A:A,Inherited!G:G)))+(((100-(_xlfn.XLOOKUP(Assessment!H139,Inherited!A:A,Inherited!B:B)))/100)*IF(AB138="1.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(100%)","100"))))))&gt;=33,(((_xlfn.XLOOKUP(Assessment!H139,Inherited!A:A,Inherited!B:B))/100)*(_xlfn.XLOOKUP(Assessment!H139,Inherited!A:A,Inherited!G:G)))+(((100-(_xlfn.XLOOKUP(Assessment!H139,Inherited!A:A,Inherited!B:B)))/100)*IF(AB138="1.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(100%)","100"))))))&lt;=65),"50",IF(AND((((_xlfn.XLOOKUP(Assessment!H139,Inherited!A:A,Inherited!B:B))/100)*(_xlfn.XLOOKUP(Assessment!H139,Inherited!A:A,Inherited!G:G)))+(((100-(_xlfn.XLOOKUP(Assessment!H139,Inherited!A:A,Inherited!B:B)))/100)*IF(AB138="1.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(100%)","100"))))))&gt;=66,(((_xlfn.XLOOKUP(Assessment!H139,Inherited!A:A,Inherited!B:B))/100)*(_xlfn.XLOOKUP(Assessment!H139,Inherited!A:A,Inherited!G:G)))+(((100-(_xlfn.XLOOKUP(Assessment!H139,Inherited!A:A,Inherited!B:B)))/100)*IF(AB138="1.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(100%)","100"))))))&lt;=89),"75",IF((((_xlfn.XLOOKUP(Assessment!H139,Inherited!A:A,Inherited!B:B))/100)*(_xlfn.XLOOKUP(Assessment!H139,Inherited!A:A,Inherited!G:G)))+(((100-(_xlfn.XLOOKUP(Assessment!H139,Inherited!A:A,Inherited!B:B)))/100)*IF(AB138="1. Non Compliant (0%)","0",IF(AB138="2. Somewhat Compliant (25%)","25",IF(AB138="3. Partially Compliant (50%)","50",IF(AB138="4. Mostly Compliant (75%)","75",IF(AB138="5. Fully Compliant (100%)","100"))))))&gt;=90,"100"))))))</f>
        <v>#N/A</v>
      </c>
      <c r="V138" s="55" t="s">
        <v>85</v>
      </c>
      <c r="W138" s="55"/>
      <c r="X138" s="55"/>
      <c r="Y138" s="55"/>
      <c r="Z138" s="55" t="s">
        <v>10873</v>
      </c>
      <c r="AA138" s="55"/>
      <c r="AB138" s="55"/>
      <c r="AK138" s="1" t="s">
        <v>10978</v>
      </c>
      <c r="AL138" s="1" t="s">
        <v>10985</v>
      </c>
      <c r="AP138" s="1" t="s">
        <v>11100</v>
      </c>
      <c r="AX138" s="3" t="str">
        <f>_xlfn.CONCAT("A-LIGN finished its review of this control on ",AR138, " during the scheduled fieldwork window (",Intro!$B$4,")."&amp; CHAR(10)&amp; CHAR(10))</f>
        <v xml:space="preserve">A-LIGN finished its review of this control on  during the scheduled fieldwork window (Fieldwork: xx/xx/xxxx - xx/xx/xxxx).
</v>
      </c>
      <c r="AY138" s="3" t="str">
        <f t="shared" si="311"/>
        <v/>
      </c>
      <c r="AZ138" s="3" t="str">
        <f t="shared" si="312"/>
        <v/>
      </c>
      <c r="BA138" s="3" t="str">
        <f t="shared" si="313"/>
        <v/>
      </c>
      <c r="BB138"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38" s="3" t="str">
        <f t="shared" si="315"/>
        <v/>
      </c>
      <c r="BD138"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whether AI systems can harm human beings, deny essential services, infringe human rights or contribute to environmental harm
- defines external and internal expectations for the organization’s social responsibility
- defines external and internal expectations for the organization’s environmental responsibility
</v>
      </c>
      <c r="BE138" s="3" t="str">
        <f t="shared" si="317"/>
        <v/>
      </c>
      <c r="BF138" s="3" t="str">
        <f t="shared" si="318"/>
        <v/>
      </c>
      <c r="BG138" s="3" t="str">
        <f>_xlfn.CONCAT((IF((COUNTIF('Sample Tables'!B:B,"")&gt;0)=TRUE,_xlfn.CONCAT("",""),IF((COUNTIF('Sample Tables'!B:B,"")&gt;0)=FALSE,""))),)</f>
        <v/>
      </c>
      <c r="BH138"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whether AI systems can harm human beings, deny essential services, infringe human rights or contribute to environmental harm
- defines external and internal expectations for the organization’s social responsibility
- defines external and internal expectations for the organization’s environmental responsibility
</v>
      </c>
    </row>
    <row r="139" spans="3:60" ht="300.75" customHeight="1" x14ac:dyDescent="0.35">
      <c r="C139" s="1">
        <f t="shared" si="310"/>
        <v>0</v>
      </c>
      <c r="D139" s="5" t="str">
        <f>IF(AND((_xlfn.XLOOKUP(J139,'Fields &amp; Revisions'!$H:$H,'Fields &amp; Revisions'!$I:$I))&lt;70.99,(OR(Z139="4. Mostly Compliant (75%)",Z139="3. Partially Compliant (50%)",Z139="2. Somewhat Compliant (25%)",Z139="1. Non Compliant (0%)"))),"Yes","No")</f>
        <v>Yes</v>
      </c>
      <c r="E139" s="5" t="str">
        <f>IF(ISERROR(VLOOKUP(H139,Scope!A:A,1,FALSE)),"No","Yes")</f>
        <v>Yes</v>
      </c>
      <c r="F139" s="1" t="s">
        <v>4666</v>
      </c>
      <c r="G139" s="53" t="s">
        <v>4695</v>
      </c>
      <c r="H139" s="53" t="s">
        <v>4696</v>
      </c>
      <c r="I139" s="5" t="s">
        <v>225</v>
      </c>
      <c r="J139" s="1" t="s">
        <v>226</v>
      </c>
      <c r="K139" s="54" t="s">
        <v>4697</v>
      </c>
      <c r="L139" s="1" t="s">
        <v>4698</v>
      </c>
      <c r="M139" s="1" t="s">
        <v>4699</v>
      </c>
      <c r="N139" s="5" t="s">
        <v>98</v>
      </c>
      <c r="O139" s="1" t="str">
        <f>_xlfn.XLOOKUP(G139,SRMs!$A:$A,SRMs!$D:$D)</f>
        <v>NO INHERITANCE</v>
      </c>
      <c r="P139" s="1" t="str">
        <f>IFERROR(VLOOKUP(H139,Inherited!A:B,2,FALSE),"")</f>
        <v/>
      </c>
      <c r="Q139" s="1" t="e">
        <f>IF(MATCH(H139,Inherited!A:A),IF((((_xlfn.XLOOKUP(Assessment!H140,Inherited!A:A,Inherited!B:B))/100)*(_xlfn.XLOOKUP(Assessment!H140,Inherited!A:A,Inherited!C:C)))+(((100-(_xlfn.XLOOKUP(Assessment!H140,Inherited!A:A,Inherited!B:B)))/100)*IF(X139="1.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(100%)","100"))))))&lt;=10,"0", IF(AND((((_xlfn.XLOOKUP(Assessment!H140,Inherited!A:A,Inherited!B:B))/100)*(_xlfn.XLOOKUP(Assessment!H140,Inherited!A:A,Inherited!C:C)))+(((100-(_xlfn.XLOOKUP(Assessment!H140,Inherited!A:A,Inherited!B:B)))/100)*IF(X139="1.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(100%)","100"))))))&gt;=11,(((_xlfn.XLOOKUP(Assessment!H140,Inherited!A:A,Inherited!B:B))/100)*(_xlfn.XLOOKUP(Assessment!H140,Inherited!A:A,Inherited!C:C)))+(((100-(_xlfn.XLOOKUP(Assessment!H140,Inherited!A:A,Inherited!B:B)))/100)*IF(X139="1.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(100%)","100"))))))&lt;=32),"25",IF(AND((((_xlfn.XLOOKUP(Assessment!H140,Inherited!A:A,Inherited!B:B))/100)*(_xlfn.XLOOKUP(Assessment!H140,Inherited!A:A,Inherited!C:C)))+(((100-(_xlfn.XLOOKUP(Assessment!H140,Inherited!A:A,Inherited!B:B)))/100)*IF(X139="1.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(100%)","100"))))))&gt;=33,(((_xlfn.XLOOKUP(Assessment!H140,Inherited!A:A,Inherited!B:B))/100)*(_xlfn.XLOOKUP(Assessment!H140,Inherited!A:A,Inherited!C:C)))+(((100-(_xlfn.XLOOKUP(Assessment!H140,Inherited!A:A,Inherited!B:B)))/100)*IF(X139="1.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(100%)","100"))))))&lt;=65),"50",IF(AND((((_xlfn.XLOOKUP(Assessment!H140,Inherited!A:A,Inherited!B:B))/100)*(_xlfn.XLOOKUP(Assessment!H140,Inherited!A:A,Inherited!C:C)))+(((100-(_xlfn.XLOOKUP(Assessment!H140,Inherited!A:A,Inherited!B:B)))/100)*IF(X139="1.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(100%)","100"))))))&gt;=66,(((_xlfn.XLOOKUP(Assessment!H140,Inherited!A:A,Inherited!B:B))/100)*(_xlfn.XLOOKUP(Assessment!H140,Inherited!A:A,Inherited!C:C)))+(((100-(_xlfn.XLOOKUP(Assessment!H140,Inherited!A:A,Inherited!B:B)))/100)*IF(X139="1.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(100%)","100"))))))&lt;=89),"75",IF((((_xlfn.XLOOKUP(Assessment!H140,Inherited!A:A,Inherited!B:B))/100)*(_xlfn.XLOOKUP(Assessment!H140,Inherited!A:A,Inherited!C:C)))+(((100-(_xlfn.XLOOKUP(Assessment!H140,Inherited!A:A,Inherited!B:B)))/100)*IF(X139="1. Non Compliant (0%)","0",IF(X139="2. Somewhat Compliant (25%)","25",IF(X139="3. Partially Compliant (50%)","50",IF(X139="4. Mostly Compliant (75%)","75",IF(X139="5. Fully Compliant (100%)","100"))))))&gt;=90,"100"))))))</f>
        <v>#N/A</v>
      </c>
      <c r="R139" s="1" t="e">
        <f>IF(MATCH(H139,Inherited!A:A),IF((((_xlfn.XLOOKUP(Assessment!H140,Inherited!A:A,Inherited!B:B))/100)*(_xlfn.XLOOKUP(Assessment!H140,Inherited!A:A,Inherited!D:D)))+(((100-(_xlfn.XLOOKUP(Assessment!H140,Inherited!A:A,Inherited!B:B)))/100)*IF(Y139="1.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(100%)","100"))))))&lt;=10,"0", IF(AND((((_xlfn.XLOOKUP(Assessment!H140,Inherited!A:A,Inherited!B:B))/100)*(_xlfn.XLOOKUP(Assessment!H140,Inherited!A:A,Inherited!D:D)))+(((100-(_xlfn.XLOOKUP(Assessment!H140,Inherited!A:A,Inherited!B:B)))/100)*IF(Y139="1.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(100%)","100"))))))&gt;=11,(((_xlfn.XLOOKUP(Assessment!H140,Inherited!A:A,Inherited!B:B))/100)*(_xlfn.XLOOKUP(Assessment!H140,Inherited!A:A,Inherited!D:D)))+(((100-(_xlfn.XLOOKUP(Assessment!H140,Inherited!A:A,Inherited!B:B)))/100)*IF(Y139="1.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(100%)","100"))))))&lt;=32),"25",IF(AND((((_xlfn.XLOOKUP(Assessment!H140,Inherited!A:A,Inherited!B:B))/100)*(_xlfn.XLOOKUP(Assessment!H140,Inherited!A:A,Inherited!D:D)))+(((100-(_xlfn.XLOOKUP(Assessment!H140,Inherited!A:A,Inherited!B:B)))/100)*IF(Y139="1.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(100%)","100"))))))&gt;=33,(((_xlfn.XLOOKUP(Assessment!H140,Inherited!A:A,Inherited!B:B))/100)*(_xlfn.XLOOKUP(Assessment!H140,Inherited!A:A,Inherited!D:D)))+(((100-(_xlfn.XLOOKUP(Assessment!H140,Inherited!A:A,Inherited!B:B)))/100)*IF(Y139="1.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(100%)","100"))))))&lt;=65),"50",IF(AND((((_xlfn.XLOOKUP(Assessment!H140,Inherited!A:A,Inherited!B:B))/100)*(_xlfn.XLOOKUP(Assessment!H140,Inherited!A:A,Inherited!D:D)))+(((100-(_xlfn.XLOOKUP(Assessment!H140,Inherited!A:A,Inherited!B:B)))/100)*IF(Y139="1.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(100%)","100"))))))&gt;=66,(((_xlfn.XLOOKUP(Assessment!H140,Inherited!A:A,Inherited!B:B))/100)*(_xlfn.XLOOKUP(Assessment!H140,Inherited!A:A,Inherited!D:D)))+(((100-(_xlfn.XLOOKUP(Assessment!H140,Inherited!A:A,Inherited!B:B)))/100)*IF(Y139="1.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(100%)","100"))))))&lt;=89),"75",IF((((_xlfn.XLOOKUP(Assessment!H140,Inherited!A:A,Inherited!B:B))/100)*(_xlfn.XLOOKUP(Assessment!H140,Inherited!A:A,Inherited!D:D)))+(((100-(_xlfn.XLOOKUP(Assessment!H140,Inherited!A:A,Inherited!B:B)))/100)*IF(Y139="1. Non Compliant (0%)","0",IF(Y139="2. Somewhat Compliant (25%)","25",IF(Y139="3. Partially Compliant (50%)","50",IF(Y139="4. Mostly Compliant (75%)","75",IF(Y139="5. Fully Compliant (100%)","100"))))))&gt;=90,"100"))))))</f>
        <v>#N/A</v>
      </c>
      <c r="S139" s="1" t="e">
        <f>IF(MATCH(H139,Inherited!A:A),IF((((_xlfn.XLOOKUP(Assessment!H140,Inherited!A:A,Inherited!B:B))/100)*(_xlfn.XLOOKUP(Assessment!H140,Inherited!A:A,Inherited!E:E)))+(((100-(_xlfn.XLOOKUP(Assessment!H140,Inherited!A:A,Inherited!B:B)))/100)*IF(Z139="1.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(100%)","100"))))))&lt;=10,"0", IF(AND((((_xlfn.XLOOKUP(Assessment!H140,Inherited!A:A,Inherited!B:B))/100)*(_xlfn.XLOOKUP(Assessment!H140,Inherited!A:A,Inherited!E:E)))+(((100-(_xlfn.XLOOKUP(Assessment!H140,Inherited!A:A,Inherited!B:B)))/100)*IF(Z139="1.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(100%)","100"))))))&gt;=11,(((_xlfn.XLOOKUP(Assessment!H140,Inherited!A:A,Inherited!B:B))/100)*(_xlfn.XLOOKUP(Assessment!H140,Inherited!A:A,Inherited!E:E)))+(((100-(_xlfn.XLOOKUP(Assessment!H140,Inherited!A:A,Inherited!B:B)))/100)*IF(Z139="1.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(100%)","100"))))))&lt;=32),"25",IF(AND((((_xlfn.XLOOKUP(Assessment!H140,Inherited!A:A,Inherited!B:B))/100)*(_xlfn.XLOOKUP(Assessment!H140,Inherited!A:A,Inherited!E:E)))+(((100-(_xlfn.XLOOKUP(Assessment!H140,Inherited!A:A,Inherited!B:B)))/100)*IF(Z139="1.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(100%)","100"))))))&gt;=33,(((_xlfn.XLOOKUP(Assessment!H140,Inherited!A:A,Inherited!B:B))/100)*(_xlfn.XLOOKUP(Assessment!H140,Inherited!A:A,Inherited!E:E)))+(((100-(_xlfn.XLOOKUP(Assessment!H140,Inherited!A:A,Inherited!B:B)))/100)*IF(Z139="1.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(100%)","100"))))))&lt;=65),"50",IF(AND((((_xlfn.XLOOKUP(Assessment!H140,Inherited!A:A,Inherited!B:B))/100)*(_xlfn.XLOOKUP(Assessment!H140,Inherited!A:A,Inherited!E:E)))+(((100-(_xlfn.XLOOKUP(Assessment!H140,Inherited!A:A,Inherited!B:B)))/100)*IF(Z139="1.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(100%)","100"))))))&gt;=66,(((_xlfn.XLOOKUP(Assessment!H140,Inherited!A:A,Inherited!B:B))/100)*(_xlfn.XLOOKUP(Assessment!H140,Inherited!A:A,Inherited!E:E)))+(((100-(_xlfn.XLOOKUP(Assessment!H140,Inherited!A:A,Inherited!B:B)))/100)*IF(Z139="1.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(100%)","100"))))))&lt;=89),"75",IF((((_xlfn.XLOOKUP(Assessment!H140,Inherited!A:A,Inherited!B:B))/100)*(_xlfn.XLOOKUP(Assessment!H140,Inherited!A:A,Inherited!E:E)))+(((100-(_xlfn.XLOOKUP(Assessment!H140,Inherited!A:A,Inherited!B:B)))/100)*IF(Z139="1. Non Compliant (0%)","0",IF(Z139="2. Somewhat Compliant (25%)","25",IF(Z139="3. Partially Compliant (50%)","50",IF(Z139="4. Mostly Compliant (75%)","75",IF(Z139="5. Fully Compliant (100%)","100"))))))&gt;=90,"100"))))))</f>
        <v>#N/A</v>
      </c>
      <c r="T139" s="1" t="e">
        <f>IF(MATCH(H139,Inherited!A:A),IF((((_xlfn.XLOOKUP(Assessment!H140,Inherited!A:A,Inherited!B:B))/100)*(_xlfn.XLOOKUP(Assessment!H140,Inherited!A:A,Inherited!F:F)))+(((100-(_xlfn.XLOOKUP(Assessment!H140,Inherited!A:A,Inherited!B:B)))/100)*IF(AA139="1.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(100%)","100"))))))&lt;=10,"0", IF(AND((((_xlfn.XLOOKUP(Assessment!H140,Inherited!A:A,Inherited!B:B))/100)*(_xlfn.XLOOKUP(Assessment!H140,Inherited!A:A,Inherited!F:F)))+(((100-(_xlfn.XLOOKUP(Assessment!H140,Inherited!A:A,Inherited!B:B)))/100)*IF(AA139="1.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(100%)","100"))))))&gt;=11,(((_xlfn.XLOOKUP(Assessment!H140,Inherited!A:A,Inherited!B:B))/100)*(_xlfn.XLOOKUP(Assessment!H140,Inherited!A:A,Inherited!F:F)))+(((100-(_xlfn.XLOOKUP(Assessment!H140,Inherited!A:A,Inherited!B:B)))/100)*IF(AA139="1.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(100%)","100"))))))&lt;=32),"25",IF(AND((((_xlfn.XLOOKUP(Assessment!H140,Inherited!A:A,Inherited!B:B))/100)*(_xlfn.XLOOKUP(Assessment!H140,Inherited!A:A,Inherited!F:F)))+(((100-(_xlfn.XLOOKUP(Assessment!H140,Inherited!A:A,Inherited!B:B)))/100)*IF(AA139="1.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(100%)","100"))))))&gt;=33,(((_xlfn.XLOOKUP(Assessment!H140,Inherited!A:A,Inherited!B:B))/100)*(_xlfn.XLOOKUP(Assessment!H140,Inherited!A:A,Inherited!F:F)))+(((100-(_xlfn.XLOOKUP(Assessment!H140,Inherited!A:A,Inherited!B:B)))/100)*IF(AA139="1.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(100%)","100"))))))&lt;=65),"50",IF(AND((((_xlfn.XLOOKUP(Assessment!H140,Inherited!A:A,Inherited!B:B))/100)*(_xlfn.XLOOKUP(Assessment!H140,Inherited!A:A,Inherited!F:F)))+(((100-(_xlfn.XLOOKUP(Assessment!H140,Inherited!A:A,Inherited!B:B)))/100)*IF(AA139="1.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(100%)","100"))))))&gt;=66,(((_xlfn.XLOOKUP(Assessment!H140,Inherited!A:A,Inherited!B:B))/100)*(_xlfn.XLOOKUP(Assessment!H140,Inherited!A:A,Inherited!F:F)))+(((100-(_xlfn.XLOOKUP(Assessment!H140,Inherited!A:A,Inherited!B:B)))/100)*IF(AA139="1.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(100%)","100"))))))&lt;=89),"75",IF((((_xlfn.XLOOKUP(Assessment!H140,Inherited!A:A,Inherited!B:B))/100)*(_xlfn.XLOOKUP(Assessment!H140,Inherited!A:A,Inherited!F:F)))+(((100-(_xlfn.XLOOKUP(Assessment!H140,Inherited!A:A,Inherited!B:B)))/100)*IF(AA139="1. Non Compliant (0%)","0",IF(AA139="2. Somewhat Compliant (25%)","25",IF(AA139="3. Partially Compliant (50%)","50",IF(AA139="4. Mostly Compliant (75%)","75",IF(AA139="5. Fully Compliant (100%)","100"))))))&gt;=90,"100"))))))</f>
        <v>#N/A</v>
      </c>
      <c r="U139" s="1" t="e">
        <f>IF(MATCH(H139,Inherited!A:A),IF((((_xlfn.XLOOKUP(Assessment!H140,Inherited!A:A,Inherited!B:B))/100)*(_xlfn.XLOOKUP(Assessment!H140,Inherited!A:A,Inherited!G:G)))+(((100-(_xlfn.XLOOKUP(Assessment!H140,Inherited!A:A,Inherited!B:B)))/100)*IF(AB139="1.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(100%)","100"))))))&lt;=10,"0", IF(AND((((_xlfn.XLOOKUP(Assessment!H140,Inherited!A:A,Inherited!B:B))/100)*(_xlfn.XLOOKUP(Assessment!H140,Inherited!A:A,Inherited!G:G)))+(((100-(_xlfn.XLOOKUP(Assessment!H140,Inherited!A:A,Inherited!B:B)))/100)*IF(AB139="1.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(100%)","100"))))))&gt;=11,(((_xlfn.XLOOKUP(Assessment!H140,Inherited!A:A,Inherited!B:B))/100)*(_xlfn.XLOOKUP(Assessment!H140,Inherited!A:A,Inherited!G:G)))+(((100-(_xlfn.XLOOKUP(Assessment!H140,Inherited!A:A,Inherited!B:B)))/100)*IF(AB139="1.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(100%)","100"))))))&lt;=32),"25",IF(AND((((_xlfn.XLOOKUP(Assessment!H140,Inherited!A:A,Inherited!B:B))/100)*(_xlfn.XLOOKUP(Assessment!H140,Inherited!A:A,Inherited!G:G)))+(((100-(_xlfn.XLOOKUP(Assessment!H140,Inherited!A:A,Inherited!B:B)))/100)*IF(AB139="1.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(100%)","100"))))))&gt;=33,(((_xlfn.XLOOKUP(Assessment!H140,Inherited!A:A,Inherited!B:B))/100)*(_xlfn.XLOOKUP(Assessment!H140,Inherited!A:A,Inherited!G:G)))+(((100-(_xlfn.XLOOKUP(Assessment!H140,Inherited!A:A,Inherited!B:B)))/100)*IF(AB139="1.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(100%)","100"))))))&lt;=65),"50",IF(AND((((_xlfn.XLOOKUP(Assessment!H140,Inherited!A:A,Inherited!B:B))/100)*(_xlfn.XLOOKUP(Assessment!H140,Inherited!A:A,Inherited!G:G)))+(((100-(_xlfn.XLOOKUP(Assessment!H140,Inherited!A:A,Inherited!B:B)))/100)*IF(AB139="1.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(100%)","100"))))))&gt;=66,(((_xlfn.XLOOKUP(Assessment!H140,Inherited!A:A,Inherited!B:B))/100)*(_xlfn.XLOOKUP(Assessment!H140,Inherited!A:A,Inherited!G:G)))+(((100-(_xlfn.XLOOKUP(Assessment!H140,Inherited!A:A,Inherited!B:B)))/100)*IF(AB139="1.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(100%)","100"))))))&lt;=89),"75",IF((((_xlfn.XLOOKUP(Assessment!H140,Inherited!A:A,Inherited!B:B))/100)*(_xlfn.XLOOKUP(Assessment!H140,Inherited!A:A,Inherited!G:G)))+(((100-(_xlfn.XLOOKUP(Assessment!H140,Inherited!A:A,Inherited!B:B)))/100)*IF(AB139="1. Non Compliant (0%)","0",IF(AB139="2. Somewhat Compliant (25%)","25",IF(AB139="3. Partially Compliant (50%)","50",IF(AB139="4. Mostly Compliant (75%)","75",IF(AB139="5. Fully Compliant (100%)","100"))))))&gt;=90,"100"))))))</f>
        <v>#N/A</v>
      </c>
      <c r="V139" s="55" t="s">
        <v>85</v>
      </c>
      <c r="W139" s="55"/>
      <c r="X139" s="55"/>
      <c r="Y139" s="55"/>
      <c r="Z139" s="55" t="s">
        <v>10873</v>
      </c>
      <c r="AA139" s="55"/>
      <c r="AB139" s="55"/>
      <c r="AK139" s="1" t="s">
        <v>10978</v>
      </c>
      <c r="AL139" s="1" t="s">
        <v>10985</v>
      </c>
      <c r="AP139" s="1" t="s">
        <v>11101</v>
      </c>
      <c r="AX139" s="3" t="str">
        <f>_xlfn.CONCAT("A-LIGN finished its review of this control on ",AR139, " during the scheduled fieldwork window (",Intro!$B$4,")."&amp; CHAR(10)&amp; CHAR(10))</f>
        <v xml:space="preserve">A-LIGN finished its review of this control on  during the scheduled fieldwork window (Fieldwork: xx/xx/xxxx - xx/xx/xxxx).
</v>
      </c>
      <c r="AY139" s="3" t="str">
        <f t="shared" si="311"/>
        <v/>
      </c>
      <c r="AZ139" s="3" t="str">
        <f t="shared" si="312"/>
        <v/>
      </c>
      <c r="BA139" s="3" t="str">
        <f t="shared" si="313"/>
        <v/>
      </c>
      <c r="BB139"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39" s="3" t="str">
        <f t="shared" si="315"/>
        <v/>
      </c>
      <c r="BD139"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AI system authorities defined
- AI system responsibilities defined
- AI system accountabilities defined
- AI system roles and responsibilities communicated to workforce
</v>
      </c>
      <c r="BE139" s="3" t="str">
        <f t="shared" si="317"/>
        <v/>
      </c>
      <c r="BF139" s="3" t="str">
        <f t="shared" si="318"/>
        <v/>
      </c>
      <c r="BG139" s="3" t="str">
        <f>_xlfn.CONCAT((IF((COUNTIF('Sample Tables'!B:B,"")&gt;0)=TRUE,_xlfn.CONCAT("",""),IF((COUNTIF('Sample Tables'!B:B,"")&gt;0)=FALSE,""))),)</f>
        <v/>
      </c>
      <c r="BH139"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AI system authorities defined
- AI system responsibilities defined
- AI system accountabilities defined
- AI system roles and responsibilities communicated to workforce
</v>
      </c>
    </row>
    <row r="140" spans="3:60" ht="282" customHeight="1" x14ac:dyDescent="0.35">
      <c r="C140" s="1">
        <f t="shared" si="310"/>
        <v>0</v>
      </c>
      <c r="D140" s="5" t="str">
        <f>IF(AND((_xlfn.XLOOKUP(J140,'Fields &amp; Revisions'!$H:$H,'Fields &amp; Revisions'!$I:$I))&lt;70.99,(OR(Z140="4. Mostly Compliant (75%)",Z140="3. Partially Compliant (50%)",Z140="2. Somewhat Compliant (25%)",Z140="1. Non Compliant (0%)"))),"Yes","No")</f>
        <v>Yes</v>
      </c>
      <c r="E140" s="5" t="str">
        <f>IF(ISERROR(VLOOKUP(H140,Scope!A:A,1,FALSE)),"No","Yes")</f>
        <v>Yes</v>
      </c>
      <c r="F140" s="1" t="s">
        <v>4666</v>
      </c>
      <c r="G140" s="53" t="s">
        <v>4700</v>
      </c>
      <c r="H140" s="53" t="s">
        <v>4701</v>
      </c>
      <c r="I140" s="5" t="s">
        <v>225</v>
      </c>
      <c r="J140" s="1" t="s">
        <v>226</v>
      </c>
      <c r="K140" s="54" t="s">
        <v>4702</v>
      </c>
      <c r="L140" s="1" t="s">
        <v>4703</v>
      </c>
      <c r="M140" s="1" t="s">
        <v>4704</v>
      </c>
      <c r="N140" s="5" t="s">
        <v>98</v>
      </c>
      <c r="O140" s="1" t="str">
        <f>_xlfn.XLOOKUP(G140,SRMs!$A:$A,SRMs!$D:$D)</f>
        <v>NO INHERITANCE</v>
      </c>
      <c r="P140" s="1" t="str">
        <f>IFERROR(VLOOKUP(H140,Inherited!A:B,2,FALSE),"")</f>
        <v/>
      </c>
      <c r="Q140" s="1" t="e">
        <f>IF(MATCH(H140,Inherited!A:A),IF((((_xlfn.XLOOKUP(Assessment!H141,Inherited!A:A,Inherited!B:B))/100)*(_xlfn.XLOOKUP(Assessment!H141,Inherited!A:A,Inherited!C:C)))+(((100-(_xlfn.XLOOKUP(Assessment!H141,Inherited!A:A,Inherited!B:B)))/100)*IF(X140="1.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(100%)","100"))))))&lt;=10,"0", IF(AND((((_xlfn.XLOOKUP(Assessment!H141,Inherited!A:A,Inherited!B:B))/100)*(_xlfn.XLOOKUP(Assessment!H141,Inherited!A:A,Inherited!C:C)))+(((100-(_xlfn.XLOOKUP(Assessment!H141,Inherited!A:A,Inherited!B:B)))/100)*IF(X140="1.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(100%)","100"))))))&gt;=11,(((_xlfn.XLOOKUP(Assessment!H141,Inherited!A:A,Inherited!B:B))/100)*(_xlfn.XLOOKUP(Assessment!H141,Inherited!A:A,Inherited!C:C)))+(((100-(_xlfn.XLOOKUP(Assessment!H141,Inherited!A:A,Inherited!B:B)))/100)*IF(X140="1.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(100%)","100"))))))&lt;=32),"25",IF(AND((((_xlfn.XLOOKUP(Assessment!H141,Inherited!A:A,Inherited!B:B))/100)*(_xlfn.XLOOKUP(Assessment!H141,Inherited!A:A,Inherited!C:C)))+(((100-(_xlfn.XLOOKUP(Assessment!H141,Inherited!A:A,Inherited!B:B)))/100)*IF(X140="1.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(100%)","100"))))))&gt;=33,(((_xlfn.XLOOKUP(Assessment!H141,Inherited!A:A,Inherited!B:B))/100)*(_xlfn.XLOOKUP(Assessment!H141,Inherited!A:A,Inherited!C:C)))+(((100-(_xlfn.XLOOKUP(Assessment!H141,Inherited!A:A,Inherited!B:B)))/100)*IF(X140="1.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(100%)","100"))))))&lt;=65),"50",IF(AND((((_xlfn.XLOOKUP(Assessment!H141,Inherited!A:A,Inherited!B:B))/100)*(_xlfn.XLOOKUP(Assessment!H141,Inherited!A:A,Inherited!C:C)))+(((100-(_xlfn.XLOOKUP(Assessment!H141,Inherited!A:A,Inherited!B:B)))/100)*IF(X140="1.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(100%)","100"))))))&gt;=66,(((_xlfn.XLOOKUP(Assessment!H141,Inherited!A:A,Inherited!B:B))/100)*(_xlfn.XLOOKUP(Assessment!H141,Inherited!A:A,Inherited!C:C)))+(((100-(_xlfn.XLOOKUP(Assessment!H141,Inherited!A:A,Inherited!B:B)))/100)*IF(X140="1.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(100%)","100"))))))&lt;=89),"75",IF((((_xlfn.XLOOKUP(Assessment!H141,Inherited!A:A,Inherited!B:B))/100)*(_xlfn.XLOOKUP(Assessment!H141,Inherited!A:A,Inherited!C:C)))+(((100-(_xlfn.XLOOKUP(Assessment!H141,Inherited!A:A,Inherited!B:B)))/100)*IF(X140="1. Non Compliant (0%)","0",IF(X140="2. Somewhat Compliant (25%)","25",IF(X140="3. Partially Compliant (50%)","50",IF(X140="4. Mostly Compliant (75%)","75",IF(X140="5. Fully Compliant (100%)","100"))))))&gt;=90,"100"))))))</f>
        <v>#N/A</v>
      </c>
      <c r="R140" s="1" t="e">
        <f>IF(MATCH(H140,Inherited!A:A),IF((((_xlfn.XLOOKUP(Assessment!H141,Inherited!A:A,Inherited!B:B))/100)*(_xlfn.XLOOKUP(Assessment!H141,Inherited!A:A,Inherited!D:D)))+(((100-(_xlfn.XLOOKUP(Assessment!H141,Inherited!A:A,Inherited!B:B)))/100)*IF(Y140="1.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(100%)","100"))))))&lt;=10,"0", IF(AND((((_xlfn.XLOOKUP(Assessment!H141,Inherited!A:A,Inherited!B:B))/100)*(_xlfn.XLOOKUP(Assessment!H141,Inherited!A:A,Inherited!D:D)))+(((100-(_xlfn.XLOOKUP(Assessment!H141,Inherited!A:A,Inherited!B:B)))/100)*IF(Y140="1.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(100%)","100"))))))&gt;=11,(((_xlfn.XLOOKUP(Assessment!H141,Inherited!A:A,Inherited!B:B))/100)*(_xlfn.XLOOKUP(Assessment!H141,Inherited!A:A,Inherited!D:D)))+(((100-(_xlfn.XLOOKUP(Assessment!H141,Inherited!A:A,Inherited!B:B)))/100)*IF(Y140="1.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(100%)","100"))))))&lt;=32),"25",IF(AND((((_xlfn.XLOOKUP(Assessment!H141,Inherited!A:A,Inherited!B:B))/100)*(_xlfn.XLOOKUP(Assessment!H141,Inherited!A:A,Inherited!D:D)))+(((100-(_xlfn.XLOOKUP(Assessment!H141,Inherited!A:A,Inherited!B:B)))/100)*IF(Y140="1.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(100%)","100"))))))&gt;=33,(((_xlfn.XLOOKUP(Assessment!H141,Inherited!A:A,Inherited!B:B))/100)*(_xlfn.XLOOKUP(Assessment!H141,Inherited!A:A,Inherited!D:D)))+(((100-(_xlfn.XLOOKUP(Assessment!H141,Inherited!A:A,Inherited!B:B)))/100)*IF(Y140="1.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(100%)","100"))))))&lt;=65),"50",IF(AND((((_xlfn.XLOOKUP(Assessment!H141,Inherited!A:A,Inherited!B:B))/100)*(_xlfn.XLOOKUP(Assessment!H141,Inherited!A:A,Inherited!D:D)))+(((100-(_xlfn.XLOOKUP(Assessment!H141,Inherited!A:A,Inherited!B:B)))/100)*IF(Y140="1.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(100%)","100"))))))&gt;=66,(((_xlfn.XLOOKUP(Assessment!H141,Inherited!A:A,Inherited!B:B))/100)*(_xlfn.XLOOKUP(Assessment!H141,Inherited!A:A,Inherited!D:D)))+(((100-(_xlfn.XLOOKUP(Assessment!H141,Inherited!A:A,Inherited!B:B)))/100)*IF(Y140="1.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(100%)","100"))))))&lt;=89),"75",IF((((_xlfn.XLOOKUP(Assessment!H141,Inherited!A:A,Inherited!B:B))/100)*(_xlfn.XLOOKUP(Assessment!H141,Inherited!A:A,Inherited!D:D)))+(((100-(_xlfn.XLOOKUP(Assessment!H141,Inherited!A:A,Inherited!B:B)))/100)*IF(Y140="1. Non Compliant (0%)","0",IF(Y140="2. Somewhat Compliant (25%)","25",IF(Y140="3. Partially Compliant (50%)","50",IF(Y140="4. Mostly Compliant (75%)","75",IF(Y140="5. Fully Compliant (100%)","100"))))))&gt;=90,"100"))))))</f>
        <v>#N/A</v>
      </c>
      <c r="S140" s="1" t="e">
        <f>IF(MATCH(H140,Inherited!A:A),IF((((_xlfn.XLOOKUP(Assessment!H141,Inherited!A:A,Inherited!B:B))/100)*(_xlfn.XLOOKUP(Assessment!H141,Inherited!A:A,Inherited!E:E)))+(((100-(_xlfn.XLOOKUP(Assessment!H141,Inherited!A:A,Inherited!B:B)))/100)*IF(Z140="1.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(100%)","100"))))))&lt;=10,"0", IF(AND((((_xlfn.XLOOKUP(Assessment!H141,Inherited!A:A,Inherited!B:B))/100)*(_xlfn.XLOOKUP(Assessment!H141,Inherited!A:A,Inherited!E:E)))+(((100-(_xlfn.XLOOKUP(Assessment!H141,Inherited!A:A,Inherited!B:B)))/100)*IF(Z140="1.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(100%)","100"))))))&gt;=11,(((_xlfn.XLOOKUP(Assessment!H141,Inherited!A:A,Inherited!B:B))/100)*(_xlfn.XLOOKUP(Assessment!H141,Inherited!A:A,Inherited!E:E)))+(((100-(_xlfn.XLOOKUP(Assessment!H141,Inherited!A:A,Inherited!B:B)))/100)*IF(Z140="1.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(100%)","100"))))))&lt;=32),"25",IF(AND((((_xlfn.XLOOKUP(Assessment!H141,Inherited!A:A,Inherited!B:B))/100)*(_xlfn.XLOOKUP(Assessment!H141,Inherited!A:A,Inherited!E:E)))+(((100-(_xlfn.XLOOKUP(Assessment!H141,Inherited!A:A,Inherited!B:B)))/100)*IF(Z140="1.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(100%)","100"))))))&gt;=33,(((_xlfn.XLOOKUP(Assessment!H141,Inherited!A:A,Inherited!B:B))/100)*(_xlfn.XLOOKUP(Assessment!H141,Inherited!A:A,Inherited!E:E)))+(((100-(_xlfn.XLOOKUP(Assessment!H141,Inherited!A:A,Inherited!B:B)))/100)*IF(Z140="1.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(100%)","100"))))))&lt;=65),"50",IF(AND((((_xlfn.XLOOKUP(Assessment!H141,Inherited!A:A,Inherited!B:B))/100)*(_xlfn.XLOOKUP(Assessment!H141,Inherited!A:A,Inherited!E:E)))+(((100-(_xlfn.XLOOKUP(Assessment!H141,Inherited!A:A,Inherited!B:B)))/100)*IF(Z140="1.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(100%)","100"))))))&gt;=66,(((_xlfn.XLOOKUP(Assessment!H141,Inherited!A:A,Inherited!B:B))/100)*(_xlfn.XLOOKUP(Assessment!H141,Inherited!A:A,Inherited!E:E)))+(((100-(_xlfn.XLOOKUP(Assessment!H141,Inherited!A:A,Inherited!B:B)))/100)*IF(Z140="1.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(100%)","100"))))))&lt;=89),"75",IF((((_xlfn.XLOOKUP(Assessment!H141,Inherited!A:A,Inherited!B:B))/100)*(_xlfn.XLOOKUP(Assessment!H141,Inherited!A:A,Inherited!E:E)))+(((100-(_xlfn.XLOOKUP(Assessment!H141,Inherited!A:A,Inherited!B:B)))/100)*IF(Z140="1. Non Compliant (0%)","0",IF(Z140="2. Somewhat Compliant (25%)","25",IF(Z140="3. Partially Compliant (50%)","50",IF(Z140="4. Mostly Compliant (75%)","75",IF(Z140="5. Fully Compliant (100%)","100"))))))&gt;=90,"100"))))))</f>
        <v>#N/A</v>
      </c>
      <c r="T140" s="1" t="e">
        <f>IF(MATCH(H140,Inherited!A:A),IF((((_xlfn.XLOOKUP(Assessment!H141,Inherited!A:A,Inherited!B:B))/100)*(_xlfn.XLOOKUP(Assessment!H141,Inherited!A:A,Inherited!F:F)))+(((100-(_xlfn.XLOOKUP(Assessment!H141,Inherited!A:A,Inherited!B:B)))/100)*IF(AA140="1.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(100%)","100"))))))&lt;=10,"0", IF(AND((((_xlfn.XLOOKUP(Assessment!H141,Inherited!A:A,Inherited!B:B))/100)*(_xlfn.XLOOKUP(Assessment!H141,Inherited!A:A,Inherited!F:F)))+(((100-(_xlfn.XLOOKUP(Assessment!H141,Inherited!A:A,Inherited!B:B)))/100)*IF(AA140="1.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(100%)","100"))))))&gt;=11,(((_xlfn.XLOOKUP(Assessment!H141,Inherited!A:A,Inherited!B:B))/100)*(_xlfn.XLOOKUP(Assessment!H141,Inherited!A:A,Inherited!F:F)))+(((100-(_xlfn.XLOOKUP(Assessment!H141,Inherited!A:A,Inherited!B:B)))/100)*IF(AA140="1.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(100%)","100"))))))&lt;=32),"25",IF(AND((((_xlfn.XLOOKUP(Assessment!H141,Inherited!A:A,Inherited!B:B))/100)*(_xlfn.XLOOKUP(Assessment!H141,Inherited!A:A,Inherited!F:F)))+(((100-(_xlfn.XLOOKUP(Assessment!H141,Inherited!A:A,Inherited!B:B)))/100)*IF(AA140="1.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(100%)","100"))))))&gt;=33,(((_xlfn.XLOOKUP(Assessment!H141,Inherited!A:A,Inherited!B:B))/100)*(_xlfn.XLOOKUP(Assessment!H141,Inherited!A:A,Inherited!F:F)))+(((100-(_xlfn.XLOOKUP(Assessment!H141,Inherited!A:A,Inherited!B:B)))/100)*IF(AA140="1.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(100%)","100"))))))&lt;=65),"50",IF(AND((((_xlfn.XLOOKUP(Assessment!H141,Inherited!A:A,Inherited!B:B))/100)*(_xlfn.XLOOKUP(Assessment!H141,Inherited!A:A,Inherited!F:F)))+(((100-(_xlfn.XLOOKUP(Assessment!H141,Inherited!A:A,Inherited!B:B)))/100)*IF(AA140="1.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(100%)","100"))))))&gt;=66,(((_xlfn.XLOOKUP(Assessment!H141,Inherited!A:A,Inherited!B:B))/100)*(_xlfn.XLOOKUP(Assessment!H141,Inherited!A:A,Inherited!F:F)))+(((100-(_xlfn.XLOOKUP(Assessment!H141,Inherited!A:A,Inherited!B:B)))/100)*IF(AA140="1.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(100%)","100"))))))&lt;=89),"75",IF((((_xlfn.XLOOKUP(Assessment!H141,Inherited!A:A,Inherited!B:B))/100)*(_xlfn.XLOOKUP(Assessment!H141,Inherited!A:A,Inherited!F:F)))+(((100-(_xlfn.XLOOKUP(Assessment!H141,Inherited!A:A,Inherited!B:B)))/100)*IF(AA140="1. Non Compliant (0%)","0",IF(AA140="2. Somewhat Compliant (25%)","25",IF(AA140="3. Partially Compliant (50%)","50",IF(AA140="4. Mostly Compliant (75%)","75",IF(AA140="5. Fully Compliant (100%)","100"))))))&gt;=90,"100"))))))</f>
        <v>#N/A</v>
      </c>
      <c r="U140" s="1" t="e">
        <f>IF(MATCH(H140,Inherited!A:A),IF((((_xlfn.XLOOKUP(Assessment!H141,Inherited!A:A,Inherited!B:B))/100)*(_xlfn.XLOOKUP(Assessment!H141,Inherited!A:A,Inherited!G:G)))+(((100-(_xlfn.XLOOKUP(Assessment!H141,Inherited!A:A,Inherited!B:B)))/100)*IF(AB140="1.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(100%)","100"))))))&lt;=10,"0", IF(AND((((_xlfn.XLOOKUP(Assessment!H141,Inherited!A:A,Inherited!B:B))/100)*(_xlfn.XLOOKUP(Assessment!H141,Inherited!A:A,Inherited!G:G)))+(((100-(_xlfn.XLOOKUP(Assessment!H141,Inherited!A:A,Inherited!B:B)))/100)*IF(AB140="1.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(100%)","100"))))))&gt;=11,(((_xlfn.XLOOKUP(Assessment!H141,Inherited!A:A,Inherited!B:B))/100)*(_xlfn.XLOOKUP(Assessment!H141,Inherited!A:A,Inherited!G:G)))+(((100-(_xlfn.XLOOKUP(Assessment!H141,Inherited!A:A,Inherited!B:B)))/100)*IF(AB140="1.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(100%)","100"))))))&lt;=32),"25",IF(AND((((_xlfn.XLOOKUP(Assessment!H141,Inherited!A:A,Inherited!B:B))/100)*(_xlfn.XLOOKUP(Assessment!H141,Inherited!A:A,Inherited!G:G)))+(((100-(_xlfn.XLOOKUP(Assessment!H141,Inherited!A:A,Inherited!B:B)))/100)*IF(AB140="1.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(100%)","100"))))))&gt;=33,(((_xlfn.XLOOKUP(Assessment!H141,Inherited!A:A,Inherited!B:B))/100)*(_xlfn.XLOOKUP(Assessment!H141,Inherited!A:A,Inherited!G:G)))+(((100-(_xlfn.XLOOKUP(Assessment!H141,Inherited!A:A,Inherited!B:B)))/100)*IF(AB140="1.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(100%)","100"))))))&lt;=65),"50",IF(AND((((_xlfn.XLOOKUP(Assessment!H141,Inherited!A:A,Inherited!B:B))/100)*(_xlfn.XLOOKUP(Assessment!H141,Inherited!A:A,Inherited!G:G)))+(((100-(_xlfn.XLOOKUP(Assessment!H141,Inherited!A:A,Inherited!B:B)))/100)*IF(AB140="1.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(100%)","100"))))))&gt;=66,(((_xlfn.XLOOKUP(Assessment!H141,Inherited!A:A,Inherited!B:B))/100)*(_xlfn.XLOOKUP(Assessment!H141,Inherited!A:A,Inherited!G:G)))+(((100-(_xlfn.XLOOKUP(Assessment!H141,Inherited!A:A,Inherited!B:B)))/100)*IF(AB140="1.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(100%)","100"))))))&lt;=89),"75",IF((((_xlfn.XLOOKUP(Assessment!H141,Inherited!A:A,Inherited!B:B))/100)*(_xlfn.XLOOKUP(Assessment!H141,Inherited!A:A,Inherited!G:G)))+(((100-(_xlfn.XLOOKUP(Assessment!H141,Inherited!A:A,Inherited!B:B)))/100)*IF(AB140="1. Non Compliant (0%)","0",IF(AB140="2. Somewhat Compliant (25%)","25",IF(AB140="3. Partially Compliant (50%)","50",IF(AB140="4. Mostly Compliant (75%)","75",IF(AB140="5. Fully Compliant (100%)","100"))))))&gt;=90,"100"))))))</f>
        <v>#N/A</v>
      </c>
      <c r="V140" s="55" t="s">
        <v>85</v>
      </c>
      <c r="W140" s="55"/>
      <c r="X140" s="55"/>
      <c r="Y140" s="55"/>
      <c r="Z140" s="55" t="s">
        <v>10873</v>
      </c>
      <c r="AA140" s="55"/>
      <c r="AB140" s="55"/>
      <c r="AK140" s="1" t="s">
        <v>10978</v>
      </c>
      <c r="AL140" s="1" t="s">
        <v>10985</v>
      </c>
      <c r="AP140" s="1" t="s">
        <v>11102</v>
      </c>
      <c r="AX140" s="3" t="str">
        <f>_xlfn.CONCAT("A-LIGN finished its review of this control on ",AR140, " during the scheduled fieldwork window (",Intro!$B$4,")."&amp; CHAR(10)&amp; CHAR(10))</f>
        <v xml:space="preserve">A-LIGN finished its review of this control on  during the scheduled fieldwork window (Fieldwork: xx/xx/xxxx - xx/xx/xxxx).
</v>
      </c>
      <c r="AY140" s="3" t="str">
        <f t="shared" si="311"/>
        <v/>
      </c>
      <c r="AZ140" s="3" t="str">
        <f t="shared" si="312"/>
        <v/>
      </c>
      <c r="BA140" s="3" t="str">
        <f t="shared" si="313"/>
        <v/>
      </c>
      <c r="BB140"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40" s="3" t="str">
        <f t="shared" si="315"/>
        <v/>
      </c>
      <c r="BD140"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risk considerations for the organization
- defines risk considerations for customers, partners, and suppliers
- defines risk considerations for end users/workforce members
- defines risk considerations for civil organizations (if required)
- defines risk considerations for affected communities (if required)
- defines risk considerations for societies (if required)
</v>
      </c>
      <c r="BE140" s="3" t="str">
        <f t="shared" si="317"/>
        <v/>
      </c>
      <c r="BF140" s="3" t="str">
        <f t="shared" si="318"/>
        <v/>
      </c>
      <c r="BG140" s="3" t="str">
        <f>_xlfn.CONCAT((IF((COUNTIF('Sample Tables'!B:B,"")&gt;0)=TRUE,_xlfn.CONCAT("",""),IF((COUNTIF('Sample Tables'!B:B,"")&gt;0)=FALSE,""))),)</f>
        <v/>
      </c>
      <c r="BH140"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risk considerations for the organization
- defines risk considerations for customers, partners, and suppliers
- defines risk considerations for end users/workforce members
- defines risk considerations for civil organizations (if required)
- defines risk considerations for affected communities (if required)
- defines risk considerations for societies (if required)
</v>
      </c>
    </row>
    <row r="141" spans="3:60" ht="274.5" customHeight="1" x14ac:dyDescent="0.35">
      <c r="C141" s="1">
        <f t="shared" si="310"/>
        <v>0</v>
      </c>
      <c r="D141" s="5" t="str">
        <f>IF(AND((_xlfn.XLOOKUP(J141,'Fields &amp; Revisions'!$H:$H,'Fields &amp; Revisions'!$I:$I))&lt;70.99,(OR(Z141="4. Mostly Compliant (75%)",Z141="3. Partially Compliant (50%)",Z141="2. Somewhat Compliant (25%)",Z141="1. Non Compliant (0%)"))),"Yes","No")</f>
        <v>Yes</v>
      </c>
      <c r="E141" s="5" t="str">
        <f>IF(ISERROR(VLOOKUP(H141,Scope!A:A,1,FALSE)),"No","Yes")</f>
        <v>Yes</v>
      </c>
      <c r="F141" s="1" t="s">
        <v>4666</v>
      </c>
      <c r="G141" s="53" t="s">
        <v>4705</v>
      </c>
      <c r="H141" s="53" t="s">
        <v>4706</v>
      </c>
      <c r="I141" s="5" t="s">
        <v>225</v>
      </c>
      <c r="J141" s="1" t="s">
        <v>226</v>
      </c>
      <c r="K141" s="54" t="s">
        <v>4707</v>
      </c>
      <c r="L141" s="1" t="s">
        <v>4708</v>
      </c>
      <c r="M141" s="1" t="s">
        <v>4709</v>
      </c>
      <c r="N141" s="5" t="s">
        <v>98</v>
      </c>
      <c r="O141" s="1" t="str">
        <f>_xlfn.XLOOKUP(G141,SRMs!$A:$A,SRMs!$D:$D)</f>
        <v>NO INHERITANCE</v>
      </c>
      <c r="P141" s="1" t="str">
        <f>IFERROR(VLOOKUP(H141,Inherited!A:B,2,FALSE),"")</f>
        <v/>
      </c>
      <c r="Q141" s="1" t="e">
        <f>IF(MATCH(H141,Inherited!A:A),IF((((_xlfn.XLOOKUP(Assessment!H142,Inherited!A:A,Inherited!B:B))/100)*(_xlfn.XLOOKUP(Assessment!H142,Inherited!A:A,Inherited!C:C)))+(((100-(_xlfn.XLOOKUP(Assessment!H142,Inherited!A:A,Inherited!B:B)))/100)*IF(X141="1.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(100%)","100"))))))&lt;=10,"0", IF(AND((((_xlfn.XLOOKUP(Assessment!H142,Inherited!A:A,Inherited!B:B))/100)*(_xlfn.XLOOKUP(Assessment!H142,Inherited!A:A,Inherited!C:C)))+(((100-(_xlfn.XLOOKUP(Assessment!H142,Inherited!A:A,Inherited!B:B)))/100)*IF(X141="1.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(100%)","100"))))))&gt;=11,(((_xlfn.XLOOKUP(Assessment!H142,Inherited!A:A,Inherited!B:B))/100)*(_xlfn.XLOOKUP(Assessment!H142,Inherited!A:A,Inherited!C:C)))+(((100-(_xlfn.XLOOKUP(Assessment!H142,Inherited!A:A,Inherited!B:B)))/100)*IF(X141="1.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(100%)","100"))))))&lt;=32),"25",IF(AND((((_xlfn.XLOOKUP(Assessment!H142,Inherited!A:A,Inherited!B:B))/100)*(_xlfn.XLOOKUP(Assessment!H142,Inherited!A:A,Inherited!C:C)))+(((100-(_xlfn.XLOOKUP(Assessment!H142,Inherited!A:A,Inherited!B:B)))/100)*IF(X141="1.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(100%)","100"))))))&gt;=33,(((_xlfn.XLOOKUP(Assessment!H142,Inherited!A:A,Inherited!B:B))/100)*(_xlfn.XLOOKUP(Assessment!H142,Inherited!A:A,Inherited!C:C)))+(((100-(_xlfn.XLOOKUP(Assessment!H142,Inherited!A:A,Inherited!B:B)))/100)*IF(X141="1.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(100%)","100"))))))&lt;=65),"50",IF(AND((((_xlfn.XLOOKUP(Assessment!H142,Inherited!A:A,Inherited!B:B))/100)*(_xlfn.XLOOKUP(Assessment!H142,Inherited!A:A,Inherited!C:C)))+(((100-(_xlfn.XLOOKUP(Assessment!H142,Inherited!A:A,Inherited!B:B)))/100)*IF(X141="1.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(100%)","100"))))))&gt;=66,(((_xlfn.XLOOKUP(Assessment!H142,Inherited!A:A,Inherited!B:B))/100)*(_xlfn.XLOOKUP(Assessment!H142,Inherited!A:A,Inherited!C:C)))+(((100-(_xlfn.XLOOKUP(Assessment!H142,Inherited!A:A,Inherited!B:B)))/100)*IF(X141="1.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(100%)","100"))))))&lt;=89),"75",IF((((_xlfn.XLOOKUP(Assessment!H142,Inherited!A:A,Inherited!B:B))/100)*(_xlfn.XLOOKUP(Assessment!H142,Inherited!A:A,Inherited!C:C)))+(((100-(_xlfn.XLOOKUP(Assessment!H142,Inherited!A:A,Inherited!B:B)))/100)*IF(X141="1. Non Compliant (0%)","0",IF(X141="2. Somewhat Compliant (25%)","25",IF(X141="3. Partially Compliant (50%)","50",IF(X141="4. Mostly Compliant (75%)","75",IF(X141="5. Fully Compliant (100%)","100"))))))&gt;=90,"100"))))))</f>
        <v>#N/A</v>
      </c>
      <c r="R141" s="1" t="e">
        <f>IF(MATCH(H141,Inherited!A:A),IF((((_xlfn.XLOOKUP(Assessment!H142,Inherited!A:A,Inherited!B:B))/100)*(_xlfn.XLOOKUP(Assessment!H142,Inherited!A:A,Inherited!D:D)))+(((100-(_xlfn.XLOOKUP(Assessment!H142,Inherited!A:A,Inherited!B:B)))/100)*IF(Y141="1.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(100%)","100"))))))&lt;=10,"0", IF(AND((((_xlfn.XLOOKUP(Assessment!H142,Inherited!A:A,Inherited!B:B))/100)*(_xlfn.XLOOKUP(Assessment!H142,Inherited!A:A,Inherited!D:D)))+(((100-(_xlfn.XLOOKUP(Assessment!H142,Inherited!A:A,Inherited!B:B)))/100)*IF(Y141="1.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(100%)","100"))))))&gt;=11,(((_xlfn.XLOOKUP(Assessment!H142,Inherited!A:A,Inherited!B:B))/100)*(_xlfn.XLOOKUP(Assessment!H142,Inherited!A:A,Inherited!D:D)))+(((100-(_xlfn.XLOOKUP(Assessment!H142,Inherited!A:A,Inherited!B:B)))/100)*IF(Y141="1.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(100%)","100"))))))&lt;=32),"25",IF(AND((((_xlfn.XLOOKUP(Assessment!H142,Inherited!A:A,Inherited!B:B))/100)*(_xlfn.XLOOKUP(Assessment!H142,Inherited!A:A,Inherited!D:D)))+(((100-(_xlfn.XLOOKUP(Assessment!H142,Inherited!A:A,Inherited!B:B)))/100)*IF(Y141="1.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(100%)","100"))))))&gt;=33,(((_xlfn.XLOOKUP(Assessment!H142,Inherited!A:A,Inherited!B:B))/100)*(_xlfn.XLOOKUP(Assessment!H142,Inherited!A:A,Inherited!D:D)))+(((100-(_xlfn.XLOOKUP(Assessment!H142,Inherited!A:A,Inherited!B:B)))/100)*IF(Y141="1.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(100%)","100"))))))&lt;=65),"50",IF(AND((((_xlfn.XLOOKUP(Assessment!H142,Inherited!A:A,Inherited!B:B))/100)*(_xlfn.XLOOKUP(Assessment!H142,Inherited!A:A,Inherited!D:D)))+(((100-(_xlfn.XLOOKUP(Assessment!H142,Inherited!A:A,Inherited!B:B)))/100)*IF(Y141="1.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(100%)","100"))))))&gt;=66,(((_xlfn.XLOOKUP(Assessment!H142,Inherited!A:A,Inherited!B:B))/100)*(_xlfn.XLOOKUP(Assessment!H142,Inherited!A:A,Inherited!D:D)))+(((100-(_xlfn.XLOOKUP(Assessment!H142,Inherited!A:A,Inherited!B:B)))/100)*IF(Y141="1.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(100%)","100"))))))&lt;=89),"75",IF((((_xlfn.XLOOKUP(Assessment!H142,Inherited!A:A,Inherited!B:B))/100)*(_xlfn.XLOOKUP(Assessment!H142,Inherited!A:A,Inherited!D:D)))+(((100-(_xlfn.XLOOKUP(Assessment!H142,Inherited!A:A,Inherited!B:B)))/100)*IF(Y141="1. Non Compliant (0%)","0",IF(Y141="2. Somewhat Compliant (25%)","25",IF(Y141="3. Partially Compliant (50%)","50",IF(Y141="4. Mostly Compliant (75%)","75",IF(Y141="5. Fully Compliant (100%)","100"))))))&gt;=90,"100"))))))</f>
        <v>#N/A</v>
      </c>
      <c r="S141" s="1" t="e">
        <f>IF(MATCH(H141,Inherited!A:A),IF((((_xlfn.XLOOKUP(Assessment!H142,Inherited!A:A,Inherited!B:B))/100)*(_xlfn.XLOOKUP(Assessment!H142,Inherited!A:A,Inherited!E:E)))+(((100-(_xlfn.XLOOKUP(Assessment!H142,Inherited!A:A,Inherited!B:B)))/100)*IF(Z141="1.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(100%)","100"))))))&lt;=10,"0", IF(AND((((_xlfn.XLOOKUP(Assessment!H142,Inherited!A:A,Inherited!B:B))/100)*(_xlfn.XLOOKUP(Assessment!H142,Inherited!A:A,Inherited!E:E)))+(((100-(_xlfn.XLOOKUP(Assessment!H142,Inherited!A:A,Inherited!B:B)))/100)*IF(Z141="1.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(100%)","100"))))))&gt;=11,(((_xlfn.XLOOKUP(Assessment!H142,Inherited!A:A,Inherited!B:B))/100)*(_xlfn.XLOOKUP(Assessment!H142,Inherited!A:A,Inherited!E:E)))+(((100-(_xlfn.XLOOKUP(Assessment!H142,Inherited!A:A,Inherited!B:B)))/100)*IF(Z141="1.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(100%)","100"))))))&lt;=32),"25",IF(AND((((_xlfn.XLOOKUP(Assessment!H142,Inherited!A:A,Inherited!B:B))/100)*(_xlfn.XLOOKUP(Assessment!H142,Inherited!A:A,Inherited!E:E)))+(((100-(_xlfn.XLOOKUP(Assessment!H142,Inherited!A:A,Inherited!B:B)))/100)*IF(Z141="1.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(100%)","100"))))))&gt;=33,(((_xlfn.XLOOKUP(Assessment!H142,Inherited!A:A,Inherited!B:B))/100)*(_xlfn.XLOOKUP(Assessment!H142,Inherited!A:A,Inherited!E:E)))+(((100-(_xlfn.XLOOKUP(Assessment!H142,Inherited!A:A,Inherited!B:B)))/100)*IF(Z141="1.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(100%)","100"))))))&lt;=65),"50",IF(AND((((_xlfn.XLOOKUP(Assessment!H142,Inherited!A:A,Inherited!B:B))/100)*(_xlfn.XLOOKUP(Assessment!H142,Inherited!A:A,Inherited!E:E)))+(((100-(_xlfn.XLOOKUP(Assessment!H142,Inherited!A:A,Inherited!B:B)))/100)*IF(Z141="1.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(100%)","100"))))))&gt;=66,(((_xlfn.XLOOKUP(Assessment!H142,Inherited!A:A,Inherited!B:B))/100)*(_xlfn.XLOOKUP(Assessment!H142,Inherited!A:A,Inherited!E:E)))+(((100-(_xlfn.XLOOKUP(Assessment!H142,Inherited!A:A,Inherited!B:B)))/100)*IF(Z141="1.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(100%)","100"))))))&lt;=89),"75",IF((((_xlfn.XLOOKUP(Assessment!H142,Inherited!A:A,Inherited!B:B))/100)*(_xlfn.XLOOKUP(Assessment!H142,Inherited!A:A,Inherited!E:E)))+(((100-(_xlfn.XLOOKUP(Assessment!H142,Inherited!A:A,Inherited!B:B)))/100)*IF(Z141="1. Non Compliant (0%)","0",IF(Z141="2. Somewhat Compliant (25%)","25",IF(Z141="3. Partially Compliant (50%)","50",IF(Z141="4. Mostly Compliant (75%)","75",IF(Z141="5. Fully Compliant (100%)","100"))))))&gt;=90,"100"))))))</f>
        <v>#N/A</v>
      </c>
      <c r="T141" s="1" t="e">
        <f>IF(MATCH(H141,Inherited!A:A),IF((((_xlfn.XLOOKUP(Assessment!H142,Inherited!A:A,Inherited!B:B))/100)*(_xlfn.XLOOKUP(Assessment!H142,Inherited!A:A,Inherited!F:F)))+(((100-(_xlfn.XLOOKUP(Assessment!H142,Inherited!A:A,Inherited!B:B)))/100)*IF(AA141="1.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(100%)","100"))))))&lt;=10,"0", IF(AND((((_xlfn.XLOOKUP(Assessment!H142,Inherited!A:A,Inherited!B:B))/100)*(_xlfn.XLOOKUP(Assessment!H142,Inherited!A:A,Inherited!F:F)))+(((100-(_xlfn.XLOOKUP(Assessment!H142,Inherited!A:A,Inherited!B:B)))/100)*IF(AA141="1.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(100%)","100"))))))&gt;=11,(((_xlfn.XLOOKUP(Assessment!H142,Inherited!A:A,Inherited!B:B))/100)*(_xlfn.XLOOKUP(Assessment!H142,Inherited!A:A,Inherited!F:F)))+(((100-(_xlfn.XLOOKUP(Assessment!H142,Inherited!A:A,Inherited!B:B)))/100)*IF(AA141="1.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(100%)","100"))))))&lt;=32),"25",IF(AND((((_xlfn.XLOOKUP(Assessment!H142,Inherited!A:A,Inherited!B:B))/100)*(_xlfn.XLOOKUP(Assessment!H142,Inherited!A:A,Inherited!F:F)))+(((100-(_xlfn.XLOOKUP(Assessment!H142,Inherited!A:A,Inherited!B:B)))/100)*IF(AA141="1.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(100%)","100"))))))&gt;=33,(((_xlfn.XLOOKUP(Assessment!H142,Inherited!A:A,Inherited!B:B))/100)*(_xlfn.XLOOKUP(Assessment!H142,Inherited!A:A,Inherited!F:F)))+(((100-(_xlfn.XLOOKUP(Assessment!H142,Inherited!A:A,Inherited!B:B)))/100)*IF(AA141="1.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(100%)","100"))))))&lt;=65),"50",IF(AND((((_xlfn.XLOOKUP(Assessment!H142,Inherited!A:A,Inherited!B:B))/100)*(_xlfn.XLOOKUP(Assessment!H142,Inherited!A:A,Inherited!F:F)))+(((100-(_xlfn.XLOOKUP(Assessment!H142,Inherited!A:A,Inherited!B:B)))/100)*IF(AA141="1.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(100%)","100"))))))&gt;=66,(((_xlfn.XLOOKUP(Assessment!H142,Inherited!A:A,Inherited!B:B))/100)*(_xlfn.XLOOKUP(Assessment!H142,Inherited!A:A,Inherited!F:F)))+(((100-(_xlfn.XLOOKUP(Assessment!H142,Inherited!A:A,Inherited!B:B)))/100)*IF(AA141="1.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(100%)","100"))))))&lt;=89),"75",IF((((_xlfn.XLOOKUP(Assessment!H142,Inherited!A:A,Inherited!B:B))/100)*(_xlfn.XLOOKUP(Assessment!H142,Inherited!A:A,Inherited!F:F)))+(((100-(_xlfn.XLOOKUP(Assessment!H142,Inherited!A:A,Inherited!B:B)))/100)*IF(AA141="1. Non Compliant (0%)","0",IF(AA141="2. Somewhat Compliant (25%)","25",IF(AA141="3. Partially Compliant (50%)","50",IF(AA141="4. Mostly Compliant (75%)","75",IF(AA141="5. Fully Compliant (100%)","100"))))))&gt;=90,"100"))))))</f>
        <v>#N/A</v>
      </c>
      <c r="U141" s="1" t="e">
        <f>IF(MATCH(H141,Inherited!A:A),IF((((_xlfn.XLOOKUP(Assessment!H142,Inherited!A:A,Inherited!B:B))/100)*(_xlfn.XLOOKUP(Assessment!H142,Inherited!A:A,Inherited!G:G)))+(((100-(_xlfn.XLOOKUP(Assessment!H142,Inherited!A:A,Inherited!B:B)))/100)*IF(AB141="1.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(100%)","100"))))))&lt;=10,"0", IF(AND((((_xlfn.XLOOKUP(Assessment!H142,Inherited!A:A,Inherited!B:B))/100)*(_xlfn.XLOOKUP(Assessment!H142,Inherited!A:A,Inherited!G:G)))+(((100-(_xlfn.XLOOKUP(Assessment!H142,Inherited!A:A,Inherited!B:B)))/100)*IF(AB141="1.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(100%)","100"))))))&gt;=11,(((_xlfn.XLOOKUP(Assessment!H142,Inherited!A:A,Inherited!B:B))/100)*(_xlfn.XLOOKUP(Assessment!H142,Inherited!A:A,Inherited!G:G)))+(((100-(_xlfn.XLOOKUP(Assessment!H142,Inherited!A:A,Inherited!B:B)))/100)*IF(AB141="1.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(100%)","100"))))))&lt;=32),"25",IF(AND((((_xlfn.XLOOKUP(Assessment!H142,Inherited!A:A,Inherited!B:B))/100)*(_xlfn.XLOOKUP(Assessment!H142,Inherited!A:A,Inherited!G:G)))+(((100-(_xlfn.XLOOKUP(Assessment!H142,Inherited!A:A,Inherited!B:B)))/100)*IF(AB141="1.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(100%)","100"))))))&gt;=33,(((_xlfn.XLOOKUP(Assessment!H142,Inherited!A:A,Inherited!B:B))/100)*(_xlfn.XLOOKUP(Assessment!H142,Inherited!A:A,Inherited!G:G)))+(((100-(_xlfn.XLOOKUP(Assessment!H142,Inherited!A:A,Inherited!B:B)))/100)*IF(AB141="1.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(100%)","100"))))))&lt;=65),"50",IF(AND((((_xlfn.XLOOKUP(Assessment!H142,Inherited!A:A,Inherited!B:B))/100)*(_xlfn.XLOOKUP(Assessment!H142,Inherited!A:A,Inherited!G:G)))+(((100-(_xlfn.XLOOKUP(Assessment!H142,Inherited!A:A,Inherited!B:B)))/100)*IF(AB141="1.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(100%)","100"))))))&gt;=66,(((_xlfn.XLOOKUP(Assessment!H142,Inherited!A:A,Inherited!B:B))/100)*(_xlfn.XLOOKUP(Assessment!H142,Inherited!A:A,Inherited!G:G)))+(((100-(_xlfn.XLOOKUP(Assessment!H142,Inherited!A:A,Inherited!B:B)))/100)*IF(AB141="1.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(100%)","100"))))))&lt;=89),"75",IF((((_xlfn.XLOOKUP(Assessment!H142,Inherited!A:A,Inherited!B:B))/100)*(_xlfn.XLOOKUP(Assessment!H142,Inherited!A:A,Inherited!G:G)))+(((100-(_xlfn.XLOOKUP(Assessment!H142,Inherited!A:A,Inherited!B:B)))/100)*IF(AB141="1. Non Compliant (0%)","0",IF(AB141="2. Somewhat Compliant (25%)","25",IF(AB141="3. Partially Compliant (50%)","50",IF(AB141="4. Mostly Compliant (75%)","75",IF(AB141="5. Fully Compliant (100%)","100"))))))&gt;=90,"100"))))))</f>
        <v>#N/A</v>
      </c>
      <c r="V141" s="55" t="s">
        <v>85</v>
      </c>
      <c r="W141" s="55"/>
      <c r="X141" s="55"/>
      <c r="Y141" s="55"/>
      <c r="Z141" s="55" t="s">
        <v>10873</v>
      </c>
      <c r="AA141" s="55"/>
      <c r="AB141" s="55"/>
      <c r="AK141" s="1" t="s">
        <v>10978</v>
      </c>
      <c r="AL141" s="1" t="s">
        <v>10985</v>
      </c>
      <c r="AP141" s="1" t="s">
        <v>11103</v>
      </c>
      <c r="AX141" s="3" t="str">
        <f>_xlfn.CONCAT("A-LIGN finished its review of this control on ",AR141, " during the scheduled fieldwork window (",Intro!$B$4,")."&amp; CHAR(10)&amp; CHAR(10))</f>
        <v xml:space="preserve">A-LIGN finished its review of this control on  during the scheduled fieldwork window (Fieldwork: xx/xx/xxxx - xx/xx/xxxx).
</v>
      </c>
      <c r="AY141" s="3" t="str">
        <f t="shared" si="311"/>
        <v/>
      </c>
      <c r="AZ141" s="3" t="str">
        <f t="shared" si="312"/>
        <v/>
      </c>
      <c r="BA141" s="3" t="str">
        <f t="shared" si="313"/>
        <v/>
      </c>
      <c r="BB141"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41" s="3" t="str">
        <f t="shared" si="315"/>
        <v/>
      </c>
      <c r="BD141"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scope objectives and purpose of program
</v>
      </c>
      <c r="BE141" s="3" t="str">
        <f t="shared" si="317"/>
        <v/>
      </c>
      <c r="BF141" s="3" t="str">
        <f t="shared" si="318"/>
        <v/>
      </c>
      <c r="BG141" s="3" t="str">
        <f>_xlfn.CONCAT((IF((COUNTIF('Sample Tables'!B:B,"")&gt;0)=TRUE,_xlfn.CONCAT("",""),IF((COUNTIF('Sample Tables'!B:B,"")&gt;0)=FALSE,""))),)</f>
        <v/>
      </c>
      <c r="BH141"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scope objectives and purpose of program
</v>
      </c>
    </row>
    <row r="142" spans="3:60" ht="279" customHeight="1" x14ac:dyDescent="0.35">
      <c r="C142" s="1">
        <f t="shared" si="310"/>
        <v>0</v>
      </c>
      <c r="D142" s="5" t="str">
        <f>IF(AND((_xlfn.XLOOKUP(J142,'Fields &amp; Revisions'!$H:$H,'Fields &amp; Revisions'!$I:$I))&lt;70.99,(OR(Z142="4. Mostly Compliant (75%)",Z142="3. Partially Compliant (50%)",Z142="2. Somewhat Compliant (25%)",Z142="1. Non Compliant (0%)"))),"Yes","No")</f>
        <v>Yes</v>
      </c>
      <c r="E142" s="5" t="str">
        <f>IF(ISERROR(VLOOKUP(H142,Scope!A:A,1,FALSE)),"No","Yes")</f>
        <v>Yes</v>
      </c>
      <c r="F142" s="1" t="s">
        <v>4666</v>
      </c>
      <c r="G142" s="53" t="s">
        <v>4710</v>
      </c>
      <c r="H142" s="53" t="s">
        <v>4711</v>
      </c>
      <c r="I142" s="5" t="s">
        <v>225</v>
      </c>
      <c r="J142" s="1" t="s">
        <v>226</v>
      </c>
      <c r="K142" s="54" t="s">
        <v>4712</v>
      </c>
      <c r="L142" s="1" t="s">
        <v>11005</v>
      </c>
      <c r="M142" s="1" t="s">
        <v>4713</v>
      </c>
      <c r="N142" s="5" t="s">
        <v>98</v>
      </c>
      <c r="O142" s="1" t="str">
        <f>_xlfn.XLOOKUP(G142,SRMs!$A:$A,SRMs!$D:$D)</f>
        <v>NO INHERITANCE</v>
      </c>
      <c r="P142" s="1" t="str">
        <f>IFERROR(VLOOKUP(H142,Inherited!A:B,2,FALSE),"")</f>
        <v/>
      </c>
      <c r="Q142" s="1" t="e">
        <f>IF(MATCH(H142,Inherited!A:A),IF((((_xlfn.XLOOKUP(Assessment!H143,Inherited!A:A,Inherited!B:B))/100)*(_xlfn.XLOOKUP(Assessment!H143,Inherited!A:A,Inherited!C:C)))+(((100-(_xlfn.XLOOKUP(Assessment!H143,Inherited!A:A,Inherited!B:B)))/100)*IF(X142="1.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(100%)","100"))))))&lt;=10,"0", IF(AND((((_xlfn.XLOOKUP(Assessment!H143,Inherited!A:A,Inherited!B:B))/100)*(_xlfn.XLOOKUP(Assessment!H143,Inherited!A:A,Inherited!C:C)))+(((100-(_xlfn.XLOOKUP(Assessment!H143,Inherited!A:A,Inherited!B:B)))/100)*IF(X142="1.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(100%)","100"))))))&gt;=11,(((_xlfn.XLOOKUP(Assessment!H143,Inherited!A:A,Inherited!B:B))/100)*(_xlfn.XLOOKUP(Assessment!H143,Inherited!A:A,Inherited!C:C)))+(((100-(_xlfn.XLOOKUP(Assessment!H143,Inherited!A:A,Inherited!B:B)))/100)*IF(X142="1.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(100%)","100"))))))&lt;=32),"25",IF(AND((((_xlfn.XLOOKUP(Assessment!H143,Inherited!A:A,Inherited!B:B))/100)*(_xlfn.XLOOKUP(Assessment!H143,Inherited!A:A,Inherited!C:C)))+(((100-(_xlfn.XLOOKUP(Assessment!H143,Inherited!A:A,Inherited!B:B)))/100)*IF(X142="1.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(100%)","100"))))))&gt;=33,(((_xlfn.XLOOKUP(Assessment!H143,Inherited!A:A,Inherited!B:B))/100)*(_xlfn.XLOOKUP(Assessment!H143,Inherited!A:A,Inherited!C:C)))+(((100-(_xlfn.XLOOKUP(Assessment!H143,Inherited!A:A,Inherited!B:B)))/100)*IF(X142="1.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(100%)","100"))))))&lt;=65),"50",IF(AND((((_xlfn.XLOOKUP(Assessment!H143,Inherited!A:A,Inherited!B:B))/100)*(_xlfn.XLOOKUP(Assessment!H143,Inherited!A:A,Inherited!C:C)))+(((100-(_xlfn.XLOOKUP(Assessment!H143,Inherited!A:A,Inherited!B:B)))/100)*IF(X142="1.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(100%)","100"))))))&gt;=66,(((_xlfn.XLOOKUP(Assessment!H143,Inherited!A:A,Inherited!B:B))/100)*(_xlfn.XLOOKUP(Assessment!H143,Inherited!A:A,Inherited!C:C)))+(((100-(_xlfn.XLOOKUP(Assessment!H143,Inherited!A:A,Inherited!B:B)))/100)*IF(X142="1.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(100%)","100"))))))&lt;=89),"75",IF((((_xlfn.XLOOKUP(Assessment!H143,Inherited!A:A,Inherited!B:B))/100)*(_xlfn.XLOOKUP(Assessment!H143,Inherited!A:A,Inherited!C:C)))+(((100-(_xlfn.XLOOKUP(Assessment!H143,Inherited!A:A,Inherited!B:B)))/100)*IF(X142="1. Non Compliant (0%)","0",IF(X142="2. Somewhat Compliant (25%)","25",IF(X142="3. Partially Compliant (50%)","50",IF(X142="4. Mostly Compliant (75%)","75",IF(X142="5. Fully Compliant (100%)","100"))))))&gt;=90,"100"))))))</f>
        <v>#N/A</v>
      </c>
      <c r="R142" s="1" t="e">
        <f>IF(MATCH(H142,Inherited!A:A),IF((((_xlfn.XLOOKUP(Assessment!H143,Inherited!A:A,Inherited!B:B))/100)*(_xlfn.XLOOKUP(Assessment!H143,Inherited!A:A,Inherited!D:D)))+(((100-(_xlfn.XLOOKUP(Assessment!H143,Inherited!A:A,Inherited!B:B)))/100)*IF(Y142="1.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(100%)","100"))))))&lt;=10,"0", IF(AND((((_xlfn.XLOOKUP(Assessment!H143,Inherited!A:A,Inherited!B:B))/100)*(_xlfn.XLOOKUP(Assessment!H143,Inherited!A:A,Inherited!D:D)))+(((100-(_xlfn.XLOOKUP(Assessment!H143,Inherited!A:A,Inherited!B:B)))/100)*IF(Y142="1.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(100%)","100"))))))&gt;=11,(((_xlfn.XLOOKUP(Assessment!H143,Inherited!A:A,Inherited!B:B))/100)*(_xlfn.XLOOKUP(Assessment!H143,Inherited!A:A,Inherited!D:D)))+(((100-(_xlfn.XLOOKUP(Assessment!H143,Inherited!A:A,Inherited!B:B)))/100)*IF(Y142="1.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(100%)","100"))))))&lt;=32),"25",IF(AND((((_xlfn.XLOOKUP(Assessment!H143,Inherited!A:A,Inherited!B:B))/100)*(_xlfn.XLOOKUP(Assessment!H143,Inherited!A:A,Inherited!D:D)))+(((100-(_xlfn.XLOOKUP(Assessment!H143,Inherited!A:A,Inherited!B:B)))/100)*IF(Y142="1.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(100%)","100"))))))&gt;=33,(((_xlfn.XLOOKUP(Assessment!H143,Inherited!A:A,Inherited!B:B))/100)*(_xlfn.XLOOKUP(Assessment!H143,Inherited!A:A,Inherited!D:D)))+(((100-(_xlfn.XLOOKUP(Assessment!H143,Inherited!A:A,Inherited!B:B)))/100)*IF(Y142="1.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(100%)","100"))))))&lt;=65),"50",IF(AND((((_xlfn.XLOOKUP(Assessment!H143,Inherited!A:A,Inherited!B:B))/100)*(_xlfn.XLOOKUP(Assessment!H143,Inherited!A:A,Inherited!D:D)))+(((100-(_xlfn.XLOOKUP(Assessment!H143,Inherited!A:A,Inherited!B:B)))/100)*IF(Y142="1.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(100%)","100"))))))&gt;=66,(((_xlfn.XLOOKUP(Assessment!H143,Inherited!A:A,Inherited!B:B))/100)*(_xlfn.XLOOKUP(Assessment!H143,Inherited!A:A,Inherited!D:D)))+(((100-(_xlfn.XLOOKUP(Assessment!H143,Inherited!A:A,Inherited!B:B)))/100)*IF(Y142="1.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(100%)","100"))))))&lt;=89),"75",IF((((_xlfn.XLOOKUP(Assessment!H143,Inherited!A:A,Inherited!B:B))/100)*(_xlfn.XLOOKUP(Assessment!H143,Inherited!A:A,Inherited!D:D)))+(((100-(_xlfn.XLOOKUP(Assessment!H143,Inherited!A:A,Inherited!B:B)))/100)*IF(Y142="1. Non Compliant (0%)","0",IF(Y142="2. Somewhat Compliant (25%)","25",IF(Y142="3. Partially Compliant (50%)","50",IF(Y142="4. Mostly Compliant (75%)","75",IF(Y142="5. Fully Compliant (100%)","100"))))))&gt;=90,"100"))))))</f>
        <v>#N/A</v>
      </c>
      <c r="S142" s="1" t="e">
        <f>IF(MATCH(H142,Inherited!A:A),IF((((_xlfn.XLOOKUP(Assessment!H143,Inherited!A:A,Inherited!B:B))/100)*(_xlfn.XLOOKUP(Assessment!H143,Inherited!A:A,Inherited!E:E)))+(((100-(_xlfn.XLOOKUP(Assessment!H143,Inherited!A:A,Inherited!B:B)))/100)*IF(Z142="1.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(100%)","100"))))))&lt;=10,"0", IF(AND((((_xlfn.XLOOKUP(Assessment!H143,Inherited!A:A,Inherited!B:B))/100)*(_xlfn.XLOOKUP(Assessment!H143,Inherited!A:A,Inherited!E:E)))+(((100-(_xlfn.XLOOKUP(Assessment!H143,Inherited!A:A,Inherited!B:B)))/100)*IF(Z142="1.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(100%)","100"))))))&gt;=11,(((_xlfn.XLOOKUP(Assessment!H143,Inherited!A:A,Inherited!B:B))/100)*(_xlfn.XLOOKUP(Assessment!H143,Inherited!A:A,Inherited!E:E)))+(((100-(_xlfn.XLOOKUP(Assessment!H143,Inherited!A:A,Inherited!B:B)))/100)*IF(Z142="1.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(100%)","100"))))))&lt;=32),"25",IF(AND((((_xlfn.XLOOKUP(Assessment!H143,Inherited!A:A,Inherited!B:B))/100)*(_xlfn.XLOOKUP(Assessment!H143,Inherited!A:A,Inherited!E:E)))+(((100-(_xlfn.XLOOKUP(Assessment!H143,Inherited!A:A,Inherited!B:B)))/100)*IF(Z142="1.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(100%)","100"))))))&gt;=33,(((_xlfn.XLOOKUP(Assessment!H143,Inherited!A:A,Inherited!B:B))/100)*(_xlfn.XLOOKUP(Assessment!H143,Inherited!A:A,Inherited!E:E)))+(((100-(_xlfn.XLOOKUP(Assessment!H143,Inherited!A:A,Inherited!B:B)))/100)*IF(Z142="1.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(100%)","100"))))))&lt;=65),"50",IF(AND((((_xlfn.XLOOKUP(Assessment!H143,Inherited!A:A,Inherited!B:B))/100)*(_xlfn.XLOOKUP(Assessment!H143,Inherited!A:A,Inherited!E:E)))+(((100-(_xlfn.XLOOKUP(Assessment!H143,Inherited!A:A,Inherited!B:B)))/100)*IF(Z142="1.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(100%)","100"))))))&gt;=66,(((_xlfn.XLOOKUP(Assessment!H143,Inherited!A:A,Inherited!B:B))/100)*(_xlfn.XLOOKUP(Assessment!H143,Inherited!A:A,Inherited!E:E)))+(((100-(_xlfn.XLOOKUP(Assessment!H143,Inherited!A:A,Inherited!B:B)))/100)*IF(Z142="1.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(100%)","100"))))))&lt;=89),"75",IF((((_xlfn.XLOOKUP(Assessment!H143,Inherited!A:A,Inherited!B:B))/100)*(_xlfn.XLOOKUP(Assessment!H143,Inherited!A:A,Inherited!E:E)))+(((100-(_xlfn.XLOOKUP(Assessment!H143,Inherited!A:A,Inherited!B:B)))/100)*IF(Z142="1. Non Compliant (0%)","0",IF(Z142="2. Somewhat Compliant (25%)","25",IF(Z142="3. Partially Compliant (50%)","50",IF(Z142="4. Mostly Compliant (75%)","75",IF(Z142="5. Fully Compliant (100%)","100"))))))&gt;=90,"100"))))))</f>
        <v>#N/A</v>
      </c>
      <c r="T142" s="1" t="e">
        <f>IF(MATCH(H142,Inherited!A:A),IF((((_xlfn.XLOOKUP(Assessment!H143,Inherited!A:A,Inherited!B:B))/100)*(_xlfn.XLOOKUP(Assessment!H143,Inherited!A:A,Inherited!F:F)))+(((100-(_xlfn.XLOOKUP(Assessment!H143,Inherited!A:A,Inherited!B:B)))/100)*IF(AA142="1.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(100%)","100"))))))&lt;=10,"0", IF(AND((((_xlfn.XLOOKUP(Assessment!H143,Inherited!A:A,Inherited!B:B))/100)*(_xlfn.XLOOKUP(Assessment!H143,Inherited!A:A,Inherited!F:F)))+(((100-(_xlfn.XLOOKUP(Assessment!H143,Inherited!A:A,Inherited!B:B)))/100)*IF(AA142="1.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(100%)","100"))))))&gt;=11,(((_xlfn.XLOOKUP(Assessment!H143,Inherited!A:A,Inherited!B:B))/100)*(_xlfn.XLOOKUP(Assessment!H143,Inherited!A:A,Inherited!F:F)))+(((100-(_xlfn.XLOOKUP(Assessment!H143,Inherited!A:A,Inherited!B:B)))/100)*IF(AA142="1.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(100%)","100"))))))&lt;=32),"25",IF(AND((((_xlfn.XLOOKUP(Assessment!H143,Inherited!A:A,Inherited!B:B))/100)*(_xlfn.XLOOKUP(Assessment!H143,Inherited!A:A,Inherited!F:F)))+(((100-(_xlfn.XLOOKUP(Assessment!H143,Inherited!A:A,Inherited!B:B)))/100)*IF(AA142="1.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(100%)","100"))))))&gt;=33,(((_xlfn.XLOOKUP(Assessment!H143,Inherited!A:A,Inherited!B:B))/100)*(_xlfn.XLOOKUP(Assessment!H143,Inherited!A:A,Inherited!F:F)))+(((100-(_xlfn.XLOOKUP(Assessment!H143,Inherited!A:A,Inherited!B:B)))/100)*IF(AA142="1.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(100%)","100"))))))&lt;=65),"50",IF(AND((((_xlfn.XLOOKUP(Assessment!H143,Inherited!A:A,Inherited!B:B))/100)*(_xlfn.XLOOKUP(Assessment!H143,Inherited!A:A,Inherited!F:F)))+(((100-(_xlfn.XLOOKUP(Assessment!H143,Inherited!A:A,Inherited!B:B)))/100)*IF(AA142="1.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(100%)","100"))))))&gt;=66,(((_xlfn.XLOOKUP(Assessment!H143,Inherited!A:A,Inherited!B:B))/100)*(_xlfn.XLOOKUP(Assessment!H143,Inherited!A:A,Inherited!F:F)))+(((100-(_xlfn.XLOOKUP(Assessment!H143,Inherited!A:A,Inherited!B:B)))/100)*IF(AA142="1.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(100%)","100"))))))&lt;=89),"75",IF((((_xlfn.XLOOKUP(Assessment!H143,Inherited!A:A,Inherited!B:B))/100)*(_xlfn.XLOOKUP(Assessment!H143,Inherited!A:A,Inherited!F:F)))+(((100-(_xlfn.XLOOKUP(Assessment!H143,Inherited!A:A,Inherited!B:B)))/100)*IF(AA142="1. Non Compliant (0%)","0",IF(AA142="2. Somewhat Compliant (25%)","25",IF(AA142="3. Partially Compliant (50%)","50",IF(AA142="4. Mostly Compliant (75%)","75",IF(AA142="5. Fully Compliant (100%)","100"))))))&gt;=90,"100"))))))</f>
        <v>#N/A</v>
      </c>
      <c r="U142" s="1" t="e">
        <f>IF(MATCH(H142,Inherited!A:A),IF((((_xlfn.XLOOKUP(Assessment!H143,Inherited!A:A,Inherited!B:B))/100)*(_xlfn.XLOOKUP(Assessment!H143,Inherited!A:A,Inherited!G:G)))+(((100-(_xlfn.XLOOKUP(Assessment!H143,Inherited!A:A,Inherited!B:B)))/100)*IF(AB142="1.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(100%)","100"))))))&lt;=10,"0", IF(AND((((_xlfn.XLOOKUP(Assessment!H143,Inherited!A:A,Inherited!B:B))/100)*(_xlfn.XLOOKUP(Assessment!H143,Inherited!A:A,Inherited!G:G)))+(((100-(_xlfn.XLOOKUP(Assessment!H143,Inherited!A:A,Inherited!B:B)))/100)*IF(AB142="1.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(100%)","100"))))))&gt;=11,(((_xlfn.XLOOKUP(Assessment!H143,Inherited!A:A,Inherited!B:B))/100)*(_xlfn.XLOOKUP(Assessment!H143,Inherited!A:A,Inherited!G:G)))+(((100-(_xlfn.XLOOKUP(Assessment!H143,Inherited!A:A,Inherited!B:B)))/100)*IF(AB142="1.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(100%)","100"))))))&lt;=32),"25",IF(AND((((_xlfn.XLOOKUP(Assessment!H143,Inherited!A:A,Inherited!B:B))/100)*(_xlfn.XLOOKUP(Assessment!H143,Inherited!A:A,Inherited!G:G)))+(((100-(_xlfn.XLOOKUP(Assessment!H143,Inherited!A:A,Inherited!B:B)))/100)*IF(AB142="1.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(100%)","100"))))))&gt;=33,(((_xlfn.XLOOKUP(Assessment!H143,Inherited!A:A,Inherited!B:B))/100)*(_xlfn.XLOOKUP(Assessment!H143,Inherited!A:A,Inherited!G:G)))+(((100-(_xlfn.XLOOKUP(Assessment!H143,Inherited!A:A,Inherited!B:B)))/100)*IF(AB142="1.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(100%)","100"))))))&lt;=65),"50",IF(AND((((_xlfn.XLOOKUP(Assessment!H143,Inherited!A:A,Inherited!B:B))/100)*(_xlfn.XLOOKUP(Assessment!H143,Inherited!A:A,Inherited!G:G)))+(((100-(_xlfn.XLOOKUP(Assessment!H143,Inherited!A:A,Inherited!B:B)))/100)*IF(AB142="1.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(100%)","100"))))))&gt;=66,(((_xlfn.XLOOKUP(Assessment!H143,Inherited!A:A,Inherited!B:B))/100)*(_xlfn.XLOOKUP(Assessment!H143,Inherited!A:A,Inherited!G:G)))+(((100-(_xlfn.XLOOKUP(Assessment!H143,Inherited!A:A,Inherited!B:B)))/100)*IF(AB142="1.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(100%)","100"))))))&lt;=89),"75",IF((((_xlfn.XLOOKUP(Assessment!H143,Inherited!A:A,Inherited!B:B))/100)*(_xlfn.XLOOKUP(Assessment!H143,Inherited!A:A,Inherited!G:G)))+(((100-(_xlfn.XLOOKUP(Assessment!H143,Inherited!A:A,Inherited!B:B)))/100)*IF(AB142="1. Non Compliant (0%)","0",IF(AB142="2. Somewhat Compliant (25%)","25",IF(AB142="3. Partially Compliant (50%)","50",IF(AB142="4. Mostly Compliant (75%)","75",IF(AB142="5. Fully Compliant (100%)","100"))))))&gt;=90,"100"))))))</f>
        <v>#N/A</v>
      </c>
      <c r="V142" s="55" t="s">
        <v>85</v>
      </c>
      <c r="W142" s="55"/>
      <c r="X142" s="55"/>
      <c r="Y142" s="55"/>
      <c r="Z142" s="55" t="s">
        <v>10873</v>
      </c>
      <c r="AA142" s="55"/>
      <c r="AB142" s="55"/>
      <c r="AK142" s="1" t="s">
        <v>10978</v>
      </c>
      <c r="AL142" s="1" t="s">
        <v>11006</v>
      </c>
      <c r="AP142" s="1" t="s">
        <v>11104</v>
      </c>
      <c r="AX142" s="3" t="str">
        <f>_xlfn.CONCAT("A-LIGN finished its review of this control on ",AR142, " during the scheduled fieldwork window (",Intro!$B$4,")."&amp; CHAR(10)&amp; CHAR(10))</f>
        <v xml:space="preserve">A-LIGN finished its review of this control on  during the scheduled fieldwork window (Fieldwork: xx/xx/xxxx - xx/xx/xxxx).
</v>
      </c>
      <c r="AY142" s="3" t="str">
        <f t="shared" si="311"/>
        <v/>
      </c>
      <c r="AZ142" s="3" t="str">
        <f t="shared" si="312"/>
        <v/>
      </c>
      <c r="BA142" s="3" t="str">
        <f t="shared" si="313"/>
        <v/>
      </c>
      <c r="BB142" s="3" t="str">
        <f t="shared" si="314"/>
        <v xml:space="preserve">Inquired of the following workforce member: 
Michael Wood - VP of AI Engineering
Kyle Smith - IT Operations and AI Expert 
Inquiry lead to the following conclusions: 
Statements related to the organization's commitment to AI risk management are not completed at this time
</v>
      </c>
      <c r="BC142" s="3" t="str">
        <f t="shared" si="315"/>
        <v/>
      </c>
      <c r="BD142" s="3" t="str">
        <f t="shared" si="316"/>
        <v xml:space="preserve">Examined the following evidence during fieldwork:
Reviewed evidence addressed the requirement statement.
Reviewed evidence exception note: 
Gap: 
Statements related to the organization's commitment to AI risk management are not completed at this time.
Recommendation:
Management should ensure that statements related to MERGE's commitment to AI risk management are completed to increase confidence of their stakeholders on their use of AI
</v>
      </c>
      <c r="BE142" s="3" t="str">
        <f t="shared" si="317"/>
        <v/>
      </c>
      <c r="BF142" s="3" t="str">
        <f t="shared" si="318"/>
        <v/>
      </c>
      <c r="BG142" s="3" t="str">
        <f>_xlfn.CONCAT((IF((COUNTIF('Sample Tables'!B:B,"")&gt;0)=TRUE,_xlfn.CONCAT("",""),IF((COUNTIF('Sample Tables'!B:B,"")&gt;0)=FALSE,""))),)</f>
        <v/>
      </c>
      <c r="BH142"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Statements related to the organization's commitment to AI risk management are not completed at this time
Examined the following evidence during fieldwork:
Reviewed evidence addressed the requirement statement.
Reviewed evidence exception note: 
Gap: 
Statements related to the organization's commitment to AI risk management are not completed at this time.
Recommendation:
Management should ensure that statements related to MERGE's commitment to AI risk management are completed to increase confidence of their stakeholders on their use of AI
</v>
      </c>
    </row>
    <row r="143" spans="3:60" ht="282.75" customHeight="1" x14ac:dyDescent="0.35">
      <c r="C143" s="1">
        <f t="shared" si="310"/>
        <v>0</v>
      </c>
      <c r="D143" s="5" t="str">
        <f>IF(AND((_xlfn.XLOOKUP(J143,'Fields &amp; Revisions'!$H:$H,'Fields &amp; Revisions'!$I:$I))&lt;70.99,(OR(Z143="4. Mostly Compliant (75%)",Z143="3. Partially Compliant (50%)",Z143="2. Somewhat Compliant (25%)",Z143="1. Non Compliant (0%)"))),"Yes","No")</f>
        <v>Yes</v>
      </c>
      <c r="E143" s="5" t="str">
        <f>IF(ISERROR(VLOOKUP(H143,Scope!A:A,1,FALSE)),"No","Yes")</f>
        <v>Yes</v>
      </c>
      <c r="F143" s="1" t="s">
        <v>4666</v>
      </c>
      <c r="G143" s="53" t="s">
        <v>4714</v>
      </c>
      <c r="H143" s="53" t="s">
        <v>4715</v>
      </c>
      <c r="I143" s="5" t="s">
        <v>225</v>
      </c>
      <c r="J143" s="1" t="s">
        <v>226</v>
      </c>
      <c r="K143" s="54" t="s">
        <v>4716</v>
      </c>
      <c r="L143" s="1" t="s">
        <v>4717</v>
      </c>
      <c r="M143" s="1" t="s">
        <v>4718</v>
      </c>
      <c r="N143" s="5" t="s">
        <v>98</v>
      </c>
      <c r="O143" s="1" t="str">
        <f>_xlfn.XLOOKUP(G143,SRMs!$A:$A,SRMs!$D:$D)</f>
        <v>NO INHERITANCE</v>
      </c>
      <c r="P143" s="1" t="str">
        <f>IFERROR(VLOOKUP(H143,Inherited!A:B,2,FALSE),"")</f>
        <v/>
      </c>
      <c r="Q143" s="1" t="e">
        <f>IF(MATCH(H143,Inherited!A:A),IF((((_xlfn.XLOOKUP(Assessment!H144,Inherited!A:A,Inherited!B:B))/100)*(_xlfn.XLOOKUP(Assessment!H144,Inherited!A:A,Inherited!C:C)))+(((100-(_xlfn.XLOOKUP(Assessment!H144,Inherited!A:A,Inherited!B:B)))/100)*IF(X143="1.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(100%)","100"))))))&lt;=10,"0", IF(AND((((_xlfn.XLOOKUP(Assessment!H144,Inherited!A:A,Inherited!B:B))/100)*(_xlfn.XLOOKUP(Assessment!H144,Inherited!A:A,Inherited!C:C)))+(((100-(_xlfn.XLOOKUP(Assessment!H144,Inherited!A:A,Inherited!B:B)))/100)*IF(X143="1.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(100%)","100"))))))&gt;=11,(((_xlfn.XLOOKUP(Assessment!H144,Inherited!A:A,Inherited!B:B))/100)*(_xlfn.XLOOKUP(Assessment!H144,Inherited!A:A,Inherited!C:C)))+(((100-(_xlfn.XLOOKUP(Assessment!H144,Inherited!A:A,Inherited!B:B)))/100)*IF(X143="1.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(100%)","100"))))))&lt;=32),"25",IF(AND((((_xlfn.XLOOKUP(Assessment!H144,Inherited!A:A,Inherited!B:B))/100)*(_xlfn.XLOOKUP(Assessment!H144,Inherited!A:A,Inherited!C:C)))+(((100-(_xlfn.XLOOKUP(Assessment!H144,Inherited!A:A,Inherited!B:B)))/100)*IF(X143="1.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(100%)","100"))))))&gt;=33,(((_xlfn.XLOOKUP(Assessment!H144,Inherited!A:A,Inherited!B:B))/100)*(_xlfn.XLOOKUP(Assessment!H144,Inherited!A:A,Inherited!C:C)))+(((100-(_xlfn.XLOOKUP(Assessment!H144,Inherited!A:A,Inherited!B:B)))/100)*IF(X143="1.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(100%)","100"))))))&lt;=65),"50",IF(AND((((_xlfn.XLOOKUP(Assessment!H144,Inherited!A:A,Inherited!B:B))/100)*(_xlfn.XLOOKUP(Assessment!H144,Inherited!A:A,Inherited!C:C)))+(((100-(_xlfn.XLOOKUP(Assessment!H144,Inherited!A:A,Inherited!B:B)))/100)*IF(X143="1.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(100%)","100"))))))&gt;=66,(((_xlfn.XLOOKUP(Assessment!H144,Inherited!A:A,Inherited!B:B))/100)*(_xlfn.XLOOKUP(Assessment!H144,Inherited!A:A,Inherited!C:C)))+(((100-(_xlfn.XLOOKUP(Assessment!H144,Inherited!A:A,Inherited!B:B)))/100)*IF(X143="1.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(100%)","100"))))))&lt;=89),"75",IF((((_xlfn.XLOOKUP(Assessment!H144,Inherited!A:A,Inherited!B:B))/100)*(_xlfn.XLOOKUP(Assessment!H144,Inherited!A:A,Inherited!C:C)))+(((100-(_xlfn.XLOOKUP(Assessment!H144,Inherited!A:A,Inherited!B:B)))/100)*IF(X143="1. Non Compliant (0%)","0",IF(X143="2. Somewhat Compliant (25%)","25",IF(X143="3. Partially Compliant (50%)","50",IF(X143="4. Mostly Compliant (75%)","75",IF(X143="5. Fully Compliant (100%)","100"))))))&gt;=90,"100"))))))</f>
        <v>#N/A</v>
      </c>
      <c r="R143" s="1" t="e">
        <f>IF(MATCH(H143,Inherited!A:A),IF((((_xlfn.XLOOKUP(Assessment!H144,Inherited!A:A,Inherited!B:B))/100)*(_xlfn.XLOOKUP(Assessment!H144,Inherited!A:A,Inherited!D:D)))+(((100-(_xlfn.XLOOKUP(Assessment!H144,Inherited!A:A,Inherited!B:B)))/100)*IF(Y143="1.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(100%)","100"))))))&lt;=10,"0", IF(AND((((_xlfn.XLOOKUP(Assessment!H144,Inherited!A:A,Inherited!B:B))/100)*(_xlfn.XLOOKUP(Assessment!H144,Inherited!A:A,Inherited!D:D)))+(((100-(_xlfn.XLOOKUP(Assessment!H144,Inherited!A:A,Inherited!B:B)))/100)*IF(Y143="1.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(100%)","100"))))))&gt;=11,(((_xlfn.XLOOKUP(Assessment!H144,Inherited!A:A,Inherited!B:B))/100)*(_xlfn.XLOOKUP(Assessment!H144,Inherited!A:A,Inherited!D:D)))+(((100-(_xlfn.XLOOKUP(Assessment!H144,Inherited!A:A,Inherited!B:B)))/100)*IF(Y143="1.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(100%)","100"))))))&lt;=32),"25",IF(AND((((_xlfn.XLOOKUP(Assessment!H144,Inherited!A:A,Inherited!B:B))/100)*(_xlfn.XLOOKUP(Assessment!H144,Inherited!A:A,Inherited!D:D)))+(((100-(_xlfn.XLOOKUP(Assessment!H144,Inherited!A:A,Inherited!B:B)))/100)*IF(Y143="1.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(100%)","100"))))))&gt;=33,(((_xlfn.XLOOKUP(Assessment!H144,Inherited!A:A,Inherited!B:B))/100)*(_xlfn.XLOOKUP(Assessment!H144,Inherited!A:A,Inherited!D:D)))+(((100-(_xlfn.XLOOKUP(Assessment!H144,Inherited!A:A,Inherited!B:B)))/100)*IF(Y143="1.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(100%)","100"))))))&lt;=65),"50",IF(AND((((_xlfn.XLOOKUP(Assessment!H144,Inherited!A:A,Inherited!B:B))/100)*(_xlfn.XLOOKUP(Assessment!H144,Inherited!A:A,Inherited!D:D)))+(((100-(_xlfn.XLOOKUP(Assessment!H144,Inherited!A:A,Inherited!B:B)))/100)*IF(Y143="1.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(100%)","100"))))))&gt;=66,(((_xlfn.XLOOKUP(Assessment!H144,Inherited!A:A,Inherited!B:B))/100)*(_xlfn.XLOOKUP(Assessment!H144,Inherited!A:A,Inherited!D:D)))+(((100-(_xlfn.XLOOKUP(Assessment!H144,Inherited!A:A,Inherited!B:B)))/100)*IF(Y143="1.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(100%)","100"))))))&lt;=89),"75",IF((((_xlfn.XLOOKUP(Assessment!H144,Inherited!A:A,Inherited!B:B))/100)*(_xlfn.XLOOKUP(Assessment!H144,Inherited!A:A,Inherited!D:D)))+(((100-(_xlfn.XLOOKUP(Assessment!H144,Inherited!A:A,Inherited!B:B)))/100)*IF(Y143="1. Non Compliant (0%)","0",IF(Y143="2. Somewhat Compliant (25%)","25",IF(Y143="3. Partially Compliant (50%)","50",IF(Y143="4. Mostly Compliant (75%)","75",IF(Y143="5. Fully Compliant (100%)","100"))))))&gt;=90,"100"))))))</f>
        <v>#N/A</v>
      </c>
      <c r="S143" s="1" t="e">
        <f>IF(MATCH(H143,Inherited!A:A),IF((((_xlfn.XLOOKUP(Assessment!H144,Inherited!A:A,Inherited!B:B))/100)*(_xlfn.XLOOKUP(Assessment!H144,Inherited!A:A,Inherited!E:E)))+(((100-(_xlfn.XLOOKUP(Assessment!H144,Inherited!A:A,Inherited!B:B)))/100)*IF(Z143="1.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(100%)","100"))))))&lt;=10,"0", IF(AND((((_xlfn.XLOOKUP(Assessment!H144,Inherited!A:A,Inherited!B:B))/100)*(_xlfn.XLOOKUP(Assessment!H144,Inherited!A:A,Inherited!E:E)))+(((100-(_xlfn.XLOOKUP(Assessment!H144,Inherited!A:A,Inherited!B:B)))/100)*IF(Z143="1.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(100%)","100"))))))&gt;=11,(((_xlfn.XLOOKUP(Assessment!H144,Inherited!A:A,Inherited!B:B))/100)*(_xlfn.XLOOKUP(Assessment!H144,Inherited!A:A,Inherited!E:E)))+(((100-(_xlfn.XLOOKUP(Assessment!H144,Inherited!A:A,Inherited!B:B)))/100)*IF(Z143="1.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(100%)","100"))))))&lt;=32),"25",IF(AND((((_xlfn.XLOOKUP(Assessment!H144,Inherited!A:A,Inherited!B:B))/100)*(_xlfn.XLOOKUP(Assessment!H144,Inherited!A:A,Inherited!E:E)))+(((100-(_xlfn.XLOOKUP(Assessment!H144,Inherited!A:A,Inherited!B:B)))/100)*IF(Z143="1.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(100%)","100"))))))&gt;=33,(((_xlfn.XLOOKUP(Assessment!H144,Inherited!A:A,Inherited!B:B))/100)*(_xlfn.XLOOKUP(Assessment!H144,Inherited!A:A,Inherited!E:E)))+(((100-(_xlfn.XLOOKUP(Assessment!H144,Inherited!A:A,Inherited!B:B)))/100)*IF(Z143="1.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(100%)","100"))))))&lt;=65),"50",IF(AND((((_xlfn.XLOOKUP(Assessment!H144,Inherited!A:A,Inherited!B:B))/100)*(_xlfn.XLOOKUP(Assessment!H144,Inherited!A:A,Inherited!E:E)))+(((100-(_xlfn.XLOOKUP(Assessment!H144,Inherited!A:A,Inherited!B:B)))/100)*IF(Z143="1.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(100%)","100"))))))&gt;=66,(((_xlfn.XLOOKUP(Assessment!H144,Inherited!A:A,Inherited!B:B))/100)*(_xlfn.XLOOKUP(Assessment!H144,Inherited!A:A,Inherited!E:E)))+(((100-(_xlfn.XLOOKUP(Assessment!H144,Inherited!A:A,Inherited!B:B)))/100)*IF(Z143="1.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(100%)","100"))))))&lt;=89),"75",IF((((_xlfn.XLOOKUP(Assessment!H144,Inherited!A:A,Inherited!B:B))/100)*(_xlfn.XLOOKUP(Assessment!H144,Inherited!A:A,Inherited!E:E)))+(((100-(_xlfn.XLOOKUP(Assessment!H144,Inherited!A:A,Inherited!B:B)))/100)*IF(Z143="1. Non Compliant (0%)","0",IF(Z143="2. Somewhat Compliant (25%)","25",IF(Z143="3. Partially Compliant (50%)","50",IF(Z143="4. Mostly Compliant (75%)","75",IF(Z143="5. Fully Compliant (100%)","100"))))))&gt;=90,"100"))))))</f>
        <v>#N/A</v>
      </c>
      <c r="T143" s="1" t="e">
        <f>IF(MATCH(H143,Inherited!A:A),IF((((_xlfn.XLOOKUP(Assessment!H144,Inherited!A:A,Inherited!B:B))/100)*(_xlfn.XLOOKUP(Assessment!H144,Inherited!A:A,Inherited!F:F)))+(((100-(_xlfn.XLOOKUP(Assessment!H144,Inherited!A:A,Inherited!B:B)))/100)*IF(AA143="1.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(100%)","100"))))))&lt;=10,"0", IF(AND((((_xlfn.XLOOKUP(Assessment!H144,Inherited!A:A,Inherited!B:B))/100)*(_xlfn.XLOOKUP(Assessment!H144,Inherited!A:A,Inherited!F:F)))+(((100-(_xlfn.XLOOKUP(Assessment!H144,Inherited!A:A,Inherited!B:B)))/100)*IF(AA143="1.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(100%)","100"))))))&gt;=11,(((_xlfn.XLOOKUP(Assessment!H144,Inherited!A:A,Inherited!B:B))/100)*(_xlfn.XLOOKUP(Assessment!H144,Inherited!A:A,Inherited!F:F)))+(((100-(_xlfn.XLOOKUP(Assessment!H144,Inherited!A:A,Inherited!B:B)))/100)*IF(AA143="1.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(100%)","100"))))))&lt;=32),"25",IF(AND((((_xlfn.XLOOKUP(Assessment!H144,Inherited!A:A,Inherited!B:B))/100)*(_xlfn.XLOOKUP(Assessment!H144,Inherited!A:A,Inherited!F:F)))+(((100-(_xlfn.XLOOKUP(Assessment!H144,Inherited!A:A,Inherited!B:B)))/100)*IF(AA143="1.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(100%)","100"))))))&gt;=33,(((_xlfn.XLOOKUP(Assessment!H144,Inherited!A:A,Inherited!B:B))/100)*(_xlfn.XLOOKUP(Assessment!H144,Inherited!A:A,Inherited!F:F)))+(((100-(_xlfn.XLOOKUP(Assessment!H144,Inherited!A:A,Inherited!B:B)))/100)*IF(AA143="1.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(100%)","100"))))))&lt;=65),"50",IF(AND((((_xlfn.XLOOKUP(Assessment!H144,Inherited!A:A,Inherited!B:B))/100)*(_xlfn.XLOOKUP(Assessment!H144,Inherited!A:A,Inherited!F:F)))+(((100-(_xlfn.XLOOKUP(Assessment!H144,Inherited!A:A,Inherited!B:B)))/100)*IF(AA143="1.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(100%)","100"))))))&gt;=66,(((_xlfn.XLOOKUP(Assessment!H144,Inherited!A:A,Inherited!B:B))/100)*(_xlfn.XLOOKUP(Assessment!H144,Inherited!A:A,Inherited!F:F)))+(((100-(_xlfn.XLOOKUP(Assessment!H144,Inherited!A:A,Inherited!B:B)))/100)*IF(AA143="1.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(100%)","100"))))))&lt;=89),"75",IF((((_xlfn.XLOOKUP(Assessment!H144,Inherited!A:A,Inherited!B:B))/100)*(_xlfn.XLOOKUP(Assessment!H144,Inherited!A:A,Inherited!F:F)))+(((100-(_xlfn.XLOOKUP(Assessment!H144,Inherited!A:A,Inherited!B:B)))/100)*IF(AA143="1. Non Compliant (0%)","0",IF(AA143="2. Somewhat Compliant (25%)","25",IF(AA143="3. Partially Compliant (50%)","50",IF(AA143="4. Mostly Compliant (75%)","75",IF(AA143="5. Fully Compliant (100%)","100"))))))&gt;=90,"100"))))))</f>
        <v>#N/A</v>
      </c>
      <c r="U143" s="1" t="e">
        <f>IF(MATCH(H143,Inherited!A:A),IF((((_xlfn.XLOOKUP(Assessment!H144,Inherited!A:A,Inherited!B:B))/100)*(_xlfn.XLOOKUP(Assessment!H144,Inherited!A:A,Inherited!G:G)))+(((100-(_xlfn.XLOOKUP(Assessment!H144,Inherited!A:A,Inherited!B:B)))/100)*IF(AB143="1.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(100%)","100"))))))&lt;=10,"0", IF(AND((((_xlfn.XLOOKUP(Assessment!H144,Inherited!A:A,Inherited!B:B))/100)*(_xlfn.XLOOKUP(Assessment!H144,Inherited!A:A,Inherited!G:G)))+(((100-(_xlfn.XLOOKUP(Assessment!H144,Inherited!A:A,Inherited!B:B)))/100)*IF(AB143="1.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(100%)","100"))))))&gt;=11,(((_xlfn.XLOOKUP(Assessment!H144,Inherited!A:A,Inherited!B:B))/100)*(_xlfn.XLOOKUP(Assessment!H144,Inherited!A:A,Inherited!G:G)))+(((100-(_xlfn.XLOOKUP(Assessment!H144,Inherited!A:A,Inherited!B:B)))/100)*IF(AB143="1.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(100%)","100"))))))&lt;=32),"25",IF(AND((((_xlfn.XLOOKUP(Assessment!H144,Inherited!A:A,Inherited!B:B))/100)*(_xlfn.XLOOKUP(Assessment!H144,Inherited!A:A,Inherited!G:G)))+(((100-(_xlfn.XLOOKUP(Assessment!H144,Inherited!A:A,Inherited!B:B)))/100)*IF(AB143="1.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(100%)","100"))))))&gt;=33,(((_xlfn.XLOOKUP(Assessment!H144,Inherited!A:A,Inherited!B:B))/100)*(_xlfn.XLOOKUP(Assessment!H144,Inherited!A:A,Inherited!G:G)))+(((100-(_xlfn.XLOOKUP(Assessment!H144,Inherited!A:A,Inherited!B:B)))/100)*IF(AB143="1.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(100%)","100"))))))&lt;=65),"50",IF(AND((((_xlfn.XLOOKUP(Assessment!H144,Inherited!A:A,Inherited!B:B))/100)*(_xlfn.XLOOKUP(Assessment!H144,Inherited!A:A,Inherited!G:G)))+(((100-(_xlfn.XLOOKUP(Assessment!H144,Inherited!A:A,Inherited!B:B)))/100)*IF(AB143="1.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(100%)","100"))))))&gt;=66,(((_xlfn.XLOOKUP(Assessment!H144,Inherited!A:A,Inherited!B:B))/100)*(_xlfn.XLOOKUP(Assessment!H144,Inherited!A:A,Inherited!G:G)))+(((100-(_xlfn.XLOOKUP(Assessment!H144,Inherited!A:A,Inherited!B:B)))/100)*IF(AB143="1.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(100%)","100"))))))&lt;=89),"75",IF((((_xlfn.XLOOKUP(Assessment!H144,Inherited!A:A,Inherited!B:B))/100)*(_xlfn.XLOOKUP(Assessment!H144,Inherited!A:A,Inherited!G:G)))+(((100-(_xlfn.XLOOKUP(Assessment!H144,Inherited!A:A,Inherited!B:B)))/100)*IF(AB143="1. Non Compliant (0%)","0",IF(AB143="2. Somewhat Compliant (25%)","25",IF(AB143="3. Partially Compliant (50%)","50",IF(AB143="4. Mostly Compliant (75%)","75",IF(AB143="5. Fully Compliant (100%)","100"))))))&gt;=90,"100"))))))</f>
        <v>#N/A</v>
      </c>
      <c r="V143" s="55" t="s">
        <v>85</v>
      </c>
      <c r="W143" s="55"/>
      <c r="X143" s="55"/>
      <c r="Y143" s="55"/>
      <c r="Z143" s="55" t="s">
        <v>10873</v>
      </c>
      <c r="AA143" s="55"/>
      <c r="AB143" s="55"/>
      <c r="AK143" s="1" t="s">
        <v>10978</v>
      </c>
      <c r="AL143" s="1" t="s">
        <v>11007</v>
      </c>
      <c r="AP143" s="1" t="s">
        <v>11105</v>
      </c>
      <c r="AX143" s="3" t="str">
        <f>_xlfn.CONCAT("A-LIGN finished its review of this control on ",AR143, " during the scheduled fieldwork window (",Intro!$B$4,")."&amp; CHAR(10)&amp; CHAR(10))</f>
        <v xml:space="preserve">A-LIGN finished its review of this control on  during the scheduled fieldwork window (Fieldwork: xx/xx/xxxx - xx/xx/xxxx).
</v>
      </c>
      <c r="AY143" s="3" t="str">
        <f t="shared" si="311"/>
        <v/>
      </c>
      <c r="AZ143" s="3" t="str">
        <f t="shared" si="312"/>
        <v/>
      </c>
      <c r="BA143" s="3" t="str">
        <f t="shared" si="313"/>
        <v/>
      </c>
      <c r="BB143" s="3" t="str">
        <f t="shared" si="314"/>
        <v xml:space="preserve">Inquired of the following workforce member: 
Michael Wood - VP of AI Engineering
Kyle Smith - IT Operations and AI Expert 
Inquiry lead to the following conclusions: 
Unable to confirm that MERGE allocates specialized resources to manage AI risk
</v>
      </c>
      <c r="BC143" s="3" t="str">
        <f t="shared" si="315"/>
        <v/>
      </c>
      <c r="BD143"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specialized resources to manage AI risk. 
</v>
      </c>
      <c r="BE143" s="3" t="str">
        <f t="shared" si="317"/>
        <v/>
      </c>
      <c r="BF143" s="3" t="str">
        <f t="shared" si="318"/>
        <v/>
      </c>
      <c r="BG143" s="3" t="str">
        <f>_xlfn.CONCAT((IF((COUNTIF('Sample Tables'!B:B,"")&gt;0)=TRUE,_xlfn.CONCAT("",""),IF((COUNTIF('Sample Tables'!B:B,"")&gt;0)=FALSE,""))),)</f>
        <v/>
      </c>
      <c r="BH143"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Unable to confirm that MERGE allocates specialized resources to manage AI risk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specialized resources to manage AI risk. 
</v>
      </c>
    </row>
    <row r="144" spans="3:60" ht="253.5" customHeight="1" x14ac:dyDescent="0.35">
      <c r="C144" s="1">
        <f t="shared" si="310"/>
        <v>0</v>
      </c>
      <c r="D144" s="5" t="str">
        <f>IF(AND((_xlfn.XLOOKUP(J144,'Fields &amp; Revisions'!$H:$H,'Fields &amp; Revisions'!$I:$I))&lt;70.99,(OR(Z144="4. Mostly Compliant (75%)",Z144="3. Partially Compliant (50%)",Z144="2. Somewhat Compliant (25%)",Z144="1. Non Compliant (0%)"))),"Yes","No")</f>
        <v>Yes</v>
      </c>
      <c r="E144" s="5" t="str">
        <f>IF(ISERROR(VLOOKUP(H144,Scope!A:A,1,FALSE)),"No","Yes")</f>
        <v>Yes</v>
      </c>
      <c r="F144" s="1" t="s">
        <v>4666</v>
      </c>
      <c r="G144" s="53" t="s">
        <v>4719</v>
      </c>
      <c r="H144" s="53" t="s">
        <v>4720</v>
      </c>
      <c r="I144" s="5" t="s">
        <v>225</v>
      </c>
      <c r="J144" s="1" t="s">
        <v>226</v>
      </c>
      <c r="K144" s="54" t="s">
        <v>4721</v>
      </c>
      <c r="L144" s="1" t="s">
        <v>11000</v>
      </c>
      <c r="M144" s="1" t="s">
        <v>4722</v>
      </c>
      <c r="N144" s="5" t="s">
        <v>98</v>
      </c>
      <c r="O144" s="1" t="str">
        <f>_xlfn.XLOOKUP(G144,SRMs!$A:$A,SRMs!$D:$D)</f>
        <v>NO INHERITANCE</v>
      </c>
      <c r="P144" s="1" t="str">
        <f>IFERROR(VLOOKUP(H144,Inherited!A:B,2,FALSE),"")</f>
        <v/>
      </c>
      <c r="Q144" s="1" t="e">
        <f>IF(MATCH(H144,Inherited!A:A),IF((((_xlfn.XLOOKUP(Assessment!H145,Inherited!A:A,Inherited!B:B))/100)*(_xlfn.XLOOKUP(Assessment!H145,Inherited!A:A,Inherited!C:C)))+(((100-(_xlfn.XLOOKUP(Assessment!H145,Inherited!A:A,Inherited!B:B)))/100)*IF(X144="1.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(100%)","100"))))))&lt;=10,"0", IF(AND((((_xlfn.XLOOKUP(Assessment!H145,Inherited!A:A,Inherited!B:B))/100)*(_xlfn.XLOOKUP(Assessment!H145,Inherited!A:A,Inherited!C:C)))+(((100-(_xlfn.XLOOKUP(Assessment!H145,Inherited!A:A,Inherited!B:B)))/100)*IF(X144="1.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(100%)","100"))))))&gt;=11,(((_xlfn.XLOOKUP(Assessment!H145,Inherited!A:A,Inherited!B:B))/100)*(_xlfn.XLOOKUP(Assessment!H145,Inherited!A:A,Inherited!C:C)))+(((100-(_xlfn.XLOOKUP(Assessment!H145,Inherited!A:A,Inherited!B:B)))/100)*IF(X144="1.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(100%)","100"))))))&lt;=32),"25",IF(AND((((_xlfn.XLOOKUP(Assessment!H145,Inherited!A:A,Inherited!B:B))/100)*(_xlfn.XLOOKUP(Assessment!H145,Inherited!A:A,Inherited!C:C)))+(((100-(_xlfn.XLOOKUP(Assessment!H145,Inherited!A:A,Inherited!B:B)))/100)*IF(X144="1.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(100%)","100"))))))&gt;=33,(((_xlfn.XLOOKUP(Assessment!H145,Inherited!A:A,Inherited!B:B))/100)*(_xlfn.XLOOKUP(Assessment!H145,Inherited!A:A,Inherited!C:C)))+(((100-(_xlfn.XLOOKUP(Assessment!H145,Inherited!A:A,Inherited!B:B)))/100)*IF(X144="1.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(100%)","100"))))))&lt;=65),"50",IF(AND((((_xlfn.XLOOKUP(Assessment!H145,Inherited!A:A,Inherited!B:B))/100)*(_xlfn.XLOOKUP(Assessment!H145,Inherited!A:A,Inherited!C:C)))+(((100-(_xlfn.XLOOKUP(Assessment!H145,Inherited!A:A,Inherited!B:B)))/100)*IF(X144="1.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(100%)","100"))))))&gt;=66,(((_xlfn.XLOOKUP(Assessment!H145,Inherited!A:A,Inherited!B:B))/100)*(_xlfn.XLOOKUP(Assessment!H145,Inherited!A:A,Inherited!C:C)))+(((100-(_xlfn.XLOOKUP(Assessment!H145,Inherited!A:A,Inherited!B:B)))/100)*IF(X144="1.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(100%)","100"))))))&lt;=89),"75",IF((((_xlfn.XLOOKUP(Assessment!H145,Inherited!A:A,Inherited!B:B))/100)*(_xlfn.XLOOKUP(Assessment!H145,Inherited!A:A,Inherited!C:C)))+(((100-(_xlfn.XLOOKUP(Assessment!H145,Inherited!A:A,Inherited!B:B)))/100)*IF(X144="1. Non Compliant (0%)","0",IF(X144="2. Somewhat Compliant (25%)","25",IF(X144="3. Partially Compliant (50%)","50",IF(X144="4. Mostly Compliant (75%)","75",IF(X144="5. Fully Compliant (100%)","100"))))))&gt;=90,"100"))))))</f>
        <v>#N/A</v>
      </c>
      <c r="R144" s="1" t="e">
        <f>IF(MATCH(H144,Inherited!A:A),IF((((_xlfn.XLOOKUP(Assessment!H145,Inherited!A:A,Inherited!B:B))/100)*(_xlfn.XLOOKUP(Assessment!H145,Inherited!A:A,Inherited!D:D)))+(((100-(_xlfn.XLOOKUP(Assessment!H145,Inherited!A:A,Inherited!B:B)))/100)*IF(Y144="1.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(100%)","100"))))))&lt;=10,"0", IF(AND((((_xlfn.XLOOKUP(Assessment!H145,Inherited!A:A,Inherited!B:B))/100)*(_xlfn.XLOOKUP(Assessment!H145,Inherited!A:A,Inherited!D:D)))+(((100-(_xlfn.XLOOKUP(Assessment!H145,Inherited!A:A,Inherited!B:B)))/100)*IF(Y144="1.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(100%)","100"))))))&gt;=11,(((_xlfn.XLOOKUP(Assessment!H145,Inherited!A:A,Inherited!B:B))/100)*(_xlfn.XLOOKUP(Assessment!H145,Inherited!A:A,Inherited!D:D)))+(((100-(_xlfn.XLOOKUP(Assessment!H145,Inherited!A:A,Inherited!B:B)))/100)*IF(Y144="1.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(100%)","100"))))))&lt;=32),"25",IF(AND((((_xlfn.XLOOKUP(Assessment!H145,Inherited!A:A,Inherited!B:B))/100)*(_xlfn.XLOOKUP(Assessment!H145,Inherited!A:A,Inherited!D:D)))+(((100-(_xlfn.XLOOKUP(Assessment!H145,Inherited!A:A,Inherited!B:B)))/100)*IF(Y144="1.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(100%)","100"))))))&gt;=33,(((_xlfn.XLOOKUP(Assessment!H145,Inherited!A:A,Inherited!B:B))/100)*(_xlfn.XLOOKUP(Assessment!H145,Inherited!A:A,Inherited!D:D)))+(((100-(_xlfn.XLOOKUP(Assessment!H145,Inherited!A:A,Inherited!B:B)))/100)*IF(Y144="1.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(100%)","100"))))))&lt;=65),"50",IF(AND((((_xlfn.XLOOKUP(Assessment!H145,Inherited!A:A,Inherited!B:B))/100)*(_xlfn.XLOOKUP(Assessment!H145,Inherited!A:A,Inherited!D:D)))+(((100-(_xlfn.XLOOKUP(Assessment!H145,Inherited!A:A,Inherited!B:B)))/100)*IF(Y144="1.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(100%)","100"))))))&gt;=66,(((_xlfn.XLOOKUP(Assessment!H145,Inherited!A:A,Inherited!B:B))/100)*(_xlfn.XLOOKUP(Assessment!H145,Inherited!A:A,Inherited!D:D)))+(((100-(_xlfn.XLOOKUP(Assessment!H145,Inherited!A:A,Inherited!B:B)))/100)*IF(Y144="1.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(100%)","100"))))))&lt;=89),"75",IF((((_xlfn.XLOOKUP(Assessment!H145,Inherited!A:A,Inherited!B:B))/100)*(_xlfn.XLOOKUP(Assessment!H145,Inherited!A:A,Inherited!D:D)))+(((100-(_xlfn.XLOOKUP(Assessment!H145,Inherited!A:A,Inherited!B:B)))/100)*IF(Y144="1. Non Compliant (0%)","0",IF(Y144="2. Somewhat Compliant (25%)","25",IF(Y144="3. Partially Compliant (50%)","50",IF(Y144="4. Mostly Compliant (75%)","75",IF(Y144="5. Fully Compliant (100%)","100"))))))&gt;=90,"100"))))))</f>
        <v>#N/A</v>
      </c>
      <c r="S144" s="1" t="e">
        <f>IF(MATCH(H144,Inherited!A:A),IF((((_xlfn.XLOOKUP(Assessment!H145,Inherited!A:A,Inherited!B:B))/100)*(_xlfn.XLOOKUP(Assessment!H145,Inherited!A:A,Inherited!E:E)))+(((100-(_xlfn.XLOOKUP(Assessment!H145,Inherited!A:A,Inherited!B:B)))/100)*IF(Z144="1.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(100%)","100"))))))&lt;=10,"0", IF(AND((((_xlfn.XLOOKUP(Assessment!H145,Inherited!A:A,Inherited!B:B))/100)*(_xlfn.XLOOKUP(Assessment!H145,Inherited!A:A,Inherited!E:E)))+(((100-(_xlfn.XLOOKUP(Assessment!H145,Inherited!A:A,Inherited!B:B)))/100)*IF(Z144="1.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(100%)","100"))))))&gt;=11,(((_xlfn.XLOOKUP(Assessment!H145,Inherited!A:A,Inherited!B:B))/100)*(_xlfn.XLOOKUP(Assessment!H145,Inherited!A:A,Inherited!E:E)))+(((100-(_xlfn.XLOOKUP(Assessment!H145,Inherited!A:A,Inherited!B:B)))/100)*IF(Z144="1.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(100%)","100"))))))&lt;=32),"25",IF(AND((((_xlfn.XLOOKUP(Assessment!H145,Inherited!A:A,Inherited!B:B))/100)*(_xlfn.XLOOKUP(Assessment!H145,Inherited!A:A,Inherited!E:E)))+(((100-(_xlfn.XLOOKUP(Assessment!H145,Inherited!A:A,Inherited!B:B)))/100)*IF(Z144="1.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(100%)","100"))))))&gt;=33,(((_xlfn.XLOOKUP(Assessment!H145,Inherited!A:A,Inherited!B:B))/100)*(_xlfn.XLOOKUP(Assessment!H145,Inherited!A:A,Inherited!E:E)))+(((100-(_xlfn.XLOOKUP(Assessment!H145,Inherited!A:A,Inherited!B:B)))/100)*IF(Z144="1.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(100%)","100"))))))&lt;=65),"50",IF(AND((((_xlfn.XLOOKUP(Assessment!H145,Inherited!A:A,Inherited!B:B))/100)*(_xlfn.XLOOKUP(Assessment!H145,Inherited!A:A,Inherited!E:E)))+(((100-(_xlfn.XLOOKUP(Assessment!H145,Inherited!A:A,Inherited!B:B)))/100)*IF(Z144="1.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(100%)","100"))))))&gt;=66,(((_xlfn.XLOOKUP(Assessment!H145,Inherited!A:A,Inherited!B:B))/100)*(_xlfn.XLOOKUP(Assessment!H145,Inherited!A:A,Inherited!E:E)))+(((100-(_xlfn.XLOOKUP(Assessment!H145,Inherited!A:A,Inherited!B:B)))/100)*IF(Z144="1.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(100%)","100"))))))&lt;=89),"75",IF((((_xlfn.XLOOKUP(Assessment!H145,Inherited!A:A,Inherited!B:B))/100)*(_xlfn.XLOOKUP(Assessment!H145,Inherited!A:A,Inherited!E:E)))+(((100-(_xlfn.XLOOKUP(Assessment!H145,Inherited!A:A,Inherited!B:B)))/100)*IF(Z144="1. Non Compliant (0%)","0",IF(Z144="2. Somewhat Compliant (25%)","25",IF(Z144="3. Partially Compliant (50%)","50",IF(Z144="4. Mostly Compliant (75%)","75",IF(Z144="5. Fully Compliant (100%)","100"))))))&gt;=90,"100"))))))</f>
        <v>#N/A</v>
      </c>
      <c r="T144" s="1" t="e">
        <f>IF(MATCH(H144,Inherited!A:A),IF((((_xlfn.XLOOKUP(Assessment!H145,Inherited!A:A,Inherited!B:B))/100)*(_xlfn.XLOOKUP(Assessment!H145,Inherited!A:A,Inherited!F:F)))+(((100-(_xlfn.XLOOKUP(Assessment!H145,Inherited!A:A,Inherited!B:B)))/100)*IF(AA144="1.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(100%)","100"))))))&lt;=10,"0", IF(AND((((_xlfn.XLOOKUP(Assessment!H145,Inherited!A:A,Inherited!B:B))/100)*(_xlfn.XLOOKUP(Assessment!H145,Inherited!A:A,Inherited!F:F)))+(((100-(_xlfn.XLOOKUP(Assessment!H145,Inherited!A:A,Inherited!B:B)))/100)*IF(AA144="1.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(100%)","100"))))))&gt;=11,(((_xlfn.XLOOKUP(Assessment!H145,Inherited!A:A,Inherited!B:B))/100)*(_xlfn.XLOOKUP(Assessment!H145,Inherited!A:A,Inherited!F:F)))+(((100-(_xlfn.XLOOKUP(Assessment!H145,Inherited!A:A,Inherited!B:B)))/100)*IF(AA144="1.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(100%)","100"))))))&lt;=32),"25",IF(AND((((_xlfn.XLOOKUP(Assessment!H145,Inherited!A:A,Inherited!B:B))/100)*(_xlfn.XLOOKUP(Assessment!H145,Inherited!A:A,Inherited!F:F)))+(((100-(_xlfn.XLOOKUP(Assessment!H145,Inherited!A:A,Inherited!B:B)))/100)*IF(AA144="1.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(100%)","100"))))))&gt;=33,(((_xlfn.XLOOKUP(Assessment!H145,Inherited!A:A,Inherited!B:B))/100)*(_xlfn.XLOOKUP(Assessment!H145,Inherited!A:A,Inherited!F:F)))+(((100-(_xlfn.XLOOKUP(Assessment!H145,Inherited!A:A,Inherited!B:B)))/100)*IF(AA144="1.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(100%)","100"))))))&lt;=65),"50",IF(AND((((_xlfn.XLOOKUP(Assessment!H145,Inherited!A:A,Inherited!B:B))/100)*(_xlfn.XLOOKUP(Assessment!H145,Inherited!A:A,Inherited!F:F)))+(((100-(_xlfn.XLOOKUP(Assessment!H145,Inherited!A:A,Inherited!B:B)))/100)*IF(AA144="1.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(100%)","100"))))))&gt;=66,(((_xlfn.XLOOKUP(Assessment!H145,Inherited!A:A,Inherited!B:B))/100)*(_xlfn.XLOOKUP(Assessment!H145,Inherited!A:A,Inherited!F:F)))+(((100-(_xlfn.XLOOKUP(Assessment!H145,Inherited!A:A,Inherited!B:B)))/100)*IF(AA144="1.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(100%)","100"))))))&lt;=89),"75",IF((((_xlfn.XLOOKUP(Assessment!H145,Inherited!A:A,Inherited!B:B))/100)*(_xlfn.XLOOKUP(Assessment!H145,Inherited!A:A,Inherited!F:F)))+(((100-(_xlfn.XLOOKUP(Assessment!H145,Inherited!A:A,Inherited!B:B)))/100)*IF(AA144="1. Non Compliant (0%)","0",IF(AA144="2. Somewhat Compliant (25%)","25",IF(AA144="3. Partially Compliant (50%)","50",IF(AA144="4. Mostly Compliant (75%)","75",IF(AA144="5. Fully Compliant (100%)","100"))))))&gt;=90,"100"))))))</f>
        <v>#N/A</v>
      </c>
      <c r="U144" s="1" t="e">
        <f>IF(MATCH(H144,Inherited!A:A),IF((((_xlfn.XLOOKUP(Assessment!H145,Inherited!A:A,Inherited!B:B))/100)*(_xlfn.XLOOKUP(Assessment!H145,Inherited!A:A,Inherited!G:G)))+(((100-(_xlfn.XLOOKUP(Assessment!H145,Inherited!A:A,Inherited!B:B)))/100)*IF(AB144="1.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(100%)","100"))))))&lt;=10,"0", IF(AND((((_xlfn.XLOOKUP(Assessment!H145,Inherited!A:A,Inherited!B:B))/100)*(_xlfn.XLOOKUP(Assessment!H145,Inherited!A:A,Inherited!G:G)))+(((100-(_xlfn.XLOOKUP(Assessment!H145,Inherited!A:A,Inherited!B:B)))/100)*IF(AB144="1.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(100%)","100"))))))&gt;=11,(((_xlfn.XLOOKUP(Assessment!H145,Inherited!A:A,Inherited!B:B))/100)*(_xlfn.XLOOKUP(Assessment!H145,Inherited!A:A,Inherited!G:G)))+(((100-(_xlfn.XLOOKUP(Assessment!H145,Inherited!A:A,Inherited!B:B)))/100)*IF(AB144="1.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(100%)","100"))))))&lt;=32),"25",IF(AND((((_xlfn.XLOOKUP(Assessment!H145,Inherited!A:A,Inherited!B:B))/100)*(_xlfn.XLOOKUP(Assessment!H145,Inherited!A:A,Inherited!G:G)))+(((100-(_xlfn.XLOOKUP(Assessment!H145,Inherited!A:A,Inherited!B:B)))/100)*IF(AB144="1.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(100%)","100"))))))&gt;=33,(((_xlfn.XLOOKUP(Assessment!H145,Inherited!A:A,Inherited!B:B))/100)*(_xlfn.XLOOKUP(Assessment!H145,Inherited!A:A,Inherited!G:G)))+(((100-(_xlfn.XLOOKUP(Assessment!H145,Inherited!A:A,Inherited!B:B)))/100)*IF(AB144="1.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(100%)","100"))))))&lt;=65),"50",IF(AND((((_xlfn.XLOOKUP(Assessment!H145,Inherited!A:A,Inherited!B:B))/100)*(_xlfn.XLOOKUP(Assessment!H145,Inherited!A:A,Inherited!G:G)))+(((100-(_xlfn.XLOOKUP(Assessment!H145,Inherited!A:A,Inherited!B:B)))/100)*IF(AB144="1.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(100%)","100"))))))&gt;=66,(((_xlfn.XLOOKUP(Assessment!H145,Inherited!A:A,Inherited!B:B))/100)*(_xlfn.XLOOKUP(Assessment!H145,Inherited!A:A,Inherited!G:G)))+(((100-(_xlfn.XLOOKUP(Assessment!H145,Inherited!A:A,Inherited!B:B)))/100)*IF(AB144="1.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(100%)","100"))))))&lt;=89),"75",IF((((_xlfn.XLOOKUP(Assessment!H145,Inherited!A:A,Inherited!B:B))/100)*(_xlfn.XLOOKUP(Assessment!H145,Inherited!A:A,Inherited!G:G)))+(((100-(_xlfn.XLOOKUP(Assessment!H145,Inherited!A:A,Inherited!B:B)))/100)*IF(AB144="1. Non Compliant (0%)","0",IF(AB144="2. Somewhat Compliant (25%)","25",IF(AB144="3. Partially Compliant (50%)","50",IF(AB144="4. Mostly Compliant (75%)","75",IF(AB144="5. Fully Compliant (100%)","100"))))))&gt;=90,"100"))))))</f>
        <v>#N/A</v>
      </c>
      <c r="V144" s="55" t="s">
        <v>85</v>
      </c>
      <c r="W144" s="55"/>
      <c r="X144" s="55"/>
      <c r="Y144" s="55"/>
      <c r="Z144" s="55" t="s">
        <v>10873</v>
      </c>
      <c r="AA144" s="55"/>
      <c r="AB144" s="55"/>
      <c r="AK144" s="1" t="s">
        <v>10978</v>
      </c>
      <c r="AL144" s="1" t="s">
        <v>10985</v>
      </c>
      <c r="AP144" s="1" t="s">
        <v>11106</v>
      </c>
      <c r="AX144" s="3" t="str">
        <f>_xlfn.CONCAT("A-LIGN finished its review of this control on ",AR144, " during the scheduled fieldwork window (",Intro!$B$4,")."&amp; CHAR(10)&amp; CHAR(10))</f>
        <v xml:space="preserve">A-LIGN finished its review of this control on  during the scheduled fieldwork window (Fieldwork: xx/xx/xxxx - xx/xx/xxxx).
</v>
      </c>
      <c r="AY144" s="3" t="str">
        <f t="shared" si="311"/>
        <v/>
      </c>
      <c r="AZ144" s="3" t="str">
        <f t="shared" si="312"/>
        <v/>
      </c>
      <c r="BA144" s="3" t="str">
        <f t="shared" si="313"/>
        <v/>
      </c>
      <c r="BB144"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44" s="3" t="str">
        <f t="shared" si="315"/>
        <v/>
      </c>
      <c r="BD144"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policies and statements related to AI risk and risk management to stakeholders.
</v>
      </c>
      <c r="BE144" s="3" t="str">
        <f t="shared" si="317"/>
        <v/>
      </c>
      <c r="BF144" s="3" t="str">
        <f t="shared" si="318"/>
        <v/>
      </c>
      <c r="BG144" s="3" t="str">
        <f>_xlfn.CONCAT((IF((COUNTIF('Sample Tables'!B:B,"")&gt;0)=TRUE,_xlfn.CONCAT("",""),IF((COUNTIF('Sample Tables'!B:B,"")&gt;0)=FALSE,""))),)</f>
        <v/>
      </c>
      <c r="BH144"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policies and statements related to AI risk and risk management to stakeholders.
</v>
      </c>
    </row>
    <row r="145" spans="3:60" ht="409.5" x14ac:dyDescent="0.35">
      <c r="C145" s="1">
        <f t="shared" si="310"/>
        <v>20</v>
      </c>
      <c r="D145" s="5" t="str">
        <f>IF(AND((_xlfn.XLOOKUP(J145,'Fields &amp; Revisions'!$H:$H,'Fields &amp; Revisions'!$I:$I))&lt;70.99,(OR(Z145="4. Mostly Compliant (75%)",Z145="3. Partially Compliant (50%)",Z145="2. Somewhat Compliant (25%)",Z145="1. Non Compliant (0%)"))),"Yes","No")</f>
        <v>Yes</v>
      </c>
      <c r="E145" s="5" t="str">
        <f>IF(ISERROR(VLOOKUP(H145,Scope!A:A,1,FALSE)),"No","Yes")</f>
        <v>Yes</v>
      </c>
      <c r="F145" s="1" t="s">
        <v>4666</v>
      </c>
      <c r="G145" s="53" t="s">
        <v>4723</v>
      </c>
      <c r="H145" s="53" t="s">
        <v>4724</v>
      </c>
      <c r="I145" s="5" t="s">
        <v>242</v>
      </c>
      <c r="J145" s="1" t="s">
        <v>226</v>
      </c>
      <c r="K145" s="54" t="s">
        <v>4725</v>
      </c>
      <c r="L145" s="1" t="s">
        <v>11001</v>
      </c>
      <c r="M145" s="1" t="s">
        <v>4726</v>
      </c>
      <c r="N145" s="5" t="s">
        <v>85</v>
      </c>
      <c r="O145" s="1" t="str">
        <f>_xlfn.XLOOKUP(G145,SRMs!$A:$A,SRMs!$D:$D)</f>
        <v>NO INHERITANCE</v>
      </c>
      <c r="P145" s="1" t="str">
        <f>IFERROR(VLOOKUP(H145,Inherited!A:B,2,FALSE),"")</f>
        <v/>
      </c>
      <c r="Q145" s="1" t="e">
        <f>IF(MATCH(H145,Inherited!A:A),IF((((_xlfn.XLOOKUP(Assessment!H146,Inherited!A:A,Inherited!B:B))/100)*(_xlfn.XLOOKUP(Assessment!H146,Inherited!A:A,Inherited!C:C)))+(((100-(_xlfn.XLOOKUP(Assessment!H146,Inherited!A:A,Inherited!B:B)))/100)*IF(X145="1.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(100%)","100"))))))&lt;=10,"0", IF(AND((((_xlfn.XLOOKUP(Assessment!H146,Inherited!A:A,Inherited!B:B))/100)*(_xlfn.XLOOKUP(Assessment!H146,Inherited!A:A,Inherited!C:C)))+(((100-(_xlfn.XLOOKUP(Assessment!H146,Inherited!A:A,Inherited!B:B)))/100)*IF(X145="1.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(100%)","100"))))))&gt;=11,(((_xlfn.XLOOKUP(Assessment!H146,Inherited!A:A,Inherited!B:B))/100)*(_xlfn.XLOOKUP(Assessment!H146,Inherited!A:A,Inherited!C:C)))+(((100-(_xlfn.XLOOKUP(Assessment!H146,Inherited!A:A,Inherited!B:B)))/100)*IF(X145="1.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(100%)","100"))))))&lt;=32),"25",IF(AND((((_xlfn.XLOOKUP(Assessment!H146,Inherited!A:A,Inherited!B:B))/100)*(_xlfn.XLOOKUP(Assessment!H146,Inherited!A:A,Inherited!C:C)))+(((100-(_xlfn.XLOOKUP(Assessment!H146,Inherited!A:A,Inherited!B:B)))/100)*IF(X145="1.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(100%)","100"))))))&gt;=33,(((_xlfn.XLOOKUP(Assessment!H146,Inherited!A:A,Inherited!B:B))/100)*(_xlfn.XLOOKUP(Assessment!H146,Inherited!A:A,Inherited!C:C)))+(((100-(_xlfn.XLOOKUP(Assessment!H146,Inherited!A:A,Inherited!B:B)))/100)*IF(X145="1.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(100%)","100"))))))&lt;=65),"50",IF(AND((((_xlfn.XLOOKUP(Assessment!H146,Inherited!A:A,Inherited!B:B))/100)*(_xlfn.XLOOKUP(Assessment!H146,Inherited!A:A,Inherited!C:C)))+(((100-(_xlfn.XLOOKUP(Assessment!H146,Inherited!A:A,Inherited!B:B)))/100)*IF(X145="1.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(100%)","100"))))))&gt;=66,(((_xlfn.XLOOKUP(Assessment!H146,Inherited!A:A,Inherited!B:B))/100)*(_xlfn.XLOOKUP(Assessment!H146,Inherited!A:A,Inherited!C:C)))+(((100-(_xlfn.XLOOKUP(Assessment!H146,Inherited!A:A,Inherited!B:B)))/100)*IF(X145="1.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(100%)","100"))))))&lt;=89),"75",IF((((_xlfn.XLOOKUP(Assessment!H146,Inherited!A:A,Inherited!B:B))/100)*(_xlfn.XLOOKUP(Assessment!H146,Inherited!A:A,Inherited!C:C)))+(((100-(_xlfn.XLOOKUP(Assessment!H146,Inherited!A:A,Inherited!B:B)))/100)*IF(X145="1. Non Compliant (0%)","0",IF(X145="2. Somewhat Compliant (25%)","25",IF(X145="3. Partially Compliant (50%)","50",IF(X145="4. Mostly Compliant (75%)","75",IF(X145="5. Fully Compliant (100%)","100"))))))&gt;=90,"100"))))))</f>
        <v>#N/A</v>
      </c>
      <c r="R145" s="1" t="e">
        <f>IF(MATCH(H145,Inherited!A:A),IF((((_xlfn.XLOOKUP(Assessment!H146,Inherited!A:A,Inherited!B:B))/100)*(_xlfn.XLOOKUP(Assessment!H146,Inherited!A:A,Inherited!D:D)))+(((100-(_xlfn.XLOOKUP(Assessment!H146,Inherited!A:A,Inherited!B:B)))/100)*IF(Y145="1.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(100%)","100"))))))&lt;=10,"0", IF(AND((((_xlfn.XLOOKUP(Assessment!H146,Inherited!A:A,Inherited!B:B))/100)*(_xlfn.XLOOKUP(Assessment!H146,Inherited!A:A,Inherited!D:D)))+(((100-(_xlfn.XLOOKUP(Assessment!H146,Inherited!A:A,Inherited!B:B)))/100)*IF(Y145="1.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(100%)","100"))))))&gt;=11,(((_xlfn.XLOOKUP(Assessment!H146,Inherited!A:A,Inherited!B:B))/100)*(_xlfn.XLOOKUP(Assessment!H146,Inherited!A:A,Inherited!D:D)))+(((100-(_xlfn.XLOOKUP(Assessment!H146,Inherited!A:A,Inherited!B:B)))/100)*IF(Y145="1.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(100%)","100"))))))&lt;=32),"25",IF(AND((((_xlfn.XLOOKUP(Assessment!H146,Inherited!A:A,Inherited!B:B))/100)*(_xlfn.XLOOKUP(Assessment!H146,Inherited!A:A,Inherited!D:D)))+(((100-(_xlfn.XLOOKUP(Assessment!H146,Inherited!A:A,Inherited!B:B)))/100)*IF(Y145="1.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(100%)","100"))))))&gt;=33,(((_xlfn.XLOOKUP(Assessment!H146,Inherited!A:A,Inherited!B:B))/100)*(_xlfn.XLOOKUP(Assessment!H146,Inherited!A:A,Inherited!D:D)))+(((100-(_xlfn.XLOOKUP(Assessment!H146,Inherited!A:A,Inherited!B:B)))/100)*IF(Y145="1.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(100%)","100"))))))&lt;=65),"50",IF(AND((((_xlfn.XLOOKUP(Assessment!H146,Inherited!A:A,Inherited!B:B))/100)*(_xlfn.XLOOKUP(Assessment!H146,Inherited!A:A,Inherited!D:D)))+(((100-(_xlfn.XLOOKUP(Assessment!H146,Inherited!A:A,Inherited!B:B)))/100)*IF(Y145="1.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(100%)","100"))))))&gt;=66,(((_xlfn.XLOOKUP(Assessment!H146,Inherited!A:A,Inherited!B:B))/100)*(_xlfn.XLOOKUP(Assessment!H146,Inherited!A:A,Inherited!D:D)))+(((100-(_xlfn.XLOOKUP(Assessment!H146,Inherited!A:A,Inherited!B:B)))/100)*IF(Y145="1.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(100%)","100"))))))&lt;=89),"75",IF((((_xlfn.XLOOKUP(Assessment!H146,Inherited!A:A,Inherited!B:B))/100)*(_xlfn.XLOOKUP(Assessment!H146,Inherited!A:A,Inherited!D:D)))+(((100-(_xlfn.XLOOKUP(Assessment!H146,Inherited!A:A,Inherited!B:B)))/100)*IF(Y145="1. Non Compliant (0%)","0",IF(Y145="2. Somewhat Compliant (25%)","25",IF(Y145="3. Partially Compliant (50%)","50",IF(Y145="4. Mostly Compliant (75%)","75",IF(Y145="5. Fully Compliant (100%)","100"))))))&gt;=90,"100"))))))</f>
        <v>#N/A</v>
      </c>
      <c r="S145" s="1" t="e">
        <f>IF(MATCH(H145,Inherited!A:A),IF((((_xlfn.XLOOKUP(Assessment!H146,Inherited!A:A,Inherited!B:B))/100)*(_xlfn.XLOOKUP(Assessment!H146,Inherited!A:A,Inherited!E:E)))+(((100-(_xlfn.XLOOKUP(Assessment!H146,Inherited!A:A,Inherited!B:B)))/100)*IF(Z145="1.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(100%)","100"))))))&lt;=10,"0", IF(AND((((_xlfn.XLOOKUP(Assessment!H146,Inherited!A:A,Inherited!B:B))/100)*(_xlfn.XLOOKUP(Assessment!H146,Inherited!A:A,Inherited!E:E)))+(((100-(_xlfn.XLOOKUP(Assessment!H146,Inherited!A:A,Inherited!B:B)))/100)*IF(Z145="1.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(100%)","100"))))))&gt;=11,(((_xlfn.XLOOKUP(Assessment!H146,Inherited!A:A,Inherited!B:B))/100)*(_xlfn.XLOOKUP(Assessment!H146,Inherited!A:A,Inherited!E:E)))+(((100-(_xlfn.XLOOKUP(Assessment!H146,Inherited!A:A,Inherited!B:B)))/100)*IF(Z145="1.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(100%)","100"))))))&lt;=32),"25",IF(AND((((_xlfn.XLOOKUP(Assessment!H146,Inherited!A:A,Inherited!B:B))/100)*(_xlfn.XLOOKUP(Assessment!H146,Inherited!A:A,Inherited!E:E)))+(((100-(_xlfn.XLOOKUP(Assessment!H146,Inherited!A:A,Inherited!B:B)))/100)*IF(Z145="1.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(100%)","100"))))))&gt;=33,(((_xlfn.XLOOKUP(Assessment!H146,Inherited!A:A,Inherited!B:B))/100)*(_xlfn.XLOOKUP(Assessment!H146,Inherited!A:A,Inherited!E:E)))+(((100-(_xlfn.XLOOKUP(Assessment!H146,Inherited!A:A,Inherited!B:B)))/100)*IF(Z145="1.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(100%)","100"))))))&lt;=65),"50",IF(AND((((_xlfn.XLOOKUP(Assessment!H146,Inherited!A:A,Inherited!B:B))/100)*(_xlfn.XLOOKUP(Assessment!H146,Inherited!A:A,Inherited!E:E)))+(((100-(_xlfn.XLOOKUP(Assessment!H146,Inherited!A:A,Inherited!B:B)))/100)*IF(Z145="1.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(100%)","100"))))))&gt;=66,(((_xlfn.XLOOKUP(Assessment!H146,Inherited!A:A,Inherited!B:B))/100)*(_xlfn.XLOOKUP(Assessment!H146,Inherited!A:A,Inherited!E:E)))+(((100-(_xlfn.XLOOKUP(Assessment!H146,Inherited!A:A,Inherited!B:B)))/100)*IF(Z145="1.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(100%)","100"))))))&lt;=89),"75",IF((((_xlfn.XLOOKUP(Assessment!H146,Inherited!A:A,Inherited!B:B))/100)*(_xlfn.XLOOKUP(Assessment!H146,Inherited!A:A,Inherited!E:E)))+(((100-(_xlfn.XLOOKUP(Assessment!H146,Inherited!A:A,Inherited!B:B)))/100)*IF(Z145="1. Non Compliant (0%)","0",IF(Z145="2. Somewhat Compliant (25%)","25",IF(Z145="3. Partially Compliant (50%)","50",IF(Z145="4. Mostly Compliant (75%)","75",IF(Z145="5. Fully Compliant (100%)","100"))))))&gt;=90,"100"))))))</f>
        <v>#N/A</v>
      </c>
      <c r="T145" s="1" t="e">
        <f>IF(MATCH(H145,Inherited!A:A),IF((((_xlfn.XLOOKUP(Assessment!H146,Inherited!A:A,Inherited!B:B))/100)*(_xlfn.XLOOKUP(Assessment!H146,Inherited!A:A,Inherited!F:F)))+(((100-(_xlfn.XLOOKUP(Assessment!H146,Inherited!A:A,Inherited!B:B)))/100)*IF(AA145="1.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(100%)","100"))))))&lt;=10,"0", IF(AND((((_xlfn.XLOOKUP(Assessment!H146,Inherited!A:A,Inherited!B:B))/100)*(_xlfn.XLOOKUP(Assessment!H146,Inherited!A:A,Inherited!F:F)))+(((100-(_xlfn.XLOOKUP(Assessment!H146,Inherited!A:A,Inherited!B:B)))/100)*IF(AA145="1.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(100%)","100"))))))&gt;=11,(((_xlfn.XLOOKUP(Assessment!H146,Inherited!A:A,Inherited!B:B))/100)*(_xlfn.XLOOKUP(Assessment!H146,Inherited!A:A,Inherited!F:F)))+(((100-(_xlfn.XLOOKUP(Assessment!H146,Inherited!A:A,Inherited!B:B)))/100)*IF(AA145="1.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(100%)","100"))))))&lt;=32),"25",IF(AND((((_xlfn.XLOOKUP(Assessment!H146,Inherited!A:A,Inherited!B:B))/100)*(_xlfn.XLOOKUP(Assessment!H146,Inherited!A:A,Inherited!F:F)))+(((100-(_xlfn.XLOOKUP(Assessment!H146,Inherited!A:A,Inherited!B:B)))/100)*IF(AA145="1.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(100%)","100"))))))&gt;=33,(((_xlfn.XLOOKUP(Assessment!H146,Inherited!A:A,Inherited!B:B))/100)*(_xlfn.XLOOKUP(Assessment!H146,Inherited!A:A,Inherited!F:F)))+(((100-(_xlfn.XLOOKUP(Assessment!H146,Inherited!A:A,Inherited!B:B)))/100)*IF(AA145="1.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(100%)","100"))))))&lt;=65),"50",IF(AND((((_xlfn.XLOOKUP(Assessment!H146,Inherited!A:A,Inherited!B:B))/100)*(_xlfn.XLOOKUP(Assessment!H146,Inherited!A:A,Inherited!F:F)))+(((100-(_xlfn.XLOOKUP(Assessment!H146,Inherited!A:A,Inherited!B:B)))/100)*IF(AA145="1.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(100%)","100"))))))&gt;=66,(((_xlfn.XLOOKUP(Assessment!H146,Inherited!A:A,Inherited!B:B))/100)*(_xlfn.XLOOKUP(Assessment!H146,Inherited!A:A,Inherited!F:F)))+(((100-(_xlfn.XLOOKUP(Assessment!H146,Inherited!A:A,Inherited!B:B)))/100)*IF(AA145="1.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(100%)","100"))))))&lt;=89),"75",IF((((_xlfn.XLOOKUP(Assessment!H146,Inherited!A:A,Inherited!B:B))/100)*(_xlfn.XLOOKUP(Assessment!H146,Inherited!A:A,Inherited!F:F)))+(((100-(_xlfn.XLOOKUP(Assessment!H146,Inherited!A:A,Inherited!B:B)))/100)*IF(AA145="1. Non Compliant (0%)","0",IF(AA145="2. Somewhat Compliant (25%)","25",IF(AA145="3. Partially Compliant (50%)","50",IF(AA145="4. Mostly Compliant (75%)","75",IF(AA145="5. Fully Compliant (100%)","100"))))))&gt;=90,"100"))))))</f>
        <v>#N/A</v>
      </c>
      <c r="U145" s="1" t="e">
        <f>IF(MATCH(H145,Inherited!A:A),IF((((_xlfn.XLOOKUP(Assessment!H146,Inherited!A:A,Inherited!B:B))/100)*(_xlfn.XLOOKUP(Assessment!H146,Inherited!A:A,Inherited!G:G)))+(((100-(_xlfn.XLOOKUP(Assessment!H146,Inherited!A:A,Inherited!B:B)))/100)*IF(AB145="1.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(100%)","100"))))))&lt;=10,"0", IF(AND((((_xlfn.XLOOKUP(Assessment!H146,Inherited!A:A,Inherited!B:B))/100)*(_xlfn.XLOOKUP(Assessment!H146,Inherited!A:A,Inherited!G:G)))+(((100-(_xlfn.XLOOKUP(Assessment!H146,Inherited!A:A,Inherited!B:B)))/100)*IF(AB145="1.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(100%)","100"))))))&gt;=11,(((_xlfn.XLOOKUP(Assessment!H146,Inherited!A:A,Inherited!B:B))/100)*(_xlfn.XLOOKUP(Assessment!H146,Inherited!A:A,Inherited!G:G)))+(((100-(_xlfn.XLOOKUP(Assessment!H146,Inherited!A:A,Inherited!B:B)))/100)*IF(AB145="1.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(100%)","100"))))))&lt;=32),"25",IF(AND((((_xlfn.XLOOKUP(Assessment!H146,Inherited!A:A,Inherited!B:B))/100)*(_xlfn.XLOOKUP(Assessment!H146,Inherited!A:A,Inherited!G:G)))+(((100-(_xlfn.XLOOKUP(Assessment!H146,Inherited!A:A,Inherited!B:B)))/100)*IF(AB145="1.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(100%)","100"))))))&gt;=33,(((_xlfn.XLOOKUP(Assessment!H146,Inherited!A:A,Inherited!B:B))/100)*(_xlfn.XLOOKUP(Assessment!H146,Inherited!A:A,Inherited!G:G)))+(((100-(_xlfn.XLOOKUP(Assessment!H146,Inherited!A:A,Inherited!B:B)))/100)*IF(AB145="1.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(100%)","100"))))))&lt;=65),"50",IF(AND((((_xlfn.XLOOKUP(Assessment!H146,Inherited!A:A,Inherited!B:B))/100)*(_xlfn.XLOOKUP(Assessment!H146,Inherited!A:A,Inherited!G:G)))+(((100-(_xlfn.XLOOKUP(Assessment!H146,Inherited!A:A,Inherited!B:B)))/100)*IF(AB145="1.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(100%)","100"))))))&gt;=66,(((_xlfn.XLOOKUP(Assessment!H146,Inherited!A:A,Inherited!B:B))/100)*(_xlfn.XLOOKUP(Assessment!H146,Inherited!A:A,Inherited!G:G)))+(((100-(_xlfn.XLOOKUP(Assessment!H146,Inherited!A:A,Inherited!B:B)))/100)*IF(AB145="1.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(100%)","100"))))))&lt;=89),"75",IF((((_xlfn.XLOOKUP(Assessment!H146,Inherited!A:A,Inherited!B:B))/100)*(_xlfn.XLOOKUP(Assessment!H146,Inherited!A:A,Inherited!G:G)))+(((100-(_xlfn.XLOOKUP(Assessment!H146,Inherited!A:A,Inherited!B:B)))/100)*IF(AB145="1. Non Compliant (0%)","0",IF(AB145="2. Somewhat Compliant (25%)","25",IF(AB145="3. Partially Compliant (50%)","50",IF(AB145="4. Mostly Compliant (75%)","75",IF(AB145="5. Fully Compliant (100%)","100"))))))&gt;=90,"100"))))))</f>
        <v>#N/A</v>
      </c>
      <c r="V145" s="55" t="s">
        <v>85</v>
      </c>
      <c r="W145" s="55"/>
      <c r="X145" s="55"/>
      <c r="Y145" s="55"/>
      <c r="Z145" s="55" t="s">
        <v>88</v>
      </c>
      <c r="AA145" s="55"/>
      <c r="AB145" s="55"/>
      <c r="AK145" s="1" t="s">
        <v>10978</v>
      </c>
      <c r="AM145" s="1" t="s">
        <v>11045</v>
      </c>
      <c r="AP145" s="1" t="s">
        <v>11008</v>
      </c>
      <c r="AX145" s="3" t="str">
        <f>_xlfn.CONCAT("A-LIGN finished its review of this control on ",AR145, " during the scheduled fieldwork window (",Intro!$B$4,")."&amp; CHAR(10)&amp; CHAR(10))</f>
        <v xml:space="preserve">A-LIGN finished its review of this control on  during the scheduled fieldwork window (Fieldwork: xx/xx/xxxx - xx/xx/xxxx).
</v>
      </c>
      <c r="AY145" s="3" t="str">
        <f t="shared" si="311"/>
        <v/>
      </c>
      <c r="AZ145" s="3" t="str">
        <f t="shared" si="312"/>
        <v/>
      </c>
      <c r="BA145" s="3" t="str">
        <f t="shared" si="313"/>
        <v/>
      </c>
      <c r="BB145" s="3" t="str">
        <f t="shared" si="314"/>
        <v xml:space="preserve">Inquired of the following workforce member: 
Michael Wood - VP of AI Engineering
Kyle Smith - IT Operations and AI Expert 
Inquiry lead to the following conclusions: 
</v>
      </c>
      <c r="BC145" s="3" t="str">
        <f t="shared" si="315"/>
        <v xml:space="preserve">Observed the following live during fieldwork: 
Observed the Risk Management/Risk Scenarios/Risk Register within Vanta 
</v>
      </c>
      <c r="BD145" s="3" t="str">
        <f t="shared" si="316"/>
        <v xml:space="preserve">Examined the following evidence during fieldwork:
Reviewed evidence addressed the requirement statement.
Reviewed evidence exception note: 
Gap: 
Risk Management plan is "in place' but needs enhancements
Recommendation: 
Management should ensure that the risk management program/risk register within Vanta is enhanced to satisfy the HITRUST CSF.
</v>
      </c>
      <c r="BE145" s="3" t="str">
        <f t="shared" si="317"/>
        <v/>
      </c>
      <c r="BF145" s="3" t="str">
        <f t="shared" si="318"/>
        <v/>
      </c>
      <c r="BG145" s="3" t="str">
        <f>_xlfn.CONCAT((IF((COUNTIF('Sample Tables'!B:B,"Test 218: Information Security (risk management plan)")&gt;0)=TRUE,_xlfn.CONCAT("Sample test results are documented in ",'Sample Tables'!B2394," [",'Sample Tables'!B2395,", ",'Sample Tables'!B2396,", ",'Sample Tables'!B2397,", ",'Sample Tables'!B2398,", ",'Sample Tables'!B2399,"]."&amp;CHAR(10)),IF((COUNTIF('Sample Tables'!B:B,"Test 218: Information Security (risk management plan)")&gt;0)=FALSE,""))),)</f>
        <v xml:space="preserve">Sample test results are documented in Test 218: Information Security (risk management plan) [Population Source/Tool: , Population Date Range: , Population Size: , Sample Methodology: , Sample Size: ].
</v>
      </c>
      <c r="BH145"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Observed the following live during fieldwork: 
Observed the Risk Management/Risk Scenarios/Risk Register within Vanta 
Examined the following evidence during fieldwork:
Reviewed evidence addressed the requirement statement.
Reviewed evidence exception note: 
Gap: 
Risk Management plan is "in place' but needs enhancements
Recommendation: 
Management should ensure that the risk management program/risk register within Vanta is enhanced to satisfy the HITRUST CSF.
Sample test results are documented in Test 218: Information Security (risk management plan) [Population Source/Tool: , Population Date Range: , Population Size: , Sample Methodology: , Sample Size: ].
</v>
      </c>
    </row>
    <row r="146" spans="3:60" ht="409.5" x14ac:dyDescent="0.35">
      <c r="C146" s="1">
        <f t="shared" si="310"/>
        <v>0</v>
      </c>
      <c r="D146" s="5" t="str">
        <f>IF(AND((_xlfn.XLOOKUP(J146,'Fields &amp; Revisions'!$H:$H,'Fields &amp; Revisions'!$I:$I))&lt;70.99,(OR(Z146="4. Mostly Compliant (75%)",Z146="3. Partially Compliant (50%)",Z146="2. Somewhat Compliant (25%)",Z146="1. Non Compliant (0%)"))),"Yes","No")</f>
        <v>Yes</v>
      </c>
      <c r="E146" s="5" t="str">
        <f>IF(ISERROR(VLOOKUP(H146,Scope!A:A,1,FALSE)),"No","Yes")</f>
        <v>Yes</v>
      </c>
      <c r="F146" s="1" t="s">
        <v>4666</v>
      </c>
      <c r="G146" s="53" t="s">
        <v>4727</v>
      </c>
      <c r="H146" s="53" t="s">
        <v>4728</v>
      </c>
      <c r="I146" s="5" t="s">
        <v>242</v>
      </c>
      <c r="J146" s="1" t="s">
        <v>226</v>
      </c>
      <c r="K146" s="54" t="s">
        <v>4729</v>
      </c>
      <c r="L146" s="1" t="s">
        <v>4730</v>
      </c>
      <c r="M146" s="1" t="s">
        <v>4731</v>
      </c>
      <c r="N146" s="5" t="s">
        <v>98</v>
      </c>
      <c r="O146" s="1" t="str">
        <f>_xlfn.XLOOKUP(G146,SRMs!$A:$A,SRMs!$D:$D)</f>
        <v>NO INHERITANCE</v>
      </c>
      <c r="P146" s="1" t="str">
        <f>IFERROR(VLOOKUP(H146,Inherited!A:B,2,FALSE),"")</f>
        <v/>
      </c>
      <c r="Q146" s="1" t="e">
        <f>IF(MATCH(H146,Inherited!A:A),IF((((_xlfn.XLOOKUP(Assessment!H147,Inherited!A:A,Inherited!B:B))/100)*(_xlfn.XLOOKUP(Assessment!H147,Inherited!A:A,Inherited!C:C)))+(((100-(_xlfn.XLOOKUP(Assessment!H147,Inherited!A:A,Inherited!B:B)))/100)*IF(X146="1.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(100%)","100"))))))&lt;=10,"0", IF(AND((((_xlfn.XLOOKUP(Assessment!H147,Inherited!A:A,Inherited!B:B))/100)*(_xlfn.XLOOKUP(Assessment!H147,Inherited!A:A,Inherited!C:C)))+(((100-(_xlfn.XLOOKUP(Assessment!H147,Inherited!A:A,Inherited!B:B)))/100)*IF(X146="1.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(100%)","100"))))))&gt;=11,(((_xlfn.XLOOKUP(Assessment!H147,Inherited!A:A,Inherited!B:B))/100)*(_xlfn.XLOOKUP(Assessment!H147,Inherited!A:A,Inherited!C:C)))+(((100-(_xlfn.XLOOKUP(Assessment!H147,Inherited!A:A,Inherited!B:B)))/100)*IF(X146="1.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(100%)","100"))))))&lt;=32),"25",IF(AND((((_xlfn.XLOOKUP(Assessment!H147,Inherited!A:A,Inherited!B:B))/100)*(_xlfn.XLOOKUP(Assessment!H147,Inherited!A:A,Inherited!C:C)))+(((100-(_xlfn.XLOOKUP(Assessment!H147,Inherited!A:A,Inherited!B:B)))/100)*IF(X146="1.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(100%)","100"))))))&gt;=33,(((_xlfn.XLOOKUP(Assessment!H147,Inherited!A:A,Inherited!B:B))/100)*(_xlfn.XLOOKUP(Assessment!H147,Inherited!A:A,Inherited!C:C)))+(((100-(_xlfn.XLOOKUP(Assessment!H147,Inherited!A:A,Inherited!B:B)))/100)*IF(X146="1.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(100%)","100"))))))&lt;=65),"50",IF(AND((((_xlfn.XLOOKUP(Assessment!H147,Inherited!A:A,Inherited!B:B))/100)*(_xlfn.XLOOKUP(Assessment!H147,Inherited!A:A,Inherited!C:C)))+(((100-(_xlfn.XLOOKUP(Assessment!H147,Inherited!A:A,Inherited!B:B)))/100)*IF(X146="1.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(100%)","100"))))))&gt;=66,(((_xlfn.XLOOKUP(Assessment!H147,Inherited!A:A,Inherited!B:B))/100)*(_xlfn.XLOOKUP(Assessment!H147,Inherited!A:A,Inherited!C:C)))+(((100-(_xlfn.XLOOKUP(Assessment!H147,Inherited!A:A,Inherited!B:B)))/100)*IF(X146="1.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(100%)","100"))))))&lt;=89),"75",IF((((_xlfn.XLOOKUP(Assessment!H147,Inherited!A:A,Inherited!B:B))/100)*(_xlfn.XLOOKUP(Assessment!H147,Inherited!A:A,Inherited!C:C)))+(((100-(_xlfn.XLOOKUP(Assessment!H147,Inherited!A:A,Inherited!B:B)))/100)*IF(X146="1. Non Compliant (0%)","0",IF(X146="2. Somewhat Compliant (25%)","25",IF(X146="3. Partially Compliant (50%)","50",IF(X146="4. Mostly Compliant (75%)","75",IF(X146="5. Fully Compliant (100%)","100"))))))&gt;=90,"100"))))))</f>
        <v>#N/A</v>
      </c>
      <c r="R146" s="1" t="e">
        <f>IF(MATCH(H146,Inherited!A:A),IF((((_xlfn.XLOOKUP(Assessment!H147,Inherited!A:A,Inherited!B:B))/100)*(_xlfn.XLOOKUP(Assessment!H147,Inherited!A:A,Inherited!D:D)))+(((100-(_xlfn.XLOOKUP(Assessment!H147,Inherited!A:A,Inherited!B:B)))/100)*IF(Y146="1.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(100%)","100"))))))&lt;=10,"0", IF(AND((((_xlfn.XLOOKUP(Assessment!H147,Inherited!A:A,Inherited!B:B))/100)*(_xlfn.XLOOKUP(Assessment!H147,Inherited!A:A,Inherited!D:D)))+(((100-(_xlfn.XLOOKUP(Assessment!H147,Inherited!A:A,Inherited!B:B)))/100)*IF(Y146="1.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(100%)","100"))))))&gt;=11,(((_xlfn.XLOOKUP(Assessment!H147,Inherited!A:A,Inherited!B:B))/100)*(_xlfn.XLOOKUP(Assessment!H147,Inherited!A:A,Inherited!D:D)))+(((100-(_xlfn.XLOOKUP(Assessment!H147,Inherited!A:A,Inherited!B:B)))/100)*IF(Y146="1.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(100%)","100"))))))&lt;=32),"25",IF(AND((((_xlfn.XLOOKUP(Assessment!H147,Inherited!A:A,Inherited!B:B))/100)*(_xlfn.XLOOKUP(Assessment!H147,Inherited!A:A,Inherited!D:D)))+(((100-(_xlfn.XLOOKUP(Assessment!H147,Inherited!A:A,Inherited!B:B)))/100)*IF(Y146="1.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(100%)","100"))))))&gt;=33,(((_xlfn.XLOOKUP(Assessment!H147,Inherited!A:A,Inherited!B:B))/100)*(_xlfn.XLOOKUP(Assessment!H147,Inherited!A:A,Inherited!D:D)))+(((100-(_xlfn.XLOOKUP(Assessment!H147,Inherited!A:A,Inherited!B:B)))/100)*IF(Y146="1.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(100%)","100"))))))&lt;=65),"50",IF(AND((((_xlfn.XLOOKUP(Assessment!H147,Inherited!A:A,Inherited!B:B))/100)*(_xlfn.XLOOKUP(Assessment!H147,Inherited!A:A,Inherited!D:D)))+(((100-(_xlfn.XLOOKUP(Assessment!H147,Inherited!A:A,Inherited!B:B)))/100)*IF(Y146="1.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(100%)","100"))))))&gt;=66,(((_xlfn.XLOOKUP(Assessment!H147,Inherited!A:A,Inherited!B:B))/100)*(_xlfn.XLOOKUP(Assessment!H147,Inherited!A:A,Inherited!D:D)))+(((100-(_xlfn.XLOOKUP(Assessment!H147,Inherited!A:A,Inherited!B:B)))/100)*IF(Y146="1.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(100%)","100"))))))&lt;=89),"75",IF((((_xlfn.XLOOKUP(Assessment!H147,Inherited!A:A,Inherited!B:B))/100)*(_xlfn.XLOOKUP(Assessment!H147,Inherited!A:A,Inherited!D:D)))+(((100-(_xlfn.XLOOKUP(Assessment!H147,Inherited!A:A,Inherited!B:B)))/100)*IF(Y146="1. Non Compliant (0%)","0",IF(Y146="2. Somewhat Compliant (25%)","25",IF(Y146="3. Partially Compliant (50%)","50",IF(Y146="4. Mostly Compliant (75%)","75",IF(Y146="5. Fully Compliant (100%)","100"))))))&gt;=90,"100"))))))</f>
        <v>#N/A</v>
      </c>
      <c r="S146" s="1" t="e">
        <f>IF(MATCH(H146,Inherited!A:A),IF((((_xlfn.XLOOKUP(Assessment!H147,Inherited!A:A,Inherited!B:B))/100)*(_xlfn.XLOOKUP(Assessment!H147,Inherited!A:A,Inherited!E:E)))+(((100-(_xlfn.XLOOKUP(Assessment!H147,Inherited!A:A,Inherited!B:B)))/100)*IF(Z146="1.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(100%)","100"))))))&lt;=10,"0", IF(AND((((_xlfn.XLOOKUP(Assessment!H147,Inherited!A:A,Inherited!B:B))/100)*(_xlfn.XLOOKUP(Assessment!H147,Inherited!A:A,Inherited!E:E)))+(((100-(_xlfn.XLOOKUP(Assessment!H147,Inherited!A:A,Inherited!B:B)))/100)*IF(Z146="1.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(100%)","100"))))))&gt;=11,(((_xlfn.XLOOKUP(Assessment!H147,Inherited!A:A,Inherited!B:B))/100)*(_xlfn.XLOOKUP(Assessment!H147,Inherited!A:A,Inherited!E:E)))+(((100-(_xlfn.XLOOKUP(Assessment!H147,Inherited!A:A,Inherited!B:B)))/100)*IF(Z146="1.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(100%)","100"))))))&lt;=32),"25",IF(AND((((_xlfn.XLOOKUP(Assessment!H147,Inherited!A:A,Inherited!B:B))/100)*(_xlfn.XLOOKUP(Assessment!H147,Inherited!A:A,Inherited!E:E)))+(((100-(_xlfn.XLOOKUP(Assessment!H147,Inherited!A:A,Inherited!B:B)))/100)*IF(Z146="1.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(100%)","100"))))))&gt;=33,(((_xlfn.XLOOKUP(Assessment!H147,Inherited!A:A,Inherited!B:B))/100)*(_xlfn.XLOOKUP(Assessment!H147,Inherited!A:A,Inherited!E:E)))+(((100-(_xlfn.XLOOKUP(Assessment!H147,Inherited!A:A,Inherited!B:B)))/100)*IF(Z146="1.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(100%)","100"))))))&lt;=65),"50",IF(AND((((_xlfn.XLOOKUP(Assessment!H147,Inherited!A:A,Inherited!B:B))/100)*(_xlfn.XLOOKUP(Assessment!H147,Inherited!A:A,Inherited!E:E)))+(((100-(_xlfn.XLOOKUP(Assessment!H147,Inherited!A:A,Inherited!B:B)))/100)*IF(Z146="1.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(100%)","100"))))))&gt;=66,(((_xlfn.XLOOKUP(Assessment!H147,Inherited!A:A,Inherited!B:B))/100)*(_xlfn.XLOOKUP(Assessment!H147,Inherited!A:A,Inherited!E:E)))+(((100-(_xlfn.XLOOKUP(Assessment!H147,Inherited!A:A,Inherited!B:B)))/100)*IF(Z146="1.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(100%)","100"))))))&lt;=89),"75",IF((((_xlfn.XLOOKUP(Assessment!H147,Inherited!A:A,Inherited!B:B))/100)*(_xlfn.XLOOKUP(Assessment!H147,Inherited!A:A,Inherited!E:E)))+(((100-(_xlfn.XLOOKUP(Assessment!H147,Inherited!A:A,Inherited!B:B)))/100)*IF(Z146="1. Non Compliant (0%)","0",IF(Z146="2. Somewhat Compliant (25%)","25",IF(Z146="3. Partially Compliant (50%)","50",IF(Z146="4. Mostly Compliant (75%)","75",IF(Z146="5. Fully Compliant (100%)","100"))))))&gt;=90,"100"))))))</f>
        <v>#N/A</v>
      </c>
      <c r="T146" s="1" t="e">
        <f>IF(MATCH(H146,Inherited!A:A),IF((((_xlfn.XLOOKUP(Assessment!H147,Inherited!A:A,Inherited!B:B))/100)*(_xlfn.XLOOKUP(Assessment!H147,Inherited!A:A,Inherited!F:F)))+(((100-(_xlfn.XLOOKUP(Assessment!H147,Inherited!A:A,Inherited!B:B)))/100)*IF(AA146="1.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(100%)","100"))))))&lt;=10,"0", IF(AND((((_xlfn.XLOOKUP(Assessment!H147,Inherited!A:A,Inherited!B:B))/100)*(_xlfn.XLOOKUP(Assessment!H147,Inherited!A:A,Inherited!F:F)))+(((100-(_xlfn.XLOOKUP(Assessment!H147,Inherited!A:A,Inherited!B:B)))/100)*IF(AA146="1.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(100%)","100"))))))&gt;=11,(((_xlfn.XLOOKUP(Assessment!H147,Inherited!A:A,Inherited!B:B))/100)*(_xlfn.XLOOKUP(Assessment!H147,Inherited!A:A,Inherited!F:F)))+(((100-(_xlfn.XLOOKUP(Assessment!H147,Inherited!A:A,Inherited!B:B)))/100)*IF(AA146="1.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(100%)","100"))))))&lt;=32),"25",IF(AND((((_xlfn.XLOOKUP(Assessment!H147,Inherited!A:A,Inherited!B:B))/100)*(_xlfn.XLOOKUP(Assessment!H147,Inherited!A:A,Inherited!F:F)))+(((100-(_xlfn.XLOOKUP(Assessment!H147,Inherited!A:A,Inherited!B:B)))/100)*IF(AA146="1.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(100%)","100"))))))&gt;=33,(((_xlfn.XLOOKUP(Assessment!H147,Inherited!A:A,Inherited!B:B))/100)*(_xlfn.XLOOKUP(Assessment!H147,Inherited!A:A,Inherited!F:F)))+(((100-(_xlfn.XLOOKUP(Assessment!H147,Inherited!A:A,Inherited!B:B)))/100)*IF(AA146="1.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(100%)","100"))))))&lt;=65),"50",IF(AND((((_xlfn.XLOOKUP(Assessment!H147,Inherited!A:A,Inherited!B:B))/100)*(_xlfn.XLOOKUP(Assessment!H147,Inherited!A:A,Inherited!F:F)))+(((100-(_xlfn.XLOOKUP(Assessment!H147,Inherited!A:A,Inherited!B:B)))/100)*IF(AA146="1.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(100%)","100"))))))&gt;=66,(((_xlfn.XLOOKUP(Assessment!H147,Inherited!A:A,Inherited!B:B))/100)*(_xlfn.XLOOKUP(Assessment!H147,Inherited!A:A,Inherited!F:F)))+(((100-(_xlfn.XLOOKUP(Assessment!H147,Inherited!A:A,Inherited!B:B)))/100)*IF(AA146="1.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(100%)","100"))))))&lt;=89),"75",IF((((_xlfn.XLOOKUP(Assessment!H147,Inherited!A:A,Inherited!B:B))/100)*(_xlfn.XLOOKUP(Assessment!H147,Inherited!A:A,Inherited!F:F)))+(((100-(_xlfn.XLOOKUP(Assessment!H147,Inherited!A:A,Inherited!B:B)))/100)*IF(AA146="1. Non Compliant (0%)","0",IF(AA146="2. Somewhat Compliant (25%)","25",IF(AA146="3. Partially Compliant (50%)","50",IF(AA146="4. Mostly Compliant (75%)","75",IF(AA146="5. Fully Compliant (100%)","100"))))))&gt;=90,"100"))))))</f>
        <v>#N/A</v>
      </c>
      <c r="U146" s="1" t="e">
        <f>IF(MATCH(H146,Inherited!A:A),IF((((_xlfn.XLOOKUP(Assessment!H147,Inherited!A:A,Inherited!B:B))/100)*(_xlfn.XLOOKUP(Assessment!H147,Inherited!A:A,Inherited!G:G)))+(((100-(_xlfn.XLOOKUP(Assessment!H147,Inherited!A:A,Inherited!B:B)))/100)*IF(AB146="1.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(100%)","100"))))))&lt;=10,"0", IF(AND((((_xlfn.XLOOKUP(Assessment!H147,Inherited!A:A,Inherited!B:B))/100)*(_xlfn.XLOOKUP(Assessment!H147,Inherited!A:A,Inherited!G:G)))+(((100-(_xlfn.XLOOKUP(Assessment!H147,Inherited!A:A,Inherited!B:B)))/100)*IF(AB146="1.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(100%)","100"))))))&gt;=11,(((_xlfn.XLOOKUP(Assessment!H147,Inherited!A:A,Inherited!B:B))/100)*(_xlfn.XLOOKUP(Assessment!H147,Inherited!A:A,Inherited!G:G)))+(((100-(_xlfn.XLOOKUP(Assessment!H147,Inherited!A:A,Inherited!B:B)))/100)*IF(AB146="1.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(100%)","100"))))))&lt;=32),"25",IF(AND((((_xlfn.XLOOKUP(Assessment!H147,Inherited!A:A,Inherited!B:B))/100)*(_xlfn.XLOOKUP(Assessment!H147,Inherited!A:A,Inherited!G:G)))+(((100-(_xlfn.XLOOKUP(Assessment!H147,Inherited!A:A,Inherited!B:B)))/100)*IF(AB146="1.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(100%)","100"))))))&gt;=33,(((_xlfn.XLOOKUP(Assessment!H147,Inherited!A:A,Inherited!B:B))/100)*(_xlfn.XLOOKUP(Assessment!H147,Inherited!A:A,Inherited!G:G)))+(((100-(_xlfn.XLOOKUP(Assessment!H147,Inherited!A:A,Inherited!B:B)))/100)*IF(AB146="1.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(100%)","100"))))))&lt;=65),"50",IF(AND((((_xlfn.XLOOKUP(Assessment!H147,Inherited!A:A,Inherited!B:B))/100)*(_xlfn.XLOOKUP(Assessment!H147,Inherited!A:A,Inherited!G:G)))+(((100-(_xlfn.XLOOKUP(Assessment!H147,Inherited!A:A,Inherited!B:B)))/100)*IF(AB146="1.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(100%)","100"))))))&gt;=66,(((_xlfn.XLOOKUP(Assessment!H147,Inherited!A:A,Inherited!B:B))/100)*(_xlfn.XLOOKUP(Assessment!H147,Inherited!A:A,Inherited!G:G)))+(((100-(_xlfn.XLOOKUP(Assessment!H147,Inherited!A:A,Inherited!B:B)))/100)*IF(AB146="1.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(100%)","100"))))))&lt;=89),"75",IF((((_xlfn.XLOOKUP(Assessment!H147,Inherited!A:A,Inherited!B:B))/100)*(_xlfn.XLOOKUP(Assessment!H147,Inherited!A:A,Inherited!G:G)))+(((100-(_xlfn.XLOOKUP(Assessment!H147,Inherited!A:A,Inherited!B:B)))/100)*IF(AB146="1. Non Compliant (0%)","0",IF(AB146="2. Somewhat Compliant (25%)","25",IF(AB146="3. Partially Compliant (50%)","50",IF(AB146="4. Mostly Compliant (75%)","75",IF(AB146="5. Fully Compliant (100%)","100"))))))&gt;=90,"100"))))))</f>
        <v>#N/A</v>
      </c>
      <c r="V146" s="55" t="s">
        <v>85</v>
      </c>
      <c r="W146" s="55"/>
      <c r="X146" s="55"/>
      <c r="Y146" s="55"/>
      <c r="Z146" s="55" t="s">
        <v>10873</v>
      </c>
      <c r="AA146" s="55"/>
      <c r="AB146" s="55"/>
      <c r="AK146" s="1" t="s">
        <v>10978</v>
      </c>
      <c r="AL146" s="1" t="s">
        <v>11009</v>
      </c>
      <c r="AP146" s="1" t="s">
        <v>11107</v>
      </c>
      <c r="AX146" s="3" t="str">
        <f>_xlfn.CONCAT("A-LIGN finished its review of this control on ",AR146, " during the scheduled fieldwork window (",Intro!$B$4,")."&amp; CHAR(10)&amp; CHAR(10))</f>
        <v xml:space="preserve">A-LIGN finished its review of this control on  during the scheduled fieldwork window (Fieldwork: xx/xx/xxxx - xx/xx/xxxx).
</v>
      </c>
      <c r="AY146" s="3" t="str">
        <f t="shared" si="311"/>
        <v/>
      </c>
      <c r="AZ146" s="3" t="str">
        <f t="shared" si="312"/>
        <v/>
      </c>
      <c r="BA146" s="3" t="str">
        <f t="shared" si="313"/>
        <v/>
      </c>
      <c r="BB146"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 review of the organizations risk management framework is not completed on an annual basis at this time
</v>
      </c>
      <c r="BC146" s="3" t="str">
        <f t="shared" si="315"/>
        <v/>
      </c>
      <c r="BD146" s="3" t="str">
        <f t="shared" si="316"/>
        <v xml:space="preserve">Examined the following evidence during fieldwork:
Reviewed evidence addressed the requirement statement.
Reviewed evidence exception note: 
Gap: 
A review of the organizations risk management framework is not completed on an annual basis at this time
Recommendation:
Management should ensure that a review of MERGE's risk management framework is completed on an annual basis and includes the following:
- consideration of the suitability, adequacy, and effectiveness of the organization-selected risk management framework and the way the risk management process is integrated into the organization. 
</v>
      </c>
      <c r="BE146" s="3" t="str">
        <f t="shared" si="317"/>
        <v/>
      </c>
      <c r="BF146" s="3" t="str">
        <f t="shared" si="318"/>
        <v/>
      </c>
      <c r="BG146" s="3" t="str">
        <f>_xlfn.CONCAT((IF((COUNTIF('Sample Tables'!B:B,"")&gt;0)=TRUE,_xlfn.CONCAT("",""),IF((COUNTIF('Sample Tables'!B:B,"")&gt;0)=FALSE,""))),)</f>
        <v/>
      </c>
      <c r="BH146"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A review of the organizations risk management framework is not completed on an annual basis at this time
Examined the following evidence during fieldwork:
Reviewed evidence addressed the requirement statement.
Reviewed evidence exception note: 
Gap: 
A review of the organizations risk management framework is not completed on an annual basis at this time
Recommendation:
Management should ensure that a review of MERGE's risk management framework is completed on an annual basis and includes the following:
- consideration of the suitability, adequacy, and effectiveness of the organization-selected risk management framework and the way the risk management process is integrated into the organization. 
</v>
      </c>
    </row>
    <row r="147" spans="3:60" ht="409.5" x14ac:dyDescent="0.35">
      <c r="C147" s="1">
        <f t="shared" si="310"/>
        <v>0</v>
      </c>
      <c r="D147" s="5" t="str">
        <f>IF(AND((_xlfn.XLOOKUP(J147,'Fields &amp; Revisions'!$H:$H,'Fields &amp; Revisions'!$I:$I))&lt;70.99,(OR(Z147="4. Mostly Compliant (75%)",Z147="3. Partially Compliant (50%)",Z147="2. Somewhat Compliant (25%)",Z147="1. Non Compliant (0%)"))),"Yes","No")</f>
        <v>Yes</v>
      </c>
      <c r="E147" s="5" t="str">
        <f>IF(ISERROR(VLOOKUP(H147,Scope!A:A,1,FALSE)),"No","Yes")</f>
        <v>Yes</v>
      </c>
      <c r="F147" s="1" t="s">
        <v>4666</v>
      </c>
      <c r="G147" s="53" t="s">
        <v>4732</v>
      </c>
      <c r="H147" s="53" t="s">
        <v>4733</v>
      </c>
      <c r="I147" s="5" t="s">
        <v>242</v>
      </c>
      <c r="J147" s="1" t="s">
        <v>226</v>
      </c>
      <c r="K147" s="54" t="s">
        <v>4734</v>
      </c>
      <c r="L147" s="1" t="s">
        <v>4735</v>
      </c>
      <c r="M147" s="1" t="s">
        <v>4736</v>
      </c>
      <c r="N147" s="5" t="s">
        <v>85</v>
      </c>
      <c r="O147" s="1" t="str">
        <f>_xlfn.XLOOKUP(G147,SRMs!$A:$A,SRMs!$D:$D)</f>
        <v>NO INHERITANCE</v>
      </c>
      <c r="P147" s="1" t="str">
        <f>IFERROR(VLOOKUP(H147,Inherited!A:B,2,FALSE),"")</f>
        <v/>
      </c>
      <c r="Q147" s="1" t="e">
        <f>IF(MATCH(H147,Inherited!A:A),IF((((_xlfn.XLOOKUP(Assessment!H148,Inherited!A:A,Inherited!B:B))/100)*(_xlfn.XLOOKUP(Assessment!H148,Inherited!A:A,Inherited!C:C)))+(((100-(_xlfn.XLOOKUP(Assessment!H148,Inherited!A:A,Inherited!B:B)))/100)*IF(X147="1.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(100%)","100"))))))&lt;=10,"0", IF(AND((((_xlfn.XLOOKUP(Assessment!H148,Inherited!A:A,Inherited!B:B))/100)*(_xlfn.XLOOKUP(Assessment!H148,Inherited!A:A,Inherited!C:C)))+(((100-(_xlfn.XLOOKUP(Assessment!H148,Inherited!A:A,Inherited!B:B)))/100)*IF(X147="1.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(100%)","100"))))))&gt;=11,(((_xlfn.XLOOKUP(Assessment!H148,Inherited!A:A,Inherited!B:B))/100)*(_xlfn.XLOOKUP(Assessment!H148,Inherited!A:A,Inherited!C:C)))+(((100-(_xlfn.XLOOKUP(Assessment!H148,Inherited!A:A,Inherited!B:B)))/100)*IF(X147="1.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(100%)","100"))))))&lt;=32),"25",IF(AND((((_xlfn.XLOOKUP(Assessment!H148,Inherited!A:A,Inherited!B:B))/100)*(_xlfn.XLOOKUP(Assessment!H148,Inherited!A:A,Inherited!C:C)))+(((100-(_xlfn.XLOOKUP(Assessment!H148,Inherited!A:A,Inherited!B:B)))/100)*IF(X147="1.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(100%)","100"))))))&gt;=33,(((_xlfn.XLOOKUP(Assessment!H148,Inherited!A:A,Inherited!B:B))/100)*(_xlfn.XLOOKUP(Assessment!H148,Inherited!A:A,Inherited!C:C)))+(((100-(_xlfn.XLOOKUP(Assessment!H148,Inherited!A:A,Inherited!B:B)))/100)*IF(X147="1.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(100%)","100"))))))&lt;=65),"50",IF(AND((((_xlfn.XLOOKUP(Assessment!H148,Inherited!A:A,Inherited!B:B))/100)*(_xlfn.XLOOKUP(Assessment!H148,Inherited!A:A,Inherited!C:C)))+(((100-(_xlfn.XLOOKUP(Assessment!H148,Inherited!A:A,Inherited!B:B)))/100)*IF(X147="1.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(100%)","100"))))))&gt;=66,(((_xlfn.XLOOKUP(Assessment!H148,Inherited!A:A,Inherited!B:B))/100)*(_xlfn.XLOOKUP(Assessment!H148,Inherited!A:A,Inherited!C:C)))+(((100-(_xlfn.XLOOKUP(Assessment!H148,Inherited!A:A,Inherited!B:B)))/100)*IF(X147="1.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(100%)","100"))))))&lt;=89),"75",IF((((_xlfn.XLOOKUP(Assessment!H148,Inherited!A:A,Inherited!B:B))/100)*(_xlfn.XLOOKUP(Assessment!H148,Inherited!A:A,Inherited!C:C)))+(((100-(_xlfn.XLOOKUP(Assessment!H148,Inherited!A:A,Inherited!B:B)))/100)*IF(X147="1. Non Compliant (0%)","0",IF(X147="2. Somewhat Compliant (25%)","25",IF(X147="3. Partially Compliant (50%)","50",IF(X147="4. Mostly Compliant (75%)","75",IF(X147="5. Fully Compliant (100%)","100"))))))&gt;=90,"100"))))))</f>
        <v>#N/A</v>
      </c>
      <c r="R147" s="1" t="e">
        <f>IF(MATCH(H147,Inherited!A:A),IF((((_xlfn.XLOOKUP(Assessment!H148,Inherited!A:A,Inherited!B:B))/100)*(_xlfn.XLOOKUP(Assessment!H148,Inherited!A:A,Inherited!D:D)))+(((100-(_xlfn.XLOOKUP(Assessment!H148,Inherited!A:A,Inherited!B:B)))/100)*IF(Y147="1.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(100%)","100"))))))&lt;=10,"0", IF(AND((((_xlfn.XLOOKUP(Assessment!H148,Inherited!A:A,Inherited!B:B))/100)*(_xlfn.XLOOKUP(Assessment!H148,Inherited!A:A,Inherited!D:D)))+(((100-(_xlfn.XLOOKUP(Assessment!H148,Inherited!A:A,Inherited!B:B)))/100)*IF(Y147="1.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(100%)","100"))))))&gt;=11,(((_xlfn.XLOOKUP(Assessment!H148,Inherited!A:A,Inherited!B:B))/100)*(_xlfn.XLOOKUP(Assessment!H148,Inherited!A:A,Inherited!D:D)))+(((100-(_xlfn.XLOOKUP(Assessment!H148,Inherited!A:A,Inherited!B:B)))/100)*IF(Y147="1.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(100%)","100"))))))&lt;=32),"25",IF(AND((((_xlfn.XLOOKUP(Assessment!H148,Inherited!A:A,Inherited!B:B))/100)*(_xlfn.XLOOKUP(Assessment!H148,Inherited!A:A,Inherited!D:D)))+(((100-(_xlfn.XLOOKUP(Assessment!H148,Inherited!A:A,Inherited!B:B)))/100)*IF(Y147="1.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(100%)","100"))))))&gt;=33,(((_xlfn.XLOOKUP(Assessment!H148,Inherited!A:A,Inherited!B:B))/100)*(_xlfn.XLOOKUP(Assessment!H148,Inherited!A:A,Inherited!D:D)))+(((100-(_xlfn.XLOOKUP(Assessment!H148,Inherited!A:A,Inherited!B:B)))/100)*IF(Y147="1.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(100%)","100"))))))&lt;=65),"50",IF(AND((((_xlfn.XLOOKUP(Assessment!H148,Inherited!A:A,Inherited!B:B))/100)*(_xlfn.XLOOKUP(Assessment!H148,Inherited!A:A,Inherited!D:D)))+(((100-(_xlfn.XLOOKUP(Assessment!H148,Inherited!A:A,Inherited!B:B)))/100)*IF(Y147="1.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(100%)","100"))))))&gt;=66,(((_xlfn.XLOOKUP(Assessment!H148,Inherited!A:A,Inherited!B:B))/100)*(_xlfn.XLOOKUP(Assessment!H148,Inherited!A:A,Inherited!D:D)))+(((100-(_xlfn.XLOOKUP(Assessment!H148,Inherited!A:A,Inherited!B:B)))/100)*IF(Y147="1.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(100%)","100"))))))&lt;=89),"75",IF((((_xlfn.XLOOKUP(Assessment!H148,Inherited!A:A,Inherited!B:B))/100)*(_xlfn.XLOOKUP(Assessment!H148,Inherited!A:A,Inherited!D:D)))+(((100-(_xlfn.XLOOKUP(Assessment!H148,Inherited!A:A,Inherited!B:B)))/100)*IF(Y147="1. Non Compliant (0%)","0",IF(Y147="2. Somewhat Compliant (25%)","25",IF(Y147="3. Partially Compliant (50%)","50",IF(Y147="4. Mostly Compliant (75%)","75",IF(Y147="5. Fully Compliant (100%)","100"))))))&gt;=90,"100"))))))</f>
        <v>#N/A</v>
      </c>
      <c r="S147" s="1" t="e">
        <f>IF(MATCH(H147,Inherited!A:A),IF((((_xlfn.XLOOKUP(Assessment!H148,Inherited!A:A,Inherited!B:B))/100)*(_xlfn.XLOOKUP(Assessment!H148,Inherited!A:A,Inherited!E:E)))+(((100-(_xlfn.XLOOKUP(Assessment!H148,Inherited!A:A,Inherited!B:B)))/100)*IF(Z147="1.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(100%)","100"))))))&lt;=10,"0", IF(AND((((_xlfn.XLOOKUP(Assessment!H148,Inherited!A:A,Inherited!B:B))/100)*(_xlfn.XLOOKUP(Assessment!H148,Inherited!A:A,Inherited!E:E)))+(((100-(_xlfn.XLOOKUP(Assessment!H148,Inherited!A:A,Inherited!B:B)))/100)*IF(Z147="1.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(100%)","100"))))))&gt;=11,(((_xlfn.XLOOKUP(Assessment!H148,Inherited!A:A,Inherited!B:B))/100)*(_xlfn.XLOOKUP(Assessment!H148,Inherited!A:A,Inherited!E:E)))+(((100-(_xlfn.XLOOKUP(Assessment!H148,Inherited!A:A,Inherited!B:B)))/100)*IF(Z147="1.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(100%)","100"))))))&lt;=32),"25",IF(AND((((_xlfn.XLOOKUP(Assessment!H148,Inherited!A:A,Inherited!B:B))/100)*(_xlfn.XLOOKUP(Assessment!H148,Inherited!A:A,Inherited!E:E)))+(((100-(_xlfn.XLOOKUP(Assessment!H148,Inherited!A:A,Inherited!B:B)))/100)*IF(Z147="1.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(100%)","100"))))))&gt;=33,(((_xlfn.XLOOKUP(Assessment!H148,Inherited!A:A,Inherited!B:B))/100)*(_xlfn.XLOOKUP(Assessment!H148,Inherited!A:A,Inherited!E:E)))+(((100-(_xlfn.XLOOKUP(Assessment!H148,Inherited!A:A,Inherited!B:B)))/100)*IF(Z147="1.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(100%)","100"))))))&lt;=65),"50",IF(AND((((_xlfn.XLOOKUP(Assessment!H148,Inherited!A:A,Inherited!B:B))/100)*(_xlfn.XLOOKUP(Assessment!H148,Inherited!A:A,Inherited!E:E)))+(((100-(_xlfn.XLOOKUP(Assessment!H148,Inherited!A:A,Inherited!B:B)))/100)*IF(Z147="1.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(100%)","100"))))))&gt;=66,(((_xlfn.XLOOKUP(Assessment!H148,Inherited!A:A,Inherited!B:B))/100)*(_xlfn.XLOOKUP(Assessment!H148,Inherited!A:A,Inherited!E:E)))+(((100-(_xlfn.XLOOKUP(Assessment!H148,Inherited!A:A,Inherited!B:B)))/100)*IF(Z147="1.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(100%)","100"))))))&lt;=89),"75",IF((((_xlfn.XLOOKUP(Assessment!H148,Inherited!A:A,Inherited!B:B))/100)*(_xlfn.XLOOKUP(Assessment!H148,Inherited!A:A,Inherited!E:E)))+(((100-(_xlfn.XLOOKUP(Assessment!H148,Inherited!A:A,Inherited!B:B)))/100)*IF(Z147="1. Non Compliant (0%)","0",IF(Z147="2. Somewhat Compliant (25%)","25",IF(Z147="3. Partially Compliant (50%)","50",IF(Z147="4. Mostly Compliant (75%)","75",IF(Z147="5. Fully Compliant (100%)","100"))))))&gt;=90,"100"))))))</f>
        <v>#N/A</v>
      </c>
      <c r="T147" s="1" t="e">
        <f>IF(MATCH(H147,Inherited!A:A),IF((((_xlfn.XLOOKUP(Assessment!H148,Inherited!A:A,Inherited!B:B))/100)*(_xlfn.XLOOKUP(Assessment!H148,Inherited!A:A,Inherited!F:F)))+(((100-(_xlfn.XLOOKUP(Assessment!H148,Inherited!A:A,Inherited!B:B)))/100)*IF(AA147="1.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(100%)","100"))))))&lt;=10,"0", IF(AND((((_xlfn.XLOOKUP(Assessment!H148,Inherited!A:A,Inherited!B:B))/100)*(_xlfn.XLOOKUP(Assessment!H148,Inherited!A:A,Inherited!F:F)))+(((100-(_xlfn.XLOOKUP(Assessment!H148,Inherited!A:A,Inherited!B:B)))/100)*IF(AA147="1.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(100%)","100"))))))&gt;=11,(((_xlfn.XLOOKUP(Assessment!H148,Inherited!A:A,Inherited!B:B))/100)*(_xlfn.XLOOKUP(Assessment!H148,Inherited!A:A,Inherited!F:F)))+(((100-(_xlfn.XLOOKUP(Assessment!H148,Inherited!A:A,Inherited!B:B)))/100)*IF(AA147="1.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(100%)","100"))))))&lt;=32),"25",IF(AND((((_xlfn.XLOOKUP(Assessment!H148,Inherited!A:A,Inherited!B:B))/100)*(_xlfn.XLOOKUP(Assessment!H148,Inherited!A:A,Inherited!F:F)))+(((100-(_xlfn.XLOOKUP(Assessment!H148,Inherited!A:A,Inherited!B:B)))/100)*IF(AA147="1.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(100%)","100"))))))&gt;=33,(((_xlfn.XLOOKUP(Assessment!H148,Inherited!A:A,Inherited!B:B))/100)*(_xlfn.XLOOKUP(Assessment!H148,Inherited!A:A,Inherited!F:F)))+(((100-(_xlfn.XLOOKUP(Assessment!H148,Inherited!A:A,Inherited!B:B)))/100)*IF(AA147="1.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(100%)","100"))))))&lt;=65),"50",IF(AND((((_xlfn.XLOOKUP(Assessment!H148,Inherited!A:A,Inherited!B:B))/100)*(_xlfn.XLOOKUP(Assessment!H148,Inherited!A:A,Inherited!F:F)))+(((100-(_xlfn.XLOOKUP(Assessment!H148,Inherited!A:A,Inherited!B:B)))/100)*IF(AA147="1.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(100%)","100"))))))&gt;=66,(((_xlfn.XLOOKUP(Assessment!H148,Inherited!A:A,Inherited!B:B))/100)*(_xlfn.XLOOKUP(Assessment!H148,Inherited!A:A,Inherited!F:F)))+(((100-(_xlfn.XLOOKUP(Assessment!H148,Inherited!A:A,Inherited!B:B)))/100)*IF(AA147="1.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(100%)","100"))))))&lt;=89),"75",IF((((_xlfn.XLOOKUP(Assessment!H148,Inherited!A:A,Inherited!B:B))/100)*(_xlfn.XLOOKUP(Assessment!H148,Inherited!A:A,Inherited!F:F)))+(((100-(_xlfn.XLOOKUP(Assessment!H148,Inherited!A:A,Inherited!B:B)))/100)*IF(AA147="1. Non Compliant (0%)","0",IF(AA147="2. Somewhat Compliant (25%)","25",IF(AA147="3. Partially Compliant (50%)","50",IF(AA147="4. Mostly Compliant (75%)","75",IF(AA147="5. Fully Compliant (100%)","100"))))))&gt;=90,"100"))))))</f>
        <v>#N/A</v>
      </c>
      <c r="U147" s="1" t="e">
        <f>IF(MATCH(H147,Inherited!A:A),IF((((_xlfn.XLOOKUP(Assessment!H148,Inherited!A:A,Inherited!B:B))/100)*(_xlfn.XLOOKUP(Assessment!H148,Inherited!A:A,Inherited!G:G)))+(((100-(_xlfn.XLOOKUP(Assessment!H148,Inherited!A:A,Inherited!B:B)))/100)*IF(AB147="1.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(100%)","100"))))))&lt;=10,"0", IF(AND((((_xlfn.XLOOKUP(Assessment!H148,Inherited!A:A,Inherited!B:B))/100)*(_xlfn.XLOOKUP(Assessment!H148,Inherited!A:A,Inherited!G:G)))+(((100-(_xlfn.XLOOKUP(Assessment!H148,Inherited!A:A,Inherited!B:B)))/100)*IF(AB147="1.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(100%)","100"))))))&gt;=11,(((_xlfn.XLOOKUP(Assessment!H148,Inherited!A:A,Inherited!B:B))/100)*(_xlfn.XLOOKUP(Assessment!H148,Inherited!A:A,Inherited!G:G)))+(((100-(_xlfn.XLOOKUP(Assessment!H148,Inherited!A:A,Inherited!B:B)))/100)*IF(AB147="1.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(100%)","100"))))))&lt;=32),"25",IF(AND((((_xlfn.XLOOKUP(Assessment!H148,Inherited!A:A,Inherited!B:B))/100)*(_xlfn.XLOOKUP(Assessment!H148,Inherited!A:A,Inherited!G:G)))+(((100-(_xlfn.XLOOKUP(Assessment!H148,Inherited!A:A,Inherited!B:B)))/100)*IF(AB147="1.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(100%)","100"))))))&gt;=33,(((_xlfn.XLOOKUP(Assessment!H148,Inherited!A:A,Inherited!B:B))/100)*(_xlfn.XLOOKUP(Assessment!H148,Inherited!A:A,Inherited!G:G)))+(((100-(_xlfn.XLOOKUP(Assessment!H148,Inherited!A:A,Inherited!B:B)))/100)*IF(AB147="1.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(100%)","100"))))))&lt;=65),"50",IF(AND((((_xlfn.XLOOKUP(Assessment!H148,Inherited!A:A,Inherited!B:B))/100)*(_xlfn.XLOOKUP(Assessment!H148,Inherited!A:A,Inherited!G:G)))+(((100-(_xlfn.XLOOKUP(Assessment!H148,Inherited!A:A,Inherited!B:B)))/100)*IF(AB147="1.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(100%)","100"))))))&gt;=66,(((_xlfn.XLOOKUP(Assessment!H148,Inherited!A:A,Inherited!B:B))/100)*(_xlfn.XLOOKUP(Assessment!H148,Inherited!A:A,Inherited!G:G)))+(((100-(_xlfn.XLOOKUP(Assessment!H148,Inherited!A:A,Inherited!B:B)))/100)*IF(AB147="1.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(100%)","100"))))))&lt;=89),"75",IF((((_xlfn.XLOOKUP(Assessment!H148,Inherited!A:A,Inherited!B:B))/100)*(_xlfn.XLOOKUP(Assessment!H148,Inherited!A:A,Inherited!G:G)))+(((100-(_xlfn.XLOOKUP(Assessment!H148,Inherited!A:A,Inherited!B:B)))/100)*IF(AB147="1. Non Compliant (0%)","0",IF(AB147="2. Somewhat Compliant (25%)","25",IF(AB147="3. Partially Compliant (50%)","50",IF(AB147="4. Mostly Compliant (75%)","75",IF(AB147="5. Fully Compliant (100%)","100"))))))&gt;=90,"100"))))))</f>
        <v>#N/A</v>
      </c>
      <c r="V147" s="55" t="s">
        <v>85</v>
      </c>
      <c r="W147" s="55"/>
      <c r="X147" s="55"/>
      <c r="Y147" s="55"/>
      <c r="Z147" s="55" t="s">
        <v>10873</v>
      </c>
      <c r="AA147" s="55"/>
      <c r="AB147" s="55"/>
      <c r="AK147" s="1" t="s">
        <v>10978</v>
      </c>
      <c r="AL147" s="1" t="s">
        <v>11010</v>
      </c>
      <c r="AP147" s="1" t="s">
        <v>11108</v>
      </c>
      <c r="AX147" s="3" t="str">
        <f>_xlfn.CONCAT("A-LIGN finished its review of this control on ",AR147, " during the scheduled fieldwork window (",Intro!$B$4,")."&amp; CHAR(10)&amp; CHAR(10))</f>
        <v xml:space="preserve">A-LIGN finished its review of this control on  during the scheduled fieldwork window (Fieldwork: xx/xx/xxxx - xx/xx/xxxx).
</v>
      </c>
      <c r="AY147" s="3" t="str">
        <f t="shared" si="311"/>
        <v/>
      </c>
      <c r="AZ147" s="3" t="str">
        <f t="shared" si="312"/>
        <v/>
      </c>
      <c r="BA147" s="3" t="str">
        <f t="shared" si="313"/>
        <v/>
      </c>
      <c r="BB147"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47" s="3" t="str">
        <f t="shared" si="315"/>
        <v/>
      </c>
      <c r="BD147"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includes knowledge and views of stakeholders
- includes best available information from collaborative efforts
- includes inquiry from supplemental groups (as required)
</v>
      </c>
      <c r="BE147" s="3" t="str">
        <f t="shared" si="317"/>
        <v/>
      </c>
      <c r="BF147" s="3" t="str">
        <f t="shared" si="318"/>
        <v/>
      </c>
      <c r="BG147" s="3" t="str">
        <f>_xlfn.CONCAT((IF((COUNTIF('Sample Tables'!B:B,"Test 124: Information Security (risk assessment)")&gt;0)=TRUE,_xlfn.CONCAT("Sample test results are documented in ",'Sample Tables'!B1360," [",'Sample Tables'!B1361,", ",'Sample Tables'!B1362,", ",'Sample Tables'!B1363,", ",'Sample Tables'!B1364,", ",'Sample Tables'!B1365,"]."&amp;CHAR(10)),IF((COUNTIF('Sample Tables'!B:B,"Test 124: Information Security (risk assessment)")&gt;0)=FALSE,""))),)</f>
        <v xml:space="preserve">Sample test results are documented in Test 124: Information Security (risk assessment) [Population Source/Tool: , Population Date Range: , Population Size: , Sample Methodology: , Sample Size: ].
</v>
      </c>
      <c r="BH147"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includes knowledge and views of stakeholders
- includes best available information from collaborative efforts
- includes inquiry from supplemental groups (as required)
Sample test results are documented in Test 124: Information Security (risk assessment) [Population Source/Tool: , Population Date Range: , Population Size: , Sample Methodology: , Sample Size: ].
</v>
      </c>
    </row>
    <row r="148" spans="3:60" ht="409.5" x14ac:dyDescent="0.35">
      <c r="C148" s="1">
        <f t="shared" si="310"/>
        <v>0</v>
      </c>
      <c r="D148" s="5" t="str">
        <f>IF(AND((_xlfn.XLOOKUP(J148,'Fields &amp; Revisions'!$H:$H,'Fields &amp; Revisions'!$I:$I))&lt;70.99,(OR(Z148="4. Mostly Compliant (75%)",Z148="3. Partially Compliant (50%)",Z148="2. Somewhat Compliant (25%)",Z148="1. Non Compliant (0%)"))),"Yes","No")</f>
        <v>Yes</v>
      </c>
      <c r="E148" s="5" t="str">
        <f>IF(ISERROR(VLOOKUP(H148,Scope!A:A,1,FALSE)),"No","Yes")</f>
        <v>Yes</v>
      </c>
      <c r="F148" s="1" t="s">
        <v>4666</v>
      </c>
      <c r="G148" s="53" t="s">
        <v>4737</v>
      </c>
      <c r="H148" s="53" t="s">
        <v>4738</v>
      </c>
      <c r="I148" s="5" t="s">
        <v>242</v>
      </c>
      <c r="J148" s="1" t="s">
        <v>226</v>
      </c>
      <c r="K148" s="54" t="s">
        <v>4739</v>
      </c>
      <c r="L148" s="1" t="s">
        <v>4740</v>
      </c>
      <c r="M148" s="1" t="s">
        <v>4741</v>
      </c>
      <c r="N148" s="5" t="s">
        <v>98</v>
      </c>
      <c r="O148" s="1" t="str">
        <f>_xlfn.XLOOKUP(G148,SRMs!$A:$A,SRMs!$D:$D)</f>
        <v>NO INHERITANCE</v>
      </c>
      <c r="P148" s="1" t="str">
        <f>IFERROR(VLOOKUP(H148,Inherited!A:B,2,FALSE),"")</f>
        <v/>
      </c>
      <c r="Q148" s="1" t="e">
        <f>IF(MATCH(H148,Inherited!A:A),IF((((_xlfn.XLOOKUP(Assessment!H149,Inherited!A:A,Inherited!B:B))/100)*(_xlfn.XLOOKUP(Assessment!H149,Inherited!A:A,Inherited!C:C)))+(((100-(_xlfn.XLOOKUP(Assessment!H149,Inherited!A:A,Inherited!B:B)))/100)*IF(X148="1.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(100%)","100"))))))&lt;=10,"0", IF(AND((((_xlfn.XLOOKUP(Assessment!H149,Inherited!A:A,Inherited!B:B))/100)*(_xlfn.XLOOKUP(Assessment!H149,Inherited!A:A,Inherited!C:C)))+(((100-(_xlfn.XLOOKUP(Assessment!H149,Inherited!A:A,Inherited!B:B)))/100)*IF(X148="1.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(100%)","100"))))))&gt;=11,(((_xlfn.XLOOKUP(Assessment!H149,Inherited!A:A,Inherited!B:B))/100)*(_xlfn.XLOOKUP(Assessment!H149,Inherited!A:A,Inherited!C:C)))+(((100-(_xlfn.XLOOKUP(Assessment!H149,Inherited!A:A,Inherited!B:B)))/100)*IF(X148="1.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(100%)","100"))))))&lt;=32),"25",IF(AND((((_xlfn.XLOOKUP(Assessment!H149,Inherited!A:A,Inherited!B:B))/100)*(_xlfn.XLOOKUP(Assessment!H149,Inherited!A:A,Inherited!C:C)))+(((100-(_xlfn.XLOOKUP(Assessment!H149,Inherited!A:A,Inherited!B:B)))/100)*IF(X148="1.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(100%)","100"))))))&gt;=33,(((_xlfn.XLOOKUP(Assessment!H149,Inherited!A:A,Inherited!B:B))/100)*(_xlfn.XLOOKUP(Assessment!H149,Inherited!A:A,Inherited!C:C)))+(((100-(_xlfn.XLOOKUP(Assessment!H149,Inherited!A:A,Inherited!B:B)))/100)*IF(X148="1.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(100%)","100"))))))&lt;=65),"50",IF(AND((((_xlfn.XLOOKUP(Assessment!H149,Inherited!A:A,Inherited!B:B))/100)*(_xlfn.XLOOKUP(Assessment!H149,Inherited!A:A,Inherited!C:C)))+(((100-(_xlfn.XLOOKUP(Assessment!H149,Inherited!A:A,Inherited!B:B)))/100)*IF(X148="1.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(100%)","100"))))))&gt;=66,(((_xlfn.XLOOKUP(Assessment!H149,Inherited!A:A,Inherited!B:B))/100)*(_xlfn.XLOOKUP(Assessment!H149,Inherited!A:A,Inherited!C:C)))+(((100-(_xlfn.XLOOKUP(Assessment!H149,Inherited!A:A,Inherited!B:B)))/100)*IF(X148="1.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(100%)","100"))))))&lt;=89),"75",IF((((_xlfn.XLOOKUP(Assessment!H149,Inherited!A:A,Inherited!B:B))/100)*(_xlfn.XLOOKUP(Assessment!H149,Inherited!A:A,Inherited!C:C)))+(((100-(_xlfn.XLOOKUP(Assessment!H149,Inherited!A:A,Inherited!B:B)))/100)*IF(X148="1. Non Compliant (0%)","0",IF(X148="2. Somewhat Compliant (25%)","25",IF(X148="3. Partially Compliant (50%)","50",IF(X148="4. Mostly Compliant (75%)","75",IF(X148="5. Fully Compliant (100%)","100"))))))&gt;=90,"100"))))))</f>
        <v>#N/A</v>
      </c>
      <c r="R148" s="1" t="e">
        <f>IF(MATCH(H148,Inherited!A:A),IF((((_xlfn.XLOOKUP(Assessment!H149,Inherited!A:A,Inherited!B:B))/100)*(_xlfn.XLOOKUP(Assessment!H149,Inherited!A:A,Inherited!D:D)))+(((100-(_xlfn.XLOOKUP(Assessment!H149,Inherited!A:A,Inherited!B:B)))/100)*IF(Y148="1.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(100%)","100"))))))&lt;=10,"0", IF(AND((((_xlfn.XLOOKUP(Assessment!H149,Inherited!A:A,Inherited!B:B))/100)*(_xlfn.XLOOKUP(Assessment!H149,Inherited!A:A,Inherited!D:D)))+(((100-(_xlfn.XLOOKUP(Assessment!H149,Inherited!A:A,Inherited!B:B)))/100)*IF(Y148="1.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(100%)","100"))))))&gt;=11,(((_xlfn.XLOOKUP(Assessment!H149,Inherited!A:A,Inherited!B:B))/100)*(_xlfn.XLOOKUP(Assessment!H149,Inherited!A:A,Inherited!D:D)))+(((100-(_xlfn.XLOOKUP(Assessment!H149,Inherited!A:A,Inherited!B:B)))/100)*IF(Y148="1.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(100%)","100"))))))&lt;=32),"25",IF(AND((((_xlfn.XLOOKUP(Assessment!H149,Inherited!A:A,Inherited!B:B))/100)*(_xlfn.XLOOKUP(Assessment!H149,Inherited!A:A,Inherited!D:D)))+(((100-(_xlfn.XLOOKUP(Assessment!H149,Inherited!A:A,Inherited!B:B)))/100)*IF(Y148="1.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(100%)","100"))))))&gt;=33,(((_xlfn.XLOOKUP(Assessment!H149,Inherited!A:A,Inherited!B:B))/100)*(_xlfn.XLOOKUP(Assessment!H149,Inherited!A:A,Inherited!D:D)))+(((100-(_xlfn.XLOOKUP(Assessment!H149,Inherited!A:A,Inherited!B:B)))/100)*IF(Y148="1.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(100%)","100"))))))&lt;=65),"50",IF(AND((((_xlfn.XLOOKUP(Assessment!H149,Inherited!A:A,Inherited!B:B))/100)*(_xlfn.XLOOKUP(Assessment!H149,Inherited!A:A,Inherited!D:D)))+(((100-(_xlfn.XLOOKUP(Assessment!H149,Inherited!A:A,Inherited!B:B)))/100)*IF(Y148="1.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(100%)","100"))))))&gt;=66,(((_xlfn.XLOOKUP(Assessment!H149,Inherited!A:A,Inherited!B:B))/100)*(_xlfn.XLOOKUP(Assessment!H149,Inherited!A:A,Inherited!D:D)))+(((100-(_xlfn.XLOOKUP(Assessment!H149,Inherited!A:A,Inherited!B:B)))/100)*IF(Y148="1.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(100%)","100"))))))&lt;=89),"75",IF((((_xlfn.XLOOKUP(Assessment!H149,Inherited!A:A,Inherited!B:B))/100)*(_xlfn.XLOOKUP(Assessment!H149,Inherited!A:A,Inherited!D:D)))+(((100-(_xlfn.XLOOKUP(Assessment!H149,Inherited!A:A,Inherited!B:B)))/100)*IF(Y148="1. Non Compliant (0%)","0",IF(Y148="2. Somewhat Compliant (25%)","25",IF(Y148="3. Partially Compliant (50%)","50",IF(Y148="4. Mostly Compliant (75%)","75",IF(Y148="5. Fully Compliant (100%)","100"))))))&gt;=90,"100"))))))</f>
        <v>#N/A</v>
      </c>
      <c r="S148" s="1" t="e">
        <f>IF(MATCH(H148,Inherited!A:A),IF((((_xlfn.XLOOKUP(Assessment!H149,Inherited!A:A,Inherited!B:B))/100)*(_xlfn.XLOOKUP(Assessment!H149,Inherited!A:A,Inherited!E:E)))+(((100-(_xlfn.XLOOKUP(Assessment!H149,Inherited!A:A,Inherited!B:B)))/100)*IF(Z148="1.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(100%)","100"))))))&lt;=10,"0", IF(AND((((_xlfn.XLOOKUP(Assessment!H149,Inherited!A:A,Inherited!B:B))/100)*(_xlfn.XLOOKUP(Assessment!H149,Inherited!A:A,Inherited!E:E)))+(((100-(_xlfn.XLOOKUP(Assessment!H149,Inherited!A:A,Inherited!B:B)))/100)*IF(Z148="1.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(100%)","100"))))))&gt;=11,(((_xlfn.XLOOKUP(Assessment!H149,Inherited!A:A,Inherited!B:B))/100)*(_xlfn.XLOOKUP(Assessment!H149,Inherited!A:A,Inherited!E:E)))+(((100-(_xlfn.XLOOKUP(Assessment!H149,Inherited!A:A,Inherited!B:B)))/100)*IF(Z148="1.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(100%)","100"))))))&lt;=32),"25",IF(AND((((_xlfn.XLOOKUP(Assessment!H149,Inherited!A:A,Inherited!B:B))/100)*(_xlfn.XLOOKUP(Assessment!H149,Inherited!A:A,Inherited!E:E)))+(((100-(_xlfn.XLOOKUP(Assessment!H149,Inherited!A:A,Inherited!B:B)))/100)*IF(Z148="1.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(100%)","100"))))))&gt;=33,(((_xlfn.XLOOKUP(Assessment!H149,Inherited!A:A,Inherited!B:B))/100)*(_xlfn.XLOOKUP(Assessment!H149,Inherited!A:A,Inherited!E:E)))+(((100-(_xlfn.XLOOKUP(Assessment!H149,Inherited!A:A,Inherited!B:B)))/100)*IF(Z148="1.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(100%)","100"))))))&lt;=65),"50",IF(AND((((_xlfn.XLOOKUP(Assessment!H149,Inherited!A:A,Inherited!B:B))/100)*(_xlfn.XLOOKUP(Assessment!H149,Inherited!A:A,Inherited!E:E)))+(((100-(_xlfn.XLOOKUP(Assessment!H149,Inherited!A:A,Inherited!B:B)))/100)*IF(Z148="1.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(100%)","100"))))))&gt;=66,(((_xlfn.XLOOKUP(Assessment!H149,Inherited!A:A,Inherited!B:B))/100)*(_xlfn.XLOOKUP(Assessment!H149,Inherited!A:A,Inherited!E:E)))+(((100-(_xlfn.XLOOKUP(Assessment!H149,Inherited!A:A,Inherited!B:B)))/100)*IF(Z148="1.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(100%)","100"))))))&lt;=89),"75",IF((((_xlfn.XLOOKUP(Assessment!H149,Inherited!A:A,Inherited!B:B))/100)*(_xlfn.XLOOKUP(Assessment!H149,Inherited!A:A,Inherited!E:E)))+(((100-(_xlfn.XLOOKUP(Assessment!H149,Inherited!A:A,Inherited!B:B)))/100)*IF(Z148="1. Non Compliant (0%)","0",IF(Z148="2. Somewhat Compliant (25%)","25",IF(Z148="3. Partially Compliant (50%)","50",IF(Z148="4. Mostly Compliant (75%)","75",IF(Z148="5. Fully Compliant (100%)","100"))))))&gt;=90,"100"))))))</f>
        <v>#N/A</v>
      </c>
      <c r="T148" s="1" t="e">
        <f>IF(MATCH(H148,Inherited!A:A),IF((((_xlfn.XLOOKUP(Assessment!H149,Inherited!A:A,Inherited!B:B))/100)*(_xlfn.XLOOKUP(Assessment!H149,Inherited!A:A,Inherited!F:F)))+(((100-(_xlfn.XLOOKUP(Assessment!H149,Inherited!A:A,Inherited!B:B)))/100)*IF(AA148="1.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(100%)","100"))))))&lt;=10,"0", IF(AND((((_xlfn.XLOOKUP(Assessment!H149,Inherited!A:A,Inherited!B:B))/100)*(_xlfn.XLOOKUP(Assessment!H149,Inherited!A:A,Inherited!F:F)))+(((100-(_xlfn.XLOOKUP(Assessment!H149,Inherited!A:A,Inherited!B:B)))/100)*IF(AA148="1.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(100%)","100"))))))&gt;=11,(((_xlfn.XLOOKUP(Assessment!H149,Inherited!A:A,Inherited!B:B))/100)*(_xlfn.XLOOKUP(Assessment!H149,Inherited!A:A,Inherited!F:F)))+(((100-(_xlfn.XLOOKUP(Assessment!H149,Inherited!A:A,Inherited!B:B)))/100)*IF(AA148="1.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(100%)","100"))))))&lt;=32),"25",IF(AND((((_xlfn.XLOOKUP(Assessment!H149,Inherited!A:A,Inherited!B:B))/100)*(_xlfn.XLOOKUP(Assessment!H149,Inherited!A:A,Inherited!F:F)))+(((100-(_xlfn.XLOOKUP(Assessment!H149,Inherited!A:A,Inherited!B:B)))/100)*IF(AA148="1.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(100%)","100"))))))&gt;=33,(((_xlfn.XLOOKUP(Assessment!H149,Inherited!A:A,Inherited!B:B))/100)*(_xlfn.XLOOKUP(Assessment!H149,Inherited!A:A,Inherited!F:F)))+(((100-(_xlfn.XLOOKUP(Assessment!H149,Inherited!A:A,Inherited!B:B)))/100)*IF(AA148="1.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(100%)","100"))))))&lt;=65),"50",IF(AND((((_xlfn.XLOOKUP(Assessment!H149,Inherited!A:A,Inherited!B:B))/100)*(_xlfn.XLOOKUP(Assessment!H149,Inherited!A:A,Inherited!F:F)))+(((100-(_xlfn.XLOOKUP(Assessment!H149,Inherited!A:A,Inherited!B:B)))/100)*IF(AA148="1.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(100%)","100"))))))&gt;=66,(((_xlfn.XLOOKUP(Assessment!H149,Inherited!A:A,Inherited!B:B))/100)*(_xlfn.XLOOKUP(Assessment!H149,Inherited!A:A,Inherited!F:F)))+(((100-(_xlfn.XLOOKUP(Assessment!H149,Inherited!A:A,Inherited!B:B)))/100)*IF(AA148="1.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(100%)","100"))))))&lt;=89),"75",IF((((_xlfn.XLOOKUP(Assessment!H149,Inherited!A:A,Inherited!B:B))/100)*(_xlfn.XLOOKUP(Assessment!H149,Inherited!A:A,Inherited!F:F)))+(((100-(_xlfn.XLOOKUP(Assessment!H149,Inherited!A:A,Inherited!B:B)))/100)*IF(AA148="1. Non Compliant (0%)","0",IF(AA148="2. Somewhat Compliant (25%)","25",IF(AA148="3. Partially Compliant (50%)","50",IF(AA148="4. Mostly Compliant (75%)","75",IF(AA148="5. Fully Compliant (100%)","100"))))))&gt;=90,"100"))))))</f>
        <v>#N/A</v>
      </c>
      <c r="U148" s="1" t="e">
        <f>IF(MATCH(H148,Inherited!A:A),IF((((_xlfn.XLOOKUP(Assessment!H149,Inherited!A:A,Inherited!B:B))/100)*(_xlfn.XLOOKUP(Assessment!H149,Inherited!A:A,Inherited!G:G)))+(((100-(_xlfn.XLOOKUP(Assessment!H149,Inherited!A:A,Inherited!B:B)))/100)*IF(AB148="1.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(100%)","100"))))))&lt;=10,"0", IF(AND((((_xlfn.XLOOKUP(Assessment!H149,Inherited!A:A,Inherited!B:B))/100)*(_xlfn.XLOOKUP(Assessment!H149,Inherited!A:A,Inherited!G:G)))+(((100-(_xlfn.XLOOKUP(Assessment!H149,Inherited!A:A,Inherited!B:B)))/100)*IF(AB148="1.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(100%)","100"))))))&gt;=11,(((_xlfn.XLOOKUP(Assessment!H149,Inherited!A:A,Inherited!B:B))/100)*(_xlfn.XLOOKUP(Assessment!H149,Inherited!A:A,Inherited!G:G)))+(((100-(_xlfn.XLOOKUP(Assessment!H149,Inherited!A:A,Inherited!B:B)))/100)*IF(AB148="1.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(100%)","100"))))))&lt;=32),"25",IF(AND((((_xlfn.XLOOKUP(Assessment!H149,Inherited!A:A,Inherited!B:B))/100)*(_xlfn.XLOOKUP(Assessment!H149,Inherited!A:A,Inherited!G:G)))+(((100-(_xlfn.XLOOKUP(Assessment!H149,Inherited!A:A,Inherited!B:B)))/100)*IF(AB148="1.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(100%)","100"))))))&gt;=33,(((_xlfn.XLOOKUP(Assessment!H149,Inherited!A:A,Inherited!B:B))/100)*(_xlfn.XLOOKUP(Assessment!H149,Inherited!A:A,Inherited!G:G)))+(((100-(_xlfn.XLOOKUP(Assessment!H149,Inherited!A:A,Inherited!B:B)))/100)*IF(AB148="1.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(100%)","100"))))))&lt;=65),"50",IF(AND((((_xlfn.XLOOKUP(Assessment!H149,Inherited!A:A,Inherited!B:B))/100)*(_xlfn.XLOOKUP(Assessment!H149,Inherited!A:A,Inherited!G:G)))+(((100-(_xlfn.XLOOKUP(Assessment!H149,Inherited!A:A,Inherited!B:B)))/100)*IF(AB148="1.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(100%)","100"))))))&gt;=66,(((_xlfn.XLOOKUP(Assessment!H149,Inherited!A:A,Inherited!B:B))/100)*(_xlfn.XLOOKUP(Assessment!H149,Inherited!A:A,Inherited!G:G)))+(((100-(_xlfn.XLOOKUP(Assessment!H149,Inherited!A:A,Inherited!B:B)))/100)*IF(AB148="1.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(100%)","100"))))))&lt;=89),"75",IF((((_xlfn.XLOOKUP(Assessment!H149,Inherited!A:A,Inherited!B:B))/100)*(_xlfn.XLOOKUP(Assessment!H149,Inherited!A:A,Inherited!G:G)))+(((100-(_xlfn.XLOOKUP(Assessment!H149,Inherited!A:A,Inherited!B:B)))/100)*IF(AB148="1. Non Compliant (0%)","0",IF(AB148="2. Somewhat Compliant (25%)","25",IF(AB148="3. Partially Compliant (50%)","50",IF(AB148="4. Mostly Compliant (75%)","75",IF(AB148="5. Fully Compliant (100%)","100"))))))&gt;=90,"100"))))))</f>
        <v>#N/A</v>
      </c>
      <c r="V148" s="55" t="s">
        <v>85</v>
      </c>
      <c r="W148" s="55"/>
      <c r="X148" s="55"/>
      <c r="Y148" s="55"/>
      <c r="Z148" s="55" t="s">
        <v>10873</v>
      </c>
      <c r="AA148" s="55"/>
      <c r="AB148" s="55"/>
      <c r="AK148" s="1" t="s">
        <v>10978</v>
      </c>
      <c r="AL148" s="1" t="s">
        <v>11010</v>
      </c>
      <c r="AP148" s="1" t="s">
        <v>11109</v>
      </c>
      <c r="AX148" s="3" t="str">
        <f>_xlfn.CONCAT("A-LIGN finished its review of this control on ",AR148, " during the scheduled fieldwork window (",Intro!$B$4,")."&amp; CHAR(10)&amp; CHAR(10))</f>
        <v xml:space="preserve">A-LIGN finished its review of this control on  during the scheduled fieldwork window (Fieldwork: xx/xx/xxxx - xx/xx/xxxx).
</v>
      </c>
      <c r="AY148" s="3" t="str">
        <f t="shared" si="311"/>
        <v/>
      </c>
      <c r="AZ148" s="3" t="str">
        <f t="shared" si="312"/>
        <v/>
      </c>
      <c r="BA148" s="3" t="str">
        <f t="shared" si="313"/>
        <v/>
      </c>
      <c r="BB148"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48" s="3" t="str">
        <f t="shared" si="315"/>
        <v/>
      </c>
      <c r="BD148"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plan defines jobs with risk management authority, responsibility, and/or accountability
- plan assignments communicated across the organization
</v>
      </c>
      <c r="BE148" s="3" t="str">
        <f t="shared" si="317"/>
        <v/>
      </c>
      <c r="BF148" s="3" t="str">
        <f t="shared" si="318"/>
        <v/>
      </c>
      <c r="BG148" s="3" t="str">
        <f>_xlfn.CONCAT((IF((COUNTIF('Sample Tables'!B:B,"")&gt;0)=TRUE,_xlfn.CONCAT("",""),IF((COUNTIF('Sample Tables'!B:B,"")&gt;0)=FALSE,""))),)</f>
        <v/>
      </c>
      <c r="BH148"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plan defines jobs with risk management authority, responsibility, and/or accountability
- plan assignments communicated across the organization
</v>
      </c>
    </row>
    <row r="149" spans="3:60" ht="409.5" x14ac:dyDescent="0.35">
      <c r="C149" s="1">
        <f t="shared" si="310"/>
        <v>0</v>
      </c>
      <c r="D149" s="5" t="str">
        <f>IF(AND((_xlfn.XLOOKUP(J149,'Fields &amp; Revisions'!$H:$H,'Fields &amp; Revisions'!$I:$I))&lt;70.99,(OR(Z149="4. Mostly Compliant (75%)",Z149="3. Partially Compliant (50%)",Z149="2. Somewhat Compliant (25%)",Z149="1. Non Compliant (0%)"))),"Yes","No")</f>
        <v>Yes</v>
      </c>
      <c r="E149" s="5" t="str">
        <f>IF(ISERROR(VLOOKUP(H149,Scope!A:A,1,FALSE)),"No","Yes")</f>
        <v>Yes</v>
      </c>
      <c r="F149" s="1" t="s">
        <v>4666</v>
      </c>
      <c r="G149" s="53" t="s">
        <v>4742</v>
      </c>
      <c r="H149" s="53" t="s">
        <v>4743</v>
      </c>
      <c r="I149" s="5" t="s">
        <v>242</v>
      </c>
      <c r="J149" s="1" t="s">
        <v>226</v>
      </c>
      <c r="K149" s="54" t="s">
        <v>4744</v>
      </c>
      <c r="L149" s="1" t="s">
        <v>4745</v>
      </c>
      <c r="M149" s="1" t="s">
        <v>4746</v>
      </c>
      <c r="N149" s="5" t="s">
        <v>98</v>
      </c>
      <c r="O149" s="1" t="str">
        <f>_xlfn.XLOOKUP(G149,SRMs!$A:$A,SRMs!$D:$D)</f>
        <v>NO INHERITANCE</v>
      </c>
      <c r="P149" s="1" t="str">
        <f>IFERROR(VLOOKUP(H149,Inherited!A:B,2,FALSE),"")</f>
        <v/>
      </c>
      <c r="Q149" s="1" t="e">
        <f>IF(MATCH(H149,Inherited!A:A),IF((((_xlfn.XLOOKUP(Assessment!H150,Inherited!A:A,Inherited!B:B))/100)*(_xlfn.XLOOKUP(Assessment!H150,Inherited!A:A,Inherited!C:C)))+(((100-(_xlfn.XLOOKUP(Assessment!H150,Inherited!A:A,Inherited!B:B)))/100)*IF(X149="1.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(100%)","100"))))))&lt;=10,"0", IF(AND((((_xlfn.XLOOKUP(Assessment!H150,Inherited!A:A,Inherited!B:B))/100)*(_xlfn.XLOOKUP(Assessment!H150,Inherited!A:A,Inherited!C:C)))+(((100-(_xlfn.XLOOKUP(Assessment!H150,Inherited!A:A,Inherited!B:B)))/100)*IF(X149="1.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(100%)","100"))))))&gt;=11,(((_xlfn.XLOOKUP(Assessment!H150,Inherited!A:A,Inherited!B:B))/100)*(_xlfn.XLOOKUP(Assessment!H150,Inherited!A:A,Inherited!C:C)))+(((100-(_xlfn.XLOOKUP(Assessment!H150,Inherited!A:A,Inherited!B:B)))/100)*IF(X149="1.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(100%)","100"))))))&lt;=32),"25",IF(AND((((_xlfn.XLOOKUP(Assessment!H150,Inherited!A:A,Inherited!B:B))/100)*(_xlfn.XLOOKUP(Assessment!H150,Inherited!A:A,Inherited!C:C)))+(((100-(_xlfn.XLOOKUP(Assessment!H150,Inherited!A:A,Inherited!B:B)))/100)*IF(X149="1.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(100%)","100"))))))&gt;=33,(((_xlfn.XLOOKUP(Assessment!H150,Inherited!A:A,Inherited!B:B))/100)*(_xlfn.XLOOKUP(Assessment!H150,Inherited!A:A,Inherited!C:C)))+(((100-(_xlfn.XLOOKUP(Assessment!H150,Inherited!A:A,Inherited!B:B)))/100)*IF(X149="1.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(100%)","100"))))))&lt;=65),"50",IF(AND((((_xlfn.XLOOKUP(Assessment!H150,Inherited!A:A,Inherited!B:B))/100)*(_xlfn.XLOOKUP(Assessment!H150,Inherited!A:A,Inherited!C:C)))+(((100-(_xlfn.XLOOKUP(Assessment!H150,Inherited!A:A,Inherited!B:B)))/100)*IF(X149="1.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(100%)","100"))))))&gt;=66,(((_xlfn.XLOOKUP(Assessment!H150,Inherited!A:A,Inherited!B:B))/100)*(_xlfn.XLOOKUP(Assessment!H150,Inherited!A:A,Inherited!C:C)))+(((100-(_xlfn.XLOOKUP(Assessment!H150,Inherited!A:A,Inherited!B:B)))/100)*IF(X149="1.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(100%)","100"))))))&lt;=89),"75",IF((((_xlfn.XLOOKUP(Assessment!H150,Inherited!A:A,Inherited!B:B))/100)*(_xlfn.XLOOKUP(Assessment!H150,Inherited!A:A,Inherited!C:C)))+(((100-(_xlfn.XLOOKUP(Assessment!H150,Inherited!A:A,Inherited!B:B)))/100)*IF(X149="1. Non Compliant (0%)","0",IF(X149="2. Somewhat Compliant (25%)","25",IF(X149="3. Partially Compliant (50%)","50",IF(X149="4. Mostly Compliant (75%)","75",IF(X149="5. Fully Compliant (100%)","100"))))))&gt;=90,"100"))))))</f>
        <v>#N/A</v>
      </c>
      <c r="R149" s="1" t="e">
        <f>IF(MATCH(H149,Inherited!A:A),IF((((_xlfn.XLOOKUP(Assessment!H150,Inherited!A:A,Inherited!B:B))/100)*(_xlfn.XLOOKUP(Assessment!H150,Inherited!A:A,Inherited!D:D)))+(((100-(_xlfn.XLOOKUP(Assessment!H150,Inherited!A:A,Inherited!B:B)))/100)*IF(Y149="1.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(100%)","100"))))))&lt;=10,"0", IF(AND((((_xlfn.XLOOKUP(Assessment!H150,Inherited!A:A,Inherited!B:B))/100)*(_xlfn.XLOOKUP(Assessment!H150,Inherited!A:A,Inherited!D:D)))+(((100-(_xlfn.XLOOKUP(Assessment!H150,Inherited!A:A,Inherited!B:B)))/100)*IF(Y149="1.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(100%)","100"))))))&gt;=11,(((_xlfn.XLOOKUP(Assessment!H150,Inherited!A:A,Inherited!B:B))/100)*(_xlfn.XLOOKUP(Assessment!H150,Inherited!A:A,Inherited!D:D)))+(((100-(_xlfn.XLOOKUP(Assessment!H150,Inherited!A:A,Inherited!B:B)))/100)*IF(Y149="1.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(100%)","100"))))))&lt;=32),"25",IF(AND((((_xlfn.XLOOKUP(Assessment!H150,Inherited!A:A,Inherited!B:B))/100)*(_xlfn.XLOOKUP(Assessment!H150,Inherited!A:A,Inherited!D:D)))+(((100-(_xlfn.XLOOKUP(Assessment!H150,Inherited!A:A,Inherited!B:B)))/100)*IF(Y149="1.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(100%)","100"))))))&gt;=33,(((_xlfn.XLOOKUP(Assessment!H150,Inherited!A:A,Inherited!B:B))/100)*(_xlfn.XLOOKUP(Assessment!H150,Inherited!A:A,Inherited!D:D)))+(((100-(_xlfn.XLOOKUP(Assessment!H150,Inherited!A:A,Inherited!B:B)))/100)*IF(Y149="1.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(100%)","100"))))))&lt;=65),"50",IF(AND((((_xlfn.XLOOKUP(Assessment!H150,Inherited!A:A,Inherited!B:B))/100)*(_xlfn.XLOOKUP(Assessment!H150,Inherited!A:A,Inherited!D:D)))+(((100-(_xlfn.XLOOKUP(Assessment!H150,Inherited!A:A,Inherited!B:B)))/100)*IF(Y149="1.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(100%)","100"))))))&gt;=66,(((_xlfn.XLOOKUP(Assessment!H150,Inherited!A:A,Inherited!B:B))/100)*(_xlfn.XLOOKUP(Assessment!H150,Inherited!A:A,Inherited!D:D)))+(((100-(_xlfn.XLOOKUP(Assessment!H150,Inherited!A:A,Inherited!B:B)))/100)*IF(Y149="1.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(100%)","100"))))))&lt;=89),"75",IF((((_xlfn.XLOOKUP(Assessment!H150,Inherited!A:A,Inherited!B:B))/100)*(_xlfn.XLOOKUP(Assessment!H150,Inherited!A:A,Inherited!D:D)))+(((100-(_xlfn.XLOOKUP(Assessment!H150,Inherited!A:A,Inherited!B:B)))/100)*IF(Y149="1. Non Compliant (0%)","0",IF(Y149="2. Somewhat Compliant (25%)","25",IF(Y149="3. Partially Compliant (50%)","50",IF(Y149="4. Mostly Compliant (75%)","75",IF(Y149="5. Fully Compliant (100%)","100"))))))&gt;=90,"100"))))))</f>
        <v>#N/A</v>
      </c>
      <c r="S149" s="1" t="e">
        <f>IF(MATCH(H149,Inherited!A:A),IF((((_xlfn.XLOOKUP(Assessment!H150,Inherited!A:A,Inherited!B:B))/100)*(_xlfn.XLOOKUP(Assessment!H150,Inherited!A:A,Inherited!E:E)))+(((100-(_xlfn.XLOOKUP(Assessment!H150,Inherited!A:A,Inherited!B:B)))/100)*IF(Z149="1.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(100%)","100"))))))&lt;=10,"0", IF(AND((((_xlfn.XLOOKUP(Assessment!H150,Inherited!A:A,Inherited!B:B))/100)*(_xlfn.XLOOKUP(Assessment!H150,Inherited!A:A,Inherited!E:E)))+(((100-(_xlfn.XLOOKUP(Assessment!H150,Inherited!A:A,Inherited!B:B)))/100)*IF(Z149="1.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(100%)","100"))))))&gt;=11,(((_xlfn.XLOOKUP(Assessment!H150,Inherited!A:A,Inherited!B:B))/100)*(_xlfn.XLOOKUP(Assessment!H150,Inherited!A:A,Inherited!E:E)))+(((100-(_xlfn.XLOOKUP(Assessment!H150,Inherited!A:A,Inherited!B:B)))/100)*IF(Z149="1.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(100%)","100"))))))&lt;=32),"25",IF(AND((((_xlfn.XLOOKUP(Assessment!H150,Inherited!A:A,Inherited!B:B))/100)*(_xlfn.XLOOKUP(Assessment!H150,Inherited!A:A,Inherited!E:E)))+(((100-(_xlfn.XLOOKUP(Assessment!H150,Inherited!A:A,Inherited!B:B)))/100)*IF(Z149="1.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(100%)","100"))))))&gt;=33,(((_xlfn.XLOOKUP(Assessment!H150,Inherited!A:A,Inherited!B:B))/100)*(_xlfn.XLOOKUP(Assessment!H150,Inherited!A:A,Inherited!E:E)))+(((100-(_xlfn.XLOOKUP(Assessment!H150,Inherited!A:A,Inherited!B:B)))/100)*IF(Z149="1.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(100%)","100"))))))&lt;=65),"50",IF(AND((((_xlfn.XLOOKUP(Assessment!H150,Inherited!A:A,Inherited!B:B))/100)*(_xlfn.XLOOKUP(Assessment!H150,Inherited!A:A,Inherited!E:E)))+(((100-(_xlfn.XLOOKUP(Assessment!H150,Inherited!A:A,Inherited!B:B)))/100)*IF(Z149="1.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(100%)","100"))))))&gt;=66,(((_xlfn.XLOOKUP(Assessment!H150,Inherited!A:A,Inherited!B:B))/100)*(_xlfn.XLOOKUP(Assessment!H150,Inherited!A:A,Inherited!E:E)))+(((100-(_xlfn.XLOOKUP(Assessment!H150,Inherited!A:A,Inherited!B:B)))/100)*IF(Z149="1.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(100%)","100"))))))&lt;=89),"75",IF((((_xlfn.XLOOKUP(Assessment!H150,Inherited!A:A,Inherited!B:B))/100)*(_xlfn.XLOOKUP(Assessment!H150,Inherited!A:A,Inherited!E:E)))+(((100-(_xlfn.XLOOKUP(Assessment!H150,Inherited!A:A,Inherited!B:B)))/100)*IF(Z149="1. Non Compliant (0%)","0",IF(Z149="2. Somewhat Compliant (25%)","25",IF(Z149="3. Partially Compliant (50%)","50",IF(Z149="4. Mostly Compliant (75%)","75",IF(Z149="5. Fully Compliant (100%)","100"))))))&gt;=90,"100"))))))</f>
        <v>#N/A</v>
      </c>
      <c r="T149" s="1" t="e">
        <f>IF(MATCH(H149,Inherited!A:A),IF((((_xlfn.XLOOKUP(Assessment!H150,Inherited!A:A,Inherited!B:B))/100)*(_xlfn.XLOOKUP(Assessment!H150,Inherited!A:A,Inherited!F:F)))+(((100-(_xlfn.XLOOKUP(Assessment!H150,Inherited!A:A,Inherited!B:B)))/100)*IF(AA149="1.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(100%)","100"))))))&lt;=10,"0", IF(AND((((_xlfn.XLOOKUP(Assessment!H150,Inherited!A:A,Inherited!B:B))/100)*(_xlfn.XLOOKUP(Assessment!H150,Inherited!A:A,Inherited!F:F)))+(((100-(_xlfn.XLOOKUP(Assessment!H150,Inherited!A:A,Inherited!B:B)))/100)*IF(AA149="1.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(100%)","100"))))))&gt;=11,(((_xlfn.XLOOKUP(Assessment!H150,Inherited!A:A,Inherited!B:B))/100)*(_xlfn.XLOOKUP(Assessment!H150,Inherited!A:A,Inherited!F:F)))+(((100-(_xlfn.XLOOKUP(Assessment!H150,Inherited!A:A,Inherited!B:B)))/100)*IF(AA149="1.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(100%)","100"))))))&lt;=32),"25",IF(AND((((_xlfn.XLOOKUP(Assessment!H150,Inherited!A:A,Inherited!B:B))/100)*(_xlfn.XLOOKUP(Assessment!H150,Inherited!A:A,Inherited!F:F)))+(((100-(_xlfn.XLOOKUP(Assessment!H150,Inherited!A:A,Inherited!B:B)))/100)*IF(AA149="1.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(100%)","100"))))))&gt;=33,(((_xlfn.XLOOKUP(Assessment!H150,Inherited!A:A,Inherited!B:B))/100)*(_xlfn.XLOOKUP(Assessment!H150,Inherited!A:A,Inherited!F:F)))+(((100-(_xlfn.XLOOKUP(Assessment!H150,Inherited!A:A,Inherited!B:B)))/100)*IF(AA149="1.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(100%)","100"))))))&lt;=65),"50",IF(AND((((_xlfn.XLOOKUP(Assessment!H150,Inherited!A:A,Inherited!B:B))/100)*(_xlfn.XLOOKUP(Assessment!H150,Inherited!A:A,Inherited!F:F)))+(((100-(_xlfn.XLOOKUP(Assessment!H150,Inherited!A:A,Inherited!B:B)))/100)*IF(AA149="1.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(100%)","100"))))))&gt;=66,(((_xlfn.XLOOKUP(Assessment!H150,Inherited!A:A,Inherited!B:B))/100)*(_xlfn.XLOOKUP(Assessment!H150,Inherited!A:A,Inherited!F:F)))+(((100-(_xlfn.XLOOKUP(Assessment!H150,Inherited!A:A,Inherited!B:B)))/100)*IF(AA149="1.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(100%)","100"))))))&lt;=89),"75",IF((((_xlfn.XLOOKUP(Assessment!H150,Inherited!A:A,Inherited!B:B))/100)*(_xlfn.XLOOKUP(Assessment!H150,Inherited!A:A,Inherited!F:F)))+(((100-(_xlfn.XLOOKUP(Assessment!H150,Inherited!A:A,Inherited!B:B)))/100)*IF(AA149="1. Non Compliant (0%)","0",IF(AA149="2. Somewhat Compliant (25%)","25",IF(AA149="3. Partially Compliant (50%)","50",IF(AA149="4. Mostly Compliant (75%)","75",IF(AA149="5. Fully Compliant (100%)","100"))))))&gt;=90,"100"))))))</f>
        <v>#N/A</v>
      </c>
      <c r="U149" s="1" t="e">
        <f>IF(MATCH(H149,Inherited!A:A),IF((((_xlfn.XLOOKUP(Assessment!H150,Inherited!A:A,Inherited!B:B))/100)*(_xlfn.XLOOKUP(Assessment!H150,Inherited!A:A,Inherited!G:G)))+(((100-(_xlfn.XLOOKUP(Assessment!H150,Inherited!A:A,Inherited!B:B)))/100)*IF(AB149="1.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(100%)","100"))))))&lt;=10,"0", IF(AND((((_xlfn.XLOOKUP(Assessment!H150,Inherited!A:A,Inherited!B:B))/100)*(_xlfn.XLOOKUP(Assessment!H150,Inherited!A:A,Inherited!G:G)))+(((100-(_xlfn.XLOOKUP(Assessment!H150,Inherited!A:A,Inherited!B:B)))/100)*IF(AB149="1.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(100%)","100"))))))&gt;=11,(((_xlfn.XLOOKUP(Assessment!H150,Inherited!A:A,Inherited!B:B))/100)*(_xlfn.XLOOKUP(Assessment!H150,Inherited!A:A,Inherited!G:G)))+(((100-(_xlfn.XLOOKUP(Assessment!H150,Inherited!A:A,Inherited!B:B)))/100)*IF(AB149="1.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(100%)","100"))))))&lt;=32),"25",IF(AND((((_xlfn.XLOOKUP(Assessment!H150,Inherited!A:A,Inherited!B:B))/100)*(_xlfn.XLOOKUP(Assessment!H150,Inherited!A:A,Inherited!G:G)))+(((100-(_xlfn.XLOOKUP(Assessment!H150,Inherited!A:A,Inherited!B:B)))/100)*IF(AB149="1.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(100%)","100"))))))&gt;=33,(((_xlfn.XLOOKUP(Assessment!H150,Inherited!A:A,Inherited!B:B))/100)*(_xlfn.XLOOKUP(Assessment!H150,Inherited!A:A,Inherited!G:G)))+(((100-(_xlfn.XLOOKUP(Assessment!H150,Inherited!A:A,Inherited!B:B)))/100)*IF(AB149="1.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(100%)","100"))))))&lt;=65),"50",IF(AND((((_xlfn.XLOOKUP(Assessment!H150,Inherited!A:A,Inherited!B:B))/100)*(_xlfn.XLOOKUP(Assessment!H150,Inherited!A:A,Inherited!G:G)))+(((100-(_xlfn.XLOOKUP(Assessment!H150,Inherited!A:A,Inherited!B:B)))/100)*IF(AB149="1.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(100%)","100"))))))&gt;=66,(((_xlfn.XLOOKUP(Assessment!H150,Inherited!A:A,Inherited!B:B))/100)*(_xlfn.XLOOKUP(Assessment!H150,Inherited!A:A,Inherited!G:G)))+(((100-(_xlfn.XLOOKUP(Assessment!H150,Inherited!A:A,Inherited!B:B)))/100)*IF(AB149="1.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(100%)","100"))))))&lt;=89),"75",IF((((_xlfn.XLOOKUP(Assessment!H150,Inherited!A:A,Inherited!B:B))/100)*(_xlfn.XLOOKUP(Assessment!H150,Inherited!A:A,Inherited!G:G)))+(((100-(_xlfn.XLOOKUP(Assessment!H150,Inherited!A:A,Inherited!B:B)))/100)*IF(AB149="1. Non Compliant (0%)","0",IF(AB149="2. Somewhat Compliant (25%)","25",IF(AB149="3. Partially Compliant (50%)","50",IF(AB149="4. Mostly Compliant (75%)","75",IF(AB149="5. Fully Compliant (100%)","100"))))))&gt;=90,"100"))))))</f>
        <v>#N/A</v>
      </c>
      <c r="V149" s="55" t="s">
        <v>85</v>
      </c>
      <c r="W149" s="55"/>
      <c r="X149" s="55"/>
      <c r="Y149" s="55"/>
      <c r="Z149" s="55" t="s">
        <v>10873</v>
      </c>
      <c r="AA149" s="55"/>
      <c r="AB149" s="55"/>
      <c r="AK149" s="1" t="s">
        <v>10978</v>
      </c>
      <c r="AL149" s="1" t="s">
        <v>11010</v>
      </c>
      <c r="AP149" s="1" t="s">
        <v>11110</v>
      </c>
      <c r="AX149" s="3" t="str">
        <f>_xlfn.CONCAT("A-LIGN finished its review of this control on ",AR149, " during the scheduled fieldwork window (",Intro!$B$4,")."&amp; CHAR(10)&amp; CHAR(10))</f>
        <v xml:space="preserve">A-LIGN finished its review of this control on  during the scheduled fieldwork window (Fieldwork: xx/xx/xxxx - xx/xx/xxxx).
</v>
      </c>
      <c r="AY149" s="3" t="str">
        <f t="shared" si="311"/>
        <v/>
      </c>
      <c r="AZ149" s="3" t="str">
        <f t="shared" si="312"/>
        <v/>
      </c>
      <c r="BA149" s="3" t="str">
        <f t="shared" si="313"/>
        <v/>
      </c>
      <c r="BB149" s="3" t="str">
        <f t="shared" si="314"/>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49" s="3" t="str">
        <f t="shared" si="315"/>
        <v/>
      </c>
      <c r="BD149" s="3" t="str">
        <f t="shared" si="316"/>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includes process to communicate/consult with stakeholders
Further, management should ensure that:
- communication/consultation with stakeholders is timely
- communication/consultation with stakeholders is collected, collated, synthesized and shared
- communication/consultation with stakeholders result in improvements being made to program
</v>
      </c>
      <c r="BE149" s="3" t="str">
        <f t="shared" si="317"/>
        <v/>
      </c>
      <c r="BF149" s="3" t="str">
        <f t="shared" si="318"/>
        <v/>
      </c>
      <c r="BG149" s="3" t="str">
        <f>_xlfn.CONCAT((IF((COUNTIF('Sample Tables'!B:B,"")&gt;0)=TRUE,_xlfn.CONCAT("",""),IF((COUNTIF('Sample Tables'!B:B,"")&gt;0)=FALSE,""))),)</f>
        <v/>
      </c>
      <c r="BH149" s="3" t="str">
        <f t="shared" si="31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includes process to communicate/consult with stakeholders
Further, management should ensure that:
- communication/consultation with stakeholders is timely
- communication/consultation with stakeholders is collected, collated, synthesized and shared
- communication/consultation with stakeholders result in improvements being made to program
</v>
      </c>
    </row>
    <row r="150" spans="3:60" ht="308.25" customHeight="1" x14ac:dyDescent="0.35">
      <c r="C150" s="1">
        <f t="shared" si="310"/>
        <v>0</v>
      </c>
      <c r="D150" s="5" t="str">
        <f>IF(AND((_xlfn.XLOOKUP(J150,'Fields &amp; Revisions'!$H:$H,'Fields &amp; Revisions'!$I:$I))&lt;70.99,(OR(Z150="4. Mostly Compliant (75%)",Z150="3. Partially Compliant (50%)",Z150="2. Somewhat Compliant (25%)",Z150="1. Non Compliant (0%)"))),"Yes","No")</f>
        <v>Yes</v>
      </c>
      <c r="E150" s="5" t="str">
        <f>IF(ISERROR(VLOOKUP(H150,Scope!A:A,1,FALSE)),"No","Yes")</f>
        <v>Yes</v>
      </c>
      <c r="F150" s="1" t="s">
        <v>4666</v>
      </c>
      <c r="G150" s="53" t="s">
        <v>4747</v>
      </c>
      <c r="H150" s="53" t="s">
        <v>4748</v>
      </c>
      <c r="I150" s="5" t="s">
        <v>242</v>
      </c>
      <c r="J150" s="1" t="s">
        <v>226</v>
      </c>
      <c r="K150" s="54" t="s">
        <v>4749</v>
      </c>
      <c r="L150" s="1" t="s">
        <v>4750</v>
      </c>
      <c r="M150" s="1" t="s">
        <v>4751</v>
      </c>
      <c r="N150" s="5" t="s">
        <v>85</v>
      </c>
      <c r="O150" s="1" t="str">
        <f>_xlfn.XLOOKUP(G150,SRMs!$A:$A,SRMs!$D:$D)</f>
        <v>NO INHERITANCE</v>
      </c>
      <c r="P150" s="1" t="str">
        <f>IFERROR(VLOOKUP(H150,Inherited!A:B,2,FALSE),"")</f>
        <v/>
      </c>
      <c r="Q150" s="1" t="e">
        <f>IF(MATCH(H150,Inherited!A:A),IF((((_xlfn.XLOOKUP(Assessment!H151,Inherited!A:A,Inherited!B:B))/100)*(_xlfn.XLOOKUP(Assessment!H151,Inherited!A:A,Inherited!C:C)))+(((100-(_xlfn.XLOOKUP(Assessment!H151,Inherited!A:A,Inherited!B:B)))/100)*IF(X150="1.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(100%)","100"))))))&lt;=10,"0", IF(AND((((_xlfn.XLOOKUP(Assessment!H151,Inherited!A:A,Inherited!B:B))/100)*(_xlfn.XLOOKUP(Assessment!H151,Inherited!A:A,Inherited!C:C)))+(((100-(_xlfn.XLOOKUP(Assessment!H151,Inherited!A:A,Inherited!B:B)))/100)*IF(X150="1.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(100%)","100"))))))&gt;=11,(((_xlfn.XLOOKUP(Assessment!H151,Inherited!A:A,Inherited!B:B))/100)*(_xlfn.XLOOKUP(Assessment!H151,Inherited!A:A,Inherited!C:C)))+(((100-(_xlfn.XLOOKUP(Assessment!H151,Inherited!A:A,Inherited!B:B)))/100)*IF(X150="1.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(100%)","100"))))))&lt;=32),"25",IF(AND((((_xlfn.XLOOKUP(Assessment!H151,Inherited!A:A,Inherited!B:B))/100)*(_xlfn.XLOOKUP(Assessment!H151,Inherited!A:A,Inherited!C:C)))+(((100-(_xlfn.XLOOKUP(Assessment!H151,Inherited!A:A,Inherited!B:B)))/100)*IF(X150="1.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(100%)","100"))))))&gt;=33,(((_xlfn.XLOOKUP(Assessment!H151,Inherited!A:A,Inherited!B:B))/100)*(_xlfn.XLOOKUP(Assessment!H151,Inherited!A:A,Inherited!C:C)))+(((100-(_xlfn.XLOOKUP(Assessment!H151,Inherited!A:A,Inherited!B:B)))/100)*IF(X150="1.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(100%)","100"))))))&lt;=65),"50",IF(AND((((_xlfn.XLOOKUP(Assessment!H151,Inherited!A:A,Inherited!B:B))/100)*(_xlfn.XLOOKUP(Assessment!H151,Inherited!A:A,Inherited!C:C)))+(((100-(_xlfn.XLOOKUP(Assessment!H151,Inherited!A:A,Inherited!B:B)))/100)*IF(X150="1.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(100%)","100"))))))&gt;=66,(((_xlfn.XLOOKUP(Assessment!H151,Inherited!A:A,Inherited!B:B))/100)*(_xlfn.XLOOKUP(Assessment!H151,Inherited!A:A,Inherited!C:C)))+(((100-(_xlfn.XLOOKUP(Assessment!H151,Inherited!A:A,Inherited!B:B)))/100)*IF(X150="1.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(100%)","100"))))))&lt;=89),"75",IF((((_xlfn.XLOOKUP(Assessment!H151,Inherited!A:A,Inherited!B:B))/100)*(_xlfn.XLOOKUP(Assessment!H151,Inherited!A:A,Inherited!C:C)))+(((100-(_xlfn.XLOOKUP(Assessment!H151,Inherited!A:A,Inherited!B:B)))/100)*IF(X150="1. Non Compliant (0%)","0",IF(X150="2. Somewhat Compliant (25%)","25",IF(X150="3. Partially Compliant (50%)","50",IF(X150="4. Mostly Compliant (75%)","75",IF(X150="5. Fully Compliant (100%)","100"))))))&gt;=90,"100"))))))</f>
        <v>#N/A</v>
      </c>
      <c r="R150" s="1" t="e">
        <f>IF(MATCH(H150,Inherited!A:A),IF((((_xlfn.XLOOKUP(Assessment!H151,Inherited!A:A,Inherited!B:B))/100)*(_xlfn.XLOOKUP(Assessment!H151,Inherited!A:A,Inherited!D:D)))+(((100-(_xlfn.XLOOKUP(Assessment!H151,Inherited!A:A,Inherited!B:B)))/100)*IF(Y150="1.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(100%)","100"))))))&lt;=10,"0", IF(AND((((_xlfn.XLOOKUP(Assessment!H151,Inherited!A:A,Inherited!B:B))/100)*(_xlfn.XLOOKUP(Assessment!H151,Inherited!A:A,Inherited!D:D)))+(((100-(_xlfn.XLOOKUP(Assessment!H151,Inherited!A:A,Inherited!B:B)))/100)*IF(Y150="1.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(100%)","100"))))))&gt;=11,(((_xlfn.XLOOKUP(Assessment!H151,Inherited!A:A,Inherited!B:B))/100)*(_xlfn.XLOOKUP(Assessment!H151,Inherited!A:A,Inherited!D:D)))+(((100-(_xlfn.XLOOKUP(Assessment!H151,Inherited!A:A,Inherited!B:B)))/100)*IF(Y150="1.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(100%)","100"))))))&lt;=32),"25",IF(AND((((_xlfn.XLOOKUP(Assessment!H151,Inherited!A:A,Inherited!B:B))/100)*(_xlfn.XLOOKUP(Assessment!H151,Inherited!A:A,Inherited!D:D)))+(((100-(_xlfn.XLOOKUP(Assessment!H151,Inherited!A:A,Inherited!B:B)))/100)*IF(Y150="1.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(100%)","100"))))))&gt;=33,(((_xlfn.XLOOKUP(Assessment!H151,Inherited!A:A,Inherited!B:B))/100)*(_xlfn.XLOOKUP(Assessment!H151,Inherited!A:A,Inherited!D:D)))+(((100-(_xlfn.XLOOKUP(Assessment!H151,Inherited!A:A,Inherited!B:B)))/100)*IF(Y150="1.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(100%)","100"))))))&lt;=65),"50",IF(AND((((_xlfn.XLOOKUP(Assessment!H151,Inherited!A:A,Inherited!B:B))/100)*(_xlfn.XLOOKUP(Assessment!H151,Inherited!A:A,Inherited!D:D)))+(((100-(_xlfn.XLOOKUP(Assessment!H151,Inherited!A:A,Inherited!B:B)))/100)*IF(Y150="1.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(100%)","100"))))))&gt;=66,(((_xlfn.XLOOKUP(Assessment!H151,Inherited!A:A,Inherited!B:B))/100)*(_xlfn.XLOOKUP(Assessment!H151,Inherited!A:A,Inherited!D:D)))+(((100-(_xlfn.XLOOKUP(Assessment!H151,Inherited!A:A,Inherited!B:B)))/100)*IF(Y150="1.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(100%)","100"))))))&lt;=89),"75",IF((((_xlfn.XLOOKUP(Assessment!H151,Inherited!A:A,Inherited!B:B))/100)*(_xlfn.XLOOKUP(Assessment!H151,Inherited!A:A,Inherited!D:D)))+(((100-(_xlfn.XLOOKUP(Assessment!H151,Inherited!A:A,Inherited!B:B)))/100)*IF(Y150="1. Non Compliant (0%)","0",IF(Y150="2. Somewhat Compliant (25%)","25",IF(Y150="3. Partially Compliant (50%)","50",IF(Y150="4. Mostly Compliant (75%)","75",IF(Y150="5. Fully Compliant (100%)","100"))))))&gt;=90,"100"))))))</f>
        <v>#N/A</v>
      </c>
      <c r="S150" s="1" t="e">
        <f>IF(MATCH(H150,Inherited!A:A),IF((((_xlfn.XLOOKUP(Assessment!H151,Inherited!A:A,Inherited!B:B))/100)*(_xlfn.XLOOKUP(Assessment!H151,Inherited!A:A,Inherited!E:E)))+(((100-(_xlfn.XLOOKUP(Assessment!H151,Inherited!A:A,Inherited!B:B)))/100)*IF(Z150="1.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(100%)","100"))))))&lt;=10,"0", IF(AND((((_xlfn.XLOOKUP(Assessment!H151,Inherited!A:A,Inherited!B:B))/100)*(_xlfn.XLOOKUP(Assessment!H151,Inherited!A:A,Inherited!E:E)))+(((100-(_xlfn.XLOOKUP(Assessment!H151,Inherited!A:A,Inherited!B:B)))/100)*IF(Z150="1.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(100%)","100"))))))&gt;=11,(((_xlfn.XLOOKUP(Assessment!H151,Inherited!A:A,Inherited!B:B))/100)*(_xlfn.XLOOKUP(Assessment!H151,Inherited!A:A,Inherited!E:E)))+(((100-(_xlfn.XLOOKUP(Assessment!H151,Inherited!A:A,Inherited!B:B)))/100)*IF(Z150="1.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(100%)","100"))))))&lt;=32),"25",IF(AND((((_xlfn.XLOOKUP(Assessment!H151,Inherited!A:A,Inherited!B:B))/100)*(_xlfn.XLOOKUP(Assessment!H151,Inherited!A:A,Inherited!E:E)))+(((100-(_xlfn.XLOOKUP(Assessment!H151,Inherited!A:A,Inherited!B:B)))/100)*IF(Z150="1.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(100%)","100"))))))&gt;=33,(((_xlfn.XLOOKUP(Assessment!H151,Inherited!A:A,Inherited!B:B))/100)*(_xlfn.XLOOKUP(Assessment!H151,Inherited!A:A,Inherited!E:E)))+(((100-(_xlfn.XLOOKUP(Assessment!H151,Inherited!A:A,Inherited!B:B)))/100)*IF(Z150="1.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(100%)","100"))))))&lt;=65),"50",IF(AND((((_xlfn.XLOOKUP(Assessment!H151,Inherited!A:A,Inherited!B:B))/100)*(_xlfn.XLOOKUP(Assessment!H151,Inherited!A:A,Inherited!E:E)))+(((100-(_xlfn.XLOOKUP(Assessment!H151,Inherited!A:A,Inherited!B:B)))/100)*IF(Z150="1.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(100%)","100"))))))&gt;=66,(((_xlfn.XLOOKUP(Assessment!H151,Inherited!A:A,Inherited!B:B))/100)*(_xlfn.XLOOKUP(Assessment!H151,Inherited!A:A,Inherited!E:E)))+(((100-(_xlfn.XLOOKUP(Assessment!H151,Inherited!A:A,Inherited!B:B)))/100)*IF(Z150="1.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(100%)","100"))))))&lt;=89),"75",IF((((_xlfn.XLOOKUP(Assessment!H151,Inherited!A:A,Inherited!B:B))/100)*(_xlfn.XLOOKUP(Assessment!H151,Inherited!A:A,Inherited!E:E)))+(((100-(_xlfn.XLOOKUP(Assessment!H151,Inherited!A:A,Inherited!B:B)))/100)*IF(Z150="1. Non Compliant (0%)","0",IF(Z150="2. Somewhat Compliant (25%)","25",IF(Z150="3. Partially Compliant (50%)","50",IF(Z150="4. Mostly Compliant (75%)","75",IF(Z150="5. Fully Compliant (100%)","100"))))))&gt;=90,"100"))))))</f>
        <v>#N/A</v>
      </c>
      <c r="T150" s="1" t="e">
        <f>IF(MATCH(H150,Inherited!A:A),IF((((_xlfn.XLOOKUP(Assessment!H151,Inherited!A:A,Inherited!B:B))/100)*(_xlfn.XLOOKUP(Assessment!H151,Inherited!A:A,Inherited!F:F)))+(((100-(_xlfn.XLOOKUP(Assessment!H151,Inherited!A:A,Inherited!B:B)))/100)*IF(AA150="1.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(100%)","100"))))))&lt;=10,"0", IF(AND((((_xlfn.XLOOKUP(Assessment!H151,Inherited!A:A,Inherited!B:B))/100)*(_xlfn.XLOOKUP(Assessment!H151,Inherited!A:A,Inherited!F:F)))+(((100-(_xlfn.XLOOKUP(Assessment!H151,Inherited!A:A,Inherited!B:B)))/100)*IF(AA150="1.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(100%)","100"))))))&gt;=11,(((_xlfn.XLOOKUP(Assessment!H151,Inherited!A:A,Inherited!B:B))/100)*(_xlfn.XLOOKUP(Assessment!H151,Inherited!A:A,Inherited!F:F)))+(((100-(_xlfn.XLOOKUP(Assessment!H151,Inherited!A:A,Inherited!B:B)))/100)*IF(AA150="1.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(100%)","100"))))))&lt;=32),"25",IF(AND((((_xlfn.XLOOKUP(Assessment!H151,Inherited!A:A,Inherited!B:B))/100)*(_xlfn.XLOOKUP(Assessment!H151,Inherited!A:A,Inherited!F:F)))+(((100-(_xlfn.XLOOKUP(Assessment!H151,Inherited!A:A,Inherited!B:B)))/100)*IF(AA150="1.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(100%)","100"))))))&gt;=33,(((_xlfn.XLOOKUP(Assessment!H151,Inherited!A:A,Inherited!B:B))/100)*(_xlfn.XLOOKUP(Assessment!H151,Inherited!A:A,Inherited!F:F)))+(((100-(_xlfn.XLOOKUP(Assessment!H151,Inherited!A:A,Inherited!B:B)))/100)*IF(AA150="1.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(100%)","100"))))))&lt;=65),"50",IF(AND((((_xlfn.XLOOKUP(Assessment!H151,Inherited!A:A,Inherited!B:B))/100)*(_xlfn.XLOOKUP(Assessment!H151,Inherited!A:A,Inherited!F:F)))+(((100-(_xlfn.XLOOKUP(Assessment!H151,Inherited!A:A,Inherited!B:B)))/100)*IF(AA150="1.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(100%)","100"))))))&gt;=66,(((_xlfn.XLOOKUP(Assessment!H151,Inherited!A:A,Inherited!B:B))/100)*(_xlfn.XLOOKUP(Assessment!H151,Inherited!A:A,Inherited!F:F)))+(((100-(_xlfn.XLOOKUP(Assessment!H151,Inherited!A:A,Inherited!B:B)))/100)*IF(AA150="1.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(100%)","100"))))))&lt;=89),"75",IF((((_xlfn.XLOOKUP(Assessment!H151,Inherited!A:A,Inherited!B:B))/100)*(_xlfn.XLOOKUP(Assessment!H151,Inherited!A:A,Inherited!F:F)))+(((100-(_xlfn.XLOOKUP(Assessment!H151,Inherited!A:A,Inherited!B:B)))/100)*IF(AA150="1. Non Compliant (0%)","0",IF(AA150="2. Somewhat Compliant (25%)","25",IF(AA150="3. Partially Compliant (50%)","50",IF(AA150="4. Mostly Compliant (75%)","75",IF(AA150="5. Fully Compliant (100%)","100"))))))&gt;=90,"100"))))))</f>
        <v>#N/A</v>
      </c>
      <c r="U150" s="1" t="e">
        <f>IF(MATCH(H150,Inherited!A:A),IF((((_xlfn.XLOOKUP(Assessment!H151,Inherited!A:A,Inherited!B:B))/100)*(_xlfn.XLOOKUP(Assessment!H151,Inherited!A:A,Inherited!G:G)))+(((100-(_xlfn.XLOOKUP(Assessment!H151,Inherited!A:A,Inherited!B:B)))/100)*IF(AB150="1.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(100%)","100"))))))&lt;=10,"0", IF(AND((((_xlfn.XLOOKUP(Assessment!H151,Inherited!A:A,Inherited!B:B))/100)*(_xlfn.XLOOKUP(Assessment!H151,Inherited!A:A,Inherited!G:G)))+(((100-(_xlfn.XLOOKUP(Assessment!H151,Inherited!A:A,Inherited!B:B)))/100)*IF(AB150="1.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(100%)","100"))))))&gt;=11,(((_xlfn.XLOOKUP(Assessment!H151,Inherited!A:A,Inherited!B:B))/100)*(_xlfn.XLOOKUP(Assessment!H151,Inherited!A:A,Inherited!G:G)))+(((100-(_xlfn.XLOOKUP(Assessment!H151,Inherited!A:A,Inherited!B:B)))/100)*IF(AB150="1.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(100%)","100"))))))&lt;=32),"25",IF(AND((((_xlfn.XLOOKUP(Assessment!H151,Inherited!A:A,Inherited!B:B))/100)*(_xlfn.XLOOKUP(Assessment!H151,Inherited!A:A,Inherited!G:G)))+(((100-(_xlfn.XLOOKUP(Assessment!H151,Inherited!A:A,Inherited!B:B)))/100)*IF(AB150="1.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(100%)","100"))))))&gt;=33,(((_xlfn.XLOOKUP(Assessment!H151,Inherited!A:A,Inherited!B:B))/100)*(_xlfn.XLOOKUP(Assessment!H151,Inherited!A:A,Inherited!G:G)))+(((100-(_xlfn.XLOOKUP(Assessment!H151,Inherited!A:A,Inherited!B:B)))/100)*IF(AB150="1.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(100%)","100"))))))&lt;=65),"50",IF(AND((((_xlfn.XLOOKUP(Assessment!H151,Inherited!A:A,Inherited!B:B))/100)*(_xlfn.XLOOKUP(Assessment!H151,Inherited!A:A,Inherited!G:G)))+(((100-(_xlfn.XLOOKUP(Assessment!H151,Inherited!A:A,Inherited!B:B)))/100)*IF(AB150="1.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(100%)","100"))))))&gt;=66,(((_xlfn.XLOOKUP(Assessment!H151,Inherited!A:A,Inherited!B:B))/100)*(_xlfn.XLOOKUP(Assessment!H151,Inherited!A:A,Inherited!G:G)))+(((100-(_xlfn.XLOOKUP(Assessment!H151,Inherited!A:A,Inherited!B:B)))/100)*IF(AB150="1.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(100%)","100"))))))&lt;=89),"75",IF((((_xlfn.XLOOKUP(Assessment!H151,Inherited!A:A,Inherited!B:B))/100)*(_xlfn.XLOOKUP(Assessment!H151,Inherited!A:A,Inherited!G:G)))+(((100-(_xlfn.XLOOKUP(Assessment!H151,Inherited!A:A,Inherited!B:B)))/100)*IF(AB150="1. Non Compliant (0%)","0",IF(AB150="2. Somewhat Compliant (25%)","25",IF(AB150="3. Partially Compliant (50%)","50",IF(AB150="4. Mostly Compliant (75%)","75",IF(AB150="5. Fully Compliant (100%)","100"))))))&gt;=90,"100"))))))</f>
        <v>#N/A</v>
      </c>
      <c r="V150" s="55" t="s">
        <v>85</v>
      </c>
      <c r="W150" s="55"/>
      <c r="X150" s="55"/>
      <c r="Y150" s="55"/>
      <c r="Z150" s="55" t="s">
        <v>10873</v>
      </c>
      <c r="AA150" s="55"/>
      <c r="AB150" s="55"/>
      <c r="AK150" s="1" t="s">
        <v>10978</v>
      </c>
      <c r="AL150" s="1" t="s">
        <v>11010</v>
      </c>
      <c r="AP150" s="1" t="s">
        <v>11109</v>
      </c>
      <c r="AX150" s="3" t="str">
        <f>_xlfn.CONCAT("A-LIGN finished its review of this control on ",AR150, " during the scheduled fieldwork window (",Intro!$B$4,")."&amp; CHAR(10)&amp; CHAR(10))</f>
        <v xml:space="preserve">A-LIGN finished its review of this control on  during the scheduled fieldwork window (Fieldwork: xx/xx/xxxx - xx/xx/xxxx).
</v>
      </c>
      <c r="AY150" s="3" t="str">
        <f t="shared" ref="AY150:AY174" si="320">IF(AQ150&lt;&gt;"",(_xlfn.CONCAT("Inheritance note: "&amp; CHAR(10),AQ150&amp; CHAR(10)&amp; CHAR(10))),"")</f>
        <v/>
      </c>
      <c r="AZ150" s="3" t="str">
        <f t="shared" ref="AZ150:AZ174" si="321">IFERROR(IF(AD150&lt;&gt;"",_xlfn.CONCAT("Examined the following policy during fieldwork:"&amp; CHAR(10),AD150&amp; CHAR(10)&amp; CHAR(10),IF(AND(X150&lt;&gt;"5. Fully Compliant (100%)",AE150&lt;&gt;""),"Reviewed policy exception note:"&amp; CHAR(10) &amp; AE150 &amp; CHAR(10) &amp; CHAR(10),"")),""),"")</f>
        <v/>
      </c>
      <c r="BA150" s="3" t="str">
        <f t="shared" ref="BA150:BA174" si="322">IFERROR(IF(AH150&lt;&gt;"",_xlfn.CONCAT("Examined the following process during fieldwork:"&amp; CHAR(10),AH150&amp; CHAR(10)&amp; CHAR(10),IF(AND(Y150&lt;&gt;"5. Fully Compliant (100%)",AI150&lt;&gt;""),"Reviewed process exception note:"&amp; CHAR(10) &amp; AI150 &amp; CHAR(10) &amp; CHAR(10),"")),""),"")</f>
        <v/>
      </c>
      <c r="BB150" s="3" t="str">
        <f t="shared" ref="BB150:BB174" si="323">IF(AK150&lt;&gt;"",(_xlfn.CONCAT("Inquired of the following workforce member: "&amp; CHAR(10),AK150&amp; CHAR(10)&amp; CHAR(10),"Inquiry lead to the following conclusions: "&amp; CHAR(10),AL150&amp; CHAR(10) &amp; CHAR(10))),"")</f>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0" s="3" t="str">
        <f t="shared" ref="BC150:BC174" si="324">IF(AM150&lt;&gt;"",(_xlfn.CONCAT("Observed the following live during fieldwork: "&amp; CHAR(10),AM150&amp; CHAR(10) &amp; CHAR(10))),"")</f>
        <v/>
      </c>
      <c r="BD150" s="3" t="str">
        <f t="shared" ref="BD150:BD174" si="325">_xlfn.CONCAT("Examined the following evidence during fieldwork:"&amp; CHAR(10),AN150&amp; CHAR(10)&amp; CHAR(10),IF(AO150&lt;&gt;"","Reviewed evidence note:"&amp; CHAR(10)&amp;AO150&amp; CHAR(10) &amp; CHAR(10),"Reviewed evidence addressed the requirement statement."&amp; CHAR(10) &amp; CHAR(10)),IF(AND(AP150&lt;&gt;"5. Fully Compliant (100%)",AP150&lt;&gt;""),"Reviewed evidence exception note: "&amp; CHAR(10) &amp; AP150 &amp; CHAR(10) &amp; CHAR(10),""))</f>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plan defines jobs with risk management authority, responsibility, and/or accountability
- plan assignments communicated across the organization
</v>
      </c>
      <c r="BE150" s="3" t="str">
        <f t="shared" ref="BE150:BE174" si="326">IF(AT150&lt;&gt;"",(_xlfn.CONCAT("Examined the following measure/metric during fieldwork:"&amp; CHAR(10),AT150&amp; CHAR(10)&amp; CHAR(10),"Reviewed measure/metric note:"&amp; CHAR(10),AU150 &amp; CHAR(10) &amp; CHAR(10))),"")</f>
        <v/>
      </c>
      <c r="BF150" s="3" t="str">
        <f t="shared" ref="BF150:BF174" si="327">IF(AV150&lt;&gt;"",(_xlfn.CONCAT("Examined the following measure/metric management during fieldwork:"&amp; CHAR(10),AV150&amp; CHAR(10)&amp; CHAR(10),"Reviewed measure/metric management note:"&amp; CHAR(10),AW150 &amp; CHAR(10) &amp; CHAR(10))),"")</f>
        <v/>
      </c>
      <c r="BG150" s="3" t="str">
        <f>_xlfn.CONCAT((IF((COUNTIF('Sample Tables'!B:B,"Test 221: Information Security (risk management reporting)")&gt;0)=TRUE,_xlfn.CONCAT("Sample test results are documented in ",'Sample Tables'!B2427," [",'Sample Tables'!B2428,", ",'Sample Tables'!B2429,", ",'Sample Tables'!B2430,", ",'Sample Tables'!B2431,", ",'Sample Tables'!B2432,"]."&amp;CHAR(10)),IF((COUNTIF('Sample Tables'!B:B,"Test 221: Information Security (risk management reporting)")&gt;0)=FALSE,""))),)</f>
        <v xml:space="preserve">Sample test results are documented in Test 221: Information Security (risk management reporting) [Population Source/Tool: , Population Date Range: , Population Size: , Sample Methodology: , Sample Size: ].
</v>
      </c>
      <c r="BH150" s="3" t="str">
        <f t="shared" ref="BH150:BH174" si="328">IF(V150="No","Not Applicable: "&amp;W150,(_xlfn.CONCAT(AX150,AY150,AZ150,BA150,BB150,BC150,BD150,BE150,BF150,BG150)))</f>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plan defines jobs with risk management authority, responsibility, and/or accountability
- plan assignments communicated across the organization
Sample test results are documented in Test 221: Information Security (risk management reporting) [Population Source/Tool: , Population Date Range: , Population Size: , Sample Methodology: , Sample Size: ].
</v>
      </c>
    </row>
    <row r="151" spans="3:60" ht="409.5" x14ac:dyDescent="0.35">
      <c r="C151" s="1">
        <f t="shared" ref="C151:C174" si="329">IF(V151="No","Not Applicable",(IF(X151="1. Non Compliant (0%)","0",IF(X151="2. Somewhat Compliant (25%)","25",IF(X151="3. Partially Compliant (50%)","50",IF(X151="4. Mostly Compliant (75%)","75",IF(X151="5. Fully Compliant (100%)","100")))))*0.15)+((IF(Y151="1. Non Compliant (0%)","0",IF(Y151="2. Somewhat Compliant (25%)","25",IF(Y151="3. Partially Compliant (50%)","50",IF(Y151="4. Mostly Compliant (75%)","75",IF(Y151="5. Fully Compliant (100%)","100"))))))*0.2)+(IF(Z151="1. Non Compliant (0%)","0",IF(Z151="2. Somewhat Compliant (25%)","25",IF(Z151="3. Partially Compliant (50%)","50",IF(Z151="4. Mostly Compliant (75%)","75",IF(Z151="5. Fully Compliant (100%)","100")))))*0.4)+(IF(AA151="1. Non Compliant (0%)","0",IF(AA151="2. Somewhat Compliant (25%)","25",IF(AA151="3. Partially Compliant (50%)","50",IF(AA151="4. Mostly Compliant (75%)","75",IF(AA151="5. Fully Compliant (100%)","100")))))*0.1)+(IF(AB151="1. Non Compliant (0%)","0",IF(AB151="2. Somewhat Compliant (25%)","25",IF(AB151="3. Partially Compliant (50%)","50",IF(AB151="4. Mostly Compliant (75%)","75",IF(AB151="5. Fully Compliant (100%)","100")))))*0.15))</f>
        <v>0</v>
      </c>
      <c r="D151" s="5" t="str">
        <f>IF(AND((_xlfn.XLOOKUP(J151,'Fields &amp; Revisions'!$H:$H,'Fields &amp; Revisions'!$I:$I))&lt;70.99,(OR(Z151="4. Mostly Compliant (75%)",Z151="3. Partially Compliant (50%)",Z151="2. Somewhat Compliant (25%)",Z151="1. Non Compliant (0%)"))),"Yes","No")</f>
        <v>Yes</v>
      </c>
      <c r="E151" s="5" t="str">
        <f>IF(ISERROR(VLOOKUP(H151,Scope!A:A,1,FALSE)),"No","Yes")</f>
        <v>Yes</v>
      </c>
      <c r="F151" s="1" t="s">
        <v>4666</v>
      </c>
      <c r="G151" s="53" t="s">
        <v>4752</v>
      </c>
      <c r="H151" s="53" t="s">
        <v>4753</v>
      </c>
      <c r="I151" s="5" t="s">
        <v>242</v>
      </c>
      <c r="J151" s="1" t="s">
        <v>226</v>
      </c>
      <c r="K151" s="54" t="s">
        <v>4754</v>
      </c>
      <c r="L151" s="1" t="s">
        <v>4755</v>
      </c>
      <c r="M151" s="1" t="s">
        <v>4756</v>
      </c>
      <c r="N151" s="5" t="s">
        <v>98</v>
      </c>
      <c r="O151" s="1" t="str">
        <f>_xlfn.XLOOKUP(G151,SRMs!$A:$A,SRMs!$D:$D)</f>
        <v>NO INHERITANCE</v>
      </c>
      <c r="P151" s="1" t="str">
        <f>IFERROR(VLOOKUP(H151,Inherited!A:B,2,FALSE),"")</f>
        <v/>
      </c>
      <c r="Q151" s="1" t="e">
        <f>IF(MATCH(H151,Inherited!A:A),IF((((_xlfn.XLOOKUP(Assessment!H152,Inherited!A:A,Inherited!B:B))/100)*(_xlfn.XLOOKUP(Assessment!H152,Inherited!A:A,Inherited!C:C)))+(((100-(_xlfn.XLOOKUP(Assessment!H152,Inherited!A:A,Inherited!B:B)))/100)*IF(X151="1.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(100%)","100"))))))&lt;=10,"0", IF(AND((((_xlfn.XLOOKUP(Assessment!H152,Inherited!A:A,Inherited!B:B))/100)*(_xlfn.XLOOKUP(Assessment!H152,Inherited!A:A,Inherited!C:C)))+(((100-(_xlfn.XLOOKUP(Assessment!H152,Inherited!A:A,Inherited!B:B)))/100)*IF(X151="1.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(100%)","100"))))))&gt;=11,(((_xlfn.XLOOKUP(Assessment!H152,Inherited!A:A,Inherited!B:B))/100)*(_xlfn.XLOOKUP(Assessment!H152,Inherited!A:A,Inherited!C:C)))+(((100-(_xlfn.XLOOKUP(Assessment!H152,Inherited!A:A,Inherited!B:B)))/100)*IF(X151="1.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(100%)","100"))))))&lt;=32),"25",IF(AND((((_xlfn.XLOOKUP(Assessment!H152,Inherited!A:A,Inherited!B:B))/100)*(_xlfn.XLOOKUP(Assessment!H152,Inherited!A:A,Inherited!C:C)))+(((100-(_xlfn.XLOOKUP(Assessment!H152,Inherited!A:A,Inherited!B:B)))/100)*IF(X151="1.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(100%)","100"))))))&gt;=33,(((_xlfn.XLOOKUP(Assessment!H152,Inherited!A:A,Inherited!B:B))/100)*(_xlfn.XLOOKUP(Assessment!H152,Inherited!A:A,Inherited!C:C)))+(((100-(_xlfn.XLOOKUP(Assessment!H152,Inherited!A:A,Inherited!B:B)))/100)*IF(X151="1.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(100%)","100"))))))&lt;=65),"50",IF(AND((((_xlfn.XLOOKUP(Assessment!H152,Inherited!A:A,Inherited!B:B))/100)*(_xlfn.XLOOKUP(Assessment!H152,Inherited!A:A,Inherited!C:C)))+(((100-(_xlfn.XLOOKUP(Assessment!H152,Inherited!A:A,Inherited!B:B)))/100)*IF(X151="1.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(100%)","100"))))))&gt;=66,(((_xlfn.XLOOKUP(Assessment!H152,Inherited!A:A,Inherited!B:B))/100)*(_xlfn.XLOOKUP(Assessment!H152,Inherited!A:A,Inherited!C:C)))+(((100-(_xlfn.XLOOKUP(Assessment!H152,Inherited!A:A,Inherited!B:B)))/100)*IF(X151="1.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(100%)","100"))))))&lt;=89),"75",IF((((_xlfn.XLOOKUP(Assessment!H152,Inherited!A:A,Inherited!B:B))/100)*(_xlfn.XLOOKUP(Assessment!H152,Inherited!A:A,Inherited!C:C)))+(((100-(_xlfn.XLOOKUP(Assessment!H152,Inherited!A:A,Inherited!B:B)))/100)*IF(X151="1. Non Compliant (0%)","0",IF(X151="2. Somewhat Compliant (25%)","25",IF(X151="3. Partially Compliant (50%)","50",IF(X151="4. Mostly Compliant (75%)","75",IF(X151="5. Fully Compliant (100%)","100"))))))&gt;=90,"100"))))))</f>
        <v>#N/A</v>
      </c>
      <c r="R151" s="1" t="e">
        <f>IF(MATCH(H151,Inherited!A:A),IF((((_xlfn.XLOOKUP(Assessment!H152,Inherited!A:A,Inherited!B:B))/100)*(_xlfn.XLOOKUP(Assessment!H152,Inherited!A:A,Inherited!D:D)))+(((100-(_xlfn.XLOOKUP(Assessment!H152,Inherited!A:A,Inherited!B:B)))/100)*IF(Y151="1.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(100%)","100"))))))&lt;=10,"0", IF(AND((((_xlfn.XLOOKUP(Assessment!H152,Inherited!A:A,Inherited!B:B))/100)*(_xlfn.XLOOKUP(Assessment!H152,Inherited!A:A,Inherited!D:D)))+(((100-(_xlfn.XLOOKUP(Assessment!H152,Inherited!A:A,Inherited!B:B)))/100)*IF(Y151="1.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(100%)","100"))))))&gt;=11,(((_xlfn.XLOOKUP(Assessment!H152,Inherited!A:A,Inherited!B:B))/100)*(_xlfn.XLOOKUP(Assessment!H152,Inherited!A:A,Inherited!D:D)))+(((100-(_xlfn.XLOOKUP(Assessment!H152,Inherited!A:A,Inherited!B:B)))/100)*IF(Y151="1.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(100%)","100"))))))&lt;=32),"25",IF(AND((((_xlfn.XLOOKUP(Assessment!H152,Inherited!A:A,Inherited!B:B))/100)*(_xlfn.XLOOKUP(Assessment!H152,Inherited!A:A,Inherited!D:D)))+(((100-(_xlfn.XLOOKUP(Assessment!H152,Inherited!A:A,Inherited!B:B)))/100)*IF(Y151="1.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(100%)","100"))))))&gt;=33,(((_xlfn.XLOOKUP(Assessment!H152,Inherited!A:A,Inherited!B:B))/100)*(_xlfn.XLOOKUP(Assessment!H152,Inherited!A:A,Inherited!D:D)))+(((100-(_xlfn.XLOOKUP(Assessment!H152,Inherited!A:A,Inherited!B:B)))/100)*IF(Y151="1.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(100%)","100"))))))&lt;=65),"50",IF(AND((((_xlfn.XLOOKUP(Assessment!H152,Inherited!A:A,Inherited!B:B))/100)*(_xlfn.XLOOKUP(Assessment!H152,Inherited!A:A,Inherited!D:D)))+(((100-(_xlfn.XLOOKUP(Assessment!H152,Inherited!A:A,Inherited!B:B)))/100)*IF(Y151="1.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(100%)","100"))))))&gt;=66,(((_xlfn.XLOOKUP(Assessment!H152,Inherited!A:A,Inherited!B:B))/100)*(_xlfn.XLOOKUP(Assessment!H152,Inherited!A:A,Inherited!D:D)))+(((100-(_xlfn.XLOOKUP(Assessment!H152,Inherited!A:A,Inherited!B:B)))/100)*IF(Y151="1.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(100%)","100"))))))&lt;=89),"75",IF((((_xlfn.XLOOKUP(Assessment!H152,Inherited!A:A,Inherited!B:B))/100)*(_xlfn.XLOOKUP(Assessment!H152,Inherited!A:A,Inherited!D:D)))+(((100-(_xlfn.XLOOKUP(Assessment!H152,Inherited!A:A,Inherited!B:B)))/100)*IF(Y151="1. Non Compliant (0%)","0",IF(Y151="2. Somewhat Compliant (25%)","25",IF(Y151="3. Partially Compliant (50%)","50",IF(Y151="4. Mostly Compliant (75%)","75",IF(Y151="5. Fully Compliant (100%)","100"))))))&gt;=90,"100"))))))</f>
        <v>#N/A</v>
      </c>
      <c r="S151" s="1" t="e">
        <f>IF(MATCH(H151,Inherited!A:A),IF((((_xlfn.XLOOKUP(Assessment!H152,Inherited!A:A,Inherited!B:B))/100)*(_xlfn.XLOOKUP(Assessment!H152,Inherited!A:A,Inherited!E:E)))+(((100-(_xlfn.XLOOKUP(Assessment!H152,Inherited!A:A,Inherited!B:B)))/100)*IF(Z151="1.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(100%)","100"))))))&lt;=10,"0", IF(AND((((_xlfn.XLOOKUP(Assessment!H152,Inherited!A:A,Inherited!B:B))/100)*(_xlfn.XLOOKUP(Assessment!H152,Inherited!A:A,Inherited!E:E)))+(((100-(_xlfn.XLOOKUP(Assessment!H152,Inherited!A:A,Inherited!B:B)))/100)*IF(Z151="1.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(100%)","100"))))))&gt;=11,(((_xlfn.XLOOKUP(Assessment!H152,Inherited!A:A,Inherited!B:B))/100)*(_xlfn.XLOOKUP(Assessment!H152,Inherited!A:A,Inherited!E:E)))+(((100-(_xlfn.XLOOKUP(Assessment!H152,Inherited!A:A,Inherited!B:B)))/100)*IF(Z151="1.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(100%)","100"))))))&lt;=32),"25",IF(AND((((_xlfn.XLOOKUP(Assessment!H152,Inherited!A:A,Inherited!B:B))/100)*(_xlfn.XLOOKUP(Assessment!H152,Inherited!A:A,Inherited!E:E)))+(((100-(_xlfn.XLOOKUP(Assessment!H152,Inherited!A:A,Inherited!B:B)))/100)*IF(Z151="1.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(100%)","100"))))))&gt;=33,(((_xlfn.XLOOKUP(Assessment!H152,Inherited!A:A,Inherited!B:B))/100)*(_xlfn.XLOOKUP(Assessment!H152,Inherited!A:A,Inherited!E:E)))+(((100-(_xlfn.XLOOKUP(Assessment!H152,Inherited!A:A,Inherited!B:B)))/100)*IF(Z151="1.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(100%)","100"))))))&lt;=65),"50",IF(AND((((_xlfn.XLOOKUP(Assessment!H152,Inherited!A:A,Inherited!B:B))/100)*(_xlfn.XLOOKUP(Assessment!H152,Inherited!A:A,Inherited!E:E)))+(((100-(_xlfn.XLOOKUP(Assessment!H152,Inherited!A:A,Inherited!B:B)))/100)*IF(Z151="1.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(100%)","100"))))))&gt;=66,(((_xlfn.XLOOKUP(Assessment!H152,Inherited!A:A,Inherited!B:B))/100)*(_xlfn.XLOOKUP(Assessment!H152,Inherited!A:A,Inherited!E:E)))+(((100-(_xlfn.XLOOKUP(Assessment!H152,Inherited!A:A,Inherited!B:B)))/100)*IF(Z151="1.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(100%)","100"))))))&lt;=89),"75",IF((((_xlfn.XLOOKUP(Assessment!H152,Inherited!A:A,Inherited!B:B))/100)*(_xlfn.XLOOKUP(Assessment!H152,Inherited!A:A,Inherited!E:E)))+(((100-(_xlfn.XLOOKUP(Assessment!H152,Inherited!A:A,Inherited!B:B)))/100)*IF(Z151="1. Non Compliant (0%)","0",IF(Z151="2. Somewhat Compliant (25%)","25",IF(Z151="3. Partially Compliant (50%)","50",IF(Z151="4. Mostly Compliant (75%)","75",IF(Z151="5. Fully Compliant (100%)","100"))))))&gt;=90,"100"))))))</f>
        <v>#N/A</v>
      </c>
      <c r="T151" s="1" t="e">
        <f>IF(MATCH(H151,Inherited!A:A),IF((((_xlfn.XLOOKUP(Assessment!H152,Inherited!A:A,Inherited!B:B))/100)*(_xlfn.XLOOKUP(Assessment!H152,Inherited!A:A,Inherited!F:F)))+(((100-(_xlfn.XLOOKUP(Assessment!H152,Inherited!A:A,Inherited!B:B)))/100)*IF(AA151="1.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(100%)","100"))))))&lt;=10,"0", IF(AND((((_xlfn.XLOOKUP(Assessment!H152,Inherited!A:A,Inherited!B:B))/100)*(_xlfn.XLOOKUP(Assessment!H152,Inherited!A:A,Inherited!F:F)))+(((100-(_xlfn.XLOOKUP(Assessment!H152,Inherited!A:A,Inherited!B:B)))/100)*IF(AA151="1.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(100%)","100"))))))&gt;=11,(((_xlfn.XLOOKUP(Assessment!H152,Inherited!A:A,Inherited!B:B))/100)*(_xlfn.XLOOKUP(Assessment!H152,Inherited!A:A,Inherited!F:F)))+(((100-(_xlfn.XLOOKUP(Assessment!H152,Inherited!A:A,Inherited!B:B)))/100)*IF(AA151="1.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(100%)","100"))))))&lt;=32),"25",IF(AND((((_xlfn.XLOOKUP(Assessment!H152,Inherited!A:A,Inherited!B:B))/100)*(_xlfn.XLOOKUP(Assessment!H152,Inherited!A:A,Inherited!F:F)))+(((100-(_xlfn.XLOOKUP(Assessment!H152,Inherited!A:A,Inherited!B:B)))/100)*IF(AA151="1.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(100%)","100"))))))&gt;=33,(((_xlfn.XLOOKUP(Assessment!H152,Inherited!A:A,Inherited!B:B))/100)*(_xlfn.XLOOKUP(Assessment!H152,Inherited!A:A,Inherited!F:F)))+(((100-(_xlfn.XLOOKUP(Assessment!H152,Inherited!A:A,Inherited!B:B)))/100)*IF(AA151="1.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(100%)","100"))))))&lt;=65),"50",IF(AND((((_xlfn.XLOOKUP(Assessment!H152,Inherited!A:A,Inherited!B:B))/100)*(_xlfn.XLOOKUP(Assessment!H152,Inherited!A:A,Inherited!F:F)))+(((100-(_xlfn.XLOOKUP(Assessment!H152,Inherited!A:A,Inherited!B:B)))/100)*IF(AA151="1.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(100%)","100"))))))&gt;=66,(((_xlfn.XLOOKUP(Assessment!H152,Inherited!A:A,Inherited!B:B))/100)*(_xlfn.XLOOKUP(Assessment!H152,Inherited!A:A,Inherited!F:F)))+(((100-(_xlfn.XLOOKUP(Assessment!H152,Inherited!A:A,Inherited!B:B)))/100)*IF(AA151="1.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(100%)","100"))))))&lt;=89),"75",IF((((_xlfn.XLOOKUP(Assessment!H152,Inherited!A:A,Inherited!B:B))/100)*(_xlfn.XLOOKUP(Assessment!H152,Inherited!A:A,Inherited!F:F)))+(((100-(_xlfn.XLOOKUP(Assessment!H152,Inherited!A:A,Inherited!B:B)))/100)*IF(AA151="1. Non Compliant (0%)","0",IF(AA151="2. Somewhat Compliant (25%)","25",IF(AA151="3. Partially Compliant (50%)","50",IF(AA151="4. Mostly Compliant (75%)","75",IF(AA151="5. Fully Compliant (100%)","100"))))))&gt;=90,"100"))))))</f>
        <v>#N/A</v>
      </c>
      <c r="U151" s="1" t="e">
        <f>IF(MATCH(H151,Inherited!A:A),IF((((_xlfn.XLOOKUP(Assessment!H152,Inherited!A:A,Inherited!B:B))/100)*(_xlfn.XLOOKUP(Assessment!H152,Inherited!A:A,Inherited!G:G)))+(((100-(_xlfn.XLOOKUP(Assessment!H152,Inherited!A:A,Inherited!B:B)))/100)*IF(AB151="1.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(100%)","100"))))))&lt;=10,"0", IF(AND((((_xlfn.XLOOKUP(Assessment!H152,Inherited!A:A,Inherited!B:B))/100)*(_xlfn.XLOOKUP(Assessment!H152,Inherited!A:A,Inherited!G:G)))+(((100-(_xlfn.XLOOKUP(Assessment!H152,Inherited!A:A,Inherited!B:B)))/100)*IF(AB151="1.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(100%)","100"))))))&gt;=11,(((_xlfn.XLOOKUP(Assessment!H152,Inherited!A:A,Inherited!B:B))/100)*(_xlfn.XLOOKUP(Assessment!H152,Inherited!A:A,Inherited!G:G)))+(((100-(_xlfn.XLOOKUP(Assessment!H152,Inherited!A:A,Inherited!B:B)))/100)*IF(AB151="1.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(100%)","100"))))))&lt;=32),"25",IF(AND((((_xlfn.XLOOKUP(Assessment!H152,Inherited!A:A,Inherited!B:B))/100)*(_xlfn.XLOOKUP(Assessment!H152,Inherited!A:A,Inherited!G:G)))+(((100-(_xlfn.XLOOKUP(Assessment!H152,Inherited!A:A,Inherited!B:B)))/100)*IF(AB151="1.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(100%)","100"))))))&gt;=33,(((_xlfn.XLOOKUP(Assessment!H152,Inherited!A:A,Inherited!B:B))/100)*(_xlfn.XLOOKUP(Assessment!H152,Inherited!A:A,Inherited!G:G)))+(((100-(_xlfn.XLOOKUP(Assessment!H152,Inherited!A:A,Inherited!B:B)))/100)*IF(AB151="1.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(100%)","100"))))))&lt;=65),"50",IF(AND((((_xlfn.XLOOKUP(Assessment!H152,Inherited!A:A,Inherited!B:B))/100)*(_xlfn.XLOOKUP(Assessment!H152,Inherited!A:A,Inherited!G:G)))+(((100-(_xlfn.XLOOKUP(Assessment!H152,Inherited!A:A,Inherited!B:B)))/100)*IF(AB151="1.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(100%)","100"))))))&gt;=66,(((_xlfn.XLOOKUP(Assessment!H152,Inherited!A:A,Inherited!B:B))/100)*(_xlfn.XLOOKUP(Assessment!H152,Inherited!A:A,Inherited!G:G)))+(((100-(_xlfn.XLOOKUP(Assessment!H152,Inherited!A:A,Inherited!B:B)))/100)*IF(AB151="1.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(100%)","100"))))))&lt;=89),"75",IF((((_xlfn.XLOOKUP(Assessment!H152,Inherited!A:A,Inherited!B:B))/100)*(_xlfn.XLOOKUP(Assessment!H152,Inherited!A:A,Inherited!G:G)))+(((100-(_xlfn.XLOOKUP(Assessment!H152,Inherited!A:A,Inherited!B:B)))/100)*IF(AB151="1. Non Compliant (0%)","0",IF(AB151="2. Somewhat Compliant (25%)","25",IF(AB151="3. Partially Compliant (50%)","50",IF(AB151="4. Mostly Compliant (75%)","75",IF(AB151="5. Fully Compliant (100%)","100"))))))&gt;=90,"100"))))))</f>
        <v>#N/A</v>
      </c>
      <c r="V151" s="55" t="s">
        <v>85</v>
      </c>
      <c r="W151" s="55"/>
      <c r="X151" s="55"/>
      <c r="Y151" s="55"/>
      <c r="Z151" s="55" t="s">
        <v>10873</v>
      </c>
      <c r="AA151" s="55"/>
      <c r="AB151" s="55"/>
      <c r="AK151" s="1" t="s">
        <v>10978</v>
      </c>
      <c r="AL151" s="1" t="s">
        <v>11010</v>
      </c>
      <c r="AP151" s="1" t="s">
        <v>11111</v>
      </c>
      <c r="AX151" s="3" t="str">
        <f>_xlfn.CONCAT("A-LIGN finished its review of this control on ",AR151, " during the scheduled fieldwork window (",Intro!$B$4,")."&amp; CHAR(10)&amp; CHAR(10))</f>
        <v xml:space="preserve">A-LIGN finished its review of this control on  during the scheduled fieldwork window (Fieldwork: xx/xx/xxxx - xx/xx/xxxx).
</v>
      </c>
      <c r="AY151" s="3" t="str">
        <f t="shared" si="320"/>
        <v/>
      </c>
      <c r="AZ151" s="3" t="str">
        <f t="shared" si="321"/>
        <v/>
      </c>
      <c r="BA151" s="3" t="str">
        <f t="shared" si="322"/>
        <v/>
      </c>
      <c r="BB151"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1" s="3" t="str">
        <f t="shared" si="324"/>
        <v/>
      </c>
      <c r="BD151"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time and resources required to create plan
- defines: where, when, and how different types of risk management decisions are made across the organization
- defines: modifying the applicable risk management decision-making processes where necessary
- defines: the organization’s arrangements for managing risk
Further, management should ensure that the risk assessment documentation plan updated every 365 days
</v>
      </c>
      <c r="BE151" s="3" t="str">
        <f t="shared" si="326"/>
        <v/>
      </c>
      <c r="BF151" s="3" t="str">
        <f t="shared" si="327"/>
        <v/>
      </c>
      <c r="BG151" s="3" t="str">
        <f>_xlfn.CONCAT((IF((COUNTIF('Sample Tables'!B:B,"")&gt;0)=TRUE,_xlfn.CONCAT("",""),IF((COUNTIF('Sample Tables'!B:B,"")&gt;0)=FALSE,""))),)</f>
        <v/>
      </c>
      <c r="BH151"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time and resources required to create plan
- defines: where, when, and how different types of risk management decisions are made across the organization
- defines: modifying the applicable risk management decision-making processes where necessary
- defines: the organization’s arrangements for managing risk
Further, management should ensure that the risk assessment documentation plan updated every 365 days
</v>
      </c>
    </row>
    <row r="152" spans="3:60" ht="409.5" x14ac:dyDescent="0.35">
      <c r="C152" s="1">
        <f t="shared" si="329"/>
        <v>0</v>
      </c>
      <c r="D152" s="5" t="str">
        <f>IF(AND((_xlfn.XLOOKUP(J152,'Fields &amp; Revisions'!$H:$H,'Fields &amp; Revisions'!$I:$I))&lt;70.99,(OR(Z152="4. Mostly Compliant (75%)",Z152="3. Partially Compliant (50%)",Z152="2. Somewhat Compliant (25%)",Z152="1. Non Compliant (0%)"))),"Yes","No")</f>
        <v>Yes</v>
      </c>
      <c r="E152" s="5" t="str">
        <f>IF(ISERROR(VLOOKUP(H152,Scope!A:A,1,FALSE)),"No","Yes")</f>
        <v>Yes</v>
      </c>
      <c r="F152" s="1" t="s">
        <v>4666</v>
      </c>
      <c r="G152" s="53" t="s">
        <v>4757</v>
      </c>
      <c r="H152" s="53" t="s">
        <v>4758</v>
      </c>
      <c r="I152" s="5" t="s">
        <v>242</v>
      </c>
      <c r="J152" s="1" t="s">
        <v>226</v>
      </c>
      <c r="K152" s="54" t="s">
        <v>4759</v>
      </c>
      <c r="L152" s="1" t="s">
        <v>4760</v>
      </c>
      <c r="M152" s="1" t="s">
        <v>4761</v>
      </c>
      <c r="N152" s="5" t="s">
        <v>98</v>
      </c>
      <c r="O152" s="1" t="str">
        <f>_xlfn.XLOOKUP(G152,SRMs!$A:$A,SRMs!$D:$D)</f>
        <v>NO INHERITANCE</v>
      </c>
      <c r="P152" s="1" t="str">
        <f>IFERROR(VLOOKUP(H152,Inherited!A:B,2,FALSE),"")</f>
        <v/>
      </c>
      <c r="Q152" s="1" t="e">
        <f>IF(MATCH(H152,Inherited!A:A),IF((((_xlfn.XLOOKUP(Assessment!H153,Inherited!A:A,Inherited!B:B))/100)*(_xlfn.XLOOKUP(Assessment!H153,Inherited!A:A,Inherited!C:C)))+(((100-(_xlfn.XLOOKUP(Assessment!H153,Inherited!A:A,Inherited!B:B)))/100)*IF(X152="1.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(100%)","100"))))))&lt;=10,"0", IF(AND((((_xlfn.XLOOKUP(Assessment!H153,Inherited!A:A,Inherited!B:B))/100)*(_xlfn.XLOOKUP(Assessment!H153,Inherited!A:A,Inherited!C:C)))+(((100-(_xlfn.XLOOKUP(Assessment!H153,Inherited!A:A,Inherited!B:B)))/100)*IF(X152="1.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(100%)","100"))))))&gt;=11,(((_xlfn.XLOOKUP(Assessment!H153,Inherited!A:A,Inherited!B:B))/100)*(_xlfn.XLOOKUP(Assessment!H153,Inherited!A:A,Inherited!C:C)))+(((100-(_xlfn.XLOOKUP(Assessment!H153,Inherited!A:A,Inherited!B:B)))/100)*IF(X152="1.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(100%)","100"))))))&lt;=32),"25",IF(AND((((_xlfn.XLOOKUP(Assessment!H153,Inherited!A:A,Inherited!B:B))/100)*(_xlfn.XLOOKUP(Assessment!H153,Inherited!A:A,Inherited!C:C)))+(((100-(_xlfn.XLOOKUP(Assessment!H153,Inherited!A:A,Inherited!B:B)))/100)*IF(X152="1.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(100%)","100"))))))&gt;=33,(((_xlfn.XLOOKUP(Assessment!H153,Inherited!A:A,Inherited!B:B))/100)*(_xlfn.XLOOKUP(Assessment!H153,Inherited!A:A,Inherited!C:C)))+(((100-(_xlfn.XLOOKUP(Assessment!H153,Inherited!A:A,Inherited!B:B)))/100)*IF(X152="1.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(100%)","100"))))))&lt;=65),"50",IF(AND((((_xlfn.XLOOKUP(Assessment!H153,Inherited!A:A,Inherited!B:B))/100)*(_xlfn.XLOOKUP(Assessment!H153,Inherited!A:A,Inherited!C:C)))+(((100-(_xlfn.XLOOKUP(Assessment!H153,Inherited!A:A,Inherited!B:B)))/100)*IF(X152="1.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(100%)","100"))))))&gt;=66,(((_xlfn.XLOOKUP(Assessment!H153,Inherited!A:A,Inherited!B:B))/100)*(_xlfn.XLOOKUP(Assessment!H153,Inherited!A:A,Inherited!C:C)))+(((100-(_xlfn.XLOOKUP(Assessment!H153,Inherited!A:A,Inherited!B:B)))/100)*IF(X152="1.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(100%)","100"))))))&lt;=89),"75",IF((((_xlfn.XLOOKUP(Assessment!H153,Inherited!A:A,Inherited!B:B))/100)*(_xlfn.XLOOKUP(Assessment!H153,Inherited!A:A,Inherited!C:C)))+(((100-(_xlfn.XLOOKUP(Assessment!H153,Inherited!A:A,Inherited!B:B)))/100)*IF(X152="1. Non Compliant (0%)","0",IF(X152="2. Somewhat Compliant (25%)","25",IF(X152="3. Partially Compliant (50%)","50",IF(X152="4. Mostly Compliant (75%)","75",IF(X152="5. Fully Compliant (100%)","100"))))))&gt;=90,"100"))))))</f>
        <v>#N/A</v>
      </c>
      <c r="R152" s="1" t="e">
        <f>IF(MATCH(H152,Inherited!A:A),IF((((_xlfn.XLOOKUP(Assessment!H153,Inherited!A:A,Inherited!B:B))/100)*(_xlfn.XLOOKUP(Assessment!H153,Inherited!A:A,Inherited!D:D)))+(((100-(_xlfn.XLOOKUP(Assessment!H153,Inherited!A:A,Inherited!B:B)))/100)*IF(Y152="1.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(100%)","100"))))))&lt;=10,"0", IF(AND((((_xlfn.XLOOKUP(Assessment!H153,Inherited!A:A,Inherited!B:B))/100)*(_xlfn.XLOOKUP(Assessment!H153,Inherited!A:A,Inherited!D:D)))+(((100-(_xlfn.XLOOKUP(Assessment!H153,Inherited!A:A,Inherited!B:B)))/100)*IF(Y152="1.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(100%)","100"))))))&gt;=11,(((_xlfn.XLOOKUP(Assessment!H153,Inherited!A:A,Inherited!B:B))/100)*(_xlfn.XLOOKUP(Assessment!H153,Inherited!A:A,Inherited!D:D)))+(((100-(_xlfn.XLOOKUP(Assessment!H153,Inherited!A:A,Inherited!B:B)))/100)*IF(Y152="1.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(100%)","100"))))))&lt;=32),"25",IF(AND((((_xlfn.XLOOKUP(Assessment!H153,Inherited!A:A,Inherited!B:B))/100)*(_xlfn.XLOOKUP(Assessment!H153,Inherited!A:A,Inherited!D:D)))+(((100-(_xlfn.XLOOKUP(Assessment!H153,Inherited!A:A,Inherited!B:B)))/100)*IF(Y152="1.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(100%)","100"))))))&gt;=33,(((_xlfn.XLOOKUP(Assessment!H153,Inherited!A:A,Inherited!B:B))/100)*(_xlfn.XLOOKUP(Assessment!H153,Inherited!A:A,Inherited!D:D)))+(((100-(_xlfn.XLOOKUP(Assessment!H153,Inherited!A:A,Inherited!B:B)))/100)*IF(Y152="1.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(100%)","100"))))))&lt;=65),"50",IF(AND((((_xlfn.XLOOKUP(Assessment!H153,Inherited!A:A,Inherited!B:B))/100)*(_xlfn.XLOOKUP(Assessment!H153,Inherited!A:A,Inherited!D:D)))+(((100-(_xlfn.XLOOKUP(Assessment!H153,Inherited!A:A,Inherited!B:B)))/100)*IF(Y152="1.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(100%)","100"))))))&gt;=66,(((_xlfn.XLOOKUP(Assessment!H153,Inherited!A:A,Inherited!B:B))/100)*(_xlfn.XLOOKUP(Assessment!H153,Inherited!A:A,Inherited!D:D)))+(((100-(_xlfn.XLOOKUP(Assessment!H153,Inherited!A:A,Inherited!B:B)))/100)*IF(Y152="1.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(100%)","100"))))))&lt;=89),"75",IF((((_xlfn.XLOOKUP(Assessment!H153,Inherited!A:A,Inherited!B:B))/100)*(_xlfn.XLOOKUP(Assessment!H153,Inherited!A:A,Inherited!D:D)))+(((100-(_xlfn.XLOOKUP(Assessment!H153,Inherited!A:A,Inherited!B:B)))/100)*IF(Y152="1. Non Compliant (0%)","0",IF(Y152="2. Somewhat Compliant (25%)","25",IF(Y152="3. Partially Compliant (50%)","50",IF(Y152="4. Mostly Compliant (75%)","75",IF(Y152="5. Fully Compliant (100%)","100"))))))&gt;=90,"100"))))))</f>
        <v>#N/A</v>
      </c>
      <c r="S152" s="1" t="e">
        <f>IF(MATCH(H152,Inherited!A:A),IF((((_xlfn.XLOOKUP(Assessment!H153,Inherited!A:A,Inherited!B:B))/100)*(_xlfn.XLOOKUP(Assessment!H153,Inherited!A:A,Inherited!E:E)))+(((100-(_xlfn.XLOOKUP(Assessment!H153,Inherited!A:A,Inherited!B:B)))/100)*IF(Z152="1.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(100%)","100"))))))&lt;=10,"0", IF(AND((((_xlfn.XLOOKUP(Assessment!H153,Inherited!A:A,Inherited!B:B))/100)*(_xlfn.XLOOKUP(Assessment!H153,Inherited!A:A,Inherited!E:E)))+(((100-(_xlfn.XLOOKUP(Assessment!H153,Inherited!A:A,Inherited!B:B)))/100)*IF(Z152="1.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(100%)","100"))))))&gt;=11,(((_xlfn.XLOOKUP(Assessment!H153,Inherited!A:A,Inherited!B:B))/100)*(_xlfn.XLOOKUP(Assessment!H153,Inherited!A:A,Inherited!E:E)))+(((100-(_xlfn.XLOOKUP(Assessment!H153,Inherited!A:A,Inherited!B:B)))/100)*IF(Z152="1.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(100%)","100"))))))&lt;=32),"25",IF(AND((((_xlfn.XLOOKUP(Assessment!H153,Inherited!A:A,Inherited!B:B))/100)*(_xlfn.XLOOKUP(Assessment!H153,Inherited!A:A,Inherited!E:E)))+(((100-(_xlfn.XLOOKUP(Assessment!H153,Inherited!A:A,Inherited!B:B)))/100)*IF(Z152="1.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(100%)","100"))))))&gt;=33,(((_xlfn.XLOOKUP(Assessment!H153,Inherited!A:A,Inherited!B:B))/100)*(_xlfn.XLOOKUP(Assessment!H153,Inherited!A:A,Inherited!E:E)))+(((100-(_xlfn.XLOOKUP(Assessment!H153,Inherited!A:A,Inherited!B:B)))/100)*IF(Z152="1.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(100%)","100"))))))&lt;=65),"50",IF(AND((((_xlfn.XLOOKUP(Assessment!H153,Inherited!A:A,Inherited!B:B))/100)*(_xlfn.XLOOKUP(Assessment!H153,Inherited!A:A,Inherited!E:E)))+(((100-(_xlfn.XLOOKUP(Assessment!H153,Inherited!A:A,Inherited!B:B)))/100)*IF(Z152="1.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(100%)","100"))))))&gt;=66,(((_xlfn.XLOOKUP(Assessment!H153,Inherited!A:A,Inherited!B:B))/100)*(_xlfn.XLOOKUP(Assessment!H153,Inherited!A:A,Inherited!E:E)))+(((100-(_xlfn.XLOOKUP(Assessment!H153,Inherited!A:A,Inherited!B:B)))/100)*IF(Z152="1.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(100%)","100"))))))&lt;=89),"75",IF((((_xlfn.XLOOKUP(Assessment!H153,Inherited!A:A,Inherited!B:B))/100)*(_xlfn.XLOOKUP(Assessment!H153,Inherited!A:A,Inherited!E:E)))+(((100-(_xlfn.XLOOKUP(Assessment!H153,Inherited!A:A,Inherited!B:B)))/100)*IF(Z152="1. Non Compliant (0%)","0",IF(Z152="2. Somewhat Compliant (25%)","25",IF(Z152="3. Partially Compliant (50%)","50",IF(Z152="4. Mostly Compliant (75%)","75",IF(Z152="5. Fully Compliant (100%)","100"))))))&gt;=90,"100"))))))</f>
        <v>#N/A</v>
      </c>
      <c r="T152" s="1" t="e">
        <f>IF(MATCH(H152,Inherited!A:A),IF((((_xlfn.XLOOKUP(Assessment!H153,Inherited!A:A,Inherited!B:B))/100)*(_xlfn.XLOOKUP(Assessment!H153,Inherited!A:A,Inherited!F:F)))+(((100-(_xlfn.XLOOKUP(Assessment!H153,Inherited!A:A,Inherited!B:B)))/100)*IF(AA152="1.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(100%)","100"))))))&lt;=10,"0", IF(AND((((_xlfn.XLOOKUP(Assessment!H153,Inherited!A:A,Inherited!B:B))/100)*(_xlfn.XLOOKUP(Assessment!H153,Inherited!A:A,Inherited!F:F)))+(((100-(_xlfn.XLOOKUP(Assessment!H153,Inherited!A:A,Inherited!B:B)))/100)*IF(AA152="1.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(100%)","100"))))))&gt;=11,(((_xlfn.XLOOKUP(Assessment!H153,Inherited!A:A,Inherited!B:B))/100)*(_xlfn.XLOOKUP(Assessment!H153,Inherited!A:A,Inherited!F:F)))+(((100-(_xlfn.XLOOKUP(Assessment!H153,Inherited!A:A,Inherited!B:B)))/100)*IF(AA152="1.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(100%)","100"))))))&lt;=32),"25",IF(AND((((_xlfn.XLOOKUP(Assessment!H153,Inherited!A:A,Inherited!B:B))/100)*(_xlfn.XLOOKUP(Assessment!H153,Inherited!A:A,Inherited!F:F)))+(((100-(_xlfn.XLOOKUP(Assessment!H153,Inherited!A:A,Inherited!B:B)))/100)*IF(AA152="1.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(100%)","100"))))))&gt;=33,(((_xlfn.XLOOKUP(Assessment!H153,Inherited!A:A,Inherited!B:B))/100)*(_xlfn.XLOOKUP(Assessment!H153,Inherited!A:A,Inherited!F:F)))+(((100-(_xlfn.XLOOKUP(Assessment!H153,Inherited!A:A,Inherited!B:B)))/100)*IF(AA152="1.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(100%)","100"))))))&lt;=65),"50",IF(AND((((_xlfn.XLOOKUP(Assessment!H153,Inherited!A:A,Inherited!B:B))/100)*(_xlfn.XLOOKUP(Assessment!H153,Inherited!A:A,Inherited!F:F)))+(((100-(_xlfn.XLOOKUP(Assessment!H153,Inherited!A:A,Inherited!B:B)))/100)*IF(AA152="1.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(100%)","100"))))))&gt;=66,(((_xlfn.XLOOKUP(Assessment!H153,Inherited!A:A,Inherited!B:B))/100)*(_xlfn.XLOOKUP(Assessment!H153,Inherited!A:A,Inherited!F:F)))+(((100-(_xlfn.XLOOKUP(Assessment!H153,Inherited!A:A,Inherited!B:B)))/100)*IF(AA152="1.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(100%)","100"))))))&lt;=89),"75",IF((((_xlfn.XLOOKUP(Assessment!H153,Inherited!A:A,Inherited!B:B))/100)*(_xlfn.XLOOKUP(Assessment!H153,Inherited!A:A,Inherited!F:F)))+(((100-(_xlfn.XLOOKUP(Assessment!H153,Inherited!A:A,Inherited!B:B)))/100)*IF(AA152="1. Non Compliant (0%)","0",IF(AA152="2. Somewhat Compliant (25%)","25",IF(AA152="3. Partially Compliant (50%)","50",IF(AA152="4. Mostly Compliant (75%)","75",IF(AA152="5. Fully Compliant (100%)","100"))))))&gt;=90,"100"))))))</f>
        <v>#N/A</v>
      </c>
      <c r="U152" s="1" t="e">
        <f>IF(MATCH(H152,Inherited!A:A),IF((((_xlfn.XLOOKUP(Assessment!H153,Inherited!A:A,Inherited!B:B))/100)*(_xlfn.XLOOKUP(Assessment!H153,Inherited!A:A,Inherited!G:G)))+(((100-(_xlfn.XLOOKUP(Assessment!H153,Inherited!A:A,Inherited!B:B)))/100)*IF(AB152="1.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(100%)","100"))))))&lt;=10,"0", IF(AND((((_xlfn.XLOOKUP(Assessment!H153,Inherited!A:A,Inherited!B:B))/100)*(_xlfn.XLOOKUP(Assessment!H153,Inherited!A:A,Inherited!G:G)))+(((100-(_xlfn.XLOOKUP(Assessment!H153,Inherited!A:A,Inherited!B:B)))/100)*IF(AB152="1.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(100%)","100"))))))&gt;=11,(((_xlfn.XLOOKUP(Assessment!H153,Inherited!A:A,Inherited!B:B))/100)*(_xlfn.XLOOKUP(Assessment!H153,Inherited!A:A,Inherited!G:G)))+(((100-(_xlfn.XLOOKUP(Assessment!H153,Inherited!A:A,Inherited!B:B)))/100)*IF(AB152="1.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(100%)","100"))))))&lt;=32),"25",IF(AND((((_xlfn.XLOOKUP(Assessment!H153,Inherited!A:A,Inherited!B:B))/100)*(_xlfn.XLOOKUP(Assessment!H153,Inherited!A:A,Inherited!G:G)))+(((100-(_xlfn.XLOOKUP(Assessment!H153,Inherited!A:A,Inherited!B:B)))/100)*IF(AB152="1.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(100%)","100"))))))&gt;=33,(((_xlfn.XLOOKUP(Assessment!H153,Inherited!A:A,Inherited!B:B))/100)*(_xlfn.XLOOKUP(Assessment!H153,Inherited!A:A,Inherited!G:G)))+(((100-(_xlfn.XLOOKUP(Assessment!H153,Inherited!A:A,Inherited!B:B)))/100)*IF(AB152="1.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(100%)","100"))))))&lt;=65),"50",IF(AND((((_xlfn.XLOOKUP(Assessment!H153,Inherited!A:A,Inherited!B:B))/100)*(_xlfn.XLOOKUP(Assessment!H153,Inherited!A:A,Inherited!G:G)))+(((100-(_xlfn.XLOOKUP(Assessment!H153,Inherited!A:A,Inherited!B:B)))/100)*IF(AB152="1.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(100%)","100"))))))&gt;=66,(((_xlfn.XLOOKUP(Assessment!H153,Inherited!A:A,Inherited!B:B))/100)*(_xlfn.XLOOKUP(Assessment!H153,Inherited!A:A,Inherited!G:G)))+(((100-(_xlfn.XLOOKUP(Assessment!H153,Inherited!A:A,Inherited!B:B)))/100)*IF(AB152="1.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(100%)","100"))))))&lt;=89),"75",IF((((_xlfn.XLOOKUP(Assessment!H153,Inherited!A:A,Inherited!B:B))/100)*(_xlfn.XLOOKUP(Assessment!H153,Inherited!A:A,Inherited!G:G)))+(((100-(_xlfn.XLOOKUP(Assessment!H153,Inherited!A:A,Inherited!B:B)))/100)*IF(AB152="1. Non Compliant (0%)","0",IF(AB152="2. Somewhat Compliant (25%)","25",IF(AB152="3. Partially Compliant (50%)","50",IF(AB152="4. Mostly Compliant (75%)","75",IF(AB152="5. Fully Compliant (100%)","100"))))))&gt;=90,"100"))))))</f>
        <v>#N/A</v>
      </c>
      <c r="V152" s="55" t="s">
        <v>85</v>
      </c>
      <c r="W152" s="55"/>
      <c r="X152" s="55"/>
      <c r="Y152" s="55"/>
      <c r="Z152" s="55" t="s">
        <v>10873</v>
      </c>
      <c r="AA152" s="55"/>
      <c r="AB152" s="55"/>
      <c r="AK152" s="1" t="s">
        <v>10978</v>
      </c>
      <c r="AL152" s="1" t="s">
        <v>11010</v>
      </c>
      <c r="AP152" s="1" t="s">
        <v>11112</v>
      </c>
      <c r="AX152" s="3" t="str">
        <f>_xlfn.CONCAT("A-LIGN finished its review of this control on ",AR152, " during the scheduled fieldwork window (",Intro!$B$4,")."&amp; CHAR(10)&amp; CHAR(10))</f>
        <v xml:space="preserve">A-LIGN finished its review of this control on  during the scheduled fieldwork window (Fieldwork: xx/xx/xxxx - xx/xx/xxxx).
</v>
      </c>
      <c r="AY152" s="3" t="str">
        <f t="shared" si="320"/>
        <v/>
      </c>
      <c r="AZ152" s="3" t="str">
        <f t="shared" si="321"/>
        <v/>
      </c>
      <c r="BA152" s="3" t="str">
        <f t="shared" si="322"/>
        <v/>
      </c>
      <c r="BB152"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2" s="3" t="str">
        <f t="shared" si="324"/>
        <v/>
      </c>
      <c r="BD152"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the need to integrate risk management into the overall culture of the organization
- defines: authorities, responsibilities, and accountabilities
- defines: the necessary resources required
- defines: the way in which conflicting objectives are dealt with
- defines: measurement and reporting within the organization’s performance indicators
</v>
      </c>
      <c r="BE152" s="3" t="str">
        <f t="shared" si="326"/>
        <v/>
      </c>
      <c r="BF152" s="3" t="str">
        <f t="shared" si="327"/>
        <v/>
      </c>
      <c r="BG152" s="3" t="str">
        <f>_xlfn.CONCAT((IF((COUNTIF('Sample Tables'!B:B,"")&gt;0)=TRUE,_xlfn.CONCAT("",""),IF((COUNTIF('Sample Tables'!B:B,"")&gt;0)=FALSE,""))),)</f>
        <v/>
      </c>
      <c r="BH152"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defines: the need to integrate risk management into the overall culture of the organization
- defines: authorities, responsibilities, and accountabilities
- defines: the necessary resources required
- defines: the way in which conflicting objectives are dealt with
- defines: measurement and reporting within the organization’s performance indicators
</v>
      </c>
    </row>
    <row r="153" spans="3:60" ht="409.5" x14ac:dyDescent="0.35">
      <c r="C153" s="1">
        <f t="shared" si="329"/>
        <v>0</v>
      </c>
      <c r="D153" s="5" t="str">
        <f>IF(AND((_xlfn.XLOOKUP(J153,'Fields &amp; Revisions'!$H:$H,'Fields &amp; Revisions'!$I:$I))&lt;70.99,(OR(Z153="4. Mostly Compliant (75%)",Z153="3. Partially Compliant (50%)",Z153="2. Somewhat Compliant (25%)",Z153="1. Non Compliant (0%)"))),"Yes","No")</f>
        <v>Yes</v>
      </c>
      <c r="E153" s="5" t="str">
        <f>IF(ISERROR(VLOOKUP(H153,Scope!A:A,1,FALSE)),"No","Yes")</f>
        <v>Yes</v>
      </c>
      <c r="F153" s="1" t="s">
        <v>4666</v>
      </c>
      <c r="G153" s="53" t="s">
        <v>4762</v>
      </c>
      <c r="H153" s="53" t="s">
        <v>4763</v>
      </c>
      <c r="I153" s="5" t="s">
        <v>242</v>
      </c>
      <c r="J153" s="1" t="s">
        <v>226</v>
      </c>
      <c r="K153" s="54" t="s">
        <v>4764</v>
      </c>
      <c r="L153" s="1" t="s">
        <v>4765</v>
      </c>
      <c r="M153" s="1" t="s">
        <v>4766</v>
      </c>
      <c r="N153" s="5" t="s">
        <v>98</v>
      </c>
      <c r="O153" s="1" t="str">
        <f>_xlfn.XLOOKUP(G153,SRMs!$A:$A,SRMs!$D:$D)</f>
        <v>NO INHERITANCE</v>
      </c>
      <c r="P153" s="1" t="str">
        <f>IFERROR(VLOOKUP(H153,Inherited!A:B,2,FALSE),"")</f>
        <v/>
      </c>
      <c r="Q153" s="1" t="e">
        <f>IF(MATCH(H153,Inherited!A:A),IF((((_xlfn.XLOOKUP(Assessment!H154,Inherited!A:A,Inherited!B:B))/100)*(_xlfn.XLOOKUP(Assessment!H154,Inherited!A:A,Inherited!C:C)))+(((100-(_xlfn.XLOOKUP(Assessment!H154,Inherited!A:A,Inherited!B:B)))/100)*IF(X153="1.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(100%)","100"))))))&lt;=10,"0", IF(AND((((_xlfn.XLOOKUP(Assessment!H154,Inherited!A:A,Inherited!B:B))/100)*(_xlfn.XLOOKUP(Assessment!H154,Inherited!A:A,Inherited!C:C)))+(((100-(_xlfn.XLOOKUP(Assessment!H154,Inherited!A:A,Inherited!B:B)))/100)*IF(X153="1.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(100%)","100"))))))&gt;=11,(((_xlfn.XLOOKUP(Assessment!H154,Inherited!A:A,Inherited!B:B))/100)*(_xlfn.XLOOKUP(Assessment!H154,Inherited!A:A,Inherited!C:C)))+(((100-(_xlfn.XLOOKUP(Assessment!H154,Inherited!A:A,Inherited!B:B)))/100)*IF(X153="1.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(100%)","100"))))))&lt;=32),"25",IF(AND((((_xlfn.XLOOKUP(Assessment!H154,Inherited!A:A,Inherited!B:B))/100)*(_xlfn.XLOOKUP(Assessment!H154,Inherited!A:A,Inherited!C:C)))+(((100-(_xlfn.XLOOKUP(Assessment!H154,Inherited!A:A,Inherited!B:B)))/100)*IF(X153="1.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(100%)","100"))))))&gt;=33,(((_xlfn.XLOOKUP(Assessment!H154,Inherited!A:A,Inherited!B:B))/100)*(_xlfn.XLOOKUP(Assessment!H154,Inherited!A:A,Inherited!C:C)))+(((100-(_xlfn.XLOOKUP(Assessment!H154,Inherited!A:A,Inherited!B:B)))/100)*IF(X153="1.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(100%)","100"))))))&lt;=65),"50",IF(AND((((_xlfn.XLOOKUP(Assessment!H154,Inherited!A:A,Inherited!B:B))/100)*(_xlfn.XLOOKUP(Assessment!H154,Inherited!A:A,Inherited!C:C)))+(((100-(_xlfn.XLOOKUP(Assessment!H154,Inherited!A:A,Inherited!B:B)))/100)*IF(X153="1.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(100%)","100"))))))&gt;=66,(((_xlfn.XLOOKUP(Assessment!H154,Inherited!A:A,Inherited!B:B))/100)*(_xlfn.XLOOKUP(Assessment!H154,Inherited!A:A,Inherited!C:C)))+(((100-(_xlfn.XLOOKUP(Assessment!H154,Inherited!A:A,Inherited!B:B)))/100)*IF(X153="1.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(100%)","100"))))))&lt;=89),"75",IF((((_xlfn.XLOOKUP(Assessment!H154,Inherited!A:A,Inherited!B:B))/100)*(_xlfn.XLOOKUP(Assessment!H154,Inherited!A:A,Inherited!C:C)))+(((100-(_xlfn.XLOOKUP(Assessment!H154,Inherited!A:A,Inherited!B:B)))/100)*IF(X153="1. Non Compliant (0%)","0",IF(X153="2. Somewhat Compliant (25%)","25",IF(X153="3. Partially Compliant (50%)","50",IF(X153="4. Mostly Compliant (75%)","75",IF(X153="5. Fully Compliant (100%)","100"))))))&gt;=90,"100"))))))</f>
        <v>#N/A</v>
      </c>
      <c r="R153" s="1" t="e">
        <f>IF(MATCH(H153,Inherited!A:A),IF((((_xlfn.XLOOKUP(Assessment!H154,Inherited!A:A,Inherited!B:B))/100)*(_xlfn.XLOOKUP(Assessment!H154,Inherited!A:A,Inherited!D:D)))+(((100-(_xlfn.XLOOKUP(Assessment!H154,Inherited!A:A,Inherited!B:B)))/100)*IF(Y153="1.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(100%)","100"))))))&lt;=10,"0", IF(AND((((_xlfn.XLOOKUP(Assessment!H154,Inherited!A:A,Inherited!B:B))/100)*(_xlfn.XLOOKUP(Assessment!H154,Inherited!A:A,Inherited!D:D)))+(((100-(_xlfn.XLOOKUP(Assessment!H154,Inherited!A:A,Inherited!B:B)))/100)*IF(Y153="1.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(100%)","100"))))))&gt;=11,(((_xlfn.XLOOKUP(Assessment!H154,Inherited!A:A,Inherited!B:B))/100)*(_xlfn.XLOOKUP(Assessment!H154,Inherited!A:A,Inherited!D:D)))+(((100-(_xlfn.XLOOKUP(Assessment!H154,Inherited!A:A,Inherited!B:B)))/100)*IF(Y153="1.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(100%)","100"))))))&lt;=32),"25",IF(AND((((_xlfn.XLOOKUP(Assessment!H154,Inherited!A:A,Inherited!B:B))/100)*(_xlfn.XLOOKUP(Assessment!H154,Inherited!A:A,Inherited!D:D)))+(((100-(_xlfn.XLOOKUP(Assessment!H154,Inherited!A:A,Inherited!B:B)))/100)*IF(Y153="1.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(100%)","100"))))))&gt;=33,(((_xlfn.XLOOKUP(Assessment!H154,Inherited!A:A,Inherited!B:B))/100)*(_xlfn.XLOOKUP(Assessment!H154,Inherited!A:A,Inherited!D:D)))+(((100-(_xlfn.XLOOKUP(Assessment!H154,Inherited!A:A,Inherited!B:B)))/100)*IF(Y153="1.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(100%)","100"))))))&lt;=65),"50",IF(AND((((_xlfn.XLOOKUP(Assessment!H154,Inherited!A:A,Inherited!B:B))/100)*(_xlfn.XLOOKUP(Assessment!H154,Inherited!A:A,Inherited!D:D)))+(((100-(_xlfn.XLOOKUP(Assessment!H154,Inherited!A:A,Inherited!B:B)))/100)*IF(Y153="1.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(100%)","100"))))))&gt;=66,(((_xlfn.XLOOKUP(Assessment!H154,Inherited!A:A,Inherited!B:B))/100)*(_xlfn.XLOOKUP(Assessment!H154,Inherited!A:A,Inherited!D:D)))+(((100-(_xlfn.XLOOKUP(Assessment!H154,Inherited!A:A,Inherited!B:B)))/100)*IF(Y153="1.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(100%)","100"))))))&lt;=89),"75",IF((((_xlfn.XLOOKUP(Assessment!H154,Inherited!A:A,Inherited!B:B))/100)*(_xlfn.XLOOKUP(Assessment!H154,Inherited!A:A,Inherited!D:D)))+(((100-(_xlfn.XLOOKUP(Assessment!H154,Inherited!A:A,Inherited!B:B)))/100)*IF(Y153="1. Non Compliant (0%)","0",IF(Y153="2. Somewhat Compliant (25%)","25",IF(Y153="3. Partially Compliant (50%)","50",IF(Y153="4. Mostly Compliant (75%)","75",IF(Y153="5. Fully Compliant (100%)","100"))))))&gt;=90,"100"))))))</f>
        <v>#N/A</v>
      </c>
      <c r="S153" s="1" t="e">
        <f>IF(MATCH(H153,Inherited!A:A),IF((((_xlfn.XLOOKUP(Assessment!H154,Inherited!A:A,Inherited!B:B))/100)*(_xlfn.XLOOKUP(Assessment!H154,Inherited!A:A,Inherited!E:E)))+(((100-(_xlfn.XLOOKUP(Assessment!H154,Inherited!A:A,Inherited!B:B)))/100)*IF(Z153="1.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(100%)","100"))))))&lt;=10,"0", IF(AND((((_xlfn.XLOOKUP(Assessment!H154,Inherited!A:A,Inherited!B:B))/100)*(_xlfn.XLOOKUP(Assessment!H154,Inherited!A:A,Inherited!E:E)))+(((100-(_xlfn.XLOOKUP(Assessment!H154,Inherited!A:A,Inherited!B:B)))/100)*IF(Z153="1.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(100%)","100"))))))&gt;=11,(((_xlfn.XLOOKUP(Assessment!H154,Inherited!A:A,Inherited!B:B))/100)*(_xlfn.XLOOKUP(Assessment!H154,Inherited!A:A,Inherited!E:E)))+(((100-(_xlfn.XLOOKUP(Assessment!H154,Inherited!A:A,Inherited!B:B)))/100)*IF(Z153="1.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(100%)","100"))))))&lt;=32),"25",IF(AND((((_xlfn.XLOOKUP(Assessment!H154,Inherited!A:A,Inherited!B:B))/100)*(_xlfn.XLOOKUP(Assessment!H154,Inherited!A:A,Inherited!E:E)))+(((100-(_xlfn.XLOOKUP(Assessment!H154,Inherited!A:A,Inherited!B:B)))/100)*IF(Z153="1.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(100%)","100"))))))&gt;=33,(((_xlfn.XLOOKUP(Assessment!H154,Inherited!A:A,Inherited!B:B))/100)*(_xlfn.XLOOKUP(Assessment!H154,Inherited!A:A,Inherited!E:E)))+(((100-(_xlfn.XLOOKUP(Assessment!H154,Inherited!A:A,Inherited!B:B)))/100)*IF(Z153="1.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(100%)","100"))))))&lt;=65),"50",IF(AND((((_xlfn.XLOOKUP(Assessment!H154,Inherited!A:A,Inherited!B:B))/100)*(_xlfn.XLOOKUP(Assessment!H154,Inherited!A:A,Inherited!E:E)))+(((100-(_xlfn.XLOOKUP(Assessment!H154,Inherited!A:A,Inherited!B:B)))/100)*IF(Z153="1.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(100%)","100"))))))&gt;=66,(((_xlfn.XLOOKUP(Assessment!H154,Inherited!A:A,Inherited!B:B))/100)*(_xlfn.XLOOKUP(Assessment!H154,Inherited!A:A,Inherited!E:E)))+(((100-(_xlfn.XLOOKUP(Assessment!H154,Inherited!A:A,Inherited!B:B)))/100)*IF(Z153="1.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(100%)","100"))))))&lt;=89),"75",IF((((_xlfn.XLOOKUP(Assessment!H154,Inherited!A:A,Inherited!B:B))/100)*(_xlfn.XLOOKUP(Assessment!H154,Inherited!A:A,Inherited!E:E)))+(((100-(_xlfn.XLOOKUP(Assessment!H154,Inherited!A:A,Inherited!B:B)))/100)*IF(Z153="1. Non Compliant (0%)","0",IF(Z153="2. Somewhat Compliant (25%)","25",IF(Z153="3. Partially Compliant (50%)","50",IF(Z153="4. Mostly Compliant (75%)","75",IF(Z153="5. Fully Compliant (100%)","100"))))))&gt;=90,"100"))))))</f>
        <v>#N/A</v>
      </c>
      <c r="T153" s="1" t="e">
        <f>IF(MATCH(H153,Inherited!A:A),IF((((_xlfn.XLOOKUP(Assessment!H154,Inherited!A:A,Inherited!B:B))/100)*(_xlfn.XLOOKUP(Assessment!H154,Inherited!A:A,Inherited!F:F)))+(((100-(_xlfn.XLOOKUP(Assessment!H154,Inherited!A:A,Inherited!B:B)))/100)*IF(AA153="1.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(100%)","100"))))))&lt;=10,"0", IF(AND((((_xlfn.XLOOKUP(Assessment!H154,Inherited!A:A,Inherited!B:B))/100)*(_xlfn.XLOOKUP(Assessment!H154,Inherited!A:A,Inherited!F:F)))+(((100-(_xlfn.XLOOKUP(Assessment!H154,Inherited!A:A,Inherited!B:B)))/100)*IF(AA153="1.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(100%)","100"))))))&gt;=11,(((_xlfn.XLOOKUP(Assessment!H154,Inherited!A:A,Inherited!B:B))/100)*(_xlfn.XLOOKUP(Assessment!H154,Inherited!A:A,Inherited!F:F)))+(((100-(_xlfn.XLOOKUP(Assessment!H154,Inherited!A:A,Inherited!B:B)))/100)*IF(AA153="1.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(100%)","100"))))))&lt;=32),"25",IF(AND((((_xlfn.XLOOKUP(Assessment!H154,Inherited!A:A,Inherited!B:B))/100)*(_xlfn.XLOOKUP(Assessment!H154,Inherited!A:A,Inherited!F:F)))+(((100-(_xlfn.XLOOKUP(Assessment!H154,Inherited!A:A,Inherited!B:B)))/100)*IF(AA153="1.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(100%)","100"))))))&gt;=33,(((_xlfn.XLOOKUP(Assessment!H154,Inherited!A:A,Inherited!B:B))/100)*(_xlfn.XLOOKUP(Assessment!H154,Inherited!A:A,Inherited!F:F)))+(((100-(_xlfn.XLOOKUP(Assessment!H154,Inherited!A:A,Inherited!B:B)))/100)*IF(AA153="1.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(100%)","100"))))))&lt;=65),"50",IF(AND((((_xlfn.XLOOKUP(Assessment!H154,Inherited!A:A,Inherited!B:B))/100)*(_xlfn.XLOOKUP(Assessment!H154,Inherited!A:A,Inherited!F:F)))+(((100-(_xlfn.XLOOKUP(Assessment!H154,Inherited!A:A,Inherited!B:B)))/100)*IF(AA153="1.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(100%)","100"))))))&gt;=66,(((_xlfn.XLOOKUP(Assessment!H154,Inherited!A:A,Inherited!B:B))/100)*(_xlfn.XLOOKUP(Assessment!H154,Inherited!A:A,Inherited!F:F)))+(((100-(_xlfn.XLOOKUP(Assessment!H154,Inherited!A:A,Inherited!B:B)))/100)*IF(AA153="1.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(100%)","100"))))))&lt;=89),"75",IF((((_xlfn.XLOOKUP(Assessment!H154,Inherited!A:A,Inherited!B:B))/100)*(_xlfn.XLOOKUP(Assessment!H154,Inherited!A:A,Inherited!F:F)))+(((100-(_xlfn.XLOOKUP(Assessment!H154,Inherited!A:A,Inherited!B:B)))/100)*IF(AA153="1. Non Compliant (0%)","0",IF(AA153="2. Somewhat Compliant (25%)","25",IF(AA153="3. Partially Compliant (50%)","50",IF(AA153="4. Mostly Compliant (75%)","75",IF(AA153="5. Fully Compliant (100%)","100"))))))&gt;=90,"100"))))))</f>
        <v>#N/A</v>
      </c>
      <c r="U153" s="1" t="e">
        <f>IF(MATCH(H153,Inherited!A:A),IF((((_xlfn.XLOOKUP(Assessment!H154,Inherited!A:A,Inherited!B:B))/100)*(_xlfn.XLOOKUP(Assessment!H154,Inherited!A:A,Inherited!G:G)))+(((100-(_xlfn.XLOOKUP(Assessment!H154,Inherited!A:A,Inherited!B:B)))/100)*IF(AB153="1.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(100%)","100"))))))&lt;=10,"0", IF(AND((((_xlfn.XLOOKUP(Assessment!H154,Inherited!A:A,Inherited!B:B))/100)*(_xlfn.XLOOKUP(Assessment!H154,Inherited!A:A,Inherited!G:G)))+(((100-(_xlfn.XLOOKUP(Assessment!H154,Inherited!A:A,Inherited!B:B)))/100)*IF(AB153="1.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(100%)","100"))))))&gt;=11,(((_xlfn.XLOOKUP(Assessment!H154,Inherited!A:A,Inherited!B:B))/100)*(_xlfn.XLOOKUP(Assessment!H154,Inherited!A:A,Inherited!G:G)))+(((100-(_xlfn.XLOOKUP(Assessment!H154,Inherited!A:A,Inherited!B:B)))/100)*IF(AB153="1.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(100%)","100"))))))&lt;=32),"25",IF(AND((((_xlfn.XLOOKUP(Assessment!H154,Inherited!A:A,Inherited!B:B))/100)*(_xlfn.XLOOKUP(Assessment!H154,Inherited!A:A,Inherited!G:G)))+(((100-(_xlfn.XLOOKUP(Assessment!H154,Inherited!A:A,Inherited!B:B)))/100)*IF(AB153="1.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(100%)","100"))))))&gt;=33,(((_xlfn.XLOOKUP(Assessment!H154,Inherited!A:A,Inherited!B:B))/100)*(_xlfn.XLOOKUP(Assessment!H154,Inherited!A:A,Inherited!G:G)))+(((100-(_xlfn.XLOOKUP(Assessment!H154,Inherited!A:A,Inherited!B:B)))/100)*IF(AB153="1.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(100%)","100"))))))&lt;=65),"50",IF(AND((((_xlfn.XLOOKUP(Assessment!H154,Inherited!A:A,Inherited!B:B))/100)*(_xlfn.XLOOKUP(Assessment!H154,Inherited!A:A,Inherited!G:G)))+(((100-(_xlfn.XLOOKUP(Assessment!H154,Inherited!A:A,Inherited!B:B)))/100)*IF(AB153="1.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(100%)","100"))))))&gt;=66,(((_xlfn.XLOOKUP(Assessment!H154,Inherited!A:A,Inherited!B:B))/100)*(_xlfn.XLOOKUP(Assessment!H154,Inherited!A:A,Inherited!G:G)))+(((100-(_xlfn.XLOOKUP(Assessment!H154,Inherited!A:A,Inherited!B:B)))/100)*IF(AB153="1.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(100%)","100"))))))&lt;=89),"75",IF((((_xlfn.XLOOKUP(Assessment!H154,Inherited!A:A,Inherited!B:B))/100)*(_xlfn.XLOOKUP(Assessment!H154,Inherited!A:A,Inherited!G:G)))+(((100-(_xlfn.XLOOKUP(Assessment!H154,Inherited!A:A,Inherited!B:B)))/100)*IF(AB153="1. Non Compliant (0%)","0",IF(AB153="2. Somewhat Compliant (25%)","25",IF(AB153="3. Partially Compliant (50%)","50",IF(AB153="4. Mostly Compliant (75%)","75",IF(AB153="5. Fully Compliant (100%)","100"))))))&gt;=90,"100"))))))</f>
        <v>#N/A</v>
      </c>
      <c r="V153" s="55" t="s">
        <v>85</v>
      </c>
      <c r="W153" s="55"/>
      <c r="X153" s="55"/>
      <c r="Y153" s="55"/>
      <c r="Z153" s="55" t="s">
        <v>10873</v>
      </c>
      <c r="AA153" s="55"/>
      <c r="AB153" s="55"/>
      <c r="AK153" s="1" t="s">
        <v>10978</v>
      </c>
      <c r="AL153" s="1" t="s">
        <v>11010</v>
      </c>
      <c r="AP153" s="1" t="s">
        <v>11113</v>
      </c>
      <c r="AX153" s="3" t="str">
        <f>_xlfn.CONCAT("A-LIGN finished its review of this control on ",AR153, " during the scheduled fieldwork window (",Intro!$B$4,")."&amp; CHAR(10)&amp; CHAR(10))</f>
        <v xml:space="preserve">A-LIGN finished its review of this control on  during the scheduled fieldwork window (Fieldwork: xx/xx/xxxx - xx/xx/xxxx).
</v>
      </c>
      <c r="AY153" s="3" t="str">
        <f t="shared" si="320"/>
        <v/>
      </c>
      <c r="AZ153" s="3" t="str">
        <f t="shared" si="321"/>
        <v/>
      </c>
      <c r="BA153" s="3" t="str">
        <f t="shared" si="322"/>
        <v/>
      </c>
      <c r="BB153"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3" s="3" t="str">
        <f t="shared" si="324"/>
        <v/>
      </c>
      <c r="BD153"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program customized and implemented to fit the organization
Further, the overall risk management program is:
- program evaluated within the past 365 days
- any non-compliances are corrected within 365 days of being identified
</v>
      </c>
      <c r="BE153" s="3" t="str">
        <f t="shared" si="326"/>
        <v/>
      </c>
      <c r="BF153" s="3" t="str">
        <f t="shared" si="327"/>
        <v/>
      </c>
      <c r="BG153" s="3" t="str">
        <f>_xlfn.CONCAT((IF((COUNTIF('Sample Tables'!B:B,"")&gt;0)=TRUE,_xlfn.CONCAT("",""),IF((COUNTIF('Sample Tables'!B:B,"")&gt;0)=FALSE,""))),)</f>
        <v/>
      </c>
      <c r="BH153"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program customized and implemented to fit the organization
Further, the overall risk management program is:
- program evaluated within the past 365 days
- any non-compliances are corrected within 365 days of being identified
</v>
      </c>
    </row>
    <row r="154" spans="3:60" ht="409.5" x14ac:dyDescent="0.35">
      <c r="C154" s="1">
        <f t="shared" si="329"/>
        <v>0</v>
      </c>
      <c r="D154" s="5" t="str">
        <f>IF(AND((_xlfn.XLOOKUP(J154,'Fields &amp; Revisions'!$H:$H,'Fields &amp; Revisions'!$I:$I))&lt;70.99,(OR(Z154="4. Mostly Compliant (75%)",Z154="3. Partially Compliant (50%)",Z154="2. Somewhat Compliant (25%)",Z154="1. Non Compliant (0%)"))),"Yes","No")</f>
        <v>Yes</v>
      </c>
      <c r="E154" s="5" t="str">
        <f>IF(ISERROR(VLOOKUP(H154,Scope!A:A,1,FALSE)),"No","Yes")</f>
        <v>Yes</v>
      </c>
      <c r="F154" s="1" t="s">
        <v>4666</v>
      </c>
      <c r="G154" s="53" t="s">
        <v>4767</v>
      </c>
      <c r="H154" s="53" t="s">
        <v>4768</v>
      </c>
      <c r="I154" s="5" t="s">
        <v>242</v>
      </c>
      <c r="J154" s="1" t="s">
        <v>226</v>
      </c>
      <c r="K154" s="54" t="s">
        <v>4769</v>
      </c>
      <c r="L154" s="1" t="s">
        <v>4770</v>
      </c>
      <c r="M154" s="1" t="s">
        <v>4771</v>
      </c>
      <c r="N154" s="5" t="s">
        <v>98</v>
      </c>
      <c r="O154" s="1" t="str">
        <f>_xlfn.XLOOKUP(G154,SRMs!$A:$A,SRMs!$D:$D)</f>
        <v>NO INHERITANCE</v>
      </c>
      <c r="P154" s="1" t="str">
        <f>IFERROR(VLOOKUP(H154,Inherited!A:B,2,FALSE),"")</f>
        <v/>
      </c>
      <c r="Q154" s="1" t="e">
        <f>IF(MATCH(H154,Inherited!A:A),IF((((_xlfn.XLOOKUP(Assessment!H155,Inherited!A:A,Inherited!B:B))/100)*(_xlfn.XLOOKUP(Assessment!H155,Inherited!A:A,Inherited!C:C)))+(((100-(_xlfn.XLOOKUP(Assessment!H155,Inherited!A:A,Inherited!B:B)))/100)*IF(X154="1.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(100%)","100"))))))&lt;=10,"0", IF(AND((((_xlfn.XLOOKUP(Assessment!H155,Inherited!A:A,Inherited!B:B))/100)*(_xlfn.XLOOKUP(Assessment!H155,Inherited!A:A,Inherited!C:C)))+(((100-(_xlfn.XLOOKUP(Assessment!H155,Inherited!A:A,Inherited!B:B)))/100)*IF(X154="1.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(100%)","100"))))))&gt;=11,(((_xlfn.XLOOKUP(Assessment!H155,Inherited!A:A,Inherited!B:B))/100)*(_xlfn.XLOOKUP(Assessment!H155,Inherited!A:A,Inherited!C:C)))+(((100-(_xlfn.XLOOKUP(Assessment!H155,Inherited!A:A,Inherited!B:B)))/100)*IF(X154="1.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(100%)","100"))))))&lt;=32),"25",IF(AND((((_xlfn.XLOOKUP(Assessment!H155,Inherited!A:A,Inherited!B:B))/100)*(_xlfn.XLOOKUP(Assessment!H155,Inherited!A:A,Inherited!C:C)))+(((100-(_xlfn.XLOOKUP(Assessment!H155,Inherited!A:A,Inherited!B:B)))/100)*IF(X154="1.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(100%)","100"))))))&gt;=33,(((_xlfn.XLOOKUP(Assessment!H155,Inherited!A:A,Inherited!B:B))/100)*(_xlfn.XLOOKUP(Assessment!H155,Inherited!A:A,Inherited!C:C)))+(((100-(_xlfn.XLOOKUP(Assessment!H155,Inherited!A:A,Inherited!B:B)))/100)*IF(X154="1.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(100%)","100"))))))&lt;=65),"50",IF(AND((((_xlfn.XLOOKUP(Assessment!H155,Inherited!A:A,Inherited!B:B))/100)*(_xlfn.XLOOKUP(Assessment!H155,Inherited!A:A,Inherited!C:C)))+(((100-(_xlfn.XLOOKUP(Assessment!H155,Inherited!A:A,Inherited!B:B)))/100)*IF(X154="1.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(100%)","100"))))))&gt;=66,(((_xlfn.XLOOKUP(Assessment!H155,Inherited!A:A,Inherited!B:B))/100)*(_xlfn.XLOOKUP(Assessment!H155,Inherited!A:A,Inherited!C:C)))+(((100-(_xlfn.XLOOKUP(Assessment!H155,Inherited!A:A,Inherited!B:B)))/100)*IF(X154="1.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(100%)","100"))))))&lt;=89),"75",IF((((_xlfn.XLOOKUP(Assessment!H155,Inherited!A:A,Inherited!B:B))/100)*(_xlfn.XLOOKUP(Assessment!H155,Inherited!A:A,Inherited!C:C)))+(((100-(_xlfn.XLOOKUP(Assessment!H155,Inherited!A:A,Inherited!B:B)))/100)*IF(X154="1. Non Compliant (0%)","0",IF(X154="2. Somewhat Compliant (25%)","25",IF(X154="3. Partially Compliant (50%)","50",IF(X154="4. Mostly Compliant (75%)","75",IF(X154="5. Fully Compliant (100%)","100"))))))&gt;=90,"100"))))))</f>
        <v>#N/A</v>
      </c>
      <c r="R154" s="1" t="e">
        <f>IF(MATCH(H154,Inherited!A:A),IF((((_xlfn.XLOOKUP(Assessment!H155,Inherited!A:A,Inherited!B:B))/100)*(_xlfn.XLOOKUP(Assessment!H155,Inherited!A:A,Inherited!D:D)))+(((100-(_xlfn.XLOOKUP(Assessment!H155,Inherited!A:A,Inherited!B:B)))/100)*IF(Y154="1.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(100%)","100"))))))&lt;=10,"0", IF(AND((((_xlfn.XLOOKUP(Assessment!H155,Inherited!A:A,Inherited!B:B))/100)*(_xlfn.XLOOKUP(Assessment!H155,Inherited!A:A,Inherited!D:D)))+(((100-(_xlfn.XLOOKUP(Assessment!H155,Inherited!A:A,Inherited!B:B)))/100)*IF(Y154="1.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(100%)","100"))))))&gt;=11,(((_xlfn.XLOOKUP(Assessment!H155,Inherited!A:A,Inherited!B:B))/100)*(_xlfn.XLOOKUP(Assessment!H155,Inherited!A:A,Inherited!D:D)))+(((100-(_xlfn.XLOOKUP(Assessment!H155,Inherited!A:A,Inherited!B:B)))/100)*IF(Y154="1.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(100%)","100"))))))&lt;=32),"25",IF(AND((((_xlfn.XLOOKUP(Assessment!H155,Inherited!A:A,Inherited!B:B))/100)*(_xlfn.XLOOKUP(Assessment!H155,Inherited!A:A,Inherited!D:D)))+(((100-(_xlfn.XLOOKUP(Assessment!H155,Inherited!A:A,Inherited!B:B)))/100)*IF(Y154="1.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(100%)","100"))))))&gt;=33,(((_xlfn.XLOOKUP(Assessment!H155,Inherited!A:A,Inherited!B:B))/100)*(_xlfn.XLOOKUP(Assessment!H155,Inherited!A:A,Inherited!D:D)))+(((100-(_xlfn.XLOOKUP(Assessment!H155,Inherited!A:A,Inherited!B:B)))/100)*IF(Y154="1.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(100%)","100"))))))&lt;=65),"50",IF(AND((((_xlfn.XLOOKUP(Assessment!H155,Inherited!A:A,Inherited!B:B))/100)*(_xlfn.XLOOKUP(Assessment!H155,Inherited!A:A,Inherited!D:D)))+(((100-(_xlfn.XLOOKUP(Assessment!H155,Inherited!A:A,Inherited!B:B)))/100)*IF(Y154="1.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(100%)","100"))))))&gt;=66,(((_xlfn.XLOOKUP(Assessment!H155,Inherited!A:A,Inherited!B:B))/100)*(_xlfn.XLOOKUP(Assessment!H155,Inherited!A:A,Inherited!D:D)))+(((100-(_xlfn.XLOOKUP(Assessment!H155,Inherited!A:A,Inherited!B:B)))/100)*IF(Y154="1.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(100%)","100"))))))&lt;=89),"75",IF((((_xlfn.XLOOKUP(Assessment!H155,Inherited!A:A,Inherited!B:B))/100)*(_xlfn.XLOOKUP(Assessment!H155,Inherited!A:A,Inherited!D:D)))+(((100-(_xlfn.XLOOKUP(Assessment!H155,Inherited!A:A,Inherited!B:B)))/100)*IF(Y154="1. Non Compliant (0%)","0",IF(Y154="2. Somewhat Compliant (25%)","25",IF(Y154="3. Partially Compliant (50%)","50",IF(Y154="4. Mostly Compliant (75%)","75",IF(Y154="5. Fully Compliant (100%)","100"))))))&gt;=90,"100"))))))</f>
        <v>#N/A</v>
      </c>
      <c r="S154" s="1" t="e">
        <f>IF(MATCH(H154,Inherited!A:A),IF((((_xlfn.XLOOKUP(Assessment!H155,Inherited!A:A,Inherited!B:B))/100)*(_xlfn.XLOOKUP(Assessment!H155,Inherited!A:A,Inherited!E:E)))+(((100-(_xlfn.XLOOKUP(Assessment!H155,Inherited!A:A,Inherited!B:B)))/100)*IF(Z154="1.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(100%)","100"))))))&lt;=10,"0", IF(AND((((_xlfn.XLOOKUP(Assessment!H155,Inherited!A:A,Inherited!B:B))/100)*(_xlfn.XLOOKUP(Assessment!H155,Inherited!A:A,Inherited!E:E)))+(((100-(_xlfn.XLOOKUP(Assessment!H155,Inherited!A:A,Inherited!B:B)))/100)*IF(Z154="1.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(100%)","100"))))))&gt;=11,(((_xlfn.XLOOKUP(Assessment!H155,Inherited!A:A,Inherited!B:B))/100)*(_xlfn.XLOOKUP(Assessment!H155,Inherited!A:A,Inherited!E:E)))+(((100-(_xlfn.XLOOKUP(Assessment!H155,Inherited!A:A,Inherited!B:B)))/100)*IF(Z154="1.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(100%)","100"))))))&lt;=32),"25",IF(AND((((_xlfn.XLOOKUP(Assessment!H155,Inherited!A:A,Inherited!B:B))/100)*(_xlfn.XLOOKUP(Assessment!H155,Inherited!A:A,Inherited!E:E)))+(((100-(_xlfn.XLOOKUP(Assessment!H155,Inherited!A:A,Inherited!B:B)))/100)*IF(Z154="1.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(100%)","100"))))))&gt;=33,(((_xlfn.XLOOKUP(Assessment!H155,Inherited!A:A,Inherited!B:B))/100)*(_xlfn.XLOOKUP(Assessment!H155,Inherited!A:A,Inherited!E:E)))+(((100-(_xlfn.XLOOKUP(Assessment!H155,Inherited!A:A,Inherited!B:B)))/100)*IF(Z154="1.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(100%)","100"))))))&lt;=65),"50",IF(AND((((_xlfn.XLOOKUP(Assessment!H155,Inherited!A:A,Inherited!B:B))/100)*(_xlfn.XLOOKUP(Assessment!H155,Inherited!A:A,Inherited!E:E)))+(((100-(_xlfn.XLOOKUP(Assessment!H155,Inherited!A:A,Inherited!B:B)))/100)*IF(Z154="1.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(100%)","100"))))))&gt;=66,(((_xlfn.XLOOKUP(Assessment!H155,Inherited!A:A,Inherited!B:B))/100)*(_xlfn.XLOOKUP(Assessment!H155,Inherited!A:A,Inherited!E:E)))+(((100-(_xlfn.XLOOKUP(Assessment!H155,Inherited!A:A,Inherited!B:B)))/100)*IF(Z154="1.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(100%)","100"))))))&lt;=89),"75",IF((((_xlfn.XLOOKUP(Assessment!H155,Inherited!A:A,Inherited!B:B))/100)*(_xlfn.XLOOKUP(Assessment!H155,Inherited!A:A,Inherited!E:E)))+(((100-(_xlfn.XLOOKUP(Assessment!H155,Inherited!A:A,Inherited!B:B)))/100)*IF(Z154="1. Non Compliant (0%)","0",IF(Z154="2. Somewhat Compliant (25%)","25",IF(Z154="3. Partially Compliant (50%)","50",IF(Z154="4. Mostly Compliant (75%)","75",IF(Z154="5. Fully Compliant (100%)","100"))))))&gt;=90,"100"))))))</f>
        <v>#N/A</v>
      </c>
      <c r="T154" s="1" t="e">
        <f>IF(MATCH(H154,Inherited!A:A),IF((((_xlfn.XLOOKUP(Assessment!H155,Inherited!A:A,Inherited!B:B))/100)*(_xlfn.XLOOKUP(Assessment!H155,Inherited!A:A,Inherited!F:F)))+(((100-(_xlfn.XLOOKUP(Assessment!H155,Inherited!A:A,Inherited!B:B)))/100)*IF(AA154="1.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(100%)","100"))))))&lt;=10,"0", IF(AND((((_xlfn.XLOOKUP(Assessment!H155,Inherited!A:A,Inherited!B:B))/100)*(_xlfn.XLOOKUP(Assessment!H155,Inherited!A:A,Inherited!F:F)))+(((100-(_xlfn.XLOOKUP(Assessment!H155,Inherited!A:A,Inherited!B:B)))/100)*IF(AA154="1.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(100%)","100"))))))&gt;=11,(((_xlfn.XLOOKUP(Assessment!H155,Inherited!A:A,Inherited!B:B))/100)*(_xlfn.XLOOKUP(Assessment!H155,Inherited!A:A,Inherited!F:F)))+(((100-(_xlfn.XLOOKUP(Assessment!H155,Inherited!A:A,Inherited!B:B)))/100)*IF(AA154="1.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(100%)","100"))))))&lt;=32),"25",IF(AND((((_xlfn.XLOOKUP(Assessment!H155,Inherited!A:A,Inherited!B:B))/100)*(_xlfn.XLOOKUP(Assessment!H155,Inherited!A:A,Inherited!F:F)))+(((100-(_xlfn.XLOOKUP(Assessment!H155,Inherited!A:A,Inherited!B:B)))/100)*IF(AA154="1.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(100%)","100"))))))&gt;=33,(((_xlfn.XLOOKUP(Assessment!H155,Inherited!A:A,Inherited!B:B))/100)*(_xlfn.XLOOKUP(Assessment!H155,Inherited!A:A,Inherited!F:F)))+(((100-(_xlfn.XLOOKUP(Assessment!H155,Inherited!A:A,Inherited!B:B)))/100)*IF(AA154="1.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(100%)","100"))))))&lt;=65),"50",IF(AND((((_xlfn.XLOOKUP(Assessment!H155,Inherited!A:A,Inherited!B:B))/100)*(_xlfn.XLOOKUP(Assessment!H155,Inherited!A:A,Inherited!F:F)))+(((100-(_xlfn.XLOOKUP(Assessment!H155,Inherited!A:A,Inherited!B:B)))/100)*IF(AA154="1.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(100%)","100"))))))&gt;=66,(((_xlfn.XLOOKUP(Assessment!H155,Inherited!A:A,Inherited!B:B))/100)*(_xlfn.XLOOKUP(Assessment!H155,Inherited!A:A,Inherited!F:F)))+(((100-(_xlfn.XLOOKUP(Assessment!H155,Inherited!A:A,Inherited!B:B)))/100)*IF(AA154="1.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(100%)","100"))))))&lt;=89),"75",IF((((_xlfn.XLOOKUP(Assessment!H155,Inherited!A:A,Inherited!B:B))/100)*(_xlfn.XLOOKUP(Assessment!H155,Inherited!A:A,Inherited!F:F)))+(((100-(_xlfn.XLOOKUP(Assessment!H155,Inherited!A:A,Inherited!B:B)))/100)*IF(AA154="1. Non Compliant (0%)","0",IF(AA154="2. Somewhat Compliant (25%)","25",IF(AA154="3. Partially Compliant (50%)","50",IF(AA154="4. Mostly Compliant (75%)","75",IF(AA154="5. Fully Compliant (100%)","100"))))))&gt;=90,"100"))))))</f>
        <v>#N/A</v>
      </c>
      <c r="U154" s="1" t="e">
        <f>IF(MATCH(H154,Inherited!A:A),IF((((_xlfn.XLOOKUP(Assessment!H155,Inherited!A:A,Inherited!B:B))/100)*(_xlfn.XLOOKUP(Assessment!H155,Inherited!A:A,Inherited!G:G)))+(((100-(_xlfn.XLOOKUP(Assessment!H155,Inherited!A:A,Inherited!B:B)))/100)*IF(AB154="1.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(100%)","100"))))))&lt;=10,"0", IF(AND((((_xlfn.XLOOKUP(Assessment!H155,Inherited!A:A,Inherited!B:B))/100)*(_xlfn.XLOOKUP(Assessment!H155,Inherited!A:A,Inherited!G:G)))+(((100-(_xlfn.XLOOKUP(Assessment!H155,Inherited!A:A,Inherited!B:B)))/100)*IF(AB154="1.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(100%)","100"))))))&gt;=11,(((_xlfn.XLOOKUP(Assessment!H155,Inherited!A:A,Inherited!B:B))/100)*(_xlfn.XLOOKUP(Assessment!H155,Inherited!A:A,Inherited!G:G)))+(((100-(_xlfn.XLOOKUP(Assessment!H155,Inherited!A:A,Inherited!B:B)))/100)*IF(AB154="1.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(100%)","100"))))))&lt;=32),"25",IF(AND((((_xlfn.XLOOKUP(Assessment!H155,Inherited!A:A,Inherited!B:B))/100)*(_xlfn.XLOOKUP(Assessment!H155,Inherited!A:A,Inherited!G:G)))+(((100-(_xlfn.XLOOKUP(Assessment!H155,Inherited!A:A,Inherited!B:B)))/100)*IF(AB154="1.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(100%)","100"))))))&gt;=33,(((_xlfn.XLOOKUP(Assessment!H155,Inherited!A:A,Inherited!B:B))/100)*(_xlfn.XLOOKUP(Assessment!H155,Inherited!A:A,Inherited!G:G)))+(((100-(_xlfn.XLOOKUP(Assessment!H155,Inherited!A:A,Inherited!B:B)))/100)*IF(AB154="1.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(100%)","100"))))))&lt;=65),"50",IF(AND((((_xlfn.XLOOKUP(Assessment!H155,Inherited!A:A,Inherited!B:B))/100)*(_xlfn.XLOOKUP(Assessment!H155,Inherited!A:A,Inherited!G:G)))+(((100-(_xlfn.XLOOKUP(Assessment!H155,Inherited!A:A,Inherited!B:B)))/100)*IF(AB154="1.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(100%)","100"))))))&gt;=66,(((_xlfn.XLOOKUP(Assessment!H155,Inherited!A:A,Inherited!B:B))/100)*(_xlfn.XLOOKUP(Assessment!H155,Inherited!A:A,Inherited!G:G)))+(((100-(_xlfn.XLOOKUP(Assessment!H155,Inherited!A:A,Inherited!B:B)))/100)*IF(AB154="1.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(100%)","100"))))))&lt;=89),"75",IF((((_xlfn.XLOOKUP(Assessment!H155,Inherited!A:A,Inherited!B:B))/100)*(_xlfn.XLOOKUP(Assessment!H155,Inherited!A:A,Inherited!G:G)))+(((100-(_xlfn.XLOOKUP(Assessment!H155,Inherited!A:A,Inherited!B:B)))/100)*IF(AB154="1. Non Compliant (0%)","0",IF(AB154="2. Somewhat Compliant (25%)","25",IF(AB154="3. Partially Compliant (50%)","50",IF(AB154="4. Mostly Compliant (75%)","75",IF(AB154="5. Fully Compliant (100%)","100"))))))&gt;=90,"100"))))))</f>
        <v>#N/A</v>
      </c>
      <c r="V154" s="55" t="s">
        <v>85</v>
      </c>
      <c r="W154" s="55"/>
      <c r="X154" s="55"/>
      <c r="Y154" s="55"/>
      <c r="Z154" s="55" t="s">
        <v>10873</v>
      </c>
      <c r="AA154" s="55"/>
      <c r="AB154" s="55"/>
      <c r="AK154" s="1" t="s">
        <v>10978</v>
      </c>
      <c r="AL154" s="1" t="s">
        <v>11010</v>
      </c>
      <c r="AP154" s="1" t="s">
        <v>11114</v>
      </c>
      <c r="AX154" s="3" t="str">
        <f>_xlfn.CONCAT("A-LIGN finished its review of this control on ",AR154, " during the scheduled fieldwork window (",Intro!$B$4,")."&amp; CHAR(10)&amp; CHAR(10))</f>
        <v xml:space="preserve">A-LIGN finished its review of this control on  during the scheduled fieldwork window (Fieldwork: xx/xx/xxxx - xx/xx/xxxx).
</v>
      </c>
      <c r="AY154" s="3" t="str">
        <f t="shared" si="320"/>
        <v/>
      </c>
      <c r="AZ154" s="3" t="str">
        <f t="shared" si="321"/>
        <v/>
      </c>
      <c r="BA154" s="3" t="str">
        <f t="shared" si="322"/>
        <v/>
      </c>
      <c r="BB154"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4" s="3" t="str">
        <f t="shared" si="324"/>
        <v/>
      </c>
      <c r="BD154"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organization has defined the necessary scope of its risk management activities.
</v>
      </c>
      <c r="BE154" s="3" t="str">
        <f t="shared" si="326"/>
        <v/>
      </c>
      <c r="BF154" s="3" t="str">
        <f t="shared" si="327"/>
        <v/>
      </c>
      <c r="BG154" s="3" t="str">
        <f>_xlfn.CONCAT((IF((COUNTIF('Sample Tables'!B:B,"")&gt;0)=TRUE,_xlfn.CONCAT("",""),IF((COUNTIF('Sample Tables'!B:B,"")&gt;0)=FALSE,""))),)</f>
        <v/>
      </c>
      <c r="BH154"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organization has defined the necessary scope of its risk management activities.
</v>
      </c>
    </row>
    <row r="155" spans="3:60" ht="337.5" x14ac:dyDescent="0.35">
      <c r="C155" s="1">
        <f t="shared" si="329"/>
        <v>0</v>
      </c>
      <c r="D155" s="5" t="str">
        <f>IF(AND((_xlfn.XLOOKUP(J155,'Fields &amp; Revisions'!$H:$H,'Fields &amp; Revisions'!$I:$I))&lt;70.99,(OR(Z155="4. Mostly Compliant (75%)",Z155="3. Partially Compliant (50%)",Z155="2. Somewhat Compliant (25%)",Z155="1. Non Compliant (0%)"))),"Yes","No")</f>
        <v>Yes</v>
      </c>
      <c r="E155" s="5" t="str">
        <f>IF(ISERROR(VLOOKUP(H155,Scope!A:A,1,FALSE)),"No","Yes")</f>
        <v>Yes</v>
      </c>
      <c r="F155" s="1" t="s">
        <v>4666</v>
      </c>
      <c r="G155" s="53" t="s">
        <v>4772</v>
      </c>
      <c r="H155" s="53" t="s">
        <v>4773</v>
      </c>
      <c r="I155" s="5" t="s">
        <v>242</v>
      </c>
      <c r="J155" s="1" t="s">
        <v>226</v>
      </c>
      <c r="K155" s="54" t="s">
        <v>4774</v>
      </c>
      <c r="L155" s="1" t="s">
        <v>4775</v>
      </c>
      <c r="M155" s="1" t="s">
        <v>4776</v>
      </c>
      <c r="N155" s="5" t="s">
        <v>98</v>
      </c>
      <c r="O155" s="1" t="str">
        <f>_xlfn.XLOOKUP(G155,SRMs!$A:$A,SRMs!$D:$D)</f>
        <v>NO INHERITANCE</v>
      </c>
      <c r="P155" s="1" t="str">
        <f>IFERROR(VLOOKUP(H155,Inherited!A:B,2,FALSE),"")</f>
        <v/>
      </c>
      <c r="Q155" s="1" t="e">
        <f>IF(MATCH(H155,Inherited!A:A),IF((((_xlfn.XLOOKUP(Assessment!H156,Inherited!A:A,Inherited!B:B))/100)*(_xlfn.XLOOKUP(Assessment!H156,Inherited!A:A,Inherited!C:C)))+(((100-(_xlfn.XLOOKUP(Assessment!H156,Inherited!A:A,Inherited!B:B)))/100)*IF(X155="1.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(100%)","100"))))))&lt;=10,"0", IF(AND((((_xlfn.XLOOKUP(Assessment!H156,Inherited!A:A,Inherited!B:B))/100)*(_xlfn.XLOOKUP(Assessment!H156,Inherited!A:A,Inherited!C:C)))+(((100-(_xlfn.XLOOKUP(Assessment!H156,Inherited!A:A,Inherited!B:B)))/100)*IF(X155="1.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(100%)","100"))))))&gt;=11,(((_xlfn.XLOOKUP(Assessment!H156,Inherited!A:A,Inherited!B:B))/100)*(_xlfn.XLOOKUP(Assessment!H156,Inherited!A:A,Inherited!C:C)))+(((100-(_xlfn.XLOOKUP(Assessment!H156,Inherited!A:A,Inherited!B:B)))/100)*IF(X155="1.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(100%)","100"))))))&lt;=32),"25",IF(AND((((_xlfn.XLOOKUP(Assessment!H156,Inherited!A:A,Inherited!B:B))/100)*(_xlfn.XLOOKUP(Assessment!H156,Inherited!A:A,Inherited!C:C)))+(((100-(_xlfn.XLOOKUP(Assessment!H156,Inherited!A:A,Inherited!B:B)))/100)*IF(X155="1.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(100%)","100"))))))&gt;=33,(((_xlfn.XLOOKUP(Assessment!H156,Inherited!A:A,Inherited!B:B))/100)*(_xlfn.XLOOKUP(Assessment!H156,Inherited!A:A,Inherited!C:C)))+(((100-(_xlfn.XLOOKUP(Assessment!H156,Inherited!A:A,Inherited!B:B)))/100)*IF(X155="1.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(100%)","100"))))))&lt;=65),"50",IF(AND((((_xlfn.XLOOKUP(Assessment!H156,Inherited!A:A,Inherited!B:B))/100)*(_xlfn.XLOOKUP(Assessment!H156,Inherited!A:A,Inherited!C:C)))+(((100-(_xlfn.XLOOKUP(Assessment!H156,Inherited!A:A,Inherited!B:B)))/100)*IF(X155="1.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(100%)","100"))))))&gt;=66,(((_xlfn.XLOOKUP(Assessment!H156,Inherited!A:A,Inherited!B:B))/100)*(_xlfn.XLOOKUP(Assessment!H156,Inherited!A:A,Inherited!C:C)))+(((100-(_xlfn.XLOOKUP(Assessment!H156,Inherited!A:A,Inherited!B:B)))/100)*IF(X155="1.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(100%)","100"))))))&lt;=89),"75",IF((((_xlfn.XLOOKUP(Assessment!H156,Inherited!A:A,Inherited!B:B))/100)*(_xlfn.XLOOKUP(Assessment!H156,Inherited!A:A,Inherited!C:C)))+(((100-(_xlfn.XLOOKUP(Assessment!H156,Inherited!A:A,Inherited!B:B)))/100)*IF(X155="1. Non Compliant (0%)","0",IF(X155="2. Somewhat Compliant (25%)","25",IF(X155="3. Partially Compliant (50%)","50",IF(X155="4. Mostly Compliant (75%)","75",IF(X155="5. Fully Compliant (100%)","100"))))))&gt;=90,"100"))))))</f>
        <v>#N/A</v>
      </c>
      <c r="R155" s="1" t="e">
        <f>IF(MATCH(H155,Inherited!A:A),IF((((_xlfn.XLOOKUP(Assessment!H156,Inherited!A:A,Inherited!B:B))/100)*(_xlfn.XLOOKUP(Assessment!H156,Inherited!A:A,Inherited!D:D)))+(((100-(_xlfn.XLOOKUP(Assessment!H156,Inherited!A:A,Inherited!B:B)))/100)*IF(Y155="1.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(100%)","100"))))))&lt;=10,"0", IF(AND((((_xlfn.XLOOKUP(Assessment!H156,Inherited!A:A,Inherited!B:B))/100)*(_xlfn.XLOOKUP(Assessment!H156,Inherited!A:A,Inherited!D:D)))+(((100-(_xlfn.XLOOKUP(Assessment!H156,Inherited!A:A,Inherited!B:B)))/100)*IF(Y155="1.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(100%)","100"))))))&gt;=11,(((_xlfn.XLOOKUP(Assessment!H156,Inherited!A:A,Inherited!B:B))/100)*(_xlfn.XLOOKUP(Assessment!H156,Inherited!A:A,Inherited!D:D)))+(((100-(_xlfn.XLOOKUP(Assessment!H156,Inherited!A:A,Inherited!B:B)))/100)*IF(Y155="1.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(100%)","100"))))))&lt;=32),"25",IF(AND((((_xlfn.XLOOKUP(Assessment!H156,Inherited!A:A,Inherited!B:B))/100)*(_xlfn.XLOOKUP(Assessment!H156,Inherited!A:A,Inherited!D:D)))+(((100-(_xlfn.XLOOKUP(Assessment!H156,Inherited!A:A,Inherited!B:B)))/100)*IF(Y155="1.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(100%)","100"))))))&gt;=33,(((_xlfn.XLOOKUP(Assessment!H156,Inherited!A:A,Inherited!B:B))/100)*(_xlfn.XLOOKUP(Assessment!H156,Inherited!A:A,Inherited!D:D)))+(((100-(_xlfn.XLOOKUP(Assessment!H156,Inherited!A:A,Inherited!B:B)))/100)*IF(Y155="1.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(100%)","100"))))))&lt;=65),"50",IF(AND((((_xlfn.XLOOKUP(Assessment!H156,Inherited!A:A,Inherited!B:B))/100)*(_xlfn.XLOOKUP(Assessment!H156,Inherited!A:A,Inherited!D:D)))+(((100-(_xlfn.XLOOKUP(Assessment!H156,Inherited!A:A,Inherited!B:B)))/100)*IF(Y155="1.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(100%)","100"))))))&gt;=66,(((_xlfn.XLOOKUP(Assessment!H156,Inherited!A:A,Inherited!B:B))/100)*(_xlfn.XLOOKUP(Assessment!H156,Inherited!A:A,Inherited!D:D)))+(((100-(_xlfn.XLOOKUP(Assessment!H156,Inherited!A:A,Inherited!B:B)))/100)*IF(Y155="1.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(100%)","100"))))))&lt;=89),"75",IF((((_xlfn.XLOOKUP(Assessment!H156,Inherited!A:A,Inherited!B:B))/100)*(_xlfn.XLOOKUP(Assessment!H156,Inherited!A:A,Inherited!D:D)))+(((100-(_xlfn.XLOOKUP(Assessment!H156,Inherited!A:A,Inherited!B:B)))/100)*IF(Y155="1. Non Compliant (0%)","0",IF(Y155="2. Somewhat Compliant (25%)","25",IF(Y155="3. Partially Compliant (50%)","50",IF(Y155="4. Mostly Compliant (75%)","75",IF(Y155="5. Fully Compliant (100%)","100"))))))&gt;=90,"100"))))))</f>
        <v>#N/A</v>
      </c>
      <c r="S155" s="1" t="e">
        <f>IF(MATCH(H155,Inherited!A:A),IF((((_xlfn.XLOOKUP(Assessment!H156,Inherited!A:A,Inherited!B:B))/100)*(_xlfn.XLOOKUP(Assessment!H156,Inherited!A:A,Inherited!E:E)))+(((100-(_xlfn.XLOOKUP(Assessment!H156,Inherited!A:A,Inherited!B:B)))/100)*IF(Z155="1.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(100%)","100"))))))&lt;=10,"0", IF(AND((((_xlfn.XLOOKUP(Assessment!H156,Inherited!A:A,Inherited!B:B))/100)*(_xlfn.XLOOKUP(Assessment!H156,Inherited!A:A,Inherited!E:E)))+(((100-(_xlfn.XLOOKUP(Assessment!H156,Inherited!A:A,Inherited!B:B)))/100)*IF(Z155="1.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(100%)","100"))))))&gt;=11,(((_xlfn.XLOOKUP(Assessment!H156,Inherited!A:A,Inherited!B:B))/100)*(_xlfn.XLOOKUP(Assessment!H156,Inherited!A:A,Inherited!E:E)))+(((100-(_xlfn.XLOOKUP(Assessment!H156,Inherited!A:A,Inherited!B:B)))/100)*IF(Z155="1.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(100%)","100"))))))&lt;=32),"25",IF(AND((((_xlfn.XLOOKUP(Assessment!H156,Inherited!A:A,Inherited!B:B))/100)*(_xlfn.XLOOKUP(Assessment!H156,Inherited!A:A,Inherited!E:E)))+(((100-(_xlfn.XLOOKUP(Assessment!H156,Inherited!A:A,Inherited!B:B)))/100)*IF(Z155="1.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(100%)","100"))))))&gt;=33,(((_xlfn.XLOOKUP(Assessment!H156,Inherited!A:A,Inherited!B:B))/100)*(_xlfn.XLOOKUP(Assessment!H156,Inherited!A:A,Inherited!E:E)))+(((100-(_xlfn.XLOOKUP(Assessment!H156,Inherited!A:A,Inherited!B:B)))/100)*IF(Z155="1.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(100%)","100"))))))&lt;=65),"50",IF(AND((((_xlfn.XLOOKUP(Assessment!H156,Inherited!A:A,Inherited!B:B))/100)*(_xlfn.XLOOKUP(Assessment!H156,Inherited!A:A,Inherited!E:E)))+(((100-(_xlfn.XLOOKUP(Assessment!H156,Inherited!A:A,Inherited!B:B)))/100)*IF(Z155="1.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(100%)","100"))))))&gt;=66,(((_xlfn.XLOOKUP(Assessment!H156,Inherited!A:A,Inherited!B:B))/100)*(_xlfn.XLOOKUP(Assessment!H156,Inherited!A:A,Inherited!E:E)))+(((100-(_xlfn.XLOOKUP(Assessment!H156,Inherited!A:A,Inherited!B:B)))/100)*IF(Z155="1.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(100%)","100"))))))&lt;=89),"75",IF((((_xlfn.XLOOKUP(Assessment!H156,Inherited!A:A,Inherited!B:B))/100)*(_xlfn.XLOOKUP(Assessment!H156,Inherited!A:A,Inherited!E:E)))+(((100-(_xlfn.XLOOKUP(Assessment!H156,Inherited!A:A,Inherited!B:B)))/100)*IF(Z155="1. Non Compliant (0%)","0",IF(Z155="2. Somewhat Compliant (25%)","25",IF(Z155="3. Partially Compliant (50%)","50",IF(Z155="4. Mostly Compliant (75%)","75",IF(Z155="5. Fully Compliant (100%)","100"))))))&gt;=90,"100"))))))</f>
        <v>#N/A</v>
      </c>
      <c r="T155" s="1" t="e">
        <f>IF(MATCH(H155,Inherited!A:A),IF((((_xlfn.XLOOKUP(Assessment!H156,Inherited!A:A,Inherited!B:B))/100)*(_xlfn.XLOOKUP(Assessment!H156,Inherited!A:A,Inherited!F:F)))+(((100-(_xlfn.XLOOKUP(Assessment!H156,Inherited!A:A,Inherited!B:B)))/100)*IF(AA155="1.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(100%)","100"))))))&lt;=10,"0", IF(AND((((_xlfn.XLOOKUP(Assessment!H156,Inherited!A:A,Inherited!B:B))/100)*(_xlfn.XLOOKUP(Assessment!H156,Inherited!A:A,Inherited!F:F)))+(((100-(_xlfn.XLOOKUP(Assessment!H156,Inherited!A:A,Inherited!B:B)))/100)*IF(AA155="1.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(100%)","100"))))))&gt;=11,(((_xlfn.XLOOKUP(Assessment!H156,Inherited!A:A,Inherited!B:B))/100)*(_xlfn.XLOOKUP(Assessment!H156,Inherited!A:A,Inherited!F:F)))+(((100-(_xlfn.XLOOKUP(Assessment!H156,Inherited!A:A,Inherited!B:B)))/100)*IF(AA155="1.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(100%)","100"))))))&lt;=32),"25",IF(AND((((_xlfn.XLOOKUP(Assessment!H156,Inherited!A:A,Inherited!B:B))/100)*(_xlfn.XLOOKUP(Assessment!H156,Inherited!A:A,Inherited!F:F)))+(((100-(_xlfn.XLOOKUP(Assessment!H156,Inherited!A:A,Inherited!B:B)))/100)*IF(AA155="1.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(100%)","100"))))))&gt;=33,(((_xlfn.XLOOKUP(Assessment!H156,Inherited!A:A,Inherited!B:B))/100)*(_xlfn.XLOOKUP(Assessment!H156,Inherited!A:A,Inherited!F:F)))+(((100-(_xlfn.XLOOKUP(Assessment!H156,Inherited!A:A,Inherited!B:B)))/100)*IF(AA155="1.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(100%)","100"))))))&lt;=65),"50",IF(AND((((_xlfn.XLOOKUP(Assessment!H156,Inherited!A:A,Inherited!B:B))/100)*(_xlfn.XLOOKUP(Assessment!H156,Inherited!A:A,Inherited!F:F)))+(((100-(_xlfn.XLOOKUP(Assessment!H156,Inherited!A:A,Inherited!B:B)))/100)*IF(AA155="1.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(100%)","100"))))))&gt;=66,(((_xlfn.XLOOKUP(Assessment!H156,Inherited!A:A,Inherited!B:B))/100)*(_xlfn.XLOOKUP(Assessment!H156,Inherited!A:A,Inherited!F:F)))+(((100-(_xlfn.XLOOKUP(Assessment!H156,Inherited!A:A,Inherited!B:B)))/100)*IF(AA155="1.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(100%)","100"))))))&lt;=89),"75",IF((((_xlfn.XLOOKUP(Assessment!H156,Inherited!A:A,Inherited!B:B))/100)*(_xlfn.XLOOKUP(Assessment!H156,Inherited!A:A,Inherited!F:F)))+(((100-(_xlfn.XLOOKUP(Assessment!H156,Inherited!A:A,Inherited!B:B)))/100)*IF(AA155="1. Non Compliant (0%)","0",IF(AA155="2. Somewhat Compliant (25%)","25",IF(AA155="3. Partially Compliant (50%)","50",IF(AA155="4. Mostly Compliant (75%)","75",IF(AA155="5. Fully Compliant (100%)","100"))))))&gt;=90,"100"))))))</f>
        <v>#N/A</v>
      </c>
      <c r="U155" s="1" t="e">
        <f>IF(MATCH(H155,Inherited!A:A),IF((((_xlfn.XLOOKUP(Assessment!H156,Inherited!A:A,Inherited!B:B))/100)*(_xlfn.XLOOKUP(Assessment!H156,Inherited!A:A,Inherited!G:G)))+(((100-(_xlfn.XLOOKUP(Assessment!H156,Inherited!A:A,Inherited!B:B)))/100)*IF(AB155="1.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(100%)","100"))))))&lt;=10,"0", IF(AND((((_xlfn.XLOOKUP(Assessment!H156,Inherited!A:A,Inherited!B:B))/100)*(_xlfn.XLOOKUP(Assessment!H156,Inherited!A:A,Inherited!G:G)))+(((100-(_xlfn.XLOOKUP(Assessment!H156,Inherited!A:A,Inherited!B:B)))/100)*IF(AB155="1.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(100%)","100"))))))&gt;=11,(((_xlfn.XLOOKUP(Assessment!H156,Inherited!A:A,Inherited!B:B))/100)*(_xlfn.XLOOKUP(Assessment!H156,Inherited!A:A,Inherited!G:G)))+(((100-(_xlfn.XLOOKUP(Assessment!H156,Inherited!A:A,Inherited!B:B)))/100)*IF(AB155="1.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(100%)","100"))))))&lt;=32),"25",IF(AND((((_xlfn.XLOOKUP(Assessment!H156,Inherited!A:A,Inherited!B:B))/100)*(_xlfn.XLOOKUP(Assessment!H156,Inherited!A:A,Inherited!G:G)))+(((100-(_xlfn.XLOOKUP(Assessment!H156,Inherited!A:A,Inherited!B:B)))/100)*IF(AB155="1.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(100%)","100"))))))&gt;=33,(((_xlfn.XLOOKUP(Assessment!H156,Inherited!A:A,Inherited!B:B))/100)*(_xlfn.XLOOKUP(Assessment!H156,Inherited!A:A,Inherited!G:G)))+(((100-(_xlfn.XLOOKUP(Assessment!H156,Inherited!A:A,Inherited!B:B)))/100)*IF(AB155="1.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(100%)","100"))))))&lt;=65),"50",IF(AND((((_xlfn.XLOOKUP(Assessment!H156,Inherited!A:A,Inherited!B:B))/100)*(_xlfn.XLOOKUP(Assessment!H156,Inherited!A:A,Inherited!G:G)))+(((100-(_xlfn.XLOOKUP(Assessment!H156,Inherited!A:A,Inherited!B:B)))/100)*IF(AB155="1.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(100%)","100"))))))&gt;=66,(((_xlfn.XLOOKUP(Assessment!H156,Inherited!A:A,Inherited!B:B))/100)*(_xlfn.XLOOKUP(Assessment!H156,Inherited!A:A,Inherited!G:G)))+(((100-(_xlfn.XLOOKUP(Assessment!H156,Inherited!A:A,Inherited!B:B)))/100)*IF(AB155="1.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(100%)","100"))))))&lt;=89),"75",IF((((_xlfn.XLOOKUP(Assessment!H156,Inherited!A:A,Inherited!B:B))/100)*(_xlfn.XLOOKUP(Assessment!H156,Inherited!A:A,Inherited!G:G)))+(((100-(_xlfn.XLOOKUP(Assessment!H156,Inherited!A:A,Inherited!B:B)))/100)*IF(AB155="1. Non Compliant (0%)","0",IF(AB155="2. Somewhat Compliant (25%)","25",IF(AB155="3. Partially Compliant (50%)","50",IF(AB155="4. Mostly Compliant (75%)","75",IF(AB155="5. Fully Compliant (100%)","100"))))))&gt;=90,"100"))))))</f>
        <v>#N/A</v>
      </c>
      <c r="V155" s="55" t="s">
        <v>85</v>
      </c>
      <c r="W155" s="55"/>
      <c r="X155" s="55"/>
      <c r="Y155" s="55"/>
      <c r="Z155" s="55" t="s">
        <v>10873</v>
      </c>
      <c r="AA155" s="55"/>
      <c r="AB155" s="55"/>
      <c r="AK155" s="1" t="s">
        <v>10978</v>
      </c>
      <c r="AP155" s="1" t="s">
        <v>11160</v>
      </c>
      <c r="AX155" s="3" t="str">
        <f>_xlfn.CONCAT("A-LIGN finished its review of this control on ",AR155, " during the scheduled fieldwork window (",Intro!$B$4,")."&amp; CHAR(10)&amp; CHAR(10))</f>
        <v xml:space="preserve">A-LIGN finished its review of this control on  during the scheduled fieldwork window (Fieldwork: xx/xx/xxxx - xx/xx/xxxx).
</v>
      </c>
      <c r="AY155" s="3" t="str">
        <f t="shared" si="320"/>
        <v/>
      </c>
      <c r="AZ155" s="3" t="str">
        <f t="shared" si="321"/>
        <v/>
      </c>
      <c r="BA155" s="3" t="str">
        <f t="shared" si="322"/>
        <v/>
      </c>
      <c r="BB155" s="3" t="str">
        <f t="shared" si="323"/>
        <v xml:space="preserve">Inquired of the following workforce member: 
Michael Wood - VP of AI Engineering
Kyle Smith - IT Operations and AI Expert 
Inquiry lead to the following conclusions: 
</v>
      </c>
      <c r="BC155" s="3" t="str">
        <f t="shared" si="324"/>
        <v/>
      </c>
      <c r="BD155" s="3" t="str">
        <f t="shared" si="325"/>
        <v xml:space="preserve">Examined the following evidence during fieldwork:
Reviewed evidence addressed the requirement statement.
Reviewed evidence exception note: 
Gap: Human Behavior and Culture is not currently a factor within Vanta for the Risk Management Program
Recommendation: Management should ensure that a factor is added to Vanta to satisfy this control.
</v>
      </c>
      <c r="BE155" s="3" t="str">
        <f t="shared" si="326"/>
        <v/>
      </c>
      <c r="BF155" s="3" t="str">
        <f t="shared" si="327"/>
        <v/>
      </c>
      <c r="BG155" s="3" t="str">
        <f>_xlfn.CONCAT((IF((COUNTIF('Sample Tables'!B:B,"")&gt;0)=TRUE,_xlfn.CONCAT("",""),IF((COUNTIF('Sample Tables'!B:B,"")&gt;0)=FALSE,""))),)</f>
        <v/>
      </c>
      <c r="BH155"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Examined the following evidence during fieldwork:
Reviewed evidence addressed the requirement statement.
Reviewed evidence exception note: 
Gap: Human Behavior and Culture is not currently a factor within Vanta for the Risk Management Program
Recommendation: Management should ensure that a factor is added to Vanta to satisfy this control.
</v>
      </c>
    </row>
    <row r="156" spans="3:60" ht="409.5" x14ac:dyDescent="0.35">
      <c r="C156" s="1">
        <f t="shared" si="329"/>
        <v>0</v>
      </c>
      <c r="D156" s="5" t="str">
        <f>IF(AND((_xlfn.XLOOKUP(J156,'Fields &amp; Revisions'!$H:$H,'Fields &amp; Revisions'!$I:$I))&lt;70.99,(OR(Z156="4. Mostly Compliant (75%)",Z156="3. Partially Compliant (50%)",Z156="2. Somewhat Compliant (25%)",Z156="1. Non Compliant (0%)"))),"Yes","No")</f>
        <v>Yes</v>
      </c>
      <c r="E156" s="5" t="str">
        <f>IF(ISERROR(VLOOKUP(H156,Scope!A:A,1,FALSE)),"No","Yes")</f>
        <v>Yes</v>
      </c>
      <c r="F156" s="1" t="s">
        <v>4666</v>
      </c>
      <c r="G156" s="53" t="s">
        <v>4777</v>
      </c>
      <c r="H156" s="53" t="s">
        <v>4778</v>
      </c>
      <c r="I156" s="5" t="s">
        <v>242</v>
      </c>
      <c r="J156" s="1" t="s">
        <v>226</v>
      </c>
      <c r="K156" s="54" t="s">
        <v>4779</v>
      </c>
      <c r="L156" s="1" t="s">
        <v>4780</v>
      </c>
      <c r="M156" s="1" t="s">
        <v>4781</v>
      </c>
      <c r="N156" s="5" t="s">
        <v>98</v>
      </c>
      <c r="O156" s="1" t="str">
        <f>_xlfn.XLOOKUP(G156,SRMs!$A:$A,SRMs!$D:$D)</f>
        <v>NO INHERITANCE</v>
      </c>
      <c r="P156" s="1" t="str">
        <f>IFERROR(VLOOKUP(H156,Inherited!A:B,2,FALSE),"")</f>
        <v/>
      </c>
      <c r="Q156" s="1" t="e">
        <f>IF(MATCH(H156,Inherited!A:A),IF((((_xlfn.XLOOKUP(Assessment!H157,Inherited!A:A,Inherited!B:B))/100)*(_xlfn.XLOOKUP(Assessment!H157,Inherited!A:A,Inherited!C:C)))+(((100-(_xlfn.XLOOKUP(Assessment!H157,Inherited!A:A,Inherited!B:B)))/100)*IF(X156="1.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(100%)","100"))))))&lt;=10,"0", IF(AND((((_xlfn.XLOOKUP(Assessment!H157,Inherited!A:A,Inherited!B:B))/100)*(_xlfn.XLOOKUP(Assessment!H157,Inherited!A:A,Inherited!C:C)))+(((100-(_xlfn.XLOOKUP(Assessment!H157,Inherited!A:A,Inherited!B:B)))/100)*IF(X156="1.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(100%)","100"))))))&gt;=11,(((_xlfn.XLOOKUP(Assessment!H157,Inherited!A:A,Inherited!B:B))/100)*(_xlfn.XLOOKUP(Assessment!H157,Inherited!A:A,Inherited!C:C)))+(((100-(_xlfn.XLOOKUP(Assessment!H157,Inherited!A:A,Inherited!B:B)))/100)*IF(X156="1.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(100%)","100"))))))&lt;=32),"25",IF(AND((((_xlfn.XLOOKUP(Assessment!H157,Inherited!A:A,Inherited!B:B))/100)*(_xlfn.XLOOKUP(Assessment!H157,Inherited!A:A,Inherited!C:C)))+(((100-(_xlfn.XLOOKUP(Assessment!H157,Inherited!A:A,Inherited!B:B)))/100)*IF(X156="1.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(100%)","100"))))))&gt;=33,(((_xlfn.XLOOKUP(Assessment!H157,Inherited!A:A,Inherited!B:B))/100)*(_xlfn.XLOOKUP(Assessment!H157,Inherited!A:A,Inherited!C:C)))+(((100-(_xlfn.XLOOKUP(Assessment!H157,Inherited!A:A,Inherited!B:B)))/100)*IF(X156="1.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(100%)","100"))))))&lt;=65),"50",IF(AND((((_xlfn.XLOOKUP(Assessment!H157,Inherited!A:A,Inherited!B:B))/100)*(_xlfn.XLOOKUP(Assessment!H157,Inherited!A:A,Inherited!C:C)))+(((100-(_xlfn.XLOOKUP(Assessment!H157,Inherited!A:A,Inherited!B:B)))/100)*IF(X156="1.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(100%)","100"))))))&gt;=66,(((_xlfn.XLOOKUP(Assessment!H157,Inherited!A:A,Inherited!B:B))/100)*(_xlfn.XLOOKUP(Assessment!H157,Inherited!A:A,Inherited!C:C)))+(((100-(_xlfn.XLOOKUP(Assessment!H157,Inherited!A:A,Inherited!B:B)))/100)*IF(X156="1.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(100%)","100"))))))&lt;=89),"75",IF((((_xlfn.XLOOKUP(Assessment!H157,Inherited!A:A,Inherited!B:B))/100)*(_xlfn.XLOOKUP(Assessment!H157,Inherited!A:A,Inherited!C:C)))+(((100-(_xlfn.XLOOKUP(Assessment!H157,Inherited!A:A,Inherited!B:B)))/100)*IF(X156="1. Non Compliant (0%)","0",IF(X156="2. Somewhat Compliant (25%)","25",IF(X156="3. Partially Compliant (50%)","50",IF(X156="4. Mostly Compliant (75%)","75",IF(X156="5. Fully Compliant (100%)","100"))))))&gt;=90,"100"))))))</f>
        <v>#N/A</v>
      </c>
      <c r="R156" s="1" t="e">
        <f>IF(MATCH(H156,Inherited!A:A),IF((((_xlfn.XLOOKUP(Assessment!H157,Inherited!A:A,Inherited!B:B))/100)*(_xlfn.XLOOKUP(Assessment!H157,Inherited!A:A,Inherited!D:D)))+(((100-(_xlfn.XLOOKUP(Assessment!H157,Inherited!A:A,Inherited!B:B)))/100)*IF(Y156="1.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(100%)","100"))))))&lt;=10,"0", IF(AND((((_xlfn.XLOOKUP(Assessment!H157,Inherited!A:A,Inherited!B:B))/100)*(_xlfn.XLOOKUP(Assessment!H157,Inherited!A:A,Inherited!D:D)))+(((100-(_xlfn.XLOOKUP(Assessment!H157,Inherited!A:A,Inherited!B:B)))/100)*IF(Y156="1.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(100%)","100"))))))&gt;=11,(((_xlfn.XLOOKUP(Assessment!H157,Inherited!A:A,Inherited!B:B))/100)*(_xlfn.XLOOKUP(Assessment!H157,Inherited!A:A,Inherited!D:D)))+(((100-(_xlfn.XLOOKUP(Assessment!H157,Inherited!A:A,Inherited!B:B)))/100)*IF(Y156="1.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(100%)","100"))))))&lt;=32),"25",IF(AND((((_xlfn.XLOOKUP(Assessment!H157,Inherited!A:A,Inherited!B:B))/100)*(_xlfn.XLOOKUP(Assessment!H157,Inherited!A:A,Inherited!D:D)))+(((100-(_xlfn.XLOOKUP(Assessment!H157,Inherited!A:A,Inherited!B:B)))/100)*IF(Y156="1.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(100%)","100"))))))&gt;=33,(((_xlfn.XLOOKUP(Assessment!H157,Inherited!A:A,Inherited!B:B))/100)*(_xlfn.XLOOKUP(Assessment!H157,Inherited!A:A,Inherited!D:D)))+(((100-(_xlfn.XLOOKUP(Assessment!H157,Inherited!A:A,Inherited!B:B)))/100)*IF(Y156="1.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(100%)","100"))))))&lt;=65),"50",IF(AND((((_xlfn.XLOOKUP(Assessment!H157,Inherited!A:A,Inherited!B:B))/100)*(_xlfn.XLOOKUP(Assessment!H157,Inherited!A:A,Inherited!D:D)))+(((100-(_xlfn.XLOOKUP(Assessment!H157,Inherited!A:A,Inherited!B:B)))/100)*IF(Y156="1.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(100%)","100"))))))&gt;=66,(((_xlfn.XLOOKUP(Assessment!H157,Inherited!A:A,Inherited!B:B))/100)*(_xlfn.XLOOKUP(Assessment!H157,Inherited!A:A,Inherited!D:D)))+(((100-(_xlfn.XLOOKUP(Assessment!H157,Inherited!A:A,Inherited!B:B)))/100)*IF(Y156="1.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(100%)","100"))))))&lt;=89),"75",IF((((_xlfn.XLOOKUP(Assessment!H157,Inherited!A:A,Inherited!B:B))/100)*(_xlfn.XLOOKUP(Assessment!H157,Inherited!A:A,Inherited!D:D)))+(((100-(_xlfn.XLOOKUP(Assessment!H157,Inherited!A:A,Inherited!B:B)))/100)*IF(Y156="1. Non Compliant (0%)","0",IF(Y156="2. Somewhat Compliant (25%)","25",IF(Y156="3. Partially Compliant (50%)","50",IF(Y156="4. Mostly Compliant (75%)","75",IF(Y156="5. Fully Compliant (100%)","100"))))))&gt;=90,"100"))))))</f>
        <v>#N/A</v>
      </c>
      <c r="S156" s="1" t="e">
        <f>IF(MATCH(H156,Inherited!A:A),IF((((_xlfn.XLOOKUP(Assessment!H157,Inherited!A:A,Inherited!B:B))/100)*(_xlfn.XLOOKUP(Assessment!H157,Inherited!A:A,Inherited!E:E)))+(((100-(_xlfn.XLOOKUP(Assessment!H157,Inherited!A:A,Inherited!B:B)))/100)*IF(Z156="1.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(100%)","100"))))))&lt;=10,"0", IF(AND((((_xlfn.XLOOKUP(Assessment!H157,Inherited!A:A,Inherited!B:B))/100)*(_xlfn.XLOOKUP(Assessment!H157,Inherited!A:A,Inherited!E:E)))+(((100-(_xlfn.XLOOKUP(Assessment!H157,Inherited!A:A,Inherited!B:B)))/100)*IF(Z156="1.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(100%)","100"))))))&gt;=11,(((_xlfn.XLOOKUP(Assessment!H157,Inherited!A:A,Inherited!B:B))/100)*(_xlfn.XLOOKUP(Assessment!H157,Inherited!A:A,Inherited!E:E)))+(((100-(_xlfn.XLOOKUP(Assessment!H157,Inherited!A:A,Inherited!B:B)))/100)*IF(Z156="1.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(100%)","100"))))))&lt;=32),"25",IF(AND((((_xlfn.XLOOKUP(Assessment!H157,Inherited!A:A,Inherited!B:B))/100)*(_xlfn.XLOOKUP(Assessment!H157,Inherited!A:A,Inherited!E:E)))+(((100-(_xlfn.XLOOKUP(Assessment!H157,Inherited!A:A,Inherited!B:B)))/100)*IF(Z156="1.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(100%)","100"))))))&gt;=33,(((_xlfn.XLOOKUP(Assessment!H157,Inherited!A:A,Inherited!B:B))/100)*(_xlfn.XLOOKUP(Assessment!H157,Inherited!A:A,Inherited!E:E)))+(((100-(_xlfn.XLOOKUP(Assessment!H157,Inherited!A:A,Inherited!B:B)))/100)*IF(Z156="1.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(100%)","100"))))))&lt;=65),"50",IF(AND((((_xlfn.XLOOKUP(Assessment!H157,Inherited!A:A,Inherited!B:B))/100)*(_xlfn.XLOOKUP(Assessment!H157,Inherited!A:A,Inherited!E:E)))+(((100-(_xlfn.XLOOKUP(Assessment!H157,Inherited!A:A,Inherited!B:B)))/100)*IF(Z156="1.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(100%)","100"))))))&gt;=66,(((_xlfn.XLOOKUP(Assessment!H157,Inherited!A:A,Inherited!B:B))/100)*(_xlfn.XLOOKUP(Assessment!H157,Inherited!A:A,Inherited!E:E)))+(((100-(_xlfn.XLOOKUP(Assessment!H157,Inherited!A:A,Inherited!B:B)))/100)*IF(Z156="1.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(100%)","100"))))))&lt;=89),"75",IF((((_xlfn.XLOOKUP(Assessment!H157,Inherited!A:A,Inherited!B:B))/100)*(_xlfn.XLOOKUP(Assessment!H157,Inherited!A:A,Inherited!E:E)))+(((100-(_xlfn.XLOOKUP(Assessment!H157,Inherited!A:A,Inherited!B:B)))/100)*IF(Z156="1. Non Compliant (0%)","0",IF(Z156="2. Somewhat Compliant (25%)","25",IF(Z156="3. Partially Compliant (50%)","50",IF(Z156="4. Mostly Compliant (75%)","75",IF(Z156="5. Fully Compliant (100%)","100"))))))&gt;=90,"100"))))))</f>
        <v>#N/A</v>
      </c>
      <c r="T156" s="1" t="e">
        <f>IF(MATCH(H156,Inherited!A:A),IF((((_xlfn.XLOOKUP(Assessment!H157,Inherited!A:A,Inherited!B:B))/100)*(_xlfn.XLOOKUP(Assessment!H157,Inherited!A:A,Inherited!F:F)))+(((100-(_xlfn.XLOOKUP(Assessment!H157,Inherited!A:A,Inherited!B:B)))/100)*IF(AA156="1.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(100%)","100"))))))&lt;=10,"0", IF(AND((((_xlfn.XLOOKUP(Assessment!H157,Inherited!A:A,Inherited!B:B))/100)*(_xlfn.XLOOKUP(Assessment!H157,Inherited!A:A,Inherited!F:F)))+(((100-(_xlfn.XLOOKUP(Assessment!H157,Inherited!A:A,Inherited!B:B)))/100)*IF(AA156="1.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(100%)","100"))))))&gt;=11,(((_xlfn.XLOOKUP(Assessment!H157,Inherited!A:A,Inherited!B:B))/100)*(_xlfn.XLOOKUP(Assessment!H157,Inherited!A:A,Inherited!F:F)))+(((100-(_xlfn.XLOOKUP(Assessment!H157,Inherited!A:A,Inherited!B:B)))/100)*IF(AA156="1.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(100%)","100"))))))&lt;=32),"25",IF(AND((((_xlfn.XLOOKUP(Assessment!H157,Inherited!A:A,Inherited!B:B))/100)*(_xlfn.XLOOKUP(Assessment!H157,Inherited!A:A,Inherited!F:F)))+(((100-(_xlfn.XLOOKUP(Assessment!H157,Inherited!A:A,Inherited!B:B)))/100)*IF(AA156="1.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(100%)","100"))))))&gt;=33,(((_xlfn.XLOOKUP(Assessment!H157,Inherited!A:A,Inherited!B:B))/100)*(_xlfn.XLOOKUP(Assessment!H157,Inherited!A:A,Inherited!F:F)))+(((100-(_xlfn.XLOOKUP(Assessment!H157,Inherited!A:A,Inherited!B:B)))/100)*IF(AA156="1.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(100%)","100"))))))&lt;=65),"50",IF(AND((((_xlfn.XLOOKUP(Assessment!H157,Inherited!A:A,Inherited!B:B))/100)*(_xlfn.XLOOKUP(Assessment!H157,Inherited!A:A,Inherited!F:F)))+(((100-(_xlfn.XLOOKUP(Assessment!H157,Inherited!A:A,Inherited!B:B)))/100)*IF(AA156="1.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(100%)","100"))))))&gt;=66,(((_xlfn.XLOOKUP(Assessment!H157,Inherited!A:A,Inherited!B:B))/100)*(_xlfn.XLOOKUP(Assessment!H157,Inherited!A:A,Inherited!F:F)))+(((100-(_xlfn.XLOOKUP(Assessment!H157,Inherited!A:A,Inherited!B:B)))/100)*IF(AA156="1.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(100%)","100"))))))&lt;=89),"75",IF((((_xlfn.XLOOKUP(Assessment!H157,Inherited!A:A,Inherited!B:B))/100)*(_xlfn.XLOOKUP(Assessment!H157,Inherited!A:A,Inherited!F:F)))+(((100-(_xlfn.XLOOKUP(Assessment!H157,Inherited!A:A,Inherited!B:B)))/100)*IF(AA156="1. Non Compliant (0%)","0",IF(AA156="2. Somewhat Compliant (25%)","25",IF(AA156="3. Partially Compliant (50%)","50",IF(AA156="4. Mostly Compliant (75%)","75",IF(AA156="5. Fully Compliant (100%)","100"))))))&gt;=90,"100"))))))</f>
        <v>#N/A</v>
      </c>
      <c r="U156" s="1" t="e">
        <f>IF(MATCH(H156,Inherited!A:A),IF((((_xlfn.XLOOKUP(Assessment!H157,Inherited!A:A,Inherited!B:B))/100)*(_xlfn.XLOOKUP(Assessment!H157,Inherited!A:A,Inherited!G:G)))+(((100-(_xlfn.XLOOKUP(Assessment!H157,Inherited!A:A,Inherited!B:B)))/100)*IF(AB156="1.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(100%)","100"))))))&lt;=10,"0", IF(AND((((_xlfn.XLOOKUP(Assessment!H157,Inherited!A:A,Inherited!B:B))/100)*(_xlfn.XLOOKUP(Assessment!H157,Inherited!A:A,Inherited!G:G)))+(((100-(_xlfn.XLOOKUP(Assessment!H157,Inherited!A:A,Inherited!B:B)))/100)*IF(AB156="1.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(100%)","100"))))))&gt;=11,(((_xlfn.XLOOKUP(Assessment!H157,Inherited!A:A,Inherited!B:B))/100)*(_xlfn.XLOOKUP(Assessment!H157,Inherited!A:A,Inherited!G:G)))+(((100-(_xlfn.XLOOKUP(Assessment!H157,Inherited!A:A,Inherited!B:B)))/100)*IF(AB156="1.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(100%)","100"))))))&lt;=32),"25",IF(AND((((_xlfn.XLOOKUP(Assessment!H157,Inherited!A:A,Inherited!B:B))/100)*(_xlfn.XLOOKUP(Assessment!H157,Inherited!A:A,Inherited!G:G)))+(((100-(_xlfn.XLOOKUP(Assessment!H157,Inherited!A:A,Inherited!B:B)))/100)*IF(AB156="1.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(100%)","100"))))))&gt;=33,(((_xlfn.XLOOKUP(Assessment!H157,Inherited!A:A,Inherited!B:B))/100)*(_xlfn.XLOOKUP(Assessment!H157,Inherited!A:A,Inherited!G:G)))+(((100-(_xlfn.XLOOKUP(Assessment!H157,Inherited!A:A,Inherited!B:B)))/100)*IF(AB156="1.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(100%)","100"))))))&lt;=65),"50",IF(AND((((_xlfn.XLOOKUP(Assessment!H157,Inherited!A:A,Inherited!B:B))/100)*(_xlfn.XLOOKUP(Assessment!H157,Inherited!A:A,Inherited!G:G)))+(((100-(_xlfn.XLOOKUP(Assessment!H157,Inherited!A:A,Inherited!B:B)))/100)*IF(AB156="1.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(100%)","100"))))))&gt;=66,(((_xlfn.XLOOKUP(Assessment!H157,Inherited!A:A,Inherited!B:B))/100)*(_xlfn.XLOOKUP(Assessment!H157,Inherited!A:A,Inherited!G:G)))+(((100-(_xlfn.XLOOKUP(Assessment!H157,Inherited!A:A,Inherited!B:B)))/100)*IF(AB156="1.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(100%)","100"))))))&lt;=89),"75",IF((((_xlfn.XLOOKUP(Assessment!H157,Inherited!A:A,Inherited!B:B))/100)*(_xlfn.XLOOKUP(Assessment!H157,Inherited!A:A,Inherited!G:G)))+(((100-(_xlfn.XLOOKUP(Assessment!H157,Inherited!A:A,Inherited!B:B)))/100)*IF(AB156="1. Non Compliant (0%)","0",IF(AB156="2. Somewhat Compliant (25%)","25",IF(AB156="3. Partially Compliant (50%)","50",IF(AB156="4. Mostly Compliant (75%)","75",IF(AB156="5. Fully Compliant (100%)","100"))))))&gt;=90,"100"))))))</f>
        <v>#N/A</v>
      </c>
      <c r="V156" s="55" t="s">
        <v>85</v>
      </c>
      <c r="W156" s="55"/>
      <c r="X156" s="55"/>
      <c r="Y156" s="55"/>
      <c r="Z156" s="55" t="s">
        <v>10873</v>
      </c>
      <c r="AA156" s="55"/>
      <c r="AB156" s="55"/>
      <c r="AK156" s="1" t="s">
        <v>10978</v>
      </c>
      <c r="AL156" s="1" t="s">
        <v>11010</v>
      </c>
      <c r="AP156" s="1" t="s">
        <v>11115</v>
      </c>
      <c r="AX156" s="3" t="str">
        <f>_xlfn.CONCAT("A-LIGN finished its review of this control on ",AR156, " during the scheduled fieldwork window (",Intro!$B$4,")."&amp; CHAR(10)&amp; CHAR(10))</f>
        <v xml:space="preserve">A-LIGN finished its review of this control on  during the scheduled fieldwork window (Fieldwork: xx/xx/xxxx - xx/xx/xxxx).
</v>
      </c>
      <c r="AY156" s="3" t="str">
        <f t="shared" si="320"/>
        <v/>
      </c>
      <c r="AZ156" s="3" t="str">
        <f t="shared" si="321"/>
        <v/>
      </c>
      <c r="BA156" s="3" t="str">
        <f t="shared" si="322"/>
        <v/>
      </c>
      <c r="BB156"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6" s="3" t="str">
        <f t="shared" si="324"/>
        <v/>
      </c>
      <c r="BD156"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organization has defined the necessary scope of its risk management activities.
- external: social and/or cultural 
- external: political, legal, and/or regulatory
- external: financial
- external: technological
- external: economic and environmental factors
- external: international, national, regional, and/or local
- external: key drivers and trends affecting the objectives of the organization
- external: external stakeholders’ relationships and/or perceptions, needs, and expectations
- external: contractual relationships and commitments
- external: the complexity of networks and dependencies
- internal: vision, mission, and/or values
- internal: governance, organizational structure, roles, and/or accountabilities
- internal: strategy, objectives, and/or policies
- internal: the organization’s culture
- internal: standards, guidelines, and/or models adopted by the organization
- internal: capabilities, understood in terms of resources and knowledge
- internal: data, information systems and information flows
- internal: relationships with internal stakeholders, taking into account their perceptions and values
- internal: contractual relationships and commitments
- internal: interdependencies and interconnections
</v>
      </c>
      <c r="BE156" s="3" t="str">
        <f t="shared" si="326"/>
        <v/>
      </c>
      <c r="BF156" s="3" t="str">
        <f t="shared" si="327"/>
        <v/>
      </c>
      <c r="BG156" s="3" t="str">
        <f>_xlfn.CONCAT((IF((COUNTIF('Sample Tables'!B:B,"")&gt;0)=TRUE,_xlfn.CONCAT("",""),IF((COUNTIF('Sample Tables'!B:B,"")&gt;0)=FALSE,""))),)</f>
        <v/>
      </c>
      <c r="BH156"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organization has defined the necessary scope of its risk management activities.
- external: social and/or cultural 
- external: political, legal, and/or regulatory
- external: financial
- external: technological
- external: economic and environmental factors
- external: international, national, regional, and/or local
- external: key drivers and trends affecting the objectives of the organization
- external: external stakeholders’ relationships and/or perceptions, needs, and expectations
- external: contractual relationships and commitments
- external: the complexity of networks and dependencies
- internal: vision, mission, and/or values
- internal: governance, organizational structure, roles, and/or accountabilities
- internal: strategy, objectives, and/or policies
- internal: the organization’s culture
- internal: standards, guidelines, and/or models adopted by the organization
- internal: capabilities, understood in terms of resources and knowledge
- internal: data, information systems and information flows
- internal: relationships with internal stakeholders, taking into account their perceptions and values
- internal: contractual relationships and commitments
- internal: interdependencies and interconnections
</v>
      </c>
    </row>
    <row r="157" spans="3:60" ht="409.5" x14ac:dyDescent="0.35">
      <c r="C157" s="1">
        <f t="shared" si="329"/>
        <v>0</v>
      </c>
      <c r="D157" s="5" t="str">
        <f>IF(AND((_xlfn.XLOOKUP(J157,'Fields &amp; Revisions'!$H:$H,'Fields &amp; Revisions'!$I:$I))&lt;70.99,(OR(Z157="4. Mostly Compliant (75%)",Z157="3. Partially Compliant (50%)",Z157="2. Somewhat Compliant (25%)",Z157="1. Non Compliant (0%)"))),"Yes","No")</f>
        <v>Yes</v>
      </c>
      <c r="E157" s="5" t="str">
        <f>IF(ISERROR(VLOOKUP(H157,Scope!A:A,1,FALSE)),"No","Yes")</f>
        <v>Yes</v>
      </c>
      <c r="F157" s="1" t="s">
        <v>4666</v>
      </c>
      <c r="G157" s="53" t="s">
        <v>4782</v>
      </c>
      <c r="H157" s="53" t="s">
        <v>4783</v>
      </c>
      <c r="I157" s="5" t="s">
        <v>242</v>
      </c>
      <c r="J157" s="1" t="s">
        <v>226</v>
      </c>
      <c r="K157" s="54" t="s">
        <v>4784</v>
      </c>
      <c r="L157" s="1" t="s">
        <v>4785</v>
      </c>
      <c r="M157" s="1" t="s">
        <v>4786</v>
      </c>
      <c r="N157" s="5" t="s">
        <v>98</v>
      </c>
      <c r="O157" s="1" t="str">
        <f>_xlfn.XLOOKUP(G157,SRMs!$A:$A,SRMs!$D:$D)</f>
        <v>NO INHERITANCE</v>
      </c>
      <c r="P157" s="1" t="str">
        <f>IFERROR(VLOOKUP(H157,Inherited!A:B,2,FALSE),"")</f>
        <v/>
      </c>
      <c r="Q157" s="1" t="e">
        <f>IF(MATCH(H157,Inherited!A:A),IF((((_xlfn.XLOOKUP(Assessment!H158,Inherited!A:A,Inherited!B:B))/100)*(_xlfn.XLOOKUP(Assessment!H158,Inherited!A:A,Inherited!C:C)))+(((100-(_xlfn.XLOOKUP(Assessment!H158,Inherited!A:A,Inherited!B:B)))/100)*IF(X157="1.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(100%)","100"))))))&lt;=10,"0", IF(AND((((_xlfn.XLOOKUP(Assessment!H158,Inherited!A:A,Inherited!B:B))/100)*(_xlfn.XLOOKUP(Assessment!H158,Inherited!A:A,Inherited!C:C)))+(((100-(_xlfn.XLOOKUP(Assessment!H158,Inherited!A:A,Inherited!B:B)))/100)*IF(X157="1.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(100%)","100"))))))&gt;=11,(((_xlfn.XLOOKUP(Assessment!H158,Inherited!A:A,Inherited!B:B))/100)*(_xlfn.XLOOKUP(Assessment!H158,Inherited!A:A,Inherited!C:C)))+(((100-(_xlfn.XLOOKUP(Assessment!H158,Inherited!A:A,Inherited!B:B)))/100)*IF(X157="1.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(100%)","100"))))))&lt;=32),"25",IF(AND((((_xlfn.XLOOKUP(Assessment!H158,Inherited!A:A,Inherited!B:B))/100)*(_xlfn.XLOOKUP(Assessment!H158,Inherited!A:A,Inherited!C:C)))+(((100-(_xlfn.XLOOKUP(Assessment!H158,Inherited!A:A,Inherited!B:B)))/100)*IF(X157="1.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(100%)","100"))))))&gt;=33,(((_xlfn.XLOOKUP(Assessment!H158,Inherited!A:A,Inherited!B:B))/100)*(_xlfn.XLOOKUP(Assessment!H158,Inherited!A:A,Inherited!C:C)))+(((100-(_xlfn.XLOOKUP(Assessment!H158,Inherited!A:A,Inherited!B:B)))/100)*IF(X157="1.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(100%)","100"))))))&lt;=65),"50",IF(AND((((_xlfn.XLOOKUP(Assessment!H158,Inherited!A:A,Inherited!B:B))/100)*(_xlfn.XLOOKUP(Assessment!H158,Inherited!A:A,Inherited!C:C)))+(((100-(_xlfn.XLOOKUP(Assessment!H158,Inherited!A:A,Inherited!B:B)))/100)*IF(X157="1.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(100%)","100"))))))&gt;=66,(((_xlfn.XLOOKUP(Assessment!H158,Inherited!A:A,Inherited!B:B))/100)*(_xlfn.XLOOKUP(Assessment!H158,Inherited!A:A,Inherited!C:C)))+(((100-(_xlfn.XLOOKUP(Assessment!H158,Inherited!A:A,Inherited!B:B)))/100)*IF(X157="1.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(100%)","100"))))))&lt;=89),"75",IF((((_xlfn.XLOOKUP(Assessment!H158,Inherited!A:A,Inherited!B:B))/100)*(_xlfn.XLOOKUP(Assessment!H158,Inherited!A:A,Inherited!C:C)))+(((100-(_xlfn.XLOOKUP(Assessment!H158,Inherited!A:A,Inherited!B:B)))/100)*IF(X157="1. Non Compliant (0%)","0",IF(X157="2. Somewhat Compliant (25%)","25",IF(X157="3. Partially Compliant (50%)","50",IF(X157="4. Mostly Compliant (75%)","75",IF(X157="5. Fully Compliant (100%)","100"))))))&gt;=90,"100"))))))</f>
        <v>#N/A</v>
      </c>
      <c r="R157" s="1" t="e">
        <f>IF(MATCH(H157,Inherited!A:A),IF((((_xlfn.XLOOKUP(Assessment!H158,Inherited!A:A,Inherited!B:B))/100)*(_xlfn.XLOOKUP(Assessment!H158,Inherited!A:A,Inherited!D:D)))+(((100-(_xlfn.XLOOKUP(Assessment!H158,Inherited!A:A,Inherited!B:B)))/100)*IF(Y157="1.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(100%)","100"))))))&lt;=10,"0", IF(AND((((_xlfn.XLOOKUP(Assessment!H158,Inherited!A:A,Inherited!B:B))/100)*(_xlfn.XLOOKUP(Assessment!H158,Inherited!A:A,Inherited!D:D)))+(((100-(_xlfn.XLOOKUP(Assessment!H158,Inherited!A:A,Inherited!B:B)))/100)*IF(Y157="1.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(100%)","100"))))))&gt;=11,(((_xlfn.XLOOKUP(Assessment!H158,Inherited!A:A,Inherited!B:B))/100)*(_xlfn.XLOOKUP(Assessment!H158,Inherited!A:A,Inherited!D:D)))+(((100-(_xlfn.XLOOKUP(Assessment!H158,Inherited!A:A,Inherited!B:B)))/100)*IF(Y157="1.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(100%)","100"))))))&lt;=32),"25",IF(AND((((_xlfn.XLOOKUP(Assessment!H158,Inherited!A:A,Inherited!B:B))/100)*(_xlfn.XLOOKUP(Assessment!H158,Inherited!A:A,Inherited!D:D)))+(((100-(_xlfn.XLOOKUP(Assessment!H158,Inherited!A:A,Inherited!B:B)))/100)*IF(Y157="1.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(100%)","100"))))))&gt;=33,(((_xlfn.XLOOKUP(Assessment!H158,Inherited!A:A,Inherited!B:B))/100)*(_xlfn.XLOOKUP(Assessment!H158,Inherited!A:A,Inherited!D:D)))+(((100-(_xlfn.XLOOKUP(Assessment!H158,Inherited!A:A,Inherited!B:B)))/100)*IF(Y157="1.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(100%)","100"))))))&lt;=65),"50",IF(AND((((_xlfn.XLOOKUP(Assessment!H158,Inherited!A:A,Inherited!B:B))/100)*(_xlfn.XLOOKUP(Assessment!H158,Inherited!A:A,Inherited!D:D)))+(((100-(_xlfn.XLOOKUP(Assessment!H158,Inherited!A:A,Inherited!B:B)))/100)*IF(Y157="1.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(100%)","100"))))))&gt;=66,(((_xlfn.XLOOKUP(Assessment!H158,Inherited!A:A,Inherited!B:B))/100)*(_xlfn.XLOOKUP(Assessment!H158,Inherited!A:A,Inherited!D:D)))+(((100-(_xlfn.XLOOKUP(Assessment!H158,Inherited!A:A,Inherited!B:B)))/100)*IF(Y157="1.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(100%)","100"))))))&lt;=89),"75",IF((((_xlfn.XLOOKUP(Assessment!H158,Inherited!A:A,Inherited!B:B))/100)*(_xlfn.XLOOKUP(Assessment!H158,Inherited!A:A,Inherited!D:D)))+(((100-(_xlfn.XLOOKUP(Assessment!H158,Inherited!A:A,Inherited!B:B)))/100)*IF(Y157="1. Non Compliant (0%)","0",IF(Y157="2. Somewhat Compliant (25%)","25",IF(Y157="3. Partially Compliant (50%)","50",IF(Y157="4. Mostly Compliant (75%)","75",IF(Y157="5. Fully Compliant (100%)","100"))))))&gt;=90,"100"))))))</f>
        <v>#N/A</v>
      </c>
      <c r="S157" s="1" t="e">
        <f>IF(MATCH(H157,Inherited!A:A),IF((((_xlfn.XLOOKUP(Assessment!H158,Inherited!A:A,Inherited!B:B))/100)*(_xlfn.XLOOKUP(Assessment!H158,Inherited!A:A,Inherited!E:E)))+(((100-(_xlfn.XLOOKUP(Assessment!H158,Inherited!A:A,Inherited!B:B)))/100)*IF(Z157="1.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(100%)","100"))))))&lt;=10,"0", IF(AND((((_xlfn.XLOOKUP(Assessment!H158,Inherited!A:A,Inherited!B:B))/100)*(_xlfn.XLOOKUP(Assessment!H158,Inherited!A:A,Inherited!E:E)))+(((100-(_xlfn.XLOOKUP(Assessment!H158,Inherited!A:A,Inherited!B:B)))/100)*IF(Z157="1.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(100%)","100"))))))&gt;=11,(((_xlfn.XLOOKUP(Assessment!H158,Inherited!A:A,Inherited!B:B))/100)*(_xlfn.XLOOKUP(Assessment!H158,Inherited!A:A,Inherited!E:E)))+(((100-(_xlfn.XLOOKUP(Assessment!H158,Inherited!A:A,Inherited!B:B)))/100)*IF(Z157="1.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(100%)","100"))))))&lt;=32),"25",IF(AND((((_xlfn.XLOOKUP(Assessment!H158,Inherited!A:A,Inherited!B:B))/100)*(_xlfn.XLOOKUP(Assessment!H158,Inherited!A:A,Inherited!E:E)))+(((100-(_xlfn.XLOOKUP(Assessment!H158,Inherited!A:A,Inherited!B:B)))/100)*IF(Z157="1.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(100%)","100"))))))&gt;=33,(((_xlfn.XLOOKUP(Assessment!H158,Inherited!A:A,Inherited!B:B))/100)*(_xlfn.XLOOKUP(Assessment!H158,Inherited!A:A,Inherited!E:E)))+(((100-(_xlfn.XLOOKUP(Assessment!H158,Inherited!A:A,Inherited!B:B)))/100)*IF(Z157="1.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(100%)","100"))))))&lt;=65),"50",IF(AND((((_xlfn.XLOOKUP(Assessment!H158,Inherited!A:A,Inherited!B:B))/100)*(_xlfn.XLOOKUP(Assessment!H158,Inherited!A:A,Inherited!E:E)))+(((100-(_xlfn.XLOOKUP(Assessment!H158,Inherited!A:A,Inherited!B:B)))/100)*IF(Z157="1.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(100%)","100"))))))&gt;=66,(((_xlfn.XLOOKUP(Assessment!H158,Inherited!A:A,Inherited!B:B))/100)*(_xlfn.XLOOKUP(Assessment!H158,Inherited!A:A,Inherited!E:E)))+(((100-(_xlfn.XLOOKUP(Assessment!H158,Inherited!A:A,Inherited!B:B)))/100)*IF(Z157="1.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(100%)","100"))))))&lt;=89),"75",IF((((_xlfn.XLOOKUP(Assessment!H158,Inherited!A:A,Inherited!B:B))/100)*(_xlfn.XLOOKUP(Assessment!H158,Inherited!A:A,Inherited!E:E)))+(((100-(_xlfn.XLOOKUP(Assessment!H158,Inherited!A:A,Inherited!B:B)))/100)*IF(Z157="1. Non Compliant (0%)","0",IF(Z157="2. Somewhat Compliant (25%)","25",IF(Z157="3. Partially Compliant (50%)","50",IF(Z157="4. Mostly Compliant (75%)","75",IF(Z157="5. Fully Compliant (100%)","100"))))))&gt;=90,"100"))))))</f>
        <v>#N/A</v>
      </c>
      <c r="T157" s="1" t="e">
        <f>IF(MATCH(H157,Inherited!A:A),IF((((_xlfn.XLOOKUP(Assessment!H158,Inherited!A:A,Inherited!B:B))/100)*(_xlfn.XLOOKUP(Assessment!H158,Inherited!A:A,Inherited!F:F)))+(((100-(_xlfn.XLOOKUP(Assessment!H158,Inherited!A:A,Inherited!B:B)))/100)*IF(AA157="1.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(100%)","100"))))))&lt;=10,"0", IF(AND((((_xlfn.XLOOKUP(Assessment!H158,Inherited!A:A,Inherited!B:B))/100)*(_xlfn.XLOOKUP(Assessment!H158,Inherited!A:A,Inherited!F:F)))+(((100-(_xlfn.XLOOKUP(Assessment!H158,Inherited!A:A,Inherited!B:B)))/100)*IF(AA157="1.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(100%)","100"))))))&gt;=11,(((_xlfn.XLOOKUP(Assessment!H158,Inherited!A:A,Inherited!B:B))/100)*(_xlfn.XLOOKUP(Assessment!H158,Inherited!A:A,Inherited!F:F)))+(((100-(_xlfn.XLOOKUP(Assessment!H158,Inherited!A:A,Inherited!B:B)))/100)*IF(AA157="1.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(100%)","100"))))))&lt;=32),"25",IF(AND((((_xlfn.XLOOKUP(Assessment!H158,Inherited!A:A,Inherited!B:B))/100)*(_xlfn.XLOOKUP(Assessment!H158,Inherited!A:A,Inherited!F:F)))+(((100-(_xlfn.XLOOKUP(Assessment!H158,Inherited!A:A,Inherited!B:B)))/100)*IF(AA157="1.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(100%)","100"))))))&gt;=33,(((_xlfn.XLOOKUP(Assessment!H158,Inherited!A:A,Inherited!B:B))/100)*(_xlfn.XLOOKUP(Assessment!H158,Inherited!A:A,Inherited!F:F)))+(((100-(_xlfn.XLOOKUP(Assessment!H158,Inherited!A:A,Inherited!B:B)))/100)*IF(AA157="1.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(100%)","100"))))))&lt;=65),"50",IF(AND((((_xlfn.XLOOKUP(Assessment!H158,Inherited!A:A,Inherited!B:B))/100)*(_xlfn.XLOOKUP(Assessment!H158,Inherited!A:A,Inherited!F:F)))+(((100-(_xlfn.XLOOKUP(Assessment!H158,Inherited!A:A,Inherited!B:B)))/100)*IF(AA157="1.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(100%)","100"))))))&gt;=66,(((_xlfn.XLOOKUP(Assessment!H158,Inherited!A:A,Inherited!B:B))/100)*(_xlfn.XLOOKUP(Assessment!H158,Inherited!A:A,Inherited!F:F)))+(((100-(_xlfn.XLOOKUP(Assessment!H158,Inherited!A:A,Inherited!B:B)))/100)*IF(AA157="1.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(100%)","100"))))))&lt;=89),"75",IF((((_xlfn.XLOOKUP(Assessment!H158,Inherited!A:A,Inherited!B:B))/100)*(_xlfn.XLOOKUP(Assessment!H158,Inherited!A:A,Inherited!F:F)))+(((100-(_xlfn.XLOOKUP(Assessment!H158,Inherited!A:A,Inherited!B:B)))/100)*IF(AA157="1. Non Compliant (0%)","0",IF(AA157="2. Somewhat Compliant (25%)","25",IF(AA157="3. Partially Compliant (50%)","50",IF(AA157="4. Mostly Compliant (75%)","75",IF(AA157="5. Fully Compliant (100%)","100"))))))&gt;=90,"100"))))))</f>
        <v>#N/A</v>
      </c>
      <c r="U157" s="1" t="e">
        <f>IF(MATCH(H157,Inherited!A:A),IF((((_xlfn.XLOOKUP(Assessment!H158,Inherited!A:A,Inherited!B:B))/100)*(_xlfn.XLOOKUP(Assessment!H158,Inherited!A:A,Inherited!G:G)))+(((100-(_xlfn.XLOOKUP(Assessment!H158,Inherited!A:A,Inherited!B:B)))/100)*IF(AB157="1.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(100%)","100"))))))&lt;=10,"0", IF(AND((((_xlfn.XLOOKUP(Assessment!H158,Inherited!A:A,Inherited!B:B))/100)*(_xlfn.XLOOKUP(Assessment!H158,Inherited!A:A,Inherited!G:G)))+(((100-(_xlfn.XLOOKUP(Assessment!H158,Inherited!A:A,Inherited!B:B)))/100)*IF(AB157="1.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(100%)","100"))))))&gt;=11,(((_xlfn.XLOOKUP(Assessment!H158,Inherited!A:A,Inherited!B:B))/100)*(_xlfn.XLOOKUP(Assessment!H158,Inherited!A:A,Inherited!G:G)))+(((100-(_xlfn.XLOOKUP(Assessment!H158,Inherited!A:A,Inherited!B:B)))/100)*IF(AB157="1.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(100%)","100"))))))&lt;=32),"25",IF(AND((((_xlfn.XLOOKUP(Assessment!H158,Inherited!A:A,Inherited!B:B))/100)*(_xlfn.XLOOKUP(Assessment!H158,Inherited!A:A,Inherited!G:G)))+(((100-(_xlfn.XLOOKUP(Assessment!H158,Inherited!A:A,Inherited!B:B)))/100)*IF(AB157="1.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(100%)","100"))))))&gt;=33,(((_xlfn.XLOOKUP(Assessment!H158,Inherited!A:A,Inherited!B:B))/100)*(_xlfn.XLOOKUP(Assessment!H158,Inherited!A:A,Inherited!G:G)))+(((100-(_xlfn.XLOOKUP(Assessment!H158,Inherited!A:A,Inherited!B:B)))/100)*IF(AB157="1.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(100%)","100"))))))&lt;=65),"50",IF(AND((((_xlfn.XLOOKUP(Assessment!H158,Inherited!A:A,Inherited!B:B))/100)*(_xlfn.XLOOKUP(Assessment!H158,Inherited!A:A,Inherited!G:G)))+(((100-(_xlfn.XLOOKUP(Assessment!H158,Inherited!A:A,Inherited!B:B)))/100)*IF(AB157="1.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(100%)","100"))))))&gt;=66,(((_xlfn.XLOOKUP(Assessment!H158,Inherited!A:A,Inherited!B:B))/100)*(_xlfn.XLOOKUP(Assessment!H158,Inherited!A:A,Inherited!G:G)))+(((100-(_xlfn.XLOOKUP(Assessment!H158,Inherited!A:A,Inherited!B:B)))/100)*IF(AB157="1.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(100%)","100"))))))&lt;=89),"75",IF((((_xlfn.XLOOKUP(Assessment!H158,Inherited!A:A,Inherited!B:B))/100)*(_xlfn.XLOOKUP(Assessment!H158,Inherited!A:A,Inherited!G:G)))+(((100-(_xlfn.XLOOKUP(Assessment!H158,Inherited!A:A,Inherited!B:B)))/100)*IF(AB157="1. Non Compliant (0%)","0",IF(AB157="2. Somewhat Compliant (25%)","25",IF(AB157="3. Partially Compliant (50%)","50",IF(AB157="4. Mostly Compliant (75%)","75",IF(AB157="5. Fully Compliant (100%)","100"))))))&gt;=90,"100"))))))</f>
        <v>#N/A</v>
      </c>
      <c r="V157" s="55" t="s">
        <v>85</v>
      </c>
      <c r="W157" s="55"/>
      <c r="X157" s="55"/>
      <c r="Y157" s="55"/>
      <c r="Z157" s="55" t="s">
        <v>10873</v>
      </c>
      <c r="AA157" s="55"/>
      <c r="AB157" s="55"/>
      <c r="AK157" s="1" t="s">
        <v>10978</v>
      </c>
      <c r="AL157" s="1" t="s">
        <v>11010</v>
      </c>
      <c r="AP157" s="1" t="s">
        <v>11116</v>
      </c>
      <c r="AX157" s="3" t="str">
        <f>_xlfn.CONCAT("A-LIGN finished its review of this control on ",AR157, " during the scheduled fieldwork window (",Intro!$B$4,")."&amp; CHAR(10)&amp; CHAR(10))</f>
        <v xml:space="preserve">A-LIGN finished its review of this control on  during the scheduled fieldwork window (Fieldwork: xx/xx/xxxx - xx/xx/xxxx).
</v>
      </c>
      <c r="AY157" s="3" t="str">
        <f t="shared" si="320"/>
        <v/>
      </c>
      <c r="AZ157" s="3" t="str">
        <f t="shared" si="321"/>
        <v/>
      </c>
      <c r="BA157" s="3" t="str">
        <f t="shared" si="322"/>
        <v/>
      </c>
      <c r="BB157"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7" s="3" t="str">
        <f t="shared" si="324"/>
        <v/>
      </c>
      <c r="BD157" s="3" t="str">
        <f t="shared" si="325"/>
        <v xml:space="preserve">Examined the following evidence during fieldwork:
Reviewed evidence addressed the requirement statement.
Reviewed evidence exception note: 
Gap: 
Unable to confirm that Merge monitors external and internal changes and adapts the risk management framework to maintain or improve its value to the organization.
Recommendation:
Management should ensure that Merge monitors external and internal changes and adapts the risk management framework to maintain or improve its value to the organization. Management should ensure that corresponding documentation is updated accordingly. 
</v>
      </c>
      <c r="BE157" s="3" t="str">
        <f t="shared" si="326"/>
        <v/>
      </c>
      <c r="BF157" s="3" t="str">
        <f t="shared" si="327"/>
        <v/>
      </c>
      <c r="BG157" s="3" t="str">
        <f>_xlfn.CONCAT((IF((COUNTIF('Sample Tables'!B:B,"")&gt;0)=TRUE,_xlfn.CONCAT("",""),IF((COUNTIF('Sample Tables'!B:B,"")&gt;0)=FALSE,""))),)</f>
        <v/>
      </c>
      <c r="BH157"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Unable to confirm that Merge monitors external and internal changes and adapts the risk management framework to maintain or improve its value to the organization.
Recommendation:
Management should ensure that Merge monitors external and internal changes and adapts the risk management framework to maintain or improve its value to the organization. Management should ensure that corresponding documentation is updated accordingly. 
</v>
      </c>
    </row>
    <row r="158" spans="3:60" ht="408.75" customHeight="1" x14ac:dyDescent="0.35">
      <c r="C158" s="1">
        <f t="shared" si="329"/>
        <v>0</v>
      </c>
      <c r="D158" s="5" t="str">
        <f>IF(AND((_xlfn.XLOOKUP(J158,'Fields &amp; Revisions'!$H:$H,'Fields &amp; Revisions'!$I:$I))&lt;70.99,(OR(Z158="4. Mostly Compliant (75%)",Z158="3. Partially Compliant (50%)",Z158="2. Somewhat Compliant (25%)",Z158="1. Non Compliant (0%)"))),"Yes","No")</f>
        <v>Yes</v>
      </c>
      <c r="E158" s="5" t="str">
        <f>IF(ISERROR(VLOOKUP(H158,Scope!A:A,1,FALSE)),"No","Yes")</f>
        <v>Yes</v>
      </c>
      <c r="F158" s="1" t="s">
        <v>4666</v>
      </c>
      <c r="G158" s="53" t="s">
        <v>4787</v>
      </c>
      <c r="H158" s="53" t="s">
        <v>4788</v>
      </c>
      <c r="I158" s="5" t="s">
        <v>242</v>
      </c>
      <c r="J158" s="1" t="s">
        <v>226</v>
      </c>
      <c r="K158" s="54" t="s">
        <v>4789</v>
      </c>
      <c r="L158" s="1" t="s">
        <v>4790</v>
      </c>
      <c r="M158" s="1" t="s">
        <v>4791</v>
      </c>
      <c r="N158" s="5" t="s">
        <v>98</v>
      </c>
      <c r="O158" s="1" t="str">
        <f>_xlfn.XLOOKUP(G158,SRMs!$A:$A,SRMs!$D:$D)</f>
        <v>NO INHERITANCE</v>
      </c>
      <c r="P158" s="1" t="str">
        <f>IFERROR(VLOOKUP(H158,Inherited!A:B,2,FALSE),"")</f>
        <v/>
      </c>
      <c r="Q158" s="1" t="e">
        <f>IF(MATCH(H158,Inherited!A:A),IF((((_xlfn.XLOOKUP(Assessment!#REF!,Inherited!A:A,Inherited!B:B))/100)*(_xlfn.XLOOKUP(Assessment!#REF!,Inherited!A:A,Inherited!C:C)))+(((100-(_xlfn.XLOOKUP(Assessment!#REF!,Inherited!A:A,Inherited!B:B)))/100)*IF(X158="1.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(100%)","100"))))))&lt;=10,"0", IF(AND((((_xlfn.XLOOKUP(Assessment!#REF!,Inherited!A:A,Inherited!B:B))/100)*(_xlfn.XLOOKUP(Assessment!#REF!,Inherited!A:A,Inherited!C:C)))+(((100-(_xlfn.XLOOKUP(Assessment!#REF!,Inherited!A:A,Inherited!B:B)))/100)*IF(X158="1.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(100%)","100"))))))&gt;=11,(((_xlfn.XLOOKUP(Assessment!#REF!,Inherited!A:A,Inherited!B:B))/100)*(_xlfn.XLOOKUP(Assessment!#REF!,Inherited!A:A,Inherited!C:C)))+(((100-(_xlfn.XLOOKUP(Assessment!#REF!,Inherited!A:A,Inherited!B:B)))/100)*IF(X158="1.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(100%)","100"))))))&lt;=32),"25",IF(AND((((_xlfn.XLOOKUP(Assessment!#REF!,Inherited!A:A,Inherited!B:B))/100)*(_xlfn.XLOOKUP(Assessment!#REF!,Inherited!A:A,Inherited!C:C)))+(((100-(_xlfn.XLOOKUP(Assessment!#REF!,Inherited!A:A,Inherited!B:B)))/100)*IF(X158="1.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(100%)","100"))))))&gt;=33,(((_xlfn.XLOOKUP(Assessment!#REF!,Inherited!A:A,Inherited!B:B))/100)*(_xlfn.XLOOKUP(Assessment!#REF!,Inherited!A:A,Inherited!C:C)))+(((100-(_xlfn.XLOOKUP(Assessment!#REF!,Inherited!A:A,Inherited!B:B)))/100)*IF(X158="1.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(100%)","100"))))))&lt;=65),"50",IF(AND((((_xlfn.XLOOKUP(Assessment!#REF!,Inherited!A:A,Inherited!B:B))/100)*(_xlfn.XLOOKUP(Assessment!#REF!,Inherited!A:A,Inherited!C:C)))+(((100-(_xlfn.XLOOKUP(Assessment!#REF!,Inherited!A:A,Inherited!B:B)))/100)*IF(X158="1.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(100%)","100"))))))&gt;=66,(((_xlfn.XLOOKUP(Assessment!#REF!,Inherited!A:A,Inherited!B:B))/100)*(_xlfn.XLOOKUP(Assessment!#REF!,Inherited!A:A,Inherited!C:C)))+(((100-(_xlfn.XLOOKUP(Assessment!#REF!,Inherited!A:A,Inherited!B:B)))/100)*IF(X158="1.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(100%)","100"))))))&lt;=89),"75",IF((((_xlfn.XLOOKUP(Assessment!#REF!,Inherited!A:A,Inherited!B:B))/100)*(_xlfn.XLOOKUP(Assessment!#REF!,Inherited!A:A,Inherited!C:C)))+(((100-(_xlfn.XLOOKUP(Assessment!#REF!,Inherited!A:A,Inherited!B:B)))/100)*IF(X158="1. Non Compliant (0%)","0",IF(X158="2. Somewhat Compliant (25%)","25",IF(X158="3. Partially Compliant (50%)","50",IF(X158="4. Mostly Compliant (75%)","75",IF(X158="5. Fully Compliant (100%)","100"))))))&gt;=90,"100"))))))</f>
        <v>#N/A</v>
      </c>
      <c r="R158" s="1" t="e">
        <f>IF(MATCH(H158,Inherited!A:A),IF((((_xlfn.XLOOKUP(Assessment!#REF!,Inherited!A:A,Inherited!B:B))/100)*(_xlfn.XLOOKUP(Assessment!#REF!,Inherited!A:A,Inherited!D:D)))+(((100-(_xlfn.XLOOKUP(Assessment!#REF!,Inherited!A:A,Inherited!B:B)))/100)*IF(Y158="1.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(100%)","100"))))))&lt;=10,"0", IF(AND((((_xlfn.XLOOKUP(Assessment!#REF!,Inherited!A:A,Inherited!B:B))/100)*(_xlfn.XLOOKUP(Assessment!#REF!,Inherited!A:A,Inherited!D:D)))+(((100-(_xlfn.XLOOKUP(Assessment!#REF!,Inherited!A:A,Inherited!B:B)))/100)*IF(Y158="1.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(100%)","100"))))))&gt;=11,(((_xlfn.XLOOKUP(Assessment!#REF!,Inherited!A:A,Inherited!B:B))/100)*(_xlfn.XLOOKUP(Assessment!#REF!,Inherited!A:A,Inherited!D:D)))+(((100-(_xlfn.XLOOKUP(Assessment!#REF!,Inherited!A:A,Inherited!B:B)))/100)*IF(Y158="1.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(100%)","100"))))))&lt;=32),"25",IF(AND((((_xlfn.XLOOKUP(Assessment!#REF!,Inherited!A:A,Inherited!B:B))/100)*(_xlfn.XLOOKUP(Assessment!#REF!,Inherited!A:A,Inherited!D:D)))+(((100-(_xlfn.XLOOKUP(Assessment!#REF!,Inherited!A:A,Inherited!B:B)))/100)*IF(Y158="1.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(100%)","100"))))))&gt;=33,(((_xlfn.XLOOKUP(Assessment!#REF!,Inherited!A:A,Inherited!B:B))/100)*(_xlfn.XLOOKUP(Assessment!#REF!,Inherited!A:A,Inherited!D:D)))+(((100-(_xlfn.XLOOKUP(Assessment!#REF!,Inherited!A:A,Inherited!B:B)))/100)*IF(Y158="1.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(100%)","100"))))))&lt;=65),"50",IF(AND((((_xlfn.XLOOKUP(Assessment!#REF!,Inherited!A:A,Inherited!B:B))/100)*(_xlfn.XLOOKUP(Assessment!#REF!,Inherited!A:A,Inherited!D:D)))+(((100-(_xlfn.XLOOKUP(Assessment!#REF!,Inherited!A:A,Inherited!B:B)))/100)*IF(Y158="1.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(100%)","100"))))))&gt;=66,(((_xlfn.XLOOKUP(Assessment!#REF!,Inherited!A:A,Inherited!B:B))/100)*(_xlfn.XLOOKUP(Assessment!#REF!,Inherited!A:A,Inherited!D:D)))+(((100-(_xlfn.XLOOKUP(Assessment!#REF!,Inherited!A:A,Inherited!B:B)))/100)*IF(Y158="1.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(100%)","100"))))))&lt;=89),"75",IF((((_xlfn.XLOOKUP(Assessment!#REF!,Inherited!A:A,Inherited!B:B))/100)*(_xlfn.XLOOKUP(Assessment!#REF!,Inherited!A:A,Inherited!D:D)))+(((100-(_xlfn.XLOOKUP(Assessment!#REF!,Inherited!A:A,Inherited!B:B)))/100)*IF(Y158="1. Non Compliant (0%)","0",IF(Y158="2. Somewhat Compliant (25%)","25",IF(Y158="3. Partially Compliant (50%)","50",IF(Y158="4. Mostly Compliant (75%)","75",IF(Y158="5. Fully Compliant (100%)","100"))))))&gt;=90,"100"))))))</f>
        <v>#N/A</v>
      </c>
      <c r="S158" s="1" t="e">
        <f>IF(MATCH(H158,Inherited!A:A),IF((((_xlfn.XLOOKUP(Assessment!#REF!,Inherited!A:A,Inherited!B:B))/100)*(_xlfn.XLOOKUP(Assessment!#REF!,Inherited!A:A,Inherited!E:E)))+(((100-(_xlfn.XLOOKUP(Assessment!#REF!,Inherited!A:A,Inherited!B:B)))/100)*IF(Z158="1.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(100%)","100"))))))&lt;=10,"0", IF(AND((((_xlfn.XLOOKUP(Assessment!#REF!,Inherited!A:A,Inherited!B:B))/100)*(_xlfn.XLOOKUP(Assessment!#REF!,Inherited!A:A,Inherited!E:E)))+(((100-(_xlfn.XLOOKUP(Assessment!#REF!,Inherited!A:A,Inherited!B:B)))/100)*IF(Z158="1.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(100%)","100"))))))&gt;=11,(((_xlfn.XLOOKUP(Assessment!#REF!,Inherited!A:A,Inherited!B:B))/100)*(_xlfn.XLOOKUP(Assessment!#REF!,Inherited!A:A,Inherited!E:E)))+(((100-(_xlfn.XLOOKUP(Assessment!#REF!,Inherited!A:A,Inherited!B:B)))/100)*IF(Z158="1.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(100%)","100"))))))&lt;=32),"25",IF(AND((((_xlfn.XLOOKUP(Assessment!#REF!,Inherited!A:A,Inherited!B:B))/100)*(_xlfn.XLOOKUP(Assessment!#REF!,Inherited!A:A,Inherited!E:E)))+(((100-(_xlfn.XLOOKUP(Assessment!#REF!,Inherited!A:A,Inherited!B:B)))/100)*IF(Z158="1.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(100%)","100"))))))&gt;=33,(((_xlfn.XLOOKUP(Assessment!#REF!,Inherited!A:A,Inherited!B:B))/100)*(_xlfn.XLOOKUP(Assessment!#REF!,Inherited!A:A,Inherited!E:E)))+(((100-(_xlfn.XLOOKUP(Assessment!#REF!,Inherited!A:A,Inherited!B:B)))/100)*IF(Z158="1.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(100%)","100"))))))&lt;=65),"50",IF(AND((((_xlfn.XLOOKUP(Assessment!#REF!,Inherited!A:A,Inherited!B:B))/100)*(_xlfn.XLOOKUP(Assessment!#REF!,Inherited!A:A,Inherited!E:E)))+(((100-(_xlfn.XLOOKUP(Assessment!#REF!,Inherited!A:A,Inherited!B:B)))/100)*IF(Z158="1.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(100%)","100"))))))&gt;=66,(((_xlfn.XLOOKUP(Assessment!#REF!,Inherited!A:A,Inherited!B:B))/100)*(_xlfn.XLOOKUP(Assessment!#REF!,Inherited!A:A,Inherited!E:E)))+(((100-(_xlfn.XLOOKUP(Assessment!#REF!,Inherited!A:A,Inherited!B:B)))/100)*IF(Z158="1.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(100%)","100"))))))&lt;=89),"75",IF((((_xlfn.XLOOKUP(Assessment!#REF!,Inherited!A:A,Inherited!B:B))/100)*(_xlfn.XLOOKUP(Assessment!#REF!,Inherited!A:A,Inherited!E:E)))+(((100-(_xlfn.XLOOKUP(Assessment!#REF!,Inherited!A:A,Inherited!B:B)))/100)*IF(Z158="1. Non Compliant (0%)","0",IF(Z158="2. Somewhat Compliant (25%)","25",IF(Z158="3. Partially Compliant (50%)","50",IF(Z158="4. Mostly Compliant (75%)","75",IF(Z158="5. Fully Compliant (100%)","100"))))))&gt;=90,"100"))))))</f>
        <v>#N/A</v>
      </c>
      <c r="T158" s="1" t="e">
        <f>IF(MATCH(H158,Inherited!A:A),IF((((_xlfn.XLOOKUP(Assessment!#REF!,Inherited!A:A,Inherited!B:B))/100)*(_xlfn.XLOOKUP(Assessment!#REF!,Inherited!A:A,Inherited!F:F)))+(((100-(_xlfn.XLOOKUP(Assessment!#REF!,Inherited!A:A,Inherited!B:B)))/100)*IF(AA158="1.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(100%)","100"))))))&lt;=10,"0", IF(AND((((_xlfn.XLOOKUP(Assessment!#REF!,Inherited!A:A,Inherited!B:B))/100)*(_xlfn.XLOOKUP(Assessment!#REF!,Inherited!A:A,Inherited!F:F)))+(((100-(_xlfn.XLOOKUP(Assessment!#REF!,Inherited!A:A,Inherited!B:B)))/100)*IF(AA158="1.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(100%)","100"))))))&gt;=11,(((_xlfn.XLOOKUP(Assessment!#REF!,Inherited!A:A,Inherited!B:B))/100)*(_xlfn.XLOOKUP(Assessment!#REF!,Inherited!A:A,Inherited!F:F)))+(((100-(_xlfn.XLOOKUP(Assessment!#REF!,Inherited!A:A,Inherited!B:B)))/100)*IF(AA158="1.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(100%)","100"))))))&lt;=32),"25",IF(AND((((_xlfn.XLOOKUP(Assessment!#REF!,Inherited!A:A,Inherited!B:B))/100)*(_xlfn.XLOOKUP(Assessment!#REF!,Inherited!A:A,Inherited!F:F)))+(((100-(_xlfn.XLOOKUP(Assessment!#REF!,Inherited!A:A,Inherited!B:B)))/100)*IF(AA158="1.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(100%)","100"))))))&gt;=33,(((_xlfn.XLOOKUP(Assessment!#REF!,Inherited!A:A,Inherited!B:B))/100)*(_xlfn.XLOOKUP(Assessment!#REF!,Inherited!A:A,Inherited!F:F)))+(((100-(_xlfn.XLOOKUP(Assessment!#REF!,Inherited!A:A,Inherited!B:B)))/100)*IF(AA158="1.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(100%)","100"))))))&lt;=65),"50",IF(AND((((_xlfn.XLOOKUP(Assessment!#REF!,Inherited!A:A,Inherited!B:B))/100)*(_xlfn.XLOOKUP(Assessment!#REF!,Inherited!A:A,Inherited!F:F)))+(((100-(_xlfn.XLOOKUP(Assessment!#REF!,Inherited!A:A,Inherited!B:B)))/100)*IF(AA158="1.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(100%)","100"))))))&gt;=66,(((_xlfn.XLOOKUP(Assessment!#REF!,Inherited!A:A,Inherited!B:B))/100)*(_xlfn.XLOOKUP(Assessment!#REF!,Inherited!A:A,Inherited!F:F)))+(((100-(_xlfn.XLOOKUP(Assessment!#REF!,Inherited!A:A,Inherited!B:B)))/100)*IF(AA158="1.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(100%)","100"))))))&lt;=89),"75",IF((((_xlfn.XLOOKUP(Assessment!#REF!,Inherited!A:A,Inherited!B:B))/100)*(_xlfn.XLOOKUP(Assessment!#REF!,Inherited!A:A,Inherited!F:F)))+(((100-(_xlfn.XLOOKUP(Assessment!#REF!,Inherited!A:A,Inherited!B:B)))/100)*IF(AA158="1. Non Compliant (0%)","0",IF(AA158="2. Somewhat Compliant (25%)","25",IF(AA158="3. Partially Compliant (50%)","50",IF(AA158="4. Mostly Compliant (75%)","75",IF(AA158="5. Fully Compliant (100%)","100"))))))&gt;=90,"100"))))))</f>
        <v>#N/A</v>
      </c>
      <c r="U158" s="1" t="e">
        <f>IF(MATCH(H158,Inherited!A:A),IF((((_xlfn.XLOOKUP(Assessment!#REF!,Inherited!A:A,Inherited!B:B))/100)*(_xlfn.XLOOKUP(Assessment!#REF!,Inherited!A:A,Inherited!G:G)))+(((100-(_xlfn.XLOOKUP(Assessment!#REF!,Inherited!A:A,Inherited!B:B)))/100)*IF(AB158="1.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(100%)","100"))))))&lt;=10,"0", IF(AND((((_xlfn.XLOOKUP(Assessment!#REF!,Inherited!A:A,Inherited!B:B))/100)*(_xlfn.XLOOKUP(Assessment!#REF!,Inherited!A:A,Inherited!G:G)))+(((100-(_xlfn.XLOOKUP(Assessment!#REF!,Inherited!A:A,Inherited!B:B)))/100)*IF(AB158="1.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(100%)","100"))))))&gt;=11,(((_xlfn.XLOOKUP(Assessment!#REF!,Inherited!A:A,Inherited!B:B))/100)*(_xlfn.XLOOKUP(Assessment!#REF!,Inherited!A:A,Inherited!G:G)))+(((100-(_xlfn.XLOOKUP(Assessment!#REF!,Inherited!A:A,Inherited!B:B)))/100)*IF(AB158="1.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(100%)","100"))))))&lt;=32),"25",IF(AND((((_xlfn.XLOOKUP(Assessment!#REF!,Inherited!A:A,Inherited!B:B))/100)*(_xlfn.XLOOKUP(Assessment!#REF!,Inherited!A:A,Inherited!G:G)))+(((100-(_xlfn.XLOOKUP(Assessment!#REF!,Inherited!A:A,Inherited!B:B)))/100)*IF(AB158="1.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(100%)","100"))))))&gt;=33,(((_xlfn.XLOOKUP(Assessment!#REF!,Inherited!A:A,Inherited!B:B))/100)*(_xlfn.XLOOKUP(Assessment!#REF!,Inherited!A:A,Inherited!G:G)))+(((100-(_xlfn.XLOOKUP(Assessment!#REF!,Inherited!A:A,Inherited!B:B)))/100)*IF(AB158="1.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(100%)","100"))))))&lt;=65),"50",IF(AND((((_xlfn.XLOOKUP(Assessment!#REF!,Inherited!A:A,Inherited!B:B))/100)*(_xlfn.XLOOKUP(Assessment!#REF!,Inherited!A:A,Inherited!G:G)))+(((100-(_xlfn.XLOOKUP(Assessment!#REF!,Inherited!A:A,Inherited!B:B)))/100)*IF(AB158="1.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(100%)","100"))))))&gt;=66,(((_xlfn.XLOOKUP(Assessment!#REF!,Inherited!A:A,Inherited!B:B))/100)*(_xlfn.XLOOKUP(Assessment!#REF!,Inherited!A:A,Inherited!G:G)))+(((100-(_xlfn.XLOOKUP(Assessment!#REF!,Inherited!A:A,Inherited!B:B)))/100)*IF(AB158="1.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(100%)","100"))))))&lt;=89),"75",IF((((_xlfn.XLOOKUP(Assessment!#REF!,Inherited!A:A,Inherited!B:B))/100)*(_xlfn.XLOOKUP(Assessment!#REF!,Inherited!A:A,Inherited!G:G)))+(((100-(_xlfn.XLOOKUP(Assessment!#REF!,Inherited!A:A,Inherited!B:B)))/100)*IF(AB158="1. Non Compliant (0%)","0",IF(AB158="2. Somewhat Compliant (25%)","25",IF(AB158="3. Partially Compliant (50%)","50",IF(AB158="4. Mostly Compliant (75%)","75",IF(AB158="5. Fully Compliant (100%)","100"))))))&gt;=90,"100"))))))</f>
        <v>#N/A</v>
      </c>
      <c r="V158" s="55" t="s">
        <v>85</v>
      </c>
      <c r="W158" s="55"/>
      <c r="X158" s="55"/>
      <c r="Y158" s="55"/>
      <c r="Z158" s="55" t="s">
        <v>10873</v>
      </c>
      <c r="AA158" s="55"/>
      <c r="AB158" s="55"/>
      <c r="AK158" s="1" t="s">
        <v>10978</v>
      </c>
      <c r="AL158" s="1" t="s">
        <v>11010</v>
      </c>
      <c r="AP158" s="1" t="s">
        <v>11117</v>
      </c>
      <c r="AX158" s="3" t="str">
        <f>_xlfn.CONCAT("A-LIGN finished its review of this control on ",AR158, " during the scheduled fieldwork window (",Intro!$B$4,")."&amp; CHAR(10)&amp; CHAR(10))</f>
        <v xml:space="preserve">A-LIGN finished its review of this control on  during the scheduled fieldwork window (Fieldwork: xx/xx/xxxx - xx/xx/xxxx).
</v>
      </c>
      <c r="AY158" s="3" t="str">
        <f t="shared" si="320"/>
        <v/>
      </c>
      <c r="AZ158" s="3" t="str">
        <f t="shared" si="321"/>
        <v/>
      </c>
      <c r="BA158" s="3" t="str">
        <f t="shared" si="322"/>
        <v/>
      </c>
      <c r="BB158"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58" s="3" t="str">
        <f t="shared" si="324"/>
        <v/>
      </c>
      <c r="BD158"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resource allocation considerations: people, skills, experience, and competence
- resource allocation considerations: the organization’s processes, methods, and tools to be used for managing risk
- resource allocation considerations: documented processes and procedures
- resource allocation considerations: information and knowledge management systems
- resource allocation considerations: professional development and training needs
- resource allocation considerations: capabilities of, and constraints on, existing resources
</v>
      </c>
      <c r="BE158" s="3" t="str">
        <f t="shared" si="326"/>
        <v/>
      </c>
      <c r="BF158" s="3" t="str">
        <f t="shared" si="327"/>
        <v/>
      </c>
      <c r="BG158" s="3" t="str">
        <f>_xlfn.CONCAT((IF((COUNTIF('Sample Tables'!B:B,"")&gt;0)=TRUE,_xlfn.CONCAT("",""),IF((COUNTIF('Sample Tables'!B:B,"")&gt;0)=FALSE,""))),)</f>
        <v/>
      </c>
      <c r="BH158"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resource allocation considerations: people, skills, experience, and competence
- resource allocation considerations: the organization’s processes, methods, and tools to be used for managing risk
- resource allocation considerations: documented processes and procedures
- resource allocation considerations: information and knowledge management systems
- resource allocation considerations: professional development and training needs
- resource allocation considerations: capabilities of, and constraints on, existing resources
</v>
      </c>
    </row>
    <row r="159" spans="3:60" ht="336.75" customHeight="1" x14ac:dyDescent="0.35">
      <c r="C159" s="1">
        <f t="shared" si="329"/>
        <v>0</v>
      </c>
      <c r="D159" s="5" t="str">
        <f>IF(AND((_xlfn.XLOOKUP(J159,'Fields &amp; Revisions'!$H:$H,'Fields &amp; Revisions'!$I:$I))&lt;70.99,(OR(Z159="4. Mostly Compliant (75%)",Z159="3. Partially Compliant (50%)",Z159="2. Somewhat Compliant (25%)",Z159="1. Non Compliant (0%)"))),"Yes","No")</f>
        <v>Yes</v>
      </c>
      <c r="E159" s="5" t="str">
        <f>IF(ISERROR(VLOOKUP(H159,Scope!A:A,1,FALSE)),"No","Yes")</f>
        <v>Yes</v>
      </c>
      <c r="F159" s="1" t="s">
        <v>4666</v>
      </c>
      <c r="G159" s="53" t="s">
        <v>4798</v>
      </c>
      <c r="H159" s="53" t="s">
        <v>4799</v>
      </c>
      <c r="I159" s="5" t="s">
        <v>93</v>
      </c>
      <c r="J159" s="1" t="s">
        <v>4800</v>
      </c>
      <c r="K159" s="54" t="s">
        <v>4801</v>
      </c>
      <c r="L159" s="1" t="s">
        <v>4802</v>
      </c>
      <c r="M159" s="1" t="s">
        <v>4803</v>
      </c>
      <c r="N159" s="5" t="s">
        <v>98</v>
      </c>
      <c r="O159" s="1" t="str">
        <f>_xlfn.XLOOKUP(G159,SRMs!$A:$A,SRMs!$D:$D)</f>
        <v>NO INHERITANCE</v>
      </c>
      <c r="P159" s="1" t="str">
        <f>IFERROR(VLOOKUP(H159,Inherited!A:B,2,FALSE),"")</f>
        <v/>
      </c>
      <c r="Q159" s="1" t="e">
        <f>IF(MATCH(H159,Inherited!A:A),IF((((_xlfn.XLOOKUP(Assessment!H160,Inherited!A:A,Inherited!B:B))/100)*(_xlfn.XLOOKUP(Assessment!H160,Inherited!A:A,Inherited!C:C)))+(((100-(_xlfn.XLOOKUP(Assessment!H160,Inherited!A:A,Inherited!B:B)))/100)*IF(X159="1.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(100%)","100"))))))&lt;=10,"0", IF(AND((((_xlfn.XLOOKUP(Assessment!H160,Inherited!A:A,Inherited!B:B))/100)*(_xlfn.XLOOKUP(Assessment!H160,Inherited!A:A,Inherited!C:C)))+(((100-(_xlfn.XLOOKUP(Assessment!H160,Inherited!A:A,Inherited!B:B)))/100)*IF(X159="1.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(100%)","100"))))))&gt;=11,(((_xlfn.XLOOKUP(Assessment!H160,Inherited!A:A,Inherited!B:B))/100)*(_xlfn.XLOOKUP(Assessment!H160,Inherited!A:A,Inherited!C:C)))+(((100-(_xlfn.XLOOKUP(Assessment!H160,Inherited!A:A,Inherited!B:B)))/100)*IF(X159="1.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(100%)","100"))))))&lt;=32),"25",IF(AND((((_xlfn.XLOOKUP(Assessment!H160,Inherited!A:A,Inherited!B:B))/100)*(_xlfn.XLOOKUP(Assessment!H160,Inherited!A:A,Inherited!C:C)))+(((100-(_xlfn.XLOOKUP(Assessment!H160,Inherited!A:A,Inherited!B:B)))/100)*IF(X159="1.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(100%)","100"))))))&gt;=33,(((_xlfn.XLOOKUP(Assessment!H160,Inherited!A:A,Inherited!B:B))/100)*(_xlfn.XLOOKUP(Assessment!H160,Inherited!A:A,Inherited!C:C)))+(((100-(_xlfn.XLOOKUP(Assessment!H160,Inherited!A:A,Inherited!B:B)))/100)*IF(X159="1.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(100%)","100"))))))&lt;=65),"50",IF(AND((((_xlfn.XLOOKUP(Assessment!H160,Inherited!A:A,Inherited!B:B))/100)*(_xlfn.XLOOKUP(Assessment!H160,Inherited!A:A,Inherited!C:C)))+(((100-(_xlfn.XLOOKUP(Assessment!H160,Inherited!A:A,Inherited!B:B)))/100)*IF(X159="1.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(100%)","100"))))))&gt;=66,(((_xlfn.XLOOKUP(Assessment!H160,Inherited!A:A,Inherited!B:B))/100)*(_xlfn.XLOOKUP(Assessment!H160,Inherited!A:A,Inherited!C:C)))+(((100-(_xlfn.XLOOKUP(Assessment!H160,Inherited!A:A,Inherited!B:B)))/100)*IF(X159="1.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(100%)","100"))))))&lt;=89),"75",IF((((_xlfn.XLOOKUP(Assessment!H160,Inherited!A:A,Inherited!B:B))/100)*(_xlfn.XLOOKUP(Assessment!H160,Inherited!A:A,Inherited!C:C)))+(((100-(_xlfn.XLOOKUP(Assessment!H160,Inherited!A:A,Inherited!B:B)))/100)*IF(X159="1. Non Compliant (0%)","0",IF(X159="2. Somewhat Compliant (25%)","25",IF(X159="3. Partially Compliant (50%)","50",IF(X159="4. Mostly Compliant (75%)","75",IF(X159="5. Fully Compliant (100%)","100"))))))&gt;=90,"100"))))))</f>
        <v>#N/A</v>
      </c>
      <c r="R159" s="1" t="e">
        <f>IF(MATCH(H159,Inherited!A:A),IF((((_xlfn.XLOOKUP(Assessment!H160,Inherited!A:A,Inherited!B:B))/100)*(_xlfn.XLOOKUP(Assessment!H160,Inherited!A:A,Inherited!D:D)))+(((100-(_xlfn.XLOOKUP(Assessment!H160,Inherited!A:A,Inherited!B:B)))/100)*IF(Y159="1.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(100%)","100"))))))&lt;=10,"0", IF(AND((((_xlfn.XLOOKUP(Assessment!H160,Inherited!A:A,Inherited!B:B))/100)*(_xlfn.XLOOKUP(Assessment!H160,Inherited!A:A,Inherited!D:D)))+(((100-(_xlfn.XLOOKUP(Assessment!H160,Inherited!A:A,Inherited!B:B)))/100)*IF(Y159="1.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(100%)","100"))))))&gt;=11,(((_xlfn.XLOOKUP(Assessment!H160,Inherited!A:A,Inherited!B:B))/100)*(_xlfn.XLOOKUP(Assessment!H160,Inherited!A:A,Inherited!D:D)))+(((100-(_xlfn.XLOOKUP(Assessment!H160,Inherited!A:A,Inherited!B:B)))/100)*IF(Y159="1.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(100%)","100"))))))&lt;=32),"25",IF(AND((((_xlfn.XLOOKUP(Assessment!H160,Inherited!A:A,Inherited!B:B))/100)*(_xlfn.XLOOKUP(Assessment!H160,Inherited!A:A,Inherited!D:D)))+(((100-(_xlfn.XLOOKUP(Assessment!H160,Inherited!A:A,Inherited!B:B)))/100)*IF(Y159="1.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(100%)","100"))))))&gt;=33,(((_xlfn.XLOOKUP(Assessment!H160,Inherited!A:A,Inherited!B:B))/100)*(_xlfn.XLOOKUP(Assessment!H160,Inherited!A:A,Inherited!D:D)))+(((100-(_xlfn.XLOOKUP(Assessment!H160,Inherited!A:A,Inherited!B:B)))/100)*IF(Y159="1.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(100%)","100"))))))&lt;=65),"50",IF(AND((((_xlfn.XLOOKUP(Assessment!H160,Inherited!A:A,Inherited!B:B))/100)*(_xlfn.XLOOKUP(Assessment!H160,Inherited!A:A,Inherited!D:D)))+(((100-(_xlfn.XLOOKUP(Assessment!H160,Inherited!A:A,Inherited!B:B)))/100)*IF(Y159="1.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(100%)","100"))))))&gt;=66,(((_xlfn.XLOOKUP(Assessment!H160,Inherited!A:A,Inherited!B:B))/100)*(_xlfn.XLOOKUP(Assessment!H160,Inherited!A:A,Inherited!D:D)))+(((100-(_xlfn.XLOOKUP(Assessment!H160,Inherited!A:A,Inherited!B:B)))/100)*IF(Y159="1.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(100%)","100"))))))&lt;=89),"75",IF((((_xlfn.XLOOKUP(Assessment!H160,Inherited!A:A,Inherited!B:B))/100)*(_xlfn.XLOOKUP(Assessment!H160,Inherited!A:A,Inherited!D:D)))+(((100-(_xlfn.XLOOKUP(Assessment!H160,Inherited!A:A,Inherited!B:B)))/100)*IF(Y159="1. Non Compliant (0%)","0",IF(Y159="2. Somewhat Compliant (25%)","25",IF(Y159="3. Partially Compliant (50%)","50",IF(Y159="4. Mostly Compliant (75%)","75",IF(Y159="5. Fully Compliant (100%)","100"))))))&gt;=90,"100"))))))</f>
        <v>#N/A</v>
      </c>
      <c r="S159" s="1" t="e">
        <f>IF(MATCH(H159,Inherited!A:A),IF((((_xlfn.XLOOKUP(Assessment!H160,Inherited!A:A,Inherited!B:B))/100)*(_xlfn.XLOOKUP(Assessment!H160,Inherited!A:A,Inherited!E:E)))+(((100-(_xlfn.XLOOKUP(Assessment!H160,Inherited!A:A,Inherited!B:B)))/100)*IF(Z159="1.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(100%)","100"))))))&lt;=10,"0", IF(AND((((_xlfn.XLOOKUP(Assessment!H160,Inherited!A:A,Inherited!B:B))/100)*(_xlfn.XLOOKUP(Assessment!H160,Inherited!A:A,Inherited!E:E)))+(((100-(_xlfn.XLOOKUP(Assessment!H160,Inherited!A:A,Inherited!B:B)))/100)*IF(Z159="1.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(100%)","100"))))))&gt;=11,(((_xlfn.XLOOKUP(Assessment!H160,Inherited!A:A,Inherited!B:B))/100)*(_xlfn.XLOOKUP(Assessment!H160,Inherited!A:A,Inherited!E:E)))+(((100-(_xlfn.XLOOKUP(Assessment!H160,Inherited!A:A,Inherited!B:B)))/100)*IF(Z159="1.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(100%)","100"))))))&lt;=32),"25",IF(AND((((_xlfn.XLOOKUP(Assessment!H160,Inherited!A:A,Inherited!B:B))/100)*(_xlfn.XLOOKUP(Assessment!H160,Inherited!A:A,Inherited!E:E)))+(((100-(_xlfn.XLOOKUP(Assessment!H160,Inherited!A:A,Inherited!B:B)))/100)*IF(Z159="1.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(100%)","100"))))))&gt;=33,(((_xlfn.XLOOKUP(Assessment!H160,Inherited!A:A,Inherited!B:B))/100)*(_xlfn.XLOOKUP(Assessment!H160,Inherited!A:A,Inherited!E:E)))+(((100-(_xlfn.XLOOKUP(Assessment!H160,Inherited!A:A,Inherited!B:B)))/100)*IF(Z159="1.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(100%)","100"))))))&lt;=65),"50",IF(AND((((_xlfn.XLOOKUP(Assessment!H160,Inherited!A:A,Inherited!B:B))/100)*(_xlfn.XLOOKUP(Assessment!H160,Inherited!A:A,Inherited!E:E)))+(((100-(_xlfn.XLOOKUP(Assessment!H160,Inherited!A:A,Inherited!B:B)))/100)*IF(Z159="1.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(100%)","100"))))))&gt;=66,(((_xlfn.XLOOKUP(Assessment!H160,Inherited!A:A,Inherited!B:B))/100)*(_xlfn.XLOOKUP(Assessment!H160,Inherited!A:A,Inherited!E:E)))+(((100-(_xlfn.XLOOKUP(Assessment!H160,Inherited!A:A,Inherited!B:B)))/100)*IF(Z159="1.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(100%)","100"))))))&lt;=89),"75",IF((((_xlfn.XLOOKUP(Assessment!H160,Inherited!A:A,Inherited!B:B))/100)*(_xlfn.XLOOKUP(Assessment!H160,Inherited!A:A,Inherited!E:E)))+(((100-(_xlfn.XLOOKUP(Assessment!H160,Inherited!A:A,Inherited!B:B)))/100)*IF(Z159="1. Non Compliant (0%)","0",IF(Z159="2. Somewhat Compliant (25%)","25",IF(Z159="3. Partially Compliant (50%)","50",IF(Z159="4. Mostly Compliant (75%)","75",IF(Z159="5. Fully Compliant (100%)","100"))))))&gt;=90,"100"))))))</f>
        <v>#N/A</v>
      </c>
      <c r="T159" s="1" t="e">
        <f>IF(MATCH(H159,Inherited!A:A),IF((((_xlfn.XLOOKUP(Assessment!H160,Inherited!A:A,Inherited!B:B))/100)*(_xlfn.XLOOKUP(Assessment!H160,Inherited!A:A,Inherited!F:F)))+(((100-(_xlfn.XLOOKUP(Assessment!H160,Inherited!A:A,Inherited!B:B)))/100)*IF(AA159="1.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(100%)","100"))))))&lt;=10,"0", IF(AND((((_xlfn.XLOOKUP(Assessment!H160,Inherited!A:A,Inherited!B:B))/100)*(_xlfn.XLOOKUP(Assessment!H160,Inherited!A:A,Inherited!F:F)))+(((100-(_xlfn.XLOOKUP(Assessment!H160,Inherited!A:A,Inherited!B:B)))/100)*IF(AA159="1.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(100%)","100"))))))&gt;=11,(((_xlfn.XLOOKUP(Assessment!H160,Inherited!A:A,Inherited!B:B))/100)*(_xlfn.XLOOKUP(Assessment!H160,Inherited!A:A,Inherited!F:F)))+(((100-(_xlfn.XLOOKUP(Assessment!H160,Inherited!A:A,Inherited!B:B)))/100)*IF(AA159="1.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(100%)","100"))))))&lt;=32),"25",IF(AND((((_xlfn.XLOOKUP(Assessment!H160,Inherited!A:A,Inherited!B:B))/100)*(_xlfn.XLOOKUP(Assessment!H160,Inherited!A:A,Inherited!F:F)))+(((100-(_xlfn.XLOOKUP(Assessment!H160,Inherited!A:A,Inherited!B:B)))/100)*IF(AA159="1.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(100%)","100"))))))&gt;=33,(((_xlfn.XLOOKUP(Assessment!H160,Inherited!A:A,Inherited!B:B))/100)*(_xlfn.XLOOKUP(Assessment!H160,Inherited!A:A,Inherited!F:F)))+(((100-(_xlfn.XLOOKUP(Assessment!H160,Inherited!A:A,Inherited!B:B)))/100)*IF(AA159="1.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(100%)","100"))))))&lt;=65),"50",IF(AND((((_xlfn.XLOOKUP(Assessment!H160,Inherited!A:A,Inherited!B:B))/100)*(_xlfn.XLOOKUP(Assessment!H160,Inherited!A:A,Inherited!F:F)))+(((100-(_xlfn.XLOOKUP(Assessment!H160,Inherited!A:A,Inherited!B:B)))/100)*IF(AA159="1.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(100%)","100"))))))&gt;=66,(((_xlfn.XLOOKUP(Assessment!H160,Inherited!A:A,Inherited!B:B))/100)*(_xlfn.XLOOKUP(Assessment!H160,Inherited!A:A,Inherited!F:F)))+(((100-(_xlfn.XLOOKUP(Assessment!H160,Inherited!A:A,Inherited!B:B)))/100)*IF(AA159="1.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(100%)","100"))))))&lt;=89),"75",IF((((_xlfn.XLOOKUP(Assessment!H160,Inherited!A:A,Inherited!B:B))/100)*(_xlfn.XLOOKUP(Assessment!H160,Inherited!A:A,Inherited!F:F)))+(((100-(_xlfn.XLOOKUP(Assessment!H160,Inherited!A:A,Inherited!B:B)))/100)*IF(AA159="1. Non Compliant (0%)","0",IF(AA159="2. Somewhat Compliant (25%)","25",IF(AA159="3. Partially Compliant (50%)","50",IF(AA159="4. Mostly Compliant (75%)","75",IF(AA159="5. Fully Compliant (100%)","100"))))))&gt;=90,"100"))))))</f>
        <v>#N/A</v>
      </c>
      <c r="U159" s="1" t="e">
        <f>IF(MATCH(H159,Inherited!A:A),IF((((_xlfn.XLOOKUP(Assessment!H160,Inherited!A:A,Inherited!B:B))/100)*(_xlfn.XLOOKUP(Assessment!H160,Inherited!A:A,Inherited!G:G)))+(((100-(_xlfn.XLOOKUP(Assessment!H160,Inherited!A:A,Inherited!B:B)))/100)*IF(AB159="1.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(100%)","100"))))))&lt;=10,"0", IF(AND((((_xlfn.XLOOKUP(Assessment!H160,Inherited!A:A,Inherited!B:B))/100)*(_xlfn.XLOOKUP(Assessment!H160,Inherited!A:A,Inherited!G:G)))+(((100-(_xlfn.XLOOKUP(Assessment!H160,Inherited!A:A,Inherited!B:B)))/100)*IF(AB159="1.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(100%)","100"))))))&gt;=11,(((_xlfn.XLOOKUP(Assessment!H160,Inherited!A:A,Inherited!B:B))/100)*(_xlfn.XLOOKUP(Assessment!H160,Inherited!A:A,Inherited!G:G)))+(((100-(_xlfn.XLOOKUP(Assessment!H160,Inherited!A:A,Inherited!B:B)))/100)*IF(AB159="1.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(100%)","100"))))))&lt;=32),"25",IF(AND((((_xlfn.XLOOKUP(Assessment!H160,Inherited!A:A,Inherited!B:B))/100)*(_xlfn.XLOOKUP(Assessment!H160,Inherited!A:A,Inherited!G:G)))+(((100-(_xlfn.XLOOKUP(Assessment!H160,Inherited!A:A,Inherited!B:B)))/100)*IF(AB159="1.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(100%)","100"))))))&gt;=33,(((_xlfn.XLOOKUP(Assessment!H160,Inherited!A:A,Inherited!B:B))/100)*(_xlfn.XLOOKUP(Assessment!H160,Inherited!A:A,Inherited!G:G)))+(((100-(_xlfn.XLOOKUP(Assessment!H160,Inherited!A:A,Inherited!B:B)))/100)*IF(AB159="1.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(100%)","100"))))))&lt;=65),"50",IF(AND((((_xlfn.XLOOKUP(Assessment!H160,Inherited!A:A,Inherited!B:B))/100)*(_xlfn.XLOOKUP(Assessment!H160,Inherited!A:A,Inherited!G:G)))+(((100-(_xlfn.XLOOKUP(Assessment!H160,Inherited!A:A,Inherited!B:B)))/100)*IF(AB159="1.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(100%)","100"))))))&gt;=66,(((_xlfn.XLOOKUP(Assessment!H160,Inherited!A:A,Inherited!B:B))/100)*(_xlfn.XLOOKUP(Assessment!H160,Inherited!A:A,Inherited!G:G)))+(((100-(_xlfn.XLOOKUP(Assessment!H160,Inherited!A:A,Inherited!B:B)))/100)*IF(AB159="1.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(100%)","100"))))))&lt;=89),"75",IF((((_xlfn.XLOOKUP(Assessment!H160,Inherited!A:A,Inherited!B:B))/100)*(_xlfn.XLOOKUP(Assessment!H160,Inherited!A:A,Inherited!G:G)))+(((100-(_xlfn.XLOOKUP(Assessment!H160,Inherited!A:A,Inherited!B:B)))/100)*IF(AB159="1. Non Compliant (0%)","0",IF(AB159="2. Somewhat Compliant (25%)","25",IF(AB159="3. Partially Compliant (50%)","50",IF(AB159="4. Mostly Compliant (75%)","75",IF(AB159="5. Fully Compliant (100%)","100"))))))&gt;=90,"100"))))))</f>
        <v>#N/A</v>
      </c>
      <c r="V159" s="55" t="s">
        <v>85</v>
      </c>
      <c r="W159" s="55"/>
      <c r="X159" s="55"/>
      <c r="Y159" s="55"/>
      <c r="Z159" s="55" t="s">
        <v>10873</v>
      </c>
      <c r="AA159" s="55"/>
      <c r="AB159" s="55"/>
      <c r="AK159" s="1" t="s">
        <v>10978</v>
      </c>
      <c r="AL159" s="1" t="s">
        <v>10996</v>
      </c>
      <c r="AP159" s="1" t="s">
        <v>11118</v>
      </c>
      <c r="AX159" s="3" t="str">
        <f>_xlfn.CONCAT("A-LIGN finished its review of this control on ",AR159, " during the scheduled fieldwork window (",Intro!$B$4,")."&amp; CHAR(10)&amp; CHAR(10))</f>
        <v xml:space="preserve">A-LIGN finished its review of this control on  during the scheduled fieldwork window (Fieldwork: xx/xx/xxxx - xx/xx/xxxx).
</v>
      </c>
      <c r="AY159" s="3" t="str">
        <f t="shared" si="320"/>
        <v/>
      </c>
      <c r="AZ159" s="3" t="str">
        <f t="shared" si="321"/>
        <v/>
      </c>
      <c r="BA159" s="3" t="str">
        <f t="shared" si="322"/>
        <v/>
      </c>
      <c r="BB159" s="3" t="str">
        <f t="shared" si="323"/>
        <v xml:space="preserve">Inquired of the following workforce member: 
Michael Wood - VP of AI Engineering
Kyle Smith - IT Operations and AI Expert 
Inquiry lead to the following conclusions: 
AI use centered risk assessments are not completed at this time.
However, in the future, AI use centered risk assessments will be completed within Vanta at least every 180 days. The assessments will include all of the details outlined within the requirement statement
</v>
      </c>
      <c r="BC159" s="3" t="str">
        <f t="shared" si="324"/>
        <v/>
      </c>
      <c r="BD159" s="3" t="str">
        <f t="shared" si="325"/>
        <v xml:space="preserve">Examined the following evidence during fieldwork:
Reviewed evidence addressed the requirement statement.
Reviewed evidence exception note: 
Gap: 
AI use centered risk assessments are not completed at this time.
Recommendation:
Management should ensure that AI use centered risk assessments are completed on at least every 180 days and consider the following:
- conducted against AI training data
- formally documented
- performed when AI security incidents occur
- identified security measures implemented
</v>
      </c>
      <c r="BE159" s="3" t="str">
        <f t="shared" si="326"/>
        <v/>
      </c>
      <c r="BF159" s="3" t="str">
        <f t="shared" si="327"/>
        <v/>
      </c>
      <c r="BG159" s="3" t="str">
        <f>_xlfn.CONCAT((IF((COUNTIF('Sample Tables'!B:B,"")&gt;0)=TRUE,_xlfn.CONCAT("",""),IF((COUNTIF('Sample Tables'!B:B,"")&gt;0)=FALSE,""))),)</f>
        <v/>
      </c>
      <c r="BH159"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use centered risk assessments are not completed at this time.
However, in the future, AI use centered risk assessments will be completed within Vanta at least every 180 days. The assessments will include all of the details outlined within the requirement statement
Examined the following evidence during fieldwork:
Reviewed evidence addressed the requirement statement.
Reviewed evidence exception note: 
Gap: 
AI use centered risk assessments are not completed at this time.
Recommendation:
Management should ensure that AI use centered risk assessments are completed on at least every 180 days and consider the following:
- conducted against AI training data
- formally documented
- performed when AI security incidents occur
- identified security measures implemented
</v>
      </c>
    </row>
    <row r="160" spans="3:60" ht="409.5" x14ac:dyDescent="0.35">
      <c r="C160" s="1">
        <f t="shared" si="329"/>
        <v>0</v>
      </c>
      <c r="D160" s="5" t="str">
        <f>IF(AND((_xlfn.XLOOKUP(J160,'Fields &amp; Revisions'!$H:$H,'Fields &amp; Revisions'!$I:$I))&lt;70.99,(OR(Z160="4. Mostly Compliant (75%)",Z160="3. Partially Compliant (50%)",Z160="2. Somewhat Compliant (25%)",Z160="1. Non Compliant (0%)"))),"Yes","No")</f>
        <v>Yes</v>
      </c>
      <c r="E160" s="5" t="str">
        <f>IF(ISERROR(VLOOKUP(H160,Scope!A:A,1,FALSE)),"No","Yes")</f>
        <v>Yes</v>
      </c>
      <c r="F160" s="1" t="s">
        <v>4666</v>
      </c>
      <c r="G160" s="53" t="s">
        <v>4804</v>
      </c>
      <c r="H160" s="53" t="s">
        <v>4805</v>
      </c>
      <c r="I160" s="5" t="s">
        <v>93</v>
      </c>
      <c r="J160" s="1" t="s">
        <v>4800</v>
      </c>
      <c r="K160" s="54" t="s">
        <v>4806</v>
      </c>
      <c r="L160" s="1" t="s">
        <v>4807</v>
      </c>
      <c r="M160" s="1" t="s">
        <v>4808</v>
      </c>
      <c r="N160" s="5" t="s">
        <v>85</v>
      </c>
      <c r="O160" s="1" t="str">
        <f>_xlfn.XLOOKUP(G160,SRMs!$A:$A,SRMs!$D:$D)</f>
        <v>NO INHERITANCE</v>
      </c>
      <c r="P160" s="1" t="str">
        <f>IFERROR(VLOOKUP(H160,Inherited!A:B,2,FALSE),"")</f>
        <v/>
      </c>
      <c r="Q160" s="1" t="e">
        <f>IF(MATCH(H160,Inherited!A:A),IF((((_xlfn.XLOOKUP(Assessment!H161,Inherited!A:A,Inherited!B:B))/100)*(_xlfn.XLOOKUP(Assessment!H161,Inherited!A:A,Inherited!C:C)))+(((100-(_xlfn.XLOOKUP(Assessment!H161,Inherited!A:A,Inherited!B:B)))/100)*IF(X160="1.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(100%)","100"))))))&lt;=10,"0", IF(AND((((_xlfn.XLOOKUP(Assessment!H161,Inherited!A:A,Inherited!B:B))/100)*(_xlfn.XLOOKUP(Assessment!H161,Inherited!A:A,Inherited!C:C)))+(((100-(_xlfn.XLOOKUP(Assessment!H161,Inherited!A:A,Inherited!B:B)))/100)*IF(X160="1.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(100%)","100"))))))&gt;=11,(((_xlfn.XLOOKUP(Assessment!H161,Inherited!A:A,Inherited!B:B))/100)*(_xlfn.XLOOKUP(Assessment!H161,Inherited!A:A,Inherited!C:C)))+(((100-(_xlfn.XLOOKUP(Assessment!H161,Inherited!A:A,Inherited!B:B)))/100)*IF(X160="1.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(100%)","100"))))))&lt;=32),"25",IF(AND((((_xlfn.XLOOKUP(Assessment!H161,Inherited!A:A,Inherited!B:B))/100)*(_xlfn.XLOOKUP(Assessment!H161,Inherited!A:A,Inherited!C:C)))+(((100-(_xlfn.XLOOKUP(Assessment!H161,Inherited!A:A,Inherited!B:B)))/100)*IF(X160="1.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(100%)","100"))))))&gt;=33,(((_xlfn.XLOOKUP(Assessment!H161,Inherited!A:A,Inherited!B:B))/100)*(_xlfn.XLOOKUP(Assessment!H161,Inherited!A:A,Inherited!C:C)))+(((100-(_xlfn.XLOOKUP(Assessment!H161,Inherited!A:A,Inherited!B:B)))/100)*IF(X160="1.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(100%)","100"))))))&lt;=65),"50",IF(AND((((_xlfn.XLOOKUP(Assessment!H161,Inherited!A:A,Inherited!B:B))/100)*(_xlfn.XLOOKUP(Assessment!H161,Inherited!A:A,Inherited!C:C)))+(((100-(_xlfn.XLOOKUP(Assessment!H161,Inherited!A:A,Inherited!B:B)))/100)*IF(X160="1.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(100%)","100"))))))&gt;=66,(((_xlfn.XLOOKUP(Assessment!H161,Inherited!A:A,Inherited!B:B))/100)*(_xlfn.XLOOKUP(Assessment!H161,Inherited!A:A,Inherited!C:C)))+(((100-(_xlfn.XLOOKUP(Assessment!H161,Inherited!A:A,Inherited!B:B)))/100)*IF(X160="1.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(100%)","100"))))))&lt;=89),"75",IF((((_xlfn.XLOOKUP(Assessment!H161,Inherited!A:A,Inherited!B:B))/100)*(_xlfn.XLOOKUP(Assessment!H161,Inherited!A:A,Inherited!C:C)))+(((100-(_xlfn.XLOOKUP(Assessment!H161,Inherited!A:A,Inherited!B:B)))/100)*IF(X160="1. Non Compliant (0%)","0",IF(X160="2. Somewhat Compliant (25%)","25",IF(X160="3. Partially Compliant (50%)","50",IF(X160="4. Mostly Compliant (75%)","75",IF(X160="5. Fully Compliant (100%)","100"))))))&gt;=90,"100"))))))</f>
        <v>#N/A</v>
      </c>
      <c r="R160" s="1" t="e">
        <f>IF(MATCH(H160,Inherited!A:A),IF((((_xlfn.XLOOKUP(Assessment!H161,Inherited!A:A,Inherited!B:B))/100)*(_xlfn.XLOOKUP(Assessment!H161,Inherited!A:A,Inherited!D:D)))+(((100-(_xlfn.XLOOKUP(Assessment!H161,Inherited!A:A,Inherited!B:B)))/100)*IF(Y160="1.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(100%)","100"))))))&lt;=10,"0", IF(AND((((_xlfn.XLOOKUP(Assessment!H161,Inherited!A:A,Inherited!B:B))/100)*(_xlfn.XLOOKUP(Assessment!H161,Inherited!A:A,Inherited!D:D)))+(((100-(_xlfn.XLOOKUP(Assessment!H161,Inherited!A:A,Inherited!B:B)))/100)*IF(Y160="1.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(100%)","100"))))))&gt;=11,(((_xlfn.XLOOKUP(Assessment!H161,Inherited!A:A,Inherited!B:B))/100)*(_xlfn.XLOOKUP(Assessment!H161,Inherited!A:A,Inherited!D:D)))+(((100-(_xlfn.XLOOKUP(Assessment!H161,Inherited!A:A,Inherited!B:B)))/100)*IF(Y160="1.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(100%)","100"))))))&lt;=32),"25",IF(AND((((_xlfn.XLOOKUP(Assessment!H161,Inherited!A:A,Inherited!B:B))/100)*(_xlfn.XLOOKUP(Assessment!H161,Inherited!A:A,Inherited!D:D)))+(((100-(_xlfn.XLOOKUP(Assessment!H161,Inherited!A:A,Inherited!B:B)))/100)*IF(Y160="1.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(100%)","100"))))))&gt;=33,(((_xlfn.XLOOKUP(Assessment!H161,Inherited!A:A,Inherited!B:B))/100)*(_xlfn.XLOOKUP(Assessment!H161,Inherited!A:A,Inherited!D:D)))+(((100-(_xlfn.XLOOKUP(Assessment!H161,Inherited!A:A,Inherited!B:B)))/100)*IF(Y160="1.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(100%)","100"))))))&lt;=65),"50",IF(AND((((_xlfn.XLOOKUP(Assessment!H161,Inherited!A:A,Inherited!B:B))/100)*(_xlfn.XLOOKUP(Assessment!H161,Inherited!A:A,Inherited!D:D)))+(((100-(_xlfn.XLOOKUP(Assessment!H161,Inherited!A:A,Inherited!B:B)))/100)*IF(Y160="1.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(100%)","100"))))))&gt;=66,(((_xlfn.XLOOKUP(Assessment!H161,Inherited!A:A,Inherited!B:B))/100)*(_xlfn.XLOOKUP(Assessment!H161,Inherited!A:A,Inherited!D:D)))+(((100-(_xlfn.XLOOKUP(Assessment!H161,Inherited!A:A,Inherited!B:B)))/100)*IF(Y160="1.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(100%)","100"))))))&lt;=89),"75",IF((((_xlfn.XLOOKUP(Assessment!H161,Inherited!A:A,Inherited!B:B))/100)*(_xlfn.XLOOKUP(Assessment!H161,Inherited!A:A,Inherited!D:D)))+(((100-(_xlfn.XLOOKUP(Assessment!H161,Inherited!A:A,Inherited!B:B)))/100)*IF(Y160="1. Non Compliant (0%)","0",IF(Y160="2. Somewhat Compliant (25%)","25",IF(Y160="3. Partially Compliant (50%)","50",IF(Y160="4. Mostly Compliant (75%)","75",IF(Y160="5. Fully Compliant (100%)","100"))))))&gt;=90,"100"))))))</f>
        <v>#N/A</v>
      </c>
      <c r="S160" s="1" t="e">
        <f>IF(MATCH(H160,Inherited!A:A),IF((((_xlfn.XLOOKUP(Assessment!H161,Inherited!A:A,Inherited!B:B))/100)*(_xlfn.XLOOKUP(Assessment!H161,Inherited!A:A,Inherited!E:E)))+(((100-(_xlfn.XLOOKUP(Assessment!H161,Inherited!A:A,Inherited!B:B)))/100)*IF(Z160="1.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(100%)","100"))))))&lt;=10,"0", IF(AND((((_xlfn.XLOOKUP(Assessment!H161,Inherited!A:A,Inherited!B:B))/100)*(_xlfn.XLOOKUP(Assessment!H161,Inherited!A:A,Inherited!E:E)))+(((100-(_xlfn.XLOOKUP(Assessment!H161,Inherited!A:A,Inherited!B:B)))/100)*IF(Z160="1.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(100%)","100"))))))&gt;=11,(((_xlfn.XLOOKUP(Assessment!H161,Inherited!A:A,Inherited!B:B))/100)*(_xlfn.XLOOKUP(Assessment!H161,Inherited!A:A,Inherited!E:E)))+(((100-(_xlfn.XLOOKUP(Assessment!H161,Inherited!A:A,Inherited!B:B)))/100)*IF(Z160="1.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(100%)","100"))))))&lt;=32),"25",IF(AND((((_xlfn.XLOOKUP(Assessment!H161,Inherited!A:A,Inherited!B:B))/100)*(_xlfn.XLOOKUP(Assessment!H161,Inherited!A:A,Inherited!E:E)))+(((100-(_xlfn.XLOOKUP(Assessment!H161,Inherited!A:A,Inherited!B:B)))/100)*IF(Z160="1.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(100%)","100"))))))&gt;=33,(((_xlfn.XLOOKUP(Assessment!H161,Inherited!A:A,Inherited!B:B))/100)*(_xlfn.XLOOKUP(Assessment!H161,Inherited!A:A,Inherited!E:E)))+(((100-(_xlfn.XLOOKUP(Assessment!H161,Inherited!A:A,Inherited!B:B)))/100)*IF(Z160="1.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(100%)","100"))))))&lt;=65),"50",IF(AND((((_xlfn.XLOOKUP(Assessment!H161,Inherited!A:A,Inherited!B:B))/100)*(_xlfn.XLOOKUP(Assessment!H161,Inherited!A:A,Inherited!E:E)))+(((100-(_xlfn.XLOOKUP(Assessment!H161,Inherited!A:A,Inherited!B:B)))/100)*IF(Z160="1.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(100%)","100"))))))&gt;=66,(((_xlfn.XLOOKUP(Assessment!H161,Inherited!A:A,Inherited!B:B))/100)*(_xlfn.XLOOKUP(Assessment!H161,Inherited!A:A,Inherited!E:E)))+(((100-(_xlfn.XLOOKUP(Assessment!H161,Inherited!A:A,Inherited!B:B)))/100)*IF(Z160="1.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(100%)","100"))))))&lt;=89),"75",IF((((_xlfn.XLOOKUP(Assessment!H161,Inherited!A:A,Inherited!B:B))/100)*(_xlfn.XLOOKUP(Assessment!H161,Inherited!A:A,Inherited!E:E)))+(((100-(_xlfn.XLOOKUP(Assessment!H161,Inherited!A:A,Inherited!B:B)))/100)*IF(Z160="1. Non Compliant (0%)","0",IF(Z160="2. Somewhat Compliant (25%)","25",IF(Z160="3. Partially Compliant (50%)","50",IF(Z160="4. Mostly Compliant (75%)","75",IF(Z160="5. Fully Compliant (100%)","100"))))))&gt;=90,"100"))))))</f>
        <v>#N/A</v>
      </c>
      <c r="T160" s="1" t="e">
        <f>IF(MATCH(H160,Inherited!A:A),IF((((_xlfn.XLOOKUP(Assessment!H161,Inherited!A:A,Inherited!B:B))/100)*(_xlfn.XLOOKUP(Assessment!H161,Inherited!A:A,Inherited!F:F)))+(((100-(_xlfn.XLOOKUP(Assessment!H161,Inherited!A:A,Inherited!B:B)))/100)*IF(AA160="1.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(100%)","100"))))))&lt;=10,"0", IF(AND((((_xlfn.XLOOKUP(Assessment!H161,Inherited!A:A,Inherited!B:B))/100)*(_xlfn.XLOOKUP(Assessment!H161,Inherited!A:A,Inherited!F:F)))+(((100-(_xlfn.XLOOKUP(Assessment!H161,Inherited!A:A,Inherited!B:B)))/100)*IF(AA160="1.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(100%)","100"))))))&gt;=11,(((_xlfn.XLOOKUP(Assessment!H161,Inherited!A:A,Inherited!B:B))/100)*(_xlfn.XLOOKUP(Assessment!H161,Inherited!A:A,Inherited!F:F)))+(((100-(_xlfn.XLOOKUP(Assessment!H161,Inherited!A:A,Inherited!B:B)))/100)*IF(AA160="1.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(100%)","100"))))))&lt;=32),"25",IF(AND((((_xlfn.XLOOKUP(Assessment!H161,Inherited!A:A,Inherited!B:B))/100)*(_xlfn.XLOOKUP(Assessment!H161,Inherited!A:A,Inherited!F:F)))+(((100-(_xlfn.XLOOKUP(Assessment!H161,Inherited!A:A,Inherited!B:B)))/100)*IF(AA160="1.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(100%)","100"))))))&gt;=33,(((_xlfn.XLOOKUP(Assessment!H161,Inherited!A:A,Inherited!B:B))/100)*(_xlfn.XLOOKUP(Assessment!H161,Inherited!A:A,Inherited!F:F)))+(((100-(_xlfn.XLOOKUP(Assessment!H161,Inherited!A:A,Inherited!B:B)))/100)*IF(AA160="1.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(100%)","100"))))))&lt;=65),"50",IF(AND((((_xlfn.XLOOKUP(Assessment!H161,Inherited!A:A,Inherited!B:B))/100)*(_xlfn.XLOOKUP(Assessment!H161,Inherited!A:A,Inherited!F:F)))+(((100-(_xlfn.XLOOKUP(Assessment!H161,Inherited!A:A,Inherited!B:B)))/100)*IF(AA160="1.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(100%)","100"))))))&gt;=66,(((_xlfn.XLOOKUP(Assessment!H161,Inherited!A:A,Inherited!B:B))/100)*(_xlfn.XLOOKUP(Assessment!H161,Inherited!A:A,Inherited!F:F)))+(((100-(_xlfn.XLOOKUP(Assessment!H161,Inherited!A:A,Inherited!B:B)))/100)*IF(AA160="1.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(100%)","100"))))))&lt;=89),"75",IF((((_xlfn.XLOOKUP(Assessment!H161,Inherited!A:A,Inherited!B:B))/100)*(_xlfn.XLOOKUP(Assessment!H161,Inherited!A:A,Inherited!F:F)))+(((100-(_xlfn.XLOOKUP(Assessment!H161,Inherited!A:A,Inherited!B:B)))/100)*IF(AA160="1. Non Compliant (0%)","0",IF(AA160="2. Somewhat Compliant (25%)","25",IF(AA160="3. Partially Compliant (50%)","50",IF(AA160="4. Mostly Compliant (75%)","75",IF(AA160="5. Fully Compliant (100%)","100"))))))&gt;=90,"100"))))))</f>
        <v>#N/A</v>
      </c>
      <c r="U160" s="1" t="e">
        <f>IF(MATCH(H160,Inherited!A:A),IF((((_xlfn.XLOOKUP(Assessment!H161,Inherited!A:A,Inherited!B:B))/100)*(_xlfn.XLOOKUP(Assessment!H161,Inherited!A:A,Inherited!G:G)))+(((100-(_xlfn.XLOOKUP(Assessment!H161,Inherited!A:A,Inherited!B:B)))/100)*IF(AB160="1.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(100%)","100"))))))&lt;=10,"0", IF(AND((((_xlfn.XLOOKUP(Assessment!H161,Inherited!A:A,Inherited!B:B))/100)*(_xlfn.XLOOKUP(Assessment!H161,Inherited!A:A,Inherited!G:G)))+(((100-(_xlfn.XLOOKUP(Assessment!H161,Inherited!A:A,Inherited!B:B)))/100)*IF(AB160="1.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(100%)","100"))))))&gt;=11,(((_xlfn.XLOOKUP(Assessment!H161,Inherited!A:A,Inherited!B:B))/100)*(_xlfn.XLOOKUP(Assessment!H161,Inherited!A:A,Inherited!G:G)))+(((100-(_xlfn.XLOOKUP(Assessment!H161,Inherited!A:A,Inherited!B:B)))/100)*IF(AB160="1.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(100%)","100"))))))&lt;=32),"25",IF(AND((((_xlfn.XLOOKUP(Assessment!H161,Inherited!A:A,Inherited!B:B))/100)*(_xlfn.XLOOKUP(Assessment!H161,Inherited!A:A,Inherited!G:G)))+(((100-(_xlfn.XLOOKUP(Assessment!H161,Inherited!A:A,Inherited!B:B)))/100)*IF(AB160="1.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(100%)","100"))))))&gt;=33,(((_xlfn.XLOOKUP(Assessment!H161,Inherited!A:A,Inherited!B:B))/100)*(_xlfn.XLOOKUP(Assessment!H161,Inherited!A:A,Inherited!G:G)))+(((100-(_xlfn.XLOOKUP(Assessment!H161,Inherited!A:A,Inherited!B:B)))/100)*IF(AB160="1.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(100%)","100"))))))&lt;=65),"50",IF(AND((((_xlfn.XLOOKUP(Assessment!H161,Inherited!A:A,Inherited!B:B))/100)*(_xlfn.XLOOKUP(Assessment!H161,Inherited!A:A,Inherited!G:G)))+(((100-(_xlfn.XLOOKUP(Assessment!H161,Inherited!A:A,Inherited!B:B)))/100)*IF(AB160="1.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(100%)","100"))))))&gt;=66,(((_xlfn.XLOOKUP(Assessment!H161,Inherited!A:A,Inherited!B:B))/100)*(_xlfn.XLOOKUP(Assessment!H161,Inherited!A:A,Inherited!G:G)))+(((100-(_xlfn.XLOOKUP(Assessment!H161,Inherited!A:A,Inherited!B:B)))/100)*IF(AB160="1.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(100%)","100"))))))&lt;=89),"75",IF((((_xlfn.XLOOKUP(Assessment!H161,Inherited!A:A,Inherited!B:B))/100)*(_xlfn.XLOOKUP(Assessment!H161,Inherited!A:A,Inherited!G:G)))+(((100-(_xlfn.XLOOKUP(Assessment!H161,Inherited!A:A,Inherited!B:B)))/100)*IF(AB160="1. Non Compliant (0%)","0",IF(AB160="2. Somewhat Compliant (25%)","25",IF(AB160="3. Partially Compliant (50%)","50",IF(AB160="4. Mostly Compliant (75%)","75",IF(AB160="5. Fully Compliant (100%)","100"))))))&gt;=90,"100"))))))</f>
        <v>#N/A</v>
      </c>
      <c r="V160" s="55" t="s">
        <v>85</v>
      </c>
      <c r="W160" s="55"/>
      <c r="X160" s="55"/>
      <c r="Y160" s="55"/>
      <c r="Z160" s="55" t="s">
        <v>10873</v>
      </c>
      <c r="AA160" s="55"/>
      <c r="AB160" s="55"/>
      <c r="AK160" s="1" t="s">
        <v>10978</v>
      </c>
      <c r="AL160" s="1" t="s">
        <v>10996</v>
      </c>
      <c r="AP160" s="1" t="s">
        <v>11119</v>
      </c>
      <c r="AX160" s="3" t="str">
        <f>_xlfn.CONCAT("A-LIGN finished its review of this control on ",AR160, " during the scheduled fieldwork window (",Intro!$B$4,")."&amp; CHAR(10)&amp; CHAR(10))</f>
        <v xml:space="preserve">A-LIGN finished its review of this control on  during the scheduled fieldwork window (Fieldwork: xx/xx/xxxx - xx/xx/xxxx).
</v>
      </c>
      <c r="AY160" s="3" t="str">
        <f t="shared" si="320"/>
        <v/>
      </c>
      <c r="AZ160" s="3" t="str">
        <f t="shared" si="321"/>
        <v/>
      </c>
      <c r="BA160" s="3" t="str">
        <f t="shared" si="322"/>
        <v/>
      </c>
      <c r="BB160" s="3" t="str">
        <f t="shared" si="323"/>
        <v xml:space="preserve">Inquired of the following workforce member: 
Michael Wood - VP of AI Engineering
Kyle Smith - IT Operations and AI Expert 
Inquiry lead to the following conclusions: 
AI use centered risk assessments are not completed at this time.
However, in the future, AI use centered risk assessments will be completed within Vanta at least every 180 days. The assessments will include all of the details outlined within the requirement statement
</v>
      </c>
      <c r="BC160" s="3" t="str">
        <f t="shared" si="324"/>
        <v/>
      </c>
      <c r="BD160" s="3" t="str">
        <f t="shared" si="325"/>
        <v xml:space="preserve">Examined the following evidence during fieldwork:
Reviewed evidence addressed the requirement statement.
Reviewed evidence exception note: 
Gap: 
AI use centered risk assessments are not completed at this time.
Recommendation:
Management should ensure that AI use centered risk assessments are completed on at least every 180 days and consider the following:
- reviewed prior to deployment of new models
- reviewed when security incidents related to the AI system occur
</v>
      </c>
      <c r="BE160" s="3" t="str">
        <f t="shared" si="326"/>
        <v/>
      </c>
      <c r="BF160" s="3" t="str">
        <f t="shared" si="327"/>
        <v/>
      </c>
      <c r="BG160" s="3" t="str">
        <f>_xlfn.CONCAT((IF((COUNTIF('Sample Tables'!B:B,"Test 223: Information Security (AI-specific non-compliance identified during compliance check)")&gt;0)=TRUE,_xlfn.CONCAT("Sample test results are documented in ",'Sample Tables'!B2449," [",'Sample Tables'!B2450,", ",'Sample Tables'!B2451,", ",'Sample Tables'!B2452,", ",'Sample Tables'!B2453,", ",'Sample Tables'!B2454,"]."&amp;CHAR(10)),IF((COUNTIF('Sample Tables'!B:B,"Test 223: Information Security (AI-specific non-compliance identified during compliance check)")&gt;0)=FALSE,""))),)</f>
        <v xml:space="preserve">Sample test results are documented in Test 223: Information Security (AI-specific non-compliance identified during compliance check) [Population Source/Tool: , Population Date Range: , Population Size: , Sample Methodology: , Sample Size: ].
</v>
      </c>
      <c r="BH160"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use centered risk assessments are not completed at this time.
However, in the future, AI use centered risk assessments will be completed within Vanta at least every 180 days. The assessments will include all of the details outlined within the requirement statement
Examined the following evidence during fieldwork:
Reviewed evidence addressed the requirement statement.
Reviewed evidence exception note: 
Gap: 
AI use centered risk assessments are not completed at this time.
Recommendation:
Management should ensure that AI use centered risk assessments are completed on at least every 180 days and consider the following:
- reviewed prior to deployment of new models
- reviewed when security incidents related to the AI system occur
Sample test results are documented in Test 223: Information Security (AI-specific non-compliance identified during compliance check) [Population Source/Tool: , Population Date Range: , Population Size: , Sample Methodology: , Sample Size: ].
</v>
      </c>
    </row>
    <row r="161" spans="3:60" ht="409.5" x14ac:dyDescent="0.35">
      <c r="C161" s="1">
        <f t="shared" si="329"/>
        <v>0</v>
      </c>
      <c r="D161" s="5" t="str">
        <f>IF(AND((_xlfn.XLOOKUP(J161,'Fields &amp; Revisions'!$H:$H,'Fields &amp; Revisions'!$I:$I))&lt;70.99,(OR(Z161="4. Mostly Compliant (75%)",Z161="3. Partially Compliant (50%)",Z161="2. Somewhat Compliant (25%)",Z161="1. Non Compliant (0%)"))),"Yes","No")</f>
        <v>Yes</v>
      </c>
      <c r="E161" s="5" t="str">
        <f>IF(ISERROR(VLOOKUP(H161,Scope!A:A,1,FALSE)),"No","Yes")</f>
        <v>Yes</v>
      </c>
      <c r="F161" s="1" t="s">
        <v>4666</v>
      </c>
      <c r="G161" s="53" t="s">
        <v>4809</v>
      </c>
      <c r="H161" s="53" t="s">
        <v>4810</v>
      </c>
      <c r="I161" s="5" t="s">
        <v>93</v>
      </c>
      <c r="J161" s="1" t="s">
        <v>4800</v>
      </c>
      <c r="K161" s="54" t="s">
        <v>4811</v>
      </c>
      <c r="L161" s="1" t="s">
        <v>4812</v>
      </c>
      <c r="M161" s="1" t="s">
        <v>4813</v>
      </c>
      <c r="N161" s="5" t="s">
        <v>85</v>
      </c>
      <c r="O161" s="1" t="str">
        <f>_xlfn.XLOOKUP(G161,SRMs!$A:$A,SRMs!$D:$D)</f>
        <v>NO INHERITANCE</v>
      </c>
      <c r="P161" s="1" t="str">
        <f>IFERROR(VLOOKUP(H161,Inherited!A:B,2,FALSE),"")</f>
        <v/>
      </c>
      <c r="Q161" s="1" t="e">
        <f>IF(MATCH(H161,Inherited!A:A),IF((((_xlfn.XLOOKUP(Assessment!#REF!,Inherited!A:A,Inherited!B:B))/100)*(_xlfn.XLOOKUP(Assessment!#REF!,Inherited!A:A,Inherited!C:C)))+(((100-(_xlfn.XLOOKUP(Assessment!#REF!,Inherited!A:A,Inherited!B:B)))/100)*IF(X161="1.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(100%)","100"))))))&lt;=10,"0", IF(AND((((_xlfn.XLOOKUP(Assessment!#REF!,Inherited!A:A,Inherited!B:B))/100)*(_xlfn.XLOOKUP(Assessment!#REF!,Inherited!A:A,Inherited!C:C)))+(((100-(_xlfn.XLOOKUP(Assessment!#REF!,Inherited!A:A,Inherited!B:B)))/100)*IF(X161="1.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(100%)","100"))))))&gt;=11,(((_xlfn.XLOOKUP(Assessment!#REF!,Inherited!A:A,Inherited!B:B))/100)*(_xlfn.XLOOKUP(Assessment!#REF!,Inherited!A:A,Inherited!C:C)))+(((100-(_xlfn.XLOOKUP(Assessment!#REF!,Inherited!A:A,Inherited!B:B)))/100)*IF(X161="1.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(100%)","100"))))))&lt;=32),"25",IF(AND((((_xlfn.XLOOKUP(Assessment!#REF!,Inherited!A:A,Inherited!B:B))/100)*(_xlfn.XLOOKUP(Assessment!#REF!,Inherited!A:A,Inherited!C:C)))+(((100-(_xlfn.XLOOKUP(Assessment!#REF!,Inherited!A:A,Inherited!B:B)))/100)*IF(X161="1.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(100%)","100"))))))&gt;=33,(((_xlfn.XLOOKUP(Assessment!#REF!,Inherited!A:A,Inherited!B:B))/100)*(_xlfn.XLOOKUP(Assessment!#REF!,Inherited!A:A,Inherited!C:C)))+(((100-(_xlfn.XLOOKUP(Assessment!#REF!,Inherited!A:A,Inherited!B:B)))/100)*IF(X161="1.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(100%)","100"))))))&lt;=65),"50",IF(AND((((_xlfn.XLOOKUP(Assessment!#REF!,Inherited!A:A,Inherited!B:B))/100)*(_xlfn.XLOOKUP(Assessment!#REF!,Inherited!A:A,Inherited!C:C)))+(((100-(_xlfn.XLOOKUP(Assessment!#REF!,Inherited!A:A,Inherited!B:B)))/100)*IF(X161="1.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(100%)","100"))))))&gt;=66,(((_xlfn.XLOOKUP(Assessment!#REF!,Inherited!A:A,Inherited!B:B))/100)*(_xlfn.XLOOKUP(Assessment!#REF!,Inherited!A:A,Inherited!C:C)))+(((100-(_xlfn.XLOOKUP(Assessment!#REF!,Inherited!A:A,Inherited!B:B)))/100)*IF(X161="1.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(100%)","100"))))))&lt;=89),"75",IF((((_xlfn.XLOOKUP(Assessment!#REF!,Inherited!A:A,Inherited!B:B))/100)*(_xlfn.XLOOKUP(Assessment!#REF!,Inherited!A:A,Inherited!C:C)))+(((100-(_xlfn.XLOOKUP(Assessment!#REF!,Inherited!A:A,Inherited!B:B)))/100)*IF(X161="1. Non Compliant (0%)","0",IF(X161="2. Somewhat Compliant (25%)","25",IF(X161="3. Partially Compliant (50%)","50",IF(X161="4. Mostly Compliant (75%)","75",IF(X161="5. Fully Compliant (100%)","100"))))))&gt;=90,"100"))))))</f>
        <v>#N/A</v>
      </c>
      <c r="R161" s="1" t="e">
        <f>IF(MATCH(H161,Inherited!A:A),IF((((_xlfn.XLOOKUP(Assessment!#REF!,Inherited!A:A,Inherited!B:B))/100)*(_xlfn.XLOOKUP(Assessment!#REF!,Inherited!A:A,Inherited!D:D)))+(((100-(_xlfn.XLOOKUP(Assessment!#REF!,Inherited!A:A,Inherited!B:B)))/100)*IF(Y161="1.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(100%)","100"))))))&lt;=10,"0", IF(AND((((_xlfn.XLOOKUP(Assessment!#REF!,Inherited!A:A,Inherited!B:B))/100)*(_xlfn.XLOOKUP(Assessment!#REF!,Inherited!A:A,Inherited!D:D)))+(((100-(_xlfn.XLOOKUP(Assessment!#REF!,Inherited!A:A,Inherited!B:B)))/100)*IF(Y161="1.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(100%)","100"))))))&gt;=11,(((_xlfn.XLOOKUP(Assessment!#REF!,Inherited!A:A,Inherited!B:B))/100)*(_xlfn.XLOOKUP(Assessment!#REF!,Inherited!A:A,Inherited!D:D)))+(((100-(_xlfn.XLOOKUP(Assessment!#REF!,Inherited!A:A,Inherited!B:B)))/100)*IF(Y161="1.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(100%)","100"))))))&lt;=32),"25",IF(AND((((_xlfn.XLOOKUP(Assessment!#REF!,Inherited!A:A,Inherited!B:B))/100)*(_xlfn.XLOOKUP(Assessment!#REF!,Inherited!A:A,Inherited!D:D)))+(((100-(_xlfn.XLOOKUP(Assessment!#REF!,Inherited!A:A,Inherited!B:B)))/100)*IF(Y161="1.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(100%)","100"))))))&gt;=33,(((_xlfn.XLOOKUP(Assessment!#REF!,Inherited!A:A,Inherited!B:B))/100)*(_xlfn.XLOOKUP(Assessment!#REF!,Inherited!A:A,Inherited!D:D)))+(((100-(_xlfn.XLOOKUP(Assessment!#REF!,Inherited!A:A,Inherited!B:B)))/100)*IF(Y161="1.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(100%)","100"))))))&lt;=65),"50",IF(AND((((_xlfn.XLOOKUP(Assessment!#REF!,Inherited!A:A,Inherited!B:B))/100)*(_xlfn.XLOOKUP(Assessment!#REF!,Inherited!A:A,Inherited!D:D)))+(((100-(_xlfn.XLOOKUP(Assessment!#REF!,Inherited!A:A,Inherited!B:B)))/100)*IF(Y161="1.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(100%)","100"))))))&gt;=66,(((_xlfn.XLOOKUP(Assessment!#REF!,Inherited!A:A,Inherited!B:B))/100)*(_xlfn.XLOOKUP(Assessment!#REF!,Inherited!A:A,Inherited!D:D)))+(((100-(_xlfn.XLOOKUP(Assessment!#REF!,Inherited!A:A,Inherited!B:B)))/100)*IF(Y161="1.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(100%)","100"))))))&lt;=89),"75",IF((((_xlfn.XLOOKUP(Assessment!#REF!,Inherited!A:A,Inherited!B:B))/100)*(_xlfn.XLOOKUP(Assessment!#REF!,Inherited!A:A,Inherited!D:D)))+(((100-(_xlfn.XLOOKUP(Assessment!#REF!,Inherited!A:A,Inherited!B:B)))/100)*IF(Y161="1. Non Compliant (0%)","0",IF(Y161="2. Somewhat Compliant (25%)","25",IF(Y161="3. Partially Compliant (50%)","50",IF(Y161="4. Mostly Compliant (75%)","75",IF(Y161="5. Fully Compliant (100%)","100"))))))&gt;=90,"100"))))))</f>
        <v>#N/A</v>
      </c>
      <c r="S161" s="1" t="e">
        <f>IF(MATCH(H161,Inherited!A:A),IF((((_xlfn.XLOOKUP(Assessment!#REF!,Inherited!A:A,Inherited!B:B))/100)*(_xlfn.XLOOKUP(Assessment!#REF!,Inherited!A:A,Inherited!E:E)))+(((100-(_xlfn.XLOOKUP(Assessment!#REF!,Inherited!A:A,Inherited!B:B)))/100)*IF(Z161="1.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(100%)","100"))))))&lt;=10,"0", IF(AND((((_xlfn.XLOOKUP(Assessment!#REF!,Inherited!A:A,Inherited!B:B))/100)*(_xlfn.XLOOKUP(Assessment!#REF!,Inherited!A:A,Inherited!E:E)))+(((100-(_xlfn.XLOOKUP(Assessment!#REF!,Inherited!A:A,Inherited!B:B)))/100)*IF(Z161="1.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(100%)","100"))))))&gt;=11,(((_xlfn.XLOOKUP(Assessment!#REF!,Inherited!A:A,Inherited!B:B))/100)*(_xlfn.XLOOKUP(Assessment!#REF!,Inherited!A:A,Inherited!E:E)))+(((100-(_xlfn.XLOOKUP(Assessment!#REF!,Inherited!A:A,Inherited!B:B)))/100)*IF(Z161="1.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(100%)","100"))))))&lt;=32),"25",IF(AND((((_xlfn.XLOOKUP(Assessment!#REF!,Inherited!A:A,Inherited!B:B))/100)*(_xlfn.XLOOKUP(Assessment!#REF!,Inherited!A:A,Inherited!E:E)))+(((100-(_xlfn.XLOOKUP(Assessment!#REF!,Inherited!A:A,Inherited!B:B)))/100)*IF(Z161="1.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(100%)","100"))))))&gt;=33,(((_xlfn.XLOOKUP(Assessment!#REF!,Inherited!A:A,Inherited!B:B))/100)*(_xlfn.XLOOKUP(Assessment!#REF!,Inherited!A:A,Inherited!E:E)))+(((100-(_xlfn.XLOOKUP(Assessment!#REF!,Inherited!A:A,Inherited!B:B)))/100)*IF(Z161="1.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(100%)","100"))))))&lt;=65),"50",IF(AND((((_xlfn.XLOOKUP(Assessment!#REF!,Inherited!A:A,Inherited!B:B))/100)*(_xlfn.XLOOKUP(Assessment!#REF!,Inherited!A:A,Inherited!E:E)))+(((100-(_xlfn.XLOOKUP(Assessment!#REF!,Inherited!A:A,Inherited!B:B)))/100)*IF(Z161="1.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(100%)","100"))))))&gt;=66,(((_xlfn.XLOOKUP(Assessment!#REF!,Inherited!A:A,Inherited!B:B))/100)*(_xlfn.XLOOKUP(Assessment!#REF!,Inherited!A:A,Inherited!E:E)))+(((100-(_xlfn.XLOOKUP(Assessment!#REF!,Inherited!A:A,Inherited!B:B)))/100)*IF(Z161="1.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(100%)","100"))))))&lt;=89),"75",IF((((_xlfn.XLOOKUP(Assessment!#REF!,Inherited!A:A,Inherited!B:B))/100)*(_xlfn.XLOOKUP(Assessment!#REF!,Inherited!A:A,Inherited!E:E)))+(((100-(_xlfn.XLOOKUP(Assessment!#REF!,Inherited!A:A,Inherited!B:B)))/100)*IF(Z161="1. Non Compliant (0%)","0",IF(Z161="2. Somewhat Compliant (25%)","25",IF(Z161="3. Partially Compliant (50%)","50",IF(Z161="4. Mostly Compliant (75%)","75",IF(Z161="5. Fully Compliant (100%)","100"))))))&gt;=90,"100"))))))</f>
        <v>#N/A</v>
      </c>
      <c r="T161" s="1" t="e">
        <f>IF(MATCH(H161,Inherited!A:A),IF((((_xlfn.XLOOKUP(Assessment!#REF!,Inherited!A:A,Inherited!B:B))/100)*(_xlfn.XLOOKUP(Assessment!#REF!,Inherited!A:A,Inherited!F:F)))+(((100-(_xlfn.XLOOKUP(Assessment!#REF!,Inherited!A:A,Inherited!B:B)))/100)*IF(AA161="1.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(100%)","100"))))))&lt;=10,"0", IF(AND((((_xlfn.XLOOKUP(Assessment!#REF!,Inherited!A:A,Inherited!B:B))/100)*(_xlfn.XLOOKUP(Assessment!#REF!,Inherited!A:A,Inherited!F:F)))+(((100-(_xlfn.XLOOKUP(Assessment!#REF!,Inherited!A:A,Inherited!B:B)))/100)*IF(AA161="1.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(100%)","100"))))))&gt;=11,(((_xlfn.XLOOKUP(Assessment!#REF!,Inherited!A:A,Inherited!B:B))/100)*(_xlfn.XLOOKUP(Assessment!#REF!,Inherited!A:A,Inherited!F:F)))+(((100-(_xlfn.XLOOKUP(Assessment!#REF!,Inherited!A:A,Inherited!B:B)))/100)*IF(AA161="1.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(100%)","100"))))))&lt;=32),"25",IF(AND((((_xlfn.XLOOKUP(Assessment!#REF!,Inherited!A:A,Inherited!B:B))/100)*(_xlfn.XLOOKUP(Assessment!#REF!,Inherited!A:A,Inherited!F:F)))+(((100-(_xlfn.XLOOKUP(Assessment!#REF!,Inherited!A:A,Inherited!B:B)))/100)*IF(AA161="1.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(100%)","100"))))))&gt;=33,(((_xlfn.XLOOKUP(Assessment!#REF!,Inherited!A:A,Inherited!B:B))/100)*(_xlfn.XLOOKUP(Assessment!#REF!,Inherited!A:A,Inherited!F:F)))+(((100-(_xlfn.XLOOKUP(Assessment!#REF!,Inherited!A:A,Inherited!B:B)))/100)*IF(AA161="1.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(100%)","100"))))))&lt;=65),"50",IF(AND((((_xlfn.XLOOKUP(Assessment!#REF!,Inherited!A:A,Inherited!B:B))/100)*(_xlfn.XLOOKUP(Assessment!#REF!,Inherited!A:A,Inherited!F:F)))+(((100-(_xlfn.XLOOKUP(Assessment!#REF!,Inherited!A:A,Inherited!B:B)))/100)*IF(AA161="1.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(100%)","100"))))))&gt;=66,(((_xlfn.XLOOKUP(Assessment!#REF!,Inherited!A:A,Inherited!B:B))/100)*(_xlfn.XLOOKUP(Assessment!#REF!,Inherited!A:A,Inherited!F:F)))+(((100-(_xlfn.XLOOKUP(Assessment!#REF!,Inherited!A:A,Inherited!B:B)))/100)*IF(AA161="1.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(100%)","100"))))))&lt;=89),"75",IF((((_xlfn.XLOOKUP(Assessment!#REF!,Inherited!A:A,Inherited!B:B))/100)*(_xlfn.XLOOKUP(Assessment!#REF!,Inherited!A:A,Inherited!F:F)))+(((100-(_xlfn.XLOOKUP(Assessment!#REF!,Inherited!A:A,Inherited!B:B)))/100)*IF(AA161="1. Non Compliant (0%)","0",IF(AA161="2. Somewhat Compliant (25%)","25",IF(AA161="3. Partially Compliant (50%)","50",IF(AA161="4. Mostly Compliant (75%)","75",IF(AA161="5. Fully Compliant (100%)","100"))))))&gt;=90,"100"))))))</f>
        <v>#N/A</v>
      </c>
      <c r="U161" s="1" t="e">
        <f>IF(MATCH(H161,Inherited!A:A),IF((((_xlfn.XLOOKUP(Assessment!#REF!,Inherited!A:A,Inherited!B:B))/100)*(_xlfn.XLOOKUP(Assessment!#REF!,Inherited!A:A,Inherited!G:G)))+(((100-(_xlfn.XLOOKUP(Assessment!#REF!,Inherited!A:A,Inherited!B:B)))/100)*IF(AB161="1.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(100%)","100"))))))&lt;=10,"0", IF(AND((((_xlfn.XLOOKUP(Assessment!#REF!,Inherited!A:A,Inherited!B:B))/100)*(_xlfn.XLOOKUP(Assessment!#REF!,Inherited!A:A,Inherited!G:G)))+(((100-(_xlfn.XLOOKUP(Assessment!#REF!,Inherited!A:A,Inherited!B:B)))/100)*IF(AB161="1.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(100%)","100"))))))&gt;=11,(((_xlfn.XLOOKUP(Assessment!#REF!,Inherited!A:A,Inherited!B:B))/100)*(_xlfn.XLOOKUP(Assessment!#REF!,Inherited!A:A,Inherited!G:G)))+(((100-(_xlfn.XLOOKUP(Assessment!#REF!,Inherited!A:A,Inherited!B:B)))/100)*IF(AB161="1.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(100%)","100"))))))&lt;=32),"25",IF(AND((((_xlfn.XLOOKUP(Assessment!#REF!,Inherited!A:A,Inherited!B:B))/100)*(_xlfn.XLOOKUP(Assessment!#REF!,Inherited!A:A,Inherited!G:G)))+(((100-(_xlfn.XLOOKUP(Assessment!#REF!,Inherited!A:A,Inherited!B:B)))/100)*IF(AB161="1.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(100%)","100"))))))&gt;=33,(((_xlfn.XLOOKUP(Assessment!#REF!,Inherited!A:A,Inherited!B:B))/100)*(_xlfn.XLOOKUP(Assessment!#REF!,Inherited!A:A,Inherited!G:G)))+(((100-(_xlfn.XLOOKUP(Assessment!#REF!,Inherited!A:A,Inherited!B:B)))/100)*IF(AB161="1.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(100%)","100"))))))&lt;=65),"50",IF(AND((((_xlfn.XLOOKUP(Assessment!#REF!,Inherited!A:A,Inherited!B:B))/100)*(_xlfn.XLOOKUP(Assessment!#REF!,Inherited!A:A,Inherited!G:G)))+(((100-(_xlfn.XLOOKUP(Assessment!#REF!,Inherited!A:A,Inherited!B:B)))/100)*IF(AB161="1.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(100%)","100"))))))&gt;=66,(((_xlfn.XLOOKUP(Assessment!#REF!,Inherited!A:A,Inherited!B:B))/100)*(_xlfn.XLOOKUP(Assessment!#REF!,Inherited!A:A,Inherited!G:G)))+(((100-(_xlfn.XLOOKUP(Assessment!#REF!,Inherited!A:A,Inherited!B:B)))/100)*IF(AB161="1.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(100%)","100"))))))&lt;=89),"75",IF((((_xlfn.XLOOKUP(Assessment!#REF!,Inherited!A:A,Inherited!B:B))/100)*(_xlfn.XLOOKUP(Assessment!#REF!,Inherited!A:A,Inherited!G:G)))+(((100-(_xlfn.XLOOKUP(Assessment!#REF!,Inherited!A:A,Inherited!B:B)))/100)*IF(AB161="1. Non Compliant (0%)","0",IF(AB161="2. Somewhat Compliant (25%)","25",IF(AB161="3. Partially Compliant (50%)","50",IF(AB161="4. Mostly Compliant (75%)","75",IF(AB161="5. Fully Compliant (100%)","100"))))))&gt;=90,"100"))))))</f>
        <v>#N/A</v>
      </c>
      <c r="V161" s="55" t="s">
        <v>85</v>
      </c>
      <c r="W161" s="55"/>
      <c r="X161" s="55"/>
      <c r="Y161" s="55"/>
      <c r="Z161" s="55" t="s">
        <v>10873</v>
      </c>
      <c r="AA161" s="55"/>
      <c r="AB161" s="55"/>
      <c r="AK161" s="1" t="s">
        <v>10978</v>
      </c>
      <c r="AL161" s="1" t="s">
        <v>10996</v>
      </c>
      <c r="AP161" s="1" t="s">
        <v>11120</v>
      </c>
      <c r="AX161" s="3" t="str">
        <f>_xlfn.CONCAT("A-LIGN finished its review of this control on ",AR161, " during the scheduled fieldwork window (",Intro!$B$4,")."&amp; CHAR(10)&amp; CHAR(10))</f>
        <v xml:space="preserve">A-LIGN finished its review of this control on  during the scheduled fieldwork window (Fieldwork: xx/xx/xxxx - xx/xx/xxxx).
</v>
      </c>
      <c r="AY161" s="3" t="str">
        <f t="shared" si="320"/>
        <v/>
      </c>
      <c r="AZ161" s="3" t="str">
        <f t="shared" si="321"/>
        <v/>
      </c>
      <c r="BA161" s="3" t="str">
        <f t="shared" si="322"/>
        <v/>
      </c>
      <c r="BB161" s="3" t="str">
        <f t="shared" si="323"/>
        <v xml:space="preserve">Inquired of the following workforce member: 
Michael Wood - VP of AI Engineering
Kyle Smith - IT Operations and AI Expert 
Inquiry lead to the following conclusions: 
AI use centered risk assessments are not completed at this time.
However, in the future, AI use centered risk assessments will be completed within Vanta at least every 180 days. The assessments will include all of the details outlined within the requirement statement
</v>
      </c>
      <c r="BC161" s="3" t="str">
        <f t="shared" si="324"/>
        <v/>
      </c>
      <c r="BD161" s="3" t="str">
        <f t="shared" si="325"/>
        <v xml:space="preserve">Examined the following evidence during fieldwork:
Reviewed evidence addressed the requirement statement.
Reviewed evidence exception note: 
Gap: 
AI use centered risk assessments are not completed at this time.
Recommendation:
Management should ensure that AI use centered risk assessments are completed on at least every 180 days and consider the following:
- reviewed prior to deployment of new models
- reviewed when security incidents related to the AI system occur
- reviewed when new AI security threats have been detected
</v>
      </c>
      <c r="BE161" s="3" t="str">
        <f t="shared" si="326"/>
        <v/>
      </c>
      <c r="BF161" s="3" t="str">
        <f t="shared" si="327"/>
        <v/>
      </c>
      <c r="BG161" s="3" t="str">
        <f>_xlfn.CONCAT((IF((COUNTIF('Sample Tables'!B:B,"Test 224: Artificial Intelligence (evaluation)")&gt;0)=TRUE,_xlfn.CONCAT("Sample test results are documented in ",'Sample Tables'!B2460," [",'Sample Tables'!B2461,", ",'Sample Tables'!B2462,", ",'Sample Tables'!B2463,", ",'Sample Tables'!B2464,", ",'Sample Tables'!B2465,"]."&amp;CHAR(10)),IF((COUNTIF('Sample Tables'!B:B,"Test 224: Artificial Intelligence (evaluation)")&gt;0)=FALSE,""))),)</f>
        <v xml:space="preserve">Sample test results are documented in Test 224: Artificial Intelligence (evaluation) [Population Source/Tool: , Population Date Range: , Population Size: , Sample Methodology: , Sample Size: ].
</v>
      </c>
      <c r="BH161"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use centered risk assessments are not completed at this time.
However, in the future, AI use centered risk assessments will be completed within Vanta at least every 180 days. The assessments will include all of the details outlined within the requirement statement
Examined the following evidence during fieldwork:
Reviewed evidence addressed the requirement statement.
Reviewed evidence exception note: 
Gap: 
AI use centered risk assessments are not completed at this time.
Recommendation:
Management should ensure that AI use centered risk assessments are completed on at least every 180 days and consider the following:
- reviewed prior to deployment of new models
- reviewed when security incidents related to the AI system occur
- reviewed when new AI security threats have been detected
Sample test results are documented in Test 224: Artificial Intelligence (evaluation) [Population Source/Tool: , Population Date Range: , Population Size: , Sample Methodology: , Sample Size: ].
</v>
      </c>
    </row>
    <row r="162" spans="3:60" ht="409.5" x14ac:dyDescent="0.35">
      <c r="C162" s="1">
        <f t="shared" si="329"/>
        <v>0</v>
      </c>
      <c r="D162" s="5" t="str">
        <f>IF(AND((_xlfn.XLOOKUP(J162,'Fields &amp; Revisions'!$H:$H,'Fields &amp; Revisions'!$I:$I))&lt;70.99,(OR(Z162="4. Mostly Compliant (75%)",Z162="3. Partially Compliant (50%)",Z162="2. Somewhat Compliant (25%)",Z162="1. Non Compliant (0%)"))),"Yes","No")</f>
        <v>Yes</v>
      </c>
      <c r="E162" s="5" t="str">
        <f>IF(ISERROR(VLOOKUP(H162,Scope!A:A,1,FALSE)),"No","Yes")</f>
        <v>Yes</v>
      </c>
      <c r="F162" s="1" t="s">
        <v>4666</v>
      </c>
      <c r="G162" s="53" t="s">
        <v>4816</v>
      </c>
      <c r="H162" s="53" t="s">
        <v>4817</v>
      </c>
      <c r="I162" s="5" t="s">
        <v>225</v>
      </c>
      <c r="J162" s="86" t="s">
        <v>4800</v>
      </c>
      <c r="K162" s="54" t="s">
        <v>4818</v>
      </c>
      <c r="L162" s="1" t="s">
        <v>4819</v>
      </c>
      <c r="M162" s="1" t="s">
        <v>4820</v>
      </c>
      <c r="N162" s="5" t="s">
        <v>98</v>
      </c>
      <c r="O162" s="1" t="str">
        <f>_xlfn.XLOOKUP(G162,SRMs!$A:$A,SRMs!$D:$D)</f>
        <v>NO INHERITANCE</v>
      </c>
      <c r="P162" s="1" t="str">
        <f>IFERROR(VLOOKUP(H162,Inherited!A:B,2,FALSE),"")</f>
        <v/>
      </c>
      <c r="Q162" s="1" t="e">
        <f>IF(MATCH(H162,Inherited!A:A),IF((((_xlfn.XLOOKUP(Assessment!H163,Inherited!A:A,Inherited!B:B))/100)*(_xlfn.XLOOKUP(Assessment!H163,Inherited!A:A,Inherited!C:C)))+(((100-(_xlfn.XLOOKUP(Assessment!H163,Inherited!A:A,Inherited!B:B)))/100)*IF(X162="1.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(100%)","100"))))))&lt;=10,"0", IF(AND((((_xlfn.XLOOKUP(Assessment!H163,Inherited!A:A,Inherited!B:B))/100)*(_xlfn.XLOOKUP(Assessment!H163,Inherited!A:A,Inherited!C:C)))+(((100-(_xlfn.XLOOKUP(Assessment!H163,Inherited!A:A,Inherited!B:B)))/100)*IF(X162="1.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(100%)","100"))))))&gt;=11,(((_xlfn.XLOOKUP(Assessment!H163,Inherited!A:A,Inherited!B:B))/100)*(_xlfn.XLOOKUP(Assessment!H163,Inherited!A:A,Inherited!C:C)))+(((100-(_xlfn.XLOOKUP(Assessment!H163,Inherited!A:A,Inherited!B:B)))/100)*IF(X162="1.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(100%)","100"))))))&lt;=32),"25",IF(AND((((_xlfn.XLOOKUP(Assessment!H163,Inherited!A:A,Inherited!B:B))/100)*(_xlfn.XLOOKUP(Assessment!H163,Inherited!A:A,Inherited!C:C)))+(((100-(_xlfn.XLOOKUP(Assessment!H163,Inherited!A:A,Inherited!B:B)))/100)*IF(X162="1.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(100%)","100"))))))&gt;=33,(((_xlfn.XLOOKUP(Assessment!H163,Inherited!A:A,Inherited!B:B))/100)*(_xlfn.XLOOKUP(Assessment!H163,Inherited!A:A,Inherited!C:C)))+(((100-(_xlfn.XLOOKUP(Assessment!H163,Inherited!A:A,Inherited!B:B)))/100)*IF(X162="1.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(100%)","100"))))))&lt;=65),"50",IF(AND((((_xlfn.XLOOKUP(Assessment!H163,Inherited!A:A,Inherited!B:B))/100)*(_xlfn.XLOOKUP(Assessment!H163,Inherited!A:A,Inherited!C:C)))+(((100-(_xlfn.XLOOKUP(Assessment!H163,Inherited!A:A,Inherited!B:B)))/100)*IF(X162="1.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(100%)","100"))))))&gt;=66,(((_xlfn.XLOOKUP(Assessment!H163,Inherited!A:A,Inherited!B:B))/100)*(_xlfn.XLOOKUP(Assessment!H163,Inherited!A:A,Inherited!C:C)))+(((100-(_xlfn.XLOOKUP(Assessment!H163,Inherited!A:A,Inherited!B:B)))/100)*IF(X162="1.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(100%)","100"))))))&lt;=89),"75",IF((((_xlfn.XLOOKUP(Assessment!H163,Inherited!A:A,Inherited!B:B))/100)*(_xlfn.XLOOKUP(Assessment!H163,Inherited!A:A,Inherited!C:C)))+(((100-(_xlfn.XLOOKUP(Assessment!H163,Inherited!A:A,Inherited!B:B)))/100)*IF(X162="1. Non Compliant (0%)","0",IF(X162="2. Somewhat Compliant (25%)","25",IF(X162="3. Partially Compliant (50%)","50",IF(X162="4. Mostly Compliant (75%)","75",IF(X162="5. Fully Compliant (100%)","100"))))))&gt;=90,"100"))))))</f>
        <v>#N/A</v>
      </c>
      <c r="R162" s="1" t="e">
        <f>IF(MATCH(H162,Inherited!A:A),IF((((_xlfn.XLOOKUP(Assessment!H163,Inherited!A:A,Inherited!B:B))/100)*(_xlfn.XLOOKUP(Assessment!H163,Inherited!A:A,Inherited!D:D)))+(((100-(_xlfn.XLOOKUP(Assessment!H163,Inherited!A:A,Inherited!B:B)))/100)*IF(Y162="1.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(100%)","100"))))))&lt;=10,"0", IF(AND((((_xlfn.XLOOKUP(Assessment!H163,Inherited!A:A,Inherited!B:B))/100)*(_xlfn.XLOOKUP(Assessment!H163,Inherited!A:A,Inherited!D:D)))+(((100-(_xlfn.XLOOKUP(Assessment!H163,Inherited!A:A,Inherited!B:B)))/100)*IF(Y162="1.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(100%)","100"))))))&gt;=11,(((_xlfn.XLOOKUP(Assessment!H163,Inherited!A:A,Inherited!B:B))/100)*(_xlfn.XLOOKUP(Assessment!H163,Inherited!A:A,Inherited!D:D)))+(((100-(_xlfn.XLOOKUP(Assessment!H163,Inherited!A:A,Inherited!B:B)))/100)*IF(Y162="1.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(100%)","100"))))))&lt;=32),"25",IF(AND((((_xlfn.XLOOKUP(Assessment!H163,Inherited!A:A,Inherited!B:B))/100)*(_xlfn.XLOOKUP(Assessment!H163,Inherited!A:A,Inherited!D:D)))+(((100-(_xlfn.XLOOKUP(Assessment!H163,Inherited!A:A,Inherited!B:B)))/100)*IF(Y162="1.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(100%)","100"))))))&gt;=33,(((_xlfn.XLOOKUP(Assessment!H163,Inherited!A:A,Inherited!B:B))/100)*(_xlfn.XLOOKUP(Assessment!H163,Inherited!A:A,Inherited!D:D)))+(((100-(_xlfn.XLOOKUP(Assessment!H163,Inherited!A:A,Inherited!B:B)))/100)*IF(Y162="1.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(100%)","100"))))))&lt;=65),"50",IF(AND((((_xlfn.XLOOKUP(Assessment!H163,Inherited!A:A,Inherited!B:B))/100)*(_xlfn.XLOOKUP(Assessment!H163,Inherited!A:A,Inherited!D:D)))+(((100-(_xlfn.XLOOKUP(Assessment!H163,Inherited!A:A,Inherited!B:B)))/100)*IF(Y162="1.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(100%)","100"))))))&gt;=66,(((_xlfn.XLOOKUP(Assessment!H163,Inherited!A:A,Inherited!B:B))/100)*(_xlfn.XLOOKUP(Assessment!H163,Inherited!A:A,Inherited!D:D)))+(((100-(_xlfn.XLOOKUP(Assessment!H163,Inherited!A:A,Inherited!B:B)))/100)*IF(Y162="1.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(100%)","100"))))))&lt;=89),"75",IF((((_xlfn.XLOOKUP(Assessment!H163,Inherited!A:A,Inherited!B:B))/100)*(_xlfn.XLOOKUP(Assessment!H163,Inherited!A:A,Inherited!D:D)))+(((100-(_xlfn.XLOOKUP(Assessment!H163,Inherited!A:A,Inherited!B:B)))/100)*IF(Y162="1. Non Compliant (0%)","0",IF(Y162="2. Somewhat Compliant (25%)","25",IF(Y162="3. Partially Compliant (50%)","50",IF(Y162="4. Mostly Compliant (75%)","75",IF(Y162="5. Fully Compliant (100%)","100"))))))&gt;=90,"100"))))))</f>
        <v>#N/A</v>
      </c>
      <c r="S162" s="1" t="e">
        <f>IF(MATCH(H162,Inherited!A:A),IF((((_xlfn.XLOOKUP(Assessment!H163,Inherited!A:A,Inherited!B:B))/100)*(_xlfn.XLOOKUP(Assessment!H163,Inherited!A:A,Inherited!E:E)))+(((100-(_xlfn.XLOOKUP(Assessment!H163,Inherited!A:A,Inherited!B:B)))/100)*IF(Z162="1.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(100%)","100"))))))&lt;=10,"0", IF(AND((((_xlfn.XLOOKUP(Assessment!H163,Inherited!A:A,Inherited!B:B))/100)*(_xlfn.XLOOKUP(Assessment!H163,Inherited!A:A,Inherited!E:E)))+(((100-(_xlfn.XLOOKUP(Assessment!H163,Inherited!A:A,Inherited!B:B)))/100)*IF(Z162="1.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(100%)","100"))))))&gt;=11,(((_xlfn.XLOOKUP(Assessment!H163,Inherited!A:A,Inherited!B:B))/100)*(_xlfn.XLOOKUP(Assessment!H163,Inherited!A:A,Inherited!E:E)))+(((100-(_xlfn.XLOOKUP(Assessment!H163,Inherited!A:A,Inherited!B:B)))/100)*IF(Z162="1.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(100%)","100"))))))&lt;=32),"25",IF(AND((((_xlfn.XLOOKUP(Assessment!H163,Inherited!A:A,Inherited!B:B))/100)*(_xlfn.XLOOKUP(Assessment!H163,Inherited!A:A,Inherited!E:E)))+(((100-(_xlfn.XLOOKUP(Assessment!H163,Inherited!A:A,Inherited!B:B)))/100)*IF(Z162="1.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(100%)","100"))))))&gt;=33,(((_xlfn.XLOOKUP(Assessment!H163,Inherited!A:A,Inherited!B:B))/100)*(_xlfn.XLOOKUP(Assessment!H163,Inherited!A:A,Inherited!E:E)))+(((100-(_xlfn.XLOOKUP(Assessment!H163,Inherited!A:A,Inherited!B:B)))/100)*IF(Z162="1.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(100%)","100"))))))&lt;=65),"50",IF(AND((((_xlfn.XLOOKUP(Assessment!H163,Inherited!A:A,Inherited!B:B))/100)*(_xlfn.XLOOKUP(Assessment!H163,Inherited!A:A,Inherited!E:E)))+(((100-(_xlfn.XLOOKUP(Assessment!H163,Inherited!A:A,Inherited!B:B)))/100)*IF(Z162="1.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(100%)","100"))))))&gt;=66,(((_xlfn.XLOOKUP(Assessment!H163,Inherited!A:A,Inherited!B:B))/100)*(_xlfn.XLOOKUP(Assessment!H163,Inherited!A:A,Inherited!E:E)))+(((100-(_xlfn.XLOOKUP(Assessment!H163,Inherited!A:A,Inherited!B:B)))/100)*IF(Z162="1.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(100%)","100"))))))&lt;=89),"75",IF((((_xlfn.XLOOKUP(Assessment!H163,Inherited!A:A,Inherited!B:B))/100)*(_xlfn.XLOOKUP(Assessment!H163,Inherited!A:A,Inherited!E:E)))+(((100-(_xlfn.XLOOKUP(Assessment!H163,Inherited!A:A,Inherited!B:B)))/100)*IF(Z162="1. Non Compliant (0%)","0",IF(Z162="2. Somewhat Compliant (25%)","25",IF(Z162="3. Partially Compliant (50%)","50",IF(Z162="4. Mostly Compliant (75%)","75",IF(Z162="5. Fully Compliant (100%)","100"))))))&gt;=90,"100"))))))</f>
        <v>#N/A</v>
      </c>
      <c r="T162" s="1" t="e">
        <f>IF(MATCH(H162,Inherited!A:A),IF((((_xlfn.XLOOKUP(Assessment!H163,Inherited!A:A,Inherited!B:B))/100)*(_xlfn.XLOOKUP(Assessment!H163,Inherited!A:A,Inherited!F:F)))+(((100-(_xlfn.XLOOKUP(Assessment!H163,Inherited!A:A,Inherited!B:B)))/100)*IF(AA162="1.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(100%)","100"))))))&lt;=10,"0", IF(AND((((_xlfn.XLOOKUP(Assessment!H163,Inherited!A:A,Inherited!B:B))/100)*(_xlfn.XLOOKUP(Assessment!H163,Inherited!A:A,Inherited!F:F)))+(((100-(_xlfn.XLOOKUP(Assessment!H163,Inherited!A:A,Inherited!B:B)))/100)*IF(AA162="1.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(100%)","100"))))))&gt;=11,(((_xlfn.XLOOKUP(Assessment!H163,Inherited!A:A,Inherited!B:B))/100)*(_xlfn.XLOOKUP(Assessment!H163,Inherited!A:A,Inherited!F:F)))+(((100-(_xlfn.XLOOKUP(Assessment!H163,Inherited!A:A,Inherited!B:B)))/100)*IF(AA162="1.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(100%)","100"))))))&lt;=32),"25",IF(AND((((_xlfn.XLOOKUP(Assessment!H163,Inherited!A:A,Inherited!B:B))/100)*(_xlfn.XLOOKUP(Assessment!H163,Inherited!A:A,Inherited!F:F)))+(((100-(_xlfn.XLOOKUP(Assessment!H163,Inherited!A:A,Inherited!B:B)))/100)*IF(AA162="1.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(100%)","100"))))))&gt;=33,(((_xlfn.XLOOKUP(Assessment!H163,Inherited!A:A,Inherited!B:B))/100)*(_xlfn.XLOOKUP(Assessment!H163,Inherited!A:A,Inherited!F:F)))+(((100-(_xlfn.XLOOKUP(Assessment!H163,Inherited!A:A,Inherited!B:B)))/100)*IF(AA162="1.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(100%)","100"))))))&lt;=65),"50",IF(AND((((_xlfn.XLOOKUP(Assessment!H163,Inherited!A:A,Inherited!B:B))/100)*(_xlfn.XLOOKUP(Assessment!H163,Inherited!A:A,Inherited!F:F)))+(((100-(_xlfn.XLOOKUP(Assessment!H163,Inherited!A:A,Inherited!B:B)))/100)*IF(AA162="1.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(100%)","100"))))))&gt;=66,(((_xlfn.XLOOKUP(Assessment!H163,Inherited!A:A,Inherited!B:B))/100)*(_xlfn.XLOOKUP(Assessment!H163,Inherited!A:A,Inherited!F:F)))+(((100-(_xlfn.XLOOKUP(Assessment!H163,Inherited!A:A,Inherited!B:B)))/100)*IF(AA162="1.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(100%)","100"))))))&lt;=89),"75",IF((((_xlfn.XLOOKUP(Assessment!H163,Inherited!A:A,Inherited!B:B))/100)*(_xlfn.XLOOKUP(Assessment!H163,Inherited!A:A,Inherited!F:F)))+(((100-(_xlfn.XLOOKUP(Assessment!H163,Inherited!A:A,Inherited!B:B)))/100)*IF(AA162="1. Non Compliant (0%)","0",IF(AA162="2. Somewhat Compliant (25%)","25",IF(AA162="3. Partially Compliant (50%)","50",IF(AA162="4. Mostly Compliant (75%)","75",IF(AA162="5. Fully Compliant (100%)","100"))))))&gt;=90,"100"))))))</f>
        <v>#N/A</v>
      </c>
      <c r="U162" s="1" t="e">
        <f>IF(MATCH(H162,Inherited!A:A),IF((((_xlfn.XLOOKUP(Assessment!H163,Inherited!A:A,Inherited!B:B))/100)*(_xlfn.XLOOKUP(Assessment!H163,Inherited!A:A,Inherited!G:G)))+(((100-(_xlfn.XLOOKUP(Assessment!H163,Inherited!A:A,Inherited!B:B)))/100)*IF(AB162="1.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(100%)","100"))))))&lt;=10,"0", IF(AND((((_xlfn.XLOOKUP(Assessment!H163,Inherited!A:A,Inherited!B:B))/100)*(_xlfn.XLOOKUP(Assessment!H163,Inherited!A:A,Inherited!G:G)))+(((100-(_xlfn.XLOOKUP(Assessment!H163,Inherited!A:A,Inherited!B:B)))/100)*IF(AB162="1.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(100%)","100"))))))&gt;=11,(((_xlfn.XLOOKUP(Assessment!H163,Inherited!A:A,Inherited!B:B))/100)*(_xlfn.XLOOKUP(Assessment!H163,Inherited!A:A,Inherited!G:G)))+(((100-(_xlfn.XLOOKUP(Assessment!H163,Inherited!A:A,Inherited!B:B)))/100)*IF(AB162="1.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(100%)","100"))))))&lt;=32),"25",IF(AND((((_xlfn.XLOOKUP(Assessment!H163,Inherited!A:A,Inherited!B:B))/100)*(_xlfn.XLOOKUP(Assessment!H163,Inherited!A:A,Inherited!G:G)))+(((100-(_xlfn.XLOOKUP(Assessment!H163,Inherited!A:A,Inherited!B:B)))/100)*IF(AB162="1.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(100%)","100"))))))&gt;=33,(((_xlfn.XLOOKUP(Assessment!H163,Inherited!A:A,Inherited!B:B))/100)*(_xlfn.XLOOKUP(Assessment!H163,Inherited!A:A,Inherited!G:G)))+(((100-(_xlfn.XLOOKUP(Assessment!H163,Inherited!A:A,Inherited!B:B)))/100)*IF(AB162="1.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(100%)","100"))))))&lt;=65),"50",IF(AND((((_xlfn.XLOOKUP(Assessment!H163,Inherited!A:A,Inherited!B:B))/100)*(_xlfn.XLOOKUP(Assessment!H163,Inherited!A:A,Inherited!G:G)))+(((100-(_xlfn.XLOOKUP(Assessment!H163,Inherited!A:A,Inherited!B:B)))/100)*IF(AB162="1.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(100%)","100"))))))&gt;=66,(((_xlfn.XLOOKUP(Assessment!H163,Inherited!A:A,Inherited!B:B))/100)*(_xlfn.XLOOKUP(Assessment!H163,Inherited!A:A,Inherited!G:G)))+(((100-(_xlfn.XLOOKUP(Assessment!H163,Inherited!A:A,Inherited!B:B)))/100)*IF(AB162="1.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(100%)","100"))))))&lt;=89),"75",IF((((_xlfn.XLOOKUP(Assessment!H163,Inherited!A:A,Inherited!B:B))/100)*(_xlfn.XLOOKUP(Assessment!H163,Inherited!A:A,Inherited!G:G)))+(((100-(_xlfn.XLOOKUP(Assessment!H163,Inherited!A:A,Inherited!B:B)))/100)*IF(AB162="1. Non Compliant (0%)","0",IF(AB162="2. Somewhat Compliant (25%)","25",IF(AB162="3. Partially Compliant (50%)","50",IF(AB162="4. Mostly Compliant (75%)","75",IF(AB162="5. Fully Compliant (100%)","100"))))))&gt;=90,"100"))))))</f>
        <v>#N/A</v>
      </c>
      <c r="V162" s="55" t="s">
        <v>85</v>
      </c>
      <c r="W162" s="55"/>
      <c r="X162" s="55"/>
      <c r="Y162" s="55"/>
      <c r="Z162" s="55" t="s">
        <v>10873</v>
      </c>
      <c r="AA162" s="55"/>
      <c r="AB162" s="55"/>
      <c r="AK162" s="1" t="s">
        <v>10978</v>
      </c>
      <c r="AL162" s="1" t="s">
        <v>10980</v>
      </c>
      <c r="AP162" s="1" t="s">
        <v>11067</v>
      </c>
      <c r="AX162" s="3" t="str">
        <f>_xlfn.CONCAT("A-LIGN finished its review of this control on ",AR162, " during the scheduled fieldwork window (",Intro!$B$4,")."&amp; CHAR(10)&amp; CHAR(10))</f>
        <v xml:space="preserve">A-LIGN finished its review of this control on  during the scheduled fieldwork window (Fieldwork: xx/xx/xxxx - xx/xx/xxxx).
</v>
      </c>
      <c r="AY162" s="3" t="str">
        <f t="shared" si="320"/>
        <v/>
      </c>
      <c r="AZ162" s="3" t="str">
        <f t="shared" si="321"/>
        <v/>
      </c>
      <c r="BA162" s="3" t="str">
        <f t="shared" si="322"/>
        <v/>
      </c>
      <c r="BB162" s="3" t="str">
        <f t="shared" si="323"/>
        <v xml:space="preserve">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v>
      </c>
      <c r="BC162" s="3" t="str">
        <f t="shared" si="324"/>
        <v/>
      </c>
      <c r="BD162" s="3" t="str">
        <f t="shared" si="325"/>
        <v xml:space="preserve">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AI data
- AI models
- AI systems
</v>
      </c>
      <c r="BE162" s="3" t="str">
        <f t="shared" si="326"/>
        <v/>
      </c>
      <c r="BF162" s="3" t="str">
        <f t="shared" si="327"/>
        <v/>
      </c>
      <c r="BG162" s="3" t="str">
        <f>_xlfn.CONCAT((IF((COUNTIF('Sample Tables'!B:B,"")&gt;0)=TRUE,_xlfn.CONCAT("",""),IF((COUNTIF('Sample Tables'!B:B,"")&gt;0)=FALSE,""))),)</f>
        <v/>
      </c>
      <c r="BH162"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Inventory is not currently maintained. However, the organization is currently working on developing an inventory within an Google spreadsheet. End goal is to have the Inventory maintained within Vanta for compliance purposes
Examined the following evidence during fieldwork:
Reviewed evidence addressed the requirement statement.
Reviewed evidence exception note: 
Gap: 
An AI Inventory is not currently maintained. 
Recommendation:
Management should ensure that an AI inventory is developed using Google sheets and contains the following details:
- AI data
- AI models
- AI systems
</v>
      </c>
    </row>
    <row r="163" spans="3:60" ht="286.5" customHeight="1" x14ac:dyDescent="0.35">
      <c r="C163" s="1">
        <f t="shared" si="329"/>
        <v>0</v>
      </c>
      <c r="D163" s="5" t="str">
        <f>IF(AND((_xlfn.XLOOKUP(J163,'Fields &amp; Revisions'!$H:$H,'Fields &amp; Revisions'!$I:$I))&lt;70.99,(OR(Z163="4. Mostly Compliant (75%)",Z163="3. Partially Compliant (50%)",Z163="2. Somewhat Compliant (25%)",Z163="1. Non Compliant (0%)"))),"Yes","No")</f>
        <v>Yes</v>
      </c>
      <c r="E163" s="5" t="str">
        <f>IF(ISERROR(VLOOKUP(H163,Scope!A:A,1,FALSE)),"No","Yes")</f>
        <v>Yes</v>
      </c>
      <c r="F163" s="1" t="s">
        <v>4666</v>
      </c>
      <c r="G163" s="53" t="s">
        <v>4821</v>
      </c>
      <c r="H163" s="53" t="s">
        <v>4822</v>
      </c>
      <c r="I163" s="5" t="s">
        <v>225</v>
      </c>
      <c r="J163" s="86" t="s">
        <v>4800</v>
      </c>
      <c r="K163" s="54" t="s">
        <v>4823</v>
      </c>
      <c r="L163" s="1" t="s">
        <v>4824</v>
      </c>
      <c r="M163" s="1" t="s">
        <v>4825</v>
      </c>
      <c r="N163" s="5" t="s">
        <v>98</v>
      </c>
      <c r="O163" s="1" t="str">
        <f>_xlfn.XLOOKUP(G163,SRMs!$A:$A,SRMs!$D:$D)</f>
        <v>NO INHERITANCE</v>
      </c>
      <c r="P163" s="1" t="str">
        <f>IFERROR(VLOOKUP(H163,Inherited!A:B,2,FALSE),"")</f>
        <v/>
      </c>
      <c r="Q163" s="1" t="e">
        <f>IF(MATCH(H163,Inherited!A:A),IF((((_xlfn.XLOOKUP(Assessment!H164,Inherited!A:A,Inherited!B:B))/100)*(_xlfn.XLOOKUP(Assessment!H164,Inherited!A:A,Inherited!C:C)))+(((100-(_xlfn.XLOOKUP(Assessment!H164,Inherited!A:A,Inherited!B:B)))/100)*IF(X163="1.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(100%)","100"))))))&lt;=10,"0", IF(AND((((_xlfn.XLOOKUP(Assessment!H164,Inherited!A:A,Inherited!B:B))/100)*(_xlfn.XLOOKUP(Assessment!H164,Inherited!A:A,Inherited!C:C)))+(((100-(_xlfn.XLOOKUP(Assessment!H164,Inherited!A:A,Inherited!B:B)))/100)*IF(X163="1.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(100%)","100"))))))&gt;=11,(((_xlfn.XLOOKUP(Assessment!H164,Inherited!A:A,Inherited!B:B))/100)*(_xlfn.XLOOKUP(Assessment!H164,Inherited!A:A,Inherited!C:C)))+(((100-(_xlfn.XLOOKUP(Assessment!H164,Inherited!A:A,Inherited!B:B)))/100)*IF(X163="1.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(100%)","100"))))))&lt;=32),"25",IF(AND((((_xlfn.XLOOKUP(Assessment!H164,Inherited!A:A,Inherited!B:B))/100)*(_xlfn.XLOOKUP(Assessment!H164,Inherited!A:A,Inherited!C:C)))+(((100-(_xlfn.XLOOKUP(Assessment!H164,Inherited!A:A,Inherited!B:B)))/100)*IF(X163="1.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(100%)","100"))))))&gt;=33,(((_xlfn.XLOOKUP(Assessment!H164,Inherited!A:A,Inherited!B:B))/100)*(_xlfn.XLOOKUP(Assessment!H164,Inherited!A:A,Inherited!C:C)))+(((100-(_xlfn.XLOOKUP(Assessment!H164,Inherited!A:A,Inherited!B:B)))/100)*IF(X163="1.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(100%)","100"))))))&lt;=65),"50",IF(AND((((_xlfn.XLOOKUP(Assessment!H164,Inherited!A:A,Inherited!B:B))/100)*(_xlfn.XLOOKUP(Assessment!H164,Inherited!A:A,Inherited!C:C)))+(((100-(_xlfn.XLOOKUP(Assessment!H164,Inherited!A:A,Inherited!B:B)))/100)*IF(X163="1.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(100%)","100"))))))&gt;=66,(((_xlfn.XLOOKUP(Assessment!H164,Inherited!A:A,Inherited!B:B))/100)*(_xlfn.XLOOKUP(Assessment!H164,Inherited!A:A,Inherited!C:C)))+(((100-(_xlfn.XLOOKUP(Assessment!H164,Inherited!A:A,Inherited!B:B)))/100)*IF(X163="1.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(100%)","100"))))))&lt;=89),"75",IF((((_xlfn.XLOOKUP(Assessment!H164,Inherited!A:A,Inherited!B:B))/100)*(_xlfn.XLOOKUP(Assessment!H164,Inherited!A:A,Inherited!C:C)))+(((100-(_xlfn.XLOOKUP(Assessment!H164,Inherited!A:A,Inherited!B:B)))/100)*IF(X163="1. Non Compliant (0%)","0",IF(X163="2. Somewhat Compliant (25%)","25",IF(X163="3. Partially Compliant (50%)","50",IF(X163="4. Mostly Compliant (75%)","75",IF(X163="5. Fully Compliant (100%)","100"))))))&gt;=90,"100"))))))</f>
        <v>#N/A</v>
      </c>
      <c r="R163" s="1" t="e">
        <f>IF(MATCH(H163,Inherited!A:A),IF((((_xlfn.XLOOKUP(Assessment!H164,Inherited!A:A,Inherited!B:B))/100)*(_xlfn.XLOOKUP(Assessment!H164,Inherited!A:A,Inherited!D:D)))+(((100-(_xlfn.XLOOKUP(Assessment!H164,Inherited!A:A,Inherited!B:B)))/100)*IF(Y163="1.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(100%)","100"))))))&lt;=10,"0", IF(AND((((_xlfn.XLOOKUP(Assessment!H164,Inherited!A:A,Inherited!B:B))/100)*(_xlfn.XLOOKUP(Assessment!H164,Inherited!A:A,Inherited!D:D)))+(((100-(_xlfn.XLOOKUP(Assessment!H164,Inherited!A:A,Inherited!B:B)))/100)*IF(Y163="1.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(100%)","100"))))))&gt;=11,(((_xlfn.XLOOKUP(Assessment!H164,Inherited!A:A,Inherited!B:B))/100)*(_xlfn.XLOOKUP(Assessment!H164,Inherited!A:A,Inherited!D:D)))+(((100-(_xlfn.XLOOKUP(Assessment!H164,Inherited!A:A,Inherited!B:B)))/100)*IF(Y163="1.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(100%)","100"))))))&lt;=32),"25",IF(AND((((_xlfn.XLOOKUP(Assessment!H164,Inherited!A:A,Inherited!B:B))/100)*(_xlfn.XLOOKUP(Assessment!H164,Inherited!A:A,Inherited!D:D)))+(((100-(_xlfn.XLOOKUP(Assessment!H164,Inherited!A:A,Inherited!B:B)))/100)*IF(Y163="1.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(100%)","100"))))))&gt;=33,(((_xlfn.XLOOKUP(Assessment!H164,Inherited!A:A,Inherited!B:B))/100)*(_xlfn.XLOOKUP(Assessment!H164,Inherited!A:A,Inherited!D:D)))+(((100-(_xlfn.XLOOKUP(Assessment!H164,Inherited!A:A,Inherited!B:B)))/100)*IF(Y163="1.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(100%)","100"))))))&lt;=65),"50",IF(AND((((_xlfn.XLOOKUP(Assessment!H164,Inherited!A:A,Inherited!B:B))/100)*(_xlfn.XLOOKUP(Assessment!H164,Inherited!A:A,Inherited!D:D)))+(((100-(_xlfn.XLOOKUP(Assessment!H164,Inherited!A:A,Inherited!B:B)))/100)*IF(Y163="1.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(100%)","100"))))))&gt;=66,(((_xlfn.XLOOKUP(Assessment!H164,Inherited!A:A,Inherited!B:B))/100)*(_xlfn.XLOOKUP(Assessment!H164,Inherited!A:A,Inherited!D:D)))+(((100-(_xlfn.XLOOKUP(Assessment!H164,Inherited!A:A,Inherited!B:B)))/100)*IF(Y163="1.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(100%)","100"))))))&lt;=89),"75",IF((((_xlfn.XLOOKUP(Assessment!H164,Inherited!A:A,Inherited!B:B))/100)*(_xlfn.XLOOKUP(Assessment!H164,Inherited!A:A,Inherited!D:D)))+(((100-(_xlfn.XLOOKUP(Assessment!H164,Inherited!A:A,Inherited!B:B)))/100)*IF(Y163="1. Non Compliant (0%)","0",IF(Y163="2. Somewhat Compliant (25%)","25",IF(Y163="3. Partially Compliant (50%)","50",IF(Y163="4. Mostly Compliant (75%)","75",IF(Y163="5. Fully Compliant (100%)","100"))))))&gt;=90,"100"))))))</f>
        <v>#N/A</v>
      </c>
      <c r="S163" s="1" t="e">
        <f>IF(MATCH(H163,Inherited!A:A),IF((((_xlfn.XLOOKUP(Assessment!H164,Inherited!A:A,Inherited!B:B))/100)*(_xlfn.XLOOKUP(Assessment!H164,Inherited!A:A,Inherited!E:E)))+(((100-(_xlfn.XLOOKUP(Assessment!H164,Inherited!A:A,Inherited!B:B)))/100)*IF(Z163="1.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(100%)","100"))))))&lt;=10,"0", IF(AND((((_xlfn.XLOOKUP(Assessment!H164,Inherited!A:A,Inherited!B:B))/100)*(_xlfn.XLOOKUP(Assessment!H164,Inherited!A:A,Inherited!E:E)))+(((100-(_xlfn.XLOOKUP(Assessment!H164,Inherited!A:A,Inherited!B:B)))/100)*IF(Z163="1.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(100%)","100"))))))&gt;=11,(((_xlfn.XLOOKUP(Assessment!H164,Inherited!A:A,Inherited!B:B))/100)*(_xlfn.XLOOKUP(Assessment!H164,Inherited!A:A,Inherited!E:E)))+(((100-(_xlfn.XLOOKUP(Assessment!H164,Inherited!A:A,Inherited!B:B)))/100)*IF(Z163="1.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(100%)","100"))))))&lt;=32),"25",IF(AND((((_xlfn.XLOOKUP(Assessment!H164,Inherited!A:A,Inherited!B:B))/100)*(_xlfn.XLOOKUP(Assessment!H164,Inherited!A:A,Inherited!E:E)))+(((100-(_xlfn.XLOOKUP(Assessment!H164,Inherited!A:A,Inherited!B:B)))/100)*IF(Z163="1.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(100%)","100"))))))&gt;=33,(((_xlfn.XLOOKUP(Assessment!H164,Inherited!A:A,Inherited!B:B))/100)*(_xlfn.XLOOKUP(Assessment!H164,Inherited!A:A,Inherited!E:E)))+(((100-(_xlfn.XLOOKUP(Assessment!H164,Inherited!A:A,Inherited!B:B)))/100)*IF(Z163="1.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(100%)","100"))))))&lt;=65),"50",IF(AND((((_xlfn.XLOOKUP(Assessment!H164,Inherited!A:A,Inherited!B:B))/100)*(_xlfn.XLOOKUP(Assessment!H164,Inherited!A:A,Inherited!E:E)))+(((100-(_xlfn.XLOOKUP(Assessment!H164,Inherited!A:A,Inherited!B:B)))/100)*IF(Z163="1.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(100%)","100"))))))&gt;=66,(((_xlfn.XLOOKUP(Assessment!H164,Inherited!A:A,Inherited!B:B))/100)*(_xlfn.XLOOKUP(Assessment!H164,Inherited!A:A,Inherited!E:E)))+(((100-(_xlfn.XLOOKUP(Assessment!H164,Inherited!A:A,Inherited!B:B)))/100)*IF(Z163="1.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(100%)","100"))))))&lt;=89),"75",IF((((_xlfn.XLOOKUP(Assessment!H164,Inherited!A:A,Inherited!B:B))/100)*(_xlfn.XLOOKUP(Assessment!H164,Inherited!A:A,Inherited!E:E)))+(((100-(_xlfn.XLOOKUP(Assessment!H164,Inherited!A:A,Inherited!B:B)))/100)*IF(Z163="1. Non Compliant (0%)","0",IF(Z163="2. Somewhat Compliant (25%)","25",IF(Z163="3. Partially Compliant (50%)","50",IF(Z163="4. Mostly Compliant (75%)","75",IF(Z163="5. Fully Compliant (100%)","100"))))))&gt;=90,"100"))))))</f>
        <v>#N/A</v>
      </c>
      <c r="T163" s="1" t="e">
        <f>IF(MATCH(H163,Inherited!A:A),IF((((_xlfn.XLOOKUP(Assessment!H164,Inherited!A:A,Inherited!B:B))/100)*(_xlfn.XLOOKUP(Assessment!H164,Inherited!A:A,Inherited!F:F)))+(((100-(_xlfn.XLOOKUP(Assessment!H164,Inherited!A:A,Inherited!B:B)))/100)*IF(AA163="1.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(100%)","100"))))))&lt;=10,"0", IF(AND((((_xlfn.XLOOKUP(Assessment!H164,Inherited!A:A,Inherited!B:B))/100)*(_xlfn.XLOOKUP(Assessment!H164,Inherited!A:A,Inherited!F:F)))+(((100-(_xlfn.XLOOKUP(Assessment!H164,Inherited!A:A,Inherited!B:B)))/100)*IF(AA163="1.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(100%)","100"))))))&gt;=11,(((_xlfn.XLOOKUP(Assessment!H164,Inherited!A:A,Inherited!B:B))/100)*(_xlfn.XLOOKUP(Assessment!H164,Inherited!A:A,Inherited!F:F)))+(((100-(_xlfn.XLOOKUP(Assessment!H164,Inherited!A:A,Inherited!B:B)))/100)*IF(AA163="1.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(100%)","100"))))))&lt;=32),"25",IF(AND((((_xlfn.XLOOKUP(Assessment!H164,Inherited!A:A,Inherited!B:B))/100)*(_xlfn.XLOOKUP(Assessment!H164,Inherited!A:A,Inherited!F:F)))+(((100-(_xlfn.XLOOKUP(Assessment!H164,Inherited!A:A,Inherited!B:B)))/100)*IF(AA163="1.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(100%)","100"))))))&gt;=33,(((_xlfn.XLOOKUP(Assessment!H164,Inherited!A:A,Inherited!B:B))/100)*(_xlfn.XLOOKUP(Assessment!H164,Inherited!A:A,Inherited!F:F)))+(((100-(_xlfn.XLOOKUP(Assessment!H164,Inherited!A:A,Inherited!B:B)))/100)*IF(AA163="1.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(100%)","100"))))))&lt;=65),"50",IF(AND((((_xlfn.XLOOKUP(Assessment!H164,Inherited!A:A,Inherited!B:B))/100)*(_xlfn.XLOOKUP(Assessment!H164,Inherited!A:A,Inherited!F:F)))+(((100-(_xlfn.XLOOKUP(Assessment!H164,Inherited!A:A,Inherited!B:B)))/100)*IF(AA163="1.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(100%)","100"))))))&gt;=66,(((_xlfn.XLOOKUP(Assessment!H164,Inherited!A:A,Inherited!B:B))/100)*(_xlfn.XLOOKUP(Assessment!H164,Inherited!A:A,Inherited!F:F)))+(((100-(_xlfn.XLOOKUP(Assessment!H164,Inherited!A:A,Inherited!B:B)))/100)*IF(AA163="1.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(100%)","100"))))))&lt;=89),"75",IF((((_xlfn.XLOOKUP(Assessment!H164,Inherited!A:A,Inherited!B:B))/100)*(_xlfn.XLOOKUP(Assessment!H164,Inherited!A:A,Inherited!F:F)))+(((100-(_xlfn.XLOOKUP(Assessment!H164,Inherited!A:A,Inherited!B:B)))/100)*IF(AA163="1. Non Compliant (0%)","0",IF(AA163="2. Somewhat Compliant (25%)","25",IF(AA163="3. Partially Compliant (50%)","50",IF(AA163="4. Mostly Compliant (75%)","75",IF(AA163="5. Fully Compliant (100%)","100"))))))&gt;=90,"100"))))))</f>
        <v>#N/A</v>
      </c>
      <c r="U163" s="1" t="e">
        <f>IF(MATCH(H163,Inherited!A:A),IF((((_xlfn.XLOOKUP(Assessment!H164,Inherited!A:A,Inherited!B:B))/100)*(_xlfn.XLOOKUP(Assessment!H164,Inherited!A:A,Inherited!G:G)))+(((100-(_xlfn.XLOOKUP(Assessment!H164,Inherited!A:A,Inherited!B:B)))/100)*IF(AB163="1.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(100%)","100"))))))&lt;=10,"0", IF(AND((((_xlfn.XLOOKUP(Assessment!H164,Inherited!A:A,Inherited!B:B))/100)*(_xlfn.XLOOKUP(Assessment!H164,Inherited!A:A,Inherited!G:G)))+(((100-(_xlfn.XLOOKUP(Assessment!H164,Inherited!A:A,Inherited!B:B)))/100)*IF(AB163="1.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(100%)","100"))))))&gt;=11,(((_xlfn.XLOOKUP(Assessment!H164,Inherited!A:A,Inherited!B:B))/100)*(_xlfn.XLOOKUP(Assessment!H164,Inherited!A:A,Inherited!G:G)))+(((100-(_xlfn.XLOOKUP(Assessment!H164,Inherited!A:A,Inherited!B:B)))/100)*IF(AB163="1.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(100%)","100"))))))&lt;=32),"25",IF(AND((((_xlfn.XLOOKUP(Assessment!H164,Inherited!A:A,Inherited!B:B))/100)*(_xlfn.XLOOKUP(Assessment!H164,Inherited!A:A,Inherited!G:G)))+(((100-(_xlfn.XLOOKUP(Assessment!H164,Inherited!A:A,Inherited!B:B)))/100)*IF(AB163="1.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(100%)","100"))))))&gt;=33,(((_xlfn.XLOOKUP(Assessment!H164,Inherited!A:A,Inherited!B:B))/100)*(_xlfn.XLOOKUP(Assessment!H164,Inherited!A:A,Inherited!G:G)))+(((100-(_xlfn.XLOOKUP(Assessment!H164,Inherited!A:A,Inherited!B:B)))/100)*IF(AB163="1.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(100%)","100"))))))&lt;=65),"50",IF(AND((((_xlfn.XLOOKUP(Assessment!H164,Inherited!A:A,Inherited!B:B))/100)*(_xlfn.XLOOKUP(Assessment!H164,Inherited!A:A,Inherited!G:G)))+(((100-(_xlfn.XLOOKUP(Assessment!H164,Inherited!A:A,Inherited!B:B)))/100)*IF(AB163="1.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(100%)","100"))))))&gt;=66,(((_xlfn.XLOOKUP(Assessment!H164,Inherited!A:A,Inherited!B:B))/100)*(_xlfn.XLOOKUP(Assessment!H164,Inherited!A:A,Inherited!G:G)))+(((100-(_xlfn.XLOOKUP(Assessment!H164,Inherited!A:A,Inherited!B:B)))/100)*IF(AB163="1.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(100%)","100"))))))&lt;=89),"75",IF((((_xlfn.XLOOKUP(Assessment!H164,Inherited!A:A,Inherited!B:B))/100)*(_xlfn.XLOOKUP(Assessment!H164,Inherited!A:A,Inherited!G:G)))+(((100-(_xlfn.XLOOKUP(Assessment!H164,Inherited!A:A,Inherited!B:B)))/100)*IF(AB163="1. Non Compliant (0%)","0",IF(AB163="2. Somewhat Compliant (25%)","25",IF(AB163="3. Partially Compliant (50%)","50",IF(AB163="4. Mostly Compliant (75%)","75",IF(AB163="5. Fully Compliant (100%)","100"))))))&gt;=90,"100"))))))</f>
        <v>#N/A</v>
      </c>
      <c r="V163" s="55" t="s">
        <v>85</v>
      </c>
      <c r="W163" s="55"/>
      <c r="X163" s="55"/>
      <c r="Y163" s="55"/>
      <c r="Z163" s="55" t="s">
        <v>10873</v>
      </c>
      <c r="AA163" s="55"/>
      <c r="AB163" s="55"/>
      <c r="AK163" s="1" t="s">
        <v>10978</v>
      </c>
      <c r="AL163" s="1" t="s">
        <v>11010</v>
      </c>
      <c r="AP163" s="1" t="s">
        <v>11121</v>
      </c>
      <c r="AX163" s="3" t="str">
        <f>_xlfn.CONCAT("A-LIGN finished its review of this control on ",AR163, " during the scheduled fieldwork window (",Intro!$B$4,")."&amp; CHAR(10)&amp; CHAR(10))</f>
        <v xml:space="preserve">A-LIGN finished its review of this control on  during the scheduled fieldwork window (Fieldwork: xx/xx/xxxx - xx/xx/xxxx).
</v>
      </c>
      <c r="AY163" s="3" t="str">
        <f t="shared" si="320"/>
        <v/>
      </c>
      <c r="AZ163" s="3" t="str">
        <f t="shared" si="321"/>
        <v/>
      </c>
      <c r="BA163" s="3" t="str">
        <f t="shared" si="322"/>
        <v/>
      </c>
      <c r="BB163"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63" s="3" t="str">
        <f t="shared" si="324"/>
        <v/>
      </c>
      <c r="BD163"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plan identifies potential events that are related to the development or use of AI which could result in tangible or intangible consequences
</v>
      </c>
      <c r="BE163" s="3" t="str">
        <f t="shared" si="326"/>
        <v/>
      </c>
      <c r="BF163" s="3" t="str">
        <f t="shared" si="327"/>
        <v/>
      </c>
      <c r="BG163" s="3" t="str">
        <f>_xlfn.CONCAT((IF((COUNTIF('Sample Tables'!B:B,"")&gt;0)=TRUE,_xlfn.CONCAT("",""),IF((COUNTIF('Sample Tables'!B:B,"")&gt;0)=FALSE,""))),)</f>
        <v/>
      </c>
      <c r="BH163"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plan identifies potential events that are related to the development or use of AI which could result in tangible or intangible consequences
</v>
      </c>
    </row>
    <row r="164" spans="3:60" ht="303.75" customHeight="1" x14ac:dyDescent="0.35">
      <c r="C164" s="1">
        <f t="shared" si="329"/>
        <v>0</v>
      </c>
      <c r="D164" s="5" t="str">
        <f>IF(AND((_xlfn.XLOOKUP(J164,'Fields &amp; Revisions'!$H:$H,'Fields &amp; Revisions'!$I:$I))&lt;70.99,(OR(Z164="4. Mostly Compliant (75%)",Z164="3. Partially Compliant (50%)",Z164="2. Somewhat Compliant (25%)",Z164="1. Non Compliant (0%)"))),"Yes","No")</f>
        <v>Yes</v>
      </c>
      <c r="E164" s="5" t="str">
        <f>IF(ISERROR(VLOOKUP(H164,Scope!A:A,1,FALSE)),"No","Yes")</f>
        <v>Yes</v>
      </c>
      <c r="F164" s="1" t="s">
        <v>4666</v>
      </c>
      <c r="G164" s="53" t="s">
        <v>4826</v>
      </c>
      <c r="H164" s="53" t="s">
        <v>4827</v>
      </c>
      <c r="I164" s="5" t="s">
        <v>225</v>
      </c>
      <c r="J164" s="86" t="s">
        <v>4800</v>
      </c>
      <c r="K164" s="54" t="s">
        <v>4828</v>
      </c>
      <c r="L164" s="1" t="s">
        <v>4829</v>
      </c>
      <c r="M164" s="1" t="s">
        <v>4830</v>
      </c>
      <c r="N164" s="5" t="s">
        <v>98</v>
      </c>
      <c r="O164" s="1" t="str">
        <f>_xlfn.XLOOKUP(G164,SRMs!$A:$A,SRMs!$D:$D)</f>
        <v>NO INHERITANCE</v>
      </c>
      <c r="P164" s="1" t="str">
        <f>IFERROR(VLOOKUP(H164,Inherited!A:B,2,FALSE),"")</f>
        <v/>
      </c>
      <c r="Q164" s="1" t="e">
        <f>IF(MATCH(H164,Inherited!A:A),IF((((_xlfn.XLOOKUP(Assessment!H165,Inherited!A:A,Inherited!B:B))/100)*(_xlfn.XLOOKUP(Assessment!H165,Inherited!A:A,Inherited!C:C)))+(((100-(_xlfn.XLOOKUP(Assessment!H165,Inherited!A:A,Inherited!B:B)))/100)*IF(X164="1.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(100%)","100"))))))&lt;=10,"0", IF(AND((((_xlfn.XLOOKUP(Assessment!H165,Inherited!A:A,Inherited!B:B))/100)*(_xlfn.XLOOKUP(Assessment!H165,Inherited!A:A,Inherited!C:C)))+(((100-(_xlfn.XLOOKUP(Assessment!H165,Inherited!A:A,Inherited!B:B)))/100)*IF(X164="1.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(100%)","100"))))))&gt;=11,(((_xlfn.XLOOKUP(Assessment!H165,Inherited!A:A,Inherited!B:B))/100)*(_xlfn.XLOOKUP(Assessment!H165,Inherited!A:A,Inherited!C:C)))+(((100-(_xlfn.XLOOKUP(Assessment!H165,Inherited!A:A,Inherited!B:B)))/100)*IF(X164="1.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(100%)","100"))))))&lt;=32),"25",IF(AND((((_xlfn.XLOOKUP(Assessment!H165,Inherited!A:A,Inherited!B:B))/100)*(_xlfn.XLOOKUP(Assessment!H165,Inherited!A:A,Inherited!C:C)))+(((100-(_xlfn.XLOOKUP(Assessment!H165,Inherited!A:A,Inherited!B:B)))/100)*IF(X164="1.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(100%)","100"))))))&gt;=33,(((_xlfn.XLOOKUP(Assessment!H165,Inherited!A:A,Inherited!B:B))/100)*(_xlfn.XLOOKUP(Assessment!H165,Inherited!A:A,Inherited!C:C)))+(((100-(_xlfn.XLOOKUP(Assessment!H165,Inherited!A:A,Inherited!B:B)))/100)*IF(X164="1.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(100%)","100"))))))&lt;=65),"50",IF(AND((((_xlfn.XLOOKUP(Assessment!H165,Inherited!A:A,Inherited!B:B))/100)*(_xlfn.XLOOKUP(Assessment!H165,Inherited!A:A,Inherited!C:C)))+(((100-(_xlfn.XLOOKUP(Assessment!H165,Inherited!A:A,Inherited!B:B)))/100)*IF(X164="1.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(100%)","100"))))))&gt;=66,(((_xlfn.XLOOKUP(Assessment!H165,Inherited!A:A,Inherited!B:B))/100)*(_xlfn.XLOOKUP(Assessment!H165,Inherited!A:A,Inherited!C:C)))+(((100-(_xlfn.XLOOKUP(Assessment!H165,Inherited!A:A,Inherited!B:B)))/100)*IF(X164="1.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(100%)","100"))))))&lt;=89),"75",IF((((_xlfn.XLOOKUP(Assessment!H165,Inherited!A:A,Inherited!B:B))/100)*(_xlfn.XLOOKUP(Assessment!H165,Inherited!A:A,Inherited!C:C)))+(((100-(_xlfn.XLOOKUP(Assessment!H165,Inherited!A:A,Inherited!B:B)))/100)*IF(X164="1. Non Compliant (0%)","0",IF(X164="2. Somewhat Compliant (25%)","25",IF(X164="3. Partially Compliant (50%)","50",IF(X164="4. Mostly Compliant (75%)","75",IF(X164="5. Fully Compliant (100%)","100"))))))&gt;=90,"100"))))))</f>
        <v>#N/A</v>
      </c>
      <c r="R164" s="1" t="e">
        <f>IF(MATCH(H164,Inherited!A:A),IF((((_xlfn.XLOOKUP(Assessment!H165,Inherited!A:A,Inherited!B:B))/100)*(_xlfn.XLOOKUP(Assessment!H165,Inherited!A:A,Inherited!D:D)))+(((100-(_xlfn.XLOOKUP(Assessment!H165,Inherited!A:A,Inherited!B:B)))/100)*IF(Y164="1.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(100%)","100"))))))&lt;=10,"0", IF(AND((((_xlfn.XLOOKUP(Assessment!H165,Inherited!A:A,Inherited!B:B))/100)*(_xlfn.XLOOKUP(Assessment!H165,Inherited!A:A,Inherited!D:D)))+(((100-(_xlfn.XLOOKUP(Assessment!H165,Inherited!A:A,Inherited!B:B)))/100)*IF(Y164="1.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(100%)","100"))))))&gt;=11,(((_xlfn.XLOOKUP(Assessment!H165,Inherited!A:A,Inherited!B:B))/100)*(_xlfn.XLOOKUP(Assessment!H165,Inherited!A:A,Inherited!D:D)))+(((100-(_xlfn.XLOOKUP(Assessment!H165,Inherited!A:A,Inherited!B:B)))/100)*IF(Y164="1.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(100%)","100"))))))&lt;=32),"25",IF(AND((((_xlfn.XLOOKUP(Assessment!H165,Inherited!A:A,Inherited!B:B))/100)*(_xlfn.XLOOKUP(Assessment!H165,Inherited!A:A,Inherited!D:D)))+(((100-(_xlfn.XLOOKUP(Assessment!H165,Inherited!A:A,Inherited!B:B)))/100)*IF(Y164="1.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(100%)","100"))))))&gt;=33,(((_xlfn.XLOOKUP(Assessment!H165,Inherited!A:A,Inherited!B:B))/100)*(_xlfn.XLOOKUP(Assessment!H165,Inherited!A:A,Inherited!D:D)))+(((100-(_xlfn.XLOOKUP(Assessment!H165,Inherited!A:A,Inherited!B:B)))/100)*IF(Y164="1.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(100%)","100"))))))&lt;=65),"50",IF(AND((((_xlfn.XLOOKUP(Assessment!H165,Inherited!A:A,Inherited!B:B))/100)*(_xlfn.XLOOKUP(Assessment!H165,Inherited!A:A,Inherited!D:D)))+(((100-(_xlfn.XLOOKUP(Assessment!H165,Inherited!A:A,Inherited!B:B)))/100)*IF(Y164="1.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(100%)","100"))))))&gt;=66,(((_xlfn.XLOOKUP(Assessment!H165,Inherited!A:A,Inherited!B:B))/100)*(_xlfn.XLOOKUP(Assessment!H165,Inherited!A:A,Inherited!D:D)))+(((100-(_xlfn.XLOOKUP(Assessment!H165,Inherited!A:A,Inherited!B:B)))/100)*IF(Y164="1.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(100%)","100"))))))&lt;=89),"75",IF((((_xlfn.XLOOKUP(Assessment!H165,Inherited!A:A,Inherited!B:B))/100)*(_xlfn.XLOOKUP(Assessment!H165,Inherited!A:A,Inherited!D:D)))+(((100-(_xlfn.XLOOKUP(Assessment!H165,Inherited!A:A,Inherited!B:B)))/100)*IF(Y164="1. Non Compliant (0%)","0",IF(Y164="2. Somewhat Compliant (25%)","25",IF(Y164="3. Partially Compliant (50%)","50",IF(Y164="4. Mostly Compliant (75%)","75",IF(Y164="5. Fully Compliant (100%)","100"))))))&gt;=90,"100"))))))</f>
        <v>#N/A</v>
      </c>
      <c r="S164" s="1" t="e">
        <f>IF(MATCH(H164,Inherited!A:A),IF((((_xlfn.XLOOKUP(Assessment!H165,Inherited!A:A,Inherited!B:B))/100)*(_xlfn.XLOOKUP(Assessment!H165,Inherited!A:A,Inherited!E:E)))+(((100-(_xlfn.XLOOKUP(Assessment!H165,Inherited!A:A,Inherited!B:B)))/100)*IF(Z164="1.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(100%)","100"))))))&lt;=10,"0", IF(AND((((_xlfn.XLOOKUP(Assessment!H165,Inherited!A:A,Inherited!B:B))/100)*(_xlfn.XLOOKUP(Assessment!H165,Inherited!A:A,Inherited!E:E)))+(((100-(_xlfn.XLOOKUP(Assessment!H165,Inherited!A:A,Inherited!B:B)))/100)*IF(Z164="1.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(100%)","100"))))))&gt;=11,(((_xlfn.XLOOKUP(Assessment!H165,Inherited!A:A,Inherited!B:B))/100)*(_xlfn.XLOOKUP(Assessment!H165,Inherited!A:A,Inherited!E:E)))+(((100-(_xlfn.XLOOKUP(Assessment!H165,Inherited!A:A,Inherited!B:B)))/100)*IF(Z164="1.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(100%)","100"))))))&lt;=32),"25",IF(AND((((_xlfn.XLOOKUP(Assessment!H165,Inherited!A:A,Inherited!B:B))/100)*(_xlfn.XLOOKUP(Assessment!H165,Inherited!A:A,Inherited!E:E)))+(((100-(_xlfn.XLOOKUP(Assessment!H165,Inherited!A:A,Inherited!B:B)))/100)*IF(Z164="1.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(100%)","100"))))))&gt;=33,(((_xlfn.XLOOKUP(Assessment!H165,Inherited!A:A,Inherited!B:B))/100)*(_xlfn.XLOOKUP(Assessment!H165,Inherited!A:A,Inherited!E:E)))+(((100-(_xlfn.XLOOKUP(Assessment!H165,Inherited!A:A,Inherited!B:B)))/100)*IF(Z164="1.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(100%)","100"))))))&lt;=65),"50",IF(AND((((_xlfn.XLOOKUP(Assessment!H165,Inherited!A:A,Inherited!B:B))/100)*(_xlfn.XLOOKUP(Assessment!H165,Inherited!A:A,Inherited!E:E)))+(((100-(_xlfn.XLOOKUP(Assessment!H165,Inherited!A:A,Inherited!B:B)))/100)*IF(Z164="1.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(100%)","100"))))))&gt;=66,(((_xlfn.XLOOKUP(Assessment!H165,Inherited!A:A,Inherited!B:B))/100)*(_xlfn.XLOOKUP(Assessment!H165,Inherited!A:A,Inherited!E:E)))+(((100-(_xlfn.XLOOKUP(Assessment!H165,Inherited!A:A,Inherited!B:B)))/100)*IF(Z164="1.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(100%)","100"))))))&lt;=89),"75",IF((((_xlfn.XLOOKUP(Assessment!H165,Inherited!A:A,Inherited!B:B))/100)*(_xlfn.XLOOKUP(Assessment!H165,Inherited!A:A,Inherited!E:E)))+(((100-(_xlfn.XLOOKUP(Assessment!H165,Inherited!A:A,Inherited!B:B)))/100)*IF(Z164="1. Non Compliant (0%)","0",IF(Z164="2. Somewhat Compliant (25%)","25",IF(Z164="3. Partially Compliant (50%)","50",IF(Z164="4. Mostly Compliant (75%)","75",IF(Z164="5. Fully Compliant (100%)","100"))))))&gt;=90,"100"))))))</f>
        <v>#N/A</v>
      </c>
      <c r="T164" s="1" t="e">
        <f>IF(MATCH(H164,Inherited!A:A),IF((((_xlfn.XLOOKUP(Assessment!H165,Inherited!A:A,Inherited!B:B))/100)*(_xlfn.XLOOKUP(Assessment!H165,Inherited!A:A,Inherited!F:F)))+(((100-(_xlfn.XLOOKUP(Assessment!H165,Inherited!A:A,Inherited!B:B)))/100)*IF(AA164="1.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(100%)","100"))))))&lt;=10,"0", IF(AND((((_xlfn.XLOOKUP(Assessment!H165,Inherited!A:A,Inherited!B:B))/100)*(_xlfn.XLOOKUP(Assessment!H165,Inherited!A:A,Inherited!F:F)))+(((100-(_xlfn.XLOOKUP(Assessment!H165,Inherited!A:A,Inherited!B:B)))/100)*IF(AA164="1.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(100%)","100"))))))&gt;=11,(((_xlfn.XLOOKUP(Assessment!H165,Inherited!A:A,Inherited!B:B))/100)*(_xlfn.XLOOKUP(Assessment!H165,Inherited!A:A,Inherited!F:F)))+(((100-(_xlfn.XLOOKUP(Assessment!H165,Inherited!A:A,Inherited!B:B)))/100)*IF(AA164="1.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(100%)","100"))))))&lt;=32),"25",IF(AND((((_xlfn.XLOOKUP(Assessment!H165,Inherited!A:A,Inherited!B:B))/100)*(_xlfn.XLOOKUP(Assessment!H165,Inherited!A:A,Inherited!F:F)))+(((100-(_xlfn.XLOOKUP(Assessment!H165,Inherited!A:A,Inherited!B:B)))/100)*IF(AA164="1.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(100%)","100"))))))&gt;=33,(((_xlfn.XLOOKUP(Assessment!H165,Inherited!A:A,Inherited!B:B))/100)*(_xlfn.XLOOKUP(Assessment!H165,Inherited!A:A,Inherited!F:F)))+(((100-(_xlfn.XLOOKUP(Assessment!H165,Inherited!A:A,Inherited!B:B)))/100)*IF(AA164="1.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(100%)","100"))))))&lt;=65),"50",IF(AND((((_xlfn.XLOOKUP(Assessment!H165,Inherited!A:A,Inherited!B:B))/100)*(_xlfn.XLOOKUP(Assessment!H165,Inherited!A:A,Inherited!F:F)))+(((100-(_xlfn.XLOOKUP(Assessment!H165,Inherited!A:A,Inherited!B:B)))/100)*IF(AA164="1.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(100%)","100"))))))&gt;=66,(((_xlfn.XLOOKUP(Assessment!H165,Inherited!A:A,Inherited!B:B))/100)*(_xlfn.XLOOKUP(Assessment!H165,Inherited!A:A,Inherited!F:F)))+(((100-(_xlfn.XLOOKUP(Assessment!H165,Inherited!A:A,Inherited!B:B)))/100)*IF(AA164="1.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(100%)","100"))))))&lt;=89),"75",IF((((_xlfn.XLOOKUP(Assessment!H165,Inherited!A:A,Inherited!B:B))/100)*(_xlfn.XLOOKUP(Assessment!H165,Inherited!A:A,Inherited!F:F)))+(((100-(_xlfn.XLOOKUP(Assessment!H165,Inherited!A:A,Inherited!B:B)))/100)*IF(AA164="1. Non Compliant (0%)","0",IF(AA164="2. Somewhat Compliant (25%)","25",IF(AA164="3. Partially Compliant (50%)","50",IF(AA164="4. Mostly Compliant (75%)","75",IF(AA164="5. Fully Compliant (100%)","100"))))))&gt;=90,"100"))))))</f>
        <v>#N/A</v>
      </c>
      <c r="U164" s="1" t="e">
        <f>IF(MATCH(H164,Inherited!A:A),IF((((_xlfn.XLOOKUP(Assessment!H165,Inherited!A:A,Inherited!B:B))/100)*(_xlfn.XLOOKUP(Assessment!H165,Inherited!A:A,Inherited!G:G)))+(((100-(_xlfn.XLOOKUP(Assessment!H165,Inherited!A:A,Inherited!B:B)))/100)*IF(AB164="1.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(100%)","100"))))))&lt;=10,"0", IF(AND((((_xlfn.XLOOKUP(Assessment!H165,Inherited!A:A,Inherited!B:B))/100)*(_xlfn.XLOOKUP(Assessment!H165,Inherited!A:A,Inherited!G:G)))+(((100-(_xlfn.XLOOKUP(Assessment!H165,Inherited!A:A,Inherited!B:B)))/100)*IF(AB164="1.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(100%)","100"))))))&gt;=11,(((_xlfn.XLOOKUP(Assessment!H165,Inherited!A:A,Inherited!B:B))/100)*(_xlfn.XLOOKUP(Assessment!H165,Inherited!A:A,Inherited!G:G)))+(((100-(_xlfn.XLOOKUP(Assessment!H165,Inherited!A:A,Inherited!B:B)))/100)*IF(AB164="1.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(100%)","100"))))))&lt;=32),"25",IF(AND((((_xlfn.XLOOKUP(Assessment!H165,Inherited!A:A,Inherited!B:B))/100)*(_xlfn.XLOOKUP(Assessment!H165,Inherited!A:A,Inherited!G:G)))+(((100-(_xlfn.XLOOKUP(Assessment!H165,Inherited!A:A,Inherited!B:B)))/100)*IF(AB164="1.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(100%)","100"))))))&gt;=33,(((_xlfn.XLOOKUP(Assessment!H165,Inherited!A:A,Inherited!B:B))/100)*(_xlfn.XLOOKUP(Assessment!H165,Inherited!A:A,Inherited!G:G)))+(((100-(_xlfn.XLOOKUP(Assessment!H165,Inherited!A:A,Inherited!B:B)))/100)*IF(AB164="1.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(100%)","100"))))))&lt;=65),"50",IF(AND((((_xlfn.XLOOKUP(Assessment!H165,Inherited!A:A,Inherited!B:B))/100)*(_xlfn.XLOOKUP(Assessment!H165,Inherited!A:A,Inherited!G:G)))+(((100-(_xlfn.XLOOKUP(Assessment!H165,Inherited!A:A,Inherited!B:B)))/100)*IF(AB164="1.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(100%)","100"))))))&gt;=66,(((_xlfn.XLOOKUP(Assessment!H165,Inherited!A:A,Inherited!B:B))/100)*(_xlfn.XLOOKUP(Assessment!H165,Inherited!A:A,Inherited!G:G)))+(((100-(_xlfn.XLOOKUP(Assessment!H165,Inherited!A:A,Inherited!B:B)))/100)*IF(AB164="1.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(100%)","100"))))))&lt;=89),"75",IF((((_xlfn.XLOOKUP(Assessment!H165,Inherited!A:A,Inherited!B:B))/100)*(_xlfn.XLOOKUP(Assessment!H165,Inherited!A:A,Inherited!G:G)))+(((100-(_xlfn.XLOOKUP(Assessment!H165,Inherited!A:A,Inherited!B:B)))/100)*IF(AB164="1. Non Compliant (0%)","0",IF(AB164="2. Somewhat Compliant (25%)","25",IF(AB164="3. Partially Compliant (50%)","50",IF(AB164="4. Mostly Compliant (75%)","75",IF(AB164="5. Fully Compliant (100%)","100"))))))&gt;=90,"100"))))))</f>
        <v>#N/A</v>
      </c>
      <c r="V164" s="55" t="s">
        <v>85</v>
      </c>
      <c r="W164" s="55"/>
      <c r="X164" s="55"/>
      <c r="Y164" s="55"/>
      <c r="Z164" s="55" t="s">
        <v>10873</v>
      </c>
      <c r="AA164" s="55"/>
      <c r="AB164" s="55"/>
      <c r="AK164" s="1" t="s">
        <v>10978</v>
      </c>
      <c r="AL164" s="1" t="s">
        <v>11010</v>
      </c>
      <c r="AP164" s="1" t="s">
        <v>11122</v>
      </c>
      <c r="AX164" s="3" t="str">
        <f>_xlfn.CONCAT("A-LIGN finished its review of this control on ",AR164, " during the scheduled fieldwork window (",Intro!$B$4,")."&amp; CHAR(10)&amp; CHAR(10))</f>
        <v xml:space="preserve">A-LIGN finished its review of this control on  during the scheduled fieldwork window (Fieldwork: xx/xx/xxxx - xx/xx/xxxx).
</v>
      </c>
      <c r="AY164" s="3" t="str">
        <f t="shared" si="320"/>
        <v/>
      </c>
      <c r="AZ164" s="3" t="str">
        <f t="shared" si="321"/>
        <v/>
      </c>
      <c r="BA164" s="3" t="str">
        <f t="shared" si="322"/>
        <v/>
      </c>
      <c r="BB164"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64" s="3" t="str">
        <f t="shared" si="324"/>
        <v/>
      </c>
      <c r="BD164"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includes system life cycle for development and/or use of AI Systems
</v>
      </c>
      <c r="BE164" s="3" t="str">
        <f t="shared" si="326"/>
        <v/>
      </c>
      <c r="BF164" s="3" t="str">
        <f t="shared" si="327"/>
        <v/>
      </c>
      <c r="BG164" s="3" t="str">
        <f>_xlfn.CONCAT((IF((COUNTIF('Sample Tables'!B:B,"")&gt;0)=TRUE,_xlfn.CONCAT("",""),IF((COUNTIF('Sample Tables'!B:B,"")&gt;0)=FALSE,""))),)</f>
        <v/>
      </c>
      <c r="BH164"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includes system life cycle for development and/or use of AI Systems
</v>
      </c>
    </row>
    <row r="165" spans="3:60" ht="297.75" customHeight="1" x14ac:dyDescent="0.35">
      <c r="C165" s="1">
        <f t="shared" si="329"/>
        <v>0</v>
      </c>
      <c r="D165" s="5" t="str">
        <f>IF(AND((_xlfn.XLOOKUP(J165,'Fields &amp; Revisions'!$H:$H,'Fields &amp; Revisions'!$I:$I))&lt;70.99,(OR(Z165="4. Mostly Compliant (75%)",Z165="3. Partially Compliant (50%)",Z165="2. Somewhat Compliant (25%)",Z165="1. Non Compliant (0%)"))),"Yes","No")</f>
        <v>Yes</v>
      </c>
      <c r="E165" s="5" t="str">
        <f>IF(ISERROR(VLOOKUP(H165,Scope!A:A,1,FALSE)),"No","Yes")</f>
        <v>Yes</v>
      </c>
      <c r="F165" s="1" t="s">
        <v>4666</v>
      </c>
      <c r="G165" s="53" t="s">
        <v>4831</v>
      </c>
      <c r="H165" s="53" t="s">
        <v>4832</v>
      </c>
      <c r="I165" s="5" t="s">
        <v>225</v>
      </c>
      <c r="J165" s="86" t="s">
        <v>4800</v>
      </c>
      <c r="K165" s="54" t="s">
        <v>4833</v>
      </c>
      <c r="L165" s="1" t="s">
        <v>4834</v>
      </c>
      <c r="M165" s="1" t="s">
        <v>4835</v>
      </c>
      <c r="N165" s="5" t="s">
        <v>98</v>
      </c>
      <c r="O165" s="1" t="str">
        <f>_xlfn.XLOOKUP(G165,SRMs!$A:$A,SRMs!$D:$D)</f>
        <v>NO INHERITANCE</v>
      </c>
      <c r="P165" s="1" t="str">
        <f>IFERROR(VLOOKUP(H165,Inherited!A:B,2,FALSE),"")</f>
        <v/>
      </c>
      <c r="Q165" s="1" t="e">
        <f>IF(MATCH(H165,Inherited!A:A),IF((((_xlfn.XLOOKUP(Assessment!H166,Inherited!A:A,Inherited!B:B))/100)*(_xlfn.XLOOKUP(Assessment!H166,Inherited!A:A,Inherited!C:C)))+(((100-(_xlfn.XLOOKUP(Assessment!H166,Inherited!A:A,Inherited!B:B)))/100)*IF(X165="1.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(100%)","100"))))))&lt;=10,"0", IF(AND((((_xlfn.XLOOKUP(Assessment!H166,Inherited!A:A,Inherited!B:B))/100)*(_xlfn.XLOOKUP(Assessment!H166,Inherited!A:A,Inherited!C:C)))+(((100-(_xlfn.XLOOKUP(Assessment!H166,Inherited!A:A,Inherited!B:B)))/100)*IF(X165="1.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(100%)","100"))))))&gt;=11,(((_xlfn.XLOOKUP(Assessment!H166,Inherited!A:A,Inherited!B:B))/100)*(_xlfn.XLOOKUP(Assessment!H166,Inherited!A:A,Inherited!C:C)))+(((100-(_xlfn.XLOOKUP(Assessment!H166,Inherited!A:A,Inherited!B:B)))/100)*IF(X165="1.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(100%)","100"))))))&lt;=32),"25",IF(AND((((_xlfn.XLOOKUP(Assessment!H166,Inherited!A:A,Inherited!B:B))/100)*(_xlfn.XLOOKUP(Assessment!H166,Inherited!A:A,Inherited!C:C)))+(((100-(_xlfn.XLOOKUP(Assessment!H166,Inherited!A:A,Inherited!B:B)))/100)*IF(X165="1.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(100%)","100"))))))&gt;=33,(((_xlfn.XLOOKUP(Assessment!H166,Inherited!A:A,Inherited!B:B))/100)*(_xlfn.XLOOKUP(Assessment!H166,Inherited!A:A,Inherited!C:C)))+(((100-(_xlfn.XLOOKUP(Assessment!H166,Inherited!A:A,Inherited!B:B)))/100)*IF(X165="1.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(100%)","100"))))))&lt;=65),"50",IF(AND((((_xlfn.XLOOKUP(Assessment!H166,Inherited!A:A,Inherited!B:B))/100)*(_xlfn.XLOOKUP(Assessment!H166,Inherited!A:A,Inherited!C:C)))+(((100-(_xlfn.XLOOKUP(Assessment!H166,Inherited!A:A,Inherited!B:B)))/100)*IF(X165="1.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(100%)","100"))))))&gt;=66,(((_xlfn.XLOOKUP(Assessment!H166,Inherited!A:A,Inherited!B:B))/100)*(_xlfn.XLOOKUP(Assessment!H166,Inherited!A:A,Inherited!C:C)))+(((100-(_xlfn.XLOOKUP(Assessment!H166,Inherited!A:A,Inherited!B:B)))/100)*IF(X165="1.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(100%)","100"))))))&lt;=89),"75",IF((((_xlfn.XLOOKUP(Assessment!H166,Inherited!A:A,Inherited!B:B))/100)*(_xlfn.XLOOKUP(Assessment!H166,Inherited!A:A,Inherited!C:C)))+(((100-(_xlfn.XLOOKUP(Assessment!H166,Inherited!A:A,Inherited!B:B)))/100)*IF(X165="1. Non Compliant (0%)","0",IF(X165="2. Somewhat Compliant (25%)","25",IF(X165="3. Partially Compliant (50%)","50",IF(X165="4. Mostly Compliant (75%)","75",IF(X165="5. Fully Compliant (100%)","100"))))))&gt;=90,"100"))))))</f>
        <v>#N/A</v>
      </c>
      <c r="R165" s="1" t="e">
        <f>IF(MATCH(H165,Inherited!A:A),IF((((_xlfn.XLOOKUP(Assessment!H166,Inherited!A:A,Inherited!B:B))/100)*(_xlfn.XLOOKUP(Assessment!H166,Inherited!A:A,Inherited!D:D)))+(((100-(_xlfn.XLOOKUP(Assessment!H166,Inherited!A:A,Inherited!B:B)))/100)*IF(Y165="1.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(100%)","100"))))))&lt;=10,"0", IF(AND((((_xlfn.XLOOKUP(Assessment!H166,Inherited!A:A,Inherited!B:B))/100)*(_xlfn.XLOOKUP(Assessment!H166,Inherited!A:A,Inherited!D:D)))+(((100-(_xlfn.XLOOKUP(Assessment!H166,Inherited!A:A,Inherited!B:B)))/100)*IF(Y165="1.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(100%)","100"))))))&gt;=11,(((_xlfn.XLOOKUP(Assessment!H166,Inherited!A:A,Inherited!B:B))/100)*(_xlfn.XLOOKUP(Assessment!H166,Inherited!A:A,Inherited!D:D)))+(((100-(_xlfn.XLOOKUP(Assessment!H166,Inherited!A:A,Inherited!B:B)))/100)*IF(Y165="1.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(100%)","100"))))))&lt;=32),"25",IF(AND((((_xlfn.XLOOKUP(Assessment!H166,Inherited!A:A,Inherited!B:B))/100)*(_xlfn.XLOOKUP(Assessment!H166,Inherited!A:A,Inherited!D:D)))+(((100-(_xlfn.XLOOKUP(Assessment!H166,Inherited!A:A,Inherited!B:B)))/100)*IF(Y165="1.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(100%)","100"))))))&gt;=33,(((_xlfn.XLOOKUP(Assessment!H166,Inherited!A:A,Inherited!B:B))/100)*(_xlfn.XLOOKUP(Assessment!H166,Inherited!A:A,Inherited!D:D)))+(((100-(_xlfn.XLOOKUP(Assessment!H166,Inherited!A:A,Inherited!B:B)))/100)*IF(Y165="1.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(100%)","100"))))))&lt;=65),"50",IF(AND((((_xlfn.XLOOKUP(Assessment!H166,Inherited!A:A,Inherited!B:B))/100)*(_xlfn.XLOOKUP(Assessment!H166,Inherited!A:A,Inherited!D:D)))+(((100-(_xlfn.XLOOKUP(Assessment!H166,Inherited!A:A,Inherited!B:B)))/100)*IF(Y165="1.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(100%)","100"))))))&gt;=66,(((_xlfn.XLOOKUP(Assessment!H166,Inherited!A:A,Inherited!B:B))/100)*(_xlfn.XLOOKUP(Assessment!H166,Inherited!A:A,Inherited!D:D)))+(((100-(_xlfn.XLOOKUP(Assessment!H166,Inherited!A:A,Inherited!B:B)))/100)*IF(Y165="1.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(100%)","100"))))))&lt;=89),"75",IF((((_xlfn.XLOOKUP(Assessment!H166,Inherited!A:A,Inherited!B:B))/100)*(_xlfn.XLOOKUP(Assessment!H166,Inherited!A:A,Inherited!D:D)))+(((100-(_xlfn.XLOOKUP(Assessment!H166,Inherited!A:A,Inherited!B:B)))/100)*IF(Y165="1. Non Compliant (0%)","0",IF(Y165="2. Somewhat Compliant (25%)","25",IF(Y165="3. Partially Compliant (50%)","50",IF(Y165="4. Mostly Compliant (75%)","75",IF(Y165="5. Fully Compliant (100%)","100"))))))&gt;=90,"100"))))))</f>
        <v>#N/A</v>
      </c>
      <c r="S165" s="1" t="e">
        <f>IF(MATCH(H165,Inherited!A:A),IF((((_xlfn.XLOOKUP(Assessment!H166,Inherited!A:A,Inherited!B:B))/100)*(_xlfn.XLOOKUP(Assessment!H166,Inherited!A:A,Inherited!E:E)))+(((100-(_xlfn.XLOOKUP(Assessment!H166,Inherited!A:A,Inherited!B:B)))/100)*IF(Z165="1.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(100%)","100"))))))&lt;=10,"0", IF(AND((((_xlfn.XLOOKUP(Assessment!H166,Inherited!A:A,Inherited!B:B))/100)*(_xlfn.XLOOKUP(Assessment!H166,Inherited!A:A,Inherited!E:E)))+(((100-(_xlfn.XLOOKUP(Assessment!H166,Inherited!A:A,Inherited!B:B)))/100)*IF(Z165="1.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(100%)","100"))))))&gt;=11,(((_xlfn.XLOOKUP(Assessment!H166,Inherited!A:A,Inherited!B:B))/100)*(_xlfn.XLOOKUP(Assessment!H166,Inherited!A:A,Inherited!E:E)))+(((100-(_xlfn.XLOOKUP(Assessment!H166,Inherited!A:A,Inherited!B:B)))/100)*IF(Z165="1.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(100%)","100"))))))&lt;=32),"25",IF(AND((((_xlfn.XLOOKUP(Assessment!H166,Inherited!A:A,Inherited!B:B))/100)*(_xlfn.XLOOKUP(Assessment!H166,Inherited!A:A,Inherited!E:E)))+(((100-(_xlfn.XLOOKUP(Assessment!H166,Inherited!A:A,Inherited!B:B)))/100)*IF(Z165="1.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(100%)","100"))))))&gt;=33,(((_xlfn.XLOOKUP(Assessment!H166,Inherited!A:A,Inherited!B:B))/100)*(_xlfn.XLOOKUP(Assessment!H166,Inherited!A:A,Inherited!E:E)))+(((100-(_xlfn.XLOOKUP(Assessment!H166,Inherited!A:A,Inherited!B:B)))/100)*IF(Z165="1.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(100%)","100"))))))&lt;=65),"50",IF(AND((((_xlfn.XLOOKUP(Assessment!H166,Inherited!A:A,Inherited!B:B))/100)*(_xlfn.XLOOKUP(Assessment!H166,Inherited!A:A,Inherited!E:E)))+(((100-(_xlfn.XLOOKUP(Assessment!H166,Inherited!A:A,Inherited!B:B)))/100)*IF(Z165="1.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(100%)","100"))))))&gt;=66,(((_xlfn.XLOOKUP(Assessment!H166,Inherited!A:A,Inherited!B:B))/100)*(_xlfn.XLOOKUP(Assessment!H166,Inherited!A:A,Inherited!E:E)))+(((100-(_xlfn.XLOOKUP(Assessment!H166,Inherited!A:A,Inherited!B:B)))/100)*IF(Z165="1.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(100%)","100"))))))&lt;=89),"75",IF((((_xlfn.XLOOKUP(Assessment!H166,Inherited!A:A,Inherited!B:B))/100)*(_xlfn.XLOOKUP(Assessment!H166,Inherited!A:A,Inherited!E:E)))+(((100-(_xlfn.XLOOKUP(Assessment!H166,Inherited!A:A,Inherited!B:B)))/100)*IF(Z165="1. Non Compliant (0%)","0",IF(Z165="2. Somewhat Compliant (25%)","25",IF(Z165="3. Partially Compliant (50%)","50",IF(Z165="4. Mostly Compliant (75%)","75",IF(Z165="5. Fully Compliant (100%)","100"))))))&gt;=90,"100"))))))</f>
        <v>#N/A</v>
      </c>
      <c r="T165" s="1" t="e">
        <f>IF(MATCH(H165,Inherited!A:A),IF((((_xlfn.XLOOKUP(Assessment!H166,Inherited!A:A,Inherited!B:B))/100)*(_xlfn.XLOOKUP(Assessment!H166,Inherited!A:A,Inherited!F:F)))+(((100-(_xlfn.XLOOKUP(Assessment!H166,Inherited!A:A,Inherited!B:B)))/100)*IF(AA165="1.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(100%)","100"))))))&lt;=10,"0", IF(AND((((_xlfn.XLOOKUP(Assessment!H166,Inherited!A:A,Inherited!B:B))/100)*(_xlfn.XLOOKUP(Assessment!H166,Inherited!A:A,Inherited!F:F)))+(((100-(_xlfn.XLOOKUP(Assessment!H166,Inherited!A:A,Inherited!B:B)))/100)*IF(AA165="1.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(100%)","100"))))))&gt;=11,(((_xlfn.XLOOKUP(Assessment!H166,Inherited!A:A,Inherited!B:B))/100)*(_xlfn.XLOOKUP(Assessment!H166,Inherited!A:A,Inherited!F:F)))+(((100-(_xlfn.XLOOKUP(Assessment!H166,Inherited!A:A,Inherited!B:B)))/100)*IF(AA165="1.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(100%)","100"))))))&lt;=32),"25",IF(AND((((_xlfn.XLOOKUP(Assessment!H166,Inherited!A:A,Inherited!B:B))/100)*(_xlfn.XLOOKUP(Assessment!H166,Inherited!A:A,Inherited!F:F)))+(((100-(_xlfn.XLOOKUP(Assessment!H166,Inherited!A:A,Inherited!B:B)))/100)*IF(AA165="1.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(100%)","100"))))))&gt;=33,(((_xlfn.XLOOKUP(Assessment!H166,Inherited!A:A,Inherited!B:B))/100)*(_xlfn.XLOOKUP(Assessment!H166,Inherited!A:A,Inherited!F:F)))+(((100-(_xlfn.XLOOKUP(Assessment!H166,Inherited!A:A,Inherited!B:B)))/100)*IF(AA165="1.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(100%)","100"))))))&lt;=65),"50",IF(AND((((_xlfn.XLOOKUP(Assessment!H166,Inherited!A:A,Inherited!B:B))/100)*(_xlfn.XLOOKUP(Assessment!H166,Inherited!A:A,Inherited!F:F)))+(((100-(_xlfn.XLOOKUP(Assessment!H166,Inherited!A:A,Inherited!B:B)))/100)*IF(AA165="1.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(100%)","100"))))))&gt;=66,(((_xlfn.XLOOKUP(Assessment!H166,Inherited!A:A,Inherited!B:B))/100)*(_xlfn.XLOOKUP(Assessment!H166,Inherited!A:A,Inherited!F:F)))+(((100-(_xlfn.XLOOKUP(Assessment!H166,Inherited!A:A,Inherited!B:B)))/100)*IF(AA165="1.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(100%)","100"))))))&lt;=89),"75",IF((((_xlfn.XLOOKUP(Assessment!H166,Inherited!A:A,Inherited!B:B))/100)*(_xlfn.XLOOKUP(Assessment!H166,Inherited!A:A,Inherited!F:F)))+(((100-(_xlfn.XLOOKUP(Assessment!H166,Inherited!A:A,Inherited!B:B)))/100)*IF(AA165="1. Non Compliant (0%)","0",IF(AA165="2. Somewhat Compliant (25%)","25",IF(AA165="3. Partially Compliant (50%)","50",IF(AA165="4. Mostly Compliant (75%)","75",IF(AA165="5. Fully Compliant (100%)","100"))))))&gt;=90,"100"))))))</f>
        <v>#N/A</v>
      </c>
      <c r="U165" s="1" t="e">
        <f>IF(MATCH(H165,Inherited!A:A),IF((((_xlfn.XLOOKUP(Assessment!H166,Inherited!A:A,Inherited!B:B))/100)*(_xlfn.XLOOKUP(Assessment!H166,Inherited!A:A,Inherited!G:G)))+(((100-(_xlfn.XLOOKUP(Assessment!H166,Inherited!A:A,Inherited!B:B)))/100)*IF(AB165="1.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(100%)","100"))))))&lt;=10,"0", IF(AND((((_xlfn.XLOOKUP(Assessment!H166,Inherited!A:A,Inherited!B:B))/100)*(_xlfn.XLOOKUP(Assessment!H166,Inherited!A:A,Inherited!G:G)))+(((100-(_xlfn.XLOOKUP(Assessment!H166,Inherited!A:A,Inherited!B:B)))/100)*IF(AB165="1.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(100%)","100"))))))&gt;=11,(((_xlfn.XLOOKUP(Assessment!H166,Inherited!A:A,Inherited!B:B))/100)*(_xlfn.XLOOKUP(Assessment!H166,Inherited!A:A,Inherited!G:G)))+(((100-(_xlfn.XLOOKUP(Assessment!H166,Inherited!A:A,Inherited!B:B)))/100)*IF(AB165="1.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(100%)","100"))))))&lt;=32),"25",IF(AND((((_xlfn.XLOOKUP(Assessment!H166,Inherited!A:A,Inherited!B:B))/100)*(_xlfn.XLOOKUP(Assessment!H166,Inherited!A:A,Inherited!G:G)))+(((100-(_xlfn.XLOOKUP(Assessment!H166,Inherited!A:A,Inherited!B:B)))/100)*IF(AB165="1.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(100%)","100"))))))&gt;=33,(((_xlfn.XLOOKUP(Assessment!H166,Inherited!A:A,Inherited!B:B))/100)*(_xlfn.XLOOKUP(Assessment!H166,Inherited!A:A,Inherited!G:G)))+(((100-(_xlfn.XLOOKUP(Assessment!H166,Inherited!A:A,Inherited!B:B)))/100)*IF(AB165="1.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(100%)","100"))))))&lt;=65),"50",IF(AND((((_xlfn.XLOOKUP(Assessment!H166,Inherited!A:A,Inherited!B:B))/100)*(_xlfn.XLOOKUP(Assessment!H166,Inherited!A:A,Inherited!G:G)))+(((100-(_xlfn.XLOOKUP(Assessment!H166,Inherited!A:A,Inherited!B:B)))/100)*IF(AB165="1.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(100%)","100"))))))&gt;=66,(((_xlfn.XLOOKUP(Assessment!H166,Inherited!A:A,Inherited!B:B))/100)*(_xlfn.XLOOKUP(Assessment!H166,Inherited!A:A,Inherited!G:G)))+(((100-(_xlfn.XLOOKUP(Assessment!H166,Inherited!A:A,Inherited!B:B)))/100)*IF(AB165="1.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(100%)","100"))))))&lt;=89),"75",IF((((_xlfn.XLOOKUP(Assessment!H166,Inherited!A:A,Inherited!B:B))/100)*(_xlfn.XLOOKUP(Assessment!H166,Inherited!A:A,Inherited!G:G)))+(((100-(_xlfn.XLOOKUP(Assessment!H166,Inherited!A:A,Inherited!B:B)))/100)*IF(AB165="1. Non Compliant (0%)","0",IF(AB165="2. Somewhat Compliant (25%)","25",IF(AB165="3. Partially Compliant (50%)","50",IF(AB165="4. Mostly Compliant (75%)","75",IF(AB165="5. Fully Compliant (100%)","100"))))))&gt;=90,"100"))))))</f>
        <v>#N/A</v>
      </c>
      <c r="V165" s="55" t="s">
        <v>85</v>
      </c>
      <c r="W165" s="55"/>
      <c r="X165" s="55"/>
      <c r="Y165" s="55"/>
      <c r="Z165" s="55" t="s">
        <v>10873</v>
      </c>
      <c r="AA165" s="55"/>
      <c r="AB165" s="55"/>
      <c r="AK165" s="1" t="s">
        <v>10978</v>
      </c>
      <c r="AL165" s="1" t="s">
        <v>11010</v>
      </c>
      <c r="AP165" s="1" t="s">
        <v>11123</v>
      </c>
      <c r="AX165" s="3" t="str">
        <f>_xlfn.CONCAT("A-LIGN finished its review of this control on ",AR165, " during the scheduled fieldwork window (",Intro!$B$4,")."&amp; CHAR(10)&amp; CHAR(10))</f>
        <v xml:space="preserve">A-LIGN finished its review of this control on  during the scheduled fieldwork window (Fieldwork: xx/xx/xxxx - xx/xx/xxxx).
</v>
      </c>
      <c r="AY165" s="3" t="str">
        <f t="shared" si="320"/>
        <v/>
      </c>
      <c r="AZ165" s="3" t="str">
        <f t="shared" si="321"/>
        <v/>
      </c>
      <c r="BA165" s="3" t="str">
        <f t="shared" si="322"/>
        <v/>
      </c>
      <c r="BB165"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65" s="3" t="str">
        <f t="shared" si="324"/>
        <v/>
      </c>
      <c r="BD165"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risk consequences to the organization itself, to individuals, communities, groups, and/or societies
- identifies: differences between the groups who experience the benefits of AI systems and the groups who experience negative consequences
</v>
      </c>
      <c r="BE165" s="3" t="str">
        <f t="shared" si="326"/>
        <v/>
      </c>
      <c r="BF165" s="3" t="str">
        <f t="shared" si="327"/>
        <v/>
      </c>
      <c r="BG165" s="3" t="str">
        <f>_xlfn.CONCAT((IF((COUNTIF('Sample Tables'!B:B,"")&gt;0)=TRUE,_xlfn.CONCAT("",""),IF((COUNTIF('Sample Tables'!B:B,"")&gt;0)=FALSE,""))),)</f>
        <v/>
      </c>
      <c r="BH165"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risk consequences to the organization itself, to individuals, communities, groups, and/or societies
- identifies: differences between the groups who experience the benefits of AI systems and the groups who experience negative consequences
</v>
      </c>
    </row>
    <row r="166" spans="3:60" ht="409.5" x14ac:dyDescent="0.35">
      <c r="C166" s="1">
        <f t="shared" si="329"/>
        <v>0</v>
      </c>
      <c r="D166" s="5" t="str">
        <f>IF(AND((_xlfn.XLOOKUP(J166,'Fields &amp; Revisions'!$H:$H,'Fields &amp; Revisions'!$I:$I))&lt;70.99,(OR(Z166="4. Mostly Compliant (75%)",Z166="3. Partially Compliant (50%)",Z166="2. Somewhat Compliant (25%)",Z166="1. Non Compliant (0%)"))),"Yes","No")</f>
        <v>Yes</v>
      </c>
      <c r="E166" s="5" t="str">
        <f>IF(ISERROR(VLOOKUP(H166,Scope!A:A,1,FALSE)),"No","Yes")</f>
        <v>Yes</v>
      </c>
      <c r="F166" s="1" t="s">
        <v>4666</v>
      </c>
      <c r="G166" s="53" t="s">
        <v>4836</v>
      </c>
      <c r="H166" s="53" t="s">
        <v>4837</v>
      </c>
      <c r="I166" s="5" t="s">
        <v>225</v>
      </c>
      <c r="J166" s="1" t="s">
        <v>4800</v>
      </c>
      <c r="K166" s="54" t="s">
        <v>4838</v>
      </c>
      <c r="L166" s="1" t="s">
        <v>4839</v>
      </c>
      <c r="M166" s="1" t="s">
        <v>4840</v>
      </c>
      <c r="N166" s="5" t="s">
        <v>98</v>
      </c>
      <c r="O166" s="1" t="str">
        <f>_xlfn.XLOOKUP(G166,SRMs!$A:$A,SRMs!$D:$D)</f>
        <v>NO INHERITANCE</v>
      </c>
      <c r="P166" s="1" t="str">
        <f>IFERROR(VLOOKUP(H166,Inherited!A:B,2,FALSE),"")</f>
        <v/>
      </c>
      <c r="Q166" s="1" t="e">
        <f>IF(MATCH(H166,Inherited!A:A),IF((((_xlfn.XLOOKUP(Assessment!H167,Inherited!A:A,Inherited!B:B))/100)*(_xlfn.XLOOKUP(Assessment!H167,Inherited!A:A,Inherited!C:C)))+(((100-(_xlfn.XLOOKUP(Assessment!H167,Inherited!A:A,Inherited!B:B)))/100)*IF(X166="1.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(100%)","100"))))))&lt;=10,"0", IF(AND((((_xlfn.XLOOKUP(Assessment!H167,Inherited!A:A,Inherited!B:B))/100)*(_xlfn.XLOOKUP(Assessment!H167,Inherited!A:A,Inherited!C:C)))+(((100-(_xlfn.XLOOKUP(Assessment!H167,Inherited!A:A,Inherited!B:B)))/100)*IF(X166="1.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(100%)","100"))))))&gt;=11,(((_xlfn.XLOOKUP(Assessment!H167,Inherited!A:A,Inherited!B:B))/100)*(_xlfn.XLOOKUP(Assessment!H167,Inherited!A:A,Inherited!C:C)))+(((100-(_xlfn.XLOOKUP(Assessment!H167,Inherited!A:A,Inherited!B:B)))/100)*IF(X166="1.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(100%)","100"))))))&lt;=32),"25",IF(AND((((_xlfn.XLOOKUP(Assessment!H167,Inherited!A:A,Inherited!B:B))/100)*(_xlfn.XLOOKUP(Assessment!H167,Inherited!A:A,Inherited!C:C)))+(((100-(_xlfn.XLOOKUP(Assessment!H167,Inherited!A:A,Inherited!B:B)))/100)*IF(X166="1.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(100%)","100"))))))&gt;=33,(((_xlfn.XLOOKUP(Assessment!H167,Inherited!A:A,Inherited!B:B))/100)*(_xlfn.XLOOKUP(Assessment!H167,Inherited!A:A,Inherited!C:C)))+(((100-(_xlfn.XLOOKUP(Assessment!H167,Inherited!A:A,Inherited!B:B)))/100)*IF(X166="1.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(100%)","100"))))))&lt;=65),"50",IF(AND((((_xlfn.XLOOKUP(Assessment!H167,Inherited!A:A,Inherited!B:B))/100)*(_xlfn.XLOOKUP(Assessment!H167,Inherited!A:A,Inherited!C:C)))+(((100-(_xlfn.XLOOKUP(Assessment!H167,Inherited!A:A,Inherited!B:B)))/100)*IF(X166="1.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(100%)","100"))))))&gt;=66,(((_xlfn.XLOOKUP(Assessment!H167,Inherited!A:A,Inherited!B:B))/100)*(_xlfn.XLOOKUP(Assessment!H167,Inherited!A:A,Inherited!C:C)))+(((100-(_xlfn.XLOOKUP(Assessment!H167,Inherited!A:A,Inherited!B:B)))/100)*IF(X166="1.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(100%)","100"))))))&lt;=89),"75",IF((((_xlfn.XLOOKUP(Assessment!H167,Inherited!A:A,Inherited!B:B))/100)*(_xlfn.XLOOKUP(Assessment!H167,Inherited!A:A,Inherited!C:C)))+(((100-(_xlfn.XLOOKUP(Assessment!H167,Inherited!A:A,Inherited!B:B)))/100)*IF(X166="1. Non Compliant (0%)","0",IF(X166="2. Somewhat Compliant (25%)","25",IF(X166="3. Partially Compliant (50%)","50",IF(X166="4. Mostly Compliant (75%)","75",IF(X166="5. Fully Compliant (100%)","100"))))))&gt;=90,"100"))))))</f>
        <v>#N/A</v>
      </c>
      <c r="R166" s="1" t="e">
        <f>IF(MATCH(H166,Inherited!A:A),IF((((_xlfn.XLOOKUP(Assessment!H167,Inherited!A:A,Inherited!B:B))/100)*(_xlfn.XLOOKUP(Assessment!H167,Inherited!A:A,Inherited!D:D)))+(((100-(_xlfn.XLOOKUP(Assessment!H167,Inherited!A:A,Inherited!B:B)))/100)*IF(Y166="1.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(100%)","100"))))))&lt;=10,"0", IF(AND((((_xlfn.XLOOKUP(Assessment!H167,Inherited!A:A,Inherited!B:B))/100)*(_xlfn.XLOOKUP(Assessment!H167,Inherited!A:A,Inherited!D:D)))+(((100-(_xlfn.XLOOKUP(Assessment!H167,Inherited!A:A,Inherited!B:B)))/100)*IF(Y166="1.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(100%)","100"))))))&gt;=11,(((_xlfn.XLOOKUP(Assessment!H167,Inherited!A:A,Inherited!B:B))/100)*(_xlfn.XLOOKUP(Assessment!H167,Inherited!A:A,Inherited!D:D)))+(((100-(_xlfn.XLOOKUP(Assessment!H167,Inherited!A:A,Inherited!B:B)))/100)*IF(Y166="1.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(100%)","100"))))))&lt;=32),"25",IF(AND((((_xlfn.XLOOKUP(Assessment!H167,Inherited!A:A,Inherited!B:B))/100)*(_xlfn.XLOOKUP(Assessment!H167,Inherited!A:A,Inherited!D:D)))+(((100-(_xlfn.XLOOKUP(Assessment!H167,Inherited!A:A,Inherited!B:B)))/100)*IF(Y166="1.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(100%)","100"))))))&gt;=33,(((_xlfn.XLOOKUP(Assessment!H167,Inherited!A:A,Inherited!B:B))/100)*(_xlfn.XLOOKUP(Assessment!H167,Inherited!A:A,Inherited!D:D)))+(((100-(_xlfn.XLOOKUP(Assessment!H167,Inherited!A:A,Inherited!B:B)))/100)*IF(Y166="1.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(100%)","100"))))))&lt;=65),"50",IF(AND((((_xlfn.XLOOKUP(Assessment!H167,Inherited!A:A,Inherited!B:B))/100)*(_xlfn.XLOOKUP(Assessment!H167,Inherited!A:A,Inherited!D:D)))+(((100-(_xlfn.XLOOKUP(Assessment!H167,Inherited!A:A,Inherited!B:B)))/100)*IF(Y166="1.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(100%)","100"))))))&gt;=66,(((_xlfn.XLOOKUP(Assessment!H167,Inherited!A:A,Inherited!B:B))/100)*(_xlfn.XLOOKUP(Assessment!H167,Inherited!A:A,Inherited!D:D)))+(((100-(_xlfn.XLOOKUP(Assessment!H167,Inherited!A:A,Inherited!B:B)))/100)*IF(Y166="1.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(100%)","100"))))))&lt;=89),"75",IF((((_xlfn.XLOOKUP(Assessment!H167,Inherited!A:A,Inherited!B:B))/100)*(_xlfn.XLOOKUP(Assessment!H167,Inherited!A:A,Inherited!D:D)))+(((100-(_xlfn.XLOOKUP(Assessment!H167,Inherited!A:A,Inherited!B:B)))/100)*IF(Y166="1. Non Compliant (0%)","0",IF(Y166="2. Somewhat Compliant (25%)","25",IF(Y166="3. Partially Compliant (50%)","50",IF(Y166="4. Mostly Compliant (75%)","75",IF(Y166="5. Fully Compliant (100%)","100"))))))&gt;=90,"100"))))))</f>
        <v>#N/A</v>
      </c>
      <c r="S166" s="1" t="e">
        <f>IF(MATCH(H166,Inherited!A:A),IF((((_xlfn.XLOOKUP(Assessment!H167,Inherited!A:A,Inherited!B:B))/100)*(_xlfn.XLOOKUP(Assessment!H167,Inherited!A:A,Inherited!E:E)))+(((100-(_xlfn.XLOOKUP(Assessment!H167,Inherited!A:A,Inherited!B:B)))/100)*IF(Z166="1.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(100%)","100"))))))&lt;=10,"0", IF(AND((((_xlfn.XLOOKUP(Assessment!H167,Inherited!A:A,Inherited!B:B))/100)*(_xlfn.XLOOKUP(Assessment!H167,Inherited!A:A,Inherited!E:E)))+(((100-(_xlfn.XLOOKUP(Assessment!H167,Inherited!A:A,Inherited!B:B)))/100)*IF(Z166="1.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(100%)","100"))))))&gt;=11,(((_xlfn.XLOOKUP(Assessment!H167,Inherited!A:A,Inherited!B:B))/100)*(_xlfn.XLOOKUP(Assessment!H167,Inherited!A:A,Inherited!E:E)))+(((100-(_xlfn.XLOOKUP(Assessment!H167,Inherited!A:A,Inherited!B:B)))/100)*IF(Z166="1.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(100%)","100"))))))&lt;=32),"25",IF(AND((((_xlfn.XLOOKUP(Assessment!H167,Inherited!A:A,Inherited!B:B))/100)*(_xlfn.XLOOKUP(Assessment!H167,Inherited!A:A,Inherited!E:E)))+(((100-(_xlfn.XLOOKUP(Assessment!H167,Inherited!A:A,Inherited!B:B)))/100)*IF(Z166="1.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(100%)","100"))))))&gt;=33,(((_xlfn.XLOOKUP(Assessment!H167,Inherited!A:A,Inherited!B:B))/100)*(_xlfn.XLOOKUP(Assessment!H167,Inherited!A:A,Inherited!E:E)))+(((100-(_xlfn.XLOOKUP(Assessment!H167,Inherited!A:A,Inherited!B:B)))/100)*IF(Z166="1.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(100%)","100"))))))&lt;=65),"50",IF(AND((((_xlfn.XLOOKUP(Assessment!H167,Inherited!A:A,Inherited!B:B))/100)*(_xlfn.XLOOKUP(Assessment!H167,Inherited!A:A,Inherited!E:E)))+(((100-(_xlfn.XLOOKUP(Assessment!H167,Inherited!A:A,Inherited!B:B)))/100)*IF(Z166="1.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(100%)","100"))))))&gt;=66,(((_xlfn.XLOOKUP(Assessment!H167,Inherited!A:A,Inherited!B:B))/100)*(_xlfn.XLOOKUP(Assessment!H167,Inherited!A:A,Inherited!E:E)))+(((100-(_xlfn.XLOOKUP(Assessment!H167,Inherited!A:A,Inherited!B:B)))/100)*IF(Z166="1.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(100%)","100"))))))&lt;=89),"75",IF((((_xlfn.XLOOKUP(Assessment!H167,Inherited!A:A,Inherited!B:B))/100)*(_xlfn.XLOOKUP(Assessment!H167,Inherited!A:A,Inherited!E:E)))+(((100-(_xlfn.XLOOKUP(Assessment!H167,Inherited!A:A,Inherited!B:B)))/100)*IF(Z166="1. Non Compliant (0%)","0",IF(Z166="2. Somewhat Compliant (25%)","25",IF(Z166="3. Partially Compliant (50%)","50",IF(Z166="4. Mostly Compliant (75%)","75",IF(Z166="5. Fully Compliant (100%)","100"))))))&gt;=90,"100"))))))</f>
        <v>#N/A</v>
      </c>
      <c r="T166" s="1" t="e">
        <f>IF(MATCH(H166,Inherited!A:A),IF((((_xlfn.XLOOKUP(Assessment!H167,Inherited!A:A,Inherited!B:B))/100)*(_xlfn.XLOOKUP(Assessment!H167,Inherited!A:A,Inherited!F:F)))+(((100-(_xlfn.XLOOKUP(Assessment!H167,Inherited!A:A,Inherited!B:B)))/100)*IF(AA166="1.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(100%)","100"))))))&lt;=10,"0", IF(AND((((_xlfn.XLOOKUP(Assessment!H167,Inherited!A:A,Inherited!B:B))/100)*(_xlfn.XLOOKUP(Assessment!H167,Inherited!A:A,Inherited!F:F)))+(((100-(_xlfn.XLOOKUP(Assessment!H167,Inherited!A:A,Inherited!B:B)))/100)*IF(AA166="1.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(100%)","100"))))))&gt;=11,(((_xlfn.XLOOKUP(Assessment!H167,Inherited!A:A,Inherited!B:B))/100)*(_xlfn.XLOOKUP(Assessment!H167,Inherited!A:A,Inherited!F:F)))+(((100-(_xlfn.XLOOKUP(Assessment!H167,Inherited!A:A,Inherited!B:B)))/100)*IF(AA166="1.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(100%)","100"))))))&lt;=32),"25",IF(AND((((_xlfn.XLOOKUP(Assessment!H167,Inherited!A:A,Inherited!B:B))/100)*(_xlfn.XLOOKUP(Assessment!H167,Inherited!A:A,Inherited!F:F)))+(((100-(_xlfn.XLOOKUP(Assessment!H167,Inherited!A:A,Inherited!B:B)))/100)*IF(AA166="1.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(100%)","100"))))))&gt;=33,(((_xlfn.XLOOKUP(Assessment!H167,Inherited!A:A,Inherited!B:B))/100)*(_xlfn.XLOOKUP(Assessment!H167,Inherited!A:A,Inherited!F:F)))+(((100-(_xlfn.XLOOKUP(Assessment!H167,Inherited!A:A,Inherited!B:B)))/100)*IF(AA166="1.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(100%)","100"))))))&lt;=65),"50",IF(AND((((_xlfn.XLOOKUP(Assessment!H167,Inherited!A:A,Inherited!B:B))/100)*(_xlfn.XLOOKUP(Assessment!H167,Inherited!A:A,Inherited!F:F)))+(((100-(_xlfn.XLOOKUP(Assessment!H167,Inherited!A:A,Inherited!B:B)))/100)*IF(AA166="1.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(100%)","100"))))))&gt;=66,(((_xlfn.XLOOKUP(Assessment!H167,Inherited!A:A,Inherited!B:B))/100)*(_xlfn.XLOOKUP(Assessment!H167,Inherited!A:A,Inherited!F:F)))+(((100-(_xlfn.XLOOKUP(Assessment!H167,Inherited!A:A,Inherited!B:B)))/100)*IF(AA166="1.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(100%)","100"))))))&lt;=89),"75",IF((((_xlfn.XLOOKUP(Assessment!H167,Inherited!A:A,Inherited!B:B))/100)*(_xlfn.XLOOKUP(Assessment!H167,Inherited!A:A,Inherited!F:F)))+(((100-(_xlfn.XLOOKUP(Assessment!H167,Inherited!A:A,Inherited!B:B)))/100)*IF(AA166="1. Non Compliant (0%)","0",IF(AA166="2. Somewhat Compliant (25%)","25",IF(AA166="3. Partially Compliant (50%)","50",IF(AA166="4. Mostly Compliant (75%)","75",IF(AA166="5. Fully Compliant (100%)","100"))))))&gt;=90,"100"))))))</f>
        <v>#N/A</v>
      </c>
      <c r="U166" s="1" t="e">
        <f>IF(MATCH(H166,Inherited!A:A),IF((((_xlfn.XLOOKUP(Assessment!H167,Inherited!A:A,Inherited!B:B))/100)*(_xlfn.XLOOKUP(Assessment!H167,Inherited!A:A,Inherited!G:G)))+(((100-(_xlfn.XLOOKUP(Assessment!H167,Inherited!A:A,Inherited!B:B)))/100)*IF(AB166="1.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(100%)","100"))))))&lt;=10,"0", IF(AND((((_xlfn.XLOOKUP(Assessment!H167,Inherited!A:A,Inherited!B:B))/100)*(_xlfn.XLOOKUP(Assessment!H167,Inherited!A:A,Inherited!G:G)))+(((100-(_xlfn.XLOOKUP(Assessment!H167,Inherited!A:A,Inherited!B:B)))/100)*IF(AB166="1.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(100%)","100"))))))&gt;=11,(((_xlfn.XLOOKUP(Assessment!H167,Inherited!A:A,Inherited!B:B))/100)*(_xlfn.XLOOKUP(Assessment!H167,Inherited!A:A,Inherited!G:G)))+(((100-(_xlfn.XLOOKUP(Assessment!H167,Inherited!A:A,Inherited!B:B)))/100)*IF(AB166="1.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(100%)","100"))))))&lt;=32),"25",IF(AND((((_xlfn.XLOOKUP(Assessment!H167,Inherited!A:A,Inherited!B:B))/100)*(_xlfn.XLOOKUP(Assessment!H167,Inherited!A:A,Inherited!G:G)))+(((100-(_xlfn.XLOOKUP(Assessment!H167,Inherited!A:A,Inherited!B:B)))/100)*IF(AB166="1.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(100%)","100"))))))&gt;=33,(((_xlfn.XLOOKUP(Assessment!H167,Inherited!A:A,Inherited!B:B))/100)*(_xlfn.XLOOKUP(Assessment!H167,Inherited!A:A,Inherited!G:G)))+(((100-(_xlfn.XLOOKUP(Assessment!H167,Inherited!A:A,Inherited!B:B)))/100)*IF(AB166="1.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(100%)","100"))))))&lt;=65),"50",IF(AND((((_xlfn.XLOOKUP(Assessment!H167,Inherited!A:A,Inherited!B:B))/100)*(_xlfn.XLOOKUP(Assessment!H167,Inherited!A:A,Inherited!G:G)))+(((100-(_xlfn.XLOOKUP(Assessment!H167,Inherited!A:A,Inherited!B:B)))/100)*IF(AB166="1.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(100%)","100"))))))&gt;=66,(((_xlfn.XLOOKUP(Assessment!H167,Inherited!A:A,Inherited!B:B))/100)*(_xlfn.XLOOKUP(Assessment!H167,Inherited!A:A,Inherited!G:G)))+(((100-(_xlfn.XLOOKUP(Assessment!H167,Inherited!A:A,Inherited!B:B)))/100)*IF(AB166="1.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(100%)","100"))))))&lt;=89),"75",IF((((_xlfn.XLOOKUP(Assessment!H167,Inherited!A:A,Inherited!B:B))/100)*(_xlfn.XLOOKUP(Assessment!H167,Inherited!A:A,Inherited!G:G)))+(((100-(_xlfn.XLOOKUP(Assessment!H167,Inherited!A:A,Inherited!B:B)))/100)*IF(AB166="1. Non Compliant (0%)","0",IF(AB166="2. Somewhat Compliant (25%)","25",IF(AB166="3. Partially Compliant (50%)","50",IF(AB166="4. Mostly Compliant (75%)","75",IF(AB166="5. Fully Compliant (100%)","100"))))))&gt;=90,"100"))))))</f>
        <v>#N/A</v>
      </c>
      <c r="V166" s="55" t="s">
        <v>85</v>
      </c>
      <c r="W166" s="55"/>
      <c r="X166" s="55"/>
      <c r="Y166" s="55"/>
      <c r="Z166" s="55" t="s">
        <v>10873</v>
      </c>
      <c r="AA166" s="55"/>
      <c r="AB166" s="55"/>
      <c r="AK166" s="1" t="s">
        <v>10978</v>
      </c>
      <c r="AL166" s="1" t="s">
        <v>11010</v>
      </c>
      <c r="AP166" s="1" t="s">
        <v>11124</v>
      </c>
      <c r="AX166" s="3" t="str">
        <f>_xlfn.CONCAT("A-LIGN finished its review of this control on ",AR166, " during the scheduled fieldwork window (",Intro!$B$4,")."&amp; CHAR(10)&amp; CHAR(10))</f>
        <v xml:space="preserve">A-LIGN finished its review of this control on  during the scheduled fieldwork window (Fieldwork: xx/xx/xxxx - xx/xx/xxxx).
</v>
      </c>
      <c r="AY166" s="3" t="str">
        <f t="shared" si="320"/>
        <v/>
      </c>
      <c r="AZ166" s="3" t="str">
        <f t="shared" si="321"/>
        <v/>
      </c>
      <c r="BA166" s="3" t="str">
        <f t="shared" si="322"/>
        <v/>
      </c>
      <c r="BB166"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66" s="3" t="str">
        <f t="shared" si="324"/>
        <v/>
      </c>
      <c r="BD166"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AI risk sources related to: the organization
- identifies AI risk sources related to: processes and procedures
- identifies AI risk sources related to: management routines
- identifies AI risk sources related to: personnel
- identifies AI risk sources related to: physical environment
- identifies AI risk sources related to: data
- identifies AI risk sources related to: AI system configuration
- identifies AI risk sources related to: deployment environment
- identifies AI risk sources related to: hardware, software, network resources and services
- identifies AI risk sources related to: dependence on external parties
</v>
      </c>
      <c r="BE166" s="3" t="str">
        <f t="shared" si="326"/>
        <v/>
      </c>
      <c r="BF166" s="3" t="str">
        <f t="shared" si="327"/>
        <v/>
      </c>
      <c r="BG166" s="3" t="str">
        <f>_xlfn.CONCAT((IF((COUNTIF('Sample Tables'!B:B,"")&gt;0)=TRUE,_xlfn.CONCAT("",""),IF((COUNTIF('Sample Tables'!B:B,"")&gt;0)=FALSE,""))),)</f>
        <v/>
      </c>
      <c r="BH166"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AI risk sources related to: the organization
- identifies AI risk sources related to: processes and procedures
- identifies AI risk sources related to: management routines
- identifies AI risk sources related to: personnel
- identifies AI risk sources related to: physical environment
- identifies AI risk sources related to: data
- identifies AI risk sources related to: AI system configuration
- identifies AI risk sources related to: deployment environment
- identifies AI risk sources related to: hardware, software, network resources and services
- identifies AI risk sources related to: dependence on external parties
</v>
      </c>
    </row>
    <row r="167" spans="3:60" ht="409.5" x14ac:dyDescent="0.35">
      <c r="C167" s="1">
        <f t="shared" si="329"/>
        <v>0</v>
      </c>
      <c r="D167" s="5" t="str">
        <f>IF(AND((_xlfn.XLOOKUP(J167,'Fields &amp; Revisions'!$H:$H,'Fields &amp; Revisions'!$I:$I))&lt;70.99,(OR(Z167="4. Mostly Compliant (75%)",Z167="3. Partially Compliant (50%)",Z167="2. Somewhat Compliant (25%)",Z167="1. Non Compliant (0%)"))),"Yes","No")</f>
        <v>Yes</v>
      </c>
      <c r="E167" s="5" t="str">
        <f>IF(ISERROR(VLOOKUP(H167,Scope!A:A,1,FALSE)),"No","Yes")</f>
        <v>Yes</v>
      </c>
      <c r="F167" s="1" t="s">
        <v>4666</v>
      </c>
      <c r="G167" s="53" t="s">
        <v>4841</v>
      </c>
      <c r="H167" s="53" t="s">
        <v>4842</v>
      </c>
      <c r="I167" s="5" t="s">
        <v>225</v>
      </c>
      <c r="J167" s="1" t="s">
        <v>4800</v>
      </c>
      <c r="K167" s="54" t="s">
        <v>4843</v>
      </c>
      <c r="L167" s="1" t="s">
        <v>4844</v>
      </c>
      <c r="M167" s="1" t="s">
        <v>4845</v>
      </c>
      <c r="N167" s="5" t="s">
        <v>98</v>
      </c>
      <c r="O167" s="1" t="str">
        <f>_xlfn.XLOOKUP(G167,SRMs!$A:$A,SRMs!$D:$D)</f>
        <v>NO INHERITANCE</v>
      </c>
      <c r="P167" s="1" t="str">
        <f>IFERROR(VLOOKUP(H167,Inherited!A:B,2,FALSE),"")</f>
        <v/>
      </c>
      <c r="Q167" s="1" t="e">
        <f>IF(MATCH(H167,Inherited!A:A),IF((((_xlfn.XLOOKUP(Assessment!H168,Inherited!A:A,Inherited!B:B))/100)*(_xlfn.XLOOKUP(Assessment!H168,Inherited!A:A,Inherited!C:C)))+(((100-(_xlfn.XLOOKUP(Assessment!H168,Inherited!A:A,Inherited!B:B)))/100)*IF(X167="1.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(100%)","100"))))))&lt;=10,"0", IF(AND((((_xlfn.XLOOKUP(Assessment!H168,Inherited!A:A,Inherited!B:B))/100)*(_xlfn.XLOOKUP(Assessment!H168,Inherited!A:A,Inherited!C:C)))+(((100-(_xlfn.XLOOKUP(Assessment!H168,Inherited!A:A,Inherited!B:B)))/100)*IF(X167="1.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(100%)","100"))))))&gt;=11,(((_xlfn.XLOOKUP(Assessment!H168,Inherited!A:A,Inherited!B:B))/100)*(_xlfn.XLOOKUP(Assessment!H168,Inherited!A:A,Inherited!C:C)))+(((100-(_xlfn.XLOOKUP(Assessment!H168,Inherited!A:A,Inherited!B:B)))/100)*IF(X167="1.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(100%)","100"))))))&lt;=32),"25",IF(AND((((_xlfn.XLOOKUP(Assessment!H168,Inherited!A:A,Inherited!B:B))/100)*(_xlfn.XLOOKUP(Assessment!H168,Inherited!A:A,Inherited!C:C)))+(((100-(_xlfn.XLOOKUP(Assessment!H168,Inherited!A:A,Inherited!B:B)))/100)*IF(X167="1.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(100%)","100"))))))&gt;=33,(((_xlfn.XLOOKUP(Assessment!H168,Inherited!A:A,Inherited!B:B))/100)*(_xlfn.XLOOKUP(Assessment!H168,Inherited!A:A,Inherited!C:C)))+(((100-(_xlfn.XLOOKUP(Assessment!H168,Inherited!A:A,Inherited!B:B)))/100)*IF(X167="1.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(100%)","100"))))))&lt;=65),"50",IF(AND((((_xlfn.XLOOKUP(Assessment!H168,Inherited!A:A,Inherited!B:B))/100)*(_xlfn.XLOOKUP(Assessment!H168,Inherited!A:A,Inherited!C:C)))+(((100-(_xlfn.XLOOKUP(Assessment!H168,Inherited!A:A,Inherited!B:B)))/100)*IF(X167="1.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(100%)","100"))))))&gt;=66,(((_xlfn.XLOOKUP(Assessment!H168,Inherited!A:A,Inherited!B:B))/100)*(_xlfn.XLOOKUP(Assessment!H168,Inherited!A:A,Inherited!C:C)))+(((100-(_xlfn.XLOOKUP(Assessment!H168,Inherited!A:A,Inherited!B:B)))/100)*IF(X167="1.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(100%)","100"))))))&lt;=89),"75",IF((((_xlfn.XLOOKUP(Assessment!H168,Inherited!A:A,Inherited!B:B))/100)*(_xlfn.XLOOKUP(Assessment!H168,Inherited!A:A,Inherited!C:C)))+(((100-(_xlfn.XLOOKUP(Assessment!H168,Inherited!A:A,Inherited!B:B)))/100)*IF(X167="1. Non Compliant (0%)","0",IF(X167="2. Somewhat Compliant (25%)","25",IF(X167="3. Partially Compliant (50%)","50",IF(X167="4. Mostly Compliant (75%)","75",IF(X167="5. Fully Compliant (100%)","100"))))))&gt;=90,"100"))))))</f>
        <v>#N/A</v>
      </c>
      <c r="R167" s="1" t="e">
        <f>IF(MATCH(H167,Inherited!A:A),IF((((_xlfn.XLOOKUP(Assessment!H168,Inherited!A:A,Inherited!B:B))/100)*(_xlfn.XLOOKUP(Assessment!H168,Inherited!A:A,Inherited!D:D)))+(((100-(_xlfn.XLOOKUP(Assessment!H168,Inherited!A:A,Inherited!B:B)))/100)*IF(Y167="1.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(100%)","100"))))))&lt;=10,"0", IF(AND((((_xlfn.XLOOKUP(Assessment!H168,Inherited!A:A,Inherited!B:B))/100)*(_xlfn.XLOOKUP(Assessment!H168,Inherited!A:A,Inherited!D:D)))+(((100-(_xlfn.XLOOKUP(Assessment!H168,Inherited!A:A,Inherited!B:B)))/100)*IF(Y167="1.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(100%)","100"))))))&gt;=11,(((_xlfn.XLOOKUP(Assessment!H168,Inherited!A:A,Inherited!B:B))/100)*(_xlfn.XLOOKUP(Assessment!H168,Inherited!A:A,Inherited!D:D)))+(((100-(_xlfn.XLOOKUP(Assessment!H168,Inherited!A:A,Inherited!B:B)))/100)*IF(Y167="1.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(100%)","100"))))))&lt;=32),"25",IF(AND((((_xlfn.XLOOKUP(Assessment!H168,Inherited!A:A,Inherited!B:B))/100)*(_xlfn.XLOOKUP(Assessment!H168,Inherited!A:A,Inherited!D:D)))+(((100-(_xlfn.XLOOKUP(Assessment!H168,Inherited!A:A,Inherited!B:B)))/100)*IF(Y167="1.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(100%)","100"))))))&gt;=33,(((_xlfn.XLOOKUP(Assessment!H168,Inherited!A:A,Inherited!B:B))/100)*(_xlfn.XLOOKUP(Assessment!H168,Inherited!A:A,Inherited!D:D)))+(((100-(_xlfn.XLOOKUP(Assessment!H168,Inherited!A:A,Inherited!B:B)))/100)*IF(Y167="1.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(100%)","100"))))))&lt;=65),"50",IF(AND((((_xlfn.XLOOKUP(Assessment!H168,Inherited!A:A,Inherited!B:B))/100)*(_xlfn.XLOOKUP(Assessment!H168,Inherited!A:A,Inherited!D:D)))+(((100-(_xlfn.XLOOKUP(Assessment!H168,Inherited!A:A,Inherited!B:B)))/100)*IF(Y167="1.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(100%)","100"))))))&gt;=66,(((_xlfn.XLOOKUP(Assessment!H168,Inherited!A:A,Inherited!B:B))/100)*(_xlfn.XLOOKUP(Assessment!H168,Inherited!A:A,Inherited!D:D)))+(((100-(_xlfn.XLOOKUP(Assessment!H168,Inherited!A:A,Inherited!B:B)))/100)*IF(Y167="1.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(100%)","100"))))))&lt;=89),"75",IF((((_xlfn.XLOOKUP(Assessment!H168,Inherited!A:A,Inherited!B:B))/100)*(_xlfn.XLOOKUP(Assessment!H168,Inherited!A:A,Inherited!D:D)))+(((100-(_xlfn.XLOOKUP(Assessment!H168,Inherited!A:A,Inherited!B:B)))/100)*IF(Y167="1. Non Compliant (0%)","0",IF(Y167="2. Somewhat Compliant (25%)","25",IF(Y167="3. Partially Compliant (50%)","50",IF(Y167="4. Mostly Compliant (75%)","75",IF(Y167="5. Fully Compliant (100%)","100"))))))&gt;=90,"100"))))))</f>
        <v>#N/A</v>
      </c>
      <c r="S167" s="1" t="e">
        <f>IF(MATCH(H167,Inherited!A:A),IF((((_xlfn.XLOOKUP(Assessment!H168,Inherited!A:A,Inherited!B:B))/100)*(_xlfn.XLOOKUP(Assessment!H168,Inherited!A:A,Inherited!E:E)))+(((100-(_xlfn.XLOOKUP(Assessment!H168,Inherited!A:A,Inherited!B:B)))/100)*IF(Z167="1.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(100%)","100"))))))&lt;=10,"0", IF(AND((((_xlfn.XLOOKUP(Assessment!H168,Inherited!A:A,Inherited!B:B))/100)*(_xlfn.XLOOKUP(Assessment!H168,Inherited!A:A,Inherited!E:E)))+(((100-(_xlfn.XLOOKUP(Assessment!H168,Inherited!A:A,Inherited!B:B)))/100)*IF(Z167="1.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(100%)","100"))))))&gt;=11,(((_xlfn.XLOOKUP(Assessment!H168,Inherited!A:A,Inherited!B:B))/100)*(_xlfn.XLOOKUP(Assessment!H168,Inherited!A:A,Inherited!E:E)))+(((100-(_xlfn.XLOOKUP(Assessment!H168,Inherited!A:A,Inherited!B:B)))/100)*IF(Z167="1.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(100%)","100"))))))&lt;=32),"25",IF(AND((((_xlfn.XLOOKUP(Assessment!H168,Inherited!A:A,Inherited!B:B))/100)*(_xlfn.XLOOKUP(Assessment!H168,Inherited!A:A,Inherited!E:E)))+(((100-(_xlfn.XLOOKUP(Assessment!H168,Inherited!A:A,Inherited!B:B)))/100)*IF(Z167="1.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(100%)","100"))))))&gt;=33,(((_xlfn.XLOOKUP(Assessment!H168,Inherited!A:A,Inherited!B:B))/100)*(_xlfn.XLOOKUP(Assessment!H168,Inherited!A:A,Inherited!E:E)))+(((100-(_xlfn.XLOOKUP(Assessment!H168,Inherited!A:A,Inherited!B:B)))/100)*IF(Z167="1.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(100%)","100"))))))&lt;=65),"50",IF(AND((((_xlfn.XLOOKUP(Assessment!H168,Inherited!A:A,Inherited!B:B))/100)*(_xlfn.XLOOKUP(Assessment!H168,Inherited!A:A,Inherited!E:E)))+(((100-(_xlfn.XLOOKUP(Assessment!H168,Inherited!A:A,Inherited!B:B)))/100)*IF(Z167="1.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(100%)","100"))))))&gt;=66,(((_xlfn.XLOOKUP(Assessment!H168,Inherited!A:A,Inherited!B:B))/100)*(_xlfn.XLOOKUP(Assessment!H168,Inherited!A:A,Inherited!E:E)))+(((100-(_xlfn.XLOOKUP(Assessment!H168,Inherited!A:A,Inherited!B:B)))/100)*IF(Z167="1.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(100%)","100"))))))&lt;=89),"75",IF((((_xlfn.XLOOKUP(Assessment!H168,Inherited!A:A,Inherited!B:B))/100)*(_xlfn.XLOOKUP(Assessment!H168,Inherited!A:A,Inherited!E:E)))+(((100-(_xlfn.XLOOKUP(Assessment!H168,Inherited!A:A,Inherited!B:B)))/100)*IF(Z167="1. Non Compliant (0%)","0",IF(Z167="2. Somewhat Compliant (25%)","25",IF(Z167="3. Partially Compliant (50%)","50",IF(Z167="4. Mostly Compliant (75%)","75",IF(Z167="5. Fully Compliant (100%)","100"))))))&gt;=90,"100"))))))</f>
        <v>#N/A</v>
      </c>
      <c r="T167" s="1" t="e">
        <f>IF(MATCH(H167,Inherited!A:A),IF((((_xlfn.XLOOKUP(Assessment!H168,Inherited!A:A,Inherited!B:B))/100)*(_xlfn.XLOOKUP(Assessment!H168,Inherited!A:A,Inherited!F:F)))+(((100-(_xlfn.XLOOKUP(Assessment!H168,Inherited!A:A,Inherited!B:B)))/100)*IF(AA167="1.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(100%)","100"))))))&lt;=10,"0", IF(AND((((_xlfn.XLOOKUP(Assessment!H168,Inherited!A:A,Inherited!B:B))/100)*(_xlfn.XLOOKUP(Assessment!H168,Inherited!A:A,Inherited!F:F)))+(((100-(_xlfn.XLOOKUP(Assessment!H168,Inherited!A:A,Inherited!B:B)))/100)*IF(AA167="1.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(100%)","100"))))))&gt;=11,(((_xlfn.XLOOKUP(Assessment!H168,Inherited!A:A,Inherited!B:B))/100)*(_xlfn.XLOOKUP(Assessment!H168,Inherited!A:A,Inherited!F:F)))+(((100-(_xlfn.XLOOKUP(Assessment!H168,Inherited!A:A,Inherited!B:B)))/100)*IF(AA167="1.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(100%)","100"))))))&lt;=32),"25",IF(AND((((_xlfn.XLOOKUP(Assessment!H168,Inherited!A:A,Inherited!B:B))/100)*(_xlfn.XLOOKUP(Assessment!H168,Inherited!A:A,Inherited!F:F)))+(((100-(_xlfn.XLOOKUP(Assessment!H168,Inherited!A:A,Inherited!B:B)))/100)*IF(AA167="1.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(100%)","100"))))))&gt;=33,(((_xlfn.XLOOKUP(Assessment!H168,Inherited!A:A,Inherited!B:B))/100)*(_xlfn.XLOOKUP(Assessment!H168,Inherited!A:A,Inherited!F:F)))+(((100-(_xlfn.XLOOKUP(Assessment!H168,Inherited!A:A,Inherited!B:B)))/100)*IF(AA167="1.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(100%)","100"))))))&lt;=65),"50",IF(AND((((_xlfn.XLOOKUP(Assessment!H168,Inherited!A:A,Inherited!B:B))/100)*(_xlfn.XLOOKUP(Assessment!H168,Inherited!A:A,Inherited!F:F)))+(((100-(_xlfn.XLOOKUP(Assessment!H168,Inherited!A:A,Inherited!B:B)))/100)*IF(AA167="1.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(100%)","100"))))))&gt;=66,(((_xlfn.XLOOKUP(Assessment!H168,Inherited!A:A,Inherited!B:B))/100)*(_xlfn.XLOOKUP(Assessment!H168,Inherited!A:A,Inherited!F:F)))+(((100-(_xlfn.XLOOKUP(Assessment!H168,Inherited!A:A,Inherited!B:B)))/100)*IF(AA167="1.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(100%)","100"))))))&lt;=89),"75",IF((((_xlfn.XLOOKUP(Assessment!H168,Inherited!A:A,Inherited!B:B))/100)*(_xlfn.XLOOKUP(Assessment!H168,Inherited!A:A,Inherited!F:F)))+(((100-(_xlfn.XLOOKUP(Assessment!H168,Inherited!A:A,Inherited!B:B)))/100)*IF(AA167="1. Non Compliant (0%)","0",IF(AA167="2. Somewhat Compliant (25%)","25",IF(AA167="3. Partially Compliant (50%)","50",IF(AA167="4. Mostly Compliant (75%)","75",IF(AA167="5. Fully Compliant (100%)","100"))))))&gt;=90,"100"))))))</f>
        <v>#N/A</v>
      </c>
      <c r="U167" s="1" t="e">
        <f>IF(MATCH(H167,Inherited!A:A),IF((((_xlfn.XLOOKUP(Assessment!H168,Inherited!A:A,Inherited!B:B))/100)*(_xlfn.XLOOKUP(Assessment!H168,Inherited!A:A,Inherited!G:G)))+(((100-(_xlfn.XLOOKUP(Assessment!H168,Inherited!A:A,Inherited!B:B)))/100)*IF(AB167="1.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(100%)","100"))))))&lt;=10,"0", IF(AND((((_xlfn.XLOOKUP(Assessment!H168,Inherited!A:A,Inherited!B:B))/100)*(_xlfn.XLOOKUP(Assessment!H168,Inherited!A:A,Inherited!G:G)))+(((100-(_xlfn.XLOOKUP(Assessment!H168,Inherited!A:A,Inherited!B:B)))/100)*IF(AB167="1.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(100%)","100"))))))&gt;=11,(((_xlfn.XLOOKUP(Assessment!H168,Inherited!A:A,Inherited!B:B))/100)*(_xlfn.XLOOKUP(Assessment!H168,Inherited!A:A,Inherited!G:G)))+(((100-(_xlfn.XLOOKUP(Assessment!H168,Inherited!A:A,Inherited!B:B)))/100)*IF(AB167="1.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(100%)","100"))))))&lt;=32),"25",IF(AND((((_xlfn.XLOOKUP(Assessment!H168,Inherited!A:A,Inherited!B:B))/100)*(_xlfn.XLOOKUP(Assessment!H168,Inherited!A:A,Inherited!G:G)))+(((100-(_xlfn.XLOOKUP(Assessment!H168,Inherited!A:A,Inherited!B:B)))/100)*IF(AB167="1.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(100%)","100"))))))&gt;=33,(((_xlfn.XLOOKUP(Assessment!H168,Inherited!A:A,Inherited!B:B))/100)*(_xlfn.XLOOKUP(Assessment!H168,Inherited!A:A,Inherited!G:G)))+(((100-(_xlfn.XLOOKUP(Assessment!H168,Inherited!A:A,Inherited!B:B)))/100)*IF(AB167="1.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(100%)","100"))))))&lt;=65),"50",IF(AND((((_xlfn.XLOOKUP(Assessment!H168,Inherited!A:A,Inherited!B:B))/100)*(_xlfn.XLOOKUP(Assessment!H168,Inherited!A:A,Inherited!G:G)))+(((100-(_xlfn.XLOOKUP(Assessment!H168,Inherited!A:A,Inherited!B:B)))/100)*IF(AB167="1.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(100%)","100"))))))&gt;=66,(((_xlfn.XLOOKUP(Assessment!H168,Inherited!A:A,Inherited!B:B))/100)*(_xlfn.XLOOKUP(Assessment!H168,Inherited!A:A,Inherited!G:G)))+(((100-(_xlfn.XLOOKUP(Assessment!H168,Inherited!A:A,Inherited!B:B)))/100)*IF(AB167="1.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(100%)","100"))))))&lt;=89),"75",IF((((_xlfn.XLOOKUP(Assessment!H168,Inherited!A:A,Inherited!B:B))/100)*(_xlfn.XLOOKUP(Assessment!H168,Inherited!A:A,Inherited!G:G)))+(((100-(_xlfn.XLOOKUP(Assessment!H168,Inherited!A:A,Inherited!B:B)))/100)*IF(AB167="1. Non Compliant (0%)","0",IF(AB167="2. Somewhat Compliant (25%)","25",IF(AB167="3. Partially Compliant (50%)","50",IF(AB167="4. Mostly Compliant (75%)","75",IF(AB167="5. Fully Compliant (100%)","100"))))))&gt;=90,"100"))))))</f>
        <v>#N/A</v>
      </c>
      <c r="V167" s="55" t="s">
        <v>85</v>
      </c>
      <c r="W167" s="55"/>
      <c r="X167" s="55"/>
      <c r="Y167" s="55"/>
      <c r="Z167" s="55" t="s">
        <v>10873</v>
      </c>
      <c r="AA167" s="55"/>
      <c r="AB167" s="55"/>
      <c r="AK167" s="1" t="s">
        <v>10978</v>
      </c>
      <c r="AL167" s="1" t="s">
        <v>11011</v>
      </c>
      <c r="AP167" s="1" t="s">
        <v>11125</v>
      </c>
      <c r="AX167" s="3" t="str">
        <f>_xlfn.CONCAT("A-LIGN finished its review of this control on ",AR167, " during the scheduled fieldwork window (",Intro!$B$4,")."&amp; CHAR(10)&amp; CHAR(10))</f>
        <v xml:space="preserve">A-LIGN finished its review of this control on  during the scheduled fieldwork window (Fieldwork: xx/xx/xxxx - xx/xx/xxxx).
</v>
      </c>
      <c r="AY167" s="3" t="str">
        <f t="shared" si="320"/>
        <v/>
      </c>
      <c r="AZ167" s="3" t="str">
        <f t="shared" si="321"/>
        <v/>
      </c>
      <c r="BA167" s="3" t="str">
        <f t="shared" si="322"/>
        <v/>
      </c>
      <c r="BB167" s="3" t="str">
        <f t="shared" si="323"/>
        <v xml:space="preserve">Inquired of the following workforce member: 
Michael Wood - VP of AI Engineering
Kyle Smith - IT Operations and AI Expert 
Inquiry lead to the following conclusions: 
An AI system assessment is not completed at this time.
</v>
      </c>
      <c r="BC167" s="3" t="str">
        <f t="shared" si="324"/>
        <v/>
      </c>
      <c r="BD167" s="3" t="str">
        <f t="shared" si="325"/>
        <v xml:space="preserve">Examined the following evidence during fieldwork:
Reviewed evidence addressed the requirement statement.
Reviewed evidence exception note: 
Gap: 
An AI system assessment is not completed at this time.
Recommendation:
Management should ensure that an AI system assessment is completed and considers the following:
- contains: a description and identification of the system that has been analyzed
- contains: the methodology applied
- contains: a description of the intended use of the AI system
- contains: the identity of the person(s) and organization that carried out the risk assessment
- contains: the terms of reference and date of the risk assessment
- contains: the release status of the risk assessment
- contains: if and to what degree objectives have been met
- assesses for undetected risks
- assesses for previously assessed risks that are no longer acceptable
- mitigates identified risks
</v>
      </c>
      <c r="BE167" s="3" t="str">
        <f t="shared" si="326"/>
        <v/>
      </c>
      <c r="BF167" s="3" t="str">
        <f t="shared" si="327"/>
        <v/>
      </c>
      <c r="BG167" s="3" t="str">
        <f>_xlfn.CONCAT((IF((COUNTIF('Sample Tables'!B:B,"")&gt;0)=TRUE,_xlfn.CONCAT("",""),IF((COUNTIF('Sample Tables'!B:B,"")&gt;0)=FALSE,""))),)</f>
        <v/>
      </c>
      <c r="BH167"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system assessment is not completed at this time.
Examined the following evidence during fieldwork:
Reviewed evidence addressed the requirement statement.
Reviewed evidence exception note: 
Gap: 
An AI system assessment is not completed at this time.
Recommendation:
Management should ensure that an AI system assessment is completed and considers the following:
- contains: a description and identification of the system that has been analyzed
- contains: the methodology applied
- contains: a description of the intended use of the AI system
- contains: the identity of the person(s) and organization that carried out the risk assessment
- contains: the terms of reference and date of the risk assessment
- contains: the release status of the risk assessment
- contains: if and to what degree objectives have been met
- assesses for undetected risks
- assesses for previously assessed risks that are no longer acceptable
- mitigates identified risks
</v>
      </c>
    </row>
    <row r="168" spans="3:60" ht="225.75" customHeight="1" x14ac:dyDescent="0.35">
      <c r="C168" s="1">
        <f t="shared" si="329"/>
        <v>0</v>
      </c>
      <c r="D168" s="5" t="str">
        <f>IF(AND((_xlfn.XLOOKUP(J168,'Fields &amp; Revisions'!$H:$H,'Fields &amp; Revisions'!$I:$I))&lt;70.99,(OR(Z168="4. Mostly Compliant (75%)",Z168="3. Partially Compliant (50%)",Z168="2. Somewhat Compliant (25%)",Z168="1. Non Compliant (0%)"))),"Yes","No")</f>
        <v>Yes</v>
      </c>
      <c r="E168" s="5" t="str">
        <f>IF(ISERROR(VLOOKUP(H168,Scope!A:A,1,FALSE)),"No","Yes")</f>
        <v>Yes</v>
      </c>
      <c r="F168" s="1" t="s">
        <v>4666</v>
      </c>
      <c r="G168" s="53" t="s">
        <v>4846</v>
      </c>
      <c r="H168" s="53" t="s">
        <v>4847</v>
      </c>
      <c r="I168" s="5" t="s">
        <v>225</v>
      </c>
      <c r="J168" s="1" t="s">
        <v>4800</v>
      </c>
      <c r="K168" s="54" t="s">
        <v>4848</v>
      </c>
      <c r="L168" s="1" t="s">
        <v>4849</v>
      </c>
      <c r="M168" s="1" t="s">
        <v>4850</v>
      </c>
      <c r="N168" s="5" t="s">
        <v>98</v>
      </c>
      <c r="O168" s="1" t="str">
        <f>_xlfn.XLOOKUP(G168,SRMs!$A:$A,SRMs!$D:$D)</f>
        <v>NO INHERITANCE</v>
      </c>
      <c r="P168" s="1" t="str">
        <f>IFERROR(VLOOKUP(H168,Inherited!A:B,2,FALSE),"")</f>
        <v/>
      </c>
      <c r="Q168" s="1" t="e">
        <f>IF(MATCH(H168,Inherited!A:A),IF((((_xlfn.XLOOKUP(Assessment!H169,Inherited!A:A,Inherited!B:B))/100)*(_xlfn.XLOOKUP(Assessment!H169,Inherited!A:A,Inherited!C:C)))+(((100-(_xlfn.XLOOKUP(Assessment!H169,Inherited!A:A,Inherited!B:B)))/100)*IF(X168="1.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(100%)","100"))))))&lt;=10,"0", IF(AND((((_xlfn.XLOOKUP(Assessment!H169,Inherited!A:A,Inherited!B:B))/100)*(_xlfn.XLOOKUP(Assessment!H169,Inherited!A:A,Inherited!C:C)))+(((100-(_xlfn.XLOOKUP(Assessment!H169,Inherited!A:A,Inherited!B:B)))/100)*IF(X168="1.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(100%)","100"))))))&gt;=11,(((_xlfn.XLOOKUP(Assessment!H169,Inherited!A:A,Inherited!B:B))/100)*(_xlfn.XLOOKUP(Assessment!H169,Inherited!A:A,Inherited!C:C)))+(((100-(_xlfn.XLOOKUP(Assessment!H169,Inherited!A:A,Inherited!B:B)))/100)*IF(X168="1.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(100%)","100"))))))&lt;=32),"25",IF(AND((((_xlfn.XLOOKUP(Assessment!H169,Inherited!A:A,Inherited!B:B))/100)*(_xlfn.XLOOKUP(Assessment!H169,Inherited!A:A,Inherited!C:C)))+(((100-(_xlfn.XLOOKUP(Assessment!H169,Inherited!A:A,Inherited!B:B)))/100)*IF(X168="1.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(100%)","100"))))))&gt;=33,(((_xlfn.XLOOKUP(Assessment!H169,Inherited!A:A,Inherited!B:B))/100)*(_xlfn.XLOOKUP(Assessment!H169,Inherited!A:A,Inherited!C:C)))+(((100-(_xlfn.XLOOKUP(Assessment!H169,Inherited!A:A,Inherited!B:B)))/100)*IF(X168="1.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(100%)","100"))))))&lt;=65),"50",IF(AND((((_xlfn.XLOOKUP(Assessment!H169,Inherited!A:A,Inherited!B:B))/100)*(_xlfn.XLOOKUP(Assessment!H169,Inherited!A:A,Inherited!C:C)))+(((100-(_xlfn.XLOOKUP(Assessment!H169,Inherited!A:A,Inherited!B:B)))/100)*IF(X168="1.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(100%)","100"))))))&gt;=66,(((_xlfn.XLOOKUP(Assessment!H169,Inherited!A:A,Inherited!B:B))/100)*(_xlfn.XLOOKUP(Assessment!H169,Inherited!A:A,Inherited!C:C)))+(((100-(_xlfn.XLOOKUP(Assessment!H169,Inherited!A:A,Inherited!B:B)))/100)*IF(X168="1.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(100%)","100"))))))&lt;=89),"75",IF((((_xlfn.XLOOKUP(Assessment!H169,Inherited!A:A,Inherited!B:B))/100)*(_xlfn.XLOOKUP(Assessment!H169,Inherited!A:A,Inherited!C:C)))+(((100-(_xlfn.XLOOKUP(Assessment!H169,Inherited!A:A,Inherited!B:B)))/100)*IF(X168="1. Non Compliant (0%)","0",IF(X168="2. Somewhat Compliant (25%)","25",IF(X168="3. Partially Compliant (50%)","50",IF(X168="4. Mostly Compliant (75%)","75",IF(X168="5. Fully Compliant (100%)","100"))))))&gt;=90,"100"))))))</f>
        <v>#N/A</v>
      </c>
      <c r="R168" s="1" t="e">
        <f>IF(MATCH(H168,Inherited!A:A),IF((((_xlfn.XLOOKUP(Assessment!H169,Inherited!A:A,Inherited!B:B))/100)*(_xlfn.XLOOKUP(Assessment!H169,Inherited!A:A,Inherited!D:D)))+(((100-(_xlfn.XLOOKUP(Assessment!H169,Inherited!A:A,Inherited!B:B)))/100)*IF(Y168="1.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(100%)","100"))))))&lt;=10,"0", IF(AND((((_xlfn.XLOOKUP(Assessment!H169,Inherited!A:A,Inherited!B:B))/100)*(_xlfn.XLOOKUP(Assessment!H169,Inherited!A:A,Inherited!D:D)))+(((100-(_xlfn.XLOOKUP(Assessment!H169,Inherited!A:A,Inherited!B:B)))/100)*IF(Y168="1.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(100%)","100"))))))&gt;=11,(((_xlfn.XLOOKUP(Assessment!H169,Inherited!A:A,Inherited!B:B))/100)*(_xlfn.XLOOKUP(Assessment!H169,Inherited!A:A,Inherited!D:D)))+(((100-(_xlfn.XLOOKUP(Assessment!H169,Inherited!A:A,Inherited!B:B)))/100)*IF(Y168="1.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(100%)","100"))))))&lt;=32),"25",IF(AND((((_xlfn.XLOOKUP(Assessment!H169,Inherited!A:A,Inherited!B:B))/100)*(_xlfn.XLOOKUP(Assessment!H169,Inherited!A:A,Inherited!D:D)))+(((100-(_xlfn.XLOOKUP(Assessment!H169,Inherited!A:A,Inherited!B:B)))/100)*IF(Y168="1.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(100%)","100"))))))&gt;=33,(((_xlfn.XLOOKUP(Assessment!H169,Inherited!A:A,Inherited!B:B))/100)*(_xlfn.XLOOKUP(Assessment!H169,Inherited!A:A,Inherited!D:D)))+(((100-(_xlfn.XLOOKUP(Assessment!H169,Inherited!A:A,Inherited!B:B)))/100)*IF(Y168="1.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(100%)","100"))))))&lt;=65),"50",IF(AND((((_xlfn.XLOOKUP(Assessment!H169,Inherited!A:A,Inherited!B:B))/100)*(_xlfn.XLOOKUP(Assessment!H169,Inherited!A:A,Inherited!D:D)))+(((100-(_xlfn.XLOOKUP(Assessment!H169,Inherited!A:A,Inherited!B:B)))/100)*IF(Y168="1.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(100%)","100"))))))&gt;=66,(((_xlfn.XLOOKUP(Assessment!H169,Inherited!A:A,Inherited!B:B))/100)*(_xlfn.XLOOKUP(Assessment!H169,Inherited!A:A,Inherited!D:D)))+(((100-(_xlfn.XLOOKUP(Assessment!H169,Inherited!A:A,Inherited!B:B)))/100)*IF(Y168="1.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(100%)","100"))))))&lt;=89),"75",IF((((_xlfn.XLOOKUP(Assessment!H169,Inherited!A:A,Inherited!B:B))/100)*(_xlfn.XLOOKUP(Assessment!H169,Inherited!A:A,Inherited!D:D)))+(((100-(_xlfn.XLOOKUP(Assessment!H169,Inherited!A:A,Inherited!B:B)))/100)*IF(Y168="1. Non Compliant (0%)","0",IF(Y168="2. Somewhat Compliant (25%)","25",IF(Y168="3. Partially Compliant (50%)","50",IF(Y168="4. Mostly Compliant (75%)","75",IF(Y168="5. Fully Compliant (100%)","100"))))))&gt;=90,"100"))))))</f>
        <v>#N/A</v>
      </c>
      <c r="S168" s="1" t="e">
        <f>IF(MATCH(H168,Inherited!A:A),IF((((_xlfn.XLOOKUP(Assessment!H169,Inherited!A:A,Inherited!B:B))/100)*(_xlfn.XLOOKUP(Assessment!H169,Inherited!A:A,Inherited!E:E)))+(((100-(_xlfn.XLOOKUP(Assessment!H169,Inherited!A:A,Inherited!B:B)))/100)*IF(Z168="1.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(100%)","100"))))))&lt;=10,"0", IF(AND((((_xlfn.XLOOKUP(Assessment!H169,Inherited!A:A,Inherited!B:B))/100)*(_xlfn.XLOOKUP(Assessment!H169,Inherited!A:A,Inherited!E:E)))+(((100-(_xlfn.XLOOKUP(Assessment!H169,Inherited!A:A,Inherited!B:B)))/100)*IF(Z168="1.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(100%)","100"))))))&gt;=11,(((_xlfn.XLOOKUP(Assessment!H169,Inherited!A:A,Inherited!B:B))/100)*(_xlfn.XLOOKUP(Assessment!H169,Inherited!A:A,Inherited!E:E)))+(((100-(_xlfn.XLOOKUP(Assessment!H169,Inherited!A:A,Inherited!B:B)))/100)*IF(Z168="1.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(100%)","100"))))))&lt;=32),"25",IF(AND((((_xlfn.XLOOKUP(Assessment!H169,Inherited!A:A,Inherited!B:B))/100)*(_xlfn.XLOOKUP(Assessment!H169,Inherited!A:A,Inherited!E:E)))+(((100-(_xlfn.XLOOKUP(Assessment!H169,Inherited!A:A,Inherited!B:B)))/100)*IF(Z168="1.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(100%)","100"))))))&gt;=33,(((_xlfn.XLOOKUP(Assessment!H169,Inherited!A:A,Inherited!B:B))/100)*(_xlfn.XLOOKUP(Assessment!H169,Inherited!A:A,Inherited!E:E)))+(((100-(_xlfn.XLOOKUP(Assessment!H169,Inherited!A:A,Inherited!B:B)))/100)*IF(Z168="1.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(100%)","100"))))))&lt;=65),"50",IF(AND((((_xlfn.XLOOKUP(Assessment!H169,Inherited!A:A,Inherited!B:B))/100)*(_xlfn.XLOOKUP(Assessment!H169,Inherited!A:A,Inherited!E:E)))+(((100-(_xlfn.XLOOKUP(Assessment!H169,Inherited!A:A,Inherited!B:B)))/100)*IF(Z168="1.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(100%)","100"))))))&gt;=66,(((_xlfn.XLOOKUP(Assessment!H169,Inherited!A:A,Inherited!B:B))/100)*(_xlfn.XLOOKUP(Assessment!H169,Inherited!A:A,Inherited!E:E)))+(((100-(_xlfn.XLOOKUP(Assessment!H169,Inherited!A:A,Inherited!B:B)))/100)*IF(Z168="1.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(100%)","100"))))))&lt;=89),"75",IF((((_xlfn.XLOOKUP(Assessment!H169,Inherited!A:A,Inherited!B:B))/100)*(_xlfn.XLOOKUP(Assessment!H169,Inherited!A:A,Inherited!E:E)))+(((100-(_xlfn.XLOOKUP(Assessment!H169,Inherited!A:A,Inherited!B:B)))/100)*IF(Z168="1. Non Compliant (0%)","0",IF(Z168="2. Somewhat Compliant (25%)","25",IF(Z168="3. Partially Compliant (50%)","50",IF(Z168="4. Mostly Compliant (75%)","75",IF(Z168="5. Fully Compliant (100%)","100"))))))&gt;=90,"100"))))))</f>
        <v>#N/A</v>
      </c>
      <c r="T168" s="1" t="e">
        <f>IF(MATCH(H168,Inherited!A:A),IF((((_xlfn.XLOOKUP(Assessment!H169,Inherited!A:A,Inherited!B:B))/100)*(_xlfn.XLOOKUP(Assessment!H169,Inherited!A:A,Inherited!F:F)))+(((100-(_xlfn.XLOOKUP(Assessment!H169,Inherited!A:A,Inherited!B:B)))/100)*IF(AA168="1.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(100%)","100"))))))&lt;=10,"0", IF(AND((((_xlfn.XLOOKUP(Assessment!H169,Inherited!A:A,Inherited!B:B))/100)*(_xlfn.XLOOKUP(Assessment!H169,Inherited!A:A,Inherited!F:F)))+(((100-(_xlfn.XLOOKUP(Assessment!H169,Inherited!A:A,Inherited!B:B)))/100)*IF(AA168="1.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(100%)","100"))))))&gt;=11,(((_xlfn.XLOOKUP(Assessment!H169,Inherited!A:A,Inherited!B:B))/100)*(_xlfn.XLOOKUP(Assessment!H169,Inherited!A:A,Inherited!F:F)))+(((100-(_xlfn.XLOOKUP(Assessment!H169,Inherited!A:A,Inherited!B:B)))/100)*IF(AA168="1.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(100%)","100"))))))&lt;=32),"25",IF(AND((((_xlfn.XLOOKUP(Assessment!H169,Inherited!A:A,Inherited!B:B))/100)*(_xlfn.XLOOKUP(Assessment!H169,Inherited!A:A,Inherited!F:F)))+(((100-(_xlfn.XLOOKUP(Assessment!H169,Inherited!A:A,Inherited!B:B)))/100)*IF(AA168="1.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(100%)","100"))))))&gt;=33,(((_xlfn.XLOOKUP(Assessment!H169,Inherited!A:A,Inherited!B:B))/100)*(_xlfn.XLOOKUP(Assessment!H169,Inherited!A:A,Inherited!F:F)))+(((100-(_xlfn.XLOOKUP(Assessment!H169,Inherited!A:A,Inherited!B:B)))/100)*IF(AA168="1.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(100%)","100"))))))&lt;=65),"50",IF(AND((((_xlfn.XLOOKUP(Assessment!H169,Inherited!A:A,Inherited!B:B))/100)*(_xlfn.XLOOKUP(Assessment!H169,Inherited!A:A,Inherited!F:F)))+(((100-(_xlfn.XLOOKUP(Assessment!H169,Inherited!A:A,Inherited!B:B)))/100)*IF(AA168="1.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(100%)","100"))))))&gt;=66,(((_xlfn.XLOOKUP(Assessment!H169,Inherited!A:A,Inherited!B:B))/100)*(_xlfn.XLOOKUP(Assessment!H169,Inherited!A:A,Inherited!F:F)))+(((100-(_xlfn.XLOOKUP(Assessment!H169,Inherited!A:A,Inherited!B:B)))/100)*IF(AA168="1.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(100%)","100"))))))&lt;=89),"75",IF((((_xlfn.XLOOKUP(Assessment!H169,Inherited!A:A,Inherited!B:B))/100)*(_xlfn.XLOOKUP(Assessment!H169,Inherited!A:A,Inherited!F:F)))+(((100-(_xlfn.XLOOKUP(Assessment!H169,Inherited!A:A,Inherited!B:B)))/100)*IF(AA168="1. Non Compliant (0%)","0",IF(AA168="2. Somewhat Compliant (25%)","25",IF(AA168="3. Partially Compliant (50%)","50",IF(AA168="4. Mostly Compliant (75%)","75",IF(AA168="5. Fully Compliant (100%)","100"))))))&gt;=90,"100"))))))</f>
        <v>#N/A</v>
      </c>
      <c r="U168" s="1" t="e">
        <f>IF(MATCH(H168,Inherited!A:A),IF((((_xlfn.XLOOKUP(Assessment!H169,Inherited!A:A,Inherited!B:B))/100)*(_xlfn.XLOOKUP(Assessment!H169,Inherited!A:A,Inherited!G:G)))+(((100-(_xlfn.XLOOKUP(Assessment!H169,Inherited!A:A,Inherited!B:B)))/100)*IF(AB168="1.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(100%)","100"))))))&lt;=10,"0", IF(AND((((_xlfn.XLOOKUP(Assessment!H169,Inherited!A:A,Inherited!B:B))/100)*(_xlfn.XLOOKUP(Assessment!H169,Inherited!A:A,Inherited!G:G)))+(((100-(_xlfn.XLOOKUP(Assessment!H169,Inherited!A:A,Inherited!B:B)))/100)*IF(AB168="1.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(100%)","100"))))))&gt;=11,(((_xlfn.XLOOKUP(Assessment!H169,Inherited!A:A,Inherited!B:B))/100)*(_xlfn.XLOOKUP(Assessment!H169,Inherited!A:A,Inherited!G:G)))+(((100-(_xlfn.XLOOKUP(Assessment!H169,Inherited!A:A,Inherited!B:B)))/100)*IF(AB168="1.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(100%)","100"))))))&lt;=32),"25",IF(AND((((_xlfn.XLOOKUP(Assessment!H169,Inherited!A:A,Inherited!B:B))/100)*(_xlfn.XLOOKUP(Assessment!H169,Inherited!A:A,Inherited!G:G)))+(((100-(_xlfn.XLOOKUP(Assessment!H169,Inherited!A:A,Inherited!B:B)))/100)*IF(AB168="1.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(100%)","100"))))))&gt;=33,(((_xlfn.XLOOKUP(Assessment!H169,Inherited!A:A,Inherited!B:B))/100)*(_xlfn.XLOOKUP(Assessment!H169,Inherited!A:A,Inherited!G:G)))+(((100-(_xlfn.XLOOKUP(Assessment!H169,Inherited!A:A,Inherited!B:B)))/100)*IF(AB168="1.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(100%)","100"))))))&lt;=65),"50",IF(AND((((_xlfn.XLOOKUP(Assessment!H169,Inherited!A:A,Inherited!B:B))/100)*(_xlfn.XLOOKUP(Assessment!H169,Inherited!A:A,Inherited!G:G)))+(((100-(_xlfn.XLOOKUP(Assessment!H169,Inherited!A:A,Inherited!B:B)))/100)*IF(AB168="1.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(100%)","100"))))))&gt;=66,(((_xlfn.XLOOKUP(Assessment!H169,Inherited!A:A,Inherited!B:B))/100)*(_xlfn.XLOOKUP(Assessment!H169,Inherited!A:A,Inherited!G:G)))+(((100-(_xlfn.XLOOKUP(Assessment!H169,Inherited!A:A,Inherited!B:B)))/100)*IF(AB168="1.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(100%)","100"))))))&lt;=89),"75",IF((((_xlfn.XLOOKUP(Assessment!H169,Inherited!A:A,Inherited!B:B))/100)*(_xlfn.XLOOKUP(Assessment!H169,Inherited!A:A,Inherited!G:G)))+(((100-(_xlfn.XLOOKUP(Assessment!H169,Inherited!A:A,Inherited!B:B)))/100)*IF(AB168="1. Non Compliant (0%)","0",IF(AB168="2. Somewhat Compliant (25%)","25",IF(AB168="3. Partially Compliant (50%)","50",IF(AB168="4. Mostly Compliant (75%)","75",IF(AB168="5. Fully Compliant (100%)","100"))))))&gt;=90,"100"))))))</f>
        <v>#N/A</v>
      </c>
      <c r="V168" s="55" t="s">
        <v>85</v>
      </c>
      <c r="W168" s="55"/>
      <c r="X168" s="55"/>
      <c r="Y168" s="55"/>
      <c r="Z168" s="55" t="s">
        <v>10873</v>
      </c>
      <c r="AA168" s="55"/>
      <c r="AB168" s="55"/>
      <c r="AK168" s="1" t="s">
        <v>10978</v>
      </c>
      <c r="AL168" s="1" t="s">
        <v>11012</v>
      </c>
      <c r="AP168" s="1" t="s">
        <v>11126</v>
      </c>
      <c r="AX168" s="3" t="str">
        <f>_xlfn.CONCAT("A-LIGN finished its review of this control on ",AR168, " during the scheduled fieldwork window (",Intro!$B$4,")."&amp; CHAR(10)&amp; CHAR(10))</f>
        <v xml:space="preserve">A-LIGN finished its review of this control on  during the scheduled fieldwork window (Fieldwork: xx/xx/xxxx - xx/xx/xxxx).
</v>
      </c>
      <c r="AY168" s="3" t="str">
        <f t="shared" si="320"/>
        <v/>
      </c>
      <c r="AZ168" s="3" t="str">
        <f t="shared" si="321"/>
        <v/>
      </c>
      <c r="BA168" s="3" t="str">
        <f t="shared" si="322"/>
        <v/>
      </c>
      <c r="BB168" s="3" t="str">
        <f t="shared" si="323"/>
        <v xml:space="preserve">Inquired of the following workforce member: 
Michael Wood - VP of AI Engineering
Kyle Smith - IT Operations and AI Expert 
Inquiry lead to the following conclusions: 
An AI system societal impact analysis is not completed at this time
</v>
      </c>
      <c r="BC168" s="3" t="str">
        <f t="shared" si="324"/>
        <v/>
      </c>
      <c r="BD168" s="3" t="str">
        <f t="shared" si="325"/>
        <v xml:space="preserve">Examined the following evidence during fieldwork:
Reviewed evidence addressed the requirement statement.
Reviewed evidence exception note: 
Gap: 
An AI system societal impact analysis is not completed at this time
Recommendation:
Management should ensure that an AI system societal impact analysis is completed and considers the following:
- includes the scope of societal impact, including who the system(s) are being used by or designed for
- includes how the AI system(s) affects social and cultural values held by various affected groups
</v>
      </c>
      <c r="BE168" s="3" t="str">
        <f t="shared" si="326"/>
        <v/>
      </c>
      <c r="BF168" s="3" t="str">
        <f t="shared" si="327"/>
        <v/>
      </c>
      <c r="BG168" s="3" t="str">
        <f>_xlfn.CONCAT((IF((COUNTIF('Sample Tables'!B:B,"")&gt;0)=TRUE,_xlfn.CONCAT("",""),IF((COUNTIF('Sample Tables'!B:B,"")&gt;0)=FALSE,""))),)</f>
        <v/>
      </c>
      <c r="BH168"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system societal impact analysis is not completed at this time
Examined the following evidence during fieldwork:
Reviewed evidence addressed the requirement statement.
Reviewed evidence exception note: 
Gap: 
An AI system societal impact analysis is not completed at this time
Recommendation:
Management should ensure that an AI system societal impact analysis is completed and considers the following:
- includes the scope of societal impact, including who the system(s) are being used by or designed for
- includes how the AI system(s) affects social and cultural values held by various affected groups
</v>
      </c>
    </row>
    <row r="169" spans="3:60" ht="409.5" x14ac:dyDescent="0.35">
      <c r="C169" s="1">
        <f t="shared" si="329"/>
        <v>0</v>
      </c>
      <c r="D169" s="5" t="str">
        <f>IF(AND((_xlfn.XLOOKUP(J169,'Fields &amp; Revisions'!$H:$H,'Fields &amp; Revisions'!$I:$I))&lt;70.99,(OR(Z169="4. Mostly Compliant (75%)",Z169="3. Partially Compliant (50%)",Z169="2. Somewhat Compliant (25%)",Z169="1. Non Compliant (0%)"))),"Yes","No")</f>
        <v>Yes</v>
      </c>
      <c r="E169" s="5" t="str">
        <f>IF(ISERROR(VLOOKUP(H169,Scope!A:A,1,FALSE)),"No","Yes")</f>
        <v>Yes</v>
      </c>
      <c r="F169" s="1" t="s">
        <v>4666</v>
      </c>
      <c r="G169" s="53" t="s">
        <v>4851</v>
      </c>
      <c r="H169" s="53" t="s">
        <v>4852</v>
      </c>
      <c r="I169" s="5" t="s">
        <v>225</v>
      </c>
      <c r="J169" s="1" t="s">
        <v>4800</v>
      </c>
      <c r="K169" s="54" t="s">
        <v>4853</v>
      </c>
      <c r="L169" s="1" t="s">
        <v>4854</v>
      </c>
      <c r="M169" s="1" t="s">
        <v>4855</v>
      </c>
      <c r="N169" s="5" t="s">
        <v>98</v>
      </c>
      <c r="O169" s="1" t="str">
        <f>_xlfn.XLOOKUP(G169,SRMs!$A:$A,SRMs!$D:$D)</f>
        <v>NO INHERITANCE</v>
      </c>
      <c r="P169" s="1" t="str">
        <f>IFERROR(VLOOKUP(H169,Inherited!A:B,2,FALSE),"")</f>
        <v/>
      </c>
      <c r="Q169" s="1" t="e">
        <f>IF(MATCH(H169,Inherited!A:A),IF((((_xlfn.XLOOKUP(Assessment!H170,Inherited!A:A,Inherited!B:B))/100)*(_xlfn.XLOOKUP(Assessment!H170,Inherited!A:A,Inherited!C:C)))+(((100-(_xlfn.XLOOKUP(Assessment!H170,Inherited!A:A,Inherited!B:B)))/100)*IF(X169="1.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(100%)","100"))))))&lt;=10,"0", IF(AND((((_xlfn.XLOOKUP(Assessment!H170,Inherited!A:A,Inherited!B:B))/100)*(_xlfn.XLOOKUP(Assessment!H170,Inherited!A:A,Inherited!C:C)))+(((100-(_xlfn.XLOOKUP(Assessment!H170,Inherited!A:A,Inherited!B:B)))/100)*IF(X169="1.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(100%)","100"))))))&gt;=11,(((_xlfn.XLOOKUP(Assessment!H170,Inherited!A:A,Inherited!B:B))/100)*(_xlfn.XLOOKUP(Assessment!H170,Inherited!A:A,Inherited!C:C)))+(((100-(_xlfn.XLOOKUP(Assessment!H170,Inherited!A:A,Inherited!B:B)))/100)*IF(X169="1.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(100%)","100"))))))&lt;=32),"25",IF(AND((((_xlfn.XLOOKUP(Assessment!H170,Inherited!A:A,Inherited!B:B))/100)*(_xlfn.XLOOKUP(Assessment!H170,Inherited!A:A,Inherited!C:C)))+(((100-(_xlfn.XLOOKUP(Assessment!H170,Inherited!A:A,Inherited!B:B)))/100)*IF(X169="1.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(100%)","100"))))))&gt;=33,(((_xlfn.XLOOKUP(Assessment!H170,Inherited!A:A,Inherited!B:B))/100)*(_xlfn.XLOOKUP(Assessment!H170,Inherited!A:A,Inherited!C:C)))+(((100-(_xlfn.XLOOKUP(Assessment!H170,Inherited!A:A,Inherited!B:B)))/100)*IF(X169="1.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(100%)","100"))))))&lt;=65),"50",IF(AND((((_xlfn.XLOOKUP(Assessment!H170,Inherited!A:A,Inherited!B:B))/100)*(_xlfn.XLOOKUP(Assessment!H170,Inherited!A:A,Inherited!C:C)))+(((100-(_xlfn.XLOOKUP(Assessment!H170,Inherited!A:A,Inherited!B:B)))/100)*IF(X169="1.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(100%)","100"))))))&gt;=66,(((_xlfn.XLOOKUP(Assessment!H170,Inherited!A:A,Inherited!B:B))/100)*(_xlfn.XLOOKUP(Assessment!H170,Inherited!A:A,Inherited!C:C)))+(((100-(_xlfn.XLOOKUP(Assessment!H170,Inherited!A:A,Inherited!B:B)))/100)*IF(X169="1.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(100%)","100"))))))&lt;=89),"75",IF((((_xlfn.XLOOKUP(Assessment!H170,Inherited!A:A,Inherited!B:B))/100)*(_xlfn.XLOOKUP(Assessment!H170,Inherited!A:A,Inherited!C:C)))+(((100-(_xlfn.XLOOKUP(Assessment!H170,Inherited!A:A,Inherited!B:B)))/100)*IF(X169="1. Non Compliant (0%)","0",IF(X169="2. Somewhat Compliant (25%)","25",IF(X169="3. Partially Compliant (50%)","50",IF(X169="4. Mostly Compliant (75%)","75",IF(X169="5. Fully Compliant (100%)","100"))))))&gt;=90,"100"))))))</f>
        <v>#N/A</v>
      </c>
      <c r="R169" s="1" t="e">
        <f>IF(MATCH(H169,Inherited!A:A),IF((((_xlfn.XLOOKUP(Assessment!H170,Inherited!A:A,Inherited!B:B))/100)*(_xlfn.XLOOKUP(Assessment!H170,Inherited!A:A,Inherited!D:D)))+(((100-(_xlfn.XLOOKUP(Assessment!H170,Inherited!A:A,Inherited!B:B)))/100)*IF(Y169="1.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(100%)","100"))))))&lt;=10,"0", IF(AND((((_xlfn.XLOOKUP(Assessment!H170,Inherited!A:A,Inherited!B:B))/100)*(_xlfn.XLOOKUP(Assessment!H170,Inherited!A:A,Inherited!D:D)))+(((100-(_xlfn.XLOOKUP(Assessment!H170,Inherited!A:A,Inherited!B:B)))/100)*IF(Y169="1.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(100%)","100"))))))&gt;=11,(((_xlfn.XLOOKUP(Assessment!H170,Inherited!A:A,Inherited!B:B))/100)*(_xlfn.XLOOKUP(Assessment!H170,Inherited!A:A,Inherited!D:D)))+(((100-(_xlfn.XLOOKUP(Assessment!H170,Inherited!A:A,Inherited!B:B)))/100)*IF(Y169="1.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(100%)","100"))))))&lt;=32),"25",IF(AND((((_xlfn.XLOOKUP(Assessment!H170,Inherited!A:A,Inherited!B:B))/100)*(_xlfn.XLOOKUP(Assessment!H170,Inherited!A:A,Inherited!D:D)))+(((100-(_xlfn.XLOOKUP(Assessment!H170,Inherited!A:A,Inherited!B:B)))/100)*IF(Y169="1.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(100%)","100"))))))&gt;=33,(((_xlfn.XLOOKUP(Assessment!H170,Inherited!A:A,Inherited!B:B))/100)*(_xlfn.XLOOKUP(Assessment!H170,Inherited!A:A,Inherited!D:D)))+(((100-(_xlfn.XLOOKUP(Assessment!H170,Inherited!A:A,Inherited!B:B)))/100)*IF(Y169="1.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(100%)","100"))))))&lt;=65),"50",IF(AND((((_xlfn.XLOOKUP(Assessment!H170,Inherited!A:A,Inherited!B:B))/100)*(_xlfn.XLOOKUP(Assessment!H170,Inherited!A:A,Inherited!D:D)))+(((100-(_xlfn.XLOOKUP(Assessment!H170,Inherited!A:A,Inherited!B:B)))/100)*IF(Y169="1.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(100%)","100"))))))&gt;=66,(((_xlfn.XLOOKUP(Assessment!H170,Inherited!A:A,Inherited!B:B))/100)*(_xlfn.XLOOKUP(Assessment!H170,Inherited!A:A,Inherited!D:D)))+(((100-(_xlfn.XLOOKUP(Assessment!H170,Inherited!A:A,Inherited!B:B)))/100)*IF(Y169="1.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(100%)","100"))))))&lt;=89),"75",IF((((_xlfn.XLOOKUP(Assessment!H170,Inherited!A:A,Inherited!B:B))/100)*(_xlfn.XLOOKUP(Assessment!H170,Inherited!A:A,Inherited!D:D)))+(((100-(_xlfn.XLOOKUP(Assessment!H170,Inherited!A:A,Inherited!B:B)))/100)*IF(Y169="1. Non Compliant (0%)","0",IF(Y169="2. Somewhat Compliant (25%)","25",IF(Y169="3. Partially Compliant (50%)","50",IF(Y169="4. Mostly Compliant (75%)","75",IF(Y169="5. Fully Compliant (100%)","100"))))))&gt;=90,"100"))))))</f>
        <v>#N/A</v>
      </c>
      <c r="S169" s="1" t="e">
        <f>IF(MATCH(H169,Inherited!A:A),IF((((_xlfn.XLOOKUP(Assessment!H170,Inherited!A:A,Inherited!B:B))/100)*(_xlfn.XLOOKUP(Assessment!H170,Inherited!A:A,Inherited!E:E)))+(((100-(_xlfn.XLOOKUP(Assessment!H170,Inherited!A:A,Inherited!B:B)))/100)*IF(Z169="1.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(100%)","100"))))))&lt;=10,"0", IF(AND((((_xlfn.XLOOKUP(Assessment!H170,Inherited!A:A,Inherited!B:B))/100)*(_xlfn.XLOOKUP(Assessment!H170,Inherited!A:A,Inherited!E:E)))+(((100-(_xlfn.XLOOKUP(Assessment!H170,Inherited!A:A,Inherited!B:B)))/100)*IF(Z169="1.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(100%)","100"))))))&gt;=11,(((_xlfn.XLOOKUP(Assessment!H170,Inherited!A:A,Inherited!B:B))/100)*(_xlfn.XLOOKUP(Assessment!H170,Inherited!A:A,Inherited!E:E)))+(((100-(_xlfn.XLOOKUP(Assessment!H170,Inherited!A:A,Inherited!B:B)))/100)*IF(Z169="1.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(100%)","100"))))))&lt;=32),"25",IF(AND((((_xlfn.XLOOKUP(Assessment!H170,Inherited!A:A,Inherited!B:B))/100)*(_xlfn.XLOOKUP(Assessment!H170,Inherited!A:A,Inherited!E:E)))+(((100-(_xlfn.XLOOKUP(Assessment!H170,Inherited!A:A,Inherited!B:B)))/100)*IF(Z169="1.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(100%)","100"))))))&gt;=33,(((_xlfn.XLOOKUP(Assessment!H170,Inherited!A:A,Inherited!B:B))/100)*(_xlfn.XLOOKUP(Assessment!H170,Inherited!A:A,Inherited!E:E)))+(((100-(_xlfn.XLOOKUP(Assessment!H170,Inherited!A:A,Inherited!B:B)))/100)*IF(Z169="1.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(100%)","100"))))))&lt;=65),"50",IF(AND((((_xlfn.XLOOKUP(Assessment!H170,Inherited!A:A,Inherited!B:B))/100)*(_xlfn.XLOOKUP(Assessment!H170,Inherited!A:A,Inherited!E:E)))+(((100-(_xlfn.XLOOKUP(Assessment!H170,Inherited!A:A,Inherited!B:B)))/100)*IF(Z169="1.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(100%)","100"))))))&gt;=66,(((_xlfn.XLOOKUP(Assessment!H170,Inherited!A:A,Inherited!B:B))/100)*(_xlfn.XLOOKUP(Assessment!H170,Inherited!A:A,Inherited!E:E)))+(((100-(_xlfn.XLOOKUP(Assessment!H170,Inherited!A:A,Inherited!B:B)))/100)*IF(Z169="1.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(100%)","100"))))))&lt;=89),"75",IF((((_xlfn.XLOOKUP(Assessment!H170,Inherited!A:A,Inherited!B:B))/100)*(_xlfn.XLOOKUP(Assessment!H170,Inherited!A:A,Inherited!E:E)))+(((100-(_xlfn.XLOOKUP(Assessment!H170,Inherited!A:A,Inherited!B:B)))/100)*IF(Z169="1. Non Compliant (0%)","0",IF(Z169="2. Somewhat Compliant (25%)","25",IF(Z169="3. Partially Compliant (50%)","50",IF(Z169="4. Mostly Compliant (75%)","75",IF(Z169="5. Fully Compliant (100%)","100"))))))&gt;=90,"100"))))))</f>
        <v>#N/A</v>
      </c>
      <c r="T169" s="1" t="e">
        <f>IF(MATCH(H169,Inherited!A:A),IF((((_xlfn.XLOOKUP(Assessment!H170,Inherited!A:A,Inherited!B:B))/100)*(_xlfn.XLOOKUP(Assessment!H170,Inherited!A:A,Inherited!F:F)))+(((100-(_xlfn.XLOOKUP(Assessment!H170,Inherited!A:A,Inherited!B:B)))/100)*IF(AA169="1.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(100%)","100"))))))&lt;=10,"0", IF(AND((((_xlfn.XLOOKUP(Assessment!H170,Inherited!A:A,Inherited!B:B))/100)*(_xlfn.XLOOKUP(Assessment!H170,Inherited!A:A,Inherited!F:F)))+(((100-(_xlfn.XLOOKUP(Assessment!H170,Inherited!A:A,Inherited!B:B)))/100)*IF(AA169="1.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(100%)","100"))))))&gt;=11,(((_xlfn.XLOOKUP(Assessment!H170,Inherited!A:A,Inherited!B:B))/100)*(_xlfn.XLOOKUP(Assessment!H170,Inherited!A:A,Inherited!F:F)))+(((100-(_xlfn.XLOOKUP(Assessment!H170,Inherited!A:A,Inherited!B:B)))/100)*IF(AA169="1.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(100%)","100"))))))&lt;=32),"25",IF(AND((((_xlfn.XLOOKUP(Assessment!H170,Inherited!A:A,Inherited!B:B))/100)*(_xlfn.XLOOKUP(Assessment!H170,Inherited!A:A,Inherited!F:F)))+(((100-(_xlfn.XLOOKUP(Assessment!H170,Inherited!A:A,Inherited!B:B)))/100)*IF(AA169="1.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(100%)","100"))))))&gt;=33,(((_xlfn.XLOOKUP(Assessment!H170,Inherited!A:A,Inherited!B:B))/100)*(_xlfn.XLOOKUP(Assessment!H170,Inherited!A:A,Inherited!F:F)))+(((100-(_xlfn.XLOOKUP(Assessment!H170,Inherited!A:A,Inherited!B:B)))/100)*IF(AA169="1.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(100%)","100"))))))&lt;=65),"50",IF(AND((((_xlfn.XLOOKUP(Assessment!H170,Inherited!A:A,Inherited!B:B))/100)*(_xlfn.XLOOKUP(Assessment!H170,Inherited!A:A,Inherited!F:F)))+(((100-(_xlfn.XLOOKUP(Assessment!H170,Inherited!A:A,Inherited!B:B)))/100)*IF(AA169="1.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(100%)","100"))))))&gt;=66,(((_xlfn.XLOOKUP(Assessment!H170,Inherited!A:A,Inherited!B:B))/100)*(_xlfn.XLOOKUP(Assessment!H170,Inherited!A:A,Inherited!F:F)))+(((100-(_xlfn.XLOOKUP(Assessment!H170,Inherited!A:A,Inherited!B:B)))/100)*IF(AA169="1.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(100%)","100"))))))&lt;=89),"75",IF((((_xlfn.XLOOKUP(Assessment!H170,Inherited!A:A,Inherited!B:B))/100)*(_xlfn.XLOOKUP(Assessment!H170,Inherited!A:A,Inherited!F:F)))+(((100-(_xlfn.XLOOKUP(Assessment!H170,Inherited!A:A,Inherited!B:B)))/100)*IF(AA169="1. Non Compliant (0%)","0",IF(AA169="2. Somewhat Compliant (25%)","25",IF(AA169="3. Partially Compliant (50%)","50",IF(AA169="4. Mostly Compliant (75%)","75",IF(AA169="5. Fully Compliant (100%)","100"))))))&gt;=90,"100"))))))</f>
        <v>#N/A</v>
      </c>
      <c r="U169" s="1" t="e">
        <f>IF(MATCH(H169,Inherited!A:A),IF((((_xlfn.XLOOKUP(Assessment!H170,Inherited!A:A,Inherited!B:B))/100)*(_xlfn.XLOOKUP(Assessment!H170,Inherited!A:A,Inherited!G:G)))+(((100-(_xlfn.XLOOKUP(Assessment!H170,Inherited!A:A,Inherited!B:B)))/100)*IF(AB169="1.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(100%)","100"))))))&lt;=10,"0", IF(AND((((_xlfn.XLOOKUP(Assessment!H170,Inherited!A:A,Inherited!B:B))/100)*(_xlfn.XLOOKUP(Assessment!H170,Inherited!A:A,Inherited!G:G)))+(((100-(_xlfn.XLOOKUP(Assessment!H170,Inherited!A:A,Inherited!B:B)))/100)*IF(AB169="1.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(100%)","100"))))))&gt;=11,(((_xlfn.XLOOKUP(Assessment!H170,Inherited!A:A,Inherited!B:B))/100)*(_xlfn.XLOOKUP(Assessment!H170,Inherited!A:A,Inherited!G:G)))+(((100-(_xlfn.XLOOKUP(Assessment!H170,Inherited!A:A,Inherited!B:B)))/100)*IF(AB169="1.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(100%)","100"))))))&lt;=32),"25",IF(AND((((_xlfn.XLOOKUP(Assessment!H170,Inherited!A:A,Inherited!B:B))/100)*(_xlfn.XLOOKUP(Assessment!H170,Inherited!A:A,Inherited!G:G)))+(((100-(_xlfn.XLOOKUP(Assessment!H170,Inherited!A:A,Inherited!B:B)))/100)*IF(AB169="1.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(100%)","100"))))))&gt;=33,(((_xlfn.XLOOKUP(Assessment!H170,Inherited!A:A,Inherited!B:B))/100)*(_xlfn.XLOOKUP(Assessment!H170,Inherited!A:A,Inherited!G:G)))+(((100-(_xlfn.XLOOKUP(Assessment!H170,Inherited!A:A,Inherited!B:B)))/100)*IF(AB169="1.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(100%)","100"))))))&lt;=65),"50",IF(AND((((_xlfn.XLOOKUP(Assessment!H170,Inherited!A:A,Inherited!B:B))/100)*(_xlfn.XLOOKUP(Assessment!H170,Inherited!A:A,Inherited!G:G)))+(((100-(_xlfn.XLOOKUP(Assessment!H170,Inherited!A:A,Inherited!B:B)))/100)*IF(AB169="1.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(100%)","100"))))))&gt;=66,(((_xlfn.XLOOKUP(Assessment!H170,Inherited!A:A,Inherited!B:B))/100)*(_xlfn.XLOOKUP(Assessment!H170,Inherited!A:A,Inherited!G:G)))+(((100-(_xlfn.XLOOKUP(Assessment!H170,Inherited!A:A,Inherited!B:B)))/100)*IF(AB169="1.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(100%)","100"))))))&lt;=89),"75",IF((((_xlfn.XLOOKUP(Assessment!H170,Inherited!A:A,Inherited!B:B))/100)*(_xlfn.XLOOKUP(Assessment!H170,Inherited!A:A,Inherited!G:G)))+(((100-(_xlfn.XLOOKUP(Assessment!H170,Inherited!A:A,Inherited!B:B)))/100)*IF(AB169="1. Non Compliant (0%)","0",IF(AB169="2. Somewhat Compliant (25%)","25",IF(AB169="3. Partially Compliant (50%)","50",IF(AB169="4. Mostly Compliant (75%)","75",IF(AB169="5. Fully Compliant (100%)","100"))))))&gt;=90,"100"))))))</f>
        <v>#N/A</v>
      </c>
      <c r="V169" s="55" t="s">
        <v>85</v>
      </c>
      <c r="W169" s="55"/>
      <c r="X169" s="55"/>
      <c r="Y169" s="55"/>
      <c r="Z169" s="55" t="s">
        <v>10873</v>
      </c>
      <c r="AA169" s="55"/>
      <c r="AB169" s="55"/>
      <c r="AK169" s="1" t="s">
        <v>10978</v>
      </c>
      <c r="AL169" s="1" t="s">
        <v>11011</v>
      </c>
      <c r="AP169" s="1" t="s">
        <v>11127</v>
      </c>
      <c r="AX169" s="3" t="str">
        <f>_xlfn.CONCAT("A-LIGN finished its review of this control on ",AR169, " during the scheduled fieldwork window (",Intro!$B$4,")."&amp; CHAR(10)&amp; CHAR(10))</f>
        <v xml:space="preserve">A-LIGN finished its review of this control on  during the scheduled fieldwork window (Fieldwork: xx/xx/xxxx - xx/xx/xxxx).
</v>
      </c>
      <c r="AY169" s="3" t="str">
        <f t="shared" si="320"/>
        <v/>
      </c>
      <c r="AZ169" s="3" t="str">
        <f t="shared" si="321"/>
        <v/>
      </c>
      <c r="BA169" s="3" t="str">
        <f t="shared" si="322"/>
        <v/>
      </c>
      <c r="BB169" s="3" t="str">
        <f t="shared" si="323"/>
        <v xml:space="preserve">Inquired of the following workforce member: 
Michael Wood - VP of AI Engineering
Kyle Smith - IT Operations and AI Expert 
Inquiry lead to the following conclusions: 
An AI system assessment is not completed at this time.
</v>
      </c>
      <c r="BC169" s="3" t="str">
        <f t="shared" si="324"/>
        <v/>
      </c>
      <c r="BD169" s="3" t="str">
        <f t="shared" si="325"/>
        <v xml:space="preserve">Examined the following evidence during fieldwork:
Reviewed evidence addressed the requirement statement.
Reviewed evidence exception note: 
Gap: 
An AI system assessment is not completed at this time.
Recommendation:
Management should ensure that an AI system assessment is completed and considers the following:
- includes: types of data used from individuals
- includes: intended impact of the development or use of AI
- includes: potential bias impact to an individual
- includes: potential impact on fundamental rights that can result in material and non-material damage to an individual
- includes: potential fairness impact to an individual
- includes: safety of an individual
- includes: protections and mitigating controls around unwanted bias and unfairness
- includes: jurisdictional and cultural environment of the individual
</v>
      </c>
      <c r="BE169" s="3" t="str">
        <f t="shared" si="326"/>
        <v/>
      </c>
      <c r="BF169" s="3" t="str">
        <f t="shared" si="327"/>
        <v/>
      </c>
      <c r="BG169" s="3" t="str">
        <f>_xlfn.CONCAT((IF((COUNTIF('Sample Tables'!B:B,"")&gt;0)=TRUE,_xlfn.CONCAT("",""),IF((COUNTIF('Sample Tables'!B:B,"")&gt;0)=FALSE,""))),)</f>
        <v/>
      </c>
      <c r="BH169"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An AI system assessment is not completed at this time.
Examined the following evidence during fieldwork:
Reviewed evidence addressed the requirement statement.
Reviewed evidence exception note: 
Gap: 
An AI system assessment is not completed at this time.
Recommendation:
Management should ensure that an AI system assessment is completed and considers the following:
- includes: types of data used from individuals
- includes: intended impact of the development or use of AI
- includes: potential bias impact to an individual
- includes: potential impact on fundamental rights that can result in material and non-material damage to an individual
- includes: potential fairness impact to an individual
- includes: safety of an individual
- includes: protections and mitigating controls around unwanted bias and unfairness
- includes: jurisdictional and cultural environment of the individual
</v>
      </c>
    </row>
    <row r="170" spans="3:60" ht="324.75" customHeight="1" x14ac:dyDescent="0.35">
      <c r="C170" s="1">
        <f t="shared" si="329"/>
        <v>0</v>
      </c>
      <c r="D170" s="5" t="str">
        <f>IF(AND((_xlfn.XLOOKUP(J170,'Fields &amp; Revisions'!$H:$H,'Fields &amp; Revisions'!$I:$I))&lt;70.99,(OR(Z170="4. Mostly Compliant (75%)",Z170="3. Partially Compliant (50%)",Z170="2. Somewhat Compliant (25%)",Z170="1. Non Compliant (0%)"))),"Yes","No")</f>
        <v>Yes</v>
      </c>
      <c r="E170" s="5" t="str">
        <f>IF(ISERROR(VLOOKUP(H170,Scope!A:A,1,FALSE)),"No","Yes")</f>
        <v>Yes</v>
      </c>
      <c r="F170" s="1" t="s">
        <v>4666</v>
      </c>
      <c r="G170" s="53" t="s">
        <v>4856</v>
      </c>
      <c r="H170" s="53" t="s">
        <v>4857</v>
      </c>
      <c r="I170" s="5" t="s">
        <v>242</v>
      </c>
      <c r="J170" s="1" t="s">
        <v>4800</v>
      </c>
      <c r="K170" s="54" t="s">
        <v>4858</v>
      </c>
      <c r="L170" s="1" t="s">
        <v>4859</v>
      </c>
      <c r="M170" s="1" t="s">
        <v>4860</v>
      </c>
      <c r="N170" s="5" t="s">
        <v>98</v>
      </c>
      <c r="O170" s="1" t="str">
        <f>_xlfn.XLOOKUP(G170,SRMs!$A:$A,SRMs!$D:$D)</f>
        <v>NO INHERITANCE</v>
      </c>
      <c r="P170" s="1" t="str">
        <f>IFERROR(VLOOKUP(H170,Inherited!A:B,2,FALSE),"")</f>
        <v/>
      </c>
      <c r="Q170" s="1" t="e">
        <f>IF(MATCH(H170,Inherited!A:A),IF((((_xlfn.XLOOKUP(Assessment!#REF!,Inherited!A:A,Inherited!B:B))/100)*(_xlfn.XLOOKUP(Assessment!#REF!,Inherited!A:A,Inherited!C:C)))+(((100-(_xlfn.XLOOKUP(Assessment!#REF!,Inherited!A:A,Inherited!B:B)))/100)*IF(X170="1.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(100%)","100"))))))&lt;=10,"0", IF(AND((((_xlfn.XLOOKUP(Assessment!#REF!,Inherited!A:A,Inherited!B:B))/100)*(_xlfn.XLOOKUP(Assessment!#REF!,Inherited!A:A,Inherited!C:C)))+(((100-(_xlfn.XLOOKUP(Assessment!#REF!,Inherited!A:A,Inherited!B:B)))/100)*IF(X170="1.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(100%)","100"))))))&gt;=11,(((_xlfn.XLOOKUP(Assessment!#REF!,Inherited!A:A,Inherited!B:B))/100)*(_xlfn.XLOOKUP(Assessment!#REF!,Inherited!A:A,Inherited!C:C)))+(((100-(_xlfn.XLOOKUP(Assessment!#REF!,Inherited!A:A,Inherited!B:B)))/100)*IF(X170="1.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(100%)","100"))))))&lt;=32),"25",IF(AND((((_xlfn.XLOOKUP(Assessment!#REF!,Inherited!A:A,Inherited!B:B))/100)*(_xlfn.XLOOKUP(Assessment!#REF!,Inherited!A:A,Inherited!C:C)))+(((100-(_xlfn.XLOOKUP(Assessment!#REF!,Inherited!A:A,Inherited!B:B)))/100)*IF(X170="1.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(100%)","100"))))))&gt;=33,(((_xlfn.XLOOKUP(Assessment!#REF!,Inherited!A:A,Inherited!B:B))/100)*(_xlfn.XLOOKUP(Assessment!#REF!,Inherited!A:A,Inherited!C:C)))+(((100-(_xlfn.XLOOKUP(Assessment!#REF!,Inherited!A:A,Inherited!B:B)))/100)*IF(X170="1.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(100%)","100"))))))&lt;=65),"50",IF(AND((((_xlfn.XLOOKUP(Assessment!#REF!,Inherited!A:A,Inherited!B:B))/100)*(_xlfn.XLOOKUP(Assessment!#REF!,Inherited!A:A,Inherited!C:C)))+(((100-(_xlfn.XLOOKUP(Assessment!#REF!,Inherited!A:A,Inherited!B:B)))/100)*IF(X170="1.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(100%)","100"))))))&gt;=66,(((_xlfn.XLOOKUP(Assessment!#REF!,Inherited!A:A,Inherited!B:B))/100)*(_xlfn.XLOOKUP(Assessment!#REF!,Inherited!A:A,Inherited!C:C)))+(((100-(_xlfn.XLOOKUP(Assessment!#REF!,Inherited!A:A,Inherited!B:B)))/100)*IF(X170="1.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(100%)","100"))))))&lt;=89),"75",IF((((_xlfn.XLOOKUP(Assessment!#REF!,Inherited!A:A,Inherited!B:B))/100)*(_xlfn.XLOOKUP(Assessment!#REF!,Inherited!A:A,Inherited!C:C)))+(((100-(_xlfn.XLOOKUP(Assessment!#REF!,Inherited!A:A,Inherited!B:B)))/100)*IF(X170="1. Non Compliant (0%)","0",IF(X170="2. Somewhat Compliant (25%)","25",IF(X170="3. Partially Compliant (50%)","50",IF(X170="4. Mostly Compliant (75%)","75",IF(X170="5. Fully Compliant (100%)","100"))))))&gt;=90,"100"))))))</f>
        <v>#N/A</v>
      </c>
      <c r="R170" s="1" t="e">
        <f>IF(MATCH(H170,Inherited!A:A),IF((((_xlfn.XLOOKUP(Assessment!#REF!,Inherited!A:A,Inherited!B:B))/100)*(_xlfn.XLOOKUP(Assessment!#REF!,Inherited!A:A,Inherited!D:D)))+(((100-(_xlfn.XLOOKUP(Assessment!#REF!,Inherited!A:A,Inherited!B:B)))/100)*IF(Y170="1.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(100%)","100"))))))&lt;=10,"0", IF(AND((((_xlfn.XLOOKUP(Assessment!#REF!,Inherited!A:A,Inherited!B:B))/100)*(_xlfn.XLOOKUP(Assessment!#REF!,Inherited!A:A,Inherited!D:D)))+(((100-(_xlfn.XLOOKUP(Assessment!#REF!,Inherited!A:A,Inherited!B:B)))/100)*IF(Y170="1.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(100%)","100"))))))&gt;=11,(((_xlfn.XLOOKUP(Assessment!#REF!,Inherited!A:A,Inherited!B:B))/100)*(_xlfn.XLOOKUP(Assessment!#REF!,Inherited!A:A,Inherited!D:D)))+(((100-(_xlfn.XLOOKUP(Assessment!#REF!,Inherited!A:A,Inherited!B:B)))/100)*IF(Y170="1.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(100%)","100"))))))&lt;=32),"25",IF(AND((((_xlfn.XLOOKUP(Assessment!#REF!,Inherited!A:A,Inherited!B:B))/100)*(_xlfn.XLOOKUP(Assessment!#REF!,Inherited!A:A,Inherited!D:D)))+(((100-(_xlfn.XLOOKUP(Assessment!#REF!,Inherited!A:A,Inherited!B:B)))/100)*IF(Y170="1.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(100%)","100"))))))&gt;=33,(((_xlfn.XLOOKUP(Assessment!#REF!,Inherited!A:A,Inherited!B:B))/100)*(_xlfn.XLOOKUP(Assessment!#REF!,Inherited!A:A,Inherited!D:D)))+(((100-(_xlfn.XLOOKUP(Assessment!#REF!,Inherited!A:A,Inherited!B:B)))/100)*IF(Y170="1.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(100%)","100"))))))&lt;=65),"50",IF(AND((((_xlfn.XLOOKUP(Assessment!#REF!,Inherited!A:A,Inherited!B:B))/100)*(_xlfn.XLOOKUP(Assessment!#REF!,Inherited!A:A,Inherited!D:D)))+(((100-(_xlfn.XLOOKUP(Assessment!#REF!,Inherited!A:A,Inherited!B:B)))/100)*IF(Y170="1.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(100%)","100"))))))&gt;=66,(((_xlfn.XLOOKUP(Assessment!#REF!,Inherited!A:A,Inherited!B:B))/100)*(_xlfn.XLOOKUP(Assessment!#REF!,Inherited!A:A,Inherited!D:D)))+(((100-(_xlfn.XLOOKUP(Assessment!#REF!,Inherited!A:A,Inherited!B:B)))/100)*IF(Y170="1.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(100%)","100"))))))&lt;=89),"75",IF((((_xlfn.XLOOKUP(Assessment!#REF!,Inherited!A:A,Inherited!B:B))/100)*(_xlfn.XLOOKUP(Assessment!#REF!,Inherited!A:A,Inherited!D:D)))+(((100-(_xlfn.XLOOKUP(Assessment!#REF!,Inherited!A:A,Inherited!B:B)))/100)*IF(Y170="1. Non Compliant (0%)","0",IF(Y170="2. Somewhat Compliant (25%)","25",IF(Y170="3. Partially Compliant (50%)","50",IF(Y170="4. Mostly Compliant (75%)","75",IF(Y170="5. Fully Compliant (100%)","100"))))))&gt;=90,"100"))))))</f>
        <v>#N/A</v>
      </c>
      <c r="S170" s="1" t="e">
        <f>IF(MATCH(H170,Inherited!A:A),IF((((_xlfn.XLOOKUP(Assessment!#REF!,Inherited!A:A,Inherited!B:B))/100)*(_xlfn.XLOOKUP(Assessment!#REF!,Inherited!A:A,Inherited!E:E)))+(((100-(_xlfn.XLOOKUP(Assessment!#REF!,Inherited!A:A,Inherited!B:B)))/100)*IF(Z170="1.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(100%)","100"))))))&lt;=10,"0", IF(AND((((_xlfn.XLOOKUP(Assessment!#REF!,Inherited!A:A,Inherited!B:B))/100)*(_xlfn.XLOOKUP(Assessment!#REF!,Inherited!A:A,Inherited!E:E)))+(((100-(_xlfn.XLOOKUP(Assessment!#REF!,Inherited!A:A,Inherited!B:B)))/100)*IF(Z170="1.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(100%)","100"))))))&gt;=11,(((_xlfn.XLOOKUP(Assessment!#REF!,Inherited!A:A,Inherited!B:B))/100)*(_xlfn.XLOOKUP(Assessment!#REF!,Inherited!A:A,Inherited!E:E)))+(((100-(_xlfn.XLOOKUP(Assessment!#REF!,Inherited!A:A,Inherited!B:B)))/100)*IF(Z170="1.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(100%)","100"))))))&lt;=32),"25",IF(AND((((_xlfn.XLOOKUP(Assessment!#REF!,Inherited!A:A,Inherited!B:B))/100)*(_xlfn.XLOOKUP(Assessment!#REF!,Inherited!A:A,Inherited!E:E)))+(((100-(_xlfn.XLOOKUP(Assessment!#REF!,Inherited!A:A,Inherited!B:B)))/100)*IF(Z170="1.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(100%)","100"))))))&gt;=33,(((_xlfn.XLOOKUP(Assessment!#REF!,Inherited!A:A,Inherited!B:B))/100)*(_xlfn.XLOOKUP(Assessment!#REF!,Inherited!A:A,Inherited!E:E)))+(((100-(_xlfn.XLOOKUP(Assessment!#REF!,Inherited!A:A,Inherited!B:B)))/100)*IF(Z170="1.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(100%)","100"))))))&lt;=65),"50",IF(AND((((_xlfn.XLOOKUP(Assessment!#REF!,Inherited!A:A,Inherited!B:B))/100)*(_xlfn.XLOOKUP(Assessment!#REF!,Inherited!A:A,Inherited!E:E)))+(((100-(_xlfn.XLOOKUP(Assessment!#REF!,Inherited!A:A,Inherited!B:B)))/100)*IF(Z170="1.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(100%)","100"))))))&gt;=66,(((_xlfn.XLOOKUP(Assessment!#REF!,Inherited!A:A,Inherited!B:B))/100)*(_xlfn.XLOOKUP(Assessment!#REF!,Inherited!A:A,Inherited!E:E)))+(((100-(_xlfn.XLOOKUP(Assessment!#REF!,Inherited!A:A,Inherited!B:B)))/100)*IF(Z170="1.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(100%)","100"))))))&lt;=89),"75",IF((((_xlfn.XLOOKUP(Assessment!#REF!,Inherited!A:A,Inherited!B:B))/100)*(_xlfn.XLOOKUP(Assessment!#REF!,Inherited!A:A,Inherited!E:E)))+(((100-(_xlfn.XLOOKUP(Assessment!#REF!,Inherited!A:A,Inherited!B:B)))/100)*IF(Z170="1. Non Compliant (0%)","0",IF(Z170="2. Somewhat Compliant (25%)","25",IF(Z170="3. Partially Compliant (50%)","50",IF(Z170="4. Mostly Compliant (75%)","75",IF(Z170="5. Fully Compliant (100%)","100"))))))&gt;=90,"100"))))))</f>
        <v>#N/A</v>
      </c>
      <c r="T170" s="1" t="e">
        <f>IF(MATCH(H170,Inherited!A:A),IF((((_xlfn.XLOOKUP(Assessment!#REF!,Inherited!A:A,Inherited!B:B))/100)*(_xlfn.XLOOKUP(Assessment!#REF!,Inherited!A:A,Inherited!F:F)))+(((100-(_xlfn.XLOOKUP(Assessment!#REF!,Inherited!A:A,Inherited!B:B)))/100)*IF(AA170="1.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(100%)","100"))))))&lt;=10,"0", IF(AND((((_xlfn.XLOOKUP(Assessment!#REF!,Inherited!A:A,Inherited!B:B))/100)*(_xlfn.XLOOKUP(Assessment!#REF!,Inherited!A:A,Inherited!F:F)))+(((100-(_xlfn.XLOOKUP(Assessment!#REF!,Inherited!A:A,Inherited!B:B)))/100)*IF(AA170="1.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(100%)","100"))))))&gt;=11,(((_xlfn.XLOOKUP(Assessment!#REF!,Inherited!A:A,Inherited!B:B))/100)*(_xlfn.XLOOKUP(Assessment!#REF!,Inherited!A:A,Inherited!F:F)))+(((100-(_xlfn.XLOOKUP(Assessment!#REF!,Inherited!A:A,Inherited!B:B)))/100)*IF(AA170="1.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(100%)","100"))))))&lt;=32),"25",IF(AND((((_xlfn.XLOOKUP(Assessment!#REF!,Inherited!A:A,Inherited!B:B))/100)*(_xlfn.XLOOKUP(Assessment!#REF!,Inherited!A:A,Inherited!F:F)))+(((100-(_xlfn.XLOOKUP(Assessment!#REF!,Inherited!A:A,Inherited!B:B)))/100)*IF(AA170="1.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(100%)","100"))))))&gt;=33,(((_xlfn.XLOOKUP(Assessment!#REF!,Inherited!A:A,Inherited!B:B))/100)*(_xlfn.XLOOKUP(Assessment!#REF!,Inherited!A:A,Inherited!F:F)))+(((100-(_xlfn.XLOOKUP(Assessment!#REF!,Inherited!A:A,Inherited!B:B)))/100)*IF(AA170="1.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(100%)","100"))))))&lt;=65),"50",IF(AND((((_xlfn.XLOOKUP(Assessment!#REF!,Inherited!A:A,Inherited!B:B))/100)*(_xlfn.XLOOKUP(Assessment!#REF!,Inherited!A:A,Inherited!F:F)))+(((100-(_xlfn.XLOOKUP(Assessment!#REF!,Inherited!A:A,Inherited!B:B)))/100)*IF(AA170="1.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(100%)","100"))))))&gt;=66,(((_xlfn.XLOOKUP(Assessment!#REF!,Inherited!A:A,Inherited!B:B))/100)*(_xlfn.XLOOKUP(Assessment!#REF!,Inherited!A:A,Inherited!F:F)))+(((100-(_xlfn.XLOOKUP(Assessment!#REF!,Inherited!A:A,Inherited!B:B)))/100)*IF(AA170="1.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(100%)","100"))))))&lt;=89),"75",IF((((_xlfn.XLOOKUP(Assessment!#REF!,Inherited!A:A,Inherited!B:B))/100)*(_xlfn.XLOOKUP(Assessment!#REF!,Inherited!A:A,Inherited!F:F)))+(((100-(_xlfn.XLOOKUP(Assessment!#REF!,Inherited!A:A,Inherited!B:B)))/100)*IF(AA170="1. Non Compliant (0%)","0",IF(AA170="2. Somewhat Compliant (25%)","25",IF(AA170="3. Partially Compliant (50%)","50",IF(AA170="4. Mostly Compliant (75%)","75",IF(AA170="5. Fully Compliant (100%)","100"))))))&gt;=90,"100"))))))</f>
        <v>#N/A</v>
      </c>
      <c r="U170" s="1" t="e">
        <f>IF(MATCH(H170,Inherited!A:A),IF((((_xlfn.XLOOKUP(Assessment!#REF!,Inherited!A:A,Inherited!B:B))/100)*(_xlfn.XLOOKUP(Assessment!#REF!,Inherited!A:A,Inherited!G:G)))+(((100-(_xlfn.XLOOKUP(Assessment!#REF!,Inherited!A:A,Inherited!B:B)))/100)*IF(AB170="1.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(100%)","100"))))))&lt;=10,"0", IF(AND((((_xlfn.XLOOKUP(Assessment!#REF!,Inherited!A:A,Inherited!B:B))/100)*(_xlfn.XLOOKUP(Assessment!#REF!,Inherited!A:A,Inherited!G:G)))+(((100-(_xlfn.XLOOKUP(Assessment!#REF!,Inherited!A:A,Inherited!B:B)))/100)*IF(AB170="1.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(100%)","100"))))))&gt;=11,(((_xlfn.XLOOKUP(Assessment!#REF!,Inherited!A:A,Inherited!B:B))/100)*(_xlfn.XLOOKUP(Assessment!#REF!,Inherited!A:A,Inherited!G:G)))+(((100-(_xlfn.XLOOKUP(Assessment!#REF!,Inherited!A:A,Inherited!B:B)))/100)*IF(AB170="1.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(100%)","100"))))))&lt;=32),"25",IF(AND((((_xlfn.XLOOKUP(Assessment!#REF!,Inherited!A:A,Inherited!B:B))/100)*(_xlfn.XLOOKUP(Assessment!#REF!,Inherited!A:A,Inherited!G:G)))+(((100-(_xlfn.XLOOKUP(Assessment!#REF!,Inherited!A:A,Inherited!B:B)))/100)*IF(AB170="1.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(100%)","100"))))))&gt;=33,(((_xlfn.XLOOKUP(Assessment!#REF!,Inherited!A:A,Inherited!B:B))/100)*(_xlfn.XLOOKUP(Assessment!#REF!,Inherited!A:A,Inherited!G:G)))+(((100-(_xlfn.XLOOKUP(Assessment!#REF!,Inherited!A:A,Inherited!B:B)))/100)*IF(AB170="1.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(100%)","100"))))))&lt;=65),"50",IF(AND((((_xlfn.XLOOKUP(Assessment!#REF!,Inherited!A:A,Inherited!B:B))/100)*(_xlfn.XLOOKUP(Assessment!#REF!,Inherited!A:A,Inherited!G:G)))+(((100-(_xlfn.XLOOKUP(Assessment!#REF!,Inherited!A:A,Inherited!B:B)))/100)*IF(AB170="1.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(100%)","100"))))))&gt;=66,(((_xlfn.XLOOKUP(Assessment!#REF!,Inherited!A:A,Inherited!B:B))/100)*(_xlfn.XLOOKUP(Assessment!#REF!,Inherited!A:A,Inherited!G:G)))+(((100-(_xlfn.XLOOKUP(Assessment!#REF!,Inherited!A:A,Inherited!B:B)))/100)*IF(AB170="1.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(100%)","100"))))))&lt;=89),"75",IF((((_xlfn.XLOOKUP(Assessment!#REF!,Inherited!A:A,Inherited!B:B))/100)*(_xlfn.XLOOKUP(Assessment!#REF!,Inherited!A:A,Inherited!G:G)))+(((100-(_xlfn.XLOOKUP(Assessment!#REF!,Inherited!A:A,Inherited!B:B)))/100)*IF(AB170="1. Non Compliant (0%)","0",IF(AB170="2. Somewhat Compliant (25%)","25",IF(AB170="3. Partially Compliant (50%)","50",IF(AB170="4. Mostly Compliant (75%)","75",IF(AB170="5. Fully Compliant (100%)","100"))))))&gt;=90,"100"))))))</f>
        <v>#N/A</v>
      </c>
      <c r="V170" s="55" t="s">
        <v>85</v>
      </c>
      <c r="W170" s="55"/>
      <c r="X170" s="55"/>
      <c r="Y170" s="55"/>
      <c r="Z170" s="55" t="s">
        <v>10873</v>
      </c>
      <c r="AA170" s="55"/>
      <c r="AB170" s="55"/>
      <c r="AK170" s="1" t="s">
        <v>10978</v>
      </c>
      <c r="AL170" s="1" t="s">
        <v>11010</v>
      </c>
      <c r="AP170" s="1" t="s">
        <v>11128</v>
      </c>
      <c r="AX170" s="3" t="str">
        <f>_xlfn.CONCAT("A-LIGN finished its review of this control on ",AR170, " during the scheduled fieldwork window (",Intro!$B$4,")."&amp; CHAR(10)&amp; CHAR(10))</f>
        <v xml:space="preserve">A-LIGN finished its review of this control on  during the scheduled fieldwork window (Fieldwork: xx/xx/xxxx - xx/xx/xxxx).
</v>
      </c>
      <c r="AY170" s="3" t="str">
        <f t="shared" si="320"/>
        <v/>
      </c>
      <c r="AZ170" s="3" t="str">
        <f t="shared" si="321"/>
        <v/>
      </c>
      <c r="BA170" s="3" t="str">
        <f t="shared" si="322"/>
        <v/>
      </c>
      <c r="BB170"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70" s="3" t="str">
        <f t="shared" si="324"/>
        <v/>
      </c>
      <c r="BD170"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decision-related documents include potential influences and limitations to risk analysis
- decision-related documents communicated to decision makers
</v>
      </c>
      <c r="BE170" s="3" t="str">
        <f t="shared" si="326"/>
        <v/>
      </c>
      <c r="BF170" s="3" t="str">
        <f t="shared" si="327"/>
        <v/>
      </c>
      <c r="BG170" s="3" t="str">
        <f>_xlfn.CONCAT((IF((COUNTIF('Sample Tables'!B:B,"")&gt;0)=TRUE,_xlfn.CONCAT("",""),IF((COUNTIF('Sample Tables'!B:B,"")&gt;0)=FALSE,""))),)</f>
        <v/>
      </c>
      <c r="BH170"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decision-related documents include potential influences and limitations to risk analysis
- decision-related documents communicated to decision makers
</v>
      </c>
    </row>
    <row r="171" spans="3:60" ht="258.75" customHeight="1" x14ac:dyDescent="0.35">
      <c r="C171" s="1">
        <f t="shared" si="329"/>
        <v>0</v>
      </c>
      <c r="D171" s="5" t="str">
        <f>IF(AND((_xlfn.XLOOKUP(J171,'Fields &amp; Revisions'!$H:$H,'Fields &amp; Revisions'!$I:$I))&lt;70.99,(OR(Z171="4. Mostly Compliant (75%)",Z171="3. Partially Compliant (50%)",Z171="2. Somewhat Compliant (25%)",Z171="1. Non Compliant (0%)"))),"Yes","No")</f>
        <v>Yes</v>
      </c>
      <c r="E171" s="5" t="str">
        <f>IF(ISERROR(VLOOKUP(H171,Scope!A:A,1,FALSE)),"No","Yes")</f>
        <v>Yes</v>
      </c>
      <c r="F171" s="1" t="s">
        <v>4666</v>
      </c>
      <c r="G171" s="53" t="s">
        <v>4874</v>
      </c>
      <c r="H171" s="53" t="s">
        <v>4875</v>
      </c>
      <c r="I171" s="5" t="s">
        <v>225</v>
      </c>
      <c r="J171" s="1" t="s">
        <v>4867</v>
      </c>
      <c r="K171" s="54" t="s">
        <v>4876</v>
      </c>
      <c r="L171" s="1" t="s">
        <v>4877</v>
      </c>
      <c r="M171" s="1" t="s">
        <v>4878</v>
      </c>
      <c r="N171" s="5" t="s">
        <v>98</v>
      </c>
      <c r="O171" s="1" t="str">
        <f>_xlfn.XLOOKUP(G171,SRMs!$A:$A,SRMs!$D:$D)</f>
        <v>NO INHERITANCE</v>
      </c>
      <c r="P171" s="1" t="str">
        <f>IFERROR(VLOOKUP(H171,Inherited!A:B,2,FALSE),"")</f>
        <v/>
      </c>
      <c r="Q171" s="1" t="e">
        <f>IF(MATCH(H171,Inherited!A:A),IF((((_xlfn.XLOOKUP(Assessment!H172,Inherited!A:A,Inherited!B:B))/100)*(_xlfn.XLOOKUP(Assessment!H172,Inherited!A:A,Inherited!C:C)))+(((100-(_xlfn.XLOOKUP(Assessment!H172,Inherited!A:A,Inherited!B:B)))/100)*IF(X171="1.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(100%)","100"))))))&lt;=10,"0", IF(AND((((_xlfn.XLOOKUP(Assessment!H172,Inherited!A:A,Inherited!B:B))/100)*(_xlfn.XLOOKUP(Assessment!H172,Inherited!A:A,Inherited!C:C)))+(((100-(_xlfn.XLOOKUP(Assessment!H172,Inherited!A:A,Inherited!B:B)))/100)*IF(X171="1.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(100%)","100"))))))&gt;=11,(((_xlfn.XLOOKUP(Assessment!H172,Inherited!A:A,Inherited!B:B))/100)*(_xlfn.XLOOKUP(Assessment!H172,Inherited!A:A,Inherited!C:C)))+(((100-(_xlfn.XLOOKUP(Assessment!H172,Inherited!A:A,Inherited!B:B)))/100)*IF(X171="1.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(100%)","100"))))))&lt;=32),"25",IF(AND((((_xlfn.XLOOKUP(Assessment!H172,Inherited!A:A,Inherited!B:B))/100)*(_xlfn.XLOOKUP(Assessment!H172,Inherited!A:A,Inherited!C:C)))+(((100-(_xlfn.XLOOKUP(Assessment!H172,Inherited!A:A,Inherited!B:B)))/100)*IF(X171="1.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(100%)","100"))))))&gt;=33,(((_xlfn.XLOOKUP(Assessment!H172,Inherited!A:A,Inherited!B:B))/100)*(_xlfn.XLOOKUP(Assessment!H172,Inherited!A:A,Inherited!C:C)))+(((100-(_xlfn.XLOOKUP(Assessment!H172,Inherited!A:A,Inherited!B:B)))/100)*IF(X171="1.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(100%)","100"))))))&lt;=65),"50",IF(AND((((_xlfn.XLOOKUP(Assessment!H172,Inherited!A:A,Inherited!B:B))/100)*(_xlfn.XLOOKUP(Assessment!H172,Inherited!A:A,Inherited!C:C)))+(((100-(_xlfn.XLOOKUP(Assessment!H172,Inherited!A:A,Inherited!B:B)))/100)*IF(X171="1.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(100%)","100"))))))&gt;=66,(((_xlfn.XLOOKUP(Assessment!H172,Inherited!A:A,Inherited!B:B))/100)*(_xlfn.XLOOKUP(Assessment!H172,Inherited!A:A,Inherited!C:C)))+(((100-(_xlfn.XLOOKUP(Assessment!H172,Inherited!A:A,Inherited!B:B)))/100)*IF(X171="1.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(100%)","100"))))))&lt;=89),"75",IF((((_xlfn.XLOOKUP(Assessment!H172,Inherited!A:A,Inherited!B:B))/100)*(_xlfn.XLOOKUP(Assessment!H172,Inherited!A:A,Inherited!C:C)))+(((100-(_xlfn.XLOOKUP(Assessment!H172,Inherited!A:A,Inherited!B:B)))/100)*IF(X171="1. Non Compliant (0%)","0",IF(X171="2. Somewhat Compliant (25%)","25",IF(X171="3. Partially Compliant (50%)","50",IF(X171="4. Mostly Compliant (75%)","75",IF(X171="5. Fully Compliant (100%)","100"))))))&gt;=90,"100"))))))</f>
        <v>#N/A</v>
      </c>
      <c r="R171" s="1" t="e">
        <f>IF(MATCH(H171,Inherited!A:A),IF((((_xlfn.XLOOKUP(Assessment!H172,Inherited!A:A,Inherited!B:B))/100)*(_xlfn.XLOOKUP(Assessment!H172,Inherited!A:A,Inherited!D:D)))+(((100-(_xlfn.XLOOKUP(Assessment!H172,Inherited!A:A,Inherited!B:B)))/100)*IF(Y171="1.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(100%)","100"))))))&lt;=10,"0", IF(AND((((_xlfn.XLOOKUP(Assessment!H172,Inherited!A:A,Inherited!B:B))/100)*(_xlfn.XLOOKUP(Assessment!H172,Inherited!A:A,Inherited!D:D)))+(((100-(_xlfn.XLOOKUP(Assessment!H172,Inherited!A:A,Inherited!B:B)))/100)*IF(Y171="1.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(100%)","100"))))))&gt;=11,(((_xlfn.XLOOKUP(Assessment!H172,Inherited!A:A,Inherited!B:B))/100)*(_xlfn.XLOOKUP(Assessment!H172,Inherited!A:A,Inherited!D:D)))+(((100-(_xlfn.XLOOKUP(Assessment!H172,Inherited!A:A,Inherited!B:B)))/100)*IF(Y171="1.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(100%)","100"))))))&lt;=32),"25",IF(AND((((_xlfn.XLOOKUP(Assessment!H172,Inherited!A:A,Inherited!B:B))/100)*(_xlfn.XLOOKUP(Assessment!H172,Inherited!A:A,Inherited!D:D)))+(((100-(_xlfn.XLOOKUP(Assessment!H172,Inherited!A:A,Inherited!B:B)))/100)*IF(Y171="1.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(100%)","100"))))))&gt;=33,(((_xlfn.XLOOKUP(Assessment!H172,Inherited!A:A,Inherited!B:B))/100)*(_xlfn.XLOOKUP(Assessment!H172,Inherited!A:A,Inherited!D:D)))+(((100-(_xlfn.XLOOKUP(Assessment!H172,Inherited!A:A,Inherited!B:B)))/100)*IF(Y171="1.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(100%)","100"))))))&lt;=65),"50",IF(AND((((_xlfn.XLOOKUP(Assessment!H172,Inherited!A:A,Inherited!B:B))/100)*(_xlfn.XLOOKUP(Assessment!H172,Inherited!A:A,Inherited!D:D)))+(((100-(_xlfn.XLOOKUP(Assessment!H172,Inherited!A:A,Inherited!B:B)))/100)*IF(Y171="1.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(100%)","100"))))))&gt;=66,(((_xlfn.XLOOKUP(Assessment!H172,Inherited!A:A,Inherited!B:B))/100)*(_xlfn.XLOOKUP(Assessment!H172,Inherited!A:A,Inherited!D:D)))+(((100-(_xlfn.XLOOKUP(Assessment!H172,Inherited!A:A,Inherited!B:B)))/100)*IF(Y171="1.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(100%)","100"))))))&lt;=89),"75",IF((((_xlfn.XLOOKUP(Assessment!H172,Inherited!A:A,Inherited!B:B))/100)*(_xlfn.XLOOKUP(Assessment!H172,Inherited!A:A,Inherited!D:D)))+(((100-(_xlfn.XLOOKUP(Assessment!H172,Inherited!A:A,Inherited!B:B)))/100)*IF(Y171="1. Non Compliant (0%)","0",IF(Y171="2. Somewhat Compliant (25%)","25",IF(Y171="3. Partially Compliant (50%)","50",IF(Y171="4. Mostly Compliant (75%)","75",IF(Y171="5. Fully Compliant (100%)","100"))))))&gt;=90,"100"))))))</f>
        <v>#N/A</v>
      </c>
      <c r="S171" s="1" t="e">
        <f>IF(MATCH(H171,Inherited!A:A),IF((((_xlfn.XLOOKUP(Assessment!H172,Inherited!A:A,Inherited!B:B))/100)*(_xlfn.XLOOKUP(Assessment!H172,Inherited!A:A,Inherited!E:E)))+(((100-(_xlfn.XLOOKUP(Assessment!H172,Inherited!A:A,Inherited!B:B)))/100)*IF(Z171="1.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(100%)","100"))))))&lt;=10,"0", IF(AND((((_xlfn.XLOOKUP(Assessment!H172,Inherited!A:A,Inherited!B:B))/100)*(_xlfn.XLOOKUP(Assessment!H172,Inherited!A:A,Inherited!E:E)))+(((100-(_xlfn.XLOOKUP(Assessment!H172,Inherited!A:A,Inherited!B:B)))/100)*IF(Z171="1.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(100%)","100"))))))&gt;=11,(((_xlfn.XLOOKUP(Assessment!H172,Inherited!A:A,Inherited!B:B))/100)*(_xlfn.XLOOKUP(Assessment!H172,Inherited!A:A,Inherited!E:E)))+(((100-(_xlfn.XLOOKUP(Assessment!H172,Inherited!A:A,Inherited!B:B)))/100)*IF(Z171="1.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(100%)","100"))))))&lt;=32),"25",IF(AND((((_xlfn.XLOOKUP(Assessment!H172,Inherited!A:A,Inherited!B:B))/100)*(_xlfn.XLOOKUP(Assessment!H172,Inherited!A:A,Inherited!E:E)))+(((100-(_xlfn.XLOOKUP(Assessment!H172,Inherited!A:A,Inherited!B:B)))/100)*IF(Z171="1.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(100%)","100"))))))&gt;=33,(((_xlfn.XLOOKUP(Assessment!H172,Inherited!A:A,Inherited!B:B))/100)*(_xlfn.XLOOKUP(Assessment!H172,Inherited!A:A,Inherited!E:E)))+(((100-(_xlfn.XLOOKUP(Assessment!H172,Inherited!A:A,Inherited!B:B)))/100)*IF(Z171="1.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(100%)","100"))))))&lt;=65),"50",IF(AND((((_xlfn.XLOOKUP(Assessment!H172,Inherited!A:A,Inherited!B:B))/100)*(_xlfn.XLOOKUP(Assessment!H172,Inherited!A:A,Inherited!E:E)))+(((100-(_xlfn.XLOOKUP(Assessment!H172,Inherited!A:A,Inherited!B:B)))/100)*IF(Z171="1.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(100%)","100"))))))&gt;=66,(((_xlfn.XLOOKUP(Assessment!H172,Inherited!A:A,Inherited!B:B))/100)*(_xlfn.XLOOKUP(Assessment!H172,Inherited!A:A,Inherited!E:E)))+(((100-(_xlfn.XLOOKUP(Assessment!H172,Inherited!A:A,Inherited!B:B)))/100)*IF(Z171="1.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(100%)","100"))))))&lt;=89),"75",IF((((_xlfn.XLOOKUP(Assessment!H172,Inherited!A:A,Inherited!B:B))/100)*(_xlfn.XLOOKUP(Assessment!H172,Inherited!A:A,Inherited!E:E)))+(((100-(_xlfn.XLOOKUP(Assessment!H172,Inherited!A:A,Inherited!B:B)))/100)*IF(Z171="1. Non Compliant (0%)","0",IF(Z171="2. Somewhat Compliant (25%)","25",IF(Z171="3. Partially Compliant (50%)","50",IF(Z171="4. Mostly Compliant (75%)","75",IF(Z171="5. Fully Compliant (100%)","100"))))))&gt;=90,"100"))))))</f>
        <v>#N/A</v>
      </c>
      <c r="T171" s="1" t="e">
        <f>IF(MATCH(H171,Inherited!A:A),IF((((_xlfn.XLOOKUP(Assessment!H172,Inherited!A:A,Inherited!B:B))/100)*(_xlfn.XLOOKUP(Assessment!H172,Inherited!A:A,Inherited!F:F)))+(((100-(_xlfn.XLOOKUP(Assessment!H172,Inherited!A:A,Inherited!B:B)))/100)*IF(AA171="1.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(100%)","100"))))))&lt;=10,"0", IF(AND((((_xlfn.XLOOKUP(Assessment!H172,Inherited!A:A,Inherited!B:B))/100)*(_xlfn.XLOOKUP(Assessment!H172,Inherited!A:A,Inherited!F:F)))+(((100-(_xlfn.XLOOKUP(Assessment!H172,Inherited!A:A,Inherited!B:B)))/100)*IF(AA171="1.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(100%)","100"))))))&gt;=11,(((_xlfn.XLOOKUP(Assessment!H172,Inherited!A:A,Inherited!B:B))/100)*(_xlfn.XLOOKUP(Assessment!H172,Inherited!A:A,Inherited!F:F)))+(((100-(_xlfn.XLOOKUP(Assessment!H172,Inherited!A:A,Inherited!B:B)))/100)*IF(AA171="1.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(100%)","100"))))))&lt;=32),"25",IF(AND((((_xlfn.XLOOKUP(Assessment!H172,Inherited!A:A,Inherited!B:B))/100)*(_xlfn.XLOOKUP(Assessment!H172,Inherited!A:A,Inherited!F:F)))+(((100-(_xlfn.XLOOKUP(Assessment!H172,Inherited!A:A,Inherited!B:B)))/100)*IF(AA171="1.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(100%)","100"))))))&gt;=33,(((_xlfn.XLOOKUP(Assessment!H172,Inherited!A:A,Inherited!B:B))/100)*(_xlfn.XLOOKUP(Assessment!H172,Inherited!A:A,Inherited!F:F)))+(((100-(_xlfn.XLOOKUP(Assessment!H172,Inherited!A:A,Inherited!B:B)))/100)*IF(AA171="1.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(100%)","100"))))))&lt;=65),"50",IF(AND((((_xlfn.XLOOKUP(Assessment!H172,Inherited!A:A,Inherited!B:B))/100)*(_xlfn.XLOOKUP(Assessment!H172,Inherited!A:A,Inherited!F:F)))+(((100-(_xlfn.XLOOKUP(Assessment!H172,Inherited!A:A,Inherited!B:B)))/100)*IF(AA171="1.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(100%)","100"))))))&gt;=66,(((_xlfn.XLOOKUP(Assessment!H172,Inherited!A:A,Inherited!B:B))/100)*(_xlfn.XLOOKUP(Assessment!H172,Inherited!A:A,Inherited!F:F)))+(((100-(_xlfn.XLOOKUP(Assessment!H172,Inherited!A:A,Inherited!B:B)))/100)*IF(AA171="1.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(100%)","100"))))))&lt;=89),"75",IF((((_xlfn.XLOOKUP(Assessment!H172,Inherited!A:A,Inherited!B:B))/100)*(_xlfn.XLOOKUP(Assessment!H172,Inherited!A:A,Inherited!F:F)))+(((100-(_xlfn.XLOOKUP(Assessment!H172,Inherited!A:A,Inherited!B:B)))/100)*IF(AA171="1. Non Compliant (0%)","0",IF(AA171="2. Somewhat Compliant (25%)","25",IF(AA171="3. Partially Compliant (50%)","50",IF(AA171="4. Mostly Compliant (75%)","75",IF(AA171="5. Fully Compliant (100%)","100"))))))&gt;=90,"100"))))))</f>
        <v>#N/A</v>
      </c>
      <c r="U171" s="1" t="e">
        <f>IF(MATCH(H171,Inherited!A:A),IF((((_xlfn.XLOOKUP(Assessment!H172,Inherited!A:A,Inherited!B:B))/100)*(_xlfn.XLOOKUP(Assessment!H172,Inherited!A:A,Inherited!G:G)))+(((100-(_xlfn.XLOOKUP(Assessment!H172,Inherited!A:A,Inherited!B:B)))/100)*IF(AB171="1.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(100%)","100"))))))&lt;=10,"0", IF(AND((((_xlfn.XLOOKUP(Assessment!H172,Inherited!A:A,Inherited!B:B))/100)*(_xlfn.XLOOKUP(Assessment!H172,Inherited!A:A,Inherited!G:G)))+(((100-(_xlfn.XLOOKUP(Assessment!H172,Inherited!A:A,Inherited!B:B)))/100)*IF(AB171="1.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(100%)","100"))))))&gt;=11,(((_xlfn.XLOOKUP(Assessment!H172,Inherited!A:A,Inherited!B:B))/100)*(_xlfn.XLOOKUP(Assessment!H172,Inherited!A:A,Inherited!G:G)))+(((100-(_xlfn.XLOOKUP(Assessment!H172,Inherited!A:A,Inherited!B:B)))/100)*IF(AB171="1.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(100%)","100"))))))&lt;=32),"25",IF(AND((((_xlfn.XLOOKUP(Assessment!H172,Inherited!A:A,Inherited!B:B))/100)*(_xlfn.XLOOKUP(Assessment!H172,Inherited!A:A,Inherited!G:G)))+(((100-(_xlfn.XLOOKUP(Assessment!H172,Inherited!A:A,Inherited!B:B)))/100)*IF(AB171="1.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(100%)","100"))))))&gt;=33,(((_xlfn.XLOOKUP(Assessment!H172,Inherited!A:A,Inherited!B:B))/100)*(_xlfn.XLOOKUP(Assessment!H172,Inherited!A:A,Inherited!G:G)))+(((100-(_xlfn.XLOOKUP(Assessment!H172,Inherited!A:A,Inherited!B:B)))/100)*IF(AB171="1.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(100%)","100"))))))&lt;=65),"50",IF(AND((((_xlfn.XLOOKUP(Assessment!H172,Inherited!A:A,Inherited!B:B))/100)*(_xlfn.XLOOKUP(Assessment!H172,Inherited!A:A,Inherited!G:G)))+(((100-(_xlfn.XLOOKUP(Assessment!H172,Inherited!A:A,Inherited!B:B)))/100)*IF(AB171="1.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(100%)","100"))))))&gt;=66,(((_xlfn.XLOOKUP(Assessment!H172,Inherited!A:A,Inherited!B:B))/100)*(_xlfn.XLOOKUP(Assessment!H172,Inherited!A:A,Inherited!G:G)))+(((100-(_xlfn.XLOOKUP(Assessment!H172,Inherited!A:A,Inherited!B:B)))/100)*IF(AB171="1.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(100%)","100"))))))&lt;=89),"75",IF((((_xlfn.XLOOKUP(Assessment!H172,Inherited!A:A,Inherited!B:B))/100)*(_xlfn.XLOOKUP(Assessment!H172,Inherited!A:A,Inherited!G:G)))+(((100-(_xlfn.XLOOKUP(Assessment!H172,Inherited!A:A,Inherited!B:B)))/100)*IF(AB171="1. Non Compliant (0%)","0",IF(AB171="2. Somewhat Compliant (25%)","25",IF(AB171="3. Partially Compliant (50%)","50",IF(AB171="4. Mostly Compliant (75%)","75",IF(AB171="5. Fully Compliant (100%)","100"))))))&gt;=90,"100"))))))</f>
        <v>#N/A</v>
      </c>
      <c r="V171" s="55" t="s">
        <v>85</v>
      </c>
      <c r="W171" s="55"/>
      <c r="X171" s="55"/>
      <c r="Y171" s="55"/>
      <c r="Z171" s="55" t="s">
        <v>10873</v>
      </c>
      <c r="AA171" s="55"/>
      <c r="AB171" s="55"/>
      <c r="AK171" s="1" t="s">
        <v>10978</v>
      </c>
      <c r="AL171" s="1" t="s">
        <v>11010</v>
      </c>
      <c r="AP171" s="1" t="s">
        <v>11129</v>
      </c>
      <c r="AX171" s="3" t="str">
        <f>_xlfn.CONCAT("A-LIGN finished its review of this control on ",AR171, " during the scheduled fieldwork window (",Intro!$B$4,")."&amp; CHAR(10)&amp; CHAR(10))</f>
        <v xml:space="preserve">A-LIGN finished its review of this control on  during the scheduled fieldwork window (Fieldwork: xx/xx/xxxx - xx/xx/xxxx).
</v>
      </c>
      <c r="AY171" s="3" t="str">
        <f t="shared" si="320"/>
        <v/>
      </c>
      <c r="AZ171" s="3" t="str">
        <f t="shared" si="321"/>
        <v/>
      </c>
      <c r="BA171" s="3" t="str">
        <f t="shared" si="322"/>
        <v/>
      </c>
      <c r="BB171"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71" s="3" t="str">
        <f t="shared" si="324"/>
        <v/>
      </c>
      <c r="BD171"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key controls relevant to its development and/or use of AI systems
</v>
      </c>
      <c r="BE171" s="3" t="str">
        <f t="shared" si="326"/>
        <v/>
      </c>
      <c r="BF171" s="3" t="str">
        <f t="shared" si="327"/>
        <v/>
      </c>
      <c r="BG171" s="3" t="str">
        <f>_xlfn.CONCAT((IF((COUNTIF('Sample Tables'!B:B,"")&gt;0)=TRUE,_xlfn.CONCAT("",""),IF((COUNTIF('Sample Tables'!B:B,"")&gt;0)=FALSE,""))),)</f>
        <v/>
      </c>
      <c r="BH171"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key controls relevant to its development and/or use of AI systems
</v>
      </c>
    </row>
    <row r="172" spans="3:60" ht="237" customHeight="1" x14ac:dyDescent="0.35">
      <c r="C172" s="1">
        <f t="shared" si="329"/>
        <v>0</v>
      </c>
      <c r="D172" s="5" t="str">
        <f>IF(AND((_xlfn.XLOOKUP(J172,'Fields &amp; Revisions'!$H:$H,'Fields &amp; Revisions'!$I:$I))&lt;70.99,(OR(Z172="4. Mostly Compliant (75%)",Z172="3. Partially Compliant (50%)",Z172="2. Somewhat Compliant (25%)",Z172="1. Non Compliant (0%)"))),"Yes","No")</f>
        <v>Yes</v>
      </c>
      <c r="E172" s="5" t="str">
        <f>IF(ISERROR(VLOOKUP(H172,Scope!A:A,1,FALSE)),"No","Yes")</f>
        <v>Yes</v>
      </c>
      <c r="F172" s="1" t="s">
        <v>4666</v>
      </c>
      <c r="G172" s="53" t="s">
        <v>4879</v>
      </c>
      <c r="H172" s="53" t="s">
        <v>4880</v>
      </c>
      <c r="I172" s="5" t="s">
        <v>225</v>
      </c>
      <c r="J172" s="1" t="s">
        <v>4867</v>
      </c>
      <c r="K172" s="54" t="s">
        <v>4881</v>
      </c>
      <c r="L172" s="1" t="s">
        <v>4882</v>
      </c>
      <c r="M172" s="1" t="s">
        <v>4883</v>
      </c>
      <c r="N172" s="5" t="s">
        <v>98</v>
      </c>
      <c r="O172" s="1" t="str">
        <f>_xlfn.XLOOKUP(G172,SRMs!$A:$A,SRMs!$D:$D)</f>
        <v>NO INHERITANCE</v>
      </c>
      <c r="P172" s="1" t="str">
        <f>IFERROR(VLOOKUP(H172,Inherited!A:B,2,FALSE),"")</f>
        <v/>
      </c>
      <c r="Q172" s="1" t="e">
        <f>IF(MATCH(H172,Inherited!A:A),IF((((_xlfn.XLOOKUP(Assessment!H173,Inherited!A:A,Inherited!B:B))/100)*(_xlfn.XLOOKUP(Assessment!H173,Inherited!A:A,Inherited!C:C)))+(((100-(_xlfn.XLOOKUP(Assessment!H173,Inherited!A:A,Inherited!B:B)))/100)*IF(X172="1.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(100%)","100"))))))&lt;=10,"0", IF(AND((((_xlfn.XLOOKUP(Assessment!H173,Inherited!A:A,Inherited!B:B))/100)*(_xlfn.XLOOKUP(Assessment!H173,Inherited!A:A,Inherited!C:C)))+(((100-(_xlfn.XLOOKUP(Assessment!H173,Inherited!A:A,Inherited!B:B)))/100)*IF(X172="1.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(100%)","100"))))))&gt;=11,(((_xlfn.XLOOKUP(Assessment!H173,Inherited!A:A,Inherited!B:B))/100)*(_xlfn.XLOOKUP(Assessment!H173,Inherited!A:A,Inherited!C:C)))+(((100-(_xlfn.XLOOKUP(Assessment!H173,Inherited!A:A,Inherited!B:B)))/100)*IF(X172="1.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(100%)","100"))))))&lt;=32),"25",IF(AND((((_xlfn.XLOOKUP(Assessment!H173,Inherited!A:A,Inherited!B:B))/100)*(_xlfn.XLOOKUP(Assessment!H173,Inherited!A:A,Inherited!C:C)))+(((100-(_xlfn.XLOOKUP(Assessment!H173,Inherited!A:A,Inherited!B:B)))/100)*IF(X172="1.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(100%)","100"))))))&gt;=33,(((_xlfn.XLOOKUP(Assessment!H173,Inherited!A:A,Inherited!B:B))/100)*(_xlfn.XLOOKUP(Assessment!H173,Inherited!A:A,Inherited!C:C)))+(((100-(_xlfn.XLOOKUP(Assessment!H173,Inherited!A:A,Inherited!B:B)))/100)*IF(X172="1.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(100%)","100"))))))&lt;=65),"50",IF(AND((((_xlfn.XLOOKUP(Assessment!H173,Inherited!A:A,Inherited!B:B))/100)*(_xlfn.XLOOKUP(Assessment!H173,Inherited!A:A,Inherited!C:C)))+(((100-(_xlfn.XLOOKUP(Assessment!H173,Inherited!A:A,Inherited!B:B)))/100)*IF(X172="1.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(100%)","100"))))))&gt;=66,(((_xlfn.XLOOKUP(Assessment!H173,Inherited!A:A,Inherited!B:B))/100)*(_xlfn.XLOOKUP(Assessment!H173,Inherited!A:A,Inherited!C:C)))+(((100-(_xlfn.XLOOKUP(Assessment!H173,Inherited!A:A,Inherited!B:B)))/100)*IF(X172="1.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(100%)","100"))))))&lt;=89),"75",IF((((_xlfn.XLOOKUP(Assessment!H173,Inherited!A:A,Inherited!B:B))/100)*(_xlfn.XLOOKUP(Assessment!H173,Inherited!A:A,Inherited!C:C)))+(((100-(_xlfn.XLOOKUP(Assessment!H173,Inherited!A:A,Inherited!B:B)))/100)*IF(X172="1. Non Compliant (0%)","0",IF(X172="2. Somewhat Compliant (25%)","25",IF(X172="3. Partially Compliant (50%)","50",IF(X172="4. Mostly Compliant (75%)","75",IF(X172="5. Fully Compliant (100%)","100"))))))&gt;=90,"100"))))))</f>
        <v>#N/A</v>
      </c>
      <c r="R172" s="1" t="e">
        <f>IF(MATCH(H172,Inherited!A:A),IF((((_xlfn.XLOOKUP(Assessment!H173,Inherited!A:A,Inherited!B:B))/100)*(_xlfn.XLOOKUP(Assessment!H173,Inherited!A:A,Inherited!D:D)))+(((100-(_xlfn.XLOOKUP(Assessment!H173,Inherited!A:A,Inherited!B:B)))/100)*IF(Y172="1.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(100%)","100"))))))&lt;=10,"0", IF(AND((((_xlfn.XLOOKUP(Assessment!H173,Inherited!A:A,Inherited!B:B))/100)*(_xlfn.XLOOKUP(Assessment!H173,Inherited!A:A,Inherited!D:D)))+(((100-(_xlfn.XLOOKUP(Assessment!H173,Inherited!A:A,Inherited!B:B)))/100)*IF(Y172="1.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(100%)","100"))))))&gt;=11,(((_xlfn.XLOOKUP(Assessment!H173,Inherited!A:A,Inherited!B:B))/100)*(_xlfn.XLOOKUP(Assessment!H173,Inherited!A:A,Inherited!D:D)))+(((100-(_xlfn.XLOOKUP(Assessment!H173,Inherited!A:A,Inherited!B:B)))/100)*IF(Y172="1.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(100%)","100"))))))&lt;=32),"25",IF(AND((((_xlfn.XLOOKUP(Assessment!H173,Inherited!A:A,Inherited!B:B))/100)*(_xlfn.XLOOKUP(Assessment!H173,Inherited!A:A,Inherited!D:D)))+(((100-(_xlfn.XLOOKUP(Assessment!H173,Inherited!A:A,Inherited!B:B)))/100)*IF(Y172="1.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(100%)","100"))))))&gt;=33,(((_xlfn.XLOOKUP(Assessment!H173,Inherited!A:A,Inherited!B:B))/100)*(_xlfn.XLOOKUP(Assessment!H173,Inherited!A:A,Inherited!D:D)))+(((100-(_xlfn.XLOOKUP(Assessment!H173,Inherited!A:A,Inherited!B:B)))/100)*IF(Y172="1.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(100%)","100"))))))&lt;=65),"50",IF(AND((((_xlfn.XLOOKUP(Assessment!H173,Inherited!A:A,Inherited!B:B))/100)*(_xlfn.XLOOKUP(Assessment!H173,Inherited!A:A,Inherited!D:D)))+(((100-(_xlfn.XLOOKUP(Assessment!H173,Inherited!A:A,Inherited!B:B)))/100)*IF(Y172="1.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(100%)","100"))))))&gt;=66,(((_xlfn.XLOOKUP(Assessment!H173,Inherited!A:A,Inherited!B:B))/100)*(_xlfn.XLOOKUP(Assessment!H173,Inherited!A:A,Inherited!D:D)))+(((100-(_xlfn.XLOOKUP(Assessment!H173,Inherited!A:A,Inherited!B:B)))/100)*IF(Y172="1.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(100%)","100"))))))&lt;=89),"75",IF((((_xlfn.XLOOKUP(Assessment!H173,Inherited!A:A,Inherited!B:B))/100)*(_xlfn.XLOOKUP(Assessment!H173,Inherited!A:A,Inherited!D:D)))+(((100-(_xlfn.XLOOKUP(Assessment!H173,Inherited!A:A,Inherited!B:B)))/100)*IF(Y172="1. Non Compliant (0%)","0",IF(Y172="2. Somewhat Compliant (25%)","25",IF(Y172="3. Partially Compliant (50%)","50",IF(Y172="4. Mostly Compliant (75%)","75",IF(Y172="5. Fully Compliant (100%)","100"))))))&gt;=90,"100"))))))</f>
        <v>#N/A</v>
      </c>
      <c r="S172" s="1" t="e">
        <f>IF(MATCH(H172,Inherited!A:A),IF((((_xlfn.XLOOKUP(Assessment!H173,Inherited!A:A,Inherited!B:B))/100)*(_xlfn.XLOOKUP(Assessment!H173,Inherited!A:A,Inherited!E:E)))+(((100-(_xlfn.XLOOKUP(Assessment!H173,Inherited!A:A,Inherited!B:B)))/100)*IF(Z172="1.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(100%)","100"))))))&lt;=10,"0", IF(AND((((_xlfn.XLOOKUP(Assessment!H173,Inherited!A:A,Inherited!B:B))/100)*(_xlfn.XLOOKUP(Assessment!H173,Inherited!A:A,Inherited!E:E)))+(((100-(_xlfn.XLOOKUP(Assessment!H173,Inherited!A:A,Inherited!B:B)))/100)*IF(Z172="1.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(100%)","100"))))))&gt;=11,(((_xlfn.XLOOKUP(Assessment!H173,Inherited!A:A,Inherited!B:B))/100)*(_xlfn.XLOOKUP(Assessment!H173,Inherited!A:A,Inherited!E:E)))+(((100-(_xlfn.XLOOKUP(Assessment!H173,Inherited!A:A,Inherited!B:B)))/100)*IF(Z172="1.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(100%)","100"))))))&lt;=32),"25",IF(AND((((_xlfn.XLOOKUP(Assessment!H173,Inherited!A:A,Inherited!B:B))/100)*(_xlfn.XLOOKUP(Assessment!H173,Inherited!A:A,Inherited!E:E)))+(((100-(_xlfn.XLOOKUP(Assessment!H173,Inherited!A:A,Inherited!B:B)))/100)*IF(Z172="1.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(100%)","100"))))))&gt;=33,(((_xlfn.XLOOKUP(Assessment!H173,Inherited!A:A,Inherited!B:B))/100)*(_xlfn.XLOOKUP(Assessment!H173,Inherited!A:A,Inherited!E:E)))+(((100-(_xlfn.XLOOKUP(Assessment!H173,Inherited!A:A,Inherited!B:B)))/100)*IF(Z172="1.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(100%)","100"))))))&lt;=65),"50",IF(AND((((_xlfn.XLOOKUP(Assessment!H173,Inherited!A:A,Inherited!B:B))/100)*(_xlfn.XLOOKUP(Assessment!H173,Inherited!A:A,Inherited!E:E)))+(((100-(_xlfn.XLOOKUP(Assessment!H173,Inherited!A:A,Inherited!B:B)))/100)*IF(Z172="1.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(100%)","100"))))))&gt;=66,(((_xlfn.XLOOKUP(Assessment!H173,Inherited!A:A,Inherited!B:B))/100)*(_xlfn.XLOOKUP(Assessment!H173,Inherited!A:A,Inherited!E:E)))+(((100-(_xlfn.XLOOKUP(Assessment!H173,Inherited!A:A,Inherited!B:B)))/100)*IF(Z172="1.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(100%)","100"))))))&lt;=89),"75",IF((((_xlfn.XLOOKUP(Assessment!H173,Inherited!A:A,Inherited!B:B))/100)*(_xlfn.XLOOKUP(Assessment!H173,Inherited!A:A,Inherited!E:E)))+(((100-(_xlfn.XLOOKUP(Assessment!H173,Inherited!A:A,Inherited!B:B)))/100)*IF(Z172="1. Non Compliant (0%)","0",IF(Z172="2. Somewhat Compliant (25%)","25",IF(Z172="3. Partially Compliant (50%)","50",IF(Z172="4. Mostly Compliant (75%)","75",IF(Z172="5. Fully Compliant (100%)","100"))))))&gt;=90,"100"))))))</f>
        <v>#N/A</v>
      </c>
      <c r="T172" s="1" t="e">
        <f>IF(MATCH(H172,Inherited!A:A),IF((((_xlfn.XLOOKUP(Assessment!H173,Inherited!A:A,Inherited!B:B))/100)*(_xlfn.XLOOKUP(Assessment!H173,Inherited!A:A,Inherited!F:F)))+(((100-(_xlfn.XLOOKUP(Assessment!H173,Inherited!A:A,Inherited!B:B)))/100)*IF(AA172="1.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(100%)","100"))))))&lt;=10,"0", IF(AND((((_xlfn.XLOOKUP(Assessment!H173,Inherited!A:A,Inherited!B:B))/100)*(_xlfn.XLOOKUP(Assessment!H173,Inherited!A:A,Inherited!F:F)))+(((100-(_xlfn.XLOOKUP(Assessment!H173,Inherited!A:A,Inherited!B:B)))/100)*IF(AA172="1.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(100%)","100"))))))&gt;=11,(((_xlfn.XLOOKUP(Assessment!H173,Inherited!A:A,Inherited!B:B))/100)*(_xlfn.XLOOKUP(Assessment!H173,Inherited!A:A,Inherited!F:F)))+(((100-(_xlfn.XLOOKUP(Assessment!H173,Inherited!A:A,Inherited!B:B)))/100)*IF(AA172="1.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(100%)","100"))))))&lt;=32),"25",IF(AND((((_xlfn.XLOOKUP(Assessment!H173,Inherited!A:A,Inherited!B:B))/100)*(_xlfn.XLOOKUP(Assessment!H173,Inherited!A:A,Inherited!F:F)))+(((100-(_xlfn.XLOOKUP(Assessment!H173,Inherited!A:A,Inherited!B:B)))/100)*IF(AA172="1.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(100%)","100"))))))&gt;=33,(((_xlfn.XLOOKUP(Assessment!H173,Inherited!A:A,Inherited!B:B))/100)*(_xlfn.XLOOKUP(Assessment!H173,Inherited!A:A,Inherited!F:F)))+(((100-(_xlfn.XLOOKUP(Assessment!H173,Inherited!A:A,Inherited!B:B)))/100)*IF(AA172="1.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(100%)","100"))))))&lt;=65),"50",IF(AND((((_xlfn.XLOOKUP(Assessment!H173,Inherited!A:A,Inherited!B:B))/100)*(_xlfn.XLOOKUP(Assessment!H173,Inherited!A:A,Inherited!F:F)))+(((100-(_xlfn.XLOOKUP(Assessment!H173,Inherited!A:A,Inherited!B:B)))/100)*IF(AA172="1.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(100%)","100"))))))&gt;=66,(((_xlfn.XLOOKUP(Assessment!H173,Inherited!A:A,Inherited!B:B))/100)*(_xlfn.XLOOKUP(Assessment!H173,Inherited!A:A,Inherited!F:F)))+(((100-(_xlfn.XLOOKUP(Assessment!H173,Inherited!A:A,Inherited!B:B)))/100)*IF(AA172="1.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(100%)","100"))))))&lt;=89),"75",IF((((_xlfn.XLOOKUP(Assessment!H173,Inherited!A:A,Inherited!B:B))/100)*(_xlfn.XLOOKUP(Assessment!H173,Inherited!A:A,Inherited!F:F)))+(((100-(_xlfn.XLOOKUP(Assessment!H173,Inherited!A:A,Inherited!B:B)))/100)*IF(AA172="1. Non Compliant (0%)","0",IF(AA172="2. Somewhat Compliant (25%)","25",IF(AA172="3. Partially Compliant (50%)","50",IF(AA172="4. Mostly Compliant (75%)","75",IF(AA172="5. Fully Compliant (100%)","100"))))))&gt;=90,"100"))))))</f>
        <v>#N/A</v>
      </c>
      <c r="U172" s="1" t="e">
        <f>IF(MATCH(H172,Inherited!A:A),IF((((_xlfn.XLOOKUP(Assessment!H173,Inherited!A:A,Inherited!B:B))/100)*(_xlfn.XLOOKUP(Assessment!H173,Inherited!A:A,Inherited!G:G)))+(((100-(_xlfn.XLOOKUP(Assessment!H173,Inherited!A:A,Inherited!B:B)))/100)*IF(AB172="1.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(100%)","100"))))))&lt;=10,"0", IF(AND((((_xlfn.XLOOKUP(Assessment!H173,Inherited!A:A,Inherited!B:B))/100)*(_xlfn.XLOOKUP(Assessment!H173,Inherited!A:A,Inherited!G:G)))+(((100-(_xlfn.XLOOKUP(Assessment!H173,Inherited!A:A,Inherited!B:B)))/100)*IF(AB172="1.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(100%)","100"))))))&gt;=11,(((_xlfn.XLOOKUP(Assessment!H173,Inherited!A:A,Inherited!B:B))/100)*(_xlfn.XLOOKUP(Assessment!H173,Inherited!A:A,Inherited!G:G)))+(((100-(_xlfn.XLOOKUP(Assessment!H173,Inherited!A:A,Inherited!B:B)))/100)*IF(AB172="1.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(100%)","100"))))))&lt;=32),"25",IF(AND((((_xlfn.XLOOKUP(Assessment!H173,Inherited!A:A,Inherited!B:B))/100)*(_xlfn.XLOOKUP(Assessment!H173,Inherited!A:A,Inherited!G:G)))+(((100-(_xlfn.XLOOKUP(Assessment!H173,Inherited!A:A,Inherited!B:B)))/100)*IF(AB172="1.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(100%)","100"))))))&gt;=33,(((_xlfn.XLOOKUP(Assessment!H173,Inherited!A:A,Inherited!B:B))/100)*(_xlfn.XLOOKUP(Assessment!H173,Inherited!A:A,Inherited!G:G)))+(((100-(_xlfn.XLOOKUP(Assessment!H173,Inherited!A:A,Inherited!B:B)))/100)*IF(AB172="1.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(100%)","100"))))))&lt;=65),"50",IF(AND((((_xlfn.XLOOKUP(Assessment!H173,Inherited!A:A,Inherited!B:B))/100)*(_xlfn.XLOOKUP(Assessment!H173,Inherited!A:A,Inherited!G:G)))+(((100-(_xlfn.XLOOKUP(Assessment!H173,Inherited!A:A,Inherited!B:B)))/100)*IF(AB172="1.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(100%)","100"))))))&gt;=66,(((_xlfn.XLOOKUP(Assessment!H173,Inherited!A:A,Inherited!B:B))/100)*(_xlfn.XLOOKUP(Assessment!H173,Inherited!A:A,Inherited!G:G)))+(((100-(_xlfn.XLOOKUP(Assessment!H173,Inherited!A:A,Inherited!B:B)))/100)*IF(AB172="1.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(100%)","100"))))))&lt;=89),"75",IF((((_xlfn.XLOOKUP(Assessment!H173,Inherited!A:A,Inherited!B:B))/100)*(_xlfn.XLOOKUP(Assessment!H173,Inherited!A:A,Inherited!G:G)))+(((100-(_xlfn.XLOOKUP(Assessment!H173,Inherited!A:A,Inherited!B:B)))/100)*IF(AB172="1. Non Compliant (0%)","0",IF(AB172="2. Somewhat Compliant (25%)","25",IF(AB172="3. Partially Compliant (50%)","50",IF(AB172="4. Mostly Compliant (75%)","75",IF(AB172="5. Fully Compliant (100%)","100"))))))&gt;=90,"100"))))))</f>
        <v>#N/A</v>
      </c>
      <c r="V172" s="55" t="s">
        <v>85</v>
      </c>
      <c r="W172" s="55"/>
      <c r="X172" s="55"/>
      <c r="Y172" s="55"/>
      <c r="Z172" s="55" t="s">
        <v>10873</v>
      </c>
      <c r="AA172" s="55"/>
      <c r="AB172" s="55"/>
      <c r="AK172" s="1" t="s">
        <v>10978</v>
      </c>
      <c r="AL172" s="1" t="s">
        <v>11010</v>
      </c>
      <c r="AP172" s="1" t="s">
        <v>11130</v>
      </c>
      <c r="AX172" s="3" t="str">
        <f>_xlfn.CONCAT("A-LIGN finished its review of this control on ",AR172, " during the scheduled fieldwork window (",Intro!$B$4,")."&amp; CHAR(10)&amp; CHAR(10))</f>
        <v xml:space="preserve">A-LIGN finished its review of this control on  during the scheduled fieldwork window (Fieldwork: xx/xx/xxxx - xx/xx/xxxx).
</v>
      </c>
      <c r="AY172" s="3" t="str">
        <f t="shared" si="320"/>
        <v/>
      </c>
      <c r="AZ172" s="3" t="str">
        <f t="shared" si="321"/>
        <v/>
      </c>
      <c r="BA172" s="3" t="str">
        <f t="shared" si="322"/>
        <v/>
      </c>
      <c r="BB172"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72" s="3" t="str">
        <f t="shared" si="324"/>
        <v/>
      </c>
      <c r="BD172"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and understands potential AI risks
- assesses and mitigates potential AI risks
</v>
      </c>
      <c r="BE172" s="3" t="str">
        <f t="shared" si="326"/>
        <v/>
      </c>
      <c r="BF172" s="3" t="str">
        <f t="shared" si="327"/>
        <v/>
      </c>
      <c r="BG172" s="3" t="str">
        <f>_xlfn.CONCAT((IF((COUNTIF('Sample Tables'!B:B,"")&gt;0)=TRUE,_xlfn.CONCAT("",""),IF((COUNTIF('Sample Tables'!B:B,"")&gt;0)=FALSE,""))),)</f>
        <v/>
      </c>
      <c r="BH172"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identifies and understands potential AI risks
- assesses and mitigates potential AI risks
</v>
      </c>
    </row>
    <row r="173" spans="3:60" ht="387.5" x14ac:dyDescent="0.35">
      <c r="C173" s="1">
        <f t="shared" si="329"/>
        <v>0</v>
      </c>
      <c r="D173" s="5" t="str">
        <f>IF(AND((_xlfn.XLOOKUP(J173,'Fields &amp; Revisions'!$H:$H,'Fields &amp; Revisions'!$I:$I))&lt;70.99,(OR(Z173="4. Mostly Compliant (75%)",Z173="3. Partially Compliant (50%)",Z173="2. Somewhat Compliant (25%)",Z173="1. Non Compliant (0%)"))),"Yes","No")</f>
        <v>No</v>
      </c>
      <c r="E173" s="5" t="str">
        <f>IF(ISERROR(VLOOKUP(H173,Scope!A:A,1,FALSE)),"No","Yes")</f>
        <v>Yes</v>
      </c>
      <c r="F173" s="1" t="s">
        <v>4666</v>
      </c>
      <c r="G173" s="53" t="s">
        <v>4884</v>
      </c>
      <c r="H173" s="53" t="s">
        <v>4885</v>
      </c>
      <c r="I173" s="5" t="s">
        <v>242</v>
      </c>
      <c r="J173" s="1" t="s">
        <v>4867</v>
      </c>
      <c r="K173" s="54" t="s">
        <v>4886</v>
      </c>
      <c r="L173" s="1" t="s">
        <v>4887</v>
      </c>
      <c r="M173" s="1" t="s">
        <v>4888</v>
      </c>
      <c r="N173" s="5" t="s">
        <v>85</v>
      </c>
      <c r="O173" s="1" t="str">
        <f>_xlfn.XLOOKUP(G173,SRMs!$A:$A,SRMs!$D:$D)</f>
        <v>NO INHERITANCE</v>
      </c>
      <c r="P173" s="1" t="str">
        <f>IFERROR(VLOOKUP(H173,Inherited!A:B,2,FALSE),"")</f>
        <v/>
      </c>
      <c r="Q173" s="1" t="e">
        <f>IF(MATCH(H173,Inherited!A:A),IF((((_xlfn.XLOOKUP(Assessment!#REF!,Inherited!A:A,Inherited!B:B))/100)*(_xlfn.XLOOKUP(Assessment!#REF!,Inherited!A:A,Inherited!C:C)))+(((100-(_xlfn.XLOOKUP(Assessment!#REF!,Inherited!A:A,Inherited!B:B)))/100)*IF(X173="1.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(100%)","100"))))))&lt;=10,"0", IF(AND((((_xlfn.XLOOKUP(Assessment!#REF!,Inherited!A:A,Inherited!B:B))/100)*(_xlfn.XLOOKUP(Assessment!#REF!,Inherited!A:A,Inherited!C:C)))+(((100-(_xlfn.XLOOKUP(Assessment!#REF!,Inherited!A:A,Inherited!B:B)))/100)*IF(X173="1.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(100%)","100"))))))&gt;=11,(((_xlfn.XLOOKUP(Assessment!#REF!,Inherited!A:A,Inherited!B:B))/100)*(_xlfn.XLOOKUP(Assessment!#REF!,Inherited!A:A,Inherited!C:C)))+(((100-(_xlfn.XLOOKUP(Assessment!#REF!,Inherited!A:A,Inherited!B:B)))/100)*IF(X173="1.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(100%)","100"))))))&lt;=32),"25",IF(AND((((_xlfn.XLOOKUP(Assessment!#REF!,Inherited!A:A,Inherited!B:B))/100)*(_xlfn.XLOOKUP(Assessment!#REF!,Inherited!A:A,Inherited!C:C)))+(((100-(_xlfn.XLOOKUP(Assessment!#REF!,Inherited!A:A,Inherited!B:B)))/100)*IF(X173="1.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(100%)","100"))))))&gt;=33,(((_xlfn.XLOOKUP(Assessment!#REF!,Inherited!A:A,Inherited!B:B))/100)*(_xlfn.XLOOKUP(Assessment!#REF!,Inherited!A:A,Inherited!C:C)))+(((100-(_xlfn.XLOOKUP(Assessment!#REF!,Inherited!A:A,Inherited!B:B)))/100)*IF(X173="1.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(100%)","100"))))))&lt;=65),"50",IF(AND((((_xlfn.XLOOKUP(Assessment!#REF!,Inherited!A:A,Inherited!B:B))/100)*(_xlfn.XLOOKUP(Assessment!#REF!,Inherited!A:A,Inherited!C:C)))+(((100-(_xlfn.XLOOKUP(Assessment!#REF!,Inherited!A:A,Inherited!B:B)))/100)*IF(X173="1.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(100%)","100"))))))&gt;=66,(((_xlfn.XLOOKUP(Assessment!#REF!,Inherited!A:A,Inherited!B:B))/100)*(_xlfn.XLOOKUP(Assessment!#REF!,Inherited!A:A,Inherited!C:C)))+(((100-(_xlfn.XLOOKUP(Assessment!#REF!,Inherited!A:A,Inherited!B:B)))/100)*IF(X173="1.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(100%)","100"))))))&lt;=89),"75",IF((((_xlfn.XLOOKUP(Assessment!#REF!,Inherited!A:A,Inherited!B:B))/100)*(_xlfn.XLOOKUP(Assessment!#REF!,Inherited!A:A,Inherited!C:C)))+(((100-(_xlfn.XLOOKUP(Assessment!#REF!,Inherited!A:A,Inherited!B:B)))/100)*IF(X173="1. Non Compliant (0%)","0",IF(X173="2. Somewhat Compliant (25%)","25",IF(X173="3. Partially Compliant (50%)","50",IF(X173="4. Mostly Compliant (75%)","75",IF(X173="5. Fully Compliant (100%)","100"))))))&gt;=90,"100"))))))</f>
        <v>#N/A</v>
      </c>
      <c r="R173" s="1" t="e">
        <f>IF(MATCH(H173,Inherited!A:A),IF((((_xlfn.XLOOKUP(Assessment!#REF!,Inherited!A:A,Inherited!B:B))/100)*(_xlfn.XLOOKUP(Assessment!#REF!,Inherited!A:A,Inherited!D:D)))+(((100-(_xlfn.XLOOKUP(Assessment!#REF!,Inherited!A:A,Inherited!B:B)))/100)*IF(Y173="1.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(100%)","100"))))))&lt;=10,"0", IF(AND((((_xlfn.XLOOKUP(Assessment!#REF!,Inherited!A:A,Inherited!B:B))/100)*(_xlfn.XLOOKUP(Assessment!#REF!,Inherited!A:A,Inherited!D:D)))+(((100-(_xlfn.XLOOKUP(Assessment!#REF!,Inherited!A:A,Inherited!B:B)))/100)*IF(Y173="1.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(100%)","100"))))))&gt;=11,(((_xlfn.XLOOKUP(Assessment!#REF!,Inherited!A:A,Inherited!B:B))/100)*(_xlfn.XLOOKUP(Assessment!#REF!,Inherited!A:A,Inherited!D:D)))+(((100-(_xlfn.XLOOKUP(Assessment!#REF!,Inherited!A:A,Inherited!B:B)))/100)*IF(Y173="1.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(100%)","100"))))))&lt;=32),"25",IF(AND((((_xlfn.XLOOKUP(Assessment!#REF!,Inherited!A:A,Inherited!B:B))/100)*(_xlfn.XLOOKUP(Assessment!#REF!,Inherited!A:A,Inherited!D:D)))+(((100-(_xlfn.XLOOKUP(Assessment!#REF!,Inherited!A:A,Inherited!B:B)))/100)*IF(Y173="1.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(100%)","100"))))))&gt;=33,(((_xlfn.XLOOKUP(Assessment!#REF!,Inherited!A:A,Inherited!B:B))/100)*(_xlfn.XLOOKUP(Assessment!#REF!,Inherited!A:A,Inherited!D:D)))+(((100-(_xlfn.XLOOKUP(Assessment!#REF!,Inherited!A:A,Inherited!B:B)))/100)*IF(Y173="1.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(100%)","100"))))))&lt;=65),"50",IF(AND((((_xlfn.XLOOKUP(Assessment!#REF!,Inherited!A:A,Inherited!B:B))/100)*(_xlfn.XLOOKUP(Assessment!#REF!,Inherited!A:A,Inherited!D:D)))+(((100-(_xlfn.XLOOKUP(Assessment!#REF!,Inherited!A:A,Inherited!B:B)))/100)*IF(Y173="1.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(100%)","100"))))))&gt;=66,(((_xlfn.XLOOKUP(Assessment!#REF!,Inherited!A:A,Inherited!B:B))/100)*(_xlfn.XLOOKUP(Assessment!#REF!,Inherited!A:A,Inherited!D:D)))+(((100-(_xlfn.XLOOKUP(Assessment!#REF!,Inherited!A:A,Inherited!B:B)))/100)*IF(Y173="1.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(100%)","100"))))))&lt;=89),"75",IF((((_xlfn.XLOOKUP(Assessment!#REF!,Inherited!A:A,Inherited!B:B))/100)*(_xlfn.XLOOKUP(Assessment!#REF!,Inherited!A:A,Inherited!D:D)))+(((100-(_xlfn.XLOOKUP(Assessment!#REF!,Inherited!A:A,Inherited!B:B)))/100)*IF(Y173="1. Non Compliant (0%)","0",IF(Y173="2. Somewhat Compliant (25%)","25",IF(Y173="3. Partially Compliant (50%)","50",IF(Y173="4. Mostly Compliant (75%)","75",IF(Y173="5. Fully Compliant (100%)","100"))))))&gt;=90,"100"))))))</f>
        <v>#N/A</v>
      </c>
      <c r="S173" s="1" t="e">
        <f>IF(MATCH(H173,Inherited!A:A),IF((((_xlfn.XLOOKUP(Assessment!#REF!,Inherited!A:A,Inherited!B:B))/100)*(_xlfn.XLOOKUP(Assessment!#REF!,Inherited!A:A,Inherited!E:E)))+(((100-(_xlfn.XLOOKUP(Assessment!#REF!,Inherited!A:A,Inherited!B:B)))/100)*IF(Z173="1.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(100%)","100"))))))&lt;=10,"0", IF(AND((((_xlfn.XLOOKUP(Assessment!#REF!,Inherited!A:A,Inherited!B:B))/100)*(_xlfn.XLOOKUP(Assessment!#REF!,Inherited!A:A,Inherited!E:E)))+(((100-(_xlfn.XLOOKUP(Assessment!#REF!,Inherited!A:A,Inherited!B:B)))/100)*IF(Z173="1.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(100%)","100"))))))&gt;=11,(((_xlfn.XLOOKUP(Assessment!#REF!,Inherited!A:A,Inherited!B:B))/100)*(_xlfn.XLOOKUP(Assessment!#REF!,Inherited!A:A,Inherited!E:E)))+(((100-(_xlfn.XLOOKUP(Assessment!#REF!,Inherited!A:A,Inherited!B:B)))/100)*IF(Z173="1.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(100%)","100"))))))&lt;=32),"25",IF(AND((((_xlfn.XLOOKUP(Assessment!#REF!,Inherited!A:A,Inherited!B:B))/100)*(_xlfn.XLOOKUP(Assessment!#REF!,Inherited!A:A,Inherited!E:E)))+(((100-(_xlfn.XLOOKUP(Assessment!#REF!,Inherited!A:A,Inherited!B:B)))/100)*IF(Z173="1.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(100%)","100"))))))&gt;=33,(((_xlfn.XLOOKUP(Assessment!#REF!,Inherited!A:A,Inherited!B:B))/100)*(_xlfn.XLOOKUP(Assessment!#REF!,Inherited!A:A,Inherited!E:E)))+(((100-(_xlfn.XLOOKUP(Assessment!#REF!,Inherited!A:A,Inherited!B:B)))/100)*IF(Z173="1.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(100%)","100"))))))&lt;=65),"50",IF(AND((((_xlfn.XLOOKUP(Assessment!#REF!,Inherited!A:A,Inherited!B:B))/100)*(_xlfn.XLOOKUP(Assessment!#REF!,Inherited!A:A,Inherited!E:E)))+(((100-(_xlfn.XLOOKUP(Assessment!#REF!,Inherited!A:A,Inherited!B:B)))/100)*IF(Z173="1.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(100%)","100"))))))&gt;=66,(((_xlfn.XLOOKUP(Assessment!#REF!,Inherited!A:A,Inherited!B:B))/100)*(_xlfn.XLOOKUP(Assessment!#REF!,Inherited!A:A,Inherited!E:E)))+(((100-(_xlfn.XLOOKUP(Assessment!#REF!,Inherited!A:A,Inherited!B:B)))/100)*IF(Z173="1.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(100%)","100"))))))&lt;=89),"75",IF((((_xlfn.XLOOKUP(Assessment!#REF!,Inherited!A:A,Inherited!B:B))/100)*(_xlfn.XLOOKUP(Assessment!#REF!,Inherited!A:A,Inherited!E:E)))+(((100-(_xlfn.XLOOKUP(Assessment!#REF!,Inherited!A:A,Inherited!B:B)))/100)*IF(Z173="1. Non Compliant (0%)","0",IF(Z173="2. Somewhat Compliant (25%)","25",IF(Z173="3. Partially Compliant (50%)","50",IF(Z173="4. Mostly Compliant (75%)","75",IF(Z173="5. Fully Compliant (100%)","100"))))))&gt;=90,"100"))))))</f>
        <v>#N/A</v>
      </c>
      <c r="T173" s="1" t="e">
        <f>IF(MATCH(H173,Inherited!A:A),IF((((_xlfn.XLOOKUP(Assessment!#REF!,Inherited!A:A,Inherited!B:B))/100)*(_xlfn.XLOOKUP(Assessment!#REF!,Inherited!A:A,Inherited!F:F)))+(((100-(_xlfn.XLOOKUP(Assessment!#REF!,Inherited!A:A,Inherited!B:B)))/100)*IF(AA173="1.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(100%)","100"))))))&lt;=10,"0", IF(AND((((_xlfn.XLOOKUP(Assessment!#REF!,Inherited!A:A,Inherited!B:B))/100)*(_xlfn.XLOOKUP(Assessment!#REF!,Inherited!A:A,Inherited!F:F)))+(((100-(_xlfn.XLOOKUP(Assessment!#REF!,Inherited!A:A,Inherited!B:B)))/100)*IF(AA173="1.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(100%)","100"))))))&gt;=11,(((_xlfn.XLOOKUP(Assessment!#REF!,Inherited!A:A,Inherited!B:B))/100)*(_xlfn.XLOOKUP(Assessment!#REF!,Inherited!A:A,Inherited!F:F)))+(((100-(_xlfn.XLOOKUP(Assessment!#REF!,Inherited!A:A,Inherited!B:B)))/100)*IF(AA173="1.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(100%)","100"))))))&lt;=32),"25",IF(AND((((_xlfn.XLOOKUP(Assessment!#REF!,Inherited!A:A,Inherited!B:B))/100)*(_xlfn.XLOOKUP(Assessment!#REF!,Inherited!A:A,Inherited!F:F)))+(((100-(_xlfn.XLOOKUP(Assessment!#REF!,Inherited!A:A,Inherited!B:B)))/100)*IF(AA173="1.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(100%)","100"))))))&gt;=33,(((_xlfn.XLOOKUP(Assessment!#REF!,Inherited!A:A,Inherited!B:B))/100)*(_xlfn.XLOOKUP(Assessment!#REF!,Inherited!A:A,Inherited!F:F)))+(((100-(_xlfn.XLOOKUP(Assessment!#REF!,Inherited!A:A,Inherited!B:B)))/100)*IF(AA173="1.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(100%)","100"))))))&lt;=65),"50",IF(AND((((_xlfn.XLOOKUP(Assessment!#REF!,Inherited!A:A,Inherited!B:B))/100)*(_xlfn.XLOOKUP(Assessment!#REF!,Inherited!A:A,Inherited!F:F)))+(((100-(_xlfn.XLOOKUP(Assessment!#REF!,Inherited!A:A,Inherited!B:B)))/100)*IF(AA173="1.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(100%)","100"))))))&gt;=66,(((_xlfn.XLOOKUP(Assessment!#REF!,Inherited!A:A,Inherited!B:B))/100)*(_xlfn.XLOOKUP(Assessment!#REF!,Inherited!A:A,Inherited!F:F)))+(((100-(_xlfn.XLOOKUP(Assessment!#REF!,Inherited!A:A,Inherited!B:B)))/100)*IF(AA173="1.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(100%)","100"))))))&lt;=89),"75",IF((((_xlfn.XLOOKUP(Assessment!#REF!,Inherited!A:A,Inherited!B:B))/100)*(_xlfn.XLOOKUP(Assessment!#REF!,Inherited!A:A,Inherited!F:F)))+(((100-(_xlfn.XLOOKUP(Assessment!#REF!,Inherited!A:A,Inherited!B:B)))/100)*IF(AA173="1. Non Compliant (0%)","0",IF(AA173="2. Somewhat Compliant (25%)","25",IF(AA173="3. Partially Compliant (50%)","50",IF(AA173="4. Mostly Compliant (75%)","75",IF(AA173="5. Fully Compliant (100%)","100"))))))&gt;=90,"100"))))))</f>
        <v>#N/A</v>
      </c>
      <c r="U173" s="1" t="e">
        <f>IF(MATCH(H173,Inherited!A:A),IF((((_xlfn.XLOOKUP(Assessment!#REF!,Inherited!A:A,Inherited!B:B))/100)*(_xlfn.XLOOKUP(Assessment!#REF!,Inherited!A:A,Inherited!G:G)))+(((100-(_xlfn.XLOOKUP(Assessment!#REF!,Inherited!A:A,Inherited!B:B)))/100)*IF(AB173="1.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(100%)","100"))))))&lt;=10,"0", IF(AND((((_xlfn.XLOOKUP(Assessment!#REF!,Inherited!A:A,Inherited!B:B))/100)*(_xlfn.XLOOKUP(Assessment!#REF!,Inherited!A:A,Inherited!G:G)))+(((100-(_xlfn.XLOOKUP(Assessment!#REF!,Inherited!A:A,Inherited!B:B)))/100)*IF(AB173="1.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(100%)","100"))))))&gt;=11,(((_xlfn.XLOOKUP(Assessment!#REF!,Inherited!A:A,Inherited!B:B))/100)*(_xlfn.XLOOKUP(Assessment!#REF!,Inherited!A:A,Inherited!G:G)))+(((100-(_xlfn.XLOOKUP(Assessment!#REF!,Inherited!A:A,Inherited!B:B)))/100)*IF(AB173="1.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(100%)","100"))))))&lt;=32),"25",IF(AND((((_xlfn.XLOOKUP(Assessment!#REF!,Inherited!A:A,Inherited!B:B))/100)*(_xlfn.XLOOKUP(Assessment!#REF!,Inherited!A:A,Inherited!G:G)))+(((100-(_xlfn.XLOOKUP(Assessment!#REF!,Inherited!A:A,Inherited!B:B)))/100)*IF(AB173="1.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(100%)","100"))))))&gt;=33,(((_xlfn.XLOOKUP(Assessment!#REF!,Inherited!A:A,Inherited!B:B))/100)*(_xlfn.XLOOKUP(Assessment!#REF!,Inherited!A:A,Inherited!G:G)))+(((100-(_xlfn.XLOOKUP(Assessment!#REF!,Inherited!A:A,Inherited!B:B)))/100)*IF(AB173="1.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(100%)","100"))))))&lt;=65),"50",IF(AND((((_xlfn.XLOOKUP(Assessment!#REF!,Inherited!A:A,Inherited!B:B))/100)*(_xlfn.XLOOKUP(Assessment!#REF!,Inherited!A:A,Inherited!G:G)))+(((100-(_xlfn.XLOOKUP(Assessment!#REF!,Inherited!A:A,Inherited!B:B)))/100)*IF(AB173="1.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(100%)","100"))))))&gt;=66,(((_xlfn.XLOOKUP(Assessment!#REF!,Inherited!A:A,Inherited!B:B))/100)*(_xlfn.XLOOKUP(Assessment!#REF!,Inherited!A:A,Inherited!G:G)))+(((100-(_xlfn.XLOOKUP(Assessment!#REF!,Inherited!A:A,Inherited!B:B)))/100)*IF(AB173="1.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(100%)","100"))))))&lt;=89),"75",IF((((_xlfn.XLOOKUP(Assessment!#REF!,Inherited!A:A,Inherited!B:B))/100)*(_xlfn.XLOOKUP(Assessment!#REF!,Inherited!A:A,Inherited!G:G)))+(((100-(_xlfn.XLOOKUP(Assessment!#REF!,Inherited!A:A,Inherited!B:B)))/100)*IF(AB173="1. Non Compliant (0%)","0",IF(AB173="2. Somewhat Compliant (25%)","25",IF(AB173="3. Partially Compliant (50%)","50",IF(AB173="4. Mostly Compliant (75%)","75",IF(AB173="5. Fully Compliant (100%)","100"))))))&gt;=90,"100"))))))</f>
        <v>#N/A</v>
      </c>
      <c r="V173" s="55" t="s">
        <v>85</v>
      </c>
      <c r="W173" s="55"/>
      <c r="X173" s="55"/>
      <c r="Y173" s="55"/>
      <c r="Z173" s="55"/>
      <c r="AA173" s="55"/>
      <c r="AB173" s="55"/>
      <c r="AX173" s="3" t="str">
        <f>_xlfn.CONCAT("A-LIGN finished its review of this control on ",AR173, " during the scheduled fieldwork window (",Intro!$B$4,")."&amp; CHAR(10)&amp; CHAR(10))</f>
        <v xml:space="preserve">A-LIGN finished its review of this control on  during the scheduled fieldwork window (Fieldwork: xx/xx/xxxx - xx/xx/xxxx).
</v>
      </c>
      <c r="AY173" s="3" t="str">
        <f t="shared" si="320"/>
        <v/>
      </c>
      <c r="AZ173" s="3" t="str">
        <f t="shared" si="321"/>
        <v/>
      </c>
      <c r="BA173" s="3" t="str">
        <f t="shared" si="322"/>
        <v/>
      </c>
      <c r="BB173" s="3" t="str">
        <f t="shared" si="323"/>
        <v/>
      </c>
      <c r="BC173" s="3" t="str">
        <f t="shared" si="324"/>
        <v/>
      </c>
      <c r="BD173" s="3" t="str">
        <f t="shared" si="325"/>
        <v xml:space="preserve">Examined the following evidence during fieldwork:
Reviewed evidence addressed the requirement statement.
</v>
      </c>
      <c r="BE173" s="3" t="str">
        <f t="shared" si="326"/>
        <v/>
      </c>
      <c r="BF173" s="3" t="str">
        <f t="shared" si="327"/>
        <v/>
      </c>
      <c r="BG173" s="3" t="str">
        <f>_xlfn.CONCAT((IF((COUNTIF('Sample Tables'!B:B,"Test 074: Information Security (business continuity &amp; disaster plan)")&gt;0)=TRUE,_xlfn.CONCAT("Sample test results are documented in ",'Sample Tables'!B810," [",'Sample Tables'!B811,", ",'Sample Tables'!B812,", ",'Sample Tables'!B813,", ",'Sample Tables'!B814,", ",'Sample Tables'!B815,"]."&amp;CHAR(10)),IF((COUNTIF('Sample Tables'!B:B,"Test 074: Information Security (business continuity &amp; disaster plan)")&gt;0)=FALSE,""))),(IF((COUNTIF('Sample Tables'!B:B,"Test 218: Information Security (risk management plan)")&gt;0)=TRUE,_xlfn.CONCAT("Sample test results are documented in ",'Sample Tables'!B2383," [",'Sample Tables'!B2384,", ",'Sample Tables'!B2385,", ",'Sample Tables'!B2386,", ",'Sample Tables'!B2387,", ",'Sample Tables'!B2388,"]."&amp;CHAR(10)),IF((COUNTIF('Sample Tables'!B:B,"Test 218: Information Security (risk management plan)")&gt;0)=FALSE,""))),(IF((COUNTIF('Sample Tables'!B:B,"Test 219: Information Security (incident response plan)")&gt;0)=TRUE,_xlfn.CONCAT("Sample test results are documented in ",'Sample Tables'!B2405," [",'Sample Tables'!B2406,", ",'Sample Tables'!B2407,", ",'Sample Tables'!B2408,", ",'Sample Tables'!B2409,", ",'Sample Tables'!B2410,"]."&amp;CHAR(10)),IF((COUNTIF('Sample Tables'!B:B,"Test 219: Information Security (incident response plan)")&gt;0)=FALSE,""))),(IF((COUNTIF('Sample Tables'!B:B,"Test 220: Information Security (security plan)")&gt;0)=TRUE,_xlfn.CONCAT("Sample test results are documented in ",'Sample Tables'!B2416," [",'Sample Tables'!B2417,", ",'Sample Tables'!B2418,", ",'Sample Tables'!B2419,", ",'Sample Tables'!B2420,", ",'Sample Tables'!B2421,"]."&amp;CHAR(10)),IF((COUNTIF('Sample Tables'!B:B,"Test 220: Information Security (security plan)")&gt;0)=FALSE,""))))</f>
        <v xml:space="preserve">Sample test results are documented in Test 074: Information Security (business continuity &amp; disaster plan) [Population Source/Tool: , Population Date Range: , Population Size: , Sample Methodology: , Sample Size: ].
Sample test results are documented in Test 217: Information Security (interconnected system) [Population Source/Tool: , Population Date Range: , Population Size: , Sample Methodology: , Sample Size: ].
Sample test results are documented in Test 219: Information Security (incident response plan) [Population Source/Tool: , Population Date Range: , Population Size: , Sample Methodology: , Sample Size: ].
Sample test results are documented in Test 220: Information Security (security plan) [Population Source/Tool: , Population Date Range: , Population Size: , Sample Methodology: , Sample Size: ].
</v>
      </c>
      <c r="BH173" s="3" t="str">
        <f t="shared" si="328"/>
        <v xml:space="preserve">A-LIGN finished its review of this control on  during the scheduled fieldwork window (Fieldwork: xx/xx/xxxx - xx/xx/xxxx).
Examined the following evidence during fieldwork:
Reviewed evidence addressed the requirement statement.
Sample test results are documented in Test 074: Information Security (business continuity &amp; disaster plan) [Population Source/Tool: , Population Date Range: , Population Size: , Sample Methodology: , Sample Size: ].
Sample test results are documented in Test 217: Information Security (interconnected system) [Population Source/Tool: , Population Date Range: , Population Size: , Sample Methodology: , Sample Size: ].
Sample test results are documented in Test 219: Information Security (incident response plan) [Population Source/Tool: , Population Date Range: , Population Size: , Sample Methodology: , Sample Size: ].
Sample test results are documented in Test 220: Information Security (security plan) [Population Source/Tool: , Population Date Range: , Population Size: , Sample Methodology: , Sample Size: ].
</v>
      </c>
    </row>
    <row r="174" spans="3:60" ht="248.25" customHeight="1" x14ac:dyDescent="0.35">
      <c r="C174" s="1">
        <f t="shared" si="329"/>
        <v>0</v>
      </c>
      <c r="D174" s="5" t="str">
        <f>IF(AND((_xlfn.XLOOKUP(J174,'Fields &amp; Revisions'!$H:$H,'Fields &amp; Revisions'!$I:$I))&lt;70.99,(OR(Z174="4. Mostly Compliant (75%)",Z174="3. Partially Compliant (50%)",Z174="2. Somewhat Compliant (25%)",Z174="1. Non Compliant (0%)"))),"Yes","No")</f>
        <v>Yes</v>
      </c>
      <c r="E174" s="5" t="str">
        <f>IF(ISERROR(VLOOKUP(H174,Scope!A:A,1,FALSE)),"No","Yes")</f>
        <v>Yes</v>
      </c>
      <c r="F174" s="1" t="s">
        <v>4666</v>
      </c>
      <c r="G174" s="53" t="s">
        <v>4910</v>
      </c>
      <c r="H174" s="53" t="s">
        <v>4911</v>
      </c>
      <c r="I174" s="5" t="s">
        <v>225</v>
      </c>
      <c r="J174" s="1" t="s">
        <v>4895</v>
      </c>
      <c r="K174" s="54" t="s">
        <v>4912</v>
      </c>
      <c r="L174" s="1" t="s">
        <v>4913</v>
      </c>
      <c r="M174" s="1" t="s">
        <v>4914</v>
      </c>
      <c r="N174" s="5" t="s">
        <v>98</v>
      </c>
      <c r="O174" s="1" t="str">
        <f>_xlfn.XLOOKUP(G174,SRMs!$A:$A,SRMs!$D:$D)</f>
        <v>NO INHERITANCE</v>
      </c>
      <c r="P174" s="1" t="str">
        <f>IFERROR(VLOOKUP(H174,Inherited!A:B,2,FALSE),"")</f>
        <v/>
      </c>
      <c r="Q174" s="1" t="e">
        <f>IF(MATCH(H174,Inherited!A:A),IF((((_xlfn.XLOOKUP(Assessment!#REF!,Inherited!A:A,Inherited!B:B))/100)*(_xlfn.XLOOKUP(Assessment!#REF!,Inherited!A:A,Inherited!C:C)))+(((100-(_xlfn.XLOOKUP(Assessment!#REF!,Inherited!A:A,Inherited!B:B)))/100)*IF(X174="1.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(100%)","100"))))))&lt;=10,"0", IF(AND((((_xlfn.XLOOKUP(Assessment!#REF!,Inherited!A:A,Inherited!B:B))/100)*(_xlfn.XLOOKUP(Assessment!#REF!,Inherited!A:A,Inherited!C:C)))+(((100-(_xlfn.XLOOKUP(Assessment!#REF!,Inherited!A:A,Inherited!B:B)))/100)*IF(X174="1.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(100%)","100"))))))&gt;=11,(((_xlfn.XLOOKUP(Assessment!#REF!,Inherited!A:A,Inherited!B:B))/100)*(_xlfn.XLOOKUP(Assessment!#REF!,Inherited!A:A,Inherited!C:C)))+(((100-(_xlfn.XLOOKUP(Assessment!#REF!,Inherited!A:A,Inherited!B:B)))/100)*IF(X174="1.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(100%)","100"))))))&lt;=32),"25",IF(AND((((_xlfn.XLOOKUP(Assessment!#REF!,Inherited!A:A,Inherited!B:B))/100)*(_xlfn.XLOOKUP(Assessment!#REF!,Inherited!A:A,Inherited!C:C)))+(((100-(_xlfn.XLOOKUP(Assessment!#REF!,Inherited!A:A,Inherited!B:B)))/100)*IF(X174="1.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(100%)","100"))))))&gt;=33,(((_xlfn.XLOOKUP(Assessment!#REF!,Inherited!A:A,Inherited!B:B))/100)*(_xlfn.XLOOKUP(Assessment!#REF!,Inherited!A:A,Inherited!C:C)))+(((100-(_xlfn.XLOOKUP(Assessment!#REF!,Inherited!A:A,Inherited!B:B)))/100)*IF(X174="1.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(100%)","100"))))))&lt;=65),"50",IF(AND((((_xlfn.XLOOKUP(Assessment!#REF!,Inherited!A:A,Inherited!B:B))/100)*(_xlfn.XLOOKUP(Assessment!#REF!,Inherited!A:A,Inherited!C:C)))+(((100-(_xlfn.XLOOKUP(Assessment!#REF!,Inherited!A:A,Inherited!B:B)))/100)*IF(X174="1.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(100%)","100"))))))&gt;=66,(((_xlfn.XLOOKUP(Assessment!#REF!,Inherited!A:A,Inherited!B:B))/100)*(_xlfn.XLOOKUP(Assessment!#REF!,Inherited!A:A,Inherited!C:C)))+(((100-(_xlfn.XLOOKUP(Assessment!#REF!,Inherited!A:A,Inherited!B:B)))/100)*IF(X174="1.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(100%)","100"))))))&lt;=89),"75",IF((((_xlfn.XLOOKUP(Assessment!#REF!,Inherited!A:A,Inherited!B:B))/100)*(_xlfn.XLOOKUP(Assessment!#REF!,Inherited!A:A,Inherited!C:C)))+(((100-(_xlfn.XLOOKUP(Assessment!#REF!,Inherited!A:A,Inherited!B:B)))/100)*IF(X174="1. Non Compliant (0%)","0",IF(X174="2. Somewhat Compliant (25%)","25",IF(X174="3. Partially Compliant (50%)","50",IF(X174="4. Mostly Compliant (75%)","75",IF(X174="5. Fully Compliant (100%)","100"))))))&gt;=90,"100"))))))</f>
        <v>#N/A</v>
      </c>
      <c r="R174" s="1" t="e">
        <f>IF(MATCH(H174,Inherited!A:A),IF((((_xlfn.XLOOKUP(Assessment!#REF!,Inherited!A:A,Inherited!B:B))/100)*(_xlfn.XLOOKUP(Assessment!#REF!,Inherited!A:A,Inherited!D:D)))+(((100-(_xlfn.XLOOKUP(Assessment!#REF!,Inherited!A:A,Inherited!B:B)))/100)*IF(Y174="1.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(100%)","100"))))))&lt;=10,"0", IF(AND((((_xlfn.XLOOKUP(Assessment!#REF!,Inherited!A:A,Inherited!B:B))/100)*(_xlfn.XLOOKUP(Assessment!#REF!,Inherited!A:A,Inherited!D:D)))+(((100-(_xlfn.XLOOKUP(Assessment!#REF!,Inherited!A:A,Inherited!B:B)))/100)*IF(Y174="1.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(100%)","100"))))))&gt;=11,(((_xlfn.XLOOKUP(Assessment!#REF!,Inherited!A:A,Inherited!B:B))/100)*(_xlfn.XLOOKUP(Assessment!#REF!,Inherited!A:A,Inherited!D:D)))+(((100-(_xlfn.XLOOKUP(Assessment!#REF!,Inherited!A:A,Inherited!B:B)))/100)*IF(Y174="1.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(100%)","100"))))))&lt;=32),"25",IF(AND((((_xlfn.XLOOKUP(Assessment!#REF!,Inherited!A:A,Inherited!B:B))/100)*(_xlfn.XLOOKUP(Assessment!#REF!,Inherited!A:A,Inherited!D:D)))+(((100-(_xlfn.XLOOKUP(Assessment!#REF!,Inherited!A:A,Inherited!B:B)))/100)*IF(Y174="1.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(100%)","100"))))))&gt;=33,(((_xlfn.XLOOKUP(Assessment!#REF!,Inherited!A:A,Inherited!B:B))/100)*(_xlfn.XLOOKUP(Assessment!#REF!,Inherited!A:A,Inherited!D:D)))+(((100-(_xlfn.XLOOKUP(Assessment!#REF!,Inherited!A:A,Inherited!B:B)))/100)*IF(Y174="1.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(100%)","100"))))))&lt;=65),"50",IF(AND((((_xlfn.XLOOKUP(Assessment!#REF!,Inherited!A:A,Inherited!B:B))/100)*(_xlfn.XLOOKUP(Assessment!#REF!,Inherited!A:A,Inherited!D:D)))+(((100-(_xlfn.XLOOKUP(Assessment!#REF!,Inherited!A:A,Inherited!B:B)))/100)*IF(Y174="1.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(100%)","100"))))))&gt;=66,(((_xlfn.XLOOKUP(Assessment!#REF!,Inherited!A:A,Inherited!B:B))/100)*(_xlfn.XLOOKUP(Assessment!#REF!,Inherited!A:A,Inherited!D:D)))+(((100-(_xlfn.XLOOKUP(Assessment!#REF!,Inherited!A:A,Inherited!B:B)))/100)*IF(Y174="1.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(100%)","100"))))))&lt;=89),"75",IF((((_xlfn.XLOOKUP(Assessment!#REF!,Inherited!A:A,Inherited!B:B))/100)*(_xlfn.XLOOKUP(Assessment!#REF!,Inherited!A:A,Inherited!D:D)))+(((100-(_xlfn.XLOOKUP(Assessment!#REF!,Inherited!A:A,Inherited!B:B)))/100)*IF(Y174="1. Non Compliant (0%)","0",IF(Y174="2. Somewhat Compliant (25%)","25",IF(Y174="3. Partially Compliant (50%)","50",IF(Y174="4. Mostly Compliant (75%)","75",IF(Y174="5. Fully Compliant (100%)","100"))))))&gt;=90,"100"))))))</f>
        <v>#N/A</v>
      </c>
      <c r="S174" s="1" t="e">
        <f>IF(MATCH(H174,Inherited!A:A),IF((((_xlfn.XLOOKUP(Assessment!#REF!,Inherited!A:A,Inherited!B:B))/100)*(_xlfn.XLOOKUP(Assessment!#REF!,Inherited!A:A,Inherited!E:E)))+(((100-(_xlfn.XLOOKUP(Assessment!#REF!,Inherited!A:A,Inherited!B:B)))/100)*IF(Z174="1.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(100%)","100"))))))&lt;=10,"0", IF(AND((((_xlfn.XLOOKUP(Assessment!#REF!,Inherited!A:A,Inherited!B:B))/100)*(_xlfn.XLOOKUP(Assessment!#REF!,Inherited!A:A,Inherited!E:E)))+(((100-(_xlfn.XLOOKUP(Assessment!#REF!,Inherited!A:A,Inherited!B:B)))/100)*IF(Z174="1.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(100%)","100"))))))&gt;=11,(((_xlfn.XLOOKUP(Assessment!#REF!,Inherited!A:A,Inherited!B:B))/100)*(_xlfn.XLOOKUP(Assessment!#REF!,Inherited!A:A,Inherited!E:E)))+(((100-(_xlfn.XLOOKUP(Assessment!#REF!,Inherited!A:A,Inherited!B:B)))/100)*IF(Z174="1.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(100%)","100"))))))&lt;=32),"25",IF(AND((((_xlfn.XLOOKUP(Assessment!#REF!,Inherited!A:A,Inherited!B:B))/100)*(_xlfn.XLOOKUP(Assessment!#REF!,Inherited!A:A,Inherited!E:E)))+(((100-(_xlfn.XLOOKUP(Assessment!#REF!,Inherited!A:A,Inherited!B:B)))/100)*IF(Z174="1.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(100%)","100"))))))&gt;=33,(((_xlfn.XLOOKUP(Assessment!#REF!,Inherited!A:A,Inherited!B:B))/100)*(_xlfn.XLOOKUP(Assessment!#REF!,Inherited!A:A,Inherited!E:E)))+(((100-(_xlfn.XLOOKUP(Assessment!#REF!,Inherited!A:A,Inherited!B:B)))/100)*IF(Z174="1.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(100%)","100"))))))&lt;=65),"50",IF(AND((((_xlfn.XLOOKUP(Assessment!#REF!,Inherited!A:A,Inherited!B:B))/100)*(_xlfn.XLOOKUP(Assessment!#REF!,Inherited!A:A,Inherited!E:E)))+(((100-(_xlfn.XLOOKUP(Assessment!#REF!,Inherited!A:A,Inherited!B:B)))/100)*IF(Z174="1.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(100%)","100"))))))&gt;=66,(((_xlfn.XLOOKUP(Assessment!#REF!,Inherited!A:A,Inherited!B:B))/100)*(_xlfn.XLOOKUP(Assessment!#REF!,Inherited!A:A,Inherited!E:E)))+(((100-(_xlfn.XLOOKUP(Assessment!#REF!,Inherited!A:A,Inherited!B:B)))/100)*IF(Z174="1.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(100%)","100"))))))&lt;=89),"75",IF((((_xlfn.XLOOKUP(Assessment!#REF!,Inherited!A:A,Inherited!B:B))/100)*(_xlfn.XLOOKUP(Assessment!#REF!,Inherited!A:A,Inherited!E:E)))+(((100-(_xlfn.XLOOKUP(Assessment!#REF!,Inherited!A:A,Inherited!B:B)))/100)*IF(Z174="1. Non Compliant (0%)","0",IF(Z174="2. Somewhat Compliant (25%)","25",IF(Z174="3. Partially Compliant (50%)","50",IF(Z174="4. Mostly Compliant (75%)","75",IF(Z174="5. Fully Compliant (100%)","100"))))))&gt;=90,"100"))))))</f>
        <v>#N/A</v>
      </c>
      <c r="T174" s="1" t="e">
        <f>IF(MATCH(H174,Inherited!A:A),IF((((_xlfn.XLOOKUP(Assessment!#REF!,Inherited!A:A,Inherited!B:B))/100)*(_xlfn.XLOOKUP(Assessment!#REF!,Inherited!A:A,Inherited!F:F)))+(((100-(_xlfn.XLOOKUP(Assessment!#REF!,Inherited!A:A,Inherited!B:B)))/100)*IF(AA174="1.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(100%)","100"))))))&lt;=10,"0", IF(AND((((_xlfn.XLOOKUP(Assessment!#REF!,Inherited!A:A,Inherited!B:B))/100)*(_xlfn.XLOOKUP(Assessment!#REF!,Inherited!A:A,Inherited!F:F)))+(((100-(_xlfn.XLOOKUP(Assessment!#REF!,Inherited!A:A,Inherited!B:B)))/100)*IF(AA174="1.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(100%)","100"))))))&gt;=11,(((_xlfn.XLOOKUP(Assessment!#REF!,Inherited!A:A,Inherited!B:B))/100)*(_xlfn.XLOOKUP(Assessment!#REF!,Inherited!A:A,Inherited!F:F)))+(((100-(_xlfn.XLOOKUP(Assessment!#REF!,Inherited!A:A,Inherited!B:B)))/100)*IF(AA174="1.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(100%)","100"))))))&lt;=32),"25",IF(AND((((_xlfn.XLOOKUP(Assessment!#REF!,Inherited!A:A,Inherited!B:B))/100)*(_xlfn.XLOOKUP(Assessment!#REF!,Inherited!A:A,Inherited!F:F)))+(((100-(_xlfn.XLOOKUP(Assessment!#REF!,Inherited!A:A,Inherited!B:B)))/100)*IF(AA174="1.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(100%)","100"))))))&gt;=33,(((_xlfn.XLOOKUP(Assessment!#REF!,Inherited!A:A,Inherited!B:B))/100)*(_xlfn.XLOOKUP(Assessment!#REF!,Inherited!A:A,Inherited!F:F)))+(((100-(_xlfn.XLOOKUP(Assessment!#REF!,Inherited!A:A,Inherited!B:B)))/100)*IF(AA174="1.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(100%)","100"))))))&lt;=65),"50",IF(AND((((_xlfn.XLOOKUP(Assessment!#REF!,Inherited!A:A,Inherited!B:B))/100)*(_xlfn.XLOOKUP(Assessment!#REF!,Inherited!A:A,Inherited!F:F)))+(((100-(_xlfn.XLOOKUP(Assessment!#REF!,Inherited!A:A,Inherited!B:B)))/100)*IF(AA174="1.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(100%)","100"))))))&gt;=66,(((_xlfn.XLOOKUP(Assessment!#REF!,Inherited!A:A,Inherited!B:B))/100)*(_xlfn.XLOOKUP(Assessment!#REF!,Inherited!A:A,Inherited!F:F)))+(((100-(_xlfn.XLOOKUP(Assessment!#REF!,Inherited!A:A,Inherited!B:B)))/100)*IF(AA174="1.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(100%)","100"))))))&lt;=89),"75",IF((((_xlfn.XLOOKUP(Assessment!#REF!,Inherited!A:A,Inherited!B:B))/100)*(_xlfn.XLOOKUP(Assessment!#REF!,Inherited!A:A,Inherited!F:F)))+(((100-(_xlfn.XLOOKUP(Assessment!#REF!,Inherited!A:A,Inherited!B:B)))/100)*IF(AA174="1. Non Compliant (0%)","0",IF(AA174="2. Somewhat Compliant (25%)","25",IF(AA174="3. Partially Compliant (50%)","50",IF(AA174="4. Mostly Compliant (75%)","75",IF(AA174="5. Fully Compliant (100%)","100"))))))&gt;=90,"100"))))))</f>
        <v>#N/A</v>
      </c>
      <c r="U174" s="1" t="e">
        <f>IF(MATCH(H174,Inherited!A:A),IF((((_xlfn.XLOOKUP(Assessment!#REF!,Inherited!A:A,Inherited!B:B))/100)*(_xlfn.XLOOKUP(Assessment!#REF!,Inherited!A:A,Inherited!G:G)))+(((100-(_xlfn.XLOOKUP(Assessment!#REF!,Inherited!A:A,Inherited!B:B)))/100)*IF(AB174="1.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(100%)","100"))))))&lt;=10,"0", IF(AND((((_xlfn.XLOOKUP(Assessment!#REF!,Inherited!A:A,Inherited!B:B))/100)*(_xlfn.XLOOKUP(Assessment!#REF!,Inherited!A:A,Inherited!G:G)))+(((100-(_xlfn.XLOOKUP(Assessment!#REF!,Inherited!A:A,Inherited!B:B)))/100)*IF(AB174="1.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(100%)","100"))))))&gt;=11,(((_xlfn.XLOOKUP(Assessment!#REF!,Inherited!A:A,Inherited!B:B))/100)*(_xlfn.XLOOKUP(Assessment!#REF!,Inherited!A:A,Inherited!G:G)))+(((100-(_xlfn.XLOOKUP(Assessment!#REF!,Inherited!A:A,Inherited!B:B)))/100)*IF(AB174="1.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(100%)","100"))))))&lt;=32),"25",IF(AND((((_xlfn.XLOOKUP(Assessment!#REF!,Inherited!A:A,Inherited!B:B))/100)*(_xlfn.XLOOKUP(Assessment!#REF!,Inherited!A:A,Inherited!G:G)))+(((100-(_xlfn.XLOOKUP(Assessment!#REF!,Inherited!A:A,Inherited!B:B)))/100)*IF(AB174="1.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(100%)","100"))))))&gt;=33,(((_xlfn.XLOOKUP(Assessment!#REF!,Inherited!A:A,Inherited!B:B))/100)*(_xlfn.XLOOKUP(Assessment!#REF!,Inherited!A:A,Inherited!G:G)))+(((100-(_xlfn.XLOOKUP(Assessment!#REF!,Inherited!A:A,Inherited!B:B)))/100)*IF(AB174="1.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(100%)","100"))))))&lt;=65),"50",IF(AND((((_xlfn.XLOOKUP(Assessment!#REF!,Inherited!A:A,Inherited!B:B))/100)*(_xlfn.XLOOKUP(Assessment!#REF!,Inherited!A:A,Inherited!G:G)))+(((100-(_xlfn.XLOOKUP(Assessment!#REF!,Inherited!A:A,Inherited!B:B)))/100)*IF(AB174="1.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(100%)","100"))))))&gt;=66,(((_xlfn.XLOOKUP(Assessment!#REF!,Inherited!A:A,Inherited!B:B))/100)*(_xlfn.XLOOKUP(Assessment!#REF!,Inherited!A:A,Inherited!G:G)))+(((100-(_xlfn.XLOOKUP(Assessment!#REF!,Inherited!A:A,Inherited!B:B)))/100)*IF(AB174="1.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(100%)","100"))))))&lt;=89),"75",IF((((_xlfn.XLOOKUP(Assessment!#REF!,Inherited!A:A,Inherited!B:B))/100)*(_xlfn.XLOOKUP(Assessment!#REF!,Inherited!A:A,Inherited!G:G)))+(((100-(_xlfn.XLOOKUP(Assessment!#REF!,Inherited!A:A,Inherited!B:B)))/100)*IF(AB174="1. Non Compliant (0%)","0",IF(AB174="2. Somewhat Compliant (25%)","25",IF(AB174="3. Partially Compliant (50%)","50",IF(AB174="4. Mostly Compliant (75%)","75",IF(AB174="5. Fully Compliant (100%)","100"))))))&gt;=90,"100"))))))</f>
        <v>#N/A</v>
      </c>
      <c r="V174" s="55" t="s">
        <v>85</v>
      </c>
      <c r="W174" s="55"/>
      <c r="X174" s="55"/>
      <c r="Y174" s="55"/>
      <c r="Z174" s="55" t="s">
        <v>10873</v>
      </c>
      <c r="AA174" s="55"/>
      <c r="AB174" s="55"/>
      <c r="AK174" s="1" t="s">
        <v>10978</v>
      </c>
      <c r="AL174" s="1" t="s">
        <v>11010</v>
      </c>
      <c r="AP174" s="1" t="s">
        <v>11131</v>
      </c>
      <c r="AX174" s="3" t="str">
        <f>_xlfn.CONCAT("A-LIGN finished its review of this control on ",AR174, " during the scheduled fieldwork window (",Intro!$B$4,")."&amp; CHAR(10)&amp; CHAR(10))</f>
        <v xml:space="preserve">A-LIGN finished its review of this control on  during the scheduled fieldwork window (Fieldwork: xx/xx/xxxx - xx/xx/xxxx).
</v>
      </c>
      <c r="AY174" s="3" t="str">
        <f t="shared" si="320"/>
        <v/>
      </c>
      <c r="AZ174" s="3" t="str">
        <f t="shared" si="321"/>
        <v/>
      </c>
      <c r="BA174" s="3" t="str">
        <f t="shared" si="322"/>
        <v/>
      </c>
      <c r="BB174" s="3" t="str">
        <f t="shared" si="323"/>
        <v xml:space="preserve">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v>
      </c>
      <c r="BC174" s="3" t="str">
        <f t="shared" si="324"/>
        <v/>
      </c>
      <c r="BD174" s="3" t="str">
        <f t="shared" si="325"/>
        <v xml:space="preserve">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identified
- quantitatively/qualitatively described
- prioritized
</v>
      </c>
      <c r="BE174" s="3" t="str">
        <f t="shared" si="326"/>
        <v/>
      </c>
      <c r="BF174" s="3" t="str">
        <f t="shared" si="327"/>
        <v/>
      </c>
      <c r="BG174" s="3" t="str">
        <f>_xlfn.CONCAT((IF((COUNTIF('Sample Tables'!B:B,"")&gt;0)=TRUE,_xlfn.CONCAT("",""),IF((COUNTIF('Sample Tables'!B:B,"")&gt;0)=FALSE,""))),)</f>
        <v/>
      </c>
      <c r="BH174" s="3" t="str">
        <f t="shared" si="328"/>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policies and procedures are not formally maintained at this time.
Documentation will be developed and integrated to existing Merge policies and procedures
Examined the following evidence during fieldwork:
Reviewed evidence addressed the requirement statement.
Reviewed evidence exception note: 
Gap: 
AI policies and procedures considering the details of the requirement statement are not formally maintained at this time.
Recommendation:
Management should ensure that AI policies and procedures are developed considering the following:
- identified
- quantitatively/qualitatively described
- prioritized
</v>
      </c>
    </row>
    <row r="175" spans="3:60" ht="409.5" x14ac:dyDescent="0.35">
      <c r="C175" s="1">
        <f t="shared" ref="C175:C179" si="330">IF(V175="No","Not Applicable",(IF(X175="1. Non Compliant (0%)","0",IF(X175="2. Somewhat Compliant (25%)","25",IF(X175="3. Partially Compliant (50%)","50",IF(X175="4. Mostly Compliant (75%)","75",IF(X175="5. Fully Compliant (100%)","100")))))*0.15)+((IF(Y175="1. Non Compliant (0%)","0",IF(Y175="2. Somewhat Compliant (25%)","25",IF(Y175="3. Partially Compliant (50%)","50",IF(Y175="4. Mostly Compliant (75%)","75",IF(Y175="5. Fully Compliant (100%)","100"))))))*0.2)+(IF(Z175="1. Non Compliant (0%)","0",IF(Z175="2. Somewhat Compliant (25%)","25",IF(Z175="3. Partially Compliant (50%)","50",IF(Z175="4. Mostly Compliant (75%)","75",IF(Z175="5. Fully Compliant (100%)","100")))))*0.4)+(IF(AA175="1. Non Compliant (0%)","0",IF(AA175="2. Somewhat Compliant (25%)","25",IF(AA175="3. Partially Compliant (50%)","50",IF(AA175="4. Mostly Compliant (75%)","75",IF(AA175="5. Fully Compliant (100%)","100")))))*0.1)+(IF(AB175="1. Non Compliant (0%)","0",IF(AB175="2. Somewhat Compliant (25%)","25",IF(AB175="3. Partially Compliant (50%)","50",IF(AB175="4. Mostly Compliant (75%)","75",IF(AB175="5. Fully Compliant (100%)","100")))))*0.15))</f>
        <v>0</v>
      </c>
      <c r="D175" s="5" t="str">
        <f>IF(AND((_xlfn.XLOOKUP(J175,'Fields &amp; Revisions'!$H:$H,'Fields &amp; Revisions'!$I:$I))&lt;70.99,(OR(Z175="4. Mostly Compliant (75%)",Z175="3. Partially Compliant (50%)",Z175="2. Somewhat Compliant (25%)",Z175="1. Non Compliant (0%)"))),"Yes","No")</f>
        <v>No</v>
      </c>
      <c r="E175" s="5" t="str">
        <f>IF(ISERROR(VLOOKUP(H175,Scope!A:A,1,FALSE)),"No","Yes")</f>
        <v>Yes</v>
      </c>
      <c r="F175" s="1" t="s">
        <v>4666</v>
      </c>
      <c r="G175" s="53" t="s">
        <v>4972</v>
      </c>
      <c r="H175" s="53" t="s">
        <v>4973</v>
      </c>
      <c r="I175" s="5">
        <v>1</v>
      </c>
      <c r="J175" s="1" t="s">
        <v>226</v>
      </c>
      <c r="K175" s="1" t="s">
        <v>4974</v>
      </c>
      <c r="L175" s="1" t="s">
        <v>4975</v>
      </c>
      <c r="M175" s="1" t="s">
        <v>4976</v>
      </c>
      <c r="N175" s="5" t="s">
        <v>98</v>
      </c>
      <c r="O175" s="1" t="str">
        <f>_xlfn.XLOOKUP(G175,SRMs!$A:$A,SRMs!$D:$D)</f>
        <v>NO INHERITANCE</v>
      </c>
      <c r="P175" s="1" t="str">
        <f>IFERROR(VLOOKUP(H175,Inherited!A:B,2,FALSE),"")</f>
        <v/>
      </c>
      <c r="Q175" s="1" t="e">
        <f>IF(MATCH(H175,Inherited!A:A),IF((((_xlfn.XLOOKUP(Assessment!H176,Inherited!A:A,Inherited!B:B))/100)*(_xlfn.XLOOKUP(Assessment!H176,Inherited!A:A,Inherited!C:C)))+(((100-(_xlfn.XLOOKUP(Assessment!H176,Inherited!A:A,Inherited!B:B)))/100)*IF(X175="1.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(100%)","100"))))))&lt;=10,"0", IF(AND((((_xlfn.XLOOKUP(Assessment!H176,Inherited!A:A,Inherited!B:B))/100)*(_xlfn.XLOOKUP(Assessment!H176,Inherited!A:A,Inherited!C:C)))+(((100-(_xlfn.XLOOKUP(Assessment!H176,Inherited!A:A,Inherited!B:B)))/100)*IF(X175="1.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(100%)","100"))))))&gt;=11,(((_xlfn.XLOOKUP(Assessment!H176,Inherited!A:A,Inherited!B:B))/100)*(_xlfn.XLOOKUP(Assessment!H176,Inherited!A:A,Inherited!C:C)))+(((100-(_xlfn.XLOOKUP(Assessment!H176,Inherited!A:A,Inherited!B:B)))/100)*IF(X175="1.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(100%)","100"))))))&lt;=32),"25",IF(AND((((_xlfn.XLOOKUP(Assessment!H176,Inherited!A:A,Inherited!B:B))/100)*(_xlfn.XLOOKUP(Assessment!H176,Inherited!A:A,Inherited!C:C)))+(((100-(_xlfn.XLOOKUP(Assessment!H176,Inherited!A:A,Inherited!B:B)))/100)*IF(X175="1.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(100%)","100"))))))&gt;=33,(((_xlfn.XLOOKUP(Assessment!H176,Inherited!A:A,Inherited!B:B))/100)*(_xlfn.XLOOKUP(Assessment!H176,Inherited!A:A,Inherited!C:C)))+(((100-(_xlfn.XLOOKUP(Assessment!H176,Inherited!A:A,Inherited!B:B)))/100)*IF(X175="1.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(100%)","100"))))))&lt;=65),"50",IF(AND((((_xlfn.XLOOKUP(Assessment!H176,Inherited!A:A,Inherited!B:B))/100)*(_xlfn.XLOOKUP(Assessment!H176,Inherited!A:A,Inherited!C:C)))+(((100-(_xlfn.XLOOKUP(Assessment!H176,Inherited!A:A,Inherited!B:B)))/100)*IF(X175="1.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(100%)","100"))))))&gt;=66,(((_xlfn.XLOOKUP(Assessment!H176,Inherited!A:A,Inherited!B:B))/100)*(_xlfn.XLOOKUP(Assessment!H176,Inherited!A:A,Inherited!C:C)))+(((100-(_xlfn.XLOOKUP(Assessment!H176,Inherited!A:A,Inherited!B:B)))/100)*IF(X175="1.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(100%)","100"))))))&lt;=89),"75",IF((((_xlfn.XLOOKUP(Assessment!H176,Inherited!A:A,Inherited!B:B))/100)*(_xlfn.XLOOKUP(Assessment!H176,Inherited!A:A,Inherited!C:C)))+(((100-(_xlfn.XLOOKUP(Assessment!H176,Inherited!A:A,Inherited!B:B)))/100)*IF(X175="1. Non Compliant (0%)","0",IF(X175="2. Somewhat Compliant (25%)","25",IF(X175="3. Partially Compliant (50%)","50",IF(X175="4. Mostly Compliant (75%)","75",IF(X175="5. Fully Compliant (100%)","100"))))))&gt;=90,"100"))))))</f>
        <v>#N/A</v>
      </c>
      <c r="R175" s="1" t="e">
        <f>IF(MATCH(H175,Inherited!A:A),IF((((_xlfn.XLOOKUP(Assessment!H176,Inherited!A:A,Inherited!B:B))/100)*(_xlfn.XLOOKUP(Assessment!H176,Inherited!A:A,Inherited!D:D)))+(((100-(_xlfn.XLOOKUP(Assessment!H176,Inherited!A:A,Inherited!B:B)))/100)*IF(Y175="1.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(100%)","100"))))))&lt;=10,"0", IF(AND((((_xlfn.XLOOKUP(Assessment!H176,Inherited!A:A,Inherited!B:B))/100)*(_xlfn.XLOOKUP(Assessment!H176,Inherited!A:A,Inherited!D:D)))+(((100-(_xlfn.XLOOKUP(Assessment!H176,Inherited!A:A,Inherited!B:B)))/100)*IF(Y175="1.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(100%)","100"))))))&gt;=11,(((_xlfn.XLOOKUP(Assessment!H176,Inherited!A:A,Inherited!B:B))/100)*(_xlfn.XLOOKUP(Assessment!H176,Inherited!A:A,Inherited!D:D)))+(((100-(_xlfn.XLOOKUP(Assessment!H176,Inherited!A:A,Inherited!B:B)))/100)*IF(Y175="1.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(100%)","100"))))))&lt;=32),"25",IF(AND((((_xlfn.XLOOKUP(Assessment!H176,Inherited!A:A,Inherited!B:B))/100)*(_xlfn.XLOOKUP(Assessment!H176,Inherited!A:A,Inherited!D:D)))+(((100-(_xlfn.XLOOKUP(Assessment!H176,Inherited!A:A,Inherited!B:B)))/100)*IF(Y175="1.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(100%)","100"))))))&gt;=33,(((_xlfn.XLOOKUP(Assessment!H176,Inherited!A:A,Inherited!B:B))/100)*(_xlfn.XLOOKUP(Assessment!H176,Inherited!A:A,Inherited!D:D)))+(((100-(_xlfn.XLOOKUP(Assessment!H176,Inherited!A:A,Inherited!B:B)))/100)*IF(Y175="1.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(100%)","100"))))))&lt;=65),"50",IF(AND((((_xlfn.XLOOKUP(Assessment!H176,Inherited!A:A,Inherited!B:B))/100)*(_xlfn.XLOOKUP(Assessment!H176,Inherited!A:A,Inherited!D:D)))+(((100-(_xlfn.XLOOKUP(Assessment!H176,Inherited!A:A,Inherited!B:B)))/100)*IF(Y175="1.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(100%)","100"))))))&gt;=66,(((_xlfn.XLOOKUP(Assessment!H176,Inherited!A:A,Inherited!B:B))/100)*(_xlfn.XLOOKUP(Assessment!H176,Inherited!A:A,Inherited!D:D)))+(((100-(_xlfn.XLOOKUP(Assessment!H176,Inherited!A:A,Inherited!B:B)))/100)*IF(Y175="1.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(100%)","100"))))))&lt;=89),"75",IF((((_xlfn.XLOOKUP(Assessment!H176,Inherited!A:A,Inherited!B:B))/100)*(_xlfn.XLOOKUP(Assessment!H176,Inherited!A:A,Inherited!D:D)))+(((100-(_xlfn.XLOOKUP(Assessment!H176,Inherited!A:A,Inherited!B:B)))/100)*IF(Y175="1. Non Compliant (0%)","0",IF(Y175="2. Somewhat Compliant (25%)","25",IF(Y175="3. Partially Compliant (50%)","50",IF(Y175="4. Mostly Compliant (75%)","75",IF(Y175="5. Fully Compliant (100%)","100"))))))&gt;=90,"100"))))))</f>
        <v>#N/A</v>
      </c>
      <c r="S175" s="1" t="e">
        <f>IF(MATCH(H175,Inherited!A:A),IF((((_xlfn.XLOOKUP(Assessment!H176,Inherited!A:A,Inherited!B:B))/100)*(_xlfn.XLOOKUP(Assessment!H176,Inherited!A:A,Inherited!E:E)))+(((100-(_xlfn.XLOOKUP(Assessment!H176,Inherited!A:A,Inherited!B:B)))/100)*IF(Z175="1.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(100%)","100"))))))&lt;=10,"0", IF(AND((((_xlfn.XLOOKUP(Assessment!H176,Inherited!A:A,Inherited!B:B))/100)*(_xlfn.XLOOKUP(Assessment!H176,Inherited!A:A,Inherited!E:E)))+(((100-(_xlfn.XLOOKUP(Assessment!H176,Inherited!A:A,Inherited!B:B)))/100)*IF(Z175="1.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(100%)","100"))))))&gt;=11,(((_xlfn.XLOOKUP(Assessment!H176,Inherited!A:A,Inherited!B:B))/100)*(_xlfn.XLOOKUP(Assessment!H176,Inherited!A:A,Inherited!E:E)))+(((100-(_xlfn.XLOOKUP(Assessment!H176,Inherited!A:A,Inherited!B:B)))/100)*IF(Z175="1.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(100%)","100"))))))&lt;=32),"25",IF(AND((((_xlfn.XLOOKUP(Assessment!H176,Inherited!A:A,Inherited!B:B))/100)*(_xlfn.XLOOKUP(Assessment!H176,Inherited!A:A,Inherited!E:E)))+(((100-(_xlfn.XLOOKUP(Assessment!H176,Inherited!A:A,Inherited!B:B)))/100)*IF(Z175="1.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(100%)","100"))))))&gt;=33,(((_xlfn.XLOOKUP(Assessment!H176,Inherited!A:A,Inherited!B:B))/100)*(_xlfn.XLOOKUP(Assessment!H176,Inherited!A:A,Inherited!E:E)))+(((100-(_xlfn.XLOOKUP(Assessment!H176,Inherited!A:A,Inherited!B:B)))/100)*IF(Z175="1.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(100%)","100"))))))&lt;=65),"50",IF(AND((((_xlfn.XLOOKUP(Assessment!H176,Inherited!A:A,Inherited!B:B))/100)*(_xlfn.XLOOKUP(Assessment!H176,Inherited!A:A,Inherited!E:E)))+(((100-(_xlfn.XLOOKUP(Assessment!H176,Inherited!A:A,Inherited!B:B)))/100)*IF(Z175="1.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(100%)","100"))))))&gt;=66,(((_xlfn.XLOOKUP(Assessment!H176,Inherited!A:A,Inherited!B:B))/100)*(_xlfn.XLOOKUP(Assessment!H176,Inherited!A:A,Inherited!E:E)))+(((100-(_xlfn.XLOOKUP(Assessment!H176,Inherited!A:A,Inherited!B:B)))/100)*IF(Z175="1.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(100%)","100"))))))&lt;=89),"75",IF((((_xlfn.XLOOKUP(Assessment!H176,Inherited!A:A,Inherited!B:B))/100)*(_xlfn.XLOOKUP(Assessment!H176,Inherited!A:A,Inherited!E:E)))+(((100-(_xlfn.XLOOKUP(Assessment!H176,Inherited!A:A,Inherited!B:B)))/100)*IF(Z175="1. Non Compliant (0%)","0",IF(Z175="2. Somewhat Compliant (25%)","25",IF(Z175="3. Partially Compliant (50%)","50",IF(Z175="4. Mostly Compliant (75%)","75",IF(Z175="5. Fully Compliant (100%)","100"))))))&gt;=90,"100"))))))</f>
        <v>#N/A</v>
      </c>
      <c r="T175" s="1" t="e">
        <f>IF(MATCH(H175,Inherited!A:A),IF((((_xlfn.XLOOKUP(Assessment!H176,Inherited!A:A,Inherited!B:B))/100)*(_xlfn.XLOOKUP(Assessment!H176,Inherited!A:A,Inherited!F:F)))+(((100-(_xlfn.XLOOKUP(Assessment!H176,Inherited!A:A,Inherited!B:B)))/100)*IF(AA175="1.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(100%)","100"))))))&lt;=10,"0", IF(AND((((_xlfn.XLOOKUP(Assessment!H176,Inherited!A:A,Inherited!B:B))/100)*(_xlfn.XLOOKUP(Assessment!H176,Inherited!A:A,Inherited!F:F)))+(((100-(_xlfn.XLOOKUP(Assessment!H176,Inherited!A:A,Inherited!B:B)))/100)*IF(AA175="1.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(100%)","100"))))))&gt;=11,(((_xlfn.XLOOKUP(Assessment!H176,Inherited!A:A,Inherited!B:B))/100)*(_xlfn.XLOOKUP(Assessment!H176,Inherited!A:A,Inherited!F:F)))+(((100-(_xlfn.XLOOKUP(Assessment!H176,Inherited!A:A,Inherited!B:B)))/100)*IF(AA175="1.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(100%)","100"))))))&lt;=32),"25",IF(AND((((_xlfn.XLOOKUP(Assessment!H176,Inherited!A:A,Inherited!B:B))/100)*(_xlfn.XLOOKUP(Assessment!H176,Inherited!A:A,Inherited!F:F)))+(((100-(_xlfn.XLOOKUP(Assessment!H176,Inherited!A:A,Inherited!B:B)))/100)*IF(AA175="1.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(100%)","100"))))))&gt;=33,(((_xlfn.XLOOKUP(Assessment!H176,Inherited!A:A,Inherited!B:B))/100)*(_xlfn.XLOOKUP(Assessment!H176,Inherited!A:A,Inherited!F:F)))+(((100-(_xlfn.XLOOKUP(Assessment!H176,Inherited!A:A,Inherited!B:B)))/100)*IF(AA175="1.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(100%)","100"))))))&lt;=65),"50",IF(AND((((_xlfn.XLOOKUP(Assessment!H176,Inherited!A:A,Inherited!B:B))/100)*(_xlfn.XLOOKUP(Assessment!H176,Inherited!A:A,Inherited!F:F)))+(((100-(_xlfn.XLOOKUP(Assessment!H176,Inherited!A:A,Inherited!B:B)))/100)*IF(AA175="1.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(100%)","100"))))))&gt;=66,(((_xlfn.XLOOKUP(Assessment!H176,Inherited!A:A,Inherited!B:B))/100)*(_xlfn.XLOOKUP(Assessment!H176,Inherited!A:A,Inherited!F:F)))+(((100-(_xlfn.XLOOKUP(Assessment!H176,Inherited!A:A,Inherited!B:B)))/100)*IF(AA175="1.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(100%)","100"))))))&lt;=89),"75",IF((((_xlfn.XLOOKUP(Assessment!H176,Inherited!A:A,Inherited!B:B))/100)*(_xlfn.XLOOKUP(Assessment!H176,Inherited!A:A,Inherited!F:F)))+(((100-(_xlfn.XLOOKUP(Assessment!H176,Inherited!A:A,Inherited!B:B)))/100)*IF(AA175="1. Non Compliant (0%)","0",IF(AA175="2. Somewhat Compliant (25%)","25",IF(AA175="3. Partially Compliant (50%)","50",IF(AA175="4. Mostly Compliant (75%)","75",IF(AA175="5. Fully Compliant (100%)","100"))))))&gt;=90,"100"))))))</f>
        <v>#N/A</v>
      </c>
      <c r="U175" s="1" t="e">
        <f>IF(MATCH(H175,Inherited!A:A),IF((((_xlfn.XLOOKUP(Assessment!H176,Inherited!A:A,Inherited!B:B))/100)*(_xlfn.XLOOKUP(Assessment!H176,Inherited!A:A,Inherited!G:G)))+(((100-(_xlfn.XLOOKUP(Assessment!H176,Inherited!A:A,Inherited!B:B)))/100)*IF(AB175="1.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(100%)","100"))))))&lt;=10,"0", IF(AND((((_xlfn.XLOOKUP(Assessment!H176,Inherited!A:A,Inherited!B:B))/100)*(_xlfn.XLOOKUP(Assessment!H176,Inherited!A:A,Inherited!G:G)))+(((100-(_xlfn.XLOOKUP(Assessment!H176,Inherited!A:A,Inherited!B:B)))/100)*IF(AB175="1.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(100%)","100"))))))&gt;=11,(((_xlfn.XLOOKUP(Assessment!H176,Inherited!A:A,Inherited!B:B))/100)*(_xlfn.XLOOKUP(Assessment!H176,Inherited!A:A,Inherited!G:G)))+(((100-(_xlfn.XLOOKUP(Assessment!H176,Inherited!A:A,Inherited!B:B)))/100)*IF(AB175="1.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(100%)","100"))))))&lt;=32),"25",IF(AND((((_xlfn.XLOOKUP(Assessment!H176,Inherited!A:A,Inherited!B:B))/100)*(_xlfn.XLOOKUP(Assessment!H176,Inherited!A:A,Inherited!G:G)))+(((100-(_xlfn.XLOOKUP(Assessment!H176,Inherited!A:A,Inherited!B:B)))/100)*IF(AB175="1.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(100%)","100"))))))&gt;=33,(((_xlfn.XLOOKUP(Assessment!H176,Inherited!A:A,Inherited!B:B))/100)*(_xlfn.XLOOKUP(Assessment!H176,Inherited!A:A,Inherited!G:G)))+(((100-(_xlfn.XLOOKUP(Assessment!H176,Inherited!A:A,Inherited!B:B)))/100)*IF(AB175="1.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(100%)","100"))))))&lt;=65),"50",IF(AND((((_xlfn.XLOOKUP(Assessment!H176,Inherited!A:A,Inherited!B:B))/100)*(_xlfn.XLOOKUP(Assessment!H176,Inherited!A:A,Inherited!G:G)))+(((100-(_xlfn.XLOOKUP(Assessment!H176,Inherited!A:A,Inherited!B:B)))/100)*IF(AB175="1.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(100%)","100"))))))&gt;=66,(((_xlfn.XLOOKUP(Assessment!H176,Inherited!A:A,Inherited!B:B))/100)*(_xlfn.XLOOKUP(Assessment!H176,Inherited!A:A,Inherited!G:G)))+(((100-(_xlfn.XLOOKUP(Assessment!H176,Inherited!A:A,Inherited!B:B)))/100)*IF(AB175="1.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(100%)","100"))))))&lt;=89),"75",IF((((_xlfn.XLOOKUP(Assessment!H176,Inherited!A:A,Inherited!B:B))/100)*(_xlfn.XLOOKUP(Assessment!H176,Inherited!A:A,Inherited!G:G)))+(((100-(_xlfn.XLOOKUP(Assessment!H176,Inherited!A:A,Inherited!B:B)))/100)*IF(AB175="1. Non Compliant (0%)","0",IF(AB175="2. Somewhat Compliant (25%)","25",IF(AB175="3. Partially Compliant (50%)","50",IF(AB175="4. Mostly Compliant (75%)","75",IF(AB175="5. Fully Compliant (100%)","100"))))))&gt;=90,"100"))))))</f>
        <v>#N/A</v>
      </c>
      <c r="V175" s="55" t="s">
        <v>85</v>
      </c>
      <c r="W175" s="55"/>
      <c r="X175" s="55"/>
      <c r="Y175" s="55"/>
      <c r="Z175" s="55"/>
      <c r="AA175" s="55"/>
      <c r="AB175" s="55"/>
      <c r="AX175" s="3" t="str">
        <f>_xlfn.CONCAT("A-LIGN finished its review of this control on ",AR175, " during the scheduled fieldwork window (",Intro!$B$4,")."&amp; CHAR(10)&amp; CHAR(10))</f>
        <v xml:space="preserve">A-LIGN finished its review of this control on  during the scheduled fieldwork window (Fieldwork: xx/xx/xxxx - xx/xx/xxxx).
</v>
      </c>
      <c r="AY175" s="3" t="str">
        <f t="shared" ref="AY175:AY179" si="331">IF(AQ175&lt;&gt;"",(_xlfn.CONCAT("Inheritance note: "&amp; CHAR(10),AQ175&amp; CHAR(10)&amp; CHAR(10))),"")</f>
        <v/>
      </c>
      <c r="AZ175" s="3" t="str">
        <f t="shared" ref="AZ175:AZ179" si="332">IFERROR(IF(AD175&lt;&gt;"",_xlfn.CONCAT("Examined the following policy during fieldwork:"&amp; CHAR(10),AD175&amp; CHAR(10)&amp; CHAR(10),IF(AND(X175&lt;&gt;"5. Fully Compliant (100%)",AE175&lt;&gt;""),"Reviewed policy exception note:"&amp; CHAR(10) &amp; AE175 &amp; CHAR(10) &amp; CHAR(10),"")),""),"")</f>
        <v/>
      </c>
      <c r="BA175" s="3" t="str">
        <f t="shared" ref="BA175:BA179" si="333">IFERROR(IF(AH175&lt;&gt;"",_xlfn.CONCAT("Examined the following process during fieldwork:"&amp; CHAR(10),AH175&amp; CHAR(10)&amp; CHAR(10),IF(AND(Y175&lt;&gt;"5. Fully Compliant (100%)",AI175&lt;&gt;""),"Reviewed process exception note:"&amp; CHAR(10) &amp; AI175 &amp; CHAR(10) &amp; CHAR(10),"")),""),"")</f>
        <v/>
      </c>
      <c r="BB175" s="3" t="str">
        <f t="shared" ref="BB175:BB179" si="334">IF(AK175&lt;&gt;"",(_xlfn.CONCAT("Inquired of the following workforce member: "&amp; CHAR(10),AK175&amp; CHAR(10)&amp; CHAR(10),"Inquiry lead to the following conclusions: "&amp; CHAR(10),AL175&amp; CHAR(10) &amp; CHAR(10))),"")</f>
        <v/>
      </c>
      <c r="BC175" s="3" t="str">
        <f t="shared" ref="BC175:BC179" si="335">IF(AM175&lt;&gt;"",(_xlfn.CONCAT("Observed the following live during fieldwork: "&amp; CHAR(10),AM175&amp; CHAR(10) &amp; CHAR(10))),"")</f>
        <v/>
      </c>
      <c r="BD175" s="3" t="str">
        <f t="shared" ref="BD175:BD179" si="336">_xlfn.CONCAT("Examined the following evidence during fieldwork:"&amp; CHAR(10),AN175&amp; CHAR(10)&amp; CHAR(10),IF(AO175&lt;&gt;"","Reviewed evidence note:"&amp; CHAR(10)&amp;AO175&amp; CHAR(10) &amp; CHAR(10),"Reviewed evidence addressed the requirement statement."&amp; CHAR(10) &amp; CHAR(10)),IF(AND(AP175&lt;&gt;"5. Fully Compliant (100%)",AP175&lt;&gt;""),"Reviewed evidence exception note: "&amp; CHAR(10) &amp; AP175 &amp; CHAR(10) &amp; CHAR(10),""))</f>
        <v xml:space="preserve">Examined the following evidence during fieldwork:
Reviewed evidence addressed the requirement statement.
</v>
      </c>
      <c r="BE175" s="3" t="str">
        <f t="shared" ref="BE175:BE179" si="337">IF(AT175&lt;&gt;"",(_xlfn.CONCAT("Examined the following measure/metric during fieldwork:"&amp; CHAR(10),AT175&amp; CHAR(10)&amp; CHAR(10),"Reviewed measure/metric note:"&amp; CHAR(10),AU175 &amp; CHAR(10) &amp; CHAR(10))),"")</f>
        <v/>
      </c>
      <c r="BF175" s="3" t="str">
        <f t="shared" ref="BF175:BF179" si="338">IF(AV175&lt;&gt;"",(_xlfn.CONCAT("Examined the following measure/metric management during fieldwork:"&amp; CHAR(10),AV175&amp; CHAR(10)&amp; CHAR(10),"Reviewed measure/metric management note:"&amp; CHAR(10),AW175 &amp; CHAR(10) &amp; CHAR(10))),"")</f>
        <v/>
      </c>
      <c r="BG175" s="3" t="str">
        <f>_xlfn.CONCAT((IF((COUNTIF('Sample Tables'!B:B,"")&gt;0)=TRUE,_xlfn.CONCAT("",""),IF((COUNTIF('Sample Tables'!B:B,"")&gt;0)=FALSE,""))),)</f>
        <v/>
      </c>
      <c r="BH175" s="3" t="str">
        <f t="shared" ref="BH175:BH179" si="339">IF(V175="No","Not Applicable: "&amp;W175,(_xlfn.CONCAT(AX175,AY175,AZ175,BA175,BB175,BC175,BD175,BE175,BF175,BG175)))</f>
        <v xml:space="preserve">A-LIGN finished its review of this control on  during the scheduled fieldwork window (Fieldwork: xx/xx/xxxx - xx/xx/xxxx).
Examined the following evidence during fieldwork:
Reviewed evidence addressed the requirement statement.
</v>
      </c>
    </row>
    <row r="176" spans="3:60" ht="262.5" x14ac:dyDescent="0.35">
      <c r="C176" s="1">
        <f t="shared" si="330"/>
        <v>20</v>
      </c>
      <c r="D176" s="5" t="str">
        <f>IF(AND((_xlfn.XLOOKUP(J176,'Fields &amp; Revisions'!$H:$H,'Fields &amp; Revisions'!$I:$I))&lt;70.99,(OR(Z176="4. Mostly Compliant (75%)",Z176="3. Partially Compliant (50%)",Z176="2. Somewhat Compliant (25%)",Z176="1. Non Compliant (0%)"))),"Yes","No")</f>
        <v>Yes</v>
      </c>
      <c r="E176" s="5" t="str">
        <f>IF(ISERROR(VLOOKUP(H176,Scope!A:A,1,FALSE)),"No","Yes")</f>
        <v>Yes</v>
      </c>
      <c r="F176" s="1" t="s">
        <v>4666</v>
      </c>
      <c r="G176" s="53" t="s">
        <v>4977</v>
      </c>
      <c r="H176" s="53" t="s">
        <v>4978</v>
      </c>
      <c r="I176" s="5">
        <v>2</v>
      </c>
      <c r="J176" s="1" t="s">
        <v>226</v>
      </c>
      <c r="K176" s="1" t="s">
        <v>4979</v>
      </c>
      <c r="L176" s="1" t="s">
        <v>4980</v>
      </c>
      <c r="M176" s="1" t="s">
        <v>10956</v>
      </c>
      <c r="N176" s="5" t="s">
        <v>98</v>
      </c>
      <c r="O176" s="1" t="str">
        <f>_xlfn.XLOOKUP(G176,SRMs!$A:$A,SRMs!$D:$D)</f>
        <v>NO INHERITANCE</v>
      </c>
      <c r="P176" s="1" t="str">
        <f>IFERROR(VLOOKUP(H176,Inherited!A:B,2,FALSE),"")</f>
        <v/>
      </c>
      <c r="Q176" s="1" t="e">
        <f>IF(MATCH(H176,Inherited!A:A),IF((((_xlfn.XLOOKUP(Assessment!#REF!,Inherited!A:A,Inherited!B:B))/100)*(_xlfn.XLOOKUP(Assessment!#REF!,Inherited!A:A,Inherited!C:C)))+(((100-(_xlfn.XLOOKUP(Assessment!#REF!,Inherited!A:A,Inherited!B:B)))/100)*IF(X176="1.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(100%)","100"))))))&lt;=10,"0", IF(AND((((_xlfn.XLOOKUP(Assessment!#REF!,Inherited!A:A,Inherited!B:B))/100)*(_xlfn.XLOOKUP(Assessment!#REF!,Inherited!A:A,Inherited!C:C)))+(((100-(_xlfn.XLOOKUP(Assessment!#REF!,Inherited!A:A,Inherited!B:B)))/100)*IF(X176="1.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(100%)","100"))))))&gt;=11,(((_xlfn.XLOOKUP(Assessment!#REF!,Inherited!A:A,Inherited!B:B))/100)*(_xlfn.XLOOKUP(Assessment!#REF!,Inherited!A:A,Inherited!C:C)))+(((100-(_xlfn.XLOOKUP(Assessment!#REF!,Inherited!A:A,Inherited!B:B)))/100)*IF(X176="1.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(100%)","100"))))))&lt;=32),"25",IF(AND((((_xlfn.XLOOKUP(Assessment!#REF!,Inherited!A:A,Inherited!B:B))/100)*(_xlfn.XLOOKUP(Assessment!#REF!,Inherited!A:A,Inherited!C:C)))+(((100-(_xlfn.XLOOKUP(Assessment!#REF!,Inherited!A:A,Inherited!B:B)))/100)*IF(X176="1.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(100%)","100"))))))&gt;=33,(((_xlfn.XLOOKUP(Assessment!#REF!,Inherited!A:A,Inherited!B:B))/100)*(_xlfn.XLOOKUP(Assessment!#REF!,Inherited!A:A,Inherited!C:C)))+(((100-(_xlfn.XLOOKUP(Assessment!#REF!,Inherited!A:A,Inherited!B:B)))/100)*IF(X176="1.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(100%)","100"))))))&lt;=65),"50",IF(AND((((_xlfn.XLOOKUP(Assessment!#REF!,Inherited!A:A,Inherited!B:B))/100)*(_xlfn.XLOOKUP(Assessment!#REF!,Inherited!A:A,Inherited!C:C)))+(((100-(_xlfn.XLOOKUP(Assessment!#REF!,Inherited!A:A,Inherited!B:B)))/100)*IF(X176="1.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(100%)","100"))))))&gt;=66,(((_xlfn.XLOOKUP(Assessment!#REF!,Inherited!A:A,Inherited!B:B))/100)*(_xlfn.XLOOKUP(Assessment!#REF!,Inherited!A:A,Inherited!C:C)))+(((100-(_xlfn.XLOOKUP(Assessment!#REF!,Inherited!A:A,Inherited!B:B)))/100)*IF(X176="1.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(100%)","100"))))))&lt;=89),"75",IF((((_xlfn.XLOOKUP(Assessment!#REF!,Inherited!A:A,Inherited!B:B))/100)*(_xlfn.XLOOKUP(Assessment!#REF!,Inherited!A:A,Inherited!C:C)))+(((100-(_xlfn.XLOOKUP(Assessment!#REF!,Inherited!A:A,Inherited!B:B)))/100)*IF(X176="1. Non Compliant (0%)","0",IF(X176="2. Somewhat Compliant (25%)","25",IF(X176="3. Partially Compliant (50%)","50",IF(X176="4. Mostly Compliant (75%)","75",IF(X176="5. Fully Compliant (100%)","100"))))))&gt;=90,"100"))))))</f>
        <v>#N/A</v>
      </c>
      <c r="R176" s="1" t="e">
        <f>IF(MATCH(H176,Inherited!A:A),IF((((_xlfn.XLOOKUP(Assessment!#REF!,Inherited!A:A,Inherited!B:B))/100)*(_xlfn.XLOOKUP(Assessment!#REF!,Inherited!A:A,Inherited!D:D)))+(((100-(_xlfn.XLOOKUP(Assessment!#REF!,Inherited!A:A,Inherited!B:B)))/100)*IF(Y176="1.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(100%)","100"))))))&lt;=10,"0", IF(AND((((_xlfn.XLOOKUP(Assessment!#REF!,Inherited!A:A,Inherited!B:B))/100)*(_xlfn.XLOOKUP(Assessment!#REF!,Inherited!A:A,Inherited!D:D)))+(((100-(_xlfn.XLOOKUP(Assessment!#REF!,Inherited!A:A,Inherited!B:B)))/100)*IF(Y176="1.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(100%)","100"))))))&gt;=11,(((_xlfn.XLOOKUP(Assessment!#REF!,Inherited!A:A,Inherited!B:B))/100)*(_xlfn.XLOOKUP(Assessment!#REF!,Inherited!A:A,Inherited!D:D)))+(((100-(_xlfn.XLOOKUP(Assessment!#REF!,Inherited!A:A,Inherited!B:B)))/100)*IF(Y176="1.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(100%)","100"))))))&lt;=32),"25",IF(AND((((_xlfn.XLOOKUP(Assessment!#REF!,Inherited!A:A,Inherited!B:B))/100)*(_xlfn.XLOOKUP(Assessment!#REF!,Inherited!A:A,Inherited!D:D)))+(((100-(_xlfn.XLOOKUP(Assessment!#REF!,Inherited!A:A,Inherited!B:B)))/100)*IF(Y176="1.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(100%)","100"))))))&gt;=33,(((_xlfn.XLOOKUP(Assessment!#REF!,Inherited!A:A,Inherited!B:B))/100)*(_xlfn.XLOOKUP(Assessment!#REF!,Inherited!A:A,Inherited!D:D)))+(((100-(_xlfn.XLOOKUP(Assessment!#REF!,Inherited!A:A,Inherited!B:B)))/100)*IF(Y176="1.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(100%)","100"))))))&lt;=65),"50",IF(AND((((_xlfn.XLOOKUP(Assessment!#REF!,Inherited!A:A,Inherited!B:B))/100)*(_xlfn.XLOOKUP(Assessment!#REF!,Inherited!A:A,Inherited!D:D)))+(((100-(_xlfn.XLOOKUP(Assessment!#REF!,Inherited!A:A,Inherited!B:B)))/100)*IF(Y176="1.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(100%)","100"))))))&gt;=66,(((_xlfn.XLOOKUP(Assessment!#REF!,Inherited!A:A,Inherited!B:B))/100)*(_xlfn.XLOOKUP(Assessment!#REF!,Inherited!A:A,Inherited!D:D)))+(((100-(_xlfn.XLOOKUP(Assessment!#REF!,Inherited!A:A,Inherited!B:B)))/100)*IF(Y176="1.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(100%)","100"))))))&lt;=89),"75",IF((((_xlfn.XLOOKUP(Assessment!#REF!,Inherited!A:A,Inherited!B:B))/100)*(_xlfn.XLOOKUP(Assessment!#REF!,Inherited!A:A,Inherited!D:D)))+(((100-(_xlfn.XLOOKUP(Assessment!#REF!,Inherited!A:A,Inherited!B:B)))/100)*IF(Y176="1. Non Compliant (0%)","0",IF(Y176="2. Somewhat Compliant (25%)","25",IF(Y176="3. Partially Compliant (50%)","50",IF(Y176="4. Mostly Compliant (75%)","75",IF(Y176="5. Fully Compliant (100%)","100"))))))&gt;=90,"100"))))))</f>
        <v>#N/A</v>
      </c>
      <c r="S176" s="1" t="e">
        <f>IF(MATCH(H176,Inherited!A:A),IF((((_xlfn.XLOOKUP(Assessment!#REF!,Inherited!A:A,Inherited!B:B))/100)*(_xlfn.XLOOKUP(Assessment!#REF!,Inherited!A:A,Inherited!E:E)))+(((100-(_xlfn.XLOOKUP(Assessment!#REF!,Inherited!A:A,Inherited!B:B)))/100)*IF(Z176="1.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(100%)","100"))))))&lt;=10,"0", IF(AND((((_xlfn.XLOOKUP(Assessment!#REF!,Inherited!A:A,Inherited!B:B))/100)*(_xlfn.XLOOKUP(Assessment!#REF!,Inherited!A:A,Inherited!E:E)))+(((100-(_xlfn.XLOOKUP(Assessment!#REF!,Inherited!A:A,Inherited!B:B)))/100)*IF(Z176="1.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(100%)","100"))))))&gt;=11,(((_xlfn.XLOOKUP(Assessment!#REF!,Inherited!A:A,Inherited!B:B))/100)*(_xlfn.XLOOKUP(Assessment!#REF!,Inherited!A:A,Inherited!E:E)))+(((100-(_xlfn.XLOOKUP(Assessment!#REF!,Inherited!A:A,Inherited!B:B)))/100)*IF(Z176="1.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(100%)","100"))))))&lt;=32),"25",IF(AND((((_xlfn.XLOOKUP(Assessment!#REF!,Inherited!A:A,Inherited!B:B))/100)*(_xlfn.XLOOKUP(Assessment!#REF!,Inherited!A:A,Inherited!E:E)))+(((100-(_xlfn.XLOOKUP(Assessment!#REF!,Inherited!A:A,Inherited!B:B)))/100)*IF(Z176="1.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(100%)","100"))))))&gt;=33,(((_xlfn.XLOOKUP(Assessment!#REF!,Inherited!A:A,Inherited!B:B))/100)*(_xlfn.XLOOKUP(Assessment!#REF!,Inherited!A:A,Inherited!E:E)))+(((100-(_xlfn.XLOOKUP(Assessment!#REF!,Inherited!A:A,Inherited!B:B)))/100)*IF(Z176="1.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(100%)","100"))))))&lt;=65),"50",IF(AND((((_xlfn.XLOOKUP(Assessment!#REF!,Inherited!A:A,Inherited!B:B))/100)*(_xlfn.XLOOKUP(Assessment!#REF!,Inherited!A:A,Inherited!E:E)))+(((100-(_xlfn.XLOOKUP(Assessment!#REF!,Inherited!A:A,Inherited!B:B)))/100)*IF(Z176="1.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(100%)","100"))))))&gt;=66,(((_xlfn.XLOOKUP(Assessment!#REF!,Inherited!A:A,Inherited!B:B))/100)*(_xlfn.XLOOKUP(Assessment!#REF!,Inherited!A:A,Inherited!E:E)))+(((100-(_xlfn.XLOOKUP(Assessment!#REF!,Inherited!A:A,Inherited!B:B)))/100)*IF(Z176="1.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(100%)","100"))))))&lt;=89),"75",IF((((_xlfn.XLOOKUP(Assessment!#REF!,Inherited!A:A,Inherited!B:B))/100)*(_xlfn.XLOOKUP(Assessment!#REF!,Inherited!A:A,Inherited!E:E)))+(((100-(_xlfn.XLOOKUP(Assessment!#REF!,Inherited!A:A,Inherited!B:B)))/100)*IF(Z176="1. Non Compliant (0%)","0",IF(Z176="2. Somewhat Compliant (25%)","25",IF(Z176="3. Partially Compliant (50%)","50",IF(Z176="4. Mostly Compliant (75%)","75",IF(Z176="5. Fully Compliant (100%)","100"))))))&gt;=90,"100"))))))</f>
        <v>#N/A</v>
      </c>
      <c r="T176" s="1" t="e">
        <f>IF(MATCH(H176,Inherited!A:A),IF((((_xlfn.XLOOKUP(Assessment!#REF!,Inherited!A:A,Inherited!B:B))/100)*(_xlfn.XLOOKUP(Assessment!#REF!,Inherited!A:A,Inherited!F:F)))+(((100-(_xlfn.XLOOKUP(Assessment!#REF!,Inherited!A:A,Inherited!B:B)))/100)*IF(AA176="1.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(100%)","100"))))))&lt;=10,"0", IF(AND((((_xlfn.XLOOKUP(Assessment!#REF!,Inherited!A:A,Inherited!B:B))/100)*(_xlfn.XLOOKUP(Assessment!#REF!,Inherited!A:A,Inherited!F:F)))+(((100-(_xlfn.XLOOKUP(Assessment!#REF!,Inherited!A:A,Inherited!B:B)))/100)*IF(AA176="1.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(100%)","100"))))))&gt;=11,(((_xlfn.XLOOKUP(Assessment!#REF!,Inherited!A:A,Inherited!B:B))/100)*(_xlfn.XLOOKUP(Assessment!#REF!,Inherited!A:A,Inherited!F:F)))+(((100-(_xlfn.XLOOKUP(Assessment!#REF!,Inherited!A:A,Inherited!B:B)))/100)*IF(AA176="1.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(100%)","100"))))))&lt;=32),"25",IF(AND((((_xlfn.XLOOKUP(Assessment!#REF!,Inherited!A:A,Inherited!B:B))/100)*(_xlfn.XLOOKUP(Assessment!#REF!,Inherited!A:A,Inherited!F:F)))+(((100-(_xlfn.XLOOKUP(Assessment!#REF!,Inherited!A:A,Inherited!B:B)))/100)*IF(AA176="1.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(100%)","100"))))))&gt;=33,(((_xlfn.XLOOKUP(Assessment!#REF!,Inherited!A:A,Inherited!B:B))/100)*(_xlfn.XLOOKUP(Assessment!#REF!,Inherited!A:A,Inherited!F:F)))+(((100-(_xlfn.XLOOKUP(Assessment!#REF!,Inherited!A:A,Inherited!B:B)))/100)*IF(AA176="1.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(100%)","100"))))))&lt;=65),"50",IF(AND((((_xlfn.XLOOKUP(Assessment!#REF!,Inherited!A:A,Inherited!B:B))/100)*(_xlfn.XLOOKUP(Assessment!#REF!,Inherited!A:A,Inherited!F:F)))+(((100-(_xlfn.XLOOKUP(Assessment!#REF!,Inherited!A:A,Inherited!B:B)))/100)*IF(AA176="1.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(100%)","100"))))))&gt;=66,(((_xlfn.XLOOKUP(Assessment!#REF!,Inherited!A:A,Inherited!B:B))/100)*(_xlfn.XLOOKUP(Assessment!#REF!,Inherited!A:A,Inherited!F:F)))+(((100-(_xlfn.XLOOKUP(Assessment!#REF!,Inherited!A:A,Inherited!B:B)))/100)*IF(AA176="1.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(100%)","100"))))))&lt;=89),"75",IF((((_xlfn.XLOOKUP(Assessment!#REF!,Inherited!A:A,Inherited!B:B))/100)*(_xlfn.XLOOKUP(Assessment!#REF!,Inherited!A:A,Inherited!F:F)))+(((100-(_xlfn.XLOOKUP(Assessment!#REF!,Inherited!A:A,Inherited!B:B)))/100)*IF(AA176="1. Non Compliant (0%)","0",IF(AA176="2. Somewhat Compliant (25%)","25",IF(AA176="3. Partially Compliant (50%)","50",IF(AA176="4. Mostly Compliant (75%)","75",IF(AA176="5. Fully Compliant (100%)","100"))))))&gt;=90,"100"))))))</f>
        <v>#N/A</v>
      </c>
      <c r="U176" s="1" t="e">
        <f>IF(MATCH(H176,Inherited!A:A),IF((((_xlfn.XLOOKUP(Assessment!#REF!,Inherited!A:A,Inherited!B:B))/100)*(_xlfn.XLOOKUP(Assessment!#REF!,Inherited!A:A,Inherited!G:G)))+(((100-(_xlfn.XLOOKUP(Assessment!#REF!,Inherited!A:A,Inherited!B:B)))/100)*IF(AB176="1.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(100%)","100"))))))&lt;=10,"0", IF(AND((((_xlfn.XLOOKUP(Assessment!#REF!,Inherited!A:A,Inherited!B:B))/100)*(_xlfn.XLOOKUP(Assessment!#REF!,Inherited!A:A,Inherited!G:G)))+(((100-(_xlfn.XLOOKUP(Assessment!#REF!,Inherited!A:A,Inherited!B:B)))/100)*IF(AB176="1.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(100%)","100"))))))&gt;=11,(((_xlfn.XLOOKUP(Assessment!#REF!,Inherited!A:A,Inherited!B:B))/100)*(_xlfn.XLOOKUP(Assessment!#REF!,Inherited!A:A,Inherited!G:G)))+(((100-(_xlfn.XLOOKUP(Assessment!#REF!,Inherited!A:A,Inherited!B:B)))/100)*IF(AB176="1.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(100%)","100"))))))&lt;=32),"25",IF(AND((((_xlfn.XLOOKUP(Assessment!#REF!,Inherited!A:A,Inherited!B:B))/100)*(_xlfn.XLOOKUP(Assessment!#REF!,Inherited!A:A,Inherited!G:G)))+(((100-(_xlfn.XLOOKUP(Assessment!#REF!,Inherited!A:A,Inherited!B:B)))/100)*IF(AB176="1.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(100%)","100"))))))&gt;=33,(((_xlfn.XLOOKUP(Assessment!#REF!,Inherited!A:A,Inherited!B:B))/100)*(_xlfn.XLOOKUP(Assessment!#REF!,Inherited!A:A,Inherited!G:G)))+(((100-(_xlfn.XLOOKUP(Assessment!#REF!,Inherited!A:A,Inherited!B:B)))/100)*IF(AB176="1.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(100%)","100"))))))&lt;=65),"50",IF(AND((((_xlfn.XLOOKUP(Assessment!#REF!,Inherited!A:A,Inherited!B:B))/100)*(_xlfn.XLOOKUP(Assessment!#REF!,Inherited!A:A,Inherited!G:G)))+(((100-(_xlfn.XLOOKUP(Assessment!#REF!,Inherited!A:A,Inherited!B:B)))/100)*IF(AB176="1.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(100%)","100"))))))&gt;=66,(((_xlfn.XLOOKUP(Assessment!#REF!,Inherited!A:A,Inherited!B:B))/100)*(_xlfn.XLOOKUP(Assessment!#REF!,Inherited!A:A,Inherited!G:G)))+(((100-(_xlfn.XLOOKUP(Assessment!#REF!,Inherited!A:A,Inherited!B:B)))/100)*IF(AB176="1.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(100%)","100"))))))&lt;=89),"75",IF((((_xlfn.XLOOKUP(Assessment!#REF!,Inherited!A:A,Inherited!B:B))/100)*(_xlfn.XLOOKUP(Assessment!#REF!,Inherited!A:A,Inherited!G:G)))+(((100-(_xlfn.XLOOKUP(Assessment!#REF!,Inherited!A:A,Inherited!B:B)))/100)*IF(AB176="1. Non Compliant (0%)","0",IF(AB176="2. Somewhat Compliant (25%)","25",IF(AB176="3. Partially Compliant (50%)","50",IF(AB176="4. Mostly Compliant (75%)","75",IF(AB176="5. Fully Compliant (100%)","100"))))))&gt;=90,"100"))))))</f>
        <v>#N/A</v>
      </c>
      <c r="V176" s="55" t="s">
        <v>85</v>
      </c>
      <c r="W176" s="55"/>
      <c r="X176" s="55"/>
      <c r="Y176" s="55"/>
      <c r="Z176" s="55" t="s">
        <v>88</v>
      </c>
      <c r="AA176" s="55"/>
      <c r="AB176" s="55"/>
      <c r="AM176" s="1" t="s">
        <v>10957</v>
      </c>
      <c r="AP176" s="1" t="s">
        <v>11022</v>
      </c>
      <c r="AX176" s="3" t="str">
        <f>_xlfn.CONCAT("A-LIGN finished its review of this control on ",AR176, " during the scheduled fieldwork window (",Intro!$B$4,")."&amp; CHAR(10)&amp; CHAR(10))</f>
        <v xml:space="preserve">A-LIGN finished its review of this control on  during the scheduled fieldwork window (Fieldwork: xx/xx/xxxx - xx/xx/xxxx).
</v>
      </c>
      <c r="AY176" s="3" t="str">
        <f t="shared" si="331"/>
        <v/>
      </c>
      <c r="AZ176" s="3" t="str">
        <f t="shared" si="332"/>
        <v/>
      </c>
      <c r="BA176" s="3" t="str">
        <f t="shared" si="333"/>
        <v/>
      </c>
      <c r="BB176" s="3" t="str">
        <f t="shared" si="334"/>
        <v/>
      </c>
      <c r="BC176" s="3" t="str">
        <f t="shared" si="335"/>
        <v xml:space="preserve">Observed the following live during fieldwork: 
Observed the Vanta instances where Merge will document/track the risk assessment.
</v>
      </c>
      <c r="BD176" s="3" t="str">
        <f t="shared" si="336"/>
        <v xml:space="preserve">Examined the following evidence during fieldwork:
Reviewed evidence addressed the requirement statement.
Reviewed evidence exception note: 
Gap: Risk assessment within Vanta is not fully outlined.
Recommendation: Management should ensure that the risk assessment within Vanta is generated and outlined in accordance with the requirement statement.
</v>
      </c>
      <c r="BE176" s="3" t="str">
        <f t="shared" si="337"/>
        <v/>
      </c>
      <c r="BF176" s="3" t="str">
        <f t="shared" si="338"/>
        <v/>
      </c>
      <c r="BG176" s="3" t="str">
        <f>_xlfn.CONCAT((IF((COUNTIF('Sample Tables'!B:B,"")&gt;0)=TRUE,_xlfn.CONCAT("",""),IF((COUNTIF('Sample Tables'!B:B,"")&gt;0)=FALSE,""))),)</f>
        <v/>
      </c>
      <c r="BH176" s="3" t="str">
        <f t="shared" si="339"/>
        <v xml:space="preserve">A-LIGN finished its review of this control on  during the scheduled fieldwork window (Fieldwork: xx/xx/xxxx - xx/xx/xxxx).
Observed the following live during fieldwork: 
Observed the Vanta instances where Merge will document/track the risk assessment.
Examined the following evidence during fieldwork:
Reviewed evidence addressed the requirement statement.
Reviewed evidence exception note: 
Gap: Risk assessment within Vanta is not fully outlined.
Recommendation: Management should ensure that the risk assessment within Vanta is generated and outlined in accordance with the requirement statement.
</v>
      </c>
    </row>
    <row r="177" spans="3:60" ht="409.5" x14ac:dyDescent="0.35">
      <c r="C177" s="1">
        <f t="shared" si="330"/>
        <v>0</v>
      </c>
      <c r="D177" s="5" t="str">
        <f>IF(AND((_xlfn.XLOOKUP(J177,'Fields &amp; Revisions'!$H:$H,'Fields &amp; Revisions'!$I:$I))&lt;70.99,(OR(Z177="4. Mostly Compliant (75%)",Z177="3. Partially Compliant (50%)",Z177="2. Somewhat Compliant (25%)",Z177="1. Non Compliant (0%)"))),"Yes","No")</f>
        <v>No</v>
      </c>
      <c r="E177" s="5" t="str">
        <f>IF(ISERROR(VLOOKUP(H177,Scope!A:A,1,FALSE)),"No","Yes")</f>
        <v>Yes</v>
      </c>
      <c r="F177" s="1" t="s">
        <v>4666</v>
      </c>
      <c r="G177" s="53" t="s">
        <v>4985</v>
      </c>
      <c r="H177" s="53" t="s">
        <v>4986</v>
      </c>
      <c r="I177" s="5">
        <v>2</v>
      </c>
      <c r="J177" s="1" t="s">
        <v>4800</v>
      </c>
      <c r="K177" s="1" t="s">
        <v>4987</v>
      </c>
      <c r="L177" s="1" t="s">
        <v>4988</v>
      </c>
      <c r="M177" s="1" t="s">
        <v>4989</v>
      </c>
      <c r="N177" s="5" t="s">
        <v>98</v>
      </c>
      <c r="O177" s="1" t="str">
        <f>_xlfn.XLOOKUP(G177,SRMs!$A:$A,SRMs!$D:$D)</f>
        <v>NO INHERITANCE</v>
      </c>
      <c r="P177" s="1" t="str">
        <f>IFERROR(VLOOKUP(H177,Inherited!A:B,2,FALSE),"")</f>
        <v/>
      </c>
      <c r="Q177" s="1" t="e">
        <f>IF(MATCH(H177,Inherited!A:A),IF((((_xlfn.XLOOKUP(Assessment!#REF!,Inherited!A:A,Inherited!B:B))/100)*(_xlfn.XLOOKUP(Assessment!#REF!,Inherited!A:A,Inherited!C:C)))+(((100-(_xlfn.XLOOKUP(Assessment!#REF!,Inherited!A:A,Inherited!B:B)))/100)*IF(X177="1.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(100%)","100"))))))&lt;=10,"0", IF(AND((((_xlfn.XLOOKUP(Assessment!#REF!,Inherited!A:A,Inherited!B:B))/100)*(_xlfn.XLOOKUP(Assessment!#REF!,Inherited!A:A,Inherited!C:C)))+(((100-(_xlfn.XLOOKUP(Assessment!#REF!,Inherited!A:A,Inherited!B:B)))/100)*IF(X177="1.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(100%)","100"))))))&gt;=11,(((_xlfn.XLOOKUP(Assessment!#REF!,Inherited!A:A,Inherited!B:B))/100)*(_xlfn.XLOOKUP(Assessment!#REF!,Inherited!A:A,Inherited!C:C)))+(((100-(_xlfn.XLOOKUP(Assessment!#REF!,Inherited!A:A,Inherited!B:B)))/100)*IF(X177="1.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(100%)","100"))))))&lt;=32),"25",IF(AND((((_xlfn.XLOOKUP(Assessment!#REF!,Inherited!A:A,Inherited!B:B))/100)*(_xlfn.XLOOKUP(Assessment!#REF!,Inherited!A:A,Inherited!C:C)))+(((100-(_xlfn.XLOOKUP(Assessment!#REF!,Inherited!A:A,Inherited!B:B)))/100)*IF(X177="1.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(100%)","100"))))))&gt;=33,(((_xlfn.XLOOKUP(Assessment!#REF!,Inherited!A:A,Inherited!B:B))/100)*(_xlfn.XLOOKUP(Assessment!#REF!,Inherited!A:A,Inherited!C:C)))+(((100-(_xlfn.XLOOKUP(Assessment!#REF!,Inherited!A:A,Inherited!B:B)))/100)*IF(X177="1.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(100%)","100"))))))&lt;=65),"50",IF(AND((((_xlfn.XLOOKUP(Assessment!#REF!,Inherited!A:A,Inherited!B:B))/100)*(_xlfn.XLOOKUP(Assessment!#REF!,Inherited!A:A,Inherited!C:C)))+(((100-(_xlfn.XLOOKUP(Assessment!#REF!,Inherited!A:A,Inherited!B:B)))/100)*IF(X177="1.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(100%)","100"))))))&gt;=66,(((_xlfn.XLOOKUP(Assessment!#REF!,Inherited!A:A,Inherited!B:B))/100)*(_xlfn.XLOOKUP(Assessment!#REF!,Inherited!A:A,Inherited!C:C)))+(((100-(_xlfn.XLOOKUP(Assessment!#REF!,Inherited!A:A,Inherited!B:B)))/100)*IF(X177="1.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(100%)","100"))))))&lt;=89),"75",IF((((_xlfn.XLOOKUP(Assessment!#REF!,Inherited!A:A,Inherited!B:B))/100)*(_xlfn.XLOOKUP(Assessment!#REF!,Inherited!A:A,Inherited!C:C)))+(((100-(_xlfn.XLOOKUP(Assessment!#REF!,Inherited!A:A,Inherited!B:B)))/100)*IF(X177="1. Non Compliant (0%)","0",IF(X177="2. Somewhat Compliant (25%)","25",IF(X177="3. Partially Compliant (50%)","50",IF(X177="4. Mostly Compliant (75%)","75",IF(X177="5. Fully Compliant (100%)","100"))))))&gt;=90,"100"))))))</f>
        <v>#N/A</v>
      </c>
      <c r="R177" s="1" t="e">
        <f>IF(MATCH(H177,Inherited!A:A),IF((((_xlfn.XLOOKUP(Assessment!#REF!,Inherited!A:A,Inherited!B:B))/100)*(_xlfn.XLOOKUP(Assessment!#REF!,Inherited!A:A,Inherited!D:D)))+(((100-(_xlfn.XLOOKUP(Assessment!#REF!,Inherited!A:A,Inherited!B:B)))/100)*IF(Y177="1.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(100%)","100"))))))&lt;=10,"0", IF(AND((((_xlfn.XLOOKUP(Assessment!#REF!,Inherited!A:A,Inherited!B:B))/100)*(_xlfn.XLOOKUP(Assessment!#REF!,Inherited!A:A,Inherited!D:D)))+(((100-(_xlfn.XLOOKUP(Assessment!#REF!,Inherited!A:A,Inherited!B:B)))/100)*IF(Y177="1.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(100%)","100"))))))&gt;=11,(((_xlfn.XLOOKUP(Assessment!#REF!,Inherited!A:A,Inherited!B:B))/100)*(_xlfn.XLOOKUP(Assessment!#REF!,Inherited!A:A,Inherited!D:D)))+(((100-(_xlfn.XLOOKUP(Assessment!#REF!,Inherited!A:A,Inherited!B:B)))/100)*IF(Y177="1.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(100%)","100"))))))&lt;=32),"25",IF(AND((((_xlfn.XLOOKUP(Assessment!#REF!,Inherited!A:A,Inherited!B:B))/100)*(_xlfn.XLOOKUP(Assessment!#REF!,Inherited!A:A,Inherited!D:D)))+(((100-(_xlfn.XLOOKUP(Assessment!#REF!,Inherited!A:A,Inherited!B:B)))/100)*IF(Y177="1.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(100%)","100"))))))&gt;=33,(((_xlfn.XLOOKUP(Assessment!#REF!,Inherited!A:A,Inherited!B:B))/100)*(_xlfn.XLOOKUP(Assessment!#REF!,Inherited!A:A,Inherited!D:D)))+(((100-(_xlfn.XLOOKUP(Assessment!#REF!,Inherited!A:A,Inherited!B:B)))/100)*IF(Y177="1.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(100%)","100"))))))&lt;=65),"50",IF(AND((((_xlfn.XLOOKUP(Assessment!#REF!,Inherited!A:A,Inherited!B:B))/100)*(_xlfn.XLOOKUP(Assessment!#REF!,Inherited!A:A,Inherited!D:D)))+(((100-(_xlfn.XLOOKUP(Assessment!#REF!,Inherited!A:A,Inherited!B:B)))/100)*IF(Y177="1.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(100%)","100"))))))&gt;=66,(((_xlfn.XLOOKUP(Assessment!#REF!,Inherited!A:A,Inherited!B:B))/100)*(_xlfn.XLOOKUP(Assessment!#REF!,Inherited!A:A,Inherited!D:D)))+(((100-(_xlfn.XLOOKUP(Assessment!#REF!,Inherited!A:A,Inherited!B:B)))/100)*IF(Y177="1.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(100%)","100"))))))&lt;=89),"75",IF((((_xlfn.XLOOKUP(Assessment!#REF!,Inherited!A:A,Inherited!B:B))/100)*(_xlfn.XLOOKUP(Assessment!#REF!,Inherited!A:A,Inherited!D:D)))+(((100-(_xlfn.XLOOKUP(Assessment!#REF!,Inherited!A:A,Inherited!B:B)))/100)*IF(Y177="1. Non Compliant (0%)","0",IF(Y177="2. Somewhat Compliant (25%)","25",IF(Y177="3. Partially Compliant (50%)","50",IF(Y177="4. Mostly Compliant (75%)","75",IF(Y177="5. Fully Compliant (100%)","100"))))))&gt;=90,"100"))))))</f>
        <v>#N/A</v>
      </c>
      <c r="S177" s="1" t="e">
        <f>IF(MATCH(H177,Inherited!A:A),IF((((_xlfn.XLOOKUP(Assessment!#REF!,Inherited!A:A,Inherited!B:B))/100)*(_xlfn.XLOOKUP(Assessment!#REF!,Inherited!A:A,Inherited!E:E)))+(((100-(_xlfn.XLOOKUP(Assessment!#REF!,Inherited!A:A,Inherited!B:B)))/100)*IF(Z177="1.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(100%)","100"))))))&lt;=10,"0", IF(AND((((_xlfn.XLOOKUP(Assessment!#REF!,Inherited!A:A,Inherited!B:B))/100)*(_xlfn.XLOOKUP(Assessment!#REF!,Inherited!A:A,Inherited!E:E)))+(((100-(_xlfn.XLOOKUP(Assessment!#REF!,Inherited!A:A,Inherited!B:B)))/100)*IF(Z177="1.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(100%)","100"))))))&gt;=11,(((_xlfn.XLOOKUP(Assessment!#REF!,Inherited!A:A,Inherited!B:B))/100)*(_xlfn.XLOOKUP(Assessment!#REF!,Inherited!A:A,Inherited!E:E)))+(((100-(_xlfn.XLOOKUP(Assessment!#REF!,Inherited!A:A,Inherited!B:B)))/100)*IF(Z177="1.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(100%)","100"))))))&lt;=32),"25",IF(AND((((_xlfn.XLOOKUP(Assessment!#REF!,Inherited!A:A,Inherited!B:B))/100)*(_xlfn.XLOOKUP(Assessment!#REF!,Inherited!A:A,Inherited!E:E)))+(((100-(_xlfn.XLOOKUP(Assessment!#REF!,Inherited!A:A,Inherited!B:B)))/100)*IF(Z177="1.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(100%)","100"))))))&gt;=33,(((_xlfn.XLOOKUP(Assessment!#REF!,Inherited!A:A,Inherited!B:B))/100)*(_xlfn.XLOOKUP(Assessment!#REF!,Inherited!A:A,Inherited!E:E)))+(((100-(_xlfn.XLOOKUP(Assessment!#REF!,Inherited!A:A,Inherited!B:B)))/100)*IF(Z177="1.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(100%)","100"))))))&lt;=65),"50",IF(AND((((_xlfn.XLOOKUP(Assessment!#REF!,Inherited!A:A,Inherited!B:B))/100)*(_xlfn.XLOOKUP(Assessment!#REF!,Inherited!A:A,Inherited!E:E)))+(((100-(_xlfn.XLOOKUP(Assessment!#REF!,Inherited!A:A,Inherited!B:B)))/100)*IF(Z177="1.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(100%)","100"))))))&gt;=66,(((_xlfn.XLOOKUP(Assessment!#REF!,Inherited!A:A,Inherited!B:B))/100)*(_xlfn.XLOOKUP(Assessment!#REF!,Inherited!A:A,Inherited!E:E)))+(((100-(_xlfn.XLOOKUP(Assessment!#REF!,Inherited!A:A,Inherited!B:B)))/100)*IF(Z177="1.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(100%)","100"))))))&lt;=89),"75",IF((((_xlfn.XLOOKUP(Assessment!#REF!,Inherited!A:A,Inherited!B:B))/100)*(_xlfn.XLOOKUP(Assessment!#REF!,Inherited!A:A,Inherited!E:E)))+(((100-(_xlfn.XLOOKUP(Assessment!#REF!,Inherited!A:A,Inherited!B:B)))/100)*IF(Z177="1. Non Compliant (0%)","0",IF(Z177="2. Somewhat Compliant (25%)","25",IF(Z177="3. Partially Compliant (50%)","50",IF(Z177="4. Mostly Compliant (75%)","75",IF(Z177="5. Fully Compliant (100%)","100"))))))&gt;=90,"100"))))))</f>
        <v>#N/A</v>
      </c>
      <c r="T177" s="1" t="e">
        <f>IF(MATCH(H177,Inherited!A:A),IF((((_xlfn.XLOOKUP(Assessment!#REF!,Inherited!A:A,Inherited!B:B))/100)*(_xlfn.XLOOKUP(Assessment!#REF!,Inherited!A:A,Inherited!F:F)))+(((100-(_xlfn.XLOOKUP(Assessment!#REF!,Inherited!A:A,Inherited!B:B)))/100)*IF(AA177="1.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(100%)","100"))))))&lt;=10,"0", IF(AND((((_xlfn.XLOOKUP(Assessment!#REF!,Inherited!A:A,Inherited!B:B))/100)*(_xlfn.XLOOKUP(Assessment!#REF!,Inherited!A:A,Inherited!F:F)))+(((100-(_xlfn.XLOOKUP(Assessment!#REF!,Inherited!A:A,Inherited!B:B)))/100)*IF(AA177="1.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(100%)","100"))))))&gt;=11,(((_xlfn.XLOOKUP(Assessment!#REF!,Inherited!A:A,Inherited!B:B))/100)*(_xlfn.XLOOKUP(Assessment!#REF!,Inherited!A:A,Inherited!F:F)))+(((100-(_xlfn.XLOOKUP(Assessment!#REF!,Inherited!A:A,Inherited!B:B)))/100)*IF(AA177="1.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(100%)","100"))))))&lt;=32),"25",IF(AND((((_xlfn.XLOOKUP(Assessment!#REF!,Inherited!A:A,Inherited!B:B))/100)*(_xlfn.XLOOKUP(Assessment!#REF!,Inherited!A:A,Inherited!F:F)))+(((100-(_xlfn.XLOOKUP(Assessment!#REF!,Inherited!A:A,Inherited!B:B)))/100)*IF(AA177="1.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(100%)","100"))))))&gt;=33,(((_xlfn.XLOOKUP(Assessment!#REF!,Inherited!A:A,Inherited!B:B))/100)*(_xlfn.XLOOKUP(Assessment!#REF!,Inherited!A:A,Inherited!F:F)))+(((100-(_xlfn.XLOOKUP(Assessment!#REF!,Inherited!A:A,Inherited!B:B)))/100)*IF(AA177="1.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(100%)","100"))))))&lt;=65),"50",IF(AND((((_xlfn.XLOOKUP(Assessment!#REF!,Inherited!A:A,Inherited!B:B))/100)*(_xlfn.XLOOKUP(Assessment!#REF!,Inherited!A:A,Inherited!F:F)))+(((100-(_xlfn.XLOOKUP(Assessment!#REF!,Inherited!A:A,Inherited!B:B)))/100)*IF(AA177="1.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(100%)","100"))))))&gt;=66,(((_xlfn.XLOOKUP(Assessment!#REF!,Inherited!A:A,Inherited!B:B))/100)*(_xlfn.XLOOKUP(Assessment!#REF!,Inherited!A:A,Inherited!F:F)))+(((100-(_xlfn.XLOOKUP(Assessment!#REF!,Inherited!A:A,Inherited!B:B)))/100)*IF(AA177="1.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(100%)","100"))))))&lt;=89),"75",IF((((_xlfn.XLOOKUP(Assessment!#REF!,Inherited!A:A,Inherited!B:B))/100)*(_xlfn.XLOOKUP(Assessment!#REF!,Inherited!A:A,Inherited!F:F)))+(((100-(_xlfn.XLOOKUP(Assessment!#REF!,Inherited!A:A,Inherited!B:B)))/100)*IF(AA177="1. Non Compliant (0%)","0",IF(AA177="2. Somewhat Compliant (25%)","25",IF(AA177="3. Partially Compliant (50%)","50",IF(AA177="4. Mostly Compliant (75%)","75",IF(AA177="5. Fully Compliant (100%)","100"))))))&gt;=90,"100"))))))</f>
        <v>#N/A</v>
      </c>
      <c r="U177" s="1" t="e">
        <f>IF(MATCH(H177,Inherited!A:A),IF((((_xlfn.XLOOKUP(Assessment!#REF!,Inherited!A:A,Inherited!B:B))/100)*(_xlfn.XLOOKUP(Assessment!#REF!,Inherited!A:A,Inherited!G:G)))+(((100-(_xlfn.XLOOKUP(Assessment!#REF!,Inherited!A:A,Inherited!B:B)))/100)*IF(AB177="1.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(100%)","100"))))))&lt;=10,"0", IF(AND((((_xlfn.XLOOKUP(Assessment!#REF!,Inherited!A:A,Inherited!B:B))/100)*(_xlfn.XLOOKUP(Assessment!#REF!,Inherited!A:A,Inherited!G:G)))+(((100-(_xlfn.XLOOKUP(Assessment!#REF!,Inherited!A:A,Inherited!B:B)))/100)*IF(AB177="1.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(100%)","100"))))))&gt;=11,(((_xlfn.XLOOKUP(Assessment!#REF!,Inherited!A:A,Inherited!B:B))/100)*(_xlfn.XLOOKUP(Assessment!#REF!,Inherited!A:A,Inherited!G:G)))+(((100-(_xlfn.XLOOKUP(Assessment!#REF!,Inherited!A:A,Inherited!B:B)))/100)*IF(AB177="1.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(100%)","100"))))))&lt;=32),"25",IF(AND((((_xlfn.XLOOKUP(Assessment!#REF!,Inherited!A:A,Inherited!B:B))/100)*(_xlfn.XLOOKUP(Assessment!#REF!,Inherited!A:A,Inherited!G:G)))+(((100-(_xlfn.XLOOKUP(Assessment!#REF!,Inherited!A:A,Inherited!B:B)))/100)*IF(AB177="1.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(100%)","100"))))))&gt;=33,(((_xlfn.XLOOKUP(Assessment!#REF!,Inherited!A:A,Inherited!B:B))/100)*(_xlfn.XLOOKUP(Assessment!#REF!,Inherited!A:A,Inherited!G:G)))+(((100-(_xlfn.XLOOKUP(Assessment!#REF!,Inherited!A:A,Inherited!B:B)))/100)*IF(AB177="1.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(100%)","100"))))))&lt;=65),"50",IF(AND((((_xlfn.XLOOKUP(Assessment!#REF!,Inherited!A:A,Inherited!B:B))/100)*(_xlfn.XLOOKUP(Assessment!#REF!,Inherited!A:A,Inherited!G:G)))+(((100-(_xlfn.XLOOKUP(Assessment!#REF!,Inherited!A:A,Inherited!B:B)))/100)*IF(AB177="1.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(100%)","100"))))))&gt;=66,(((_xlfn.XLOOKUP(Assessment!#REF!,Inherited!A:A,Inherited!B:B))/100)*(_xlfn.XLOOKUP(Assessment!#REF!,Inherited!A:A,Inherited!G:G)))+(((100-(_xlfn.XLOOKUP(Assessment!#REF!,Inherited!A:A,Inherited!B:B)))/100)*IF(AB177="1.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(100%)","100"))))))&lt;=89),"75",IF((((_xlfn.XLOOKUP(Assessment!#REF!,Inherited!A:A,Inherited!B:B))/100)*(_xlfn.XLOOKUP(Assessment!#REF!,Inherited!A:A,Inherited!G:G)))+(((100-(_xlfn.XLOOKUP(Assessment!#REF!,Inherited!A:A,Inherited!B:B)))/100)*IF(AB177="1. Non Compliant (0%)","0",IF(AB177="2. Somewhat Compliant (25%)","25",IF(AB177="3. Partially Compliant (50%)","50",IF(AB177="4. Mostly Compliant (75%)","75",IF(AB177="5. Fully Compliant (100%)","100"))))))&gt;=90,"100"))))))</f>
        <v>#N/A</v>
      </c>
      <c r="V177" s="55" t="s">
        <v>85</v>
      </c>
      <c r="W177" s="55"/>
      <c r="X177" s="55"/>
      <c r="Y177" s="55"/>
      <c r="Z177" s="55"/>
      <c r="AA177" s="55"/>
      <c r="AB177" s="55"/>
      <c r="AX177" s="3" t="str">
        <f>_xlfn.CONCAT("A-LIGN finished its review of this control on ",AR177, " during the scheduled fieldwork window (",Intro!$B$4,")."&amp; CHAR(10)&amp; CHAR(10))</f>
        <v xml:space="preserve">A-LIGN finished its review of this control on  during the scheduled fieldwork window (Fieldwork: xx/xx/xxxx - xx/xx/xxxx).
</v>
      </c>
      <c r="AY177" s="3" t="str">
        <f t="shared" si="331"/>
        <v/>
      </c>
      <c r="AZ177" s="3" t="str">
        <f t="shared" si="332"/>
        <v/>
      </c>
      <c r="BA177" s="3" t="str">
        <f t="shared" si="333"/>
        <v/>
      </c>
      <c r="BB177" s="3" t="str">
        <f t="shared" si="334"/>
        <v/>
      </c>
      <c r="BC177" s="3" t="str">
        <f t="shared" si="335"/>
        <v/>
      </c>
      <c r="BD177" s="3" t="str">
        <f t="shared" si="336"/>
        <v xml:space="preserve">Examined the following evidence during fieldwork:
Reviewed evidence addressed the requirement statement.
</v>
      </c>
      <c r="BE177" s="3" t="str">
        <f t="shared" si="337"/>
        <v/>
      </c>
      <c r="BF177" s="3" t="str">
        <f t="shared" si="338"/>
        <v/>
      </c>
      <c r="BG177" s="3" t="str">
        <f>_xlfn.CONCAT((IF((COUNTIF('Sample Tables'!B:B,"")&gt;0)=TRUE,_xlfn.CONCAT("",""),IF((COUNTIF('Sample Tables'!B:B,"")&gt;0)=FALSE,""))),)</f>
        <v/>
      </c>
      <c r="BH177" s="3" t="str">
        <f t="shared" si="339"/>
        <v xml:space="preserve">A-LIGN finished its review of this control on  during the scheduled fieldwork window (Fieldwork: xx/xx/xxxx - xx/xx/xxxx).
Examined the following evidence during fieldwork:
Reviewed evidence addressed the requirement statement.
</v>
      </c>
    </row>
    <row r="178" spans="3:60" ht="409.5" x14ac:dyDescent="0.35">
      <c r="C178" s="1">
        <f t="shared" si="330"/>
        <v>0</v>
      </c>
      <c r="D178" s="5" t="str">
        <f>IF(AND((_xlfn.XLOOKUP(J178,'Fields &amp; Revisions'!$H:$H,'Fields &amp; Revisions'!$I:$I))&lt;70.99,(OR(Z178="4. Mostly Compliant (75%)",Z178="3. Partially Compliant (50%)",Z178="2. Somewhat Compliant (25%)",Z178="1. Non Compliant (0%)"))),"Yes","No")</f>
        <v>No</v>
      </c>
      <c r="E178" s="5" t="str">
        <f>IF(ISERROR(VLOOKUP(H178,Scope!A:A,1,FALSE)),"No","Yes")</f>
        <v>Yes</v>
      </c>
      <c r="F178" s="1" t="s">
        <v>4666</v>
      </c>
      <c r="G178" s="53" t="s">
        <v>4992</v>
      </c>
      <c r="H178" s="53" t="s">
        <v>4993</v>
      </c>
      <c r="I178" s="5">
        <v>2</v>
      </c>
      <c r="J178" s="1" t="s">
        <v>4867</v>
      </c>
      <c r="K178" s="1" t="s">
        <v>4994</v>
      </c>
      <c r="L178" s="1" t="s">
        <v>4995</v>
      </c>
      <c r="M178" s="1" t="s">
        <v>4996</v>
      </c>
      <c r="N178" s="5" t="s">
        <v>98</v>
      </c>
      <c r="O178" s="1" t="str">
        <f>_xlfn.XLOOKUP(G178,SRMs!$A:$A,SRMs!$D:$D)</f>
        <v>NO INHERITANCE</v>
      </c>
      <c r="P178" s="1" t="str">
        <f>IFERROR(VLOOKUP(H178,Inherited!A:B,2,FALSE),"")</f>
        <v/>
      </c>
      <c r="Q178" s="1" t="e">
        <f>IF(MATCH(H178,Inherited!A:A),IF((((_xlfn.XLOOKUP(Assessment!H179,Inherited!A:A,Inherited!B:B))/100)*(_xlfn.XLOOKUP(Assessment!H179,Inherited!A:A,Inherited!C:C)))+(((100-(_xlfn.XLOOKUP(Assessment!H179,Inherited!A:A,Inherited!B:B)))/100)*IF(X178="1.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(100%)","100"))))))&lt;=10,"0", IF(AND((((_xlfn.XLOOKUP(Assessment!H179,Inherited!A:A,Inherited!B:B))/100)*(_xlfn.XLOOKUP(Assessment!H179,Inherited!A:A,Inherited!C:C)))+(((100-(_xlfn.XLOOKUP(Assessment!H179,Inherited!A:A,Inherited!B:B)))/100)*IF(X178="1.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(100%)","100"))))))&gt;=11,(((_xlfn.XLOOKUP(Assessment!H179,Inherited!A:A,Inherited!B:B))/100)*(_xlfn.XLOOKUP(Assessment!H179,Inherited!A:A,Inherited!C:C)))+(((100-(_xlfn.XLOOKUP(Assessment!H179,Inherited!A:A,Inherited!B:B)))/100)*IF(X178="1.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(100%)","100"))))))&lt;=32),"25",IF(AND((((_xlfn.XLOOKUP(Assessment!H179,Inherited!A:A,Inherited!B:B))/100)*(_xlfn.XLOOKUP(Assessment!H179,Inherited!A:A,Inherited!C:C)))+(((100-(_xlfn.XLOOKUP(Assessment!H179,Inherited!A:A,Inherited!B:B)))/100)*IF(X178="1.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(100%)","100"))))))&gt;=33,(((_xlfn.XLOOKUP(Assessment!H179,Inherited!A:A,Inherited!B:B))/100)*(_xlfn.XLOOKUP(Assessment!H179,Inherited!A:A,Inherited!C:C)))+(((100-(_xlfn.XLOOKUP(Assessment!H179,Inherited!A:A,Inherited!B:B)))/100)*IF(X178="1.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(100%)","100"))))))&lt;=65),"50",IF(AND((((_xlfn.XLOOKUP(Assessment!H179,Inherited!A:A,Inherited!B:B))/100)*(_xlfn.XLOOKUP(Assessment!H179,Inherited!A:A,Inherited!C:C)))+(((100-(_xlfn.XLOOKUP(Assessment!H179,Inherited!A:A,Inherited!B:B)))/100)*IF(X178="1.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(100%)","100"))))))&gt;=66,(((_xlfn.XLOOKUP(Assessment!H179,Inherited!A:A,Inherited!B:B))/100)*(_xlfn.XLOOKUP(Assessment!H179,Inherited!A:A,Inherited!C:C)))+(((100-(_xlfn.XLOOKUP(Assessment!H179,Inherited!A:A,Inherited!B:B)))/100)*IF(X178="1.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(100%)","100"))))))&lt;=89),"75",IF((((_xlfn.XLOOKUP(Assessment!H179,Inherited!A:A,Inherited!B:B))/100)*(_xlfn.XLOOKUP(Assessment!H179,Inherited!A:A,Inherited!C:C)))+(((100-(_xlfn.XLOOKUP(Assessment!H179,Inherited!A:A,Inherited!B:B)))/100)*IF(X178="1. Non Compliant (0%)","0",IF(X178="2. Somewhat Compliant (25%)","25",IF(X178="3. Partially Compliant (50%)","50",IF(X178="4. Mostly Compliant (75%)","75",IF(X178="5. Fully Compliant (100%)","100"))))))&gt;=90,"100"))))))</f>
        <v>#N/A</v>
      </c>
      <c r="R178" s="1" t="e">
        <f>IF(MATCH(H178,Inherited!A:A),IF((((_xlfn.XLOOKUP(Assessment!H179,Inherited!A:A,Inherited!B:B))/100)*(_xlfn.XLOOKUP(Assessment!H179,Inherited!A:A,Inherited!D:D)))+(((100-(_xlfn.XLOOKUP(Assessment!H179,Inherited!A:A,Inherited!B:B)))/100)*IF(Y178="1.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(100%)","100"))))))&lt;=10,"0", IF(AND((((_xlfn.XLOOKUP(Assessment!H179,Inherited!A:A,Inherited!B:B))/100)*(_xlfn.XLOOKUP(Assessment!H179,Inherited!A:A,Inherited!D:D)))+(((100-(_xlfn.XLOOKUP(Assessment!H179,Inherited!A:A,Inherited!B:B)))/100)*IF(Y178="1.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(100%)","100"))))))&gt;=11,(((_xlfn.XLOOKUP(Assessment!H179,Inherited!A:A,Inherited!B:B))/100)*(_xlfn.XLOOKUP(Assessment!H179,Inherited!A:A,Inherited!D:D)))+(((100-(_xlfn.XLOOKUP(Assessment!H179,Inherited!A:A,Inherited!B:B)))/100)*IF(Y178="1.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(100%)","100"))))))&lt;=32),"25",IF(AND((((_xlfn.XLOOKUP(Assessment!H179,Inherited!A:A,Inherited!B:B))/100)*(_xlfn.XLOOKUP(Assessment!H179,Inherited!A:A,Inherited!D:D)))+(((100-(_xlfn.XLOOKUP(Assessment!H179,Inherited!A:A,Inherited!B:B)))/100)*IF(Y178="1.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(100%)","100"))))))&gt;=33,(((_xlfn.XLOOKUP(Assessment!H179,Inherited!A:A,Inherited!B:B))/100)*(_xlfn.XLOOKUP(Assessment!H179,Inherited!A:A,Inherited!D:D)))+(((100-(_xlfn.XLOOKUP(Assessment!H179,Inherited!A:A,Inherited!B:B)))/100)*IF(Y178="1.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(100%)","100"))))))&lt;=65),"50",IF(AND((((_xlfn.XLOOKUP(Assessment!H179,Inherited!A:A,Inherited!B:B))/100)*(_xlfn.XLOOKUP(Assessment!H179,Inherited!A:A,Inherited!D:D)))+(((100-(_xlfn.XLOOKUP(Assessment!H179,Inherited!A:A,Inherited!B:B)))/100)*IF(Y178="1.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(100%)","100"))))))&gt;=66,(((_xlfn.XLOOKUP(Assessment!H179,Inherited!A:A,Inherited!B:B))/100)*(_xlfn.XLOOKUP(Assessment!H179,Inherited!A:A,Inherited!D:D)))+(((100-(_xlfn.XLOOKUP(Assessment!H179,Inherited!A:A,Inherited!B:B)))/100)*IF(Y178="1.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(100%)","100"))))))&lt;=89),"75",IF((((_xlfn.XLOOKUP(Assessment!H179,Inherited!A:A,Inherited!B:B))/100)*(_xlfn.XLOOKUP(Assessment!H179,Inherited!A:A,Inherited!D:D)))+(((100-(_xlfn.XLOOKUP(Assessment!H179,Inherited!A:A,Inherited!B:B)))/100)*IF(Y178="1. Non Compliant (0%)","0",IF(Y178="2. Somewhat Compliant (25%)","25",IF(Y178="3. Partially Compliant (50%)","50",IF(Y178="4. Mostly Compliant (75%)","75",IF(Y178="5. Fully Compliant (100%)","100"))))))&gt;=90,"100"))))))</f>
        <v>#N/A</v>
      </c>
      <c r="S178" s="1" t="e">
        <f>IF(MATCH(H178,Inherited!A:A),IF((((_xlfn.XLOOKUP(Assessment!H179,Inherited!A:A,Inherited!B:B))/100)*(_xlfn.XLOOKUP(Assessment!H179,Inherited!A:A,Inherited!E:E)))+(((100-(_xlfn.XLOOKUP(Assessment!H179,Inherited!A:A,Inherited!B:B)))/100)*IF(Z178="1.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(100%)","100"))))))&lt;=10,"0", IF(AND((((_xlfn.XLOOKUP(Assessment!H179,Inherited!A:A,Inherited!B:B))/100)*(_xlfn.XLOOKUP(Assessment!H179,Inherited!A:A,Inherited!E:E)))+(((100-(_xlfn.XLOOKUP(Assessment!H179,Inherited!A:A,Inherited!B:B)))/100)*IF(Z178="1.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(100%)","100"))))))&gt;=11,(((_xlfn.XLOOKUP(Assessment!H179,Inherited!A:A,Inherited!B:B))/100)*(_xlfn.XLOOKUP(Assessment!H179,Inherited!A:A,Inherited!E:E)))+(((100-(_xlfn.XLOOKUP(Assessment!H179,Inherited!A:A,Inherited!B:B)))/100)*IF(Z178="1.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(100%)","100"))))))&lt;=32),"25",IF(AND((((_xlfn.XLOOKUP(Assessment!H179,Inherited!A:A,Inherited!B:B))/100)*(_xlfn.XLOOKUP(Assessment!H179,Inherited!A:A,Inherited!E:E)))+(((100-(_xlfn.XLOOKUP(Assessment!H179,Inherited!A:A,Inherited!B:B)))/100)*IF(Z178="1.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(100%)","100"))))))&gt;=33,(((_xlfn.XLOOKUP(Assessment!H179,Inherited!A:A,Inherited!B:B))/100)*(_xlfn.XLOOKUP(Assessment!H179,Inherited!A:A,Inherited!E:E)))+(((100-(_xlfn.XLOOKUP(Assessment!H179,Inherited!A:A,Inherited!B:B)))/100)*IF(Z178="1.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(100%)","100"))))))&lt;=65),"50",IF(AND((((_xlfn.XLOOKUP(Assessment!H179,Inherited!A:A,Inherited!B:B))/100)*(_xlfn.XLOOKUP(Assessment!H179,Inherited!A:A,Inherited!E:E)))+(((100-(_xlfn.XLOOKUP(Assessment!H179,Inherited!A:A,Inherited!B:B)))/100)*IF(Z178="1.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(100%)","100"))))))&gt;=66,(((_xlfn.XLOOKUP(Assessment!H179,Inherited!A:A,Inherited!B:B))/100)*(_xlfn.XLOOKUP(Assessment!H179,Inherited!A:A,Inherited!E:E)))+(((100-(_xlfn.XLOOKUP(Assessment!H179,Inherited!A:A,Inherited!B:B)))/100)*IF(Z178="1.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(100%)","100"))))))&lt;=89),"75",IF((((_xlfn.XLOOKUP(Assessment!H179,Inherited!A:A,Inherited!B:B))/100)*(_xlfn.XLOOKUP(Assessment!H179,Inherited!A:A,Inherited!E:E)))+(((100-(_xlfn.XLOOKUP(Assessment!H179,Inherited!A:A,Inherited!B:B)))/100)*IF(Z178="1. Non Compliant (0%)","0",IF(Z178="2. Somewhat Compliant (25%)","25",IF(Z178="3. Partially Compliant (50%)","50",IF(Z178="4. Mostly Compliant (75%)","75",IF(Z178="5. Fully Compliant (100%)","100"))))))&gt;=90,"100"))))))</f>
        <v>#N/A</v>
      </c>
      <c r="T178" s="1" t="e">
        <f>IF(MATCH(H178,Inherited!A:A),IF((((_xlfn.XLOOKUP(Assessment!H179,Inherited!A:A,Inherited!B:B))/100)*(_xlfn.XLOOKUP(Assessment!H179,Inherited!A:A,Inherited!F:F)))+(((100-(_xlfn.XLOOKUP(Assessment!H179,Inherited!A:A,Inherited!B:B)))/100)*IF(AA178="1.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(100%)","100"))))))&lt;=10,"0", IF(AND((((_xlfn.XLOOKUP(Assessment!H179,Inherited!A:A,Inherited!B:B))/100)*(_xlfn.XLOOKUP(Assessment!H179,Inherited!A:A,Inherited!F:F)))+(((100-(_xlfn.XLOOKUP(Assessment!H179,Inherited!A:A,Inherited!B:B)))/100)*IF(AA178="1.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(100%)","100"))))))&gt;=11,(((_xlfn.XLOOKUP(Assessment!H179,Inherited!A:A,Inherited!B:B))/100)*(_xlfn.XLOOKUP(Assessment!H179,Inherited!A:A,Inherited!F:F)))+(((100-(_xlfn.XLOOKUP(Assessment!H179,Inherited!A:A,Inherited!B:B)))/100)*IF(AA178="1.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(100%)","100"))))))&lt;=32),"25",IF(AND((((_xlfn.XLOOKUP(Assessment!H179,Inherited!A:A,Inherited!B:B))/100)*(_xlfn.XLOOKUP(Assessment!H179,Inherited!A:A,Inherited!F:F)))+(((100-(_xlfn.XLOOKUP(Assessment!H179,Inherited!A:A,Inherited!B:B)))/100)*IF(AA178="1.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(100%)","100"))))))&gt;=33,(((_xlfn.XLOOKUP(Assessment!H179,Inherited!A:A,Inherited!B:B))/100)*(_xlfn.XLOOKUP(Assessment!H179,Inherited!A:A,Inherited!F:F)))+(((100-(_xlfn.XLOOKUP(Assessment!H179,Inherited!A:A,Inherited!B:B)))/100)*IF(AA178="1.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(100%)","100"))))))&lt;=65),"50",IF(AND((((_xlfn.XLOOKUP(Assessment!H179,Inherited!A:A,Inherited!B:B))/100)*(_xlfn.XLOOKUP(Assessment!H179,Inherited!A:A,Inherited!F:F)))+(((100-(_xlfn.XLOOKUP(Assessment!H179,Inherited!A:A,Inherited!B:B)))/100)*IF(AA178="1.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(100%)","100"))))))&gt;=66,(((_xlfn.XLOOKUP(Assessment!H179,Inherited!A:A,Inherited!B:B))/100)*(_xlfn.XLOOKUP(Assessment!H179,Inherited!A:A,Inherited!F:F)))+(((100-(_xlfn.XLOOKUP(Assessment!H179,Inherited!A:A,Inherited!B:B)))/100)*IF(AA178="1.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(100%)","100"))))))&lt;=89),"75",IF((((_xlfn.XLOOKUP(Assessment!H179,Inherited!A:A,Inherited!B:B))/100)*(_xlfn.XLOOKUP(Assessment!H179,Inherited!A:A,Inherited!F:F)))+(((100-(_xlfn.XLOOKUP(Assessment!H179,Inherited!A:A,Inherited!B:B)))/100)*IF(AA178="1. Non Compliant (0%)","0",IF(AA178="2. Somewhat Compliant (25%)","25",IF(AA178="3. Partially Compliant (50%)","50",IF(AA178="4. Mostly Compliant (75%)","75",IF(AA178="5. Fully Compliant (100%)","100"))))))&gt;=90,"100"))))))</f>
        <v>#N/A</v>
      </c>
      <c r="U178" s="1" t="e">
        <f>IF(MATCH(H178,Inherited!A:A),IF((((_xlfn.XLOOKUP(Assessment!H179,Inherited!A:A,Inherited!B:B))/100)*(_xlfn.XLOOKUP(Assessment!H179,Inherited!A:A,Inherited!G:G)))+(((100-(_xlfn.XLOOKUP(Assessment!H179,Inherited!A:A,Inherited!B:B)))/100)*IF(AB178="1.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(100%)","100"))))))&lt;=10,"0", IF(AND((((_xlfn.XLOOKUP(Assessment!H179,Inherited!A:A,Inherited!B:B))/100)*(_xlfn.XLOOKUP(Assessment!H179,Inherited!A:A,Inherited!G:G)))+(((100-(_xlfn.XLOOKUP(Assessment!H179,Inherited!A:A,Inherited!B:B)))/100)*IF(AB178="1.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(100%)","100"))))))&gt;=11,(((_xlfn.XLOOKUP(Assessment!H179,Inherited!A:A,Inherited!B:B))/100)*(_xlfn.XLOOKUP(Assessment!H179,Inherited!A:A,Inherited!G:G)))+(((100-(_xlfn.XLOOKUP(Assessment!H179,Inherited!A:A,Inherited!B:B)))/100)*IF(AB178="1.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(100%)","100"))))))&lt;=32),"25",IF(AND((((_xlfn.XLOOKUP(Assessment!H179,Inherited!A:A,Inherited!B:B))/100)*(_xlfn.XLOOKUP(Assessment!H179,Inherited!A:A,Inherited!G:G)))+(((100-(_xlfn.XLOOKUP(Assessment!H179,Inherited!A:A,Inherited!B:B)))/100)*IF(AB178="1.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(100%)","100"))))))&gt;=33,(((_xlfn.XLOOKUP(Assessment!H179,Inherited!A:A,Inherited!B:B))/100)*(_xlfn.XLOOKUP(Assessment!H179,Inherited!A:A,Inherited!G:G)))+(((100-(_xlfn.XLOOKUP(Assessment!H179,Inherited!A:A,Inherited!B:B)))/100)*IF(AB178="1.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(100%)","100"))))))&lt;=65),"50",IF(AND((((_xlfn.XLOOKUP(Assessment!H179,Inherited!A:A,Inherited!B:B))/100)*(_xlfn.XLOOKUP(Assessment!H179,Inherited!A:A,Inherited!G:G)))+(((100-(_xlfn.XLOOKUP(Assessment!H179,Inherited!A:A,Inherited!B:B)))/100)*IF(AB178="1.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(100%)","100"))))))&gt;=66,(((_xlfn.XLOOKUP(Assessment!H179,Inherited!A:A,Inherited!B:B))/100)*(_xlfn.XLOOKUP(Assessment!H179,Inherited!A:A,Inherited!G:G)))+(((100-(_xlfn.XLOOKUP(Assessment!H179,Inherited!A:A,Inherited!B:B)))/100)*IF(AB178="1.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(100%)","100"))))))&lt;=89),"75",IF((((_xlfn.XLOOKUP(Assessment!H179,Inherited!A:A,Inherited!B:B))/100)*(_xlfn.XLOOKUP(Assessment!H179,Inherited!A:A,Inherited!G:G)))+(((100-(_xlfn.XLOOKUP(Assessment!H179,Inherited!A:A,Inherited!B:B)))/100)*IF(AB178="1. Non Compliant (0%)","0",IF(AB178="2. Somewhat Compliant (25%)","25",IF(AB178="3. Partially Compliant (50%)","50",IF(AB178="4. Mostly Compliant (75%)","75",IF(AB178="5. Fully Compliant (100%)","100"))))))&gt;=90,"100"))))))</f>
        <v>#N/A</v>
      </c>
      <c r="V178" s="55" t="s">
        <v>85</v>
      </c>
      <c r="W178" s="55"/>
      <c r="X178" s="55"/>
      <c r="Y178" s="55"/>
      <c r="Z178" s="55"/>
      <c r="AA178" s="55"/>
      <c r="AB178" s="55"/>
      <c r="AX178" s="3" t="str">
        <f>_xlfn.CONCAT("A-LIGN finished its review of this control on ",AR178, " during the scheduled fieldwork window (",Intro!$B$4,")."&amp; CHAR(10)&amp; CHAR(10))</f>
        <v xml:space="preserve">A-LIGN finished its review of this control on  during the scheduled fieldwork window (Fieldwork: xx/xx/xxxx - xx/xx/xxxx).
</v>
      </c>
      <c r="AY178" s="3" t="str">
        <f t="shared" si="331"/>
        <v/>
      </c>
      <c r="AZ178" s="3" t="str">
        <f t="shared" si="332"/>
        <v/>
      </c>
      <c r="BA178" s="3" t="str">
        <f t="shared" si="333"/>
        <v/>
      </c>
      <c r="BB178" s="3" t="str">
        <f t="shared" si="334"/>
        <v/>
      </c>
      <c r="BC178" s="3" t="str">
        <f t="shared" si="335"/>
        <v/>
      </c>
      <c r="BD178" s="3" t="str">
        <f t="shared" si="336"/>
        <v xml:space="preserve">Examined the following evidence during fieldwork:
Reviewed evidence addressed the requirement statement.
</v>
      </c>
      <c r="BE178" s="3" t="str">
        <f t="shared" si="337"/>
        <v/>
      </c>
      <c r="BF178" s="3" t="str">
        <f t="shared" si="338"/>
        <v/>
      </c>
      <c r="BG178" s="3" t="str">
        <f>_xlfn.CONCAT((IF((COUNTIF('Sample Tables'!B:B,"")&gt;0)=TRUE,_xlfn.CONCAT("",""),IF((COUNTIF('Sample Tables'!B:B,"")&gt;0)=FALSE,""))),)</f>
        <v/>
      </c>
      <c r="BH178" s="3" t="str">
        <f t="shared" si="339"/>
        <v xml:space="preserve">A-LIGN finished its review of this control on  during the scheduled fieldwork window (Fieldwork: xx/xx/xxxx - xx/xx/xxxx).
Examined the following evidence during fieldwork:
Reviewed evidence addressed the requirement statement.
</v>
      </c>
    </row>
    <row r="179" spans="3:60" ht="409.5" x14ac:dyDescent="0.35">
      <c r="C179" s="1">
        <f t="shared" si="330"/>
        <v>0</v>
      </c>
      <c r="D179" s="5" t="str">
        <f>IF(AND((_xlfn.XLOOKUP(J179,'Fields &amp; Revisions'!$H:$H,'Fields &amp; Revisions'!$I:$I))&lt;70.99,(OR(Z179="4. Mostly Compliant (75%)",Z179="3. Partially Compliant (50%)",Z179="2. Somewhat Compliant (25%)",Z179="1. Non Compliant (0%)"))),"Yes","No")</f>
        <v>No</v>
      </c>
      <c r="E179" s="5" t="str">
        <f>IF(ISERROR(VLOOKUP(H179,Scope!A:A,1,FALSE)),"No","Yes")</f>
        <v>Yes</v>
      </c>
      <c r="F179" s="1" t="s">
        <v>4666</v>
      </c>
      <c r="G179" s="53" t="s">
        <v>4997</v>
      </c>
      <c r="H179" s="53" t="s">
        <v>4998</v>
      </c>
      <c r="I179" s="5">
        <v>2</v>
      </c>
      <c r="J179" s="1" t="s">
        <v>4867</v>
      </c>
      <c r="K179" s="1" t="s">
        <v>4999</v>
      </c>
      <c r="L179" s="1" t="s">
        <v>5000</v>
      </c>
      <c r="M179" s="1" t="s">
        <v>5001</v>
      </c>
      <c r="N179" s="5" t="s">
        <v>85</v>
      </c>
      <c r="O179" s="1" t="str">
        <f>_xlfn.XLOOKUP(G179,SRMs!$A:$A,SRMs!$D:$D)</f>
        <v>NO INHERITANCE</v>
      </c>
      <c r="P179" s="1" t="str">
        <f>IFERROR(VLOOKUP(H179,Inherited!A:B,2,FALSE),"")</f>
        <v/>
      </c>
      <c r="Q179" s="1" t="e">
        <f>IF(MATCH(H179,Inherited!A:A),IF((((_xlfn.XLOOKUP(Assessment!#REF!,Inherited!A:A,Inherited!B:B))/100)*(_xlfn.XLOOKUP(Assessment!#REF!,Inherited!A:A,Inherited!C:C)))+(((100-(_xlfn.XLOOKUP(Assessment!#REF!,Inherited!A:A,Inherited!B:B)))/100)*IF(X179="1.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(100%)","100"))))))&lt;=10,"0", IF(AND((((_xlfn.XLOOKUP(Assessment!#REF!,Inherited!A:A,Inherited!B:B))/100)*(_xlfn.XLOOKUP(Assessment!#REF!,Inherited!A:A,Inherited!C:C)))+(((100-(_xlfn.XLOOKUP(Assessment!#REF!,Inherited!A:A,Inherited!B:B)))/100)*IF(X179="1.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(100%)","100"))))))&gt;=11,(((_xlfn.XLOOKUP(Assessment!#REF!,Inherited!A:A,Inherited!B:B))/100)*(_xlfn.XLOOKUP(Assessment!#REF!,Inherited!A:A,Inherited!C:C)))+(((100-(_xlfn.XLOOKUP(Assessment!#REF!,Inherited!A:A,Inherited!B:B)))/100)*IF(X179="1.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(100%)","100"))))))&lt;=32),"25",IF(AND((((_xlfn.XLOOKUP(Assessment!#REF!,Inherited!A:A,Inherited!B:B))/100)*(_xlfn.XLOOKUP(Assessment!#REF!,Inherited!A:A,Inherited!C:C)))+(((100-(_xlfn.XLOOKUP(Assessment!#REF!,Inherited!A:A,Inherited!B:B)))/100)*IF(X179="1.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(100%)","100"))))))&gt;=33,(((_xlfn.XLOOKUP(Assessment!#REF!,Inherited!A:A,Inherited!B:B))/100)*(_xlfn.XLOOKUP(Assessment!#REF!,Inherited!A:A,Inherited!C:C)))+(((100-(_xlfn.XLOOKUP(Assessment!#REF!,Inherited!A:A,Inherited!B:B)))/100)*IF(X179="1.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(100%)","100"))))))&lt;=65),"50",IF(AND((((_xlfn.XLOOKUP(Assessment!#REF!,Inherited!A:A,Inherited!B:B))/100)*(_xlfn.XLOOKUP(Assessment!#REF!,Inherited!A:A,Inherited!C:C)))+(((100-(_xlfn.XLOOKUP(Assessment!#REF!,Inherited!A:A,Inherited!B:B)))/100)*IF(X179="1.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(100%)","100"))))))&gt;=66,(((_xlfn.XLOOKUP(Assessment!#REF!,Inherited!A:A,Inherited!B:B))/100)*(_xlfn.XLOOKUP(Assessment!#REF!,Inherited!A:A,Inherited!C:C)))+(((100-(_xlfn.XLOOKUP(Assessment!#REF!,Inherited!A:A,Inherited!B:B)))/100)*IF(X179="1.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(100%)","100"))))))&lt;=89),"75",IF((((_xlfn.XLOOKUP(Assessment!#REF!,Inherited!A:A,Inherited!B:B))/100)*(_xlfn.XLOOKUP(Assessment!#REF!,Inherited!A:A,Inherited!C:C)))+(((100-(_xlfn.XLOOKUP(Assessment!#REF!,Inherited!A:A,Inherited!B:B)))/100)*IF(X179="1. Non Compliant (0%)","0",IF(X179="2. Somewhat Compliant (25%)","25",IF(X179="3. Partially Compliant (50%)","50",IF(X179="4. Mostly Compliant (75%)","75",IF(X179="5. Fully Compliant (100%)","100"))))))&gt;=90,"100"))))))</f>
        <v>#N/A</v>
      </c>
      <c r="R179" s="1" t="e">
        <f>IF(MATCH(H179,Inherited!A:A),IF((((_xlfn.XLOOKUP(Assessment!#REF!,Inherited!A:A,Inherited!B:B))/100)*(_xlfn.XLOOKUP(Assessment!#REF!,Inherited!A:A,Inherited!D:D)))+(((100-(_xlfn.XLOOKUP(Assessment!#REF!,Inherited!A:A,Inherited!B:B)))/100)*IF(Y179="1.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(100%)","100"))))))&lt;=10,"0", IF(AND((((_xlfn.XLOOKUP(Assessment!#REF!,Inherited!A:A,Inherited!B:B))/100)*(_xlfn.XLOOKUP(Assessment!#REF!,Inherited!A:A,Inherited!D:D)))+(((100-(_xlfn.XLOOKUP(Assessment!#REF!,Inherited!A:A,Inherited!B:B)))/100)*IF(Y179="1.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(100%)","100"))))))&gt;=11,(((_xlfn.XLOOKUP(Assessment!#REF!,Inherited!A:A,Inherited!B:B))/100)*(_xlfn.XLOOKUP(Assessment!#REF!,Inherited!A:A,Inherited!D:D)))+(((100-(_xlfn.XLOOKUP(Assessment!#REF!,Inherited!A:A,Inherited!B:B)))/100)*IF(Y179="1.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(100%)","100"))))))&lt;=32),"25",IF(AND((((_xlfn.XLOOKUP(Assessment!#REF!,Inherited!A:A,Inherited!B:B))/100)*(_xlfn.XLOOKUP(Assessment!#REF!,Inherited!A:A,Inherited!D:D)))+(((100-(_xlfn.XLOOKUP(Assessment!#REF!,Inherited!A:A,Inherited!B:B)))/100)*IF(Y179="1.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(100%)","100"))))))&gt;=33,(((_xlfn.XLOOKUP(Assessment!#REF!,Inherited!A:A,Inherited!B:B))/100)*(_xlfn.XLOOKUP(Assessment!#REF!,Inherited!A:A,Inherited!D:D)))+(((100-(_xlfn.XLOOKUP(Assessment!#REF!,Inherited!A:A,Inherited!B:B)))/100)*IF(Y179="1.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(100%)","100"))))))&lt;=65),"50",IF(AND((((_xlfn.XLOOKUP(Assessment!#REF!,Inherited!A:A,Inherited!B:B))/100)*(_xlfn.XLOOKUP(Assessment!#REF!,Inherited!A:A,Inherited!D:D)))+(((100-(_xlfn.XLOOKUP(Assessment!#REF!,Inherited!A:A,Inherited!B:B)))/100)*IF(Y179="1.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(100%)","100"))))))&gt;=66,(((_xlfn.XLOOKUP(Assessment!#REF!,Inherited!A:A,Inherited!B:B))/100)*(_xlfn.XLOOKUP(Assessment!#REF!,Inherited!A:A,Inherited!D:D)))+(((100-(_xlfn.XLOOKUP(Assessment!#REF!,Inherited!A:A,Inherited!B:B)))/100)*IF(Y179="1.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(100%)","100"))))))&lt;=89),"75",IF((((_xlfn.XLOOKUP(Assessment!#REF!,Inherited!A:A,Inherited!B:B))/100)*(_xlfn.XLOOKUP(Assessment!#REF!,Inherited!A:A,Inherited!D:D)))+(((100-(_xlfn.XLOOKUP(Assessment!#REF!,Inherited!A:A,Inherited!B:B)))/100)*IF(Y179="1. Non Compliant (0%)","0",IF(Y179="2. Somewhat Compliant (25%)","25",IF(Y179="3. Partially Compliant (50%)","50",IF(Y179="4. Mostly Compliant (75%)","75",IF(Y179="5. Fully Compliant (100%)","100"))))))&gt;=90,"100"))))))</f>
        <v>#N/A</v>
      </c>
      <c r="S179" s="1" t="e">
        <f>IF(MATCH(H179,Inherited!A:A),IF((((_xlfn.XLOOKUP(Assessment!#REF!,Inherited!A:A,Inherited!B:B))/100)*(_xlfn.XLOOKUP(Assessment!#REF!,Inherited!A:A,Inherited!E:E)))+(((100-(_xlfn.XLOOKUP(Assessment!#REF!,Inherited!A:A,Inherited!B:B)))/100)*IF(Z179="1.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(100%)","100"))))))&lt;=10,"0", IF(AND((((_xlfn.XLOOKUP(Assessment!#REF!,Inherited!A:A,Inherited!B:B))/100)*(_xlfn.XLOOKUP(Assessment!#REF!,Inherited!A:A,Inherited!E:E)))+(((100-(_xlfn.XLOOKUP(Assessment!#REF!,Inherited!A:A,Inherited!B:B)))/100)*IF(Z179="1.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(100%)","100"))))))&gt;=11,(((_xlfn.XLOOKUP(Assessment!#REF!,Inherited!A:A,Inherited!B:B))/100)*(_xlfn.XLOOKUP(Assessment!#REF!,Inherited!A:A,Inherited!E:E)))+(((100-(_xlfn.XLOOKUP(Assessment!#REF!,Inherited!A:A,Inherited!B:B)))/100)*IF(Z179="1.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(100%)","100"))))))&lt;=32),"25",IF(AND((((_xlfn.XLOOKUP(Assessment!#REF!,Inherited!A:A,Inherited!B:B))/100)*(_xlfn.XLOOKUP(Assessment!#REF!,Inherited!A:A,Inherited!E:E)))+(((100-(_xlfn.XLOOKUP(Assessment!#REF!,Inherited!A:A,Inherited!B:B)))/100)*IF(Z179="1.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(100%)","100"))))))&gt;=33,(((_xlfn.XLOOKUP(Assessment!#REF!,Inherited!A:A,Inherited!B:B))/100)*(_xlfn.XLOOKUP(Assessment!#REF!,Inherited!A:A,Inherited!E:E)))+(((100-(_xlfn.XLOOKUP(Assessment!#REF!,Inherited!A:A,Inherited!B:B)))/100)*IF(Z179="1.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(100%)","100"))))))&lt;=65),"50",IF(AND((((_xlfn.XLOOKUP(Assessment!#REF!,Inherited!A:A,Inherited!B:B))/100)*(_xlfn.XLOOKUP(Assessment!#REF!,Inherited!A:A,Inherited!E:E)))+(((100-(_xlfn.XLOOKUP(Assessment!#REF!,Inherited!A:A,Inherited!B:B)))/100)*IF(Z179="1.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(100%)","100"))))))&gt;=66,(((_xlfn.XLOOKUP(Assessment!#REF!,Inherited!A:A,Inherited!B:B))/100)*(_xlfn.XLOOKUP(Assessment!#REF!,Inherited!A:A,Inherited!E:E)))+(((100-(_xlfn.XLOOKUP(Assessment!#REF!,Inherited!A:A,Inherited!B:B)))/100)*IF(Z179="1.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(100%)","100"))))))&lt;=89),"75",IF((((_xlfn.XLOOKUP(Assessment!#REF!,Inherited!A:A,Inherited!B:B))/100)*(_xlfn.XLOOKUP(Assessment!#REF!,Inherited!A:A,Inherited!E:E)))+(((100-(_xlfn.XLOOKUP(Assessment!#REF!,Inherited!A:A,Inherited!B:B)))/100)*IF(Z179="1. Non Compliant (0%)","0",IF(Z179="2. Somewhat Compliant (25%)","25",IF(Z179="3. Partially Compliant (50%)","50",IF(Z179="4. Mostly Compliant (75%)","75",IF(Z179="5. Fully Compliant (100%)","100"))))))&gt;=90,"100"))))))</f>
        <v>#N/A</v>
      </c>
      <c r="T179" s="1" t="e">
        <f>IF(MATCH(H179,Inherited!A:A),IF((((_xlfn.XLOOKUP(Assessment!#REF!,Inherited!A:A,Inherited!B:B))/100)*(_xlfn.XLOOKUP(Assessment!#REF!,Inherited!A:A,Inherited!F:F)))+(((100-(_xlfn.XLOOKUP(Assessment!#REF!,Inherited!A:A,Inherited!B:B)))/100)*IF(AA179="1.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(100%)","100"))))))&lt;=10,"0", IF(AND((((_xlfn.XLOOKUP(Assessment!#REF!,Inherited!A:A,Inherited!B:B))/100)*(_xlfn.XLOOKUP(Assessment!#REF!,Inherited!A:A,Inherited!F:F)))+(((100-(_xlfn.XLOOKUP(Assessment!#REF!,Inherited!A:A,Inherited!B:B)))/100)*IF(AA179="1.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(100%)","100"))))))&gt;=11,(((_xlfn.XLOOKUP(Assessment!#REF!,Inherited!A:A,Inherited!B:B))/100)*(_xlfn.XLOOKUP(Assessment!#REF!,Inherited!A:A,Inherited!F:F)))+(((100-(_xlfn.XLOOKUP(Assessment!#REF!,Inherited!A:A,Inherited!B:B)))/100)*IF(AA179="1.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(100%)","100"))))))&lt;=32),"25",IF(AND((((_xlfn.XLOOKUP(Assessment!#REF!,Inherited!A:A,Inherited!B:B))/100)*(_xlfn.XLOOKUP(Assessment!#REF!,Inherited!A:A,Inherited!F:F)))+(((100-(_xlfn.XLOOKUP(Assessment!#REF!,Inherited!A:A,Inherited!B:B)))/100)*IF(AA179="1.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(100%)","100"))))))&gt;=33,(((_xlfn.XLOOKUP(Assessment!#REF!,Inherited!A:A,Inherited!B:B))/100)*(_xlfn.XLOOKUP(Assessment!#REF!,Inherited!A:A,Inherited!F:F)))+(((100-(_xlfn.XLOOKUP(Assessment!#REF!,Inherited!A:A,Inherited!B:B)))/100)*IF(AA179="1.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(100%)","100"))))))&lt;=65),"50",IF(AND((((_xlfn.XLOOKUP(Assessment!#REF!,Inherited!A:A,Inherited!B:B))/100)*(_xlfn.XLOOKUP(Assessment!#REF!,Inherited!A:A,Inherited!F:F)))+(((100-(_xlfn.XLOOKUP(Assessment!#REF!,Inherited!A:A,Inherited!B:B)))/100)*IF(AA179="1.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(100%)","100"))))))&gt;=66,(((_xlfn.XLOOKUP(Assessment!#REF!,Inherited!A:A,Inherited!B:B))/100)*(_xlfn.XLOOKUP(Assessment!#REF!,Inherited!A:A,Inherited!F:F)))+(((100-(_xlfn.XLOOKUP(Assessment!#REF!,Inherited!A:A,Inherited!B:B)))/100)*IF(AA179="1.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(100%)","100"))))))&lt;=89),"75",IF((((_xlfn.XLOOKUP(Assessment!#REF!,Inherited!A:A,Inherited!B:B))/100)*(_xlfn.XLOOKUP(Assessment!#REF!,Inherited!A:A,Inherited!F:F)))+(((100-(_xlfn.XLOOKUP(Assessment!#REF!,Inherited!A:A,Inherited!B:B)))/100)*IF(AA179="1. Non Compliant (0%)","0",IF(AA179="2. Somewhat Compliant (25%)","25",IF(AA179="3. Partially Compliant (50%)","50",IF(AA179="4. Mostly Compliant (75%)","75",IF(AA179="5. Fully Compliant (100%)","100"))))))&gt;=90,"100"))))))</f>
        <v>#N/A</v>
      </c>
      <c r="U179" s="1" t="e">
        <f>IF(MATCH(H179,Inherited!A:A),IF((((_xlfn.XLOOKUP(Assessment!#REF!,Inherited!A:A,Inherited!B:B))/100)*(_xlfn.XLOOKUP(Assessment!#REF!,Inherited!A:A,Inherited!G:G)))+(((100-(_xlfn.XLOOKUP(Assessment!#REF!,Inherited!A:A,Inherited!B:B)))/100)*IF(AB179="1.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(100%)","100"))))))&lt;=10,"0", IF(AND((((_xlfn.XLOOKUP(Assessment!#REF!,Inherited!A:A,Inherited!B:B))/100)*(_xlfn.XLOOKUP(Assessment!#REF!,Inherited!A:A,Inherited!G:G)))+(((100-(_xlfn.XLOOKUP(Assessment!#REF!,Inherited!A:A,Inherited!B:B)))/100)*IF(AB179="1.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(100%)","100"))))))&gt;=11,(((_xlfn.XLOOKUP(Assessment!#REF!,Inherited!A:A,Inherited!B:B))/100)*(_xlfn.XLOOKUP(Assessment!#REF!,Inherited!A:A,Inherited!G:G)))+(((100-(_xlfn.XLOOKUP(Assessment!#REF!,Inherited!A:A,Inherited!B:B)))/100)*IF(AB179="1.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(100%)","100"))))))&lt;=32),"25",IF(AND((((_xlfn.XLOOKUP(Assessment!#REF!,Inherited!A:A,Inherited!B:B))/100)*(_xlfn.XLOOKUP(Assessment!#REF!,Inherited!A:A,Inherited!G:G)))+(((100-(_xlfn.XLOOKUP(Assessment!#REF!,Inherited!A:A,Inherited!B:B)))/100)*IF(AB179="1.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(100%)","100"))))))&gt;=33,(((_xlfn.XLOOKUP(Assessment!#REF!,Inherited!A:A,Inherited!B:B))/100)*(_xlfn.XLOOKUP(Assessment!#REF!,Inherited!A:A,Inherited!G:G)))+(((100-(_xlfn.XLOOKUP(Assessment!#REF!,Inherited!A:A,Inherited!B:B)))/100)*IF(AB179="1.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(100%)","100"))))))&lt;=65),"50",IF(AND((((_xlfn.XLOOKUP(Assessment!#REF!,Inherited!A:A,Inherited!B:B))/100)*(_xlfn.XLOOKUP(Assessment!#REF!,Inherited!A:A,Inherited!G:G)))+(((100-(_xlfn.XLOOKUP(Assessment!#REF!,Inherited!A:A,Inherited!B:B)))/100)*IF(AB179="1.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(100%)","100"))))))&gt;=66,(((_xlfn.XLOOKUP(Assessment!#REF!,Inherited!A:A,Inherited!B:B))/100)*(_xlfn.XLOOKUP(Assessment!#REF!,Inherited!A:A,Inherited!G:G)))+(((100-(_xlfn.XLOOKUP(Assessment!#REF!,Inherited!A:A,Inherited!B:B)))/100)*IF(AB179="1.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(100%)","100"))))))&lt;=89),"75",IF((((_xlfn.XLOOKUP(Assessment!#REF!,Inherited!A:A,Inherited!B:B))/100)*(_xlfn.XLOOKUP(Assessment!#REF!,Inherited!A:A,Inherited!G:G)))+(((100-(_xlfn.XLOOKUP(Assessment!#REF!,Inherited!A:A,Inherited!B:B)))/100)*IF(AB179="1. Non Compliant (0%)","0",IF(AB179="2. Somewhat Compliant (25%)","25",IF(AB179="3. Partially Compliant (50%)","50",IF(AB179="4. Mostly Compliant (75%)","75",IF(AB179="5. Fully Compliant (100%)","100"))))))&gt;=90,"100"))))))</f>
        <v>#N/A</v>
      </c>
      <c r="V179" s="55" t="s">
        <v>85</v>
      </c>
      <c r="W179" s="55"/>
      <c r="X179" s="55"/>
      <c r="Y179" s="55"/>
      <c r="Z179" s="55"/>
      <c r="AA179" s="55"/>
      <c r="AB179" s="55"/>
      <c r="AL179" s="1" t="s">
        <v>11035</v>
      </c>
      <c r="AM179" s="1" t="s">
        <v>11021</v>
      </c>
      <c r="AX179" s="3" t="str">
        <f>_xlfn.CONCAT("A-LIGN finished its review of this control on ",AR179, " during the scheduled fieldwork window (",Intro!$B$4,")."&amp; CHAR(10)&amp; CHAR(10))</f>
        <v xml:space="preserve">A-LIGN finished its review of this control on  during the scheduled fieldwork window (Fieldwork: xx/xx/xxxx - xx/xx/xxxx).
</v>
      </c>
      <c r="AY179" s="3" t="str">
        <f t="shared" si="331"/>
        <v/>
      </c>
      <c r="AZ179" s="3" t="str">
        <f t="shared" si="332"/>
        <v/>
      </c>
      <c r="BA179" s="3" t="str">
        <f t="shared" si="333"/>
        <v/>
      </c>
      <c r="BB179" s="3" t="str">
        <f t="shared" si="334"/>
        <v/>
      </c>
      <c r="BC179" s="3" t="str">
        <f t="shared" si="335"/>
        <v xml:space="preserve">Observed the following live during fieldwork: 
Observed a Foresight Provision report which was generated from a Tenable scan which outlines 
Observed a report from a Google SecOps virtual red-teaming scan which demonstrated that 
</v>
      </c>
      <c r="BD179" s="3" t="str">
        <f t="shared" si="336"/>
        <v xml:space="preserve">Examined the following evidence during fieldwork:
Reviewed evidence addressed the requirement statement.
</v>
      </c>
      <c r="BE179" s="3" t="str">
        <f t="shared" si="337"/>
        <v/>
      </c>
      <c r="BF179" s="3" t="str">
        <f t="shared" si="338"/>
        <v/>
      </c>
      <c r="BG179" s="3" t="str">
        <f>_xlfn.CONCAT((IF((COUNTIF('Sample Tables'!B:B,"Test 116: Information Security (non-compliance identified during compliance check)")&gt;0)=TRUE,_xlfn.CONCAT("Sample test results are documented in ",'Sample Tables'!B1272," [",'Sample Tables'!B1273,", ",'Sample Tables'!B1274,", ",'Sample Tables'!B1275,", ",'Sample Tables'!B1276,", ",'Sample Tables'!B1277,"]."&amp;CHAR(10)),IF((COUNTIF('Sample Tables'!B:B,"Test 116: Information Security (non-compliance identified during compliance check)")&gt;0)=FALSE,""))),)</f>
        <v xml:space="preserve">Sample test results are documented in Test 116: Information Security (non-compliance identified during compliance check) [Population Source/Tool: , Population Date Range: , Population Size: , Sample Methodology: , Sample Size: ].
</v>
      </c>
      <c r="BH179" s="3" t="str">
        <f t="shared" si="339"/>
        <v xml:space="preserve">A-LIGN finished its review of this control on  during the scheduled fieldwork window (Fieldwork: xx/xx/xxxx - xx/xx/xxxx).
Observed the following live during fieldwork: 
Observed a Foresight Provision report which was generated from a Tenable scan which outlines 
Observed a report from a Google SecOps virtual red-teaming scan which demonstrated that 
Examined the following evidence during fieldwork:
Reviewed evidence addressed the requirement statement.
Sample test results are documented in Test 116: Information Security (non-compliance identified during compliance check) [Population Source/Tool: , Population Date Range: , Population Size: , Sample Methodology: , Sample Size: ].
</v>
      </c>
    </row>
    <row r="180" spans="3:60" ht="312.5" x14ac:dyDescent="0.35">
      <c r="C180" s="1">
        <f t="shared" ref="C180:C185" si="340">IF(V180="No","Not Applicable",(IF(X180="1. Non Compliant (0%)","0",IF(X180="2. Somewhat Compliant (25%)","25",IF(X180="3. Partially Compliant (50%)","50",IF(X180="4. Mostly Compliant (75%)","75",IF(X180="5. Fully Compliant (100%)","100")))))*0.15)+((IF(Y180="1. Non Compliant (0%)","0",IF(Y180="2. Somewhat Compliant (25%)","25",IF(Y180="3. Partially Compliant (50%)","50",IF(Y180="4. Mostly Compliant (75%)","75",IF(Y180="5. Fully Compliant (100%)","100"))))))*0.2)+(IF(Z180="1. Non Compliant (0%)","0",IF(Z180="2. Somewhat Compliant (25%)","25",IF(Z180="3. Partially Compliant (50%)","50",IF(Z180="4. Mostly Compliant (75%)","75",IF(Z180="5. Fully Compliant (100%)","100")))))*0.4)+(IF(AA180="1. Non Compliant (0%)","0",IF(AA180="2. Somewhat Compliant (25%)","25",IF(AA180="3. Partially Compliant (50%)","50",IF(AA180="4. Mostly Compliant (75%)","75",IF(AA180="5. Fully Compliant (100%)","100")))))*0.1)+(IF(AB180="1. Non Compliant (0%)","0",IF(AB180="2. Somewhat Compliant (25%)","25",IF(AB180="3. Partially Compliant (50%)","50",IF(AB180="4. Mostly Compliant (75%)","75",IF(AB180="5. Fully Compliant (100%)","100")))))*0.15))</f>
        <v>20</v>
      </c>
      <c r="D180" s="5" t="str">
        <f>IF(AND((_xlfn.XLOOKUP(J180,'Fields &amp; Revisions'!$H:$H,'Fields &amp; Revisions'!$I:$I))&lt;70.99,(OR(Z180="4. Mostly Compliant (75%)",Z180="3. Partially Compliant (50%)",Z180="2. Somewhat Compliant (25%)",Z180="1. Non Compliant (0%)"))),"Yes","No")</f>
        <v>Yes</v>
      </c>
      <c r="E180" s="5" t="str">
        <f>IF(ISERROR(VLOOKUP(H180,Scope!A:A,1,FALSE)),"No","Yes")</f>
        <v>Yes</v>
      </c>
      <c r="F180" s="1" t="s">
        <v>4666</v>
      </c>
      <c r="G180" s="53" t="s">
        <v>5142</v>
      </c>
      <c r="H180" s="53" t="s">
        <v>5143</v>
      </c>
      <c r="I180" s="5">
        <v>1</v>
      </c>
      <c r="J180" s="1" t="s">
        <v>4895</v>
      </c>
      <c r="K180" s="1" t="s">
        <v>5144</v>
      </c>
      <c r="L180" s="1" t="s">
        <v>5145</v>
      </c>
      <c r="M180" s="1" t="s">
        <v>5146</v>
      </c>
      <c r="N180" s="5" t="s">
        <v>85</v>
      </c>
      <c r="O180" s="1" t="str">
        <f>_xlfn.XLOOKUP(G180,SRMs!$A:$A,SRMs!$D:$D)</f>
        <v>NO INHERITANCE</v>
      </c>
      <c r="P180" s="1" t="str">
        <f>IFERROR(VLOOKUP(H180,Inherited!A:B,2,FALSE),"")</f>
        <v/>
      </c>
      <c r="Q180" s="1" t="e">
        <f>IF(MATCH(H180,Inherited!A:A),IF((((_xlfn.XLOOKUP(Assessment!#REF!,Inherited!A:A,Inherited!B:B))/100)*(_xlfn.XLOOKUP(Assessment!#REF!,Inherited!A:A,Inherited!C:C)))+(((100-(_xlfn.XLOOKUP(Assessment!#REF!,Inherited!A:A,Inherited!B:B)))/100)*IF(X180="1.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(100%)","100"))))))&lt;=10,"0", IF(AND((((_xlfn.XLOOKUP(Assessment!#REF!,Inherited!A:A,Inherited!B:B))/100)*(_xlfn.XLOOKUP(Assessment!#REF!,Inherited!A:A,Inherited!C:C)))+(((100-(_xlfn.XLOOKUP(Assessment!#REF!,Inherited!A:A,Inherited!B:B)))/100)*IF(X180="1.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(100%)","100"))))))&gt;=11,(((_xlfn.XLOOKUP(Assessment!#REF!,Inherited!A:A,Inherited!B:B))/100)*(_xlfn.XLOOKUP(Assessment!#REF!,Inherited!A:A,Inherited!C:C)))+(((100-(_xlfn.XLOOKUP(Assessment!#REF!,Inherited!A:A,Inherited!B:B)))/100)*IF(X180="1.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(100%)","100"))))))&lt;=32),"25",IF(AND((((_xlfn.XLOOKUP(Assessment!#REF!,Inherited!A:A,Inherited!B:B))/100)*(_xlfn.XLOOKUP(Assessment!#REF!,Inherited!A:A,Inherited!C:C)))+(((100-(_xlfn.XLOOKUP(Assessment!#REF!,Inherited!A:A,Inherited!B:B)))/100)*IF(X180="1.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(100%)","100"))))))&gt;=33,(((_xlfn.XLOOKUP(Assessment!#REF!,Inherited!A:A,Inherited!B:B))/100)*(_xlfn.XLOOKUP(Assessment!#REF!,Inherited!A:A,Inherited!C:C)))+(((100-(_xlfn.XLOOKUP(Assessment!#REF!,Inherited!A:A,Inherited!B:B)))/100)*IF(X180="1.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(100%)","100"))))))&lt;=65),"50",IF(AND((((_xlfn.XLOOKUP(Assessment!#REF!,Inherited!A:A,Inherited!B:B))/100)*(_xlfn.XLOOKUP(Assessment!#REF!,Inherited!A:A,Inherited!C:C)))+(((100-(_xlfn.XLOOKUP(Assessment!#REF!,Inherited!A:A,Inherited!B:B)))/100)*IF(X180="1.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(100%)","100"))))))&gt;=66,(((_xlfn.XLOOKUP(Assessment!#REF!,Inherited!A:A,Inherited!B:B))/100)*(_xlfn.XLOOKUP(Assessment!#REF!,Inherited!A:A,Inherited!C:C)))+(((100-(_xlfn.XLOOKUP(Assessment!#REF!,Inherited!A:A,Inherited!B:B)))/100)*IF(X180="1.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(100%)","100"))))))&lt;=89),"75",IF((((_xlfn.XLOOKUP(Assessment!#REF!,Inherited!A:A,Inherited!B:B))/100)*(_xlfn.XLOOKUP(Assessment!#REF!,Inherited!A:A,Inherited!C:C)))+(((100-(_xlfn.XLOOKUP(Assessment!#REF!,Inherited!A:A,Inherited!B:B)))/100)*IF(X180="1. Non Compliant (0%)","0",IF(X180="2. Somewhat Compliant (25%)","25",IF(X180="3. Partially Compliant (50%)","50",IF(X180="4. Mostly Compliant (75%)","75",IF(X180="5. Fully Compliant (100%)","100"))))))&gt;=90,"100"))))))</f>
        <v>#N/A</v>
      </c>
      <c r="R180" s="1" t="e">
        <f>IF(MATCH(H180,Inherited!A:A),IF((((_xlfn.XLOOKUP(Assessment!#REF!,Inherited!A:A,Inherited!B:B))/100)*(_xlfn.XLOOKUP(Assessment!#REF!,Inherited!A:A,Inherited!D:D)))+(((100-(_xlfn.XLOOKUP(Assessment!#REF!,Inherited!A:A,Inherited!B:B)))/100)*IF(Y180="1.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(100%)","100"))))))&lt;=10,"0", IF(AND((((_xlfn.XLOOKUP(Assessment!#REF!,Inherited!A:A,Inherited!B:B))/100)*(_xlfn.XLOOKUP(Assessment!#REF!,Inherited!A:A,Inherited!D:D)))+(((100-(_xlfn.XLOOKUP(Assessment!#REF!,Inherited!A:A,Inherited!B:B)))/100)*IF(Y180="1.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(100%)","100"))))))&gt;=11,(((_xlfn.XLOOKUP(Assessment!#REF!,Inherited!A:A,Inherited!B:B))/100)*(_xlfn.XLOOKUP(Assessment!#REF!,Inherited!A:A,Inherited!D:D)))+(((100-(_xlfn.XLOOKUP(Assessment!#REF!,Inherited!A:A,Inherited!B:B)))/100)*IF(Y180="1.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(100%)","100"))))))&lt;=32),"25",IF(AND((((_xlfn.XLOOKUP(Assessment!#REF!,Inherited!A:A,Inherited!B:B))/100)*(_xlfn.XLOOKUP(Assessment!#REF!,Inherited!A:A,Inherited!D:D)))+(((100-(_xlfn.XLOOKUP(Assessment!#REF!,Inherited!A:A,Inherited!B:B)))/100)*IF(Y180="1.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(100%)","100"))))))&gt;=33,(((_xlfn.XLOOKUP(Assessment!#REF!,Inherited!A:A,Inherited!B:B))/100)*(_xlfn.XLOOKUP(Assessment!#REF!,Inherited!A:A,Inherited!D:D)))+(((100-(_xlfn.XLOOKUP(Assessment!#REF!,Inherited!A:A,Inherited!B:B)))/100)*IF(Y180="1.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(100%)","100"))))))&lt;=65),"50",IF(AND((((_xlfn.XLOOKUP(Assessment!#REF!,Inherited!A:A,Inherited!B:B))/100)*(_xlfn.XLOOKUP(Assessment!#REF!,Inherited!A:A,Inherited!D:D)))+(((100-(_xlfn.XLOOKUP(Assessment!#REF!,Inherited!A:A,Inherited!B:B)))/100)*IF(Y180="1.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(100%)","100"))))))&gt;=66,(((_xlfn.XLOOKUP(Assessment!#REF!,Inherited!A:A,Inherited!B:B))/100)*(_xlfn.XLOOKUP(Assessment!#REF!,Inherited!A:A,Inherited!D:D)))+(((100-(_xlfn.XLOOKUP(Assessment!#REF!,Inherited!A:A,Inherited!B:B)))/100)*IF(Y180="1.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(100%)","100"))))))&lt;=89),"75",IF((((_xlfn.XLOOKUP(Assessment!#REF!,Inherited!A:A,Inherited!B:B))/100)*(_xlfn.XLOOKUP(Assessment!#REF!,Inherited!A:A,Inherited!D:D)))+(((100-(_xlfn.XLOOKUP(Assessment!#REF!,Inherited!A:A,Inherited!B:B)))/100)*IF(Y180="1. Non Compliant (0%)","0",IF(Y180="2. Somewhat Compliant (25%)","25",IF(Y180="3. Partially Compliant (50%)","50",IF(Y180="4. Mostly Compliant (75%)","75",IF(Y180="5. Fully Compliant (100%)","100"))))))&gt;=90,"100"))))))</f>
        <v>#N/A</v>
      </c>
      <c r="S180" s="1" t="e">
        <f>IF(MATCH(H180,Inherited!A:A),IF((((_xlfn.XLOOKUP(Assessment!#REF!,Inherited!A:A,Inherited!B:B))/100)*(_xlfn.XLOOKUP(Assessment!#REF!,Inherited!A:A,Inherited!E:E)))+(((100-(_xlfn.XLOOKUP(Assessment!#REF!,Inherited!A:A,Inherited!B:B)))/100)*IF(Z180="1.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(100%)","100"))))))&lt;=10,"0", IF(AND((((_xlfn.XLOOKUP(Assessment!#REF!,Inherited!A:A,Inherited!B:B))/100)*(_xlfn.XLOOKUP(Assessment!#REF!,Inherited!A:A,Inherited!E:E)))+(((100-(_xlfn.XLOOKUP(Assessment!#REF!,Inherited!A:A,Inherited!B:B)))/100)*IF(Z180="1.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(100%)","100"))))))&gt;=11,(((_xlfn.XLOOKUP(Assessment!#REF!,Inherited!A:A,Inherited!B:B))/100)*(_xlfn.XLOOKUP(Assessment!#REF!,Inherited!A:A,Inherited!E:E)))+(((100-(_xlfn.XLOOKUP(Assessment!#REF!,Inherited!A:A,Inherited!B:B)))/100)*IF(Z180="1.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(100%)","100"))))))&lt;=32),"25",IF(AND((((_xlfn.XLOOKUP(Assessment!#REF!,Inherited!A:A,Inherited!B:B))/100)*(_xlfn.XLOOKUP(Assessment!#REF!,Inherited!A:A,Inherited!E:E)))+(((100-(_xlfn.XLOOKUP(Assessment!#REF!,Inherited!A:A,Inherited!B:B)))/100)*IF(Z180="1.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(100%)","100"))))))&gt;=33,(((_xlfn.XLOOKUP(Assessment!#REF!,Inherited!A:A,Inherited!B:B))/100)*(_xlfn.XLOOKUP(Assessment!#REF!,Inherited!A:A,Inherited!E:E)))+(((100-(_xlfn.XLOOKUP(Assessment!#REF!,Inherited!A:A,Inherited!B:B)))/100)*IF(Z180="1.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(100%)","100"))))))&lt;=65),"50",IF(AND((((_xlfn.XLOOKUP(Assessment!#REF!,Inherited!A:A,Inherited!B:B))/100)*(_xlfn.XLOOKUP(Assessment!#REF!,Inherited!A:A,Inherited!E:E)))+(((100-(_xlfn.XLOOKUP(Assessment!#REF!,Inherited!A:A,Inherited!B:B)))/100)*IF(Z180="1.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(100%)","100"))))))&gt;=66,(((_xlfn.XLOOKUP(Assessment!#REF!,Inherited!A:A,Inherited!B:B))/100)*(_xlfn.XLOOKUP(Assessment!#REF!,Inherited!A:A,Inherited!E:E)))+(((100-(_xlfn.XLOOKUP(Assessment!#REF!,Inherited!A:A,Inherited!B:B)))/100)*IF(Z180="1.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(100%)","100"))))))&lt;=89),"75",IF((((_xlfn.XLOOKUP(Assessment!#REF!,Inherited!A:A,Inherited!B:B))/100)*(_xlfn.XLOOKUP(Assessment!#REF!,Inherited!A:A,Inherited!E:E)))+(((100-(_xlfn.XLOOKUP(Assessment!#REF!,Inherited!A:A,Inherited!B:B)))/100)*IF(Z180="1. Non Compliant (0%)","0",IF(Z180="2. Somewhat Compliant (25%)","25",IF(Z180="3. Partially Compliant (50%)","50",IF(Z180="4. Mostly Compliant (75%)","75",IF(Z180="5. Fully Compliant (100%)","100"))))))&gt;=90,"100"))))))</f>
        <v>#N/A</v>
      </c>
      <c r="T180" s="1" t="e">
        <f>IF(MATCH(H180,Inherited!A:A),IF((((_xlfn.XLOOKUP(Assessment!#REF!,Inherited!A:A,Inherited!B:B))/100)*(_xlfn.XLOOKUP(Assessment!#REF!,Inherited!A:A,Inherited!F:F)))+(((100-(_xlfn.XLOOKUP(Assessment!#REF!,Inherited!A:A,Inherited!B:B)))/100)*IF(AA180="1.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(100%)","100"))))))&lt;=10,"0", IF(AND((((_xlfn.XLOOKUP(Assessment!#REF!,Inherited!A:A,Inherited!B:B))/100)*(_xlfn.XLOOKUP(Assessment!#REF!,Inherited!A:A,Inherited!F:F)))+(((100-(_xlfn.XLOOKUP(Assessment!#REF!,Inherited!A:A,Inherited!B:B)))/100)*IF(AA180="1.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(100%)","100"))))))&gt;=11,(((_xlfn.XLOOKUP(Assessment!#REF!,Inherited!A:A,Inherited!B:B))/100)*(_xlfn.XLOOKUP(Assessment!#REF!,Inherited!A:A,Inherited!F:F)))+(((100-(_xlfn.XLOOKUP(Assessment!#REF!,Inherited!A:A,Inherited!B:B)))/100)*IF(AA180="1.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(100%)","100"))))))&lt;=32),"25",IF(AND((((_xlfn.XLOOKUP(Assessment!#REF!,Inherited!A:A,Inherited!B:B))/100)*(_xlfn.XLOOKUP(Assessment!#REF!,Inherited!A:A,Inherited!F:F)))+(((100-(_xlfn.XLOOKUP(Assessment!#REF!,Inherited!A:A,Inherited!B:B)))/100)*IF(AA180="1.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(100%)","100"))))))&gt;=33,(((_xlfn.XLOOKUP(Assessment!#REF!,Inherited!A:A,Inherited!B:B))/100)*(_xlfn.XLOOKUP(Assessment!#REF!,Inherited!A:A,Inherited!F:F)))+(((100-(_xlfn.XLOOKUP(Assessment!#REF!,Inherited!A:A,Inherited!B:B)))/100)*IF(AA180="1.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(100%)","100"))))))&lt;=65),"50",IF(AND((((_xlfn.XLOOKUP(Assessment!#REF!,Inherited!A:A,Inherited!B:B))/100)*(_xlfn.XLOOKUP(Assessment!#REF!,Inherited!A:A,Inherited!F:F)))+(((100-(_xlfn.XLOOKUP(Assessment!#REF!,Inherited!A:A,Inherited!B:B)))/100)*IF(AA180="1.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(100%)","100"))))))&gt;=66,(((_xlfn.XLOOKUP(Assessment!#REF!,Inherited!A:A,Inherited!B:B))/100)*(_xlfn.XLOOKUP(Assessment!#REF!,Inherited!A:A,Inherited!F:F)))+(((100-(_xlfn.XLOOKUP(Assessment!#REF!,Inherited!A:A,Inherited!B:B)))/100)*IF(AA180="1.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(100%)","100"))))))&lt;=89),"75",IF((((_xlfn.XLOOKUP(Assessment!#REF!,Inherited!A:A,Inherited!B:B))/100)*(_xlfn.XLOOKUP(Assessment!#REF!,Inherited!A:A,Inherited!F:F)))+(((100-(_xlfn.XLOOKUP(Assessment!#REF!,Inherited!A:A,Inherited!B:B)))/100)*IF(AA180="1. Non Compliant (0%)","0",IF(AA180="2. Somewhat Compliant (25%)","25",IF(AA180="3. Partially Compliant (50%)","50",IF(AA180="4. Mostly Compliant (75%)","75",IF(AA180="5. Fully Compliant (100%)","100"))))))&gt;=90,"100"))))))</f>
        <v>#N/A</v>
      </c>
      <c r="U180" s="1" t="e">
        <f>IF(MATCH(H180,Inherited!A:A),IF((((_xlfn.XLOOKUP(Assessment!#REF!,Inherited!A:A,Inherited!B:B))/100)*(_xlfn.XLOOKUP(Assessment!#REF!,Inherited!A:A,Inherited!G:G)))+(((100-(_xlfn.XLOOKUP(Assessment!#REF!,Inherited!A:A,Inherited!B:B)))/100)*IF(AB180="1.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(100%)","100"))))))&lt;=10,"0", IF(AND((((_xlfn.XLOOKUP(Assessment!#REF!,Inherited!A:A,Inherited!B:B))/100)*(_xlfn.XLOOKUP(Assessment!#REF!,Inherited!A:A,Inherited!G:G)))+(((100-(_xlfn.XLOOKUP(Assessment!#REF!,Inherited!A:A,Inherited!B:B)))/100)*IF(AB180="1.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(100%)","100"))))))&gt;=11,(((_xlfn.XLOOKUP(Assessment!#REF!,Inherited!A:A,Inherited!B:B))/100)*(_xlfn.XLOOKUP(Assessment!#REF!,Inherited!A:A,Inherited!G:G)))+(((100-(_xlfn.XLOOKUP(Assessment!#REF!,Inherited!A:A,Inherited!B:B)))/100)*IF(AB180="1.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(100%)","100"))))))&lt;=32),"25",IF(AND((((_xlfn.XLOOKUP(Assessment!#REF!,Inherited!A:A,Inherited!B:B))/100)*(_xlfn.XLOOKUP(Assessment!#REF!,Inherited!A:A,Inherited!G:G)))+(((100-(_xlfn.XLOOKUP(Assessment!#REF!,Inherited!A:A,Inherited!B:B)))/100)*IF(AB180="1.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(100%)","100"))))))&gt;=33,(((_xlfn.XLOOKUP(Assessment!#REF!,Inherited!A:A,Inherited!B:B))/100)*(_xlfn.XLOOKUP(Assessment!#REF!,Inherited!A:A,Inherited!G:G)))+(((100-(_xlfn.XLOOKUP(Assessment!#REF!,Inherited!A:A,Inherited!B:B)))/100)*IF(AB180="1.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(100%)","100"))))))&lt;=65),"50",IF(AND((((_xlfn.XLOOKUP(Assessment!#REF!,Inherited!A:A,Inherited!B:B))/100)*(_xlfn.XLOOKUP(Assessment!#REF!,Inherited!A:A,Inherited!G:G)))+(((100-(_xlfn.XLOOKUP(Assessment!#REF!,Inherited!A:A,Inherited!B:B)))/100)*IF(AB180="1.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(100%)","100"))))))&gt;=66,(((_xlfn.XLOOKUP(Assessment!#REF!,Inherited!A:A,Inherited!B:B))/100)*(_xlfn.XLOOKUP(Assessment!#REF!,Inherited!A:A,Inherited!G:G)))+(((100-(_xlfn.XLOOKUP(Assessment!#REF!,Inherited!A:A,Inherited!B:B)))/100)*IF(AB180="1.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(100%)","100"))))))&lt;=89),"75",IF((((_xlfn.XLOOKUP(Assessment!#REF!,Inherited!A:A,Inherited!B:B))/100)*(_xlfn.XLOOKUP(Assessment!#REF!,Inherited!A:A,Inherited!G:G)))+(((100-(_xlfn.XLOOKUP(Assessment!#REF!,Inherited!A:A,Inherited!B:B)))/100)*IF(AB180="1. Non Compliant (0%)","0",IF(AB180="2. Somewhat Compliant (25%)","25",IF(AB180="3. Partially Compliant (50%)","50",IF(AB180="4. Mostly Compliant (75%)","75",IF(AB180="5. Fully Compliant (100%)","100"))))))&gt;=90,"100"))))))</f>
        <v>#N/A</v>
      </c>
      <c r="V180" s="55" t="s">
        <v>85</v>
      </c>
      <c r="W180" s="55"/>
      <c r="X180" s="55"/>
      <c r="Y180" s="55"/>
      <c r="Z180" s="55" t="s">
        <v>88</v>
      </c>
      <c r="AA180" s="55"/>
      <c r="AB180" s="55"/>
      <c r="AM180" s="1" t="s">
        <v>10957</v>
      </c>
      <c r="AP180" s="1" t="s">
        <v>11022</v>
      </c>
      <c r="AX180" s="3" t="str">
        <f>_xlfn.CONCAT("A-LIGN finished its review of this control on ",AR180, " during the scheduled fieldwork window (",Intro!$B$4,")."&amp; CHAR(10)&amp; CHAR(10))</f>
        <v xml:space="preserve">A-LIGN finished its review of this control on  during the scheduled fieldwork window (Fieldwork: xx/xx/xxxx - xx/xx/xxxx).
</v>
      </c>
      <c r="AY180" s="3" t="str">
        <f t="shared" ref="AY180:AY185" si="341">IF(AQ180&lt;&gt;"",(_xlfn.CONCAT("Inheritance note: "&amp; CHAR(10),AQ180&amp; CHAR(10)&amp; CHAR(10))),"")</f>
        <v/>
      </c>
      <c r="AZ180" s="3" t="str">
        <f t="shared" ref="AZ180:AZ185" si="342">IFERROR(IF(AD180&lt;&gt;"",_xlfn.CONCAT("Examined the following policy during fieldwork:"&amp; CHAR(10),AD180&amp; CHAR(10)&amp; CHAR(10),IF(AND(X180&lt;&gt;"5. Fully Compliant (100%)",AE180&lt;&gt;""),"Reviewed policy exception note:"&amp; CHAR(10) &amp; AE180 &amp; CHAR(10) &amp; CHAR(10),"")),""),"")</f>
        <v/>
      </c>
      <c r="BA180" s="3" t="str">
        <f t="shared" ref="BA180:BA185" si="343">IFERROR(IF(AH180&lt;&gt;"",_xlfn.CONCAT("Examined the following process during fieldwork:"&amp; CHAR(10),AH180&amp; CHAR(10)&amp; CHAR(10),IF(AND(Y180&lt;&gt;"5. Fully Compliant (100%)",AI180&lt;&gt;""),"Reviewed process exception note:"&amp; CHAR(10) &amp; AI180 &amp; CHAR(10) &amp; CHAR(10),"")),""),"")</f>
        <v/>
      </c>
      <c r="BB180" s="3" t="str">
        <f t="shared" ref="BB180:BB185" si="344">IF(AK180&lt;&gt;"",(_xlfn.CONCAT("Inquired of the following workforce member: "&amp; CHAR(10),AK180&amp; CHAR(10)&amp; CHAR(10),"Inquiry lead to the following conclusions: "&amp; CHAR(10),AL180&amp; CHAR(10) &amp; CHAR(10))),"")</f>
        <v/>
      </c>
      <c r="BC180" s="3" t="str">
        <f t="shared" ref="BC180:BC185" si="345">IF(AM180&lt;&gt;"",(_xlfn.CONCAT("Observed the following live during fieldwork: "&amp; CHAR(10),AM180&amp; CHAR(10) &amp; CHAR(10))),"")</f>
        <v xml:space="preserve">Observed the following live during fieldwork: 
Observed the Vanta instances where Merge will document/track the risk assessment.
</v>
      </c>
      <c r="BD180" s="3" t="str">
        <f t="shared" ref="BD180:BD185" si="346">_xlfn.CONCAT("Examined the following evidence during fieldwork:"&amp; CHAR(10),AN180&amp; CHAR(10)&amp; CHAR(10),IF(AO180&lt;&gt;"","Reviewed evidence note:"&amp; CHAR(10)&amp;AO180&amp; CHAR(10) &amp; CHAR(10),"Reviewed evidence addressed the requirement statement."&amp; CHAR(10) &amp; CHAR(10)),IF(AND(AP180&lt;&gt;"5. Fully Compliant (100%)",AP180&lt;&gt;""),"Reviewed evidence exception note: "&amp; CHAR(10) &amp; AP180 &amp; CHAR(10) &amp; CHAR(10),""))</f>
        <v xml:space="preserve">Examined the following evidence during fieldwork:
Reviewed evidence addressed the requirement statement.
Reviewed evidence exception note: 
Gap: Risk assessment within Vanta is not fully outlined.
Recommendation: Management should ensure that the risk assessment within Vanta is generated and outlined in accordance with the requirement statement.
</v>
      </c>
      <c r="BE180" s="3" t="str">
        <f t="shared" ref="BE180:BE185" si="347">IF(AT180&lt;&gt;"",(_xlfn.CONCAT("Examined the following measure/metric during fieldwork:"&amp; CHAR(10),AT180&amp; CHAR(10)&amp; CHAR(10),"Reviewed measure/metric note:"&amp; CHAR(10),AU180 &amp; CHAR(10) &amp; CHAR(10))),"")</f>
        <v/>
      </c>
      <c r="BF180" s="3" t="str">
        <f t="shared" ref="BF180:BF185" si="348">IF(AV180&lt;&gt;"",(_xlfn.CONCAT("Examined the following measure/metric management during fieldwork:"&amp; CHAR(10),AV180&amp; CHAR(10)&amp; CHAR(10),"Reviewed measure/metric management note:"&amp; CHAR(10),AW180 &amp; CHAR(10) &amp; CHAR(10))),"")</f>
        <v/>
      </c>
      <c r="BG180" s="3" t="str">
        <f>_xlfn.CONCAT((IF((COUNTIF('Sample Tables'!B:B,"Test 124: Information Security (risk assessment)")&gt;0)=TRUE,_xlfn.CONCAT("Sample test results are documented in ",'Sample Tables'!B1360," [",'Sample Tables'!B1361,", ",'Sample Tables'!B1362,", ",'Sample Tables'!B1363,", ",'Sample Tables'!B1364,", ",'Sample Tables'!B1365,"]."&amp;CHAR(10)),IF((COUNTIF('Sample Tables'!B:B,"Test 124: Information Security (risk assessment)")&gt;0)=FALSE,""))),)</f>
        <v xml:space="preserve">Sample test results are documented in Test 124: Information Security (risk assessment) [Population Source/Tool: , Population Date Range: , Population Size: , Sample Methodology: , Sample Size: ].
</v>
      </c>
      <c r="BH180" s="3" t="str">
        <f t="shared" ref="BH180:BH185" si="349">IF(V180="No","Not Applicable: "&amp;W180,(_xlfn.CONCAT(AX180,AY180,AZ180,BA180,BB180,BC180,BD180,BE180,BF180,BG180)))</f>
        <v xml:space="preserve">A-LIGN finished its review of this control on  during the scheduled fieldwork window (Fieldwork: xx/xx/xxxx - xx/xx/xxxx).
Observed the following live during fieldwork: 
Observed the Vanta instances where Merge will document/track the risk assessment.
Examined the following evidence during fieldwork:
Reviewed evidence addressed the requirement statement.
Reviewed evidence exception note: 
Gap: Risk assessment within Vanta is not fully outlined.
Recommendation: Management should ensure that the risk assessment within Vanta is generated and outlined in accordance with the requirement statement.
Sample test results are documented in Test 124: Information Security (risk assessment) [Population Source/Tool: , Population Date Range: , Population Size: , Sample Methodology: , Sample Size: ].
</v>
      </c>
    </row>
    <row r="181" spans="3:60" ht="409.5" x14ac:dyDescent="0.35">
      <c r="C181" s="1">
        <f t="shared" si="340"/>
        <v>30</v>
      </c>
      <c r="D181" s="5" t="str">
        <f>IF(AND((_xlfn.XLOOKUP(J181,'Fields &amp; Revisions'!$H:$H,'Fields &amp; Revisions'!$I:$I))&lt;70.99,(OR(Z181="4. Mostly Compliant (75%)",Z181="3. Partially Compliant (50%)",Z181="2. Somewhat Compliant (25%)",Z181="1. Non Compliant (0%)"))),"Yes","No")</f>
        <v>Yes</v>
      </c>
      <c r="E181" s="5" t="str">
        <f>IF(ISERROR(VLOOKUP(H181,Scope!A:A,1,FALSE)),"No","Yes")</f>
        <v>Yes</v>
      </c>
      <c r="F181" s="1" t="s">
        <v>4666</v>
      </c>
      <c r="G181" s="53" t="s">
        <v>5153</v>
      </c>
      <c r="H181" s="53" t="s">
        <v>5154</v>
      </c>
      <c r="I181" s="5">
        <v>1</v>
      </c>
      <c r="J181" s="1" t="s">
        <v>279</v>
      </c>
      <c r="K181" s="1" t="s">
        <v>5155</v>
      </c>
      <c r="L181" s="1" t="s">
        <v>5156</v>
      </c>
      <c r="M181" s="1" t="s">
        <v>5157</v>
      </c>
      <c r="N181" s="5" t="s">
        <v>85</v>
      </c>
      <c r="O181" s="1" t="str">
        <f>_xlfn.XLOOKUP(G181,SRMs!$A:$A,SRMs!$D:$D)</f>
        <v>PARTIAL INHERITANCE</v>
      </c>
      <c r="P181" s="1" t="str">
        <f>IFERROR(VLOOKUP(H181,Inherited!A:B,2,FALSE),"")</f>
        <v/>
      </c>
      <c r="Q181" s="1" t="e">
        <f>IF(MATCH(H181,Inherited!A:A),IF((((_xlfn.XLOOKUP(Assessment!#REF!,Inherited!A:A,Inherited!B:B))/100)*(_xlfn.XLOOKUP(Assessment!#REF!,Inherited!A:A,Inherited!C:C)))+(((100-(_xlfn.XLOOKUP(Assessment!#REF!,Inherited!A:A,Inherited!B:B)))/100)*IF(X181="1.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(100%)","100"))))))&lt;=10,"0", IF(AND((((_xlfn.XLOOKUP(Assessment!#REF!,Inherited!A:A,Inherited!B:B))/100)*(_xlfn.XLOOKUP(Assessment!#REF!,Inherited!A:A,Inherited!C:C)))+(((100-(_xlfn.XLOOKUP(Assessment!#REF!,Inherited!A:A,Inherited!B:B)))/100)*IF(X181="1.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(100%)","100"))))))&gt;=11,(((_xlfn.XLOOKUP(Assessment!#REF!,Inherited!A:A,Inherited!B:B))/100)*(_xlfn.XLOOKUP(Assessment!#REF!,Inherited!A:A,Inherited!C:C)))+(((100-(_xlfn.XLOOKUP(Assessment!#REF!,Inherited!A:A,Inherited!B:B)))/100)*IF(X181="1.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(100%)","100"))))))&lt;=32),"25",IF(AND((((_xlfn.XLOOKUP(Assessment!#REF!,Inherited!A:A,Inherited!B:B))/100)*(_xlfn.XLOOKUP(Assessment!#REF!,Inherited!A:A,Inherited!C:C)))+(((100-(_xlfn.XLOOKUP(Assessment!#REF!,Inherited!A:A,Inherited!B:B)))/100)*IF(X181="1.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(100%)","100"))))))&gt;=33,(((_xlfn.XLOOKUP(Assessment!#REF!,Inherited!A:A,Inherited!B:B))/100)*(_xlfn.XLOOKUP(Assessment!#REF!,Inherited!A:A,Inherited!C:C)))+(((100-(_xlfn.XLOOKUP(Assessment!#REF!,Inherited!A:A,Inherited!B:B)))/100)*IF(X181="1.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(100%)","100"))))))&lt;=65),"50",IF(AND((((_xlfn.XLOOKUP(Assessment!#REF!,Inherited!A:A,Inherited!B:B))/100)*(_xlfn.XLOOKUP(Assessment!#REF!,Inherited!A:A,Inherited!C:C)))+(((100-(_xlfn.XLOOKUP(Assessment!#REF!,Inherited!A:A,Inherited!B:B)))/100)*IF(X181="1.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(100%)","100"))))))&gt;=66,(((_xlfn.XLOOKUP(Assessment!#REF!,Inherited!A:A,Inherited!B:B))/100)*(_xlfn.XLOOKUP(Assessment!#REF!,Inherited!A:A,Inherited!C:C)))+(((100-(_xlfn.XLOOKUP(Assessment!#REF!,Inherited!A:A,Inherited!B:B)))/100)*IF(X181="1.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(100%)","100"))))))&lt;=89),"75",IF((((_xlfn.XLOOKUP(Assessment!#REF!,Inherited!A:A,Inherited!B:B))/100)*(_xlfn.XLOOKUP(Assessment!#REF!,Inherited!A:A,Inherited!C:C)))+(((100-(_xlfn.XLOOKUP(Assessment!#REF!,Inherited!A:A,Inherited!B:B)))/100)*IF(X181="1. Non Compliant (0%)","0",IF(X181="2. Somewhat Compliant (25%)","25",IF(X181="3. Partially Compliant (50%)","50",IF(X181="4. Mostly Compliant (75%)","75",IF(X181="5. Fully Compliant (100%)","100"))))))&gt;=90,"100"))))))</f>
        <v>#N/A</v>
      </c>
      <c r="R181" s="1" t="e">
        <f>IF(MATCH(H181,Inherited!A:A),IF((((_xlfn.XLOOKUP(Assessment!#REF!,Inherited!A:A,Inherited!B:B))/100)*(_xlfn.XLOOKUP(Assessment!#REF!,Inherited!A:A,Inherited!D:D)))+(((100-(_xlfn.XLOOKUP(Assessment!#REF!,Inherited!A:A,Inherited!B:B)))/100)*IF(Y181="1.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(100%)","100"))))))&lt;=10,"0", IF(AND((((_xlfn.XLOOKUP(Assessment!#REF!,Inherited!A:A,Inherited!B:B))/100)*(_xlfn.XLOOKUP(Assessment!#REF!,Inherited!A:A,Inherited!D:D)))+(((100-(_xlfn.XLOOKUP(Assessment!#REF!,Inherited!A:A,Inherited!B:B)))/100)*IF(Y181="1.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(100%)","100"))))))&gt;=11,(((_xlfn.XLOOKUP(Assessment!#REF!,Inherited!A:A,Inherited!B:B))/100)*(_xlfn.XLOOKUP(Assessment!#REF!,Inherited!A:A,Inherited!D:D)))+(((100-(_xlfn.XLOOKUP(Assessment!#REF!,Inherited!A:A,Inherited!B:B)))/100)*IF(Y181="1.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(100%)","100"))))))&lt;=32),"25",IF(AND((((_xlfn.XLOOKUP(Assessment!#REF!,Inherited!A:A,Inherited!B:B))/100)*(_xlfn.XLOOKUP(Assessment!#REF!,Inherited!A:A,Inherited!D:D)))+(((100-(_xlfn.XLOOKUP(Assessment!#REF!,Inherited!A:A,Inherited!B:B)))/100)*IF(Y181="1.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(100%)","100"))))))&gt;=33,(((_xlfn.XLOOKUP(Assessment!#REF!,Inherited!A:A,Inherited!B:B))/100)*(_xlfn.XLOOKUP(Assessment!#REF!,Inherited!A:A,Inherited!D:D)))+(((100-(_xlfn.XLOOKUP(Assessment!#REF!,Inherited!A:A,Inherited!B:B)))/100)*IF(Y181="1.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(100%)","100"))))))&lt;=65),"50",IF(AND((((_xlfn.XLOOKUP(Assessment!#REF!,Inherited!A:A,Inherited!B:B))/100)*(_xlfn.XLOOKUP(Assessment!#REF!,Inherited!A:A,Inherited!D:D)))+(((100-(_xlfn.XLOOKUP(Assessment!#REF!,Inherited!A:A,Inherited!B:B)))/100)*IF(Y181="1.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(100%)","100"))))))&gt;=66,(((_xlfn.XLOOKUP(Assessment!#REF!,Inherited!A:A,Inherited!B:B))/100)*(_xlfn.XLOOKUP(Assessment!#REF!,Inherited!A:A,Inherited!D:D)))+(((100-(_xlfn.XLOOKUP(Assessment!#REF!,Inherited!A:A,Inherited!B:B)))/100)*IF(Y181="1.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(100%)","100"))))))&lt;=89),"75",IF((((_xlfn.XLOOKUP(Assessment!#REF!,Inherited!A:A,Inherited!B:B))/100)*(_xlfn.XLOOKUP(Assessment!#REF!,Inherited!A:A,Inherited!D:D)))+(((100-(_xlfn.XLOOKUP(Assessment!#REF!,Inherited!A:A,Inherited!B:B)))/100)*IF(Y181="1. Non Compliant (0%)","0",IF(Y181="2. Somewhat Compliant (25%)","25",IF(Y181="3. Partially Compliant (50%)","50",IF(Y181="4. Mostly Compliant (75%)","75",IF(Y181="5. Fully Compliant (100%)","100"))))))&gt;=90,"100"))))))</f>
        <v>#N/A</v>
      </c>
      <c r="S181" s="1" t="e">
        <f>IF(MATCH(H181,Inherited!A:A),IF((((_xlfn.XLOOKUP(Assessment!#REF!,Inherited!A:A,Inherited!B:B))/100)*(_xlfn.XLOOKUP(Assessment!#REF!,Inherited!A:A,Inherited!E:E)))+(((100-(_xlfn.XLOOKUP(Assessment!#REF!,Inherited!A:A,Inherited!B:B)))/100)*IF(Z181="1.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(100%)","100"))))))&lt;=10,"0", IF(AND((((_xlfn.XLOOKUP(Assessment!#REF!,Inherited!A:A,Inherited!B:B))/100)*(_xlfn.XLOOKUP(Assessment!#REF!,Inherited!A:A,Inherited!E:E)))+(((100-(_xlfn.XLOOKUP(Assessment!#REF!,Inherited!A:A,Inherited!B:B)))/100)*IF(Z181="1.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(100%)","100"))))))&gt;=11,(((_xlfn.XLOOKUP(Assessment!#REF!,Inherited!A:A,Inherited!B:B))/100)*(_xlfn.XLOOKUP(Assessment!#REF!,Inherited!A:A,Inherited!E:E)))+(((100-(_xlfn.XLOOKUP(Assessment!#REF!,Inherited!A:A,Inherited!B:B)))/100)*IF(Z181="1.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(100%)","100"))))))&lt;=32),"25",IF(AND((((_xlfn.XLOOKUP(Assessment!#REF!,Inherited!A:A,Inherited!B:B))/100)*(_xlfn.XLOOKUP(Assessment!#REF!,Inherited!A:A,Inherited!E:E)))+(((100-(_xlfn.XLOOKUP(Assessment!#REF!,Inherited!A:A,Inherited!B:B)))/100)*IF(Z181="1.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(100%)","100"))))))&gt;=33,(((_xlfn.XLOOKUP(Assessment!#REF!,Inherited!A:A,Inherited!B:B))/100)*(_xlfn.XLOOKUP(Assessment!#REF!,Inherited!A:A,Inherited!E:E)))+(((100-(_xlfn.XLOOKUP(Assessment!#REF!,Inherited!A:A,Inherited!B:B)))/100)*IF(Z181="1.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(100%)","100"))))))&lt;=65),"50",IF(AND((((_xlfn.XLOOKUP(Assessment!#REF!,Inherited!A:A,Inherited!B:B))/100)*(_xlfn.XLOOKUP(Assessment!#REF!,Inherited!A:A,Inherited!E:E)))+(((100-(_xlfn.XLOOKUP(Assessment!#REF!,Inherited!A:A,Inherited!B:B)))/100)*IF(Z181="1.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(100%)","100"))))))&gt;=66,(((_xlfn.XLOOKUP(Assessment!#REF!,Inherited!A:A,Inherited!B:B))/100)*(_xlfn.XLOOKUP(Assessment!#REF!,Inherited!A:A,Inherited!E:E)))+(((100-(_xlfn.XLOOKUP(Assessment!#REF!,Inherited!A:A,Inherited!B:B)))/100)*IF(Z181="1.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(100%)","100"))))))&lt;=89),"75",IF((((_xlfn.XLOOKUP(Assessment!#REF!,Inherited!A:A,Inherited!B:B))/100)*(_xlfn.XLOOKUP(Assessment!#REF!,Inherited!A:A,Inherited!E:E)))+(((100-(_xlfn.XLOOKUP(Assessment!#REF!,Inherited!A:A,Inherited!B:B)))/100)*IF(Z181="1. Non Compliant (0%)","0",IF(Z181="2. Somewhat Compliant (25%)","25",IF(Z181="3. Partially Compliant (50%)","50",IF(Z181="4. Mostly Compliant (75%)","75",IF(Z181="5. Fully Compliant (100%)","100"))))))&gt;=90,"100"))))))</f>
        <v>#N/A</v>
      </c>
      <c r="T181" s="1" t="e">
        <f>IF(MATCH(H181,Inherited!A:A),IF((((_xlfn.XLOOKUP(Assessment!#REF!,Inherited!A:A,Inherited!B:B))/100)*(_xlfn.XLOOKUP(Assessment!#REF!,Inherited!A:A,Inherited!F:F)))+(((100-(_xlfn.XLOOKUP(Assessment!#REF!,Inherited!A:A,Inherited!B:B)))/100)*IF(AA181="1.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(100%)","100"))))))&lt;=10,"0", IF(AND((((_xlfn.XLOOKUP(Assessment!#REF!,Inherited!A:A,Inherited!B:B))/100)*(_xlfn.XLOOKUP(Assessment!#REF!,Inherited!A:A,Inherited!F:F)))+(((100-(_xlfn.XLOOKUP(Assessment!#REF!,Inherited!A:A,Inherited!B:B)))/100)*IF(AA181="1.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(100%)","100"))))))&gt;=11,(((_xlfn.XLOOKUP(Assessment!#REF!,Inherited!A:A,Inherited!B:B))/100)*(_xlfn.XLOOKUP(Assessment!#REF!,Inherited!A:A,Inherited!F:F)))+(((100-(_xlfn.XLOOKUP(Assessment!#REF!,Inherited!A:A,Inherited!B:B)))/100)*IF(AA181="1.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(100%)","100"))))))&lt;=32),"25",IF(AND((((_xlfn.XLOOKUP(Assessment!#REF!,Inherited!A:A,Inherited!B:B))/100)*(_xlfn.XLOOKUP(Assessment!#REF!,Inherited!A:A,Inherited!F:F)))+(((100-(_xlfn.XLOOKUP(Assessment!#REF!,Inherited!A:A,Inherited!B:B)))/100)*IF(AA181="1.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(100%)","100"))))))&gt;=33,(((_xlfn.XLOOKUP(Assessment!#REF!,Inherited!A:A,Inherited!B:B))/100)*(_xlfn.XLOOKUP(Assessment!#REF!,Inherited!A:A,Inherited!F:F)))+(((100-(_xlfn.XLOOKUP(Assessment!#REF!,Inherited!A:A,Inherited!B:B)))/100)*IF(AA181="1.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(100%)","100"))))))&lt;=65),"50",IF(AND((((_xlfn.XLOOKUP(Assessment!#REF!,Inherited!A:A,Inherited!B:B))/100)*(_xlfn.XLOOKUP(Assessment!#REF!,Inherited!A:A,Inherited!F:F)))+(((100-(_xlfn.XLOOKUP(Assessment!#REF!,Inherited!A:A,Inherited!B:B)))/100)*IF(AA181="1.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(100%)","100"))))))&gt;=66,(((_xlfn.XLOOKUP(Assessment!#REF!,Inherited!A:A,Inherited!B:B))/100)*(_xlfn.XLOOKUP(Assessment!#REF!,Inherited!A:A,Inherited!F:F)))+(((100-(_xlfn.XLOOKUP(Assessment!#REF!,Inherited!A:A,Inherited!B:B)))/100)*IF(AA181="1.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(100%)","100"))))))&lt;=89),"75",IF((((_xlfn.XLOOKUP(Assessment!#REF!,Inherited!A:A,Inherited!B:B))/100)*(_xlfn.XLOOKUP(Assessment!#REF!,Inherited!A:A,Inherited!F:F)))+(((100-(_xlfn.XLOOKUP(Assessment!#REF!,Inherited!A:A,Inherited!B:B)))/100)*IF(AA181="1. Non Compliant (0%)","0",IF(AA181="2. Somewhat Compliant (25%)","25",IF(AA181="3. Partially Compliant (50%)","50",IF(AA181="4. Mostly Compliant (75%)","75",IF(AA181="5. Fully Compliant (100%)","100"))))))&gt;=90,"100"))))))</f>
        <v>#N/A</v>
      </c>
      <c r="U181" s="1" t="e">
        <f>IF(MATCH(H181,Inherited!A:A),IF((((_xlfn.XLOOKUP(Assessment!#REF!,Inherited!A:A,Inherited!B:B))/100)*(_xlfn.XLOOKUP(Assessment!#REF!,Inherited!A:A,Inherited!G:G)))+(((100-(_xlfn.XLOOKUP(Assessment!#REF!,Inherited!A:A,Inherited!B:B)))/100)*IF(AB181="1.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(100%)","100"))))))&lt;=10,"0", IF(AND((((_xlfn.XLOOKUP(Assessment!#REF!,Inherited!A:A,Inherited!B:B))/100)*(_xlfn.XLOOKUP(Assessment!#REF!,Inherited!A:A,Inherited!G:G)))+(((100-(_xlfn.XLOOKUP(Assessment!#REF!,Inherited!A:A,Inherited!B:B)))/100)*IF(AB181="1.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(100%)","100"))))))&gt;=11,(((_xlfn.XLOOKUP(Assessment!#REF!,Inherited!A:A,Inherited!B:B))/100)*(_xlfn.XLOOKUP(Assessment!#REF!,Inherited!A:A,Inherited!G:G)))+(((100-(_xlfn.XLOOKUP(Assessment!#REF!,Inherited!A:A,Inherited!B:B)))/100)*IF(AB181="1.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(100%)","100"))))))&lt;=32),"25",IF(AND((((_xlfn.XLOOKUP(Assessment!#REF!,Inherited!A:A,Inherited!B:B))/100)*(_xlfn.XLOOKUP(Assessment!#REF!,Inherited!A:A,Inherited!G:G)))+(((100-(_xlfn.XLOOKUP(Assessment!#REF!,Inherited!A:A,Inherited!B:B)))/100)*IF(AB181="1.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(100%)","100"))))))&gt;=33,(((_xlfn.XLOOKUP(Assessment!#REF!,Inherited!A:A,Inherited!B:B))/100)*(_xlfn.XLOOKUP(Assessment!#REF!,Inherited!A:A,Inherited!G:G)))+(((100-(_xlfn.XLOOKUP(Assessment!#REF!,Inherited!A:A,Inherited!B:B)))/100)*IF(AB181="1.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(100%)","100"))))))&lt;=65),"50",IF(AND((((_xlfn.XLOOKUP(Assessment!#REF!,Inherited!A:A,Inherited!B:B))/100)*(_xlfn.XLOOKUP(Assessment!#REF!,Inherited!A:A,Inherited!G:G)))+(((100-(_xlfn.XLOOKUP(Assessment!#REF!,Inherited!A:A,Inherited!B:B)))/100)*IF(AB181="1.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(100%)","100"))))))&gt;=66,(((_xlfn.XLOOKUP(Assessment!#REF!,Inherited!A:A,Inherited!B:B))/100)*(_xlfn.XLOOKUP(Assessment!#REF!,Inherited!A:A,Inherited!G:G)))+(((100-(_xlfn.XLOOKUP(Assessment!#REF!,Inherited!A:A,Inherited!B:B)))/100)*IF(AB181="1.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(100%)","100"))))))&lt;=89),"75",IF((((_xlfn.XLOOKUP(Assessment!#REF!,Inherited!A:A,Inherited!B:B))/100)*(_xlfn.XLOOKUP(Assessment!#REF!,Inherited!A:A,Inherited!G:G)))+(((100-(_xlfn.XLOOKUP(Assessment!#REF!,Inherited!A:A,Inherited!B:B)))/100)*IF(AB181="1. Non Compliant (0%)","0",IF(AB181="2. Somewhat Compliant (25%)","25",IF(AB181="3. Partially Compliant (50%)","50",IF(AB181="4. Mostly Compliant (75%)","75",IF(AB181="5. Fully Compliant (100%)","100"))))))&gt;=90,"100"))))))</f>
        <v>#N/A</v>
      </c>
      <c r="V181" s="55" t="s">
        <v>85</v>
      </c>
      <c r="W181" s="55"/>
      <c r="X181" s="55"/>
      <c r="Y181" s="55"/>
      <c r="Z181" s="55" t="s">
        <v>87</v>
      </c>
      <c r="AA181" s="55"/>
      <c r="AB181" s="55"/>
      <c r="AK181" s="1" t="s">
        <v>10891</v>
      </c>
      <c r="AM181" s="1" t="s">
        <v>11046</v>
      </c>
      <c r="AP181" s="1" t="s">
        <v>11132</v>
      </c>
      <c r="AX181" s="3" t="str">
        <f>_xlfn.CONCAT("A-LIGN finished its review of this control on ",AR181, " during the scheduled fieldwork window (",Intro!$B$4,")."&amp; CHAR(10)&amp; CHAR(10))</f>
        <v xml:space="preserve">A-LIGN finished its review of this control on  during the scheduled fieldwork window (Fieldwork: xx/xx/xxxx - xx/xx/xxxx).
</v>
      </c>
      <c r="AY181" s="3" t="str">
        <f t="shared" si="341"/>
        <v/>
      </c>
      <c r="AZ181" s="3" t="str">
        <f t="shared" si="342"/>
        <v/>
      </c>
      <c r="BA181" s="3" t="str">
        <f t="shared" si="343"/>
        <v/>
      </c>
      <c r="BB181" s="3" t="str">
        <f t="shared" si="344"/>
        <v xml:space="preserve">Inquired of the following workforce member: 
Matthew Macaluso - Director of System Operations
Roze Nicolas - Director of TechOps
Inquiry lead to the following conclusions: 
</v>
      </c>
      <c r="BC181" s="3" t="str">
        <f t="shared" si="345"/>
        <v xml:space="preserve">Observed the following live during fieldwork: 
Observed the Vantas "Scope" dashboard which outlines all that is in scope and what will be included. 
Observed the Vanta vendors page where management can be reminded to ensure the proper review/due diligence is approved for the continued use. Management will review proper agreements, attestations, and compliance reports within Vanta to ensure the security review is conducted. 
</v>
      </c>
      <c r="BD181" s="3" t="str">
        <f t="shared" si="346"/>
        <v xml:space="preserve">Examined the following evidence during fieldwork:
Reviewed evidence addressed the requirement statement.
Reviewed evidence exception note: 
Gap: Documentation will need to be updated to include the implementation of Vanta.
Recommendation: Management should ensure that the current documentation is updated to address new implementations within the in-scope environment.
</v>
      </c>
      <c r="BE181" s="3" t="str">
        <f t="shared" si="347"/>
        <v/>
      </c>
      <c r="BF181" s="3" t="str">
        <f t="shared" si="348"/>
        <v/>
      </c>
      <c r="BG181" s="3" t="str">
        <f>_xlfn.CONCAT((IF((COUNTIF('Sample Tables'!B:B,"Test 149: Information System (facility/secure area)")&gt;0)=TRUE,_xlfn.CONCAT("Sample test results are documented in ",'Sample Tables'!B1635," [",'Sample Tables'!B1636,", ",'Sample Tables'!B1637,", ",'Sample Tables'!B1638,", ",'Sample Tables'!B1639,", ",'Sample Tables'!B1640,"]."&amp;CHAR(10)),IF((COUNTIF('Sample Tables'!B:B,"Test 149: Information System (facility/secure area)")&gt;0)=FALSE,""))),(IF((COUNTIF('Sample Tables'!B:B,"Test 177: Information System (system component)")&gt;0)=TRUE,_xlfn.CONCAT("Sample test results are documented in ",'Sample Tables'!B1943," [",'Sample Tables'!B1944,", ",'Sample Tables'!B1945,", ",'Sample Tables'!B1946,", ",'Sample Tables'!B1947,", ",'Sample Tables'!B1948,"]."&amp;CHAR(10)),IF((COUNTIF('Sample Tables'!B:B,"Test 177: Information System (system component)")&gt;0)=FALSE,""))),)</f>
        <v xml:space="preserve">Sample test results are documented in Test 149: Information System (facility/secure area) [Population Source/Tool: , Population Date Range: , Population Size: , Sample Methodology: , Sample Size: ].
Sample test results are documented in Test 177: Information System (system component) [Population Source/Tool: , Population Date Range: , Population Size: , Sample Methodology: , Sample Size: ].
</v>
      </c>
      <c r="BH181" s="3" t="str">
        <f t="shared" si="3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the Vantas "Scope" dashboard which outlines all that is in scope and what will be included. 
Observed the Vanta vendors page where management can be reminded to ensure the proper review/due diligence is approved for the continued use. Management will review proper agreements, attestations, and compliance reports within Vanta to ensure the security review is conducted. 
Examined the following evidence during fieldwork:
Reviewed evidence addressed the requirement statement.
Reviewed evidence exception note: 
Gap: Documentation will need to be updated to include the implementation of Vanta.
Recommendation: Management should ensure that the current documentation is updated to address new implementations within the in-scope environment.
Sample test results are documented in Test 149: Information System (facility/secure area) [Population Source/Tool: , Population Date Range: , Population Size: , Sample Methodology: , Sample Size: ].
Sample test results are documented in Test 177: Information System (system component) [Population Source/Tool: , Population Date Range: , Population Size: , Sample Methodology: , Sample Size: ].
</v>
      </c>
    </row>
    <row r="182" spans="3:60" ht="187.5" x14ac:dyDescent="0.35">
      <c r="C182" s="1">
        <f t="shared" si="340"/>
        <v>0</v>
      </c>
      <c r="D182" s="5" t="str">
        <f>IF(AND((_xlfn.XLOOKUP(J182,'Fields &amp; Revisions'!$H:$H,'Fields &amp; Revisions'!$I:$I))&lt;70.99,(OR(Z182="4. Mostly Compliant (75%)",Z182="3. Partially Compliant (50%)",Z182="2. Somewhat Compliant (25%)",Z182="1. Non Compliant (0%)"))),"Yes","No")</f>
        <v>No</v>
      </c>
      <c r="E182" s="5" t="str">
        <f>IF(ISERROR(VLOOKUP(H182,Scope!A:A,1,FALSE)),"No","Yes")</f>
        <v>Yes</v>
      </c>
      <c r="F182" s="1" t="s">
        <v>4666</v>
      </c>
      <c r="G182" s="53" t="s">
        <v>5163</v>
      </c>
      <c r="H182" s="53" t="s">
        <v>5164</v>
      </c>
      <c r="I182" s="5">
        <v>1</v>
      </c>
      <c r="J182" s="1" t="s">
        <v>4925</v>
      </c>
      <c r="K182" s="1" t="s">
        <v>5165</v>
      </c>
      <c r="L182" s="1" t="s">
        <v>5166</v>
      </c>
      <c r="M182" s="1" t="s">
        <v>5167</v>
      </c>
      <c r="N182" s="5" t="s">
        <v>98</v>
      </c>
      <c r="O182" s="1" t="str">
        <f>_xlfn.XLOOKUP(G182,SRMs!$A:$A,SRMs!$D:$D)</f>
        <v>NO INHERITANCE</v>
      </c>
      <c r="P182" s="1" t="str">
        <f>IFERROR(VLOOKUP(H182,Inherited!A:B,2,FALSE),"")</f>
        <v/>
      </c>
      <c r="Q182" s="1" t="e">
        <f>IF(MATCH(H182,Inherited!A:A),IF((((_xlfn.XLOOKUP(Assessment!#REF!,Inherited!A:A,Inherited!B:B))/100)*(_xlfn.XLOOKUP(Assessment!#REF!,Inherited!A:A,Inherited!C:C)))+(((100-(_xlfn.XLOOKUP(Assessment!#REF!,Inherited!A:A,Inherited!B:B)))/100)*IF(X182="1.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(100%)","100"))))))&lt;=10,"0", IF(AND((((_xlfn.XLOOKUP(Assessment!#REF!,Inherited!A:A,Inherited!B:B))/100)*(_xlfn.XLOOKUP(Assessment!#REF!,Inherited!A:A,Inherited!C:C)))+(((100-(_xlfn.XLOOKUP(Assessment!#REF!,Inherited!A:A,Inherited!B:B)))/100)*IF(X182="1.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(100%)","100"))))))&gt;=11,(((_xlfn.XLOOKUP(Assessment!#REF!,Inherited!A:A,Inherited!B:B))/100)*(_xlfn.XLOOKUP(Assessment!#REF!,Inherited!A:A,Inherited!C:C)))+(((100-(_xlfn.XLOOKUP(Assessment!#REF!,Inherited!A:A,Inherited!B:B)))/100)*IF(X182="1.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(100%)","100"))))))&lt;=32),"25",IF(AND((((_xlfn.XLOOKUP(Assessment!#REF!,Inherited!A:A,Inherited!B:B))/100)*(_xlfn.XLOOKUP(Assessment!#REF!,Inherited!A:A,Inherited!C:C)))+(((100-(_xlfn.XLOOKUP(Assessment!#REF!,Inherited!A:A,Inherited!B:B)))/100)*IF(X182="1.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(100%)","100"))))))&gt;=33,(((_xlfn.XLOOKUP(Assessment!#REF!,Inherited!A:A,Inherited!B:B))/100)*(_xlfn.XLOOKUP(Assessment!#REF!,Inherited!A:A,Inherited!C:C)))+(((100-(_xlfn.XLOOKUP(Assessment!#REF!,Inherited!A:A,Inherited!B:B)))/100)*IF(X182="1.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(100%)","100"))))))&lt;=65),"50",IF(AND((((_xlfn.XLOOKUP(Assessment!#REF!,Inherited!A:A,Inherited!B:B))/100)*(_xlfn.XLOOKUP(Assessment!#REF!,Inherited!A:A,Inherited!C:C)))+(((100-(_xlfn.XLOOKUP(Assessment!#REF!,Inherited!A:A,Inherited!B:B)))/100)*IF(X182="1.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(100%)","100"))))))&gt;=66,(((_xlfn.XLOOKUP(Assessment!#REF!,Inherited!A:A,Inherited!B:B))/100)*(_xlfn.XLOOKUP(Assessment!#REF!,Inherited!A:A,Inherited!C:C)))+(((100-(_xlfn.XLOOKUP(Assessment!#REF!,Inherited!A:A,Inherited!B:B)))/100)*IF(X182="1.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(100%)","100"))))))&lt;=89),"75",IF((((_xlfn.XLOOKUP(Assessment!#REF!,Inherited!A:A,Inherited!B:B))/100)*(_xlfn.XLOOKUP(Assessment!#REF!,Inherited!A:A,Inherited!C:C)))+(((100-(_xlfn.XLOOKUP(Assessment!#REF!,Inherited!A:A,Inherited!B:B)))/100)*IF(X182="1. Non Compliant (0%)","0",IF(X182="2. Somewhat Compliant (25%)","25",IF(X182="3. Partially Compliant (50%)","50",IF(X182="4. Mostly Compliant (75%)","75",IF(X182="5. Fully Compliant (100%)","100"))))))&gt;=90,"100"))))))</f>
        <v>#N/A</v>
      </c>
      <c r="R182" s="1" t="e">
        <f>IF(MATCH(H182,Inherited!A:A),IF((((_xlfn.XLOOKUP(Assessment!#REF!,Inherited!A:A,Inherited!B:B))/100)*(_xlfn.XLOOKUP(Assessment!#REF!,Inherited!A:A,Inherited!D:D)))+(((100-(_xlfn.XLOOKUP(Assessment!#REF!,Inherited!A:A,Inherited!B:B)))/100)*IF(Y182="1.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(100%)","100"))))))&lt;=10,"0", IF(AND((((_xlfn.XLOOKUP(Assessment!#REF!,Inherited!A:A,Inherited!B:B))/100)*(_xlfn.XLOOKUP(Assessment!#REF!,Inherited!A:A,Inherited!D:D)))+(((100-(_xlfn.XLOOKUP(Assessment!#REF!,Inherited!A:A,Inherited!B:B)))/100)*IF(Y182="1.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(100%)","100"))))))&gt;=11,(((_xlfn.XLOOKUP(Assessment!#REF!,Inherited!A:A,Inherited!B:B))/100)*(_xlfn.XLOOKUP(Assessment!#REF!,Inherited!A:A,Inherited!D:D)))+(((100-(_xlfn.XLOOKUP(Assessment!#REF!,Inherited!A:A,Inherited!B:B)))/100)*IF(Y182="1.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(100%)","100"))))))&lt;=32),"25",IF(AND((((_xlfn.XLOOKUP(Assessment!#REF!,Inherited!A:A,Inherited!B:B))/100)*(_xlfn.XLOOKUP(Assessment!#REF!,Inherited!A:A,Inherited!D:D)))+(((100-(_xlfn.XLOOKUP(Assessment!#REF!,Inherited!A:A,Inherited!B:B)))/100)*IF(Y182="1.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(100%)","100"))))))&gt;=33,(((_xlfn.XLOOKUP(Assessment!#REF!,Inherited!A:A,Inherited!B:B))/100)*(_xlfn.XLOOKUP(Assessment!#REF!,Inherited!A:A,Inherited!D:D)))+(((100-(_xlfn.XLOOKUP(Assessment!#REF!,Inherited!A:A,Inherited!B:B)))/100)*IF(Y182="1.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(100%)","100"))))))&lt;=65),"50",IF(AND((((_xlfn.XLOOKUP(Assessment!#REF!,Inherited!A:A,Inherited!B:B))/100)*(_xlfn.XLOOKUP(Assessment!#REF!,Inherited!A:A,Inherited!D:D)))+(((100-(_xlfn.XLOOKUP(Assessment!#REF!,Inherited!A:A,Inherited!B:B)))/100)*IF(Y182="1.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(100%)","100"))))))&gt;=66,(((_xlfn.XLOOKUP(Assessment!#REF!,Inherited!A:A,Inherited!B:B))/100)*(_xlfn.XLOOKUP(Assessment!#REF!,Inherited!A:A,Inherited!D:D)))+(((100-(_xlfn.XLOOKUP(Assessment!#REF!,Inherited!A:A,Inherited!B:B)))/100)*IF(Y182="1.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(100%)","100"))))))&lt;=89),"75",IF((((_xlfn.XLOOKUP(Assessment!#REF!,Inherited!A:A,Inherited!B:B))/100)*(_xlfn.XLOOKUP(Assessment!#REF!,Inherited!A:A,Inherited!D:D)))+(((100-(_xlfn.XLOOKUP(Assessment!#REF!,Inherited!A:A,Inherited!B:B)))/100)*IF(Y182="1. Non Compliant (0%)","0",IF(Y182="2. Somewhat Compliant (25%)","25",IF(Y182="3. Partially Compliant (50%)","50",IF(Y182="4. Mostly Compliant (75%)","75",IF(Y182="5. Fully Compliant (100%)","100"))))))&gt;=90,"100"))))))</f>
        <v>#N/A</v>
      </c>
      <c r="S182" s="1" t="e">
        <f>IF(MATCH(H182,Inherited!A:A),IF((((_xlfn.XLOOKUP(Assessment!#REF!,Inherited!A:A,Inherited!B:B))/100)*(_xlfn.XLOOKUP(Assessment!#REF!,Inherited!A:A,Inherited!E:E)))+(((100-(_xlfn.XLOOKUP(Assessment!#REF!,Inherited!A:A,Inherited!B:B)))/100)*IF(Z182="1.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(100%)","100"))))))&lt;=10,"0", IF(AND((((_xlfn.XLOOKUP(Assessment!#REF!,Inherited!A:A,Inherited!B:B))/100)*(_xlfn.XLOOKUP(Assessment!#REF!,Inherited!A:A,Inherited!E:E)))+(((100-(_xlfn.XLOOKUP(Assessment!#REF!,Inherited!A:A,Inherited!B:B)))/100)*IF(Z182="1.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(100%)","100"))))))&gt;=11,(((_xlfn.XLOOKUP(Assessment!#REF!,Inherited!A:A,Inherited!B:B))/100)*(_xlfn.XLOOKUP(Assessment!#REF!,Inherited!A:A,Inherited!E:E)))+(((100-(_xlfn.XLOOKUP(Assessment!#REF!,Inherited!A:A,Inherited!B:B)))/100)*IF(Z182="1.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(100%)","100"))))))&lt;=32),"25",IF(AND((((_xlfn.XLOOKUP(Assessment!#REF!,Inherited!A:A,Inherited!B:B))/100)*(_xlfn.XLOOKUP(Assessment!#REF!,Inherited!A:A,Inherited!E:E)))+(((100-(_xlfn.XLOOKUP(Assessment!#REF!,Inherited!A:A,Inherited!B:B)))/100)*IF(Z182="1.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(100%)","100"))))))&gt;=33,(((_xlfn.XLOOKUP(Assessment!#REF!,Inherited!A:A,Inherited!B:B))/100)*(_xlfn.XLOOKUP(Assessment!#REF!,Inherited!A:A,Inherited!E:E)))+(((100-(_xlfn.XLOOKUP(Assessment!#REF!,Inherited!A:A,Inherited!B:B)))/100)*IF(Z182="1.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(100%)","100"))))))&lt;=65),"50",IF(AND((((_xlfn.XLOOKUP(Assessment!#REF!,Inherited!A:A,Inherited!B:B))/100)*(_xlfn.XLOOKUP(Assessment!#REF!,Inherited!A:A,Inherited!E:E)))+(((100-(_xlfn.XLOOKUP(Assessment!#REF!,Inherited!A:A,Inherited!B:B)))/100)*IF(Z182="1.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(100%)","100"))))))&gt;=66,(((_xlfn.XLOOKUP(Assessment!#REF!,Inherited!A:A,Inherited!B:B))/100)*(_xlfn.XLOOKUP(Assessment!#REF!,Inherited!A:A,Inherited!E:E)))+(((100-(_xlfn.XLOOKUP(Assessment!#REF!,Inherited!A:A,Inherited!B:B)))/100)*IF(Z182="1.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(100%)","100"))))))&lt;=89),"75",IF((((_xlfn.XLOOKUP(Assessment!#REF!,Inherited!A:A,Inherited!B:B))/100)*(_xlfn.XLOOKUP(Assessment!#REF!,Inherited!A:A,Inherited!E:E)))+(((100-(_xlfn.XLOOKUP(Assessment!#REF!,Inherited!A:A,Inherited!B:B)))/100)*IF(Z182="1. Non Compliant (0%)","0",IF(Z182="2. Somewhat Compliant (25%)","25",IF(Z182="3. Partially Compliant (50%)","50",IF(Z182="4. Mostly Compliant (75%)","75",IF(Z182="5. Fully Compliant (100%)","100"))))))&gt;=90,"100"))))))</f>
        <v>#N/A</v>
      </c>
      <c r="T182" s="1" t="e">
        <f>IF(MATCH(H182,Inherited!A:A),IF((((_xlfn.XLOOKUP(Assessment!#REF!,Inherited!A:A,Inherited!B:B))/100)*(_xlfn.XLOOKUP(Assessment!#REF!,Inherited!A:A,Inherited!F:F)))+(((100-(_xlfn.XLOOKUP(Assessment!#REF!,Inherited!A:A,Inherited!B:B)))/100)*IF(AA182="1.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(100%)","100"))))))&lt;=10,"0", IF(AND((((_xlfn.XLOOKUP(Assessment!#REF!,Inherited!A:A,Inherited!B:B))/100)*(_xlfn.XLOOKUP(Assessment!#REF!,Inherited!A:A,Inherited!F:F)))+(((100-(_xlfn.XLOOKUP(Assessment!#REF!,Inherited!A:A,Inherited!B:B)))/100)*IF(AA182="1.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(100%)","100"))))))&gt;=11,(((_xlfn.XLOOKUP(Assessment!#REF!,Inherited!A:A,Inherited!B:B))/100)*(_xlfn.XLOOKUP(Assessment!#REF!,Inherited!A:A,Inherited!F:F)))+(((100-(_xlfn.XLOOKUP(Assessment!#REF!,Inherited!A:A,Inherited!B:B)))/100)*IF(AA182="1.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(100%)","100"))))))&lt;=32),"25",IF(AND((((_xlfn.XLOOKUP(Assessment!#REF!,Inherited!A:A,Inherited!B:B))/100)*(_xlfn.XLOOKUP(Assessment!#REF!,Inherited!A:A,Inherited!F:F)))+(((100-(_xlfn.XLOOKUP(Assessment!#REF!,Inherited!A:A,Inherited!B:B)))/100)*IF(AA182="1.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(100%)","100"))))))&gt;=33,(((_xlfn.XLOOKUP(Assessment!#REF!,Inherited!A:A,Inherited!B:B))/100)*(_xlfn.XLOOKUP(Assessment!#REF!,Inherited!A:A,Inherited!F:F)))+(((100-(_xlfn.XLOOKUP(Assessment!#REF!,Inherited!A:A,Inherited!B:B)))/100)*IF(AA182="1.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(100%)","100"))))))&lt;=65),"50",IF(AND((((_xlfn.XLOOKUP(Assessment!#REF!,Inherited!A:A,Inherited!B:B))/100)*(_xlfn.XLOOKUP(Assessment!#REF!,Inherited!A:A,Inherited!F:F)))+(((100-(_xlfn.XLOOKUP(Assessment!#REF!,Inherited!A:A,Inherited!B:B)))/100)*IF(AA182="1.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(100%)","100"))))))&gt;=66,(((_xlfn.XLOOKUP(Assessment!#REF!,Inherited!A:A,Inherited!B:B))/100)*(_xlfn.XLOOKUP(Assessment!#REF!,Inherited!A:A,Inherited!F:F)))+(((100-(_xlfn.XLOOKUP(Assessment!#REF!,Inherited!A:A,Inherited!B:B)))/100)*IF(AA182="1.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(100%)","100"))))))&lt;=89),"75",IF((((_xlfn.XLOOKUP(Assessment!#REF!,Inherited!A:A,Inherited!B:B))/100)*(_xlfn.XLOOKUP(Assessment!#REF!,Inherited!A:A,Inherited!F:F)))+(((100-(_xlfn.XLOOKUP(Assessment!#REF!,Inherited!A:A,Inherited!B:B)))/100)*IF(AA182="1. Non Compliant (0%)","0",IF(AA182="2. Somewhat Compliant (25%)","25",IF(AA182="3. Partially Compliant (50%)","50",IF(AA182="4. Mostly Compliant (75%)","75",IF(AA182="5. Fully Compliant (100%)","100"))))))&gt;=90,"100"))))))</f>
        <v>#N/A</v>
      </c>
      <c r="U182" s="1" t="e">
        <f>IF(MATCH(H182,Inherited!A:A),IF((((_xlfn.XLOOKUP(Assessment!#REF!,Inherited!A:A,Inherited!B:B))/100)*(_xlfn.XLOOKUP(Assessment!#REF!,Inherited!A:A,Inherited!G:G)))+(((100-(_xlfn.XLOOKUP(Assessment!#REF!,Inherited!A:A,Inherited!B:B)))/100)*IF(AB182="1.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(100%)","100"))))))&lt;=10,"0", IF(AND((((_xlfn.XLOOKUP(Assessment!#REF!,Inherited!A:A,Inherited!B:B))/100)*(_xlfn.XLOOKUP(Assessment!#REF!,Inherited!A:A,Inherited!G:G)))+(((100-(_xlfn.XLOOKUP(Assessment!#REF!,Inherited!A:A,Inherited!B:B)))/100)*IF(AB182="1.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(100%)","100"))))))&gt;=11,(((_xlfn.XLOOKUP(Assessment!#REF!,Inherited!A:A,Inherited!B:B))/100)*(_xlfn.XLOOKUP(Assessment!#REF!,Inherited!A:A,Inherited!G:G)))+(((100-(_xlfn.XLOOKUP(Assessment!#REF!,Inherited!A:A,Inherited!B:B)))/100)*IF(AB182="1.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(100%)","100"))))))&lt;=32),"25",IF(AND((((_xlfn.XLOOKUP(Assessment!#REF!,Inherited!A:A,Inherited!B:B))/100)*(_xlfn.XLOOKUP(Assessment!#REF!,Inherited!A:A,Inherited!G:G)))+(((100-(_xlfn.XLOOKUP(Assessment!#REF!,Inherited!A:A,Inherited!B:B)))/100)*IF(AB182="1.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(100%)","100"))))))&gt;=33,(((_xlfn.XLOOKUP(Assessment!#REF!,Inherited!A:A,Inherited!B:B))/100)*(_xlfn.XLOOKUP(Assessment!#REF!,Inherited!A:A,Inherited!G:G)))+(((100-(_xlfn.XLOOKUP(Assessment!#REF!,Inherited!A:A,Inherited!B:B)))/100)*IF(AB182="1.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(100%)","100"))))))&lt;=65),"50",IF(AND((((_xlfn.XLOOKUP(Assessment!#REF!,Inherited!A:A,Inherited!B:B))/100)*(_xlfn.XLOOKUP(Assessment!#REF!,Inherited!A:A,Inherited!G:G)))+(((100-(_xlfn.XLOOKUP(Assessment!#REF!,Inherited!A:A,Inherited!B:B)))/100)*IF(AB182="1.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(100%)","100"))))))&gt;=66,(((_xlfn.XLOOKUP(Assessment!#REF!,Inherited!A:A,Inherited!B:B))/100)*(_xlfn.XLOOKUP(Assessment!#REF!,Inherited!A:A,Inherited!G:G)))+(((100-(_xlfn.XLOOKUP(Assessment!#REF!,Inherited!A:A,Inherited!B:B)))/100)*IF(AB182="1.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(100%)","100"))))))&lt;=89),"75",IF((((_xlfn.XLOOKUP(Assessment!#REF!,Inherited!A:A,Inherited!B:B))/100)*(_xlfn.XLOOKUP(Assessment!#REF!,Inherited!A:A,Inherited!G:G)))+(((100-(_xlfn.XLOOKUP(Assessment!#REF!,Inherited!A:A,Inherited!B:B)))/100)*IF(AB182="1. Non Compliant (0%)","0",IF(AB182="2. Somewhat Compliant (25%)","25",IF(AB182="3. Partially Compliant (50%)","50",IF(AB182="4. Mostly Compliant (75%)","75",IF(AB182="5. Fully Compliant (100%)","100"))))))&gt;=90,"100"))))))</f>
        <v>#N/A</v>
      </c>
      <c r="V182" s="55" t="s">
        <v>85</v>
      </c>
      <c r="W182" s="55"/>
      <c r="X182" s="55"/>
      <c r="Y182" s="55"/>
      <c r="Z182" s="55"/>
      <c r="AA182" s="55"/>
      <c r="AB182" s="55"/>
      <c r="AX182" s="3" t="str">
        <f>_xlfn.CONCAT("A-LIGN finished its review of this control on ",AR182, " during the scheduled fieldwork window (",Intro!$B$4,")."&amp; CHAR(10)&amp; CHAR(10))</f>
        <v xml:space="preserve">A-LIGN finished its review of this control on  during the scheduled fieldwork window (Fieldwork: xx/xx/xxxx - xx/xx/xxxx).
</v>
      </c>
      <c r="AY182" s="3" t="str">
        <f t="shared" si="341"/>
        <v/>
      </c>
      <c r="AZ182" s="3" t="str">
        <f t="shared" si="342"/>
        <v/>
      </c>
      <c r="BA182" s="3" t="str">
        <f t="shared" si="343"/>
        <v/>
      </c>
      <c r="BB182" s="3" t="str">
        <f t="shared" si="344"/>
        <v/>
      </c>
      <c r="BC182" s="3" t="str">
        <f t="shared" si="345"/>
        <v/>
      </c>
      <c r="BD182" s="3" t="str">
        <f t="shared" si="346"/>
        <v xml:space="preserve">Examined the following evidence during fieldwork:
Reviewed evidence addressed the requirement statement.
</v>
      </c>
      <c r="BE182" s="3" t="str">
        <f t="shared" si="347"/>
        <v/>
      </c>
      <c r="BF182" s="3" t="str">
        <f t="shared" si="348"/>
        <v/>
      </c>
      <c r="BG182" s="3" t="str">
        <f>_xlfn.CONCAT((IF((COUNTIF('Sample Tables'!B:B,"")&gt;0)=TRUE,_xlfn.CONCAT("",""),IF((COUNTIF('Sample Tables'!B:B,"")&gt;0)=FALSE,""))),)</f>
        <v/>
      </c>
      <c r="BH182" s="3" t="str">
        <f t="shared" si="349"/>
        <v xml:space="preserve">A-LIGN finished its review of this control on  during the scheduled fieldwork window (Fieldwork: xx/xx/xxxx - xx/xx/xxxx).
Examined the following evidence during fieldwork:
Reviewed evidence addressed the requirement statement.
</v>
      </c>
    </row>
    <row r="183" spans="3:60" ht="337.5" x14ac:dyDescent="0.35">
      <c r="C183" s="1">
        <f t="shared" si="340"/>
        <v>40</v>
      </c>
      <c r="D183" s="5" t="str">
        <f>IF(AND((_xlfn.XLOOKUP(J183,'Fields &amp; Revisions'!$H:$H,'Fields &amp; Revisions'!$I:$I))&lt;70.99,(OR(Z183="4. Mostly Compliant (75%)",Z183="3. Partially Compliant (50%)",Z183="2. Somewhat Compliant (25%)",Z183="1. Non Compliant (0%)"))),"Yes","No")</f>
        <v>No</v>
      </c>
      <c r="E183" s="5" t="str">
        <f>IF(ISERROR(VLOOKUP(H183,Scope!A:A,1,FALSE)),"No","Yes")</f>
        <v>Yes</v>
      </c>
      <c r="F183" s="1" t="s">
        <v>4666</v>
      </c>
      <c r="G183" s="53" t="s">
        <v>5174</v>
      </c>
      <c r="H183" s="53" t="s">
        <v>5175</v>
      </c>
      <c r="I183" s="5">
        <v>1</v>
      </c>
      <c r="J183" s="1" t="s">
        <v>5050</v>
      </c>
      <c r="K183" s="1" t="s">
        <v>5176</v>
      </c>
      <c r="L183" s="1" t="s">
        <v>5177</v>
      </c>
      <c r="M183" s="1" t="s">
        <v>5178</v>
      </c>
      <c r="N183" s="5" t="s">
        <v>98</v>
      </c>
      <c r="O183" s="1" t="str">
        <f>_xlfn.XLOOKUP(G183,SRMs!$A:$A,SRMs!$D:$D)</f>
        <v>NO INHERITANCE</v>
      </c>
      <c r="P183" s="1" t="str">
        <f>IFERROR(VLOOKUP(H183,Inherited!A:B,2,FALSE),"")</f>
        <v/>
      </c>
      <c r="Q183" s="1" t="e">
        <f>IF(MATCH(H183,Inherited!A:A),IF((((_xlfn.XLOOKUP(Assessment!#REF!,Inherited!A:A,Inherited!B:B))/100)*(_xlfn.XLOOKUP(Assessment!#REF!,Inherited!A:A,Inherited!C:C)))+(((100-(_xlfn.XLOOKUP(Assessment!#REF!,Inherited!A:A,Inherited!B:B)))/100)*IF(X183="1.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(100%)","100"))))))&lt;=10,"0", IF(AND((((_xlfn.XLOOKUP(Assessment!#REF!,Inherited!A:A,Inherited!B:B))/100)*(_xlfn.XLOOKUP(Assessment!#REF!,Inherited!A:A,Inherited!C:C)))+(((100-(_xlfn.XLOOKUP(Assessment!#REF!,Inherited!A:A,Inherited!B:B)))/100)*IF(X183="1.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(100%)","100"))))))&gt;=11,(((_xlfn.XLOOKUP(Assessment!#REF!,Inherited!A:A,Inherited!B:B))/100)*(_xlfn.XLOOKUP(Assessment!#REF!,Inherited!A:A,Inherited!C:C)))+(((100-(_xlfn.XLOOKUP(Assessment!#REF!,Inherited!A:A,Inherited!B:B)))/100)*IF(X183="1.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(100%)","100"))))))&lt;=32),"25",IF(AND((((_xlfn.XLOOKUP(Assessment!#REF!,Inherited!A:A,Inherited!B:B))/100)*(_xlfn.XLOOKUP(Assessment!#REF!,Inherited!A:A,Inherited!C:C)))+(((100-(_xlfn.XLOOKUP(Assessment!#REF!,Inherited!A:A,Inherited!B:B)))/100)*IF(X183="1.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(100%)","100"))))))&gt;=33,(((_xlfn.XLOOKUP(Assessment!#REF!,Inherited!A:A,Inherited!B:B))/100)*(_xlfn.XLOOKUP(Assessment!#REF!,Inherited!A:A,Inherited!C:C)))+(((100-(_xlfn.XLOOKUP(Assessment!#REF!,Inherited!A:A,Inherited!B:B)))/100)*IF(X183="1.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(100%)","100"))))))&lt;=65),"50",IF(AND((((_xlfn.XLOOKUP(Assessment!#REF!,Inherited!A:A,Inherited!B:B))/100)*(_xlfn.XLOOKUP(Assessment!#REF!,Inherited!A:A,Inherited!C:C)))+(((100-(_xlfn.XLOOKUP(Assessment!#REF!,Inherited!A:A,Inherited!B:B)))/100)*IF(X183="1.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(100%)","100"))))))&gt;=66,(((_xlfn.XLOOKUP(Assessment!#REF!,Inherited!A:A,Inherited!B:B))/100)*(_xlfn.XLOOKUP(Assessment!#REF!,Inherited!A:A,Inherited!C:C)))+(((100-(_xlfn.XLOOKUP(Assessment!#REF!,Inherited!A:A,Inherited!B:B)))/100)*IF(X183="1.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(100%)","100"))))))&lt;=89),"75",IF((((_xlfn.XLOOKUP(Assessment!#REF!,Inherited!A:A,Inherited!B:B))/100)*(_xlfn.XLOOKUP(Assessment!#REF!,Inherited!A:A,Inherited!C:C)))+(((100-(_xlfn.XLOOKUP(Assessment!#REF!,Inherited!A:A,Inherited!B:B)))/100)*IF(X183="1. Non Compliant (0%)","0",IF(X183="2. Somewhat Compliant (25%)","25",IF(X183="3. Partially Compliant (50%)","50",IF(X183="4. Mostly Compliant (75%)","75",IF(X183="5. Fully Compliant (100%)","100"))))))&gt;=90,"100"))))))</f>
        <v>#N/A</v>
      </c>
      <c r="R183" s="1" t="e">
        <f>IF(MATCH(H183,Inherited!A:A),IF((((_xlfn.XLOOKUP(Assessment!#REF!,Inherited!A:A,Inherited!B:B))/100)*(_xlfn.XLOOKUP(Assessment!#REF!,Inherited!A:A,Inherited!D:D)))+(((100-(_xlfn.XLOOKUP(Assessment!#REF!,Inherited!A:A,Inherited!B:B)))/100)*IF(Y183="1.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(100%)","100"))))))&lt;=10,"0", IF(AND((((_xlfn.XLOOKUP(Assessment!#REF!,Inherited!A:A,Inherited!B:B))/100)*(_xlfn.XLOOKUP(Assessment!#REF!,Inherited!A:A,Inherited!D:D)))+(((100-(_xlfn.XLOOKUP(Assessment!#REF!,Inherited!A:A,Inherited!B:B)))/100)*IF(Y183="1.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(100%)","100"))))))&gt;=11,(((_xlfn.XLOOKUP(Assessment!#REF!,Inherited!A:A,Inherited!B:B))/100)*(_xlfn.XLOOKUP(Assessment!#REF!,Inherited!A:A,Inherited!D:D)))+(((100-(_xlfn.XLOOKUP(Assessment!#REF!,Inherited!A:A,Inherited!B:B)))/100)*IF(Y183="1.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(100%)","100"))))))&lt;=32),"25",IF(AND((((_xlfn.XLOOKUP(Assessment!#REF!,Inherited!A:A,Inherited!B:B))/100)*(_xlfn.XLOOKUP(Assessment!#REF!,Inherited!A:A,Inherited!D:D)))+(((100-(_xlfn.XLOOKUP(Assessment!#REF!,Inherited!A:A,Inherited!B:B)))/100)*IF(Y183="1.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(100%)","100"))))))&gt;=33,(((_xlfn.XLOOKUP(Assessment!#REF!,Inherited!A:A,Inherited!B:B))/100)*(_xlfn.XLOOKUP(Assessment!#REF!,Inherited!A:A,Inherited!D:D)))+(((100-(_xlfn.XLOOKUP(Assessment!#REF!,Inherited!A:A,Inherited!B:B)))/100)*IF(Y183="1.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(100%)","100"))))))&lt;=65),"50",IF(AND((((_xlfn.XLOOKUP(Assessment!#REF!,Inherited!A:A,Inherited!B:B))/100)*(_xlfn.XLOOKUP(Assessment!#REF!,Inherited!A:A,Inherited!D:D)))+(((100-(_xlfn.XLOOKUP(Assessment!#REF!,Inherited!A:A,Inherited!B:B)))/100)*IF(Y183="1.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(100%)","100"))))))&gt;=66,(((_xlfn.XLOOKUP(Assessment!#REF!,Inherited!A:A,Inherited!B:B))/100)*(_xlfn.XLOOKUP(Assessment!#REF!,Inherited!A:A,Inherited!D:D)))+(((100-(_xlfn.XLOOKUP(Assessment!#REF!,Inherited!A:A,Inherited!B:B)))/100)*IF(Y183="1.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(100%)","100"))))))&lt;=89),"75",IF((((_xlfn.XLOOKUP(Assessment!#REF!,Inherited!A:A,Inherited!B:B))/100)*(_xlfn.XLOOKUP(Assessment!#REF!,Inherited!A:A,Inherited!D:D)))+(((100-(_xlfn.XLOOKUP(Assessment!#REF!,Inherited!A:A,Inherited!B:B)))/100)*IF(Y183="1. Non Compliant (0%)","0",IF(Y183="2. Somewhat Compliant (25%)","25",IF(Y183="3. Partially Compliant (50%)","50",IF(Y183="4. Mostly Compliant (75%)","75",IF(Y183="5. Fully Compliant (100%)","100"))))))&gt;=90,"100"))))))</f>
        <v>#N/A</v>
      </c>
      <c r="S183" s="1" t="e">
        <f>IF(MATCH(H183,Inherited!A:A),IF((((_xlfn.XLOOKUP(Assessment!#REF!,Inherited!A:A,Inherited!B:B))/100)*(_xlfn.XLOOKUP(Assessment!#REF!,Inherited!A:A,Inherited!E:E)))+(((100-(_xlfn.XLOOKUP(Assessment!#REF!,Inherited!A:A,Inherited!B:B)))/100)*IF(Z183="1.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(100%)","100"))))))&lt;=10,"0", IF(AND((((_xlfn.XLOOKUP(Assessment!#REF!,Inherited!A:A,Inherited!B:B))/100)*(_xlfn.XLOOKUP(Assessment!#REF!,Inherited!A:A,Inherited!E:E)))+(((100-(_xlfn.XLOOKUP(Assessment!#REF!,Inherited!A:A,Inherited!B:B)))/100)*IF(Z183="1.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(100%)","100"))))))&gt;=11,(((_xlfn.XLOOKUP(Assessment!#REF!,Inherited!A:A,Inherited!B:B))/100)*(_xlfn.XLOOKUP(Assessment!#REF!,Inherited!A:A,Inherited!E:E)))+(((100-(_xlfn.XLOOKUP(Assessment!#REF!,Inherited!A:A,Inherited!B:B)))/100)*IF(Z183="1.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(100%)","100"))))))&lt;=32),"25",IF(AND((((_xlfn.XLOOKUP(Assessment!#REF!,Inherited!A:A,Inherited!B:B))/100)*(_xlfn.XLOOKUP(Assessment!#REF!,Inherited!A:A,Inherited!E:E)))+(((100-(_xlfn.XLOOKUP(Assessment!#REF!,Inherited!A:A,Inherited!B:B)))/100)*IF(Z183="1.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(100%)","100"))))))&gt;=33,(((_xlfn.XLOOKUP(Assessment!#REF!,Inherited!A:A,Inherited!B:B))/100)*(_xlfn.XLOOKUP(Assessment!#REF!,Inherited!A:A,Inherited!E:E)))+(((100-(_xlfn.XLOOKUP(Assessment!#REF!,Inherited!A:A,Inherited!B:B)))/100)*IF(Z183="1.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(100%)","100"))))))&lt;=65),"50",IF(AND((((_xlfn.XLOOKUP(Assessment!#REF!,Inherited!A:A,Inherited!B:B))/100)*(_xlfn.XLOOKUP(Assessment!#REF!,Inherited!A:A,Inherited!E:E)))+(((100-(_xlfn.XLOOKUP(Assessment!#REF!,Inherited!A:A,Inherited!B:B)))/100)*IF(Z183="1.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(100%)","100"))))))&gt;=66,(((_xlfn.XLOOKUP(Assessment!#REF!,Inherited!A:A,Inherited!B:B))/100)*(_xlfn.XLOOKUP(Assessment!#REF!,Inherited!A:A,Inherited!E:E)))+(((100-(_xlfn.XLOOKUP(Assessment!#REF!,Inherited!A:A,Inherited!B:B)))/100)*IF(Z183="1.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(100%)","100"))))))&lt;=89),"75",IF((((_xlfn.XLOOKUP(Assessment!#REF!,Inherited!A:A,Inherited!B:B))/100)*(_xlfn.XLOOKUP(Assessment!#REF!,Inherited!A:A,Inherited!E:E)))+(((100-(_xlfn.XLOOKUP(Assessment!#REF!,Inherited!A:A,Inherited!B:B)))/100)*IF(Z183="1. Non Compliant (0%)","0",IF(Z183="2. Somewhat Compliant (25%)","25",IF(Z183="3. Partially Compliant (50%)","50",IF(Z183="4. Mostly Compliant (75%)","75",IF(Z183="5. Fully Compliant (100%)","100"))))))&gt;=90,"100"))))))</f>
        <v>#N/A</v>
      </c>
      <c r="T183" s="1" t="e">
        <f>IF(MATCH(H183,Inherited!A:A),IF((((_xlfn.XLOOKUP(Assessment!#REF!,Inherited!A:A,Inherited!B:B))/100)*(_xlfn.XLOOKUP(Assessment!#REF!,Inherited!A:A,Inherited!F:F)))+(((100-(_xlfn.XLOOKUP(Assessment!#REF!,Inherited!A:A,Inherited!B:B)))/100)*IF(AA183="1.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(100%)","100"))))))&lt;=10,"0", IF(AND((((_xlfn.XLOOKUP(Assessment!#REF!,Inherited!A:A,Inherited!B:B))/100)*(_xlfn.XLOOKUP(Assessment!#REF!,Inherited!A:A,Inherited!F:F)))+(((100-(_xlfn.XLOOKUP(Assessment!#REF!,Inherited!A:A,Inherited!B:B)))/100)*IF(AA183="1.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(100%)","100"))))))&gt;=11,(((_xlfn.XLOOKUP(Assessment!#REF!,Inherited!A:A,Inherited!B:B))/100)*(_xlfn.XLOOKUP(Assessment!#REF!,Inherited!A:A,Inherited!F:F)))+(((100-(_xlfn.XLOOKUP(Assessment!#REF!,Inherited!A:A,Inherited!B:B)))/100)*IF(AA183="1.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(100%)","100"))))))&lt;=32),"25",IF(AND((((_xlfn.XLOOKUP(Assessment!#REF!,Inherited!A:A,Inherited!B:B))/100)*(_xlfn.XLOOKUP(Assessment!#REF!,Inherited!A:A,Inherited!F:F)))+(((100-(_xlfn.XLOOKUP(Assessment!#REF!,Inherited!A:A,Inherited!B:B)))/100)*IF(AA183="1.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(100%)","100"))))))&gt;=33,(((_xlfn.XLOOKUP(Assessment!#REF!,Inherited!A:A,Inherited!B:B))/100)*(_xlfn.XLOOKUP(Assessment!#REF!,Inherited!A:A,Inherited!F:F)))+(((100-(_xlfn.XLOOKUP(Assessment!#REF!,Inherited!A:A,Inherited!B:B)))/100)*IF(AA183="1.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(100%)","100"))))))&lt;=65),"50",IF(AND((((_xlfn.XLOOKUP(Assessment!#REF!,Inherited!A:A,Inherited!B:B))/100)*(_xlfn.XLOOKUP(Assessment!#REF!,Inherited!A:A,Inherited!F:F)))+(((100-(_xlfn.XLOOKUP(Assessment!#REF!,Inherited!A:A,Inherited!B:B)))/100)*IF(AA183="1.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(100%)","100"))))))&gt;=66,(((_xlfn.XLOOKUP(Assessment!#REF!,Inherited!A:A,Inherited!B:B))/100)*(_xlfn.XLOOKUP(Assessment!#REF!,Inherited!A:A,Inherited!F:F)))+(((100-(_xlfn.XLOOKUP(Assessment!#REF!,Inherited!A:A,Inherited!B:B)))/100)*IF(AA183="1.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(100%)","100"))))))&lt;=89),"75",IF((((_xlfn.XLOOKUP(Assessment!#REF!,Inherited!A:A,Inherited!B:B))/100)*(_xlfn.XLOOKUP(Assessment!#REF!,Inherited!A:A,Inherited!F:F)))+(((100-(_xlfn.XLOOKUP(Assessment!#REF!,Inherited!A:A,Inherited!B:B)))/100)*IF(AA183="1. Non Compliant (0%)","0",IF(AA183="2. Somewhat Compliant (25%)","25",IF(AA183="3. Partially Compliant (50%)","50",IF(AA183="4. Mostly Compliant (75%)","75",IF(AA183="5. Fully Compliant (100%)","100"))))))&gt;=90,"100"))))))</f>
        <v>#N/A</v>
      </c>
      <c r="U183" s="1" t="e">
        <f>IF(MATCH(H183,Inherited!A:A),IF((((_xlfn.XLOOKUP(Assessment!#REF!,Inherited!A:A,Inherited!B:B))/100)*(_xlfn.XLOOKUP(Assessment!#REF!,Inherited!A:A,Inherited!G:G)))+(((100-(_xlfn.XLOOKUP(Assessment!#REF!,Inherited!A:A,Inherited!B:B)))/100)*IF(AB183="1.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(100%)","100"))))))&lt;=10,"0", IF(AND((((_xlfn.XLOOKUP(Assessment!#REF!,Inherited!A:A,Inherited!B:B))/100)*(_xlfn.XLOOKUP(Assessment!#REF!,Inherited!A:A,Inherited!G:G)))+(((100-(_xlfn.XLOOKUP(Assessment!#REF!,Inherited!A:A,Inherited!B:B)))/100)*IF(AB183="1.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(100%)","100"))))))&gt;=11,(((_xlfn.XLOOKUP(Assessment!#REF!,Inherited!A:A,Inherited!B:B))/100)*(_xlfn.XLOOKUP(Assessment!#REF!,Inherited!A:A,Inherited!G:G)))+(((100-(_xlfn.XLOOKUP(Assessment!#REF!,Inherited!A:A,Inherited!B:B)))/100)*IF(AB183="1.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(100%)","100"))))))&lt;=32),"25",IF(AND((((_xlfn.XLOOKUP(Assessment!#REF!,Inherited!A:A,Inherited!B:B))/100)*(_xlfn.XLOOKUP(Assessment!#REF!,Inherited!A:A,Inherited!G:G)))+(((100-(_xlfn.XLOOKUP(Assessment!#REF!,Inherited!A:A,Inherited!B:B)))/100)*IF(AB183="1.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(100%)","100"))))))&gt;=33,(((_xlfn.XLOOKUP(Assessment!#REF!,Inherited!A:A,Inherited!B:B))/100)*(_xlfn.XLOOKUP(Assessment!#REF!,Inherited!A:A,Inherited!G:G)))+(((100-(_xlfn.XLOOKUP(Assessment!#REF!,Inherited!A:A,Inherited!B:B)))/100)*IF(AB183="1.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(100%)","100"))))))&lt;=65),"50",IF(AND((((_xlfn.XLOOKUP(Assessment!#REF!,Inherited!A:A,Inherited!B:B))/100)*(_xlfn.XLOOKUP(Assessment!#REF!,Inherited!A:A,Inherited!G:G)))+(((100-(_xlfn.XLOOKUP(Assessment!#REF!,Inherited!A:A,Inherited!B:B)))/100)*IF(AB183="1.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(100%)","100"))))))&gt;=66,(((_xlfn.XLOOKUP(Assessment!#REF!,Inherited!A:A,Inherited!B:B))/100)*(_xlfn.XLOOKUP(Assessment!#REF!,Inherited!A:A,Inherited!G:G)))+(((100-(_xlfn.XLOOKUP(Assessment!#REF!,Inherited!A:A,Inherited!B:B)))/100)*IF(AB183="1.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(100%)","100"))))))&lt;=89),"75",IF((((_xlfn.XLOOKUP(Assessment!#REF!,Inherited!A:A,Inherited!B:B))/100)*(_xlfn.XLOOKUP(Assessment!#REF!,Inherited!A:A,Inherited!G:G)))+(((100-(_xlfn.XLOOKUP(Assessment!#REF!,Inherited!A:A,Inherited!B:B)))/100)*IF(AB183="1. Non Compliant (0%)","0",IF(AB183="2. Somewhat Compliant (25%)","25",IF(AB183="3. Partially Compliant (50%)","50",IF(AB183="4. Mostly Compliant (75%)","75",IF(AB183="5. Fully Compliant (100%)","100"))))))&gt;=90,"100"))))))</f>
        <v>#N/A</v>
      </c>
      <c r="V183" s="55" t="s">
        <v>85</v>
      </c>
      <c r="W183" s="55"/>
      <c r="X183" s="55"/>
      <c r="Y183" s="55"/>
      <c r="Z183" s="55" t="s">
        <v>86</v>
      </c>
      <c r="AA183" s="55"/>
      <c r="AB183" s="55"/>
      <c r="AK183" s="1" t="s">
        <v>10891</v>
      </c>
      <c r="AM183" s="1" t="s">
        <v>11047</v>
      </c>
      <c r="AX183" s="3" t="str">
        <f>_xlfn.CONCAT("A-LIGN finished its review of this control on ",AR183, " during the scheduled fieldwork window (",Intro!$B$4,")."&amp; CHAR(10)&amp; CHAR(10))</f>
        <v xml:space="preserve">A-LIGN finished its review of this control on  during the scheduled fieldwork window (Fieldwork: xx/xx/xxxx - xx/xx/xxxx).
</v>
      </c>
      <c r="AY183" s="3" t="str">
        <f t="shared" si="341"/>
        <v/>
      </c>
      <c r="AZ183" s="3" t="str">
        <f t="shared" si="342"/>
        <v/>
      </c>
      <c r="BA183" s="3" t="str">
        <f t="shared" si="343"/>
        <v/>
      </c>
      <c r="BB183" s="3" t="str">
        <f t="shared" si="344"/>
        <v xml:space="preserve">Inquired of the following workforce member: 
Matthew Macaluso - Director of System Operations
Roze Nicolas - Director of TechOps
Inquiry lead to the following conclusions: 
</v>
      </c>
      <c r="BC183" s="3" t="str">
        <f t="shared" si="345"/>
        <v xml:space="preserve">Observed the following live during fieldwork: 
Observed emails sent to management that originated from special interest groups (Google Security, Foresight, CISA, etc.) 
Also observed the Foreside Catalyst dashboard which also sends alerts/emerging threats to Merge for them to review and be made aware of.
</v>
      </c>
      <c r="BD183" s="3" t="str">
        <f t="shared" si="346"/>
        <v xml:space="preserve">Examined the following evidence during fieldwork:
Reviewed evidence addressed the requirement statement.
</v>
      </c>
      <c r="BE183" s="3" t="str">
        <f t="shared" si="347"/>
        <v/>
      </c>
      <c r="BF183" s="3" t="str">
        <f t="shared" si="348"/>
        <v/>
      </c>
      <c r="BG183" s="3" t="str">
        <f>_xlfn.CONCAT((IF((COUNTIF('Sample Tables'!B:B,"")&gt;0)=TRUE,_xlfn.CONCAT("",""),IF((COUNTIF('Sample Tables'!B:B,"")&gt;0)=FALSE,""))),)</f>
        <v/>
      </c>
      <c r="BH183" s="3" t="str">
        <f t="shared" si="349"/>
        <v xml:space="preserve">A-LIGN finished its review of this control on  during the scheduled fieldwork window (Fieldwork: xx/xx/xxxx - xx/xx/xxxx).
Inquired of the following workforce member: 
Matthew Macaluso - Director of System Operations
Roze Nicolas - Director of TechOps
Inquiry lead to the following conclusions: 
Observed the following live during fieldwork: 
Observed emails sent to management that originated from special interest groups (Google Security, Foresight, CISA, etc.) 
Also observed the Foreside Catalyst dashboard which also sends alerts/emerging threats to Merge for them to review and be made aware of.
Examined the following evidence during fieldwork:
Reviewed evidence addressed the requirement statement.
</v>
      </c>
    </row>
    <row r="184" spans="3:60" ht="409.5" x14ac:dyDescent="0.35">
      <c r="C184" s="1">
        <f t="shared" si="340"/>
        <v>0</v>
      </c>
      <c r="D184" s="5" t="str">
        <f>IF(AND((_xlfn.XLOOKUP(J184,'Fields &amp; Revisions'!$H:$H,'Fields &amp; Revisions'!$I:$I))&lt;70.99,(OR(Z184="4. Mostly Compliant (75%)",Z184="3. Partially Compliant (50%)",Z184="2. Somewhat Compliant (25%)",Z184="1. Non Compliant (0%)"))),"Yes","No")</f>
        <v>No</v>
      </c>
      <c r="E184" s="5" t="str">
        <f>IF(ISERROR(VLOOKUP(H184,Scope!A:A,1,FALSE)),"No","Yes")</f>
        <v>Yes</v>
      </c>
      <c r="F184" s="1" t="s">
        <v>4666</v>
      </c>
      <c r="G184" s="53" t="s">
        <v>5210</v>
      </c>
      <c r="H184" s="53" t="s">
        <v>5211</v>
      </c>
      <c r="I184" s="5">
        <v>1</v>
      </c>
      <c r="J184" s="1" t="s">
        <v>4928</v>
      </c>
      <c r="K184" s="1" t="s">
        <v>5212</v>
      </c>
      <c r="L184" s="1" t="s">
        <v>5213</v>
      </c>
      <c r="M184" s="1" t="s">
        <v>5214</v>
      </c>
      <c r="N184" s="5" t="s">
        <v>98</v>
      </c>
      <c r="O184" s="1" t="str">
        <f>_xlfn.XLOOKUP(G184,SRMs!$A:$A,SRMs!$D:$D)</f>
        <v>NO INHERITANCE</v>
      </c>
      <c r="P184" s="1" t="str">
        <f>IFERROR(VLOOKUP(H184,Inherited!A:B,2,FALSE),"")</f>
        <v/>
      </c>
      <c r="Q184" s="1" t="e">
        <f>IF(MATCH(H184,Inherited!A:A),IF((((_xlfn.XLOOKUP(Assessment!H185,Inherited!A:A,Inherited!B:B))/100)*(_xlfn.XLOOKUP(Assessment!H185,Inherited!A:A,Inherited!C:C)))+(((100-(_xlfn.XLOOKUP(Assessment!H185,Inherited!A:A,Inherited!B:B)))/100)*IF(X184="1.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(100%)","100"))))))&lt;=10,"0", IF(AND((((_xlfn.XLOOKUP(Assessment!H185,Inherited!A:A,Inherited!B:B))/100)*(_xlfn.XLOOKUP(Assessment!H185,Inherited!A:A,Inherited!C:C)))+(((100-(_xlfn.XLOOKUP(Assessment!H185,Inherited!A:A,Inherited!B:B)))/100)*IF(X184="1.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(100%)","100"))))))&gt;=11,(((_xlfn.XLOOKUP(Assessment!H185,Inherited!A:A,Inherited!B:B))/100)*(_xlfn.XLOOKUP(Assessment!H185,Inherited!A:A,Inherited!C:C)))+(((100-(_xlfn.XLOOKUP(Assessment!H185,Inherited!A:A,Inherited!B:B)))/100)*IF(X184="1.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(100%)","100"))))))&lt;=32),"25",IF(AND((((_xlfn.XLOOKUP(Assessment!H185,Inherited!A:A,Inherited!B:B))/100)*(_xlfn.XLOOKUP(Assessment!H185,Inherited!A:A,Inherited!C:C)))+(((100-(_xlfn.XLOOKUP(Assessment!H185,Inherited!A:A,Inherited!B:B)))/100)*IF(X184="1.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(100%)","100"))))))&gt;=33,(((_xlfn.XLOOKUP(Assessment!H185,Inherited!A:A,Inherited!B:B))/100)*(_xlfn.XLOOKUP(Assessment!H185,Inherited!A:A,Inherited!C:C)))+(((100-(_xlfn.XLOOKUP(Assessment!H185,Inherited!A:A,Inherited!B:B)))/100)*IF(X184="1.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(100%)","100"))))))&lt;=65),"50",IF(AND((((_xlfn.XLOOKUP(Assessment!H185,Inherited!A:A,Inherited!B:B))/100)*(_xlfn.XLOOKUP(Assessment!H185,Inherited!A:A,Inherited!C:C)))+(((100-(_xlfn.XLOOKUP(Assessment!H185,Inherited!A:A,Inherited!B:B)))/100)*IF(X184="1.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(100%)","100"))))))&gt;=66,(((_xlfn.XLOOKUP(Assessment!H185,Inherited!A:A,Inherited!B:B))/100)*(_xlfn.XLOOKUP(Assessment!H185,Inherited!A:A,Inherited!C:C)))+(((100-(_xlfn.XLOOKUP(Assessment!H185,Inherited!A:A,Inherited!B:B)))/100)*IF(X184="1.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(100%)","100"))))))&lt;=89),"75",IF((((_xlfn.XLOOKUP(Assessment!H185,Inherited!A:A,Inherited!B:B))/100)*(_xlfn.XLOOKUP(Assessment!H185,Inherited!A:A,Inherited!C:C)))+(((100-(_xlfn.XLOOKUP(Assessment!H185,Inherited!A:A,Inherited!B:B)))/100)*IF(X184="1. Non Compliant (0%)","0",IF(X184="2. Somewhat Compliant (25%)","25",IF(X184="3. Partially Compliant (50%)","50",IF(X184="4. Mostly Compliant (75%)","75",IF(X184="5. Fully Compliant (100%)","100"))))))&gt;=90,"100"))))))</f>
        <v>#N/A</v>
      </c>
      <c r="R184" s="1" t="e">
        <f>IF(MATCH(H184,Inherited!A:A),IF((((_xlfn.XLOOKUP(Assessment!H185,Inherited!A:A,Inherited!B:B))/100)*(_xlfn.XLOOKUP(Assessment!H185,Inherited!A:A,Inherited!D:D)))+(((100-(_xlfn.XLOOKUP(Assessment!H185,Inherited!A:A,Inherited!B:B)))/100)*IF(Y184="1.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(100%)","100"))))))&lt;=10,"0", IF(AND((((_xlfn.XLOOKUP(Assessment!H185,Inherited!A:A,Inherited!B:B))/100)*(_xlfn.XLOOKUP(Assessment!H185,Inherited!A:A,Inherited!D:D)))+(((100-(_xlfn.XLOOKUP(Assessment!H185,Inherited!A:A,Inherited!B:B)))/100)*IF(Y184="1.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(100%)","100"))))))&gt;=11,(((_xlfn.XLOOKUP(Assessment!H185,Inherited!A:A,Inherited!B:B))/100)*(_xlfn.XLOOKUP(Assessment!H185,Inherited!A:A,Inherited!D:D)))+(((100-(_xlfn.XLOOKUP(Assessment!H185,Inherited!A:A,Inherited!B:B)))/100)*IF(Y184="1.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(100%)","100"))))))&lt;=32),"25",IF(AND((((_xlfn.XLOOKUP(Assessment!H185,Inherited!A:A,Inherited!B:B))/100)*(_xlfn.XLOOKUP(Assessment!H185,Inherited!A:A,Inherited!D:D)))+(((100-(_xlfn.XLOOKUP(Assessment!H185,Inherited!A:A,Inherited!B:B)))/100)*IF(Y184="1.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(100%)","100"))))))&gt;=33,(((_xlfn.XLOOKUP(Assessment!H185,Inherited!A:A,Inherited!B:B))/100)*(_xlfn.XLOOKUP(Assessment!H185,Inherited!A:A,Inherited!D:D)))+(((100-(_xlfn.XLOOKUP(Assessment!H185,Inherited!A:A,Inherited!B:B)))/100)*IF(Y184="1.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(100%)","100"))))))&lt;=65),"50",IF(AND((((_xlfn.XLOOKUP(Assessment!H185,Inherited!A:A,Inherited!B:B))/100)*(_xlfn.XLOOKUP(Assessment!H185,Inherited!A:A,Inherited!D:D)))+(((100-(_xlfn.XLOOKUP(Assessment!H185,Inherited!A:A,Inherited!B:B)))/100)*IF(Y184="1.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(100%)","100"))))))&gt;=66,(((_xlfn.XLOOKUP(Assessment!H185,Inherited!A:A,Inherited!B:B))/100)*(_xlfn.XLOOKUP(Assessment!H185,Inherited!A:A,Inherited!D:D)))+(((100-(_xlfn.XLOOKUP(Assessment!H185,Inherited!A:A,Inherited!B:B)))/100)*IF(Y184="1.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(100%)","100"))))))&lt;=89),"75",IF((((_xlfn.XLOOKUP(Assessment!H185,Inherited!A:A,Inherited!B:B))/100)*(_xlfn.XLOOKUP(Assessment!H185,Inherited!A:A,Inherited!D:D)))+(((100-(_xlfn.XLOOKUP(Assessment!H185,Inherited!A:A,Inherited!B:B)))/100)*IF(Y184="1. Non Compliant (0%)","0",IF(Y184="2. Somewhat Compliant (25%)","25",IF(Y184="3. Partially Compliant (50%)","50",IF(Y184="4. Mostly Compliant (75%)","75",IF(Y184="5. Fully Compliant (100%)","100"))))))&gt;=90,"100"))))))</f>
        <v>#N/A</v>
      </c>
      <c r="S184" s="1" t="e">
        <f>IF(MATCH(H184,Inherited!A:A),IF((((_xlfn.XLOOKUP(Assessment!H185,Inherited!A:A,Inherited!B:B))/100)*(_xlfn.XLOOKUP(Assessment!H185,Inherited!A:A,Inherited!E:E)))+(((100-(_xlfn.XLOOKUP(Assessment!H185,Inherited!A:A,Inherited!B:B)))/100)*IF(Z184="1.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(100%)","100"))))))&lt;=10,"0", IF(AND((((_xlfn.XLOOKUP(Assessment!H185,Inherited!A:A,Inherited!B:B))/100)*(_xlfn.XLOOKUP(Assessment!H185,Inherited!A:A,Inherited!E:E)))+(((100-(_xlfn.XLOOKUP(Assessment!H185,Inherited!A:A,Inherited!B:B)))/100)*IF(Z184="1.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(100%)","100"))))))&gt;=11,(((_xlfn.XLOOKUP(Assessment!H185,Inherited!A:A,Inherited!B:B))/100)*(_xlfn.XLOOKUP(Assessment!H185,Inherited!A:A,Inherited!E:E)))+(((100-(_xlfn.XLOOKUP(Assessment!H185,Inherited!A:A,Inherited!B:B)))/100)*IF(Z184="1.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(100%)","100"))))))&lt;=32),"25",IF(AND((((_xlfn.XLOOKUP(Assessment!H185,Inherited!A:A,Inherited!B:B))/100)*(_xlfn.XLOOKUP(Assessment!H185,Inherited!A:A,Inherited!E:E)))+(((100-(_xlfn.XLOOKUP(Assessment!H185,Inherited!A:A,Inherited!B:B)))/100)*IF(Z184="1.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(100%)","100"))))))&gt;=33,(((_xlfn.XLOOKUP(Assessment!H185,Inherited!A:A,Inherited!B:B))/100)*(_xlfn.XLOOKUP(Assessment!H185,Inherited!A:A,Inherited!E:E)))+(((100-(_xlfn.XLOOKUP(Assessment!H185,Inherited!A:A,Inherited!B:B)))/100)*IF(Z184="1.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(100%)","100"))))))&lt;=65),"50",IF(AND((((_xlfn.XLOOKUP(Assessment!H185,Inherited!A:A,Inherited!B:B))/100)*(_xlfn.XLOOKUP(Assessment!H185,Inherited!A:A,Inherited!E:E)))+(((100-(_xlfn.XLOOKUP(Assessment!H185,Inherited!A:A,Inherited!B:B)))/100)*IF(Z184="1.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(100%)","100"))))))&gt;=66,(((_xlfn.XLOOKUP(Assessment!H185,Inherited!A:A,Inherited!B:B))/100)*(_xlfn.XLOOKUP(Assessment!H185,Inherited!A:A,Inherited!E:E)))+(((100-(_xlfn.XLOOKUP(Assessment!H185,Inherited!A:A,Inherited!B:B)))/100)*IF(Z184="1.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(100%)","100"))))))&lt;=89),"75",IF((((_xlfn.XLOOKUP(Assessment!H185,Inherited!A:A,Inherited!B:B))/100)*(_xlfn.XLOOKUP(Assessment!H185,Inherited!A:A,Inherited!E:E)))+(((100-(_xlfn.XLOOKUP(Assessment!H185,Inherited!A:A,Inherited!B:B)))/100)*IF(Z184="1. Non Compliant (0%)","0",IF(Z184="2. Somewhat Compliant (25%)","25",IF(Z184="3. Partially Compliant (50%)","50",IF(Z184="4. Mostly Compliant (75%)","75",IF(Z184="5. Fully Compliant (100%)","100"))))))&gt;=90,"100"))))))</f>
        <v>#N/A</v>
      </c>
      <c r="T184" s="1" t="e">
        <f>IF(MATCH(H184,Inherited!A:A),IF((((_xlfn.XLOOKUP(Assessment!H185,Inherited!A:A,Inherited!B:B))/100)*(_xlfn.XLOOKUP(Assessment!H185,Inherited!A:A,Inherited!F:F)))+(((100-(_xlfn.XLOOKUP(Assessment!H185,Inherited!A:A,Inherited!B:B)))/100)*IF(AA184="1.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(100%)","100"))))))&lt;=10,"0", IF(AND((((_xlfn.XLOOKUP(Assessment!H185,Inherited!A:A,Inherited!B:B))/100)*(_xlfn.XLOOKUP(Assessment!H185,Inherited!A:A,Inherited!F:F)))+(((100-(_xlfn.XLOOKUP(Assessment!H185,Inherited!A:A,Inherited!B:B)))/100)*IF(AA184="1.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(100%)","100"))))))&gt;=11,(((_xlfn.XLOOKUP(Assessment!H185,Inherited!A:A,Inherited!B:B))/100)*(_xlfn.XLOOKUP(Assessment!H185,Inherited!A:A,Inherited!F:F)))+(((100-(_xlfn.XLOOKUP(Assessment!H185,Inherited!A:A,Inherited!B:B)))/100)*IF(AA184="1.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(100%)","100"))))))&lt;=32),"25",IF(AND((((_xlfn.XLOOKUP(Assessment!H185,Inherited!A:A,Inherited!B:B))/100)*(_xlfn.XLOOKUP(Assessment!H185,Inherited!A:A,Inherited!F:F)))+(((100-(_xlfn.XLOOKUP(Assessment!H185,Inherited!A:A,Inherited!B:B)))/100)*IF(AA184="1.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(100%)","100"))))))&gt;=33,(((_xlfn.XLOOKUP(Assessment!H185,Inherited!A:A,Inherited!B:B))/100)*(_xlfn.XLOOKUP(Assessment!H185,Inherited!A:A,Inherited!F:F)))+(((100-(_xlfn.XLOOKUP(Assessment!H185,Inherited!A:A,Inherited!B:B)))/100)*IF(AA184="1.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(100%)","100"))))))&lt;=65),"50",IF(AND((((_xlfn.XLOOKUP(Assessment!H185,Inherited!A:A,Inherited!B:B))/100)*(_xlfn.XLOOKUP(Assessment!H185,Inherited!A:A,Inherited!F:F)))+(((100-(_xlfn.XLOOKUP(Assessment!H185,Inherited!A:A,Inherited!B:B)))/100)*IF(AA184="1.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(100%)","100"))))))&gt;=66,(((_xlfn.XLOOKUP(Assessment!H185,Inherited!A:A,Inherited!B:B))/100)*(_xlfn.XLOOKUP(Assessment!H185,Inherited!A:A,Inherited!F:F)))+(((100-(_xlfn.XLOOKUP(Assessment!H185,Inherited!A:A,Inherited!B:B)))/100)*IF(AA184="1.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(100%)","100"))))))&lt;=89),"75",IF((((_xlfn.XLOOKUP(Assessment!H185,Inherited!A:A,Inherited!B:B))/100)*(_xlfn.XLOOKUP(Assessment!H185,Inherited!A:A,Inherited!F:F)))+(((100-(_xlfn.XLOOKUP(Assessment!H185,Inherited!A:A,Inherited!B:B)))/100)*IF(AA184="1. Non Compliant (0%)","0",IF(AA184="2. Somewhat Compliant (25%)","25",IF(AA184="3. Partially Compliant (50%)","50",IF(AA184="4. Mostly Compliant (75%)","75",IF(AA184="5. Fully Compliant (100%)","100"))))))&gt;=90,"100"))))))</f>
        <v>#N/A</v>
      </c>
      <c r="U184" s="1" t="e">
        <f>IF(MATCH(H184,Inherited!A:A),IF((((_xlfn.XLOOKUP(Assessment!H185,Inherited!A:A,Inherited!B:B))/100)*(_xlfn.XLOOKUP(Assessment!H185,Inherited!A:A,Inherited!G:G)))+(((100-(_xlfn.XLOOKUP(Assessment!H185,Inherited!A:A,Inherited!B:B)))/100)*IF(AB184="1.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(100%)","100"))))))&lt;=10,"0", IF(AND((((_xlfn.XLOOKUP(Assessment!H185,Inherited!A:A,Inherited!B:B))/100)*(_xlfn.XLOOKUP(Assessment!H185,Inherited!A:A,Inherited!G:G)))+(((100-(_xlfn.XLOOKUP(Assessment!H185,Inherited!A:A,Inherited!B:B)))/100)*IF(AB184="1.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(100%)","100"))))))&gt;=11,(((_xlfn.XLOOKUP(Assessment!H185,Inherited!A:A,Inherited!B:B))/100)*(_xlfn.XLOOKUP(Assessment!H185,Inherited!A:A,Inherited!G:G)))+(((100-(_xlfn.XLOOKUP(Assessment!H185,Inherited!A:A,Inherited!B:B)))/100)*IF(AB184="1.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(100%)","100"))))))&lt;=32),"25",IF(AND((((_xlfn.XLOOKUP(Assessment!H185,Inherited!A:A,Inherited!B:B))/100)*(_xlfn.XLOOKUP(Assessment!H185,Inherited!A:A,Inherited!G:G)))+(((100-(_xlfn.XLOOKUP(Assessment!H185,Inherited!A:A,Inherited!B:B)))/100)*IF(AB184="1.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(100%)","100"))))))&gt;=33,(((_xlfn.XLOOKUP(Assessment!H185,Inherited!A:A,Inherited!B:B))/100)*(_xlfn.XLOOKUP(Assessment!H185,Inherited!A:A,Inherited!G:G)))+(((100-(_xlfn.XLOOKUP(Assessment!H185,Inherited!A:A,Inherited!B:B)))/100)*IF(AB184="1.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(100%)","100"))))))&lt;=65),"50",IF(AND((((_xlfn.XLOOKUP(Assessment!H185,Inherited!A:A,Inherited!B:B))/100)*(_xlfn.XLOOKUP(Assessment!H185,Inherited!A:A,Inherited!G:G)))+(((100-(_xlfn.XLOOKUP(Assessment!H185,Inherited!A:A,Inherited!B:B)))/100)*IF(AB184="1.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(100%)","100"))))))&gt;=66,(((_xlfn.XLOOKUP(Assessment!H185,Inherited!A:A,Inherited!B:B))/100)*(_xlfn.XLOOKUP(Assessment!H185,Inherited!A:A,Inherited!G:G)))+(((100-(_xlfn.XLOOKUP(Assessment!H185,Inherited!A:A,Inherited!B:B)))/100)*IF(AB184="1.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(100%)","100"))))))&lt;=89),"75",IF((((_xlfn.XLOOKUP(Assessment!H185,Inherited!A:A,Inherited!B:B))/100)*(_xlfn.XLOOKUP(Assessment!H185,Inherited!A:A,Inherited!G:G)))+(((100-(_xlfn.XLOOKUP(Assessment!H185,Inherited!A:A,Inherited!B:B)))/100)*IF(AB184="1. Non Compliant (0%)","0",IF(AB184="2. Somewhat Compliant (25%)","25",IF(AB184="3. Partially Compliant (50%)","50",IF(AB184="4. Mostly Compliant (75%)","75",IF(AB184="5. Fully Compliant (100%)","100"))))))&gt;=90,"100"))))))</f>
        <v>#N/A</v>
      </c>
      <c r="V184" s="55" t="s">
        <v>85</v>
      </c>
      <c r="W184" s="55"/>
      <c r="X184" s="55"/>
      <c r="Y184" s="55"/>
      <c r="Z184" s="55"/>
      <c r="AA184" s="55"/>
      <c r="AB184" s="55"/>
      <c r="AX184" s="3" t="str">
        <f>_xlfn.CONCAT("A-LIGN finished its review of this control on ",AR184, " during the scheduled fieldwork window (",Intro!$B$4,")."&amp; CHAR(10)&amp; CHAR(10))</f>
        <v xml:space="preserve">A-LIGN finished its review of this control on  during the scheduled fieldwork window (Fieldwork: xx/xx/xxxx - xx/xx/xxxx).
</v>
      </c>
      <c r="AY184" s="3" t="str">
        <f t="shared" si="341"/>
        <v/>
      </c>
      <c r="AZ184" s="3" t="str">
        <f t="shared" si="342"/>
        <v/>
      </c>
      <c r="BA184" s="3" t="str">
        <f t="shared" si="343"/>
        <v/>
      </c>
      <c r="BB184" s="3" t="str">
        <f t="shared" si="344"/>
        <v/>
      </c>
      <c r="BC184" s="3" t="str">
        <f t="shared" si="345"/>
        <v/>
      </c>
      <c r="BD184" s="3" t="str">
        <f t="shared" si="346"/>
        <v xml:space="preserve">Examined the following evidence during fieldwork:
Reviewed evidence addressed the requirement statement.
</v>
      </c>
      <c r="BE184" s="3" t="str">
        <f t="shared" si="347"/>
        <v/>
      </c>
      <c r="BF184" s="3" t="str">
        <f t="shared" si="348"/>
        <v/>
      </c>
      <c r="BG184" s="3" t="str">
        <f>_xlfn.CONCAT((IF((COUNTIF('Sample Tables'!B:B,"")&gt;0)=TRUE,_xlfn.CONCAT("",""),IF((COUNTIF('Sample Tables'!B:B,"")&gt;0)=FALSE,""))),)</f>
        <v/>
      </c>
      <c r="BH184" s="3" t="str">
        <f t="shared" si="349"/>
        <v xml:space="preserve">A-LIGN finished its review of this control on  during the scheduled fieldwork window (Fieldwork: xx/xx/xxxx - xx/xx/xxxx).
Examined the following evidence during fieldwork:
Reviewed evidence addressed the requirement statement.
</v>
      </c>
    </row>
    <row r="185" spans="3:60" ht="227.5" x14ac:dyDescent="0.35">
      <c r="C185" s="1">
        <f t="shared" si="340"/>
        <v>0</v>
      </c>
      <c r="D185" s="5" t="str">
        <f>IF(AND((_xlfn.XLOOKUP(J185,'Fields &amp; Revisions'!$H:$H,'Fields &amp; Revisions'!$I:$I))&lt;70.99,(OR(Z185="4. Mostly Compliant (75%)",Z185="3. Partially Compliant (50%)",Z185="2. Somewhat Compliant (25%)",Z185="1. Non Compliant (0%)"))),"Yes","No")</f>
        <v>No</v>
      </c>
      <c r="E185" s="5" t="str">
        <f>IF(ISERROR(VLOOKUP(H185,Scope!A:A,1,FALSE)),"No","Yes")</f>
        <v>Yes</v>
      </c>
      <c r="F185" s="1" t="s">
        <v>4666</v>
      </c>
      <c r="G185" s="53" t="s">
        <v>5215</v>
      </c>
      <c r="H185" s="53" t="s">
        <v>5216</v>
      </c>
      <c r="I185" s="5">
        <v>1</v>
      </c>
      <c r="J185" s="1" t="s">
        <v>5217</v>
      </c>
      <c r="K185" s="1" t="s">
        <v>5218</v>
      </c>
      <c r="L185" s="1" t="s">
        <v>5219</v>
      </c>
      <c r="M185" s="1" t="s">
        <v>5220</v>
      </c>
      <c r="N185" s="5" t="s">
        <v>85</v>
      </c>
      <c r="O185" s="1" t="str">
        <f>_xlfn.XLOOKUP(G185,SRMs!$A:$A,SRMs!$D:$D)</f>
        <v>PARTIAL INHERITANCE</v>
      </c>
      <c r="P185" s="1" t="str">
        <f>IFERROR(VLOOKUP(H185,Inherited!A:B,2,FALSE),"")</f>
        <v/>
      </c>
      <c r="Q185" s="1" t="e">
        <f>IF(MATCH(H185,Inherited!A:A),IF((((_xlfn.XLOOKUP(Assessment!#REF!,Inherited!A:A,Inherited!B:B))/100)*(_xlfn.XLOOKUP(Assessment!#REF!,Inherited!A:A,Inherited!C:C)))+(((100-(_xlfn.XLOOKUP(Assessment!#REF!,Inherited!A:A,Inherited!B:B)))/100)*IF(X185="1.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(100%)","100"))))))&lt;=10,"0", IF(AND((((_xlfn.XLOOKUP(Assessment!#REF!,Inherited!A:A,Inherited!B:B))/100)*(_xlfn.XLOOKUP(Assessment!#REF!,Inherited!A:A,Inherited!C:C)))+(((100-(_xlfn.XLOOKUP(Assessment!#REF!,Inherited!A:A,Inherited!B:B)))/100)*IF(X185="1.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(100%)","100"))))))&gt;=11,(((_xlfn.XLOOKUP(Assessment!#REF!,Inherited!A:A,Inherited!B:B))/100)*(_xlfn.XLOOKUP(Assessment!#REF!,Inherited!A:A,Inherited!C:C)))+(((100-(_xlfn.XLOOKUP(Assessment!#REF!,Inherited!A:A,Inherited!B:B)))/100)*IF(X185="1.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(100%)","100"))))))&lt;=32),"25",IF(AND((((_xlfn.XLOOKUP(Assessment!#REF!,Inherited!A:A,Inherited!B:B))/100)*(_xlfn.XLOOKUP(Assessment!#REF!,Inherited!A:A,Inherited!C:C)))+(((100-(_xlfn.XLOOKUP(Assessment!#REF!,Inherited!A:A,Inherited!B:B)))/100)*IF(X185="1.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(100%)","100"))))))&gt;=33,(((_xlfn.XLOOKUP(Assessment!#REF!,Inherited!A:A,Inherited!B:B))/100)*(_xlfn.XLOOKUP(Assessment!#REF!,Inherited!A:A,Inherited!C:C)))+(((100-(_xlfn.XLOOKUP(Assessment!#REF!,Inherited!A:A,Inherited!B:B)))/100)*IF(X185="1.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(100%)","100"))))))&lt;=65),"50",IF(AND((((_xlfn.XLOOKUP(Assessment!#REF!,Inherited!A:A,Inherited!B:B))/100)*(_xlfn.XLOOKUP(Assessment!#REF!,Inherited!A:A,Inherited!C:C)))+(((100-(_xlfn.XLOOKUP(Assessment!#REF!,Inherited!A:A,Inherited!B:B)))/100)*IF(X185="1.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(100%)","100"))))))&gt;=66,(((_xlfn.XLOOKUP(Assessment!#REF!,Inherited!A:A,Inherited!B:B))/100)*(_xlfn.XLOOKUP(Assessment!#REF!,Inherited!A:A,Inherited!C:C)))+(((100-(_xlfn.XLOOKUP(Assessment!#REF!,Inherited!A:A,Inherited!B:B)))/100)*IF(X185="1.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(100%)","100"))))))&lt;=89),"75",IF((((_xlfn.XLOOKUP(Assessment!#REF!,Inherited!A:A,Inherited!B:B))/100)*(_xlfn.XLOOKUP(Assessment!#REF!,Inherited!A:A,Inherited!C:C)))+(((100-(_xlfn.XLOOKUP(Assessment!#REF!,Inherited!A:A,Inherited!B:B)))/100)*IF(X185="1. Non Compliant (0%)","0",IF(X185="2. Somewhat Compliant (25%)","25",IF(X185="3. Partially Compliant (50%)","50",IF(X185="4. Mostly Compliant (75%)","75",IF(X185="5. Fully Compliant (100%)","100"))))))&gt;=90,"100"))))))</f>
        <v>#N/A</v>
      </c>
      <c r="R185" s="1" t="e">
        <f>IF(MATCH(H185,Inherited!A:A),IF((((_xlfn.XLOOKUP(Assessment!#REF!,Inherited!A:A,Inherited!B:B))/100)*(_xlfn.XLOOKUP(Assessment!#REF!,Inherited!A:A,Inherited!D:D)))+(((100-(_xlfn.XLOOKUP(Assessment!#REF!,Inherited!A:A,Inherited!B:B)))/100)*IF(Y185="1.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(100%)","100"))))))&lt;=10,"0", IF(AND((((_xlfn.XLOOKUP(Assessment!#REF!,Inherited!A:A,Inherited!B:B))/100)*(_xlfn.XLOOKUP(Assessment!#REF!,Inherited!A:A,Inherited!D:D)))+(((100-(_xlfn.XLOOKUP(Assessment!#REF!,Inherited!A:A,Inherited!B:B)))/100)*IF(Y185="1.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(100%)","100"))))))&gt;=11,(((_xlfn.XLOOKUP(Assessment!#REF!,Inherited!A:A,Inherited!B:B))/100)*(_xlfn.XLOOKUP(Assessment!#REF!,Inherited!A:A,Inherited!D:D)))+(((100-(_xlfn.XLOOKUP(Assessment!#REF!,Inherited!A:A,Inherited!B:B)))/100)*IF(Y185="1.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(100%)","100"))))))&lt;=32),"25",IF(AND((((_xlfn.XLOOKUP(Assessment!#REF!,Inherited!A:A,Inherited!B:B))/100)*(_xlfn.XLOOKUP(Assessment!#REF!,Inherited!A:A,Inherited!D:D)))+(((100-(_xlfn.XLOOKUP(Assessment!#REF!,Inherited!A:A,Inherited!B:B)))/100)*IF(Y185="1.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(100%)","100"))))))&gt;=33,(((_xlfn.XLOOKUP(Assessment!#REF!,Inherited!A:A,Inherited!B:B))/100)*(_xlfn.XLOOKUP(Assessment!#REF!,Inherited!A:A,Inherited!D:D)))+(((100-(_xlfn.XLOOKUP(Assessment!#REF!,Inherited!A:A,Inherited!B:B)))/100)*IF(Y185="1.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(100%)","100"))))))&lt;=65),"50",IF(AND((((_xlfn.XLOOKUP(Assessment!#REF!,Inherited!A:A,Inherited!B:B))/100)*(_xlfn.XLOOKUP(Assessment!#REF!,Inherited!A:A,Inherited!D:D)))+(((100-(_xlfn.XLOOKUP(Assessment!#REF!,Inherited!A:A,Inherited!B:B)))/100)*IF(Y185="1.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(100%)","100"))))))&gt;=66,(((_xlfn.XLOOKUP(Assessment!#REF!,Inherited!A:A,Inherited!B:B))/100)*(_xlfn.XLOOKUP(Assessment!#REF!,Inherited!A:A,Inherited!D:D)))+(((100-(_xlfn.XLOOKUP(Assessment!#REF!,Inherited!A:A,Inherited!B:B)))/100)*IF(Y185="1.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(100%)","100"))))))&lt;=89),"75",IF((((_xlfn.XLOOKUP(Assessment!#REF!,Inherited!A:A,Inherited!B:B))/100)*(_xlfn.XLOOKUP(Assessment!#REF!,Inherited!A:A,Inherited!D:D)))+(((100-(_xlfn.XLOOKUP(Assessment!#REF!,Inherited!A:A,Inherited!B:B)))/100)*IF(Y185="1. Non Compliant (0%)","0",IF(Y185="2. Somewhat Compliant (25%)","25",IF(Y185="3. Partially Compliant (50%)","50",IF(Y185="4. Mostly Compliant (75%)","75",IF(Y185="5. Fully Compliant (100%)","100"))))))&gt;=90,"100"))))))</f>
        <v>#N/A</v>
      </c>
      <c r="S185" s="1" t="e">
        <f>IF(MATCH(H185,Inherited!A:A),IF((((_xlfn.XLOOKUP(Assessment!#REF!,Inherited!A:A,Inherited!B:B))/100)*(_xlfn.XLOOKUP(Assessment!#REF!,Inherited!A:A,Inherited!E:E)))+(((100-(_xlfn.XLOOKUP(Assessment!#REF!,Inherited!A:A,Inherited!B:B)))/100)*IF(Z185="1.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(100%)","100"))))))&lt;=10,"0", IF(AND((((_xlfn.XLOOKUP(Assessment!#REF!,Inherited!A:A,Inherited!B:B))/100)*(_xlfn.XLOOKUP(Assessment!#REF!,Inherited!A:A,Inherited!E:E)))+(((100-(_xlfn.XLOOKUP(Assessment!#REF!,Inherited!A:A,Inherited!B:B)))/100)*IF(Z185="1.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(100%)","100"))))))&gt;=11,(((_xlfn.XLOOKUP(Assessment!#REF!,Inherited!A:A,Inherited!B:B))/100)*(_xlfn.XLOOKUP(Assessment!#REF!,Inherited!A:A,Inherited!E:E)))+(((100-(_xlfn.XLOOKUP(Assessment!#REF!,Inherited!A:A,Inherited!B:B)))/100)*IF(Z185="1.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(100%)","100"))))))&lt;=32),"25",IF(AND((((_xlfn.XLOOKUP(Assessment!#REF!,Inherited!A:A,Inherited!B:B))/100)*(_xlfn.XLOOKUP(Assessment!#REF!,Inherited!A:A,Inherited!E:E)))+(((100-(_xlfn.XLOOKUP(Assessment!#REF!,Inherited!A:A,Inherited!B:B)))/100)*IF(Z185="1.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(100%)","100"))))))&gt;=33,(((_xlfn.XLOOKUP(Assessment!#REF!,Inherited!A:A,Inherited!B:B))/100)*(_xlfn.XLOOKUP(Assessment!#REF!,Inherited!A:A,Inherited!E:E)))+(((100-(_xlfn.XLOOKUP(Assessment!#REF!,Inherited!A:A,Inherited!B:B)))/100)*IF(Z185="1.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(100%)","100"))))))&lt;=65),"50",IF(AND((((_xlfn.XLOOKUP(Assessment!#REF!,Inherited!A:A,Inherited!B:B))/100)*(_xlfn.XLOOKUP(Assessment!#REF!,Inherited!A:A,Inherited!E:E)))+(((100-(_xlfn.XLOOKUP(Assessment!#REF!,Inherited!A:A,Inherited!B:B)))/100)*IF(Z185="1.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(100%)","100"))))))&gt;=66,(((_xlfn.XLOOKUP(Assessment!#REF!,Inherited!A:A,Inherited!B:B))/100)*(_xlfn.XLOOKUP(Assessment!#REF!,Inherited!A:A,Inherited!E:E)))+(((100-(_xlfn.XLOOKUP(Assessment!#REF!,Inherited!A:A,Inherited!B:B)))/100)*IF(Z185="1.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(100%)","100"))))))&lt;=89),"75",IF((((_xlfn.XLOOKUP(Assessment!#REF!,Inherited!A:A,Inherited!B:B))/100)*(_xlfn.XLOOKUP(Assessment!#REF!,Inherited!A:A,Inherited!E:E)))+(((100-(_xlfn.XLOOKUP(Assessment!#REF!,Inherited!A:A,Inherited!B:B)))/100)*IF(Z185="1. Non Compliant (0%)","0",IF(Z185="2. Somewhat Compliant (25%)","25",IF(Z185="3. Partially Compliant (50%)","50",IF(Z185="4. Mostly Compliant (75%)","75",IF(Z185="5. Fully Compliant (100%)","100"))))))&gt;=90,"100"))))))</f>
        <v>#N/A</v>
      </c>
      <c r="T185" s="1" t="e">
        <f>IF(MATCH(H185,Inherited!A:A),IF((((_xlfn.XLOOKUP(Assessment!#REF!,Inherited!A:A,Inherited!B:B))/100)*(_xlfn.XLOOKUP(Assessment!#REF!,Inherited!A:A,Inherited!F:F)))+(((100-(_xlfn.XLOOKUP(Assessment!#REF!,Inherited!A:A,Inherited!B:B)))/100)*IF(AA185="1.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(100%)","100"))))))&lt;=10,"0", IF(AND((((_xlfn.XLOOKUP(Assessment!#REF!,Inherited!A:A,Inherited!B:B))/100)*(_xlfn.XLOOKUP(Assessment!#REF!,Inherited!A:A,Inherited!F:F)))+(((100-(_xlfn.XLOOKUP(Assessment!#REF!,Inherited!A:A,Inherited!B:B)))/100)*IF(AA185="1.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(100%)","100"))))))&gt;=11,(((_xlfn.XLOOKUP(Assessment!#REF!,Inherited!A:A,Inherited!B:B))/100)*(_xlfn.XLOOKUP(Assessment!#REF!,Inherited!A:A,Inherited!F:F)))+(((100-(_xlfn.XLOOKUP(Assessment!#REF!,Inherited!A:A,Inherited!B:B)))/100)*IF(AA185="1.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(100%)","100"))))))&lt;=32),"25",IF(AND((((_xlfn.XLOOKUP(Assessment!#REF!,Inherited!A:A,Inherited!B:B))/100)*(_xlfn.XLOOKUP(Assessment!#REF!,Inherited!A:A,Inherited!F:F)))+(((100-(_xlfn.XLOOKUP(Assessment!#REF!,Inherited!A:A,Inherited!B:B)))/100)*IF(AA185="1.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(100%)","100"))))))&gt;=33,(((_xlfn.XLOOKUP(Assessment!#REF!,Inherited!A:A,Inherited!B:B))/100)*(_xlfn.XLOOKUP(Assessment!#REF!,Inherited!A:A,Inherited!F:F)))+(((100-(_xlfn.XLOOKUP(Assessment!#REF!,Inherited!A:A,Inherited!B:B)))/100)*IF(AA185="1.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(100%)","100"))))))&lt;=65),"50",IF(AND((((_xlfn.XLOOKUP(Assessment!#REF!,Inherited!A:A,Inherited!B:B))/100)*(_xlfn.XLOOKUP(Assessment!#REF!,Inherited!A:A,Inherited!F:F)))+(((100-(_xlfn.XLOOKUP(Assessment!#REF!,Inherited!A:A,Inherited!B:B)))/100)*IF(AA185="1.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(100%)","100"))))))&gt;=66,(((_xlfn.XLOOKUP(Assessment!#REF!,Inherited!A:A,Inherited!B:B))/100)*(_xlfn.XLOOKUP(Assessment!#REF!,Inherited!A:A,Inherited!F:F)))+(((100-(_xlfn.XLOOKUP(Assessment!#REF!,Inherited!A:A,Inherited!B:B)))/100)*IF(AA185="1.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(100%)","100"))))))&lt;=89),"75",IF((((_xlfn.XLOOKUP(Assessment!#REF!,Inherited!A:A,Inherited!B:B))/100)*(_xlfn.XLOOKUP(Assessment!#REF!,Inherited!A:A,Inherited!F:F)))+(((100-(_xlfn.XLOOKUP(Assessment!#REF!,Inherited!A:A,Inherited!B:B)))/100)*IF(AA185="1. Non Compliant (0%)","0",IF(AA185="2. Somewhat Compliant (25%)","25",IF(AA185="3. Partially Compliant (50%)","50",IF(AA185="4. Mostly Compliant (75%)","75",IF(AA185="5. Fully Compliant (100%)","100"))))))&gt;=90,"100"))))))</f>
        <v>#N/A</v>
      </c>
      <c r="U185" s="1" t="e">
        <f>IF(MATCH(H185,Inherited!A:A),IF((((_xlfn.XLOOKUP(Assessment!#REF!,Inherited!A:A,Inherited!B:B))/100)*(_xlfn.XLOOKUP(Assessment!#REF!,Inherited!A:A,Inherited!G:G)))+(((100-(_xlfn.XLOOKUP(Assessment!#REF!,Inherited!A:A,Inherited!B:B)))/100)*IF(AB185="1.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(100%)","100"))))))&lt;=10,"0", IF(AND((((_xlfn.XLOOKUP(Assessment!#REF!,Inherited!A:A,Inherited!B:B))/100)*(_xlfn.XLOOKUP(Assessment!#REF!,Inherited!A:A,Inherited!G:G)))+(((100-(_xlfn.XLOOKUP(Assessment!#REF!,Inherited!A:A,Inherited!B:B)))/100)*IF(AB185="1.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(100%)","100"))))))&gt;=11,(((_xlfn.XLOOKUP(Assessment!#REF!,Inherited!A:A,Inherited!B:B))/100)*(_xlfn.XLOOKUP(Assessment!#REF!,Inherited!A:A,Inherited!G:G)))+(((100-(_xlfn.XLOOKUP(Assessment!#REF!,Inherited!A:A,Inherited!B:B)))/100)*IF(AB185="1.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(100%)","100"))))))&lt;=32),"25",IF(AND((((_xlfn.XLOOKUP(Assessment!#REF!,Inherited!A:A,Inherited!B:B))/100)*(_xlfn.XLOOKUP(Assessment!#REF!,Inherited!A:A,Inherited!G:G)))+(((100-(_xlfn.XLOOKUP(Assessment!#REF!,Inherited!A:A,Inherited!B:B)))/100)*IF(AB185="1.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(100%)","100"))))))&gt;=33,(((_xlfn.XLOOKUP(Assessment!#REF!,Inherited!A:A,Inherited!B:B))/100)*(_xlfn.XLOOKUP(Assessment!#REF!,Inherited!A:A,Inherited!G:G)))+(((100-(_xlfn.XLOOKUP(Assessment!#REF!,Inherited!A:A,Inherited!B:B)))/100)*IF(AB185="1.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(100%)","100"))))))&lt;=65),"50",IF(AND((((_xlfn.XLOOKUP(Assessment!#REF!,Inherited!A:A,Inherited!B:B))/100)*(_xlfn.XLOOKUP(Assessment!#REF!,Inherited!A:A,Inherited!G:G)))+(((100-(_xlfn.XLOOKUP(Assessment!#REF!,Inherited!A:A,Inherited!B:B)))/100)*IF(AB185="1.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(100%)","100"))))))&gt;=66,(((_xlfn.XLOOKUP(Assessment!#REF!,Inherited!A:A,Inherited!B:B))/100)*(_xlfn.XLOOKUP(Assessment!#REF!,Inherited!A:A,Inherited!G:G)))+(((100-(_xlfn.XLOOKUP(Assessment!#REF!,Inherited!A:A,Inherited!B:B)))/100)*IF(AB185="1.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(100%)","100"))))))&lt;=89),"75",IF((((_xlfn.XLOOKUP(Assessment!#REF!,Inherited!A:A,Inherited!B:B))/100)*(_xlfn.XLOOKUP(Assessment!#REF!,Inherited!A:A,Inherited!G:G)))+(((100-(_xlfn.XLOOKUP(Assessment!#REF!,Inherited!A:A,Inherited!B:B)))/100)*IF(AB185="1. Non Compliant (0%)","0",IF(AB185="2. Somewhat Compliant (25%)","25",IF(AB185="3. Partially Compliant (50%)","50",IF(AB185="4. Mostly Compliant (75%)","75",IF(AB185="5. Fully Compliant (100%)","100"))))))&gt;=90,"100"))))))</f>
        <v>#N/A</v>
      </c>
      <c r="V185" s="55" t="s">
        <v>85</v>
      </c>
      <c r="W185" s="55"/>
      <c r="X185" s="55"/>
      <c r="Y185" s="55"/>
      <c r="Z185" s="55"/>
      <c r="AA185" s="55"/>
      <c r="AB185" s="55"/>
      <c r="AX185" s="3" t="str">
        <f>_xlfn.CONCAT("A-LIGN finished its review of this control on ",AR185, " during the scheduled fieldwork window (",Intro!$B$4,")."&amp; CHAR(10)&amp; CHAR(10))</f>
        <v xml:space="preserve">A-LIGN finished its review of this control on  during the scheduled fieldwork window (Fieldwork: xx/xx/xxxx - xx/xx/xxxx).
</v>
      </c>
      <c r="AY185" s="3" t="str">
        <f t="shared" si="341"/>
        <v/>
      </c>
      <c r="AZ185" s="3" t="str">
        <f t="shared" si="342"/>
        <v/>
      </c>
      <c r="BA185" s="3" t="str">
        <f t="shared" si="343"/>
        <v/>
      </c>
      <c r="BB185" s="3" t="str">
        <f t="shared" si="344"/>
        <v/>
      </c>
      <c r="BC185" s="3" t="str">
        <f t="shared" si="345"/>
        <v/>
      </c>
      <c r="BD185" s="3" t="str">
        <f t="shared" si="346"/>
        <v xml:space="preserve">Examined the following evidence during fieldwork:
Reviewed evidence addressed the requirement statement.
</v>
      </c>
      <c r="BE185" s="3" t="str">
        <f t="shared" si="347"/>
        <v/>
      </c>
      <c r="BF185" s="3" t="str">
        <f t="shared" si="348"/>
        <v/>
      </c>
      <c r="BG185" s="3" t="str">
        <f>_xlfn.CONCAT((IF((COUNTIF('Sample Tables'!B:B,"Test 030: Change (information system and system components)")&gt;0)=TRUE,_xlfn.CONCAT("Sample test results are documented in ",'Sample Tables'!B326," [",'Sample Tables'!B327,", ",'Sample Tables'!B328,", ",'Sample Tables'!B329,", ",'Sample Tables'!B330,", ",'Sample Tables'!B331,"]."&amp;CHAR(10)),IF((COUNTIF('Sample Tables'!B:B,"Test 030: Change (information system and system components)")&gt;0)=FALSE,""))),)</f>
        <v xml:space="preserve">Sample test results are documented in Test 030: Change (information system and system components) [Population Source/Tool: , Population Date Range: , Population Size: , Sample Methodology: , Sample Size: ].
</v>
      </c>
      <c r="BH185" s="3" t="str">
        <f t="shared" si="349"/>
        <v xml:space="preserve">A-LIGN finished its review of this control on  during the scheduled fieldwork window (Fieldwork: xx/xx/xxxx - xx/xx/xxxx).
Examined the following evidence during fieldwork:
Reviewed evidence addressed the requirement statement.
Sample test results are documented in Test 030: Change (information system and system components) [Population Source/Tool: , Population Date Range: , Population Size: , Sample Methodology: , Sample Size: ].
</v>
      </c>
    </row>
    <row r="186" spans="3:60" ht="362.5" x14ac:dyDescent="0.35">
      <c r="C186" s="1">
        <f t="shared" ref="C186:C187" si="350">IF(V186="No","Not Applicable",(IF(X186="1. Non Compliant (0%)","0",IF(X186="2. Somewhat Compliant (25%)","25",IF(X186="3. Partially Compliant (50%)","50",IF(X186="4. Mostly Compliant (75%)","75",IF(X186="5. Fully Compliant (100%)","100")))))*0.15)+((IF(Y186="1. Non Compliant (0%)","0",IF(Y186="2. Somewhat Compliant (25%)","25",IF(Y186="3. Partially Compliant (50%)","50",IF(Y186="4. Mostly Compliant (75%)","75",IF(Y186="5. Fully Compliant (100%)","100"))))))*0.2)+(IF(Z186="1. Non Compliant (0%)","0",IF(Z186="2. Somewhat Compliant (25%)","25",IF(Z186="3. Partially Compliant (50%)","50",IF(Z186="4. Mostly Compliant (75%)","75",IF(Z186="5. Fully Compliant (100%)","100")))))*0.4)+(IF(AA186="1. Non Compliant (0%)","0",IF(AA186="2. Somewhat Compliant (25%)","25",IF(AA186="3. Partially Compliant (50%)","50",IF(AA186="4. Mostly Compliant (75%)","75",IF(AA186="5. Fully Compliant (100%)","100")))))*0.1)+(IF(AB186="1. Non Compliant (0%)","0",IF(AB186="2. Somewhat Compliant (25%)","25",IF(AB186="3. Partially Compliant (50%)","50",IF(AB186="4. Mostly Compliant (75%)","75",IF(AB186="5. Fully Compliant (100%)","100")))))*0.15))</f>
        <v>40</v>
      </c>
      <c r="D186" s="5" t="str">
        <f>IF(AND((_xlfn.XLOOKUP(J186,'Fields &amp; Revisions'!$H:$H,'Fields &amp; Revisions'!$I:$I))&lt;70.99,(OR(Z186="4. Mostly Compliant (75%)",Z186="3. Partially Compliant (50%)",Z186="2. Somewhat Compliant (25%)",Z186="1. Non Compliant (0%)"))),"Yes","No")</f>
        <v>No</v>
      </c>
      <c r="E186" s="5" t="str">
        <f>IF(ISERROR(VLOOKUP(H186,Scope!A:A,1,FALSE)),"No","Yes")</f>
        <v>Yes</v>
      </c>
      <c r="F186" s="1" t="s">
        <v>5280</v>
      </c>
      <c r="G186" s="53" t="s">
        <v>5412</v>
      </c>
      <c r="H186" s="53" t="s">
        <v>5413</v>
      </c>
      <c r="I186" s="5">
        <v>1</v>
      </c>
      <c r="J186" s="1" t="s">
        <v>5414</v>
      </c>
      <c r="K186" s="1" t="s">
        <v>5415</v>
      </c>
      <c r="L186" s="1" t="s">
        <v>5416</v>
      </c>
      <c r="M186" s="1" t="s">
        <v>5417</v>
      </c>
      <c r="N186" s="5" t="s">
        <v>85</v>
      </c>
      <c r="O186" s="1" t="str">
        <f>_xlfn.XLOOKUP(G186,SRMs!$A:$A,SRMs!$D:$D)</f>
        <v>FULL INHERITANCE</v>
      </c>
      <c r="P186" s="1" t="str">
        <f>IFERROR(VLOOKUP(H186,Inherited!A:B,2,FALSE),"")</f>
        <v/>
      </c>
      <c r="Q186" s="1" t="e">
        <f>IF(MATCH(H186,Inherited!A:A),IF((((_xlfn.XLOOKUP(Assessment!#REF!,Inherited!A:A,Inherited!B:B))/100)*(_xlfn.XLOOKUP(Assessment!#REF!,Inherited!A:A,Inherited!C:C)))+(((100-(_xlfn.XLOOKUP(Assessment!#REF!,Inherited!A:A,Inherited!B:B)))/100)*IF(X186="1.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(100%)","100"))))))&lt;=10,"0", IF(AND((((_xlfn.XLOOKUP(Assessment!#REF!,Inherited!A:A,Inherited!B:B))/100)*(_xlfn.XLOOKUP(Assessment!#REF!,Inherited!A:A,Inherited!C:C)))+(((100-(_xlfn.XLOOKUP(Assessment!#REF!,Inherited!A:A,Inherited!B:B)))/100)*IF(X186="1.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(100%)","100"))))))&gt;=11,(((_xlfn.XLOOKUP(Assessment!#REF!,Inherited!A:A,Inherited!B:B))/100)*(_xlfn.XLOOKUP(Assessment!#REF!,Inherited!A:A,Inherited!C:C)))+(((100-(_xlfn.XLOOKUP(Assessment!#REF!,Inherited!A:A,Inherited!B:B)))/100)*IF(X186="1.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(100%)","100"))))))&lt;=32),"25",IF(AND((((_xlfn.XLOOKUP(Assessment!#REF!,Inherited!A:A,Inherited!B:B))/100)*(_xlfn.XLOOKUP(Assessment!#REF!,Inherited!A:A,Inherited!C:C)))+(((100-(_xlfn.XLOOKUP(Assessment!#REF!,Inherited!A:A,Inherited!B:B)))/100)*IF(X186="1.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(100%)","100"))))))&gt;=33,(((_xlfn.XLOOKUP(Assessment!#REF!,Inherited!A:A,Inherited!B:B))/100)*(_xlfn.XLOOKUP(Assessment!#REF!,Inherited!A:A,Inherited!C:C)))+(((100-(_xlfn.XLOOKUP(Assessment!#REF!,Inherited!A:A,Inherited!B:B)))/100)*IF(X186="1.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(100%)","100"))))))&lt;=65),"50",IF(AND((((_xlfn.XLOOKUP(Assessment!#REF!,Inherited!A:A,Inherited!B:B))/100)*(_xlfn.XLOOKUP(Assessment!#REF!,Inherited!A:A,Inherited!C:C)))+(((100-(_xlfn.XLOOKUP(Assessment!#REF!,Inherited!A:A,Inherited!B:B)))/100)*IF(X186="1.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(100%)","100"))))))&gt;=66,(((_xlfn.XLOOKUP(Assessment!#REF!,Inherited!A:A,Inherited!B:B))/100)*(_xlfn.XLOOKUP(Assessment!#REF!,Inherited!A:A,Inherited!C:C)))+(((100-(_xlfn.XLOOKUP(Assessment!#REF!,Inherited!A:A,Inherited!B:B)))/100)*IF(X186="1.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(100%)","100"))))))&lt;=89),"75",IF((((_xlfn.XLOOKUP(Assessment!#REF!,Inherited!A:A,Inherited!B:B))/100)*(_xlfn.XLOOKUP(Assessment!#REF!,Inherited!A:A,Inherited!C:C)))+(((100-(_xlfn.XLOOKUP(Assessment!#REF!,Inherited!A:A,Inherited!B:B)))/100)*IF(X186="1. Non Compliant (0%)","0",IF(X186="2. Somewhat Compliant (25%)","25",IF(X186="3. Partially Compliant (50%)","50",IF(X186="4. Mostly Compliant (75%)","75",IF(X186="5. Fully Compliant (100%)","100"))))))&gt;=90,"100"))))))</f>
        <v>#N/A</v>
      </c>
      <c r="R186" s="1" t="e">
        <f>IF(MATCH(H186,Inherited!A:A),IF((((_xlfn.XLOOKUP(Assessment!#REF!,Inherited!A:A,Inherited!B:B))/100)*(_xlfn.XLOOKUP(Assessment!#REF!,Inherited!A:A,Inherited!D:D)))+(((100-(_xlfn.XLOOKUP(Assessment!#REF!,Inherited!A:A,Inherited!B:B)))/100)*IF(Y186="1.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(100%)","100"))))))&lt;=10,"0", IF(AND((((_xlfn.XLOOKUP(Assessment!#REF!,Inherited!A:A,Inherited!B:B))/100)*(_xlfn.XLOOKUP(Assessment!#REF!,Inherited!A:A,Inherited!D:D)))+(((100-(_xlfn.XLOOKUP(Assessment!#REF!,Inherited!A:A,Inherited!B:B)))/100)*IF(Y186="1.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(100%)","100"))))))&gt;=11,(((_xlfn.XLOOKUP(Assessment!#REF!,Inherited!A:A,Inherited!B:B))/100)*(_xlfn.XLOOKUP(Assessment!#REF!,Inherited!A:A,Inherited!D:D)))+(((100-(_xlfn.XLOOKUP(Assessment!#REF!,Inherited!A:A,Inherited!B:B)))/100)*IF(Y186="1.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(100%)","100"))))))&lt;=32),"25",IF(AND((((_xlfn.XLOOKUP(Assessment!#REF!,Inherited!A:A,Inherited!B:B))/100)*(_xlfn.XLOOKUP(Assessment!#REF!,Inherited!A:A,Inherited!D:D)))+(((100-(_xlfn.XLOOKUP(Assessment!#REF!,Inherited!A:A,Inherited!B:B)))/100)*IF(Y186="1.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(100%)","100"))))))&gt;=33,(((_xlfn.XLOOKUP(Assessment!#REF!,Inherited!A:A,Inherited!B:B))/100)*(_xlfn.XLOOKUP(Assessment!#REF!,Inherited!A:A,Inherited!D:D)))+(((100-(_xlfn.XLOOKUP(Assessment!#REF!,Inherited!A:A,Inherited!B:B)))/100)*IF(Y186="1.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(100%)","100"))))))&lt;=65),"50",IF(AND((((_xlfn.XLOOKUP(Assessment!#REF!,Inherited!A:A,Inherited!B:B))/100)*(_xlfn.XLOOKUP(Assessment!#REF!,Inherited!A:A,Inherited!D:D)))+(((100-(_xlfn.XLOOKUP(Assessment!#REF!,Inherited!A:A,Inherited!B:B)))/100)*IF(Y186="1.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(100%)","100"))))))&gt;=66,(((_xlfn.XLOOKUP(Assessment!#REF!,Inherited!A:A,Inherited!B:B))/100)*(_xlfn.XLOOKUP(Assessment!#REF!,Inherited!A:A,Inherited!D:D)))+(((100-(_xlfn.XLOOKUP(Assessment!#REF!,Inherited!A:A,Inherited!B:B)))/100)*IF(Y186="1.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(100%)","100"))))))&lt;=89),"75",IF((((_xlfn.XLOOKUP(Assessment!#REF!,Inherited!A:A,Inherited!B:B))/100)*(_xlfn.XLOOKUP(Assessment!#REF!,Inherited!A:A,Inherited!D:D)))+(((100-(_xlfn.XLOOKUP(Assessment!#REF!,Inherited!A:A,Inherited!B:B)))/100)*IF(Y186="1. Non Compliant (0%)","0",IF(Y186="2. Somewhat Compliant (25%)","25",IF(Y186="3. Partially Compliant (50%)","50",IF(Y186="4. Mostly Compliant (75%)","75",IF(Y186="5. Fully Compliant (100%)","100"))))))&gt;=90,"100"))))))</f>
        <v>#N/A</v>
      </c>
      <c r="S186" s="1" t="e">
        <f>IF(MATCH(H186,Inherited!A:A),IF((((_xlfn.XLOOKUP(Assessment!#REF!,Inherited!A:A,Inherited!B:B))/100)*(_xlfn.XLOOKUP(Assessment!#REF!,Inherited!A:A,Inherited!E:E)))+(((100-(_xlfn.XLOOKUP(Assessment!#REF!,Inherited!A:A,Inherited!B:B)))/100)*IF(Z186="1.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(100%)","100"))))))&lt;=10,"0", IF(AND((((_xlfn.XLOOKUP(Assessment!#REF!,Inherited!A:A,Inherited!B:B))/100)*(_xlfn.XLOOKUP(Assessment!#REF!,Inherited!A:A,Inherited!E:E)))+(((100-(_xlfn.XLOOKUP(Assessment!#REF!,Inherited!A:A,Inherited!B:B)))/100)*IF(Z186="1.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(100%)","100"))))))&gt;=11,(((_xlfn.XLOOKUP(Assessment!#REF!,Inherited!A:A,Inherited!B:B))/100)*(_xlfn.XLOOKUP(Assessment!#REF!,Inherited!A:A,Inherited!E:E)))+(((100-(_xlfn.XLOOKUP(Assessment!#REF!,Inherited!A:A,Inherited!B:B)))/100)*IF(Z186="1.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(100%)","100"))))))&lt;=32),"25",IF(AND((((_xlfn.XLOOKUP(Assessment!#REF!,Inherited!A:A,Inherited!B:B))/100)*(_xlfn.XLOOKUP(Assessment!#REF!,Inherited!A:A,Inherited!E:E)))+(((100-(_xlfn.XLOOKUP(Assessment!#REF!,Inherited!A:A,Inherited!B:B)))/100)*IF(Z186="1.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(100%)","100"))))))&gt;=33,(((_xlfn.XLOOKUP(Assessment!#REF!,Inherited!A:A,Inherited!B:B))/100)*(_xlfn.XLOOKUP(Assessment!#REF!,Inherited!A:A,Inherited!E:E)))+(((100-(_xlfn.XLOOKUP(Assessment!#REF!,Inherited!A:A,Inherited!B:B)))/100)*IF(Z186="1.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(100%)","100"))))))&lt;=65),"50",IF(AND((((_xlfn.XLOOKUP(Assessment!#REF!,Inherited!A:A,Inherited!B:B))/100)*(_xlfn.XLOOKUP(Assessment!#REF!,Inherited!A:A,Inherited!E:E)))+(((100-(_xlfn.XLOOKUP(Assessment!#REF!,Inherited!A:A,Inherited!B:B)))/100)*IF(Z186="1.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(100%)","100"))))))&gt;=66,(((_xlfn.XLOOKUP(Assessment!#REF!,Inherited!A:A,Inherited!B:B))/100)*(_xlfn.XLOOKUP(Assessment!#REF!,Inherited!A:A,Inherited!E:E)))+(((100-(_xlfn.XLOOKUP(Assessment!#REF!,Inherited!A:A,Inherited!B:B)))/100)*IF(Z186="1.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(100%)","100"))))))&lt;=89),"75",IF((((_xlfn.XLOOKUP(Assessment!#REF!,Inherited!A:A,Inherited!B:B))/100)*(_xlfn.XLOOKUP(Assessment!#REF!,Inherited!A:A,Inherited!E:E)))+(((100-(_xlfn.XLOOKUP(Assessment!#REF!,Inherited!A:A,Inherited!B:B)))/100)*IF(Z186="1. Non Compliant (0%)","0",IF(Z186="2. Somewhat Compliant (25%)","25",IF(Z186="3. Partially Compliant (50%)","50",IF(Z186="4. Mostly Compliant (75%)","75",IF(Z186="5. Fully Compliant (100%)","100"))))))&gt;=90,"100"))))))</f>
        <v>#N/A</v>
      </c>
      <c r="T186" s="1" t="e">
        <f>IF(MATCH(H186,Inherited!A:A),IF((((_xlfn.XLOOKUP(Assessment!#REF!,Inherited!A:A,Inherited!B:B))/100)*(_xlfn.XLOOKUP(Assessment!#REF!,Inherited!A:A,Inherited!F:F)))+(((100-(_xlfn.XLOOKUP(Assessment!#REF!,Inherited!A:A,Inherited!B:B)))/100)*IF(AA186="1.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(100%)","100"))))))&lt;=10,"0", IF(AND((((_xlfn.XLOOKUP(Assessment!#REF!,Inherited!A:A,Inherited!B:B))/100)*(_xlfn.XLOOKUP(Assessment!#REF!,Inherited!A:A,Inherited!F:F)))+(((100-(_xlfn.XLOOKUP(Assessment!#REF!,Inherited!A:A,Inherited!B:B)))/100)*IF(AA186="1.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(100%)","100"))))))&gt;=11,(((_xlfn.XLOOKUP(Assessment!#REF!,Inherited!A:A,Inherited!B:B))/100)*(_xlfn.XLOOKUP(Assessment!#REF!,Inherited!A:A,Inherited!F:F)))+(((100-(_xlfn.XLOOKUP(Assessment!#REF!,Inherited!A:A,Inherited!B:B)))/100)*IF(AA186="1.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(100%)","100"))))))&lt;=32),"25",IF(AND((((_xlfn.XLOOKUP(Assessment!#REF!,Inherited!A:A,Inherited!B:B))/100)*(_xlfn.XLOOKUP(Assessment!#REF!,Inherited!A:A,Inherited!F:F)))+(((100-(_xlfn.XLOOKUP(Assessment!#REF!,Inherited!A:A,Inherited!B:B)))/100)*IF(AA186="1.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(100%)","100"))))))&gt;=33,(((_xlfn.XLOOKUP(Assessment!#REF!,Inherited!A:A,Inherited!B:B))/100)*(_xlfn.XLOOKUP(Assessment!#REF!,Inherited!A:A,Inherited!F:F)))+(((100-(_xlfn.XLOOKUP(Assessment!#REF!,Inherited!A:A,Inherited!B:B)))/100)*IF(AA186="1.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(100%)","100"))))))&lt;=65),"50",IF(AND((((_xlfn.XLOOKUP(Assessment!#REF!,Inherited!A:A,Inherited!B:B))/100)*(_xlfn.XLOOKUP(Assessment!#REF!,Inherited!A:A,Inherited!F:F)))+(((100-(_xlfn.XLOOKUP(Assessment!#REF!,Inherited!A:A,Inherited!B:B)))/100)*IF(AA186="1.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(100%)","100"))))))&gt;=66,(((_xlfn.XLOOKUP(Assessment!#REF!,Inherited!A:A,Inherited!B:B))/100)*(_xlfn.XLOOKUP(Assessment!#REF!,Inherited!A:A,Inherited!F:F)))+(((100-(_xlfn.XLOOKUP(Assessment!#REF!,Inherited!A:A,Inherited!B:B)))/100)*IF(AA186="1.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(100%)","100"))))))&lt;=89),"75",IF((((_xlfn.XLOOKUP(Assessment!#REF!,Inherited!A:A,Inherited!B:B))/100)*(_xlfn.XLOOKUP(Assessment!#REF!,Inherited!A:A,Inherited!F:F)))+(((100-(_xlfn.XLOOKUP(Assessment!#REF!,Inherited!A:A,Inherited!B:B)))/100)*IF(AA186="1. Non Compliant (0%)","0",IF(AA186="2. Somewhat Compliant (25%)","25",IF(AA186="3. Partially Compliant (50%)","50",IF(AA186="4. Mostly Compliant (75%)","75",IF(AA186="5. Fully Compliant (100%)","100"))))))&gt;=90,"100"))))))</f>
        <v>#N/A</v>
      </c>
      <c r="U186" s="1" t="e">
        <f>IF(MATCH(H186,Inherited!A:A),IF((((_xlfn.XLOOKUP(Assessment!#REF!,Inherited!A:A,Inherited!B:B))/100)*(_xlfn.XLOOKUP(Assessment!#REF!,Inherited!A:A,Inherited!G:G)))+(((100-(_xlfn.XLOOKUP(Assessment!#REF!,Inherited!A:A,Inherited!B:B)))/100)*IF(AB186="1.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(100%)","100"))))))&lt;=10,"0", IF(AND((((_xlfn.XLOOKUP(Assessment!#REF!,Inherited!A:A,Inherited!B:B))/100)*(_xlfn.XLOOKUP(Assessment!#REF!,Inherited!A:A,Inherited!G:G)))+(((100-(_xlfn.XLOOKUP(Assessment!#REF!,Inherited!A:A,Inherited!B:B)))/100)*IF(AB186="1.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(100%)","100"))))))&gt;=11,(((_xlfn.XLOOKUP(Assessment!#REF!,Inherited!A:A,Inherited!B:B))/100)*(_xlfn.XLOOKUP(Assessment!#REF!,Inherited!A:A,Inherited!G:G)))+(((100-(_xlfn.XLOOKUP(Assessment!#REF!,Inherited!A:A,Inherited!B:B)))/100)*IF(AB186="1.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(100%)","100"))))))&lt;=32),"25",IF(AND((((_xlfn.XLOOKUP(Assessment!#REF!,Inherited!A:A,Inherited!B:B))/100)*(_xlfn.XLOOKUP(Assessment!#REF!,Inherited!A:A,Inherited!G:G)))+(((100-(_xlfn.XLOOKUP(Assessment!#REF!,Inherited!A:A,Inherited!B:B)))/100)*IF(AB186="1.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(100%)","100"))))))&gt;=33,(((_xlfn.XLOOKUP(Assessment!#REF!,Inherited!A:A,Inherited!B:B))/100)*(_xlfn.XLOOKUP(Assessment!#REF!,Inherited!A:A,Inherited!G:G)))+(((100-(_xlfn.XLOOKUP(Assessment!#REF!,Inherited!A:A,Inherited!B:B)))/100)*IF(AB186="1.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(100%)","100"))))))&lt;=65),"50",IF(AND((((_xlfn.XLOOKUP(Assessment!#REF!,Inherited!A:A,Inherited!B:B))/100)*(_xlfn.XLOOKUP(Assessment!#REF!,Inherited!A:A,Inherited!G:G)))+(((100-(_xlfn.XLOOKUP(Assessment!#REF!,Inherited!A:A,Inherited!B:B)))/100)*IF(AB186="1.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(100%)","100"))))))&gt;=66,(((_xlfn.XLOOKUP(Assessment!#REF!,Inherited!A:A,Inherited!B:B))/100)*(_xlfn.XLOOKUP(Assessment!#REF!,Inherited!A:A,Inherited!G:G)))+(((100-(_xlfn.XLOOKUP(Assessment!#REF!,Inherited!A:A,Inherited!B:B)))/100)*IF(AB186="1.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(100%)","100"))))))&lt;=89),"75",IF((((_xlfn.XLOOKUP(Assessment!#REF!,Inherited!A:A,Inherited!B:B))/100)*(_xlfn.XLOOKUP(Assessment!#REF!,Inherited!A:A,Inherited!G:G)))+(((100-(_xlfn.XLOOKUP(Assessment!#REF!,Inherited!A:A,Inherited!B:B)))/100)*IF(AB186="1. Non Compliant (0%)","0",IF(AB186="2. Somewhat Compliant (25%)","25",IF(AB186="3. Partially Compliant (50%)","50",IF(AB186="4. Mostly Compliant (75%)","75",IF(AB186="5. Fully Compliant (100%)","100"))))))&gt;=90,"100"))))))</f>
        <v>#N/A</v>
      </c>
      <c r="V186" s="55" t="s">
        <v>85</v>
      </c>
      <c r="W186" s="55"/>
      <c r="X186" s="55"/>
      <c r="Y186" s="55"/>
      <c r="Z186" s="55" t="s">
        <v>86</v>
      </c>
      <c r="AA186" s="55"/>
      <c r="AB186" s="55"/>
      <c r="AK186" s="1" t="s">
        <v>10947</v>
      </c>
      <c r="AM186" s="1" t="s">
        <v>11048</v>
      </c>
      <c r="AX186" s="3" t="str">
        <f>_xlfn.CONCAT("A-LIGN finished its review of this control on ",AR186, " during the scheduled fieldwork window (",Intro!$B$4,")."&amp; CHAR(10)&amp; CHAR(10))</f>
        <v xml:space="preserve">A-LIGN finished its review of this control on  during the scheduled fieldwork window (Fieldwork: xx/xx/xxxx - xx/xx/xxxx).
</v>
      </c>
      <c r="AY186" s="3" t="str">
        <f t="shared" ref="AY186:AY187" si="351">IF(AQ186&lt;&gt;"",(_xlfn.CONCAT("Inheritance note: "&amp; CHAR(10),AQ186&amp; CHAR(10)&amp; CHAR(10))),"")</f>
        <v/>
      </c>
      <c r="AZ186" s="3" t="str">
        <f t="shared" ref="AZ186:AZ187" si="352">IFERROR(IF(AD186&lt;&gt;"",_xlfn.CONCAT("Examined the following policy during fieldwork:"&amp; CHAR(10),AD186&amp; CHAR(10)&amp; CHAR(10),IF(AND(X186&lt;&gt;"5. Fully Compliant (100%)",AE186&lt;&gt;""),"Reviewed policy exception note:"&amp; CHAR(10) &amp; AE186 &amp; CHAR(10) &amp; CHAR(10),"")),""),"")</f>
        <v/>
      </c>
      <c r="BA186" s="3" t="str">
        <f t="shared" ref="BA186:BA187" si="353">IFERROR(IF(AH186&lt;&gt;"",_xlfn.CONCAT("Examined the following process during fieldwork:"&amp; CHAR(10),AH186&amp; CHAR(10)&amp; CHAR(10),IF(AND(Y186&lt;&gt;"5. Fully Compliant (100%)",AI186&lt;&gt;""),"Reviewed process exception note:"&amp; CHAR(10) &amp; AI186 &amp; CHAR(10) &amp; CHAR(10),"")),""),"")</f>
        <v/>
      </c>
      <c r="BB186" s="3" t="str">
        <f t="shared" ref="BB186:BB187" si="354">IF(AK186&lt;&gt;"",(_xlfn.CONCAT("Inquired of the following workforce member: "&amp; CHAR(10),AK186&amp; CHAR(10)&amp; CHAR(10),"Inquiry lead to the following conclusions: "&amp; CHAR(10),AL186&amp; CHAR(10) &amp; CHAR(10))),"")</f>
        <v xml:space="preserve">Inquired of the following workforce member: 
Roze Nicolas - Director of TechOps
Inquiry lead to the following conclusions: 
</v>
      </c>
      <c r="BC186" s="3" t="str">
        <f t="shared" ref="BC186:BC187" si="355">IF(AM186&lt;&gt;"",(_xlfn.CONCAT("Observed the following live during fieldwork: "&amp; CHAR(10),AM186&amp; CHAR(10) &amp; CHAR(10))),"")</f>
        <v xml:space="preserve">Observed the following live during fieldwork: 
Observed a fresh service change ticket which outlines the approval of devices to teleworking users. Observed that a workflow within the ticket includes management approval/authorization.
Also observed a retriever receipt showing that the authorized device was sent to the approved user.
</v>
      </c>
      <c r="BD186" s="3" t="str">
        <f t="shared" ref="BD186:BD187" si="356">_xlfn.CONCAT("Examined the following evidence during fieldwork:"&amp; CHAR(10),AN186&amp; CHAR(10)&amp; CHAR(10),IF(AO186&lt;&gt;"","Reviewed evidence note:"&amp; CHAR(10)&amp;AO186&amp; CHAR(10) &amp; CHAR(10),"Reviewed evidence addressed the requirement statement."&amp; CHAR(10) &amp; CHAR(10)),IF(AND(AP186&lt;&gt;"5. Fully Compliant (100%)",AP186&lt;&gt;""),"Reviewed evidence exception note: "&amp; CHAR(10) &amp; AP186 &amp; CHAR(10) &amp; CHAR(10),""))</f>
        <v xml:space="preserve">Examined the following evidence during fieldwork:
Reviewed evidence addressed the requirement statement.
</v>
      </c>
      <c r="BE186" s="3" t="str">
        <f t="shared" ref="BE186:BE187" si="357">IF(AT186&lt;&gt;"",(_xlfn.CONCAT("Examined the following measure/metric during fieldwork:"&amp; CHAR(10),AT186&amp; CHAR(10)&amp; CHAR(10),"Reviewed measure/metric note:"&amp; CHAR(10),AU186 &amp; CHAR(10) &amp; CHAR(10))),"")</f>
        <v/>
      </c>
      <c r="BF186" s="3" t="str">
        <f t="shared" ref="BF186:BF187" si="358">IF(AV186&lt;&gt;"",(_xlfn.CONCAT("Examined the following measure/metric management during fieldwork:"&amp; CHAR(10),AV186&amp; CHAR(10)&amp; CHAR(10),"Reviewed measure/metric management note:"&amp; CHAR(10),AW186 &amp; CHAR(10) &amp; CHAR(10))),"")</f>
        <v/>
      </c>
      <c r="BG186" s="3" t="str">
        <f>_xlfn.CONCAT((IF((COUNTIF('Sample Tables'!B:B,"Test 053: Endpoint Device (remote with ability to process data)")&gt;0)=TRUE,_xlfn.CONCAT("Sample test results are documented in ",'Sample Tables'!B579," [",'Sample Tables'!B580,", ",'Sample Tables'!B581,", ",'Sample Tables'!B582,", ",'Sample Tables'!B583,", ",'Sample Tables'!B584,"]."&amp;CHAR(10)),IF((COUNTIF('Sample Tables'!B:B,"Test 053: Endpoint Device (remote with ability to process data)")&gt;0)=FALSE,""))),)</f>
        <v xml:space="preserve">Sample test results are documented in Test 053: Endpoint Device (remote with ability to process data) [Population Source/Tool: , Population Date Range: , Population Size: , Sample Methodology: , Sample Size: ].
</v>
      </c>
      <c r="BH186" s="3" t="str">
        <f t="shared" ref="BH186:BH187" si="359">IF(V186="No","Not Applicable: "&amp;W186,(_xlfn.CONCAT(AX186,AY186,AZ186,BA186,BB186,BC186,BD186,BE186,BF186,BG186)))</f>
        <v xml:space="preserve">A-LIGN finished its review of this control on  during the scheduled fieldwork window (Fieldwork: xx/xx/xxxx - xx/xx/xxxx).
Inquired of the following workforce member: 
Roze Nicolas - Director of TechOps
Inquiry lead to the following conclusions: 
Observed the following live during fieldwork: 
Observed a fresh service change ticket which outlines the approval of devices to teleworking users. Observed that a workflow within the ticket includes management approval/authorization.
Also observed a retriever receipt showing that the authorized device was sent to the approved user.
Examined the following evidence during fieldwork:
Reviewed evidence addressed the requirement statement.
Sample test results are documented in Test 053: Endpoint Device (remote with ability to process data) [Population Source/Tool: , Population Date Range: , Population Size: , Sample Methodology: , Sample Size: ].
</v>
      </c>
    </row>
    <row r="187" spans="3:60" ht="409.5" x14ac:dyDescent="0.35">
      <c r="C187" s="1">
        <f t="shared" si="350"/>
        <v>0</v>
      </c>
      <c r="D187" s="5" t="str">
        <f>IF(AND((_xlfn.XLOOKUP(J187,'Fields &amp; Revisions'!$H:$H,'Fields &amp; Revisions'!$I:$I))&lt;70.99,(OR(Z187="4. Mostly Compliant (75%)",Z187="3. Partially Compliant (50%)",Z187="2. Somewhat Compliant (25%)",Z187="1. Non Compliant (0%)"))),"Yes","No")</f>
        <v>Yes</v>
      </c>
      <c r="E187" s="5" t="str">
        <f>IF(ISERROR(VLOOKUP(H187,Scope!A:A,1,FALSE)),"No","Yes")</f>
        <v>Yes</v>
      </c>
      <c r="F187" s="1" t="s">
        <v>5280</v>
      </c>
      <c r="G187" s="53" t="s">
        <v>5429</v>
      </c>
      <c r="H187" s="53" t="s">
        <v>5430</v>
      </c>
      <c r="I187" s="5">
        <v>1</v>
      </c>
      <c r="J187" s="1" t="s">
        <v>5431</v>
      </c>
      <c r="K187" s="1" t="s">
        <v>5432</v>
      </c>
      <c r="L187" s="1" t="s">
        <v>5433</v>
      </c>
      <c r="M187" s="1" t="s">
        <v>5434</v>
      </c>
      <c r="N187" s="5" t="s">
        <v>85</v>
      </c>
      <c r="O187" s="1" t="str">
        <f>_xlfn.XLOOKUP(G187,SRMs!$A:$A,SRMs!$D:$D)</f>
        <v>FULL INHERITANCE</v>
      </c>
      <c r="P187" s="1" t="str">
        <f>IFERROR(VLOOKUP(H187,Inherited!A:B,2,FALSE),"")</f>
        <v/>
      </c>
      <c r="Q187" s="1" t="e">
        <f>IF(MATCH(H187,Inherited!A:A),IF((((_xlfn.XLOOKUP(Assessment!#REF!,Inherited!A:A,Inherited!B:B))/100)*(_xlfn.XLOOKUP(Assessment!#REF!,Inherited!A:A,Inherited!C:C)))+(((100-(_xlfn.XLOOKUP(Assessment!#REF!,Inherited!A:A,Inherited!B:B)))/100)*IF(X187="1.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(100%)","100"))))))&lt;=10,"0", IF(AND((((_xlfn.XLOOKUP(Assessment!#REF!,Inherited!A:A,Inherited!B:B))/100)*(_xlfn.XLOOKUP(Assessment!#REF!,Inherited!A:A,Inherited!C:C)))+(((100-(_xlfn.XLOOKUP(Assessment!#REF!,Inherited!A:A,Inherited!B:B)))/100)*IF(X187="1.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(100%)","100"))))))&gt;=11,(((_xlfn.XLOOKUP(Assessment!#REF!,Inherited!A:A,Inherited!B:B))/100)*(_xlfn.XLOOKUP(Assessment!#REF!,Inherited!A:A,Inherited!C:C)))+(((100-(_xlfn.XLOOKUP(Assessment!#REF!,Inherited!A:A,Inherited!B:B)))/100)*IF(X187="1.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(100%)","100"))))))&lt;=32),"25",IF(AND((((_xlfn.XLOOKUP(Assessment!#REF!,Inherited!A:A,Inherited!B:B))/100)*(_xlfn.XLOOKUP(Assessment!#REF!,Inherited!A:A,Inherited!C:C)))+(((100-(_xlfn.XLOOKUP(Assessment!#REF!,Inherited!A:A,Inherited!B:B)))/100)*IF(X187="1.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(100%)","100"))))))&gt;=33,(((_xlfn.XLOOKUP(Assessment!#REF!,Inherited!A:A,Inherited!B:B))/100)*(_xlfn.XLOOKUP(Assessment!#REF!,Inherited!A:A,Inherited!C:C)))+(((100-(_xlfn.XLOOKUP(Assessment!#REF!,Inherited!A:A,Inherited!B:B)))/100)*IF(X187="1.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(100%)","100"))))))&lt;=65),"50",IF(AND((((_xlfn.XLOOKUP(Assessment!#REF!,Inherited!A:A,Inherited!B:B))/100)*(_xlfn.XLOOKUP(Assessment!#REF!,Inherited!A:A,Inherited!C:C)))+(((100-(_xlfn.XLOOKUP(Assessment!#REF!,Inherited!A:A,Inherited!B:B)))/100)*IF(X187="1.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(100%)","100"))))))&gt;=66,(((_xlfn.XLOOKUP(Assessment!#REF!,Inherited!A:A,Inherited!B:B))/100)*(_xlfn.XLOOKUP(Assessment!#REF!,Inherited!A:A,Inherited!C:C)))+(((100-(_xlfn.XLOOKUP(Assessment!#REF!,Inherited!A:A,Inherited!B:B)))/100)*IF(X187="1.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(100%)","100"))))))&lt;=89),"75",IF((((_xlfn.XLOOKUP(Assessment!#REF!,Inherited!A:A,Inherited!B:B))/100)*(_xlfn.XLOOKUP(Assessment!#REF!,Inherited!A:A,Inherited!C:C)))+(((100-(_xlfn.XLOOKUP(Assessment!#REF!,Inherited!A:A,Inherited!B:B)))/100)*IF(X187="1. Non Compliant (0%)","0",IF(X187="2. Somewhat Compliant (25%)","25",IF(X187="3. Partially Compliant (50%)","50",IF(X187="4. Mostly Compliant (75%)","75",IF(X187="5. Fully Compliant (100%)","100"))))))&gt;=90,"100"))))))</f>
        <v>#N/A</v>
      </c>
      <c r="R187" s="1" t="e">
        <f>IF(MATCH(H187,Inherited!A:A),IF((((_xlfn.XLOOKUP(Assessment!#REF!,Inherited!A:A,Inherited!B:B))/100)*(_xlfn.XLOOKUP(Assessment!#REF!,Inherited!A:A,Inherited!D:D)))+(((100-(_xlfn.XLOOKUP(Assessment!#REF!,Inherited!A:A,Inherited!B:B)))/100)*IF(Y187="1.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(100%)","100"))))))&lt;=10,"0", IF(AND((((_xlfn.XLOOKUP(Assessment!#REF!,Inherited!A:A,Inherited!B:B))/100)*(_xlfn.XLOOKUP(Assessment!#REF!,Inherited!A:A,Inherited!D:D)))+(((100-(_xlfn.XLOOKUP(Assessment!#REF!,Inherited!A:A,Inherited!B:B)))/100)*IF(Y187="1.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(100%)","100"))))))&gt;=11,(((_xlfn.XLOOKUP(Assessment!#REF!,Inherited!A:A,Inherited!B:B))/100)*(_xlfn.XLOOKUP(Assessment!#REF!,Inherited!A:A,Inherited!D:D)))+(((100-(_xlfn.XLOOKUP(Assessment!#REF!,Inherited!A:A,Inherited!B:B)))/100)*IF(Y187="1.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(100%)","100"))))))&lt;=32),"25",IF(AND((((_xlfn.XLOOKUP(Assessment!#REF!,Inherited!A:A,Inherited!B:B))/100)*(_xlfn.XLOOKUP(Assessment!#REF!,Inherited!A:A,Inherited!D:D)))+(((100-(_xlfn.XLOOKUP(Assessment!#REF!,Inherited!A:A,Inherited!B:B)))/100)*IF(Y187="1.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(100%)","100"))))))&gt;=33,(((_xlfn.XLOOKUP(Assessment!#REF!,Inherited!A:A,Inherited!B:B))/100)*(_xlfn.XLOOKUP(Assessment!#REF!,Inherited!A:A,Inherited!D:D)))+(((100-(_xlfn.XLOOKUP(Assessment!#REF!,Inherited!A:A,Inherited!B:B)))/100)*IF(Y187="1.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(100%)","100"))))))&lt;=65),"50",IF(AND((((_xlfn.XLOOKUP(Assessment!#REF!,Inherited!A:A,Inherited!B:B))/100)*(_xlfn.XLOOKUP(Assessment!#REF!,Inherited!A:A,Inherited!D:D)))+(((100-(_xlfn.XLOOKUP(Assessment!#REF!,Inherited!A:A,Inherited!B:B)))/100)*IF(Y187="1.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(100%)","100"))))))&gt;=66,(((_xlfn.XLOOKUP(Assessment!#REF!,Inherited!A:A,Inherited!B:B))/100)*(_xlfn.XLOOKUP(Assessment!#REF!,Inherited!A:A,Inherited!D:D)))+(((100-(_xlfn.XLOOKUP(Assessment!#REF!,Inherited!A:A,Inherited!B:B)))/100)*IF(Y187="1.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(100%)","100"))))))&lt;=89),"75",IF((((_xlfn.XLOOKUP(Assessment!#REF!,Inherited!A:A,Inherited!B:B))/100)*(_xlfn.XLOOKUP(Assessment!#REF!,Inherited!A:A,Inherited!D:D)))+(((100-(_xlfn.XLOOKUP(Assessment!#REF!,Inherited!A:A,Inherited!B:B)))/100)*IF(Y187="1. Non Compliant (0%)","0",IF(Y187="2. Somewhat Compliant (25%)","25",IF(Y187="3. Partially Compliant (50%)","50",IF(Y187="4. Mostly Compliant (75%)","75",IF(Y187="5. Fully Compliant (100%)","100"))))))&gt;=90,"100"))))))</f>
        <v>#N/A</v>
      </c>
      <c r="S187" s="1" t="e">
        <f>IF(MATCH(H187,Inherited!A:A),IF((((_xlfn.XLOOKUP(Assessment!#REF!,Inherited!A:A,Inherited!B:B))/100)*(_xlfn.XLOOKUP(Assessment!#REF!,Inherited!A:A,Inherited!E:E)))+(((100-(_xlfn.XLOOKUP(Assessment!#REF!,Inherited!A:A,Inherited!B:B)))/100)*IF(Z187="1.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(100%)","100"))))))&lt;=10,"0", IF(AND((((_xlfn.XLOOKUP(Assessment!#REF!,Inherited!A:A,Inherited!B:B))/100)*(_xlfn.XLOOKUP(Assessment!#REF!,Inherited!A:A,Inherited!E:E)))+(((100-(_xlfn.XLOOKUP(Assessment!#REF!,Inherited!A:A,Inherited!B:B)))/100)*IF(Z187="1.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(100%)","100"))))))&gt;=11,(((_xlfn.XLOOKUP(Assessment!#REF!,Inherited!A:A,Inherited!B:B))/100)*(_xlfn.XLOOKUP(Assessment!#REF!,Inherited!A:A,Inherited!E:E)))+(((100-(_xlfn.XLOOKUP(Assessment!#REF!,Inherited!A:A,Inherited!B:B)))/100)*IF(Z187="1.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(100%)","100"))))))&lt;=32),"25",IF(AND((((_xlfn.XLOOKUP(Assessment!#REF!,Inherited!A:A,Inherited!B:B))/100)*(_xlfn.XLOOKUP(Assessment!#REF!,Inherited!A:A,Inherited!E:E)))+(((100-(_xlfn.XLOOKUP(Assessment!#REF!,Inherited!A:A,Inherited!B:B)))/100)*IF(Z187="1.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(100%)","100"))))))&gt;=33,(((_xlfn.XLOOKUP(Assessment!#REF!,Inherited!A:A,Inherited!B:B))/100)*(_xlfn.XLOOKUP(Assessment!#REF!,Inherited!A:A,Inherited!E:E)))+(((100-(_xlfn.XLOOKUP(Assessment!#REF!,Inherited!A:A,Inherited!B:B)))/100)*IF(Z187="1.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(100%)","100"))))))&lt;=65),"50",IF(AND((((_xlfn.XLOOKUP(Assessment!#REF!,Inherited!A:A,Inherited!B:B))/100)*(_xlfn.XLOOKUP(Assessment!#REF!,Inherited!A:A,Inherited!E:E)))+(((100-(_xlfn.XLOOKUP(Assessment!#REF!,Inherited!A:A,Inherited!B:B)))/100)*IF(Z187="1.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(100%)","100"))))))&gt;=66,(((_xlfn.XLOOKUP(Assessment!#REF!,Inherited!A:A,Inherited!B:B))/100)*(_xlfn.XLOOKUP(Assessment!#REF!,Inherited!A:A,Inherited!E:E)))+(((100-(_xlfn.XLOOKUP(Assessment!#REF!,Inherited!A:A,Inherited!B:B)))/100)*IF(Z187="1.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(100%)","100"))))))&lt;=89),"75",IF((((_xlfn.XLOOKUP(Assessment!#REF!,Inherited!A:A,Inherited!B:B))/100)*(_xlfn.XLOOKUP(Assessment!#REF!,Inherited!A:A,Inherited!E:E)))+(((100-(_xlfn.XLOOKUP(Assessment!#REF!,Inherited!A:A,Inherited!B:B)))/100)*IF(Z187="1. Non Compliant (0%)","0",IF(Z187="2. Somewhat Compliant (25%)","25",IF(Z187="3. Partially Compliant (50%)","50",IF(Z187="4. Mostly Compliant (75%)","75",IF(Z187="5. Fully Compliant (100%)","100"))))))&gt;=90,"100"))))))</f>
        <v>#N/A</v>
      </c>
      <c r="T187" s="1" t="e">
        <f>IF(MATCH(H187,Inherited!A:A),IF((((_xlfn.XLOOKUP(Assessment!#REF!,Inherited!A:A,Inherited!B:B))/100)*(_xlfn.XLOOKUP(Assessment!#REF!,Inherited!A:A,Inherited!F:F)))+(((100-(_xlfn.XLOOKUP(Assessment!#REF!,Inherited!A:A,Inherited!B:B)))/100)*IF(AA187="1.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(100%)","100"))))))&lt;=10,"0", IF(AND((((_xlfn.XLOOKUP(Assessment!#REF!,Inherited!A:A,Inherited!B:B))/100)*(_xlfn.XLOOKUP(Assessment!#REF!,Inherited!A:A,Inherited!F:F)))+(((100-(_xlfn.XLOOKUP(Assessment!#REF!,Inherited!A:A,Inherited!B:B)))/100)*IF(AA187="1.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(100%)","100"))))))&gt;=11,(((_xlfn.XLOOKUP(Assessment!#REF!,Inherited!A:A,Inherited!B:B))/100)*(_xlfn.XLOOKUP(Assessment!#REF!,Inherited!A:A,Inherited!F:F)))+(((100-(_xlfn.XLOOKUP(Assessment!#REF!,Inherited!A:A,Inherited!B:B)))/100)*IF(AA187="1.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(100%)","100"))))))&lt;=32),"25",IF(AND((((_xlfn.XLOOKUP(Assessment!#REF!,Inherited!A:A,Inherited!B:B))/100)*(_xlfn.XLOOKUP(Assessment!#REF!,Inherited!A:A,Inherited!F:F)))+(((100-(_xlfn.XLOOKUP(Assessment!#REF!,Inherited!A:A,Inherited!B:B)))/100)*IF(AA187="1.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(100%)","100"))))))&gt;=33,(((_xlfn.XLOOKUP(Assessment!#REF!,Inherited!A:A,Inherited!B:B))/100)*(_xlfn.XLOOKUP(Assessment!#REF!,Inherited!A:A,Inherited!F:F)))+(((100-(_xlfn.XLOOKUP(Assessment!#REF!,Inherited!A:A,Inherited!B:B)))/100)*IF(AA187="1.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(100%)","100"))))))&lt;=65),"50",IF(AND((((_xlfn.XLOOKUP(Assessment!#REF!,Inherited!A:A,Inherited!B:B))/100)*(_xlfn.XLOOKUP(Assessment!#REF!,Inherited!A:A,Inherited!F:F)))+(((100-(_xlfn.XLOOKUP(Assessment!#REF!,Inherited!A:A,Inherited!B:B)))/100)*IF(AA187="1.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(100%)","100"))))))&gt;=66,(((_xlfn.XLOOKUP(Assessment!#REF!,Inherited!A:A,Inherited!B:B))/100)*(_xlfn.XLOOKUP(Assessment!#REF!,Inherited!A:A,Inherited!F:F)))+(((100-(_xlfn.XLOOKUP(Assessment!#REF!,Inherited!A:A,Inherited!B:B)))/100)*IF(AA187="1.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(100%)","100"))))))&lt;=89),"75",IF((((_xlfn.XLOOKUP(Assessment!#REF!,Inherited!A:A,Inherited!B:B))/100)*(_xlfn.XLOOKUP(Assessment!#REF!,Inherited!A:A,Inherited!F:F)))+(((100-(_xlfn.XLOOKUP(Assessment!#REF!,Inherited!A:A,Inherited!B:B)))/100)*IF(AA187="1. Non Compliant (0%)","0",IF(AA187="2. Somewhat Compliant (25%)","25",IF(AA187="3. Partially Compliant (50%)","50",IF(AA187="4. Mostly Compliant (75%)","75",IF(AA187="5. Fully Compliant (100%)","100"))))))&gt;=90,"100"))))))</f>
        <v>#N/A</v>
      </c>
      <c r="U187" s="1" t="e">
        <f>IF(MATCH(H187,Inherited!A:A),IF((((_xlfn.XLOOKUP(Assessment!#REF!,Inherited!A:A,Inherited!B:B))/100)*(_xlfn.XLOOKUP(Assessment!#REF!,Inherited!A:A,Inherited!G:G)))+(((100-(_xlfn.XLOOKUP(Assessment!#REF!,Inherited!A:A,Inherited!B:B)))/100)*IF(AB187="1.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(100%)","100"))))))&lt;=10,"0", IF(AND((((_xlfn.XLOOKUP(Assessment!#REF!,Inherited!A:A,Inherited!B:B))/100)*(_xlfn.XLOOKUP(Assessment!#REF!,Inherited!A:A,Inherited!G:G)))+(((100-(_xlfn.XLOOKUP(Assessment!#REF!,Inherited!A:A,Inherited!B:B)))/100)*IF(AB187="1.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(100%)","100"))))))&gt;=11,(((_xlfn.XLOOKUP(Assessment!#REF!,Inherited!A:A,Inherited!B:B))/100)*(_xlfn.XLOOKUP(Assessment!#REF!,Inherited!A:A,Inherited!G:G)))+(((100-(_xlfn.XLOOKUP(Assessment!#REF!,Inherited!A:A,Inherited!B:B)))/100)*IF(AB187="1.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(100%)","100"))))))&lt;=32),"25",IF(AND((((_xlfn.XLOOKUP(Assessment!#REF!,Inherited!A:A,Inherited!B:B))/100)*(_xlfn.XLOOKUP(Assessment!#REF!,Inherited!A:A,Inherited!G:G)))+(((100-(_xlfn.XLOOKUP(Assessment!#REF!,Inherited!A:A,Inherited!B:B)))/100)*IF(AB187="1.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(100%)","100"))))))&gt;=33,(((_xlfn.XLOOKUP(Assessment!#REF!,Inherited!A:A,Inherited!B:B))/100)*(_xlfn.XLOOKUP(Assessment!#REF!,Inherited!A:A,Inherited!G:G)))+(((100-(_xlfn.XLOOKUP(Assessment!#REF!,Inherited!A:A,Inherited!B:B)))/100)*IF(AB187="1.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(100%)","100"))))))&lt;=65),"50",IF(AND((((_xlfn.XLOOKUP(Assessment!#REF!,Inherited!A:A,Inherited!B:B))/100)*(_xlfn.XLOOKUP(Assessment!#REF!,Inherited!A:A,Inherited!G:G)))+(((100-(_xlfn.XLOOKUP(Assessment!#REF!,Inherited!A:A,Inherited!B:B)))/100)*IF(AB187="1.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(100%)","100"))))))&gt;=66,(((_xlfn.XLOOKUP(Assessment!#REF!,Inherited!A:A,Inherited!B:B))/100)*(_xlfn.XLOOKUP(Assessment!#REF!,Inherited!A:A,Inherited!G:G)))+(((100-(_xlfn.XLOOKUP(Assessment!#REF!,Inherited!A:A,Inherited!B:B)))/100)*IF(AB187="1.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(100%)","100"))))))&lt;=89),"75",IF((((_xlfn.XLOOKUP(Assessment!#REF!,Inherited!A:A,Inherited!B:B))/100)*(_xlfn.XLOOKUP(Assessment!#REF!,Inherited!A:A,Inherited!G:G)))+(((100-(_xlfn.XLOOKUP(Assessment!#REF!,Inherited!A:A,Inherited!B:B)))/100)*IF(AB187="1. Non Compliant (0%)","0",IF(AB187="2. Somewhat Compliant (25%)","25",IF(AB187="3. Partially Compliant (50%)","50",IF(AB187="4. Mostly Compliant (75%)","75",IF(AB187="5. Fully Compliant (100%)","100"))))))&gt;=90,"100"))))))</f>
        <v>#N/A</v>
      </c>
      <c r="V187" s="55" t="s">
        <v>85</v>
      </c>
      <c r="W187" s="55"/>
      <c r="X187" s="55"/>
      <c r="Y187" s="55"/>
      <c r="Z187" s="55" t="s">
        <v>10873</v>
      </c>
      <c r="AA187" s="55"/>
      <c r="AB187" s="55"/>
      <c r="AK187" s="1" t="s">
        <v>10947</v>
      </c>
      <c r="AP187" s="1" t="s">
        <v>11023</v>
      </c>
      <c r="AX187" s="3" t="str">
        <f>_xlfn.CONCAT("A-LIGN finished its review of this control on ",AR187, " during the scheduled fieldwork window (",Intro!$B$4,")."&amp; CHAR(10)&amp; CHAR(10))</f>
        <v xml:space="preserve">A-LIGN finished its review of this control on  during the scheduled fieldwork window (Fieldwork: xx/xx/xxxx - xx/xx/xxxx).
</v>
      </c>
      <c r="AY187" s="3" t="str">
        <f t="shared" si="351"/>
        <v/>
      </c>
      <c r="AZ187" s="3" t="str">
        <f t="shared" si="352"/>
        <v/>
      </c>
      <c r="BA187" s="3" t="str">
        <f t="shared" si="353"/>
        <v/>
      </c>
      <c r="BB187" s="3" t="str">
        <f t="shared" si="354"/>
        <v xml:space="preserve">Inquired of the following workforce member: 
Roze Nicolas - Director of TechOps
Inquiry lead to the following conclusions: 
</v>
      </c>
      <c r="BC187" s="3" t="str">
        <f t="shared" si="355"/>
        <v/>
      </c>
      <c r="BD187" s="3" t="str">
        <f t="shared" si="356"/>
        <v xml:space="preserve">Examined the following evidence during fieldwork:
Reviewed evidence addressed the requirement statement.
Reviewed evidence exception note: 
Gap: Requirements not currently outlined and defined.
Recommendation: Management should ensure that a list, process, and training requirements for the removal of equipment (USBs) is formally outlined and defined.
</v>
      </c>
      <c r="BE187" s="3" t="str">
        <f t="shared" si="357"/>
        <v/>
      </c>
      <c r="BF187" s="3" t="str">
        <f t="shared" si="358"/>
        <v/>
      </c>
      <c r="BG187" s="3" t="str">
        <f>_xlfn.CONCAT((IF((COUNTIF('Sample Tables'!B:B,"Test 192: Workforce Member (contractor)")&gt;0)=TRUE,_xlfn.CONCAT("Sample test results are documented in ",'Sample Tables'!B2108," [",'Sample Tables'!B2109,", ",'Sample Tables'!B2110,", ",'Sample Tables'!B2111,", ",'Sample Tables'!B2112,", ",'Sample Tables'!B2113,"]."&amp;CHAR(10)),IF((COUNTIF('Sample Tables'!B:B,"Test 192: Workforce Member (contractor)")&gt;0)=FALSE,""))),(IF((COUNTIF('Sample Tables'!B:B,"Test 193: Workforce Member (employee)")&gt;0)=TRUE,_xlfn.CONCAT("Sample test results are documented in ",'Sample Tables'!B2119," [",'Sample Tables'!B2120,", ",'Sample Tables'!B2121,", ",'Sample Tables'!B2122,", ",'Sample Tables'!B2123,", ",'Sample Tables'!B2124,"]."&amp;CHAR(10)),IF((COUNTIF('Sample Tables'!B:B,"Test 193: Workforce Member (employee)")&gt;0)=FALSE,""))),(IF((COUNTIF('Sample Tables'!B:B,"Test 212: Workforce Member (third party user)")&gt;0)=TRUE,_xlfn.CONCAT("Sample test results are documented in ",'Sample Tables'!B2328," [",'Sample Tables'!B2329,", ",'Sample Tables'!B2330,", ",'Sample Tables'!B2331,", ",'Sample Tables'!B2332,", ",'Sample Tables'!B2333,"]."&amp;CHAR(10)),IF((COUNTIF('Sample Tables'!B:B,"Test 212: Workforce Member (third party user)")&gt;0)=FALSE,""))),)</f>
        <v xml:space="preserve">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212: Workforce Member (third party user) [Population Source/Tool: , Population Date Range: , Population Size: , Sample Methodology: , Sample Size: ].
</v>
      </c>
      <c r="BH187" s="3" t="str">
        <f t="shared" si="359"/>
        <v xml:space="preserve">A-LIGN finished its review of this control on  during the scheduled fieldwork window (Fieldwork: xx/xx/xxxx - xx/xx/xxxx).
Inquired of the following workforce member: 
Roze Nicolas - Director of TechOps
Inquiry lead to the following conclusions: 
Examined the following evidence during fieldwork:
Reviewed evidence addressed the requirement statement.
Reviewed evidence exception note: 
Gap: Requirements not currently outlined and defined.
Recommendation: Management should ensure that a list, process, and training requirements for the removal of equipment (USBs) is formally outlined and defined.
Sample test results are documented in Test 192: Workforce Member (contractor) [Population Source/Tool: , Population Date Range: , Population Size: , Sample Methodology: , Sample Size: ].
Sample test results are documented in Test 193: Workforce Member (employee) [Population Source/Tool: , Population Date Range: , Population Size: , Sample Methodology: , Sample Size: ].
Sample test results are documented in Test 212: Workforce Member (third party user) [Population Source/Tool: , Population Date Range: , Population Size: , Sample Methodology: , Sample Size: ].
</v>
      </c>
    </row>
    <row r="188" spans="3:60" ht="290" x14ac:dyDescent="0.35">
      <c r="C188" s="1">
        <f t="shared" ref="C188:C192" si="360">IF(V188="No","Not Applicable",(IF(X188="1. Non Compliant (0%)","0",IF(X188="2. Somewhat Compliant (25%)","25",IF(X188="3. Partially Compliant (50%)","50",IF(X188="4. Mostly Compliant (75%)","75",IF(X188="5. Fully Compliant (100%)","100")))))*0.15)+((IF(Y188="1. Non Compliant (0%)","0",IF(Y188="2. Somewhat Compliant (25%)","25",IF(Y188="3. Partially Compliant (50%)","50",IF(Y188="4. Mostly Compliant (75%)","75",IF(Y188="5. Fully Compliant (100%)","100"))))))*0.2)+(IF(Z188="1. Non Compliant (0%)","0",IF(Z188="2. Somewhat Compliant (25%)","25",IF(Z188="3. Partially Compliant (50%)","50",IF(Z188="4. Mostly Compliant (75%)","75",IF(Z188="5. Fully Compliant (100%)","100")))))*0.4)+(IF(AA188="1. Non Compliant (0%)","0",IF(AA188="2. Somewhat Compliant (25%)","25",IF(AA188="3. Partially Compliant (50%)","50",IF(AA188="4. Mostly Compliant (75%)","75",IF(AA188="5. Fully Compliant (100%)","100")))))*0.1)+(IF(AB188="1. Non Compliant (0%)","0",IF(AB188="2. Somewhat Compliant (25%)","25",IF(AB188="3. Partially Compliant (50%)","50",IF(AB188="4. Mostly Compliant (75%)","75",IF(AB188="5. Fully Compliant (100%)","100")))))*0.15))</f>
        <v>40</v>
      </c>
      <c r="D188" s="5" t="str">
        <f>IF(AND((_xlfn.XLOOKUP(J188,'Fields &amp; Revisions'!$H:$H,'Fields &amp; Revisions'!$I:$I))&lt;70.99,(OR(Z188="4. Mostly Compliant (75%)",Z188="3. Partially Compliant (50%)",Z188="2. Somewhat Compliant (25%)",Z188="1. Non Compliant (0%)"))),"Yes","No")</f>
        <v>No</v>
      </c>
      <c r="E188" s="5" t="str">
        <f>IF(ISERROR(VLOOKUP(H188,Scope!A:A,1,FALSE)),"No","Yes")</f>
        <v>Yes</v>
      </c>
      <c r="F188" s="1" t="s">
        <v>5280</v>
      </c>
      <c r="G188" s="53" t="s">
        <v>5509</v>
      </c>
      <c r="H188" s="53" t="s">
        <v>5510</v>
      </c>
      <c r="I188" s="5">
        <v>1</v>
      </c>
      <c r="J188" s="1" t="s">
        <v>5289</v>
      </c>
      <c r="K188" s="1" t="s">
        <v>5511</v>
      </c>
      <c r="L188" s="1" t="s">
        <v>5512</v>
      </c>
      <c r="M188" s="1" t="s">
        <v>5513</v>
      </c>
      <c r="N188" s="5" t="s">
        <v>98</v>
      </c>
      <c r="O188" s="1" t="str">
        <f>_xlfn.XLOOKUP(G188,SRMs!$A:$A,SRMs!$D:$D)</f>
        <v>FULL INHERITANCE</v>
      </c>
      <c r="P188" s="1" t="str">
        <f>IFERROR(VLOOKUP(H188,Inherited!A:B,2,FALSE),"")</f>
        <v/>
      </c>
      <c r="Q188" s="1" t="e">
        <f>IF(MATCH(H188,Inherited!A:A),IF((((_xlfn.XLOOKUP(Assessment!#REF!,Inherited!A:A,Inherited!B:B))/100)*(_xlfn.XLOOKUP(Assessment!#REF!,Inherited!A:A,Inherited!C:C)))+(((100-(_xlfn.XLOOKUP(Assessment!#REF!,Inherited!A:A,Inherited!B:B)))/100)*IF(X188="1.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(100%)","100"))))))&lt;=10,"0", IF(AND((((_xlfn.XLOOKUP(Assessment!#REF!,Inherited!A:A,Inherited!B:B))/100)*(_xlfn.XLOOKUP(Assessment!#REF!,Inherited!A:A,Inherited!C:C)))+(((100-(_xlfn.XLOOKUP(Assessment!#REF!,Inherited!A:A,Inherited!B:B)))/100)*IF(X188="1.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(100%)","100"))))))&gt;=11,(((_xlfn.XLOOKUP(Assessment!#REF!,Inherited!A:A,Inherited!B:B))/100)*(_xlfn.XLOOKUP(Assessment!#REF!,Inherited!A:A,Inherited!C:C)))+(((100-(_xlfn.XLOOKUP(Assessment!#REF!,Inherited!A:A,Inherited!B:B)))/100)*IF(X188="1.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(100%)","100"))))))&lt;=32),"25",IF(AND((((_xlfn.XLOOKUP(Assessment!#REF!,Inherited!A:A,Inherited!B:B))/100)*(_xlfn.XLOOKUP(Assessment!#REF!,Inherited!A:A,Inherited!C:C)))+(((100-(_xlfn.XLOOKUP(Assessment!#REF!,Inherited!A:A,Inherited!B:B)))/100)*IF(X188="1.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(100%)","100"))))))&gt;=33,(((_xlfn.XLOOKUP(Assessment!#REF!,Inherited!A:A,Inherited!B:B))/100)*(_xlfn.XLOOKUP(Assessment!#REF!,Inherited!A:A,Inherited!C:C)))+(((100-(_xlfn.XLOOKUP(Assessment!#REF!,Inherited!A:A,Inherited!B:B)))/100)*IF(X188="1.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(100%)","100"))))))&lt;=65),"50",IF(AND((((_xlfn.XLOOKUP(Assessment!#REF!,Inherited!A:A,Inherited!B:B))/100)*(_xlfn.XLOOKUP(Assessment!#REF!,Inherited!A:A,Inherited!C:C)))+(((100-(_xlfn.XLOOKUP(Assessment!#REF!,Inherited!A:A,Inherited!B:B)))/100)*IF(X188="1.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(100%)","100"))))))&gt;=66,(((_xlfn.XLOOKUP(Assessment!#REF!,Inherited!A:A,Inherited!B:B))/100)*(_xlfn.XLOOKUP(Assessment!#REF!,Inherited!A:A,Inherited!C:C)))+(((100-(_xlfn.XLOOKUP(Assessment!#REF!,Inherited!A:A,Inherited!B:B)))/100)*IF(X188="1.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(100%)","100"))))))&lt;=89),"75",IF((((_xlfn.XLOOKUP(Assessment!#REF!,Inherited!A:A,Inherited!B:B))/100)*(_xlfn.XLOOKUP(Assessment!#REF!,Inherited!A:A,Inherited!C:C)))+(((100-(_xlfn.XLOOKUP(Assessment!#REF!,Inherited!A:A,Inherited!B:B)))/100)*IF(X188="1. Non Compliant (0%)","0",IF(X188="2. Somewhat Compliant (25%)","25",IF(X188="3. Partially Compliant (50%)","50",IF(X188="4. Mostly Compliant (75%)","75",IF(X188="5. Fully Compliant (100%)","100"))))))&gt;=90,"100"))))))</f>
        <v>#N/A</v>
      </c>
      <c r="R188" s="1" t="e">
        <f>IF(MATCH(H188,Inherited!A:A),IF((((_xlfn.XLOOKUP(Assessment!#REF!,Inherited!A:A,Inherited!B:B))/100)*(_xlfn.XLOOKUP(Assessment!#REF!,Inherited!A:A,Inherited!D:D)))+(((100-(_xlfn.XLOOKUP(Assessment!#REF!,Inherited!A:A,Inherited!B:B)))/100)*IF(Y188="1.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(100%)","100"))))))&lt;=10,"0", IF(AND((((_xlfn.XLOOKUP(Assessment!#REF!,Inherited!A:A,Inherited!B:B))/100)*(_xlfn.XLOOKUP(Assessment!#REF!,Inherited!A:A,Inherited!D:D)))+(((100-(_xlfn.XLOOKUP(Assessment!#REF!,Inherited!A:A,Inherited!B:B)))/100)*IF(Y188="1.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(100%)","100"))))))&gt;=11,(((_xlfn.XLOOKUP(Assessment!#REF!,Inherited!A:A,Inherited!B:B))/100)*(_xlfn.XLOOKUP(Assessment!#REF!,Inherited!A:A,Inherited!D:D)))+(((100-(_xlfn.XLOOKUP(Assessment!#REF!,Inherited!A:A,Inherited!B:B)))/100)*IF(Y188="1.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(100%)","100"))))))&lt;=32),"25",IF(AND((((_xlfn.XLOOKUP(Assessment!#REF!,Inherited!A:A,Inherited!B:B))/100)*(_xlfn.XLOOKUP(Assessment!#REF!,Inherited!A:A,Inherited!D:D)))+(((100-(_xlfn.XLOOKUP(Assessment!#REF!,Inherited!A:A,Inherited!B:B)))/100)*IF(Y188="1.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(100%)","100"))))))&gt;=33,(((_xlfn.XLOOKUP(Assessment!#REF!,Inherited!A:A,Inherited!B:B))/100)*(_xlfn.XLOOKUP(Assessment!#REF!,Inherited!A:A,Inherited!D:D)))+(((100-(_xlfn.XLOOKUP(Assessment!#REF!,Inherited!A:A,Inherited!B:B)))/100)*IF(Y188="1.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(100%)","100"))))))&lt;=65),"50",IF(AND((((_xlfn.XLOOKUP(Assessment!#REF!,Inherited!A:A,Inherited!B:B))/100)*(_xlfn.XLOOKUP(Assessment!#REF!,Inherited!A:A,Inherited!D:D)))+(((100-(_xlfn.XLOOKUP(Assessment!#REF!,Inherited!A:A,Inherited!B:B)))/100)*IF(Y188="1.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(100%)","100"))))))&gt;=66,(((_xlfn.XLOOKUP(Assessment!#REF!,Inherited!A:A,Inherited!B:B))/100)*(_xlfn.XLOOKUP(Assessment!#REF!,Inherited!A:A,Inherited!D:D)))+(((100-(_xlfn.XLOOKUP(Assessment!#REF!,Inherited!A:A,Inherited!B:B)))/100)*IF(Y188="1.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(100%)","100"))))))&lt;=89),"75",IF((((_xlfn.XLOOKUP(Assessment!#REF!,Inherited!A:A,Inherited!B:B))/100)*(_xlfn.XLOOKUP(Assessment!#REF!,Inherited!A:A,Inherited!D:D)))+(((100-(_xlfn.XLOOKUP(Assessment!#REF!,Inherited!A:A,Inherited!B:B)))/100)*IF(Y188="1. Non Compliant (0%)","0",IF(Y188="2. Somewhat Compliant (25%)","25",IF(Y188="3. Partially Compliant (50%)","50",IF(Y188="4. Mostly Compliant (75%)","75",IF(Y188="5. Fully Compliant (100%)","100"))))))&gt;=90,"100"))))))</f>
        <v>#N/A</v>
      </c>
      <c r="S188" s="1" t="e">
        <f>IF(MATCH(H188,Inherited!A:A),IF((((_xlfn.XLOOKUP(Assessment!#REF!,Inherited!A:A,Inherited!B:B))/100)*(_xlfn.XLOOKUP(Assessment!#REF!,Inherited!A:A,Inherited!E:E)))+(((100-(_xlfn.XLOOKUP(Assessment!#REF!,Inherited!A:A,Inherited!B:B)))/100)*IF(Z188="1.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(100%)","100"))))))&lt;=10,"0", IF(AND((((_xlfn.XLOOKUP(Assessment!#REF!,Inherited!A:A,Inherited!B:B))/100)*(_xlfn.XLOOKUP(Assessment!#REF!,Inherited!A:A,Inherited!E:E)))+(((100-(_xlfn.XLOOKUP(Assessment!#REF!,Inherited!A:A,Inherited!B:B)))/100)*IF(Z188="1.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(100%)","100"))))))&gt;=11,(((_xlfn.XLOOKUP(Assessment!#REF!,Inherited!A:A,Inherited!B:B))/100)*(_xlfn.XLOOKUP(Assessment!#REF!,Inherited!A:A,Inherited!E:E)))+(((100-(_xlfn.XLOOKUP(Assessment!#REF!,Inherited!A:A,Inherited!B:B)))/100)*IF(Z188="1.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(100%)","100"))))))&lt;=32),"25",IF(AND((((_xlfn.XLOOKUP(Assessment!#REF!,Inherited!A:A,Inherited!B:B))/100)*(_xlfn.XLOOKUP(Assessment!#REF!,Inherited!A:A,Inherited!E:E)))+(((100-(_xlfn.XLOOKUP(Assessment!#REF!,Inherited!A:A,Inherited!B:B)))/100)*IF(Z188="1.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(100%)","100"))))))&gt;=33,(((_xlfn.XLOOKUP(Assessment!#REF!,Inherited!A:A,Inherited!B:B))/100)*(_xlfn.XLOOKUP(Assessment!#REF!,Inherited!A:A,Inherited!E:E)))+(((100-(_xlfn.XLOOKUP(Assessment!#REF!,Inherited!A:A,Inherited!B:B)))/100)*IF(Z188="1.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(100%)","100"))))))&lt;=65),"50",IF(AND((((_xlfn.XLOOKUP(Assessment!#REF!,Inherited!A:A,Inherited!B:B))/100)*(_xlfn.XLOOKUP(Assessment!#REF!,Inherited!A:A,Inherited!E:E)))+(((100-(_xlfn.XLOOKUP(Assessment!#REF!,Inherited!A:A,Inherited!B:B)))/100)*IF(Z188="1.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(100%)","100"))))))&gt;=66,(((_xlfn.XLOOKUP(Assessment!#REF!,Inherited!A:A,Inherited!B:B))/100)*(_xlfn.XLOOKUP(Assessment!#REF!,Inherited!A:A,Inherited!E:E)))+(((100-(_xlfn.XLOOKUP(Assessment!#REF!,Inherited!A:A,Inherited!B:B)))/100)*IF(Z188="1.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(100%)","100"))))))&lt;=89),"75",IF((((_xlfn.XLOOKUP(Assessment!#REF!,Inherited!A:A,Inherited!B:B))/100)*(_xlfn.XLOOKUP(Assessment!#REF!,Inherited!A:A,Inherited!E:E)))+(((100-(_xlfn.XLOOKUP(Assessment!#REF!,Inherited!A:A,Inherited!B:B)))/100)*IF(Z188="1. Non Compliant (0%)","0",IF(Z188="2. Somewhat Compliant (25%)","25",IF(Z188="3. Partially Compliant (50%)","50",IF(Z188="4. Mostly Compliant (75%)","75",IF(Z188="5. Fully Compliant (100%)","100"))))))&gt;=90,"100"))))))</f>
        <v>#N/A</v>
      </c>
      <c r="T188" s="1" t="e">
        <f>IF(MATCH(H188,Inherited!A:A),IF((((_xlfn.XLOOKUP(Assessment!#REF!,Inherited!A:A,Inherited!B:B))/100)*(_xlfn.XLOOKUP(Assessment!#REF!,Inherited!A:A,Inherited!F:F)))+(((100-(_xlfn.XLOOKUP(Assessment!#REF!,Inherited!A:A,Inherited!B:B)))/100)*IF(AA188="1.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(100%)","100"))))))&lt;=10,"0", IF(AND((((_xlfn.XLOOKUP(Assessment!#REF!,Inherited!A:A,Inherited!B:B))/100)*(_xlfn.XLOOKUP(Assessment!#REF!,Inherited!A:A,Inherited!F:F)))+(((100-(_xlfn.XLOOKUP(Assessment!#REF!,Inherited!A:A,Inherited!B:B)))/100)*IF(AA188="1.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(100%)","100"))))))&gt;=11,(((_xlfn.XLOOKUP(Assessment!#REF!,Inherited!A:A,Inherited!B:B))/100)*(_xlfn.XLOOKUP(Assessment!#REF!,Inherited!A:A,Inherited!F:F)))+(((100-(_xlfn.XLOOKUP(Assessment!#REF!,Inherited!A:A,Inherited!B:B)))/100)*IF(AA188="1.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(100%)","100"))))))&lt;=32),"25",IF(AND((((_xlfn.XLOOKUP(Assessment!#REF!,Inherited!A:A,Inherited!B:B))/100)*(_xlfn.XLOOKUP(Assessment!#REF!,Inherited!A:A,Inherited!F:F)))+(((100-(_xlfn.XLOOKUP(Assessment!#REF!,Inherited!A:A,Inherited!B:B)))/100)*IF(AA188="1.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(100%)","100"))))))&gt;=33,(((_xlfn.XLOOKUP(Assessment!#REF!,Inherited!A:A,Inherited!B:B))/100)*(_xlfn.XLOOKUP(Assessment!#REF!,Inherited!A:A,Inherited!F:F)))+(((100-(_xlfn.XLOOKUP(Assessment!#REF!,Inherited!A:A,Inherited!B:B)))/100)*IF(AA188="1.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(100%)","100"))))))&lt;=65),"50",IF(AND((((_xlfn.XLOOKUP(Assessment!#REF!,Inherited!A:A,Inherited!B:B))/100)*(_xlfn.XLOOKUP(Assessment!#REF!,Inherited!A:A,Inherited!F:F)))+(((100-(_xlfn.XLOOKUP(Assessment!#REF!,Inherited!A:A,Inherited!B:B)))/100)*IF(AA188="1.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(100%)","100"))))))&gt;=66,(((_xlfn.XLOOKUP(Assessment!#REF!,Inherited!A:A,Inherited!B:B))/100)*(_xlfn.XLOOKUP(Assessment!#REF!,Inherited!A:A,Inherited!F:F)))+(((100-(_xlfn.XLOOKUP(Assessment!#REF!,Inherited!A:A,Inherited!B:B)))/100)*IF(AA188="1.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(100%)","100"))))))&lt;=89),"75",IF((((_xlfn.XLOOKUP(Assessment!#REF!,Inherited!A:A,Inherited!B:B))/100)*(_xlfn.XLOOKUP(Assessment!#REF!,Inherited!A:A,Inherited!F:F)))+(((100-(_xlfn.XLOOKUP(Assessment!#REF!,Inherited!A:A,Inherited!B:B)))/100)*IF(AA188="1. Non Compliant (0%)","0",IF(AA188="2. Somewhat Compliant (25%)","25",IF(AA188="3. Partially Compliant (50%)","50",IF(AA188="4. Mostly Compliant (75%)","75",IF(AA188="5. Fully Compliant (100%)","100"))))))&gt;=90,"100"))))))</f>
        <v>#N/A</v>
      </c>
      <c r="U188" s="1" t="e">
        <f>IF(MATCH(H188,Inherited!A:A),IF((((_xlfn.XLOOKUP(Assessment!#REF!,Inherited!A:A,Inherited!B:B))/100)*(_xlfn.XLOOKUP(Assessment!#REF!,Inherited!A:A,Inherited!G:G)))+(((100-(_xlfn.XLOOKUP(Assessment!#REF!,Inherited!A:A,Inherited!B:B)))/100)*IF(AB188="1.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(100%)","100"))))))&lt;=10,"0", IF(AND((((_xlfn.XLOOKUP(Assessment!#REF!,Inherited!A:A,Inherited!B:B))/100)*(_xlfn.XLOOKUP(Assessment!#REF!,Inherited!A:A,Inherited!G:G)))+(((100-(_xlfn.XLOOKUP(Assessment!#REF!,Inherited!A:A,Inherited!B:B)))/100)*IF(AB188="1.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(100%)","100"))))))&gt;=11,(((_xlfn.XLOOKUP(Assessment!#REF!,Inherited!A:A,Inherited!B:B))/100)*(_xlfn.XLOOKUP(Assessment!#REF!,Inherited!A:A,Inherited!G:G)))+(((100-(_xlfn.XLOOKUP(Assessment!#REF!,Inherited!A:A,Inherited!B:B)))/100)*IF(AB188="1.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(100%)","100"))))))&lt;=32),"25",IF(AND((((_xlfn.XLOOKUP(Assessment!#REF!,Inherited!A:A,Inherited!B:B))/100)*(_xlfn.XLOOKUP(Assessment!#REF!,Inherited!A:A,Inherited!G:G)))+(((100-(_xlfn.XLOOKUP(Assessment!#REF!,Inherited!A:A,Inherited!B:B)))/100)*IF(AB188="1.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(100%)","100"))))))&gt;=33,(((_xlfn.XLOOKUP(Assessment!#REF!,Inherited!A:A,Inherited!B:B))/100)*(_xlfn.XLOOKUP(Assessment!#REF!,Inherited!A:A,Inherited!G:G)))+(((100-(_xlfn.XLOOKUP(Assessment!#REF!,Inherited!A:A,Inherited!B:B)))/100)*IF(AB188="1.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(100%)","100"))))))&lt;=65),"50",IF(AND((((_xlfn.XLOOKUP(Assessment!#REF!,Inherited!A:A,Inherited!B:B))/100)*(_xlfn.XLOOKUP(Assessment!#REF!,Inherited!A:A,Inherited!G:G)))+(((100-(_xlfn.XLOOKUP(Assessment!#REF!,Inherited!A:A,Inherited!B:B)))/100)*IF(AB188="1.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(100%)","100"))))))&gt;=66,(((_xlfn.XLOOKUP(Assessment!#REF!,Inherited!A:A,Inherited!B:B))/100)*(_xlfn.XLOOKUP(Assessment!#REF!,Inherited!A:A,Inherited!G:G)))+(((100-(_xlfn.XLOOKUP(Assessment!#REF!,Inherited!A:A,Inherited!B:B)))/100)*IF(AB188="1.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(100%)","100"))))))&lt;=89),"75",IF((((_xlfn.XLOOKUP(Assessment!#REF!,Inherited!A:A,Inherited!B:B))/100)*(_xlfn.XLOOKUP(Assessment!#REF!,Inherited!A:A,Inherited!G:G)))+(((100-(_xlfn.XLOOKUP(Assessment!#REF!,Inherited!A:A,Inherited!B:B)))/100)*IF(AB188="1. Non Compliant (0%)","0",IF(AB188="2. Somewhat Compliant (25%)","25",IF(AB188="3. Partially Compliant (50%)","50",IF(AB188="4. Mostly Compliant (75%)","75",IF(AB188="5. Fully Compliant (100%)","100"))))))&gt;=90,"100"))))))</f>
        <v>#N/A</v>
      </c>
      <c r="V188" s="55" t="s">
        <v>85</v>
      </c>
      <c r="W188" s="55"/>
      <c r="X188" s="55"/>
      <c r="Y188" s="55"/>
      <c r="Z188" s="55" t="s">
        <v>86</v>
      </c>
      <c r="AA188" s="55"/>
      <c r="AB188" s="55"/>
      <c r="AK188" s="1" t="s">
        <v>10947</v>
      </c>
      <c r="AQ188" s="1" t="s">
        <v>11024</v>
      </c>
      <c r="AX188" s="3" t="str">
        <f>_xlfn.CONCAT("A-LIGN finished its review of this control on ",AR188, " during the scheduled fieldwork window (",Intro!$B$4,")."&amp; CHAR(10)&amp; CHAR(10))</f>
        <v xml:space="preserve">A-LIGN finished its review of this control on  during the scheduled fieldwork window (Fieldwork: xx/xx/xxxx - xx/xx/xxxx).
</v>
      </c>
      <c r="AY188" s="3" t="str">
        <f t="shared" ref="AY188:AY192" si="361">IF(AQ188&lt;&gt;"",(_xlfn.CONCAT("Inheritance note: "&amp; CHAR(10),AQ188&amp; CHAR(10)&amp; CHAR(10))),"")</f>
        <v xml:space="preserve">Inheritance note: 
Fully inherited between GCP and Azure.
</v>
      </c>
      <c r="AZ188" s="3" t="str">
        <f t="shared" ref="AZ188:AZ192" si="362">IFERROR(IF(AD188&lt;&gt;"",_xlfn.CONCAT("Examined the following policy during fieldwork:"&amp; CHAR(10),AD188&amp; CHAR(10)&amp; CHAR(10),IF(AND(X188&lt;&gt;"5. Fully Compliant (100%)",AE188&lt;&gt;""),"Reviewed policy exception note:"&amp; CHAR(10) &amp; AE188 &amp; CHAR(10) &amp; CHAR(10),"")),""),"")</f>
        <v/>
      </c>
      <c r="BA188" s="3" t="str">
        <f t="shared" ref="BA188:BA192" si="363">IFERROR(IF(AH188&lt;&gt;"",_xlfn.CONCAT("Examined the following process during fieldwork:"&amp; CHAR(10),AH188&amp; CHAR(10)&amp; CHAR(10),IF(AND(Y188&lt;&gt;"5. Fully Compliant (100%)",AI188&lt;&gt;""),"Reviewed process exception note:"&amp; CHAR(10) &amp; AI188 &amp; CHAR(10) &amp; CHAR(10),"")),""),"")</f>
        <v/>
      </c>
      <c r="BB188" s="3" t="str">
        <f t="shared" ref="BB188:BB192" si="364">IF(AK188&lt;&gt;"",(_xlfn.CONCAT("Inquired of the following workforce member: "&amp; CHAR(10),AK188&amp; CHAR(10)&amp; CHAR(10),"Inquiry lead to the following conclusions: "&amp; CHAR(10),AL188&amp; CHAR(10) &amp; CHAR(10))),"")</f>
        <v xml:space="preserve">Inquired of the following workforce member: 
Roze Nicolas - Director of TechOps
Inquiry lead to the following conclusions: 
</v>
      </c>
      <c r="BC188" s="3" t="str">
        <f t="shared" ref="BC188:BC192" si="365">IF(AM188&lt;&gt;"",(_xlfn.CONCAT("Observed the following live during fieldwork: "&amp; CHAR(10),AM188&amp; CHAR(10) &amp; CHAR(10))),"")</f>
        <v/>
      </c>
      <c r="BD188" s="3" t="str">
        <f t="shared" ref="BD188:BD192" si="366">_xlfn.CONCAT("Examined the following evidence during fieldwork:"&amp; CHAR(10),AN188&amp; CHAR(10)&amp; CHAR(10),IF(AO188&lt;&gt;"","Reviewed evidence note:"&amp; CHAR(10)&amp;AO188&amp; CHAR(10) &amp; CHAR(10),"Reviewed evidence addressed the requirement statement."&amp; CHAR(10) &amp; CHAR(10)),IF(AND(AP188&lt;&gt;"5. Fully Compliant (100%)",AP188&lt;&gt;""),"Reviewed evidence exception note: "&amp; CHAR(10) &amp; AP188 &amp; CHAR(10) &amp; CHAR(10),""))</f>
        <v xml:space="preserve">Examined the following evidence during fieldwork:
Reviewed evidence addressed the requirement statement.
</v>
      </c>
      <c r="BE188" s="3" t="str">
        <f t="shared" ref="BE188:BE192" si="367">IF(AT188&lt;&gt;"",(_xlfn.CONCAT("Examined the following measure/metric during fieldwork:"&amp; CHAR(10),AT188&amp; CHAR(10)&amp; CHAR(10),"Reviewed measure/metric note:"&amp; CHAR(10),AU188 &amp; CHAR(10) &amp; CHAR(10))),"")</f>
        <v/>
      </c>
      <c r="BF188" s="3" t="str">
        <f t="shared" ref="BF188:BF192" si="368">IF(AV188&lt;&gt;"",(_xlfn.CONCAT("Examined the following measure/metric management during fieldwork:"&amp; CHAR(10),AV188&amp; CHAR(10)&amp; CHAR(10),"Reviewed measure/metric management note:"&amp; CHAR(10),AW188 &amp; CHAR(10) &amp; CHAR(10))),"")</f>
        <v/>
      </c>
      <c r="BG188" s="3" t="str">
        <f>_xlfn.CONCAT((IF((COUNTIF('Sample Tables'!B:B,"")&gt;0)=TRUE,_xlfn.CONCAT("",""),IF((COUNTIF('Sample Tables'!B:B,"")&gt;0)=FALSE,""))),)</f>
        <v/>
      </c>
      <c r="BH188" s="3" t="str">
        <f t="shared" ref="BH188:BH192" si="369">IF(V188="No","Not Applicable: "&amp;W188,(_xlfn.CONCAT(AX188,AY188,AZ188,BA188,BB188,BC188,BD188,BE188,BF188,BG188)))</f>
        <v xml:space="preserve">A-LIGN finished its review of this control on  during the scheduled fieldwork window (Fieldwork: xx/xx/xxxx - xx/xx/xxxx).
Inheritance note: 
Fully inherited between GCP and Azure.
Inquired of the following workforce member: 
Roze Nicolas - Director of TechOps
Inquiry lead to the following conclusions: 
Examined the following evidence during fieldwork:
Reviewed evidence addressed the requirement statement.
</v>
      </c>
    </row>
    <row r="189" spans="3:60" ht="300" x14ac:dyDescent="0.35">
      <c r="C189" s="1">
        <f t="shared" si="360"/>
        <v>0</v>
      </c>
      <c r="D189" s="5" t="str">
        <f>IF(AND((_xlfn.XLOOKUP(J189,'Fields &amp; Revisions'!$H:$H,'Fields &amp; Revisions'!$I:$I))&lt;70.99,(OR(Z189="4. Mostly Compliant (75%)",Z189="3. Partially Compliant (50%)",Z189="2. Somewhat Compliant (25%)",Z189="1. Non Compliant (0%)"))),"Yes","No")</f>
        <v>Yes</v>
      </c>
      <c r="E189" s="5" t="str">
        <f>IF(ISERROR(VLOOKUP(H189,Scope!A:A,1,FALSE)),"No","Yes")</f>
        <v>Yes</v>
      </c>
      <c r="F189" s="1" t="s">
        <v>5280</v>
      </c>
      <c r="G189" s="53" t="s">
        <v>5570</v>
      </c>
      <c r="H189" s="53" t="s">
        <v>5571</v>
      </c>
      <c r="I189" s="5">
        <v>1</v>
      </c>
      <c r="J189" s="1" t="s">
        <v>5572</v>
      </c>
      <c r="K189" s="1" t="s">
        <v>5573</v>
      </c>
      <c r="L189" s="1" t="s">
        <v>5574</v>
      </c>
      <c r="M189" s="1" t="s">
        <v>5575</v>
      </c>
      <c r="N189" s="5" t="s">
        <v>98</v>
      </c>
      <c r="O189" s="1" t="str">
        <f>_xlfn.XLOOKUP(G189,SRMs!$A:$A,SRMs!$D:$D)</f>
        <v>FULL INHERITANCE</v>
      </c>
      <c r="P189" s="1" t="str">
        <f>IFERROR(VLOOKUP(H189,Inherited!A:B,2,FALSE),"")</f>
        <v/>
      </c>
      <c r="Q189" s="1" t="e">
        <f>IF(MATCH(H189,Inherited!A:A),IF((((_xlfn.XLOOKUP(Assessment!#REF!,Inherited!A:A,Inherited!B:B))/100)*(_xlfn.XLOOKUP(Assessment!#REF!,Inherited!A:A,Inherited!C:C)))+(((100-(_xlfn.XLOOKUP(Assessment!#REF!,Inherited!A:A,Inherited!B:B)))/100)*IF(X189="1.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(100%)","100"))))))&lt;=10,"0", IF(AND((((_xlfn.XLOOKUP(Assessment!#REF!,Inherited!A:A,Inherited!B:B))/100)*(_xlfn.XLOOKUP(Assessment!#REF!,Inherited!A:A,Inherited!C:C)))+(((100-(_xlfn.XLOOKUP(Assessment!#REF!,Inherited!A:A,Inherited!B:B)))/100)*IF(X189="1.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(100%)","100"))))))&gt;=11,(((_xlfn.XLOOKUP(Assessment!#REF!,Inherited!A:A,Inherited!B:B))/100)*(_xlfn.XLOOKUP(Assessment!#REF!,Inherited!A:A,Inherited!C:C)))+(((100-(_xlfn.XLOOKUP(Assessment!#REF!,Inherited!A:A,Inherited!B:B)))/100)*IF(X189="1.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(100%)","100"))))))&lt;=32),"25",IF(AND((((_xlfn.XLOOKUP(Assessment!#REF!,Inherited!A:A,Inherited!B:B))/100)*(_xlfn.XLOOKUP(Assessment!#REF!,Inherited!A:A,Inherited!C:C)))+(((100-(_xlfn.XLOOKUP(Assessment!#REF!,Inherited!A:A,Inherited!B:B)))/100)*IF(X189="1.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(100%)","100"))))))&gt;=33,(((_xlfn.XLOOKUP(Assessment!#REF!,Inherited!A:A,Inherited!B:B))/100)*(_xlfn.XLOOKUP(Assessment!#REF!,Inherited!A:A,Inherited!C:C)))+(((100-(_xlfn.XLOOKUP(Assessment!#REF!,Inherited!A:A,Inherited!B:B)))/100)*IF(X189="1.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(100%)","100"))))))&lt;=65),"50",IF(AND((((_xlfn.XLOOKUP(Assessment!#REF!,Inherited!A:A,Inherited!B:B))/100)*(_xlfn.XLOOKUP(Assessment!#REF!,Inherited!A:A,Inherited!C:C)))+(((100-(_xlfn.XLOOKUP(Assessment!#REF!,Inherited!A:A,Inherited!B:B)))/100)*IF(X189="1.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(100%)","100"))))))&gt;=66,(((_xlfn.XLOOKUP(Assessment!#REF!,Inherited!A:A,Inherited!B:B))/100)*(_xlfn.XLOOKUP(Assessment!#REF!,Inherited!A:A,Inherited!C:C)))+(((100-(_xlfn.XLOOKUP(Assessment!#REF!,Inherited!A:A,Inherited!B:B)))/100)*IF(X189="1.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(100%)","100"))))))&lt;=89),"75",IF((((_xlfn.XLOOKUP(Assessment!#REF!,Inherited!A:A,Inherited!B:B))/100)*(_xlfn.XLOOKUP(Assessment!#REF!,Inherited!A:A,Inherited!C:C)))+(((100-(_xlfn.XLOOKUP(Assessment!#REF!,Inherited!A:A,Inherited!B:B)))/100)*IF(X189="1. Non Compliant (0%)","0",IF(X189="2. Somewhat Compliant (25%)","25",IF(X189="3. Partially Compliant (50%)","50",IF(X189="4. Mostly Compliant (75%)","75",IF(X189="5. Fully Compliant (100%)","100"))))))&gt;=90,"100"))))))</f>
        <v>#N/A</v>
      </c>
      <c r="R189" s="1" t="e">
        <f>IF(MATCH(H189,Inherited!A:A),IF((((_xlfn.XLOOKUP(Assessment!#REF!,Inherited!A:A,Inherited!B:B))/100)*(_xlfn.XLOOKUP(Assessment!#REF!,Inherited!A:A,Inherited!D:D)))+(((100-(_xlfn.XLOOKUP(Assessment!#REF!,Inherited!A:A,Inherited!B:B)))/100)*IF(Y189="1.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(100%)","100"))))))&lt;=10,"0", IF(AND((((_xlfn.XLOOKUP(Assessment!#REF!,Inherited!A:A,Inherited!B:B))/100)*(_xlfn.XLOOKUP(Assessment!#REF!,Inherited!A:A,Inherited!D:D)))+(((100-(_xlfn.XLOOKUP(Assessment!#REF!,Inherited!A:A,Inherited!B:B)))/100)*IF(Y189="1.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(100%)","100"))))))&gt;=11,(((_xlfn.XLOOKUP(Assessment!#REF!,Inherited!A:A,Inherited!B:B))/100)*(_xlfn.XLOOKUP(Assessment!#REF!,Inherited!A:A,Inherited!D:D)))+(((100-(_xlfn.XLOOKUP(Assessment!#REF!,Inherited!A:A,Inherited!B:B)))/100)*IF(Y189="1.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(100%)","100"))))))&lt;=32),"25",IF(AND((((_xlfn.XLOOKUP(Assessment!#REF!,Inherited!A:A,Inherited!B:B))/100)*(_xlfn.XLOOKUP(Assessment!#REF!,Inherited!A:A,Inherited!D:D)))+(((100-(_xlfn.XLOOKUP(Assessment!#REF!,Inherited!A:A,Inherited!B:B)))/100)*IF(Y189="1.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(100%)","100"))))))&gt;=33,(((_xlfn.XLOOKUP(Assessment!#REF!,Inherited!A:A,Inherited!B:B))/100)*(_xlfn.XLOOKUP(Assessment!#REF!,Inherited!A:A,Inherited!D:D)))+(((100-(_xlfn.XLOOKUP(Assessment!#REF!,Inherited!A:A,Inherited!B:B)))/100)*IF(Y189="1.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(100%)","100"))))))&lt;=65),"50",IF(AND((((_xlfn.XLOOKUP(Assessment!#REF!,Inherited!A:A,Inherited!B:B))/100)*(_xlfn.XLOOKUP(Assessment!#REF!,Inherited!A:A,Inherited!D:D)))+(((100-(_xlfn.XLOOKUP(Assessment!#REF!,Inherited!A:A,Inherited!B:B)))/100)*IF(Y189="1.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(100%)","100"))))))&gt;=66,(((_xlfn.XLOOKUP(Assessment!#REF!,Inherited!A:A,Inherited!B:B))/100)*(_xlfn.XLOOKUP(Assessment!#REF!,Inherited!A:A,Inherited!D:D)))+(((100-(_xlfn.XLOOKUP(Assessment!#REF!,Inherited!A:A,Inherited!B:B)))/100)*IF(Y189="1.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(100%)","100"))))))&lt;=89),"75",IF((((_xlfn.XLOOKUP(Assessment!#REF!,Inherited!A:A,Inherited!B:B))/100)*(_xlfn.XLOOKUP(Assessment!#REF!,Inherited!A:A,Inherited!D:D)))+(((100-(_xlfn.XLOOKUP(Assessment!#REF!,Inherited!A:A,Inherited!B:B)))/100)*IF(Y189="1. Non Compliant (0%)","0",IF(Y189="2. Somewhat Compliant (25%)","25",IF(Y189="3. Partially Compliant (50%)","50",IF(Y189="4. Mostly Compliant (75%)","75",IF(Y189="5. Fully Compliant (100%)","100"))))))&gt;=90,"100"))))))</f>
        <v>#N/A</v>
      </c>
      <c r="S189" s="1" t="e">
        <f>IF(MATCH(H189,Inherited!A:A),IF((((_xlfn.XLOOKUP(Assessment!#REF!,Inherited!A:A,Inherited!B:B))/100)*(_xlfn.XLOOKUP(Assessment!#REF!,Inherited!A:A,Inherited!E:E)))+(((100-(_xlfn.XLOOKUP(Assessment!#REF!,Inherited!A:A,Inherited!B:B)))/100)*IF(Z189="1.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(100%)","100"))))))&lt;=10,"0", IF(AND((((_xlfn.XLOOKUP(Assessment!#REF!,Inherited!A:A,Inherited!B:B))/100)*(_xlfn.XLOOKUP(Assessment!#REF!,Inherited!A:A,Inherited!E:E)))+(((100-(_xlfn.XLOOKUP(Assessment!#REF!,Inherited!A:A,Inherited!B:B)))/100)*IF(Z189="1.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(100%)","100"))))))&gt;=11,(((_xlfn.XLOOKUP(Assessment!#REF!,Inherited!A:A,Inherited!B:B))/100)*(_xlfn.XLOOKUP(Assessment!#REF!,Inherited!A:A,Inherited!E:E)))+(((100-(_xlfn.XLOOKUP(Assessment!#REF!,Inherited!A:A,Inherited!B:B)))/100)*IF(Z189="1.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(100%)","100"))))))&lt;=32),"25",IF(AND((((_xlfn.XLOOKUP(Assessment!#REF!,Inherited!A:A,Inherited!B:B))/100)*(_xlfn.XLOOKUP(Assessment!#REF!,Inherited!A:A,Inherited!E:E)))+(((100-(_xlfn.XLOOKUP(Assessment!#REF!,Inherited!A:A,Inherited!B:B)))/100)*IF(Z189="1.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(100%)","100"))))))&gt;=33,(((_xlfn.XLOOKUP(Assessment!#REF!,Inherited!A:A,Inherited!B:B))/100)*(_xlfn.XLOOKUP(Assessment!#REF!,Inherited!A:A,Inherited!E:E)))+(((100-(_xlfn.XLOOKUP(Assessment!#REF!,Inherited!A:A,Inherited!B:B)))/100)*IF(Z189="1.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(100%)","100"))))))&lt;=65),"50",IF(AND((((_xlfn.XLOOKUP(Assessment!#REF!,Inherited!A:A,Inherited!B:B))/100)*(_xlfn.XLOOKUP(Assessment!#REF!,Inherited!A:A,Inherited!E:E)))+(((100-(_xlfn.XLOOKUP(Assessment!#REF!,Inherited!A:A,Inherited!B:B)))/100)*IF(Z189="1.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(100%)","100"))))))&gt;=66,(((_xlfn.XLOOKUP(Assessment!#REF!,Inherited!A:A,Inherited!B:B))/100)*(_xlfn.XLOOKUP(Assessment!#REF!,Inherited!A:A,Inherited!E:E)))+(((100-(_xlfn.XLOOKUP(Assessment!#REF!,Inherited!A:A,Inherited!B:B)))/100)*IF(Z189="1.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(100%)","100"))))))&lt;=89),"75",IF((((_xlfn.XLOOKUP(Assessment!#REF!,Inherited!A:A,Inherited!B:B))/100)*(_xlfn.XLOOKUP(Assessment!#REF!,Inherited!A:A,Inherited!E:E)))+(((100-(_xlfn.XLOOKUP(Assessment!#REF!,Inherited!A:A,Inherited!B:B)))/100)*IF(Z189="1. Non Compliant (0%)","0",IF(Z189="2. Somewhat Compliant (25%)","25",IF(Z189="3. Partially Compliant (50%)","50",IF(Z189="4. Mostly Compliant (75%)","75",IF(Z189="5. Fully Compliant (100%)","100"))))))&gt;=90,"100"))))))</f>
        <v>#N/A</v>
      </c>
      <c r="T189" s="1" t="e">
        <f>IF(MATCH(H189,Inherited!A:A),IF((((_xlfn.XLOOKUP(Assessment!#REF!,Inherited!A:A,Inherited!B:B))/100)*(_xlfn.XLOOKUP(Assessment!#REF!,Inherited!A:A,Inherited!F:F)))+(((100-(_xlfn.XLOOKUP(Assessment!#REF!,Inherited!A:A,Inherited!B:B)))/100)*IF(AA189="1.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(100%)","100"))))))&lt;=10,"0", IF(AND((((_xlfn.XLOOKUP(Assessment!#REF!,Inherited!A:A,Inherited!B:B))/100)*(_xlfn.XLOOKUP(Assessment!#REF!,Inherited!A:A,Inherited!F:F)))+(((100-(_xlfn.XLOOKUP(Assessment!#REF!,Inherited!A:A,Inherited!B:B)))/100)*IF(AA189="1.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(100%)","100"))))))&gt;=11,(((_xlfn.XLOOKUP(Assessment!#REF!,Inherited!A:A,Inherited!B:B))/100)*(_xlfn.XLOOKUP(Assessment!#REF!,Inherited!A:A,Inherited!F:F)))+(((100-(_xlfn.XLOOKUP(Assessment!#REF!,Inherited!A:A,Inherited!B:B)))/100)*IF(AA189="1.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(100%)","100"))))))&lt;=32),"25",IF(AND((((_xlfn.XLOOKUP(Assessment!#REF!,Inherited!A:A,Inherited!B:B))/100)*(_xlfn.XLOOKUP(Assessment!#REF!,Inherited!A:A,Inherited!F:F)))+(((100-(_xlfn.XLOOKUP(Assessment!#REF!,Inherited!A:A,Inherited!B:B)))/100)*IF(AA189="1.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(100%)","100"))))))&gt;=33,(((_xlfn.XLOOKUP(Assessment!#REF!,Inherited!A:A,Inherited!B:B))/100)*(_xlfn.XLOOKUP(Assessment!#REF!,Inherited!A:A,Inherited!F:F)))+(((100-(_xlfn.XLOOKUP(Assessment!#REF!,Inherited!A:A,Inherited!B:B)))/100)*IF(AA189="1.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(100%)","100"))))))&lt;=65),"50",IF(AND((((_xlfn.XLOOKUP(Assessment!#REF!,Inherited!A:A,Inherited!B:B))/100)*(_xlfn.XLOOKUP(Assessment!#REF!,Inherited!A:A,Inherited!F:F)))+(((100-(_xlfn.XLOOKUP(Assessment!#REF!,Inherited!A:A,Inherited!B:B)))/100)*IF(AA189="1.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(100%)","100"))))))&gt;=66,(((_xlfn.XLOOKUP(Assessment!#REF!,Inherited!A:A,Inherited!B:B))/100)*(_xlfn.XLOOKUP(Assessment!#REF!,Inherited!A:A,Inherited!F:F)))+(((100-(_xlfn.XLOOKUP(Assessment!#REF!,Inherited!A:A,Inherited!B:B)))/100)*IF(AA189="1.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(100%)","100"))))))&lt;=89),"75",IF((((_xlfn.XLOOKUP(Assessment!#REF!,Inherited!A:A,Inherited!B:B))/100)*(_xlfn.XLOOKUP(Assessment!#REF!,Inherited!A:A,Inherited!F:F)))+(((100-(_xlfn.XLOOKUP(Assessment!#REF!,Inherited!A:A,Inherited!B:B)))/100)*IF(AA189="1. Non Compliant (0%)","0",IF(AA189="2. Somewhat Compliant (25%)","25",IF(AA189="3. Partially Compliant (50%)","50",IF(AA189="4. Mostly Compliant (75%)","75",IF(AA189="5. Fully Compliant (100%)","100"))))))&gt;=90,"100"))))))</f>
        <v>#N/A</v>
      </c>
      <c r="U189" s="1" t="e">
        <f>IF(MATCH(H189,Inherited!A:A),IF((((_xlfn.XLOOKUP(Assessment!#REF!,Inherited!A:A,Inherited!B:B))/100)*(_xlfn.XLOOKUP(Assessment!#REF!,Inherited!A:A,Inherited!G:G)))+(((100-(_xlfn.XLOOKUP(Assessment!#REF!,Inherited!A:A,Inherited!B:B)))/100)*IF(AB189="1.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(100%)","100"))))))&lt;=10,"0", IF(AND((((_xlfn.XLOOKUP(Assessment!#REF!,Inherited!A:A,Inherited!B:B))/100)*(_xlfn.XLOOKUP(Assessment!#REF!,Inherited!A:A,Inherited!G:G)))+(((100-(_xlfn.XLOOKUP(Assessment!#REF!,Inherited!A:A,Inherited!B:B)))/100)*IF(AB189="1.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(100%)","100"))))))&gt;=11,(((_xlfn.XLOOKUP(Assessment!#REF!,Inherited!A:A,Inherited!B:B))/100)*(_xlfn.XLOOKUP(Assessment!#REF!,Inherited!A:A,Inherited!G:G)))+(((100-(_xlfn.XLOOKUP(Assessment!#REF!,Inherited!A:A,Inherited!B:B)))/100)*IF(AB189="1.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(100%)","100"))))))&lt;=32),"25",IF(AND((((_xlfn.XLOOKUP(Assessment!#REF!,Inherited!A:A,Inherited!B:B))/100)*(_xlfn.XLOOKUP(Assessment!#REF!,Inherited!A:A,Inherited!G:G)))+(((100-(_xlfn.XLOOKUP(Assessment!#REF!,Inherited!A:A,Inherited!B:B)))/100)*IF(AB189="1.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(100%)","100"))))))&gt;=33,(((_xlfn.XLOOKUP(Assessment!#REF!,Inherited!A:A,Inherited!B:B))/100)*(_xlfn.XLOOKUP(Assessment!#REF!,Inherited!A:A,Inherited!G:G)))+(((100-(_xlfn.XLOOKUP(Assessment!#REF!,Inherited!A:A,Inherited!B:B)))/100)*IF(AB189="1.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(100%)","100"))))))&lt;=65),"50",IF(AND((((_xlfn.XLOOKUP(Assessment!#REF!,Inherited!A:A,Inherited!B:B))/100)*(_xlfn.XLOOKUP(Assessment!#REF!,Inherited!A:A,Inherited!G:G)))+(((100-(_xlfn.XLOOKUP(Assessment!#REF!,Inherited!A:A,Inherited!B:B)))/100)*IF(AB189="1.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(100%)","100"))))))&gt;=66,(((_xlfn.XLOOKUP(Assessment!#REF!,Inherited!A:A,Inherited!B:B))/100)*(_xlfn.XLOOKUP(Assessment!#REF!,Inherited!A:A,Inherited!G:G)))+(((100-(_xlfn.XLOOKUP(Assessment!#REF!,Inherited!A:A,Inherited!B:B)))/100)*IF(AB189="1.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(100%)","100"))))))&lt;=89),"75",IF((((_xlfn.XLOOKUP(Assessment!#REF!,Inherited!A:A,Inherited!B:B))/100)*(_xlfn.XLOOKUP(Assessment!#REF!,Inherited!A:A,Inherited!G:G)))+(((100-(_xlfn.XLOOKUP(Assessment!#REF!,Inherited!A:A,Inherited!B:B)))/100)*IF(AB189="1. Non Compliant (0%)","0",IF(AB189="2. Somewhat Compliant (25%)","25",IF(AB189="3. Partially Compliant (50%)","50",IF(AB189="4. Mostly Compliant (75%)","75",IF(AB189="5. Fully Compliant (100%)","100"))))))&gt;=90,"100"))))))</f>
        <v>#N/A</v>
      </c>
      <c r="V189" s="55" t="s">
        <v>85</v>
      </c>
      <c r="W189" s="55"/>
      <c r="X189" s="55"/>
      <c r="Y189" s="55"/>
      <c r="Z189" s="55" t="s">
        <v>10873</v>
      </c>
      <c r="AA189" s="55"/>
      <c r="AB189" s="55"/>
      <c r="AK189" s="1" t="s">
        <v>10947</v>
      </c>
      <c r="AP189" s="1" t="s">
        <v>11025</v>
      </c>
      <c r="AX189" s="3" t="str">
        <f>_xlfn.CONCAT("A-LIGN finished its review of this control on ",AR189, " during the scheduled fieldwork window (",Intro!$B$4,")."&amp; CHAR(10)&amp; CHAR(10))</f>
        <v xml:space="preserve">A-LIGN finished its review of this control on  during the scheduled fieldwork window (Fieldwork: xx/xx/xxxx - xx/xx/xxxx).
</v>
      </c>
      <c r="AY189" s="3" t="str">
        <f t="shared" si="361"/>
        <v/>
      </c>
      <c r="AZ189" s="3" t="str">
        <f t="shared" si="362"/>
        <v/>
      </c>
      <c r="BA189" s="3" t="str">
        <f t="shared" si="363"/>
        <v/>
      </c>
      <c r="BB189" s="3" t="str">
        <f t="shared" si="364"/>
        <v xml:space="preserve">Inquired of the following workforce member: 
Roze Nicolas - Director of TechOps
Inquiry lead to the following conclusions: 
</v>
      </c>
      <c r="BC189" s="3" t="str">
        <f t="shared" si="365"/>
        <v/>
      </c>
      <c r="BD189" s="3" t="str">
        <f t="shared" si="366"/>
        <v xml:space="preserve">Examined the following evidence during fieldwork:
Reviewed evidence addressed the requirement statement.
Reviewed evidence exception note: 
Gap: Documentation does not currently address the required components.
Recommendation: Management should ensure that current documentation is updated to address the components within the requirement statement.
</v>
      </c>
      <c r="BE189" s="3" t="str">
        <f t="shared" si="367"/>
        <v/>
      </c>
      <c r="BF189" s="3" t="str">
        <f t="shared" si="368"/>
        <v/>
      </c>
      <c r="BG189" s="3" t="str">
        <f>_xlfn.CONCAT((IF((COUNTIF('Sample Tables'!B:B,"")&gt;0)=TRUE,_xlfn.CONCAT("",""),IF((COUNTIF('Sample Tables'!B:B,"")&gt;0)=FALSE,""))),)</f>
        <v/>
      </c>
      <c r="BH189" s="3" t="str">
        <f t="shared" si="369"/>
        <v xml:space="preserve">A-LIGN finished its review of this control on  during the scheduled fieldwork window (Fieldwork: xx/xx/xxxx - xx/xx/xxxx).
Inquired of the following workforce member: 
Roze Nicolas - Director of TechOps
Inquiry lead to the following conclusions: 
Examined the following evidence during fieldwork:
Reviewed evidence addressed the requirement statement.
Reviewed evidence exception note: 
Gap: Documentation does not currently address the required components.
Recommendation: Management should ensure that current documentation is updated to address the components within the requirement statement.
</v>
      </c>
    </row>
    <row r="190" spans="3:60" ht="250" x14ac:dyDescent="0.35">
      <c r="C190" s="1">
        <f t="shared" si="360"/>
        <v>40</v>
      </c>
      <c r="D190" s="5" t="str">
        <f>IF(AND((_xlfn.XLOOKUP(J190,'Fields &amp; Revisions'!$H:$H,'Fields &amp; Revisions'!$I:$I))&lt;70.99,(OR(Z190="4. Mostly Compliant (75%)",Z190="3. Partially Compliant (50%)",Z190="2. Somewhat Compliant (25%)",Z190="1. Non Compliant (0%)"))),"Yes","No")</f>
        <v>No</v>
      </c>
      <c r="E190" s="5" t="str">
        <f>IF(ISERROR(VLOOKUP(H190,Scope!A:A,1,FALSE)),"No","Yes")</f>
        <v>Yes</v>
      </c>
      <c r="F190" s="1" t="s">
        <v>5280</v>
      </c>
      <c r="G190" s="53" t="s">
        <v>5594</v>
      </c>
      <c r="H190" s="53" t="s">
        <v>5595</v>
      </c>
      <c r="I190" s="5">
        <v>1</v>
      </c>
      <c r="J190" s="1" t="s">
        <v>5596</v>
      </c>
      <c r="K190" s="1" t="s">
        <v>5597</v>
      </c>
      <c r="L190" s="1" t="s">
        <v>5598</v>
      </c>
      <c r="M190" s="1" t="s">
        <v>5599</v>
      </c>
      <c r="N190" s="5" t="s">
        <v>98</v>
      </c>
      <c r="O190" s="1" t="str">
        <f>_xlfn.XLOOKUP(G190,SRMs!$A:$A,SRMs!$D:$D)</f>
        <v>FULL INHERITANCE</v>
      </c>
      <c r="P190" s="1" t="str">
        <f>IFERROR(VLOOKUP(H190,Inherited!A:B,2,FALSE),"")</f>
        <v/>
      </c>
      <c r="Q190" s="1" t="e">
        <f>IF(MATCH(H190,Inherited!A:A),IF((((_xlfn.XLOOKUP(Assessment!#REF!,Inherited!A:A,Inherited!B:B))/100)*(_xlfn.XLOOKUP(Assessment!#REF!,Inherited!A:A,Inherited!C:C)))+(((100-(_xlfn.XLOOKUP(Assessment!#REF!,Inherited!A:A,Inherited!B:B)))/100)*IF(X190="1.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(100%)","100"))))))&lt;=10,"0", IF(AND((((_xlfn.XLOOKUP(Assessment!#REF!,Inherited!A:A,Inherited!B:B))/100)*(_xlfn.XLOOKUP(Assessment!#REF!,Inherited!A:A,Inherited!C:C)))+(((100-(_xlfn.XLOOKUP(Assessment!#REF!,Inherited!A:A,Inherited!B:B)))/100)*IF(X190="1.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(100%)","100"))))))&gt;=11,(((_xlfn.XLOOKUP(Assessment!#REF!,Inherited!A:A,Inherited!B:B))/100)*(_xlfn.XLOOKUP(Assessment!#REF!,Inherited!A:A,Inherited!C:C)))+(((100-(_xlfn.XLOOKUP(Assessment!#REF!,Inherited!A:A,Inherited!B:B)))/100)*IF(X190="1.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(100%)","100"))))))&lt;=32),"25",IF(AND((((_xlfn.XLOOKUP(Assessment!#REF!,Inherited!A:A,Inherited!B:B))/100)*(_xlfn.XLOOKUP(Assessment!#REF!,Inherited!A:A,Inherited!C:C)))+(((100-(_xlfn.XLOOKUP(Assessment!#REF!,Inherited!A:A,Inherited!B:B)))/100)*IF(X190="1.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(100%)","100"))))))&gt;=33,(((_xlfn.XLOOKUP(Assessment!#REF!,Inherited!A:A,Inherited!B:B))/100)*(_xlfn.XLOOKUP(Assessment!#REF!,Inherited!A:A,Inherited!C:C)))+(((100-(_xlfn.XLOOKUP(Assessment!#REF!,Inherited!A:A,Inherited!B:B)))/100)*IF(X190="1.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(100%)","100"))))))&lt;=65),"50",IF(AND((((_xlfn.XLOOKUP(Assessment!#REF!,Inherited!A:A,Inherited!B:B))/100)*(_xlfn.XLOOKUP(Assessment!#REF!,Inherited!A:A,Inherited!C:C)))+(((100-(_xlfn.XLOOKUP(Assessment!#REF!,Inherited!A:A,Inherited!B:B)))/100)*IF(X190="1.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(100%)","100"))))))&gt;=66,(((_xlfn.XLOOKUP(Assessment!#REF!,Inherited!A:A,Inherited!B:B))/100)*(_xlfn.XLOOKUP(Assessment!#REF!,Inherited!A:A,Inherited!C:C)))+(((100-(_xlfn.XLOOKUP(Assessment!#REF!,Inherited!A:A,Inherited!B:B)))/100)*IF(X190="1.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(100%)","100"))))))&lt;=89),"75",IF((((_xlfn.XLOOKUP(Assessment!#REF!,Inherited!A:A,Inherited!B:B))/100)*(_xlfn.XLOOKUP(Assessment!#REF!,Inherited!A:A,Inherited!C:C)))+(((100-(_xlfn.XLOOKUP(Assessment!#REF!,Inherited!A:A,Inherited!B:B)))/100)*IF(X190="1. Non Compliant (0%)","0",IF(X190="2. Somewhat Compliant (25%)","25",IF(X190="3. Partially Compliant (50%)","50",IF(X190="4. Mostly Compliant (75%)","75",IF(X190="5. Fully Compliant (100%)","100"))))))&gt;=90,"100"))))))</f>
        <v>#N/A</v>
      </c>
      <c r="R190" s="1" t="e">
        <f>IF(MATCH(H190,Inherited!A:A),IF((((_xlfn.XLOOKUP(Assessment!#REF!,Inherited!A:A,Inherited!B:B))/100)*(_xlfn.XLOOKUP(Assessment!#REF!,Inherited!A:A,Inherited!D:D)))+(((100-(_xlfn.XLOOKUP(Assessment!#REF!,Inherited!A:A,Inherited!B:B)))/100)*IF(Y190="1.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(100%)","100"))))))&lt;=10,"0", IF(AND((((_xlfn.XLOOKUP(Assessment!#REF!,Inherited!A:A,Inherited!B:B))/100)*(_xlfn.XLOOKUP(Assessment!#REF!,Inherited!A:A,Inherited!D:D)))+(((100-(_xlfn.XLOOKUP(Assessment!#REF!,Inherited!A:A,Inherited!B:B)))/100)*IF(Y190="1.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(100%)","100"))))))&gt;=11,(((_xlfn.XLOOKUP(Assessment!#REF!,Inherited!A:A,Inherited!B:B))/100)*(_xlfn.XLOOKUP(Assessment!#REF!,Inherited!A:A,Inherited!D:D)))+(((100-(_xlfn.XLOOKUP(Assessment!#REF!,Inherited!A:A,Inherited!B:B)))/100)*IF(Y190="1.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(100%)","100"))))))&lt;=32),"25",IF(AND((((_xlfn.XLOOKUP(Assessment!#REF!,Inherited!A:A,Inherited!B:B))/100)*(_xlfn.XLOOKUP(Assessment!#REF!,Inherited!A:A,Inherited!D:D)))+(((100-(_xlfn.XLOOKUP(Assessment!#REF!,Inherited!A:A,Inherited!B:B)))/100)*IF(Y190="1.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(100%)","100"))))))&gt;=33,(((_xlfn.XLOOKUP(Assessment!#REF!,Inherited!A:A,Inherited!B:B))/100)*(_xlfn.XLOOKUP(Assessment!#REF!,Inherited!A:A,Inherited!D:D)))+(((100-(_xlfn.XLOOKUP(Assessment!#REF!,Inherited!A:A,Inherited!B:B)))/100)*IF(Y190="1.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(100%)","100"))))))&lt;=65),"50",IF(AND((((_xlfn.XLOOKUP(Assessment!#REF!,Inherited!A:A,Inherited!B:B))/100)*(_xlfn.XLOOKUP(Assessment!#REF!,Inherited!A:A,Inherited!D:D)))+(((100-(_xlfn.XLOOKUP(Assessment!#REF!,Inherited!A:A,Inherited!B:B)))/100)*IF(Y190="1.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(100%)","100"))))))&gt;=66,(((_xlfn.XLOOKUP(Assessment!#REF!,Inherited!A:A,Inherited!B:B))/100)*(_xlfn.XLOOKUP(Assessment!#REF!,Inherited!A:A,Inherited!D:D)))+(((100-(_xlfn.XLOOKUP(Assessment!#REF!,Inherited!A:A,Inherited!B:B)))/100)*IF(Y190="1.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(100%)","100"))))))&lt;=89),"75",IF((((_xlfn.XLOOKUP(Assessment!#REF!,Inherited!A:A,Inherited!B:B))/100)*(_xlfn.XLOOKUP(Assessment!#REF!,Inherited!A:A,Inherited!D:D)))+(((100-(_xlfn.XLOOKUP(Assessment!#REF!,Inherited!A:A,Inherited!B:B)))/100)*IF(Y190="1. Non Compliant (0%)","0",IF(Y190="2. Somewhat Compliant (25%)","25",IF(Y190="3. Partially Compliant (50%)","50",IF(Y190="4. Mostly Compliant (75%)","75",IF(Y190="5. Fully Compliant (100%)","100"))))))&gt;=90,"100"))))))</f>
        <v>#N/A</v>
      </c>
      <c r="S190" s="1" t="e">
        <f>IF(MATCH(H190,Inherited!A:A),IF((((_xlfn.XLOOKUP(Assessment!#REF!,Inherited!A:A,Inherited!B:B))/100)*(_xlfn.XLOOKUP(Assessment!#REF!,Inherited!A:A,Inherited!E:E)))+(((100-(_xlfn.XLOOKUP(Assessment!#REF!,Inherited!A:A,Inherited!B:B)))/100)*IF(Z190="1.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(100%)","100"))))))&lt;=10,"0", IF(AND((((_xlfn.XLOOKUP(Assessment!#REF!,Inherited!A:A,Inherited!B:B))/100)*(_xlfn.XLOOKUP(Assessment!#REF!,Inherited!A:A,Inherited!E:E)))+(((100-(_xlfn.XLOOKUP(Assessment!#REF!,Inherited!A:A,Inherited!B:B)))/100)*IF(Z190="1.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(100%)","100"))))))&gt;=11,(((_xlfn.XLOOKUP(Assessment!#REF!,Inherited!A:A,Inherited!B:B))/100)*(_xlfn.XLOOKUP(Assessment!#REF!,Inherited!A:A,Inherited!E:E)))+(((100-(_xlfn.XLOOKUP(Assessment!#REF!,Inherited!A:A,Inherited!B:B)))/100)*IF(Z190="1.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(100%)","100"))))))&lt;=32),"25",IF(AND((((_xlfn.XLOOKUP(Assessment!#REF!,Inherited!A:A,Inherited!B:B))/100)*(_xlfn.XLOOKUP(Assessment!#REF!,Inherited!A:A,Inherited!E:E)))+(((100-(_xlfn.XLOOKUP(Assessment!#REF!,Inherited!A:A,Inherited!B:B)))/100)*IF(Z190="1.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(100%)","100"))))))&gt;=33,(((_xlfn.XLOOKUP(Assessment!#REF!,Inherited!A:A,Inherited!B:B))/100)*(_xlfn.XLOOKUP(Assessment!#REF!,Inherited!A:A,Inherited!E:E)))+(((100-(_xlfn.XLOOKUP(Assessment!#REF!,Inherited!A:A,Inherited!B:B)))/100)*IF(Z190="1.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(100%)","100"))))))&lt;=65),"50",IF(AND((((_xlfn.XLOOKUP(Assessment!#REF!,Inherited!A:A,Inherited!B:B))/100)*(_xlfn.XLOOKUP(Assessment!#REF!,Inherited!A:A,Inherited!E:E)))+(((100-(_xlfn.XLOOKUP(Assessment!#REF!,Inherited!A:A,Inherited!B:B)))/100)*IF(Z190="1.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(100%)","100"))))))&gt;=66,(((_xlfn.XLOOKUP(Assessment!#REF!,Inherited!A:A,Inherited!B:B))/100)*(_xlfn.XLOOKUP(Assessment!#REF!,Inherited!A:A,Inherited!E:E)))+(((100-(_xlfn.XLOOKUP(Assessment!#REF!,Inherited!A:A,Inherited!B:B)))/100)*IF(Z190="1.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(100%)","100"))))))&lt;=89),"75",IF((((_xlfn.XLOOKUP(Assessment!#REF!,Inherited!A:A,Inherited!B:B))/100)*(_xlfn.XLOOKUP(Assessment!#REF!,Inherited!A:A,Inherited!E:E)))+(((100-(_xlfn.XLOOKUP(Assessment!#REF!,Inherited!A:A,Inherited!B:B)))/100)*IF(Z190="1. Non Compliant (0%)","0",IF(Z190="2. Somewhat Compliant (25%)","25",IF(Z190="3. Partially Compliant (50%)","50",IF(Z190="4. Mostly Compliant (75%)","75",IF(Z190="5. Fully Compliant (100%)","100"))))))&gt;=90,"100"))))))</f>
        <v>#N/A</v>
      </c>
      <c r="T190" s="1" t="e">
        <f>IF(MATCH(H190,Inherited!A:A),IF((((_xlfn.XLOOKUP(Assessment!#REF!,Inherited!A:A,Inherited!B:B))/100)*(_xlfn.XLOOKUP(Assessment!#REF!,Inherited!A:A,Inherited!F:F)))+(((100-(_xlfn.XLOOKUP(Assessment!#REF!,Inherited!A:A,Inherited!B:B)))/100)*IF(AA190="1.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(100%)","100"))))))&lt;=10,"0", IF(AND((((_xlfn.XLOOKUP(Assessment!#REF!,Inherited!A:A,Inherited!B:B))/100)*(_xlfn.XLOOKUP(Assessment!#REF!,Inherited!A:A,Inherited!F:F)))+(((100-(_xlfn.XLOOKUP(Assessment!#REF!,Inherited!A:A,Inherited!B:B)))/100)*IF(AA190="1.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(100%)","100"))))))&gt;=11,(((_xlfn.XLOOKUP(Assessment!#REF!,Inherited!A:A,Inherited!B:B))/100)*(_xlfn.XLOOKUP(Assessment!#REF!,Inherited!A:A,Inherited!F:F)))+(((100-(_xlfn.XLOOKUP(Assessment!#REF!,Inherited!A:A,Inherited!B:B)))/100)*IF(AA190="1.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(100%)","100"))))))&lt;=32),"25",IF(AND((((_xlfn.XLOOKUP(Assessment!#REF!,Inherited!A:A,Inherited!B:B))/100)*(_xlfn.XLOOKUP(Assessment!#REF!,Inherited!A:A,Inherited!F:F)))+(((100-(_xlfn.XLOOKUP(Assessment!#REF!,Inherited!A:A,Inherited!B:B)))/100)*IF(AA190="1.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(100%)","100"))))))&gt;=33,(((_xlfn.XLOOKUP(Assessment!#REF!,Inherited!A:A,Inherited!B:B))/100)*(_xlfn.XLOOKUP(Assessment!#REF!,Inherited!A:A,Inherited!F:F)))+(((100-(_xlfn.XLOOKUP(Assessment!#REF!,Inherited!A:A,Inherited!B:B)))/100)*IF(AA190="1.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(100%)","100"))))))&lt;=65),"50",IF(AND((((_xlfn.XLOOKUP(Assessment!#REF!,Inherited!A:A,Inherited!B:B))/100)*(_xlfn.XLOOKUP(Assessment!#REF!,Inherited!A:A,Inherited!F:F)))+(((100-(_xlfn.XLOOKUP(Assessment!#REF!,Inherited!A:A,Inherited!B:B)))/100)*IF(AA190="1.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(100%)","100"))))))&gt;=66,(((_xlfn.XLOOKUP(Assessment!#REF!,Inherited!A:A,Inherited!B:B))/100)*(_xlfn.XLOOKUP(Assessment!#REF!,Inherited!A:A,Inherited!F:F)))+(((100-(_xlfn.XLOOKUP(Assessment!#REF!,Inherited!A:A,Inherited!B:B)))/100)*IF(AA190="1.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(100%)","100"))))))&lt;=89),"75",IF((((_xlfn.XLOOKUP(Assessment!#REF!,Inherited!A:A,Inherited!B:B))/100)*(_xlfn.XLOOKUP(Assessment!#REF!,Inherited!A:A,Inherited!F:F)))+(((100-(_xlfn.XLOOKUP(Assessment!#REF!,Inherited!A:A,Inherited!B:B)))/100)*IF(AA190="1. Non Compliant (0%)","0",IF(AA190="2. Somewhat Compliant (25%)","25",IF(AA190="3. Partially Compliant (50%)","50",IF(AA190="4. Mostly Compliant (75%)","75",IF(AA190="5. Fully Compliant (100%)","100"))))))&gt;=90,"100"))))))</f>
        <v>#N/A</v>
      </c>
      <c r="U190" s="1" t="e">
        <f>IF(MATCH(H190,Inherited!A:A),IF((((_xlfn.XLOOKUP(Assessment!#REF!,Inherited!A:A,Inherited!B:B))/100)*(_xlfn.XLOOKUP(Assessment!#REF!,Inherited!A:A,Inherited!G:G)))+(((100-(_xlfn.XLOOKUP(Assessment!#REF!,Inherited!A:A,Inherited!B:B)))/100)*IF(AB190="1.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(100%)","100"))))))&lt;=10,"0", IF(AND((((_xlfn.XLOOKUP(Assessment!#REF!,Inherited!A:A,Inherited!B:B))/100)*(_xlfn.XLOOKUP(Assessment!#REF!,Inherited!A:A,Inherited!G:G)))+(((100-(_xlfn.XLOOKUP(Assessment!#REF!,Inherited!A:A,Inherited!B:B)))/100)*IF(AB190="1.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(100%)","100"))))))&gt;=11,(((_xlfn.XLOOKUP(Assessment!#REF!,Inherited!A:A,Inherited!B:B))/100)*(_xlfn.XLOOKUP(Assessment!#REF!,Inherited!A:A,Inherited!G:G)))+(((100-(_xlfn.XLOOKUP(Assessment!#REF!,Inherited!A:A,Inherited!B:B)))/100)*IF(AB190="1.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(100%)","100"))))))&lt;=32),"25",IF(AND((((_xlfn.XLOOKUP(Assessment!#REF!,Inherited!A:A,Inherited!B:B))/100)*(_xlfn.XLOOKUP(Assessment!#REF!,Inherited!A:A,Inherited!G:G)))+(((100-(_xlfn.XLOOKUP(Assessment!#REF!,Inherited!A:A,Inherited!B:B)))/100)*IF(AB190="1.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(100%)","100"))))))&gt;=33,(((_xlfn.XLOOKUP(Assessment!#REF!,Inherited!A:A,Inherited!B:B))/100)*(_xlfn.XLOOKUP(Assessment!#REF!,Inherited!A:A,Inherited!G:G)))+(((100-(_xlfn.XLOOKUP(Assessment!#REF!,Inherited!A:A,Inherited!B:B)))/100)*IF(AB190="1.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(100%)","100"))))))&lt;=65),"50",IF(AND((((_xlfn.XLOOKUP(Assessment!#REF!,Inherited!A:A,Inherited!B:B))/100)*(_xlfn.XLOOKUP(Assessment!#REF!,Inherited!A:A,Inherited!G:G)))+(((100-(_xlfn.XLOOKUP(Assessment!#REF!,Inherited!A:A,Inherited!B:B)))/100)*IF(AB190="1.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(100%)","100"))))))&gt;=66,(((_xlfn.XLOOKUP(Assessment!#REF!,Inherited!A:A,Inherited!B:B))/100)*(_xlfn.XLOOKUP(Assessment!#REF!,Inherited!A:A,Inherited!G:G)))+(((100-(_xlfn.XLOOKUP(Assessment!#REF!,Inherited!A:A,Inherited!B:B)))/100)*IF(AB190="1.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(100%)","100"))))))&lt;=89),"75",IF((((_xlfn.XLOOKUP(Assessment!#REF!,Inherited!A:A,Inherited!B:B))/100)*(_xlfn.XLOOKUP(Assessment!#REF!,Inherited!A:A,Inherited!G:G)))+(((100-(_xlfn.XLOOKUP(Assessment!#REF!,Inherited!A:A,Inherited!B:B)))/100)*IF(AB190="1. Non Compliant (0%)","0",IF(AB190="2. Somewhat Compliant (25%)","25",IF(AB190="3. Partially Compliant (50%)","50",IF(AB190="4. Mostly Compliant (75%)","75",IF(AB190="5. Fully Compliant (100%)","100"))))))&gt;=90,"100"))))))</f>
        <v>#N/A</v>
      </c>
      <c r="V190" s="55" t="s">
        <v>85</v>
      </c>
      <c r="W190" s="55"/>
      <c r="X190" s="55"/>
      <c r="Y190" s="55"/>
      <c r="Z190" s="55" t="s">
        <v>86</v>
      </c>
      <c r="AA190" s="55"/>
      <c r="AB190" s="55"/>
      <c r="AK190" s="1" t="s">
        <v>10947</v>
      </c>
      <c r="AL190" s="1" t="s">
        <v>11027</v>
      </c>
      <c r="AQ190" s="1" t="s">
        <v>11024</v>
      </c>
      <c r="AX190" s="3" t="str">
        <f>_xlfn.CONCAT("A-LIGN finished its review of this control on ",AR190, " during the scheduled fieldwork window (",Intro!$B$4,")."&amp; CHAR(10)&amp; CHAR(10))</f>
        <v xml:space="preserve">A-LIGN finished its review of this control on  during the scheduled fieldwork window (Fieldwork: xx/xx/xxxx - xx/xx/xxxx).
</v>
      </c>
      <c r="AY190" s="3" t="str">
        <f t="shared" si="361"/>
        <v xml:space="preserve">Inheritance note: 
Fully inherited between GCP and Azure.
</v>
      </c>
      <c r="AZ190" s="3" t="str">
        <f t="shared" si="362"/>
        <v/>
      </c>
      <c r="BA190" s="3" t="str">
        <f t="shared" si="363"/>
        <v/>
      </c>
      <c r="BB190" s="3" t="str">
        <f t="shared" si="364"/>
        <v xml:space="preserve">Inquired of the following workforce member: 
Roze Nicolas - Director of TechOps
Inquiry lead to the following conclusions: 
Office not currently in scope. Users access rights are determined based on group/roles from Entra ID.
</v>
      </c>
      <c r="BC190" s="3" t="str">
        <f t="shared" si="365"/>
        <v/>
      </c>
      <c r="BD190" s="3" t="str">
        <f t="shared" si="366"/>
        <v xml:space="preserve">Examined the following evidence during fieldwork:
Reviewed evidence addressed the requirement statement.
</v>
      </c>
      <c r="BE190" s="3" t="str">
        <f t="shared" si="367"/>
        <v/>
      </c>
      <c r="BF190" s="3" t="str">
        <f t="shared" si="368"/>
        <v/>
      </c>
      <c r="BG190" s="3" t="str">
        <f>_xlfn.CONCAT((IF((COUNTIF('Sample Tables'!B:B,"")&gt;0)=TRUE,_xlfn.CONCAT("",""),IF((COUNTIF('Sample Tables'!B:B,"")&gt;0)=FALSE,""))),)</f>
        <v/>
      </c>
      <c r="BH190" s="3" t="str">
        <f t="shared" si="369"/>
        <v xml:space="preserve">A-LIGN finished its review of this control on  during the scheduled fieldwork window (Fieldwork: xx/xx/xxxx - xx/xx/xxxx).
Inheritance note: 
Fully inherited between GCP and Azure.
Inquired of the following workforce member: 
Roze Nicolas - Director of TechOps
Inquiry lead to the following conclusions: 
Office not currently in scope. Users access rights are determined based on group/roles from Entra ID.
Examined the following evidence during fieldwork:
Reviewed evidence addressed the requirement statement.
</v>
      </c>
    </row>
    <row r="191" spans="3:60" ht="237.5" x14ac:dyDescent="0.35">
      <c r="C191" s="1">
        <f t="shared" si="360"/>
        <v>40</v>
      </c>
      <c r="D191" s="5" t="str">
        <f>IF(AND((_xlfn.XLOOKUP(J191,'Fields &amp; Revisions'!$H:$H,'Fields &amp; Revisions'!$I:$I))&lt;70.99,(OR(Z191="4. Mostly Compliant (75%)",Z191="3. Partially Compliant (50%)",Z191="2. Somewhat Compliant (25%)",Z191="1. Non Compliant (0%)"))),"Yes","No")</f>
        <v>No</v>
      </c>
      <c r="E191" s="5" t="str">
        <f>IF(ISERROR(VLOOKUP(H191,Scope!A:A,1,FALSE)),"No","Yes")</f>
        <v>Yes</v>
      </c>
      <c r="F191" s="1" t="s">
        <v>5280</v>
      </c>
      <c r="G191" s="53" t="s">
        <v>5606</v>
      </c>
      <c r="H191" s="53" t="s">
        <v>5607</v>
      </c>
      <c r="I191" s="5">
        <v>1</v>
      </c>
      <c r="J191" s="1" t="s">
        <v>5608</v>
      </c>
      <c r="K191" s="1" t="s">
        <v>5609</v>
      </c>
      <c r="L191" s="1" t="s">
        <v>5610</v>
      </c>
      <c r="M191" s="1" t="s">
        <v>5611</v>
      </c>
      <c r="N191" s="5" t="s">
        <v>98</v>
      </c>
      <c r="O191" s="1" t="str">
        <f>_xlfn.XLOOKUP(G191,SRMs!$A:$A,SRMs!$D:$D)</f>
        <v>FULL INHERITANCE</v>
      </c>
      <c r="P191" s="1" t="str">
        <f>IFERROR(VLOOKUP(H191,Inherited!A:B,2,FALSE),"")</f>
        <v/>
      </c>
      <c r="Q191" s="1" t="e">
        <f>IF(MATCH(H191,Inherited!A:A),IF((((_xlfn.XLOOKUP(Assessment!#REF!,Inherited!A:A,Inherited!B:B))/100)*(_xlfn.XLOOKUP(Assessment!#REF!,Inherited!A:A,Inherited!C:C)))+(((100-(_xlfn.XLOOKUP(Assessment!#REF!,Inherited!A:A,Inherited!B:B)))/100)*IF(X191="1.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(100%)","100"))))))&lt;=10,"0", IF(AND((((_xlfn.XLOOKUP(Assessment!#REF!,Inherited!A:A,Inherited!B:B))/100)*(_xlfn.XLOOKUP(Assessment!#REF!,Inherited!A:A,Inherited!C:C)))+(((100-(_xlfn.XLOOKUP(Assessment!#REF!,Inherited!A:A,Inherited!B:B)))/100)*IF(X191="1.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(100%)","100"))))))&gt;=11,(((_xlfn.XLOOKUP(Assessment!#REF!,Inherited!A:A,Inherited!B:B))/100)*(_xlfn.XLOOKUP(Assessment!#REF!,Inherited!A:A,Inherited!C:C)))+(((100-(_xlfn.XLOOKUP(Assessment!#REF!,Inherited!A:A,Inherited!B:B)))/100)*IF(X191="1.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(100%)","100"))))))&lt;=32),"25",IF(AND((((_xlfn.XLOOKUP(Assessment!#REF!,Inherited!A:A,Inherited!B:B))/100)*(_xlfn.XLOOKUP(Assessment!#REF!,Inherited!A:A,Inherited!C:C)))+(((100-(_xlfn.XLOOKUP(Assessment!#REF!,Inherited!A:A,Inherited!B:B)))/100)*IF(X191="1.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(100%)","100"))))))&gt;=33,(((_xlfn.XLOOKUP(Assessment!#REF!,Inherited!A:A,Inherited!B:B))/100)*(_xlfn.XLOOKUP(Assessment!#REF!,Inherited!A:A,Inherited!C:C)))+(((100-(_xlfn.XLOOKUP(Assessment!#REF!,Inherited!A:A,Inherited!B:B)))/100)*IF(X191="1.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(100%)","100"))))))&lt;=65),"50",IF(AND((((_xlfn.XLOOKUP(Assessment!#REF!,Inherited!A:A,Inherited!B:B))/100)*(_xlfn.XLOOKUP(Assessment!#REF!,Inherited!A:A,Inherited!C:C)))+(((100-(_xlfn.XLOOKUP(Assessment!#REF!,Inherited!A:A,Inherited!B:B)))/100)*IF(X191="1.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(100%)","100"))))))&gt;=66,(((_xlfn.XLOOKUP(Assessment!#REF!,Inherited!A:A,Inherited!B:B))/100)*(_xlfn.XLOOKUP(Assessment!#REF!,Inherited!A:A,Inherited!C:C)))+(((100-(_xlfn.XLOOKUP(Assessment!#REF!,Inherited!A:A,Inherited!B:B)))/100)*IF(X191="1.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(100%)","100"))))))&lt;=89),"75",IF((((_xlfn.XLOOKUP(Assessment!#REF!,Inherited!A:A,Inherited!B:B))/100)*(_xlfn.XLOOKUP(Assessment!#REF!,Inherited!A:A,Inherited!C:C)))+(((100-(_xlfn.XLOOKUP(Assessment!#REF!,Inherited!A:A,Inherited!B:B)))/100)*IF(X191="1. Non Compliant (0%)","0",IF(X191="2. Somewhat Compliant (25%)","25",IF(X191="3. Partially Compliant (50%)","50",IF(X191="4. Mostly Compliant (75%)","75",IF(X191="5. Fully Compliant (100%)","100"))))))&gt;=90,"100"))))))</f>
        <v>#N/A</v>
      </c>
      <c r="R191" s="1" t="e">
        <f>IF(MATCH(H191,Inherited!A:A),IF((((_xlfn.XLOOKUP(Assessment!#REF!,Inherited!A:A,Inherited!B:B))/100)*(_xlfn.XLOOKUP(Assessment!#REF!,Inherited!A:A,Inherited!D:D)))+(((100-(_xlfn.XLOOKUP(Assessment!#REF!,Inherited!A:A,Inherited!B:B)))/100)*IF(Y191="1.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(100%)","100"))))))&lt;=10,"0", IF(AND((((_xlfn.XLOOKUP(Assessment!#REF!,Inherited!A:A,Inherited!B:B))/100)*(_xlfn.XLOOKUP(Assessment!#REF!,Inherited!A:A,Inherited!D:D)))+(((100-(_xlfn.XLOOKUP(Assessment!#REF!,Inherited!A:A,Inherited!B:B)))/100)*IF(Y191="1.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(100%)","100"))))))&gt;=11,(((_xlfn.XLOOKUP(Assessment!#REF!,Inherited!A:A,Inherited!B:B))/100)*(_xlfn.XLOOKUP(Assessment!#REF!,Inherited!A:A,Inherited!D:D)))+(((100-(_xlfn.XLOOKUP(Assessment!#REF!,Inherited!A:A,Inherited!B:B)))/100)*IF(Y191="1.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(100%)","100"))))))&lt;=32),"25",IF(AND((((_xlfn.XLOOKUP(Assessment!#REF!,Inherited!A:A,Inherited!B:B))/100)*(_xlfn.XLOOKUP(Assessment!#REF!,Inherited!A:A,Inherited!D:D)))+(((100-(_xlfn.XLOOKUP(Assessment!#REF!,Inherited!A:A,Inherited!B:B)))/100)*IF(Y191="1.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(100%)","100"))))))&gt;=33,(((_xlfn.XLOOKUP(Assessment!#REF!,Inherited!A:A,Inherited!B:B))/100)*(_xlfn.XLOOKUP(Assessment!#REF!,Inherited!A:A,Inherited!D:D)))+(((100-(_xlfn.XLOOKUP(Assessment!#REF!,Inherited!A:A,Inherited!B:B)))/100)*IF(Y191="1.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(100%)","100"))))))&lt;=65),"50",IF(AND((((_xlfn.XLOOKUP(Assessment!#REF!,Inherited!A:A,Inherited!B:B))/100)*(_xlfn.XLOOKUP(Assessment!#REF!,Inherited!A:A,Inherited!D:D)))+(((100-(_xlfn.XLOOKUP(Assessment!#REF!,Inherited!A:A,Inherited!B:B)))/100)*IF(Y191="1.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(100%)","100"))))))&gt;=66,(((_xlfn.XLOOKUP(Assessment!#REF!,Inherited!A:A,Inherited!B:B))/100)*(_xlfn.XLOOKUP(Assessment!#REF!,Inherited!A:A,Inherited!D:D)))+(((100-(_xlfn.XLOOKUP(Assessment!#REF!,Inherited!A:A,Inherited!B:B)))/100)*IF(Y191="1.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(100%)","100"))))))&lt;=89),"75",IF((((_xlfn.XLOOKUP(Assessment!#REF!,Inherited!A:A,Inherited!B:B))/100)*(_xlfn.XLOOKUP(Assessment!#REF!,Inherited!A:A,Inherited!D:D)))+(((100-(_xlfn.XLOOKUP(Assessment!#REF!,Inherited!A:A,Inherited!B:B)))/100)*IF(Y191="1. Non Compliant (0%)","0",IF(Y191="2. Somewhat Compliant (25%)","25",IF(Y191="3. Partially Compliant (50%)","50",IF(Y191="4. Mostly Compliant (75%)","75",IF(Y191="5. Fully Compliant (100%)","100"))))))&gt;=90,"100"))))))</f>
        <v>#N/A</v>
      </c>
      <c r="S191" s="1" t="e">
        <f>IF(MATCH(H191,Inherited!A:A),IF((((_xlfn.XLOOKUP(Assessment!#REF!,Inherited!A:A,Inherited!B:B))/100)*(_xlfn.XLOOKUP(Assessment!#REF!,Inherited!A:A,Inherited!E:E)))+(((100-(_xlfn.XLOOKUP(Assessment!#REF!,Inherited!A:A,Inherited!B:B)))/100)*IF(Z191="1.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(100%)","100"))))))&lt;=10,"0", IF(AND((((_xlfn.XLOOKUP(Assessment!#REF!,Inherited!A:A,Inherited!B:B))/100)*(_xlfn.XLOOKUP(Assessment!#REF!,Inherited!A:A,Inherited!E:E)))+(((100-(_xlfn.XLOOKUP(Assessment!#REF!,Inherited!A:A,Inherited!B:B)))/100)*IF(Z191="1.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(100%)","100"))))))&gt;=11,(((_xlfn.XLOOKUP(Assessment!#REF!,Inherited!A:A,Inherited!B:B))/100)*(_xlfn.XLOOKUP(Assessment!#REF!,Inherited!A:A,Inherited!E:E)))+(((100-(_xlfn.XLOOKUP(Assessment!#REF!,Inherited!A:A,Inherited!B:B)))/100)*IF(Z191="1.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(100%)","100"))))))&lt;=32),"25",IF(AND((((_xlfn.XLOOKUP(Assessment!#REF!,Inherited!A:A,Inherited!B:B))/100)*(_xlfn.XLOOKUP(Assessment!#REF!,Inherited!A:A,Inherited!E:E)))+(((100-(_xlfn.XLOOKUP(Assessment!#REF!,Inherited!A:A,Inherited!B:B)))/100)*IF(Z191="1.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(100%)","100"))))))&gt;=33,(((_xlfn.XLOOKUP(Assessment!#REF!,Inherited!A:A,Inherited!B:B))/100)*(_xlfn.XLOOKUP(Assessment!#REF!,Inherited!A:A,Inherited!E:E)))+(((100-(_xlfn.XLOOKUP(Assessment!#REF!,Inherited!A:A,Inherited!B:B)))/100)*IF(Z191="1.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(100%)","100"))))))&lt;=65),"50",IF(AND((((_xlfn.XLOOKUP(Assessment!#REF!,Inherited!A:A,Inherited!B:B))/100)*(_xlfn.XLOOKUP(Assessment!#REF!,Inherited!A:A,Inherited!E:E)))+(((100-(_xlfn.XLOOKUP(Assessment!#REF!,Inherited!A:A,Inherited!B:B)))/100)*IF(Z191="1.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(100%)","100"))))))&gt;=66,(((_xlfn.XLOOKUP(Assessment!#REF!,Inherited!A:A,Inherited!B:B))/100)*(_xlfn.XLOOKUP(Assessment!#REF!,Inherited!A:A,Inherited!E:E)))+(((100-(_xlfn.XLOOKUP(Assessment!#REF!,Inherited!A:A,Inherited!B:B)))/100)*IF(Z191="1.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(100%)","100"))))))&lt;=89),"75",IF((((_xlfn.XLOOKUP(Assessment!#REF!,Inherited!A:A,Inherited!B:B))/100)*(_xlfn.XLOOKUP(Assessment!#REF!,Inherited!A:A,Inherited!E:E)))+(((100-(_xlfn.XLOOKUP(Assessment!#REF!,Inherited!A:A,Inherited!B:B)))/100)*IF(Z191="1. Non Compliant (0%)","0",IF(Z191="2. Somewhat Compliant (25%)","25",IF(Z191="3. Partially Compliant (50%)","50",IF(Z191="4. Mostly Compliant (75%)","75",IF(Z191="5. Fully Compliant (100%)","100"))))))&gt;=90,"100"))))))</f>
        <v>#N/A</v>
      </c>
      <c r="T191" s="1" t="e">
        <f>IF(MATCH(H191,Inherited!A:A),IF((((_xlfn.XLOOKUP(Assessment!#REF!,Inherited!A:A,Inherited!B:B))/100)*(_xlfn.XLOOKUP(Assessment!#REF!,Inherited!A:A,Inherited!F:F)))+(((100-(_xlfn.XLOOKUP(Assessment!#REF!,Inherited!A:A,Inherited!B:B)))/100)*IF(AA191="1.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(100%)","100"))))))&lt;=10,"0", IF(AND((((_xlfn.XLOOKUP(Assessment!#REF!,Inherited!A:A,Inherited!B:B))/100)*(_xlfn.XLOOKUP(Assessment!#REF!,Inherited!A:A,Inherited!F:F)))+(((100-(_xlfn.XLOOKUP(Assessment!#REF!,Inherited!A:A,Inherited!B:B)))/100)*IF(AA191="1.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(100%)","100"))))))&gt;=11,(((_xlfn.XLOOKUP(Assessment!#REF!,Inherited!A:A,Inherited!B:B))/100)*(_xlfn.XLOOKUP(Assessment!#REF!,Inherited!A:A,Inherited!F:F)))+(((100-(_xlfn.XLOOKUP(Assessment!#REF!,Inherited!A:A,Inherited!B:B)))/100)*IF(AA191="1.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(100%)","100"))))))&lt;=32),"25",IF(AND((((_xlfn.XLOOKUP(Assessment!#REF!,Inherited!A:A,Inherited!B:B))/100)*(_xlfn.XLOOKUP(Assessment!#REF!,Inherited!A:A,Inherited!F:F)))+(((100-(_xlfn.XLOOKUP(Assessment!#REF!,Inherited!A:A,Inherited!B:B)))/100)*IF(AA191="1.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(100%)","100"))))))&gt;=33,(((_xlfn.XLOOKUP(Assessment!#REF!,Inherited!A:A,Inherited!B:B))/100)*(_xlfn.XLOOKUP(Assessment!#REF!,Inherited!A:A,Inherited!F:F)))+(((100-(_xlfn.XLOOKUP(Assessment!#REF!,Inherited!A:A,Inherited!B:B)))/100)*IF(AA191="1.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(100%)","100"))))))&lt;=65),"50",IF(AND((((_xlfn.XLOOKUP(Assessment!#REF!,Inherited!A:A,Inherited!B:B))/100)*(_xlfn.XLOOKUP(Assessment!#REF!,Inherited!A:A,Inherited!F:F)))+(((100-(_xlfn.XLOOKUP(Assessment!#REF!,Inherited!A:A,Inherited!B:B)))/100)*IF(AA191="1.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(100%)","100"))))))&gt;=66,(((_xlfn.XLOOKUP(Assessment!#REF!,Inherited!A:A,Inherited!B:B))/100)*(_xlfn.XLOOKUP(Assessment!#REF!,Inherited!A:A,Inherited!F:F)))+(((100-(_xlfn.XLOOKUP(Assessment!#REF!,Inherited!A:A,Inherited!B:B)))/100)*IF(AA191="1.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(100%)","100"))))))&lt;=89),"75",IF((((_xlfn.XLOOKUP(Assessment!#REF!,Inherited!A:A,Inherited!B:B))/100)*(_xlfn.XLOOKUP(Assessment!#REF!,Inherited!A:A,Inherited!F:F)))+(((100-(_xlfn.XLOOKUP(Assessment!#REF!,Inherited!A:A,Inherited!B:B)))/100)*IF(AA191="1. Non Compliant (0%)","0",IF(AA191="2. Somewhat Compliant (25%)","25",IF(AA191="3. Partially Compliant (50%)","50",IF(AA191="4. Mostly Compliant (75%)","75",IF(AA191="5. Fully Compliant (100%)","100"))))))&gt;=90,"100"))))))</f>
        <v>#N/A</v>
      </c>
      <c r="U191" s="1" t="e">
        <f>IF(MATCH(H191,Inherited!A:A),IF((((_xlfn.XLOOKUP(Assessment!#REF!,Inherited!A:A,Inherited!B:B))/100)*(_xlfn.XLOOKUP(Assessment!#REF!,Inherited!A:A,Inherited!G:G)))+(((100-(_xlfn.XLOOKUP(Assessment!#REF!,Inherited!A:A,Inherited!B:B)))/100)*IF(AB191="1.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(100%)","100"))))))&lt;=10,"0", IF(AND((((_xlfn.XLOOKUP(Assessment!#REF!,Inherited!A:A,Inherited!B:B))/100)*(_xlfn.XLOOKUP(Assessment!#REF!,Inherited!A:A,Inherited!G:G)))+(((100-(_xlfn.XLOOKUP(Assessment!#REF!,Inherited!A:A,Inherited!B:B)))/100)*IF(AB191="1.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(100%)","100"))))))&gt;=11,(((_xlfn.XLOOKUP(Assessment!#REF!,Inherited!A:A,Inherited!B:B))/100)*(_xlfn.XLOOKUP(Assessment!#REF!,Inherited!A:A,Inherited!G:G)))+(((100-(_xlfn.XLOOKUP(Assessment!#REF!,Inherited!A:A,Inherited!B:B)))/100)*IF(AB191="1.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(100%)","100"))))))&lt;=32),"25",IF(AND((((_xlfn.XLOOKUP(Assessment!#REF!,Inherited!A:A,Inherited!B:B))/100)*(_xlfn.XLOOKUP(Assessment!#REF!,Inherited!A:A,Inherited!G:G)))+(((100-(_xlfn.XLOOKUP(Assessment!#REF!,Inherited!A:A,Inherited!B:B)))/100)*IF(AB191="1.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(100%)","100"))))))&gt;=33,(((_xlfn.XLOOKUP(Assessment!#REF!,Inherited!A:A,Inherited!B:B))/100)*(_xlfn.XLOOKUP(Assessment!#REF!,Inherited!A:A,Inherited!G:G)))+(((100-(_xlfn.XLOOKUP(Assessment!#REF!,Inherited!A:A,Inherited!B:B)))/100)*IF(AB191="1.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(100%)","100"))))))&lt;=65),"50",IF(AND((((_xlfn.XLOOKUP(Assessment!#REF!,Inherited!A:A,Inherited!B:B))/100)*(_xlfn.XLOOKUP(Assessment!#REF!,Inherited!A:A,Inherited!G:G)))+(((100-(_xlfn.XLOOKUP(Assessment!#REF!,Inherited!A:A,Inherited!B:B)))/100)*IF(AB191="1.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(100%)","100"))))))&gt;=66,(((_xlfn.XLOOKUP(Assessment!#REF!,Inherited!A:A,Inherited!B:B))/100)*(_xlfn.XLOOKUP(Assessment!#REF!,Inherited!A:A,Inherited!G:G)))+(((100-(_xlfn.XLOOKUP(Assessment!#REF!,Inherited!A:A,Inherited!B:B)))/100)*IF(AB191="1.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(100%)","100"))))))&lt;=89),"75",IF((((_xlfn.XLOOKUP(Assessment!#REF!,Inherited!A:A,Inherited!B:B))/100)*(_xlfn.XLOOKUP(Assessment!#REF!,Inherited!A:A,Inherited!G:G)))+(((100-(_xlfn.XLOOKUP(Assessment!#REF!,Inherited!A:A,Inherited!B:B)))/100)*IF(AB191="1. Non Compliant (0%)","0",IF(AB191="2. Somewhat Compliant (25%)","25",IF(AB191="3. Partially Compliant (50%)","50",IF(AB191="4. Mostly Compliant (75%)","75",IF(AB191="5. Fully Compliant (100%)","100"))))))&gt;=90,"100"))))))</f>
        <v>#N/A</v>
      </c>
      <c r="V191" s="55" t="s">
        <v>85</v>
      </c>
      <c r="W191" s="55"/>
      <c r="X191" s="55"/>
      <c r="Y191" s="55"/>
      <c r="Z191" s="55" t="s">
        <v>86</v>
      </c>
      <c r="AA191" s="55"/>
      <c r="AB191" s="55"/>
      <c r="AK191" s="1" t="s">
        <v>10947</v>
      </c>
      <c r="AQ191" s="1" t="s">
        <v>11024</v>
      </c>
      <c r="AX191" s="3" t="str">
        <f>_xlfn.CONCAT("A-LIGN finished its review of this control on ",AR191, " during the scheduled fieldwork window (",Intro!$B$4,")."&amp; CHAR(10)&amp; CHAR(10))</f>
        <v xml:space="preserve">A-LIGN finished its review of this control on  during the scheduled fieldwork window (Fieldwork: xx/xx/xxxx - xx/xx/xxxx).
</v>
      </c>
      <c r="AY191" s="3" t="str">
        <f t="shared" si="361"/>
        <v xml:space="preserve">Inheritance note: 
Fully inherited between GCP and Azure.
</v>
      </c>
      <c r="AZ191" s="3" t="str">
        <f t="shared" si="362"/>
        <v/>
      </c>
      <c r="BA191" s="3" t="str">
        <f t="shared" si="363"/>
        <v/>
      </c>
      <c r="BB191" s="3" t="str">
        <f t="shared" si="364"/>
        <v xml:space="preserve">Inquired of the following workforce member: 
Roze Nicolas - Director of TechOps
Inquiry lead to the following conclusions: 
</v>
      </c>
      <c r="BC191" s="3" t="str">
        <f t="shared" si="365"/>
        <v/>
      </c>
      <c r="BD191" s="3" t="str">
        <f t="shared" si="366"/>
        <v xml:space="preserve">Examined the following evidence during fieldwork:
Reviewed evidence addressed the requirement statement.
</v>
      </c>
      <c r="BE191" s="3" t="str">
        <f t="shared" si="367"/>
        <v/>
      </c>
      <c r="BF191" s="3" t="str">
        <f t="shared" si="368"/>
        <v/>
      </c>
      <c r="BG191" s="3" t="str">
        <f>_xlfn.CONCAT((IF((COUNTIF('Sample Tables'!B:B,"")&gt;0)=TRUE,_xlfn.CONCAT("",""),IF((COUNTIF('Sample Tables'!B:B,"")&gt;0)=FALSE,""))),)</f>
        <v/>
      </c>
      <c r="BH191" s="3" t="str">
        <f t="shared" si="369"/>
        <v xml:space="preserve">A-LIGN finished its review of this control on  during the scheduled fieldwork window (Fieldwork: xx/xx/xxxx - xx/xx/xxxx).
Inheritance note: 
Fully inherited between GCP and Azure.
Inquired of the following workforce member: 
Roze Nicolas - Director of TechOps
Inquiry lead to the following conclusions: 
Examined the following evidence during fieldwork:
Reviewed evidence addressed the requirement statement.
</v>
      </c>
    </row>
    <row r="192" spans="3:60" ht="300" x14ac:dyDescent="0.35">
      <c r="C192" s="1">
        <f t="shared" si="360"/>
        <v>0</v>
      </c>
      <c r="D192" s="5" t="str">
        <f>IF(AND((_xlfn.XLOOKUP(J192,'Fields &amp; Revisions'!$H:$H,'Fields &amp; Revisions'!$I:$I))&lt;70.99,(OR(Z192="4. Mostly Compliant (75%)",Z192="3. Partially Compliant (50%)",Z192="2. Somewhat Compliant (25%)",Z192="1. Non Compliant (0%)"))),"Yes","No")</f>
        <v>Yes</v>
      </c>
      <c r="E192" s="5" t="str">
        <f>IF(ISERROR(VLOOKUP(H192,Scope!A:A,1,FALSE)),"No","Yes")</f>
        <v>Yes</v>
      </c>
      <c r="F192" s="1" t="s">
        <v>5280</v>
      </c>
      <c r="G192" s="53" t="s">
        <v>5628</v>
      </c>
      <c r="H192" s="53" t="s">
        <v>5629</v>
      </c>
      <c r="I192" s="5">
        <v>1</v>
      </c>
      <c r="J192" s="1" t="s">
        <v>5316</v>
      </c>
      <c r="K192" s="1" t="s">
        <v>5630</v>
      </c>
      <c r="L192" s="1" t="s">
        <v>5631</v>
      </c>
      <c r="M192" s="1" t="s">
        <v>5632</v>
      </c>
      <c r="N192" s="5" t="s">
        <v>98</v>
      </c>
      <c r="O192" s="1" t="str">
        <f>_xlfn.XLOOKUP(G192,SRMs!$A:$A,SRMs!$D:$D)</f>
        <v>FULL INHERITANCE</v>
      </c>
      <c r="P192" s="1" t="str">
        <f>IFERROR(VLOOKUP(H192,Inherited!A:B,2,FALSE),"")</f>
        <v/>
      </c>
      <c r="Q192" s="1" t="e">
        <f>IF(MATCH(H192,Inherited!A:A),IF((((_xlfn.XLOOKUP(Assessment!#REF!,Inherited!A:A,Inherited!B:B))/100)*(_xlfn.XLOOKUP(Assessment!#REF!,Inherited!A:A,Inherited!C:C)))+(((100-(_xlfn.XLOOKUP(Assessment!#REF!,Inherited!A:A,Inherited!B:B)))/100)*IF(X192="1.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(100%)","100"))))))&lt;=10,"0", IF(AND((((_xlfn.XLOOKUP(Assessment!#REF!,Inherited!A:A,Inherited!B:B))/100)*(_xlfn.XLOOKUP(Assessment!#REF!,Inherited!A:A,Inherited!C:C)))+(((100-(_xlfn.XLOOKUP(Assessment!#REF!,Inherited!A:A,Inherited!B:B)))/100)*IF(X192="1.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(100%)","100"))))))&gt;=11,(((_xlfn.XLOOKUP(Assessment!#REF!,Inherited!A:A,Inherited!B:B))/100)*(_xlfn.XLOOKUP(Assessment!#REF!,Inherited!A:A,Inherited!C:C)))+(((100-(_xlfn.XLOOKUP(Assessment!#REF!,Inherited!A:A,Inherited!B:B)))/100)*IF(X192="1.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(100%)","100"))))))&lt;=32),"25",IF(AND((((_xlfn.XLOOKUP(Assessment!#REF!,Inherited!A:A,Inherited!B:B))/100)*(_xlfn.XLOOKUP(Assessment!#REF!,Inherited!A:A,Inherited!C:C)))+(((100-(_xlfn.XLOOKUP(Assessment!#REF!,Inherited!A:A,Inherited!B:B)))/100)*IF(X192="1.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(100%)","100"))))))&gt;=33,(((_xlfn.XLOOKUP(Assessment!#REF!,Inherited!A:A,Inherited!B:B))/100)*(_xlfn.XLOOKUP(Assessment!#REF!,Inherited!A:A,Inherited!C:C)))+(((100-(_xlfn.XLOOKUP(Assessment!#REF!,Inherited!A:A,Inherited!B:B)))/100)*IF(X192="1.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(100%)","100"))))))&lt;=65),"50",IF(AND((((_xlfn.XLOOKUP(Assessment!#REF!,Inherited!A:A,Inherited!B:B))/100)*(_xlfn.XLOOKUP(Assessment!#REF!,Inherited!A:A,Inherited!C:C)))+(((100-(_xlfn.XLOOKUP(Assessment!#REF!,Inherited!A:A,Inherited!B:B)))/100)*IF(X192="1.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(100%)","100"))))))&gt;=66,(((_xlfn.XLOOKUP(Assessment!#REF!,Inherited!A:A,Inherited!B:B))/100)*(_xlfn.XLOOKUP(Assessment!#REF!,Inherited!A:A,Inherited!C:C)))+(((100-(_xlfn.XLOOKUP(Assessment!#REF!,Inherited!A:A,Inherited!B:B)))/100)*IF(X192="1.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(100%)","100"))))))&lt;=89),"75",IF((((_xlfn.XLOOKUP(Assessment!#REF!,Inherited!A:A,Inherited!B:B))/100)*(_xlfn.XLOOKUP(Assessment!#REF!,Inherited!A:A,Inherited!C:C)))+(((100-(_xlfn.XLOOKUP(Assessment!#REF!,Inherited!A:A,Inherited!B:B)))/100)*IF(X192="1. Non Compliant (0%)","0",IF(X192="2. Somewhat Compliant (25%)","25",IF(X192="3. Partially Compliant (50%)","50",IF(X192="4. Mostly Compliant (75%)","75",IF(X192="5. Fully Compliant (100%)","100"))))))&gt;=90,"100"))))))</f>
        <v>#N/A</v>
      </c>
      <c r="R192" s="1" t="e">
        <f>IF(MATCH(H192,Inherited!A:A),IF((((_xlfn.XLOOKUP(Assessment!#REF!,Inherited!A:A,Inherited!B:B))/100)*(_xlfn.XLOOKUP(Assessment!#REF!,Inherited!A:A,Inherited!D:D)))+(((100-(_xlfn.XLOOKUP(Assessment!#REF!,Inherited!A:A,Inherited!B:B)))/100)*IF(Y192="1.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(100%)","100"))))))&lt;=10,"0", IF(AND((((_xlfn.XLOOKUP(Assessment!#REF!,Inherited!A:A,Inherited!B:B))/100)*(_xlfn.XLOOKUP(Assessment!#REF!,Inherited!A:A,Inherited!D:D)))+(((100-(_xlfn.XLOOKUP(Assessment!#REF!,Inherited!A:A,Inherited!B:B)))/100)*IF(Y192="1.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(100%)","100"))))))&gt;=11,(((_xlfn.XLOOKUP(Assessment!#REF!,Inherited!A:A,Inherited!B:B))/100)*(_xlfn.XLOOKUP(Assessment!#REF!,Inherited!A:A,Inherited!D:D)))+(((100-(_xlfn.XLOOKUP(Assessment!#REF!,Inherited!A:A,Inherited!B:B)))/100)*IF(Y192="1.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(100%)","100"))))))&lt;=32),"25",IF(AND((((_xlfn.XLOOKUP(Assessment!#REF!,Inherited!A:A,Inherited!B:B))/100)*(_xlfn.XLOOKUP(Assessment!#REF!,Inherited!A:A,Inherited!D:D)))+(((100-(_xlfn.XLOOKUP(Assessment!#REF!,Inherited!A:A,Inherited!B:B)))/100)*IF(Y192="1.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(100%)","100"))))))&gt;=33,(((_xlfn.XLOOKUP(Assessment!#REF!,Inherited!A:A,Inherited!B:B))/100)*(_xlfn.XLOOKUP(Assessment!#REF!,Inherited!A:A,Inherited!D:D)))+(((100-(_xlfn.XLOOKUP(Assessment!#REF!,Inherited!A:A,Inherited!B:B)))/100)*IF(Y192="1.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(100%)","100"))))))&lt;=65),"50",IF(AND((((_xlfn.XLOOKUP(Assessment!#REF!,Inherited!A:A,Inherited!B:B))/100)*(_xlfn.XLOOKUP(Assessment!#REF!,Inherited!A:A,Inherited!D:D)))+(((100-(_xlfn.XLOOKUP(Assessment!#REF!,Inherited!A:A,Inherited!B:B)))/100)*IF(Y192="1.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(100%)","100"))))))&gt;=66,(((_xlfn.XLOOKUP(Assessment!#REF!,Inherited!A:A,Inherited!B:B))/100)*(_xlfn.XLOOKUP(Assessment!#REF!,Inherited!A:A,Inherited!D:D)))+(((100-(_xlfn.XLOOKUP(Assessment!#REF!,Inherited!A:A,Inherited!B:B)))/100)*IF(Y192="1.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(100%)","100"))))))&lt;=89),"75",IF((((_xlfn.XLOOKUP(Assessment!#REF!,Inherited!A:A,Inherited!B:B))/100)*(_xlfn.XLOOKUP(Assessment!#REF!,Inherited!A:A,Inherited!D:D)))+(((100-(_xlfn.XLOOKUP(Assessment!#REF!,Inherited!A:A,Inherited!B:B)))/100)*IF(Y192="1. Non Compliant (0%)","0",IF(Y192="2. Somewhat Compliant (25%)","25",IF(Y192="3. Partially Compliant (50%)","50",IF(Y192="4. Mostly Compliant (75%)","75",IF(Y192="5. Fully Compliant (100%)","100"))))))&gt;=90,"100"))))))</f>
        <v>#N/A</v>
      </c>
      <c r="S192" s="1" t="e">
        <f>IF(MATCH(H192,Inherited!A:A),IF((((_xlfn.XLOOKUP(Assessment!#REF!,Inherited!A:A,Inherited!B:B))/100)*(_xlfn.XLOOKUP(Assessment!#REF!,Inherited!A:A,Inherited!E:E)))+(((100-(_xlfn.XLOOKUP(Assessment!#REF!,Inherited!A:A,Inherited!B:B)))/100)*IF(Z192="1.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(100%)","100"))))))&lt;=10,"0", IF(AND((((_xlfn.XLOOKUP(Assessment!#REF!,Inherited!A:A,Inherited!B:B))/100)*(_xlfn.XLOOKUP(Assessment!#REF!,Inherited!A:A,Inherited!E:E)))+(((100-(_xlfn.XLOOKUP(Assessment!#REF!,Inherited!A:A,Inherited!B:B)))/100)*IF(Z192="1.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(100%)","100"))))))&gt;=11,(((_xlfn.XLOOKUP(Assessment!#REF!,Inherited!A:A,Inherited!B:B))/100)*(_xlfn.XLOOKUP(Assessment!#REF!,Inherited!A:A,Inherited!E:E)))+(((100-(_xlfn.XLOOKUP(Assessment!#REF!,Inherited!A:A,Inherited!B:B)))/100)*IF(Z192="1.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(100%)","100"))))))&lt;=32),"25",IF(AND((((_xlfn.XLOOKUP(Assessment!#REF!,Inherited!A:A,Inherited!B:B))/100)*(_xlfn.XLOOKUP(Assessment!#REF!,Inherited!A:A,Inherited!E:E)))+(((100-(_xlfn.XLOOKUP(Assessment!#REF!,Inherited!A:A,Inherited!B:B)))/100)*IF(Z192="1.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(100%)","100"))))))&gt;=33,(((_xlfn.XLOOKUP(Assessment!#REF!,Inherited!A:A,Inherited!B:B))/100)*(_xlfn.XLOOKUP(Assessment!#REF!,Inherited!A:A,Inherited!E:E)))+(((100-(_xlfn.XLOOKUP(Assessment!#REF!,Inherited!A:A,Inherited!B:B)))/100)*IF(Z192="1.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(100%)","100"))))))&lt;=65),"50",IF(AND((((_xlfn.XLOOKUP(Assessment!#REF!,Inherited!A:A,Inherited!B:B))/100)*(_xlfn.XLOOKUP(Assessment!#REF!,Inherited!A:A,Inherited!E:E)))+(((100-(_xlfn.XLOOKUP(Assessment!#REF!,Inherited!A:A,Inherited!B:B)))/100)*IF(Z192="1.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(100%)","100"))))))&gt;=66,(((_xlfn.XLOOKUP(Assessment!#REF!,Inherited!A:A,Inherited!B:B))/100)*(_xlfn.XLOOKUP(Assessment!#REF!,Inherited!A:A,Inherited!E:E)))+(((100-(_xlfn.XLOOKUP(Assessment!#REF!,Inherited!A:A,Inherited!B:B)))/100)*IF(Z192="1.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(100%)","100"))))))&lt;=89),"75",IF((((_xlfn.XLOOKUP(Assessment!#REF!,Inherited!A:A,Inherited!B:B))/100)*(_xlfn.XLOOKUP(Assessment!#REF!,Inherited!A:A,Inherited!E:E)))+(((100-(_xlfn.XLOOKUP(Assessment!#REF!,Inherited!A:A,Inherited!B:B)))/100)*IF(Z192="1. Non Compliant (0%)","0",IF(Z192="2. Somewhat Compliant (25%)","25",IF(Z192="3. Partially Compliant (50%)","50",IF(Z192="4. Mostly Compliant (75%)","75",IF(Z192="5. Fully Compliant (100%)","100"))))))&gt;=90,"100"))))))</f>
        <v>#N/A</v>
      </c>
      <c r="T192" s="1" t="e">
        <f>IF(MATCH(H192,Inherited!A:A),IF((((_xlfn.XLOOKUP(Assessment!#REF!,Inherited!A:A,Inherited!B:B))/100)*(_xlfn.XLOOKUP(Assessment!#REF!,Inherited!A:A,Inherited!F:F)))+(((100-(_xlfn.XLOOKUP(Assessment!#REF!,Inherited!A:A,Inherited!B:B)))/100)*IF(AA192="1.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(100%)","100"))))))&lt;=10,"0", IF(AND((((_xlfn.XLOOKUP(Assessment!#REF!,Inherited!A:A,Inherited!B:B))/100)*(_xlfn.XLOOKUP(Assessment!#REF!,Inherited!A:A,Inherited!F:F)))+(((100-(_xlfn.XLOOKUP(Assessment!#REF!,Inherited!A:A,Inherited!B:B)))/100)*IF(AA192="1.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(100%)","100"))))))&gt;=11,(((_xlfn.XLOOKUP(Assessment!#REF!,Inherited!A:A,Inherited!B:B))/100)*(_xlfn.XLOOKUP(Assessment!#REF!,Inherited!A:A,Inherited!F:F)))+(((100-(_xlfn.XLOOKUP(Assessment!#REF!,Inherited!A:A,Inherited!B:B)))/100)*IF(AA192="1.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(100%)","100"))))))&lt;=32),"25",IF(AND((((_xlfn.XLOOKUP(Assessment!#REF!,Inherited!A:A,Inherited!B:B))/100)*(_xlfn.XLOOKUP(Assessment!#REF!,Inherited!A:A,Inherited!F:F)))+(((100-(_xlfn.XLOOKUP(Assessment!#REF!,Inherited!A:A,Inherited!B:B)))/100)*IF(AA192="1.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(100%)","100"))))))&gt;=33,(((_xlfn.XLOOKUP(Assessment!#REF!,Inherited!A:A,Inherited!B:B))/100)*(_xlfn.XLOOKUP(Assessment!#REF!,Inherited!A:A,Inherited!F:F)))+(((100-(_xlfn.XLOOKUP(Assessment!#REF!,Inherited!A:A,Inherited!B:B)))/100)*IF(AA192="1.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(100%)","100"))))))&lt;=65),"50",IF(AND((((_xlfn.XLOOKUP(Assessment!#REF!,Inherited!A:A,Inherited!B:B))/100)*(_xlfn.XLOOKUP(Assessment!#REF!,Inherited!A:A,Inherited!F:F)))+(((100-(_xlfn.XLOOKUP(Assessment!#REF!,Inherited!A:A,Inherited!B:B)))/100)*IF(AA192="1.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(100%)","100"))))))&gt;=66,(((_xlfn.XLOOKUP(Assessment!#REF!,Inherited!A:A,Inherited!B:B))/100)*(_xlfn.XLOOKUP(Assessment!#REF!,Inherited!A:A,Inherited!F:F)))+(((100-(_xlfn.XLOOKUP(Assessment!#REF!,Inherited!A:A,Inherited!B:B)))/100)*IF(AA192="1.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(100%)","100"))))))&lt;=89),"75",IF((((_xlfn.XLOOKUP(Assessment!#REF!,Inherited!A:A,Inherited!B:B))/100)*(_xlfn.XLOOKUP(Assessment!#REF!,Inherited!A:A,Inherited!F:F)))+(((100-(_xlfn.XLOOKUP(Assessment!#REF!,Inherited!A:A,Inherited!B:B)))/100)*IF(AA192="1. Non Compliant (0%)","0",IF(AA192="2. Somewhat Compliant (25%)","25",IF(AA192="3. Partially Compliant (50%)","50",IF(AA192="4. Mostly Compliant (75%)","75",IF(AA192="5. Fully Compliant (100%)","100"))))))&gt;=90,"100"))))))</f>
        <v>#N/A</v>
      </c>
      <c r="U192" s="1" t="e">
        <f>IF(MATCH(H192,Inherited!A:A),IF((((_xlfn.XLOOKUP(Assessment!#REF!,Inherited!A:A,Inherited!B:B))/100)*(_xlfn.XLOOKUP(Assessment!#REF!,Inherited!A:A,Inherited!G:G)))+(((100-(_xlfn.XLOOKUP(Assessment!#REF!,Inherited!A:A,Inherited!B:B)))/100)*IF(AB192="1.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(100%)","100"))))))&lt;=10,"0", IF(AND((((_xlfn.XLOOKUP(Assessment!#REF!,Inherited!A:A,Inherited!B:B))/100)*(_xlfn.XLOOKUP(Assessment!#REF!,Inherited!A:A,Inherited!G:G)))+(((100-(_xlfn.XLOOKUP(Assessment!#REF!,Inherited!A:A,Inherited!B:B)))/100)*IF(AB192="1.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(100%)","100"))))))&gt;=11,(((_xlfn.XLOOKUP(Assessment!#REF!,Inherited!A:A,Inherited!B:B))/100)*(_xlfn.XLOOKUP(Assessment!#REF!,Inherited!A:A,Inherited!G:G)))+(((100-(_xlfn.XLOOKUP(Assessment!#REF!,Inherited!A:A,Inherited!B:B)))/100)*IF(AB192="1.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(100%)","100"))))))&lt;=32),"25",IF(AND((((_xlfn.XLOOKUP(Assessment!#REF!,Inherited!A:A,Inherited!B:B))/100)*(_xlfn.XLOOKUP(Assessment!#REF!,Inherited!A:A,Inherited!G:G)))+(((100-(_xlfn.XLOOKUP(Assessment!#REF!,Inherited!A:A,Inherited!B:B)))/100)*IF(AB192="1.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(100%)","100"))))))&gt;=33,(((_xlfn.XLOOKUP(Assessment!#REF!,Inherited!A:A,Inherited!B:B))/100)*(_xlfn.XLOOKUP(Assessment!#REF!,Inherited!A:A,Inherited!G:G)))+(((100-(_xlfn.XLOOKUP(Assessment!#REF!,Inherited!A:A,Inherited!B:B)))/100)*IF(AB192="1.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(100%)","100"))))))&lt;=65),"50",IF(AND((((_xlfn.XLOOKUP(Assessment!#REF!,Inherited!A:A,Inherited!B:B))/100)*(_xlfn.XLOOKUP(Assessment!#REF!,Inherited!A:A,Inherited!G:G)))+(((100-(_xlfn.XLOOKUP(Assessment!#REF!,Inherited!A:A,Inherited!B:B)))/100)*IF(AB192="1.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(100%)","100"))))))&gt;=66,(((_xlfn.XLOOKUP(Assessment!#REF!,Inherited!A:A,Inherited!B:B))/100)*(_xlfn.XLOOKUP(Assessment!#REF!,Inherited!A:A,Inherited!G:G)))+(((100-(_xlfn.XLOOKUP(Assessment!#REF!,Inherited!A:A,Inherited!B:B)))/100)*IF(AB192="1.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(100%)","100"))))))&lt;=89),"75",IF((((_xlfn.XLOOKUP(Assessment!#REF!,Inherited!A:A,Inherited!B:B))/100)*(_xlfn.XLOOKUP(Assessment!#REF!,Inherited!A:A,Inherited!G:G)))+(((100-(_xlfn.XLOOKUP(Assessment!#REF!,Inherited!A:A,Inherited!B:B)))/100)*IF(AB192="1. Non Compliant (0%)","0",IF(AB192="2. Somewhat Compliant (25%)","25",IF(AB192="3. Partially Compliant (50%)","50",IF(AB192="4. Mostly Compliant (75%)","75",IF(AB192="5. Fully Compliant (100%)","100"))))))&gt;=90,"100"))))))</f>
        <v>#N/A</v>
      </c>
      <c r="V192" s="55" t="s">
        <v>85</v>
      </c>
      <c r="W192" s="55"/>
      <c r="X192" s="55"/>
      <c r="Y192" s="55"/>
      <c r="Z192" s="55" t="s">
        <v>10873</v>
      </c>
      <c r="AA192" s="55"/>
      <c r="AB192" s="55"/>
      <c r="AK192" s="1" t="s">
        <v>10947</v>
      </c>
      <c r="AP192" s="1" t="s">
        <v>11026</v>
      </c>
      <c r="AX192" s="3" t="str">
        <f>_xlfn.CONCAT("A-LIGN finished its review of this control on ",AR192, " during the scheduled fieldwork window (",Intro!$B$4,")."&amp; CHAR(10)&amp; CHAR(10))</f>
        <v xml:space="preserve">A-LIGN finished its review of this control on  during the scheduled fieldwork window (Fieldwork: xx/xx/xxxx - xx/xx/xxxx).
</v>
      </c>
      <c r="AY192" s="3" t="str">
        <f t="shared" si="361"/>
        <v/>
      </c>
      <c r="AZ192" s="3" t="str">
        <f t="shared" si="362"/>
        <v/>
      </c>
      <c r="BA192" s="3" t="str">
        <f t="shared" si="363"/>
        <v/>
      </c>
      <c r="BB192" s="3" t="str">
        <f t="shared" si="364"/>
        <v xml:space="preserve">Inquired of the following workforce member: 
Roze Nicolas - Director of TechOps
Inquiry lead to the following conclusions: 
</v>
      </c>
      <c r="BC192" s="3" t="str">
        <f t="shared" si="365"/>
        <v/>
      </c>
      <c r="BD192" s="3" t="str">
        <f t="shared" si="366"/>
        <v xml:space="preserve">Examined the following evidence during fieldwork:
Reviewed evidence addressed the requirement statement.
Reviewed evidence exception note: 
Gap: Current risk assessment does not address environmental hazards.
Recommendation: Management should ensure that environmental factors/hazards are included within the risk assessment.
</v>
      </c>
      <c r="BE192" s="3" t="str">
        <f t="shared" si="367"/>
        <v/>
      </c>
      <c r="BF192" s="3" t="str">
        <f t="shared" si="368"/>
        <v/>
      </c>
      <c r="BG192" s="3" t="str">
        <f>_xlfn.CONCAT((IF((COUNTIF('Sample Tables'!B:B,"")&gt;0)=TRUE,_xlfn.CONCAT("",""),IF((COUNTIF('Sample Tables'!B:B,"")&gt;0)=FALSE,""))),)</f>
        <v/>
      </c>
      <c r="BH192" s="3" t="str">
        <f t="shared" si="369"/>
        <v xml:space="preserve">A-LIGN finished its review of this control on  during the scheduled fieldwork window (Fieldwork: xx/xx/xxxx - xx/xx/xxxx).
Inquired of the following workforce member: 
Roze Nicolas - Director of TechOps
Inquiry lead to the following conclusions: 
Examined the following evidence during fieldwork:
Reviewed evidence addressed the requirement statement.
Reviewed evidence exception note: 
Gap: Current risk assessment does not address environmental hazards.
Recommendation: Management should ensure that environmental factors/hazards are included within the risk assessment.
</v>
      </c>
    </row>
    <row r="193" spans="3:60" ht="303" x14ac:dyDescent="0.35">
      <c r="C193" s="1">
        <f t="shared" ref="C193:C197" si="370">IF(V193="No","Not Applicable",(IF(X193="1. Non Compliant (0%)","0",IF(X193="2. Somewhat Compliant (25%)","25",IF(X193="3. Partially Compliant (50%)","50",IF(X193="4. Mostly Compliant (75%)","75",IF(X193="5. Fully Compliant (100%)","100")))))*0.15)+((IF(Y193="1. Non Compliant (0%)","0",IF(Y193="2. Somewhat Compliant (25%)","25",IF(Y193="3. Partially Compliant (50%)","50",IF(Y193="4. Mostly Compliant (75%)","75",IF(Y193="5. Fully Compliant (100%)","100"))))))*0.2)+(IF(Z193="1. Non Compliant (0%)","0",IF(Z193="2. Somewhat Compliant (25%)","25",IF(Z193="3. Partially Compliant (50%)","50",IF(Z193="4. Mostly Compliant (75%)","75",IF(Z193="5. Fully Compliant (100%)","100")))))*0.4)+(IF(AA193="1. Non Compliant (0%)","0",IF(AA193="2. Somewhat Compliant (25%)","25",IF(AA193="3. Partially Compliant (50%)","50",IF(AA193="4. Mostly Compliant (75%)","75",IF(AA193="5. Fully Compliant (100%)","100")))))*0.1)+(IF(AB193="1. Non Compliant (0%)","0",IF(AB193="2. Somewhat Compliant (25%)","25",IF(AB193="3. Partially Compliant (50%)","50",IF(AB193="4. Mostly Compliant (75%)","75",IF(AB193="5. Fully Compliant (100%)","100")))))*0.15))</f>
        <v>40</v>
      </c>
      <c r="D193" s="5" t="str">
        <f>IF(AND((_xlfn.XLOOKUP(J193,'Fields &amp; Revisions'!$H:$H,'Fields &amp; Revisions'!$I:$I))&lt;70.99,(OR(Z193="4. Mostly Compliant (75%)",Z193="3. Partially Compliant (50%)",Z193="2. Somewhat Compliant (25%)",Z193="1. Non Compliant (0%)"))),"Yes","No")</f>
        <v>No</v>
      </c>
      <c r="E193" s="5" t="str">
        <f>IF(ISERROR(VLOOKUP(H193,Scope!A:A,1,FALSE)),"No","Yes")</f>
        <v>Yes</v>
      </c>
      <c r="F193" s="1" t="s">
        <v>5280</v>
      </c>
      <c r="G193" s="53" t="s">
        <v>5647</v>
      </c>
      <c r="H193" s="53" t="s">
        <v>5648</v>
      </c>
      <c r="I193" s="5">
        <v>1</v>
      </c>
      <c r="J193" s="1" t="s">
        <v>5319</v>
      </c>
      <c r="K193" s="1" t="s">
        <v>5649</v>
      </c>
      <c r="L193" s="1" t="s">
        <v>5650</v>
      </c>
      <c r="M193" s="1" t="s">
        <v>5651</v>
      </c>
      <c r="N193" s="5" t="s">
        <v>85</v>
      </c>
      <c r="O193" s="1" t="str">
        <f>_xlfn.XLOOKUP(G193,SRMs!$A:$A,SRMs!$D:$D)</f>
        <v>FULL INHERITANCE</v>
      </c>
      <c r="P193" s="1" t="str">
        <f>IFERROR(VLOOKUP(H193,Inherited!A:B,2,FALSE),"")</f>
        <v/>
      </c>
      <c r="Q193" s="1" t="e">
        <f>IF(MATCH(H193,Inherited!A:A),IF((((_xlfn.XLOOKUP(Assessment!#REF!,Inherited!A:A,Inherited!B:B))/100)*(_xlfn.XLOOKUP(Assessment!#REF!,Inherited!A:A,Inherited!C:C)))+(((100-(_xlfn.XLOOKUP(Assessment!#REF!,Inherited!A:A,Inherited!B:B)))/100)*IF(X193="1.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(100%)","100"))))))&lt;=10,"0", IF(AND((((_xlfn.XLOOKUP(Assessment!#REF!,Inherited!A:A,Inherited!B:B))/100)*(_xlfn.XLOOKUP(Assessment!#REF!,Inherited!A:A,Inherited!C:C)))+(((100-(_xlfn.XLOOKUP(Assessment!#REF!,Inherited!A:A,Inherited!B:B)))/100)*IF(X193="1.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(100%)","100"))))))&gt;=11,(((_xlfn.XLOOKUP(Assessment!#REF!,Inherited!A:A,Inherited!B:B))/100)*(_xlfn.XLOOKUP(Assessment!#REF!,Inherited!A:A,Inherited!C:C)))+(((100-(_xlfn.XLOOKUP(Assessment!#REF!,Inherited!A:A,Inherited!B:B)))/100)*IF(X193="1.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(100%)","100"))))))&lt;=32),"25",IF(AND((((_xlfn.XLOOKUP(Assessment!#REF!,Inherited!A:A,Inherited!B:B))/100)*(_xlfn.XLOOKUP(Assessment!#REF!,Inherited!A:A,Inherited!C:C)))+(((100-(_xlfn.XLOOKUP(Assessment!#REF!,Inherited!A:A,Inherited!B:B)))/100)*IF(X193="1.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(100%)","100"))))))&gt;=33,(((_xlfn.XLOOKUP(Assessment!#REF!,Inherited!A:A,Inherited!B:B))/100)*(_xlfn.XLOOKUP(Assessment!#REF!,Inherited!A:A,Inherited!C:C)))+(((100-(_xlfn.XLOOKUP(Assessment!#REF!,Inherited!A:A,Inherited!B:B)))/100)*IF(X193="1.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(100%)","100"))))))&lt;=65),"50",IF(AND((((_xlfn.XLOOKUP(Assessment!#REF!,Inherited!A:A,Inherited!B:B))/100)*(_xlfn.XLOOKUP(Assessment!#REF!,Inherited!A:A,Inherited!C:C)))+(((100-(_xlfn.XLOOKUP(Assessment!#REF!,Inherited!A:A,Inherited!B:B)))/100)*IF(X193="1.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(100%)","100"))))))&gt;=66,(((_xlfn.XLOOKUP(Assessment!#REF!,Inherited!A:A,Inherited!B:B))/100)*(_xlfn.XLOOKUP(Assessment!#REF!,Inherited!A:A,Inherited!C:C)))+(((100-(_xlfn.XLOOKUP(Assessment!#REF!,Inherited!A:A,Inherited!B:B)))/100)*IF(X193="1.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(100%)","100"))))))&lt;=89),"75",IF((((_xlfn.XLOOKUP(Assessment!#REF!,Inherited!A:A,Inherited!B:B))/100)*(_xlfn.XLOOKUP(Assessment!#REF!,Inherited!A:A,Inherited!C:C)))+(((100-(_xlfn.XLOOKUP(Assessment!#REF!,Inherited!A:A,Inherited!B:B)))/100)*IF(X193="1. Non Compliant (0%)","0",IF(X193="2. Somewhat Compliant (25%)","25",IF(X193="3. Partially Compliant (50%)","50",IF(X193="4. Mostly Compliant (75%)","75",IF(X193="5. Fully Compliant (100%)","100"))))))&gt;=90,"100"))))))</f>
        <v>#N/A</v>
      </c>
      <c r="R193" s="1" t="e">
        <f>IF(MATCH(H193,Inherited!A:A),IF((((_xlfn.XLOOKUP(Assessment!#REF!,Inherited!A:A,Inherited!B:B))/100)*(_xlfn.XLOOKUP(Assessment!#REF!,Inherited!A:A,Inherited!D:D)))+(((100-(_xlfn.XLOOKUP(Assessment!#REF!,Inherited!A:A,Inherited!B:B)))/100)*IF(Y193="1.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(100%)","100"))))))&lt;=10,"0", IF(AND((((_xlfn.XLOOKUP(Assessment!#REF!,Inherited!A:A,Inherited!B:B))/100)*(_xlfn.XLOOKUP(Assessment!#REF!,Inherited!A:A,Inherited!D:D)))+(((100-(_xlfn.XLOOKUP(Assessment!#REF!,Inherited!A:A,Inherited!B:B)))/100)*IF(Y193="1.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(100%)","100"))))))&gt;=11,(((_xlfn.XLOOKUP(Assessment!#REF!,Inherited!A:A,Inherited!B:B))/100)*(_xlfn.XLOOKUP(Assessment!#REF!,Inherited!A:A,Inherited!D:D)))+(((100-(_xlfn.XLOOKUP(Assessment!#REF!,Inherited!A:A,Inherited!B:B)))/100)*IF(Y193="1.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(100%)","100"))))))&lt;=32),"25",IF(AND((((_xlfn.XLOOKUP(Assessment!#REF!,Inherited!A:A,Inherited!B:B))/100)*(_xlfn.XLOOKUP(Assessment!#REF!,Inherited!A:A,Inherited!D:D)))+(((100-(_xlfn.XLOOKUP(Assessment!#REF!,Inherited!A:A,Inherited!B:B)))/100)*IF(Y193="1.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(100%)","100"))))))&gt;=33,(((_xlfn.XLOOKUP(Assessment!#REF!,Inherited!A:A,Inherited!B:B))/100)*(_xlfn.XLOOKUP(Assessment!#REF!,Inherited!A:A,Inherited!D:D)))+(((100-(_xlfn.XLOOKUP(Assessment!#REF!,Inherited!A:A,Inherited!B:B)))/100)*IF(Y193="1.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(100%)","100"))))))&lt;=65),"50",IF(AND((((_xlfn.XLOOKUP(Assessment!#REF!,Inherited!A:A,Inherited!B:B))/100)*(_xlfn.XLOOKUP(Assessment!#REF!,Inherited!A:A,Inherited!D:D)))+(((100-(_xlfn.XLOOKUP(Assessment!#REF!,Inherited!A:A,Inherited!B:B)))/100)*IF(Y193="1.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(100%)","100"))))))&gt;=66,(((_xlfn.XLOOKUP(Assessment!#REF!,Inherited!A:A,Inherited!B:B))/100)*(_xlfn.XLOOKUP(Assessment!#REF!,Inherited!A:A,Inherited!D:D)))+(((100-(_xlfn.XLOOKUP(Assessment!#REF!,Inherited!A:A,Inherited!B:B)))/100)*IF(Y193="1.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(100%)","100"))))))&lt;=89),"75",IF((((_xlfn.XLOOKUP(Assessment!#REF!,Inherited!A:A,Inherited!B:B))/100)*(_xlfn.XLOOKUP(Assessment!#REF!,Inherited!A:A,Inherited!D:D)))+(((100-(_xlfn.XLOOKUP(Assessment!#REF!,Inherited!A:A,Inherited!B:B)))/100)*IF(Y193="1. Non Compliant (0%)","0",IF(Y193="2. Somewhat Compliant (25%)","25",IF(Y193="3. Partially Compliant (50%)","50",IF(Y193="4. Mostly Compliant (75%)","75",IF(Y193="5. Fully Compliant (100%)","100"))))))&gt;=90,"100"))))))</f>
        <v>#N/A</v>
      </c>
      <c r="S193" s="1" t="e">
        <f>IF(MATCH(H193,Inherited!A:A),IF((((_xlfn.XLOOKUP(Assessment!#REF!,Inherited!A:A,Inherited!B:B))/100)*(_xlfn.XLOOKUP(Assessment!#REF!,Inherited!A:A,Inherited!E:E)))+(((100-(_xlfn.XLOOKUP(Assessment!#REF!,Inherited!A:A,Inherited!B:B)))/100)*IF(Z193="1.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(100%)","100"))))))&lt;=10,"0", IF(AND((((_xlfn.XLOOKUP(Assessment!#REF!,Inherited!A:A,Inherited!B:B))/100)*(_xlfn.XLOOKUP(Assessment!#REF!,Inherited!A:A,Inherited!E:E)))+(((100-(_xlfn.XLOOKUP(Assessment!#REF!,Inherited!A:A,Inherited!B:B)))/100)*IF(Z193="1.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(100%)","100"))))))&gt;=11,(((_xlfn.XLOOKUP(Assessment!#REF!,Inherited!A:A,Inherited!B:B))/100)*(_xlfn.XLOOKUP(Assessment!#REF!,Inherited!A:A,Inherited!E:E)))+(((100-(_xlfn.XLOOKUP(Assessment!#REF!,Inherited!A:A,Inherited!B:B)))/100)*IF(Z193="1.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(100%)","100"))))))&lt;=32),"25",IF(AND((((_xlfn.XLOOKUP(Assessment!#REF!,Inherited!A:A,Inherited!B:B))/100)*(_xlfn.XLOOKUP(Assessment!#REF!,Inherited!A:A,Inherited!E:E)))+(((100-(_xlfn.XLOOKUP(Assessment!#REF!,Inherited!A:A,Inherited!B:B)))/100)*IF(Z193="1.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(100%)","100"))))))&gt;=33,(((_xlfn.XLOOKUP(Assessment!#REF!,Inherited!A:A,Inherited!B:B))/100)*(_xlfn.XLOOKUP(Assessment!#REF!,Inherited!A:A,Inherited!E:E)))+(((100-(_xlfn.XLOOKUP(Assessment!#REF!,Inherited!A:A,Inherited!B:B)))/100)*IF(Z193="1.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(100%)","100"))))))&lt;=65),"50",IF(AND((((_xlfn.XLOOKUP(Assessment!#REF!,Inherited!A:A,Inherited!B:B))/100)*(_xlfn.XLOOKUP(Assessment!#REF!,Inherited!A:A,Inherited!E:E)))+(((100-(_xlfn.XLOOKUP(Assessment!#REF!,Inherited!A:A,Inherited!B:B)))/100)*IF(Z193="1.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(100%)","100"))))))&gt;=66,(((_xlfn.XLOOKUP(Assessment!#REF!,Inherited!A:A,Inherited!B:B))/100)*(_xlfn.XLOOKUP(Assessment!#REF!,Inherited!A:A,Inherited!E:E)))+(((100-(_xlfn.XLOOKUP(Assessment!#REF!,Inherited!A:A,Inherited!B:B)))/100)*IF(Z193="1.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(100%)","100"))))))&lt;=89),"75",IF((((_xlfn.XLOOKUP(Assessment!#REF!,Inherited!A:A,Inherited!B:B))/100)*(_xlfn.XLOOKUP(Assessment!#REF!,Inherited!A:A,Inherited!E:E)))+(((100-(_xlfn.XLOOKUP(Assessment!#REF!,Inherited!A:A,Inherited!B:B)))/100)*IF(Z193="1. Non Compliant (0%)","0",IF(Z193="2. Somewhat Compliant (25%)","25",IF(Z193="3. Partially Compliant (50%)","50",IF(Z193="4. Mostly Compliant (75%)","75",IF(Z193="5. Fully Compliant (100%)","100"))))))&gt;=90,"100"))))))</f>
        <v>#N/A</v>
      </c>
      <c r="T193" s="1" t="e">
        <f>IF(MATCH(H193,Inherited!A:A),IF((((_xlfn.XLOOKUP(Assessment!#REF!,Inherited!A:A,Inherited!B:B))/100)*(_xlfn.XLOOKUP(Assessment!#REF!,Inherited!A:A,Inherited!F:F)))+(((100-(_xlfn.XLOOKUP(Assessment!#REF!,Inherited!A:A,Inherited!B:B)))/100)*IF(AA193="1.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(100%)","100"))))))&lt;=10,"0", IF(AND((((_xlfn.XLOOKUP(Assessment!#REF!,Inherited!A:A,Inherited!B:B))/100)*(_xlfn.XLOOKUP(Assessment!#REF!,Inherited!A:A,Inherited!F:F)))+(((100-(_xlfn.XLOOKUP(Assessment!#REF!,Inherited!A:A,Inherited!B:B)))/100)*IF(AA193="1.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(100%)","100"))))))&gt;=11,(((_xlfn.XLOOKUP(Assessment!#REF!,Inherited!A:A,Inherited!B:B))/100)*(_xlfn.XLOOKUP(Assessment!#REF!,Inherited!A:A,Inherited!F:F)))+(((100-(_xlfn.XLOOKUP(Assessment!#REF!,Inherited!A:A,Inherited!B:B)))/100)*IF(AA193="1.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(100%)","100"))))))&lt;=32),"25",IF(AND((((_xlfn.XLOOKUP(Assessment!#REF!,Inherited!A:A,Inherited!B:B))/100)*(_xlfn.XLOOKUP(Assessment!#REF!,Inherited!A:A,Inherited!F:F)))+(((100-(_xlfn.XLOOKUP(Assessment!#REF!,Inherited!A:A,Inherited!B:B)))/100)*IF(AA193="1.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(100%)","100"))))))&gt;=33,(((_xlfn.XLOOKUP(Assessment!#REF!,Inherited!A:A,Inherited!B:B))/100)*(_xlfn.XLOOKUP(Assessment!#REF!,Inherited!A:A,Inherited!F:F)))+(((100-(_xlfn.XLOOKUP(Assessment!#REF!,Inherited!A:A,Inherited!B:B)))/100)*IF(AA193="1.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(100%)","100"))))))&lt;=65),"50",IF(AND((((_xlfn.XLOOKUP(Assessment!#REF!,Inherited!A:A,Inherited!B:B))/100)*(_xlfn.XLOOKUP(Assessment!#REF!,Inherited!A:A,Inherited!F:F)))+(((100-(_xlfn.XLOOKUP(Assessment!#REF!,Inherited!A:A,Inherited!B:B)))/100)*IF(AA193="1.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(100%)","100"))))))&gt;=66,(((_xlfn.XLOOKUP(Assessment!#REF!,Inherited!A:A,Inherited!B:B))/100)*(_xlfn.XLOOKUP(Assessment!#REF!,Inherited!A:A,Inherited!F:F)))+(((100-(_xlfn.XLOOKUP(Assessment!#REF!,Inherited!A:A,Inherited!B:B)))/100)*IF(AA193="1.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(100%)","100"))))))&lt;=89),"75",IF((((_xlfn.XLOOKUP(Assessment!#REF!,Inherited!A:A,Inherited!B:B))/100)*(_xlfn.XLOOKUP(Assessment!#REF!,Inherited!A:A,Inherited!F:F)))+(((100-(_xlfn.XLOOKUP(Assessment!#REF!,Inherited!A:A,Inherited!B:B)))/100)*IF(AA193="1. Non Compliant (0%)","0",IF(AA193="2. Somewhat Compliant (25%)","25",IF(AA193="3. Partially Compliant (50%)","50",IF(AA193="4. Mostly Compliant (75%)","75",IF(AA193="5. Fully Compliant (100%)","100"))))))&gt;=90,"100"))))))</f>
        <v>#N/A</v>
      </c>
      <c r="U193" s="1" t="e">
        <f>IF(MATCH(H193,Inherited!A:A),IF((((_xlfn.XLOOKUP(Assessment!#REF!,Inherited!A:A,Inherited!B:B))/100)*(_xlfn.XLOOKUP(Assessment!#REF!,Inherited!A:A,Inherited!G:G)))+(((100-(_xlfn.XLOOKUP(Assessment!#REF!,Inherited!A:A,Inherited!B:B)))/100)*IF(AB193="1.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(100%)","100"))))))&lt;=10,"0", IF(AND((((_xlfn.XLOOKUP(Assessment!#REF!,Inherited!A:A,Inherited!B:B))/100)*(_xlfn.XLOOKUP(Assessment!#REF!,Inherited!A:A,Inherited!G:G)))+(((100-(_xlfn.XLOOKUP(Assessment!#REF!,Inherited!A:A,Inherited!B:B)))/100)*IF(AB193="1.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(100%)","100"))))))&gt;=11,(((_xlfn.XLOOKUP(Assessment!#REF!,Inherited!A:A,Inherited!B:B))/100)*(_xlfn.XLOOKUP(Assessment!#REF!,Inherited!A:A,Inherited!G:G)))+(((100-(_xlfn.XLOOKUP(Assessment!#REF!,Inherited!A:A,Inherited!B:B)))/100)*IF(AB193="1.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(100%)","100"))))))&lt;=32),"25",IF(AND((((_xlfn.XLOOKUP(Assessment!#REF!,Inherited!A:A,Inherited!B:B))/100)*(_xlfn.XLOOKUP(Assessment!#REF!,Inherited!A:A,Inherited!G:G)))+(((100-(_xlfn.XLOOKUP(Assessment!#REF!,Inherited!A:A,Inherited!B:B)))/100)*IF(AB193="1.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(100%)","100"))))))&gt;=33,(((_xlfn.XLOOKUP(Assessment!#REF!,Inherited!A:A,Inherited!B:B))/100)*(_xlfn.XLOOKUP(Assessment!#REF!,Inherited!A:A,Inherited!G:G)))+(((100-(_xlfn.XLOOKUP(Assessment!#REF!,Inherited!A:A,Inherited!B:B)))/100)*IF(AB193="1.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(100%)","100"))))))&lt;=65),"50",IF(AND((((_xlfn.XLOOKUP(Assessment!#REF!,Inherited!A:A,Inherited!B:B))/100)*(_xlfn.XLOOKUP(Assessment!#REF!,Inherited!A:A,Inherited!G:G)))+(((100-(_xlfn.XLOOKUP(Assessment!#REF!,Inherited!A:A,Inherited!B:B)))/100)*IF(AB193="1.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(100%)","100"))))))&gt;=66,(((_xlfn.XLOOKUP(Assessment!#REF!,Inherited!A:A,Inherited!B:B))/100)*(_xlfn.XLOOKUP(Assessment!#REF!,Inherited!A:A,Inherited!G:G)))+(((100-(_xlfn.XLOOKUP(Assessment!#REF!,Inherited!A:A,Inherited!B:B)))/100)*IF(AB193="1.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(100%)","100"))))))&lt;=89),"75",IF((((_xlfn.XLOOKUP(Assessment!#REF!,Inherited!A:A,Inherited!B:B))/100)*(_xlfn.XLOOKUP(Assessment!#REF!,Inherited!A:A,Inherited!G:G)))+(((100-(_xlfn.XLOOKUP(Assessment!#REF!,Inherited!A:A,Inherited!B:B)))/100)*IF(AB193="1. Non Compliant (0%)","0",IF(AB193="2. Somewhat Compliant (25%)","25",IF(AB193="3. Partially Compliant (50%)","50",IF(AB193="4. Mostly Compliant (75%)","75",IF(AB193="5. Fully Compliant (100%)","100"))))))&gt;=90,"100"))))))</f>
        <v>#N/A</v>
      </c>
      <c r="V193" s="55" t="s">
        <v>85</v>
      </c>
      <c r="W193" s="55"/>
      <c r="X193" s="55"/>
      <c r="Y193" s="55"/>
      <c r="Z193" s="55" t="s">
        <v>86</v>
      </c>
      <c r="AA193" s="55"/>
      <c r="AB193" s="55"/>
      <c r="AK193" s="1" t="s">
        <v>10947</v>
      </c>
      <c r="AQ193" s="1" t="s">
        <v>11024</v>
      </c>
      <c r="AX193" s="3" t="str">
        <f>_xlfn.CONCAT("A-LIGN finished its review of this control on ",AR193, " during the scheduled fieldwork window (",Intro!$B$4,")."&amp; CHAR(10)&amp; CHAR(10))</f>
        <v xml:space="preserve">A-LIGN finished its review of this control on  during the scheduled fieldwork window (Fieldwork: xx/xx/xxxx - xx/xx/xxxx).
</v>
      </c>
      <c r="AY193" s="3" t="str">
        <f t="shared" ref="AY193:AY197" si="371">IF(AQ193&lt;&gt;"",(_xlfn.CONCAT("Inheritance note: "&amp; CHAR(10),AQ193&amp; CHAR(10)&amp; CHAR(10))),"")</f>
        <v xml:space="preserve">Inheritance note: 
Fully inherited between GCP and Azure.
</v>
      </c>
      <c r="AZ193" s="3" t="str">
        <f t="shared" ref="AZ193:AZ197" si="372">IFERROR(IF(AD193&lt;&gt;"",_xlfn.CONCAT("Examined the following policy during fieldwork:"&amp; CHAR(10),AD193&amp; CHAR(10)&amp; CHAR(10),IF(AND(X193&lt;&gt;"5. Fully Compliant (100%)",AE193&lt;&gt;""),"Reviewed policy exception note:"&amp; CHAR(10) &amp; AE193 &amp; CHAR(10) &amp; CHAR(10),"")),""),"")</f>
        <v/>
      </c>
      <c r="BA193" s="3" t="str">
        <f t="shared" ref="BA193:BA197" si="373">IFERROR(IF(AH193&lt;&gt;"",_xlfn.CONCAT("Examined the following process during fieldwork:"&amp; CHAR(10),AH193&amp; CHAR(10)&amp; CHAR(10),IF(AND(Y193&lt;&gt;"5. Fully Compliant (100%)",AI193&lt;&gt;""),"Reviewed process exception note:"&amp; CHAR(10) &amp; AI193 &amp; CHAR(10) &amp; CHAR(10),"")),""),"")</f>
        <v/>
      </c>
      <c r="BB193" s="3" t="str">
        <f t="shared" ref="BB193:BB197" si="374">IF(AK193&lt;&gt;"",(_xlfn.CONCAT("Inquired of the following workforce member: "&amp; CHAR(10),AK193&amp; CHAR(10)&amp; CHAR(10),"Inquiry lead to the following conclusions: "&amp; CHAR(10),AL193&amp; CHAR(10) &amp; CHAR(10))),"")</f>
        <v xml:space="preserve">Inquired of the following workforce member: 
Roze Nicolas - Director of TechOps
Inquiry lead to the following conclusions: 
</v>
      </c>
      <c r="BC193" s="3" t="str">
        <f t="shared" ref="BC193:BC197" si="375">IF(AM193&lt;&gt;"",(_xlfn.CONCAT("Observed the following live during fieldwork: "&amp; CHAR(10),AM193&amp; CHAR(10) &amp; CHAR(10))),"")</f>
        <v/>
      </c>
      <c r="BD193" s="3" t="str">
        <f t="shared" ref="BD193:BD197" si="376">_xlfn.CONCAT("Examined the following evidence during fieldwork:"&amp; CHAR(10),AN193&amp; CHAR(10)&amp; CHAR(10),IF(AO193&lt;&gt;"","Reviewed evidence note:"&amp; CHAR(10)&amp;AO193&amp; CHAR(10) &amp; CHAR(10),"Reviewed evidence addressed the requirement statement."&amp; CHAR(10) &amp; CHAR(10)),IF(AND(AP193&lt;&gt;"5. Fully Compliant (100%)",AP193&lt;&gt;""),"Reviewed evidence exception note: "&amp; CHAR(10) &amp; AP193 &amp; CHAR(10) &amp; CHAR(10),""))</f>
        <v xml:space="preserve">Examined the following evidence during fieldwork:
Reviewed evidence addressed the requirement statement.
</v>
      </c>
      <c r="BE193" s="3" t="str">
        <f t="shared" ref="BE193:BE197" si="377">IF(AT193&lt;&gt;"",(_xlfn.CONCAT("Examined the following measure/metric during fieldwork:"&amp; CHAR(10),AT193&amp; CHAR(10)&amp; CHAR(10),"Reviewed measure/metric note:"&amp; CHAR(10),AU193 &amp; CHAR(10) &amp; CHAR(10))),"")</f>
        <v/>
      </c>
      <c r="BF193" s="3" t="str">
        <f t="shared" ref="BF193:BF197" si="378">IF(AV193&lt;&gt;"",(_xlfn.CONCAT("Examined the following measure/metric management during fieldwork:"&amp; CHAR(10),AV193&amp; CHAR(10)&amp; CHAR(10),"Reviewed measure/metric management note:"&amp; CHAR(10),AW193 &amp; CHAR(10) &amp; CHAR(10))),"")</f>
        <v/>
      </c>
      <c r="BG193" s="3" t="str">
        <f>_xlfn.CONCAT((IF((COUNTIF('Sample Tables'!B:B,"Test 165: Information System (system component classified critical)")&gt;0)=TRUE,_xlfn.CONCAT("Sample test results are documented in ",'Sample Tables'!B1811," [",'Sample Tables'!B1812,", ",'Sample Tables'!B1813,", ",'Sample Tables'!B1814,", ",'Sample Tables'!B1815,", ",'Sample Tables'!B1816,"]."&amp;CHAR(10)),IF((COUNTIF('Sample Tables'!B:B,"Test 165: Information System (system component classified critical)")&gt;0)=FALSE,""))),)</f>
        <v xml:space="preserve">Sample test results are documented in Test 165: Information System (system component classified critical) [Population Source/Tool: , Population Date Range: , Population Size: , Sample Methodology: , Sample Size: ].
</v>
      </c>
      <c r="BH193" s="3" t="str">
        <f t="shared" ref="BH193:BH197" si="379">IF(V193="No","Not Applicable: "&amp;W193,(_xlfn.CONCAT(AX193,AY193,AZ193,BA193,BB193,BC193,BD193,BE193,BF193,BG193)))</f>
        <v xml:space="preserve">A-LIGN finished its review of this control on  during the scheduled fieldwork window (Fieldwork: xx/xx/xxxx - xx/xx/xxxx).
Inheritance note: 
Fully inherited between GCP and Azure.
Inquired of the following workforce member: 
Roze Nicolas - Director of TechOps
Inquiry lead to the following conclusions: 
Examined the following evidence during fieldwork:
Reviewed evidence addressed the requirement statement.
Sample test results are documented in Test 165: Information System (system component classified critical) [Population Source/Tool: , Population Date Range: , Population Size: , Sample Methodology: , Sample Size: ].
</v>
      </c>
    </row>
    <row r="194" spans="3:60" ht="237.5" x14ac:dyDescent="0.35">
      <c r="C194" s="1">
        <f t="shared" si="370"/>
        <v>40</v>
      </c>
      <c r="D194" s="5" t="str">
        <f>IF(AND((_xlfn.XLOOKUP(J194,'Fields &amp; Revisions'!$H:$H,'Fields &amp; Revisions'!$I:$I))&lt;70.99,(OR(Z194="4. Mostly Compliant (75%)",Z194="3. Partially Compliant (50%)",Z194="2. Somewhat Compliant (25%)",Z194="1. Non Compliant (0%)"))),"Yes","No")</f>
        <v>No</v>
      </c>
      <c r="E194" s="5" t="str">
        <f>IF(ISERROR(VLOOKUP(H194,Scope!A:A,1,FALSE)),"No","Yes")</f>
        <v>Yes</v>
      </c>
      <c r="F194" s="1" t="s">
        <v>5280</v>
      </c>
      <c r="G194" s="53" t="s">
        <v>5672</v>
      </c>
      <c r="H194" s="53" t="s">
        <v>5673</v>
      </c>
      <c r="I194" s="5">
        <v>1</v>
      </c>
      <c r="J194" s="1" t="s">
        <v>5365</v>
      </c>
      <c r="K194" s="1" t="s">
        <v>5674</v>
      </c>
      <c r="L194" s="1" t="s">
        <v>5675</v>
      </c>
      <c r="M194" s="1" t="s">
        <v>5676</v>
      </c>
      <c r="N194" s="5" t="s">
        <v>98</v>
      </c>
      <c r="O194" s="1" t="str">
        <f>_xlfn.XLOOKUP(G194,SRMs!$A:$A,SRMs!$D:$D)</f>
        <v>FULL INHERITANCE</v>
      </c>
      <c r="P194" s="1" t="str">
        <f>IFERROR(VLOOKUP(H194,Inherited!A:B,2,FALSE),"")</f>
        <v/>
      </c>
      <c r="Q194" s="1" t="e">
        <f>IF(MATCH(H194,Inherited!A:A),IF((((_xlfn.XLOOKUP(Assessment!#REF!,Inherited!A:A,Inherited!B:B))/100)*(_xlfn.XLOOKUP(Assessment!#REF!,Inherited!A:A,Inherited!C:C)))+(((100-(_xlfn.XLOOKUP(Assessment!#REF!,Inherited!A:A,Inherited!B:B)))/100)*IF(X194="1.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(100%)","100"))))))&lt;=10,"0", IF(AND((((_xlfn.XLOOKUP(Assessment!#REF!,Inherited!A:A,Inherited!B:B))/100)*(_xlfn.XLOOKUP(Assessment!#REF!,Inherited!A:A,Inherited!C:C)))+(((100-(_xlfn.XLOOKUP(Assessment!#REF!,Inherited!A:A,Inherited!B:B)))/100)*IF(X194="1.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(100%)","100"))))))&gt;=11,(((_xlfn.XLOOKUP(Assessment!#REF!,Inherited!A:A,Inherited!B:B))/100)*(_xlfn.XLOOKUP(Assessment!#REF!,Inherited!A:A,Inherited!C:C)))+(((100-(_xlfn.XLOOKUP(Assessment!#REF!,Inherited!A:A,Inherited!B:B)))/100)*IF(X194="1.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(100%)","100"))))))&lt;=32),"25",IF(AND((((_xlfn.XLOOKUP(Assessment!#REF!,Inherited!A:A,Inherited!B:B))/100)*(_xlfn.XLOOKUP(Assessment!#REF!,Inherited!A:A,Inherited!C:C)))+(((100-(_xlfn.XLOOKUP(Assessment!#REF!,Inherited!A:A,Inherited!B:B)))/100)*IF(X194="1.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(100%)","100"))))))&gt;=33,(((_xlfn.XLOOKUP(Assessment!#REF!,Inherited!A:A,Inherited!B:B))/100)*(_xlfn.XLOOKUP(Assessment!#REF!,Inherited!A:A,Inherited!C:C)))+(((100-(_xlfn.XLOOKUP(Assessment!#REF!,Inherited!A:A,Inherited!B:B)))/100)*IF(X194="1.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(100%)","100"))))))&lt;=65),"50",IF(AND((((_xlfn.XLOOKUP(Assessment!#REF!,Inherited!A:A,Inherited!B:B))/100)*(_xlfn.XLOOKUP(Assessment!#REF!,Inherited!A:A,Inherited!C:C)))+(((100-(_xlfn.XLOOKUP(Assessment!#REF!,Inherited!A:A,Inherited!B:B)))/100)*IF(X194="1.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(100%)","100"))))))&gt;=66,(((_xlfn.XLOOKUP(Assessment!#REF!,Inherited!A:A,Inherited!B:B))/100)*(_xlfn.XLOOKUP(Assessment!#REF!,Inherited!A:A,Inherited!C:C)))+(((100-(_xlfn.XLOOKUP(Assessment!#REF!,Inherited!A:A,Inherited!B:B)))/100)*IF(X194="1.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(100%)","100"))))))&lt;=89),"75",IF((((_xlfn.XLOOKUP(Assessment!#REF!,Inherited!A:A,Inherited!B:B))/100)*(_xlfn.XLOOKUP(Assessment!#REF!,Inherited!A:A,Inherited!C:C)))+(((100-(_xlfn.XLOOKUP(Assessment!#REF!,Inherited!A:A,Inherited!B:B)))/100)*IF(X194="1. Non Compliant (0%)","0",IF(X194="2. Somewhat Compliant (25%)","25",IF(X194="3. Partially Compliant (50%)","50",IF(X194="4. Mostly Compliant (75%)","75",IF(X194="5. Fully Compliant (100%)","100"))))))&gt;=90,"100"))))))</f>
        <v>#N/A</v>
      </c>
      <c r="R194" s="1" t="e">
        <f>IF(MATCH(H194,Inherited!A:A),IF((((_xlfn.XLOOKUP(Assessment!#REF!,Inherited!A:A,Inherited!B:B))/100)*(_xlfn.XLOOKUP(Assessment!#REF!,Inherited!A:A,Inherited!D:D)))+(((100-(_xlfn.XLOOKUP(Assessment!#REF!,Inherited!A:A,Inherited!B:B)))/100)*IF(Y194="1.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(100%)","100"))))))&lt;=10,"0", IF(AND((((_xlfn.XLOOKUP(Assessment!#REF!,Inherited!A:A,Inherited!B:B))/100)*(_xlfn.XLOOKUP(Assessment!#REF!,Inherited!A:A,Inherited!D:D)))+(((100-(_xlfn.XLOOKUP(Assessment!#REF!,Inherited!A:A,Inherited!B:B)))/100)*IF(Y194="1.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(100%)","100"))))))&gt;=11,(((_xlfn.XLOOKUP(Assessment!#REF!,Inherited!A:A,Inherited!B:B))/100)*(_xlfn.XLOOKUP(Assessment!#REF!,Inherited!A:A,Inherited!D:D)))+(((100-(_xlfn.XLOOKUP(Assessment!#REF!,Inherited!A:A,Inherited!B:B)))/100)*IF(Y194="1.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(100%)","100"))))))&lt;=32),"25",IF(AND((((_xlfn.XLOOKUP(Assessment!#REF!,Inherited!A:A,Inherited!B:B))/100)*(_xlfn.XLOOKUP(Assessment!#REF!,Inherited!A:A,Inherited!D:D)))+(((100-(_xlfn.XLOOKUP(Assessment!#REF!,Inherited!A:A,Inherited!B:B)))/100)*IF(Y194="1.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(100%)","100"))))))&gt;=33,(((_xlfn.XLOOKUP(Assessment!#REF!,Inherited!A:A,Inherited!B:B))/100)*(_xlfn.XLOOKUP(Assessment!#REF!,Inherited!A:A,Inherited!D:D)))+(((100-(_xlfn.XLOOKUP(Assessment!#REF!,Inherited!A:A,Inherited!B:B)))/100)*IF(Y194="1.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(100%)","100"))))))&lt;=65),"50",IF(AND((((_xlfn.XLOOKUP(Assessment!#REF!,Inherited!A:A,Inherited!B:B))/100)*(_xlfn.XLOOKUP(Assessment!#REF!,Inherited!A:A,Inherited!D:D)))+(((100-(_xlfn.XLOOKUP(Assessment!#REF!,Inherited!A:A,Inherited!B:B)))/100)*IF(Y194="1.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(100%)","100"))))))&gt;=66,(((_xlfn.XLOOKUP(Assessment!#REF!,Inherited!A:A,Inherited!B:B))/100)*(_xlfn.XLOOKUP(Assessment!#REF!,Inherited!A:A,Inherited!D:D)))+(((100-(_xlfn.XLOOKUP(Assessment!#REF!,Inherited!A:A,Inherited!B:B)))/100)*IF(Y194="1.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(100%)","100"))))))&lt;=89),"75",IF((((_xlfn.XLOOKUP(Assessment!#REF!,Inherited!A:A,Inherited!B:B))/100)*(_xlfn.XLOOKUP(Assessment!#REF!,Inherited!A:A,Inherited!D:D)))+(((100-(_xlfn.XLOOKUP(Assessment!#REF!,Inherited!A:A,Inherited!B:B)))/100)*IF(Y194="1. Non Compliant (0%)","0",IF(Y194="2. Somewhat Compliant (25%)","25",IF(Y194="3. Partially Compliant (50%)","50",IF(Y194="4. Mostly Compliant (75%)","75",IF(Y194="5. Fully Compliant (100%)","100"))))))&gt;=90,"100"))))))</f>
        <v>#N/A</v>
      </c>
      <c r="S194" s="1" t="e">
        <f>IF(MATCH(H194,Inherited!A:A),IF((((_xlfn.XLOOKUP(Assessment!#REF!,Inherited!A:A,Inherited!B:B))/100)*(_xlfn.XLOOKUP(Assessment!#REF!,Inherited!A:A,Inherited!E:E)))+(((100-(_xlfn.XLOOKUP(Assessment!#REF!,Inherited!A:A,Inherited!B:B)))/100)*IF(Z194="1.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(100%)","100"))))))&lt;=10,"0", IF(AND((((_xlfn.XLOOKUP(Assessment!#REF!,Inherited!A:A,Inherited!B:B))/100)*(_xlfn.XLOOKUP(Assessment!#REF!,Inherited!A:A,Inherited!E:E)))+(((100-(_xlfn.XLOOKUP(Assessment!#REF!,Inherited!A:A,Inherited!B:B)))/100)*IF(Z194="1.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(100%)","100"))))))&gt;=11,(((_xlfn.XLOOKUP(Assessment!#REF!,Inherited!A:A,Inherited!B:B))/100)*(_xlfn.XLOOKUP(Assessment!#REF!,Inherited!A:A,Inherited!E:E)))+(((100-(_xlfn.XLOOKUP(Assessment!#REF!,Inherited!A:A,Inherited!B:B)))/100)*IF(Z194="1.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(100%)","100"))))))&lt;=32),"25",IF(AND((((_xlfn.XLOOKUP(Assessment!#REF!,Inherited!A:A,Inherited!B:B))/100)*(_xlfn.XLOOKUP(Assessment!#REF!,Inherited!A:A,Inherited!E:E)))+(((100-(_xlfn.XLOOKUP(Assessment!#REF!,Inherited!A:A,Inherited!B:B)))/100)*IF(Z194="1.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(100%)","100"))))))&gt;=33,(((_xlfn.XLOOKUP(Assessment!#REF!,Inherited!A:A,Inherited!B:B))/100)*(_xlfn.XLOOKUP(Assessment!#REF!,Inherited!A:A,Inherited!E:E)))+(((100-(_xlfn.XLOOKUP(Assessment!#REF!,Inherited!A:A,Inherited!B:B)))/100)*IF(Z194="1.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(100%)","100"))))))&lt;=65),"50",IF(AND((((_xlfn.XLOOKUP(Assessment!#REF!,Inherited!A:A,Inherited!B:B))/100)*(_xlfn.XLOOKUP(Assessment!#REF!,Inherited!A:A,Inherited!E:E)))+(((100-(_xlfn.XLOOKUP(Assessment!#REF!,Inherited!A:A,Inherited!B:B)))/100)*IF(Z194="1.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(100%)","100"))))))&gt;=66,(((_xlfn.XLOOKUP(Assessment!#REF!,Inherited!A:A,Inherited!B:B))/100)*(_xlfn.XLOOKUP(Assessment!#REF!,Inherited!A:A,Inherited!E:E)))+(((100-(_xlfn.XLOOKUP(Assessment!#REF!,Inherited!A:A,Inherited!B:B)))/100)*IF(Z194="1.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(100%)","100"))))))&lt;=89),"75",IF((((_xlfn.XLOOKUP(Assessment!#REF!,Inherited!A:A,Inherited!B:B))/100)*(_xlfn.XLOOKUP(Assessment!#REF!,Inherited!A:A,Inherited!E:E)))+(((100-(_xlfn.XLOOKUP(Assessment!#REF!,Inherited!A:A,Inherited!B:B)))/100)*IF(Z194="1. Non Compliant (0%)","0",IF(Z194="2. Somewhat Compliant (25%)","25",IF(Z194="3. Partially Compliant (50%)","50",IF(Z194="4. Mostly Compliant (75%)","75",IF(Z194="5. Fully Compliant (100%)","100"))))))&gt;=90,"100"))))))</f>
        <v>#N/A</v>
      </c>
      <c r="T194" s="1" t="e">
        <f>IF(MATCH(H194,Inherited!A:A),IF((((_xlfn.XLOOKUP(Assessment!#REF!,Inherited!A:A,Inherited!B:B))/100)*(_xlfn.XLOOKUP(Assessment!#REF!,Inherited!A:A,Inherited!F:F)))+(((100-(_xlfn.XLOOKUP(Assessment!#REF!,Inherited!A:A,Inherited!B:B)))/100)*IF(AA194="1.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(100%)","100"))))))&lt;=10,"0", IF(AND((((_xlfn.XLOOKUP(Assessment!#REF!,Inherited!A:A,Inherited!B:B))/100)*(_xlfn.XLOOKUP(Assessment!#REF!,Inherited!A:A,Inherited!F:F)))+(((100-(_xlfn.XLOOKUP(Assessment!#REF!,Inherited!A:A,Inherited!B:B)))/100)*IF(AA194="1.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(100%)","100"))))))&gt;=11,(((_xlfn.XLOOKUP(Assessment!#REF!,Inherited!A:A,Inherited!B:B))/100)*(_xlfn.XLOOKUP(Assessment!#REF!,Inherited!A:A,Inherited!F:F)))+(((100-(_xlfn.XLOOKUP(Assessment!#REF!,Inherited!A:A,Inherited!B:B)))/100)*IF(AA194="1.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(100%)","100"))))))&lt;=32),"25",IF(AND((((_xlfn.XLOOKUP(Assessment!#REF!,Inherited!A:A,Inherited!B:B))/100)*(_xlfn.XLOOKUP(Assessment!#REF!,Inherited!A:A,Inherited!F:F)))+(((100-(_xlfn.XLOOKUP(Assessment!#REF!,Inherited!A:A,Inherited!B:B)))/100)*IF(AA194="1.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(100%)","100"))))))&gt;=33,(((_xlfn.XLOOKUP(Assessment!#REF!,Inherited!A:A,Inherited!B:B))/100)*(_xlfn.XLOOKUP(Assessment!#REF!,Inherited!A:A,Inherited!F:F)))+(((100-(_xlfn.XLOOKUP(Assessment!#REF!,Inherited!A:A,Inherited!B:B)))/100)*IF(AA194="1.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(100%)","100"))))))&lt;=65),"50",IF(AND((((_xlfn.XLOOKUP(Assessment!#REF!,Inherited!A:A,Inherited!B:B))/100)*(_xlfn.XLOOKUP(Assessment!#REF!,Inherited!A:A,Inherited!F:F)))+(((100-(_xlfn.XLOOKUP(Assessment!#REF!,Inherited!A:A,Inherited!B:B)))/100)*IF(AA194="1.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(100%)","100"))))))&gt;=66,(((_xlfn.XLOOKUP(Assessment!#REF!,Inherited!A:A,Inherited!B:B))/100)*(_xlfn.XLOOKUP(Assessment!#REF!,Inherited!A:A,Inherited!F:F)))+(((100-(_xlfn.XLOOKUP(Assessment!#REF!,Inherited!A:A,Inherited!B:B)))/100)*IF(AA194="1.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(100%)","100"))))))&lt;=89),"75",IF((((_xlfn.XLOOKUP(Assessment!#REF!,Inherited!A:A,Inherited!B:B))/100)*(_xlfn.XLOOKUP(Assessment!#REF!,Inherited!A:A,Inherited!F:F)))+(((100-(_xlfn.XLOOKUP(Assessment!#REF!,Inherited!A:A,Inherited!B:B)))/100)*IF(AA194="1. Non Compliant (0%)","0",IF(AA194="2. Somewhat Compliant (25%)","25",IF(AA194="3. Partially Compliant (50%)","50",IF(AA194="4. Mostly Compliant (75%)","75",IF(AA194="5. Fully Compliant (100%)","100"))))))&gt;=90,"100"))))))</f>
        <v>#N/A</v>
      </c>
      <c r="U194" s="1" t="e">
        <f>IF(MATCH(H194,Inherited!A:A),IF((((_xlfn.XLOOKUP(Assessment!#REF!,Inherited!A:A,Inherited!B:B))/100)*(_xlfn.XLOOKUP(Assessment!#REF!,Inherited!A:A,Inherited!G:G)))+(((100-(_xlfn.XLOOKUP(Assessment!#REF!,Inherited!A:A,Inherited!B:B)))/100)*IF(AB194="1.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(100%)","100"))))))&lt;=10,"0", IF(AND((((_xlfn.XLOOKUP(Assessment!#REF!,Inherited!A:A,Inherited!B:B))/100)*(_xlfn.XLOOKUP(Assessment!#REF!,Inherited!A:A,Inherited!G:G)))+(((100-(_xlfn.XLOOKUP(Assessment!#REF!,Inherited!A:A,Inherited!B:B)))/100)*IF(AB194="1.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(100%)","100"))))))&gt;=11,(((_xlfn.XLOOKUP(Assessment!#REF!,Inherited!A:A,Inherited!B:B))/100)*(_xlfn.XLOOKUP(Assessment!#REF!,Inherited!A:A,Inherited!G:G)))+(((100-(_xlfn.XLOOKUP(Assessment!#REF!,Inherited!A:A,Inherited!B:B)))/100)*IF(AB194="1.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(100%)","100"))))))&lt;=32),"25",IF(AND((((_xlfn.XLOOKUP(Assessment!#REF!,Inherited!A:A,Inherited!B:B))/100)*(_xlfn.XLOOKUP(Assessment!#REF!,Inherited!A:A,Inherited!G:G)))+(((100-(_xlfn.XLOOKUP(Assessment!#REF!,Inherited!A:A,Inherited!B:B)))/100)*IF(AB194="1.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(100%)","100"))))))&gt;=33,(((_xlfn.XLOOKUP(Assessment!#REF!,Inherited!A:A,Inherited!B:B))/100)*(_xlfn.XLOOKUP(Assessment!#REF!,Inherited!A:A,Inherited!G:G)))+(((100-(_xlfn.XLOOKUP(Assessment!#REF!,Inherited!A:A,Inherited!B:B)))/100)*IF(AB194="1.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(100%)","100"))))))&lt;=65),"50",IF(AND((((_xlfn.XLOOKUP(Assessment!#REF!,Inherited!A:A,Inherited!B:B))/100)*(_xlfn.XLOOKUP(Assessment!#REF!,Inherited!A:A,Inherited!G:G)))+(((100-(_xlfn.XLOOKUP(Assessment!#REF!,Inherited!A:A,Inherited!B:B)))/100)*IF(AB194="1.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(100%)","100"))))))&gt;=66,(((_xlfn.XLOOKUP(Assessment!#REF!,Inherited!A:A,Inherited!B:B))/100)*(_xlfn.XLOOKUP(Assessment!#REF!,Inherited!A:A,Inherited!G:G)))+(((100-(_xlfn.XLOOKUP(Assessment!#REF!,Inherited!A:A,Inherited!B:B)))/100)*IF(AB194="1.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(100%)","100"))))))&lt;=89),"75",IF((((_xlfn.XLOOKUP(Assessment!#REF!,Inherited!A:A,Inherited!B:B))/100)*(_xlfn.XLOOKUP(Assessment!#REF!,Inherited!A:A,Inherited!G:G)))+(((100-(_xlfn.XLOOKUP(Assessment!#REF!,Inherited!A:A,Inherited!B:B)))/100)*IF(AB194="1. Non Compliant (0%)","0",IF(AB194="2. Somewhat Compliant (25%)","25",IF(AB194="3. Partially Compliant (50%)","50",IF(AB194="4. Mostly Compliant (75%)","75",IF(AB194="5. Fully Compliant (100%)","100"))))))&gt;=90,"100"))))))</f>
        <v>#N/A</v>
      </c>
      <c r="V194" s="55" t="s">
        <v>85</v>
      </c>
      <c r="W194" s="55"/>
      <c r="X194" s="55"/>
      <c r="Y194" s="55"/>
      <c r="Z194" s="55" t="s">
        <v>86</v>
      </c>
      <c r="AA194" s="55"/>
      <c r="AB194" s="55"/>
      <c r="AK194" s="1" t="s">
        <v>10947</v>
      </c>
      <c r="AQ194" s="1" t="s">
        <v>11024</v>
      </c>
      <c r="AX194" s="3" t="str">
        <f>_xlfn.CONCAT("A-LIGN finished its review of this control on ",AR194, " during the scheduled fieldwork window (",Intro!$B$4,")."&amp; CHAR(10)&amp; CHAR(10))</f>
        <v xml:space="preserve">A-LIGN finished its review of this control on  during the scheduled fieldwork window (Fieldwork: xx/xx/xxxx - xx/xx/xxxx).
</v>
      </c>
      <c r="AY194" s="3" t="str">
        <f t="shared" si="371"/>
        <v xml:space="preserve">Inheritance note: 
Fully inherited between GCP and Azure.
</v>
      </c>
      <c r="AZ194" s="3" t="str">
        <f t="shared" si="372"/>
        <v/>
      </c>
      <c r="BA194" s="3" t="str">
        <f t="shared" si="373"/>
        <v/>
      </c>
      <c r="BB194" s="3" t="str">
        <f t="shared" si="374"/>
        <v xml:space="preserve">Inquired of the following workforce member: 
Roze Nicolas - Director of TechOps
Inquiry lead to the following conclusions: 
</v>
      </c>
      <c r="BC194" s="3" t="str">
        <f t="shared" si="375"/>
        <v/>
      </c>
      <c r="BD194" s="3" t="str">
        <f t="shared" si="376"/>
        <v xml:space="preserve">Examined the following evidence during fieldwork:
Reviewed evidence addressed the requirement statement.
</v>
      </c>
      <c r="BE194" s="3" t="str">
        <f t="shared" si="377"/>
        <v/>
      </c>
      <c r="BF194" s="3" t="str">
        <f t="shared" si="378"/>
        <v/>
      </c>
      <c r="BG194" s="3" t="str">
        <f>_xlfn.CONCAT((IF((COUNTIF('Sample Tables'!B:B,"")&gt;0)=TRUE,_xlfn.CONCAT("",""),IF((COUNTIF('Sample Tables'!B:B,"")&gt;0)=FALSE,""))),)</f>
        <v/>
      </c>
      <c r="BH194" s="3" t="str">
        <f t="shared" si="379"/>
        <v xml:space="preserve">A-LIGN finished its review of this control on  during the scheduled fieldwork window (Fieldwork: xx/xx/xxxx - xx/xx/xxxx).
Inheritance note: 
Fully inherited between GCP and Azure.
Inquired of the following workforce member: 
Roze Nicolas - Director of TechOps
Inquiry lead to the following conclusions: 
Examined the following evidence during fieldwork:
Reviewed evidence addressed the requirement statement.
</v>
      </c>
    </row>
    <row r="195" spans="3:60" ht="353.25" customHeight="1" x14ac:dyDescent="0.35">
      <c r="C195" s="1">
        <f t="shared" si="370"/>
        <v>0</v>
      </c>
      <c r="D195" s="5" t="str">
        <f>IF(AND((_xlfn.XLOOKUP(J195,'Fields &amp; Revisions'!$H:$H,'Fields &amp; Revisions'!$I:$I))&lt;70.99,(OR(Z195="4. Mostly Compliant (75%)",Z195="3. Partially Compliant (50%)",Z195="2. Somewhat Compliant (25%)",Z195="1. Non Compliant (0%)"))),"Yes","No")</f>
        <v>Yes</v>
      </c>
      <c r="E195" s="5" t="str">
        <f>IF(ISERROR(VLOOKUP(H195,Scope!A:A,1,FALSE)),"No","Yes")</f>
        <v>Yes</v>
      </c>
      <c r="F195" s="1" t="s">
        <v>5677</v>
      </c>
      <c r="G195" s="53" t="s">
        <v>5680</v>
      </c>
      <c r="H195" s="53" t="s">
        <v>5681</v>
      </c>
      <c r="I195" s="5" t="s">
        <v>93</v>
      </c>
      <c r="J195" s="1" t="s">
        <v>573</v>
      </c>
      <c r="K195" s="54" t="s">
        <v>5682</v>
      </c>
      <c r="L195" s="1" t="s">
        <v>5683</v>
      </c>
      <c r="M195" s="1" t="s">
        <v>5684</v>
      </c>
      <c r="N195" s="5" t="s">
        <v>98</v>
      </c>
      <c r="O195" s="1" t="str">
        <f>_xlfn.XLOOKUP(G195,SRMs!$A:$A,SRMs!$D:$D)</f>
        <v>NO INHERITANCE</v>
      </c>
      <c r="P195" s="1" t="str">
        <f>IFERROR(VLOOKUP(H195,Inherited!A:B,2,FALSE),"")</f>
        <v/>
      </c>
      <c r="Q195" s="1" t="e">
        <f>IF(MATCH(H195,Inherited!A:A),IF((((_xlfn.XLOOKUP(Assessment!#REF!,Inherited!A:A,Inherited!B:B))/100)*(_xlfn.XLOOKUP(Assessment!#REF!,Inherited!A:A,Inherited!C:C)))+(((100-(_xlfn.XLOOKUP(Assessment!#REF!,Inherited!A:A,Inherited!B:B)))/100)*IF(X195="1.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(100%)","100"))))))&lt;=10,"0", IF(AND((((_xlfn.XLOOKUP(Assessment!#REF!,Inherited!A:A,Inherited!B:B))/100)*(_xlfn.XLOOKUP(Assessment!#REF!,Inherited!A:A,Inherited!C:C)))+(((100-(_xlfn.XLOOKUP(Assessment!#REF!,Inherited!A:A,Inherited!B:B)))/100)*IF(X195="1.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(100%)","100"))))))&gt;=11,(((_xlfn.XLOOKUP(Assessment!#REF!,Inherited!A:A,Inherited!B:B))/100)*(_xlfn.XLOOKUP(Assessment!#REF!,Inherited!A:A,Inherited!C:C)))+(((100-(_xlfn.XLOOKUP(Assessment!#REF!,Inherited!A:A,Inherited!B:B)))/100)*IF(X195="1.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(100%)","100"))))))&lt;=32),"25",IF(AND((((_xlfn.XLOOKUP(Assessment!#REF!,Inherited!A:A,Inherited!B:B))/100)*(_xlfn.XLOOKUP(Assessment!#REF!,Inherited!A:A,Inherited!C:C)))+(((100-(_xlfn.XLOOKUP(Assessment!#REF!,Inherited!A:A,Inherited!B:B)))/100)*IF(X195="1.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(100%)","100"))))))&gt;=33,(((_xlfn.XLOOKUP(Assessment!#REF!,Inherited!A:A,Inherited!B:B))/100)*(_xlfn.XLOOKUP(Assessment!#REF!,Inherited!A:A,Inherited!C:C)))+(((100-(_xlfn.XLOOKUP(Assessment!#REF!,Inherited!A:A,Inherited!B:B)))/100)*IF(X195="1.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(100%)","100"))))))&lt;=65),"50",IF(AND((((_xlfn.XLOOKUP(Assessment!#REF!,Inherited!A:A,Inherited!B:B))/100)*(_xlfn.XLOOKUP(Assessment!#REF!,Inherited!A:A,Inherited!C:C)))+(((100-(_xlfn.XLOOKUP(Assessment!#REF!,Inherited!A:A,Inherited!B:B)))/100)*IF(X195="1.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(100%)","100"))))))&gt;=66,(((_xlfn.XLOOKUP(Assessment!#REF!,Inherited!A:A,Inherited!B:B))/100)*(_xlfn.XLOOKUP(Assessment!#REF!,Inherited!A:A,Inherited!C:C)))+(((100-(_xlfn.XLOOKUP(Assessment!#REF!,Inherited!A:A,Inherited!B:B)))/100)*IF(X195="1.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(100%)","100"))))))&lt;=89),"75",IF((((_xlfn.XLOOKUP(Assessment!#REF!,Inherited!A:A,Inherited!B:B))/100)*(_xlfn.XLOOKUP(Assessment!#REF!,Inherited!A:A,Inherited!C:C)))+(((100-(_xlfn.XLOOKUP(Assessment!#REF!,Inherited!A:A,Inherited!B:B)))/100)*IF(X195="1. Non Compliant (0%)","0",IF(X195="2. Somewhat Compliant (25%)","25",IF(X195="3. Partially Compliant (50%)","50",IF(X195="4. Mostly Compliant (75%)","75",IF(X195="5. Fully Compliant (100%)","100"))))))&gt;=90,"100"))))))</f>
        <v>#N/A</v>
      </c>
      <c r="R195" s="1" t="e">
        <f>IF(MATCH(H195,Inherited!A:A),IF((((_xlfn.XLOOKUP(Assessment!#REF!,Inherited!A:A,Inherited!B:B))/100)*(_xlfn.XLOOKUP(Assessment!#REF!,Inherited!A:A,Inherited!D:D)))+(((100-(_xlfn.XLOOKUP(Assessment!#REF!,Inherited!A:A,Inherited!B:B)))/100)*IF(Y195="1.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(100%)","100"))))))&lt;=10,"0", IF(AND((((_xlfn.XLOOKUP(Assessment!#REF!,Inherited!A:A,Inherited!B:B))/100)*(_xlfn.XLOOKUP(Assessment!#REF!,Inherited!A:A,Inherited!D:D)))+(((100-(_xlfn.XLOOKUP(Assessment!#REF!,Inherited!A:A,Inherited!B:B)))/100)*IF(Y195="1.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(100%)","100"))))))&gt;=11,(((_xlfn.XLOOKUP(Assessment!#REF!,Inherited!A:A,Inherited!B:B))/100)*(_xlfn.XLOOKUP(Assessment!#REF!,Inherited!A:A,Inherited!D:D)))+(((100-(_xlfn.XLOOKUP(Assessment!#REF!,Inherited!A:A,Inherited!B:B)))/100)*IF(Y195="1.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(100%)","100"))))))&lt;=32),"25",IF(AND((((_xlfn.XLOOKUP(Assessment!#REF!,Inherited!A:A,Inherited!B:B))/100)*(_xlfn.XLOOKUP(Assessment!#REF!,Inherited!A:A,Inherited!D:D)))+(((100-(_xlfn.XLOOKUP(Assessment!#REF!,Inherited!A:A,Inherited!B:B)))/100)*IF(Y195="1.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(100%)","100"))))))&gt;=33,(((_xlfn.XLOOKUP(Assessment!#REF!,Inherited!A:A,Inherited!B:B))/100)*(_xlfn.XLOOKUP(Assessment!#REF!,Inherited!A:A,Inherited!D:D)))+(((100-(_xlfn.XLOOKUP(Assessment!#REF!,Inherited!A:A,Inherited!B:B)))/100)*IF(Y195="1.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(100%)","100"))))))&lt;=65),"50",IF(AND((((_xlfn.XLOOKUP(Assessment!#REF!,Inherited!A:A,Inherited!B:B))/100)*(_xlfn.XLOOKUP(Assessment!#REF!,Inherited!A:A,Inherited!D:D)))+(((100-(_xlfn.XLOOKUP(Assessment!#REF!,Inherited!A:A,Inherited!B:B)))/100)*IF(Y195="1.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(100%)","100"))))))&gt;=66,(((_xlfn.XLOOKUP(Assessment!#REF!,Inherited!A:A,Inherited!B:B))/100)*(_xlfn.XLOOKUP(Assessment!#REF!,Inherited!A:A,Inherited!D:D)))+(((100-(_xlfn.XLOOKUP(Assessment!#REF!,Inherited!A:A,Inherited!B:B)))/100)*IF(Y195="1.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(100%)","100"))))))&lt;=89),"75",IF((((_xlfn.XLOOKUP(Assessment!#REF!,Inherited!A:A,Inherited!B:B))/100)*(_xlfn.XLOOKUP(Assessment!#REF!,Inherited!A:A,Inherited!D:D)))+(((100-(_xlfn.XLOOKUP(Assessment!#REF!,Inherited!A:A,Inherited!B:B)))/100)*IF(Y195="1. Non Compliant (0%)","0",IF(Y195="2. Somewhat Compliant (25%)","25",IF(Y195="3. Partially Compliant (50%)","50",IF(Y195="4. Mostly Compliant (75%)","75",IF(Y195="5. Fully Compliant (100%)","100"))))))&gt;=90,"100"))))))</f>
        <v>#N/A</v>
      </c>
      <c r="S195" s="1" t="e">
        <f>IF(MATCH(H195,Inherited!A:A),IF((((_xlfn.XLOOKUP(Assessment!#REF!,Inherited!A:A,Inherited!B:B))/100)*(_xlfn.XLOOKUP(Assessment!#REF!,Inherited!A:A,Inherited!E:E)))+(((100-(_xlfn.XLOOKUP(Assessment!#REF!,Inherited!A:A,Inherited!B:B)))/100)*IF(Z195="1.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(100%)","100"))))))&lt;=10,"0", IF(AND((((_xlfn.XLOOKUP(Assessment!#REF!,Inherited!A:A,Inherited!B:B))/100)*(_xlfn.XLOOKUP(Assessment!#REF!,Inherited!A:A,Inherited!E:E)))+(((100-(_xlfn.XLOOKUP(Assessment!#REF!,Inherited!A:A,Inherited!B:B)))/100)*IF(Z195="1.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(100%)","100"))))))&gt;=11,(((_xlfn.XLOOKUP(Assessment!#REF!,Inherited!A:A,Inherited!B:B))/100)*(_xlfn.XLOOKUP(Assessment!#REF!,Inherited!A:A,Inherited!E:E)))+(((100-(_xlfn.XLOOKUP(Assessment!#REF!,Inherited!A:A,Inherited!B:B)))/100)*IF(Z195="1.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(100%)","100"))))))&lt;=32),"25",IF(AND((((_xlfn.XLOOKUP(Assessment!#REF!,Inherited!A:A,Inherited!B:B))/100)*(_xlfn.XLOOKUP(Assessment!#REF!,Inherited!A:A,Inherited!E:E)))+(((100-(_xlfn.XLOOKUP(Assessment!#REF!,Inherited!A:A,Inherited!B:B)))/100)*IF(Z195="1.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(100%)","100"))))))&gt;=33,(((_xlfn.XLOOKUP(Assessment!#REF!,Inherited!A:A,Inherited!B:B))/100)*(_xlfn.XLOOKUP(Assessment!#REF!,Inherited!A:A,Inherited!E:E)))+(((100-(_xlfn.XLOOKUP(Assessment!#REF!,Inherited!A:A,Inherited!B:B)))/100)*IF(Z195="1.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(100%)","100"))))))&lt;=65),"50",IF(AND((((_xlfn.XLOOKUP(Assessment!#REF!,Inherited!A:A,Inherited!B:B))/100)*(_xlfn.XLOOKUP(Assessment!#REF!,Inherited!A:A,Inherited!E:E)))+(((100-(_xlfn.XLOOKUP(Assessment!#REF!,Inherited!A:A,Inherited!B:B)))/100)*IF(Z195="1.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(100%)","100"))))))&gt;=66,(((_xlfn.XLOOKUP(Assessment!#REF!,Inherited!A:A,Inherited!B:B))/100)*(_xlfn.XLOOKUP(Assessment!#REF!,Inherited!A:A,Inherited!E:E)))+(((100-(_xlfn.XLOOKUP(Assessment!#REF!,Inherited!A:A,Inherited!B:B)))/100)*IF(Z195="1.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(100%)","100"))))))&lt;=89),"75",IF((((_xlfn.XLOOKUP(Assessment!#REF!,Inherited!A:A,Inherited!B:B))/100)*(_xlfn.XLOOKUP(Assessment!#REF!,Inherited!A:A,Inherited!E:E)))+(((100-(_xlfn.XLOOKUP(Assessment!#REF!,Inherited!A:A,Inherited!B:B)))/100)*IF(Z195="1. Non Compliant (0%)","0",IF(Z195="2. Somewhat Compliant (25%)","25",IF(Z195="3. Partially Compliant (50%)","50",IF(Z195="4. Mostly Compliant (75%)","75",IF(Z195="5. Fully Compliant (100%)","100"))))))&gt;=90,"100"))))))</f>
        <v>#N/A</v>
      </c>
      <c r="T195" s="1" t="e">
        <f>IF(MATCH(H195,Inherited!A:A),IF((((_xlfn.XLOOKUP(Assessment!#REF!,Inherited!A:A,Inherited!B:B))/100)*(_xlfn.XLOOKUP(Assessment!#REF!,Inherited!A:A,Inherited!F:F)))+(((100-(_xlfn.XLOOKUP(Assessment!#REF!,Inherited!A:A,Inherited!B:B)))/100)*IF(AA195="1.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(100%)","100"))))))&lt;=10,"0", IF(AND((((_xlfn.XLOOKUP(Assessment!#REF!,Inherited!A:A,Inherited!B:B))/100)*(_xlfn.XLOOKUP(Assessment!#REF!,Inherited!A:A,Inherited!F:F)))+(((100-(_xlfn.XLOOKUP(Assessment!#REF!,Inherited!A:A,Inherited!B:B)))/100)*IF(AA195="1.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(100%)","100"))))))&gt;=11,(((_xlfn.XLOOKUP(Assessment!#REF!,Inherited!A:A,Inherited!B:B))/100)*(_xlfn.XLOOKUP(Assessment!#REF!,Inherited!A:A,Inherited!F:F)))+(((100-(_xlfn.XLOOKUP(Assessment!#REF!,Inherited!A:A,Inherited!B:B)))/100)*IF(AA195="1.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(100%)","100"))))))&lt;=32),"25",IF(AND((((_xlfn.XLOOKUP(Assessment!#REF!,Inherited!A:A,Inherited!B:B))/100)*(_xlfn.XLOOKUP(Assessment!#REF!,Inherited!A:A,Inherited!F:F)))+(((100-(_xlfn.XLOOKUP(Assessment!#REF!,Inherited!A:A,Inherited!B:B)))/100)*IF(AA195="1.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(100%)","100"))))))&gt;=33,(((_xlfn.XLOOKUP(Assessment!#REF!,Inherited!A:A,Inherited!B:B))/100)*(_xlfn.XLOOKUP(Assessment!#REF!,Inherited!A:A,Inherited!F:F)))+(((100-(_xlfn.XLOOKUP(Assessment!#REF!,Inherited!A:A,Inherited!B:B)))/100)*IF(AA195="1.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(100%)","100"))))))&lt;=65),"50",IF(AND((((_xlfn.XLOOKUP(Assessment!#REF!,Inherited!A:A,Inherited!B:B))/100)*(_xlfn.XLOOKUP(Assessment!#REF!,Inherited!A:A,Inherited!F:F)))+(((100-(_xlfn.XLOOKUP(Assessment!#REF!,Inherited!A:A,Inherited!B:B)))/100)*IF(AA195="1.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(100%)","100"))))))&gt;=66,(((_xlfn.XLOOKUP(Assessment!#REF!,Inherited!A:A,Inherited!B:B))/100)*(_xlfn.XLOOKUP(Assessment!#REF!,Inherited!A:A,Inherited!F:F)))+(((100-(_xlfn.XLOOKUP(Assessment!#REF!,Inherited!A:A,Inherited!B:B)))/100)*IF(AA195="1.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(100%)","100"))))))&lt;=89),"75",IF((((_xlfn.XLOOKUP(Assessment!#REF!,Inherited!A:A,Inherited!B:B))/100)*(_xlfn.XLOOKUP(Assessment!#REF!,Inherited!A:A,Inherited!F:F)))+(((100-(_xlfn.XLOOKUP(Assessment!#REF!,Inherited!A:A,Inherited!B:B)))/100)*IF(AA195="1. Non Compliant (0%)","0",IF(AA195="2. Somewhat Compliant (25%)","25",IF(AA195="3. Partially Compliant (50%)","50",IF(AA195="4. Mostly Compliant (75%)","75",IF(AA195="5. Fully Compliant (100%)","100"))))))&gt;=90,"100"))))))</f>
        <v>#N/A</v>
      </c>
      <c r="U195" s="1" t="e">
        <f>IF(MATCH(H195,Inherited!A:A),IF((((_xlfn.XLOOKUP(Assessment!#REF!,Inherited!A:A,Inherited!B:B))/100)*(_xlfn.XLOOKUP(Assessment!#REF!,Inherited!A:A,Inherited!G:G)))+(((100-(_xlfn.XLOOKUP(Assessment!#REF!,Inherited!A:A,Inherited!B:B)))/100)*IF(AB195="1.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(100%)","100"))))))&lt;=10,"0", IF(AND((((_xlfn.XLOOKUP(Assessment!#REF!,Inherited!A:A,Inherited!B:B))/100)*(_xlfn.XLOOKUP(Assessment!#REF!,Inherited!A:A,Inherited!G:G)))+(((100-(_xlfn.XLOOKUP(Assessment!#REF!,Inherited!A:A,Inherited!B:B)))/100)*IF(AB195="1.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(100%)","100"))))))&gt;=11,(((_xlfn.XLOOKUP(Assessment!#REF!,Inherited!A:A,Inherited!B:B))/100)*(_xlfn.XLOOKUP(Assessment!#REF!,Inherited!A:A,Inherited!G:G)))+(((100-(_xlfn.XLOOKUP(Assessment!#REF!,Inherited!A:A,Inherited!B:B)))/100)*IF(AB195="1.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(100%)","100"))))))&lt;=32),"25",IF(AND((((_xlfn.XLOOKUP(Assessment!#REF!,Inherited!A:A,Inherited!B:B))/100)*(_xlfn.XLOOKUP(Assessment!#REF!,Inherited!A:A,Inherited!G:G)))+(((100-(_xlfn.XLOOKUP(Assessment!#REF!,Inherited!A:A,Inherited!B:B)))/100)*IF(AB195="1.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(100%)","100"))))))&gt;=33,(((_xlfn.XLOOKUP(Assessment!#REF!,Inherited!A:A,Inherited!B:B))/100)*(_xlfn.XLOOKUP(Assessment!#REF!,Inherited!A:A,Inherited!G:G)))+(((100-(_xlfn.XLOOKUP(Assessment!#REF!,Inherited!A:A,Inherited!B:B)))/100)*IF(AB195="1.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(100%)","100"))))))&lt;=65),"50",IF(AND((((_xlfn.XLOOKUP(Assessment!#REF!,Inherited!A:A,Inherited!B:B))/100)*(_xlfn.XLOOKUP(Assessment!#REF!,Inherited!A:A,Inherited!G:G)))+(((100-(_xlfn.XLOOKUP(Assessment!#REF!,Inherited!A:A,Inherited!B:B)))/100)*IF(AB195="1.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(100%)","100"))))))&gt;=66,(((_xlfn.XLOOKUP(Assessment!#REF!,Inherited!A:A,Inherited!B:B))/100)*(_xlfn.XLOOKUP(Assessment!#REF!,Inherited!A:A,Inherited!G:G)))+(((100-(_xlfn.XLOOKUP(Assessment!#REF!,Inherited!A:A,Inherited!B:B)))/100)*IF(AB195="1.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(100%)","100"))))))&lt;=89),"75",IF((((_xlfn.XLOOKUP(Assessment!#REF!,Inherited!A:A,Inherited!B:B))/100)*(_xlfn.XLOOKUP(Assessment!#REF!,Inherited!A:A,Inherited!G:G)))+(((100-(_xlfn.XLOOKUP(Assessment!#REF!,Inherited!A:A,Inherited!B:B)))/100)*IF(AB195="1. Non Compliant (0%)","0",IF(AB195="2. Somewhat Compliant (25%)","25",IF(AB195="3. Partially Compliant (50%)","50",IF(AB195="4. Mostly Compliant (75%)","75",IF(AB195="5. Fully Compliant (100%)","100"))))))&gt;=90,"100"))))))</f>
        <v>#N/A</v>
      </c>
      <c r="V195" s="55" t="s">
        <v>85</v>
      </c>
      <c r="W195" s="55"/>
      <c r="X195" s="55"/>
      <c r="Y195" s="55"/>
      <c r="Z195" s="55" t="s">
        <v>10873</v>
      </c>
      <c r="AA195" s="55"/>
      <c r="AB195" s="55"/>
      <c r="AK195" s="1" t="s">
        <v>10978</v>
      </c>
      <c r="AL195" s="1" t="s">
        <v>10982</v>
      </c>
      <c r="AP195" s="1" t="s">
        <v>11133</v>
      </c>
      <c r="AX195" s="3" t="str">
        <f>_xlfn.CONCAT("A-LIGN finished its review of this control on ",AR195, " during the scheduled fieldwork window (",Intro!$B$4,")."&amp; CHAR(10)&amp; CHAR(10))</f>
        <v xml:space="preserve">A-LIGN finished its review of this control on  during the scheduled fieldwork window (Fieldwork: xx/xx/xxxx - xx/xx/xxxx).
</v>
      </c>
      <c r="AY195" s="3" t="str">
        <f t="shared" si="371"/>
        <v/>
      </c>
      <c r="AZ195" s="3" t="str">
        <f t="shared" si="372"/>
        <v/>
      </c>
      <c r="BA195" s="3" t="str">
        <f t="shared" si="373"/>
        <v/>
      </c>
      <c r="BB195" s="3" t="str">
        <f t="shared" si="374"/>
        <v xml:space="preserve">Inquired of the following workforce member: 
Michael Wood - VP of AI Engineering
Kyle Smith - IT Operations and AI Expert 
Inquiry lead to the following conclusions: 
Control is not yet implemented at this time. However, these assessments will be completed on at least an annual basis in conjunction with the legal team to address the requirements outlined in this control
</v>
      </c>
      <c r="BC195" s="3" t="str">
        <f t="shared" si="375"/>
        <v/>
      </c>
      <c r="BD195" s="3" t="str">
        <f t="shared" si="376"/>
        <v xml:space="preserve">Examined the following evidence during fieldwork:
Reviewed evidence addressed the requirement statement.
Reviewed evidence exception note: 
Gap: 
An assessment to identify and evaluate compliance with applicable legal and regulatory requirements addressing the development and deployment of AI systems is not completed. 
Recommendation:
Management should ensure that an assessment to identify and evaluate compliance with applicable legal and regulatory requirements addressing the development and deployment of AI systems is completed on at least an annual basis.
</v>
      </c>
      <c r="BE195" s="3" t="str">
        <f t="shared" si="377"/>
        <v/>
      </c>
      <c r="BF195" s="3" t="str">
        <f t="shared" si="378"/>
        <v/>
      </c>
      <c r="BG195" s="3" t="str">
        <f>_xlfn.CONCAT((IF((COUNTIF('Sample Tables'!B:B,"")&gt;0)=TRUE,_xlfn.CONCAT("",""),IF((COUNTIF('Sample Tables'!B:B,"")&gt;0)=FALSE,""))),)</f>
        <v/>
      </c>
      <c r="BH195" s="3" t="str">
        <f t="shared" si="37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Control is not yet implemented at this time. However, these assessments will be completed on at least an annual basis in conjunction with the legal team to address the requirements outlined in this control
Examined the following evidence during fieldwork:
Reviewed evidence addressed the requirement statement.
Reviewed evidence exception note: 
Gap: 
An assessment to identify and evaluate compliance with applicable legal and regulatory requirements addressing the development and deployment of AI systems is not completed. 
Recommendation:
Management should ensure that an assessment to identify and evaluate compliance with applicable legal and regulatory requirements addressing the development and deployment of AI systems is completed on at least an annual basis.
</v>
      </c>
    </row>
    <row r="196" spans="3:60" ht="409.5" x14ac:dyDescent="0.35">
      <c r="C196" s="1">
        <f t="shared" si="370"/>
        <v>0</v>
      </c>
      <c r="D196" s="5" t="str">
        <f>IF(AND((_xlfn.XLOOKUP(J196,'Fields &amp; Revisions'!$H:$H,'Fields &amp; Revisions'!$I:$I))&lt;70.99,(OR(Z196="4. Mostly Compliant (75%)",Z196="3. Partially Compliant (50%)",Z196="2. Somewhat Compliant (25%)",Z196="1. Non Compliant (0%)"))),"Yes","No")</f>
        <v>Yes</v>
      </c>
      <c r="E196" s="5" t="str">
        <f>IF(ISERROR(VLOOKUP(H196,Scope!A:A,1,FALSE)),"No","Yes")</f>
        <v>Yes</v>
      </c>
      <c r="F196" s="1" t="s">
        <v>5677</v>
      </c>
      <c r="G196" s="53" t="s">
        <v>5688</v>
      </c>
      <c r="H196" s="53" t="s">
        <v>5689</v>
      </c>
      <c r="I196" s="5" t="s">
        <v>93</v>
      </c>
      <c r="J196" s="1" t="s">
        <v>3499</v>
      </c>
      <c r="K196" s="54" t="s">
        <v>5690</v>
      </c>
      <c r="L196" s="1" t="s">
        <v>5691</v>
      </c>
      <c r="M196" s="1" t="s">
        <v>5692</v>
      </c>
      <c r="N196" s="5" t="s">
        <v>98</v>
      </c>
      <c r="O196" s="1" t="str">
        <f>_xlfn.XLOOKUP(G196,SRMs!$A:$A,SRMs!$D:$D)</f>
        <v>NO INHERITANCE</v>
      </c>
      <c r="P196" s="1" t="str">
        <f>IFERROR(VLOOKUP(H196,Inherited!A:B,2,FALSE),"")</f>
        <v/>
      </c>
      <c r="Q196" s="1" t="e">
        <f>IF(MATCH(H196,Inherited!A:A),IF((((_xlfn.XLOOKUP(Assessment!#REF!,Inherited!A:A,Inherited!B:B))/100)*(_xlfn.XLOOKUP(Assessment!#REF!,Inherited!A:A,Inherited!C:C)))+(((100-(_xlfn.XLOOKUP(Assessment!#REF!,Inherited!A:A,Inherited!B:B)))/100)*IF(X196="1.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(100%)","100"))))))&lt;=10,"0", IF(AND((((_xlfn.XLOOKUP(Assessment!#REF!,Inherited!A:A,Inherited!B:B))/100)*(_xlfn.XLOOKUP(Assessment!#REF!,Inherited!A:A,Inherited!C:C)))+(((100-(_xlfn.XLOOKUP(Assessment!#REF!,Inherited!A:A,Inherited!B:B)))/100)*IF(X196="1.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(100%)","100"))))))&gt;=11,(((_xlfn.XLOOKUP(Assessment!#REF!,Inherited!A:A,Inherited!B:B))/100)*(_xlfn.XLOOKUP(Assessment!#REF!,Inherited!A:A,Inherited!C:C)))+(((100-(_xlfn.XLOOKUP(Assessment!#REF!,Inherited!A:A,Inherited!B:B)))/100)*IF(X196="1.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(100%)","100"))))))&lt;=32),"25",IF(AND((((_xlfn.XLOOKUP(Assessment!#REF!,Inherited!A:A,Inherited!B:B))/100)*(_xlfn.XLOOKUP(Assessment!#REF!,Inherited!A:A,Inherited!C:C)))+(((100-(_xlfn.XLOOKUP(Assessment!#REF!,Inherited!A:A,Inherited!B:B)))/100)*IF(X196="1.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(100%)","100"))))))&gt;=33,(((_xlfn.XLOOKUP(Assessment!#REF!,Inherited!A:A,Inherited!B:B))/100)*(_xlfn.XLOOKUP(Assessment!#REF!,Inherited!A:A,Inherited!C:C)))+(((100-(_xlfn.XLOOKUP(Assessment!#REF!,Inherited!A:A,Inherited!B:B)))/100)*IF(X196="1.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(100%)","100"))))))&lt;=65),"50",IF(AND((((_xlfn.XLOOKUP(Assessment!#REF!,Inherited!A:A,Inherited!B:B))/100)*(_xlfn.XLOOKUP(Assessment!#REF!,Inherited!A:A,Inherited!C:C)))+(((100-(_xlfn.XLOOKUP(Assessment!#REF!,Inherited!A:A,Inherited!B:B)))/100)*IF(X196="1.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(100%)","100"))))))&gt;=66,(((_xlfn.XLOOKUP(Assessment!#REF!,Inherited!A:A,Inherited!B:B))/100)*(_xlfn.XLOOKUP(Assessment!#REF!,Inherited!A:A,Inherited!C:C)))+(((100-(_xlfn.XLOOKUP(Assessment!#REF!,Inherited!A:A,Inherited!B:B)))/100)*IF(X196="1.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(100%)","100"))))))&lt;=89),"75",IF((((_xlfn.XLOOKUP(Assessment!#REF!,Inherited!A:A,Inherited!B:B))/100)*(_xlfn.XLOOKUP(Assessment!#REF!,Inherited!A:A,Inherited!C:C)))+(((100-(_xlfn.XLOOKUP(Assessment!#REF!,Inherited!A:A,Inherited!B:B)))/100)*IF(X196="1. Non Compliant (0%)","0",IF(X196="2. Somewhat Compliant (25%)","25",IF(X196="3. Partially Compliant (50%)","50",IF(X196="4. Mostly Compliant (75%)","75",IF(X196="5. Fully Compliant (100%)","100"))))))&gt;=90,"100"))))))</f>
        <v>#N/A</v>
      </c>
      <c r="R196" s="1" t="e">
        <f>IF(MATCH(H196,Inherited!A:A),IF((((_xlfn.XLOOKUP(Assessment!#REF!,Inherited!A:A,Inherited!B:B))/100)*(_xlfn.XLOOKUP(Assessment!#REF!,Inherited!A:A,Inherited!D:D)))+(((100-(_xlfn.XLOOKUP(Assessment!#REF!,Inherited!A:A,Inherited!B:B)))/100)*IF(Y196="1.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(100%)","100"))))))&lt;=10,"0", IF(AND((((_xlfn.XLOOKUP(Assessment!#REF!,Inherited!A:A,Inherited!B:B))/100)*(_xlfn.XLOOKUP(Assessment!#REF!,Inherited!A:A,Inherited!D:D)))+(((100-(_xlfn.XLOOKUP(Assessment!#REF!,Inherited!A:A,Inherited!B:B)))/100)*IF(Y196="1.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(100%)","100"))))))&gt;=11,(((_xlfn.XLOOKUP(Assessment!#REF!,Inherited!A:A,Inherited!B:B))/100)*(_xlfn.XLOOKUP(Assessment!#REF!,Inherited!A:A,Inherited!D:D)))+(((100-(_xlfn.XLOOKUP(Assessment!#REF!,Inherited!A:A,Inherited!B:B)))/100)*IF(Y196="1.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(100%)","100"))))))&lt;=32),"25",IF(AND((((_xlfn.XLOOKUP(Assessment!#REF!,Inherited!A:A,Inherited!B:B))/100)*(_xlfn.XLOOKUP(Assessment!#REF!,Inherited!A:A,Inherited!D:D)))+(((100-(_xlfn.XLOOKUP(Assessment!#REF!,Inherited!A:A,Inherited!B:B)))/100)*IF(Y196="1.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(100%)","100"))))))&gt;=33,(((_xlfn.XLOOKUP(Assessment!#REF!,Inherited!A:A,Inherited!B:B))/100)*(_xlfn.XLOOKUP(Assessment!#REF!,Inherited!A:A,Inherited!D:D)))+(((100-(_xlfn.XLOOKUP(Assessment!#REF!,Inherited!A:A,Inherited!B:B)))/100)*IF(Y196="1.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(100%)","100"))))))&lt;=65),"50",IF(AND((((_xlfn.XLOOKUP(Assessment!#REF!,Inherited!A:A,Inherited!B:B))/100)*(_xlfn.XLOOKUP(Assessment!#REF!,Inherited!A:A,Inherited!D:D)))+(((100-(_xlfn.XLOOKUP(Assessment!#REF!,Inherited!A:A,Inherited!B:B)))/100)*IF(Y196="1.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(100%)","100"))))))&gt;=66,(((_xlfn.XLOOKUP(Assessment!#REF!,Inherited!A:A,Inherited!B:B))/100)*(_xlfn.XLOOKUP(Assessment!#REF!,Inherited!A:A,Inherited!D:D)))+(((100-(_xlfn.XLOOKUP(Assessment!#REF!,Inherited!A:A,Inherited!B:B)))/100)*IF(Y196="1.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(100%)","100"))))))&lt;=89),"75",IF((((_xlfn.XLOOKUP(Assessment!#REF!,Inherited!A:A,Inherited!B:B))/100)*(_xlfn.XLOOKUP(Assessment!#REF!,Inherited!A:A,Inherited!D:D)))+(((100-(_xlfn.XLOOKUP(Assessment!#REF!,Inherited!A:A,Inherited!B:B)))/100)*IF(Y196="1. Non Compliant (0%)","0",IF(Y196="2. Somewhat Compliant (25%)","25",IF(Y196="3. Partially Compliant (50%)","50",IF(Y196="4. Mostly Compliant (75%)","75",IF(Y196="5. Fully Compliant (100%)","100"))))))&gt;=90,"100"))))))</f>
        <v>#N/A</v>
      </c>
      <c r="S196" s="1" t="e">
        <f>IF(MATCH(H196,Inherited!A:A),IF((((_xlfn.XLOOKUP(Assessment!#REF!,Inherited!A:A,Inherited!B:B))/100)*(_xlfn.XLOOKUP(Assessment!#REF!,Inherited!A:A,Inherited!E:E)))+(((100-(_xlfn.XLOOKUP(Assessment!#REF!,Inherited!A:A,Inherited!B:B)))/100)*IF(Z196="1.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(100%)","100"))))))&lt;=10,"0", IF(AND((((_xlfn.XLOOKUP(Assessment!#REF!,Inherited!A:A,Inherited!B:B))/100)*(_xlfn.XLOOKUP(Assessment!#REF!,Inherited!A:A,Inherited!E:E)))+(((100-(_xlfn.XLOOKUP(Assessment!#REF!,Inherited!A:A,Inherited!B:B)))/100)*IF(Z196="1.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(100%)","100"))))))&gt;=11,(((_xlfn.XLOOKUP(Assessment!#REF!,Inherited!A:A,Inherited!B:B))/100)*(_xlfn.XLOOKUP(Assessment!#REF!,Inherited!A:A,Inherited!E:E)))+(((100-(_xlfn.XLOOKUP(Assessment!#REF!,Inherited!A:A,Inherited!B:B)))/100)*IF(Z196="1.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(100%)","100"))))))&lt;=32),"25",IF(AND((((_xlfn.XLOOKUP(Assessment!#REF!,Inherited!A:A,Inherited!B:B))/100)*(_xlfn.XLOOKUP(Assessment!#REF!,Inherited!A:A,Inherited!E:E)))+(((100-(_xlfn.XLOOKUP(Assessment!#REF!,Inherited!A:A,Inherited!B:B)))/100)*IF(Z196="1.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(100%)","100"))))))&gt;=33,(((_xlfn.XLOOKUP(Assessment!#REF!,Inherited!A:A,Inherited!B:B))/100)*(_xlfn.XLOOKUP(Assessment!#REF!,Inherited!A:A,Inherited!E:E)))+(((100-(_xlfn.XLOOKUP(Assessment!#REF!,Inherited!A:A,Inherited!B:B)))/100)*IF(Z196="1.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(100%)","100"))))))&lt;=65),"50",IF(AND((((_xlfn.XLOOKUP(Assessment!#REF!,Inherited!A:A,Inherited!B:B))/100)*(_xlfn.XLOOKUP(Assessment!#REF!,Inherited!A:A,Inherited!E:E)))+(((100-(_xlfn.XLOOKUP(Assessment!#REF!,Inherited!A:A,Inherited!B:B)))/100)*IF(Z196="1.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(100%)","100"))))))&gt;=66,(((_xlfn.XLOOKUP(Assessment!#REF!,Inherited!A:A,Inherited!B:B))/100)*(_xlfn.XLOOKUP(Assessment!#REF!,Inherited!A:A,Inherited!E:E)))+(((100-(_xlfn.XLOOKUP(Assessment!#REF!,Inherited!A:A,Inherited!B:B)))/100)*IF(Z196="1.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(100%)","100"))))))&lt;=89),"75",IF((((_xlfn.XLOOKUP(Assessment!#REF!,Inherited!A:A,Inherited!B:B))/100)*(_xlfn.XLOOKUP(Assessment!#REF!,Inherited!A:A,Inherited!E:E)))+(((100-(_xlfn.XLOOKUP(Assessment!#REF!,Inherited!A:A,Inherited!B:B)))/100)*IF(Z196="1. Non Compliant (0%)","0",IF(Z196="2. Somewhat Compliant (25%)","25",IF(Z196="3. Partially Compliant (50%)","50",IF(Z196="4. Mostly Compliant (75%)","75",IF(Z196="5. Fully Compliant (100%)","100"))))))&gt;=90,"100"))))))</f>
        <v>#N/A</v>
      </c>
      <c r="T196" s="1" t="e">
        <f>IF(MATCH(H196,Inherited!A:A),IF((((_xlfn.XLOOKUP(Assessment!#REF!,Inherited!A:A,Inherited!B:B))/100)*(_xlfn.XLOOKUP(Assessment!#REF!,Inherited!A:A,Inherited!F:F)))+(((100-(_xlfn.XLOOKUP(Assessment!#REF!,Inherited!A:A,Inherited!B:B)))/100)*IF(AA196="1.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(100%)","100"))))))&lt;=10,"0", IF(AND((((_xlfn.XLOOKUP(Assessment!#REF!,Inherited!A:A,Inherited!B:B))/100)*(_xlfn.XLOOKUP(Assessment!#REF!,Inherited!A:A,Inherited!F:F)))+(((100-(_xlfn.XLOOKUP(Assessment!#REF!,Inherited!A:A,Inherited!B:B)))/100)*IF(AA196="1.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(100%)","100"))))))&gt;=11,(((_xlfn.XLOOKUP(Assessment!#REF!,Inherited!A:A,Inherited!B:B))/100)*(_xlfn.XLOOKUP(Assessment!#REF!,Inherited!A:A,Inherited!F:F)))+(((100-(_xlfn.XLOOKUP(Assessment!#REF!,Inherited!A:A,Inherited!B:B)))/100)*IF(AA196="1.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(100%)","100"))))))&lt;=32),"25",IF(AND((((_xlfn.XLOOKUP(Assessment!#REF!,Inherited!A:A,Inherited!B:B))/100)*(_xlfn.XLOOKUP(Assessment!#REF!,Inherited!A:A,Inherited!F:F)))+(((100-(_xlfn.XLOOKUP(Assessment!#REF!,Inherited!A:A,Inherited!B:B)))/100)*IF(AA196="1.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(100%)","100"))))))&gt;=33,(((_xlfn.XLOOKUP(Assessment!#REF!,Inherited!A:A,Inherited!B:B))/100)*(_xlfn.XLOOKUP(Assessment!#REF!,Inherited!A:A,Inherited!F:F)))+(((100-(_xlfn.XLOOKUP(Assessment!#REF!,Inherited!A:A,Inherited!B:B)))/100)*IF(AA196="1.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(100%)","100"))))))&lt;=65),"50",IF(AND((((_xlfn.XLOOKUP(Assessment!#REF!,Inherited!A:A,Inherited!B:B))/100)*(_xlfn.XLOOKUP(Assessment!#REF!,Inherited!A:A,Inherited!F:F)))+(((100-(_xlfn.XLOOKUP(Assessment!#REF!,Inherited!A:A,Inherited!B:B)))/100)*IF(AA196="1.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(100%)","100"))))))&gt;=66,(((_xlfn.XLOOKUP(Assessment!#REF!,Inherited!A:A,Inherited!B:B))/100)*(_xlfn.XLOOKUP(Assessment!#REF!,Inherited!A:A,Inherited!F:F)))+(((100-(_xlfn.XLOOKUP(Assessment!#REF!,Inherited!A:A,Inherited!B:B)))/100)*IF(AA196="1.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(100%)","100"))))))&lt;=89),"75",IF((((_xlfn.XLOOKUP(Assessment!#REF!,Inherited!A:A,Inherited!B:B))/100)*(_xlfn.XLOOKUP(Assessment!#REF!,Inherited!A:A,Inherited!F:F)))+(((100-(_xlfn.XLOOKUP(Assessment!#REF!,Inherited!A:A,Inherited!B:B)))/100)*IF(AA196="1. Non Compliant (0%)","0",IF(AA196="2. Somewhat Compliant (25%)","25",IF(AA196="3. Partially Compliant (50%)","50",IF(AA196="4. Mostly Compliant (75%)","75",IF(AA196="5. Fully Compliant (100%)","100"))))))&gt;=90,"100"))))))</f>
        <v>#N/A</v>
      </c>
      <c r="U196" s="1" t="e">
        <f>IF(MATCH(H196,Inherited!A:A),IF((((_xlfn.XLOOKUP(Assessment!#REF!,Inherited!A:A,Inherited!B:B))/100)*(_xlfn.XLOOKUP(Assessment!#REF!,Inherited!A:A,Inherited!G:G)))+(((100-(_xlfn.XLOOKUP(Assessment!#REF!,Inherited!A:A,Inherited!B:B)))/100)*IF(AB196="1.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(100%)","100"))))))&lt;=10,"0", IF(AND((((_xlfn.XLOOKUP(Assessment!#REF!,Inherited!A:A,Inherited!B:B))/100)*(_xlfn.XLOOKUP(Assessment!#REF!,Inherited!A:A,Inherited!G:G)))+(((100-(_xlfn.XLOOKUP(Assessment!#REF!,Inherited!A:A,Inherited!B:B)))/100)*IF(AB196="1.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(100%)","100"))))))&gt;=11,(((_xlfn.XLOOKUP(Assessment!#REF!,Inherited!A:A,Inherited!B:B))/100)*(_xlfn.XLOOKUP(Assessment!#REF!,Inherited!A:A,Inherited!G:G)))+(((100-(_xlfn.XLOOKUP(Assessment!#REF!,Inherited!A:A,Inherited!B:B)))/100)*IF(AB196="1.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(100%)","100"))))))&lt;=32),"25",IF(AND((((_xlfn.XLOOKUP(Assessment!#REF!,Inherited!A:A,Inherited!B:B))/100)*(_xlfn.XLOOKUP(Assessment!#REF!,Inherited!A:A,Inherited!G:G)))+(((100-(_xlfn.XLOOKUP(Assessment!#REF!,Inherited!A:A,Inherited!B:B)))/100)*IF(AB196="1.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(100%)","100"))))))&gt;=33,(((_xlfn.XLOOKUP(Assessment!#REF!,Inherited!A:A,Inherited!B:B))/100)*(_xlfn.XLOOKUP(Assessment!#REF!,Inherited!A:A,Inherited!G:G)))+(((100-(_xlfn.XLOOKUP(Assessment!#REF!,Inherited!A:A,Inherited!B:B)))/100)*IF(AB196="1.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(100%)","100"))))))&lt;=65),"50",IF(AND((((_xlfn.XLOOKUP(Assessment!#REF!,Inherited!A:A,Inherited!B:B))/100)*(_xlfn.XLOOKUP(Assessment!#REF!,Inherited!A:A,Inherited!G:G)))+(((100-(_xlfn.XLOOKUP(Assessment!#REF!,Inherited!A:A,Inherited!B:B)))/100)*IF(AB196="1.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(100%)","100"))))))&gt;=66,(((_xlfn.XLOOKUP(Assessment!#REF!,Inherited!A:A,Inherited!B:B))/100)*(_xlfn.XLOOKUP(Assessment!#REF!,Inherited!A:A,Inherited!G:G)))+(((100-(_xlfn.XLOOKUP(Assessment!#REF!,Inherited!A:A,Inherited!B:B)))/100)*IF(AB196="1.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(100%)","100"))))))&lt;=89),"75",IF((((_xlfn.XLOOKUP(Assessment!#REF!,Inherited!A:A,Inherited!B:B))/100)*(_xlfn.XLOOKUP(Assessment!#REF!,Inherited!A:A,Inherited!G:G)))+(((100-(_xlfn.XLOOKUP(Assessment!#REF!,Inherited!A:A,Inherited!B:B)))/100)*IF(AB196="1. Non Compliant (0%)","0",IF(AB196="2. Somewhat Compliant (25%)","25",IF(AB196="3. Partially Compliant (50%)","50",IF(AB196="4. Mostly Compliant (75%)","75",IF(AB196="5. Fully Compliant (100%)","100"))))))&gt;=90,"100"))))))</f>
        <v>#N/A</v>
      </c>
      <c r="V196" s="55" t="s">
        <v>85</v>
      </c>
      <c r="W196" s="55"/>
      <c r="X196" s="55"/>
      <c r="Y196" s="55"/>
      <c r="Z196" s="55" t="s">
        <v>10873</v>
      </c>
      <c r="AA196" s="55"/>
      <c r="AB196" s="55"/>
      <c r="AK196" s="1" t="s">
        <v>10978</v>
      </c>
      <c r="AL196" s="1" t="s">
        <v>10982</v>
      </c>
      <c r="AP196" s="1" t="s">
        <v>11134</v>
      </c>
      <c r="AX196" s="3" t="str">
        <f>_xlfn.CONCAT("A-LIGN finished its review of this control on ",AR196, " during the scheduled fieldwork window (",Intro!$B$4,")."&amp; CHAR(10)&amp; CHAR(10))</f>
        <v xml:space="preserve">A-LIGN finished its review of this control on  during the scheduled fieldwork window (Fieldwork: xx/xx/xxxx - xx/xx/xxxx).
</v>
      </c>
      <c r="AY196" s="3" t="str">
        <f t="shared" si="371"/>
        <v/>
      </c>
      <c r="AZ196" s="3" t="str">
        <f t="shared" si="372"/>
        <v/>
      </c>
      <c r="BA196" s="3" t="str">
        <f t="shared" si="373"/>
        <v/>
      </c>
      <c r="BB196" s="3" t="str">
        <f t="shared" si="374"/>
        <v xml:space="preserve">Inquired of the following workforce member: 
Michael Wood - VP of AI Engineering
Kyle Smith - IT Operations and AI Expert 
Inquiry lead to the following conclusions: 
Control is not yet implemented at this time. However, these assessments will be completed on at least an annual basis in conjunction with the legal team to address the requirements outlined in this control
</v>
      </c>
      <c r="BC196" s="3" t="str">
        <f t="shared" si="375"/>
        <v/>
      </c>
      <c r="BD196" s="3" t="str">
        <f t="shared" si="376"/>
        <v xml:space="preserve">Examined the following evidence during fieldwork:
Reviewed evidence addressed the requirement statement.
Reviewed evidence exception note: 
Gap: 
An assessment to identify and evaluate compliance with applicable legal and regulatory requirements addressing the development and deployment of AI systems is not completed. 
Recommendation:
Management should ensure that an assessment to identify and evaluate compliance with applicable legal and regulatory requirements addressing the development and deployment of AI systems is completed on at least an annual basis and considers the following:
- includes compliance with applicable: laws
- includes compliance with applicable: regulatory requirements
- includes compliance with applicable: contractual obligations
- includes compliance with applicable: self-imposed data governance requirements
- includes compliance with applicable: copyrights or commercial interests
</v>
      </c>
      <c r="BE196" s="3" t="str">
        <f t="shared" si="377"/>
        <v/>
      </c>
      <c r="BF196" s="3" t="str">
        <f t="shared" si="378"/>
        <v/>
      </c>
      <c r="BG196" s="3" t="str">
        <f>_xlfn.CONCAT((IF((COUNTIF('Sample Tables'!B:B,"")&gt;0)=TRUE,_xlfn.CONCAT("",""),IF((COUNTIF('Sample Tables'!B:B,"")&gt;0)=FALSE,""))),)</f>
        <v/>
      </c>
      <c r="BH196" s="3" t="str">
        <f t="shared" si="37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Control is not yet implemented at this time. However, these assessments will be completed on at least an annual basis in conjunction with the legal team to address the requirements outlined in this control
Examined the following evidence during fieldwork:
Reviewed evidence addressed the requirement statement.
Reviewed evidence exception note: 
Gap: 
An assessment to identify and evaluate compliance with applicable legal and regulatory requirements addressing the development and deployment of AI systems is not completed. 
Recommendation:
Management should ensure that an assessment to identify and evaluate compliance with applicable legal and regulatory requirements addressing the development and deployment of AI systems is completed on at least an annual basis and considers the following:
- includes compliance with applicable: laws
- includes compliance with applicable: regulatory requirements
- includes compliance with applicable: contractual obligations
- includes compliance with applicable: self-imposed data governance requirements
- includes compliance with applicable: copyrights or commercial interests
</v>
      </c>
    </row>
    <row r="197" spans="3:60" ht="409.5" x14ac:dyDescent="0.35">
      <c r="C197" s="1">
        <f t="shared" si="370"/>
        <v>0</v>
      </c>
      <c r="D197" s="5" t="str">
        <f>IF(AND((_xlfn.XLOOKUP(J197,'Fields &amp; Revisions'!$H:$H,'Fields &amp; Revisions'!$I:$I))&lt;70.99,(OR(Z197="4. Mostly Compliant (75%)",Z197="3. Partially Compliant (50%)",Z197="2. Somewhat Compliant (25%)",Z197="1. Non Compliant (0%)"))),"Yes","No")</f>
        <v>Yes</v>
      </c>
      <c r="E197" s="5" t="str">
        <f>IF(ISERROR(VLOOKUP(H197,Scope!A:A,1,FALSE)),"No","Yes")</f>
        <v>Yes</v>
      </c>
      <c r="F197" s="1" t="s">
        <v>5677</v>
      </c>
      <c r="G197" s="53" t="s">
        <v>5731</v>
      </c>
      <c r="H197" s="53" t="s">
        <v>5732</v>
      </c>
      <c r="I197" s="5" t="s">
        <v>93</v>
      </c>
      <c r="J197" s="1" t="s">
        <v>5733</v>
      </c>
      <c r="K197" s="54" t="s">
        <v>5734</v>
      </c>
      <c r="L197" s="1" t="s">
        <v>5735</v>
      </c>
      <c r="M197" s="1" t="s">
        <v>5736</v>
      </c>
      <c r="N197" s="5" t="s">
        <v>98</v>
      </c>
      <c r="O197" s="1" t="str">
        <f>_xlfn.XLOOKUP(G197,SRMs!$A:$A,SRMs!$D:$D)</f>
        <v>NO INHERITANCE</v>
      </c>
      <c r="P197" s="1" t="str">
        <f>IFERROR(VLOOKUP(H197,Inherited!A:B,2,FALSE),"")</f>
        <v/>
      </c>
      <c r="Q197" s="1" t="e">
        <f>IF(MATCH(H197,Inherited!A:A),IF((((_xlfn.XLOOKUP(Assessment!#REF!,Inherited!A:A,Inherited!B:B))/100)*(_xlfn.XLOOKUP(Assessment!#REF!,Inherited!A:A,Inherited!C:C)))+(((100-(_xlfn.XLOOKUP(Assessment!#REF!,Inherited!A:A,Inherited!B:B)))/100)*IF(X197="1.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(100%)","100"))))))&lt;=10,"0", IF(AND((((_xlfn.XLOOKUP(Assessment!#REF!,Inherited!A:A,Inherited!B:B))/100)*(_xlfn.XLOOKUP(Assessment!#REF!,Inherited!A:A,Inherited!C:C)))+(((100-(_xlfn.XLOOKUP(Assessment!#REF!,Inherited!A:A,Inherited!B:B)))/100)*IF(X197="1.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(100%)","100"))))))&gt;=11,(((_xlfn.XLOOKUP(Assessment!#REF!,Inherited!A:A,Inherited!B:B))/100)*(_xlfn.XLOOKUP(Assessment!#REF!,Inherited!A:A,Inherited!C:C)))+(((100-(_xlfn.XLOOKUP(Assessment!#REF!,Inherited!A:A,Inherited!B:B)))/100)*IF(X197="1.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(100%)","100"))))))&lt;=32),"25",IF(AND((((_xlfn.XLOOKUP(Assessment!#REF!,Inherited!A:A,Inherited!B:B))/100)*(_xlfn.XLOOKUP(Assessment!#REF!,Inherited!A:A,Inherited!C:C)))+(((100-(_xlfn.XLOOKUP(Assessment!#REF!,Inherited!A:A,Inherited!B:B)))/100)*IF(X197="1.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(100%)","100"))))))&gt;=33,(((_xlfn.XLOOKUP(Assessment!#REF!,Inherited!A:A,Inherited!B:B))/100)*(_xlfn.XLOOKUP(Assessment!#REF!,Inherited!A:A,Inherited!C:C)))+(((100-(_xlfn.XLOOKUP(Assessment!#REF!,Inherited!A:A,Inherited!B:B)))/100)*IF(X197="1.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(100%)","100"))))))&lt;=65),"50",IF(AND((((_xlfn.XLOOKUP(Assessment!#REF!,Inherited!A:A,Inherited!B:B))/100)*(_xlfn.XLOOKUP(Assessment!#REF!,Inherited!A:A,Inherited!C:C)))+(((100-(_xlfn.XLOOKUP(Assessment!#REF!,Inherited!A:A,Inherited!B:B)))/100)*IF(X197="1.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(100%)","100"))))))&gt;=66,(((_xlfn.XLOOKUP(Assessment!#REF!,Inherited!A:A,Inherited!B:B))/100)*(_xlfn.XLOOKUP(Assessment!#REF!,Inherited!A:A,Inherited!C:C)))+(((100-(_xlfn.XLOOKUP(Assessment!#REF!,Inherited!A:A,Inherited!B:B)))/100)*IF(X197="1.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(100%)","100"))))))&lt;=89),"75",IF((((_xlfn.XLOOKUP(Assessment!#REF!,Inherited!A:A,Inherited!B:B))/100)*(_xlfn.XLOOKUP(Assessment!#REF!,Inherited!A:A,Inherited!C:C)))+(((100-(_xlfn.XLOOKUP(Assessment!#REF!,Inherited!A:A,Inherited!B:B)))/100)*IF(X197="1. Non Compliant (0%)","0",IF(X197="2. Somewhat Compliant (25%)","25",IF(X197="3. Partially Compliant (50%)","50",IF(X197="4. Mostly Compliant (75%)","75",IF(X197="5. Fully Compliant (100%)","100"))))))&gt;=90,"100"))))))</f>
        <v>#N/A</v>
      </c>
      <c r="R197" s="1" t="e">
        <f>IF(MATCH(H197,Inherited!A:A),IF((((_xlfn.XLOOKUP(Assessment!#REF!,Inherited!A:A,Inherited!B:B))/100)*(_xlfn.XLOOKUP(Assessment!#REF!,Inherited!A:A,Inherited!D:D)))+(((100-(_xlfn.XLOOKUP(Assessment!#REF!,Inherited!A:A,Inherited!B:B)))/100)*IF(Y197="1.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(100%)","100"))))))&lt;=10,"0", IF(AND((((_xlfn.XLOOKUP(Assessment!#REF!,Inherited!A:A,Inherited!B:B))/100)*(_xlfn.XLOOKUP(Assessment!#REF!,Inherited!A:A,Inherited!D:D)))+(((100-(_xlfn.XLOOKUP(Assessment!#REF!,Inherited!A:A,Inherited!B:B)))/100)*IF(Y197="1.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(100%)","100"))))))&gt;=11,(((_xlfn.XLOOKUP(Assessment!#REF!,Inherited!A:A,Inherited!B:B))/100)*(_xlfn.XLOOKUP(Assessment!#REF!,Inherited!A:A,Inherited!D:D)))+(((100-(_xlfn.XLOOKUP(Assessment!#REF!,Inherited!A:A,Inherited!B:B)))/100)*IF(Y197="1.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(100%)","100"))))))&lt;=32),"25",IF(AND((((_xlfn.XLOOKUP(Assessment!#REF!,Inherited!A:A,Inherited!B:B))/100)*(_xlfn.XLOOKUP(Assessment!#REF!,Inherited!A:A,Inherited!D:D)))+(((100-(_xlfn.XLOOKUP(Assessment!#REF!,Inherited!A:A,Inherited!B:B)))/100)*IF(Y197="1.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(100%)","100"))))))&gt;=33,(((_xlfn.XLOOKUP(Assessment!#REF!,Inherited!A:A,Inherited!B:B))/100)*(_xlfn.XLOOKUP(Assessment!#REF!,Inherited!A:A,Inherited!D:D)))+(((100-(_xlfn.XLOOKUP(Assessment!#REF!,Inherited!A:A,Inherited!B:B)))/100)*IF(Y197="1.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(100%)","100"))))))&lt;=65),"50",IF(AND((((_xlfn.XLOOKUP(Assessment!#REF!,Inherited!A:A,Inherited!B:B))/100)*(_xlfn.XLOOKUP(Assessment!#REF!,Inherited!A:A,Inherited!D:D)))+(((100-(_xlfn.XLOOKUP(Assessment!#REF!,Inherited!A:A,Inherited!B:B)))/100)*IF(Y197="1.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(100%)","100"))))))&gt;=66,(((_xlfn.XLOOKUP(Assessment!#REF!,Inherited!A:A,Inherited!B:B))/100)*(_xlfn.XLOOKUP(Assessment!#REF!,Inherited!A:A,Inherited!D:D)))+(((100-(_xlfn.XLOOKUP(Assessment!#REF!,Inherited!A:A,Inherited!B:B)))/100)*IF(Y197="1.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(100%)","100"))))))&lt;=89),"75",IF((((_xlfn.XLOOKUP(Assessment!#REF!,Inherited!A:A,Inherited!B:B))/100)*(_xlfn.XLOOKUP(Assessment!#REF!,Inherited!A:A,Inherited!D:D)))+(((100-(_xlfn.XLOOKUP(Assessment!#REF!,Inherited!A:A,Inherited!B:B)))/100)*IF(Y197="1. Non Compliant (0%)","0",IF(Y197="2. Somewhat Compliant (25%)","25",IF(Y197="3. Partially Compliant (50%)","50",IF(Y197="4. Mostly Compliant (75%)","75",IF(Y197="5. Fully Compliant (100%)","100"))))))&gt;=90,"100"))))))</f>
        <v>#N/A</v>
      </c>
      <c r="S197" s="1" t="e">
        <f>IF(MATCH(H197,Inherited!A:A),IF((((_xlfn.XLOOKUP(Assessment!#REF!,Inherited!A:A,Inherited!B:B))/100)*(_xlfn.XLOOKUP(Assessment!#REF!,Inherited!A:A,Inherited!E:E)))+(((100-(_xlfn.XLOOKUP(Assessment!#REF!,Inherited!A:A,Inherited!B:B)))/100)*IF(Z197="1.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(100%)","100"))))))&lt;=10,"0", IF(AND((((_xlfn.XLOOKUP(Assessment!#REF!,Inherited!A:A,Inherited!B:B))/100)*(_xlfn.XLOOKUP(Assessment!#REF!,Inherited!A:A,Inherited!E:E)))+(((100-(_xlfn.XLOOKUP(Assessment!#REF!,Inherited!A:A,Inherited!B:B)))/100)*IF(Z197="1.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(100%)","100"))))))&gt;=11,(((_xlfn.XLOOKUP(Assessment!#REF!,Inherited!A:A,Inherited!B:B))/100)*(_xlfn.XLOOKUP(Assessment!#REF!,Inherited!A:A,Inherited!E:E)))+(((100-(_xlfn.XLOOKUP(Assessment!#REF!,Inherited!A:A,Inherited!B:B)))/100)*IF(Z197="1.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(100%)","100"))))))&lt;=32),"25",IF(AND((((_xlfn.XLOOKUP(Assessment!#REF!,Inherited!A:A,Inherited!B:B))/100)*(_xlfn.XLOOKUP(Assessment!#REF!,Inherited!A:A,Inherited!E:E)))+(((100-(_xlfn.XLOOKUP(Assessment!#REF!,Inherited!A:A,Inherited!B:B)))/100)*IF(Z197="1.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(100%)","100"))))))&gt;=33,(((_xlfn.XLOOKUP(Assessment!#REF!,Inherited!A:A,Inherited!B:B))/100)*(_xlfn.XLOOKUP(Assessment!#REF!,Inherited!A:A,Inherited!E:E)))+(((100-(_xlfn.XLOOKUP(Assessment!#REF!,Inherited!A:A,Inherited!B:B)))/100)*IF(Z197="1.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(100%)","100"))))))&lt;=65),"50",IF(AND((((_xlfn.XLOOKUP(Assessment!#REF!,Inherited!A:A,Inherited!B:B))/100)*(_xlfn.XLOOKUP(Assessment!#REF!,Inherited!A:A,Inherited!E:E)))+(((100-(_xlfn.XLOOKUP(Assessment!#REF!,Inherited!A:A,Inherited!B:B)))/100)*IF(Z197="1.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(100%)","100"))))))&gt;=66,(((_xlfn.XLOOKUP(Assessment!#REF!,Inherited!A:A,Inherited!B:B))/100)*(_xlfn.XLOOKUP(Assessment!#REF!,Inherited!A:A,Inherited!E:E)))+(((100-(_xlfn.XLOOKUP(Assessment!#REF!,Inherited!A:A,Inherited!B:B)))/100)*IF(Z197="1.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(100%)","100"))))))&lt;=89),"75",IF((((_xlfn.XLOOKUP(Assessment!#REF!,Inherited!A:A,Inherited!B:B))/100)*(_xlfn.XLOOKUP(Assessment!#REF!,Inherited!A:A,Inherited!E:E)))+(((100-(_xlfn.XLOOKUP(Assessment!#REF!,Inherited!A:A,Inherited!B:B)))/100)*IF(Z197="1. Non Compliant (0%)","0",IF(Z197="2. Somewhat Compliant (25%)","25",IF(Z197="3. Partially Compliant (50%)","50",IF(Z197="4. Mostly Compliant (75%)","75",IF(Z197="5. Fully Compliant (100%)","100"))))))&gt;=90,"100"))))))</f>
        <v>#N/A</v>
      </c>
      <c r="T197" s="1" t="e">
        <f>IF(MATCH(H197,Inherited!A:A),IF((((_xlfn.XLOOKUP(Assessment!#REF!,Inherited!A:A,Inherited!B:B))/100)*(_xlfn.XLOOKUP(Assessment!#REF!,Inherited!A:A,Inherited!F:F)))+(((100-(_xlfn.XLOOKUP(Assessment!#REF!,Inherited!A:A,Inherited!B:B)))/100)*IF(AA197="1.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(100%)","100"))))))&lt;=10,"0", IF(AND((((_xlfn.XLOOKUP(Assessment!#REF!,Inherited!A:A,Inherited!B:B))/100)*(_xlfn.XLOOKUP(Assessment!#REF!,Inherited!A:A,Inherited!F:F)))+(((100-(_xlfn.XLOOKUP(Assessment!#REF!,Inherited!A:A,Inherited!B:B)))/100)*IF(AA197="1.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(100%)","100"))))))&gt;=11,(((_xlfn.XLOOKUP(Assessment!#REF!,Inherited!A:A,Inherited!B:B))/100)*(_xlfn.XLOOKUP(Assessment!#REF!,Inherited!A:A,Inherited!F:F)))+(((100-(_xlfn.XLOOKUP(Assessment!#REF!,Inherited!A:A,Inherited!B:B)))/100)*IF(AA197="1.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(100%)","100"))))))&lt;=32),"25",IF(AND((((_xlfn.XLOOKUP(Assessment!#REF!,Inherited!A:A,Inherited!B:B))/100)*(_xlfn.XLOOKUP(Assessment!#REF!,Inherited!A:A,Inherited!F:F)))+(((100-(_xlfn.XLOOKUP(Assessment!#REF!,Inherited!A:A,Inherited!B:B)))/100)*IF(AA197="1.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(100%)","100"))))))&gt;=33,(((_xlfn.XLOOKUP(Assessment!#REF!,Inherited!A:A,Inherited!B:B))/100)*(_xlfn.XLOOKUP(Assessment!#REF!,Inherited!A:A,Inherited!F:F)))+(((100-(_xlfn.XLOOKUP(Assessment!#REF!,Inherited!A:A,Inherited!B:B)))/100)*IF(AA197="1.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(100%)","100"))))))&lt;=65),"50",IF(AND((((_xlfn.XLOOKUP(Assessment!#REF!,Inherited!A:A,Inherited!B:B))/100)*(_xlfn.XLOOKUP(Assessment!#REF!,Inherited!A:A,Inherited!F:F)))+(((100-(_xlfn.XLOOKUP(Assessment!#REF!,Inherited!A:A,Inherited!B:B)))/100)*IF(AA197="1.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(100%)","100"))))))&gt;=66,(((_xlfn.XLOOKUP(Assessment!#REF!,Inherited!A:A,Inherited!B:B))/100)*(_xlfn.XLOOKUP(Assessment!#REF!,Inherited!A:A,Inherited!F:F)))+(((100-(_xlfn.XLOOKUP(Assessment!#REF!,Inherited!A:A,Inherited!B:B)))/100)*IF(AA197="1.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(100%)","100"))))))&lt;=89),"75",IF((((_xlfn.XLOOKUP(Assessment!#REF!,Inherited!A:A,Inherited!B:B))/100)*(_xlfn.XLOOKUP(Assessment!#REF!,Inherited!A:A,Inherited!F:F)))+(((100-(_xlfn.XLOOKUP(Assessment!#REF!,Inherited!A:A,Inherited!B:B)))/100)*IF(AA197="1. Non Compliant (0%)","0",IF(AA197="2. Somewhat Compliant (25%)","25",IF(AA197="3. Partially Compliant (50%)","50",IF(AA197="4. Mostly Compliant (75%)","75",IF(AA197="5. Fully Compliant (100%)","100"))))))&gt;=90,"100"))))))</f>
        <v>#N/A</v>
      </c>
      <c r="U197" s="1" t="e">
        <f>IF(MATCH(H197,Inherited!A:A),IF((((_xlfn.XLOOKUP(Assessment!#REF!,Inherited!A:A,Inherited!B:B))/100)*(_xlfn.XLOOKUP(Assessment!#REF!,Inherited!A:A,Inherited!G:G)))+(((100-(_xlfn.XLOOKUP(Assessment!#REF!,Inherited!A:A,Inherited!B:B)))/100)*IF(AB197="1.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(100%)","100"))))))&lt;=10,"0", IF(AND((((_xlfn.XLOOKUP(Assessment!#REF!,Inherited!A:A,Inherited!B:B))/100)*(_xlfn.XLOOKUP(Assessment!#REF!,Inherited!A:A,Inherited!G:G)))+(((100-(_xlfn.XLOOKUP(Assessment!#REF!,Inherited!A:A,Inherited!B:B)))/100)*IF(AB197="1.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(100%)","100"))))))&gt;=11,(((_xlfn.XLOOKUP(Assessment!#REF!,Inherited!A:A,Inherited!B:B))/100)*(_xlfn.XLOOKUP(Assessment!#REF!,Inherited!A:A,Inherited!G:G)))+(((100-(_xlfn.XLOOKUP(Assessment!#REF!,Inherited!A:A,Inherited!B:B)))/100)*IF(AB197="1.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(100%)","100"))))))&lt;=32),"25",IF(AND((((_xlfn.XLOOKUP(Assessment!#REF!,Inherited!A:A,Inherited!B:B))/100)*(_xlfn.XLOOKUP(Assessment!#REF!,Inherited!A:A,Inherited!G:G)))+(((100-(_xlfn.XLOOKUP(Assessment!#REF!,Inherited!A:A,Inherited!B:B)))/100)*IF(AB197="1.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(100%)","100"))))))&gt;=33,(((_xlfn.XLOOKUP(Assessment!#REF!,Inherited!A:A,Inherited!B:B))/100)*(_xlfn.XLOOKUP(Assessment!#REF!,Inherited!A:A,Inherited!G:G)))+(((100-(_xlfn.XLOOKUP(Assessment!#REF!,Inherited!A:A,Inherited!B:B)))/100)*IF(AB197="1.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(100%)","100"))))))&lt;=65),"50",IF(AND((((_xlfn.XLOOKUP(Assessment!#REF!,Inherited!A:A,Inherited!B:B))/100)*(_xlfn.XLOOKUP(Assessment!#REF!,Inherited!A:A,Inherited!G:G)))+(((100-(_xlfn.XLOOKUP(Assessment!#REF!,Inherited!A:A,Inherited!B:B)))/100)*IF(AB197="1.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(100%)","100"))))))&gt;=66,(((_xlfn.XLOOKUP(Assessment!#REF!,Inherited!A:A,Inherited!B:B))/100)*(_xlfn.XLOOKUP(Assessment!#REF!,Inherited!A:A,Inherited!G:G)))+(((100-(_xlfn.XLOOKUP(Assessment!#REF!,Inherited!A:A,Inherited!B:B)))/100)*IF(AB197="1.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(100%)","100"))))))&lt;=89),"75",IF((((_xlfn.XLOOKUP(Assessment!#REF!,Inherited!A:A,Inherited!B:B))/100)*(_xlfn.XLOOKUP(Assessment!#REF!,Inherited!A:A,Inherited!G:G)))+(((100-(_xlfn.XLOOKUP(Assessment!#REF!,Inherited!A:A,Inherited!B:B)))/100)*IF(AB197="1. Non Compliant (0%)","0",IF(AB197="2. Somewhat Compliant (25%)","25",IF(AB197="3. Partially Compliant (50%)","50",IF(AB197="4. Mostly Compliant (75%)","75",IF(AB197="5. Fully Compliant (100%)","100"))))))&gt;=90,"100"))))))</f>
        <v>#N/A</v>
      </c>
      <c r="V197" s="55" t="s">
        <v>85</v>
      </c>
      <c r="W197" s="55"/>
      <c r="X197" s="55"/>
      <c r="Y197" s="55"/>
      <c r="Z197" s="55" t="s">
        <v>10873</v>
      </c>
      <c r="AA197" s="55"/>
      <c r="AB197" s="55"/>
      <c r="AK197" s="1" t="s">
        <v>10978</v>
      </c>
      <c r="AL197" s="1" t="s">
        <v>10997</v>
      </c>
      <c r="AP197" s="1" t="s">
        <v>11135</v>
      </c>
      <c r="AX197" s="3" t="str">
        <f>_xlfn.CONCAT("A-LIGN finished its review of this control on ",AR197, " during the scheduled fieldwork window (",Intro!$B$4,")."&amp; CHAR(10)&amp; CHAR(10))</f>
        <v xml:space="preserve">A-LIGN finished its review of this control on  during the scheduled fieldwork window (Fieldwork: xx/xx/xxxx - xx/xx/xxxx).
</v>
      </c>
      <c r="AY197" s="3" t="str">
        <f t="shared" si="371"/>
        <v/>
      </c>
      <c r="AZ197" s="3" t="str">
        <f t="shared" si="372"/>
        <v/>
      </c>
      <c r="BA197" s="3" t="str">
        <f t="shared" si="373"/>
        <v/>
      </c>
      <c r="BB197" s="3" t="str">
        <f t="shared" si="374"/>
        <v xml:space="preserve">Inquired of the following workforce member: 
Michael Wood - VP of AI Engineering
Kyle Smith - IT Operations and AI Expert 
Inquiry lead to the following conclusions: 
AI release documentation is not maintained at this time
</v>
      </c>
      <c r="BC197" s="3" t="str">
        <f t="shared" si="375"/>
        <v/>
      </c>
      <c r="BD197" s="3" t="str">
        <f t="shared" si="376"/>
        <v xml:space="preserve">Examined the following evidence during fieldwork:
Reviewed evidence addressed the requirement statement.
Reviewed evidence exception note: 
Gap: 
AI release documentation is not maintained at this time
Recommendation:
Management should ensure that AI release documentation is maintained and considers the following: 
 limits the release of technical AI project details including: technical architecture of the overall AI system
- limits the release of technical AI project details including: datasets used for training, testing, validating, and tuning of confidential and/or closed-source AI models
- limits the release of technical AI project details including: datasets used for prompt augmentation via RAG
- limits the release of technical AI project details including: algorithm(s) used to create confidential and/or closed-source AI models
- limits the release of technical AI project details including: architecture of confidential and/or closed-source AI models
- limits the release of technical AI project details including: language model tools used such as agents and plugins
- limits the release of technical AI project details including: safety and security checkpoints built into the AI system
- limits the release of technical AI project details including: information on teams developing and supporting the AI system
</v>
      </c>
      <c r="BE197" s="3" t="str">
        <f t="shared" si="377"/>
        <v/>
      </c>
      <c r="BF197" s="3" t="str">
        <f t="shared" si="378"/>
        <v/>
      </c>
      <c r="BG197" s="3" t="str">
        <f>_xlfn.CONCAT((IF((COUNTIF('Sample Tables'!B:B,"")&gt;0)=TRUE,_xlfn.CONCAT("",""),IF((COUNTIF('Sample Tables'!B:B,"")&gt;0)=FALSE,""))),)</f>
        <v/>
      </c>
      <c r="BH197" s="3" t="str">
        <f t="shared" si="379"/>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release documentation is not maintained at this time
Examined the following evidence during fieldwork:
Reviewed evidence addressed the requirement statement.
Reviewed evidence exception note: 
Gap: 
AI release documentation is not maintained at this time
Recommendation:
Management should ensure that AI release documentation is maintained and considers the following: 
 limits the release of technical AI project details including: technical architecture of the overall AI system
- limits the release of technical AI project details including: datasets used for training, testing, validating, and tuning of confidential and/or closed-source AI models
- limits the release of technical AI project details including: datasets used for prompt augmentation via RAG
- limits the release of technical AI project details including: algorithm(s) used to create confidential and/or closed-source AI models
- limits the release of technical AI project details including: architecture of confidential and/or closed-source AI models
- limits the release of technical AI project details including: language model tools used such as agents and plugins
- limits the release of technical AI project details including: safety and security checkpoints built into the AI system
- limits the release of technical AI project details including: information on teams developing and supporting the AI system
</v>
      </c>
    </row>
    <row r="198" spans="3:60" ht="409.5" x14ac:dyDescent="0.35">
      <c r="C198" s="1">
        <f t="shared" ref="C198" si="380">IF(V198="No","Not Applicable",(IF(X198="1. Non Compliant (0%)","0",IF(X198="2. Somewhat Compliant (25%)","25",IF(X198="3. Partially Compliant (50%)","50",IF(X198="4. Mostly Compliant (75%)","75",IF(X198="5. Fully Compliant (100%)","100")))))*0.15)+((IF(Y198="1. Non Compliant (0%)","0",IF(Y198="2. Somewhat Compliant (25%)","25",IF(Y198="3. Partially Compliant (50%)","50",IF(Y198="4. Mostly Compliant (75%)","75",IF(Y198="5. Fully Compliant (100%)","100"))))))*0.2)+(IF(Z198="1. Non Compliant (0%)","0",IF(Z198="2. Somewhat Compliant (25%)","25",IF(Z198="3. Partially Compliant (50%)","50",IF(Z198="4. Mostly Compliant (75%)","75",IF(Z198="5. Fully Compliant (100%)","100")))))*0.4)+(IF(AA198="1. Non Compliant (0%)","0",IF(AA198="2. Somewhat Compliant (25%)","25",IF(AA198="3. Partially Compliant (50%)","50",IF(AA198="4. Mostly Compliant (75%)","75",IF(AA198="5. Fully Compliant (100%)","100")))))*0.1)+(IF(AB198="1. Non Compliant (0%)","0",IF(AB198="2. Somewhat Compliant (25%)","25",IF(AB198="3. Partially Compliant (50%)","50",IF(AB198="4. Mostly Compliant (75%)","75",IF(AB198="5. Fully Compliant (100%)","100")))))*0.15))</f>
        <v>0</v>
      </c>
      <c r="D198" s="5" t="str">
        <f>IF(AND((_xlfn.XLOOKUP(J198,'Fields &amp; Revisions'!$H:$H,'Fields &amp; Revisions'!$I:$I))&lt;70.99,(OR(Z198="4. Mostly Compliant (75%)",Z198="3. Partially Compliant (50%)",Z198="2. Somewhat Compliant (25%)",Z198="1. Non Compliant (0%)"))),"Yes","No")</f>
        <v>Yes</v>
      </c>
      <c r="E198" s="5" t="str">
        <f>IF(ISERROR(VLOOKUP(H198,Scope!A:A,1,FALSE)),"No","Yes")</f>
        <v>Yes</v>
      </c>
      <c r="F198" s="1" t="s">
        <v>5677</v>
      </c>
      <c r="G198" s="53" t="s">
        <v>5834</v>
      </c>
      <c r="H198" s="53" t="s">
        <v>5835</v>
      </c>
      <c r="I198" s="5" t="s">
        <v>93</v>
      </c>
      <c r="J198" s="1" t="s">
        <v>1518</v>
      </c>
      <c r="K198" s="54" t="s">
        <v>5836</v>
      </c>
      <c r="L198" s="1" t="s">
        <v>5837</v>
      </c>
      <c r="M198" s="1" t="s">
        <v>5838</v>
      </c>
      <c r="N198" s="5" t="s">
        <v>98</v>
      </c>
      <c r="O198" s="1" t="str">
        <f>_xlfn.XLOOKUP(G198,SRMs!$A:$A,SRMs!$D:$D)</f>
        <v>NO INHERITANCE</v>
      </c>
      <c r="P198" s="1" t="str">
        <f>IFERROR(VLOOKUP(H198,Inherited!A:B,2,FALSE),"")</f>
        <v/>
      </c>
      <c r="Q198" s="1" t="e">
        <f>IF(MATCH(H198,Inherited!A:A),IF((((_xlfn.XLOOKUP(Assessment!#REF!,Inherited!A:A,Inherited!B:B))/100)*(_xlfn.XLOOKUP(Assessment!#REF!,Inherited!A:A,Inherited!C:C)))+(((100-(_xlfn.XLOOKUP(Assessment!#REF!,Inherited!A:A,Inherited!B:B)))/100)*IF(X198="1.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(100%)","100"))))))&lt;=10,"0", IF(AND((((_xlfn.XLOOKUP(Assessment!#REF!,Inherited!A:A,Inherited!B:B))/100)*(_xlfn.XLOOKUP(Assessment!#REF!,Inherited!A:A,Inherited!C:C)))+(((100-(_xlfn.XLOOKUP(Assessment!#REF!,Inherited!A:A,Inherited!B:B)))/100)*IF(X198="1.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(100%)","100"))))))&gt;=11,(((_xlfn.XLOOKUP(Assessment!#REF!,Inherited!A:A,Inherited!B:B))/100)*(_xlfn.XLOOKUP(Assessment!#REF!,Inherited!A:A,Inherited!C:C)))+(((100-(_xlfn.XLOOKUP(Assessment!#REF!,Inherited!A:A,Inherited!B:B)))/100)*IF(X198="1.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(100%)","100"))))))&lt;=32),"25",IF(AND((((_xlfn.XLOOKUP(Assessment!#REF!,Inherited!A:A,Inherited!B:B))/100)*(_xlfn.XLOOKUP(Assessment!#REF!,Inherited!A:A,Inherited!C:C)))+(((100-(_xlfn.XLOOKUP(Assessment!#REF!,Inherited!A:A,Inherited!B:B)))/100)*IF(X198="1.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(100%)","100"))))))&gt;=33,(((_xlfn.XLOOKUP(Assessment!#REF!,Inherited!A:A,Inherited!B:B))/100)*(_xlfn.XLOOKUP(Assessment!#REF!,Inherited!A:A,Inherited!C:C)))+(((100-(_xlfn.XLOOKUP(Assessment!#REF!,Inherited!A:A,Inherited!B:B)))/100)*IF(X198="1.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(100%)","100"))))))&lt;=65),"50",IF(AND((((_xlfn.XLOOKUP(Assessment!#REF!,Inherited!A:A,Inherited!B:B))/100)*(_xlfn.XLOOKUP(Assessment!#REF!,Inherited!A:A,Inherited!C:C)))+(((100-(_xlfn.XLOOKUP(Assessment!#REF!,Inherited!A:A,Inherited!B:B)))/100)*IF(X198="1.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(100%)","100"))))))&gt;=66,(((_xlfn.XLOOKUP(Assessment!#REF!,Inherited!A:A,Inherited!B:B))/100)*(_xlfn.XLOOKUP(Assessment!#REF!,Inherited!A:A,Inherited!C:C)))+(((100-(_xlfn.XLOOKUP(Assessment!#REF!,Inherited!A:A,Inherited!B:B)))/100)*IF(X198="1.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(100%)","100"))))))&lt;=89),"75",IF((((_xlfn.XLOOKUP(Assessment!#REF!,Inherited!A:A,Inherited!B:B))/100)*(_xlfn.XLOOKUP(Assessment!#REF!,Inherited!A:A,Inherited!C:C)))+(((100-(_xlfn.XLOOKUP(Assessment!#REF!,Inherited!A:A,Inherited!B:B)))/100)*IF(X198="1. Non Compliant (0%)","0",IF(X198="2. Somewhat Compliant (25%)","25",IF(X198="3. Partially Compliant (50%)","50",IF(X198="4. Mostly Compliant (75%)","75",IF(X198="5. Fully Compliant (100%)","100"))))))&gt;=90,"100"))))))</f>
        <v>#N/A</v>
      </c>
      <c r="R198" s="1" t="e">
        <f>IF(MATCH(H198,Inherited!A:A),IF((((_xlfn.XLOOKUP(Assessment!#REF!,Inherited!A:A,Inherited!B:B))/100)*(_xlfn.XLOOKUP(Assessment!#REF!,Inherited!A:A,Inherited!D:D)))+(((100-(_xlfn.XLOOKUP(Assessment!#REF!,Inherited!A:A,Inherited!B:B)))/100)*IF(Y198="1.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(100%)","100"))))))&lt;=10,"0", IF(AND((((_xlfn.XLOOKUP(Assessment!#REF!,Inherited!A:A,Inherited!B:B))/100)*(_xlfn.XLOOKUP(Assessment!#REF!,Inherited!A:A,Inherited!D:D)))+(((100-(_xlfn.XLOOKUP(Assessment!#REF!,Inherited!A:A,Inherited!B:B)))/100)*IF(Y198="1.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(100%)","100"))))))&gt;=11,(((_xlfn.XLOOKUP(Assessment!#REF!,Inherited!A:A,Inherited!B:B))/100)*(_xlfn.XLOOKUP(Assessment!#REF!,Inherited!A:A,Inherited!D:D)))+(((100-(_xlfn.XLOOKUP(Assessment!#REF!,Inherited!A:A,Inherited!B:B)))/100)*IF(Y198="1.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(100%)","100"))))))&lt;=32),"25",IF(AND((((_xlfn.XLOOKUP(Assessment!#REF!,Inherited!A:A,Inherited!B:B))/100)*(_xlfn.XLOOKUP(Assessment!#REF!,Inherited!A:A,Inherited!D:D)))+(((100-(_xlfn.XLOOKUP(Assessment!#REF!,Inherited!A:A,Inherited!B:B)))/100)*IF(Y198="1.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(100%)","100"))))))&gt;=33,(((_xlfn.XLOOKUP(Assessment!#REF!,Inherited!A:A,Inherited!B:B))/100)*(_xlfn.XLOOKUP(Assessment!#REF!,Inherited!A:A,Inherited!D:D)))+(((100-(_xlfn.XLOOKUP(Assessment!#REF!,Inherited!A:A,Inherited!B:B)))/100)*IF(Y198="1.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(100%)","100"))))))&lt;=65),"50",IF(AND((((_xlfn.XLOOKUP(Assessment!#REF!,Inherited!A:A,Inherited!B:B))/100)*(_xlfn.XLOOKUP(Assessment!#REF!,Inherited!A:A,Inherited!D:D)))+(((100-(_xlfn.XLOOKUP(Assessment!#REF!,Inherited!A:A,Inherited!B:B)))/100)*IF(Y198="1.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(100%)","100"))))))&gt;=66,(((_xlfn.XLOOKUP(Assessment!#REF!,Inherited!A:A,Inherited!B:B))/100)*(_xlfn.XLOOKUP(Assessment!#REF!,Inherited!A:A,Inherited!D:D)))+(((100-(_xlfn.XLOOKUP(Assessment!#REF!,Inherited!A:A,Inherited!B:B)))/100)*IF(Y198="1.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(100%)","100"))))))&lt;=89),"75",IF((((_xlfn.XLOOKUP(Assessment!#REF!,Inherited!A:A,Inherited!B:B))/100)*(_xlfn.XLOOKUP(Assessment!#REF!,Inherited!A:A,Inherited!D:D)))+(((100-(_xlfn.XLOOKUP(Assessment!#REF!,Inherited!A:A,Inherited!B:B)))/100)*IF(Y198="1. Non Compliant (0%)","0",IF(Y198="2. Somewhat Compliant (25%)","25",IF(Y198="3. Partially Compliant (50%)","50",IF(Y198="4. Mostly Compliant (75%)","75",IF(Y198="5. Fully Compliant (100%)","100"))))))&gt;=90,"100"))))))</f>
        <v>#N/A</v>
      </c>
      <c r="S198" s="1" t="e">
        <f>IF(MATCH(H198,Inherited!A:A),IF((((_xlfn.XLOOKUP(Assessment!#REF!,Inherited!A:A,Inherited!B:B))/100)*(_xlfn.XLOOKUP(Assessment!#REF!,Inherited!A:A,Inherited!E:E)))+(((100-(_xlfn.XLOOKUP(Assessment!#REF!,Inherited!A:A,Inherited!B:B)))/100)*IF(Z198="1.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(100%)","100"))))))&lt;=10,"0", IF(AND((((_xlfn.XLOOKUP(Assessment!#REF!,Inherited!A:A,Inherited!B:B))/100)*(_xlfn.XLOOKUP(Assessment!#REF!,Inherited!A:A,Inherited!E:E)))+(((100-(_xlfn.XLOOKUP(Assessment!#REF!,Inherited!A:A,Inherited!B:B)))/100)*IF(Z198="1.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(100%)","100"))))))&gt;=11,(((_xlfn.XLOOKUP(Assessment!#REF!,Inherited!A:A,Inherited!B:B))/100)*(_xlfn.XLOOKUP(Assessment!#REF!,Inherited!A:A,Inherited!E:E)))+(((100-(_xlfn.XLOOKUP(Assessment!#REF!,Inherited!A:A,Inherited!B:B)))/100)*IF(Z198="1.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(100%)","100"))))))&lt;=32),"25",IF(AND((((_xlfn.XLOOKUP(Assessment!#REF!,Inherited!A:A,Inherited!B:B))/100)*(_xlfn.XLOOKUP(Assessment!#REF!,Inherited!A:A,Inherited!E:E)))+(((100-(_xlfn.XLOOKUP(Assessment!#REF!,Inherited!A:A,Inherited!B:B)))/100)*IF(Z198="1.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(100%)","100"))))))&gt;=33,(((_xlfn.XLOOKUP(Assessment!#REF!,Inherited!A:A,Inherited!B:B))/100)*(_xlfn.XLOOKUP(Assessment!#REF!,Inherited!A:A,Inherited!E:E)))+(((100-(_xlfn.XLOOKUP(Assessment!#REF!,Inherited!A:A,Inherited!B:B)))/100)*IF(Z198="1.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(100%)","100"))))))&lt;=65),"50",IF(AND((((_xlfn.XLOOKUP(Assessment!#REF!,Inherited!A:A,Inherited!B:B))/100)*(_xlfn.XLOOKUP(Assessment!#REF!,Inherited!A:A,Inherited!E:E)))+(((100-(_xlfn.XLOOKUP(Assessment!#REF!,Inherited!A:A,Inherited!B:B)))/100)*IF(Z198="1.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(100%)","100"))))))&gt;=66,(((_xlfn.XLOOKUP(Assessment!#REF!,Inherited!A:A,Inherited!B:B))/100)*(_xlfn.XLOOKUP(Assessment!#REF!,Inherited!A:A,Inherited!E:E)))+(((100-(_xlfn.XLOOKUP(Assessment!#REF!,Inherited!A:A,Inherited!B:B)))/100)*IF(Z198="1.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(100%)","100"))))))&lt;=89),"75",IF((((_xlfn.XLOOKUP(Assessment!#REF!,Inherited!A:A,Inherited!B:B))/100)*(_xlfn.XLOOKUP(Assessment!#REF!,Inherited!A:A,Inherited!E:E)))+(((100-(_xlfn.XLOOKUP(Assessment!#REF!,Inherited!A:A,Inherited!B:B)))/100)*IF(Z198="1. Non Compliant (0%)","0",IF(Z198="2. Somewhat Compliant (25%)","25",IF(Z198="3. Partially Compliant (50%)","50",IF(Z198="4. Mostly Compliant (75%)","75",IF(Z198="5. Fully Compliant (100%)","100"))))))&gt;=90,"100"))))))</f>
        <v>#N/A</v>
      </c>
      <c r="T198" s="1" t="e">
        <f>IF(MATCH(H198,Inherited!A:A),IF((((_xlfn.XLOOKUP(Assessment!#REF!,Inherited!A:A,Inherited!B:B))/100)*(_xlfn.XLOOKUP(Assessment!#REF!,Inherited!A:A,Inherited!F:F)))+(((100-(_xlfn.XLOOKUP(Assessment!#REF!,Inherited!A:A,Inherited!B:B)))/100)*IF(AA198="1.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(100%)","100"))))))&lt;=10,"0", IF(AND((((_xlfn.XLOOKUP(Assessment!#REF!,Inherited!A:A,Inherited!B:B))/100)*(_xlfn.XLOOKUP(Assessment!#REF!,Inherited!A:A,Inherited!F:F)))+(((100-(_xlfn.XLOOKUP(Assessment!#REF!,Inherited!A:A,Inherited!B:B)))/100)*IF(AA198="1.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(100%)","100"))))))&gt;=11,(((_xlfn.XLOOKUP(Assessment!#REF!,Inherited!A:A,Inherited!B:B))/100)*(_xlfn.XLOOKUP(Assessment!#REF!,Inherited!A:A,Inherited!F:F)))+(((100-(_xlfn.XLOOKUP(Assessment!#REF!,Inherited!A:A,Inherited!B:B)))/100)*IF(AA198="1.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(100%)","100"))))))&lt;=32),"25",IF(AND((((_xlfn.XLOOKUP(Assessment!#REF!,Inherited!A:A,Inherited!B:B))/100)*(_xlfn.XLOOKUP(Assessment!#REF!,Inherited!A:A,Inherited!F:F)))+(((100-(_xlfn.XLOOKUP(Assessment!#REF!,Inherited!A:A,Inherited!B:B)))/100)*IF(AA198="1.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(100%)","100"))))))&gt;=33,(((_xlfn.XLOOKUP(Assessment!#REF!,Inherited!A:A,Inherited!B:B))/100)*(_xlfn.XLOOKUP(Assessment!#REF!,Inherited!A:A,Inherited!F:F)))+(((100-(_xlfn.XLOOKUP(Assessment!#REF!,Inherited!A:A,Inherited!B:B)))/100)*IF(AA198="1.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(100%)","100"))))))&lt;=65),"50",IF(AND((((_xlfn.XLOOKUP(Assessment!#REF!,Inherited!A:A,Inherited!B:B))/100)*(_xlfn.XLOOKUP(Assessment!#REF!,Inherited!A:A,Inherited!F:F)))+(((100-(_xlfn.XLOOKUP(Assessment!#REF!,Inherited!A:A,Inherited!B:B)))/100)*IF(AA198="1.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(100%)","100"))))))&gt;=66,(((_xlfn.XLOOKUP(Assessment!#REF!,Inherited!A:A,Inherited!B:B))/100)*(_xlfn.XLOOKUP(Assessment!#REF!,Inherited!A:A,Inherited!F:F)))+(((100-(_xlfn.XLOOKUP(Assessment!#REF!,Inherited!A:A,Inherited!B:B)))/100)*IF(AA198="1.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(100%)","100"))))))&lt;=89),"75",IF((((_xlfn.XLOOKUP(Assessment!#REF!,Inherited!A:A,Inherited!B:B))/100)*(_xlfn.XLOOKUP(Assessment!#REF!,Inherited!A:A,Inherited!F:F)))+(((100-(_xlfn.XLOOKUP(Assessment!#REF!,Inherited!A:A,Inherited!B:B)))/100)*IF(AA198="1. Non Compliant (0%)","0",IF(AA198="2. Somewhat Compliant (25%)","25",IF(AA198="3. Partially Compliant (50%)","50",IF(AA198="4. Mostly Compliant (75%)","75",IF(AA198="5. Fully Compliant (100%)","100"))))))&gt;=90,"100"))))))</f>
        <v>#N/A</v>
      </c>
      <c r="U198" s="1" t="e">
        <f>IF(MATCH(H198,Inherited!A:A),IF((((_xlfn.XLOOKUP(Assessment!#REF!,Inherited!A:A,Inherited!B:B))/100)*(_xlfn.XLOOKUP(Assessment!#REF!,Inherited!A:A,Inherited!G:G)))+(((100-(_xlfn.XLOOKUP(Assessment!#REF!,Inherited!A:A,Inherited!B:B)))/100)*IF(AB198="1.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(100%)","100"))))))&lt;=10,"0", IF(AND((((_xlfn.XLOOKUP(Assessment!#REF!,Inherited!A:A,Inherited!B:B))/100)*(_xlfn.XLOOKUP(Assessment!#REF!,Inherited!A:A,Inherited!G:G)))+(((100-(_xlfn.XLOOKUP(Assessment!#REF!,Inherited!A:A,Inherited!B:B)))/100)*IF(AB198="1.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(100%)","100"))))))&gt;=11,(((_xlfn.XLOOKUP(Assessment!#REF!,Inherited!A:A,Inherited!B:B))/100)*(_xlfn.XLOOKUP(Assessment!#REF!,Inherited!A:A,Inherited!G:G)))+(((100-(_xlfn.XLOOKUP(Assessment!#REF!,Inherited!A:A,Inherited!B:B)))/100)*IF(AB198="1.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(100%)","100"))))))&lt;=32),"25",IF(AND((((_xlfn.XLOOKUP(Assessment!#REF!,Inherited!A:A,Inherited!B:B))/100)*(_xlfn.XLOOKUP(Assessment!#REF!,Inherited!A:A,Inherited!G:G)))+(((100-(_xlfn.XLOOKUP(Assessment!#REF!,Inherited!A:A,Inherited!B:B)))/100)*IF(AB198="1.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(100%)","100"))))))&gt;=33,(((_xlfn.XLOOKUP(Assessment!#REF!,Inherited!A:A,Inherited!B:B))/100)*(_xlfn.XLOOKUP(Assessment!#REF!,Inherited!A:A,Inherited!G:G)))+(((100-(_xlfn.XLOOKUP(Assessment!#REF!,Inherited!A:A,Inherited!B:B)))/100)*IF(AB198="1.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(100%)","100"))))))&lt;=65),"50",IF(AND((((_xlfn.XLOOKUP(Assessment!#REF!,Inherited!A:A,Inherited!B:B))/100)*(_xlfn.XLOOKUP(Assessment!#REF!,Inherited!A:A,Inherited!G:G)))+(((100-(_xlfn.XLOOKUP(Assessment!#REF!,Inherited!A:A,Inherited!B:B)))/100)*IF(AB198="1.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(100%)","100"))))))&gt;=66,(((_xlfn.XLOOKUP(Assessment!#REF!,Inherited!A:A,Inherited!B:B))/100)*(_xlfn.XLOOKUP(Assessment!#REF!,Inherited!A:A,Inherited!G:G)))+(((100-(_xlfn.XLOOKUP(Assessment!#REF!,Inherited!A:A,Inherited!B:B)))/100)*IF(AB198="1.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(100%)","100"))))))&lt;=89),"75",IF((((_xlfn.XLOOKUP(Assessment!#REF!,Inherited!A:A,Inherited!B:B))/100)*(_xlfn.XLOOKUP(Assessment!#REF!,Inherited!A:A,Inherited!G:G)))+(((100-(_xlfn.XLOOKUP(Assessment!#REF!,Inherited!A:A,Inherited!B:B)))/100)*IF(AB198="1. Non Compliant (0%)","0",IF(AB198="2. Somewhat Compliant (25%)","25",IF(AB198="3. Partially Compliant (50%)","50",IF(AB198="4. Mostly Compliant (75%)","75",IF(AB198="5. Fully Compliant (100%)","100"))))))&gt;=90,"100"))))))</f>
        <v>#N/A</v>
      </c>
      <c r="V198" s="55" t="s">
        <v>85</v>
      </c>
      <c r="W198" s="55"/>
      <c r="X198" s="55"/>
      <c r="Y198" s="55"/>
      <c r="Z198" s="55" t="s">
        <v>10873</v>
      </c>
      <c r="AA198" s="55"/>
      <c r="AB198" s="55"/>
      <c r="AK198" s="1" t="s">
        <v>10978</v>
      </c>
      <c r="AL198" s="1" t="s">
        <v>10988</v>
      </c>
      <c r="AP198" s="1" t="s">
        <v>11136</v>
      </c>
      <c r="AX198" s="3" t="str">
        <f>_xlfn.CONCAT("A-LIGN finished its review of this control on ",AR198, " during the scheduled fieldwork window (",Intro!$B$4,")."&amp; CHAR(10)&amp; CHAR(10))</f>
        <v xml:space="preserve">A-LIGN finished its review of this control on  during the scheduled fieldwork window (Fieldwork: xx/xx/xxxx - xx/xx/xxxx).
</v>
      </c>
      <c r="AY198" s="3" t="str">
        <f t="shared" ref="AY198" si="381">IF(AQ198&lt;&gt;"",(_xlfn.CONCAT("Inheritance note: "&amp; CHAR(10),AQ198&amp; CHAR(10)&amp; CHAR(10))),"")</f>
        <v/>
      </c>
      <c r="AZ198" s="3" t="str">
        <f t="shared" ref="AZ198" si="382">IFERROR(IF(AD198&lt;&gt;"",_xlfn.CONCAT("Examined the following policy during fieldwork:"&amp; CHAR(10),AD198&amp; CHAR(10)&amp; CHAR(10),IF(AND(X198&lt;&gt;"5. Fully Compliant (100%)",AE198&lt;&gt;""),"Reviewed policy exception note:"&amp; CHAR(10) &amp; AE198 &amp; CHAR(10) &amp; CHAR(10),"")),""),"")</f>
        <v/>
      </c>
      <c r="BA198" s="3" t="str">
        <f t="shared" ref="BA198" si="383">IFERROR(IF(AH198&lt;&gt;"",_xlfn.CONCAT("Examined the following process during fieldwork:"&amp; CHAR(10),AH198&amp; CHAR(10)&amp; CHAR(10),IF(AND(Y198&lt;&gt;"5. Fully Compliant (100%)",AI198&lt;&gt;""),"Reviewed process exception note:"&amp; CHAR(10) &amp; AI198 &amp; CHAR(10) &amp; CHAR(10),"")),""),"")</f>
        <v/>
      </c>
      <c r="BB198" s="3" t="str">
        <f t="shared" ref="BB198" si="384">IF(AK198&lt;&gt;"",(_xlfn.CONCAT("Inquired of the following workforce member: "&amp; CHAR(10),AK198&amp; CHAR(10)&amp; CHAR(10),"Inquiry lead to the following conclusions: "&amp; CHAR(10),AL198&amp; CHAR(10) &amp; CHAR(10))),"")</f>
        <v xml:space="preserve">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v>
      </c>
      <c r="BC198" s="3" t="str">
        <f t="shared" ref="BC198" si="385">IF(AM198&lt;&gt;"",(_xlfn.CONCAT("Observed the following live during fieldwork: "&amp; CHAR(10),AM198&amp; CHAR(10) &amp; CHAR(10))),"")</f>
        <v/>
      </c>
      <c r="BD198" s="3" t="str">
        <f t="shared" ref="BD198" si="386">_xlfn.CONCAT("Examined the following evidence during fieldwork:"&amp; CHAR(10),AN198&amp; CHAR(10)&amp; CHAR(10),IF(AO198&lt;&gt;"","Reviewed evidence note:"&amp; CHAR(10)&amp;AO198&amp; CHAR(10) &amp; CHAR(10),"Reviewed evidence addressed the requirement statement."&amp; CHAR(10) &amp; CHAR(10)),IF(AND(AP198&lt;&gt;"5. Fully Compliant (100%)",AP198&lt;&gt;""),"Reviewed evidence exception note: "&amp; CHAR(10) &amp; AP198 &amp; CHAR(10) &amp; CHAR(10),""))</f>
        <v xml:space="preserve">Examined the following evidence during fieldwork:
Reviewed evidence addressed the requirement statement.
Reviewed evidence exception note: 
Gap: 
Reviews of the data used to train AI models, fine-tune AI models, and enhance AI prompts are not completed at this time.
Recommendation:
Management should ensure that reviews of the data used to train AI models, fine-tune AI models, and enhance AI prompts completed based on the following:
- reviews data used to train AI models to identify any data fields or records that can be omitted or anonymized
- reviews data used to fine-tune AI models to identify any data fields or records that can be omitted or anonymized
- reviews data used to enhance AI prompts via RAG to identify any data fields or records that can be omitted or anonymized
</v>
      </c>
      <c r="BE198" s="3" t="str">
        <f t="shared" ref="BE198" si="387">IF(AT198&lt;&gt;"",(_xlfn.CONCAT("Examined the following measure/metric during fieldwork:"&amp; CHAR(10),AT198&amp; CHAR(10)&amp; CHAR(10),"Reviewed measure/metric note:"&amp; CHAR(10),AU198 &amp; CHAR(10) &amp; CHAR(10))),"")</f>
        <v/>
      </c>
      <c r="BF198" s="3" t="str">
        <f t="shared" ref="BF198" si="388">IF(AV198&lt;&gt;"",(_xlfn.CONCAT("Examined the following measure/metric management during fieldwork:"&amp; CHAR(10),AV198&amp; CHAR(10)&amp; CHAR(10),"Reviewed measure/metric management note:"&amp; CHAR(10),AW198 &amp; CHAR(10) &amp; CHAR(10))),"")</f>
        <v/>
      </c>
      <c r="BG198" s="3" t="str">
        <f>_xlfn.CONCAT((IF((COUNTIF('Sample Tables'!B:B,"")&gt;0)=TRUE,_xlfn.CONCAT("",""),IF((COUNTIF('Sample Tables'!B:B,"")&gt;0)=FALSE,""))),)</f>
        <v/>
      </c>
      <c r="BH198" s="3" t="str">
        <f t="shared" ref="BH198" si="389">IF(V198="No","Not Applicable: "&amp;W198,(_xlfn.CONCAT(AX198,AY198,AZ198,BA198,BB198,BC198,BD198,BE198,BF198,BG198)))</f>
        <v xml:space="preserve">A-LIGN finished its review of this control on  during the scheduled fieldwork window (Fieldwork: xx/xx/xxxx - xx/xx/xxxx).
Inquired of the following workforce member: 
Michael Wood - VP of AI Engineering
Kyle Smith - IT Operations and AI Expert 
Inquiry lead to the following conclusions: 
AI systems being used (Vertex and Gemini) will be evaluated against these configurations. However, confirmation needs to be obtained that the systems are secured as such. 
Client note: Review AI Security (Model Armor) for these configurations.
Examined the following evidence during fieldwork:
Reviewed evidence addressed the requirement statement.
Reviewed evidence exception note: 
Gap: 
Reviews of the data used to train AI models, fine-tune AI models, and enhance AI prompts are not completed at this time.
Recommendation:
Management should ensure that reviews of the data used to train AI models, fine-tune AI models, and enhance AI prompts completed based on the following:
- reviews data used to train AI models to identify any data fields or records that can be omitted or anonymized
- reviews data used to fine-tune AI models to identify any data fields or records that can be omitted or anonymized
- reviews data used to enhance AI prompts via RAG to identify any data fields or records that can be omitted or anonymized
</v>
      </c>
    </row>
    <row r="199" spans="3:60" ht="409.5" x14ac:dyDescent="0.35">
      <c r="C199" s="1">
        <f t="shared" ref="C199" si="390">IF(V199="No","Not Applicable",(IF(X199="1. Non Compliant (0%)","0",IF(X199="2. Somewhat Compliant (25%)","25",IF(X199="3. Partially Compliant (50%)","50",IF(X199="4. Mostly Compliant (75%)","75",IF(X199="5. Fully Compliant (100%)","100")))))*0.15)+((IF(Y199="1. Non Compliant (0%)","0",IF(Y199="2. Somewhat Compliant (25%)","25",IF(Y199="3. Partially Compliant (50%)","50",IF(Y199="4. Mostly Compliant (75%)","75",IF(Y199="5. Fully Compliant (100%)","100"))))))*0.2)+(IF(Z199="1. Non Compliant (0%)","0",IF(Z199="2. Somewhat Compliant (25%)","25",IF(Z199="3. Partially Compliant (50%)","50",IF(Z199="4. Mostly Compliant (75%)","75",IF(Z199="5. Fully Compliant (100%)","100")))))*0.4)+(IF(AA199="1. Non Compliant (0%)","0",IF(AA199="2. Somewhat Compliant (25%)","25",IF(AA199="3. Partially Compliant (50%)","50",IF(AA199="4. Mostly Compliant (75%)","75",IF(AA199="5. Fully Compliant (100%)","100")))))*0.1)+(IF(AB199="1. Non Compliant (0%)","0",IF(AB199="2. Somewhat Compliant (25%)","25",IF(AB199="3. Partially Compliant (50%)","50",IF(AB199="4. Mostly Compliant (75%)","75",IF(AB199="5. Fully Compliant (100%)","100")))))*0.15))</f>
        <v>20</v>
      </c>
      <c r="D199" s="5" t="str">
        <f>IF(AND((_xlfn.XLOOKUP(J199,'Fields &amp; Revisions'!$H:$H,'Fields &amp; Revisions'!$I:$I))&lt;70.99,(OR(Z199="4. Mostly Compliant (75%)",Z199="3. Partially Compliant (50%)",Z199="2. Somewhat Compliant (25%)",Z199="1. Non Compliant (0%)"))),"Yes","No")</f>
        <v>Yes</v>
      </c>
      <c r="E199" s="5" t="str">
        <f>IF(ISERROR(VLOOKUP(H199,Scope!A:A,1,FALSE)),"No","Yes")</f>
        <v>Yes</v>
      </c>
      <c r="F199" s="1" t="s">
        <v>5677</v>
      </c>
      <c r="G199" s="53" t="s">
        <v>6019</v>
      </c>
      <c r="H199" s="53" t="s">
        <v>6020</v>
      </c>
      <c r="I199" s="5">
        <v>1</v>
      </c>
      <c r="J199" s="1" t="s">
        <v>6016</v>
      </c>
      <c r="K199" s="1" t="s">
        <v>6021</v>
      </c>
      <c r="L199" s="1" t="s">
        <v>6022</v>
      </c>
      <c r="M199" s="1" t="s">
        <v>6023</v>
      </c>
      <c r="N199" s="5" t="s">
        <v>98</v>
      </c>
      <c r="O199" s="1" t="str">
        <f>_xlfn.XLOOKUP(G199,SRMs!$A:$A,SRMs!$D:$D)</f>
        <v>NO INHERITANCE</v>
      </c>
      <c r="P199" s="1" t="str">
        <f>IFERROR(VLOOKUP(H199,Inherited!A:B,2,FALSE),"")</f>
        <v/>
      </c>
      <c r="Q199" s="1" t="e">
        <f>IF(MATCH(H199,Inherited!A:A),IF((((_xlfn.XLOOKUP(Assessment!#REF!,Inherited!A:A,Inherited!B:B))/100)*(_xlfn.XLOOKUP(Assessment!#REF!,Inherited!A:A,Inherited!C:C)))+(((100-(_xlfn.XLOOKUP(Assessment!#REF!,Inherited!A:A,Inherited!B:B)))/100)*IF(X199="1.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(100%)","100"))))))&lt;=10,"0", IF(AND((((_xlfn.XLOOKUP(Assessment!#REF!,Inherited!A:A,Inherited!B:B))/100)*(_xlfn.XLOOKUP(Assessment!#REF!,Inherited!A:A,Inherited!C:C)))+(((100-(_xlfn.XLOOKUP(Assessment!#REF!,Inherited!A:A,Inherited!B:B)))/100)*IF(X199="1.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(100%)","100"))))))&gt;=11,(((_xlfn.XLOOKUP(Assessment!#REF!,Inherited!A:A,Inherited!B:B))/100)*(_xlfn.XLOOKUP(Assessment!#REF!,Inherited!A:A,Inherited!C:C)))+(((100-(_xlfn.XLOOKUP(Assessment!#REF!,Inherited!A:A,Inherited!B:B)))/100)*IF(X199="1.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(100%)","100"))))))&lt;=32),"25",IF(AND((((_xlfn.XLOOKUP(Assessment!#REF!,Inherited!A:A,Inherited!B:B))/100)*(_xlfn.XLOOKUP(Assessment!#REF!,Inherited!A:A,Inherited!C:C)))+(((100-(_xlfn.XLOOKUP(Assessment!#REF!,Inherited!A:A,Inherited!B:B)))/100)*IF(X199="1.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(100%)","100"))))))&gt;=33,(((_xlfn.XLOOKUP(Assessment!#REF!,Inherited!A:A,Inherited!B:B))/100)*(_xlfn.XLOOKUP(Assessment!#REF!,Inherited!A:A,Inherited!C:C)))+(((100-(_xlfn.XLOOKUP(Assessment!#REF!,Inherited!A:A,Inherited!B:B)))/100)*IF(X199="1.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(100%)","100"))))))&lt;=65),"50",IF(AND((((_xlfn.XLOOKUP(Assessment!#REF!,Inherited!A:A,Inherited!B:B))/100)*(_xlfn.XLOOKUP(Assessment!#REF!,Inherited!A:A,Inherited!C:C)))+(((100-(_xlfn.XLOOKUP(Assessment!#REF!,Inherited!A:A,Inherited!B:B)))/100)*IF(X199="1.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(100%)","100"))))))&gt;=66,(((_xlfn.XLOOKUP(Assessment!#REF!,Inherited!A:A,Inherited!B:B))/100)*(_xlfn.XLOOKUP(Assessment!#REF!,Inherited!A:A,Inherited!C:C)))+(((100-(_xlfn.XLOOKUP(Assessment!#REF!,Inherited!A:A,Inherited!B:B)))/100)*IF(X199="1.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(100%)","100"))))))&lt;=89),"75",IF((((_xlfn.XLOOKUP(Assessment!#REF!,Inherited!A:A,Inherited!B:B))/100)*(_xlfn.XLOOKUP(Assessment!#REF!,Inherited!A:A,Inherited!C:C)))+(((100-(_xlfn.XLOOKUP(Assessment!#REF!,Inherited!A:A,Inherited!B:B)))/100)*IF(X199="1. Non Compliant (0%)","0",IF(X199="2. Somewhat Compliant (25%)","25",IF(X199="3. Partially Compliant (50%)","50",IF(X199="4. Mostly Compliant (75%)","75",IF(X199="5. Fully Compliant (100%)","100"))))))&gt;=90,"100"))))))</f>
        <v>#N/A</v>
      </c>
      <c r="R199" s="1" t="e">
        <f>IF(MATCH(H199,Inherited!A:A),IF((((_xlfn.XLOOKUP(Assessment!#REF!,Inherited!A:A,Inherited!B:B))/100)*(_xlfn.XLOOKUP(Assessment!#REF!,Inherited!A:A,Inherited!D:D)))+(((100-(_xlfn.XLOOKUP(Assessment!#REF!,Inherited!A:A,Inherited!B:B)))/100)*IF(Y199="1.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(100%)","100"))))))&lt;=10,"0", IF(AND((((_xlfn.XLOOKUP(Assessment!#REF!,Inherited!A:A,Inherited!B:B))/100)*(_xlfn.XLOOKUP(Assessment!#REF!,Inherited!A:A,Inherited!D:D)))+(((100-(_xlfn.XLOOKUP(Assessment!#REF!,Inherited!A:A,Inherited!B:B)))/100)*IF(Y199="1.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(100%)","100"))))))&gt;=11,(((_xlfn.XLOOKUP(Assessment!#REF!,Inherited!A:A,Inherited!B:B))/100)*(_xlfn.XLOOKUP(Assessment!#REF!,Inherited!A:A,Inherited!D:D)))+(((100-(_xlfn.XLOOKUP(Assessment!#REF!,Inherited!A:A,Inherited!B:B)))/100)*IF(Y199="1.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(100%)","100"))))))&lt;=32),"25",IF(AND((((_xlfn.XLOOKUP(Assessment!#REF!,Inherited!A:A,Inherited!B:B))/100)*(_xlfn.XLOOKUP(Assessment!#REF!,Inherited!A:A,Inherited!D:D)))+(((100-(_xlfn.XLOOKUP(Assessment!#REF!,Inherited!A:A,Inherited!B:B)))/100)*IF(Y199="1.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(100%)","100"))))))&gt;=33,(((_xlfn.XLOOKUP(Assessment!#REF!,Inherited!A:A,Inherited!B:B))/100)*(_xlfn.XLOOKUP(Assessment!#REF!,Inherited!A:A,Inherited!D:D)))+(((100-(_xlfn.XLOOKUP(Assessment!#REF!,Inherited!A:A,Inherited!B:B)))/100)*IF(Y199="1.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(100%)","100"))))))&lt;=65),"50",IF(AND((((_xlfn.XLOOKUP(Assessment!#REF!,Inherited!A:A,Inherited!B:B))/100)*(_xlfn.XLOOKUP(Assessment!#REF!,Inherited!A:A,Inherited!D:D)))+(((100-(_xlfn.XLOOKUP(Assessment!#REF!,Inherited!A:A,Inherited!B:B)))/100)*IF(Y199="1.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(100%)","100"))))))&gt;=66,(((_xlfn.XLOOKUP(Assessment!#REF!,Inherited!A:A,Inherited!B:B))/100)*(_xlfn.XLOOKUP(Assessment!#REF!,Inherited!A:A,Inherited!D:D)))+(((100-(_xlfn.XLOOKUP(Assessment!#REF!,Inherited!A:A,Inherited!B:B)))/100)*IF(Y199="1.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(100%)","100"))))))&lt;=89),"75",IF((((_xlfn.XLOOKUP(Assessment!#REF!,Inherited!A:A,Inherited!B:B))/100)*(_xlfn.XLOOKUP(Assessment!#REF!,Inherited!A:A,Inherited!D:D)))+(((100-(_xlfn.XLOOKUP(Assessment!#REF!,Inherited!A:A,Inherited!B:B)))/100)*IF(Y199="1. Non Compliant (0%)","0",IF(Y199="2. Somewhat Compliant (25%)","25",IF(Y199="3. Partially Compliant (50%)","50",IF(Y199="4. Mostly Compliant (75%)","75",IF(Y199="5. Fully Compliant (100%)","100"))))))&gt;=90,"100"))))))</f>
        <v>#N/A</v>
      </c>
      <c r="S199" s="1" t="e">
        <f>IF(MATCH(H199,Inherited!A:A),IF((((_xlfn.XLOOKUP(Assessment!#REF!,Inherited!A:A,Inherited!B:B))/100)*(_xlfn.XLOOKUP(Assessment!#REF!,Inherited!A:A,Inherited!E:E)))+(((100-(_xlfn.XLOOKUP(Assessment!#REF!,Inherited!A:A,Inherited!B:B)))/100)*IF(Z199="1.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(100%)","100"))))))&lt;=10,"0", IF(AND((((_xlfn.XLOOKUP(Assessment!#REF!,Inherited!A:A,Inherited!B:B))/100)*(_xlfn.XLOOKUP(Assessment!#REF!,Inherited!A:A,Inherited!E:E)))+(((100-(_xlfn.XLOOKUP(Assessment!#REF!,Inherited!A:A,Inherited!B:B)))/100)*IF(Z199="1.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(100%)","100"))))))&gt;=11,(((_xlfn.XLOOKUP(Assessment!#REF!,Inherited!A:A,Inherited!B:B))/100)*(_xlfn.XLOOKUP(Assessment!#REF!,Inherited!A:A,Inherited!E:E)))+(((100-(_xlfn.XLOOKUP(Assessment!#REF!,Inherited!A:A,Inherited!B:B)))/100)*IF(Z199="1.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(100%)","100"))))))&lt;=32),"25",IF(AND((((_xlfn.XLOOKUP(Assessment!#REF!,Inherited!A:A,Inherited!B:B))/100)*(_xlfn.XLOOKUP(Assessment!#REF!,Inherited!A:A,Inherited!E:E)))+(((100-(_xlfn.XLOOKUP(Assessment!#REF!,Inherited!A:A,Inherited!B:B)))/100)*IF(Z199="1.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(100%)","100"))))))&gt;=33,(((_xlfn.XLOOKUP(Assessment!#REF!,Inherited!A:A,Inherited!B:B))/100)*(_xlfn.XLOOKUP(Assessment!#REF!,Inherited!A:A,Inherited!E:E)))+(((100-(_xlfn.XLOOKUP(Assessment!#REF!,Inherited!A:A,Inherited!B:B)))/100)*IF(Z199="1.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(100%)","100"))))))&lt;=65),"50",IF(AND((((_xlfn.XLOOKUP(Assessment!#REF!,Inherited!A:A,Inherited!B:B))/100)*(_xlfn.XLOOKUP(Assessment!#REF!,Inherited!A:A,Inherited!E:E)))+(((100-(_xlfn.XLOOKUP(Assessment!#REF!,Inherited!A:A,Inherited!B:B)))/100)*IF(Z199="1.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(100%)","100"))))))&gt;=66,(((_xlfn.XLOOKUP(Assessment!#REF!,Inherited!A:A,Inherited!B:B))/100)*(_xlfn.XLOOKUP(Assessment!#REF!,Inherited!A:A,Inherited!E:E)))+(((100-(_xlfn.XLOOKUP(Assessment!#REF!,Inherited!A:A,Inherited!B:B)))/100)*IF(Z199="1.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(100%)","100"))))))&lt;=89),"75",IF((((_xlfn.XLOOKUP(Assessment!#REF!,Inherited!A:A,Inherited!B:B))/100)*(_xlfn.XLOOKUP(Assessment!#REF!,Inherited!A:A,Inherited!E:E)))+(((100-(_xlfn.XLOOKUP(Assessment!#REF!,Inherited!A:A,Inherited!B:B)))/100)*IF(Z199="1. Non Compliant (0%)","0",IF(Z199="2. Somewhat Compliant (25%)","25",IF(Z199="3. Partially Compliant (50%)","50",IF(Z199="4. Mostly Compliant (75%)","75",IF(Z199="5. Fully Compliant (100%)","100"))))))&gt;=90,"100"))))))</f>
        <v>#N/A</v>
      </c>
      <c r="T199" s="1" t="e">
        <f>IF(MATCH(H199,Inherited!A:A),IF((((_xlfn.XLOOKUP(Assessment!#REF!,Inherited!A:A,Inherited!B:B))/100)*(_xlfn.XLOOKUP(Assessment!#REF!,Inherited!A:A,Inherited!F:F)))+(((100-(_xlfn.XLOOKUP(Assessment!#REF!,Inherited!A:A,Inherited!B:B)))/100)*IF(AA199="1.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(100%)","100"))))))&lt;=10,"0", IF(AND((((_xlfn.XLOOKUP(Assessment!#REF!,Inherited!A:A,Inherited!B:B))/100)*(_xlfn.XLOOKUP(Assessment!#REF!,Inherited!A:A,Inherited!F:F)))+(((100-(_xlfn.XLOOKUP(Assessment!#REF!,Inherited!A:A,Inherited!B:B)))/100)*IF(AA199="1.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(100%)","100"))))))&gt;=11,(((_xlfn.XLOOKUP(Assessment!#REF!,Inherited!A:A,Inherited!B:B))/100)*(_xlfn.XLOOKUP(Assessment!#REF!,Inherited!A:A,Inherited!F:F)))+(((100-(_xlfn.XLOOKUP(Assessment!#REF!,Inherited!A:A,Inherited!B:B)))/100)*IF(AA199="1.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(100%)","100"))))))&lt;=32),"25",IF(AND((((_xlfn.XLOOKUP(Assessment!#REF!,Inherited!A:A,Inherited!B:B))/100)*(_xlfn.XLOOKUP(Assessment!#REF!,Inherited!A:A,Inherited!F:F)))+(((100-(_xlfn.XLOOKUP(Assessment!#REF!,Inherited!A:A,Inherited!B:B)))/100)*IF(AA199="1.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(100%)","100"))))))&gt;=33,(((_xlfn.XLOOKUP(Assessment!#REF!,Inherited!A:A,Inherited!B:B))/100)*(_xlfn.XLOOKUP(Assessment!#REF!,Inherited!A:A,Inherited!F:F)))+(((100-(_xlfn.XLOOKUP(Assessment!#REF!,Inherited!A:A,Inherited!B:B)))/100)*IF(AA199="1.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(100%)","100"))))))&lt;=65),"50",IF(AND((((_xlfn.XLOOKUP(Assessment!#REF!,Inherited!A:A,Inherited!B:B))/100)*(_xlfn.XLOOKUP(Assessment!#REF!,Inherited!A:A,Inherited!F:F)))+(((100-(_xlfn.XLOOKUP(Assessment!#REF!,Inherited!A:A,Inherited!B:B)))/100)*IF(AA199="1.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(100%)","100"))))))&gt;=66,(((_xlfn.XLOOKUP(Assessment!#REF!,Inherited!A:A,Inherited!B:B))/100)*(_xlfn.XLOOKUP(Assessment!#REF!,Inherited!A:A,Inherited!F:F)))+(((100-(_xlfn.XLOOKUP(Assessment!#REF!,Inherited!A:A,Inherited!B:B)))/100)*IF(AA199="1.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(100%)","100"))))))&lt;=89),"75",IF((((_xlfn.XLOOKUP(Assessment!#REF!,Inherited!A:A,Inherited!B:B))/100)*(_xlfn.XLOOKUP(Assessment!#REF!,Inherited!A:A,Inherited!F:F)))+(((100-(_xlfn.XLOOKUP(Assessment!#REF!,Inherited!A:A,Inherited!B:B)))/100)*IF(AA199="1. Non Compliant (0%)","0",IF(AA199="2. Somewhat Compliant (25%)","25",IF(AA199="3. Partially Compliant (50%)","50",IF(AA199="4. Mostly Compliant (75%)","75",IF(AA199="5. Fully Compliant (100%)","100"))))))&gt;=90,"100"))))))</f>
        <v>#N/A</v>
      </c>
      <c r="U199" s="1" t="e">
        <f>IF(MATCH(H199,Inherited!A:A),IF((((_xlfn.XLOOKUP(Assessment!#REF!,Inherited!A:A,Inherited!B:B))/100)*(_xlfn.XLOOKUP(Assessment!#REF!,Inherited!A:A,Inherited!G:G)))+(((100-(_xlfn.XLOOKUP(Assessment!#REF!,Inherited!A:A,Inherited!B:B)))/100)*IF(AB199="1.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(100%)","100"))))))&lt;=10,"0", IF(AND((((_xlfn.XLOOKUP(Assessment!#REF!,Inherited!A:A,Inherited!B:B))/100)*(_xlfn.XLOOKUP(Assessment!#REF!,Inherited!A:A,Inherited!G:G)))+(((100-(_xlfn.XLOOKUP(Assessment!#REF!,Inherited!A:A,Inherited!B:B)))/100)*IF(AB199="1.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(100%)","100"))))))&gt;=11,(((_xlfn.XLOOKUP(Assessment!#REF!,Inherited!A:A,Inherited!B:B))/100)*(_xlfn.XLOOKUP(Assessment!#REF!,Inherited!A:A,Inherited!G:G)))+(((100-(_xlfn.XLOOKUP(Assessment!#REF!,Inherited!A:A,Inherited!B:B)))/100)*IF(AB199="1.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(100%)","100"))))))&lt;=32),"25",IF(AND((((_xlfn.XLOOKUP(Assessment!#REF!,Inherited!A:A,Inherited!B:B))/100)*(_xlfn.XLOOKUP(Assessment!#REF!,Inherited!A:A,Inherited!G:G)))+(((100-(_xlfn.XLOOKUP(Assessment!#REF!,Inherited!A:A,Inherited!B:B)))/100)*IF(AB199="1.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(100%)","100"))))))&gt;=33,(((_xlfn.XLOOKUP(Assessment!#REF!,Inherited!A:A,Inherited!B:B))/100)*(_xlfn.XLOOKUP(Assessment!#REF!,Inherited!A:A,Inherited!G:G)))+(((100-(_xlfn.XLOOKUP(Assessment!#REF!,Inherited!A:A,Inherited!B:B)))/100)*IF(AB199="1.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(100%)","100"))))))&lt;=65),"50",IF(AND((((_xlfn.XLOOKUP(Assessment!#REF!,Inherited!A:A,Inherited!B:B))/100)*(_xlfn.XLOOKUP(Assessment!#REF!,Inherited!A:A,Inherited!G:G)))+(((100-(_xlfn.XLOOKUP(Assessment!#REF!,Inherited!A:A,Inherited!B:B)))/100)*IF(AB199="1.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(100%)","100"))))))&gt;=66,(((_xlfn.XLOOKUP(Assessment!#REF!,Inherited!A:A,Inherited!B:B))/100)*(_xlfn.XLOOKUP(Assessment!#REF!,Inherited!A:A,Inherited!G:G)))+(((100-(_xlfn.XLOOKUP(Assessment!#REF!,Inherited!A:A,Inherited!B:B)))/100)*IF(AB199="1.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(100%)","100"))))))&lt;=89),"75",IF((((_xlfn.XLOOKUP(Assessment!#REF!,Inherited!A:A,Inherited!B:B))/100)*(_xlfn.XLOOKUP(Assessment!#REF!,Inherited!A:A,Inherited!G:G)))+(((100-(_xlfn.XLOOKUP(Assessment!#REF!,Inherited!A:A,Inherited!B:B)))/100)*IF(AB199="1. Non Compliant (0%)","0",IF(AB199="2. Somewhat Compliant (25%)","25",IF(AB199="3. Partially Compliant (50%)","50",IF(AB199="4. Mostly Compliant (75%)","75",IF(AB199="5. Fully Compliant (100%)","100"))))))&gt;=90,"100"))))))</f>
        <v>#N/A</v>
      </c>
      <c r="V199" s="55" t="s">
        <v>85</v>
      </c>
      <c r="W199" s="55"/>
      <c r="X199" s="55"/>
      <c r="Y199" s="55"/>
      <c r="Z199" s="55" t="s">
        <v>88</v>
      </c>
      <c r="AA199" s="55"/>
      <c r="AB199" s="55"/>
      <c r="AK199" s="1" t="s">
        <v>10951</v>
      </c>
      <c r="AL199" s="1" t="s">
        <v>11036</v>
      </c>
      <c r="AM199" s="1" t="s">
        <v>11029</v>
      </c>
      <c r="AP199" s="1" t="s">
        <v>11028</v>
      </c>
      <c r="AX199" s="3" t="str">
        <f>_xlfn.CONCAT("A-LIGN finished its review of this control on ",AR199, " during the scheduled fieldwork window (",Intro!$B$4,")."&amp; CHAR(10)&amp; CHAR(10))</f>
        <v xml:space="preserve">A-LIGN finished its review of this control on  during the scheduled fieldwork window (Fieldwork: xx/xx/xxxx - xx/xx/xxxx).
</v>
      </c>
      <c r="AY199" s="3" t="str">
        <f t="shared" ref="AY199" si="391">IF(AQ199&lt;&gt;"",(_xlfn.CONCAT("Inheritance note: "&amp; CHAR(10),AQ199&amp; CHAR(10)&amp; CHAR(10))),"")</f>
        <v/>
      </c>
      <c r="AZ199" s="3" t="str">
        <f t="shared" ref="AZ199" si="392">IFERROR(IF(AD199&lt;&gt;"",_xlfn.CONCAT("Examined the following policy during fieldwork:"&amp; CHAR(10),AD199&amp; CHAR(10)&amp; CHAR(10),IF(AND(X199&lt;&gt;"5. Fully Compliant (100%)",AE199&lt;&gt;""),"Reviewed policy exception note:"&amp; CHAR(10) &amp; AE199 &amp; CHAR(10) &amp; CHAR(10),"")),""),"")</f>
        <v/>
      </c>
      <c r="BA199" s="3" t="str">
        <f t="shared" ref="BA199" si="393">IFERROR(IF(AH199&lt;&gt;"",_xlfn.CONCAT("Examined the following process during fieldwork:"&amp; CHAR(10),AH199&amp; CHAR(10)&amp; CHAR(10),IF(AND(Y199&lt;&gt;"5. Fully Compliant (100%)",AI199&lt;&gt;""),"Reviewed process exception note:"&amp; CHAR(10) &amp; AI199 &amp; CHAR(10) &amp; CHAR(10),"")),""),"")</f>
        <v/>
      </c>
      <c r="BB199" s="3" t="str">
        <f t="shared" ref="BB199" si="394">IF(AK199&lt;&gt;"",(_xlfn.CONCAT("Inquired of the following workforce member: "&amp; CHAR(10),AK199&amp; CHAR(10)&amp; CHAR(10),"Inquiry lead to the following conclusions: "&amp; CHAR(10),AL199&amp; CHAR(10) &amp; CHAR(10))),"")</f>
        <v xml:space="preserve">Inquired of the following workforce member: 
Roze Nicolas - Director of TechOps
Nathaniel Dynkiewicz - General Counsel
Inquiry lead to the following conclusions: 
NDA review is also completed through other legal entities Merge West Inc and Partners and Simons.
</v>
      </c>
      <c r="BC199" s="3" t="str">
        <f t="shared" ref="BC199" si="395">IF(AM199&lt;&gt;"",(_xlfn.CONCAT("Observed the following live during fieldwork: "&amp; CHAR(10),AM199&amp; CHAR(10) &amp; CHAR(10))),"")</f>
        <v xml:space="preserve">Observed the following live during fieldwork: 
Observed a fresh service change ticket which outlines the process for regular review of the NDA template. 
</v>
      </c>
      <c r="BD199" s="3" t="str">
        <f t="shared" ref="BD199" si="396">_xlfn.CONCAT("Examined the following evidence during fieldwork:"&amp; CHAR(10),AN199&amp; CHAR(10)&amp; CHAR(10),IF(AO199&lt;&gt;"","Reviewed evidence note:"&amp; CHAR(10)&amp;AO199&amp; CHAR(10) &amp; CHAR(10),"Reviewed evidence addressed the requirement statement."&amp; CHAR(10) &amp; CHAR(10)),IF(AND(AP199&lt;&gt;"5. Fully Compliant (100%)",AP199&lt;&gt;""),"Reviewed evidence exception note: "&amp; CHAR(10) &amp; AP199 &amp; CHAR(10) &amp; CHAR(10),""))</f>
        <v xml:space="preserve">Examined the following evidence during fieldwork:
Reviewed evidence addressed the requirement statement.
Reviewed evidence exception note: 
Gap: NDA template does not include the applicable laws and regulations that will need to be reviewed. 
Recommendation: Management should ensure that the current NDA template is updated to address the components outlined within the requirement statement.
</v>
      </c>
      <c r="BE199" s="3" t="str">
        <f t="shared" ref="BE199" si="397">IF(AT199&lt;&gt;"",(_xlfn.CONCAT("Examined the following measure/metric during fieldwork:"&amp; CHAR(10),AT199&amp; CHAR(10)&amp; CHAR(10),"Reviewed measure/metric note:"&amp; CHAR(10),AU199 &amp; CHAR(10) &amp; CHAR(10))),"")</f>
        <v/>
      </c>
      <c r="BF199" s="3" t="str">
        <f t="shared" ref="BF199" si="398">IF(AV199&lt;&gt;"",(_xlfn.CONCAT("Examined the following measure/metric management during fieldwork:"&amp; CHAR(10),AV199&amp; CHAR(10)&amp; CHAR(10),"Reviewed measure/metric management note:"&amp; CHAR(10),AW199 &amp; CHAR(10) &amp; CHAR(10))),"")</f>
        <v/>
      </c>
      <c r="BG199" s="3" t="str">
        <f>_xlfn.CONCAT((IF((COUNTIF('Sample Tables'!B:B,"")&gt;0)=TRUE,_xlfn.CONCAT("",""),IF((COUNTIF('Sample Tables'!B:B,"")&gt;0)=FALSE,""))),)</f>
        <v/>
      </c>
      <c r="BH199" s="3" t="str">
        <f t="shared" ref="BH199" si="399">IF(V199="No","Not Applicable: "&amp;W199,(_xlfn.CONCAT(AX199,AY199,AZ199,BA199,BB199,BC199,BD199,BE199,BF199,BG199)))</f>
        <v xml:space="preserve">A-LIGN finished its review of this control on  during the scheduled fieldwork window (Fieldwork: xx/xx/xxxx - xx/xx/xxxx).
Inquired of the following workforce member: 
Roze Nicolas - Director of TechOps
Nathaniel Dynkiewicz - General Counsel
Inquiry lead to the following conclusions: 
NDA review is also completed through other legal entities Merge West Inc and Partners and Simons.
Observed the following live during fieldwork: 
Observed a fresh service change ticket which outlines the process for regular review of the NDA template. 
Examined the following evidence during fieldwork:
Reviewed evidence addressed the requirement statement.
Reviewed evidence exception note: 
Gap: NDA template does not include the applicable laws and regulations that will need to be reviewed. 
Recommendation: Management should ensure that the current NDA template is updated to address the components outlined within the requirement statement.
</v>
      </c>
    </row>
    <row r="200" spans="3:60" ht="337.5" x14ac:dyDescent="0.35">
      <c r="C200" s="1">
        <f t="shared" ref="C200:C202" si="400">IF(V200="No","Not Applicable",(IF(X200="1. Non Compliant (0%)","0",IF(X200="2. Somewhat Compliant (25%)","25",IF(X200="3. Partially Compliant (50%)","50",IF(X200="4. Mostly Compliant (75%)","75",IF(X200="5. Fully Compliant (100%)","100")))))*0.15)+((IF(Y200="1. Non Compliant (0%)","0",IF(Y200="2. Somewhat Compliant (25%)","25",IF(Y200="3. Partially Compliant (50%)","50",IF(Y200="4. Mostly Compliant (75%)","75",IF(Y200="5. Fully Compliant (100%)","100"))))))*0.2)+(IF(Z200="1. Non Compliant (0%)","0",IF(Z200="2. Somewhat Compliant (25%)","25",IF(Z200="3. Partially Compliant (50%)","50",IF(Z200="4. Mostly Compliant (75%)","75",IF(Z200="5. Fully Compliant (100%)","100")))))*0.4)+(IF(AA200="1. Non Compliant (0%)","0",IF(AA200="2. Somewhat Compliant (25%)","25",IF(AA200="3. Partially Compliant (50%)","50",IF(AA200="4. Mostly Compliant (75%)","75",IF(AA200="5. Fully Compliant (100%)","100")))))*0.1)+(IF(AB200="1. Non Compliant (0%)","0",IF(AB200="2. Somewhat Compliant (25%)","25",IF(AB200="3. Partially Compliant (50%)","50",IF(AB200="4. Mostly Compliant (75%)","75",IF(AB200="5. Fully Compliant (100%)","100")))))*0.15))</f>
        <v>0</v>
      </c>
      <c r="D200" s="5" t="str">
        <f>IF(AND((_xlfn.XLOOKUP(J200,'Fields &amp; Revisions'!$H:$H,'Fields &amp; Revisions'!$I:$I))&lt;70.99,(OR(Z200="4. Mostly Compliant (75%)",Z200="3. Partially Compliant (50%)",Z200="2. Somewhat Compliant (25%)",Z200="1. Non Compliant (0%)"))),"Yes","No")</f>
        <v>Yes</v>
      </c>
      <c r="E200" s="5" t="str">
        <f>IF(ISERROR(VLOOKUP(H200,Scope!A:A,1,FALSE)),"No","Yes")</f>
        <v>Yes</v>
      </c>
      <c r="F200" s="1" t="s">
        <v>5677</v>
      </c>
      <c r="G200" s="53" t="s">
        <v>6105</v>
      </c>
      <c r="H200" s="53" t="s">
        <v>6106</v>
      </c>
      <c r="I200" s="5">
        <v>1</v>
      </c>
      <c r="J200" s="1" t="s">
        <v>755</v>
      </c>
      <c r="K200" s="1" t="s">
        <v>6107</v>
      </c>
      <c r="L200" s="1" t="s">
        <v>6108</v>
      </c>
      <c r="M200" s="1" t="s">
        <v>6109</v>
      </c>
      <c r="N200" s="5" t="s">
        <v>85</v>
      </c>
      <c r="O200" s="1" t="str">
        <f>_xlfn.XLOOKUP(G200,SRMs!$A:$A,SRMs!$D:$D)</f>
        <v>PARTIAL INHERITANCE</v>
      </c>
      <c r="P200" s="1" t="str">
        <f>IFERROR(VLOOKUP(H200,Inherited!A:B,2,FALSE),"")</f>
        <v/>
      </c>
      <c r="Q200" s="1" t="e">
        <f>IF(MATCH(H200,Inherited!A:A),IF((((_xlfn.XLOOKUP(Assessment!#REF!,Inherited!A:A,Inherited!B:B))/100)*(_xlfn.XLOOKUP(Assessment!#REF!,Inherited!A:A,Inherited!C:C)))+(((100-(_xlfn.XLOOKUP(Assessment!#REF!,Inherited!A:A,Inherited!B:B)))/100)*IF(X200="1.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(100%)","100"))))))&lt;=10,"0", IF(AND((((_xlfn.XLOOKUP(Assessment!#REF!,Inherited!A:A,Inherited!B:B))/100)*(_xlfn.XLOOKUP(Assessment!#REF!,Inherited!A:A,Inherited!C:C)))+(((100-(_xlfn.XLOOKUP(Assessment!#REF!,Inherited!A:A,Inherited!B:B)))/100)*IF(X200="1.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(100%)","100"))))))&gt;=11,(((_xlfn.XLOOKUP(Assessment!#REF!,Inherited!A:A,Inherited!B:B))/100)*(_xlfn.XLOOKUP(Assessment!#REF!,Inherited!A:A,Inherited!C:C)))+(((100-(_xlfn.XLOOKUP(Assessment!#REF!,Inherited!A:A,Inherited!B:B)))/100)*IF(X200="1.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(100%)","100"))))))&lt;=32),"25",IF(AND((((_xlfn.XLOOKUP(Assessment!#REF!,Inherited!A:A,Inherited!B:B))/100)*(_xlfn.XLOOKUP(Assessment!#REF!,Inherited!A:A,Inherited!C:C)))+(((100-(_xlfn.XLOOKUP(Assessment!#REF!,Inherited!A:A,Inherited!B:B)))/100)*IF(X200="1.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(100%)","100"))))))&gt;=33,(((_xlfn.XLOOKUP(Assessment!#REF!,Inherited!A:A,Inherited!B:B))/100)*(_xlfn.XLOOKUP(Assessment!#REF!,Inherited!A:A,Inherited!C:C)))+(((100-(_xlfn.XLOOKUP(Assessment!#REF!,Inherited!A:A,Inherited!B:B)))/100)*IF(X200="1.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(100%)","100"))))))&lt;=65),"50",IF(AND((((_xlfn.XLOOKUP(Assessment!#REF!,Inherited!A:A,Inherited!B:B))/100)*(_xlfn.XLOOKUP(Assessment!#REF!,Inherited!A:A,Inherited!C:C)))+(((100-(_xlfn.XLOOKUP(Assessment!#REF!,Inherited!A:A,Inherited!B:B)))/100)*IF(X200="1.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(100%)","100"))))))&gt;=66,(((_xlfn.XLOOKUP(Assessment!#REF!,Inherited!A:A,Inherited!B:B))/100)*(_xlfn.XLOOKUP(Assessment!#REF!,Inherited!A:A,Inherited!C:C)))+(((100-(_xlfn.XLOOKUP(Assessment!#REF!,Inherited!A:A,Inherited!B:B)))/100)*IF(X200="1.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(100%)","100"))))))&lt;=89),"75",IF((((_xlfn.XLOOKUP(Assessment!#REF!,Inherited!A:A,Inherited!B:B))/100)*(_xlfn.XLOOKUP(Assessment!#REF!,Inherited!A:A,Inherited!C:C)))+(((100-(_xlfn.XLOOKUP(Assessment!#REF!,Inherited!A:A,Inherited!B:B)))/100)*IF(X200="1. Non Compliant (0%)","0",IF(X200="2. Somewhat Compliant (25%)","25",IF(X200="3. Partially Compliant (50%)","50",IF(X200="4. Mostly Compliant (75%)","75",IF(X200="5. Fully Compliant (100%)","100"))))))&gt;=90,"100"))))))</f>
        <v>#N/A</v>
      </c>
      <c r="R200" s="1" t="e">
        <f>IF(MATCH(H200,Inherited!A:A),IF((((_xlfn.XLOOKUP(Assessment!#REF!,Inherited!A:A,Inherited!B:B))/100)*(_xlfn.XLOOKUP(Assessment!#REF!,Inherited!A:A,Inherited!D:D)))+(((100-(_xlfn.XLOOKUP(Assessment!#REF!,Inherited!A:A,Inherited!B:B)))/100)*IF(Y200="1.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(100%)","100"))))))&lt;=10,"0", IF(AND((((_xlfn.XLOOKUP(Assessment!#REF!,Inherited!A:A,Inherited!B:B))/100)*(_xlfn.XLOOKUP(Assessment!#REF!,Inherited!A:A,Inherited!D:D)))+(((100-(_xlfn.XLOOKUP(Assessment!#REF!,Inherited!A:A,Inherited!B:B)))/100)*IF(Y200="1.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(100%)","100"))))))&gt;=11,(((_xlfn.XLOOKUP(Assessment!#REF!,Inherited!A:A,Inherited!B:B))/100)*(_xlfn.XLOOKUP(Assessment!#REF!,Inherited!A:A,Inherited!D:D)))+(((100-(_xlfn.XLOOKUP(Assessment!#REF!,Inherited!A:A,Inherited!B:B)))/100)*IF(Y200="1.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(100%)","100"))))))&lt;=32),"25",IF(AND((((_xlfn.XLOOKUP(Assessment!#REF!,Inherited!A:A,Inherited!B:B))/100)*(_xlfn.XLOOKUP(Assessment!#REF!,Inherited!A:A,Inherited!D:D)))+(((100-(_xlfn.XLOOKUP(Assessment!#REF!,Inherited!A:A,Inherited!B:B)))/100)*IF(Y200="1.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(100%)","100"))))))&gt;=33,(((_xlfn.XLOOKUP(Assessment!#REF!,Inherited!A:A,Inherited!B:B))/100)*(_xlfn.XLOOKUP(Assessment!#REF!,Inherited!A:A,Inherited!D:D)))+(((100-(_xlfn.XLOOKUP(Assessment!#REF!,Inherited!A:A,Inherited!B:B)))/100)*IF(Y200="1.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(100%)","100"))))))&lt;=65),"50",IF(AND((((_xlfn.XLOOKUP(Assessment!#REF!,Inherited!A:A,Inherited!B:B))/100)*(_xlfn.XLOOKUP(Assessment!#REF!,Inherited!A:A,Inherited!D:D)))+(((100-(_xlfn.XLOOKUP(Assessment!#REF!,Inherited!A:A,Inherited!B:B)))/100)*IF(Y200="1.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(100%)","100"))))))&gt;=66,(((_xlfn.XLOOKUP(Assessment!#REF!,Inherited!A:A,Inherited!B:B))/100)*(_xlfn.XLOOKUP(Assessment!#REF!,Inherited!A:A,Inherited!D:D)))+(((100-(_xlfn.XLOOKUP(Assessment!#REF!,Inherited!A:A,Inherited!B:B)))/100)*IF(Y200="1.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(100%)","100"))))))&lt;=89),"75",IF((((_xlfn.XLOOKUP(Assessment!#REF!,Inherited!A:A,Inherited!B:B))/100)*(_xlfn.XLOOKUP(Assessment!#REF!,Inherited!A:A,Inherited!D:D)))+(((100-(_xlfn.XLOOKUP(Assessment!#REF!,Inherited!A:A,Inherited!B:B)))/100)*IF(Y200="1. Non Compliant (0%)","0",IF(Y200="2. Somewhat Compliant (25%)","25",IF(Y200="3. Partially Compliant (50%)","50",IF(Y200="4. Mostly Compliant (75%)","75",IF(Y200="5. Fully Compliant (100%)","100"))))))&gt;=90,"100"))))))</f>
        <v>#N/A</v>
      </c>
      <c r="S200" s="1" t="e">
        <f>IF(MATCH(H200,Inherited!A:A),IF((((_xlfn.XLOOKUP(Assessment!#REF!,Inherited!A:A,Inherited!B:B))/100)*(_xlfn.XLOOKUP(Assessment!#REF!,Inherited!A:A,Inherited!E:E)))+(((100-(_xlfn.XLOOKUP(Assessment!#REF!,Inherited!A:A,Inherited!B:B)))/100)*IF(Z200="1.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(100%)","100"))))))&lt;=10,"0", IF(AND((((_xlfn.XLOOKUP(Assessment!#REF!,Inherited!A:A,Inherited!B:B))/100)*(_xlfn.XLOOKUP(Assessment!#REF!,Inherited!A:A,Inherited!E:E)))+(((100-(_xlfn.XLOOKUP(Assessment!#REF!,Inherited!A:A,Inherited!B:B)))/100)*IF(Z200="1.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(100%)","100"))))))&gt;=11,(((_xlfn.XLOOKUP(Assessment!#REF!,Inherited!A:A,Inherited!B:B))/100)*(_xlfn.XLOOKUP(Assessment!#REF!,Inherited!A:A,Inherited!E:E)))+(((100-(_xlfn.XLOOKUP(Assessment!#REF!,Inherited!A:A,Inherited!B:B)))/100)*IF(Z200="1.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(100%)","100"))))))&lt;=32),"25",IF(AND((((_xlfn.XLOOKUP(Assessment!#REF!,Inherited!A:A,Inherited!B:B))/100)*(_xlfn.XLOOKUP(Assessment!#REF!,Inherited!A:A,Inherited!E:E)))+(((100-(_xlfn.XLOOKUP(Assessment!#REF!,Inherited!A:A,Inherited!B:B)))/100)*IF(Z200="1.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(100%)","100"))))))&gt;=33,(((_xlfn.XLOOKUP(Assessment!#REF!,Inherited!A:A,Inherited!B:B))/100)*(_xlfn.XLOOKUP(Assessment!#REF!,Inherited!A:A,Inherited!E:E)))+(((100-(_xlfn.XLOOKUP(Assessment!#REF!,Inherited!A:A,Inherited!B:B)))/100)*IF(Z200="1.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(100%)","100"))))))&lt;=65),"50",IF(AND((((_xlfn.XLOOKUP(Assessment!#REF!,Inherited!A:A,Inherited!B:B))/100)*(_xlfn.XLOOKUP(Assessment!#REF!,Inherited!A:A,Inherited!E:E)))+(((100-(_xlfn.XLOOKUP(Assessment!#REF!,Inherited!A:A,Inherited!B:B)))/100)*IF(Z200="1.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(100%)","100"))))))&gt;=66,(((_xlfn.XLOOKUP(Assessment!#REF!,Inherited!A:A,Inherited!B:B))/100)*(_xlfn.XLOOKUP(Assessment!#REF!,Inherited!A:A,Inherited!E:E)))+(((100-(_xlfn.XLOOKUP(Assessment!#REF!,Inherited!A:A,Inherited!B:B)))/100)*IF(Z200="1.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(100%)","100"))))))&lt;=89),"75",IF((((_xlfn.XLOOKUP(Assessment!#REF!,Inherited!A:A,Inherited!B:B))/100)*(_xlfn.XLOOKUP(Assessment!#REF!,Inherited!A:A,Inherited!E:E)))+(((100-(_xlfn.XLOOKUP(Assessment!#REF!,Inherited!A:A,Inherited!B:B)))/100)*IF(Z200="1. Non Compliant (0%)","0",IF(Z200="2. Somewhat Compliant (25%)","25",IF(Z200="3. Partially Compliant (50%)","50",IF(Z200="4. Mostly Compliant (75%)","75",IF(Z200="5. Fully Compliant (100%)","100"))))))&gt;=90,"100"))))))</f>
        <v>#N/A</v>
      </c>
      <c r="T200" s="1" t="e">
        <f>IF(MATCH(H200,Inherited!A:A),IF((((_xlfn.XLOOKUP(Assessment!#REF!,Inherited!A:A,Inherited!B:B))/100)*(_xlfn.XLOOKUP(Assessment!#REF!,Inherited!A:A,Inherited!F:F)))+(((100-(_xlfn.XLOOKUP(Assessment!#REF!,Inherited!A:A,Inherited!B:B)))/100)*IF(AA200="1.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(100%)","100"))))))&lt;=10,"0", IF(AND((((_xlfn.XLOOKUP(Assessment!#REF!,Inherited!A:A,Inherited!B:B))/100)*(_xlfn.XLOOKUP(Assessment!#REF!,Inherited!A:A,Inherited!F:F)))+(((100-(_xlfn.XLOOKUP(Assessment!#REF!,Inherited!A:A,Inherited!B:B)))/100)*IF(AA200="1.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(100%)","100"))))))&gt;=11,(((_xlfn.XLOOKUP(Assessment!#REF!,Inherited!A:A,Inherited!B:B))/100)*(_xlfn.XLOOKUP(Assessment!#REF!,Inherited!A:A,Inherited!F:F)))+(((100-(_xlfn.XLOOKUP(Assessment!#REF!,Inherited!A:A,Inherited!B:B)))/100)*IF(AA200="1.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(100%)","100"))))))&lt;=32),"25",IF(AND((((_xlfn.XLOOKUP(Assessment!#REF!,Inherited!A:A,Inherited!B:B))/100)*(_xlfn.XLOOKUP(Assessment!#REF!,Inherited!A:A,Inherited!F:F)))+(((100-(_xlfn.XLOOKUP(Assessment!#REF!,Inherited!A:A,Inherited!B:B)))/100)*IF(AA200="1.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(100%)","100"))))))&gt;=33,(((_xlfn.XLOOKUP(Assessment!#REF!,Inherited!A:A,Inherited!B:B))/100)*(_xlfn.XLOOKUP(Assessment!#REF!,Inherited!A:A,Inherited!F:F)))+(((100-(_xlfn.XLOOKUP(Assessment!#REF!,Inherited!A:A,Inherited!B:B)))/100)*IF(AA200="1.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(100%)","100"))))))&lt;=65),"50",IF(AND((((_xlfn.XLOOKUP(Assessment!#REF!,Inherited!A:A,Inherited!B:B))/100)*(_xlfn.XLOOKUP(Assessment!#REF!,Inherited!A:A,Inherited!F:F)))+(((100-(_xlfn.XLOOKUP(Assessment!#REF!,Inherited!A:A,Inherited!B:B)))/100)*IF(AA200="1.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(100%)","100"))))))&gt;=66,(((_xlfn.XLOOKUP(Assessment!#REF!,Inherited!A:A,Inherited!B:B))/100)*(_xlfn.XLOOKUP(Assessment!#REF!,Inherited!A:A,Inherited!F:F)))+(((100-(_xlfn.XLOOKUP(Assessment!#REF!,Inherited!A:A,Inherited!B:B)))/100)*IF(AA200="1.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(100%)","100"))))))&lt;=89),"75",IF((((_xlfn.XLOOKUP(Assessment!#REF!,Inherited!A:A,Inherited!B:B))/100)*(_xlfn.XLOOKUP(Assessment!#REF!,Inherited!A:A,Inherited!F:F)))+(((100-(_xlfn.XLOOKUP(Assessment!#REF!,Inherited!A:A,Inherited!B:B)))/100)*IF(AA200="1. Non Compliant (0%)","0",IF(AA200="2. Somewhat Compliant (25%)","25",IF(AA200="3. Partially Compliant (50%)","50",IF(AA200="4. Mostly Compliant (75%)","75",IF(AA200="5. Fully Compliant (100%)","100"))))))&gt;=90,"100"))))))</f>
        <v>#N/A</v>
      </c>
      <c r="U200" s="1" t="e">
        <f>IF(MATCH(H200,Inherited!A:A),IF((((_xlfn.XLOOKUP(Assessment!#REF!,Inherited!A:A,Inherited!B:B))/100)*(_xlfn.XLOOKUP(Assessment!#REF!,Inherited!A:A,Inherited!G:G)))+(((100-(_xlfn.XLOOKUP(Assessment!#REF!,Inherited!A:A,Inherited!B:B)))/100)*IF(AB200="1.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(100%)","100"))))))&lt;=10,"0", IF(AND((((_xlfn.XLOOKUP(Assessment!#REF!,Inherited!A:A,Inherited!B:B))/100)*(_xlfn.XLOOKUP(Assessment!#REF!,Inherited!A:A,Inherited!G:G)))+(((100-(_xlfn.XLOOKUP(Assessment!#REF!,Inherited!A:A,Inherited!B:B)))/100)*IF(AB200="1.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(100%)","100"))))))&gt;=11,(((_xlfn.XLOOKUP(Assessment!#REF!,Inherited!A:A,Inherited!B:B))/100)*(_xlfn.XLOOKUP(Assessment!#REF!,Inherited!A:A,Inherited!G:G)))+(((100-(_xlfn.XLOOKUP(Assessment!#REF!,Inherited!A:A,Inherited!B:B)))/100)*IF(AB200="1.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(100%)","100"))))))&lt;=32),"25",IF(AND((((_xlfn.XLOOKUP(Assessment!#REF!,Inherited!A:A,Inherited!B:B))/100)*(_xlfn.XLOOKUP(Assessment!#REF!,Inherited!A:A,Inherited!G:G)))+(((100-(_xlfn.XLOOKUP(Assessment!#REF!,Inherited!A:A,Inherited!B:B)))/100)*IF(AB200="1.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(100%)","100"))))))&gt;=33,(((_xlfn.XLOOKUP(Assessment!#REF!,Inherited!A:A,Inherited!B:B))/100)*(_xlfn.XLOOKUP(Assessment!#REF!,Inherited!A:A,Inherited!G:G)))+(((100-(_xlfn.XLOOKUP(Assessment!#REF!,Inherited!A:A,Inherited!B:B)))/100)*IF(AB200="1.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(100%)","100"))))))&lt;=65),"50",IF(AND((((_xlfn.XLOOKUP(Assessment!#REF!,Inherited!A:A,Inherited!B:B))/100)*(_xlfn.XLOOKUP(Assessment!#REF!,Inherited!A:A,Inherited!G:G)))+(((100-(_xlfn.XLOOKUP(Assessment!#REF!,Inherited!A:A,Inherited!B:B)))/100)*IF(AB200="1.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(100%)","100"))))))&gt;=66,(((_xlfn.XLOOKUP(Assessment!#REF!,Inherited!A:A,Inherited!B:B))/100)*(_xlfn.XLOOKUP(Assessment!#REF!,Inherited!A:A,Inherited!G:G)))+(((100-(_xlfn.XLOOKUP(Assessment!#REF!,Inherited!A:A,Inherited!B:B)))/100)*IF(AB200="1.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(100%)","100"))))))&lt;=89),"75",IF((((_xlfn.XLOOKUP(Assessment!#REF!,Inherited!A:A,Inherited!B:B))/100)*(_xlfn.XLOOKUP(Assessment!#REF!,Inherited!A:A,Inherited!G:G)))+(((100-(_xlfn.XLOOKUP(Assessment!#REF!,Inherited!A:A,Inherited!B:B)))/100)*IF(AB200="1. Non Compliant (0%)","0",IF(AB200="2. Somewhat Compliant (25%)","25",IF(AB200="3. Partially Compliant (50%)","50",IF(AB200="4. Mostly Compliant (75%)","75",IF(AB200="5. Fully Compliant (100%)","100"))))))&gt;=90,"100"))))))</f>
        <v>#N/A</v>
      </c>
      <c r="V200" s="55" t="s">
        <v>85</v>
      </c>
      <c r="W200" s="55"/>
      <c r="X200" s="55"/>
      <c r="Y200" s="55"/>
      <c r="Z200" s="55" t="s">
        <v>10873</v>
      </c>
      <c r="AA200" s="55"/>
      <c r="AB200" s="55"/>
      <c r="AK200" s="1" t="s">
        <v>10947</v>
      </c>
      <c r="AP200" s="1" t="s">
        <v>11030</v>
      </c>
      <c r="AX200" s="3" t="str">
        <f>_xlfn.CONCAT("A-LIGN finished its review of this control on ",AR200, " during the scheduled fieldwork window (",Intro!$B$4,")."&amp; CHAR(10)&amp; CHAR(10))</f>
        <v xml:space="preserve">A-LIGN finished its review of this control on  during the scheduled fieldwork window (Fieldwork: xx/xx/xxxx - xx/xx/xxxx).
</v>
      </c>
      <c r="AY200" s="3" t="str">
        <f t="shared" ref="AY200:AY202" si="401">IF(AQ200&lt;&gt;"",(_xlfn.CONCAT("Inheritance note: "&amp; CHAR(10),AQ200&amp; CHAR(10)&amp; CHAR(10))),"")</f>
        <v/>
      </c>
      <c r="AZ200" s="3" t="str">
        <f t="shared" ref="AZ200:AZ202" si="402">IFERROR(IF(AD200&lt;&gt;"",_xlfn.CONCAT("Examined the following policy during fieldwork:"&amp; CHAR(10),AD200&amp; CHAR(10)&amp; CHAR(10),IF(AND(X200&lt;&gt;"5. Fully Compliant (100%)",AE200&lt;&gt;""),"Reviewed policy exception note:"&amp; CHAR(10) &amp; AE200 &amp; CHAR(10) &amp; CHAR(10),"")),""),"")</f>
        <v/>
      </c>
      <c r="BA200" s="3" t="str">
        <f t="shared" ref="BA200:BA202" si="403">IFERROR(IF(AH200&lt;&gt;"",_xlfn.CONCAT("Examined the following process during fieldwork:"&amp; CHAR(10),AH200&amp; CHAR(10)&amp; CHAR(10),IF(AND(Y200&lt;&gt;"5. Fully Compliant (100%)",AI200&lt;&gt;""),"Reviewed process exception note:"&amp; CHAR(10) &amp; AI200 &amp; CHAR(10) &amp; CHAR(10),"")),""),"")</f>
        <v/>
      </c>
      <c r="BB200" s="3" t="str">
        <f t="shared" ref="BB200:BB202" si="404">IF(AK200&lt;&gt;"",(_xlfn.CONCAT("Inquired of the following workforce member: "&amp; CHAR(10),AK200&amp; CHAR(10)&amp; CHAR(10),"Inquiry lead to the following conclusions: "&amp; CHAR(10),AL200&amp; CHAR(10) &amp; CHAR(10))),"")</f>
        <v xml:space="preserve">Inquired of the following workforce member: 
Roze Nicolas - Director of TechOps
Inquiry lead to the following conclusions: 
</v>
      </c>
      <c r="BC200" s="3" t="str">
        <f t="shared" ref="BC200:BC202" si="405">IF(AM200&lt;&gt;"",(_xlfn.CONCAT("Observed the following live during fieldwork: "&amp; CHAR(10),AM200&amp; CHAR(10) &amp; CHAR(10))),"")</f>
        <v/>
      </c>
      <c r="BD200" s="3" t="str">
        <f t="shared" ref="BD200:BD202" si="406">_xlfn.CONCAT("Examined the following evidence during fieldwork:"&amp; CHAR(10),AN200&amp; CHAR(10)&amp; CHAR(10),IF(AO200&lt;&gt;"","Reviewed evidence note:"&amp; CHAR(10)&amp;AO200&amp; CHAR(10) &amp; CHAR(10),"Reviewed evidence addressed the requirement statement."&amp; CHAR(10) &amp; CHAR(10)),IF(AND(AP200&lt;&gt;"5. Fully Compliant (100%)",AP200&lt;&gt;""),"Reviewed evidence exception note: "&amp; CHAR(10) &amp; AP200 &amp; CHAR(10) &amp; CHAR(10),""))</f>
        <v xml:space="preserve">Examined the following evidence during fieldwork:
Reviewed evidence addressed the requirement statement.
Reviewed evidence exception note: 
Gap: Electronic Labeling not currently in place.
Recommendation: Management should ensure that information is labelled according to its classification.
</v>
      </c>
      <c r="BE200" s="3" t="str">
        <f t="shared" ref="BE200:BE202" si="407">IF(AT200&lt;&gt;"",(_xlfn.CONCAT("Examined the following measure/metric during fieldwork:"&amp; CHAR(10),AT200&amp; CHAR(10)&amp; CHAR(10),"Reviewed measure/metric note:"&amp; CHAR(10),AU200 &amp; CHAR(10) &amp; CHAR(10))),"")</f>
        <v/>
      </c>
      <c r="BF200" s="3" t="str">
        <f t="shared" ref="BF200:BF202" si="408">IF(AV200&lt;&gt;"",(_xlfn.CONCAT("Examined the following measure/metric management during fieldwork:"&amp; CHAR(10),AV200&amp; CHAR(10)&amp; CHAR(10),"Reviewed measure/metric management note:"&amp; CHAR(10),AW200 &amp; CHAR(10) &amp; CHAR(10))),"")</f>
        <v/>
      </c>
      <c r="BG200" s="3" t="str">
        <f>_xlfn.CONCAT((IF((COUNTIF('Sample Tables'!B:B,"Test 175: Information System (system component that stores organizational record)")&gt;0)=TRUE,_xlfn.CONCAT("Sample test results are documented in ",'Sample Tables'!B1921," [",'Sample Tables'!B1922,", ",'Sample Tables'!B1923,", ",'Sample Tables'!B1924,", ",'Sample Tables'!B1925,", ",'Sample Tables'!B1926,"]."&amp;CHAR(10)),IF((COUNTIF('Sample Tables'!B:B,"Test 175: Information System (system component that stores organizational record)")&gt;0)=FALSE,""))),)</f>
        <v xml:space="preserve">Sample test results are documented in Test 175: Information System (system component that stores organizational record) [Population Source/Tool: , Population Date Range: , Population Size: , Sample Methodology: , Sample Size: ].
</v>
      </c>
      <c r="BH200" s="3" t="str">
        <f t="shared" ref="BH200:BH202" si="409">IF(V200="No","Not Applicable: "&amp;W200,(_xlfn.CONCAT(AX200,AY200,AZ200,BA200,BB200,BC200,BD200,BE200,BF200,BG200)))</f>
        <v xml:space="preserve">A-LIGN finished its review of this control on  during the scheduled fieldwork window (Fieldwork: xx/xx/xxxx - xx/xx/xxxx).
Inquired of the following workforce member: 
Roze Nicolas - Director of TechOps
Inquiry lead to the following conclusions: 
Examined the following evidence during fieldwork:
Reviewed evidence addressed the requirement statement.
Reviewed evidence exception note: 
Gap: Electronic Labeling not currently in place.
Recommendation: Management should ensure that information is labelled according to its classification.
Sample test results are documented in Test 175: Information System (system component that stores organizational record) [Population Source/Tool: , Population Date Range: , Population Size: , Sample Methodology: , Sample Size: ].
</v>
      </c>
    </row>
    <row r="201" spans="3:60" ht="350" x14ac:dyDescent="0.35">
      <c r="C201" s="1">
        <f t="shared" si="400"/>
        <v>0</v>
      </c>
      <c r="D201" s="5" t="str">
        <f>IF(AND((_xlfn.XLOOKUP(J201,'Fields &amp; Revisions'!$H:$H,'Fields &amp; Revisions'!$I:$I))&lt;70.99,(OR(Z201="4. Mostly Compliant (75%)",Z201="3. Partially Compliant (50%)",Z201="2. Somewhat Compliant (25%)",Z201="1. Non Compliant (0%)"))),"Yes","No")</f>
        <v>Yes</v>
      </c>
      <c r="E201" s="5" t="str">
        <f>IF(ISERROR(VLOOKUP(H201,Scope!A:A,1,FALSE)),"No","Yes")</f>
        <v>Yes</v>
      </c>
      <c r="F201" s="1" t="s">
        <v>5677</v>
      </c>
      <c r="G201" s="53" t="s">
        <v>6138</v>
      </c>
      <c r="H201" s="53" t="s">
        <v>6139</v>
      </c>
      <c r="I201" s="5">
        <v>1</v>
      </c>
      <c r="J201" s="1" t="s">
        <v>5733</v>
      </c>
      <c r="K201" s="1" t="s">
        <v>6140</v>
      </c>
      <c r="L201" s="1" t="s">
        <v>6141</v>
      </c>
      <c r="M201" s="1" t="s">
        <v>6142</v>
      </c>
      <c r="N201" s="5" t="s">
        <v>85</v>
      </c>
      <c r="O201" s="1" t="str">
        <f>_xlfn.XLOOKUP(G201,SRMs!$A:$A,SRMs!$D:$D)</f>
        <v>NO INHERITANCE</v>
      </c>
      <c r="P201" s="1" t="str">
        <f>IFERROR(VLOOKUP(H201,Inherited!A:B,2,FALSE),"")</f>
        <v/>
      </c>
      <c r="Q201" s="1" t="e">
        <f>IF(MATCH(H201,Inherited!A:A),IF((((_xlfn.XLOOKUP(Assessment!#REF!,Inherited!A:A,Inherited!B:B))/100)*(_xlfn.XLOOKUP(Assessment!#REF!,Inherited!A:A,Inherited!C:C)))+(((100-(_xlfn.XLOOKUP(Assessment!#REF!,Inherited!A:A,Inherited!B:B)))/100)*IF(X201="1.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(100%)","100"))))))&lt;=10,"0", IF(AND((((_xlfn.XLOOKUP(Assessment!#REF!,Inherited!A:A,Inherited!B:B))/100)*(_xlfn.XLOOKUP(Assessment!#REF!,Inherited!A:A,Inherited!C:C)))+(((100-(_xlfn.XLOOKUP(Assessment!#REF!,Inherited!A:A,Inherited!B:B)))/100)*IF(X201="1.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(100%)","100"))))))&gt;=11,(((_xlfn.XLOOKUP(Assessment!#REF!,Inherited!A:A,Inherited!B:B))/100)*(_xlfn.XLOOKUP(Assessment!#REF!,Inherited!A:A,Inherited!C:C)))+(((100-(_xlfn.XLOOKUP(Assessment!#REF!,Inherited!A:A,Inherited!B:B)))/100)*IF(X201="1.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(100%)","100"))))))&lt;=32),"25",IF(AND((((_xlfn.XLOOKUP(Assessment!#REF!,Inherited!A:A,Inherited!B:B))/100)*(_xlfn.XLOOKUP(Assessment!#REF!,Inherited!A:A,Inherited!C:C)))+(((100-(_xlfn.XLOOKUP(Assessment!#REF!,Inherited!A:A,Inherited!B:B)))/100)*IF(X201="1.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(100%)","100"))))))&gt;=33,(((_xlfn.XLOOKUP(Assessment!#REF!,Inherited!A:A,Inherited!B:B))/100)*(_xlfn.XLOOKUP(Assessment!#REF!,Inherited!A:A,Inherited!C:C)))+(((100-(_xlfn.XLOOKUP(Assessment!#REF!,Inherited!A:A,Inherited!B:B)))/100)*IF(X201="1.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(100%)","100"))))))&lt;=65),"50",IF(AND((((_xlfn.XLOOKUP(Assessment!#REF!,Inherited!A:A,Inherited!B:B))/100)*(_xlfn.XLOOKUP(Assessment!#REF!,Inherited!A:A,Inherited!C:C)))+(((100-(_xlfn.XLOOKUP(Assessment!#REF!,Inherited!A:A,Inherited!B:B)))/100)*IF(X201="1.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(100%)","100"))))))&gt;=66,(((_xlfn.XLOOKUP(Assessment!#REF!,Inherited!A:A,Inherited!B:B))/100)*(_xlfn.XLOOKUP(Assessment!#REF!,Inherited!A:A,Inherited!C:C)))+(((100-(_xlfn.XLOOKUP(Assessment!#REF!,Inherited!A:A,Inherited!B:B)))/100)*IF(X201="1.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(100%)","100"))))))&lt;=89),"75",IF((((_xlfn.XLOOKUP(Assessment!#REF!,Inherited!A:A,Inherited!B:B))/100)*(_xlfn.XLOOKUP(Assessment!#REF!,Inherited!A:A,Inherited!C:C)))+(((100-(_xlfn.XLOOKUP(Assessment!#REF!,Inherited!A:A,Inherited!B:B)))/100)*IF(X201="1. Non Compliant (0%)","0",IF(X201="2. Somewhat Compliant (25%)","25",IF(X201="3. Partially Compliant (50%)","50",IF(X201="4. Mostly Compliant (75%)","75",IF(X201="5. Fully Compliant (100%)","100"))))))&gt;=90,"100"))))))</f>
        <v>#N/A</v>
      </c>
      <c r="R201" s="1" t="e">
        <f>IF(MATCH(H201,Inherited!A:A),IF((((_xlfn.XLOOKUP(Assessment!#REF!,Inherited!A:A,Inherited!B:B))/100)*(_xlfn.XLOOKUP(Assessment!#REF!,Inherited!A:A,Inherited!D:D)))+(((100-(_xlfn.XLOOKUP(Assessment!#REF!,Inherited!A:A,Inherited!B:B)))/100)*IF(Y201="1.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(100%)","100"))))))&lt;=10,"0", IF(AND((((_xlfn.XLOOKUP(Assessment!#REF!,Inherited!A:A,Inherited!B:B))/100)*(_xlfn.XLOOKUP(Assessment!#REF!,Inherited!A:A,Inherited!D:D)))+(((100-(_xlfn.XLOOKUP(Assessment!#REF!,Inherited!A:A,Inherited!B:B)))/100)*IF(Y201="1.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(100%)","100"))))))&gt;=11,(((_xlfn.XLOOKUP(Assessment!#REF!,Inherited!A:A,Inherited!B:B))/100)*(_xlfn.XLOOKUP(Assessment!#REF!,Inherited!A:A,Inherited!D:D)))+(((100-(_xlfn.XLOOKUP(Assessment!#REF!,Inherited!A:A,Inherited!B:B)))/100)*IF(Y201="1.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(100%)","100"))))))&lt;=32),"25",IF(AND((((_xlfn.XLOOKUP(Assessment!#REF!,Inherited!A:A,Inherited!B:B))/100)*(_xlfn.XLOOKUP(Assessment!#REF!,Inherited!A:A,Inherited!D:D)))+(((100-(_xlfn.XLOOKUP(Assessment!#REF!,Inherited!A:A,Inherited!B:B)))/100)*IF(Y201="1.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(100%)","100"))))))&gt;=33,(((_xlfn.XLOOKUP(Assessment!#REF!,Inherited!A:A,Inherited!B:B))/100)*(_xlfn.XLOOKUP(Assessment!#REF!,Inherited!A:A,Inherited!D:D)))+(((100-(_xlfn.XLOOKUP(Assessment!#REF!,Inherited!A:A,Inherited!B:B)))/100)*IF(Y201="1.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(100%)","100"))))))&lt;=65),"50",IF(AND((((_xlfn.XLOOKUP(Assessment!#REF!,Inherited!A:A,Inherited!B:B))/100)*(_xlfn.XLOOKUP(Assessment!#REF!,Inherited!A:A,Inherited!D:D)))+(((100-(_xlfn.XLOOKUP(Assessment!#REF!,Inherited!A:A,Inherited!B:B)))/100)*IF(Y201="1.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(100%)","100"))))))&gt;=66,(((_xlfn.XLOOKUP(Assessment!#REF!,Inherited!A:A,Inherited!B:B))/100)*(_xlfn.XLOOKUP(Assessment!#REF!,Inherited!A:A,Inherited!D:D)))+(((100-(_xlfn.XLOOKUP(Assessment!#REF!,Inherited!A:A,Inherited!B:B)))/100)*IF(Y201="1.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(100%)","100"))))))&lt;=89),"75",IF((((_xlfn.XLOOKUP(Assessment!#REF!,Inherited!A:A,Inherited!B:B))/100)*(_xlfn.XLOOKUP(Assessment!#REF!,Inherited!A:A,Inherited!D:D)))+(((100-(_xlfn.XLOOKUP(Assessment!#REF!,Inherited!A:A,Inherited!B:B)))/100)*IF(Y201="1. Non Compliant (0%)","0",IF(Y201="2. Somewhat Compliant (25%)","25",IF(Y201="3. Partially Compliant (50%)","50",IF(Y201="4. Mostly Compliant (75%)","75",IF(Y201="5. Fully Compliant (100%)","100"))))))&gt;=90,"100"))))))</f>
        <v>#N/A</v>
      </c>
      <c r="S201" s="1" t="e">
        <f>IF(MATCH(H201,Inherited!A:A),IF((((_xlfn.XLOOKUP(Assessment!#REF!,Inherited!A:A,Inherited!B:B))/100)*(_xlfn.XLOOKUP(Assessment!#REF!,Inherited!A:A,Inherited!E:E)))+(((100-(_xlfn.XLOOKUP(Assessment!#REF!,Inherited!A:A,Inherited!B:B)))/100)*IF(Z201="1.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(100%)","100"))))))&lt;=10,"0", IF(AND((((_xlfn.XLOOKUP(Assessment!#REF!,Inherited!A:A,Inherited!B:B))/100)*(_xlfn.XLOOKUP(Assessment!#REF!,Inherited!A:A,Inherited!E:E)))+(((100-(_xlfn.XLOOKUP(Assessment!#REF!,Inherited!A:A,Inherited!B:B)))/100)*IF(Z201="1.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(100%)","100"))))))&gt;=11,(((_xlfn.XLOOKUP(Assessment!#REF!,Inherited!A:A,Inherited!B:B))/100)*(_xlfn.XLOOKUP(Assessment!#REF!,Inherited!A:A,Inherited!E:E)))+(((100-(_xlfn.XLOOKUP(Assessment!#REF!,Inherited!A:A,Inherited!B:B)))/100)*IF(Z201="1.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(100%)","100"))))))&lt;=32),"25",IF(AND((((_xlfn.XLOOKUP(Assessment!#REF!,Inherited!A:A,Inherited!B:B))/100)*(_xlfn.XLOOKUP(Assessment!#REF!,Inherited!A:A,Inherited!E:E)))+(((100-(_xlfn.XLOOKUP(Assessment!#REF!,Inherited!A:A,Inherited!B:B)))/100)*IF(Z201="1.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(100%)","100"))))))&gt;=33,(((_xlfn.XLOOKUP(Assessment!#REF!,Inherited!A:A,Inherited!B:B))/100)*(_xlfn.XLOOKUP(Assessment!#REF!,Inherited!A:A,Inherited!E:E)))+(((100-(_xlfn.XLOOKUP(Assessment!#REF!,Inherited!A:A,Inherited!B:B)))/100)*IF(Z201="1.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(100%)","100"))))))&lt;=65),"50",IF(AND((((_xlfn.XLOOKUP(Assessment!#REF!,Inherited!A:A,Inherited!B:B))/100)*(_xlfn.XLOOKUP(Assessment!#REF!,Inherited!A:A,Inherited!E:E)))+(((100-(_xlfn.XLOOKUP(Assessment!#REF!,Inherited!A:A,Inherited!B:B)))/100)*IF(Z201="1.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(100%)","100"))))))&gt;=66,(((_xlfn.XLOOKUP(Assessment!#REF!,Inherited!A:A,Inherited!B:B))/100)*(_xlfn.XLOOKUP(Assessment!#REF!,Inherited!A:A,Inherited!E:E)))+(((100-(_xlfn.XLOOKUP(Assessment!#REF!,Inherited!A:A,Inherited!B:B)))/100)*IF(Z201="1.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(100%)","100"))))))&lt;=89),"75",IF((((_xlfn.XLOOKUP(Assessment!#REF!,Inherited!A:A,Inherited!B:B))/100)*(_xlfn.XLOOKUP(Assessment!#REF!,Inherited!A:A,Inherited!E:E)))+(((100-(_xlfn.XLOOKUP(Assessment!#REF!,Inherited!A:A,Inherited!B:B)))/100)*IF(Z201="1. Non Compliant (0%)","0",IF(Z201="2. Somewhat Compliant (25%)","25",IF(Z201="3. Partially Compliant (50%)","50",IF(Z201="4. Mostly Compliant (75%)","75",IF(Z201="5. Fully Compliant (100%)","100"))))))&gt;=90,"100"))))))</f>
        <v>#N/A</v>
      </c>
      <c r="T201" s="1" t="e">
        <f>IF(MATCH(H201,Inherited!A:A),IF((((_xlfn.XLOOKUP(Assessment!#REF!,Inherited!A:A,Inherited!B:B))/100)*(_xlfn.XLOOKUP(Assessment!#REF!,Inherited!A:A,Inherited!F:F)))+(((100-(_xlfn.XLOOKUP(Assessment!#REF!,Inherited!A:A,Inherited!B:B)))/100)*IF(AA201="1.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(100%)","100"))))))&lt;=10,"0", IF(AND((((_xlfn.XLOOKUP(Assessment!#REF!,Inherited!A:A,Inherited!B:B))/100)*(_xlfn.XLOOKUP(Assessment!#REF!,Inherited!A:A,Inherited!F:F)))+(((100-(_xlfn.XLOOKUP(Assessment!#REF!,Inherited!A:A,Inherited!B:B)))/100)*IF(AA201="1.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(100%)","100"))))))&gt;=11,(((_xlfn.XLOOKUP(Assessment!#REF!,Inherited!A:A,Inherited!B:B))/100)*(_xlfn.XLOOKUP(Assessment!#REF!,Inherited!A:A,Inherited!F:F)))+(((100-(_xlfn.XLOOKUP(Assessment!#REF!,Inherited!A:A,Inherited!B:B)))/100)*IF(AA201="1.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(100%)","100"))))))&lt;=32),"25",IF(AND((((_xlfn.XLOOKUP(Assessment!#REF!,Inherited!A:A,Inherited!B:B))/100)*(_xlfn.XLOOKUP(Assessment!#REF!,Inherited!A:A,Inherited!F:F)))+(((100-(_xlfn.XLOOKUP(Assessment!#REF!,Inherited!A:A,Inherited!B:B)))/100)*IF(AA201="1.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(100%)","100"))))))&gt;=33,(((_xlfn.XLOOKUP(Assessment!#REF!,Inherited!A:A,Inherited!B:B))/100)*(_xlfn.XLOOKUP(Assessment!#REF!,Inherited!A:A,Inherited!F:F)))+(((100-(_xlfn.XLOOKUP(Assessment!#REF!,Inherited!A:A,Inherited!B:B)))/100)*IF(AA201="1.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(100%)","100"))))))&lt;=65),"50",IF(AND((((_xlfn.XLOOKUP(Assessment!#REF!,Inherited!A:A,Inherited!B:B))/100)*(_xlfn.XLOOKUP(Assessment!#REF!,Inherited!A:A,Inherited!F:F)))+(((100-(_xlfn.XLOOKUP(Assessment!#REF!,Inherited!A:A,Inherited!B:B)))/100)*IF(AA201="1.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(100%)","100"))))))&gt;=66,(((_xlfn.XLOOKUP(Assessment!#REF!,Inherited!A:A,Inherited!B:B))/100)*(_xlfn.XLOOKUP(Assessment!#REF!,Inherited!A:A,Inherited!F:F)))+(((100-(_xlfn.XLOOKUP(Assessment!#REF!,Inherited!A:A,Inherited!B:B)))/100)*IF(AA201="1.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(100%)","100"))))))&lt;=89),"75",IF((((_xlfn.XLOOKUP(Assessment!#REF!,Inherited!A:A,Inherited!B:B))/100)*(_xlfn.XLOOKUP(Assessment!#REF!,Inherited!A:A,Inherited!F:F)))+(((100-(_xlfn.XLOOKUP(Assessment!#REF!,Inherited!A:A,Inherited!B:B)))/100)*IF(AA201="1. Non Compliant (0%)","0",IF(AA201="2. Somewhat Compliant (25%)","25",IF(AA201="3. Partially Compliant (50%)","50",IF(AA201="4. Mostly Compliant (75%)","75",IF(AA201="5. Fully Compliant (100%)","100"))))))&gt;=90,"100"))))))</f>
        <v>#N/A</v>
      </c>
      <c r="U201" s="1" t="e">
        <f>IF(MATCH(H201,Inherited!A:A),IF((((_xlfn.XLOOKUP(Assessment!#REF!,Inherited!A:A,Inherited!B:B))/100)*(_xlfn.XLOOKUP(Assessment!#REF!,Inherited!A:A,Inherited!G:G)))+(((100-(_xlfn.XLOOKUP(Assessment!#REF!,Inherited!A:A,Inherited!B:B)))/100)*IF(AB201="1.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(100%)","100"))))))&lt;=10,"0", IF(AND((((_xlfn.XLOOKUP(Assessment!#REF!,Inherited!A:A,Inherited!B:B))/100)*(_xlfn.XLOOKUP(Assessment!#REF!,Inherited!A:A,Inherited!G:G)))+(((100-(_xlfn.XLOOKUP(Assessment!#REF!,Inherited!A:A,Inherited!B:B)))/100)*IF(AB201="1.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(100%)","100"))))))&gt;=11,(((_xlfn.XLOOKUP(Assessment!#REF!,Inherited!A:A,Inherited!B:B))/100)*(_xlfn.XLOOKUP(Assessment!#REF!,Inherited!A:A,Inherited!G:G)))+(((100-(_xlfn.XLOOKUP(Assessment!#REF!,Inherited!A:A,Inherited!B:B)))/100)*IF(AB201="1.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(100%)","100"))))))&lt;=32),"25",IF(AND((((_xlfn.XLOOKUP(Assessment!#REF!,Inherited!A:A,Inherited!B:B))/100)*(_xlfn.XLOOKUP(Assessment!#REF!,Inherited!A:A,Inherited!G:G)))+(((100-(_xlfn.XLOOKUP(Assessment!#REF!,Inherited!A:A,Inherited!B:B)))/100)*IF(AB201="1.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(100%)","100"))))))&gt;=33,(((_xlfn.XLOOKUP(Assessment!#REF!,Inherited!A:A,Inherited!B:B))/100)*(_xlfn.XLOOKUP(Assessment!#REF!,Inherited!A:A,Inherited!G:G)))+(((100-(_xlfn.XLOOKUP(Assessment!#REF!,Inherited!A:A,Inherited!B:B)))/100)*IF(AB201="1.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(100%)","100"))))))&lt;=65),"50",IF(AND((((_xlfn.XLOOKUP(Assessment!#REF!,Inherited!A:A,Inherited!B:B))/100)*(_xlfn.XLOOKUP(Assessment!#REF!,Inherited!A:A,Inherited!G:G)))+(((100-(_xlfn.XLOOKUP(Assessment!#REF!,Inherited!A:A,Inherited!B:B)))/100)*IF(AB201="1.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(100%)","100"))))))&gt;=66,(((_xlfn.XLOOKUP(Assessment!#REF!,Inherited!A:A,Inherited!B:B))/100)*(_xlfn.XLOOKUP(Assessment!#REF!,Inherited!A:A,Inherited!G:G)))+(((100-(_xlfn.XLOOKUP(Assessment!#REF!,Inherited!A:A,Inherited!B:B)))/100)*IF(AB201="1.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(100%)","100"))))))&lt;=89),"75",IF((((_xlfn.XLOOKUP(Assessment!#REF!,Inherited!A:A,Inherited!B:B))/100)*(_xlfn.XLOOKUP(Assessment!#REF!,Inherited!A:A,Inherited!G:G)))+(((100-(_xlfn.XLOOKUP(Assessment!#REF!,Inherited!A:A,Inherited!B:B)))/100)*IF(AB201="1. Non Compliant (0%)","0",IF(AB201="2. Somewhat Compliant (25%)","25",IF(AB201="3. Partially Compliant (50%)","50",IF(AB201="4. Mostly Compliant (75%)","75",IF(AB201="5. Fully Compliant (100%)","100"))))))&gt;=90,"100"))))))</f>
        <v>#N/A</v>
      </c>
      <c r="V201" s="55" t="s">
        <v>85</v>
      </c>
      <c r="W201" s="55"/>
      <c r="X201" s="55"/>
      <c r="Y201" s="55"/>
      <c r="Z201" s="55" t="s">
        <v>10873</v>
      </c>
      <c r="AA201" s="55"/>
      <c r="AB201" s="55"/>
      <c r="AK201" s="1" t="s">
        <v>10947</v>
      </c>
      <c r="AL201" s="1" t="s">
        <v>10977</v>
      </c>
      <c r="AP201" s="1" t="s">
        <v>11137</v>
      </c>
      <c r="AX201" s="3" t="str">
        <f>_xlfn.CONCAT("A-LIGN finished its review of this control on ",AR201, " during the scheduled fieldwork window (",Intro!$B$4,")."&amp; CHAR(10)&amp; CHAR(10))</f>
        <v xml:space="preserve">A-LIGN finished its review of this control on  during the scheduled fieldwork window (Fieldwork: xx/xx/xxxx - xx/xx/xxxx).
</v>
      </c>
      <c r="AY201" s="3" t="str">
        <f t="shared" si="401"/>
        <v/>
      </c>
      <c r="AZ201" s="3" t="str">
        <f t="shared" si="402"/>
        <v/>
      </c>
      <c r="BA201" s="3" t="str">
        <f t="shared" si="403"/>
        <v/>
      </c>
      <c r="BB201" s="3" t="str">
        <f t="shared" si="404"/>
        <v xml:space="preserve">Inquired of the following workforce member: 
Roze Nicolas - Director of TechOps
Inquiry lead to the following conclusions: 
List is not currently maintained
</v>
      </c>
      <c r="BC201" s="3" t="str">
        <f t="shared" si="405"/>
        <v/>
      </c>
      <c r="BD201" s="3" t="str">
        <f t="shared" si="406"/>
        <v xml:space="preserve">Examined the following evidence during fieldwork:
Reviewed evidence addressed the requirement statement.
Reviewed evidence exception note: 
Gap: Handbook does not currently contain the appropriate language. 
Recommendation: Management should ensure that the appropriate language outlined within the requirement statement.
</v>
      </c>
      <c r="BE201" s="3" t="str">
        <f t="shared" si="407"/>
        <v/>
      </c>
      <c r="BF201" s="3" t="str">
        <f t="shared" si="408"/>
        <v/>
      </c>
      <c r="BG201" s="3" t="str">
        <f>_xlfn.CONCAT((IF((COUNTIF('Sample Tables'!B:B,"Test 188: Workforce Member (ability to post information on publicly accessible system)")&gt;0)=TRUE,_xlfn.CONCAT("Sample test results are documented in ",'Sample Tables'!B2064," [",'Sample Tables'!B2065,", ",'Sample Tables'!B2066,", ",'Sample Tables'!B2067,", ",'Sample Tables'!B2068,", ",'Sample Tables'!B2069,"]."&amp;CHAR(10)),IF((COUNTIF('Sample Tables'!B:B,"Test 188: Workforce Member (ability to post information on publicly accessible system)")&gt;0)=FALSE,""))),)</f>
        <v xml:space="preserve">Sample test results are documented in Test 188: Workforce Member (ability to post information on publicly accessible system) [Population Source/Tool: , Population Date Range: , Population Size: , Sample Methodology: , Sample Size: ].
</v>
      </c>
      <c r="BH201" s="3" t="str">
        <f t="shared" si="409"/>
        <v xml:space="preserve">A-LIGN finished its review of this control on  during the scheduled fieldwork window (Fieldwork: xx/xx/xxxx - xx/xx/xxxx).
Inquired of the following workforce member: 
Roze Nicolas - Director of TechOps
Inquiry lead to the following conclusions: 
List is not currently maintained
Examined the following evidence during fieldwork:
Reviewed evidence addressed the requirement statement.
Reviewed evidence exception note: 
Gap: Handbook does not currently contain the appropriate language. 
Recommendation: Management should ensure that the appropriate language outlined within the requirement statement.
Sample test results are documented in Test 188: Workforce Member (ability to post information on publicly accessible system) [Population Source/Tool: , Population Date Range: , Population Size: , Sample Methodology: , Sample Size: ].
</v>
      </c>
    </row>
    <row r="202" spans="3:60" ht="200" x14ac:dyDescent="0.35">
      <c r="C202" s="1">
        <f t="shared" si="400"/>
        <v>0</v>
      </c>
      <c r="D202" s="5" t="str">
        <f>IF(AND((_xlfn.XLOOKUP(J202,'Fields &amp; Revisions'!$H:$H,'Fields &amp; Revisions'!$I:$I))&lt;70.99,(OR(Z202="4. Mostly Compliant (75%)",Z202="3. Partially Compliant (50%)",Z202="2. Somewhat Compliant (25%)",Z202="1. Non Compliant (0%)"))),"Yes","No")</f>
        <v>No</v>
      </c>
      <c r="E202" s="5" t="str">
        <f>IF(ISERROR(VLOOKUP(H202,Scope!A:A,1,FALSE)),"No","Yes")</f>
        <v>Yes</v>
      </c>
      <c r="F202" s="1" t="s">
        <v>5677</v>
      </c>
      <c r="G202" s="53" t="s">
        <v>6181</v>
      </c>
      <c r="H202" s="53" t="s">
        <v>6182</v>
      </c>
      <c r="I202" s="5">
        <v>1</v>
      </c>
      <c r="J202" s="1" t="s">
        <v>5753</v>
      </c>
      <c r="K202" s="1" t="s">
        <v>6183</v>
      </c>
      <c r="L202" s="1" t="s">
        <v>6184</v>
      </c>
      <c r="M202" s="1" t="s">
        <v>6185</v>
      </c>
      <c r="N202" s="5" t="s">
        <v>98</v>
      </c>
      <c r="O202" s="1" t="str">
        <f>_xlfn.XLOOKUP(G202,SRMs!$A:$A,SRMs!$D:$D)</f>
        <v>PARTIAL INHERITANCE</v>
      </c>
      <c r="P202" s="1" t="str">
        <f>IFERROR(VLOOKUP(H202,Inherited!A:B,2,FALSE),"")</f>
        <v/>
      </c>
      <c r="Q202" s="1" t="e">
        <f>IF(MATCH(H202,Inherited!A:A),IF((((_xlfn.XLOOKUP(Assessment!#REF!,Inherited!A:A,Inherited!B:B))/100)*(_xlfn.XLOOKUP(Assessment!#REF!,Inherited!A:A,Inherited!C:C)))+(((100-(_xlfn.XLOOKUP(Assessment!#REF!,Inherited!A:A,Inherited!B:B)))/100)*IF(X202="1.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(100%)","100"))))))&lt;=10,"0", IF(AND((((_xlfn.XLOOKUP(Assessment!#REF!,Inherited!A:A,Inherited!B:B))/100)*(_xlfn.XLOOKUP(Assessment!#REF!,Inherited!A:A,Inherited!C:C)))+(((100-(_xlfn.XLOOKUP(Assessment!#REF!,Inherited!A:A,Inherited!B:B)))/100)*IF(X202="1.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(100%)","100"))))))&gt;=11,(((_xlfn.XLOOKUP(Assessment!#REF!,Inherited!A:A,Inherited!B:B))/100)*(_xlfn.XLOOKUP(Assessment!#REF!,Inherited!A:A,Inherited!C:C)))+(((100-(_xlfn.XLOOKUP(Assessment!#REF!,Inherited!A:A,Inherited!B:B)))/100)*IF(X202="1.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(100%)","100"))))))&lt;=32),"25",IF(AND((((_xlfn.XLOOKUP(Assessment!#REF!,Inherited!A:A,Inherited!B:B))/100)*(_xlfn.XLOOKUP(Assessment!#REF!,Inherited!A:A,Inherited!C:C)))+(((100-(_xlfn.XLOOKUP(Assessment!#REF!,Inherited!A:A,Inherited!B:B)))/100)*IF(X202="1.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(100%)","100"))))))&gt;=33,(((_xlfn.XLOOKUP(Assessment!#REF!,Inherited!A:A,Inherited!B:B))/100)*(_xlfn.XLOOKUP(Assessment!#REF!,Inherited!A:A,Inherited!C:C)))+(((100-(_xlfn.XLOOKUP(Assessment!#REF!,Inherited!A:A,Inherited!B:B)))/100)*IF(X202="1.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(100%)","100"))))))&lt;=65),"50",IF(AND((((_xlfn.XLOOKUP(Assessment!#REF!,Inherited!A:A,Inherited!B:B))/100)*(_xlfn.XLOOKUP(Assessment!#REF!,Inherited!A:A,Inherited!C:C)))+(((100-(_xlfn.XLOOKUP(Assessment!#REF!,Inherited!A:A,Inherited!B:B)))/100)*IF(X202="1.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(100%)","100"))))))&gt;=66,(((_xlfn.XLOOKUP(Assessment!#REF!,Inherited!A:A,Inherited!B:B))/100)*(_xlfn.XLOOKUP(Assessment!#REF!,Inherited!A:A,Inherited!C:C)))+(((100-(_xlfn.XLOOKUP(Assessment!#REF!,Inherited!A:A,Inherited!B:B)))/100)*IF(X202="1.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(100%)","100"))))))&lt;=89),"75",IF((((_xlfn.XLOOKUP(Assessment!#REF!,Inherited!A:A,Inherited!B:B))/100)*(_xlfn.XLOOKUP(Assessment!#REF!,Inherited!A:A,Inherited!C:C)))+(((100-(_xlfn.XLOOKUP(Assessment!#REF!,Inherited!A:A,Inherited!B:B)))/100)*IF(X202="1. Non Compliant (0%)","0",IF(X202="2. Somewhat Compliant (25%)","25",IF(X202="3. Partially Compliant (50%)","50",IF(X202="4. Mostly Compliant (75%)","75",IF(X202="5. Fully Compliant (100%)","100"))))))&gt;=90,"100"))))))</f>
        <v>#N/A</v>
      </c>
      <c r="R202" s="1" t="e">
        <f>IF(MATCH(H202,Inherited!A:A),IF((((_xlfn.XLOOKUP(Assessment!#REF!,Inherited!A:A,Inherited!B:B))/100)*(_xlfn.XLOOKUP(Assessment!#REF!,Inherited!A:A,Inherited!D:D)))+(((100-(_xlfn.XLOOKUP(Assessment!#REF!,Inherited!A:A,Inherited!B:B)))/100)*IF(Y202="1.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(100%)","100"))))))&lt;=10,"0", IF(AND((((_xlfn.XLOOKUP(Assessment!#REF!,Inherited!A:A,Inherited!B:B))/100)*(_xlfn.XLOOKUP(Assessment!#REF!,Inherited!A:A,Inherited!D:D)))+(((100-(_xlfn.XLOOKUP(Assessment!#REF!,Inherited!A:A,Inherited!B:B)))/100)*IF(Y202="1.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(100%)","100"))))))&gt;=11,(((_xlfn.XLOOKUP(Assessment!#REF!,Inherited!A:A,Inherited!B:B))/100)*(_xlfn.XLOOKUP(Assessment!#REF!,Inherited!A:A,Inherited!D:D)))+(((100-(_xlfn.XLOOKUP(Assessment!#REF!,Inherited!A:A,Inherited!B:B)))/100)*IF(Y202="1.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(100%)","100"))))))&lt;=32),"25",IF(AND((((_xlfn.XLOOKUP(Assessment!#REF!,Inherited!A:A,Inherited!B:B))/100)*(_xlfn.XLOOKUP(Assessment!#REF!,Inherited!A:A,Inherited!D:D)))+(((100-(_xlfn.XLOOKUP(Assessment!#REF!,Inherited!A:A,Inherited!B:B)))/100)*IF(Y202="1.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(100%)","100"))))))&gt;=33,(((_xlfn.XLOOKUP(Assessment!#REF!,Inherited!A:A,Inherited!B:B))/100)*(_xlfn.XLOOKUP(Assessment!#REF!,Inherited!A:A,Inherited!D:D)))+(((100-(_xlfn.XLOOKUP(Assessment!#REF!,Inherited!A:A,Inherited!B:B)))/100)*IF(Y202="1.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(100%)","100"))))))&lt;=65),"50",IF(AND((((_xlfn.XLOOKUP(Assessment!#REF!,Inherited!A:A,Inherited!B:B))/100)*(_xlfn.XLOOKUP(Assessment!#REF!,Inherited!A:A,Inherited!D:D)))+(((100-(_xlfn.XLOOKUP(Assessment!#REF!,Inherited!A:A,Inherited!B:B)))/100)*IF(Y202="1.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(100%)","100"))))))&gt;=66,(((_xlfn.XLOOKUP(Assessment!#REF!,Inherited!A:A,Inherited!B:B))/100)*(_xlfn.XLOOKUP(Assessment!#REF!,Inherited!A:A,Inherited!D:D)))+(((100-(_xlfn.XLOOKUP(Assessment!#REF!,Inherited!A:A,Inherited!B:B)))/100)*IF(Y202="1.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(100%)","100"))))))&lt;=89),"75",IF((((_xlfn.XLOOKUP(Assessment!#REF!,Inherited!A:A,Inherited!B:B))/100)*(_xlfn.XLOOKUP(Assessment!#REF!,Inherited!A:A,Inherited!D:D)))+(((100-(_xlfn.XLOOKUP(Assessment!#REF!,Inherited!A:A,Inherited!B:B)))/100)*IF(Y202="1. Non Compliant (0%)","0",IF(Y202="2. Somewhat Compliant (25%)","25",IF(Y202="3. Partially Compliant (50%)","50",IF(Y202="4. Mostly Compliant (75%)","75",IF(Y202="5. Fully Compliant (100%)","100"))))))&gt;=90,"100"))))))</f>
        <v>#N/A</v>
      </c>
      <c r="S202" s="1" t="e">
        <f>IF(MATCH(H202,Inherited!A:A),IF((((_xlfn.XLOOKUP(Assessment!#REF!,Inherited!A:A,Inherited!B:B))/100)*(_xlfn.XLOOKUP(Assessment!#REF!,Inherited!A:A,Inherited!E:E)))+(((100-(_xlfn.XLOOKUP(Assessment!#REF!,Inherited!A:A,Inherited!B:B)))/100)*IF(Z202="1.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(100%)","100"))))))&lt;=10,"0", IF(AND((((_xlfn.XLOOKUP(Assessment!#REF!,Inherited!A:A,Inherited!B:B))/100)*(_xlfn.XLOOKUP(Assessment!#REF!,Inherited!A:A,Inherited!E:E)))+(((100-(_xlfn.XLOOKUP(Assessment!#REF!,Inherited!A:A,Inherited!B:B)))/100)*IF(Z202="1.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(100%)","100"))))))&gt;=11,(((_xlfn.XLOOKUP(Assessment!#REF!,Inherited!A:A,Inherited!B:B))/100)*(_xlfn.XLOOKUP(Assessment!#REF!,Inherited!A:A,Inherited!E:E)))+(((100-(_xlfn.XLOOKUP(Assessment!#REF!,Inherited!A:A,Inherited!B:B)))/100)*IF(Z202="1.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(100%)","100"))))))&lt;=32),"25",IF(AND((((_xlfn.XLOOKUP(Assessment!#REF!,Inherited!A:A,Inherited!B:B))/100)*(_xlfn.XLOOKUP(Assessment!#REF!,Inherited!A:A,Inherited!E:E)))+(((100-(_xlfn.XLOOKUP(Assessment!#REF!,Inherited!A:A,Inherited!B:B)))/100)*IF(Z202="1.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(100%)","100"))))))&gt;=33,(((_xlfn.XLOOKUP(Assessment!#REF!,Inherited!A:A,Inherited!B:B))/100)*(_xlfn.XLOOKUP(Assessment!#REF!,Inherited!A:A,Inherited!E:E)))+(((100-(_xlfn.XLOOKUP(Assessment!#REF!,Inherited!A:A,Inherited!B:B)))/100)*IF(Z202="1.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(100%)","100"))))))&lt;=65),"50",IF(AND((((_xlfn.XLOOKUP(Assessment!#REF!,Inherited!A:A,Inherited!B:B))/100)*(_xlfn.XLOOKUP(Assessment!#REF!,Inherited!A:A,Inherited!E:E)))+(((100-(_xlfn.XLOOKUP(Assessment!#REF!,Inherited!A:A,Inherited!B:B)))/100)*IF(Z202="1.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(100%)","100"))))))&gt;=66,(((_xlfn.XLOOKUP(Assessment!#REF!,Inherited!A:A,Inherited!B:B))/100)*(_xlfn.XLOOKUP(Assessment!#REF!,Inherited!A:A,Inherited!E:E)))+(((100-(_xlfn.XLOOKUP(Assessment!#REF!,Inherited!A:A,Inherited!B:B)))/100)*IF(Z202="1.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(100%)","100"))))))&lt;=89),"75",IF((((_xlfn.XLOOKUP(Assessment!#REF!,Inherited!A:A,Inherited!B:B))/100)*(_xlfn.XLOOKUP(Assessment!#REF!,Inherited!A:A,Inherited!E:E)))+(((100-(_xlfn.XLOOKUP(Assessment!#REF!,Inherited!A:A,Inherited!B:B)))/100)*IF(Z202="1. Non Compliant (0%)","0",IF(Z202="2. Somewhat Compliant (25%)","25",IF(Z202="3. Partially Compliant (50%)","50",IF(Z202="4. Mostly Compliant (75%)","75",IF(Z202="5. Fully Compliant (100%)","100"))))))&gt;=90,"100"))))))</f>
        <v>#N/A</v>
      </c>
      <c r="T202" s="1" t="e">
        <f>IF(MATCH(H202,Inherited!A:A),IF((((_xlfn.XLOOKUP(Assessment!#REF!,Inherited!A:A,Inherited!B:B))/100)*(_xlfn.XLOOKUP(Assessment!#REF!,Inherited!A:A,Inherited!F:F)))+(((100-(_xlfn.XLOOKUP(Assessment!#REF!,Inherited!A:A,Inherited!B:B)))/100)*IF(AA202="1.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(100%)","100"))))))&lt;=10,"0", IF(AND((((_xlfn.XLOOKUP(Assessment!#REF!,Inherited!A:A,Inherited!B:B))/100)*(_xlfn.XLOOKUP(Assessment!#REF!,Inherited!A:A,Inherited!F:F)))+(((100-(_xlfn.XLOOKUP(Assessment!#REF!,Inherited!A:A,Inherited!B:B)))/100)*IF(AA202="1.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(100%)","100"))))))&gt;=11,(((_xlfn.XLOOKUP(Assessment!#REF!,Inherited!A:A,Inherited!B:B))/100)*(_xlfn.XLOOKUP(Assessment!#REF!,Inherited!A:A,Inherited!F:F)))+(((100-(_xlfn.XLOOKUP(Assessment!#REF!,Inherited!A:A,Inherited!B:B)))/100)*IF(AA202="1.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(100%)","100"))))))&lt;=32),"25",IF(AND((((_xlfn.XLOOKUP(Assessment!#REF!,Inherited!A:A,Inherited!B:B))/100)*(_xlfn.XLOOKUP(Assessment!#REF!,Inherited!A:A,Inherited!F:F)))+(((100-(_xlfn.XLOOKUP(Assessment!#REF!,Inherited!A:A,Inherited!B:B)))/100)*IF(AA202="1.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(100%)","100"))))))&gt;=33,(((_xlfn.XLOOKUP(Assessment!#REF!,Inherited!A:A,Inherited!B:B))/100)*(_xlfn.XLOOKUP(Assessment!#REF!,Inherited!A:A,Inherited!F:F)))+(((100-(_xlfn.XLOOKUP(Assessment!#REF!,Inherited!A:A,Inherited!B:B)))/100)*IF(AA202="1.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(100%)","100"))))))&lt;=65),"50",IF(AND((((_xlfn.XLOOKUP(Assessment!#REF!,Inherited!A:A,Inherited!B:B))/100)*(_xlfn.XLOOKUP(Assessment!#REF!,Inherited!A:A,Inherited!F:F)))+(((100-(_xlfn.XLOOKUP(Assessment!#REF!,Inherited!A:A,Inherited!B:B)))/100)*IF(AA202="1.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(100%)","100"))))))&gt;=66,(((_xlfn.XLOOKUP(Assessment!#REF!,Inherited!A:A,Inherited!B:B))/100)*(_xlfn.XLOOKUP(Assessment!#REF!,Inherited!A:A,Inherited!F:F)))+(((100-(_xlfn.XLOOKUP(Assessment!#REF!,Inherited!A:A,Inherited!B:B)))/100)*IF(AA202="1.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(100%)","100"))))))&lt;=89),"75",IF((((_xlfn.XLOOKUP(Assessment!#REF!,Inherited!A:A,Inherited!B:B))/100)*(_xlfn.XLOOKUP(Assessment!#REF!,Inherited!A:A,Inherited!F:F)))+(((100-(_xlfn.XLOOKUP(Assessment!#REF!,Inherited!A:A,Inherited!B:B)))/100)*IF(AA202="1. Non Compliant (0%)","0",IF(AA202="2. Somewhat Compliant (25%)","25",IF(AA202="3. Partially Compliant (50%)","50",IF(AA202="4. Mostly Compliant (75%)","75",IF(AA202="5. Fully Compliant (100%)","100"))))))&gt;=90,"100"))))))</f>
        <v>#N/A</v>
      </c>
      <c r="U202" s="1" t="e">
        <f>IF(MATCH(H202,Inherited!A:A),IF((((_xlfn.XLOOKUP(Assessment!#REF!,Inherited!A:A,Inherited!B:B))/100)*(_xlfn.XLOOKUP(Assessment!#REF!,Inherited!A:A,Inherited!G:G)))+(((100-(_xlfn.XLOOKUP(Assessment!#REF!,Inherited!A:A,Inherited!B:B)))/100)*IF(AB202="1.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(100%)","100"))))))&lt;=10,"0", IF(AND((((_xlfn.XLOOKUP(Assessment!#REF!,Inherited!A:A,Inherited!B:B))/100)*(_xlfn.XLOOKUP(Assessment!#REF!,Inherited!A:A,Inherited!G:G)))+(((100-(_xlfn.XLOOKUP(Assessment!#REF!,Inherited!A:A,Inherited!B:B)))/100)*IF(AB202="1.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(100%)","100"))))))&gt;=11,(((_xlfn.XLOOKUP(Assessment!#REF!,Inherited!A:A,Inherited!B:B))/100)*(_xlfn.XLOOKUP(Assessment!#REF!,Inherited!A:A,Inherited!G:G)))+(((100-(_xlfn.XLOOKUP(Assessment!#REF!,Inherited!A:A,Inherited!B:B)))/100)*IF(AB202="1.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(100%)","100"))))))&lt;=32),"25",IF(AND((((_xlfn.XLOOKUP(Assessment!#REF!,Inherited!A:A,Inherited!B:B))/100)*(_xlfn.XLOOKUP(Assessment!#REF!,Inherited!A:A,Inherited!G:G)))+(((100-(_xlfn.XLOOKUP(Assessment!#REF!,Inherited!A:A,Inherited!B:B)))/100)*IF(AB202="1.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(100%)","100"))))))&gt;=33,(((_xlfn.XLOOKUP(Assessment!#REF!,Inherited!A:A,Inherited!B:B))/100)*(_xlfn.XLOOKUP(Assessment!#REF!,Inherited!A:A,Inherited!G:G)))+(((100-(_xlfn.XLOOKUP(Assessment!#REF!,Inherited!A:A,Inherited!B:B)))/100)*IF(AB202="1.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(100%)","100"))))))&lt;=65),"50",IF(AND((((_xlfn.XLOOKUP(Assessment!#REF!,Inherited!A:A,Inherited!B:B))/100)*(_xlfn.XLOOKUP(Assessment!#REF!,Inherited!A:A,Inherited!G:G)))+(((100-(_xlfn.XLOOKUP(Assessment!#REF!,Inherited!A:A,Inherited!B:B)))/100)*IF(AB202="1.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(100%)","100"))))))&gt;=66,(((_xlfn.XLOOKUP(Assessment!#REF!,Inherited!A:A,Inherited!B:B))/100)*(_xlfn.XLOOKUP(Assessment!#REF!,Inherited!A:A,Inherited!G:G)))+(((100-(_xlfn.XLOOKUP(Assessment!#REF!,Inherited!A:A,Inherited!B:B)))/100)*IF(AB202="1.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(100%)","100"))))))&lt;=89),"75",IF((((_xlfn.XLOOKUP(Assessment!#REF!,Inherited!A:A,Inherited!B:B))/100)*(_xlfn.XLOOKUP(Assessment!#REF!,Inherited!A:A,Inherited!G:G)))+(((100-(_xlfn.XLOOKUP(Assessment!#REF!,Inherited!A:A,Inherited!B:B)))/100)*IF(AB202="1. Non Compliant (0%)","0",IF(AB202="2. Somewhat Compliant (25%)","25",IF(AB202="3. Partially Compliant (50%)","50",IF(AB202="4. Mostly Compliant (75%)","75",IF(AB202="5. Fully Compliant (100%)","100"))))))&gt;=90,"100"))))))</f>
        <v>#N/A</v>
      </c>
      <c r="V202" s="55" t="s">
        <v>85</v>
      </c>
      <c r="W202" s="55"/>
      <c r="X202" s="55"/>
      <c r="Y202" s="55"/>
      <c r="Z202" s="55"/>
      <c r="AA202" s="55"/>
      <c r="AB202" s="55"/>
      <c r="AP202" s="1" t="s">
        <v>10976</v>
      </c>
      <c r="AX202" s="3" t="str">
        <f>_xlfn.CONCAT("A-LIGN finished its review of this control on ",AR202, " during the scheduled fieldwork window (",Intro!$B$4,")."&amp; CHAR(10)&amp; CHAR(10))</f>
        <v xml:space="preserve">A-LIGN finished its review of this control on  during the scheduled fieldwork window (Fieldwork: xx/xx/xxxx - xx/xx/xxxx).
</v>
      </c>
      <c r="AY202" s="3" t="str">
        <f t="shared" si="401"/>
        <v/>
      </c>
      <c r="AZ202" s="3" t="str">
        <f t="shared" si="402"/>
        <v/>
      </c>
      <c r="BA202" s="3" t="str">
        <f t="shared" si="403"/>
        <v/>
      </c>
      <c r="BB202" s="3" t="str">
        <f t="shared" si="404"/>
        <v/>
      </c>
      <c r="BC202" s="3" t="str">
        <f t="shared" si="405"/>
        <v/>
      </c>
      <c r="BD202" s="3" t="str">
        <f t="shared" si="406"/>
        <v xml:space="preserve">Examined the following evidence during fieldwork:
Reviewed evidence addressed the requirement statement.
Reviewed evidence exception note: 
Gap: 
</v>
      </c>
      <c r="BE202" s="3" t="str">
        <f t="shared" si="407"/>
        <v/>
      </c>
      <c r="BF202" s="3" t="str">
        <f t="shared" si="408"/>
        <v/>
      </c>
      <c r="BG202" s="3" t="str">
        <f>_xlfn.CONCAT((IF((COUNTIF('Sample Tables'!B:B,"")&gt;0)=TRUE,_xlfn.CONCAT("",""),IF((COUNTIF('Sample Tables'!B:B,"")&gt;0)=FALSE,""))),)</f>
        <v/>
      </c>
      <c r="BH202" s="3" t="str">
        <f t="shared" si="409"/>
        <v xml:space="preserve">A-LIGN finished its review of this control on  during the scheduled fieldwork window (Fieldwork: xx/xx/xxxx - xx/xx/xxxx).
Examined the following evidence during fieldwork:
Reviewed evidence addressed the requirement statement.
Reviewed evidence exception note: 
Gap: 
</v>
      </c>
    </row>
    <row r="203" spans="3:60" ht="275" x14ac:dyDescent="0.35">
      <c r="C203" s="1">
        <f t="shared" ref="C203" si="410">IF(V203="No","Not Applicable",(IF(X203="1. Non Compliant (0%)","0",IF(X203="2. Somewhat Compliant (25%)","25",IF(X203="3. Partially Compliant (50%)","50",IF(X203="4. Mostly Compliant (75%)","75",IF(X203="5. Fully Compliant (100%)","100")))))*0.15)+((IF(Y203="1. Non Compliant (0%)","0",IF(Y203="2. Somewhat Compliant (25%)","25",IF(Y203="3. Partially Compliant (50%)","50",IF(Y203="4. Mostly Compliant (75%)","75",IF(Y203="5. Fully Compliant (100%)","100"))))))*0.2)+(IF(Z203="1. Non Compliant (0%)","0",IF(Z203="2. Somewhat Compliant (25%)","25",IF(Z203="3. Partially Compliant (50%)","50",IF(Z203="4. Mostly Compliant (75%)","75",IF(Z203="5. Fully Compliant (100%)","100")))))*0.4)+(IF(AA203="1. Non Compliant (0%)","0",IF(AA203="2. Somewhat Compliant (25%)","25",IF(AA203="3. Partially Compliant (50%)","50",IF(AA203="4. Mostly Compliant (75%)","75",IF(AA203="5. Fully Compliant (100%)","100")))))*0.1)+(IF(AB203="1. Non Compliant (0%)","0",IF(AB203="2. Somewhat Compliant (25%)","25",IF(AB203="3. Partially Compliant (50%)","50",IF(AB203="4. Mostly Compliant (75%)","75",IF(AB203="5. Fully Compliant (100%)","100")))))*0.15))</f>
        <v>20</v>
      </c>
      <c r="D203" s="5" t="str">
        <f>IF(AND((_xlfn.XLOOKUP(J203,'Fields &amp; Revisions'!$H:$H,'Fields &amp; Revisions'!$I:$I))&lt;70.99,(OR(Z203="4. Mostly Compliant (75%)",Z203="3. Partially Compliant (50%)",Z203="2. Somewhat Compliant (25%)",Z203="1. Non Compliant (0%)"))),"Yes","No")</f>
        <v>Yes</v>
      </c>
      <c r="E203" s="5" t="str">
        <f>IF(ISERROR(VLOOKUP(H203,Scope!A:A,1,FALSE)),"No","Yes")</f>
        <v>Yes</v>
      </c>
      <c r="F203" s="1" t="s">
        <v>5677</v>
      </c>
      <c r="G203" s="53" t="s">
        <v>6200</v>
      </c>
      <c r="H203" s="53" t="s">
        <v>6201</v>
      </c>
      <c r="I203" s="5">
        <v>1</v>
      </c>
      <c r="J203" s="1" t="s">
        <v>5687</v>
      </c>
      <c r="K203" s="1" t="s">
        <v>6202</v>
      </c>
      <c r="L203" s="1" t="s">
        <v>6203</v>
      </c>
      <c r="M203" s="1" t="s">
        <v>6204</v>
      </c>
      <c r="N203" s="5" t="s">
        <v>85</v>
      </c>
      <c r="O203" s="1" t="str">
        <f>_xlfn.XLOOKUP(G203,SRMs!$A:$A,SRMs!$D:$D)</f>
        <v>PARTIAL INHERITANCE</v>
      </c>
      <c r="P203" s="1" t="str">
        <f>IFERROR(VLOOKUP(H203,Inherited!A:B,2,FALSE),"")</f>
        <v/>
      </c>
      <c r="Q203" s="1" t="e">
        <f>IF(MATCH(H203,Inherited!A:A),IF((((_xlfn.XLOOKUP(Assessment!#REF!,Inherited!A:A,Inherited!B:B))/100)*(_xlfn.XLOOKUP(Assessment!#REF!,Inherited!A:A,Inherited!C:C)))+(((100-(_xlfn.XLOOKUP(Assessment!#REF!,Inherited!A:A,Inherited!B:B)))/100)*IF(X203="1.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(100%)","100"))))))&lt;=10,"0", IF(AND((((_xlfn.XLOOKUP(Assessment!#REF!,Inherited!A:A,Inherited!B:B))/100)*(_xlfn.XLOOKUP(Assessment!#REF!,Inherited!A:A,Inherited!C:C)))+(((100-(_xlfn.XLOOKUP(Assessment!#REF!,Inherited!A:A,Inherited!B:B)))/100)*IF(X203="1.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(100%)","100"))))))&gt;=11,(((_xlfn.XLOOKUP(Assessment!#REF!,Inherited!A:A,Inherited!B:B))/100)*(_xlfn.XLOOKUP(Assessment!#REF!,Inherited!A:A,Inherited!C:C)))+(((100-(_xlfn.XLOOKUP(Assessment!#REF!,Inherited!A:A,Inherited!B:B)))/100)*IF(X203="1.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(100%)","100"))))))&lt;=32),"25",IF(AND((((_xlfn.XLOOKUP(Assessment!#REF!,Inherited!A:A,Inherited!B:B))/100)*(_xlfn.XLOOKUP(Assessment!#REF!,Inherited!A:A,Inherited!C:C)))+(((100-(_xlfn.XLOOKUP(Assessment!#REF!,Inherited!A:A,Inherited!B:B)))/100)*IF(X203="1.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(100%)","100"))))))&gt;=33,(((_xlfn.XLOOKUP(Assessment!#REF!,Inherited!A:A,Inherited!B:B))/100)*(_xlfn.XLOOKUP(Assessment!#REF!,Inherited!A:A,Inherited!C:C)))+(((100-(_xlfn.XLOOKUP(Assessment!#REF!,Inherited!A:A,Inherited!B:B)))/100)*IF(X203="1.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(100%)","100"))))))&lt;=65),"50",IF(AND((((_xlfn.XLOOKUP(Assessment!#REF!,Inherited!A:A,Inherited!B:B))/100)*(_xlfn.XLOOKUP(Assessment!#REF!,Inherited!A:A,Inherited!C:C)))+(((100-(_xlfn.XLOOKUP(Assessment!#REF!,Inherited!A:A,Inherited!B:B)))/100)*IF(X203="1.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(100%)","100"))))))&gt;=66,(((_xlfn.XLOOKUP(Assessment!#REF!,Inherited!A:A,Inherited!B:B))/100)*(_xlfn.XLOOKUP(Assessment!#REF!,Inherited!A:A,Inherited!C:C)))+(((100-(_xlfn.XLOOKUP(Assessment!#REF!,Inherited!A:A,Inherited!B:B)))/100)*IF(X203="1.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(100%)","100"))))))&lt;=89),"75",IF((((_xlfn.XLOOKUP(Assessment!#REF!,Inherited!A:A,Inherited!B:B))/100)*(_xlfn.XLOOKUP(Assessment!#REF!,Inherited!A:A,Inherited!C:C)))+(((100-(_xlfn.XLOOKUP(Assessment!#REF!,Inherited!A:A,Inherited!B:B)))/100)*IF(X203="1. Non Compliant (0%)","0",IF(X203="2. Somewhat Compliant (25%)","25",IF(X203="3. Partially Compliant (50%)","50",IF(X203="4. Mostly Compliant (75%)","75",IF(X203="5. Fully Compliant (100%)","100"))))))&gt;=90,"100"))))))</f>
        <v>#N/A</v>
      </c>
      <c r="R203" s="1" t="e">
        <f>IF(MATCH(H203,Inherited!A:A),IF((((_xlfn.XLOOKUP(Assessment!#REF!,Inherited!A:A,Inherited!B:B))/100)*(_xlfn.XLOOKUP(Assessment!#REF!,Inherited!A:A,Inherited!D:D)))+(((100-(_xlfn.XLOOKUP(Assessment!#REF!,Inherited!A:A,Inherited!B:B)))/100)*IF(Y203="1.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(100%)","100"))))))&lt;=10,"0", IF(AND((((_xlfn.XLOOKUP(Assessment!#REF!,Inherited!A:A,Inherited!B:B))/100)*(_xlfn.XLOOKUP(Assessment!#REF!,Inherited!A:A,Inherited!D:D)))+(((100-(_xlfn.XLOOKUP(Assessment!#REF!,Inherited!A:A,Inherited!B:B)))/100)*IF(Y203="1.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(100%)","100"))))))&gt;=11,(((_xlfn.XLOOKUP(Assessment!#REF!,Inherited!A:A,Inherited!B:B))/100)*(_xlfn.XLOOKUP(Assessment!#REF!,Inherited!A:A,Inherited!D:D)))+(((100-(_xlfn.XLOOKUP(Assessment!#REF!,Inherited!A:A,Inherited!B:B)))/100)*IF(Y203="1.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(100%)","100"))))))&lt;=32),"25",IF(AND((((_xlfn.XLOOKUP(Assessment!#REF!,Inherited!A:A,Inherited!B:B))/100)*(_xlfn.XLOOKUP(Assessment!#REF!,Inherited!A:A,Inherited!D:D)))+(((100-(_xlfn.XLOOKUP(Assessment!#REF!,Inherited!A:A,Inherited!B:B)))/100)*IF(Y203="1.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(100%)","100"))))))&gt;=33,(((_xlfn.XLOOKUP(Assessment!#REF!,Inherited!A:A,Inherited!B:B))/100)*(_xlfn.XLOOKUP(Assessment!#REF!,Inherited!A:A,Inherited!D:D)))+(((100-(_xlfn.XLOOKUP(Assessment!#REF!,Inherited!A:A,Inherited!B:B)))/100)*IF(Y203="1.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(100%)","100"))))))&lt;=65),"50",IF(AND((((_xlfn.XLOOKUP(Assessment!#REF!,Inherited!A:A,Inherited!B:B))/100)*(_xlfn.XLOOKUP(Assessment!#REF!,Inherited!A:A,Inherited!D:D)))+(((100-(_xlfn.XLOOKUP(Assessment!#REF!,Inherited!A:A,Inherited!B:B)))/100)*IF(Y203="1.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(100%)","100"))))))&gt;=66,(((_xlfn.XLOOKUP(Assessment!#REF!,Inherited!A:A,Inherited!B:B))/100)*(_xlfn.XLOOKUP(Assessment!#REF!,Inherited!A:A,Inherited!D:D)))+(((100-(_xlfn.XLOOKUP(Assessment!#REF!,Inherited!A:A,Inherited!B:B)))/100)*IF(Y203="1.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(100%)","100"))))))&lt;=89),"75",IF((((_xlfn.XLOOKUP(Assessment!#REF!,Inherited!A:A,Inherited!B:B))/100)*(_xlfn.XLOOKUP(Assessment!#REF!,Inherited!A:A,Inherited!D:D)))+(((100-(_xlfn.XLOOKUP(Assessment!#REF!,Inherited!A:A,Inherited!B:B)))/100)*IF(Y203="1. Non Compliant (0%)","0",IF(Y203="2. Somewhat Compliant (25%)","25",IF(Y203="3. Partially Compliant (50%)","50",IF(Y203="4. Mostly Compliant (75%)","75",IF(Y203="5. Fully Compliant (100%)","100"))))))&gt;=90,"100"))))))</f>
        <v>#N/A</v>
      </c>
      <c r="S203" s="1" t="e">
        <f>IF(MATCH(H203,Inherited!A:A),IF((((_xlfn.XLOOKUP(Assessment!#REF!,Inherited!A:A,Inherited!B:B))/100)*(_xlfn.XLOOKUP(Assessment!#REF!,Inherited!A:A,Inherited!E:E)))+(((100-(_xlfn.XLOOKUP(Assessment!#REF!,Inherited!A:A,Inherited!B:B)))/100)*IF(Z203="1.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(100%)","100"))))))&lt;=10,"0", IF(AND((((_xlfn.XLOOKUP(Assessment!#REF!,Inherited!A:A,Inherited!B:B))/100)*(_xlfn.XLOOKUP(Assessment!#REF!,Inherited!A:A,Inherited!E:E)))+(((100-(_xlfn.XLOOKUP(Assessment!#REF!,Inherited!A:A,Inherited!B:B)))/100)*IF(Z203="1.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(100%)","100"))))))&gt;=11,(((_xlfn.XLOOKUP(Assessment!#REF!,Inherited!A:A,Inherited!B:B))/100)*(_xlfn.XLOOKUP(Assessment!#REF!,Inherited!A:A,Inherited!E:E)))+(((100-(_xlfn.XLOOKUP(Assessment!#REF!,Inherited!A:A,Inherited!B:B)))/100)*IF(Z203="1.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(100%)","100"))))))&lt;=32),"25",IF(AND((((_xlfn.XLOOKUP(Assessment!#REF!,Inherited!A:A,Inherited!B:B))/100)*(_xlfn.XLOOKUP(Assessment!#REF!,Inherited!A:A,Inherited!E:E)))+(((100-(_xlfn.XLOOKUP(Assessment!#REF!,Inherited!A:A,Inherited!B:B)))/100)*IF(Z203="1.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(100%)","100"))))))&gt;=33,(((_xlfn.XLOOKUP(Assessment!#REF!,Inherited!A:A,Inherited!B:B))/100)*(_xlfn.XLOOKUP(Assessment!#REF!,Inherited!A:A,Inherited!E:E)))+(((100-(_xlfn.XLOOKUP(Assessment!#REF!,Inherited!A:A,Inherited!B:B)))/100)*IF(Z203="1.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(100%)","100"))))))&lt;=65),"50",IF(AND((((_xlfn.XLOOKUP(Assessment!#REF!,Inherited!A:A,Inherited!B:B))/100)*(_xlfn.XLOOKUP(Assessment!#REF!,Inherited!A:A,Inherited!E:E)))+(((100-(_xlfn.XLOOKUP(Assessment!#REF!,Inherited!A:A,Inherited!B:B)))/100)*IF(Z203="1.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(100%)","100"))))))&gt;=66,(((_xlfn.XLOOKUP(Assessment!#REF!,Inherited!A:A,Inherited!B:B))/100)*(_xlfn.XLOOKUP(Assessment!#REF!,Inherited!A:A,Inherited!E:E)))+(((100-(_xlfn.XLOOKUP(Assessment!#REF!,Inherited!A:A,Inherited!B:B)))/100)*IF(Z203="1.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(100%)","100"))))))&lt;=89),"75",IF((((_xlfn.XLOOKUP(Assessment!#REF!,Inherited!A:A,Inherited!B:B))/100)*(_xlfn.XLOOKUP(Assessment!#REF!,Inherited!A:A,Inherited!E:E)))+(((100-(_xlfn.XLOOKUP(Assessment!#REF!,Inherited!A:A,Inherited!B:B)))/100)*IF(Z203="1. Non Compliant (0%)","0",IF(Z203="2. Somewhat Compliant (25%)","25",IF(Z203="3. Partially Compliant (50%)","50",IF(Z203="4. Mostly Compliant (75%)","75",IF(Z203="5. Fully Compliant (100%)","100"))))))&gt;=90,"100"))))))</f>
        <v>#N/A</v>
      </c>
      <c r="T203" s="1" t="e">
        <f>IF(MATCH(H203,Inherited!A:A),IF((((_xlfn.XLOOKUP(Assessment!#REF!,Inherited!A:A,Inherited!B:B))/100)*(_xlfn.XLOOKUP(Assessment!#REF!,Inherited!A:A,Inherited!F:F)))+(((100-(_xlfn.XLOOKUP(Assessment!#REF!,Inherited!A:A,Inherited!B:B)))/100)*IF(AA203="1.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(100%)","100"))))))&lt;=10,"0", IF(AND((((_xlfn.XLOOKUP(Assessment!#REF!,Inherited!A:A,Inherited!B:B))/100)*(_xlfn.XLOOKUP(Assessment!#REF!,Inherited!A:A,Inherited!F:F)))+(((100-(_xlfn.XLOOKUP(Assessment!#REF!,Inherited!A:A,Inherited!B:B)))/100)*IF(AA203="1.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(100%)","100"))))))&gt;=11,(((_xlfn.XLOOKUP(Assessment!#REF!,Inherited!A:A,Inherited!B:B))/100)*(_xlfn.XLOOKUP(Assessment!#REF!,Inherited!A:A,Inherited!F:F)))+(((100-(_xlfn.XLOOKUP(Assessment!#REF!,Inherited!A:A,Inherited!B:B)))/100)*IF(AA203="1.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(100%)","100"))))))&lt;=32),"25",IF(AND((((_xlfn.XLOOKUP(Assessment!#REF!,Inherited!A:A,Inherited!B:B))/100)*(_xlfn.XLOOKUP(Assessment!#REF!,Inherited!A:A,Inherited!F:F)))+(((100-(_xlfn.XLOOKUP(Assessment!#REF!,Inherited!A:A,Inherited!B:B)))/100)*IF(AA203="1.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(100%)","100"))))))&gt;=33,(((_xlfn.XLOOKUP(Assessment!#REF!,Inherited!A:A,Inherited!B:B))/100)*(_xlfn.XLOOKUP(Assessment!#REF!,Inherited!A:A,Inherited!F:F)))+(((100-(_xlfn.XLOOKUP(Assessment!#REF!,Inherited!A:A,Inherited!B:B)))/100)*IF(AA203="1.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(100%)","100"))))))&lt;=65),"50",IF(AND((((_xlfn.XLOOKUP(Assessment!#REF!,Inherited!A:A,Inherited!B:B))/100)*(_xlfn.XLOOKUP(Assessment!#REF!,Inherited!A:A,Inherited!F:F)))+(((100-(_xlfn.XLOOKUP(Assessment!#REF!,Inherited!A:A,Inherited!B:B)))/100)*IF(AA203="1.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(100%)","100"))))))&gt;=66,(((_xlfn.XLOOKUP(Assessment!#REF!,Inherited!A:A,Inherited!B:B))/100)*(_xlfn.XLOOKUP(Assessment!#REF!,Inherited!A:A,Inherited!F:F)))+(((100-(_xlfn.XLOOKUP(Assessment!#REF!,Inherited!A:A,Inherited!B:B)))/100)*IF(AA203="1.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(100%)","100"))))))&lt;=89),"75",IF((((_xlfn.XLOOKUP(Assessment!#REF!,Inherited!A:A,Inherited!B:B))/100)*(_xlfn.XLOOKUP(Assessment!#REF!,Inherited!A:A,Inherited!F:F)))+(((100-(_xlfn.XLOOKUP(Assessment!#REF!,Inherited!A:A,Inherited!B:B)))/100)*IF(AA203="1. Non Compliant (0%)","0",IF(AA203="2. Somewhat Compliant (25%)","25",IF(AA203="3. Partially Compliant (50%)","50",IF(AA203="4. Mostly Compliant (75%)","75",IF(AA203="5. Fully Compliant (100%)","100"))))))&gt;=90,"100"))))))</f>
        <v>#N/A</v>
      </c>
      <c r="U203" s="1" t="e">
        <f>IF(MATCH(H203,Inherited!A:A),IF((((_xlfn.XLOOKUP(Assessment!#REF!,Inherited!A:A,Inherited!B:B))/100)*(_xlfn.XLOOKUP(Assessment!#REF!,Inherited!A:A,Inherited!G:G)))+(((100-(_xlfn.XLOOKUP(Assessment!#REF!,Inherited!A:A,Inherited!B:B)))/100)*IF(AB203="1.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(100%)","100"))))))&lt;=10,"0", IF(AND((((_xlfn.XLOOKUP(Assessment!#REF!,Inherited!A:A,Inherited!B:B))/100)*(_xlfn.XLOOKUP(Assessment!#REF!,Inherited!A:A,Inherited!G:G)))+(((100-(_xlfn.XLOOKUP(Assessment!#REF!,Inherited!A:A,Inherited!B:B)))/100)*IF(AB203="1.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(100%)","100"))))))&gt;=11,(((_xlfn.XLOOKUP(Assessment!#REF!,Inherited!A:A,Inherited!B:B))/100)*(_xlfn.XLOOKUP(Assessment!#REF!,Inherited!A:A,Inherited!G:G)))+(((100-(_xlfn.XLOOKUP(Assessment!#REF!,Inherited!A:A,Inherited!B:B)))/100)*IF(AB203="1.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(100%)","100"))))))&lt;=32),"25",IF(AND((((_xlfn.XLOOKUP(Assessment!#REF!,Inherited!A:A,Inherited!B:B))/100)*(_xlfn.XLOOKUP(Assessment!#REF!,Inherited!A:A,Inherited!G:G)))+(((100-(_xlfn.XLOOKUP(Assessment!#REF!,Inherited!A:A,Inherited!B:B)))/100)*IF(AB203="1.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(100%)","100"))))))&gt;=33,(((_xlfn.XLOOKUP(Assessment!#REF!,Inherited!A:A,Inherited!B:B))/100)*(_xlfn.XLOOKUP(Assessment!#REF!,Inherited!A:A,Inherited!G:G)))+(((100-(_xlfn.XLOOKUP(Assessment!#REF!,Inherited!A:A,Inherited!B:B)))/100)*IF(AB203="1.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(100%)","100"))))))&lt;=65),"50",IF(AND((((_xlfn.XLOOKUP(Assessment!#REF!,Inherited!A:A,Inherited!B:B))/100)*(_xlfn.XLOOKUP(Assessment!#REF!,Inherited!A:A,Inherited!G:G)))+(((100-(_xlfn.XLOOKUP(Assessment!#REF!,Inherited!A:A,Inherited!B:B)))/100)*IF(AB203="1.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(100%)","100"))))))&gt;=66,(((_xlfn.XLOOKUP(Assessment!#REF!,Inherited!A:A,Inherited!B:B))/100)*(_xlfn.XLOOKUP(Assessment!#REF!,Inherited!A:A,Inherited!G:G)))+(((100-(_xlfn.XLOOKUP(Assessment!#REF!,Inherited!A:A,Inherited!B:B)))/100)*IF(AB203="1.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(100%)","100"))))))&lt;=89),"75",IF((((_xlfn.XLOOKUP(Assessment!#REF!,Inherited!A:A,Inherited!B:B))/100)*(_xlfn.XLOOKUP(Assessment!#REF!,Inherited!A:A,Inherited!G:G)))+(((100-(_xlfn.XLOOKUP(Assessment!#REF!,Inherited!A:A,Inherited!B:B)))/100)*IF(AB203="1. Non Compliant (0%)","0",IF(AB203="2. Somewhat Compliant (25%)","25",IF(AB203="3. Partially Compliant (50%)","50",IF(AB203="4. Mostly Compliant (75%)","75",IF(AB203="5. Fully Compliant (100%)","100"))))))&gt;=90,"100"))))))</f>
        <v>#N/A</v>
      </c>
      <c r="V203" s="55" t="s">
        <v>85</v>
      </c>
      <c r="W203" s="55"/>
      <c r="X203" s="55"/>
      <c r="Y203" s="55"/>
      <c r="Z203" s="55" t="s">
        <v>88</v>
      </c>
      <c r="AA203" s="55"/>
      <c r="AB203" s="55"/>
      <c r="AL203" s="1" t="s">
        <v>11032</v>
      </c>
      <c r="AP203" s="1" t="s">
        <v>11138</v>
      </c>
      <c r="AX203" s="3" t="str">
        <f>_xlfn.CONCAT("A-LIGN finished its review of this control on ",AR203, " during the scheduled fieldwork window (",Intro!$B$4,")."&amp; CHAR(10)&amp; CHAR(10))</f>
        <v xml:space="preserve">A-LIGN finished its review of this control on  during the scheduled fieldwork window (Fieldwork: xx/xx/xxxx - xx/xx/xxxx).
</v>
      </c>
      <c r="AY203" s="3" t="str">
        <f t="shared" ref="AY203" si="411">IF(AQ203&lt;&gt;"",(_xlfn.CONCAT("Inheritance note: "&amp; CHAR(10),AQ203&amp; CHAR(10)&amp; CHAR(10))),"")</f>
        <v/>
      </c>
      <c r="AZ203" s="3" t="str">
        <f t="shared" ref="AZ203" si="412">IFERROR(IF(AD203&lt;&gt;"",_xlfn.CONCAT("Examined the following policy during fieldwork:"&amp; CHAR(10),AD203&amp; CHAR(10)&amp; CHAR(10),IF(AND(X203&lt;&gt;"5. Fully Compliant (100%)",AE203&lt;&gt;""),"Reviewed policy exception note:"&amp; CHAR(10) &amp; AE203 &amp; CHAR(10) &amp; CHAR(10),"")),""),"")</f>
        <v/>
      </c>
      <c r="BA203" s="3" t="str">
        <f t="shared" ref="BA203" si="413">IFERROR(IF(AH203&lt;&gt;"",_xlfn.CONCAT("Examined the following process during fieldwork:"&amp; CHAR(10),AH203&amp; CHAR(10)&amp; CHAR(10),IF(AND(Y203&lt;&gt;"5. Fully Compliant (100%)",AI203&lt;&gt;""),"Reviewed process exception note:"&amp; CHAR(10) &amp; AI203 &amp; CHAR(10) &amp; CHAR(10),"")),""),"")</f>
        <v/>
      </c>
      <c r="BB203" s="3" t="str">
        <f t="shared" ref="BB203" si="414">IF(AK203&lt;&gt;"",(_xlfn.CONCAT("Inquired of the following workforce member: "&amp; CHAR(10),AK203&amp; CHAR(10)&amp; CHAR(10),"Inquiry lead to the following conclusions: "&amp; CHAR(10),AL203&amp; CHAR(10) &amp; CHAR(10))),"")</f>
        <v/>
      </c>
      <c r="BC203" s="3" t="str">
        <f t="shared" ref="BC203" si="415">IF(AM203&lt;&gt;"",(_xlfn.CONCAT("Observed the following live during fieldwork: "&amp; CHAR(10),AM203&amp; CHAR(10) &amp; CHAR(10))),"")</f>
        <v/>
      </c>
      <c r="BD203" s="3" t="str">
        <f t="shared" ref="BD203" si="416">_xlfn.CONCAT("Examined the following evidence during fieldwork:"&amp; CHAR(10),AN203&amp; CHAR(10)&amp; CHAR(10),IF(AO203&lt;&gt;"","Reviewed evidence note:"&amp; CHAR(10)&amp;AO203&amp; CHAR(10) &amp; CHAR(10),"Reviewed evidence addressed the requirement statement."&amp; CHAR(10) &amp; CHAR(10)),IF(AND(AP203&lt;&gt;"5. Fully Compliant (100%)",AP203&lt;&gt;""),"Reviewed evidence exception note: "&amp; CHAR(10) &amp; AP203 &amp; CHAR(10) &amp; CHAR(10),""))</f>
        <v xml:space="preserve">Examined the following evidence during fieldwork:
Reviewed evidence addressed the requirement statement.
Reviewed evidence exception note: 
Gap: Open Source change management not currently in place. 
Recommendation: Management should ensure that a streamlined change management process for any type of approved open source software is implemented.
</v>
      </c>
      <c r="BE203" s="3" t="str">
        <f t="shared" ref="BE203" si="417">IF(AT203&lt;&gt;"",(_xlfn.CONCAT("Examined the following measure/metric during fieldwork:"&amp; CHAR(10),AT203&amp; CHAR(10)&amp; CHAR(10),"Reviewed measure/metric note:"&amp; CHAR(10),AU203 &amp; CHAR(10) &amp; CHAR(10))),"")</f>
        <v/>
      </c>
      <c r="BF203" s="3" t="str">
        <f t="shared" ref="BF203" si="418">IF(AV203&lt;&gt;"",(_xlfn.CONCAT("Examined the following measure/metric management during fieldwork:"&amp; CHAR(10),AV203&amp; CHAR(10)&amp; CHAR(10),"Reviewed measure/metric management note:"&amp; CHAR(10),AW203 &amp; CHAR(10) &amp; CHAR(10))),"")</f>
        <v/>
      </c>
      <c r="BG203" s="3" t="str">
        <f>_xlfn.CONCAT((IF((COUNTIF('Sample Tables'!B:B,"Test 018: Application (open source)")&gt;0)=TRUE,_xlfn.CONCAT("Sample test results are documented in ",'Sample Tables'!B194," [",'Sample Tables'!B195,", ",'Sample Tables'!B196,", ",'Sample Tables'!B197,", ",'Sample Tables'!B198,", ",'Sample Tables'!B199,"]."&amp;CHAR(10)),IF((COUNTIF('Sample Tables'!B:B,"Test 018: Application (open source)")&gt;0)=FALSE,""))),)</f>
        <v xml:space="preserve">Sample test results are documented in Test 018: Application (open source) [Population Source/Tool: , Population Date Range: , Population Size: , Sample Methodology: , Sample Size: ].
</v>
      </c>
      <c r="BH203" s="3" t="str">
        <f t="shared" ref="BH203" si="419">IF(V203="No","Not Applicable: "&amp;W203,(_xlfn.CONCAT(AX203,AY203,AZ203,BA203,BB203,BC203,BD203,BE203,BF203,BG203)))</f>
        <v xml:space="preserve">A-LIGN finished its review of this control on  during the scheduled fieldwork window (Fieldwork: xx/xx/xxxx - xx/xx/xxxx).
Examined the following evidence during fieldwork:
Reviewed evidence addressed the requirement statement.
Reviewed evidence exception note: 
Gap: Open Source change management not currently in place. 
Recommendation: Management should ensure that a streamlined change management process for any type of approved open source software is implemented.
Sample test results are documented in Test 018: Application (open source) [Population Source/Tool: , Population Date Range: , Population Size: , Sample Methodology: , Sample Size: ].
</v>
      </c>
    </row>
    <row r="204" spans="3:60" ht="187.5" x14ac:dyDescent="0.35">
      <c r="C204" s="1">
        <f t="shared" ref="C204" si="420">IF(V204="No","Not Applicable",(IF(X204="1. Non Compliant (0%)","0",IF(X204="2. Somewhat Compliant (25%)","25",IF(X204="3. Partially Compliant (50%)","50",IF(X204="4. Mostly Compliant (75%)","75",IF(X204="5. Fully Compliant (100%)","100")))))*0.15)+((IF(Y204="1. Non Compliant (0%)","0",IF(Y204="2. Somewhat Compliant (25%)","25",IF(Y204="3. Partially Compliant (50%)","50",IF(Y204="4. Mostly Compliant (75%)","75",IF(Y204="5. Fully Compliant (100%)","100"))))))*0.2)+(IF(Z204="1. Non Compliant (0%)","0",IF(Z204="2. Somewhat Compliant (25%)","25",IF(Z204="3. Partially Compliant (50%)","50",IF(Z204="4. Mostly Compliant (75%)","75",IF(Z204="5. Fully Compliant (100%)","100")))))*0.4)+(IF(AA204="1. Non Compliant (0%)","0",IF(AA204="2. Somewhat Compliant (25%)","25",IF(AA204="3. Partially Compliant (50%)","50",IF(AA204="4. Mostly Compliant (75%)","75",IF(AA204="5. Fully Compliant (100%)","100")))))*0.1)+(IF(AB204="1. Non Compliant (0%)","0",IF(AB204="2. Somewhat Compliant (25%)","25",IF(AB204="3. Partially Compliant (50%)","50",IF(AB204="4. Mostly Compliant (75%)","75",IF(AB204="5. Fully Compliant (100%)","100")))))*0.15))</f>
        <v>0</v>
      </c>
      <c r="D204" s="5" t="str">
        <f>IF(AND((_xlfn.XLOOKUP(J204,'Fields &amp; Revisions'!$H:$H,'Fields &amp; Revisions'!$I:$I))&lt;70.99,(OR(Z204="4. Mostly Compliant (75%)",Z204="3. Partially Compliant (50%)",Z204="2. Somewhat Compliant (25%)",Z204="1. Non Compliant (0%)"))),"Yes","No")</f>
        <v>No</v>
      </c>
      <c r="E204" s="5" t="str">
        <f>IF(ISERROR(VLOOKUP(H204,Scope!A:A,1,FALSE)),"No","Yes")</f>
        <v>Yes</v>
      </c>
      <c r="F204" s="1" t="s">
        <v>5677</v>
      </c>
      <c r="G204" s="53" t="s">
        <v>6795</v>
      </c>
      <c r="H204" s="53" t="s">
        <v>6796</v>
      </c>
      <c r="I204" s="5">
        <v>1</v>
      </c>
      <c r="J204" s="1" t="s">
        <v>5717</v>
      </c>
      <c r="K204" s="1" t="s">
        <v>6797</v>
      </c>
      <c r="L204" s="1" t="s">
        <v>6798</v>
      </c>
      <c r="M204" s="1" t="s">
        <v>6799</v>
      </c>
      <c r="N204" s="5" t="s">
        <v>98</v>
      </c>
      <c r="O204" s="1" t="str">
        <f>_xlfn.XLOOKUP(G204,SRMs!$A:$A,SRMs!$D:$D)</f>
        <v>PARTIAL INHERITANCE</v>
      </c>
      <c r="P204" s="1" t="str">
        <f>IFERROR(VLOOKUP(H204,Inherited!A:B,2,FALSE),"")</f>
        <v/>
      </c>
      <c r="Q204" s="1" t="e">
        <f>IF(MATCH(H204,Inherited!A:A),IF((((_xlfn.XLOOKUP(Assessment!#REF!,Inherited!A:A,Inherited!B:B))/100)*(_xlfn.XLOOKUP(Assessment!#REF!,Inherited!A:A,Inherited!C:C)))+(((100-(_xlfn.XLOOKUP(Assessment!#REF!,Inherited!A:A,Inherited!B:B)))/100)*IF(X204="1.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(100%)","100"))))))&lt;=10,"0", IF(AND((((_xlfn.XLOOKUP(Assessment!#REF!,Inherited!A:A,Inherited!B:B))/100)*(_xlfn.XLOOKUP(Assessment!#REF!,Inherited!A:A,Inherited!C:C)))+(((100-(_xlfn.XLOOKUP(Assessment!#REF!,Inherited!A:A,Inherited!B:B)))/100)*IF(X204="1.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(100%)","100"))))))&gt;=11,(((_xlfn.XLOOKUP(Assessment!#REF!,Inherited!A:A,Inherited!B:B))/100)*(_xlfn.XLOOKUP(Assessment!#REF!,Inherited!A:A,Inherited!C:C)))+(((100-(_xlfn.XLOOKUP(Assessment!#REF!,Inherited!A:A,Inherited!B:B)))/100)*IF(X204="1.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(100%)","100"))))))&lt;=32),"25",IF(AND((((_xlfn.XLOOKUP(Assessment!#REF!,Inherited!A:A,Inherited!B:B))/100)*(_xlfn.XLOOKUP(Assessment!#REF!,Inherited!A:A,Inherited!C:C)))+(((100-(_xlfn.XLOOKUP(Assessment!#REF!,Inherited!A:A,Inherited!B:B)))/100)*IF(X204="1.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(100%)","100"))))))&gt;=33,(((_xlfn.XLOOKUP(Assessment!#REF!,Inherited!A:A,Inherited!B:B))/100)*(_xlfn.XLOOKUP(Assessment!#REF!,Inherited!A:A,Inherited!C:C)))+(((100-(_xlfn.XLOOKUP(Assessment!#REF!,Inherited!A:A,Inherited!B:B)))/100)*IF(X204="1.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(100%)","100"))))))&lt;=65),"50",IF(AND((((_xlfn.XLOOKUP(Assessment!#REF!,Inherited!A:A,Inherited!B:B))/100)*(_xlfn.XLOOKUP(Assessment!#REF!,Inherited!A:A,Inherited!C:C)))+(((100-(_xlfn.XLOOKUP(Assessment!#REF!,Inherited!A:A,Inherited!B:B)))/100)*IF(X204="1.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(100%)","100"))))))&gt;=66,(((_xlfn.XLOOKUP(Assessment!#REF!,Inherited!A:A,Inherited!B:B))/100)*(_xlfn.XLOOKUP(Assessment!#REF!,Inherited!A:A,Inherited!C:C)))+(((100-(_xlfn.XLOOKUP(Assessment!#REF!,Inherited!A:A,Inherited!B:B)))/100)*IF(X204="1.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(100%)","100"))))))&lt;=89),"75",IF((((_xlfn.XLOOKUP(Assessment!#REF!,Inherited!A:A,Inherited!B:B))/100)*(_xlfn.XLOOKUP(Assessment!#REF!,Inherited!A:A,Inherited!C:C)))+(((100-(_xlfn.XLOOKUP(Assessment!#REF!,Inherited!A:A,Inherited!B:B)))/100)*IF(X204="1. Non Compliant (0%)","0",IF(X204="2. Somewhat Compliant (25%)","25",IF(X204="3. Partially Compliant (50%)","50",IF(X204="4. Mostly Compliant (75%)","75",IF(X204="5. Fully Compliant (100%)","100"))))))&gt;=90,"100"))))))</f>
        <v>#N/A</v>
      </c>
      <c r="R204" s="1" t="e">
        <f>IF(MATCH(H204,Inherited!A:A),IF((((_xlfn.XLOOKUP(Assessment!#REF!,Inherited!A:A,Inherited!B:B))/100)*(_xlfn.XLOOKUP(Assessment!#REF!,Inherited!A:A,Inherited!D:D)))+(((100-(_xlfn.XLOOKUP(Assessment!#REF!,Inherited!A:A,Inherited!B:B)))/100)*IF(Y204="1.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(100%)","100"))))))&lt;=10,"0", IF(AND((((_xlfn.XLOOKUP(Assessment!#REF!,Inherited!A:A,Inherited!B:B))/100)*(_xlfn.XLOOKUP(Assessment!#REF!,Inherited!A:A,Inherited!D:D)))+(((100-(_xlfn.XLOOKUP(Assessment!#REF!,Inherited!A:A,Inherited!B:B)))/100)*IF(Y204="1.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(100%)","100"))))))&gt;=11,(((_xlfn.XLOOKUP(Assessment!#REF!,Inherited!A:A,Inherited!B:B))/100)*(_xlfn.XLOOKUP(Assessment!#REF!,Inherited!A:A,Inherited!D:D)))+(((100-(_xlfn.XLOOKUP(Assessment!#REF!,Inherited!A:A,Inherited!B:B)))/100)*IF(Y204="1.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(100%)","100"))))))&lt;=32),"25",IF(AND((((_xlfn.XLOOKUP(Assessment!#REF!,Inherited!A:A,Inherited!B:B))/100)*(_xlfn.XLOOKUP(Assessment!#REF!,Inherited!A:A,Inherited!D:D)))+(((100-(_xlfn.XLOOKUP(Assessment!#REF!,Inherited!A:A,Inherited!B:B)))/100)*IF(Y204="1.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(100%)","100"))))))&gt;=33,(((_xlfn.XLOOKUP(Assessment!#REF!,Inherited!A:A,Inherited!B:B))/100)*(_xlfn.XLOOKUP(Assessment!#REF!,Inherited!A:A,Inherited!D:D)))+(((100-(_xlfn.XLOOKUP(Assessment!#REF!,Inherited!A:A,Inherited!B:B)))/100)*IF(Y204="1.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(100%)","100"))))))&lt;=65),"50",IF(AND((((_xlfn.XLOOKUP(Assessment!#REF!,Inherited!A:A,Inherited!B:B))/100)*(_xlfn.XLOOKUP(Assessment!#REF!,Inherited!A:A,Inherited!D:D)))+(((100-(_xlfn.XLOOKUP(Assessment!#REF!,Inherited!A:A,Inherited!B:B)))/100)*IF(Y204="1.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(100%)","100"))))))&gt;=66,(((_xlfn.XLOOKUP(Assessment!#REF!,Inherited!A:A,Inherited!B:B))/100)*(_xlfn.XLOOKUP(Assessment!#REF!,Inherited!A:A,Inherited!D:D)))+(((100-(_xlfn.XLOOKUP(Assessment!#REF!,Inherited!A:A,Inherited!B:B)))/100)*IF(Y204="1.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(100%)","100"))))))&lt;=89),"75",IF((((_xlfn.XLOOKUP(Assessment!#REF!,Inherited!A:A,Inherited!B:B))/100)*(_xlfn.XLOOKUP(Assessment!#REF!,Inherited!A:A,Inherited!D:D)))+(((100-(_xlfn.XLOOKUP(Assessment!#REF!,Inherited!A:A,Inherited!B:B)))/100)*IF(Y204="1. Non Compliant (0%)","0",IF(Y204="2. Somewhat Compliant (25%)","25",IF(Y204="3. Partially Compliant (50%)","50",IF(Y204="4. Mostly Compliant (75%)","75",IF(Y204="5. Fully Compliant (100%)","100"))))))&gt;=90,"100"))))))</f>
        <v>#N/A</v>
      </c>
      <c r="S204" s="1" t="e">
        <f>IF(MATCH(H204,Inherited!A:A),IF((((_xlfn.XLOOKUP(Assessment!#REF!,Inherited!A:A,Inherited!B:B))/100)*(_xlfn.XLOOKUP(Assessment!#REF!,Inherited!A:A,Inherited!E:E)))+(((100-(_xlfn.XLOOKUP(Assessment!#REF!,Inherited!A:A,Inherited!B:B)))/100)*IF(Z204="1.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(100%)","100"))))))&lt;=10,"0", IF(AND((((_xlfn.XLOOKUP(Assessment!#REF!,Inherited!A:A,Inherited!B:B))/100)*(_xlfn.XLOOKUP(Assessment!#REF!,Inherited!A:A,Inherited!E:E)))+(((100-(_xlfn.XLOOKUP(Assessment!#REF!,Inherited!A:A,Inherited!B:B)))/100)*IF(Z204="1.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(100%)","100"))))))&gt;=11,(((_xlfn.XLOOKUP(Assessment!#REF!,Inherited!A:A,Inherited!B:B))/100)*(_xlfn.XLOOKUP(Assessment!#REF!,Inherited!A:A,Inherited!E:E)))+(((100-(_xlfn.XLOOKUP(Assessment!#REF!,Inherited!A:A,Inherited!B:B)))/100)*IF(Z204="1.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(100%)","100"))))))&lt;=32),"25",IF(AND((((_xlfn.XLOOKUP(Assessment!#REF!,Inherited!A:A,Inherited!B:B))/100)*(_xlfn.XLOOKUP(Assessment!#REF!,Inherited!A:A,Inherited!E:E)))+(((100-(_xlfn.XLOOKUP(Assessment!#REF!,Inherited!A:A,Inherited!B:B)))/100)*IF(Z204="1.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(100%)","100"))))))&gt;=33,(((_xlfn.XLOOKUP(Assessment!#REF!,Inherited!A:A,Inherited!B:B))/100)*(_xlfn.XLOOKUP(Assessment!#REF!,Inherited!A:A,Inherited!E:E)))+(((100-(_xlfn.XLOOKUP(Assessment!#REF!,Inherited!A:A,Inherited!B:B)))/100)*IF(Z204="1.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(100%)","100"))))))&lt;=65),"50",IF(AND((((_xlfn.XLOOKUP(Assessment!#REF!,Inherited!A:A,Inherited!B:B))/100)*(_xlfn.XLOOKUP(Assessment!#REF!,Inherited!A:A,Inherited!E:E)))+(((100-(_xlfn.XLOOKUP(Assessment!#REF!,Inherited!A:A,Inherited!B:B)))/100)*IF(Z204="1.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(100%)","100"))))))&gt;=66,(((_xlfn.XLOOKUP(Assessment!#REF!,Inherited!A:A,Inherited!B:B))/100)*(_xlfn.XLOOKUP(Assessment!#REF!,Inherited!A:A,Inherited!E:E)))+(((100-(_xlfn.XLOOKUP(Assessment!#REF!,Inherited!A:A,Inherited!B:B)))/100)*IF(Z204="1.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(100%)","100"))))))&lt;=89),"75",IF((((_xlfn.XLOOKUP(Assessment!#REF!,Inherited!A:A,Inherited!B:B))/100)*(_xlfn.XLOOKUP(Assessment!#REF!,Inherited!A:A,Inherited!E:E)))+(((100-(_xlfn.XLOOKUP(Assessment!#REF!,Inherited!A:A,Inherited!B:B)))/100)*IF(Z204="1. Non Compliant (0%)","0",IF(Z204="2. Somewhat Compliant (25%)","25",IF(Z204="3. Partially Compliant (50%)","50",IF(Z204="4. Mostly Compliant (75%)","75",IF(Z204="5. Fully Compliant (100%)","100"))))))&gt;=90,"100"))))))</f>
        <v>#N/A</v>
      </c>
      <c r="T204" s="1" t="e">
        <f>IF(MATCH(H204,Inherited!A:A),IF((((_xlfn.XLOOKUP(Assessment!#REF!,Inherited!A:A,Inherited!B:B))/100)*(_xlfn.XLOOKUP(Assessment!#REF!,Inherited!A:A,Inherited!F:F)))+(((100-(_xlfn.XLOOKUP(Assessment!#REF!,Inherited!A:A,Inherited!B:B)))/100)*IF(AA204="1.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(100%)","100"))))))&lt;=10,"0", IF(AND((((_xlfn.XLOOKUP(Assessment!#REF!,Inherited!A:A,Inherited!B:B))/100)*(_xlfn.XLOOKUP(Assessment!#REF!,Inherited!A:A,Inherited!F:F)))+(((100-(_xlfn.XLOOKUP(Assessment!#REF!,Inherited!A:A,Inherited!B:B)))/100)*IF(AA204="1.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(100%)","100"))))))&gt;=11,(((_xlfn.XLOOKUP(Assessment!#REF!,Inherited!A:A,Inherited!B:B))/100)*(_xlfn.XLOOKUP(Assessment!#REF!,Inherited!A:A,Inherited!F:F)))+(((100-(_xlfn.XLOOKUP(Assessment!#REF!,Inherited!A:A,Inherited!B:B)))/100)*IF(AA204="1.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(100%)","100"))))))&lt;=32),"25",IF(AND((((_xlfn.XLOOKUP(Assessment!#REF!,Inherited!A:A,Inherited!B:B))/100)*(_xlfn.XLOOKUP(Assessment!#REF!,Inherited!A:A,Inherited!F:F)))+(((100-(_xlfn.XLOOKUP(Assessment!#REF!,Inherited!A:A,Inherited!B:B)))/100)*IF(AA204="1.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(100%)","100"))))))&gt;=33,(((_xlfn.XLOOKUP(Assessment!#REF!,Inherited!A:A,Inherited!B:B))/100)*(_xlfn.XLOOKUP(Assessment!#REF!,Inherited!A:A,Inherited!F:F)))+(((100-(_xlfn.XLOOKUP(Assessment!#REF!,Inherited!A:A,Inherited!B:B)))/100)*IF(AA204="1.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(100%)","100"))))))&lt;=65),"50",IF(AND((((_xlfn.XLOOKUP(Assessment!#REF!,Inherited!A:A,Inherited!B:B))/100)*(_xlfn.XLOOKUP(Assessment!#REF!,Inherited!A:A,Inherited!F:F)))+(((100-(_xlfn.XLOOKUP(Assessment!#REF!,Inherited!A:A,Inherited!B:B)))/100)*IF(AA204="1.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(100%)","100"))))))&gt;=66,(((_xlfn.XLOOKUP(Assessment!#REF!,Inherited!A:A,Inherited!B:B))/100)*(_xlfn.XLOOKUP(Assessment!#REF!,Inherited!A:A,Inherited!F:F)))+(((100-(_xlfn.XLOOKUP(Assessment!#REF!,Inherited!A:A,Inherited!B:B)))/100)*IF(AA204="1.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(100%)","100"))))))&lt;=89),"75",IF((((_xlfn.XLOOKUP(Assessment!#REF!,Inherited!A:A,Inherited!B:B))/100)*(_xlfn.XLOOKUP(Assessment!#REF!,Inherited!A:A,Inherited!F:F)))+(((100-(_xlfn.XLOOKUP(Assessment!#REF!,Inherited!A:A,Inherited!B:B)))/100)*IF(AA204="1. Non Compliant (0%)","0",IF(AA204="2. Somewhat Compliant (25%)","25",IF(AA204="3. Partially Compliant (50%)","50",IF(AA204="4. Mostly Compliant (75%)","75",IF(AA204="5. Fully Compliant (100%)","100"))))))&gt;=90,"100"))))))</f>
        <v>#N/A</v>
      </c>
      <c r="U204" s="1" t="e">
        <f>IF(MATCH(H204,Inherited!A:A),IF((((_xlfn.XLOOKUP(Assessment!#REF!,Inherited!A:A,Inherited!B:B))/100)*(_xlfn.XLOOKUP(Assessment!#REF!,Inherited!A:A,Inherited!G:G)))+(((100-(_xlfn.XLOOKUP(Assessment!#REF!,Inherited!A:A,Inherited!B:B)))/100)*IF(AB204="1.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(100%)","100"))))))&lt;=10,"0", IF(AND((((_xlfn.XLOOKUP(Assessment!#REF!,Inherited!A:A,Inherited!B:B))/100)*(_xlfn.XLOOKUP(Assessment!#REF!,Inherited!A:A,Inherited!G:G)))+(((100-(_xlfn.XLOOKUP(Assessment!#REF!,Inherited!A:A,Inherited!B:B)))/100)*IF(AB204="1.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(100%)","100"))))))&gt;=11,(((_xlfn.XLOOKUP(Assessment!#REF!,Inherited!A:A,Inherited!B:B))/100)*(_xlfn.XLOOKUP(Assessment!#REF!,Inherited!A:A,Inherited!G:G)))+(((100-(_xlfn.XLOOKUP(Assessment!#REF!,Inherited!A:A,Inherited!B:B)))/100)*IF(AB204="1.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(100%)","100"))))))&lt;=32),"25",IF(AND((((_xlfn.XLOOKUP(Assessment!#REF!,Inherited!A:A,Inherited!B:B))/100)*(_xlfn.XLOOKUP(Assessment!#REF!,Inherited!A:A,Inherited!G:G)))+(((100-(_xlfn.XLOOKUP(Assessment!#REF!,Inherited!A:A,Inherited!B:B)))/100)*IF(AB204="1.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(100%)","100"))))))&gt;=33,(((_xlfn.XLOOKUP(Assessment!#REF!,Inherited!A:A,Inherited!B:B))/100)*(_xlfn.XLOOKUP(Assessment!#REF!,Inherited!A:A,Inherited!G:G)))+(((100-(_xlfn.XLOOKUP(Assessment!#REF!,Inherited!A:A,Inherited!B:B)))/100)*IF(AB204="1.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(100%)","100"))))))&lt;=65),"50",IF(AND((((_xlfn.XLOOKUP(Assessment!#REF!,Inherited!A:A,Inherited!B:B))/100)*(_xlfn.XLOOKUP(Assessment!#REF!,Inherited!A:A,Inherited!G:G)))+(((100-(_xlfn.XLOOKUP(Assessment!#REF!,Inherited!A:A,Inherited!B:B)))/100)*IF(AB204="1.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(100%)","100"))))))&gt;=66,(((_xlfn.XLOOKUP(Assessment!#REF!,Inherited!A:A,Inherited!B:B))/100)*(_xlfn.XLOOKUP(Assessment!#REF!,Inherited!A:A,Inherited!G:G)))+(((100-(_xlfn.XLOOKUP(Assessment!#REF!,Inherited!A:A,Inherited!B:B)))/100)*IF(AB204="1.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(100%)","100"))))))&lt;=89),"75",IF((((_xlfn.XLOOKUP(Assessment!#REF!,Inherited!A:A,Inherited!B:B))/100)*(_xlfn.XLOOKUP(Assessment!#REF!,Inherited!A:A,Inherited!G:G)))+(((100-(_xlfn.XLOOKUP(Assessment!#REF!,Inherited!A:A,Inherited!B:B)))/100)*IF(AB204="1. Non Compliant (0%)","0",IF(AB204="2. Somewhat Compliant (25%)","25",IF(AB204="3. Partially Compliant (50%)","50",IF(AB204="4. Mostly Compliant (75%)","75",IF(AB204="5. Fully Compliant (100%)","100"))))))&gt;=90,"100"))))))</f>
        <v>#N/A</v>
      </c>
      <c r="V204" s="55" t="s">
        <v>85</v>
      </c>
      <c r="W204" s="55"/>
      <c r="X204" s="55"/>
      <c r="Y204" s="55"/>
      <c r="Z204" s="55"/>
      <c r="AA204" s="55"/>
      <c r="AB204" s="55"/>
      <c r="AM204" s="1" t="s">
        <v>11031</v>
      </c>
      <c r="AX204" s="3" t="str">
        <f>_xlfn.CONCAT("A-LIGN finished its review of this control on ",AR204, " during the scheduled fieldwork window (",Intro!$B$4,")."&amp; CHAR(10)&amp; CHAR(10))</f>
        <v xml:space="preserve">A-LIGN finished its review of this control on  during the scheduled fieldwork window (Fieldwork: xx/xx/xxxx - xx/xx/xxxx).
</v>
      </c>
      <c r="AY204" s="3" t="str">
        <f t="shared" ref="AY204" si="421">IF(AQ204&lt;&gt;"",(_xlfn.CONCAT("Inheritance note: "&amp; CHAR(10),AQ204&amp; CHAR(10)&amp; CHAR(10))),"")</f>
        <v/>
      </c>
      <c r="AZ204" s="3" t="str">
        <f t="shared" ref="AZ204" si="422">IFERROR(IF(AD204&lt;&gt;"",_xlfn.CONCAT("Examined the following policy during fieldwork:"&amp; CHAR(10),AD204&amp; CHAR(10)&amp; CHAR(10),IF(AND(X204&lt;&gt;"5. Fully Compliant (100%)",AE204&lt;&gt;""),"Reviewed policy exception note:"&amp; CHAR(10) &amp; AE204 &amp; CHAR(10) &amp; CHAR(10),"")),""),"")</f>
        <v/>
      </c>
      <c r="BA204" s="3" t="str">
        <f t="shared" ref="BA204" si="423">IFERROR(IF(AH204&lt;&gt;"",_xlfn.CONCAT("Examined the following process during fieldwork:"&amp; CHAR(10),AH204&amp; CHAR(10)&amp; CHAR(10),IF(AND(Y204&lt;&gt;"5. Fully Compliant (100%)",AI204&lt;&gt;""),"Reviewed process exception note:"&amp; CHAR(10) &amp; AI204 &amp; CHAR(10) &amp; CHAR(10),"")),""),"")</f>
        <v/>
      </c>
      <c r="BB204" s="3" t="str">
        <f t="shared" ref="BB204" si="424">IF(AK204&lt;&gt;"",(_xlfn.CONCAT("Inquired of the following workforce member: "&amp; CHAR(10),AK204&amp; CHAR(10)&amp; CHAR(10),"Inquiry lead to the following conclusions: "&amp; CHAR(10),AL204&amp; CHAR(10) &amp; CHAR(10))),"")</f>
        <v/>
      </c>
      <c r="BC204" s="3" t="str">
        <f t="shared" ref="BC204" si="425">IF(AM204&lt;&gt;"",(_xlfn.CONCAT("Observed the following live during fieldwork: "&amp; CHAR(10),AM204&amp; CHAR(10) &amp; CHAR(10))),"")</f>
        <v xml:space="preserve">Observed the following live during fieldwork: 
Observed the Google and Azure key management services to ensure that cryptographic controls/protections are in place.
</v>
      </c>
      <c r="BD204" s="3" t="str">
        <f t="shared" ref="BD204" si="426">_xlfn.CONCAT("Examined the following evidence during fieldwork:"&amp; CHAR(10),AN204&amp; CHAR(10)&amp; CHAR(10),IF(AO204&lt;&gt;"","Reviewed evidence note:"&amp; CHAR(10)&amp;AO204&amp; CHAR(10) &amp; CHAR(10),"Reviewed evidence addressed the requirement statement."&amp; CHAR(10) &amp; CHAR(10)),IF(AND(AP204&lt;&gt;"5. Fully Compliant (100%)",AP204&lt;&gt;""),"Reviewed evidence exception note: "&amp; CHAR(10) &amp; AP204 &amp; CHAR(10) &amp; CHAR(10),""))</f>
        <v xml:space="preserve">Examined the following evidence during fieldwork:
Reviewed evidence addressed the requirement statement.
</v>
      </c>
      <c r="BE204" s="3" t="str">
        <f t="shared" ref="BE204" si="427">IF(AT204&lt;&gt;"",(_xlfn.CONCAT("Examined the following measure/metric during fieldwork:"&amp; CHAR(10),AT204&amp; CHAR(10)&amp; CHAR(10),"Reviewed measure/metric note:"&amp; CHAR(10),AU204 &amp; CHAR(10) &amp; CHAR(10))),"")</f>
        <v/>
      </c>
      <c r="BF204" s="3" t="str">
        <f t="shared" ref="BF204" si="428">IF(AV204&lt;&gt;"",(_xlfn.CONCAT("Examined the following measure/metric management during fieldwork:"&amp; CHAR(10),AV204&amp; CHAR(10)&amp; CHAR(10),"Reviewed measure/metric management note:"&amp; CHAR(10),AW204 &amp; CHAR(10) &amp; CHAR(10))),"")</f>
        <v/>
      </c>
      <c r="BG204" s="3" t="str">
        <f>_xlfn.CONCAT((IF((COUNTIF('Sample Tables'!B:B,"")&gt;0)=TRUE,_xlfn.CONCAT("",""),IF((COUNTIF('Sample Tables'!B:B,"")&gt;0)=FALSE,""))),)</f>
        <v/>
      </c>
      <c r="BH204" s="3" t="str">
        <f t="shared" ref="BH204" si="429">IF(V204="No","Not Applicable: "&amp;W204,(_xlfn.CONCAT(AX204,AY204,AZ204,BA204,BB204,BC204,BD204,BE204,BF204,BG204)))</f>
        <v xml:space="preserve">A-LIGN finished its review of this control on  during the scheduled fieldwork window (Fieldwork: xx/xx/xxxx - xx/xx/xxxx).
Observed the following live during fieldwork: 
Observed the Google and Azure key management services to ensure that cryptographic controls/protections are in place.
Examined the following evidence during fieldwork:
Reviewed evidence addressed the requirement statement.
</v>
      </c>
    </row>
  </sheetData>
  <sheetProtection formatCells="0" formatColumns="0" formatRows="0" insertColumns="0" insertRows="0" deleteColumns="0" deleteRows="0" sort="0"/>
  <autoFilter ref="A1:BH204" xr:uid="{00000000-0001-0000-0000-000000000000}"/>
  <phoneticPr fontId="8" type="noConversion"/>
  <conditionalFormatting sqref="H2:H204">
    <cfRule type="duplicateValues" dxfId="94" priority="115594"/>
  </conditionalFormatting>
  <conditionalFormatting sqref="O2:U204 K4 N4:N9 K6 K8 K10:K11 K13:K14 K16:K18 K20 K24:K25 N28:N29 K28:K123 N39:N41 N45 L48:L198 N49 N60 N62 N67:N68 N70:N71 N73 N78 N90 N104 N109:N110 N129 N131 N133 N135:N158 N162:N178 N182:N184 N188:N192 N194">
    <cfRule type="expression" dxfId="93" priority="3041">
      <formula>AND(#REF!="Assessor Agrees",#REF!="Assessor Agrees",#REF!="Assessor Agrees")</formula>
    </cfRule>
    <cfRule type="expression" dxfId="92" priority="3040">
      <formula>IF(COUNTIF(#REF!,"Assessor Does Not Agree"),"TRUE","FALSE")</formula>
    </cfRule>
  </conditionalFormatting>
  <conditionalFormatting sqref="W2:W204">
    <cfRule type="expression" dxfId="91" priority="62">
      <formula>IF(AND(V2="No",W2=""),"TRUE","FALSE")</formula>
    </cfRule>
  </conditionalFormatting>
  <conditionalFormatting sqref="AE2:AF204">
    <cfRule type="expression" dxfId="90" priority="53049">
      <formula>IF(AND(V2="Yes",X2="5. Fully Compliant (100%)",AE2&lt;&gt;""),"TRUE","FALSE")</formula>
    </cfRule>
  </conditionalFormatting>
  <conditionalFormatting sqref="AE2:AF1048576">
    <cfRule type="expression" dxfId="89" priority="53050" stopIfTrue="1">
      <formula>IF(AND(V2="Yes",X2&lt;&gt;"5. Fully Compliant (100%)",AE2=""),"TRUE","FALSE")</formula>
    </cfRule>
  </conditionalFormatting>
  <conditionalFormatting sqref="AI2:AI204">
    <cfRule type="expression" dxfId="88" priority="53051" stopIfTrue="1">
      <formula>IF(AND(V2="Yes",Y2&lt;&gt;"5. Fully Compliant (100%)",AI2=""),"TRUE","FALSE")</formula>
    </cfRule>
    <cfRule type="expression" dxfId="87" priority="53052">
      <formula>IF(AND(V2="Yes",Y2="5. Fully Compliant (100%)",AI2&lt;&gt;""),"TRUE","FALSE")</formula>
    </cfRule>
  </conditionalFormatting>
  <conditionalFormatting sqref="AJ2:AJ204">
    <cfRule type="expression" dxfId="86" priority="52" stopIfTrue="1">
      <formula>IF(AND(AA2="Yes",AC2&lt;&gt;"5. Fully Compliant (100%)",AJ2=""),"TRUE","FALSE")</formula>
    </cfRule>
    <cfRule type="expression" dxfId="85" priority="53">
      <formula>IF(AND(AA2="Yes",AC2="5. Fully Compliant (100%)",AJ2&lt;&gt;""),"TRUE","FALSE")</formula>
    </cfRule>
  </conditionalFormatting>
  <conditionalFormatting sqref="AP121">
    <cfRule type="expression" dxfId="84" priority="53055" stopIfTrue="1">
      <formula>IF(AND(V121="Yes",Z121&lt;&gt;"5. Fully Compliant (100%)",AP121=""),"TRUE","FALSE")</formula>
    </cfRule>
    <cfRule type="expression" dxfId="83" priority="53056">
      <formula>IF(AND(V121="Yes",Z121="5. Fully Compliant (100%)",AP121&lt;&gt;""),"TRUE","FALSE")</formula>
    </cfRule>
  </conditionalFormatting>
  <conditionalFormatting sqref="AP135:AP144">
    <cfRule type="expression" dxfId="82" priority="15" stopIfTrue="1">
      <formula>IF(AND(V135="Yes",Z135&lt;&gt;"5. Fully Compliant (100%)",AP135=""),"TRUE","FALSE")</formula>
    </cfRule>
    <cfRule type="expression" dxfId="81" priority="16">
      <formula>IF(AND(V135="Yes",Z135="5. Fully Compliant (100%)",AP135&lt;&gt;""),"TRUE","FALSE")</formula>
    </cfRule>
  </conditionalFormatting>
  <conditionalFormatting sqref="AP146:AP154">
    <cfRule type="expression" dxfId="80" priority="7" stopIfTrue="1">
      <formula>IF(AND(V146="Yes",Z146&lt;&gt;"5. Fully Compliant (100%)",AP146=""),"TRUE","FALSE")</formula>
    </cfRule>
    <cfRule type="expression" dxfId="79" priority="8">
      <formula>IF(AND(V146="Yes",Z146="5. Fully Compliant (100%)",AP146&lt;&gt;""),"TRUE","FALSE")</formula>
    </cfRule>
  </conditionalFormatting>
  <conditionalFormatting sqref="AP2:AQ120">
    <cfRule type="expression" dxfId="78" priority="33" stopIfTrue="1">
      <formula>IF(AND(V2="Yes",Z2&lt;&gt;"5. Fully Compliant (100%)",AP2=""),"TRUE","FALSE")</formula>
    </cfRule>
    <cfRule type="expression" dxfId="77" priority="34">
      <formula>IF(AND(V2="Yes",Z2="5. Fully Compliant (100%)",AP2&lt;&gt;""),"TRUE","FALSE")</formula>
    </cfRule>
  </conditionalFormatting>
  <conditionalFormatting sqref="AP122:AQ134">
    <cfRule type="expression" dxfId="76" priority="17" stopIfTrue="1">
      <formula>IF(AND(V122="Yes",Z122&lt;&gt;"5. Fully Compliant (100%)",AP122=""),"TRUE","FALSE")</formula>
    </cfRule>
    <cfRule type="expression" dxfId="75" priority="18">
      <formula>IF(AND(V122="Yes",Z122="5. Fully Compliant (100%)",AP122&lt;&gt;""),"TRUE","FALSE")</formula>
    </cfRule>
  </conditionalFormatting>
  <conditionalFormatting sqref="AP155:AQ204">
    <cfRule type="expression" dxfId="74" priority="1" stopIfTrue="1">
      <formula>IF(AND(V155="Yes",Z155&lt;&gt;"5. Fully Compliant (100%)",AP155=""),"TRUE","FALSE")</formula>
    </cfRule>
    <cfRule type="expression" dxfId="73" priority="2">
      <formula>IF(AND(V155="Yes",Z155="5. Fully Compliant (100%)",AP155&lt;&gt;""),"TRUE","FALSE")</formula>
    </cfRule>
  </conditionalFormatting>
  <conditionalFormatting sqref="AQ135:AQ154">
    <cfRule type="expression" dxfId="72" priority="24">
      <formula>IF(AND(W135="Yes",AA135="5. Fully Compliant (100%)",AQ135&lt;&gt;""),"TRUE","FALSE")</formula>
    </cfRule>
    <cfRule type="expression" dxfId="71" priority="23" stopIfTrue="1">
      <formula>IF(AND(W135="Yes",AA135&lt;&gt;"5. Fully Compliant (100%)",AQ135=""),"TRUE","FALSE")</formula>
    </cfRule>
  </conditionalFormatting>
  <conditionalFormatting sqref="AR2:AR204">
    <cfRule type="expression" dxfId="70" priority="53063" stopIfTrue="1">
      <formula>IF(AND(W2="Yes",AA2&lt;&gt;"5. Fully Compliant (100%)",AR2=""),"TRUE","FALSE")</formula>
    </cfRule>
    <cfRule type="expression" dxfId="69" priority="53064">
      <formula>IF(AND(W2="Yes",AA2="5. Fully Compliant (100%)",AR2&lt;&gt;""),"TRUE","FALSE")</formula>
    </cfRule>
  </conditionalFormatting>
  <conditionalFormatting sqref="AS2:AS204">
    <cfRule type="expression" dxfId="68" priority="50" stopIfTrue="1">
      <formula>IF(AND(AH2="Yes",AJ2&lt;&gt;"5. Fully Compliant (100%)",AS2=""),"TRUE","FALSE")</formula>
    </cfRule>
    <cfRule type="expression" dxfId="67" priority="51">
      <formula>IF(AND(AH2="Yes",AJ2="5. Fully Compliant (100%)",AS2&lt;&gt;""),"TRUE","FALSE")</formula>
    </cfRule>
  </conditionalFormatting>
  <conditionalFormatting sqref="BI93">
    <cfRule type="expression" dxfId="66" priority="36">
      <formula>IF(AND(AO93="Yes",AS93="5. Fully Compliant (100%)",BI93&lt;&gt;""),"TRUE","FALSE")</formula>
    </cfRule>
    <cfRule type="expression" dxfId="65" priority="35" stopIfTrue="1">
      <formula>IF(AND(AO93="Yes",AS93&lt;&gt;"5. Fully Compliant (100%)",BI93=""),"TRUE","FALSE")</formula>
    </cfRule>
  </conditionalFormatting>
  <conditionalFormatting sqref="BI108">
    <cfRule type="expression" dxfId="64" priority="32">
      <formula>IF(AND(AO108="Yes",AS108="5. Fully Compliant (100%)",BI108&lt;&gt;""),"TRUE","FALSE")</formula>
    </cfRule>
    <cfRule type="expression" dxfId="63" priority="31" stopIfTrue="1">
      <formula>IF(AND(AO108="Yes",AS108&lt;&gt;"5. Fully Compliant (100%)",BI108=""),"TRUE","FALSE")</formula>
    </cfRule>
  </conditionalFormatting>
  <conditionalFormatting sqref="BM84">
    <cfRule type="expression" dxfId="62" priority="40">
      <formula>IF(AND(AS84="Yes",AW84="5. Fully Compliant (100%)",BM84&lt;&gt;""),"TRUE","FALSE")</formula>
    </cfRule>
    <cfRule type="expression" dxfId="61" priority="39" stopIfTrue="1">
      <formula>IF(AND(AS84="Yes",AW84&lt;&gt;"5. Fully Compliant (100%)",BM84=""),"TRUE","FALSE")</formula>
    </cfRule>
  </conditionalFormatting>
  <conditionalFormatting sqref="BN130">
    <cfRule type="expression" dxfId="60" priority="30">
      <formula>IF(AND(AT130="Yes",AX130="5. Fully Compliant (100%)",BN130&lt;&gt;""),"TRUE","FALSE")</formula>
    </cfRule>
    <cfRule type="expression" dxfId="59" priority="29" stopIfTrue="1">
      <formula>IF(AND(AT130="Yes",AX130&lt;&gt;"5. Fully Compliant (100%)",BN130=""),"TRUE","FALSE")</formula>
    </cfRule>
  </conditionalFormatting>
  <dataValidations count="2">
    <dataValidation type="list" allowBlank="1" showInputMessage="1" showErrorMessage="1" sqref="X2:AB204" xr:uid="{BC003775-D06F-40D9-9CC5-5094C763C955}">
      <formula1>Yes</formula1>
    </dataValidation>
    <dataValidation type="list" showInputMessage="1" showErrorMessage="1" sqref="V2:V204" xr:uid="{00000000-0002-0000-0000-000000000000}">
      <formula1>Applicable</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CBF5-54A6-48E5-9BF5-678F53E0A919}">
  <dimension ref="A1:CV3305"/>
  <sheetViews>
    <sheetView zoomScaleNormal="100" workbookViewId="0"/>
  </sheetViews>
  <sheetFormatPr defaultColWidth="20.54296875" defaultRowHeight="12.5" x14ac:dyDescent="0.25"/>
  <cols>
    <col min="1" max="1" width="10.54296875" style="40" customWidth="1"/>
    <col min="2" max="2" width="50.54296875" style="27" customWidth="1"/>
    <col min="3" max="3" width="5.54296875" style="27" customWidth="1"/>
    <col min="4" max="4" width="15.54296875" style="27" customWidth="1"/>
    <col min="5" max="5" width="5.54296875" style="27" customWidth="1"/>
    <col min="6" max="6" width="15.54296875" style="27" customWidth="1"/>
    <col min="7" max="7" width="5.54296875" style="27" customWidth="1"/>
    <col min="8" max="8" width="15.54296875" style="27" customWidth="1"/>
    <col min="9" max="9" width="5.54296875" style="27" customWidth="1"/>
    <col min="10" max="10" width="15.54296875" style="27" customWidth="1"/>
    <col min="11" max="11" width="5.54296875" style="27" customWidth="1"/>
    <col min="12" max="12" width="15.54296875" style="27" customWidth="1"/>
    <col min="13" max="13" width="5.54296875" style="27" customWidth="1"/>
    <col min="14" max="14" width="15.54296875" style="27" customWidth="1"/>
    <col min="15" max="15" width="5.54296875" style="27" customWidth="1"/>
    <col min="16" max="16" width="15.54296875" style="27" customWidth="1"/>
    <col min="17" max="17" width="5.54296875" style="27" customWidth="1"/>
    <col min="18" max="18" width="15.54296875" style="27" customWidth="1"/>
    <col min="19" max="19" width="5.54296875" style="27" customWidth="1"/>
    <col min="20" max="20" width="15.54296875" style="27" customWidth="1"/>
    <col min="21" max="21" width="5.54296875" style="27" customWidth="1"/>
    <col min="22" max="22" width="15.54296875" style="27" customWidth="1"/>
    <col min="23" max="23" width="5.54296875" style="27" customWidth="1"/>
    <col min="24" max="24" width="15.54296875" style="27" customWidth="1"/>
    <col min="25" max="25" width="5.54296875" style="27" customWidth="1"/>
    <col min="26" max="26" width="15.54296875" style="27" customWidth="1"/>
    <col min="27" max="27" width="5.54296875" style="27" customWidth="1"/>
    <col min="28" max="28" width="15.54296875" style="27" customWidth="1"/>
    <col min="29" max="29" width="5.54296875" style="27" customWidth="1"/>
    <col min="30" max="30" width="15.54296875" style="27" customWidth="1"/>
    <col min="31" max="31" width="5.54296875" style="27" customWidth="1"/>
    <col min="32" max="32" width="15.54296875" style="27" customWidth="1"/>
    <col min="33" max="33" width="5.54296875" style="27" customWidth="1"/>
    <col min="34" max="34" width="15.54296875" style="27" customWidth="1"/>
    <col min="35" max="35" width="5.54296875" style="27" customWidth="1"/>
    <col min="36" max="36" width="15.54296875" style="27" customWidth="1"/>
    <col min="37" max="37" width="5.54296875" style="27" customWidth="1"/>
    <col min="38" max="38" width="15.54296875" style="27" customWidth="1"/>
    <col min="39" max="39" width="5.54296875" style="27" customWidth="1"/>
    <col min="40" max="40" width="15.54296875" style="27" customWidth="1"/>
    <col min="41" max="41" width="5.54296875" style="27" customWidth="1"/>
    <col min="42" max="42" width="15.54296875" style="27" customWidth="1"/>
    <col min="43" max="43" width="5.54296875" style="27" customWidth="1"/>
    <col min="44" max="44" width="15.54296875" style="27" customWidth="1"/>
    <col min="45" max="45" width="5.54296875" style="27" customWidth="1"/>
    <col min="46" max="46" width="15.54296875" style="27" customWidth="1"/>
    <col min="47" max="47" width="5.54296875" style="27" customWidth="1"/>
    <col min="48" max="48" width="15.54296875" style="27" customWidth="1"/>
    <col min="49" max="49" width="5.54296875" style="27" customWidth="1"/>
    <col min="50" max="50" width="15.54296875" style="27" customWidth="1"/>
    <col min="51" max="51" width="5.54296875" style="27" customWidth="1"/>
    <col min="52" max="52" width="15.54296875" style="27" customWidth="1"/>
    <col min="53" max="53" width="5.54296875" style="27" customWidth="1"/>
    <col min="54" max="54" width="15.54296875" style="27" customWidth="1"/>
    <col min="55" max="55" width="5.54296875" style="27" customWidth="1"/>
    <col min="56" max="56" width="15.54296875" style="27" customWidth="1"/>
    <col min="57" max="57" width="5.54296875" style="27" customWidth="1"/>
    <col min="58" max="58" width="15.54296875" style="27" customWidth="1"/>
    <col min="59" max="59" width="5.54296875" style="27" customWidth="1"/>
    <col min="60" max="60" width="15.54296875" style="27" customWidth="1"/>
    <col min="61" max="61" width="5.54296875" style="27" customWidth="1"/>
    <col min="62" max="62" width="15.54296875" style="27" customWidth="1"/>
    <col min="63" max="63" width="5.54296875" style="27" customWidth="1"/>
    <col min="64" max="64" width="15.54296875" style="27" customWidth="1"/>
    <col min="65" max="65" width="5.54296875" style="27" customWidth="1"/>
    <col min="66" max="66" width="15.54296875" style="27" customWidth="1"/>
    <col min="67" max="67" width="5.54296875" style="27" customWidth="1"/>
    <col min="68" max="68" width="15.54296875" style="27" customWidth="1"/>
    <col min="69" max="69" width="5.54296875" style="27" customWidth="1"/>
    <col min="70" max="70" width="15.54296875" style="27" customWidth="1"/>
    <col min="71" max="71" width="5.54296875" style="27" customWidth="1"/>
    <col min="72" max="72" width="15.54296875" style="27" customWidth="1"/>
    <col min="73" max="73" width="5.54296875" style="27" customWidth="1"/>
    <col min="74" max="74" width="15.54296875" style="27" customWidth="1"/>
    <col min="75" max="75" width="5.54296875" style="27" customWidth="1"/>
    <col min="76" max="76" width="15.54296875" style="27" customWidth="1"/>
    <col min="77" max="77" width="5.54296875" style="27" customWidth="1"/>
    <col min="78" max="78" width="15.54296875" style="27" customWidth="1"/>
    <col min="79" max="79" width="5.54296875" style="27" customWidth="1"/>
    <col min="80" max="80" width="15.54296875" style="27" customWidth="1"/>
    <col min="81" max="81" width="5.54296875" style="27" customWidth="1"/>
    <col min="82" max="82" width="15.54296875" style="27" customWidth="1"/>
    <col min="83" max="83" width="5.54296875" style="27" customWidth="1"/>
    <col min="84" max="84" width="15.54296875" style="27" customWidth="1"/>
    <col min="85" max="85" width="5.54296875" style="27" customWidth="1"/>
    <col min="86" max="86" width="15.54296875" style="27" customWidth="1"/>
    <col min="87" max="87" width="5.54296875" style="27" customWidth="1"/>
    <col min="88" max="88" width="15.54296875" style="27" customWidth="1"/>
    <col min="89" max="89" width="5.54296875" style="27" customWidth="1"/>
    <col min="90" max="90" width="15.54296875" style="27" customWidth="1"/>
    <col min="91" max="91" width="5.54296875" style="27" customWidth="1"/>
    <col min="92" max="92" width="15.54296875" style="27" customWidth="1"/>
    <col min="93" max="93" width="5.54296875" style="27" customWidth="1"/>
    <col min="94" max="94" width="15.54296875" style="27" customWidth="1"/>
    <col min="95" max="95" width="5.54296875" style="27" customWidth="1"/>
    <col min="96" max="96" width="15.54296875" style="27" customWidth="1"/>
    <col min="97" max="16384" width="20.54296875" style="27"/>
  </cols>
  <sheetData>
    <row r="1" spans="1:20" x14ac:dyDescent="0.25">
      <c r="B1" s="27" t="s">
        <v>6806</v>
      </c>
    </row>
    <row r="2" spans="1:20" x14ac:dyDescent="0.25">
      <c r="B2" s="40" t="s">
        <v>6807</v>
      </c>
      <c r="C2" s="40"/>
      <c r="D2" s="40"/>
      <c r="E2" s="40"/>
      <c r="F2" s="40"/>
    </row>
    <row r="3" spans="1:20" x14ac:dyDescent="0.25">
      <c r="B3" s="70" t="s">
        <v>4</v>
      </c>
      <c r="C3" s="98" t="s">
        <v>6808</v>
      </c>
      <c r="D3" s="98"/>
      <c r="E3" s="98"/>
      <c r="F3" s="98"/>
    </row>
    <row r="4" spans="1:20" x14ac:dyDescent="0.25">
      <c r="B4" s="70"/>
      <c r="C4" s="99"/>
      <c r="D4" s="99"/>
      <c r="E4" s="99"/>
      <c r="F4" s="99"/>
    </row>
    <row r="5" spans="1:20" x14ac:dyDescent="0.25">
      <c r="B5" s="70"/>
      <c r="C5" s="99"/>
      <c r="D5" s="99"/>
      <c r="E5" s="99"/>
      <c r="F5" s="99"/>
    </row>
    <row r="7" spans="1:20" x14ac:dyDescent="0.25">
      <c r="B7" s="40" t="s">
        <v>6809</v>
      </c>
      <c r="C7" s="40"/>
      <c r="D7" s="40"/>
    </row>
    <row r="8" spans="1:20" x14ac:dyDescent="0.25">
      <c r="B8" s="40" t="s">
        <v>6810</v>
      </c>
      <c r="C8" s="40"/>
      <c r="D8" s="40"/>
    </row>
    <row r="9" spans="1:20" x14ac:dyDescent="0.25">
      <c r="B9" s="40" t="s">
        <v>6811</v>
      </c>
      <c r="C9" s="40"/>
      <c r="D9" s="40"/>
    </row>
    <row r="10" spans="1:20" x14ac:dyDescent="0.25">
      <c r="B10" s="42" t="s">
        <v>6812</v>
      </c>
      <c r="C10" s="40"/>
      <c r="D10" s="40"/>
    </row>
    <row r="11" spans="1:20" x14ac:dyDescent="0.25">
      <c r="B11" s="42" t="s">
        <v>6813</v>
      </c>
      <c r="C11" s="40"/>
      <c r="D11" s="40"/>
    </row>
    <row r="12" spans="1:20" ht="14.5" x14ac:dyDescent="0.35">
      <c r="B12" s="42" t="s">
        <v>6814</v>
      </c>
      <c r="C12" s="40"/>
      <c r="D12" s="40"/>
      <c r="E12"/>
      <c r="F12"/>
    </row>
    <row r="13" spans="1:20" ht="100" customHeight="1" x14ac:dyDescent="0.25">
      <c r="A13" s="41" t="str">
        <f>_xlfn.CONCAT("Sample test results are documented in ",'Sample Tables'!B7," [",'Sample Tables'!B8,", ",'Sample Tables'!B9,", ",'Sample Tables'!B10,", ",'Sample Tables'!B11,", ",'Sample Tables'!B12,"]."&amp;CHAR(10))</f>
        <v xml:space="preserve">Sample test results are documented in Test 001: Access Account (business partner) [Population Source/Tool: , Population Date Range: , Population Size: , Sample Methodology: , Sample Size: ].
</v>
      </c>
      <c r="B13" s="95" t="s">
        <v>6815</v>
      </c>
      <c r="C13" s="93" t="s">
        <v>6816</v>
      </c>
      <c r="D13" s="94"/>
      <c r="E13" s="93" t="s">
        <v>6817</v>
      </c>
      <c r="F13" s="94"/>
      <c r="G13" s="93" t="s">
        <v>6818</v>
      </c>
      <c r="H13" s="94"/>
      <c r="I13" s="93" t="s">
        <v>6819</v>
      </c>
      <c r="J13" s="94"/>
      <c r="K13" s="93" t="s">
        <v>6820</v>
      </c>
      <c r="L13" s="94"/>
      <c r="M13" s="93" t="s">
        <v>6821</v>
      </c>
      <c r="N13" s="94"/>
      <c r="O13" s="93" t="s">
        <v>6822</v>
      </c>
      <c r="P13" s="94"/>
      <c r="Q13" s="93" t="s">
        <v>6822</v>
      </c>
      <c r="R13" s="94"/>
      <c r="S13" s="93" t="s">
        <v>6823</v>
      </c>
      <c r="T13" s="94"/>
    </row>
    <row r="14" spans="1:20" x14ac:dyDescent="0.25">
      <c r="B14" s="96"/>
      <c r="C14" s="91" t="s">
        <v>2510</v>
      </c>
      <c r="D14" s="92"/>
      <c r="E14" s="91" t="s">
        <v>2688</v>
      </c>
      <c r="F14" s="92"/>
      <c r="G14" s="91" t="s">
        <v>2688</v>
      </c>
      <c r="H14" s="92"/>
      <c r="I14" s="91" t="s">
        <v>2856</v>
      </c>
      <c r="J14" s="92"/>
      <c r="K14" s="91" t="s">
        <v>2856</v>
      </c>
      <c r="L14" s="92"/>
      <c r="M14" s="91" t="s">
        <v>2966</v>
      </c>
      <c r="N14" s="92"/>
      <c r="O14" s="91" t="s">
        <v>3022</v>
      </c>
      <c r="P14" s="92"/>
      <c r="Q14" s="91" t="s">
        <v>3874</v>
      </c>
      <c r="R14" s="92"/>
      <c r="S14" s="91" t="s">
        <v>3874</v>
      </c>
      <c r="T14" s="92"/>
    </row>
    <row r="15" spans="1:20" x14ac:dyDescent="0.25">
      <c r="B15" s="97"/>
      <c r="C15" s="71" t="s">
        <v>6824</v>
      </c>
      <c r="D15" s="71" t="s">
        <v>6825</v>
      </c>
      <c r="E15" s="71" t="s">
        <v>6824</v>
      </c>
      <c r="F15" s="71" t="s">
        <v>6825</v>
      </c>
      <c r="G15" s="71" t="s">
        <v>6824</v>
      </c>
      <c r="H15" s="71" t="s">
        <v>6825</v>
      </c>
      <c r="I15" s="71" t="s">
        <v>6824</v>
      </c>
      <c r="J15" s="71" t="s">
        <v>6825</v>
      </c>
      <c r="K15" s="71" t="s">
        <v>6824</v>
      </c>
      <c r="L15" s="71" t="s">
        <v>6825</v>
      </c>
      <c r="M15" s="71" t="s">
        <v>6824</v>
      </c>
      <c r="N15" s="71" t="s">
        <v>6825</v>
      </c>
      <c r="O15" s="71" t="s">
        <v>6824</v>
      </c>
      <c r="P15" s="71" t="s">
        <v>6825</v>
      </c>
      <c r="Q15" s="71" t="s">
        <v>6824</v>
      </c>
      <c r="R15" s="71" t="s">
        <v>6825</v>
      </c>
      <c r="S15" s="71" t="s">
        <v>6824</v>
      </c>
      <c r="T15" s="71" t="s">
        <v>6825</v>
      </c>
    </row>
    <row r="16" spans="1:20" x14ac:dyDescent="0.25">
      <c r="B16" s="72"/>
      <c r="C16" s="71"/>
      <c r="D16" s="73"/>
      <c r="E16" s="71"/>
      <c r="F16" s="73"/>
      <c r="G16" s="71"/>
      <c r="H16" s="73"/>
      <c r="I16" s="71"/>
      <c r="J16" s="73"/>
      <c r="K16" s="71"/>
      <c r="L16" s="73"/>
      <c r="M16" s="71"/>
      <c r="N16" s="73"/>
      <c r="O16" s="71"/>
      <c r="P16" s="73"/>
      <c r="Q16" s="71"/>
      <c r="R16" s="73"/>
      <c r="S16" s="71"/>
      <c r="T16" s="73"/>
    </row>
    <row r="18" spans="1:22" x14ac:dyDescent="0.25">
      <c r="B18" s="40" t="s">
        <v>6826</v>
      </c>
      <c r="C18" s="40"/>
      <c r="D18" s="40"/>
    </row>
    <row r="19" spans="1:22" x14ac:dyDescent="0.25">
      <c r="B19" s="40" t="s">
        <v>6810</v>
      </c>
      <c r="C19" s="40"/>
      <c r="D19" s="40"/>
    </row>
    <row r="20" spans="1:22" x14ac:dyDescent="0.25">
      <c r="B20" s="40" t="s">
        <v>6811</v>
      </c>
      <c r="C20" s="40"/>
      <c r="D20" s="40"/>
    </row>
    <row r="21" spans="1:22" x14ac:dyDescent="0.25">
      <c r="B21" s="42" t="s">
        <v>6812</v>
      </c>
      <c r="C21" s="40"/>
      <c r="D21" s="40"/>
    </row>
    <row r="22" spans="1:22" x14ac:dyDescent="0.25">
      <c r="B22" s="42" t="s">
        <v>6813</v>
      </c>
      <c r="C22" s="40"/>
      <c r="D22" s="40"/>
    </row>
    <row r="23" spans="1:22" x14ac:dyDescent="0.25">
      <c r="B23" s="42" t="s">
        <v>6814</v>
      </c>
      <c r="C23" s="40"/>
      <c r="D23" s="40"/>
    </row>
    <row r="24" spans="1:22" ht="100" customHeight="1" x14ac:dyDescent="0.25">
      <c r="A24" s="41" t="str">
        <f>_xlfn.CONCAT("Sample test results are documented in ",'Sample Tables'!B18," [",'Sample Tables'!B19,", ",'Sample Tables'!B20,", ",'Sample Tables'!B21,", ",'Sample Tables'!B22,", ",'Sample Tables'!B23,"]."&amp;CHAR(10))</f>
        <v xml:space="preserve">Sample test results are documented in Test 002: Access Account (group/shared/generic) [Population Source/Tool: , Population Date Range: , Population Size: , Sample Methodology: , Sample Size: ].
</v>
      </c>
      <c r="B24" s="95" t="s">
        <v>6815</v>
      </c>
      <c r="C24" s="93" t="s">
        <v>6827</v>
      </c>
      <c r="D24" s="94"/>
      <c r="E24" s="93" t="s">
        <v>6828</v>
      </c>
      <c r="F24" s="94"/>
      <c r="V24" s="58"/>
    </row>
    <row r="25" spans="1:22" x14ac:dyDescent="0.25">
      <c r="B25" s="96"/>
      <c r="C25" s="91" t="s">
        <v>2970</v>
      </c>
      <c r="D25" s="92"/>
      <c r="E25" s="91" t="s">
        <v>2970</v>
      </c>
      <c r="F25" s="92"/>
    </row>
    <row r="26" spans="1:22" x14ac:dyDescent="0.25">
      <c r="B26" s="97"/>
      <c r="C26" s="71" t="s">
        <v>6824</v>
      </c>
      <c r="D26" s="71" t="s">
        <v>6825</v>
      </c>
      <c r="E26" s="71" t="s">
        <v>6824</v>
      </c>
      <c r="F26" s="71" t="s">
        <v>6825</v>
      </c>
    </row>
    <row r="27" spans="1:22" x14ac:dyDescent="0.25">
      <c r="B27" s="72"/>
      <c r="C27" s="71"/>
      <c r="D27" s="73"/>
      <c r="E27" s="71"/>
      <c r="F27" s="73"/>
    </row>
    <row r="29" spans="1:22" x14ac:dyDescent="0.25">
      <c r="B29" s="40" t="s">
        <v>6829</v>
      </c>
      <c r="C29" s="40"/>
      <c r="D29" s="40"/>
    </row>
    <row r="30" spans="1:22" x14ac:dyDescent="0.25">
      <c r="B30" s="40" t="s">
        <v>6810</v>
      </c>
      <c r="C30" s="40"/>
      <c r="D30" s="40"/>
    </row>
    <row r="31" spans="1:22" x14ac:dyDescent="0.25">
      <c r="B31" s="40" t="s">
        <v>6811</v>
      </c>
      <c r="C31" s="40"/>
      <c r="D31" s="40"/>
    </row>
    <row r="32" spans="1:22" x14ac:dyDescent="0.25">
      <c r="B32" s="42" t="s">
        <v>6812</v>
      </c>
      <c r="C32" s="40"/>
      <c r="D32" s="40"/>
    </row>
    <row r="33" spans="1:22" x14ac:dyDescent="0.25">
      <c r="B33" s="42" t="s">
        <v>6813</v>
      </c>
      <c r="C33" s="40"/>
      <c r="D33" s="40"/>
    </row>
    <row r="34" spans="1:22" x14ac:dyDescent="0.25">
      <c r="B34" s="42" t="s">
        <v>6814</v>
      </c>
      <c r="C34" s="40"/>
      <c r="D34" s="40"/>
    </row>
    <row r="35" spans="1:22" ht="100" customHeight="1" x14ac:dyDescent="0.25">
      <c r="A35" s="41" t="str">
        <f>_xlfn.CONCAT("Sample test results are documented in ",'Sample Tables'!B29," [",'Sample Tables'!B30,", ",'Sample Tables'!B31,", ",'Sample Tables'!B32,", ",'Sample Tables'!B33,", ",'Sample Tables'!B34,"]."&amp;CHAR(10))</f>
        <v xml:space="preserve">Sample test results are documented in Test 003: Access Account (privileged) [Population Source/Tool: , Population Date Range: , Population Size: , Sample Methodology: , Sample Size: ].
</v>
      </c>
      <c r="B35" s="95" t="s">
        <v>6815</v>
      </c>
      <c r="C35" s="93" t="s">
        <v>6816</v>
      </c>
      <c r="D35" s="94"/>
      <c r="E35" s="93" t="s">
        <v>6817</v>
      </c>
      <c r="F35" s="94"/>
      <c r="G35" s="93" t="s">
        <v>6818</v>
      </c>
      <c r="H35" s="94"/>
      <c r="I35" s="93" t="s">
        <v>6830</v>
      </c>
      <c r="J35" s="94"/>
      <c r="K35" s="93" t="s">
        <v>6831</v>
      </c>
      <c r="L35" s="94"/>
      <c r="M35" s="93" t="s">
        <v>6821</v>
      </c>
      <c r="N35" s="94"/>
      <c r="O35" s="93" t="s">
        <v>6832</v>
      </c>
      <c r="P35" s="94"/>
      <c r="Q35" s="93" t="s">
        <v>6831</v>
      </c>
      <c r="R35" s="94"/>
      <c r="S35" s="93" t="s">
        <v>6833</v>
      </c>
      <c r="T35" s="94"/>
      <c r="U35" s="93" t="s">
        <v>6833</v>
      </c>
      <c r="V35" s="94"/>
    </row>
    <row r="36" spans="1:22" x14ac:dyDescent="0.25">
      <c r="B36" s="96"/>
      <c r="C36" s="91" t="s">
        <v>2510</v>
      </c>
      <c r="D36" s="92"/>
      <c r="E36" s="91" t="s">
        <v>2688</v>
      </c>
      <c r="F36" s="92"/>
      <c r="G36" s="91" t="s">
        <v>2688</v>
      </c>
      <c r="H36" s="92"/>
      <c r="I36" s="91" t="s">
        <v>2743</v>
      </c>
      <c r="J36" s="92"/>
      <c r="K36" s="91" t="s">
        <v>2880</v>
      </c>
      <c r="L36" s="92"/>
      <c r="M36" s="91" t="s">
        <v>2966</v>
      </c>
      <c r="N36" s="92"/>
      <c r="O36" s="91" t="s">
        <v>3010</v>
      </c>
      <c r="P36" s="92"/>
      <c r="Q36" s="91" t="s">
        <v>3018</v>
      </c>
      <c r="R36" s="92"/>
      <c r="S36" s="91" t="s">
        <v>3018</v>
      </c>
      <c r="T36" s="92"/>
      <c r="U36" s="91" t="s">
        <v>3026</v>
      </c>
      <c r="V36" s="92"/>
    </row>
    <row r="37" spans="1:22" x14ac:dyDescent="0.25">
      <c r="B37" s="97"/>
      <c r="C37" s="71" t="s">
        <v>6824</v>
      </c>
      <c r="D37" s="71" t="s">
        <v>6825</v>
      </c>
      <c r="E37" s="71" t="s">
        <v>6824</v>
      </c>
      <c r="F37" s="71" t="s">
        <v>6825</v>
      </c>
      <c r="G37" s="71" t="s">
        <v>6824</v>
      </c>
      <c r="H37" s="71" t="s">
        <v>6825</v>
      </c>
      <c r="I37" s="71" t="s">
        <v>6824</v>
      </c>
      <c r="J37" s="71" t="s">
        <v>6825</v>
      </c>
      <c r="K37" s="71" t="s">
        <v>6824</v>
      </c>
      <c r="L37" s="71" t="s">
        <v>6825</v>
      </c>
      <c r="M37" s="71" t="s">
        <v>6824</v>
      </c>
      <c r="N37" s="71" t="s">
        <v>6825</v>
      </c>
      <c r="O37" s="71" t="s">
        <v>6824</v>
      </c>
      <c r="P37" s="71" t="s">
        <v>6825</v>
      </c>
      <c r="Q37" s="71" t="s">
        <v>6824</v>
      </c>
      <c r="R37" s="71" t="s">
        <v>6825</v>
      </c>
      <c r="S37" s="71" t="s">
        <v>6824</v>
      </c>
      <c r="T37" s="71" t="s">
        <v>6825</v>
      </c>
      <c r="U37" s="71" t="s">
        <v>6824</v>
      </c>
      <c r="V37" s="71" t="s">
        <v>6825</v>
      </c>
    </row>
    <row r="38" spans="1:22" x14ac:dyDescent="0.25">
      <c r="B38" s="72"/>
      <c r="C38" s="71"/>
      <c r="D38" s="73"/>
      <c r="E38" s="71"/>
      <c r="F38" s="73"/>
      <c r="G38" s="71"/>
      <c r="H38" s="73"/>
      <c r="I38" s="71"/>
      <c r="J38" s="73"/>
      <c r="K38" s="71"/>
      <c r="L38" s="73"/>
      <c r="M38" s="71"/>
      <c r="N38" s="73"/>
      <c r="O38" s="71"/>
      <c r="P38" s="73"/>
      <c r="Q38" s="71"/>
      <c r="R38" s="73"/>
      <c r="S38" s="71"/>
      <c r="T38" s="73"/>
      <c r="U38" s="71"/>
      <c r="V38" s="73"/>
    </row>
    <row r="40" spans="1:22" x14ac:dyDescent="0.25">
      <c r="B40" s="40" t="s">
        <v>6834</v>
      </c>
      <c r="C40" s="40"/>
      <c r="D40" s="40"/>
    </row>
    <row r="41" spans="1:22" x14ac:dyDescent="0.25">
      <c r="B41" s="40" t="s">
        <v>6810</v>
      </c>
      <c r="C41" s="40"/>
      <c r="D41" s="40"/>
    </row>
    <row r="42" spans="1:22" x14ac:dyDescent="0.25">
      <c r="B42" s="40" t="s">
        <v>6811</v>
      </c>
      <c r="C42" s="40"/>
      <c r="D42" s="40"/>
    </row>
    <row r="43" spans="1:22" x14ac:dyDescent="0.25">
      <c r="B43" s="42" t="s">
        <v>6812</v>
      </c>
      <c r="C43" s="40"/>
      <c r="D43" s="40"/>
    </row>
    <row r="44" spans="1:22" x14ac:dyDescent="0.25">
      <c r="B44" s="42" t="s">
        <v>6813</v>
      </c>
      <c r="C44" s="40"/>
      <c r="D44" s="40"/>
    </row>
    <row r="45" spans="1:22" x14ac:dyDescent="0.25">
      <c r="B45" s="42" t="s">
        <v>6814</v>
      </c>
      <c r="C45" s="40"/>
      <c r="D45" s="40"/>
    </row>
    <row r="46" spans="1:22" ht="100" customHeight="1" x14ac:dyDescent="0.25">
      <c r="A46" s="41" t="str">
        <f>_xlfn.CONCAT("Sample test results are documented in ",'Sample Tables'!B40," [",'Sample Tables'!B41,", ",'Sample Tables'!B42,", ",'Sample Tables'!B43,", ",'Sample Tables'!B44,", ",'Sample Tables'!B45,"]."&amp;CHAR(10))</f>
        <v xml:space="preserve">Sample test results are documented in Test 004: Access Account (service) [Population Source/Tool: , Population Date Range: , Population Size: , Sample Methodology: , Sample Size: ].
</v>
      </c>
      <c r="B46" s="95" t="s">
        <v>6815</v>
      </c>
      <c r="C46" s="93" t="s">
        <v>6816</v>
      </c>
      <c r="D46" s="94"/>
      <c r="E46" s="93" t="s">
        <v>6817</v>
      </c>
      <c r="F46" s="94"/>
      <c r="G46" s="93" t="s">
        <v>6818</v>
      </c>
      <c r="H46" s="94"/>
      <c r="I46" s="93" t="s">
        <v>6821</v>
      </c>
      <c r="J46" s="94"/>
    </row>
    <row r="47" spans="1:22" x14ac:dyDescent="0.25">
      <c r="B47" s="96"/>
      <c r="C47" s="91" t="s">
        <v>2510</v>
      </c>
      <c r="D47" s="92"/>
      <c r="E47" s="91" t="s">
        <v>2688</v>
      </c>
      <c r="F47" s="92"/>
      <c r="G47" s="91" t="s">
        <v>2688</v>
      </c>
      <c r="H47" s="92"/>
      <c r="I47" s="91" t="s">
        <v>2966</v>
      </c>
      <c r="J47" s="92"/>
    </row>
    <row r="48" spans="1:22" x14ac:dyDescent="0.25">
      <c r="B48" s="97"/>
      <c r="C48" s="71" t="s">
        <v>6824</v>
      </c>
      <c r="D48" s="71" t="s">
        <v>6825</v>
      </c>
      <c r="E48" s="71" t="s">
        <v>6824</v>
      </c>
      <c r="F48" s="71" t="s">
        <v>6825</v>
      </c>
      <c r="G48" s="71" t="s">
        <v>6824</v>
      </c>
      <c r="H48" s="71" t="s">
        <v>6825</v>
      </c>
      <c r="I48" s="71" t="s">
        <v>6824</v>
      </c>
      <c r="J48" s="71" t="s">
        <v>6825</v>
      </c>
    </row>
    <row r="49" spans="1:10" x14ac:dyDescent="0.25">
      <c r="B49" s="72"/>
      <c r="C49" s="71"/>
      <c r="D49" s="73"/>
      <c r="E49" s="71"/>
      <c r="F49" s="73"/>
      <c r="G49" s="71"/>
      <c r="H49" s="73"/>
      <c r="I49" s="71"/>
      <c r="J49" s="73"/>
    </row>
    <row r="51" spans="1:10" x14ac:dyDescent="0.25">
      <c r="B51" s="40" t="s">
        <v>6835</v>
      </c>
      <c r="C51" s="40"/>
      <c r="D51" s="40"/>
    </row>
    <row r="52" spans="1:10" x14ac:dyDescent="0.25">
      <c r="B52" s="40" t="s">
        <v>6810</v>
      </c>
      <c r="C52" s="40"/>
      <c r="D52" s="40"/>
    </row>
    <row r="53" spans="1:10" x14ac:dyDescent="0.25">
      <c r="B53" s="40" t="s">
        <v>6811</v>
      </c>
      <c r="C53" s="40"/>
      <c r="D53" s="40"/>
    </row>
    <row r="54" spans="1:10" x14ac:dyDescent="0.25">
      <c r="B54" s="42" t="s">
        <v>6812</v>
      </c>
      <c r="C54" s="40"/>
      <c r="D54" s="40"/>
    </row>
    <row r="55" spans="1:10" x14ac:dyDescent="0.25">
      <c r="B55" s="42" t="s">
        <v>6813</v>
      </c>
      <c r="C55" s="40"/>
      <c r="D55" s="40"/>
    </row>
    <row r="56" spans="1:10" x14ac:dyDescent="0.25">
      <c r="B56" s="42" t="s">
        <v>6814</v>
      </c>
      <c r="C56" s="40"/>
      <c r="D56" s="40"/>
    </row>
    <row r="57" spans="1:10" x14ac:dyDescent="0.25">
      <c r="A57" s="41" t="str">
        <f>_xlfn.CONCAT("Sample test results are documented in ",'Sample Tables'!B51," [",'Sample Tables'!B52,", ",'Sample Tables'!B53,", ",'Sample Tables'!B54,", ",'Sample Tables'!B55,", ",'Sample Tables'!B56,"]."&amp;CHAR(10))</f>
        <v xml:space="preserve">Sample test results are documented in Test 005: Access Account (standard with LAN access to information system component/resource) [Population Source/Tool: , Population Date Range: , Population Size: , Sample Methodology: , Sample Size: ].
</v>
      </c>
      <c r="B57" s="95" t="s">
        <v>6815</v>
      </c>
      <c r="C57" s="93"/>
      <c r="D57" s="94"/>
    </row>
    <row r="58" spans="1:10" x14ac:dyDescent="0.25">
      <c r="B58" s="96"/>
      <c r="C58" s="91"/>
      <c r="D58" s="92"/>
    </row>
    <row r="59" spans="1:10" x14ac:dyDescent="0.25">
      <c r="B59" s="97"/>
      <c r="C59" s="71" t="s">
        <v>6824</v>
      </c>
      <c r="D59" s="71" t="s">
        <v>6825</v>
      </c>
    </row>
    <row r="60" spans="1:10" x14ac:dyDescent="0.25">
      <c r="B60" s="72"/>
      <c r="C60" s="71"/>
      <c r="D60" s="73"/>
    </row>
    <row r="62" spans="1:10" x14ac:dyDescent="0.25">
      <c r="B62" s="40" t="s">
        <v>6836</v>
      </c>
      <c r="C62" s="40"/>
      <c r="D62" s="40"/>
    </row>
    <row r="63" spans="1:10" x14ac:dyDescent="0.25">
      <c r="B63" s="40" t="s">
        <v>6810</v>
      </c>
      <c r="C63" s="40"/>
      <c r="D63" s="40"/>
    </row>
    <row r="64" spans="1:10" x14ac:dyDescent="0.25">
      <c r="B64" s="40" t="s">
        <v>6811</v>
      </c>
      <c r="C64" s="40"/>
      <c r="D64" s="40"/>
    </row>
    <row r="65" spans="1:4" x14ac:dyDescent="0.25">
      <c r="B65" s="42" t="s">
        <v>6812</v>
      </c>
      <c r="C65" s="40"/>
      <c r="D65" s="40"/>
    </row>
    <row r="66" spans="1:4" x14ac:dyDescent="0.25">
      <c r="B66" s="42" t="s">
        <v>6813</v>
      </c>
      <c r="C66" s="40"/>
      <c r="D66" s="40"/>
    </row>
    <row r="67" spans="1:4" x14ac:dyDescent="0.25">
      <c r="B67" s="42" t="s">
        <v>6814</v>
      </c>
      <c r="C67" s="40"/>
      <c r="D67" s="40"/>
    </row>
    <row r="68" spans="1:4" ht="100" customHeight="1" x14ac:dyDescent="0.25">
      <c r="A68" s="41" t="str">
        <f>_xlfn.CONCAT("Sample test results are documented in ",'Sample Tables'!B62," [",'Sample Tables'!B63,", ",'Sample Tables'!B64,", ",'Sample Tables'!B65,", ",'Sample Tables'!B66,", ",'Sample Tables'!B67,"]."&amp;CHAR(10))</f>
        <v xml:space="preserve">Sample test results are documented in Test 006: Access Account (standard) [Population Source/Tool: , Population Date Range: , Population Size: , Sample Methodology: , Sample Size: ].
</v>
      </c>
      <c r="B68" s="95" t="s">
        <v>6815</v>
      </c>
      <c r="C68" s="93" t="s">
        <v>6830</v>
      </c>
      <c r="D68" s="94"/>
    </row>
    <row r="69" spans="1:4" x14ac:dyDescent="0.25">
      <c r="B69" s="96"/>
      <c r="C69" s="91" t="s">
        <v>2743</v>
      </c>
      <c r="D69" s="92"/>
    </row>
    <row r="70" spans="1:4" x14ac:dyDescent="0.25">
      <c r="B70" s="97"/>
      <c r="C70" s="71" t="s">
        <v>6824</v>
      </c>
      <c r="D70" s="71" t="s">
        <v>6825</v>
      </c>
    </row>
    <row r="71" spans="1:4" x14ac:dyDescent="0.25">
      <c r="B71" s="72"/>
      <c r="C71" s="71"/>
      <c r="D71" s="73"/>
    </row>
    <row r="73" spans="1:4" x14ac:dyDescent="0.25">
      <c r="B73" s="40" t="s">
        <v>6837</v>
      </c>
      <c r="C73" s="40"/>
      <c r="D73" s="40"/>
    </row>
    <row r="74" spans="1:4" x14ac:dyDescent="0.25">
      <c r="B74" s="40" t="s">
        <v>6810</v>
      </c>
      <c r="C74" s="40"/>
      <c r="D74" s="40"/>
    </row>
    <row r="75" spans="1:4" x14ac:dyDescent="0.25">
      <c r="B75" s="40" t="s">
        <v>6811</v>
      </c>
      <c r="C75" s="40"/>
      <c r="D75" s="40"/>
    </row>
    <row r="76" spans="1:4" x14ac:dyDescent="0.25">
      <c r="B76" s="42" t="s">
        <v>6812</v>
      </c>
      <c r="C76" s="40"/>
      <c r="D76" s="40"/>
    </row>
    <row r="77" spans="1:4" x14ac:dyDescent="0.25">
      <c r="B77" s="42" t="s">
        <v>6813</v>
      </c>
      <c r="C77" s="40"/>
      <c r="D77" s="40"/>
    </row>
    <row r="78" spans="1:4" x14ac:dyDescent="0.25">
      <c r="B78" s="42" t="s">
        <v>6814</v>
      </c>
      <c r="C78" s="40"/>
      <c r="D78" s="40"/>
    </row>
    <row r="79" spans="1:4" x14ac:dyDescent="0.25">
      <c r="A79" s="41" t="str">
        <f>_xlfn.CONCAT("Sample test results are documented in ",'Sample Tables'!B73," [",'Sample Tables'!B74,", ",'Sample Tables'!B75,", ",'Sample Tables'!B76,", ",'Sample Tables'!B77,", ",'Sample Tables'!B78,"]."&amp;CHAR(10))</f>
        <v xml:space="preserve">Sample test results are documented in Test 007: Access Account (vendor with remote access to client/customer information) [Population Source/Tool: , Population Date Range: , Population Size: , Sample Methodology: , Sample Size: ].
</v>
      </c>
      <c r="B79" s="95" t="s">
        <v>6815</v>
      </c>
      <c r="C79" s="93"/>
      <c r="D79" s="94"/>
    </row>
    <row r="80" spans="1:4" x14ac:dyDescent="0.25">
      <c r="B80" s="96"/>
      <c r="C80" s="91"/>
      <c r="D80" s="92"/>
    </row>
    <row r="81" spans="1:24" x14ac:dyDescent="0.25">
      <c r="B81" s="97"/>
      <c r="C81" s="71" t="s">
        <v>6824</v>
      </c>
      <c r="D81" s="71" t="s">
        <v>6825</v>
      </c>
    </row>
    <row r="82" spans="1:24" x14ac:dyDescent="0.25">
      <c r="B82" s="72"/>
      <c r="C82" s="71"/>
      <c r="D82" s="73"/>
    </row>
    <row r="84" spans="1:24" x14ac:dyDescent="0.25">
      <c r="B84" s="40" t="s">
        <v>6838</v>
      </c>
      <c r="C84" s="40"/>
      <c r="D84" s="40"/>
    </row>
    <row r="85" spans="1:24" x14ac:dyDescent="0.25">
      <c r="B85" s="40" t="s">
        <v>6810</v>
      </c>
      <c r="C85" s="40"/>
      <c r="D85" s="40"/>
    </row>
    <row r="86" spans="1:24" x14ac:dyDescent="0.25">
      <c r="B86" s="40" t="s">
        <v>6811</v>
      </c>
      <c r="C86" s="40"/>
      <c r="D86" s="40"/>
    </row>
    <row r="87" spans="1:24" x14ac:dyDescent="0.25">
      <c r="B87" s="42" t="s">
        <v>6812</v>
      </c>
      <c r="C87" s="40"/>
      <c r="D87" s="40"/>
    </row>
    <row r="88" spans="1:24" x14ac:dyDescent="0.25">
      <c r="B88" s="42" t="s">
        <v>6813</v>
      </c>
      <c r="C88" s="40"/>
      <c r="D88" s="40"/>
    </row>
    <row r="89" spans="1:24" x14ac:dyDescent="0.25">
      <c r="B89" s="42" t="s">
        <v>6814</v>
      </c>
      <c r="C89" s="40"/>
      <c r="D89" s="40"/>
    </row>
    <row r="90" spans="1:24" ht="100" customHeight="1" x14ac:dyDescent="0.25">
      <c r="A90" s="41" t="str">
        <f>_xlfn.CONCAT("Sample test results are documented in ",'Sample Tables'!B84," [",'Sample Tables'!B85,", ",'Sample Tables'!B86,", ",'Sample Tables'!B87,", ",'Sample Tables'!B88,", ",'Sample Tables'!B89,"]."&amp;CHAR(10))</f>
        <v xml:space="preserve">Sample test results are documented in Test 008: Access Account (vendor) [Population Source/Tool: , Population Date Range: , Population Size: , Sample Methodology: , Sample Size: ].
</v>
      </c>
      <c r="B90" s="95" t="s">
        <v>6815</v>
      </c>
      <c r="C90" s="93" t="s">
        <v>6816</v>
      </c>
      <c r="D90" s="94"/>
      <c r="E90" s="93" t="s">
        <v>6817</v>
      </c>
      <c r="F90" s="94"/>
      <c r="G90" s="93" t="s">
        <v>6818</v>
      </c>
      <c r="H90" s="94"/>
      <c r="I90" s="93" t="s">
        <v>6819</v>
      </c>
      <c r="J90" s="94"/>
      <c r="K90" s="93" t="s">
        <v>6820</v>
      </c>
      <c r="L90" s="94"/>
      <c r="M90" s="93" t="s">
        <v>6821</v>
      </c>
      <c r="N90" s="94"/>
      <c r="O90" s="93" t="s">
        <v>6822</v>
      </c>
      <c r="P90" s="94"/>
      <c r="Q90" s="93" t="s">
        <v>6823</v>
      </c>
      <c r="R90" s="94"/>
      <c r="S90" s="93" t="s">
        <v>6817</v>
      </c>
      <c r="T90" s="94"/>
      <c r="U90" s="93" t="s">
        <v>6819</v>
      </c>
      <c r="V90" s="94"/>
      <c r="W90" s="93" t="s">
        <v>6822</v>
      </c>
      <c r="X90" s="94"/>
    </row>
    <row r="91" spans="1:24" x14ac:dyDescent="0.25">
      <c r="B91" s="96"/>
      <c r="C91" s="91" t="s">
        <v>2510</v>
      </c>
      <c r="D91" s="92"/>
      <c r="E91" s="91" t="s">
        <v>2688</v>
      </c>
      <c r="F91" s="92"/>
      <c r="G91" s="91" t="s">
        <v>2688</v>
      </c>
      <c r="H91" s="92"/>
      <c r="I91" s="91" t="s">
        <v>2856</v>
      </c>
      <c r="J91" s="92"/>
      <c r="K91" s="91" t="s">
        <v>2856</v>
      </c>
      <c r="L91" s="92"/>
      <c r="M91" s="91" t="s">
        <v>2966</v>
      </c>
      <c r="N91" s="92"/>
      <c r="O91" s="91" t="s">
        <v>3874</v>
      </c>
      <c r="P91" s="92"/>
      <c r="Q91" s="91" t="s">
        <v>3874</v>
      </c>
      <c r="R91" s="92"/>
      <c r="S91" s="91" t="s">
        <v>3980</v>
      </c>
      <c r="T91" s="92"/>
      <c r="U91" s="91" t="s">
        <v>3980</v>
      </c>
      <c r="V91" s="92"/>
      <c r="W91" s="91" t="s">
        <v>3980</v>
      </c>
      <c r="X91" s="92"/>
    </row>
    <row r="92" spans="1:24" x14ac:dyDescent="0.25">
      <c r="B92" s="97"/>
      <c r="C92" s="71" t="s">
        <v>6824</v>
      </c>
      <c r="D92" s="71" t="s">
        <v>6825</v>
      </c>
      <c r="E92" s="71" t="s">
        <v>6824</v>
      </c>
      <c r="F92" s="71" t="s">
        <v>6825</v>
      </c>
      <c r="G92" s="71" t="s">
        <v>6824</v>
      </c>
      <c r="H92" s="71" t="s">
        <v>6825</v>
      </c>
      <c r="I92" s="71" t="s">
        <v>6824</v>
      </c>
      <c r="J92" s="71" t="s">
        <v>6825</v>
      </c>
      <c r="K92" s="71" t="s">
        <v>6824</v>
      </c>
      <c r="L92" s="71" t="s">
        <v>6825</v>
      </c>
      <c r="M92" s="71" t="s">
        <v>6824</v>
      </c>
      <c r="N92" s="71" t="s">
        <v>6825</v>
      </c>
      <c r="O92" s="71" t="s">
        <v>6824</v>
      </c>
      <c r="P92" s="71" t="s">
        <v>6825</v>
      </c>
      <c r="Q92" s="71" t="s">
        <v>6824</v>
      </c>
      <c r="R92" s="71" t="s">
        <v>6825</v>
      </c>
      <c r="S92" s="71" t="s">
        <v>6824</v>
      </c>
      <c r="T92" s="71" t="s">
        <v>6825</v>
      </c>
      <c r="U92" s="71" t="s">
        <v>6824</v>
      </c>
      <c r="V92" s="71" t="s">
        <v>6825</v>
      </c>
      <c r="W92" s="71" t="s">
        <v>6824</v>
      </c>
      <c r="X92" s="71" t="s">
        <v>6825</v>
      </c>
    </row>
    <row r="93" spans="1:24" x14ac:dyDescent="0.25">
      <c r="B93" s="72"/>
      <c r="C93" s="71"/>
      <c r="D93" s="73"/>
      <c r="E93" s="71"/>
      <c r="F93" s="73"/>
      <c r="G93" s="71"/>
      <c r="H93" s="73"/>
      <c r="I93" s="71"/>
      <c r="J93" s="73"/>
      <c r="K93" s="71"/>
      <c r="L93" s="73"/>
      <c r="M93" s="71"/>
      <c r="N93" s="73"/>
      <c r="O93" s="71"/>
      <c r="P93" s="73"/>
      <c r="Q93" s="71"/>
      <c r="R93" s="73"/>
      <c r="S93" s="71"/>
      <c r="T93" s="73"/>
      <c r="U93" s="71"/>
      <c r="V93" s="73"/>
      <c r="W93" s="71"/>
      <c r="X93" s="73"/>
    </row>
    <row r="95" spans="1:24" x14ac:dyDescent="0.25">
      <c r="B95" s="40" t="s">
        <v>6839</v>
      </c>
      <c r="C95" s="40"/>
      <c r="D95" s="40"/>
    </row>
    <row r="96" spans="1:24" x14ac:dyDescent="0.25">
      <c r="B96" s="40" t="s">
        <v>6810</v>
      </c>
      <c r="C96" s="40"/>
      <c r="D96" s="40"/>
    </row>
    <row r="97" spans="1:10" x14ac:dyDescent="0.25">
      <c r="B97" s="40" t="s">
        <v>6811</v>
      </c>
      <c r="C97" s="40"/>
      <c r="D97" s="40"/>
    </row>
    <row r="98" spans="1:10" x14ac:dyDescent="0.25">
      <c r="B98" s="42" t="s">
        <v>6812</v>
      </c>
      <c r="C98" s="40"/>
      <c r="D98" s="40"/>
    </row>
    <row r="99" spans="1:10" x14ac:dyDescent="0.25">
      <c r="B99" s="42" t="s">
        <v>6813</v>
      </c>
      <c r="C99" s="40"/>
      <c r="D99" s="40"/>
    </row>
    <row r="100" spans="1:10" x14ac:dyDescent="0.25">
      <c r="B100" s="42" t="s">
        <v>6814</v>
      </c>
      <c r="C100" s="40"/>
      <c r="D100" s="40"/>
    </row>
    <row r="101" spans="1:10" ht="100" customHeight="1" x14ac:dyDescent="0.25">
      <c r="A101" s="41" t="str">
        <f>_xlfn.CONCAT("Sample test results are documented in ",'Sample Tables'!B95," [",'Sample Tables'!B96,", ",'Sample Tables'!B97,", ",'Sample Tables'!B98,", ",'Sample Tables'!B99,", ",'Sample Tables'!B100,"]."&amp;CHAR(10))</f>
        <v xml:space="preserve">Sample test results are documented in Test 009: Access Account (workforce member) [Population Source/Tool: , Population Date Range: , Population Size: , Sample Methodology: , Sample Size: ].
</v>
      </c>
      <c r="B101" s="95" t="s">
        <v>6815</v>
      </c>
      <c r="C101" s="93" t="s">
        <v>6816</v>
      </c>
      <c r="D101" s="94"/>
      <c r="E101" s="93" t="s">
        <v>6817</v>
      </c>
      <c r="F101" s="94"/>
      <c r="G101" s="93" t="s">
        <v>6818</v>
      </c>
      <c r="H101" s="94"/>
      <c r="I101" s="93" t="s">
        <v>6821</v>
      </c>
      <c r="J101" s="94"/>
    </row>
    <row r="102" spans="1:10" x14ac:dyDescent="0.25">
      <c r="B102" s="96"/>
      <c r="C102" s="91" t="s">
        <v>2510</v>
      </c>
      <c r="D102" s="92"/>
      <c r="E102" s="91" t="s">
        <v>2688</v>
      </c>
      <c r="F102" s="92"/>
      <c r="G102" s="91" t="s">
        <v>2688</v>
      </c>
      <c r="H102" s="92"/>
      <c r="I102" s="91" t="s">
        <v>2966</v>
      </c>
      <c r="J102" s="92"/>
    </row>
    <row r="103" spans="1:10" x14ac:dyDescent="0.25">
      <c r="B103" s="97"/>
      <c r="C103" s="71" t="s">
        <v>6824</v>
      </c>
      <c r="D103" s="71" t="s">
        <v>6825</v>
      </c>
      <c r="E103" s="71" t="s">
        <v>6824</v>
      </c>
      <c r="F103" s="71" t="s">
        <v>6825</v>
      </c>
      <c r="G103" s="71" t="s">
        <v>6824</v>
      </c>
      <c r="H103" s="71" t="s">
        <v>6825</v>
      </c>
      <c r="I103" s="71" t="s">
        <v>6824</v>
      </c>
      <c r="J103" s="71" t="s">
        <v>6825</v>
      </c>
    </row>
    <row r="104" spans="1:10" x14ac:dyDescent="0.25">
      <c r="B104" s="72"/>
      <c r="C104" s="71"/>
      <c r="D104" s="73"/>
      <c r="E104" s="71"/>
      <c r="F104" s="73"/>
      <c r="G104" s="71"/>
      <c r="H104" s="73"/>
      <c r="I104" s="71"/>
      <c r="J104" s="73"/>
    </row>
    <row r="106" spans="1:10" x14ac:dyDescent="0.25">
      <c r="B106" s="40" t="s">
        <v>6840</v>
      </c>
      <c r="C106" s="40"/>
      <c r="D106" s="40"/>
    </row>
    <row r="107" spans="1:10" x14ac:dyDescent="0.25">
      <c r="B107" s="40" t="s">
        <v>6810</v>
      </c>
      <c r="C107" s="40"/>
      <c r="D107" s="40"/>
    </row>
    <row r="108" spans="1:10" x14ac:dyDescent="0.25">
      <c r="B108" s="40" t="s">
        <v>6811</v>
      </c>
      <c r="C108" s="40"/>
      <c r="D108" s="40"/>
    </row>
    <row r="109" spans="1:10" x14ac:dyDescent="0.25">
      <c r="B109" s="42" t="s">
        <v>6812</v>
      </c>
      <c r="C109" s="40"/>
      <c r="D109" s="40"/>
    </row>
    <row r="110" spans="1:10" x14ac:dyDescent="0.25">
      <c r="B110" s="42" t="s">
        <v>6813</v>
      </c>
      <c r="C110" s="40"/>
      <c r="D110" s="40"/>
    </row>
    <row r="111" spans="1:10" x14ac:dyDescent="0.25">
      <c r="B111" s="42" t="s">
        <v>6814</v>
      </c>
      <c r="C111" s="40"/>
      <c r="D111" s="40"/>
    </row>
    <row r="112" spans="1:10" ht="100" customHeight="1" x14ac:dyDescent="0.25">
      <c r="A112" s="41" t="str">
        <f>_xlfn.CONCAT("Sample test results are documented in ",'Sample Tables'!B106," [",'Sample Tables'!B107,", ",'Sample Tables'!B108,", ",'Sample Tables'!B109,", ",'Sample Tables'!B110,", ",'Sample Tables'!B111,"]."&amp;CHAR(10))</f>
        <v xml:space="preserve">Sample test results are documented in Test 010: Application (allow access to other application) [Population Source/Tool: , Population Date Range: , Population Size: , Sample Methodology: , Sample Size: ].
</v>
      </c>
      <c r="B112" s="95" t="s">
        <v>6815</v>
      </c>
      <c r="C112" s="93" t="s">
        <v>6841</v>
      </c>
      <c r="D112" s="94"/>
      <c r="E112" s="93" t="s">
        <v>6842</v>
      </c>
      <c r="F112" s="94"/>
    </row>
    <row r="113" spans="1:6" x14ac:dyDescent="0.25">
      <c r="B113" s="96"/>
      <c r="C113" s="91" t="s">
        <v>2986</v>
      </c>
      <c r="D113" s="92"/>
      <c r="E113" s="91" t="s">
        <v>2986</v>
      </c>
      <c r="F113" s="92"/>
    </row>
    <row r="114" spans="1:6" x14ac:dyDescent="0.25">
      <c r="B114" s="97"/>
      <c r="C114" s="71" t="s">
        <v>6824</v>
      </c>
      <c r="D114" s="71" t="s">
        <v>6825</v>
      </c>
      <c r="E114" s="71" t="s">
        <v>6824</v>
      </c>
      <c r="F114" s="71" t="s">
        <v>6825</v>
      </c>
    </row>
    <row r="115" spans="1:6" x14ac:dyDescent="0.25">
      <c r="B115" s="72"/>
      <c r="C115" s="71"/>
      <c r="D115" s="73"/>
      <c r="E115" s="71"/>
      <c r="F115" s="73"/>
    </row>
    <row r="117" spans="1:6" x14ac:dyDescent="0.25">
      <c r="B117" s="40" t="s">
        <v>6843</v>
      </c>
      <c r="C117" s="40"/>
      <c r="D117" s="40"/>
    </row>
    <row r="118" spans="1:6" x14ac:dyDescent="0.25">
      <c r="B118" s="40" t="s">
        <v>6810</v>
      </c>
      <c r="C118" s="40"/>
      <c r="D118" s="40"/>
    </row>
    <row r="119" spans="1:6" x14ac:dyDescent="0.25">
      <c r="B119" s="40" t="s">
        <v>6811</v>
      </c>
      <c r="C119" s="40"/>
      <c r="D119" s="40"/>
    </row>
    <row r="120" spans="1:6" x14ac:dyDescent="0.25">
      <c r="B120" s="42" t="s">
        <v>6812</v>
      </c>
      <c r="C120" s="40"/>
      <c r="D120" s="40"/>
    </row>
    <row r="121" spans="1:6" x14ac:dyDescent="0.25">
      <c r="B121" s="42" t="s">
        <v>6813</v>
      </c>
      <c r="C121" s="40"/>
      <c r="D121" s="40"/>
    </row>
    <row r="122" spans="1:6" x14ac:dyDescent="0.25">
      <c r="B122" s="42" t="s">
        <v>6814</v>
      </c>
      <c r="C122" s="40"/>
      <c r="D122" s="40"/>
    </row>
    <row r="123" spans="1:6" ht="100" customHeight="1" x14ac:dyDescent="0.25">
      <c r="A123" s="41" t="str">
        <f>_xlfn.CONCAT("Sample test results are documented in ",'Sample Tables'!B117," [",'Sample Tables'!B118,", ",'Sample Tables'!B119,", ",'Sample Tables'!B120,", ",'Sample Tables'!B121,", ",'Sample Tables'!B122,"]."&amp;CHAR(10))</f>
        <v xml:space="preserve">Sample test results are documented in Test 011: Application (authentication not required) [Population Source/Tool: , Population Date Range: , Population Size: , Sample Methodology: , Sample Size: ].
</v>
      </c>
      <c r="B123" s="95" t="s">
        <v>6815</v>
      </c>
      <c r="C123" s="93" t="s">
        <v>6844</v>
      </c>
      <c r="D123" s="94"/>
    </row>
    <row r="124" spans="1:6" x14ac:dyDescent="0.25">
      <c r="B124" s="96"/>
      <c r="C124" s="91" t="s">
        <v>2992</v>
      </c>
      <c r="D124" s="92"/>
    </row>
    <row r="125" spans="1:6" x14ac:dyDescent="0.25">
      <c r="B125" s="97"/>
      <c r="C125" s="71" t="s">
        <v>6824</v>
      </c>
      <c r="D125" s="71" t="s">
        <v>6825</v>
      </c>
    </row>
    <row r="126" spans="1:6" x14ac:dyDescent="0.25">
      <c r="B126" s="72"/>
      <c r="C126" s="71"/>
      <c r="D126" s="73"/>
    </row>
    <row r="128" spans="1:6" x14ac:dyDescent="0.25">
      <c r="B128" s="40" t="s">
        <v>6845</v>
      </c>
      <c r="C128" s="40"/>
      <c r="D128" s="40"/>
    </row>
    <row r="129" spans="1:58" x14ac:dyDescent="0.25">
      <c r="B129" s="40" t="s">
        <v>6810</v>
      </c>
      <c r="C129" s="40"/>
      <c r="D129" s="40"/>
    </row>
    <row r="130" spans="1:58" x14ac:dyDescent="0.25">
      <c r="B130" s="40" t="s">
        <v>6811</v>
      </c>
      <c r="C130" s="40"/>
      <c r="D130" s="40"/>
    </row>
    <row r="131" spans="1:58" x14ac:dyDescent="0.25">
      <c r="B131" s="42" t="s">
        <v>6812</v>
      </c>
      <c r="C131" s="40"/>
      <c r="D131" s="40"/>
    </row>
    <row r="132" spans="1:58" x14ac:dyDescent="0.25">
      <c r="B132" s="42" t="s">
        <v>6813</v>
      </c>
      <c r="C132" s="40"/>
      <c r="D132" s="40"/>
    </row>
    <row r="133" spans="1:58" x14ac:dyDescent="0.25">
      <c r="B133" s="42" t="s">
        <v>6814</v>
      </c>
      <c r="C133" s="40"/>
      <c r="D133" s="40"/>
    </row>
    <row r="134" spans="1:58" ht="100" customHeight="1" x14ac:dyDescent="0.25">
      <c r="A134" s="41" t="str">
        <f>_xlfn.CONCAT("Sample test results are documented in ",'Sample Tables'!B128," [",'Sample Tables'!B129,", ",'Sample Tables'!B130,", ",'Sample Tables'!B131,", ",'Sample Tables'!B132,", ",'Sample Tables'!B133,"]."&amp;CHAR(10))</f>
        <v xml:space="preserve">Sample test results are documented in Test 012: Application (authentication required) [Population Source/Tool: , Population Date Range: , Population Size: , Sample Methodology: , Sample Size: ].
</v>
      </c>
      <c r="B134" s="95" t="s">
        <v>6815</v>
      </c>
      <c r="C134" s="93" t="s">
        <v>6846</v>
      </c>
      <c r="D134" s="94"/>
      <c r="E134" s="93" t="s">
        <v>6847</v>
      </c>
      <c r="F134" s="94"/>
      <c r="G134" s="93" t="s">
        <v>6848</v>
      </c>
      <c r="H134" s="94"/>
      <c r="I134" s="93" t="s">
        <v>6849</v>
      </c>
      <c r="J134" s="94"/>
      <c r="K134" s="93" t="s">
        <v>6850</v>
      </c>
      <c r="L134" s="94"/>
      <c r="M134" s="93" t="s">
        <v>6851</v>
      </c>
      <c r="N134" s="94"/>
      <c r="O134" s="93" t="s">
        <v>6852</v>
      </c>
      <c r="P134" s="94"/>
      <c r="Q134" s="93" t="s">
        <v>6853</v>
      </c>
      <c r="R134" s="94"/>
      <c r="S134" s="93" t="s">
        <v>6854</v>
      </c>
      <c r="T134" s="94"/>
      <c r="U134" s="93" t="s">
        <v>6847</v>
      </c>
      <c r="V134" s="94"/>
      <c r="W134" s="93" t="s">
        <v>6855</v>
      </c>
      <c r="X134" s="94"/>
      <c r="Y134" s="93" t="s">
        <v>6854</v>
      </c>
      <c r="Z134" s="94"/>
      <c r="AA134" s="93" t="s">
        <v>6847</v>
      </c>
      <c r="AB134" s="94"/>
      <c r="AC134" s="93" t="s">
        <v>6855</v>
      </c>
      <c r="AD134" s="94"/>
      <c r="AE134" s="93" t="s">
        <v>6856</v>
      </c>
      <c r="AF134" s="94"/>
      <c r="AG134" s="93" t="s">
        <v>6857</v>
      </c>
      <c r="AH134" s="94"/>
      <c r="AI134" s="93" t="s">
        <v>6858</v>
      </c>
      <c r="AJ134" s="94"/>
      <c r="AK134" s="93" t="s">
        <v>6857</v>
      </c>
      <c r="AL134" s="94"/>
      <c r="AM134" s="93" t="s">
        <v>6858</v>
      </c>
      <c r="AN134" s="94"/>
      <c r="AO134" s="93" t="s">
        <v>6859</v>
      </c>
      <c r="AP134" s="94"/>
      <c r="AQ134" s="93" t="s">
        <v>6860</v>
      </c>
      <c r="AR134" s="94"/>
      <c r="AS134" s="93" t="s">
        <v>6861</v>
      </c>
      <c r="AT134" s="94"/>
      <c r="AU134" s="93" t="s">
        <v>6862</v>
      </c>
      <c r="AV134" s="94"/>
      <c r="AW134" s="93" t="s">
        <v>6863</v>
      </c>
      <c r="AX134" s="94"/>
      <c r="AY134" s="93" t="s">
        <v>6864</v>
      </c>
      <c r="AZ134" s="94"/>
      <c r="BA134" s="93" t="s">
        <v>6865</v>
      </c>
      <c r="BB134" s="94"/>
      <c r="BC134" s="93" t="s">
        <v>6866</v>
      </c>
      <c r="BD134" s="94"/>
      <c r="BE134" s="93" t="s">
        <v>6867</v>
      </c>
      <c r="BF134" s="94"/>
    </row>
    <row r="135" spans="1:58" x14ac:dyDescent="0.25">
      <c r="B135" s="96"/>
      <c r="C135" s="91" t="s">
        <v>1159</v>
      </c>
      <c r="D135" s="92"/>
      <c r="E135" s="91" t="s">
        <v>2328</v>
      </c>
      <c r="F135" s="92"/>
      <c r="G135" s="91" t="s">
        <v>2332</v>
      </c>
      <c r="H135" s="92"/>
      <c r="I135" s="91" t="s">
        <v>2334</v>
      </c>
      <c r="J135" s="92"/>
      <c r="K135" s="91" t="s">
        <v>2334</v>
      </c>
      <c r="L135" s="92"/>
      <c r="M135" s="91" t="s">
        <v>2336</v>
      </c>
      <c r="N135" s="92"/>
      <c r="O135" s="91" t="s">
        <v>2338</v>
      </c>
      <c r="P135" s="92"/>
      <c r="Q135" s="91" t="s">
        <v>2338</v>
      </c>
      <c r="R135" s="92"/>
      <c r="S135" s="91" t="s">
        <v>2353</v>
      </c>
      <c r="T135" s="92"/>
      <c r="U135" s="91" t="s">
        <v>2353</v>
      </c>
      <c r="V135" s="92"/>
      <c r="W135" s="91" t="s">
        <v>2353</v>
      </c>
      <c r="X135" s="92"/>
      <c r="Y135" s="91" t="s">
        <v>2398</v>
      </c>
      <c r="Z135" s="92"/>
      <c r="AA135" s="91" t="s">
        <v>2398</v>
      </c>
      <c r="AB135" s="92"/>
      <c r="AC135" s="91" t="s">
        <v>2398</v>
      </c>
      <c r="AD135" s="92"/>
      <c r="AE135" s="91" t="s">
        <v>2733</v>
      </c>
      <c r="AF135" s="92"/>
      <c r="AG135" s="91" t="s">
        <v>2735</v>
      </c>
      <c r="AH135" s="92"/>
      <c r="AI135" s="91" t="s">
        <v>2735</v>
      </c>
      <c r="AJ135" s="92"/>
      <c r="AK135" s="91" t="s">
        <v>2970</v>
      </c>
      <c r="AL135" s="92"/>
      <c r="AM135" s="91" t="s">
        <v>2970</v>
      </c>
      <c r="AN135" s="92"/>
      <c r="AO135" s="91" t="s">
        <v>2980</v>
      </c>
      <c r="AP135" s="92"/>
      <c r="AQ135" s="91" t="s">
        <v>3014</v>
      </c>
      <c r="AR135" s="92"/>
      <c r="AS135" s="91" t="s">
        <v>3016</v>
      </c>
      <c r="AT135" s="92"/>
      <c r="AU135" s="91" t="s">
        <v>3024</v>
      </c>
      <c r="AV135" s="92"/>
      <c r="AW135" s="91" t="s">
        <v>3024</v>
      </c>
      <c r="AX135" s="92"/>
      <c r="AY135" s="91" t="s">
        <v>3024</v>
      </c>
      <c r="AZ135" s="92"/>
      <c r="BA135" s="91" t="s">
        <v>3043</v>
      </c>
      <c r="BB135" s="92"/>
      <c r="BC135" s="91" t="s">
        <v>3052</v>
      </c>
      <c r="BD135" s="92"/>
      <c r="BE135" s="91" t="s">
        <v>3052</v>
      </c>
      <c r="BF135" s="92"/>
    </row>
    <row r="136" spans="1:58" x14ac:dyDescent="0.25">
      <c r="B136" s="97"/>
      <c r="C136" s="71" t="s">
        <v>6824</v>
      </c>
      <c r="D136" s="71" t="s">
        <v>6825</v>
      </c>
      <c r="E136" s="71" t="s">
        <v>6824</v>
      </c>
      <c r="F136" s="71" t="s">
        <v>6825</v>
      </c>
      <c r="G136" s="71" t="s">
        <v>6824</v>
      </c>
      <c r="H136" s="71" t="s">
        <v>6825</v>
      </c>
      <c r="I136" s="71" t="s">
        <v>6824</v>
      </c>
      <c r="J136" s="71" t="s">
        <v>6825</v>
      </c>
      <c r="K136" s="71" t="s">
        <v>6824</v>
      </c>
      <c r="L136" s="71" t="s">
        <v>6825</v>
      </c>
      <c r="M136" s="71" t="s">
        <v>6824</v>
      </c>
      <c r="N136" s="71" t="s">
        <v>6825</v>
      </c>
      <c r="O136" s="71" t="s">
        <v>6824</v>
      </c>
      <c r="P136" s="71" t="s">
        <v>6825</v>
      </c>
      <c r="Q136" s="71" t="s">
        <v>6824</v>
      </c>
      <c r="R136" s="71" t="s">
        <v>6825</v>
      </c>
      <c r="S136" s="71" t="s">
        <v>6824</v>
      </c>
      <c r="T136" s="71" t="s">
        <v>6825</v>
      </c>
      <c r="U136" s="71" t="s">
        <v>6824</v>
      </c>
      <c r="V136" s="71" t="s">
        <v>6825</v>
      </c>
      <c r="W136" s="71" t="s">
        <v>6824</v>
      </c>
      <c r="X136" s="71" t="s">
        <v>6825</v>
      </c>
      <c r="Y136" s="71" t="s">
        <v>6824</v>
      </c>
      <c r="Z136" s="71" t="s">
        <v>6825</v>
      </c>
      <c r="AA136" s="71" t="s">
        <v>6824</v>
      </c>
      <c r="AB136" s="71" t="s">
        <v>6825</v>
      </c>
      <c r="AC136" s="71" t="s">
        <v>6824</v>
      </c>
      <c r="AD136" s="71" t="s">
        <v>6825</v>
      </c>
      <c r="AE136" s="71" t="s">
        <v>6824</v>
      </c>
      <c r="AF136" s="71" t="s">
        <v>6825</v>
      </c>
      <c r="AG136" s="71" t="s">
        <v>6824</v>
      </c>
      <c r="AH136" s="71" t="s">
        <v>6825</v>
      </c>
      <c r="AI136" s="71" t="s">
        <v>6824</v>
      </c>
      <c r="AJ136" s="71" t="s">
        <v>6825</v>
      </c>
      <c r="AK136" s="71" t="s">
        <v>6824</v>
      </c>
      <c r="AL136" s="71" t="s">
        <v>6825</v>
      </c>
      <c r="AM136" s="71" t="s">
        <v>6824</v>
      </c>
      <c r="AN136" s="71" t="s">
        <v>6825</v>
      </c>
      <c r="AO136" s="71" t="s">
        <v>6824</v>
      </c>
      <c r="AP136" s="71" t="s">
        <v>6825</v>
      </c>
      <c r="AQ136" s="71" t="s">
        <v>6824</v>
      </c>
      <c r="AR136" s="71" t="s">
        <v>6825</v>
      </c>
      <c r="AS136" s="71" t="s">
        <v>6824</v>
      </c>
      <c r="AT136" s="71" t="s">
        <v>6825</v>
      </c>
      <c r="AU136" s="71" t="s">
        <v>6824</v>
      </c>
      <c r="AV136" s="71" t="s">
        <v>6825</v>
      </c>
      <c r="AW136" s="71" t="s">
        <v>6824</v>
      </c>
      <c r="AX136" s="71" t="s">
        <v>6825</v>
      </c>
      <c r="AY136" s="71" t="s">
        <v>6824</v>
      </c>
      <c r="AZ136" s="71" t="s">
        <v>6825</v>
      </c>
      <c r="BA136" s="71" t="s">
        <v>6824</v>
      </c>
      <c r="BB136" s="71" t="s">
        <v>6825</v>
      </c>
      <c r="BC136" s="71" t="s">
        <v>6824</v>
      </c>
      <c r="BD136" s="71" t="s">
        <v>6825</v>
      </c>
      <c r="BE136" s="71" t="s">
        <v>6824</v>
      </c>
      <c r="BF136" s="71" t="s">
        <v>6825</v>
      </c>
    </row>
    <row r="137" spans="1:58" x14ac:dyDescent="0.25">
      <c r="B137" s="72"/>
      <c r="C137" s="71"/>
      <c r="D137" s="73"/>
      <c r="E137" s="71"/>
      <c r="F137" s="73"/>
      <c r="G137" s="71"/>
      <c r="H137" s="73"/>
      <c r="I137" s="71"/>
      <c r="J137" s="73"/>
      <c r="K137" s="71"/>
      <c r="L137" s="73"/>
      <c r="M137" s="71"/>
      <c r="N137" s="73"/>
      <c r="O137" s="71"/>
      <c r="P137" s="73"/>
      <c r="Q137" s="71"/>
      <c r="R137" s="73"/>
      <c r="S137" s="71"/>
      <c r="T137" s="73"/>
      <c r="U137" s="71"/>
      <c r="V137" s="73"/>
      <c r="W137" s="71"/>
      <c r="X137" s="73"/>
      <c r="Y137" s="71"/>
      <c r="Z137" s="73"/>
      <c r="AA137" s="71"/>
      <c r="AB137" s="73"/>
      <c r="AC137" s="71"/>
      <c r="AD137" s="73"/>
      <c r="AE137" s="71"/>
      <c r="AF137" s="73"/>
      <c r="AG137" s="71"/>
      <c r="AH137" s="73"/>
      <c r="AI137" s="71"/>
      <c r="AJ137" s="73"/>
      <c r="AK137" s="71"/>
      <c r="AL137" s="73"/>
      <c r="AM137" s="71"/>
      <c r="AN137" s="73"/>
      <c r="AO137" s="71"/>
      <c r="AP137" s="73"/>
      <c r="AQ137" s="71"/>
      <c r="AR137" s="73"/>
      <c r="AS137" s="71"/>
      <c r="AT137" s="73"/>
      <c r="AU137" s="71"/>
      <c r="AV137" s="73"/>
      <c r="AW137" s="71"/>
      <c r="AX137" s="73"/>
      <c r="AY137" s="71"/>
      <c r="AZ137" s="73"/>
      <c r="BA137" s="71"/>
      <c r="BB137" s="73"/>
      <c r="BC137" s="71"/>
      <c r="BD137" s="73"/>
      <c r="BE137" s="71"/>
      <c r="BF137" s="73"/>
    </row>
    <row r="139" spans="1:58" x14ac:dyDescent="0.25">
      <c r="B139" s="40" t="s">
        <v>6868</v>
      </c>
      <c r="C139" s="40"/>
      <c r="D139" s="40"/>
    </row>
    <row r="140" spans="1:58" x14ac:dyDescent="0.25">
      <c r="B140" s="40" t="s">
        <v>6810</v>
      </c>
      <c r="C140" s="40"/>
      <c r="D140" s="40"/>
    </row>
    <row r="141" spans="1:58" x14ac:dyDescent="0.25">
      <c r="B141" s="40" t="s">
        <v>6811</v>
      </c>
      <c r="C141" s="40"/>
      <c r="D141" s="40"/>
    </row>
    <row r="142" spans="1:58" x14ac:dyDescent="0.25">
      <c r="B142" s="42" t="s">
        <v>6812</v>
      </c>
      <c r="C142" s="40"/>
      <c r="D142" s="40"/>
    </row>
    <row r="143" spans="1:58" x14ac:dyDescent="0.25">
      <c r="B143" s="42" t="s">
        <v>6813</v>
      </c>
      <c r="C143" s="40"/>
      <c r="D143" s="40"/>
    </row>
    <row r="144" spans="1:58" x14ac:dyDescent="0.25">
      <c r="B144" s="42" t="s">
        <v>6814</v>
      </c>
      <c r="C144" s="40"/>
      <c r="D144" s="40"/>
    </row>
    <row r="145" spans="1:8" ht="100" customHeight="1" x14ac:dyDescent="0.25">
      <c r="A145" s="41" t="str">
        <f>_xlfn.CONCAT("Sample test results are documented in ",'Sample Tables'!B139," [",'Sample Tables'!B140,", ",'Sample Tables'!B141,", ",'Sample Tables'!B142,", ",'Sample Tables'!B143,", ",'Sample Tables'!B144,"]."&amp;CHAR(10))</f>
        <v xml:space="preserve">Sample test results are documented in Test 013: Application (classified sensitive) [Population Source/Tool: , Population Date Range: , Population Size: , Sample Methodology: , Sample Size: ].
</v>
      </c>
      <c r="B145" s="95" t="s">
        <v>6815</v>
      </c>
      <c r="C145" s="93" t="s">
        <v>6869</v>
      </c>
      <c r="D145" s="94"/>
      <c r="E145" s="93" t="s">
        <v>6870</v>
      </c>
      <c r="F145" s="94"/>
      <c r="G145" s="93" t="s">
        <v>6871</v>
      </c>
      <c r="H145" s="94"/>
    </row>
    <row r="146" spans="1:8" x14ac:dyDescent="0.25">
      <c r="B146" s="96"/>
      <c r="C146" s="91" t="s">
        <v>1875</v>
      </c>
      <c r="D146" s="92"/>
      <c r="E146" s="91" t="s">
        <v>2781</v>
      </c>
      <c r="F146" s="92"/>
      <c r="G146" s="91" t="s">
        <v>2781</v>
      </c>
      <c r="H146" s="92"/>
    </row>
    <row r="147" spans="1:8" x14ac:dyDescent="0.25">
      <c r="B147" s="97"/>
      <c r="C147" s="71" t="s">
        <v>6824</v>
      </c>
      <c r="D147" s="71" t="s">
        <v>6825</v>
      </c>
      <c r="E147" s="71" t="s">
        <v>6824</v>
      </c>
      <c r="F147" s="71" t="s">
        <v>6825</v>
      </c>
      <c r="G147" s="71" t="s">
        <v>6824</v>
      </c>
      <c r="H147" s="71" t="s">
        <v>6825</v>
      </c>
    </row>
    <row r="148" spans="1:8" x14ac:dyDescent="0.25">
      <c r="B148" s="72"/>
      <c r="C148" s="71"/>
      <c r="D148" s="73"/>
      <c r="E148" s="71"/>
      <c r="F148" s="73"/>
      <c r="G148" s="71"/>
      <c r="H148" s="73"/>
    </row>
    <row r="150" spans="1:8" x14ac:dyDescent="0.25">
      <c r="B150" s="40" t="s">
        <v>6872</v>
      </c>
      <c r="C150" s="40"/>
      <c r="D150" s="40"/>
    </row>
    <row r="151" spans="1:8" x14ac:dyDescent="0.25">
      <c r="B151" s="40" t="s">
        <v>6810</v>
      </c>
      <c r="C151" s="40"/>
      <c r="D151" s="40"/>
    </row>
    <row r="152" spans="1:8" x14ac:dyDescent="0.25">
      <c r="B152" s="40" t="s">
        <v>6811</v>
      </c>
      <c r="C152" s="40"/>
      <c r="D152" s="40"/>
    </row>
    <row r="153" spans="1:8" x14ac:dyDescent="0.25">
      <c r="B153" s="42" t="s">
        <v>6812</v>
      </c>
      <c r="C153" s="40"/>
      <c r="D153" s="40"/>
    </row>
    <row r="154" spans="1:8" x14ac:dyDescent="0.25">
      <c r="B154" s="42" t="s">
        <v>6813</v>
      </c>
      <c r="C154" s="40"/>
      <c r="D154" s="40"/>
    </row>
    <row r="155" spans="1:8" x14ac:dyDescent="0.25">
      <c r="B155" s="42" t="s">
        <v>6814</v>
      </c>
      <c r="C155" s="40"/>
      <c r="D155" s="40"/>
    </row>
    <row r="156" spans="1:8" x14ac:dyDescent="0.25">
      <c r="A156" s="41" t="str">
        <f>_xlfn.CONCAT("Sample test results are documented in ",'Sample Tables'!B150," [",'Sample Tables'!B151,", ",'Sample Tables'!B152,", ",'Sample Tables'!B153,", ",'Sample Tables'!B154,", ",'Sample Tables'!B155,"]."&amp;CHAR(10))</f>
        <v xml:space="preserve">Sample test results are documented in Test 014: Application (commercial) [Population Source/Tool: , Population Date Range: , Population Size: , Sample Methodology: , Sample Size: ].
</v>
      </c>
      <c r="B156" s="95" t="s">
        <v>6815</v>
      </c>
      <c r="C156" s="93"/>
      <c r="D156" s="94"/>
    </row>
    <row r="157" spans="1:8" x14ac:dyDescent="0.25">
      <c r="B157" s="96"/>
      <c r="C157" s="91"/>
      <c r="D157" s="92"/>
    </row>
    <row r="158" spans="1:8" x14ac:dyDescent="0.25">
      <c r="B158" s="97"/>
      <c r="C158" s="71" t="s">
        <v>6824</v>
      </c>
      <c r="D158" s="71" t="s">
        <v>6825</v>
      </c>
    </row>
    <row r="159" spans="1:8" x14ac:dyDescent="0.25">
      <c r="B159" s="72"/>
      <c r="C159" s="71"/>
      <c r="D159" s="73"/>
    </row>
    <row r="161" spans="1:4" x14ac:dyDescent="0.25">
      <c r="B161" s="40" t="s">
        <v>6873</v>
      </c>
      <c r="C161" s="40"/>
      <c r="D161" s="40"/>
    </row>
    <row r="162" spans="1:4" x14ac:dyDescent="0.25">
      <c r="B162" s="40" t="s">
        <v>6810</v>
      </c>
      <c r="C162" s="40"/>
      <c r="D162" s="40"/>
    </row>
    <row r="163" spans="1:4" x14ac:dyDescent="0.25">
      <c r="B163" s="40" t="s">
        <v>6811</v>
      </c>
      <c r="C163" s="40"/>
      <c r="D163" s="40"/>
    </row>
    <row r="164" spans="1:4" x14ac:dyDescent="0.25">
      <c r="B164" s="42" t="s">
        <v>6812</v>
      </c>
      <c r="C164" s="40"/>
      <c r="D164" s="40"/>
    </row>
    <row r="165" spans="1:4" x14ac:dyDescent="0.25">
      <c r="B165" s="42" t="s">
        <v>6813</v>
      </c>
      <c r="C165" s="40"/>
      <c r="D165" s="40"/>
    </row>
    <row r="166" spans="1:4" x14ac:dyDescent="0.25">
      <c r="B166" s="42" t="s">
        <v>6814</v>
      </c>
      <c r="C166" s="40"/>
      <c r="D166" s="40"/>
    </row>
    <row r="167" spans="1:4" x14ac:dyDescent="0.25">
      <c r="A167" s="41" t="str">
        <f>_xlfn.CONCAT("Sample test results are documented in ",'Sample Tables'!B161," [",'Sample Tables'!B162,", ",'Sample Tables'!B163,", ",'Sample Tables'!B164,", ",'Sample Tables'!B165,", ",'Sample Tables'!B166,"]."&amp;CHAR(10))</f>
        <v xml:space="preserve">Sample test results are documented in Test 015: Application (developed and web facing) [Population Source/Tool: , Population Date Range: , Population Size: , Sample Methodology: , Sample Size: ].
</v>
      </c>
      <c r="B167" s="95" t="s">
        <v>6815</v>
      </c>
      <c r="C167" s="93"/>
      <c r="D167" s="94"/>
    </row>
    <row r="168" spans="1:4" x14ac:dyDescent="0.25">
      <c r="B168" s="96"/>
      <c r="C168" s="91"/>
      <c r="D168" s="92"/>
    </row>
    <row r="169" spans="1:4" x14ac:dyDescent="0.25">
      <c r="B169" s="97"/>
      <c r="C169" s="71" t="s">
        <v>6824</v>
      </c>
      <c r="D169" s="71" t="s">
        <v>6825</v>
      </c>
    </row>
    <row r="170" spans="1:4" x14ac:dyDescent="0.25">
      <c r="B170" s="72"/>
      <c r="C170" s="71"/>
      <c r="D170" s="73"/>
    </row>
    <row r="172" spans="1:4" x14ac:dyDescent="0.25">
      <c r="B172" s="40" t="s">
        <v>6874</v>
      </c>
      <c r="C172" s="40"/>
      <c r="D172" s="40"/>
    </row>
    <row r="173" spans="1:4" x14ac:dyDescent="0.25">
      <c r="B173" s="40" t="s">
        <v>6810</v>
      </c>
      <c r="C173" s="40"/>
      <c r="D173" s="40"/>
    </row>
    <row r="174" spans="1:4" x14ac:dyDescent="0.25">
      <c r="B174" s="40" t="s">
        <v>6811</v>
      </c>
      <c r="C174" s="40"/>
      <c r="D174" s="40"/>
    </row>
    <row r="175" spans="1:4" x14ac:dyDescent="0.25">
      <c r="B175" s="42" t="s">
        <v>6812</v>
      </c>
      <c r="C175" s="40"/>
      <c r="D175" s="40"/>
    </row>
    <row r="176" spans="1:4" x14ac:dyDescent="0.25">
      <c r="B176" s="42" t="s">
        <v>6813</v>
      </c>
      <c r="C176" s="40"/>
      <c r="D176" s="40"/>
    </row>
    <row r="177" spans="1:12" x14ac:dyDescent="0.25">
      <c r="B177" s="42" t="s">
        <v>6814</v>
      </c>
      <c r="C177" s="40"/>
      <c r="D177" s="40"/>
    </row>
    <row r="178" spans="1:12" ht="100" customHeight="1" x14ac:dyDescent="0.25">
      <c r="A178" s="41" t="str">
        <f>_xlfn.CONCAT("Sample test results are documented in ",'Sample Tables'!B172," [",'Sample Tables'!B173,", ",'Sample Tables'!B174,", ",'Sample Tables'!B175,", ",'Sample Tables'!B176,", ",'Sample Tables'!B177,"]."&amp;CHAR(10))</f>
        <v xml:space="preserve">Sample test results are documented in Test 016: Application (developed) [Population Source/Tool: , Population Date Range: , Population Size: , Sample Methodology: , Sample Size: ].
</v>
      </c>
      <c r="B178" s="95" t="s">
        <v>6815</v>
      </c>
      <c r="C178" s="93" t="s">
        <v>6875</v>
      </c>
      <c r="D178" s="94"/>
      <c r="E178" s="93" t="s">
        <v>6876</v>
      </c>
      <c r="F178" s="94"/>
      <c r="G178" s="93" t="s">
        <v>6877</v>
      </c>
      <c r="H178" s="94"/>
      <c r="I178" s="93" t="s">
        <v>6876</v>
      </c>
      <c r="J178" s="94"/>
      <c r="K178" s="93" t="s">
        <v>6877</v>
      </c>
      <c r="L178" s="94"/>
    </row>
    <row r="179" spans="1:12" x14ac:dyDescent="0.25">
      <c r="B179" s="96"/>
      <c r="C179" s="91" t="s">
        <v>1094</v>
      </c>
      <c r="D179" s="92"/>
      <c r="E179" s="91" t="s">
        <v>1548</v>
      </c>
      <c r="F179" s="92"/>
      <c r="G179" s="91" t="s">
        <v>1548</v>
      </c>
      <c r="H179" s="92"/>
      <c r="I179" s="91" t="s">
        <v>1627</v>
      </c>
      <c r="J179" s="92"/>
      <c r="K179" s="91" t="s">
        <v>1627</v>
      </c>
      <c r="L179" s="92"/>
    </row>
    <row r="180" spans="1:12" x14ac:dyDescent="0.25">
      <c r="B180" s="97"/>
      <c r="C180" s="71" t="s">
        <v>6824</v>
      </c>
      <c r="D180" s="71" t="s">
        <v>6825</v>
      </c>
      <c r="E180" s="71" t="s">
        <v>6824</v>
      </c>
      <c r="F180" s="71" t="s">
        <v>6825</v>
      </c>
      <c r="G180" s="71" t="s">
        <v>6824</v>
      </c>
      <c r="H180" s="71" t="s">
        <v>6825</v>
      </c>
      <c r="I180" s="71" t="s">
        <v>6824</v>
      </c>
      <c r="J180" s="71" t="s">
        <v>6825</v>
      </c>
      <c r="K180" s="71" t="s">
        <v>6824</v>
      </c>
      <c r="L180" s="71" t="s">
        <v>6825</v>
      </c>
    </row>
    <row r="181" spans="1:12" x14ac:dyDescent="0.25">
      <c r="B181" s="72"/>
      <c r="C181" s="71"/>
      <c r="D181" s="73"/>
      <c r="E181" s="71"/>
      <c r="F181" s="73"/>
      <c r="G181" s="71"/>
      <c r="H181" s="73"/>
      <c r="I181" s="71"/>
      <c r="J181" s="73"/>
      <c r="K181" s="71"/>
      <c r="L181" s="73"/>
    </row>
    <row r="183" spans="1:12" x14ac:dyDescent="0.25">
      <c r="B183" s="40" t="s">
        <v>6878</v>
      </c>
      <c r="C183" s="40"/>
      <c r="D183" s="40"/>
    </row>
    <row r="184" spans="1:12" x14ac:dyDescent="0.25">
      <c r="B184" s="40" t="s">
        <v>6810</v>
      </c>
      <c r="C184" s="40"/>
      <c r="D184" s="40"/>
    </row>
    <row r="185" spans="1:12" x14ac:dyDescent="0.25">
      <c r="B185" s="40" t="s">
        <v>6811</v>
      </c>
      <c r="C185" s="40"/>
      <c r="D185" s="40"/>
    </row>
    <row r="186" spans="1:12" x14ac:dyDescent="0.25">
      <c r="B186" s="42" t="s">
        <v>6812</v>
      </c>
      <c r="C186" s="40"/>
      <c r="D186" s="40"/>
    </row>
    <row r="187" spans="1:12" x14ac:dyDescent="0.25">
      <c r="B187" s="42" t="s">
        <v>6813</v>
      </c>
      <c r="C187" s="40"/>
      <c r="D187" s="40"/>
    </row>
    <row r="188" spans="1:12" x14ac:dyDescent="0.25">
      <c r="B188" s="42" t="s">
        <v>6814</v>
      </c>
      <c r="C188" s="40"/>
      <c r="D188" s="40"/>
    </row>
    <row r="189" spans="1:12" ht="100" customHeight="1" x14ac:dyDescent="0.25">
      <c r="A189" s="41" t="str">
        <f>_xlfn.CONCAT("Sample test results are documented in ",'Sample Tables'!B183," [",'Sample Tables'!B184,", ",'Sample Tables'!B185,", ",'Sample Tables'!B186,", ",'Sample Tables'!B187,", ",'Sample Tables'!B188,"]."&amp;CHAR(10))</f>
        <v xml:space="preserve">Sample test results are documented in Test 017: Application (handle covered/confidential information) [Population Source/Tool: , Population Date Range: , Population Size: , Sample Methodology: , Sample Size: ].
</v>
      </c>
      <c r="B189" s="95" t="s">
        <v>6815</v>
      </c>
      <c r="C189" s="93" t="s">
        <v>6879</v>
      </c>
      <c r="D189" s="94"/>
      <c r="E189" s="93" t="s">
        <v>6880</v>
      </c>
      <c r="F189" s="94"/>
      <c r="G189" s="93" t="s">
        <v>6881</v>
      </c>
      <c r="H189" s="94"/>
    </row>
    <row r="190" spans="1:12" x14ac:dyDescent="0.25">
      <c r="B190" s="96"/>
      <c r="C190" s="91" t="s">
        <v>2988</v>
      </c>
      <c r="D190" s="92"/>
      <c r="E190" s="91" t="s">
        <v>2990</v>
      </c>
      <c r="F190" s="92"/>
      <c r="G190" s="91" t="s">
        <v>2990</v>
      </c>
      <c r="H190" s="92"/>
    </row>
    <row r="191" spans="1:12" x14ac:dyDescent="0.25">
      <c r="B191" s="97"/>
      <c r="C191" s="71" t="s">
        <v>6824</v>
      </c>
      <c r="D191" s="71" t="s">
        <v>6825</v>
      </c>
      <c r="E191" s="71" t="s">
        <v>6824</v>
      </c>
      <c r="F191" s="71" t="s">
        <v>6825</v>
      </c>
      <c r="G191" s="71" t="s">
        <v>6824</v>
      </c>
      <c r="H191" s="71" t="s">
        <v>6825</v>
      </c>
    </row>
    <row r="192" spans="1:12" x14ac:dyDescent="0.25">
      <c r="B192" s="72"/>
      <c r="C192" s="71"/>
      <c r="D192" s="73"/>
      <c r="E192" s="71"/>
      <c r="F192" s="73"/>
      <c r="G192" s="71"/>
      <c r="H192" s="73"/>
    </row>
    <row r="194" spans="1:8" x14ac:dyDescent="0.25">
      <c r="B194" s="40" t="s">
        <v>6882</v>
      </c>
      <c r="C194" s="40"/>
      <c r="D194" s="40"/>
    </row>
    <row r="195" spans="1:8" x14ac:dyDescent="0.25">
      <c r="B195" s="40" t="s">
        <v>6810</v>
      </c>
      <c r="C195" s="40"/>
      <c r="D195" s="40"/>
    </row>
    <row r="196" spans="1:8" x14ac:dyDescent="0.25">
      <c r="B196" s="40" t="s">
        <v>6811</v>
      </c>
      <c r="C196" s="40"/>
      <c r="D196" s="40"/>
    </row>
    <row r="197" spans="1:8" x14ac:dyDescent="0.25">
      <c r="B197" s="42" t="s">
        <v>6812</v>
      </c>
      <c r="C197" s="40"/>
      <c r="D197" s="40"/>
    </row>
    <row r="198" spans="1:8" x14ac:dyDescent="0.25">
      <c r="B198" s="42" t="s">
        <v>6813</v>
      </c>
      <c r="C198" s="40"/>
      <c r="D198" s="40"/>
    </row>
    <row r="199" spans="1:8" x14ac:dyDescent="0.25">
      <c r="B199" s="42" t="s">
        <v>6814</v>
      </c>
      <c r="C199" s="40"/>
      <c r="D199" s="40"/>
    </row>
    <row r="200" spans="1:8" ht="100" customHeight="1" x14ac:dyDescent="0.25">
      <c r="A200" s="41" t="str">
        <f>_xlfn.CONCAT("Sample test results are documented in ",'Sample Tables'!B194," [",'Sample Tables'!B195,", ",'Sample Tables'!B196,", ",'Sample Tables'!B197,", ",'Sample Tables'!B198,", ",'Sample Tables'!B199,"]."&amp;CHAR(10))</f>
        <v xml:space="preserve">Sample test results are documented in Test 018: Application (open source) [Population Source/Tool: , Population Date Range: , Population Size: , Sample Methodology: , Sample Size: ].
</v>
      </c>
      <c r="B200" s="95" t="s">
        <v>6815</v>
      </c>
      <c r="C200" s="93" t="s">
        <v>6883</v>
      </c>
      <c r="D200" s="94"/>
      <c r="E200" s="93" t="s">
        <v>6884</v>
      </c>
      <c r="F200" s="94"/>
      <c r="G200" s="93" t="s">
        <v>6885</v>
      </c>
      <c r="H200" s="94"/>
    </row>
    <row r="201" spans="1:8" x14ac:dyDescent="0.25">
      <c r="B201" s="96"/>
      <c r="C201" s="91" t="s">
        <v>6201</v>
      </c>
      <c r="D201" s="92"/>
      <c r="E201" s="91" t="s">
        <v>6201</v>
      </c>
      <c r="F201" s="92"/>
      <c r="G201" s="91" t="s">
        <v>6201</v>
      </c>
      <c r="H201" s="92"/>
    </row>
    <row r="202" spans="1:8" x14ac:dyDescent="0.25">
      <c r="B202" s="97"/>
      <c r="C202" s="71" t="s">
        <v>6824</v>
      </c>
      <c r="D202" s="71" t="s">
        <v>6825</v>
      </c>
      <c r="E202" s="71" t="s">
        <v>6824</v>
      </c>
      <c r="F202" s="71" t="s">
        <v>6825</v>
      </c>
      <c r="G202" s="71" t="s">
        <v>6824</v>
      </c>
      <c r="H202" s="71" t="s">
        <v>6825</v>
      </c>
    </row>
    <row r="203" spans="1:8" x14ac:dyDescent="0.25">
      <c r="B203" s="72"/>
      <c r="C203" s="71"/>
      <c r="D203" s="73"/>
      <c r="E203" s="71"/>
      <c r="F203" s="73"/>
      <c r="G203" s="71"/>
      <c r="H203" s="73"/>
    </row>
    <row r="205" spans="1:8" x14ac:dyDescent="0.25">
      <c r="B205" s="40" t="s">
        <v>6886</v>
      </c>
      <c r="C205" s="40"/>
      <c r="D205" s="40"/>
    </row>
    <row r="206" spans="1:8" x14ac:dyDescent="0.25">
      <c r="B206" s="40" t="s">
        <v>6810</v>
      </c>
      <c r="C206" s="40"/>
      <c r="D206" s="40"/>
    </row>
    <row r="207" spans="1:8" x14ac:dyDescent="0.25">
      <c r="B207" s="40" t="s">
        <v>6811</v>
      </c>
      <c r="C207" s="40"/>
      <c r="D207" s="40"/>
    </row>
    <row r="208" spans="1:8" x14ac:dyDescent="0.25">
      <c r="B208" s="42" t="s">
        <v>6812</v>
      </c>
      <c r="C208" s="40"/>
      <c r="D208" s="40"/>
    </row>
    <row r="209" spans="1:6" x14ac:dyDescent="0.25">
      <c r="B209" s="42" t="s">
        <v>6813</v>
      </c>
      <c r="C209" s="40"/>
      <c r="D209" s="40"/>
    </row>
    <row r="210" spans="1:6" x14ac:dyDescent="0.25">
      <c r="B210" s="42" t="s">
        <v>6814</v>
      </c>
      <c r="C210" s="40"/>
      <c r="D210" s="40"/>
    </row>
    <row r="211" spans="1:6" ht="100" customHeight="1" x14ac:dyDescent="0.25">
      <c r="A211" s="41" t="str">
        <f>_xlfn.CONCAT("Sample test results are documented in ",'Sample Tables'!B205," [",'Sample Tables'!B206,", ",'Sample Tables'!B207,", ",'Sample Tables'!B208,", ",'Sample Tables'!B209,", ",'Sample Tables'!B210,"]."&amp;CHAR(10))</f>
        <v xml:space="preserve">Sample test results are documented in Test 019: Application (remote access) [Population Source/Tool: , Population Date Range: , Population Size: , Sample Methodology: , Sample Size: ].
</v>
      </c>
      <c r="B211" s="95" t="s">
        <v>6815</v>
      </c>
      <c r="C211" s="93" t="s">
        <v>6887</v>
      </c>
      <c r="D211" s="94"/>
      <c r="E211" s="93" t="s">
        <v>6888</v>
      </c>
      <c r="F211" s="94"/>
    </row>
    <row r="212" spans="1:6" x14ac:dyDescent="0.25">
      <c r="B212" s="96"/>
      <c r="C212" s="91" t="s">
        <v>2994</v>
      </c>
      <c r="D212" s="92"/>
      <c r="E212" s="91" t="s">
        <v>2994</v>
      </c>
      <c r="F212" s="92"/>
    </row>
    <row r="213" spans="1:6" x14ac:dyDescent="0.25">
      <c r="B213" s="97"/>
      <c r="C213" s="71" t="s">
        <v>6824</v>
      </c>
      <c r="D213" s="71" t="s">
        <v>6825</v>
      </c>
      <c r="E213" s="71" t="s">
        <v>6824</v>
      </c>
      <c r="F213" s="71" t="s">
        <v>6825</v>
      </c>
    </row>
    <row r="214" spans="1:6" x14ac:dyDescent="0.25">
      <c r="B214" s="72"/>
      <c r="C214" s="71"/>
      <c r="D214" s="73"/>
      <c r="E214" s="71"/>
      <c r="F214" s="73"/>
    </row>
    <row r="216" spans="1:6" x14ac:dyDescent="0.25">
      <c r="B216" s="40" t="s">
        <v>6889</v>
      </c>
      <c r="C216" s="40"/>
      <c r="D216" s="40"/>
    </row>
    <row r="217" spans="1:6" x14ac:dyDescent="0.25">
      <c r="B217" s="40" t="s">
        <v>6810</v>
      </c>
      <c r="C217" s="40"/>
      <c r="D217" s="40"/>
    </row>
    <row r="218" spans="1:6" x14ac:dyDescent="0.25">
      <c r="B218" s="40" t="s">
        <v>6811</v>
      </c>
      <c r="C218" s="40"/>
      <c r="D218" s="40"/>
    </row>
    <row r="219" spans="1:6" x14ac:dyDescent="0.25">
      <c r="B219" s="42" t="s">
        <v>6812</v>
      </c>
      <c r="C219" s="40"/>
      <c r="D219" s="40"/>
    </row>
    <row r="220" spans="1:6" x14ac:dyDescent="0.25">
      <c r="B220" s="42" t="s">
        <v>6813</v>
      </c>
      <c r="C220" s="40"/>
      <c r="D220" s="40"/>
    </row>
    <row r="221" spans="1:6" x14ac:dyDescent="0.25">
      <c r="B221" s="42" t="s">
        <v>6814</v>
      </c>
      <c r="C221" s="40"/>
      <c r="D221" s="40"/>
    </row>
    <row r="222" spans="1:6" x14ac:dyDescent="0.25">
      <c r="A222" s="41" t="str">
        <f>_xlfn.CONCAT("Sample test results are documented in ",'Sample Tables'!B216," [",'Sample Tables'!B217,", ",'Sample Tables'!B218,", ",'Sample Tables'!B219,", ",'Sample Tables'!B220,", ",'Sample Tables'!B221,"]."&amp;CHAR(10))</f>
        <v xml:space="preserve">Sample test results are documented in Test 020: Application (security-related) [Population Source/Tool: , Population Date Range: , Population Size: , Sample Methodology: , Sample Size: ].
</v>
      </c>
      <c r="B222" s="95" t="s">
        <v>6815</v>
      </c>
      <c r="C222" s="93"/>
      <c r="D222" s="94"/>
    </row>
    <row r="223" spans="1:6" x14ac:dyDescent="0.25">
      <c r="B223" s="96"/>
      <c r="C223" s="91"/>
      <c r="D223" s="92"/>
    </row>
    <row r="224" spans="1:6" x14ac:dyDescent="0.25">
      <c r="B224" s="97"/>
      <c r="C224" s="71" t="s">
        <v>6824</v>
      </c>
      <c r="D224" s="71" t="s">
        <v>6825</v>
      </c>
    </row>
    <row r="225" spans="1:6" x14ac:dyDescent="0.25">
      <c r="B225" s="72"/>
      <c r="C225" s="71"/>
      <c r="D225" s="73"/>
    </row>
    <row r="227" spans="1:6" x14ac:dyDescent="0.25">
      <c r="B227" s="40" t="s">
        <v>6890</v>
      </c>
      <c r="C227" s="40"/>
      <c r="D227" s="40"/>
    </row>
    <row r="228" spans="1:6" x14ac:dyDescent="0.25">
      <c r="B228" s="40" t="s">
        <v>6810</v>
      </c>
      <c r="C228" s="40"/>
      <c r="D228" s="40"/>
    </row>
    <row r="229" spans="1:6" x14ac:dyDescent="0.25">
      <c r="B229" s="40" t="s">
        <v>6811</v>
      </c>
      <c r="C229" s="40"/>
      <c r="D229" s="40"/>
    </row>
    <row r="230" spans="1:6" x14ac:dyDescent="0.25">
      <c r="B230" s="42" t="s">
        <v>6812</v>
      </c>
      <c r="C230" s="40"/>
      <c r="D230" s="40"/>
    </row>
    <row r="231" spans="1:6" x14ac:dyDescent="0.25">
      <c r="B231" s="42" t="s">
        <v>6813</v>
      </c>
      <c r="C231" s="40"/>
      <c r="D231" s="40"/>
    </row>
    <row r="232" spans="1:6" x14ac:dyDescent="0.25">
      <c r="B232" s="42" t="s">
        <v>6814</v>
      </c>
      <c r="C232" s="40"/>
      <c r="D232" s="40"/>
    </row>
    <row r="233" spans="1:6" ht="100" customHeight="1" x14ac:dyDescent="0.25">
      <c r="A233" s="41" t="str">
        <f>_xlfn.CONCAT("Sample test results are documented in ",'Sample Tables'!B227," [",'Sample Tables'!B228,", ",'Sample Tables'!B229,", ",'Sample Tables'!B230,", ",'Sample Tables'!B231,", ",'Sample Tables'!B232,"]."&amp;CHAR(10))</f>
        <v xml:space="preserve">Sample test results are documented in Test 021: Application (web application) [Population Source/Tool: , Population Date Range: , Population Size: , Sample Methodology: , Sample Size: ].
</v>
      </c>
      <c r="B233" s="95" t="s">
        <v>6815</v>
      </c>
      <c r="C233" s="93" t="s">
        <v>6891</v>
      </c>
      <c r="D233" s="94"/>
      <c r="E233" s="93" t="s">
        <v>6892</v>
      </c>
      <c r="F233" s="94"/>
    </row>
    <row r="234" spans="1:6" x14ac:dyDescent="0.25">
      <c r="B234" s="96"/>
      <c r="C234" s="91" t="s">
        <v>1830</v>
      </c>
      <c r="D234" s="92"/>
      <c r="E234" s="91" t="s">
        <v>1830</v>
      </c>
      <c r="F234" s="92"/>
    </row>
    <row r="235" spans="1:6" x14ac:dyDescent="0.25">
      <c r="B235" s="97"/>
      <c r="C235" s="71" t="s">
        <v>6824</v>
      </c>
      <c r="D235" s="71" t="s">
        <v>6825</v>
      </c>
      <c r="E235" s="71" t="s">
        <v>6824</v>
      </c>
      <c r="F235" s="71" t="s">
        <v>6825</v>
      </c>
    </row>
    <row r="236" spans="1:6" x14ac:dyDescent="0.25">
      <c r="B236" s="72"/>
      <c r="C236" s="71"/>
      <c r="D236" s="73"/>
      <c r="E236" s="71"/>
      <c r="F236" s="73"/>
    </row>
    <row r="238" spans="1:6" x14ac:dyDescent="0.25">
      <c r="B238" s="40" t="s">
        <v>6893</v>
      </c>
      <c r="C238" s="40"/>
      <c r="D238" s="40"/>
    </row>
    <row r="239" spans="1:6" x14ac:dyDescent="0.25">
      <c r="B239" s="40" t="s">
        <v>6810</v>
      </c>
      <c r="C239" s="40"/>
      <c r="D239" s="40"/>
    </row>
    <row r="240" spans="1:6" x14ac:dyDescent="0.25">
      <c r="B240" s="40" t="s">
        <v>6811</v>
      </c>
      <c r="C240" s="40"/>
      <c r="D240" s="40"/>
    </row>
    <row r="241" spans="1:12" x14ac:dyDescent="0.25">
      <c r="B241" s="42" t="s">
        <v>6812</v>
      </c>
      <c r="C241" s="40"/>
      <c r="D241" s="40"/>
    </row>
    <row r="242" spans="1:12" x14ac:dyDescent="0.25">
      <c r="B242" s="42" t="s">
        <v>6813</v>
      </c>
      <c r="C242" s="40"/>
      <c r="D242" s="40"/>
    </row>
    <row r="243" spans="1:12" x14ac:dyDescent="0.25">
      <c r="B243" s="42" t="s">
        <v>6814</v>
      </c>
      <c r="C243" s="40"/>
      <c r="D243" s="40"/>
    </row>
    <row r="244" spans="1:12" ht="100" customHeight="1" x14ac:dyDescent="0.25">
      <c r="A244" s="41" t="str">
        <f>_xlfn.CONCAT("Sample test results are documented in ",'Sample Tables'!B238," [",'Sample Tables'!B239,", ",'Sample Tables'!B240,", ",'Sample Tables'!B241,", ",'Sample Tables'!B242,", ",'Sample Tables'!B243,"]."&amp;CHAR(10))</f>
        <v xml:space="preserve">Sample test results are documented in Test 022: Change [Population Source/Tool: , Population Date Range: , Population Size: , Sample Methodology: , Sample Size: ].
</v>
      </c>
      <c r="B244" s="95" t="s">
        <v>6815</v>
      </c>
      <c r="C244" s="93" t="s">
        <v>6894</v>
      </c>
      <c r="D244" s="94"/>
      <c r="E244" s="93" t="s">
        <v>6895</v>
      </c>
      <c r="F244" s="94"/>
      <c r="G244" s="93" t="s">
        <v>6894</v>
      </c>
      <c r="H244" s="94"/>
      <c r="I244" s="93" t="s">
        <v>6895</v>
      </c>
      <c r="J244" s="94"/>
      <c r="K244" s="93" t="s">
        <v>6895</v>
      </c>
      <c r="L244" s="94"/>
    </row>
    <row r="245" spans="1:12" x14ac:dyDescent="0.25">
      <c r="B245" s="96"/>
      <c r="C245" s="91" t="s">
        <v>1117</v>
      </c>
      <c r="D245" s="92"/>
      <c r="E245" s="91" t="s">
        <v>1117</v>
      </c>
      <c r="F245" s="92"/>
      <c r="G245" s="91" t="s">
        <v>999</v>
      </c>
      <c r="H245" s="92"/>
      <c r="I245" s="91" t="s">
        <v>999</v>
      </c>
      <c r="J245" s="92"/>
      <c r="K245" s="91" t="s">
        <v>1191</v>
      </c>
      <c r="L245" s="92"/>
    </row>
    <row r="246" spans="1:12" x14ac:dyDescent="0.25">
      <c r="B246" s="97"/>
      <c r="C246" s="71" t="s">
        <v>6824</v>
      </c>
      <c r="D246" s="71" t="s">
        <v>6825</v>
      </c>
      <c r="E246" s="71" t="s">
        <v>6824</v>
      </c>
      <c r="F246" s="71" t="s">
        <v>6825</v>
      </c>
      <c r="G246" s="71" t="s">
        <v>6824</v>
      </c>
      <c r="H246" s="71" t="s">
        <v>6825</v>
      </c>
      <c r="I246" s="71" t="s">
        <v>6824</v>
      </c>
      <c r="J246" s="71" t="s">
        <v>6825</v>
      </c>
      <c r="K246" s="71" t="s">
        <v>6824</v>
      </c>
      <c r="L246" s="71" t="s">
        <v>6825</v>
      </c>
    </row>
    <row r="247" spans="1:12" x14ac:dyDescent="0.25">
      <c r="B247" s="72"/>
      <c r="C247" s="71"/>
      <c r="D247" s="73"/>
      <c r="E247" s="71"/>
      <c r="F247" s="73"/>
      <c r="G247" s="71"/>
      <c r="H247" s="73"/>
      <c r="I247" s="71"/>
      <c r="J247" s="73"/>
      <c r="K247" s="71"/>
      <c r="L247" s="73"/>
    </row>
    <row r="249" spans="1:12" x14ac:dyDescent="0.25">
      <c r="B249" s="40" t="s">
        <v>6896</v>
      </c>
      <c r="C249" s="40"/>
      <c r="D249" s="40"/>
    </row>
    <row r="250" spans="1:12" x14ac:dyDescent="0.25">
      <c r="B250" s="40" t="s">
        <v>6810</v>
      </c>
      <c r="C250" s="40"/>
      <c r="D250" s="40"/>
    </row>
    <row r="251" spans="1:12" x14ac:dyDescent="0.25">
      <c r="B251" s="40" t="s">
        <v>6811</v>
      </c>
      <c r="C251" s="40"/>
      <c r="D251" s="40"/>
    </row>
    <row r="252" spans="1:12" x14ac:dyDescent="0.25">
      <c r="B252" s="42" t="s">
        <v>6812</v>
      </c>
      <c r="C252" s="40"/>
      <c r="D252" s="40"/>
    </row>
    <row r="253" spans="1:12" x14ac:dyDescent="0.25">
      <c r="B253" s="42" t="s">
        <v>6813</v>
      </c>
      <c r="C253" s="40"/>
      <c r="D253" s="40"/>
    </row>
    <row r="254" spans="1:12" x14ac:dyDescent="0.25">
      <c r="B254" s="42" t="s">
        <v>6814</v>
      </c>
      <c r="C254" s="40"/>
      <c r="D254" s="40"/>
    </row>
    <row r="255" spans="1:12" ht="100" customHeight="1" x14ac:dyDescent="0.25">
      <c r="A255" s="41" t="str">
        <f>_xlfn.CONCAT("Sample test results are documented in ",'Sample Tables'!B249," [",'Sample Tables'!B250,", ",'Sample Tables'!B251,", ",'Sample Tables'!B252,", ",'Sample Tables'!B253,", ",'Sample Tables'!B254,"]."&amp;CHAR(10))</f>
        <v xml:space="preserve">Sample test results are documented in Test 023: Change (access to guest/anonymous, shared/group, emergency, and/or temporary account) [Population Source/Tool: , Population Date Range: , Population Size: , Sample Methodology: , Sample Size: ].
</v>
      </c>
      <c r="B255" s="95" t="s">
        <v>6815</v>
      </c>
      <c r="C255" s="93" t="s">
        <v>6897</v>
      </c>
      <c r="D255" s="94"/>
      <c r="E255" s="93" t="s">
        <v>6898</v>
      </c>
      <c r="F255" s="94"/>
    </row>
    <row r="256" spans="1:12" x14ac:dyDescent="0.25">
      <c r="B256" s="96"/>
      <c r="C256" s="91" t="s">
        <v>2712</v>
      </c>
      <c r="D256" s="92"/>
      <c r="E256" s="91" t="s">
        <v>3004</v>
      </c>
      <c r="F256" s="92"/>
    </row>
    <row r="257" spans="1:8" x14ac:dyDescent="0.25">
      <c r="B257" s="97"/>
      <c r="C257" s="71" t="s">
        <v>6824</v>
      </c>
      <c r="D257" s="71" t="s">
        <v>6825</v>
      </c>
      <c r="E257" s="71" t="s">
        <v>6824</v>
      </c>
      <c r="F257" s="71" t="s">
        <v>6825</v>
      </c>
    </row>
    <row r="258" spans="1:8" x14ac:dyDescent="0.25">
      <c r="B258" s="72"/>
      <c r="C258" s="71"/>
      <c r="D258" s="73"/>
      <c r="E258" s="71"/>
      <c r="F258" s="73"/>
    </row>
    <row r="260" spans="1:8" x14ac:dyDescent="0.25">
      <c r="B260" s="40" t="s">
        <v>6899</v>
      </c>
      <c r="C260" s="40"/>
      <c r="D260" s="40"/>
    </row>
    <row r="261" spans="1:8" x14ac:dyDescent="0.25">
      <c r="B261" s="40" t="s">
        <v>6810</v>
      </c>
      <c r="C261" s="40"/>
      <c r="D261" s="40"/>
    </row>
    <row r="262" spans="1:8" x14ac:dyDescent="0.25">
      <c r="B262" s="40" t="s">
        <v>6811</v>
      </c>
      <c r="C262" s="40"/>
      <c r="D262" s="40"/>
    </row>
    <row r="263" spans="1:8" x14ac:dyDescent="0.25">
      <c r="B263" s="42" t="s">
        <v>6812</v>
      </c>
      <c r="C263" s="40"/>
      <c r="D263" s="40"/>
    </row>
    <row r="264" spans="1:8" x14ac:dyDescent="0.25">
      <c r="B264" s="42" t="s">
        <v>6813</v>
      </c>
      <c r="C264" s="40"/>
      <c r="D264" s="40"/>
    </row>
    <row r="265" spans="1:8" x14ac:dyDescent="0.25">
      <c r="B265" s="42" t="s">
        <v>6814</v>
      </c>
      <c r="C265" s="40"/>
      <c r="D265" s="40"/>
    </row>
    <row r="266" spans="1:8" ht="100" customHeight="1" x14ac:dyDescent="0.25">
      <c r="A266" s="41" t="str">
        <f>_xlfn.CONCAT("Sample test results are documented in ",'Sample Tables'!B260," [",'Sample Tables'!B261,", ",'Sample Tables'!B262,", ",'Sample Tables'!B263,", ",'Sample Tables'!B264,", ",'Sample Tables'!B265,"]."&amp;CHAR(10))</f>
        <v xml:space="preserve">Sample test results are documented in Test 024: Change (access to information system) [Population Source/Tool: , Population Date Range: , Population Size: , Sample Methodology: , Sample Size: ].
</v>
      </c>
      <c r="B266" s="95" t="s">
        <v>6815</v>
      </c>
      <c r="C266" s="93" t="s">
        <v>6900</v>
      </c>
      <c r="D266" s="94"/>
      <c r="E266" s="93" t="s">
        <v>6901</v>
      </c>
      <c r="F266" s="94"/>
      <c r="G266" s="93" t="s">
        <v>6902</v>
      </c>
      <c r="H266" s="94"/>
    </row>
    <row r="267" spans="1:8" x14ac:dyDescent="0.25">
      <c r="B267" s="96"/>
      <c r="C267" s="91" t="s">
        <v>2698</v>
      </c>
      <c r="D267" s="92"/>
      <c r="E267" s="91" t="s">
        <v>3012</v>
      </c>
      <c r="F267" s="92"/>
      <c r="G267" s="91" t="s">
        <v>3012</v>
      </c>
      <c r="H267" s="92"/>
    </row>
    <row r="268" spans="1:8" x14ac:dyDescent="0.25">
      <c r="B268" s="97"/>
      <c r="C268" s="71" t="s">
        <v>6824</v>
      </c>
      <c r="D268" s="71" t="s">
        <v>6825</v>
      </c>
      <c r="E268" s="71" t="s">
        <v>6824</v>
      </c>
      <c r="F268" s="71" t="s">
        <v>6825</v>
      </c>
      <c r="G268" s="71" t="s">
        <v>6824</v>
      </c>
      <c r="H268" s="71" t="s">
        <v>6825</v>
      </c>
    </row>
    <row r="269" spans="1:8" x14ac:dyDescent="0.25">
      <c r="B269" s="72"/>
      <c r="C269" s="71"/>
      <c r="D269" s="73"/>
      <c r="E269" s="71"/>
      <c r="F269" s="73"/>
      <c r="G269" s="71"/>
      <c r="H269" s="73"/>
    </row>
    <row r="271" spans="1:8" x14ac:dyDescent="0.25">
      <c r="B271" s="40" t="s">
        <v>6903</v>
      </c>
      <c r="C271" s="40"/>
      <c r="D271" s="40"/>
    </row>
    <row r="272" spans="1:8" x14ac:dyDescent="0.25">
      <c r="B272" s="40" t="s">
        <v>6810</v>
      </c>
      <c r="C272" s="40"/>
      <c r="D272" s="40"/>
    </row>
    <row r="273" spans="1:8" x14ac:dyDescent="0.25">
      <c r="B273" s="40" t="s">
        <v>6811</v>
      </c>
      <c r="C273" s="40"/>
      <c r="D273" s="40"/>
    </row>
    <row r="274" spans="1:8" x14ac:dyDescent="0.25">
      <c r="B274" s="42" t="s">
        <v>6812</v>
      </c>
      <c r="C274" s="40"/>
      <c r="D274" s="40"/>
    </row>
    <row r="275" spans="1:8" x14ac:dyDescent="0.25">
      <c r="B275" s="42" t="s">
        <v>6813</v>
      </c>
      <c r="C275" s="40"/>
      <c r="D275" s="40"/>
    </row>
    <row r="276" spans="1:8" x14ac:dyDescent="0.25">
      <c r="B276" s="42" t="s">
        <v>6814</v>
      </c>
      <c r="C276" s="40"/>
      <c r="D276" s="40"/>
    </row>
    <row r="277" spans="1:8" ht="100" customHeight="1" x14ac:dyDescent="0.25">
      <c r="A277" s="41" t="str">
        <f>_xlfn.CONCAT("Sample test results are documented in ",'Sample Tables'!B271," [",'Sample Tables'!B272,", ",'Sample Tables'!B273,", ",'Sample Tables'!B274,", ",'Sample Tables'!B275,", ",'Sample Tables'!B276,"]."&amp;CHAR(10))</f>
        <v xml:space="preserve">Sample test results are documented in Test 025: Change (access to privileged permissions) [Population Source/Tool: , Population Date Range: , Population Size: , Sample Methodology: , Sample Size: ].
</v>
      </c>
      <c r="B277" s="95" t="s">
        <v>6815</v>
      </c>
      <c r="C277" s="93" t="s">
        <v>6900</v>
      </c>
      <c r="D277" s="94"/>
      <c r="E277" s="93" t="s">
        <v>6901</v>
      </c>
      <c r="F277" s="94"/>
      <c r="G277" s="93" t="s">
        <v>6902</v>
      </c>
      <c r="H277" s="94"/>
    </row>
    <row r="278" spans="1:8" x14ac:dyDescent="0.25">
      <c r="B278" s="96"/>
      <c r="C278" s="91" t="s">
        <v>2698</v>
      </c>
      <c r="D278" s="92"/>
      <c r="E278" s="91" t="s">
        <v>3012</v>
      </c>
      <c r="F278" s="92"/>
      <c r="G278" s="91" t="s">
        <v>3012</v>
      </c>
      <c r="H278" s="92"/>
    </row>
    <row r="279" spans="1:8" x14ac:dyDescent="0.25">
      <c r="B279" s="97"/>
      <c r="C279" s="71" t="s">
        <v>6824</v>
      </c>
      <c r="D279" s="71" t="s">
        <v>6825</v>
      </c>
      <c r="E279" s="71" t="s">
        <v>6824</v>
      </c>
      <c r="F279" s="71" t="s">
        <v>6825</v>
      </c>
      <c r="G279" s="71" t="s">
        <v>6824</v>
      </c>
      <c r="H279" s="71" t="s">
        <v>6825</v>
      </c>
    </row>
    <row r="280" spans="1:8" x14ac:dyDescent="0.25">
      <c r="B280" s="72"/>
      <c r="C280" s="71"/>
      <c r="D280" s="73"/>
      <c r="E280" s="71"/>
      <c r="F280" s="73"/>
      <c r="G280" s="71"/>
      <c r="H280" s="73"/>
    </row>
    <row r="282" spans="1:8" x14ac:dyDescent="0.25">
      <c r="B282" s="40" t="s">
        <v>6904</v>
      </c>
      <c r="C282" s="40"/>
      <c r="D282" s="40"/>
    </row>
    <row r="283" spans="1:8" x14ac:dyDescent="0.25">
      <c r="B283" s="40" t="s">
        <v>6810</v>
      </c>
      <c r="C283" s="40"/>
      <c r="D283" s="40"/>
    </row>
    <row r="284" spans="1:8" x14ac:dyDescent="0.25">
      <c r="B284" s="40" t="s">
        <v>6811</v>
      </c>
      <c r="C284" s="40"/>
      <c r="D284" s="40"/>
    </row>
    <row r="285" spans="1:8" x14ac:dyDescent="0.25">
      <c r="B285" s="42" t="s">
        <v>6812</v>
      </c>
      <c r="C285" s="40"/>
      <c r="D285" s="40"/>
    </row>
    <row r="286" spans="1:8" x14ac:dyDescent="0.25">
      <c r="B286" s="42" t="s">
        <v>6813</v>
      </c>
      <c r="C286" s="40"/>
      <c r="D286" s="40"/>
    </row>
    <row r="287" spans="1:8" x14ac:dyDescent="0.25">
      <c r="B287" s="42" t="s">
        <v>6814</v>
      </c>
      <c r="C287" s="40"/>
      <c r="D287" s="40"/>
    </row>
    <row r="288" spans="1:8" ht="100" customHeight="1" x14ac:dyDescent="0.25">
      <c r="A288" s="41" t="str">
        <f>_xlfn.CONCAT("Sample test results are documented in ",'Sample Tables'!B282," [",'Sample Tables'!B283,", ",'Sample Tables'!B284,", ",'Sample Tables'!B285,", ",'Sample Tables'!B286,", ",'Sample Tables'!B287,"]."&amp;CHAR(10))</f>
        <v xml:space="preserve">Sample test results are documented in Test 026: Change (access to security tool) [Population Source/Tool: , Population Date Range: , Population Size: , Sample Methodology: , Sample Size: ].
</v>
      </c>
      <c r="B288" s="95" t="s">
        <v>6815</v>
      </c>
      <c r="C288" s="93" t="s">
        <v>6901</v>
      </c>
      <c r="D288" s="94"/>
      <c r="E288" s="93" t="s">
        <v>6902</v>
      </c>
      <c r="F288" s="94"/>
    </row>
    <row r="289" spans="1:6" x14ac:dyDescent="0.25">
      <c r="B289" s="96"/>
      <c r="C289" s="91" t="s">
        <v>3012</v>
      </c>
      <c r="D289" s="92"/>
      <c r="E289" s="91" t="s">
        <v>3012</v>
      </c>
      <c r="F289" s="92"/>
    </row>
    <row r="290" spans="1:6" x14ac:dyDescent="0.25">
      <c r="B290" s="97"/>
      <c r="C290" s="71" t="s">
        <v>6824</v>
      </c>
      <c r="D290" s="71" t="s">
        <v>6825</v>
      </c>
      <c r="E290" s="71" t="s">
        <v>6824</v>
      </c>
      <c r="F290" s="71" t="s">
        <v>6825</v>
      </c>
    </row>
    <row r="291" spans="1:6" x14ac:dyDescent="0.25">
      <c r="B291" s="72"/>
      <c r="C291" s="71"/>
      <c r="D291" s="73"/>
      <c r="E291" s="71"/>
      <c r="F291" s="73"/>
    </row>
    <row r="293" spans="1:6" x14ac:dyDescent="0.25">
      <c r="B293" s="40" t="s">
        <v>6905</v>
      </c>
      <c r="C293" s="40"/>
      <c r="D293" s="40"/>
    </row>
    <row r="294" spans="1:6" x14ac:dyDescent="0.25">
      <c r="B294" s="40" t="s">
        <v>6810</v>
      </c>
      <c r="C294" s="40"/>
      <c r="D294" s="40"/>
    </row>
    <row r="295" spans="1:6" x14ac:dyDescent="0.25">
      <c r="B295" s="40" t="s">
        <v>6811</v>
      </c>
      <c r="C295" s="40"/>
      <c r="D295" s="40"/>
    </row>
    <row r="296" spans="1:6" x14ac:dyDescent="0.25">
      <c r="B296" s="42" t="s">
        <v>6812</v>
      </c>
      <c r="C296" s="40"/>
      <c r="D296" s="40"/>
    </row>
    <row r="297" spans="1:6" x14ac:dyDescent="0.25">
      <c r="B297" s="42" t="s">
        <v>6813</v>
      </c>
      <c r="C297" s="40"/>
      <c r="D297" s="40"/>
    </row>
    <row r="298" spans="1:6" x14ac:dyDescent="0.25">
      <c r="B298" s="42" t="s">
        <v>6814</v>
      </c>
      <c r="C298" s="40"/>
      <c r="D298" s="40"/>
    </row>
    <row r="299" spans="1:6" ht="100" customHeight="1" x14ac:dyDescent="0.25">
      <c r="A299" s="41" t="str">
        <f>_xlfn.CONCAT("Sample test results are documented in ",'Sample Tables'!B293," [",'Sample Tables'!B294,", ",'Sample Tables'!B295,", ",'Sample Tables'!B296,", ",'Sample Tables'!B297,", ",'Sample Tables'!B298,"]."&amp;CHAR(10))</f>
        <v xml:space="preserve">Sample test results are documented in Test 027: Change (access to system document) [Population Source/Tool: , Population Date Range: , Population Size: , Sample Methodology: , Sample Size: ].
</v>
      </c>
      <c r="B299" s="95" t="s">
        <v>6815</v>
      </c>
      <c r="C299" s="93" t="s">
        <v>6906</v>
      </c>
      <c r="D299" s="94"/>
    </row>
    <row r="300" spans="1:6" x14ac:dyDescent="0.25">
      <c r="B300" s="96"/>
      <c r="C300" s="91" t="s">
        <v>1622</v>
      </c>
      <c r="D300" s="92"/>
    </row>
    <row r="301" spans="1:6" x14ac:dyDescent="0.25">
      <c r="B301" s="97"/>
      <c r="C301" s="71" t="s">
        <v>6824</v>
      </c>
      <c r="D301" s="71" t="s">
        <v>6825</v>
      </c>
    </row>
    <row r="302" spans="1:6" x14ac:dyDescent="0.25">
      <c r="B302" s="72"/>
      <c r="C302" s="71"/>
      <c r="D302" s="73"/>
    </row>
    <row r="304" spans="1:6" x14ac:dyDescent="0.25">
      <c r="B304" s="40" t="s">
        <v>6907</v>
      </c>
      <c r="C304" s="40"/>
      <c r="D304" s="40"/>
    </row>
    <row r="305" spans="1:10" x14ac:dyDescent="0.25">
      <c r="B305" s="40" t="s">
        <v>6810</v>
      </c>
      <c r="C305" s="40"/>
      <c r="D305" s="40"/>
    </row>
    <row r="306" spans="1:10" x14ac:dyDescent="0.25">
      <c r="B306" s="40" t="s">
        <v>6811</v>
      </c>
      <c r="C306" s="40"/>
      <c r="D306" s="40"/>
    </row>
    <row r="307" spans="1:10" x14ac:dyDescent="0.25">
      <c r="B307" s="42" t="s">
        <v>6812</v>
      </c>
      <c r="C307" s="40"/>
      <c r="D307" s="40"/>
    </row>
    <row r="308" spans="1:10" x14ac:dyDescent="0.25">
      <c r="B308" s="42" t="s">
        <v>6813</v>
      </c>
      <c r="C308" s="40"/>
      <c r="D308" s="40"/>
    </row>
    <row r="309" spans="1:10" x14ac:dyDescent="0.25">
      <c r="B309" s="42" t="s">
        <v>6814</v>
      </c>
      <c r="C309" s="40"/>
      <c r="D309" s="40"/>
    </row>
    <row r="310" spans="1:10" ht="100" customHeight="1" x14ac:dyDescent="0.25">
      <c r="A310" s="41" t="str">
        <f>_xlfn.CONCAT("Sample test results are documented in ",'Sample Tables'!B304," [",'Sample Tables'!B305,", ",'Sample Tables'!B306,", ",'Sample Tables'!B307,", ",'Sample Tables'!B308,", ",'Sample Tables'!B309,"]."&amp;CHAR(10))</f>
        <v xml:space="preserve">Sample test results are documented in Test 028: Change (business continuity) [Population Source/Tool: , Population Date Range: , Population Size: , Sample Methodology: , Sample Size: ].
</v>
      </c>
      <c r="B310" s="95" t="s">
        <v>6815</v>
      </c>
      <c r="C310" s="93" t="s">
        <v>6908</v>
      </c>
      <c r="D310" s="94"/>
      <c r="E310" s="93" t="s">
        <v>6909</v>
      </c>
      <c r="F310" s="94"/>
      <c r="G310" s="93" t="s">
        <v>6910</v>
      </c>
      <c r="H310" s="94"/>
      <c r="I310" s="93" t="s">
        <v>6911</v>
      </c>
      <c r="J310" s="94"/>
    </row>
    <row r="311" spans="1:10" x14ac:dyDescent="0.25">
      <c r="B311" s="96"/>
      <c r="C311" s="91" t="s">
        <v>4601</v>
      </c>
      <c r="D311" s="92"/>
      <c r="E311" s="91" t="s">
        <v>4609</v>
      </c>
      <c r="F311" s="92"/>
      <c r="G311" s="91" t="s">
        <v>4626</v>
      </c>
      <c r="H311" s="92"/>
      <c r="I311" s="91" t="s">
        <v>4632</v>
      </c>
      <c r="J311" s="92"/>
    </row>
    <row r="312" spans="1:10" x14ac:dyDescent="0.25">
      <c r="B312" s="97"/>
      <c r="C312" s="71" t="s">
        <v>6824</v>
      </c>
      <c r="D312" s="71" t="s">
        <v>6825</v>
      </c>
      <c r="E312" s="71"/>
      <c r="F312" s="71"/>
      <c r="G312" s="71" t="s">
        <v>6824</v>
      </c>
      <c r="H312" s="71" t="s">
        <v>6825</v>
      </c>
      <c r="I312" s="71" t="s">
        <v>6824</v>
      </c>
      <c r="J312" s="71" t="s">
        <v>6825</v>
      </c>
    </row>
    <row r="313" spans="1:10" x14ac:dyDescent="0.25">
      <c r="B313" s="72"/>
      <c r="C313" s="71"/>
      <c r="D313" s="73"/>
      <c r="E313" s="71"/>
      <c r="F313" s="73"/>
      <c r="G313" s="71"/>
      <c r="H313" s="73"/>
      <c r="I313" s="71"/>
      <c r="J313" s="73"/>
    </row>
    <row r="315" spans="1:10" x14ac:dyDescent="0.25">
      <c r="B315" s="40" t="s">
        <v>6912</v>
      </c>
      <c r="C315" s="40"/>
      <c r="D315" s="40"/>
    </row>
    <row r="316" spans="1:10" x14ac:dyDescent="0.25">
      <c r="B316" s="40" t="s">
        <v>6810</v>
      </c>
      <c r="C316" s="40"/>
      <c r="D316" s="40"/>
    </row>
    <row r="317" spans="1:10" x14ac:dyDescent="0.25">
      <c r="B317" s="40" t="s">
        <v>6811</v>
      </c>
      <c r="C317" s="40"/>
      <c r="D317" s="40"/>
    </row>
    <row r="318" spans="1:10" x14ac:dyDescent="0.25">
      <c r="B318" s="42" t="s">
        <v>6812</v>
      </c>
      <c r="C318" s="40"/>
      <c r="D318" s="40"/>
    </row>
    <row r="319" spans="1:10" x14ac:dyDescent="0.25">
      <c r="B319" s="42" t="s">
        <v>6813</v>
      </c>
      <c r="C319" s="40"/>
      <c r="D319" s="40"/>
    </row>
    <row r="320" spans="1:10" x14ac:dyDescent="0.25">
      <c r="B320" s="42" t="s">
        <v>6814</v>
      </c>
      <c r="C320" s="40"/>
      <c r="D320" s="40"/>
    </row>
    <row r="321" spans="1:16" ht="100" customHeight="1" x14ac:dyDescent="0.25">
      <c r="A321" s="41" t="str">
        <f>_xlfn.CONCAT("Sample test results are documented in ",'Sample Tables'!B315," [",'Sample Tables'!B316,", ",'Sample Tables'!B317,", ",'Sample Tables'!B318,", ",'Sample Tables'!B319,", ",'Sample Tables'!B320,"]."&amp;CHAR(10))</f>
        <v xml:space="preserve">Sample test results are documented in Test 029: Change (commercial software) [Population Source/Tool: , Population Date Range: , Population Size: , Sample Methodology: , Sample Size: ].
</v>
      </c>
      <c r="B321" s="95" t="s">
        <v>6815</v>
      </c>
      <c r="C321" s="93" t="s">
        <v>6913</v>
      </c>
      <c r="D321" s="94"/>
      <c r="E321" s="93" t="s">
        <v>6914</v>
      </c>
      <c r="F321" s="94"/>
      <c r="G321" s="93" t="s">
        <v>6915</v>
      </c>
      <c r="H321" s="94"/>
      <c r="I321" s="93" t="s">
        <v>6916</v>
      </c>
      <c r="J321" s="94"/>
      <c r="K321" s="93" t="s">
        <v>6917</v>
      </c>
      <c r="L321" s="94"/>
    </row>
    <row r="322" spans="1:16" x14ac:dyDescent="0.25">
      <c r="B322" s="96"/>
      <c r="C322" s="91" t="s">
        <v>1094</v>
      </c>
      <c r="D322" s="92"/>
      <c r="E322" s="91" t="s">
        <v>1094</v>
      </c>
      <c r="F322" s="92"/>
      <c r="G322" s="91" t="s">
        <v>1094</v>
      </c>
      <c r="H322" s="92"/>
      <c r="I322" s="91" t="s">
        <v>5242</v>
      </c>
      <c r="J322" s="92"/>
      <c r="K322" s="91" t="s">
        <v>5242</v>
      </c>
      <c r="L322" s="92"/>
    </row>
    <row r="323" spans="1:16" x14ac:dyDescent="0.25">
      <c r="B323" s="97"/>
      <c r="C323" s="71"/>
      <c r="D323" s="71"/>
      <c r="E323" s="71"/>
      <c r="F323" s="71"/>
      <c r="G323" s="71"/>
      <c r="H323" s="71"/>
      <c r="I323" s="71" t="s">
        <v>6824</v>
      </c>
      <c r="J323" s="71" t="s">
        <v>6825</v>
      </c>
      <c r="K323" s="71" t="s">
        <v>6824</v>
      </c>
      <c r="L323" s="71" t="s">
        <v>6825</v>
      </c>
    </row>
    <row r="324" spans="1:16" x14ac:dyDescent="0.25">
      <c r="B324" s="72"/>
      <c r="C324" s="71"/>
      <c r="D324" s="73"/>
      <c r="E324" s="71"/>
      <c r="F324" s="73"/>
      <c r="G324" s="71"/>
      <c r="H324" s="73"/>
      <c r="I324" s="71"/>
      <c r="J324" s="73"/>
      <c r="K324" s="71"/>
      <c r="L324" s="73"/>
    </row>
    <row r="326" spans="1:16" x14ac:dyDescent="0.25">
      <c r="B326" s="40" t="s">
        <v>6918</v>
      </c>
      <c r="C326" s="40"/>
      <c r="D326" s="40"/>
    </row>
    <row r="327" spans="1:16" x14ac:dyDescent="0.25">
      <c r="B327" s="40" t="s">
        <v>6810</v>
      </c>
      <c r="C327" s="40"/>
      <c r="D327" s="40"/>
    </row>
    <row r="328" spans="1:16" x14ac:dyDescent="0.25">
      <c r="B328" s="40" t="s">
        <v>6811</v>
      </c>
      <c r="C328" s="40"/>
      <c r="D328" s="40"/>
    </row>
    <row r="329" spans="1:16" x14ac:dyDescent="0.25">
      <c r="B329" s="42" t="s">
        <v>6812</v>
      </c>
      <c r="C329" s="40"/>
      <c r="D329" s="40"/>
    </row>
    <row r="330" spans="1:16" x14ac:dyDescent="0.25">
      <c r="B330" s="42" t="s">
        <v>6813</v>
      </c>
      <c r="C330" s="40"/>
      <c r="D330" s="40"/>
    </row>
    <row r="331" spans="1:16" x14ac:dyDescent="0.25">
      <c r="B331" s="42" t="s">
        <v>6814</v>
      </c>
      <c r="C331" s="40"/>
      <c r="D331" s="40"/>
    </row>
    <row r="332" spans="1:16" ht="100" customHeight="1" x14ac:dyDescent="0.25">
      <c r="A332" s="41" t="str">
        <f>_xlfn.CONCAT("Sample test results are documented in ",'Sample Tables'!B326," [",'Sample Tables'!B327,", ",'Sample Tables'!B328,", ",'Sample Tables'!B329,", ",'Sample Tables'!B330,", ",'Sample Tables'!B331,"]."&amp;CHAR(10))</f>
        <v xml:space="preserve">Sample test results are documented in Test 030: Change (information system and system components) [Population Source/Tool: , Population Date Range: , Population Size: , Sample Methodology: , Sample Size: ].
</v>
      </c>
      <c r="B332" s="95" t="s">
        <v>6815</v>
      </c>
      <c r="C332" s="93" t="s">
        <v>6919</v>
      </c>
      <c r="D332" s="94"/>
      <c r="E332" s="93" t="s">
        <v>6920</v>
      </c>
      <c r="F332" s="94"/>
      <c r="G332" s="93" t="s">
        <v>6921</v>
      </c>
      <c r="H332" s="94"/>
      <c r="I332" s="93" t="s">
        <v>6921</v>
      </c>
      <c r="J332" s="94"/>
      <c r="K332" s="93" t="s">
        <v>6920</v>
      </c>
      <c r="L332" s="94"/>
      <c r="M332" s="93" t="s">
        <v>6922</v>
      </c>
      <c r="N332" s="94"/>
      <c r="O332" s="93" t="s">
        <v>6921</v>
      </c>
      <c r="P332" s="94"/>
    </row>
    <row r="333" spans="1:16" x14ac:dyDescent="0.25">
      <c r="B333" s="96"/>
      <c r="C333" s="91" t="s">
        <v>986</v>
      </c>
      <c r="D333" s="92"/>
      <c r="E333" s="91" t="s">
        <v>986</v>
      </c>
      <c r="F333" s="92"/>
      <c r="G333" s="91" t="s">
        <v>986</v>
      </c>
      <c r="H333" s="92"/>
      <c r="I333" s="91" t="s">
        <v>1137</v>
      </c>
      <c r="J333" s="92"/>
      <c r="K333" s="91" t="s">
        <v>1137</v>
      </c>
      <c r="L333" s="92"/>
      <c r="M333" s="91" t="s">
        <v>1137</v>
      </c>
      <c r="N333" s="92"/>
      <c r="O333" s="91" t="s">
        <v>5216</v>
      </c>
      <c r="P333" s="92"/>
    </row>
    <row r="334" spans="1:16" x14ac:dyDescent="0.25">
      <c r="B334" s="97"/>
      <c r="C334" s="71" t="s">
        <v>6824</v>
      </c>
      <c r="D334" s="71" t="s">
        <v>6825</v>
      </c>
      <c r="E334" s="71" t="s">
        <v>6824</v>
      </c>
      <c r="F334" s="71" t="s">
        <v>6825</v>
      </c>
      <c r="G334" s="71" t="s">
        <v>6824</v>
      </c>
      <c r="H334" s="71" t="s">
        <v>6825</v>
      </c>
      <c r="I334" s="71" t="s">
        <v>6824</v>
      </c>
      <c r="J334" s="71" t="s">
        <v>6825</v>
      </c>
      <c r="K334" s="71" t="s">
        <v>6824</v>
      </c>
      <c r="L334" s="71" t="s">
        <v>6825</v>
      </c>
      <c r="M334" s="71" t="s">
        <v>6824</v>
      </c>
      <c r="N334" s="71" t="s">
        <v>6825</v>
      </c>
      <c r="O334" s="71" t="s">
        <v>6824</v>
      </c>
      <c r="P334" s="71" t="s">
        <v>6825</v>
      </c>
    </row>
    <row r="335" spans="1:16" x14ac:dyDescent="0.25">
      <c r="B335" s="72"/>
      <c r="C335" s="71"/>
      <c r="D335" s="73"/>
      <c r="E335" s="71"/>
      <c r="F335" s="73"/>
      <c r="G335" s="71"/>
      <c r="H335" s="73"/>
      <c r="I335" s="71"/>
      <c r="J335" s="73"/>
      <c r="K335" s="71"/>
      <c r="L335" s="73"/>
      <c r="M335" s="71"/>
      <c r="N335" s="73"/>
      <c r="O335" s="71"/>
      <c r="P335" s="73"/>
    </row>
    <row r="337" spans="1:4" x14ac:dyDescent="0.25">
      <c r="B337" s="40" t="s">
        <v>6923</v>
      </c>
      <c r="C337" s="40"/>
      <c r="D337" s="40"/>
    </row>
    <row r="338" spans="1:4" x14ac:dyDescent="0.25">
      <c r="B338" s="40" t="s">
        <v>6810</v>
      </c>
      <c r="C338" s="40"/>
      <c r="D338" s="40"/>
    </row>
    <row r="339" spans="1:4" x14ac:dyDescent="0.25">
      <c r="B339" s="40" t="s">
        <v>6811</v>
      </c>
      <c r="C339" s="40"/>
      <c r="D339" s="40"/>
    </row>
    <row r="340" spans="1:4" x14ac:dyDescent="0.25">
      <c r="B340" s="42" t="s">
        <v>6812</v>
      </c>
      <c r="C340" s="40"/>
      <c r="D340" s="40"/>
    </row>
    <row r="341" spans="1:4" x14ac:dyDescent="0.25">
      <c r="B341" s="42" t="s">
        <v>6813</v>
      </c>
      <c r="C341" s="40"/>
      <c r="D341" s="40"/>
    </row>
    <row r="342" spans="1:4" x14ac:dyDescent="0.25">
      <c r="B342" s="42" t="s">
        <v>6814</v>
      </c>
      <c r="C342" s="40"/>
      <c r="D342" s="40"/>
    </row>
    <row r="343" spans="1:4" x14ac:dyDescent="0.25">
      <c r="A343" s="41" t="str">
        <f>_xlfn.CONCAT("Sample test results are documented in ",'Sample Tables'!B337," [",'Sample Tables'!B338,", ",'Sample Tables'!B339,", ",'Sample Tables'!B340,", ",'Sample Tables'!B341,", ",'Sample Tables'!B342,"]."&amp;CHAR(10))</f>
        <v xml:space="preserve">Sample test results are documented in Test 031: Change (item on security report) [Population Source/Tool: , Population Date Range: , Population Size: , Sample Methodology: , Sample Size: ].
</v>
      </c>
      <c r="B343" s="95" t="s">
        <v>6815</v>
      </c>
      <c r="C343" s="93"/>
      <c r="D343" s="94"/>
    </row>
    <row r="344" spans="1:4" x14ac:dyDescent="0.25">
      <c r="B344" s="96"/>
      <c r="C344" s="91"/>
      <c r="D344" s="92"/>
    </row>
    <row r="345" spans="1:4" x14ac:dyDescent="0.25">
      <c r="B345" s="97"/>
      <c r="C345" s="71" t="s">
        <v>6824</v>
      </c>
      <c r="D345" s="71" t="s">
        <v>6825</v>
      </c>
    </row>
    <row r="346" spans="1:4" x14ac:dyDescent="0.25">
      <c r="B346" s="72"/>
      <c r="C346" s="71"/>
      <c r="D346" s="73"/>
    </row>
    <row r="348" spans="1:4" x14ac:dyDescent="0.25">
      <c r="B348" s="40" t="s">
        <v>6924</v>
      </c>
      <c r="C348" s="40"/>
      <c r="D348" s="40"/>
    </row>
    <row r="349" spans="1:4" x14ac:dyDescent="0.25">
      <c r="B349" s="40" t="s">
        <v>6810</v>
      </c>
      <c r="C349" s="40"/>
      <c r="D349" s="40"/>
    </row>
    <row r="350" spans="1:4" x14ac:dyDescent="0.25">
      <c r="B350" s="40" t="s">
        <v>6811</v>
      </c>
      <c r="C350" s="40"/>
      <c r="D350" s="40"/>
    </row>
    <row r="351" spans="1:4" x14ac:dyDescent="0.25">
      <c r="B351" s="42" t="s">
        <v>6812</v>
      </c>
      <c r="C351" s="40"/>
      <c r="D351" s="40"/>
    </row>
    <row r="352" spans="1:4" x14ac:dyDescent="0.25">
      <c r="B352" s="42" t="s">
        <v>6813</v>
      </c>
      <c r="C352" s="40"/>
      <c r="D352" s="40"/>
    </row>
    <row r="353" spans="1:8" x14ac:dyDescent="0.25">
      <c r="B353" s="42" t="s">
        <v>6814</v>
      </c>
      <c r="C353" s="40"/>
      <c r="D353" s="40"/>
    </row>
    <row r="354" spans="1:8" ht="100" customHeight="1" x14ac:dyDescent="0.25">
      <c r="A354" s="41" t="str">
        <f>_xlfn.CONCAT("Sample test results are documented in ",'Sample Tables'!B348," [",'Sample Tables'!B349,", ",'Sample Tables'!B350,", ",'Sample Tables'!B351,", ",'Sample Tables'!B352,", ",'Sample Tables'!B353,"]."&amp;CHAR(10))</f>
        <v xml:space="preserve">Sample test results are documented in Test 032: Change (mobile device) [Population Source/Tool: , Population Date Range: , Population Size: , Sample Methodology: , Sample Size: ].
</v>
      </c>
      <c r="B354" s="95" t="s">
        <v>6815</v>
      </c>
      <c r="C354" s="93" t="s">
        <v>6925</v>
      </c>
      <c r="D354" s="94"/>
    </row>
    <row r="355" spans="1:8" x14ac:dyDescent="0.25">
      <c r="B355" s="96"/>
      <c r="C355" s="91" t="s">
        <v>1265</v>
      </c>
      <c r="D355" s="92"/>
    </row>
    <row r="356" spans="1:8" x14ac:dyDescent="0.25">
      <c r="B356" s="97"/>
      <c r="C356" s="71" t="s">
        <v>6824</v>
      </c>
      <c r="D356" s="71" t="s">
        <v>6825</v>
      </c>
    </row>
    <row r="357" spans="1:8" x14ac:dyDescent="0.25">
      <c r="B357" s="72"/>
      <c r="C357" s="71"/>
      <c r="D357" s="73"/>
    </row>
    <row r="359" spans="1:8" x14ac:dyDescent="0.25">
      <c r="B359" s="40" t="s">
        <v>6926</v>
      </c>
      <c r="C359" s="40"/>
      <c r="D359" s="40"/>
    </row>
    <row r="360" spans="1:8" x14ac:dyDescent="0.25">
      <c r="B360" s="40" t="s">
        <v>6810</v>
      </c>
      <c r="C360" s="40"/>
      <c r="D360" s="40"/>
    </row>
    <row r="361" spans="1:8" x14ac:dyDescent="0.25">
      <c r="B361" s="40" t="s">
        <v>6811</v>
      </c>
      <c r="C361" s="40"/>
      <c r="D361" s="40"/>
    </row>
    <row r="362" spans="1:8" x14ac:dyDescent="0.25">
      <c r="B362" s="42" t="s">
        <v>6812</v>
      </c>
      <c r="C362" s="40"/>
      <c r="D362" s="40"/>
    </row>
    <row r="363" spans="1:8" x14ac:dyDescent="0.25">
      <c r="B363" s="42" t="s">
        <v>6813</v>
      </c>
      <c r="C363" s="40"/>
      <c r="D363" s="40"/>
    </row>
    <row r="364" spans="1:8" x14ac:dyDescent="0.25">
      <c r="B364" s="42" t="s">
        <v>6814</v>
      </c>
      <c r="C364" s="40"/>
      <c r="D364" s="40"/>
    </row>
    <row r="365" spans="1:8" ht="100" customHeight="1" x14ac:dyDescent="0.25">
      <c r="A365" s="41" t="str">
        <f>_xlfn.CONCAT("Sample test results are documented in ",'Sample Tables'!B359," [",'Sample Tables'!B360,", ",'Sample Tables'!B361,", ",'Sample Tables'!B362,", ",'Sample Tables'!B363,", ",'Sample Tables'!B364,"]."&amp;CHAR(10))</f>
        <v xml:space="preserve">Sample test results are documented in Test 033: Change (network connection) [Population Source/Tool: , Population Date Range: , Population Size: , Sample Methodology: , Sample Size: ].
</v>
      </c>
      <c r="B365" s="95" t="s">
        <v>6815</v>
      </c>
      <c r="C365" s="93" t="s">
        <v>6927</v>
      </c>
      <c r="D365" s="94"/>
      <c r="E365" s="93" t="s">
        <v>6928</v>
      </c>
      <c r="F365" s="94"/>
      <c r="G365" s="93" t="s">
        <v>6928</v>
      </c>
      <c r="H365" s="94"/>
    </row>
    <row r="366" spans="1:8" x14ac:dyDescent="0.25">
      <c r="B366" s="96"/>
      <c r="C366" s="91" t="s">
        <v>1903</v>
      </c>
      <c r="D366" s="92"/>
      <c r="E366" s="91" t="s">
        <v>1967</v>
      </c>
      <c r="F366" s="92"/>
      <c r="G366" s="91" t="s">
        <v>1796</v>
      </c>
      <c r="H366" s="92"/>
    </row>
    <row r="367" spans="1:8" x14ac:dyDescent="0.25">
      <c r="B367" s="97"/>
      <c r="C367" s="71" t="s">
        <v>6824</v>
      </c>
      <c r="D367" s="71" t="s">
        <v>6825</v>
      </c>
      <c r="E367" s="71" t="s">
        <v>6824</v>
      </c>
      <c r="F367" s="71" t="s">
        <v>6825</v>
      </c>
      <c r="G367" s="71" t="s">
        <v>6824</v>
      </c>
      <c r="H367" s="71" t="s">
        <v>6825</v>
      </c>
    </row>
    <row r="368" spans="1:8" x14ac:dyDescent="0.25">
      <c r="B368" s="72"/>
      <c r="C368" s="71"/>
      <c r="D368" s="73"/>
      <c r="E368" s="71"/>
      <c r="F368" s="73"/>
      <c r="G368" s="71"/>
      <c r="H368" s="73"/>
    </row>
    <row r="370" spans="1:16" x14ac:dyDescent="0.25">
      <c r="B370" s="40" t="s">
        <v>6929</v>
      </c>
      <c r="C370" s="40"/>
      <c r="D370" s="40"/>
    </row>
    <row r="371" spans="1:16" x14ac:dyDescent="0.25">
      <c r="B371" s="40" t="s">
        <v>6810</v>
      </c>
      <c r="C371" s="40"/>
      <c r="D371" s="40"/>
    </row>
    <row r="372" spans="1:16" x14ac:dyDescent="0.25">
      <c r="B372" s="40" t="s">
        <v>6811</v>
      </c>
      <c r="C372" s="40"/>
      <c r="D372" s="40"/>
    </row>
    <row r="373" spans="1:16" x14ac:dyDescent="0.25">
      <c r="B373" s="42" t="s">
        <v>6812</v>
      </c>
      <c r="C373" s="40"/>
      <c r="D373" s="40"/>
    </row>
    <row r="374" spans="1:16" x14ac:dyDescent="0.25">
      <c r="B374" s="42" t="s">
        <v>6813</v>
      </c>
      <c r="C374" s="40"/>
      <c r="D374" s="40"/>
    </row>
    <row r="375" spans="1:16" x14ac:dyDescent="0.25">
      <c r="B375" s="42" t="s">
        <v>6814</v>
      </c>
      <c r="C375" s="40"/>
      <c r="D375" s="40"/>
    </row>
    <row r="376" spans="1:16" ht="100" customHeight="1" x14ac:dyDescent="0.25">
      <c r="A376" s="41" t="str">
        <f>_xlfn.CONCAT("Sample test results are documented in ",'Sample Tables'!B370," [",'Sample Tables'!B371,", ",'Sample Tables'!B372,", ",'Sample Tables'!B373,", ",'Sample Tables'!B374,", ",'Sample Tables'!B375,"]."&amp;CHAR(10))</f>
        <v xml:space="preserve">Sample test results are documented in Test 034: Change (new endpoint installation) [Population Source/Tool: , Population Date Range: , Population Size: , Sample Methodology: , Sample Size: ].
</v>
      </c>
      <c r="B376" s="95" t="s">
        <v>6815</v>
      </c>
      <c r="C376" s="93" t="s">
        <v>6895</v>
      </c>
      <c r="D376" s="94"/>
      <c r="E376" s="93" t="s">
        <v>6919</v>
      </c>
      <c r="F376" s="94"/>
      <c r="G376" s="93" t="s">
        <v>6915</v>
      </c>
      <c r="H376" s="94"/>
      <c r="I376" s="93" t="s">
        <v>6930</v>
      </c>
      <c r="J376" s="94"/>
      <c r="K376" s="93" t="s">
        <v>6921</v>
      </c>
      <c r="L376" s="94"/>
      <c r="M376" s="93" t="s">
        <v>6931</v>
      </c>
      <c r="N376" s="94"/>
      <c r="O376" s="93" t="s">
        <v>6914</v>
      </c>
      <c r="P376" s="94"/>
    </row>
    <row r="377" spans="1:16" x14ac:dyDescent="0.25">
      <c r="B377" s="96"/>
      <c r="C377" s="91" t="s">
        <v>1191</v>
      </c>
      <c r="D377" s="92"/>
      <c r="E377" s="91" t="s">
        <v>1191</v>
      </c>
      <c r="F377" s="92"/>
      <c r="G377" s="91" t="s">
        <v>1191</v>
      </c>
      <c r="H377" s="92"/>
      <c r="I377" s="91" t="s">
        <v>1191</v>
      </c>
      <c r="J377" s="92"/>
      <c r="K377" s="91" t="s">
        <v>1191</v>
      </c>
      <c r="L377" s="92"/>
      <c r="M377" s="91" t="s">
        <v>1191</v>
      </c>
      <c r="N377" s="92"/>
      <c r="O377" s="91" t="s">
        <v>1191</v>
      </c>
      <c r="P377" s="92"/>
    </row>
    <row r="378" spans="1:16" x14ac:dyDescent="0.25">
      <c r="B378" s="97"/>
      <c r="C378" s="71" t="s">
        <v>6824</v>
      </c>
      <c r="D378" s="71" t="s">
        <v>6825</v>
      </c>
      <c r="E378" s="71" t="s">
        <v>6824</v>
      </c>
      <c r="F378" s="71" t="s">
        <v>6825</v>
      </c>
      <c r="G378" s="71" t="s">
        <v>6824</v>
      </c>
      <c r="H378" s="71" t="s">
        <v>6825</v>
      </c>
      <c r="I378" s="71" t="s">
        <v>6824</v>
      </c>
      <c r="J378" s="71" t="s">
        <v>6825</v>
      </c>
      <c r="K378" s="71" t="s">
        <v>6824</v>
      </c>
      <c r="L378" s="71" t="s">
        <v>6825</v>
      </c>
      <c r="M378" s="71" t="s">
        <v>6824</v>
      </c>
      <c r="N378" s="71" t="s">
        <v>6825</v>
      </c>
      <c r="O378" s="71" t="s">
        <v>6824</v>
      </c>
      <c r="P378" s="71" t="s">
        <v>6825</v>
      </c>
    </row>
    <row r="379" spans="1:16" x14ac:dyDescent="0.25">
      <c r="B379" s="72"/>
      <c r="C379" s="71"/>
      <c r="D379" s="73"/>
      <c r="E379" s="71"/>
      <c r="F379" s="73"/>
      <c r="G379" s="71"/>
      <c r="H379" s="73"/>
      <c r="I379" s="71"/>
      <c r="J379" s="73"/>
      <c r="K379" s="71"/>
      <c r="L379" s="73"/>
      <c r="M379" s="71"/>
      <c r="N379" s="73"/>
      <c r="O379" s="71"/>
      <c r="P379" s="73"/>
    </row>
    <row r="381" spans="1:16" x14ac:dyDescent="0.25">
      <c r="B381" s="40" t="s">
        <v>6932</v>
      </c>
      <c r="C381" s="40"/>
      <c r="D381" s="40"/>
    </row>
    <row r="382" spans="1:16" x14ac:dyDescent="0.25">
      <c r="B382" s="40" t="s">
        <v>6810</v>
      </c>
      <c r="C382" s="40"/>
      <c r="D382" s="40"/>
    </row>
    <row r="383" spans="1:16" x14ac:dyDescent="0.25">
      <c r="B383" s="40" t="s">
        <v>6811</v>
      </c>
      <c r="C383" s="40"/>
      <c r="D383" s="40"/>
    </row>
    <row r="384" spans="1:16" x14ac:dyDescent="0.25">
      <c r="B384" s="42" t="s">
        <v>6812</v>
      </c>
      <c r="C384" s="40"/>
      <c r="D384" s="40"/>
    </row>
    <row r="385" spans="1:6" x14ac:dyDescent="0.25">
      <c r="B385" s="42" t="s">
        <v>6813</v>
      </c>
      <c r="C385" s="40"/>
      <c r="D385" s="40"/>
    </row>
    <row r="386" spans="1:6" x14ac:dyDescent="0.25">
      <c r="B386" s="42" t="s">
        <v>6814</v>
      </c>
      <c r="C386" s="40"/>
      <c r="D386" s="40"/>
    </row>
    <row r="387" spans="1:6" x14ac:dyDescent="0.25">
      <c r="A387" s="41" t="str">
        <f>_xlfn.CONCAT("Sample test results are documented in ",'Sample Tables'!B381," [",'Sample Tables'!B382,", ",'Sample Tables'!B383,", ",'Sample Tables'!B384,", ",'Sample Tables'!B385,", ",'Sample Tables'!B386,"]."&amp;CHAR(10))</f>
        <v xml:space="preserve">Sample test results are documented in Test 035: Change (outsourced software/system development) [Population Source/Tool: , Population Date Range: , Population Size: , Sample Methodology: , Sample Size: ].
</v>
      </c>
      <c r="B387" s="95" t="s">
        <v>6815</v>
      </c>
      <c r="C387" s="93"/>
      <c r="D387" s="94"/>
    </row>
    <row r="388" spans="1:6" x14ac:dyDescent="0.25">
      <c r="B388" s="96"/>
      <c r="C388" s="91"/>
      <c r="D388" s="92"/>
    </row>
    <row r="389" spans="1:6" x14ac:dyDescent="0.25">
      <c r="B389" s="97"/>
      <c r="C389" s="71" t="s">
        <v>6824</v>
      </c>
      <c r="D389" s="71" t="s">
        <v>6825</v>
      </c>
    </row>
    <row r="390" spans="1:6" x14ac:dyDescent="0.25">
      <c r="B390" s="72"/>
      <c r="C390" s="71"/>
      <c r="D390" s="73"/>
    </row>
    <row r="392" spans="1:6" x14ac:dyDescent="0.25">
      <c r="B392" s="40" t="s">
        <v>6933</v>
      </c>
      <c r="C392" s="40"/>
      <c r="D392" s="40"/>
    </row>
    <row r="393" spans="1:6" x14ac:dyDescent="0.25">
      <c r="B393" s="40" t="s">
        <v>6810</v>
      </c>
      <c r="C393" s="40"/>
      <c r="D393" s="40"/>
    </row>
    <row r="394" spans="1:6" x14ac:dyDescent="0.25">
      <c r="B394" s="40" t="s">
        <v>6811</v>
      </c>
      <c r="C394" s="40"/>
      <c r="D394" s="40"/>
    </row>
    <row r="395" spans="1:6" x14ac:dyDescent="0.25">
      <c r="B395" s="42" t="s">
        <v>6812</v>
      </c>
      <c r="C395" s="40"/>
      <c r="D395" s="40"/>
    </row>
    <row r="396" spans="1:6" x14ac:dyDescent="0.25">
      <c r="B396" s="42" t="s">
        <v>6813</v>
      </c>
      <c r="C396" s="40"/>
      <c r="D396" s="40"/>
    </row>
    <row r="397" spans="1:6" x14ac:dyDescent="0.25">
      <c r="B397" s="42" t="s">
        <v>6814</v>
      </c>
      <c r="C397" s="40"/>
      <c r="D397" s="40"/>
    </row>
    <row r="398" spans="1:6" ht="100" customHeight="1" x14ac:dyDescent="0.25">
      <c r="A398" s="41" t="str">
        <f>_xlfn.CONCAT("Sample test results are documented in ",'Sample Tables'!B392," [",'Sample Tables'!B393,", ",'Sample Tables'!B394,", ",'Sample Tables'!B395,", ",'Sample Tables'!B396,", ",'Sample Tables'!B397,"]."&amp;CHAR(10))</f>
        <v xml:space="preserve">Sample test results are documented in Test 036: Change (physical security) [Population Source/Tool: , Population Date Range: , Population Size: , Sample Methodology: , Sample Size: ].
</v>
      </c>
      <c r="B398" s="95" t="s">
        <v>6815</v>
      </c>
      <c r="C398" s="93" t="s">
        <v>6934</v>
      </c>
      <c r="D398" s="94"/>
      <c r="E398" s="93" t="s">
        <v>6934</v>
      </c>
      <c r="F398" s="94"/>
    </row>
    <row r="399" spans="1:6" x14ac:dyDescent="0.25">
      <c r="B399" s="96"/>
      <c r="C399" s="91" t="s">
        <v>5349</v>
      </c>
      <c r="D399" s="92"/>
      <c r="E399" s="91" t="s">
        <v>5527</v>
      </c>
      <c r="F399" s="92"/>
    </row>
    <row r="400" spans="1:6" x14ac:dyDescent="0.25">
      <c r="B400" s="97"/>
      <c r="C400" s="71" t="s">
        <v>6824</v>
      </c>
      <c r="D400" s="71" t="s">
        <v>6825</v>
      </c>
      <c r="E400" s="71" t="s">
        <v>6824</v>
      </c>
      <c r="F400" s="71" t="s">
        <v>6825</v>
      </c>
    </row>
    <row r="401" spans="1:6" x14ac:dyDescent="0.25">
      <c r="B401" s="72"/>
      <c r="C401" s="71"/>
      <c r="D401" s="73"/>
      <c r="E401" s="71"/>
      <c r="F401" s="73"/>
    </row>
    <row r="403" spans="1:6" x14ac:dyDescent="0.25">
      <c r="B403" s="40" t="s">
        <v>6935</v>
      </c>
      <c r="C403" s="40"/>
      <c r="D403" s="40"/>
    </row>
    <row r="404" spans="1:6" x14ac:dyDescent="0.25">
      <c r="B404" s="40" t="s">
        <v>6810</v>
      </c>
      <c r="C404" s="40"/>
      <c r="D404" s="40"/>
    </row>
    <row r="405" spans="1:6" x14ac:dyDescent="0.25">
      <c r="B405" s="40" t="s">
        <v>6811</v>
      </c>
      <c r="C405" s="40"/>
      <c r="D405" s="40"/>
    </row>
    <row r="406" spans="1:6" x14ac:dyDescent="0.25">
      <c r="B406" s="42" t="s">
        <v>6812</v>
      </c>
      <c r="C406" s="40"/>
      <c r="D406" s="40"/>
    </row>
    <row r="407" spans="1:6" x14ac:dyDescent="0.25">
      <c r="B407" s="42" t="s">
        <v>6813</v>
      </c>
      <c r="C407" s="40"/>
      <c r="D407" s="40"/>
    </row>
    <row r="408" spans="1:6" x14ac:dyDescent="0.25">
      <c r="B408" s="42" t="s">
        <v>6814</v>
      </c>
      <c r="C408" s="40"/>
      <c r="D408" s="40"/>
    </row>
    <row r="409" spans="1:6" ht="100" customHeight="1" x14ac:dyDescent="0.25">
      <c r="A409" s="41" t="str">
        <f>_xlfn.CONCAT("Sample test results are documented in ",'Sample Tables'!B403," [",'Sample Tables'!B404,", ",'Sample Tables'!B405,", ",'Sample Tables'!B406,", ",'Sample Tables'!B407,", ",'Sample Tables'!B408,"]."&amp;CHAR(10))</f>
        <v xml:space="preserve">Sample test results are documented in Test 037: Change (physical to virtual migration) [Population Source/Tool: , Population Date Range: , Population Size: , Sample Methodology: , Sample Size: ].
</v>
      </c>
      <c r="B409" s="95" t="s">
        <v>6815</v>
      </c>
      <c r="C409" s="93" t="s">
        <v>6936</v>
      </c>
      <c r="D409" s="94"/>
      <c r="E409" s="93" t="s">
        <v>6937</v>
      </c>
      <c r="F409" s="94"/>
    </row>
    <row r="410" spans="1:6" x14ac:dyDescent="0.25">
      <c r="B410" s="96"/>
      <c r="C410" s="91" t="s">
        <v>1836</v>
      </c>
      <c r="D410" s="92"/>
      <c r="E410" s="91" t="s">
        <v>2023</v>
      </c>
      <c r="F410" s="92"/>
    </row>
    <row r="411" spans="1:6" x14ac:dyDescent="0.25">
      <c r="B411" s="97"/>
      <c r="C411" s="71" t="s">
        <v>6824</v>
      </c>
      <c r="D411" s="71" t="s">
        <v>6825</v>
      </c>
      <c r="E411" s="71" t="s">
        <v>6824</v>
      </c>
      <c r="F411" s="71" t="s">
        <v>6825</v>
      </c>
    </row>
    <row r="412" spans="1:6" x14ac:dyDescent="0.25">
      <c r="B412" s="72"/>
      <c r="C412" s="71"/>
      <c r="D412" s="73"/>
      <c r="E412" s="71"/>
      <c r="F412" s="73"/>
    </row>
    <row r="414" spans="1:6" x14ac:dyDescent="0.25">
      <c r="B414" s="40" t="s">
        <v>6938</v>
      </c>
      <c r="C414" s="40"/>
      <c r="D414" s="40"/>
    </row>
    <row r="415" spans="1:6" x14ac:dyDescent="0.25">
      <c r="B415" s="40" t="s">
        <v>6810</v>
      </c>
      <c r="C415" s="40"/>
      <c r="D415" s="40"/>
    </row>
    <row r="416" spans="1:6" x14ac:dyDescent="0.25">
      <c r="B416" s="40" t="s">
        <v>6811</v>
      </c>
      <c r="C416" s="40"/>
      <c r="D416" s="40"/>
    </row>
    <row r="417" spans="1:50" x14ac:dyDescent="0.25">
      <c r="B417" s="42" t="s">
        <v>6812</v>
      </c>
      <c r="C417" s="40"/>
      <c r="D417" s="40"/>
    </row>
    <row r="418" spans="1:50" x14ac:dyDescent="0.25">
      <c r="B418" s="42" t="s">
        <v>6813</v>
      </c>
      <c r="C418" s="40"/>
      <c r="D418" s="40"/>
    </row>
    <row r="419" spans="1:50" x14ac:dyDescent="0.25">
      <c r="B419" s="42" t="s">
        <v>6814</v>
      </c>
      <c r="C419" s="40"/>
      <c r="D419" s="40"/>
    </row>
    <row r="420" spans="1:50" ht="100" customHeight="1" x14ac:dyDescent="0.25">
      <c r="A420" s="41" t="str">
        <f>_xlfn.CONCAT("Sample test results are documented in ",'Sample Tables'!B414," [",'Sample Tables'!B415,", ",'Sample Tables'!B416,", ",'Sample Tables'!B417,", ",'Sample Tables'!B418,", ",'Sample Tables'!B419,"]."&amp;CHAR(10))</f>
        <v xml:space="preserve">Sample test results are documented in Test 038: Change (related to third party service/system) [Population Source/Tool: , Population Date Range: , Population Size: , Sample Methodology: , Sample Size: ].
</v>
      </c>
      <c r="B420" s="95" t="s">
        <v>6815</v>
      </c>
      <c r="C420" s="93" t="s">
        <v>6939</v>
      </c>
      <c r="D420" s="94"/>
    </row>
    <row r="421" spans="1:50" x14ac:dyDescent="0.25">
      <c r="B421" s="96"/>
      <c r="C421" s="91" t="s">
        <v>3896</v>
      </c>
      <c r="D421" s="92"/>
    </row>
    <row r="422" spans="1:50" x14ac:dyDescent="0.25">
      <c r="B422" s="97"/>
      <c r="C422" s="71" t="s">
        <v>6824</v>
      </c>
      <c r="D422" s="71" t="s">
        <v>6825</v>
      </c>
    </row>
    <row r="423" spans="1:50" x14ac:dyDescent="0.25">
      <c r="B423" s="72"/>
      <c r="C423" s="71"/>
      <c r="D423" s="73"/>
    </row>
    <row r="425" spans="1:50" x14ac:dyDescent="0.25">
      <c r="B425" s="40" t="s">
        <v>6940</v>
      </c>
      <c r="C425" s="40"/>
      <c r="D425" s="40"/>
    </row>
    <row r="426" spans="1:50" x14ac:dyDescent="0.25">
      <c r="B426" s="40" t="s">
        <v>6810</v>
      </c>
      <c r="C426" s="40"/>
      <c r="D426" s="40"/>
    </row>
    <row r="427" spans="1:50" x14ac:dyDescent="0.25">
      <c r="B427" s="40" t="s">
        <v>6811</v>
      </c>
      <c r="C427" s="40"/>
      <c r="D427" s="40"/>
    </row>
    <row r="428" spans="1:50" x14ac:dyDescent="0.25">
      <c r="B428" s="42" t="s">
        <v>6812</v>
      </c>
      <c r="C428" s="40"/>
      <c r="D428" s="40"/>
    </row>
    <row r="429" spans="1:50" x14ac:dyDescent="0.25">
      <c r="B429" s="42" t="s">
        <v>6813</v>
      </c>
      <c r="C429" s="40"/>
      <c r="D429" s="40"/>
    </row>
    <row r="430" spans="1:50" x14ac:dyDescent="0.25">
      <c r="B430" s="42" t="s">
        <v>6814</v>
      </c>
      <c r="C430" s="40"/>
      <c r="D430" s="40"/>
    </row>
    <row r="431" spans="1:50" ht="100" customHeight="1" x14ac:dyDescent="0.25">
      <c r="A431" s="41" t="str">
        <f>_xlfn.CONCAT("Sample test results are documented in ",'Sample Tables'!B425," [",'Sample Tables'!B426,", ",'Sample Tables'!B427,", ",'Sample Tables'!B428,", ",'Sample Tables'!B429,", ",'Sample Tables'!B430,"]."&amp;CHAR(10))</f>
        <v xml:space="preserve">Sample test results are documented in Test 039: Change (significant to environment) [Population Source/Tool: , Population Date Range: , Population Size: , Sample Methodology: , Sample Size: ].
</v>
      </c>
      <c r="B431" s="95" t="s">
        <v>6815</v>
      </c>
      <c r="C431" s="93" t="s">
        <v>6941</v>
      </c>
      <c r="D431" s="94"/>
      <c r="E431" s="93" t="s">
        <v>6895</v>
      </c>
      <c r="F431" s="94"/>
      <c r="G431" s="93" t="s">
        <v>6919</v>
      </c>
      <c r="H431" s="94"/>
      <c r="I431" s="93" t="s">
        <v>6915</v>
      </c>
      <c r="J431" s="94"/>
      <c r="K431" s="93" t="s">
        <v>6930</v>
      </c>
      <c r="L431" s="94"/>
      <c r="M431" s="93" t="s">
        <v>6921</v>
      </c>
      <c r="N431" s="94"/>
      <c r="O431" s="93" t="s">
        <v>6931</v>
      </c>
      <c r="P431" s="94"/>
      <c r="Q431" s="93" t="s">
        <v>6914</v>
      </c>
      <c r="R431" s="94"/>
      <c r="S431" s="93" t="s">
        <v>6895</v>
      </c>
      <c r="T431" s="94"/>
      <c r="U431" s="93" t="s">
        <v>6919</v>
      </c>
      <c r="V431" s="94"/>
      <c r="W431" s="93" t="s">
        <v>6915</v>
      </c>
      <c r="X431" s="94"/>
      <c r="Y431" s="93" t="s">
        <v>6930</v>
      </c>
      <c r="Z431" s="94"/>
      <c r="AA431" s="93" t="s">
        <v>6942</v>
      </c>
      <c r="AB431" s="94"/>
      <c r="AC431" s="93" t="s">
        <v>6943</v>
      </c>
      <c r="AD431" s="94"/>
      <c r="AE431" s="93" t="s">
        <v>6921</v>
      </c>
      <c r="AF431" s="94"/>
      <c r="AG431" s="93" t="s">
        <v>6931</v>
      </c>
      <c r="AH431" s="94"/>
      <c r="AI431" s="93" t="s">
        <v>6914</v>
      </c>
      <c r="AJ431" s="94"/>
      <c r="AK431" s="93" t="s">
        <v>6941</v>
      </c>
      <c r="AL431" s="94"/>
      <c r="AM431" s="93" t="s">
        <v>6922</v>
      </c>
      <c r="AN431" s="94"/>
      <c r="AO431" s="93" t="s">
        <v>6944</v>
      </c>
      <c r="AP431" s="94"/>
      <c r="AQ431" s="93" t="s">
        <v>6945</v>
      </c>
      <c r="AR431" s="94"/>
      <c r="AS431" s="93" t="s">
        <v>6946</v>
      </c>
      <c r="AT431" s="94"/>
      <c r="AU431" s="93" t="s">
        <v>6931</v>
      </c>
      <c r="AV431" s="94"/>
      <c r="AW431" s="93" t="s">
        <v>6947</v>
      </c>
      <c r="AX431" s="94"/>
    </row>
    <row r="432" spans="1:50" x14ac:dyDescent="0.25">
      <c r="B432" s="96"/>
      <c r="C432" s="91" t="s">
        <v>1139</v>
      </c>
      <c r="D432" s="92"/>
      <c r="E432" s="91" t="s">
        <v>1191</v>
      </c>
      <c r="F432" s="92"/>
      <c r="G432" s="91" t="s">
        <v>1191</v>
      </c>
      <c r="H432" s="92"/>
      <c r="I432" s="91" t="s">
        <v>1191</v>
      </c>
      <c r="J432" s="92"/>
      <c r="K432" s="91" t="s">
        <v>1191</v>
      </c>
      <c r="L432" s="92"/>
      <c r="M432" s="91" t="s">
        <v>1191</v>
      </c>
      <c r="N432" s="92"/>
      <c r="O432" s="91" t="s">
        <v>1191</v>
      </c>
      <c r="P432" s="92"/>
      <c r="Q432" s="91" t="s">
        <v>1191</v>
      </c>
      <c r="R432" s="92"/>
      <c r="S432" s="91" t="s">
        <v>1193</v>
      </c>
      <c r="T432" s="92"/>
      <c r="U432" s="91" t="s">
        <v>1193</v>
      </c>
      <c r="V432" s="92"/>
      <c r="W432" s="91" t="s">
        <v>1193</v>
      </c>
      <c r="X432" s="92"/>
      <c r="Y432" s="91" t="s">
        <v>1193</v>
      </c>
      <c r="Z432" s="92"/>
      <c r="AA432" s="91" t="s">
        <v>1193</v>
      </c>
      <c r="AB432" s="92"/>
      <c r="AC432" s="91" t="s">
        <v>1193</v>
      </c>
      <c r="AD432" s="92"/>
      <c r="AE432" s="91" t="s">
        <v>1193</v>
      </c>
      <c r="AF432" s="92"/>
      <c r="AG432" s="91" t="s">
        <v>1193</v>
      </c>
      <c r="AH432" s="92"/>
      <c r="AI432" s="91" t="s">
        <v>1193</v>
      </c>
      <c r="AJ432" s="92"/>
      <c r="AK432" s="91" t="s">
        <v>1193</v>
      </c>
      <c r="AL432" s="92"/>
      <c r="AM432" s="91" t="s">
        <v>1193</v>
      </c>
      <c r="AN432" s="92"/>
      <c r="AO432" s="91" t="s">
        <v>1193</v>
      </c>
      <c r="AP432" s="92"/>
      <c r="AQ432" s="91" t="s">
        <v>1840</v>
      </c>
      <c r="AR432" s="92"/>
      <c r="AS432" s="91" t="s">
        <v>3703</v>
      </c>
      <c r="AT432" s="92"/>
      <c r="AU432" s="91" t="s">
        <v>4984</v>
      </c>
      <c r="AV432" s="92"/>
      <c r="AW432" s="91" t="s">
        <v>5279</v>
      </c>
      <c r="AX432" s="92"/>
    </row>
    <row r="433" spans="1:100" x14ac:dyDescent="0.25">
      <c r="B433" s="97"/>
      <c r="C433" s="71" t="s">
        <v>6824</v>
      </c>
      <c r="D433" s="71" t="s">
        <v>6825</v>
      </c>
      <c r="E433" s="71" t="s">
        <v>6824</v>
      </c>
      <c r="F433" s="71" t="s">
        <v>6825</v>
      </c>
      <c r="G433" s="71" t="s">
        <v>6824</v>
      </c>
      <c r="H433" s="71" t="s">
        <v>6825</v>
      </c>
      <c r="I433" s="71" t="s">
        <v>6824</v>
      </c>
      <c r="J433" s="71" t="s">
        <v>6825</v>
      </c>
      <c r="K433" s="71" t="s">
        <v>6824</v>
      </c>
      <c r="L433" s="71" t="s">
        <v>6825</v>
      </c>
      <c r="M433" s="71" t="s">
        <v>6824</v>
      </c>
      <c r="N433" s="71" t="s">
        <v>6825</v>
      </c>
      <c r="O433" s="71" t="s">
        <v>6824</v>
      </c>
      <c r="P433" s="71" t="s">
        <v>6825</v>
      </c>
      <c r="Q433" s="71" t="s">
        <v>6824</v>
      </c>
      <c r="R433" s="71" t="s">
        <v>6825</v>
      </c>
      <c r="S433" s="71" t="s">
        <v>6824</v>
      </c>
      <c r="T433" s="71" t="s">
        <v>6825</v>
      </c>
      <c r="U433" s="71" t="s">
        <v>6824</v>
      </c>
      <c r="V433" s="71" t="s">
        <v>6825</v>
      </c>
      <c r="W433" s="71" t="s">
        <v>6824</v>
      </c>
      <c r="X433" s="71" t="s">
        <v>6825</v>
      </c>
      <c r="Y433" s="71" t="s">
        <v>6824</v>
      </c>
      <c r="Z433" s="71" t="s">
        <v>6825</v>
      </c>
      <c r="AA433" s="71" t="s">
        <v>6824</v>
      </c>
      <c r="AB433" s="71" t="s">
        <v>6825</v>
      </c>
      <c r="AC433" s="71" t="s">
        <v>6824</v>
      </c>
      <c r="AD433" s="71" t="s">
        <v>6825</v>
      </c>
      <c r="AE433" s="71" t="s">
        <v>6824</v>
      </c>
      <c r="AF433" s="71" t="s">
        <v>6825</v>
      </c>
      <c r="AG433" s="71" t="s">
        <v>6824</v>
      </c>
      <c r="AH433" s="71" t="s">
        <v>6825</v>
      </c>
      <c r="AI433" s="71" t="s">
        <v>6824</v>
      </c>
      <c r="AJ433" s="71" t="s">
        <v>6825</v>
      </c>
      <c r="AK433" s="71" t="s">
        <v>6824</v>
      </c>
      <c r="AL433" s="71" t="s">
        <v>6825</v>
      </c>
      <c r="AM433" s="71" t="s">
        <v>6824</v>
      </c>
      <c r="AN433" s="71" t="s">
        <v>6825</v>
      </c>
      <c r="AO433" s="71" t="s">
        <v>6824</v>
      </c>
      <c r="AP433" s="71" t="s">
        <v>6825</v>
      </c>
      <c r="AQ433" s="71" t="s">
        <v>6824</v>
      </c>
      <c r="AR433" s="71" t="s">
        <v>6825</v>
      </c>
      <c r="AS433" s="71" t="s">
        <v>6824</v>
      </c>
      <c r="AT433" s="71" t="s">
        <v>6825</v>
      </c>
      <c r="AU433" s="71" t="s">
        <v>6824</v>
      </c>
      <c r="AV433" s="71" t="s">
        <v>6825</v>
      </c>
      <c r="AW433" s="71" t="s">
        <v>6824</v>
      </c>
      <c r="AX433" s="71" t="s">
        <v>6825</v>
      </c>
    </row>
    <row r="434" spans="1:100" x14ac:dyDescent="0.25">
      <c r="B434" s="72"/>
      <c r="C434" s="71"/>
      <c r="D434" s="73"/>
      <c r="E434" s="71"/>
      <c r="F434" s="73"/>
      <c r="G434" s="71"/>
      <c r="H434" s="73"/>
      <c r="I434" s="71"/>
      <c r="J434" s="73"/>
      <c r="K434" s="71"/>
      <c r="L434" s="73"/>
      <c r="M434" s="71"/>
      <c r="N434" s="73"/>
      <c r="O434" s="71"/>
      <c r="P434" s="73"/>
      <c r="Q434" s="71"/>
      <c r="R434" s="73"/>
      <c r="S434" s="71"/>
      <c r="T434" s="73"/>
      <c r="U434" s="71"/>
      <c r="V434" s="73"/>
      <c r="W434" s="71"/>
      <c r="X434" s="73"/>
      <c r="Y434" s="71"/>
      <c r="Z434" s="73"/>
      <c r="AA434" s="71"/>
      <c r="AB434" s="73"/>
      <c r="AC434" s="71"/>
      <c r="AD434" s="73"/>
      <c r="AE434" s="71"/>
      <c r="AF434" s="73"/>
      <c r="AG434" s="71"/>
      <c r="AH434" s="73"/>
      <c r="AI434" s="71"/>
      <c r="AJ434" s="73"/>
      <c r="AK434" s="71"/>
      <c r="AL434" s="73"/>
      <c r="AM434" s="71"/>
      <c r="AN434" s="73"/>
      <c r="AO434" s="71"/>
      <c r="AP434" s="73"/>
      <c r="AQ434" s="71"/>
      <c r="AR434" s="73"/>
      <c r="AS434" s="71"/>
      <c r="AT434" s="73"/>
      <c r="AU434" s="71"/>
      <c r="AV434" s="73"/>
      <c r="AW434" s="71"/>
      <c r="AX434" s="73"/>
    </row>
    <row r="436" spans="1:100" x14ac:dyDescent="0.25">
      <c r="B436" s="40" t="s">
        <v>6948</v>
      </c>
      <c r="C436" s="40"/>
      <c r="D436" s="40"/>
    </row>
    <row r="437" spans="1:100" x14ac:dyDescent="0.25">
      <c r="B437" s="40" t="s">
        <v>6810</v>
      </c>
      <c r="C437" s="40"/>
      <c r="D437" s="40"/>
    </row>
    <row r="438" spans="1:100" x14ac:dyDescent="0.25">
      <c r="B438" s="40" t="s">
        <v>6811</v>
      </c>
      <c r="C438" s="40"/>
      <c r="D438" s="40"/>
    </row>
    <row r="439" spans="1:100" x14ac:dyDescent="0.25">
      <c r="B439" s="42" t="s">
        <v>6812</v>
      </c>
      <c r="C439" s="40"/>
      <c r="D439" s="40"/>
    </row>
    <row r="440" spans="1:100" x14ac:dyDescent="0.25">
      <c r="B440" s="42" t="s">
        <v>6813</v>
      </c>
      <c r="C440" s="40"/>
      <c r="D440" s="40"/>
    </row>
    <row r="441" spans="1:100" x14ac:dyDescent="0.25">
      <c r="B441" s="42" t="s">
        <v>6814</v>
      </c>
      <c r="C441" s="40"/>
      <c r="D441" s="40"/>
    </row>
    <row r="442" spans="1:100" ht="100" customHeight="1" x14ac:dyDescent="0.25">
      <c r="A442" s="41" t="str">
        <f>_xlfn.CONCAT("Sample test results are documented in ",'Sample Tables'!B436," [",'Sample Tables'!B437,", ",'Sample Tables'!B438,", ",'Sample Tables'!B439,", ",'Sample Tables'!B440,", ",'Sample Tables'!B441,"]."&amp;CHAR(10))</f>
        <v xml:space="preserve">Sample test results are documented in Test 040: Change (software development release) [Population Source/Tool: , Population Date Range: , Population Size: , Sample Methodology: , Sample Size: ].
</v>
      </c>
      <c r="B442" s="95" t="s">
        <v>6815</v>
      </c>
      <c r="C442" s="93" t="s">
        <v>6949</v>
      </c>
      <c r="D442" s="94"/>
      <c r="E442" s="93" t="s">
        <v>6913</v>
      </c>
      <c r="F442" s="94"/>
      <c r="G442" s="93" t="s">
        <v>6914</v>
      </c>
      <c r="H442" s="94"/>
      <c r="I442" s="93" t="s">
        <v>6915</v>
      </c>
      <c r="J442" s="94"/>
      <c r="K442" s="93" t="s">
        <v>6930</v>
      </c>
      <c r="L442" s="94"/>
      <c r="M442" s="93" t="s">
        <v>6950</v>
      </c>
      <c r="N442" s="94"/>
      <c r="O442" s="93" t="s">
        <v>6943</v>
      </c>
      <c r="P442" s="94"/>
      <c r="Q442" s="93" t="s">
        <v>6919</v>
      </c>
      <c r="R442" s="94"/>
      <c r="S442" s="93" t="s">
        <v>6921</v>
      </c>
      <c r="T442" s="94"/>
      <c r="U442" s="93" t="s">
        <v>6920</v>
      </c>
      <c r="V442" s="94"/>
      <c r="W442" s="93" t="s">
        <v>6922</v>
      </c>
      <c r="X442" s="94"/>
      <c r="Y442" s="93" t="s">
        <v>6941</v>
      </c>
      <c r="Z442" s="94"/>
      <c r="AA442" s="93" t="s">
        <v>6919</v>
      </c>
      <c r="AB442" s="94"/>
      <c r="AC442" s="93" t="s">
        <v>6951</v>
      </c>
      <c r="AD442" s="94"/>
      <c r="AE442" s="93" t="s">
        <v>6921</v>
      </c>
      <c r="AF442" s="94"/>
      <c r="AG442" s="93" t="s">
        <v>6916</v>
      </c>
      <c r="AH442" s="94"/>
      <c r="AI442" s="93" t="s">
        <v>6952</v>
      </c>
      <c r="AJ442" s="94"/>
      <c r="AK442" s="93" t="s">
        <v>6919</v>
      </c>
      <c r="AL442" s="94"/>
      <c r="AM442" s="93" t="s">
        <v>6915</v>
      </c>
      <c r="AN442" s="94"/>
      <c r="AO442" s="93" t="s">
        <v>6930</v>
      </c>
      <c r="AP442" s="94"/>
      <c r="AQ442" s="93" t="s">
        <v>6942</v>
      </c>
      <c r="AR442" s="94"/>
      <c r="AS442" s="93" t="s">
        <v>6943</v>
      </c>
      <c r="AT442" s="94"/>
      <c r="AU442" s="93" t="s">
        <v>6921</v>
      </c>
      <c r="AV442" s="94"/>
      <c r="AW442" s="93" t="s">
        <v>6931</v>
      </c>
      <c r="AX442" s="94"/>
      <c r="AY442" s="93" t="s">
        <v>6914</v>
      </c>
      <c r="AZ442" s="94"/>
      <c r="BA442" s="93" t="s">
        <v>6941</v>
      </c>
      <c r="BB442" s="94"/>
      <c r="BC442" s="93" t="s">
        <v>6922</v>
      </c>
      <c r="BD442" s="94"/>
      <c r="BE442" s="93" t="s">
        <v>6944</v>
      </c>
      <c r="BF442" s="94"/>
      <c r="BG442" s="93" t="s">
        <v>6953</v>
      </c>
      <c r="BH442" s="94"/>
      <c r="BI442" s="93" t="s">
        <v>6954</v>
      </c>
      <c r="BJ442" s="94"/>
      <c r="BK442" s="93" t="s">
        <v>6955</v>
      </c>
      <c r="BL442" s="94"/>
      <c r="BM442" s="93" t="s">
        <v>6956</v>
      </c>
      <c r="BN442" s="94"/>
      <c r="BO442" s="93" t="s">
        <v>6949</v>
      </c>
      <c r="BP442" s="94"/>
      <c r="BQ442" s="93" t="s">
        <v>6957</v>
      </c>
      <c r="BR442" s="94"/>
      <c r="BS442" s="93" t="s">
        <v>6958</v>
      </c>
      <c r="BT442" s="94"/>
      <c r="BU442" s="93" t="s">
        <v>6916</v>
      </c>
      <c r="BV442" s="94"/>
      <c r="BW442" s="93" t="s">
        <v>6917</v>
      </c>
      <c r="BX442" s="94"/>
      <c r="BY442" s="93" t="s">
        <v>6959</v>
      </c>
      <c r="BZ442" s="94"/>
      <c r="CA442" s="93" t="s">
        <v>6916</v>
      </c>
      <c r="CB442" s="94"/>
      <c r="CC442" s="93" t="s">
        <v>6917</v>
      </c>
      <c r="CD442" s="94"/>
      <c r="CE442" s="93" t="s">
        <v>6960</v>
      </c>
      <c r="CF442" s="94"/>
      <c r="CG442" s="93" t="s">
        <v>6961</v>
      </c>
      <c r="CH442" s="94"/>
      <c r="CI442" s="93" t="s">
        <v>6962</v>
      </c>
      <c r="CJ442" s="94"/>
      <c r="CK442" s="93" t="s">
        <v>6943</v>
      </c>
      <c r="CL442" s="94"/>
      <c r="CM442" s="93" t="s">
        <v>6943</v>
      </c>
      <c r="CN442" s="94"/>
      <c r="CO442" s="93" t="s">
        <v>6963</v>
      </c>
      <c r="CP442" s="94"/>
      <c r="CQ442" s="93" t="s">
        <v>6963</v>
      </c>
      <c r="CR442" s="94"/>
      <c r="CS442" s="93" t="s">
        <v>6964</v>
      </c>
      <c r="CT442" s="94"/>
      <c r="CU442" s="93" t="s">
        <v>6965</v>
      </c>
      <c r="CV442" s="94"/>
    </row>
    <row r="443" spans="1:100" x14ac:dyDescent="0.25">
      <c r="B443" s="96"/>
      <c r="C443" s="91" t="s">
        <v>736</v>
      </c>
      <c r="D443" s="92"/>
      <c r="E443" s="91" t="s">
        <v>1094</v>
      </c>
      <c r="F443" s="92"/>
      <c r="G443" s="91" t="s">
        <v>1094</v>
      </c>
      <c r="H443" s="92"/>
      <c r="I443" s="91" t="s">
        <v>1094</v>
      </c>
      <c r="J443" s="92"/>
      <c r="K443" s="91" t="s">
        <v>1096</v>
      </c>
      <c r="L443" s="92"/>
      <c r="M443" s="91" t="s">
        <v>1096</v>
      </c>
      <c r="N443" s="92"/>
      <c r="O443" s="91" t="s">
        <v>1096</v>
      </c>
      <c r="P443" s="92"/>
      <c r="Q443" s="91" t="s">
        <v>1098</v>
      </c>
      <c r="R443" s="92"/>
      <c r="S443" s="91" t="s">
        <v>1137</v>
      </c>
      <c r="T443" s="92"/>
      <c r="U443" s="91" t="s">
        <v>1137</v>
      </c>
      <c r="V443" s="92"/>
      <c r="W443" s="91" t="s">
        <v>1137</v>
      </c>
      <c r="X443" s="92"/>
      <c r="Y443" s="91" t="s">
        <v>1139</v>
      </c>
      <c r="Z443" s="92"/>
      <c r="AA443" s="91" t="s">
        <v>1165</v>
      </c>
      <c r="AB443" s="92"/>
      <c r="AC443" s="91" t="s">
        <v>1165</v>
      </c>
      <c r="AD443" s="92"/>
      <c r="AE443" s="91" t="s">
        <v>1182</v>
      </c>
      <c r="AF443" s="92"/>
      <c r="AG443" s="91" t="s">
        <v>1182</v>
      </c>
      <c r="AH443" s="92"/>
      <c r="AI443" s="91" t="s">
        <v>1189</v>
      </c>
      <c r="AJ443" s="92"/>
      <c r="AK443" s="91" t="s">
        <v>1193</v>
      </c>
      <c r="AL443" s="92"/>
      <c r="AM443" s="91" t="s">
        <v>1193</v>
      </c>
      <c r="AN443" s="92"/>
      <c r="AO443" s="91" t="s">
        <v>1193</v>
      </c>
      <c r="AP443" s="92"/>
      <c r="AQ443" s="91" t="s">
        <v>1193</v>
      </c>
      <c r="AR443" s="92"/>
      <c r="AS443" s="91" t="s">
        <v>1193</v>
      </c>
      <c r="AT443" s="92"/>
      <c r="AU443" s="91" t="s">
        <v>1193</v>
      </c>
      <c r="AV443" s="92"/>
      <c r="AW443" s="91" t="s">
        <v>1193</v>
      </c>
      <c r="AX443" s="92"/>
      <c r="AY443" s="91" t="s">
        <v>1193</v>
      </c>
      <c r="AZ443" s="92"/>
      <c r="BA443" s="91" t="s">
        <v>1193</v>
      </c>
      <c r="BB443" s="92"/>
      <c r="BC443" s="91" t="s">
        <v>1193</v>
      </c>
      <c r="BD443" s="92"/>
      <c r="BE443" s="91" t="s">
        <v>1193</v>
      </c>
      <c r="BF443" s="92"/>
      <c r="BG443" s="91" t="s">
        <v>1289</v>
      </c>
      <c r="BH443" s="92"/>
      <c r="BI443" s="91" t="s">
        <v>1289</v>
      </c>
      <c r="BJ443" s="92"/>
      <c r="BK443" s="91" t="s">
        <v>1289</v>
      </c>
      <c r="BL443" s="92"/>
      <c r="BM443" s="91" t="s">
        <v>1289</v>
      </c>
      <c r="BN443" s="92"/>
      <c r="BO443" s="91" t="s">
        <v>1289</v>
      </c>
      <c r="BP443" s="92"/>
      <c r="BQ443" s="91" t="s">
        <v>5007</v>
      </c>
      <c r="BR443" s="92"/>
      <c r="BS443" s="91" t="s">
        <v>5007</v>
      </c>
      <c r="BT443" s="92"/>
      <c r="BU443" s="91" t="s">
        <v>5242</v>
      </c>
      <c r="BV443" s="92"/>
      <c r="BW443" s="91" t="s">
        <v>5242</v>
      </c>
      <c r="BX443" s="92"/>
      <c r="BY443" s="91" t="s">
        <v>5252</v>
      </c>
      <c r="BZ443" s="92"/>
      <c r="CA443" s="91" t="s">
        <v>5262</v>
      </c>
      <c r="CB443" s="92"/>
      <c r="CC443" s="91" t="s">
        <v>5262</v>
      </c>
      <c r="CD443" s="92"/>
      <c r="CE443" s="91" t="s">
        <v>5264</v>
      </c>
      <c r="CF443" s="92"/>
      <c r="CG443" s="91" t="s">
        <v>5266</v>
      </c>
      <c r="CH443" s="92"/>
      <c r="CI443" s="91" t="s">
        <v>5266</v>
      </c>
      <c r="CJ443" s="92"/>
      <c r="CK443" s="91" t="s">
        <v>5267</v>
      </c>
      <c r="CL443" s="92"/>
      <c r="CM443" s="91" t="s">
        <v>4967</v>
      </c>
      <c r="CN443" s="92"/>
      <c r="CO443" s="91" t="s">
        <v>5271</v>
      </c>
      <c r="CP443" s="92"/>
      <c r="CQ443" s="91" t="s">
        <v>4965</v>
      </c>
      <c r="CR443" s="92"/>
      <c r="CS443" s="91" t="s">
        <v>6175</v>
      </c>
      <c r="CT443" s="92"/>
      <c r="CU443" s="91" t="s">
        <v>6175</v>
      </c>
      <c r="CV443" s="92"/>
    </row>
    <row r="444" spans="1:100" x14ac:dyDescent="0.25">
      <c r="B444" s="97"/>
      <c r="C444" s="71" t="s">
        <v>6824</v>
      </c>
      <c r="D444" s="71" t="s">
        <v>6825</v>
      </c>
      <c r="E444" s="71" t="s">
        <v>6824</v>
      </c>
      <c r="F444" s="71" t="s">
        <v>6825</v>
      </c>
      <c r="G444" s="71" t="s">
        <v>6824</v>
      </c>
      <c r="H444" s="71" t="s">
        <v>6825</v>
      </c>
      <c r="I444" s="71" t="s">
        <v>6824</v>
      </c>
      <c r="J444" s="71" t="s">
        <v>6825</v>
      </c>
      <c r="K444" s="71" t="s">
        <v>6824</v>
      </c>
      <c r="L444" s="71" t="s">
        <v>6825</v>
      </c>
      <c r="M444" s="71" t="s">
        <v>6824</v>
      </c>
      <c r="N444" s="71" t="s">
        <v>6825</v>
      </c>
      <c r="O444" s="71" t="s">
        <v>6824</v>
      </c>
      <c r="P444" s="71" t="s">
        <v>6825</v>
      </c>
      <c r="Q444" s="71" t="s">
        <v>6824</v>
      </c>
      <c r="R444" s="71" t="s">
        <v>6825</v>
      </c>
      <c r="S444" s="71" t="s">
        <v>6824</v>
      </c>
      <c r="T444" s="71" t="s">
        <v>6825</v>
      </c>
      <c r="U444" s="71" t="s">
        <v>6824</v>
      </c>
      <c r="V444" s="71" t="s">
        <v>6825</v>
      </c>
      <c r="W444" s="71" t="s">
        <v>6824</v>
      </c>
      <c r="X444" s="71" t="s">
        <v>6825</v>
      </c>
      <c r="Y444" s="71" t="s">
        <v>6824</v>
      </c>
      <c r="Z444" s="71" t="s">
        <v>6825</v>
      </c>
      <c r="AA444" s="71" t="s">
        <v>6824</v>
      </c>
      <c r="AB444" s="71" t="s">
        <v>6825</v>
      </c>
      <c r="AC444" s="71" t="s">
        <v>6824</v>
      </c>
      <c r="AD444" s="71" t="s">
        <v>6825</v>
      </c>
      <c r="AE444" s="71" t="s">
        <v>6824</v>
      </c>
      <c r="AF444" s="71" t="s">
        <v>6825</v>
      </c>
      <c r="AG444" s="71" t="s">
        <v>6824</v>
      </c>
      <c r="AH444" s="71" t="s">
        <v>6825</v>
      </c>
      <c r="AI444" s="71" t="s">
        <v>6824</v>
      </c>
      <c r="AJ444" s="71" t="s">
        <v>6825</v>
      </c>
      <c r="AK444" s="71" t="s">
        <v>6824</v>
      </c>
      <c r="AL444" s="71" t="s">
        <v>6825</v>
      </c>
      <c r="AM444" s="71" t="s">
        <v>6824</v>
      </c>
      <c r="AN444" s="71" t="s">
        <v>6825</v>
      </c>
      <c r="AO444" s="71" t="s">
        <v>6824</v>
      </c>
      <c r="AP444" s="71" t="s">
        <v>6825</v>
      </c>
      <c r="AQ444" s="71" t="s">
        <v>6824</v>
      </c>
      <c r="AR444" s="71" t="s">
        <v>6825</v>
      </c>
      <c r="AS444" s="71" t="s">
        <v>6824</v>
      </c>
      <c r="AT444" s="71" t="s">
        <v>6825</v>
      </c>
      <c r="AU444" s="71" t="s">
        <v>6824</v>
      </c>
      <c r="AV444" s="71" t="s">
        <v>6825</v>
      </c>
      <c r="AW444" s="71" t="s">
        <v>6824</v>
      </c>
      <c r="AX444" s="71" t="s">
        <v>6825</v>
      </c>
      <c r="AY444" s="71" t="s">
        <v>6824</v>
      </c>
      <c r="AZ444" s="71" t="s">
        <v>6825</v>
      </c>
      <c r="BA444" s="71" t="s">
        <v>6824</v>
      </c>
      <c r="BB444" s="71" t="s">
        <v>6825</v>
      </c>
      <c r="BC444" s="71" t="s">
        <v>6824</v>
      </c>
      <c r="BD444" s="71" t="s">
        <v>6825</v>
      </c>
      <c r="BE444" s="71" t="s">
        <v>6824</v>
      </c>
      <c r="BF444" s="71" t="s">
        <v>6825</v>
      </c>
      <c r="BG444" s="71" t="s">
        <v>6824</v>
      </c>
      <c r="BH444" s="71" t="s">
        <v>6825</v>
      </c>
      <c r="BI444" s="71" t="s">
        <v>6824</v>
      </c>
      <c r="BJ444" s="71" t="s">
        <v>6825</v>
      </c>
      <c r="BK444" s="71" t="s">
        <v>6824</v>
      </c>
      <c r="BL444" s="71" t="s">
        <v>6825</v>
      </c>
      <c r="BM444" s="71" t="s">
        <v>6824</v>
      </c>
      <c r="BN444" s="71" t="s">
        <v>6825</v>
      </c>
      <c r="BO444" s="71" t="s">
        <v>6824</v>
      </c>
      <c r="BP444" s="71" t="s">
        <v>6825</v>
      </c>
      <c r="BQ444" s="71" t="s">
        <v>6824</v>
      </c>
      <c r="BR444" s="71" t="s">
        <v>6825</v>
      </c>
      <c r="BS444" s="71" t="s">
        <v>6824</v>
      </c>
      <c r="BT444" s="71" t="s">
        <v>6825</v>
      </c>
      <c r="BU444" s="71" t="s">
        <v>6824</v>
      </c>
      <c r="BV444" s="71" t="s">
        <v>6825</v>
      </c>
      <c r="BW444" s="71" t="s">
        <v>6824</v>
      </c>
      <c r="BX444" s="71" t="s">
        <v>6825</v>
      </c>
      <c r="BY444" s="71" t="s">
        <v>6824</v>
      </c>
      <c r="BZ444" s="71" t="s">
        <v>6825</v>
      </c>
      <c r="CA444" s="71" t="s">
        <v>6824</v>
      </c>
      <c r="CB444" s="71" t="s">
        <v>6825</v>
      </c>
      <c r="CC444" s="71" t="s">
        <v>6824</v>
      </c>
      <c r="CD444" s="71" t="s">
        <v>6825</v>
      </c>
      <c r="CE444" s="71" t="s">
        <v>6824</v>
      </c>
      <c r="CF444" s="71" t="s">
        <v>6825</v>
      </c>
      <c r="CG444" s="71" t="s">
        <v>6824</v>
      </c>
      <c r="CH444" s="71" t="s">
        <v>6825</v>
      </c>
      <c r="CI444" s="71" t="s">
        <v>6824</v>
      </c>
      <c r="CJ444" s="71" t="s">
        <v>6825</v>
      </c>
      <c r="CK444" s="71" t="s">
        <v>6824</v>
      </c>
      <c r="CL444" s="71" t="s">
        <v>6825</v>
      </c>
      <c r="CM444" s="71" t="s">
        <v>6824</v>
      </c>
      <c r="CN444" s="71" t="s">
        <v>6825</v>
      </c>
      <c r="CO444" s="71" t="s">
        <v>6824</v>
      </c>
      <c r="CP444" s="71" t="s">
        <v>6825</v>
      </c>
      <c r="CQ444" s="71" t="s">
        <v>6824</v>
      </c>
      <c r="CR444" s="71" t="s">
        <v>6825</v>
      </c>
      <c r="CS444" s="71" t="s">
        <v>6824</v>
      </c>
      <c r="CT444" s="71" t="s">
        <v>6825</v>
      </c>
      <c r="CU444" s="71" t="s">
        <v>6824</v>
      </c>
      <c r="CV444" s="71" t="s">
        <v>6825</v>
      </c>
    </row>
    <row r="445" spans="1:100" x14ac:dyDescent="0.25">
      <c r="B445" s="72"/>
      <c r="C445" s="71"/>
      <c r="D445" s="73"/>
      <c r="E445" s="71"/>
      <c r="F445" s="73"/>
      <c r="G445" s="71"/>
      <c r="H445" s="73"/>
      <c r="I445" s="71"/>
      <c r="J445" s="73"/>
      <c r="K445" s="71"/>
      <c r="L445" s="73"/>
      <c r="M445" s="71"/>
      <c r="N445" s="73"/>
      <c r="O445" s="71"/>
      <c r="P445" s="73"/>
      <c r="Q445" s="71"/>
      <c r="R445" s="73"/>
      <c r="S445" s="71"/>
      <c r="T445" s="73"/>
      <c r="U445" s="71"/>
      <c r="V445" s="73"/>
      <c r="W445" s="71"/>
      <c r="X445" s="73"/>
      <c r="Y445" s="71"/>
      <c r="Z445" s="73"/>
      <c r="AA445" s="71"/>
      <c r="AB445" s="73"/>
      <c r="AC445" s="71"/>
      <c r="AD445" s="73"/>
      <c r="AE445" s="71"/>
      <c r="AF445" s="73"/>
      <c r="AG445" s="71"/>
      <c r="AH445" s="73"/>
      <c r="AI445" s="71"/>
      <c r="AJ445" s="73"/>
      <c r="AK445" s="71"/>
      <c r="AL445" s="73"/>
      <c r="AM445" s="71"/>
      <c r="AN445" s="73"/>
      <c r="AO445" s="71"/>
      <c r="AP445" s="73"/>
      <c r="AQ445" s="71"/>
      <c r="AR445" s="73"/>
      <c r="AS445" s="71"/>
      <c r="AT445" s="73"/>
      <c r="AU445" s="71"/>
      <c r="AV445" s="73"/>
      <c r="AW445" s="71"/>
      <c r="AX445" s="73"/>
      <c r="AY445" s="71"/>
      <c r="AZ445" s="73"/>
      <c r="BA445" s="71"/>
      <c r="BB445" s="73"/>
      <c r="BC445" s="71"/>
      <c r="BD445" s="73"/>
      <c r="BE445" s="71"/>
      <c r="BF445" s="73"/>
      <c r="BG445" s="71"/>
      <c r="BH445" s="73"/>
      <c r="BI445" s="71"/>
      <c r="BJ445" s="73"/>
      <c r="BK445" s="71"/>
      <c r="BL445" s="73"/>
      <c r="BM445" s="71"/>
      <c r="BN445" s="73"/>
      <c r="BO445" s="71"/>
      <c r="BP445" s="73"/>
      <c r="BQ445" s="71"/>
      <c r="BR445" s="73"/>
      <c r="BS445" s="71"/>
      <c r="BT445" s="73"/>
      <c r="BU445" s="71"/>
      <c r="BV445" s="73"/>
      <c r="BW445" s="71"/>
      <c r="BX445" s="73"/>
      <c r="BY445" s="71"/>
      <c r="BZ445" s="73"/>
      <c r="CA445" s="71"/>
      <c r="CB445" s="73"/>
      <c r="CC445" s="71"/>
      <c r="CD445" s="73"/>
      <c r="CE445" s="71"/>
      <c r="CF445" s="73"/>
      <c r="CG445" s="71"/>
      <c r="CH445" s="73"/>
      <c r="CI445" s="71"/>
      <c r="CJ445" s="73"/>
      <c r="CK445" s="71"/>
      <c r="CL445" s="73"/>
      <c r="CM445" s="71"/>
      <c r="CN445" s="73"/>
      <c r="CO445" s="71"/>
      <c r="CP445" s="73"/>
      <c r="CQ445" s="71"/>
      <c r="CR445" s="73"/>
      <c r="CS445" s="71"/>
      <c r="CT445" s="73"/>
      <c r="CU445" s="71"/>
      <c r="CV445" s="73"/>
    </row>
    <row r="447" spans="1:100" x14ac:dyDescent="0.25">
      <c r="B447" s="40" t="s">
        <v>6966</v>
      </c>
      <c r="C447" s="40"/>
      <c r="D447" s="40"/>
    </row>
    <row r="448" spans="1:100" x14ac:dyDescent="0.25">
      <c r="B448" s="40" t="s">
        <v>6810</v>
      </c>
      <c r="C448" s="40"/>
      <c r="D448" s="40"/>
    </row>
    <row r="449" spans="1:78" x14ac:dyDescent="0.25">
      <c r="B449" s="40" t="s">
        <v>6811</v>
      </c>
      <c r="C449" s="40"/>
      <c r="D449" s="40"/>
    </row>
    <row r="450" spans="1:78" x14ac:dyDescent="0.25">
      <c r="B450" s="42" t="s">
        <v>6812</v>
      </c>
      <c r="C450" s="40"/>
      <c r="D450" s="40"/>
    </row>
    <row r="451" spans="1:78" x14ac:dyDescent="0.25">
      <c r="B451" s="42" t="s">
        <v>6813</v>
      </c>
      <c r="C451" s="40"/>
      <c r="D451" s="40"/>
    </row>
    <row r="452" spans="1:78" x14ac:dyDescent="0.25">
      <c r="B452" s="42" t="s">
        <v>6814</v>
      </c>
      <c r="C452" s="40"/>
      <c r="D452" s="40"/>
    </row>
    <row r="453" spans="1:78" ht="100" customHeight="1" x14ac:dyDescent="0.25">
      <c r="A453" s="41" t="str">
        <f>_xlfn.CONCAT("Sample test results are documented in ",'Sample Tables'!B447," [",'Sample Tables'!B448,", ",'Sample Tables'!B449,", ",'Sample Tables'!B450,", ",'Sample Tables'!B451,", ",'Sample Tables'!B452,"]."&amp;CHAR(10))</f>
        <v xml:space="preserve">Sample test results are documented in Test 041: Change (system development) [Population Source/Tool: , Population Date Range: , Population Size: , Sample Methodology: , Sample Size: ].
</v>
      </c>
      <c r="B453" s="95" t="s">
        <v>6815</v>
      </c>
      <c r="C453" s="93" t="s">
        <v>6930</v>
      </c>
      <c r="D453" s="94"/>
      <c r="E453" s="93" t="s">
        <v>6950</v>
      </c>
      <c r="F453" s="94"/>
      <c r="G453" s="93" t="s">
        <v>6943</v>
      </c>
      <c r="H453" s="94"/>
      <c r="I453" s="93" t="s">
        <v>6919</v>
      </c>
      <c r="J453" s="94"/>
      <c r="K453" s="93" t="s">
        <v>6921</v>
      </c>
      <c r="L453" s="94"/>
      <c r="M453" s="93" t="s">
        <v>6920</v>
      </c>
      <c r="N453" s="94"/>
      <c r="O453" s="93" t="s">
        <v>6922</v>
      </c>
      <c r="P453" s="94"/>
      <c r="Q453" s="93" t="s">
        <v>6941</v>
      </c>
      <c r="R453" s="94"/>
      <c r="S453" s="93" t="s">
        <v>6919</v>
      </c>
      <c r="T453" s="94"/>
      <c r="U453" s="93" t="s">
        <v>6951</v>
      </c>
      <c r="V453" s="94"/>
      <c r="W453" s="93" t="s">
        <v>6921</v>
      </c>
      <c r="X453" s="94"/>
      <c r="Y453" s="93" t="s">
        <v>6916</v>
      </c>
      <c r="Z453" s="94"/>
      <c r="AA453" s="93" t="s">
        <v>6952</v>
      </c>
      <c r="AB453" s="94"/>
      <c r="AC453" s="93" t="s">
        <v>6919</v>
      </c>
      <c r="AD453" s="94"/>
      <c r="AE453" s="93" t="s">
        <v>6915</v>
      </c>
      <c r="AF453" s="94"/>
      <c r="AG453" s="93" t="s">
        <v>6930</v>
      </c>
      <c r="AH453" s="94"/>
      <c r="AI453" s="93" t="s">
        <v>6942</v>
      </c>
      <c r="AJ453" s="94"/>
      <c r="AK453" s="93" t="s">
        <v>6943</v>
      </c>
      <c r="AL453" s="94"/>
      <c r="AM453" s="93" t="s">
        <v>6921</v>
      </c>
      <c r="AN453" s="94"/>
      <c r="AO453" s="93" t="s">
        <v>6931</v>
      </c>
      <c r="AP453" s="94"/>
      <c r="AQ453" s="93" t="s">
        <v>6914</v>
      </c>
      <c r="AR453" s="94"/>
      <c r="AS453" s="93" t="s">
        <v>6941</v>
      </c>
      <c r="AT453" s="94"/>
      <c r="AU453" s="93" t="s">
        <v>6922</v>
      </c>
      <c r="AV453" s="94"/>
      <c r="AW453" s="93" t="s">
        <v>6944</v>
      </c>
      <c r="AX453" s="94"/>
      <c r="AY453" s="93" t="s">
        <v>6967</v>
      </c>
      <c r="AZ453" s="94"/>
      <c r="BA453" s="93" t="s">
        <v>6968</v>
      </c>
      <c r="BB453" s="94"/>
      <c r="BC453" s="93" t="s">
        <v>6957</v>
      </c>
      <c r="BD453" s="94"/>
      <c r="BE453" s="93" t="s">
        <v>6958</v>
      </c>
      <c r="BF453" s="94"/>
      <c r="BG453" s="93" t="s">
        <v>6959</v>
      </c>
      <c r="BH453" s="94"/>
      <c r="BI453" s="93" t="s">
        <v>6916</v>
      </c>
      <c r="BJ453" s="94"/>
      <c r="BK453" s="93" t="s">
        <v>6917</v>
      </c>
      <c r="BL453" s="94"/>
      <c r="BM453" s="93" t="s">
        <v>6960</v>
      </c>
      <c r="BN453" s="94"/>
      <c r="BO453" s="93" t="s">
        <v>6943</v>
      </c>
      <c r="BP453" s="94"/>
      <c r="BQ453" s="93" t="s">
        <v>6943</v>
      </c>
      <c r="BR453" s="94"/>
      <c r="BS453" s="93" t="s">
        <v>6963</v>
      </c>
      <c r="BT453" s="94"/>
      <c r="BU453" s="93" t="s">
        <v>6963</v>
      </c>
      <c r="BV453" s="94"/>
      <c r="BW453" s="93" t="s">
        <v>6964</v>
      </c>
      <c r="BX453" s="94"/>
      <c r="BY453" s="93" t="s">
        <v>6965</v>
      </c>
      <c r="BZ453" s="94"/>
    </row>
    <row r="454" spans="1:78" x14ac:dyDescent="0.25">
      <c r="B454" s="96"/>
      <c r="C454" s="91" t="s">
        <v>1096</v>
      </c>
      <c r="D454" s="92"/>
      <c r="E454" s="91" t="s">
        <v>1096</v>
      </c>
      <c r="F454" s="92"/>
      <c r="G454" s="91" t="s">
        <v>1096</v>
      </c>
      <c r="H454" s="92"/>
      <c r="I454" s="91" t="s">
        <v>1098</v>
      </c>
      <c r="J454" s="92"/>
      <c r="K454" s="91" t="s">
        <v>1137</v>
      </c>
      <c r="L454" s="92"/>
      <c r="M454" s="91" t="s">
        <v>1137</v>
      </c>
      <c r="N454" s="92"/>
      <c r="O454" s="91" t="s">
        <v>1137</v>
      </c>
      <c r="P454" s="92"/>
      <c r="Q454" s="91" t="s">
        <v>1139</v>
      </c>
      <c r="R454" s="92"/>
      <c r="S454" s="91" t="s">
        <v>1165</v>
      </c>
      <c r="T454" s="92"/>
      <c r="U454" s="91" t="s">
        <v>1165</v>
      </c>
      <c r="V454" s="92"/>
      <c r="W454" s="91" t="s">
        <v>1182</v>
      </c>
      <c r="X454" s="92"/>
      <c r="Y454" s="91" t="s">
        <v>1182</v>
      </c>
      <c r="Z454" s="92"/>
      <c r="AA454" s="91" t="s">
        <v>1189</v>
      </c>
      <c r="AB454" s="92"/>
      <c r="AC454" s="91" t="s">
        <v>1193</v>
      </c>
      <c r="AD454" s="92"/>
      <c r="AE454" s="91" t="s">
        <v>1193</v>
      </c>
      <c r="AF454" s="92"/>
      <c r="AG454" s="91" t="s">
        <v>1193</v>
      </c>
      <c r="AH454" s="92"/>
      <c r="AI454" s="91" t="s">
        <v>1193</v>
      </c>
      <c r="AJ454" s="92"/>
      <c r="AK454" s="91" t="s">
        <v>1193</v>
      </c>
      <c r="AL454" s="92"/>
      <c r="AM454" s="91" t="s">
        <v>1193</v>
      </c>
      <c r="AN454" s="92"/>
      <c r="AO454" s="91" t="s">
        <v>1193</v>
      </c>
      <c r="AP454" s="92"/>
      <c r="AQ454" s="91" t="s">
        <v>1193</v>
      </c>
      <c r="AR454" s="92"/>
      <c r="AS454" s="91" t="s">
        <v>1193</v>
      </c>
      <c r="AT454" s="92"/>
      <c r="AU454" s="91" t="s">
        <v>1193</v>
      </c>
      <c r="AV454" s="92"/>
      <c r="AW454" s="91" t="s">
        <v>1193</v>
      </c>
      <c r="AX454" s="92"/>
      <c r="AY454" s="91" t="s">
        <v>1195</v>
      </c>
      <c r="AZ454" s="92"/>
      <c r="BA454" s="91" t="s">
        <v>1195</v>
      </c>
      <c r="BB454" s="92"/>
      <c r="BC454" s="91" t="s">
        <v>5007</v>
      </c>
      <c r="BD454" s="92"/>
      <c r="BE454" s="91" t="s">
        <v>5007</v>
      </c>
      <c r="BF454" s="92"/>
      <c r="BG454" s="91" t="s">
        <v>5252</v>
      </c>
      <c r="BH454" s="92"/>
      <c r="BI454" s="91" t="s">
        <v>5262</v>
      </c>
      <c r="BJ454" s="92"/>
      <c r="BK454" s="91" t="s">
        <v>5262</v>
      </c>
      <c r="BL454" s="92"/>
      <c r="BM454" s="91" t="s">
        <v>5264</v>
      </c>
      <c r="BN454" s="92"/>
      <c r="BO454" s="91" t="s">
        <v>5267</v>
      </c>
      <c r="BP454" s="92"/>
      <c r="BQ454" s="91" t="s">
        <v>4967</v>
      </c>
      <c r="BR454" s="92"/>
      <c r="BS454" s="91" t="s">
        <v>4965</v>
      </c>
      <c r="BT454" s="92"/>
      <c r="BU454" s="91" t="s">
        <v>5271</v>
      </c>
      <c r="BV454" s="92"/>
      <c r="BW454" s="91" t="s">
        <v>6175</v>
      </c>
      <c r="BX454" s="92"/>
      <c r="BY454" s="91" t="s">
        <v>6175</v>
      </c>
      <c r="BZ454" s="92"/>
    </row>
    <row r="455" spans="1:78" x14ac:dyDescent="0.25">
      <c r="B455" s="97"/>
      <c r="C455" s="71" t="s">
        <v>6824</v>
      </c>
      <c r="D455" s="71" t="s">
        <v>6825</v>
      </c>
      <c r="E455" s="71" t="s">
        <v>6824</v>
      </c>
      <c r="F455" s="71" t="s">
        <v>6825</v>
      </c>
      <c r="G455" s="71" t="s">
        <v>6824</v>
      </c>
      <c r="H455" s="71" t="s">
        <v>6825</v>
      </c>
      <c r="I455" s="71" t="s">
        <v>6824</v>
      </c>
      <c r="J455" s="71" t="s">
        <v>6825</v>
      </c>
      <c r="K455" s="71" t="s">
        <v>6824</v>
      </c>
      <c r="L455" s="71" t="s">
        <v>6825</v>
      </c>
      <c r="M455" s="71" t="s">
        <v>6824</v>
      </c>
      <c r="N455" s="71" t="s">
        <v>6825</v>
      </c>
      <c r="O455" s="71" t="s">
        <v>6824</v>
      </c>
      <c r="P455" s="71" t="s">
        <v>6825</v>
      </c>
      <c r="Q455" s="71" t="s">
        <v>6824</v>
      </c>
      <c r="R455" s="71" t="s">
        <v>6825</v>
      </c>
      <c r="S455" s="71" t="s">
        <v>6824</v>
      </c>
      <c r="T455" s="71" t="s">
        <v>6825</v>
      </c>
      <c r="U455" s="71" t="s">
        <v>6824</v>
      </c>
      <c r="V455" s="71" t="s">
        <v>6825</v>
      </c>
      <c r="W455" s="71" t="s">
        <v>6824</v>
      </c>
      <c r="X455" s="71" t="s">
        <v>6825</v>
      </c>
      <c r="Y455" s="71" t="s">
        <v>6824</v>
      </c>
      <c r="Z455" s="71" t="s">
        <v>6825</v>
      </c>
      <c r="AA455" s="71" t="s">
        <v>6824</v>
      </c>
      <c r="AB455" s="71" t="s">
        <v>6825</v>
      </c>
      <c r="AC455" s="71" t="s">
        <v>6824</v>
      </c>
      <c r="AD455" s="71" t="s">
        <v>6825</v>
      </c>
      <c r="AE455" s="71" t="s">
        <v>6824</v>
      </c>
      <c r="AF455" s="71" t="s">
        <v>6825</v>
      </c>
      <c r="AG455" s="71" t="s">
        <v>6824</v>
      </c>
      <c r="AH455" s="71" t="s">
        <v>6825</v>
      </c>
      <c r="AI455" s="71" t="s">
        <v>6824</v>
      </c>
      <c r="AJ455" s="71" t="s">
        <v>6825</v>
      </c>
      <c r="AK455" s="71" t="s">
        <v>6824</v>
      </c>
      <c r="AL455" s="71" t="s">
        <v>6825</v>
      </c>
      <c r="AM455" s="71" t="s">
        <v>6824</v>
      </c>
      <c r="AN455" s="71" t="s">
        <v>6825</v>
      </c>
      <c r="AO455" s="71" t="s">
        <v>6824</v>
      </c>
      <c r="AP455" s="71" t="s">
        <v>6825</v>
      </c>
      <c r="AQ455" s="71" t="s">
        <v>6824</v>
      </c>
      <c r="AR455" s="71" t="s">
        <v>6825</v>
      </c>
      <c r="AS455" s="71" t="s">
        <v>6824</v>
      </c>
      <c r="AT455" s="71" t="s">
        <v>6825</v>
      </c>
      <c r="AU455" s="71" t="s">
        <v>6824</v>
      </c>
      <c r="AV455" s="71" t="s">
        <v>6825</v>
      </c>
      <c r="AW455" s="71" t="s">
        <v>6824</v>
      </c>
      <c r="AX455" s="71" t="s">
        <v>6825</v>
      </c>
      <c r="AY455" s="71" t="s">
        <v>6824</v>
      </c>
      <c r="AZ455" s="71" t="s">
        <v>6825</v>
      </c>
      <c r="BA455" s="71" t="s">
        <v>6824</v>
      </c>
      <c r="BB455" s="71" t="s">
        <v>6825</v>
      </c>
      <c r="BC455" s="71" t="s">
        <v>6824</v>
      </c>
      <c r="BD455" s="71" t="s">
        <v>6825</v>
      </c>
      <c r="BE455" s="71" t="s">
        <v>6824</v>
      </c>
      <c r="BF455" s="71" t="s">
        <v>6825</v>
      </c>
      <c r="BG455" s="71" t="s">
        <v>6824</v>
      </c>
      <c r="BH455" s="71" t="s">
        <v>6825</v>
      </c>
      <c r="BI455" s="71" t="s">
        <v>6824</v>
      </c>
      <c r="BJ455" s="71" t="s">
        <v>6825</v>
      </c>
      <c r="BK455" s="71" t="s">
        <v>6824</v>
      </c>
      <c r="BL455" s="71" t="s">
        <v>6825</v>
      </c>
      <c r="BM455" s="71" t="s">
        <v>6824</v>
      </c>
      <c r="BN455" s="71" t="s">
        <v>6825</v>
      </c>
      <c r="BO455" s="71" t="s">
        <v>6824</v>
      </c>
      <c r="BP455" s="71" t="s">
        <v>6825</v>
      </c>
      <c r="BQ455" s="71" t="s">
        <v>6824</v>
      </c>
      <c r="BR455" s="71" t="s">
        <v>6825</v>
      </c>
      <c r="BS455" s="71" t="s">
        <v>6824</v>
      </c>
      <c r="BT455" s="71" t="s">
        <v>6825</v>
      </c>
      <c r="BU455" s="71" t="s">
        <v>6824</v>
      </c>
      <c r="BV455" s="71" t="s">
        <v>6825</v>
      </c>
      <c r="BW455" s="71" t="s">
        <v>6824</v>
      </c>
      <c r="BX455" s="71" t="s">
        <v>6825</v>
      </c>
      <c r="BY455" s="71" t="s">
        <v>6824</v>
      </c>
      <c r="BZ455" s="71" t="s">
        <v>6825</v>
      </c>
    </row>
    <row r="456" spans="1:78" x14ac:dyDescent="0.25">
      <c r="B456" s="72"/>
      <c r="C456" s="71"/>
      <c r="D456" s="73"/>
      <c r="E456" s="71"/>
      <c r="F456" s="73"/>
      <c r="G456" s="71"/>
      <c r="H456" s="73"/>
      <c r="I456" s="71"/>
      <c r="J456" s="73"/>
      <c r="K456" s="71"/>
      <c r="L456" s="73"/>
      <c r="M456" s="71"/>
      <c r="N456" s="73"/>
      <c r="O456" s="71"/>
      <c r="P456" s="73"/>
      <c r="Q456" s="71"/>
      <c r="R456" s="73"/>
      <c r="S456" s="71"/>
      <c r="T456" s="73"/>
      <c r="U456" s="71"/>
      <c r="V456" s="73"/>
      <c r="W456" s="71"/>
      <c r="X456" s="73"/>
      <c r="Y456" s="71"/>
      <c r="Z456" s="73"/>
      <c r="AA456" s="71"/>
      <c r="AB456" s="73"/>
      <c r="AC456" s="71"/>
      <c r="AD456" s="73"/>
      <c r="AE456" s="71"/>
      <c r="AF456" s="73"/>
      <c r="AG456" s="71"/>
      <c r="AH456" s="73"/>
      <c r="AI456" s="71"/>
      <c r="AJ456" s="73"/>
      <c r="AK456" s="71"/>
      <c r="AL456" s="73"/>
      <c r="AM456" s="71"/>
      <c r="AN456" s="73"/>
      <c r="AO456" s="71"/>
      <c r="AP456" s="73"/>
      <c r="AQ456" s="71"/>
      <c r="AR456" s="73"/>
      <c r="AS456" s="71"/>
      <c r="AT456" s="73"/>
      <c r="AU456" s="71"/>
      <c r="AV456" s="73"/>
      <c r="AW456" s="71"/>
      <c r="AX456" s="73"/>
      <c r="AY456" s="71"/>
      <c r="AZ456" s="73"/>
      <c r="BA456" s="71"/>
      <c r="BB456" s="73"/>
      <c r="BC456" s="71"/>
      <c r="BD456" s="73"/>
      <c r="BE456" s="71"/>
      <c r="BF456" s="73"/>
      <c r="BG456" s="71"/>
      <c r="BH456" s="73"/>
      <c r="BI456" s="71"/>
      <c r="BJ456" s="73"/>
      <c r="BK456" s="71"/>
      <c r="BL456" s="73"/>
      <c r="BM456" s="71"/>
      <c r="BN456" s="73"/>
      <c r="BO456" s="71"/>
      <c r="BP456" s="73"/>
      <c r="BQ456" s="71"/>
      <c r="BR456" s="73"/>
      <c r="BS456" s="71"/>
      <c r="BT456" s="73"/>
      <c r="BU456" s="71"/>
      <c r="BV456" s="73"/>
      <c r="BW456" s="71"/>
      <c r="BX456" s="73"/>
      <c r="BY456" s="71"/>
      <c r="BZ456" s="73"/>
    </row>
    <row r="458" spans="1:78" x14ac:dyDescent="0.25">
      <c r="B458" s="40" t="s">
        <v>6969</v>
      </c>
      <c r="C458" s="40"/>
      <c r="D458" s="40"/>
    </row>
    <row r="459" spans="1:78" x14ac:dyDescent="0.25">
      <c r="B459" s="40" t="s">
        <v>6810</v>
      </c>
      <c r="C459" s="40"/>
      <c r="D459" s="40"/>
    </row>
    <row r="460" spans="1:78" x14ac:dyDescent="0.25">
      <c r="B460" s="40" t="s">
        <v>6811</v>
      </c>
      <c r="C460" s="40"/>
      <c r="D460" s="40"/>
    </row>
    <row r="461" spans="1:78" x14ac:dyDescent="0.25">
      <c r="B461" s="42" t="s">
        <v>6812</v>
      </c>
      <c r="C461" s="40"/>
      <c r="D461" s="40"/>
    </row>
    <row r="462" spans="1:78" x14ac:dyDescent="0.25">
      <c r="B462" s="42" t="s">
        <v>6813</v>
      </c>
      <c r="C462" s="40"/>
      <c r="D462" s="40"/>
    </row>
    <row r="463" spans="1:78" x14ac:dyDescent="0.25">
      <c r="B463" s="42" t="s">
        <v>6814</v>
      </c>
      <c r="C463" s="40"/>
      <c r="D463" s="40"/>
    </row>
    <row r="464" spans="1:78" ht="100" customHeight="1" x14ac:dyDescent="0.25">
      <c r="A464" s="41" t="str">
        <f>_xlfn.CONCAT("Sample test results are documented in ",'Sample Tables'!B458," [",'Sample Tables'!B459,", ",'Sample Tables'!B460,", ",'Sample Tables'!B461,", ",'Sample Tables'!B462,", ",'Sample Tables'!B463,"]."&amp;CHAR(10))</f>
        <v xml:space="preserve">Sample test results are documented in Test 042: Change (virtual machine image) [Population Source/Tool: , Population Date Range: , Population Size: , Sample Methodology: , Sample Size: ].
</v>
      </c>
      <c r="B464" s="95" t="s">
        <v>6815</v>
      </c>
      <c r="C464" s="93" t="s">
        <v>6970</v>
      </c>
      <c r="D464" s="94"/>
      <c r="E464" s="93" t="s">
        <v>6971</v>
      </c>
      <c r="F464" s="94"/>
    </row>
    <row r="465" spans="1:6" x14ac:dyDescent="0.25">
      <c r="B465" s="96"/>
      <c r="C465" s="91" t="s">
        <v>1229</v>
      </c>
      <c r="D465" s="92"/>
      <c r="E465" s="91" t="s">
        <v>1267</v>
      </c>
      <c r="F465" s="92"/>
    </row>
    <row r="466" spans="1:6" x14ac:dyDescent="0.25">
      <c r="B466" s="97"/>
      <c r="C466" s="71" t="s">
        <v>6824</v>
      </c>
      <c r="D466" s="71" t="s">
        <v>6825</v>
      </c>
      <c r="E466" s="71" t="s">
        <v>6824</v>
      </c>
      <c r="F466" s="71" t="s">
        <v>6825</v>
      </c>
    </row>
    <row r="467" spans="1:6" x14ac:dyDescent="0.25">
      <c r="B467" s="72"/>
      <c r="C467" s="71"/>
      <c r="D467" s="73"/>
      <c r="E467" s="71"/>
      <c r="F467" s="73"/>
    </row>
    <row r="469" spans="1:6" x14ac:dyDescent="0.25">
      <c r="B469" s="40" t="s">
        <v>6972</v>
      </c>
      <c r="C469" s="40"/>
      <c r="D469" s="40"/>
    </row>
    <row r="470" spans="1:6" x14ac:dyDescent="0.25">
      <c r="B470" s="40" t="s">
        <v>6810</v>
      </c>
      <c r="C470" s="40"/>
      <c r="D470" s="40"/>
    </row>
    <row r="471" spans="1:6" x14ac:dyDescent="0.25">
      <c r="B471" s="40" t="s">
        <v>6811</v>
      </c>
      <c r="C471" s="40"/>
      <c r="D471" s="40"/>
    </row>
    <row r="472" spans="1:6" x14ac:dyDescent="0.25">
      <c r="B472" s="42" t="s">
        <v>6812</v>
      </c>
      <c r="C472" s="40"/>
      <c r="D472" s="40"/>
    </row>
    <row r="473" spans="1:6" x14ac:dyDescent="0.25">
      <c r="B473" s="42" t="s">
        <v>6813</v>
      </c>
      <c r="C473" s="40"/>
      <c r="D473" s="40"/>
    </row>
    <row r="474" spans="1:6" x14ac:dyDescent="0.25">
      <c r="B474" s="42" t="s">
        <v>6814</v>
      </c>
      <c r="C474" s="40"/>
      <c r="D474" s="40"/>
    </row>
    <row r="475" spans="1:6" ht="100" customHeight="1" x14ac:dyDescent="0.25">
      <c r="A475" s="41" t="str">
        <f>_xlfn.CONCAT("Sample test results are documented in ",'Sample Tables'!B469," [",'Sample Tables'!B470,", ",'Sample Tables'!B471,", ",'Sample Tables'!B472,", ",'Sample Tables'!B473,", ",'Sample Tables'!B474,"]."&amp;CHAR(10))</f>
        <v xml:space="preserve">Sample test results are documented in Test 043: Endpoint Device (auto-update capable) [Population Source/Tool: , Population Date Range: , Population Size: , Sample Methodology: , Sample Size: ].
</v>
      </c>
      <c r="B475" s="95" t="s">
        <v>6815</v>
      </c>
      <c r="C475" s="93" t="s">
        <v>6973</v>
      </c>
      <c r="D475" s="94"/>
    </row>
    <row r="476" spans="1:6" x14ac:dyDescent="0.25">
      <c r="B476" s="96"/>
      <c r="C476" s="91" t="s">
        <v>1372</v>
      </c>
      <c r="D476" s="92"/>
    </row>
    <row r="477" spans="1:6" x14ac:dyDescent="0.25">
      <c r="B477" s="97"/>
      <c r="C477" s="71" t="s">
        <v>6824</v>
      </c>
      <c r="D477" s="71" t="s">
        <v>6825</v>
      </c>
    </row>
    <row r="478" spans="1:6" x14ac:dyDescent="0.25">
      <c r="B478" s="72"/>
      <c r="C478" s="71"/>
      <c r="D478" s="73"/>
    </row>
    <row r="480" spans="1:6" x14ac:dyDescent="0.25">
      <c r="B480" s="40" t="s">
        <v>6974</v>
      </c>
      <c r="C480" s="40"/>
      <c r="D480" s="40"/>
    </row>
    <row r="481" spans="1:4" x14ac:dyDescent="0.25">
      <c r="B481" s="40" t="s">
        <v>6810</v>
      </c>
      <c r="C481" s="40"/>
      <c r="D481" s="40"/>
    </row>
    <row r="482" spans="1:4" x14ac:dyDescent="0.25">
      <c r="B482" s="40" t="s">
        <v>6811</v>
      </c>
      <c r="C482" s="40"/>
      <c r="D482" s="40"/>
    </row>
    <row r="483" spans="1:4" x14ac:dyDescent="0.25">
      <c r="B483" s="42" t="s">
        <v>6812</v>
      </c>
      <c r="C483" s="40"/>
      <c r="D483" s="40"/>
    </row>
    <row r="484" spans="1:4" x14ac:dyDescent="0.25">
      <c r="B484" s="42" t="s">
        <v>6813</v>
      </c>
      <c r="C484" s="40"/>
      <c r="D484" s="40"/>
    </row>
    <row r="485" spans="1:4" x14ac:dyDescent="0.25">
      <c r="B485" s="42" t="s">
        <v>6814</v>
      </c>
      <c r="C485" s="40"/>
      <c r="D485" s="40"/>
    </row>
    <row r="486" spans="1:4" ht="100" customHeight="1" x14ac:dyDescent="0.25">
      <c r="A486" s="41" t="str">
        <f>_xlfn.CONCAT("Sample test results are documented in ",'Sample Tables'!B480," [",'Sample Tables'!B481,", ",'Sample Tables'!B482,", ",'Sample Tables'!B483,", ",'Sample Tables'!B484,", ",'Sample Tables'!B485,"]."&amp;CHAR(10))</f>
        <v xml:space="preserve">Sample test results are documented in Test 044: Endpoint Device (auto-update incapable) [Population Source/Tool: , Population Date Range: , Population Size: , Sample Methodology: , Sample Size: ].
</v>
      </c>
      <c r="B486" s="95" t="s">
        <v>6815</v>
      </c>
      <c r="C486" s="93" t="s">
        <v>6975</v>
      </c>
      <c r="D486" s="94"/>
    </row>
    <row r="487" spans="1:4" x14ac:dyDescent="0.25">
      <c r="B487" s="96"/>
      <c r="C487" s="91" t="s">
        <v>1372</v>
      </c>
      <c r="D487" s="92"/>
    </row>
    <row r="488" spans="1:4" x14ac:dyDescent="0.25">
      <c r="B488" s="97"/>
      <c r="C488" s="71" t="s">
        <v>6824</v>
      </c>
      <c r="D488" s="71" t="s">
        <v>6825</v>
      </c>
    </row>
    <row r="489" spans="1:4" x14ac:dyDescent="0.25">
      <c r="B489" s="72"/>
      <c r="C489" s="71"/>
      <c r="D489" s="73"/>
    </row>
    <row r="491" spans="1:4" x14ac:dyDescent="0.25">
      <c r="B491" s="40" t="s">
        <v>6976</v>
      </c>
      <c r="C491" s="40"/>
      <c r="D491" s="40"/>
    </row>
    <row r="492" spans="1:4" x14ac:dyDescent="0.25">
      <c r="B492" s="40" t="s">
        <v>6810</v>
      </c>
      <c r="C492" s="40"/>
      <c r="D492" s="40"/>
    </row>
    <row r="493" spans="1:4" x14ac:dyDescent="0.25">
      <c r="B493" s="40" t="s">
        <v>6811</v>
      </c>
      <c r="C493" s="40"/>
      <c r="D493" s="40"/>
    </row>
    <row r="494" spans="1:4" x14ac:dyDescent="0.25">
      <c r="B494" s="42" t="s">
        <v>6812</v>
      </c>
      <c r="C494" s="40"/>
      <c r="D494" s="40"/>
    </row>
    <row r="495" spans="1:4" x14ac:dyDescent="0.25">
      <c r="B495" s="42" t="s">
        <v>6813</v>
      </c>
      <c r="C495" s="40"/>
      <c r="D495" s="40"/>
    </row>
    <row r="496" spans="1:4" x14ac:dyDescent="0.25">
      <c r="B496" s="42" t="s">
        <v>6814</v>
      </c>
      <c r="C496" s="40"/>
      <c r="D496" s="40"/>
    </row>
    <row r="497" spans="1:82" ht="100" customHeight="1" x14ac:dyDescent="0.25">
      <c r="A497" s="41" t="str">
        <f>_xlfn.CONCAT("Sample test results are documented in ",'Sample Tables'!B491," [",'Sample Tables'!B492,", ",'Sample Tables'!B493,", ",'Sample Tables'!B494,", ",'Sample Tables'!B495,", ",'Sample Tables'!B496,"]."&amp;CHAR(10))</f>
        <v xml:space="preserve">Sample test results are documented in Test 045: Endpoint Device (BYOD) [Population Source/Tool: , Population Date Range: , Population Size: , Sample Methodology: , Sample Size: ].
</v>
      </c>
      <c r="B497" s="95" t="s">
        <v>6815</v>
      </c>
      <c r="C497" s="93" t="s">
        <v>6977</v>
      </c>
      <c r="D497" s="94"/>
      <c r="E497" s="93" t="s">
        <v>6978</v>
      </c>
      <c r="F497" s="94"/>
      <c r="G497" s="93" t="s">
        <v>6977</v>
      </c>
      <c r="H497" s="94"/>
      <c r="I497" s="93" t="s">
        <v>6977</v>
      </c>
      <c r="J497" s="94"/>
      <c r="K497" s="93" t="s">
        <v>6977</v>
      </c>
      <c r="L497" s="94"/>
      <c r="M497" s="93" t="s">
        <v>6977</v>
      </c>
      <c r="N497" s="94"/>
      <c r="O497" s="93" t="s">
        <v>6979</v>
      </c>
      <c r="P497" s="94"/>
      <c r="Q497" s="93" t="s">
        <v>6977</v>
      </c>
      <c r="R497" s="94"/>
      <c r="S497" s="93" t="s">
        <v>6980</v>
      </c>
      <c r="T497" s="94"/>
      <c r="U497" s="93" t="s">
        <v>6977</v>
      </c>
      <c r="V497" s="94"/>
      <c r="W497" s="93" t="s">
        <v>6981</v>
      </c>
      <c r="X497" s="94"/>
      <c r="Y497" s="93" t="s">
        <v>6982</v>
      </c>
      <c r="Z497" s="94"/>
      <c r="AA497" s="93" t="s">
        <v>6983</v>
      </c>
      <c r="AB497" s="94"/>
      <c r="AC497" s="93" t="s">
        <v>6984</v>
      </c>
      <c r="AD497" s="94"/>
      <c r="AE497" s="93" t="s">
        <v>6985</v>
      </c>
      <c r="AF497" s="94"/>
      <c r="AG497" s="93" t="s">
        <v>6985</v>
      </c>
      <c r="AH497" s="94"/>
      <c r="AI497" s="93" t="s">
        <v>6986</v>
      </c>
      <c r="AJ497" s="94"/>
      <c r="AK497" s="93" t="s">
        <v>6987</v>
      </c>
      <c r="AL497" s="94"/>
      <c r="AM497" s="93" t="s">
        <v>6987</v>
      </c>
      <c r="AN497" s="94"/>
      <c r="AO497" s="93" t="s">
        <v>6988</v>
      </c>
      <c r="AP497" s="94"/>
      <c r="AQ497" s="93" t="s">
        <v>6989</v>
      </c>
      <c r="AR497" s="94"/>
      <c r="AS497" s="93" t="s">
        <v>6990</v>
      </c>
      <c r="AT497" s="94"/>
      <c r="AU497" s="93" t="s">
        <v>6991</v>
      </c>
      <c r="AV497" s="94"/>
      <c r="AW497" s="93" t="s">
        <v>6992</v>
      </c>
      <c r="AX497" s="94"/>
      <c r="AY497" s="93" t="s">
        <v>6993</v>
      </c>
      <c r="AZ497" s="94"/>
      <c r="BA497" s="93" t="s">
        <v>6994</v>
      </c>
      <c r="BB497" s="94"/>
      <c r="BC497" s="93" t="s">
        <v>6993</v>
      </c>
      <c r="BD497" s="94"/>
      <c r="BE497" s="93" t="s">
        <v>6994</v>
      </c>
      <c r="BF497" s="94"/>
      <c r="BG497" s="93" t="s">
        <v>6994</v>
      </c>
      <c r="BH497" s="94"/>
      <c r="BI497" s="93" t="s">
        <v>6995</v>
      </c>
      <c r="BJ497" s="94"/>
      <c r="BK497" s="93" t="s">
        <v>6996</v>
      </c>
      <c r="BL497" s="94"/>
      <c r="BM497" s="93" t="s">
        <v>6997</v>
      </c>
      <c r="BN497" s="94"/>
      <c r="BO497" s="93" t="s">
        <v>6855</v>
      </c>
      <c r="BP497" s="94"/>
      <c r="BQ497" s="93" t="s">
        <v>6998</v>
      </c>
      <c r="BR497" s="94"/>
      <c r="BS497" s="93" t="s">
        <v>6999</v>
      </c>
      <c r="BT497" s="94"/>
      <c r="BU497" s="93" t="s">
        <v>7000</v>
      </c>
      <c r="BV497" s="94"/>
      <c r="BW497" s="93" t="s">
        <v>7001</v>
      </c>
      <c r="BX497" s="94"/>
      <c r="BY497" s="93" t="s">
        <v>7002</v>
      </c>
      <c r="BZ497" s="94"/>
      <c r="CA497" s="93" t="s">
        <v>7003</v>
      </c>
      <c r="CB497" s="94"/>
      <c r="CC497" s="93" t="s">
        <v>7004</v>
      </c>
      <c r="CD497" s="94"/>
    </row>
    <row r="498" spans="1:82" x14ac:dyDescent="0.25">
      <c r="B498" s="96"/>
      <c r="C498" s="91" t="s">
        <v>674</v>
      </c>
      <c r="D498" s="92"/>
      <c r="E498" s="91" t="s">
        <v>676</v>
      </c>
      <c r="F498" s="92"/>
      <c r="G498" s="91" t="s">
        <v>679</v>
      </c>
      <c r="H498" s="92"/>
      <c r="I498" s="91" t="s">
        <v>680</v>
      </c>
      <c r="J498" s="92"/>
      <c r="K498" s="91" t="s">
        <v>659</v>
      </c>
      <c r="L498" s="92"/>
      <c r="M498" s="91" t="s">
        <v>682</v>
      </c>
      <c r="N498" s="92"/>
      <c r="O498" s="91" t="s">
        <v>682</v>
      </c>
      <c r="P498" s="92"/>
      <c r="Q498" s="91" t="s">
        <v>707</v>
      </c>
      <c r="R498" s="92"/>
      <c r="S498" s="91" t="s">
        <v>730</v>
      </c>
      <c r="T498" s="92"/>
      <c r="U498" s="91" t="s">
        <v>732</v>
      </c>
      <c r="V498" s="92"/>
      <c r="W498" s="91" t="s">
        <v>742</v>
      </c>
      <c r="X498" s="92"/>
      <c r="Y498" s="91" t="s">
        <v>920</v>
      </c>
      <c r="Z498" s="92"/>
      <c r="AA498" s="91" t="s">
        <v>924</v>
      </c>
      <c r="AB498" s="92"/>
      <c r="AC498" s="91" t="s">
        <v>1159</v>
      </c>
      <c r="AD498" s="92"/>
      <c r="AE498" s="91" t="s">
        <v>1159</v>
      </c>
      <c r="AF498" s="92"/>
      <c r="AG498" s="91" t="s">
        <v>1203</v>
      </c>
      <c r="AH498" s="92"/>
      <c r="AI498" s="91" t="s">
        <v>1203</v>
      </c>
      <c r="AJ498" s="92"/>
      <c r="AK498" s="91" t="s">
        <v>1234</v>
      </c>
      <c r="AL498" s="92"/>
      <c r="AM498" s="91" t="s">
        <v>1240</v>
      </c>
      <c r="AN498" s="92"/>
      <c r="AO498" s="91" t="s">
        <v>1255</v>
      </c>
      <c r="AP498" s="92"/>
      <c r="AQ498" s="91" t="s">
        <v>1377</v>
      </c>
      <c r="AR498" s="92"/>
      <c r="AS498" s="91" t="s">
        <v>1562</v>
      </c>
      <c r="AT498" s="92"/>
      <c r="AU498" s="91" t="s">
        <v>1562</v>
      </c>
      <c r="AV498" s="92"/>
      <c r="AW498" s="91" t="s">
        <v>1936</v>
      </c>
      <c r="AX498" s="92"/>
      <c r="AY498" s="91" t="s">
        <v>1970</v>
      </c>
      <c r="AZ498" s="92"/>
      <c r="BA498" s="91" t="s">
        <v>1970</v>
      </c>
      <c r="BB498" s="92"/>
      <c r="BC498" s="91" t="s">
        <v>1798</v>
      </c>
      <c r="BD498" s="92"/>
      <c r="BE498" s="91" t="s">
        <v>1798</v>
      </c>
      <c r="BF498" s="92"/>
      <c r="BG498" s="91" t="s">
        <v>2004</v>
      </c>
      <c r="BH498" s="92"/>
      <c r="BI498" s="91" t="s">
        <v>2006</v>
      </c>
      <c r="BJ498" s="92"/>
      <c r="BK498" s="91" t="s">
        <v>2377</v>
      </c>
      <c r="BL498" s="92"/>
      <c r="BM498" s="91" t="s">
        <v>2377</v>
      </c>
      <c r="BN498" s="92"/>
      <c r="BO498" s="91" t="s">
        <v>2379</v>
      </c>
      <c r="BP498" s="92"/>
      <c r="BQ498" s="91" t="s">
        <v>2379</v>
      </c>
      <c r="BR498" s="92"/>
      <c r="BS498" s="91" t="s">
        <v>2758</v>
      </c>
      <c r="BT498" s="92"/>
      <c r="BU498" s="91" t="s">
        <v>2758</v>
      </c>
      <c r="BV498" s="92"/>
      <c r="BW498" s="91" t="s">
        <v>2766</v>
      </c>
      <c r="BX498" s="92"/>
      <c r="BY498" s="91" t="s">
        <v>2766</v>
      </c>
      <c r="BZ498" s="92"/>
      <c r="CA498" s="91" t="s">
        <v>2766</v>
      </c>
      <c r="CB498" s="92"/>
      <c r="CC498" s="91" t="s">
        <v>2899</v>
      </c>
      <c r="CD498" s="92"/>
    </row>
    <row r="499" spans="1:82" x14ac:dyDescent="0.25">
      <c r="B499" s="97"/>
      <c r="C499" s="71" t="s">
        <v>6824</v>
      </c>
      <c r="D499" s="71" t="s">
        <v>6825</v>
      </c>
      <c r="E499" s="71" t="s">
        <v>6824</v>
      </c>
      <c r="F499" s="71" t="s">
        <v>6825</v>
      </c>
      <c r="G499" s="71" t="s">
        <v>6824</v>
      </c>
      <c r="H499" s="71" t="s">
        <v>6825</v>
      </c>
      <c r="I499" s="71" t="s">
        <v>6824</v>
      </c>
      <c r="J499" s="71" t="s">
        <v>6825</v>
      </c>
      <c r="K499" s="71" t="s">
        <v>6824</v>
      </c>
      <c r="L499" s="71" t="s">
        <v>6825</v>
      </c>
      <c r="M499" s="71" t="s">
        <v>6824</v>
      </c>
      <c r="N499" s="71" t="s">
        <v>6825</v>
      </c>
      <c r="O499" s="71" t="s">
        <v>6824</v>
      </c>
      <c r="P499" s="71" t="s">
        <v>6825</v>
      </c>
      <c r="Q499" s="71" t="s">
        <v>6824</v>
      </c>
      <c r="R499" s="71" t="s">
        <v>6825</v>
      </c>
      <c r="S499" s="71" t="s">
        <v>6824</v>
      </c>
      <c r="T499" s="71" t="s">
        <v>6825</v>
      </c>
      <c r="U499" s="71" t="s">
        <v>6824</v>
      </c>
      <c r="V499" s="71" t="s">
        <v>6825</v>
      </c>
      <c r="W499" s="71" t="s">
        <v>6824</v>
      </c>
      <c r="X499" s="71" t="s">
        <v>6825</v>
      </c>
      <c r="Y499" s="71" t="s">
        <v>6824</v>
      </c>
      <c r="Z499" s="71" t="s">
        <v>6825</v>
      </c>
      <c r="AA499" s="71" t="s">
        <v>6824</v>
      </c>
      <c r="AB499" s="71" t="s">
        <v>6825</v>
      </c>
      <c r="AC499" s="71" t="s">
        <v>6824</v>
      </c>
      <c r="AD499" s="71" t="s">
        <v>6825</v>
      </c>
      <c r="AE499" s="71" t="s">
        <v>6824</v>
      </c>
      <c r="AF499" s="71" t="s">
        <v>6825</v>
      </c>
      <c r="AG499" s="71" t="s">
        <v>6824</v>
      </c>
      <c r="AH499" s="71" t="s">
        <v>6825</v>
      </c>
      <c r="AI499" s="71" t="s">
        <v>6824</v>
      </c>
      <c r="AJ499" s="71" t="s">
        <v>6825</v>
      </c>
      <c r="AK499" s="71" t="s">
        <v>6824</v>
      </c>
      <c r="AL499" s="71" t="s">
        <v>6825</v>
      </c>
      <c r="AM499" s="71" t="s">
        <v>6824</v>
      </c>
      <c r="AN499" s="71" t="s">
        <v>6825</v>
      </c>
      <c r="AO499" s="71" t="s">
        <v>6824</v>
      </c>
      <c r="AP499" s="71" t="s">
        <v>6825</v>
      </c>
      <c r="AQ499" s="71" t="s">
        <v>6824</v>
      </c>
      <c r="AR499" s="71" t="s">
        <v>6825</v>
      </c>
      <c r="AS499" s="71" t="s">
        <v>6824</v>
      </c>
      <c r="AT499" s="71" t="s">
        <v>6825</v>
      </c>
      <c r="AU499" s="71" t="s">
        <v>6824</v>
      </c>
      <c r="AV499" s="71" t="s">
        <v>6825</v>
      </c>
      <c r="AW499" s="71" t="s">
        <v>6824</v>
      </c>
      <c r="AX499" s="71" t="s">
        <v>6825</v>
      </c>
      <c r="AY499" s="71" t="s">
        <v>6824</v>
      </c>
      <c r="AZ499" s="71" t="s">
        <v>6825</v>
      </c>
      <c r="BA499" s="71" t="s">
        <v>6824</v>
      </c>
      <c r="BB499" s="71" t="s">
        <v>6825</v>
      </c>
      <c r="BC499" s="71" t="s">
        <v>6824</v>
      </c>
      <c r="BD499" s="71" t="s">
        <v>6825</v>
      </c>
      <c r="BE499" s="71" t="s">
        <v>6824</v>
      </c>
      <c r="BF499" s="71" t="s">
        <v>6825</v>
      </c>
      <c r="BG499" s="71" t="s">
        <v>6824</v>
      </c>
      <c r="BH499" s="71" t="s">
        <v>6825</v>
      </c>
      <c r="BI499" s="71" t="s">
        <v>6824</v>
      </c>
      <c r="BJ499" s="71" t="s">
        <v>6825</v>
      </c>
      <c r="BK499" s="71" t="s">
        <v>6824</v>
      </c>
      <c r="BL499" s="71" t="s">
        <v>6825</v>
      </c>
      <c r="BM499" s="71" t="s">
        <v>6824</v>
      </c>
      <c r="BN499" s="71" t="s">
        <v>6825</v>
      </c>
      <c r="BO499" s="71" t="s">
        <v>6824</v>
      </c>
      <c r="BP499" s="71" t="s">
        <v>6825</v>
      </c>
      <c r="BQ499" s="71" t="s">
        <v>6824</v>
      </c>
      <c r="BR499" s="71" t="s">
        <v>6825</v>
      </c>
      <c r="BS499" s="71" t="s">
        <v>6824</v>
      </c>
      <c r="BT499" s="71" t="s">
        <v>6825</v>
      </c>
      <c r="BU499" s="71" t="s">
        <v>6824</v>
      </c>
      <c r="BV499" s="71" t="s">
        <v>6825</v>
      </c>
      <c r="BW499" s="71" t="s">
        <v>6824</v>
      </c>
      <c r="BX499" s="71" t="s">
        <v>6825</v>
      </c>
      <c r="BY499" s="71" t="s">
        <v>6824</v>
      </c>
      <c r="BZ499" s="71" t="s">
        <v>6825</v>
      </c>
      <c r="CA499" s="71" t="s">
        <v>6824</v>
      </c>
      <c r="CB499" s="71" t="s">
        <v>6825</v>
      </c>
      <c r="CC499" s="71" t="s">
        <v>6824</v>
      </c>
      <c r="CD499" s="71" t="s">
        <v>6825</v>
      </c>
    </row>
    <row r="500" spans="1:82" x14ac:dyDescent="0.25">
      <c r="B500" s="72"/>
      <c r="C500" s="71"/>
      <c r="D500" s="73"/>
      <c r="E500" s="71"/>
      <c r="F500" s="73"/>
      <c r="G500" s="71"/>
      <c r="H500" s="73"/>
      <c r="I500" s="71"/>
      <c r="J500" s="73"/>
      <c r="K500" s="71"/>
      <c r="L500" s="73"/>
      <c r="M500" s="71"/>
      <c r="N500" s="73"/>
      <c r="O500" s="71"/>
      <c r="P500" s="73"/>
      <c r="Q500" s="71"/>
      <c r="R500" s="73"/>
      <c r="S500" s="71"/>
      <c r="T500" s="73"/>
      <c r="U500" s="71"/>
      <c r="V500" s="73"/>
      <c r="W500" s="71"/>
      <c r="X500" s="73"/>
      <c r="Y500" s="71"/>
      <c r="Z500" s="73"/>
      <c r="AA500" s="71"/>
      <c r="AB500" s="73"/>
      <c r="AC500" s="71"/>
      <c r="AD500" s="73"/>
      <c r="AE500" s="71"/>
      <c r="AF500" s="73"/>
      <c r="AG500" s="71"/>
      <c r="AH500" s="73"/>
      <c r="AI500" s="71"/>
      <c r="AJ500" s="73"/>
      <c r="AK500" s="71"/>
      <c r="AL500" s="73"/>
      <c r="AM500" s="71"/>
      <c r="AN500" s="73"/>
      <c r="AO500" s="71"/>
      <c r="AP500" s="73"/>
      <c r="AQ500" s="71"/>
      <c r="AR500" s="73"/>
      <c r="AS500" s="71"/>
      <c r="AT500" s="73"/>
      <c r="AU500" s="71"/>
      <c r="AV500" s="73"/>
      <c r="AW500" s="71"/>
      <c r="AX500" s="73"/>
      <c r="AY500" s="71"/>
      <c r="AZ500" s="73"/>
      <c r="BA500" s="71"/>
      <c r="BB500" s="73"/>
      <c r="BC500" s="71"/>
      <c r="BD500" s="73"/>
      <c r="BE500" s="71"/>
      <c r="BF500" s="73"/>
      <c r="BG500" s="71"/>
      <c r="BH500" s="73"/>
      <c r="BI500" s="71"/>
      <c r="BJ500" s="73"/>
      <c r="BK500" s="71"/>
      <c r="BL500" s="73"/>
      <c r="BM500" s="71"/>
      <c r="BN500" s="73"/>
      <c r="BO500" s="71"/>
      <c r="BP500" s="73"/>
      <c r="BQ500" s="71"/>
      <c r="BR500" s="73"/>
      <c r="BS500" s="71"/>
      <c r="BT500" s="73"/>
      <c r="BU500" s="71"/>
      <c r="BV500" s="73"/>
      <c r="BW500" s="71"/>
      <c r="BX500" s="73"/>
      <c r="BY500" s="71"/>
      <c r="BZ500" s="73"/>
      <c r="CA500" s="71"/>
      <c r="CB500" s="73"/>
      <c r="CC500" s="71"/>
      <c r="CD500" s="73"/>
    </row>
    <row r="502" spans="1:82" x14ac:dyDescent="0.25">
      <c r="B502" s="40" t="s">
        <v>7005</v>
      </c>
      <c r="C502" s="40"/>
      <c r="D502" s="40"/>
    </row>
    <row r="503" spans="1:82" x14ac:dyDescent="0.25">
      <c r="B503" s="40" t="s">
        <v>6810</v>
      </c>
      <c r="C503" s="40"/>
      <c r="D503" s="40"/>
    </row>
    <row r="504" spans="1:82" x14ac:dyDescent="0.25">
      <c r="B504" s="40" t="s">
        <v>6811</v>
      </c>
      <c r="C504" s="40"/>
      <c r="D504" s="40"/>
    </row>
    <row r="505" spans="1:82" x14ac:dyDescent="0.25">
      <c r="B505" s="42" t="s">
        <v>6812</v>
      </c>
      <c r="C505" s="40"/>
      <c r="D505" s="40"/>
    </row>
    <row r="506" spans="1:82" x14ac:dyDescent="0.25">
      <c r="B506" s="42" t="s">
        <v>6813</v>
      </c>
      <c r="C506" s="40"/>
      <c r="D506" s="40"/>
    </row>
    <row r="507" spans="1:82" x14ac:dyDescent="0.25">
      <c r="B507" s="42" t="s">
        <v>6814</v>
      </c>
      <c r="C507" s="40"/>
      <c r="D507" s="40"/>
    </row>
    <row r="508" spans="1:82" ht="100" customHeight="1" x14ac:dyDescent="0.25">
      <c r="A508" s="41" t="str">
        <f>_xlfn.CONCAT("Sample test results are documented in ",'Sample Tables'!B502," [",'Sample Tables'!B503,", ",'Sample Tables'!B504,", ",'Sample Tables'!B505,", ",'Sample Tables'!B506,", ",'Sample Tables'!B507,"]."&amp;CHAR(10))</f>
        <v xml:space="preserve">Sample test results are documented in Test 046: Endpoint Device (classified as critical) [Population Source/Tool: , Population Date Range: , Population Size: , Sample Methodology: , Sample Size: ].
</v>
      </c>
      <c r="B508" s="95" t="s">
        <v>6815</v>
      </c>
      <c r="C508" s="93" t="s">
        <v>7006</v>
      </c>
      <c r="D508" s="94"/>
    </row>
    <row r="509" spans="1:82" x14ac:dyDescent="0.25">
      <c r="B509" s="96"/>
      <c r="C509" s="91" t="s">
        <v>1199</v>
      </c>
      <c r="D509" s="92"/>
    </row>
    <row r="510" spans="1:82" x14ac:dyDescent="0.25">
      <c r="B510" s="97"/>
      <c r="C510" s="71" t="s">
        <v>6824</v>
      </c>
      <c r="D510" s="71" t="s">
        <v>6825</v>
      </c>
    </row>
    <row r="511" spans="1:82" x14ac:dyDescent="0.25">
      <c r="B511" s="72"/>
      <c r="C511" s="71"/>
      <c r="D511" s="73"/>
    </row>
    <row r="513" spans="1:4" x14ac:dyDescent="0.25">
      <c r="B513" s="40" t="s">
        <v>7007</v>
      </c>
      <c r="C513" s="40"/>
      <c r="D513" s="40"/>
    </row>
    <row r="514" spans="1:4" x14ac:dyDescent="0.25">
      <c r="B514" s="40" t="s">
        <v>6810</v>
      </c>
      <c r="C514" s="40"/>
      <c r="D514" s="40"/>
    </row>
    <row r="515" spans="1:4" x14ac:dyDescent="0.25">
      <c r="B515" s="40" t="s">
        <v>6811</v>
      </c>
      <c r="C515" s="40"/>
      <c r="D515" s="40"/>
    </row>
    <row r="516" spans="1:4" x14ac:dyDescent="0.25">
      <c r="B516" s="42" t="s">
        <v>6812</v>
      </c>
      <c r="C516" s="40"/>
      <c r="D516" s="40"/>
    </row>
    <row r="517" spans="1:4" x14ac:dyDescent="0.25">
      <c r="B517" s="42" t="s">
        <v>6813</v>
      </c>
      <c r="C517" s="40"/>
      <c r="D517" s="40"/>
    </row>
    <row r="518" spans="1:4" x14ac:dyDescent="0.25">
      <c r="B518" s="42" t="s">
        <v>6814</v>
      </c>
      <c r="C518" s="40"/>
      <c r="D518" s="40"/>
    </row>
    <row r="519" spans="1:4" x14ac:dyDescent="0.25">
      <c r="A519" s="41" t="str">
        <f>_xlfn.CONCAT("Sample test results are documented in ",'Sample Tables'!B513," [",'Sample Tables'!B514,", ",'Sample Tables'!B515,", ",'Sample Tables'!B516,", ",'Sample Tables'!B517,", ",'Sample Tables'!B518,"]."&amp;CHAR(10))</f>
        <v xml:space="preserve">Sample test results are documented in Test 047: Endpoint Device (collaborative computing) [Population Source/Tool: , Population Date Range: , Population Size: , Sample Methodology: , Sample Size: ].
</v>
      </c>
      <c r="B519" s="95" t="s">
        <v>6815</v>
      </c>
      <c r="C519" s="93"/>
      <c r="D519" s="94"/>
    </row>
    <row r="520" spans="1:4" x14ac:dyDescent="0.25">
      <c r="B520" s="96"/>
      <c r="C520" s="91"/>
      <c r="D520" s="92"/>
    </row>
    <row r="521" spans="1:4" x14ac:dyDescent="0.25">
      <c r="B521" s="97"/>
      <c r="C521" s="71" t="s">
        <v>6824</v>
      </c>
      <c r="D521" s="71" t="s">
        <v>6825</v>
      </c>
    </row>
    <row r="522" spans="1:4" x14ac:dyDescent="0.25">
      <c r="B522" s="72"/>
      <c r="C522" s="71"/>
      <c r="D522" s="73"/>
    </row>
    <row r="524" spans="1:4" x14ac:dyDescent="0.25">
      <c r="B524" s="40" t="s">
        <v>7008</v>
      </c>
      <c r="C524" s="40"/>
      <c r="D524" s="40"/>
    </row>
    <row r="525" spans="1:4" x14ac:dyDescent="0.25">
      <c r="B525" s="40" t="s">
        <v>6810</v>
      </c>
      <c r="C525" s="40"/>
      <c r="D525" s="40"/>
    </row>
    <row r="526" spans="1:4" x14ac:dyDescent="0.25">
      <c r="B526" s="40" t="s">
        <v>6811</v>
      </c>
      <c r="C526" s="40"/>
      <c r="D526" s="40"/>
    </row>
    <row r="527" spans="1:4" x14ac:dyDescent="0.25">
      <c r="B527" s="42" t="s">
        <v>6812</v>
      </c>
      <c r="C527" s="40"/>
      <c r="D527" s="40"/>
    </row>
    <row r="528" spans="1:4" x14ac:dyDescent="0.25">
      <c r="B528" s="42" t="s">
        <v>6813</v>
      </c>
      <c r="C528" s="40"/>
      <c r="D528" s="40"/>
    </row>
    <row r="529" spans="1:6" x14ac:dyDescent="0.25">
      <c r="B529" s="42" t="s">
        <v>6814</v>
      </c>
      <c r="C529" s="40"/>
      <c r="D529" s="40"/>
    </row>
    <row r="530" spans="1:6" ht="100" customHeight="1" x14ac:dyDescent="0.25">
      <c r="A530" s="41" t="str">
        <f>_xlfn.CONCAT("Sample test results are documented in ",'Sample Tables'!B524," [",'Sample Tables'!B525,", ",'Sample Tables'!B526,", ",'Sample Tables'!B527,", ",'Sample Tables'!B528,", ",'Sample Tables'!B529,"]."&amp;CHAR(10))</f>
        <v xml:space="preserve">Sample test results are documented in Test 048: Endpoint Device (disposed) [Population Source/Tool: , Population Date Range: , Population Size: , Sample Methodology: , Sample Size: ].
</v>
      </c>
      <c r="B530" s="95" t="s">
        <v>6815</v>
      </c>
      <c r="C530" s="93" t="s">
        <v>7009</v>
      </c>
      <c r="D530" s="94"/>
    </row>
    <row r="531" spans="1:6" x14ac:dyDescent="0.25">
      <c r="B531" s="96"/>
      <c r="C531" s="91" t="s">
        <v>1585</v>
      </c>
      <c r="D531" s="92"/>
    </row>
    <row r="532" spans="1:6" x14ac:dyDescent="0.25">
      <c r="B532" s="97"/>
      <c r="C532" s="71" t="s">
        <v>6824</v>
      </c>
      <c r="D532" s="71" t="s">
        <v>6825</v>
      </c>
    </row>
    <row r="533" spans="1:6" x14ac:dyDescent="0.25">
      <c r="B533" s="72"/>
      <c r="C533" s="71"/>
      <c r="D533" s="73"/>
    </row>
    <row r="535" spans="1:6" x14ac:dyDescent="0.25">
      <c r="B535" s="40" t="s">
        <v>7010</v>
      </c>
      <c r="C535" s="40"/>
      <c r="D535" s="40"/>
    </row>
    <row r="536" spans="1:6" x14ac:dyDescent="0.25">
      <c r="B536" s="40" t="s">
        <v>6810</v>
      </c>
      <c r="C536" s="40"/>
      <c r="D536" s="40"/>
    </row>
    <row r="537" spans="1:6" x14ac:dyDescent="0.25">
      <c r="B537" s="40" t="s">
        <v>6811</v>
      </c>
      <c r="C537" s="40"/>
      <c r="D537" s="40"/>
    </row>
    <row r="538" spans="1:6" x14ac:dyDescent="0.25">
      <c r="B538" s="42" t="s">
        <v>6812</v>
      </c>
      <c r="C538" s="40"/>
      <c r="D538" s="40"/>
    </row>
    <row r="539" spans="1:6" x14ac:dyDescent="0.25">
      <c r="B539" s="42" t="s">
        <v>6813</v>
      </c>
      <c r="C539" s="40"/>
      <c r="D539" s="40"/>
    </row>
    <row r="540" spans="1:6" x14ac:dyDescent="0.25">
      <c r="B540" s="42" t="s">
        <v>6814</v>
      </c>
      <c r="C540" s="40"/>
      <c r="D540" s="40"/>
    </row>
    <row r="541" spans="1:6" ht="100" customHeight="1" x14ac:dyDescent="0.25">
      <c r="A541" s="41" t="str">
        <f>_xlfn.CONCAT("Sample test results are documented in ",'Sample Tables'!B535," [",'Sample Tables'!B536,", ",'Sample Tables'!B537,", ",'Sample Tables'!B538,", ",'Sample Tables'!B539,", ",'Sample Tables'!B540,"]."&amp;CHAR(10))</f>
        <v xml:space="preserve">Sample test results are documented in Test 049: Endpoint Device (identified as unauthorized) [Population Source/Tool: , Population Date Range: , Population Size: , Sample Methodology: , Sample Size: ].
</v>
      </c>
      <c r="B541" s="95" t="s">
        <v>6815</v>
      </c>
      <c r="C541" s="93" t="s">
        <v>7011</v>
      </c>
      <c r="D541" s="94"/>
      <c r="E541" s="93" t="s">
        <v>7011</v>
      </c>
      <c r="F541" s="94"/>
    </row>
    <row r="542" spans="1:6" x14ac:dyDescent="0.25">
      <c r="B542" s="96"/>
      <c r="C542" s="91" t="s">
        <v>1598</v>
      </c>
      <c r="D542" s="92"/>
      <c r="E542" s="91" t="s">
        <v>1336</v>
      </c>
      <c r="F542" s="92"/>
    </row>
    <row r="543" spans="1:6" x14ac:dyDescent="0.25">
      <c r="B543" s="97"/>
      <c r="C543" s="71" t="s">
        <v>6824</v>
      </c>
      <c r="D543" s="71" t="s">
        <v>6825</v>
      </c>
      <c r="E543" s="71" t="s">
        <v>6824</v>
      </c>
      <c r="F543" s="71" t="s">
        <v>6825</v>
      </c>
    </row>
    <row r="544" spans="1:6" x14ac:dyDescent="0.25">
      <c r="B544" s="72"/>
      <c r="C544" s="71"/>
      <c r="D544" s="73"/>
      <c r="E544" s="71"/>
      <c r="F544" s="73"/>
    </row>
    <row r="546" spans="1:94" x14ac:dyDescent="0.25">
      <c r="B546" s="40" t="s">
        <v>7012</v>
      </c>
      <c r="C546" s="40"/>
      <c r="D546" s="40"/>
    </row>
    <row r="547" spans="1:94" x14ac:dyDescent="0.25">
      <c r="B547" s="40" t="s">
        <v>6810</v>
      </c>
      <c r="C547" s="40"/>
      <c r="D547" s="40"/>
    </row>
    <row r="548" spans="1:94" x14ac:dyDescent="0.25">
      <c r="B548" s="40" t="s">
        <v>6811</v>
      </c>
      <c r="C548" s="40"/>
      <c r="D548" s="40"/>
    </row>
    <row r="549" spans="1:94" x14ac:dyDescent="0.25">
      <c r="B549" s="42" t="s">
        <v>6812</v>
      </c>
      <c r="C549" s="40"/>
      <c r="D549" s="40"/>
    </row>
    <row r="550" spans="1:94" x14ac:dyDescent="0.25">
      <c r="B550" s="42" t="s">
        <v>6813</v>
      </c>
      <c r="C550" s="40"/>
      <c r="D550" s="40"/>
    </row>
    <row r="551" spans="1:94" x14ac:dyDescent="0.25">
      <c r="B551" s="42" t="s">
        <v>6814</v>
      </c>
      <c r="C551" s="40"/>
      <c r="D551" s="40"/>
    </row>
    <row r="552" spans="1:94" ht="100" customHeight="1" x14ac:dyDescent="0.25">
      <c r="A552" s="41" t="str">
        <f>_xlfn.CONCAT("Sample test results are documented in ",'Sample Tables'!B546," [",'Sample Tables'!B547,", ",'Sample Tables'!B548,", ",'Sample Tables'!B549,", ",'Sample Tables'!B550,", ",'Sample Tables'!B551,"]."&amp;CHAR(10))</f>
        <v xml:space="preserve">Sample test results are documented in Test 050: Endpoint Device (laptop) [Population Source/Tool: , Population Date Range: , Population Size: , Sample Methodology: , Sample Size: ].
</v>
      </c>
      <c r="B552" s="95" t="s">
        <v>6815</v>
      </c>
      <c r="C552" s="93" t="s">
        <v>6977</v>
      </c>
      <c r="D552" s="94"/>
      <c r="E552" s="93" t="s">
        <v>6978</v>
      </c>
      <c r="F552" s="94"/>
      <c r="G552" s="93" t="s">
        <v>6977</v>
      </c>
      <c r="H552" s="94"/>
      <c r="I552" s="93" t="s">
        <v>6977</v>
      </c>
      <c r="J552" s="94"/>
      <c r="K552" s="93" t="s">
        <v>6977</v>
      </c>
      <c r="L552" s="94"/>
      <c r="M552" s="93" t="s">
        <v>6977</v>
      </c>
      <c r="N552" s="94"/>
      <c r="O552" s="93" t="s">
        <v>6979</v>
      </c>
      <c r="P552" s="94"/>
      <c r="Q552" s="93" t="s">
        <v>6977</v>
      </c>
      <c r="R552" s="94"/>
      <c r="S552" s="93" t="s">
        <v>6980</v>
      </c>
      <c r="T552" s="94"/>
      <c r="U552" s="93" t="s">
        <v>6977</v>
      </c>
      <c r="V552" s="94"/>
      <c r="W552" s="93" t="s">
        <v>6981</v>
      </c>
      <c r="X552" s="94"/>
      <c r="Y552" s="93" t="s">
        <v>7013</v>
      </c>
      <c r="Z552" s="94"/>
      <c r="AA552" s="93" t="s">
        <v>7014</v>
      </c>
      <c r="AB552" s="94"/>
      <c r="AC552" s="93" t="s">
        <v>7013</v>
      </c>
      <c r="AD552" s="94"/>
      <c r="AE552" s="93" t="s">
        <v>7014</v>
      </c>
      <c r="AF552" s="94"/>
      <c r="AG552" s="93" t="s">
        <v>7014</v>
      </c>
      <c r="AH552" s="94"/>
      <c r="AI552" s="93" t="s">
        <v>7015</v>
      </c>
      <c r="AJ552" s="94"/>
      <c r="AK552" s="93" t="s">
        <v>7014</v>
      </c>
      <c r="AL552" s="94"/>
      <c r="AM552" s="93" t="s">
        <v>7014</v>
      </c>
      <c r="AN552" s="94"/>
      <c r="AO552" s="93" t="s">
        <v>6982</v>
      </c>
      <c r="AP552" s="94"/>
      <c r="AQ552" s="93" t="s">
        <v>6983</v>
      </c>
      <c r="AR552" s="94"/>
      <c r="AS552" s="93" t="s">
        <v>6984</v>
      </c>
      <c r="AT552" s="94"/>
      <c r="AU552" s="93" t="s">
        <v>6985</v>
      </c>
      <c r="AV552" s="94"/>
      <c r="AW552" s="93" t="s">
        <v>6985</v>
      </c>
      <c r="AX552" s="94"/>
      <c r="AY552" s="93" t="s">
        <v>6986</v>
      </c>
      <c r="AZ552" s="94"/>
      <c r="BA552" s="93" t="s">
        <v>6987</v>
      </c>
      <c r="BB552" s="94"/>
      <c r="BC552" s="93" t="s">
        <v>6987</v>
      </c>
      <c r="BD552" s="94"/>
      <c r="BE552" s="93" t="s">
        <v>6988</v>
      </c>
      <c r="BF552" s="94"/>
      <c r="BG552" s="93" t="s">
        <v>6989</v>
      </c>
      <c r="BH552" s="94"/>
      <c r="BI552" s="93" t="s">
        <v>6990</v>
      </c>
      <c r="BJ552" s="94"/>
      <c r="BK552" s="93" t="s">
        <v>6991</v>
      </c>
      <c r="BL552" s="94"/>
      <c r="BM552" s="93" t="s">
        <v>6996</v>
      </c>
      <c r="BN552" s="94"/>
      <c r="BO552" s="93" t="s">
        <v>6997</v>
      </c>
      <c r="BP552" s="94"/>
      <c r="BQ552" s="93" t="s">
        <v>6855</v>
      </c>
      <c r="BR552" s="94"/>
      <c r="BS552" s="93" t="s">
        <v>6998</v>
      </c>
      <c r="BT552" s="94"/>
      <c r="BU552" s="93" t="s">
        <v>6999</v>
      </c>
      <c r="BV552" s="94"/>
      <c r="BW552" s="93" t="s">
        <v>7000</v>
      </c>
      <c r="BX552" s="94"/>
      <c r="BY552" s="93" t="s">
        <v>7001</v>
      </c>
      <c r="BZ552" s="94"/>
      <c r="CA552" s="93" t="s">
        <v>7002</v>
      </c>
      <c r="CB552" s="94"/>
      <c r="CC552" s="93" t="s">
        <v>7003</v>
      </c>
      <c r="CD552" s="94"/>
      <c r="CE552" s="93" t="s">
        <v>7004</v>
      </c>
      <c r="CF552" s="94"/>
      <c r="CG552" s="93" t="s">
        <v>7016</v>
      </c>
      <c r="CH552" s="94"/>
      <c r="CI552" s="93" t="s">
        <v>7017</v>
      </c>
      <c r="CJ552" s="94"/>
      <c r="CK552" s="93" t="s">
        <v>7018</v>
      </c>
      <c r="CL552" s="94"/>
      <c r="CM552" s="93" t="s">
        <v>7019</v>
      </c>
      <c r="CN552" s="94"/>
      <c r="CO552" s="93" t="s">
        <v>7020</v>
      </c>
      <c r="CP552" s="94"/>
    </row>
    <row r="553" spans="1:94" x14ac:dyDescent="0.25">
      <c r="B553" s="96"/>
      <c r="C553" s="91" t="s">
        <v>674</v>
      </c>
      <c r="D553" s="92"/>
      <c r="E553" s="91" t="s">
        <v>676</v>
      </c>
      <c r="F553" s="92"/>
      <c r="G553" s="91" t="s">
        <v>679</v>
      </c>
      <c r="H553" s="92"/>
      <c r="I553" s="91" t="s">
        <v>680</v>
      </c>
      <c r="J553" s="92"/>
      <c r="K553" s="91" t="s">
        <v>659</v>
      </c>
      <c r="L553" s="92"/>
      <c r="M553" s="91" t="s">
        <v>682</v>
      </c>
      <c r="N553" s="92"/>
      <c r="O553" s="91" t="s">
        <v>682</v>
      </c>
      <c r="P553" s="92"/>
      <c r="Q553" s="91" t="s">
        <v>707</v>
      </c>
      <c r="R553" s="92"/>
      <c r="S553" s="91" t="s">
        <v>730</v>
      </c>
      <c r="T553" s="92"/>
      <c r="U553" s="91" t="s">
        <v>732</v>
      </c>
      <c r="V553" s="92"/>
      <c r="W553" s="91" t="s">
        <v>742</v>
      </c>
      <c r="X553" s="92"/>
      <c r="Y553" s="91" t="s">
        <v>774</v>
      </c>
      <c r="Z553" s="92"/>
      <c r="AA553" s="91" t="s">
        <v>774</v>
      </c>
      <c r="AB553" s="92"/>
      <c r="AC553" s="91" t="s">
        <v>757</v>
      </c>
      <c r="AD553" s="92"/>
      <c r="AE553" s="91" t="s">
        <v>757</v>
      </c>
      <c r="AF553" s="92"/>
      <c r="AG553" s="91" t="s">
        <v>831</v>
      </c>
      <c r="AH553" s="92"/>
      <c r="AI553" s="91" t="s">
        <v>831</v>
      </c>
      <c r="AJ553" s="92"/>
      <c r="AK553" s="91" t="s">
        <v>835</v>
      </c>
      <c r="AL553" s="92"/>
      <c r="AM553" s="91" t="s">
        <v>772</v>
      </c>
      <c r="AN553" s="92"/>
      <c r="AO553" s="91" t="s">
        <v>920</v>
      </c>
      <c r="AP553" s="92"/>
      <c r="AQ553" s="91" t="s">
        <v>924</v>
      </c>
      <c r="AR553" s="92"/>
      <c r="AS553" s="91" t="s">
        <v>1159</v>
      </c>
      <c r="AT553" s="92"/>
      <c r="AU553" s="91" t="s">
        <v>1159</v>
      </c>
      <c r="AV553" s="92"/>
      <c r="AW553" s="91" t="s">
        <v>1203</v>
      </c>
      <c r="AX553" s="92"/>
      <c r="AY553" s="91" t="s">
        <v>1203</v>
      </c>
      <c r="AZ553" s="92"/>
      <c r="BA553" s="91" t="s">
        <v>1234</v>
      </c>
      <c r="BB553" s="92"/>
      <c r="BC553" s="91" t="s">
        <v>1240</v>
      </c>
      <c r="BD553" s="92"/>
      <c r="BE553" s="91" t="s">
        <v>1255</v>
      </c>
      <c r="BF553" s="92"/>
      <c r="BG553" s="91" t="s">
        <v>1377</v>
      </c>
      <c r="BH553" s="92"/>
      <c r="BI553" s="91" t="s">
        <v>1562</v>
      </c>
      <c r="BJ553" s="92"/>
      <c r="BK553" s="91" t="s">
        <v>1562</v>
      </c>
      <c r="BL553" s="92"/>
      <c r="BM553" s="91" t="s">
        <v>2377</v>
      </c>
      <c r="BN553" s="92"/>
      <c r="BO553" s="91" t="s">
        <v>2377</v>
      </c>
      <c r="BP553" s="92"/>
      <c r="BQ553" s="91" t="s">
        <v>2379</v>
      </c>
      <c r="BR553" s="92"/>
      <c r="BS553" s="91" t="s">
        <v>2379</v>
      </c>
      <c r="BT553" s="92"/>
      <c r="BU553" s="91" t="s">
        <v>2758</v>
      </c>
      <c r="BV553" s="92"/>
      <c r="BW553" s="91" t="s">
        <v>2758</v>
      </c>
      <c r="BX553" s="92"/>
      <c r="BY553" s="91" t="s">
        <v>2766</v>
      </c>
      <c r="BZ553" s="92"/>
      <c r="CA553" s="91" t="s">
        <v>2766</v>
      </c>
      <c r="CB553" s="92"/>
      <c r="CC553" s="91" t="s">
        <v>2766</v>
      </c>
      <c r="CD553" s="92"/>
      <c r="CE553" s="91" t="s">
        <v>2899</v>
      </c>
      <c r="CF553" s="92"/>
      <c r="CG553" s="91" t="s">
        <v>3002</v>
      </c>
      <c r="CH553" s="92"/>
      <c r="CI553" s="91" t="s">
        <v>3002</v>
      </c>
      <c r="CJ553" s="92"/>
      <c r="CK553" s="91" t="s">
        <v>3002</v>
      </c>
      <c r="CL553" s="92"/>
      <c r="CM553" s="91" t="s">
        <v>3002</v>
      </c>
      <c r="CN553" s="92"/>
      <c r="CO553" s="91" t="s">
        <v>3002</v>
      </c>
      <c r="CP553" s="92"/>
    </row>
    <row r="554" spans="1:94" x14ac:dyDescent="0.25">
      <c r="B554" s="97"/>
      <c r="C554" s="71" t="s">
        <v>6824</v>
      </c>
      <c r="D554" s="71" t="s">
        <v>6825</v>
      </c>
      <c r="E554" s="71" t="s">
        <v>6824</v>
      </c>
      <c r="F554" s="71" t="s">
        <v>6825</v>
      </c>
      <c r="G554" s="71" t="s">
        <v>6824</v>
      </c>
      <c r="H554" s="71" t="s">
        <v>6825</v>
      </c>
      <c r="I554" s="71" t="s">
        <v>6824</v>
      </c>
      <c r="J554" s="71" t="s">
        <v>6825</v>
      </c>
      <c r="K554" s="71" t="s">
        <v>6824</v>
      </c>
      <c r="L554" s="71" t="s">
        <v>6825</v>
      </c>
      <c r="M554" s="71" t="s">
        <v>6824</v>
      </c>
      <c r="N554" s="71" t="s">
        <v>6825</v>
      </c>
      <c r="O554" s="71" t="s">
        <v>6824</v>
      </c>
      <c r="P554" s="71" t="s">
        <v>6825</v>
      </c>
      <c r="Q554" s="71" t="s">
        <v>6824</v>
      </c>
      <c r="R554" s="71" t="s">
        <v>6825</v>
      </c>
      <c r="S554" s="71" t="s">
        <v>6824</v>
      </c>
      <c r="T554" s="71" t="s">
        <v>6825</v>
      </c>
      <c r="U554" s="71" t="s">
        <v>6824</v>
      </c>
      <c r="V554" s="71" t="s">
        <v>6825</v>
      </c>
      <c r="W554" s="71" t="s">
        <v>6824</v>
      </c>
      <c r="X554" s="71" t="s">
        <v>6825</v>
      </c>
      <c r="Y554" s="71" t="s">
        <v>6824</v>
      </c>
      <c r="Z554" s="71" t="s">
        <v>6825</v>
      </c>
      <c r="AA554" s="71" t="s">
        <v>6824</v>
      </c>
      <c r="AB554" s="71" t="s">
        <v>6825</v>
      </c>
      <c r="AC554" s="71" t="s">
        <v>6824</v>
      </c>
      <c r="AD554" s="71" t="s">
        <v>6825</v>
      </c>
      <c r="AE554" s="71" t="s">
        <v>6824</v>
      </c>
      <c r="AF554" s="71" t="s">
        <v>6825</v>
      </c>
      <c r="AG554" s="71" t="s">
        <v>6824</v>
      </c>
      <c r="AH554" s="71" t="s">
        <v>6825</v>
      </c>
      <c r="AI554" s="71" t="s">
        <v>6824</v>
      </c>
      <c r="AJ554" s="71" t="s">
        <v>6825</v>
      </c>
      <c r="AK554" s="71" t="s">
        <v>6824</v>
      </c>
      <c r="AL554" s="71" t="s">
        <v>6825</v>
      </c>
      <c r="AM554" s="71" t="s">
        <v>6824</v>
      </c>
      <c r="AN554" s="71" t="s">
        <v>6825</v>
      </c>
      <c r="AO554" s="71" t="s">
        <v>6824</v>
      </c>
      <c r="AP554" s="71" t="s">
        <v>6825</v>
      </c>
      <c r="AQ554" s="71" t="s">
        <v>6824</v>
      </c>
      <c r="AR554" s="71" t="s">
        <v>6825</v>
      </c>
      <c r="AS554" s="71" t="s">
        <v>6824</v>
      </c>
      <c r="AT554" s="71" t="s">
        <v>6825</v>
      </c>
      <c r="AU554" s="71" t="s">
        <v>6824</v>
      </c>
      <c r="AV554" s="71" t="s">
        <v>6825</v>
      </c>
      <c r="AW554" s="71" t="s">
        <v>6824</v>
      </c>
      <c r="AX554" s="71" t="s">
        <v>6825</v>
      </c>
      <c r="AY554" s="71" t="s">
        <v>6824</v>
      </c>
      <c r="AZ554" s="71" t="s">
        <v>6825</v>
      </c>
      <c r="BA554" s="71" t="s">
        <v>6824</v>
      </c>
      <c r="BB554" s="71" t="s">
        <v>6825</v>
      </c>
      <c r="BC554" s="71" t="s">
        <v>6824</v>
      </c>
      <c r="BD554" s="71" t="s">
        <v>6825</v>
      </c>
      <c r="BE554" s="71" t="s">
        <v>6824</v>
      </c>
      <c r="BF554" s="71" t="s">
        <v>6825</v>
      </c>
      <c r="BG554" s="71" t="s">
        <v>6824</v>
      </c>
      <c r="BH554" s="71" t="s">
        <v>6825</v>
      </c>
      <c r="BI554" s="71" t="s">
        <v>6824</v>
      </c>
      <c r="BJ554" s="71" t="s">
        <v>6825</v>
      </c>
      <c r="BK554" s="71" t="s">
        <v>6824</v>
      </c>
      <c r="BL554" s="71" t="s">
        <v>6825</v>
      </c>
      <c r="BM554" s="71" t="s">
        <v>6824</v>
      </c>
      <c r="BN554" s="71" t="s">
        <v>6825</v>
      </c>
      <c r="BO554" s="71" t="s">
        <v>6824</v>
      </c>
      <c r="BP554" s="71" t="s">
        <v>6825</v>
      </c>
      <c r="BQ554" s="71" t="s">
        <v>6824</v>
      </c>
      <c r="BR554" s="71" t="s">
        <v>6825</v>
      </c>
      <c r="BS554" s="71" t="s">
        <v>6824</v>
      </c>
      <c r="BT554" s="71" t="s">
        <v>6825</v>
      </c>
      <c r="BU554" s="71" t="s">
        <v>6824</v>
      </c>
      <c r="BV554" s="71" t="s">
        <v>6825</v>
      </c>
      <c r="BW554" s="71" t="s">
        <v>6824</v>
      </c>
      <c r="BX554" s="71" t="s">
        <v>6825</v>
      </c>
      <c r="BY554" s="71" t="s">
        <v>6824</v>
      </c>
      <c r="BZ554" s="71" t="s">
        <v>6825</v>
      </c>
      <c r="CA554" s="71" t="s">
        <v>6824</v>
      </c>
      <c r="CB554" s="71" t="s">
        <v>6825</v>
      </c>
      <c r="CC554" s="71" t="s">
        <v>6824</v>
      </c>
      <c r="CD554" s="71" t="s">
        <v>6825</v>
      </c>
      <c r="CE554" s="71" t="s">
        <v>6824</v>
      </c>
      <c r="CF554" s="71" t="s">
        <v>6825</v>
      </c>
      <c r="CG554" s="71" t="s">
        <v>6824</v>
      </c>
      <c r="CH554" s="71" t="s">
        <v>6825</v>
      </c>
      <c r="CI554" s="71" t="s">
        <v>6824</v>
      </c>
      <c r="CJ554" s="71" t="s">
        <v>6825</v>
      </c>
      <c r="CK554" s="71" t="s">
        <v>6824</v>
      </c>
      <c r="CL554" s="71" t="s">
        <v>6825</v>
      </c>
      <c r="CM554" s="71" t="s">
        <v>6824</v>
      </c>
      <c r="CN554" s="71" t="s">
        <v>6825</v>
      </c>
      <c r="CO554" s="71" t="s">
        <v>6824</v>
      </c>
      <c r="CP554" s="71" t="s">
        <v>6825</v>
      </c>
    </row>
    <row r="555" spans="1:94" x14ac:dyDescent="0.25">
      <c r="B555" s="72"/>
      <c r="C555" s="71"/>
      <c r="D555" s="73"/>
      <c r="E555" s="71"/>
      <c r="F555" s="73"/>
      <c r="G555" s="71"/>
      <c r="H555" s="73"/>
      <c r="I555" s="71"/>
      <c r="J555" s="73"/>
      <c r="K555" s="71"/>
      <c r="L555" s="73"/>
      <c r="M555" s="71"/>
      <c r="N555" s="73"/>
      <c r="O555" s="71"/>
      <c r="P555" s="73"/>
      <c r="Q555" s="71"/>
      <c r="R555" s="73"/>
      <c r="S555" s="71"/>
      <c r="T555" s="73"/>
      <c r="U555" s="71"/>
      <c r="V555" s="73"/>
      <c r="W555" s="71"/>
      <c r="X555" s="73"/>
      <c r="Y555" s="71"/>
      <c r="Z555" s="73"/>
      <c r="AA555" s="71"/>
      <c r="AB555" s="73"/>
      <c r="AC555" s="71"/>
      <c r="AD555" s="73"/>
      <c r="AE555" s="71"/>
      <c r="AF555" s="73"/>
      <c r="AG555" s="71"/>
      <c r="AH555" s="73"/>
      <c r="AI555" s="71"/>
      <c r="AJ555" s="73"/>
      <c r="AK555" s="71"/>
      <c r="AL555" s="73"/>
      <c r="AM555" s="71"/>
      <c r="AN555" s="73"/>
      <c r="AO555" s="71"/>
      <c r="AP555" s="73"/>
      <c r="AQ555" s="71"/>
      <c r="AR555" s="73"/>
      <c r="AS555" s="71"/>
      <c r="AT555" s="73"/>
      <c r="AU555" s="71"/>
      <c r="AV555" s="73"/>
      <c r="AW555" s="71"/>
      <c r="AX555" s="73"/>
      <c r="AY555" s="71"/>
      <c r="AZ555" s="73"/>
      <c r="BA555" s="71"/>
      <c r="BB555" s="73"/>
      <c r="BC555" s="71"/>
      <c r="BD555" s="73"/>
      <c r="BE555" s="71"/>
      <c r="BF555" s="73"/>
      <c r="BG555" s="71"/>
      <c r="BH555" s="73"/>
      <c r="BI555" s="71"/>
      <c r="BJ555" s="73"/>
      <c r="BK555" s="71"/>
      <c r="BL555" s="73"/>
      <c r="BM555" s="71"/>
      <c r="BN555" s="73"/>
      <c r="BO555" s="71"/>
      <c r="BP555" s="73"/>
      <c r="BQ555" s="71"/>
      <c r="BR555" s="73"/>
      <c r="BS555" s="71"/>
      <c r="BT555" s="73"/>
      <c r="BU555" s="71"/>
      <c r="BV555" s="73"/>
      <c r="BW555" s="71"/>
      <c r="BX555" s="73"/>
      <c r="BY555" s="71"/>
      <c r="BZ555" s="73"/>
      <c r="CA555" s="71"/>
      <c r="CB555" s="73"/>
      <c r="CC555" s="71"/>
      <c r="CD555" s="73"/>
      <c r="CE555" s="71"/>
      <c r="CF555" s="73"/>
      <c r="CG555" s="71"/>
      <c r="CH555" s="73"/>
      <c r="CI555" s="71"/>
      <c r="CJ555" s="73"/>
      <c r="CK555" s="71"/>
      <c r="CL555" s="73"/>
      <c r="CM555" s="71"/>
      <c r="CN555" s="73"/>
      <c r="CO555" s="71"/>
      <c r="CP555" s="73"/>
    </row>
    <row r="557" spans="1:94" x14ac:dyDescent="0.25">
      <c r="B557" s="40" t="s">
        <v>7021</v>
      </c>
      <c r="C557" s="40"/>
      <c r="D557" s="40"/>
    </row>
    <row r="558" spans="1:94" x14ac:dyDescent="0.25">
      <c r="B558" s="40" t="s">
        <v>6810</v>
      </c>
      <c r="C558" s="40"/>
      <c r="D558" s="40"/>
    </row>
    <row r="559" spans="1:94" x14ac:dyDescent="0.25">
      <c r="B559" s="40" t="s">
        <v>6811</v>
      </c>
      <c r="C559" s="40"/>
      <c r="D559" s="40"/>
    </row>
    <row r="560" spans="1:94" x14ac:dyDescent="0.25">
      <c r="B560" s="42" t="s">
        <v>6812</v>
      </c>
      <c r="C560" s="40"/>
      <c r="D560" s="40"/>
    </row>
    <row r="561" spans="1:6" x14ac:dyDescent="0.25">
      <c r="B561" s="42" t="s">
        <v>6813</v>
      </c>
      <c r="C561" s="40"/>
      <c r="D561" s="40"/>
    </row>
    <row r="562" spans="1:6" x14ac:dyDescent="0.25">
      <c r="B562" s="42" t="s">
        <v>6814</v>
      </c>
      <c r="C562" s="40"/>
      <c r="D562" s="40"/>
    </row>
    <row r="563" spans="1:6" x14ac:dyDescent="0.25">
      <c r="A563" s="41" t="str">
        <f>_xlfn.CONCAT("Sample test results are documented in ",'Sample Tables'!B557," [",'Sample Tables'!B558,", ",'Sample Tables'!B559,", ",'Sample Tables'!B560,", ",'Sample Tables'!B561,", ",'Sample Tables'!B562,"]."&amp;CHAR(10))</f>
        <v xml:space="preserve">Sample test results are documented in Test 051: Endpoint Device (multifunctional output) [Population Source/Tool: , Population Date Range: , Population Size: , Sample Methodology: , Sample Size: ].
</v>
      </c>
      <c r="B563" s="95" t="s">
        <v>6815</v>
      </c>
      <c r="C563" s="93"/>
      <c r="D563" s="94"/>
    </row>
    <row r="564" spans="1:6" x14ac:dyDescent="0.25">
      <c r="B564" s="96"/>
      <c r="C564" s="91"/>
      <c r="D564" s="92"/>
    </row>
    <row r="565" spans="1:6" x14ac:dyDescent="0.25">
      <c r="B565" s="97"/>
      <c r="C565" s="71" t="s">
        <v>6824</v>
      </c>
      <c r="D565" s="71" t="s">
        <v>6825</v>
      </c>
    </row>
    <row r="566" spans="1:6" x14ac:dyDescent="0.25">
      <c r="B566" s="72"/>
      <c r="C566" s="71"/>
      <c r="D566" s="73"/>
    </row>
    <row r="568" spans="1:6" x14ac:dyDescent="0.25">
      <c r="B568" s="40" t="s">
        <v>7022</v>
      </c>
      <c r="C568" s="40"/>
      <c r="D568" s="40"/>
    </row>
    <row r="569" spans="1:6" x14ac:dyDescent="0.25">
      <c r="B569" s="40" t="s">
        <v>6810</v>
      </c>
      <c r="C569" s="40"/>
      <c r="D569" s="40"/>
    </row>
    <row r="570" spans="1:6" x14ac:dyDescent="0.25">
      <c r="B570" s="40" t="s">
        <v>6811</v>
      </c>
      <c r="C570" s="40"/>
      <c r="D570" s="40"/>
    </row>
    <row r="571" spans="1:6" x14ac:dyDescent="0.25">
      <c r="B571" s="42" t="s">
        <v>6812</v>
      </c>
      <c r="C571" s="40"/>
      <c r="D571" s="40"/>
    </row>
    <row r="572" spans="1:6" x14ac:dyDescent="0.25">
      <c r="B572" s="42" t="s">
        <v>6813</v>
      </c>
      <c r="C572" s="40"/>
      <c r="D572" s="40"/>
    </row>
    <row r="573" spans="1:6" x14ac:dyDescent="0.25">
      <c r="B573" s="42" t="s">
        <v>6814</v>
      </c>
      <c r="C573" s="40"/>
      <c r="D573" s="40"/>
    </row>
    <row r="574" spans="1:6" ht="100" customHeight="1" x14ac:dyDescent="0.25">
      <c r="A574" s="41" t="str">
        <f>_xlfn.CONCAT("Sample test results are documented in ",'Sample Tables'!B568," [",'Sample Tables'!B569,", ",'Sample Tables'!B570,", ",'Sample Tables'!B571,", ",'Sample Tables'!B572,", ",'Sample Tables'!B573,"]."&amp;CHAR(10))</f>
        <v xml:space="preserve">Sample test results are documented in Test 052: Endpoint Device (not authorized for wireless use) [Population Source/Tool: , Population Date Range: , Population Size: , Sample Methodology: , Sample Size: ].
</v>
      </c>
      <c r="B574" s="95" t="s">
        <v>6815</v>
      </c>
      <c r="C574" s="93" t="s">
        <v>7023</v>
      </c>
      <c r="D574" s="94"/>
      <c r="E574" s="93" t="s">
        <v>7023</v>
      </c>
      <c r="F574" s="94"/>
    </row>
    <row r="575" spans="1:6" x14ac:dyDescent="0.25">
      <c r="B575" s="96"/>
      <c r="C575" s="91" t="s">
        <v>945</v>
      </c>
      <c r="D575" s="92"/>
      <c r="E575" s="91" t="s">
        <v>950</v>
      </c>
      <c r="F575" s="92"/>
    </row>
    <row r="576" spans="1:6" x14ac:dyDescent="0.25">
      <c r="B576" s="97"/>
      <c r="C576" s="71" t="s">
        <v>6824</v>
      </c>
      <c r="D576" s="71" t="s">
        <v>6825</v>
      </c>
      <c r="E576" s="71" t="s">
        <v>6824</v>
      </c>
      <c r="F576" s="71" t="s">
        <v>6825</v>
      </c>
    </row>
    <row r="577" spans="1:6" x14ac:dyDescent="0.25">
      <c r="B577" s="72"/>
      <c r="C577" s="71"/>
      <c r="D577" s="73"/>
      <c r="E577" s="71"/>
      <c r="F577" s="73"/>
    </row>
    <row r="579" spans="1:6" x14ac:dyDescent="0.25">
      <c r="B579" s="40" t="s">
        <v>7024</v>
      </c>
      <c r="C579" s="40"/>
      <c r="D579" s="40"/>
    </row>
    <row r="580" spans="1:6" x14ac:dyDescent="0.25">
      <c r="B580" s="40" t="s">
        <v>6810</v>
      </c>
      <c r="C580" s="40"/>
      <c r="D580" s="40"/>
    </row>
    <row r="581" spans="1:6" x14ac:dyDescent="0.25">
      <c r="B581" s="40" t="s">
        <v>6811</v>
      </c>
      <c r="C581" s="40"/>
      <c r="D581" s="40"/>
    </row>
    <row r="582" spans="1:6" x14ac:dyDescent="0.25">
      <c r="B582" s="42" t="s">
        <v>6812</v>
      </c>
      <c r="C582" s="40"/>
      <c r="D582" s="40"/>
    </row>
    <row r="583" spans="1:6" x14ac:dyDescent="0.25">
      <c r="B583" s="42" t="s">
        <v>6813</v>
      </c>
      <c r="C583" s="40"/>
      <c r="D583" s="40"/>
    </row>
    <row r="584" spans="1:6" x14ac:dyDescent="0.25">
      <c r="B584" s="42" t="s">
        <v>6814</v>
      </c>
      <c r="C584" s="40"/>
      <c r="D584" s="40"/>
    </row>
    <row r="585" spans="1:6" ht="100" customHeight="1" x14ac:dyDescent="0.25">
      <c r="A585" s="41" t="str">
        <f>_xlfn.CONCAT("Sample test results are documented in ",'Sample Tables'!B579," [",'Sample Tables'!B580,", ",'Sample Tables'!B581,", ",'Sample Tables'!B582,", ",'Sample Tables'!B583,", ",'Sample Tables'!B584,"]."&amp;CHAR(10))</f>
        <v xml:space="preserve">Sample test results are documented in Test 053: Endpoint Device (remote with ability to process data) [Population Source/Tool: , Population Date Range: , Population Size: , Sample Methodology: , Sample Size: ].
</v>
      </c>
      <c r="B585" s="95" t="s">
        <v>6815</v>
      </c>
      <c r="C585" s="93" t="s">
        <v>7025</v>
      </c>
      <c r="D585" s="94"/>
      <c r="E585" s="93" t="s">
        <v>7026</v>
      </c>
      <c r="F585" s="94"/>
    </row>
    <row r="586" spans="1:6" x14ac:dyDescent="0.25">
      <c r="B586" s="96"/>
      <c r="C586" s="91" t="s">
        <v>1866</v>
      </c>
      <c r="D586" s="92"/>
      <c r="E586" s="91" t="s">
        <v>5413</v>
      </c>
      <c r="F586" s="92"/>
    </row>
    <row r="587" spans="1:6" x14ac:dyDescent="0.25">
      <c r="B587" s="97"/>
      <c r="C587" s="71" t="s">
        <v>6824</v>
      </c>
      <c r="D587" s="71" t="s">
        <v>6825</v>
      </c>
      <c r="E587" s="71" t="s">
        <v>6824</v>
      </c>
      <c r="F587" s="71" t="s">
        <v>6825</v>
      </c>
    </row>
    <row r="588" spans="1:6" x14ac:dyDescent="0.25">
      <c r="B588" s="72"/>
      <c r="C588" s="71"/>
      <c r="D588" s="73"/>
      <c r="E588" s="71"/>
      <c r="F588" s="73"/>
    </row>
    <row r="590" spans="1:6" x14ac:dyDescent="0.25">
      <c r="B590" s="40" t="s">
        <v>7027</v>
      </c>
      <c r="C590" s="40"/>
      <c r="D590" s="40"/>
    </row>
    <row r="591" spans="1:6" x14ac:dyDescent="0.25">
      <c r="B591" s="40" t="s">
        <v>6810</v>
      </c>
      <c r="C591" s="40"/>
      <c r="D591" s="40"/>
    </row>
    <row r="592" spans="1:6" x14ac:dyDescent="0.25">
      <c r="B592" s="40" t="s">
        <v>6811</v>
      </c>
      <c r="C592" s="40"/>
      <c r="D592" s="40"/>
    </row>
    <row r="593" spans="1:70" x14ac:dyDescent="0.25">
      <c r="B593" s="42" t="s">
        <v>6812</v>
      </c>
      <c r="C593" s="40"/>
      <c r="D593" s="40"/>
    </row>
    <row r="594" spans="1:70" x14ac:dyDescent="0.25">
      <c r="B594" s="42" t="s">
        <v>6813</v>
      </c>
      <c r="C594" s="40"/>
      <c r="D594" s="40"/>
    </row>
    <row r="595" spans="1:70" x14ac:dyDescent="0.25">
      <c r="B595" s="42" t="s">
        <v>6814</v>
      </c>
      <c r="C595" s="40"/>
      <c r="D595" s="40"/>
    </row>
    <row r="596" spans="1:70" ht="100" customHeight="1" x14ac:dyDescent="0.25">
      <c r="A596" s="41" t="str">
        <f>_xlfn.CONCAT("Sample test results are documented in ",'Sample Tables'!B590," [",'Sample Tables'!B591,", ",'Sample Tables'!B592,", ",'Sample Tables'!B593,", ",'Sample Tables'!B594,", ",'Sample Tables'!B595,"]."&amp;CHAR(10))</f>
        <v xml:space="preserve">Sample test results are documented in Test 054: Endpoint Device (server) [Population Source/Tool: , Population Date Range: , Population Size: , Sample Methodology: , Sample Size: ].
</v>
      </c>
      <c r="B596" s="95" t="s">
        <v>6815</v>
      </c>
      <c r="C596" s="93" t="s">
        <v>6977</v>
      </c>
      <c r="D596" s="94"/>
      <c r="E596" s="93" t="s">
        <v>6978</v>
      </c>
      <c r="F596" s="94"/>
      <c r="G596" s="93" t="s">
        <v>6977</v>
      </c>
      <c r="H596" s="94"/>
      <c r="I596" s="93" t="s">
        <v>6977</v>
      </c>
      <c r="J596" s="94"/>
      <c r="K596" s="93" t="s">
        <v>6977</v>
      </c>
      <c r="L596" s="94"/>
      <c r="M596" s="93" t="s">
        <v>6977</v>
      </c>
      <c r="N596" s="94"/>
      <c r="O596" s="93" t="s">
        <v>6979</v>
      </c>
      <c r="P596" s="94"/>
      <c r="Q596" s="93" t="s">
        <v>6977</v>
      </c>
      <c r="R596" s="94"/>
      <c r="S596" s="93" t="s">
        <v>6980</v>
      </c>
      <c r="T596" s="94"/>
      <c r="U596" s="93" t="s">
        <v>6977</v>
      </c>
      <c r="V596" s="94"/>
      <c r="W596" s="93" t="s">
        <v>6981</v>
      </c>
      <c r="X596" s="94"/>
      <c r="Y596" s="93" t="s">
        <v>6984</v>
      </c>
      <c r="Z596" s="94"/>
      <c r="AA596" s="93" t="s">
        <v>6985</v>
      </c>
      <c r="AB596" s="94"/>
      <c r="AC596" s="93" t="s">
        <v>6985</v>
      </c>
      <c r="AD596" s="94"/>
      <c r="AE596" s="93" t="s">
        <v>6986</v>
      </c>
      <c r="AF596" s="94"/>
      <c r="AG596" s="93" t="s">
        <v>6987</v>
      </c>
      <c r="AH596" s="94"/>
      <c r="AI596" s="93" t="s">
        <v>6987</v>
      </c>
      <c r="AJ596" s="94"/>
      <c r="AK596" s="93" t="s">
        <v>6988</v>
      </c>
      <c r="AL596" s="94"/>
      <c r="AM596" s="93" t="s">
        <v>6989</v>
      </c>
      <c r="AN596" s="94"/>
      <c r="AO596" s="93" t="s">
        <v>6990</v>
      </c>
      <c r="AP596" s="94"/>
      <c r="AQ596" s="93" t="s">
        <v>6991</v>
      </c>
      <c r="AR596" s="94"/>
      <c r="AS596" s="93" t="s">
        <v>6855</v>
      </c>
      <c r="AT596" s="94"/>
      <c r="AU596" s="93" t="s">
        <v>6998</v>
      </c>
      <c r="AV596" s="94"/>
      <c r="AW596" s="93" t="s">
        <v>6999</v>
      </c>
      <c r="AX596" s="94"/>
      <c r="AY596" s="93" t="s">
        <v>7000</v>
      </c>
      <c r="AZ596" s="94"/>
      <c r="BA596" s="93" t="s">
        <v>7001</v>
      </c>
      <c r="BB596" s="94"/>
      <c r="BC596" s="93" t="s">
        <v>7002</v>
      </c>
      <c r="BD596" s="94"/>
      <c r="BE596" s="93" t="s">
        <v>7003</v>
      </c>
      <c r="BF596" s="94"/>
      <c r="BG596" s="93" t="s">
        <v>7016</v>
      </c>
      <c r="BH596" s="94"/>
      <c r="BI596" s="93" t="s">
        <v>7017</v>
      </c>
      <c r="BJ596" s="94"/>
      <c r="BK596" s="93" t="s">
        <v>7018</v>
      </c>
      <c r="BL596" s="94"/>
      <c r="BM596" s="93" t="s">
        <v>7019</v>
      </c>
      <c r="BN596" s="94"/>
      <c r="BO596" s="93" t="s">
        <v>7020</v>
      </c>
      <c r="BP596" s="94"/>
      <c r="BQ596" s="93" t="s">
        <v>7028</v>
      </c>
      <c r="BR596" s="94"/>
    </row>
    <row r="597" spans="1:70" x14ac:dyDescent="0.25">
      <c r="B597" s="96"/>
      <c r="C597" s="91" t="s">
        <v>674</v>
      </c>
      <c r="D597" s="92"/>
      <c r="E597" s="91" t="s">
        <v>676</v>
      </c>
      <c r="F597" s="92"/>
      <c r="G597" s="91" t="s">
        <v>679</v>
      </c>
      <c r="H597" s="92"/>
      <c r="I597" s="91" t="s">
        <v>680</v>
      </c>
      <c r="J597" s="92"/>
      <c r="K597" s="91" t="s">
        <v>659</v>
      </c>
      <c r="L597" s="92"/>
      <c r="M597" s="91" t="s">
        <v>682</v>
      </c>
      <c r="N597" s="92"/>
      <c r="O597" s="91" t="s">
        <v>682</v>
      </c>
      <c r="P597" s="92"/>
      <c r="Q597" s="91" t="s">
        <v>707</v>
      </c>
      <c r="R597" s="92"/>
      <c r="S597" s="91" t="s">
        <v>730</v>
      </c>
      <c r="T597" s="92"/>
      <c r="U597" s="91" t="s">
        <v>732</v>
      </c>
      <c r="V597" s="92"/>
      <c r="W597" s="91" t="s">
        <v>742</v>
      </c>
      <c r="X597" s="92"/>
      <c r="Y597" s="91" t="s">
        <v>1159</v>
      </c>
      <c r="Z597" s="92"/>
      <c r="AA597" s="91" t="s">
        <v>1159</v>
      </c>
      <c r="AB597" s="92"/>
      <c r="AC597" s="91" t="s">
        <v>1203</v>
      </c>
      <c r="AD597" s="92"/>
      <c r="AE597" s="91" t="s">
        <v>1203</v>
      </c>
      <c r="AF597" s="92"/>
      <c r="AG597" s="91" t="s">
        <v>1234</v>
      </c>
      <c r="AH597" s="92"/>
      <c r="AI597" s="91" t="s">
        <v>1240</v>
      </c>
      <c r="AJ597" s="92"/>
      <c r="AK597" s="91" t="s">
        <v>1255</v>
      </c>
      <c r="AL597" s="92"/>
      <c r="AM597" s="91" t="s">
        <v>1377</v>
      </c>
      <c r="AN597" s="92"/>
      <c r="AO597" s="91" t="s">
        <v>1562</v>
      </c>
      <c r="AP597" s="92"/>
      <c r="AQ597" s="91" t="s">
        <v>1562</v>
      </c>
      <c r="AR597" s="92"/>
      <c r="AS597" s="91" t="s">
        <v>2379</v>
      </c>
      <c r="AT597" s="92"/>
      <c r="AU597" s="91" t="s">
        <v>2379</v>
      </c>
      <c r="AV597" s="92"/>
      <c r="AW597" s="91" t="s">
        <v>2758</v>
      </c>
      <c r="AX597" s="92"/>
      <c r="AY597" s="91" t="s">
        <v>2758</v>
      </c>
      <c r="AZ597" s="92"/>
      <c r="BA597" s="91" t="s">
        <v>2766</v>
      </c>
      <c r="BB597" s="92"/>
      <c r="BC597" s="91" t="s">
        <v>2766</v>
      </c>
      <c r="BD597" s="92"/>
      <c r="BE597" s="91" t="s">
        <v>2766</v>
      </c>
      <c r="BF597" s="92"/>
      <c r="BG597" s="91" t="s">
        <v>3002</v>
      </c>
      <c r="BH597" s="92"/>
      <c r="BI597" s="91" t="s">
        <v>3002</v>
      </c>
      <c r="BJ597" s="92"/>
      <c r="BK597" s="91" t="s">
        <v>3002</v>
      </c>
      <c r="BL597" s="92"/>
      <c r="BM597" s="91" t="s">
        <v>3002</v>
      </c>
      <c r="BN597" s="92"/>
      <c r="BO597" s="91" t="s">
        <v>3002</v>
      </c>
      <c r="BP597" s="92"/>
      <c r="BQ597" s="91" t="s">
        <v>3597</v>
      </c>
      <c r="BR597" s="92"/>
    </row>
    <row r="598" spans="1:70" x14ac:dyDescent="0.25">
      <c r="B598" s="97"/>
      <c r="C598" s="71" t="s">
        <v>6824</v>
      </c>
      <c r="D598" s="71" t="s">
        <v>6825</v>
      </c>
      <c r="E598" s="71" t="s">
        <v>6824</v>
      </c>
      <c r="F598" s="71" t="s">
        <v>6825</v>
      </c>
      <c r="G598" s="71" t="s">
        <v>6824</v>
      </c>
      <c r="H598" s="71" t="s">
        <v>6825</v>
      </c>
      <c r="I598" s="71" t="s">
        <v>6824</v>
      </c>
      <c r="J598" s="71" t="s">
        <v>6825</v>
      </c>
      <c r="K598" s="71" t="s">
        <v>6824</v>
      </c>
      <c r="L598" s="71" t="s">
        <v>6825</v>
      </c>
      <c r="M598" s="71" t="s">
        <v>6824</v>
      </c>
      <c r="N598" s="71" t="s">
        <v>6825</v>
      </c>
      <c r="O598" s="71" t="s">
        <v>6824</v>
      </c>
      <c r="P598" s="71" t="s">
        <v>6825</v>
      </c>
      <c r="Q598" s="71" t="s">
        <v>6824</v>
      </c>
      <c r="R598" s="71" t="s">
        <v>6825</v>
      </c>
      <c r="S598" s="71" t="s">
        <v>6824</v>
      </c>
      <c r="T598" s="71" t="s">
        <v>6825</v>
      </c>
      <c r="U598" s="71" t="s">
        <v>6824</v>
      </c>
      <c r="V598" s="71" t="s">
        <v>6825</v>
      </c>
      <c r="W598" s="71" t="s">
        <v>6824</v>
      </c>
      <c r="X598" s="71" t="s">
        <v>6825</v>
      </c>
      <c r="Y598" s="71" t="s">
        <v>6824</v>
      </c>
      <c r="Z598" s="71" t="s">
        <v>6825</v>
      </c>
      <c r="AA598" s="71" t="s">
        <v>6824</v>
      </c>
      <c r="AB598" s="71" t="s">
        <v>6825</v>
      </c>
      <c r="AC598" s="71" t="s">
        <v>6824</v>
      </c>
      <c r="AD598" s="71" t="s">
        <v>6825</v>
      </c>
      <c r="AE598" s="71" t="s">
        <v>6824</v>
      </c>
      <c r="AF598" s="71" t="s">
        <v>6825</v>
      </c>
      <c r="AG598" s="71" t="s">
        <v>6824</v>
      </c>
      <c r="AH598" s="71" t="s">
        <v>6825</v>
      </c>
      <c r="AI598" s="71" t="s">
        <v>6824</v>
      </c>
      <c r="AJ598" s="71" t="s">
        <v>6825</v>
      </c>
      <c r="AK598" s="71" t="s">
        <v>6824</v>
      </c>
      <c r="AL598" s="71" t="s">
        <v>6825</v>
      </c>
      <c r="AM598" s="71" t="s">
        <v>6824</v>
      </c>
      <c r="AN598" s="71" t="s">
        <v>6825</v>
      </c>
      <c r="AO598" s="71" t="s">
        <v>6824</v>
      </c>
      <c r="AP598" s="71" t="s">
        <v>6825</v>
      </c>
      <c r="AQ598" s="71" t="s">
        <v>6824</v>
      </c>
      <c r="AR598" s="71" t="s">
        <v>6825</v>
      </c>
      <c r="AS598" s="71" t="s">
        <v>6824</v>
      </c>
      <c r="AT598" s="71" t="s">
        <v>6825</v>
      </c>
      <c r="AU598" s="71" t="s">
        <v>6824</v>
      </c>
      <c r="AV598" s="71" t="s">
        <v>6825</v>
      </c>
      <c r="AW598" s="71" t="s">
        <v>6824</v>
      </c>
      <c r="AX598" s="71" t="s">
        <v>6825</v>
      </c>
      <c r="AY598" s="71" t="s">
        <v>6824</v>
      </c>
      <c r="AZ598" s="71" t="s">
        <v>6825</v>
      </c>
      <c r="BA598" s="71" t="s">
        <v>6824</v>
      </c>
      <c r="BB598" s="71" t="s">
        <v>6825</v>
      </c>
      <c r="BC598" s="71" t="s">
        <v>6824</v>
      </c>
      <c r="BD598" s="71" t="s">
        <v>6825</v>
      </c>
      <c r="BE598" s="71" t="s">
        <v>6824</v>
      </c>
      <c r="BF598" s="71" t="s">
        <v>6825</v>
      </c>
      <c r="BG598" s="71" t="s">
        <v>6824</v>
      </c>
      <c r="BH598" s="71" t="s">
        <v>6825</v>
      </c>
      <c r="BI598" s="71" t="s">
        <v>6824</v>
      </c>
      <c r="BJ598" s="71" t="s">
        <v>6825</v>
      </c>
      <c r="BK598" s="71" t="s">
        <v>6824</v>
      </c>
      <c r="BL598" s="71" t="s">
        <v>6825</v>
      </c>
      <c r="BM598" s="71" t="s">
        <v>6824</v>
      </c>
      <c r="BN598" s="71" t="s">
        <v>6825</v>
      </c>
      <c r="BO598" s="71" t="s">
        <v>6824</v>
      </c>
      <c r="BP598" s="71" t="s">
        <v>6825</v>
      </c>
      <c r="BQ598" s="71" t="s">
        <v>6824</v>
      </c>
      <c r="BR598" s="71" t="s">
        <v>6825</v>
      </c>
    </row>
    <row r="599" spans="1:70" x14ac:dyDescent="0.25">
      <c r="B599" s="72"/>
      <c r="C599" s="71"/>
      <c r="D599" s="73"/>
      <c r="E599" s="71"/>
      <c r="F599" s="73"/>
      <c r="G599" s="71"/>
      <c r="H599" s="73"/>
      <c r="I599" s="71"/>
      <c r="J599" s="73"/>
      <c r="K599" s="71"/>
      <c r="L599" s="73"/>
      <c r="M599" s="71"/>
      <c r="N599" s="73"/>
      <c r="O599" s="71"/>
      <c r="P599" s="73"/>
      <c r="Q599" s="71"/>
      <c r="R599" s="73"/>
      <c r="S599" s="71"/>
      <c r="T599" s="73"/>
      <c r="U599" s="71"/>
      <c r="V599" s="73"/>
      <c r="W599" s="71"/>
      <c r="X599" s="73"/>
      <c r="Y599" s="71"/>
      <c r="Z599" s="73"/>
      <c r="AA599" s="71"/>
      <c r="AB599" s="73"/>
      <c r="AC599" s="71"/>
      <c r="AD599" s="73"/>
      <c r="AE599" s="71"/>
      <c r="AF599" s="73"/>
      <c r="AG599" s="71"/>
      <c r="AH599" s="73"/>
      <c r="AI599" s="71"/>
      <c r="AJ599" s="73"/>
      <c r="AK599" s="71"/>
      <c r="AL599" s="73"/>
      <c r="AM599" s="71"/>
      <c r="AN599" s="73"/>
      <c r="AO599" s="71"/>
      <c r="AP599" s="73"/>
      <c r="AQ599" s="71"/>
      <c r="AR599" s="73"/>
      <c r="AS599" s="71"/>
      <c r="AT599" s="73"/>
      <c r="AU599" s="71"/>
      <c r="AV599" s="73"/>
      <c r="AW599" s="71"/>
      <c r="AX599" s="73"/>
      <c r="AY599" s="71"/>
      <c r="AZ599" s="73"/>
      <c r="BA599" s="71"/>
      <c r="BB599" s="73"/>
      <c r="BC599" s="71"/>
      <c r="BD599" s="73"/>
      <c r="BE599" s="71"/>
      <c r="BF599" s="73"/>
      <c r="BG599" s="71"/>
      <c r="BH599" s="73"/>
      <c r="BI599" s="71"/>
      <c r="BJ599" s="73"/>
      <c r="BK599" s="71"/>
      <c r="BL599" s="73"/>
      <c r="BM599" s="71"/>
      <c r="BN599" s="73"/>
      <c r="BO599" s="71"/>
      <c r="BP599" s="73"/>
      <c r="BQ599" s="71"/>
      <c r="BR599" s="73"/>
    </row>
    <row r="601" spans="1:70" x14ac:dyDescent="0.25">
      <c r="B601" s="40" t="s">
        <v>7029</v>
      </c>
      <c r="C601" s="40"/>
      <c r="D601" s="40"/>
    </row>
    <row r="602" spans="1:70" x14ac:dyDescent="0.25">
      <c r="B602" s="40" t="s">
        <v>6810</v>
      </c>
      <c r="C602" s="40"/>
      <c r="D602" s="40"/>
    </row>
    <row r="603" spans="1:70" x14ac:dyDescent="0.25">
      <c r="B603" s="40" t="s">
        <v>6811</v>
      </c>
      <c r="C603" s="40"/>
      <c r="D603" s="40"/>
    </row>
    <row r="604" spans="1:70" x14ac:dyDescent="0.25">
      <c r="B604" s="42" t="s">
        <v>6812</v>
      </c>
      <c r="C604" s="40"/>
      <c r="D604" s="40"/>
    </row>
    <row r="605" spans="1:70" x14ac:dyDescent="0.25">
      <c r="B605" s="42" t="s">
        <v>6813</v>
      </c>
      <c r="C605" s="40"/>
      <c r="D605" s="40"/>
    </row>
    <row r="606" spans="1:70" x14ac:dyDescent="0.25">
      <c r="B606" s="42" t="s">
        <v>6814</v>
      </c>
      <c r="C606" s="40"/>
      <c r="D606" s="40"/>
    </row>
    <row r="607" spans="1:70" x14ac:dyDescent="0.25">
      <c r="A607" s="41" t="str">
        <f>_xlfn.CONCAT("Sample test results are documented in ",'Sample Tables'!B601," [",'Sample Tables'!B602,", ",'Sample Tables'!B603,", ",'Sample Tables'!B604,", ",'Sample Tables'!B605,", ",'Sample Tables'!B606,"]."&amp;CHAR(10))</f>
        <v xml:space="preserve">Sample test results are documented in Test 055: Endpoint Device (stores sensitive information) [Population Source/Tool: , Population Date Range: , Population Size: , Sample Methodology: , Sample Size: ].
</v>
      </c>
      <c r="B607" s="95" t="s">
        <v>6815</v>
      </c>
      <c r="C607" s="93"/>
      <c r="D607" s="94"/>
    </row>
    <row r="608" spans="1:70" x14ac:dyDescent="0.25">
      <c r="B608" s="96"/>
      <c r="C608" s="91"/>
      <c r="D608" s="92"/>
    </row>
    <row r="609" spans="1:6" x14ac:dyDescent="0.25">
      <c r="B609" s="97"/>
      <c r="C609" s="71" t="s">
        <v>6824</v>
      </c>
      <c r="D609" s="71" t="s">
        <v>6825</v>
      </c>
    </row>
    <row r="610" spans="1:6" x14ac:dyDescent="0.25">
      <c r="B610" s="72"/>
      <c r="C610" s="71"/>
      <c r="D610" s="73"/>
    </row>
    <row r="612" spans="1:6" x14ac:dyDescent="0.25">
      <c r="B612" s="40" t="s">
        <v>7030</v>
      </c>
      <c r="C612" s="40"/>
      <c r="D612" s="40"/>
    </row>
    <row r="613" spans="1:6" x14ac:dyDescent="0.25">
      <c r="B613" s="40" t="s">
        <v>6810</v>
      </c>
      <c r="C613" s="40"/>
      <c r="D613" s="40"/>
    </row>
    <row r="614" spans="1:6" x14ac:dyDescent="0.25">
      <c r="B614" s="40" t="s">
        <v>6811</v>
      </c>
      <c r="C614" s="40"/>
      <c r="D614" s="40"/>
    </row>
    <row r="615" spans="1:6" x14ac:dyDescent="0.25">
      <c r="B615" s="42" t="s">
        <v>6812</v>
      </c>
      <c r="C615" s="40"/>
      <c r="D615" s="40"/>
    </row>
    <row r="616" spans="1:6" x14ac:dyDescent="0.25">
      <c r="B616" s="42" t="s">
        <v>6813</v>
      </c>
      <c r="C616" s="40"/>
      <c r="D616" s="40"/>
    </row>
    <row r="617" spans="1:6" x14ac:dyDescent="0.25">
      <c r="B617" s="42" t="s">
        <v>6814</v>
      </c>
      <c r="C617" s="40"/>
      <c r="D617" s="40"/>
    </row>
    <row r="618" spans="1:6" ht="100" customHeight="1" x14ac:dyDescent="0.25">
      <c r="A618" s="41" t="str">
        <f>_xlfn.CONCAT("Sample test results are documented in ",'Sample Tables'!B612," [",'Sample Tables'!B613,", ",'Sample Tables'!B614,", ",'Sample Tables'!B615,", ",'Sample Tables'!B616,", ",'Sample Tables'!B617,"]."&amp;CHAR(10))</f>
        <v xml:space="preserve">Sample test results are documented in Test 056: Endpoint Device (virtual) [Population Source/Tool: , Population Date Range: , Population Size: , Sample Methodology: , Sample Size: ].
</v>
      </c>
      <c r="B618" s="95" t="s">
        <v>6815</v>
      </c>
      <c r="C618" s="93" t="s">
        <v>7031</v>
      </c>
      <c r="D618" s="94"/>
      <c r="E618" s="93" t="s">
        <v>7032</v>
      </c>
      <c r="F618" s="94"/>
    </row>
    <row r="619" spans="1:6" x14ac:dyDescent="0.25">
      <c r="B619" s="96"/>
      <c r="C619" s="91" t="s">
        <v>2876</v>
      </c>
      <c r="D619" s="92"/>
      <c r="E619" s="91" t="s">
        <v>2876</v>
      </c>
      <c r="F619" s="92"/>
    </row>
    <row r="620" spans="1:6" x14ac:dyDescent="0.25">
      <c r="B620" s="97"/>
      <c r="C620" s="71" t="s">
        <v>6824</v>
      </c>
      <c r="D620" s="71" t="s">
        <v>6825</v>
      </c>
      <c r="E620" s="71" t="s">
        <v>6824</v>
      </c>
      <c r="F620" s="71" t="s">
        <v>6825</v>
      </c>
    </row>
    <row r="621" spans="1:6" x14ac:dyDescent="0.25">
      <c r="B621" s="72"/>
      <c r="C621" s="71"/>
      <c r="D621" s="73"/>
      <c r="E621" s="71"/>
      <c r="F621" s="73"/>
    </row>
    <row r="623" spans="1:6" x14ac:dyDescent="0.25">
      <c r="B623" s="40" t="s">
        <v>7033</v>
      </c>
      <c r="C623" s="40"/>
      <c r="D623" s="40"/>
    </row>
    <row r="624" spans="1:6" x14ac:dyDescent="0.25">
      <c r="B624" s="40" t="s">
        <v>6810</v>
      </c>
      <c r="C624" s="40"/>
      <c r="D624" s="40"/>
    </row>
    <row r="625" spans="1:68" x14ac:dyDescent="0.25">
      <c r="B625" s="40" t="s">
        <v>6811</v>
      </c>
      <c r="C625" s="40"/>
      <c r="D625" s="40"/>
    </row>
    <row r="626" spans="1:68" x14ac:dyDescent="0.25">
      <c r="B626" s="42" t="s">
        <v>6812</v>
      </c>
      <c r="C626" s="40"/>
      <c r="D626" s="40"/>
    </row>
    <row r="627" spans="1:68" x14ac:dyDescent="0.25">
      <c r="B627" s="42" t="s">
        <v>6813</v>
      </c>
      <c r="C627" s="40"/>
      <c r="D627" s="40"/>
    </row>
    <row r="628" spans="1:68" x14ac:dyDescent="0.25">
      <c r="B628" s="42" t="s">
        <v>6814</v>
      </c>
      <c r="C628" s="40"/>
      <c r="D628" s="40"/>
    </row>
    <row r="629" spans="1:68" ht="100" customHeight="1" x14ac:dyDescent="0.25">
      <c r="A629" s="41" t="str">
        <f>_xlfn.CONCAT("Sample test results are documented in ",'Sample Tables'!B623," [",'Sample Tables'!B624,", ",'Sample Tables'!B625,", ",'Sample Tables'!B626,", ",'Sample Tables'!B627,", ",'Sample Tables'!B628,"]."&amp;CHAR(10))</f>
        <v xml:space="preserve">Sample test results are documented in Test 057: Endpoint Device (wireless capable) [Population Source/Tool: , Population Date Range: , Population Size: , Sample Methodology: , Sample Size: ].
</v>
      </c>
      <c r="B629" s="95" t="s">
        <v>6815</v>
      </c>
      <c r="C629" s="93" t="s">
        <v>7034</v>
      </c>
      <c r="D629" s="94"/>
      <c r="E629" s="93" t="s">
        <v>7035</v>
      </c>
      <c r="F629" s="94"/>
    </row>
    <row r="630" spans="1:68" x14ac:dyDescent="0.25">
      <c r="B630" s="96"/>
      <c r="C630" s="91" t="s">
        <v>690</v>
      </c>
      <c r="D630" s="92"/>
      <c r="E630" s="91" t="s">
        <v>690</v>
      </c>
      <c r="F630" s="92"/>
    </row>
    <row r="631" spans="1:68" x14ac:dyDescent="0.25">
      <c r="B631" s="97"/>
      <c r="C631" s="71" t="s">
        <v>6824</v>
      </c>
      <c r="D631" s="71" t="s">
        <v>6825</v>
      </c>
      <c r="E631" s="71" t="s">
        <v>6824</v>
      </c>
      <c r="F631" s="71" t="s">
        <v>6825</v>
      </c>
    </row>
    <row r="632" spans="1:68" x14ac:dyDescent="0.25">
      <c r="B632" s="72"/>
      <c r="C632" s="71"/>
      <c r="D632" s="73"/>
      <c r="E632" s="71"/>
      <c r="F632" s="73"/>
    </row>
    <row r="634" spans="1:68" x14ac:dyDescent="0.25">
      <c r="B634" s="40" t="s">
        <v>7036</v>
      </c>
      <c r="C634" s="40"/>
      <c r="D634" s="40"/>
    </row>
    <row r="635" spans="1:68" x14ac:dyDescent="0.25">
      <c r="B635" s="40" t="s">
        <v>6810</v>
      </c>
      <c r="C635" s="40"/>
      <c r="D635" s="40"/>
    </row>
    <row r="636" spans="1:68" x14ac:dyDescent="0.25">
      <c r="B636" s="40" t="s">
        <v>6811</v>
      </c>
      <c r="C636" s="40"/>
      <c r="D636" s="40"/>
    </row>
    <row r="637" spans="1:68" x14ac:dyDescent="0.25">
      <c r="B637" s="42" t="s">
        <v>6812</v>
      </c>
      <c r="C637" s="40"/>
      <c r="D637" s="40"/>
    </row>
    <row r="638" spans="1:68" x14ac:dyDescent="0.25">
      <c r="B638" s="42" t="s">
        <v>6813</v>
      </c>
      <c r="C638" s="40"/>
      <c r="D638" s="40"/>
    </row>
    <row r="639" spans="1:68" x14ac:dyDescent="0.25">
      <c r="B639" s="42" t="s">
        <v>6814</v>
      </c>
      <c r="C639" s="40"/>
      <c r="D639" s="40"/>
    </row>
    <row r="640" spans="1:68" ht="100" customHeight="1" x14ac:dyDescent="0.25">
      <c r="A640" s="41" t="str">
        <f>_xlfn.CONCAT("Sample test results are documented in ",'Sample Tables'!B634," [",'Sample Tables'!B635,", ",'Sample Tables'!B636,", ",'Sample Tables'!B637,", ",'Sample Tables'!B638,", ",'Sample Tables'!B639,"]."&amp;CHAR(10))</f>
        <v xml:space="preserve">Sample test results are documented in Test 058: Endpoint Device (workstation) [Population Source/Tool: , Population Date Range: , Population Size: , Sample Methodology: , Sample Size: ].
</v>
      </c>
      <c r="B640" s="95" t="s">
        <v>6815</v>
      </c>
      <c r="C640" s="93" t="s">
        <v>6977</v>
      </c>
      <c r="D640" s="94"/>
      <c r="E640" s="93" t="s">
        <v>6978</v>
      </c>
      <c r="F640" s="94"/>
      <c r="G640" s="93" t="s">
        <v>6977</v>
      </c>
      <c r="H640" s="94"/>
      <c r="I640" s="93" t="s">
        <v>6977</v>
      </c>
      <c r="J640" s="94"/>
      <c r="K640" s="93" t="s">
        <v>6977</v>
      </c>
      <c r="L640" s="94"/>
      <c r="M640" s="93" t="s">
        <v>6977</v>
      </c>
      <c r="N640" s="94"/>
      <c r="O640" s="93" t="s">
        <v>6979</v>
      </c>
      <c r="P640" s="94"/>
      <c r="Q640" s="93" t="s">
        <v>6977</v>
      </c>
      <c r="R640" s="94"/>
      <c r="S640" s="93" t="s">
        <v>6980</v>
      </c>
      <c r="T640" s="94"/>
      <c r="U640" s="93" t="s">
        <v>6977</v>
      </c>
      <c r="V640" s="94"/>
      <c r="W640" s="93" t="s">
        <v>6981</v>
      </c>
      <c r="X640" s="94"/>
      <c r="Y640" s="93" t="s">
        <v>6984</v>
      </c>
      <c r="Z640" s="94"/>
      <c r="AA640" s="93" t="s">
        <v>6985</v>
      </c>
      <c r="AB640" s="94"/>
      <c r="AC640" s="93" t="s">
        <v>6985</v>
      </c>
      <c r="AD640" s="94"/>
      <c r="AE640" s="93" t="s">
        <v>6986</v>
      </c>
      <c r="AF640" s="94"/>
      <c r="AG640" s="93" t="s">
        <v>6987</v>
      </c>
      <c r="AH640" s="94"/>
      <c r="AI640" s="93" t="s">
        <v>6987</v>
      </c>
      <c r="AJ640" s="94"/>
      <c r="AK640" s="93" t="s">
        <v>6988</v>
      </c>
      <c r="AL640" s="94"/>
      <c r="AM640" s="93" t="s">
        <v>6989</v>
      </c>
      <c r="AN640" s="94"/>
      <c r="AO640" s="93" t="s">
        <v>6990</v>
      </c>
      <c r="AP640" s="94"/>
      <c r="AQ640" s="93" t="s">
        <v>6991</v>
      </c>
      <c r="AR640" s="94"/>
      <c r="AS640" s="93" t="s">
        <v>6855</v>
      </c>
      <c r="AT640" s="94"/>
      <c r="AU640" s="93" t="s">
        <v>6998</v>
      </c>
      <c r="AV640" s="94"/>
      <c r="AW640" s="93" t="s">
        <v>6999</v>
      </c>
      <c r="AX640" s="94"/>
      <c r="AY640" s="93" t="s">
        <v>7000</v>
      </c>
      <c r="AZ640" s="94"/>
      <c r="BA640" s="93" t="s">
        <v>7001</v>
      </c>
      <c r="BB640" s="94"/>
      <c r="BC640" s="93" t="s">
        <v>7002</v>
      </c>
      <c r="BD640" s="94"/>
      <c r="BE640" s="93" t="s">
        <v>7003</v>
      </c>
      <c r="BF640" s="94"/>
      <c r="BG640" s="93" t="s">
        <v>7016</v>
      </c>
      <c r="BH640" s="94"/>
      <c r="BI640" s="93" t="s">
        <v>7017</v>
      </c>
      <c r="BJ640" s="94"/>
      <c r="BK640" s="93" t="s">
        <v>7018</v>
      </c>
      <c r="BL640" s="94"/>
      <c r="BM640" s="93" t="s">
        <v>7019</v>
      </c>
      <c r="BN640" s="94"/>
      <c r="BO640" s="93" t="s">
        <v>7020</v>
      </c>
      <c r="BP640" s="94"/>
    </row>
    <row r="641" spans="1:68" x14ac:dyDescent="0.25">
      <c r="B641" s="96"/>
      <c r="C641" s="91" t="s">
        <v>674</v>
      </c>
      <c r="D641" s="92"/>
      <c r="E641" s="91" t="s">
        <v>676</v>
      </c>
      <c r="F641" s="92"/>
      <c r="G641" s="91" t="s">
        <v>679</v>
      </c>
      <c r="H641" s="92"/>
      <c r="I641" s="91" t="s">
        <v>680</v>
      </c>
      <c r="J641" s="92"/>
      <c r="K641" s="91" t="s">
        <v>659</v>
      </c>
      <c r="L641" s="92"/>
      <c r="M641" s="91" t="s">
        <v>682</v>
      </c>
      <c r="N641" s="92"/>
      <c r="O641" s="91" t="s">
        <v>682</v>
      </c>
      <c r="P641" s="92"/>
      <c r="Q641" s="91" t="s">
        <v>707</v>
      </c>
      <c r="R641" s="92"/>
      <c r="S641" s="91" t="s">
        <v>730</v>
      </c>
      <c r="T641" s="92"/>
      <c r="U641" s="91" t="s">
        <v>732</v>
      </c>
      <c r="V641" s="92"/>
      <c r="W641" s="91" t="s">
        <v>742</v>
      </c>
      <c r="X641" s="92"/>
      <c r="Y641" s="91" t="s">
        <v>1159</v>
      </c>
      <c r="Z641" s="92"/>
      <c r="AA641" s="91" t="s">
        <v>1159</v>
      </c>
      <c r="AB641" s="92"/>
      <c r="AC641" s="91" t="s">
        <v>1203</v>
      </c>
      <c r="AD641" s="92"/>
      <c r="AE641" s="91" t="s">
        <v>1203</v>
      </c>
      <c r="AF641" s="92"/>
      <c r="AG641" s="91" t="s">
        <v>1234</v>
      </c>
      <c r="AH641" s="92"/>
      <c r="AI641" s="91" t="s">
        <v>1240</v>
      </c>
      <c r="AJ641" s="92"/>
      <c r="AK641" s="91" t="s">
        <v>1255</v>
      </c>
      <c r="AL641" s="92"/>
      <c r="AM641" s="91" t="s">
        <v>1377</v>
      </c>
      <c r="AN641" s="92"/>
      <c r="AO641" s="91" t="s">
        <v>1562</v>
      </c>
      <c r="AP641" s="92"/>
      <c r="AQ641" s="91" t="s">
        <v>1562</v>
      </c>
      <c r="AR641" s="92"/>
      <c r="AS641" s="91" t="s">
        <v>2379</v>
      </c>
      <c r="AT641" s="92"/>
      <c r="AU641" s="91" t="s">
        <v>2379</v>
      </c>
      <c r="AV641" s="92"/>
      <c r="AW641" s="91" t="s">
        <v>2758</v>
      </c>
      <c r="AX641" s="92"/>
      <c r="AY641" s="91" t="s">
        <v>2758</v>
      </c>
      <c r="AZ641" s="92"/>
      <c r="BA641" s="91" t="s">
        <v>2766</v>
      </c>
      <c r="BB641" s="92"/>
      <c r="BC641" s="91" t="s">
        <v>2766</v>
      </c>
      <c r="BD641" s="92"/>
      <c r="BE641" s="91" t="s">
        <v>2766</v>
      </c>
      <c r="BF641" s="92"/>
      <c r="BG641" s="91" t="s">
        <v>3002</v>
      </c>
      <c r="BH641" s="92"/>
      <c r="BI641" s="91" t="s">
        <v>3002</v>
      </c>
      <c r="BJ641" s="92"/>
      <c r="BK641" s="91" t="s">
        <v>3002</v>
      </c>
      <c r="BL641" s="92"/>
      <c r="BM641" s="91" t="s">
        <v>3002</v>
      </c>
      <c r="BN641" s="92"/>
      <c r="BO641" s="91" t="s">
        <v>3002</v>
      </c>
      <c r="BP641" s="92"/>
    </row>
    <row r="642" spans="1:68" x14ac:dyDescent="0.25">
      <c r="B642" s="97"/>
      <c r="C642" s="71" t="s">
        <v>6824</v>
      </c>
      <c r="D642" s="71" t="s">
        <v>6825</v>
      </c>
      <c r="E642" s="71" t="s">
        <v>6824</v>
      </c>
      <c r="F642" s="71" t="s">
        <v>6825</v>
      </c>
      <c r="G642" s="71" t="s">
        <v>6824</v>
      </c>
      <c r="H642" s="71" t="s">
        <v>6825</v>
      </c>
      <c r="I642" s="71" t="s">
        <v>6824</v>
      </c>
      <c r="J642" s="71" t="s">
        <v>6825</v>
      </c>
      <c r="K642" s="71" t="s">
        <v>6824</v>
      </c>
      <c r="L642" s="71" t="s">
        <v>6825</v>
      </c>
      <c r="M642" s="71" t="s">
        <v>6824</v>
      </c>
      <c r="N642" s="71" t="s">
        <v>6825</v>
      </c>
      <c r="O642" s="71" t="s">
        <v>6824</v>
      </c>
      <c r="P642" s="71" t="s">
        <v>6825</v>
      </c>
      <c r="Q642" s="71" t="s">
        <v>6824</v>
      </c>
      <c r="R642" s="71" t="s">
        <v>6825</v>
      </c>
      <c r="S642" s="71" t="s">
        <v>6824</v>
      </c>
      <c r="T642" s="71" t="s">
        <v>6825</v>
      </c>
      <c r="U642" s="71" t="s">
        <v>6824</v>
      </c>
      <c r="V642" s="71" t="s">
        <v>6825</v>
      </c>
      <c r="W642" s="71" t="s">
        <v>6824</v>
      </c>
      <c r="X642" s="71" t="s">
        <v>6825</v>
      </c>
      <c r="Y642" s="71" t="s">
        <v>6824</v>
      </c>
      <c r="Z642" s="71" t="s">
        <v>6825</v>
      </c>
      <c r="AA642" s="71" t="s">
        <v>6824</v>
      </c>
      <c r="AB642" s="71" t="s">
        <v>6825</v>
      </c>
      <c r="AC642" s="71" t="s">
        <v>6824</v>
      </c>
      <c r="AD642" s="71" t="s">
        <v>6825</v>
      </c>
      <c r="AE642" s="71" t="s">
        <v>6824</v>
      </c>
      <c r="AF642" s="71" t="s">
        <v>6825</v>
      </c>
      <c r="AG642" s="71" t="s">
        <v>6824</v>
      </c>
      <c r="AH642" s="71" t="s">
        <v>6825</v>
      </c>
      <c r="AI642" s="71" t="s">
        <v>6824</v>
      </c>
      <c r="AJ642" s="71" t="s">
        <v>6825</v>
      </c>
      <c r="AK642" s="71" t="s">
        <v>6824</v>
      </c>
      <c r="AL642" s="71" t="s">
        <v>6825</v>
      </c>
      <c r="AM642" s="71" t="s">
        <v>6824</v>
      </c>
      <c r="AN642" s="71" t="s">
        <v>6825</v>
      </c>
      <c r="AO642" s="71" t="s">
        <v>6824</v>
      </c>
      <c r="AP642" s="71" t="s">
        <v>6825</v>
      </c>
      <c r="AQ642" s="71" t="s">
        <v>6824</v>
      </c>
      <c r="AR642" s="71" t="s">
        <v>6825</v>
      </c>
      <c r="AS642" s="71" t="s">
        <v>6824</v>
      </c>
      <c r="AT642" s="71" t="s">
        <v>6825</v>
      </c>
      <c r="AU642" s="71" t="s">
        <v>6824</v>
      </c>
      <c r="AV642" s="71" t="s">
        <v>6825</v>
      </c>
      <c r="AW642" s="71" t="s">
        <v>6824</v>
      </c>
      <c r="AX642" s="71" t="s">
        <v>6825</v>
      </c>
      <c r="AY642" s="71" t="s">
        <v>6824</v>
      </c>
      <c r="AZ642" s="71" t="s">
        <v>6825</v>
      </c>
      <c r="BA642" s="71" t="s">
        <v>6824</v>
      </c>
      <c r="BB642" s="71" t="s">
        <v>6825</v>
      </c>
      <c r="BC642" s="71" t="s">
        <v>6824</v>
      </c>
      <c r="BD642" s="71" t="s">
        <v>6825</v>
      </c>
      <c r="BE642" s="71" t="s">
        <v>6824</v>
      </c>
      <c r="BF642" s="71" t="s">
        <v>6825</v>
      </c>
      <c r="BG642" s="71" t="s">
        <v>6824</v>
      </c>
      <c r="BH642" s="71" t="s">
        <v>6825</v>
      </c>
      <c r="BI642" s="71" t="s">
        <v>6824</v>
      </c>
      <c r="BJ642" s="71" t="s">
        <v>6825</v>
      </c>
      <c r="BK642" s="71" t="s">
        <v>6824</v>
      </c>
      <c r="BL642" s="71" t="s">
        <v>6825</v>
      </c>
      <c r="BM642" s="71" t="s">
        <v>6824</v>
      </c>
      <c r="BN642" s="71" t="s">
        <v>6825</v>
      </c>
      <c r="BO642" s="71" t="s">
        <v>6824</v>
      </c>
      <c r="BP642" s="71" t="s">
        <v>6825</v>
      </c>
    </row>
    <row r="643" spans="1:68" x14ac:dyDescent="0.25">
      <c r="B643" s="72"/>
      <c r="C643" s="71"/>
      <c r="D643" s="73"/>
      <c r="E643" s="71"/>
      <c r="F643" s="73"/>
      <c r="G643" s="71"/>
      <c r="H643" s="73"/>
      <c r="I643" s="71"/>
      <c r="J643" s="73"/>
      <c r="K643" s="71"/>
      <c r="L643" s="73"/>
      <c r="M643" s="71"/>
      <c r="N643" s="73"/>
      <c r="O643" s="71"/>
      <c r="P643" s="73"/>
      <c r="Q643" s="71"/>
      <c r="R643" s="73"/>
      <c r="S643" s="71"/>
      <c r="T643" s="73"/>
      <c r="U643" s="71"/>
      <c r="V643" s="73"/>
      <c r="W643" s="71"/>
      <c r="X643" s="73"/>
      <c r="Y643" s="71"/>
      <c r="Z643" s="73"/>
      <c r="AA643" s="71"/>
      <c r="AB643" s="73"/>
      <c r="AC643" s="71"/>
      <c r="AD643" s="73"/>
      <c r="AE643" s="71"/>
      <c r="AF643" s="73"/>
      <c r="AG643" s="71"/>
      <c r="AH643" s="73"/>
      <c r="AI643" s="71"/>
      <c r="AJ643" s="73"/>
      <c r="AK643" s="71"/>
      <c r="AL643" s="73"/>
      <c r="AM643" s="71"/>
      <c r="AN643" s="73"/>
      <c r="AO643" s="71"/>
      <c r="AP643" s="73"/>
      <c r="AQ643" s="71"/>
      <c r="AR643" s="73"/>
      <c r="AS643" s="71"/>
      <c r="AT643" s="73"/>
      <c r="AU643" s="71"/>
      <c r="AV643" s="73"/>
      <c r="AW643" s="71"/>
      <c r="AX643" s="73"/>
      <c r="AY643" s="71"/>
      <c r="AZ643" s="73"/>
      <c r="BA643" s="71"/>
      <c r="BB643" s="73"/>
      <c r="BC643" s="71"/>
      <c r="BD643" s="73"/>
      <c r="BE643" s="71"/>
      <c r="BF643" s="73"/>
      <c r="BG643" s="71"/>
      <c r="BH643" s="73"/>
      <c r="BI643" s="71"/>
      <c r="BJ643" s="73"/>
      <c r="BK643" s="71"/>
      <c r="BL643" s="73"/>
      <c r="BM643" s="71"/>
      <c r="BN643" s="73"/>
      <c r="BO643" s="71"/>
      <c r="BP643" s="73"/>
    </row>
    <row r="645" spans="1:68" x14ac:dyDescent="0.25">
      <c r="B645" s="40" t="s">
        <v>7037</v>
      </c>
      <c r="C645" s="40"/>
      <c r="D645" s="40"/>
    </row>
    <row r="646" spans="1:68" x14ac:dyDescent="0.25">
      <c r="B646" s="40" t="s">
        <v>6810</v>
      </c>
      <c r="C646" s="40"/>
      <c r="D646" s="40"/>
    </row>
    <row r="647" spans="1:68" x14ac:dyDescent="0.25">
      <c r="B647" s="40" t="s">
        <v>6811</v>
      </c>
      <c r="C647" s="40"/>
      <c r="D647" s="40"/>
    </row>
    <row r="648" spans="1:68" x14ac:dyDescent="0.25">
      <c r="B648" s="42" t="s">
        <v>6812</v>
      </c>
      <c r="C648" s="40"/>
      <c r="D648" s="40"/>
    </row>
    <row r="649" spans="1:68" x14ac:dyDescent="0.25">
      <c r="B649" s="42" t="s">
        <v>6813</v>
      </c>
      <c r="C649" s="40"/>
      <c r="D649" s="40"/>
    </row>
    <row r="650" spans="1:68" x14ac:dyDescent="0.25">
      <c r="B650" s="42" t="s">
        <v>6814</v>
      </c>
      <c r="C650" s="40"/>
      <c r="D650" s="40"/>
    </row>
    <row r="651" spans="1:68" ht="100" customHeight="1" x14ac:dyDescent="0.25">
      <c r="A651" s="41" t="str">
        <f>_xlfn.CONCAT("Sample test results are documented in ",'Sample Tables'!B645," [",'Sample Tables'!B646,", ",'Sample Tables'!B647,", ",'Sample Tables'!B648,", ",'Sample Tables'!B649,", ",'Sample Tables'!B650,"]."&amp;CHAR(10))</f>
        <v xml:space="preserve">Sample test results are documented in Test 059: External Entity (cloud/network service provider) [Population Source/Tool: , Population Date Range: , Population Size: , Sample Methodology: , Sample Size: ].
</v>
      </c>
      <c r="B651" s="95" t="s">
        <v>6815</v>
      </c>
      <c r="C651" s="93" t="s">
        <v>7038</v>
      </c>
      <c r="D651" s="94"/>
      <c r="E651" s="93" t="s">
        <v>7039</v>
      </c>
      <c r="F651" s="94"/>
      <c r="G651" s="93" t="s">
        <v>7040</v>
      </c>
      <c r="H651" s="94"/>
      <c r="I651" s="93" t="s">
        <v>7041</v>
      </c>
      <c r="J651" s="94"/>
      <c r="K651" s="93" t="s">
        <v>7038</v>
      </c>
      <c r="L651" s="94"/>
      <c r="M651" s="93" t="s">
        <v>7042</v>
      </c>
      <c r="N651" s="94"/>
    </row>
    <row r="652" spans="1:68" x14ac:dyDescent="0.25">
      <c r="B652" s="96"/>
      <c r="C652" s="91" t="s">
        <v>1934</v>
      </c>
      <c r="D652" s="92"/>
      <c r="E652" s="91" t="s">
        <v>1934</v>
      </c>
      <c r="F652" s="92"/>
      <c r="G652" s="91" t="s">
        <v>1934</v>
      </c>
      <c r="H652" s="92"/>
      <c r="I652" s="91" t="s">
        <v>2002</v>
      </c>
      <c r="J652" s="92"/>
      <c r="K652" s="91" t="s">
        <v>3894</v>
      </c>
      <c r="L652" s="92"/>
      <c r="M652" s="91" t="s">
        <v>3894</v>
      </c>
      <c r="N652" s="92"/>
    </row>
    <row r="653" spans="1:68" x14ac:dyDescent="0.25">
      <c r="B653" s="97"/>
      <c r="C653" s="71" t="s">
        <v>6824</v>
      </c>
      <c r="D653" s="71" t="s">
        <v>6825</v>
      </c>
      <c r="E653" s="71" t="s">
        <v>6824</v>
      </c>
      <c r="F653" s="71" t="s">
        <v>6825</v>
      </c>
      <c r="G653" s="71" t="s">
        <v>6824</v>
      </c>
      <c r="H653" s="71" t="s">
        <v>6825</v>
      </c>
      <c r="I653" s="71" t="s">
        <v>6824</v>
      </c>
      <c r="J653" s="71" t="s">
        <v>6825</v>
      </c>
      <c r="K653" s="71" t="s">
        <v>6824</v>
      </c>
      <c r="L653" s="71" t="s">
        <v>6825</v>
      </c>
      <c r="M653" s="71" t="s">
        <v>6824</v>
      </c>
      <c r="N653" s="71" t="s">
        <v>6825</v>
      </c>
    </row>
    <row r="654" spans="1:68" x14ac:dyDescent="0.25">
      <c r="B654" s="72"/>
      <c r="C654" s="71"/>
      <c r="D654" s="73"/>
      <c r="E654" s="71"/>
      <c r="F654" s="73"/>
      <c r="G654" s="71"/>
      <c r="H654" s="73"/>
      <c r="I654" s="71"/>
      <c r="J654" s="73"/>
      <c r="K654" s="71"/>
      <c r="L654" s="73"/>
      <c r="M654" s="71"/>
      <c r="N654" s="73"/>
    </row>
    <row r="656" spans="1:68" x14ac:dyDescent="0.25">
      <c r="B656" s="40" t="s">
        <v>7043</v>
      </c>
      <c r="C656" s="40"/>
      <c r="D656" s="40"/>
    </row>
    <row r="657" spans="1:4" x14ac:dyDescent="0.25">
      <c r="B657" s="40" t="s">
        <v>6810</v>
      </c>
      <c r="C657" s="40"/>
      <c r="D657" s="40"/>
    </row>
    <row r="658" spans="1:4" x14ac:dyDescent="0.25">
      <c r="B658" s="40" t="s">
        <v>6811</v>
      </c>
      <c r="C658" s="40"/>
      <c r="D658" s="40"/>
    </row>
    <row r="659" spans="1:4" x14ac:dyDescent="0.25">
      <c r="B659" s="42" t="s">
        <v>6812</v>
      </c>
      <c r="C659" s="40"/>
      <c r="D659" s="40"/>
    </row>
    <row r="660" spans="1:4" x14ac:dyDescent="0.25">
      <c r="B660" s="42" t="s">
        <v>6813</v>
      </c>
      <c r="C660" s="40"/>
      <c r="D660" s="40"/>
    </row>
    <row r="661" spans="1:4" x14ac:dyDescent="0.25">
      <c r="B661" s="42" t="s">
        <v>6814</v>
      </c>
      <c r="C661" s="40"/>
      <c r="D661" s="40"/>
    </row>
    <row r="662" spans="1:4" x14ac:dyDescent="0.25">
      <c r="A662" s="41" t="str">
        <f>_xlfn.CONCAT("Sample test results are documented in ",'Sample Tables'!B656," [",'Sample Tables'!B657,", ",'Sample Tables'!B658,", ",'Sample Tables'!B659,", ",'Sample Tables'!B660,", ",'Sample Tables'!B661,"]."&amp;CHAR(10))</f>
        <v xml:space="preserve">Sample test results are documented in Test 060: External Entity (Computer Matching Agreement) [Population Source/Tool: , Population Date Range: , Population Size: , Sample Methodology: , Sample Size: ].
</v>
      </c>
      <c r="B662" s="95" t="s">
        <v>6815</v>
      </c>
      <c r="C662" s="93"/>
      <c r="D662" s="94"/>
    </row>
    <row r="663" spans="1:4" x14ac:dyDescent="0.25">
      <c r="B663" s="96"/>
      <c r="C663" s="91"/>
      <c r="D663" s="92"/>
    </row>
    <row r="664" spans="1:4" x14ac:dyDescent="0.25">
      <c r="B664" s="97"/>
      <c r="C664" s="71" t="s">
        <v>6824</v>
      </c>
      <c r="D664" s="71" t="s">
        <v>6825</v>
      </c>
    </row>
    <row r="665" spans="1:4" x14ac:dyDescent="0.25">
      <c r="B665" s="72"/>
      <c r="C665" s="71"/>
      <c r="D665" s="73"/>
    </row>
    <row r="667" spans="1:4" x14ac:dyDescent="0.25">
      <c r="B667" s="40" t="s">
        <v>7044</v>
      </c>
      <c r="C667" s="40"/>
      <c r="D667" s="40"/>
    </row>
    <row r="668" spans="1:4" x14ac:dyDescent="0.25">
      <c r="B668" s="40" t="s">
        <v>6810</v>
      </c>
      <c r="C668" s="40"/>
      <c r="D668" s="40"/>
    </row>
    <row r="669" spans="1:4" x14ac:dyDescent="0.25">
      <c r="B669" s="40" t="s">
        <v>6811</v>
      </c>
      <c r="C669" s="40"/>
      <c r="D669" s="40"/>
    </row>
    <row r="670" spans="1:4" x14ac:dyDescent="0.25">
      <c r="B670" s="42" t="s">
        <v>6812</v>
      </c>
      <c r="C670" s="40"/>
      <c r="D670" s="40"/>
    </row>
    <row r="671" spans="1:4" x14ac:dyDescent="0.25">
      <c r="B671" s="42" t="s">
        <v>6813</v>
      </c>
      <c r="C671" s="40"/>
      <c r="D671" s="40"/>
    </row>
    <row r="672" spans="1:4" x14ac:dyDescent="0.25">
      <c r="B672" s="42" t="s">
        <v>6814</v>
      </c>
      <c r="C672" s="40"/>
      <c r="D672" s="40"/>
    </row>
    <row r="673" spans="1:26" ht="100" customHeight="1" x14ac:dyDescent="0.25">
      <c r="A673" s="41" t="str">
        <f>_xlfn.CONCAT("Sample test results are documented in ",'Sample Tables'!B667," [",'Sample Tables'!B668,", ",'Sample Tables'!B669,", ",'Sample Tables'!B670,", ",'Sample Tables'!B671,", ",'Sample Tables'!B672,"]."&amp;CHAR(10))</f>
        <v xml:space="preserve">Sample test results are documented in Test 061: External Entity (customer) [Population Source/Tool: , Population Date Range: , Population Size: , Sample Methodology: , Sample Size: ].
</v>
      </c>
      <c r="B673" s="95" t="s">
        <v>6815</v>
      </c>
      <c r="C673" s="93" t="s">
        <v>7045</v>
      </c>
      <c r="D673" s="94"/>
      <c r="E673" s="93" t="s">
        <v>7046</v>
      </c>
      <c r="F673" s="94"/>
      <c r="G673" s="93" t="s">
        <v>7047</v>
      </c>
      <c r="H673" s="94"/>
      <c r="I673" s="93" t="s">
        <v>7048</v>
      </c>
      <c r="J673" s="94"/>
      <c r="K673" s="93" t="s">
        <v>7049</v>
      </c>
      <c r="L673" s="94"/>
      <c r="M673" s="93" t="s">
        <v>7050</v>
      </c>
      <c r="N673" s="94"/>
      <c r="O673" s="93" t="s">
        <v>7051</v>
      </c>
      <c r="P673" s="94"/>
      <c r="Q673" s="93" t="s">
        <v>7052</v>
      </c>
      <c r="R673" s="94"/>
      <c r="S673" s="93" t="s">
        <v>7053</v>
      </c>
      <c r="T673" s="94"/>
      <c r="U673" s="93" t="s">
        <v>7054</v>
      </c>
      <c r="V673" s="94"/>
      <c r="W673" s="93" t="s">
        <v>7055</v>
      </c>
      <c r="X673" s="94"/>
      <c r="Y673" s="93" t="s">
        <v>7056</v>
      </c>
      <c r="Z673" s="94"/>
    </row>
    <row r="674" spans="1:26" x14ac:dyDescent="0.25">
      <c r="B674" s="96"/>
      <c r="C674" s="91" t="s">
        <v>1263</v>
      </c>
      <c r="D674" s="92"/>
      <c r="E674" s="91" t="s">
        <v>2271</v>
      </c>
      <c r="F674" s="92"/>
      <c r="G674" s="91" t="s">
        <v>3920</v>
      </c>
      <c r="H674" s="92"/>
      <c r="I674" s="91" t="s">
        <v>3920</v>
      </c>
      <c r="J674" s="92"/>
      <c r="K674" s="91" t="s">
        <v>3982</v>
      </c>
      <c r="L674" s="92"/>
      <c r="M674" s="91" t="s">
        <v>3982</v>
      </c>
      <c r="N674" s="92"/>
      <c r="O674" s="91" t="s">
        <v>3982</v>
      </c>
      <c r="P674" s="92"/>
      <c r="Q674" s="91" t="s">
        <v>3982</v>
      </c>
      <c r="R674" s="92"/>
      <c r="S674" s="91" t="s">
        <v>3984</v>
      </c>
      <c r="T674" s="92"/>
      <c r="U674" s="91" t="s">
        <v>3986</v>
      </c>
      <c r="V674" s="92"/>
      <c r="W674" s="91" t="s">
        <v>3986</v>
      </c>
      <c r="X674" s="92"/>
      <c r="Y674" s="91" t="s">
        <v>3988</v>
      </c>
      <c r="Z674" s="92"/>
    </row>
    <row r="675" spans="1:26" x14ac:dyDescent="0.25">
      <c r="B675" s="97"/>
      <c r="C675" s="71" t="s">
        <v>6824</v>
      </c>
      <c r="D675" s="71" t="s">
        <v>6825</v>
      </c>
      <c r="E675" s="71" t="s">
        <v>6824</v>
      </c>
      <c r="F675" s="71" t="s">
        <v>6825</v>
      </c>
      <c r="G675" s="71" t="s">
        <v>6824</v>
      </c>
      <c r="H675" s="71" t="s">
        <v>6825</v>
      </c>
      <c r="I675" s="71" t="s">
        <v>6824</v>
      </c>
      <c r="J675" s="71" t="s">
        <v>6825</v>
      </c>
      <c r="K675" s="71" t="s">
        <v>6824</v>
      </c>
      <c r="L675" s="71" t="s">
        <v>6825</v>
      </c>
      <c r="M675" s="71" t="s">
        <v>6824</v>
      </c>
      <c r="N675" s="71" t="s">
        <v>6825</v>
      </c>
      <c r="O675" s="71" t="s">
        <v>6824</v>
      </c>
      <c r="P675" s="71" t="s">
        <v>6825</v>
      </c>
      <c r="Q675" s="71" t="s">
        <v>6824</v>
      </c>
      <c r="R675" s="71" t="s">
        <v>6825</v>
      </c>
      <c r="S675" s="71" t="s">
        <v>6824</v>
      </c>
      <c r="T675" s="71" t="s">
        <v>6825</v>
      </c>
      <c r="U675" s="71" t="s">
        <v>6824</v>
      </c>
      <c r="V675" s="71" t="s">
        <v>6825</v>
      </c>
      <c r="W675" s="71" t="s">
        <v>6824</v>
      </c>
      <c r="X675" s="71" t="s">
        <v>6825</v>
      </c>
      <c r="Y675" s="71" t="s">
        <v>6824</v>
      </c>
      <c r="Z675" s="71" t="s">
        <v>6825</v>
      </c>
    </row>
    <row r="676" spans="1:26" x14ac:dyDescent="0.25">
      <c r="B676" s="72"/>
      <c r="C676" s="71"/>
      <c r="D676" s="73"/>
      <c r="E676" s="71"/>
      <c r="F676" s="73"/>
      <c r="G676" s="71"/>
      <c r="H676" s="73"/>
      <c r="I676" s="71"/>
      <c r="J676" s="73"/>
      <c r="K676" s="71"/>
      <c r="L676" s="73"/>
      <c r="M676" s="71"/>
      <c r="N676" s="73"/>
      <c r="O676" s="71"/>
      <c r="P676" s="73"/>
      <c r="Q676" s="71"/>
      <c r="R676" s="73"/>
      <c r="S676" s="71"/>
      <c r="T676" s="73"/>
      <c r="U676" s="71"/>
      <c r="V676" s="73"/>
      <c r="W676" s="71"/>
      <c r="X676" s="73"/>
      <c r="Y676" s="71"/>
      <c r="Z676" s="73"/>
    </row>
    <row r="678" spans="1:26" x14ac:dyDescent="0.25">
      <c r="B678" s="40" t="s">
        <v>7057</v>
      </c>
      <c r="C678" s="40"/>
      <c r="D678" s="40"/>
    </row>
    <row r="679" spans="1:26" x14ac:dyDescent="0.25">
      <c r="B679" s="40" t="s">
        <v>6810</v>
      </c>
      <c r="C679" s="40"/>
      <c r="D679" s="40"/>
    </row>
    <row r="680" spans="1:26" x14ac:dyDescent="0.25">
      <c r="B680" s="40" t="s">
        <v>6811</v>
      </c>
      <c r="C680" s="40"/>
      <c r="D680" s="40"/>
    </row>
    <row r="681" spans="1:26" x14ac:dyDescent="0.25">
      <c r="B681" s="42" t="s">
        <v>6812</v>
      </c>
      <c r="C681" s="40"/>
      <c r="D681" s="40"/>
    </row>
    <row r="682" spans="1:26" x14ac:dyDescent="0.25">
      <c r="B682" s="42" t="s">
        <v>6813</v>
      </c>
      <c r="C682" s="40"/>
      <c r="D682" s="40"/>
    </row>
    <row r="683" spans="1:26" x14ac:dyDescent="0.25">
      <c r="B683" s="42" t="s">
        <v>6814</v>
      </c>
      <c r="C683" s="40"/>
      <c r="D683" s="40"/>
    </row>
    <row r="684" spans="1:26" ht="100" customHeight="1" x14ac:dyDescent="0.25">
      <c r="A684" s="41" t="str">
        <f>_xlfn.CONCAT("Sample test results are documented in ",'Sample Tables'!B678," [",'Sample Tables'!B679,", ",'Sample Tables'!B680,", ",'Sample Tables'!B681,", ",'Sample Tables'!B682,", ",'Sample Tables'!B683,"]."&amp;CHAR(10))</f>
        <v xml:space="preserve">Sample test results are documented in Test 062: External Entity (eCommerce trading partner) [Population Source/Tool: , Population Date Range: , Population Size: , Sample Methodology: , Sample Size: ].
</v>
      </c>
      <c r="B684" s="95" t="s">
        <v>6815</v>
      </c>
      <c r="C684" s="93" t="s">
        <v>7058</v>
      </c>
      <c r="D684" s="94"/>
      <c r="E684" s="93" t="s">
        <v>7059</v>
      </c>
      <c r="F684" s="94"/>
    </row>
    <row r="685" spans="1:26" x14ac:dyDescent="0.25">
      <c r="B685" s="96"/>
      <c r="C685" s="91" t="s">
        <v>2235</v>
      </c>
      <c r="D685" s="92"/>
      <c r="E685" s="91" t="s">
        <v>2235</v>
      </c>
      <c r="F685" s="92"/>
    </row>
    <row r="686" spans="1:26" x14ac:dyDescent="0.25">
      <c r="B686" s="97"/>
      <c r="C686" s="71" t="s">
        <v>6824</v>
      </c>
      <c r="D686" s="71" t="s">
        <v>6825</v>
      </c>
      <c r="E686" s="71" t="s">
        <v>6824</v>
      </c>
      <c r="F686" s="71" t="s">
        <v>6825</v>
      </c>
    </row>
    <row r="687" spans="1:26" x14ac:dyDescent="0.25">
      <c r="B687" s="72"/>
      <c r="C687" s="71"/>
      <c r="D687" s="73"/>
      <c r="E687" s="71"/>
      <c r="F687" s="73"/>
    </row>
    <row r="689" spans="1:4" x14ac:dyDescent="0.25">
      <c r="B689" s="40" t="s">
        <v>7060</v>
      </c>
      <c r="C689" s="40"/>
      <c r="D689" s="40"/>
    </row>
    <row r="690" spans="1:4" x14ac:dyDescent="0.25">
      <c r="B690" s="40" t="s">
        <v>6810</v>
      </c>
      <c r="C690" s="40"/>
      <c r="D690" s="40"/>
    </row>
    <row r="691" spans="1:4" x14ac:dyDescent="0.25">
      <c r="B691" s="40" t="s">
        <v>6811</v>
      </c>
      <c r="C691" s="40"/>
      <c r="D691" s="40"/>
    </row>
    <row r="692" spans="1:4" x14ac:dyDescent="0.25">
      <c r="B692" s="42" t="s">
        <v>6812</v>
      </c>
      <c r="C692" s="40"/>
      <c r="D692" s="40"/>
    </row>
    <row r="693" spans="1:4" x14ac:dyDescent="0.25">
      <c r="B693" s="42" t="s">
        <v>6813</v>
      </c>
      <c r="C693" s="40"/>
      <c r="D693" s="40"/>
    </row>
    <row r="694" spans="1:4" x14ac:dyDescent="0.25">
      <c r="B694" s="42" t="s">
        <v>6814</v>
      </c>
      <c r="C694" s="40"/>
      <c r="D694" s="40"/>
    </row>
    <row r="695" spans="1:4" x14ac:dyDescent="0.25">
      <c r="A695" s="41" t="str">
        <f>_xlfn.CONCAT("Sample test results are documented in ",'Sample Tables'!B689," [",'Sample Tables'!B690,", ",'Sample Tables'!B691,", ",'Sample Tables'!B692,", ",'Sample Tables'!B693,", ",'Sample Tables'!B694,"]."&amp;CHAR(10))</f>
        <v xml:space="preserve">Sample test results are documented in Test 063: External Entity (information exchange with CMS) [Population Source/Tool: , Population Date Range: , Population Size: , Sample Methodology: , Sample Size: ].
</v>
      </c>
      <c r="B695" s="95" t="s">
        <v>6815</v>
      </c>
      <c r="C695" s="93"/>
      <c r="D695" s="94"/>
    </row>
    <row r="696" spans="1:4" x14ac:dyDescent="0.25">
      <c r="B696" s="96"/>
      <c r="C696" s="91"/>
      <c r="D696" s="92"/>
    </row>
    <row r="697" spans="1:4" x14ac:dyDescent="0.25">
      <c r="B697" s="97"/>
      <c r="C697" s="71" t="s">
        <v>6824</v>
      </c>
      <c r="D697" s="71" t="s">
        <v>6825</v>
      </c>
    </row>
    <row r="698" spans="1:4" x14ac:dyDescent="0.25">
      <c r="B698" s="72"/>
      <c r="C698" s="71"/>
      <c r="D698" s="73"/>
    </row>
    <row r="700" spans="1:4" x14ac:dyDescent="0.25">
      <c r="B700" s="40" t="s">
        <v>7061</v>
      </c>
      <c r="C700" s="40"/>
      <c r="D700" s="40"/>
    </row>
    <row r="701" spans="1:4" x14ac:dyDescent="0.25">
      <c r="B701" s="40" t="s">
        <v>6810</v>
      </c>
      <c r="C701" s="40"/>
      <c r="D701" s="40"/>
    </row>
    <row r="702" spans="1:4" x14ac:dyDescent="0.25">
      <c r="B702" s="40" t="s">
        <v>6811</v>
      </c>
      <c r="C702" s="40"/>
      <c r="D702" s="40"/>
    </row>
    <row r="703" spans="1:4" x14ac:dyDescent="0.25">
      <c r="B703" s="42" t="s">
        <v>6812</v>
      </c>
      <c r="C703" s="40"/>
      <c r="D703" s="40"/>
    </row>
    <row r="704" spans="1:4" x14ac:dyDescent="0.25">
      <c r="B704" s="42" t="s">
        <v>6813</v>
      </c>
      <c r="C704" s="40"/>
      <c r="D704" s="40"/>
    </row>
    <row r="705" spans="1:4" x14ac:dyDescent="0.25">
      <c r="B705" s="42" t="s">
        <v>6814</v>
      </c>
      <c r="C705" s="40"/>
      <c r="D705" s="40"/>
    </row>
    <row r="706" spans="1:4" x14ac:dyDescent="0.25">
      <c r="A706" s="41" t="str">
        <f>_xlfn.CONCAT("Sample test results are documented in ",'Sample Tables'!B700," [",'Sample Tables'!B701,", ",'Sample Tables'!B702,", ",'Sample Tables'!B703,", ",'Sample Tables'!B704,", ",'Sample Tables'!B705,"]."&amp;CHAR(10))</f>
        <v xml:space="preserve">Sample test results are documented in Test 064: External Entity (limited data set recipient) [Population Source/Tool: , Population Date Range: , Population Size: , Sample Methodology: , Sample Size: ].
</v>
      </c>
      <c r="B706" s="95" t="s">
        <v>6815</v>
      </c>
      <c r="C706" s="93"/>
      <c r="D706" s="94"/>
    </row>
    <row r="707" spans="1:4" x14ac:dyDescent="0.25">
      <c r="B707" s="96"/>
      <c r="C707" s="91"/>
      <c r="D707" s="92"/>
    </row>
    <row r="708" spans="1:4" x14ac:dyDescent="0.25">
      <c r="B708" s="97"/>
      <c r="C708" s="71" t="s">
        <v>6824</v>
      </c>
      <c r="D708" s="71" t="s">
        <v>6825</v>
      </c>
    </row>
    <row r="709" spans="1:4" x14ac:dyDescent="0.25">
      <c r="B709" s="72"/>
      <c r="C709" s="71"/>
      <c r="D709" s="73"/>
    </row>
    <row r="711" spans="1:4" x14ac:dyDescent="0.25">
      <c r="B711" s="40" t="s">
        <v>7062</v>
      </c>
      <c r="C711" s="40"/>
      <c r="D711" s="40"/>
    </row>
    <row r="712" spans="1:4" x14ac:dyDescent="0.25">
      <c r="B712" s="40" t="s">
        <v>6810</v>
      </c>
      <c r="C712" s="40"/>
      <c r="D712" s="40"/>
    </row>
    <row r="713" spans="1:4" x14ac:dyDescent="0.25">
      <c r="B713" s="40" t="s">
        <v>6811</v>
      </c>
      <c r="C713" s="40"/>
      <c r="D713" s="40"/>
    </row>
    <row r="714" spans="1:4" x14ac:dyDescent="0.25">
      <c r="B714" s="42" t="s">
        <v>6812</v>
      </c>
      <c r="C714" s="40"/>
      <c r="D714" s="40"/>
    </row>
    <row r="715" spans="1:4" x14ac:dyDescent="0.25">
      <c r="B715" s="42" t="s">
        <v>6813</v>
      </c>
      <c r="C715" s="40"/>
      <c r="D715" s="40"/>
    </row>
    <row r="716" spans="1:4" x14ac:dyDescent="0.25">
      <c r="B716" s="42" t="s">
        <v>6814</v>
      </c>
      <c r="C716" s="40"/>
      <c r="D716" s="40"/>
    </row>
    <row r="717" spans="1:4" ht="100" customHeight="1" x14ac:dyDescent="0.25">
      <c r="A717" s="41" t="str">
        <f>_xlfn.CONCAT("Sample test results are documented in ",'Sample Tables'!B711," [",'Sample Tables'!B712,", ",'Sample Tables'!B713,", ",'Sample Tables'!B714,", ",'Sample Tables'!B715,", ",'Sample Tables'!B716,"]."&amp;CHAR(10))</f>
        <v xml:space="preserve">Sample test results are documented in Test 065: External Entity (new third party) [Population Source/Tool: , Population Date Range: , Population Size: , Sample Methodology: , Sample Size: ].
</v>
      </c>
      <c r="B717" s="95" t="s">
        <v>6815</v>
      </c>
      <c r="C717" s="93" t="s">
        <v>7063</v>
      </c>
      <c r="D717" s="94"/>
    </row>
    <row r="718" spans="1:4" x14ac:dyDescent="0.25">
      <c r="B718" s="96"/>
      <c r="C718" s="91" t="s">
        <v>5246</v>
      </c>
      <c r="D718" s="92"/>
    </row>
    <row r="719" spans="1:4" x14ac:dyDescent="0.25">
      <c r="B719" s="97"/>
      <c r="C719" s="71" t="s">
        <v>6824</v>
      </c>
      <c r="D719" s="71" t="s">
        <v>6825</v>
      </c>
    </row>
    <row r="720" spans="1:4" x14ac:dyDescent="0.25">
      <c r="B720" s="72"/>
      <c r="C720" s="71"/>
      <c r="D720" s="73"/>
    </row>
    <row r="722" spans="1:4" x14ac:dyDescent="0.25">
      <c r="B722" s="40" t="s">
        <v>7064</v>
      </c>
      <c r="C722" s="40"/>
      <c r="D722" s="40"/>
    </row>
    <row r="723" spans="1:4" x14ac:dyDescent="0.25">
      <c r="B723" s="40" t="s">
        <v>6810</v>
      </c>
      <c r="C723" s="40"/>
      <c r="D723" s="40"/>
    </row>
    <row r="724" spans="1:4" x14ac:dyDescent="0.25">
      <c r="B724" s="40" t="s">
        <v>6811</v>
      </c>
      <c r="C724" s="40"/>
      <c r="D724" s="40"/>
    </row>
    <row r="725" spans="1:4" x14ac:dyDescent="0.25">
      <c r="B725" s="42" t="s">
        <v>6812</v>
      </c>
      <c r="C725" s="40"/>
      <c r="D725" s="40"/>
    </row>
    <row r="726" spans="1:4" x14ac:dyDescent="0.25">
      <c r="B726" s="42" t="s">
        <v>6813</v>
      </c>
      <c r="C726" s="40"/>
      <c r="D726" s="40"/>
    </row>
    <row r="727" spans="1:4" x14ac:dyDescent="0.25">
      <c r="B727" s="42" t="s">
        <v>6814</v>
      </c>
      <c r="C727" s="40"/>
      <c r="D727" s="40"/>
    </row>
    <row r="728" spans="1:4" x14ac:dyDescent="0.25">
      <c r="A728" s="41" t="str">
        <f>_xlfn.CONCAT("Sample test results are documented in ",'Sample Tables'!B722," [",'Sample Tables'!B723,", ",'Sample Tables'!B724,", ",'Sample Tables'!B725,", ",'Sample Tables'!B726,", ",'Sample Tables'!B727,"]."&amp;CHAR(10))</f>
        <v xml:space="preserve">Sample test results are documented in Test 066: External Entity (non-local maintenance and diagnostic service) [Population Source/Tool: , Population Date Range: , Population Size: , Sample Methodology: , Sample Size: ].
</v>
      </c>
      <c r="B728" s="95" t="s">
        <v>6815</v>
      </c>
      <c r="C728" s="93"/>
      <c r="D728" s="94"/>
    </row>
    <row r="729" spans="1:4" x14ac:dyDescent="0.25">
      <c r="B729" s="96"/>
      <c r="C729" s="91"/>
      <c r="D729" s="92"/>
    </row>
    <row r="730" spans="1:4" x14ac:dyDescent="0.25">
      <c r="B730" s="97"/>
      <c r="C730" s="71" t="s">
        <v>6824</v>
      </c>
      <c r="D730" s="71" t="s">
        <v>6825</v>
      </c>
    </row>
    <row r="731" spans="1:4" x14ac:dyDescent="0.25">
      <c r="B731" s="72"/>
      <c r="C731" s="71"/>
      <c r="D731" s="73"/>
    </row>
    <row r="733" spans="1:4" x14ac:dyDescent="0.25">
      <c r="B733" s="40" t="s">
        <v>7065</v>
      </c>
      <c r="C733" s="40"/>
      <c r="D733" s="40"/>
    </row>
    <row r="734" spans="1:4" x14ac:dyDescent="0.25">
      <c r="B734" s="40" t="s">
        <v>6810</v>
      </c>
      <c r="C734" s="40"/>
      <c r="D734" s="40"/>
    </row>
    <row r="735" spans="1:4" x14ac:dyDescent="0.25">
      <c r="B735" s="40" t="s">
        <v>6811</v>
      </c>
      <c r="C735" s="40"/>
      <c r="D735" s="40"/>
    </row>
    <row r="736" spans="1:4" x14ac:dyDescent="0.25">
      <c r="B736" s="42" t="s">
        <v>6812</v>
      </c>
      <c r="C736" s="40"/>
      <c r="D736" s="40"/>
    </row>
    <row r="737" spans="1:26" x14ac:dyDescent="0.25">
      <c r="B737" s="42" t="s">
        <v>6813</v>
      </c>
      <c r="C737" s="40"/>
      <c r="D737" s="40"/>
    </row>
    <row r="738" spans="1:26" x14ac:dyDescent="0.25">
      <c r="B738" s="42" t="s">
        <v>6814</v>
      </c>
      <c r="C738" s="40"/>
      <c r="D738" s="40"/>
    </row>
    <row r="739" spans="1:26" ht="100" customHeight="1" x14ac:dyDescent="0.25">
      <c r="A739" s="41" t="str">
        <f>_xlfn.CONCAT("Sample test results are documented in ",'Sample Tables'!B733," [",'Sample Tables'!B734,", ",'Sample Tables'!B735,", ",'Sample Tables'!B736,", ",'Sample Tables'!B737,", ",'Sample Tables'!B738,"]."&amp;CHAR(10))</f>
        <v xml:space="preserve">Sample test results are documented in Test 067: External Entity (software development outsourcing) [Population Source/Tool: , Population Date Range: , Population Size: , Sample Methodology: , Sample Size: ].
</v>
      </c>
      <c r="B739" s="95" t="s">
        <v>6815</v>
      </c>
      <c r="C739" s="93" t="s">
        <v>7066</v>
      </c>
      <c r="D739" s="94"/>
      <c r="E739" s="93" t="s">
        <v>7067</v>
      </c>
      <c r="F739" s="94"/>
      <c r="G739" s="93" t="s">
        <v>7068</v>
      </c>
      <c r="H739" s="94"/>
      <c r="I739" s="93" t="s">
        <v>7069</v>
      </c>
      <c r="J739" s="94"/>
      <c r="K739" s="93" t="s">
        <v>7070</v>
      </c>
      <c r="L739" s="94"/>
      <c r="M739" s="93" t="s">
        <v>7071</v>
      </c>
      <c r="N739" s="94"/>
      <c r="O739" s="93" t="s">
        <v>7072</v>
      </c>
      <c r="P739" s="94"/>
      <c r="Q739" s="93" t="s">
        <v>7073</v>
      </c>
      <c r="R739" s="94"/>
      <c r="S739" s="93" t="s">
        <v>7074</v>
      </c>
      <c r="T739" s="94"/>
      <c r="U739" s="93" t="s">
        <v>7075</v>
      </c>
      <c r="V739" s="94"/>
      <c r="W739" s="93" t="s">
        <v>7076</v>
      </c>
      <c r="X739" s="94"/>
      <c r="Y739" s="93" t="s">
        <v>7077</v>
      </c>
      <c r="Z739" s="94"/>
    </row>
    <row r="740" spans="1:26" x14ac:dyDescent="0.25">
      <c r="B740" s="96"/>
      <c r="C740" s="91" t="s">
        <v>1197</v>
      </c>
      <c r="D740" s="92"/>
      <c r="E740" s="91" t="s">
        <v>3904</v>
      </c>
      <c r="F740" s="92"/>
      <c r="G740" s="91" t="s">
        <v>3904</v>
      </c>
      <c r="H740" s="92"/>
      <c r="I740" s="91" t="s">
        <v>3904</v>
      </c>
      <c r="J740" s="92"/>
      <c r="K740" s="91" t="s">
        <v>3904</v>
      </c>
      <c r="L740" s="92"/>
      <c r="M740" s="91" t="s">
        <v>3904</v>
      </c>
      <c r="N740" s="92"/>
      <c r="O740" s="91" t="s">
        <v>3904</v>
      </c>
      <c r="P740" s="92"/>
      <c r="Q740" s="91" t="s">
        <v>3904</v>
      </c>
      <c r="R740" s="92"/>
      <c r="S740" s="91" t="s">
        <v>3904</v>
      </c>
      <c r="T740" s="92"/>
      <c r="U740" s="91" t="s">
        <v>3907</v>
      </c>
      <c r="V740" s="92"/>
      <c r="W740" s="91" t="s">
        <v>3907</v>
      </c>
      <c r="X740" s="92"/>
      <c r="Y740" s="91" t="s">
        <v>3907</v>
      </c>
      <c r="Z740" s="92"/>
    </row>
    <row r="741" spans="1:26" x14ac:dyDescent="0.25">
      <c r="B741" s="97"/>
      <c r="C741" s="71" t="s">
        <v>6824</v>
      </c>
      <c r="D741" s="71" t="s">
        <v>6825</v>
      </c>
      <c r="E741" s="71" t="s">
        <v>6824</v>
      </c>
      <c r="F741" s="71" t="s">
        <v>6825</v>
      </c>
      <c r="G741" s="71" t="s">
        <v>6824</v>
      </c>
      <c r="H741" s="71" t="s">
        <v>6825</v>
      </c>
      <c r="I741" s="71" t="s">
        <v>6824</v>
      </c>
      <c r="J741" s="71" t="s">
        <v>6825</v>
      </c>
      <c r="K741" s="71" t="s">
        <v>6824</v>
      </c>
      <c r="L741" s="71" t="s">
        <v>6825</v>
      </c>
      <c r="M741" s="71" t="s">
        <v>6824</v>
      </c>
      <c r="N741" s="71" t="s">
        <v>6825</v>
      </c>
      <c r="O741" s="71" t="s">
        <v>6824</v>
      </c>
      <c r="P741" s="71" t="s">
        <v>6825</v>
      </c>
      <c r="Q741" s="71" t="s">
        <v>6824</v>
      </c>
      <c r="R741" s="71" t="s">
        <v>6825</v>
      </c>
      <c r="S741" s="71" t="s">
        <v>6824</v>
      </c>
      <c r="T741" s="71" t="s">
        <v>6825</v>
      </c>
      <c r="U741" s="71" t="s">
        <v>6824</v>
      </c>
      <c r="V741" s="71" t="s">
        <v>6825</v>
      </c>
      <c r="W741" s="71" t="s">
        <v>6824</v>
      </c>
      <c r="X741" s="71" t="s">
        <v>6825</v>
      </c>
      <c r="Y741" s="71" t="s">
        <v>6824</v>
      </c>
      <c r="Z741" s="71" t="s">
        <v>6825</v>
      </c>
    </row>
    <row r="742" spans="1:26" x14ac:dyDescent="0.25">
      <c r="B742" s="72"/>
      <c r="C742" s="71"/>
      <c r="D742" s="73"/>
      <c r="E742" s="71"/>
      <c r="F742" s="73"/>
      <c r="G742" s="71"/>
      <c r="H742" s="73"/>
      <c r="I742" s="71"/>
      <c r="J742" s="73"/>
      <c r="K742" s="71"/>
      <c r="L742" s="73"/>
      <c r="M742" s="71"/>
      <c r="N742" s="73"/>
      <c r="O742" s="71"/>
      <c r="P742" s="73"/>
      <c r="Q742" s="71"/>
      <c r="R742" s="73"/>
      <c r="S742" s="71"/>
      <c r="T742" s="73"/>
      <c r="U742" s="71"/>
      <c r="V742" s="73"/>
      <c r="W742" s="71"/>
      <c r="X742" s="73"/>
      <c r="Y742" s="71"/>
      <c r="Z742" s="73"/>
    </row>
    <row r="744" spans="1:26" x14ac:dyDescent="0.25">
      <c r="B744" s="40" t="s">
        <v>7078</v>
      </c>
      <c r="C744" s="40"/>
      <c r="D744" s="40"/>
    </row>
    <row r="745" spans="1:26" x14ac:dyDescent="0.25">
      <c r="B745" s="40" t="s">
        <v>6810</v>
      </c>
      <c r="C745" s="40"/>
      <c r="D745" s="40"/>
    </row>
    <row r="746" spans="1:26" x14ac:dyDescent="0.25">
      <c r="B746" s="40" t="s">
        <v>6811</v>
      </c>
      <c r="C746" s="40"/>
      <c r="D746" s="40"/>
    </row>
    <row r="747" spans="1:26" x14ac:dyDescent="0.25">
      <c r="B747" s="42" t="s">
        <v>6812</v>
      </c>
      <c r="C747" s="40"/>
      <c r="D747" s="40"/>
    </row>
    <row r="748" spans="1:26" x14ac:dyDescent="0.25">
      <c r="B748" s="42" t="s">
        <v>6813</v>
      </c>
      <c r="C748" s="40"/>
      <c r="D748" s="40"/>
    </row>
    <row r="749" spans="1:26" x14ac:dyDescent="0.25">
      <c r="B749" s="42" t="s">
        <v>6814</v>
      </c>
      <c r="C749" s="40"/>
      <c r="D749" s="40"/>
    </row>
    <row r="750" spans="1:26" ht="100" customHeight="1" x14ac:dyDescent="0.25">
      <c r="A750" s="41" t="str">
        <f>_xlfn.CONCAT("Sample test results are documented in ",'Sample Tables'!B744," [",'Sample Tables'!B745,", ",'Sample Tables'!B746,", ",'Sample Tables'!B747,", ",'Sample Tables'!B748,", ",'Sample Tables'!B749,"]."&amp;CHAR(10))</f>
        <v xml:space="preserve">Sample test results are documented in Test 068: External Entity (system development outsourcing) [Population Source/Tool: , Population Date Range: , Population Size: , Sample Methodology: , Sample Size: ].
</v>
      </c>
      <c r="B750" s="95" t="s">
        <v>6815</v>
      </c>
      <c r="C750" s="93" t="s">
        <v>7066</v>
      </c>
      <c r="D750" s="94"/>
    </row>
    <row r="751" spans="1:26" x14ac:dyDescent="0.25">
      <c r="B751" s="96"/>
      <c r="C751" s="91" t="s">
        <v>1197</v>
      </c>
      <c r="D751" s="92"/>
    </row>
    <row r="752" spans="1:26" x14ac:dyDescent="0.25">
      <c r="B752" s="97"/>
      <c r="C752" s="71" t="s">
        <v>6824</v>
      </c>
      <c r="D752" s="71" t="s">
        <v>6825</v>
      </c>
    </row>
    <row r="753" spans="1:76" x14ac:dyDescent="0.25">
      <c r="B753" s="72"/>
      <c r="C753" s="71"/>
      <c r="D753" s="73"/>
    </row>
    <row r="755" spans="1:76" x14ac:dyDescent="0.25">
      <c r="B755" s="40" t="s">
        <v>7079</v>
      </c>
      <c r="C755" s="40"/>
      <c r="D755" s="40"/>
    </row>
    <row r="756" spans="1:76" x14ac:dyDescent="0.25">
      <c r="B756" s="40" t="s">
        <v>6810</v>
      </c>
      <c r="C756" s="40"/>
      <c r="D756" s="40"/>
    </row>
    <row r="757" spans="1:76" x14ac:dyDescent="0.25">
      <c r="B757" s="40" t="s">
        <v>6811</v>
      </c>
      <c r="C757" s="40"/>
      <c r="D757" s="40"/>
    </row>
    <row r="758" spans="1:76" x14ac:dyDescent="0.25">
      <c r="B758" s="42" t="s">
        <v>6812</v>
      </c>
      <c r="C758" s="40"/>
      <c r="D758" s="40"/>
    </row>
    <row r="759" spans="1:76" x14ac:dyDescent="0.25">
      <c r="B759" s="42" t="s">
        <v>6813</v>
      </c>
      <c r="C759" s="40"/>
      <c r="D759" s="40"/>
    </row>
    <row r="760" spans="1:76" x14ac:dyDescent="0.25">
      <c r="B760" s="42" t="s">
        <v>6814</v>
      </c>
      <c r="C760" s="40"/>
      <c r="D760" s="40"/>
    </row>
    <row r="761" spans="1:76" ht="100" customHeight="1" x14ac:dyDescent="0.25">
      <c r="A761" s="41" t="str">
        <f>_xlfn.CONCAT("Sample test results are documented in ",'Sample Tables'!B755," [",'Sample Tables'!B756,", ",'Sample Tables'!B757,", ",'Sample Tables'!B758,", ",'Sample Tables'!B759,", ",'Sample Tables'!B760,"]."&amp;CHAR(10))</f>
        <v xml:space="preserve">Sample test results are documented in Test 069: External Entity (third party information exchange) [Population Source/Tool: , Population Date Range: , Population Size: , Sample Methodology: , Sample Size: ].
</v>
      </c>
      <c r="B761" s="95" t="s">
        <v>6815</v>
      </c>
      <c r="C761" s="93" t="s">
        <v>6992</v>
      </c>
      <c r="D761" s="94"/>
      <c r="E761" s="93" t="s">
        <v>7080</v>
      </c>
      <c r="F761" s="94"/>
      <c r="G761" s="93" t="s">
        <v>6993</v>
      </c>
      <c r="H761" s="94"/>
      <c r="I761" s="93" t="s">
        <v>6994</v>
      </c>
      <c r="J761" s="94"/>
      <c r="K761" s="93" t="s">
        <v>6993</v>
      </c>
      <c r="L761" s="94"/>
      <c r="M761" s="93" t="s">
        <v>6994</v>
      </c>
      <c r="N761" s="94"/>
      <c r="O761" s="93" t="s">
        <v>6994</v>
      </c>
      <c r="P761" s="94"/>
      <c r="Q761" s="93" t="s">
        <v>6995</v>
      </c>
      <c r="R761" s="94"/>
      <c r="S761" s="93" t="s">
        <v>7081</v>
      </c>
      <c r="T761" s="94"/>
      <c r="U761" s="93" t="s">
        <v>7082</v>
      </c>
      <c r="V761" s="94"/>
      <c r="W761" s="93" t="s">
        <v>7083</v>
      </c>
      <c r="X761" s="94"/>
      <c r="Y761" s="93" t="s">
        <v>7084</v>
      </c>
      <c r="Z761" s="94"/>
      <c r="AA761" s="93" t="s">
        <v>7082</v>
      </c>
      <c r="AB761" s="94"/>
      <c r="AC761" s="93" t="s">
        <v>7083</v>
      </c>
      <c r="AD761" s="94"/>
      <c r="AE761" s="93" t="s">
        <v>7084</v>
      </c>
      <c r="AF761" s="94"/>
      <c r="AG761" s="93" t="s">
        <v>7081</v>
      </c>
      <c r="AH761" s="94"/>
      <c r="AI761" s="93" t="s">
        <v>7085</v>
      </c>
      <c r="AJ761" s="94"/>
      <c r="AK761" s="93" t="s">
        <v>7086</v>
      </c>
      <c r="AL761" s="94"/>
      <c r="AM761" s="93" t="s">
        <v>7087</v>
      </c>
      <c r="AN761" s="94"/>
      <c r="AO761" s="93" t="s">
        <v>7088</v>
      </c>
      <c r="AP761" s="94"/>
      <c r="AQ761" s="93" t="s">
        <v>7089</v>
      </c>
      <c r="AR761" s="94"/>
      <c r="AS761" s="93" t="s">
        <v>7090</v>
      </c>
      <c r="AT761" s="94"/>
      <c r="AU761" s="93" t="s">
        <v>7091</v>
      </c>
      <c r="AV761" s="94"/>
      <c r="AW761" s="93" t="s">
        <v>7092</v>
      </c>
      <c r="AX761" s="94"/>
      <c r="AY761" s="93" t="s">
        <v>7093</v>
      </c>
      <c r="AZ761" s="94"/>
      <c r="BA761" s="93" t="s">
        <v>7094</v>
      </c>
      <c r="BB761" s="94"/>
      <c r="BC761" s="93" t="s">
        <v>7095</v>
      </c>
      <c r="BD761" s="94"/>
      <c r="BE761" s="93" t="s">
        <v>7096</v>
      </c>
      <c r="BF761" s="94"/>
      <c r="BG761" s="93" t="s">
        <v>7097</v>
      </c>
      <c r="BH761" s="94"/>
      <c r="BI761" s="93" t="s">
        <v>7098</v>
      </c>
      <c r="BJ761" s="94"/>
      <c r="BK761" s="93" t="s">
        <v>7087</v>
      </c>
      <c r="BL761" s="94"/>
      <c r="BM761" s="93" t="s">
        <v>7099</v>
      </c>
      <c r="BN761" s="94"/>
      <c r="BO761" s="93" t="s">
        <v>7100</v>
      </c>
      <c r="BP761" s="94"/>
      <c r="BQ761" s="93" t="s">
        <v>7087</v>
      </c>
      <c r="BR761" s="94"/>
      <c r="BS761" s="93" t="s">
        <v>7087</v>
      </c>
      <c r="BT761" s="94"/>
      <c r="BU761" s="93" t="s">
        <v>7101</v>
      </c>
      <c r="BV761" s="94"/>
      <c r="BW761" s="93" t="s">
        <v>7102</v>
      </c>
      <c r="BX761" s="94"/>
    </row>
    <row r="762" spans="1:76" x14ac:dyDescent="0.25">
      <c r="B762" s="96"/>
      <c r="C762" s="91" t="s">
        <v>1936</v>
      </c>
      <c r="D762" s="92"/>
      <c r="E762" s="91" t="s">
        <v>1938</v>
      </c>
      <c r="F762" s="92"/>
      <c r="G762" s="91" t="s">
        <v>1970</v>
      </c>
      <c r="H762" s="92"/>
      <c r="I762" s="91" t="s">
        <v>1970</v>
      </c>
      <c r="J762" s="92"/>
      <c r="K762" s="91" t="s">
        <v>1798</v>
      </c>
      <c r="L762" s="92"/>
      <c r="M762" s="91" t="s">
        <v>1798</v>
      </c>
      <c r="N762" s="92"/>
      <c r="O762" s="91" t="s">
        <v>2004</v>
      </c>
      <c r="P762" s="92"/>
      <c r="Q762" s="91" t="s">
        <v>2006</v>
      </c>
      <c r="R762" s="92"/>
      <c r="S762" s="91" t="s">
        <v>2008</v>
      </c>
      <c r="T762" s="92"/>
      <c r="U762" s="91" t="s">
        <v>2134</v>
      </c>
      <c r="V762" s="92"/>
      <c r="W762" s="91" t="s">
        <v>2134</v>
      </c>
      <c r="X762" s="92"/>
      <c r="Y762" s="91" t="s">
        <v>2134</v>
      </c>
      <c r="Z762" s="92"/>
      <c r="AA762" s="91" t="s">
        <v>2080</v>
      </c>
      <c r="AB762" s="92"/>
      <c r="AC762" s="91" t="s">
        <v>2080</v>
      </c>
      <c r="AD762" s="92"/>
      <c r="AE762" s="91" t="s">
        <v>2080</v>
      </c>
      <c r="AF762" s="92"/>
      <c r="AG762" s="91" t="s">
        <v>2136</v>
      </c>
      <c r="AH762" s="92"/>
      <c r="AI762" s="91" t="s">
        <v>2153</v>
      </c>
      <c r="AJ762" s="92"/>
      <c r="AK762" s="91" t="s">
        <v>3872</v>
      </c>
      <c r="AL762" s="92"/>
      <c r="AM762" s="91" t="s">
        <v>3941</v>
      </c>
      <c r="AN762" s="92"/>
      <c r="AO762" s="91" t="s">
        <v>3953</v>
      </c>
      <c r="AP762" s="92"/>
      <c r="AQ762" s="91" t="s">
        <v>3953</v>
      </c>
      <c r="AR762" s="92"/>
      <c r="AS762" s="91" t="s">
        <v>3953</v>
      </c>
      <c r="AT762" s="92"/>
      <c r="AU762" s="91" t="s">
        <v>3971</v>
      </c>
      <c r="AV762" s="92"/>
      <c r="AW762" s="91" t="s">
        <v>3971</v>
      </c>
      <c r="AX762" s="92"/>
      <c r="AY762" s="91" t="s">
        <v>3971</v>
      </c>
      <c r="AZ762" s="92"/>
      <c r="BA762" s="91" t="s">
        <v>3971</v>
      </c>
      <c r="BB762" s="92"/>
      <c r="BC762" s="91" t="s">
        <v>3971</v>
      </c>
      <c r="BD762" s="92"/>
      <c r="BE762" s="91" t="s">
        <v>3971</v>
      </c>
      <c r="BF762" s="92"/>
      <c r="BG762" s="91" t="s">
        <v>3971</v>
      </c>
      <c r="BH762" s="92"/>
      <c r="BI762" s="91" t="s">
        <v>3971</v>
      </c>
      <c r="BJ762" s="92"/>
      <c r="BK762" s="91" t="s">
        <v>3971</v>
      </c>
      <c r="BL762" s="92"/>
      <c r="BM762" s="91" t="s">
        <v>3971</v>
      </c>
      <c r="BN762" s="92"/>
      <c r="BO762" s="91" t="s">
        <v>3971</v>
      </c>
      <c r="BP762" s="92"/>
      <c r="BQ762" s="91" t="s">
        <v>3974</v>
      </c>
      <c r="BR762" s="92"/>
      <c r="BS762" s="91" t="s">
        <v>3862</v>
      </c>
      <c r="BT762" s="92"/>
      <c r="BU762" s="91" t="s">
        <v>6697</v>
      </c>
      <c r="BV762" s="92"/>
      <c r="BW762" s="91" t="s">
        <v>6699</v>
      </c>
      <c r="BX762" s="92"/>
    </row>
    <row r="763" spans="1:76" x14ac:dyDescent="0.25">
      <c r="B763" s="97"/>
      <c r="C763" s="71" t="s">
        <v>6824</v>
      </c>
      <c r="D763" s="71" t="s">
        <v>6825</v>
      </c>
      <c r="E763" s="71" t="s">
        <v>6824</v>
      </c>
      <c r="F763" s="71" t="s">
        <v>6825</v>
      </c>
      <c r="G763" s="71" t="s">
        <v>6824</v>
      </c>
      <c r="H763" s="71" t="s">
        <v>6825</v>
      </c>
      <c r="I763" s="71" t="s">
        <v>6824</v>
      </c>
      <c r="J763" s="71" t="s">
        <v>6825</v>
      </c>
      <c r="K763" s="71" t="s">
        <v>6824</v>
      </c>
      <c r="L763" s="71" t="s">
        <v>6825</v>
      </c>
      <c r="M763" s="71" t="s">
        <v>6824</v>
      </c>
      <c r="N763" s="71" t="s">
        <v>6825</v>
      </c>
      <c r="O763" s="71" t="s">
        <v>6824</v>
      </c>
      <c r="P763" s="71" t="s">
        <v>6825</v>
      </c>
      <c r="Q763" s="71" t="s">
        <v>6824</v>
      </c>
      <c r="R763" s="71" t="s">
        <v>6825</v>
      </c>
      <c r="S763" s="71" t="s">
        <v>6824</v>
      </c>
      <c r="T763" s="71" t="s">
        <v>6825</v>
      </c>
      <c r="U763" s="71" t="s">
        <v>6824</v>
      </c>
      <c r="V763" s="71" t="s">
        <v>6825</v>
      </c>
      <c r="W763" s="71" t="s">
        <v>6824</v>
      </c>
      <c r="X763" s="71" t="s">
        <v>6825</v>
      </c>
      <c r="Y763" s="71" t="s">
        <v>6824</v>
      </c>
      <c r="Z763" s="71" t="s">
        <v>6825</v>
      </c>
      <c r="AA763" s="71" t="s">
        <v>6824</v>
      </c>
      <c r="AB763" s="71" t="s">
        <v>6825</v>
      </c>
      <c r="AC763" s="71" t="s">
        <v>6824</v>
      </c>
      <c r="AD763" s="71" t="s">
        <v>6825</v>
      </c>
      <c r="AE763" s="71" t="s">
        <v>6824</v>
      </c>
      <c r="AF763" s="71" t="s">
        <v>6825</v>
      </c>
      <c r="AG763" s="71" t="s">
        <v>6824</v>
      </c>
      <c r="AH763" s="71" t="s">
        <v>6825</v>
      </c>
      <c r="AI763" s="71" t="s">
        <v>6824</v>
      </c>
      <c r="AJ763" s="71" t="s">
        <v>6825</v>
      </c>
      <c r="AK763" s="71" t="s">
        <v>6824</v>
      </c>
      <c r="AL763" s="71" t="s">
        <v>6825</v>
      </c>
      <c r="AM763" s="71" t="s">
        <v>6824</v>
      </c>
      <c r="AN763" s="71" t="s">
        <v>6825</v>
      </c>
      <c r="AO763" s="71" t="s">
        <v>6824</v>
      </c>
      <c r="AP763" s="71" t="s">
        <v>6825</v>
      </c>
      <c r="AQ763" s="71" t="s">
        <v>6824</v>
      </c>
      <c r="AR763" s="71" t="s">
        <v>6825</v>
      </c>
      <c r="AS763" s="71" t="s">
        <v>6824</v>
      </c>
      <c r="AT763" s="71" t="s">
        <v>6825</v>
      </c>
      <c r="AU763" s="71" t="s">
        <v>6824</v>
      </c>
      <c r="AV763" s="71" t="s">
        <v>6825</v>
      </c>
      <c r="AW763" s="71" t="s">
        <v>6824</v>
      </c>
      <c r="AX763" s="71" t="s">
        <v>6825</v>
      </c>
      <c r="AY763" s="71" t="s">
        <v>6824</v>
      </c>
      <c r="AZ763" s="71" t="s">
        <v>6825</v>
      </c>
      <c r="BA763" s="71" t="s">
        <v>6824</v>
      </c>
      <c r="BB763" s="71" t="s">
        <v>6825</v>
      </c>
      <c r="BC763" s="71" t="s">
        <v>6824</v>
      </c>
      <c r="BD763" s="71" t="s">
        <v>6825</v>
      </c>
      <c r="BE763" s="71" t="s">
        <v>6824</v>
      </c>
      <c r="BF763" s="71" t="s">
        <v>6825</v>
      </c>
      <c r="BG763" s="71" t="s">
        <v>6824</v>
      </c>
      <c r="BH763" s="71" t="s">
        <v>6825</v>
      </c>
      <c r="BI763" s="71" t="s">
        <v>6824</v>
      </c>
      <c r="BJ763" s="71" t="s">
        <v>6825</v>
      </c>
      <c r="BK763" s="71" t="s">
        <v>6824</v>
      </c>
      <c r="BL763" s="71" t="s">
        <v>6825</v>
      </c>
      <c r="BM763" s="71" t="s">
        <v>6824</v>
      </c>
      <c r="BN763" s="71" t="s">
        <v>6825</v>
      </c>
      <c r="BO763" s="71" t="s">
        <v>6824</v>
      </c>
      <c r="BP763" s="71" t="s">
        <v>6825</v>
      </c>
      <c r="BQ763" s="71" t="s">
        <v>6824</v>
      </c>
      <c r="BR763" s="71" t="s">
        <v>6825</v>
      </c>
      <c r="BS763" s="71" t="s">
        <v>6824</v>
      </c>
      <c r="BT763" s="71" t="s">
        <v>6825</v>
      </c>
      <c r="BU763" s="71" t="s">
        <v>6824</v>
      </c>
      <c r="BV763" s="71" t="s">
        <v>6825</v>
      </c>
      <c r="BW763" s="71" t="s">
        <v>6824</v>
      </c>
      <c r="BX763" s="71" t="s">
        <v>6825</v>
      </c>
    </row>
    <row r="764" spans="1:76" x14ac:dyDescent="0.25">
      <c r="B764" s="72"/>
      <c r="C764" s="71"/>
      <c r="D764" s="73"/>
      <c r="E764" s="71"/>
      <c r="F764" s="73"/>
      <c r="G764" s="71"/>
      <c r="H764" s="73"/>
      <c r="I764" s="71"/>
      <c r="J764" s="73"/>
      <c r="K764" s="71"/>
      <c r="L764" s="73"/>
      <c r="M764" s="71"/>
      <c r="N764" s="73"/>
      <c r="O764" s="71"/>
      <c r="P764" s="73"/>
      <c r="Q764" s="71"/>
      <c r="R764" s="73"/>
      <c r="S764" s="71"/>
      <c r="T764" s="73"/>
      <c r="U764" s="71"/>
      <c r="V764" s="73"/>
      <c r="W764" s="71"/>
      <c r="X764" s="73"/>
      <c r="Y764" s="71"/>
      <c r="Z764" s="73"/>
      <c r="AA764" s="71"/>
      <c r="AB764" s="73"/>
      <c r="AC764" s="71"/>
      <c r="AD764" s="73"/>
      <c r="AE764" s="71"/>
      <c r="AF764" s="73"/>
      <c r="AG764" s="71"/>
      <c r="AH764" s="73"/>
      <c r="AI764" s="71"/>
      <c r="AJ764" s="73"/>
      <c r="AK764" s="71"/>
      <c r="AL764" s="73"/>
      <c r="AM764" s="71"/>
      <c r="AN764" s="73"/>
      <c r="AO764" s="71"/>
      <c r="AP764" s="73"/>
      <c r="AQ764" s="71"/>
      <c r="AR764" s="73"/>
      <c r="AS764" s="71"/>
      <c r="AT764" s="73"/>
      <c r="AU764" s="71"/>
      <c r="AV764" s="73"/>
      <c r="AW764" s="71"/>
      <c r="AX764" s="73"/>
      <c r="AY764" s="71"/>
      <c r="AZ764" s="73"/>
      <c r="BA764" s="71"/>
      <c r="BB764" s="73"/>
      <c r="BC764" s="71"/>
      <c r="BD764" s="73"/>
      <c r="BE764" s="71"/>
      <c r="BF764" s="73"/>
      <c r="BG764" s="71"/>
      <c r="BH764" s="73"/>
      <c r="BI764" s="71"/>
      <c r="BJ764" s="73"/>
      <c r="BK764" s="71"/>
      <c r="BL764" s="73"/>
      <c r="BM764" s="71"/>
      <c r="BN764" s="73"/>
      <c r="BO764" s="71"/>
      <c r="BP764" s="73"/>
      <c r="BQ764" s="71"/>
      <c r="BR764" s="73"/>
      <c r="BS764" s="71"/>
      <c r="BT764" s="73"/>
      <c r="BU764" s="71"/>
      <c r="BV764" s="73"/>
      <c r="BW764" s="71"/>
      <c r="BX764" s="73"/>
    </row>
    <row r="766" spans="1:76" x14ac:dyDescent="0.25">
      <c r="B766" s="40" t="s">
        <v>7103</v>
      </c>
      <c r="C766" s="40"/>
      <c r="D766" s="40"/>
    </row>
    <row r="767" spans="1:76" x14ac:dyDescent="0.25">
      <c r="B767" s="40" t="s">
        <v>6810</v>
      </c>
      <c r="C767" s="40"/>
      <c r="D767" s="40"/>
    </row>
    <row r="768" spans="1:76" x14ac:dyDescent="0.25">
      <c r="B768" s="40" t="s">
        <v>6811</v>
      </c>
      <c r="C768" s="40"/>
      <c r="D768" s="40"/>
    </row>
    <row r="769" spans="1:56" x14ac:dyDescent="0.25">
      <c r="B769" s="42" t="s">
        <v>6812</v>
      </c>
      <c r="C769" s="40"/>
      <c r="D769" s="40"/>
    </row>
    <row r="770" spans="1:56" x14ac:dyDescent="0.25">
      <c r="B770" s="42" t="s">
        <v>6813</v>
      </c>
      <c r="C770" s="40"/>
      <c r="D770" s="40"/>
    </row>
    <row r="771" spans="1:56" x14ac:dyDescent="0.25">
      <c r="B771" s="42" t="s">
        <v>6814</v>
      </c>
      <c r="C771" s="40"/>
      <c r="D771" s="40"/>
    </row>
    <row r="772" spans="1:56" ht="100" customHeight="1" x14ac:dyDescent="0.25">
      <c r="A772" s="41" t="str">
        <f>_xlfn.CONCAT("Sample test results are documented in ",'Sample Tables'!B766," [",'Sample Tables'!B767,", ",'Sample Tables'!B768,", ",'Sample Tables'!B769,", ",'Sample Tables'!B770,", ",'Sample Tables'!B771,"]."&amp;CHAR(10))</f>
        <v xml:space="preserve">Sample test results are documented in Test 070: External Entity (third party) [Population Source/Tool: , Population Date Range: , Population Size: , Sample Methodology: , Sample Size: ].
</v>
      </c>
      <c r="B772" s="95" t="s">
        <v>6815</v>
      </c>
      <c r="C772" s="93" t="s">
        <v>7104</v>
      </c>
      <c r="D772" s="94"/>
      <c r="E772" s="93" t="s">
        <v>7105</v>
      </c>
      <c r="F772" s="94"/>
      <c r="G772" s="93" t="s">
        <v>7106</v>
      </c>
      <c r="H772" s="94"/>
      <c r="I772" s="93" t="s">
        <v>7107</v>
      </c>
      <c r="J772" s="94"/>
      <c r="K772" s="93" t="s">
        <v>7086</v>
      </c>
      <c r="L772" s="94"/>
      <c r="M772" s="93" t="s">
        <v>7108</v>
      </c>
      <c r="N772" s="94"/>
      <c r="O772" s="93" t="s">
        <v>7109</v>
      </c>
      <c r="P772" s="94"/>
      <c r="Q772" s="93" t="s">
        <v>7110</v>
      </c>
      <c r="R772" s="94"/>
      <c r="S772" s="93" t="s">
        <v>7110</v>
      </c>
      <c r="T772" s="94"/>
      <c r="U772" s="93" t="s">
        <v>7111</v>
      </c>
      <c r="V772" s="94"/>
      <c r="W772" s="93" t="s">
        <v>7112</v>
      </c>
      <c r="X772" s="94"/>
      <c r="Y772" s="93" t="s">
        <v>7113</v>
      </c>
      <c r="Z772" s="94"/>
      <c r="AA772" s="93" t="s">
        <v>7114</v>
      </c>
      <c r="AB772" s="94"/>
      <c r="AC772" s="93" t="s">
        <v>7115</v>
      </c>
      <c r="AD772" s="94"/>
      <c r="AE772" s="93" t="s">
        <v>7112</v>
      </c>
      <c r="AF772" s="94"/>
      <c r="AG772" s="93" t="s">
        <v>7116</v>
      </c>
      <c r="AH772" s="94"/>
      <c r="AI772" s="93" t="s">
        <v>7117</v>
      </c>
      <c r="AJ772" s="94"/>
      <c r="AK772" s="93" t="s">
        <v>7118</v>
      </c>
      <c r="AL772" s="94"/>
      <c r="AM772" s="93" t="s">
        <v>7119</v>
      </c>
      <c r="AN772" s="94"/>
      <c r="AO772" s="93" t="s">
        <v>7120</v>
      </c>
      <c r="AP772" s="94"/>
      <c r="AQ772" s="93" t="s">
        <v>7112</v>
      </c>
      <c r="AR772" s="94"/>
      <c r="AS772" s="93" t="s">
        <v>7121</v>
      </c>
      <c r="AT772" s="94"/>
      <c r="AU772" s="93" t="s">
        <v>7118</v>
      </c>
      <c r="AV772" s="94"/>
      <c r="AW772" s="93" t="s">
        <v>7122</v>
      </c>
      <c r="AX772" s="94"/>
      <c r="AY772" s="93" t="s">
        <v>7112</v>
      </c>
      <c r="AZ772" s="94"/>
      <c r="BA772" s="93" t="s">
        <v>7123</v>
      </c>
      <c r="BB772" s="94"/>
      <c r="BC772" s="93" t="s">
        <v>7124</v>
      </c>
      <c r="BD772" s="94"/>
    </row>
    <row r="773" spans="1:56" x14ac:dyDescent="0.25">
      <c r="B773" s="96"/>
      <c r="C773" s="91" t="s">
        <v>3870</v>
      </c>
      <c r="D773" s="92"/>
      <c r="E773" s="91" t="s">
        <v>3870</v>
      </c>
      <c r="F773" s="92"/>
      <c r="G773" s="91" t="s">
        <v>3870</v>
      </c>
      <c r="H773" s="92"/>
      <c r="I773" s="91" t="s">
        <v>3870</v>
      </c>
      <c r="J773" s="92"/>
      <c r="K773" s="91" t="s">
        <v>3872</v>
      </c>
      <c r="L773" s="92"/>
      <c r="M773" s="91" t="s">
        <v>3876</v>
      </c>
      <c r="N773" s="92"/>
      <c r="O773" s="91" t="s">
        <v>3876</v>
      </c>
      <c r="P773" s="92"/>
      <c r="Q773" s="91" t="s">
        <v>3878</v>
      </c>
      <c r="R773" s="92"/>
      <c r="S773" s="91" t="s">
        <v>3880</v>
      </c>
      <c r="T773" s="92"/>
      <c r="U773" s="91" t="s">
        <v>3882</v>
      </c>
      <c r="V773" s="92"/>
      <c r="W773" s="91" t="s">
        <v>3884</v>
      </c>
      <c r="X773" s="92"/>
      <c r="Y773" s="91" t="s">
        <v>3884</v>
      </c>
      <c r="Z773" s="92"/>
      <c r="AA773" s="91" t="s">
        <v>3884</v>
      </c>
      <c r="AB773" s="92"/>
      <c r="AC773" s="91" t="s">
        <v>3884</v>
      </c>
      <c r="AD773" s="92"/>
      <c r="AE773" s="91" t="s">
        <v>3888</v>
      </c>
      <c r="AF773" s="92"/>
      <c r="AG773" s="91" t="s">
        <v>3888</v>
      </c>
      <c r="AH773" s="92"/>
      <c r="AI773" s="91" t="s">
        <v>3888</v>
      </c>
      <c r="AJ773" s="92"/>
      <c r="AK773" s="91" t="s">
        <v>3890</v>
      </c>
      <c r="AL773" s="92"/>
      <c r="AM773" s="91" t="s">
        <v>3890</v>
      </c>
      <c r="AN773" s="92"/>
      <c r="AO773" s="91" t="s">
        <v>3909</v>
      </c>
      <c r="AP773" s="92"/>
      <c r="AQ773" s="91" t="s">
        <v>3926</v>
      </c>
      <c r="AR773" s="92"/>
      <c r="AS773" s="91" t="s">
        <v>3939</v>
      </c>
      <c r="AT773" s="92"/>
      <c r="AU773" s="91" t="s">
        <v>3943</v>
      </c>
      <c r="AV773" s="92"/>
      <c r="AW773" s="91" t="s">
        <v>3943</v>
      </c>
      <c r="AX773" s="92"/>
      <c r="AY773" s="91" t="s">
        <v>3967</v>
      </c>
      <c r="AZ773" s="92"/>
      <c r="BA773" s="91" t="s">
        <v>3967</v>
      </c>
      <c r="BB773" s="92"/>
      <c r="BC773" s="91" t="s">
        <v>3978</v>
      </c>
      <c r="BD773" s="92"/>
    </row>
    <row r="774" spans="1:56" x14ac:dyDescent="0.25">
      <c r="B774" s="97"/>
      <c r="C774" s="71" t="s">
        <v>6824</v>
      </c>
      <c r="D774" s="71" t="s">
        <v>6825</v>
      </c>
      <c r="E774" s="71"/>
      <c r="F774" s="71"/>
      <c r="G774" s="71"/>
      <c r="H774" s="71"/>
      <c r="I774" s="71" t="s">
        <v>6824</v>
      </c>
      <c r="J774" s="71" t="s">
        <v>6825</v>
      </c>
      <c r="K774" s="71" t="s">
        <v>6824</v>
      </c>
      <c r="L774" s="71" t="s">
        <v>6825</v>
      </c>
      <c r="M774" s="71"/>
      <c r="N774" s="71"/>
      <c r="O774" s="71"/>
      <c r="P774" s="71"/>
      <c r="Q774" s="71"/>
      <c r="R774" s="71"/>
      <c r="S774" s="71"/>
      <c r="T774" s="71"/>
      <c r="U774" s="71" t="s">
        <v>6824</v>
      </c>
      <c r="V774" s="71" t="s">
        <v>6825</v>
      </c>
      <c r="W774" s="71" t="s">
        <v>6824</v>
      </c>
      <c r="X774" s="71" t="s">
        <v>6825</v>
      </c>
      <c r="Y774" s="71" t="s">
        <v>6824</v>
      </c>
      <c r="Z774" s="71" t="s">
        <v>6825</v>
      </c>
      <c r="AA774" s="71" t="s">
        <v>6824</v>
      </c>
      <c r="AB774" s="71" t="s">
        <v>6825</v>
      </c>
      <c r="AC774" s="71" t="s">
        <v>6824</v>
      </c>
      <c r="AD774" s="71" t="s">
        <v>6825</v>
      </c>
      <c r="AE774" s="71" t="s">
        <v>6824</v>
      </c>
      <c r="AF774" s="71" t="s">
        <v>6825</v>
      </c>
      <c r="AG774" s="71" t="s">
        <v>6824</v>
      </c>
      <c r="AH774" s="71" t="s">
        <v>6825</v>
      </c>
      <c r="AI774" s="71" t="s">
        <v>6824</v>
      </c>
      <c r="AJ774" s="71" t="s">
        <v>6825</v>
      </c>
      <c r="AK774" s="71" t="s">
        <v>6824</v>
      </c>
      <c r="AL774" s="71" t="s">
        <v>6825</v>
      </c>
      <c r="AM774" s="71" t="s">
        <v>6824</v>
      </c>
      <c r="AN774" s="71" t="s">
        <v>6825</v>
      </c>
      <c r="AO774" s="71" t="s">
        <v>6824</v>
      </c>
      <c r="AP774" s="71" t="s">
        <v>6825</v>
      </c>
      <c r="AQ774" s="71" t="s">
        <v>6824</v>
      </c>
      <c r="AR774" s="71" t="s">
        <v>6825</v>
      </c>
      <c r="AS774" s="71" t="s">
        <v>6824</v>
      </c>
      <c r="AT774" s="71" t="s">
        <v>6825</v>
      </c>
      <c r="AU774" s="71" t="s">
        <v>6824</v>
      </c>
      <c r="AV774" s="71" t="s">
        <v>6825</v>
      </c>
      <c r="AW774" s="71" t="s">
        <v>6824</v>
      </c>
      <c r="AX774" s="71" t="s">
        <v>6825</v>
      </c>
      <c r="AY774" s="71" t="s">
        <v>6824</v>
      </c>
      <c r="AZ774" s="71" t="s">
        <v>6825</v>
      </c>
      <c r="BA774" s="71" t="s">
        <v>6824</v>
      </c>
      <c r="BB774" s="71" t="s">
        <v>6825</v>
      </c>
      <c r="BC774" s="71" t="s">
        <v>6824</v>
      </c>
      <c r="BD774" s="71" t="s">
        <v>6825</v>
      </c>
    </row>
    <row r="775" spans="1:56" x14ac:dyDescent="0.25">
      <c r="B775" s="72"/>
      <c r="C775" s="71"/>
      <c r="D775" s="73"/>
      <c r="E775" s="71"/>
      <c r="F775" s="73"/>
      <c r="G775" s="71"/>
      <c r="H775" s="73"/>
      <c r="I775" s="71"/>
      <c r="J775" s="73"/>
      <c r="K775" s="71"/>
      <c r="L775" s="73"/>
      <c r="M775" s="71"/>
      <c r="N775" s="73"/>
      <c r="O775" s="71"/>
      <c r="P775" s="73"/>
      <c r="Q775" s="71"/>
      <c r="R775" s="73"/>
      <c r="S775" s="71"/>
      <c r="T775" s="73"/>
      <c r="U775" s="71"/>
      <c r="V775" s="73"/>
      <c r="W775" s="71"/>
      <c r="X775" s="73"/>
      <c r="Y775" s="71"/>
      <c r="Z775" s="73"/>
      <c r="AA775" s="71"/>
      <c r="AB775" s="73"/>
      <c r="AC775" s="71"/>
      <c r="AD775" s="73"/>
      <c r="AE775" s="71"/>
      <c r="AF775" s="73"/>
      <c r="AG775" s="71"/>
      <c r="AH775" s="73"/>
      <c r="AI775" s="71"/>
      <c r="AJ775" s="73"/>
      <c r="AK775" s="71"/>
      <c r="AL775" s="73"/>
      <c r="AM775" s="71"/>
      <c r="AN775" s="73"/>
      <c r="AO775" s="71"/>
      <c r="AP775" s="73"/>
      <c r="AQ775" s="71"/>
      <c r="AR775" s="73"/>
      <c r="AS775" s="71"/>
      <c r="AT775" s="73"/>
      <c r="AU775" s="71"/>
      <c r="AV775" s="73"/>
      <c r="AW775" s="71"/>
      <c r="AX775" s="73"/>
      <c r="AY775" s="71"/>
      <c r="AZ775" s="73"/>
      <c r="BA775" s="71"/>
      <c r="BB775" s="73"/>
      <c r="BC775" s="71"/>
      <c r="BD775" s="73"/>
    </row>
    <row r="777" spans="1:56" x14ac:dyDescent="0.25">
      <c r="B777" s="40" t="s">
        <v>7125</v>
      </c>
      <c r="C777" s="40"/>
      <c r="D777" s="40"/>
    </row>
    <row r="778" spans="1:56" x14ac:dyDescent="0.25">
      <c r="B778" s="40" t="s">
        <v>6810</v>
      </c>
      <c r="C778" s="40"/>
      <c r="D778" s="40"/>
    </row>
    <row r="779" spans="1:56" x14ac:dyDescent="0.25">
      <c r="B779" s="40" t="s">
        <v>6811</v>
      </c>
      <c r="C779" s="40"/>
      <c r="D779" s="40"/>
    </row>
    <row r="780" spans="1:56" x14ac:dyDescent="0.25">
      <c r="B780" s="42" t="s">
        <v>6812</v>
      </c>
      <c r="C780" s="40"/>
      <c r="D780" s="40"/>
    </row>
    <row r="781" spans="1:56" x14ac:dyDescent="0.25">
      <c r="B781" s="42" t="s">
        <v>6813</v>
      </c>
      <c r="C781" s="40"/>
      <c r="D781" s="40"/>
    </row>
    <row r="782" spans="1:56" x14ac:dyDescent="0.25">
      <c r="B782" s="42" t="s">
        <v>6814</v>
      </c>
      <c r="C782" s="40"/>
      <c r="D782" s="40"/>
    </row>
    <row r="783" spans="1:56" x14ac:dyDescent="0.25">
      <c r="A783" s="41" t="str">
        <f>_xlfn.CONCAT("Sample test results are documented in ",'Sample Tables'!B777," [",'Sample Tables'!B778,", ",'Sample Tables'!B779,", ",'Sample Tables'!B780,", ",'Sample Tables'!B781,", ",'Sample Tables'!B782,"]."&amp;CHAR(10))</f>
        <v xml:space="preserve">Sample test results are documented in Test 071: Information Security (authorization/consent form) [Population Source/Tool: , Population Date Range: , Population Size: , Sample Methodology: , Sample Size: ].
</v>
      </c>
      <c r="B783" s="95" t="s">
        <v>6815</v>
      </c>
      <c r="C783" s="93"/>
      <c r="D783" s="94"/>
    </row>
    <row r="784" spans="1:56" x14ac:dyDescent="0.25">
      <c r="B784" s="96"/>
      <c r="C784" s="91"/>
      <c r="D784" s="92"/>
    </row>
    <row r="785" spans="1:4" x14ac:dyDescent="0.25">
      <c r="B785" s="97"/>
      <c r="C785" s="71" t="s">
        <v>6824</v>
      </c>
      <c r="D785" s="71" t="s">
        <v>6825</v>
      </c>
    </row>
    <row r="786" spans="1:4" x14ac:dyDescent="0.25">
      <c r="B786" s="72"/>
      <c r="C786" s="71"/>
      <c r="D786" s="73"/>
    </row>
    <row r="788" spans="1:4" x14ac:dyDescent="0.25">
      <c r="B788" s="40" t="s">
        <v>7126</v>
      </c>
      <c r="C788" s="40"/>
      <c r="D788" s="40"/>
    </row>
    <row r="789" spans="1:4" x14ac:dyDescent="0.25">
      <c r="B789" s="40" t="s">
        <v>6810</v>
      </c>
      <c r="C789" s="40"/>
      <c r="D789" s="40"/>
    </row>
    <row r="790" spans="1:4" x14ac:dyDescent="0.25">
      <c r="B790" s="40" t="s">
        <v>6811</v>
      </c>
      <c r="C790" s="40"/>
      <c r="D790" s="40"/>
    </row>
    <row r="791" spans="1:4" x14ac:dyDescent="0.25">
      <c r="B791" s="42" t="s">
        <v>6812</v>
      </c>
      <c r="C791" s="40"/>
      <c r="D791" s="40"/>
    </row>
    <row r="792" spans="1:4" x14ac:dyDescent="0.25">
      <c r="B792" s="42" t="s">
        <v>6813</v>
      </c>
      <c r="C792" s="40"/>
      <c r="D792" s="40"/>
    </row>
    <row r="793" spans="1:4" x14ac:dyDescent="0.25">
      <c r="B793" s="42" t="s">
        <v>6814</v>
      </c>
      <c r="C793" s="40"/>
      <c r="D793" s="40"/>
    </row>
    <row r="794" spans="1:4" x14ac:dyDescent="0.25">
      <c r="A794" s="41" t="str">
        <f>_xlfn.CONCAT("Sample test results are documented in ",'Sample Tables'!B788," [",'Sample Tables'!B789,", ",'Sample Tables'!B790,", ",'Sample Tables'!B791,", ",'Sample Tables'!B792,", ",'Sample Tables'!B793,"]."&amp;CHAR(10))</f>
        <v xml:space="preserve">Sample test results are documented in Test 072: Information Security (breach forensic investigation required) [Population Source/Tool: , Population Date Range: , Population Size: , Sample Methodology: , Sample Size: ].
</v>
      </c>
      <c r="B794" s="95" t="s">
        <v>6815</v>
      </c>
      <c r="C794" s="93"/>
      <c r="D794" s="94"/>
    </row>
    <row r="795" spans="1:4" x14ac:dyDescent="0.25">
      <c r="B795" s="96"/>
      <c r="C795" s="91"/>
      <c r="D795" s="92"/>
    </row>
    <row r="796" spans="1:4" x14ac:dyDescent="0.25">
      <c r="B796" s="97"/>
      <c r="C796" s="71" t="s">
        <v>6824</v>
      </c>
      <c r="D796" s="71" t="s">
        <v>6825</v>
      </c>
    </row>
    <row r="797" spans="1:4" x14ac:dyDescent="0.25">
      <c r="B797" s="72"/>
      <c r="C797" s="71"/>
      <c r="D797" s="73"/>
    </row>
    <row r="799" spans="1:4" x14ac:dyDescent="0.25">
      <c r="B799" s="40" t="s">
        <v>7127</v>
      </c>
      <c r="C799" s="40"/>
      <c r="D799" s="40"/>
    </row>
    <row r="800" spans="1:4" x14ac:dyDescent="0.25">
      <c r="B800" s="40" t="s">
        <v>6810</v>
      </c>
      <c r="C800" s="40"/>
      <c r="D800" s="40"/>
    </row>
    <row r="801" spans="1:40" x14ac:dyDescent="0.25">
      <c r="B801" s="40" t="s">
        <v>6811</v>
      </c>
      <c r="C801" s="40"/>
      <c r="D801" s="40"/>
    </row>
    <row r="802" spans="1:40" x14ac:dyDescent="0.25">
      <c r="B802" s="42" t="s">
        <v>6812</v>
      </c>
      <c r="C802" s="40"/>
      <c r="D802" s="40"/>
    </row>
    <row r="803" spans="1:40" x14ac:dyDescent="0.25">
      <c r="B803" s="42" t="s">
        <v>6813</v>
      </c>
      <c r="C803" s="40"/>
      <c r="D803" s="40"/>
    </row>
    <row r="804" spans="1:40" x14ac:dyDescent="0.25">
      <c r="B804" s="42" t="s">
        <v>6814</v>
      </c>
      <c r="C804" s="40"/>
      <c r="D804" s="40"/>
    </row>
    <row r="805" spans="1:40" ht="100" customHeight="1" x14ac:dyDescent="0.25">
      <c r="A805" s="41" t="str">
        <f>_xlfn.CONCAT("Sample test results are documented in ",'Sample Tables'!B799," [",'Sample Tables'!B800,", ",'Sample Tables'!B801,", ",'Sample Tables'!B802,", ",'Sample Tables'!B803,", ",'Sample Tables'!B804,"]."&amp;CHAR(10))</f>
        <v xml:space="preserve">Sample test results are documented in Test 073: Information Security (breach) [Population Source/Tool: , Population Date Range: , Population Size: , Sample Methodology: , Sample Size: ].
</v>
      </c>
      <c r="B805" s="95" t="s">
        <v>6815</v>
      </c>
      <c r="C805" s="93" t="s">
        <v>7128</v>
      </c>
      <c r="D805" s="94"/>
      <c r="E805" s="93" t="s">
        <v>7129</v>
      </c>
      <c r="F805" s="94"/>
      <c r="G805" s="93" t="s">
        <v>7130</v>
      </c>
      <c r="H805" s="94"/>
      <c r="I805" s="93" t="s">
        <v>7131</v>
      </c>
      <c r="J805" s="94"/>
      <c r="K805" s="93" t="s">
        <v>7132</v>
      </c>
      <c r="L805" s="94"/>
      <c r="M805" s="93" t="s">
        <v>7133</v>
      </c>
      <c r="N805" s="94"/>
      <c r="O805" s="93" t="s">
        <v>7134</v>
      </c>
      <c r="P805" s="94"/>
      <c r="Q805" s="93" t="s">
        <v>7135</v>
      </c>
      <c r="R805" s="94"/>
      <c r="S805" s="93" t="s">
        <v>7136</v>
      </c>
      <c r="T805" s="94"/>
      <c r="U805" s="93" t="s">
        <v>7137</v>
      </c>
      <c r="V805" s="94"/>
      <c r="W805" s="93" t="s">
        <v>7138</v>
      </c>
      <c r="X805" s="94"/>
      <c r="Y805" s="93" t="s">
        <v>7132</v>
      </c>
      <c r="Z805" s="94"/>
      <c r="AA805" s="93" t="s">
        <v>7133</v>
      </c>
      <c r="AB805" s="94"/>
      <c r="AC805" s="93" t="s">
        <v>7134</v>
      </c>
      <c r="AD805" s="94"/>
      <c r="AE805" s="93" t="s">
        <v>7135</v>
      </c>
      <c r="AF805" s="94"/>
      <c r="AG805" s="93" t="s">
        <v>7136</v>
      </c>
      <c r="AH805" s="94"/>
      <c r="AI805" s="93" t="s">
        <v>7137</v>
      </c>
      <c r="AJ805" s="94"/>
      <c r="AK805" s="93" t="s">
        <v>7138</v>
      </c>
      <c r="AL805" s="94"/>
      <c r="AM805" s="93" t="s">
        <v>7139</v>
      </c>
      <c r="AN805" s="94"/>
    </row>
    <row r="806" spans="1:40" x14ac:dyDescent="0.25">
      <c r="B806" s="96"/>
      <c r="C806" s="91" t="s">
        <v>4057</v>
      </c>
      <c r="D806" s="92"/>
      <c r="E806" s="91" t="s">
        <v>4059</v>
      </c>
      <c r="F806" s="92"/>
      <c r="G806" s="91" t="s">
        <v>4061</v>
      </c>
      <c r="H806" s="92"/>
      <c r="I806" s="91" t="s">
        <v>4146</v>
      </c>
      <c r="J806" s="92"/>
      <c r="K806" s="91" t="s">
        <v>4155</v>
      </c>
      <c r="L806" s="92"/>
      <c r="M806" s="91" t="s">
        <v>4155</v>
      </c>
      <c r="N806" s="92"/>
      <c r="O806" s="91" t="s">
        <v>4155</v>
      </c>
      <c r="P806" s="92"/>
      <c r="Q806" s="91" t="s">
        <v>4155</v>
      </c>
      <c r="R806" s="92"/>
      <c r="S806" s="91" t="s">
        <v>4155</v>
      </c>
      <c r="T806" s="92"/>
      <c r="U806" s="91" t="s">
        <v>4155</v>
      </c>
      <c r="V806" s="92"/>
      <c r="W806" s="91" t="s">
        <v>4155</v>
      </c>
      <c r="X806" s="92"/>
      <c r="Y806" s="91" t="s">
        <v>4079</v>
      </c>
      <c r="Z806" s="92"/>
      <c r="AA806" s="91" t="s">
        <v>4079</v>
      </c>
      <c r="AB806" s="92"/>
      <c r="AC806" s="91" t="s">
        <v>4079</v>
      </c>
      <c r="AD806" s="92"/>
      <c r="AE806" s="91" t="s">
        <v>4079</v>
      </c>
      <c r="AF806" s="92"/>
      <c r="AG806" s="91" t="s">
        <v>4079</v>
      </c>
      <c r="AH806" s="92"/>
      <c r="AI806" s="91" t="s">
        <v>4079</v>
      </c>
      <c r="AJ806" s="92"/>
      <c r="AK806" s="91" t="s">
        <v>4079</v>
      </c>
      <c r="AL806" s="92"/>
      <c r="AM806" s="91" t="s">
        <v>4190</v>
      </c>
      <c r="AN806" s="92"/>
    </row>
    <row r="807" spans="1:40" x14ac:dyDescent="0.25">
      <c r="B807" s="97"/>
      <c r="C807" s="71" t="s">
        <v>6824</v>
      </c>
      <c r="D807" s="71" t="s">
        <v>6825</v>
      </c>
      <c r="E807" s="71" t="s">
        <v>6824</v>
      </c>
      <c r="F807" s="71" t="s">
        <v>6825</v>
      </c>
      <c r="G807" s="71" t="s">
        <v>6824</v>
      </c>
      <c r="H807" s="71" t="s">
        <v>6825</v>
      </c>
      <c r="I807" s="71" t="s">
        <v>6824</v>
      </c>
      <c r="J807" s="71" t="s">
        <v>6825</v>
      </c>
      <c r="K807" s="71" t="s">
        <v>6824</v>
      </c>
      <c r="L807" s="71" t="s">
        <v>6825</v>
      </c>
      <c r="M807" s="71" t="s">
        <v>6824</v>
      </c>
      <c r="N807" s="71" t="s">
        <v>6825</v>
      </c>
      <c r="O807" s="71" t="s">
        <v>6824</v>
      </c>
      <c r="P807" s="71" t="s">
        <v>6825</v>
      </c>
      <c r="Q807" s="71" t="s">
        <v>6824</v>
      </c>
      <c r="R807" s="71" t="s">
        <v>6825</v>
      </c>
      <c r="S807" s="71" t="s">
        <v>6824</v>
      </c>
      <c r="T807" s="71" t="s">
        <v>6825</v>
      </c>
      <c r="U807" s="71" t="s">
        <v>6824</v>
      </c>
      <c r="V807" s="71" t="s">
        <v>6825</v>
      </c>
      <c r="W807" s="71" t="s">
        <v>6824</v>
      </c>
      <c r="X807" s="71" t="s">
        <v>6825</v>
      </c>
      <c r="Y807" s="71" t="s">
        <v>6824</v>
      </c>
      <c r="Z807" s="71" t="s">
        <v>6825</v>
      </c>
      <c r="AA807" s="71" t="s">
        <v>6824</v>
      </c>
      <c r="AB807" s="71" t="s">
        <v>6825</v>
      </c>
      <c r="AC807" s="71" t="s">
        <v>6824</v>
      </c>
      <c r="AD807" s="71" t="s">
        <v>6825</v>
      </c>
      <c r="AE807" s="71" t="s">
        <v>6824</v>
      </c>
      <c r="AF807" s="71" t="s">
        <v>6825</v>
      </c>
      <c r="AG807" s="71" t="s">
        <v>6824</v>
      </c>
      <c r="AH807" s="71" t="s">
        <v>6825</v>
      </c>
      <c r="AI807" s="71" t="s">
        <v>6824</v>
      </c>
      <c r="AJ807" s="71" t="s">
        <v>6825</v>
      </c>
      <c r="AK807" s="71" t="s">
        <v>6824</v>
      </c>
      <c r="AL807" s="71" t="s">
        <v>6825</v>
      </c>
      <c r="AM807" s="71" t="s">
        <v>6824</v>
      </c>
      <c r="AN807" s="71" t="s">
        <v>6825</v>
      </c>
    </row>
    <row r="808" spans="1:40" x14ac:dyDescent="0.25">
      <c r="B808" s="72"/>
      <c r="C808" s="71"/>
      <c r="D808" s="73"/>
      <c r="E808" s="71"/>
      <c r="F808" s="73"/>
      <c r="G808" s="71"/>
      <c r="H808" s="73"/>
      <c r="I808" s="71"/>
      <c r="J808" s="73"/>
      <c r="K808" s="71"/>
      <c r="L808" s="73"/>
      <c r="M808" s="71"/>
      <c r="N808" s="73"/>
      <c r="O808" s="71"/>
      <c r="P808" s="73"/>
      <c r="Q808" s="71"/>
      <c r="R808" s="73"/>
      <c r="S808" s="71"/>
      <c r="T808" s="73"/>
      <c r="U808" s="71"/>
      <c r="V808" s="73"/>
      <c r="W808" s="71"/>
      <c r="X808" s="73"/>
      <c r="Y808" s="71"/>
      <c r="Z808" s="73"/>
      <c r="AA808" s="71"/>
      <c r="AB808" s="73"/>
      <c r="AC808" s="71"/>
      <c r="AD808" s="73"/>
      <c r="AE808" s="71"/>
      <c r="AF808" s="73"/>
      <c r="AG808" s="71"/>
      <c r="AH808" s="73"/>
      <c r="AI808" s="71"/>
      <c r="AJ808" s="73"/>
      <c r="AK808" s="71"/>
      <c r="AL808" s="73"/>
      <c r="AM808" s="71"/>
      <c r="AN808" s="73"/>
    </row>
    <row r="810" spans="1:40" x14ac:dyDescent="0.25">
      <c r="B810" s="40" t="s">
        <v>7140</v>
      </c>
      <c r="C810" s="40"/>
      <c r="D810" s="40"/>
    </row>
    <row r="811" spans="1:40" x14ac:dyDescent="0.25">
      <c r="B811" s="40" t="s">
        <v>6810</v>
      </c>
      <c r="C811" s="40"/>
      <c r="D811" s="40"/>
    </row>
    <row r="812" spans="1:40" x14ac:dyDescent="0.25">
      <c r="B812" s="40" t="s">
        <v>6811</v>
      </c>
      <c r="C812" s="40"/>
      <c r="D812" s="40"/>
    </row>
    <row r="813" spans="1:40" x14ac:dyDescent="0.25">
      <c r="B813" s="42" t="s">
        <v>6812</v>
      </c>
      <c r="C813" s="40"/>
      <c r="D813" s="40"/>
    </row>
    <row r="814" spans="1:40" x14ac:dyDescent="0.25">
      <c r="B814" s="42" t="s">
        <v>6813</v>
      </c>
      <c r="C814" s="40"/>
      <c r="D814" s="40"/>
    </row>
    <row r="815" spans="1:40" x14ac:dyDescent="0.25">
      <c r="B815" s="42" t="s">
        <v>6814</v>
      </c>
      <c r="C815" s="40"/>
      <c r="D815" s="40"/>
    </row>
    <row r="816" spans="1:40" ht="100" customHeight="1" x14ac:dyDescent="0.25">
      <c r="A816" s="41" t="str">
        <f>_xlfn.CONCAT("Sample test results are documented in ",'Sample Tables'!B810," [",'Sample Tables'!B811,", ",'Sample Tables'!B812,", ",'Sample Tables'!B813,", ",'Sample Tables'!B814,", ",'Sample Tables'!B815,"]."&amp;CHAR(10))</f>
        <v xml:space="preserve">Sample test results are documented in Test 074: Information Security (business continuity &amp; disaster plan) [Population Source/Tool: , Population Date Range: , Population Size: , Sample Methodology: , Sample Size: ].
</v>
      </c>
      <c r="B816" s="95" t="s">
        <v>6815</v>
      </c>
      <c r="C816" s="93" t="s">
        <v>7141</v>
      </c>
      <c r="D816" s="94"/>
      <c r="E816" s="93" t="s">
        <v>7142</v>
      </c>
      <c r="F816" s="94"/>
      <c r="G816" s="93" t="s">
        <v>7143</v>
      </c>
      <c r="H816" s="94"/>
      <c r="I816" s="93" t="s">
        <v>7144</v>
      </c>
      <c r="J816" s="94"/>
      <c r="K816" s="93" t="s">
        <v>7145</v>
      </c>
      <c r="L816" s="94"/>
      <c r="M816" s="93" t="s">
        <v>7145</v>
      </c>
      <c r="N816" s="94"/>
      <c r="O816" s="93" t="s">
        <v>7146</v>
      </c>
      <c r="P816" s="94"/>
      <c r="Q816" s="93" t="s">
        <v>7147</v>
      </c>
      <c r="R816" s="94"/>
      <c r="S816" s="93" t="s">
        <v>7145</v>
      </c>
      <c r="T816" s="94"/>
      <c r="U816" s="93" t="s">
        <v>7146</v>
      </c>
      <c r="V816" s="94"/>
      <c r="W816" s="93" t="s">
        <v>7147</v>
      </c>
      <c r="X816" s="94"/>
      <c r="Y816" s="93" t="s">
        <v>7148</v>
      </c>
      <c r="Z816" s="94"/>
      <c r="AA816" s="93" t="s">
        <v>7149</v>
      </c>
      <c r="AB816" s="94"/>
    </row>
    <row r="817" spans="1:28" x14ac:dyDescent="0.25">
      <c r="B817" s="96"/>
      <c r="C817" s="91" t="s">
        <v>4460</v>
      </c>
      <c r="D817" s="92"/>
      <c r="E817" s="91" t="s">
        <v>4460</v>
      </c>
      <c r="F817" s="92"/>
      <c r="G817" s="91" t="s">
        <v>4460</v>
      </c>
      <c r="H817" s="92"/>
      <c r="I817" s="91" t="s">
        <v>4460</v>
      </c>
      <c r="J817" s="92"/>
      <c r="K817" s="91" t="s">
        <v>4460</v>
      </c>
      <c r="L817" s="92"/>
      <c r="M817" s="91" t="s">
        <v>4466</v>
      </c>
      <c r="N817" s="92"/>
      <c r="O817" s="91" t="s">
        <v>4466</v>
      </c>
      <c r="P817" s="92"/>
      <c r="Q817" s="91" t="s">
        <v>4466</v>
      </c>
      <c r="R817" s="92"/>
      <c r="S817" s="91" t="s">
        <v>4424</v>
      </c>
      <c r="T817" s="92"/>
      <c r="U817" s="91" t="s">
        <v>4424</v>
      </c>
      <c r="V817" s="92"/>
      <c r="W817" s="91" t="s">
        <v>4424</v>
      </c>
      <c r="X817" s="92"/>
      <c r="Y817" s="91" t="s">
        <v>4468</v>
      </c>
      <c r="Z817" s="92"/>
      <c r="AA817" s="91" t="s">
        <v>4885</v>
      </c>
      <c r="AB817" s="92"/>
    </row>
    <row r="818" spans="1:28" x14ac:dyDescent="0.25">
      <c r="B818" s="97"/>
      <c r="C818" s="71" t="s">
        <v>6824</v>
      </c>
      <c r="D818" s="71" t="s">
        <v>6825</v>
      </c>
      <c r="E818" s="71" t="s">
        <v>6824</v>
      </c>
      <c r="F818" s="71" t="s">
        <v>6825</v>
      </c>
      <c r="G818" s="71" t="s">
        <v>6824</v>
      </c>
      <c r="H818" s="71" t="s">
        <v>6825</v>
      </c>
      <c r="I818" s="71" t="s">
        <v>6824</v>
      </c>
      <c r="J818" s="71" t="s">
        <v>6825</v>
      </c>
      <c r="K818" s="71" t="s">
        <v>6824</v>
      </c>
      <c r="L818" s="71" t="s">
        <v>6825</v>
      </c>
      <c r="M818" s="71" t="s">
        <v>6824</v>
      </c>
      <c r="N818" s="71" t="s">
        <v>6825</v>
      </c>
      <c r="O818" s="71" t="s">
        <v>6824</v>
      </c>
      <c r="P818" s="71" t="s">
        <v>6825</v>
      </c>
      <c r="Q818" s="71" t="s">
        <v>6824</v>
      </c>
      <c r="R818" s="71" t="s">
        <v>6825</v>
      </c>
      <c r="S818" s="71" t="s">
        <v>6824</v>
      </c>
      <c r="T818" s="71" t="s">
        <v>6825</v>
      </c>
      <c r="U818" s="71" t="s">
        <v>6824</v>
      </c>
      <c r="V818" s="71" t="s">
        <v>6825</v>
      </c>
      <c r="W818" s="71" t="s">
        <v>6824</v>
      </c>
      <c r="X818" s="71" t="s">
        <v>6825</v>
      </c>
      <c r="Y818" s="71" t="s">
        <v>6824</v>
      </c>
      <c r="Z818" s="71" t="s">
        <v>6825</v>
      </c>
      <c r="AA818" s="71" t="s">
        <v>6824</v>
      </c>
      <c r="AB818" s="71" t="s">
        <v>6825</v>
      </c>
    </row>
    <row r="819" spans="1:28" x14ac:dyDescent="0.25">
      <c r="B819" s="72"/>
      <c r="C819" s="71"/>
      <c r="D819" s="73"/>
      <c r="E819" s="71"/>
      <c r="F819" s="73"/>
      <c r="G819" s="71"/>
      <c r="H819" s="73"/>
      <c r="I819" s="71"/>
      <c r="J819" s="73"/>
      <c r="K819" s="71"/>
      <c r="L819" s="73"/>
      <c r="M819" s="71"/>
      <c r="N819" s="73"/>
      <c r="O819" s="71"/>
      <c r="P819" s="73"/>
      <c r="Q819" s="71"/>
      <c r="R819" s="73"/>
      <c r="S819" s="71"/>
      <c r="T819" s="73"/>
      <c r="U819" s="71"/>
      <c r="V819" s="73"/>
      <c r="W819" s="71"/>
      <c r="X819" s="73"/>
      <c r="Y819" s="71"/>
      <c r="Z819" s="73"/>
      <c r="AA819" s="71"/>
      <c r="AB819" s="73"/>
    </row>
    <row r="821" spans="1:28" x14ac:dyDescent="0.25">
      <c r="B821" s="40" t="s">
        <v>7150</v>
      </c>
      <c r="C821" s="40"/>
      <c r="D821" s="40"/>
    </row>
    <row r="822" spans="1:28" x14ac:dyDescent="0.25">
      <c r="B822" s="40" t="s">
        <v>6810</v>
      </c>
      <c r="C822" s="40"/>
      <c r="D822" s="40"/>
    </row>
    <row r="823" spans="1:28" x14ac:dyDescent="0.25">
      <c r="B823" s="40" t="s">
        <v>6811</v>
      </c>
      <c r="C823" s="40"/>
      <c r="D823" s="40"/>
    </row>
    <row r="824" spans="1:28" x14ac:dyDescent="0.25">
      <c r="B824" s="42" t="s">
        <v>6812</v>
      </c>
      <c r="C824" s="40"/>
      <c r="D824" s="40"/>
    </row>
    <row r="825" spans="1:28" x14ac:dyDescent="0.25">
      <c r="B825" s="42" t="s">
        <v>6813</v>
      </c>
      <c r="C825" s="40"/>
      <c r="D825" s="40"/>
    </row>
    <row r="826" spans="1:28" x14ac:dyDescent="0.25">
      <c r="B826" s="42" t="s">
        <v>6814</v>
      </c>
      <c r="C826" s="40"/>
      <c r="D826" s="40"/>
    </row>
    <row r="827" spans="1:28" ht="100" customHeight="1" x14ac:dyDescent="0.25">
      <c r="A827" s="41" t="str">
        <f>_xlfn.CONCAT("Sample test results are documented in ",'Sample Tables'!B821," [",'Sample Tables'!B822,", ",'Sample Tables'!B823,", ",'Sample Tables'!B824,", ",'Sample Tables'!B825,", ",'Sample Tables'!B826,"]."&amp;CHAR(10))</f>
        <v xml:space="preserve">Sample test results are documented in Test 075: Information Security (business continuity &amp; disaster test) [Population Source/Tool: , Population Date Range: , Population Size: , Sample Methodology: , Sample Size: ].
</v>
      </c>
      <c r="B827" s="95" t="s">
        <v>6815</v>
      </c>
      <c r="C827" s="93" t="s">
        <v>7151</v>
      </c>
      <c r="D827" s="94"/>
      <c r="E827" s="93" t="s">
        <v>7152</v>
      </c>
      <c r="F827" s="94"/>
      <c r="G827" s="93" t="s">
        <v>7153</v>
      </c>
      <c r="H827" s="94"/>
      <c r="I827" s="93" t="s">
        <v>7154</v>
      </c>
      <c r="J827" s="94"/>
      <c r="K827" s="93" t="s">
        <v>7155</v>
      </c>
      <c r="L827" s="94"/>
      <c r="M827" s="93" t="s">
        <v>7156</v>
      </c>
      <c r="N827" s="94"/>
      <c r="O827" s="93" t="s">
        <v>7157</v>
      </c>
      <c r="P827" s="94"/>
      <c r="Q827" s="93" t="s">
        <v>7158</v>
      </c>
      <c r="R827" s="94"/>
      <c r="S827" s="93" t="s">
        <v>7159</v>
      </c>
      <c r="T827" s="94"/>
    </row>
    <row r="828" spans="1:28" x14ac:dyDescent="0.25">
      <c r="B828" s="96"/>
      <c r="C828" s="91" t="s">
        <v>4615</v>
      </c>
      <c r="D828" s="92"/>
      <c r="E828" s="91" t="s">
        <v>4617</v>
      </c>
      <c r="F828" s="92"/>
      <c r="G828" s="91" t="s">
        <v>4620</v>
      </c>
      <c r="H828" s="92"/>
      <c r="I828" s="91" t="s">
        <v>4620</v>
      </c>
      <c r="J828" s="92"/>
      <c r="K828" s="91" t="s">
        <v>4622</v>
      </c>
      <c r="L828" s="92"/>
      <c r="M828" s="91" t="s">
        <v>4630</v>
      </c>
      <c r="N828" s="92"/>
      <c r="O828" s="91" t="s">
        <v>4630</v>
      </c>
      <c r="P828" s="92"/>
      <c r="Q828" s="91" t="s">
        <v>4630</v>
      </c>
      <c r="R828" s="92"/>
      <c r="S828" s="91" t="s">
        <v>4632</v>
      </c>
      <c r="T828" s="92"/>
    </row>
    <row r="829" spans="1:28" x14ac:dyDescent="0.25">
      <c r="B829" s="97"/>
      <c r="C829" s="71" t="s">
        <v>6824</v>
      </c>
      <c r="D829" s="71" t="s">
        <v>6825</v>
      </c>
      <c r="E829" s="71" t="s">
        <v>6824</v>
      </c>
      <c r="F829" s="71" t="s">
        <v>6825</v>
      </c>
      <c r="G829" s="71" t="s">
        <v>6824</v>
      </c>
      <c r="H829" s="71" t="s">
        <v>6825</v>
      </c>
      <c r="I829" s="71" t="s">
        <v>6824</v>
      </c>
      <c r="J829" s="71" t="s">
        <v>6825</v>
      </c>
      <c r="K829" s="71" t="s">
        <v>6824</v>
      </c>
      <c r="L829" s="71" t="s">
        <v>6825</v>
      </c>
      <c r="M829" s="71" t="s">
        <v>6824</v>
      </c>
      <c r="N829" s="71" t="s">
        <v>6825</v>
      </c>
      <c r="O829" s="71" t="s">
        <v>6824</v>
      </c>
      <c r="P829" s="71" t="s">
        <v>6825</v>
      </c>
      <c r="Q829" s="71" t="s">
        <v>6824</v>
      </c>
      <c r="R829" s="71" t="s">
        <v>6825</v>
      </c>
      <c r="S829" s="71" t="s">
        <v>6824</v>
      </c>
      <c r="T829" s="71" t="s">
        <v>6825</v>
      </c>
    </row>
    <row r="830" spans="1:28" x14ac:dyDescent="0.25">
      <c r="B830" s="72"/>
      <c r="C830" s="71"/>
      <c r="D830" s="73"/>
      <c r="E830" s="71"/>
      <c r="F830" s="73"/>
      <c r="G830" s="71"/>
      <c r="H830" s="73"/>
      <c r="I830" s="71"/>
      <c r="J830" s="73"/>
      <c r="K830" s="71"/>
      <c r="L830" s="73"/>
      <c r="M830" s="71"/>
      <c r="N830" s="73"/>
      <c r="O830" s="71"/>
      <c r="P830" s="73"/>
      <c r="Q830" s="71"/>
      <c r="R830" s="73"/>
      <c r="S830" s="71"/>
      <c r="T830" s="73"/>
    </row>
    <row r="832" spans="1:28" x14ac:dyDescent="0.25">
      <c r="B832" s="40" t="s">
        <v>7160</v>
      </c>
      <c r="C832" s="40"/>
      <c r="D832" s="40"/>
    </row>
    <row r="833" spans="1:10" x14ac:dyDescent="0.25">
      <c r="B833" s="40" t="s">
        <v>6810</v>
      </c>
      <c r="C833" s="40"/>
      <c r="D833" s="40"/>
    </row>
    <row r="834" spans="1:10" x14ac:dyDescent="0.25">
      <c r="B834" s="40" t="s">
        <v>6811</v>
      </c>
      <c r="C834" s="40"/>
      <c r="D834" s="40"/>
    </row>
    <row r="835" spans="1:10" x14ac:dyDescent="0.25">
      <c r="B835" s="42" t="s">
        <v>6812</v>
      </c>
      <c r="C835" s="40"/>
      <c r="D835" s="40"/>
    </row>
    <row r="836" spans="1:10" x14ac:dyDescent="0.25">
      <c r="B836" s="42" t="s">
        <v>6813</v>
      </c>
      <c r="C836" s="40"/>
      <c r="D836" s="40"/>
    </row>
    <row r="837" spans="1:10" x14ac:dyDescent="0.25">
      <c r="B837" s="42" t="s">
        <v>6814</v>
      </c>
      <c r="C837" s="40"/>
      <c r="D837" s="40"/>
    </row>
    <row r="838" spans="1:10" ht="100" customHeight="1" x14ac:dyDescent="0.25">
      <c r="A838" s="41" t="str">
        <f>_xlfn.CONCAT("Sample test results are documented in ",'Sample Tables'!B832," [",'Sample Tables'!B833,", ",'Sample Tables'!B834,", ",'Sample Tables'!B835,", ",'Sample Tables'!B836,", ",'Sample Tables'!B837,"]."&amp;CHAR(10))</f>
        <v xml:space="preserve">Sample test results are documented in Test 076: Information Security (business unit) [Population Source/Tool: , Population Date Range: , Population Size: , Sample Methodology: , Sample Size: ].
</v>
      </c>
      <c r="B838" s="95" t="s">
        <v>6815</v>
      </c>
      <c r="C838" s="93" t="s">
        <v>7161</v>
      </c>
      <c r="D838" s="94"/>
      <c r="E838" s="93" t="s">
        <v>7161</v>
      </c>
      <c r="F838" s="94"/>
      <c r="G838" s="93" t="s">
        <v>7161</v>
      </c>
      <c r="H838" s="94"/>
      <c r="I838" s="93" t="s">
        <v>7162</v>
      </c>
      <c r="J838" s="94"/>
    </row>
    <row r="839" spans="1:10" x14ac:dyDescent="0.25">
      <c r="B839" s="96"/>
      <c r="C839" s="91" t="s">
        <v>409</v>
      </c>
      <c r="D839" s="92"/>
      <c r="E839" s="91" t="s">
        <v>419</v>
      </c>
      <c r="F839" s="92"/>
      <c r="G839" s="91" t="s">
        <v>264</v>
      </c>
      <c r="H839" s="92"/>
      <c r="I839" s="91" t="s">
        <v>4607</v>
      </c>
      <c r="J839" s="92"/>
    </row>
    <row r="840" spans="1:10" x14ac:dyDescent="0.25">
      <c r="B840" s="97"/>
      <c r="C840" s="71" t="s">
        <v>6824</v>
      </c>
      <c r="D840" s="71" t="s">
        <v>6825</v>
      </c>
      <c r="E840" s="71" t="s">
        <v>6824</v>
      </c>
      <c r="F840" s="71" t="s">
        <v>6825</v>
      </c>
      <c r="G840" s="71" t="s">
        <v>6824</v>
      </c>
      <c r="H840" s="71" t="s">
        <v>6825</v>
      </c>
      <c r="I840" s="71" t="s">
        <v>6824</v>
      </c>
      <c r="J840" s="71" t="s">
        <v>6825</v>
      </c>
    </row>
    <row r="841" spans="1:10" x14ac:dyDescent="0.25">
      <c r="B841" s="72"/>
      <c r="C841" s="71"/>
      <c r="D841" s="73"/>
      <c r="E841" s="71"/>
      <c r="F841" s="73"/>
      <c r="G841" s="71"/>
      <c r="H841" s="73"/>
      <c r="I841" s="71"/>
      <c r="J841" s="73"/>
    </row>
    <row r="843" spans="1:10" x14ac:dyDescent="0.25">
      <c r="B843" s="40" t="s">
        <v>7163</v>
      </c>
      <c r="C843" s="40"/>
      <c r="D843" s="40"/>
    </row>
    <row r="844" spans="1:10" x14ac:dyDescent="0.25">
      <c r="B844" s="40" t="s">
        <v>6810</v>
      </c>
      <c r="C844" s="40"/>
      <c r="D844" s="40"/>
    </row>
    <row r="845" spans="1:10" x14ac:dyDescent="0.25">
      <c r="B845" s="40" t="s">
        <v>6811</v>
      </c>
      <c r="C845" s="40"/>
      <c r="D845" s="40"/>
    </row>
    <row r="846" spans="1:10" x14ac:dyDescent="0.25">
      <c r="B846" s="42" t="s">
        <v>6812</v>
      </c>
      <c r="C846" s="40"/>
      <c r="D846" s="40"/>
    </row>
    <row r="847" spans="1:10" x14ac:dyDescent="0.25">
      <c r="B847" s="42" t="s">
        <v>6813</v>
      </c>
      <c r="C847" s="40"/>
      <c r="D847" s="40"/>
    </row>
    <row r="848" spans="1:10" x14ac:dyDescent="0.25">
      <c r="B848" s="42" t="s">
        <v>6814</v>
      </c>
      <c r="C848" s="40"/>
      <c r="D848" s="40"/>
    </row>
    <row r="849" spans="1:4" ht="100" customHeight="1" x14ac:dyDescent="0.25">
      <c r="A849" s="41" t="str">
        <f>_xlfn.CONCAT("Sample test results are documented in ",'Sample Tables'!B843," [",'Sample Tables'!B844,", ",'Sample Tables'!B845,", ",'Sample Tables'!B846,", ",'Sample Tables'!B847,", ",'Sample Tables'!B848,"]."&amp;CHAR(10))</f>
        <v xml:space="preserve">Sample test results are documented in Test 077: Information Security (capital planning/investment) [Population Source/Tool: , Population Date Range: , Population Size: , Sample Methodology: , Sample Size: ].
</v>
      </c>
      <c r="B849" s="95" t="s">
        <v>6815</v>
      </c>
      <c r="C849" s="93" t="s">
        <v>7164</v>
      </c>
      <c r="D849" s="94"/>
    </row>
    <row r="850" spans="1:4" x14ac:dyDescent="0.25">
      <c r="B850" s="96"/>
      <c r="C850" s="91" t="s">
        <v>411</v>
      </c>
      <c r="D850" s="92"/>
    </row>
    <row r="851" spans="1:4" x14ac:dyDescent="0.25">
      <c r="B851" s="97"/>
      <c r="C851" s="71" t="s">
        <v>6824</v>
      </c>
      <c r="D851" s="71" t="s">
        <v>6825</v>
      </c>
    </row>
    <row r="852" spans="1:4" x14ac:dyDescent="0.25">
      <c r="B852" s="72"/>
      <c r="C852" s="71"/>
      <c r="D852" s="73"/>
    </row>
    <row r="854" spans="1:4" x14ac:dyDescent="0.25">
      <c r="B854" s="40" t="s">
        <v>7165</v>
      </c>
      <c r="C854" s="40"/>
      <c r="D854" s="40"/>
    </row>
    <row r="855" spans="1:4" x14ac:dyDescent="0.25">
      <c r="B855" s="40" t="s">
        <v>6810</v>
      </c>
      <c r="C855" s="40"/>
      <c r="D855" s="40"/>
    </row>
    <row r="856" spans="1:4" x14ac:dyDescent="0.25">
      <c r="B856" s="40" t="s">
        <v>6811</v>
      </c>
      <c r="C856" s="40"/>
      <c r="D856" s="40"/>
    </row>
    <row r="857" spans="1:4" x14ac:dyDescent="0.25">
      <c r="B857" s="42" t="s">
        <v>6812</v>
      </c>
      <c r="C857" s="40"/>
      <c r="D857" s="40"/>
    </row>
    <row r="858" spans="1:4" x14ac:dyDescent="0.25">
      <c r="B858" s="42" t="s">
        <v>6813</v>
      </c>
      <c r="C858" s="40"/>
      <c r="D858" s="40"/>
    </row>
    <row r="859" spans="1:4" x14ac:dyDescent="0.25">
      <c r="B859" s="42" t="s">
        <v>6814</v>
      </c>
      <c r="C859" s="40"/>
      <c r="D859" s="40"/>
    </row>
    <row r="860" spans="1:4" x14ac:dyDescent="0.25">
      <c r="A860" s="41" t="str">
        <f>_xlfn.CONCAT("Sample test results are documented in ",'Sample Tables'!B854," [",'Sample Tables'!B855,", ",'Sample Tables'!B856,", ",'Sample Tables'!B857,", ",'Sample Tables'!B858,", ",'Sample Tables'!B859,"]."&amp;CHAR(10))</f>
        <v xml:space="preserve">Sample test results are documented in Test 078: Information Security (collection of covered/confidential information) [Population Source/Tool: , Population Date Range: , Population Size: , Sample Methodology: , Sample Size: ].
</v>
      </c>
      <c r="B860" s="95" t="s">
        <v>6815</v>
      </c>
      <c r="C860" s="93"/>
      <c r="D860" s="94"/>
    </row>
    <row r="861" spans="1:4" x14ac:dyDescent="0.25">
      <c r="B861" s="96"/>
      <c r="C861" s="91"/>
      <c r="D861" s="92"/>
    </row>
    <row r="862" spans="1:4" x14ac:dyDescent="0.25">
      <c r="B862" s="97"/>
      <c r="C862" s="71" t="s">
        <v>6824</v>
      </c>
      <c r="D862" s="71" t="s">
        <v>6825</v>
      </c>
    </row>
    <row r="863" spans="1:4" x14ac:dyDescent="0.25">
      <c r="B863" s="72"/>
      <c r="C863" s="71"/>
      <c r="D863" s="73"/>
    </row>
    <row r="865" spans="1:6" x14ac:dyDescent="0.25">
      <c r="B865" s="40" t="s">
        <v>7166</v>
      </c>
      <c r="C865" s="40"/>
      <c r="D865" s="40"/>
    </row>
    <row r="866" spans="1:6" x14ac:dyDescent="0.25">
      <c r="B866" s="40" t="s">
        <v>6810</v>
      </c>
      <c r="C866" s="40"/>
      <c r="D866" s="40"/>
    </row>
    <row r="867" spans="1:6" x14ac:dyDescent="0.25">
      <c r="B867" s="40" t="s">
        <v>6811</v>
      </c>
      <c r="C867" s="40"/>
      <c r="D867" s="40"/>
    </row>
    <row r="868" spans="1:6" x14ac:dyDescent="0.25">
      <c r="B868" s="42" t="s">
        <v>6812</v>
      </c>
      <c r="C868" s="40"/>
      <c r="D868" s="40"/>
    </row>
    <row r="869" spans="1:6" x14ac:dyDescent="0.25">
      <c r="B869" s="42" t="s">
        <v>6813</v>
      </c>
      <c r="C869" s="40"/>
      <c r="D869" s="40"/>
    </row>
    <row r="870" spans="1:6" x14ac:dyDescent="0.25">
      <c r="B870" s="42" t="s">
        <v>6814</v>
      </c>
      <c r="C870" s="40"/>
      <c r="D870" s="40"/>
    </row>
    <row r="871" spans="1:6" ht="100" customHeight="1" x14ac:dyDescent="0.25">
      <c r="A871" s="41" t="str">
        <f>_xlfn.CONCAT("Sample test results are documented in ",'Sample Tables'!B865," [",'Sample Tables'!B866,", ",'Sample Tables'!B867,", ",'Sample Tables'!B868,", ",'Sample Tables'!B869,", ",'Sample Tables'!B870,"]."&amp;CHAR(10))</f>
        <v xml:space="preserve">Sample test results are documented in Test 079: Information Security (complaint made by consumer/data subject) [Population Source/Tool: , Population Date Range: , Population Size: , Sample Methodology: , Sample Size: ].
</v>
      </c>
      <c r="B871" s="95" t="s">
        <v>6815</v>
      </c>
      <c r="C871" s="93" t="s">
        <v>7167</v>
      </c>
      <c r="D871" s="94"/>
      <c r="E871" s="93" t="s">
        <v>7167</v>
      </c>
      <c r="F871" s="94"/>
    </row>
    <row r="872" spans="1:6" x14ac:dyDescent="0.25">
      <c r="B872" s="96"/>
      <c r="C872" s="91" t="s">
        <v>4192</v>
      </c>
      <c r="D872" s="92"/>
      <c r="E872" s="91" t="s">
        <v>4209</v>
      </c>
      <c r="F872" s="92"/>
    </row>
    <row r="873" spans="1:6" x14ac:dyDescent="0.25">
      <c r="B873" s="97"/>
      <c r="C873" s="71" t="s">
        <v>6824</v>
      </c>
      <c r="D873" s="71" t="s">
        <v>6825</v>
      </c>
      <c r="E873" s="71" t="s">
        <v>6824</v>
      </c>
      <c r="F873" s="71" t="s">
        <v>6825</v>
      </c>
    </row>
    <row r="874" spans="1:6" x14ac:dyDescent="0.25">
      <c r="B874" s="72"/>
      <c r="C874" s="71"/>
      <c r="D874" s="73"/>
      <c r="E874" s="71"/>
      <c r="F874" s="73"/>
    </row>
    <row r="876" spans="1:6" x14ac:dyDescent="0.25">
      <c r="B876" s="40" t="s">
        <v>7168</v>
      </c>
      <c r="C876" s="40"/>
      <c r="D876" s="40"/>
    </row>
    <row r="877" spans="1:6" x14ac:dyDescent="0.25">
      <c r="B877" s="40" t="s">
        <v>6810</v>
      </c>
      <c r="C877" s="40"/>
      <c r="D877" s="40"/>
    </row>
    <row r="878" spans="1:6" x14ac:dyDescent="0.25">
      <c r="B878" s="40" t="s">
        <v>6811</v>
      </c>
      <c r="C878" s="40"/>
      <c r="D878" s="40"/>
    </row>
    <row r="879" spans="1:6" x14ac:dyDescent="0.25">
      <c r="B879" s="42" t="s">
        <v>6812</v>
      </c>
      <c r="C879" s="40"/>
      <c r="D879" s="40"/>
    </row>
    <row r="880" spans="1:6" x14ac:dyDescent="0.25">
      <c r="B880" s="42" t="s">
        <v>6813</v>
      </c>
      <c r="C880" s="40"/>
      <c r="D880" s="40"/>
    </row>
    <row r="881" spans="1:10" x14ac:dyDescent="0.25">
      <c r="B881" s="42" t="s">
        <v>6814</v>
      </c>
      <c r="C881" s="40"/>
      <c r="D881" s="40"/>
    </row>
    <row r="882" spans="1:10" ht="100" customHeight="1" x14ac:dyDescent="0.25">
      <c r="A882" s="41" t="str">
        <f>_xlfn.CONCAT("Sample test results are documented in ",'Sample Tables'!B876," [",'Sample Tables'!B877,", ",'Sample Tables'!B878,", ",'Sample Tables'!B879,", ",'Sample Tables'!B880,", ",'Sample Tables'!B881,"]."&amp;CHAR(10))</f>
        <v xml:space="preserve">Sample test results are documented in Test 080: Information Security (complaint) [Population Source/Tool: , Population Date Range: , Population Size: , Sample Methodology: , Sample Size: ].
</v>
      </c>
      <c r="B882" s="95" t="s">
        <v>6815</v>
      </c>
      <c r="C882" s="93" t="s">
        <v>7169</v>
      </c>
      <c r="D882" s="94"/>
      <c r="E882" s="93" t="s">
        <v>7169</v>
      </c>
      <c r="F882" s="94"/>
      <c r="G882" s="93" t="s">
        <v>7167</v>
      </c>
      <c r="H882" s="94"/>
      <c r="I882" s="93" t="s">
        <v>7167</v>
      </c>
      <c r="J882" s="94"/>
    </row>
    <row r="883" spans="1:10" x14ac:dyDescent="0.25">
      <c r="B883" s="96"/>
      <c r="C883" s="91" t="s">
        <v>533</v>
      </c>
      <c r="D883" s="92"/>
      <c r="E883" s="91" t="s">
        <v>294</v>
      </c>
      <c r="F883" s="92"/>
      <c r="G883" s="91" t="s">
        <v>4192</v>
      </c>
      <c r="H883" s="92"/>
      <c r="I883" s="91" t="s">
        <v>4209</v>
      </c>
      <c r="J883" s="92"/>
    </row>
    <row r="884" spans="1:10" x14ac:dyDescent="0.25">
      <c r="B884" s="97"/>
      <c r="C884" s="71" t="s">
        <v>6824</v>
      </c>
      <c r="D884" s="71" t="s">
        <v>6825</v>
      </c>
      <c r="E884" s="71" t="s">
        <v>6824</v>
      </c>
      <c r="F884" s="71" t="s">
        <v>6825</v>
      </c>
      <c r="G884" s="71" t="s">
        <v>6824</v>
      </c>
      <c r="H884" s="71" t="s">
        <v>6825</v>
      </c>
      <c r="I884" s="71" t="s">
        <v>6824</v>
      </c>
      <c r="J884" s="71" t="s">
        <v>6825</v>
      </c>
    </row>
    <row r="885" spans="1:10" x14ac:dyDescent="0.25">
      <c r="B885" s="72"/>
      <c r="C885" s="71"/>
      <c r="D885" s="73"/>
      <c r="E885" s="71"/>
      <c r="F885" s="73"/>
      <c r="G885" s="71"/>
      <c r="H885" s="73"/>
      <c r="I885" s="71"/>
      <c r="J885" s="73"/>
    </row>
    <row r="887" spans="1:10" x14ac:dyDescent="0.25">
      <c r="B887" s="40" t="s">
        <v>7170</v>
      </c>
      <c r="C887" s="40"/>
      <c r="D887" s="40"/>
    </row>
    <row r="888" spans="1:10" x14ac:dyDescent="0.25">
      <c r="B888" s="40" t="s">
        <v>6810</v>
      </c>
      <c r="C888" s="40"/>
      <c r="D888" s="40"/>
    </row>
    <row r="889" spans="1:10" x14ac:dyDescent="0.25">
      <c r="B889" s="40" t="s">
        <v>6811</v>
      </c>
      <c r="C889" s="40"/>
      <c r="D889" s="40"/>
    </row>
    <row r="890" spans="1:10" x14ac:dyDescent="0.25">
      <c r="B890" s="42" t="s">
        <v>6812</v>
      </c>
      <c r="C890" s="40"/>
      <c r="D890" s="40"/>
    </row>
    <row r="891" spans="1:10" x14ac:dyDescent="0.25">
      <c r="B891" s="42" t="s">
        <v>6813</v>
      </c>
      <c r="C891" s="40"/>
      <c r="D891" s="40"/>
    </row>
    <row r="892" spans="1:10" x14ac:dyDescent="0.25">
      <c r="B892" s="42" t="s">
        <v>6814</v>
      </c>
      <c r="C892" s="40"/>
      <c r="D892" s="40"/>
    </row>
    <row r="893" spans="1:10" x14ac:dyDescent="0.25">
      <c r="A893" s="41" t="str">
        <f>_xlfn.CONCAT("Sample test results are documented in ",'Sample Tables'!B887," [",'Sample Tables'!B888,", ",'Sample Tables'!B889,", ",'Sample Tables'!B890,", ",'Sample Tables'!B891,", ",'Sample Tables'!B892,"]."&amp;CHAR(10))</f>
        <v xml:space="preserve">Sample test results are documented in Test 081: Information Security (consumer/data subject notice) [Population Source/Tool: , Population Date Range: , Population Size: , Sample Methodology: , Sample Size: ].
</v>
      </c>
      <c r="B893" s="95" t="s">
        <v>6815</v>
      </c>
      <c r="C893" s="93"/>
      <c r="D893" s="94"/>
    </row>
    <row r="894" spans="1:10" x14ac:dyDescent="0.25">
      <c r="B894" s="96"/>
      <c r="C894" s="91"/>
      <c r="D894" s="92"/>
    </row>
    <row r="895" spans="1:10" x14ac:dyDescent="0.25">
      <c r="B895" s="97"/>
      <c r="C895" s="71" t="s">
        <v>6824</v>
      </c>
      <c r="D895" s="71" t="s">
        <v>6825</v>
      </c>
    </row>
    <row r="896" spans="1:10" x14ac:dyDescent="0.25">
      <c r="B896" s="72"/>
      <c r="C896" s="71"/>
      <c r="D896" s="73"/>
    </row>
    <row r="898" spans="1:4" x14ac:dyDescent="0.25">
      <c r="B898" s="40" t="s">
        <v>7171</v>
      </c>
      <c r="C898" s="40"/>
      <c r="D898" s="40"/>
    </row>
    <row r="899" spans="1:4" x14ac:dyDescent="0.25">
      <c r="B899" s="40" t="s">
        <v>6810</v>
      </c>
      <c r="C899" s="40"/>
      <c r="D899" s="40"/>
    </row>
    <row r="900" spans="1:4" x14ac:dyDescent="0.25">
      <c r="B900" s="40" t="s">
        <v>6811</v>
      </c>
      <c r="C900" s="40"/>
      <c r="D900" s="40"/>
    </row>
    <row r="901" spans="1:4" x14ac:dyDescent="0.25">
      <c r="B901" s="42" t="s">
        <v>6812</v>
      </c>
      <c r="C901" s="40"/>
      <c r="D901" s="40"/>
    </row>
    <row r="902" spans="1:4" x14ac:dyDescent="0.25">
      <c r="B902" s="42" t="s">
        <v>6813</v>
      </c>
      <c r="C902" s="40"/>
      <c r="D902" s="40"/>
    </row>
    <row r="903" spans="1:4" x14ac:dyDescent="0.25">
      <c r="B903" s="42" t="s">
        <v>6814</v>
      </c>
      <c r="C903" s="40"/>
      <c r="D903" s="40"/>
    </row>
    <row r="904" spans="1:4" ht="100" customHeight="1" x14ac:dyDescent="0.25">
      <c r="A904" s="41" t="str">
        <f>_xlfn.CONCAT("Sample test results are documented in ",'Sample Tables'!B898," [",'Sample Tables'!B899,", ",'Sample Tables'!B900,", ",'Sample Tables'!B901,", ",'Sample Tables'!B902,", ",'Sample Tables'!B903,"]."&amp;CHAR(10))</f>
        <v xml:space="preserve">Sample test results are documented in Test 082: Information Security (consumer/data subject request for access to his/her information) [Population Source/Tool: , Population Date Range: , Population Size: , Sample Methodology: , Sample Size: ].
</v>
      </c>
      <c r="B904" s="95" t="s">
        <v>6815</v>
      </c>
      <c r="C904" s="93" t="s">
        <v>7172</v>
      </c>
      <c r="D904" s="94"/>
    </row>
    <row r="905" spans="1:4" x14ac:dyDescent="0.25">
      <c r="B905" s="96"/>
      <c r="C905" s="91" t="s">
        <v>6384</v>
      </c>
      <c r="D905" s="92"/>
    </row>
    <row r="906" spans="1:4" x14ac:dyDescent="0.25">
      <c r="B906" s="97"/>
      <c r="C906" s="71" t="s">
        <v>6824</v>
      </c>
      <c r="D906" s="71" t="s">
        <v>6825</v>
      </c>
    </row>
    <row r="907" spans="1:4" x14ac:dyDescent="0.25">
      <c r="B907" s="72"/>
      <c r="C907" s="71"/>
      <c r="D907" s="73"/>
    </row>
    <row r="909" spans="1:4" x14ac:dyDescent="0.25">
      <c r="B909" s="40" t="s">
        <v>7173</v>
      </c>
      <c r="C909" s="40"/>
      <c r="D909" s="40"/>
    </row>
    <row r="910" spans="1:4" x14ac:dyDescent="0.25">
      <c r="B910" s="40" t="s">
        <v>6810</v>
      </c>
      <c r="C910" s="40"/>
      <c r="D910" s="40"/>
    </row>
    <row r="911" spans="1:4" x14ac:dyDescent="0.25">
      <c r="B911" s="40" t="s">
        <v>6811</v>
      </c>
      <c r="C911" s="40"/>
      <c r="D911" s="40"/>
    </row>
    <row r="912" spans="1:4" x14ac:dyDescent="0.25">
      <c r="B912" s="42" t="s">
        <v>6812</v>
      </c>
      <c r="C912" s="40"/>
      <c r="D912" s="40"/>
    </row>
    <row r="913" spans="1:4" x14ac:dyDescent="0.25">
      <c r="B913" s="42" t="s">
        <v>6813</v>
      </c>
      <c r="C913" s="40"/>
      <c r="D913" s="40"/>
    </row>
    <row r="914" spans="1:4" x14ac:dyDescent="0.25">
      <c r="B914" s="42" t="s">
        <v>6814</v>
      </c>
      <c r="C914" s="40"/>
      <c r="D914" s="40"/>
    </row>
    <row r="915" spans="1:4" x14ac:dyDescent="0.25">
      <c r="A915" s="41" t="str">
        <f>_xlfn.CONCAT("Sample test results are documented in ",'Sample Tables'!B909," [",'Sample Tables'!B910,", ",'Sample Tables'!B911,", ",'Sample Tables'!B912,", ",'Sample Tables'!B913,", ",'Sample Tables'!B914,"]."&amp;CHAR(10))</f>
        <v xml:space="preserve">Sample test results are documented in Test 083: Information Security (consumer/data subject request for amendment to his/her information) [Population Source/Tool: , Population Date Range: , Population Size: , Sample Methodology: , Sample Size: ].
</v>
      </c>
      <c r="B915" s="95" t="s">
        <v>6815</v>
      </c>
      <c r="C915" s="93"/>
      <c r="D915" s="94"/>
    </row>
    <row r="916" spans="1:4" x14ac:dyDescent="0.25">
      <c r="B916" s="96"/>
      <c r="C916" s="91"/>
      <c r="D916" s="92"/>
    </row>
    <row r="917" spans="1:4" x14ac:dyDescent="0.25">
      <c r="B917" s="97"/>
      <c r="C917" s="71" t="s">
        <v>6824</v>
      </c>
      <c r="D917" s="71" t="s">
        <v>6825</v>
      </c>
    </row>
    <row r="918" spans="1:4" x14ac:dyDescent="0.25">
      <c r="B918" s="72"/>
      <c r="C918" s="71"/>
      <c r="D918" s="73"/>
    </row>
    <row r="920" spans="1:4" x14ac:dyDescent="0.25">
      <c r="B920" s="40" t="s">
        <v>7174</v>
      </c>
      <c r="C920" s="40"/>
      <c r="D920" s="40"/>
    </row>
    <row r="921" spans="1:4" x14ac:dyDescent="0.25">
      <c r="B921" s="40" t="s">
        <v>6810</v>
      </c>
      <c r="C921" s="40"/>
      <c r="D921" s="40"/>
    </row>
    <row r="922" spans="1:4" x14ac:dyDescent="0.25">
      <c r="B922" s="40" t="s">
        <v>6811</v>
      </c>
      <c r="C922" s="40"/>
      <c r="D922" s="40"/>
    </row>
    <row r="923" spans="1:4" x14ac:dyDescent="0.25">
      <c r="B923" s="42" t="s">
        <v>6812</v>
      </c>
      <c r="C923" s="40"/>
      <c r="D923" s="40"/>
    </row>
    <row r="924" spans="1:4" x14ac:dyDescent="0.25">
      <c r="B924" s="42" t="s">
        <v>6813</v>
      </c>
      <c r="C924" s="40"/>
      <c r="D924" s="40"/>
    </row>
    <row r="925" spans="1:4" x14ac:dyDescent="0.25">
      <c r="B925" s="42" t="s">
        <v>6814</v>
      </c>
      <c r="C925" s="40"/>
      <c r="D925" s="40"/>
    </row>
    <row r="926" spans="1:4" x14ac:dyDescent="0.25">
      <c r="A926" s="41" t="str">
        <f>_xlfn.CONCAT("Sample test results are documented in ",'Sample Tables'!B920," [",'Sample Tables'!B921,", ",'Sample Tables'!B922,", ",'Sample Tables'!B923,", ",'Sample Tables'!B924,", ",'Sample Tables'!B925,"]."&amp;CHAR(10))</f>
        <v xml:space="preserve">Sample test results are documented in Test 084: Information Security (consumer/data subject request for an accounting of disclosure) [Population Source/Tool: , Population Date Range: , Population Size: , Sample Methodology: , Sample Size: ].
</v>
      </c>
      <c r="B926" s="95" t="s">
        <v>6815</v>
      </c>
      <c r="C926" s="93"/>
      <c r="D926" s="94"/>
    </row>
    <row r="927" spans="1:4" x14ac:dyDescent="0.25">
      <c r="B927" s="96"/>
      <c r="C927" s="91"/>
      <c r="D927" s="92"/>
    </row>
    <row r="928" spans="1:4" x14ac:dyDescent="0.25">
      <c r="B928" s="97"/>
      <c r="C928" s="71" t="s">
        <v>6824</v>
      </c>
      <c r="D928" s="71" t="s">
        <v>6825</v>
      </c>
    </row>
    <row r="929" spans="1:4" x14ac:dyDescent="0.25">
      <c r="B929" s="72"/>
      <c r="C929" s="71"/>
      <c r="D929" s="73"/>
    </row>
    <row r="931" spans="1:4" x14ac:dyDescent="0.25">
      <c r="B931" s="40" t="s">
        <v>7175</v>
      </c>
      <c r="C931" s="40"/>
      <c r="D931" s="40"/>
    </row>
    <row r="932" spans="1:4" x14ac:dyDescent="0.25">
      <c r="B932" s="40" t="s">
        <v>6810</v>
      </c>
      <c r="C932" s="40"/>
      <c r="D932" s="40"/>
    </row>
    <row r="933" spans="1:4" x14ac:dyDescent="0.25">
      <c r="B933" s="40" t="s">
        <v>6811</v>
      </c>
      <c r="C933" s="40"/>
      <c r="D933" s="40"/>
    </row>
    <row r="934" spans="1:4" x14ac:dyDescent="0.25">
      <c r="B934" s="42" t="s">
        <v>6812</v>
      </c>
      <c r="C934" s="40"/>
      <c r="D934" s="40"/>
    </row>
    <row r="935" spans="1:4" x14ac:dyDescent="0.25">
      <c r="B935" s="42" t="s">
        <v>6813</v>
      </c>
      <c r="C935" s="40"/>
      <c r="D935" s="40"/>
    </row>
    <row r="936" spans="1:4" x14ac:dyDescent="0.25">
      <c r="B936" s="42" t="s">
        <v>6814</v>
      </c>
      <c r="C936" s="40"/>
      <c r="D936" s="40"/>
    </row>
    <row r="937" spans="1:4" x14ac:dyDescent="0.25">
      <c r="A937" s="41" t="str">
        <f>_xlfn.CONCAT("Sample test results are documented in ",'Sample Tables'!B931," [",'Sample Tables'!B932,", ",'Sample Tables'!B933,", ",'Sample Tables'!B934,", ",'Sample Tables'!B935,", ",'Sample Tables'!B936,"]."&amp;CHAR(10))</f>
        <v xml:space="preserve">Sample test results are documented in Test 085: Information Security (consumer/data subject request for the restriction of disclosure/use of his/her information) [Population Source/Tool: , Population Date Range: , Population Size: , Sample Methodology: , Sample Size: ].
</v>
      </c>
      <c r="B937" s="95" t="s">
        <v>6815</v>
      </c>
      <c r="C937" s="93"/>
      <c r="D937" s="94"/>
    </row>
    <row r="938" spans="1:4" x14ac:dyDescent="0.25">
      <c r="B938" s="96"/>
      <c r="C938" s="91"/>
      <c r="D938" s="92"/>
    </row>
    <row r="939" spans="1:4" x14ac:dyDescent="0.25">
      <c r="B939" s="97"/>
      <c r="C939" s="71" t="s">
        <v>6824</v>
      </c>
      <c r="D939" s="71" t="s">
        <v>6825</v>
      </c>
    </row>
    <row r="940" spans="1:4" x14ac:dyDescent="0.25">
      <c r="B940" s="72"/>
      <c r="C940" s="71"/>
      <c r="D940" s="73"/>
    </row>
    <row r="942" spans="1:4" x14ac:dyDescent="0.25">
      <c r="B942" s="27" t="s">
        <v>7176</v>
      </c>
      <c r="C942" s="40"/>
      <c r="D942" s="40"/>
    </row>
    <row r="943" spans="1:4" x14ac:dyDescent="0.25">
      <c r="B943" s="40" t="s">
        <v>6810</v>
      </c>
      <c r="C943" s="40"/>
      <c r="D943" s="40"/>
    </row>
    <row r="944" spans="1:4" x14ac:dyDescent="0.25">
      <c r="B944" s="40" t="s">
        <v>6811</v>
      </c>
      <c r="C944" s="40"/>
      <c r="D944" s="40"/>
    </row>
    <row r="945" spans="1:4" x14ac:dyDescent="0.25">
      <c r="B945" s="42" t="s">
        <v>6812</v>
      </c>
      <c r="C945" s="40"/>
      <c r="D945" s="40"/>
    </row>
    <row r="946" spans="1:4" x14ac:dyDescent="0.25">
      <c r="B946" s="42" t="s">
        <v>6813</v>
      </c>
      <c r="C946" s="40"/>
      <c r="D946" s="40"/>
    </row>
    <row r="947" spans="1:4" x14ac:dyDescent="0.25">
      <c r="B947" s="42" t="s">
        <v>6814</v>
      </c>
      <c r="C947" s="40"/>
      <c r="D947" s="40"/>
    </row>
    <row r="948" spans="1:4" x14ac:dyDescent="0.25">
      <c r="A948" s="41" t="str">
        <f>_xlfn.CONCAT("Sample test results are documented in ",'Sample Tables'!B942," [",'Sample Tables'!B943,", ",'Sample Tables'!B944,", ",'Sample Tables'!B945,", ",'Sample Tables'!B946,", ",'Sample Tables'!B947,"]."&amp;CHAR(10))</f>
        <v xml:space="preserve">Sample test results are documented in Test 086: Information Security (consumer/data subject request) [Population Source/Tool: , Population Date Range: , Population Size: , Sample Methodology: , Sample Size: ].
</v>
      </c>
      <c r="B948" s="95" t="s">
        <v>6815</v>
      </c>
      <c r="C948" s="93"/>
      <c r="D948" s="94"/>
    </row>
    <row r="949" spans="1:4" x14ac:dyDescent="0.25">
      <c r="B949" s="96"/>
      <c r="C949" s="91"/>
      <c r="D949" s="92"/>
    </row>
    <row r="950" spans="1:4" x14ac:dyDescent="0.25">
      <c r="B950" s="97"/>
      <c r="C950" s="71" t="s">
        <v>6824</v>
      </c>
      <c r="D950" s="71" t="s">
        <v>6825</v>
      </c>
    </row>
    <row r="951" spans="1:4" x14ac:dyDescent="0.25">
      <c r="B951" s="72"/>
      <c r="C951" s="71"/>
      <c r="D951" s="73"/>
    </row>
    <row r="953" spans="1:4" x14ac:dyDescent="0.25">
      <c r="B953" s="27" t="s">
        <v>7177</v>
      </c>
      <c r="C953" s="40"/>
      <c r="D953" s="40"/>
    </row>
    <row r="954" spans="1:4" x14ac:dyDescent="0.25">
      <c r="B954" s="40" t="s">
        <v>6810</v>
      </c>
      <c r="C954" s="40"/>
      <c r="D954" s="40"/>
    </row>
    <row r="955" spans="1:4" x14ac:dyDescent="0.25">
      <c r="B955" s="40" t="s">
        <v>6811</v>
      </c>
      <c r="C955" s="40"/>
      <c r="D955" s="40"/>
    </row>
    <row r="956" spans="1:4" x14ac:dyDescent="0.25">
      <c r="B956" s="42" t="s">
        <v>6812</v>
      </c>
      <c r="C956" s="40"/>
      <c r="D956" s="40"/>
    </row>
    <row r="957" spans="1:4" x14ac:dyDescent="0.25">
      <c r="B957" s="42" t="s">
        <v>6813</v>
      </c>
      <c r="C957" s="40"/>
      <c r="D957" s="40"/>
    </row>
    <row r="958" spans="1:4" x14ac:dyDescent="0.25">
      <c r="B958" s="42" t="s">
        <v>6814</v>
      </c>
      <c r="C958" s="40"/>
      <c r="D958" s="40"/>
    </row>
    <row r="959" spans="1:4" x14ac:dyDescent="0.25">
      <c r="A959" s="41" t="str">
        <f>_xlfn.CONCAT("Sample test results are documented in ",'Sample Tables'!B953," [",'Sample Tables'!B954,", ",'Sample Tables'!B955,", ",'Sample Tables'!B956,", ",'Sample Tables'!B957,", ",'Sample Tables'!B958,"]."&amp;CHAR(10))</f>
        <v xml:space="preserve">Sample test results are documented in Test 087: Information Security (consumer/data subject who has been offered/received financial incentives) [Population Source/Tool: , Population Date Range: , Population Size: , Sample Methodology: , Sample Size: ].
</v>
      </c>
      <c r="B959" s="95" t="s">
        <v>6815</v>
      </c>
      <c r="C959" s="93"/>
      <c r="D959" s="94"/>
    </row>
    <row r="960" spans="1:4" x14ac:dyDescent="0.25">
      <c r="B960" s="96"/>
      <c r="C960" s="91"/>
      <c r="D960" s="92"/>
    </row>
    <row r="961" spans="1:4" x14ac:dyDescent="0.25">
      <c r="B961" s="97"/>
      <c r="C961" s="71" t="s">
        <v>6824</v>
      </c>
      <c r="D961" s="71" t="s">
        <v>6825</v>
      </c>
    </row>
    <row r="962" spans="1:4" x14ac:dyDescent="0.25">
      <c r="B962" s="72"/>
      <c r="C962" s="71"/>
      <c r="D962" s="73"/>
    </row>
    <row r="964" spans="1:4" x14ac:dyDescent="0.25">
      <c r="B964" s="27" t="s">
        <v>7178</v>
      </c>
      <c r="C964" s="40"/>
      <c r="D964" s="40"/>
    </row>
    <row r="965" spans="1:4" x14ac:dyDescent="0.25">
      <c r="B965" s="40" t="s">
        <v>6810</v>
      </c>
      <c r="C965" s="40"/>
      <c r="D965" s="40"/>
    </row>
    <row r="966" spans="1:4" x14ac:dyDescent="0.25">
      <c r="B966" s="40" t="s">
        <v>6811</v>
      </c>
      <c r="C966" s="40"/>
      <c r="D966" s="40"/>
    </row>
    <row r="967" spans="1:4" x14ac:dyDescent="0.25">
      <c r="B967" s="42" t="s">
        <v>6812</v>
      </c>
      <c r="C967" s="40"/>
      <c r="D967" s="40"/>
    </row>
    <row r="968" spans="1:4" x14ac:dyDescent="0.25">
      <c r="B968" s="42" t="s">
        <v>6813</v>
      </c>
      <c r="C968" s="40"/>
      <c r="D968" s="40"/>
    </row>
    <row r="969" spans="1:4" x14ac:dyDescent="0.25">
      <c r="B969" s="42" t="s">
        <v>6814</v>
      </c>
      <c r="C969" s="40"/>
      <c r="D969" s="40"/>
    </row>
    <row r="970" spans="1:4" x14ac:dyDescent="0.25">
      <c r="A970" s="41" t="str">
        <f>_xlfn.CONCAT("Sample test results are documented in ",'Sample Tables'!B964," [",'Sample Tables'!B965,", ",'Sample Tables'!B966,", ",'Sample Tables'!B967,", ",'Sample Tables'!B968,", ",'Sample Tables'!B969,"]."&amp;CHAR(10))</f>
        <v xml:space="preserve">Sample test results are documented in Test 088: Information Security (consumer/data subject who has exercised his/her rights) [Population Source/Tool: , Population Date Range: , Population Size: , Sample Methodology: , Sample Size: ].
</v>
      </c>
      <c r="B970" s="95" t="s">
        <v>6815</v>
      </c>
      <c r="C970" s="93"/>
      <c r="D970" s="94"/>
    </row>
    <row r="971" spans="1:4" x14ac:dyDescent="0.25">
      <c r="B971" s="96"/>
      <c r="C971" s="91"/>
      <c r="D971" s="92"/>
    </row>
    <row r="972" spans="1:4" x14ac:dyDescent="0.25">
      <c r="B972" s="97"/>
      <c r="C972" s="71" t="s">
        <v>6824</v>
      </c>
      <c r="D972" s="71" t="s">
        <v>6825</v>
      </c>
    </row>
    <row r="973" spans="1:4" x14ac:dyDescent="0.25">
      <c r="B973" s="72"/>
      <c r="C973" s="71"/>
      <c r="D973" s="73"/>
    </row>
    <row r="975" spans="1:4" x14ac:dyDescent="0.25">
      <c r="B975" s="27" t="s">
        <v>7179</v>
      </c>
      <c r="C975" s="40"/>
      <c r="D975" s="40"/>
    </row>
    <row r="976" spans="1:4" x14ac:dyDescent="0.25">
      <c r="B976" s="40" t="s">
        <v>6810</v>
      </c>
      <c r="C976" s="40"/>
      <c r="D976" s="40"/>
    </row>
    <row r="977" spans="1:4" x14ac:dyDescent="0.25">
      <c r="B977" s="40" t="s">
        <v>6811</v>
      </c>
      <c r="C977" s="40"/>
      <c r="D977" s="40"/>
    </row>
    <row r="978" spans="1:4" x14ac:dyDescent="0.25">
      <c r="B978" s="42" t="s">
        <v>6812</v>
      </c>
      <c r="C978" s="40"/>
      <c r="D978" s="40"/>
    </row>
    <row r="979" spans="1:4" x14ac:dyDescent="0.25">
      <c r="B979" s="42" t="s">
        <v>6813</v>
      </c>
      <c r="C979" s="40"/>
      <c r="D979" s="40"/>
    </row>
    <row r="980" spans="1:4" x14ac:dyDescent="0.25">
      <c r="B980" s="42" t="s">
        <v>6814</v>
      </c>
      <c r="C980" s="40"/>
      <c r="D980" s="40"/>
    </row>
    <row r="981" spans="1:4" x14ac:dyDescent="0.25">
      <c r="A981" s="41" t="str">
        <f>_xlfn.CONCAT("Sample test results are documented in ",'Sample Tables'!B975," [",'Sample Tables'!B976,", ",'Sample Tables'!B977,", ",'Sample Tables'!B978,", ",'Sample Tables'!B979,", ",'Sample Tables'!B980,"]."&amp;CHAR(10))</f>
        <v xml:space="preserve">Sample test results are documented in Test 089: Information Security (covered information used in non-production environment) [Population Source/Tool: , Population Date Range: , Population Size: , Sample Methodology: , Sample Size: ].
</v>
      </c>
      <c r="B981" s="95" t="s">
        <v>6815</v>
      </c>
      <c r="C981" s="93"/>
      <c r="D981" s="94"/>
    </row>
    <row r="982" spans="1:4" x14ac:dyDescent="0.25">
      <c r="B982" s="96"/>
      <c r="C982" s="91"/>
      <c r="D982" s="92"/>
    </row>
    <row r="983" spans="1:4" x14ac:dyDescent="0.25">
      <c r="B983" s="97"/>
      <c r="C983" s="71" t="s">
        <v>6824</v>
      </c>
      <c r="D983" s="71" t="s">
        <v>6825</v>
      </c>
    </row>
    <row r="984" spans="1:4" x14ac:dyDescent="0.25">
      <c r="B984" s="72"/>
      <c r="C984" s="71"/>
      <c r="D984" s="73"/>
    </row>
    <row r="986" spans="1:4" x14ac:dyDescent="0.25">
      <c r="B986" s="27" t="s">
        <v>7180</v>
      </c>
      <c r="C986" s="40"/>
      <c r="D986" s="40"/>
    </row>
    <row r="987" spans="1:4" x14ac:dyDescent="0.25">
      <c r="B987" s="40" t="s">
        <v>6810</v>
      </c>
      <c r="C987" s="40"/>
      <c r="D987" s="40"/>
    </row>
    <row r="988" spans="1:4" x14ac:dyDescent="0.25">
      <c r="B988" s="40" t="s">
        <v>6811</v>
      </c>
      <c r="C988" s="40"/>
      <c r="D988" s="40"/>
    </row>
    <row r="989" spans="1:4" x14ac:dyDescent="0.25">
      <c r="B989" s="42" t="s">
        <v>6812</v>
      </c>
      <c r="C989" s="40"/>
      <c r="D989" s="40"/>
    </row>
    <row r="990" spans="1:4" x14ac:dyDescent="0.25">
      <c r="B990" s="42" t="s">
        <v>6813</v>
      </c>
      <c r="C990" s="40"/>
      <c r="D990" s="40"/>
    </row>
    <row r="991" spans="1:4" x14ac:dyDescent="0.25">
      <c r="B991" s="42" t="s">
        <v>6814</v>
      </c>
      <c r="C991" s="40"/>
      <c r="D991" s="40"/>
    </row>
    <row r="992" spans="1:4" ht="100" customHeight="1" x14ac:dyDescent="0.25">
      <c r="A992" s="41" t="str">
        <f>_xlfn.CONCAT("Sample test results are documented in ",'Sample Tables'!B986," [",'Sample Tables'!B987,", ",'Sample Tables'!B988,", ",'Sample Tables'!B989,", ",'Sample Tables'!B990,", ",'Sample Tables'!B991,"]."&amp;CHAR(10))</f>
        <v xml:space="preserve">Sample test results are documented in Test 090: Information Security (covered/confidential information) [Population Source/Tool: , Population Date Range: , Population Size: , Sample Methodology: , Sample Size: ].
</v>
      </c>
      <c r="B992" s="95" t="s">
        <v>6815</v>
      </c>
      <c r="C992" s="93" t="s">
        <v>7181</v>
      </c>
      <c r="D992" s="94"/>
    </row>
    <row r="993" spans="1:4" x14ac:dyDescent="0.25">
      <c r="B993" s="96"/>
      <c r="C993" s="91" t="s">
        <v>6013</v>
      </c>
      <c r="D993" s="92"/>
    </row>
    <row r="994" spans="1:4" x14ac:dyDescent="0.25">
      <c r="B994" s="97"/>
      <c r="C994" s="71" t="s">
        <v>6824</v>
      </c>
      <c r="D994" s="71" t="s">
        <v>6825</v>
      </c>
    </row>
    <row r="995" spans="1:4" x14ac:dyDescent="0.25">
      <c r="B995" s="72"/>
      <c r="C995" s="71"/>
      <c r="D995" s="73"/>
    </row>
    <row r="997" spans="1:4" x14ac:dyDescent="0.25">
      <c r="B997" s="27" t="s">
        <v>7182</v>
      </c>
      <c r="C997" s="40"/>
      <c r="D997" s="40"/>
    </row>
    <row r="998" spans="1:4" x14ac:dyDescent="0.25">
      <c r="B998" s="40" t="s">
        <v>6810</v>
      </c>
      <c r="C998" s="40"/>
      <c r="D998" s="40"/>
    </row>
    <row r="999" spans="1:4" x14ac:dyDescent="0.25">
      <c r="B999" s="40" t="s">
        <v>6811</v>
      </c>
      <c r="C999" s="40"/>
      <c r="D999" s="40"/>
    </row>
    <row r="1000" spans="1:4" x14ac:dyDescent="0.25">
      <c r="B1000" s="42" t="s">
        <v>6812</v>
      </c>
      <c r="C1000" s="40"/>
      <c r="D1000" s="40"/>
    </row>
    <row r="1001" spans="1:4" x14ac:dyDescent="0.25">
      <c r="B1001" s="42" t="s">
        <v>6813</v>
      </c>
      <c r="C1001" s="40"/>
      <c r="D1001" s="40"/>
    </row>
    <row r="1002" spans="1:4" x14ac:dyDescent="0.25">
      <c r="B1002" s="42" t="s">
        <v>6814</v>
      </c>
      <c r="C1002" s="40"/>
      <c r="D1002" s="40"/>
    </row>
    <row r="1003" spans="1:4" x14ac:dyDescent="0.25">
      <c r="A1003" s="41" t="str">
        <f>_xlfn.CONCAT("Sample test results are documented in ",'Sample Tables'!B997," [",'Sample Tables'!B998,", ",'Sample Tables'!B999,", ",'Sample Tables'!B1000,", ",'Sample Tables'!B1001,", ",'Sample Tables'!B1002,"]."&amp;CHAR(10))</f>
        <v xml:space="preserve">Sample test results are documented in Test 091: Information Security (data controller audit) [Population Source/Tool: , Population Date Range: , Population Size: , Sample Methodology: , Sample Size: ].
</v>
      </c>
      <c r="B1003" s="95" t="s">
        <v>6815</v>
      </c>
      <c r="C1003" s="93"/>
      <c r="D1003" s="94"/>
    </row>
    <row r="1004" spans="1:4" x14ac:dyDescent="0.25">
      <c r="B1004" s="96"/>
      <c r="C1004" s="91"/>
      <c r="D1004" s="92"/>
    </row>
    <row r="1005" spans="1:4" x14ac:dyDescent="0.25">
      <c r="B1005" s="97"/>
      <c r="C1005" s="71" t="s">
        <v>6824</v>
      </c>
      <c r="D1005" s="71" t="s">
        <v>6825</v>
      </c>
    </row>
    <row r="1006" spans="1:4" x14ac:dyDescent="0.25">
      <c r="B1006" s="72"/>
      <c r="C1006" s="71"/>
      <c r="D1006" s="73"/>
    </row>
    <row r="1008" spans="1:4" x14ac:dyDescent="0.25">
      <c r="B1008" s="27" t="s">
        <v>7183</v>
      </c>
      <c r="C1008" s="40"/>
      <c r="D1008" s="40"/>
    </row>
    <row r="1009" spans="1:4" x14ac:dyDescent="0.25">
      <c r="B1009" s="40" t="s">
        <v>6810</v>
      </c>
      <c r="C1009" s="40"/>
      <c r="D1009" s="40"/>
    </row>
    <row r="1010" spans="1:4" x14ac:dyDescent="0.25">
      <c r="B1010" s="40" t="s">
        <v>6811</v>
      </c>
      <c r="C1010" s="40"/>
      <c r="D1010" s="40"/>
    </row>
    <row r="1011" spans="1:4" x14ac:dyDescent="0.25">
      <c r="B1011" s="42" t="s">
        <v>6812</v>
      </c>
      <c r="C1011" s="40"/>
      <c r="D1011" s="40"/>
    </row>
    <row r="1012" spans="1:4" x14ac:dyDescent="0.25">
      <c r="B1012" s="42" t="s">
        <v>6813</v>
      </c>
      <c r="C1012" s="40"/>
      <c r="D1012" s="40"/>
    </row>
    <row r="1013" spans="1:4" x14ac:dyDescent="0.25">
      <c r="B1013" s="42" t="s">
        <v>6814</v>
      </c>
      <c r="C1013" s="40"/>
      <c r="D1013" s="40"/>
    </row>
    <row r="1014" spans="1:4" x14ac:dyDescent="0.25">
      <c r="A1014" s="41" t="str">
        <f>_xlfn.CONCAT("Sample test results are documented in ",'Sample Tables'!B1008," [",'Sample Tables'!B1009,", ",'Sample Tables'!B1010,", ",'Sample Tables'!B1011,", ",'Sample Tables'!B1012,", ",'Sample Tables'!B1013,"]."&amp;CHAR(10))</f>
        <v xml:space="preserve">Sample test results are documented in Test 092: Information Security (data governance role) [Population Source/Tool: , Population Date Range: , Population Size: , Sample Methodology: , Sample Size: ].
</v>
      </c>
      <c r="B1014" s="95" t="s">
        <v>6815</v>
      </c>
      <c r="C1014" s="93"/>
      <c r="D1014" s="94"/>
    </row>
    <row r="1015" spans="1:4" x14ac:dyDescent="0.25">
      <c r="B1015" s="96"/>
      <c r="C1015" s="91"/>
      <c r="D1015" s="92"/>
    </row>
    <row r="1016" spans="1:4" x14ac:dyDescent="0.25">
      <c r="B1016" s="97"/>
      <c r="C1016" s="71" t="s">
        <v>6824</v>
      </c>
      <c r="D1016" s="71" t="s">
        <v>6825</v>
      </c>
    </row>
    <row r="1017" spans="1:4" x14ac:dyDescent="0.25">
      <c r="B1017" s="72"/>
      <c r="C1017" s="71"/>
      <c r="D1017" s="73"/>
    </row>
    <row r="1019" spans="1:4" x14ac:dyDescent="0.25">
      <c r="B1019" s="27" t="s">
        <v>7184</v>
      </c>
      <c r="C1019" s="40"/>
      <c r="D1019" s="40"/>
    </row>
    <row r="1020" spans="1:4" x14ac:dyDescent="0.25">
      <c r="B1020" s="40" t="s">
        <v>6810</v>
      </c>
      <c r="C1020" s="40"/>
      <c r="D1020" s="40"/>
    </row>
    <row r="1021" spans="1:4" x14ac:dyDescent="0.25">
      <c r="B1021" s="40" t="s">
        <v>6811</v>
      </c>
      <c r="C1021" s="40"/>
      <c r="D1021" s="40"/>
    </row>
    <row r="1022" spans="1:4" x14ac:dyDescent="0.25">
      <c r="B1022" s="42" t="s">
        <v>6812</v>
      </c>
      <c r="C1022" s="40"/>
      <c r="D1022" s="40"/>
    </row>
    <row r="1023" spans="1:4" x14ac:dyDescent="0.25">
      <c r="B1023" s="42" t="s">
        <v>6813</v>
      </c>
      <c r="C1023" s="40"/>
      <c r="D1023" s="40"/>
    </row>
    <row r="1024" spans="1:4" x14ac:dyDescent="0.25">
      <c r="B1024" s="42" t="s">
        <v>6814</v>
      </c>
      <c r="C1024" s="40"/>
      <c r="D1024" s="40"/>
    </row>
    <row r="1025" spans="1:4" x14ac:dyDescent="0.25">
      <c r="A1025" s="41" t="str">
        <f>_xlfn.CONCAT("Sample test results are documented in ",'Sample Tables'!B1019," [",'Sample Tables'!B1020,", ",'Sample Tables'!B1021,", ",'Sample Tables'!B1022,", ",'Sample Tables'!B1023,", ",'Sample Tables'!B1024,"]."&amp;CHAR(10))</f>
        <v xml:space="preserve">Sample test results are documented in Test 093: Information Security (data impact assessment) [Population Source/Tool: , Population Date Range: , Population Size: , Sample Methodology: , Sample Size: ].
</v>
      </c>
      <c r="B1025" s="95" t="s">
        <v>6815</v>
      </c>
      <c r="C1025" s="93"/>
      <c r="D1025" s="94"/>
    </row>
    <row r="1026" spans="1:4" x14ac:dyDescent="0.25">
      <c r="B1026" s="96"/>
      <c r="C1026" s="91"/>
      <c r="D1026" s="92"/>
    </row>
    <row r="1027" spans="1:4" x14ac:dyDescent="0.25">
      <c r="B1027" s="97"/>
      <c r="C1027" s="71" t="s">
        <v>6824</v>
      </c>
      <c r="D1027" s="71" t="s">
        <v>6825</v>
      </c>
    </row>
    <row r="1028" spans="1:4" x14ac:dyDescent="0.25">
      <c r="B1028" s="72"/>
      <c r="C1028" s="71"/>
      <c r="D1028" s="73"/>
    </row>
    <row r="1030" spans="1:4" x14ac:dyDescent="0.25">
      <c r="B1030" s="27" t="s">
        <v>7185</v>
      </c>
      <c r="C1030" s="40"/>
      <c r="D1030" s="40"/>
    </row>
    <row r="1031" spans="1:4" x14ac:dyDescent="0.25">
      <c r="B1031" s="40" t="s">
        <v>6810</v>
      </c>
      <c r="C1031" s="40"/>
      <c r="D1031" s="40"/>
    </row>
    <row r="1032" spans="1:4" x14ac:dyDescent="0.25">
      <c r="B1032" s="40" t="s">
        <v>6811</v>
      </c>
      <c r="C1032" s="40"/>
      <c r="D1032" s="40"/>
    </row>
    <row r="1033" spans="1:4" x14ac:dyDescent="0.25">
      <c r="B1033" s="42" t="s">
        <v>6812</v>
      </c>
      <c r="C1033" s="40"/>
      <c r="D1033" s="40"/>
    </row>
    <row r="1034" spans="1:4" x14ac:dyDescent="0.25">
      <c r="B1034" s="42" t="s">
        <v>6813</v>
      </c>
      <c r="C1034" s="40"/>
      <c r="D1034" s="40"/>
    </row>
    <row r="1035" spans="1:4" x14ac:dyDescent="0.25">
      <c r="B1035" s="42" t="s">
        <v>6814</v>
      </c>
      <c r="C1035" s="40"/>
      <c r="D1035" s="40"/>
    </row>
    <row r="1036" spans="1:4" x14ac:dyDescent="0.25">
      <c r="A1036" s="41" t="str">
        <f>_xlfn.CONCAT("Sample test results are documented in ",'Sample Tables'!B1030," [",'Sample Tables'!B1031,", ",'Sample Tables'!B1032,", ",'Sample Tables'!B1033,", ",'Sample Tables'!B1034,", ",'Sample Tables'!B1035,"]."&amp;CHAR(10))</f>
        <v xml:space="preserve">Sample test results are documented in Test 094: Information Security (de-identified data) [Population Source/Tool: , Population Date Range: , Population Size: , Sample Methodology: , Sample Size: ].
</v>
      </c>
      <c r="B1036" s="95" t="s">
        <v>6815</v>
      </c>
      <c r="C1036" s="93"/>
      <c r="D1036" s="94"/>
    </row>
    <row r="1037" spans="1:4" x14ac:dyDescent="0.25">
      <c r="B1037" s="96"/>
      <c r="C1037" s="91"/>
      <c r="D1037" s="92"/>
    </row>
    <row r="1038" spans="1:4" x14ac:dyDescent="0.25">
      <c r="B1038" s="97"/>
      <c r="C1038" s="71" t="s">
        <v>6824</v>
      </c>
      <c r="D1038" s="71" t="s">
        <v>6825</v>
      </c>
    </row>
    <row r="1039" spans="1:4" x14ac:dyDescent="0.25">
      <c r="B1039" s="72"/>
      <c r="C1039" s="71"/>
      <c r="D1039" s="73"/>
    </row>
    <row r="1041" spans="1:4" x14ac:dyDescent="0.25">
      <c r="B1041" s="27" t="s">
        <v>7186</v>
      </c>
      <c r="C1041" s="40"/>
      <c r="D1041" s="40"/>
    </row>
    <row r="1042" spans="1:4" x14ac:dyDescent="0.25">
      <c r="B1042" s="40" t="s">
        <v>6810</v>
      </c>
      <c r="C1042" s="40"/>
      <c r="D1042" s="40"/>
    </row>
    <row r="1043" spans="1:4" x14ac:dyDescent="0.25">
      <c r="B1043" s="40" t="s">
        <v>6811</v>
      </c>
      <c r="C1043" s="40"/>
      <c r="D1043" s="40"/>
    </row>
    <row r="1044" spans="1:4" x14ac:dyDescent="0.25">
      <c r="B1044" s="42" t="s">
        <v>6812</v>
      </c>
      <c r="C1044" s="40"/>
      <c r="D1044" s="40"/>
    </row>
    <row r="1045" spans="1:4" x14ac:dyDescent="0.25">
      <c r="B1045" s="42" t="s">
        <v>6813</v>
      </c>
      <c r="C1045" s="40"/>
      <c r="D1045" s="40"/>
    </row>
    <row r="1046" spans="1:4" x14ac:dyDescent="0.25">
      <c r="B1046" s="42" t="s">
        <v>6814</v>
      </c>
      <c r="C1046" s="40"/>
      <c r="D1046" s="40"/>
    </row>
    <row r="1047" spans="1:4" x14ac:dyDescent="0.25">
      <c r="A1047" s="41" t="str">
        <f>_xlfn.CONCAT("Sample test results are documented in ",'Sample Tables'!B1041," [",'Sample Tables'!B1042,", ",'Sample Tables'!B1043,", ",'Sample Tables'!B1044,", ",'Sample Tables'!B1045,", ",'Sample Tables'!B1046,"]."&amp;CHAR(10))</f>
        <v xml:space="preserve">Sample test results are documented in Test 095: Information Security (delivery record) [Population Source/Tool: , Population Date Range: , Population Size: , Sample Methodology: , Sample Size: ].
</v>
      </c>
      <c r="B1047" s="95" t="s">
        <v>6815</v>
      </c>
      <c r="C1047" s="93"/>
      <c r="D1047" s="94"/>
    </row>
    <row r="1048" spans="1:4" x14ac:dyDescent="0.25">
      <c r="B1048" s="96"/>
      <c r="C1048" s="91"/>
      <c r="D1048" s="92"/>
    </row>
    <row r="1049" spans="1:4" x14ac:dyDescent="0.25">
      <c r="B1049" s="97"/>
      <c r="C1049" s="71" t="s">
        <v>6824</v>
      </c>
      <c r="D1049" s="71" t="s">
        <v>6825</v>
      </c>
    </row>
    <row r="1050" spans="1:4" x14ac:dyDescent="0.25">
      <c r="B1050" s="72"/>
      <c r="C1050" s="71"/>
      <c r="D1050" s="73"/>
    </row>
    <row r="1052" spans="1:4" x14ac:dyDescent="0.25">
      <c r="B1052" s="27" t="s">
        <v>7187</v>
      </c>
      <c r="C1052" s="40"/>
      <c r="D1052" s="40"/>
    </row>
    <row r="1053" spans="1:4" x14ac:dyDescent="0.25">
      <c r="B1053" s="40" t="s">
        <v>6810</v>
      </c>
      <c r="C1053" s="40"/>
      <c r="D1053" s="40"/>
    </row>
    <row r="1054" spans="1:4" x14ac:dyDescent="0.25">
      <c r="B1054" s="40" t="s">
        <v>6811</v>
      </c>
      <c r="C1054" s="40"/>
      <c r="D1054" s="40"/>
    </row>
    <row r="1055" spans="1:4" x14ac:dyDescent="0.25">
      <c r="B1055" s="42" t="s">
        <v>6812</v>
      </c>
      <c r="C1055" s="40"/>
      <c r="D1055" s="40"/>
    </row>
    <row r="1056" spans="1:4" x14ac:dyDescent="0.25">
      <c r="B1056" s="42" t="s">
        <v>6813</v>
      </c>
      <c r="C1056" s="40"/>
      <c r="D1056" s="40"/>
    </row>
    <row r="1057" spans="1:4" x14ac:dyDescent="0.25">
      <c r="B1057" s="42" t="s">
        <v>6814</v>
      </c>
      <c r="C1057" s="40"/>
      <c r="D1057" s="40"/>
    </row>
    <row r="1058" spans="1:4" x14ac:dyDescent="0.25">
      <c r="A1058" s="41" t="str">
        <f>_xlfn.CONCAT("Sample test results are documented in ",'Sample Tables'!B1052," [",'Sample Tables'!B1053,", ",'Sample Tables'!B1054,", ",'Sample Tables'!B1055,", ",'Sample Tables'!B1056,", ",'Sample Tables'!B1057,"]."&amp;CHAR(10))</f>
        <v xml:space="preserve">Sample test results are documented in Test 096: Information Security (denial of consumer/data subject request for access to his/her information) [Population Source/Tool: , Population Date Range: , Population Size: , Sample Methodology: , Sample Size: ].
</v>
      </c>
      <c r="B1058" s="95" t="s">
        <v>6815</v>
      </c>
      <c r="C1058" s="93"/>
      <c r="D1058" s="94"/>
    </row>
    <row r="1059" spans="1:4" x14ac:dyDescent="0.25">
      <c r="B1059" s="96"/>
      <c r="C1059" s="91"/>
      <c r="D1059" s="92"/>
    </row>
    <row r="1060" spans="1:4" x14ac:dyDescent="0.25">
      <c r="B1060" s="97"/>
      <c r="C1060" s="71" t="s">
        <v>6824</v>
      </c>
      <c r="D1060" s="71" t="s">
        <v>6825</v>
      </c>
    </row>
    <row r="1061" spans="1:4" x14ac:dyDescent="0.25">
      <c r="B1061" s="72"/>
      <c r="C1061" s="71"/>
      <c r="D1061" s="73"/>
    </row>
    <row r="1063" spans="1:4" x14ac:dyDescent="0.25">
      <c r="B1063" s="27" t="s">
        <v>7188</v>
      </c>
      <c r="C1063" s="40"/>
      <c r="D1063" s="40"/>
    </row>
    <row r="1064" spans="1:4" x14ac:dyDescent="0.25">
      <c r="B1064" s="40" t="s">
        <v>6810</v>
      </c>
      <c r="C1064" s="40"/>
      <c r="D1064" s="40"/>
    </row>
    <row r="1065" spans="1:4" x14ac:dyDescent="0.25">
      <c r="B1065" s="40" t="s">
        <v>6811</v>
      </c>
      <c r="C1065" s="40"/>
      <c r="D1065" s="40"/>
    </row>
    <row r="1066" spans="1:4" x14ac:dyDescent="0.25">
      <c r="B1066" s="42" t="s">
        <v>6812</v>
      </c>
      <c r="C1066" s="40"/>
      <c r="D1066" s="40"/>
    </row>
    <row r="1067" spans="1:4" x14ac:dyDescent="0.25">
      <c r="B1067" s="42" t="s">
        <v>6813</v>
      </c>
      <c r="C1067" s="40"/>
      <c r="D1067" s="40"/>
    </row>
    <row r="1068" spans="1:4" x14ac:dyDescent="0.25">
      <c r="B1068" s="42" t="s">
        <v>6814</v>
      </c>
      <c r="C1068" s="40"/>
      <c r="D1068" s="40"/>
    </row>
    <row r="1069" spans="1:4" x14ac:dyDescent="0.25">
      <c r="A1069" s="41" t="str">
        <f>_xlfn.CONCAT("Sample test results are documented in ",'Sample Tables'!B1063," [",'Sample Tables'!B1064,", ",'Sample Tables'!B1065,", ",'Sample Tables'!B1066,", ",'Sample Tables'!B1067,", ",'Sample Tables'!B1068,"]."&amp;CHAR(10))</f>
        <v xml:space="preserve">Sample test results are documented in Test 097: Information Security (denial of consumer/data subject request for amendment to his/her information) [Population Source/Tool: , Population Date Range: , Population Size: , Sample Methodology: , Sample Size: ].
</v>
      </c>
      <c r="B1069" s="95" t="s">
        <v>6815</v>
      </c>
      <c r="C1069" s="93"/>
      <c r="D1069" s="94"/>
    </row>
    <row r="1070" spans="1:4" x14ac:dyDescent="0.25">
      <c r="B1070" s="96"/>
      <c r="C1070" s="91"/>
      <c r="D1070" s="92"/>
    </row>
    <row r="1071" spans="1:4" x14ac:dyDescent="0.25">
      <c r="B1071" s="97"/>
      <c r="C1071" s="71" t="s">
        <v>6824</v>
      </c>
      <c r="D1071" s="71" t="s">
        <v>6825</v>
      </c>
    </row>
    <row r="1072" spans="1:4" x14ac:dyDescent="0.25">
      <c r="B1072" s="72"/>
      <c r="C1072" s="71"/>
      <c r="D1072" s="73"/>
    </row>
    <row r="1074" spans="1:10" x14ac:dyDescent="0.25">
      <c r="B1074" s="27" t="s">
        <v>7189</v>
      </c>
      <c r="C1074" s="40"/>
      <c r="D1074" s="40"/>
    </row>
    <row r="1075" spans="1:10" x14ac:dyDescent="0.25">
      <c r="B1075" s="40" t="s">
        <v>6810</v>
      </c>
      <c r="C1075" s="40"/>
      <c r="D1075" s="40"/>
    </row>
    <row r="1076" spans="1:10" x14ac:dyDescent="0.25">
      <c r="B1076" s="40" t="s">
        <v>6811</v>
      </c>
      <c r="C1076" s="40"/>
      <c r="D1076" s="40"/>
    </row>
    <row r="1077" spans="1:10" x14ac:dyDescent="0.25">
      <c r="B1077" s="42" t="s">
        <v>6812</v>
      </c>
      <c r="C1077" s="40"/>
      <c r="D1077" s="40"/>
    </row>
    <row r="1078" spans="1:10" x14ac:dyDescent="0.25">
      <c r="B1078" s="42" t="s">
        <v>6813</v>
      </c>
      <c r="C1078" s="40"/>
      <c r="D1078" s="40"/>
    </row>
    <row r="1079" spans="1:10" x14ac:dyDescent="0.25">
      <c r="B1079" s="42" t="s">
        <v>6814</v>
      </c>
      <c r="C1079" s="40"/>
      <c r="D1079" s="40"/>
    </row>
    <row r="1080" spans="1:10" ht="100" customHeight="1" x14ac:dyDescent="0.25">
      <c r="A1080" s="41" t="str">
        <f>_xlfn.CONCAT("Sample test results are documented in ",'Sample Tables'!B1074," [",'Sample Tables'!B1075,", ",'Sample Tables'!B1076,", ",'Sample Tables'!B1077,", ",'Sample Tables'!B1078,", ",'Sample Tables'!B1079,"]."&amp;CHAR(10))</f>
        <v xml:space="preserve">Sample test results are documented in Test 098: Information Security (disciplinary record) [Population Source/Tool: , Population Date Range: , Population Size: , Sample Methodology: , Sample Size: ].
</v>
      </c>
      <c r="B1080" s="95" t="s">
        <v>6815</v>
      </c>
      <c r="C1080" s="93" t="s">
        <v>7190</v>
      </c>
      <c r="D1080" s="94"/>
      <c r="E1080" s="93" t="s">
        <v>7191</v>
      </c>
      <c r="F1080" s="94"/>
      <c r="G1080" s="93" t="s">
        <v>7192</v>
      </c>
      <c r="H1080" s="94"/>
      <c r="I1080" s="93" t="s">
        <v>7193</v>
      </c>
      <c r="J1080" s="94"/>
    </row>
    <row r="1081" spans="1:10" x14ac:dyDescent="0.25">
      <c r="B1081" s="96"/>
      <c r="C1081" s="91" t="s">
        <v>4138</v>
      </c>
      <c r="D1081" s="92"/>
      <c r="E1081" s="91" t="s">
        <v>4138</v>
      </c>
      <c r="F1081" s="92"/>
      <c r="G1081" s="91" t="s">
        <v>4138</v>
      </c>
      <c r="H1081" s="92"/>
      <c r="I1081" s="91" t="s">
        <v>4138</v>
      </c>
      <c r="J1081" s="92"/>
    </row>
    <row r="1082" spans="1:10" x14ac:dyDescent="0.25">
      <c r="B1082" s="97"/>
      <c r="C1082" s="71" t="s">
        <v>6824</v>
      </c>
      <c r="D1082" s="71" t="s">
        <v>6825</v>
      </c>
      <c r="E1082" s="71" t="s">
        <v>6824</v>
      </c>
      <c r="F1082" s="71" t="s">
        <v>6825</v>
      </c>
      <c r="G1082" s="71" t="s">
        <v>6824</v>
      </c>
      <c r="H1082" s="71" t="s">
        <v>6825</v>
      </c>
      <c r="I1082" s="71" t="s">
        <v>6824</v>
      </c>
      <c r="J1082" s="71" t="s">
        <v>6825</v>
      </c>
    </row>
    <row r="1083" spans="1:10" x14ac:dyDescent="0.25">
      <c r="B1083" s="72"/>
      <c r="C1083" s="71"/>
      <c r="D1083" s="73"/>
      <c r="E1083" s="71"/>
      <c r="F1083" s="73"/>
      <c r="G1083" s="71"/>
      <c r="H1083" s="73"/>
      <c r="I1083" s="71"/>
      <c r="J1083" s="73"/>
    </row>
    <row r="1085" spans="1:10" x14ac:dyDescent="0.25">
      <c r="B1085" s="27" t="s">
        <v>7194</v>
      </c>
      <c r="C1085" s="40"/>
      <c r="D1085" s="40"/>
    </row>
    <row r="1086" spans="1:10" x14ac:dyDescent="0.25">
      <c r="B1086" s="40" t="s">
        <v>6810</v>
      </c>
      <c r="C1086" s="40"/>
      <c r="D1086" s="40"/>
    </row>
    <row r="1087" spans="1:10" x14ac:dyDescent="0.25">
      <c r="B1087" s="40" t="s">
        <v>6811</v>
      </c>
      <c r="C1087" s="40"/>
      <c r="D1087" s="40"/>
    </row>
    <row r="1088" spans="1:10" x14ac:dyDescent="0.25">
      <c r="B1088" s="42" t="s">
        <v>6812</v>
      </c>
      <c r="C1088" s="40"/>
      <c r="D1088" s="40"/>
    </row>
    <row r="1089" spans="1:4" x14ac:dyDescent="0.25">
      <c r="B1089" s="42" t="s">
        <v>6813</v>
      </c>
      <c r="C1089" s="40"/>
      <c r="D1089" s="40"/>
    </row>
    <row r="1090" spans="1:4" x14ac:dyDescent="0.25">
      <c r="B1090" s="42" t="s">
        <v>6814</v>
      </c>
      <c r="C1090" s="40"/>
      <c r="D1090" s="40"/>
    </row>
    <row r="1091" spans="1:4" x14ac:dyDescent="0.25">
      <c r="A1091" s="41" t="str">
        <f>_xlfn.CONCAT("Sample test results are documented in ",'Sample Tables'!B1085," [",'Sample Tables'!B1086,", ",'Sample Tables'!B1087,", ",'Sample Tables'!B1088,", ",'Sample Tables'!B1089,", ",'Sample Tables'!B1090,"]."&amp;CHAR(10))</f>
        <v xml:space="preserve">Sample test results are documented in Test 099: Information Security (disclosure of covered/confidential information for fundraising purposes) [Population Source/Tool: , Population Date Range: , Population Size: , Sample Methodology: , Sample Size: ].
</v>
      </c>
      <c r="B1091" s="95" t="s">
        <v>6815</v>
      </c>
      <c r="C1091" s="93"/>
      <c r="D1091" s="94"/>
    </row>
    <row r="1092" spans="1:4" x14ac:dyDescent="0.25">
      <c r="B1092" s="96"/>
      <c r="C1092" s="91"/>
      <c r="D1092" s="92"/>
    </row>
    <row r="1093" spans="1:4" x14ac:dyDescent="0.25">
      <c r="B1093" s="97"/>
      <c r="C1093" s="71" t="s">
        <v>6824</v>
      </c>
      <c r="D1093" s="71" t="s">
        <v>6825</v>
      </c>
    </row>
    <row r="1094" spans="1:4" x14ac:dyDescent="0.25">
      <c r="B1094" s="72"/>
      <c r="C1094" s="71"/>
      <c r="D1094" s="73"/>
    </row>
    <row r="1096" spans="1:4" x14ac:dyDescent="0.25">
      <c r="B1096" s="27" t="s">
        <v>7195</v>
      </c>
      <c r="C1096" s="40"/>
      <c r="D1096" s="40"/>
    </row>
    <row r="1097" spans="1:4" x14ac:dyDescent="0.25">
      <c r="B1097" s="40" t="s">
        <v>6810</v>
      </c>
      <c r="C1097" s="40"/>
      <c r="D1097" s="40"/>
    </row>
    <row r="1098" spans="1:4" x14ac:dyDescent="0.25">
      <c r="B1098" s="40" t="s">
        <v>6811</v>
      </c>
      <c r="C1098" s="40"/>
      <c r="D1098" s="40"/>
    </row>
    <row r="1099" spans="1:4" x14ac:dyDescent="0.25">
      <c r="B1099" s="42" t="s">
        <v>6812</v>
      </c>
      <c r="C1099" s="40"/>
      <c r="D1099" s="40"/>
    </row>
    <row r="1100" spans="1:4" x14ac:dyDescent="0.25">
      <c r="B1100" s="42" t="s">
        <v>6813</v>
      </c>
      <c r="C1100" s="40"/>
      <c r="D1100" s="40"/>
    </row>
    <row r="1101" spans="1:4" x14ac:dyDescent="0.25">
      <c r="B1101" s="42" t="s">
        <v>6814</v>
      </c>
      <c r="C1101" s="40"/>
      <c r="D1101" s="40"/>
    </row>
    <row r="1102" spans="1:4" x14ac:dyDescent="0.25">
      <c r="A1102" s="41" t="str">
        <f>_xlfn.CONCAT("Sample test results are documented in ",'Sample Tables'!B1096," [",'Sample Tables'!B1097,", ",'Sample Tables'!B1098,", ",'Sample Tables'!B1099,", ",'Sample Tables'!B1100,", ",'Sample Tables'!B1101,"]."&amp;CHAR(10))</f>
        <v xml:space="preserve">Sample test results are documented in Test 100: Information Security (disclosure of covered/confidential information for judicial and administrative proceedings) [Population Source/Tool: , Population Date Range: , Population Size: , Sample Methodology: , Sample Size: ].
</v>
      </c>
      <c r="B1102" s="95" t="s">
        <v>6815</v>
      </c>
      <c r="C1102" s="93"/>
      <c r="D1102" s="94"/>
    </row>
    <row r="1103" spans="1:4" x14ac:dyDescent="0.25">
      <c r="B1103" s="96"/>
      <c r="C1103" s="91"/>
      <c r="D1103" s="92"/>
    </row>
    <row r="1104" spans="1:4" x14ac:dyDescent="0.25">
      <c r="B1104" s="97"/>
      <c r="C1104" s="71" t="s">
        <v>6824</v>
      </c>
      <c r="D1104" s="71" t="s">
        <v>6825</v>
      </c>
    </row>
    <row r="1105" spans="1:4" x14ac:dyDescent="0.25">
      <c r="B1105" s="72"/>
      <c r="C1105" s="71"/>
      <c r="D1105" s="73"/>
    </row>
    <row r="1107" spans="1:4" x14ac:dyDescent="0.25">
      <c r="B1107" s="27" t="s">
        <v>7196</v>
      </c>
      <c r="C1107" s="40"/>
      <c r="D1107" s="40"/>
    </row>
    <row r="1108" spans="1:4" x14ac:dyDescent="0.25">
      <c r="B1108" s="40" t="s">
        <v>6810</v>
      </c>
      <c r="C1108" s="40"/>
      <c r="D1108" s="40"/>
    </row>
    <row r="1109" spans="1:4" x14ac:dyDescent="0.25">
      <c r="B1109" s="40" t="s">
        <v>6811</v>
      </c>
      <c r="C1109" s="40"/>
      <c r="D1109" s="40"/>
    </row>
    <row r="1110" spans="1:4" x14ac:dyDescent="0.25">
      <c r="B1110" s="42" t="s">
        <v>6812</v>
      </c>
      <c r="C1110" s="40"/>
      <c r="D1110" s="40"/>
    </row>
    <row r="1111" spans="1:4" x14ac:dyDescent="0.25">
      <c r="B1111" s="42" t="s">
        <v>6813</v>
      </c>
      <c r="C1111" s="40"/>
      <c r="D1111" s="40"/>
    </row>
    <row r="1112" spans="1:4" x14ac:dyDescent="0.25">
      <c r="B1112" s="42" t="s">
        <v>6814</v>
      </c>
      <c r="C1112" s="40"/>
      <c r="D1112" s="40"/>
    </row>
    <row r="1113" spans="1:4" x14ac:dyDescent="0.25">
      <c r="A1113" s="41" t="str">
        <f>_xlfn.CONCAT("Sample test results are documented in ",'Sample Tables'!B1107," [",'Sample Tables'!B1108,", ",'Sample Tables'!B1109,", ",'Sample Tables'!B1110,", ",'Sample Tables'!B1111,", ",'Sample Tables'!B1112,"]."&amp;CHAR(10))</f>
        <v xml:space="preserve">Sample test results are documented in Test 101: Information Security (disclosure of covered/confidential information for public health activities) [Population Source/Tool: , Population Date Range: , Population Size: , Sample Methodology: , Sample Size: ].
</v>
      </c>
      <c r="B1113" s="95" t="s">
        <v>6815</v>
      </c>
      <c r="C1113" s="93"/>
      <c r="D1113" s="94"/>
    </row>
    <row r="1114" spans="1:4" x14ac:dyDescent="0.25">
      <c r="B1114" s="96"/>
      <c r="C1114" s="91"/>
      <c r="D1114" s="92"/>
    </row>
    <row r="1115" spans="1:4" x14ac:dyDescent="0.25">
      <c r="B1115" s="97"/>
      <c r="C1115" s="71" t="s">
        <v>6824</v>
      </c>
      <c r="D1115" s="71" t="s">
        <v>6825</v>
      </c>
    </row>
    <row r="1116" spans="1:4" x14ac:dyDescent="0.25">
      <c r="B1116" s="72"/>
      <c r="C1116" s="71"/>
      <c r="D1116" s="73"/>
    </row>
    <row r="1118" spans="1:4" x14ac:dyDescent="0.25">
      <c r="B1118" s="27" t="s">
        <v>7197</v>
      </c>
      <c r="C1118" s="40"/>
      <c r="D1118" s="40"/>
    </row>
    <row r="1119" spans="1:4" x14ac:dyDescent="0.25">
      <c r="B1119" s="40" t="s">
        <v>6810</v>
      </c>
      <c r="C1119" s="40"/>
      <c r="D1119" s="40"/>
    </row>
    <row r="1120" spans="1:4" x14ac:dyDescent="0.25">
      <c r="B1120" s="40" t="s">
        <v>6811</v>
      </c>
      <c r="C1120" s="40"/>
      <c r="D1120" s="40"/>
    </row>
    <row r="1121" spans="1:4" x14ac:dyDescent="0.25">
      <c r="B1121" s="42" t="s">
        <v>6812</v>
      </c>
      <c r="C1121" s="40"/>
      <c r="D1121" s="40"/>
    </row>
    <row r="1122" spans="1:4" x14ac:dyDescent="0.25">
      <c r="B1122" s="42" t="s">
        <v>6813</v>
      </c>
      <c r="C1122" s="40"/>
      <c r="D1122" s="40"/>
    </row>
    <row r="1123" spans="1:4" x14ac:dyDescent="0.25">
      <c r="B1123" s="42" t="s">
        <v>6814</v>
      </c>
      <c r="C1123" s="40"/>
      <c r="D1123" s="40"/>
    </row>
    <row r="1124" spans="1:4" x14ac:dyDescent="0.25">
      <c r="A1124" s="41" t="str">
        <f>_xlfn.CONCAT("Sample test results are documented in ",'Sample Tables'!B1118," [",'Sample Tables'!B1119,", ",'Sample Tables'!B1120,", ",'Sample Tables'!B1121,", ",'Sample Tables'!B1122,", ",'Sample Tables'!B1123,"]."&amp;CHAR(10))</f>
        <v xml:space="preserve">Sample test results are documented in Test 102: Information Security (disclosure of covered/confidential information to a coroner/medical examiner) [Population Source/Tool: , Population Date Range: , Population Size: , Sample Methodology: , Sample Size: ].
</v>
      </c>
      <c r="B1124" s="95" t="s">
        <v>6815</v>
      </c>
      <c r="C1124" s="93"/>
      <c r="D1124" s="94"/>
    </row>
    <row r="1125" spans="1:4" x14ac:dyDescent="0.25">
      <c r="B1125" s="96"/>
      <c r="C1125" s="91"/>
      <c r="D1125" s="92"/>
    </row>
    <row r="1126" spans="1:4" x14ac:dyDescent="0.25">
      <c r="B1126" s="97"/>
      <c r="C1126" s="71" t="s">
        <v>6824</v>
      </c>
      <c r="D1126" s="71" t="s">
        <v>6825</v>
      </c>
    </row>
    <row r="1127" spans="1:4" x14ac:dyDescent="0.25">
      <c r="B1127" s="72"/>
      <c r="C1127" s="71"/>
      <c r="D1127" s="73"/>
    </row>
    <row r="1129" spans="1:4" x14ac:dyDescent="0.25">
      <c r="B1129" s="27" t="s">
        <v>7198</v>
      </c>
      <c r="C1129" s="40"/>
      <c r="D1129" s="40"/>
    </row>
    <row r="1130" spans="1:4" x14ac:dyDescent="0.25">
      <c r="B1130" s="40" t="s">
        <v>6810</v>
      </c>
      <c r="C1130" s="40"/>
      <c r="D1130" s="40"/>
    </row>
    <row r="1131" spans="1:4" x14ac:dyDescent="0.25">
      <c r="B1131" s="40" t="s">
        <v>6811</v>
      </c>
      <c r="C1131" s="40"/>
      <c r="D1131" s="40"/>
    </row>
    <row r="1132" spans="1:4" x14ac:dyDescent="0.25">
      <c r="B1132" s="42" t="s">
        <v>6812</v>
      </c>
      <c r="C1132" s="40"/>
      <c r="D1132" s="40"/>
    </row>
    <row r="1133" spans="1:4" x14ac:dyDescent="0.25">
      <c r="B1133" s="42" t="s">
        <v>6813</v>
      </c>
      <c r="C1133" s="40"/>
      <c r="D1133" s="40"/>
    </row>
    <row r="1134" spans="1:4" x14ac:dyDescent="0.25">
      <c r="B1134" s="42" t="s">
        <v>6814</v>
      </c>
      <c r="C1134" s="40"/>
      <c r="D1134" s="40"/>
    </row>
    <row r="1135" spans="1:4" x14ac:dyDescent="0.25">
      <c r="A1135" s="41" t="str">
        <f>_xlfn.CONCAT("Sample test results are documented in ",'Sample Tables'!B1129," [",'Sample Tables'!B1130,", ",'Sample Tables'!B1131,", ",'Sample Tables'!B1132,", ",'Sample Tables'!B1133,", ",'Sample Tables'!B1134,"]."&amp;CHAR(10))</f>
        <v xml:space="preserve">Sample test results are documented in Test 103: Information Security (disclosure of covered/confidential information to a health oversight agency) [Population Source/Tool: , Population Date Range: , Population Size: , Sample Methodology: , Sample Size: ].
</v>
      </c>
      <c r="B1135" s="95" t="s">
        <v>6815</v>
      </c>
      <c r="C1135" s="93"/>
      <c r="D1135" s="94"/>
    </row>
    <row r="1136" spans="1:4" x14ac:dyDescent="0.25">
      <c r="B1136" s="96"/>
      <c r="C1136" s="91"/>
      <c r="D1136" s="92"/>
    </row>
    <row r="1137" spans="1:4" x14ac:dyDescent="0.25">
      <c r="B1137" s="97"/>
      <c r="C1137" s="71" t="s">
        <v>6824</v>
      </c>
      <c r="D1137" s="71" t="s">
        <v>6825</v>
      </c>
    </row>
    <row r="1138" spans="1:4" x14ac:dyDescent="0.25">
      <c r="B1138" s="72"/>
      <c r="C1138" s="71"/>
      <c r="D1138" s="73"/>
    </row>
    <row r="1140" spans="1:4" x14ac:dyDescent="0.25">
      <c r="B1140" s="27" t="s">
        <v>7199</v>
      </c>
      <c r="C1140" s="40"/>
      <c r="D1140" s="40"/>
    </row>
    <row r="1141" spans="1:4" x14ac:dyDescent="0.25">
      <c r="B1141" s="40" t="s">
        <v>6810</v>
      </c>
      <c r="C1141" s="40"/>
      <c r="D1141" s="40"/>
    </row>
    <row r="1142" spans="1:4" x14ac:dyDescent="0.25">
      <c r="B1142" s="40" t="s">
        <v>6811</v>
      </c>
      <c r="C1142" s="40"/>
      <c r="D1142" s="40"/>
    </row>
    <row r="1143" spans="1:4" x14ac:dyDescent="0.25">
      <c r="B1143" s="42" t="s">
        <v>6812</v>
      </c>
      <c r="C1143" s="40"/>
      <c r="D1143" s="40"/>
    </row>
    <row r="1144" spans="1:4" x14ac:dyDescent="0.25">
      <c r="B1144" s="42" t="s">
        <v>6813</v>
      </c>
      <c r="C1144" s="40"/>
      <c r="D1144" s="40"/>
    </row>
    <row r="1145" spans="1:4" x14ac:dyDescent="0.25">
      <c r="B1145" s="42" t="s">
        <v>6814</v>
      </c>
      <c r="C1145" s="40"/>
      <c r="D1145" s="40"/>
    </row>
    <row r="1146" spans="1:4" x14ac:dyDescent="0.25">
      <c r="A1146" s="41" t="str">
        <f>_xlfn.CONCAT("Sample test results are documented in ",'Sample Tables'!B1140," [",'Sample Tables'!B1141,", ",'Sample Tables'!B1142,", ",'Sample Tables'!B1143,", ",'Sample Tables'!B1144,", ",'Sample Tables'!B1145,"]."&amp;CHAR(10))</f>
        <v xml:space="preserve">Sample test results are documented in Test 104: Information Security (disclosure of covered/confidential information to government authorities) [Population Source/Tool: , Population Date Range: , Population Size: , Sample Methodology: , Sample Size: ].
</v>
      </c>
      <c r="B1146" s="95" t="s">
        <v>6815</v>
      </c>
      <c r="C1146" s="93"/>
      <c r="D1146" s="94"/>
    </row>
    <row r="1147" spans="1:4" x14ac:dyDescent="0.25">
      <c r="B1147" s="96"/>
      <c r="C1147" s="91"/>
      <c r="D1147" s="92"/>
    </row>
    <row r="1148" spans="1:4" x14ac:dyDescent="0.25">
      <c r="B1148" s="97"/>
      <c r="C1148" s="71" t="s">
        <v>6824</v>
      </c>
      <c r="D1148" s="71" t="s">
        <v>6825</v>
      </c>
    </row>
    <row r="1149" spans="1:4" x14ac:dyDescent="0.25">
      <c r="B1149" s="72"/>
      <c r="C1149" s="71"/>
      <c r="D1149" s="73"/>
    </row>
    <row r="1151" spans="1:4" x14ac:dyDescent="0.25">
      <c r="B1151" s="27" t="s">
        <v>7200</v>
      </c>
      <c r="C1151" s="40"/>
      <c r="D1151" s="40"/>
    </row>
    <row r="1152" spans="1:4" x14ac:dyDescent="0.25">
      <c r="B1152" s="40" t="s">
        <v>6810</v>
      </c>
      <c r="C1152" s="40"/>
      <c r="D1152" s="40"/>
    </row>
    <row r="1153" spans="1:22" x14ac:dyDescent="0.25">
      <c r="B1153" s="40" t="s">
        <v>6811</v>
      </c>
      <c r="C1153" s="40"/>
      <c r="D1153" s="40"/>
    </row>
    <row r="1154" spans="1:22" x14ac:dyDescent="0.25">
      <c r="B1154" s="42" t="s">
        <v>6812</v>
      </c>
      <c r="C1154" s="40"/>
      <c r="D1154" s="40"/>
    </row>
    <row r="1155" spans="1:22" x14ac:dyDescent="0.25">
      <c r="B1155" s="42" t="s">
        <v>6813</v>
      </c>
      <c r="C1155" s="40"/>
      <c r="D1155" s="40"/>
    </row>
    <row r="1156" spans="1:22" x14ac:dyDescent="0.25">
      <c r="B1156" s="42" t="s">
        <v>6814</v>
      </c>
      <c r="C1156" s="40"/>
      <c r="D1156" s="40"/>
    </row>
    <row r="1157" spans="1:22" x14ac:dyDescent="0.25">
      <c r="A1157" s="41" t="str">
        <f>_xlfn.CONCAT("Sample test results are documented in ",'Sample Tables'!B1151," [",'Sample Tables'!B1152,", ",'Sample Tables'!B1153,", ",'Sample Tables'!B1154,", ",'Sample Tables'!B1155,", ",'Sample Tables'!B1156,"]."&amp;CHAR(10))</f>
        <v xml:space="preserve">Sample test results are documented in Test 105: Information Security (disclosure of covered/confidential information to law enforcement) [Population Source/Tool: , Population Date Range: , Population Size: , Sample Methodology: , Sample Size: ].
</v>
      </c>
      <c r="B1157" s="95" t="s">
        <v>6815</v>
      </c>
      <c r="C1157" s="93"/>
      <c r="D1157" s="94"/>
    </row>
    <row r="1158" spans="1:22" x14ac:dyDescent="0.25">
      <c r="B1158" s="96"/>
      <c r="C1158" s="91"/>
      <c r="D1158" s="92"/>
    </row>
    <row r="1159" spans="1:22" x14ac:dyDescent="0.25">
      <c r="B1159" s="97"/>
      <c r="C1159" s="71" t="s">
        <v>6824</v>
      </c>
      <c r="D1159" s="71" t="s">
        <v>6825</v>
      </c>
    </row>
    <row r="1160" spans="1:22" x14ac:dyDescent="0.25">
      <c r="B1160" s="72"/>
      <c r="C1160" s="71"/>
      <c r="D1160" s="73"/>
    </row>
    <row r="1162" spans="1:22" x14ac:dyDescent="0.25">
      <c r="B1162" s="27" t="s">
        <v>7201</v>
      </c>
      <c r="C1162" s="40"/>
      <c r="D1162" s="40"/>
    </row>
    <row r="1163" spans="1:22" x14ac:dyDescent="0.25">
      <c r="B1163" s="40" t="s">
        <v>6810</v>
      </c>
      <c r="C1163" s="40"/>
      <c r="D1163" s="40"/>
    </row>
    <row r="1164" spans="1:22" x14ac:dyDescent="0.25">
      <c r="B1164" s="40" t="s">
        <v>6811</v>
      </c>
      <c r="C1164" s="40"/>
      <c r="D1164" s="40"/>
    </row>
    <row r="1165" spans="1:22" x14ac:dyDescent="0.25">
      <c r="B1165" s="42" t="s">
        <v>6812</v>
      </c>
      <c r="C1165" s="40"/>
      <c r="D1165" s="40"/>
    </row>
    <row r="1166" spans="1:22" x14ac:dyDescent="0.25">
      <c r="B1166" s="42" t="s">
        <v>6813</v>
      </c>
      <c r="C1166" s="40"/>
      <c r="D1166" s="40"/>
    </row>
    <row r="1167" spans="1:22" x14ac:dyDescent="0.25">
      <c r="B1167" s="42" t="s">
        <v>6814</v>
      </c>
      <c r="C1167" s="40"/>
      <c r="D1167" s="40"/>
    </row>
    <row r="1168" spans="1:22" ht="100" customHeight="1" x14ac:dyDescent="0.25">
      <c r="A1168" s="41" t="str">
        <f>_xlfn.CONCAT("Sample test results are documented in ",'Sample Tables'!B1162," [",'Sample Tables'!B1163,", ",'Sample Tables'!B1164,", ",'Sample Tables'!B1165,", ",'Sample Tables'!B1166,", ",'Sample Tables'!B1167,"]."&amp;CHAR(10))</f>
        <v xml:space="preserve">Sample test results are documented in Test 106: Information Security (disclosure/use of covered/confidential information) [Population Source/Tool: , Population Date Range: , Population Size: , Sample Methodology: , Sample Size: ].
</v>
      </c>
      <c r="B1168" s="95" t="s">
        <v>6815</v>
      </c>
      <c r="C1168" s="93" t="s">
        <v>7202</v>
      </c>
      <c r="D1168" s="94"/>
      <c r="E1168" s="93" t="s">
        <v>7202</v>
      </c>
      <c r="F1168" s="94"/>
      <c r="G1168" s="93" t="s">
        <v>7203</v>
      </c>
      <c r="H1168" s="94"/>
      <c r="I1168" s="93" t="s">
        <v>7203</v>
      </c>
      <c r="J1168" s="94"/>
      <c r="K1168" s="93" t="s">
        <v>7204</v>
      </c>
      <c r="L1168" s="94"/>
      <c r="M1168" s="93" t="s">
        <v>7205</v>
      </c>
      <c r="N1168" s="94"/>
      <c r="O1168" s="93" t="s">
        <v>7206</v>
      </c>
      <c r="P1168" s="94"/>
      <c r="Q1168" s="93" t="s">
        <v>7207</v>
      </c>
      <c r="R1168" s="94"/>
      <c r="S1168" s="93" t="s">
        <v>7208</v>
      </c>
      <c r="T1168" s="94"/>
      <c r="U1168" s="93" t="s">
        <v>7209</v>
      </c>
      <c r="V1168" s="94"/>
    </row>
    <row r="1169" spans="1:22" x14ac:dyDescent="0.25">
      <c r="B1169" s="96"/>
      <c r="C1169" s="91" t="s">
        <v>3377</v>
      </c>
      <c r="D1169" s="92"/>
      <c r="E1169" s="91" t="s">
        <v>3353</v>
      </c>
      <c r="F1169" s="92"/>
      <c r="G1169" s="91" t="s">
        <v>5960</v>
      </c>
      <c r="H1169" s="92"/>
      <c r="I1169" s="91" t="s">
        <v>5774</v>
      </c>
      <c r="J1169" s="92"/>
      <c r="K1169" s="91" t="s">
        <v>6408</v>
      </c>
      <c r="L1169" s="92"/>
      <c r="M1169" s="91" t="s">
        <v>6528</v>
      </c>
      <c r="N1169" s="92"/>
      <c r="O1169" s="91" t="s">
        <v>6530</v>
      </c>
      <c r="P1169" s="92"/>
      <c r="Q1169" s="91" t="s">
        <v>6532</v>
      </c>
      <c r="R1169" s="92"/>
      <c r="S1169" s="91" t="s">
        <v>6611</v>
      </c>
      <c r="T1169" s="92"/>
      <c r="U1169" s="91" t="s">
        <v>6760</v>
      </c>
      <c r="V1169" s="92"/>
    </row>
    <row r="1170" spans="1:22" x14ac:dyDescent="0.25">
      <c r="B1170" s="97"/>
      <c r="C1170" s="71" t="s">
        <v>6824</v>
      </c>
      <c r="D1170" s="71" t="s">
        <v>6825</v>
      </c>
      <c r="E1170" s="71" t="s">
        <v>6824</v>
      </c>
      <c r="F1170" s="71" t="s">
        <v>6825</v>
      </c>
      <c r="G1170" s="71" t="s">
        <v>6824</v>
      </c>
      <c r="H1170" s="71" t="s">
        <v>6825</v>
      </c>
      <c r="I1170" s="71" t="s">
        <v>6824</v>
      </c>
      <c r="J1170" s="71" t="s">
        <v>6825</v>
      </c>
      <c r="K1170" s="71" t="s">
        <v>6824</v>
      </c>
      <c r="L1170" s="71" t="s">
        <v>6825</v>
      </c>
      <c r="M1170" s="71" t="s">
        <v>6824</v>
      </c>
      <c r="N1170" s="71" t="s">
        <v>6825</v>
      </c>
      <c r="O1170" s="71" t="s">
        <v>6824</v>
      </c>
      <c r="P1170" s="71" t="s">
        <v>6825</v>
      </c>
      <c r="Q1170" s="71" t="s">
        <v>6824</v>
      </c>
      <c r="R1170" s="71" t="s">
        <v>6825</v>
      </c>
      <c r="S1170" s="71" t="s">
        <v>6824</v>
      </c>
      <c r="T1170" s="71" t="s">
        <v>6825</v>
      </c>
      <c r="U1170" s="71" t="s">
        <v>6824</v>
      </c>
      <c r="V1170" s="71" t="s">
        <v>6825</v>
      </c>
    </row>
    <row r="1171" spans="1:22" x14ac:dyDescent="0.25">
      <c r="B1171" s="72"/>
      <c r="C1171" s="71"/>
      <c r="D1171" s="73"/>
      <c r="E1171" s="71"/>
      <c r="F1171" s="73"/>
      <c r="G1171" s="71"/>
      <c r="H1171" s="73"/>
      <c r="I1171" s="71"/>
      <c r="J1171" s="73"/>
      <c r="K1171" s="71"/>
      <c r="L1171" s="73"/>
      <c r="M1171" s="71"/>
      <c r="N1171" s="73"/>
      <c r="O1171" s="71"/>
      <c r="P1171" s="73"/>
      <c r="Q1171" s="71"/>
      <c r="R1171" s="73"/>
      <c r="S1171" s="71"/>
      <c r="T1171" s="73"/>
      <c r="U1171" s="71"/>
      <c r="V1171" s="73"/>
    </row>
    <row r="1173" spans="1:22" x14ac:dyDescent="0.25">
      <c r="B1173" s="27" t="s">
        <v>7210</v>
      </c>
      <c r="C1173" s="40"/>
      <c r="D1173" s="40"/>
    </row>
    <row r="1174" spans="1:22" x14ac:dyDescent="0.25">
      <c r="B1174" s="40" t="s">
        <v>6810</v>
      </c>
      <c r="C1174" s="40"/>
      <c r="D1174" s="40"/>
    </row>
    <row r="1175" spans="1:22" x14ac:dyDescent="0.25">
      <c r="B1175" s="40" t="s">
        <v>6811</v>
      </c>
      <c r="C1175" s="40"/>
      <c r="D1175" s="40"/>
    </row>
    <row r="1176" spans="1:22" x14ac:dyDescent="0.25">
      <c r="B1176" s="42" t="s">
        <v>6812</v>
      </c>
      <c r="C1176" s="40"/>
      <c r="D1176" s="40"/>
    </row>
    <row r="1177" spans="1:22" x14ac:dyDescent="0.25">
      <c r="B1177" s="42" t="s">
        <v>6813</v>
      </c>
      <c r="C1177" s="40"/>
      <c r="D1177" s="40"/>
    </row>
    <row r="1178" spans="1:22" x14ac:dyDescent="0.25">
      <c r="B1178" s="42" t="s">
        <v>6814</v>
      </c>
      <c r="C1178" s="40"/>
      <c r="D1178" s="40"/>
    </row>
    <row r="1179" spans="1:22" x14ac:dyDescent="0.25">
      <c r="A1179" s="41" t="str">
        <f>_xlfn.CONCAT("Sample test results are documented in ",'Sample Tables'!B1173," [",'Sample Tables'!B1174,", ",'Sample Tables'!B1175,", ",'Sample Tables'!B1176,", ",'Sample Tables'!B1177,", ",'Sample Tables'!B1178,"]."&amp;CHAR(10))</f>
        <v xml:space="preserve">Sample test results are documented in Test 107: Information Security (indication of increased risk) [Population Source/Tool: , Population Date Range: , Population Size: , Sample Methodology: , Sample Size: ].
</v>
      </c>
      <c r="B1179" s="95" t="s">
        <v>6815</v>
      </c>
      <c r="C1179" s="93"/>
      <c r="D1179" s="94"/>
    </row>
    <row r="1180" spans="1:22" x14ac:dyDescent="0.25">
      <c r="B1180" s="96"/>
      <c r="C1180" s="91"/>
      <c r="D1180" s="92"/>
    </row>
    <row r="1181" spans="1:22" x14ac:dyDescent="0.25">
      <c r="B1181" s="97"/>
      <c r="C1181" s="71" t="s">
        <v>6824</v>
      </c>
      <c r="D1181" s="71" t="s">
        <v>6825</v>
      </c>
    </row>
    <row r="1182" spans="1:22" x14ac:dyDescent="0.25">
      <c r="B1182" s="72"/>
      <c r="C1182" s="71"/>
      <c r="D1182" s="73"/>
    </row>
    <row r="1184" spans="1:22" x14ac:dyDescent="0.25">
      <c r="B1184" s="27" t="s">
        <v>7211</v>
      </c>
      <c r="C1184" s="40"/>
      <c r="D1184" s="40"/>
    </row>
    <row r="1185" spans="1:4" x14ac:dyDescent="0.25">
      <c r="B1185" s="40" t="s">
        <v>6810</v>
      </c>
      <c r="C1185" s="40"/>
      <c r="D1185" s="40"/>
    </row>
    <row r="1186" spans="1:4" x14ac:dyDescent="0.25">
      <c r="B1186" s="40" t="s">
        <v>6811</v>
      </c>
      <c r="C1186" s="40"/>
      <c r="D1186" s="40"/>
    </row>
    <row r="1187" spans="1:4" x14ac:dyDescent="0.25">
      <c r="B1187" s="42" t="s">
        <v>6812</v>
      </c>
      <c r="C1187" s="40"/>
      <c r="D1187" s="40"/>
    </row>
    <row r="1188" spans="1:4" x14ac:dyDescent="0.25">
      <c r="B1188" s="42" t="s">
        <v>6813</v>
      </c>
      <c r="C1188" s="40"/>
      <c r="D1188" s="40"/>
    </row>
    <row r="1189" spans="1:4" x14ac:dyDescent="0.25">
      <c r="B1189" s="42" t="s">
        <v>6814</v>
      </c>
      <c r="C1189" s="40"/>
      <c r="D1189" s="40"/>
    </row>
    <row r="1190" spans="1:4" ht="100" customHeight="1" x14ac:dyDescent="0.25">
      <c r="A1190" s="41" t="str">
        <f>_xlfn.CONCAT("Sample test results are documented in ",'Sample Tables'!B1184," [",'Sample Tables'!B1185,", ",'Sample Tables'!B1186,", ",'Sample Tables'!B1187,", ",'Sample Tables'!B1188,", ",'Sample Tables'!B1189,"]."&amp;CHAR(10))</f>
        <v xml:space="preserve">Sample test results are documented in Test 108: Information Security (information security incident legal case) [Population Source/Tool: , Population Date Range: , Population Size: , Sample Methodology: , Sample Size: ].
</v>
      </c>
      <c r="B1190" s="95" t="s">
        <v>6815</v>
      </c>
      <c r="C1190" s="93" t="s">
        <v>7212</v>
      </c>
      <c r="D1190" s="94"/>
    </row>
    <row r="1191" spans="1:4" x14ac:dyDescent="0.25">
      <c r="B1191" s="96"/>
      <c r="C1191" s="91" t="s">
        <v>4299</v>
      </c>
      <c r="D1191" s="92"/>
    </row>
    <row r="1192" spans="1:4" x14ac:dyDescent="0.25">
      <c r="B1192" s="97"/>
      <c r="C1192" s="71" t="s">
        <v>6824</v>
      </c>
      <c r="D1192" s="71" t="s">
        <v>6825</v>
      </c>
    </row>
    <row r="1193" spans="1:4" x14ac:dyDescent="0.25">
      <c r="B1193" s="72"/>
      <c r="C1193" s="71"/>
      <c r="D1193" s="73"/>
    </row>
    <row r="1195" spans="1:4" x14ac:dyDescent="0.25">
      <c r="B1195" s="27" t="s">
        <v>7213</v>
      </c>
      <c r="C1195" s="40"/>
      <c r="D1195" s="40"/>
    </row>
    <row r="1196" spans="1:4" x14ac:dyDescent="0.25">
      <c r="B1196" s="40" t="s">
        <v>6810</v>
      </c>
      <c r="C1196" s="40"/>
      <c r="D1196" s="40"/>
    </row>
    <row r="1197" spans="1:4" x14ac:dyDescent="0.25">
      <c r="B1197" s="40" t="s">
        <v>6811</v>
      </c>
      <c r="C1197" s="40"/>
      <c r="D1197" s="40"/>
    </row>
    <row r="1198" spans="1:4" x14ac:dyDescent="0.25">
      <c r="B1198" s="42" t="s">
        <v>6812</v>
      </c>
      <c r="C1198" s="40"/>
      <c r="D1198" s="40"/>
    </row>
    <row r="1199" spans="1:4" x14ac:dyDescent="0.25">
      <c r="B1199" s="42" t="s">
        <v>6813</v>
      </c>
      <c r="C1199" s="40"/>
      <c r="D1199" s="40"/>
    </row>
    <row r="1200" spans="1:4" x14ac:dyDescent="0.25">
      <c r="B1200" s="42" t="s">
        <v>6814</v>
      </c>
      <c r="C1200" s="40"/>
      <c r="D1200" s="40"/>
    </row>
    <row r="1201" spans="1:38" ht="100" customHeight="1" x14ac:dyDescent="0.25">
      <c r="A1201" s="41" t="str">
        <f>_xlfn.CONCAT("Sample test results are documented in ",'Sample Tables'!B1195," [",'Sample Tables'!B1196,", ",'Sample Tables'!B1197,", ",'Sample Tables'!B1198,", ",'Sample Tables'!B1199,", ",'Sample Tables'!B1200,"]."&amp;CHAR(10))</f>
        <v xml:space="preserve">Sample test results are documented in Test 109: Information Security (information security incident response test) [Population Source/Tool: , Population Date Range: , Population Size: , Sample Methodology: , Sample Size: ].
</v>
      </c>
      <c r="B1201" s="95" t="s">
        <v>6815</v>
      </c>
      <c r="C1201" s="93" t="s">
        <v>7214</v>
      </c>
      <c r="D1201" s="94"/>
    </row>
    <row r="1202" spans="1:38" x14ac:dyDescent="0.25">
      <c r="B1202" s="96"/>
      <c r="C1202" s="91" t="s">
        <v>4349</v>
      </c>
      <c r="D1202" s="92"/>
    </row>
    <row r="1203" spans="1:38" x14ac:dyDescent="0.25">
      <c r="B1203" s="97"/>
      <c r="C1203" s="71" t="s">
        <v>6824</v>
      </c>
      <c r="D1203" s="71" t="s">
        <v>6825</v>
      </c>
    </row>
    <row r="1204" spans="1:38" x14ac:dyDescent="0.25">
      <c r="B1204" s="72"/>
      <c r="C1204" s="71"/>
      <c r="D1204" s="73"/>
    </row>
    <row r="1206" spans="1:38" x14ac:dyDescent="0.25">
      <c r="B1206" s="27" t="s">
        <v>7215</v>
      </c>
      <c r="C1206" s="40"/>
      <c r="D1206" s="40"/>
    </row>
    <row r="1207" spans="1:38" x14ac:dyDescent="0.25">
      <c r="B1207" s="40" t="s">
        <v>6810</v>
      </c>
      <c r="C1207" s="40"/>
      <c r="D1207" s="40"/>
    </row>
    <row r="1208" spans="1:38" x14ac:dyDescent="0.25">
      <c r="B1208" s="40" t="s">
        <v>6811</v>
      </c>
      <c r="C1208" s="40"/>
      <c r="D1208" s="40"/>
    </row>
    <row r="1209" spans="1:38" x14ac:dyDescent="0.25">
      <c r="B1209" s="42" t="s">
        <v>6812</v>
      </c>
      <c r="C1209" s="40"/>
      <c r="D1209" s="40"/>
    </row>
    <row r="1210" spans="1:38" x14ac:dyDescent="0.25">
      <c r="B1210" s="42" t="s">
        <v>6813</v>
      </c>
      <c r="C1210" s="40"/>
      <c r="D1210" s="40"/>
    </row>
    <row r="1211" spans="1:38" x14ac:dyDescent="0.25">
      <c r="B1211" s="42" t="s">
        <v>6814</v>
      </c>
      <c r="C1211" s="40"/>
      <c r="D1211" s="40"/>
    </row>
    <row r="1212" spans="1:38" ht="100" customHeight="1" x14ac:dyDescent="0.25">
      <c r="A1212" s="41" t="str">
        <f>_xlfn.CONCAT("Sample test results are documented in ",'Sample Tables'!B1206," [",'Sample Tables'!B1207,", ",'Sample Tables'!B1208,", ",'Sample Tables'!B1209,", ",'Sample Tables'!B1210,", ",'Sample Tables'!B1211,"]."&amp;CHAR(10))</f>
        <v xml:space="preserve">Sample test results are documented in Test 110: Information Security (information security incident) [Population Source/Tool: , Population Date Range: , Population Size: , Sample Methodology: , Sample Size: ].
</v>
      </c>
      <c r="B1212" s="95" t="s">
        <v>6815</v>
      </c>
      <c r="C1212" s="93" t="s">
        <v>7216</v>
      </c>
      <c r="D1212" s="94"/>
      <c r="E1212" s="93" t="s">
        <v>7217</v>
      </c>
      <c r="F1212" s="94"/>
      <c r="G1212" s="93" t="s">
        <v>7131</v>
      </c>
      <c r="H1212" s="94"/>
      <c r="I1212" s="93" t="s">
        <v>7218</v>
      </c>
      <c r="J1212" s="94"/>
      <c r="K1212" s="93" t="s">
        <v>7219</v>
      </c>
      <c r="L1212" s="94"/>
      <c r="M1212" s="93" t="s">
        <v>7220</v>
      </c>
      <c r="N1212" s="94"/>
      <c r="O1212" s="93" t="s">
        <v>7221</v>
      </c>
      <c r="P1212" s="94"/>
      <c r="Q1212" s="93" t="s">
        <v>7222</v>
      </c>
      <c r="R1212" s="94"/>
      <c r="S1212" s="93" t="s">
        <v>7139</v>
      </c>
      <c r="T1212" s="94"/>
      <c r="U1212" s="93" t="s">
        <v>7223</v>
      </c>
      <c r="V1212" s="94"/>
      <c r="W1212" s="93" t="s">
        <v>7224</v>
      </c>
      <c r="X1212" s="94"/>
      <c r="Y1212" s="93" t="s">
        <v>7225</v>
      </c>
      <c r="Z1212" s="94"/>
      <c r="AA1212" s="93" t="s">
        <v>7226</v>
      </c>
      <c r="AB1212" s="94"/>
      <c r="AC1212" s="93" t="s">
        <v>7227</v>
      </c>
      <c r="AD1212" s="94"/>
      <c r="AE1212" s="93" t="s">
        <v>7228</v>
      </c>
      <c r="AF1212" s="94"/>
      <c r="AG1212" s="93" t="s">
        <v>7225</v>
      </c>
      <c r="AH1212" s="94"/>
      <c r="AI1212" s="93" t="s">
        <v>7226</v>
      </c>
      <c r="AJ1212" s="94"/>
      <c r="AK1212" s="93" t="s">
        <v>7229</v>
      </c>
      <c r="AL1212" s="94"/>
    </row>
    <row r="1213" spans="1:38" x14ac:dyDescent="0.25">
      <c r="B1213" s="96"/>
      <c r="C1213" s="91" t="s">
        <v>4141</v>
      </c>
      <c r="D1213" s="92"/>
      <c r="E1213" s="91" t="s">
        <v>4141</v>
      </c>
      <c r="F1213" s="92"/>
      <c r="G1213" s="91" t="s">
        <v>4146</v>
      </c>
      <c r="H1213" s="92"/>
      <c r="I1213" s="91" t="s">
        <v>4174</v>
      </c>
      <c r="J1213" s="92"/>
      <c r="K1213" s="91" t="s">
        <v>4174</v>
      </c>
      <c r="L1213" s="92"/>
      <c r="M1213" s="91" t="s">
        <v>4180</v>
      </c>
      <c r="N1213" s="92"/>
      <c r="O1213" s="91" t="s">
        <v>4180</v>
      </c>
      <c r="P1213" s="92"/>
      <c r="Q1213" s="91" t="s">
        <v>4188</v>
      </c>
      <c r="R1213" s="92"/>
      <c r="S1213" s="91" t="s">
        <v>4190</v>
      </c>
      <c r="T1213" s="92"/>
      <c r="U1213" s="91" t="s">
        <v>4252</v>
      </c>
      <c r="V1213" s="92"/>
      <c r="W1213" s="91" t="s">
        <v>4260</v>
      </c>
      <c r="X1213" s="92"/>
      <c r="Y1213" s="91" t="s">
        <v>4276</v>
      </c>
      <c r="Z1213" s="92"/>
      <c r="AA1213" s="91" t="s">
        <v>4278</v>
      </c>
      <c r="AB1213" s="92"/>
      <c r="AC1213" s="91" t="s">
        <v>4278</v>
      </c>
      <c r="AD1213" s="92"/>
      <c r="AE1213" s="91" t="s">
        <v>4283</v>
      </c>
      <c r="AF1213" s="92"/>
      <c r="AG1213" s="91" t="s">
        <v>4285</v>
      </c>
      <c r="AH1213" s="92"/>
      <c r="AI1213" s="91" t="s">
        <v>4285</v>
      </c>
      <c r="AJ1213" s="92"/>
      <c r="AK1213" s="91" t="s">
        <v>4317</v>
      </c>
      <c r="AL1213" s="92"/>
    </row>
    <row r="1214" spans="1:38" x14ac:dyDescent="0.25">
      <c r="B1214" s="97"/>
      <c r="C1214" s="71" t="s">
        <v>6824</v>
      </c>
      <c r="D1214" s="71" t="s">
        <v>6825</v>
      </c>
      <c r="E1214" s="71" t="s">
        <v>6824</v>
      </c>
      <c r="F1214" s="71" t="s">
        <v>6825</v>
      </c>
      <c r="G1214" s="71" t="s">
        <v>6824</v>
      </c>
      <c r="H1214" s="71" t="s">
        <v>6825</v>
      </c>
      <c r="I1214" s="71" t="s">
        <v>6824</v>
      </c>
      <c r="J1214" s="71" t="s">
        <v>6825</v>
      </c>
      <c r="K1214" s="71" t="s">
        <v>6824</v>
      </c>
      <c r="L1214" s="71" t="s">
        <v>6825</v>
      </c>
      <c r="M1214" s="71" t="s">
        <v>6824</v>
      </c>
      <c r="N1214" s="71" t="s">
        <v>6825</v>
      </c>
      <c r="O1214" s="71" t="s">
        <v>6824</v>
      </c>
      <c r="P1214" s="71" t="s">
        <v>6825</v>
      </c>
      <c r="Q1214" s="71" t="s">
        <v>6824</v>
      </c>
      <c r="R1214" s="71" t="s">
        <v>6825</v>
      </c>
      <c r="S1214" s="71" t="s">
        <v>6824</v>
      </c>
      <c r="T1214" s="71" t="s">
        <v>6825</v>
      </c>
      <c r="U1214" s="71" t="s">
        <v>6824</v>
      </c>
      <c r="V1214" s="71" t="s">
        <v>6825</v>
      </c>
      <c r="W1214" s="71" t="s">
        <v>6824</v>
      </c>
      <c r="X1214" s="71" t="s">
        <v>6825</v>
      </c>
      <c r="Y1214" s="71" t="s">
        <v>6824</v>
      </c>
      <c r="Z1214" s="71" t="s">
        <v>6825</v>
      </c>
      <c r="AA1214" s="71" t="s">
        <v>6824</v>
      </c>
      <c r="AB1214" s="71" t="s">
        <v>6825</v>
      </c>
      <c r="AC1214" s="71" t="s">
        <v>6824</v>
      </c>
      <c r="AD1214" s="71" t="s">
        <v>6825</v>
      </c>
      <c r="AE1214" s="71" t="s">
        <v>6824</v>
      </c>
      <c r="AF1214" s="71" t="s">
        <v>6825</v>
      </c>
      <c r="AG1214" s="71" t="s">
        <v>6824</v>
      </c>
      <c r="AH1214" s="71" t="s">
        <v>6825</v>
      </c>
      <c r="AI1214" s="71" t="s">
        <v>6824</v>
      </c>
      <c r="AJ1214" s="71" t="s">
        <v>6825</v>
      </c>
      <c r="AK1214" s="71" t="s">
        <v>6824</v>
      </c>
      <c r="AL1214" s="71" t="s">
        <v>6825</v>
      </c>
    </row>
    <row r="1215" spans="1:38" x14ac:dyDescent="0.25">
      <c r="B1215" s="72"/>
      <c r="C1215" s="71"/>
      <c r="D1215" s="73"/>
      <c r="E1215" s="71"/>
      <c r="F1215" s="73"/>
      <c r="G1215" s="71"/>
      <c r="H1215" s="73"/>
      <c r="I1215" s="71"/>
      <c r="J1215" s="73"/>
      <c r="K1215" s="71"/>
      <c r="L1215" s="73"/>
      <c r="M1215" s="71"/>
      <c r="N1215" s="73"/>
      <c r="O1215" s="71"/>
      <c r="P1215" s="73"/>
      <c r="Q1215" s="71"/>
      <c r="R1215" s="73"/>
      <c r="S1215" s="71"/>
      <c r="T1215" s="73"/>
      <c r="U1215" s="71"/>
      <c r="V1215" s="73"/>
      <c r="W1215" s="71"/>
      <c r="X1215" s="73"/>
      <c r="Y1215" s="71"/>
      <c r="Z1215" s="73"/>
      <c r="AA1215" s="71"/>
      <c r="AB1215" s="73"/>
      <c r="AC1215" s="71"/>
      <c r="AD1215" s="73"/>
      <c r="AE1215" s="71"/>
      <c r="AF1215" s="73"/>
      <c r="AG1215" s="71"/>
      <c r="AH1215" s="73"/>
      <c r="AI1215" s="71"/>
      <c r="AJ1215" s="73"/>
      <c r="AK1215" s="71"/>
      <c r="AL1215" s="73"/>
    </row>
    <row r="1217" spans="1:10" x14ac:dyDescent="0.25">
      <c r="B1217" s="27" t="s">
        <v>7230</v>
      </c>
      <c r="C1217" s="40"/>
      <c r="D1217" s="40"/>
    </row>
    <row r="1218" spans="1:10" x14ac:dyDescent="0.25">
      <c r="B1218" s="40" t="s">
        <v>6810</v>
      </c>
      <c r="C1218" s="40"/>
      <c r="D1218" s="40"/>
    </row>
    <row r="1219" spans="1:10" x14ac:dyDescent="0.25">
      <c r="B1219" s="40" t="s">
        <v>6811</v>
      </c>
      <c r="C1219" s="40"/>
      <c r="D1219" s="40"/>
    </row>
    <row r="1220" spans="1:10" x14ac:dyDescent="0.25">
      <c r="B1220" s="42" t="s">
        <v>6812</v>
      </c>
      <c r="C1220" s="40"/>
      <c r="D1220" s="40"/>
    </row>
    <row r="1221" spans="1:10" x14ac:dyDescent="0.25">
      <c r="B1221" s="42" t="s">
        <v>6813</v>
      </c>
      <c r="C1221" s="40"/>
      <c r="D1221" s="40"/>
    </row>
    <row r="1222" spans="1:10" x14ac:dyDescent="0.25">
      <c r="B1222" s="42" t="s">
        <v>6814</v>
      </c>
      <c r="C1222" s="40"/>
      <c r="D1222" s="40"/>
    </row>
    <row r="1223" spans="1:10" ht="100" customHeight="1" x14ac:dyDescent="0.25">
      <c r="A1223" s="41" t="str">
        <f>_xlfn.CONCAT("Sample test results are documented in ",'Sample Tables'!B1217," [",'Sample Tables'!B1218,", ",'Sample Tables'!B1219,", ",'Sample Tables'!B1220,", ",'Sample Tables'!B1221,", ",'Sample Tables'!B1222,"]."&amp;CHAR(10))</f>
        <v xml:space="preserve">Sample test results are documented in Test 111: Information Security (logical security incident) [Population Source/Tool: , Population Date Range: , Population Size: , Sample Methodology: , Sample Size: ].
</v>
      </c>
      <c r="B1223" s="95" t="s">
        <v>6815</v>
      </c>
      <c r="C1223" s="93" t="s">
        <v>7231</v>
      </c>
      <c r="D1223" s="94"/>
      <c r="E1223" s="93" t="s">
        <v>7232</v>
      </c>
      <c r="F1223" s="94"/>
      <c r="G1223" s="93" t="s">
        <v>7231</v>
      </c>
      <c r="H1223" s="94"/>
      <c r="I1223" s="93" t="s">
        <v>7232</v>
      </c>
      <c r="J1223" s="94"/>
    </row>
    <row r="1224" spans="1:10" x14ac:dyDescent="0.25">
      <c r="B1224" s="96"/>
      <c r="C1224" s="91" t="s">
        <v>5003</v>
      </c>
      <c r="D1224" s="92"/>
      <c r="E1224" s="91" t="s">
        <v>5003</v>
      </c>
      <c r="F1224" s="92"/>
      <c r="G1224" s="91" t="s">
        <v>5032</v>
      </c>
      <c r="H1224" s="92"/>
      <c r="I1224" s="91" t="s">
        <v>5032</v>
      </c>
      <c r="J1224" s="92"/>
    </row>
    <row r="1225" spans="1:10" x14ac:dyDescent="0.25">
      <c r="B1225" s="97"/>
      <c r="C1225" s="71" t="s">
        <v>6824</v>
      </c>
      <c r="D1225" s="71" t="s">
        <v>6825</v>
      </c>
      <c r="E1225" s="71" t="s">
        <v>6824</v>
      </c>
      <c r="F1225" s="71" t="s">
        <v>6825</v>
      </c>
      <c r="G1225" s="71" t="s">
        <v>6824</v>
      </c>
      <c r="H1225" s="71" t="s">
        <v>6825</v>
      </c>
      <c r="I1225" s="71" t="s">
        <v>6824</v>
      </c>
      <c r="J1225" s="71" t="s">
        <v>6825</v>
      </c>
    </row>
    <row r="1226" spans="1:10" x14ac:dyDescent="0.25">
      <c r="B1226" s="72"/>
      <c r="C1226" s="71"/>
      <c r="D1226" s="73"/>
      <c r="E1226" s="71"/>
      <c r="F1226" s="73"/>
      <c r="G1226" s="71"/>
      <c r="H1226" s="73"/>
      <c r="I1226" s="71"/>
      <c r="J1226" s="73"/>
    </row>
    <row r="1228" spans="1:10" x14ac:dyDescent="0.25">
      <c r="B1228" s="27" t="s">
        <v>7233</v>
      </c>
      <c r="C1228" s="40"/>
      <c r="D1228" s="40"/>
    </row>
    <row r="1229" spans="1:10" x14ac:dyDescent="0.25">
      <c r="B1229" s="40" t="s">
        <v>6810</v>
      </c>
      <c r="C1229" s="40"/>
      <c r="D1229" s="40"/>
    </row>
    <row r="1230" spans="1:10" x14ac:dyDescent="0.25">
      <c r="B1230" s="40" t="s">
        <v>6811</v>
      </c>
      <c r="C1230" s="40"/>
      <c r="D1230" s="40"/>
    </row>
    <row r="1231" spans="1:10" x14ac:dyDescent="0.25">
      <c r="B1231" s="42" t="s">
        <v>6812</v>
      </c>
      <c r="C1231" s="40"/>
      <c r="D1231" s="40"/>
    </row>
    <row r="1232" spans="1:10" x14ac:dyDescent="0.25">
      <c r="B1232" s="42" t="s">
        <v>6813</v>
      </c>
      <c r="C1232" s="40"/>
      <c r="D1232" s="40"/>
    </row>
    <row r="1233" spans="1:20" x14ac:dyDescent="0.25">
      <c r="B1233" s="42" t="s">
        <v>6814</v>
      </c>
      <c r="C1233" s="40"/>
      <c r="D1233" s="40"/>
    </row>
    <row r="1234" spans="1:20" ht="100" customHeight="1" x14ac:dyDescent="0.25">
      <c r="A1234" s="41" t="str">
        <f>_xlfn.CONCAT("Sample test results are documented in ",'Sample Tables'!B1228," [",'Sample Tables'!B1229,", ",'Sample Tables'!B1230,", ",'Sample Tables'!B1231,", ",'Sample Tables'!B1232,", ",'Sample Tables'!B1233,"]."&amp;CHAR(10))</f>
        <v xml:space="preserve">Sample test results are documented in Test 112: Information Security (maintenance record) [Population Source/Tool: , Population Date Range: , Population Size: , Sample Methodology: , Sample Size: ].
</v>
      </c>
      <c r="B1234" s="95" t="s">
        <v>6815</v>
      </c>
      <c r="C1234" s="93" t="s">
        <v>7234</v>
      </c>
      <c r="D1234" s="94"/>
      <c r="E1234" s="93" t="s">
        <v>7235</v>
      </c>
      <c r="F1234" s="94"/>
      <c r="G1234" s="93" t="s">
        <v>7236</v>
      </c>
      <c r="H1234" s="94"/>
      <c r="I1234" s="93" t="s">
        <v>7237</v>
      </c>
      <c r="J1234" s="94"/>
      <c r="K1234" s="93" t="s">
        <v>7238</v>
      </c>
      <c r="L1234" s="94"/>
      <c r="M1234" s="93" t="s">
        <v>7239</v>
      </c>
      <c r="N1234" s="94"/>
      <c r="O1234" s="93" t="s">
        <v>7240</v>
      </c>
      <c r="P1234" s="94"/>
      <c r="Q1234" s="93" t="s">
        <v>7241</v>
      </c>
      <c r="R1234" s="94"/>
      <c r="S1234" s="93" t="s">
        <v>7242</v>
      </c>
      <c r="T1234" s="94"/>
    </row>
    <row r="1235" spans="1:20" x14ac:dyDescent="0.25">
      <c r="B1235" s="96"/>
      <c r="C1235" s="91" t="s">
        <v>5490</v>
      </c>
      <c r="D1235" s="92"/>
      <c r="E1235" s="91" t="s">
        <v>5490</v>
      </c>
      <c r="F1235" s="92"/>
      <c r="G1235" s="91" t="s">
        <v>5494</v>
      </c>
      <c r="H1235" s="92"/>
      <c r="I1235" s="91" t="s">
        <v>5496</v>
      </c>
      <c r="J1235" s="92"/>
      <c r="K1235" s="91" t="s">
        <v>5496</v>
      </c>
      <c r="L1235" s="92"/>
      <c r="M1235" s="91" t="s">
        <v>5496</v>
      </c>
      <c r="N1235" s="92"/>
      <c r="O1235" s="91" t="s">
        <v>5498</v>
      </c>
      <c r="P1235" s="92"/>
      <c r="Q1235" s="91" t="s">
        <v>5498</v>
      </c>
      <c r="R1235" s="92"/>
      <c r="S1235" s="91" t="s">
        <v>5500</v>
      </c>
      <c r="T1235" s="92"/>
    </row>
    <row r="1236" spans="1:20" x14ac:dyDescent="0.25">
      <c r="B1236" s="97"/>
      <c r="C1236" s="71" t="s">
        <v>6824</v>
      </c>
      <c r="D1236" s="71" t="s">
        <v>6825</v>
      </c>
      <c r="E1236" s="71" t="s">
        <v>6824</v>
      </c>
      <c r="F1236" s="71" t="s">
        <v>6825</v>
      </c>
      <c r="G1236" s="71" t="s">
        <v>6824</v>
      </c>
      <c r="H1236" s="71" t="s">
        <v>6825</v>
      </c>
      <c r="I1236" s="71" t="s">
        <v>6824</v>
      </c>
      <c r="J1236" s="71" t="s">
        <v>6825</v>
      </c>
      <c r="K1236" s="71" t="s">
        <v>6824</v>
      </c>
      <c r="L1236" s="71" t="s">
        <v>6825</v>
      </c>
      <c r="M1236" s="71" t="s">
        <v>6824</v>
      </c>
      <c r="N1236" s="71" t="s">
        <v>6825</v>
      </c>
      <c r="O1236" s="71" t="s">
        <v>6824</v>
      </c>
      <c r="P1236" s="71" t="s">
        <v>6825</v>
      </c>
      <c r="Q1236" s="71" t="s">
        <v>6824</v>
      </c>
      <c r="R1236" s="71" t="s">
        <v>6825</v>
      </c>
      <c r="S1236" s="71" t="s">
        <v>6824</v>
      </c>
      <c r="T1236" s="71" t="s">
        <v>6825</v>
      </c>
    </row>
    <row r="1237" spans="1:20" x14ac:dyDescent="0.25">
      <c r="B1237" s="72"/>
      <c r="C1237" s="71"/>
      <c r="D1237" s="73"/>
      <c r="E1237" s="71"/>
      <c r="F1237" s="73"/>
      <c r="G1237" s="71"/>
      <c r="H1237" s="73"/>
      <c r="I1237" s="71"/>
      <c r="J1237" s="73"/>
      <c r="K1237" s="71"/>
      <c r="L1237" s="73"/>
      <c r="M1237" s="71"/>
      <c r="N1237" s="73"/>
      <c r="O1237" s="71"/>
      <c r="P1237" s="73"/>
      <c r="Q1237" s="71"/>
      <c r="R1237" s="73"/>
      <c r="S1237" s="71"/>
      <c r="T1237" s="73"/>
    </row>
    <row r="1239" spans="1:20" x14ac:dyDescent="0.25">
      <c r="B1239" s="27" t="s">
        <v>7243</v>
      </c>
      <c r="C1239" s="40"/>
      <c r="D1239" s="40"/>
    </row>
    <row r="1240" spans="1:20" x14ac:dyDescent="0.25">
      <c r="B1240" s="40" t="s">
        <v>6810</v>
      </c>
      <c r="C1240" s="40"/>
      <c r="D1240" s="40"/>
    </row>
    <row r="1241" spans="1:20" x14ac:dyDescent="0.25">
      <c r="B1241" s="40" t="s">
        <v>6811</v>
      </c>
      <c r="C1241" s="40"/>
      <c r="D1241" s="40"/>
    </row>
    <row r="1242" spans="1:20" x14ac:dyDescent="0.25">
      <c r="B1242" s="42" t="s">
        <v>6812</v>
      </c>
      <c r="C1242" s="40"/>
      <c r="D1242" s="40"/>
    </row>
    <row r="1243" spans="1:20" x14ac:dyDescent="0.25">
      <c r="B1243" s="42" t="s">
        <v>6813</v>
      </c>
      <c r="C1243" s="40"/>
      <c r="D1243" s="40"/>
    </row>
    <row r="1244" spans="1:20" x14ac:dyDescent="0.25">
      <c r="B1244" s="42" t="s">
        <v>6814</v>
      </c>
      <c r="C1244" s="40"/>
      <c r="D1244" s="40"/>
    </row>
    <row r="1245" spans="1:20" ht="100" customHeight="1" x14ac:dyDescent="0.25">
      <c r="A1245" s="41" t="str">
        <f>_xlfn.CONCAT("Sample test results are documented in ",'Sample Tables'!B1239," [",'Sample Tables'!B1240,", ",'Sample Tables'!B1241,", ",'Sample Tables'!B1242,", ",'Sample Tables'!B1243,", ",'Sample Tables'!B1244,"]."&amp;CHAR(10))</f>
        <v xml:space="preserve">Sample test results are documented in Test 113: Information Security (media disposal record) [Population Source/Tool: , Population Date Range: , Population Size: , Sample Methodology: , Sample Size: ].
</v>
      </c>
      <c r="B1245" s="95" t="s">
        <v>6815</v>
      </c>
      <c r="C1245" s="93" t="s">
        <v>7244</v>
      </c>
      <c r="D1245" s="94"/>
      <c r="E1245" s="93" t="s">
        <v>7244</v>
      </c>
      <c r="F1245" s="94"/>
    </row>
    <row r="1246" spans="1:20" x14ac:dyDescent="0.25">
      <c r="B1246" s="96"/>
      <c r="C1246" s="91" t="s">
        <v>774</v>
      </c>
      <c r="D1246" s="92"/>
      <c r="E1246" s="91" t="s">
        <v>757</v>
      </c>
      <c r="F1246" s="92"/>
    </row>
    <row r="1247" spans="1:20" x14ac:dyDescent="0.25">
      <c r="B1247" s="97"/>
      <c r="C1247" s="71" t="s">
        <v>6824</v>
      </c>
      <c r="D1247" s="71" t="s">
        <v>6825</v>
      </c>
      <c r="E1247" s="71" t="s">
        <v>6824</v>
      </c>
      <c r="F1247" s="71" t="s">
        <v>6825</v>
      </c>
    </row>
    <row r="1248" spans="1:20" x14ac:dyDescent="0.25">
      <c r="B1248" s="72"/>
      <c r="C1248" s="71"/>
      <c r="D1248" s="73"/>
      <c r="E1248" s="71"/>
      <c r="F1248" s="73"/>
    </row>
    <row r="1250" spans="1:8" x14ac:dyDescent="0.25">
      <c r="B1250" s="27" t="s">
        <v>7245</v>
      </c>
      <c r="C1250" s="40"/>
      <c r="D1250" s="40"/>
    </row>
    <row r="1251" spans="1:8" x14ac:dyDescent="0.25">
      <c r="B1251" s="40" t="s">
        <v>6810</v>
      </c>
      <c r="C1251" s="40"/>
      <c r="D1251" s="40"/>
    </row>
    <row r="1252" spans="1:8" x14ac:dyDescent="0.25">
      <c r="B1252" s="40" t="s">
        <v>6811</v>
      </c>
      <c r="C1252" s="40"/>
      <c r="D1252" s="40"/>
    </row>
    <row r="1253" spans="1:8" x14ac:dyDescent="0.25">
      <c r="B1253" s="42" t="s">
        <v>6812</v>
      </c>
      <c r="C1253" s="40"/>
      <c r="D1253" s="40"/>
    </row>
    <row r="1254" spans="1:8" x14ac:dyDescent="0.25">
      <c r="B1254" s="42" t="s">
        <v>6813</v>
      </c>
      <c r="C1254" s="40"/>
      <c r="D1254" s="40"/>
    </row>
    <row r="1255" spans="1:8" x14ac:dyDescent="0.25">
      <c r="B1255" s="42" t="s">
        <v>6814</v>
      </c>
      <c r="C1255" s="40"/>
      <c r="D1255" s="40"/>
    </row>
    <row r="1256" spans="1:8" ht="100" customHeight="1" x14ac:dyDescent="0.25">
      <c r="A1256" s="41" t="str">
        <f>_xlfn.CONCAT("Sample test results are documented in ",'Sample Tables'!B1250," [",'Sample Tables'!B1251,", ",'Sample Tables'!B1252,", ",'Sample Tables'!B1253,", ",'Sample Tables'!B1254,", ",'Sample Tables'!B1255,"]."&amp;CHAR(10))</f>
        <v xml:space="preserve">Sample test results are documented in Test 114: Information Security (new commercial product) [Population Source/Tool: , Population Date Range: , Population Size: , Sample Methodology: , Sample Size: ].
</v>
      </c>
      <c r="B1256" s="95" t="s">
        <v>6815</v>
      </c>
      <c r="C1256" s="93" t="s">
        <v>7246</v>
      </c>
      <c r="D1256" s="94"/>
      <c r="E1256" s="93" t="s">
        <v>7247</v>
      </c>
      <c r="F1256" s="94"/>
      <c r="G1256" s="93" t="s">
        <v>7248</v>
      </c>
      <c r="H1256" s="94"/>
    </row>
    <row r="1257" spans="1:8" x14ac:dyDescent="0.25">
      <c r="B1257" s="96"/>
      <c r="C1257" s="91" t="s">
        <v>5246</v>
      </c>
      <c r="D1257" s="92"/>
      <c r="E1257" s="91" t="s">
        <v>5250</v>
      </c>
      <c r="F1257" s="92"/>
      <c r="G1257" s="91" t="s">
        <v>5273</v>
      </c>
      <c r="H1257" s="92"/>
    </row>
    <row r="1258" spans="1:8" x14ac:dyDescent="0.25">
      <c r="B1258" s="97"/>
      <c r="C1258" s="71" t="s">
        <v>6824</v>
      </c>
      <c r="D1258" s="71" t="s">
        <v>6825</v>
      </c>
      <c r="E1258" s="71" t="s">
        <v>6824</v>
      </c>
      <c r="F1258" s="71" t="s">
        <v>6825</v>
      </c>
      <c r="G1258" s="71" t="s">
        <v>6824</v>
      </c>
      <c r="H1258" s="71" t="s">
        <v>6825</v>
      </c>
    </row>
    <row r="1259" spans="1:8" x14ac:dyDescent="0.25">
      <c r="B1259" s="72"/>
      <c r="C1259" s="71"/>
      <c r="D1259" s="73"/>
      <c r="E1259" s="71"/>
      <c r="F1259" s="73"/>
      <c r="G1259" s="71"/>
      <c r="H1259" s="73"/>
    </row>
    <row r="1261" spans="1:8" x14ac:dyDescent="0.25">
      <c r="B1261" s="27" t="s">
        <v>7249</v>
      </c>
      <c r="C1261" s="40"/>
      <c r="D1261" s="40"/>
    </row>
    <row r="1262" spans="1:8" x14ac:dyDescent="0.25">
      <c r="B1262" s="40" t="s">
        <v>6810</v>
      </c>
      <c r="C1262" s="40"/>
      <c r="D1262" s="40"/>
    </row>
    <row r="1263" spans="1:8" x14ac:dyDescent="0.25">
      <c r="B1263" s="40" t="s">
        <v>6811</v>
      </c>
      <c r="C1263" s="40"/>
      <c r="D1263" s="40"/>
    </row>
    <row r="1264" spans="1:8" x14ac:dyDescent="0.25">
      <c r="B1264" s="42" t="s">
        <v>6812</v>
      </c>
      <c r="C1264" s="40"/>
      <c r="D1264" s="40"/>
    </row>
    <row r="1265" spans="1:32" x14ac:dyDescent="0.25">
      <c r="B1265" s="42" t="s">
        <v>6813</v>
      </c>
      <c r="C1265" s="40"/>
      <c r="D1265" s="40"/>
    </row>
    <row r="1266" spans="1:32" x14ac:dyDescent="0.25">
      <c r="B1266" s="42" t="s">
        <v>6814</v>
      </c>
      <c r="C1266" s="40"/>
      <c r="D1266" s="40"/>
    </row>
    <row r="1267" spans="1:32" x14ac:dyDescent="0.25">
      <c r="A1267" s="41" t="str">
        <f>_xlfn.CONCAT("Sample test results are documented in ",'Sample Tables'!B1261," [",'Sample Tables'!B1262,", ",'Sample Tables'!B1263,", ",'Sample Tables'!B1264,", ",'Sample Tables'!B1265,", ",'Sample Tables'!B1266,"]."&amp;CHAR(10))</f>
        <v xml:space="preserve">Sample test results are documented in Test 115: Information Security (new use of PII proposal) [Population Source/Tool: , Population Date Range: , Population Size: , Sample Methodology: , Sample Size: ].
</v>
      </c>
      <c r="B1267" s="95" t="s">
        <v>6815</v>
      </c>
      <c r="C1267" s="93"/>
      <c r="D1267" s="94"/>
    </row>
    <row r="1268" spans="1:32" x14ac:dyDescent="0.25">
      <c r="B1268" s="96"/>
      <c r="C1268" s="91"/>
      <c r="D1268" s="92"/>
    </row>
    <row r="1269" spans="1:32" x14ac:dyDescent="0.25">
      <c r="B1269" s="97"/>
      <c r="C1269" s="71" t="s">
        <v>6824</v>
      </c>
      <c r="D1269" s="71" t="s">
        <v>6825</v>
      </c>
    </row>
    <row r="1270" spans="1:32" x14ac:dyDescent="0.25">
      <c r="B1270" s="72"/>
      <c r="C1270" s="71"/>
      <c r="D1270" s="73"/>
    </row>
    <row r="1272" spans="1:32" x14ac:dyDescent="0.25">
      <c r="B1272" s="27" t="s">
        <v>7250</v>
      </c>
      <c r="C1272" s="40"/>
      <c r="D1272" s="40"/>
    </row>
    <row r="1273" spans="1:32" x14ac:dyDescent="0.25">
      <c r="B1273" s="40" t="s">
        <v>6810</v>
      </c>
      <c r="C1273" s="40"/>
      <c r="D1273" s="40"/>
    </row>
    <row r="1274" spans="1:32" x14ac:dyDescent="0.25">
      <c r="B1274" s="40" t="s">
        <v>6811</v>
      </c>
      <c r="C1274" s="40"/>
      <c r="D1274" s="40"/>
    </row>
    <row r="1275" spans="1:32" x14ac:dyDescent="0.25">
      <c r="B1275" s="42" t="s">
        <v>6812</v>
      </c>
      <c r="C1275" s="40"/>
      <c r="D1275" s="40"/>
    </row>
    <row r="1276" spans="1:32" x14ac:dyDescent="0.25">
      <c r="B1276" s="42" t="s">
        <v>6813</v>
      </c>
      <c r="C1276" s="40"/>
      <c r="D1276" s="40"/>
    </row>
    <row r="1277" spans="1:32" x14ac:dyDescent="0.25">
      <c r="B1277" s="42" t="s">
        <v>6814</v>
      </c>
      <c r="C1277" s="40"/>
      <c r="D1277" s="40"/>
    </row>
    <row r="1278" spans="1:32" ht="100" customHeight="1" x14ac:dyDescent="0.25">
      <c r="A1278" s="41" t="str">
        <f>_xlfn.CONCAT("Sample test results are documented in ",'Sample Tables'!B1272," [",'Sample Tables'!B1273,", ",'Sample Tables'!B1274,", ",'Sample Tables'!B1275,", ",'Sample Tables'!B1276,", ",'Sample Tables'!B1277,"]."&amp;CHAR(10))</f>
        <v xml:space="preserve">Sample test results are documented in Test 116: Information Security (non-compliance identified during compliance check) [Population Source/Tool: , Population Date Range: , Population Size: , Sample Methodology: , Sample Size: ].
</v>
      </c>
      <c r="B1278" s="95" t="s">
        <v>6815</v>
      </c>
      <c r="C1278" s="93" t="s">
        <v>7251</v>
      </c>
      <c r="D1278" s="94"/>
      <c r="E1278" s="93" t="s">
        <v>7252</v>
      </c>
      <c r="F1278" s="94"/>
      <c r="G1278" s="93" t="s">
        <v>7253</v>
      </c>
      <c r="H1278" s="94"/>
      <c r="I1278" s="93" t="s">
        <v>7254</v>
      </c>
      <c r="J1278" s="94"/>
      <c r="K1278" s="93" t="s">
        <v>7251</v>
      </c>
      <c r="L1278" s="94"/>
      <c r="M1278" s="93" t="s">
        <v>7252</v>
      </c>
      <c r="N1278" s="94"/>
      <c r="O1278" s="93" t="s">
        <v>7253</v>
      </c>
      <c r="P1278" s="94"/>
      <c r="Q1278" s="93" t="s">
        <v>7254</v>
      </c>
      <c r="R1278" s="94"/>
      <c r="S1278" s="93" t="s">
        <v>7255</v>
      </c>
      <c r="T1278" s="94"/>
      <c r="U1278" s="93" t="s">
        <v>7256</v>
      </c>
      <c r="V1278" s="94"/>
      <c r="W1278" s="93" t="s">
        <v>7257</v>
      </c>
      <c r="X1278" s="94"/>
      <c r="Y1278" s="93" t="s">
        <v>7258</v>
      </c>
      <c r="Z1278" s="94"/>
      <c r="AA1278" s="93" t="s">
        <v>7259</v>
      </c>
      <c r="AB1278" s="94"/>
      <c r="AC1278" s="93" t="s">
        <v>7260</v>
      </c>
      <c r="AD1278" s="94"/>
      <c r="AE1278" s="93" t="s">
        <v>7261</v>
      </c>
      <c r="AF1278" s="94"/>
    </row>
    <row r="1279" spans="1:32" x14ac:dyDescent="0.25">
      <c r="B1279" s="96"/>
      <c r="C1279" s="91" t="s">
        <v>1104</v>
      </c>
      <c r="D1279" s="92"/>
      <c r="E1279" s="91" t="s">
        <v>1104</v>
      </c>
      <c r="F1279" s="92"/>
      <c r="G1279" s="91" t="s">
        <v>1104</v>
      </c>
      <c r="H1279" s="92"/>
      <c r="I1279" s="91" t="s">
        <v>1104</v>
      </c>
      <c r="J1279" s="92"/>
      <c r="K1279" s="91" t="s">
        <v>1550</v>
      </c>
      <c r="L1279" s="92"/>
      <c r="M1279" s="91" t="s">
        <v>1550</v>
      </c>
      <c r="N1279" s="92"/>
      <c r="O1279" s="91" t="s">
        <v>1550</v>
      </c>
      <c r="P1279" s="92"/>
      <c r="Q1279" s="91" t="s">
        <v>1550</v>
      </c>
      <c r="R1279" s="92"/>
      <c r="S1279" s="91" t="s">
        <v>1554</v>
      </c>
      <c r="T1279" s="92"/>
      <c r="U1279" s="91" t="s">
        <v>1699</v>
      </c>
      <c r="V1279" s="92"/>
      <c r="W1279" s="91" t="s">
        <v>1699</v>
      </c>
      <c r="X1279" s="92"/>
      <c r="Y1279" s="91" t="s">
        <v>1726</v>
      </c>
      <c r="Z1279" s="92"/>
      <c r="AA1279" s="91" t="s">
        <v>4998</v>
      </c>
      <c r="AB1279" s="92"/>
      <c r="AC1279" s="91" t="s">
        <v>4998</v>
      </c>
      <c r="AD1279" s="92"/>
      <c r="AE1279" s="91" t="s">
        <v>4998</v>
      </c>
      <c r="AF1279" s="92"/>
    </row>
    <row r="1280" spans="1:32" x14ac:dyDescent="0.25">
      <c r="B1280" s="97"/>
      <c r="C1280" s="71" t="s">
        <v>6824</v>
      </c>
      <c r="D1280" s="71" t="s">
        <v>6825</v>
      </c>
      <c r="E1280" s="71" t="s">
        <v>6824</v>
      </c>
      <c r="F1280" s="71" t="s">
        <v>6825</v>
      </c>
      <c r="G1280" s="71" t="s">
        <v>6824</v>
      </c>
      <c r="H1280" s="71" t="s">
        <v>6825</v>
      </c>
      <c r="I1280" s="71" t="s">
        <v>6824</v>
      </c>
      <c r="J1280" s="71" t="s">
        <v>6825</v>
      </c>
      <c r="K1280" s="71" t="s">
        <v>6824</v>
      </c>
      <c r="L1280" s="71" t="s">
        <v>6825</v>
      </c>
      <c r="M1280" s="71" t="s">
        <v>6824</v>
      </c>
      <c r="N1280" s="71" t="s">
        <v>6825</v>
      </c>
      <c r="O1280" s="71" t="s">
        <v>6824</v>
      </c>
      <c r="P1280" s="71" t="s">
        <v>6825</v>
      </c>
      <c r="Q1280" s="71" t="s">
        <v>6824</v>
      </c>
      <c r="R1280" s="71" t="s">
        <v>6825</v>
      </c>
      <c r="S1280" s="71" t="s">
        <v>6824</v>
      </c>
      <c r="T1280" s="71" t="s">
        <v>6825</v>
      </c>
      <c r="U1280" s="71" t="s">
        <v>6824</v>
      </c>
      <c r="V1280" s="71" t="s">
        <v>6825</v>
      </c>
      <c r="W1280" s="71" t="s">
        <v>6824</v>
      </c>
      <c r="X1280" s="71" t="s">
        <v>6825</v>
      </c>
      <c r="Y1280" s="71" t="s">
        <v>6824</v>
      </c>
      <c r="Z1280" s="71" t="s">
        <v>6825</v>
      </c>
      <c r="AA1280" s="71" t="s">
        <v>6824</v>
      </c>
      <c r="AB1280" s="71" t="s">
        <v>6825</v>
      </c>
      <c r="AC1280" s="71" t="s">
        <v>6824</v>
      </c>
      <c r="AD1280" s="71" t="s">
        <v>6825</v>
      </c>
      <c r="AE1280" s="71" t="s">
        <v>6824</v>
      </c>
      <c r="AF1280" s="71" t="s">
        <v>6825</v>
      </c>
    </row>
    <row r="1281" spans="1:32" x14ac:dyDescent="0.25">
      <c r="B1281" s="72"/>
      <c r="C1281" s="71"/>
      <c r="D1281" s="73"/>
      <c r="E1281" s="71"/>
      <c r="F1281" s="73"/>
      <c r="G1281" s="71"/>
      <c r="H1281" s="73"/>
      <c r="I1281" s="71"/>
      <c r="J1281" s="73"/>
      <c r="K1281" s="71"/>
      <c r="L1281" s="73"/>
      <c r="M1281" s="71"/>
      <c r="N1281" s="73"/>
      <c r="O1281" s="71"/>
      <c r="P1281" s="73"/>
      <c r="Q1281" s="71"/>
      <c r="R1281" s="73"/>
      <c r="S1281" s="71"/>
      <c r="T1281" s="73"/>
      <c r="U1281" s="71"/>
      <c r="V1281" s="73"/>
      <c r="W1281" s="71"/>
      <c r="X1281" s="73"/>
      <c r="Y1281" s="71"/>
      <c r="Z1281" s="73"/>
      <c r="AA1281" s="71"/>
      <c r="AB1281" s="73"/>
      <c r="AC1281" s="71"/>
      <c r="AD1281" s="73"/>
      <c r="AE1281" s="71"/>
      <c r="AF1281" s="73"/>
    </row>
    <row r="1283" spans="1:32" x14ac:dyDescent="0.25">
      <c r="B1283" s="27" t="s">
        <v>7262</v>
      </c>
      <c r="C1283" s="40"/>
      <c r="D1283" s="40"/>
    </row>
    <row r="1284" spans="1:32" x14ac:dyDescent="0.25">
      <c r="B1284" s="40" t="s">
        <v>6810</v>
      </c>
      <c r="C1284" s="40"/>
      <c r="D1284" s="40"/>
    </row>
    <row r="1285" spans="1:32" x14ac:dyDescent="0.25">
      <c r="B1285" s="40" t="s">
        <v>6811</v>
      </c>
      <c r="C1285" s="40"/>
      <c r="D1285" s="40"/>
    </row>
    <row r="1286" spans="1:32" x14ac:dyDescent="0.25">
      <c r="B1286" s="42" t="s">
        <v>6812</v>
      </c>
      <c r="C1286" s="40"/>
      <c r="D1286" s="40"/>
    </row>
    <row r="1287" spans="1:32" x14ac:dyDescent="0.25">
      <c r="B1287" s="42" t="s">
        <v>6813</v>
      </c>
      <c r="C1287" s="40"/>
      <c r="D1287" s="40"/>
    </row>
    <row r="1288" spans="1:32" x14ac:dyDescent="0.25">
      <c r="B1288" s="42" t="s">
        <v>6814</v>
      </c>
      <c r="C1288" s="40"/>
      <c r="D1288" s="40"/>
    </row>
    <row r="1289" spans="1:32" x14ac:dyDescent="0.25">
      <c r="A1289" s="41" t="str">
        <f>_xlfn.CONCAT("Sample test results are documented in ",'Sample Tables'!B1283," [",'Sample Tables'!B1284,", ",'Sample Tables'!B1285,", ",'Sample Tables'!B1286,", ",'Sample Tables'!B1287,", ",'Sample Tables'!B1288,"]."&amp;CHAR(10))</f>
        <v xml:space="preserve">Sample test results are documented in Test 117: Information Security (non-local maintenance record) [Population Source/Tool: , Population Date Range: , Population Size: , Sample Methodology: , Sample Size: ].
</v>
      </c>
      <c r="B1289" s="95" t="s">
        <v>6815</v>
      </c>
      <c r="C1289" s="93"/>
      <c r="D1289" s="94"/>
    </row>
    <row r="1290" spans="1:32" x14ac:dyDescent="0.25">
      <c r="B1290" s="96"/>
      <c r="C1290" s="91"/>
      <c r="D1290" s="92"/>
    </row>
    <row r="1291" spans="1:32" x14ac:dyDescent="0.25">
      <c r="B1291" s="97"/>
      <c r="C1291" s="71" t="s">
        <v>6824</v>
      </c>
      <c r="D1291" s="71" t="s">
        <v>6825</v>
      </c>
    </row>
    <row r="1292" spans="1:32" x14ac:dyDescent="0.25">
      <c r="B1292" s="72"/>
      <c r="C1292" s="71"/>
      <c r="D1292" s="73"/>
    </row>
    <row r="1294" spans="1:32" x14ac:dyDescent="0.25">
      <c r="B1294" s="27" t="s">
        <v>7263</v>
      </c>
      <c r="C1294" s="40"/>
      <c r="D1294" s="40"/>
    </row>
    <row r="1295" spans="1:32" x14ac:dyDescent="0.25">
      <c r="B1295" s="40" t="s">
        <v>6810</v>
      </c>
      <c r="C1295" s="40"/>
      <c r="D1295" s="40"/>
    </row>
    <row r="1296" spans="1:32" x14ac:dyDescent="0.25">
      <c r="B1296" s="40" t="s">
        <v>6811</v>
      </c>
      <c r="C1296" s="40"/>
      <c r="D1296" s="40"/>
    </row>
    <row r="1297" spans="1:6" x14ac:dyDescent="0.25">
      <c r="B1297" s="42" t="s">
        <v>6812</v>
      </c>
      <c r="C1297" s="40"/>
      <c r="D1297" s="40"/>
    </row>
    <row r="1298" spans="1:6" x14ac:dyDescent="0.25">
      <c r="B1298" s="42" t="s">
        <v>6813</v>
      </c>
      <c r="C1298" s="40"/>
      <c r="D1298" s="40"/>
    </row>
    <row r="1299" spans="1:6" x14ac:dyDescent="0.25">
      <c r="B1299" s="42" t="s">
        <v>6814</v>
      </c>
      <c r="C1299" s="40"/>
      <c r="D1299" s="40"/>
    </row>
    <row r="1300" spans="1:6" ht="100" customHeight="1" x14ac:dyDescent="0.25">
      <c r="A1300" s="41" t="str">
        <f>_xlfn.CONCAT("Sample test results are documented in ",'Sample Tables'!B1294," [",'Sample Tables'!B1295,", ",'Sample Tables'!B1296,", ",'Sample Tables'!B1297,", ",'Sample Tables'!B1298,", ",'Sample Tables'!B1299,"]."&amp;CHAR(10))</f>
        <v xml:space="preserve">Sample test results are documented in Test 118: Information Security (physical security incident) [Population Source/Tool: , Population Date Range: , Population Size: , Sample Methodology: , Sample Size: ].
</v>
      </c>
      <c r="B1300" s="95" t="s">
        <v>6815</v>
      </c>
      <c r="C1300" s="93" t="s">
        <v>7264</v>
      </c>
      <c r="D1300" s="94"/>
      <c r="E1300" s="93" t="s">
        <v>7264</v>
      </c>
      <c r="F1300" s="94"/>
    </row>
    <row r="1301" spans="1:6" x14ac:dyDescent="0.25">
      <c r="B1301" s="96"/>
      <c r="C1301" s="91" t="s">
        <v>3545</v>
      </c>
      <c r="D1301" s="92"/>
      <c r="E1301" s="91" t="s">
        <v>3769</v>
      </c>
      <c r="F1301" s="92"/>
    </row>
    <row r="1302" spans="1:6" x14ac:dyDescent="0.25">
      <c r="B1302" s="97"/>
      <c r="C1302" s="71" t="s">
        <v>6824</v>
      </c>
      <c r="D1302" s="71" t="s">
        <v>6825</v>
      </c>
      <c r="E1302" s="71" t="s">
        <v>6824</v>
      </c>
      <c r="F1302" s="71" t="s">
        <v>6825</v>
      </c>
    </row>
    <row r="1303" spans="1:6" x14ac:dyDescent="0.25">
      <c r="B1303" s="72"/>
      <c r="C1303" s="71"/>
      <c r="D1303" s="73"/>
      <c r="E1303" s="71"/>
      <c r="F1303" s="73"/>
    </row>
    <row r="1305" spans="1:6" x14ac:dyDescent="0.25">
      <c r="B1305" s="27" t="s">
        <v>7265</v>
      </c>
      <c r="C1305" s="40"/>
      <c r="D1305" s="40"/>
    </row>
    <row r="1306" spans="1:6" x14ac:dyDescent="0.25">
      <c r="B1306" s="40" t="s">
        <v>6810</v>
      </c>
      <c r="C1306" s="40"/>
      <c r="D1306" s="40"/>
    </row>
    <row r="1307" spans="1:6" x14ac:dyDescent="0.25">
      <c r="B1307" s="40" t="s">
        <v>6811</v>
      </c>
      <c r="C1307" s="40"/>
      <c r="D1307" s="40"/>
    </row>
    <row r="1308" spans="1:6" x14ac:dyDescent="0.25">
      <c r="B1308" s="42" t="s">
        <v>6812</v>
      </c>
      <c r="C1308" s="40"/>
      <c r="D1308" s="40"/>
    </row>
    <row r="1309" spans="1:6" x14ac:dyDescent="0.25">
      <c r="B1309" s="42" t="s">
        <v>6813</v>
      </c>
      <c r="C1309" s="40"/>
      <c r="D1309" s="40"/>
    </row>
    <row r="1310" spans="1:6" x14ac:dyDescent="0.25">
      <c r="B1310" s="42" t="s">
        <v>6814</v>
      </c>
      <c r="C1310" s="40"/>
      <c r="D1310" s="40"/>
    </row>
    <row r="1311" spans="1:6" x14ac:dyDescent="0.25">
      <c r="A1311" s="41" t="str">
        <f>_xlfn.CONCAT("Sample test results are documented in ",'Sample Tables'!B1305," [",'Sample Tables'!B1306,", ",'Sample Tables'!B1307,", ",'Sample Tables'!B1308,", ",'Sample Tables'!B1309,", ",'Sample Tables'!B1310,"]."&amp;CHAR(10))</f>
        <v xml:space="preserve">Sample test results are documented in Test 119: Information Security (posted to publicly accessible system) [Population Source/Tool: , Population Date Range: , Population Size: , Sample Methodology: , Sample Size: ].
</v>
      </c>
      <c r="B1311" s="95" t="s">
        <v>6815</v>
      </c>
      <c r="C1311" s="93"/>
      <c r="D1311" s="94"/>
    </row>
    <row r="1312" spans="1:6" x14ac:dyDescent="0.25">
      <c r="B1312" s="96"/>
      <c r="C1312" s="91"/>
      <c r="D1312" s="92"/>
    </row>
    <row r="1313" spans="1:4" x14ac:dyDescent="0.25">
      <c r="B1313" s="97"/>
      <c r="C1313" s="71" t="s">
        <v>6824</v>
      </c>
      <c r="D1313" s="71" t="s">
        <v>6825</v>
      </c>
    </row>
    <row r="1314" spans="1:4" x14ac:dyDescent="0.25">
      <c r="B1314" s="72"/>
      <c r="C1314" s="71"/>
      <c r="D1314" s="73"/>
    </row>
    <row r="1316" spans="1:4" x14ac:dyDescent="0.25">
      <c r="B1316" s="27" t="s">
        <v>7266</v>
      </c>
      <c r="C1316" s="40"/>
      <c r="D1316" s="40"/>
    </row>
    <row r="1317" spans="1:4" x14ac:dyDescent="0.25">
      <c r="B1317" s="40" t="s">
        <v>6810</v>
      </c>
      <c r="C1317" s="40"/>
      <c r="D1317" s="40"/>
    </row>
    <row r="1318" spans="1:4" x14ac:dyDescent="0.25">
      <c r="B1318" s="40" t="s">
        <v>6811</v>
      </c>
      <c r="C1318" s="40"/>
      <c r="D1318" s="40"/>
    </row>
    <row r="1319" spans="1:4" x14ac:dyDescent="0.25">
      <c r="B1319" s="42" t="s">
        <v>6812</v>
      </c>
      <c r="C1319" s="40"/>
      <c r="D1319" s="40"/>
    </row>
    <row r="1320" spans="1:4" x14ac:dyDescent="0.25">
      <c r="B1320" s="42" t="s">
        <v>6813</v>
      </c>
      <c r="C1320" s="40"/>
      <c r="D1320" s="40"/>
    </row>
    <row r="1321" spans="1:4" x14ac:dyDescent="0.25">
      <c r="B1321" s="42" t="s">
        <v>6814</v>
      </c>
      <c r="C1321" s="40"/>
      <c r="D1321" s="40"/>
    </row>
    <row r="1322" spans="1:4" x14ac:dyDescent="0.25">
      <c r="A1322" s="41" t="str">
        <f>_xlfn.CONCAT("Sample test results are documented in ",'Sample Tables'!B1316," [",'Sample Tables'!B1317,", ",'Sample Tables'!B1318,", ",'Sample Tables'!B1319,", ",'Sample Tables'!B1320,", ",'Sample Tables'!B1321,"]."&amp;CHAR(10))</f>
        <v xml:space="preserve">Sample test results are documented in Test 120: Information Security (privacy control assessment) [Population Source/Tool: , Population Date Range: , Population Size: , Sample Methodology: , Sample Size: ].
</v>
      </c>
      <c r="B1322" s="95" t="s">
        <v>6815</v>
      </c>
      <c r="C1322" s="93"/>
      <c r="D1322" s="94"/>
    </row>
    <row r="1323" spans="1:4" x14ac:dyDescent="0.25">
      <c r="B1323" s="96"/>
      <c r="C1323" s="91"/>
      <c r="D1323" s="92"/>
    </row>
    <row r="1324" spans="1:4" x14ac:dyDescent="0.25">
      <c r="B1324" s="97"/>
      <c r="C1324" s="71" t="s">
        <v>6824</v>
      </c>
      <c r="D1324" s="71" t="s">
        <v>6825</v>
      </c>
    </row>
    <row r="1325" spans="1:4" x14ac:dyDescent="0.25">
      <c r="B1325" s="72"/>
      <c r="C1325" s="71"/>
      <c r="D1325" s="73"/>
    </row>
    <row r="1327" spans="1:4" x14ac:dyDescent="0.25">
      <c r="B1327" s="27" t="s">
        <v>7267</v>
      </c>
      <c r="C1327" s="40"/>
      <c r="D1327" s="40"/>
    </row>
    <row r="1328" spans="1:4" x14ac:dyDescent="0.25">
      <c r="B1328" s="40" t="s">
        <v>6810</v>
      </c>
      <c r="C1328" s="40"/>
      <c r="D1328" s="40"/>
    </row>
    <row r="1329" spans="1:6" x14ac:dyDescent="0.25">
      <c r="B1329" s="40" t="s">
        <v>6811</v>
      </c>
      <c r="C1329" s="40"/>
      <c r="D1329" s="40"/>
    </row>
    <row r="1330" spans="1:6" x14ac:dyDescent="0.25">
      <c r="B1330" s="42" t="s">
        <v>6812</v>
      </c>
      <c r="C1330" s="40"/>
      <c r="D1330" s="40"/>
    </row>
    <row r="1331" spans="1:6" x14ac:dyDescent="0.25">
      <c r="B1331" s="42" t="s">
        <v>6813</v>
      </c>
      <c r="C1331" s="40"/>
      <c r="D1331" s="40"/>
    </row>
    <row r="1332" spans="1:6" x14ac:dyDescent="0.25">
      <c r="B1332" s="42" t="s">
        <v>6814</v>
      </c>
      <c r="C1332" s="40"/>
      <c r="D1332" s="40"/>
    </row>
    <row r="1333" spans="1:6" x14ac:dyDescent="0.25">
      <c r="A1333" s="41" t="str">
        <f>_xlfn.CONCAT("Sample test results are documented in ",'Sample Tables'!B1327," [",'Sample Tables'!B1328,", ",'Sample Tables'!B1329,", ",'Sample Tables'!B1330,", ",'Sample Tables'!B1331,", ",'Sample Tables'!B1332,"]."&amp;CHAR(10))</f>
        <v xml:space="preserve">Sample test results are documented in Test 121: Information Security (program document) [Population Source/Tool: , Population Date Range: , Population Size: , Sample Methodology: , Sample Size: ].
</v>
      </c>
      <c r="B1333" s="95" t="s">
        <v>6815</v>
      </c>
      <c r="C1333" s="93"/>
      <c r="D1333" s="94"/>
    </row>
    <row r="1334" spans="1:6" x14ac:dyDescent="0.25">
      <c r="B1334" s="96"/>
      <c r="C1334" s="91"/>
      <c r="D1334" s="92"/>
    </row>
    <row r="1335" spans="1:6" x14ac:dyDescent="0.25">
      <c r="B1335" s="97"/>
      <c r="C1335" s="71" t="s">
        <v>6824</v>
      </c>
      <c r="D1335" s="71" t="s">
        <v>6825</v>
      </c>
    </row>
    <row r="1336" spans="1:6" x14ac:dyDescent="0.25">
      <c r="B1336" s="72"/>
      <c r="C1336" s="71"/>
      <c r="D1336" s="73"/>
    </row>
    <row r="1338" spans="1:6" x14ac:dyDescent="0.25">
      <c r="B1338" s="27" t="s">
        <v>7268</v>
      </c>
      <c r="C1338" s="40"/>
      <c r="D1338" s="40"/>
    </row>
    <row r="1339" spans="1:6" x14ac:dyDescent="0.25">
      <c r="B1339" s="40" t="s">
        <v>6810</v>
      </c>
      <c r="C1339" s="40"/>
      <c r="D1339" s="40"/>
    </row>
    <row r="1340" spans="1:6" x14ac:dyDescent="0.25">
      <c r="B1340" s="40" t="s">
        <v>6811</v>
      </c>
      <c r="C1340" s="40"/>
      <c r="D1340" s="40"/>
    </row>
    <row r="1341" spans="1:6" x14ac:dyDescent="0.25">
      <c r="B1341" s="42" t="s">
        <v>6812</v>
      </c>
      <c r="C1341" s="40"/>
      <c r="D1341" s="40"/>
    </row>
    <row r="1342" spans="1:6" x14ac:dyDescent="0.25">
      <c r="B1342" s="42" t="s">
        <v>6813</v>
      </c>
      <c r="C1342" s="40"/>
      <c r="D1342" s="40"/>
    </row>
    <row r="1343" spans="1:6" x14ac:dyDescent="0.25">
      <c r="B1343" s="42" t="s">
        <v>6814</v>
      </c>
      <c r="C1343" s="40"/>
      <c r="D1343" s="40"/>
    </row>
    <row r="1344" spans="1:6" ht="100" customHeight="1" x14ac:dyDescent="0.25">
      <c r="A1344" s="41" t="str">
        <f>_xlfn.CONCAT("Sample test results are documented in ",'Sample Tables'!B1338," [",'Sample Tables'!B1339,", ",'Sample Tables'!B1340,", ",'Sample Tables'!B1341,", ",'Sample Tables'!B1342,", ",'Sample Tables'!B1343,"]."&amp;CHAR(10))</f>
        <v xml:space="preserve">Sample test results are documented in Test 122: Information Security (record extract of covered/confidential information) [Population Source/Tool: , Population Date Range: , Population Size: , Sample Methodology: , Sample Size: ].
</v>
      </c>
      <c r="B1344" s="95" t="s">
        <v>6815</v>
      </c>
      <c r="C1344" s="93" t="s">
        <v>7269</v>
      </c>
      <c r="D1344" s="94"/>
      <c r="E1344" s="93" t="s">
        <v>7269</v>
      </c>
      <c r="F1344" s="94"/>
    </row>
    <row r="1345" spans="1:6" x14ac:dyDescent="0.25">
      <c r="B1345" s="96"/>
      <c r="C1345" s="91" t="s">
        <v>3404</v>
      </c>
      <c r="D1345" s="92"/>
      <c r="E1345" s="91" t="s">
        <v>3356</v>
      </c>
      <c r="F1345" s="92"/>
    </row>
    <row r="1346" spans="1:6" x14ac:dyDescent="0.25">
      <c r="B1346" s="97"/>
      <c r="C1346" s="71" t="s">
        <v>6824</v>
      </c>
      <c r="D1346" s="71" t="s">
        <v>6825</v>
      </c>
      <c r="E1346" s="71" t="s">
        <v>6824</v>
      </c>
      <c r="F1346" s="71" t="s">
        <v>6825</v>
      </c>
    </row>
    <row r="1347" spans="1:6" x14ac:dyDescent="0.25">
      <c r="B1347" s="72"/>
      <c r="C1347" s="71"/>
      <c r="D1347" s="73"/>
      <c r="E1347" s="71"/>
      <c r="F1347" s="73"/>
    </row>
    <row r="1349" spans="1:6" x14ac:dyDescent="0.25">
      <c r="B1349" s="27" t="s">
        <v>7270</v>
      </c>
      <c r="C1349" s="40"/>
      <c r="D1349" s="40"/>
    </row>
    <row r="1350" spans="1:6" x14ac:dyDescent="0.25">
      <c r="B1350" s="40" t="s">
        <v>6810</v>
      </c>
      <c r="C1350" s="40"/>
      <c r="D1350" s="40"/>
    </row>
    <row r="1351" spans="1:6" x14ac:dyDescent="0.25">
      <c r="B1351" s="40" t="s">
        <v>6811</v>
      </c>
      <c r="C1351" s="40"/>
      <c r="D1351" s="40"/>
    </row>
    <row r="1352" spans="1:6" x14ac:dyDescent="0.25">
      <c r="B1352" s="42" t="s">
        <v>6812</v>
      </c>
      <c r="C1352" s="40"/>
      <c r="D1352" s="40"/>
    </row>
    <row r="1353" spans="1:6" x14ac:dyDescent="0.25">
      <c r="B1353" s="42" t="s">
        <v>6813</v>
      </c>
      <c r="C1353" s="40"/>
      <c r="D1353" s="40"/>
    </row>
    <row r="1354" spans="1:6" x14ac:dyDescent="0.25">
      <c r="B1354" s="42" t="s">
        <v>6814</v>
      </c>
      <c r="C1354" s="40"/>
      <c r="D1354" s="40"/>
    </row>
    <row r="1355" spans="1:6" x14ac:dyDescent="0.25">
      <c r="A1355" s="41" t="str">
        <f>_xlfn.CONCAT("Sample test results are documented in ",'Sample Tables'!B1349," [",'Sample Tables'!B1350,", ",'Sample Tables'!B1351,", ",'Sample Tables'!B1352,", ",'Sample Tables'!B1353,", ",'Sample Tables'!B1354,"]."&amp;CHAR(10))</f>
        <v xml:space="preserve">Sample test results are documented in Test 123: Information Security (remediated non-compliance identified during compliance check) [Population Source/Tool: , Population Date Range: , Population Size: , Sample Methodology: , Sample Size: ].
</v>
      </c>
      <c r="B1355" s="95" t="s">
        <v>6815</v>
      </c>
      <c r="C1355" s="93"/>
      <c r="D1355" s="94"/>
    </row>
    <row r="1356" spans="1:6" x14ac:dyDescent="0.25">
      <c r="B1356" s="96"/>
      <c r="C1356" s="91"/>
      <c r="D1356" s="92"/>
    </row>
    <row r="1357" spans="1:6" x14ac:dyDescent="0.25">
      <c r="B1357" s="97"/>
      <c r="C1357" s="71" t="s">
        <v>6824</v>
      </c>
      <c r="D1357" s="71" t="s">
        <v>6825</v>
      </c>
    </row>
    <row r="1358" spans="1:6" x14ac:dyDescent="0.25">
      <c r="B1358" s="72"/>
      <c r="C1358" s="71"/>
      <c r="D1358" s="73"/>
    </row>
    <row r="1360" spans="1:6" x14ac:dyDescent="0.25">
      <c r="B1360" s="27" t="s">
        <v>7271</v>
      </c>
      <c r="C1360" s="40"/>
      <c r="D1360" s="40"/>
    </row>
    <row r="1361" spans="1:34" x14ac:dyDescent="0.25">
      <c r="B1361" s="40" t="s">
        <v>6810</v>
      </c>
      <c r="C1361" s="40"/>
      <c r="D1361" s="40"/>
    </row>
    <row r="1362" spans="1:34" x14ac:dyDescent="0.25">
      <c r="B1362" s="40" t="s">
        <v>6811</v>
      </c>
      <c r="C1362" s="40"/>
      <c r="D1362" s="40"/>
    </row>
    <row r="1363" spans="1:34" x14ac:dyDescent="0.25">
      <c r="B1363" s="42" t="s">
        <v>6812</v>
      </c>
      <c r="C1363" s="40"/>
      <c r="D1363" s="40"/>
    </row>
    <row r="1364" spans="1:34" x14ac:dyDescent="0.25">
      <c r="B1364" s="42" t="s">
        <v>6813</v>
      </c>
      <c r="C1364" s="40"/>
      <c r="D1364" s="40"/>
    </row>
    <row r="1365" spans="1:34" x14ac:dyDescent="0.25">
      <c r="B1365" s="42" t="s">
        <v>6814</v>
      </c>
      <c r="C1365" s="40"/>
      <c r="D1365" s="40"/>
    </row>
    <row r="1366" spans="1:34" ht="100" customHeight="1" x14ac:dyDescent="0.25">
      <c r="A1366" s="41" t="str">
        <f>_xlfn.CONCAT("Sample test results are documented in ",'Sample Tables'!B1360," [",'Sample Tables'!B1361,", ",'Sample Tables'!B1362,", ",'Sample Tables'!B1363,", ",'Sample Tables'!B1364,", ",'Sample Tables'!B1365,"]."&amp;CHAR(10))</f>
        <v xml:space="preserve">Sample test results are documented in Test 124: Information Security (risk assessment) [Population Source/Tool: , Population Date Range: , Population Size: , Sample Methodology: , Sample Size: ].
</v>
      </c>
      <c r="B1366" s="95" t="s">
        <v>6815</v>
      </c>
      <c r="C1366" s="93" t="s">
        <v>7272</v>
      </c>
      <c r="D1366" s="94"/>
      <c r="E1366" s="93" t="s">
        <v>7273</v>
      </c>
      <c r="F1366" s="94"/>
      <c r="G1366" s="93" t="s">
        <v>7274</v>
      </c>
      <c r="H1366" s="94"/>
      <c r="I1366" s="93" t="s">
        <v>7273</v>
      </c>
      <c r="J1366" s="94"/>
      <c r="K1366" s="93" t="s">
        <v>7274</v>
      </c>
      <c r="L1366" s="94"/>
      <c r="M1366" s="93" t="s">
        <v>7275</v>
      </c>
      <c r="N1366" s="94"/>
      <c r="O1366" s="93" t="s">
        <v>7276</v>
      </c>
      <c r="P1366" s="94"/>
      <c r="Q1366" s="93" t="s">
        <v>7277</v>
      </c>
      <c r="R1366" s="94"/>
      <c r="S1366" s="93" t="s">
        <v>7278</v>
      </c>
      <c r="T1366" s="94"/>
      <c r="U1366" s="93" t="s">
        <v>7279</v>
      </c>
      <c r="V1366" s="94"/>
      <c r="W1366" s="93" t="s">
        <v>7280</v>
      </c>
      <c r="X1366" s="94"/>
      <c r="Y1366" s="93" t="s">
        <v>7281</v>
      </c>
      <c r="Z1366" s="94"/>
      <c r="AA1366" s="93" t="s">
        <v>7282</v>
      </c>
      <c r="AB1366" s="94"/>
      <c r="AC1366" s="93" t="s">
        <v>7283</v>
      </c>
      <c r="AD1366" s="94"/>
      <c r="AE1366" s="93" t="s">
        <v>7284</v>
      </c>
      <c r="AF1366" s="94"/>
      <c r="AG1366" s="93" t="s">
        <v>7285</v>
      </c>
      <c r="AH1366" s="94"/>
    </row>
    <row r="1367" spans="1:34" x14ac:dyDescent="0.25">
      <c r="B1367" s="96"/>
      <c r="C1367" s="91" t="s">
        <v>4733</v>
      </c>
      <c r="D1367" s="92"/>
      <c r="E1367" s="91" t="s">
        <v>5143</v>
      </c>
      <c r="F1367" s="92"/>
      <c r="G1367" s="91" t="s">
        <v>5143</v>
      </c>
      <c r="H1367" s="92"/>
      <c r="I1367" s="91" t="s">
        <v>5148</v>
      </c>
      <c r="J1367" s="92"/>
      <c r="K1367" s="91" t="s">
        <v>5148</v>
      </c>
      <c r="L1367" s="92"/>
      <c r="M1367" s="91" t="s">
        <v>5192</v>
      </c>
      <c r="N1367" s="92"/>
      <c r="O1367" s="91" t="s">
        <v>5192</v>
      </c>
      <c r="P1367" s="92"/>
      <c r="Q1367" s="91" t="s">
        <v>5192</v>
      </c>
      <c r="R1367" s="92"/>
      <c r="S1367" s="91" t="s">
        <v>5192</v>
      </c>
      <c r="T1367" s="92"/>
      <c r="U1367" s="91" t="s">
        <v>5192</v>
      </c>
      <c r="V1367" s="92"/>
      <c r="W1367" s="91" t="s">
        <v>5192</v>
      </c>
      <c r="X1367" s="92"/>
      <c r="Y1367" s="91" t="s">
        <v>5192</v>
      </c>
      <c r="Z1367" s="92"/>
      <c r="AA1367" s="91" t="s">
        <v>5192</v>
      </c>
      <c r="AB1367" s="92"/>
      <c r="AC1367" s="91" t="s">
        <v>5192</v>
      </c>
      <c r="AD1367" s="92"/>
      <c r="AE1367" s="91" t="s">
        <v>5192</v>
      </c>
      <c r="AF1367" s="92"/>
      <c r="AG1367" s="91" t="s">
        <v>5192</v>
      </c>
      <c r="AH1367" s="92"/>
    </row>
    <row r="1368" spans="1:34" x14ac:dyDescent="0.25">
      <c r="B1368" s="97"/>
      <c r="C1368" s="71" t="s">
        <v>6824</v>
      </c>
      <c r="D1368" s="71" t="s">
        <v>6825</v>
      </c>
      <c r="E1368" s="71" t="s">
        <v>6824</v>
      </c>
      <c r="F1368" s="71" t="s">
        <v>6825</v>
      </c>
      <c r="G1368" s="71" t="s">
        <v>6824</v>
      </c>
      <c r="H1368" s="71" t="s">
        <v>6825</v>
      </c>
      <c r="I1368" s="71" t="s">
        <v>6824</v>
      </c>
      <c r="J1368" s="71" t="s">
        <v>6825</v>
      </c>
      <c r="K1368" s="71" t="s">
        <v>6824</v>
      </c>
      <c r="L1368" s="71" t="s">
        <v>6825</v>
      </c>
      <c r="M1368" s="71" t="s">
        <v>6824</v>
      </c>
      <c r="N1368" s="71" t="s">
        <v>6825</v>
      </c>
      <c r="O1368" s="71" t="s">
        <v>6824</v>
      </c>
      <c r="P1368" s="71" t="s">
        <v>6825</v>
      </c>
      <c r="Q1368" s="71" t="s">
        <v>6824</v>
      </c>
      <c r="R1368" s="71" t="s">
        <v>6825</v>
      </c>
      <c r="S1368" s="71" t="s">
        <v>6824</v>
      </c>
      <c r="T1368" s="71" t="s">
        <v>6825</v>
      </c>
      <c r="U1368" s="71" t="s">
        <v>6824</v>
      </c>
      <c r="V1368" s="71" t="s">
        <v>6825</v>
      </c>
      <c r="W1368" s="71" t="s">
        <v>6824</v>
      </c>
      <c r="X1368" s="71" t="s">
        <v>6825</v>
      </c>
      <c r="Y1368" s="71" t="s">
        <v>6824</v>
      </c>
      <c r="Z1368" s="71" t="s">
        <v>6825</v>
      </c>
      <c r="AA1368" s="71" t="s">
        <v>6824</v>
      </c>
      <c r="AB1368" s="71" t="s">
        <v>6825</v>
      </c>
      <c r="AC1368" s="71" t="s">
        <v>6824</v>
      </c>
      <c r="AD1368" s="71" t="s">
        <v>6825</v>
      </c>
      <c r="AE1368" s="71" t="s">
        <v>6824</v>
      </c>
      <c r="AF1368" s="71" t="s">
        <v>6825</v>
      </c>
      <c r="AG1368" s="71" t="s">
        <v>6824</v>
      </c>
      <c r="AH1368" s="71" t="s">
        <v>6825</v>
      </c>
    </row>
    <row r="1369" spans="1:34" x14ac:dyDescent="0.25">
      <c r="B1369" s="72"/>
      <c r="C1369" s="71"/>
      <c r="D1369" s="73"/>
      <c r="E1369" s="71"/>
      <c r="F1369" s="73"/>
      <c r="G1369" s="71"/>
      <c r="H1369" s="73"/>
      <c r="I1369" s="71"/>
      <c r="J1369" s="73"/>
      <c r="K1369" s="71"/>
      <c r="L1369" s="73"/>
      <c r="M1369" s="71"/>
      <c r="N1369" s="73"/>
      <c r="O1369" s="71"/>
      <c r="P1369" s="73"/>
      <c r="Q1369" s="71"/>
      <c r="R1369" s="73"/>
      <c r="S1369" s="71"/>
      <c r="T1369" s="73"/>
      <c r="U1369" s="71"/>
      <c r="V1369" s="73"/>
      <c r="W1369" s="71"/>
      <c r="X1369" s="73"/>
      <c r="Y1369" s="71"/>
      <c r="Z1369" s="73"/>
      <c r="AA1369" s="71"/>
      <c r="AB1369" s="73"/>
      <c r="AC1369" s="71"/>
      <c r="AD1369" s="73"/>
      <c r="AE1369" s="71"/>
      <c r="AF1369" s="73"/>
      <c r="AG1369" s="71"/>
      <c r="AH1369" s="73"/>
    </row>
    <row r="1371" spans="1:34" x14ac:dyDescent="0.25">
      <c r="B1371" s="27" t="s">
        <v>7286</v>
      </c>
      <c r="C1371" s="40"/>
      <c r="D1371" s="40"/>
    </row>
    <row r="1372" spans="1:34" x14ac:dyDescent="0.25">
      <c r="B1372" s="40" t="s">
        <v>6810</v>
      </c>
      <c r="C1372" s="40"/>
      <c r="D1372" s="40"/>
    </row>
    <row r="1373" spans="1:34" x14ac:dyDescent="0.25">
      <c r="B1373" s="40" t="s">
        <v>6811</v>
      </c>
      <c r="C1373" s="40"/>
      <c r="D1373" s="40"/>
    </row>
    <row r="1374" spans="1:34" x14ac:dyDescent="0.25">
      <c r="B1374" s="42" t="s">
        <v>6812</v>
      </c>
      <c r="C1374" s="40"/>
      <c r="D1374" s="40"/>
    </row>
    <row r="1375" spans="1:34" x14ac:dyDescent="0.25">
      <c r="B1375" s="42" t="s">
        <v>6813</v>
      </c>
      <c r="C1375" s="40"/>
      <c r="D1375" s="40"/>
    </row>
    <row r="1376" spans="1:34" x14ac:dyDescent="0.25">
      <c r="B1376" s="42" t="s">
        <v>6814</v>
      </c>
      <c r="C1376" s="40"/>
      <c r="D1376" s="40"/>
    </row>
    <row r="1377" spans="1:4" x14ac:dyDescent="0.25">
      <c r="A1377" s="41" t="str">
        <f>_xlfn.CONCAT("Sample test results are documented in ",'Sample Tables'!B1371," [",'Sample Tables'!B1372,", ",'Sample Tables'!B1373,", ",'Sample Tables'!B1374,", ",'Sample Tables'!B1375,", ",'Sample Tables'!B1376,"]."&amp;CHAR(10))</f>
        <v xml:space="preserve">Sample test results are documented in Test 125: Information Security (sale of consumer/data subject information) [Population Source/Tool: , Population Date Range: , Population Size: , Sample Methodology: , Sample Size: ].
</v>
      </c>
      <c r="B1377" s="95" t="s">
        <v>6815</v>
      </c>
      <c r="C1377" s="93"/>
      <c r="D1377" s="94"/>
    </row>
    <row r="1378" spans="1:4" x14ac:dyDescent="0.25">
      <c r="B1378" s="96"/>
      <c r="C1378" s="91"/>
      <c r="D1378" s="92"/>
    </row>
    <row r="1379" spans="1:4" x14ac:dyDescent="0.25">
      <c r="B1379" s="97"/>
      <c r="C1379" s="71" t="s">
        <v>6824</v>
      </c>
      <c r="D1379" s="71" t="s">
        <v>6825</v>
      </c>
    </row>
    <row r="1380" spans="1:4" x14ac:dyDescent="0.25">
      <c r="B1380" s="72"/>
      <c r="C1380" s="71"/>
      <c r="D1380" s="73"/>
    </row>
    <row r="1382" spans="1:4" x14ac:dyDescent="0.25">
      <c r="B1382" s="27" t="s">
        <v>7287</v>
      </c>
      <c r="C1382" s="40"/>
      <c r="D1382" s="40"/>
    </row>
    <row r="1383" spans="1:4" x14ac:dyDescent="0.25">
      <c r="B1383" s="40" t="s">
        <v>6810</v>
      </c>
      <c r="C1383" s="40"/>
      <c r="D1383" s="40"/>
    </row>
    <row r="1384" spans="1:4" x14ac:dyDescent="0.25">
      <c r="B1384" s="40" t="s">
        <v>6811</v>
      </c>
      <c r="C1384" s="40"/>
      <c r="D1384" s="40"/>
    </row>
    <row r="1385" spans="1:4" x14ac:dyDescent="0.25">
      <c r="B1385" s="42" t="s">
        <v>6812</v>
      </c>
      <c r="C1385" s="40"/>
      <c r="D1385" s="40"/>
    </row>
    <row r="1386" spans="1:4" x14ac:dyDescent="0.25">
      <c r="B1386" s="42" t="s">
        <v>6813</v>
      </c>
      <c r="C1386" s="40"/>
      <c r="D1386" s="40"/>
    </row>
    <row r="1387" spans="1:4" x14ac:dyDescent="0.25">
      <c r="B1387" s="42" t="s">
        <v>6814</v>
      </c>
      <c r="C1387" s="40"/>
      <c r="D1387" s="40"/>
    </row>
    <row r="1388" spans="1:4" x14ac:dyDescent="0.25">
      <c r="A1388" s="41" t="str">
        <f>_xlfn.CONCAT("Sample test results are documented in ",'Sample Tables'!B1382," [",'Sample Tables'!B1383,", ",'Sample Tables'!B1384,", ",'Sample Tables'!B1385,", ",'Sample Tables'!B1386,", ",'Sample Tables'!B1387,"]."&amp;CHAR(10))</f>
        <v xml:space="preserve">Sample test results are documented in Test 126: Information Security (sale of under age consumer/data subject information) [Population Source/Tool: , Population Date Range: , Population Size: , Sample Methodology: , Sample Size: ].
</v>
      </c>
      <c r="B1388" s="95" t="s">
        <v>6815</v>
      </c>
      <c r="C1388" s="93"/>
      <c r="D1388" s="94"/>
    </row>
    <row r="1389" spans="1:4" x14ac:dyDescent="0.25">
      <c r="B1389" s="96"/>
      <c r="C1389" s="91"/>
      <c r="D1389" s="92"/>
    </row>
    <row r="1390" spans="1:4" x14ac:dyDescent="0.25">
      <c r="B1390" s="97"/>
      <c r="C1390" s="71" t="s">
        <v>6824</v>
      </c>
      <c r="D1390" s="71" t="s">
        <v>6825</v>
      </c>
    </row>
    <row r="1391" spans="1:4" x14ac:dyDescent="0.25">
      <c r="B1391" s="72"/>
      <c r="C1391" s="71"/>
      <c r="D1391" s="73"/>
    </row>
    <row r="1393" spans="1:4" x14ac:dyDescent="0.25">
      <c r="B1393" s="27" t="s">
        <v>7288</v>
      </c>
      <c r="C1393" s="40"/>
      <c r="D1393" s="40"/>
    </row>
    <row r="1394" spans="1:4" x14ac:dyDescent="0.25">
      <c r="B1394" s="40" t="s">
        <v>6810</v>
      </c>
      <c r="C1394" s="40"/>
      <c r="D1394" s="40"/>
    </row>
    <row r="1395" spans="1:4" x14ac:dyDescent="0.25">
      <c r="B1395" s="40" t="s">
        <v>6811</v>
      </c>
      <c r="C1395" s="40"/>
      <c r="D1395" s="40"/>
    </row>
    <row r="1396" spans="1:4" x14ac:dyDescent="0.25">
      <c r="B1396" s="42" t="s">
        <v>6812</v>
      </c>
      <c r="C1396" s="40"/>
      <c r="D1396" s="40"/>
    </row>
    <row r="1397" spans="1:4" x14ac:dyDescent="0.25">
      <c r="B1397" s="42" t="s">
        <v>6813</v>
      </c>
      <c r="C1397" s="40"/>
      <c r="D1397" s="40"/>
    </row>
    <row r="1398" spans="1:4" x14ac:dyDescent="0.25">
      <c r="B1398" s="42" t="s">
        <v>6814</v>
      </c>
      <c r="C1398" s="40"/>
      <c r="D1398" s="40"/>
    </row>
    <row r="1399" spans="1:4" x14ac:dyDescent="0.25">
      <c r="A1399" s="41" t="str">
        <f>_xlfn.CONCAT("Sample test results are documented in ",'Sample Tables'!B1393," [",'Sample Tables'!B1394,", ",'Sample Tables'!B1395,", ",'Sample Tables'!B1396,", ",'Sample Tables'!B1397,", ",'Sample Tables'!B1398,"]."&amp;CHAR(10))</f>
        <v xml:space="preserve">Sample test results are documented in Test 127: Information Security (security control assessment) [Population Source/Tool: , Population Date Range: , Population Size: , Sample Methodology: , Sample Size: ].
</v>
      </c>
      <c r="B1399" s="95" t="s">
        <v>6815</v>
      </c>
      <c r="C1399" s="93"/>
      <c r="D1399" s="94"/>
    </row>
    <row r="1400" spans="1:4" x14ac:dyDescent="0.25">
      <c r="B1400" s="96"/>
      <c r="C1400" s="91"/>
      <c r="D1400" s="92"/>
    </row>
    <row r="1401" spans="1:4" x14ac:dyDescent="0.25">
      <c r="B1401" s="97"/>
      <c r="C1401" s="71" t="s">
        <v>6824</v>
      </c>
      <c r="D1401" s="71" t="s">
        <v>6825</v>
      </c>
    </row>
    <row r="1402" spans="1:4" x14ac:dyDescent="0.25">
      <c r="B1402" s="72"/>
      <c r="C1402" s="71"/>
      <c r="D1402" s="73"/>
    </row>
    <row r="1404" spans="1:4" x14ac:dyDescent="0.25">
      <c r="B1404" s="27" t="s">
        <v>7289</v>
      </c>
      <c r="C1404" s="40"/>
      <c r="D1404" s="40"/>
    </row>
    <row r="1405" spans="1:4" x14ac:dyDescent="0.25">
      <c r="B1405" s="40" t="s">
        <v>6810</v>
      </c>
      <c r="C1405" s="40"/>
      <c r="D1405" s="40"/>
    </row>
    <row r="1406" spans="1:4" x14ac:dyDescent="0.25">
      <c r="B1406" s="40" t="s">
        <v>6811</v>
      </c>
      <c r="C1406" s="40"/>
      <c r="D1406" s="40"/>
    </row>
    <row r="1407" spans="1:4" x14ac:dyDescent="0.25">
      <c r="B1407" s="42" t="s">
        <v>6812</v>
      </c>
      <c r="C1407" s="40"/>
      <c r="D1407" s="40"/>
    </row>
    <row r="1408" spans="1:4" x14ac:dyDescent="0.25">
      <c r="B1408" s="42" t="s">
        <v>6813</v>
      </c>
      <c r="C1408" s="40"/>
      <c r="D1408" s="40"/>
    </row>
    <row r="1409" spans="1:10" x14ac:dyDescent="0.25">
      <c r="B1409" s="42" t="s">
        <v>6814</v>
      </c>
      <c r="C1409" s="40"/>
      <c r="D1409" s="40"/>
    </row>
    <row r="1410" spans="1:10" ht="100" customHeight="1" x14ac:dyDescent="0.25">
      <c r="A1410" s="41" t="str">
        <f>_xlfn.CONCAT("Sample test results are documented in ",'Sample Tables'!B1404," [",'Sample Tables'!B1405,", ",'Sample Tables'!B1406,", ",'Sample Tables'!B1407,", ",'Sample Tables'!B1408,", ",'Sample Tables'!B1409,"]."&amp;CHAR(10))</f>
        <v xml:space="preserve">Sample test results are documented in Test 128: Information Security (security role) [Population Source/Tool: , Population Date Range: , Population Size: , Sample Methodology: , Sample Size: ].
</v>
      </c>
      <c r="B1410" s="95" t="s">
        <v>6815</v>
      </c>
      <c r="C1410" s="93" t="s">
        <v>7290</v>
      </c>
      <c r="D1410" s="94"/>
      <c r="E1410" s="93" t="s">
        <v>7291</v>
      </c>
      <c r="F1410" s="94"/>
      <c r="G1410" s="93" t="s">
        <v>7292</v>
      </c>
      <c r="H1410" s="94"/>
      <c r="I1410" s="93" t="s">
        <v>7293</v>
      </c>
      <c r="J1410" s="94"/>
    </row>
    <row r="1411" spans="1:10" x14ac:dyDescent="0.25">
      <c r="B1411" s="96"/>
      <c r="C1411" s="91" t="s">
        <v>307</v>
      </c>
      <c r="D1411" s="92"/>
      <c r="E1411" s="91" t="s">
        <v>309</v>
      </c>
      <c r="F1411" s="92"/>
      <c r="G1411" s="91" t="s">
        <v>3492</v>
      </c>
      <c r="H1411" s="92"/>
      <c r="I1411" s="91" t="s">
        <v>3492</v>
      </c>
      <c r="J1411" s="92"/>
    </row>
    <row r="1412" spans="1:10" x14ac:dyDescent="0.25">
      <c r="B1412" s="97"/>
      <c r="C1412" s="71" t="s">
        <v>6824</v>
      </c>
      <c r="D1412" s="71" t="s">
        <v>6825</v>
      </c>
      <c r="E1412" s="71" t="s">
        <v>6824</v>
      </c>
      <c r="F1412" s="71" t="s">
        <v>6825</v>
      </c>
      <c r="G1412" s="71" t="s">
        <v>6824</v>
      </c>
      <c r="H1412" s="71" t="s">
        <v>6825</v>
      </c>
      <c r="I1412" s="71" t="s">
        <v>6824</v>
      </c>
      <c r="J1412" s="71" t="s">
        <v>6825</v>
      </c>
    </row>
    <row r="1413" spans="1:10" x14ac:dyDescent="0.25">
      <c r="B1413" s="72"/>
      <c r="C1413" s="71"/>
      <c r="D1413" s="73"/>
      <c r="E1413" s="71"/>
      <c r="F1413" s="73"/>
      <c r="G1413" s="71"/>
      <c r="H1413" s="73"/>
      <c r="I1413" s="71"/>
      <c r="J1413" s="73"/>
    </row>
    <row r="1415" spans="1:10" x14ac:dyDescent="0.25">
      <c r="B1415" s="27" t="s">
        <v>7294</v>
      </c>
      <c r="C1415" s="40"/>
      <c r="D1415" s="40"/>
    </row>
    <row r="1416" spans="1:10" x14ac:dyDescent="0.25">
      <c r="B1416" s="40" t="s">
        <v>6810</v>
      </c>
      <c r="C1416" s="40"/>
      <c r="D1416" s="40"/>
    </row>
    <row r="1417" spans="1:10" x14ac:dyDescent="0.25">
      <c r="B1417" s="40" t="s">
        <v>6811</v>
      </c>
      <c r="C1417" s="40"/>
      <c r="D1417" s="40"/>
    </row>
    <row r="1418" spans="1:10" x14ac:dyDescent="0.25">
      <c r="B1418" s="42" t="s">
        <v>6812</v>
      </c>
      <c r="C1418" s="40"/>
      <c r="D1418" s="40"/>
    </row>
    <row r="1419" spans="1:10" x14ac:dyDescent="0.25">
      <c r="B1419" s="42" t="s">
        <v>6813</v>
      </c>
      <c r="C1419" s="40"/>
      <c r="D1419" s="40"/>
    </row>
    <row r="1420" spans="1:10" x14ac:dyDescent="0.25">
      <c r="B1420" s="42" t="s">
        <v>6814</v>
      </c>
      <c r="C1420" s="40"/>
      <c r="D1420" s="40"/>
    </row>
    <row r="1421" spans="1:10" x14ac:dyDescent="0.25">
      <c r="A1421" s="41" t="str">
        <f>_xlfn.CONCAT("Sample test results are documented in ",'Sample Tables'!B1415," [",'Sample Tables'!B1416,", ",'Sample Tables'!B1417,", ",'Sample Tables'!B1418,", ",'Sample Tables'!B1419,", ",'Sample Tables'!B1420,"]."&amp;CHAR(10))</f>
        <v xml:space="preserve">Sample test results are documented in Test 129: Information Security (System of Records Notices) [Population Source/Tool: , Population Date Range: , Population Size: , Sample Methodology: , Sample Size: ].
</v>
      </c>
      <c r="B1421" s="95" t="s">
        <v>6815</v>
      </c>
      <c r="C1421" s="93"/>
      <c r="D1421" s="94"/>
    </row>
    <row r="1422" spans="1:10" x14ac:dyDescent="0.25">
      <c r="B1422" s="96"/>
      <c r="C1422" s="91"/>
      <c r="D1422" s="92"/>
    </row>
    <row r="1423" spans="1:10" x14ac:dyDescent="0.25">
      <c r="B1423" s="97"/>
      <c r="C1423" s="71" t="s">
        <v>6824</v>
      </c>
      <c r="D1423" s="71" t="s">
        <v>6825</v>
      </c>
    </row>
    <row r="1424" spans="1:10" x14ac:dyDescent="0.25">
      <c r="B1424" s="72"/>
      <c r="C1424" s="71"/>
      <c r="D1424" s="73"/>
    </row>
    <row r="1426" spans="1:48" x14ac:dyDescent="0.25">
      <c r="B1426" s="27" t="s">
        <v>7295</v>
      </c>
      <c r="C1426" s="40"/>
      <c r="D1426" s="40"/>
    </row>
    <row r="1427" spans="1:48" x14ac:dyDescent="0.25">
      <c r="B1427" s="40" t="s">
        <v>6810</v>
      </c>
      <c r="C1427" s="40"/>
      <c r="D1427" s="40"/>
    </row>
    <row r="1428" spans="1:48" x14ac:dyDescent="0.25">
      <c r="B1428" s="40" t="s">
        <v>6811</v>
      </c>
      <c r="C1428" s="40"/>
      <c r="D1428" s="40"/>
    </row>
    <row r="1429" spans="1:48" x14ac:dyDescent="0.25">
      <c r="B1429" s="42" t="s">
        <v>6812</v>
      </c>
      <c r="C1429" s="40"/>
      <c r="D1429" s="40"/>
    </row>
    <row r="1430" spans="1:48" x14ac:dyDescent="0.25">
      <c r="B1430" s="42" t="s">
        <v>6813</v>
      </c>
      <c r="C1430" s="40"/>
      <c r="D1430" s="40"/>
    </row>
    <row r="1431" spans="1:48" x14ac:dyDescent="0.25">
      <c r="B1431" s="42" t="s">
        <v>6814</v>
      </c>
      <c r="C1431" s="40"/>
      <c r="D1431" s="40"/>
    </row>
    <row r="1432" spans="1:48" ht="100" customHeight="1" x14ac:dyDescent="0.25">
      <c r="A1432" s="41" t="str">
        <f>_xlfn.CONCAT("Sample test results are documented in ",'Sample Tables'!B1426," [",'Sample Tables'!B1427,", ",'Sample Tables'!B1428,", ",'Sample Tables'!B1429,", ",'Sample Tables'!B1430,", ",'Sample Tables'!B1431,"]."&amp;CHAR(10))</f>
        <v xml:space="preserve">Sample test results are documented in Test 130: Information Security (technical compliance check) [Population Source/Tool: , Population Date Range: , Population Size: , Sample Methodology: , Sample Size: ].
</v>
      </c>
      <c r="B1432" s="95" t="s">
        <v>6815</v>
      </c>
      <c r="C1432" s="93" t="s">
        <v>7296</v>
      </c>
      <c r="D1432" s="94"/>
      <c r="E1432" s="93" t="s">
        <v>7296</v>
      </c>
      <c r="F1432" s="94"/>
      <c r="G1432" s="93" t="s">
        <v>7297</v>
      </c>
      <c r="H1432" s="94"/>
      <c r="I1432" s="93" t="s">
        <v>7296</v>
      </c>
      <c r="J1432" s="94"/>
      <c r="K1432" s="93" t="s">
        <v>7298</v>
      </c>
      <c r="L1432" s="94"/>
      <c r="M1432" s="93" t="s">
        <v>7299</v>
      </c>
      <c r="N1432" s="94"/>
      <c r="O1432" s="93" t="s">
        <v>7300</v>
      </c>
      <c r="P1432" s="94"/>
      <c r="Q1432" s="93" t="s">
        <v>7296</v>
      </c>
      <c r="R1432" s="94"/>
      <c r="S1432" s="93" t="s">
        <v>7301</v>
      </c>
      <c r="T1432" s="94"/>
      <c r="U1432" s="93" t="s">
        <v>7302</v>
      </c>
      <c r="V1432" s="94"/>
      <c r="W1432" s="93" t="s">
        <v>7303</v>
      </c>
      <c r="X1432" s="94"/>
      <c r="Y1432" s="93" t="s">
        <v>7304</v>
      </c>
      <c r="Z1432" s="94"/>
      <c r="AA1432" s="93" t="s">
        <v>7275</v>
      </c>
      <c r="AB1432" s="94"/>
      <c r="AC1432" s="93" t="s">
        <v>7276</v>
      </c>
      <c r="AD1432" s="94"/>
      <c r="AE1432" s="93" t="s">
        <v>7277</v>
      </c>
      <c r="AF1432" s="94"/>
      <c r="AG1432" s="93" t="s">
        <v>7278</v>
      </c>
      <c r="AH1432" s="94"/>
      <c r="AI1432" s="93" t="s">
        <v>7279</v>
      </c>
      <c r="AJ1432" s="94"/>
      <c r="AK1432" s="93" t="s">
        <v>7280</v>
      </c>
      <c r="AL1432" s="94"/>
      <c r="AM1432" s="93" t="s">
        <v>7281</v>
      </c>
      <c r="AN1432" s="94"/>
      <c r="AO1432" s="93" t="s">
        <v>7282</v>
      </c>
      <c r="AP1432" s="94"/>
      <c r="AQ1432" s="93" t="s">
        <v>7283</v>
      </c>
      <c r="AR1432" s="94"/>
      <c r="AS1432" s="93" t="s">
        <v>7284</v>
      </c>
      <c r="AT1432" s="94"/>
      <c r="AU1432" s="93" t="s">
        <v>7285</v>
      </c>
      <c r="AV1432" s="94"/>
    </row>
    <row r="1433" spans="1:48" x14ac:dyDescent="0.25">
      <c r="B1433" s="96"/>
      <c r="C1433" s="91" t="s">
        <v>1104</v>
      </c>
      <c r="D1433" s="92"/>
      <c r="E1433" s="91" t="s">
        <v>1106</v>
      </c>
      <c r="F1433" s="92"/>
      <c r="G1433" s="91" t="s">
        <v>1106</v>
      </c>
      <c r="H1433" s="92"/>
      <c r="I1433" s="91" t="s">
        <v>1114</v>
      </c>
      <c r="J1433" s="92"/>
      <c r="K1433" s="91" t="s">
        <v>1114</v>
      </c>
      <c r="L1433" s="92"/>
      <c r="M1433" s="91" t="s">
        <v>1114</v>
      </c>
      <c r="N1433" s="92"/>
      <c r="O1433" s="91" t="s">
        <v>1114</v>
      </c>
      <c r="P1433" s="92"/>
      <c r="Q1433" s="91" t="s">
        <v>1295</v>
      </c>
      <c r="R1433" s="92"/>
      <c r="S1433" s="91" t="s">
        <v>1573</v>
      </c>
      <c r="T1433" s="92"/>
      <c r="U1433" s="91" t="s">
        <v>1573</v>
      </c>
      <c r="V1433" s="92"/>
      <c r="W1433" s="91" t="s">
        <v>1724</v>
      </c>
      <c r="X1433" s="92"/>
      <c r="Y1433" s="91" t="s">
        <v>1920</v>
      </c>
      <c r="Z1433" s="92"/>
      <c r="AA1433" s="91" t="s">
        <v>5192</v>
      </c>
      <c r="AB1433" s="92"/>
      <c r="AC1433" s="91" t="s">
        <v>5192</v>
      </c>
      <c r="AD1433" s="92"/>
      <c r="AE1433" s="91" t="s">
        <v>5192</v>
      </c>
      <c r="AF1433" s="92"/>
      <c r="AG1433" s="91" t="s">
        <v>5192</v>
      </c>
      <c r="AH1433" s="92"/>
      <c r="AI1433" s="91" t="s">
        <v>5192</v>
      </c>
      <c r="AJ1433" s="92"/>
      <c r="AK1433" s="91" t="s">
        <v>5192</v>
      </c>
      <c r="AL1433" s="92"/>
      <c r="AM1433" s="91" t="s">
        <v>5192</v>
      </c>
      <c r="AN1433" s="92"/>
      <c r="AO1433" s="91" t="s">
        <v>5192</v>
      </c>
      <c r="AP1433" s="92"/>
      <c r="AQ1433" s="91" t="s">
        <v>5192</v>
      </c>
      <c r="AR1433" s="92"/>
      <c r="AS1433" s="91" t="s">
        <v>5192</v>
      </c>
      <c r="AT1433" s="92"/>
      <c r="AU1433" s="91" t="s">
        <v>5192</v>
      </c>
      <c r="AV1433" s="92"/>
    </row>
    <row r="1434" spans="1:48" x14ac:dyDescent="0.25">
      <c r="B1434" s="97"/>
      <c r="C1434" s="71" t="s">
        <v>6824</v>
      </c>
      <c r="D1434" s="71" t="s">
        <v>6825</v>
      </c>
      <c r="E1434" s="71" t="s">
        <v>6824</v>
      </c>
      <c r="F1434" s="71" t="s">
        <v>6825</v>
      </c>
      <c r="G1434" s="71" t="s">
        <v>6824</v>
      </c>
      <c r="H1434" s="71" t="s">
        <v>6825</v>
      </c>
      <c r="I1434" s="71" t="s">
        <v>6824</v>
      </c>
      <c r="J1434" s="71" t="s">
        <v>6825</v>
      </c>
      <c r="K1434" s="71" t="s">
        <v>6824</v>
      </c>
      <c r="L1434" s="71" t="s">
        <v>6825</v>
      </c>
      <c r="M1434" s="71" t="s">
        <v>6824</v>
      </c>
      <c r="N1434" s="71" t="s">
        <v>6825</v>
      </c>
      <c r="O1434" s="71" t="s">
        <v>6824</v>
      </c>
      <c r="P1434" s="71" t="s">
        <v>6825</v>
      </c>
      <c r="Q1434" s="71"/>
      <c r="R1434" s="71"/>
      <c r="S1434" s="71" t="s">
        <v>6824</v>
      </c>
      <c r="T1434" s="71" t="s">
        <v>6825</v>
      </c>
      <c r="U1434" s="71" t="s">
        <v>6824</v>
      </c>
      <c r="V1434" s="71" t="s">
        <v>6825</v>
      </c>
      <c r="W1434" s="71" t="s">
        <v>6824</v>
      </c>
      <c r="X1434" s="71" t="s">
        <v>6825</v>
      </c>
      <c r="Y1434" s="71" t="s">
        <v>6824</v>
      </c>
      <c r="Z1434" s="71" t="s">
        <v>6825</v>
      </c>
      <c r="AA1434" s="71" t="s">
        <v>6824</v>
      </c>
      <c r="AB1434" s="71" t="s">
        <v>6825</v>
      </c>
      <c r="AC1434" s="71" t="s">
        <v>6824</v>
      </c>
      <c r="AD1434" s="71" t="s">
        <v>6825</v>
      </c>
      <c r="AE1434" s="71" t="s">
        <v>6824</v>
      </c>
      <c r="AF1434" s="71" t="s">
        <v>6825</v>
      </c>
      <c r="AG1434" s="71" t="s">
        <v>6824</v>
      </c>
      <c r="AH1434" s="71" t="s">
        <v>6825</v>
      </c>
      <c r="AI1434" s="71" t="s">
        <v>6824</v>
      </c>
      <c r="AJ1434" s="71" t="s">
        <v>6825</v>
      </c>
      <c r="AK1434" s="71" t="s">
        <v>6824</v>
      </c>
      <c r="AL1434" s="71" t="s">
        <v>6825</v>
      </c>
      <c r="AM1434" s="71" t="s">
        <v>6824</v>
      </c>
      <c r="AN1434" s="71" t="s">
        <v>6825</v>
      </c>
      <c r="AO1434" s="71" t="s">
        <v>6824</v>
      </c>
      <c r="AP1434" s="71" t="s">
        <v>6825</v>
      </c>
      <c r="AQ1434" s="71" t="s">
        <v>6824</v>
      </c>
      <c r="AR1434" s="71" t="s">
        <v>6825</v>
      </c>
      <c r="AS1434" s="71" t="s">
        <v>6824</v>
      </c>
      <c r="AT1434" s="71" t="s">
        <v>6825</v>
      </c>
      <c r="AU1434" s="71" t="s">
        <v>6824</v>
      </c>
      <c r="AV1434" s="71" t="s">
        <v>6825</v>
      </c>
    </row>
    <row r="1435" spans="1:48" x14ac:dyDescent="0.25">
      <c r="B1435" s="72"/>
      <c r="C1435" s="71"/>
      <c r="D1435" s="73"/>
      <c r="E1435" s="71"/>
      <c r="F1435" s="73"/>
      <c r="G1435" s="71"/>
      <c r="H1435" s="73"/>
      <c r="I1435" s="71"/>
      <c r="J1435" s="73"/>
      <c r="K1435" s="71"/>
      <c r="L1435" s="73"/>
      <c r="M1435" s="71"/>
      <c r="N1435" s="73"/>
      <c r="O1435" s="71"/>
      <c r="P1435" s="73"/>
      <c r="Q1435" s="71"/>
      <c r="R1435" s="73"/>
      <c r="S1435" s="71"/>
      <c r="T1435" s="73"/>
      <c r="U1435" s="71"/>
      <c r="V1435" s="73"/>
      <c r="W1435" s="71"/>
      <c r="X1435" s="73"/>
      <c r="Y1435" s="71"/>
      <c r="Z1435" s="73"/>
      <c r="AA1435" s="71"/>
      <c r="AB1435" s="73"/>
      <c r="AC1435" s="71"/>
      <c r="AD1435" s="73"/>
      <c r="AE1435" s="71"/>
      <c r="AF1435" s="73"/>
      <c r="AG1435" s="71"/>
      <c r="AH1435" s="73"/>
      <c r="AI1435" s="71"/>
      <c r="AJ1435" s="73"/>
      <c r="AK1435" s="71"/>
      <c r="AL1435" s="73"/>
      <c r="AM1435" s="71"/>
      <c r="AN1435" s="73"/>
      <c r="AO1435" s="71"/>
      <c r="AP1435" s="73"/>
      <c r="AQ1435" s="71"/>
      <c r="AR1435" s="73"/>
      <c r="AS1435" s="71"/>
      <c r="AT1435" s="73"/>
      <c r="AU1435" s="71"/>
      <c r="AV1435" s="73"/>
    </row>
    <row r="1437" spans="1:48" x14ac:dyDescent="0.25">
      <c r="B1437" s="27" t="s">
        <v>7305</v>
      </c>
      <c r="C1437" s="40"/>
      <c r="D1437" s="40"/>
    </row>
    <row r="1438" spans="1:48" x14ac:dyDescent="0.25">
      <c r="B1438" s="40" t="s">
        <v>6810</v>
      </c>
      <c r="C1438" s="40"/>
      <c r="D1438" s="40"/>
    </row>
    <row r="1439" spans="1:48" x14ac:dyDescent="0.25">
      <c r="B1439" s="40" t="s">
        <v>6811</v>
      </c>
      <c r="C1439" s="40"/>
      <c r="D1439" s="40"/>
    </row>
    <row r="1440" spans="1:48" x14ac:dyDescent="0.25">
      <c r="B1440" s="42" t="s">
        <v>6812</v>
      </c>
      <c r="C1440" s="40"/>
      <c r="D1440" s="40"/>
    </row>
    <row r="1441" spans="1:4" x14ac:dyDescent="0.25">
      <c r="B1441" s="42" t="s">
        <v>6813</v>
      </c>
      <c r="C1441" s="40"/>
      <c r="D1441" s="40"/>
    </row>
    <row r="1442" spans="1:4" x14ac:dyDescent="0.25">
      <c r="B1442" s="42" t="s">
        <v>6814</v>
      </c>
      <c r="C1442" s="40"/>
      <c r="D1442" s="40"/>
    </row>
    <row r="1443" spans="1:4" ht="100" customHeight="1" x14ac:dyDescent="0.25">
      <c r="A1443" s="41" t="str">
        <f>_xlfn.CONCAT("Sample test results are documented in ",'Sample Tables'!B1437," [",'Sample Tables'!B1438,", ",'Sample Tables'!B1439,", ",'Sample Tables'!B1440,", ",'Sample Tables'!B1441,", ",'Sample Tables'!B1442,"]."&amp;CHAR(10))</f>
        <v xml:space="preserve">Sample test results are documented in Test 131: Information Security (identity theft security incident) [Population Source/Tool: , Population Date Range: , Population Size: , Sample Methodology: , Sample Size: ].
</v>
      </c>
      <c r="B1443" s="95" t="s">
        <v>6815</v>
      </c>
      <c r="C1443" s="93" t="s">
        <v>7306</v>
      </c>
      <c r="D1443" s="94"/>
    </row>
    <row r="1444" spans="1:4" x14ac:dyDescent="0.25">
      <c r="B1444" s="96"/>
      <c r="C1444" s="91" t="s">
        <v>5052</v>
      </c>
      <c r="D1444" s="92"/>
    </row>
    <row r="1445" spans="1:4" x14ac:dyDescent="0.25">
      <c r="B1445" s="97"/>
      <c r="C1445" s="71" t="s">
        <v>6824</v>
      </c>
      <c r="D1445" s="71" t="s">
        <v>6825</v>
      </c>
    </row>
    <row r="1446" spans="1:4" x14ac:dyDescent="0.25">
      <c r="B1446" s="72"/>
      <c r="C1446" s="71"/>
      <c r="D1446" s="73"/>
    </row>
    <row r="1448" spans="1:4" x14ac:dyDescent="0.25">
      <c r="B1448" s="27" t="s">
        <v>7307</v>
      </c>
      <c r="C1448" s="40"/>
      <c r="D1448" s="40"/>
    </row>
    <row r="1449" spans="1:4" x14ac:dyDescent="0.25">
      <c r="B1449" s="40" t="s">
        <v>6810</v>
      </c>
      <c r="C1449" s="40"/>
      <c r="D1449" s="40"/>
    </row>
    <row r="1450" spans="1:4" x14ac:dyDescent="0.25">
      <c r="B1450" s="40" t="s">
        <v>6811</v>
      </c>
      <c r="C1450" s="40"/>
      <c r="D1450" s="40"/>
    </row>
    <row r="1451" spans="1:4" x14ac:dyDescent="0.25">
      <c r="B1451" s="42" t="s">
        <v>6812</v>
      </c>
      <c r="C1451" s="40"/>
      <c r="D1451" s="40"/>
    </row>
    <row r="1452" spans="1:4" x14ac:dyDescent="0.25">
      <c r="B1452" s="42" t="s">
        <v>6813</v>
      </c>
      <c r="C1452" s="40"/>
      <c r="D1452" s="40"/>
    </row>
    <row r="1453" spans="1:4" x14ac:dyDescent="0.25">
      <c r="B1453" s="42" t="s">
        <v>6814</v>
      </c>
      <c r="C1453" s="40"/>
      <c r="D1453" s="40"/>
    </row>
    <row r="1454" spans="1:4" ht="100" customHeight="1" x14ac:dyDescent="0.25">
      <c r="A1454" s="41" t="str">
        <f>_xlfn.CONCAT("Sample test results are documented in ",'Sample Tables'!B1448," [",'Sample Tables'!B1449,", ",'Sample Tables'!B1450,", ",'Sample Tables'!B1451,", ",'Sample Tables'!B1452,", ",'Sample Tables'!B1453,"]."&amp;CHAR(10))</f>
        <v xml:space="preserve">Sample test results are documented in Test 132: Information Security (training material) [Population Source/Tool: , Population Date Range: , Population Size: , Sample Methodology: , Sample Size: ].
</v>
      </c>
      <c r="B1454" s="95" t="s">
        <v>6815</v>
      </c>
      <c r="C1454" s="93" t="s">
        <v>7308</v>
      </c>
      <c r="D1454" s="94"/>
    </row>
    <row r="1455" spans="1:4" x14ac:dyDescent="0.25">
      <c r="B1455" s="96"/>
      <c r="C1455" s="91" t="s">
        <v>572</v>
      </c>
      <c r="D1455" s="92"/>
    </row>
    <row r="1456" spans="1:4" x14ac:dyDescent="0.25">
      <c r="B1456" s="97"/>
      <c r="C1456" s="71" t="s">
        <v>6824</v>
      </c>
      <c r="D1456" s="71" t="s">
        <v>6825</v>
      </c>
    </row>
    <row r="1457" spans="1:6" x14ac:dyDescent="0.25">
      <c r="B1457" s="72"/>
      <c r="C1457" s="71"/>
      <c r="D1457" s="73"/>
    </row>
    <row r="1459" spans="1:6" x14ac:dyDescent="0.25">
      <c r="B1459" s="27" t="s">
        <v>7309</v>
      </c>
      <c r="C1459" s="40"/>
      <c r="D1459" s="40"/>
    </row>
    <row r="1460" spans="1:6" x14ac:dyDescent="0.25">
      <c r="B1460" s="40" t="s">
        <v>6810</v>
      </c>
      <c r="C1460" s="40"/>
      <c r="D1460" s="40"/>
    </row>
    <row r="1461" spans="1:6" x14ac:dyDescent="0.25">
      <c r="B1461" s="40" t="s">
        <v>6811</v>
      </c>
      <c r="C1461" s="40"/>
      <c r="D1461" s="40"/>
    </row>
    <row r="1462" spans="1:6" x14ac:dyDescent="0.25">
      <c r="B1462" s="42" t="s">
        <v>6812</v>
      </c>
      <c r="C1462" s="40"/>
      <c r="D1462" s="40"/>
    </row>
    <row r="1463" spans="1:6" x14ac:dyDescent="0.25">
      <c r="B1463" s="42" t="s">
        <v>6813</v>
      </c>
      <c r="C1463" s="40"/>
      <c r="D1463" s="40"/>
    </row>
    <row r="1464" spans="1:6" x14ac:dyDescent="0.25">
      <c r="B1464" s="42" t="s">
        <v>6814</v>
      </c>
      <c r="C1464" s="40"/>
      <c r="D1464" s="40"/>
    </row>
    <row r="1465" spans="1:6" ht="100" customHeight="1" x14ac:dyDescent="0.25">
      <c r="A1465" s="41" t="str">
        <f>_xlfn.CONCAT("Sample test results are documented in ",'Sample Tables'!B1459," [",'Sample Tables'!B1460,", ",'Sample Tables'!B1461,", ",'Sample Tables'!B1462,", ",'Sample Tables'!B1463,", ",'Sample Tables'!B1464,"]."&amp;CHAR(10))</f>
        <v xml:space="preserve">Sample test results are documented in Test 133: Information Security (visitor log) [Population Source/Tool: , Population Date Range: , Population Size: , Sample Methodology: , Sample Size: ].
</v>
      </c>
      <c r="B1465" s="95" t="s">
        <v>6815</v>
      </c>
      <c r="C1465" s="93" t="s">
        <v>7310</v>
      </c>
      <c r="D1465" s="94"/>
      <c r="E1465" s="93" t="s">
        <v>7310</v>
      </c>
      <c r="F1465" s="94"/>
    </row>
    <row r="1466" spans="1:6" x14ac:dyDescent="0.25">
      <c r="B1466" s="96"/>
      <c r="C1466" s="91" t="s">
        <v>5350</v>
      </c>
      <c r="D1466" s="92"/>
      <c r="E1466" s="91" t="s">
        <v>5300</v>
      </c>
      <c r="F1466" s="92"/>
    </row>
    <row r="1467" spans="1:6" x14ac:dyDescent="0.25">
      <c r="B1467" s="97"/>
      <c r="C1467" s="71" t="s">
        <v>6824</v>
      </c>
      <c r="D1467" s="71" t="s">
        <v>6825</v>
      </c>
      <c r="E1467" s="71" t="s">
        <v>6824</v>
      </c>
      <c r="F1467" s="71" t="s">
        <v>6825</v>
      </c>
    </row>
    <row r="1468" spans="1:6" x14ac:dyDescent="0.25">
      <c r="B1468" s="72"/>
      <c r="C1468" s="71"/>
      <c r="D1468" s="73"/>
      <c r="E1468" s="71"/>
      <c r="F1468" s="73"/>
    </row>
    <row r="1470" spans="1:6" x14ac:dyDescent="0.25">
      <c r="B1470" s="27" t="s">
        <v>7311</v>
      </c>
      <c r="C1470" s="40"/>
      <c r="D1470" s="40"/>
    </row>
    <row r="1471" spans="1:6" x14ac:dyDescent="0.25">
      <c r="B1471" s="40" t="s">
        <v>6810</v>
      </c>
      <c r="C1471" s="40"/>
      <c r="D1471" s="40"/>
    </row>
    <row r="1472" spans="1:6" x14ac:dyDescent="0.25">
      <c r="B1472" s="40" t="s">
        <v>6811</v>
      </c>
      <c r="C1472" s="40"/>
      <c r="D1472" s="40"/>
    </row>
    <row r="1473" spans="1:8" x14ac:dyDescent="0.25">
      <c r="B1473" s="42" t="s">
        <v>6812</v>
      </c>
      <c r="C1473" s="40"/>
      <c r="D1473" s="40"/>
    </row>
    <row r="1474" spans="1:8" x14ac:dyDescent="0.25">
      <c r="B1474" s="42" t="s">
        <v>6813</v>
      </c>
      <c r="C1474" s="40"/>
      <c r="D1474" s="40"/>
    </row>
    <row r="1475" spans="1:8" x14ac:dyDescent="0.25">
      <c r="B1475" s="42" t="s">
        <v>6814</v>
      </c>
      <c r="C1475" s="40"/>
      <c r="D1475" s="40"/>
    </row>
    <row r="1476" spans="1:8" x14ac:dyDescent="0.25">
      <c r="A1476" s="41" t="str">
        <f>_xlfn.CONCAT("Sample test results are documented in ",'Sample Tables'!B1470," [",'Sample Tables'!B1471,", ",'Sample Tables'!B1472,", ",'Sample Tables'!B1473,", ",'Sample Tables'!B1474,", ",'Sample Tables'!B1475,"]."&amp;CHAR(10))</f>
        <v xml:space="preserve">Sample test results are documented in Test 134: Information Security (visitor related security incident) [Population Source/Tool: , Population Date Range: , Population Size: , Sample Methodology: , Sample Size: ].
</v>
      </c>
      <c r="B1476" s="95" t="s">
        <v>6815</v>
      </c>
      <c r="C1476" s="93"/>
      <c r="D1476" s="94"/>
    </row>
    <row r="1477" spans="1:8" x14ac:dyDescent="0.25">
      <c r="B1477" s="96"/>
      <c r="C1477" s="91"/>
      <c r="D1477" s="92"/>
    </row>
    <row r="1478" spans="1:8" x14ac:dyDescent="0.25">
      <c r="B1478" s="97"/>
      <c r="C1478" s="71" t="s">
        <v>6824</v>
      </c>
      <c r="D1478" s="71" t="s">
        <v>6825</v>
      </c>
    </row>
    <row r="1479" spans="1:8" x14ac:dyDescent="0.25">
      <c r="B1479" s="72"/>
      <c r="C1479" s="71"/>
      <c r="D1479" s="73"/>
    </row>
    <row r="1481" spans="1:8" x14ac:dyDescent="0.25">
      <c r="B1481" s="27" t="s">
        <v>7312</v>
      </c>
      <c r="C1481" s="40"/>
      <c r="D1481" s="40"/>
    </row>
    <row r="1482" spans="1:8" x14ac:dyDescent="0.25">
      <c r="B1482" s="40" t="s">
        <v>6810</v>
      </c>
      <c r="C1482" s="40"/>
      <c r="D1482" s="40"/>
    </row>
    <row r="1483" spans="1:8" x14ac:dyDescent="0.25">
      <c r="B1483" s="40" t="s">
        <v>6811</v>
      </c>
      <c r="C1483" s="40"/>
      <c r="D1483" s="40"/>
    </row>
    <row r="1484" spans="1:8" x14ac:dyDescent="0.25">
      <c r="B1484" s="42" t="s">
        <v>6812</v>
      </c>
      <c r="C1484" s="40"/>
      <c r="D1484" s="40"/>
    </row>
    <row r="1485" spans="1:8" x14ac:dyDescent="0.25">
      <c r="B1485" s="42" t="s">
        <v>6813</v>
      </c>
      <c r="C1485" s="40"/>
      <c r="D1485" s="40"/>
    </row>
    <row r="1486" spans="1:8" x14ac:dyDescent="0.25">
      <c r="B1486" s="42" t="s">
        <v>6814</v>
      </c>
      <c r="C1486" s="40"/>
      <c r="D1486" s="40"/>
    </row>
    <row r="1487" spans="1:8" ht="100" customHeight="1" x14ac:dyDescent="0.25">
      <c r="A1487" s="41" t="str">
        <f>_xlfn.CONCAT("Sample test results are documented in ",'Sample Tables'!B1481," [",'Sample Tables'!B1482,", ",'Sample Tables'!B1483,", ",'Sample Tables'!B1484,", ",'Sample Tables'!B1485,", ",'Sample Tables'!B1486,"]."&amp;CHAR(10))</f>
        <v xml:space="preserve">Sample test results are documented in Test 135: Information Security (visitor with access to secure area/facility) [Population Source/Tool: , Population Date Range: , Population Size: , Sample Methodology: , Sample Size: ].
</v>
      </c>
      <c r="B1487" s="95" t="s">
        <v>6815</v>
      </c>
      <c r="C1487" s="93" t="s">
        <v>7313</v>
      </c>
      <c r="D1487" s="94"/>
      <c r="E1487" s="93" t="s">
        <v>7314</v>
      </c>
      <c r="F1487" s="94"/>
      <c r="G1487" s="93" t="s">
        <v>7315</v>
      </c>
      <c r="H1487" s="94"/>
    </row>
    <row r="1488" spans="1:8" x14ac:dyDescent="0.25">
      <c r="B1488" s="96"/>
      <c r="C1488" s="91" t="s">
        <v>5550</v>
      </c>
      <c r="D1488" s="92"/>
      <c r="E1488" s="91" t="s">
        <v>5550</v>
      </c>
      <c r="F1488" s="92"/>
      <c r="G1488" s="91" t="s">
        <v>5552</v>
      </c>
      <c r="H1488" s="92"/>
    </row>
    <row r="1489" spans="1:52" x14ac:dyDescent="0.25">
      <c r="B1489" s="97"/>
      <c r="C1489" s="71" t="s">
        <v>6824</v>
      </c>
      <c r="D1489" s="71" t="s">
        <v>6825</v>
      </c>
      <c r="E1489" s="71" t="s">
        <v>6824</v>
      </c>
      <c r="F1489" s="71" t="s">
        <v>6825</v>
      </c>
      <c r="G1489" s="71" t="s">
        <v>6824</v>
      </c>
      <c r="H1489" s="71" t="s">
        <v>6825</v>
      </c>
    </row>
    <row r="1490" spans="1:52" x14ac:dyDescent="0.25">
      <c r="B1490" s="72"/>
      <c r="C1490" s="71"/>
      <c r="D1490" s="73"/>
      <c r="E1490" s="71"/>
      <c r="F1490" s="73"/>
      <c r="G1490" s="71"/>
      <c r="H1490" s="73"/>
    </row>
    <row r="1492" spans="1:52" x14ac:dyDescent="0.25">
      <c r="B1492" s="27" t="s">
        <v>7316</v>
      </c>
      <c r="C1492" s="40"/>
      <c r="D1492" s="40"/>
    </row>
    <row r="1493" spans="1:52" x14ac:dyDescent="0.25">
      <c r="B1493" s="40" t="s">
        <v>6810</v>
      </c>
      <c r="C1493" s="40"/>
      <c r="D1493" s="40"/>
    </row>
    <row r="1494" spans="1:52" x14ac:dyDescent="0.25">
      <c r="B1494" s="40" t="s">
        <v>6811</v>
      </c>
      <c r="C1494" s="40"/>
      <c r="D1494" s="40"/>
    </row>
    <row r="1495" spans="1:52" x14ac:dyDescent="0.25">
      <c r="B1495" s="42" t="s">
        <v>6812</v>
      </c>
      <c r="C1495" s="40"/>
      <c r="D1495" s="40"/>
    </row>
    <row r="1496" spans="1:52" x14ac:dyDescent="0.25">
      <c r="B1496" s="42" t="s">
        <v>6813</v>
      </c>
      <c r="C1496" s="40"/>
      <c r="D1496" s="40"/>
    </row>
    <row r="1497" spans="1:52" x14ac:dyDescent="0.25">
      <c r="B1497" s="42" t="s">
        <v>6814</v>
      </c>
      <c r="C1497" s="40"/>
      <c r="D1497" s="40"/>
    </row>
    <row r="1498" spans="1:52" ht="100" customHeight="1" x14ac:dyDescent="0.25">
      <c r="A1498" s="41" t="str">
        <f>_xlfn.CONCAT("Sample test results are documented in ",'Sample Tables'!B1492," [",'Sample Tables'!B1493,", ",'Sample Tables'!B1494,", ",'Sample Tables'!B1495,", ",'Sample Tables'!B1496,", ",'Sample Tables'!B1497,"]."&amp;CHAR(10))</f>
        <v xml:space="preserve">Sample test results are documented in Test 136: Information System [Population Source/Tool: , Population Date Range: , Population Size: , Sample Methodology: , Sample Size: ].
</v>
      </c>
      <c r="B1498" s="95" t="s">
        <v>6815</v>
      </c>
      <c r="C1498" s="93" t="s">
        <v>7317</v>
      </c>
      <c r="D1498" s="94"/>
      <c r="E1498" s="93" t="s">
        <v>7318</v>
      </c>
      <c r="F1498" s="94"/>
      <c r="G1498" s="93" t="s">
        <v>7319</v>
      </c>
      <c r="H1498" s="94"/>
      <c r="I1498" s="93" t="s">
        <v>7320</v>
      </c>
      <c r="J1498" s="94"/>
      <c r="K1498" s="93" t="s">
        <v>7321</v>
      </c>
      <c r="L1498" s="94"/>
      <c r="M1498" s="93" t="s">
        <v>7322</v>
      </c>
      <c r="N1498" s="94"/>
      <c r="O1498" s="93" t="s">
        <v>7323</v>
      </c>
      <c r="P1498" s="94"/>
      <c r="Q1498" s="93" t="s">
        <v>7324</v>
      </c>
      <c r="R1498" s="94"/>
      <c r="S1498" s="93" t="s">
        <v>7325</v>
      </c>
      <c r="T1498" s="94"/>
      <c r="U1498" s="93" t="s">
        <v>7326</v>
      </c>
      <c r="V1498" s="94"/>
      <c r="W1498" s="93" t="s">
        <v>7327</v>
      </c>
      <c r="X1498" s="94"/>
      <c r="Y1498" s="93" t="s">
        <v>7328</v>
      </c>
      <c r="Z1498" s="94"/>
      <c r="AA1498" s="93" t="s">
        <v>7329</v>
      </c>
      <c r="AB1498" s="94"/>
      <c r="AC1498" s="93" t="s">
        <v>7330</v>
      </c>
      <c r="AD1498" s="94"/>
      <c r="AE1498" s="93" t="s">
        <v>7331</v>
      </c>
      <c r="AF1498" s="94"/>
      <c r="AG1498" s="93" t="s">
        <v>7332</v>
      </c>
      <c r="AH1498" s="94"/>
      <c r="AI1498" s="93" t="s">
        <v>7333</v>
      </c>
      <c r="AJ1498" s="94"/>
      <c r="AK1498" s="93" t="s">
        <v>7334</v>
      </c>
      <c r="AL1498" s="94"/>
      <c r="AM1498" s="93" t="s">
        <v>7335</v>
      </c>
      <c r="AN1498" s="94"/>
      <c r="AO1498" s="93" t="s">
        <v>7336</v>
      </c>
      <c r="AP1498" s="94"/>
      <c r="AQ1498" s="93" t="s">
        <v>7337</v>
      </c>
      <c r="AR1498" s="94"/>
      <c r="AS1498" s="93" t="s">
        <v>7338</v>
      </c>
      <c r="AT1498" s="94"/>
      <c r="AU1498" s="93" t="s">
        <v>7339</v>
      </c>
      <c r="AV1498" s="94"/>
      <c r="AW1498" s="93" t="s">
        <v>7340</v>
      </c>
      <c r="AX1498" s="94"/>
      <c r="AY1498" s="93" t="s">
        <v>7341</v>
      </c>
      <c r="AZ1498" s="94"/>
    </row>
    <row r="1499" spans="1:52" x14ac:dyDescent="0.25">
      <c r="B1499" s="96"/>
      <c r="C1499" s="91" t="s">
        <v>580</v>
      </c>
      <c r="D1499" s="92"/>
      <c r="E1499" s="91" t="s">
        <v>580</v>
      </c>
      <c r="F1499" s="92"/>
      <c r="G1499" s="91" t="s">
        <v>688</v>
      </c>
      <c r="H1499" s="92"/>
      <c r="I1499" s="91" t="s">
        <v>1092</v>
      </c>
      <c r="J1499" s="92"/>
      <c r="K1499" s="91" t="s">
        <v>1201</v>
      </c>
      <c r="L1499" s="92"/>
      <c r="M1499" s="91" t="s">
        <v>1201</v>
      </c>
      <c r="N1499" s="92"/>
      <c r="O1499" s="91" t="s">
        <v>1201</v>
      </c>
      <c r="P1499" s="92"/>
      <c r="Q1499" s="91" t="s">
        <v>2710</v>
      </c>
      <c r="R1499" s="92"/>
      <c r="S1499" s="91" t="s">
        <v>2710</v>
      </c>
      <c r="T1499" s="92"/>
      <c r="U1499" s="91" t="s">
        <v>3033</v>
      </c>
      <c r="V1499" s="92"/>
      <c r="W1499" s="91" t="s">
        <v>3033</v>
      </c>
      <c r="X1499" s="92"/>
      <c r="Y1499" s="91" t="s">
        <v>3142</v>
      </c>
      <c r="Z1499" s="92"/>
      <c r="AA1499" s="91" t="s">
        <v>3142</v>
      </c>
      <c r="AB1499" s="92"/>
      <c r="AC1499" s="91" t="s">
        <v>3142</v>
      </c>
      <c r="AD1499" s="92"/>
      <c r="AE1499" s="91" t="s">
        <v>3142</v>
      </c>
      <c r="AF1499" s="92"/>
      <c r="AG1499" s="91" t="s">
        <v>4487</v>
      </c>
      <c r="AH1499" s="92"/>
      <c r="AI1499" s="91" t="s">
        <v>4487</v>
      </c>
      <c r="AJ1499" s="92"/>
      <c r="AK1499" s="91" t="s">
        <v>4489</v>
      </c>
      <c r="AL1499" s="92"/>
      <c r="AM1499" s="91" t="s">
        <v>4489</v>
      </c>
      <c r="AN1499" s="92"/>
      <c r="AO1499" s="91" t="s">
        <v>4489</v>
      </c>
      <c r="AP1499" s="92"/>
      <c r="AQ1499" s="91" t="s">
        <v>6157</v>
      </c>
      <c r="AR1499" s="92"/>
      <c r="AS1499" s="91" t="s">
        <v>6157</v>
      </c>
      <c r="AT1499" s="92"/>
      <c r="AU1499" s="91" t="s">
        <v>6157</v>
      </c>
      <c r="AV1499" s="92"/>
      <c r="AW1499" s="91" t="s">
        <v>6157</v>
      </c>
      <c r="AX1499" s="92"/>
      <c r="AY1499" s="91" t="s">
        <v>6159</v>
      </c>
      <c r="AZ1499" s="92"/>
    </row>
    <row r="1500" spans="1:52" x14ac:dyDescent="0.25">
      <c r="B1500" s="97"/>
      <c r="C1500" s="71" t="s">
        <v>6824</v>
      </c>
      <c r="D1500" s="71" t="s">
        <v>6825</v>
      </c>
      <c r="E1500" s="71" t="s">
        <v>6824</v>
      </c>
      <c r="F1500" s="71" t="s">
        <v>6825</v>
      </c>
      <c r="G1500" s="71" t="s">
        <v>6824</v>
      </c>
      <c r="H1500" s="71" t="s">
        <v>6825</v>
      </c>
      <c r="I1500" s="71" t="s">
        <v>6824</v>
      </c>
      <c r="J1500" s="71" t="s">
        <v>6825</v>
      </c>
      <c r="K1500" s="71" t="s">
        <v>6824</v>
      </c>
      <c r="L1500" s="71" t="s">
        <v>6825</v>
      </c>
      <c r="M1500" s="71" t="s">
        <v>6824</v>
      </c>
      <c r="N1500" s="71" t="s">
        <v>6825</v>
      </c>
      <c r="O1500" s="71" t="s">
        <v>6824</v>
      </c>
      <c r="P1500" s="71" t="s">
        <v>6825</v>
      </c>
      <c r="Q1500" s="71" t="s">
        <v>6824</v>
      </c>
      <c r="R1500" s="71" t="s">
        <v>6825</v>
      </c>
      <c r="S1500" s="71" t="s">
        <v>6824</v>
      </c>
      <c r="T1500" s="71" t="s">
        <v>6825</v>
      </c>
      <c r="U1500" s="71" t="s">
        <v>6824</v>
      </c>
      <c r="V1500" s="71" t="s">
        <v>6825</v>
      </c>
      <c r="W1500" s="71" t="s">
        <v>6824</v>
      </c>
      <c r="X1500" s="71" t="s">
        <v>6825</v>
      </c>
      <c r="Y1500" s="71" t="s">
        <v>6824</v>
      </c>
      <c r="Z1500" s="71" t="s">
        <v>6825</v>
      </c>
      <c r="AA1500" s="71" t="s">
        <v>6824</v>
      </c>
      <c r="AB1500" s="71" t="s">
        <v>6825</v>
      </c>
      <c r="AC1500" s="71" t="s">
        <v>6824</v>
      </c>
      <c r="AD1500" s="71" t="s">
        <v>6825</v>
      </c>
      <c r="AE1500" s="71" t="s">
        <v>6824</v>
      </c>
      <c r="AF1500" s="71" t="s">
        <v>6825</v>
      </c>
      <c r="AG1500" s="71" t="s">
        <v>6824</v>
      </c>
      <c r="AH1500" s="71" t="s">
        <v>6825</v>
      </c>
      <c r="AI1500" s="71" t="s">
        <v>6824</v>
      </c>
      <c r="AJ1500" s="71" t="s">
        <v>6825</v>
      </c>
      <c r="AK1500" s="71" t="s">
        <v>6824</v>
      </c>
      <c r="AL1500" s="71" t="s">
        <v>6825</v>
      </c>
      <c r="AM1500" s="71" t="s">
        <v>6824</v>
      </c>
      <c r="AN1500" s="71" t="s">
        <v>6825</v>
      </c>
      <c r="AO1500" s="71" t="s">
        <v>6824</v>
      </c>
      <c r="AP1500" s="71" t="s">
        <v>6825</v>
      </c>
      <c r="AQ1500" s="71" t="s">
        <v>6824</v>
      </c>
      <c r="AR1500" s="71" t="s">
        <v>6825</v>
      </c>
      <c r="AS1500" s="71" t="s">
        <v>6824</v>
      </c>
      <c r="AT1500" s="71" t="s">
        <v>6825</v>
      </c>
      <c r="AU1500" s="71" t="s">
        <v>6824</v>
      </c>
      <c r="AV1500" s="71" t="s">
        <v>6825</v>
      </c>
      <c r="AW1500" s="71" t="s">
        <v>6824</v>
      </c>
      <c r="AX1500" s="71" t="s">
        <v>6825</v>
      </c>
      <c r="AY1500" s="71" t="s">
        <v>6824</v>
      </c>
      <c r="AZ1500" s="71" t="s">
        <v>6825</v>
      </c>
    </row>
    <row r="1501" spans="1:52" x14ac:dyDescent="0.25">
      <c r="B1501" s="72"/>
      <c r="C1501" s="71"/>
      <c r="D1501" s="73"/>
      <c r="E1501" s="71"/>
      <c r="F1501" s="73"/>
      <c r="G1501" s="71"/>
      <c r="H1501" s="73"/>
      <c r="I1501" s="71"/>
      <c r="J1501" s="73"/>
      <c r="K1501" s="71"/>
      <c r="L1501" s="73"/>
      <c r="M1501" s="71"/>
      <c r="N1501" s="73"/>
      <c r="O1501" s="71"/>
      <c r="P1501" s="73"/>
      <c r="Q1501" s="71"/>
      <c r="R1501" s="73"/>
      <c r="S1501" s="71"/>
      <c r="T1501" s="73"/>
      <c r="U1501" s="71"/>
      <c r="V1501" s="73"/>
      <c r="W1501" s="71"/>
      <c r="X1501" s="73"/>
      <c r="Y1501" s="71"/>
      <c r="Z1501" s="73"/>
      <c r="AA1501" s="71"/>
      <c r="AB1501" s="73"/>
      <c r="AC1501" s="71"/>
      <c r="AD1501" s="73"/>
      <c r="AE1501" s="71"/>
      <c r="AF1501" s="73"/>
      <c r="AG1501" s="71"/>
      <c r="AH1501" s="73"/>
      <c r="AI1501" s="71"/>
      <c r="AJ1501" s="73"/>
      <c r="AK1501" s="71"/>
      <c r="AL1501" s="73"/>
      <c r="AM1501" s="71"/>
      <c r="AN1501" s="73"/>
      <c r="AO1501" s="71"/>
      <c r="AP1501" s="73"/>
      <c r="AQ1501" s="71"/>
      <c r="AR1501" s="73"/>
      <c r="AS1501" s="71"/>
      <c r="AT1501" s="73"/>
      <c r="AU1501" s="71"/>
      <c r="AV1501" s="73"/>
      <c r="AW1501" s="71"/>
      <c r="AX1501" s="73"/>
      <c r="AY1501" s="71"/>
      <c r="AZ1501" s="73"/>
    </row>
    <row r="1503" spans="1:52" x14ac:dyDescent="0.25">
      <c r="B1503" s="27" t="s">
        <v>7342</v>
      </c>
      <c r="C1503" s="40"/>
      <c r="D1503" s="40"/>
    </row>
    <row r="1504" spans="1:52" x14ac:dyDescent="0.25">
      <c r="B1504" s="40" t="s">
        <v>6810</v>
      </c>
      <c r="C1504" s="40"/>
      <c r="D1504" s="40"/>
    </row>
    <row r="1505" spans="1:16" x14ac:dyDescent="0.25">
      <c r="B1505" s="40" t="s">
        <v>6811</v>
      </c>
      <c r="C1505" s="40"/>
      <c r="D1505" s="40"/>
    </row>
    <row r="1506" spans="1:16" x14ac:dyDescent="0.25">
      <c r="B1506" s="42" t="s">
        <v>6812</v>
      </c>
      <c r="C1506" s="40"/>
      <c r="D1506" s="40"/>
    </row>
    <row r="1507" spans="1:16" x14ac:dyDescent="0.25">
      <c r="B1507" s="42" t="s">
        <v>6813</v>
      </c>
      <c r="C1507" s="40"/>
      <c r="D1507" s="40"/>
    </row>
    <row r="1508" spans="1:16" x14ac:dyDescent="0.25">
      <c r="B1508" s="42" t="s">
        <v>6814</v>
      </c>
      <c r="C1508" s="40"/>
      <c r="D1508" s="40"/>
    </row>
    <row r="1509" spans="1:16" ht="100" customHeight="1" x14ac:dyDescent="0.25">
      <c r="A1509" s="41" t="str">
        <f>_xlfn.CONCAT("Sample test results are documented in ",'Sample Tables'!B1503," [",'Sample Tables'!B1504,", ",'Sample Tables'!B1505,", ",'Sample Tables'!B1506,", ",'Sample Tables'!B1507,", ",'Sample Tables'!B1508,"]."&amp;CHAR(10))</f>
        <v xml:space="preserve">Sample test results are documented in Test 137: Information System (acquisition) [Population Source/Tool: , Population Date Range: , Population Size: , Sample Methodology: , Sample Size: ].
</v>
      </c>
      <c r="B1509" s="95" t="s">
        <v>6815</v>
      </c>
      <c r="C1509" s="93" t="s">
        <v>7343</v>
      </c>
      <c r="D1509" s="94"/>
      <c r="E1509" s="93" t="s">
        <v>7344</v>
      </c>
      <c r="F1509" s="94"/>
      <c r="G1509" s="93" t="s">
        <v>7345</v>
      </c>
      <c r="H1509" s="94"/>
    </row>
    <row r="1510" spans="1:16" x14ac:dyDescent="0.25">
      <c r="B1510" s="96"/>
      <c r="C1510" s="91" t="s">
        <v>5005</v>
      </c>
      <c r="D1510" s="92"/>
      <c r="E1510" s="91" t="s">
        <v>5005</v>
      </c>
      <c r="F1510" s="92"/>
      <c r="G1510" s="91" t="s">
        <v>5005</v>
      </c>
      <c r="H1510" s="92"/>
    </row>
    <row r="1511" spans="1:16" x14ac:dyDescent="0.25">
      <c r="B1511" s="97"/>
      <c r="C1511" s="71" t="s">
        <v>6824</v>
      </c>
      <c r="D1511" s="71" t="s">
        <v>6825</v>
      </c>
      <c r="E1511" s="71" t="s">
        <v>6824</v>
      </c>
      <c r="F1511" s="71" t="s">
        <v>6825</v>
      </c>
      <c r="G1511" s="71" t="s">
        <v>6824</v>
      </c>
      <c r="H1511" s="71" t="s">
        <v>6825</v>
      </c>
    </row>
    <row r="1512" spans="1:16" x14ac:dyDescent="0.25">
      <c r="B1512" s="72"/>
      <c r="C1512" s="71"/>
      <c r="D1512" s="73"/>
      <c r="E1512" s="71"/>
      <c r="F1512" s="73"/>
      <c r="G1512" s="71"/>
      <c r="H1512" s="73"/>
    </row>
    <row r="1514" spans="1:16" x14ac:dyDescent="0.25">
      <c r="B1514" s="27" t="s">
        <v>7346</v>
      </c>
      <c r="C1514" s="40"/>
      <c r="D1514" s="40"/>
    </row>
    <row r="1515" spans="1:16" x14ac:dyDescent="0.25">
      <c r="B1515" s="40" t="s">
        <v>6810</v>
      </c>
      <c r="C1515" s="40"/>
      <c r="D1515" s="40"/>
    </row>
    <row r="1516" spans="1:16" x14ac:dyDescent="0.25">
      <c r="B1516" s="40" t="s">
        <v>6811</v>
      </c>
      <c r="C1516" s="40"/>
      <c r="D1516" s="40"/>
    </row>
    <row r="1517" spans="1:16" x14ac:dyDescent="0.25">
      <c r="B1517" s="42" t="s">
        <v>6812</v>
      </c>
      <c r="C1517" s="40"/>
      <c r="D1517" s="40"/>
    </row>
    <row r="1518" spans="1:16" x14ac:dyDescent="0.25">
      <c r="B1518" s="42" t="s">
        <v>6813</v>
      </c>
      <c r="C1518" s="40"/>
      <c r="D1518" s="40"/>
    </row>
    <row r="1519" spans="1:16" x14ac:dyDescent="0.25">
      <c r="B1519" s="42" t="s">
        <v>6814</v>
      </c>
      <c r="C1519" s="40"/>
      <c r="D1519" s="40"/>
    </row>
    <row r="1520" spans="1:16" ht="100" customHeight="1" x14ac:dyDescent="0.25">
      <c r="A1520" s="41" t="str">
        <f>_xlfn.CONCAT("Sample test results are documented in ",'Sample Tables'!B1514," [",'Sample Tables'!B1515,", ",'Sample Tables'!B1516,", ",'Sample Tables'!B1517,", ",'Sample Tables'!B1518,", ",'Sample Tables'!B1519,"]."&amp;CHAR(10))</f>
        <v xml:space="preserve">Sample test results are documented in Test 138: Information System (alternate facility/secure area) [Population Source/Tool: , Population Date Range: , Population Size: , Sample Methodology: , Sample Size: ].
</v>
      </c>
      <c r="B1520" s="95" t="s">
        <v>6815</v>
      </c>
      <c r="C1520" s="93" t="s">
        <v>7347</v>
      </c>
      <c r="D1520" s="94"/>
      <c r="E1520" s="93" t="s">
        <v>7348</v>
      </c>
      <c r="F1520" s="94"/>
      <c r="G1520" s="93" t="s">
        <v>7349</v>
      </c>
      <c r="H1520" s="94"/>
      <c r="I1520" s="93" t="s">
        <v>7350</v>
      </c>
      <c r="J1520" s="94"/>
      <c r="K1520" s="93" t="s">
        <v>7349</v>
      </c>
      <c r="L1520" s="94"/>
      <c r="M1520" s="93" t="s">
        <v>7351</v>
      </c>
      <c r="N1520" s="94"/>
      <c r="O1520" s="93" t="s">
        <v>7352</v>
      </c>
      <c r="P1520" s="94"/>
    </row>
    <row r="1521" spans="1:16" x14ac:dyDescent="0.25">
      <c r="B1521" s="96"/>
      <c r="C1521" s="91" t="s">
        <v>4463</v>
      </c>
      <c r="D1521" s="92"/>
      <c r="E1521" s="91" t="s">
        <v>4463</v>
      </c>
      <c r="F1521" s="92"/>
      <c r="G1521" s="91" t="s">
        <v>4463</v>
      </c>
      <c r="H1521" s="92"/>
      <c r="I1521" s="91" t="s">
        <v>4463</v>
      </c>
      <c r="J1521" s="92"/>
      <c r="K1521" s="91" t="s">
        <v>4470</v>
      </c>
      <c r="L1521" s="92"/>
      <c r="M1521" s="91" t="s">
        <v>4470</v>
      </c>
      <c r="N1521" s="92"/>
      <c r="O1521" s="91" t="s">
        <v>4470</v>
      </c>
      <c r="P1521" s="92"/>
    </row>
    <row r="1522" spans="1:16" x14ac:dyDescent="0.25">
      <c r="B1522" s="97"/>
      <c r="C1522" s="71" t="s">
        <v>6824</v>
      </c>
      <c r="D1522" s="71" t="s">
        <v>6825</v>
      </c>
      <c r="E1522" s="71" t="s">
        <v>6824</v>
      </c>
      <c r="F1522" s="71" t="s">
        <v>6825</v>
      </c>
      <c r="G1522" s="71" t="s">
        <v>6824</v>
      </c>
      <c r="H1522" s="71" t="s">
        <v>6825</v>
      </c>
      <c r="I1522" s="71" t="s">
        <v>6824</v>
      </c>
      <c r="J1522" s="71" t="s">
        <v>6825</v>
      </c>
      <c r="K1522" s="71" t="s">
        <v>6824</v>
      </c>
      <c r="L1522" s="71" t="s">
        <v>6825</v>
      </c>
      <c r="M1522" s="71" t="s">
        <v>6824</v>
      </c>
      <c r="N1522" s="71" t="s">
        <v>6825</v>
      </c>
      <c r="O1522" s="71" t="s">
        <v>6824</v>
      </c>
      <c r="P1522" s="71" t="s">
        <v>6825</v>
      </c>
    </row>
    <row r="1523" spans="1:16" x14ac:dyDescent="0.25">
      <c r="B1523" s="72"/>
      <c r="C1523" s="71"/>
      <c r="D1523" s="73"/>
      <c r="E1523" s="71"/>
      <c r="F1523" s="73"/>
      <c r="G1523" s="71"/>
      <c r="H1523" s="73"/>
      <c r="I1523" s="71"/>
      <c r="J1523" s="73"/>
      <c r="K1523" s="71"/>
      <c r="L1523" s="73"/>
      <c r="M1523" s="71"/>
      <c r="N1523" s="73"/>
      <c r="O1523" s="71"/>
      <c r="P1523" s="73"/>
    </row>
    <row r="1525" spans="1:16" x14ac:dyDescent="0.25">
      <c r="B1525" s="27" t="s">
        <v>7353</v>
      </c>
      <c r="C1525" s="40"/>
      <c r="D1525" s="40"/>
    </row>
    <row r="1526" spans="1:16" x14ac:dyDescent="0.25">
      <c r="B1526" s="40" t="s">
        <v>6810</v>
      </c>
      <c r="C1526" s="40"/>
      <c r="D1526" s="40"/>
    </row>
    <row r="1527" spans="1:16" x14ac:dyDescent="0.25">
      <c r="B1527" s="40" t="s">
        <v>6811</v>
      </c>
      <c r="C1527" s="40"/>
      <c r="D1527" s="40"/>
    </row>
    <row r="1528" spans="1:16" x14ac:dyDescent="0.25">
      <c r="B1528" s="42" t="s">
        <v>6812</v>
      </c>
      <c r="C1528" s="40"/>
      <c r="D1528" s="40"/>
    </row>
    <row r="1529" spans="1:16" x14ac:dyDescent="0.25">
      <c r="B1529" s="42" t="s">
        <v>6813</v>
      </c>
      <c r="C1529" s="40"/>
      <c r="D1529" s="40"/>
    </row>
    <row r="1530" spans="1:16" x14ac:dyDescent="0.25">
      <c r="B1530" s="42" t="s">
        <v>6814</v>
      </c>
      <c r="C1530" s="40"/>
      <c r="D1530" s="40"/>
    </row>
    <row r="1531" spans="1:16" ht="100" customHeight="1" x14ac:dyDescent="0.25">
      <c r="A1531" s="41" t="str">
        <f>_xlfn.CONCAT("Sample test results are documented in ",'Sample Tables'!B1525," [",'Sample Tables'!B1526,", ",'Sample Tables'!B1527,", ",'Sample Tables'!B1528,", ",'Sample Tables'!B1529,", ",'Sample Tables'!B1530,"]."&amp;CHAR(10))</f>
        <v xml:space="preserve">Sample test results are documented in Test 139: Information System (authentication not required for system component) [Population Source/Tool: , Population Date Range: , Population Size: , Sample Methodology: , Sample Size: ].
</v>
      </c>
      <c r="B1531" s="95" t="s">
        <v>6815</v>
      </c>
      <c r="C1531" s="93" t="s">
        <v>6844</v>
      </c>
      <c r="D1531" s="94"/>
    </row>
    <row r="1532" spans="1:16" x14ac:dyDescent="0.25">
      <c r="B1532" s="96"/>
      <c r="C1532" s="91" t="s">
        <v>2992</v>
      </c>
      <c r="D1532" s="92"/>
    </row>
    <row r="1533" spans="1:16" x14ac:dyDescent="0.25">
      <c r="B1533" s="97"/>
      <c r="C1533" s="71" t="s">
        <v>6824</v>
      </c>
      <c r="D1533" s="71" t="s">
        <v>6825</v>
      </c>
    </row>
    <row r="1534" spans="1:16" x14ac:dyDescent="0.25">
      <c r="B1534" s="72"/>
      <c r="C1534" s="71"/>
      <c r="D1534" s="73"/>
    </row>
    <row r="1536" spans="1:16" x14ac:dyDescent="0.25">
      <c r="B1536" s="27" t="s">
        <v>7354</v>
      </c>
      <c r="C1536" s="40"/>
      <c r="D1536" s="40"/>
    </row>
    <row r="1537" spans="1:70" x14ac:dyDescent="0.25">
      <c r="B1537" s="40" t="s">
        <v>6810</v>
      </c>
      <c r="C1537" s="40"/>
      <c r="D1537" s="40"/>
    </row>
    <row r="1538" spans="1:70" x14ac:dyDescent="0.25">
      <c r="B1538" s="40" t="s">
        <v>6811</v>
      </c>
      <c r="C1538" s="40"/>
      <c r="D1538" s="40"/>
    </row>
    <row r="1539" spans="1:70" x14ac:dyDescent="0.25">
      <c r="B1539" s="42" t="s">
        <v>6812</v>
      </c>
      <c r="C1539" s="40"/>
      <c r="D1539" s="40"/>
    </row>
    <row r="1540" spans="1:70" x14ac:dyDescent="0.25">
      <c r="B1540" s="42" t="s">
        <v>6813</v>
      </c>
      <c r="C1540" s="40"/>
      <c r="D1540" s="40"/>
    </row>
    <row r="1541" spans="1:70" x14ac:dyDescent="0.25">
      <c r="B1541" s="42" t="s">
        <v>6814</v>
      </c>
      <c r="C1541" s="40"/>
      <c r="D1541" s="40"/>
    </row>
    <row r="1542" spans="1:70" ht="100" customHeight="1" x14ac:dyDescent="0.25">
      <c r="A1542" s="41" t="str">
        <f>_xlfn.CONCAT("Sample test results are documented in ",'Sample Tables'!B1536," [",'Sample Tables'!B1537,", ",'Sample Tables'!B1538,", ",'Sample Tables'!B1539,", ",'Sample Tables'!B1540,", ",'Sample Tables'!B1541,"]."&amp;CHAR(10))</f>
        <v xml:space="preserve">Sample test results are documented in Test 140: Information System (authentication sub-system) [Population Source/Tool: , Population Date Range: , Population Size: , Sample Methodology: , Sample Size: ].
</v>
      </c>
      <c r="B1542" s="95" t="s">
        <v>6815</v>
      </c>
      <c r="C1542" s="93" t="s">
        <v>6847</v>
      </c>
      <c r="D1542" s="94"/>
      <c r="E1542" s="93" t="s">
        <v>6848</v>
      </c>
      <c r="F1542" s="94"/>
      <c r="G1542" s="93" t="s">
        <v>6849</v>
      </c>
      <c r="H1542" s="94"/>
      <c r="I1542" s="93" t="s">
        <v>6850</v>
      </c>
      <c r="J1542" s="94"/>
      <c r="K1542" s="93" t="s">
        <v>6851</v>
      </c>
      <c r="L1542" s="94"/>
      <c r="M1542" s="93" t="s">
        <v>6852</v>
      </c>
      <c r="N1542" s="94"/>
      <c r="O1542" s="93" t="s">
        <v>6853</v>
      </c>
      <c r="P1542" s="94"/>
      <c r="Q1542" s="93" t="s">
        <v>6854</v>
      </c>
      <c r="R1542" s="94"/>
      <c r="S1542" s="93" t="s">
        <v>6847</v>
      </c>
      <c r="T1542" s="94"/>
      <c r="U1542" s="93" t="s">
        <v>6855</v>
      </c>
      <c r="V1542" s="94"/>
      <c r="W1542" s="93" t="s">
        <v>7355</v>
      </c>
      <c r="X1542" s="94"/>
      <c r="Y1542" s="93" t="s">
        <v>7356</v>
      </c>
      <c r="Z1542" s="94"/>
      <c r="AA1542" s="93" t="s">
        <v>7357</v>
      </c>
      <c r="AB1542" s="94"/>
      <c r="AC1542" s="93" t="s">
        <v>7358</v>
      </c>
      <c r="AD1542" s="94"/>
      <c r="AE1542" s="93" t="s">
        <v>6854</v>
      </c>
      <c r="AF1542" s="94"/>
      <c r="AG1542" s="93" t="s">
        <v>6847</v>
      </c>
      <c r="AH1542" s="94"/>
      <c r="AI1542" s="93" t="s">
        <v>6855</v>
      </c>
      <c r="AJ1542" s="94"/>
      <c r="AK1542" s="93" t="s">
        <v>6855</v>
      </c>
      <c r="AL1542" s="94"/>
      <c r="AM1542" s="93" t="s">
        <v>7359</v>
      </c>
      <c r="AN1542" s="94"/>
      <c r="AO1542" s="93" t="s">
        <v>6856</v>
      </c>
      <c r="AP1542" s="94"/>
      <c r="AQ1542" s="93" t="s">
        <v>6857</v>
      </c>
      <c r="AR1542" s="94"/>
      <c r="AS1542" s="93" t="s">
        <v>6858</v>
      </c>
      <c r="AT1542" s="94"/>
      <c r="AU1542" s="93" t="s">
        <v>6857</v>
      </c>
      <c r="AV1542" s="94"/>
      <c r="AW1542" s="93" t="s">
        <v>6858</v>
      </c>
      <c r="AX1542" s="94"/>
      <c r="AY1542" s="93" t="s">
        <v>6860</v>
      </c>
      <c r="AZ1542" s="94"/>
      <c r="BA1542" s="93" t="s">
        <v>6861</v>
      </c>
      <c r="BB1542" s="94"/>
      <c r="BC1542" s="93" t="s">
        <v>6862</v>
      </c>
      <c r="BD1542" s="94"/>
      <c r="BE1542" s="93" t="s">
        <v>6863</v>
      </c>
      <c r="BF1542" s="94"/>
      <c r="BG1542" s="93" t="s">
        <v>6864</v>
      </c>
      <c r="BH1542" s="94"/>
      <c r="BI1542" s="93" t="s">
        <v>6865</v>
      </c>
      <c r="BJ1542" s="94"/>
      <c r="BK1542" s="93" t="s">
        <v>6866</v>
      </c>
      <c r="BL1542" s="94"/>
      <c r="BM1542" s="93" t="s">
        <v>6867</v>
      </c>
      <c r="BN1542" s="94"/>
      <c r="BO1542" s="93" t="s">
        <v>7360</v>
      </c>
      <c r="BP1542" s="94"/>
      <c r="BQ1542" s="93" t="s">
        <v>7361</v>
      </c>
      <c r="BR1542" s="94"/>
    </row>
    <row r="1543" spans="1:70" x14ac:dyDescent="0.25">
      <c r="B1543" s="96"/>
      <c r="C1543" s="91" t="s">
        <v>2328</v>
      </c>
      <c r="D1543" s="92"/>
      <c r="E1543" s="91" t="s">
        <v>2332</v>
      </c>
      <c r="F1543" s="92"/>
      <c r="G1543" s="91" t="s">
        <v>2334</v>
      </c>
      <c r="H1543" s="92"/>
      <c r="I1543" s="91" t="s">
        <v>2334</v>
      </c>
      <c r="J1543" s="92"/>
      <c r="K1543" s="91" t="s">
        <v>2336</v>
      </c>
      <c r="L1543" s="92"/>
      <c r="M1543" s="91" t="s">
        <v>2338</v>
      </c>
      <c r="N1543" s="92"/>
      <c r="O1543" s="91" t="s">
        <v>2338</v>
      </c>
      <c r="P1543" s="92"/>
      <c r="Q1543" s="91" t="s">
        <v>2353</v>
      </c>
      <c r="R1543" s="92"/>
      <c r="S1543" s="91" t="s">
        <v>2353</v>
      </c>
      <c r="T1543" s="92"/>
      <c r="U1543" s="91" t="s">
        <v>2353</v>
      </c>
      <c r="V1543" s="92"/>
      <c r="W1543" s="91" t="s">
        <v>2356</v>
      </c>
      <c r="X1543" s="92"/>
      <c r="Y1543" s="91" t="s">
        <v>2356</v>
      </c>
      <c r="Z1543" s="92"/>
      <c r="AA1543" s="91" t="s">
        <v>2356</v>
      </c>
      <c r="AB1543" s="92"/>
      <c r="AC1543" s="91" t="s">
        <v>2356</v>
      </c>
      <c r="AD1543" s="92"/>
      <c r="AE1543" s="91" t="s">
        <v>2398</v>
      </c>
      <c r="AF1543" s="92"/>
      <c r="AG1543" s="91" t="s">
        <v>2398</v>
      </c>
      <c r="AH1543" s="92"/>
      <c r="AI1543" s="91" t="s">
        <v>2398</v>
      </c>
      <c r="AJ1543" s="92"/>
      <c r="AK1543" s="91" t="s">
        <v>2706</v>
      </c>
      <c r="AL1543" s="92"/>
      <c r="AM1543" s="91" t="s">
        <v>2706</v>
      </c>
      <c r="AN1543" s="92"/>
      <c r="AO1543" s="91" t="s">
        <v>2733</v>
      </c>
      <c r="AP1543" s="92"/>
      <c r="AQ1543" s="91" t="s">
        <v>2735</v>
      </c>
      <c r="AR1543" s="92"/>
      <c r="AS1543" s="91" t="s">
        <v>2735</v>
      </c>
      <c r="AT1543" s="92"/>
      <c r="AU1543" s="91" t="s">
        <v>2970</v>
      </c>
      <c r="AV1543" s="92"/>
      <c r="AW1543" s="91" t="s">
        <v>2970</v>
      </c>
      <c r="AX1543" s="92"/>
      <c r="AY1543" s="91" t="s">
        <v>3014</v>
      </c>
      <c r="AZ1543" s="92"/>
      <c r="BA1543" s="91" t="s">
        <v>3016</v>
      </c>
      <c r="BB1543" s="92"/>
      <c r="BC1543" s="91" t="s">
        <v>3024</v>
      </c>
      <c r="BD1543" s="92"/>
      <c r="BE1543" s="91" t="s">
        <v>3024</v>
      </c>
      <c r="BF1543" s="92"/>
      <c r="BG1543" s="91" t="s">
        <v>3024</v>
      </c>
      <c r="BH1543" s="92"/>
      <c r="BI1543" s="91" t="s">
        <v>3043</v>
      </c>
      <c r="BJ1543" s="92"/>
      <c r="BK1543" s="91" t="s">
        <v>3052</v>
      </c>
      <c r="BL1543" s="92"/>
      <c r="BM1543" s="91" t="s">
        <v>3052</v>
      </c>
      <c r="BN1543" s="92"/>
      <c r="BO1543" s="91" t="s">
        <v>3494</v>
      </c>
      <c r="BP1543" s="92"/>
      <c r="BQ1543" s="91" t="s">
        <v>3494</v>
      </c>
      <c r="BR1543" s="92"/>
    </row>
    <row r="1544" spans="1:70" x14ac:dyDescent="0.25">
      <c r="B1544" s="97"/>
      <c r="C1544" s="71" t="s">
        <v>6824</v>
      </c>
      <c r="D1544" s="71" t="s">
        <v>6825</v>
      </c>
      <c r="E1544" s="71" t="s">
        <v>6824</v>
      </c>
      <c r="F1544" s="71" t="s">
        <v>6825</v>
      </c>
      <c r="G1544" s="71" t="s">
        <v>6824</v>
      </c>
      <c r="H1544" s="71" t="s">
        <v>6825</v>
      </c>
      <c r="I1544" s="71" t="s">
        <v>6824</v>
      </c>
      <c r="J1544" s="71" t="s">
        <v>6825</v>
      </c>
      <c r="K1544" s="71" t="s">
        <v>6824</v>
      </c>
      <c r="L1544" s="71" t="s">
        <v>6825</v>
      </c>
      <c r="M1544" s="71" t="s">
        <v>6824</v>
      </c>
      <c r="N1544" s="71" t="s">
        <v>6825</v>
      </c>
      <c r="O1544" s="71" t="s">
        <v>6824</v>
      </c>
      <c r="P1544" s="71" t="s">
        <v>6825</v>
      </c>
      <c r="Q1544" s="71" t="s">
        <v>6824</v>
      </c>
      <c r="R1544" s="71" t="s">
        <v>6825</v>
      </c>
      <c r="S1544" s="71" t="s">
        <v>6824</v>
      </c>
      <c r="T1544" s="71" t="s">
        <v>6825</v>
      </c>
      <c r="U1544" s="71" t="s">
        <v>6824</v>
      </c>
      <c r="V1544" s="71" t="s">
        <v>6825</v>
      </c>
      <c r="W1544" s="71" t="s">
        <v>6824</v>
      </c>
      <c r="X1544" s="71" t="s">
        <v>6825</v>
      </c>
      <c r="Y1544" s="71" t="s">
        <v>6824</v>
      </c>
      <c r="Z1544" s="71" t="s">
        <v>6825</v>
      </c>
      <c r="AA1544" s="71" t="s">
        <v>6824</v>
      </c>
      <c r="AB1544" s="71" t="s">
        <v>6825</v>
      </c>
      <c r="AC1544" s="71" t="s">
        <v>6824</v>
      </c>
      <c r="AD1544" s="71" t="s">
        <v>6825</v>
      </c>
      <c r="AE1544" s="71" t="s">
        <v>6824</v>
      </c>
      <c r="AF1544" s="71" t="s">
        <v>6825</v>
      </c>
      <c r="AG1544" s="71" t="s">
        <v>6824</v>
      </c>
      <c r="AH1544" s="71" t="s">
        <v>6825</v>
      </c>
      <c r="AI1544" s="71" t="s">
        <v>6824</v>
      </c>
      <c r="AJ1544" s="71" t="s">
        <v>6825</v>
      </c>
      <c r="AK1544" s="71" t="s">
        <v>6824</v>
      </c>
      <c r="AL1544" s="71" t="s">
        <v>6825</v>
      </c>
      <c r="AM1544" s="71" t="s">
        <v>6824</v>
      </c>
      <c r="AN1544" s="71" t="s">
        <v>6825</v>
      </c>
      <c r="AO1544" s="71" t="s">
        <v>6824</v>
      </c>
      <c r="AP1544" s="71" t="s">
        <v>6825</v>
      </c>
      <c r="AQ1544" s="71" t="s">
        <v>6824</v>
      </c>
      <c r="AR1544" s="71" t="s">
        <v>6825</v>
      </c>
      <c r="AS1544" s="71" t="s">
        <v>6824</v>
      </c>
      <c r="AT1544" s="71" t="s">
        <v>6825</v>
      </c>
      <c r="AU1544" s="71" t="s">
        <v>6824</v>
      </c>
      <c r="AV1544" s="71" t="s">
        <v>6825</v>
      </c>
      <c r="AW1544" s="71" t="s">
        <v>6824</v>
      </c>
      <c r="AX1544" s="71" t="s">
        <v>6825</v>
      </c>
      <c r="AY1544" s="71" t="s">
        <v>6824</v>
      </c>
      <c r="AZ1544" s="71" t="s">
        <v>6825</v>
      </c>
      <c r="BA1544" s="71" t="s">
        <v>6824</v>
      </c>
      <c r="BB1544" s="71" t="s">
        <v>6825</v>
      </c>
      <c r="BC1544" s="71" t="s">
        <v>6824</v>
      </c>
      <c r="BD1544" s="71" t="s">
        <v>6825</v>
      </c>
      <c r="BE1544" s="71" t="s">
        <v>6824</v>
      </c>
      <c r="BF1544" s="71" t="s">
        <v>6825</v>
      </c>
      <c r="BG1544" s="71" t="s">
        <v>6824</v>
      </c>
      <c r="BH1544" s="71" t="s">
        <v>6825</v>
      </c>
      <c r="BI1544" s="71" t="s">
        <v>6824</v>
      </c>
      <c r="BJ1544" s="71" t="s">
        <v>6825</v>
      </c>
      <c r="BK1544" s="71" t="s">
        <v>6824</v>
      </c>
      <c r="BL1544" s="71" t="s">
        <v>6825</v>
      </c>
      <c r="BM1544" s="71" t="s">
        <v>6824</v>
      </c>
      <c r="BN1544" s="71" t="s">
        <v>6825</v>
      </c>
      <c r="BO1544" s="71" t="s">
        <v>6824</v>
      </c>
      <c r="BP1544" s="71" t="s">
        <v>6825</v>
      </c>
      <c r="BQ1544" s="71" t="s">
        <v>6824</v>
      </c>
      <c r="BR1544" s="71" t="s">
        <v>6825</v>
      </c>
    </row>
    <row r="1545" spans="1:70" x14ac:dyDescent="0.25">
      <c r="B1545" s="72"/>
      <c r="C1545" s="71"/>
      <c r="D1545" s="73"/>
      <c r="E1545" s="71"/>
      <c r="F1545" s="73"/>
      <c r="G1545" s="71"/>
      <c r="H1545" s="73"/>
      <c r="I1545" s="71"/>
      <c r="J1545" s="73"/>
      <c r="K1545" s="71"/>
      <c r="L1545" s="73"/>
      <c r="M1545" s="71"/>
      <c r="N1545" s="73"/>
      <c r="O1545" s="71"/>
      <c r="P1545" s="73"/>
      <c r="Q1545" s="71"/>
      <c r="R1545" s="73"/>
      <c r="S1545" s="71"/>
      <c r="T1545" s="73"/>
      <c r="U1545" s="71"/>
      <c r="V1545" s="73"/>
      <c r="W1545" s="71"/>
      <c r="X1545" s="73"/>
      <c r="Y1545" s="71"/>
      <c r="Z1545" s="73"/>
      <c r="AA1545" s="71"/>
      <c r="AB1545" s="73"/>
      <c r="AC1545" s="71"/>
      <c r="AD1545" s="73"/>
      <c r="AE1545" s="71"/>
      <c r="AF1545" s="73"/>
      <c r="AG1545" s="71"/>
      <c r="AH1545" s="73"/>
      <c r="AI1545" s="71"/>
      <c r="AJ1545" s="73"/>
      <c r="AK1545" s="71"/>
      <c r="AL1545" s="73"/>
      <c r="AM1545" s="71"/>
      <c r="AN1545" s="73"/>
      <c r="AO1545" s="71"/>
      <c r="AP1545" s="73"/>
      <c r="AQ1545" s="71"/>
      <c r="AR1545" s="73"/>
      <c r="AS1545" s="71"/>
      <c r="AT1545" s="73"/>
      <c r="AU1545" s="71"/>
      <c r="AV1545" s="73"/>
      <c r="AW1545" s="71"/>
      <c r="AX1545" s="73"/>
      <c r="AY1545" s="71"/>
      <c r="AZ1545" s="73"/>
      <c r="BA1545" s="71"/>
      <c r="BB1545" s="73"/>
      <c r="BC1545" s="71"/>
      <c r="BD1545" s="73"/>
      <c r="BE1545" s="71"/>
      <c r="BF1545" s="73"/>
      <c r="BG1545" s="71"/>
      <c r="BH1545" s="73"/>
      <c r="BI1545" s="71"/>
      <c r="BJ1545" s="73"/>
      <c r="BK1545" s="71"/>
      <c r="BL1545" s="73"/>
      <c r="BM1545" s="71"/>
      <c r="BN1545" s="73"/>
      <c r="BO1545" s="71"/>
      <c r="BP1545" s="73"/>
      <c r="BQ1545" s="71"/>
      <c r="BR1545" s="73"/>
    </row>
    <row r="1547" spans="1:70" x14ac:dyDescent="0.25">
      <c r="B1547" s="27" t="s">
        <v>7362</v>
      </c>
      <c r="C1547" s="40"/>
      <c r="D1547" s="40"/>
    </row>
    <row r="1548" spans="1:70" x14ac:dyDescent="0.25">
      <c r="B1548" s="40" t="s">
        <v>6810</v>
      </c>
      <c r="C1548" s="40"/>
      <c r="D1548" s="40"/>
    </row>
    <row r="1549" spans="1:70" x14ac:dyDescent="0.25">
      <c r="B1549" s="40" t="s">
        <v>6811</v>
      </c>
      <c r="C1549" s="40"/>
      <c r="D1549" s="40"/>
    </row>
    <row r="1550" spans="1:70" x14ac:dyDescent="0.25">
      <c r="B1550" s="42" t="s">
        <v>6812</v>
      </c>
      <c r="C1550" s="40"/>
      <c r="D1550" s="40"/>
    </row>
    <row r="1551" spans="1:70" x14ac:dyDescent="0.25">
      <c r="B1551" s="42" t="s">
        <v>6813</v>
      </c>
      <c r="C1551" s="40"/>
      <c r="D1551" s="40"/>
    </row>
    <row r="1552" spans="1:70" x14ac:dyDescent="0.25">
      <c r="B1552" s="42" t="s">
        <v>6814</v>
      </c>
      <c r="C1552" s="40"/>
      <c r="D1552" s="40"/>
    </row>
    <row r="1553" spans="1:4" ht="100" customHeight="1" x14ac:dyDescent="0.25">
      <c r="A1553" s="41" t="str">
        <f>_xlfn.CONCAT("Sample test results are documented in ",'Sample Tables'!B1547," [",'Sample Tables'!B1548,", ",'Sample Tables'!B1549,", ",'Sample Tables'!B1550,", ",'Sample Tables'!B1551,", ",'Sample Tables'!B1552,"]."&amp;CHAR(10))</f>
        <v xml:space="preserve">Sample test results are documented in Test 141: Information System (backup sub-system) [Population Source/Tool: , Population Date Range: , Population Size: , Sample Methodology: , Sample Size: ].
</v>
      </c>
      <c r="B1553" s="95" t="s">
        <v>6815</v>
      </c>
      <c r="C1553" s="93" t="s">
        <v>7363</v>
      </c>
      <c r="D1553" s="94"/>
    </row>
    <row r="1554" spans="1:4" x14ac:dyDescent="0.25">
      <c r="B1554" s="96"/>
      <c r="C1554" s="91" t="s">
        <v>4493</v>
      </c>
      <c r="D1554" s="92"/>
    </row>
    <row r="1555" spans="1:4" x14ac:dyDescent="0.25">
      <c r="B1555" s="97"/>
      <c r="C1555" s="71" t="s">
        <v>6824</v>
      </c>
      <c r="D1555" s="71" t="s">
        <v>6825</v>
      </c>
    </row>
    <row r="1556" spans="1:4" x14ac:dyDescent="0.25">
      <c r="B1556" s="72"/>
      <c r="C1556" s="71"/>
      <c r="D1556" s="73"/>
    </row>
    <row r="1558" spans="1:4" x14ac:dyDescent="0.25">
      <c r="B1558" s="27" t="s">
        <v>7364</v>
      </c>
      <c r="C1558" s="40"/>
      <c r="D1558" s="40"/>
    </row>
    <row r="1559" spans="1:4" x14ac:dyDescent="0.25">
      <c r="B1559" s="40" t="s">
        <v>6810</v>
      </c>
      <c r="C1559" s="40"/>
      <c r="D1559" s="40"/>
    </row>
    <row r="1560" spans="1:4" x14ac:dyDescent="0.25">
      <c r="B1560" s="40" t="s">
        <v>6811</v>
      </c>
      <c r="C1560" s="40"/>
      <c r="D1560" s="40"/>
    </row>
    <row r="1561" spans="1:4" x14ac:dyDescent="0.25">
      <c r="B1561" s="42" t="s">
        <v>6812</v>
      </c>
      <c r="C1561" s="40"/>
      <c r="D1561" s="40"/>
    </row>
    <row r="1562" spans="1:4" x14ac:dyDescent="0.25">
      <c r="B1562" s="42" t="s">
        <v>6813</v>
      </c>
      <c r="C1562" s="40"/>
      <c r="D1562" s="40"/>
    </row>
    <row r="1563" spans="1:4" x14ac:dyDescent="0.25">
      <c r="B1563" s="42" t="s">
        <v>6814</v>
      </c>
      <c r="C1563" s="40"/>
      <c r="D1563" s="40"/>
    </row>
    <row r="1564" spans="1:4" x14ac:dyDescent="0.25">
      <c r="A1564" s="41" t="str">
        <f>_xlfn.CONCAT("Sample test results are documented in ",'Sample Tables'!B1558," [",'Sample Tables'!B1559,", ",'Sample Tables'!B1560,", ",'Sample Tables'!B1561,", ",'Sample Tables'!B1562,", ",'Sample Tables'!B1563,"]."&amp;CHAR(10))</f>
        <v xml:space="preserve">Sample test results are documented in Test 142: Information System (CMS) [Population Source/Tool: , Population Date Range: , Population Size: , Sample Methodology: , Sample Size: ].
</v>
      </c>
      <c r="B1564" s="95" t="s">
        <v>6815</v>
      </c>
      <c r="C1564" s="93"/>
      <c r="D1564" s="94"/>
    </row>
    <row r="1565" spans="1:4" x14ac:dyDescent="0.25">
      <c r="B1565" s="96"/>
      <c r="C1565" s="91"/>
      <c r="D1565" s="92"/>
    </row>
    <row r="1566" spans="1:4" x14ac:dyDescent="0.25">
      <c r="B1566" s="97"/>
      <c r="C1566" s="71" t="s">
        <v>6824</v>
      </c>
      <c r="D1566" s="71" t="s">
        <v>6825</v>
      </c>
    </row>
    <row r="1567" spans="1:4" x14ac:dyDescent="0.25">
      <c r="B1567" s="72"/>
      <c r="C1567" s="71"/>
      <c r="D1567" s="73"/>
    </row>
    <row r="1569" spans="1:4" x14ac:dyDescent="0.25">
      <c r="B1569" s="27" t="s">
        <v>7365</v>
      </c>
      <c r="C1569" s="40"/>
      <c r="D1569" s="40"/>
    </row>
    <row r="1570" spans="1:4" x14ac:dyDescent="0.25">
      <c r="B1570" s="40" t="s">
        <v>6810</v>
      </c>
      <c r="C1570" s="40"/>
      <c r="D1570" s="40"/>
    </row>
    <row r="1571" spans="1:4" x14ac:dyDescent="0.25">
      <c r="B1571" s="40" t="s">
        <v>6811</v>
      </c>
      <c r="C1571" s="40"/>
      <c r="D1571" s="40"/>
    </row>
    <row r="1572" spans="1:4" x14ac:dyDescent="0.25">
      <c r="B1572" s="42" t="s">
        <v>6812</v>
      </c>
      <c r="C1572" s="40"/>
      <c r="D1572" s="40"/>
    </row>
    <row r="1573" spans="1:4" x14ac:dyDescent="0.25">
      <c r="B1573" s="42" t="s">
        <v>6813</v>
      </c>
      <c r="C1573" s="40"/>
      <c r="D1573" s="40"/>
    </row>
    <row r="1574" spans="1:4" x14ac:dyDescent="0.25">
      <c r="B1574" s="42" t="s">
        <v>6814</v>
      </c>
      <c r="C1574" s="40"/>
      <c r="D1574" s="40"/>
    </row>
    <row r="1575" spans="1:4" x14ac:dyDescent="0.25">
      <c r="A1575" s="41" t="str">
        <f>_xlfn.CONCAT("Sample test results are documented in ",'Sample Tables'!B1569," [",'Sample Tables'!B1570,", ",'Sample Tables'!B1571,", ",'Sample Tables'!B1572,", ",'Sample Tables'!B1573,", ",'Sample Tables'!B1574,"]."&amp;CHAR(10))</f>
        <v xml:space="preserve">Sample test results are documented in Test 143: Information System (data lose prevention sub-system) [Population Source/Tool: , Population Date Range: , Population Size: , Sample Methodology: , Sample Size: ].
</v>
      </c>
      <c r="B1575" s="95" t="s">
        <v>6815</v>
      </c>
      <c r="C1575" s="93"/>
      <c r="D1575" s="94"/>
    </row>
    <row r="1576" spans="1:4" x14ac:dyDescent="0.25">
      <c r="B1576" s="96"/>
      <c r="C1576" s="91"/>
      <c r="D1576" s="92"/>
    </row>
    <row r="1577" spans="1:4" x14ac:dyDescent="0.25">
      <c r="B1577" s="97"/>
      <c r="C1577" s="71" t="s">
        <v>6824</v>
      </c>
      <c r="D1577" s="71" t="s">
        <v>6825</v>
      </c>
    </row>
    <row r="1578" spans="1:4" x14ac:dyDescent="0.25">
      <c r="B1578" s="72"/>
      <c r="C1578" s="71"/>
      <c r="D1578" s="73"/>
    </row>
    <row r="1580" spans="1:4" x14ac:dyDescent="0.25">
      <c r="B1580" s="27" t="s">
        <v>7366</v>
      </c>
      <c r="C1580" s="40"/>
      <c r="D1580" s="40"/>
    </row>
    <row r="1581" spans="1:4" x14ac:dyDescent="0.25">
      <c r="B1581" s="40" t="s">
        <v>6810</v>
      </c>
      <c r="C1581" s="40"/>
      <c r="D1581" s="40"/>
    </row>
    <row r="1582" spans="1:4" x14ac:dyDescent="0.25">
      <c r="B1582" s="40" t="s">
        <v>6811</v>
      </c>
      <c r="C1582" s="40"/>
      <c r="D1582" s="40"/>
    </row>
    <row r="1583" spans="1:4" x14ac:dyDescent="0.25">
      <c r="B1583" s="42" t="s">
        <v>6812</v>
      </c>
      <c r="C1583" s="40"/>
      <c r="D1583" s="40"/>
    </row>
    <row r="1584" spans="1:4" x14ac:dyDescent="0.25">
      <c r="B1584" s="42" t="s">
        <v>6813</v>
      </c>
      <c r="C1584" s="40"/>
      <c r="D1584" s="40"/>
    </row>
    <row r="1585" spans="1:14" x14ac:dyDescent="0.25">
      <c r="B1585" s="42" t="s">
        <v>6814</v>
      </c>
      <c r="C1585" s="40"/>
      <c r="D1585" s="40"/>
    </row>
    <row r="1586" spans="1:14" ht="100" customHeight="1" x14ac:dyDescent="0.25">
      <c r="A1586" s="41" t="str">
        <f>_xlfn.CONCAT("Sample test results are documented in ",'Sample Tables'!B1580," [",'Sample Tables'!B1581,", ",'Sample Tables'!B1582,", ",'Sample Tables'!B1583,", ",'Sample Tables'!B1584,", ",'Sample Tables'!B1585,"]."&amp;CHAR(10))</f>
        <v xml:space="preserve">Sample test results are documented in Test 144: Information System (data transmission) [Population Source/Tool: , Population Date Range: , Population Size: , Sample Methodology: , Sample Size: ].
</v>
      </c>
      <c r="B1586" s="95" t="s">
        <v>6815</v>
      </c>
      <c r="C1586" s="93" t="s">
        <v>7014</v>
      </c>
      <c r="D1586" s="94"/>
      <c r="E1586" s="93" t="s">
        <v>7367</v>
      </c>
      <c r="F1586" s="94"/>
      <c r="G1586" s="93" t="s">
        <v>7368</v>
      </c>
      <c r="H1586" s="94"/>
      <c r="I1586" s="93" t="s">
        <v>7369</v>
      </c>
      <c r="J1586" s="94"/>
      <c r="K1586" s="93" t="s">
        <v>7370</v>
      </c>
      <c r="L1586" s="94"/>
      <c r="M1586" s="93" t="s">
        <v>7370</v>
      </c>
      <c r="N1586" s="94"/>
    </row>
    <row r="1587" spans="1:14" x14ac:dyDescent="0.25">
      <c r="B1587" s="96"/>
      <c r="C1587" s="91" t="s">
        <v>2138</v>
      </c>
      <c r="D1587" s="92"/>
      <c r="E1587" s="91" t="s">
        <v>2140</v>
      </c>
      <c r="F1587" s="92"/>
      <c r="G1587" s="91" t="s">
        <v>2265</v>
      </c>
      <c r="H1587" s="92"/>
      <c r="I1587" s="91" t="s">
        <v>2265</v>
      </c>
      <c r="J1587" s="92"/>
      <c r="K1587" s="91" t="s">
        <v>2285</v>
      </c>
      <c r="L1587" s="92"/>
      <c r="M1587" s="91" t="s">
        <v>2063</v>
      </c>
      <c r="N1587" s="92"/>
    </row>
    <row r="1588" spans="1:14" x14ac:dyDescent="0.25">
      <c r="B1588" s="97"/>
      <c r="C1588" s="71" t="s">
        <v>6824</v>
      </c>
      <c r="D1588" s="71" t="s">
        <v>6825</v>
      </c>
      <c r="E1588" s="71" t="s">
        <v>6824</v>
      </c>
      <c r="F1588" s="71" t="s">
        <v>6825</v>
      </c>
      <c r="G1588" s="71" t="s">
        <v>6824</v>
      </c>
      <c r="H1588" s="71" t="s">
        <v>6825</v>
      </c>
      <c r="I1588" s="71" t="s">
        <v>6824</v>
      </c>
      <c r="J1588" s="71" t="s">
        <v>6825</v>
      </c>
      <c r="K1588" s="71" t="s">
        <v>6824</v>
      </c>
      <c r="L1588" s="71" t="s">
        <v>6825</v>
      </c>
      <c r="M1588" s="71" t="s">
        <v>6824</v>
      </c>
      <c r="N1588" s="71" t="s">
        <v>6825</v>
      </c>
    </row>
    <row r="1589" spans="1:14" x14ac:dyDescent="0.25">
      <c r="B1589" s="72"/>
      <c r="C1589" s="71"/>
      <c r="D1589" s="73"/>
      <c r="E1589" s="71"/>
      <c r="F1589" s="73"/>
      <c r="G1589" s="71"/>
      <c r="H1589" s="73"/>
      <c r="I1589" s="71"/>
      <c r="J1589" s="73"/>
      <c r="K1589" s="71"/>
      <c r="L1589" s="73"/>
      <c r="M1589" s="71"/>
      <c r="N1589" s="73"/>
    </row>
    <row r="1591" spans="1:14" x14ac:dyDescent="0.25">
      <c r="B1591" s="27" t="s">
        <v>7371</v>
      </c>
      <c r="C1591" s="40"/>
      <c r="D1591" s="40"/>
    </row>
    <row r="1592" spans="1:14" x14ac:dyDescent="0.25">
      <c r="B1592" s="40" t="s">
        <v>6810</v>
      </c>
      <c r="C1592" s="40"/>
      <c r="D1592" s="40"/>
    </row>
    <row r="1593" spans="1:14" x14ac:dyDescent="0.25">
      <c r="B1593" s="40" t="s">
        <v>6811</v>
      </c>
      <c r="C1593" s="40"/>
      <c r="D1593" s="40"/>
    </row>
    <row r="1594" spans="1:14" x14ac:dyDescent="0.25">
      <c r="B1594" s="42" t="s">
        <v>6812</v>
      </c>
      <c r="C1594" s="40"/>
      <c r="D1594" s="40"/>
    </row>
    <row r="1595" spans="1:14" x14ac:dyDescent="0.25">
      <c r="B1595" s="42" t="s">
        <v>6813</v>
      </c>
      <c r="C1595" s="40"/>
      <c r="D1595" s="40"/>
    </row>
    <row r="1596" spans="1:14" x14ac:dyDescent="0.25">
      <c r="B1596" s="42" t="s">
        <v>6814</v>
      </c>
      <c r="C1596" s="40"/>
      <c r="D1596" s="40"/>
    </row>
    <row r="1597" spans="1:14" x14ac:dyDescent="0.25">
      <c r="A1597" s="41" t="str">
        <f>_xlfn.CONCAT("Sample test results are documented in ",'Sample Tables'!B1591," [",'Sample Tables'!B1592,", ",'Sample Tables'!B1593,", ",'Sample Tables'!B1594,", ",'Sample Tables'!B1595,", ",'Sample Tables'!B1596,"]."&amp;CHAR(10))</f>
        <v xml:space="preserve">Sample test results are documented in Test 145: Information System (dial-up connection) [Population Source/Tool: , Population Date Range: , Population Size: , Sample Methodology: , Sample Size: ].
</v>
      </c>
      <c r="B1597" s="95" t="s">
        <v>6815</v>
      </c>
      <c r="C1597" s="93"/>
      <c r="D1597" s="94"/>
    </row>
    <row r="1598" spans="1:14" x14ac:dyDescent="0.25">
      <c r="B1598" s="96"/>
      <c r="C1598" s="91"/>
      <c r="D1598" s="92"/>
    </row>
    <row r="1599" spans="1:14" x14ac:dyDescent="0.25">
      <c r="B1599" s="97"/>
      <c r="C1599" s="71" t="s">
        <v>6824</v>
      </c>
      <c r="D1599" s="71" t="s">
        <v>6825</v>
      </c>
    </row>
    <row r="1600" spans="1:14" x14ac:dyDescent="0.25">
      <c r="B1600" s="72"/>
      <c r="C1600" s="71"/>
      <c r="D1600" s="73"/>
    </row>
    <row r="1602" spans="1:4" x14ac:dyDescent="0.25">
      <c r="B1602" s="27" t="s">
        <v>7372</v>
      </c>
      <c r="C1602" s="40"/>
      <c r="D1602" s="40"/>
    </row>
    <row r="1603" spans="1:4" x14ac:dyDescent="0.25">
      <c r="B1603" s="40" t="s">
        <v>6810</v>
      </c>
      <c r="C1603" s="40"/>
      <c r="D1603" s="40"/>
    </row>
    <row r="1604" spans="1:4" x14ac:dyDescent="0.25">
      <c r="B1604" s="40" t="s">
        <v>6811</v>
      </c>
      <c r="C1604" s="40"/>
      <c r="D1604" s="40"/>
    </row>
    <row r="1605" spans="1:4" x14ac:dyDescent="0.25">
      <c r="B1605" s="42" t="s">
        <v>6812</v>
      </c>
      <c r="C1605" s="40"/>
      <c r="D1605" s="40"/>
    </row>
    <row r="1606" spans="1:4" x14ac:dyDescent="0.25">
      <c r="B1606" s="42" t="s">
        <v>6813</v>
      </c>
      <c r="C1606" s="40"/>
      <c r="D1606" s="40"/>
    </row>
    <row r="1607" spans="1:4" x14ac:dyDescent="0.25">
      <c r="B1607" s="42" t="s">
        <v>6814</v>
      </c>
      <c r="C1607" s="40"/>
      <c r="D1607" s="40"/>
    </row>
    <row r="1608" spans="1:4" x14ac:dyDescent="0.25">
      <c r="A1608" s="41" t="str">
        <f>_xlfn.CONCAT("Sample test results are documented in ",'Sample Tables'!B1602," [",'Sample Tables'!B1603,", ",'Sample Tables'!B1604,", ",'Sample Tables'!B1605,", ",'Sample Tables'!B1606,", ",'Sample Tables'!B1607,"]."&amp;CHAR(10))</f>
        <v xml:space="preserve">Sample test results are documented in Test 146: Information System (electronic signature based upon biometric) [Population Source/Tool: , Population Date Range: , Population Size: , Sample Methodology: , Sample Size: ].
</v>
      </c>
      <c r="B1608" s="95" t="s">
        <v>6815</v>
      </c>
      <c r="C1608" s="93"/>
      <c r="D1608" s="94"/>
    </row>
    <row r="1609" spans="1:4" x14ac:dyDescent="0.25">
      <c r="B1609" s="96"/>
      <c r="C1609" s="91"/>
      <c r="D1609" s="92"/>
    </row>
    <row r="1610" spans="1:4" x14ac:dyDescent="0.25">
      <c r="B1610" s="97"/>
      <c r="C1610" s="71" t="s">
        <v>6824</v>
      </c>
      <c r="D1610" s="71" t="s">
        <v>6825</v>
      </c>
    </row>
    <row r="1611" spans="1:4" x14ac:dyDescent="0.25">
      <c r="B1611" s="72"/>
      <c r="C1611" s="71"/>
      <c r="D1611" s="73"/>
    </row>
    <row r="1613" spans="1:4" x14ac:dyDescent="0.25">
      <c r="B1613" s="27" t="s">
        <v>7373</v>
      </c>
      <c r="C1613" s="40"/>
      <c r="D1613" s="40"/>
    </row>
    <row r="1614" spans="1:4" x14ac:dyDescent="0.25">
      <c r="B1614" s="40" t="s">
        <v>6810</v>
      </c>
      <c r="C1614" s="40"/>
      <c r="D1614" s="40"/>
    </row>
    <row r="1615" spans="1:4" x14ac:dyDescent="0.25">
      <c r="B1615" s="40" t="s">
        <v>6811</v>
      </c>
      <c r="C1615" s="40"/>
      <c r="D1615" s="40"/>
    </row>
    <row r="1616" spans="1:4" x14ac:dyDescent="0.25">
      <c r="B1616" s="42" t="s">
        <v>6812</v>
      </c>
      <c r="C1616" s="40"/>
      <c r="D1616" s="40"/>
    </row>
    <row r="1617" spans="1:4" x14ac:dyDescent="0.25">
      <c r="B1617" s="42" t="s">
        <v>6813</v>
      </c>
      <c r="C1617" s="40"/>
      <c r="D1617" s="40"/>
    </row>
    <row r="1618" spans="1:4" x14ac:dyDescent="0.25">
      <c r="B1618" s="42" t="s">
        <v>6814</v>
      </c>
      <c r="C1618" s="40"/>
      <c r="D1618" s="40"/>
    </row>
    <row r="1619" spans="1:4" x14ac:dyDescent="0.25">
      <c r="A1619" s="41" t="str">
        <f>_xlfn.CONCAT("Sample test results are documented in ",'Sample Tables'!B1613," [",'Sample Tables'!B1614,", ",'Sample Tables'!B1615,", ",'Sample Tables'!B1616,", ",'Sample Tables'!B1617,", ",'Sample Tables'!B1618,"]."&amp;CHAR(10))</f>
        <v xml:space="preserve">Sample test results are documented in Test 147: Information System (encryption key) [Population Source/Tool: , Population Date Range: , Population Size: , Sample Methodology: , Sample Size: ].
</v>
      </c>
      <c r="B1619" s="95" t="s">
        <v>6815</v>
      </c>
      <c r="C1619" s="93"/>
      <c r="D1619" s="94"/>
    </row>
    <row r="1620" spans="1:4" x14ac:dyDescent="0.25">
      <c r="B1620" s="96"/>
      <c r="C1620" s="91"/>
      <c r="D1620" s="92"/>
    </row>
    <row r="1621" spans="1:4" x14ac:dyDescent="0.25">
      <c r="B1621" s="97"/>
      <c r="C1621" s="71" t="s">
        <v>6824</v>
      </c>
      <c r="D1621" s="71" t="s">
        <v>6825</v>
      </c>
    </row>
    <row r="1622" spans="1:4" x14ac:dyDescent="0.25">
      <c r="B1622" s="72"/>
      <c r="C1622" s="71"/>
      <c r="D1622" s="73"/>
    </row>
    <row r="1624" spans="1:4" x14ac:dyDescent="0.25">
      <c r="B1624" s="27" t="s">
        <v>7374</v>
      </c>
      <c r="C1624" s="40"/>
      <c r="D1624" s="40"/>
    </row>
    <row r="1625" spans="1:4" x14ac:dyDescent="0.25">
      <c r="B1625" s="40" t="s">
        <v>6810</v>
      </c>
      <c r="C1625" s="40"/>
      <c r="D1625" s="40"/>
    </row>
    <row r="1626" spans="1:4" x14ac:dyDescent="0.25">
      <c r="B1626" s="40" t="s">
        <v>6811</v>
      </c>
      <c r="C1626" s="40"/>
      <c r="D1626" s="40"/>
    </row>
    <row r="1627" spans="1:4" x14ac:dyDescent="0.25">
      <c r="B1627" s="42" t="s">
        <v>6812</v>
      </c>
      <c r="C1627" s="40"/>
      <c r="D1627" s="40"/>
    </row>
    <row r="1628" spans="1:4" x14ac:dyDescent="0.25">
      <c r="B1628" s="42" t="s">
        <v>6813</v>
      </c>
      <c r="C1628" s="40"/>
      <c r="D1628" s="40"/>
    </row>
    <row r="1629" spans="1:4" x14ac:dyDescent="0.25">
      <c r="B1629" s="42" t="s">
        <v>6814</v>
      </c>
      <c r="C1629" s="40"/>
      <c r="D1629" s="40"/>
    </row>
    <row r="1630" spans="1:4" x14ac:dyDescent="0.25">
      <c r="A1630" s="41" t="str">
        <f>_xlfn.CONCAT("Sample test results are documented in ",'Sample Tables'!B1624," [",'Sample Tables'!B1625,", ",'Sample Tables'!B1626,", ",'Sample Tables'!B1627,", ",'Sample Tables'!B1628,", ",'Sample Tables'!B1629,"]."&amp;CHAR(10))</f>
        <v xml:space="preserve">Sample test results are documented in Test 148: Information System (encryption) [Population Source/Tool: , Population Date Range: , Population Size: , Sample Methodology: , Sample Size: ].
</v>
      </c>
      <c r="B1630" s="95" t="s">
        <v>6815</v>
      </c>
      <c r="C1630" s="93"/>
      <c r="D1630" s="94"/>
    </row>
    <row r="1631" spans="1:4" x14ac:dyDescent="0.25">
      <c r="B1631" s="96"/>
      <c r="C1631" s="91"/>
      <c r="D1631" s="92"/>
    </row>
    <row r="1632" spans="1:4" x14ac:dyDescent="0.25">
      <c r="B1632" s="97"/>
      <c r="C1632" s="71" t="s">
        <v>6824</v>
      </c>
      <c r="D1632" s="71" t="s">
        <v>6825</v>
      </c>
    </row>
    <row r="1633" spans="1:58" x14ac:dyDescent="0.25">
      <c r="B1633" s="72"/>
      <c r="C1633" s="71"/>
      <c r="D1633" s="73"/>
    </row>
    <row r="1635" spans="1:58" x14ac:dyDescent="0.25">
      <c r="B1635" s="27" t="s">
        <v>7375</v>
      </c>
      <c r="C1635" s="40"/>
      <c r="D1635" s="40"/>
    </row>
    <row r="1636" spans="1:58" x14ac:dyDescent="0.25">
      <c r="B1636" s="40" t="s">
        <v>6810</v>
      </c>
      <c r="C1636" s="40"/>
      <c r="D1636" s="40"/>
    </row>
    <row r="1637" spans="1:58" x14ac:dyDescent="0.25">
      <c r="B1637" s="40" t="s">
        <v>6811</v>
      </c>
      <c r="C1637" s="40"/>
      <c r="D1637" s="40"/>
    </row>
    <row r="1638" spans="1:58" x14ac:dyDescent="0.25">
      <c r="B1638" s="42" t="s">
        <v>6812</v>
      </c>
      <c r="C1638" s="40"/>
      <c r="D1638" s="40"/>
    </row>
    <row r="1639" spans="1:58" x14ac:dyDescent="0.25">
      <c r="B1639" s="42" t="s">
        <v>6813</v>
      </c>
      <c r="C1639" s="40"/>
      <c r="D1639" s="40"/>
    </row>
    <row r="1640" spans="1:58" x14ac:dyDescent="0.25">
      <c r="B1640" s="42" t="s">
        <v>6814</v>
      </c>
      <c r="C1640" s="40"/>
      <c r="D1640" s="40"/>
    </row>
    <row r="1641" spans="1:58" ht="100" customHeight="1" x14ac:dyDescent="0.25">
      <c r="A1641" s="41" t="str">
        <f>_xlfn.CONCAT("Sample test results are documented in ",'Sample Tables'!B1635," [",'Sample Tables'!B1636,", ",'Sample Tables'!B1637,", ",'Sample Tables'!B1638,", ",'Sample Tables'!B1639,", ",'Sample Tables'!B1640,"]."&amp;CHAR(10))</f>
        <v xml:space="preserve">Sample test results are documented in Test 149: Information System (facility/secure area) [Population Source/Tool: , Population Date Range: , Population Size: , Sample Methodology: , Sample Size: ].
</v>
      </c>
      <c r="B1641" s="95" t="s">
        <v>6815</v>
      </c>
      <c r="C1641" s="93" t="s">
        <v>7376</v>
      </c>
      <c r="D1641" s="94"/>
      <c r="E1641" s="93" t="s">
        <v>7349</v>
      </c>
      <c r="F1641" s="94"/>
      <c r="G1641" s="93" t="s">
        <v>7351</v>
      </c>
      <c r="H1641" s="94"/>
      <c r="I1641" s="93" t="s">
        <v>7352</v>
      </c>
      <c r="J1641" s="94"/>
      <c r="K1641" s="93" t="s">
        <v>7377</v>
      </c>
      <c r="L1641" s="94"/>
      <c r="M1641" s="93" t="s">
        <v>7378</v>
      </c>
      <c r="N1641" s="94"/>
      <c r="O1641" s="93" t="s">
        <v>7379</v>
      </c>
      <c r="P1641" s="94"/>
      <c r="Q1641" s="93" t="s">
        <v>7379</v>
      </c>
      <c r="R1641" s="94"/>
      <c r="S1641" s="93" t="s">
        <v>7380</v>
      </c>
      <c r="T1641" s="94"/>
      <c r="U1641" s="93" t="s">
        <v>7381</v>
      </c>
      <c r="V1641" s="94"/>
      <c r="W1641" s="93" t="s">
        <v>7382</v>
      </c>
      <c r="X1641" s="94"/>
      <c r="Y1641" s="93" t="s">
        <v>7383</v>
      </c>
      <c r="Z1641" s="94"/>
      <c r="AA1641" s="93" t="s">
        <v>7384</v>
      </c>
      <c r="AB1641" s="94"/>
      <c r="AC1641" s="93" t="s">
        <v>7385</v>
      </c>
      <c r="AD1641" s="94"/>
      <c r="AE1641" s="93" t="s">
        <v>7386</v>
      </c>
      <c r="AF1641" s="94"/>
      <c r="AG1641" s="93" t="s">
        <v>7387</v>
      </c>
      <c r="AH1641" s="94"/>
      <c r="AI1641" s="93" t="s">
        <v>7388</v>
      </c>
      <c r="AJ1641" s="94"/>
      <c r="AK1641" s="93" t="s">
        <v>7389</v>
      </c>
      <c r="AL1641" s="94"/>
      <c r="AM1641" s="93" t="s">
        <v>7390</v>
      </c>
      <c r="AN1641" s="94"/>
      <c r="AO1641" s="93" t="s">
        <v>7391</v>
      </c>
      <c r="AP1641" s="94"/>
      <c r="AQ1641" s="93" t="s">
        <v>7392</v>
      </c>
      <c r="AR1641" s="94"/>
      <c r="AS1641" s="93" t="s">
        <v>7393</v>
      </c>
      <c r="AT1641" s="94"/>
      <c r="AU1641" s="93" t="s">
        <v>7379</v>
      </c>
      <c r="AV1641" s="94"/>
      <c r="AW1641" s="93" t="s">
        <v>7394</v>
      </c>
      <c r="AX1641" s="94"/>
      <c r="AY1641" s="93" t="s">
        <v>7379</v>
      </c>
      <c r="AZ1641" s="94"/>
      <c r="BA1641" s="93" t="s">
        <v>7395</v>
      </c>
      <c r="BB1641" s="94"/>
      <c r="BC1641" s="93" t="s">
        <v>7379</v>
      </c>
      <c r="BD1641" s="94"/>
      <c r="BE1641" s="93" t="s">
        <v>7395</v>
      </c>
      <c r="BF1641" s="94"/>
    </row>
    <row r="1642" spans="1:58" x14ac:dyDescent="0.25">
      <c r="B1642" s="96"/>
      <c r="C1642" s="91" t="s">
        <v>4172</v>
      </c>
      <c r="D1642" s="92"/>
      <c r="E1642" s="91" t="s">
        <v>4470</v>
      </c>
      <c r="F1642" s="92"/>
      <c r="G1642" s="91" t="s">
        <v>4470</v>
      </c>
      <c r="H1642" s="92"/>
      <c r="I1642" s="91" t="s">
        <v>4470</v>
      </c>
      <c r="J1642" s="92"/>
      <c r="K1642" s="91" t="s">
        <v>5154</v>
      </c>
      <c r="L1642" s="92"/>
      <c r="M1642" s="91" t="s">
        <v>5154</v>
      </c>
      <c r="N1642" s="92"/>
      <c r="O1642" s="91" t="s">
        <v>5347</v>
      </c>
      <c r="P1642" s="92"/>
      <c r="Q1642" s="91" t="s">
        <v>5352</v>
      </c>
      <c r="R1642" s="92"/>
      <c r="S1642" s="91" t="s">
        <v>5356</v>
      </c>
      <c r="T1642" s="92"/>
      <c r="U1642" s="91" t="s">
        <v>5356</v>
      </c>
      <c r="V1642" s="92"/>
      <c r="W1642" s="91" t="s">
        <v>5360</v>
      </c>
      <c r="X1642" s="92"/>
      <c r="Y1642" s="91" t="s">
        <v>5360</v>
      </c>
      <c r="Z1642" s="92"/>
      <c r="AA1642" s="91" t="s">
        <v>5360</v>
      </c>
      <c r="AB1642" s="92"/>
      <c r="AC1642" s="91" t="s">
        <v>5385</v>
      </c>
      <c r="AD1642" s="92"/>
      <c r="AE1642" s="91" t="s">
        <v>5407</v>
      </c>
      <c r="AF1642" s="92"/>
      <c r="AG1642" s="91" t="s">
        <v>5407</v>
      </c>
      <c r="AH1642" s="92"/>
      <c r="AI1642" s="91" t="s">
        <v>5407</v>
      </c>
      <c r="AJ1642" s="92"/>
      <c r="AK1642" s="91" t="s">
        <v>5438</v>
      </c>
      <c r="AL1642" s="92"/>
      <c r="AM1642" s="91" t="s">
        <v>5467</v>
      </c>
      <c r="AN1642" s="92"/>
      <c r="AO1642" s="91" t="s">
        <v>5467</v>
      </c>
      <c r="AP1642" s="92"/>
      <c r="AQ1642" s="91" t="s">
        <v>5478</v>
      </c>
      <c r="AR1642" s="92"/>
      <c r="AS1642" s="91" t="s">
        <v>5478</v>
      </c>
      <c r="AT1642" s="92"/>
      <c r="AU1642" s="91" t="s">
        <v>5548</v>
      </c>
      <c r="AV1642" s="92"/>
      <c r="AW1642" s="91" t="s">
        <v>5548</v>
      </c>
      <c r="AX1642" s="92"/>
      <c r="AY1642" s="91" t="s">
        <v>5553</v>
      </c>
      <c r="AZ1642" s="92"/>
      <c r="BA1642" s="91" t="s">
        <v>5553</v>
      </c>
      <c r="BB1642" s="92"/>
      <c r="BC1642" s="91" t="s">
        <v>5308</v>
      </c>
      <c r="BD1642" s="92"/>
      <c r="BE1642" s="91" t="s">
        <v>5308</v>
      </c>
      <c r="BF1642" s="92"/>
    </row>
    <row r="1643" spans="1:58" x14ac:dyDescent="0.25">
      <c r="B1643" s="97"/>
      <c r="C1643" s="71" t="s">
        <v>6824</v>
      </c>
      <c r="D1643" s="71" t="s">
        <v>6825</v>
      </c>
      <c r="E1643" s="71" t="s">
        <v>6824</v>
      </c>
      <c r="F1643" s="71" t="s">
        <v>6825</v>
      </c>
      <c r="G1643" s="71" t="s">
        <v>6824</v>
      </c>
      <c r="H1643" s="71" t="s">
        <v>6825</v>
      </c>
      <c r="I1643" s="71" t="s">
        <v>6824</v>
      </c>
      <c r="J1643" s="71" t="s">
        <v>6825</v>
      </c>
      <c r="K1643" s="71" t="s">
        <v>6824</v>
      </c>
      <c r="L1643" s="71" t="s">
        <v>6825</v>
      </c>
      <c r="M1643" s="71" t="s">
        <v>6824</v>
      </c>
      <c r="N1643" s="71" t="s">
        <v>6825</v>
      </c>
      <c r="O1643" s="71" t="s">
        <v>6824</v>
      </c>
      <c r="P1643" s="71" t="s">
        <v>6825</v>
      </c>
      <c r="Q1643" s="71" t="s">
        <v>6824</v>
      </c>
      <c r="R1643" s="71" t="s">
        <v>6825</v>
      </c>
      <c r="S1643" s="71" t="s">
        <v>6824</v>
      </c>
      <c r="T1643" s="71" t="s">
        <v>6825</v>
      </c>
      <c r="U1643" s="71" t="s">
        <v>6824</v>
      </c>
      <c r="V1643" s="71" t="s">
        <v>6825</v>
      </c>
      <c r="W1643" s="71" t="s">
        <v>6824</v>
      </c>
      <c r="X1643" s="71" t="s">
        <v>6825</v>
      </c>
      <c r="Y1643" s="71" t="s">
        <v>6824</v>
      </c>
      <c r="Z1643" s="71" t="s">
        <v>6825</v>
      </c>
      <c r="AA1643" s="71" t="s">
        <v>6824</v>
      </c>
      <c r="AB1643" s="71" t="s">
        <v>6825</v>
      </c>
      <c r="AC1643" s="71" t="s">
        <v>6824</v>
      </c>
      <c r="AD1643" s="71" t="s">
        <v>6825</v>
      </c>
      <c r="AE1643" s="71" t="s">
        <v>6824</v>
      </c>
      <c r="AF1643" s="71" t="s">
        <v>6825</v>
      </c>
      <c r="AG1643" s="71" t="s">
        <v>6824</v>
      </c>
      <c r="AH1643" s="71" t="s">
        <v>6825</v>
      </c>
      <c r="AI1643" s="71" t="s">
        <v>6824</v>
      </c>
      <c r="AJ1643" s="71" t="s">
        <v>6825</v>
      </c>
      <c r="AK1643" s="71" t="s">
        <v>6824</v>
      </c>
      <c r="AL1643" s="71" t="s">
        <v>6825</v>
      </c>
      <c r="AM1643" s="71" t="s">
        <v>6824</v>
      </c>
      <c r="AN1643" s="71" t="s">
        <v>6825</v>
      </c>
      <c r="AO1643" s="71" t="s">
        <v>6824</v>
      </c>
      <c r="AP1643" s="71" t="s">
        <v>6825</v>
      </c>
      <c r="AQ1643" s="71" t="s">
        <v>6824</v>
      </c>
      <c r="AR1643" s="71" t="s">
        <v>6825</v>
      </c>
      <c r="AS1643" s="71" t="s">
        <v>6824</v>
      </c>
      <c r="AT1643" s="71" t="s">
        <v>6825</v>
      </c>
      <c r="AU1643" s="71" t="s">
        <v>6824</v>
      </c>
      <c r="AV1643" s="71" t="s">
        <v>6825</v>
      </c>
      <c r="AW1643" s="71" t="s">
        <v>6824</v>
      </c>
      <c r="AX1643" s="71" t="s">
        <v>6825</v>
      </c>
      <c r="AY1643" s="71" t="s">
        <v>6824</v>
      </c>
      <c r="AZ1643" s="71" t="s">
        <v>6825</v>
      </c>
      <c r="BA1643" s="71" t="s">
        <v>6824</v>
      </c>
      <c r="BB1643" s="71" t="s">
        <v>6825</v>
      </c>
      <c r="BC1643" s="71" t="s">
        <v>6824</v>
      </c>
      <c r="BD1643" s="71" t="s">
        <v>6825</v>
      </c>
      <c r="BE1643" s="71" t="s">
        <v>6824</v>
      </c>
      <c r="BF1643" s="71" t="s">
        <v>6825</v>
      </c>
    </row>
    <row r="1644" spans="1:58" x14ac:dyDescent="0.25">
      <c r="B1644" s="72"/>
      <c r="C1644" s="71"/>
      <c r="D1644" s="73"/>
      <c r="E1644" s="71"/>
      <c r="F1644" s="73"/>
      <c r="G1644" s="71"/>
      <c r="H1644" s="73"/>
      <c r="I1644" s="71"/>
      <c r="J1644" s="73"/>
      <c r="K1644" s="71"/>
      <c r="L1644" s="73"/>
      <c r="M1644" s="71"/>
      <c r="N1644" s="73"/>
      <c r="O1644" s="71"/>
      <c r="P1644" s="73"/>
      <c r="Q1644" s="71"/>
      <c r="R1644" s="73"/>
      <c r="S1644" s="71"/>
      <c r="T1644" s="73"/>
      <c r="U1644" s="71"/>
      <c r="V1644" s="73"/>
      <c r="W1644" s="71"/>
      <c r="X1644" s="73"/>
      <c r="Y1644" s="71"/>
      <c r="Z1644" s="73"/>
      <c r="AA1644" s="71"/>
      <c r="AB1644" s="73"/>
      <c r="AC1644" s="71"/>
      <c r="AD1644" s="73"/>
      <c r="AE1644" s="71"/>
      <c r="AF1644" s="73"/>
      <c r="AG1644" s="71"/>
      <c r="AH1644" s="73"/>
      <c r="AI1644" s="71"/>
      <c r="AJ1644" s="73"/>
      <c r="AK1644" s="71"/>
      <c r="AL1644" s="73"/>
      <c r="AM1644" s="71"/>
      <c r="AN1644" s="73"/>
      <c r="AO1644" s="71"/>
      <c r="AP1644" s="73"/>
      <c r="AQ1644" s="71"/>
      <c r="AR1644" s="73"/>
      <c r="AS1644" s="71"/>
      <c r="AT1644" s="73"/>
      <c r="AU1644" s="71"/>
      <c r="AV1644" s="73"/>
      <c r="AW1644" s="71"/>
      <c r="AX1644" s="73"/>
      <c r="AY1644" s="71"/>
      <c r="AZ1644" s="73"/>
      <c r="BA1644" s="71"/>
      <c r="BB1644" s="73"/>
      <c r="BC1644" s="71"/>
      <c r="BD1644" s="73"/>
      <c r="BE1644" s="71"/>
      <c r="BF1644" s="73"/>
    </row>
    <row r="1646" spans="1:58" x14ac:dyDescent="0.25">
      <c r="B1646" s="27" t="s">
        <v>7396</v>
      </c>
      <c r="C1646" s="40"/>
      <c r="D1646" s="40"/>
    </row>
    <row r="1647" spans="1:58" x14ac:dyDescent="0.25">
      <c r="B1647" s="40" t="s">
        <v>6810</v>
      </c>
      <c r="C1647" s="40"/>
      <c r="D1647" s="40"/>
    </row>
    <row r="1648" spans="1:58" x14ac:dyDescent="0.25">
      <c r="B1648" s="40" t="s">
        <v>6811</v>
      </c>
      <c r="C1648" s="40"/>
      <c r="D1648" s="40"/>
    </row>
    <row r="1649" spans="1:90" x14ac:dyDescent="0.25">
      <c r="B1649" s="42" t="s">
        <v>6812</v>
      </c>
      <c r="C1649" s="40"/>
      <c r="D1649" s="40"/>
    </row>
    <row r="1650" spans="1:90" x14ac:dyDescent="0.25">
      <c r="B1650" s="42" t="s">
        <v>6813</v>
      </c>
      <c r="C1650" s="40"/>
      <c r="D1650" s="40"/>
    </row>
    <row r="1651" spans="1:90" x14ac:dyDescent="0.25">
      <c r="B1651" s="42" t="s">
        <v>6814</v>
      </c>
      <c r="C1651" s="40"/>
      <c r="D1651" s="40"/>
    </row>
    <row r="1652" spans="1:90" ht="100" customHeight="1" x14ac:dyDescent="0.25">
      <c r="A1652" s="41" t="str">
        <f>_xlfn.CONCAT("Sample test results are documented in ",'Sample Tables'!B1646," [",'Sample Tables'!B1647,", ",'Sample Tables'!B1648,", ",'Sample Tables'!B1649,", ",'Sample Tables'!B1650,", ",'Sample Tables'!B1651,"]."&amp;CHAR(10))</f>
        <v xml:space="preserve">Sample test results are documented in Test 150: Information System (logging &amp; monitoring sub-system) [Population Source/Tool: , Population Date Range: , Population Size: , Sample Methodology: , Sample Size: ].
</v>
      </c>
      <c r="B1652" s="95" t="s">
        <v>6815</v>
      </c>
      <c r="C1652" s="93" t="s">
        <v>7397</v>
      </c>
      <c r="D1652" s="94"/>
      <c r="E1652" s="93" t="s">
        <v>7398</v>
      </c>
      <c r="F1652" s="94"/>
      <c r="G1652" s="93" t="s">
        <v>7399</v>
      </c>
      <c r="H1652" s="94"/>
      <c r="I1652" s="93" t="s">
        <v>7400</v>
      </c>
      <c r="J1652" s="94"/>
      <c r="K1652" s="93" t="s">
        <v>7401</v>
      </c>
      <c r="L1652" s="94"/>
      <c r="M1652" s="93" t="s">
        <v>7402</v>
      </c>
      <c r="N1652" s="94"/>
      <c r="O1652" s="93" t="s">
        <v>7403</v>
      </c>
      <c r="P1652" s="94"/>
      <c r="Q1652" s="93" t="s">
        <v>7404</v>
      </c>
      <c r="R1652" s="94"/>
      <c r="S1652" s="93" t="s">
        <v>7405</v>
      </c>
      <c r="T1652" s="94"/>
      <c r="U1652" s="93" t="s">
        <v>7406</v>
      </c>
      <c r="V1652" s="94"/>
      <c r="W1652" s="93" t="s">
        <v>7407</v>
      </c>
      <c r="X1652" s="94"/>
      <c r="Y1652" s="93" t="s">
        <v>7408</v>
      </c>
      <c r="Z1652" s="94"/>
      <c r="AA1652" s="93" t="s">
        <v>7409</v>
      </c>
      <c r="AB1652" s="94"/>
      <c r="AC1652" s="93" t="s">
        <v>7410</v>
      </c>
      <c r="AD1652" s="94"/>
      <c r="AE1652" s="93" t="s">
        <v>7411</v>
      </c>
      <c r="AF1652" s="94"/>
      <c r="AG1652" s="93" t="s">
        <v>7412</v>
      </c>
      <c r="AH1652" s="94"/>
      <c r="AI1652" s="93" t="s">
        <v>7413</v>
      </c>
      <c r="AJ1652" s="94"/>
      <c r="AK1652" s="93" t="s">
        <v>7414</v>
      </c>
      <c r="AL1652" s="94"/>
      <c r="AM1652" s="93" t="s">
        <v>7415</v>
      </c>
      <c r="AN1652" s="94"/>
      <c r="AO1652" s="93" t="s">
        <v>7416</v>
      </c>
      <c r="AP1652" s="94"/>
      <c r="AQ1652" s="93" t="s">
        <v>7417</v>
      </c>
      <c r="AR1652" s="94"/>
      <c r="AS1652" s="93" t="s">
        <v>7418</v>
      </c>
      <c r="AT1652" s="94"/>
      <c r="AU1652" s="93" t="s">
        <v>7419</v>
      </c>
      <c r="AV1652" s="94"/>
      <c r="AW1652" s="93" t="s">
        <v>7420</v>
      </c>
      <c r="AX1652" s="94"/>
      <c r="AY1652" s="93" t="s">
        <v>7421</v>
      </c>
      <c r="AZ1652" s="94"/>
      <c r="BA1652" s="93" t="s">
        <v>7422</v>
      </c>
      <c r="BB1652" s="94"/>
      <c r="BC1652" s="93" t="s">
        <v>7423</v>
      </c>
      <c r="BD1652" s="94"/>
      <c r="BE1652" s="93" t="s">
        <v>7424</v>
      </c>
      <c r="BF1652" s="94"/>
      <c r="BG1652" s="93" t="s">
        <v>7425</v>
      </c>
      <c r="BH1652" s="94"/>
      <c r="BI1652" s="93" t="s">
        <v>7426</v>
      </c>
      <c r="BJ1652" s="94"/>
      <c r="BK1652" s="93" t="s">
        <v>7427</v>
      </c>
      <c r="BL1652" s="94"/>
      <c r="BM1652" s="93" t="s">
        <v>7428</v>
      </c>
      <c r="BN1652" s="94"/>
      <c r="BO1652" s="93" t="s">
        <v>7429</v>
      </c>
      <c r="BP1652" s="94"/>
      <c r="BQ1652" s="93" t="s">
        <v>7430</v>
      </c>
      <c r="BR1652" s="94"/>
      <c r="BS1652" s="93" t="s">
        <v>7431</v>
      </c>
      <c r="BT1652" s="94"/>
      <c r="BU1652" s="93" t="s">
        <v>7432</v>
      </c>
      <c r="BV1652" s="94"/>
      <c r="BW1652" s="93" t="s">
        <v>7433</v>
      </c>
      <c r="BX1652" s="94"/>
      <c r="BY1652" s="93" t="s">
        <v>7434</v>
      </c>
      <c r="BZ1652" s="94"/>
      <c r="CA1652" s="93" t="s">
        <v>7435</v>
      </c>
      <c r="CB1652" s="94"/>
      <c r="CC1652" s="93" t="s">
        <v>7436</v>
      </c>
      <c r="CD1652" s="94"/>
      <c r="CE1652" s="93" t="s">
        <v>7437</v>
      </c>
      <c r="CF1652" s="94"/>
      <c r="CG1652" s="93" t="s">
        <v>7438</v>
      </c>
      <c r="CH1652" s="94"/>
      <c r="CI1652" s="93" t="s">
        <v>7439</v>
      </c>
      <c r="CJ1652" s="94"/>
      <c r="CK1652" s="93" t="s">
        <v>7440</v>
      </c>
      <c r="CL1652" s="94"/>
    </row>
    <row r="1653" spans="1:90" x14ac:dyDescent="0.25">
      <c r="B1653" s="96"/>
      <c r="C1653" s="91" t="s">
        <v>3365</v>
      </c>
      <c r="D1653" s="92"/>
      <c r="E1653" s="91" t="s">
        <v>3365</v>
      </c>
      <c r="F1653" s="92"/>
      <c r="G1653" s="91" t="s">
        <v>3365</v>
      </c>
      <c r="H1653" s="92"/>
      <c r="I1653" s="91" t="s">
        <v>3365</v>
      </c>
      <c r="J1653" s="92"/>
      <c r="K1653" s="91" t="s">
        <v>3368</v>
      </c>
      <c r="L1653" s="92"/>
      <c r="M1653" s="91" t="s">
        <v>3368</v>
      </c>
      <c r="N1653" s="92"/>
      <c r="O1653" s="91" t="s">
        <v>3368</v>
      </c>
      <c r="P1653" s="92"/>
      <c r="Q1653" s="91" t="s">
        <v>3370</v>
      </c>
      <c r="R1653" s="92"/>
      <c r="S1653" s="91" t="s">
        <v>3370</v>
      </c>
      <c r="T1653" s="92"/>
      <c r="U1653" s="91" t="s">
        <v>3370</v>
      </c>
      <c r="V1653" s="92"/>
      <c r="W1653" s="91" t="s">
        <v>3370</v>
      </c>
      <c r="X1653" s="92"/>
      <c r="Y1653" s="91" t="s">
        <v>3370</v>
      </c>
      <c r="Z1653" s="92"/>
      <c r="AA1653" s="91" t="s">
        <v>3370</v>
      </c>
      <c r="AB1653" s="92"/>
      <c r="AC1653" s="91" t="s">
        <v>3370</v>
      </c>
      <c r="AD1653" s="92"/>
      <c r="AE1653" s="91" t="s">
        <v>3370</v>
      </c>
      <c r="AF1653" s="92"/>
      <c r="AG1653" s="91" t="s">
        <v>3370</v>
      </c>
      <c r="AH1653" s="92"/>
      <c r="AI1653" s="91" t="s">
        <v>3370</v>
      </c>
      <c r="AJ1653" s="92"/>
      <c r="AK1653" s="91" t="s">
        <v>3374</v>
      </c>
      <c r="AL1653" s="92"/>
      <c r="AM1653" s="91" t="s">
        <v>3374</v>
      </c>
      <c r="AN1653" s="92"/>
      <c r="AO1653" s="91" t="s">
        <v>3374</v>
      </c>
      <c r="AP1653" s="92"/>
      <c r="AQ1653" s="91" t="s">
        <v>3374</v>
      </c>
      <c r="AR1653" s="92"/>
      <c r="AS1653" s="91" t="s">
        <v>3374</v>
      </c>
      <c r="AT1653" s="92"/>
      <c r="AU1653" s="91" t="s">
        <v>3374</v>
      </c>
      <c r="AV1653" s="92"/>
      <c r="AW1653" s="91" t="s">
        <v>3374</v>
      </c>
      <c r="AX1653" s="92"/>
      <c r="AY1653" s="91" t="s">
        <v>3374</v>
      </c>
      <c r="AZ1653" s="92"/>
      <c r="BA1653" s="91" t="s">
        <v>3374</v>
      </c>
      <c r="BB1653" s="92"/>
      <c r="BC1653" s="91" t="s">
        <v>3374</v>
      </c>
      <c r="BD1653" s="92"/>
      <c r="BE1653" s="91" t="s">
        <v>3374</v>
      </c>
      <c r="BF1653" s="92"/>
      <c r="BG1653" s="91" t="s">
        <v>3376</v>
      </c>
      <c r="BH1653" s="92"/>
      <c r="BI1653" s="91" t="s">
        <v>3376</v>
      </c>
      <c r="BJ1653" s="92"/>
      <c r="BK1653" s="91" t="s">
        <v>3376</v>
      </c>
      <c r="BL1653" s="92"/>
      <c r="BM1653" s="91" t="s">
        <v>3410</v>
      </c>
      <c r="BN1653" s="92"/>
      <c r="BO1653" s="91" t="s">
        <v>3410</v>
      </c>
      <c r="BP1653" s="92"/>
      <c r="BQ1653" s="91" t="s">
        <v>3412</v>
      </c>
      <c r="BR1653" s="92"/>
      <c r="BS1653" s="91" t="s">
        <v>3412</v>
      </c>
      <c r="BT1653" s="92"/>
      <c r="BU1653" s="91" t="s">
        <v>3412</v>
      </c>
      <c r="BV1653" s="92"/>
      <c r="BW1653" s="91" t="s">
        <v>3412</v>
      </c>
      <c r="BX1653" s="92"/>
      <c r="BY1653" s="91" t="s">
        <v>3451</v>
      </c>
      <c r="BZ1653" s="92"/>
      <c r="CA1653" s="91" t="s">
        <v>3465</v>
      </c>
      <c r="CB1653" s="92"/>
      <c r="CC1653" s="91" t="s">
        <v>3557</v>
      </c>
      <c r="CD1653" s="92"/>
      <c r="CE1653" s="91" t="s">
        <v>3557</v>
      </c>
      <c r="CF1653" s="92"/>
      <c r="CG1653" s="91" t="s">
        <v>3562</v>
      </c>
      <c r="CH1653" s="92"/>
      <c r="CI1653" s="91" t="s">
        <v>3562</v>
      </c>
      <c r="CJ1653" s="92"/>
      <c r="CK1653" s="91" t="s">
        <v>3566</v>
      </c>
      <c r="CL1653" s="92"/>
    </row>
    <row r="1654" spans="1:90" x14ac:dyDescent="0.25">
      <c r="B1654" s="97"/>
      <c r="C1654" s="71" t="s">
        <v>6824</v>
      </c>
      <c r="D1654" s="71" t="s">
        <v>6825</v>
      </c>
      <c r="E1654" s="71" t="s">
        <v>6824</v>
      </c>
      <c r="F1654" s="71" t="s">
        <v>6825</v>
      </c>
      <c r="G1654" s="71" t="s">
        <v>6824</v>
      </c>
      <c r="H1654" s="71" t="s">
        <v>6825</v>
      </c>
      <c r="I1654" s="71" t="s">
        <v>6824</v>
      </c>
      <c r="J1654" s="71" t="s">
        <v>6825</v>
      </c>
      <c r="K1654" s="71" t="s">
        <v>6824</v>
      </c>
      <c r="L1654" s="71" t="s">
        <v>6825</v>
      </c>
      <c r="M1654" s="71" t="s">
        <v>6824</v>
      </c>
      <c r="N1654" s="71" t="s">
        <v>6825</v>
      </c>
      <c r="O1654" s="71" t="s">
        <v>6824</v>
      </c>
      <c r="P1654" s="71" t="s">
        <v>6825</v>
      </c>
      <c r="Q1654" s="71" t="s">
        <v>6824</v>
      </c>
      <c r="R1654" s="71" t="s">
        <v>6825</v>
      </c>
      <c r="S1654" s="71" t="s">
        <v>6824</v>
      </c>
      <c r="T1654" s="71" t="s">
        <v>6825</v>
      </c>
      <c r="U1654" s="71" t="s">
        <v>6824</v>
      </c>
      <c r="V1654" s="71" t="s">
        <v>6825</v>
      </c>
      <c r="W1654" s="71" t="s">
        <v>6824</v>
      </c>
      <c r="X1654" s="71" t="s">
        <v>6825</v>
      </c>
      <c r="Y1654" s="71" t="s">
        <v>6824</v>
      </c>
      <c r="Z1654" s="71" t="s">
        <v>6825</v>
      </c>
      <c r="AA1654" s="71" t="s">
        <v>6824</v>
      </c>
      <c r="AB1654" s="71" t="s">
        <v>6825</v>
      </c>
      <c r="AC1654" s="71" t="s">
        <v>6824</v>
      </c>
      <c r="AD1654" s="71" t="s">
        <v>6825</v>
      </c>
      <c r="AE1654" s="71" t="s">
        <v>6824</v>
      </c>
      <c r="AF1654" s="71" t="s">
        <v>6825</v>
      </c>
      <c r="AG1654" s="71" t="s">
        <v>6824</v>
      </c>
      <c r="AH1654" s="71" t="s">
        <v>6825</v>
      </c>
      <c r="AI1654" s="71" t="s">
        <v>6824</v>
      </c>
      <c r="AJ1654" s="71" t="s">
        <v>6825</v>
      </c>
      <c r="AK1654" s="71" t="s">
        <v>6824</v>
      </c>
      <c r="AL1654" s="71" t="s">
        <v>6825</v>
      </c>
      <c r="AM1654" s="71" t="s">
        <v>6824</v>
      </c>
      <c r="AN1654" s="71" t="s">
        <v>6825</v>
      </c>
      <c r="AO1654" s="71" t="s">
        <v>6824</v>
      </c>
      <c r="AP1654" s="71" t="s">
        <v>6825</v>
      </c>
      <c r="AQ1654" s="71" t="s">
        <v>6824</v>
      </c>
      <c r="AR1654" s="71" t="s">
        <v>6825</v>
      </c>
      <c r="AS1654" s="71" t="s">
        <v>6824</v>
      </c>
      <c r="AT1654" s="71" t="s">
        <v>6825</v>
      </c>
      <c r="AU1654" s="71" t="s">
        <v>6824</v>
      </c>
      <c r="AV1654" s="71" t="s">
        <v>6825</v>
      </c>
      <c r="AW1654" s="71" t="s">
        <v>6824</v>
      </c>
      <c r="AX1654" s="71" t="s">
        <v>6825</v>
      </c>
      <c r="AY1654" s="71" t="s">
        <v>6824</v>
      </c>
      <c r="AZ1654" s="71" t="s">
        <v>6825</v>
      </c>
      <c r="BA1654" s="71" t="s">
        <v>6824</v>
      </c>
      <c r="BB1654" s="71" t="s">
        <v>6825</v>
      </c>
      <c r="BC1654" s="71" t="s">
        <v>6824</v>
      </c>
      <c r="BD1654" s="71" t="s">
        <v>6825</v>
      </c>
      <c r="BE1654" s="71" t="s">
        <v>6824</v>
      </c>
      <c r="BF1654" s="71" t="s">
        <v>6825</v>
      </c>
      <c r="BG1654" s="71" t="s">
        <v>6824</v>
      </c>
      <c r="BH1654" s="71" t="s">
        <v>6825</v>
      </c>
      <c r="BI1654" s="71" t="s">
        <v>6824</v>
      </c>
      <c r="BJ1654" s="71" t="s">
        <v>6825</v>
      </c>
      <c r="BK1654" s="71" t="s">
        <v>6824</v>
      </c>
      <c r="BL1654" s="71" t="s">
        <v>6825</v>
      </c>
      <c r="BM1654" s="71" t="s">
        <v>6824</v>
      </c>
      <c r="BN1654" s="71" t="s">
        <v>6825</v>
      </c>
      <c r="BO1654" s="71" t="s">
        <v>6824</v>
      </c>
      <c r="BP1654" s="71" t="s">
        <v>6825</v>
      </c>
      <c r="BQ1654" s="71" t="s">
        <v>6824</v>
      </c>
      <c r="BR1654" s="71" t="s">
        <v>6825</v>
      </c>
      <c r="BS1654" s="71" t="s">
        <v>6824</v>
      </c>
      <c r="BT1654" s="71" t="s">
        <v>6825</v>
      </c>
      <c r="BU1654" s="71" t="s">
        <v>6824</v>
      </c>
      <c r="BV1654" s="71" t="s">
        <v>6825</v>
      </c>
      <c r="BW1654" s="71" t="s">
        <v>6824</v>
      </c>
      <c r="BX1654" s="71" t="s">
        <v>6825</v>
      </c>
      <c r="BY1654" s="71" t="s">
        <v>6824</v>
      </c>
      <c r="BZ1654" s="71" t="s">
        <v>6825</v>
      </c>
      <c r="CA1654" s="71" t="s">
        <v>6824</v>
      </c>
      <c r="CB1654" s="71" t="s">
        <v>6825</v>
      </c>
      <c r="CC1654" s="71" t="s">
        <v>6824</v>
      </c>
      <c r="CD1654" s="71" t="s">
        <v>6825</v>
      </c>
      <c r="CE1654" s="71" t="s">
        <v>6824</v>
      </c>
      <c r="CF1654" s="71" t="s">
        <v>6825</v>
      </c>
      <c r="CG1654" s="71" t="s">
        <v>6824</v>
      </c>
      <c r="CH1654" s="71" t="s">
        <v>6825</v>
      </c>
      <c r="CI1654" s="71" t="s">
        <v>6824</v>
      </c>
      <c r="CJ1654" s="71" t="s">
        <v>6825</v>
      </c>
      <c r="CK1654" s="71" t="s">
        <v>6824</v>
      </c>
      <c r="CL1654" s="71" t="s">
        <v>6825</v>
      </c>
    </row>
    <row r="1655" spans="1:90" x14ac:dyDescent="0.25">
      <c r="B1655" s="72"/>
      <c r="C1655" s="71"/>
      <c r="D1655" s="73"/>
      <c r="E1655" s="71"/>
      <c r="F1655" s="73"/>
      <c r="G1655" s="71"/>
      <c r="H1655" s="73"/>
      <c r="I1655" s="71"/>
      <c r="J1655" s="73"/>
      <c r="K1655" s="71"/>
      <c r="L1655" s="73"/>
      <c r="M1655" s="71"/>
      <c r="N1655" s="73"/>
      <c r="O1655" s="71"/>
      <c r="P1655" s="73"/>
      <c r="Q1655" s="71"/>
      <c r="R1655" s="73"/>
      <c r="S1655" s="71"/>
      <c r="T1655" s="73"/>
      <c r="U1655" s="71"/>
      <c r="V1655" s="73"/>
      <c r="W1655" s="71"/>
      <c r="X1655" s="73"/>
      <c r="Y1655" s="71"/>
      <c r="Z1655" s="73"/>
      <c r="AA1655" s="71"/>
      <c r="AB1655" s="73"/>
      <c r="AC1655" s="71"/>
      <c r="AD1655" s="73"/>
      <c r="AE1655" s="71"/>
      <c r="AF1655" s="73"/>
      <c r="AG1655" s="71"/>
      <c r="AH1655" s="73"/>
      <c r="AI1655" s="71"/>
      <c r="AJ1655" s="73"/>
      <c r="AK1655" s="71"/>
      <c r="AL1655" s="73"/>
      <c r="AM1655" s="71"/>
      <c r="AN1655" s="73"/>
      <c r="AO1655" s="71"/>
      <c r="AP1655" s="73"/>
      <c r="AQ1655" s="71"/>
      <c r="AR1655" s="73"/>
      <c r="AS1655" s="71"/>
      <c r="AT1655" s="73"/>
      <c r="AU1655" s="71"/>
      <c r="AV1655" s="73"/>
      <c r="AW1655" s="71"/>
      <c r="AX1655" s="73"/>
      <c r="AY1655" s="71"/>
      <c r="AZ1655" s="73"/>
      <c r="BA1655" s="71"/>
      <c r="BB1655" s="73"/>
      <c r="BC1655" s="71"/>
      <c r="BD1655" s="73"/>
      <c r="BE1655" s="71"/>
      <c r="BF1655" s="73"/>
      <c r="BG1655" s="71"/>
      <c r="BH1655" s="73"/>
      <c r="BI1655" s="71"/>
      <c r="BJ1655" s="73"/>
      <c r="BK1655" s="71"/>
      <c r="BL1655" s="73"/>
      <c r="BM1655" s="71"/>
      <c r="BN1655" s="73"/>
      <c r="BO1655" s="71"/>
      <c r="BP1655" s="73"/>
      <c r="BQ1655" s="71"/>
      <c r="BR1655" s="73"/>
      <c r="BS1655" s="71"/>
      <c r="BT1655" s="73"/>
      <c r="BU1655" s="71"/>
      <c r="BV1655" s="73"/>
      <c r="BW1655" s="71"/>
      <c r="BX1655" s="73"/>
      <c r="BY1655" s="71"/>
      <c r="BZ1655" s="73"/>
      <c r="CA1655" s="71"/>
      <c r="CB1655" s="73"/>
      <c r="CC1655" s="71"/>
      <c r="CD1655" s="73"/>
      <c r="CE1655" s="71"/>
      <c r="CF1655" s="73"/>
      <c r="CG1655" s="71"/>
      <c r="CH1655" s="73"/>
      <c r="CI1655" s="71"/>
      <c r="CJ1655" s="73"/>
      <c r="CK1655" s="71"/>
      <c r="CL1655" s="73"/>
    </row>
    <row r="1657" spans="1:90" x14ac:dyDescent="0.25">
      <c r="B1657" s="27" t="s">
        <v>7441</v>
      </c>
      <c r="C1657" s="40"/>
      <c r="D1657" s="40"/>
    </row>
    <row r="1658" spans="1:90" x14ac:dyDescent="0.25">
      <c r="B1658" s="40" t="s">
        <v>6810</v>
      </c>
      <c r="C1658" s="40"/>
      <c r="D1658" s="40"/>
    </row>
    <row r="1659" spans="1:90" x14ac:dyDescent="0.25">
      <c r="B1659" s="40" t="s">
        <v>6811</v>
      </c>
      <c r="C1659" s="40"/>
      <c r="D1659" s="40"/>
    </row>
    <row r="1660" spans="1:90" x14ac:dyDescent="0.25">
      <c r="B1660" s="42" t="s">
        <v>6812</v>
      </c>
      <c r="C1660" s="40"/>
      <c r="D1660" s="40"/>
    </row>
    <row r="1661" spans="1:90" x14ac:dyDescent="0.25">
      <c r="B1661" s="42" t="s">
        <v>6813</v>
      </c>
      <c r="C1661" s="40"/>
      <c r="D1661" s="40"/>
    </row>
    <row r="1662" spans="1:90" x14ac:dyDescent="0.25">
      <c r="B1662" s="42" t="s">
        <v>6814</v>
      </c>
      <c r="C1662" s="40"/>
      <c r="D1662" s="40"/>
    </row>
    <row r="1663" spans="1:90" x14ac:dyDescent="0.25">
      <c r="A1663" s="41" t="str">
        <f>_xlfn.CONCAT("Sample test results are documented in ",'Sample Tables'!B1657," [",'Sample Tables'!B1658,", ",'Sample Tables'!B1659,", ",'Sample Tables'!B1660,", ",'Sample Tables'!B1661,", ",'Sample Tables'!B1662,"]."&amp;CHAR(10))</f>
        <v xml:space="preserve">Sample test results are documented in Test 151: Information System (new CMS) [Population Source/Tool: , Population Date Range: , Population Size: , Sample Methodology: , Sample Size: ].
</v>
      </c>
      <c r="B1663" s="95" t="s">
        <v>6815</v>
      </c>
      <c r="C1663" s="93"/>
      <c r="D1663" s="94"/>
    </row>
    <row r="1664" spans="1:90" x14ac:dyDescent="0.25">
      <c r="B1664" s="96"/>
      <c r="C1664" s="91"/>
      <c r="D1664" s="92"/>
    </row>
    <row r="1665" spans="1:4" x14ac:dyDescent="0.25">
      <c r="B1665" s="97"/>
      <c r="C1665" s="71" t="s">
        <v>6824</v>
      </c>
      <c r="D1665" s="71" t="s">
        <v>6825</v>
      </c>
    </row>
    <row r="1666" spans="1:4" x14ac:dyDescent="0.25">
      <c r="B1666" s="72"/>
      <c r="C1666" s="71"/>
      <c r="D1666" s="73"/>
    </row>
    <row r="1668" spans="1:4" x14ac:dyDescent="0.25">
      <c r="B1668" s="27" t="s">
        <v>7442</v>
      </c>
      <c r="C1668" s="40"/>
      <c r="D1668" s="40"/>
    </row>
    <row r="1669" spans="1:4" x14ac:dyDescent="0.25">
      <c r="B1669" s="40" t="s">
        <v>6810</v>
      </c>
      <c r="C1669" s="40"/>
      <c r="D1669" s="40"/>
    </row>
    <row r="1670" spans="1:4" x14ac:dyDescent="0.25">
      <c r="B1670" s="40" t="s">
        <v>6811</v>
      </c>
      <c r="C1670" s="40"/>
      <c r="D1670" s="40"/>
    </row>
    <row r="1671" spans="1:4" x14ac:dyDescent="0.25">
      <c r="B1671" s="42" t="s">
        <v>6812</v>
      </c>
      <c r="C1671" s="40"/>
      <c r="D1671" s="40"/>
    </row>
    <row r="1672" spans="1:4" x14ac:dyDescent="0.25">
      <c r="B1672" s="42" t="s">
        <v>6813</v>
      </c>
      <c r="C1672" s="40"/>
      <c r="D1672" s="40"/>
    </row>
    <row r="1673" spans="1:4" x14ac:dyDescent="0.25">
      <c r="B1673" s="42" t="s">
        <v>6814</v>
      </c>
      <c r="C1673" s="40"/>
      <c r="D1673" s="40"/>
    </row>
    <row r="1674" spans="1:4" ht="100" customHeight="1" x14ac:dyDescent="0.25">
      <c r="A1674" s="41" t="str">
        <f>_xlfn.CONCAT("Sample test results are documented in ",'Sample Tables'!B1668," [",'Sample Tables'!B1669,", ",'Sample Tables'!B1670,", ",'Sample Tables'!B1671,", ",'Sample Tables'!B1672,", ",'Sample Tables'!B1673,"]."&amp;CHAR(10))</f>
        <v xml:space="preserve">Sample test results are documented in Test 152: Information System (new system component classified critical) [Population Source/Tool: , Population Date Range: , Population Size: , Sample Methodology: , Sample Size: ].
</v>
      </c>
      <c r="B1674" s="95" t="s">
        <v>6815</v>
      </c>
      <c r="C1674" s="93" t="s">
        <v>7443</v>
      </c>
      <c r="D1674" s="94"/>
    </row>
    <row r="1675" spans="1:4" x14ac:dyDescent="0.25">
      <c r="B1675" s="96"/>
      <c r="C1675" s="91" t="s">
        <v>1604</v>
      </c>
      <c r="D1675" s="92"/>
    </row>
    <row r="1676" spans="1:4" x14ac:dyDescent="0.25">
      <c r="B1676" s="97"/>
      <c r="C1676" s="71" t="s">
        <v>6824</v>
      </c>
      <c r="D1676" s="71" t="s">
        <v>6825</v>
      </c>
    </row>
    <row r="1677" spans="1:4" x14ac:dyDescent="0.25">
      <c r="B1677" s="72"/>
      <c r="C1677" s="71"/>
      <c r="D1677" s="73"/>
    </row>
    <row r="1679" spans="1:4" x14ac:dyDescent="0.25">
      <c r="B1679" s="27" t="s">
        <v>7444</v>
      </c>
      <c r="C1679" s="40"/>
      <c r="D1679" s="40"/>
    </row>
    <row r="1680" spans="1:4" x14ac:dyDescent="0.25">
      <c r="B1680" s="40" t="s">
        <v>6810</v>
      </c>
      <c r="C1680" s="40"/>
      <c r="D1680" s="40"/>
    </row>
    <row r="1681" spans="1:10" x14ac:dyDescent="0.25">
      <c r="B1681" s="40" t="s">
        <v>6811</v>
      </c>
      <c r="C1681" s="40"/>
      <c r="D1681" s="40"/>
    </row>
    <row r="1682" spans="1:10" x14ac:dyDescent="0.25">
      <c r="B1682" s="42" t="s">
        <v>6812</v>
      </c>
      <c r="C1682" s="40"/>
      <c r="D1682" s="40"/>
    </row>
    <row r="1683" spans="1:10" x14ac:dyDescent="0.25">
      <c r="B1683" s="42" t="s">
        <v>6813</v>
      </c>
      <c r="C1683" s="40"/>
      <c r="D1683" s="40"/>
    </row>
    <row r="1684" spans="1:10" x14ac:dyDescent="0.25">
      <c r="B1684" s="42" t="s">
        <v>6814</v>
      </c>
      <c r="C1684" s="40"/>
      <c r="D1684" s="40"/>
    </row>
    <row r="1685" spans="1:10" ht="100" customHeight="1" x14ac:dyDescent="0.25">
      <c r="A1685" s="41" t="str">
        <f>_xlfn.CONCAT("Sample test results are documented in ",'Sample Tables'!B1679," [",'Sample Tables'!B1680,", ",'Sample Tables'!B1681,", ",'Sample Tables'!B1682,", ",'Sample Tables'!B1683,", ",'Sample Tables'!B1684,"]."&amp;CHAR(10))</f>
        <v xml:space="preserve">Sample test results are documented in Test 153: Information System (new system component/system resource) [Population Source/Tool: , Population Date Range: , Population Size: , Sample Methodology: , Sample Size: ].
</v>
      </c>
      <c r="B1685" s="95" t="s">
        <v>6815</v>
      </c>
      <c r="C1685" s="93" t="s">
        <v>7443</v>
      </c>
      <c r="D1685" s="94"/>
      <c r="E1685" s="93" t="s">
        <v>7246</v>
      </c>
      <c r="F1685" s="94"/>
      <c r="G1685" s="93" t="s">
        <v>7247</v>
      </c>
      <c r="H1685" s="94"/>
      <c r="I1685" s="93" t="s">
        <v>7248</v>
      </c>
      <c r="J1685" s="94"/>
    </row>
    <row r="1686" spans="1:10" x14ac:dyDescent="0.25">
      <c r="B1686" s="96"/>
      <c r="C1686" s="91" t="s">
        <v>1604</v>
      </c>
      <c r="D1686" s="92"/>
      <c r="E1686" s="91" t="s">
        <v>5246</v>
      </c>
      <c r="F1686" s="92"/>
      <c r="G1686" s="91" t="s">
        <v>5250</v>
      </c>
      <c r="H1686" s="92"/>
      <c r="I1686" s="91" t="s">
        <v>5273</v>
      </c>
      <c r="J1686" s="92"/>
    </row>
    <row r="1687" spans="1:10" x14ac:dyDescent="0.25">
      <c r="B1687" s="97"/>
      <c r="C1687" s="71" t="s">
        <v>6824</v>
      </c>
      <c r="D1687" s="71" t="s">
        <v>6825</v>
      </c>
      <c r="E1687" s="71" t="s">
        <v>6824</v>
      </c>
      <c r="F1687" s="71" t="s">
        <v>6825</v>
      </c>
      <c r="G1687" s="71" t="s">
        <v>6824</v>
      </c>
      <c r="H1687" s="71" t="s">
        <v>6825</v>
      </c>
      <c r="I1687" s="71" t="s">
        <v>6824</v>
      </c>
      <c r="J1687" s="71" t="s">
        <v>6825</v>
      </c>
    </row>
    <row r="1688" spans="1:10" x14ac:dyDescent="0.25">
      <c r="B1688" s="72"/>
      <c r="C1688" s="71"/>
      <c r="D1688" s="73"/>
      <c r="E1688" s="71"/>
      <c r="F1688" s="73"/>
      <c r="G1688" s="71"/>
      <c r="H1688" s="73"/>
      <c r="I1688" s="71"/>
      <c r="J1688" s="73"/>
    </row>
    <row r="1690" spans="1:10" x14ac:dyDescent="0.25">
      <c r="B1690" s="27" t="s">
        <v>7445</v>
      </c>
      <c r="C1690" s="40"/>
      <c r="D1690" s="40"/>
    </row>
    <row r="1691" spans="1:10" x14ac:dyDescent="0.25">
      <c r="B1691" s="40" t="s">
        <v>6810</v>
      </c>
      <c r="C1691" s="40"/>
      <c r="D1691" s="40"/>
    </row>
    <row r="1692" spans="1:10" x14ac:dyDescent="0.25">
      <c r="B1692" s="40" t="s">
        <v>6811</v>
      </c>
      <c r="C1692" s="40"/>
      <c r="D1692" s="40"/>
    </row>
    <row r="1693" spans="1:10" x14ac:dyDescent="0.25">
      <c r="B1693" s="42" t="s">
        <v>6812</v>
      </c>
      <c r="C1693" s="40"/>
      <c r="D1693" s="40"/>
    </row>
    <row r="1694" spans="1:10" x14ac:dyDescent="0.25">
      <c r="B1694" s="42" t="s">
        <v>6813</v>
      </c>
      <c r="C1694" s="40"/>
      <c r="D1694" s="40"/>
    </row>
    <row r="1695" spans="1:10" x14ac:dyDescent="0.25">
      <c r="B1695" s="42" t="s">
        <v>6814</v>
      </c>
      <c r="C1695" s="40"/>
      <c r="D1695" s="40"/>
    </row>
    <row r="1696" spans="1:10" ht="100" customHeight="1" x14ac:dyDescent="0.25">
      <c r="A1696" s="41" t="str">
        <f>_xlfn.CONCAT("Sample test results are documented in ",'Sample Tables'!B1690," [",'Sample Tables'!B1691,", ",'Sample Tables'!B1692,", ",'Sample Tables'!B1693,", ",'Sample Tables'!B1694,", ",'Sample Tables'!B1695,"]."&amp;CHAR(10))</f>
        <v xml:space="preserve">Sample test results are documented in Test 154: Information System (new) [Population Source/Tool: , Population Date Range: , Population Size: , Sample Methodology: , Sample Size: ].
</v>
      </c>
      <c r="B1696" s="95" t="s">
        <v>6815</v>
      </c>
      <c r="C1696" s="93" t="s">
        <v>7443</v>
      </c>
      <c r="D1696" s="94"/>
    </row>
    <row r="1697" spans="1:6" x14ac:dyDescent="0.25">
      <c r="B1697" s="96"/>
      <c r="C1697" s="91" t="s">
        <v>1604</v>
      </c>
      <c r="D1697" s="92"/>
    </row>
    <row r="1698" spans="1:6" x14ac:dyDescent="0.25">
      <c r="B1698" s="97"/>
      <c r="C1698" s="71" t="s">
        <v>6824</v>
      </c>
      <c r="D1698" s="71" t="s">
        <v>6825</v>
      </c>
    </row>
    <row r="1699" spans="1:6" x14ac:dyDescent="0.25">
      <c r="B1699" s="72"/>
      <c r="C1699" s="71"/>
      <c r="D1699" s="73"/>
    </row>
    <row r="1701" spans="1:6" x14ac:dyDescent="0.25">
      <c r="B1701" s="27" t="s">
        <v>7446</v>
      </c>
      <c r="C1701" s="40"/>
      <c r="D1701" s="40"/>
    </row>
    <row r="1702" spans="1:6" x14ac:dyDescent="0.25">
      <c r="B1702" s="40" t="s">
        <v>6810</v>
      </c>
      <c r="C1702" s="40"/>
      <c r="D1702" s="40"/>
    </row>
    <row r="1703" spans="1:6" x14ac:dyDescent="0.25">
      <c r="B1703" s="40" t="s">
        <v>6811</v>
      </c>
      <c r="C1703" s="40"/>
      <c r="D1703" s="40"/>
    </row>
    <row r="1704" spans="1:6" x14ac:dyDescent="0.25">
      <c r="B1704" s="42" t="s">
        <v>6812</v>
      </c>
      <c r="C1704" s="40"/>
      <c r="D1704" s="40"/>
    </row>
    <row r="1705" spans="1:6" x14ac:dyDescent="0.25">
      <c r="B1705" s="42" t="s">
        <v>6813</v>
      </c>
      <c r="C1705" s="40"/>
      <c r="D1705" s="40"/>
    </row>
    <row r="1706" spans="1:6" x14ac:dyDescent="0.25">
      <c r="B1706" s="42" t="s">
        <v>6814</v>
      </c>
      <c r="C1706" s="40"/>
      <c r="D1706" s="40"/>
    </row>
    <row r="1707" spans="1:6" ht="100" customHeight="1" x14ac:dyDescent="0.25">
      <c r="A1707" s="41" t="str">
        <f>_xlfn.CONCAT("Sample test results are documented in ",'Sample Tables'!B1701," [",'Sample Tables'!B1702,", ",'Sample Tables'!B1703,", ",'Sample Tables'!B1704,", ",'Sample Tables'!B1705,", ",'Sample Tables'!B1706,"]."&amp;CHAR(10))</f>
        <v xml:space="preserve">Sample test results are documented in Test 155: Information System (operating procedure) [Population Source/Tool: , Population Date Range: , Population Size: , Sample Methodology: , Sample Size: ].
</v>
      </c>
      <c r="B1707" s="95" t="s">
        <v>6815</v>
      </c>
      <c r="C1707" s="93" t="s">
        <v>7447</v>
      </c>
      <c r="D1707" s="94"/>
      <c r="E1707" s="93" t="s">
        <v>7448</v>
      </c>
      <c r="F1707" s="94"/>
    </row>
    <row r="1708" spans="1:6" x14ac:dyDescent="0.25">
      <c r="B1708" s="96"/>
      <c r="C1708" s="91" t="s">
        <v>608</v>
      </c>
      <c r="D1708" s="92"/>
      <c r="E1708" s="91" t="s">
        <v>608</v>
      </c>
      <c r="F1708" s="92"/>
    </row>
    <row r="1709" spans="1:6" x14ac:dyDescent="0.25">
      <c r="B1709" s="97"/>
      <c r="C1709" s="71" t="s">
        <v>6824</v>
      </c>
      <c r="D1709" s="71" t="s">
        <v>6825</v>
      </c>
      <c r="E1709" s="71" t="s">
        <v>6824</v>
      </c>
      <c r="F1709" s="71" t="s">
        <v>6825</v>
      </c>
    </row>
    <row r="1710" spans="1:6" x14ac:dyDescent="0.25">
      <c r="B1710" s="72"/>
      <c r="C1710" s="71"/>
      <c r="D1710" s="73"/>
      <c r="E1710" s="71"/>
      <c r="F1710" s="73"/>
    </row>
    <row r="1712" spans="1:6" x14ac:dyDescent="0.25">
      <c r="B1712" s="27" t="s">
        <v>7449</v>
      </c>
      <c r="C1712" s="40"/>
      <c r="D1712" s="40"/>
    </row>
    <row r="1713" spans="1:4" x14ac:dyDescent="0.25">
      <c r="B1713" s="40" t="s">
        <v>6810</v>
      </c>
      <c r="C1713" s="40"/>
      <c r="D1713" s="40"/>
    </row>
    <row r="1714" spans="1:4" x14ac:dyDescent="0.25">
      <c r="B1714" s="40" t="s">
        <v>6811</v>
      </c>
      <c r="C1714" s="40"/>
      <c r="D1714" s="40"/>
    </row>
    <row r="1715" spans="1:4" x14ac:dyDescent="0.25">
      <c r="B1715" s="42" t="s">
        <v>6812</v>
      </c>
      <c r="C1715" s="40"/>
      <c r="D1715" s="40"/>
    </row>
    <row r="1716" spans="1:4" x14ac:dyDescent="0.25">
      <c r="B1716" s="42" t="s">
        <v>6813</v>
      </c>
      <c r="C1716" s="40"/>
      <c r="D1716" s="40"/>
    </row>
    <row r="1717" spans="1:4" x14ac:dyDescent="0.25">
      <c r="B1717" s="42" t="s">
        <v>6814</v>
      </c>
      <c r="C1717" s="40"/>
      <c r="D1717" s="40"/>
    </row>
    <row r="1718" spans="1:4" ht="100" customHeight="1" x14ac:dyDescent="0.25">
      <c r="A1718" s="41" t="str">
        <f>_xlfn.CONCAT("Sample test results are documented in ",'Sample Tables'!B1712," [",'Sample Tables'!B1713,", ",'Sample Tables'!B1714,", ",'Sample Tables'!B1715,", ",'Sample Tables'!B1716,", ",'Sample Tables'!B1717,"]."&amp;CHAR(10))</f>
        <v xml:space="preserve">Sample test results are documented in Test 156: Information System (password compromise) [Population Source/Tool: , Population Date Range: , Population Size: , Sample Methodology: , Sample Size: ].
</v>
      </c>
      <c r="B1718" s="95" t="s">
        <v>6815</v>
      </c>
      <c r="C1718" s="93" t="s">
        <v>7450</v>
      </c>
      <c r="D1718" s="94"/>
    </row>
    <row r="1719" spans="1:4" x14ac:dyDescent="0.25">
      <c r="B1719" s="96"/>
      <c r="C1719" s="91" t="s">
        <v>2398</v>
      </c>
      <c r="D1719" s="92"/>
    </row>
    <row r="1720" spans="1:4" x14ac:dyDescent="0.25">
      <c r="B1720" s="97"/>
      <c r="C1720" s="71" t="s">
        <v>6824</v>
      </c>
      <c r="D1720" s="71" t="s">
        <v>6825</v>
      </c>
    </row>
    <row r="1721" spans="1:4" x14ac:dyDescent="0.25">
      <c r="B1721" s="72"/>
      <c r="C1721" s="71"/>
      <c r="D1721" s="73"/>
    </row>
    <row r="1723" spans="1:4" x14ac:dyDescent="0.25">
      <c r="B1723" s="27" t="s">
        <v>7451</v>
      </c>
      <c r="C1723" s="40"/>
      <c r="D1723" s="40"/>
    </row>
    <row r="1724" spans="1:4" x14ac:dyDescent="0.25">
      <c r="B1724" s="40" t="s">
        <v>6810</v>
      </c>
      <c r="C1724" s="40"/>
      <c r="D1724" s="40"/>
    </row>
    <row r="1725" spans="1:4" x14ac:dyDescent="0.25">
      <c r="B1725" s="40" t="s">
        <v>6811</v>
      </c>
      <c r="C1725" s="40"/>
      <c r="D1725" s="40"/>
    </row>
    <row r="1726" spans="1:4" x14ac:dyDescent="0.25">
      <c r="B1726" s="42" t="s">
        <v>6812</v>
      </c>
      <c r="C1726" s="40"/>
      <c r="D1726" s="40"/>
    </row>
    <row r="1727" spans="1:4" x14ac:dyDescent="0.25">
      <c r="B1727" s="42" t="s">
        <v>6813</v>
      </c>
      <c r="C1727" s="40"/>
      <c r="D1727" s="40"/>
    </row>
    <row r="1728" spans="1:4" x14ac:dyDescent="0.25">
      <c r="B1728" s="42" t="s">
        <v>6814</v>
      </c>
      <c r="C1728" s="40"/>
      <c r="D1728" s="40"/>
    </row>
    <row r="1729" spans="1:10" ht="100" customHeight="1" x14ac:dyDescent="0.25">
      <c r="A1729" s="41" t="str">
        <f>_xlfn.CONCAT("Sample test results are documented in ",'Sample Tables'!B1723," [",'Sample Tables'!B1724,", ",'Sample Tables'!B1725,", ",'Sample Tables'!B1726,", ",'Sample Tables'!B1727,", ",'Sample Tables'!B1728,"]."&amp;CHAR(10))</f>
        <v xml:space="preserve">Sample test results are documented in Test 157: Information System (password request/reset) [Population Source/Tool: , Population Date Range: , Population Size: , Sample Methodology: , Sample Size: ].
</v>
      </c>
      <c r="B1729" s="95" t="s">
        <v>6815</v>
      </c>
      <c r="C1729" s="93" t="s">
        <v>7452</v>
      </c>
      <c r="D1729" s="94"/>
      <c r="E1729" s="93" t="s">
        <v>7453</v>
      </c>
      <c r="F1729" s="94"/>
      <c r="G1729" s="93" t="s">
        <v>7454</v>
      </c>
      <c r="H1729" s="94"/>
      <c r="I1729" s="93" t="s">
        <v>7455</v>
      </c>
      <c r="J1729" s="94"/>
    </row>
    <row r="1730" spans="1:10" x14ac:dyDescent="0.25">
      <c r="B1730" s="96"/>
      <c r="C1730" s="91" t="s">
        <v>2330</v>
      </c>
      <c r="D1730" s="92"/>
      <c r="E1730" s="91" t="s">
        <v>2343</v>
      </c>
      <c r="F1730" s="92"/>
      <c r="G1730" s="91" t="s">
        <v>2361</v>
      </c>
      <c r="H1730" s="92"/>
      <c r="I1730" s="91" t="s">
        <v>2363</v>
      </c>
      <c r="J1730" s="92"/>
    </row>
    <row r="1731" spans="1:10" x14ac:dyDescent="0.25">
      <c r="B1731" s="97"/>
      <c r="C1731" s="71" t="s">
        <v>6824</v>
      </c>
      <c r="D1731" s="71" t="s">
        <v>6825</v>
      </c>
      <c r="E1731" s="71" t="s">
        <v>6824</v>
      </c>
      <c r="F1731" s="71" t="s">
        <v>6825</v>
      </c>
      <c r="G1731" s="71" t="s">
        <v>6824</v>
      </c>
      <c r="H1731" s="71" t="s">
        <v>6825</v>
      </c>
      <c r="I1731" s="71" t="s">
        <v>6824</v>
      </c>
      <c r="J1731" s="71" t="s">
        <v>6825</v>
      </c>
    </row>
    <row r="1732" spans="1:10" x14ac:dyDescent="0.25">
      <c r="B1732" s="72"/>
      <c r="C1732" s="71"/>
      <c r="D1732" s="73"/>
      <c r="E1732" s="71"/>
      <c r="F1732" s="73"/>
      <c r="G1732" s="71"/>
      <c r="H1732" s="73"/>
      <c r="I1732" s="71"/>
      <c r="J1732" s="73"/>
    </row>
    <row r="1734" spans="1:10" x14ac:dyDescent="0.25">
      <c r="B1734" s="27" t="s">
        <v>7456</v>
      </c>
      <c r="C1734" s="40"/>
      <c r="D1734" s="40"/>
    </row>
    <row r="1735" spans="1:10" x14ac:dyDescent="0.25">
      <c r="B1735" s="40" t="s">
        <v>6810</v>
      </c>
      <c r="C1735" s="40"/>
      <c r="D1735" s="40"/>
    </row>
    <row r="1736" spans="1:10" x14ac:dyDescent="0.25">
      <c r="B1736" s="40" t="s">
        <v>6811</v>
      </c>
      <c r="C1736" s="40"/>
      <c r="D1736" s="40"/>
    </row>
    <row r="1737" spans="1:10" x14ac:dyDescent="0.25">
      <c r="B1737" s="42" t="s">
        <v>6812</v>
      </c>
      <c r="C1737" s="40"/>
      <c r="D1737" s="40"/>
    </row>
    <row r="1738" spans="1:10" x14ac:dyDescent="0.25">
      <c r="B1738" s="42" t="s">
        <v>6813</v>
      </c>
      <c r="C1738" s="40"/>
      <c r="D1738" s="40"/>
    </row>
    <row r="1739" spans="1:10" x14ac:dyDescent="0.25">
      <c r="B1739" s="42" t="s">
        <v>6814</v>
      </c>
      <c r="C1739" s="40"/>
      <c r="D1739" s="40"/>
    </row>
    <row r="1740" spans="1:10" ht="100" customHeight="1" x14ac:dyDescent="0.25">
      <c r="A1740" s="41" t="str">
        <f>_xlfn.CONCAT("Sample test results are documented in ",'Sample Tables'!B1734," [",'Sample Tables'!B1735,", ",'Sample Tables'!B1736,", ",'Sample Tables'!B1737,", ",'Sample Tables'!B1738,", ",'Sample Tables'!B1739,"]."&amp;CHAR(10))</f>
        <v xml:space="preserve">Sample test results are documented in Test 158: Information System (password storage) [Population Source/Tool: , Population Date Range: , Population Size: , Sample Methodology: , Sample Size: ].
</v>
      </c>
      <c r="B1740" s="95" t="s">
        <v>6815</v>
      </c>
      <c r="C1740" s="93" t="s">
        <v>7014</v>
      </c>
      <c r="D1740" s="94"/>
    </row>
    <row r="1741" spans="1:10" x14ac:dyDescent="0.25">
      <c r="B1741" s="96"/>
      <c r="C1741" s="91" t="s">
        <v>2356</v>
      </c>
      <c r="D1741" s="92"/>
    </row>
    <row r="1742" spans="1:10" x14ac:dyDescent="0.25">
      <c r="B1742" s="97"/>
      <c r="C1742" s="71" t="s">
        <v>6824</v>
      </c>
      <c r="D1742" s="71" t="s">
        <v>6825</v>
      </c>
    </row>
    <row r="1743" spans="1:10" x14ac:dyDescent="0.25">
      <c r="B1743" s="72"/>
      <c r="C1743" s="71"/>
      <c r="D1743" s="73"/>
    </row>
    <row r="1745" spans="1:6" x14ac:dyDescent="0.25">
      <c r="B1745" s="27" t="s">
        <v>7457</v>
      </c>
      <c r="C1745" s="40"/>
      <c r="D1745" s="40"/>
    </row>
    <row r="1746" spans="1:6" x14ac:dyDescent="0.25">
      <c r="B1746" s="40" t="s">
        <v>6810</v>
      </c>
      <c r="C1746" s="40"/>
      <c r="D1746" s="40"/>
    </row>
    <row r="1747" spans="1:6" x14ac:dyDescent="0.25">
      <c r="B1747" s="40" t="s">
        <v>6811</v>
      </c>
      <c r="C1747" s="40"/>
      <c r="D1747" s="40"/>
    </row>
    <row r="1748" spans="1:6" x14ac:dyDescent="0.25">
      <c r="B1748" s="42" t="s">
        <v>6812</v>
      </c>
      <c r="C1748" s="40"/>
      <c r="D1748" s="40"/>
    </row>
    <row r="1749" spans="1:6" x14ac:dyDescent="0.25">
      <c r="B1749" s="42" t="s">
        <v>6813</v>
      </c>
      <c r="C1749" s="40"/>
      <c r="D1749" s="40"/>
    </row>
    <row r="1750" spans="1:6" x14ac:dyDescent="0.25">
      <c r="B1750" s="42" t="s">
        <v>6814</v>
      </c>
      <c r="C1750" s="40"/>
      <c r="D1750" s="40"/>
    </row>
    <row r="1751" spans="1:6" ht="100" customHeight="1" x14ac:dyDescent="0.25">
      <c r="A1751" s="41" t="str">
        <f>_xlfn.CONCAT("Sample test results are documented in ",'Sample Tables'!B1745," [",'Sample Tables'!B1746,", ",'Sample Tables'!B1747,", ",'Sample Tables'!B1748,", ",'Sample Tables'!B1749,", ",'Sample Tables'!B1750,"]."&amp;CHAR(10))</f>
        <v xml:space="preserve">Sample test results are documented in Test 159: Information System (password transmission) [Population Source/Tool: , Population Date Range: , Population Size: , Sample Methodology: , Sample Size: ].
</v>
      </c>
      <c r="B1751" s="95" t="s">
        <v>6815</v>
      </c>
      <c r="C1751" s="93" t="s">
        <v>7014</v>
      </c>
      <c r="D1751" s="94"/>
      <c r="E1751" s="93" t="s">
        <v>7014</v>
      </c>
      <c r="F1751" s="94"/>
    </row>
    <row r="1752" spans="1:6" x14ac:dyDescent="0.25">
      <c r="B1752" s="96"/>
      <c r="C1752" s="91" t="s">
        <v>2356</v>
      </c>
      <c r="D1752" s="92"/>
      <c r="E1752" s="91" t="s">
        <v>2418</v>
      </c>
      <c r="F1752" s="92"/>
    </row>
    <row r="1753" spans="1:6" x14ac:dyDescent="0.25">
      <c r="B1753" s="97"/>
      <c r="C1753" s="71" t="s">
        <v>6824</v>
      </c>
      <c r="D1753" s="71" t="s">
        <v>6825</v>
      </c>
      <c r="E1753" s="71" t="s">
        <v>6824</v>
      </c>
      <c r="F1753" s="71" t="s">
        <v>6825</v>
      </c>
    </row>
    <row r="1754" spans="1:6" x14ac:dyDescent="0.25">
      <c r="B1754" s="72"/>
      <c r="C1754" s="71"/>
      <c r="D1754" s="73"/>
      <c r="E1754" s="71"/>
      <c r="F1754" s="73"/>
    </row>
    <row r="1756" spans="1:6" x14ac:dyDescent="0.25">
      <c r="B1756" s="27" t="s">
        <v>7458</v>
      </c>
      <c r="C1756" s="40"/>
      <c r="D1756" s="40"/>
    </row>
    <row r="1757" spans="1:6" x14ac:dyDescent="0.25">
      <c r="B1757" s="40" t="s">
        <v>6810</v>
      </c>
      <c r="C1757" s="40"/>
      <c r="D1757" s="40"/>
    </row>
    <row r="1758" spans="1:6" x14ac:dyDescent="0.25">
      <c r="B1758" s="40" t="s">
        <v>6811</v>
      </c>
      <c r="C1758" s="40"/>
      <c r="D1758" s="40"/>
    </row>
    <row r="1759" spans="1:6" x14ac:dyDescent="0.25">
      <c r="B1759" s="42" t="s">
        <v>6812</v>
      </c>
      <c r="C1759" s="40"/>
      <c r="D1759" s="40"/>
    </row>
    <row r="1760" spans="1:6" x14ac:dyDescent="0.25">
      <c r="B1760" s="42" t="s">
        <v>6813</v>
      </c>
      <c r="C1760" s="40"/>
      <c r="D1760" s="40"/>
    </row>
    <row r="1761" spans="1:6" x14ac:dyDescent="0.25">
      <c r="B1761" s="42" t="s">
        <v>6814</v>
      </c>
      <c r="C1761" s="40"/>
      <c r="D1761" s="40"/>
    </row>
    <row r="1762" spans="1:6" x14ac:dyDescent="0.25">
      <c r="A1762" s="41" t="str">
        <f>_xlfn.CONCAT("Sample test results are documented in ",'Sample Tables'!B1756," [",'Sample Tables'!B1757,", ",'Sample Tables'!B1758,", ",'Sample Tables'!B1759,", ",'Sample Tables'!B1760,", ",'Sample Tables'!B1761,"]."&amp;CHAR(10))</f>
        <v xml:space="preserve">Sample test results are documented in Test 160: Information System (physical access sub-system) [Population Source/Tool: , Population Date Range: , Population Size: , Sample Methodology: , Sample Size: ].
</v>
      </c>
      <c r="B1762" s="95" t="s">
        <v>6815</v>
      </c>
      <c r="C1762" s="93"/>
      <c r="D1762" s="94"/>
    </row>
    <row r="1763" spans="1:6" x14ac:dyDescent="0.25">
      <c r="B1763" s="96"/>
      <c r="C1763" s="91"/>
      <c r="D1763" s="92"/>
    </row>
    <row r="1764" spans="1:6" x14ac:dyDescent="0.25">
      <c r="B1764" s="97"/>
      <c r="C1764" s="71" t="s">
        <v>6824</v>
      </c>
      <c r="D1764" s="71" t="s">
        <v>6825</v>
      </c>
    </row>
    <row r="1765" spans="1:6" x14ac:dyDescent="0.25">
      <c r="B1765" s="72"/>
      <c r="C1765" s="71"/>
      <c r="D1765" s="73"/>
    </row>
    <row r="1767" spans="1:6" x14ac:dyDescent="0.25">
      <c r="B1767" s="27" t="s">
        <v>7459</v>
      </c>
      <c r="C1767" s="40"/>
      <c r="D1767" s="40"/>
    </row>
    <row r="1768" spans="1:6" x14ac:dyDescent="0.25">
      <c r="B1768" s="40" t="s">
        <v>6810</v>
      </c>
      <c r="C1768" s="40"/>
      <c r="D1768" s="40"/>
    </row>
    <row r="1769" spans="1:6" x14ac:dyDescent="0.25">
      <c r="B1769" s="40" t="s">
        <v>6811</v>
      </c>
      <c r="C1769" s="40"/>
      <c r="D1769" s="40"/>
    </row>
    <row r="1770" spans="1:6" x14ac:dyDescent="0.25">
      <c r="B1770" s="42" t="s">
        <v>6812</v>
      </c>
      <c r="C1770" s="40"/>
      <c r="D1770" s="40"/>
    </row>
    <row r="1771" spans="1:6" x14ac:dyDescent="0.25">
      <c r="B1771" s="42" t="s">
        <v>6813</v>
      </c>
      <c r="C1771" s="40"/>
      <c r="D1771" s="40"/>
    </row>
    <row r="1772" spans="1:6" x14ac:dyDescent="0.25">
      <c r="B1772" s="42" t="s">
        <v>6814</v>
      </c>
      <c r="C1772" s="40"/>
      <c r="D1772" s="40"/>
    </row>
    <row r="1773" spans="1:6" ht="100" customHeight="1" x14ac:dyDescent="0.25">
      <c r="A1773" s="41" t="str">
        <f>_xlfn.CONCAT("Sample test results are documented in ",'Sample Tables'!B1767," [",'Sample Tables'!B1768,", ",'Sample Tables'!B1769,", ",'Sample Tables'!B1770,", ",'Sample Tables'!B1771,", ",'Sample Tables'!B1772,"]."&amp;CHAR(10))</f>
        <v xml:space="preserve">Sample test results are documented in Test 161: Information System (physical equipment move) [Population Source/Tool: , Population Date Range: , Population Size: , Sample Methodology: , Sample Size: ].
</v>
      </c>
      <c r="B1773" s="95" t="s">
        <v>6815</v>
      </c>
      <c r="C1773" s="93" t="s">
        <v>7460</v>
      </c>
      <c r="D1773" s="94"/>
      <c r="E1773" s="93" t="s">
        <v>7461</v>
      </c>
      <c r="F1773" s="94"/>
    </row>
    <row r="1774" spans="1:6" x14ac:dyDescent="0.25">
      <c r="B1774" s="96"/>
      <c r="C1774" s="91" t="s">
        <v>4487</v>
      </c>
      <c r="D1774" s="92"/>
      <c r="E1774" s="91" t="s">
        <v>4523</v>
      </c>
      <c r="F1774" s="92"/>
    </row>
    <row r="1775" spans="1:6" x14ac:dyDescent="0.25">
      <c r="B1775" s="97"/>
      <c r="C1775" s="71" t="s">
        <v>6824</v>
      </c>
      <c r="D1775" s="71" t="s">
        <v>6825</v>
      </c>
      <c r="E1775" s="71" t="s">
        <v>6824</v>
      </c>
      <c r="F1775" s="71" t="s">
        <v>6825</v>
      </c>
    </row>
    <row r="1776" spans="1:6" x14ac:dyDescent="0.25">
      <c r="B1776" s="72"/>
      <c r="C1776" s="71"/>
      <c r="D1776" s="73"/>
      <c r="E1776" s="71"/>
      <c r="F1776" s="73"/>
    </row>
    <row r="1778" spans="1:4" x14ac:dyDescent="0.25">
      <c r="B1778" s="27" t="s">
        <v>7462</v>
      </c>
      <c r="C1778" s="40"/>
      <c r="D1778" s="40"/>
    </row>
    <row r="1779" spans="1:4" x14ac:dyDescent="0.25">
      <c r="B1779" s="40" t="s">
        <v>6810</v>
      </c>
      <c r="C1779" s="40"/>
      <c r="D1779" s="40"/>
    </row>
    <row r="1780" spans="1:4" x14ac:dyDescent="0.25">
      <c r="B1780" s="40" t="s">
        <v>6811</v>
      </c>
      <c r="C1780" s="40"/>
      <c r="D1780" s="40"/>
    </row>
    <row r="1781" spans="1:4" x14ac:dyDescent="0.25">
      <c r="B1781" s="42" t="s">
        <v>6812</v>
      </c>
      <c r="C1781" s="40"/>
      <c r="D1781" s="40"/>
    </row>
    <row r="1782" spans="1:4" x14ac:dyDescent="0.25">
      <c r="B1782" s="42" t="s">
        <v>6813</v>
      </c>
      <c r="C1782" s="40"/>
      <c r="D1782" s="40"/>
    </row>
    <row r="1783" spans="1:4" x14ac:dyDescent="0.25">
      <c r="B1783" s="42" t="s">
        <v>6814</v>
      </c>
      <c r="C1783" s="40"/>
      <c r="D1783" s="40"/>
    </row>
    <row r="1784" spans="1:4" ht="100" customHeight="1" x14ac:dyDescent="0.25">
      <c r="A1784" s="41" t="str">
        <f>_xlfn.CONCAT("Sample test results are documented in ",'Sample Tables'!B1778," [",'Sample Tables'!B1779,", ",'Sample Tables'!B1780,", ",'Sample Tables'!B1781,", ",'Sample Tables'!B1782,", ",'Sample Tables'!B1783,"]."&amp;CHAR(10))</f>
        <v xml:space="preserve">Sample test results are documented in Test 162: Information System (processing covered/confidential information) [Population Source/Tool: , Population Date Range: , Population Size: , Sample Methodology: , Sample Size: ].
</v>
      </c>
      <c r="B1784" s="95" t="s">
        <v>6815</v>
      </c>
      <c r="C1784" s="93" t="s">
        <v>7463</v>
      </c>
      <c r="D1784" s="94"/>
    </row>
    <row r="1785" spans="1:4" x14ac:dyDescent="0.25">
      <c r="B1785" s="96"/>
      <c r="C1785" s="91" t="s">
        <v>6452</v>
      </c>
      <c r="D1785" s="92"/>
    </row>
    <row r="1786" spans="1:4" x14ac:dyDescent="0.25">
      <c r="B1786" s="97"/>
      <c r="C1786" s="71" t="s">
        <v>6824</v>
      </c>
      <c r="D1786" s="71" t="s">
        <v>6825</v>
      </c>
    </row>
    <row r="1787" spans="1:4" x14ac:dyDescent="0.25">
      <c r="B1787" s="72"/>
      <c r="C1787" s="71"/>
      <c r="D1787" s="73"/>
    </row>
    <row r="1789" spans="1:4" x14ac:dyDescent="0.25">
      <c r="B1789" s="27" t="s">
        <v>7464</v>
      </c>
      <c r="C1789" s="40"/>
      <c r="D1789" s="40"/>
    </row>
    <row r="1790" spans="1:4" x14ac:dyDescent="0.25">
      <c r="B1790" s="40" t="s">
        <v>6810</v>
      </c>
      <c r="C1790" s="40"/>
      <c r="D1790" s="40"/>
    </row>
    <row r="1791" spans="1:4" x14ac:dyDescent="0.25">
      <c r="B1791" s="40" t="s">
        <v>6811</v>
      </c>
      <c r="C1791" s="40"/>
      <c r="D1791" s="40"/>
    </row>
    <row r="1792" spans="1:4" x14ac:dyDescent="0.25">
      <c r="B1792" s="42" t="s">
        <v>6812</v>
      </c>
      <c r="C1792" s="40"/>
      <c r="D1792" s="40"/>
    </row>
    <row r="1793" spans="1:10" x14ac:dyDescent="0.25">
      <c r="B1793" s="42" t="s">
        <v>6813</v>
      </c>
      <c r="C1793" s="40"/>
      <c r="D1793" s="40"/>
    </row>
    <row r="1794" spans="1:10" x14ac:dyDescent="0.25">
      <c r="B1794" s="42" t="s">
        <v>6814</v>
      </c>
      <c r="C1794" s="40"/>
      <c r="D1794" s="40"/>
    </row>
    <row r="1795" spans="1:10" x14ac:dyDescent="0.25">
      <c r="A1795" s="41" t="str">
        <f>_xlfn.CONCAT("Sample test results are documented in ",'Sample Tables'!B1789," [",'Sample Tables'!B1790,", ",'Sample Tables'!B1791,", ",'Sample Tables'!B1792,", ",'Sample Tables'!B1793,", ",'Sample Tables'!B1794,"]."&amp;CHAR(10))</f>
        <v xml:space="preserve">Sample test results are documented in Test 163: Information System (successful unauthorized access attempt) [Population Source/Tool: , Population Date Range: , Population Size: , Sample Methodology: , Sample Size: ].
</v>
      </c>
      <c r="B1795" s="95" t="s">
        <v>6815</v>
      </c>
      <c r="C1795" s="93"/>
      <c r="D1795" s="94"/>
    </row>
    <row r="1796" spans="1:10" x14ac:dyDescent="0.25">
      <c r="B1796" s="96"/>
      <c r="C1796" s="91"/>
      <c r="D1796" s="92"/>
    </row>
    <row r="1797" spans="1:10" x14ac:dyDescent="0.25">
      <c r="B1797" s="97"/>
      <c r="C1797" s="71" t="s">
        <v>6824</v>
      </c>
      <c r="D1797" s="71" t="s">
        <v>6825</v>
      </c>
    </row>
    <row r="1798" spans="1:10" x14ac:dyDescent="0.25">
      <c r="B1798" s="72"/>
      <c r="C1798" s="71"/>
      <c r="D1798" s="73"/>
    </row>
    <row r="1800" spans="1:10" x14ac:dyDescent="0.25">
      <c r="B1800" s="27" t="s">
        <v>7465</v>
      </c>
      <c r="C1800" s="40"/>
      <c r="D1800" s="40"/>
    </row>
    <row r="1801" spans="1:10" x14ac:dyDescent="0.25">
      <c r="B1801" s="40" t="s">
        <v>6810</v>
      </c>
      <c r="C1801" s="40"/>
      <c r="D1801" s="40"/>
    </row>
    <row r="1802" spans="1:10" x14ac:dyDescent="0.25">
      <c r="B1802" s="40" t="s">
        <v>6811</v>
      </c>
      <c r="C1802" s="40"/>
      <c r="D1802" s="40"/>
    </row>
    <row r="1803" spans="1:10" x14ac:dyDescent="0.25">
      <c r="B1803" s="42" t="s">
        <v>6812</v>
      </c>
      <c r="C1803" s="40"/>
      <c r="D1803" s="40"/>
    </row>
    <row r="1804" spans="1:10" x14ac:dyDescent="0.25">
      <c r="B1804" s="42" t="s">
        <v>6813</v>
      </c>
      <c r="C1804" s="40"/>
      <c r="D1804" s="40"/>
    </row>
    <row r="1805" spans="1:10" x14ac:dyDescent="0.25">
      <c r="B1805" s="42" t="s">
        <v>6814</v>
      </c>
      <c r="C1805" s="40"/>
      <c r="D1805" s="40"/>
    </row>
    <row r="1806" spans="1:10" ht="100" customHeight="1" x14ac:dyDescent="0.25">
      <c r="A1806" s="41" t="str">
        <f>_xlfn.CONCAT("Sample test results are documented in ",'Sample Tables'!B1800," [",'Sample Tables'!B1801,", ",'Sample Tables'!B1802,", ",'Sample Tables'!B1803,", ",'Sample Tables'!B1804,", ",'Sample Tables'!B1805,"]."&amp;CHAR(10))</f>
        <v xml:space="preserve">Sample test results are documented in Test 164: Information System (system component classified as sensitive) [Population Source/Tool: , Population Date Range: , Population Size: , Sample Methodology: , Sample Size: ].
</v>
      </c>
      <c r="B1806" s="95" t="s">
        <v>6815</v>
      </c>
      <c r="C1806" s="93" t="s">
        <v>6869</v>
      </c>
      <c r="D1806" s="94"/>
      <c r="E1806" s="93" t="s">
        <v>7466</v>
      </c>
      <c r="F1806" s="94"/>
      <c r="G1806" s="93" t="s">
        <v>6870</v>
      </c>
      <c r="H1806" s="94"/>
      <c r="I1806" s="93" t="s">
        <v>6871</v>
      </c>
      <c r="J1806" s="94"/>
    </row>
    <row r="1807" spans="1:10" x14ac:dyDescent="0.25">
      <c r="B1807" s="96"/>
      <c r="C1807" s="91" t="s">
        <v>1875</v>
      </c>
      <c r="D1807" s="92"/>
      <c r="E1807" s="91" t="s">
        <v>1887</v>
      </c>
      <c r="F1807" s="92"/>
      <c r="G1807" s="91" t="s">
        <v>2781</v>
      </c>
      <c r="H1807" s="92"/>
      <c r="I1807" s="91" t="s">
        <v>2781</v>
      </c>
      <c r="J1807" s="92"/>
    </row>
    <row r="1808" spans="1:10" x14ac:dyDescent="0.25">
      <c r="B1808" s="97"/>
      <c r="C1808" s="71" t="s">
        <v>6824</v>
      </c>
      <c r="D1808" s="71" t="s">
        <v>6825</v>
      </c>
      <c r="E1808" s="71" t="s">
        <v>6824</v>
      </c>
      <c r="F1808" s="71" t="s">
        <v>6825</v>
      </c>
      <c r="G1808" s="71" t="s">
        <v>6824</v>
      </c>
      <c r="H1808" s="71" t="s">
        <v>6825</v>
      </c>
      <c r="I1808" s="71" t="s">
        <v>6824</v>
      </c>
      <c r="J1808" s="71" t="s">
        <v>6825</v>
      </c>
    </row>
    <row r="1809" spans="1:10" x14ac:dyDescent="0.25">
      <c r="B1809" s="72"/>
      <c r="C1809" s="71"/>
      <c r="D1809" s="73"/>
      <c r="E1809" s="71"/>
      <c r="F1809" s="73"/>
      <c r="G1809" s="71"/>
      <c r="H1809" s="73"/>
      <c r="I1809" s="71"/>
      <c r="J1809" s="73"/>
    </row>
    <row r="1811" spans="1:10" x14ac:dyDescent="0.25">
      <c r="B1811" s="27" t="s">
        <v>7467</v>
      </c>
      <c r="C1811" s="40"/>
      <c r="D1811" s="40"/>
    </row>
    <row r="1812" spans="1:10" x14ac:dyDescent="0.25">
      <c r="B1812" s="40" t="s">
        <v>6810</v>
      </c>
      <c r="C1812" s="40"/>
      <c r="D1812" s="40"/>
    </row>
    <row r="1813" spans="1:10" x14ac:dyDescent="0.25">
      <c r="B1813" s="40" t="s">
        <v>6811</v>
      </c>
      <c r="C1813" s="40"/>
      <c r="D1813" s="40"/>
    </row>
    <row r="1814" spans="1:10" x14ac:dyDescent="0.25">
      <c r="B1814" s="42" t="s">
        <v>6812</v>
      </c>
      <c r="C1814" s="40"/>
      <c r="D1814" s="40"/>
    </row>
    <row r="1815" spans="1:10" x14ac:dyDescent="0.25">
      <c r="B1815" s="42" t="s">
        <v>6813</v>
      </c>
      <c r="C1815" s="40"/>
      <c r="D1815" s="40"/>
    </row>
    <row r="1816" spans="1:10" x14ac:dyDescent="0.25">
      <c r="B1816" s="42" t="s">
        <v>6814</v>
      </c>
      <c r="C1816" s="40"/>
      <c r="D1816" s="40"/>
    </row>
    <row r="1817" spans="1:10" ht="100" customHeight="1" x14ac:dyDescent="0.25">
      <c r="A1817" s="41" t="str">
        <f>_xlfn.CONCAT("Sample test results are documented in ",'Sample Tables'!B1811," [",'Sample Tables'!B1812,", ",'Sample Tables'!B1813,", ",'Sample Tables'!B1814,", ",'Sample Tables'!B1815,", ",'Sample Tables'!B1816,"]."&amp;CHAR(10))</f>
        <v xml:space="preserve">Sample test results are documented in Test 165: Information System (system component classified critical) [Population Source/Tool: , Population Date Range: , Population Size: , Sample Methodology: , Sample Size: ].
</v>
      </c>
      <c r="B1817" s="95" t="s">
        <v>6815</v>
      </c>
      <c r="C1817" s="93" t="s">
        <v>7468</v>
      </c>
      <c r="D1817" s="94"/>
    </row>
    <row r="1818" spans="1:10" x14ac:dyDescent="0.25">
      <c r="B1818" s="96"/>
      <c r="C1818" s="91" t="s">
        <v>5648</v>
      </c>
      <c r="D1818" s="92"/>
    </row>
    <row r="1819" spans="1:10" x14ac:dyDescent="0.25">
      <c r="B1819" s="97"/>
      <c r="C1819" s="71" t="s">
        <v>6824</v>
      </c>
      <c r="D1819" s="71" t="s">
        <v>6825</v>
      </c>
    </row>
    <row r="1820" spans="1:10" x14ac:dyDescent="0.25">
      <c r="B1820" s="72"/>
      <c r="C1820" s="71"/>
      <c r="D1820" s="73"/>
    </row>
    <row r="1822" spans="1:10" x14ac:dyDescent="0.25">
      <c r="B1822" s="27" t="s">
        <v>7469</v>
      </c>
      <c r="C1822" s="40"/>
      <c r="D1822" s="40"/>
    </row>
    <row r="1823" spans="1:10" x14ac:dyDescent="0.25">
      <c r="B1823" s="40" t="s">
        <v>6810</v>
      </c>
      <c r="C1823" s="40"/>
      <c r="D1823" s="40"/>
    </row>
    <row r="1824" spans="1:10" x14ac:dyDescent="0.25">
      <c r="B1824" s="40" t="s">
        <v>6811</v>
      </c>
      <c r="C1824" s="40"/>
      <c r="D1824" s="40"/>
    </row>
    <row r="1825" spans="1:8" x14ac:dyDescent="0.25">
      <c r="B1825" s="42" t="s">
        <v>6812</v>
      </c>
      <c r="C1825" s="40"/>
      <c r="D1825" s="40"/>
    </row>
    <row r="1826" spans="1:8" x14ac:dyDescent="0.25">
      <c r="B1826" s="42" t="s">
        <v>6813</v>
      </c>
      <c r="C1826" s="40"/>
      <c r="D1826" s="40"/>
    </row>
    <row r="1827" spans="1:8" x14ac:dyDescent="0.25">
      <c r="B1827" s="42" t="s">
        <v>6814</v>
      </c>
      <c r="C1827" s="40"/>
      <c r="D1827" s="40"/>
    </row>
    <row r="1828" spans="1:8" ht="100" customHeight="1" x14ac:dyDescent="0.25">
      <c r="A1828" s="41" t="str">
        <f>_xlfn.CONCAT("Sample test results are documented in ",'Sample Tables'!B1822," [",'Sample Tables'!B1823,", ",'Sample Tables'!B1824,", ",'Sample Tables'!B1825,", ",'Sample Tables'!B1826,", ",'Sample Tables'!B1827,"]."&amp;CHAR(10))</f>
        <v xml:space="preserve">Sample test results are documented in Test 166: Information System (system component maintenance) [Population Source/Tool: , Population Date Range: , Population Size: , Sample Methodology: , Sample Size: ].
</v>
      </c>
      <c r="B1828" s="95" t="s">
        <v>6815</v>
      </c>
      <c r="C1828" s="93" t="s">
        <v>7470</v>
      </c>
      <c r="D1828" s="94"/>
      <c r="E1828" s="93" t="s">
        <v>7471</v>
      </c>
      <c r="F1828" s="94"/>
    </row>
    <row r="1829" spans="1:8" x14ac:dyDescent="0.25">
      <c r="B1829" s="96"/>
      <c r="C1829" s="91" t="s">
        <v>5488</v>
      </c>
      <c r="D1829" s="92"/>
      <c r="E1829" s="91" t="s">
        <v>5488</v>
      </c>
      <c r="F1829" s="92"/>
    </row>
    <row r="1830" spans="1:8" x14ac:dyDescent="0.25">
      <c r="B1830" s="97"/>
      <c r="C1830" s="71" t="s">
        <v>6824</v>
      </c>
      <c r="D1830" s="71" t="s">
        <v>6825</v>
      </c>
      <c r="E1830" s="71" t="s">
        <v>6824</v>
      </c>
      <c r="F1830" s="71" t="s">
        <v>6825</v>
      </c>
    </row>
    <row r="1831" spans="1:8" x14ac:dyDescent="0.25">
      <c r="B1831" s="72"/>
      <c r="C1831" s="71"/>
      <c r="D1831" s="73"/>
      <c r="E1831" s="71"/>
      <c r="F1831" s="73"/>
    </row>
    <row r="1833" spans="1:8" x14ac:dyDescent="0.25">
      <c r="B1833" s="27" t="s">
        <v>7472</v>
      </c>
      <c r="C1833" s="40"/>
      <c r="D1833" s="40"/>
    </row>
    <row r="1834" spans="1:8" x14ac:dyDescent="0.25">
      <c r="B1834" s="40" t="s">
        <v>6810</v>
      </c>
      <c r="C1834" s="40"/>
      <c r="D1834" s="40"/>
    </row>
    <row r="1835" spans="1:8" x14ac:dyDescent="0.25">
      <c r="B1835" s="40" t="s">
        <v>6811</v>
      </c>
      <c r="C1835" s="40"/>
      <c r="D1835" s="40"/>
    </row>
    <row r="1836" spans="1:8" x14ac:dyDescent="0.25">
      <c r="B1836" s="42" t="s">
        <v>6812</v>
      </c>
      <c r="C1836" s="40"/>
      <c r="D1836" s="40"/>
    </row>
    <row r="1837" spans="1:8" x14ac:dyDescent="0.25">
      <c r="B1837" s="42" t="s">
        <v>6813</v>
      </c>
      <c r="C1837" s="40"/>
      <c r="D1837" s="40"/>
    </row>
    <row r="1838" spans="1:8" x14ac:dyDescent="0.25">
      <c r="B1838" s="42" t="s">
        <v>6814</v>
      </c>
      <c r="C1838" s="40"/>
      <c r="D1838" s="40"/>
    </row>
    <row r="1839" spans="1:8" ht="100" customHeight="1" x14ac:dyDescent="0.25">
      <c r="A1839" s="41" t="str">
        <f>_xlfn.CONCAT("Sample test results are documented in ",'Sample Tables'!B1833," [",'Sample Tables'!B1834,", ",'Sample Tables'!B1835,", ",'Sample Tables'!B1836,", ",'Sample Tables'!B1837,", ",'Sample Tables'!B1838,"]."&amp;CHAR(10))</f>
        <v xml:space="preserve">Sample test results are documented in Test 167: Information System (system component patch) [Population Source/Tool: , Population Date Range: , Population Size: , Sample Methodology: , Sample Size: ].
</v>
      </c>
      <c r="B1839" s="95" t="s">
        <v>6815</v>
      </c>
      <c r="C1839" s="93" t="s">
        <v>7473</v>
      </c>
      <c r="D1839" s="94"/>
      <c r="E1839" s="93" t="s">
        <v>7474</v>
      </c>
      <c r="F1839" s="94"/>
      <c r="G1839" s="93" t="s">
        <v>7475</v>
      </c>
      <c r="H1839" s="94"/>
    </row>
    <row r="1840" spans="1:8" x14ac:dyDescent="0.25">
      <c r="B1840" s="96"/>
      <c r="C1840" s="91" t="s">
        <v>1558</v>
      </c>
      <c r="D1840" s="92"/>
      <c r="E1840" s="91" t="s">
        <v>1718</v>
      </c>
      <c r="F1840" s="92"/>
      <c r="G1840" s="91" t="s">
        <v>1720</v>
      </c>
      <c r="H1840" s="92"/>
    </row>
    <row r="1841" spans="1:10" x14ac:dyDescent="0.25">
      <c r="B1841" s="97"/>
      <c r="C1841" s="71" t="s">
        <v>6824</v>
      </c>
      <c r="D1841" s="71" t="s">
        <v>6825</v>
      </c>
      <c r="E1841" s="71" t="s">
        <v>6824</v>
      </c>
      <c r="F1841" s="71" t="s">
        <v>6825</v>
      </c>
      <c r="G1841" s="71" t="s">
        <v>6824</v>
      </c>
      <c r="H1841" s="71" t="s">
        <v>6825</v>
      </c>
    </row>
    <row r="1842" spans="1:10" x14ac:dyDescent="0.25">
      <c r="B1842" s="72"/>
      <c r="C1842" s="71"/>
      <c r="D1842" s="73"/>
      <c r="E1842" s="71"/>
      <c r="F1842" s="73"/>
      <c r="G1842" s="71"/>
      <c r="H1842" s="73"/>
    </row>
    <row r="1844" spans="1:10" x14ac:dyDescent="0.25">
      <c r="B1844" s="27" t="s">
        <v>7476</v>
      </c>
      <c r="C1844" s="40"/>
      <c r="D1844" s="40"/>
    </row>
    <row r="1845" spans="1:10" x14ac:dyDescent="0.25">
      <c r="B1845" s="40" t="s">
        <v>6810</v>
      </c>
      <c r="C1845" s="40"/>
      <c r="D1845" s="40"/>
    </row>
    <row r="1846" spans="1:10" x14ac:dyDescent="0.25">
      <c r="B1846" s="40" t="s">
        <v>6811</v>
      </c>
      <c r="C1846" s="40"/>
      <c r="D1846" s="40"/>
    </row>
    <row r="1847" spans="1:10" x14ac:dyDescent="0.25">
      <c r="B1847" s="42" t="s">
        <v>6812</v>
      </c>
      <c r="C1847" s="40"/>
      <c r="D1847" s="40"/>
    </row>
    <row r="1848" spans="1:10" x14ac:dyDescent="0.25">
      <c r="B1848" s="42" t="s">
        <v>6813</v>
      </c>
      <c r="C1848" s="40"/>
      <c r="D1848" s="40"/>
    </row>
    <row r="1849" spans="1:10" x14ac:dyDescent="0.25">
      <c r="B1849" s="42" t="s">
        <v>6814</v>
      </c>
      <c r="C1849" s="40"/>
      <c r="D1849" s="40"/>
    </row>
    <row r="1850" spans="1:10" ht="100" customHeight="1" x14ac:dyDescent="0.25">
      <c r="A1850" s="41" t="str">
        <f>_xlfn.CONCAT("Sample test results are documented in ",'Sample Tables'!B1844," [",'Sample Tables'!B1845,", ",'Sample Tables'!B1846,", ",'Sample Tables'!B1847,", ",'Sample Tables'!B1848,", ",'Sample Tables'!B1849,"]."&amp;CHAR(10))</f>
        <v xml:space="preserve">Sample test results are documented in Test 168: Information System (system component that processes covered/confidential information) [Population Source/Tool: , Population Date Range: , Population Size: , Sample Methodology: , Sample Size: ].
</v>
      </c>
      <c r="B1850" s="95" t="s">
        <v>6815</v>
      </c>
      <c r="C1850" s="93" t="s">
        <v>7477</v>
      </c>
      <c r="D1850" s="94"/>
      <c r="E1850" s="93" t="s">
        <v>7478</v>
      </c>
      <c r="F1850" s="94"/>
      <c r="G1850" s="93" t="s">
        <v>7479</v>
      </c>
      <c r="H1850" s="94"/>
      <c r="I1850" s="93" t="s">
        <v>7480</v>
      </c>
      <c r="J1850" s="94"/>
    </row>
    <row r="1851" spans="1:10" x14ac:dyDescent="0.25">
      <c r="B1851" s="96"/>
      <c r="C1851" s="91" t="s">
        <v>3361</v>
      </c>
      <c r="D1851" s="92"/>
      <c r="E1851" s="91" t="s">
        <v>3361</v>
      </c>
      <c r="F1851" s="92"/>
      <c r="G1851" s="91" t="s">
        <v>3361</v>
      </c>
      <c r="H1851" s="92"/>
      <c r="I1851" s="91" t="s">
        <v>3361</v>
      </c>
      <c r="J1851" s="92"/>
    </row>
    <row r="1852" spans="1:10" x14ac:dyDescent="0.25">
      <c r="B1852" s="97"/>
      <c r="C1852" s="71" t="s">
        <v>6824</v>
      </c>
      <c r="D1852" s="71" t="s">
        <v>6825</v>
      </c>
      <c r="E1852" s="71" t="s">
        <v>6824</v>
      </c>
      <c r="F1852" s="71" t="s">
        <v>6825</v>
      </c>
      <c r="G1852" s="71" t="s">
        <v>6824</v>
      </c>
      <c r="H1852" s="71" t="s">
        <v>6825</v>
      </c>
      <c r="I1852" s="71" t="s">
        <v>6824</v>
      </c>
      <c r="J1852" s="71" t="s">
        <v>6825</v>
      </c>
    </row>
    <row r="1853" spans="1:10" x14ac:dyDescent="0.25">
      <c r="B1853" s="72"/>
      <c r="C1853" s="71"/>
      <c r="D1853" s="73"/>
      <c r="E1853" s="71"/>
      <c r="F1853" s="73"/>
      <c r="G1853" s="71"/>
      <c r="H1853" s="73"/>
      <c r="I1853" s="71"/>
      <c r="J1853" s="73"/>
    </row>
    <row r="1855" spans="1:10" x14ac:dyDescent="0.25">
      <c r="B1855" s="27" t="s">
        <v>7481</v>
      </c>
      <c r="C1855" s="40"/>
      <c r="D1855" s="40"/>
    </row>
    <row r="1856" spans="1:10" x14ac:dyDescent="0.25">
      <c r="B1856" s="40" t="s">
        <v>6810</v>
      </c>
      <c r="C1856" s="40"/>
      <c r="D1856" s="40"/>
    </row>
    <row r="1857" spans="1:8" x14ac:dyDescent="0.25">
      <c r="B1857" s="40" t="s">
        <v>6811</v>
      </c>
      <c r="C1857" s="40"/>
      <c r="D1857" s="40"/>
    </row>
    <row r="1858" spans="1:8" x14ac:dyDescent="0.25">
      <c r="B1858" s="42" t="s">
        <v>6812</v>
      </c>
      <c r="C1858" s="40"/>
      <c r="D1858" s="40"/>
    </row>
    <row r="1859" spans="1:8" x14ac:dyDescent="0.25">
      <c r="B1859" s="42" t="s">
        <v>6813</v>
      </c>
      <c r="C1859" s="40"/>
      <c r="D1859" s="40"/>
    </row>
    <row r="1860" spans="1:8" x14ac:dyDescent="0.25">
      <c r="B1860" s="42" t="s">
        <v>6814</v>
      </c>
      <c r="C1860" s="40"/>
      <c r="D1860" s="40"/>
    </row>
    <row r="1861" spans="1:8" x14ac:dyDescent="0.25">
      <c r="A1861" s="41" t="str">
        <f>_xlfn.CONCAT("Sample test results are documented in ",'Sample Tables'!B1855," [",'Sample Tables'!B1856,", ",'Sample Tables'!B1857,", ",'Sample Tables'!B1858,", ",'Sample Tables'!B1859,", ",'Sample Tables'!B1860,"]."&amp;CHAR(10))</f>
        <v xml:space="preserve">Sample test results are documented in Test 169: Information System (system component that stores accounting of disclosure record) [Population Source/Tool: , Population Date Range: , Population Size: , Sample Methodology: , Sample Size: ].
</v>
      </c>
      <c r="B1861" s="95" t="s">
        <v>6815</v>
      </c>
      <c r="C1861" s="93"/>
      <c r="D1861" s="94"/>
    </row>
    <row r="1862" spans="1:8" x14ac:dyDescent="0.25">
      <c r="B1862" s="96"/>
      <c r="C1862" s="91"/>
      <c r="D1862" s="92"/>
    </row>
    <row r="1863" spans="1:8" x14ac:dyDescent="0.25">
      <c r="B1863" s="97"/>
      <c r="C1863" s="71" t="s">
        <v>6824</v>
      </c>
      <c r="D1863" s="71" t="s">
        <v>6825</v>
      </c>
    </row>
    <row r="1864" spans="1:8" x14ac:dyDescent="0.25">
      <c r="B1864" s="72"/>
      <c r="C1864" s="71"/>
      <c r="D1864" s="73"/>
    </row>
    <row r="1866" spans="1:8" x14ac:dyDescent="0.25">
      <c r="B1866" s="27" t="s">
        <v>7482</v>
      </c>
      <c r="C1866" s="40"/>
      <c r="D1866" s="40"/>
    </row>
    <row r="1867" spans="1:8" x14ac:dyDescent="0.25">
      <c r="B1867" s="40" t="s">
        <v>6810</v>
      </c>
      <c r="C1867" s="40"/>
      <c r="D1867" s="40"/>
    </row>
    <row r="1868" spans="1:8" x14ac:dyDescent="0.25">
      <c r="B1868" s="40" t="s">
        <v>6811</v>
      </c>
      <c r="C1868" s="40"/>
      <c r="D1868" s="40"/>
    </row>
    <row r="1869" spans="1:8" x14ac:dyDescent="0.25">
      <c r="B1869" s="42" t="s">
        <v>6812</v>
      </c>
      <c r="C1869" s="40"/>
      <c r="D1869" s="40"/>
    </row>
    <row r="1870" spans="1:8" x14ac:dyDescent="0.25">
      <c r="B1870" s="42" t="s">
        <v>6813</v>
      </c>
      <c r="C1870" s="40"/>
      <c r="D1870" s="40"/>
    </row>
    <row r="1871" spans="1:8" x14ac:dyDescent="0.25">
      <c r="B1871" s="42" t="s">
        <v>6814</v>
      </c>
      <c r="C1871" s="40"/>
      <c r="D1871" s="40"/>
    </row>
    <row r="1872" spans="1:8" ht="100" customHeight="1" x14ac:dyDescent="0.25">
      <c r="A1872" s="41" t="str">
        <f>_xlfn.CONCAT("Sample test results are documented in ",'Sample Tables'!B1866," [",'Sample Tables'!B1867,", ",'Sample Tables'!B1868,", ",'Sample Tables'!B1869,", ",'Sample Tables'!B1870,", ",'Sample Tables'!B1871,"]."&amp;CHAR(10))</f>
        <v xml:space="preserve">Sample test results are documented in Test 170: Information System (system component that stores accounting of notice record) [Population Source/Tool: , Population Date Range: , Population Size: , Sample Methodology: , Sample Size: ].
</v>
      </c>
      <c r="B1872" s="95" t="s">
        <v>6815</v>
      </c>
      <c r="C1872" s="93" t="s">
        <v>7483</v>
      </c>
      <c r="D1872" s="94"/>
      <c r="E1872" s="93" t="s">
        <v>7484</v>
      </c>
      <c r="F1872" s="94"/>
      <c r="G1872" s="93" t="s">
        <v>7485</v>
      </c>
      <c r="H1872" s="94"/>
    </row>
    <row r="1873" spans="1:8" x14ac:dyDescent="0.25">
      <c r="B1873" s="96"/>
      <c r="C1873" s="91" t="s">
        <v>5968</v>
      </c>
      <c r="D1873" s="92"/>
      <c r="E1873" s="91" t="s">
        <v>5968</v>
      </c>
      <c r="F1873" s="92"/>
      <c r="G1873" s="91" t="s">
        <v>5968</v>
      </c>
      <c r="H1873" s="92"/>
    </row>
    <row r="1874" spans="1:8" x14ac:dyDescent="0.25">
      <c r="B1874" s="97"/>
      <c r="C1874" s="71" t="s">
        <v>6824</v>
      </c>
      <c r="D1874" s="71" t="s">
        <v>6825</v>
      </c>
      <c r="E1874" s="71" t="s">
        <v>6824</v>
      </c>
      <c r="F1874" s="71" t="s">
        <v>6825</v>
      </c>
      <c r="G1874" s="71" t="s">
        <v>6824</v>
      </c>
      <c r="H1874" s="71" t="s">
        <v>6825</v>
      </c>
    </row>
    <row r="1875" spans="1:8" x14ac:dyDescent="0.25">
      <c r="B1875" s="72"/>
      <c r="C1875" s="71"/>
      <c r="D1875" s="73"/>
      <c r="E1875" s="71"/>
      <c r="F1875" s="73"/>
      <c r="G1875" s="71"/>
      <c r="H1875" s="73"/>
    </row>
    <row r="1877" spans="1:8" x14ac:dyDescent="0.25">
      <c r="B1877" s="27" t="s">
        <v>7486</v>
      </c>
      <c r="C1877" s="40"/>
      <c r="D1877" s="40"/>
    </row>
    <row r="1878" spans="1:8" x14ac:dyDescent="0.25">
      <c r="B1878" s="40" t="s">
        <v>6810</v>
      </c>
      <c r="C1878" s="40"/>
      <c r="D1878" s="40"/>
    </row>
    <row r="1879" spans="1:8" x14ac:dyDescent="0.25">
      <c r="B1879" s="40" t="s">
        <v>6811</v>
      </c>
      <c r="C1879" s="40"/>
      <c r="D1879" s="40"/>
    </row>
    <row r="1880" spans="1:8" x14ac:dyDescent="0.25">
      <c r="B1880" s="42" t="s">
        <v>6812</v>
      </c>
      <c r="C1880" s="40"/>
      <c r="D1880" s="40"/>
    </row>
    <row r="1881" spans="1:8" x14ac:dyDescent="0.25">
      <c r="B1881" s="42" t="s">
        <v>6813</v>
      </c>
      <c r="C1881" s="40"/>
      <c r="D1881" s="40"/>
    </row>
    <row r="1882" spans="1:8" x14ac:dyDescent="0.25">
      <c r="B1882" s="42" t="s">
        <v>6814</v>
      </c>
      <c r="C1882" s="40"/>
      <c r="D1882" s="40"/>
    </row>
    <row r="1883" spans="1:8" ht="100" customHeight="1" x14ac:dyDescent="0.25">
      <c r="A1883" s="41" t="str">
        <f>_xlfn.CONCAT("Sample test results are documented in ",'Sample Tables'!B1877," [",'Sample Tables'!B1878,", ",'Sample Tables'!B1879,", ",'Sample Tables'!B1880,", ",'Sample Tables'!B1881,", ",'Sample Tables'!B1882,"]."&amp;CHAR(10))</f>
        <v xml:space="preserve">Sample test results are documented in Test 171: Information System (system component that stores accounting of restriction record) [Population Source/Tool: , Population Date Range: , Population Size: , Sample Methodology: , Sample Size: ].
</v>
      </c>
      <c r="B1883" s="95" t="s">
        <v>6815</v>
      </c>
      <c r="C1883" s="93" t="s">
        <v>7483</v>
      </c>
      <c r="D1883" s="94"/>
      <c r="E1883" s="93" t="s">
        <v>7484</v>
      </c>
      <c r="F1883" s="94"/>
      <c r="G1883" s="93" t="s">
        <v>7485</v>
      </c>
      <c r="H1883" s="94"/>
    </row>
    <row r="1884" spans="1:8" x14ac:dyDescent="0.25">
      <c r="B1884" s="96"/>
      <c r="C1884" s="91" t="s">
        <v>5970</v>
      </c>
      <c r="D1884" s="92"/>
      <c r="E1884" s="91" t="s">
        <v>5970</v>
      </c>
      <c r="F1884" s="92"/>
      <c r="G1884" s="91" t="s">
        <v>5970</v>
      </c>
      <c r="H1884" s="92"/>
    </row>
    <row r="1885" spans="1:8" x14ac:dyDescent="0.25">
      <c r="B1885" s="97"/>
      <c r="C1885" s="71" t="s">
        <v>6824</v>
      </c>
      <c r="D1885" s="71" t="s">
        <v>6825</v>
      </c>
      <c r="E1885" s="71" t="s">
        <v>6824</v>
      </c>
      <c r="F1885" s="71" t="s">
        <v>6825</v>
      </c>
      <c r="G1885" s="71" t="s">
        <v>6824</v>
      </c>
      <c r="H1885" s="71" t="s">
        <v>6825</v>
      </c>
    </row>
    <row r="1886" spans="1:8" x14ac:dyDescent="0.25">
      <c r="B1886" s="72"/>
      <c r="C1886" s="71"/>
      <c r="D1886" s="73"/>
      <c r="E1886" s="71"/>
      <c r="F1886" s="73"/>
      <c r="G1886" s="71"/>
      <c r="H1886" s="73"/>
    </row>
    <row r="1888" spans="1:8" x14ac:dyDescent="0.25">
      <c r="B1888" s="27" t="s">
        <v>7487</v>
      </c>
      <c r="C1888" s="40"/>
      <c r="D1888" s="40"/>
    </row>
    <row r="1889" spans="1:4" x14ac:dyDescent="0.25">
      <c r="B1889" s="40" t="s">
        <v>6810</v>
      </c>
      <c r="C1889" s="40"/>
      <c r="D1889" s="40"/>
    </row>
    <row r="1890" spans="1:4" x14ac:dyDescent="0.25">
      <c r="B1890" s="40" t="s">
        <v>6811</v>
      </c>
      <c r="C1890" s="40"/>
      <c r="D1890" s="40"/>
    </row>
    <row r="1891" spans="1:4" x14ac:dyDescent="0.25">
      <c r="B1891" s="42" t="s">
        <v>6812</v>
      </c>
      <c r="C1891" s="40"/>
      <c r="D1891" s="40"/>
    </row>
    <row r="1892" spans="1:4" x14ac:dyDescent="0.25">
      <c r="B1892" s="42" t="s">
        <v>6813</v>
      </c>
      <c r="C1892" s="40"/>
      <c r="D1892" s="40"/>
    </row>
    <row r="1893" spans="1:4" x14ac:dyDescent="0.25">
      <c r="B1893" s="42" t="s">
        <v>6814</v>
      </c>
      <c r="C1893" s="40"/>
      <c r="D1893" s="40"/>
    </row>
    <row r="1894" spans="1:4" x14ac:dyDescent="0.25">
      <c r="A1894" s="41" t="str">
        <f>_xlfn.CONCAT("Sample test results are documented in ",'Sample Tables'!B1888," [",'Sample Tables'!B1889,", ",'Sample Tables'!B1890,", ",'Sample Tables'!B1891,", ",'Sample Tables'!B1892,", ",'Sample Tables'!B1893,"]."&amp;CHAR(10))</f>
        <v xml:space="preserve">Sample test results are documented in Test 172: Information System (system component that stores covered/confidential record after data subject death) [Population Source/Tool: , Population Date Range: , Population Size: , Sample Methodology: , Sample Size: ].
</v>
      </c>
      <c r="B1894" s="95" t="s">
        <v>6815</v>
      </c>
      <c r="C1894" s="93"/>
      <c r="D1894" s="94"/>
    </row>
    <row r="1895" spans="1:4" x14ac:dyDescent="0.25">
      <c r="B1895" s="96"/>
      <c r="C1895" s="91"/>
      <c r="D1895" s="92"/>
    </row>
    <row r="1896" spans="1:4" x14ac:dyDescent="0.25">
      <c r="B1896" s="97"/>
      <c r="C1896" s="71" t="s">
        <v>6824</v>
      </c>
      <c r="D1896" s="71" t="s">
        <v>6825</v>
      </c>
    </row>
    <row r="1897" spans="1:4" x14ac:dyDescent="0.25">
      <c r="B1897" s="72"/>
      <c r="C1897" s="71"/>
      <c r="D1897" s="73"/>
    </row>
    <row r="1899" spans="1:4" x14ac:dyDescent="0.25">
      <c r="B1899" s="27" t="s">
        <v>7488</v>
      </c>
      <c r="C1899" s="40"/>
      <c r="D1899" s="40"/>
    </row>
    <row r="1900" spans="1:4" x14ac:dyDescent="0.25">
      <c r="B1900" s="40" t="s">
        <v>6810</v>
      </c>
      <c r="C1900" s="40"/>
      <c r="D1900" s="40"/>
    </row>
    <row r="1901" spans="1:4" x14ac:dyDescent="0.25">
      <c r="B1901" s="40" t="s">
        <v>6811</v>
      </c>
      <c r="C1901" s="40"/>
      <c r="D1901" s="40"/>
    </row>
    <row r="1902" spans="1:4" x14ac:dyDescent="0.25">
      <c r="B1902" s="42" t="s">
        <v>6812</v>
      </c>
      <c r="C1902" s="40"/>
      <c r="D1902" s="40"/>
    </row>
    <row r="1903" spans="1:4" x14ac:dyDescent="0.25">
      <c r="B1903" s="42" t="s">
        <v>6813</v>
      </c>
      <c r="C1903" s="40"/>
      <c r="D1903" s="40"/>
    </row>
    <row r="1904" spans="1:4" x14ac:dyDescent="0.25">
      <c r="B1904" s="42" t="s">
        <v>6814</v>
      </c>
      <c r="C1904" s="40"/>
      <c r="D1904" s="40"/>
    </row>
    <row r="1905" spans="1:10" x14ac:dyDescent="0.25">
      <c r="A1905" s="41" t="str">
        <f>_xlfn.CONCAT("Sample test results are documented in ",'Sample Tables'!B1899," [",'Sample Tables'!B1900,", ",'Sample Tables'!B1901,", ",'Sample Tables'!B1902,", ",'Sample Tables'!B1903,", ",'Sample Tables'!B1904,"]."&amp;CHAR(10))</f>
        <v xml:space="preserve">Sample test results are documented in Test 173: Information System (system component that stores covered/confidential record subject to access by data subject) [Population Source/Tool: , Population Date Range: , Population Size: , Sample Methodology: , Sample Size: ].
</v>
      </c>
      <c r="B1905" s="95" t="s">
        <v>6815</v>
      </c>
      <c r="C1905" s="93"/>
      <c r="D1905" s="94"/>
    </row>
    <row r="1906" spans="1:10" x14ac:dyDescent="0.25">
      <c r="B1906" s="96"/>
      <c r="C1906" s="91"/>
      <c r="D1906" s="92"/>
    </row>
    <row r="1907" spans="1:10" x14ac:dyDescent="0.25">
      <c r="B1907" s="97"/>
      <c r="C1907" s="71" t="s">
        <v>6824</v>
      </c>
      <c r="D1907" s="71" t="s">
        <v>6825</v>
      </c>
    </row>
    <row r="1908" spans="1:10" x14ac:dyDescent="0.25">
      <c r="B1908" s="72"/>
      <c r="C1908" s="71"/>
      <c r="D1908" s="73"/>
    </row>
    <row r="1910" spans="1:10" x14ac:dyDescent="0.25">
      <c r="B1910" s="27" t="s">
        <v>7489</v>
      </c>
      <c r="C1910" s="40"/>
      <c r="D1910" s="40"/>
    </row>
    <row r="1911" spans="1:10" x14ac:dyDescent="0.25">
      <c r="B1911" s="40" t="s">
        <v>6810</v>
      </c>
      <c r="C1911" s="40"/>
      <c r="D1911" s="40"/>
    </row>
    <row r="1912" spans="1:10" x14ac:dyDescent="0.25">
      <c r="B1912" s="40" t="s">
        <v>6811</v>
      </c>
      <c r="C1912" s="40"/>
      <c r="D1912" s="40"/>
    </row>
    <row r="1913" spans="1:10" x14ac:dyDescent="0.25">
      <c r="B1913" s="42" t="s">
        <v>6812</v>
      </c>
      <c r="C1913" s="40"/>
      <c r="D1913" s="40"/>
    </row>
    <row r="1914" spans="1:10" x14ac:dyDescent="0.25">
      <c r="B1914" s="42" t="s">
        <v>6813</v>
      </c>
      <c r="C1914" s="40"/>
      <c r="D1914" s="40"/>
    </row>
    <row r="1915" spans="1:10" x14ac:dyDescent="0.25">
      <c r="B1915" s="42" t="s">
        <v>6814</v>
      </c>
      <c r="C1915" s="40"/>
      <c r="D1915" s="40"/>
    </row>
    <row r="1916" spans="1:10" ht="100" customHeight="1" x14ac:dyDescent="0.25">
      <c r="A1916" s="41" t="str">
        <f>_xlfn.CONCAT("Sample test results are documented in ",'Sample Tables'!B1910," [",'Sample Tables'!B1911,", ",'Sample Tables'!B1912,", ",'Sample Tables'!B1913,", ",'Sample Tables'!B1914,", ",'Sample Tables'!B1915,"]."&amp;CHAR(10))</f>
        <v xml:space="preserve">Sample test results are documented in Test 174: Information System (system component that stores covered/confidential record) [Population Source/Tool: , Population Date Range: , Population Size: , Sample Methodology: , Sample Size: ].
</v>
      </c>
      <c r="B1916" s="95" t="s">
        <v>6815</v>
      </c>
      <c r="C1916" s="93" t="s">
        <v>7490</v>
      </c>
      <c r="D1916" s="94"/>
      <c r="E1916" s="93" t="s">
        <v>7483</v>
      </c>
      <c r="F1916" s="94"/>
      <c r="G1916" s="93" t="s">
        <v>7484</v>
      </c>
      <c r="H1916" s="94"/>
      <c r="I1916" s="93" t="s">
        <v>7485</v>
      </c>
      <c r="J1916" s="94"/>
    </row>
    <row r="1917" spans="1:10" x14ac:dyDescent="0.25">
      <c r="B1917" s="96"/>
      <c r="C1917" s="91" t="s">
        <v>5964</v>
      </c>
      <c r="D1917" s="92"/>
      <c r="E1917" s="91" t="s">
        <v>6058</v>
      </c>
      <c r="F1917" s="92"/>
      <c r="G1917" s="91" t="s">
        <v>6058</v>
      </c>
      <c r="H1917" s="92"/>
      <c r="I1917" s="91" t="s">
        <v>6058</v>
      </c>
      <c r="J1917" s="92"/>
    </row>
    <row r="1918" spans="1:10" x14ac:dyDescent="0.25">
      <c r="B1918" s="97"/>
      <c r="C1918" s="71" t="s">
        <v>6824</v>
      </c>
      <c r="D1918" s="71" t="s">
        <v>6825</v>
      </c>
      <c r="E1918" s="71" t="s">
        <v>6824</v>
      </c>
      <c r="F1918" s="71" t="s">
        <v>6825</v>
      </c>
      <c r="G1918" s="71" t="s">
        <v>6824</v>
      </c>
      <c r="H1918" s="71" t="s">
        <v>6825</v>
      </c>
      <c r="I1918" s="71" t="s">
        <v>6824</v>
      </c>
      <c r="J1918" s="71" t="s">
        <v>6825</v>
      </c>
    </row>
    <row r="1919" spans="1:10" x14ac:dyDescent="0.25">
      <c r="B1919" s="72"/>
      <c r="C1919" s="71"/>
      <c r="D1919" s="73"/>
      <c r="E1919" s="71"/>
      <c r="F1919" s="73"/>
      <c r="G1919" s="71"/>
      <c r="H1919" s="73"/>
      <c r="I1919" s="71"/>
      <c r="J1919" s="73"/>
    </row>
    <row r="1921" spans="1:18" x14ac:dyDescent="0.25">
      <c r="B1921" s="27" t="s">
        <v>7491</v>
      </c>
      <c r="C1921" s="40"/>
      <c r="D1921" s="40"/>
    </row>
    <row r="1922" spans="1:18" x14ac:dyDescent="0.25">
      <c r="B1922" s="40" t="s">
        <v>6810</v>
      </c>
      <c r="C1922" s="40"/>
      <c r="D1922" s="40"/>
    </row>
    <row r="1923" spans="1:18" x14ac:dyDescent="0.25">
      <c r="B1923" s="40" t="s">
        <v>6811</v>
      </c>
      <c r="C1923" s="40"/>
      <c r="D1923" s="40"/>
    </row>
    <row r="1924" spans="1:18" x14ac:dyDescent="0.25">
      <c r="B1924" s="42" t="s">
        <v>6812</v>
      </c>
      <c r="C1924" s="40"/>
      <c r="D1924" s="40"/>
    </row>
    <row r="1925" spans="1:18" x14ac:dyDescent="0.25">
      <c r="B1925" s="42" t="s">
        <v>6813</v>
      </c>
      <c r="C1925" s="40"/>
      <c r="D1925" s="40"/>
    </row>
    <row r="1926" spans="1:18" x14ac:dyDescent="0.25">
      <c r="B1926" s="42" t="s">
        <v>6814</v>
      </c>
      <c r="C1926" s="40"/>
      <c r="D1926" s="40"/>
    </row>
    <row r="1927" spans="1:18" ht="100" customHeight="1" x14ac:dyDescent="0.25">
      <c r="A1927" s="41" t="str">
        <f>_xlfn.CONCAT("Sample test results are documented in ",'Sample Tables'!B1921," [",'Sample Tables'!B1922,", ",'Sample Tables'!B1923,", ",'Sample Tables'!B1924,", ",'Sample Tables'!B1925,", ",'Sample Tables'!B1926,"]."&amp;CHAR(10))</f>
        <v xml:space="preserve">Sample test results are documented in Test 175: Information System (system component that stores organizational record) [Population Source/Tool: , Population Date Range: , Population Size: , Sample Methodology: , Sample Size: ].
</v>
      </c>
      <c r="B1927" s="95" t="s">
        <v>6815</v>
      </c>
      <c r="C1927" s="93" t="s">
        <v>7492</v>
      </c>
      <c r="D1927" s="94"/>
      <c r="E1927" s="93" t="s">
        <v>7493</v>
      </c>
      <c r="F1927" s="94"/>
      <c r="G1927" s="93" t="s">
        <v>7494</v>
      </c>
      <c r="H1927" s="94"/>
      <c r="I1927" s="93" t="s">
        <v>7483</v>
      </c>
      <c r="J1927" s="94"/>
      <c r="K1927" s="93" t="s">
        <v>7484</v>
      </c>
      <c r="L1927" s="94"/>
      <c r="M1927" s="93" t="s">
        <v>7485</v>
      </c>
      <c r="N1927" s="94"/>
      <c r="O1927" s="93" t="s">
        <v>7495</v>
      </c>
      <c r="P1927" s="94"/>
      <c r="Q1927" s="93" t="s">
        <v>7496</v>
      </c>
      <c r="R1927" s="94"/>
    </row>
    <row r="1928" spans="1:18" x14ac:dyDescent="0.25">
      <c r="B1928" s="96"/>
      <c r="C1928" s="91" t="s">
        <v>6062</v>
      </c>
      <c r="D1928" s="92"/>
      <c r="E1928" s="91" t="s">
        <v>6066</v>
      </c>
      <c r="F1928" s="92"/>
      <c r="G1928" s="91" t="s">
        <v>6070</v>
      </c>
      <c r="H1928" s="92"/>
      <c r="I1928" s="91" t="s">
        <v>6074</v>
      </c>
      <c r="J1928" s="92"/>
      <c r="K1928" s="91" t="s">
        <v>6074</v>
      </c>
      <c r="L1928" s="92"/>
      <c r="M1928" s="91" t="s">
        <v>6074</v>
      </c>
      <c r="N1928" s="92"/>
      <c r="O1928" s="91" t="s">
        <v>6106</v>
      </c>
      <c r="P1928" s="92"/>
      <c r="Q1928" s="91" t="s">
        <v>6106</v>
      </c>
      <c r="R1928" s="92"/>
    </row>
    <row r="1929" spans="1:18" x14ac:dyDescent="0.25">
      <c r="B1929" s="97"/>
      <c r="C1929" s="71" t="s">
        <v>6824</v>
      </c>
      <c r="D1929" s="71" t="s">
        <v>6825</v>
      </c>
      <c r="E1929" s="71" t="s">
        <v>6824</v>
      </c>
      <c r="F1929" s="71" t="s">
        <v>6825</v>
      </c>
      <c r="G1929" s="71" t="s">
        <v>6824</v>
      </c>
      <c r="H1929" s="71" t="s">
        <v>6825</v>
      </c>
      <c r="I1929" s="71" t="s">
        <v>6824</v>
      </c>
      <c r="J1929" s="71" t="s">
        <v>6825</v>
      </c>
      <c r="K1929" s="71" t="s">
        <v>6824</v>
      </c>
      <c r="L1929" s="71" t="s">
        <v>6825</v>
      </c>
      <c r="M1929" s="71" t="s">
        <v>6824</v>
      </c>
      <c r="N1929" s="71" t="s">
        <v>6825</v>
      </c>
      <c r="O1929" s="71" t="s">
        <v>6824</v>
      </c>
      <c r="P1929" s="71" t="s">
        <v>6825</v>
      </c>
      <c r="Q1929" s="71" t="s">
        <v>6824</v>
      </c>
      <c r="R1929" s="71" t="s">
        <v>6825</v>
      </c>
    </row>
    <row r="1930" spans="1:18" x14ac:dyDescent="0.25">
      <c r="B1930" s="72"/>
      <c r="C1930" s="71"/>
      <c r="D1930" s="73"/>
      <c r="E1930" s="71"/>
      <c r="F1930" s="73"/>
      <c r="G1930" s="71"/>
      <c r="H1930" s="73"/>
      <c r="I1930" s="71"/>
      <c r="J1930" s="73"/>
      <c r="K1930" s="71"/>
      <c r="L1930" s="73"/>
      <c r="M1930" s="71"/>
      <c r="N1930" s="73"/>
      <c r="O1930" s="71"/>
      <c r="P1930" s="73"/>
      <c r="Q1930" s="71"/>
      <c r="R1930" s="73"/>
    </row>
    <row r="1932" spans="1:18" x14ac:dyDescent="0.25">
      <c r="B1932" s="27" t="s">
        <v>7497</v>
      </c>
      <c r="C1932" s="40"/>
      <c r="D1932" s="40"/>
    </row>
    <row r="1933" spans="1:18" x14ac:dyDescent="0.25">
      <c r="B1933" s="40" t="s">
        <v>6810</v>
      </c>
      <c r="C1933" s="40"/>
      <c r="D1933" s="40"/>
    </row>
    <row r="1934" spans="1:18" x14ac:dyDescent="0.25">
      <c r="B1934" s="40" t="s">
        <v>6811</v>
      </c>
      <c r="C1934" s="40"/>
      <c r="D1934" s="40"/>
    </row>
    <row r="1935" spans="1:18" x14ac:dyDescent="0.25">
      <c r="B1935" s="42" t="s">
        <v>6812</v>
      </c>
      <c r="C1935" s="40"/>
      <c r="D1935" s="40"/>
    </row>
    <row r="1936" spans="1:18" x14ac:dyDescent="0.25">
      <c r="B1936" s="42" t="s">
        <v>6813</v>
      </c>
      <c r="C1936" s="40"/>
      <c r="D1936" s="40"/>
    </row>
    <row r="1937" spans="1:54" x14ac:dyDescent="0.25">
      <c r="B1937" s="42" t="s">
        <v>6814</v>
      </c>
      <c r="C1937" s="40"/>
      <c r="D1937" s="40"/>
    </row>
    <row r="1938" spans="1:54" ht="100" customHeight="1" x14ac:dyDescent="0.25">
      <c r="A1938" s="41" t="str">
        <f>_xlfn.CONCAT("Sample test results are documented in ",'Sample Tables'!B1932," [",'Sample Tables'!B1933,", ",'Sample Tables'!B1934,", ",'Sample Tables'!B1935,", ",'Sample Tables'!B1936,", ",'Sample Tables'!B1937,"]."&amp;CHAR(10))</f>
        <v xml:space="preserve">Sample test results are documented in Test 176: Information System (system component that was disposed/exchanged/transferred) [Population Source/Tool: , Population Date Range: , Population Size: , Sample Methodology: , Sample Size: ].
</v>
      </c>
      <c r="B1938" s="95" t="s">
        <v>6815</v>
      </c>
      <c r="C1938" s="93" t="s">
        <v>7498</v>
      </c>
      <c r="D1938" s="94"/>
    </row>
    <row r="1939" spans="1:54" x14ac:dyDescent="0.25">
      <c r="B1939" s="96"/>
      <c r="C1939" s="91" t="s">
        <v>1528</v>
      </c>
      <c r="D1939" s="92"/>
    </row>
    <row r="1940" spans="1:54" x14ac:dyDescent="0.25">
      <c r="B1940" s="97"/>
      <c r="C1940" s="71" t="s">
        <v>6824</v>
      </c>
      <c r="D1940" s="71" t="s">
        <v>6825</v>
      </c>
    </row>
    <row r="1941" spans="1:54" x14ac:dyDescent="0.25">
      <c r="B1941" s="72"/>
      <c r="C1941" s="71"/>
      <c r="D1941" s="73"/>
    </row>
    <row r="1943" spans="1:54" x14ac:dyDescent="0.25">
      <c r="B1943" s="27" t="s">
        <v>7499</v>
      </c>
      <c r="C1943" s="40"/>
      <c r="D1943" s="40"/>
    </row>
    <row r="1944" spans="1:54" x14ac:dyDescent="0.25">
      <c r="B1944" s="40" t="s">
        <v>6810</v>
      </c>
      <c r="C1944" s="40"/>
      <c r="D1944" s="40"/>
    </row>
    <row r="1945" spans="1:54" x14ac:dyDescent="0.25">
      <c r="B1945" s="40" t="s">
        <v>6811</v>
      </c>
      <c r="C1945" s="40"/>
      <c r="D1945" s="40"/>
    </row>
    <row r="1946" spans="1:54" x14ac:dyDescent="0.25">
      <c r="B1946" s="42" t="s">
        <v>6812</v>
      </c>
      <c r="C1946" s="40"/>
      <c r="D1946" s="40"/>
    </row>
    <row r="1947" spans="1:54" x14ac:dyDescent="0.25">
      <c r="B1947" s="42" t="s">
        <v>6813</v>
      </c>
      <c r="C1947" s="40"/>
      <c r="D1947" s="40"/>
    </row>
    <row r="1948" spans="1:54" x14ac:dyDescent="0.25">
      <c r="B1948" s="42" t="s">
        <v>6814</v>
      </c>
      <c r="C1948" s="40"/>
      <c r="D1948" s="40"/>
    </row>
    <row r="1949" spans="1:54" ht="100" customHeight="1" x14ac:dyDescent="0.25">
      <c r="A1949" s="41" t="str">
        <f>_xlfn.CONCAT("Sample test results are documented in ",'Sample Tables'!B1943," [",'Sample Tables'!B1944,", ",'Sample Tables'!B1945,", ",'Sample Tables'!B1946,", ",'Sample Tables'!B1947,", ",'Sample Tables'!B1948,"]."&amp;CHAR(10))</f>
        <v xml:space="preserve">Sample test results are documented in Test 177: Information System (system component) [Population Source/Tool: , Population Date Range: , Population Size: , Sample Methodology: , Sample Size: ].
</v>
      </c>
      <c r="B1949" s="95" t="s">
        <v>6815</v>
      </c>
      <c r="C1949" s="93" t="s">
        <v>6875</v>
      </c>
      <c r="D1949" s="94"/>
      <c r="E1949" s="93" t="s">
        <v>7500</v>
      </c>
      <c r="F1949" s="94"/>
      <c r="G1949" s="93" t="s">
        <v>7501</v>
      </c>
      <c r="H1949" s="94"/>
      <c r="I1949" s="93" t="s">
        <v>7502</v>
      </c>
      <c r="J1949" s="94"/>
      <c r="K1949" s="93" t="s">
        <v>7503</v>
      </c>
      <c r="L1949" s="94"/>
      <c r="M1949" s="93" t="s">
        <v>7504</v>
      </c>
      <c r="N1949" s="94"/>
      <c r="O1949" s="93" t="s">
        <v>7505</v>
      </c>
      <c r="P1949" s="94"/>
      <c r="Q1949" s="93" t="s">
        <v>7506</v>
      </c>
      <c r="R1949" s="94"/>
      <c r="S1949" s="93" t="s">
        <v>7507</v>
      </c>
      <c r="T1949" s="94"/>
      <c r="U1949" s="93" t="s">
        <v>7508</v>
      </c>
      <c r="V1949" s="94"/>
      <c r="W1949" s="93" t="s">
        <v>7509</v>
      </c>
      <c r="X1949" s="94"/>
      <c r="Y1949" s="93" t="s">
        <v>7500</v>
      </c>
      <c r="Z1949" s="94"/>
      <c r="AA1949" s="93" t="s">
        <v>7510</v>
      </c>
      <c r="AB1949" s="94"/>
      <c r="AC1949" s="93" t="s">
        <v>7511</v>
      </c>
      <c r="AD1949" s="94"/>
      <c r="AE1949" s="93" t="s">
        <v>7512</v>
      </c>
      <c r="AF1949" s="94"/>
      <c r="AG1949" s="93" t="s">
        <v>6885</v>
      </c>
      <c r="AH1949" s="94"/>
      <c r="AI1949" s="93" t="s">
        <v>7513</v>
      </c>
      <c r="AJ1949" s="94"/>
      <c r="AK1949" s="93" t="s">
        <v>7514</v>
      </c>
      <c r="AL1949" s="94"/>
      <c r="AM1949" s="93" t="s">
        <v>7515</v>
      </c>
      <c r="AN1949" s="94"/>
      <c r="AO1949" s="93" t="s">
        <v>7516</v>
      </c>
      <c r="AP1949" s="94"/>
      <c r="AQ1949" s="93" t="s">
        <v>7517</v>
      </c>
      <c r="AR1949" s="94"/>
      <c r="AS1949" s="93" t="s">
        <v>7518</v>
      </c>
      <c r="AT1949" s="94"/>
      <c r="AU1949" s="93" t="s">
        <v>7519</v>
      </c>
      <c r="AV1949" s="94"/>
      <c r="AW1949" s="93" t="s">
        <v>7520</v>
      </c>
      <c r="AX1949" s="94"/>
      <c r="AY1949" s="93" t="s">
        <v>7377</v>
      </c>
      <c r="AZ1949" s="94"/>
      <c r="BA1949" s="93" t="s">
        <v>7521</v>
      </c>
      <c r="BB1949" s="94"/>
    </row>
    <row r="1950" spans="1:54" x14ac:dyDescent="0.25">
      <c r="B1950" s="96"/>
      <c r="C1950" s="91" t="s">
        <v>1094</v>
      </c>
      <c r="D1950" s="92"/>
      <c r="E1950" s="91" t="s">
        <v>1530</v>
      </c>
      <c r="F1950" s="92"/>
      <c r="G1950" s="91" t="s">
        <v>1530</v>
      </c>
      <c r="H1950" s="92"/>
      <c r="I1950" s="91" t="s">
        <v>1538</v>
      </c>
      <c r="J1950" s="92"/>
      <c r="K1950" s="91" t="s">
        <v>1538</v>
      </c>
      <c r="L1950" s="92"/>
      <c r="M1950" s="91" t="s">
        <v>1538</v>
      </c>
      <c r="N1950" s="92"/>
      <c r="O1950" s="91" t="s">
        <v>1538</v>
      </c>
      <c r="P1950" s="92"/>
      <c r="Q1950" s="91" t="s">
        <v>1538</v>
      </c>
      <c r="R1950" s="92"/>
      <c r="S1950" s="91" t="s">
        <v>1538</v>
      </c>
      <c r="T1950" s="92"/>
      <c r="U1950" s="91" t="s">
        <v>1538</v>
      </c>
      <c r="V1950" s="92"/>
      <c r="W1950" s="91" t="s">
        <v>1538</v>
      </c>
      <c r="X1950" s="92"/>
      <c r="Y1950" s="91" t="s">
        <v>1538</v>
      </c>
      <c r="Z1950" s="92"/>
      <c r="AA1950" s="91" t="s">
        <v>1538</v>
      </c>
      <c r="AB1950" s="92"/>
      <c r="AC1950" s="91" t="s">
        <v>1538</v>
      </c>
      <c r="AD1950" s="92"/>
      <c r="AE1950" s="91" t="s">
        <v>1538</v>
      </c>
      <c r="AF1950" s="92"/>
      <c r="AG1950" s="91" t="s">
        <v>1552</v>
      </c>
      <c r="AH1950" s="92"/>
      <c r="AI1950" s="91" t="s">
        <v>1552</v>
      </c>
      <c r="AJ1950" s="92"/>
      <c r="AK1950" s="91" t="s">
        <v>1878</v>
      </c>
      <c r="AL1950" s="92"/>
      <c r="AM1950" s="91" t="s">
        <v>1878</v>
      </c>
      <c r="AN1950" s="92"/>
      <c r="AO1950" s="91" t="s">
        <v>1878</v>
      </c>
      <c r="AP1950" s="92"/>
      <c r="AQ1950" s="91" t="s">
        <v>3020</v>
      </c>
      <c r="AR1950" s="92"/>
      <c r="AS1950" s="91" t="s">
        <v>4475</v>
      </c>
      <c r="AT1950" s="92"/>
      <c r="AU1950" s="91" t="s">
        <v>4475</v>
      </c>
      <c r="AV1950" s="92"/>
      <c r="AW1950" s="91" t="s">
        <v>4475</v>
      </c>
      <c r="AX1950" s="92"/>
      <c r="AY1950" s="91" t="s">
        <v>5154</v>
      </c>
      <c r="AZ1950" s="92"/>
      <c r="BA1950" s="91" t="s">
        <v>5154</v>
      </c>
      <c r="BB1950" s="92"/>
    </row>
    <row r="1951" spans="1:54" x14ac:dyDescent="0.25">
      <c r="B1951" s="97"/>
      <c r="C1951" s="71" t="s">
        <v>6824</v>
      </c>
      <c r="D1951" s="71" t="s">
        <v>6825</v>
      </c>
      <c r="E1951" s="71" t="s">
        <v>6824</v>
      </c>
      <c r="F1951" s="71" t="s">
        <v>6825</v>
      </c>
      <c r="G1951" s="71" t="s">
        <v>6824</v>
      </c>
      <c r="H1951" s="71" t="s">
        <v>6825</v>
      </c>
      <c r="I1951" s="71" t="s">
        <v>6824</v>
      </c>
      <c r="J1951" s="71" t="s">
        <v>6825</v>
      </c>
      <c r="K1951" s="71" t="s">
        <v>6824</v>
      </c>
      <c r="L1951" s="71" t="s">
        <v>6825</v>
      </c>
      <c r="M1951" s="71" t="s">
        <v>6824</v>
      </c>
      <c r="N1951" s="71" t="s">
        <v>6825</v>
      </c>
      <c r="O1951" s="71" t="s">
        <v>6824</v>
      </c>
      <c r="P1951" s="71" t="s">
        <v>6825</v>
      </c>
      <c r="Q1951" s="71" t="s">
        <v>6824</v>
      </c>
      <c r="R1951" s="71" t="s">
        <v>6825</v>
      </c>
      <c r="S1951" s="71" t="s">
        <v>6824</v>
      </c>
      <c r="T1951" s="71" t="s">
        <v>6825</v>
      </c>
      <c r="U1951" s="71" t="s">
        <v>6824</v>
      </c>
      <c r="V1951" s="71" t="s">
        <v>6825</v>
      </c>
      <c r="W1951" s="71" t="s">
        <v>6824</v>
      </c>
      <c r="X1951" s="71" t="s">
        <v>6825</v>
      </c>
      <c r="Y1951" s="71" t="s">
        <v>6824</v>
      </c>
      <c r="Z1951" s="71" t="s">
        <v>6825</v>
      </c>
      <c r="AA1951" s="71" t="s">
        <v>6824</v>
      </c>
      <c r="AB1951" s="71" t="s">
        <v>6825</v>
      </c>
      <c r="AC1951" s="71" t="s">
        <v>6824</v>
      </c>
      <c r="AD1951" s="71" t="s">
        <v>6825</v>
      </c>
      <c r="AE1951" s="71" t="s">
        <v>6824</v>
      </c>
      <c r="AF1951" s="71" t="s">
        <v>6825</v>
      </c>
      <c r="AG1951" s="71" t="s">
        <v>6824</v>
      </c>
      <c r="AH1951" s="71" t="s">
        <v>6825</v>
      </c>
      <c r="AI1951" s="71" t="s">
        <v>6824</v>
      </c>
      <c r="AJ1951" s="71" t="s">
        <v>6825</v>
      </c>
      <c r="AK1951" s="71" t="s">
        <v>6824</v>
      </c>
      <c r="AL1951" s="71" t="s">
        <v>6825</v>
      </c>
      <c r="AM1951" s="71" t="s">
        <v>6824</v>
      </c>
      <c r="AN1951" s="71" t="s">
        <v>6825</v>
      </c>
      <c r="AO1951" s="71" t="s">
        <v>6824</v>
      </c>
      <c r="AP1951" s="71" t="s">
        <v>6825</v>
      </c>
      <c r="AQ1951" s="71" t="s">
        <v>6824</v>
      </c>
      <c r="AR1951" s="71" t="s">
        <v>6825</v>
      </c>
      <c r="AS1951" s="71" t="s">
        <v>6824</v>
      </c>
      <c r="AT1951" s="71" t="s">
        <v>6825</v>
      </c>
      <c r="AU1951" s="71" t="s">
        <v>6824</v>
      </c>
      <c r="AV1951" s="71" t="s">
        <v>6825</v>
      </c>
      <c r="AW1951" s="71" t="s">
        <v>6824</v>
      </c>
      <c r="AX1951" s="71" t="s">
        <v>6825</v>
      </c>
      <c r="AY1951" s="71" t="s">
        <v>6824</v>
      </c>
      <c r="AZ1951" s="71" t="s">
        <v>6825</v>
      </c>
      <c r="BA1951" s="71" t="s">
        <v>6824</v>
      </c>
      <c r="BB1951" s="71" t="s">
        <v>6825</v>
      </c>
    </row>
    <row r="1952" spans="1:54" x14ac:dyDescent="0.25">
      <c r="B1952" s="72"/>
      <c r="C1952" s="71"/>
      <c r="D1952" s="73"/>
      <c r="E1952" s="71"/>
      <c r="F1952" s="73"/>
      <c r="G1952" s="71"/>
      <c r="H1952" s="73"/>
      <c r="I1952" s="71"/>
      <c r="J1952" s="73"/>
      <c r="K1952" s="71"/>
      <c r="L1952" s="73"/>
      <c r="M1952" s="71"/>
      <c r="N1952" s="73"/>
      <c r="O1952" s="71"/>
      <c r="P1952" s="73"/>
      <c r="Q1952" s="71"/>
      <c r="R1952" s="73"/>
      <c r="S1952" s="71"/>
      <c r="T1952" s="73"/>
      <c r="U1952" s="71"/>
      <c r="V1952" s="73"/>
      <c r="W1952" s="71"/>
      <c r="X1952" s="73"/>
      <c r="Y1952" s="71"/>
      <c r="Z1952" s="73"/>
      <c r="AA1952" s="71"/>
      <c r="AB1952" s="73"/>
      <c r="AC1952" s="71"/>
      <c r="AD1952" s="73"/>
      <c r="AE1952" s="71"/>
      <c r="AF1952" s="73"/>
      <c r="AG1952" s="71"/>
      <c r="AH1952" s="73"/>
      <c r="AI1952" s="71"/>
      <c r="AJ1952" s="73"/>
      <c r="AK1952" s="71"/>
      <c r="AL1952" s="73"/>
      <c r="AM1952" s="71"/>
      <c r="AN1952" s="73"/>
      <c r="AO1952" s="71"/>
      <c r="AP1952" s="73"/>
      <c r="AQ1952" s="71"/>
      <c r="AR1952" s="73"/>
      <c r="AS1952" s="71"/>
      <c r="AT1952" s="73"/>
      <c r="AU1952" s="71"/>
      <c r="AV1952" s="73"/>
      <c r="AW1952" s="71"/>
      <c r="AX1952" s="73"/>
      <c r="AY1952" s="71"/>
      <c r="AZ1952" s="73"/>
      <c r="BA1952" s="71"/>
      <c r="BB1952" s="73"/>
    </row>
    <row r="1954" spans="1:4" x14ac:dyDescent="0.25">
      <c r="B1954" s="27" t="s">
        <v>7522</v>
      </c>
      <c r="C1954" s="40"/>
      <c r="D1954" s="40"/>
    </row>
    <row r="1955" spans="1:4" x14ac:dyDescent="0.25">
      <c r="B1955" s="40" t="s">
        <v>6810</v>
      </c>
      <c r="C1955" s="40"/>
      <c r="D1955" s="40"/>
    </row>
    <row r="1956" spans="1:4" x14ac:dyDescent="0.25">
      <c r="B1956" s="40" t="s">
        <v>6811</v>
      </c>
      <c r="C1956" s="40"/>
      <c r="D1956" s="40"/>
    </row>
    <row r="1957" spans="1:4" x14ac:dyDescent="0.25">
      <c r="B1957" s="42" t="s">
        <v>6812</v>
      </c>
      <c r="C1957" s="40"/>
      <c r="D1957" s="40"/>
    </row>
    <row r="1958" spans="1:4" x14ac:dyDescent="0.25">
      <c r="B1958" s="42" t="s">
        <v>6813</v>
      </c>
      <c r="C1958" s="40"/>
      <c r="D1958" s="40"/>
    </row>
    <row r="1959" spans="1:4" x14ac:dyDescent="0.25">
      <c r="B1959" s="42" t="s">
        <v>6814</v>
      </c>
      <c r="C1959" s="40"/>
      <c r="D1959" s="40"/>
    </row>
    <row r="1960" spans="1:4" ht="100" customHeight="1" x14ac:dyDescent="0.25">
      <c r="A1960" s="41" t="str">
        <f>_xlfn.CONCAT("Sample test results are documented in ",'Sample Tables'!B1954," [",'Sample Tables'!B1955,", ",'Sample Tables'!B1956,", ",'Sample Tables'!B1957,", ",'Sample Tables'!B1958,", ",'Sample Tables'!B1959,"]."&amp;CHAR(10))</f>
        <v xml:space="preserve">Sample test results are documented in Test 178: Information System (unauthorized access attempt) [Population Source/Tool: , Population Date Range: , Population Size: , Sample Methodology: , Sample Size: ].
</v>
      </c>
      <c r="B1960" s="95" t="s">
        <v>6815</v>
      </c>
      <c r="C1960" s="93" t="s">
        <v>7523</v>
      </c>
      <c r="D1960" s="94"/>
    </row>
    <row r="1961" spans="1:4" x14ac:dyDescent="0.25">
      <c r="B1961" s="96"/>
      <c r="C1961" s="91" t="s">
        <v>2919</v>
      </c>
      <c r="D1961" s="92"/>
    </row>
    <row r="1962" spans="1:4" x14ac:dyDescent="0.25">
      <c r="B1962" s="97"/>
      <c r="C1962" s="71" t="s">
        <v>6824</v>
      </c>
      <c r="D1962" s="71" t="s">
        <v>6825</v>
      </c>
    </row>
    <row r="1963" spans="1:4" x14ac:dyDescent="0.25">
      <c r="B1963" s="72"/>
      <c r="C1963" s="71"/>
      <c r="D1963" s="73"/>
    </row>
    <row r="1965" spans="1:4" x14ac:dyDescent="0.25">
      <c r="B1965" s="27" t="s">
        <v>7524</v>
      </c>
      <c r="C1965" s="40"/>
      <c r="D1965" s="40"/>
    </row>
    <row r="1966" spans="1:4" x14ac:dyDescent="0.25">
      <c r="B1966" s="40" t="s">
        <v>6810</v>
      </c>
      <c r="C1966" s="40"/>
      <c r="D1966" s="40"/>
    </row>
    <row r="1967" spans="1:4" x14ac:dyDescent="0.25">
      <c r="B1967" s="40" t="s">
        <v>6811</v>
      </c>
      <c r="C1967" s="40"/>
      <c r="D1967" s="40"/>
    </row>
    <row r="1968" spans="1:4" x14ac:dyDescent="0.25">
      <c r="B1968" s="42" t="s">
        <v>6812</v>
      </c>
      <c r="C1968" s="40"/>
      <c r="D1968" s="40"/>
    </row>
    <row r="1969" spans="1:56" x14ac:dyDescent="0.25">
      <c r="B1969" s="42" t="s">
        <v>6813</v>
      </c>
      <c r="C1969" s="40"/>
      <c r="D1969" s="40"/>
    </row>
    <row r="1970" spans="1:56" x14ac:dyDescent="0.25">
      <c r="B1970" s="42" t="s">
        <v>6814</v>
      </c>
      <c r="C1970" s="40"/>
      <c r="D1970" s="40"/>
    </row>
    <row r="1971" spans="1:56" x14ac:dyDescent="0.25">
      <c r="A1971" s="41" t="str">
        <f>_xlfn.CONCAT("Sample test results are documented in ",'Sample Tables'!B1965," [",'Sample Tables'!B1966,", ",'Sample Tables'!B1967,", ",'Sample Tables'!B1968,", ",'Sample Tables'!B1969,", ",'Sample Tables'!B1970,"]."&amp;CHAR(10))</f>
        <v xml:space="preserve">Sample test results are documented in Test 179: Information System (update to CMS) [Population Source/Tool: , Population Date Range: , Population Size: , Sample Methodology: , Sample Size: ].
</v>
      </c>
      <c r="B1971" s="95" t="s">
        <v>6815</v>
      </c>
      <c r="C1971" s="93"/>
      <c r="D1971" s="94"/>
    </row>
    <row r="1972" spans="1:56" x14ac:dyDescent="0.25">
      <c r="B1972" s="96"/>
      <c r="C1972" s="91"/>
      <c r="D1972" s="92"/>
    </row>
    <row r="1973" spans="1:56" x14ac:dyDescent="0.25">
      <c r="B1973" s="97"/>
      <c r="C1973" s="71" t="s">
        <v>6824</v>
      </c>
      <c r="D1973" s="71" t="s">
        <v>6825</v>
      </c>
    </row>
    <row r="1974" spans="1:56" x14ac:dyDescent="0.25">
      <c r="B1974" s="72"/>
      <c r="C1974" s="71"/>
      <c r="D1974" s="73"/>
    </row>
    <row r="1976" spans="1:56" x14ac:dyDescent="0.25">
      <c r="B1976" s="27" t="s">
        <v>7525</v>
      </c>
      <c r="C1976" s="40"/>
      <c r="D1976" s="40"/>
    </row>
    <row r="1977" spans="1:56" x14ac:dyDescent="0.25">
      <c r="B1977" s="40" t="s">
        <v>6810</v>
      </c>
      <c r="C1977" s="40"/>
      <c r="D1977" s="40"/>
    </row>
    <row r="1978" spans="1:56" x14ac:dyDescent="0.25">
      <c r="B1978" s="40" t="s">
        <v>6811</v>
      </c>
      <c r="C1978" s="40"/>
      <c r="D1978" s="40"/>
    </row>
    <row r="1979" spans="1:56" x14ac:dyDescent="0.25">
      <c r="B1979" s="42" t="s">
        <v>6812</v>
      </c>
      <c r="C1979" s="40"/>
      <c r="D1979" s="40"/>
    </row>
    <row r="1980" spans="1:56" x14ac:dyDescent="0.25">
      <c r="B1980" s="42" t="s">
        <v>6813</v>
      </c>
      <c r="C1980" s="40"/>
      <c r="D1980" s="40"/>
    </row>
    <row r="1981" spans="1:56" x14ac:dyDescent="0.25">
      <c r="B1981" s="42" t="s">
        <v>6814</v>
      </c>
      <c r="C1981" s="40"/>
      <c r="D1981" s="40"/>
    </row>
    <row r="1982" spans="1:56" ht="100" customHeight="1" x14ac:dyDescent="0.25">
      <c r="A1982" s="41" t="str">
        <f>_xlfn.CONCAT("Sample test results are documented in ",'Sample Tables'!B1976," [",'Sample Tables'!B1977,", ",'Sample Tables'!B1978,", ",'Sample Tables'!B1979,", ",'Sample Tables'!B1980,", ",'Sample Tables'!B1981,"]."&amp;CHAR(10))</f>
        <v xml:space="preserve">Sample test results are documented in Test 180: Network Device (firewall) [Population Source/Tool: , Population Date Range: , Population Size: , Sample Methodology: , Sample Size: ].
</v>
      </c>
      <c r="B1982" s="95" t="s">
        <v>6815</v>
      </c>
      <c r="C1982" s="93" t="s">
        <v>7526</v>
      </c>
      <c r="D1982" s="94"/>
      <c r="E1982" s="93" t="s">
        <v>7527</v>
      </c>
      <c r="F1982" s="94"/>
      <c r="G1982" s="93" t="s">
        <v>7528</v>
      </c>
      <c r="H1982" s="94"/>
      <c r="I1982" s="93" t="s">
        <v>7529</v>
      </c>
      <c r="J1982" s="94"/>
      <c r="K1982" s="93" t="s">
        <v>7530</v>
      </c>
      <c r="L1982" s="94"/>
      <c r="M1982" s="93" t="s">
        <v>7531</v>
      </c>
      <c r="N1982" s="94"/>
      <c r="O1982" s="93" t="s">
        <v>7532</v>
      </c>
      <c r="P1982" s="94"/>
      <c r="Q1982" s="93" t="s">
        <v>7526</v>
      </c>
      <c r="R1982" s="94"/>
      <c r="S1982" s="93" t="s">
        <v>7531</v>
      </c>
      <c r="T1982" s="94"/>
      <c r="U1982" s="93" t="s">
        <v>7533</v>
      </c>
      <c r="V1982" s="94"/>
      <c r="W1982" s="93" t="s">
        <v>7534</v>
      </c>
      <c r="X1982" s="94"/>
      <c r="Y1982" s="93" t="s">
        <v>7535</v>
      </c>
      <c r="Z1982" s="94"/>
      <c r="AA1982" s="93" t="s">
        <v>7536</v>
      </c>
      <c r="AB1982" s="94"/>
      <c r="AC1982" s="93" t="s">
        <v>7537</v>
      </c>
      <c r="AD1982" s="94"/>
      <c r="AE1982" s="93" t="s">
        <v>7538</v>
      </c>
      <c r="AF1982" s="94"/>
      <c r="AG1982" s="93" t="s">
        <v>7539</v>
      </c>
      <c r="AH1982" s="94"/>
      <c r="AI1982" s="93" t="s">
        <v>7540</v>
      </c>
      <c r="AJ1982" s="94"/>
      <c r="AK1982" s="93" t="s">
        <v>7541</v>
      </c>
      <c r="AL1982" s="94"/>
      <c r="AM1982" s="93" t="s">
        <v>7541</v>
      </c>
      <c r="AN1982" s="94"/>
      <c r="AO1982" s="93" t="s">
        <v>7542</v>
      </c>
      <c r="AP1982" s="94"/>
      <c r="AQ1982" s="93" t="s">
        <v>7543</v>
      </c>
      <c r="AR1982" s="94"/>
      <c r="AS1982" s="93" t="s">
        <v>6855</v>
      </c>
      <c r="AT1982" s="94"/>
      <c r="AU1982" s="93" t="s">
        <v>6998</v>
      </c>
      <c r="AV1982" s="94"/>
      <c r="AW1982" s="93" t="s">
        <v>6999</v>
      </c>
      <c r="AX1982" s="94"/>
      <c r="AY1982" s="93" t="s">
        <v>7000</v>
      </c>
      <c r="AZ1982" s="94"/>
      <c r="BA1982" s="93" t="s">
        <v>7544</v>
      </c>
      <c r="BB1982" s="94"/>
      <c r="BC1982" s="93" t="s">
        <v>7028</v>
      </c>
      <c r="BD1982" s="94"/>
    </row>
    <row r="1983" spans="1:56" x14ac:dyDescent="0.25">
      <c r="B1983" s="96"/>
      <c r="C1983" s="91" t="s">
        <v>1832</v>
      </c>
      <c r="D1983" s="92"/>
      <c r="E1983" s="91" t="s">
        <v>1832</v>
      </c>
      <c r="F1983" s="92"/>
      <c r="G1983" s="91" t="s">
        <v>1832</v>
      </c>
      <c r="H1983" s="92"/>
      <c r="I1983" s="91" t="s">
        <v>1832</v>
      </c>
      <c r="J1983" s="92"/>
      <c r="K1983" s="91" t="s">
        <v>1834</v>
      </c>
      <c r="L1983" s="92"/>
      <c r="M1983" s="91" t="s">
        <v>1853</v>
      </c>
      <c r="N1983" s="92"/>
      <c r="O1983" s="91" t="s">
        <v>1868</v>
      </c>
      <c r="P1983" s="92"/>
      <c r="Q1983" s="91" t="s">
        <v>1868</v>
      </c>
      <c r="R1983" s="92"/>
      <c r="S1983" s="91" t="s">
        <v>1868</v>
      </c>
      <c r="T1983" s="92"/>
      <c r="U1983" s="91" t="s">
        <v>1870</v>
      </c>
      <c r="V1983" s="92"/>
      <c r="W1983" s="91" t="s">
        <v>1905</v>
      </c>
      <c r="X1983" s="92"/>
      <c r="Y1983" s="91" t="s">
        <v>1916</v>
      </c>
      <c r="Z1983" s="92"/>
      <c r="AA1983" s="91" t="s">
        <v>1916</v>
      </c>
      <c r="AB1983" s="92"/>
      <c r="AC1983" s="91" t="s">
        <v>1916</v>
      </c>
      <c r="AD1983" s="92"/>
      <c r="AE1983" s="91" t="s">
        <v>1916</v>
      </c>
      <c r="AF1983" s="92"/>
      <c r="AG1983" s="91" t="s">
        <v>1922</v>
      </c>
      <c r="AH1983" s="92"/>
      <c r="AI1983" s="91" t="s">
        <v>1922</v>
      </c>
      <c r="AJ1983" s="92"/>
      <c r="AK1983" s="91" t="s">
        <v>1967</v>
      </c>
      <c r="AL1983" s="92"/>
      <c r="AM1983" s="91" t="s">
        <v>1796</v>
      </c>
      <c r="AN1983" s="92"/>
      <c r="AO1983" s="91" t="s">
        <v>1976</v>
      </c>
      <c r="AP1983" s="92"/>
      <c r="AQ1983" s="91" t="s">
        <v>1978</v>
      </c>
      <c r="AR1983" s="92"/>
      <c r="AS1983" s="91" t="s">
        <v>2379</v>
      </c>
      <c r="AT1983" s="92"/>
      <c r="AU1983" s="91" t="s">
        <v>2379</v>
      </c>
      <c r="AV1983" s="92"/>
      <c r="AW1983" s="91" t="s">
        <v>2758</v>
      </c>
      <c r="AX1983" s="92"/>
      <c r="AY1983" s="91" t="s">
        <v>2758</v>
      </c>
      <c r="AZ1983" s="92"/>
      <c r="BA1983" s="91" t="s">
        <v>2897</v>
      </c>
      <c r="BB1983" s="92"/>
      <c r="BC1983" s="91" t="s">
        <v>3597</v>
      </c>
      <c r="BD1983" s="92"/>
    </row>
    <row r="1984" spans="1:56" x14ac:dyDescent="0.25">
      <c r="B1984" s="97"/>
      <c r="C1984" s="71" t="s">
        <v>6824</v>
      </c>
      <c r="D1984" s="71" t="s">
        <v>6825</v>
      </c>
      <c r="E1984" s="71" t="s">
        <v>6824</v>
      </c>
      <c r="F1984" s="71" t="s">
        <v>6825</v>
      </c>
      <c r="G1984" s="71" t="s">
        <v>6824</v>
      </c>
      <c r="H1984" s="71" t="s">
        <v>6825</v>
      </c>
      <c r="I1984" s="71" t="s">
        <v>6824</v>
      </c>
      <c r="J1984" s="71" t="s">
        <v>6825</v>
      </c>
      <c r="K1984" s="71" t="s">
        <v>6824</v>
      </c>
      <c r="L1984" s="71" t="s">
        <v>6825</v>
      </c>
      <c r="M1984" s="71" t="s">
        <v>6824</v>
      </c>
      <c r="N1984" s="71" t="s">
        <v>6825</v>
      </c>
      <c r="O1984" s="71" t="s">
        <v>6824</v>
      </c>
      <c r="P1984" s="71" t="s">
        <v>6825</v>
      </c>
      <c r="Q1984" s="71" t="s">
        <v>6824</v>
      </c>
      <c r="R1984" s="71" t="s">
        <v>6825</v>
      </c>
      <c r="S1984" s="71" t="s">
        <v>6824</v>
      </c>
      <c r="T1984" s="71" t="s">
        <v>6825</v>
      </c>
      <c r="U1984" s="71" t="s">
        <v>6824</v>
      </c>
      <c r="V1984" s="71" t="s">
        <v>6825</v>
      </c>
      <c r="W1984" s="71" t="s">
        <v>6824</v>
      </c>
      <c r="X1984" s="71" t="s">
        <v>6825</v>
      </c>
      <c r="Y1984" s="71" t="s">
        <v>6824</v>
      </c>
      <c r="Z1984" s="71" t="s">
        <v>6825</v>
      </c>
      <c r="AA1984" s="71" t="s">
        <v>6824</v>
      </c>
      <c r="AB1984" s="71" t="s">
        <v>6825</v>
      </c>
      <c r="AC1984" s="71" t="s">
        <v>6824</v>
      </c>
      <c r="AD1984" s="71" t="s">
        <v>6825</v>
      </c>
      <c r="AE1984" s="71" t="s">
        <v>6824</v>
      </c>
      <c r="AF1984" s="71" t="s">
        <v>6825</v>
      </c>
      <c r="AG1984" s="71" t="s">
        <v>6824</v>
      </c>
      <c r="AH1984" s="71" t="s">
        <v>6825</v>
      </c>
      <c r="AI1984" s="71" t="s">
        <v>6824</v>
      </c>
      <c r="AJ1984" s="71" t="s">
        <v>6825</v>
      </c>
      <c r="AK1984" s="71" t="s">
        <v>6824</v>
      </c>
      <c r="AL1984" s="71" t="s">
        <v>6825</v>
      </c>
      <c r="AM1984" s="71" t="s">
        <v>6824</v>
      </c>
      <c r="AN1984" s="71" t="s">
        <v>6825</v>
      </c>
      <c r="AO1984" s="71" t="s">
        <v>6824</v>
      </c>
      <c r="AP1984" s="71" t="s">
        <v>6825</v>
      </c>
      <c r="AQ1984" s="71" t="s">
        <v>6824</v>
      </c>
      <c r="AR1984" s="71" t="s">
        <v>6825</v>
      </c>
      <c r="AS1984" s="71" t="s">
        <v>6824</v>
      </c>
      <c r="AT1984" s="71" t="s">
        <v>6825</v>
      </c>
      <c r="AU1984" s="71" t="s">
        <v>6824</v>
      </c>
      <c r="AV1984" s="71" t="s">
        <v>6825</v>
      </c>
      <c r="AW1984" s="71" t="s">
        <v>6824</v>
      </c>
      <c r="AX1984" s="71" t="s">
        <v>6825</v>
      </c>
      <c r="AY1984" s="71" t="s">
        <v>6824</v>
      </c>
      <c r="AZ1984" s="71" t="s">
        <v>6825</v>
      </c>
      <c r="BA1984" s="71" t="s">
        <v>6824</v>
      </c>
      <c r="BB1984" s="71" t="s">
        <v>6825</v>
      </c>
      <c r="BC1984" s="71" t="s">
        <v>6824</v>
      </c>
      <c r="BD1984" s="71" t="s">
        <v>6825</v>
      </c>
    </row>
    <row r="1985" spans="1:56" x14ac:dyDescent="0.25">
      <c r="B1985" s="72"/>
      <c r="C1985" s="71"/>
      <c r="D1985" s="73"/>
      <c r="E1985" s="71"/>
      <c r="F1985" s="73"/>
      <c r="G1985" s="71"/>
      <c r="H1985" s="73"/>
      <c r="I1985" s="71"/>
      <c r="J1985" s="73"/>
      <c r="K1985" s="71"/>
      <c r="L1985" s="73"/>
      <c r="M1985" s="71"/>
      <c r="N1985" s="73"/>
      <c r="O1985" s="71"/>
      <c r="P1985" s="73"/>
      <c r="Q1985" s="71"/>
      <c r="R1985" s="73"/>
      <c r="S1985" s="71"/>
      <c r="T1985" s="73"/>
      <c r="U1985" s="71"/>
      <c r="V1985" s="73"/>
      <c r="W1985" s="71"/>
      <c r="X1985" s="73"/>
      <c r="Y1985" s="71"/>
      <c r="Z1985" s="73"/>
      <c r="AA1985" s="71"/>
      <c r="AB1985" s="73"/>
      <c r="AC1985" s="71"/>
      <c r="AD1985" s="73"/>
      <c r="AE1985" s="71"/>
      <c r="AF1985" s="73"/>
      <c r="AG1985" s="71"/>
      <c r="AH1985" s="73"/>
      <c r="AI1985" s="71"/>
      <c r="AJ1985" s="73"/>
      <c r="AK1985" s="71"/>
      <c r="AL1985" s="73"/>
      <c r="AM1985" s="71"/>
      <c r="AN1985" s="73"/>
      <c r="AO1985" s="71"/>
      <c r="AP1985" s="73"/>
      <c r="AQ1985" s="71"/>
      <c r="AR1985" s="73"/>
      <c r="AS1985" s="71"/>
      <c r="AT1985" s="73"/>
      <c r="AU1985" s="71"/>
      <c r="AV1985" s="73"/>
      <c r="AW1985" s="71"/>
      <c r="AX1985" s="73"/>
      <c r="AY1985" s="71"/>
      <c r="AZ1985" s="73"/>
      <c r="BA1985" s="71"/>
      <c r="BB1985" s="73"/>
      <c r="BC1985" s="71"/>
      <c r="BD1985" s="73"/>
    </row>
    <row r="1987" spans="1:56" x14ac:dyDescent="0.25">
      <c r="B1987" s="27" t="s">
        <v>7545</v>
      </c>
      <c r="C1987" s="40"/>
      <c r="D1987" s="40"/>
    </row>
    <row r="1988" spans="1:56" x14ac:dyDescent="0.25">
      <c r="B1988" s="40" t="s">
        <v>6810</v>
      </c>
      <c r="C1988" s="40"/>
      <c r="D1988" s="40"/>
    </row>
    <row r="1989" spans="1:56" x14ac:dyDescent="0.25">
      <c r="B1989" s="40" t="s">
        <v>6811</v>
      </c>
      <c r="C1989" s="40"/>
      <c r="D1989" s="40"/>
    </row>
    <row r="1990" spans="1:56" x14ac:dyDescent="0.25">
      <c r="B1990" s="42" t="s">
        <v>6812</v>
      </c>
      <c r="C1990" s="40"/>
      <c r="D1990" s="40"/>
    </row>
    <row r="1991" spans="1:56" x14ac:dyDescent="0.25">
      <c r="B1991" s="42" t="s">
        <v>6813</v>
      </c>
      <c r="C1991" s="40"/>
      <c r="D1991" s="40"/>
    </row>
    <row r="1992" spans="1:56" x14ac:dyDescent="0.25">
      <c r="B1992" s="42" t="s">
        <v>6814</v>
      </c>
      <c r="C1992" s="40"/>
      <c r="D1992" s="40"/>
    </row>
    <row r="1993" spans="1:56" ht="100" customHeight="1" x14ac:dyDescent="0.25">
      <c r="A1993" s="41" t="str">
        <f>_xlfn.CONCAT("Sample test results are documented in ",'Sample Tables'!B1987," [",'Sample Tables'!B1988,", ",'Sample Tables'!B1989,", ",'Sample Tables'!B1990,", ",'Sample Tables'!B1991,", ",'Sample Tables'!B1992,"]."&amp;CHAR(10))</f>
        <v xml:space="preserve">Sample test results are documented in Test 181: Network Device (identified as unauthorized) [Population Source/Tool: , Population Date Range: , Population Size: , Sample Methodology: , Sample Size: ].
</v>
      </c>
      <c r="B1993" s="95" t="s">
        <v>6815</v>
      </c>
      <c r="C1993" s="93" t="s">
        <v>7011</v>
      </c>
      <c r="D1993" s="94"/>
      <c r="E1993" s="93" t="s">
        <v>7011</v>
      </c>
      <c r="F1993" s="94"/>
    </row>
    <row r="1994" spans="1:56" x14ac:dyDescent="0.25">
      <c r="B1994" s="96"/>
      <c r="C1994" s="91" t="s">
        <v>1598</v>
      </c>
      <c r="D1994" s="92"/>
      <c r="E1994" s="91" t="s">
        <v>1336</v>
      </c>
      <c r="F1994" s="92"/>
    </row>
    <row r="1995" spans="1:56" x14ac:dyDescent="0.25">
      <c r="B1995" s="97"/>
      <c r="C1995" s="71" t="s">
        <v>6824</v>
      </c>
      <c r="D1995" s="71" t="s">
        <v>6825</v>
      </c>
      <c r="E1995" s="71" t="s">
        <v>6824</v>
      </c>
      <c r="F1995" s="71" t="s">
        <v>6825</v>
      </c>
    </row>
    <row r="1996" spans="1:56" x14ac:dyDescent="0.25">
      <c r="B1996" s="72"/>
      <c r="C1996" s="71"/>
      <c r="D1996" s="73"/>
      <c r="E1996" s="71"/>
      <c r="F1996" s="73"/>
    </row>
    <row r="1998" spans="1:56" x14ac:dyDescent="0.25">
      <c r="B1998" s="27" t="s">
        <v>7546</v>
      </c>
      <c r="C1998" s="40"/>
      <c r="D1998" s="40"/>
    </row>
    <row r="1999" spans="1:56" x14ac:dyDescent="0.25">
      <c r="B1999" s="40" t="s">
        <v>6810</v>
      </c>
      <c r="C1999" s="40"/>
      <c r="D1999" s="40"/>
    </row>
    <row r="2000" spans="1:56" x14ac:dyDescent="0.25">
      <c r="B2000" s="40" t="s">
        <v>6811</v>
      </c>
      <c r="C2000" s="40"/>
      <c r="D2000" s="40"/>
    </row>
    <row r="2001" spans="1:24" x14ac:dyDescent="0.25">
      <c r="B2001" s="42" t="s">
        <v>6812</v>
      </c>
      <c r="C2001" s="40"/>
      <c r="D2001" s="40"/>
    </row>
    <row r="2002" spans="1:24" x14ac:dyDescent="0.25">
      <c r="B2002" s="42" t="s">
        <v>6813</v>
      </c>
      <c r="C2002" s="40"/>
      <c r="D2002" s="40"/>
    </row>
    <row r="2003" spans="1:24" x14ac:dyDescent="0.25">
      <c r="B2003" s="42" t="s">
        <v>6814</v>
      </c>
      <c r="C2003" s="40"/>
      <c r="D2003" s="40"/>
    </row>
    <row r="2004" spans="1:24" ht="100" customHeight="1" x14ac:dyDescent="0.25">
      <c r="A2004" s="41" t="str">
        <f>_xlfn.CONCAT("Sample test results are documented in ",'Sample Tables'!B1998," [",'Sample Tables'!B1999,", ",'Sample Tables'!B2000,", ",'Sample Tables'!B2001,", ",'Sample Tables'!B2002,", ",'Sample Tables'!B2003,"]."&amp;CHAR(10))</f>
        <v xml:space="preserve">Sample test results are documented in Test 182: Network Device (router) [Population Source/Tool: , Population Date Range: , Population Size: , Sample Methodology: , Sample Size: ].
</v>
      </c>
      <c r="B2004" s="95" t="s">
        <v>6815</v>
      </c>
      <c r="C2004" s="93" t="s">
        <v>7535</v>
      </c>
      <c r="D2004" s="94"/>
      <c r="E2004" s="93" t="s">
        <v>7536</v>
      </c>
      <c r="F2004" s="94"/>
      <c r="G2004" s="93" t="s">
        <v>7537</v>
      </c>
      <c r="H2004" s="94"/>
      <c r="I2004" s="93" t="s">
        <v>7538</v>
      </c>
      <c r="J2004" s="94"/>
      <c r="K2004" s="93" t="s">
        <v>7543</v>
      </c>
      <c r="L2004" s="94"/>
      <c r="M2004" s="93" t="s">
        <v>6855</v>
      </c>
      <c r="N2004" s="94"/>
      <c r="O2004" s="93" t="s">
        <v>6998</v>
      </c>
      <c r="P2004" s="94"/>
      <c r="Q2004" s="93" t="s">
        <v>6999</v>
      </c>
      <c r="R2004" s="94"/>
      <c r="S2004" s="93" t="s">
        <v>7000</v>
      </c>
      <c r="T2004" s="94"/>
      <c r="U2004" s="93" t="s">
        <v>7544</v>
      </c>
      <c r="V2004" s="94"/>
      <c r="W2004" s="93" t="s">
        <v>7028</v>
      </c>
      <c r="X2004" s="94"/>
    </row>
    <row r="2005" spans="1:24" x14ac:dyDescent="0.25">
      <c r="B2005" s="96"/>
      <c r="C2005" s="91" t="s">
        <v>1916</v>
      </c>
      <c r="D2005" s="92"/>
      <c r="E2005" s="91" t="s">
        <v>1916</v>
      </c>
      <c r="F2005" s="92"/>
      <c r="G2005" s="91" t="s">
        <v>1916</v>
      </c>
      <c r="H2005" s="92"/>
      <c r="I2005" s="91" t="s">
        <v>1916</v>
      </c>
      <c r="J2005" s="92"/>
      <c r="K2005" s="91" t="s">
        <v>1978</v>
      </c>
      <c r="L2005" s="92"/>
      <c r="M2005" s="91" t="s">
        <v>2379</v>
      </c>
      <c r="N2005" s="92"/>
      <c r="O2005" s="91" t="s">
        <v>2379</v>
      </c>
      <c r="P2005" s="92"/>
      <c r="Q2005" s="91" t="s">
        <v>2758</v>
      </c>
      <c r="R2005" s="92"/>
      <c r="S2005" s="91" t="s">
        <v>2758</v>
      </c>
      <c r="T2005" s="92"/>
      <c r="U2005" s="91" t="s">
        <v>2897</v>
      </c>
      <c r="V2005" s="92"/>
      <c r="W2005" s="91" t="s">
        <v>3597</v>
      </c>
      <c r="X2005" s="92"/>
    </row>
    <row r="2006" spans="1:24" x14ac:dyDescent="0.25">
      <c r="B2006" s="97"/>
      <c r="C2006" s="71" t="s">
        <v>6824</v>
      </c>
      <c r="D2006" s="71" t="s">
        <v>6825</v>
      </c>
      <c r="E2006" s="71" t="s">
        <v>6824</v>
      </c>
      <c r="F2006" s="71" t="s">
        <v>6825</v>
      </c>
      <c r="G2006" s="71" t="s">
        <v>6824</v>
      </c>
      <c r="H2006" s="71" t="s">
        <v>6825</v>
      </c>
      <c r="I2006" s="71" t="s">
        <v>6824</v>
      </c>
      <c r="J2006" s="71" t="s">
        <v>6825</v>
      </c>
      <c r="K2006" s="71" t="s">
        <v>6824</v>
      </c>
      <c r="L2006" s="71" t="s">
        <v>6825</v>
      </c>
      <c r="M2006" s="71" t="s">
        <v>6824</v>
      </c>
      <c r="N2006" s="71" t="s">
        <v>6825</v>
      </c>
      <c r="O2006" s="71" t="s">
        <v>6824</v>
      </c>
      <c r="P2006" s="71" t="s">
        <v>6825</v>
      </c>
      <c r="Q2006" s="71" t="s">
        <v>6824</v>
      </c>
      <c r="R2006" s="71" t="s">
        <v>6825</v>
      </c>
      <c r="S2006" s="71" t="s">
        <v>6824</v>
      </c>
      <c r="T2006" s="71" t="s">
        <v>6825</v>
      </c>
      <c r="U2006" s="71" t="s">
        <v>6824</v>
      </c>
      <c r="V2006" s="71" t="s">
        <v>6825</v>
      </c>
      <c r="W2006" s="71" t="s">
        <v>6824</v>
      </c>
      <c r="X2006" s="71" t="s">
        <v>6825</v>
      </c>
    </row>
    <row r="2007" spans="1:24" x14ac:dyDescent="0.25">
      <c r="B2007" s="72"/>
      <c r="C2007" s="71"/>
      <c r="D2007" s="73"/>
      <c r="E2007" s="71"/>
      <c r="F2007" s="73"/>
      <c r="G2007" s="71"/>
      <c r="H2007" s="73"/>
      <c r="I2007" s="71"/>
      <c r="J2007" s="73"/>
      <c r="K2007" s="71"/>
      <c r="L2007" s="73"/>
      <c r="M2007" s="71"/>
      <c r="N2007" s="73"/>
      <c r="O2007" s="71"/>
      <c r="P2007" s="73"/>
      <c r="Q2007" s="71"/>
      <c r="R2007" s="73"/>
      <c r="S2007" s="71"/>
      <c r="T2007" s="73"/>
      <c r="U2007" s="71"/>
      <c r="V2007" s="73"/>
      <c r="W2007" s="71"/>
      <c r="X2007" s="73"/>
    </row>
    <row r="2009" spans="1:24" x14ac:dyDescent="0.25">
      <c r="B2009" s="27" t="s">
        <v>7547</v>
      </c>
      <c r="C2009" s="40"/>
      <c r="D2009" s="40"/>
    </row>
    <row r="2010" spans="1:24" x14ac:dyDescent="0.25">
      <c r="B2010" s="40" t="s">
        <v>6810</v>
      </c>
      <c r="C2010" s="40"/>
      <c r="D2010" s="40"/>
    </row>
    <row r="2011" spans="1:24" x14ac:dyDescent="0.25">
      <c r="B2011" s="40" t="s">
        <v>6811</v>
      </c>
      <c r="C2011" s="40"/>
      <c r="D2011" s="40"/>
    </row>
    <row r="2012" spans="1:24" x14ac:dyDescent="0.25">
      <c r="B2012" s="42" t="s">
        <v>6812</v>
      </c>
      <c r="C2012" s="40"/>
      <c r="D2012" s="40"/>
    </row>
    <row r="2013" spans="1:24" x14ac:dyDescent="0.25">
      <c r="B2013" s="42" t="s">
        <v>6813</v>
      </c>
      <c r="C2013" s="40"/>
      <c r="D2013" s="40"/>
    </row>
    <row r="2014" spans="1:24" x14ac:dyDescent="0.25">
      <c r="B2014" s="42" t="s">
        <v>6814</v>
      </c>
      <c r="C2014" s="40"/>
      <c r="D2014" s="40"/>
    </row>
    <row r="2015" spans="1:24" ht="100" customHeight="1" x14ac:dyDescent="0.25">
      <c r="A2015" s="41" t="str">
        <f>_xlfn.CONCAT("Sample test results are documented in ",'Sample Tables'!B2009," [",'Sample Tables'!B2010,", ",'Sample Tables'!B2011,", ",'Sample Tables'!B2012,", ",'Sample Tables'!B2013,", ",'Sample Tables'!B2014,"]."&amp;CHAR(10))</f>
        <v xml:space="preserve">Sample test results are documented in Test 183: Network Device (switch) [Population Source/Tool: , Population Date Range: , Population Size: , Sample Methodology: , Sample Size: ].
</v>
      </c>
      <c r="B2015" s="95" t="s">
        <v>6815</v>
      </c>
      <c r="C2015" s="93" t="s">
        <v>6855</v>
      </c>
      <c r="D2015" s="94"/>
      <c r="E2015" s="93" t="s">
        <v>6998</v>
      </c>
      <c r="F2015" s="94"/>
      <c r="G2015" s="93" t="s">
        <v>6999</v>
      </c>
      <c r="H2015" s="94"/>
      <c r="I2015" s="93" t="s">
        <v>7000</v>
      </c>
      <c r="J2015" s="94"/>
      <c r="K2015" s="93" t="s">
        <v>7544</v>
      </c>
      <c r="L2015" s="94"/>
      <c r="M2015" s="93" t="s">
        <v>7028</v>
      </c>
      <c r="N2015" s="94"/>
    </row>
    <row r="2016" spans="1:24" x14ac:dyDescent="0.25">
      <c r="B2016" s="96"/>
      <c r="C2016" s="91" t="s">
        <v>2379</v>
      </c>
      <c r="D2016" s="92"/>
      <c r="E2016" s="91" t="s">
        <v>2379</v>
      </c>
      <c r="F2016" s="92"/>
      <c r="G2016" s="91" t="s">
        <v>2758</v>
      </c>
      <c r="H2016" s="92"/>
      <c r="I2016" s="91" t="s">
        <v>2758</v>
      </c>
      <c r="J2016" s="92"/>
      <c r="K2016" s="91" t="s">
        <v>2897</v>
      </c>
      <c r="L2016" s="92"/>
      <c r="M2016" s="91" t="s">
        <v>3597</v>
      </c>
      <c r="N2016" s="92"/>
    </row>
    <row r="2017" spans="1:30" x14ac:dyDescent="0.25">
      <c r="B2017" s="97"/>
      <c r="C2017" s="71" t="s">
        <v>6824</v>
      </c>
      <c r="D2017" s="71" t="s">
        <v>6825</v>
      </c>
      <c r="E2017" s="71" t="s">
        <v>6824</v>
      </c>
      <c r="F2017" s="71" t="s">
        <v>6825</v>
      </c>
      <c r="G2017" s="71" t="s">
        <v>6824</v>
      </c>
      <c r="H2017" s="71" t="s">
        <v>6825</v>
      </c>
      <c r="I2017" s="71" t="s">
        <v>6824</v>
      </c>
      <c r="J2017" s="71" t="s">
        <v>6825</v>
      </c>
      <c r="K2017" s="71" t="s">
        <v>6824</v>
      </c>
      <c r="L2017" s="71" t="s">
        <v>6825</v>
      </c>
      <c r="M2017" s="71" t="s">
        <v>6824</v>
      </c>
      <c r="N2017" s="71" t="s">
        <v>6825</v>
      </c>
    </row>
    <row r="2018" spans="1:30" x14ac:dyDescent="0.25">
      <c r="B2018" s="72"/>
      <c r="C2018" s="71"/>
      <c r="D2018" s="73"/>
      <c r="E2018" s="71"/>
      <c r="F2018" s="73"/>
      <c r="G2018" s="71"/>
      <c r="H2018" s="73"/>
      <c r="I2018" s="71"/>
      <c r="J2018" s="73"/>
      <c r="K2018" s="71"/>
      <c r="L2018" s="73"/>
      <c r="M2018" s="71"/>
      <c r="N2018" s="73"/>
    </row>
    <row r="2020" spans="1:30" x14ac:dyDescent="0.25">
      <c r="B2020" s="27" t="s">
        <v>7548</v>
      </c>
      <c r="C2020" s="40"/>
      <c r="D2020" s="40"/>
    </row>
    <row r="2021" spans="1:30" x14ac:dyDescent="0.25">
      <c r="B2021" s="40" t="s">
        <v>6810</v>
      </c>
      <c r="C2021" s="40"/>
      <c r="D2021" s="40"/>
    </row>
    <row r="2022" spans="1:30" x14ac:dyDescent="0.25">
      <c r="B2022" s="40" t="s">
        <v>6811</v>
      </c>
      <c r="C2022" s="40"/>
      <c r="D2022" s="40"/>
    </row>
    <row r="2023" spans="1:30" x14ac:dyDescent="0.25">
      <c r="B2023" s="42" t="s">
        <v>6812</v>
      </c>
      <c r="C2023" s="40"/>
      <c r="D2023" s="40"/>
    </row>
    <row r="2024" spans="1:30" x14ac:dyDescent="0.25">
      <c r="B2024" s="42" t="s">
        <v>6813</v>
      </c>
      <c r="C2024" s="40"/>
      <c r="D2024" s="40"/>
    </row>
    <row r="2025" spans="1:30" x14ac:dyDescent="0.25">
      <c r="B2025" s="42" t="s">
        <v>6814</v>
      </c>
      <c r="C2025" s="40"/>
      <c r="D2025" s="40"/>
    </row>
    <row r="2026" spans="1:30" ht="100" customHeight="1" x14ac:dyDescent="0.25">
      <c r="A2026" s="41" t="str">
        <f>_xlfn.CONCAT("Sample test results are documented in ",'Sample Tables'!B2020," [",'Sample Tables'!B2021,", ",'Sample Tables'!B2022,", ",'Sample Tables'!B2023,", ",'Sample Tables'!B2024,", ",'Sample Tables'!B2025,"]."&amp;CHAR(10))</f>
        <v xml:space="preserve">Sample test results are documented in Test 184: Network Device (wireless access point) [Population Source/Tool: , Population Date Range: , Population Size: , Sample Methodology: , Sample Size: ].
</v>
      </c>
      <c r="B2026" s="95" t="s">
        <v>6815</v>
      </c>
      <c r="C2026" s="93" t="s">
        <v>6855</v>
      </c>
      <c r="D2026" s="94"/>
      <c r="E2026" s="93" t="s">
        <v>7549</v>
      </c>
      <c r="F2026" s="94"/>
      <c r="G2026" s="93" t="s">
        <v>7550</v>
      </c>
      <c r="H2026" s="94"/>
      <c r="I2026" s="93" t="s">
        <v>7549</v>
      </c>
      <c r="J2026" s="94"/>
      <c r="K2026" s="93" t="s">
        <v>7551</v>
      </c>
      <c r="L2026" s="94"/>
      <c r="M2026" s="93" t="s">
        <v>7552</v>
      </c>
      <c r="N2026" s="94"/>
      <c r="O2026" s="93" t="s">
        <v>7553</v>
      </c>
      <c r="P2026" s="94"/>
      <c r="Q2026" s="93" t="s">
        <v>7553</v>
      </c>
      <c r="R2026" s="94"/>
      <c r="S2026" s="93" t="s">
        <v>6855</v>
      </c>
      <c r="T2026" s="94"/>
      <c r="U2026" s="93" t="s">
        <v>6998</v>
      </c>
      <c r="V2026" s="94"/>
      <c r="W2026" s="93" t="s">
        <v>6999</v>
      </c>
      <c r="X2026" s="94"/>
      <c r="Y2026" s="93" t="s">
        <v>7000</v>
      </c>
      <c r="Z2026" s="94"/>
      <c r="AA2026" s="93" t="s">
        <v>7544</v>
      </c>
      <c r="AB2026" s="94"/>
      <c r="AC2026" s="93" t="s">
        <v>7028</v>
      </c>
      <c r="AD2026" s="94"/>
    </row>
    <row r="2027" spans="1:30" x14ac:dyDescent="0.25">
      <c r="B2027" s="96"/>
      <c r="C2027" s="91" t="s">
        <v>933</v>
      </c>
      <c r="D2027" s="92"/>
      <c r="E2027" s="91" t="s">
        <v>937</v>
      </c>
      <c r="F2027" s="92"/>
      <c r="G2027" s="91" t="s">
        <v>939</v>
      </c>
      <c r="H2027" s="92"/>
      <c r="I2027" s="91" t="s">
        <v>945</v>
      </c>
      <c r="J2027" s="92"/>
      <c r="K2027" s="91" t="s">
        <v>1918</v>
      </c>
      <c r="L2027" s="92"/>
      <c r="M2027" s="91" t="s">
        <v>1918</v>
      </c>
      <c r="N2027" s="92"/>
      <c r="O2027" s="91" t="s">
        <v>1958</v>
      </c>
      <c r="P2027" s="92"/>
      <c r="Q2027" s="91" t="s">
        <v>1784</v>
      </c>
      <c r="R2027" s="92"/>
      <c r="S2027" s="91" t="s">
        <v>2379</v>
      </c>
      <c r="T2027" s="92"/>
      <c r="U2027" s="91" t="s">
        <v>2379</v>
      </c>
      <c r="V2027" s="92"/>
      <c r="W2027" s="91" t="s">
        <v>2758</v>
      </c>
      <c r="X2027" s="92"/>
      <c r="Y2027" s="91" t="s">
        <v>2758</v>
      </c>
      <c r="Z2027" s="92"/>
      <c r="AA2027" s="91" t="s">
        <v>2897</v>
      </c>
      <c r="AB2027" s="92"/>
      <c r="AC2027" s="91" t="s">
        <v>3597</v>
      </c>
      <c r="AD2027" s="92"/>
    </row>
    <row r="2028" spans="1:30" x14ac:dyDescent="0.25">
      <c r="B2028" s="97"/>
      <c r="C2028" s="71" t="s">
        <v>6824</v>
      </c>
      <c r="D2028" s="71" t="s">
        <v>6825</v>
      </c>
      <c r="E2028" s="71" t="s">
        <v>6824</v>
      </c>
      <c r="F2028" s="71" t="s">
        <v>6825</v>
      </c>
      <c r="G2028" s="71" t="s">
        <v>6824</v>
      </c>
      <c r="H2028" s="71" t="s">
        <v>6825</v>
      </c>
      <c r="I2028" s="71" t="s">
        <v>6824</v>
      </c>
      <c r="J2028" s="71" t="s">
        <v>6825</v>
      </c>
      <c r="K2028" s="71" t="s">
        <v>6824</v>
      </c>
      <c r="L2028" s="71" t="s">
        <v>6825</v>
      </c>
      <c r="M2028" s="71" t="s">
        <v>6824</v>
      </c>
      <c r="N2028" s="71" t="s">
        <v>6825</v>
      </c>
      <c r="O2028" s="71" t="s">
        <v>6824</v>
      </c>
      <c r="P2028" s="71" t="s">
        <v>6825</v>
      </c>
      <c r="Q2028" s="71" t="s">
        <v>6824</v>
      </c>
      <c r="R2028" s="71" t="s">
        <v>6825</v>
      </c>
      <c r="S2028" s="71" t="s">
        <v>6824</v>
      </c>
      <c r="T2028" s="71" t="s">
        <v>6825</v>
      </c>
      <c r="U2028" s="71" t="s">
        <v>6824</v>
      </c>
      <c r="V2028" s="71" t="s">
        <v>6825</v>
      </c>
      <c r="W2028" s="71" t="s">
        <v>6824</v>
      </c>
      <c r="X2028" s="71" t="s">
        <v>6825</v>
      </c>
      <c r="Y2028" s="71" t="s">
        <v>6824</v>
      </c>
      <c r="Z2028" s="71" t="s">
        <v>6825</v>
      </c>
      <c r="AA2028" s="71" t="s">
        <v>6824</v>
      </c>
      <c r="AB2028" s="71" t="s">
        <v>6825</v>
      </c>
      <c r="AC2028" s="71" t="s">
        <v>6824</v>
      </c>
      <c r="AD2028" s="71" t="s">
        <v>6825</v>
      </c>
    </row>
    <row r="2029" spans="1:30" x14ac:dyDescent="0.25">
      <c r="B2029" s="72"/>
      <c r="C2029" s="71"/>
      <c r="D2029" s="73"/>
      <c r="E2029" s="71"/>
      <c r="F2029" s="73"/>
      <c r="G2029" s="71"/>
      <c r="H2029" s="73"/>
      <c r="I2029" s="71"/>
      <c r="J2029" s="73"/>
      <c r="K2029" s="71"/>
      <c r="L2029" s="73"/>
      <c r="M2029" s="71"/>
      <c r="N2029" s="73"/>
      <c r="O2029" s="71"/>
      <c r="P2029" s="73"/>
      <c r="Q2029" s="71"/>
      <c r="R2029" s="73"/>
      <c r="S2029" s="71"/>
      <c r="T2029" s="73"/>
      <c r="U2029" s="71"/>
      <c r="V2029" s="73"/>
      <c r="W2029" s="71"/>
      <c r="X2029" s="73"/>
      <c r="Y2029" s="71"/>
      <c r="Z2029" s="73"/>
      <c r="AA2029" s="71"/>
      <c r="AB2029" s="73"/>
      <c r="AC2029" s="71"/>
      <c r="AD2029" s="73"/>
    </row>
    <row r="2031" spans="1:30" x14ac:dyDescent="0.25">
      <c r="B2031" s="27" t="s">
        <v>7554</v>
      </c>
      <c r="C2031" s="40"/>
      <c r="D2031" s="40"/>
    </row>
    <row r="2032" spans="1:30" x14ac:dyDescent="0.25">
      <c r="B2032" s="40" t="s">
        <v>6810</v>
      </c>
      <c r="C2032" s="40"/>
      <c r="D2032" s="40"/>
    </row>
    <row r="2033" spans="1:28" x14ac:dyDescent="0.25">
      <c r="B2033" s="40" t="s">
        <v>6811</v>
      </c>
      <c r="C2033" s="40"/>
      <c r="D2033" s="40"/>
    </row>
    <row r="2034" spans="1:28" x14ac:dyDescent="0.25">
      <c r="B2034" s="42" t="s">
        <v>6812</v>
      </c>
      <c r="C2034" s="40"/>
      <c r="D2034" s="40"/>
    </row>
    <row r="2035" spans="1:28" x14ac:dyDescent="0.25">
      <c r="B2035" s="42" t="s">
        <v>6813</v>
      </c>
      <c r="C2035" s="40"/>
      <c r="D2035" s="40"/>
    </row>
    <row r="2036" spans="1:28" x14ac:dyDescent="0.25">
      <c r="B2036" s="42" t="s">
        <v>6814</v>
      </c>
      <c r="C2036" s="40"/>
      <c r="D2036" s="40"/>
    </row>
    <row r="2037" spans="1:28" ht="100" customHeight="1" x14ac:dyDescent="0.25">
      <c r="A2037" s="41" t="str">
        <f>_xlfn.CONCAT("Sample test results are documented in ",'Sample Tables'!B2031," [",'Sample Tables'!B2032,", ",'Sample Tables'!B2033,", ",'Sample Tables'!B2034,", ",'Sample Tables'!B2035,", ",'Sample Tables'!B2036,"]."&amp;CHAR(10))</f>
        <v xml:space="preserve">Sample test results are documented in Test 185: Removable Media [Population Source/Tool: , Population Date Range: , Population Size: , Sample Methodology: , Sample Size: ].
</v>
      </c>
      <c r="B2037" s="95" t="s">
        <v>6815</v>
      </c>
      <c r="C2037" s="93" t="s">
        <v>7013</v>
      </c>
      <c r="D2037" s="94"/>
      <c r="E2037" s="93" t="s">
        <v>7014</v>
      </c>
      <c r="F2037" s="94"/>
      <c r="G2037" s="93" t="s">
        <v>7013</v>
      </c>
      <c r="H2037" s="94"/>
      <c r="I2037" s="93" t="s">
        <v>7014</v>
      </c>
      <c r="J2037" s="94"/>
      <c r="K2037" s="93" t="s">
        <v>7555</v>
      </c>
      <c r="L2037" s="94"/>
      <c r="M2037" s="93" t="s">
        <v>7556</v>
      </c>
      <c r="N2037" s="94"/>
      <c r="O2037" s="93" t="s">
        <v>7557</v>
      </c>
      <c r="P2037" s="94"/>
      <c r="Q2037" s="93" t="s">
        <v>7558</v>
      </c>
      <c r="R2037" s="94"/>
      <c r="S2037" s="93" t="s">
        <v>7014</v>
      </c>
      <c r="T2037" s="94"/>
      <c r="U2037" s="93" t="s">
        <v>7015</v>
      </c>
      <c r="V2037" s="94"/>
      <c r="W2037" s="93" t="s">
        <v>7014</v>
      </c>
      <c r="X2037" s="94"/>
      <c r="Y2037" s="93" t="s">
        <v>7014</v>
      </c>
      <c r="Z2037" s="94"/>
      <c r="AA2037" s="93" t="s">
        <v>7555</v>
      </c>
      <c r="AB2037" s="94"/>
    </row>
    <row r="2038" spans="1:28" x14ac:dyDescent="0.25">
      <c r="B2038" s="96"/>
      <c r="C2038" s="91" t="s">
        <v>774</v>
      </c>
      <c r="D2038" s="92"/>
      <c r="E2038" s="91" t="s">
        <v>774</v>
      </c>
      <c r="F2038" s="92"/>
      <c r="G2038" s="91" t="s">
        <v>757</v>
      </c>
      <c r="H2038" s="92"/>
      <c r="I2038" s="91" t="s">
        <v>757</v>
      </c>
      <c r="J2038" s="92"/>
      <c r="K2038" s="91" t="s">
        <v>788</v>
      </c>
      <c r="L2038" s="92"/>
      <c r="M2038" s="91" t="s">
        <v>788</v>
      </c>
      <c r="N2038" s="92"/>
      <c r="O2038" s="91" t="s">
        <v>788</v>
      </c>
      <c r="P2038" s="92"/>
      <c r="Q2038" s="91" t="s">
        <v>796</v>
      </c>
      <c r="R2038" s="92"/>
      <c r="S2038" s="91" t="s">
        <v>831</v>
      </c>
      <c r="T2038" s="92"/>
      <c r="U2038" s="91" t="s">
        <v>831</v>
      </c>
      <c r="V2038" s="92"/>
      <c r="W2038" s="91" t="s">
        <v>835</v>
      </c>
      <c r="X2038" s="92"/>
      <c r="Y2038" s="91" t="s">
        <v>772</v>
      </c>
      <c r="Z2038" s="92"/>
      <c r="AA2038" s="91" t="s">
        <v>6113</v>
      </c>
      <c r="AB2038" s="92"/>
    </row>
    <row r="2039" spans="1:28" x14ac:dyDescent="0.25">
      <c r="B2039" s="97"/>
      <c r="C2039" s="71" t="s">
        <v>6824</v>
      </c>
      <c r="D2039" s="71" t="s">
        <v>6825</v>
      </c>
      <c r="E2039" s="71" t="s">
        <v>6824</v>
      </c>
      <c r="F2039" s="71" t="s">
        <v>6825</v>
      </c>
      <c r="G2039" s="71" t="s">
        <v>6824</v>
      </c>
      <c r="H2039" s="71" t="s">
        <v>6825</v>
      </c>
      <c r="I2039" s="71" t="s">
        <v>6824</v>
      </c>
      <c r="J2039" s="71" t="s">
        <v>6825</v>
      </c>
      <c r="K2039" s="71" t="s">
        <v>6824</v>
      </c>
      <c r="L2039" s="71" t="s">
        <v>6825</v>
      </c>
      <c r="M2039" s="71" t="s">
        <v>6824</v>
      </c>
      <c r="N2039" s="71" t="s">
        <v>6825</v>
      </c>
      <c r="O2039" s="71" t="s">
        <v>6824</v>
      </c>
      <c r="P2039" s="71" t="s">
        <v>6825</v>
      </c>
      <c r="Q2039" s="71" t="s">
        <v>6824</v>
      </c>
      <c r="R2039" s="71" t="s">
        <v>6825</v>
      </c>
      <c r="S2039" s="71" t="s">
        <v>6824</v>
      </c>
      <c r="T2039" s="71" t="s">
        <v>6825</v>
      </c>
      <c r="U2039" s="71" t="s">
        <v>6824</v>
      </c>
      <c r="V2039" s="71" t="s">
        <v>6825</v>
      </c>
      <c r="W2039" s="71" t="s">
        <v>6824</v>
      </c>
      <c r="X2039" s="71" t="s">
        <v>6825</v>
      </c>
      <c r="Y2039" s="71" t="s">
        <v>6824</v>
      </c>
      <c r="Z2039" s="71" t="s">
        <v>6825</v>
      </c>
      <c r="AA2039" s="71" t="s">
        <v>6824</v>
      </c>
      <c r="AB2039" s="71" t="s">
        <v>6825</v>
      </c>
    </row>
    <row r="2040" spans="1:28" x14ac:dyDescent="0.25">
      <c r="B2040" s="72"/>
      <c r="C2040" s="71"/>
      <c r="D2040" s="73"/>
      <c r="E2040" s="71"/>
      <c r="F2040" s="73"/>
      <c r="G2040" s="71"/>
      <c r="H2040" s="73"/>
      <c r="I2040" s="71"/>
      <c r="J2040" s="73"/>
      <c r="K2040" s="71"/>
      <c r="L2040" s="73"/>
      <c r="M2040" s="71"/>
      <c r="N2040" s="73"/>
      <c r="O2040" s="71"/>
      <c r="P2040" s="73"/>
      <c r="Q2040" s="71"/>
      <c r="R2040" s="73"/>
      <c r="S2040" s="71"/>
      <c r="T2040" s="73"/>
      <c r="U2040" s="71"/>
      <c r="V2040" s="73"/>
      <c r="W2040" s="71"/>
      <c r="X2040" s="73"/>
      <c r="Y2040" s="71"/>
      <c r="Z2040" s="73"/>
      <c r="AA2040" s="71"/>
      <c r="AB2040" s="73"/>
    </row>
    <row r="2042" spans="1:28" x14ac:dyDescent="0.25">
      <c r="B2042" s="27" t="s">
        <v>7559</v>
      </c>
      <c r="C2042" s="40"/>
      <c r="D2042" s="40"/>
    </row>
    <row r="2043" spans="1:28" x14ac:dyDescent="0.25">
      <c r="B2043" s="40" t="s">
        <v>6810</v>
      </c>
      <c r="C2043" s="40"/>
      <c r="D2043" s="40"/>
    </row>
    <row r="2044" spans="1:28" x14ac:dyDescent="0.25">
      <c r="B2044" s="40" t="s">
        <v>6811</v>
      </c>
      <c r="C2044" s="40"/>
      <c r="D2044" s="40"/>
    </row>
    <row r="2045" spans="1:28" x14ac:dyDescent="0.25">
      <c r="B2045" s="42" t="s">
        <v>6812</v>
      </c>
      <c r="C2045" s="40"/>
      <c r="D2045" s="40"/>
    </row>
    <row r="2046" spans="1:28" x14ac:dyDescent="0.25">
      <c r="B2046" s="42" t="s">
        <v>6813</v>
      </c>
      <c r="C2046" s="40"/>
      <c r="D2046" s="40"/>
    </row>
    <row r="2047" spans="1:28" x14ac:dyDescent="0.25">
      <c r="B2047" s="42" t="s">
        <v>6814</v>
      </c>
      <c r="C2047" s="40"/>
      <c r="D2047" s="40"/>
    </row>
    <row r="2048" spans="1:28" ht="100" customHeight="1" x14ac:dyDescent="0.25">
      <c r="A2048" s="41" t="str">
        <f>_xlfn.CONCAT("Sample test results are documented in ",'Sample Tables'!B2042," [",'Sample Tables'!B2043,", ",'Sample Tables'!B2044,", ",'Sample Tables'!B2045,", ",'Sample Tables'!B2046,", ",'Sample Tables'!B2047,"]."&amp;CHAR(10))</f>
        <v xml:space="preserve">Sample test results are documented in Test 186: Removable Media (exempt from labeling) [Population Source/Tool: , Population Date Range: , Population Size: , Sample Methodology: , Sample Size: ].
</v>
      </c>
      <c r="B2048" s="95" t="s">
        <v>6815</v>
      </c>
      <c r="C2048" s="93" t="s">
        <v>7560</v>
      </c>
      <c r="D2048" s="94"/>
    </row>
    <row r="2049" spans="1:38" x14ac:dyDescent="0.25">
      <c r="B2049" s="96"/>
      <c r="C2049" s="91" t="s">
        <v>802</v>
      </c>
      <c r="D2049" s="92"/>
    </row>
    <row r="2050" spans="1:38" x14ac:dyDescent="0.25">
      <c r="B2050" s="97"/>
      <c r="C2050" s="71" t="s">
        <v>6824</v>
      </c>
      <c r="D2050" s="71" t="s">
        <v>6825</v>
      </c>
    </row>
    <row r="2051" spans="1:38" x14ac:dyDescent="0.25">
      <c r="B2051" s="72"/>
      <c r="C2051" s="71"/>
      <c r="D2051" s="73"/>
    </row>
    <row r="2053" spans="1:38" x14ac:dyDescent="0.25">
      <c r="B2053" s="27" t="s">
        <v>7561</v>
      </c>
      <c r="C2053" s="40"/>
      <c r="D2053" s="40"/>
    </row>
    <row r="2054" spans="1:38" x14ac:dyDescent="0.25">
      <c r="B2054" s="40" t="s">
        <v>6810</v>
      </c>
      <c r="C2054" s="40"/>
      <c r="D2054" s="40"/>
    </row>
    <row r="2055" spans="1:38" x14ac:dyDescent="0.25">
      <c r="B2055" s="40" t="s">
        <v>6811</v>
      </c>
      <c r="C2055" s="40"/>
      <c r="D2055" s="40"/>
    </row>
    <row r="2056" spans="1:38" x14ac:dyDescent="0.25">
      <c r="B2056" s="42" t="s">
        <v>6812</v>
      </c>
      <c r="C2056" s="40"/>
      <c r="D2056" s="40"/>
    </row>
    <row r="2057" spans="1:38" x14ac:dyDescent="0.25">
      <c r="B2057" s="42" t="s">
        <v>6813</v>
      </c>
      <c r="C2057" s="40"/>
      <c r="D2057" s="40"/>
    </row>
    <row r="2058" spans="1:38" x14ac:dyDescent="0.25">
      <c r="B2058" s="42" t="s">
        <v>6814</v>
      </c>
      <c r="C2058" s="40"/>
      <c r="D2058" s="40"/>
    </row>
    <row r="2059" spans="1:38" ht="100" customHeight="1" x14ac:dyDescent="0.25">
      <c r="A2059" s="41" t="str">
        <f>_xlfn.CONCAT("Sample test results are documented in ",'Sample Tables'!B2053," [",'Sample Tables'!B2054,", ",'Sample Tables'!B2055,", ",'Sample Tables'!B2056,", ",'Sample Tables'!B2057,", ",'Sample Tables'!B2058,"]."&amp;CHAR(10))</f>
        <v xml:space="preserve">Sample test results are documented in Test 187: Removable Media (transported out of controlled area) [Population Source/Tool: , Population Date Range: , Population Size: , Sample Methodology: , Sample Size: ].
</v>
      </c>
      <c r="B2059" s="95" t="s">
        <v>6815</v>
      </c>
      <c r="C2059" s="93" t="s">
        <v>7014</v>
      </c>
      <c r="D2059" s="94"/>
      <c r="E2059" s="93" t="s">
        <v>7562</v>
      </c>
      <c r="F2059" s="94"/>
      <c r="G2059" s="93" t="s">
        <v>7563</v>
      </c>
      <c r="H2059" s="94"/>
      <c r="I2059" s="93" t="s">
        <v>7564</v>
      </c>
      <c r="J2059" s="94"/>
      <c r="K2059" s="93" t="s">
        <v>7565</v>
      </c>
      <c r="L2059" s="94"/>
      <c r="M2059" s="93" t="s">
        <v>7566</v>
      </c>
      <c r="N2059" s="94"/>
      <c r="O2059" s="93" t="s">
        <v>7567</v>
      </c>
      <c r="P2059" s="94"/>
      <c r="Q2059" s="93" t="s">
        <v>7568</v>
      </c>
      <c r="R2059" s="94"/>
      <c r="S2059" s="93" t="s">
        <v>7014</v>
      </c>
      <c r="T2059" s="94"/>
      <c r="U2059" s="93" t="s">
        <v>7562</v>
      </c>
      <c r="V2059" s="94"/>
      <c r="W2059" s="93" t="s">
        <v>7563</v>
      </c>
      <c r="X2059" s="94"/>
      <c r="Y2059" s="93" t="s">
        <v>7564</v>
      </c>
      <c r="Z2059" s="94"/>
      <c r="AA2059" s="93" t="s">
        <v>7565</v>
      </c>
      <c r="AB2059" s="94"/>
      <c r="AC2059" s="93" t="s">
        <v>7014</v>
      </c>
      <c r="AD2059" s="94"/>
      <c r="AE2059" s="93" t="s">
        <v>7569</v>
      </c>
      <c r="AF2059" s="94"/>
      <c r="AG2059" s="93" t="s">
        <v>7569</v>
      </c>
      <c r="AH2059" s="94"/>
      <c r="AI2059" s="93" t="s">
        <v>7570</v>
      </c>
      <c r="AJ2059" s="94"/>
      <c r="AK2059" s="93" t="s">
        <v>7570</v>
      </c>
      <c r="AL2059" s="94"/>
    </row>
    <row r="2060" spans="1:38" x14ac:dyDescent="0.25">
      <c r="B2060" s="96"/>
      <c r="C2060" s="91" t="s">
        <v>776</v>
      </c>
      <c r="D2060" s="92"/>
      <c r="E2060" s="91" t="s">
        <v>776</v>
      </c>
      <c r="F2060" s="92"/>
      <c r="G2060" s="91" t="s">
        <v>776</v>
      </c>
      <c r="H2060" s="92"/>
      <c r="I2060" s="91" t="s">
        <v>776</v>
      </c>
      <c r="J2060" s="92"/>
      <c r="K2060" s="91" t="s">
        <v>776</v>
      </c>
      <c r="L2060" s="92"/>
      <c r="M2060" s="91" t="s">
        <v>792</v>
      </c>
      <c r="N2060" s="92"/>
      <c r="O2060" s="91" t="s">
        <v>792</v>
      </c>
      <c r="P2060" s="92"/>
      <c r="Q2060" s="91" t="s">
        <v>794</v>
      </c>
      <c r="R2060" s="92"/>
      <c r="S2060" s="91" t="s">
        <v>804</v>
      </c>
      <c r="T2060" s="92"/>
      <c r="U2060" s="91" t="s">
        <v>827</v>
      </c>
      <c r="V2060" s="92"/>
      <c r="W2060" s="91" t="s">
        <v>827</v>
      </c>
      <c r="X2060" s="92"/>
      <c r="Y2060" s="91" t="s">
        <v>827</v>
      </c>
      <c r="Z2060" s="92"/>
      <c r="AA2060" s="91" t="s">
        <v>827</v>
      </c>
      <c r="AB2060" s="92"/>
      <c r="AC2060" s="91" t="s">
        <v>2138</v>
      </c>
      <c r="AD2060" s="92"/>
      <c r="AE2060" s="91" t="s">
        <v>2159</v>
      </c>
      <c r="AF2060" s="92"/>
      <c r="AG2060" s="91" t="s">
        <v>2069</v>
      </c>
      <c r="AH2060" s="92"/>
      <c r="AI2060" s="91" t="s">
        <v>3974</v>
      </c>
      <c r="AJ2060" s="92"/>
      <c r="AK2060" s="91" t="s">
        <v>3862</v>
      </c>
      <c r="AL2060" s="92"/>
    </row>
    <row r="2061" spans="1:38" x14ac:dyDescent="0.25">
      <c r="B2061" s="97"/>
      <c r="C2061" s="71" t="s">
        <v>6824</v>
      </c>
      <c r="D2061" s="71" t="s">
        <v>6825</v>
      </c>
      <c r="E2061" s="71" t="s">
        <v>6824</v>
      </c>
      <c r="F2061" s="71" t="s">
        <v>6825</v>
      </c>
      <c r="G2061" s="71" t="s">
        <v>6824</v>
      </c>
      <c r="H2061" s="71" t="s">
        <v>6825</v>
      </c>
      <c r="I2061" s="71" t="s">
        <v>6824</v>
      </c>
      <c r="J2061" s="71" t="s">
        <v>6825</v>
      </c>
      <c r="K2061" s="71" t="s">
        <v>6824</v>
      </c>
      <c r="L2061" s="71" t="s">
        <v>6825</v>
      </c>
      <c r="M2061" s="71" t="s">
        <v>6824</v>
      </c>
      <c r="N2061" s="71" t="s">
        <v>6825</v>
      </c>
      <c r="O2061" s="71" t="s">
        <v>6824</v>
      </c>
      <c r="P2061" s="71" t="s">
        <v>6825</v>
      </c>
      <c r="Q2061" s="71" t="s">
        <v>6824</v>
      </c>
      <c r="R2061" s="71" t="s">
        <v>6825</v>
      </c>
      <c r="S2061" s="71" t="s">
        <v>6824</v>
      </c>
      <c r="T2061" s="71" t="s">
        <v>6825</v>
      </c>
      <c r="U2061" s="71" t="s">
        <v>6824</v>
      </c>
      <c r="V2061" s="71" t="s">
        <v>6825</v>
      </c>
      <c r="W2061" s="71" t="s">
        <v>6824</v>
      </c>
      <c r="X2061" s="71" t="s">
        <v>6825</v>
      </c>
      <c r="Y2061" s="71" t="s">
        <v>6824</v>
      </c>
      <c r="Z2061" s="71" t="s">
        <v>6825</v>
      </c>
      <c r="AA2061" s="71" t="s">
        <v>6824</v>
      </c>
      <c r="AB2061" s="71" t="s">
        <v>6825</v>
      </c>
      <c r="AC2061" s="71" t="s">
        <v>6824</v>
      </c>
      <c r="AD2061" s="71" t="s">
        <v>6825</v>
      </c>
      <c r="AE2061" s="71" t="s">
        <v>6824</v>
      </c>
      <c r="AF2061" s="71" t="s">
        <v>6825</v>
      </c>
      <c r="AG2061" s="71" t="s">
        <v>6824</v>
      </c>
      <c r="AH2061" s="71" t="s">
        <v>6825</v>
      </c>
      <c r="AI2061" s="71" t="s">
        <v>6824</v>
      </c>
      <c r="AJ2061" s="71" t="s">
        <v>6825</v>
      </c>
      <c r="AK2061" s="71" t="s">
        <v>6824</v>
      </c>
      <c r="AL2061" s="71" t="s">
        <v>6825</v>
      </c>
    </row>
    <row r="2062" spans="1:38" x14ac:dyDescent="0.25">
      <c r="B2062" s="72"/>
      <c r="C2062" s="71"/>
      <c r="D2062" s="73"/>
      <c r="E2062" s="71"/>
      <c r="F2062" s="73"/>
      <c r="G2062" s="71"/>
      <c r="H2062" s="73"/>
      <c r="I2062" s="71"/>
      <c r="J2062" s="73"/>
      <c r="K2062" s="71"/>
      <c r="L2062" s="73"/>
      <c r="M2062" s="71"/>
      <c r="N2062" s="73"/>
      <c r="O2062" s="71"/>
      <c r="P2062" s="73"/>
      <c r="Q2062" s="71"/>
      <c r="R2062" s="73"/>
      <c r="S2062" s="71"/>
      <c r="T2062" s="73"/>
      <c r="U2062" s="71"/>
      <c r="V2062" s="73"/>
      <c r="W2062" s="71"/>
      <c r="X2062" s="73"/>
      <c r="Y2062" s="71"/>
      <c r="Z2062" s="73"/>
      <c r="AA2062" s="71"/>
      <c r="AB2062" s="73"/>
      <c r="AC2062" s="71"/>
      <c r="AD2062" s="73"/>
      <c r="AE2062" s="71"/>
      <c r="AF2062" s="73"/>
      <c r="AG2062" s="71"/>
      <c r="AH2062" s="73"/>
      <c r="AI2062" s="71"/>
      <c r="AJ2062" s="73"/>
      <c r="AK2062" s="71"/>
      <c r="AL2062" s="73"/>
    </row>
    <row r="2064" spans="1:38" x14ac:dyDescent="0.25">
      <c r="B2064" s="27" t="s">
        <v>7571</v>
      </c>
      <c r="C2064" s="40"/>
      <c r="D2064" s="40"/>
    </row>
    <row r="2065" spans="1:4" x14ac:dyDescent="0.25">
      <c r="B2065" s="40" t="s">
        <v>6810</v>
      </c>
      <c r="C2065" s="40"/>
      <c r="D2065" s="40"/>
    </row>
    <row r="2066" spans="1:4" x14ac:dyDescent="0.25">
      <c r="B2066" s="40" t="s">
        <v>6811</v>
      </c>
      <c r="C2066" s="40"/>
      <c r="D2066" s="40"/>
    </row>
    <row r="2067" spans="1:4" x14ac:dyDescent="0.25">
      <c r="B2067" s="42" t="s">
        <v>6812</v>
      </c>
      <c r="C2067" s="40"/>
      <c r="D2067" s="40"/>
    </row>
    <row r="2068" spans="1:4" x14ac:dyDescent="0.25">
      <c r="B2068" s="42" t="s">
        <v>6813</v>
      </c>
      <c r="C2068" s="40"/>
      <c r="D2068" s="40"/>
    </row>
    <row r="2069" spans="1:4" x14ac:dyDescent="0.25">
      <c r="B2069" s="42" t="s">
        <v>6814</v>
      </c>
      <c r="C2069" s="40"/>
      <c r="D2069" s="40"/>
    </row>
    <row r="2070" spans="1:4" ht="100" customHeight="1" x14ac:dyDescent="0.25">
      <c r="A2070" s="41" t="str">
        <f>_xlfn.CONCAT("Sample test results are documented in ",'Sample Tables'!B2064," [",'Sample Tables'!B2065,", ",'Sample Tables'!B2066,", ",'Sample Tables'!B2067,", ",'Sample Tables'!B2068,", ",'Sample Tables'!B2069,"]."&amp;CHAR(10))</f>
        <v xml:space="preserve">Sample test results are documented in Test 188: Workforce Member (ability to post information on publicly accessible system) [Population Source/Tool: , Population Date Range: , Population Size: , Sample Methodology: , Sample Size: ].
</v>
      </c>
      <c r="B2070" s="95" t="s">
        <v>6815</v>
      </c>
      <c r="C2070" s="93" t="s">
        <v>7572</v>
      </c>
      <c r="D2070" s="94"/>
    </row>
    <row r="2071" spans="1:4" x14ac:dyDescent="0.25">
      <c r="B2071" s="96"/>
      <c r="C2071" s="91" t="s">
        <v>6139</v>
      </c>
      <c r="D2071" s="92"/>
    </row>
    <row r="2072" spans="1:4" x14ac:dyDescent="0.25">
      <c r="B2072" s="97"/>
      <c r="C2072" s="71" t="s">
        <v>6824</v>
      </c>
      <c r="D2072" s="71" t="s">
        <v>6825</v>
      </c>
    </row>
    <row r="2073" spans="1:4" x14ac:dyDescent="0.25">
      <c r="B2073" s="72"/>
      <c r="C2073" s="71"/>
      <c r="D2073" s="73"/>
    </row>
    <row r="2075" spans="1:4" x14ac:dyDescent="0.25">
      <c r="B2075" s="27" t="s">
        <v>7573</v>
      </c>
      <c r="C2075" s="40"/>
      <c r="D2075" s="40"/>
    </row>
    <row r="2076" spans="1:4" x14ac:dyDescent="0.25">
      <c r="B2076" s="40" t="s">
        <v>6810</v>
      </c>
      <c r="C2076" s="40"/>
      <c r="D2076" s="40"/>
    </row>
    <row r="2077" spans="1:4" x14ac:dyDescent="0.25">
      <c r="B2077" s="40" t="s">
        <v>6811</v>
      </c>
      <c r="C2077" s="40"/>
      <c r="D2077" s="40"/>
    </row>
    <row r="2078" spans="1:4" x14ac:dyDescent="0.25">
      <c r="B2078" s="42" t="s">
        <v>6812</v>
      </c>
      <c r="C2078" s="40"/>
      <c r="D2078" s="40"/>
    </row>
    <row r="2079" spans="1:4" x14ac:dyDescent="0.25">
      <c r="B2079" s="42" t="s">
        <v>6813</v>
      </c>
      <c r="C2079" s="40"/>
      <c r="D2079" s="40"/>
    </row>
    <row r="2080" spans="1:4" x14ac:dyDescent="0.25">
      <c r="B2080" s="42" t="s">
        <v>6814</v>
      </c>
      <c r="C2080" s="40"/>
      <c r="D2080" s="40"/>
    </row>
    <row r="2081" spans="1:4" ht="100" customHeight="1" x14ac:dyDescent="0.25">
      <c r="A2081" s="41" t="str">
        <f>_xlfn.CONCAT("Sample test results are documented in ",'Sample Tables'!B2075," [",'Sample Tables'!B2076,", ",'Sample Tables'!B2077,", ",'Sample Tables'!B2078,", ",'Sample Tables'!B2079,", ",'Sample Tables'!B2080,"]."&amp;CHAR(10))</f>
        <v xml:space="preserve">Sample test results are documented in Test 189: Workforce Member (access to encryption keys) [Population Source/Tool: , Population Date Range: , Population Size: , Sample Methodology: , Sample Size: ].
</v>
      </c>
      <c r="B2081" s="95" t="s">
        <v>6815</v>
      </c>
      <c r="C2081" s="93" t="s">
        <v>7574</v>
      </c>
      <c r="D2081" s="94"/>
    </row>
    <row r="2082" spans="1:4" x14ac:dyDescent="0.25">
      <c r="B2082" s="96"/>
      <c r="C2082" s="91" t="s">
        <v>2142</v>
      </c>
      <c r="D2082" s="92"/>
    </row>
    <row r="2083" spans="1:4" x14ac:dyDescent="0.25">
      <c r="B2083" s="97"/>
      <c r="C2083" s="71" t="s">
        <v>6824</v>
      </c>
      <c r="D2083" s="71" t="s">
        <v>6825</v>
      </c>
    </row>
    <row r="2084" spans="1:4" x14ac:dyDescent="0.25">
      <c r="B2084" s="72"/>
      <c r="C2084" s="71"/>
      <c r="D2084" s="73"/>
    </row>
    <row r="2086" spans="1:4" x14ac:dyDescent="0.25">
      <c r="B2086" s="27" t="s">
        <v>7575</v>
      </c>
      <c r="C2086" s="40"/>
      <c r="D2086" s="40"/>
    </row>
    <row r="2087" spans="1:4" x14ac:dyDescent="0.25">
      <c r="B2087" s="40" t="s">
        <v>6810</v>
      </c>
      <c r="C2087" s="40"/>
      <c r="D2087" s="40"/>
    </row>
    <row r="2088" spans="1:4" x14ac:dyDescent="0.25">
      <c r="B2088" s="40" t="s">
        <v>6811</v>
      </c>
      <c r="C2088" s="40"/>
      <c r="D2088" s="40"/>
    </row>
    <row r="2089" spans="1:4" x14ac:dyDescent="0.25">
      <c r="B2089" s="42" t="s">
        <v>6812</v>
      </c>
      <c r="C2089" s="40"/>
      <c r="D2089" s="40"/>
    </row>
    <row r="2090" spans="1:4" x14ac:dyDescent="0.25">
      <c r="B2090" s="42" t="s">
        <v>6813</v>
      </c>
      <c r="C2090" s="40"/>
      <c r="D2090" s="40"/>
    </row>
    <row r="2091" spans="1:4" x14ac:dyDescent="0.25">
      <c r="B2091" s="42" t="s">
        <v>6814</v>
      </c>
      <c r="C2091" s="40"/>
      <c r="D2091" s="40"/>
    </row>
    <row r="2092" spans="1:4" ht="100" customHeight="1" x14ac:dyDescent="0.25">
      <c r="A2092" s="41" t="str">
        <f>_xlfn.CONCAT("Sample test results are documented in ",'Sample Tables'!B2086," [",'Sample Tables'!B2087,", ",'Sample Tables'!B2088,", ",'Sample Tables'!B2089,", ",'Sample Tables'!B2090,", ",'Sample Tables'!B2091,"]."&amp;CHAR(10))</f>
        <v xml:space="preserve">Sample test results are documented in Test 190: Workforce Member (access/handling of covered/confidential information) [Population Source/Tool: , Population Date Range: , Population Size: , Sample Methodology: , Sample Size: ].
</v>
      </c>
      <c r="B2092" s="95" t="s">
        <v>6815</v>
      </c>
      <c r="C2092" s="93" t="s">
        <v>7576</v>
      </c>
      <c r="D2092" s="94"/>
    </row>
    <row r="2093" spans="1:4" x14ac:dyDescent="0.25">
      <c r="B2093" s="96"/>
      <c r="C2093" s="91" t="s">
        <v>6400</v>
      </c>
      <c r="D2093" s="92"/>
    </row>
    <row r="2094" spans="1:4" x14ac:dyDescent="0.25">
      <c r="B2094" s="97"/>
      <c r="C2094" s="71" t="s">
        <v>6824</v>
      </c>
      <c r="D2094" s="71" t="s">
        <v>6825</v>
      </c>
    </row>
    <row r="2095" spans="1:4" x14ac:dyDescent="0.25">
      <c r="B2095" s="72"/>
      <c r="C2095" s="71"/>
      <c r="D2095" s="73"/>
    </row>
    <row r="2097" spans="1:6" x14ac:dyDescent="0.25">
      <c r="B2097" s="27" t="s">
        <v>7577</v>
      </c>
      <c r="C2097" s="40"/>
      <c r="D2097" s="40"/>
    </row>
    <row r="2098" spans="1:6" x14ac:dyDescent="0.25">
      <c r="B2098" s="40" t="s">
        <v>6810</v>
      </c>
      <c r="C2098" s="40"/>
      <c r="D2098" s="40"/>
    </row>
    <row r="2099" spans="1:6" x14ac:dyDescent="0.25">
      <c r="B2099" s="40" t="s">
        <v>6811</v>
      </c>
      <c r="C2099" s="40"/>
      <c r="D2099" s="40"/>
    </row>
    <row r="2100" spans="1:6" x14ac:dyDescent="0.25">
      <c r="B2100" s="42" t="s">
        <v>6812</v>
      </c>
      <c r="C2100" s="40"/>
      <c r="D2100" s="40"/>
    </row>
    <row r="2101" spans="1:6" x14ac:dyDescent="0.25">
      <c r="B2101" s="42" t="s">
        <v>6813</v>
      </c>
      <c r="C2101" s="40"/>
      <c r="D2101" s="40"/>
    </row>
    <row r="2102" spans="1:6" x14ac:dyDescent="0.25">
      <c r="B2102" s="42" t="s">
        <v>6814</v>
      </c>
      <c r="C2102" s="40"/>
      <c r="D2102" s="40"/>
    </row>
    <row r="2103" spans="1:6" ht="100" customHeight="1" x14ac:dyDescent="0.25">
      <c r="A2103" s="41" t="str">
        <f>_xlfn.CONCAT("Sample test results are documented in ",'Sample Tables'!B2097," [",'Sample Tables'!B2098,", ",'Sample Tables'!B2099,", ",'Sample Tables'!B2100,", ",'Sample Tables'!B2101,", ",'Sample Tables'!B2102,"]."&amp;CHAR(10))</f>
        <v xml:space="preserve">Sample test results are documented in Test 191: Workforce Member (business continuity) [Population Source/Tool: , Population Date Range: , Population Size: , Sample Methodology: , Sample Size: ].
</v>
      </c>
      <c r="B2103" s="95" t="s">
        <v>6815</v>
      </c>
      <c r="C2103" s="93" t="s">
        <v>7578</v>
      </c>
      <c r="D2103" s="94"/>
      <c r="E2103" s="93" t="s">
        <v>7578</v>
      </c>
      <c r="F2103" s="94"/>
    </row>
    <row r="2104" spans="1:6" x14ac:dyDescent="0.25">
      <c r="B2104" s="96"/>
      <c r="C2104" s="91" t="s">
        <v>4461</v>
      </c>
      <c r="D2104" s="92"/>
      <c r="E2104" s="91" t="s">
        <v>4434</v>
      </c>
      <c r="F2104" s="92"/>
    </row>
    <row r="2105" spans="1:6" x14ac:dyDescent="0.25">
      <c r="B2105" s="97"/>
      <c r="C2105" s="71" t="s">
        <v>6824</v>
      </c>
      <c r="D2105" s="71" t="s">
        <v>6825</v>
      </c>
      <c r="E2105" s="71" t="s">
        <v>6824</v>
      </c>
      <c r="F2105" s="71" t="s">
        <v>6825</v>
      </c>
    </row>
    <row r="2106" spans="1:6" x14ac:dyDescent="0.25">
      <c r="B2106" s="72"/>
      <c r="C2106" s="71"/>
      <c r="D2106" s="73"/>
      <c r="E2106" s="71"/>
      <c r="F2106" s="73"/>
    </row>
    <row r="2108" spans="1:6" x14ac:dyDescent="0.25">
      <c r="B2108" s="27" t="s">
        <v>7579</v>
      </c>
      <c r="C2108" s="40"/>
      <c r="D2108" s="40"/>
    </row>
    <row r="2109" spans="1:6" x14ac:dyDescent="0.25">
      <c r="B2109" s="40" t="s">
        <v>6810</v>
      </c>
      <c r="C2109" s="40"/>
      <c r="D2109" s="40"/>
    </row>
    <row r="2110" spans="1:6" x14ac:dyDescent="0.25">
      <c r="B2110" s="40" t="s">
        <v>6811</v>
      </c>
      <c r="C2110" s="40"/>
      <c r="D2110" s="40"/>
    </row>
    <row r="2111" spans="1:6" x14ac:dyDescent="0.25">
      <c r="B2111" s="42" t="s">
        <v>6812</v>
      </c>
      <c r="C2111" s="40"/>
      <c r="D2111" s="40"/>
    </row>
    <row r="2112" spans="1:6" x14ac:dyDescent="0.25">
      <c r="B2112" s="42" t="s">
        <v>6813</v>
      </c>
      <c r="C2112" s="40"/>
      <c r="D2112" s="40"/>
    </row>
    <row r="2113" spans="1:50" x14ac:dyDescent="0.25">
      <c r="B2113" s="42" t="s">
        <v>6814</v>
      </c>
      <c r="C2113" s="40"/>
      <c r="D2113" s="40"/>
    </row>
    <row r="2114" spans="1:50" ht="100" customHeight="1" x14ac:dyDescent="0.25">
      <c r="A2114" s="41" t="str">
        <f>_xlfn.CONCAT("Sample test results are documented in ",'Sample Tables'!B2108," [",'Sample Tables'!B2109,", ",'Sample Tables'!B2110,", ",'Sample Tables'!B2111,", ",'Sample Tables'!B2112,", ",'Sample Tables'!B2113,"]."&amp;CHAR(10))</f>
        <v xml:space="preserve">Sample test results are documented in Test 192: Workforce Member (contractor) [Population Source/Tool: , Population Date Range: , Population Size: , Sample Methodology: , Sample Size: ].
</v>
      </c>
      <c r="B2114" s="95" t="s">
        <v>6815</v>
      </c>
      <c r="C2114" s="93" t="s">
        <v>7580</v>
      </c>
      <c r="D2114" s="94"/>
      <c r="E2114" s="93" t="s">
        <v>7581</v>
      </c>
      <c r="F2114" s="94"/>
      <c r="G2114" s="93" t="s">
        <v>7582</v>
      </c>
      <c r="H2114" s="94"/>
      <c r="I2114" s="93" t="s">
        <v>7581</v>
      </c>
      <c r="J2114" s="94"/>
      <c r="K2114" s="93" t="s">
        <v>7583</v>
      </c>
      <c r="L2114" s="94"/>
      <c r="M2114" s="93" t="s">
        <v>7584</v>
      </c>
      <c r="N2114" s="94"/>
      <c r="O2114" s="93" t="s">
        <v>7585</v>
      </c>
      <c r="P2114" s="94"/>
      <c r="Q2114" s="93" t="s">
        <v>7586</v>
      </c>
      <c r="R2114" s="94"/>
      <c r="S2114" s="93" t="s">
        <v>7587</v>
      </c>
      <c r="T2114" s="94"/>
      <c r="U2114" s="93" t="s">
        <v>7581</v>
      </c>
      <c r="V2114" s="94"/>
      <c r="W2114" s="93" t="s">
        <v>7588</v>
      </c>
      <c r="X2114" s="94"/>
      <c r="Y2114" s="93" t="s">
        <v>7589</v>
      </c>
      <c r="Z2114" s="94"/>
      <c r="AA2114" s="93" t="s">
        <v>7590</v>
      </c>
      <c r="AB2114" s="94"/>
      <c r="AC2114" s="93" t="s">
        <v>7591</v>
      </c>
      <c r="AD2114" s="94"/>
      <c r="AE2114" s="93" t="s">
        <v>7592</v>
      </c>
      <c r="AF2114" s="94"/>
      <c r="AG2114" s="93" t="s">
        <v>7593</v>
      </c>
      <c r="AH2114" s="94"/>
      <c r="AI2114" s="93" t="s">
        <v>7594</v>
      </c>
      <c r="AJ2114" s="94"/>
      <c r="AK2114" s="93" t="s">
        <v>7595</v>
      </c>
      <c r="AL2114" s="94"/>
      <c r="AM2114" s="93" t="s">
        <v>7595</v>
      </c>
      <c r="AN2114" s="94"/>
      <c r="AO2114" s="93" t="s">
        <v>7594</v>
      </c>
      <c r="AP2114" s="94"/>
      <c r="AQ2114" s="93" t="s">
        <v>7596</v>
      </c>
      <c r="AR2114" s="94"/>
      <c r="AS2114" s="93" t="s">
        <v>7597</v>
      </c>
      <c r="AT2114" s="94"/>
      <c r="AU2114" s="93" t="s">
        <v>7598</v>
      </c>
      <c r="AV2114" s="94"/>
    </row>
    <row r="2115" spans="1:50" x14ac:dyDescent="0.25">
      <c r="B2115" s="96"/>
      <c r="C2115" s="91" t="s">
        <v>313</v>
      </c>
      <c r="D2115" s="92"/>
      <c r="E2115" s="91" t="s">
        <v>313</v>
      </c>
      <c r="F2115" s="92"/>
      <c r="G2115" s="91" t="s">
        <v>337</v>
      </c>
      <c r="H2115" s="92"/>
      <c r="I2115" s="91" t="s">
        <v>515</v>
      </c>
      <c r="J2115" s="92"/>
      <c r="K2115" s="91" t="s">
        <v>692</v>
      </c>
      <c r="L2115" s="92"/>
      <c r="M2115" s="91" t="s">
        <v>692</v>
      </c>
      <c r="N2115" s="92"/>
      <c r="O2115" s="91" t="s">
        <v>1583</v>
      </c>
      <c r="P2115" s="92"/>
      <c r="Q2115" s="91" t="s">
        <v>2692</v>
      </c>
      <c r="R2115" s="92"/>
      <c r="S2115" s="91" t="s">
        <v>2737</v>
      </c>
      <c r="T2115" s="92"/>
      <c r="U2115" s="91" t="s">
        <v>3035</v>
      </c>
      <c r="V2115" s="92"/>
      <c r="W2115" s="91" t="s">
        <v>3035</v>
      </c>
      <c r="X2115" s="92"/>
      <c r="Y2115" s="91" t="s">
        <v>3703</v>
      </c>
      <c r="Z2115" s="92"/>
      <c r="AA2115" s="91" t="s">
        <v>3710</v>
      </c>
      <c r="AB2115" s="92"/>
      <c r="AC2115" s="91" t="s">
        <v>3947</v>
      </c>
      <c r="AD2115" s="92"/>
      <c r="AE2115" s="91" t="s">
        <v>3947</v>
      </c>
      <c r="AF2115" s="92"/>
      <c r="AG2115" s="91" t="s">
        <v>3947</v>
      </c>
      <c r="AH2115" s="92"/>
      <c r="AI2115" s="91" t="s">
        <v>4148</v>
      </c>
      <c r="AJ2115" s="92"/>
      <c r="AK2115" s="91" t="s">
        <v>4157</v>
      </c>
      <c r="AL2115" s="92"/>
      <c r="AM2115" s="91" t="s">
        <v>4184</v>
      </c>
      <c r="AN2115" s="92"/>
      <c r="AO2115" s="91" t="s">
        <v>4188</v>
      </c>
      <c r="AP2115" s="92"/>
      <c r="AQ2115" s="91" t="s">
        <v>5430</v>
      </c>
      <c r="AR2115" s="92"/>
      <c r="AS2115" s="91" t="s">
        <v>5430</v>
      </c>
      <c r="AT2115" s="92"/>
      <c r="AU2115" s="91" t="s">
        <v>5467</v>
      </c>
      <c r="AV2115" s="92"/>
    </row>
    <row r="2116" spans="1:50" x14ac:dyDescent="0.25">
      <c r="B2116" s="97"/>
      <c r="C2116" s="71" t="s">
        <v>6824</v>
      </c>
      <c r="D2116" s="71" t="s">
        <v>6825</v>
      </c>
      <c r="E2116" s="71" t="s">
        <v>6824</v>
      </c>
      <c r="F2116" s="71" t="s">
        <v>6825</v>
      </c>
      <c r="G2116" s="71" t="s">
        <v>6824</v>
      </c>
      <c r="H2116" s="71" t="s">
        <v>6825</v>
      </c>
      <c r="I2116" s="71" t="s">
        <v>6824</v>
      </c>
      <c r="J2116" s="71" t="s">
        <v>6825</v>
      </c>
      <c r="K2116" s="71" t="s">
        <v>6824</v>
      </c>
      <c r="L2116" s="71" t="s">
        <v>6825</v>
      </c>
      <c r="M2116" s="71" t="s">
        <v>6824</v>
      </c>
      <c r="N2116" s="71" t="s">
        <v>6825</v>
      </c>
      <c r="O2116" s="71" t="s">
        <v>6824</v>
      </c>
      <c r="P2116" s="71" t="s">
        <v>6825</v>
      </c>
      <c r="Q2116" s="71" t="s">
        <v>6824</v>
      </c>
      <c r="R2116" s="71" t="s">
        <v>6825</v>
      </c>
      <c r="S2116" s="71" t="s">
        <v>6824</v>
      </c>
      <c r="T2116" s="71" t="s">
        <v>6825</v>
      </c>
      <c r="U2116" s="71" t="s">
        <v>6824</v>
      </c>
      <c r="V2116" s="71" t="s">
        <v>6825</v>
      </c>
      <c r="W2116" s="71" t="s">
        <v>6824</v>
      </c>
      <c r="X2116" s="71" t="s">
        <v>6825</v>
      </c>
      <c r="Y2116" s="71" t="s">
        <v>6824</v>
      </c>
      <c r="Z2116" s="71" t="s">
        <v>6825</v>
      </c>
      <c r="AA2116" s="71" t="s">
        <v>6824</v>
      </c>
      <c r="AB2116" s="71" t="s">
        <v>6825</v>
      </c>
      <c r="AC2116" s="71" t="s">
        <v>6824</v>
      </c>
      <c r="AD2116" s="71" t="s">
        <v>6825</v>
      </c>
      <c r="AE2116" s="71" t="s">
        <v>6824</v>
      </c>
      <c r="AF2116" s="71" t="s">
        <v>6825</v>
      </c>
      <c r="AG2116" s="71" t="s">
        <v>6824</v>
      </c>
      <c r="AH2116" s="71" t="s">
        <v>6825</v>
      </c>
      <c r="AI2116" s="71" t="s">
        <v>6824</v>
      </c>
      <c r="AJ2116" s="71" t="s">
        <v>6825</v>
      </c>
      <c r="AK2116" s="71" t="s">
        <v>6824</v>
      </c>
      <c r="AL2116" s="71" t="s">
        <v>6825</v>
      </c>
      <c r="AM2116" s="71" t="s">
        <v>6824</v>
      </c>
      <c r="AN2116" s="71" t="s">
        <v>6825</v>
      </c>
      <c r="AO2116" s="71" t="s">
        <v>6824</v>
      </c>
      <c r="AP2116" s="71" t="s">
        <v>6825</v>
      </c>
      <c r="AQ2116" s="71" t="s">
        <v>6824</v>
      </c>
      <c r="AR2116" s="71" t="s">
        <v>6825</v>
      </c>
      <c r="AS2116" s="71" t="s">
        <v>6824</v>
      </c>
      <c r="AT2116" s="71" t="s">
        <v>6825</v>
      </c>
      <c r="AU2116" s="71" t="s">
        <v>6824</v>
      </c>
      <c r="AV2116" s="71" t="s">
        <v>6825</v>
      </c>
    </row>
    <row r="2117" spans="1:50" x14ac:dyDescent="0.25">
      <c r="B2117" s="72"/>
      <c r="C2117" s="71"/>
      <c r="D2117" s="73"/>
      <c r="E2117" s="71"/>
      <c r="F2117" s="73"/>
      <c r="G2117" s="71"/>
      <c r="H2117" s="73"/>
      <c r="I2117" s="71"/>
      <c r="J2117" s="73"/>
      <c r="K2117" s="71"/>
      <c r="L2117" s="73"/>
      <c r="M2117" s="71"/>
      <c r="N2117" s="73"/>
      <c r="O2117" s="71"/>
      <c r="P2117" s="73"/>
      <c r="Q2117" s="71"/>
      <c r="R2117" s="73"/>
      <c r="S2117" s="71"/>
      <c r="T2117" s="73"/>
      <c r="U2117" s="71"/>
      <c r="V2117" s="73"/>
      <c r="W2117" s="71"/>
      <c r="X2117" s="73"/>
      <c r="Y2117" s="71"/>
      <c r="Z2117" s="73"/>
      <c r="AA2117" s="71"/>
      <c r="AB2117" s="73"/>
      <c r="AC2117" s="71"/>
      <c r="AD2117" s="73"/>
      <c r="AE2117" s="71"/>
      <c r="AF2117" s="73"/>
      <c r="AG2117" s="71"/>
      <c r="AH2117" s="73"/>
      <c r="AI2117" s="71"/>
      <c r="AJ2117" s="73"/>
      <c r="AK2117" s="71"/>
      <c r="AL2117" s="73"/>
      <c r="AM2117" s="71"/>
      <c r="AN2117" s="73"/>
      <c r="AO2117" s="71"/>
      <c r="AP2117" s="73"/>
      <c r="AQ2117" s="71"/>
      <c r="AR2117" s="73"/>
      <c r="AS2117" s="71"/>
      <c r="AT2117" s="73"/>
      <c r="AU2117" s="71"/>
      <c r="AV2117" s="73"/>
    </row>
    <row r="2119" spans="1:50" x14ac:dyDescent="0.25">
      <c r="B2119" s="27" t="s">
        <v>7599</v>
      </c>
      <c r="C2119" s="40"/>
      <c r="D2119" s="40"/>
    </row>
    <row r="2120" spans="1:50" x14ac:dyDescent="0.25">
      <c r="B2120" s="40" t="s">
        <v>6810</v>
      </c>
      <c r="C2120" s="40"/>
      <c r="D2120" s="40"/>
    </row>
    <row r="2121" spans="1:50" x14ac:dyDescent="0.25">
      <c r="B2121" s="40" t="s">
        <v>6811</v>
      </c>
      <c r="C2121" s="40"/>
      <c r="D2121" s="40"/>
    </row>
    <row r="2122" spans="1:50" x14ac:dyDescent="0.25">
      <c r="B2122" s="42" t="s">
        <v>6812</v>
      </c>
      <c r="C2122" s="40"/>
      <c r="D2122" s="40"/>
    </row>
    <row r="2123" spans="1:50" x14ac:dyDescent="0.25">
      <c r="B2123" s="42" t="s">
        <v>6813</v>
      </c>
      <c r="C2123" s="40"/>
      <c r="D2123" s="40"/>
    </row>
    <row r="2124" spans="1:50" x14ac:dyDescent="0.25">
      <c r="B2124" s="42" t="s">
        <v>6814</v>
      </c>
      <c r="C2124" s="40"/>
      <c r="D2124" s="40"/>
    </row>
    <row r="2125" spans="1:50" ht="100" customHeight="1" x14ac:dyDescent="0.25">
      <c r="A2125" s="41" t="str">
        <f>_xlfn.CONCAT("Sample test results are documented in ",'Sample Tables'!B2119," [",'Sample Tables'!B2120,", ",'Sample Tables'!B2121,", ",'Sample Tables'!B2122,", ",'Sample Tables'!B2123,", ",'Sample Tables'!B2124,"]."&amp;CHAR(10))</f>
        <v xml:space="preserve">Sample test results are documented in Test 193: Workforce Member (employee) [Population Source/Tool: , Population Date Range: , Population Size: , Sample Methodology: , Sample Size: ].
</v>
      </c>
      <c r="B2125" s="95" t="s">
        <v>6815</v>
      </c>
      <c r="C2125" s="93" t="s">
        <v>7580</v>
      </c>
      <c r="D2125" s="94"/>
      <c r="E2125" s="93" t="s">
        <v>7581</v>
      </c>
      <c r="F2125" s="94"/>
      <c r="G2125" s="93" t="s">
        <v>7581</v>
      </c>
      <c r="H2125" s="94"/>
      <c r="I2125" s="93" t="s">
        <v>7583</v>
      </c>
      <c r="J2125" s="94"/>
      <c r="K2125" s="93" t="s">
        <v>7584</v>
      </c>
      <c r="L2125" s="94"/>
      <c r="M2125" s="93" t="s">
        <v>7586</v>
      </c>
      <c r="N2125" s="94"/>
      <c r="O2125" s="93" t="s">
        <v>7600</v>
      </c>
      <c r="P2125" s="94"/>
      <c r="Q2125" s="93" t="s">
        <v>7601</v>
      </c>
      <c r="R2125" s="94"/>
      <c r="S2125" s="93" t="s">
        <v>7602</v>
      </c>
      <c r="T2125" s="94"/>
      <c r="U2125" s="93" t="s">
        <v>7600</v>
      </c>
      <c r="V2125" s="94"/>
      <c r="W2125" s="93" t="s">
        <v>7603</v>
      </c>
      <c r="X2125" s="94"/>
      <c r="Y2125" s="93" t="s">
        <v>7589</v>
      </c>
      <c r="Z2125" s="94"/>
      <c r="AA2125" s="93" t="s">
        <v>7590</v>
      </c>
      <c r="AB2125" s="94"/>
      <c r="AC2125" s="93" t="s">
        <v>7604</v>
      </c>
      <c r="AD2125" s="94"/>
      <c r="AE2125" s="93" t="s">
        <v>7605</v>
      </c>
      <c r="AF2125" s="94"/>
      <c r="AG2125" s="93" t="s">
        <v>7606</v>
      </c>
      <c r="AH2125" s="94"/>
      <c r="AI2125" s="93" t="s">
        <v>7594</v>
      </c>
      <c r="AJ2125" s="94"/>
      <c r="AK2125" s="93" t="s">
        <v>7594</v>
      </c>
      <c r="AL2125" s="94"/>
      <c r="AM2125" s="93" t="s">
        <v>7595</v>
      </c>
      <c r="AN2125" s="94"/>
      <c r="AO2125" s="93" t="s">
        <v>7595</v>
      </c>
      <c r="AP2125" s="94"/>
      <c r="AQ2125" s="93" t="s">
        <v>7594</v>
      </c>
      <c r="AR2125" s="94"/>
      <c r="AS2125" s="93" t="s">
        <v>7596</v>
      </c>
      <c r="AT2125" s="94"/>
      <c r="AU2125" s="93" t="s">
        <v>7597</v>
      </c>
      <c r="AV2125" s="94"/>
      <c r="AW2125" s="93" t="s">
        <v>7598</v>
      </c>
      <c r="AX2125" s="94"/>
    </row>
    <row r="2126" spans="1:50" x14ac:dyDescent="0.25">
      <c r="B2126" s="96"/>
      <c r="C2126" s="91" t="s">
        <v>313</v>
      </c>
      <c r="D2126" s="92"/>
      <c r="E2126" s="91" t="s">
        <v>313</v>
      </c>
      <c r="F2126" s="92"/>
      <c r="G2126" s="91" t="s">
        <v>515</v>
      </c>
      <c r="H2126" s="92"/>
      <c r="I2126" s="91" t="s">
        <v>692</v>
      </c>
      <c r="J2126" s="92"/>
      <c r="K2126" s="91" t="s">
        <v>692</v>
      </c>
      <c r="L2126" s="92"/>
      <c r="M2126" s="91" t="s">
        <v>2692</v>
      </c>
      <c r="N2126" s="92"/>
      <c r="O2126" s="91" t="s">
        <v>3000</v>
      </c>
      <c r="P2126" s="92"/>
      <c r="Q2126" s="91" t="s">
        <v>3014</v>
      </c>
      <c r="R2126" s="92"/>
      <c r="S2126" s="91" t="s">
        <v>3043</v>
      </c>
      <c r="T2126" s="92"/>
      <c r="U2126" s="91" t="s">
        <v>3359</v>
      </c>
      <c r="V2126" s="92"/>
      <c r="W2126" s="91" t="s">
        <v>3701</v>
      </c>
      <c r="X2126" s="92"/>
      <c r="Y2126" s="91" t="s">
        <v>3703</v>
      </c>
      <c r="Z2126" s="92"/>
      <c r="AA2126" s="91" t="s">
        <v>3710</v>
      </c>
      <c r="AB2126" s="92"/>
      <c r="AC2126" s="91" t="s">
        <v>3733</v>
      </c>
      <c r="AD2126" s="92"/>
      <c r="AE2126" s="91" t="s">
        <v>3758</v>
      </c>
      <c r="AF2126" s="92"/>
      <c r="AG2126" s="91" t="s">
        <v>3760</v>
      </c>
      <c r="AH2126" s="92"/>
      <c r="AI2126" s="91" t="s">
        <v>4148</v>
      </c>
      <c r="AJ2126" s="92"/>
      <c r="AK2126" s="91" t="s">
        <v>4178</v>
      </c>
      <c r="AL2126" s="92"/>
      <c r="AM2126" s="91" t="s">
        <v>4157</v>
      </c>
      <c r="AN2126" s="92"/>
      <c r="AO2126" s="91" t="s">
        <v>4184</v>
      </c>
      <c r="AP2126" s="92"/>
      <c r="AQ2126" s="91" t="s">
        <v>4188</v>
      </c>
      <c r="AR2126" s="92"/>
      <c r="AS2126" s="91" t="s">
        <v>5430</v>
      </c>
      <c r="AT2126" s="92"/>
      <c r="AU2126" s="91" t="s">
        <v>5430</v>
      </c>
      <c r="AV2126" s="92"/>
      <c r="AW2126" s="91" t="s">
        <v>5467</v>
      </c>
      <c r="AX2126" s="92"/>
    </row>
    <row r="2127" spans="1:50" x14ac:dyDescent="0.25">
      <c r="B2127" s="97"/>
      <c r="C2127" s="71" t="s">
        <v>6824</v>
      </c>
      <c r="D2127" s="71" t="s">
        <v>6825</v>
      </c>
      <c r="E2127" s="71" t="s">
        <v>6824</v>
      </c>
      <c r="F2127" s="71" t="s">
        <v>6825</v>
      </c>
      <c r="G2127" s="71" t="s">
        <v>6824</v>
      </c>
      <c r="H2127" s="71" t="s">
        <v>6825</v>
      </c>
      <c r="I2127" s="71" t="s">
        <v>6824</v>
      </c>
      <c r="J2127" s="71" t="s">
        <v>6825</v>
      </c>
      <c r="K2127" s="71" t="s">
        <v>6824</v>
      </c>
      <c r="L2127" s="71" t="s">
        <v>6825</v>
      </c>
      <c r="M2127" s="71" t="s">
        <v>6824</v>
      </c>
      <c r="N2127" s="71" t="s">
        <v>6825</v>
      </c>
      <c r="O2127" s="71" t="s">
        <v>6824</v>
      </c>
      <c r="P2127" s="71" t="s">
        <v>6825</v>
      </c>
      <c r="Q2127" s="71" t="s">
        <v>6824</v>
      </c>
      <c r="R2127" s="71" t="s">
        <v>6825</v>
      </c>
      <c r="S2127" s="71" t="s">
        <v>6824</v>
      </c>
      <c r="T2127" s="71" t="s">
        <v>6825</v>
      </c>
      <c r="U2127" s="71" t="s">
        <v>6824</v>
      </c>
      <c r="V2127" s="71" t="s">
        <v>6825</v>
      </c>
      <c r="W2127" s="71" t="s">
        <v>6824</v>
      </c>
      <c r="X2127" s="71" t="s">
        <v>6825</v>
      </c>
      <c r="Y2127" s="71" t="s">
        <v>6824</v>
      </c>
      <c r="Z2127" s="71" t="s">
        <v>6825</v>
      </c>
      <c r="AA2127" s="71" t="s">
        <v>6824</v>
      </c>
      <c r="AB2127" s="71" t="s">
        <v>6825</v>
      </c>
      <c r="AC2127" s="71" t="s">
        <v>6824</v>
      </c>
      <c r="AD2127" s="71" t="s">
        <v>6825</v>
      </c>
      <c r="AE2127" s="71" t="s">
        <v>6824</v>
      </c>
      <c r="AF2127" s="71" t="s">
        <v>6825</v>
      </c>
      <c r="AG2127" s="71" t="s">
        <v>6824</v>
      </c>
      <c r="AH2127" s="71" t="s">
        <v>6825</v>
      </c>
      <c r="AI2127" s="71" t="s">
        <v>6824</v>
      </c>
      <c r="AJ2127" s="71" t="s">
        <v>6825</v>
      </c>
      <c r="AK2127" s="71" t="s">
        <v>6824</v>
      </c>
      <c r="AL2127" s="71" t="s">
        <v>6825</v>
      </c>
      <c r="AM2127" s="71" t="s">
        <v>6824</v>
      </c>
      <c r="AN2127" s="71" t="s">
        <v>6825</v>
      </c>
      <c r="AO2127" s="71" t="s">
        <v>6824</v>
      </c>
      <c r="AP2127" s="71" t="s">
        <v>6825</v>
      </c>
      <c r="AQ2127" s="71" t="s">
        <v>6824</v>
      </c>
      <c r="AR2127" s="71" t="s">
        <v>6825</v>
      </c>
      <c r="AS2127" s="71" t="s">
        <v>6824</v>
      </c>
      <c r="AT2127" s="71" t="s">
        <v>6825</v>
      </c>
      <c r="AU2127" s="71" t="s">
        <v>6824</v>
      </c>
      <c r="AV2127" s="71" t="s">
        <v>6825</v>
      </c>
      <c r="AW2127" s="71" t="s">
        <v>6824</v>
      </c>
      <c r="AX2127" s="71" t="s">
        <v>6825</v>
      </c>
    </row>
    <row r="2128" spans="1:50" x14ac:dyDescent="0.25">
      <c r="B2128" s="72"/>
      <c r="C2128" s="71"/>
      <c r="D2128" s="73"/>
      <c r="E2128" s="71"/>
      <c r="F2128" s="73"/>
      <c r="G2128" s="71"/>
      <c r="H2128" s="73"/>
      <c r="I2128" s="71"/>
      <c r="J2128" s="73"/>
      <c r="K2128" s="71"/>
      <c r="L2128" s="73"/>
      <c r="M2128" s="71"/>
      <c r="N2128" s="73"/>
      <c r="O2128" s="71"/>
      <c r="P2128" s="73"/>
      <c r="Q2128" s="71"/>
      <c r="R2128" s="73"/>
      <c r="S2128" s="71"/>
      <c r="T2128" s="73"/>
      <c r="U2128" s="71"/>
      <c r="V2128" s="73"/>
      <c r="W2128" s="71"/>
      <c r="X2128" s="73"/>
      <c r="Y2128" s="71"/>
      <c r="Z2128" s="73"/>
      <c r="AA2128" s="71"/>
      <c r="AB2128" s="73"/>
      <c r="AC2128" s="71"/>
      <c r="AD2128" s="73"/>
      <c r="AE2128" s="71"/>
      <c r="AF2128" s="73"/>
      <c r="AG2128" s="71"/>
      <c r="AH2128" s="73"/>
      <c r="AI2128" s="71"/>
      <c r="AJ2128" s="73"/>
      <c r="AK2128" s="71"/>
      <c r="AL2128" s="73"/>
      <c r="AM2128" s="71"/>
      <c r="AN2128" s="73"/>
      <c r="AO2128" s="71"/>
      <c r="AP2128" s="73"/>
      <c r="AQ2128" s="71"/>
      <c r="AR2128" s="73"/>
      <c r="AS2128" s="71"/>
      <c r="AT2128" s="73"/>
      <c r="AU2128" s="71"/>
      <c r="AV2128" s="73"/>
      <c r="AW2128" s="71"/>
      <c r="AX2128" s="73"/>
    </row>
    <row r="2130" spans="1:4" x14ac:dyDescent="0.25">
      <c r="B2130" s="27" t="s">
        <v>7607</v>
      </c>
      <c r="C2130" s="40"/>
      <c r="D2130" s="40"/>
    </row>
    <row r="2131" spans="1:4" x14ac:dyDescent="0.25">
      <c r="B2131" s="40" t="s">
        <v>6810</v>
      </c>
      <c r="C2131" s="40"/>
      <c r="D2131" s="40"/>
    </row>
    <row r="2132" spans="1:4" x14ac:dyDescent="0.25">
      <c r="B2132" s="40" t="s">
        <v>6811</v>
      </c>
      <c r="C2132" s="40"/>
      <c r="D2132" s="40"/>
    </row>
    <row r="2133" spans="1:4" x14ac:dyDescent="0.25">
      <c r="B2133" s="42" t="s">
        <v>6812</v>
      </c>
      <c r="C2133" s="40"/>
      <c r="D2133" s="40"/>
    </row>
    <row r="2134" spans="1:4" x14ac:dyDescent="0.25">
      <c r="B2134" s="42" t="s">
        <v>6813</v>
      </c>
      <c r="C2134" s="40"/>
      <c r="D2134" s="40"/>
    </row>
    <row r="2135" spans="1:4" x14ac:dyDescent="0.25">
      <c r="B2135" s="42" t="s">
        <v>6814</v>
      </c>
      <c r="C2135" s="40"/>
      <c r="D2135" s="40"/>
    </row>
    <row r="2136" spans="1:4" ht="100" customHeight="1" x14ac:dyDescent="0.25">
      <c r="A2136" s="41" t="str">
        <f>_xlfn.CONCAT("Sample test results are documented in ",'Sample Tables'!B2130," [",'Sample Tables'!B2131,", ",'Sample Tables'!B2132,", ",'Sample Tables'!B2133,", ",'Sample Tables'!B2134,", ",'Sample Tables'!B2135,"]."&amp;CHAR(10))</f>
        <v xml:space="preserve">Sample test results are documented in Test 194: Workforce Member (entering security role) [Population Source/Tool: , Population Date Range: , Population Size: , Sample Methodology: , Sample Size: ].
</v>
      </c>
      <c r="B2136" s="95" t="s">
        <v>6815</v>
      </c>
      <c r="C2136" s="93" t="s">
        <v>7608</v>
      </c>
      <c r="D2136" s="94"/>
    </row>
    <row r="2137" spans="1:4" x14ac:dyDescent="0.25">
      <c r="B2137" s="96"/>
      <c r="C2137" s="91" t="s">
        <v>3703</v>
      </c>
      <c r="D2137" s="92"/>
    </row>
    <row r="2138" spans="1:4" x14ac:dyDescent="0.25">
      <c r="B2138" s="97"/>
      <c r="C2138" s="71" t="s">
        <v>6824</v>
      </c>
      <c r="D2138" s="71" t="s">
        <v>6825</v>
      </c>
    </row>
    <row r="2139" spans="1:4" x14ac:dyDescent="0.25">
      <c r="B2139" s="72"/>
      <c r="C2139" s="71"/>
      <c r="D2139" s="73"/>
    </row>
    <row r="2141" spans="1:4" x14ac:dyDescent="0.25">
      <c r="B2141" s="27" t="s">
        <v>7609</v>
      </c>
      <c r="C2141" s="40"/>
      <c r="D2141" s="40"/>
    </row>
    <row r="2142" spans="1:4" x14ac:dyDescent="0.25">
      <c r="B2142" s="40" t="s">
        <v>6810</v>
      </c>
      <c r="C2142" s="40"/>
      <c r="D2142" s="40"/>
    </row>
    <row r="2143" spans="1:4" x14ac:dyDescent="0.25">
      <c r="B2143" s="40" t="s">
        <v>6811</v>
      </c>
      <c r="C2143" s="40"/>
      <c r="D2143" s="40"/>
    </row>
    <row r="2144" spans="1:4" x14ac:dyDescent="0.25">
      <c r="B2144" s="42" t="s">
        <v>6812</v>
      </c>
      <c r="C2144" s="40"/>
      <c r="D2144" s="40"/>
    </row>
    <row r="2145" spans="1:16" x14ac:dyDescent="0.25">
      <c r="B2145" s="42" t="s">
        <v>6813</v>
      </c>
      <c r="C2145" s="40"/>
      <c r="D2145" s="40"/>
    </row>
    <row r="2146" spans="1:16" x14ac:dyDescent="0.25">
      <c r="B2146" s="42" t="s">
        <v>6814</v>
      </c>
      <c r="C2146" s="40"/>
      <c r="D2146" s="40"/>
    </row>
    <row r="2147" spans="1:16" ht="100" customHeight="1" x14ac:dyDescent="0.25">
      <c r="A2147" s="41" t="str">
        <f>_xlfn.CONCAT("Sample test results are documented in ",'Sample Tables'!B2141," [",'Sample Tables'!B2142,", ",'Sample Tables'!B2143,", ",'Sample Tables'!B2144,", ",'Sample Tables'!B2145,", ",'Sample Tables'!B2146,"]."&amp;CHAR(10))</f>
        <v xml:space="preserve">Sample test results are documented in Test 195: Workforce Member (external maintenance) [Population Source/Tool: , Population Date Range: , Population Size: , Sample Methodology: , Sample Size: ].
</v>
      </c>
      <c r="B2147" s="95" t="s">
        <v>6815</v>
      </c>
      <c r="C2147" s="93" t="s">
        <v>7315</v>
      </c>
      <c r="D2147" s="94"/>
      <c r="E2147" s="93" t="s">
        <v>7610</v>
      </c>
      <c r="F2147" s="94"/>
      <c r="G2147" s="93" t="s">
        <v>7611</v>
      </c>
      <c r="H2147" s="94"/>
      <c r="I2147" s="93" t="s">
        <v>7612</v>
      </c>
      <c r="J2147" s="94"/>
      <c r="K2147" s="93" t="s">
        <v>7613</v>
      </c>
      <c r="L2147" s="94"/>
      <c r="M2147" s="93" t="s">
        <v>7614</v>
      </c>
      <c r="N2147" s="94"/>
      <c r="O2147" s="93" t="s">
        <v>7615</v>
      </c>
      <c r="P2147" s="94"/>
    </row>
    <row r="2148" spans="1:16" x14ac:dyDescent="0.25">
      <c r="B2148" s="96"/>
      <c r="C2148" s="91" t="s">
        <v>5552</v>
      </c>
      <c r="D2148" s="92"/>
      <c r="E2148" s="91" t="s">
        <v>5345</v>
      </c>
      <c r="F2148" s="92"/>
      <c r="G2148" s="91" t="s">
        <v>5383</v>
      </c>
      <c r="H2148" s="92"/>
      <c r="I2148" s="91" t="s">
        <v>5387</v>
      </c>
      <c r="J2148" s="92"/>
      <c r="K2148" s="91" t="s">
        <v>5387</v>
      </c>
      <c r="L2148" s="92"/>
      <c r="M2148" s="91" t="s">
        <v>5387</v>
      </c>
      <c r="N2148" s="92"/>
      <c r="O2148" s="91" t="s">
        <v>5387</v>
      </c>
      <c r="P2148" s="92"/>
    </row>
    <row r="2149" spans="1:16" x14ac:dyDescent="0.25">
      <c r="B2149" s="97"/>
      <c r="C2149" s="71" t="s">
        <v>6824</v>
      </c>
      <c r="D2149" s="71" t="s">
        <v>6825</v>
      </c>
      <c r="E2149" s="71" t="s">
        <v>6824</v>
      </c>
      <c r="F2149" s="71" t="s">
        <v>6825</v>
      </c>
      <c r="G2149" s="71" t="s">
        <v>6824</v>
      </c>
      <c r="H2149" s="71" t="s">
        <v>6825</v>
      </c>
      <c r="I2149" s="71" t="s">
        <v>6824</v>
      </c>
      <c r="J2149" s="71" t="s">
        <v>6825</v>
      </c>
      <c r="K2149" s="71" t="s">
        <v>6824</v>
      </c>
      <c r="L2149" s="71" t="s">
        <v>6825</v>
      </c>
      <c r="M2149" s="71" t="s">
        <v>6824</v>
      </c>
      <c r="N2149" s="71" t="s">
        <v>6825</v>
      </c>
      <c r="O2149" s="71" t="s">
        <v>6824</v>
      </c>
      <c r="P2149" s="71" t="s">
        <v>6825</v>
      </c>
    </row>
    <row r="2150" spans="1:16" x14ac:dyDescent="0.25">
      <c r="B2150" s="72"/>
      <c r="C2150" s="71"/>
      <c r="D2150" s="73"/>
      <c r="E2150" s="71"/>
      <c r="F2150" s="73"/>
      <c r="G2150" s="71"/>
      <c r="H2150" s="73"/>
      <c r="I2150" s="71"/>
      <c r="J2150" s="73"/>
      <c r="K2150" s="71"/>
      <c r="L2150" s="73"/>
      <c r="M2150" s="71"/>
      <c r="N2150" s="73"/>
      <c r="O2150" s="71"/>
      <c r="P2150" s="73"/>
    </row>
    <row r="2152" spans="1:16" x14ac:dyDescent="0.25">
      <c r="B2152" s="27" t="s">
        <v>7616</v>
      </c>
      <c r="C2152" s="40"/>
      <c r="D2152" s="40"/>
    </row>
    <row r="2153" spans="1:16" x14ac:dyDescent="0.25">
      <c r="B2153" s="40" t="s">
        <v>6810</v>
      </c>
      <c r="C2153" s="40"/>
      <c r="D2153" s="40"/>
    </row>
    <row r="2154" spans="1:16" x14ac:dyDescent="0.25">
      <c r="B2154" s="40" t="s">
        <v>6811</v>
      </c>
      <c r="C2154" s="40"/>
      <c r="D2154" s="40"/>
    </row>
    <row r="2155" spans="1:16" x14ac:dyDescent="0.25">
      <c r="B2155" s="42" t="s">
        <v>6812</v>
      </c>
      <c r="C2155" s="40"/>
      <c r="D2155" s="40"/>
    </row>
    <row r="2156" spans="1:16" x14ac:dyDescent="0.25">
      <c r="B2156" s="42" t="s">
        <v>6813</v>
      </c>
      <c r="C2156" s="40"/>
      <c r="D2156" s="40"/>
    </row>
    <row r="2157" spans="1:16" x14ac:dyDescent="0.25">
      <c r="B2157" s="42" t="s">
        <v>6814</v>
      </c>
      <c r="C2157" s="40"/>
      <c r="D2157" s="40"/>
    </row>
    <row r="2158" spans="1:16" ht="100" customHeight="1" x14ac:dyDescent="0.25">
      <c r="A2158" s="41" t="str">
        <f>_xlfn.CONCAT("Sample test results are documented in ",'Sample Tables'!B2152," [",'Sample Tables'!B2153,", ",'Sample Tables'!B2154,", ",'Sample Tables'!B2155,", ",'Sample Tables'!B2156,", ",'Sample Tables'!B2157,"]."&amp;CHAR(10))</f>
        <v xml:space="preserve">Sample test results are documented in Test 196: Workforce Member (failing to comply with ISMP) [Population Source/Tool: , Population Date Range: , Population Size: , Sample Methodology: , Sample Size: ].
</v>
      </c>
      <c r="B2158" s="95" t="s">
        <v>6815</v>
      </c>
      <c r="C2158" s="93" t="s">
        <v>7617</v>
      </c>
      <c r="D2158" s="94"/>
      <c r="E2158" s="93" t="s">
        <v>7618</v>
      </c>
      <c r="F2158" s="94"/>
      <c r="G2158" s="93" t="s">
        <v>7619</v>
      </c>
      <c r="H2158" s="94"/>
    </row>
    <row r="2159" spans="1:16" x14ac:dyDescent="0.25">
      <c r="B2159" s="96"/>
      <c r="C2159" s="91" t="s">
        <v>485</v>
      </c>
      <c r="D2159" s="92"/>
      <c r="E2159" s="91" t="s">
        <v>485</v>
      </c>
      <c r="F2159" s="92"/>
      <c r="G2159" s="91" t="s">
        <v>485</v>
      </c>
      <c r="H2159" s="92"/>
    </row>
    <row r="2160" spans="1:16" x14ac:dyDescent="0.25">
      <c r="B2160" s="97"/>
      <c r="C2160" s="71" t="s">
        <v>6824</v>
      </c>
      <c r="D2160" s="71" t="s">
        <v>6825</v>
      </c>
      <c r="E2160" s="71" t="s">
        <v>6824</v>
      </c>
      <c r="F2160" s="71" t="s">
        <v>6825</v>
      </c>
      <c r="G2160" s="71" t="s">
        <v>6824</v>
      </c>
      <c r="H2160" s="71" t="s">
        <v>6825</v>
      </c>
    </row>
    <row r="2161" spans="1:8" x14ac:dyDescent="0.25">
      <c r="B2161" s="74"/>
      <c r="C2161" s="71"/>
      <c r="D2161" s="73"/>
      <c r="E2161" s="71"/>
      <c r="F2161" s="73"/>
      <c r="G2161" s="71"/>
      <c r="H2161" s="73"/>
    </row>
    <row r="2163" spans="1:8" x14ac:dyDescent="0.25">
      <c r="B2163" s="27" t="s">
        <v>7620</v>
      </c>
      <c r="C2163" s="40"/>
      <c r="D2163" s="40"/>
    </row>
    <row r="2164" spans="1:8" x14ac:dyDescent="0.25">
      <c r="B2164" s="40" t="s">
        <v>6810</v>
      </c>
      <c r="C2164" s="40"/>
      <c r="D2164" s="40"/>
    </row>
    <row r="2165" spans="1:8" x14ac:dyDescent="0.25">
      <c r="B2165" s="40" t="s">
        <v>6811</v>
      </c>
      <c r="C2165" s="40"/>
      <c r="D2165" s="40"/>
    </row>
    <row r="2166" spans="1:8" x14ac:dyDescent="0.25">
      <c r="B2166" s="42" t="s">
        <v>6812</v>
      </c>
      <c r="C2166" s="40"/>
      <c r="D2166" s="40"/>
    </row>
    <row r="2167" spans="1:8" x14ac:dyDescent="0.25">
      <c r="B2167" s="42" t="s">
        <v>6813</v>
      </c>
      <c r="C2167" s="40"/>
      <c r="D2167" s="40"/>
    </row>
    <row r="2168" spans="1:8" x14ac:dyDescent="0.25">
      <c r="B2168" s="42" t="s">
        <v>6814</v>
      </c>
      <c r="C2168" s="40"/>
      <c r="D2168" s="40"/>
    </row>
    <row r="2169" spans="1:8" ht="100" customHeight="1" x14ac:dyDescent="0.25">
      <c r="A2169" s="41" t="str">
        <f>_xlfn.CONCAT("Sample test results are documented in ",'Sample Tables'!B2163," [",'Sample Tables'!B2164,", ",'Sample Tables'!B2165,", ",'Sample Tables'!B2166,", ",'Sample Tables'!B2167,", ",'Sample Tables'!B2168,"]."&amp;CHAR(10))</f>
        <v xml:space="preserve">Sample test results are documented in Test 197: Workforce Member (incident response) [Population Source/Tool: , Population Date Range: , Population Size: , Sample Methodology: , Sample Size: ].
</v>
      </c>
      <c r="B2169" s="95" t="s">
        <v>6815</v>
      </c>
      <c r="C2169" s="93" t="s">
        <v>7621</v>
      </c>
      <c r="D2169" s="94"/>
      <c r="E2169" s="93" t="s">
        <v>7622</v>
      </c>
      <c r="F2169" s="94"/>
    </row>
    <row r="2170" spans="1:8" x14ac:dyDescent="0.25">
      <c r="B2170" s="96"/>
      <c r="C2170" s="91" t="s">
        <v>3737</v>
      </c>
      <c r="D2170" s="92"/>
      <c r="E2170" s="91" t="s">
        <v>3737</v>
      </c>
      <c r="F2170" s="92"/>
    </row>
    <row r="2171" spans="1:8" x14ac:dyDescent="0.25">
      <c r="B2171" s="97"/>
      <c r="C2171" s="71" t="s">
        <v>6824</v>
      </c>
      <c r="D2171" s="71" t="s">
        <v>6825</v>
      </c>
      <c r="E2171" s="71" t="s">
        <v>6824</v>
      </c>
      <c r="F2171" s="71" t="s">
        <v>6825</v>
      </c>
    </row>
    <row r="2172" spans="1:8" x14ac:dyDescent="0.25">
      <c r="B2172" s="72"/>
      <c r="C2172" s="71"/>
      <c r="D2172" s="73"/>
      <c r="E2172" s="71"/>
      <c r="F2172" s="73"/>
    </row>
    <row r="2174" spans="1:8" x14ac:dyDescent="0.25">
      <c r="B2174" s="27" t="s">
        <v>7623</v>
      </c>
      <c r="C2174" s="40"/>
      <c r="D2174" s="40"/>
    </row>
    <row r="2175" spans="1:8" x14ac:dyDescent="0.25">
      <c r="B2175" s="40" t="s">
        <v>6810</v>
      </c>
      <c r="C2175" s="40"/>
      <c r="D2175" s="40"/>
    </row>
    <row r="2176" spans="1:8" x14ac:dyDescent="0.25">
      <c r="B2176" s="40" t="s">
        <v>6811</v>
      </c>
      <c r="C2176" s="40"/>
      <c r="D2176" s="40"/>
    </row>
    <row r="2177" spans="1:4" x14ac:dyDescent="0.25">
      <c r="B2177" s="42" t="s">
        <v>6812</v>
      </c>
      <c r="C2177" s="40"/>
      <c r="D2177" s="40"/>
    </row>
    <row r="2178" spans="1:4" x14ac:dyDescent="0.25">
      <c r="B2178" s="42" t="s">
        <v>6813</v>
      </c>
      <c r="C2178" s="40"/>
      <c r="D2178" s="40"/>
    </row>
    <row r="2179" spans="1:4" x14ac:dyDescent="0.25">
      <c r="B2179" s="42" t="s">
        <v>6814</v>
      </c>
      <c r="C2179" s="40"/>
      <c r="D2179" s="40"/>
    </row>
    <row r="2180" spans="1:4" ht="100" customHeight="1" x14ac:dyDescent="0.25">
      <c r="A2180" s="41" t="str">
        <f>_xlfn.CONCAT("Sample test results are documented in ",'Sample Tables'!B2174," [",'Sample Tables'!B2175,", ",'Sample Tables'!B2176,", ",'Sample Tables'!B2177,", ",'Sample Tables'!B2178,", ",'Sample Tables'!B2179,"]."&amp;CHAR(10))</f>
        <v xml:space="preserve">Sample test results are documented in Test 198: Workforce Member (information security) [Population Source/Tool: , Population Date Range: , Population Size: , Sample Methodology: , Sample Size: ].
</v>
      </c>
      <c r="B2180" s="95" t="s">
        <v>6815</v>
      </c>
      <c r="C2180" s="93" t="s">
        <v>7624</v>
      </c>
      <c r="D2180" s="94"/>
    </row>
    <row r="2181" spans="1:4" x14ac:dyDescent="0.25">
      <c r="B2181" s="96"/>
      <c r="C2181" s="91" t="s">
        <v>3741</v>
      </c>
      <c r="D2181" s="92"/>
    </row>
    <row r="2182" spans="1:4" x14ac:dyDescent="0.25">
      <c r="B2182" s="97"/>
      <c r="C2182" s="71" t="s">
        <v>6824</v>
      </c>
      <c r="D2182" s="71" t="s">
        <v>6825</v>
      </c>
    </row>
    <row r="2183" spans="1:4" x14ac:dyDescent="0.25">
      <c r="B2183" s="72"/>
      <c r="C2183" s="71"/>
      <c r="D2183" s="73"/>
    </row>
    <row r="2185" spans="1:4" x14ac:dyDescent="0.25">
      <c r="B2185" s="27" t="s">
        <v>7625</v>
      </c>
      <c r="C2185" s="40"/>
      <c r="D2185" s="40"/>
    </row>
    <row r="2186" spans="1:4" x14ac:dyDescent="0.25">
      <c r="B2186" s="40" t="s">
        <v>6810</v>
      </c>
      <c r="C2186" s="40"/>
      <c r="D2186" s="40"/>
    </row>
    <row r="2187" spans="1:4" x14ac:dyDescent="0.25">
      <c r="B2187" s="40" t="s">
        <v>6811</v>
      </c>
      <c r="C2187" s="40"/>
      <c r="D2187" s="40"/>
    </row>
    <row r="2188" spans="1:4" x14ac:dyDescent="0.25">
      <c r="B2188" s="42" t="s">
        <v>6812</v>
      </c>
      <c r="C2188" s="40"/>
      <c r="D2188" s="40"/>
    </row>
    <row r="2189" spans="1:4" x14ac:dyDescent="0.25">
      <c r="B2189" s="42" t="s">
        <v>6813</v>
      </c>
      <c r="C2189" s="40"/>
      <c r="D2189" s="40"/>
    </row>
    <row r="2190" spans="1:4" x14ac:dyDescent="0.25">
      <c r="B2190" s="42" t="s">
        <v>6814</v>
      </c>
      <c r="C2190" s="40"/>
      <c r="D2190" s="40"/>
    </row>
    <row r="2191" spans="1:4" x14ac:dyDescent="0.25">
      <c r="A2191" s="41" t="str">
        <f>_xlfn.CONCAT("Sample test results are documented in ",'Sample Tables'!B2185," [",'Sample Tables'!B2186,", ",'Sample Tables'!B2187,", ",'Sample Tables'!B2188,", ",'Sample Tables'!B2189,", ",'Sample Tables'!B2190,"]."&amp;CHAR(10))</f>
        <v xml:space="preserve">Sample test results are documented in Test 199: Workforce Member (lacking clearance/not U.S. citizen) [Population Source/Tool: , Population Date Range: , Population Size: , Sample Methodology: , Sample Size: ].
</v>
      </c>
      <c r="B2191" s="95" t="s">
        <v>6815</v>
      </c>
      <c r="C2191" s="93"/>
      <c r="D2191" s="94"/>
    </row>
    <row r="2192" spans="1:4" x14ac:dyDescent="0.25">
      <c r="B2192" s="96"/>
      <c r="C2192" s="91"/>
      <c r="D2192" s="92"/>
    </row>
    <row r="2193" spans="1:30" x14ac:dyDescent="0.25">
      <c r="B2193" s="97"/>
      <c r="C2193" s="71" t="s">
        <v>6824</v>
      </c>
      <c r="D2193" s="71" t="s">
        <v>6825</v>
      </c>
    </row>
    <row r="2194" spans="1:30" x14ac:dyDescent="0.25">
      <c r="B2194" s="72"/>
      <c r="C2194" s="71"/>
      <c r="D2194" s="73"/>
    </row>
    <row r="2196" spans="1:30" x14ac:dyDescent="0.25">
      <c r="B2196" s="27" t="s">
        <v>7626</v>
      </c>
      <c r="C2196" s="40"/>
      <c r="D2196" s="40"/>
    </row>
    <row r="2197" spans="1:30" x14ac:dyDescent="0.25">
      <c r="B2197" s="40" t="s">
        <v>6810</v>
      </c>
      <c r="C2197" s="40"/>
      <c r="D2197" s="40"/>
    </row>
    <row r="2198" spans="1:30" x14ac:dyDescent="0.25">
      <c r="B2198" s="40" t="s">
        <v>6811</v>
      </c>
      <c r="C2198" s="40"/>
      <c r="D2198" s="40"/>
    </row>
    <row r="2199" spans="1:30" x14ac:dyDescent="0.25">
      <c r="B2199" s="42" t="s">
        <v>6812</v>
      </c>
      <c r="C2199" s="40"/>
      <c r="D2199" s="40"/>
    </row>
    <row r="2200" spans="1:30" x14ac:dyDescent="0.25">
      <c r="B2200" s="42" t="s">
        <v>6813</v>
      </c>
      <c r="C2200" s="40"/>
      <c r="D2200" s="40"/>
    </row>
    <row r="2201" spans="1:30" x14ac:dyDescent="0.25">
      <c r="B2201" s="42" t="s">
        <v>6814</v>
      </c>
      <c r="C2201" s="40"/>
      <c r="D2201" s="40"/>
    </row>
    <row r="2202" spans="1:30" ht="100" customHeight="1" x14ac:dyDescent="0.25">
      <c r="A2202" s="41" t="str">
        <f>_xlfn.CONCAT("Sample test results are documented in ",'Sample Tables'!B2196," [",'Sample Tables'!B2197,", ",'Sample Tables'!B2198,", ",'Sample Tables'!B2199,", ",'Sample Tables'!B2200,", ",'Sample Tables'!B2201,"]."&amp;CHAR(10))</f>
        <v xml:space="preserve">Sample test results are documented in Test 200: Workforce Member (new hire) [Population Source/Tool: , Population Date Range: , Population Size: , Sample Methodology: , Sample Size: ].
</v>
      </c>
      <c r="B2202" s="95" t="s">
        <v>6815</v>
      </c>
      <c r="C2202" s="93" t="s">
        <v>7627</v>
      </c>
      <c r="D2202" s="94"/>
      <c r="E2202" s="93" t="s">
        <v>7628</v>
      </c>
      <c r="F2202" s="94"/>
      <c r="G2202" s="93" t="s">
        <v>7629</v>
      </c>
      <c r="H2202" s="94"/>
      <c r="I2202" s="93" t="s">
        <v>7630</v>
      </c>
      <c r="J2202" s="94"/>
      <c r="K2202" s="93" t="s">
        <v>7631</v>
      </c>
      <c r="L2202" s="94"/>
      <c r="M2202" s="93" t="s">
        <v>7632</v>
      </c>
      <c r="N2202" s="94"/>
      <c r="O2202" s="93" t="s">
        <v>7633</v>
      </c>
      <c r="P2202" s="94"/>
      <c r="Q2202" s="93" t="s">
        <v>7634</v>
      </c>
      <c r="R2202" s="94"/>
      <c r="S2202" s="93" t="s">
        <v>7632</v>
      </c>
      <c r="T2202" s="94"/>
      <c r="U2202" s="93" t="s">
        <v>7635</v>
      </c>
      <c r="V2202" s="94"/>
      <c r="W2202" s="93" t="s">
        <v>7636</v>
      </c>
      <c r="X2202" s="94"/>
      <c r="Y2202" s="93" t="s">
        <v>7637</v>
      </c>
      <c r="Z2202" s="94"/>
      <c r="AA2202" s="93" t="s">
        <v>7638</v>
      </c>
      <c r="AB2202" s="94"/>
      <c r="AC2202" s="93" t="s">
        <v>7633</v>
      </c>
      <c r="AD2202" s="94"/>
    </row>
    <row r="2203" spans="1:30" x14ac:dyDescent="0.25">
      <c r="B2203" s="96"/>
      <c r="C2203" s="91" t="s">
        <v>303</v>
      </c>
      <c r="D2203" s="92"/>
      <c r="E2203" s="91" t="s">
        <v>305</v>
      </c>
      <c r="F2203" s="92"/>
      <c r="G2203" s="91" t="s">
        <v>307</v>
      </c>
      <c r="H2203" s="92"/>
      <c r="I2203" s="91" t="s">
        <v>2340</v>
      </c>
      <c r="J2203" s="92"/>
      <c r="K2203" s="91" t="s">
        <v>2704</v>
      </c>
      <c r="L2203" s="92"/>
      <c r="M2203" s="91" t="s">
        <v>2710</v>
      </c>
      <c r="N2203" s="92"/>
      <c r="O2203" s="91" t="s">
        <v>2710</v>
      </c>
      <c r="P2203" s="92"/>
      <c r="Q2203" s="91" t="s">
        <v>2710</v>
      </c>
      <c r="R2203" s="92"/>
      <c r="S2203" s="91" t="s">
        <v>2712</v>
      </c>
      <c r="T2203" s="92"/>
      <c r="U2203" s="91" t="s">
        <v>3618</v>
      </c>
      <c r="V2203" s="92"/>
      <c r="W2203" s="91" t="s">
        <v>3698</v>
      </c>
      <c r="X2203" s="92"/>
      <c r="Y2203" s="91" t="s">
        <v>3708</v>
      </c>
      <c r="Z2203" s="92"/>
      <c r="AA2203" s="91" t="s">
        <v>3781</v>
      </c>
      <c r="AB2203" s="92"/>
      <c r="AC2203" s="91" t="s">
        <v>4144</v>
      </c>
      <c r="AD2203" s="92"/>
    </row>
    <row r="2204" spans="1:30" x14ac:dyDescent="0.25">
      <c r="B2204" s="97"/>
      <c r="C2204" s="71" t="s">
        <v>6824</v>
      </c>
      <c r="D2204" s="71" t="s">
        <v>6825</v>
      </c>
      <c r="E2204" s="71" t="s">
        <v>6824</v>
      </c>
      <c r="F2204" s="71" t="s">
        <v>6825</v>
      </c>
      <c r="G2204" s="71" t="s">
        <v>6824</v>
      </c>
      <c r="H2204" s="71" t="s">
        <v>6825</v>
      </c>
      <c r="I2204" s="71" t="s">
        <v>6824</v>
      </c>
      <c r="J2204" s="71" t="s">
        <v>6825</v>
      </c>
      <c r="K2204" s="71" t="s">
        <v>6824</v>
      </c>
      <c r="L2204" s="71" t="s">
        <v>6825</v>
      </c>
      <c r="M2204" s="71" t="s">
        <v>6824</v>
      </c>
      <c r="N2204" s="71" t="s">
        <v>6825</v>
      </c>
      <c r="O2204" s="71" t="s">
        <v>6824</v>
      </c>
      <c r="P2204" s="71" t="s">
        <v>6825</v>
      </c>
      <c r="Q2204" s="71" t="s">
        <v>6824</v>
      </c>
      <c r="R2204" s="71" t="s">
        <v>6825</v>
      </c>
      <c r="S2204" s="71" t="s">
        <v>6824</v>
      </c>
      <c r="T2204" s="71" t="s">
        <v>6825</v>
      </c>
      <c r="U2204" s="71" t="s">
        <v>6824</v>
      </c>
      <c r="V2204" s="71" t="s">
        <v>6825</v>
      </c>
      <c r="W2204" s="71" t="s">
        <v>6824</v>
      </c>
      <c r="X2204" s="71" t="s">
        <v>6825</v>
      </c>
      <c r="Y2204" s="71" t="s">
        <v>6824</v>
      </c>
      <c r="Z2204" s="71" t="s">
        <v>6825</v>
      </c>
      <c r="AA2204" s="71" t="s">
        <v>6824</v>
      </c>
      <c r="AB2204" s="71" t="s">
        <v>6825</v>
      </c>
      <c r="AC2204" s="71" t="s">
        <v>6824</v>
      </c>
      <c r="AD2204" s="71" t="s">
        <v>6825</v>
      </c>
    </row>
    <row r="2205" spans="1:30" x14ac:dyDescent="0.25">
      <c r="B2205" s="72"/>
      <c r="C2205" s="71"/>
      <c r="D2205" s="73"/>
      <c r="E2205" s="71"/>
      <c r="F2205" s="73"/>
      <c r="G2205" s="71"/>
      <c r="H2205" s="73"/>
      <c r="I2205" s="71"/>
      <c r="J2205" s="73"/>
      <c r="K2205" s="71"/>
      <c r="L2205" s="73"/>
      <c r="M2205" s="71"/>
      <c r="N2205" s="73"/>
      <c r="O2205" s="71"/>
      <c r="P2205" s="73"/>
      <c r="Q2205" s="71"/>
      <c r="R2205" s="73"/>
      <c r="S2205" s="71"/>
      <c r="T2205" s="73"/>
      <c r="U2205" s="71"/>
      <c r="V2205" s="73"/>
      <c r="W2205" s="71"/>
      <c r="X2205" s="73"/>
      <c r="Y2205" s="71"/>
      <c r="Z2205" s="73"/>
      <c r="AA2205" s="71"/>
      <c r="AB2205" s="73"/>
      <c r="AC2205" s="71"/>
      <c r="AD2205" s="73"/>
    </row>
    <row r="2207" spans="1:30" x14ac:dyDescent="0.25">
      <c r="B2207" s="27" t="s">
        <v>7639</v>
      </c>
      <c r="C2207" s="40"/>
      <c r="D2207" s="40"/>
    </row>
    <row r="2208" spans="1:30" x14ac:dyDescent="0.25">
      <c r="B2208" s="40" t="s">
        <v>6810</v>
      </c>
      <c r="C2208" s="40"/>
      <c r="D2208" s="40"/>
    </row>
    <row r="2209" spans="1:6" x14ac:dyDescent="0.25">
      <c r="B2209" s="40" t="s">
        <v>6811</v>
      </c>
      <c r="C2209" s="40"/>
      <c r="D2209" s="40"/>
    </row>
    <row r="2210" spans="1:6" x14ac:dyDescent="0.25">
      <c r="B2210" s="42" t="s">
        <v>6812</v>
      </c>
      <c r="C2210" s="40"/>
      <c r="D2210" s="40"/>
    </row>
    <row r="2211" spans="1:6" x14ac:dyDescent="0.25">
      <c r="B2211" s="42" t="s">
        <v>6813</v>
      </c>
      <c r="C2211" s="40"/>
      <c r="D2211" s="40"/>
    </row>
    <row r="2212" spans="1:6" x14ac:dyDescent="0.25">
      <c r="B2212" s="42" t="s">
        <v>6814</v>
      </c>
      <c r="C2212" s="40"/>
      <c r="D2212" s="40"/>
    </row>
    <row r="2213" spans="1:6" x14ac:dyDescent="0.25">
      <c r="A2213" s="41" t="str">
        <f>_xlfn.CONCAT("Sample test results are documented in ",'Sample Tables'!B2207," [",'Sample Tables'!B2208,", ",'Sample Tables'!B2209,", ",'Sample Tables'!B2210,", ",'Sample Tables'!B2211,", ",'Sample Tables'!B2212,"]."&amp;CHAR(10))</f>
        <v xml:space="preserve">Sample test results are documented in Test 201: Workforce Member (new information system owner) [Population Source/Tool: , Population Date Range: , Population Size: , Sample Methodology: , Sample Size: ].
</v>
      </c>
      <c r="B2213" s="95" t="s">
        <v>6815</v>
      </c>
      <c r="C2213" s="93"/>
      <c r="D2213" s="94"/>
    </row>
    <row r="2214" spans="1:6" x14ac:dyDescent="0.25">
      <c r="B2214" s="96"/>
      <c r="C2214" s="91"/>
      <c r="D2214" s="92"/>
    </row>
    <row r="2215" spans="1:6" x14ac:dyDescent="0.25">
      <c r="B2215" s="97"/>
      <c r="C2215" s="71" t="s">
        <v>6824</v>
      </c>
      <c r="D2215" s="71" t="s">
        <v>6825</v>
      </c>
    </row>
    <row r="2216" spans="1:6" x14ac:dyDescent="0.25">
      <c r="B2216" s="72"/>
      <c r="C2216" s="71"/>
      <c r="D2216" s="73"/>
    </row>
    <row r="2218" spans="1:6" x14ac:dyDescent="0.25">
      <c r="B2218" s="27" t="s">
        <v>7640</v>
      </c>
      <c r="C2218" s="40"/>
      <c r="D2218" s="40"/>
    </row>
    <row r="2219" spans="1:6" x14ac:dyDescent="0.25">
      <c r="B2219" s="40" t="s">
        <v>6810</v>
      </c>
      <c r="C2219" s="40"/>
      <c r="D2219" s="40"/>
    </row>
    <row r="2220" spans="1:6" x14ac:dyDescent="0.25">
      <c r="B2220" s="40" t="s">
        <v>6811</v>
      </c>
      <c r="C2220" s="40"/>
      <c r="D2220" s="40"/>
    </row>
    <row r="2221" spans="1:6" x14ac:dyDescent="0.25">
      <c r="B2221" s="42" t="s">
        <v>6812</v>
      </c>
      <c r="C2221" s="40"/>
      <c r="D2221" s="40"/>
    </row>
    <row r="2222" spans="1:6" x14ac:dyDescent="0.25">
      <c r="B2222" s="42" t="s">
        <v>6813</v>
      </c>
      <c r="C2222" s="40"/>
      <c r="D2222" s="40"/>
    </row>
    <row r="2223" spans="1:6" x14ac:dyDescent="0.25">
      <c r="B2223" s="42" t="s">
        <v>6814</v>
      </c>
      <c r="C2223" s="40"/>
      <c r="D2223" s="40"/>
    </row>
    <row r="2224" spans="1:6" ht="100" customHeight="1" x14ac:dyDescent="0.25">
      <c r="A2224" s="41" t="str">
        <f>_xlfn.CONCAT("Sample test results are documented in ",'Sample Tables'!B2218," [",'Sample Tables'!B2219,", ",'Sample Tables'!B2220,", ",'Sample Tables'!B2221,", ",'Sample Tables'!B2222,", ",'Sample Tables'!B2223,"]."&amp;CHAR(10))</f>
        <v xml:space="preserve">Sample test results are documented in Test 202: Workforce Member (provided hardware token) [Population Source/Tool: , Population Date Range: , Population Size: , Sample Methodology: , Sample Size: ].
</v>
      </c>
      <c r="B2224" s="95" t="s">
        <v>6815</v>
      </c>
      <c r="C2224" s="93" t="s">
        <v>7641</v>
      </c>
      <c r="D2224" s="94"/>
      <c r="E2224" s="93" t="s">
        <v>7641</v>
      </c>
      <c r="F2224" s="94"/>
    </row>
    <row r="2225" spans="1:6" x14ac:dyDescent="0.25">
      <c r="B2225" s="96"/>
      <c r="C2225" s="91" t="s">
        <v>2750</v>
      </c>
      <c r="D2225" s="92"/>
      <c r="E2225" s="91" t="s">
        <v>2445</v>
      </c>
      <c r="F2225" s="92"/>
    </row>
    <row r="2226" spans="1:6" x14ac:dyDescent="0.25">
      <c r="B2226" s="97"/>
      <c r="C2226" s="71" t="s">
        <v>6824</v>
      </c>
      <c r="D2226" s="71" t="s">
        <v>6825</v>
      </c>
      <c r="E2226" s="71" t="s">
        <v>6824</v>
      </c>
      <c r="F2226" s="71" t="s">
        <v>6825</v>
      </c>
    </row>
    <row r="2227" spans="1:6" x14ac:dyDescent="0.25">
      <c r="B2227" s="72"/>
      <c r="C2227" s="71"/>
      <c r="D2227" s="73"/>
      <c r="E2227" s="71"/>
      <c r="F2227" s="73"/>
    </row>
    <row r="2229" spans="1:6" x14ac:dyDescent="0.25">
      <c r="B2229" s="27" t="s">
        <v>7642</v>
      </c>
      <c r="C2229" s="40"/>
      <c r="D2229" s="40"/>
    </row>
    <row r="2230" spans="1:6" x14ac:dyDescent="0.25">
      <c r="B2230" s="40" t="s">
        <v>6810</v>
      </c>
      <c r="C2230" s="40"/>
      <c r="D2230" s="40"/>
    </row>
    <row r="2231" spans="1:6" x14ac:dyDescent="0.25">
      <c r="B2231" s="40" t="s">
        <v>6811</v>
      </c>
      <c r="C2231" s="40"/>
      <c r="D2231" s="40"/>
    </row>
    <row r="2232" spans="1:6" x14ac:dyDescent="0.25">
      <c r="B2232" s="42" t="s">
        <v>6812</v>
      </c>
      <c r="C2232" s="40"/>
      <c r="D2232" s="40"/>
    </row>
    <row r="2233" spans="1:6" x14ac:dyDescent="0.25">
      <c r="B2233" s="42" t="s">
        <v>6813</v>
      </c>
      <c r="C2233" s="40"/>
      <c r="D2233" s="40"/>
    </row>
    <row r="2234" spans="1:6" x14ac:dyDescent="0.25">
      <c r="B2234" s="42" t="s">
        <v>6814</v>
      </c>
      <c r="C2234" s="40"/>
      <c r="D2234" s="40"/>
    </row>
    <row r="2235" spans="1:6" ht="100" customHeight="1" x14ac:dyDescent="0.25">
      <c r="A2235" s="41" t="str">
        <f>_xlfn.CONCAT("Sample test results are documented in ",'Sample Tables'!B2229," [",'Sample Tables'!B2230,", ",'Sample Tables'!B2231,", ",'Sample Tables'!B2232,", ",'Sample Tables'!B2233,", ",'Sample Tables'!B2234,"]."&amp;CHAR(10))</f>
        <v xml:space="preserve">Sample test results are documented in Test 203: Workforce Member (responsible for disclosing covered/confidential information) [Population Source/Tool: , Population Date Range: , Population Size: , Sample Methodology: , Sample Size: ].
</v>
      </c>
      <c r="B2235" s="95" t="s">
        <v>6815</v>
      </c>
      <c r="C2235" s="93" t="s">
        <v>7643</v>
      </c>
      <c r="D2235" s="94"/>
    </row>
    <row r="2236" spans="1:6" x14ac:dyDescent="0.25">
      <c r="B2236" s="96"/>
      <c r="C2236" s="91" t="s">
        <v>6488</v>
      </c>
      <c r="D2236" s="92"/>
    </row>
    <row r="2237" spans="1:6" x14ac:dyDescent="0.25">
      <c r="B2237" s="97"/>
      <c r="C2237" s="71" t="s">
        <v>6824</v>
      </c>
      <c r="D2237" s="71" t="s">
        <v>6825</v>
      </c>
    </row>
    <row r="2238" spans="1:6" x14ac:dyDescent="0.25">
      <c r="B2238" s="72"/>
      <c r="C2238" s="71"/>
      <c r="D2238" s="73"/>
    </row>
    <row r="2240" spans="1:6" x14ac:dyDescent="0.25">
      <c r="B2240" s="27" t="s">
        <v>7644</v>
      </c>
      <c r="C2240" s="40"/>
      <c r="D2240" s="40"/>
    </row>
    <row r="2241" spans="1:4" x14ac:dyDescent="0.25">
      <c r="B2241" s="40" t="s">
        <v>6810</v>
      </c>
      <c r="C2241" s="40"/>
      <c r="D2241" s="40"/>
    </row>
    <row r="2242" spans="1:4" x14ac:dyDescent="0.25">
      <c r="B2242" s="40" t="s">
        <v>6811</v>
      </c>
      <c r="C2242" s="40"/>
      <c r="D2242" s="40"/>
    </row>
    <row r="2243" spans="1:4" x14ac:dyDescent="0.25">
      <c r="B2243" s="42" t="s">
        <v>6812</v>
      </c>
      <c r="C2243" s="40"/>
      <c r="D2243" s="40"/>
    </row>
    <row r="2244" spans="1:4" x14ac:dyDescent="0.25">
      <c r="B2244" s="42" t="s">
        <v>6813</v>
      </c>
      <c r="C2244" s="40"/>
      <c r="D2244" s="40"/>
    </row>
    <row r="2245" spans="1:4" x14ac:dyDescent="0.25">
      <c r="B2245" s="42" t="s">
        <v>6814</v>
      </c>
      <c r="C2245" s="40"/>
      <c r="D2245" s="40"/>
    </row>
    <row r="2246" spans="1:4" x14ac:dyDescent="0.25">
      <c r="A2246" s="41" t="str">
        <f>_xlfn.CONCAT("Sample test results are documented in ",'Sample Tables'!B2240," [",'Sample Tables'!B2241,", ",'Sample Tables'!B2242,", ",'Sample Tables'!B2243,", ",'Sample Tables'!B2244,", ",'Sample Tables'!B2245,"]."&amp;CHAR(10))</f>
        <v xml:space="preserve">Sample test results are documented in Test 204: Workforce Member (responsible for handling consumer/data subject inquire) [Population Source/Tool: , Population Date Range: , Population Size: , Sample Methodology: , Sample Size: ].
</v>
      </c>
      <c r="B2246" s="95" t="s">
        <v>6815</v>
      </c>
      <c r="C2246" s="93"/>
      <c r="D2246" s="94"/>
    </row>
    <row r="2247" spans="1:4" x14ac:dyDescent="0.25">
      <c r="B2247" s="96"/>
      <c r="C2247" s="91"/>
      <c r="D2247" s="92"/>
    </row>
    <row r="2248" spans="1:4" x14ac:dyDescent="0.25">
      <c r="B2248" s="97"/>
      <c r="C2248" s="71" t="s">
        <v>6824</v>
      </c>
      <c r="D2248" s="71" t="s">
        <v>6825</v>
      </c>
    </row>
    <row r="2249" spans="1:4" x14ac:dyDescent="0.25">
      <c r="B2249" s="72"/>
      <c r="C2249" s="71"/>
      <c r="D2249" s="73"/>
    </row>
    <row r="2251" spans="1:4" x14ac:dyDescent="0.25">
      <c r="B2251" s="27" t="s">
        <v>7645</v>
      </c>
      <c r="C2251" s="40"/>
      <c r="D2251" s="40"/>
    </row>
    <row r="2252" spans="1:4" x14ac:dyDescent="0.25">
      <c r="B2252" s="40" t="s">
        <v>6810</v>
      </c>
      <c r="C2252" s="40"/>
      <c r="D2252" s="40"/>
    </row>
    <row r="2253" spans="1:4" x14ac:dyDescent="0.25">
      <c r="B2253" s="40" t="s">
        <v>6811</v>
      </c>
      <c r="C2253" s="40"/>
      <c r="D2253" s="40"/>
    </row>
    <row r="2254" spans="1:4" x14ac:dyDescent="0.25">
      <c r="B2254" s="42" t="s">
        <v>6812</v>
      </c>
      <c r="C2254" s="40"/>
      <c r="D2254" s="40"/>
    </row>
    <row r="2255" spans="1:4" x14ac:dyDescent="0.25">
      <c r="B2255" s="42" t="s">
        <v>6813</v>
      </c>
      <c r="C2255" s="40"/>
      <c r="D2255" s="40"/>
    </row>
    <row r="2256" spans="1:4" x14ac:dyDescent="0.25">
      <c r="B2256" s="42" t="s">
        <v>6814</v>
      </c>
      <c r="C2256" s="40"/>
      <c r="D2256" s="40"/>
    </row>
    <row r="2257" spans="1:6" ht="100" customHeight="1" x14ac:dyDescent="0.25">
      <c r="A2257" s="41" t="str">
        <f>_xlfn.CONCAT("Sample test results are documented in ",'Sample Tables'!B2251," [",'Sample Tables'!B2252,", ",'Sample Tables'!B2253,", ",'Sample Tables'!B2254,", ",'Sample Tables'!B2255,", ",'Sample Tables'!B2256,"]."&amp;CHAR(10))</f>
        <v xml:space="preserve">Sample test results are documented in Test 205: Workforce Member (senior executive) [Population Source/Tool: , Population Date Range: , Population Size: , Sample Methodology: , Sample Size: ].
</v>
      </c>
      <c r="B2257" s="95" t="s">
        <v>6815</v>
      </c>
      <c r="C2257" s="93" t="s">
        <v>7646</v>
      </c>
      <c r="D2257" s="94"/>
      <c r="E2257" s="93" t="s">
        <v>7646</v>
      </c>
      <c r="F2257" s="94"/>
    </row>
    <row r="2258" spans="1:6" x14ac:dyDescent="0.25">
      <c r="B2258" s="96"/>
      <c r="C2258" s="91" t="s">
        <v>3773</v>
      </c>
      <c r="D2258" s="92"/>
      <c r="E2258" s="91" t="s">
        <v>3673</v>
      </c>
      <c r="F2258" s="92"/>
    </row>
    <row r="2259" spans="1:6" x14ac:dyDescent="0.25">
      <c r="B2259" s="97"/>
      <c r="C2259" s="71" t="s">
        <v>6824</v>
      </c>
      <c r="D2259" s="71" t="s">
        <v>6825</v>
      </c>
      <c r="E2259" s="71" t="s">
        <v>6824</v>
      </c>
      <c r="F2259" s="71" t="s">
        <v>6825</v>
      </c>
    </row>
    <row r="2260" spans="1:6" x14ac:dyDescent="0.25">
      <c r="B2260" s="72"/>
      <c r="C2260" s="71"/>
      <c r="D2260" s="73"/>
      <c r="E2260" s="71"/>
      <c r="F2260" s="73"/>
    </row>
    <row r="2262" spans="1:6" x14ac:dyDescent="0.25">
      <c r="B2262" s="27" t="s">
        <v>7647</v>
      </c>
      <c r="C2262" s="40"/>
      <c r="D2262" s="40"/>
    </row>
    <row r="2263" spans="1:6" x14ac:dyDescent="0.25">
      <c r="B2263" s="40" t="s">
        <v>6810</v>
      </c>
      <c r="C2263" s="40"/>
      <c r="D2263" s="40"/>
    </row>
    <row r="2264" spans="1:6" x14ac:dyDescent="0.25">
      <c r="B2264" s="40" t="s">
        <v>6811</v>
      </c>
      <c r="C2264" s="40"/>
      <c r="D2264" s="40"/>
    </row>
    <row r="2265" spans="1:6" x14ac:dyDescent="0.25">
      <c r="B2265" s="42" t="s">
        <v>6812</v>
      </c>
      <c r="C2265" s="40"/>
      <c r="D2265" s="40"/>
    </row>
    <row r="2266" spans="1:6" x14ac:dyDescent="0.25">
      <c r="B2266" s="42" t="s">
        <v>6813</v>
      </c>
      <c r="C2266" s="40"/>
      <c r="D2266" s="40"/>
    </row>
    <row r="2267" spans="1:6" x14ac:dyDescent="0.25">
      <c r="B2267" s="42" t="s">
        <v>6814</v>
      </c>
      <c r="C2267" s="40"/>
      <c r="D2267" s="40"/>
    </row>
    <row r="2268" spans="1:6" x14ac:dyDescent="0.25">
      <c r="A2268" s="41" t="str">
        <f>_xlfn.CONCAT("Sample test results are documented in ",'Sample Tables'!B2262," [",'Sample Tables'!B2263,", ",'Sample Tables'!B2264,", ",'Sample Tables'!B2265,", ",'Sample Tables'!B2266,", ",'Sample Tables'!B2267,"]."&amp;CHAR(10))</f>
        <v xml:space="preserve">Sample test results are documented in Test 206: Workforce Member (significant security responsibility) [Population Source/Tool: , Population Date Range: , Population Size: , Sample Methodology: , Sample Size: ].
</v>
      </c>
      <c r="B2268" s="95" t="s">
        <v>6815</v>
      </c>
      <c r="C2268" s="93"/>
      <c r="D2268" s="94"/>
    </row>
    <row r="2269" spans="1:6" x14ac:dyDescent="0.25">
      <c r="B2269" s="96"/>
      <c r="C2269" s="91"/>
      <c r="D2269" s="92"/>
    </row>
    <row r="2270" spans="1:6" x14ac:dyDescent="0.25">
      <c r="B2270" s="97"/>
      <c r="C2270" s="71" t="s">
        <v>6824</v>
      </c>
      <c r="D2270" s="71" t="s">
        <v>6825</v>
      </c>
    </row>
    <row r="2271" spans="1:6" x14ac:dyDescent="0.25">
      <c r="B2271" s="72"/>
      <c r="C2271" s="71"/>
      <c r="D2271" s="73"/>
    </row>
    <row r="2273" spans="1:4" x14ac:dyDescent="0.25">
      <c r="B2273" s="27" t="s">
        <v>7648</v>
      </c>
      <c r="C2273" s="40"/>
      <c r="D2273" s="40"/>
    </row>
    <row r="2274" spans="1:4" x14ac:dyDescent="0.25">
      <c r="B2274" s="40" t="s">
        <v>6810</v>
      </c>
      <c r="C2274" s="40"/>
      <c r="D2274" s="40"/>
    </row>
    <row r="2275" spans="1:4" x14ac:dyDescent="0.25">
      <c r="B2275" s="40" t="s">
        <v>6811</v>
      </c>
      <c r="C2275" s="40"/>
      <c r="D2275" s="40"/>
    </row>
    <row r="2276" spans="1:4" x14ac:dyDescent="0.25">
      <c r="B2276" s="42" t="s">
        <v>6812</v>
      </c>
      <c r="C2276" s="40"/>
      <c r="D2276" s="40"/>
    </row>
    <row r="2277" spans="1:4" x14ac:dyDescent="0.25">
      <c r="B2277" s="42" t="s">
        <v>6813</v>
      </c>
      <c r="C2277" s="40"/>
      <c r="D2277" s="40"/>
    </row>
    <row r="2278" spans="1:4" x14ac:dyDescent="0.25">
      <c r="B2278" s="42" t="s">
        <v>6814</v>
      </c>
      <c r="C2278" s="40"/>
      <c r="D2278" s="40"/>
    </row>
    <row r="2279" spans="1:4" ht="100" customHeight="1" x14ac:dyDescent="0.25">
      <c r="A2279" s="41" t="str">
        <f>_xlfn.CONCAT("Sample test results are documented in ",'Sample Tables'!B2273," [",'Sample Tables'!B2274,", ",'Sample Tables'!B2275,", ",'Sample Tables'!B2276,", ",'Sample Tables'!B2277,", ",'Sample Tables'!B2278,"]."&amp;CHAR(10))</f>
        <v xml:space="preserve">Sample test results are documented in Test 207: Workforce Member (software developer) [Population Source/Tool: , Population Date Range: , Population Size: , Sample Methodology: , Sample Size: ].
</v>
      </c>
      <c r="B2279" s="95" t="s">
        <v>6815</v>
      </c>
      <c r="C2279" s="93" t="s">
        <v>7649</v>
      </c>
      <c r="D2279" s="94"/>
    </row>
    <row r="2280" spans="1:4" x14ac:dyDescent="0.25">
      <c r="B2280" s="96"/>
      <c r="C2280" s="91" t="s">
        <v>3741</v>
      </c>
      <c r="D2280" s="92"/>
    </row>
    <row r="2281" spans="1:4" x14ac:dyDescent="0.25">
      <c r="B2281" s="97"/>
      <c r="C2281" s="71" t="s">
        <v>6824</v>
      </c>
      <c r="D2281" s="71" t="s">
        <v>6825</v>
      </c>
    </row>
    <row r="2282" spans="1:4" x14ac:dyDescent="0.25">
      <c r="B2282" s="72"/>
      <c r="C2282" s="71"/>
      <c r="D2282" s="73"/>
    </row>
    <row r="2284" spans="1:4" x14ac:dyDescent="0.25">
      <c r="B2284" s="27" t="s">
        <v>7650</v>
      </c>
      <c r="C2284" s="40"/>
      <c r="D2284" s="40"/>
    </row>
    <row r="2285" spans="1:4" x14ac:dyDescent="0.25">
      <c r="B2285" s="40" t="s">
        <v>6810</v>
      </c>
      <c r="C2285" s="40"/>
      <c r="D2285" s="40"/>
    </row>
    <row r="2286" spans="1:4" x14ac:dyDescent="0.25">
      <c r="B2286" s="40" t="s">
        <v>6811</v>
      </c>
      <c r="C2286" s="40"/>
      <c r="D2286" s="40"/>
    </row>
    <row r="2287" spans="1:4" x14ac:dyDescent="0.25">
      <c r="B2287" s="42" t="s">
        <v>6812</v>
      </c>
      <c r="C2287" s="40"/>
      <c r="D2287" s="40"/>
    </row>
    <row r="2288" spans="1:4" x14ac:dyDescent="0.25">
      <c r="B2288" s="42" t="s">
        <v>6813</v>
      </c>
      <c r="C2288" s="40"/>
      <c r="D2288" s="40"/>
    </row>
    <row r="2289" spans="1:28" x14ac:dyDescent="0.25">
      <c r="B2289" s="42" t="s">
        <v>6814</v>
      </c>
      <c r="C2289" s="40"/>
      <c r="D2289" s="40"/>
    </row>
    <row r="2290" spans="1:28" ht="100" customHeight="1" x14ac:dyDescent="0.25">
      <c r="A2290" s="41" t="str">
        <f>_xlfn.CONCAT("Sample test results are documented in ",'Sample Tables'!B2284," [",'Sample Tables'!B2285,", ",'Sample Tables'!B2286,", ",'Sample Tables'!B2287,", ",'Sample Tables'!B2288,", ",'Sample Tables'!B2289,"]."&amp;CHAR(10))</f>
        <v xml:space="preserve">Sample test results are documented in Test 208: Workforce Member (teleworker) [Population Source/Tool: , Population Date Range: , Population Size: , Sample Methodology: , Sample Size: ].
</v>
      </c>
      <c r="B2290" s="95" t="s">
        <v>6815</v>
      </c>
      <c r="C2290" s="93" t="s">
        <v>7651</v>
      </c>
      <c r="D2290" s="94"/>
      <c r="E2290" s="93" t="s">
        <v>7652</v>
      </c>
      <c r="F2290" s="94"/>
      <c r="G2290" s="93" t="s">
        <v>7653</v>
      </c>
      <c r="H2290" s="94"/>
      <c r="I2290" s="93" t="s">
        <v>7654</v>
      </c>
      <c r="J2290" s="94"/>
      <c r="K2290" s="93" t="s">
        <v>7655</v>
      </c>
      <c r="L2290" s="94"/>
      <c r="M2290" s="93" t="s">
        <v>7656</v>
      </c>
      <c r="N2290" s="94"/>
      <c r="O2290" s="93" t="s">
        <v>7657</v>
      </c>
      <c r="P2290" s="94"/>
      <c r="Q2290" s="93" t="s">
        <v>7658</v>
      </c>
      <c r="R2290" s="94"/>
      <c r="S2290" s="93" t="s">
        <v>7659</v>
      </c>
      <c r="T2290" s="94"/>
      <c r="U2290" s="93" t="s">
        <v>7658</v>
      </c>
      <c r="V2290" s="94"/>
      <c r="W2290" s="93" t="s">
        <v>7660</v>
      </c>
      <c r="X2290" s="94"/>
      <c r="Y2290" s="93" t="s">
        <v>7658</v>
      </c>
      <c r="Z2290" s="94"/>
      <c r="AA2290" s="93" t="s">
        <v>7661</v>
      </c>
      <c r="AB2290" s="94"/>
    </row>
    <row r="2291" spans="1:28" x14ac:dyDescent="0.25">
      <c r="B2291" s="96"/>
      <c r="C2291" s="91" t="s">
        <v>875</v>
      </c>
      <c r="D2291" s="92"/>
      <c r="E2291" s="91" t="s">
        <v>878</v>
      </c>
      <c r="F2291" s="92"/>
      <c r="G2291" s="91" t="s">
        <v>878</v>
      </c>
      <c r="H2291" s="92"/>
      <c r="I2291" s="91" t="s">
        <v>896</v>
      </c>
      <c r="J2291" s="92"/>
      <c r="K2291" s="91" t="s">
        <v>896</v>
      </c>
      <c r="L2291" s="92"/>
      <c r="M2291" s="91" t="s">
        <v>896</v>
      </c>
      <c r="N2291" s="92"/>
      <c r="O2291" s="91" t="s">
        <v>900</v>
      </c>
      <c r="P2291" s="92"/>
      <c r="Q2291" s="91" t="s">
        <v>2840</v>
      </c>
      <c r="R2291" s="92"/>
      <c r="S2291" s="91" t="s">
        <v>2874</v>
      </c>
      <c r="T2291" s="92"/>
      <c r="U2291" s="91" t="s">
        <v>2874</v>
      </c>
      <c r="V2291" s="92"/>
      <c r="W2291" s="91" t="s">
        <v>2897</v>
      </c>
      <c r="X2291" s="92"/>
      <c r="Y2291" s="91" t="s">
        <v>2972</v>
      </c>
      <c r="Z2291" s="92"/>
      <c r="AA2291" s="91" t="s">
        <v>3721</v>
      </c>
      <c r="AB2291" s="92"/>
    </row>
    <row r="2292" spans="1:28" x14ac:dyDescent="0.25">
      <c r="B2292" s="97"/>
      <c r="C2292" s="71" t="s">
        <v>6824</v>
      </c>
      <c r="D2292" s="71" t="s">
        <v>6825</v>
      </c>
      <c r="E2292" s="71" t="s">
        <v>6824</v>
      </c>
      <c r="F2292" s="71" t="s">
        <v>6825</v>
      </c>
      <c r="G2292" s="71" t="s">
        <v>6824</v>
      </c>
      <c r="H2292" s="71" t="s">
        <v>6825</v>
      </c>
      <c r="I2292" s="71" t="s">
        <v>6824</v>
      </c>
      <c r="J2292" s="71" t="s">
        <v>6825</v>
      </c>
      <c r="K2292" s="71" t="s">
        <v>6824</v>
      </c>
      <c r="L2292" s="71" t="s">
        <v>6825</v>
      </c>
      <c r="M2292" s="71" t="s">
        <v>6824</v>
      </c>
      <c r="N2292" s="71" t="s">
        <v>6825</v>
      </c>
      <c r="O2292" s="71" t="s">
        <v>6824</v>
      </c>
      <c r="P2292" s="71" t="s">
        <v>6825</v>
      </c>
      <c r="Q2292" s="71" t="s">
        <v>6824</v>
      </c>
      <c r="R2292" s="71" t="s">
        <v>6825</v>
      </c>
      <c r="S2292" s="71" t="s">
        <v>6824</v>
      </c>
      <c r="T2292" s="71" t="s">
        <v>6825</v>
      </c>
      <c r="U2292" s="71" t="s">
        <v>6824</v>
      </c>
      <c r="V2292" s="71" t="s">
        <v>6825</v>
      </c>
      <c r="W2292" s="71" t="s">
        <v>6824</v>
      </c>
      <c r="X2292" s="71" t="s">
        <v>6825</v>
      </c>
      <c r="Y2292" s="71" t="s">
        <v>6824</v>
      </c>
      <c r="Z2292" s="71" t="s">
        <v>6825</v>
      </c>
      <c r="AA2292" s="71" t="s">
        <v>6824</v>
      </c>
      <c r="AB2292" s="71" t="s">
        <v>6825</v>
      </c>
    </row>
    <row r="2293" spans="1:28" x14ac:dyDescent="0.25">
      <c r="B2293" s="72"/>
      <c r="C2293" s="71"/>
      <c r="D2293" s="73"/>
      <c r="E2293" s="71"/>
      <c r="F2293" s="73"/>
      <c r="G2293" s="71"/>
      <c r="H2293" s="73"/>
      <c r="I2293" s="71"/>
      <c r="J2293" s="73"/>
      <c r="K2293" s="71"/>
      <c r="L2293" s="73"/>
      <c r="M2293" s="71"/>
      <c r="N2293" s="73"/>
      <c r="O2293" s="71"/>
      <c r="P2293" s="73"/>
      <c r="Q2293" s="71"/>
      <c r="R2293" s="73"/>
      <c r="S2293" s="71"/>
      <c r="T2293" s="73"/>
      <c r="U2293" s="71"/>
      <c r="V2293" s="73"/>
      <c r="W2293" s="71"/>
      <c r="X2293" s="73"/>
      <c r="Y2293" s="71"/>
      <c r="Z2293" s="73"/>
      <c r="AA2293" s="71"/>
      <c r="AB2293" s="73"/>
    </row>
    <row r="2295" spans="1:28" x14ac:dyDescent="0.25">
      <c r="B2295" s="27" t="s">
        <v>7662</v>
      </c>
      <c r="C2295" s="40"/>
      <c r="D2295" s="40"/>
    </row>
    <row r="2296" spans="1:28" x14ac:dyDescent="0.25">
      <c r="B2296" s="40" t="s">
        <v>6810</v>
      </c>
      <c r="C2296" s="40"/>
      <c r="D2296" s="40"/>
    </row>
    <row r="2297" spans="1:28" x14ac:dyDescent="0.25">
      <c r="B2297" s="40" t="s">
        <v>6811</v>
      </c>
      <c r="C2297" s="40"/>
      <c r="D2297" s="40"/>
    </row>
    <row r="2298" spans="1:28" x14ac:dyDescent="0.25">
      <c r="B2298" s="42" t="s">
        <v>6812</v>
      </c>
      <c r="C2298" s="40"/>
      <c r="D2298" s="40"/>
    </row>
    <row r="2299" spans="1:28" x14ac:dyDescent="0.25">
      <c r="B2299" s="42" t="s">
        <v>6813</v>
      </c>
      <c r="C2299" s="40"/>
      <c r="D2299" s="40"/>
    </row>
    <row r="2300" spans="1:28" x14ac:dyDescent="0.25">
      <c r="B2300" s="42" t="s">
        <v>6814</v>
      </c>
      <c r="C2300" s="40"/>
      <c r="D2300" s="40"/>
    </row>
    <row r="2301" spans="1:28" ht="100" customHeight="1" x14ac:dyDescent="0.25">
      <c r="A2301" s="41" t="str">
        <f>_xlfn.CONCAT("Sample test results are documented in ",'Sample Tables'!B2295," [",'Sample Tables'!B2296,", ",'Sample Tables'!B2297,", ",'Sample Tables'!B2298,", ",'Sample Tables'!B2299,", ",'Sample Tables'!B2300,"]."&amp;CHAR(10))</f>
        <v xml:space="preserve">Sample test results are documented in Test 209: Workforce Member (termination high risk) [Population Source/Tool: , Population Date Range: , Population Size: , Sample Methodology: , Sample Size: ].
</v>
      </c>
      <c r="B2301" s="95" t="s">
        <v>6815</v>
      </c>
      <c r="C2301" s="93" t="s">
        <v>7663</v>
      </c>
      <c r="D2301" s="94"/>
      <c r="E2301" s="93" t="s">
        <v>7664</v>
      </c>
      <c r="F2301" s="94"/>
    </row>
    <row r="2302" spans="1:28" x14ac:dyDescent="0.25">
      <c r="B2302" s="96"/>
      <c r="C2302" s="91" t="s">
        <v>2998</v>
      </c>
      <c r="D2302" s="92"/>
      <c r="E2302" s="91" t="s">
        <v>2998</v>
      </c>
      <c r="F2302" s="92"/>
    </row>
    <row r="2303" spans="1:28" x14ac:dyDescent="0.25">
      <c r="B2303" s="97"/>
      <c r="C2303" s="71" t="s">
        <v>6824</v>
      </c>
      <c r="D2303" s="71" t="s">
        <v>6825</v>
      </c>
      <c r="E2303" s="71" t="s">
        <v>6824</v>
      </c>
      <c r="F2303" s="71" t="s">
        <v>6825</v>
      </c>
    </row>
    <row r="2304" spans="1:28" x14ac:dyDescent="0.25">
      <c r="B2304" s="72"/>
      <c r="C2304" s="71"/>
      <c r="D2304" s="73"/>
      <c r="E2304" s="71"/>
      <c r="F2304" s="73"/>
    </row>
    <row r="2306" spans="1:4" x14ac:dyDescent="0.25">
      <c r="B2306" s="27" t="s">
        <v>7665</v>
      </c>
      <c r="C2306" s="40"/>
      <c r="D2306" s="40"/>
    </row>
    <row r="2307" spans="1:4" x14ac:dyDescent="0.25">
      <c r="B2307" s="40" t="s">
        <v>6810</v>
      </c>
      <c r="C2307" s="40"/>
      <c r="D2307" s="40"/>
    </row>
    <row r="2308" spans="1:4" x14ac:dyDescent="0.25">
      <c r="B2308" s="40" t="s">
        <v>6811</v>
      </c>
      <c r="C2308" s="40"/>
      <c r="D2308" s="40"/>
    </row>
    <row r="2309" spans="1:4" x14ac:dyDescent="0.25">
      <c r="B2309" s="42" t="s">
        <v>6812</v>
      </c>
      <c r="C2309" s="40"/>
      <c r="D2309" s="40"/>
    </row>
    <row r="2310" spans="1:4" x14ac:dyDescent="0.25">
      <c r="B2310" s="42" t="s">
        <v>6813</v>
      </c>
      <c r="C2310" s="40"/>
      <c r="D2310" s="40"/>
    </row>
    <row r="2311" spans="1:4" x14ac:dyDescent="0.25">
      <c r="B2311" s="42" t="s">
        <v>6814</v>
      </c>
      <c r="C2311" s="40"/>
      <c r="D2311" s="40"/>
    </row>
    <row r="2312" spans="1:4" ht="100" customHeight="1" x14ac:dyDescent="0.25">
      <c r="A2312" s="41" t="str">
        <f>_xlfn.CONCAT("Sample test results are documented in ",'Sample Tables'!B2306," [",'Sample Tables'!B2307,", ",'Sample Tables'!B2308,", ",'Sample Tables'!B2309,", ",'Sample Tables'!B2310,", ",'Sample Tables'!B2311,"]."&amp;CHAR(10))</f>
        <v xml:space="preserve">Sample test results are documented in Test 210: Workforce Member (termination with knowledge of wireless encryption key) [Population Source/Tool: , Population Date Range: , Population Size: , Sample Methodology: , Sample Size: ].
</v>
      </c>
      <c r="B2312" s="95" t="s">
        <v>6815</v>
      </c>
      <c r="C2312" s="93" t="s">
        <v>7666</v>
      </c>
      <c r="D2312" s="94"/>
    </row>
    <row r="2313" spans="1:4" x14ac:dyDescent="0.25">
      <c r="B2313" s="96"/>
      <c r="C2313" s="91" t="s">
        <v>935</v>
      </c>
      <c r="D2313" s="92"/>
    </row>
    <row r="2314" spans="1:4" x14ac:dyDescent="0.25">
      <c r="B2314" s="97"/>
      <c r="C2314" s="71" t="s">
        <v>6824</v>
      </c>
      <c r="D2314" s="71" t="s">
        <v>6825</v>
      </c>
    </row>
    <row r="2315" spans="1:4" x14ac:dyDescent="0.25">
      <c r="B2315" s="72"/>
      <c r="C2315" s="71"/>
      <c r="D2315" s="73"/>
    </row>
    <row r="2317" spans="1:4" x14ac:dyDescent="0.25">
      <c r="B2317" s="27" t="s">
        <v>7667</v>
      </c>
      <c r="C2317" s="40"/>
      <c r="D2317" s="40"/>
    </row>
    <row r="2318" spans="1:4" x14ac:dyDescent="0.25">
      <c r="B2318" s="40" t="s">
        <v>6810</v>
      </c>
      <c r="C2318" s="40"/>
      <c r="D2318" s="40"/>
    </row>
    <row r="2319" spans="1:4" x14ac:dyDescent="0.25">
      <c r="B2319" s="40" t="s">
        <v>6811</v>
      </c>
      <c r="C2319" s="40"/>
      <c r="D2319" s="40"/>
    </row>
    <row r="2320" spans="1:4" x14ac:dyDescent="0.25">
      <c r="B2320" s="42" t="s">
        <v>6812</v>
      </c>
      <c r="C2320" s="40"/>
      <c r="D2320" s="40"/>
    </row>
    <row r="2321" spans="1:76" x14ac:dyDescent="0.25">
      <c r="B2321" s="42" t="s">
        <v>6813</v>
      </c>
      <c r="C2321" s="40"/>
      <c r="D2321" s="40"/>
    </row>
    <row r="2322" spans="1:76" x14ac:dyDescent="0.25">
      <c r="B2322" s="42" t="s">
        <v>6814</v>
      </c>
      <c r="C2322" s="40"/>
      <c r="D2322" s="40"/>
    </row>
    <row r="2323" spans="1:76" ht="100" customHeight="1" x14ac:dyDescent="0.25">
      <c r="A2323" s="41" t="str">
        <f>_xlfn.CONCAT("Sample test results are documented in ",'Sample Tables'!B2317," [",'Sample Tables'!B2318,", ",'Sample Tables'!B2319,", ",'Sample Tables'!B2320,", ",'Sample Tables'!B2321,", ",'Sample Tables'!B2322,"]."&amp;CHAR(10))</f>
        <v xml:space="preserve">Sample test results are documented in Test 211: Workforce Member (termination) [Population Source/Tool: , Population Date Range: , Population Size: , Sample Methodology: , Sample Size: ].
</v>
      </c>
      <c r="B2323" s="95" t="s">
        <v>6815</v>
      </c>
      <c r="C2323" s="93" t="s">
        <v>7668</v>
      </c>
      <c r="D2323" s="94"/>
      <c r="E2323" s="93" t="s">
        <v>7669</v>
      </c>
      <c r="F2323" s="94"/>
      <c r="G2323" s="93" t="s">
        <v>7670</v>
      </c>
      <c r="H2323" s="94"/>
      <c r="I2323" s="93" t="s">
        <v>7671</v>
      </c>
      <c r="J2323" s="94"/>
      <c r="K2323" s="93" t="s">
        <v>7672</v>
      </c>
      <c r="L2323" s="94"/>
      <c r="M2323" s="93" t="s">
        <v>7673</v>
      </c>
      <c r="N2323" s="94"/>
      <c r="O2323" s="93" t="s">
        <v>7674</v>
      </c>
      <c r="P2323" s="94"/>
      <c r="Q2323" s="93" t="s">
        <v>7675</v>
      </c>
      <c r="R2323" s="94"/>
    </row>
    <row r="2324" spans="1:76" x14ac:dyDescent="0.25">
      <c r="B2324" s="96"/>
      <c r="C2324" s="91" t="s">
        <v>2710</v>
      </c>
      <c r="D2324" s="92"/>
      <c r="E2324" s="91" t="s">
        <v>2710</v>
      </c>
      <c r="F2324" s="92"/>
      <c r="G2324" s="91" t="s">
        <v>2801</v>
      </c>
      <c r="H2324" s="92"/>
      <c r="I2324" s="91" t="s">
        <v>2827</v>
      </c>
      <c r="J2324" s="92"/>
      <c r="K2324" s="91" t="s">
        <v>3047</v>
      </c>
      <c r="L2324" s="92"/>
      <c r="M2324" s="91" t="s">
        <v>6086</v>
      </c>
      <c r="N2324" s="92"/>
      <c r="O2324" s="91" t="s">
        <v>6086</v>
      </c>
      <c r="P2324" s="92"/>
      <c r="Q2324" s="91" t="s">
        <v>6086</v>
      </c>
      <c r="R2324" s="92"/>
    </row>
    <row r="2325" spans="1:76" x14ac:dyDescent="0.25">
      <c r="B2325" s="97"/>
      <c r="C2325" s="71" t="s">
        <v>6824</v>
      </c>
      <c r="D2325" s="71" t="s">
        <v>6825</v>
      </c>
      <c r="E2325" s="71" t="s">
        <v>6824</v>
      </c>
      <c r="F2325" s="71" t="s">
        <v>6825</v>
      </c>
      <c r="G2325" s="71" t="s">
        <v>6824</v>
      </c>
      <c r="H2325" s="71" t="s">
        <v>6825</v>
      </c>
      <c r="I2325" s="71" t="s">
        <v>6824</v>
      </c>
      <c r="J2325" s="71" t="s">
        <v>6825</v>
      </c>
      <c r="K2325" s="71" t="s">
        <v>6824</v>
      </c>
      <c r="L2325" s="71" t="s">
        <v>6825</v>
      </c>
      <c r="M2325" s="71" t="s">
        <v>6824</v>
      </c>
      <c r="N2325" s="71" t="s">
        <v>6825</v>
      </c>
      <c r="O2325" s="71" t="s">
        <v>6824</v>
      </c>
      <c r="P2325" s="71" t="s">
        <v>6825</v>
      </c>
      <c r="Q2325" s="71" t="s">
        <v>6824</v>
      </c>
      <c r="R2325" s="71" t="s">
        <v>6825</v>
      </c>
    </row>
    <row r="2326" spans="1:76" x14ac:dyDescent="0.25">
      <c r="B2326" s="72"/>
      <c r="C2326" s="71"/>
      <c r="D2326" s="73"/>
      <c r="E2326" s="71"/>
      <c r="F2326" s="73"/>
      <c r="G2326" s="71"/>
      <c r="H2326" s="73"/>
      <c r="I2326" s="71"/>
      <c r="J2326" s="73"/>
      <c r="K2326" s="71"/>
      <c r="L2326" s="73"/>
      <c r="M2326" s="71"/>
      <c r="N2326" s="73"/>
      <c r="O2326" s="71"/>
      <c r="P2326" s="73"/>
      <c r="Q2326" s="71"/>
      <c r="R2326" s="73"/>
    </row>
    <row r="2328" spans="1:76" x14ac:dyDescent="0.25">
      <c r="B2328" s="27" t="s">
        <v>7676</v>
      </c>
      <c r="C2328" s="40"/>
      <c r="D2328" s="40"/>
    </row>
    <row r="2329" spans="1:76" x14ac:dyDescent="0.25">
      <c r="B2329" s="40" t="s">
        <v>6810</v>
      </c>
      <c r="C2329" s="40"/>
      <c r="D2329" s="40"/>
    </row>
    <row r="2330" spans="1:76" x14ac:dyDescent="0.25">
      <c r="B2330" s="40" t="s">
        <v>6811</v>
      </c>
      <c r="C2330" s="40"/>
      <c r="D2330" s="40"/>
    </row>
    <row r="2331" spans="1:76" x14ac:dyDescent="0.25">
      <c r="B2331" s="42" t="s">
        <v>6812</v>
      </c>
      <c r="C2331" s="40"/>
      <c r="D2331" s="40"/>
    </row>
    <row r="2332" spans="1:76" x14ac:dyDescent="0.25">
      <c r="B2332" s="42" t="s">
        <v>6813</v>
      </c>
      <c r="C2332" s="40"/>
      <c r="D2332" s="40"/>
    </row>
    <row r="2333" spans="1:76" x14ac:dyDescent="0.25">
      <c r="B2333" s="42" t="s">
        <v>6814</v>
      </c>
      <c r="C2333" s="40"/>
      <c r="D2333" s="40"/>
    </row>
    <row r="2334" spans="1:76" ht="100" customHeight="1" x14ac:dyDescent="0.25">
      <c r="A2334" s="41" t="str">
        <f>_xlfn.CONCAT("Sample test results are documented in ",'Sample Tables'!B2328," [",'Sample Tables'!B2329,", ",'Sample Tables'!B2330,", ",'Sample Tables'!B2331,", ",'Sample Tables'!B2332,", ",'Sample Tables'!B2333,"]."&amp;CHAR(10))</f>
        <v xml:space="preserve">Sample test results are documented in Test 212: Workforce Member (third party user) [Population Source/Tool: , Population Date Range: , Population Size: , Sample Methodology: , Sample Size: ].
</v>
      </c>
      <c r="B2334" s="95" t="s">
        <v>6815</v>
      </c>
      <c r="C2334" s="93" t="s">
        <v>7580</v>
      </c>
      <c r="D2334" s="94"/>
      <c r="E2334" s="93" t="s">
        <v>7581</v>
      </c>
      <c r="F2334" s="94"/>
      <c r="G2334" s="93" t="s">
        <v>7582</v>
      </c>
      <c r="H2334" s="94"/>
      <c r="I2334" s="93" t="s">
        <v>7581</v>
      </c>
      <c r="J2334" s="94"/>
      <c r="K2334" s="93" t="s">
        <v>7583</v>
      </c>
      <c r="L2334" s="94"/>
      <c r="M2334" s="93" t="s">
        <v>7584</v>
      </c>
      <c r="N2334" s="94"/>
      <c r="O2334" s="93" t="s">
        <v>6822</v>
      </c>
      <c r="P2334" s="94"/>
      <c r="Q2334" s="93" t="s">
        <v>7677</v>
      </c>
      <c r="R2334" s="94"/>
      <c r="S2334" s="93" t="s">
        <v>7586</v>
      </c>
      <c r="T2334" s="94"/>
      <c r="U2334" s="93" t="s">
        <v>7587</v>
      </c>
      <c r="V2334" s="94"/>
      <c r="W2334" s="93" t="s">
        <v>7670</v>
      </c>
      <c r="X2334" s="94"/>
      <c r="Y2334" s="93" t="s">
        <v>7678</v>
      </c>
      <c r="Z2334" s="94"/>
      <c r="AA2334" s="93" t="s">
        <v>7679</v>
      </c>
      <c r="AB2334" s="94"/>
      <c r="AC2334" s="93" t="s">
        <v>7670</v>
      </c>
      <c r="AD2334" s="94"/>
      <c r="AE2334" s="93" t="s">
        <v>7678</v>
      </c>
      <c r="AF2334" s="94"/>
      <c r="AG2334" s="93" t="s">
        <v>7679</v>
      </c>
      <c r="AH2334" s="94"/>
      <c r="AI2334" s="93" t="s">
        <v>7670</v>
      </c>
      <c r="AJ2334" s="94"/>
      <c r="AK2334" s="93" t="s">
        <v>7680</v>
      </c>
      <c r="AL2334" s="94"/>
      <c r="AM2334" s="93" t="s">
        <v>7669</v>
      </c>
      <c r="AN2334" s="94"/>
      <c r="AO2334" s="93" t="s">
        <v>7589</v>
      </c>
      <c r="AP2334" s="94"/>
      <c r="AQ2334" s="93" t="s">
        <v>7590</v>
      </c>
      <c r="AR2334" s="94"/>
      <c r="AS2334" s="93" t="s">
        <v>7580</v>
      </c>
      <c r="AT2334" s="94"/>
      <c r="AU2334" s="93" t="s">
        <v>7591</v>
      </c>
      <c r="AV2334" s="94"/>
      <c r="AW2334" s="93" t="s">
        <v>7592</v>
      </c>
      <c r="AX2334" s="94"/>
      <c r="AY2334" s="93" t="s">
        <v>7593</v>
      </c>
      <c r="AZ2334" s="94"/>
      <c r="BA2334" s="93" t="s">
        <v>7594</v>
      </c>
      <c r="BB2334" s="94"/>
      <c r="BC2334" s="93" t="s">
        <v>7595</v>
      </c>
      <c r="BD2334" s="94"/>
      <c r="BE2334" s="93" t="s">
        <v>7595</v>
      </c>
      <c r="BF2334" s="94"/>
      <c r="BG2334" s="93" t="s">
        <v>7594</v>
      </c>
      <c r="BH2334" s="94"/>
      <c r="BI2334" s="93" t="s">
        <v>7610</v>
      </c>
      <c r="BJ2334" s="94"/>
      <c r="BK2334" s="93" t="s">
        <v>7612</v>
      </c>
      <c r="BL2334" s="94"/>
      <c r="BM2334" s="93" t="s">
        <v>7613</v>
      </c>
      <c r="BN2334" s="94"/>
      <c r="BO2334" s="93" t="s">
        <v>7614</v>
      </c>
      <c r="BP2334" s="94"/>
      <c r="BQ2334" s="93" t="s">
        <v>7615</v>
      </c>
      <c r="BR2334" s="94"/>
      <c r="BS2334" s="93" t="s">
        <v>7596</v>
      </c>
      <c r="BT2334" s="94"/>
      <c r="BU2334" s="93" t="s">
        <v>7597</v>
      </c>
      <c r="BV2334" s="94"/>
      <c r="BW2334" s="93" t="s">
        <v>7598</v>
      </c>
      <c r="BX2334" s="94"/>
    </row>
    <row r="2335" spans="1:76" x14ac:dyDescent="0.25">
      <c r="B2335" s="96"/>
      <c r="C2335" s="91" t="s">
        <v>313</v>
      </c>
      <c r="D2335" s="92"/>
      <c r="E2335" s="91" t="s">
        <v>313</v>
      </c>
      <c r="F2335" s="92"/>
      <c r="G2335" s="91" t="s">
        <v>337</v>
      </c>
      <c r="H2335" s="92"/>
      <c r="I2335" s="91" t="s">
        <v>515</v>
      </c>
      <c r="J2335" s="92"/>
      <c r="K2335" s="91" t="s">
        <v>692</v>
      </c>
      <c r="L2335" s="92"/>
      <c r="M2335" s="91" t="s">
        <v>692</v>
      </c>
      <c r="N2335" s="92"/>
      <c r="O2335" s="91" t="s">
        <v>1171</v>
      </c>
      <c r="P2335" s="92"/>
      <c r="Q2335" s="91" t="s">
        <v>1171</v>
      </c>
      <c r="R2335" s="92"/>
      <c r="S2335" s="91" t="s">
        <v>2692</v>
      </c>
      <c r="T2335" s="92"/>
      <c r="U2335" s="91" t="s">
        <v>2737</v>
      </c>
      <c r="V2335" s="92"/>
      <c r="W2335" s="91" t="s">
        <v>2805</v>
      </c>
      <c r="X2335" s="92"/>
      <c r="Y2335" s="91" t="s">
        <v>2805</v>
      </c>
      <c r="Z2335" s="92"/>
      <c r="AA2335" s="91" t="s">
        <v>2805</v>
      </c>
      <c r="AB2335" s="92"/>
      <c r="AC2335" s="91" t="s">
        <v>2649</v>
      </c>
      <c r="AD2335" s="92"/>
      <c r="AE2335" s="91" t="s">
        <v>2649</v>
      </c>
      <c r="AF2335" s="92"/>
      <c r="AG2335" s="91" t="s">
        <v>2649</v>
      </c>
      <c r="AH2335" s="92"/>
      <c r="AI2335" s="91" t="s">
        <v>2832</v>
      </c>
      <c r="AJ2335" s="92"/>
      <c r="AK2335" s="91" t="s">
        <v>2832</v>
      </c>
      <c r="AL2335" s="92"/>
      <c r="AM2335" s="91" t="s">
        <v>2996</v>
      </c>
      <c r="AN2335" s="92"/>
      <c r="AO2335" s="91" t="s">
        <v>3703</v>
      </c>
      <c r="AP2335" s="92"/>
      <c r="AQ2335" s="91" t="s">
        <v>3710</v>
      </c>
      <c r="AR2335" s="92"/>
      <c r="AS2335" s="91" t="s">
        <v>3947</v>
      </c>
      <c r="AT2335" s="92"/>
      <c r="AU2335" s="91" t="s">
        <v>3945</v>
      </c>
      <c r="AV2335" s="92"/>
      <c r="AW2335" s="91" t="s">
        <v>3947</v>
      </c>
      <c r="AX2335" s="92"/>
      <c r="AY2335" s="91" t="s">
        <v>3947</v>
      </c>
      <c r="AZ2335" s="92"/>
      <c r="BA2335" s="91" t="s">
        <v>4148</v>
      </c>
      <c r="BB2335" s="92"/>
      <c r="BC2335" s="91" t="s">
        <v>4157</v>
      </c>
      <c r="BD2335" s="92"/>
      <c r="BE2335" s="91" t="s">
        <v>4184</v>
      </c>
      <c r="BF2335" s="92"/>
      <c r="BG2335" s="91" t="s">
        <v>4188</v>
      </c>
      <c r="BH2335" s="92"/>
      <c r="BI2335" s="91" t="s">
        <v>5345</v>
      </c>
      <c r="BJ2335" s="92"/>
      <c r="BK2335" s="91" t="s">
        <v>5387</v>
      </c>
      <c r="BL2335" s="92"/>
      <c r="BM2335" s="91" t="s">
        <v>5387</v>
      </c>
      <c r="BN2335" s="92"/>
      <c r="BO2335" s="91" t="s">
        <v>5387</v>
      </c>
      <c r="BP2335" s="92"/>
      <c r="BQ2335" s="91" t="s">
        <v>5387</v>
      </c>
      <c r="BR2335" s="92"/>
      <c r="BS2335" s="91" t="s">
        <v>5430</v>
      </c>
      <c r="BT2335" s="92"/>
      <c r="BU2335" s="91" t="s">
        <v>5430</v>
      </c>
      <c r="BV2335" s="92"/>
      <c r="BW2335" s="91" t="s">
        <v>5467</v>
      </c>
      <c r="BX2335" s="92"/>
    </row>
    <row r="2336" spans="1:76" x14ac:dyDescent="0.25">
      <c r="B2336" s="97"/>
      <c r="C2336" s="71" t="s">
        <v>6824</v>
      </c>
      <c r="D2336" s="71" t="s">
        <v>6825</v>
      </c>
      <c r="E2336" s="71" t="s">
        <v>6824</v>
      </c>
      <c r="F2336" s="71" t="s">
        <v>6825</v>
      </c>
      <c r="G2336" s="71" t="s">
        <v>6824</v>
      </c>
      <c r="H2336" s="71" t="s">
        <v>6825</v>
      </c>
      <c r="I2336" s="71" t="s">
        <v>6824</v>
      </c>
      <c r="J2336" s="71" t="s">
        <v>6825</v>
      </c>
      <c r="K2336" s="71" t="s">
        <v>6824</v>
      </c>
      <c r="L2336" s="71" t="s">
        <v>6825</v>
      </c>
      <c r="M2336" s="71" t="s">
        <v>6824</v>
      </c>
      <c r="N2336" s="71" t="s">
        <v>6825</v>
      </c>
      <c r="O2336" s="71" t="s">
        <v>6824</v>
      </c>
      <c r="P2336" s="71" t="s">
        <v>6825</v>
      </c>
      <c r="Q2336" s="71" t="s">
        <v>6824</v>
      </c>
      <c r="R2336" s="71" t="s">
        <v>6825</v>
      </c>
      <c r="S2336" s="71" t="s">
        <v>6824</v>
      </c>
      <c r="T2336" s="71" t="s">
        <v>6825</v>
      </c>
      <c r="U2336" s="71" t="s">
        <v>6824</v>
      </c>
      <c r="V2336" s="71" t="s">
        <v>6825</v>
      </c>
      <c r="W2336" s="71" t="s">
        <v>6824</v>
      </c>
      <c r="X2336" s="71" t="s">
        <v>6825</v>
      </c>
      <c r="Y2336" s="71" t="s">
        <v>6824</v>
      </c>
      <c r="Z2336" s="71" t="s">
        <v>6825</v>
      </c>
      <c r="AA2336" s="71" t="s">
        <v>6824</v>
      </c>
      <c r="AB2336" s="71" t="s">
        <v>6825</v>
      </c>
      <c r="AC2336" s="71" t="s">
        <v>6824</v>
      </c>
      <c r="AD2336" s="71" t="s">
        <v>6825</v>
      </c>
      <c r="AE2336" s="71" t="s">
        <v>6824</v>
      </c>
      <c r="AF2336" s="71" t="s">
        <v>6825</v>
      </c>
      <c r="AG2336" s="71" t="s">
        <v>6824</v>
      </c>
      <c r="AH2336" s="71" t="s">
        <v>6825</v>
      </c>
      <c r="AI2336" s="71" t="s">
        <v>6824</v>
      </c>
      <c r="AJ2336" s="71" t="s">
        <v>6825</v>
      </c>
      <c r="AK2336" s="71" t="s">
        <v>6824</v>
      </c>
      <c r="AL2336" s="71" t="s">
        <v>6825</v>
      </c>
      <c r="AM2336" s="71" t="s">
        <v>6824</v>
      </c>
      <c r="AN2336" s="71" t="s">
        <v>6825</v>
      </c>
      <c r="AO2336" s="71" t="s">
        <v>6824</v>
      </c>
      <c r="AP2336" s="71" t="s">
        <v>6825</v>
      </c>
      <c r="AQ2336" s="71" t="s">
        <v>6824</v>
      </c>
      <c r="AR2336" s="71" t="s">
        <v>6825</v>
      </c>
      <c r="AS2336" s="71" t="s">
        <v>6824</v>
      </c>
      <c r="AT2336" s="71" t="s">
        <v>6825</v>
      </c>
      <c r="AU2336" s="71" t="s">
        <v>6824</v>
      </c>
      <c r="AV2336" s="71" t="s">
        <v>6825</v>
      </c>
      <c r="AW2336" s="71" t="s">
        <v>6824</v>
      </c>
      <c r="AX2336" s="71" t="s">
        <v>6825</v>
      </c>
      <c r="AY2336" s="71" t="s">
        <v>6824</v>
      </c>
      <c r="AZ2336" s="71" t="s">
        <v>6825</v>
      </c>
      <c r="BA2336" s="71" t="s">
        <v>6824</v>
      </c>
      <c r="BB2336" s="71" t="s">
        <v>6825</v>
      </c>
      <c r="BC2336" s="71" t="s">
        <v>6824</v>
      </c>
      <c r="BD2336" s="71" t="s">
        <v>6825</v>
      </c>
      <c r="BE2336" s="71" t="s">
        <v>6824</v>
      </c>
      <c r="BF2336" s="71" t="s">
        <v>6825</v>
      </c>
      <c r="BG2336" s="71" t="s">
        <v>6824</v>
      </c>
      <c r="BH2336" s="71" t="s">
        <v>6825</v>
      </c>
      <c r="BI2336" s="71" t="s">
        <v>6824</v>
      </c>
      <c r="BJ2336" s="71" t="s">
        <v>6825</v>
      </c>
      <c r="BK2336" s="71" t="s">
        <v>6824</v>
      </c>
      <c r="BL2336" s="71" t="s">
        <v>6825</v>
      </c>
      <c r="BM2336" s="71" t="s">
        <v>6824</v>
      </c>
      <c r="BN2336" s="71" t="s">
        <v>6825</v>
      </c>
      <c r="BO2336" s="71" t="s">
        <v>6824</v>
      </c>
      <c r="BP2336" s="71" t="s">
        <v>6825</v>
      </c>
      <c r="BQ2336" s="71" t="s">
        <v>6824</v>
      </c>
      <c r="BR2336" s="71" t="s">
        <v>6825</v>
      </c>
      <c r="BS2336" s="71" t="s">
        <v>6824</v>
      </c>
      <c r="BT2336" s="71" t="s">
        <v>6825</v>
      </c>
      <c r="BU2336" s="71" t="s">
        <v>6824</v>
      </c>
      <c r="BV2336" s="71" t="s">
        <v>6825</v>
      </c>
      <c r="BW2336" s="71" t="s">
        <v>6824</v>
      </c>
      <c r="BX2336" s="71" t="s">
        <v>6825</v>
      </c>
    </row>
    <row r="2337" spans="1:76" x14ac:dyDescent="0.25">
      <c r="B2337" s="72"/>
      <c r="C2337" s="71"/>
      <c r="D2337" s="73"/>
      <c r="E2337" s="71"/>
      <c r="F2337" s="73"/>
      <c r="G2337" s="71"/>
      <c r="H2337" s="73"/>
      <c r="I2337" s="71"/>
      <c r="J2337" s="73"/>
      <c r="K2337" s="71"/>
      <c r="L2337" s="73"/>
      <c r="M2337" s="71"/>
      <c r="N2337" s="73"/>
      <c r="O2337" s="71"/>
      <c r="P2337" s="73"/>
      <c r="Q2337" s="71"/>
      <c r="R2337" s="73"/>
      <c r="S2337" s="71"/>
      <c r="T2337" s="73"/>
      <c r="U2337" s="71"/>
      <c r="V2337" s="73"/>
      <c r="W2337" s="71"/>
      <c r="X2337" s="73"/>
      <c r="Y2337" s="71"/>
      <c r="Z2337" s="73"/>
      <c r="AA2337" s="71"/>
      <c r="AB2337" s="73"/>
      <c r="AC2337" s="71"/>
      <c r="AD2337" s="73"/>
      <c r="AE2337" s="71"/>
      <c r="AF2337" s="73"/>
      <c r="AG2337" s="71"/>
      <c r="AH2337" s="73"/>
      <c r="AI2337" s="71"/>
      <c r="AJ2337" s="73"/>
      <c r="AK2337" s="71"/>
      <c r="AL2337" s="73"/>
      <c r="AM2337" s="71"/>
      <c r="AN2337" s="73"/>
      <c r="AO2337" s="71"/>
      <c r="AP2337" s="73"/>
      <c r="AQ2337" s="71"/>
      <c r="AR2337" s="73"/>
      <c r="AS2337" s="71"/>
      <c r="AT2337" s="73"/>
      <c r="AU2337" s="71"/>
      <c r="AV2337" s="73"/>
      <c r="AW2337" s="71"/>
      <c r="AX2337" s="73"/>
      <c r="AY2337" s="71"/>
      <c r="AZ2337" s="73"/>
      <c r="BA2337" s="71"/>
      <c r="BB2337" s="73"/>
      <c r="BC2337" s="71"/>
      <c r="BD2337" s="73"/>
      <c r="BE2337" s="71"/>
      <c r="BF2337" s="73"/>
      <c r="BG2337" s="71"/>
      <c r="BH2337" s="73"/>
      <c r="BI2337" s="71"/>
      <c r="BJ2337" s="73"/>
      <c r="BK2337" s="71"/>
      <c r="BL2337" s="73"/>
      <c r="BM2337" s="71"/>
      <c r="BN2337" s="73"/>
      <c r="BO2337" s="71"/>
      <c r="BP2337" s="73"/>
      <c r="BQ2337" s="71"/>
      <c r="BR2337" s="73"/>
      <c r="BS2337" s="71"/>
      <c r="BT2337" s="73"/>
      <c r="BU2337" s="71"/>
      <c r="BV2337" s="73"/>
      <c r="BW2337" s="71"/>
      <c r="BX2337" s="73"/>
    </row>
    <row r="2339" spans="1:76" x14ac:dyDescent="0.25">
      <c r="B2339" s="27" t="s">
        <v>7681</v>
      </c>
      <c r="C2339" s="40"/>
      <c r="D2339" s="40"/>
    </row>
    <row r="2340" spans="1:76" x14ac:dyDescent="0.25">
      <c r="B2340" s="40" t="s">
        <v>6810</v>
      </c>
      <c r="C2340" s="40"/>
      <c r="D2340" s="40"/>
    </row>
    <row r="2341" spans="1:76" x14ac:dyDescent="0.25">
      <c r="B2341" s="40" t="s">
        <v>6811</v>
      </c>
      <c r="C2341" s="40"/>
      <c r="D2341" s="40"/>
    </row>
    <row r="2342" spans="1:76" x14ac:dyDescent="0.25">
      <c r="B2342" s="42" t="s">
        <v>6812</v>
      </c>
      <c r="C2342" s="40"/>
      <c r="D2342" s="40"/>
    </row>
    <row r="2343" spans="1:76" x14ac:dyDescent="0.25">
      <c r="B2343" s="42" t="s">
        <v>6813</v>
      </c>
      <c r="C2343" s="40"/>
      <c r="D2343" s="40"/>
    </row>
    <row r="2344" spans="1:76" x14ac:dyDescent="0.25">
      <c r="B2344" s="42" t="s">
        <v>6814</v>
      </c>
      <c r="C2344" s="40"/>
      <c r="D2344" s="40"/>
    </row>
    <row r="2345" spans="1:76" ht="100" customHeight="1" x14ac:dyDescent="0.25">
      <c r="A2345" s="41" t="str">
        <f>_xlfn.CONCAT("Sample test results are documented in ",'Sample Tables'!B2339," [",'Sample Tables'!B2340,", ",'Sample Tables'!B2341,", ",'Sample Tables'!B2342,", ",'Sample Tables'!B2343,", ",'Sample Tables'!B2344,"]."&amp;CHAR(10))</f>
        <v xml:space="preserve">Sample test results are documented in Test 213: Workforce Member (transfer) [Population Source/Tool: , Population Date Range: , Population Size: , Sample Methodology: , Sample Size: ].
</v>
      </c>
      <c r="B2345" s="95" t="s">
        <v>6815</v>
      </c>
      <c r="C2345" s="93" t="s">
        <v>7668</v>
      </c>
      <c r="D2345" s="94"/>
      <c r="E2345" s="93" t="s">
        <v>7669</v>
      </c>
      <c r="F2345" s="94"/>
      <c r="G2345" s="93" t="s">
        <v>7670</v>
      </c>
      <c r="H2345" s="94"/>
      <c r="I2345" s="93" t="s">
        <v>7682</v>
      </c>
      <c r="J2345" s="94"/>
      <c r="K2345" s="93" t="s">
        <v>7672</v>
      </c>
      <c r="L2345" s="94"/>
    </row>
    <row r="2346" spans="1:76" x14ac:dyDescent="0.25">
      <c r="B2346" s="96"/>
      <c r="C2346" s="91" t="s">
        <v>2710</v>
      </c>
      <c r="D2346" s="92"/>
      <c r="E2346" s="91" t="s">
        <v>2710</v>
      </c>
      <c r="F2346" s="92"/>
      <c r="G2346" s="91" t="s">
        <v>2801</v>
      </c>
      <c r="H2346" s="92"/>
      <c r="I2346" s="91" t="s">
        <v>2808</v>
      </c>
      <c r="J2346" s="92"/>
      <c r="K2346" s="91" t="s">
        <v>3047</v>
      </c>
      <c r="L2346" s="92"/>
    </row>
    <row r="2347" spans="1:76" x14ac:dyDescent="0.25">
      <c r="B2347" s="97"/>
      <c r="C2347" s="71" t="s">
        <v>6824</v>
      </c>
      <c r="D2347" s="71" t="s">
        <v>6825</v>
      </c>
      <c r="E2347" s="71" t="s">
        <v>6824</v>
      </c>
      <c r="F2347" s="71" t="s">
        <v>6825</v>
      </c>
      <c r="G2347" s="71" t="s">
        <v>6824</v>
      </c>
      <c r="H2347" s="71" t="s">
        <v>6825</v>
      </c>
      <c r="I2347" s="71" t="s">
        <v>6824</v>
      </c>
      <c r="J2347" s="71" t="s">
        <v>6825</v>
      </c>
      <c r="K2347" s="71" t="s">
        <v>6824</v>
      </c>
      <c r="L2347" s="71" t="s">
        <v>6825</v>
      </c>
    </row>
    <row r="2348" spans="1:76" x14ac:dyDescent="0.25">
      <c r="B2348" s="72"/>
      <c r="C2348" s="71"/>
      <c r="D2348" s="73"/>
      <c r="E2348" s="71"/>
      <c r="F2348" s="73"/>
      <c r="G2348" s="71"/>
      <c r="H2348" s="73"/>
      <c r="I2348" s="71"/>
      <c r="J2348" s="73"/>
      <c r="K2348" s="71"/>
      <c r="L2348" s="73"/>
    </row>
    <row r="2350" spans="1:76" x14ac:dyDescent="0.25">
      <c r="B2350" s="27" t="s">
        <v>7683</v>
      </c>
      <c r="C2350" s="40"/>
      <c r="D2350" s="40"/>
    </row>
    <row r="2351" spans="1:76" x14ac:dyDescent="0.25">
      <c r="B2351" s="40" t="s">
        <v>6810</v>
      </c>
      <c r="C2351" s="40"/>
      <c r="D2351" s="40"/>
    </row>
    <row r="2352" spans="1:76" x14ac:dyDescent="0.25">
      <c r="B2352" s="40" t="s">
        <v>6811</v>
      </c>
      <c r="C2352" s="40"/>
      <c r="D2352" s="40"/>
    </row>
    <row r="2353" spans="1:4" x14ac:dyDescent="0.25">
      <c r="B2353" s="42" t="s">
        <v>6812</v>
      </c>
      <c r="C2353" s="40"/>
      <c r="D2353" s="40"/>
    </row>
    <row r="2354" spans="1:4" x14ac:dyDescent="0.25">
      <c r="B2354" s="42" t="s">
        <v>6813</v>
      </c>
      <c r="C2354" s="40"/>
      <c r="D2354" s="40"/>
    </row>
    <row r="2355" spans="1:4" x14ac:dyDescent="0.25">
      <c r="B2355" s="42" t="s">
        <v>6814</v>
      </c>
      <c r="C2355" s="40"/>
      <c r="D2355" s="40"/>
    </row>
    <row r="2356" spans="1:4" x14ac:dyDescent="0.25">
      <c r="A2356" s="41" t="str">
        <f>_xlfn.CONCAT("Sample test results are documented in ",'Sample Tables'!B2350," [",'Sample Tables'!B2351,", ",'Sample Tables'!B2352,", ",'Sample Tables'!B2353,", ",'Sample Tables'!B2354,", ",'Sample Tables'!B2355,"]."&amp;CHAR(10))</f>
        <v xml:space="preserve">Sample test results are documented in Test 214: Workforce Member (use of electronic signature) [Population Source/Tool: , Population Date Range: , Population Size: , Sample Methodology: , Sample Size: ].
</v>
      </c>
      <c r="B2356" s="95" t="s">
        <v>6815</v>
      </c>
      <c r="C2356" s="93"/>
      <c r="D2356" s="94"/>
    </row>
    <row r="2357" spans="1:4" x14ac:dyDescent="0.25">
      <c r="B2357" s="96"/>
      <c r="C2357" s="91"/>
      <c r="D2357" s="92"/>
    </row>
    <row r="2358" spans="1:4" x14ac:dyDescent="0.25">
      <c r="B2358" s="97"/>
      <c r="C2358" s="71" t="s">
        <v>6824</v>
      </c>
      <c r="D2358" s="71" t="s">
        <v>6825</v>
      </c>
    </row>
    <row r="2359" spans="1:4" x14ac:dyDescent="0.25">
      <c r="B2359" s="72"/>
      <c r="C2359" s="71"/>
      <c r="D2359" s="73"/>
    </row>
    <row r="2361" spans="1:4" x14ac:dyDescent="0.25">
      <c r="B2361" s="27" t="s">
        <v>7684</v>
      </c>
      <c r="C2361" s="40"/>
      <c r="D2361" s="40"/>
    </row>
    <row r="2362" spans="1:4" x14ac:dyDescent="0.25">
      <c r="B2362" s="40" t="s">
        <v>6810</v>
      </c>
      <c r="C2362" s="40"/>
      <c r="D2362" s="40"/>
    </row>
    <row r="2363" spans="1:4" x14ac:dyDescent="0.25">
      <c r="B2363" s="40" t="s">
        <v>6811</v>
      </c>
      <c r="C2363" s="40"/>
      <c r="D2363" s="40"/>
    </row>
    <row r="2364" spans="1:4" x14ac:dyDescent="0.25">
      <c r="B2364" s="42" t="s">
        <v>6812</v>
      </c>
      <c r="C2364" s="40"/>
      <c r="D2364" s="40"/>
    </row>
    <row r="2365" spans="1:4" x14ac:dyDescent="0.25">
      <c r="B2365" s="42" t="s">
        <v>6813</v>
      </c>
      <c r="C2365" s="40"/>
      <c r="D2365" s="40"/>
    </row>
    <row r="2366" spans="1:4" x14ac:dyDescent="0.25">
      <c r="B2366" s="42" t="s">
        <v>6814</v>
      </c>
      <c r="C2366" s="40"/>
      <c r="D2366" s="40"/>
    </row>
    <row r="2367" spans="1:4" ht="100" customHeight="1" x14ac:dyDescent="0.25">
      <c r="A2367" s="41" t="str">
        <f>_xlfn.CONCAT("Sample test results are documented in ",'Sample Tables'!B2361," [",'Sample Tables'!B2362,", ",'Sample Tables'!B2363,", ",'Sample Tables'!B2364,", ",'Sample Tables'!B2365,", ",'Sample Tables'!B2366,"]."&amp;CHAR(10))</f>
        <v xml:space="preserve">Sample test results are documented in Test 215: Workforce Member (volunteer) [Population Source/Tool: , Population Date Range: , Population Size: , Sample Methodology: , Sample Size: ].
</v>
      </c>
      <c r="B2367" s="95" t="s">
        <v>6815</v>
      </c>
      <c r="C2367" s="93" t="s">
        <v>7585</v>
      </c>
      <c r="D2367" s="94"/>
    </row>
    <row r="2368" spans="1:4" x14ac:dyDescent="0.25">
      <c r="B2368" s="96"/>
      <c r="C2368" s="91" t="s">
        <v>1583</v>
      </c>
      <c r="D2368" s="92"/>
    </row>
    <row r="2369" spans="1:4" x14ac:dyDescent="0.25">
      <c r="B2369" s="97"/>
      <c r="C2369" s="71" t="s">
        <v>6824</v>
      </c>
      <c r="D2369" s="71" t="s">
        <v>6825</v>
      </c>
    </row>
    <row r="2370" spans="1:4" x14ac:dyDescent="0.25">
      <c r="B2370" s="72"/>
      <c r="C2370" s="71"/>
      <c r="D2370" s="73"/>
    </row>
    <row r="2372" spans="1:4" x14ac:dyDescent="0.25">
      <c r="B2372" s="40" t="s">
        <v>7685</v>
      </c>
      <c r="C2372" s="40"/>
      <c r="D2372" s="40"/>
    </row>
    <row r="2373" spans="1:4" x14ac:dyDescent="0.25">
      <c r="B2373" s="40" t="s">
        <v>6810</v>
      </c>
      <c r="C2373" s="40"/>
      <c r="D2373" s="40"/>
    </row>
    <row r="2374" spans="1:4" x14ac:dyDescent="0.25">
      <c r="B2374" s="40" t="s">
        <v>6811</v>
      </c>
      <c r="C2374" s="40"/>
      <c r="D2374" s="40"/>
    </row>
    <row r="2375" spans="1:4" x14ac:dyDescent="0.25">
      <c r="B2375" s="42" t="s">
        <v>6812</v>
      </c>
      <c r="C2375" s="40"/>
      <c r="D2375" s="40"/>
    </row>
    <row r="2376" spans="1:4" x14ac:dyDescent="0.25">
      <c r="B2376" s="42" t="s">
        <v>6813</v>
      </c>
      <c r="C2376" s="40"/>
      <c r="D2376" s="40"/>
    </row>
    <row r="2377" spans="1:4" x14ac:dyDescent="0.25">
      <c r="B2377" s="42" t="s">
        <v>6814</v>
      </c>
      <c r="C2377" s="40"/>
      <c r="D2377" s="40"/>
    </row>
    <row r="2378" spans="1:4" ht="100" customHeight="1" x14ac:dyDescent="0.25">
      <c r="A2378" s="41" t="str">
        <f>_xlfn.CONCAT("Sample test results are documented in ",'Sample Tables'!B2372," [",'Sample Tables'!B2373,", ",'Sample Tables'!B2374,", ",'Sample Tables'!B2375,", ",'Sample Tables'!B2376,", ",'Sample Tables'!B2377,"]."&amp;CHAR(10))</f>
        <v xml:space="preserve">Sample test results are documented in Test 216: Application Programming Interface (API) [Population Source/Tool: , Population Date Range: , Population Size: , Sample Methodology: , Sample Size: ].
</v>
      </c>
      <c r="B2378" s="95" t="s">
        <v>6815</v>
      </c>
      <c r="C2378" s="93" t="s">
        <v>7686</v>
      </c>
      <c r="D2378" s="94"/>
    </row>
    <row r="2379" spans="1:4" x14ac:dyDescent="0.25">
      <c r="B2379" s="96"/>
      <c r="C2379" s="91" t="s">
        <v>1261</v>
      </c>
      <c r="D2379" s="92"/>
    </row>
    <row r="2380" spans="1:4" x14ac:dyDescent="0.25">
      <c r="B2380" s="97"/>
      <c r="C2380" s="71" t="s">
        <v>6824</v>
      </c>
      <c r="D2380" s="71" t="s">
        <v>6825</v>
      </c>
    </row>
    <row r="2381" spans="1:4" x14ac:dyDescent="0.25">
      <c r="B2381" s="72"/>
      <c r="C2381" s="71"/>
      <c r="D2381" s="73"/>
    </row>
    <row r="2383" spans="1:4" x14ac:dyDescent="0.25">
      <c r="B2383" s="40" t="s">
        <v>7687</v>
      </c>
      <c r="C2383" s="40"/>
      <c r="D2383" s="40"/>
    </row>
    <row r="2384" spans="1:4" x14ac:dyDescent="0.25">
      <c r="B2384" s="40" t="s">
        <v>6810</v>
      </c>
      <c r="C2384" s="40"/>
      <c r="D2384" s="40"/>
    </row>
    <row r="2385" spans="1:6" x14ac:dyDescent="0.25">
      <c r="B2385" s="40" t="s">
        <v>6811</v>
      </c>
      <c r="C2385" s="40"/>
      <c r="D2385" s="40"/>
    </row>
    <row r="2386" spans="1:6" x14ac:dyDescent="0.25">
      <c r="B2386" s="42" t="s">
        <v>6812</v>
      </c>
      <c r="C2386" s="40"/>
      <c r="D2386" s="40"/>
    </row>
    <row r="2387" spans="1:6" x14ac:dyDescent="0.25">
      <c r="B2387" s="42" t="s">
        <v>6813</v>
      </c>
      <c r="C2387" s="40"/>
      <c r="D2387" s="40"/>
    </row>
    <row r="2388" spans="1:6" x14ac:dyDescent="0.25">
      <c r="B2388" s="42" t="s">
        <v>6814</v>
      </c>
      <c r="C2388" s="40"/>
      <c r="D2388" s="40"/>
    </row>
    <row r="2389" spans="1:6" ht="100" customHeight="1" x14ac:dyDescent="0.25">
      <c r="A2389" s="41" t="str">
        <f>_xlfn.CONCAT("Sample test results are documented in ",'Sample Tables'!B2383," [",'Sample Tables'!B2384,", ",'Sample Tables'!B2385,", ",'Sample Tables'!B2386,", ",'Sample Tables'!B2387,", ",'Sample Tables'!B2388,"]."&amp;CHAR(10))</f>
        <v xml:space="preserve">Sample test results are documented in Test 217: Information Security (interconnected system) [Population Source/Tool: , Population Date Range: , Population Size: , Sample Methodology: , Sample Size: ].
</v>
      </c>
      <c r="B2389" s="95" t="s">
        <v>6815</v>
      </c>
      <c r="C2389" s="93" t="s">
        <v>7688</v>
      </c>
      <c r="D2389" s="94"/>
    </row>
    <row r="2390" spans="1:6" x14ac:dyDescent="0.25">
      <c r="B2390" s="96"/>
      <c r="C2390" s="91" t="s">
        <v>2227</v>
      </c>
      <c r="D2390" s="92"/>
    </row>
    <row r="2391" spans="1:6" x14ac:dyDescent="0.25">
      <c r="B2391" s="97"/>
      <c r="C2391" s="71" t="s">
        <v>6824</v>
      </c>
      <c r="D2391" s="71" t="s">
        <v>6825</v>
      </c>
    </row>
    <row r="2392" spans="1:6" x14ac:dyDescent="0.25">
      <c r="B2392" s="72"/>
      <c r="C2392" s="71"/>
      <c r="D2392" s="73"/>
    </row>
    <row r="2394" spans="1:6" x14ac:dyDescent="0.25">
      <c r="B2394" s="40" t="s">
        <v>7689</v>
      </c>
      <c r="C2394" s="40"/>
      <c r="D2394" s="40"/>
    </row>
    <row r="2395" spans="1:6" x14ac:dyDescent="0.25">
      <c r="B2395" s="40" t="s">
        <v>6810</v>
      </c>
      <c r="C2395" s="40"/>
      <c r="D2395" s="40"/>
    </row>
    <row r="2396" spans="1:6" x14ac:dyDescent="0.25">
      <c r="B2396" s="40" t="s">
        <v>6811</v>
      </c>
      <c r="C2396" s="40"/>
      <c r="D2396" s="40"/>
    </row>
    <row r="2397" spans="1:6" x14ac:dyDescent="0.25">
      <c r="B2397" s="42" t="s">
        <v>6812</v>
      </c>
      <c r="C2397" s="40"/>
      <c r="D2397" s="40"/>
    </row>
    <row r="2398" spans="1:6" x14ac:dyDescent="0.25">
      <c r="B2398" s="42" t="s">
        <v>6813</v>
      </c>
      <c r="C2398" s="40"/>
      <c r="D2398" s="40"/>
    </row>
    <row r="2399" spans="1:6" x14ac:dyDescent="0.25">
      <c r="B2399" s="42" t="s">
        <v>6814</v>
      </c>
      <c r="C2399" s="40"/>
      <c r="D2399" s="40"/>
    </row>
    <row r="2400" spans="1:6" ht="100" customHeight="1" x14ac:dyDescent="0.25">
      <c r="A2400" s="41" t="str">
        <f>_xlfn.CONCAT("Sample test results are documented in ",'Sample Tables'!B2394," [",'Sample Tables'!B2395,", ",'Sample Tables'!B2396,", ",'Sample Tables'!B2397,", ",'Sample Tables'!B2398,", ",'Sample Tables'!B2399,"]."&amp;CHAR(10))</f>
        <v xml:space="preserve">Sample test results are documented in Test 218: Information Security (risk management plan) [Population Source/Tool: , Population Date Range: , Population Size: , Sample Methodology: , Sample Size: ].
</v>
      </c>
      <c r="B2400" s="95" t="s">
        <v>6815</v>
      </c>
      <c r="C2400" s="93" t="s">
        <v>7690</v>
      </c>
      <c r="D2400" s="94"/>
      <c r="E2400" s="93" t="s">
        <v>7149</v>
      </c>
      <c r="F2400" s="94"/>
    </row>
    <row r="2401" spans="1:6" x14ac:dyDescent="0.25">
      <c r="B2401" s="96"/>
      <c r="C2401" s="91" t="s">
        <v>4724</v>
      </c>
      <c r="D2401" s="92"/>
      <c r="E2401" s="91" t="s">
        <v>4885</v>
      </c>
      <c r="F2401" s="92"/>
    </row>
    <row r="2402" spans="1:6" x14ac:dyDescent="0.25">
      <c r="B2402" s="97"/>
      <c r="C2402" s="71" t="s">
        <v>6824</v>
      </c>
      <c r="D2402" s="71" t="s">
        <v>6825</v>
      </c>
      <c r="E2402" s="71" t="s">
        <v>6824</v>
      </c>
      <c r="F2402" s="71" t="s">
        <v>6825</v>
      </c>
    </row>
    <row r="2403" spans="1:6" x14ac:dyDescent="0.25">
      <c r="B2403" s="72"/>
      <c r="C2403" s="71"/>
      <c r="D2403" s="73"/>
      <c r="E2403" s="71"/>
      <c r="F2403" s="73"/>
    </row>
    <row r="2405" spans="1:6" x14ac:dyDescent="0.25">
      <c r="B2405" s="40" t="s">
        <v>7691</v>
      </c>
      <c r="C2405" s="40"/>
      <c r="D2405" s="40"/>
    </row>
    <row r="2406" spans="1:6" x14ac:dyDescent="0.25">
      <c r="B2406" s="40" t="s">
        <v>6810</v>
      </c>
      <c r="C2406" s="40"/>
      <c r="D2406" s="40"/>
    </row>
    <row r="2407" spans="1:6" x14ac:dyDescent="0.25">
      <c r="B2407" s="40" t="s">
        <v>6811</v>
      </c>
      <c r="C2407" s="40"/>
      <c r="D2407" s="40"/>
    </row>
    <row r="2408" spans="1:6" x14ac:dyDescent="0.25">
      <c r="B2408" s="42" t="s">
        <v>6812</v>
      </c>
      <c r="C2408" s="40"/>
      <c r="D2408" s="40"/>
    </row>
    <row r="2409" spans="1:6" x14ac:dyDescent="0.25">
      <c r="B2409" s="42" t="s">
        <v>6813</v>
      </c>
      <c r="C2409" s="40"/>
      <c r="D2409" s="40"/>
    </row>
    <row r="2410" spans="1:6" x14ac:dyDescent="0.25">
      <c r="B2410" s="42" t="s">
        <v>6814</v>
      </c>
      <c r="C2410" s="40"/>
      <c r="D2410" s="40"/>
    </row>
    <row r="2411" spans="1:6" ht="100" customHeight="1" x14ac:dyDescent="0.25">
      <c r="A2411" s="41" t="str">
        <f>_xlfn.CONCAT("Sample test results are documented in ",'Sample Tables'!B2405," [",'Sample Tables'!B2406,", ",'Sample Tables'!B2407,", ",'Sample Tables'!B2408,", ",'Sample Tables'!B2409,", ",'Sample Tables'!B2410,"]."&amp;CHAR(10))</f>
        <v xml:space="preserve">Sample test results are documented in Test 219: Information Security (incident response plan) [Population Source/Tool: , Population Date Range: , Population Size: , Sample Methodology: , Sample Size: ].
</v>
      </c>
      <c r="B2411" s="95" t="s">
        <v>6815</v>
      </c>
      <c r="C2411" s="93" t="s">
        <v>7149</v>
      </c>
      <c r="D2411" s="94"/>
    </row>
    <row r="2412" spans="1:6" x14ac:dyDescent="0.25">
      <c r="B2412" s="96"/>
      <c r="C2412" s="91" t="s">
        <v>4885</v>
      </c>
      <c r="D2412" s="92"/>
    </row>
    <row r="2413" spans="1:6" x14ac:dyDescent="0.25">
      <c r="B2413" s="97"/>
      <c r="C2413" s="71" t="s">
        <v>6824</v>
      </c>
      <c r="D2413" s="71" t="s">
        <v>6825</v>
      </c>
    </row>
    <row r="2414" spans="1:6" x14ac:dyDescent="0.25">
      <c r="B2414" s="72"/>
      <c r="C2414" s="71"/>
      <c r="D2414" s="73"/>
    </row>
    <row r="2416" spans="1:6" x14ac:dyDescent="0.25">
      <c r="B2416" s="40" t="s">
        <v>7692</v>
      </c>
      <c r="C2416" s="40"/>
      <c r="D2416" s="40"/>
    </row>
    <row r="2417" spans="1:4" x14ac:dyDescent="0.25">
      <c r="B2417" s="40" t="s">
        <v>6810</v>
      </c>
      <c r="C2417" s="40"/>
      <c r="D2417" s="40"/>
    </row>
    <row r="2418" spans="1:4" x14ac:dyDescent="0.25">
      <c r="B2418" s="40" t="s">
        <v>6811</v>
      </c>
      <c r="C2418" s="40"/>
      <c r="D2418" s="40"/>
    </row>
    <row r="2419" spans="1:4" x14ac:dyDescent="0.25">
      <c r="B2419" s="42" t="s">
        <v>6812</v>
      </c>
      <c r="C2419" s="40"/>
      <c r="D2419" s="40"/>
    </row>
    <row r="2420" spans="1:4" x14ac:dyDescent="0.25">
      <c r="B2420" s="42" t="s">
        <v>6813</v>
      </c>
      <c r="C2420" s="40"/>
      <c r="D2420" s="40"/>
    </row>
    <row r="2421" spans="1:4" x14ac:dyDescent="0.25">
      <c r="B2421" s="42" t="s">
        <v>6814</v>
      </c>
      <c r="C2421" s="40"/>
      <c r="D2421" s="40"/>
    </row>
    <row r="2422" spans="1:4" ht="100" customHeight="1" x14ac:dyDescent="0.25">
      <c r="A2422" s="41" t="str">
        <f>_xlfn.CONCAT("Sample test results are documented in ",'Sample Tables'!B2416," [",'Sample Tables'!B2417,", ",'Sample Tables'!B2418,", ",'Sample Tables'!B2419,", ",'Sample Tables'!B2420,", ",'Sample Tables'!B2421,"]."&amp;CHAR(10))</f>
        <v xml:space="preserve">Sample test results are documented in Test 220: Information Security (security plan) [Population Source/Tool: , Population Date Range: , Population Size: , Sample Methodology: , Sample Size: ].
</v>
      </c>
      <c r="B2422" s="95" t="s">
        <v>6815</v>
      </c>
      <c r="C2422" s="93" t="s">
        <v>7149</v>
      </c>
      <c r="D2422" s="94"/>
    </row>
    <row r="2423" spans="1:4" x14ac:dyDescent="0.25">
      <c r="B2423" s="96"/>
      <c r="C2423" s="91" t="s">
        <v>4885</v>
      </c>
      <c r="D2423" s="92"/>
    </row>
    <row r="2424" spans="1:4" x14ac:dyDescent="0.25">
      <c r="B2424" s="97"/>
      <c r="C2424" s="71" t="s">
        <v>6824</v>
      </c>
      <c r="D2424" s="71" t="s">
        <v>6825</v>
      </c>
    </row>
    <row r="2425" spans="1:4" x14ac:dyDescent="0.25">
      <c r="B2425" s="72"/>
      <c r="C2425" s="71"/>
      <c r="D2425" s="73"/>
    </row>
    <row r="2427" spans="1:4" x14ac:dyDescent="0.25">
      <c r="B2427" s="40" t="s">
        <v>7693</v>
      </c>
      <c r="C2427" s="40"/>
      <c r="D2427" s="40"/>
    </row>
    <row r="2428" spans="1:4" x14ac:dyDescent="0.25">
      <c r="B2428" s="40" t="s">
        <v>6810</v>
      </c>
      <c r="C2428" s="40"/>
      <c r="D2428" s="40"/>
    </row>
    <row r="2429" spans="1:4" x14ac:dyDescent="0.25">
      <c r="B2429" s="40" t="s">
        <v>6811</v>
      </c>
      <c r="C2429" s="40"/>
      <c r="D2429" s="40"/>
    </row>
    <row r="2430" spans="1:4" x14ac:dyDescent="0.25">
      <c r="B2430" s="42" t="s">
        <v>6812</v>
      </c>
      <c r="C2430" s="40"/>
      <c r="D2430" s="40"/>
    </row>
    <row r="2431" spans="1:4" x14ac:dyDescent="0.25">
      <c r="B2431" s="42" t="s">
        <v>6813</v>
      </c>
      <c r="C2431" s="40"/>
      <c r="D2431" s="40"/>
    </row>
    <row r="2432" spans="1:4" x14ac:dyDescent="0.25">
      <c r="B2432" s="42" t="s">
        <v>6814</v>
      </c>
      <c r="C2432" s="40"/>
      <c r="D2432" s="40"/>
    </row>
    <row r="2433" spans="1:22" ht="100" customHeight="1" x14ac:dyDescent="0.25">
      <c r="A2433" s="41" t="str">
        <f>_xlfn.CONCAT("Sample test results are documented in ",'Sample Tables'!B2427," [",'Sample Tables'!B2428,", ",'Sample Tables'!B2429,", ",'Sample Tables'!B2430,", ",'Sample Tables'!B2431,", ",'Sample Tables'!B2432,"]."&amp;CHAR(10))</f>
        <v xml:space="preserve">Sample test results are documented in Test 221: Information Security (risk management reporting) [Population Source/Tool: , Population Date Range: , Population Size: , Sample Methodology: , Sample Size: ].
</v>
      </c>
      <c r="B2433" s="95" t="s">
        <v>6815</v>
      </c>
      <c r="C2433" s="93" t="s">
        <v>7694</v>
      </c>
      <c r="D2433" s="94"/>
    </row>
    <row r="2434" spans="1:22" x14ac:dyDescent="0.25">
      <c r="B2434" s="96"/>
      <c r="C2434" s="91" t="s">
        <v>4748</v>
      </c>
      <c r="D2434" s="92"/>
    </row>
    <row r="2435" spans="1:22" x14ac:dyDescent="0.25">
      <c r="B2435" s="97"/>
      <c r="C2435" s="71" t="s">
        <v>6824</v>
      </c>
      <c r="D2435" s="71" t="s">
        <v>6825</v>
      </c>
    </row>
    <row r="2436" spans="1:22" x14ac:dyDescent="0.25">
      <c r="B2436" s="72"/>
      <c r="C2436" s="71"/>
      <c r="D2436" s="73"/>
    </row>
    <row r="2438" spans="1:22" x14ac:dyDescent="0.25">
      <c r="B2438" s="40" t="s">
        <v>7695</v>
      </c>
      <c r="C2438" s="40"/>
      <c r="D2438" s="40"/>
    </row>
    <row r="2439" spans="1:22" x14ac:dyDescent="0.25">
      <c r="B2439" s="40" t="s">
        <v>6810</v>
      </c>
      <c r="C2439" s="40"/>
      <c r="D2439" s="40"/>
    </row>
    <row r="2440" spans="1:22" x14ac:dyDescent="0.25">
      <c r="B2440" s="40" t="s">
        <v>6811</v>
      </c>
      <c r="C2440" s="40"/>
      <c r="D2440" s="40"/>
    </row>
    <row r="2441" spans="1:22" x14ac:dyDescent="0.25">
      <c r="B2441" s="42" t="s">
        <v>6812</v>
      </c>
      <c r="C2441" s="40"/>
      <c r="D2441" s="40"/>
    </row>
    <row r="2442" spans="1:22" x14ac:dyDescent="0.25">
      <c r="B2442" s="42" t="s">
        <v>6813</v>
      </c>
      <c r="C2442" s="40"/>
      <c r="D2442" s="40"/>
    </row>
    <row r="2443" spans="1:22" x14ac:dyDescent="0.25">
      <c r="B2443" s="42" t="s">
        <v>6814</v>
      </c>
      <c r="C2443" s="40"/>
      <c r="D2443" s="40"/>
    </row>
    <row r="2444" spans="1:22" ht="100" customHeight="1" x14ac:dyDescent="0.25">
      <c r="A2444" s="41" t="str">
        <f>_xlfn.CONCAT("Sample test results are documented in ",'Sample Tables'!B2438," [",'Sample Tables'!B2439,", ",'Sample Tables'!B2440,", ",'Sample Tables'!B2441,", ",'Sample Tables'!B2442,", ",'Sample Tables'!B2443,"]."&amp;CHAR(10))</f>
        <v xml:space="preserve">Sample test results are documented in Test 222: Change (artificial intelligence)  [Population Source/Tool: , Population Date Range: , Population Size: , Sample Methodology: , Sample Size: ].
</v>
      </c>
      <c r="B2444" s="95" t="s">
        <v>6815</v>
      </c>
      <c r="C2444" s="93" t="s">
        <v>6919</v>
      </c>
      <c r="D2444" s="94"/>
      <c r="E2444" s="93" t="s">
        <v>6920</v>
      </c>
      <c r="F2444" s="94"/>
      <c r="G2444" s="93" t="s">
        <v>6921</v>
      </c>
      <c r="H2444" s="94"/>
      <c r="I2444" s="93" t="s">
        <v>7696</v>
      </c>
      <c r="J2444" s="94"/>
      <c r="K2444" s="93" t="s">
        <v>6919</v>
      </c>
      <c r="L2444" s="94"/>
      <c r="M2444" s="93" t="s">
        <v>6920</v>
      </c>
      <c r="N2444" s="94"/>
      <c r="O2444" s="93" t="s">
        <v>6921</v>
      </c>
      <c r="P2444" s="94"/>
      <c r="Q2444" s="93" t="s">
        <v>7697</v>
      </c>
      <c r="R2444" s="94"/>
      <c r="S2444" s="93" t="s">
        <v>7698</v>
      </c>
      <c r="T2444" s="94"/>
      <c r="U2444" s="93" t="s">
        <v>7699</v>
      </c>
      <c r="V2444" s="94"/>
    </row>
    <row r="2445" spans="1:22" x14ac:dyDescent="0.25">
      <c r="B2445" s="96"/>
      <c r="C2445" s="91" t="s">
        <v>992</v>
      </c>
      <c r="D2445" s="92"/>
      <c r="E2445" s="91" t="s">
        <v>992</v>
      </c>
      <c r="F2445" s="92"/>
      <c r="G2445" s="91" t="s">
        <v>992</v>
      </c>
      <c r="H2445" s="92"/>
      <c r="I2445" s="91" t="s">
        <v>992</v>
      </c>
      <c r="J2445" s="92"/>
      <c r="K2445" s="91" t="s">
        <v>1017</v>
      </c>
      <c r="L2445" s="92"/>
      <c r="M2445" s="91" t="s">
        <v>1017</v>
      </c>
      <c r="N2445" s="92"/>
      <c r="O2445" s="91" t="s">
        <v>1017</v>
      </c>
      <c r="P2445" s="92"/>
      <c r="Q2445" s="91" t="s">
        <v>1027</v>
      </c>
      <c r="R2445" s="92"/>
      <c r="S2445" s="91" t="s">
        <v>1401</v>
      </c>
      <c r="T2445" s="92"/>
      <c r="U2445" s="91" t="s">
        <v>1401</v>
      </c>
      <c r="V2445" s="92"/>
    </row>
    <row r="2446" spans="1:22" x14ac:dyDescent="0.25">
      <c r="B2446" s="97"/>
      <c r="C2446" s="71" t="s">
        <v>6824</v>
      </c>
      <c r="D2446" s="71" t="s">
        <v>6825</v>
      </c>
      <c r="E2446" s="71" t="s">
        <v>6824</v>
      </c>
      <c r="F2446" s="71" t="s">
        <v>6825</v>
      </c>
      <c r="G2446" s="71" t="s">
        <v>6824</v>
      </c>
      <c r="H2446" s="71" t="s">
        <v>6825</v>
      </c>
      <c r="I2446" s="71" t="s">
        <v>6824</v>
      </c>
      <c r="J2446" s="71" t="s">
        <v>6825</v>
      </c>
      <c r="K2446" s="71" t="s">
        <v>6824</v>
      </c>
      <c r="L2446" s="71" t="s">
        <v>6825</v>
      </c>
      <c r="M2446" s="71" t="s">
        <v>6824</v>
      </c>
      <c r="N2446" s="71" t="s">
        <v>6825</v>
      </c>
      <c r="O2446" s="71" t="s">
        <v>6824</v>
      </c>
      <c r="P2446" s="71" t="s">
        <v>6825</v>
      </c>
      <c r="Q2446" s="71" t="s">
        <v>6824</v>
      </c>
      <c r="R2446" s="71" t="s">
        <v>6825</v>
      </c>
      <c r="S2446" s="71" t="s">
        <v>6824</v>
      </c>
      <c r="T2446" s="71" t="s">
        <v>6825</v>
      </c>
      <c r="U2446" s="71" t="s">
        <v>6824</v>
      </c>
      <c r="V2446" s="71" t="s">
        <v>6825</v>
      </c>
    </row>
    <row r="2447" spans="1:22" x14ac:dyDescent="0.25">
      <c r="B2447" s="72"/>
      <c r="C2447" s="71"/>
      <c r="D2447" s="73"/>
      <c r="E2447" s="71"/>
      <c r="F2447" s="73"/>
      <c r="G2447" s="71"/>
      <c r="H2447" s="73"/>
      <c r="I2447" s="71"/>
      <c r="J2447" s="73"/>
      <c r="K2447" s="71"/>
      <c r="L2447" s="73"/>
      <c r="M2447" s="71"/>
      <c r="N2447" s="73"/>
      <c r="O2447" s="71"/>
      <c r="P2447" s="73"/>
      <c r="Q2447" s="71"/>
      <c r="R2447" s="73"/>
      <c r="S2447" s="71"/>
      <c r="T2447" s="73"/>
      <c r="U2447" s="71"/>
      <c r="V2447" s="73"/>
    </row>
    <row r="2449" spans="1:6" x14ac:dyDescent="0.25">
      <c r="B2449" s="40" t="s">
        <v>7700</v>
      </c>
      <c r="C2449" s="40"/>
      <c r="D2449" s="40"/>
    </row>
    <row r="2450" spans="1:6" x14ac:dyDescent="0.25">
      <c r="B2450" s="40" t="s">
        <v>6810</v>
      </c>
      <c r="C2450" s="40"/>
      <c r="D2450" s="40"/>
    </row>
    <row r="2451" spans="1:6" x14ac:dyDescent="0.25">
      <c r="B2451" s="40" t="s">
        <v>6811</v>
      </c>
      <c r="C2451" s="40"/>
      <c r="D2451" s="40"/>
    </row>
    <row r="2452" spans="1:6" x14ac:dyDescent="0.25">
      <c r="B2452" s="42" t="s">
        <v>6812</v>
      </c>
      <c r="C2452" s="40"/>
      <c r="D2452" s="40"/>
    </row>
    <row r="2453" spans="1:6" x14ac:dyDescent="0.25">
      <c r="B2453" s="42" t="s">
        <v>6813</v>
      </c>
      <c r="C2453" s="40"/>
      <c r="D2453" s="40"/>
    </row>
    <row r="2454" spans="1:6" x14ac:dyDescent="0.25">
      <c r="B2454" s="42" t="s">
        <v>6814</v>
      </c>
      <c r="C2454" s="40"/>
      <c r="D2454" s="40"/>
    </row>
    <row r="2455" spans="1:6" ht="100" customHeight="1" x14ac:dyDescent="0.25">
      <c r="A2455" s="41" t="str">
        <f>_xlfn.CONCAT("Sample test results are documented in ",'Sample Tables'!B2449," [",'Sample Tables'!B2450,", ",'Sample Tables'!B2451,", ",'Sample Tables'!B2452,", ",'Sample Tables'!B2453,", ",'Sample Tables'!B2454,"]."&amp;CHAR(10))</f>
        <v xml:space="preserve">Sample test results are documented in Test 223: Information Security (AI-specific non-compliance identified during compliance check) [Population Source/Tool: , Population Date Range: , Population Size: , Sample Methodology: , Sample Size: ].
</v>
      </c>
      <c r="B2455" s="95" t="s">
        <v>6815</v>
      </c>
      <c r="C2455" s="93" t="s">
        <v>7701</v>
      </c>
      <c r="D2455" s="94"/>
      <c r="E2455" s="93" t="s">
        <v>7702</v>
      </c>
      <c r="F2455" s="94"/>
    </row>
    <row r="2456" spans="1:6" x14ac:dyDescent="0.25">
      <c r="B2456" s="96"/>
      <c r="C2456" s="91" t="s">
        <v>4805</v>
      </c>
      <c r="D2456" s="92"/>
      <c r="E2456" s="91" t="s">
        <v>4805</v>
      </c>
      <c r="F2456" s="92"/>
    </row>
    <row r="2457" spans="1:6" x14ac:dyDescent="0.25">
      <c r="B2457" s="97"/>
      <c r="C2457" s="71" t="s">
        <v>6824</v>
      </c>
      <c r="D2457" s="71" t="s">
        <v>6825</v>
      </c>
      <c r="E2457" s="71" t="s">
        <v>6824</v>
      </c>
      <c r="F2457" s="71" t="s">
        <v>6825</v>
      </c>
    </row>
    <row r="2458" spans="1:6" x14ac:dyDescent="0.25">
      <c r="B2458" s="72"/>
      <c r="C2458" s="71"/>
      <c r="D2458" s="73"/>
      <c r="E2458" s="71"/>
      <c r="F2458" s="73"/>
    </row>
    <row r="2460" spans="1:6" x14ac:dyDescent="0.25">
      <c r="B2460" s="40" t="s">
        <v>7703</v>
      </c>
      <c r="C2460" s="40"/>
      <c r="D2460" s="40"/>
    </row>
    <row r="2461" spans="1:6" x14ac:dyDescent="0.25">
      <c r="B2461" s="40" t="s">
        <v>6810</v>
      </c>
      <c r="C2461" s="40"/>
      <c r="D2461" s="40"/>
    </row>
    <row r="2462" spans="1:6" x14ac:dyDescent="0.25">
      <c r="B2462" s="40" t="s">
        <v>6811</v>
      </c>
      <c r="C2462" s="40"/>
      <c r="D2462" s="40"/>
    </row>
    <row r="2463" spans="1:6" x14ac:dyDescent="0.25">
      <c r="B2463" s="42" t="s">
        <v>6812</v>
      </c>
      <c r="C2463" s="40"/>
      <c r="D2463" s="40"/>
    </row>
    <row r="2464" spans="1:6" x14ac:dyDescent="0.25">
      <c r="B2464" s="42" t="s">
        <v>6813</v>
      </c>
      <c r="C2464" s="40"/>
      <c r="D2464" s="40"/>
    </row>
    <row r="2465" spans="1:8" x14ac:dyDescent="0.25">
      <c r="B2465" s="42" t="s">
        <v>6814</v>
      </c>
      <c r="C2465" s="40"/>
      <c r="D2465" s="40"/>
    </row>
    <row r="2466" spans="1:8" ht="100" customHeight="1" x14ac:dyDescent="0.25">
      <c r="A2466" s="41" t="str">
        <f>_xlfn.CONCAT("Sample test results are documented in ",'Sample Tables'!B2460," [",'Sample Tables'!B2461,", ",'Sample Tables'!B2462,", ",'Sample Tables'!B2463,", ",'Sample Tables'!B2464,", ",'Sample Tables'!B2465,"]."&amp;CHAR(10))</f>
        <v xml:space="preserve">Sample test results are documented in Test 224: Artificial Intelligence (evaluation) [Population Source/Tool: , Population Date Range: , Population Size: , Sample Methodology: , Sample Size: ].
</v>
      </c>
      <c r="B2466" s="95" t="s">
        <v>6815</v>
      </c>
      <c r="C2466" s="93" t="s">
        <v>7704</v>
      </c>
      <c r="D2466" s="94"/>
      <c r="E2466" s="93" t="s">
        <v>7705</v>
      </c>
      <c r="F2466" s="94"/>
      <c r="G2466" s="93" t="s">
        <v>7706</v>
      </c>
      <c r="H2466" s="94"/>
    </row>
    <row r="2467" spans="1:8" x14ac:dyDescent="0.25">
      <c r="B2467" s="96"/>
      <c r="C2467" s="91" t="s">
        <v>4810</v>
      </c>
      <c r="D2467" s="92"/>
      <c r="E2467" s="91" t="s">
        <v>4810</v>
      </c>
      <c r="F2467" s="92"/>
      <c r="G2467" s="91" t="s">
        <v>4810</v>
      </c>
      <c r="H2467" s="92"/>
    </row>
    <row r="2468" spans="1:8" x14ac:dyDescent="0.25">
      <c r="B2468" s="97"/>
      <c r="C2468" s="71" t="s">
        <v>6824</v>
      </c>
      <c r="D2468" s="71" t="s">
        <v>6825</v>
      </c>
      <c r="E2468" s="71" t="s">
        <v>6824</v>
      </c>
      <c r="F2468" s="71" t="s">
        <v>6825</v>
      </c>
      <c r="G2468" s="71" t="s">
        <v>6824</v>
      </c>
      <c r="H2468" s="71" t="s">
        <v>6825</v>
      </c>
    </row>
    <row r="2469" spans="1:8" x14ac:dyDescent="0.25">
      <c r="B2469" s="72"/>
      <c r="C2469" s="71"/>
      <c r="D2469" s="73"/>
      <c r="E2469" s="71"/>
      <c r="F2469" s="73"/>
      <c r="G2469" s="71"/>
      <c r="H2469" s="73"/>
    </row>
    <row r="2471" spans="1:8" x14ac:dyDescent="0.25">
      <c r="B2471" s="40" t="s">
        <v>7707</v>
      </c>
      <c r="C2471" s="40"/>
      <c r="D2471" s="40"/>
    </row>
    <row r="2472" spans="1:8" x14ac:dyDescent="0.25">
      <c r="B2472" s="40"/>
      <c r="C2472" s="40"/>
      <c r="D2472" s="40"/>
    </row>
    <row r="2473" spans="1:8" x14ac:dyDescent="0.25">
      <c r="B2473" s="40"/>
      <c r="C2473" s="40"/>
      <c r="D2473" s="40"/>
    </row>
    <row r="2474" spans="1:8" x14ac:dyDescent="0.25">
      <c r="B2474" s="42" t="s">
        <v>7708</v>
      </c>
      <c r="C2474" s="40"/>
      <c r="D2474" s="40"/>
    </row>
    <row r="2475" spans="1:8" x14ac:dyDescent="0.25">
      <c r="B2475" s="42" t="s">
        <v>7709</v>
      </c>
      <c r="C2475" s="40"/>
      <c r="D2475" s="40"/>
    </row>
    <row r="2476" spans="1:8" x14ac:dyDescent="0.25">
      <c r="B2476" s="42" t="s">
        <v>7710</v>
      </c>
      <c r="C2476" s="40"/>
      <c r="D2476" s="40"/>
    </row>
    <row r="2477" spans="1:8" x14ac:dyDescent="0.25">
      <c r="B2477" s="95" t="s">
        <v>6815</v>
      </c>
      <c r="C2477" s="93"/>
      <c r="D2477" s="94"/>
    </row>
    <row r="2478" spans="1:8" x14ac:dyDescent="0.25">
      <c r="B2478" s="96"/>
      <c r="C2478" s="91"/>
      <c r="D2478" s="92"/>
    </row>
    <row r="2479" spans="1:8" x14ac:dyDescent="0.25">
      <c r="B2479" s="97"/>
      <c r="C2479" s="71" t="s">
        <v>6824</v>
      </c>
      <c r="D2479" s="71" t="s">
        <v>6825</v>
      </c>
    </row>
    <row r="2480" spans="1:8" x14ac:dyDescent="0.25">
      <c r="B2480" s="72"/>
      <c r="C2480" s="71"/>
      <c r="D2480" s="73"/>
    </row>
    <row r="2482" spans="2:4" x14ac:dyDescent="0.25">
      <c r="B2482" s="40" t="s">
        <v>7707</v>
      </c>
      <c r="C2482" s="40"/>
      <c r="D2482" s="40"/>
    </row>
    <row r="2483" spans="2:4" x14ac:dyDescent="0.25">
      <c r="B2483" s="40"/>
      <c r="C2483" s="40"/>
      <c r="D2483" s="40"/>
    </row>
    <row r="2484" spans="2:4" x14ac:dyDescent="0.25">
      <c r="B2484" s="42" t="s">
        <v>7708</v>
      </c>
      <c r="C2484" s="40"/>
      <c r="D2484" s="40"/>
    </row>
    <row r="2485" spans="2:4" x14ac:dyDescent="0.25">
      <c r="B2485" s="42"/>
      <c r="C2485" s="40"/>
      <c r="D2485" s="40"/>
    </row>
    <row r="2486" spans="2:4" x14ac:dyDescent="0.25">
      <c r="B2486" s="42" t="s">
        <v>7709</v>
      </c>
      <c r="C2486" s="40"/>
      <c r="D2486" s="40"/>
    </row>
    <row r="2487" spans="2:4" x14ac:dyDescent="0.25">
      <c r="B2487" s="42" t="s">
        <v>7710</v>
      </c>
      <c r="C2487" s="40"/>
      <c r="D2487" s="40"/>
    </row>
    <row r="2488" spans="2:4" x14ac:dyDescent="0.25">
      <c r="B2488" s="95" t="s">
        <v>6815</v>
      </c>
      <c r="C2488" s="93"/>
      <c r="D2488" s="94"/>
    </row>
    <row r="2489" spans="2:4" x14ac:dyDescent="0.25">
      <c r="B2489" s="96"/>
      <c r="C2489" s="91"/>
      <c r="D2489" s="92"/>
    </row>
    <row r="2490" spans="2:4" x14ac:dyDescent="0.25">
      <c r="B2490" s="97"/>
      <c r="C2490" s="71" t="s">
        <v>6824</v>
      </c>
      <c r="D2490" s="71" t="s">
        <v>6825</v>
      </c>
    </row>
    <row r="2491" spans="2:4" x14ac:dyDescent="0.25">
      <c r="B2491" s="72"/>
      <c r="C2491" s="71"/>
      <c r="D2491" s="73"/>
    </row>
    <row r="2493" spans="2:4" x14ac:dyDescent="0.25">
      <c r="B2493" s="40" t="s">
        <v>7707</v>
      </c>
      <c r="C2493" s="40"/>
      <c r="D2493" s="40"/>
    </row>
    <row r="2494" spans="2:4" x14ac:dyDescent="0.25">
      <c r="B2494" s="40"/>
      <c r="C2494" s="40"/>
      <c r="D2494" s="40"/>
    </row>
    <row r="2495" spans="2:4" x14ac:dyDescent="0.25">
      <c r="B2495" s="42" t="s">
        <v>7708</v>
      </c>
      <c r="C2495" s="40"/>
      <c r="D2495" s="40"/>
    </row>
    <row r="2496" spans="2:4" x14ac:dyDescent="0.25">
      <c r="B2496" s="42"/>
      <c r="C2496" s="40"/>
      <c r="D2496" s="40"/>
    </row>
    <row r="2497" spans="2:4" x14ac:dyDescent="0.25">
      <c r="B2497" s="42" t="s">
        <v>7709</v>
      </c>
      <c r="C2497" s="40"/>
      <c r="D2497" s="40"/>
    </row>
    <row r="2498" spans="2:4" x14ac:dyDescent="0.25">
      <c r="B2498" s="42" t="s">
        <v>7710</v>
      </c>
      <c r="C2498" s="40"/>
      <c r="D2498" s="40"/>
    </row>
    <row r="2499" spans="2:4" x14ac:dyDescent="0.25">
      <c r="B2499" s="95" t="s">
        <v>6815</v>
      </c>
      <c r="C2499" s="93"/>
      <c r="D2499" s="94"/>
    </row>
    <row r="2500" spans="2:4" x14ac:dyDescent="0.25">
      <c r="B2500" s="96"/>
      <c r="C2500" s="91"/>
      <c r="D2500" s="92"/>
    </row>
    <row r="2501" spans="2:4" x14ac:dyDescent="0.25">
      <c r="B2501" s="97"/>
      <c r="C2501" s="71" t="s">
        <v>6824</v>
      </c>
      <c r="D2501" s="71" t="s">
        <v>6825</v>
      </c>
    </row>
    <row r="2502" spans="2:4" x14ac:dyDescent="0.25">
      <c r="B2502" s="72"/>
      <c r="C2502" s="71"/>
      <c r="D2502" s="73"/>
    </row>
    <row r="2504" spans="2:4" x14ac:dyDescent="0.25">
      <c r="B2504" s="40" t="s">
        <v>7707</v>
      </c>
      <c r="C2504" s="40"/>
      <c r="D2504" s="40"/>
    </row>
    <row r="2505" spans="2:4" x14ac:dyDescent="0.25">
      <c r="B2505" s="40"/>
      <c r="C2505" s="40"/>
      <c r="D2505" s="40"/>
    </row>
    <row r="2506" spans="2:4" x14ac:dyDescent="0.25">
      <c r="B2506" s="42" t="s">
        <v>7708</v>
      </c>
      <c r="C2506" s="40"/>
      <c r="D2506" s="40"/>
    </row>
    <row r="2507" spans="2:4" x14ac:dyDescent="0.25">
      <c r="B2507" s="42"/>
      <c r="C2507" s="40"/>
      <c r="D2507" s="40"/>
    </row>
    <row r="2508" spans="2:4" x14ac:dyDescent="0.25">
      <c r="B2508" s="42" t="s">
        <v>7709</v>
      </c>
      <c r="C2508" s="40"/>
      <c r="D2508" s="40"/>
    </row>
    <row r="2509" spans="2:4" x14ac:dyDescent="0.25">
      <c r="B2509" s="42" t="s">
        <v>7710</v>
      </c>
      <c r="C2509" s="40"/>
      <c r="D2509" s="40"/>
    </row>
    <row r="2510" spans="2:4" x14ac:dyDescent="0.25">
      <c r="B2510" s="95" t="s">
        <v>6815</v>
      </c>
      <c r="C2510" s="93"/>
      <c r="D2510" s="94"/>
    </row>
    <row r="2511" spans="2:4" x14ac:dyDescent="0.25">
      <c r="B2511" s="96"/>
      <c r="C2511" s="91"/>
      <c r="D2511" s="92"/>
    </row>
    <row r="2512" spans="2:4" x14ac:dyDescent="0.25">
      <c r="B2512" s="97"/>
      <c r="C2512" s="71" t="s">
        <v>6824</v>
      </c>
      <c r="D2512" s="71" t="s">
        <v>6825</v>
      </c>
    </row>
    <row r="2513" spans="2:4" x14ac:dyDescent="0.25">
      <c r="B2513" s="72"/>
      <c r="C2513" s="71"/>
      <c r="D2513" s="73"/>
    </row>
    <row r="2515" spans="2:4" x14ac:dyDescent="0.25">
      <c r="B2515" s="40" t="s">
        <v>7707</v>
      </c>
      <c r="C2515" s="40"/>
      <c r="D2515" s="40"/>
    </row>
    <row r="2516" spans="2:4" x14ac:dyDescent="0.25">
      <c r="B2516" s="40"/>
      <c r="C2516" s="40"/>
      <c r="D2516" s="40"/>
    </row>
    <row r="2517" spans="2:4" x14ac:dyDescent="0.25">
      <c r="B2517" s="40"/>
      <c r="C2517" s="40"/>
      <c r="D2517" s="40"/>
    </row>
    <row r="2518" spans="2:4" x14ac:dyDescent="0.25">
      <c r="B2518" s="42" t="s">
        <v>7708</v>
      </c>
      <c r="C2518" s="40"/>
      <c r="D2518" s="40"/>
    </row>
    <row r="2519" spans="2:4" x14ac:dyDescent="0.25">
      <c r="B2519" s="42" t="s">
        <v>7709</v>
      </c>
      <c r="C2519" s="40"/>
      <c r="D2519" s="40"/>
    </row>
    <row r="2520" spans="2:4" x14ac:dyDescent="0.25">
      <c r="B2520" s="42" t="s">
        <v>7710</v>
      </c>
      <c r="C2520" s="40"/>
      <c r="D2520" s="40"/>
    </row>
    <row r="2521" spans="2:4" x14ac:dyDescent="0.25">
      <c r="B2521" s="95" t="s">
        <v>6815</v>
      </c>
      <c r="C2521" s="93"/>
      <c r="D2521" s="94"/>
    </row>
    <row r="2522" spans="2:4" x14ac:dyDescent="0.25">
      <c r="B2522" s="96"/>
      <c r="C2522" s="91"/>
      <c r="D2522" s="92"/>
    </row>
    <row r="2523" spans="2:4" x14ac:dyDescent="0.25">
      <c r="B2523" s="97"/>
      <c r="C2523" s="71" t="s">
        <v>6824</v>
      </c>
      <c r="D2523" s="71" t="s">
        <v>6825</v>
      </c>
    </row>
    <row r="2524" spans="2:4" x14ac:dyDescent="0.25">
      <c r="B2524" s="72"/>
      <c r="C2524" s="71"/>
      <c r="D2524" s="73"/>
    </row>
    <row r="2526" spans="2:4" x14ac:dyDescent="0.25">
      <c r="B2526" s="40" t="s">
        <v>7707</v>
      </c>
      <c r="C2526" s="40"/>
      <c r="D2526" s="40"/>
    </row>
    <row r="2527" spans="2:4" x14ac:dyDescent="0.25">
      <c r="B2527" s="40"/>
      <c r="C2527" s="40"/>
      <c r="D2527" s="40"/>
    </row>
    <row r="2528" spans="2:4" x14ac:dyDescent="0.25">
      <c r="B2528" s="40"/>
      <c r="C2528" s="40"/>
      <c r="D2528" s="40"/>
    </row>
    <row r="2529" spans="2:4" x14ac:dyDescent="0.25">
      <c r="B2529" s="42" t="s">
        <v>7708</v>
      </c>
      <c r="C2529" s="40"/>
      <c r="D2529" s="40"/>
    </row>
    <row r="2530" spans="2:4" x14ac:dyDescent="0.25">
      <c r="B2530" s="42" t="s">
        <v>7709</v>
      </c>
      <c r="C2530" s="40"/>
      <c r="D2530" s="40"/>
    </row>
    <row r="2531" spans="2:4" x14ac:dyDescent="0.25">
      <c r="B2531" s="42" t="s">
        <v>7710</v>
      </c>
      <c r="C2531" s="40"/>
      <c r="D2531" s="40"/>
    </row>
    <row r="2532" spans="2:4" x14ac:dyDescent="0.25">
      <c r="B2532" s="95" t="s">
        <v>6815</v>
      </c>
      <c r="C2532" s="93"/>
      <c r="D2532" s="94"/>
    </row>
    <row r="2533" spans="2:4" x14ac:dyDescent="0.25">
      <c r="B2533" s="96"/>
      <c r="C2533" s="91"/>
      <c r="D2533" s="92"/>
    </row>
    <row r="2534" spans="2:4" x14ac:dyDescent="0.25">
      <c r="B2534" s="97"/>
      <c r="C2534" s="71" t="s">
        <v>6824</v>
      </c>
      <c r="D2534" s="71" t="s">
        <v>6825</v>
      </c>
    </row>
    <row r="2535" spans="2:4" x14ac:dyDescent="0.25">
      <c r="B2535" s="72"/>
      <c r="C2535" s="71"/>
      <c r="D2535" s="73"/>
    </row>
    <row r="2537" spans="2:4" x14ac:dyDescent="0.25">
      <c r="B2537" s="40" t="s">
        <v>7707</v>
      </c>
      <c r="C2537" s="40"/>
      <c r="D2537" s="40"/>
    </row>
    <row r="2538" spans="2:4" x14ac:dyDescent="0.25">
      <c r="B2538" s="40"/>
      <c r="C2538" s="40"/>
      <c r="D2538" s="40"/>
    </row>
    <row r="2539" spans="2:4" x14ac:dyDescent="0.25">
      <c r="B2539" s="40"/>
      <c r="C2539" s="40"/>
      <c r="D2539" s="40"/>
    </row>
    <row r="2540" spans="2:4" x14ac:dyDescent="0.25">
      <c r="B2540" s="42" t="s">
        <v>7708</v>
      </c>
      <c r="C2540" s="40"/>
      <c r="D2540" s="40"/>
    </row>
    <row r="2541" spans="2:4" x14ac:dyDescent="0.25">
      <c r="B2541" s="42" t="s">
        <v>7709</v>
      </c>
      <c r="C2541" s="40"/>
      <c r="D2541" s="40"/>
    </row>
    <row r="2542" spans="2:4" x14ac:dyDescent="0.25">
      <c r="B2542" s="42" t="s">
        <v>7710</v>
      </c>
      <c r="C2542" s="40"/>
      <c r="D2542" s="40"/>
    </row>
    <row r="2543" spans="2:4" x14ac:dyDescent="0.25">
      <c r="B2543" s="95" t="s">
        <v>6815</v>
      </c>
      <c r="C2543" s="93"/>
      <c r="D2543" s="94"/>
    </row>
    <row r="2544" spans="2:4" x14ac:dyDescent="0.25">
      <c r="B2544" s="96"/>
      <c r="C2544" s="91"/>
      <c r="D2544" s="92"/>
    </row>
    <row r="2545" spans="2:4" x14ac:dyDescent="0.25">
      <c r="B2545" s="97"/>
      <c r="C2545" s="71" t="s">
        <v>6824</v>
      </c>
      <c r="D2545" s="71" t="s">
        <v>6825</v>
      </c>
    </row>
    <row r="2546" spans="2:4" x14ac:dyDescent="0.25">
      <c r="B2546" s="72"/>
      <c r="C2546" s="71"/>
      <c r="D2546" s="73"/>
    </row>
    <row r="2548" spans="2:4" x14ac:dyDescent="0.25">
      <c r="B2548" s="40" t="s">
        <v>7707</v>
      </c>
      <c r="C2548" s="40"/>
      <c r="D2548" s="40"/>
    </row>
    <row r="2549" spans="2:4" x14ac:dyDescent="0.25">
      <c r="B2549" s="40"/>
      <c r="C2549" s="40"/>
      <c r="D2549" s="40"/>
    </row>
    <row r="2550" spans="2:4" x14ac:dyDescent="0.25">
      <c r="B2550" s="40"/>
      <c r="C2550" s="40"/>
      <c r="D2550" s="40"/>
    </row>
    <row r="2551" spans="2:4" x14ac:dyDescent="0.25">
      <c r="B2551" s="42" t="s">
        <v>7708</v>
      </c>
      <c r="C2551" s="40"/>
      <c r="D2551" s="40"/>
    </row>
    <row r="2552" spans="2:4" x14ac:dyDescent="0.25">
      <c r="B2552" s="42" t="s">
        <v>7709</v>
      </c>
      <c r="C2552" s="40"/>
      <c r="D2552" s="40"/>
    </row>
    <row r="2553" spans="2:4" x14ac:dyDescent="0.25">
      <c r="B2553" s="42" t="s">
        <v>7710</v>
      </c>
      <c r="C2553" s="40"/>
      <c r="D2553" s="40"/>
    </row>
    <row r="2554" spans="2:4" x14ac:dyDescent="0.25">
      <c r="B2554" s="95" t="s">
        <v>6815</v>
      </c>
      <c r="C2554" s="93"/>
      <c r="D2554" s="94"/>
    </row>
    <row r="2555" spans="2:4" x14ac:dyDescent="0.25">
      <c r="B2555" s="96"/>
      <c r="C2555" s="91"/>
      <c r="D2555" s="92"/>
    </row>
    <row r="2556" spans="2:4" x14ac:dyDescent="0.25">
      <c r="B2556" s="97"/>
      <c r="C2556" s="71" t="s">
        <v>6824</v>
      </c>
      <c r="D2556" s="71" t="s">
        <v>6825</v>
      </c>
    </row>
    <row r="2557" spans="2:4" x14ac:dyDescent="0.25">
      <c r="B2557" s="72"/>
      <c r="C2557" s="71"/>
      <c r="D2557" s="73"/>
    </row>
    <row r="2559" spans="2:4" x14ac:dyDescent="0.25">
      <c r="B2559" s="40" t="s">
        <v>7707</v>
      </c>
      <c r="C2559" s="40"/>
      <c r="D2559" s="40"/>
    </row>
    <row r="2560" spans="2:4" x14ac:dyDescent="0.25">
      <c r="B2560" s="40"/>
      <c r="C2560" s="40"/>
      <c r="D2560" s="40"/>
    </row>
    <row r="2561" spans="2:4" x14ac:dyDescent="0.25">
      <c r="B2561" s="40"/>
      <c r="C2561" s="40"/>
      <c r="D2561" s="40"/>
    </row>
    <row r="2562" spans="2:4" x14ac:dyDescent="0.25">
      <c r="B2562" s="42" t="s">
        <v>7708</v>
      </c>
      <c r="C2562" s="40"/>
      <c r="D2562" s="40"/>
    </row>
    <row r="2563" spans="2:4" x14ac:dyDescent="0.25">
      <c r="B2563" s="42" t="s">
        <v>7709</v>
      </c>
      <c r="C2563" s="40"/>
      <c r="D2563" s="40"/>
    </row>
    <row r="2564" spans="2:4" x14ac:dyDescent="0.25">
      <c r="B2564" s="42" t="s">
        <v>7710</v>
      </c>
      <c r="C2564" s="40"/>
      <c r="D2564" s="40"/>
    </row>
    <row r="2565" spans="2:4" x14ac:dyDescent="0.25">
      <c r="B2565" s="95" t="s">
        <v>6815</v>
      </c>
      <c r="C2565" s="93"/>
      <c r="D2565" s="94"/>
    </row>
    <row r="2566" spans="2:4" x14ac:dyDescent="0.25">
      <c r="B2566" s="96"/>
      <c r="C2566" s="91"/>
      <c r="D2566" s="92"/>
    </row>
    <row r="2567" spans="2:4" x14ac:dyDescent="0.25">
      <c r="B2567" s="97"/>
      <c r="C2567" s="71" t="s">
        <v>6824</v>
      </c>
      <c r="D2567" s="71" t="s">
        <v>6825</v>
      </c>
    </row>
    <row r="2568" spans="2:4" x14ac:dyDescent="0.25">
      <c r="B2568" s="72"/>
      <c r="C2568" s="71"/>
      <c r="D2568" s="73"/>
    </row>
    <row r="2570" spans="2:4" x14ac:dyDescent="0.25">
      <c r="B2570" s="40" t="s">
        <v>7707</v>
      </c>
      <c r="C2570" s="40"/>
      <c r="D2570" s="40"/>
    </row>
    <row r="2571" spans="2:4" x14ac:dyDescent="0.25">
      <c r="B2571" s="40"/>
      <c r="C2571" s="40"/>
      <c r="D2571" s="40"/>
    </row>
    <row r="2572" spans="2:4" x14ac:dyDescent="0.25">
      <c r="B2572" s="40"/>
      <c r="C2572" s="40"/>
      <c r="D2572" s="40"/>
    </row>
    <row r="2573" spans="2:4" x14ac:dyDescent="0.25">
      <c r="B2573" s="42" t="s">
        <v>7708</v>
      </c>
      <c r="C2573" s="40"/>
      <c r="D2573" s="40"/>
    </row>
    <row r="2574" spans="2:4" x14ac:dyDescent="0.25">
      <c r="B2574" s="42" t="s">
        <v>7709</v>
      </c>
      <c r="C2574" s="40"/>
      <c r="D2574" s="40"/>
    </row>
    <row r="2575" spans="2:4" x14ac:dyDescent="0.25">
      <c r="B2575" s="42" t="s">
        <v>7710</v>
      </c>
      <c r="C2575" s="40"/>
      <c r="D2575" s="40"/>
    </row>
    <row r="2576" spans="2:4" x14ac:dyDescent="0.25">
      <c r="B2576" s="95" t="s">
        <v>6815</v>
      </c>
      <c r="C2576" s="93"/>
      <c r="D2576" s="94"/>
    </row>
    <row r="2577" spans="2:4" x14ac:dyDescent="0.25">
      <c r="B2577" s="96"/>
      <c r="C2577" s="91"/>
      <c r="D2577" s="92"/>
    </row>
    <row r="2578" spans="2:4" x14ac:dyDescent="0.25">
      <c r="B2578" s="97"/>
      <c r="C2578" s="71" t="s">
        <v>6824</v>
      </c>
      <c r="D2578" s="71" t="s">
        <v>6825</v>
      </c>
    </row>
    <row r="2579" spans="2:4" x14ac:dyDescent="0.25">
      <c r="B2579" s="72"/>
      <c r="C2579" s="71"/>
      <c r="D2579" s="73"/>
    </row>
    <row r="2581" spans="2:4" x14ac:dyDescent="0.25">
      <c r="B2581" s="40" t="s">
        <v>7707</v>
      </c>
      <c r="C2581" s="40"/>
      <c r="D2581" s="40"/>
    </row>
    <row r="2582" spans="2:4" x14ac:dyDescent="0.25">
      <c r="B2582" s="40"/>
      <c r="C2582" s="40"/>
      <c r="D2582" s="40"/>
    </row>
    <row r="2583" spans="2:4" x14ac:dyDescent="0.25">
      <c r="B2583" s="40"/>
      <c r="C2583" s="40"/>
      <c r="D2583" s="40"/>
    </row>
    <row r="2584" spans="2:4" x14ac:dyDescent="0.25">
      <c r="B2584" s="42" t="s">
        <v>7708</v>
      </c>
      <c r="C2584" s="40"/>
      <c r="D2584" s="40"/>
    </row>
    <row r="2585" spans="2:4" x14ac:dyDescent="0.25">
      <c r="B2585" s="42" t="s">
        <v>7709</v>
      </c>
      <c r="C2585" s="40"/>
      <c r="D2585" s="40"/>
    </row>
    <row r="2586" spans="2:4" x14ac:dyDescent="0.25">
      <c r="B2586" s="42" t="s">
        <v>7710</v>
      </c>
      <c r="C2586" s="40"/>
      <c r="D2586" s="40"/>
    </row>
    <row r="2587" spans="2:4" x14ac:dyDescent="0.25">
      <c r="B2587" s="95" t="s">
        <v>6815</v>
      </c>
      <c r="C2587" s="93"/>
      <c r="D2587" s="94"/>
    </row>
    <row r="2588" spans="2:4" x14ac:dyDescent="0.25">
      <c r="B2588" s="96"/>
      <c r="C2588" s="91"/>
      <c r="D2588" s="92"/>
    </row>
    <row r="2589" spans="2:4" x14ac:dyDescent="0.25">
      <c r="B2589" s="97"/>
      <c r="C2589" s="71" t="s">
        <v>6824</v>
      </c>
      <c r="D2589" s="71" t="s">
        <v>6825</v>
      </c>
    </row>
    <row r="2590" spans="2:4" x14ac:dyDescent="0.25">
      <c r="B2590" s="72"/>
      <c r="C2590" s="71"/>
      <c r="D2590" s="73"/>
    </row>
    <row r="2592" spans="2:4" x14ac:dyDescent="0.25">
      <c r="B2592" s="40" t="s">
        <v>7707</v>
      </c>
      <c r="C2592" s="40"/>
      <c r="D2592" s="40"/>
    </row>
    <row r="2593" spans="2:4" x14ac:dyDescent="0.25">
      <c r="B2593" s="40"/>
      <c r="C2593" s="40"/>
      <c r="D2593" s="40"/>
    </row>
    <row r="2594" spans="2:4" x14ac:dyDescent="0.25">
      <c r="B2594" s="40"/>
      <c r="C2594" s="40"/>
      <c r="D2594" s="40"/>
    </row>
    <row r="2595" spans="2:4" x14ac:dyDescent="0.25">
      <c r="B2595" s="42" t="s">
        <v>7708</v>
      </c>
      <c r="C2595" s="40"/>
      <c r="D2595" s="40"/>
    </row>
    <row r="2596" spans="2:4" x14ac:dyDescent="0.25">
      <c r="B2596" s="42" t="s">
        <v>7709</v>
      </c>
      <c r="C2596" s="40"/>
      <c r="D2596" s="40"/>
    </row>
    <row r="2597" spans="2:4" x14ac:dyDescent="0.25">
      <c r="B2597" s="42" t="s">
        <v>7710</v>
      </c>
      <c r="C2597" s="40"/>
      <c r="D2597" s="40"/>
    </row>
    <row r="2598" spans="2:4" x14ac:dyDescent="0.25">
      <c r="B2598" s="95" t="s">
        <v>6815</v>
      </c>
      <c r="C2598" s="93"/>
      <c r="D2598" s="94"/>
    </row>
    <row r="2599" spans="2:4" x14ac:dyDescent="0.25">
      <c r="B2599" s="96"/>
      <c r="C2599" s="91"/>
      <c r="D2599" s="92"/>
    </row>
    <row r="2600" spans="2:4" x14ac:dyDescent="0.25">
      <c r="B2600" s="97"/>
      <c r="C2600" s="71" t="s">
        <v>6824</v>
      </c>
      <c r="D2600" s="71" t="s">
        <v>6825</v>
      </c>
    </row>
    <row r="2601" spans="2:4" x14ac:dyDescent="0.25">
      <c r="B2601" s="72"/>
      <c r="C2601" s="71"/>
      <c r="D2601" s="73"/>
    </row>
    <row r="2603" spans="2:4" x14ac:dyDescent="0.25">
      <c r="B2603" s="40" t="s">
        <v>7707</v>
      </c>
      <c r="C2603" s="40"/>
      <c r="D2603" s="40"/>
    </row>
    <row r="2604" spans="2:4" x14ac:dyDescent="0.25">
      <c r="B2604" s="40"/>
      <c r="C2604" s="40"/>
      <c r="D2604" s="40"/>
    </row>
    <row r="2605" spans="2:4" x14ac:dyDescent="0.25">
      <c r="B2605" s="40"/>
      <c r="C2605" s="40"/>
      <c r="D2605" s="40"/>
    </row>
    <row r="2606" spans="2:4" x14ac:dyDescent="0.25">
      <c r="B2606" s="42" t="s">
        <v>7708</v>
      </c>
      <c r="C2606" s="40"/>
      <c r="D2606" s="40"/>
    </row>
    <row r="2607" spans="2:4" x14ac:dyDescent="0.25">
      <c r="B2607" s="42" t="s">
        <v>7709</v>
      </c>
      <c r="C2607" s="40"/>
      <c r="D2607" s="40"/>
    </row>
    <row r="2608" spans="2:4" x14ac:dyDescent="0.25">
      <c r="B2608" s="42" t="s">
        <v>7710</v>
      </c>
      <c r="C2608" s="40"/>
      <c r="D2608" s="40"/>
    </row>
    <row r="2609" spans="2:4" x14ac:dyDescent="0.25">
      <c r="B2609" s="95" t="s">
        <v>6815</v>
      </c>
      <c r="C2609" s="93"/>
      <c r="D2609" s="94"/>
    </row>
    <row r="2610" spans="2:4" x14ac:dyDescent="0.25">
      <c r="B2610" s="96"/>
      <c r="C2610" s="91"/>
      <c r="D2610" s="92"/>
    </row>
    <row r="2611" spans="2:4" x14ac:dyDescent="0.25">
      <c r="B2611" s="97"/>
      <c r="C2611" s="71" t="s">
        <v>6824</v>
      </c>
      <c r="D2611" s="71" t="s">
        <v>6825</v>
      </c>
    </row>
    <row r="2612" spans="2:4" x14ac:dyDescent="0.25">
      <c r="B2612" s="72"/>
      <c r="C2612" s="71"/>
      <c r="D2612" s="73"/>
    </row>
    <row r="2614" spans="2:4" x14ac:dyDescent="0.25">
      <c r="B2614" s="40" t="s">
        <v>7707</v>
      </c>
      <c r="C2614" s="40"/>
      <c r="D2614" s="40"/>
    </row>
    <row r="2615" spans="2:4" x14ac:dyDescent="0.25">
      <c r="B2615" s="40"/>
      <c r="C2615" s="40"/>
      <c r="D2615" s="40"/>
    </row>
    <row r="2616" spans="2:4" x14ac:dyDescent="0.25">
      <c r="B2616" s="40"/>
      <c r="C2616" s="40"/>
      <c r="D2616" s="40"/>
    </row>
    <row r="2617" spans="2:4" x14ac:dyDescent="0.25">
      <c r="B2617" s="42" t="s">
        <v>7708</v>
      </c>
      <c r="C2617" s="40"/>
      <c r="D2617" s="40"/>
    </row>
    <row r="2618" spans="2:4" x14ac:dyDescent="0.25">
      <c r="B2618" s="42" t="s">
        <v>7709</v>
      </c>
      <c r="C2618" s="40"/>
      <c r="D2618" s="40"/>
    </row>
    <row r="2619" spans="2:4" x14ac:dyDescent="0.25">
      <c r="B2619" s="42" t="s">
        <v>7710</v>
      </c>
      <c r="C2619" s="40"/>
      <c r="D2619" s="40"/>
    </row>
    <row r="2620" spans="2:4" x14ac:dyDescent="0.25">
      <c r="B2620" s="95" t="s">
        <v>6815</v>
      </c>
      <c r="C2620" s="93"/>
      <c r="D2620" s="94"/>
    </row>
    <row r="2621" spans="2:4" x14ac:dyDescent="0.25">
      <c r="B2621" s="96"/>
      <c r="C2621" s="91"/>
      <c r="D2621" s="92"/>
    </row>
    <row r="2622" spans="2:4" x14ac:dyDescent="0.25">
      <c r="B2622" s="97"/>
      <c r="C2622" s="71" t="s">
        <v>6824</v>
      </c>
      <c r="D2622" s="71" t="s">
        <v>6825</v>
      </c>
    </row>
    <row r="2623" spans="2:4" x14ac:dyDescent="0.25">
      <c r="B2623" s="72"/>
      <c r="C2623" s="71"/>
      <c r="D2623" s="73"/>
    </row>
    <row r="2625" spans="2:4" x14ac:dyDescent="0.25">
      <c r="B2625" s="40" t="s">
        <v>7707</v>
      </c>
      <c r="C2625" s="40"/>
      <c r="D2625" s="40"/>
    </row>
    <row r="2626" spans="2:4" x14ac:dyDescent="0.25">
      <c r="B2626" s="40"/>
      <c r="C2626" s="40"/>
      <c r="D2626" s="40"/>
    </row>
    <row r="2627" spans="2:4" x14ac:dyDescent="0.25">
      <c r="B2627" s="40"/>
      <c r="C2627" s="40"/>
      <c r="D2627" s="40"/>
    </row>
    <row r="2628" spans="2:4" x14ac:dyDescent="0.25">
      <c r="B2628" s="42" t="s">
        <v>7708</v>
      </c>
      <c r="C2628" s="40"/>
      <c r="D2628" s="40"/>
    </row>
    <row r="2629" spans="2:4" x14ac:dyDescent="0.25">
      <c r="B2629" s="42" t="s">
        <v>7709</v>
      </c>
      <c r="C2629" s="40"/>
      <c r="D2629" s="40"/>
    </row>
    <row r="2630" spans="2:4" x14ac:dyDescent="0.25">
      <c r="B2630" s="42" t="s">
        <v>7710</v>
      </c>
      <c r="C2630" s="40"/>
      <c r="D2630" s="40"/>
    </row>
    <row r="2631" spans="2:4" x14ac:dyDescent="0.25">
      <c r="B2631" s="95" t="s">
        <v>6815</v>
      </c>
      <c r="C2631" s="93"/>
      <c r="D2631" s="94"/>
    </row>
    <row r="2632" spans="2:4" x14ac:dyDescent="0.25">
      <c r="B2632" s="96"/>
      <c r="C2632" s="91"/>
      <c r="D2632" s="92"/>
    </row>
    <row r="2633" spans="2:4" x14ac:dyDescent="0.25">
      <c r="B2633" s="97"/>
      <c r="C2633" s="71" t="s">
        <v>6824</v>
      </c>
      <c r="D2633" s="71" t="s">
        <v>6825</v>
      </c>
    </row>
    <row r="2634" spans="2:4" x14ac:dyDescent="0.25">
      <c r="B2634" s="72"/>
      <c r="C2634" s="71"/>
      <c r="D2634" s="73"/>
    </row>
    <row r="2636" spans="2:4" x14ac:dyDescent="0.25">
      <c r="B2636" s="40" t="s">
        <v>7707</v>
      </c>
      <c r="C2636" s="40"/>
      <c r="D2636" s="40"/>
    </row>
    <row r="2637" spans="2:4" x14ac:dyDescent="0.25">
      <c r="B2637" s="40"/>
      <c r="C2637" s="40"/>
      <c r="D2637" s="40"/>
    </row>
    <row r="2638" spans="2:4" x14ac:dyDescent="0.25">
      <c r="B2638" s="40"/>
      <c r="C2638" s="40"/>
      <c r="D2638" s="40"/>
    </row>
    <row r="2639" spans="2:4" x14ac:dyDescent="0.25">
      <c r="B2639" s="42" t="s">
        <v>7708</v>
      </c>
      <c r="C2639" s="40"/>
      <c r="D2639" s="40"/>
    </row>
    <row r="2640" spans="2:4" x14ac:dyDescent="0.25">
      <c r="B2640" s="42" t="s">
        <v>7709</v>
      </c>
      <c r="C2640" s="40"/>
      <c r="D2640" s="40"/>
    </row>
    <row r="2641" spans="2:4" x14ac:dyDescent="0.25">
      <c r="B2641" s="42" t="s">
        <v>7710</v>
      </c>
      <c r="C2641" s="40"/>
      <c r="D2641" s="40"/>
    </row>
    <row r="2642" spans="2:4" x14ac:dyDescent="0.25">
      <c r="B2642" s="95" t="s">
        <v>6815</v>
      </c>
      <c r="C2642" s="93"/>
      <c r="D2642" s="94"/>
    </row>
    <row r="2643" spans="2:4" x14ac:dyDescent="0.25">
      <c r="B2643" s="96"/>
      <c r="C2643" s="91"/>
      <c r="D2643" s="92"/>
    </row>
    <row r="2644" spans="2:4" x14ac:dyDescent="0.25">
      <c r="B2644" s="97"/>
      <c r="C2644" s="71" t="s">
        <v>6824</v>
      </c>
      <c r="D2644" s="71" t="s">
        <v>6825</v>
      </c>
    </row>
    <row r="2645" spans="2:4" x14ac:dyDescent="0.25">
      <c r="B2645" s="72"/>
      <c r="C2645" s="71"/>
      <c r="D2645" s="73"/>
    </row>
    <row r="2647" spans="2:4" x14ac:dyDescent="0.25">
      <c r="B2647" s="40" t="s">
        <v>7707</v>
      </c>
      <c r="C2647" s="40"/>
      <c r="D2647" s="40"/>
    </row>
    <row r="2648" spans="2:4" x14ac:dyDescent="0.25">
      <c r="B2648" s="40"/>
      <c r="C2648" s="40"/>
      <c r="D2648" s="40"/>
    </row>
    <row r="2649" spans="2:4" x14ac:dyDescent="0.25">
      <c r="B2649" s="40"/>
      <c r="C2649" s="40"/>
      <c r="D2649" s="40"/>
    </row>
    <row r="2650" spans="2:4" x14ac:dyDescent="0.25">
      <c r="B2650" s="42" t="s">
        <v>7708</v>
      </c>
      <c r="C2650" s="40"/>
      <c r="D2650" s="40"/>
    </row>
    <row r="2651" spans="2:4" x14ac:dyDescent="0.25">
      <c r="B2651" s="42" t="s">
        <v>7709</v>
      </c>
      <c r="C2651" s="40"/>
      <c r="D2651" s="40"/>
    </row>
    <row r="2652" spans="2:4" x14ac:dyDescent="0.25">
      <c r="B2652" s="42" t="s">
        <v>7710</v>
      </c>
      <c r="C2652" s="40"/>
      <c r="D2652" s="40"/>
    </row>
    <row r="2653" spans="2:4" x14ac:dyDescent="0.25">
      <c r="B2653" s="95" t="s">
        <v>6815</v>
      </c>
      <c r="C2653" s="93"/>
      <c r="D2653" s="94"/>
    </row>
    <row r="2654" spans="2:4" x14ac:dyDescent="0.25">
      <c r="B2654" s="96"/>
      <c r="C2654" s="91"/>
      <c r="D2654" s="92"/>
    </row>
    <row r="2655" spans="2:4" x14ac:dyDescent="0.25">
      <c r="B2655" s="97"/>
      <c r="C2655" s="71" t="s">
        <v>6824</v>
      </c>
      <c r="D2655" s="71" t="s">
        <v>6825</v>
      </c>
    </row>
    <row r="2656" spans="2:4" x14ac:dyDescent="0.25">
      <c r="B2656" s="72"/>
      <c r="C2656" s="71"/>
      <c r="D2656" s="73"/>
    </row>
    <row r="2658" spans="2:4" x14ac:dyDescent="0.25">
      <c r="B2658" s="40" t="s">
        <v>7707</v>
      </c>
      <c r="C2658" s="40"/>
      <c r="D2658" s="40"/>
    </row>
    <row r="2659" spans="2:4" x14ac:dyDescent="0.25">
      <c r="B2659" s="40"/>
      <c r="C2659" s="40"/>
      <c r="D2659" s="40"/>
    </row>
    <row r="2660" spans="2:4" x14ac:dyDescent="0.25">
      <c r="B2660" s="40"/>
      <c r="C2660" s="40"/>
      <c r="D2660" s="40"/>
    </row>
    <row r="2661" spans="2:4" x14ac:dyDescent="0.25">
      <c r="B2661" s="42" t="s">
        <v>7708</v>
      </c>
      <c r="C2661" s="40"/>
      <c r="D2661" s="40"/>
    </row>
    <row r="2662" spans="2:4" x14ac:dyDescent="0.25">
      <c r="B2662" s="42" t="s">
        <v>7709</v>
      </c>
      <c r="C2662" s="40"/>
      <c r="D2662" s="40"/>
    </row>
    <row r="2663" spans="2:4" x14ac:dyDescent="0.25">
      <c r="B2663" s="42" t="s">
        <v>7710</v>
      </c>
      <c r="C2663" s="40"/>
      <c r="D2663" s="40"/>
    </row>
    <row r="2664" spans="2:4" x14ac:dyDescent="0.25">
      <c r="B2664" s="95" t="s">
        <v>6815</v>
      </c>
      <c r="C2664" s="93"/>
      <c r="D2664" s="94"/>
    </row>
    <row r="2665" spans="2:4" x14ac:dyDescent="0.25">
      <c r="B2665" s="96"/>
      <c r="C2665" s="91"/>
      <c r="D2665" s="92"/>
    </row>
    <row r="2666" spans="2:4" x14ac:dyDescent="0.25">
      <c r="B2666" s="97"/>
      <c r="C2666" s="71" t="s">
        <v>6824</v>
      </c>
      <c r="D2666" s="71" t="s">
        <v>6825</v>
      </c>
    </row>
    <row r="2667" spans="2:4" x14ac:dyDescent="0.25">
      <c r="B2667" s="72"/>
      <c r="C2667" s="71"/>
      <c r="D2667" s="73"/>
    </row>
    <row r="2669" spans="2:4" x14ac:dyDescent="0.25">
      <c r="B2669" s="40" t="s">
        <v>7707</v>
      </c>
      <c r="C2669" s="40"/>
      <c r="D2669" s="40"/>
    </row>
    <row r="2670" spans="2:4" x14ac:dyDescent="0.25">
      <c r="B2670" s="40"/>
      <c r="C2670" s="40"/>
      <c r="D2670" s="40"/>
    </row>
    <row r="2671" spans="2:4" x14ac:dyDescent="0.25">
      <c r="B2671" s="40"/>
      <c r="C2671" s="40"/>
      <c r="D2671" s="40"/>
    </row>
    <row r="2672" spans="2:4" x14ac:dyDescent="0.25">
      <c r="B2672" s="42" t="s">
        <v>7708</v>
      </c>
      <c r="C2672" s="40"/>
      <c r="D2672" s="40"/>
    </row>
    <row r="2673" spans="2:4" x14ac:dyDescent="0.25">
      <c r="B2673" s="42" t="s">
        <v>7709</v>
      </c>
      <c r="C2673" s="40"/>
      <c r="D2673" s="40"/>
    </row>
    <row r="2674" spans="2:4" x14ac:dyDescent="0.25">
      <c r="B2674" s="42" t="s">
        <v>7710</v>
      </c>
      <c r="C2674" s="40"/>
      <c r="D2674" s="40"/>
    </row>
    <row r="2675" spans="2:4" x14ac:dyDescent="0.25">
      <c r="B2675" s="95" t="s">
        <v>6815</v>
      </c>
      <c r="C2675" s="93"/>
      <c r="D2675" s="94"/>
    </row>
    <row r="2676" spans="2:4" x14ac:dyDescent="0.25">
      <c r="B2676" s="96"/>
      <c r="C2676" s="91"/>
      <c r="D2676" s="92"/>
    </row>
    <row r="2677" spans="2:4" x14ac:dyDescent="0.25">
      <c r="B2677" s="97"/>
      <c r="C2677" s="71" t="s">
        <v>6824</v>
      </c>
      <c r="D2677" s="71" t="s">
        <v>6825</v>
      </c>
    </row>
    <row r="2678" spans="2:4" x14ac:dyDescent="0.25">
      <c r="B2678" s="72"/>
      <c r="C2678" s="71"/>
      <c r="D2678" s="73"/>
    </row>
    <row r="2680" spans="2:4" x14ac:dyDescent="0.25">
      <c r="B2680" s="40" t="s">
        <v>7707</v>
      </c>
      <c r="C2680" s="40"/>
      <c r="D2680" s="40"/>
    </row>
    <row r="2681" spans="2:4" x14ac:dyDescent="0.25">
      <c r="B2681" s="40"/>
      <c r="C2681" s="40"/>
      <c r="D2681" s="40"/>
    </row>
    <row r="2682" spans="2:4" x14ac:dyDescent="0.25">
      <c r="B2682" s="40"/>
      <c r="C2682" s="40"/>
      <c r="D2682" s="40"/>
    </row>
    <row r="2683" spans="2:4" x14ac:dyDescent="0.25">
      <c r="B2683" s="42" t="s">
        <v>7708</v>
      </c>
      <c r="C2683" s="40"/>
      <c r="D2683" s="40"/>
    </row>
    <row r="2684" spans="2:4" x14ac:dyDescent="0.25">
      <c r="B2684" s="42" t="s">
        <v>7709</v>
      </c>
      <c r="C2684" s="40"/>
      <c r="D2684" s="40"/>
    </row>
    <row r="2685" spans="2:4" x14ac:dyDescent="0.25">
      <c r="B2685" s="42" t="s">
        <v>7710</v>
      </c>
      <c r="C2685" s="40"/>
      <c r="D2685" s="40"/>
    </row>
    <row r="2686" spans="2:4" x14ac:dyDescent="0.25">
      <c r="B2686" s="95" t="s">
        <v>6815</v>
      </c>
      <c r="C2686" s="93"/>
      <c r="D2686" s="94"/>
    </row>
    <row r="2687" spans="2:4" x14ac:dyDescent="0.25">
      <c r="B2687" s="96"/>
      <c r="C2687" s="91"/>
      <c r="D2687" s="92"/>
    </row>
    <row r="2688" spans="2:4" x14ac:dyDescent="0.25">
      <c r="B2688" s="97"/>
      <c r="C2688" s="71" t="s">
        <v>6824</v>
      </c>
      <c r="D2688" s="71" t="s">
        <v>6825</v>
      </c>
    </row>
    <row r="2689" spans="2:4" x14ac:dyDescent="0.25">
      <c r="B2689" s="72"/>
      <c r="C2689" s="71"/>
      <c r="D2689" s="73"/>
    </row>
    <row r="2691" spans="2:4" x14ac:dyDescent="0.25">
      <c r="B2691" s="40" t="s">
        <v>7707</v>
      </c>
      <c r="C2691" s="40"/>
      <c r="D2691" s="40"/>
    </row>
    <row r="2692" spans="2:4" x14ac:dyDescent="0.25">
      <c r="B2692" s="40"/>
      <c r="C2692" s="40"/>
      <c r="D2692" s="40"/>
    </row>
    <row r="2693" spans="2:4" x14ac:dyDescent="0.25">
      <c r="B2693" s="40"/>
      <c r="C2693" s="40"/>
      <c r="D2693" s="40"/>
    </row>
    <row r="2694" spans="2:4" x14ac:dyDescent="0.25">
      <c r="B2694" s="42" t="s">
        <v>7708</v>
      </c>
      <c r="C2694" s="40"/>
      <c r="D2694" s="40"/>
    </row>
    <row r="2695" spans="2:4" x14ac:dyDescent="0.25">
      <c r="B2695" s="42" t="s">
        <v>7709</v>
      </c>
      <c r="C2695" s="40"/>
      <c r="D2695" s="40"/>
    </row>
    <row r="2696" spans="2:4" x14ac:dyDescent="0.25">
      <c r="B2696" s="42" t="s">
        <v>7710</v>
      </c>
      <c r="C2696" s="40"/>
      <c r="D2696" s="40"/>
    </row>
    <row r="2697" spans="2:4" x14ac:dyDescent="0.25">
      <c r="B2697" s="95" t="s">
        <v>6815</v>
      </c>
      <c r="C2697" s="93"/>
      <c r="D2697" s="94"/>
    </row>
    <row r="2698" spans="2:4" x14ac:dyDescent="0.25">
      <c r="B2698" s="96"/>
      <c r="C2698" s="91"/>
      <c r="D2698" s="92"/>
    </row>
    <row r="2699" spans="2:4" x14ac:dyDescent="0.25">
      <c r="B2699" s="97"/>
      <c r="C2699" s="71" t="s">
        <v>6824</v>
      </c>
      <c r="D2699" s="71" t="s">
        <v>6825</v>
      </c>
    </row>
    <row r="2700" spans="2:4" x14ac:dyDescent="0.25">
      <c r="B2700" s="72"/>
      <c r="C2700" s="71"/>
      <c r="D2700" s="73"/>
    </row>
    <row r="2702" spans="2:4" x14ac:dyDescent="0.25">
      <c r="B2702" s="40" t="s">
        <v>7707</v>
      </c>
      <c r="C2702" s="40"/>
      <c r="D2702" s="40"/>
    </row>
    <row r="2703" spans="2:4" x14ac:dyDescent="0.25">
      <c r="B2703" s="40"/>
      <c r="C2703" s="40"/>
      <c r="D2703" s="40"/>
    </row>
    <row r="2704" spans="2:4" x14ac:dyDescent="0.25">
      <c r="B2704" s="40"/>
      <c r="C2704" s="40"/>
      <c r="D2704" s="40"/>
    </row>
    <row r="2705" spans="2:4" x14ac:dyDescent="0.25">
      <c r="B2705" s="42" t="s">
        <v>7708</v>
      </c>
      <c r="C2705" s="40"/>
      <c r="D2705" s="40"/>
    </row>
    <row r="2706" spans="2:4" x14ac:dyDescent="0.25">
      <c r="B2706" s="42" t="s">
        <v>7709</v>
      </c>
      <c r="C2706" s="40"/>
      <c r="D2706" s="40"/>
    </row>
    <row r="2707" spans="2:4" x14ac:dyDescent="0.25">
      <c r="B2707" s="42" t="s">
        <v>7710</v>
      </c>
      <c r="C2707" s="40"/>
      <c r="D2707" s="40"/>
    </row>
    <row r="2708" spans="2:4" x14ac:dyDescent="0.25">
      <c r="B2708" s="95" t="s">
        <v>6815</v>
      </c>
      <c r="C2708" s="93"/>
      <c r="D2708" s="94"/>
    </row>
    <row r="2709" spans="2:4" x14ac:dyDescent="0.25">
      <c r="B2709" s="96"/>
      <c r="C2709" s="91"/>
      <c r="D2709" s="92"/>
    </row>
    <row r="2710" spans="2:4" x14ac:dyDescent="0.25">
      <c r="B2710" s="97"/>
      <c r="C2710" s="71" t="s">
        <v>6824</v>
      </c>
      <c r="D2710" s="71" t="s">
        <v>6825</v>
      </c>
    </row>
    <row r="2711" spans="2:4" x14ac:dyDescent="0.25">
      <c r="B2711" s="72"/>
      <c r="C2711" s="71"/>
      <c r="D2711" s="73"/>
    </row>
    <row r="2713" spans="2:4" x14ac:dyDescent="0.25">
      <c r="B2713" s="40" t="s">
        <v>7707</v>
      </c>
      <c r="C2713" s="40"/>
      <c r="D2713" s="40"/>
    </row>
    <row r="2714" spans="2:4" x14ac:dyDescent="0.25">
      <c r="B2714" s="40"/>
      <c r="C2714" s="40"/>
      <c r="D2714" s="40"/>
    </row>
    <row r="2715" spans="2:4" x14ac:dyDescent="0.25">
      <c r="B2715" s="40"/>
      <c r="C2715" s="40"/>
      <c r="D2715" s="40"/>
    </row>
    <row r="2716" spans="2:4" x14ac:dyDescent="0.25">
      <c r="B2716" s="42" t="s">
        <v>7708</v>
      </c>
      <c r="C2716" s="40"/>
      <c r="D2716" s="40"/>
    </row>
    <row r="2717" spans="2:4" x14ac:dyDescent="0.25">
      <c r="B2717" s="42" t="s">
        <v>7709</v>
      </c>
      <c r="C2717" s="40"/>
      <c r="D2717" s="40"/>
    </row>
    <row r="2718" spans="2:4" x14ac:dyDescent="0.25">
      <c r="B2718" s="42" t="s">
        <v>7710</v>
      </c>
      <c r="C2718" s="40"/>
      <c r="D2718" s="40"/>
    </row>
    <row r="2719" spans="2:4" x14ac:dyDescent="0.25">
      <c r="B2719" s="95" t="s">
        <v>6815</v>
      </c>
      <c r="C2719" s="93"/>
      <c r="D2719" s="94"/>
    </row>
    <row r="2720" spans="2:4" x14ac:dyDescent="0.25">
      <c r="B2720" s="96"/>
      <c r="C2720" s="91"/>
      <c r="D2720" s="92"/>
    </row>
    <row r="2721" spans="2:4" x14ac:dyDescent="0.25">
      <c r="B2721" s="97"/>
      <c r="C2721" s="71" t="s">
        <v>6824</v>
      </c>
      <c r="D2721" s="71" t="s">
        <v>6825</v>
      </c>
    </row>
    <row r="2722" spans="2:4" x14ac:dyDescent="0.25">
      <c r="B2722" s="72"/>
      <c r="C2722" s="71"/>
      <c r="D2722" s="73"/>
    </row>
    <row r="2724" spans="2:4" x14ac:dyDescent="0.25">
      <c r="B2724" s="40" t="s">
        <v>7707</v>
      </c>
      <c r="C2724" s="40"/>
      <c r="D2724" s="40"/>
    </row>
    <row r="2725" spans="2:4" x14ac:dyDescent="0.25">
      <c r="B2725" s="40"/>
      <c r="C2725" s="40"/>
      <c r="D2725" s="40"/>
    </row>
    <row r="2726" spans="2:4" x14ac:dyDescent="0.25">
      <c r="B2726" s="40"/>
      <c r="C2726" s="40"/>
      <c r="D2726" s="40"/>
    </row>
    <row r="2727" spans="2:4" x14ac:dyDescent="0.25">
      <c r="B2727" s="42" t="s">
        <v>7708</v>
      </c>
      <c r="C2727" s="40"/>
      <c r="D2727" s="40"/>
    </row>
    <row r="2728" spans="2:4" x14ac:dyDescent="0.25">
      <c r="B2728" s="42" t="s">
        <v>7709</v>
      </c>
      <c r="C2728" s="40"/>
      <c r="D2728" s="40"/>
    </row>
    <row r="2729" spans="2:4" x14ac:dyDescent="0.25">
      <c r="B2729" s="42" t="s">
        <v>7710</v>
      </c>
      <c r="C2729" s="40"/>
      <c r="D2729" s="40"/>
    </row>
    <row r="2730" spans="2:4" x14ac:dyDescent="0.25">
      <c r="B2730" s="95" t="s">
        <v>6815</v>
      </c>
      <c r="C2730" s="93"/>
      <c r="D2730" s="94"/>
    </row>
    <row r="2731" spans="2:4" x14ac:dyDescent="0.25">
      <c r="B2731" s="96"/>
      <c r="C2731" s="91"/>
      <c r="D2731" s="92"/>
    </row>
    <row r="2732" spans="2:4" x14ac:dyDescent="0.25">
      <c r="B2732" s="97"/>
      <c r="C2732" s="71" t="s">
        <v>6824</v>
      </c>
      <c r="D2732" s="71" t="s">
        <v>6825</v>
      </c>
    </row>
    <row r="2733" spans="2:4" x14ac:dyDescent="0.25">
      <c r="B2733" s="72"/>
      <c r="C2733" s="71"/>
      <c r="D2733" s="73"/>
    </row>
    <row r="2735" spans="2:4" x14ac:dyDescent="0.25">
      <c r="B2735" s="40" t="s">
        <v>7707</v>
      </c>
      <c r="C2735" s="40"/>
      <c r="D2735" s="40"/>
    </row>
    <row r="2736" spans="2:4" x14ac:dyDescent="0.25">
      <c r="B2736" s="40"/>
      <c r="C2736" s="40"/>
      <c r="D2736" s="40"/>
    </row>
    <row r="2737" spans="2:4" x14ac:dyDescent="0.25">
      <c r="B2737" s="40"/>
      <c r="C2737" s="40"/>
      <c r="D2737" s="40"/>
    </row>
    <row r="2738" spans="2:4" x14ac:dyDescent="0.25">
      <c r="B2738" s="42" t="s">
        <v>7708</v>
      </c>
      <c r="C2738" s="40"/>
      <c r="D2738" s="40"/>
    </row>
    <row r="2739" spans="2:4" x14ac:dyDescent="0.25">
      <c r="B2739" s="42" t="s">
        <v>7709</v>
      </c>
      <c r="C2739" s="40"/>
      <c r="D2739" s="40"/>
    </row>
    <row r="2740" spans="2:4" x14ac:dyDescent="0.25">
      <c r="B2740" s="42" t="s">
        <v>7710</v>
      </c>
      <c r="C2740" s="40"/>
      <c r="D2740" s="40"/>
    </row>
    <row r="2741" spans="2:4" x14ac:dyDescent="0.25">
      <c r="B2741" s="95" t="s">
        <v>6815</v>
      </c>
      <c r="C2741" s="93"/>
      <c r="D2741" s="94"/>
    </row>
    <row r="2742" spans="2:4" x14ac:dyDescent="0.25">
      <c r="B2742" s="96"/>
      <c r="C2742" s="91"/>
      <c r="D2742" s="92"/>
    </row>
    <row r="2743" spans="2:4" x14ac:dyDescent="0.25">
      <c r="B2743" s="97"/>
      <c r="C2743" s="71" t="s">
        <v>6824</v>
      </c>
      <c r="D2743" s="71" t="s">
        <v>6825</v>
      </c>
    </row>
    <row r="2744" spans="2:4" x14ac:dyDescent="0.25">
      <c r="B2744" s="72"/>
      <c r="C2744" s="71"/>
      <c r="D2744" s="73"/>
    </row>
    <row r="2746" spans="2:4" x14ac:dyDescent="0.25">
      <c r="B2746" s="40" t="s">
        <v>7707</v>
      </c>
      <c r="C2746" s="40"/>
      <c r="D2746" s="40"/>
    </row>
    <row r="2747" spans="2:4" x14ac:dyDescent="0.25">
      <c r="B2747" s="40"/>
      <c r="C2747" s="40"/>
      <c r="D2747" s="40"/>
    </row>
    <row r="2748" spans="2:4" x14ac:dyDescent="0.25">
      <c r="B2748" s="40"/>
      <c r="C2748" s="40"/>
      <c r="D2748" s="40"/>
    </row>
    <row r="2749" spans="2:4" x14ac:dyDescent="0.25">
      <c r="B2749" s="42" t="s">
        <v>7708</v>
      </c>
      <c r="C2749" s="40"/>
      <c r="D2749" s="40"/>
    </row>
    <row r="2750" spans="2:4" x14ac:dyDescent="0.25">
      <c r="B2750" s="42" t="s">
        <v>7709</v>
      </c>
      <c r="C2750" s="40"/>
      <c r="D2750" s="40"/>
    </row>
    <row r="2751" spans="2:4" x14ac:dyDescent="0.25">
      <c r="B2751" s="42" t="s">
        <v>7710</v>
      </c>
      <c r="C2751" s="40"/>
      <c r="D2751" s="40"/>
    </row>
    <row r="2752" spans="2:4" x14ac:dyDescent="0.25">
      <c r="B2752" s="95" t="s">
        <v>6815</v>
      </c>
      <c r="C2752" s="93"/>
      <c r="D2752" s="94"/>
    </row>
    <row r="2753" spans="2:4" x14ac:dyDescent="0.25">
      <c r="B2753" s="96"/>
      <c r="C2753" s="91"/>
      <c r="D2753" s="92"/>
    </row>
    <row r="2754" spans="2:4" x14ac:dyDescent="0.25">
      <c r="B2754" s="97"/>
      <c r="C2754" s="71" t="s">
        <v>6824</v>
      </c>
      <c r="D2754" s="71" t="s">
        <v>6825</v>
      </c>
    </row>
    <row r="2755" spans="2:4" x14ac:dyDescent="0.25">
      <c r="B2755" s="72"/>
      <c r="C2755" s="71"/>
      <c r="D2755" s="73"/>
    </row>
    <row r="2757" spans="2:4" x14ac:dyDescent="0.25">
      <c r="B2757" s="40" t="s">
        <v>7707</v>
      </c>
      <c r="C2757" s="40"/>
      <c r="D2757" s="40"/>
    </row>
    <row r="2758" spans="2:4" x14ac:dyDescent="0.25">
      <c r="B2758" s="40"/>
      <c r="C2758" s="40"/>
      <c r="D2758" s="40"/>
    </row>
    <row r="2759" spans="2:4" x14ac:dyDescent="0.25">
      <c r="B2759" s="40"/>
      <c r="C2759" s="40"/>
      <c r="D2759" s="40"/>
    </row>
    <row r="2760" spans="2:4" x14ac:dyDescent="0.25">
      <c r="B2760" s="42" t="s">
        <v>7708</v>
      </c>
      <c r="C2760" s="40"/>
      <c r="D2760" s="40"/>
    </row>
    <row r="2761" spans="2:4" x14ac:dyDescent="0.25">
      <c r="B2761" s="42" t="s">
        <v>7709</v>
      </c>
      <c r="C2761" s="40"/>
      <c r="D2761" s="40"/>
    </row>
    <row r="2762" spans="2:4" x14ac:dyDescent="0.25">
      <c r="B2762" s="42" t="s">
        <v>7710</v>
      </c>
      <c r="C2762" s="40"/>
      <c r="D2762" s="40"/>
    </row>
    <row r="2763" spans="2:4" x14ac:dyDescent="0.25">
      <c r="B2763" s="95" t="s">
        <v>6815</v>
      </c>
      <c r="C2763" s="93"/>
      <c r="D2763" s="94"/>
    </row>
    <row r="2764" spans="2:4" x14ac:dyDescent="0.25">
      <c r="B2764" s="96"/>
      <c r="C2764" s="91"/>
      <c r="D2764" s="92"/>
    </row>
    <row r="2765" spans="2:4" x14ac:dyDescent="0.25">
      <c r="B2765" s="97"/>
      <c r="C2765" s="71" t="s">
        <v>6824</v>
      </c>
      <c r="D2765" s="71" t="s">
        <v>6825</v>
      </c>
    </row>
    <row r="2766" spans="2:4" x14ac:dyDescent="0.25">
      <c r="B2766" s="72"/>
      <c r="C2766" s="71"/>
      <c r="D2766" s="73"/>
    </row>
    <row r="2768" spans="2:4" x14ac:dyDescent="0.25">
      <c r="B2768" s="40" t="s">
        <v>7707</v>
      </c>
      <c r="C2768" s="40"/>
      <c r="D2768" s="40"/>
    </row>
    <row r="2769" spans="2:4" x14ac:dyDescent="0.25">
      <c r="B2769" s="40"/>
      <c r="C2769" s="40"/>
      <c r="D2769" s="40"/>
    </row>
    <row r="2770" spans="2:4" x14ac:dyDescent="0.25">
      <c r="B2770" s="40"/>
      <c r="C2770" s="40"/>
      <c r="D2770" s="40"/>
    </row>
    <row r="2771" spans="2:4" x14ac:dyDescent="0.25">
      <c r="B2771" s="42" t="s">
        <v>7708</v>
      </c>
      <c r="C2771" s="40"/>
      <c r="D2771" s="40"/>
    </row>
    <row r="2772" spans="2:4" x14ac:dyDescent="0.25">
      <c r="B2772" s="42" t="s">
        <v>7709</v>
      </c>
      <c r="C2772" s="40"/>
      <c r="D2772" s="40"/>
    </row>
    <row r="2773" spans="2:4" x14ac:dyDescent="0.25">
      <c r="B2773" s="42" t="s">
        <v>7710</v>
      </c>
      <c r="C2773" s="40"/>
      <c r="D2773" s="40"/>
    </row>
    <row r="2774" spans="2:4" x14ac:dyDescent="0.25">
      <c r="B2774" s="95" t="s">
        <v>6815</v>
      </c>
      <c r="C2774" s="93"/>
      <c r="D2774" s="94"/>
    </row>
    <row r="2775" spans="2:4" x14ac:dyDescent="0.25">
      <c r="B2775" s="96"/>
      <c r="C2775" s="91"/>
      <c r="D2775" s="92"/>
    </row>
    <row r="2776" spans="2:4" x14ac:dyDescent="0.25">
      <c r="B2776" s="97"/>
      <c r="C2776" s="71" t="s">
        <v>6824</v>
      </c>
      <c r="D2776" s="71" t="s">
        <v>6825</v>
      </c>
    </row>
    <row r="2777" spans="2:4" x14ac:dyDescent="0.25">
      <c r="B2777" s="72"/>
      <c r="C2777" s="71"/>
      <c r="D2777" s="73"/>
    </row>
    <row r="2779" spans="2:4" x14ac:dyDescent="0.25">
      <c r="B2779" s="40" t="s">
        <v>7707</v>
      </c>
      <c r="C2779" s="40"/>
      <c r="D2779" s="40"/>
    </row>
    <row r="2780" spans="2:4" x14ac:dyDescent="0.25">
      <c r="B2780" s="40"/>
      <c r="C2780" s="40"/>
      <c r="D2780" s="40"/>
    </row>
    <row r="2781" spans="2:4" x14ac:dyDescent="0.25">
      <c r="B2781" s="40"/>
      <c r="C2781" s="40"/>
      <c r="D2781" s="40"/>
    </row>
    <row r="2782" spans="2:4" x14ac:dyDescent="0.25">
      <c r="B2782" s="42" t="s">
        <v>7708</v>
      </c>
      <c r="C2782" s="40"/>
      <c r="D2782" s="40"/>
    </row>
    <row r="2783" spans="2:4" x14ac:dyDescent="0.25">
      <c r="B2783" s="42" t="s">
        <v>7709</v>
      </c>
      <c r="C2783" s="40"/>
      <c r="D2783" s="40"/>
    </row>
    <row r="2784" spans="2:4" x14ac:dyDescent="0.25">
      <c r="B2784" s="42" t="s">
        <v>7710</v>
      </c>
      <c r="C2784" s="40"/>
      <c r="D2784" s="40"/>
    </row>
    <row r="2785" spans="2:4" x14ac:dyDescent="0.25">
      <c r="B2785" s="95" t="s">
        <v>6815</v>
      </c>
      <c r="C2785" s="93"/>
      <c r="D2785" s="94"/>
    </row>
    <row r="2786" spans="2:4" x14ac:dyDescent="0.25">
      <c r="B2786" s="96"/>
      <c r="C2786" s="91"/>
      <c r="D2786" s="92"/>
    </row>
    <row r="2787" spans="2:4" x14ac:dyDescent="0.25">
      <c r="B2787" s="97"/>
      <c r="C2787" s="71" t="s">
        <v>6824</v>
      </c>
      <c r="D2787" s="71" t="s">
        <v>6825</v>
      </c>
    </row>
    <row r="2788" spans="2:4" x14ac:dyDescent="0.25">
      <c r="B2788" s="72"/>
      <c r="C2788" s="71"/>
      <c r="D2788" s="73"/>
    </row>
    <row r="2790" spans="2:4" x14ac:dyDescent="0.25">
      <c r="B2790" s="40" t="s">
        <v>7707</v>
      </c>
      <c r="C2790" s="40"/>
      <c r="D2790" s="40"/>
    </row>
    <row r="2791" spans="2:4" x14ac:dyDescent="0.25">
      <c r="B2791" s="40"/>
      <c r="C2791" s="40"/>
      <c r="D2791" s="40"/>
    </row>
    <row r="2792" spans="2:4" x14ac:dyDescent="0.25">
      <c r="B2792" s="40"/>
      <c r="C2792" s="40"/>
      <c r="D2792" s="40"/>
    </row>
    <row r="2793" spans="2:4" x14ac:dyDescent="0.25">
      <c r="B2793" s="42" t="s">
        <v>7708</v>
      </c>
      <c r="C2793" s="40"/>
      <c r="D2793" s="40"/>
    </row>
    <row r="2794" spans="2:4" x14ac:dyDescent="0.25">
      <c r="B2794" s="42" t="s">
        <v>7709</v>
      </c>
      <c r="C2794" s="40"/>
      <c r="D2794" s="40"/>
    </row>
    <row r="2795" spans="2:4" x14ac:dyDescent="0.25">
      <c r="B2795" s="42" t="s">
        <v>7710</v>
      </c>
      <c r="C2795" s="40"/>
      <c r="D2795" s="40"/>
    </row>
    <row r="2796" spans="2:4" x14ac:dyDescent="0.25">
      <c r="B2796" s="95" t="s">
        <v>6815</v>
      </c>
      <c r="C2796" s="93"/>
      <c r="D2796" s="94"/>
    </row>
    <row r="2797" spans="2:4" x14ac:dyDescent="0.25">
      <c r="B2797" s="96"/>
      <c r="C2797" s="91"/>
      <c r="D2797" s="92"/>
    </row>
    <row r="2798" spans="2:4" x14ac:dyDescent="0.25">
      <c r="B2798" s="97"/>
      <c r="C2798" s="71" t="s">
        <v>6824</v>
      </c>
      <c r="D2798" s="71" t="s">
        <v>6825</v>
      </c>
    </row>
    <row r="2799" spans="2:4" x14ac:dyDescent="0.25">
      <c r="B2799" s="72"/>
      <c r="C2799" s="71"/>
      <c r="D2799" s="73"/>
    </row>
    <row r="2801" spans="2:4" x14ac:dyDescent="0.25">
      <c r="B2801" s="40" t="s">
        <v>7707</v>
      </c>
      <c r="C2801" s="40"/>
      <c r="D2801" s="40"/>
    </row>
    <row r="2802" spans="2:4" x14ac:dyDescent="0.25">
      <c r="B2802" s="40"/>
      <c r="C2802" s="40"/>
      <c r="D2802" s="40"/>
    </row>
    <row r="2803" spans="2:4" x14ac:dyDescent="0.25">
      <c r="B2803" s="40"/>
      <c r="C2803" s="40"/>
      <c r="D2803" s="40"/>
    </row>
    <row r="2804" spans="2:4" x14ac:dyDescent="0.25">
      <c r="B2804" s="42" t="s">
        <v>7708</v>
      </c>
      <c r="C2804" s="40"/>
      <c r="D2804" s="40"/>
    </row>
    <row r="2805" spans="2:4" x14ac:dyDescent="0.25">
      <c r="B2805" s="42" t="s">
        <v>7709</v>
      </c>
      <c r="C2805" s="40"/>
      <c r="D2805" s="40"/>
    </row>
    <row r="2806" spans="2:4" x14ac:dyDescent="0.25">
      <c r="B2806" s="42" t="s">
        <v>7710</v>
      </c>
      <c r="C2806" s="40"/>
      <c r="D2806" s="40"/>
    </row>
    <row r="2807" spans="2:4" x14ac:dyDescent="0.25">
      <c r="B2807" s="95" t="s">
        <v>6815</v>
      </c>
      <c r="C2807" s="93"/>
      <c r="D2807" s="94"/>
    </row>
    <row r="2808" spans="2:4" x14ac:dyDescent="0.25">
      <c r="B2808" s="96"/>
      <c r="C2808" s="91"/>
      <c r="D2808" s="92"/>
    </row>
    <row r="2809" spans="2:4" x14ac:dyDescent="0.25">
      <c r="B2809" s="97"/>
      <c r="C2809" s="71" t="s">
        <v>6824</v>
      </c>
      <c r="D2809" s="71" t="s">
        <v>6825</v>
      </c>
    </row>
    <row r="2810" spans="2:4" x14ac:dyDescent="0.25">
      <c r="B2810" s="72"/>
      <c r="C2810" s="71"/>
      <c r="D2810" s="73"/>
    </row>
    <row r="2812" spans="2:4" x14ac:dyDescent="0.25">
      <c r="B2812" s="40" t="s">
        <v>7707</v>
      </c>
      <c r="C2812" s="40"/>
      <c r="D2812" s="40"/>
    </row>
    <row r="2813" spans="2:4" x14ac:dyDescent="0.25">
      <c r="B2813" s="40"/>
      <c r="C2813" s="40"/>
      <c r="D2813" s="40"/>
    </row>
    <row r="2814" spans="2:4" x14ac:dyDescent="0.25">
      <c r="B2814" s="40"/>
      <c r="C2814" s="40"/>
      <c r="D2814" s="40"/>
    </row>
    <row r="2815" spans="2:4" x14ac:dyDescent="0.25">
      <c r="B2815" s="42" t="s">
        <v>7708</v>
      </c>
      <c r="C2815" s="40"/>
      <c r="D2815" s="40"/>
    </row>
    <row r="2816" spans="2:4" x14ac:dyDescent="0.25">
      <c r="B2816" s="42" t="s">
        <v>7709</v>
      </c>
      <c r="C2816" s="40"/>
      <c r="D2816" s="40"/>
    </row>
    <row r="2817" spans="2:4" x14ac:dyDescent="0.25">
      <c r="B2817" s="42" t="s">
        <v>7710</v>
      </c>
      <c r="C2817" s="40"/>
      <c r="D2817" s="40"/>
    </row>
    <row r="2818" spans="2:4" x14ac:dyDescent="0.25">
      <c r="B2818" s="95" t="s">
        <v>6815</v>
      </c>
      <c r="C2818" s="93"/>
      <c r="D2818" s="94"/>
    </row>
    <row r="2819" spans="2:4" x14ac:dyDescent="0.25">
      <c r="B2819" s="96"/>
      <c r="C2819" s="91"/>
      <c r="D2819" s="92"/>
    </row>
    <row r="2820" spans="2:4" x14ac:dyDescent="0.25">
      <c r="B2820" s="97"/>
      <c r="C2820" s="71" t="s">
        <v>6824</v>
      </c>
      <c r="D2820" s="71" t="s">
        <v>6825</v>
      </c>
    </row>
    <row r="2821" spans="2:4" x14ac:dyDescent="0.25">
      <c r="B2821" s="72"/>
      <c r="C2821" s="71"/>
      <c r="D2821" s="73"/>
    </row>
    <row r="2823" spans="2:4" x14ac:dyDescent="0.25">
      <c r="B2823" s="40" t="s">
        <v>7707</v>
      </c>
      <c r="C2823" s="40"/>
      <c r="D2823" s="40"/>
    </row>
    <row r="2824" spans="2:4" x14ac:dyDescent="0.25">
      <c r="B2824" s="40"/>
      <c r="C2824" s="40"/>
      <c r="D2824" s="40"/>
    </row>
    <row r="2825" spans="2:4" x14ac:dyDescent="0.25">
      <c r="B2825" s="40"/>
      <c r="C2825" s="40"/>
      <c r="D2825" s="40"/>
    </row>
    <row r="2826" spans="2:4" x14ac:dyDescent="0.25">
      <c r="B2826" s="42" t="s">
        <v>7708</v>
      </c>
      <c r="C2826" s="40"/>
      <c r="D2826" s="40"/>
    </row>
    <row r="2827" spans="2:4" x14ac:dyDescent="0.25">
      <c r="B2827" s="42" t="s">
        <v>7709</v>
      </c>
      <c r="C2827" s="40"/>
      <c r="D2827" s="40"/>
    </row>
    <row r="2828" spans="2:4" x14ac:dyDescent="0.25">
      <c r="B2828" s="42" t="s">
        <v>7710</v>
      </c>
      <c r="C2828" s="40"/>
      <c r="D2828" s="40"/>
    </row>
    <row r="2829" spans="2:4" x14ac:dyDescent="0.25">
      <c r="B2829" s="95" t="s">
        <v>6815</v>
      </c>
      <c r="C2829" s="93"/>
      <c r="D2829" s="94"/>
    </row>
    <row r="2830" spans="2:4" x14ac:dyDescent="0.25">
      <c r="B2830" s="96"/>
      <c r="C2830" s="91"/>
      <c r="D2830" s="92"/>
    </row>
    <row r="2831" spans="2:4" x14ac:dyDescent="0.25">
      <c r="B2831" s="97"/>
      <c r="C2831" s="71" t="s">
        <v>6824</v>
      </c>
      <c r="D2831" s="71" t="s">
        <v>6825</v>
      </c>
    </row>
    <row r="2832" spans="2:4" x14ac:dyDescent="0.25">
      <c r="B2832" s="72"/>
      <c r="C2832" s="71"/>
      <c r="D2832" s="73"/>
    </row>
    <row r="2834" spans="2:4" x14ac:dyDescent="0.25">
      <c r="B2834" s="40" t="s">
        <v>7707</v>
      </c>
      <c r="C2834" s="40"/>
      <c r="D2834" s="40"/>
    </row>
    <row r="2835" spans="2:4" x14ac:dyDescent="0.25">
      <c r="B2835" s="40"/>
      <c r="C2835" s="40"/>
      <c r="D2835" s="40"/>
    </row>
    <row r="2836" spans="2:4" x14ac:dyDescent="0.25">
      <c r="B2836" s="40"/>
      <c r="C2836" s="40"/>
      <c r="D2836" s="40"/>
    </row>
    <row r="2837" spans="2:4" x14ac:dyDescent="0.25">
      <c r="B2837" s="42" t="s">
        <v>7708</v>
      </c>
      <c r="C2837" s="40"/>
      <c r="D2837" s="40"/>
    </row>
    <row r="2838" spans="2:4" x14ac:dyDescent="0.25">
      <c r="B2838" s="42" t="s">
        <v>7709</v>
      </c>
      <c r="C2838" s="40"/>
      <c r="D2838" s="40"/>
    </row>
    <row r="2839" spans="2:4" x14ac:dyDescent="0.25">
      <c r="B2839" s="42" t="s">
        <v>7710</v>
      </c>
      <c r="C2839" s="40"/>
      <c r="D2839" s="40"/>
    </row>
    <row r="2840" spans="2:4" x14ac:dyDescent="0.25">
      <c r="B2840" s="95" t="s">
        <v>6815</v>
      </c>
      <c r="C2840" s="93"/>
      <c r="D2840" s="94"/>
    </row>
    <row r="2841" spans="2:4" x14ac:dyDescent="0.25">
      <c r="B2841" s="96"/>
      <c r="C2841" s="91"/>
      <c r="D2841" s="92"/>
    </row>
    <row r="2842" spans="2:4" x14ac:dyDescent="0.25">
      <c r="B2842" s="97"/>
      <c r="C2842" s="71" t="s">
        <v>6824</v>
      </c>
      <c r="D2842" s="71" t="s">
        <v>6825</v>
      </c>
    </row>
    <row r="2843" spans="2:4" x14ac:dyDescent="0.25">
      <c r="B2843" s="72"/>
      <c r="C2843" s="71"/>
      <c r="D2843" s="73"/>
    </row>
    <row r="2845" spans="2:4" x14ac:dyDescent="0.25">
      <c r="B2845" s="40" t="s">
        <v>7707</v>
      </c>
      <c r="C2845" s="40"/>
      <c r="D2845" s="40"/>
    </row>
    <row r="2846" spans="2:4" x14ac:dyDescent="0.25">
      <c r="B2846" s="40"/>
      <c r="C2846" s="40"/>
      <c r="D2846" s="40"/>
    </row>
    <row r="2847" spans="2:4" x14ac:dyDescent="0.25">
      <c r="B2847" s="40"/>
      <c r="C2847" s="40"/>
      <c r="D2847" s="40"/>
    </row>
    <row r="2848" spans="2:4" x14ac:dyDescent="0.25">
      <c r="B2848" s="42" t="s">
        <v>7708</v>
      </c>
      <c r="C2848" s="40"/>
      <c r="D2848" s="40"/>
    </row>
    <row r="2849" spans="2:4" x14ac:dyDescent="0.25">
      <c r="B2849" s="42" t="s">
        <v>7709</v>
      </c>
      <c r="C2849" s="40"/>
      <c r="D2849" s="40"/>
    </row>
    <row r="2850" spans="2:4" x14ac:dyDescent="0.25">
      <c r="B2850" s="42" t="s">
        <v>7710</v>
      </c>
      <c r="C2850" s="40"/>
      <c r="D2850" s="40"/>
    </row>
    <row r="2851" spans="2:4" x14ac:dyDescent="0.25">
      <c r="B2851" s="95" t="s">
        <v>6815</v>
      </c>
      <c r="C2851" s="93"/>
      <c r="D2851" s="94"/>
    </row>
    <row r="2852" spans="2:4" x14ac:dyDescent="0.25">
      <c r="B2852" s="96"/>
      <c r="C2852" s="91"/>
      <c r="D2852" s="92"/>
    </row>
    <row r="2853" spans="2:4" x14ac:dyDescent="0.25">
      <c r="B2853" s="97"/>
      <c r="C2853" s="71" t="s">
        <v>6824</v>
      </c>
      <c r="D2853" s="71" t="s">
        <v>6825</v>
      </c>
    </row>
    <row r="2854" spans="2:4" x14ac:dyDescent="0.25">
      <c r="B2854" s="72"/>
      <c r="C2854" s="71"/>
      <c r="D2854" s="73"/>
    </row>
    <row r="2856" spans="2:4" x14ac:dyDescent="0.25">
      <c r="B2856" s="40" t="s">
        <v>7707</v>
      </c>
      <c r="C2856" s="40"/>
      <c r="D2856" s="40"/>
    </row>
    <row r="2857" spans="2:4" x14ac:dyDescent="0.25">
      <c r="B2857" s="40"/>
      <c r="C2857" s="40"/>
      <c r="D2857" s="40"/>
    </row>
    <row r="2858" spans="2:4" x14ac:dyDescent="0.25">
      <c r="B2858" s="40"/>
      <c r="C2858" s="40"/>
      <c r="D2858" s="40"/>
    </row>
    <row r="2859" spans="2:4" x14ac:dyDescent="0.25">
      <c r="B2859" s="42" t="s">
        <v>7708</v>
      </c>
      <c r="C2859" s="40"/>
      <c r="D2859" s="40"/>
    </row>
    <row r="2860" spans="2:4" x14ac:dyDescent="0.25">
      <c r="B2860" s="42" t="s">
        <v>7709</v>
      </c>
      <c r="C2860" s="40"/>
      <c r="D2860" s="40"/>
    </row>
    <row r="2861" spans="2:4" x14ac:dyDescent="0.25">
      <c r="B2861" s="42" t="s">
        <v>7710</v>
      </c>
      <c r="C2861" s="40"/>
      <c r="D2861" s="40"/>
    </row>
    <row r="2862" spans="2:4" x14ac:dyDescent="0.25">
      <c r="B2862" s="95" t="s">
        <v>6815</v>
      </c>
      <c r="C2862" s="93"/>
      <c r="D2862" s="94"/>
    </row>
    <row r="2863" spans="2:4" x14ac:dyDescent="0.25">
      <c r="B2863" s="96"/>
      <c r="C2863" s="91"/>
      <c r="D2863" s="92"/>
    </row>
    <row r="2864" spans="2:4" x14ac:dyDescent="0.25">
      <c r="B2864" s="97"/>
      <c r="C2864" s="71" t="s">
        <v>6824</v>
      </c>
      <c r="D2864" s="71" t="s">
        <v>6825</v>
      </c>
    </row>
    <row r="2865" spans="2:4" x14ac:dyDescent="0.25">
      <c r="B2865" s="72"/>
      <c r="C2865" s="71"/>
      <c r="D2865" s="73"/>
    </row>
    <row r="2867" spans="2:4" x14ac:dyDescent="0.25">
      <c r="B2867" s="40" t="s">
        <v>7707</v>
      </c>
      <c r="C2867" s="40"/>
      <c r="D2867" s="40"/>
    </row>
    <row r="2868" spans="2:4" x14ac:dyDescent="0.25">
      <c r="B2868" s="40"/>
      <c r="C2868" s="40"/>
      <c r="D2868" s="40"/>
    </row>
    <row r="2869" spans="2:4" x14ac:dyDescent="0.25">
      <c r="B2869" s="40"/>
      <c r="C2869" s="40"/>
      <c r="D2869" s="40"/>
    </row>
    <row r="2870" spans="2:4" x14ac:dyDescent="0.25">
      <c r="B2870" s="42" t="s">
        <v>7708</v>
      </c>
      <c r="C2870" s="40"/>
      <c r="D2870" s="40"/>
    </row>
    <row r="2871" spans="2:4" x14ac:dyDescent="0.25">
      <c r="B2871" s="42" t="s">
        <v>7709</v>
      </c>
      <c r="C2871" s="40"/>
      <c r="D2871" s="40"/>
    </row>
    <row r="2872" spans="2:4" x14ac:dyDescent="0.25">
      <c r="B2872" s="42" t="s">
        <v>7710</v>
      </c>
      <c r="C2872" s="40"/>
      <c r="D2872" s="40"/>
    </row>
    <row r="2873" spans="2:4" x14ac:dyDescent="0.25">
      <c r="B2873" s="95" t="s">
        <v>6815</v>
      </c>
      <c r="C2873" s="93"/>
      <c r="D2873" s="94"/>
    </row>
    <row r="2874" spans="2:4" x14ac:dyDescent="0.25">
      <c r="B2874" s="96"/>
      <c r="C2874" s="91"/>
      <c r="D2874" s="92"/>
    </row>
    <row r="2875" spans="2:4" x14ac:dyDescent="0.25">
      <c r="B2875" s="97"/>
      <c r="C2875" s="71" t="s">
        <v>6824</v>
      </c>
      <c r="D2875" s="71" t="s">
        <v>6825</v>
      </c>
    </row>
    <row r="2876" spans="2:4" x14ac:dyDescent="0.25">
      <c r="B2876" s="72"/>
      <c r="C2876" s="71"/>
      <c r="D2876" s="73"/>
    </row>
    <row r="2878" spans="2:4" x14ac:dyDescent="0.25">
      <c r="B2878" s="40" t="s">
        <v>7707</v>
      </c>
      <c r="C2878" s="40"/>
      <c r="D2878" s="40"/>
    </row>
    <row r="2879" spans="2:4" x14ac:dyDescent="0.25">
      <c r="B2879" s="40"/>
      <c r="C2879" s="40"/>
      <c r="D2879" s="40"/>
    </row>
    <row r="2880" spans="2:4" x14ac:dyDescent="0.25">
      <c r="B2880" s="40"/>
      <c r="C2880" s="40"/>
      <c r="D2880" s="40"/>
    </row>
    <row r="2881" spans="2:4" x14ac:dyDescent="0.25">
      <c r="B2881" s="42" t="s">
        <v>7708</v>
      </c>
      <c r="C2881" s="40"/>
      <c r="D2881" s="40"/>
    </row>
    <row r="2882" spans="2:4" x14ac:dyDescent="0.25">
      <c r="B2882" s="42" t="s">
        <v>7709</v>
      </c>
      <c r="C2882" s="40"/>
      <c r="D2882" s="40"/>
    </row>
    <row r="2883" spans="2:4" x14ac:dyDescent="0.25">
      <c r="B2883" s="42" t="s">
        <v>7710</v>
      </c>
      <c r="C2883" s="40"/>
      <c r="D2883" s="40"/>
    </row>
    <row r="2884" spans="2:4" x14ac:dyDescent="0.25">
      <c r="B2884" s="95" t="s">
        <v>6815</v>
      </c>
      <c r="C2884" s="93"/>
      <c r="D2884" s="94"/>
    </row>
    <row r="2885" spans="2:4" x14ac:dyDescent="0.25">
      <c r="B2885" s="96"/>
      <c r="C2885" s="91"/>
      <c r="D2885" s="92"/>
    </row>
    <row r="2886" spans="2:4" x14ac:dyDescent="0.25">
      <c r="B2886" s="97"/>
      <c r="C2886" s="71" t="s">
        <v>6824</v>
      </c>
      <c r="D2886" s="71" t="s">
        <v>6825</v>
      </c>
    </row>
    <row r="2887" spans="2:4" x14ac:dyDescent="0.25">
      <c r="B2887" s="72"/>
      <c r="C2887" s="71"/>
      <c r="D2887" s="73"/>
    </row>
    <row r="2889" spans="2:4" x14ac:dyDescent="0.25">
      <c r="B2889" s="40" t="s">
        <v>7707</v>
      </c>
      <c r="C2889" s="40"/>
      <c r="D2889" s="40"/>
    </row>
    <row r="2890" spans="2:4" x14ac:dyDescent="0.25">
      <c r="B2890" s="40"/>
      <c r="C2890" s="40"/>
      <c r="D2890" s="40"/>
    </row>
    <row r="2891" spans="2:4" x14ac:dyDescent="0.25">
      <c r="B2891" s="40"/>
      <c r="C2891" s="40"/>
      <c r="D2891" s="40"/>
    </row>
    <row r="2892" spans="2:4" x14ac:dyDescent="0.25">
      <c r="B2892" s="42" t="s">
        <v>7708</v>
      </c>
      <c r="C2892" s="40"/>
      <c r="D2892" s="40"/>
    </row>
    <row r="2893" spans="2:4" x14ac:dyDescent="0.25">
      <c r="B2893" s="42" t="s">
        <v>7709</v>
      </c>
      <c r="C2893" s="40"/>
      <c r="D2893" s="40"/>
    </row>
    <row r="2894" spans="2:4" x14ac:dyDescent="0.25">
      <c r="B2894" s="42" t="s">
        <v>7710</v>
      </c>
      <c r="C2894" s="40"/>
      <c r="D2894" s="40"/>
    </row>
    <row r="2895" spans="2:4" x14ac:dyDescent="0.25">
      <c r="B2895" s="95" t="s">
        <v>6815</v>
      </c>
      <c r="C2895" s="93"/>
      <c r="D2895" s="94"/>
    </row>
    <row r="2896" spans="2:4" x14ac:dyDescent="0.25">
      <c r="B2896" s="96"/>
      <c r="C2896" s="91"/>
      <c r="D2896" s="92"/>
    </row>
    <row r="2897" spans="2:4" x14ac:dyDescent="0.25">
      <c r="B2897" s="97"/>
      <c r="C2897" s="71" t="s">
        <v>6824</v>
      </c>
      <c r="D2897" s="71" t="s">
        <v>6825</v>
      </c>
    </row>
    <row r="2898" spans="2:4" x14ac:dyDescent="0.25">
      <c r="B2898" s="72"/>
      <c r="C2898" s="71"/>
      <c r="D2898" s="73"/>
    </row>
    <row r="2900" spans="2:4" x14ac:dyDescent="0.25">
      <c r="B2900" s="40" t="s">
        <v>7707</v>
      </c>
      <c r="C2900" s="40"/>
      <c r="D2900" s="40"/>
    </row>
    <row r="2901" spans="2:4" x14ac:dyDescent="0.25">
      <c r="B2901" s="40"/>
      <c r="C2901" s="40"/>
      <c r="D2901" s="40"/>
    </row>
    <row r="2902" spans="2:4" x14ac:dyDescent="0.25">
      <c r="B2902" s="40"/>
      <c r="C2902" s="40"/>
      <c r="D2902" s="40"/>
    </row>
    <row r="2903" spans="2:4" x14ac:dyDescent="0.25">
      <c r="B2903" s="42" t="s">
        <v>7708</v>
      </c>
      <c r="C2903" s="40"/>
      <c r="D2903" s="40"/>
    </row>
    <row r="2904" spans="2:4" x14ac:dyDescent="0.25">
      <c r="B2904" s="42" t="s">
        <v>7709</v>
      </c>
      <c r="C2904" s="40"/>
      <c r="D2904" s="40"/>
    </row>
    <row r="2905" spans="2:4" x14ac:dyDescent="0.25">
      <c r="B2905" s="42" t="s">
        <v>7710</v>
      </c>
      <c r="C2905" s="40"/>
      <c r="D2905" s="40"/>
    </row>
    <row r="2906" spans="2:4" x14ac:dyDescent="0.25">
      <c r="B2906" s="95" t="s">
        <v>6815</v>
      </c>
      <c r="C2906" s="93"/>
      <c r="D2906" s="94"/>
    </row>
    <row r="2907" spans="2:4" x14ac:dyDescent="0.25">
      <c r="B2907" s="96"/>
      <c r="C2907" s="91"/>
      <c r="D2907" s="92"/>
    </row>
    <row r="2908" spans="2:4" x14ac:dyDescent="0.25">
      <c r="B2908" s="97"/>
      <c r="C2908" s="71" t="s">
        <v>6824</v>
      </c>
      <c r="D2908" s="71" t="s">
        <v>6825</v>
      </c>
    </row>
    <row r="2909" spans="2:4" x14ac:dyDescent="0.25">
      <c r="B2909" s="72"/>
      <c r="C2909" s="71"/>
      <c r="D2909" s="73"/>
    </row>
    <row r="2911" spans="2:4" x14ac:dyDescent="0.25">
      <c r="B2911" s="40" t="s">
        <v>7707</v>
      </c>
      <c r="C2911" s="40"/>
      <c r="D2911" s="40"/>
    </row>
    <row r="2912" spans="2:4" x14ac:dyDescent="0.25">
      <c r="B2912" s="40"/>
      <c r="C2912" s="40"/>
      <c r="D2912" s="40"/>
    </row>
    <row r="2913" spans="2:4" x14ac:dyDescent="0.25">
      <c r="B2913" s="40"/>
      <c r="C2913" s="40"/>
      <c r="D2913" s="40"/>
    </row>
    <row r="2914" spans="2:4" x14ac:dyDescent="0.25">
      <c r="B2914" s="42" t="s">
        <v>7708</v>
      </c>
      <c r="C2914" s="40"/>
      <c r="D2914" s="40"/>
    </row>
    <row r="2915" spans="2:4" x14ac:dyDescent="0.25">
      <c r="B2915" s="42" t="s">
        <v>7709</v>
      </c>
      <c r="C2915" s="40"/>
      <c r="D2915" s="40"/>
    </row>
    <row r="2916" spans="2:4" x14ac:dyDescent="0.25">
      <c r="B2916" s="42" t="s">
        <v>7710</v>
      </c>
      <c r="C2916" s="40"/>
      <c r="D2916" s="40"/>
    </row>
    <row r="2917" spans="2:4" x14ac:dyDescent="0.25">
      <c r="B2917" s="95" t="s">
        <v>6815</v>
      </c>
      <c r="C2917" s="93"/>
      <c r="D2917" s="94"/>
    </row>
    <row r="2918" spans="2:4" x14ac:dyDescent="0.25">
      <c r="B2918" s="96"/>
      <c r="C2918" s="91"/>
      <c r="D2918" s="92"/>
    </row>
    <row r="2919" spans="2:4" x14ac:dyDescent="0.25">
      <c r="B2919" s="97"/>
      <c r="C2919" s="71" t="s">
        <v>6824</v>
      </c>
      <c r="D2919" s="71" t="s">
        <v>6825</v>
      </c>
    </row>
    <row r="2920" spans="2:4" x14ac:dyDescent="0.25">
      <c r="B2920" s="72"/>
      <c r="C2920" s="71"/>
      <c r="D2920" s="73"/>
    </row>
    <row r="2922" spans="2:4" x14ac:dyDescent="0.25">
      <c r="B2922" s="40" t="s">
        <v>7707</v>
      </c>
      <c r="C2922" s="40"/>
      <c r="D2922" s="40"/>
    </row>
    <row r="2923" spans="2:4" x14ac:dyDescent="0.25">
      <c r="B2923" s="40"/>
      <c r="C2923" s="40"/>
      <c r="D2923" s="40"/>
    </row>
    <row r="2924" spans="2:4" x14ac:dyDescent="0.25">
      <c r="B2924" s="40"/>
      <c r="C2924" s="40"/>
      <c r="D2924" s="40"/>
    </row>
    <row r="2925" spans="2:4" x14ac:dyDescent="0.25">
      <c r="B2925" s="42" t="s">
        <v>7708</v>
      </c>
      <c r="C2925" s="40"/>
      <c r="D2925" s="40"/>
    </row>
    <row r="2926" spans="2:4" x14ac:dyDescent="0.25">
      <c r="B2926" s="42" t="s">
        <v>7709</v>
      </c>
      <c r="C2926" s="40"/>
      <c r="D2926" s="40"/>
    </row>
    <row r="2927" spans="2:4" x14ac:dyDescent="0.25">
      <c r="B2927" s="42" t="s">
        <v>7710</v>
      </c>
      <c r="C2927" s="40"/>
      <c r="D2927" s="40"/>
    </row>
    <row r="2928" spans="2:4" x14ac:dyDescent="0.25">
      <c r="B2928" s="95" t="s">
        <v>6815</v>
      </c>
      <c r="C2928" s="93"/>
      <c r="D2928" s="94"/>
    </row>
    <row r="2929" spans="2:4" x14ac:dyDescent="0.25">
      <c r="B2929" s="96"/>
      <c r="C2929" s="91"/>
      <c r="D2929" s="92"/>
    </row>
    <row r="2930" spans="2:4" x14ac:dyDescent="0.25">
      <c r="B2930" s="97"/>
      <c r="C2930" s="71" t="s">
        <v>6824</v>
      </c>
      <c r="D2930" s="71" t="s">
        <v>6825</v>
      </c>
    </row>
    <row r="2931" spans="2:4" x14ac:dyDescent="0.25">
      <c r="B2931" s="72"/>
      <c r="C2931" s="71"/>
      <c r="D2931" s="73"/>
    </row>
    <row r="2933" spans="2:4" x14ac:dyDescent="0.25">
      <c r="B2933" s="40" t="s">
        <v>7707</v>
      </c>
      <c r="C2933" s="40"/>
      <c r="D2933" s="40"/>
    </row>
    <row r="2934" spans="2:4" x14ac:dyDescent="0.25">
      <c r="B2934" s="40"/>
      <c r="C2934" s="40"/>
      <c r="D2934" s="40"/>
    </row>
    <row r="2935" spans="2:4" x14ac:dyDescent="0.25">
      <c r="B2935" s="40"/>
      <c r="C2935" s="40"/>
      <c r="D2935" s="40"/>
    </row>
    <row r="2936" spans="2:4" x14ac:dyDescent="0.25">
      <c r="B2936" s="42" t="s">
        <v>7708</v>
      </c>
      <c r="C2936" s="40"/>
      <c r="D2936" s="40"/>
    </row>
    <row r="2937" spans="2:4" x14ac:dyDescent="0.25">
      <c r="B2937" s="42" t="s">
        <v>7709</v>
      </c>
      <c r="C2937" s="40"/>
      <c r="D2937" s="40"/>
    </row>
    <row r="2938" spans="2:4" x14ac:dyDescent="0.25">
      <c r="B2938" s="42" t="s">
        <v>7710</v>
      </c>
      <c r="C2938" s="40"/>
      <c r="D2938" s="40"/>
    </row>
    <row r="2939" spans="2:4" x14ac:dyDescent="0.25">
      <c r="B2939" s="95" t="s">
        <v>6815</v>
      </c>
      <c r="C2939" s="93"/>
      <c r="D2939" s="94"/>
    </row>
    <row r="2940" spans="2:4" x14ac:dyDescent="0.25">
      <c r="B2940" s="96"/>
      <c r="C2940" s="91"/>
      <c r="D2940" s="92"/>
    </row>
    <row r="2941" spans="2:4" x14ac:dyDescent="0.25">
      <c r="B2941" s="97"/>
      <c r="C2941" s="71" t="s">
        <v>6824</v>
      </c>
      <c r="D2941" s="71" t="s">
        <v>6825</v>
      </c>
    </row>
    <row r="2942" spans="2:4" x14ac:dyDescent="0.25">
      <c r="B2942" s="72"/>
      <c r="C2942" s="71"/>
      <c r="D2942" s="73"/>
    </row>
    <row r="2944" spans="2:4" x14ac:dyDescent="0.25">
      <c r="B2944" s="40" t="s">
        <v>7707</v>
      </c>
      <c r="C2944" s="40"/>
      <c r="D2944" s="40"/>
    </row>
    <row r="2945" spans="2:4" x14ac:dyDescent="0.25">
      <c r="B2945" s="40"/>
      <c r="C2945" s="40"/>
      <c r="D2945" s="40"/>
    </row>
    <row r="2946" spans="2:4" x14ac:dyDescent="0.25">
      <c r="B2946" s="40"/>
      <c r="C2946" s="40"/>
      <c r="D2946" s="40"/>
    </row>
    <row r="2947" spans="2:4" x14ac:dyDescent="0.25">
      <c r="B2947" s="42" t="s">
        <v>7708</v>
      </c>
      <c r="C2947" s="40"/>
      <c r="D2947" s="40"/>
    </row>
    <row r="2948" spans="2:4" x14ac:dyDescent="0.25">
      <c r="B2948" s="42" t="s">
        <v>7709</v>
      </c>
      <c r="C2948" s="40"/>
      <c r="D2948" s="40"/>
    </row>
    <row r="2949" spans="2:4" x14ac:dyDescent="0.25">
      <c r="B2949" s="42" t="s">
        <v>7710</v>
      </c>
      <c r="C2949" s="40"/>
      <c r="D2949" s="40"/>
    </row>
    <row r="2950" spans="2:4" x14ac:dyDescent="0.25">
      <c r="B2950" s="95" t="s">
        <v>6815</v>
      </c>
      <c r="C2950" s="93"/>
      <c r="D2950" s="94"/>
    </row>
    <row r="2951" spans="2:4" x14ac:dyDescent="0.25">
      <c r="B2951" s="96"/>
      <c r="C2951" s="91"/>
      <c r="D2951" s="92"/>
    </row>
    <row r="2952" spans="2:4" x14ac:dyDescent="0.25">
      <c r="B2952" s="97"/>
      <c r="C2952" s="71" t="s">
        <v>6824</v>
      </c>
      <c r="D2952" s="71" t="s">
        <v>6825</v>
      </c>
    </row>
    <row r="2953" spans="2:4" x14ac:dyDescent="0.25">
      <c r="B2953" s="72"/>
      <c r="C2953" s="71"/>
      <c r="D2953" s="73"/>
    </row>
    <row r="2955" spans="2:4" x14ac:dyDescent="0.25">
      <c r="B2955" s="40" t="s">
        <v>7707</v>
      </c>
      <c r="C2955" s="40"/>
      <c r="D2955" s="40"/>
    </row>
    <row r="2956" spans="2:4" x14ac:dyDescent="0.25">
      <c r="B2956" s="40"/>
      <c r="C2956" s="40"/>
      <c r="D2956" s="40"/>
    </row>
    <row r="2957" spans="2:4" x14ac:dyDescent="0.25">
      <c r="B2957" s="40"/>
      <c r="C2957" s="40"/>
      <c r="D2957" s="40"/>
    </row>
    <row r="2958" spans="2:4" x14ac:dyDescent="0.25">
      <c r="B2958" s="42" t="s">
        <v>7708</v>
      </c>
      <c r="C2958" s="40"/>
      <c r="D2958" s="40"/>
    </row>
    <row r="2959" spans="2:4" x14ac:dyDescent="0.25">
      <c r="B2959" s="42" t="s">
        <v>7709</v>
      </c>
      <c r="C2959" s="40"/>
      <c r="D2959" s="40"/>
    </row>
    <row r="2960" spans="2:4" x14ac:dyDescent="0.25">
      <c r="B2960" s="42" t="s">
        <v>7710</v>
      </c>
      <c r="C2960" s="40"/>
      <c r="D2960" s="40"/>
    </row>
    <row r="2961" spans="2:4" x14ac:dyDescent="0.25">
      <c r="B2961" s="95" t="s">
        <v>6815</v>
      </c>
      <c r="C2961" s="93"/>
      <c r="D2961" s="94"/>
    </row>
    <row r="2962" spans="2:4" x14ac:dyDescent="0.25">
      <c r="B2962" s="96"/>
      <c r="C2962" s="91"/>
      <c r="D2962" s="92"/>
    </row>
    <row r="2963" spans="2:4" x14ac:dyDescent="0.25">
      <c r="B2963" s="97"/>
      <c r="C2963" s="71" t="s">
        <v>6824</v>
      </c>
      <c r="D2963" s="71" t="s">
        <v>6825</v>
      </c>
    </row>
    <row r="2964" spans="2:4" x14ac:dyDescent="0.25">
      <c r="B2964" s="72"/>
      <c r="C2964" s="71"/>
      <c r="D2964" s="73"/>
    </row>
    <row r="2966" spans="2:4" x14ac:dyDescent="0.25">
      <c r="B2966" s="40" t="s">
        <v>7707</v>
      </c>
      <c r="C2966" s="40"/>
      <c r="D2966" s="40"/>
    </row>
    <row r="2967" spans="2:4" x14ac:dyDescent="0.25">
      <c r="B2967" s="40"/>
      <c r="C2967" s="40"/>
      <c r="D2967" s="40"/>
    </row>
    <row r="2968" spans="2:4" x14ac:dyDescent="0.25">
      <c r="B2968" s="40"/>
      <c r="C2968" s="40"/>
      <c r="D2968" s="40"/>
    </row>
    <row r="2969" spans="2:4" x14ac:dyDescent="0.25">
      <c r="B2969" s="42" t="s">
        <v>7708</v>
      </c>
      <c r="C2969" s="40"/>
      <c r="D2969" s="40"/>
    </row>
    <row r="2970" spans="2:4" x14ac:dyDescent="0.25">
      <c r="B2970" s="42" t="s">
        <v>7709</v>
      </c>
      <c r="C2970" s="40"/>
      <c r="D2970" s="40"/>
    </row>
    <row r="2971" spans="2:4" x14ac:dyDescent="0.25">
      <c r="B2971" s="42" t="s">
        <v>7710</v>
      </c>
      <c r="C2971" s="40"/>
      <c r="D2971" s="40"/>
    </row>
    <row r="2972" spans="2:4" x14ac:dyDescent="0.25">
      <c r="B2972" s="95" t="s">
        <v>6815</v>
      </c>
      <c r="C2972" s="93"/>
      <c r="D2972" s="94"/>
    </row>
    <row r="2973" spans="2:4" x14ac:dyDescent="0.25">
      <c r="B2973" s="96"/>
      <c r="C2973" s="91"/>
      <c r="D2973" s="92"/>
    </row>
    <row r="2974" spans="2:4" x14ac:dyDescent="0.25">
      <c r="B2974" s="97"/>
      <c r="C2974" s="71" t="s">
        <v>6824</v>
      </c>
      <c r="D2974" s="71" t="s">
        <v>6825</v>
      </c>
    </row>
    <row r="2975" spans="2:4" x14ac:dyDescent="0.25">
      <c r="B2975" s="72"/>
      <c r="C2975" s="71"/>
      <c r="D2975" s="73"/>
    </row>
    <row r="2977" spans="2:4" x14ac:dyDescent="0.25">
      <c r="B2977" s="40" t="s">
        <v>7707</v>
      </c>
      <c r="C2977" s="40"/>
      <c r="D2977" s="40"/>
    </row>
    <row r="2978" spans="2:4" x14ac:dyDescent="0.25">
      <c r="B2978" s="40"/>
      <c r="C2978" s="40"/>
      <c r="D2978" s="40"/>
    </row>
    <row r="2979" spans="2:4" x14ac:dyDescent="0.25">
      <c r="B2979" s="40"/>
      <c r="C2979" s="40"/>
      <c r="D2979" s="40"/>
    </row>
    <row r="2980" spans="2:4" x14ac:dyDescent="0.25">
      <c r="B2980" s="42" t="s">
        <v>7708</v>
      </c>
      <c r="C2980" s="40"/>
      <c r="D2980" s="40"/>
    </row>
    <row r="2981" spans="2:4" x14ac:dyDescent="0.25">
      <c r="B2981" s="42" t="s">
        <v>7709</v>
      </c>
      <c r="C2981" s="40"/>
      <c r="D2981" s="40"/>
    </row>
    <row r="2982" spans="2:4" x14ac:dyDescent="0.25">
      <c r="B2982" s="42" t="s">
        <v>7710</v>
      </c>
      <c r="C2982" s="40"/>
      <c r="D2982" s="40"/>
    </row>
    <row r="2983" spans="2:4" x14ac:dyDescent="0.25">
      <c r="B2983" s="95" t="s">
        <v>6815</v>
      </c>
      <c r="C2983" s="93"/>
      <c r="D2983" s="94"/>
    </row>
    <row r="2984" spans="2:4" x14ac:dyDescent="0.25">
      <c r="B2984" s="96"/>
      <c r="C2984" s="91"/>
      <c r="D2984" s="92"/>
    </row>
    <row r="2985" spans="2:4" x14ac:dyDescent="0.25">
      <c r="B2985" s="97"/>
      <c r="C2985" s="71" t="s">
        <v>6824</v>
      </c>
      <c r="D2985" s="71" t="s">
        <v>6825</v>
      </c>
    </row>
    <row r="2986" spans="2:4" x14ac:dyDescent="0.25">
      <c r="B2986" s="72"/>
      <c r="C2986" s="71"/>
      <c r="D2986" s="73"/>
    </row>
    <row r="2988" spans="2:4" x14ac:dyDescent="0.25">
      <c r="B2988" s="40" t="s">
        <v>7707</v>
      </c>
      <c r="C2988" s="40"/>
      <c r="D2988" s="40"/>
    </row>
    <row r="2989" spans="2:4" x14ac:dyDescent="0.25">
      <c r="B2989" s="40"/>
      <c r="C2989" s="40"/>
      <c r="D2989" s="40"/>
    </row>
    <row r="2990" spans="2:4" x14ac:dyDescent="0.25">
      <c r="B2990" s="40"/>
      <c r="C2990" s="40"/>
      <c r="D2990" s="40"/>
    </row>
    <row r="2991" spans="2:4" x14ac:dyDescent="0.25">
      <c r="B2991" s="42" t="s">
        <v>7708</v>
      </c>
      <c r="C2991" s="40"/>
      <c r="D2991" s="40"/>
    </row>
    <row r="2992" spans="2:4" x14ac:dyDescent="0.25">
      <c r="B2992" s="42" t="s">
        <v>7709</v>
      </c>
      <c r="C2992" s="40"/>
      <c r="D2992" s="40"/>
    </row>
    <row r="2993" spans="2:4" x14ac:dyDescent="0.25">
      <c r="B2993" s="42" t="s">
        <v>7710</v>
      </c>
      <c r="C2993" s="40"/>
      <c r="D2993" s="40"/>
    </row>
    <row r="2994" spans="2:4" x14ac:dyDescent="0.25">
      <c r="B2994" s="95" t="s">
        <v>6815</v>
      </c>
      <c r="C2994" s="93"/>
      <c r="D2994" s="94"/>
    </row>
    <row r="2995" spans="2:4" x14ac:dyDescent="0.25">
      <c r="B2995" s="96"/>
      <c r="C2995" s="91"/>
      <c r="D2995" s="92"/>
    </row>
    <row r="2996" spans="2:4" x14ac:dyDescent="0.25">
      <c r="B2996" s="97"/>
      <c r="C2996" s="71" t="s">
        <v>6824</v>
      </c>
      <c r="D2996" s="71" t="s">
        <v>6825</v>
      </c>
    </row>
    <row r="2997" spans="2:4" x14ac:dyDescent="0.25">
      <c r="B2997" s="72"/>
      <c r="C2997" s="71"/>
      <c r="D2997" s="73"/>
    </row>
    <row r="2999" spans="2:4" x14ac:dyDescent="0.25">
      <c r="B2999" s="40" t="s">
        <v>7707</v>
      </c>
      <c r="C2999" s="40"/>
      <c r="D2999" s="40"/>
    </row>
    <row r="3000" spans="2:4" x14ac:dyDescent="0.25">
      <c r="B3000" s="40"/>
      <c r="C3000" s="40"/>
      <c r="D3000" s="40"/>
    </row>
    <row r="3001" spans="2:4" x14ac:dyDescent="0.25">
      <c r="B3001" s="40"/>
      <c r="C3001" s="40"/>
      <c r="D3001" s="40"/>
    </row>
    <row r="3002" spans="2:4" x14ac:dyDescent="0.25">
      <c r="B3002" s="42" t="s">
        <v>7708</v>
      </c>
      <c r="C3002" s="40"/>
      <c r="D3002" s="40"/>
    </row>
    <row r="3003" spans="2:4" x14ac:dyDescent="0.25">
      <c r="B3003" s="42" t="s">
        <v>7709</v>
      </c>
      <c r="C3003" s="40"/>
      <c r="D3003" s="40"/>
    </row>
    <row r="3004" spans="2:4" x14ac:dyDescent="0.25">
      <c r="B3004" s="42" t="s">
        <v>7710</v>
      </c>
      <c r="C3004" s="40"/>
      <c r="D3004" s="40"/>
    </row>
    <row r="3005" spans="2:4" x14ac:dyDescent="0.25">
      <c r="B3005" s="95" t="s">
        <v>6815</v>
      </c>
      <c r="C3005" s="93"/>
      <c r="D3005" s="94"/>
    </row>
    <row r="3006" spans="2:4" x14ac:dyDescent="0.25">
      <c r="B3006" s="96"/>
      <c r="C3006" s="91"/>
      <c r="D3006" s="92"/>
    </row>
    <row r="3007" spans="2:4" x14ac:dyDescent="0.25">
      <c r="B3007" s="97"/>
      <c r="C3007" s="71" t="s">
        <v>6824</v>
      </c>
      <c r="D3007" s="71" t="s">
        <v>6825</v>
      </c>
    </row>
    <row r="3008" spans="2:4" x14ac:dyDescent="0.25">
      <c r="B3008" s="72"/>
      <c r="C3008" s="71"/>
      <c r="D3008" s="73"/>
    </row>
    <row r="3010" spans="2:4" x14ac:dyDescent="0.25">
      <c r="B3010" s="40" t="s">
        <v>7707</v>
      </c>
      <c r="C3010" s="40"/>
      <c r="D3010" s="40"/>
    </row>
    <row r="3011" spans="2:4" x14ac:dyDescent="0.25">
      <c r="B3011" s="40"/>
      <c r="C3011" s="40"/>
      <c r="D3011" s="40"/>
    </row>
    <row r="3012" spans="2:4" x14ac:dyDescent="0.25">
      <c r="B3012" s="40"/>
      <c r="C3012" s="40"/>
      <c r="D3012" s="40"/>
    </row>
    <row r="3013" spans="2:4" x14ac:dyDescent="0.25">
      <c r="B3013" s="42" t="s">
        <v>7708</v>
      </c>
      <c r="C3013" s="40"/>
      <c r="D3013" s="40"/>
    </row>
    <row r="3014" spans="2:4" x14ac:dyDescent="0.25">
      <c r="B3014" s="42" t="s">
        <v>7709</v>
      </c>
      <c r="C3014" s="40"/>
      <c r="D3014" s="40"/>
    </row>
    <row r="3015" spans="2:4" x14ac:dyDescent="0.25">
      <c r="B3015" s="42" t="s">
        <v>7710</v>
      </c>
      <c r="C3015" s="40"/>
      <c r="D3015" s="40"/>
    </row>
    <row r="3016" spans="2:4" x14ac:dyDescent="0.25">
      <c r="B3016" s="95" t="s">
        <v>6815</v>
      </c>
      <c r="C3016" s="93"/>
      <c r="D3016" s="94"/>
    </row>
    <row r="3017" spans="2:4" x14ac:dyDescent="0.25">
      <c r="B3017" s="96"/>
      <c r="C3017" s="91"/>
      <c r="D3017" s="92"/>
    </row>
    <row r="3018" spans="2:4" x14ac:dyDescent="0.25">
      <c r="B3018" s="97"/>
      <c r="C3018" s="71" t="s">
        <v>6824</v>
      </c>
      <c r="D3018" s="71" t="s">
        <v>6825</v>
      </c>
    </row>
    <row r="3019" spans="2:4" x14ac:dyDescent="0.25">
      <c r="B3019" s="72"/>
      <c r="C3019" s="71"/>
      <c r="D3019" s="73"/>
    </row>
    <row r="3021" spans="2:4" x14ac:dyDescent="0.25">
      <c r="B3021" s="40" t="s">
        <v>7707</v>
      </c>
      <c r="C3021" s="40"/>
      <c r="D3021" s="40"/>
    </row>
    <row r="3022" spans="2:4" x14ac:dyDescent="0.25">
      <c r="B3022" s="40"/>
      <c r="C3022" s="40"/>
      <c r="D3022" s="40"/>
    </row>
    <row r="3023" spans="2:4" x14ac:dyDescent="0.25">
      <c r="B3023" s="40"/>
      <c r="C3023" s="40"/>
      <c r="D3023" s="40"/>
    </row>
    <row r="3024" spans="2:4" x14ac:dyDescent="0.25">
      <c r="B3024" s="42" t="s">
        <v>7708</v>
      </c>
      <c r="C3024" s="40"/>
      <c r="D3024" s="40"/>
    </row>
    <row r="3025" spans="2:4" x14ac:dyDescent="0.25">
      <c r="B3025" s="42" t="s">
        <v>7709</v>
      </c>
      <c r="C3025" s="40"/>
      <c r="D3025" s="40"/>
    </row>
    <row r="3026" spans="2:4" x14ac:dyDescent="0.25">
      <c r="B3026" s="42" t="s">
        <v>7710</v>
      </c>
      <c r="C3026" s="40"/>
      <c r="D3026" s="40"/>
    </row>
    <row r="3027" spans="2:4" x14ac:dyDescent="0.25">
      <c r="B3027" s="95" t="s">
        <v>6815</v>
      </c>
      <c r="C3027" s="93"/>
      <c r="D3027" s="94"/>
    </row>
    <row r="3028" spans="2:4" x14ac:dyDescent="0.25">
      <c r="B3028" s="96"/>
      <c r="C3028" s="91"/>
      <c r="D3028" s="92"/>
    </row>
    <row r="3029" spans="2:4" x14ac:dyDescent="0.25">
      <c r="B3029" s="97"/>
      <c r="C3029" s="71" t="s">
        <v>6824</v>
      </c>
      <c r="D3029" s="71" t="s">
        <v>6825</v>
      </c>
    </row>
    <row r="3030" spans="2:4" x14ac:dyDescent="0.25">
      <c r="B3030" s="72"/>
      <c r="C3030" s="71"/>
      <c r="D3030" s="73"/>
    </row>
    <row r="3032" spans="2:4" x14ac:dyDescent="0.25">
      <c r="B3032" s="40" t="s">
        <v>7707</v>
      </c>
      <c r="C3032" s="40"/>
      <c r="D3032" s="40"/>
    </row>
    <row r="3033" spans="2:4" x14ac:dyDescent="0.25">
      <c r="B3033" s="40"/>
      <c r="C3033" s="40"/>
      <c r="D3033" s="40"/>
    </row>
    <row r="3034" spans="2:4" x14ac:dyDescent="0.25">
      <c r="B3034" s="40"/>
      <c r="C3034" s="40"/>
      <c r="D3034" s="40"/>
    </row>
    <row r="3035" spans="2:4" x14ac:dyDescent="0.25">
      <c r="B3035" s="42" t="s">
        <v>7708</v>
      </c>
      <c r="C3035" s="40"/>
      <c r="D3035" s="40"/>
    </row>
    <row r="3036" spans="2:4" x14ac:dyDescent="0.25">
      <c r="B3036" s="42" t="s">
        <v>7709</v>
      </c>
      <c r="C3036" s="40"/>
      <c r="D3036" s="40"/>
    </row>
    <row r="3037" spans="2:4" x14ac:dyDescent="0.25">
      <c r="B3037" s="42" t="s">
        <v>7710</v>
      </c>
      <c r="C3037" s="40"/>
      <c r="D3037" s="40"/>
    </row>
    <row r="3038" spans="2:4" x14ac:dyDescent="0.25">
      <c r="B3038" s="95" t="s">
        <v>6815</v>
      </c>
      <c r="C3038" s="93"/>
      <c r="D3038" s="94"/>
    </row>
    <row r="3039" spans="2:4" x14ac:dyDescent="0.25">
      <c r="B3039" s="96"/>
      <c r="C3039" s="91"/>
      <c r="D3039" s="92"/>
    </row>
    <row r="3040" spans="2:4" x14ac:dyDescent="0.25">
      <c r="B3040" s="97"/>
      <c r="C3040" s="71" t="s">
        <v>6824</v>
      </c>
      <c r="D3040" s="71" t="s">
        <v>6825</v>
      </c>
    </row>
    <row r="3041" spans="2:4" x14ac:dyDescent="0.25">
      <c r="B3041" s="72"/>
      <c r="C3041" s="71"/>
      <c r="D3041" s="73"/>
    </row>
    <row r="3043" spans="2:4" x14ac:dyDescent="0.25">
      <c r="B3043" s="40" t="s">
        <v>7707</v>
      </c>
      <c r="C3043" s="40"/>
      <c r="D3043" s="40"/>
    </row>
    <row r="3044" spans="2:4" x14ac:dyDescent="0.25">
      <c r="B3044" s="40"/>
      <c r="C3044" s="40"/>
      <c r="D3044" s="40"/>
    </row>
    <row r="3045" spans="2:4" x14ac:dyDescent="0.25">
      <c r="B3045" s="40"/>
      <c r="C3045" s="40"/>
      <c r="D3045" s="40"/>
    </row>
    <row r="3046" spans="2:4" x14ac:dyDescent="0.25">
      <c r="B3046" s="42" t="s">
        <v>7708</v>
      </c>
      <c r="C3046" s="40"/>
      <c r="D3046" s="40"/>
    </row>
    <row r="3047" spans="2:4" x14ac:dyDescent="0.25">
      <c r="B3047" s="42" t="s">
        <v>7709</v>
      </c>
      <c r="C3047" s="40"/>
      <c r="D3047" s="40"/>
    </row>
    <row r="3048" spans="2:4" x14ac:dyDescent="0.25">
      <c r="B3048" s="42" t="s">
        <v>7710</v>
      </c>
      <c r="C3048" s="40"/>
      <c r="D3048" s="40"/>
    </row>
    <row r="3049" spans="2:4" x14ac:dyDescent="0.25">
      <c r="B3049" s="95" t="s">
        <v>6815</v>
      </c>
      <c r="C3049" s="93"/>
      <c r="D3049" s="94"/>
    </row>
    <row r="3050" spans="2:4" x14ac:dyDescent="0.25">
      <c r="B3050" s="96"/>
      <c r="C3050" s="91"/>
      <c r="D3050" s="92"/>
    </row>
    <row r="3051" spans="2:4" x14ac:dyDescent="0.25">
      <c r="B3051" s="97"/>
      <c r="C3051" s="71" t="s">
        <v>6824</v>
      </c>
      <c r="D3051" s="71" t="s">
        <v>6825</v>
      </c>
    </row>
    <row r="3052" spans="2:4" x14ac:dyDescent="0.25">
      <c r="B3052" s="72"/>
      <c r="C3052" s="71"/>
      <c r="D3052" s="73"/>
    </row>
    <row r="3054" spans="2:4" x14ac:dyDescent="0.25">
      <c r="B3054" s="40" t="s">
        <v>7707</v>
      </c>
      <c r="C3054" s="40"/>
      <c r="D3054" s="40"/>
    </row>
    <row r="3055" spans="2:4" x14ac:dyDescent="0.25">
      <c r="B3055" s="40"/>
      <c r="C3055" s="40"/>
      <c r="D3055" s="40"/>
    </row>
    <row r="3056" spans="2:4" x14ac:dyDescent="0.25">
      <c r="B3056" s="40"/>
      <c r="C3056" s="40"/>
      <c r="D3056" s="40"/>
    </row>
    <row r="3057" spans="2:4" x14ac:dyDescent="0.25">
      <c r="B3057" s="42" t="s">
        <v>7708</v>
      </c>
      <c r="C3057" s="40"/>
      <c r="D3057" s="40"/>
    </row>
    <row r="3058" spans="2:4" x14ac:dyDescent="0.25">
      <c r="B3058" s="42" t="s">
        <v>7709</v>
      </c>
      <c r="C3058" s="40"/>
      <c r="D3058" s="40"/>
    </row>
    <row r="3059" spans="2:4" x14ac:dyDescent="0.25">
      <c r="B3059" s="42" t="s">
        <v>7710</v>
      </c>
      <c r="C3059" s="40"/>
      <c r="D3059" s="40"/>
    </row>
    <row r="3060" spans="2:4" x14ac:dyDescent="0.25">
      <c r="B3060" s="95" t="s">
        <v>6815</v>
      </c>
      <c r="C3060" s="93"/>
      <c r="D3060" s="94"/>
    </row>
    <row r="3061" spans="2:4" x14ac:dyDescent="0.25">
      <c r="B3061" s="96"/>
      <c r="C3061" s="91"/>
      <c r="D3061" s="92"/>
    </row>
    <row r="3062" spans="2:4" x14ac:dyDescent="0.25">
      <c r="B3062" s="97"/>
      <c r="C3062" s="71" t="s">
        <v>6824</v>
      </c>
      <c r="D3062" s="71" t="s">
        <v>6825</v>
      </c>
    </row>
    <row r="3063" spans="2:4" x14ac:dyDescent="0.25">
      <c r="B3063" s="72"/>
      <c r="C3063" s="71"/>
      <c r="D3063" s="73"/>
    </row>
    <row r="3065" spans="2:4" x14ac:dyDescent="0.25">
      <c r="B3065" s="40" t="s">
        <v>7707</v>
      </c>
      <c r="C3065" s="40"/>
      <c r="D3065" s="40"/>
    </row>
    <row r="3066" spans="2:4" x14ac:dyDescent="0.25">
      <c r="B3066" s="40"/>
      <c r="C3066" s="40"/>
      <c r="D3066" s="40"/>
    </row>
    <row r="3067" spans="2:4" x14ac:dyDescent="0.25">
      <c r="B3067" s="40"/>
      <c r="C3067" s="40"/>
      <c r="D3067" s="40"/>
    </row>
    <row r="3068" spans="2:4" x14ac:dyDescent="0.25">
      <c r="B3068" s="42" t="s">
        <v>7708</v>
      </c>
      <c r="C3068" s="40"/>
      <c r="D3068" s="40"/>
    </row>
    <row r="3069" spans="2:4" x14ac:dyDescent="0.25">
      <c r="B3069" s="42" t="s">
        <v>7709</v>
      </c>
      <c r="C3069" s="40"/>
      <c r="D3069" s="40"/>
    </row>
    <row r="3070" spans="2:4" x14ac:dyDescent="0.25">
      <c r="B3070" s="42" t="s">
        <v>7710</v>
      </c>
      <c r="C3070" s="40"/>
      <c r="D3070" s="40"/>
    </row>
    <row r="3071" spans="2:4" x14ac:dyDescent="0.25">
      <c r="B3071" s="95" t="s">
        <v>6815</v>
      </c>
      <c r="C3071" s="93"/>
      <c r="D3071" s="94"/>
    </row>
    <row r="3072" spans="2:4" x14ac:dyDescent="0.25">
      <c r="B3072" s="96"/>
      <c r="C3072" s="91"/>
      <c r="D3072" s="92"/>
    </row>
    <row r="3073" spans="2:4" x14ac:dyDescent="0.25">
      <c r="B3073" s="97"/>
      <c r="C3073" s="71" t="s">
        <v>6824</v>
      </c>
      <c r="D3073" s="71" t="s">
        <v>6825</v>
      </c>
    </row>
    <row r="3074" spans="2:4" x14ac:dyDescent="0.25">
      <c r="B3074" s="72"/>
      <c r="C3074" s="71"/>
      <c r="D3074" s="73"/>
    </row>
    <row r="3076" spans="2:4" x14ac:dyDescent="0.25">
      <c r="B3076" s="40" t="s">
        <v>7707</v>
      </c>
      <c r="C3076" s="40"/>
      <c r="D3076" s="40"/>
    </row>
    <row r="3077" spans="2:4" x14ac:dyDescent="0.25">
      <c r="B3077" s="40"/>
      <c r="C3077" s="40"/>
      <c r="D3077" s="40"/>
    </row>
    <row r="3078" spans="2:4" x14ac:dyDescent="0.25">
      <c r="B3078" s="40"/>
      <c r="C3078" s="40"/>
      <c r="D3078" s="40"/>
    </row>
    <row r="3079" spans="2:4" x14ac:dyDescent="0.25">
      <c r="B3079" s="42" t="s">
        <v>7708</v>
      </c>
      <c r="C3079" s="40"/>
      <c r="D3079" s="40"/>
    </row>
    <row r="3080" spans="2:4" x14ac:dyDescent="0.25">
      <c r="B3080" s="42" t="s">
        <v>7709</v>
      </c>
      <c r="C3080" s="40"/>
      <c r="D3080" s="40"/>
    </row>
    <row r="3081" spans="2:4" x14ac:dyDescent="0.25">
      <c r="B3081" s="42" t="s">
        <v>7710</v>
      </c>
      <c r="C3081" s="40"/>
      <c r="D3081" s="40"/>
    </row>
    <row r="3082" spans="2:4" x14ac:dyDescent="0.25">
      <c r="B3082" s="95" t="s">
        <v>6815</v>
      </c>
      <c r="C3082" s="93"/>
      <c r="D3082" s="94"/>
    </row>
    <row r="3083" spans="2:4" x14ac:dyDescent="0.25">
      <c r="B3083" s="96"/>
      <c r="C3083" s="91"/>
      <c r="D3083" s="92"/>
    </row>
    <row r="3084" spans="2:4" x14ac:dyDescent="0.25">
      <c r="B3084" s="97"/>
      <c r="C3084" s="71" t="s">
        <v>6824</v>
      </c>
      <c r="D3084" s="71" t="s">
        <v>6825</v>
      </c>
    </row>
    <row r="3085" spans="2:4" x14ac:dyDescent="0.25">
      <c r="B3085" s="72"/>
      <c r="C3085" s="71"/>
      <c r="D3085" s="73"/>
    </row>
    <row r="3087" spans="2:4" x14ac:dyDescent="0.25">
      <c r="B3087" s="40" t="s">
        <v>7707</v>
      </c>
      <c r="C3087" s="40"/>
      <c r="D3087" s="40"/>
    </row>
    <row r="3088" spans="2:4" x14ac:dyDescent="0.25">
      <c r="B3088" s="40"/>
      <c r="C3088" s="40"/>
      <c r="D3088" s="40"/>
    </row>
    <row r="3089" spans="2:4" x14ac:dyDescent="0.25">
      <c r="B3089" s="40"/>
      <c r="C3089" s="40"/>
      <c r="D3089" s="40"/>
    </row>
    <row r="3090" spans="2:4" x14ac:dyDescent="0.25">
      <c r="B3090" s="42" t="s">
        <v>7708</v>
      </c>
      <c r="C3090" s="40"/>
      <c r="D3090" s="40"/>
    </row>
    <row r="3091" spans="2:4" x14ac:dyDescent="0.25">
      <c r="B3091" s="42" t="s">
        <v>7709</v>
      </c>
      <c r="C3091" s="40"/>
      <c r="D3091" s="40"/>
    </row>
    <row r="3092" spans="2:4" x14ac:dyDescent="0.25">
      <c r="B3092" s="42" t="s">
        <v>7710</v>
      </c>
      <c r="C3092" s="40"/>
      <c r="D3092" s="40"/>
    </row>
    <row r="3093" spans="2:4" x14ac:dyDescent="0.25">
      <c r="B3093" s="95" t="s">
        <v>6815</v>
      </c>
      <c r="C3093" s="93"/>
      <c r="D3093" s="94"/>
    </row>
    <row r="3094" spans="2:4" x14ac:dyDescent="0.25">
      <c r="B3094" s="96"/>
      <c r="C3094" s="91"/>
      <c r="D3094" s="92"/>
    </row>
    <row r="3095" spans="2:4" x14ac:dyDescent="0.25">
      <c r="B3095" s="97"/>
      <c r="C3095" s="71" t="s">
        <v>6824</v>
      </c>
      <c r="D3095" s="71" t="s">
        <v>6825</v>
      </c>
    </row>
    <row r="3096" spans="2:4" x14ac:dyDescent="0.25">
      <c r="B3096" s="72"/>
      <c r="C3096" s="71"/>
      <c r="D3096" s="73"/>
    </row>
    <row r="3098" spans="2:4" x14ac:dyDescent="0.25">
      <c r="B3098" s="40" t="s">
        <v>7707</v>
      </c>
      <c r="C3098" s="40"/>
      <c r="D3098" s="40"/>
    </row>
    <row r="3099" spans="2:4" x14ac:dyDescent="0.25">
      <c r="B3099" s="40"/>
      <c r="C3099" s="40"/>
      <c r="D3099" s="40"/>
    </row>
    <row r="3100" spans="2:4" x14ac:dyDescent="0.25">
      <c r="B3100" s="40"/>
      <c r="C3100" s="40"/>
      <c r="D3100" s="40"/>
    </row>
    <row r="3101" spans="2:4" x14ac:dyDescent="0.25">
      <c r="B3101" s="42" t="s">
        <v>7708</v>
      </c>
      <c r="C3101" s="40"/>
      <c r="D3101" s="40"/>
    </row>
    <row r="3102" spans="2:4" x14ac:dyDescent="0.25">
      <c r="B3102" s="42" t="s">
        <v>7709</v>
      </c>
      <c r="C3102" s="40"/>
      <c r="D3102" s="40"/>
    </row>
    <row r="3103" spans="2:4" x14ac:dyDescent="0.25">
      <c r="B3103" s="42" t="s">
        <v>7710</v>
      </c>
      <c r="C3103" s="40"/>
      <c r="D3103" s="40"/>
    </row>
    <row r="3104" spans="2:4" x14ac:dyDescent="0.25">
      <c r="B3104" s="95" t="s">
        <v>6815</v>
      </c>
      <c r="C3104" s="93"/>
      <c r="D3104" s="94"/>
    </row>
    <row r="3105" spans="2:4" x14ac:dyDescent="0.25">
      <c r="B3105" s="96"/>
      <c r="C3105" s="91"/>
      <c r="D3105" s="92"/>
    </row>
    <row r="3106" spans="2:4" x14ac:dyDescent="0.25">
      <c r="B3106" s="97"/>
      <c r="C3106" s="71" t="s">
        <v>6824</v>
      </c>
      <c r="D3106" s="71" t="s">
        <v>6825</v>
      </c>
    </row>
    <row r="3107" spans="2:4" x14ac:dyDescent="0.25">
      <c r="B3107" s="72"/>
      <c r="C3107" s="71"/>
      <c r="D3107" s="73"/>
    </row>
    <row r="3109" spans="2:4" x14ac:dyDescent="0.25">
      <c r="B3109" s="40" t="s">
        <v>7707</v>
      </c>
      <c r="C3109" s="40"/>
      <c r="D3109" s="40"/>
    </row>
    <row r="3110" spans="2:4" x14ac:dyDescent="0.25">
      <c r="B3110" s="40"/>
      <c r="C3110" s="40"/>
      <c r="D3110" s="40"/>
    </row>
    <row r="3111" spans="2:4" x14ac:dyDescent="0.25">
      <c r="B3111" s="40"/>
      <c r="C3111" s="40"/>
      <c r="D3111" s="40"/>
    </row>
    <row r="3112" spans="2:4" x14ac:dyDescent="0.25">
      <c r="B3112" s="42" t="s">
        <v>7708</v>
      </c>
      <c r="C3112" s="40"/>
      <c r="D3112" s="40"/>
    </row>
    <row r="3113" spans="2:4" x14ac:dyDescent="0.25">
      <c r="B3113" s="42" t="s">
        <v>7709</v>
      </c>
      <c r="C3113" s="40"/>
      <c r="D3113" s="40"/>
    </row>
    <row r="3114" spans="2:4" x14ac:dyDescent="0.25">
      <c r="B3114" s="42" t="s">
        <v>7710</v>
      </c>
      <c r="C3114" s="40"/>
      <c r="D3114" s="40"/>
    </row>
    <row r="3115" spans="2:4" x14ac:dyDescent="0.25">
      <c r="B3115" s="95" t="s">
        <v>6815</v>
      </c>
      <c r="C3115" s="93"/>
      <c r="D3115" s="94"/>
    </row>
    <row r="3116" spans="2:4" x14ac:dyDescent="0.25">
      <c r="B3116" s="96"/>
      <c r="C3116" s="91"/>
      <c r="D3116" s="92"/>
    </row>
    <row r="3117" spans="2:4" x14ac:dyDescent="0.25">
      <c r="B3117" s="97"/>
      <c r="C3117" s="71" t="s">
        <v>6824</v>
      </c>
      <c r="D3117" s="71" t="s">
        <v>6825</v>
      </c>
    </row>
    <row r="3118" spans="2:4" x14ac:dyDescent="0.25">
      <c r="B3118" s="72"/>
      <c r="C3118" s="71"/>
      <c r="D3118" s="73"/>
    </row>
    <row r="3120" spans="2:4" x14ac:dyDescent="0.25">
      <c r="B3120" s="40" t="s">
        <v>7707</v>
      </c>
      <c r="C3120" s="40"/>
      <c r="D3120" s="40"/>
    </row>
    <row r="3121" spans="2:4" x14ac:dyDescent="0.25">
      <c r="B3121" s="40"/>
      <c r="C3121" s="40"/>
      <c r="D3121" s="40"/>
    </row>
    <row r="3122" spans="2:4" x14ac:dyDescent="0.25">
      <c r="B3122" s="40"/>
      <c r="C3122" s="40"/>
      <c r="D3122" s="40"/>
    </row>
    <row r="3123" spans="2:4" x14ac:dyDescent="0.25">
      <c r="B3123" s="42" t="s">
        <v>7708</v>
      </c>
      <c r="C3123" s="40"/>
      <c r="D3123" s="40"/>
    </row>
    <row r="3124" spans="2:4" x14ac:dyDescent="0.25">
      <c r="B3124" s="42" t="s">
        <v>7709</v>
      </c>
      <c r="C3124" s="40"/>
      <c r="D3124" s="40"/>
    </row>
    <row r="3125" spans="2:4" x14ac:dyDescent="0.25">
      <c r="B3125" s="42" t="s">
        <v>7710</v>
      </c>
      <c r="C3125" s="40"/>
      <c r="D3125" s="40"/>
    </row>
    <row r="3126" spans="2:4" x14ac:dyDescent="0.25">
      <c r="B3126" s="95" t="s">
        <v>6815</v>
      </c>
      <c r="C3126" s="93"/>
      <c r="D3126" s="94"/>
    </row>
    <row r="3127" spans="2:4" x14ac:dyDescent="0.25">
      <c r="B3127" s="96"/>
      <c r="C3127" s="91"/>
      <c r="D3127" s="92"/>
    </row>
    <row r="3128" spans="2:4" x14ac:dyDescent="0.25">
      <c r="B3128" s="97"/>
      <c r="C3128" s="71" t="s">
        <v>6824</v>
      </c>
      <c r="D3128" s="71" t="s">
        <v>6825</v>
      </c>
    </row>
    <row r="3129" spans="2:4" x14ac:dyDescent="0.25">
      <c r="B3129" s="72"/>
      <c r="C3129" s="71"/>
      <c r="D3129" s="73"/>
    </row>
    <row r="3131" spans="2:4" x14ac:dyDescent="0.25">
      <c r="B3131" s="40" t="s">
        <v>7707</v>
      </c>
      <c r="C3131" s="40"/>
      <c r="D3131" s="40"/>
    </row>
    <row r="3132" spans="2:4" x14ac:dyDescent="0.25">
      <c r="B3132" s="40"/>
      <c r="C3132" s="40"/>
      <c r="D3132" s="40"/>
    </row>
    <row r="3133" spans="2:4" x14ac:dyDescent="0.25">
      <c r="B3133" s="40"/>
      <c r="C3133" s="40"/>
      <c r="D3133" s="40"/>
    </row>
    <row r="3134" spans="2:4" x14ac:dyDescent="0.25">
      <c r="B3134" s="42" t="s">
        <v>7708</v>
      </c>
      <c r="C3134" s="40"/>
      <c r="D3134" s="40"/>
    </row>
    <row r="3135" spans="2:4" x14ac:dyDescent="0.25">
      <c r="B3135" s="42" t="s">
        <v>7709</v>
      </c>
      <c r="C3135" s="40"/>
      <c r="D3135" s="40"/>
    </row>
    <row r="3136" spans="2:4" x14ac:dyDescent="0.25">
      <c r="B3136" s="42" t="s">
        <v>7710</v>
      </c>
      <c r="C3136" s="40"/>
      <c r="D3136" s="40"/>
    </row>
    <row r="3137" spans="2:4" x14ac:dyDescent="0.25">
      <c r="B3137" s="95" t="s">
        <v>6815</v>
      </c>
      <c r="C3137" s="93"/>
      <c r="D3137" s="94"/>
    </row>
    <row r="3138" spans="2:4" x14ac:dyDescent="0.25">
      <c r="B3138" s="96"/>
      <c r="C3138" s="91"/>
      <c r="D3138" s="92"/>
    </row>
    <row r="3139" spans="2:4" x14ac:dyDescent="0.25">
      <c r="B3139" s="97"/>
      <c r="C3139" s="71" t="s">
        <v>6824</v>
      </c>
      <c r="D3139" s="71" t="s">
        <v>6825</v>
      </c>
    </row>
    <row r="3140" spans="2:4" x14ac:dyDescent="0.25">
      <c r="B3140" s="72"/>
      <c r="C3140" s="71"/>
      <c r="D3140" s="73"/>
    </row>
    <row r="3142" spans="2:4" x14ac:dyDescent="0.25">
      <c r="B3142" s="40" t="s">
        <v>7707</v>
      </c>
      <c r="C3142" s="40"/>
      <c r="D3142" s="40"/>
    </row>
    <row r="3143" spans="2:4" x14ac:dyDescent="0.25">
      <c r="B3143" s="40"/>
      <c r="C3143" s="40"/>
      <c r="D3143" s="40"/>
    </row>
    <row r="3144" spans="2:4" x14ac:dyDescent="0.25">
      <c r="B3144" s="40"/>
      <c r="C3144" s="40"/>
      <c r="D3144" s="40"/>
    </row>
    <row r="3145" spans="2:4" x14ac:dyDescent="0.25">
      <c r="B3145" s="42" t="s">
        <v>7708</v>
      </c>
      <c r="C3145" s="40"/>
      <c r="D3145" s="40"/>
    </row>
    <row r="3146" spans="2:4" x14ac:dyDescent="0.25">
      <c r="B3146" s="42" t="s">
        <v>7709</v>
      </c>
      <c r="C3146" s="40"/>
      <c r="D3146" s="40"/>
    </row>
    <row r="3147" spans="2:4" x14ac:dyDescent="0.25">
      <c r="B3147" s="42" t="s">
        <v>7710</v>
      </c>
      <c r="C3147" s="40"/>
      <c r="D3147" s="40"/>
    </row>
    <row r="3148" spans="2:4" x14ac:dyDescent="0.25">
      <c r="B3148" s="95" t="s">
        <v>6815</v>
      </c>
      <c r="C3148" s="93"/>
      <c r="D3148" s="94"/>
    </row>
    <row r="3149" spans="2:4" x14ac:dyDescent="0.25">
      <c r="B3149" s="96"/>
      <c r="C3149" s="91"/>
      <c r="D3149" s="92"/>
    </row>
    <row r="3150" spans="2:4" x14ac:dyDescent="0.25">
      <c r="B3150" s="97"/>
      <c r="C3150" s="71" t="s">
        <v>6824</v>
      </c>
      <c r="D3150" s="71" t="s">
        <v>6825</v>
      </c>
    </row>
    <row r="3151" spans="2:4" x14ac:dyDescent="0.25">
      <c r="B3151" s="72"/>
      <c r="C3151" s="71"/>
      <c r="D3151" s="73"/>
    </row>
    <row r="3153" spans="2:4" x14ac:dyDescent="0.25">
      <c r="B3153" s="40" t="s">
        <v>7707</v>
      </c>
      <c r="C3153" s="40"/>
      <c r="D3153" s="40"/>
    </row>
    <row r="3154" spans="2:4" x14ac:dyDescent="0.25">
      <c r="B3154" s="40"/>
      <c r="C3154" s="40"/>
      <c r="D3154" s="40"/>
    </row>
    <row r="3155" spans="2:4" x14ac:dyDescent="0.25">
      <c r="B3155" s="40"/>
      <c r="C3155" s="40"/>
      <c r="D3155" s="40"/>
    </row>
    <row r="3156" spans="2:4" x14ac:dyDescent="0.25">
      <c r="B3156" s="42" t="s">
        <v>7708</v>
      </c>
      <c r="C3156" s="40"/>
      <c r="D3156" s="40"/>
    </row>
    <row r="3157" spans="2:4" x14ac:dyDescent="0.25">
      <c r="B3157" s="42" t="s">
        <v>7709</v>
      </c>
      <c r="C3157" s="40"/>
      <c r="D3157" s="40"/>
    </row>
    <row r="3158" spans="2:4" x14ac:dyDescent="0.25">
      <c r="B3158" s="42" t="s">
        <v>7710</v>
      </c>
      <c r="C3158" s="40"/>
      <c r="D3158" s="40"/>
    </row>
    <row r="3159" spans="2:4" x14ac:dyDescent="0.25">
      <c r="B3159" s="95" t="s">
        <v>6815</v>
      </c>
      <c r="C3159" s="93"/>
      <c r="D3159" s="94"/>
    </row>
    <row r="3160" spans="2:4" x14ac:dyDescent="0.25">
      <c r="B3160" s="96"/>
      <c r="C3160" s="91"/>
      <c r="D3160" s="92"/>
    </row>
    <row r="3161" spans="2:4" x14ac:dyDescent="0.25">
      <c r="B3161" s="97"/>
      <c r="C3161" s="71" t="s">
        <v>6824</v>
      </c>
      <c r="D3161" s="71" t="s">
        <v>6825</v>
      </c>
    </row>
    <row r="3162" spans="2:4" x14ac:dyDescent="0.25">
      <c r="B3162" s="72"/>
      <c r="C3162" s="71"/>
      <c r="D3162" s="73"/>
    </row>
    <row r="3164" spans="2:4" x14ac:dyDescent="0.25">
      <c r="B3164" s="40" t="s">
        <v>7707</v>
      </c>
      <c r="C3164" s="40"/>
      <c r="D3164" s="40"/>
    </row>
    <row r="3165" spans="2:4" x14ac:dyDescent="0.25">
      <c r="B3165" s="40"/>
      <c r="C3165" s="40"/>
      <c r="D3165" s="40"/>
    </row>
    <row r="3166" spans="2:4" x14ac:dyDescent="0.25">
      <c r="B3166" s="40"/>
      <c r="C3166" s="40"/>
      <c r="D3166" s="40"/>
    </row>
    <row r="3167" spans="2:4" x14ac:dyDescent="0.25">
      <c r="B3167" s="42" t="s">
        <v>7708</v>
      </c>
      <c r="C3167" s="40"/>
      <c r="D3167" s="40"/>
    </row>
    <row r="3168" spans="2:4" x14ac:dyDescent="0.25">
      <c r="B3168" s="42" t="s">
        <v>7709</v>
      </c>
      <c r="C3168" s="40"/>
      <c r="D3168" s="40"/>
    </row>
    <row r="3169" spans="2:4" x14ac:dyDescent="0.25">
      <c r="B3169" s="42" t="s">
        <v>7710</v>
      </c>
      <c r="C3169" s="40"/>
      <c r="D3169" s="40"/>
    </row>
    <row r="3170" spans="2:4" x14ac:dyDescent="0.25">
      <c r="B3170" s="95" t="s">
        <v>6815</v>
      </c>
      <c r="C3170" s="93"/>
      <c r="D3170" s="94"/>
    </row>
    <row r="3171" spans="2:4" x14ac:dyDescent="0.25">
      <c r="B3171" s="96"/>
      <c r="C3171" s="91"/>
      <c r="D3171" s="92"/>
    </row>
    <row r="3172" spans="2:4" x14ac:dyDescent="0.25">
      <c r="B3172" s="97"/>
      <c r="C3172" s="71" t="s">
        <v>6824</v>
      </c>
      <c r="D3172" s="71" t="s">
        <v>6825</v>
      </c>
    </row>
    <row r="3173" spans="2:4" x14ac:dyDescent="0.25">
      <c r="B3173" s="72"/>
      <c r="C3173" s="71"/>
      <c r="D3173" s="73"/>
    </row>
    <row r="3175" spans="2:4" x14ac:dyDescent="0.25">
      <c r="B3175" s="40" t="s">
        <v>7707</v>
      </c>
      <c r="C3175" s="40"/>
      <c r="D3175" s="40"/>
    </row>
    <row r="3176" spans="2:4" x14ac:dyDescent="0.25">
      <c r="B3176" s="40"/>
      <c r="C3176" s="40"/>
      <c r="D3176" s="40"/>
    </row>
    <row r="3177" spans="2:4" x14ac:dyDescent="0.25">
      <c r="B3177" s="40"/>
      <c r="C3177" s="40"/>
      <c r="D3177" s="40"/>
    </row>
    <row r="3178" spans="2:4" x14ac:dyDescent="0.25">
      <c r="B3178" s="42" t="s">
        <v>7708</v>
      </c>
      <c r="C3178" s="40"/>
      <c r="D3178" s="40"/>
    </row>
    <row r="3179" spans="2:4" x14ac:dyDescent="0.25">
      <c r="B3179" s="42" t="s">
        <v>7709</v>
      </c>
      <c r="C3179" s="40"/>
      <c r="D3179" s="40"/>
    </row>
    <row r="3180" spans="2:4" x14ac:dyDescent="0.25">
      <c r="B3180" s="42" t="s">
        <v>7710</v>
      </c>
      <c r="C3180" s="40"/>
      <c r="D3180" s="40"/>
    </row>
    <row r="3181" spans="2:4" x14ac:dyDescent="0.25">
      <c r="B3181" s="95" t="s">
        <v>6815</v>
      </c>
      <c r="C3181" s="93"/>
      <c r="D3181" s="94"/>
    </row>
    <row r="3182" spans="2:4" x14ac:dyDescent="0.25">
      <c r="B3182" s="96"/>
      <c r="C3182" s="91"/>
      <c r="D3182" s="92"/>
    </row>
    <row r="3183" spans="2:4" x14ac:dyDescent="0.25">
      <c r="B3183" s="97"/>
      <c r="C3183" s="71" t="s">
        <v>6824</v>
      </c>
      <c r="D3183" s="71" t="s">
        <v>6825</v>
      </c>
    </row>
    <row r="3184" spans="2:4" x14ac:dyDescent="0.25">
      <c r="B3184" s="72"/>
      <c r="C3184" s="71"/>
      <c r="D3184" s="73"/>
    </row>
    <row r="3186" spans="2:4" x14ac:dyDescent="0.25">
      <c r="B3186" s="40" t="s">
        <v>7707</v>
      </c>
      <c r="C3186" s="40"/>
      <c r="D3186" s="40"/>
    </row>
    <row r="3187" spans="2:4" x14ac:dyDescent="0.25">
      <c r="B3187" s="40"/>
      <c r="C3187" s="40"/>
      <c r="D3187" s="40"/>
    </row>
    <row r="3188" spans="2:4" x14ac:dyDescent="0.25">
      <c r="B3188" s="40"/>
      <c r="C3188" s="40"/>
      <c r="D3188" s="40"/>
    </row>
    <row r="3189" spans="2:4" x14ac:dyDescent="0.25">
      <c r="B3189" s="42" t="s">
        <v>7708</v>
      </c>
      <c r="C3189" s="40"/>
      <c r="D3189" s="40"/>
    </row>
    <row r="3190" spans="2:4" x14ac:dyDescent="0.25">
      <c r="B3190" s="42" t="s">
        <v>7709</v>
      </c>
      <c r="C3190" s="40"/>
      <c r="D3190" s="40"/>
    </row>
    <row r="3191" spans="2:4" x14ac:dyDescent="0.25">
      <c r="B3191" s="42" t="s">
        <v>7710</v>
      </c>
      <c r="C3191" s="40"/>
      <c r="D3191" s="40"/>
    </row>
    <row r="3192" spans="2:4" x14ac:dyDescent="0.25">
      <c r="B3192" s="95" t="s">
        <v>6815</v>
      </c>
      <c r="C3192" s="93"/>
      <c r="D3192" s="94"/>
    </row>
    <row r="3193" spans="2:4" x14ac:dyDescent="0.25">
      <c r="B3193" s="96"/>
      <c r="C3193" s="91"/>
      <c r="D3193" s="92"/>
    </row>
    <row r="3194" spans="2:4" x14ac:dyDescent="0.25">
      <c r="B3194" s="97"/>
      <c r="C3194" s="71" t="s">
        <v>6824</v>
      </c>
      <c r="D3194" s="71" t="s">
        <v>6825</v>
      </c>
    </row>
    <row r="3195" spans="2:4" x14ac:dyDescent="0.25">
      <c r="B3195" s="72"/>
      <c r="C3195" s="71"/>
      <c r="D3195" s="73"/>
    </row>
    <row r="3197" spans="2:4" x14ac:dyDescent="0.25">
      <c r="B3197" s="40" t="s">
        <v>7707</v>
      </c>
      <c r="C3197" s="40"/>
      <c r="D3197" s="40"/>
    </row>
    <row r="3198" spans="2:4" x14ac:dyDescent="0.25">
      <c r="B3198" s="40"/>
      <c r="C3198" s="40"/>
      <c r="D3198" s="40"/>
    </row>
    <row r="3199" spans="2:4" x14ac:dyDescent="0.25">
      <c r="B3199" s="40"/>
      <c r="C3199" s="40"/>
      <c r="D3199" s="40"/>
    </row>
    <row r="3200" spans="2:4" x14ac:dyDescent="0.25">
      <c r="B3200" s="42" t="s">
        <v>7708</v>
      </c>
      <c r="C3200" s="40"/>
      <c r="D3200" s="40"/>
    </row>
    <row r="3201" spans="2:4" x14ac:dyDescent="0.25">
      <c r="B3201" s="42" t="s">
        <v>7709</v>
      </c>
      <c r="C3201" s="40"/>
      <c r="D3201" s="40"/>
    </row>
    <row r="3202" spans="2:4" x14ac:dyDescent="0.25">
      <c r="B3202" s="42" t="s">
        <v>7710</v>
      </c>
      <c r="C3202" s="40"/>
      <c r="D3202" s="40"/>
    </row>
    <row r="3203" spans="2:4" x14ac:dyDescent="0.25">
      <c r="B3203" s="95" t="s">
        <v>6815</v>
      </c>
      <c r="C3203" s="93"/>
      <c r="D3203" s="94"/>
    </row>
    <row r="3204" spans="2:4" x14ac:dyDescent="0.25">
      <c r="B3204" s="96"/>
      <c r="C3204" s="91"/>
      <c r="D3204" s="92"/>
    </row>
    <row r="3205" spans="2:4" x14ac:dyDescent="0.25">
      <c r="B3205" s="97"/>
      <c r="C3205" s="71" t="s">
        <v>6824</v>
      </c>
      <c r="D3205" s="71" t="s">
        <v>6825</v>
      </c>
    </row>
    <row r="3206" spans="2:4" x14ac:dyDescent="0.25">
      <c r="B3206" s="72"/>
      <c r="C3206" s="71"/>
      <c r="D3206" s="73"/>
    </row>
    <row r="3208" spans="2:4" x14ac:dyDescent="0.25">
      <c r="B3208" s="40" t="s">
        <v>7707</v>
      </c>
      <c r="C3208" s="40"/>
      <c r="D3208" s="40"/>
    </row>
    <row r="3209" spans="2:4" x14ac:dyDescent="0.25">
      <c r="B3209" s="40"/>
      <c r="C3209" s="40"/>
      <c r="D3209" s="40"/>
    </row>
    <row r="3210" spans="2:4" x14ac:dyDescent="0.25">
      <c r="B3210" s="40"/>
      <c r="C3210" s="40"/>
      <c r="D3210" s="40"/>
    </row>
    <row r="3211" spans="2:4" x14ac:dyDescent="0.25">
      <c r="B3211" s="42" t="s">
        <v>7708</v>
      </c>
      <c r="C3211" s="40"/>
      <c r="D3211" s="40"/>
    </row>
    <row r="3212" spans="2:4" x14ac:dyDescent="0.25">
      <c r="B3212" s="42" t="s">
        <v>7709</v>
      </c>
      <c r="C3212" s="40"/>
      <c r="D3212" s="40"/>
    </row>
    <row r="3213" spans="2:4" x14ac:dyDescent="0.25">
      <c r="B3213" s="42" t="s">
        <v>7710</v>
      </c>
      <c r="C3213" s="40"/>
      <c r="D3213" s="40"/>
    </row>
    <row r="3214" spans="2:4" x14ac:dyDescent="0.25">
      <c r="B3214" s="95" t="s">
        <v>6815</v>
      </c>
      <c r="C3214" s="93"/>
      <c r="D3214" s="94"/>
    </row>
    <row r="3215" spans="2:4" x14ac:dyDescent="0.25">
      <c r="B3215" s="96"/>
      <c r="C3215" s="91"/>
      <c r="D3215" s="92"/>
    </row>
    <row r="3216" spans="2:4" x14ac:dyDescent="0.25">
      <c r="B3216" s="97"/>
      <c r="C3216" s="71" t="s">
        <v>6824</v>
      </c>
      <c r="D3216" s="71" t="s">
        <v>6825</v>
      </c>
    </row>
    <row r="3217" spans="2:4" x14ac:dyDescent="0.25">
      <c r="B3217" s="72"/>
      <c r="C3217" s="71"/>
      <c r="D3217" s="73"/>
    </row>
    <row r="3219" spans="2:4" x14ac:dyDescent="0.25">
      <c r="B3219" s="40" t="s">
        <v>7707</v>
      </c>
      <c r="C3219" s="40"/>
      <c r="D3219" s="40"/>
    </row>
    <row r="3220" spans="2:4" x14ac:dyDescent="0.25">
      <c r="B3220" s="40"/>
      <c r="C3220" s="40"/>
      <c r="D3220" s="40"/>
    </row>
    <row r="3221" spans="2:4" x14ac:dyDescent="0.25">
      <c r="B3221" s="40"/>
      <c r="C3221" s="40"/>
      <c r="D3221" s="40"/>
    </row>
    <row r="3222" spans="2:4" x14ac:dyDescent="0.25">
      <c r="B3222" s="42" t="s">
        <v>7708</v>
      </c>
      <c r="C3222" s="40"/>
      <c r="D3222" s="40"/>
    </row>
    <row r="3223" spans="2:4" x14ac:dyDescent="0.25">
      <c r="B3223" s="42" t="s">
        <v>7709</v>
      </c>
      <c r="C3223" s="40"/>
      <c r="D3223" s="40"/>
    </row>
    <row r="3224" spans="2:4" x14ac:dyDescent="0.25">
      <c r="B3224" s="42" t="s">
        <v>7710</v>
      </c>
      <c r="C3224" s="40"/>
      <c r="D3224" s="40"/>
    </row>
    <row r="3225" spans="2:4" x14ac:dyDescent="0.25">
      <c r="B3225" s="95" t="s">
        <v>6815</v>
      </c>
      <c r="C3225" s="93"/>
      <c r="D3225" s="94"/>
    </row>
    <row r="3226" spans="2:4" x14ac:dyDescent="0.25">
      <c r="B3226" s="96"/>
      <c r="C3226" s="91"/>
      <c r="D3226" s="92"/>
    </row>
    <row r="3227" spans="2:4" x14ac:dyDescent="0.25">
      <c r="B3227" s="97"/>
      <c r="C3227" s="71" t="s">
        <v>6824</v>
      </c>
      <c r="D3227" s="71" t="s">
        <v>6825</v>
      </c>
    </row>
    <row r="3228" spans="2:4" x14ac:dyDescent="0.25">
      <c r="B3228" s="72"/>
      <c r="C3228" s="71"/>
      <c r="D3228" s="73"/>
    </row>
    <row r="3230" spans="2:4" x14ac:dyDescent="0.25">
      <c r="B3230" s="40" t="s">
        <v>7707</v>
      </c>
      <c r="C3230" s="40"/>
      <c r="D3230" s="40"/>
    </row>
    <row r="3231" spans="2:4" x14ac:dyDescent="0.25">
      <c r="B3231" s="40"/>
      <c r="C3231" s="40"/>
      <c r="D3231" s="40"/>
    </row>
    <row r="3232" spans="2:4" x14ac:dyDescent="0.25">
      <c r="B3232" s="40"/>
      <c r="C3232" s="40"/>
      <c r="D3232" s="40"/>
    </row>
    <row r="3233" spans="2:4" x14ac:dyDescent="0.25">
      <c r="B3233" s="42" t="s">
        <v>7708</v>
      </c>
      <c r="C3233" s="40"/>
      <c r="D3233" s="40"/>
    </row>
    <row r="3234" spans="2:4" x14ac:dyDescent="0.25">
      <c r="B3234" s="42" t="s">
        <v>7709</v>
      </c>
      <c r="C3234" s="40"/>
      <c r="D3234" s="40"/>
    </row>
    <row r="3235" spans="2:4" x14ac:dyDescent="0.25">
      <c r="B3235" s="42" t="s">
        <v>7710</v>
      </c>
      <c r="C3235" s="40"/>
      <c r="D3235" s="40"/>
    </row>
    <row r="3236" spans="2:4" x14ac:dyDescent="0.25">
      <c r="B3236" s="95" t="s">
        <v>6815</v>
      </c>
      <c r="C3236" s="93"/>
      <c r="D3236" s="94"/>
    </row>
    <row r="3237" spans="2:4" x14ac:dyDescent="0.25">
      <c r="B3237" s="96"/>
      <c r="C3237" s="91"/>
      <c r="D3237" s="92"/>
    </row>
    <row r="3238" spans="2:4" x14ac:dyDescent="0.25">
      <c r="B3238" s="97"/>
      <c r="C3238" s="71" t="s">
        <v>6824</v>
      </c>
      <c r="D3238" s="71" t="s">
        <v>6825</v>
      </c>
    </row>
    <row r="3239" spans="2:4" x14ac:dyDescent="0.25">
      <c r="B3239" s="72"/>
      <c r="C3239" s="71"/>
      <c r="D3239" s="73"/>
    </row>
    <row r="3241" spans="2:4" x14ac:dyDescent="0.25">
      <c r="B3241" s="40" t="s">
        <v>7707</v>
      </c>
      <c r="C3241" s="40"/>
      <c r="D3241" s="40"/>
    </row>
    <row r="3242" spans="2:4" x14ac:dyDescent="0.25">
      <c r="B3242" s="40"/>
      <c r="C3242" s="40"/>
      <c r="D3242" s="40"/>
    </row>
    <row r="3243" spans="2:4" x14ac:dyDescent="0.25">
      <c r="B3243" s="40"/>
      <c r="C3243" s="40"/>
      <c r="D3243" s="40"/>
    </row>
    <row r="3244" spans="2:4" x14ac:dyDescent="0.25">
      <c r="B3244" s="42" t="s">
        <v>7708</v>
      </c>
      <c r="C3244" s="40"/>
      <c r="D3244" s="40"/>
    </row>
    <row r="3245" spans="2:4" x14ac:dyDescent="0.25">
      <c r="B3245" s="42" t="s">
        <v>7709</v>
      </c>
      <c r="C3245" s="40"/>
      <c r="D3245" s="40"/>
    </row>
    <row r="3246" spans="2:4" x14ac:dyDescent="0.25">
      <c r="B3246" s="42" t="s">
        <v>7710</v>
      </c>
      <c r="C3246" s="40"/>
      <c r="D3246" s="40"/>
    </row>
    <row r="3247" spans="2:4" x14ac:dyDescent="0.25">
      <c r="B3247" s="95" t="s">
        <v>6815</v>
      </c>
      <c r="C3247" s="93"/>
      <c r="D3247" s="94"/>
    </row>
    <row r="3248" spans="2:4" x14ac:dyDescent="0.25">
      <c r="B3248" s="96"/>
      <c r="C3248" s="91"/>
      <c r="D3248" s="92"/>
    </row>
    <row r="3249" spans="2:4" x14ac:dyDescent="0.25">
      <c r="B3249" s="97"/>
      <c r="C3249" s="71" t="s">
        <v>6824</v>
      </c>
      <c r="D3249" s="71" t="s">
        <v>6825</v>
      </c>
    </row>
    <row r="3250" spans="2:4" x14ac:dyDescent="0.25">
      <c r="B3250" s="72"/>
      <c r="C3250" s="71"/>
      <c r="D3250" s="73"/>
    </row>
    <row r="3252" spans="2:4" x14ac:dyDescent="0.25">
      <c r="B3252" s="40" t="s">
        <v>7707</v>
      </c>
      <c r="C3252" s="40"/>
      <c r="D3252" s="40"/>
    </row>
    <row r="3253" spans="2:4" x14ac:dyDescent="0.25">
      <c r="B3253" s="40"/>
      <c r="C3253" s="40"/>
      <c r="D3253" s="40"/>
    </row>
    <row r="3254" spans="2:4" x14ac:dyDescent="0.25">
      <c r="B3254" s="40"/>
      <c r="C3254" s="40"/>
      <c r="D3254" s="40"/>
    </row>
    <row r="3255" spans="2:4" x14ac:dyDescent="0.25">
      <c r="B3255" s="42" t="s">
        <v>7708</v>
      </c>
      <c r="C3255" s="40"/>
      <c r="D3255" s="40"/>
    </row>
    <row r="3256" spans="2:4" x14ac:dyDescent="0.25">
      <c r="B3256" s="42" t="s">
        <v>7709</v>
      </c>
      <c r="C3256" s="40"/>
      <c r="D3256" s="40"/>
    </row>
    <row r="3257" spans="2:4" x14ac:dyDescent="0.25">
      <c r="B3257" s="42" t="s">
        <v>7710</v>
      </c>
      <c r="C3257" s="40"/>
      <c r="D3257" s="40"/>
    </row>
    <row r="3258" spans="2:4" x14ac:dyDescent="0.25">
      <c r="B3258" s="95" t="s">
        <v>6815</v>
      </c>
      <c r="C3258" s="93"/>
      <c r="D3258" s="94"/>
    </row>
    <row r="3259" spans="2:4" x14ac:dyDescent="0.25">
      <c r="B3259" s="96"/>
      <c r="C3259" s="91"/>
      <c r="D3259" s="92"/>
    </row>
    <row r="3260" spans="2:4" x14ac:dyDescent="0.25">
      <c r="B3260" s="97"/>
      <c r="C3260" s="71" t="s">
        <v>6824</v>
      </c>
      <c r="D3260" s="71" t="s">
        <v>6825</v>
      </c>
    </row>
    <row r="3261" spans="2:4" x14ac:dyDescent="0.25">
      <c r="B3261" s="72"/>
      <c r="C3261" s="71"/>
      <c r="D3261" s="73"/>
    </row>
    <row r="3263" spans="2:4" x14ac:dyDescent="0.25">
      <c r="B3263" s="40" t="s">
        <v>7707</v>
      </c>
      <c r="C3263" s="40"/>
      <c r="D3263" s="40"/>
    </row>
    <row r="3264" spans="2:4" x14ac:dyDescent="0.25">
      <c r="B3264" s="40"/>
      <c r="C3264" s="40"/>
      <c r="D3264" s="40"/>
    </row>
    <row r="3265" spans="2:4" x14ac:dyDescent="0.25">
      <c r="B3265" s="40"/>
      <c r="C3265" s="40"/>
      <c r="D3265" s="40"/>
    </row>
    <row r="3266" spans="2:4" x14ac:dyDescent="0.25">
      <c r="B3266" s="42" t="s">
        <v>7708</v>
      </c>
      <c r="C3266" s="40"/>
      <c r="D3266" s="40"/>
    </row>
    <row r="3267" spans="2:4" x14ac:dyDescent="0.25">
      <c r="B3267" s="42" t="s">
        <v>7709</v>
      </c>
      <c r="C3267" s="40"/>
      <c r="D3267" s="40"/>
    </row>
    <row r="3268" spans="2:4" x14ac:dyDescent="0.25">
      <c r="B3268" s="42" t="s">
        <v>7710</v>
      </c>
      <c r="C3268" s="40"/>
      <c r="D3268" s="40"/>
    </row>
    <row r="3269" spans="2:4" x14ac:dyDescent="0.25">
      <c r="B3269" s="95" t="s">
        <v>6815</v>
      </c>
      <c r="C3269" s="93"/>
      <c r="D3269" s="94"/>
    </row>
    <row r="3270" spans="2:4" x14ac:dyDescent="0.25">
      <c r="B3270" s="96"/>
      <c r="C3270" s="91"/>
      <c r="D3270" s="92"/>
    </row>
    <row r="3271" spans="2:4" x14ac:dyDescent="0.25">
      <c r="B3271" s="97"/>
      <c r="C3271" s="71" t="s">
        <v>6824</v>
      </c>
      <c r="D3271" s="71" t="s">
        <v>6825</v>
      </c>
    </row>
    <row r="3272" spans="2:4" x14ac:dyDescent="0.25">
      <c r="B3272" s="72"/>
      <c r="C3272" s="71"/>
      <c r="D3272" s="73"/>
    </row>
    <row r="3274" spans="2:4" x14ac:dyDescent="0.25">
      <c r="B3274" s="40" t="s">
        <v>7707</v>
      </c>
      <c r="C3274" s="40"/>
      <c r="D3274" s="40"/>
    </row>
    <row r="3275" spans="2:4" x14ac:dyDescent="0.25">
      <c r="B3275" s="40"/>
      <c r="C3275" s="40"/>
      <c r="D3275" s="40"/>
    </row>
    <row r="3276" spans="2:4" x14ac:dyDescent="0.25">
      <c r="B3276" s="40"/>
      <c r="C3276" s="40"/>
      <c r="D3276" s="40"/>
    </row>
    <row r="3277" spans="2:4" x14ac:dyDescent="0.25">
      <c r="B3277" s="42" t="s">
        <v>7708</v>
      </c>
      <c r="C3277" s="40"/>
      <c r="D3277" s="40"/>
    </row>
    <row r="3278" spans="2:4" x14ac:dyDescent="0.25">
      <c r="B3278" s="42" t="s">
        <v>7709</v>
      </c>
      <c r="C3278" s="40"/>
      <c r="D3278" s="40"/>
    </row>
    <row r="3279" spans="2:4" x14ac:dyDescent="0.25">
      <c r="B3279" s="42" t="s">
        <v>7710</v>
      </c>
      <c r="C3279" s="40"/>
      <c r="D3279" s="40"/>
    </row>
    <row r="3280" spans="2:4" x14ac:dyDescent="0.25">
      <c r="B3280" s="95" t="s">
        <v>6815</v>
      </c>
      <c r="C3280" s="93"/>
      <c r="D3280" s="94"/>
    </row>
    <row r="3281" spans="2:4" x14ac:dyDescent="0.25">
      <c r="B3281" s="96"/>
      <c r="C3281" s="91"/>
      <c r="D3281" s="92"/>
    </row>
    <row r="3282" spans="2:4" x14ac:dyDescent="0.25">
      <c r="B3282" s="97"/>
      <c r="C3282" s="71" t="s">
        <v>6824</v>
      </c>
      <c r="D3282" s="71" t="s">
        <v>6825</v>
      </c>
    </row>
    <row r="3283" spans="2:4" x14ac:dyDescent="0.25">
      <c r="B3283" s="72"/>
      <c r="C3283" s="71"/>
      <c r="D3283" s="73"/>
    </row>
    <row r="3285" spans="2:4" x14ac:dyDescent="0.25">
      <c r="B3285" s="40" t="s">
        <v>7707</v>
      </c>
      <c r="C3285" s="40"/>
      <c r="D3285" s="40"/>
    </row>
    <row r="3286" spans="2:4" x14ac:dyDescent="0.25">
      <c r="B3286" s="40"/>
      <c r="C3286" s="40"/>
      <c r="D3286" s="40"/>
    </row>
    <row r="3287" spans="2:4" x14ac:dyDescent="0.25">
      <c r="B3287" s="40"/>
      <c r="C3287" s="40"/>
      <c r="D3287" s="40"/>
    </row>
    <row r="3288" spans="2:4" x14ac:dyDescent="0.25">
      <c r="B3288" s="42" t="s">
        <v>7708</v>
      </c>
      <c r="C3288" s="40"/>
      <c r="D3288" s="40"/>
    </row>
    <row r="3289" spans="2:4" x14ac:dyDescent="0.25">
      <c r="B3289" s="42" t="s">
        <v>7709</v>
      </c>
      <c r="C3289" s="40"/>
      <c r="D3289" s="40"/>
    </row>
    <row r="3290" spans="2:4" x14ac:dyDescent="0.25">
      <c r="B3290" s="42" t="s">
        <v>7710</v>
      </c>
      <c r="C3290" s="40"/>
      <c r="D3290" s="40"/>
    </row>
    <row r="3291" spans="2:4" x14ac:dyDescent="0.25">
      <c r="B3291" s="95" t="s">
        <v>6815</v>
      </c>
      <c r="C3291" s="93"/>
      <c r="D3291" s="94"/>
    </row>
    <row r="3292" spans="2:4" x14ac:dyDescent="0.25">
      <c r="B3292" s="96"/>
      <c r="C3292" s="91"/>
      <c r="D3292" s="92"/>
    </row>
    <row r="3293" spans="2:4" x14ac:dyDescent="0.25">
      <c r="B3293" s="97"/>
      <c r="C3293" s="71" t="s">
        <v>6824</v>
      </c>
      <c r="D3293" s="71" t="s">
        <v>6825</v>
      </c>
    </row>
    <row r="3294" spans="2:4" x14ac:dyDescent="0.25">
      <c r="B3294" s="72"/>
      <c r="C3294" s="71"/>
      <c r="D3294" s="73"/>
    </row>
    <row r="3296" spans="2:4" x14ac:dyDescent="0.25">
      <c r="B3296" s="40" t="s">
        <v>7707</v>
      </c>
      <c r="C3296" s="40"/>
      <c r="D3296" s="40"/>
    </row>
    <row r="3297" spans="2:4" x14ac:dyDescent="0.25">
      <c r="B3297" s="40"/>
      <c r="C3297" s="40"/>
      <c r="D3297" s="40"/>
    </row>
    <row r="3298" spans="2:4" x14ac:dyDescent="0.25">
      <c r="B3298" s="40"/>
      <c r="C3298" s="40"/>
      <c r="D3298" s="40"/>
    </row>
    <row r="3299" spans="2:4" x14ac:dyDescent="0.25">
      <c r="B3299" s="42" t="s">
        <v>7708</v>
      </c>
      <c r="C3299" s="40"/>
      <c r="D3299" s="40"/>
    </row>
    <row r="3300" spans="2:4" x14ac:dyDescent="0.25">
      <c r="B3300" s="42" t="s">
        <v>7709</v>
      </c>
      <c r="C3300" s="40"/>
      <c r="D3300" s="40"/>
    </row>
    <row r="3301" spans="2:4" x14ac:dyDescent="0.25">
      <c r="B3301" s="42" t="s">
        <v>7710</v>
      </c>
      <c r="C3301" s="40"/>
      <c r="D3301" s="40"/>
    </row>
    <row r="3302" spans="2:4" x14ac:dyDescent="0.25">
      <c r="B3302" s="95" t="s">
        <v>6815</v>
      </c>
      <c r="C3302" s="93"/>
      <c r="D3302" s="94"/>
    </row>
    <row r="3303" spans="2:4" x14ac:dyDescent="0.25">
      <c r="B3303" s="96"/>
      <c r="C3303" s="91"/>
      <c r="D3303" s="92"/>
    </row>
    <row r="3304" spans="2:4" x14ac:dyDescent="0.25">
      <c r="B3304" s="97"/>
      <c r="C3304" s="71" t="s">
        <v>6824</v>
      </c>
      <c r="D3304" s="71" t="s">
        <v>6825</v>
      </c>
    </row>
    <row r="3305" spans="2:4" x14ac:dyDescent="0.25">
      <c r="B3305" s="72"/>
      <c r="C3305" s="71"/>
      <c r="D3305" s="73"/>
    </row>
  </sheetData>
  <mergeCells count="2965">
    <mergeCell ref="E2455:F2455"/>
    <mergeCell ref="E2456:F2456"/>
    <mergeCell ref="E2466:F2466"/>
    <mergeCell ref="E2467:F2467"/>
    <mergeCell ref="G2466:H2466"/>
    <mergeCell ref="G2467:H2467"/>
    <mergeCell ref="E2444:F2444"/>
    <mergeCell ref="E2445:F2445"/>
    <mergeCell ref="G2444:H2444"/>
    <mergeCell ref="G2445:H2445"/>
    <mergeCell ref="I2444:J2444"/>
    <mergeCell ref="I2445:J2445"/>
    <mergeCell ref="K2444:L2444"/>
    <mergeCell ref="K2445:L2445"/>
    <mergeCell ref="M2444:N2444"/>
    <mergeCell ref="M2445:N2445"/>
    <mergeCell ref="O2444:P2444"/>
    <mergeCell ref="O2445:P2445"/>
    <mergeCell ref="Q2444:R2444"/>
    <mergeCell ref="Q2445:R2445"/>
    <mergeCell ref="S2444:T2444"/>
    <mergeCell ref="S2445:T2445"/>
    <mergeCell ref="U2444:V2444"/>
    <mergeCell ref="U2445:V2445"/>
    <mergeCell ref="G1168:H1168"/>
    <mergeCell ref="G1169:H1169"/>
    <mergeCell ref="BQ761:BR761"/>
    <mergeCell ref="BQ762:BR762"/>
    <mergeCell ref="AY497:AZ497"/>
    <mergeCell ref="BA497:BB497"/>
    <mergeCell ref="AY498:AZ498"/>
    <mergeCell ref="BA498:BB498"/>
    <mergeCell ref="U761:V761"/>
    <mergeCell ref="W761:X761"/>
    <mergeCell ref="Y761:Z761"/>
    <mergeCell ref="U762:V762"/>
    <mergeCell ref="W762:X762"/>
    <mergeCell ref="Y762:Z762"/>
    <mergeCell ref="I552:J552"/>
    <mergeCell ref="I553:J553"/>
    <mergeCell ref="K596:L596"/>
    <mergeCell ref="K597:L597"/>
    <mergeCell ref="AA816:AB816"/>
    <mergeCell ref="AA817:AB817"/>
    <mergeCell ref="K805:L805"/>
    <mergeCell ref="M805:N805"/>
    <mergeCell ref="O805:P805"/>
    <mergeCell ref="Q805:R805"/>
    <mergeCell ref="S805:T805"/>
    <mergeCell ref="U805:V805"/>
    <mergeCell ref="G2291:H2291"/>
    <mergeCell ref="CK442:CL442"/>
    <mergeCell ref="CK443:CL443"/>
    <mergeCell ref="BQ453:BR453"/>
    <mergeCell ref="BQ454:BR454"/>
    <mergeCell ref="CO442:CP442"/>
    <mergeCell ref="CO443:CP443"/>
    <mergeCell ref="BS453:BT453"/>
    <mergeCell ref="BS454:BT454"/>
    <mergeCell ref="O2060:P2060"/>
    <mergeCell ref="Q2060:R2060"/>
    <mergeCell ref="S2060:T2060"/>
    <mergeCell ref="Q2005:R2005"/>
    <mergeCell ref="S2005:T2005"/>
    <mergeCell ref="Q2004:R2004"/>
    <mergeCell ref="S2004:T2004"/>
    <mergeCell ref="O2004:P2004"/>
    <mergeCell ref="AQ1982:AR1982"/>
    <mergeCell ref="BA1982:BB1982"/>
    <mergeCell ref="AM1983:AN1983"/>
    <mergeCell ref="AO1983:AP1983"/>
    <mergeCell ref="AQ1983:AR1983"/>
    <mergeCell ref="BA1983:BB1983"/>
    <mergeCell ref="BC1641:BD1641"/>
    <mergeCell ref="BE1641:BF1641"/>
    <mergeCell ref="BC1642:BD1642"/>
    <mergeCell ref="BE1642:BF1642"/>
    <mergeCell ref="AM1433:AN1433"/>
    <mergeCell ref="AG1498:AH1498"/>
    <mergeCell ref="AA1542:AB1542"/>
    <mergeCell ref="AA1543:AB1543"/>
    <mergeCell ref="AO1542:AP1542"/>
    <mergeCell ref="AE1499:AF1499"/>
    <mergeCell ref="BC2334:BD2334"/>
    <mergeCell ref="I2202:J2202"/>
    <mergeCell ref="I2203:J2203"/>
    <mergeCell ref="W2291:X2291"/>
    <mergeCell ref="Y2291:Z2291"/>
    <mergeCell ref="AA2334:AB2334"/>
    <mergeCell ref="AM1499:AN1499"/>
    <mergeCell ref="AO1499:AP1499"/>
    <mergeCell ref="AG1499:AH1499"/>
    <mergeCell ref="AS2114:AT2114"/>
    <mergeCell ref="AU1982:AV1982"/>
    <mergeCell ref="W1982:X1982"/>
    <mergeCell ref="Y1982:Z1982"/>
    <mergeCell ref="AA1982:AB1982"/>
    <mergeCell ref="AC1982:AD1982"/>
    <mergeCell ref="AE1982:AF1982"/>
    <mergeCell ref="AG1982:AH1982"/>
    <mergeCell ref="BC1982:BD1982"/>
    <mergeCell ref="AG2060:AH2060"/>
    <mergeCell ref="Q1652:R1652"/>
    <mergeCell ref="M2147:N2147"/>
    <mergeCell ref="W2125:X2125"/>
    <mergeCell ref="W2202:X2202"/>
    <mergeCell ref="W2203:X2203"/>
    <mergeCell ref="AI1499:AJ1499"/>
    <mergeCell ref="G2148:H2148"/>
    <mergeCell ref="E2147:F2147"/>
    <mergeCell ref="E2148:F2148"/>
    <mergeCell ref="G2147:H2147"/>
    <mergeCell ref="S2125:T2125"/>
    <mergeCell ref="U2290:V2290"/>
    <mergeCell ref="I2147:J2147"/>
    <mergeCell ref="I2148:J2148"/>
    <mergeCell ref="I2126:J2126"/>
    <mergeCell ref="K2126:L2126"/>
    <mergeCell ref="K2203:L2203"/>
    <mergeCell ref="M2148:N2148"/>
    <mergeCell ref="K2147:L2147"/>
    <mergeCell ref="K2148:L2148"/>
    <mergeCell ref="G2126:H2126"/>
    <mergeCell ref="G2158:H2158"/>
    <mergeCell ref="G2125:H2125"/>
    <mergeCell ref="M2202:N2202"/>
    <mergeCell ref="Q2202:R2202"/>
    <mergeCell ref="E2169:F2169"/>
    <mergeCell ref="E2170:F2170"/>
    <mergeCell ref="M2290:N2290"/>
    <mergeCell ref="G2159:H2159"/>
    <mergeCell ref="G2290:H2290"/>
    <mergeCell ref="AE1641:AF1641"/>
    <mergeCell ref="AC1642:AD1642"/>
    <mergeCell ref="AE1642:AF1642"/>
    <mergeCell ref="W1543:X1543"/>
    <mergeCell ref="E2301:F2301"/>
    <mergeCell ref="BA2335:BB2335"/>
    <mergeCell ref="AM2334:AN2334"/>
    <mergeCell ref="AA2202:AB2202"/>
    <mergeCell ref="Y2290:Z2290"/>
    <mergeCell ref="Y553:Z553"/>
    <mergeCell ref="AA553:AB553"/>
    <mergeCell ref="E1245:F1245"/>
    <mergeCell ref="E1246:F1246"/>
    <mergeCell ref="AK1543:AL1543"/>
    <mergeCell ref="AM1542:AN1542"/>
    <mergeCell ref="AG1652:AH1652"/>
    <mergeCell ref="AA1653:AB1653"/>
    <mergeCell ref="Y1950:Z1950"/>
    <mergeCell ref="I1653:J1653"/>
    <mergeCell ref="K1653:L1653"/>
    <mergeCell ref="M1653:N1653"/>
    <mergeCell ref="O1653:P1653"/>
    <mergeCell ref="Q1653:R1653"/>
    <mergeCell ref="I1686:J1686"/>
    <mergeCell ref="G1851:H1851"/>
    <mergeCell ref="I1927:J1927"/>
    <mergeCell ref="I1916:J1916"/>
    <mergeCell ref="O2335:P2335"/>
    <mergeCell ref="O2202:P2202"/>
    <mergeCell ref="E2158:F2158"/>
    <mergeCell ref="M2126:N2126"/>
    <mergeCell ref="AI2335:AJ2335"/>
    <mergeCell ref="S1652:T1652"/>
    <mergeCell ref="Q2335:R2335"/>
    <mergeCell ref="S2334:T2334"/>
    <mergeCell ref="C2037:D2037"/>
    <mergeCell ref="E2037:F2037"/>
    <mergeCell ref="C2038:D2038"/>
    <mergeCell ref="E2038:F2038"/>
    <mergeCell ref="Y2037:Z2037"/>
    <mergeCell ref="Y2038:Z2038"/>
    <mergeCell ref="W2335:X2335"/>
    <mergeCell ref="Y2335:Z2335"/>
    <mergeCell ref="AA2335:AB2335"/>
    <mergeCell ref="E2103:F2103"/>
    <mergeCell ref="E2104:F2104"/>
    <mergeCell ref="E1993:F1993"/>
    <mergeCell ref="E1994:F1994"/>
    <mergeCell ref="O2026:P2026"/>
    <mergeCell ref="O2027:P2027"/>
    <mergeCell ref="I1851:J1851"/>
    <mergeCell ref="G1927:H1927"/>
    <mergeCell ref="I2038:J2038"/>
    <mergeCell ref="S1653:T1653"/>
    <mergeCell ref="I2291:J2291"/>
    <mergeCell ref="K2290:L2290"/>
    <mergeCell ref="E2224:F2224"/>
    <mergeCell ref="E2225:F2225"/>
    <mergeCell ref="K2291:L2291"/>
    <mergeCell ref="Q2125:R2125"/>
    <mergeCell ref="E2257:F2257"/>
    <mergeCell ref="E2258:F2258"/>
    <mergeCell ref="O2148:P2148"/>
    <mergeCell ref="I2125:J2125"/>
    <mergeCell ref="BE2334:BF2334"/>
    <mergeCell ref="BC2335:BD2335"/>
    <mergeCell ref="BE2335:BF2335"/>
    <mergeCell ref="O2125:P2125"/>
    <mergeCell ref="O2126:P2126"/>
    <mergeCell ref="U2125:V2125"/>
    <mergeCell ref="U2126:V2126"/>
    <mergeCell ref="AC2125:AD2125"/>
    <mergeCell ref="AC2126:AD2126"/>
    <mergeCell ref="AE2125:AF2125"/>
    <mergeCell ref="AE2126:AF2126"/>
    <mergeCell ref="AC2115:AD2115"/>
    <mergeCell ref="AA2115:AB2115"/>
    <mergeCell ref="AA2203:AB2203"/>
    <mergeCell ref="AS2125:AT2125"/>
    <mergeCell ref="AU2125:AV2125"/>
    <mergeCell ref="AC2334:AD2334"/>
    <mergeCell ref="S2203:T2203"/>
    <mergeCell ref="U2115:V2115"/>
    <mergeCell ref="W2115:X2115"/>
    <mergeCell ref="AG2335:AH2335"/>
    <mergeCell ref="AK2335:AL2335"/>
    <mergeCell ref="AM2335:AN2335"/>
    <mergeCell ref="AS2334:AT2334"/>
    <mergeCell ref="AQ2335:AR2335"/>
    <mergeCell ref="O2203:P2203"/>
    <mergeCell ref="Y2202:Z2202"/>
    <mergeCell ref="AE2335:AF2335"/>
    <mergeCell ref="AO2334:AP2334"/>
    <mergeCell ref="AM2125:AN2125"/>
    <mergeCell ref="Q2203:R2203"/>
    <mergeCell ref="AM1652:AN1652"/>
    <mergeCell ref="U1652:V1652"/>
    <mergeCell ref="W1652:X1652"/>
    <mergeCell ref="Y1652:Z1652"/>
    <mergeCell ref="AY1652:AZ1652"/>
    <mergeCell ref="AY1653:AZ1653"/>
    <mergeCell ref="AS1982:AT1982"/>
    <mergeCell ref="AW1642:AX1642"/>
    <mergeCell ref="AY1642:AZ1642"/>
    <mergeCell ref="AW1982:AX1982"/>
    <mergeCell ref="AY1982:AZ1982"/>
    <mergeCell ref="AI1949:AJ1949"/>
    <mergeCell ref="AG1950:AH1950"/>
    <mergeCell ref="AI1950:AJ1950"/>
    <mergeCell ref="AI1652:AJ1652"/>
    <mergeCell ref="AA2026:AB2026"/>
    <mergeCell ref="Y1653:Z1653"/>
    <mergeCell ref="AU1642:AV1642"/>
    <mergeCell ref="AK1653:AL1653"/>
    <mergeCell ref="Y1642:Z1642"/>
    <mergeCell ref="AC2026:AD2026"/>
    <mergeCell ref="AO1652:AP1652"/>
    <mergeCell ref="AO1653:AP1653"/>
    <mergeCell ref="AS1652:AT1652"/>
    <mergeCell ref="AG1642:AH1642"/>
    <mergeCell ref="AE1652:AF1652"/>
    <mergeCell ref="AC1653:AD1653"/>
    <mergeCell ref="U1653:V1653"/>
    <mergeCell ref="BC1983:BD1983"/>
    <mergeCell ref="BA1949:BB1949"/>
    <mergeCell ref="BA1950:BB1950"/>
    <mergeCell ref="M2016:N2016"/>
    <mergeCell ref="AU1949:AV1949"/>
    <mergeCell ref="O2005:P2005"/>
    <mergeCell ref="AE1949:AF1949"/>
    <mergeCell ref="AC1949:AD1949"/>
    <mergeCell ref="AG1983:AH1983"/>
    <mergeCell ref="AI1983:AJ1983"/>
    <mergeCell ref="AM1949:AN1949"/>
    <mergeCell ref="AO1949:AP1949"/>
    <mergeCell ref="AM1950:AN1950"/>
    <mergeCell ref="AO1950:AP1950"/>
    <mergeCell ref="AK1982:AL1982"/>
    <mergeCell ref="AG1949:AH1949"/>
    <mergeCell ref="M2015:N2015"/>
    <mergeCell ref="AC1950:AD1950"/>
    <mergeCell ref="Y1949:Z1949"/>
    <mergeCell ref="AW1950:AX1950"/>
    <mergeCell ref="AM2115:AN2115"/>
    <mergeCell ref="AQ2114:AR2114"/>
    <mergeCell ref="E2004:F2004"/>
    <mergeCell ref="E1983:F1983"/>
    <mergeCell ref="I1807:J1807"/>
    <mergeCell ref="E1751:F1751"/>
    <mergeCell ref="E1752:F1752"/>
    <mergeCell ref="G1883:H1883"/>
    <mergeCell ref="G1884:H1884"/>
    <mergeCell ref="S2115:T2115"/>
    <mergeCell ref="AA2114:AB2114"/>
    <mergeCell ref="AK1983:AL1983"/>
    <mergeCell ref="G2114:H2114"/>
    <mergeCell ref="G2115:H2115"/>
    <mergeCell ref="U2114:V2114"/>
    <mergeCell ref="W2114:X2114"/>
    <mergeCell ref="E1828:F1828"/>
    <mergeCell ref="G2016:H2016"/>
    <mergeCell ref="I2016:J2016"/>
    <mergeCell ref="K2016:L2016"/>
    <mergeCell ref="G1872:H1872"/>
    <mergeCell ref="K1928:L1928"/>
    <mergeCell ref="G1850:H1850"/>
    <mergeCell ref="G1807:H1807"/>
    <mergeCell ref="G1917:H1917"/>
    <mergeCell ref="I1917:J1917"/>
    <mergeCell ref="Q1927:R1927"/>
    <mergeCell ref="M1928:N1928"/>
    <mergeCell ref="U1950:V1950"/>
    <mergeCell ref="AQ1950:AR1950"/>
    <mergeCell ref="I1850:J1850"/>
    <mergeCell ref="I2059:J2059"/>
    <mergeCell ref="AC1641:AD1641"/>
    <mergeCell ref="AC1542:AD1542"/>
    <mergeCell ref="AC1543:AD1543"/>
    <mergeCell ref="I1730:J1730"/>
    <mergeCell ref="E1850:F1850"/>
    <mergeCell ref="Q1949:R1949"/>
    <mergeCell ref="E1839:F1839"/>
    <mergeCell ref="E1840:F1840"/>
    <mergeCell ref="G1839:H1839"/>
    <mergeCell ref="G1840:H1840"/>
    <mergeCell ref="G1949:H1949"/>
    <mergeCell ref="G1806:H1806"/>
    <mergeCell ref="G1685:H1685"/>
    <mergeCell ref="I1685:J1685"/>
    <mergeCell ref="AA1652:AB1652"/>
    <mergeCell ref="AC1652:AD1652"/>
    <mergeCell ref="AS1543:AT1543"/>
    <mergeCell ref="AA1949:AB1949"/>
    <mergeCell ref="AS1949:AT1949"/>
    <mergeCell ref="O1927:P1927"/>
    <mergeCell ref="I1949:J1949"/>
    <mergeCell ref="E1774:F1774"/>
    <mergeCell ref="E1653:F1653"/>
    <mergeCell ref="G1653:H1653"/>
    <mergeCell ref="K1652:L1652"/>
    <mergeCell ref="G1652:H1652"/>
    <mergeCell ref="E1806:F1806"/>
    <mergeCell ref="E1685:F1685"/>
    <mergeCell ref="E1686:F1686"/>
    <mergeCell ref="E1641:F1641"/>
    <mergeCell ref="E1729:F1729"/>
    <mergeCell ref="O1949:P1949"/>
    <mergeCell ref="G1487:H1487"/>
    <mergeCell ref="K1542:L1542"/>
    <mergeCell ref="O1642:P1642"/>
    <mergeCell ref="I1641:J1641"/>
    <mergeCell ref="M1641:N1641"/>
    <mergeCell ref="I1543:J1543"/>
    <mergeCell ref="Q1543:R1543"/>
    <mergeCell ref="I1586:J1586"/>
    <mergeCell ref="U1543:V1543"/>
    <mergeCell ref="G1509:H1509"/>
    <mergeCell ref="G1510:H1510"/>
    <mergeCell ref="E1542:F1542"/>
    <mergeCell ref="W1642:X1642"/>
    <mergeCell ref="AA1642:AB1642"/>
    <mergeCell ref="AA1641:AB1641"/>
    <mergeCell ref="S1543:T1543"/>
    <mergeCell ref="Y1543:Z1543"/>
    <mergeCell ref="G1542:H1542"/>
    <mergeCell ref="M1642:N1642"/>
    <mergeCell ref="M1587:N1587"/>
    <mergeCell ref="Y1499:Z1499"/>
    <mergeCell ref="AA1499:AB1499"/>
    <mergeCell ref="AE134:AF134"/>
    <mergeCell ref="Y552:Z552"/>
    <mergeCell ref="AA552:AB552"/>
    <mergeCell ref="AK552:AL552"/>
    <mergeCell ref="AY135:AZ135"/>
    <mergeCell ref="AI135:AJ135"/>
    <mergeCell ref="AG134:AH134"/>
    <mergeCell ref="AI134:AJ134"/>
    <mergeCell ref="AG135:AH135"/>
    <mergeCell ref="AK134:AL134"/>
    <mergeCell ref="AK135:AL135"/>
    <mergeCell ref="AG432:AH432"/>
    <mergeCell ref="AY454:AZ454"/>
    <mergeCell ref="AA454:AB454"/>
    <mergeCell ref="AC454:AD454"/>
    <mergeCell ref="AE454:AF454"/>
    <mergeCell ref="AE431:AF431"/>
    <mergeCell ref="AG431:AH431"/>
    <mergeCell ref="Y443:Z443"/>
    <mergeCell ref="AA443:AB443"/>
    <mergeCell ref="AC443:AD443"/>
    <mergeCell ref="AK432:AL432"/>
    <mergeCell ref="AM432:AN432"/>
    <mergeCell ref="AE432:AF432"/>
    <mergeCell ref="AG454:AH454"/>
    <mergeCell ref="AI454:AJ454"/>
    <mergeCell ref="AU431:AV431"/>
    <mergeCell ref="AO454:AP454"/>
    <mergeCell ref="AC453:AD453"/>
    <mergeCell ref="AO431:AP431"/>
    <mergeCell ref="AW431:AX431"/>
    <mergeCell ref="AQ134:AR134"/>
    <mergeCell ref="AG443:AH443"/>
    <mergeCell ref="AW761:AX761"/>
    <mergeCell ref="AY134:AZ134"/>
    <mergeCell ref="AM453:AN453"/>
    <mergeCell ref="AO453:AP453"/>
    <mergeCell ref="AQ596:AR596"/>
    <mergeCell ref="AO597:AP597"/>
    <mergeCell ref="AI432:AJ432"/>
    <mergeCell ref="AI442:AJ442"/>
    <mergeCell ref="AI761:AJ761"/>
    <mergeCell ref="AI762:AJ762"/>
    <mergeCell ref="AU640:AV640"/>
    <mergeCell ref="AQ498:AR498"/>
    <mergeCell ref="AK640:AL640"/>
    <mergeCell ref="AO552:AP552"/>
    <mergeCell ref="AK762:AL762"/>
    <mergeCell ref="AS454:AT454"/>
    <mergeCell ref="AY453:AZ453"/>
    <mergeCell ref="AK454:AL454"/>
    <mergeCell ref="AM454:AN454"/>
    <mergeCell ref="AU134:AV134"/>
    <mergeCell ref="AU135:AV135"/>
    <mergeCell ref="AW134:AX134"/>
    <mergeCell ref="AW135:AX135"/>
    <mergeCell ref="AM641:AN641"/>
    <mergeCell ref="AQ553:AR553"/>
    <mergeCell ref="AS552:AT552"/>
    <mergeCell ref="AY640:AZ640"/>
    <mergeCell ref="AM761:AN761"/>
    <mergeCell ref="AQ552:AR552"/>
    <mergeCell ref="AM597:AN597"/>
    <mergeCell ref="AG1367:AH1367"/>
    <mergeCell ref="AO1433:AP1433"/>
    <mergeCell ref="AQ1433:AR1433"/>
    <mergeCell ref="K1367:L1367"/>
    <mergeCell ref="M1366:N1366"/>
    <mergeCell ref="M1367:N1367"/>
    <mergeCell ref="O1366:P1366"/>
    <mergeCell ref="BG761:BH761"/>
    <mergeCell ref="BG762:BH762"/>
    <mergeCell ref="AM134:AN134"/>
    <mergeCell ref="AM135:AN135"/>
    <mergeCell ref="AY762:AZ762"/>
    <mergeCell ref="AS641:AT641"/>
    <mergeCell ref="AU641:AV641"/>
    <mergeCell ref="AI443:AJ443"/>
    <mergeCell ref="AO134:AP134"/>
    <mergeCell ref="AO135:AP135"/>
    <mergeCell ref="AS597:AT597"/>
    <mergeCell ref="AA134:AB134"/>
    <mergeCell ref="AS134:AT134"/>
    <mergeCell ref="AS135:AT135"/>
    <mergeCell ref="AG640:AH640"/>
    <mergeCell ref="AI640:AJ640"/>
    <mergeCell ref="AG641:AH641"/>
    <mergeCell ref="AI641:AJ641"/>
    <mergeCell ref="BC498:BD498"/>
    <mergeCell ref="AE135:AF135"/>
    <mergeCell ref="AQ597:AR597"/>
    <mergeCell ref="AW596:AX596"/>
    <mergeCell ref="AU772:AV772"/>
    <mergeCell ref="AI596:AJ596"/>
    <mergeCell ref="AQ135:AR135"/>
    <mergeCell ref="AK2126:AL2126"/>
    <mergeCell ref="AI1982:AJ1982"/>
    <mergeCell ref="W1983:X1983"/>
    <mergeCell ref="Y1983:Z1983"/>
    <mergeCell ref="AA1983:AB1983"/>
    <mergeCell ref="AC1983:AD1983"/>
    <mergeCell ref="AE1983:AF1983"/>
    <mergeCell ref="Q2115:R2115"/>
    <mergeCell ref="Q2114:R2114"/>
    <mergeCell ref="O2115:P2115"/>
    <mergeCell ref="O1983:P1983"/>
    <mergeCell ref="W2059:X2059"/>
    <mergeCell ref="U2334:V2334"/>
    <mergeCell ref="U1983:V1983"/>
    <mergeCell ref="U1982:V1982"/>
    <mergeCell ref="U2203:V2203"/>
    <mergeCell ref="U2059:V2059"/>
    <mergeCell ref="AE2115:AF2115"/>
    <mergeCell ref="AG2114:AH2114"/>
    <mergeCell ref="AG2115:AH2115"/>
    <mergeCell ref="Q1982:R1982"/>
    <mergeCell ref="Q1983:R1983"/>
    <mergeCell ref="S1982:T1982"/>
    <mergeCell ref="S1983:T1983"/>
    <mergeCell ref="AC2060:AD2060"/>
    <mergeCell ref="AA2037:AB2037"/>
    <mergeCell ref="W2334:X2334"/>
    <mergeCell ref="Y2334:Z2334"/>
    <mergeCell ref="S2291:T2291"/>
    <mergeCell ref="AA2126:AB2126"/>
    <mergeCell ref="Y2114:Z2114"/>
    <mergeCell ref="Y2126:Z2126"/>
    <mergeCell ref="AK1542:AL1542"/>
    <mergeCell ref="AO762:AP762"/>
    <mergeCell ref="AQ762:AR762"/>
    <mergeCell ref="AM773:AN773"/>
    <mergeCell ref="AO2335:AP2335"/>
    <mergeCell ref="AY2335:AZ2335"/>
    <mergeCell ref="AQ1652:AR1652"/>
    <mergeCell ref="AQ1653:AR1653"/>
    <mergeCell ref="AS2335:AT2335"/>
    <mergeCell ref="AY1543:AZ1543"/>
    <mergeCell ref="AG1433:AH1433"/>
    <mergeCell ref="AI1433:AJ1433"/>
    <mergeCell ref="AG1542:AH1542"/>
    <mergeCell ref="AC1213:AD1213"/>
    <mergeCell ref="AW1498:AX1498"/>
    <mergeCell ref="AQ772:AR772"/>
    <mergeCell ref="AQ773:AR773"/>
    <mergeCell ref="AO772:AP772"/>
    <mergeCell ref="AO773:AP773"/>
    <mergeCell ref="AE1279:AF1279"/>
    <mergeCell ref="AG772:AH772"/>
    <mergeCell ref="AI772:AJ772"/>
    <mergeCell ref="AE1213:AF1213"/>
    <mergeCell ref="AC1212:AD1212"/>
    <mergeCell ref="AI2125:AJ2125"/>
    <mergeCell ref="AI2126:AJ2126"/>
    <mergeCell ref="AU2335:AV2335"/>
    <mergeCell ref="AW2335:AX2335"/>
    <mergeCell ref="AY1949:AZ1949"/>
    <mergeCell ref="AI1498:AJ1498"/>
    <mergeCell ref="AG2125:AH2125"/>
    <mergeCell ref="AK1499:AL1499"/>
    <mergeCell ref="S2335:T2335"/>
    <mergeCell ref="BA1543:BB1543"/>
    <mergeCell ref="BA2334:BB2334"/>
    <mergeCell ref="AK1949:AL1949"/>
    <mergeCell ref="AK1950:AL1950"/>
    <mergeCell ref="AU1983:AV1983"/>
    <mergeCell ref="AU2126:AV2126"/>
    <mergeCell ref="AY1983:AZ1983"/>
    <mergeCell ref="AY2334:AZ2334"/>
    <mergeCell ref="AW1983:AX1983"/>
    <mergeCell ref="AK2060:AL2060"/>
    <mergeCell ref="AO1498:AP1498"/>
    <mergeCell ref="AK2059:AL2059"/>
    <mergeCell ref="W2026:X2026"/>
    <mergeCell ref="Y2026:Z2026"/>
    <mergeCell ref="W2027:X2027"/>
    <mergeCell ref="Y2027:Z2027"/>
    <mergeCell ref="Y2125:Z2125"/>
    <mergeCell ref="Y2115:Z2115"/>
    <mergeCell ref="AW2125:AX2125"/>
    <mergeCell ref="AS2126:AT2126"/>
    <mergeCell ref="AI2115:AJ2115"/>
    <mergeCell ref="Y2059:Z2059"/>
    <mergeCell ref="AS1983:AT1983"/>
    <mergeCell ref="AS1950:AT1950"/>
    <mergeCell ref="Y2060:Z2060"/>
    <mergeCell ref="AC2335:AD2335"/>
    <mergeCell ref="AG2126:AH2126"/>
    <mergeCell ref="AK2125:AL2125"/>
    <mergeCell ref="AA2290:AB2290"/>
    <mergeCell ref="AA2291:AB2291"/>
    <mergeCell ref="Y2203:Z2203"/>
    <mergeCell ref="BC1542:BD1542"/>
    <mergeCell ref="BE1542:BF1542"/>
    <mergeCell ref="AK761:AL761"/>
    <mergeCell ref="AY773:AZ773"/>
    <mergeCell ref="AK772:AL772"/>
    <mergeCell ref="AY761:AZ761"/>
    <mergeCell ref="AM772:AN772"/>
    <mergeCell ref="BC1543:BD1543"/>
    <mergeCell ref="BE1543:BF1543"/>
    <mergeCell ref="AW1653:AX1653"/>
    <mergeCell ref="AU1542:AV1542"/>
    <mergeCell ref="AW1542:AX1542"/>
    <mergeCell ref="AU1543:AV1543"/>
    <mergeCell ref="AW1543:AX1543"/>
    <mergeCell ref="AY1542:AZ1542"/>
    <mergeCell ref="AO1642:AP1642"/>
    <mergeCell ref="AO1641:AP1641"/>
    <mergeCell ref="AU1652:AV1652"/>
    <mergeCell ref="AU1653:AV1653"/>
    <mergeCell ref="BA1652:BB1652"/>
    <mergeCell ref="BE1652:BF1652"/>
    <mergeCell ref="BE1653:BF1653"/>
    <mergeCell ref="AY1641:AZ1641"/>
    <mergeCell ref="AW1652:AX1652"/>
    <mergeCell ref="AQ1543:AR1543"/>
    <mergeCell ref="AM1498:AN1498"/>
    <mergeCell ref="AW1499:AX1499"/>
    <mergeCell ref="AW1641:AX1641"/>
    <mergeCell ref="BA1642:BB1642"/>
    <mergeCell ref="BA1653:BB1653"/>
    <mergeCell ref="AK1213:AL1213"/>
    <mergeCell ref="AK805:AL805"/>
    <mergeCell ref="AG597:AH597"/>
    <mergeCell ref="AE641:AF641"/>
    <mergeCell ref="BA641:BB641"/>
    <mergeCell ref="AU1498:AV1498"/>
    <mergeCell ref="AO641:AP641"/>
    <mergeCell ref="AQ641:AR641"/>
    <mergeCell ref="AW641:AX641"/>
    <mergeCell ref="AY641:AZ641"/>
    <mergeCell ref="AO761:AP761"/>
    <mergeCell ref="AS1432:AT1432"/>
    <mergeCell ref="AM1432:AN1432"/>
    <mergeCell ref="AO1432:AP1432"/>
    <mergeCell ref="BA762:BB762"/>
    <mergeCell ref="AW773:AX773"/>
    <mergeCell ref="AW772:AX772"/>
    <mergeCell ref="AY597:AZ597"/>
    <mergeCell ref="AW640:AX640"/>
    <mergeCell ref="AU1432:AV1432"/>
    <mergeCell ref="AY772:AZ772"/>
    <mergeCell ref="AO640:AP640"/>
    <mergeCell ref="AQ640:AR640"/>
    <mergeCell ref="BA640:BB640"/>
    <mergeCell ref="AK1498:AL1498"/>
    <mergeCell ref="AG761:AH761"/>
    <mergeCell ref="AG762:AH762"/>
    <mergeCell ref="AG805:AH805"/>
    <mergeCell ref="AU773:AV773"/>
    <mergeCell ref="AS773:AT773"/>
    <mergeCell ref="BA772:BB772"/>
    <mergeCell ref="BA773:BB773"/>
    <mergeCell ref="AE1432:AF1432"/>
    <mergeCell ref="AY1498:AZ1498"/>
    <mergeCell ref="AY596:AZ596"/>
    <mergeCell ref="AU761:AV761"/>
    <mergeCell ref="AO596:AP596"/>
    <mergeCell ref="BA761:BB761"/>
    <mergeCell ref="AE772:AF772"/>
    <mergeCell ref="AE1278:AF1278"/>
    <mergeCell ref="AE773:AF773"/>
    <mergeCell ref="AQ761:AR761"/>
    <mergeCell ref="AS761:AT761"/>
    <mergeCell ref="BG1543:BH1543"/>
    <mergeCell ref="BU762:BV762"/>
    <mergeCell ref="BW761:BX761"/>
    <mergeCell ref="BE761:BF761"/>
    <mergeCell ref="BA1542:BB1542"/>
    <mergeCell ref="BO1542:BP1542"/>
    <mergeCell ref="BS761:BT761"/>
    <mergeCell ref="BM762:BN762"/>
    <mergeCell ref="BO1543:BP1543"/>
    <mergeCell ref="AQ1542:AR1542"/>
    <mergeCell ref="AE1367:AF1367"/>
    <mergeCell ref="AE1542:AF1542"/>
    <mergeCell ref="AI806:AJ806"/>
    <mergeCell ref="AU762:AV762"/>
    <mergeCell ref="BQ1542:BR1542"/>
    <mergeCell ref="BQ1543:BR1543"/>
    <mergeCell ref="AS762:AT762"/>
    <mergeCell ref="AS772:AT772"/>
    <mergeCell ref="AW762:AX762"/>
    <mergeCell ref="AY1499:AZ1499"/>
    <mergeCell ref="AS1499:AT1499"/>
    <mergeCell ref="AE1366:AF1366"/>
    <mergeCell ref="AK773:AL773"/>
    <mergeCell ref="CA442:CB442"/>
    <mergeCell ref="BU443:BV443"/>
    <mergeCell ref="BW553:BX553"/>
    <mergeCell ref="BQ596:BR596"/>
    <mergeCell ref="BU497:BV497"/>
    <mergeCell ref="BU498:BV498"/>
    <mergeCell ref="AW597:AX597"/>
    <mergeCell ref="BM498:BN498"/>
    <mergeCell ref="BM552:BN552"/>
    <mergeCell ref="CA553:CB553"/>
    <mergeCell ref="BO497:BP497"/>
    <mergeCell ref="AQ497:AR497"/>
    <mergeCell ref="AS497:AT497"/>
    <mergeCell ref="BS498:BT498"/>
    <mergeCell ref="BI552:BJ552"/>
    <mergeCell ref="BO453:BP453"/>
    <mergeCell ref="BM596:BN596"/>
    <mergeCell ref="BO596:BP596"/>
    <mergeCell ref="BK498:BL498"/>
    <mergeCell ref="AW497:AX497"/>
    <mergeCell ref="BW453:BX453"/>
    <mergeCell ref="BW454:BX454"/>
    <mergeCell ref="AU596:AV596"/>
    <mergeCell ref="AU597:AV597"/>
    <mergeCell ref="BM597:BN597"/>
    <mergeCell ref="BO597:BP597"/>
    <mergeCell ref="BQ553:BR553"/>
    <mergeCell ref="BA596:BB596"/>
    <mergeCell ref="AS596:AT596"/>
    <mergeCell ref="AW454:AX454"/>
    <mergeCell ref="BY553:BZ553"/>
    <mergeCell ref="BE552:BF552"/>
    <mergeCell ref="AC1278:AD1278"/>
    <mergeCell ref="AC1279:AD1279"/>
    <mergeCell ref="Y1366:Z1366"/>
    <mergeCell ref="U1542:V1542"/>
    <mergeCell ref="Y1432:Z1432"/>
    <mergeCell ref="S1542:T1542"/>
    <mergeCell ref="W1498:X1498"/>
    <mergeCell ref="W1499:X1499"/>
    <mergeCell ref="Y1212:Z1212"/>
    <mergeCell ref="Y1278:Z1278"/>
    <mergeCell ref="U1213:V1213"/>
    <mergeCell ref="O1367:P1367"/>
    <mergeCell ref="Q1366:R1366"/>
    <mergeCell ref="U1499:V1499"/>
    <mergeCell ref="W1542:X1542"/>
    <mergeCell ref="Y1542:Z1542"/>
    <mergeCell ref="U1278:V1278"/>
    <mergeCell ref="AC1367:AD1367"/>
    <mergeCell ref="AA1213:AB1213"/>
    <mergeCell ref="S1279:T1279"/>
    <mergeCell ref="Q1498:R1498"/>
    <mergeCell ref="Y1279:Z1279"/>
    <mergeCell ref="AA1432:AB1432"/>
    <mergeCell ref="AC1432:AD1432"/>
    <mergeCell ref="Y1498:Z1498"/>
    <mergeCell ref="AA1498:AB1498"/>
    <mergeCell ref="AC1433:AD1433"/>
    <mergeCell ref="Y1433:Z1433"/>
    <mergeCell ref="S1498:T1498"/>
    <mergeCell ref="Q1433:R1433"/>
    <mergeCell ref="Q1542:R1542"/>
    <mergeCell ref="AC1499:AD1499"/>
    <mergeCell ref="U806:V806"/>
    <mergeCell ref="W806:X806"/>
    <mergeCell ref="M816:N816"/>
    <mergeCell ref="U1169:V1169"/>
    <mergeCell ref="AG1432:AH1432"/>
    <mergeCell ref="W805:X805"/>
    <mergeCell ref="O14:P14"/>
    <mergeCell ref="I816:J816"/>
    <mergeCell ref="S13:T13"/>
    <mergeCell ref="S36:T36"/>
    <mergeCell ref="AQ453:AR453"/>
    <mergeCell ref="U641:V641"/>
    <mergeCell ref="O739:P739"/>
    <mergeCell ref="O740:P740"/>
    <mergeCell ref="Q134:R134"/>
    <mergeCell ref="S134:T134"/>
    <mergeCell ref="U134:V134"/>
    <mergeCell ref="W134:X134"/>
    <mergeCell ref="Q135:R135"/>
    <mergeCell ref="W135:X135"/>
    <mergeCell ref="Y134:Z134"/>
    <mergeCell ref="AC134:AD134"/>
    <mergeCell ref="Y135:Z135"/>
    <mergeCell ref="AA135:AB135"/>
    <mergeCell ref="O454:P454"/>
    <mergeCell ref="AC135:AD135"/>
    <mergeCell ref="W1279:X1279"/>
    <mergeCell ref="Q14:R14"/>
    <mergeCell ref="AA1278:AB1278"/>
    <mergeCell ref="O816:P816"/>
    <mergeCell ref="I47:J47"/>
    <mergeCell ref="I134:J134"/>
    <mergeCell ref="M35:N35"/>
    <mergeCell ref="K322:L322"/>
    <mergeCell ref="K740:L740"/>
    <mergeCell ref="K651:L651"/>
    <mergeCell ref="S90:T90"/>
    <mergeCell ref="S91:T91"/>
    <mergeCell ref="M134:N134"/>
    <mergeCell ref="M36:N36"/>
    <mergeCell ref="O90:P90"/>
    <mergeCell ref="Q90:R90"/>
    <mergeCell ref="I35:J35"/>
    <mergeCell ref="I36:J36"/>
    <mergeCell ref="I453:J453"/>
    <mergeCell ref="I651:J651"/>
    <mergeCell ref="S596:T596"/>
    <mergeCell ref="S597:T597"/>
    <mergeCell ref="S640:T640"/>
    <mergeCell ref="S35:T35"/>
    <mergeCell ref="O377:P377"/>
    <mergeCell ref="K90:L90"/>
    <mergeCell ref="K91:L91"/>
    <mergeCell ref="O673:P673"/>
    <mergeCell ref="I101:J101"/>
    <mergeCell ref="I102:J102"/>
    <mergeCell ref="M640:N640"/>
    <mergeCell ref="S641:T641"/>
    <mergeCell ref="U431:V431"/>
    <mergeCell ref="O432:P432"/>
    <mergeCell ref="K453:L453"/>
    <mergeCell ref="M442:N442"/>
    <mergeCell ref="S497:T497"/>
    <mergeCell ref="Q740:R740"/>
    <mergeCell ref="S740:T740"/>
    <mergeCell ref="U673:V673"/>
    <mergeCell ref="O762:P762"/>
    <mergeCell ref="K761:L761"/>
    <mergeCell ref="M761:N761"/>
    <mergeCell ref="Q761:R761"/>
    <mergeCell ref="Q498:R498"/>
    <mergeCell ref="K762:L762"/>
    <mergeCell ref="M762:N762"/>
    <mergeCell ref="I13:J13"/>
    <mergeCell ref="I14:J14"/>
    <mergeCell ref="K13:L13"/>
    <mergeCell ref="K14:L14"/>
    <mergeCell ref="I90:J90"/>
    <mergeCell ref="I91:J91"/>
    <mergeCell ref="M135:N135"/>
    <mergeCell ref="M454:N454"/>
    <mergeCell ref="Q35:R35"/>
    <mergeCell ref="M91:N91"/>
    <mergeCell ref="K178:L178"/>
    <mergeCell ref="K321:L321"/>
    <mergeCell ref="Q432:R432"/>
    <mergeCell ref="O640:P640"/>
    <mergeCell ref="M641:N641"/>
    <mergeCell ref="O641:P641"/>
    <mergeCell ref="K35:L35"/>
    <mergeCell ref="I178:J178"/>
    <mergeCell ref="I321:J321"/>
    <mergeCell ref="I322:J322"/>
    <mergeCell ref="K443:L443"/>
    <mergeCell ref="Q36:R36"/>
    <mergeCell ref="O36:P36"/>
    <mergeCell ref="O134:P134"/>
    <mergeCell ref="I46:J46"/>
    <mergeCell ref="Q13:R13"/>
    <mergeCell ref="Q552:R552"/>
    <mergeCell ref="Q442:R442"/>
    <mergeCell ref="M13:N13"/>
    <mergeCell ref="O13:P13"/>
    <mergeCell ref="O35:P35"/>
    <mergeCell ref="K36:L36"/>
    <mergeCell ref="M1652:N1652"/>
    <mergeCell ref="Q1279:R1279"/>
    <mergeCell ref="K1521:L1521"/>
    <mergeCell ref="Q1234:R1234"/>
    <mergeCell ref="Q1235:R1235"/>
    <mergeCell ref="Q1367:R1367"/>
    <mergeCell ref="K1169:L1169"/>
    <mergeCell ref="Q454:R454"/>
    <mergeCell ref="O442:P442"/>
    <mergeCell ref="O443:P443"/>
    <mergeCell ref="M453:N453"/>
    <mergeCell ref="I135:J135"/>
    <mergeCell ref="I310:J310"/>
    <mergeCell ref="I179:J179"/>
    <mergeCell ref="I443:J443"/>
    <mergeCell ref="I245:J245"/>
    <mergeCell ref="I377:J377"/>
    <mergeCell ref="I1520:J1520"/>
    <mergeCell ref="I1521:J1521"/>
    <mergeCell ref="I1223:J1223"/>
    <mergeCell ref="I1224:J1224"/>
    <mergeCell ref="I1234:J1234"/>
    <mergeCell ref="I1652:J1652"/>
    <mergeCell ref="I1587:J1587"/>
    <mergeCell ref="K1587:L1587"/>
    <mergeCell ref="K1499:L1499"/>
    <mergeCell ref="M1499:N1499"/>
    <mergeCell ref="O1235:P1235"/>
    <mergeCell ref="K1498:L1498"/>
    <mergeCell ref="M1498:N1498"/>
    <mergeCell ref="O1498:P1498"/>
    <mergeCell ref="K1279:L1279"/>
    <mergeCell ref="O1499:P1499"/>
    <mergeCell ref="K1235:L1235"/>
    <mergeCell ref="M1234:N1234"/>
    <mergeCell ref="K1543:L1543"/>
    <mergeCell ref="M1543:N1543"/>
    <mergeCell ref="M1586:N1586"/>
    <mergeCell ref="I1729:J1729"/>
    <mergeCell ref="G1730:H1730"/>
    <mergeCell ref="O1652:P1652"/>
    <mergeCell ref="G1543:H1543"/>
    <mergeCell ref="Y817:Z817"/>
    <mergeCell ref="Y498:Z498"/>
    <mergeCell ref="AA596:AB596"/>
    <mergeCell ref="AE806:AF806"/>
    <mergeCell ref="AE805:AF805"/>
    <mergeCell ref="O674:P674"/>
    <mergeCell ref="S739:T739"/>
    <mergeCell ref="K773:L773"/>
    <mergeCell ref="K739:L739"/>
    <mergeCell ref="K640:L640"/>
    <mergeCell ref="K641:L641"/>
    <mergeCell ref="K652:L652"/>
    <mergeCell ref="W1278:X1278"/>
    <mergeCell ref="S827:T827"/>
    <mergeCell ref="K1212:L1212"/>
    <mergeCell ref="M1212:N1212"/>
    <mergeCell ref="K816:L816"/>
    <mergeCell ref="M828:N828"/>
    <mergeCell ref="AE1212:AF1212"/>
    <mergeCell ref="U739:V739"/>
    <mergeCell ref="K806:L806"/>
    <mergeCell ref="M806:N806"/>
    <mergeCell ref="O806:P806"/>
    <mergeCell ref="Q806:R806"/>
    <mergeCell ref="S806:T806"/>
    <mergeCell ref="AE640:AF640"/>
    <mergeCell ref="AC641:AD641"/>
    <mergeCell ref="M817:N817"/>
    <mergeCell ref="AA431:AB431"/>
    <mergeCell ref="Y453:Z453"/>
    <mergeCell ref="AC805:AD805"/>
    <mergeCell ref="W772:X772"/>
    <mergeCell ref="Y773:Z773"/>
    <mergeCell ref="W773:X773"/>
    <mergeCell ref="AA805:AB805"/>
    <mergeCell ref="Y805:Z805"/>
    <mergeCell ref="Y739:Z739"/>
    <mergeCell ref="AA772:AB772"/>
    <mergeCell ref="AA806:AB806"/>
    <mergeCell ref="AC806:AD806"/>
    <mergeCell ref="AA597:AB597"/>
    <mergeCell ref="Y641:Z641"/>
    <mergeCell ref="Y640:Z640"/>
    <mergeCell ref="AA640:AB640"/>
    <mergeCell ref="Y806:Z806"/>
    <mergeCell ref="AA773:AB773"/>
    <mergeCell ref="AC772:AD772"/>
    <mergeCell ref="AC773:AD773"/>
    <mergeCell ref="Y772:Z772"/>
    <mergeCell ref="Y673:Z673"/>
    <mergeCell ref="Y596:Z596"/>
    <mergeCell ref="W673:X673"/>
    <mergeCell ref="W674:X674"/>
    <mergeCell ref="W640:X640"/>
    <mergeCell ref="W739:X739"/>
    <mergeCell ref="W740:X740"/>
    <mergeCell ref="W497:X497"/>
    <mergeCell ref="W442:X442"/>
    <mergeCell ref="AC640:AD640"/>
    <mergeCell ref="AA498:AB498"/>
    <mergeCell ref="S453:T453"/>
    <mergeCell ref="U453:V453"/>
    <mergeCell ref="M497:N497"/>
    <mergeCell ref="O497:P497"/>
    <mergeCell ref="K332:L332"/>
    <mergeCell ref="K333:L333"/>
    <mergeCell ref="S443:T443"/>
    <mergeCell ref="Q497:R497"/>
    <mergeCell ref="K376:L376"/>
    <mergeCell ref="O431:P431"/>
    <mergeCell ref="M14:N14"/>
    <mergeCell ref="K135:L135"/>
    <mergeCell ref="O135:P135"/>
    <mergeCell ref="O332:P332"/>
    <mergeCell ref="K497:L497"/>
    <mergeCell ref="M443:N443"/>
    <mergeCell ref="K377:L377"/>
    <mergeCell ref="M376:N376"/>
    <mergeCell ref="M431:N431"/>
    <mergeCell ref="M377:N377"/>
    <mergeCell ref="K134:L134"/>
    <mergeCell ref="U90:V90"/>
    <mergeCell ref="U91:V91"/>
    <mergeCell ref="S14:T14"/>
    <mergeCell ref="U36:V36"/>
    <mergeCell ref="S432:T432"/>
    <mergeCell ref="U35:V35"/>
    <mergeCell ref="O376:P376"/>
    <mergeCell ref="Q453:R453"/>
    <mergeCell ref="K454:L454"/>
    <mergeCell ref="K442:L442"/>
    <mergeCell ref="Q443:R443"/>
    <mergeCell ref="W431:X431"/>
    <mergeCell ref="Y431:Z431"/>
    <mergeCell ref="O333:P333"/>
    <mergeCell ref="S442:T442"/>
    <mergeCell ref="U442:V442"/>
    <mergeCell ref="S135:T135"/>
    <mergeCell ref="U135:V135"/>
    <mergeCell ref="K1278:L1278"/>
    <mergeCell ref="W432:X432"/>
    <mergeCell ref="S1641:T1641"/>
    <mergeCell ref="S1642:T1642"/>
    <mergeCell ref="G278:H278"/>
    <mergeCell ref="G190:H190"/>
    <mergeCell ref="G1488:H1488"/>
    <mergeCell ref="M1542:N1542"/>
    <mergeCell ref="I1542:J1542"/>
    <mergeCell ref="I1498:J1498"/>
    <mergeCell ref="I1366:J1366"/>
    <mergeCell ref="I1367:J1367"/>
    <mergeCell ref="K1366:L1366"/>
    <mergeCell ref="K817:L817"/>
    <mergeCell ref="O1278:P1278"/>
    <mergeCell ref="Q1278:R1278"/>
    <mergeCell ref="Q1213:R1213"/>
    <mergeCell ref="Q641:R641"/>
    <mergeCell ref="Q431:R431"/>
    <mergeCell ref="K1520:L1520"/>
    <mergeCell ref="S431:T431"/>
    <mergeCell ref="M432:N432"/>
    <mergeCell ref="M596:N596"/>
    <mergeCell ref="U432:V432"/>
    <mergeCell ref="K179:L179"/>
    <mergeCell ref="G1212:H1212"/>
    <mergeCell ref="M1432:N1432"/>
    <mergeCell ref="G1224:H1224"/>
    <mergeCell ref="G1081:H1081"/>
    <mergeCell ref="G1366:H1366"/>
    <mergeCell ref="G1367:H1367"/>
    <mergeCell ref="O827:P827"/>
    <mergeCell ref="O828:P828"/>
    <mergeCell ref="I773:J773"/>
    <mergeCell ref="M772:N772"/>
    <mergeCell ref="O772:P772"/>
    <mergeCell ref="O553:P553"/>
    <mergeCell ref="G1433:H1433"/>
    <mergeCell ref="Q1169:R1169"/>
    <mergeCell ref="Q1212:R1212"/>
    <mergeCell ref="K1433:L1433"/>
    <mergeCell ref="O1213:P1213"/>
    <mergeCell ref="M651:N651"/>
    <mergeCell ref="M652:N652"/>
    <mergeCell ref="G673:H673"/>
    <mergeCell ref="G674:H674"/>
    <mergeCell ref="G805:H805"/>
    <mergeCell ref="G739:H739"/>
    <mergeCell ref="Q828:R828"/>
    <mergeCell ref="Q1432:R1432"/>
    <mergeCell ref="I739:J739"/>
    <mergeCell ref="K674:L674"/>
    <mergeCell ref="K772:L772"/>
    <mergeCell ref="Q817:R817"/>
    <mergeCell ref="G1279:H1279"/>
    <mergeCell ref="G101:H101"/>
    <mergeCell ref="G145:H145"/>
    <mergeCell ref="G146:H146"/>
    <mergeCell ref="G266:H266"/>
    <mergeCell ref="G179:H179"/>
    <mergeCell ref="G806:H806"/>
    <mergeCell ref="G772:H772"/>
    <mergeCell ref="M1278:N1278"/>
    <mergeCell ref="K431:L431"/>
    <mergeCell ref="G267:H267"/>
    <mergeCell ref="I332:J332"/>
    <mergeCell ref="I333:J333"/>
    <mergeCell ref="G333:H333"/>
    <mergeCell ref="G442:H442"/>
    <mergeCell ref="I442:J442"/>
    <mergeCell ref="I497:J497"/>
    <mergeCell ref="K432:L432"/>
    <mergeCell ref="G817:H817"/>
    <mergeCell ref="G883:H883"/>
    <mergeCell ref="G1223:H1223"/>
    <mergeCell ref="I806:J806"/>
    <mergeCell ref="M553:N553"/>
    <mergeCell ref="G596:H596"/>
    <mergeCell ref="G1235:H1235"/>
    <mergeCell ref="K828:L828"/>
    <mergeCell ref="I1168:J1168"/>
    <mergeCell ref="G816:H816"/>
    <mergeCell ref="I1169:J1169"/>
    <mergeCell ref="I1081:J1081"/>
    <mergeCell ref="M773:N773"/>
    <mergeCell ref="I740:J740"/>
    <mergeCell ref="I772:J772"/>
    <mergeCell ref="E245:F245"/>
    <mergeCell ref="G365:H365"/>
    <mergeCell ref="E289:F289"/>
    <mergeCell ref="G332:H332"/>
    <mergeCell ref="E399:F399"/>
    <mergeCell ref="G310:H310"/>
    <mergeCell ref="G311:H311"/>
    <mergeCell ref="I311:J311"/>
    <mergeCell ref="E233:F233"/>
    <mergeCell ref="E234:F234"/>
    <mergeCell ref="E332:F332"/>
    <mergeCell ref="E333:F333"/>
    <mergeCell ref="I1410:J1410"/>
    <mergeCell ref="E541:F541"/>
    <mergeCell ref="E542:F542"/>
    <mergeCell ref="G366:H366"/>
    <mergeCell ref="E574:F574"/>
    <mergeCell ref="E575:F575"/>
    <mergeCell ref="E596:F596"/>
    <mergeCell ref="E552:F552"/>
    <mergeCell ref="E586:F586"/>
    <mergeCell ref="E585:F585"/>
    <mergeCell ref="E827:F827"/>
    <mergeCell ref="E882:F882"/>
    <mergeCell ref="E883:F883"/>
    <mergeCell ref="E772:F772"/>
    <mergeCell ref="E806:F806"/>
    <mergeCell ref="E816:F816"/>
    <mergeCell ref="E1344:F1344"/>
    <mergeCell ref="E1345:F1345"/>
    <mergeCell ref="G1278:H1278"/>
    <mergeCell ref="G1234:H1234"/>
    <mergeCell ref="C24:D24"/>
    <mergeCell ref="C25:D25"/>
    <mergeCell ref="C200:D200"/>
    <mergeCell ref="C201:D201"/>
    <mergeCell ref="C35:D35"/>
    <mergeCell ref="C36:D36"/>
    <mergeCell ref="C267:D267"/>
    <mergeCell ref="G13:H13"/>
    <mergeCell ref="E211:F211"/>
    <mergeCell ref="G14:H14"/>
    <mergeCell ref="C101:D101"/>
    <mergeCell ref="C102:D102"/>
    <mergeCell ref="C157:D157"/>
    <mergeCell ref="C167:D167"/>
    <mergeCell ref="C156:D156"/>
    <mergeCell ref="C112:D112"/>
    <mergeCell ref="C113:D113"/>
    <mergeCell ref="C124:D124"/>
    <mergeCell ref="C168:D168"/>
    <mergeCell ref="E112:F112"/>
    <mergeCell ref="E113:F113"/>
    <mergeCell ref="E134:F134"/>
    <mergeCell ref="G35:H35"/>
    <mergeCell ref="E36:F36"/>
    <mergeCell ref="G36:H36"/>
    <mergeCell ref="E46:F46"/>
    <mergeCell ref="G46:H46"/>
    <mergeCell ref="E47:F47"/>
    <mergeCell ref="G47:H47"/>
    <mergeCell ref="E90:F90"/>
    <mergeCell ref="G90:H90"/>
    <mergeCell ref="E91:F91"/>
    <mergeCell ref="C58:D58"/>
    <mergeCell ref="C68:D68"/>
    <mergeCell ref="C69:D69"/>
    <mergeCell ref="C79:D79"/>
    <mergeCell ref="C80:D80"/>
    <mergeCell ref="C90:D90"/>
    <mergeCell ref="C91:D91"/>
    <mergeCell ref="G178:H178"/>
    <mergeCell ref="E267:F267"/>
    <mergeCell ref="G277:H277"/>
    <mergeCell ref="C179:D179"/>
    <mergeCell ref="C134:D134"/>
    <mergeCell ref="E288:F288"/>
    <mergeCell ref="C189:D189"/>
    <mergeCell ref="C190:D190"/>
    <mergeCell ref="C244:D244"/>
    <mergeCell ref="E244:F244"/>
    <mergeCell ref="G200:H200"/>
    <mergeCell ref="E277:F277"/>
    <mergeCell ref="E278:F278"/>
    <mergeCell ref="C256:D256"/>
    <mergeCell ref="C266:D266"/>
    <mergeCell ref="G244:H244"/>
    <mergeCell ref="G245:H245"/>
    <mergeCell ref="E266:F266"/>
    <mergeCell ref="E102:F102"/>
    <mergeCell ref="G91:H91"/>
    <mergeCell ref="E101:F101"/>
    <mergeCell ref="C255:D255"/>
    <mergeCell ref="G189:H189"/>
    <mergeCell ref="E178:F178"/>
    <mergeCell ref="E179:F179"/>
    <mergeCell ref="C3:F3"/>
    <mergeCell ref="C4:F4"/>
    <mergeCell ref="C5:F5"/>
    <mergeCell ref="C13:D13"/>
    <mergeCell ref="C14:D14"/>
    <mergeCell ref="E13:F13"/>
    <mergeCell ref="E14:F14"/>
    <mergeCell ref="C57:D57"/>
    <mergeCell ref="E35:F35"/>
    <mergeCell ref="E24:F24"/>
    <mergeCell ref="E25:F25"/>
    <mergeCell ref="C46:D46"/>
    <mergeCell ref="C47:D47"/>
    <mergeCell ref="C123:D123"/>
    <mergeCell ref="B24:B26"/>
    <mergeCell ref="B13:B15"/>
    <mergeCell ref="B233:B235"/>
    <mergeCell ref="E135:F135"/>
    <mergeCell ref="E145:F145"/>
    <mergeCell ref="E146:F146"/>
    <mergeCell ref="C178:D178"/>
    <mergeCell ref="E200:F200"/>
    <mergeCell ref="E201:F201"/>
    <mergeCell ref="C135:D135"/>
    <mergeCell ref="C233:D233"/>
    <mergeCell ref="C234:D234"/>
    <mergeCell ref="C223:D223"/>
    <mergeCell ref="C145:D145"/>
    <mergeCell ref="C146:D146"/>
    <mergeCell ref="C211:D211"/>
    <mergeCell ref="C212:D212"/>
    <mergeCell ref="C222:D222"/>
    <mergeCell ref="C277:D277"/>
    <mergeCell ref="C278:D278"/>
    <mergeCell ref="C288:D288"/>
    <mergeCell ref="C289:D289"/>
    <mergeCell ref="C299:D299"/>
    <mergeCell ref="C332:D332"/>
    <mergeCell ref="C245:D245"/>
    <mergeCell ref="E409:F409"/>
    <mergeCell ref="I498:J498"/>
    <mergeCell ref="E398:F398"/>
    <mergeCell ref="E553:F553"/>
    <mergeCell ref="B365:B367"/>
    <mergeCell ref="C365:D365"/>
    <mergeCell ref="C300:D300"/>
    <mergeCell ref="C398:D398"/>
    <mergeCell ref="C399:D399"/>
    <mergeCell ref="B409:B411"/>
    <mergeCell ref="C409:D409"/>
    <mergeCell ref="C410:D410"/>
    <mergeCell ref="B420:B422"/>
    <mergeCell ref="C420:D420"/>
    <mergeCell ref="C344:D344"/>
    <mergeCell ref="C421:D421"/>
    <mergeCell ref="B354:B356"/>
    <mergeCell ref="C311:D311"/>
    <mergeCell ref="C321:D321"/>
    <mergeCell ref="C322:D322"/>
    <mergeCell ref="C310:D310"/>
    <mergeCell ref="E442:F442"/>
    <mergeCell ref="G431:H431"/>
    <mergeCell ref="I431:J431"/>
    <mergeCell ref="C343:D343"/>
    <mergeCell ref="C432:D432"/>
    <mergeCell ref="C376:D376"/>
    <mergeCell ref="C377:D377"/>
    <mergeCell ref="B387:B389"/>
    <mergeCell ref="B453:B455"/>
    <mergeCell ref="C453:D453"/>
    <mergeCell ref="C454:D454"/>
    <mergeCell ref="C387:D387"/>
    <mergeCell ref="C388:D388"/>
    <mergeCell ref="G443:H443"/>
    <mergeCell ref="I454:J454"/>
    <mergeCell ref="E498:F498"/>
    <mergeCell ref="C520:D520"/>
    <mergeCell ref="B530:B532"/>
    <mergeCell ref="C530:D530"/>
    <mergeCell ref="E431:F431"/>
    <mergeCell ref="E432:F432"/>
    <mergeCell ref="E497:F497"/>
    <mergeCell ref="E464:F464"/>
    <mergeCell ref="E465:F465"/>
    <mergeCell ref="E454:F454"/>
    <mergeCell ref="E453:F453"/>
    <mergeCell ref="E410:F410"/>
    <mergeCell ref="G432:H432"/>
    <mergeCell ref="I432:J432"/>
    <mergeCell ref="E443:F443"/>
    <mergeCell ref="C508:D508"/>
    <mergeCell ref="C509:D509"/>
    <mergeCell ref="C531:D531"/>
    <mergeCell ref="C476:D476"/>
    <mergeCell ref="C333:D333"/>
    <mergeCell ref="C366:D366"/>
    <mergeCell ref="C354:D354"/>
    <mergeCell ref="C355:D355"/>
    <mergeCell ref="B552:B554"/>
    <mergeCell ref="C431:D431"/>
    <mergeCell ref="B376:B378"/>
    <mergeCell ref="B431:B433"/>
    <mergeCell ref="B398:B400"/>
    <mergeCell ref="B519:B521"/>
    <mergeCell ref="B475:B477"/>
    <mergeCell ref="B442:B444"/>
    <mergeCell ref="C475:D475"/>
    <mergeCell ref="C442:D442"/>
    <mergeCell ref="C443:D443"/>
    <mergeCell ref="B607:B609"/>
    <mergeCell ref="B574:B576"/>
    <mergeCell ref="B563:B565"/>
    <mergeCell ref="B541:B543"/>
    <mergeCell ref="B464:B466"/>
    <mergeCell ref="C574:D574"/>
    <mergeCell ref="C575:D575"/>
    <mergeCell ref="C497:D497"/>
    <mergeCell ref="C498:D498"/>
    <mergeCell ref="B508:B510"/>
    <mergeCell ref="B497:B499"/>
    <mergeCell ref="C586:D586"/>
    <mergeCell ref="B486:B488"/>
    <mergeCell ref="C486:D486"/>
    <mergeCell ref="C487:D487"/>
    <mergeCell ref="C541:D541"/>
    <mergeCell ref="C519:D519"/>
    <mergeCell ref="B585:B587"/>
    <mergeCell ref="B596:B598"/>
    <mergeCell ref="C596:D596"/>
    <mergeCell ref="C597:D597"/>
    <mergeCell ref="B618:B620"/>
    <mergeCell ref="C618:D618"/>
    <mergeCell ref="C464:D464"/>
    <mergeCell ref="C465:D465"/>
    <mergeCell ref="C542:D542"/>
    <mergeCell ref="I805:J805"/>
    <mergeCell ref="C761:D761"/>
    <mergeCell ref="C762:D762"/>
    <mergeCell ref="B750:B752"/>
    <mergeCell ref="C563:D563"/>
    <mergeCell ref="C564:D564"/>
    <mergeCell ref="B706:B708"/>
    <mergeCell ref="B717:B719"/>
    <mergeCell ref="C696:D696"/>
    <mergeCell ref="E674:F674"/>
    <mergeCell ref="C552:D552"/>
    <mergeCell ref="C553:D553"/>
    <mergeCell ref="C585:D585"/>
    <mergeCell ref="C630:D630"/>
    <mergeCell ref="C619:D619"/>
    <mergeCell ref="C607:D607"/>
    <mergeCell ref="C663:D663"/>
    <mergeCell ref="B673:B675"/>
    <mergeCell ref="C673:D673"/>
    <mergeCell ref="B629:B631"/>
    <mergeCell ref="C629:D629"/>
    <mergeCell ref="E739:F739"/>
    <mergeCell ref="C718:D718"/>
    <mergeCell ref="C971:D971"/>
    <mergeCell ref="B981:B983"/>
    <mergeCell ref="C981:D981"/>
    <mergeCell ref="C982:D982"/>
    <mergeCell ref="B1124:B1126"/>
    <mergeCell ref="B1047:B1049"/>
    <mergeCell ref="C1047:D1047"/>
    <mergeCell ref="C937:D937"/>
    <mergeCell ref="B959:B961"/>
    <mergeCell ref="C959:D959"/>
    <mergeCell ref="I652:J652"/>
    <mergeCell ref="C806:D806"/>
    <mergeCell ref="C828:D828"/>
    <mergeCell ref="C674:D674"/>
    <mergeCell ref="B684:B686"/>
    <mergeCell ref="C684:D684"/>
    <mergeCell ref="C685:D685"/>
    <mergeCell ref="B695:B697"/>
    <mergeCell ref="C695:D695"/>
    <mergeCell ref="B948:B950"/>
    <mergeCell ref="C1025:D1025"/>
    <mergeCell ref="B1025:B1027"/>
    <mergeCell ref="C750:D750"/>
    <mergeCell ref="C772:D772"/>
    <mergeCell ref="C838:D838"/>
    <mergeCell ref="C839:D839"/>
    <mergeCell ref="B651:B653"/>
    <mergeCell ref="C651:D651"/>
    <mergeCell ref="B662:B664"/>
    <mergeCell ref="C662:D662"/>
    <mergeCell ref="B1091:B1093"/>
    <mergeCell ref="C1091:D1091"/>
    <mergeCell ref="C1312:D1312"/>
    <mergeCell ref="C1322:D1322"/>
    <mergeCell ref="C1323:D1323"/>
    <mergeCell ref="C1333:D1333"/>
    <mergeCell ref="C1355:D1355"/>
    <mergeCell ref="C1356:D1356"/>
    <mergeCell ref="C1190:D1190"/>
    <mergeCell ref="C1191:D1191"/>
    <mergeCell ref="E1234:F1234"/>
    <mergeCell ref="E1235:F1235"/>
    <mergeCell ref="C1608:D1608"/>
    <mergeCell ref="E1498:F1498"/>
    <mergeCell ref="E1499:F1499"/>
    <mergeCell ref="B1498:B1500"/>
    <mergeCell ref="C1334:D1334"/>
    <mergeCell ref="C1279:D1279"/>
    <mergeCell ref="C1289:D1289"/>
    <mergeCell ref="C1576:D1576"/>
    <mergeCell ref="B1366:B1368"/>
    <mergeCell ref="B1344:B1346"/>
    <mergeCell ref="B1333:B1335"/>
    <mergeCell ref="B1278:B1280"/>
    <mergeCell ref="C1278:D1278"/>
    <mergeCell ref="B1388:B1390"/>
    <mergeCell ref="E1465:F1465"/>
    <mergeCell ref="E1466:F1466"/>
    <mergeCell ref="E1586:F1586"/>
    <mergeCell ref="E1587:F1587"/>
    <mergeCell ref="E1223:F1223"/>
    <mergeCell ref="C1389:D1389"/>
    <mergeCell ref="E1366:F1366"/>
    <mergeCell ref="E1367:F1367"/>
    <mergeCell ref="C1268:D1268"/>
    <mergeCell ref="G1586:H1586"/>
    <mergeCell ref="E1543:F1543"/>
    <mergeCell ref="C1729:D1729"/>
    <mergeCell ref="C1730:D1730"/>
    <mergeCell ref="C1740:D1740"/>
    <mergeCell ref="C1697:D1697"/>
    <mergeCell ref="C1345:D1345"/>
    <mergeCell ref="B1454:B1456"/>
    <mergeCell ref="C1454:D1454"/>
    <mergeCell ref="C1455:D1455"/>
    <mergeCell ref="B1476:B1478"/>
    <mergeCell ref="C1476:D1476"/>
    <mergeCell ref="B1586:B1588"/>
    <mergeCell ref="B1619:B1621"/>
    <mergeCell ref="C1619:D1619"/>
    <mergeCell ref="C1620:D1620"/>
    <mergeCell ref="C1652:D1652"/>
    <mergeCell ref="C1653:D1653"/>
    <mergeCell ref="C1542:D1542"/>
    <mergeCell ref="B1487:B1489"/>
    <mergeCell ref="C1487:D1487"/>
    <mergeCell ref="C1707:D1707"/>
    <mergeCell ref="C1664:D1664"/>
    <mergeCell ref="B1322:B1324"/>
    <mergeCell ref="B1311:B1313"/>
    <mergeCell ref="C1432:D1432"/>
    <mergeCell ref="C1311:D1311"/>
    <mergeCell ref="C1378:D1378"/>
    <mergeCell ref="C1685:D1685"/>
    <mergeCell ref="C1366:D1366"/>
    <mergeCell ref="C1367:D1367"/>
    <mergeCell ref="C1686:D1686"/>
    <mergeCell ref="C1421:D1421"/>
    <mergeCell ref="C1422:D1422"/>
    <mergeCell ref="C1609:D1609"/>
    <mergeCell ref="C960:D960"/>
    <mergeCell ref="B970:B972"/>
    <mergeCell ref="C970:D970"/>
    <mergeCell ref="B1190:B1192"/>
    <mergeCell ref="C1081:D1081"/>
    <mergeCell ref="C1202:D1202"/>
    <mergeCell ref="B1080:B1082"/>
    <mergeCell ref="B1058:B1060"/>
    <mergeCell ref="C1014:D1014"/>
    <mergeCell ref="C1036:D1036"/>
    <mergeCell ref="C1003:D1003"/>
    <mergeCell ref="C1004:D1004"/>
    <mergeCell ref="B1201:B1203"/>
    <mergeCell ref="C1092:D1092"/>
    <mergeCell ref="C1136:D1136"/>
    <mergeCell ref="C1125:D1125"/>
    <mergeCell ref="C1048:D1048"/>
    <mergeCell ref="B1179:B1181"/>
    <mergeCell ref="B1168:B1170"/>
    <mergeCell ref="B1135:B1137"/>
    <mergeCell ref="C1157:D1157"/>
    <mergeCell ref="C1168:D1168"/>
    <mergeCell ref="C1169:D1169"/>
    <mergeCell ref="B1432:B1434"/>
    <mergeCell ref="E805:F805"/>
    <mergeCell ref="C904:D904"/>
    <mergeCell ref="C905:D905"/>
    <mergeCell ref="C938:D938"/>
    <mergeCell ref="C1158:D1158"/>
    <mergeCell ref="C1179:D1179"/>
    <mergeCell ref="C1180:D1180"/>
    <mergeCell ref="E773:F773"/>
    <mergeCell ref="G773:H773"/>
    <mergeCell ref="B904:B906"/>
    <mergeCell ref="B794:B796"/>
    <mergeCell ref="B1014:B1016"/>
    <mergeCell ref="C1135:D1135"/>
    <mergeCell ref="E740:F740"/>
    <mergeCell ref="E828:F828"/>
    <mergeCell ref="B937:B939"/>
    <mergeCell ref="C992:D992"/>
    <mergeCell ref="C993:D993"/>
    <mergeCell ref="B1003:B1005"/>
    <mergeCell ref="C1037:D1037"/>
    <mergeCell ref="G740:H740"/>
    <mergeCell ref="B860:B862"/>
    <mergeCell ref="C860:D860"/>
    <mergeCell ref="C861:D861"/>
    <mergeCell ref="B871:B873"/>
    <mergeCell ref="B849:B851"/>
    <mergeCell ref="B838:B840"/>
    <mergeCell ref="B805:B807"/>
    <mergeCell ref="B827:B829"/>
    <mergeCell ref="C827:D827"/>
    <mergeCell ref="C784:D784"/>
    <mergeCell ref="C871:D871"/>
    <mergeCell ref="B728:B730"/>
    <mergeCell ref="C728:D728"/>
    <mergeCell ref="C729:D729"/>
    <mergeCell ref="B926:B928"/>
    <mergeCell ref="C926:D926"/>
    <mergeCell ref="C927:D927"/>
    <mergeCell ref="C805:D805"/>
    <mergeCell ref="B640:B642"/>
    <mergeCell ref="C640:D640"/>
    <mergeCell ref="E685:F685"/>
    <mergeCell ref="C706:D706"/>
    <mergeCell ref="C707:D707"/>
    <mergeCell ref="C608:D608"/>
    <mergeCell ref="C641:D641"/>
    <mergeCell ref="G640:H640"/>
    <mergeCell ref="B739:B741"/>
    <mergeCell ref="C652:D652"/>
    <mergeCell ref="B761:B763"/>
    <mergeCell ref="B882:B884"/>
    <mergeCell ref="C751:D751"/>
    <mergeCell ref="C783:D783"/>
    <mergeCell ref="B915:B917"/>
    <mergeCell ref="C915:D915"/>
    <mergeCell ref="C916:D916"/>
    <mergeCell ref="C717:D717"/>
    <mergeCell ref="G652:H652"/>
    <mergeCell ref="E761:F761"/>
    <mergeCell ref="E762:F762"/>
    <mergeCell ref="E652:F652"/>
    <mergeCell ref="E651:F651"/>
    <mergeCell ref="C849:D849"/>
    <mergeCell ref="C850:D850"/>
    <mergeCell ref="C872:D872"/>
    <mergeCell ref="C882:D882"/>
    <mergeCell ref="C883:D883"/>
    <mergeCell ref="C894:D894"/>
    <mergeCell ref="C816:D816"/>
    <mergeCell ref="C817:D817"/>
    <mergeCell ref="B816:B818"/>
    <mergeCell ref="C893:D893"/>
    <mergeCell ref="C1201:D1201"/>
    <mergeCell ref="C1388:D1388"/>
    <mergeCell ref="B1355:B1357"/>
    <mergeCell ref="B1223:B1225"/>
    <mergeCell ref="C1223:D1223"/>
    <mergeCell ref="C1224:D1224"/>
    <mergeCell ref="B1234:B1236"/>
    <mergeCell ref="C1234:D1234"/>
    <mergeCell ref="C1235:D1235"/>
    <mergeCell ref="B1300:B1302"/>
    <mergeCell ref="C1300:D1300"/>
    <mergeCell ref="C1301:D1301"/>
    <mergeCell ref="C1290:D1290"/>
    <mergeCell ref="B1245:B1247"/>
    <mergeCell ref="C1245:D1245"/>
    <mergeCell ref="C1246:D1246"/>
    <mergeCell ref="B1256:B1258"/>
    <mergeCell ref="C1256:D1256"/>
    <mergeCell ref="C1257:D1257"/>
    <mergeCell ref="B1289:B1291"/>
    <mergeCell ref="C1124:D1124"/>
    <mergeCell ref="C949:D949"/>
    <mergeCell ref="C1103:D1103"/>
    <mergeCell ref="B1267:B1269"/>
    <mergeCell ref="C739:D739"/>
    <mergeCell ref="C740:D740"/>
    <mergeCell ref="C1058:D1058"/>
    <mergeCell ref="C1059:D1059"/>
    <mergeCell ref="B1069:B1071"/>
    <mergeCell ref="C1069:D1069"/>
    <mergeCell ref="C1070:D1070"/>
    <mergeCell ref="C1080:D1080"/>
    <mergeCell ref="B992:B994"/>
    <mergeCell ref="C773:D773"/>
    <mergeCell ref="B1817:B1819"/>
    <mergeCell ref="C1817:D1817"/>
    <mergeCell ref="C1818:D1818"/>
    <mergeCell ref="B1784:B1786"/>
    <mergeCell ref="C1796:D1796"/>
    <mergeCell ref="B1806:B1808"/>
    <mergeCell ref="C1806:D1806"/>
    <mergeCell ref="C1807:D1807"/>
    <mergeCell ref="B1795:B1797"/>
    <mergeCell ref="B1630:B1632"/>
    <mergeCell ref="B1608:B1610"/>
    <mergeCell ref="B1597:B1599"/>
    <mergeCell ref="B772:B774"/>
    <mergeCell ref="B783:B785"/>
    <mergeCell ref="B1036:B1038"/>
    <mergeCell ref="C1146:D1146"/>
    <mergeCell ref="C1147:D1147"/>
    <mergeCell ref="B1157:B1159"/>
    <mergeCell ref="B1212:B1214"/>
    <mergeCell ref="C1344:D1344"/>
    <mergeCell ref="B1113:B1115"/>
    <mergeCell ref="C1102:D1102"/>
    <mergeCell ref="B1146:B1148"/>
    <mergeCell ref="B1102:B1104"/>
    <mergeCell ref="C1015:D1015"/>
    <mergeCell ref="B1377:B1379"/>
    <mergeCell ref="C1377:D1377"/>
    <mergeCell ref="C948:D948"/>
    <mergeCell ref="B1839:B1841"/>
    <mergeCell ref="C1839:D1839"/>
    <mergeCell ref="C1840:D1840"/>
    <mergeCell ref="E1872:F1872"/>
    <mergeCell ref="E1873:F1873"/>
    <mergeCell ref="C1641:D1641"/>
    <mergeCell ref="C1642:D1642"/>
    <mergeCell ref="B1663:B1665"/>
    <mergeCell ref="B1696:B1698"/>
    <mergeCell ref="B1762:B1764"/>
    <mergeCell ref="B1751:B1753"/>
    <mergeCell ref="B1850:B1852"/>
    <mergeCell ref="C1850:D1850"/>
    <mergeCell ref="C1851:D1851"/>
    <mergeCell ref="B1773:B1775"/>
    <mergeCell ref="C1773:D1773"/>
    <mergeCell ref="C1774:D1774"/>
    <mergeCell ref="B1828:B1830"/>
    <mergeCell ref="C1828:D1828"/>
    <mergeCell ref="C1829:D1829"/>
    <mergeCell ref="C1784:D1784"/>
    <mergeCell ref="C1785:D1785"/>
    <mergeCell ref="B1707:B1709"/>
    <mergeCell ref="B1718:B1720"/>
    <mergeCell ref="B1674:B1676"/>
    <mergeCell ref="B1641:B1643"/>
    <mergeCell ref="B1861:B1863"/>
    <mergeCell ref="C1861:D1861"/>
    <mergeCell ref="C1862:D1862"/>
    <mergeCell ref="G1928:H1928"/>
    <mergeCell ref="M1927:N1927"/>
    <mergeCell ref="C2004:D2004"/>
    <mergeCell ref="G2004:H2004"/>
    <mergeCell ref="I2004:J2004"/>
    <mergeCell ref="C2005:D2005"/>
    <mergeCell ref="E2005:F2005"/>
    <mergeCell ref="G2005:H2005"/>
    <mergeCell ref="I2005:J2005"/>
    <mergeCell ref="C1983:D1983"/>
    <mergeCell ref="G1983:H1983"/>
    <mergeCell ref="I1983:J1983"/>
    <mergeCell ref="K1983:L1983"/>
    <mergeCell ref="B1872:B1874"/>
    <mergeCell ref="C1872:D1872"/>
    <mergeCell ref="C1873:D1873"/>
    <mergeCell ref="B1916:B1918"/>
    <mergeCell ref="E1982:F1982"/>
    <mergeCell ref="B1883:B1885"/>
    <mergeCell ref="C1883:D1883"/>
    <mergeCell ref="C1884:D1884"/>
    <mergeCell ref="B1894:B1896"/>
    <mergeCell ref="C1894:D1894"/>
    <mergeCell ref="C1895:D1895"/>
    <mergeCell ref="B1905:B1907"/>
    <mergeCell ref="C1905:D1905"/>
    <mergeCell ref="C1906:D1906"/>
    <mergeCell ref="B1971:B1973"/>
    <mergeCell ref="C1971:D1971"/>
    <mergeCell ref="C1972:D1972"/>
    <mergeCell ref="B1982:B1984"/>
    <mergeCell ref="B1938:B1940"/>
    <mergeCell ref="C1927:D1927"/>
    <mergeCell ref="C1928:D1928"/>
    <mergeCell ref="C1916:D1916"/>
    <mergeCell ref="C1917:D1917"/>
    <mergeCell ref="K1949:L1949"/>
    <mergeCell ref="Q1928:R1928"/>
    <mergeCell ref="G2037:H2037"/>
    <mergeCell ref="G2038:H2038"/>
    <mergeCell ref="Q2026:R2026"/>
    <mergeCell ref="Q2027:R2027"/>
    <mergeCell ref="G1982:H1982"/>
    <mergeCell ref="I1982:J1982"/>
    <mergeCell ref="K1982:L1982"/>
    <mergeCell ref="I1950:J1950"/>
    <mergeCell ref="K1927:L1927"/>
    <mergeCell ref="K1950:L1950"/>
    <mergeCell ref="B2015:B2017"/>
    <mergeCell ref="C2015:D2015"/>
    <mergeCell ref="C2016:D2016"/>
    <mergeCell ref="B1993:B1995"/>
    <mergeCell ref="C1993:D1993"/>
    <mergeCell ref="B1927:B1929"/>
    <mergeCell ref="E1927:F1927"/>
    <mergeCell ref="E1928:F1928"/>
    <mergeCell ref="B2004:B2006"/>
    <mergeCell ref="M2004:N2004"/>
    <mergeCell ref="M2005:N2005"/>
    <mergeCell ref="K2004:L2004"/>
    <mergeCell ref="K2005:L2005"/>
    <mergeCell ref="G1916:H1916"/>
    <mergeCell ref="M1949:N1949"/>
    <mergeCell ref="O1928:P1928"/>
    <mergeCell ref="I2060:J2060"/>
    <mergeCell ref="O2037:P2037"/>
    <mergeCell ref="G2059:H2059"/>
    <mergeCell ref="G2060:H2060"/>
    <mergeCell ref="Q2059:R2059"/>
    <mergeCell ref="O2038:P2038"/>
    <mergeCell ref="Q2037:R2037"/>
    <mergeCell ref="Q2038:R2038"/>
    <mergeCell ref="M2060:N2060"/>
    <mergeCell ref="C1938:D1938"/>
    <mergeCell ref="C1939:D1939"/>
    <mergeCell ref="B1949:B1951"/>
    <mergeCell ref="B1960:B1962"/>
    <mergeCell ref="C1982:D1982"/>
    <mergeCell ref="E2016:F2016"/>
    <mergeCell ref="C1960:D1960"/>
    <mergeCell ref="B2026:B2028"/>
    <mergeCell ref="B2037:B2039"/>
    <mergeCell ref="K2037:L2037"/>
    <mergeCell ref="K2038:L2038"/>
    <mergeCell ref="C2026:D2026"/>
    <mergeCell ref="C2027:D2027"/>
    <mergeCell ref="E2027:F2027"/>
    <mergeCell ref="G2026:H2026"/>
    <mergeCell ref="G2027:H2027"/>
    <mergeCell ref="I2015:J2015"/>
    <mergeCell ref="I2026:J2026"/>
    <mergeCell ref="I2027:J2027"/>
    <mergeCell ref="I1928:J1928"/>
    <mergeCell ref="B2081:B2083"/>
    <mergeCell ref="C2081:D2081"/>
    <mergeCell ref="C2082:D2082"/>
    <mergeCell ref="B2092:B2094"/>
    <mergeCell ref="C2092:D2092"/>
    <mergeCell ref="C2093:D2093"/>
    <mergeCell ref="B2070:B2072"/>
    <mergeCell ref="C2070:D2070"/>
    <mergeCell ref="C2071:D2071"/>
    <mergeCell ref="E2059:F2059"/>
    <mergeCell ref="E2060:F2060"/>
    <mergeCell ref="B2048:B2050"/>
    <mergeCell ref="C2048:D2048"/>
    <mergeCell ref="C2049:D2049"/>
    <mergeCell ref="E2026:F2026"/>
    <mergeCell ref="B2059:B2061"/>
    <mergeCell ref="C2059:D2059"/>
    <mergeCell ref="C2060:D2060"/>
    <mergeCell ref="B2180:B2182"/>
    <mergeCell ref="C2180:D2180"/>
    <mergeCell ref="C2181:D2181"/>
    <mergeCell ref="B2136:B2138"/>
    <mergeCell ref="C2136:D2136"/>
    <mergeCell ref="C2137:D2137"/>
    <mergeCell ref="B2147:B2149"/>
    <mergeCell ref="C2147:D2147"/>
    <mergeCell ref="C2148:D2148"/>
    <mergeCell ref="B2103:B2105"/>
    <mergeCell ref="C2103:D2103"/>
    <mergeCell ref="C2104:D2104"/>
    <mergeCell ref="B2114:B2116"/>
    <mergeCell ref="C2114:D2114"/>
    <mergeCell ref="C2115:D2115"/>
    <mergeCell ref="B2125:B2127"/>
    <mergeCell ref="C2125:D2125"/>
    <mergeCell ref="C2126:D2126"/>
    <mergeCell ref="B2290:B2292"/>
    <mergeCell ref="E2290:F2290"/>
    <mergeCell ref="E2291:F2291"/>
    <mergeCell ref="B2246:B2248"/>
    <mergeCell ref="C2246:D2246"/>
    <mergeCell ref="C2247:D2247"/>
    <mergeCell ref="B2257:B2259"/>
    <mergeCell ref="C2257:D2257"/>
    <mergeCell ref="C2258:D2258"/>
    <mergeCell ref="B2213:B2215"/>
    <mergeCell ref="C2213:D2213"/>
    <mergeCell ref="C2214:D2214"/>
    <mergeCell ref="B2224:B2226"/>
    <mergeCell ref="C2224:D2224"/>
    <mergeCell ref="C2225:D2225"/>
    <mergeCell ref="B2235:B2237"/>
    <mergeCell ref="C2235:D2235"/>
    <mergeCell ref="C2236:D2236"/>
    <mergeCell ref="C2290:D2290"/>
    <mergeCell ref="C2291:D2291"/>
    <mergeCell ref="I2346:J2346"/>
    <mergeCell ref="E2334:F2334"/>
    <mergeCell ref="E2335:F2335"/>
    <mergeCell ref="C2345:D2345"/>
    <mergeCell ref="E2345:F2345"/>
    <mergeCell ref="C2346:D2346"/>
    <mergeCell ref="E2346:F2346"/>
    <mergeCell ref="I2334:J2334"/>
    <mergeCell ref="I2335:J2335"/>
    <mergeCell ref="C2323:D2323"/>
    <mergeCell ref="C2324:D2324"/>
    <mergeCell ref="E2323:F2323"/>
    <mergeCell ref="E2324:F2324"/>
    <mergeCell ref="G2345:H2345"/>
    <mergeCell ref="G2346:H2346"/>
    <mergeCell ref="I2345:J2345"/>
    <mergeCell ref="G2334:H2334"/>
    <mergeCell ref="G2335:H2335"/>
    <mergeCell ref="I2324:J2324"/>
    <mergeCell ref="I2323:J2323"/>
    <mergeCell ref="B2378:B2380"/>
    <mergeCell ref="C2378:D2378"/>
    <mergeCell ref="C2379:D2379"/>
    <mergeCell ref="B2389:B2391"/>
    <mergeCell ref="C2389:D2389"/>
    <mergeCell ref="C2390:D2390"/>
    <mergeCell ref="B2400:B2402"/>
    <mergeCell ref="C2400:D2400"/>
    <mergeCell ref="C2401:D2401"/>
    <mergeCell ref="B2356:B2358"/>
    <mergeCell ref="C2356:D2356"/>
    <mergeCell ref="C2357:D2357"/>
    <mergeCell ref="B2367:B2369"/>
    <mergeCell ref="C2367:D2367"/>
    <mergeCell ref="C2368:D2368"/>
    <mergeCell ref="B2345:B2347"/>
    <mergeCell ref="E2400:F2400"/>
    <mergeCell ref="E2401:F2401"/>
    <mergeCell ref="B2466:B2468"/>
    <mergeCell ref="C2466:D2466"/>
    <mergeCell ref="C2467:D2467"/>
    <mergeCell ref="B2477:B2479"/>
    <mergeCell ref="C2477:D2477"/>
    <mergeCell ref="C2478:D2478"/>
    <mergeCell ref="B2433:B2435"/>
    <mergeCell ref="C2433:D2433"/>
    <mergeCell ref="C2434:D2434"/>
    <mergeCell ref="B2444:B2446"/>
    <mergeCell ref="C2444:D2444"/>
    <mergeCell ref="C2445:D2445"/>
    <mergeCell ref="B2455:B2457"/>
    <mergeCell ref="C2455:D2455"/>
    <mergeCell ref="C2456:D2456"/>
    <mergeCell ref="B2411:B2413"/>
    <mergeCell ref="C2411:D2411"/>
    <mergeCell ref="C2412:D2412"/>
    <mergeCell ref="B2422:B2424"/>
    <mergeCell ref="C2422:D2422"/>
    <mergeCell ref="C2423:D2423"/>
    <mergeCell ref="B2543:B2545"/>
    <mergeCell ref="C2543:D2543"/>
    <mergeCell ref="C2544:D2544"/>
    <mergeCell ref="B2554:B2556"/>
    <mergeCell ref="C2554:D2554"/>
    <mergeCell ref="C2555:D2555"/>
    <mergeCell ref="B2565:B2567"/>
    <mergeCell ref="C2565:D2565"/>
    <mergeCell ref="C2566:D2566"/>
    <mergeCell ref="B2521:B2523"/>
    <mergeCell ref="C2521:D2521"/>
    <mergeCell ref="C2522:D2522"/>
    <mergeCell ref="B2532:B2534"/>
    <mergeCell ref="C2532:D2532"/>
    <mergeCell ref="C2533:D2533"/>
    <mergeCell ref="B2488:B2490"/>
    <mergeCell ref="C2488:D2488"/>
    <mergeCell ref="C2489:D2489"/>
    <mergeCell ref="B2499:B2501"/>
    <mergeCell ref="C2499:D2499"/>
    <mergeCell ref="C2500:D2500"/>
    <mergeCell ref="B2510:B2512"/>
    <mergeCell ref="C2510:D2510"/>
    <mergeCell ref="C2511:D2511"/>
    <mergeCell ref="B2642:B2644"/>
    <mergeCell ref="C2642:D2642"/>
    <mergeCell ref="C2643:D2643"/>
    <mergeCell ref="B2598:B2600"/>
    <mergeCell ref="C2598:D2598"/>
    <mergeCell ref="C2599:D2599"/>
    <mergeCell ref="B2609:B2611"/>
    <mergeCell ref="C2609:D2609"/>
    <mergeCell ref="C2610:D2610"/>
    <mergeCell ref="B2620:B2622"/>
    <mergeCell ref="C2620:D2620"/>
    <mergeCell ref="C2621:D2621"/>
    <mergeCell ref="B2576:B2578"/>
    <mergeCell ref="C2576:D2576"/>
    <mergeCell ref="C2577:D2577"/>
    <mergeCell ref="B2587:B2589"/>
    <mergeCell ref="C2587:D2587"/>
    <mergeCell ref="C2588:D2588"/>
    <mergeCell ref="B3291:B3293"/>
    <mergeCell ref="C3291:D3291"/>
    <mergeCell ref="C3292:D3292"/>
    <mergeCell ref="B3203:B3205"/>
    <mergeCell ref="C2796:D2796"/>
    <mergeCell ref="C2797:D2797"/>
    <mergeCell ref="B2807:B2809"/>
    <mergeCell ref="C2807:D2807"/>
    <mergeCell ref="C2808:D2808"/>
    <mergeCell ref="B2763:B2765"/>
    <mergeCell ref="C2763:D2763"/>
    <mergeCell ref="C2764:D2764"/>
    <mergeCell ref="B2774:B2776"/>
    <mergeCell ref="C2774:D2774"/>
    <mergeCell ref="C2775:D2775"/>
    <mergeCell ref="B2785:B2787"/>
    <mergeCell ref="C2785:D2785"/>
    <mergeCell ref="C2786:D2786"/>
    <mergeCell ref="B2972:B2974"/>
    <mergeCell ref="B2939:B2941"/>
    <mergeCell ref="C2939:D2939"/>
    <mergeCell ref="C2940:D2940"/>
    <mergeCell ref="B2950:B2952"/>
    <mergeCell ref="C2950:D2950"/>
    <mergeCell ref="C2951:D2951"/>
    <mergeCell ref="B2873:B2875"/>
    <mergeCell ref="C2873:D2873"/>
    <mergeCell ref="C2874:D2874"/>
    <mergeCell ref="B2884:B2886"/>
    <mergeCell ref="C2884:D2884"/>
    <mergeCell ref="C2885:D2885"/>
    <mergeCell ref="B2895:B2897"/>
    <mergeCell ref="B3302:B3304"/>
    <mergeCell ref="C3302:D3302"/>
    <mergeCell ref="C3303:D3303"/>
    <mergeCell ref="B3159:B3161"/>
    <mergeCell ref="C3159:D3159"/>
    <mergeCell ref="C3160:D3160"/>
    <mergeCell ref="B3170:B3172"/>
    <mergeCell ref="C3170:D3170"/>
    <mergeCell ref="C3171:D3171"/>
    <mergeCell ref="B3126:B3128"/>
    <mergeCell ref="C3126:D3126"/>
    <mergeCell ref="C3127:D3127"/>
    <mergeCell ref="B3137:B3139"/>
    <mergeCell ref="C3137:D3137"/>
    <mergeCell ref="C3138:D3138"/>
    <mergeCell ref="B3093:B3095"/>
    <mergeCell ref="C3093:D3093"/>
    <mergeCell ref="C3094:D3094"/>
    <mergeCell ref="B3104:B3106"/>
    <mergeCell ref="C3104:D3104"/>
    <mergeCell ref="C3105:D3105"/>
    <mergeCell ref="B3115:B3117"/>
    <mergeCell ref="C3115:D3115"/>
    <mergeCell ref="C3116:D3116"/>
    <mergeCell ref="B3192:B3194"/>
    <mergeCell ref="B3258:B3260"/>
    <mergeCell ref="C3258:D3258"/>
    <mergeCell ref="C3259:D3259"/>
    <mergeCell ref="B3269:B3271"/>
    <mergeCell ref="C3269:D3269"/>
    <mergeCell ref="B3280:B3282"/>
    <mergeCell ref="C3280:D3280"/>
    <mergeCell ref="C2929:D2929"/>
    <mergeCell ref="C3203:D3203"/>
    <mergeCell ref="C3204:D3204"/>
    <mergeCell ref="B3214:B3216"/>
    <mergeCell ref="C3214:D3214"/>
    <mergeCell ref="C3215:D3215"/>
    <mergeCell ref="B3181:B3183"/>
    <mergeCell ref="C3181:D3181"/>
    <mergeCell ref="C3182:D3182"/>
    <mergeCell ref="B2906:B2908"/>
    <mergeCell ref="C2906:D2906"/>
    <mergeCell ref="C2907:D2907"/>
    <mergeCell ref="B2917:B2919"/>
    <mergeCell ref="C2917:D2917"/>
    <mergeCell ref="C2918:D2918"/>
    <mergeCell ref="C2961:D2961"/>
    <mergeCell ref="C2962:D2962"/>
    <mergeCell ref="C3082:D3082"/>
    <mergeCell ref="B3027:B3029"/>
    <mergeCell ref="B2983:B2985"/>
    <mergeCell ref="C3148:D3148"/>
    <mergeCell ref="C3149:D3149"/>
    <mergeCell ref="C3006:D3006"/>
    <mergeCell ref="B2961:B2963"/>
    <mergeCell ref="C3005:D3005"/>
    <mergeCell ref="B3016:B3018"/>
    <mergeCell ref="C3016:D3016"/>
    <mergeCell ref="C3017:D3017"/>
    <mergeCell ref="C3281:D3281"/>
    <mergeCell ref="B3236:B3238"/>
    <mergeCell ref="C3236:D3236"/>
    <mergeCell ref="C3237:D3237"/>
    <mergeCell ref="B3247:B3249"/>
    <mergeCell ref="C3247:D3247"/>
    <mergeCell ref="C3248:D3248"/>
    <mergeCell ref="B3225:B3227"/>
    <mergeCell ref="C3225:D3225"/>
    <mergeCell ref="C3226:D3226"/>
    <mergeCell ref="C3270:D3270"/>
    <mergeCell ref="C3027:D3027"/>
    <mergeCell ref="B3071:B3073"/>
    <mergeCell ref="C3071:D3071"/>
    <mergeCell ref="C3072:D3072"/>
    <mergeCell ref="B3082:B3084"/>
    <mergeCell ref="C3192:D3192"/>
    <mergeCell ref="C3193:D3193"/>
    <mergeCell ref="B3148:B3150"/>
    <mergeCell ref="C3028:D3028"/>
    <mergeCell ref="C3083:D3083"/>
    <mergeCell ref="B3038:B3040"/>
    <mergeCell ref="C3038:D3038"/>
    <mergeCell ref="C3039:D3039"/>
    <mergeCell ref="B3049:B3051"/>
    <mergeCell ref="C3049:D3049"/>
    <mergeCell ref="C3050:D3050"/>
    <mergeCell ref="B3060:B3062"/>
    <mergeCell ref="C3060:D3060"/>
    <mergeCell ref="C3061:D3061"/>
    <mergeCell ref="E2114:F2114"/>
    <mergeCell ref="E2115:F2115"/>
    <mergeCell ref="B893:B895"/>
    <mergeCell ref="E1773:F1773"/>
    <mergeCell ref="C1994:D1994"/>
    <mergeCell ref="B2851:B2853"/>
    <mergeCell ref="C2895:D2895"/>
    <mergeCell ref="C2983:D2983"/>
    <mergeCell ref="C2984:D2984"/>
    <mergeCell ref="B2994:B2996"/>
    <mergeCell ref="C2994:D2994"/>
    <mergeCell ref="C2995:D2995"/>
    <mergeCell ref="B3005:B3007"/>
    <mergeCell ref="C2851:D2851"/>
    <mergeCell ref="C2896:D2896"/>
    <mergeCell ref="C2972:D2972"/>
    <mergeCell ref="C2852:D2852"/>
    <mergeCell ref="B2862:B2864"/>
    <mergeCell ref="C2862:D2862"/>
    <mergeCell ref="C2863:D2863"/>
    <mergeCell ref="B2818:B2820"/>
    <mergeCell ref="C2818:D2818"/>
    <mergeCell ref="C2819:D2819"/>
    <mergeCell ref="B2829:B2831"/>
    <mergeCell ref="B2840:B2842"/>
    <mergeCell ref="B2796:B2798"/>
    <mergeCell ref="C1212:D1212"/>
    <mergeCell ref="C1213:D1213"/>
    <mergeCell ref="C2973:D2973"/>
    <mergeCell ref="B2928:B2930"/>
    <mergeCell ref="C2928:D2928"/>
    <mergeCell ref="B2741:B2743"/>
    <mergeCell ref="C2741:D2741"/>
    <mergeCell ref="G2203:H2203"/>
    <mergeCell ref="C1719:D1719"/>
    <mergeCell ref="C1961:D1961"/>
    <mergeCell ref="C1949:D1949"/>
    <mergeCell ref="C1950:D1950"/>
    <mergeCell ref="E1883:F1883"/>
    <mergeCell ref="E1884:F1884"/>
    <mergeCell ref="E1949:F1949"/>
    <mergeCell ref="E1950:F1950"/>
    <mergeCell ref="C1597:D1597"/>
    <mergeCell ref="C1598:D1598"/>
    <mergeCell ref="B2752:B2754"/>
    <mergeCell ref="C2752:D2752"/>
    <mergeCell ref="C2753:D2753"/>
    <mergeCell ref="B2708:B2710"/>
    <mergeCell ref="C2708:D2708"/>
    <mergeCell ref="C2709:D2709"/>
    <mergeCell ref="B2719:B2721"/>
    <mergeCell ref="C2719:D2719"/>
    <mergeCell ref="C2720:D2720"/>
    <mergeCell ref="B2730:B2732"/>
    <mergeCell ref="C2730:D2730"/>
    <mergeCell ref="C2731:D2731"/>
    <mergeCell ref="B2686:B2688"/>
    <mergeCell ref="C2686:D2686"/>
    <mergeCell ref="C2687:D2687"/>
    <mergeCell ref="C2676:D2676"/>
    <mergeCell ref="B2631:B2633"/>
    <mergeCell ref="C2631:D2631"/>
    <mergeCell ref="C2632:D2632"/>
    <mergeCell ref="B2312:B2314"/>
    <mergeCell ref="K2346:L2346"/>
    <mergeCell ref="E838:F838"/>
    <mergeCell ref="E839:F839"/>
    <mergeCell ref="E1916:F1916"/>
    <mergeCell ref="E1917:F1917"/>
    <mergeCell ref="E1509:F1509"/>
    <mergeCell ref="E1510:F1510"/>
    <mergeCell ref="E1520:F1520"/>
    <mergeCell ref="C1564:D1564"/>
    <mergeCell ref="C1565:D1565"/>
    <mergeCell ref="B1740:B1742"/>
    <mergeCell ref="G1521:H1521"/>
    <mergeCell ref="C2829:D2829"/>
    <mergeCell ref="C2830:D2830"/>
    <mergeCell ref="C2301:D2301"/>
    <mergeCell ref="C2302:D2302"/>
    <mergeCell ref="C2312:D2312"/>
    <mergeCell ref="C2313:D2313"/>
    <mergeCell ref="E2302:F2302"/>
    <mergeCell ref="C1696:D1696"/>
    <mergeCell ref="C1631:D1631"/>
    <mergeCell ref="E1521:F1521"/>
    <mergeCell ref="B2697:B2699"/>
    <mergeCell ref="C2697:D2697"/>
    <mergeCell ref="C2698:D2698"/>
    <mergeCell ref="B2653:B2655"/>
    <mergeCell ref="C2653:D2653"/>
    <mergeCell ref="C2654:D2654"/>
    <mergeCell ref="B2664:B2666"/>
    <mergeCell ref="C2664:D2664"/>
    <mergeCell ref="C2665:D2665"/>
    <mergeCell ref="B2675:B2677"/>
    <mergeCell ref="C2841:D2841"/>
    <mergeCell ref="C1509:D1509"/>
    <mergeCell ref="C1510:D1510"/>
    <mergeCell ref="C794:D794"/>
    <mergeCell ref="C795:D795"/>
    <mergeCell ref="C1586:D1586"/>
    <mergeCell ref="C1587:D1587"/>
    <mergeCell ref="E2203:F2203"/>
    <mergeCell ref="E2159:F2159"/>
    <mergeCell ref="C1708:D1708"/>
    <mergeCell ref="C1718:D1718"/>
    <mergeCell ref="E2126:F2126"/>
    <mergeCell ref="C1762:D1762"/>
    <mergeCell ref="C1763:D1763"/>
    <mergeCell ref="C1674:D1674"/>
    <mergeCell ref="C1113:D1113"/>
    <mergeCell ref="C1114:D1114"/>
    <mergeCell ref="C1267:D1267"/>
    <mergeCell ref="C1554:D1554"/>
    <mergeCell ref="C2742:D2742"/>
    <mergeCell ref="E817:F817"/>
    <mergeCell ref="E1829:F1829"/>
    <mergeCell ref="E1279:F1279"/>
    <mergeCell ref="E1278:F1278"/>
    <mergeCell ref="E1212:F1212"/>
    <mergeCell ref="C2675:D2675"/>
    <mergeCell ref="C2840:D2840"/>
    <mergeCell ref="C2191:D2191"/>
    <mergeCell ref="C2192:D2192"/>
    <mergeCell ref="C2202:D2202"/>
    <mergeCell ref="C2203:D2203"/>
    <mergeCell ref="C2158:D2158"/>
    <mergeCell ref="E673:F673"/>
    <mergeCell ref="E640:F640"/>
    <mergeCell ref="G761:H761"/>
    <mergeCell ref="Q739:R739"/>
    <mergeCell ref="E684:F684"/>
    <mergeCell ref="W453:X453"/>
    <mergeCell ref="E2125:F2125"/>
    <mergeCell ref="G1873:H1873"/>
    <mergeCell ref="W553:X553"/>
    <mergeCell ref="K553:L553"/>
    <mergeCell ref="O453:P453"/>
    <mergeCell ref="S1949:T1949"/>
    <mergeCell ref="W1653:X1653"/>
    <mergeCell ref="E1652:F1652"/>
    <mergeCell ref="O1641:P1641"/>
    <mergeCell ref="E1642:F1642"/>
    <mergeCell ref="G1642:H1642"/>
    <mergeCell ref="I1642:J1642"/>
    <mergeCell ref="K1641:L1641"/>
    <mergeCell ref="K1642:L1642"/>
    <mergeCell ref="U497:V497"/>
    <mergeCell ref="W1641:X1641"/>
    <mergeCell ref="U454:V454"/>
    <mergeCell ref="E871:F871"/>
    <mergeCell ref="E872:F872"/>
    <mergeCell ref="G453:H453"/>
    <mergeCell ref="G454:H454"/>
    <mergeCell ref="G497:H497"/>
    <mergeCell ref="S454:T454"/>
    <mergeCell ref="E597:F597"/>
    <mergeCell ref="E641:F641"/>
    <mergeCell ref="E2015:F2015"/>
    <mergeCell ref="AQ454:AR454"/>
    <mergeCell ref="W443:X443"/>
    <mergeCell ref="U443:V443"/>
    <mergeCell ref="AE453:AF453"/>
    <mergeCell ref="BS497:BT497"/>
    <mergeCell ref="BO552:BP552"/>
    <mergeCell ref="BO553:BP553"/>
    <mergeCell ref="BY497:BZ497"/>
    <mergeCell ref="Y454:Z454"/>
    <mergeCell ref="BA552:BB552"/>
    <mergeCell ref="BC552:BD552"/>
    <mergeCell ref="AO553:AP553"/>
    <mergeCell ref="BW497:BX497"/>
    <mergeCell ref="BW498:BX498"/>
    <mergeCell ref="BA553:BB553"/>
    <mergeCell ref="BC553:BD553"/>
    <mergeCell ref="AU552:AV552"/>
    <mergeCell ref="AS553:AT553"/>
    <mergeCell ref="AC552:AD552"/>
    <mergeCell ref="BO498:BP498"/>
    <mergeCell ref="BK553:BL553"/>
    <mergeCell ref="AW498:AX498"/>
    <mergeCell ref="BM497:BN497"/>
    <mergeCell ref="AS498:AT498"/>
    <mergeCell ref="AU497:AV497"/>
    <mergeCell ref="AU498:AV498"/>
    <mergeCell ref="AU454:AV454"/>
    <mergeCell ref="AK553:AL553"/>
    <mergeCell ref="AE552:AF552"/>
    <mergeCell ref="BA454:BB454"/>
    <mergeCell ref="AO498:AP498"/>
    <mergeCell ref="AE497:AF497"/>
    <mergeCell ref="AO432:AP432"/>
    <mergeCell ref="AU432:AV432"/>
    <mergeCell ref="AQ442:AR442"/>
    <mergeCell ref="AS442:AT442"/>
    <mergeCell ref="AQ432:AR432"/>
    <mergeCell ref="AG442:AH442"/>
    <mergeCell ref="AY442:AZ442"/>
    <mergeCell ref="AA442:AB442"/>
    <mergeCell ref="AC442:AD442"/>
    <mergeCell ref="AA453:AB453"/>
    <mergeCell ref="AO443:AP443"/>
    <mergeCell ref="AQ443:AR443"/>
    <mergeCell ref="AO442:AP442"/>
    <mergeCell ref="AW442:AX442"/>
    <mergeCell ref="BA453:BB453"/>
    <mergeCell ref="AW432:AX432"/>
    <mergeCell ref="Y442:Z442"/>
    <mergeCell ref="AE442:AF442"/>
    <mergeCell ref="BA442:BB442"/>
    <mergeCell ref="AU453:AV453"/>
    <mergeCell ref="AW453:AX453"/>
    <mergeCell ref="AS443:AT443"/>
    <mergeCell ref="AU443:AV443"/>
    <mergeCell ref="AW443:AX443"/>
    <mergeCell ref="AY443:AZ443"/>
    <mergeCell ref="BA443:BB443"/>
    <mergeCell ref="AE443:AF443"/>
    <mergeCell ref="AG453:AH453"/>
    <mergeCell ref="AI453:AJ453"/>
    <mergeCell ref="AK453:AL453"/>
    <mergeCell ref="AS453:AT453"/>
    <mergeCell ref="AS432:AT432"/>
    <mergeCell ref="M2291:N2291"/>
    <mergeCell ref="M1950:N1950"/>
    <mergeCell ref="M2114:N2114"/>
    <mergeCell ref="M2203:N2203"/>
    <mergeCell ref="M2334:N2334"/>
    <mergeCell ref="K2335:L2335"/>
    <mergeCell ref="M2335:N2335"/>
    <mergeCell ref="O2114:P2114"/>
    <mergeCell ref="K2202:L2202"/>
    <mergeCell ref="M2125:N2125"/>
    <mergeCell ref="W2004:X2004"/>
    <mergeCell ref="U2335:V2335"/>
    <mergeCell ref="K2345:L2345"/>
    <mergeCell ref="K2323:L2323"/>
    <mergeCell ref="K2324:L2324"/>
    <mergeCell ref="U2027:V2027"/>
    <mergeCell ref="W2060:X2060"/>
    <mergeCell ref="K2015:L2015"/>
    <mergeCell ref="M1982:N1982"/>
    <mergeCell ref="S1950:T1950"/>
    <mergeCell ref="S2290:T2290"/>
    <mergeCell ref="O1982:P1982"/>
    <mergeCell ref="K2114:L2114"/>
    <mergeCell ref="O2323:P2323"/>
    <mergeCell ref="U2060:V2060"/>
    <mergeCell ref="U2291:V2291"/>
    <mergeCell ref="Q2334:R2334"/>
    <mergeCell ref="W2126:X2126"/>
    <mergeCell ref="W2290:X2290"/>
    <mergeCell ref="O2334:P2334"/>
    <mergeCell ref="S2059:T2059"/>
    <mergeCell ref="O2324:P2324"/>
    <mergeCell ref="Q2323:R2323"/>
    <mergeCell ref="Q2324:R2324"/>
    <mergeCell ref="AE1950:AF1950"/>
    <mergeCell ref="AQ2115:AR2115"/>
    <mergeCell ref="AU2334:AV2334"/>
    <mergeCell ref="AW2334:AX2334"/>
    <mergeCell ref="Q2291:R2291"/>
    <mergeCell ref="AM2126:AN2126"/>
    <mergeCell ref="AA1950:AB1950"/>
    <mergeCell ref="W2037:X2037"/>
    <mergeCell ref="B68:B70"/>
    <mergeCell ref="B343:B345"/>
    <mergeCell ref="B35:B37"/>
    <mergeCell ref="B211:B213"/>
    <mergeCell ref="B200:B202"/>
    <mergeCell ref="B123:B125"/>
    <mergeCell ref="B46:B48"/>
    <mergeCell ref="B57:B59"/>
    <mergeCell ref="B90:B92"/>
    <mergeCell ref="B79:B81"/>
    <mergeCell ref="B134:B136"/>
    <mergeCell ref="B178:B180"/>
    <mergeCell ref="B189:B191"/>
    <mergeCell ref="B101:B103"/>
    <mergeCell ref="B112:B114"/>
    <mergeCell ref="B156:B158"/>
    <mergeCell ref="B167:B169"/>
    <mergeCell ref="B222:B224"/>
    <mergeCell ref="B145:B147"/>
    <mergeCell ref="B266:B268"/>
    <mergeCell ref="B244:B246"/>
    <mergeCell ref="B277:B279"/>
    <mergeCell ref="B310:B312"/>
    <mergeCell ref="B288:B290"/>
    <mergeCell ref="B255:B257"/>
    <mergeCell ref="B299:B301"/>
    <mergeCell ref="B321:B323"/>
    <mergeCell ref="B332:B334"/>
    <mergeCell ref="U2038:V2038"/>
    <mergeCell ref="W2038:X2038"/>
    <mergeCell ref="Q1950:R1950"/>
    <mergeCell ref="K2026:L2026"/>
    <mergeCell ref="M2026:N2026"/>
    <mergeCell ref="K2027:L2027"/>
    <mergeCell ref="M2027:N2027"/>
    <mergeCell ref="C1531:D1531"/>
    <mergeCell ref="C1532:D1532"/>
    <mergeCell ref="C1477:D1477"/>
    <mergeCell ref="C1498:D1498"/>
    <mergeCell ref="C1499:D1499"/>
    <mergeCell ref="C1443:D1443"/>
    <mergeCell ref="C1444:D1444"/>
    <mergeCell ref="C1433:D1433"/>
    <mergeCell ref="U1949:V1949"/>
    <mergeCell ref="W1949:X1949"/>
    <mergeCell ref="G1950:H1950"/>
    <mergeCell ref="M674:N674"/>
    <mergeCell ref="I1080:J1080"/>
    <mergeCell ref="I1213:J1213"/>
    <mergeCell ref="K1213:L1213"/>
    <mergeCell ref="M1213:N1213"/>
    <mergeCell ref="E1081:F1081"/>
    <mergeCell ref="E1168:F1168"/>
    <mergeCell ref="B1399:B1401"/>
    <mergeCell ref="AA2038:AB2038"/>
    <mergeCell ref="M1983:N1983"/>
    <mergeCell ref="W1950:X1950"/>
    <mergeCell ref="AI2059:AJ2059"/>
    <mergeCell ref="AI2060:AJ2060"/>
    <mergeCell ref="AG2059:AH2059"/>
    <mergeCell ref="K2125:L2125"/>
    <mergeCell ref="W2005:X2005"/>
    <mergeCell ref="M2037:N2037"/>
    <mergeCell ref="M2038:N2038"/>
    <mergeCell ref="AA2125:AB2125"/>
    <mergeCell ref="O1950:P1950"/>
    <mergeCell ref="K2115:L2115"/>
    <mergeCell ref="M2115:N2115"/>
    <mergeCell ref="AA2059:AB2059"/>
    <mergeCell ref="M2059:N2059"/>
    <mergeCell ref="O2059:P2059"/>
    <mergeCell ref="AE2114:AF2114"/>
    <mergeCell ref="K2059:L2059"/>
    <mergeCell ref="K2060:L2060"/>
    <mergeCell ref="AA2027:AB2027"/>
    <mergeCell ref="AA2060:AB2060"/>
    <mergeCell ref="AC2114:AD2114"/>
    <mergeCell ref="AE2059:AF2059"/>
    <mergeCell ref="AE2060:AF2060"/>
    <mergeCell ref="S2114:T2114"/>
    <mergeCell ref="S2026:T2026"/>
    <mergeCell ref="S2027:T2027"/>
    <mergeCell ref="S2038:T2038"/>
    <mergeCell ref="AC2027:AD2027"/>
    <mergeCell ref="AC2059:AD2059"/>
    <mergeCell ref="I2290:J2290"/>
    <mergeCell ref="K2334:L2334"/>
    <mergeCell ref="B1575:B1577"/>
    <mergeCell ref="C1575:D1575"/>
    <mergeCell ref="B1520:B1522"/>
    <mergeCell ref="C1520:D1520"/>
    <mergeCell ref="C1521:D1521"/>
    <mergeCell ref="E1433:F1433"/>
    <mergeCell ref="AC2202:AD2202"/>
    <mergeCell ref="AC2203:AD2203"/>
    <mergeCell ref="AM1982:AN1982"/>
    <mergeCell ref="AO1982:AP1982"/>
    <mergeCell ref="O2290:P2290"/>
    <mergeCell ref="O2291:P2291"/>
    <mergeCell ref="U2202:V2202"/>
    <mergeCell ref="Q2126:R2126"/>
    <mergeCell ref="O2147:P2147"/>
    <mergeCell ref="E2202:F2202"/>
    <mergeCell ref="G2015:H2015"/>
    <mergeCell ref="I2037:J2037"/>
    <mergeCell ref="B2323:B2325"/>
    <mergeCell ref="G2323:H2323"/>
    <mergeCell ref="G2324:H2324"/>
    <mergeCell ref="B2334:B2336"/>
    <mergeCell ref="C2334:D2334"/>
    <mergeCell ref="C2335:D2335"/>
    <mergeCell ref="B2268:B2270"/>
    <mergeCell ref="C2268:D2268"/>
    <mergeCell ref="C2269:D2269"/>
    <mergeCell ref="B2279:B2281"/>
    <mergeCell ref="C2279:D2279"/>
    <mergeCell ref="C2280:D2280"/>
    <mergeCell ref="B2301:B2303"/>
    <mergeCell ref="AO2114:AP2114"/>
    <mergeCell ref="AO2115:AP2115"/>
    <mergeCell ref="AQ2125:AR2125"/>
    <mergeCell ref="AQ2126:AR2126"/>
    <mergeCell ref="AI2114:AJ2114"/>
    <mergeCell ref="G2202:H2202"/>
    <mergeCell ref="AK1433:AL1433"/>
    <mergeCell ref="G1498:H1498"/>
    <mergeCell ref="G1499:H1499"/>
    <mergeCell ref="I1499:J1499"/>
    <mergeCell ref="U1498:V1498"/>
    <mergeCell ref="AO2126:AP2126"/>
    <mergeCell ref="AS2115:AT2115"/>
    <mergeCell ref="G1641:H1641"/>
    <mergeCell ref="G1587:H1587"/>
    <mergeCell ref="Q1641:R1641"/>
    <mergeCell ref="Q1642:R1642"/>
    <mergeCell ref="AI1642:AJ1642"/>
    <mergeCell ref="O1542:P1542"/>
    <mergeCell ref="I2115:J2115"/>
    <mergeCell ref="U2026:V2026"/>
    <mergeCell ref="S2126:T2126"/>
    <mergeCell ref="I2114:J2114"/>
    <mergeCell ref="E1807:F1807"/>
    <mergeCell ref="E1730:F1730"/>
    <mergeCell ref="G1729:H1729"/>
    <mergeCell ref="G1686:H1686"/>
    <mergeCell ref="I1806:J1806"/>
    <mergeCell ref="E1707:F1707"/>
    <mergeCell ref="E1708:F1708"/>
    <mergeCell ref="S2202:T2202"/>
    <mergeCell ref="C1399:D1399"/>
    <mergeCell ref="C1400:D1400"/>
    <mergeCell ref="B1410:B1412"/>
    <mergeCell ref="C1410:D1410"/>
    <mergeCell ref="C1411:D1411"/>
    <mergeCell ref="B1421:B1423"/>
    <mergeCell ref="B1542:B1544"/>
    <mergeCell ref="B1443:B1445"/>
    <mergeCell ref="B1553:B1555"/>
    <mergeCell ref="B1465:B1467"/>
    <mergeCell ref="C1465:D1465"/>
    <mergeCell ref="C1466:D1466"/>
    <mergeCell ref="C1553:D1553"/>
    <mergeCell ref="B1509:B1511"/>
    <mergeCell ref="B1531:B1533"/>
    <mergeCell ref="G1520:H1520"/>
    <mergeCell ref="E1851:F1851"/>
    <mergeCell ref="E1488:F1488"/>
    <mergeCell ref="E1487:F1487"/>
    <mergeCell ref="B1729:B1731"/>
    <mergeCell ref="B1685:B1687"/>
    <mergeCell ref="B1564:B1566"/>
    <mergeCell ref="B1652:B1654"/>
    <mergeCell ref="C1741:D1741"/>
    <mergeCell ref="C1751:D1751"/>
    <mergeCell ref="C1752:D1752"/>
    <mergeCell ref="C1795:D1795"/>
    <mergeCell ref="C1663:D1663"/>
    <mergeCell ref="C1675:D1675"/>
    <mergeCell ref="C1488:D1488"/>
    <mergeCell ref="C1543:D1543"/>
    <mergeCell ref="C1630:D1630"/>
    <mergeCell ref="B2191:B2193"/>
    <mergeCell ref="B2202:B2204"/>
    <mergeCell ref="B2158:B2160"/>
    <mergeCell ref="C2159:D2159"/>
    <mergeCell ref="B2169:B2171"/>
    <mergeCell ref="C2169:D2169"/>
    <mergeCell ref="C2170:D2170"/>
    <mergeCell ref="W90:X90"/>
    <mergeCell ref="W91:X91"/>
    <mergeCell ref="K244:L244"/>
    <mergeCell ref="K245:L245"/>
    <mergeCell ref="E310:F310"/>
    <mergeCell ref="E311:F311"/>
    <mergeCell ref="E365:F365"/>
    <mergeCell ref="E366:F366"/>
    <mergeCell ref="E376:F376"/>
    <mergeCell ref="E377:F377"/>
    <mergeCell ref="G376:H376"/>
    <mergeCell ref="G377:H377"/>
    <mergeCell ref="I376:J376"/>
    <mergeCell ref="G102:H102"/>
    <mergeCell ref="G134:H134"/>
    <mergeCell ref="G135:H135"/>
    <mergeCell ref="E189:F189"/>
    <mergeCell ref="E190:F190"/>
    <mergeCell ref="M332:N332"/>
    <mergeCell ref="M333:N333"/>
    <mergeCell ref="M90:N90"/>
    <mergeCell ref="O91:P91"/>
    <mergeCell ref="Q91:R91"/>
    <mergeCell ref="E212:F212"/>
    <mergeCell ref="E255:F255"/>
    <mergeCell ref="E256:F256"/>
    <mergeCell ref="G201:H201"/>
    <mergeCell ref="E321:F321"/>
    <mergeCell ref="E322:F322"/>
    <mergeCell ref="G321:H321"/>
    <mergeCell ref="G322:H322"/>
    <mergeCell ref="I244:J244"/>
    <mergeCell ref="Q2290:R2290"/>
    <mergeCell ref="G553:H553"/>
    <mergeCell ref="O596:P596"/>
    <mergeCell ref="I673:J673"/>
    <mergeCell ref="I674:J674"/>
    <mergeCell ref="K673:L673"/>
    <mergeCell ref="I817:J817"/>
    <mergeCell ref="C1026:D1026"/>
    <mergeCell ref="CE443:CF443"/>
    <mergeCell ref="AK442:AL442"/>
    <mergeCell ref="AM442:AN442"/>
    <mergeCell ref="AU442:AV442"/>
    <mergeCell ref="BO443:BP443"/>
    <mergeCell ref="BE442:BF442"/>
    <mergeCell ref="AI431:AJ431"/>
    <mergeCell ref="AC432:AD432"/>
    <mergeCell ref="AQ431:AR431"/>
    <mergeCell ref="BI442:BJ442"/>
    <mergeCell ref="BI443:BJ443"/>
    <mergeCell ref="BK443:BL443"/>
    <mergeCell ref="BG442:BH442"/>
    <mergeCell ref="AA432:AB432"/>
    <mergeCell ref="Y432:Z432"/>
    <mergeCell ref="BO442:BP442"/>
    <mergeCell ref="AS431:AT431"/>
    <mergeCell ref="AM431:AN431"/>
    <mergeCell ref="AC431:AD431"/>
    <mergeCell ref="AK431:AL431"/>
    <mergeCell ref="AK443:AL443"/>
    <mergeCell ref="AM443:AN443"/>
    <mergeCell ref="K1586:L1586"/>
    <mergeCell ref="CI552:CJ552"/>
    <mergeCell ref="CI553:CJ553"/>
    <mergeCell ref="G498:H498"/>
    <mergeCell ref="K498:L498"/>
    <mergeCell ref="M498:N498"/>
    <mergeCell ref="O498:P498"/>
    <mergeCell ref="G552:H552"/>
    <mergeCell ref="K552:L552"/>
    <mergeCell ref="M552:N552"/>
    <mergeCell ref="O552:P552"/>
    <mergeCell ref="AG497:AH497"/>
    <mergeCell ref="AI497:AJ497"/>
    <mergeCell ref="AG498:AH498"/>
    <mergeCell ref="AI498:AJ498"/>
    <mergeCell ref="AW552:AX552"/>
    <mergeCell ref="AY552:AZ552"/>
    <mergeCell ref="AK498:AL498"/>
    <mergeCell ref="CC552:CD552"/>
    <mergeCell ref="CC497:CD497"/>
    <mergeCell ref="CC498:CD498"/>
    <mergeCell ref="CG552:CH552"/>
    <mergeCell ref="CA552:CB552"/>
    <mergeCell ref="BK497:BL497"/>
    <mergeCell ref="Y497:Z497"/>
    <mergeCell ref="AO497:AP497"/>
    <mergeCell ref="BQ498:BR498"/>
    <mergeCell ref="BQ552:BR552"/>
    <mergeCell ref="BU553:BV553"/>
    <mergeCell ref="CC553:CD553"/>
    <mergeCell ref="BE553:BF553"/>
    <mergeCell ref="AC497:AD497"/>
    <mergeCell ref="AC498:AD498"/>
    <mergeCell ref="CK552:CL552"/>
    <mergeCell ref="E618:F618"/>
    <mergeCell ref="E619:F619"/>
    <mergeCell ref="E629:F629"/>
    <mergeCell ref="E630:F630"/>
    <mergeCell ref="BK552:BL552"/>
    <mergeCell ref="AK641:AL641"/>
    <mergeCell ref="CK553:CL553"/>
    <mergeCell ref="BE597:BF597"/>
    <mergeCell ref="BC640:BD640"/>
    <mergeCell ref="BE640:BF640"/>
    <mergeCell ref="BM641:BN641"/>
    <mergeCell ref="Q596:R596"/>
    <mergeCell ref="Q597:R597"/>
    <mergeCell ref="Q640:R640"/>
    <mergeCell ref="BI596:BJ596"/>
    <mergeCell ref="CG553:CH553"/>
    <mergeCell ref="G597:H597"/>
    <mergeCell ref="I597:J597"/>
    <mergeCell ref="AK596:AL596"/>
    <mergeCell ref="I596:J596"/>
    <mergeCell ref="S552:T552"/>
    <mergeCell ref="U597:V597"/>
    <mergeCell ref="U640:V640"/>
    <mergeCell ref="W597:X597"/>
    <mergeCell ref="AI597:AJ597"/>
    <mergeCell ref="AA641:AB641"/>
    <mergeCell ref="AG596:AH596"/>
    <mergeCell ref="Y597:Z597"/>
    <mergeCell ref="M597:N597"/>
    <mergeCell ref="W641:X641"/>
    <mergeCell ref="BS552:BT552"/>
    <mergeCell ref="S1499:T1499"/>
    <mergeCell ref="U1279:V1279"/>
    <mergeCell ref="I838:J838"/>
    <mergeCell ref="I839:J839"/>
    <mergeCell ref="AE498:AF498"/>
    <mergeCell ref="K1234:L1234"/>
    <mergeCell ref="S1212:T1212"/>
    <mergeCell ref="S1213:T1213"/>
    <mergeCell ref="U816:V816"/>
    <mergeCell ref="O1168:P1168"/>
    <mergeCell ref="AC596:AD596"/>
    <mergeCell ref="O1432:P1432"/>
    <mergeCell ref="I1411:J1411"/>
    <mergeCell ref="Q553:R553"/>
    <mergeCell ref="I1279:J1279"/>
    <mergeCell ref="I1278:J1278"/>
    <mergeCell ref="Q1499:R1499"/>
    <mergeCell ref="M1235:N1235"/>
    <mergeCell ref="O1234:P1234"/>
    <mergeCell ref="U773:V773"/>
    <mergeCell ref="Q773:R773"/>
    <mergeCell ref="W817:X817"/>
    <mergeCell ref="AC1366:AD1366"/>
    <mergeCell ref="S761:T761"/>
    <mergeCell ref="O761:P761"/>
    <mergeCell ref="Q827:R827"/>
    <mergeCell ref="S762:T762"/>
    <mergeCell ref="O773:P773"/>
    <mergeCell ref="M1279:N1279"/>
    <mergeCell ref="S773:T773"/>
    <mergeCell ref="S1234:T1234"/>
    <mergeCell ref="S1235:T1235"/>
    <mergeCell ref="S828:T828"/>
    <mergeCell ref="U1168:V1168"/>
    <mergeCell ref="U1366:V1366"/>
    <mergeCell ref="U1367:V1367"/>
    <mergeCell ref="S1366:T1366"/>
    <mergeCell ref="S1367:T1367"/>
    <mergeCell ref="S1432:T1432"/>
    <mergeCell ref="U1432:V1432"/>
    <mergeCell ref="AC761:AD761"/>
    <mergeCell ref="S498:T498"/>
    <mergeCell ref="W498:X498"/>
    <mergeCell ref="Y740:Z740"/>
    <mergeCell ref="M673:N673"/>
    <mergeCell ref="Q673:R673"/>
    <mergeCell ref="Q674:R674"/>
    <mergeCell ref="U498:V498"/>
    <mergeCell ref="U552:V552"/>
    <mergeCell ref="U553:V553"/>
    <mergeCell ref="U596:V596"/>
    <mergeCell ref="Q762:R762"/>
    <mergeCell ref="U772:V772"/>
    <mergeCell ref="Q772:R772"/>
    <mergeCell ref="S772:T772"/>
    <mergeCell ref="W596:X596"/>
    <mergeCell ref="Q816:R816"/>
    <mergeCell ref="O817:P817"/>
    <mergeCell ref="AI1542:AJ1542"/>
    <mergeCell ref="AI1432:AJ1432"/>
    <mergeCell ref="AK1432:AL1432"/>
    <mergeCell ref="AG1366:AH1366"/>
    <mergeCell ref="AE1653:AF1653"/>
    <mergeCell ref="AG1653:AH1653"/>
    <mergeCell ref="AM1641:AN1641"/>
    <mergeCell ref="AQ1642:AR1642"/>
    <mergeCell ref="AS1641:AT1641"/>
    <mergeCell ref="AU1641:AV1641"/>
    <mergeCell ref="AS1642:AT1642"/>
    <mergeCell ref="AO1543:AP1543"/>
    <mergeCell ref="BW762:BX762"/>
    <mergeCell ref="I1235:J1235"/>
    <mergeCell ref="I1433:J1433"/>
    <mergeCell ref="I1432:J1432"/>
    <mergeCell ref="K1432:L1432"/>
    <mergeCell ref="S1168:T1168"/>
    <mergeCell ref="O1212:P1212"/>
    <mergeCell ref="I883:J883"/>
    <mergeCell ref="K827:L827"/>
    <mergeCell ref="U1212:V1212"/>
    <mergeCell ref="Q1168:R1168"/>
    <mergeCell ref="I1212:J1212"/>
    <mergeCell ref="M1169:N1169"/>
    <mergeCell ref="I828:J828"/>
    <mergeCell ref="M827:N827"/>
    <mergeCell ref="S1169:T1169"/>
    <mergeCell ref="K1168:L1168"/>
    <mergeCell ref="AG773:AH773"/>
    <mergeCell ref="AI773:AJ773"/>
    <mergeCell ref="AM762:AN762"/>
    <mergeCell ref="AE1543:AF1543"/>
    <mergeCell ref="AC1498:AD1498"/>
    <mergeCell ref="AE1498:AF1498"/>
    <mergeCell ref="BG2334:BH2334"/>
    <mergeCell ref="M1433:N1433"/>
    <mergeCell ref="O1433:P1433"/>
    <mergeCell ref="S1433:T1433"/>
    <mergeCell ref="U1433:V1433"/>
    <mergeCell ref="W1433:X1433"/>
    <mergeCell ref="AW2126:AX2126"/>
    <mergeCell ref="AQ2334:AR2334"/>
    <mergeCell ref="AU1950:AV1950"/>
    <mergeCell ref="U2004:V2004"/>
    <mergeCell ref="U2005:V2005"/>
    <mergeCell ref="AK2114:AL2114"/>
    <mergeCell ref="AM2114:AN2114"/>
    <mergeCell ref="AK2115:AL2115"/>
    <mergeCell ref="M2323:N2323"/>
    <mergeCell ref="M2324:N2324"/>
    <mergeCell ref="AE2334:AF2334"/>
    <mergeCell ref="AG2334:AH2334"/>
    <mergeCell ref="AI2334:AJ2334"/>
    <mergeCell ref="AK2334:AL2334"/>
    <mergeCell ref="M1520:N1520"/>
    <mergeCell ref="M1521:N1521"/>
    <mergeCell ref="O1520:P1520"/>
    <mergeCell ref="O1521:P1521"/>
    <mergeCell ref="S2037:T2037"/>
    <mergeCell ref="U2037:V2037"/>
    <mergeCell ref="AG1543:AH1543"/>
    <mergeCell ref="AE1433:AF1433"/>
    <mergeCell ref="AM1543:AN1543"/>
    <mergeCell ref="AO2125:AP2125"/>
    <mergeCell ref="BC1652:BD1652"/>
    <mergeCell ref="BC1653:BD1653"/>
    <mergeCell ref="AQ1641:AR1641"/>
    <mergeCell ref="AM1653:AN1653"/>
    <mergeCell ref="AK1652:AL1652"/>
    <mergeCell ref="AK806:AL806"/>
    <mergeCell ref="AI805:AJ805"/>
    <mergeCell ref="AK1641:AL1641"/>
    <mergeCell ref="AK1642:AL1642"/>
    <mergeCell ref="AM1642:AN1642"/>
    <mergeCell ref="AG1213:AH1213"/>
    <mergeCell ref="AI1212:AJ1212"/>
    <mergeCell ref="AI1213:AJ1213"/>
    <mergeCell ref="AI1653:AJ1653"/>
    <mergeCell ref="AG806:AH806"/>
    <mergeCell ref="AU1499:AV1499"/>
    <mergeCell ref="AS1433:AT1433"/>
    <mergeCell ref="AU1433:AV1433"/>
    <mergeCell ref="AQ1432:AR1432"/>
    <mergeCell ref="AG1641:AH1641"/>
    <mergeCell ref="AI1641:AJ1641"/>
    <mergeCell ref="AS1653:AT1653"/>
    <mergeCell ref="AK1212:AL1212"/>
    <mergeCell ref="AG1212:AH1212"/>
    <mergeCell ref="AI1543:AJ1543"/>
    <mergeCell ref="AQ1498:AR1498"/>
    <mergeCell ref="AQ1499:AR1499"/>
    <mergeCell ref="AS1498:AT1498"/>
    <mergeCell ref="AQ1949:AR1949"/>
    <mergeCell ref="AW1949:AX1949"/>
    <mergeCell ref="AS1542:AT1542"/>
    <mergeCell ref="CK1652:CL1652"/>
    <mergeCell ref="BM1653:BN1653"/>
    <mergeCell ref="BO1653:BP1653"/>
    <mergeCell ref="BQ1653:BR1653"/>
    <mergeCell ref="BS1653:BT1653"/>
    <mergeCell ref="BU1653:BV1653"/>
    <mergeCell ref="BW1653:BX1653"/>
    <mergeCell ref="CC1653:CD1653"/>
    <mergeCell ref="CE1653:CF1653"/>
    <mergeCell ref="CG1653:CH1653"/>
    <mergeCell ref="CI1653:CJ1653"/>
    <mergeCell ref="CK1653:CL1653"/>
    <mergeCell ref="BG1652:BH1652"/>
    <mergeCell ref="BI1652:BJ1652"/>
    <mergeCell ref="BK1652:BL1652"/>
    <mergeCell ref="BG1653:BH1653"/>
    <mergeCell ref="BI1653:BJ1653"/>
    <mergeCell ref="BK1653:BL1653"/>
    <mergeCell ref="BY1652:BZ1652"/>
    <mergeCell ref="CA1652:CB1652"/>
    <mergeCell ref="BY1653:BZ1653"/>
    <mergeCell ref="CA1653:CB1653"/>
    <mergeCell ref="CI1652:CJ1652"/>
    <mergeCell ref="BW2334:BX2334"/>
    <mergeCell ref="BW2335:BX2335"/>
    <mergeCell ref="BM1652:BN1652"/>
    <mergeCell ref="BO1652:BP1652"/>
    <mergeCell ref="BQ1652:BR1652"/>
    <mergeCell ref="BS1652:BT1652"/>
    <mergeCell ref="BU1652:BV1652"/>
    <mergeCell ref="BW1652:BX1652"/>
    <mergeCell ref="CC1652:CD1652"/>
    <mergeCell ref="CE1652:CF1652"/>
    <mergeCell ref="CG1652:CH1652"/>
    <mergeCell ref="BQ2334:BR2334"/>
    <mergeCell ref="BI2335:BJ2335"/>
    <mergeCell ref="BK2335:BL2335"/>
    <mergeCell ref="BM2335:BN2335"/>
    <mergeCell ref="BO2335:BP2335"/>
    <mergeCell ref="BQ2335:BR2335"/>
    <mergeCell ref="BU2334:BV2334"/>
    <mergeCell ref="BS2335:BT2335"/>
    <mergeCell ref="BU2335:BV2335"/>
    <mergeCell ref="BI2334:BJ2334"/>
    <mergeCell ref="BK2334:BL2334"/>
    <mergeCell ref="BM2334:BN2334"/>
    <mergeCell ref="BO2334:BP2334"/>
    <mergeCell ref="BS2334:BT2334"/>
    <mergeCell ref="BG2335:BH2335"/>
    <mergeCell ref="AU2115:AV2115"/>
    <mergeCell ref="AU2114:AV2114"/>
    <mergeCell ref="BG1542:BH1542"/>
    <mergeCell ref="BI1543:BJ1543"/>
    <mergeCell ref="BK1543:BL1543"/>
    <mergeCell ref="BM1543:BN1543"/>
    <mergeCell ref="BC453:BD453"/>
    <mergeCell ref="BE453:BF453"/>
    <mergeCell ref="BC454:BD454"/>
    <mergeCell ref="BE454:BF454"/>
    <mergeCell ref="BG453:BH453"/>
    <mergeCell ref="BI453:BJ453"/>
    <mergeCell ref="BK453:BL453"/>
    <mergeCell ref="BM453:BN453"/>
    <mergeCell ref="BG454:BH454"/>
    <mergeCell ref="BI454:BJ454"/>
    <mergeCell ref="BK454:BL454"/>
    <mergeCell ref="BM454:BN454"/>
    <mergeCell ref="BG596:BH596"/>
    <mergeCell ref="BI498:BJ498"/>
    <mergeCell ref="BC641:BD641"/>
    <mergeCell ref="BC497:BD497"/>
    <mergeCell ref="BE497:BF497"/>
    <mergeCell ref="BE498:BF498"/>
    <mergeCell ref="BG597:BH597"/>
    <mergeCell ref="BI553:BJ553"/>
    <mergeCell ref="BM761:BN761"/>
    <mergeCell ref="AY1950:AZ1950"/>
    <mergeCell ref="BC772:BD772"/>
    <mergeCell ref="BC773:BD773"/>
    <mergeCell ref="BA1641:BB1641"/>
    <mergeCell ref="CE442:CF442"/>
    <mergeCell ref="BA134:BB134"/>
    <mergeCell ref="BC134:BD134"/>
    <mergeCell ref="BE134:BF134"/>
    <mergeCell ref="BA135:BB135"/>
    <mergeCell ref="BC135:BD135"/>
    <mergeCell ref="BE135:BF135"/>
    <mergeCell ref="BI1542:BJ1542"/>
    <mergeCell ref="BK1542:BL1542"/>
    <mergeCell ref="BM1542:BN1542"/>
    <mergeCell ref="BC442:BD442"/>
    <mergeCell ref="BA597:BB597"/>
    <mergeCell ref="BW552:BX552"/>
    <mergeCell ref="BY454:BZ454"/>
    <mergeCell ref="BS553:BT553"/>
    <mergeCell ref="BY552:BZ552"/>
    <mergeCell ref="BY498:BZ498"/>
    <mergeCell ref="CA497:CB497"/>
    <mergeCell ref="CA498:CB498"/>
    <mergeCell ref="BM553:BN553"/>
    <mergeCell ref="BU552:BV552"/>
    <mergeCell ref="BI597:BJ597"/>
    <mergeCell ref="BK597:BL597"/>
    <mergeCell ref="BE762:BF762"/>
    <mergeCell ref="BO762:BP762"/>
    <mergeCell ref="BQ442:BR442"/>
    <mergeCell ref="BS442:BT442"/>
    <mergeCell ref="BG641:BH641"/>
    <mergeCell ref="BI641:BJ641"/>
    <mergeCell ref="BK641:BL641"/>
    <mergeCell ref="BK762:BL762"/>
    <mergeCell ref="BY443:BZ443"/>
    <mergeCell ref="CS442:CT442"/>
    <mergeCell ref="CU442:CV442"/>
    <mergeCell ref="CM443:CN443"/>
    <mergeCell ref="CQ443:CR443"/>
    <mergeCell ref="CS443:CT443"/>
    <mergeCell ref="CU443:CV443"/>
    <mergeCell ref="CG442:CH442"/>
    <mergeCell ref="CI442:CJ442"/>
    <mergeCell ref="CG443:CH443"/>
    <mergeCell ref="CI443:CJ443"/>
    <mergeCell ref="CM442:CN442"/>
    <mergeCell ref="CQ442:CR442"/>
    <mergeCell ref="BI497:BJ497"/>
    <mergeCell ref="BG498:BH498"/>
    <mergeCell ref="BI640:BJ640"/>
    <mergeCell ref="BK640:BL640"/>
    <mergeCell ref="BM640:BN640"/>
    <mergeCell ref="CC442:CD442"/>
    <mergeCell ref="CC443:CD443"/>
    <mergeCell ref="BY453:BZ453"/>
    <mergeCell ref="BG552:BH552"/>
    <mergeCell ref="BG553:BH553"/>
    <mergeCell ref="CA443:CB443"/>
    <mergeCell ref="BQ497:BR497"/>
    <mergeCell ref="BO640:BP640"/>
    <mergeCell ref="BW442:BX442"/>
    <mergeCell ref="BW443:BX443"/>
    <mergeCell ref="CM552:CN552"/>
    <mergeCell ref="CM553:CN553"/>
    <mergeCell ref="CO552:CP552"/>
    <mergeCell ref="CO553:CP553"/>
    <mergeCell ref="BY442:BZ442"/>
    <mergeCell ref="BU442:BV442"/>
    <mergeCell ref="BM442:BN442"/>
    <mergeCell ref="BM443:BN443"/>
    <mergeCell ref="BG443:BH443"/>
    <mergeCell ref="BK442:BL442"/>
    <mergeCell ref="BK596:BL596"/>
    <mergeCell ref="BU453:BV453"/>
    <mergeCell ref="BO454:BP454"/>
    <mergeCell ref="BU454:BV454"/>
    <mergeCell ref="AG552:AH552"/>
    <mergeCell ref="AI552:AJ552"/>
    <mergeCell ref="AM552:AN552"/>
    <mergeCell ref="AG553:AH553"/>
    <mergeCell ref="AI553:AJ553"/>
    <mergeCell ref="AM553:AN553"/>
    <mergeCell ref="AK597:AL597"/>
    <mergeCell ref="BO761:BP761"/>
    <mergeCell ref="BC596:BD596"/>
    <mergeCell ref="BE596:BF596"/>
    <mergeCell ref="BE641:BF641"/>
    <mergeCell ref="BI761:BJ761"/>
    <mergeCell ref="BK761:BL761"/>
    <mergeCell ref="BU761:BV761"/>
    <mergeCell ref="BC597:BD597"/>
    <mergeCell ref="BQ597:BR597"/>
    <mergeCell ref="BO641:BP641"/>
    <mergeCell ref="BG640:BH640"/>
    <mergeCell ref="BQ443:BR443"/>
    <mergeCell ref="BS443:BT443"/>
    <mergeCell ref="BC761:BD761"/>
    <mergeCell ref="BC443:BD443"/>
    <mergeCell ref="BE443:BF443"/>
    <mergeCell ref="CE552:CF552"/>
    <mergeCell ref="CE553:CF553"/>
    <mergeCell ref="AE596:AF596"/>
    <mergeCell ref="AY553:AZ553"/>
    <mergeCell ref="AE553:AF553"/>
    <mergeCell ref="AU553:AV553"/>
    <mergeCell ref="S553:T553"/>
    <mergeCell ref="AC553:AD553"/>
    <mergeCell ref="AM498:AN498"/>
    <mergeCell ref="W454:X454"/>
    <mergeCell ref="G762:H762"/>
    <mergeCell ref="I762:J762"/>
    <mergeCell ref="U674:V674"/>
    <mergeCell ref="AA761:AB761"/>
    <mergeCell ref="M739:N739"/>
    <mergeCell ref="M740:N740"/>
    <mergeCell ref="AS640:AT640"/>
    <mergeCell ref="I761:J761"/>
    <mergeCell ref="AM640:AN640"/>
    <mergeCell ref="Y674:Z674"/>
    <mergeCell ref="S673:T673"/>
    <mergeCell ref="S674:T674"/>
    <mergeCell ref="I640:J640"/>
    <mergeCell ref="G641:H641"/>
    <mergeCell ref="I641:J641"/>
    <mergeCell ref="G651:H651"/>
    <mergeCell ref="BS762:BT762"/>
    <mergeCell ref="BI762:BJ762"/>
    <mergeCell ref="BC762:BD762"/>
    <mergeCell ref="AK497:AL497"/>
    <mergeCell ref="AM497:AN497"/>
    <mergeCell ref="AA497:AB497"/>
    <mergeCell ref="AM596:AN596"/>
    <mergeCell ref="O597:P597"/>
    <mergeCell ref="W552:X552"/>
    <mergeCell ref="BG497:BH497"/>
    <mergeCell ref="AC597:AD597"/>
    <mergeCell ref="AE597:AF597"/>
    <mergeCell ref="AW553:AX553"/>
    <mergeCell ref="AM805:AN805"/>
    <mergeCell ref="AM806:AN806"/>
    <mergeCell ref="W816:X816"/>
    <mergeCell ref="Y816:Z816"/>
    <mergeCell ref="U817:V817"/>
    <mergeCell ref="S817:T817"/>
    <mergeCell ref="M1168:N1168"/>
    <mergeCell ref="G838:H838"/>
    <mergeCell ref="G839:H839"/>
    <mergeCell ref="G1213:H1213"/>
    <mergeCell ref="G1080:H1080"/>
    <mergeCell ref="S816:T816"/>
    <mergeCell ref="G882:H882"/>
    <mergeCell ref="G827:H827"/>
    <mergeCell ref="I827:J827"/>
    <mergeCell ref="U740:V740"/>
    <mergeCell ref="G828:H828"/>
    <mergeCell ref="AE761:AF761"/>
    <mergeCell ref="AA762:AB762"/>
    <mergeCell ref="AC762:AD762"/>
    <mergeCell ref="AE762:AF762"/>
    <mergeCell ref="O1169:P1169"/>
    <mergeCell ref="I882:J882"/>
    <mergeCell ref="W1212:X1212"/>
    <mergeCell ref="W1213:X1213"/>
    <mergeCell ref="E1169:F1169"/>
    <mergeCell ref="E1410:F1410"/>
    <mergeCell ref="E1411:F1411"/>
    <mergeCell ref="E1432:F1432"/>
    <mergeCell ref="E1213:F1213"/>
    <mergeCell ref="E1224:F1224"/>
    <mergeCell ref="G1256:H1256"/>
    <mergeCell ref="G1257:H1257"/>
    <mergeCell ref="U1641:V1641"/>
    <mergeCell ref="U1642:V1642"/>
    <mergeCell ref="Y1641:Z1641"/>
    <mergeCell ref="AA1212:AB1212"/>
    <mergeCell ref="E1080:F1080"/>
    <mergeCell ref="E1256:F1256"/>
    <mergeCell ref="E1257:F1257"/>
    <mergeCell ref="G1432:H1432"/>
    <mergeCell ref="E1300:F1300"/>
    <mergeCell ref="E1301:F1301"/>
    <mergeCell ref="G1410:H1410"/>
    <mergeCell ref="G1411:H1411"/>
    <mergeCell ref="AA1279:AB1279"/>
    <mergeCell ref="O1279:P1279"/>
    <mergeCell ref="O1543:P1543"/>
    <mergeCell ref="S1278:T1278"/>
    <mergeCell ref="W1432:X1432"/>
    <mergeCell ref="Y1213:Z1213"/>
    <mergeCell ref="AA1433:AB1433"/>
    <mergeCell ref="Y1367:Z1367"/>
    <mergeCell ref="AA1366:AB1366"/>
    <mergeCell ref="AA1367:AB1367"/>
    <mergeCell ref="W1366:X1366"/>
    <mergeCell ref="W1367:X1367"/>
  </mergeCells>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expression" priority="110643" id="{B60B3541-B291-4C22-8D87-EA5A51D4F64B}">
            <xm:f>ISERROR(MATCH(C14,Assessment!$H:$H,0))</xm:f>
            <x14:dxf>
              <fill>
                <patternFill>
                  <bgColor theme="1"/>
                </patternFill>
              </fill>
            </x14:dxf>
          </x14:cfRule>
          <x14:cfRule type="expression" priority="110644" id="{D460BF92-53D0-4B71-9CB3-B44B6C189995}">
            <xm:f>(_xlfn.XLOOKUP(C14,Assessment!$H:$H,Assessment!$V:$V))="No"</xm:f>
            <x14:dxf>
              <fill>
                <patternFill>
                  <bgColor theme="1"/>
                </patternFill>
              </fill>
            </x14:dxf>
          </x14:cfRule>
          <xm:sqref>C13 E13 G13 I13 K13 M13 O13 Q13 S13 C24 E24 C35 E35 G35 I35 K35 M35 O35 Q35 S35 U35 C46 E46 G46 I46 C57 C68 C79 C90 E90 G90 I90 K90 M90 O90 Q90 S90 U90 W90 C101 E101 G101 I101 C112 E112 C123 C134 E134 G134 I134 K134 M134 O134 Q134 S134 U134 W134 Y134 AA134 AC134 AE134 AG134 AI134 AK134 AM134 AO134 AQ134 AS134 AU134 AW134 AY134 BA134 BC134 BE134 C145 E145 G145 C156 C167 C178 E178 G178 I178 K178 C189 E189 G189 C200 E200 G200 C211 E211 C222 C233 E233 C244 E244 G244 I244 K244 C255 E255 C266 E266 G266 C277 E277 G277 C288 E288 C299 C310 E310 G310 I310 C321 E321 G321 I321 K321 C332 E332 G332 I332 K332 M332 O332 C343 C354 C365 E365 G365 C376 E376 G376 I376 K376 M376 O376 C387 C398 E398 C409 E409 C420 C431 E431 G431 I431 K431 M431 O431 Q431 S431 U431 W431 Y431 AA431 AC431 AE431 AG431 AI431 AK431 AM431 AO431 AQ431 AS431 AU431 AW431 C442 E442 G442 I442 K442 M442 O442 Q442 S442 U442 W442 Y442 AA442 AC442 AE442 AG442 AI442 AK442 AM442 AO442 AQ442 AS442 AU442 AW442 AY442 BA442 BC442 BE442 BG442 BI442 BK442 BM442 BO442 BQ442 BS442 BU442 BW442 BY442 CA442 CC442 CE442 CG442 CI442 CK442 CM442 CO442 CQ442 CS442 CU442 C453 E453 G453 I453 K453 M453 O453 Q453 S453 U453 W453 Y453 AA453 AC453 AE453 AG453 AI453 AK453 AM453 AO453 AQ453 AS453 AU453 AW453 AY453 BA453 BC453 BE453 BG453 BI453 BK453 BM453 BO453 BQ453 BS453 BU453 BW453 BY453 C464 E464 C475 C486 C497 E497 G497 I497 K497 M497 O497 Q497 S497 U497 W497 Y497 AA497 AC497 AE497 AG497 AI497 AK497 AM497 AO497 AQ497 AS497 AU497 AW497 AY497 BA497 BC497 BE497 BG497 BI497 BK497 BM497 BO497 BQ497 BS497 BU497 BW497 BY497 CA497 CC497 C508 C519 C530 C541 E541 C552 E552 G552 I552 K552 M552 O552 Q552 S552 U552 W552 Y552 AA552 AC552 AE552 AG552 AI552 AK552 AM552 AO552 AQ552 AS552 AU552 AW552 AY552 BA552 BC552 BE552 BG552 BI552 BK552 BM552 BO552 BQ552 BS552 BU552 BW552 BY552 CA552 CC552 CE552 CG552 CI552 CK552 CM552 CO552 C563 C574 E574 C585 E585 C596 E596 G596 I596 K596 M596 O596 Q596 S596 U596 W596 Y596 AA596 AC596 AE596 AG596 AI596 AK596 AM596 AO596 AQ596 AS596 AU596 AW596 AY596 BA596 BC596 BE596 BG596 BI596 BK596 BM596 BO596 BQ596 C607 C618 E618 C629 E629 C640 E640 G640 I640 K640 M640 O640 Q640 S640 U640 W640 Y640 AA640 AC640 AE640 AG640 AI640 AK640 AM640 AO640 AQ640 AS640 AU640 AW640 AY640 BA640 BC640 BE640 BG640 BI640 BK640 BM640 BO640 C651 E651 G651 I651 K651 M651 C662 C673 E673 G673 I673 K673 M673 O673 Q673 S673 U673 W673 Y673 C684 E684 C695 C706 C717 C728 C739 E739 G739 I739 K739 M739 O739 Q739 S739 U739 W739 Y739 C750 C761 E761 G761 I761 K761 M761 O761 Q761 S761 U761 W761 Y761 AA761 AC761 AE761 AG761 AI761 AK761 AM761 AO761 AQ761 AS761 AU761 AW761 AY761 BA761 BC761 BE761 BG761 BI761 BK761 BM761 BO761 BQ761 BS761 BU761 BW761 C772 E772 G772 I772 K772 M772 O772 Q772 S772 U772 W772 Y772 AA772 AC772 AE772 AG772 AI772 AK772 AM772 AO772 AQ772 AS772 AU772 AW772 AY772 BA772 BC772 C783 C794 C805 E805 G805 I805 K805 M805 O805 Q805 S805 U805 W805 Y805 AA805 AC805 AE805 AG805 AI805 AK805 AM805 C816 E816 G816 I816 K816 M816 O816 Q816 S816 U816 W816 Y816 AA816 C827 E827 G827 I827 K827 M827 O827 Q827 S827 C838 E838 G838 I838 C849 C860 C871 E871 C882 E882 G882 I882 C893 C904 C915 C926 C937 C948 C959 C970 C981 C992 C1003 C1014 C1025 C1036 C1047 C1058 C1069 C1080 E1080 G1080 I1080 C1091 C1102 C1113 C1124 C1135 C1146 C1157 C1168 E1168 G1168 I1168 K1168 M1168 O1168 Q1168 S1168 U1168 C1179 C1190 C1201 C1212 E1212 G1212 I1212 K1212 M1212 O1212 Q1212 S1212 U1212 W1212 Y1212 AA1212 AC1212 AE1212 AG1212 AI1212 AK1212 C1223 E1223 G1223 I1223 C1234 E1234 G1234 I1234 K1234 M1234 O1234 Q1234 S1234 C1245 E1245 C1256 E1256 G1256 C1267 C1278 E1278 G1278 I1278 K1278 M1278 O1278 Q1278 S1278 U1278 W1278 Y1278 AA1278 AC1278 AE1278 C1289 C1300 E1300 C1311 C1322 C1333 C1344 E1344 C1355 C1366 E1366 G1366 I1366 K1366 M1366 O1366 Q1366 S1366 U1366 W1366 Y1366 AA1366 AC1366 AE1366 AG1366 C1377 C1388 C1399 C1410 E1410 G1410 I1410 C1421 C1432 E1432 G1432 I1432 K1432 M1432 O1432 Q1432 S1432 U1432 W1432 Y1432 AA1432 AC1432 AE1432 AG1432 AI1432 AK1432 AM1432 AO1432 AQ1432 AS1432 AU1432 C1443 C1454 C1465 E1465 C1476 C1487 E1487 G1487 C1498 E1498 G1498 I1498 K1498 M1498 O1498 Q1498 S1498 U1498 W1498 Y1498 AA1498 AC1498 AE1498 AG1498 AI1498 AK1498 AM1498 AO1498 AQ1498 AS1498 AU1498 AW1498 AY1498 C1509 E1509 G1509 C1520 E1520 G1520 I1520 K1520 M1520 O1520 C1531 C1542 E1542 G1542 I1542 K1542 M1542 O1542 Q1542 S1542 U1542 W1542 Y1542 AA1542 AC1542 AE1542 AG1542 AI1542 AK1542 AM1542 AO1542 AQ1542 AS1542 AU1542 AW1542 AY1542 BA1542 BC1542 BE1542 BG1542 BI1542 BK1542 BM1542 BO1542 BQ1542 C1553 C1564 C1575 C1586 E1586 G1586 I1586 K1586 M1586 C1597 C1608 C1619 C1630 C1641 E1641 G1641 I1641 K1641 M1641 O1641 Q1641 S1641 U1641 W1641 Y1641 AA1641 AC1641 AE1641 AG1641 AI1641 AK1641 AM1641 AO1641 AQ1641 AS1641 AU1641 AW1641 AY1641 BA1641 BC1641 BE1641 C1652 E1652 G1652 I1652 K1652 M1652 O1652 Q1652 S1652 U1652 W1652 Y1652 AA1652 AC1652 AE1652 AG1652 AI1652 AK1652 AM1652 AO1652 AQ1652 AS1652 AU1652 AW1652 AY1652 BA1652 BC1652 BE1652 BG1652 BI1652 BK1652 BM1652 BO1652 BQ1652 BS1652 BU1652 BW1652 BY1652 CA1652 CC1652 CE1652 CG1652 CI1652 CK1652 C1663 C1674 C1685 E1685 G1685 I1685 C1696 C1707 E1707 C1718 C1729 E1729 G1729 I1729 C1740 C1751 E1751 C1762 C1773 E1773 C1784 C1795 C1806 E1806 G1806 I1806 C1817 C1828 E1828 C1839 E1839 G1839 C1850 E1850 G1850 I1850 C1861 C1872 E1872 G1872 C1883 E1883 G1883 C1894 C1905 C1916 E1916 G1916 I1916 C1927 E1927 G1927 I1927 K1927 M1927 O1927 Q1927 C1938 C1949 E1949 G1949 I1949 K1949 M1949 O1949 Q1949 S1949 U1949 W1949 Y1949 AA1949 AC1949 AE1949 AG1949 AI1949 AK1949 AM1949 AO1949 AQ1949 AS1949 AU1949 AW1949 AY1949 BA1949 C1960 C1971 C1982 E1982 G1982 I1982 K1982 M1982 O1982 Q1982 S1982 U1982 W1982 Y1982 AA1982 AC1982 AE1982 AG1982 AI1982 AK1982 AM1982 AO1982 AQ1982 AS1982 AU1982 AW1982 AY1982 BA1982 BC1982 C1993 E1993 C2004 E2004 G2004 I2004 K2004 M2004 O2004 Q2004 S2004 U2004 W2004 C2015 E2015 G2015 I2015 K2015 M2015 C2026 E2026 G2026 I2026 K2026 M2026 O2026 Q2026 S2026 U2026 W2026 Y2026 AA2026 AC2026 C2037 E2037 G2037 I2037 K2037 M2037 O2037 Q2037 S2037 U2037 W2037 Y2037 AA2037 C2048 C2059 E2059 G2059 I2059 K2059 M2059 O2059 Q2059 S2059 U2059 W2059 Y2059 AA2059 AC2059 AE2059 AG2059 AI2059 AK2059 C2070 C2081 C2092 C2103 E2103 C2114 E2114 G2114 I2114 K2114 M2114 O2114 Q2114 S2114 U2114 W2114 Y2114 AA2114 AC2114 AE2114 AG2114 AI2114 AK2114 AM2114 AO2114 AQ2114 AS2114 AU2114 C2125 E2125 G2125 I2125 K2125 M2125 O2125 Q2125 S2125 U2125 W2125 Y2125 AA2125 AC2125 AE2125 AG2125 AI2125 AK2125 AM2125 AO2125 AQ2125 AS2125 AU2125 AW2125 C2136 C2147 E2147 G2147 I2147 K2147 M2147 O2147 C2158 E2158 G2158 C2169 E2169 C2180 C2191 C2202 E2202 G2202 I2202 K2202 M2202 O2202 Q2202 S2202 U2202 W2202 Y2202 AA2202 AC2202 C2213 C2224 E2224 C2235 C2246 C2257 E2257 C2268 C2279 C2290 E2290 G2290 I2290 K2290 M2290 O2290 Q2290 S2290 U2290 W2290 Y2290 AA2290 C2301 E2301 C2312 C2323 E2323 G2323 I2323 K2323 M2323 O2323 Q2323 C2334 E2334 G2334 I2334 K2334 M2334 O2334 Q2334 S2334 U2334 W2334 Y2334 AA2334 AC2334 AE2334 AG2334 AI2334 AK2334 AM2334 AO2334 AQ2334 AS2334 AU2334 AW2334 AY2334 BA2334 BC2334 BE2334 BG2334 BI2334 BK2334 BM2334 BO2334 BQ2334 BS2334 BU2334 BW2334 C2345 E2345 G2345 I2345 K2345 C2356 C2367 C2378 C2389 C2400 E2400 C2411 C2422 C2433 C2444 E2444 G2444 I2444 K2444 M2444 O2444 Q2444 S2444 U2444 C2455 E2455 C2466 E2466 G2466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3CD1BC6-A037-4597-A4EC-0EDF12A01184}">
          <x14:formula1>
            <xm:f>'Fields &amp; Revisions'!$C$2:$C$7</xm:f>
          </x14:formula1>
          <xm:sqref>C3305 C3294 C3283 C3272 C3261 C3250 C3239 C3228 C3217 C3206 C3195 C3184 C3173 C3162 C3151 C3140 C3129 C3118 C3107 C3096 C3085 C3074 C3063 C3052 C3041 C3030 C3019 C3008 C2997 C2986 C2975 C2964 C2953 C2942 C2931 C2920 C2909 C2898 C2887 C2876 C2865 C2854 C2843 C2832 C2821 C2810 C2799 C2788 C2777 C2766 C2755 C2744 C2733 C2722 C2711 C2700 C2689 C2678 C2667 C2656 C2645 C2634 C2623 C2612 C2601 C2590 C2579 C2568 C2557 C2546 C2535 C2524 C2513 C2502 C2491 C2480 C2469 C2458 C2447 C2436 C2425 AA819 C2403 C2392 E2304 S2337 C2359 I2326 C2128 G2326 C2315 C2304 E2293 C2282 C2271 C2260 C2249 C2238 C2227 C2216 C2205 C2194 C2183 C2172 C2161 G1919 C2139 E2117 C2117 C2106 C2095 C2084 C2073 C2062 C2051 K2040 E2018 O2007 AU1985 I764 O1985 C1974 C1963 I1952 C1941 E1930 G1875 C1908 C1897 C1886 C1875 C1864 C1853 C1842 C1831 C1820 U1985 C1798 C1787 C1776 C1765 AC2062 C1743 C1732 C1721 C1710 C1688 Y676 C1677 C1666 AW1655 K1644 C1633 C1622 C1611 C1600 C1589 C1578 C1567 C1556 W1545 E115 C1523 C1512 C1501 C1490 C1479 C1468 C1457 C1446 I1281 C1424 C1413 C1402 C1391 C1380 E1369 C1358 C1347 C1336 C1325 C1314 C1303 C1292 C1281 C1270 C1259 C1248 C1237 C1226 U1215 C1204 C1193 C1182 K1171 C1160 C1149 C1138 C1127 C1116 C1105 C1094 C1083 C1072 C1061 C1050 C1039 C1028 C1017 C1006 C995 C984 C973 C962 C951 C940 C929 C918 C907 C896 E874 C874 C863 C852 C841 K830 C819 C808 C797 C786 W775 AU764 C742 E742 C731 C720 C709 C698 C687 C676 C665 C654 C599 C632 C621 C610 C555 C577 C566 E1710 C544 C533 C522 C511 C500 C489 C478 C467 C456 BG445 AS434 C423 C412 C401 C390 C379 C368 C357 C346 C335 I324 C313 C302 G280 G104 C269 C258 G247 C236 C225 C214 C203 C192 C181 C170 C159 C148 C137 C115 C93 C49 C82 E27 C60 C38 E1754 C27 E2128 C2337 E2337 E2161 G2161 I2117 G2128 I2337 E1501 C643 K2117 M2117 I2128 K2128 K2337 M2337 Q500 Q555 Q599 Q643 U500 U555 U599 U643 W500 W555 W599 W643 E2062 G2062 I2062 K2062 M2040 O2040 Q2040 U2062 W2062 Y2062 AA2062 G2293 I2293 K2293 M2293 AA500 AQ555 E335 G335 E1281 G1281 C1435 AC500 AE500 AS555 AU555 Y599 AA599 Y643 AA643 AO500 BE555 AK599 AK643 BI445 BK445 BM445 BO445 AQ500 BG555 AM599 AM643 K1952 M1952 O1952 Q1952 S1952 U1952 W1952 Y1952 AA1952 AC1952 AE1952 Q1281 K1281 M1281 O1281 AS500 AU500 BI555 BK555 AO599 AQ599 AO643 AQ643 U1281 W1281 Q1985 S1985 C1809 E654 G654 C1754 Y1545 AA1545 AC1545 BO500 BQ500 BQ555 BS555 AS599 AU599 AS643 AU643 AS1985 M2007 C2018 S2029 U2029 C104 E38 G38 E49 G49 E93 G93 E104 C280 AK1545 AM1545 BS500 BU500 BU555 BW555 AW599 AY599 AW643 AY643 AW1985 AY1985 Q2007 S2007 G2018 I2018 W2029 Y2029 E148 G148 G1809 I1809 I2348 I93 K93 K38 CC500 CE555 M38 I49 M93 I104 AO137 O38 U38 AY1655 BA1655 BC1655 BQ599 BC1985 W2007 M2018 AC2029 U2205 Y2117 Y2128 AO2337 AA2117 AA2128 AQ2337 AA2205 I1930 O93 Q93 Y775 AA775 AC775 AK775 AM775 AS775 AW764 AY764 BA764 BC764 BE764 BG764 BI764 BK764 BM764 BO764 AI2117 AI2128 BA2337 Y1215 AA1215 AC1215 AG1215 AI1215 E819 G819 I819 K819 AS1952 AU1952 AW1952 AG1501 AI1501 AK1501 AM1501 AO1501 AU434 G1369 M1644 AY1952 BA1952 I335 K324 BU445 CA445 O1644 Q1644 S1644 E588 AQ2117 AS2117 AS2128 AU2128 BS2337 BU2337 O1930 Q1930 E203 G203 C1952 E456 G456 K445 M445 O445 I456 Q445 S456 U456 AG445 AI445 E181 G181 I181 K181 E236 AQ137 AS137 AU137 AW137 AY137 AY1545 BA1545 BC1545 BE1545 BG1545 E1732 G1732 I1732 AC2205 C1534 E192 G192 E214 E258 M830 O830 Q830 S830 BS764 E808 G808 Y808 AA808 AC808 AE808 AG808 AI808 AK808 Q1171 AA1281 AC1281 AE1281 E1776 E1853 G1853 I1853 E1875 I1919 E1919 C2150 Q2293 K2326 K2348 E687 G742 I742 K742 M742 O742 Q742 S742 CC445 CE445 BW456 BY456 E577 K1930 M1930 C126 E16 C16 S16 Q16 M16 I16 K16 U1171 I247 E269 G269 E280 C291 E291 G313 I313 K335 M335 O335 S445 U445 AE445 K456 M456 O456 W445 Q456 AQ434 E401 E500 E555 E599 E643 AW500 BG500 BI500 C764 O764 Q764 BK500 BM500 BM555 BO555 AC555 AE555 G2040 I2040 I654 K654 M654 E764 S764 AG764 AM764 BW764 AG2062 C830 E830 G830 I830 AE775 AG775 AI775 AU775 AW775 AY775 BA775 I885 G885 I808 G1215 E885 AE1215 E1226 G1226 E1303 G1589 I1589 AG1655 AI1655 Q1655 S1655 BE1655 E1831 AM1952 AO1952 Q2029 AI2062 Q2117 AC2117 AE2117 AG2117 M2128 AU2337 AW2337 AY2337 W2128 AG2128 AK2128 E2150 G2150 I2150 K2150 M2150 O2150 BI2337 BK2337 BM2337 BO2337 BQ2337 E2172 Y2205 AC2337 AE2337 AM2337 AG2337 AI2337 AK2337 AS2337 G2348 I1171 O1171 M1171 S1171 AA2040 E1886 G1886 AQ1501 AS1501 AU1501 AW1501 AY1501 C1930 G1930 C1919 BU764 M2326 O2326 Q2326 G16 I1226 S93 U93 W93 K247 E368 E379 G379 I379 K379 M379 O379 E412 C434 AO434 AM434 AK434 AI434 AG434 AE434 AC434 AA434 Y434 W434 U434 S434 Q434 O434 M434 K434 I434 G434 E434 AW434 AA445 AC445 Y445 BE445 BC445 BA445 AY445 AW445 AU445 AS445 AQ445 AO445 AM445 AK445 BW445 BY445 Y456 AA456 W456 AW456 AU456 AS456 AQ456 AO456 AM456 AK456 AI456 AG456 AE456 AC456 AY456 BA456 E467 G500 I555 M500 O500 G555 K555 M555 O555 G599 I599 M599 O599 G643 I643 M643 O643 S500 S555 S599 S643 Y500 AO555 BC500 BE500 G764 C1996 CG555 CI555 CK555 CM555 CO555 BG599 BI599 BK599 BM599 BO599 BG643 BI643 BK643 BM643 BO643 C588 E621 E632 E676 G676 I676 K676 M676 O676 Q676 S676 U676 W676 E1688 AE764 AA764 AC764 AK764 AI764 K775 I775 C775 U775 AQ775 AO775 BC775 AM808 S1215 S819 U819 W819 Y819 G841 I841 E1171 C1215 E1215 K1215 M1215 O1215 Q1215 I1215 W1215 AK1215 AO2117 AQ2128 BG2337 E1237 G1237 I1237 K1237 M1237 O1237 Q1237 S1237 E1259 G1259 G1688 I1688 S1281 Y1281 I1369 K1369 M1369 O1369 Q1369 S1369 U1369 W1369 Y1369 AA1369 AC1369 AE1369 AG1369 AA1435 AC1435 AE1435 AG1435 AI1435 AK1435 AM1435 AO1435 AQ1435 AS1435 AU1435 E1413 G1413 I1413 E1435 G1435 I1435 K1435 M1435 O1435 S1435 U1435 W1435 Y1435 E1490 G1490 K1501 M1501 O1501 U1501 W1501 Y1501 AA1501 AC1501 AE1501 E1512 G1512 E1523 G1523 I1523 K1523 M1523 O1523 E1644 G1644 I1644 BO1545 BQ1545 E1589 K1589 C1644 U1644 W1644 Y1644 AA1644 AC1644 AE1644 AG1644 AI1644 AK1644 AM1644 AO1644 AQ1644 AS1644 AY1644 AU1644 AW1644 BA1644 AU2117 AW2128 BW2337 CC1655 CE1655 CG1655 CI1655 CK1655 BY1655 CA1655 C1699 E1842 G1842 AI1952 C1985 I1985 E1985 G1985 K1985 AO1985 AM1985 AQ1985 BA1985 AI1985 AG1985 Y1985 W1985 AA1985 AC1985 AE1985 K2007 U2007 K2018 AA2029 O2293 C2007 E2007 G2007 I2007 M2029 K2029 M2062 O2062 Q2062 S2062 G2117 G2337 U2117 W2117 AM2117 AK2117 AO2128 AM2128 BE2337 BC2337 U2128 AC2128 AE2128 E2205 G2205 I2205 C2293 U2293 S2293 Y2293 W2293 AA2293 C2381 BA137 BC137 BE137 BI1545 BK1545 BM1545 S2128 BQ445 BS445 CQ445 CS445 CU445 CM445 CI445 CG445 BC456 BE456 BI456 BK456 BM456 BG456 BU456 BO456 AI555 AM555 AG555 U2040 W2040 S2040 C753 U742 W742 Y742 AO764 AQ764 AS764 E1083 G1083 I1083 E1809 W2205 E841 C885 I500 K500 K599 K643 Y555 AA555 E1248 C2040 E2040 AK555 Y2040 C247 E247 E544 E1996 O2029 G368 AK1985 AY500 BA500 K764 M764 Y764 U764 W764 AE2062 M1589 E2227 W2337 Y2337 AA2337 C1171 E1347 E2260 BQ764 AK2062 K808 M808 O808 Q808 S808 U808 W808 E2106 M819 O819 Q819 CK445 BQ456 CO445 BS456 E1468 BC1644 BE1644 G1171 M1985 C2414 E2403 E2447 G2447 I2447 K2447 M2447 O2447 Q2447 S2447 U2447 E2458 E2469 G2469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2340-C1C7-46F3-9B9A-C14BBC174E7E}">
  <dimension ref="A1:H2513"/>
  <sheetViews>
    <sheetView zoomScaleNormal="100" workbookViewId="0">
      <selection activeCell="K1366" sqref="K1366:L1366"/>
    </sheetView>
  </sheetViews>
  <sheetFormatPr defaultColWidth="9.1796875" defaultRowHeight="12.5" x14ac:dyDescent="0.35"/>
  <cols>
    <col min="1" max="1" width="15.54296875" style="42" customWidth="1"/>
    <col min="2" max="7" width="15.54296875" style="46" customWidth="1"/>
    <col min="8" max="8" width="25.54296875" style="51" customWidth="1"/>
    <col min="9" max="16384" width="9.1796875" style="42"/>
  </cols>
  <sheetData>
    <row r="1" spans="1:8" ht="13" x14ac:dyDescent="0.35">
      <c r="A1" s="49" t="s">
        <v>31</v>
      </c>
      <c r="B1" s="49" t="s">
        <v>7711</v>
      </c>
      <c r="C1" s="49" t="s">
        <v>7712</v>
      </c>
      <c r="D1" s="49" t="s">
        <v>7713</v>
      </c>
      <c r="E1" s="49" t="s">
        <v>7714</v>
      </c>
      <c r="F1" s="49" t="s">
        <v>7715</v>
      </c>
      <c r="G1" s="49" t="s">
        <v>7716</v>
      </c>
      <c r="H1" s="49" t="s">
        <v>7717</v>
      </c>
    </row>
    <row r="2" spans="1:8" x14ac:dyDescent="0.35">
      <c r="A2" s="50"/>
    </row>
    <row r="3" spans="1:8" x14ac:dyDescent="0.35">
      <c r="A3" s="50"/>
    </row>
    <row r="4" spans="1:8" x14ac:dyDescent="0.35">
      <c r="A4" s="50"/>
    </row>
    <row r="5" spans="1:8" x14ac:dyDescent="0.35">
      <c r="A5" s="50"/>
    </row>
    <row r="6" spans="1:8" x14ac:dyDescent="0.35">
      <c r="A6" s="50"/>
    </row>
    <row r="7" spans="1:8" x14ac:dyDescent="0.35">
      <c r="A7" s="50"/>
    </row>
    <row r="8" spans="1:8" x14ac:dyDescent="0.35">
      <c r="A8" s="50"/>
    </row>
    <row r="9" spans="1:8" x14ac:dyDescent="0.35">
      <c r="A9" s="50"/>
    </row>
    <row r="10" spans="1:8" x14ac:dyDescent="0.35">
      <c r="A10" s="50"/>
    </row>
    <row r="11" spans="1:8" x14ac:dyDescent="0.35">
      <c r="A11" s="50"/>
    </row>
    <row r="12" spans="1:8" x14ac:dyDescent="0.35">
      <c r="A12" s="50"/>
    </row>
    <row r="13" spans="1:8" x14ac:dyDescent="0.35">
      <c r="A13" s="50"/>
    </row>
    <row r="14" spans="1:8" x14ac:dyDescent="0.35">
      <c r="A14" s="50"/>
    </row>
    <row r="15" spans="1:8" x14ac:dyDescent="0.35">
      <c r="A15" s="50"/>
    </row>
    <row r="16" spans="1:8" x14ac:dyDescent="0.35">
      <c r="A16" s="50"/>
    </row>
    <row r="17" spans="1:1" x14ac:dyDescent="0.35">
      <c r="A17" s="50"/>
    </row>
    <row r="18" spans="1:1" x14ac:dyDescent="0.35">
      <c r="A18" s="50"/>
    </row>
    <row r="19" spans="1:1" x14ac:dyDescent="0.35">
      <c r="A19" s="50"/>
    </row>
    <row r="20" spans="1:1" x14ac:dyDescent="0.35">
      <c r="A20" s="50"/>
    </row>
    <row r="21" spans="1:1" x14ac:dyDescent="0.35">
      <c r="A21" s="50"/>
    </row>
    <row r="22" spans="1:1" x14ac:dyDescent="0.35">
      <c r="A22" s="50"/>
    </row>
    <row r="23" spans="1:1" x14ac:dyDescent="0.35">
      <c r="A23" s="50"/>
    </row>
    <row r="24" spans="1:1" x14ac:dyDescent="0.35">
      <c r="A24" s="50"/>
    </row>
    <row r="25" spans="1:1" x14ac:dyDescent="0.35">
      <c r="A25" s="50"/>
    </row>
    <row r="26" spans="1:1" x14ac:dyDescent="0.35">
      <c r="A26" s="50"/>
    </row>
    <row r="27" spans="1:1" x14ac:dyDescent="0.35">
      <c r="A27" s="50"/>
    </row>
    <row r="28" spans="1:1" x14ac:dyDescent="0.35">
      <c r="A28" s="50"/>
    </row>
    <row r="29" spans="1:1" x14ac:dyDescent="0.35">
      <c r="A29" s="50"/>
    </row>
    <row r="30" spans="1:1" x14ac:dyDescent="0.35">
      <c r="A30" s="50"/>
    </row>
    <row r="31" spans="1:1" x14ac:dyDescent="0.35">
      <c r="A31" s="50"/>
    </row>
    <row r="32" spans="1:1" x14ac:dyDescent="0.35">
      <c r="A32" s="50"/>
    </row>
    <row r="33" spans="1:1" x14ac:dyDescent="0.35">
      <c r="A33" s="50"/>
    </row>
    <row r="34" spans="1:1" x14ac:dyDescent="0.35">
      <c r="A34" s="50"/>
    </row>
    <row r="35" spans="1:1" x14ac:dyDescent="0.35">
      <c r="A35" s="50"/>
    </row>
    <row r="36" spans="1:1" x14ac:dyDescent="0.35">
      <c r="A36" s="50"/>
    </row>
    <row r="37" spans="1:1" x14ac:dyDescent="0.35">
      <c r="A37" s="50"/>
    </row>
    <row r="38" spans="1:1" x14ac:dyDescent="0.35">
      <c r="A38" s="50"/>
    </row>
    <row r="39" spans="1:1" x14ac:dyDescent="0.35">
      <c r="A39" s="50"/>
    </row>
    <row r="40" spans="1:1" x14ac:dyDescent="0.35">
      <c r="A40" s="50"/>
    </row>
    <row r="41" spans="1:1" x14ac:dyDescent="0.35">
      <c r="A41" s="50"/>
    </row>
    <row r="42" spans="1:1" x14ac:dyDescent="0.35">
      <c r="A42" s="50"/>
    </row>
    <row r="43" spans="1:1" x14ac:dyDescent="0.35">
      <c r="A43" s="50"/>
    </row>
    <row r="44" spans="1:1" x14ac:dyDescent="0.35">
      <c r="A44" s="50"/>
    </row>
    <row r="45" spans="1:1" x14ac:dyDescent="0.35">
      <c r="A45" s="50"/>
    </row>
    <row r="46" spans="1:1" x14ac:dyDescent="0.35">
      <c r="A46" s="50"/>
    </row>
    <row r="47" spans="1:1" x14ac:dyDescent="0.35">
      <c r="A47" s="50"/>
    </row>
    <row r="48" spans="1:1" x14ac:dyDescent="0.35">
      <c r="A48" s="50"/>
    </row>
    <row r="49" spans="1:1" x14ac:dyDescent="0.35">
      <c r="A49" s="50"/>
    </row>
    <row r="50" spans="1:1" x14ac:dyDescent="0.35">
      <c r="A50" s="50"/>
    </row>
    <row r="51" spans="1:1" x14ac:dyDescent="0.35">
      <c r="A51" s="50"/>
    </row>
    <row r="52" spans="1:1" x14ac:dyDescent="0.35">
      <c r="A52" s="50"/>
    </row>
    <row r="53" spans="1:1" x14ac:dyDescent="0.35">
      <c r="A53" s="50"/>
    </row>
    <row r="54" spans="1:1" x14ac:dyDescent="0.35">
      <c r="A54" s="50"/>
    </row>
    <row r="55" spans="1:1" x14ac:dyDescent="0.35">
      <c r="A55" s="50"/>
    </row>
    <row r="56" spans="1:1" x14ac:dyDescent="0.35">
      <c r="A56" s="50"/>
    </row>
    <row r="57" spans="1:1" x14ac:dyDescent="0.35">
      <c r="A57" s="50"/>
    </row>
    <row r="58" spans="1:1" x14ac:dyDescent="0.35">
      <c r="A58" s="50"/>
    </row>
    <row r="59" spans="1:1" x14ac:dyDescent="0.35">
      <c r="A59" s="50"/>
    </row>
    <row r="60" spans="1:1" x14ac:dyDescent="0.35">
      <c r="A60" s="50"/>
    </row>
    <row r="61" spans="1:1" x14ac:dyDescent="0.35">
      <c r="A61" s="50"/>
    </row>
    <row r="62" spans="1:1" x14ac:dyDescent="0.35">
      <c r="A62" s="50"/>
    </row>
    <row r="63" spans="1:1" x14ac:dyDescent="0.35">
      <c r="A63" s="40"/>
    </row>
    <row r="64" spans="1:1" x14ac:dyDescent="0.35">
      <c r="A64" s="50"/>
    </row>
    <row r="65" spans="1:1" x14ac:dyDescent="0.35">
      <c r="A65" s="50"/>
    </row>
    <row r="66" spans="1:1" x14ac:dyDescent="0.35">
      <c r="A66" s="50"/>
    </row>
    <row r="67" spans="1:1" x14ac:dyDescent="0.35">
      <c r="A67" s="50"/>
    </row>
    <row r="68" spans="1:1" x14ac:dyDescent="0.35">
      <c r="A68" s="50"/>
    </row>
    <row r="69" spans="1:1" x14ac:dyDescent="0.35">
      <c r="A69" s="50"/>
    </row>
    <row r="70" spans="1:1" x14ac:dyDescent="0.35">
      <c r="A70" s="50"/>
    </row>
    <row r="71" spans="1:1" x14ac:dyDescent="0.35">
      <c r="A71" s="50"/>
    </row>
    <row r="72" spans="1:1" x14ac:dyDescent="0.35">
      <c r="A72" s="50"/>
    </row>
    <row r="73" spans="1:1" x14ac:dyDescent="0.35">
      <c r="A73" s="50"/>
    </row>
    <row r="74" spans="1:1" x14ac:dyDescent="0.35">
      <c r="A74" s="50"/>
    </row>
    <row r="75" spans="1:1" x14ac:dyDescent="0.35">
      <c r="A75" s="50"/>
    </row>
    <row r="76" spans="1:1" x14ac:dyDescent="0.35">
      <c r="A76" s="50"/>
    </row>
    <row r="77" spans="1:1" x14ac:dyDescent="0.35">
      <c r="A77" s="50"/>
    </row>
    <row r="78" spans="1:1" x14ac:dyDescent="0.35">
      <c r="A78" s="50"/>
    </row>
    <row r="79" spans="1:1" x14ac:dyDescent="0.35">
      <c r="A79" s="50"/>
    </row>
    <row r="80" spans="1:1" x14ac:dyDescent="0.35">
      <c r="A80" s="50"/>
    </row>
    <row r="81" spans="1:1" x14ac:dyDescent="0.35">
      <c r="A81" s="50"/>
    </row>
    <row r="82" spans="1:1" x14ac:dyDescent="0.35">
      <c r="A82" s="50"/>
    </row>
    <row r="83" spans="1:1" x14ac:dyDescent="0.35">
      <c r="A83" s="50"/>
    </row>
    <row r="84" spans="1:1" x14ac:dyDescent="0.35">
      <c r="A84" s="50"/>
    </row>
    <row r="85" spans="1:1" x14ac:dyDescent="0.35">
      <c r="A85" s="50"/>
    </row>
    <row r="86" spans="1:1" x14ac:dyDescent="0.35">
      <c r="A86" s="50"/>
    </row>
    <row r="87" spans="1:1" x14ac:dyDescent="0.35">
      <c r="A87" s="50"/>
    </row>
    <row r="88" spans="1:1" x14ac:dyDescent="0.35">
      <c r="A88" s="50"/>
    </row>
    <row r="89" spans="1:1" x14ac:dyDescent="0.35">
      <c r="A89" s="50"/>
    </row>
    <row r="90" spans="1:1" x14ac:dyDescent="0.35">
      <c r="A90" s="50"/>
    </row>
    <row r="91" spans="1:1" x14ac:dyDescent="0.35">
      <c r="A91" s="50"/>
    </row>
    <row r="92" spans="1:1" x14ac:dyDescent="0.35">
      <c r="A92" s="50"/>
    </row>
    <row r="93" spans="1:1" x14ac:dyDescent="0.35">
      <c r="A93" s="50"/>
    </row>
    <row r="94" spans="1:1" x14ac:dyDescent="0.35">
      <c r="A94" s="50"/>
    </row>
    <row r="95" spans="1:1" x14ac:dyDescent="0.35">
      <c r="A95" s="50"/>
    </row>
    <row r="96" spans="1:1" x14ac:dyDescent="0.35">
      <c r="A96" s="50"/>
    </row>
    <row r="97" spans="1:1" x14ac:dyDescent="0.35">
      <c r="A97" s="50"/>
    </row>
    <row r="98" spans="1:1" x14ac:dyDescent="0.35">
      <c r="A98" s="40"/>
    </row>
    <row r="99" spans="1:1" x14ac:dyDescent="0.35">
      <c r="A99" s="50"/>
    </row>
    <row r="100" spans="1:1" x14ac:dyDescent="0.35">
      <c r="A100" s="50"/>
    </row>
    <row r="101" spans="1:1" x14ac:dyDescent="0.35">
      <c r="A101" s="50"/>
    </row>
    <row r="102" spans="1:1" x14ac:dyDescent="0.35">
      <c r="A102" s="50"/>
    </row>
    <row r="103" spans="1:1" x14ac:dyDescent="0.35">
      <c r="A103" s="50"/>
    </row>
    <row r="104" spans="1:1" x14ac:dyDescent="0.35">
      <c r="A104" s="50"/>
    </row>
    <row r="105" spans="1:1" x14ac:dyDescent="0.35">
      <c r="A105" s="50"/>
    </row>
    <row r="106" spans="1:1" x14ac:dyDescent="0.35">
      <c r="A106" s="50"/>
    </row>
    <row r="107" spans="1:1" x14ac:dyDescent="0.35">
      <c r="A107" s="50"/>
    </row>
    <row r="108" spans="1:1" x14ac:dyDescent="0.35">
      <c r="A108" s="50"/>
    </row>
    <row r="109" spans="1:1" x14ac:dyDescent="0.35">
      <c r="A109" s="50"/>
    </row>
    <row r="110" spans="1:1" x14ac:dyDescent="0.35">
      <c r="A110" s="50"/>
    </row>
    <row r="111" spans="1:1" x14ac:dyDescent="0.35">
      <c r="A111" s="50"/>
    </row>
    <row r="112" spans="1:1" x14ac:dyDescent="0.35">
      <c r="A112" s="50"/>
    </row>
    <row r="113" spans="1:1" x14ac:dyDescent="0.35">
      <c r="A113" s="50"/>
    </row>
    <row r="114" spans="1:1" x14ac:dyDescent="0.35">
      <c r="A114" s="50"/>
    </row>
    <row r="115" spans="1:1" x14ac:dyDescent="0.35">
      <c r="A115" s="50"/>
    </row>
    <row r="116" spans="1:1" x14ac:dyDescent="0.35">
      <c r="A116" s="50"/>
    </row>
    <row r="117" spans="1:1" x14ac:dyDescent="0.35">
      <c r="A117" s="50"/>
    </row>
    <row r="118" spans="1:1" x14ac:dyDescent="0.35">
      <c r="A118" s="50"/>
    </row>
    <row r="119" spans="1:1" x14ac:dyDescent="0.35">
      <c r="A119" s="50"/>
    </row>
    <row r="120" spans="1:1" x14ac:dyDescent="0.35">
      <c r="A120" s="50"/>
    </row>
    <row r="121" spans="1:1" x14ac:dyDescent="0.35">
      <c r="A121" s="50"/>
    </row>
    <row r="122" spans="1:1" x14ac:dyDescent="0.35">
      <c r="A122" s="50"/>
    </row>
    <row r="123" spans="1:1" x14ac:dyDescent="0.35">
      <c r="A123" s="50"/>
    </row>
    <row r="124" spans="1:1" x14ac:dyDescent="0.35">
      <c r="A124" s="50"/>
    </row>
    <row r="125" spans="1:1" x14ac:dyDescent="0.35">
      <c r="A125" s="50"/>
    </row>
    <row r="126" spans="1:1" x14ac:dyDescent="0.35">
      <c r="A126" s="50"/>
    </row>
    <row r="127" spans="1:1" x14ac:dyDescent="0.35">
      <c r="A127" s="50"/>
    </row>
    <row r="128" spans="1:1" x14ac:dyDescent="0.35">
      <c r="A128" s="50"/>
    </row>
    <row r="129" spans="1:1" x14ac:dyDescent="0.35">
      <c r="A129" s="50"/>
    </row>
    <row r="130" spans="1:1" x14ac:dyDescent="0.35">
      <c r="A130" s="50"/>
    </row>
    <row r="131" spans="1:1" x14ac:dyDescent="0.35">
      <c r="A131" s="50"/>
    </row>
    <row r="132" spans="1:1" x14ac:dyDescent="0.35">
      <c r="A132" s="50"/>
    </row>
    <row r="133" spans="1:1" x14ac:dyDescent="0.35">
      <c r="A133" s="50"/>
    </row>
    <row r="134" spans="1:1" x14ac:dyDescent="0.35">
      <c r="A134" s="50"/>
    </row>
    <row r="135" spans="1:1" x14ac:dyDescent="0.35">
      <c r="A135" s="50"/>
    </row>
    <row r="136" spans="1:1" x14ac:dyDescent="0.35">
      <c r="A136" s="50"/>
    </row>
    <row r="137" spans="1:1" x14ac:dyDescent="0.35">
      <c r="A137" s="50"/>
    </row>
    <row r="138" spans="1:1" x14ac:dyDescent="0.35">
      <c r="A138" s="50"/>
    </row>
    <row r="139" spans="1:1" x14ac:dyDescent="0.35">
      <c r="A139" s="50"/>
    </row>
    <row r="140" spans="1:1" x14ac:dyDescent="0.35">
      <c r="A140" s="50"/>
    </row>
    <row r="141" spans="1:1" x14ac:dyDescent="0.35">
      <c r="A141" s="50"/>
    </row>
    <row r="142" spans="1:1" x14ac:dyDescent="0.35">
      <c r="A142" s="50"/>
    </row>
    <row r="143" spans="1:1" x14ac:dyDescent="0.35">
      <c r="A143" s="50"/>
    </row>
    <row r="144" spans="1:1" x14ac:dyDescent="0.35">
      <c r="A144" s="50"/>
    </row>
    <row r="145" spans="1:1" x14ac:dyDescent="0.35">
      <c r="A145" s="50"/>
    </row>
    <row r="146" spans="1:1" x14ac:dyDescent="0.35">
      <c r="A146" s="50"/>
    </row>
    <row r="147" spans="1:1" x14ac:dyDescent="0.35">
      <c r="A147" s="50"/>
    </row>
    <row r="148" spans="1:1" x14ac:dyDescent="0.35">
      <c r="A148" s="50"/>
    </row>
    <row r="149" spans="1:1" x14ac:dyDescent="0.35">
      <c r="A149" s="50"/>
    </row>
    <row r="150" spans="1:1" x14ac:dyDescent="0.35">
      <c r="A150" s="50"/>
    </row>
    <row r="151" spans="1:1" x14ac:dyDescent="0.35">
      <c r="A151" s="50"/>
    </row>
    <row r="152" spans="1:1" x14ac:dyDescent="0.35">
      <c r="A152" s="50"/>
    </row>
    <row r="153" spans="1:1" x14ac:dyDescent="0.35">
      <c r="A153" s="50"/>
    </row>
    <row r="154" spans="1:1" x14ac:dyDescent="0.35">
      <c r="A154" s="50"/>
    </row>
    <row r="155" spans="1:1" x14ac:dyDescent="0.35">
      <c r="A155" s="50"/>
    </row>
    <row r="156" spans="1:1" x14ac:dyDescent="0.35">
      <c r="A156" s="50"/>
    </row>
    <row r="157" spans="1:1" x14ac:dyDescent="0.35">
      <c r="A157" s="50"/>
    </row>
    <row r="158" spans="1:1" x14ac:dyDescent="0.35">
      <c r="A158" s="50"/>
    </row>
    <row r="159" spans="1:1" x14ac:dyDescent="0.35">
      <c r="A159" s="50"/>
    </row>
    <row r="160" spans="1:1" x14ac:dyDescent="0.35">
      <c r="A160" s="50"/>
    </row>
    <row r="161" spans="1:1" x14ac:dyDescent="0.35">
      <c r="A161" s="50"/>
    </row>
    <row r="162" spans="1:1" x14ac:dyDescent="0.35">
      <c r="A162" s="50"/>
    </row>
    <row r="163" spans="1:1" x14ac:dyDescent="0.35">
      <c r="A163" s="50"/>
    </row>
    <row r="164" spans="1:1" x14ac:dyDescent="0.35">
      <c r="A164" s="50"/>
    </row>
    <row r="165" spans="1:1" x14ac:dyDescent="0.35">
      <c r="A165" s="50"/>
    </row>
    <row r="166" spans="1:1" x14ac:dyDescent="0.35">
      <c r="A166" s="50"/>
    </row>
    <row r="167" spans="1:1" x14ac:dyDescent="0.35">
      <c r="A167" s="50"/>
    </row>
    <row r="168" spans="1:1" x14ac:dyDescent="0.35">
      <c r="A168" s="50"/>
    </row>
    <row r="169" spans="1:1" x14ac:dyDescent="0.35">
      <c r="A169" s="50"/>
    </row>
    <row r="170" spans="1:1" x14ac:dyDescent="0.35">
      <c r="A170" s="50"/>
    </row>
    <row r="171" spans="1:1" x14ac:dyDescent="0.35">
      <c r="A171" s="50"/>
    </row>
    <row r="172" spans="1:1" x14ac:dyDescent="0.35">
      <c r="A172" s="50"/>
    </row>
    <row r="173" spans="1:1" x14ac:dyDescent="0.35">
      <c r="A173" s="50"/>
    </row>
    <row r="174" spans="1:1" x14ac:dyDescent="0.35">
      <c r="A174" s="50"/>
    </row>
    <row r="175" spans="1:1" x14ac:dyDescent="0.35">
      <c r="A175" s="50"/>
    </row>
    <row r="176" spans="1:1" x14ac:dyDescent="0.35">
      <c r="A176" s="50"/>
    </row>
    <row r="177" spans="1:1" x14ac:dyDescent="0.35">
      <c r="A177" s="50"/>
    </row>
    <row r="178" spans="1:1" x14ac:dyDescent="0.35">
      <c r="A178" s="50"/>
    </row>
    <row r="179" spans="1:1" x14ac:dyDescent="0.35">
      <c r="A179" s="50"/>
    </row>
    <row r="180" spans="1:1" x14ac:dyDescent="0.35">
      <c r="A180" s="50"/>
    </row>
    <row r="181" spans="1:1" x14ac:dyDescent="0.35">
      <c r="A181" s="50"/>
    </row>
    <row r="182" spans="1:1" x14ac:dyDescent="0.35">
      <c r="A182" s="50"/>
    </row>
    <row r="183" spans="1:1" x14ac:dyDescent="0.35">
      <c r="A183" s="50"/>
    </row>
    <row r="184" spans="1:1" x14ac:dyDescent="0.35">
      <c r="A184" s="50"/>
    </row>
    <row r="185" spans="1:1" x14ac:dyDescent="0.35">
      <c r="A185" s="50"/>
    </row>
    <row r="186" spans="1:1" x14ac:dyDescent="0.35">
      <c r="A186" s="50"/>
    </row>
    <row r="187" spans="1:1" x14ac:dyDescent="0.35">
      <c r="A187" s="50"/>
    </row>
    <row r="188" spans="1:1" x14ac:dyDescent="0.35">
      <c r="A188" s="50"/>
    </row>
    <row r="189" spans="1:1" x14ac:dyDescent="0.35">
      <c r="A189" s="50"/>
    </row>
    <row r="190" spans="1:1" x14ac:dyDescent="0.35">
      <c r="A190" s="50"/>
    </row>
    <row r="191" spans="1:1" x14ac:dyDescent="0.35">
      <c r="A191" s="50"/>
    </row>
    <row r="192" spans="1:1" x14ac:dyDescent="0.35">
      <c r="A192" s="50"/>
    </row>
    <row r="193" spans="1:1" x14ac:dyDescent="0.35">
      <c r="A193" s="50"/>
    </row>
    <row r="194" spans="1:1" x14ac:dyDescent="0.35">
      <c r="A194" s="50"/>
    </row>
    <row r="195" spans="1:1" x14ac:dyDescent="0.35">
      <c r="A195" s="50"/>
    </row>
    <row r="196" spans="1:1" x14ac:dyDescent="0.35">
      <c r="A196" s="50"/>
    </row>
    <row r="197" spans="1:1" x14ac:dyDescent="0.35">
      <c r="A197" s="40"/>
    </row>
    <row r="198" spans="1:1" x14ac:dyDescent="0.35">
      <c r="A198" s="50"/>
    </row>
    <row r="199" spans="1:1" x14ac:dyDescent="0.35">
      <c r="A199" s="50"/>
    </row>
    <row r="200" spans="1:1" x14ac:dyDescent="0.35">
      <c r="A200" s="50"/>
    </row>
    <row r="201" spans="1:1" x14ac:dyDescent="0.35">
      <c r="A201" s="50"/>
    </row>
    <row r="202" spans="1:1" x14ac:dyDescent="0.35">
      <c r="A202" s="50"/>
    </row>
    <row r="203" spans="1:1" x14ac:dyDescent="0.35">
      <c r="A203" s="50"/>
    </row>
    <row r="204" spans="1:1" x14ac:dyDescent="0.35">
      <c r="A204" s="50"/>
    </row>
    <row r="205" spans="1:1" x14ac:dyDescent="0.35">
      <c r="A205" s="50"/>
    </row>
    <row r="206" spans="1:1" x14ac:dyDescent="0.35">
      <c r="A206" s="50"/>
    </row>
    <row r="207" spans="1:1" x14ac:dyDescent="0.35">
      <c r="A207" s="50"/>
    </row>
    <row r="208" spans="1:1" x14ac:dyDescent="0.35">
      <c r="A208" s="50"/>
    </row>
    <row r="209" spans="1:1" x14ac:dyDescent="0.35">
      <c r="A209" s="50"/>
    </row>
    <row r="210" spans="1:1" x14ac:dyDescent="0.35">
      <c r="A210" s="50"/>
    </row>
    <row r="211" spans="1:1" x14ac:dyDescent="0.35">
      <c r="A211" s="50"/>
    </row>
    <row r="212" spans="1:1" x14ac:dyDescent="0.35">
      <c r="A212" s="50"/>
    </row>
    <row r="213" spans="1:1" x14ac:dyDescent="0.35">
      <c r="A213" s="50"/>
    </row>
    <row r="214" spans="1:1" x14ac:dyDescent="0.35">
      <c r="A214" s="50"/>
    </row>
    <row r="215" spans="1:1" x14ac:dyDescent="0.35">
      <c r="A215" s="50"/>
    </row>
    <row r="216" spans="1:1" x14ac:dyDescent="0.35">
      <c r="A216" s="50"/>
    </row>
    <row r="217" spans="1:1" x14ac:dyDescent="0.35">
      <c r="A217" s="50"/>
    </row>
    <row r="218" spans="1:1" x14ac:dyDescent="0.35">
      <c r="A218" s="50"/>
    </row>
    <row r="219" spans="1:1" x14ac:dyDescent="0.35">
      <c r="A219" s="50"/>
    </row>
    <row r="220" spans="1:1" x14ac:dyDescent="0.35">
      <c r="A220" s="50"/>
    </row>
    <row r="221" spans="1:1" x14ac:dyDescent="0.35">
      <c r="A221" s="50"/>
    </row>
    <row r="222" spans="1:1" x14ac:dyDescent="0.35">
      <c r="A222" s="50"/>
    </row>
    <row r="223" spans="1:1" x14ac:dyDescent="0.35">
      <c r="A223" s="50"/>
    </row>
    <row r="224" spans="1:1" x14ac:dyDescent="0.35">
      <c r="A224" s="50"/>
    </row>
    <row r="225" spans="1:1" x14ac:dyDescent="0.35">
      <c r="A225" s="50"/>
    </row>
    <row r="226" spans="1:1" x14ac:dyDescent="0.35">
      <c r="A226" s="50"/>
    </row>
    <row r="227" spans="1:1" x14ac:dyDescent="0.35">
      <c r="A227" s="50"/>
    </row>
    <row r="228" spans="1:1" x14ac:dyDescent="0.35">
      <c r="A228" s="50"/>
    </row>
    <row r="229" spans="1:1" x14ac:dyDescent="0.35">
      <c r="A229" s="50"/>
    </row>
    <row r="230" spans="1:1" x14ac:dyDescent="0.35">
      <c r="A230" s="50"/>
    </row>
    <row r="231" spans="1:1" x14ac:dyDescent="0.35">
      <c r="A231" s="50"/>
    </row>
    <row r="232" spans="1:1" x14ac:dyDescent="0.35">
      <c r="A232" s="50"/>
    </row>
    <row r="233" spans="1:1" x14ac:dyDescent="0.35">
      <c r="A233" s="50"/>
    </row>
    <row r="234" spans="1:1" x14ac:dyDescent="0.35">
      <c r="A234" s="50"/>
    </row>
    <row r="235" spans="1:1" x14ac:dyDescent="0.35">
      <c r="A235" s="50"/>
    </row>
    <row r="236" spans="1:1" x14ac:dyDescent="0.35">
      <c r="A236" s="50"/>
    </row>
    <row r="237" spans="1:1" x14ac:dyDescent="0.35">
      <c r="A237" s="50"/>
    </row>
    <row r="238" spans="1:1" x14ac:dyDescent="0.35">
      <c r="A238" s="50"/>
    </row>
    <row r="239" spans="1:1" x14ac:dyDescent="0.35">
      <c r="A239" s="50"/>
    </row>
    <row r="240" spans="1:1" x14ac:dyDescent="0.35">
      <c r="A240" s="50"/>
    </row>
    <row r="241" spans="1:1" x14ac:dyDescent="0.35">
      <c r="A241" s="50"/>
    </row>
    <row r="242" spans="1:1" x14ac:dyDescent="0.35">
      <c r="A242" s="50"/>
    </row>
    <row r="243" spans="1:1" x14ac:dyDescent="0.35">
      <c r="A243" s="50"/>
    </row>
    <row r="244" spans="1:1" x14ac:dyDescent="0.35">
      <c r="A244" s="50"/>
    </row>
    <row r="245" spans="1:1" x14ac:dyDescent="0.35">
      <c r="A245" s="50"/>
    </row>
    <row r="246" spans="1:1" x14ac:dyDescent="0.35">
      <c r="A246" s="50"/>
    </row>
    <row r="247" spans="1:1" x14ac:dyDescent="0.35">
      <c r="A247" s="50"/>
    </row>
    <row r="248" spans="1:1" x14ac:dyDescent="0.35">
      <c r="A248" s="50"/>
    </row>
    <row r="249" spans="1:1" x14ac:dyDescent="0.35">
      <c r="A249" s="50"/>
    </row>
    <row r="250" spans="1:1" x14ac:dyDescent="0.35">
      <c r="A250" s="50"/>
    </row>
    <row r="251" spans="1:1" x14ac:dyDescent="0.35">
      <c r="A251" s="50"/>
    </row>
    <row r="252" spans="1:1" x14ac:dyDescent="0.35">
      <c r="A252" s="50"/>
    </row>
    <row r="253" spans="1:1" x14ac:dyDescent="0.35">
      <c r="A253" s="50"/>
    </row>
    <row r="254" spans="1:1" x14ac:dyDescent="0.35">
      <c r="A254" s="50"/>
    </row>
    <row r="255" spans="1:1" x14ac:dyDescent="0.35">
      <c r="A255" s="50"/>
    </row>
    <row r="256" spans="1:1" x14ac:dyDescent="0.35">
      <c r="A256" s="50"/>
    </row>
    <row r="257" spans="1:1" x14ac:dyDescent="0.35">
      <c r="A257" s="50"/>
    </row>
    <row r="258" spans="1:1" x14ac:dyDescent="0.35">
      <c r="A258" s="50"/>
    </row>
    <row r="259" spans="1:1" x14ac:dyDescent="0.35">
      <c r="A259" s="50"/>
    </row>
    <row r="260" spans="1:1" x14ac:dyDescent="0.35">
      <c r="A260" s="50"/>
    </row>
    <row r="261" spans="1:1" x14ac:dyDescent="0.35">
      <c r="A261" s="50"/>
    </row>
    <row r="262" spans="1:1" x14ac:dyDescent="0.35">
      <c r="A262" s="50"/>
    </row>
    <row r="263" spans="1:1" x14ac:dyDescent="0.35">
      <c r="A263" s="50"/>
    </row>
    <row r="264" spans="1:1" x14ac:dyDescent="0.35">
      <c r="A264" s="50"/>
    </row>
    <row r="265" spans="1:1" x14ac:dyDescent="0.35">
      <c r="A265" s="50"/>
    </row>
    <row r="266" spans="1:1" x14ac:dyDescent="0.35">
      <c r="A266" s="50"/>
    </row>
    <row r="267" spans="1:1" x14ac:dyDescent="0.35">
      <c r="A267" s="50"/>
    </row>
    <row r="268" spans="1:1" x14ac:dyDescent="0.35">
      <c r="A268" s="50"/>
    </row>
    <row r="269" spans="1:1" x14ac:dyDescent="0.35">
      <c r="A269" s="50"/>
    </row>
    <row r="270" spans="1:1" x14ac:dyDescent="0.35">
      <c r="A270" s="50"/>
    </row>
    <row r="271" spans="1:1" x14ac:dyDescent="0.35">
      <c r="A271" s="40"/>
    </row>
    <row r="272" spans="1:1" x14ac:dyDescent="0.35">
      <c r="A272" s="50"/>
    </row>
    <row r="273" spans="1:1" x14ac:dyDescent="0.35">
      <c r="A273" s="50"/>
    </row>
    <row r="274" spans="1:1" x14ac:dyDescent="0.35">
      <c r="A274" s="50"/>
    </row>
    <row r="275" spans="1:1" x14ac:dyDescent="0.35">
      <c r="A275" s="50"/>
    </row>
    <row r="276" spans="1:1" x14ac:dyDescent="0.35">
      <c r="A276" s="50"/>
    </row>
    <row r="277" spans="1:1" x14ac:dyDescent="0.35">
      <c r="A277" s="50"/>
    </row>
    <row r="278" spans="1:1" x14ac:dyDescent="0.35">
      <c r="A278" s="50"/>
    </row>
    <row r="279" spans="1:1" x14ac:dyDescent="0.35">
      <c r="A279" s="50"/>
    </row>
    <row r="280" spans="1:1" x14ac:dyDescent="0.35">
      <c r="A280" s="50"/>
    </row>
    <row r="281" spans="1:1" x14ac:dyDescent="0.35">
      <c r="A281" s="50"/>
    </row>
    <row r="282" spans="1:1" x14ac:dyDescent="0.35">
      <c r="A282" s="50"/>
    </row>
    <row r="283" spans="1:1" x14ac:dyDescent="0.35">
      <c r="A283" s="50"/>
    </row>
    <row r="284" spans="1:1" x14ac:dyDescent="0.35">
      <c r="A284" s="50"/>
    </row>
    <row r="285" spans="1:1" x14ac:dyDescent="0.35">
      <c r="A285" s="50"/>
    </row>
    <row r="286" spans="1:1" x14ac:dyDescent="0.35">
      <c r="A286" s="50"/>
    </row>
    <row r="287" spans="1:1" x14ac:dyDescent="0.35">
      <c r="A287" s="50"/>
    </row>
    <row r="288" spans="1:1" x14ac:dyDescent="0.35">
      <c r="A288" s="50"/>
    </row>
    <row r="289" spans="1:1" x14ac:dyDescent="0.35">
      <c r="A289" s="50"/>
    </row>
    <row r="290" spans="1:1" x14ac:dyDescent="0.35">
      <c r="A290" s="50"/>
    </row>
    <row r="291" spans="1:1" x14ac:dyDescent="0.35">
      <c r="A291" s="50"/>
    </row>
    <row r="292" spans="1:1" x14ac:dyDescent="0.35">
      <c r="A292" s="50"/>
    </row>
    <row r="293" spans="1:1" x14ac:dyDescent="0.35">
      <c r="A293" s="50"/>
    </row>
    <row r="294" spans="1:1" x14ac:dyDescent="0.35">
      <c r="A294" s="50"/>
    </row>
    <row r="295" spans="1:1" x14ac:dyDescent="0.35">
      <c r="A295" s="50"/>
    </row>
    <row r="296" spans="1:1" x14ac:dyDescent="0.35">
      <c r="A296" s="50"/>
    </row>
    <row r="297" spans="1:1" x14ac:dyDescent="0.35">
      <c r="A297" s="50"/>
    </row>
    <row r="298" spans="1:1" x14ac:dyDescent="0.35">
      <c r="A298" s="50"/>
    </row>
    <row r="299" spans="1:1" x14ac:dyDescent="0.35">
      <c r="A299" s="50"/>
    </row>
    <row r="300" spans="1:1" x14ac:dyDescent="0.35">
      <c r="A300" s="50"/>
    </row>
    <row r="301" spans="1:1" x14ac:dyDescent="0.35">
      <c r="A301" s="50"/>
    </row>
    <row r="302" spans="1:1" x14ac:dyDescent="0.35">
      <c r="A302" s="50"/>
    </row>
    <row r="303" spans="1:1" x14ac:dyDescent="0.35">
      <c r="A303" s="50"/>
    </row>
    <row r="304" spans="1:1" x14ac:dyDescent="0.35">
      <c r="A304" s="50"/>
    </row>
    <row r="305" spans="1:1" x14ac:dyDescent="0.35">
      <c r="A305" s="50"/>
    </row>
    <row r="306" spans="1:1" x14ac:dyDescent="0.35">
      <c r="A306" s="50"/>
    </row>
    <row r="307" spans="1:1" x14ac:dyDescent="0.35">
      <c r="A307" s="50"/>
    </row>
    <row r="308" spans="1:1" x14ac:dyDescent="0.35">
      <c r="A308" s="50"/>
    </row>
    <row r="309" spans="1:1" x14ac:dyDescent="0.35">
      <c r="A309" s="50"/>
    </row>
    <row r="310" spans="1:1" x14ac:dyDescent="0.35">
      <c r="A310" s="50"/>
    </row>
    <row r="311" spans="1:1" x14ac:dyDescent="0.35">
      <c r="A311" s="50"/>
    </row>
    <row r="312" spans="1:1" x14ac:dyDescent="0.35">
      <c r="A312" s="50"/>
    </row>
    <row r="313" spans="1:1" x14ac:dyDescent="0.35">
      <c r="A313" s="50"/>
    </row>
    <row r="314" spans="1:1" x14ac:dyDescent="0.35">
      <c r="A314" s="50"/>
    </row>
    <row r="315" spans="1:1" x14ac:dyDescent="0.35">
      <c r="A315" s="50"/>
    </row>
    <row r="316" spans="1:1" x14ac:dyDescent="0.35">
      <c r="A316" s="50"/>
    </row>
    <row r="317" spans="1:1" x14ac:dyDescent="0.35">
      <c r="A317" s="50"/>
    </row>
    <row r="318" spans="1:1" x14ac:dyDescent="0.35">
      <c r="A318" s="50"/>
    </row>
    <row r="319" spans="1:1" x14ac:dyDescent="0.35">
      <c r="A319" s="50"/>
    </row>
    <row r="320" spans="1:1" x14ac:dyDescent="0.35">
      <c r="A320" s="50"/>
    </row>
    <row r="321" spans="1:1" x14ac:dyDescent="0.35">
      <c r="A321" s="50"/>
    </row>
    <row r="322" spans="1:1" x14ac:dyDescent="0.35">
      <c r="A322" s="50"/>
    </row>
    <row r="323" spans="1:1" x14ac:dyDescent="0.35">
      <c r="A323" s="50"/>
    </row>
    <row r="324" spans="1:1" x14ac:dyDescent="0.35">
      <c r="A324" s="50"/>
    </row>
    <row r="325" spans="1:1" x14ac:dyDescent="0.35">
      <c r="A325" s="50"/>
    </row>
    <row r="326" spans="1:1" x14ac:dyDescent="0.35">
      <c r="A326" s="50"/>
    </row>
    <row r="327" spans="1:1" x14ac:dyDescent="0.35">
      <c r="A327" s="50"/>
    </row>
    <row r="328" spans="1:1" x14ac:dyDescent="0.35">
      <c r="A328" s="50"/>
    </row>
    <row r="329" spans="1:1" x14ac:dyDescent="0.35">
      <c r="A329" s="50"/>
    </row>
    <row r="330" spans="1:1" x14ac:dyDescent="0.35">
      <c r="A330" s="50"/>
    </row>
    <row r="331" spans="1:1" x14ac:dyDescent="0.35">
      <c r="A331" s="50"/>
    </row>
    <row r="332" spans="1:1" x14ac:dyDescent="0.35">
      <c r="A332" s="50"/>
    </row>
    <row r="333" spans="1:1" x14ac:dyDescent="0.35">
      <c r="A333" s="50"/>
    </row>
    <row r="334" spans="1:1" x14ac:dyDescent="0.35">
      <c r="A334" s="50"/>
    </row>
    <row r="335" spans="1:1" x14ac:dyDescent="0.35">
      <c r="A335" s="50"/>
    </row>
    <row r="336" spans="1:1" x14ac:dyDescent="0.35">
      <c r="A336" s="50"/>
    </row>
    <row r="337" spans="1:1" x14ac:dyDescent="0.35">
      <c r="A337" s="50"/>
    </row>
    <row r="338" spans="1:1" x14ac:dyDescent="0.35">
      <c r="A338" s="50"/>
    </row>
    <row r="339" spans="1:1" x14ac:dyDescent="0.35">
      <c r="A339" s="50"/>
    </row>
    <row r="340" spans="1:1" x14ac:dyDescent="0.35">
      <c r="A340" s="50"/>
    </row>
    <row r="341" spans="1:1" x14ac:dyDescent="0.35">
      <c r="A341" s="50"/>
    </row>
    <row r="342" spans="1:1" x14ac:dyDescent="0.35">
      <c r="A342" s="50"/>
    </row>
    <row r="343" spans="1:1" x14ac:dyDescent="0.35">
      <c r="A343" s="40"/>
    </row>
    <row r="344" spans="1:1" x14ac:dyDescent="0.35">
      <c r="A344" s="40"/>
    </row>
    <row r="345" spans="1:1" x14ac:dyDescent="0.35">
      <c r="A345" s="40"/>
    </row>
    <row r="346" spans="1:1" x14ac:dyDescent="0.35">
      <c r="A346" s="40"/>
    </row>
    <row r="347" spans="1:1" x14ac:dyDescent="0.35">
      <c r="A347" s="40"/>
    </row>
    <row r="348" spans="1:1" x14ac:dyDescent="0.35">
      <c r="A348" s="40"/>
    </row>
    <row r="349" spans="1:1" x14ac:dyDescent="0.35">
      <c r="A349" s="40"/>
    </row>
    <row r="350" spans="1:1" x14ac:dyDescent="0.35">
      <c r="A350" s="50"/>
    </row>
    <row r="351" spans="1:1" x14ac:dyDescent="0.35">
      <c r="A351" s="50"/>
    </row>
    <row r="352" spans="1:1" x14ac:dyDescent="0.35">
      <c r="A352" s="50"/>
    </row>
    <row r="353" spans="1:1" x14ac:dyDescent="0.35">
      <c r="A353" s="50"/>
    </row>
    <row r="354" spans="1:1" x14ac:dyDescent="0.35">
      <c r="A354" s="50"/>
    </row>
    <row r="355" spans="1:1" x14ac:dyDescent="0.35">
      <c r="A355" s="50"/>
    </row>
    <row r="356" spans="1:1" x14ac:dyDescent="0.35">
      <c r="A356" s="50"/>
    </row>
    <row r="357" spans="1:1" x14ac:dyDescent="0.35">
      <c r="A357" s="50"/>
    </row>
    <row r="358" spans="1:1" x14ac:dyDescent="0.35">
      <c r="A358" s="50"/>
    </row>
    <row r="359" spans="1:1" x14ac:dyDescent="0.35">
      <c r="A359" s="50"/>
    </row>
    <row r="360" spans="1:1" x14ac:dyDescent="0.35">
      <c r="A360" s="50"/>
    </row>
    <row r="361" spans="1:1" x14ac:dyDescent="0.35">
      <c r="A361" s="40"/>
    </row>
    <row r="362" spans="1:1" x14ac:dyDescent="0.35">
      <c r="A362" s="40"/>
    </row>
    <row r="363" spans="1:1" x14ac:dyDescent="0.35">
      <c r="A363" s="40"/>
    </row>
    <row r="364" spans="1:1" x14ac:dyDescent="0.35">
      <c r="A364" s="50"/>
    </row>
    <row r="365" spans="1:1" x14ac:dyDescent="0.35">
      <c r="A365" s="50"/>
    </row>
    <row r="366" spans="1:1" x14ac:dyDescent="0.35">
      <c r="A366" s="50"/>
    </row>
    <row r="367" spans="1:1" x14ac:dyDescent="0.35">
      <c r="A367" s="50"/>
    </row>
    <row r="368" spans="1:1" x14ac:dyDescent="0.35">
      <c r="A368" s="50"/>
    </row>
    <row r="369" spans="1:1" x14ac:dyDescent="0.35">
      <c r="A369" s="50"/>
    </row>
    <row r="370" spans="1:1" x14ac:dyDescent="0.35">
      <c r="A370" s="40"/>
    </row>
    <row r="371" spans="1:1" x14ac:dyDescent="0.35">
      <c r="A371" s="50"/>
    </row>
    <row r="372" spans="1:1" x14ac:dyDescent="0.35">
      <c r="A372" s="40"/>
    </row>
    <row r="373" spans="1:1" x14ac:dyDescent="0.35">
      <c r="A373" s="50"/>
    </row>
    <row r="374" spans="1:1" x14ac:dyDescent="0.35">
      <c r="A374" s="40"/>
    </row>
    <row r="375" spans="1:1" x14ac:dyDescent="0.35">
      <c r="A375" s="40"/>
    </row>
    <row r="376" spans="1:1" x14ac:dyDescent="0.35">
      <c r="A376" s="50"/>
    </row>
    <row r="377" spans="1:1" x14ac:dyDescent="0.35">
      <c r="A377" s="50"/>
    </row>
    <row r="378" spans="1:1" x14ac:dyDescent="0.35">
      <c r="A378" s="50"/>
    </row>
    <row r="379" spans="1:1" x14ac:dyDescent="0.35">
      <c r="A379" s="50"/>
    </row>
    <row r="380" spans="1:1" x14ac:dyDescent="0.35">
      <c r="A380" s="50"/>
    </row>
    <row r="381" spans="1:1" x14ac:dyDescent="0.35">
      <c r="A381" s="50"/>
    </row>
    <row r="382" spans="1:1" x14ac:dyDescent="0.35">
      <c r="A382" s="50"/>
    </row>
    <row r="383" spans="1:1" x14ac:dyDescent="0.35">
      <c r="A383" s="50"/>
    </row>
    <row r="384" spans="1:1" x14ac:dyDescent="0.35">
      <c r="A384" s="50"/>
    </row>
    <row r="385" spans="1:1" x14ac:dyDescent="0.35">
      <c r="A385" s="50"/>
    </row>
    <row r="386" spans="1:1" x14ac:dyDescent="0.35">
      <c r="A386" s="50"/>
    </row>
    <row r="387" spans="1:1" x14ac:dyDescent="0.35">
      <c r="A387" s="50"/>
    </row>
    <row r="388" spans="1:1" x14ac:dyDescent="0.35">
      <c r="A388" s="50"/>
    </row>
    <row r="389" spans="1:1" x14ac:dyDescent="0.35">
      <c r="A389" s="40"/>
    </row>
    <row r="390" spans="1:1" x14ac:dyDescent="0.35">
      <c r="A390" s="50"/>
    </row>
    <row r="391" spans="1:1" x14ac:dyDescent="0.35">
      <c r="A391" s="40"/>
    </row>
    <row r="392" spans="1:1" x14ac:dyDescent="0.35">
      <c r="A392" s="50"/>
    </row>
    <row r="393" spans="1:1" x14ac:dyDescent="0.35">
      <c r="A393" s="50"/>
    </row>
    <row r="394" spans="1:1" x14ac:dyDescent="0.35">
      <c r="A394" s="50"/>
    </row>
    <row r="395" spans="1:1" x14ac:dyDescent="0.35">
      <c r="A395" s="50"/>
    </row>
    <row r="396" spans="1:1" x14ac:dyDescent="0.35">
      <c r="A396" s="50"/>
    </row>
    <row r="397" spans="1:1" x14ac:dyDescent="0.35">
      <c r="A397" s="50"/>
    </row>
    <row r="398" spans="1:1" x14ac:dyDescent="0.35">
      <c r="A398" s="50"/>
    </row>
    <row r="399" spans="1:1" x14ac:dyDescent="0.35">
      <c r="A399" s="50"/>
    </row>
    <row r="400" spans="1:1" x14ac:dyDescent="0.35">
      <c r="A400" s="50"/>
    </row>
    <row r="401" spans="1:1" x14ac:dyDescent="0.35">
      <c r="A401" s="50"/>
    </row>
    <row r="402" spans="1:1" x14ac:dyDescent="0.35">
      <c r="A402" s="50"/>
    </row>
    <row r="403" spans="1:1" x14ac:dyDescent="0.35">
      <c r="A403" s="50"/>
    </row>
    <row r="404" spans="1:1" x14ac:dyDescent="0.35">
      <c r="A404" s="50"/>
    </row>
    <row r="405" spans="1:1" x14ac:dyDescent="0.35">
      <c r="A405" s="50"/>
    </row>
    <row r="406" spans="1:1" x14ac:dyDescent="0.35">
      <c r="A406" s="50"/>
    </row>
    <row r="407" spans="1:1" x14ac:dyDescent="0.35">
      <c r="A407" s="50"/>
    </row>
    <row r="408" spans="1:1" x14ac:dyDescent="0.35">
      <c r="A408" s="50"/>
    </row>
    <row r="409" spans="1:1" x14ac:dyDescent="0.35">
      <c r="A409" s="50"/>
    </row>
    <row r="410" spans="1:1" x14ac:dyDescent="0.35">
      <c r="A410" s="50"/>
    </row>
    <row r="411" spans="1:1" x14ac:dyDescent="0.35">
      <c r="A411" s="50"/>
    </row>
    <row r="412" spans="1:1" x14ac:dyDescent="0.35">
      <c r="A412" s="50"/>
    </row>
    <row r="413" spans="1:1" x14ac:dyDescent="0.35">
      <c r="A413" s="50"/>
    </row>
    <row r="414" spans="1:1" x14ac:dyDescent="0.35">
      <c r="A414" s="50"/>
    </row>
    <row r="415" spans="1:1" x14ac:dyDescent="0.35">
      <c r="A415" s="40"/>
    </row>
    <row r="416" spans="1:1" x14ac:dyDescent="0.35">
      <c r="A416" s="50"/>
    </row>
    <row r="417" spans="1:1" x14ac:dyDescent="0.35">
      <c r="A417" s="50"/>
    </row>
    <row r="418" spans="1:1" x14ac:dyDescent="0.35">
      <c r="A418" s="50"/>
    </row>
    <row r="419" spans="1:1" x14ac:dyDescent="0.35">
      <c r="A419" s="50"/>
    </row>
    <row r="420" spans="1:1" x14ac:dyDescent="0.35">
      <c r="A420" s="40"/>
    </row>
    <row r="421" spans="1:1" x14ac:dyDescent="0.35">
      <c r="A421" s="40"/>
    </row>
    <row r="422" spans="1:1" x14ac:dyDescent="0.35">
      <c r="A422" s="50"/>
    </row>
    <row r="423" spans="1:1" x14ac:dyDescent="0.35">
      <c r="A423" s="50"/>
    </row>
    <row r="424" spans="1:1" x14ac:dyDescent="0.35">
      <c r="A424" s="40"/>
    </row>
    <row r="425" spans="1:1" x14ac:dyDescent="0.35">
      <c r="A425" s="50"/>
    </row>
    <row r="426" spans="1:1" x14ac:dyDescent="0.35">
      <c r="A426" s="40"/>
    </row>
    <row r="427" spans="1:1" x14ac:dyDescent="0.35">
      <c r="A427" s="50"/>
    </row>
    <row r="428" spans="1:1" x14ac:dyDescent="0.35">
      <c r="A428" s="40"/>
    </row>
    <row r="429" spans="1:1" x14ac:dyDescent="0.35">
      <c r="A429" s="50"/>
    </row>
    <row r="430" spans="1:1" x14ac:dyDescent="0.35">
      <c r="A430" s="50"/>
    </row>
    <row r="431" spans="1:1" x14ac:dyDescent="0.35">
      <c r="A431" s="50"/>
    </row>
    <row r="432" spans="1:1" x14ac:dyDescent="0.35">
      <c r="A432" s="40"/>
    </row>
    <row r="433" spans="1:1" x14ac:dyDescent="0.35">
      <c r="A433" s="40"/>
    </row>
    <row r="434" spans="1:1" x14ac:dyDescent="0.35">
      <c r="A434" s="40"/>
    </row>
    <row r="435" spans="1:1" x14ac:dyDescent="0.35">
      <c r="A435" s="50"/>
    </row>
    <row r="436" spans="1:1" x14ac:dyDescent="0.35">
      <c r="A436" s="50"/>
    </row>
    <row r="437" spans="1:1" x14ac:dyDescent="0.35">
      <c r="A437" s="40"/>
    </row>
    <row r="438" spans="1:1" x14ac:dyDescent="0.35">
      <c r="A438" s="40"/>
    </row>
    <row r="439" spans="1:1" x14ac:dyDescent="0.35">
      <c r="A439" s="40"/>
    </row>
    <row r="440" spans="1:1" x14ac:dyDescent="0.35">
      <c r="A440" s="40"/>
    </row>
    <row r="441" spans="1:1" x14ac:dyDescent="0.35">
      <c r="A441" s="40"/>
    </row>
    <row r="442" spans="1:1" x14ac:dyDescent="0.35">
      <c r="A442" s="40"/>
    </row>
    <row r="443" spans="1:1" x14ac:dyDescent="0.35">
      <c r="A443" s="50"/>
    </row>
    <row r="444" spans="1:1" x14ac:dyDescent="0.35">
      <c r="A444" s="40"/>
    </row>
    <row r="445" spans="1:1" x14ac:dyDescent="0.35">
      <c r="A445" s="50"/>
    </row>
    <row r="446" spans="1:1" x14ac:dyDescent="0.35">
      <c r="A446" s="50"/>
    </row>
    <row r="447" spans="1:1" x14ac:dyDescent="0.35">
      <c r="A447" s="50"/>
    </row>
    <row r="448" spans="1:1" x14ac:dyDescent="0.35">
      <c r="A448" s="50"/>
    </row>
    <row r="449" spans="1:1" x14ac:dyDescent="0.35">
      <c r="A449" s="50"/>
    </row>
    <row r="450" spans="1:1" x14ac:dyDescent="0.35">
      <c r="A450" s="40"/>
    </row>
    <row r="451" spans="1:1" x14ac:dyDescent="0.35">
      <c r="A451" s="40"/>
    </row>
    <row r="452" spans="1:1" x14ac:dyDescent="0.35">
      <c r="A452" s="40"/>
    </row>
    <row r="453" spans="1:1" x14ac:dyDescent="0.35">
      <c r="A453" s="50"/>
    </row>
    <row r="454" spans="1:1" x14ac:dyDescent="0.35">
      <c r="A454" s="50"/>
    </row>
    <row r="455" spans="1:1" x14ac:dyDescent="0.35">
      <c r="A455" s="40"/>
    </row>
    <row r="456" spans="1:1" x14ac:dyDescent="0.35">
      <c r="A456" s="40"/>
    </row>
    <row r="457" spans="1:1" x14ac:dyDescent="0.35">
      <c r="A457" s="40"/>
    </row>
    <row r="458" spans="1:1" x14ac:dyDescent="0.35">
      <c r="A458" s="40"/>
    </row>
    <row r="459" spans="1:1" x14ac:dyDescent="0.35">
      <c r="A459" s="40"/>
    </row>
    <row r="460" spans="1:1" x14ac:dyDescent="0.35">
      <c r="A460" s="40"/>
    </row>
    <row r="461" spans="1:1" x14ac:dyDescent="0.35">
      <c r="A461" s="40"/>
    </row>
    <row r="462" spans="1:1" x14ac:dyDescent="0.35">
      <c r="A462" s="40"/>
    </row>
    <row r="463" spans="1:1" x14ac:dyDescent="0.35">
      <c r="A463" s="40"/>
    </row>
    <row r="464" spans="1:1" x14ac:dyDescent="0.35">
      <c r="A464" s="40"/>
    </row>
    <row r="465" spans="1:1" x14ac:dyDescent="0.35">
      <c r="A465" s="40"/>
    </row>
    <row r="466" spans="1:1" x14ac:dyDescent="0.35">
      <c r="A466" s="40"/>
    </row>
    <row r="467" spans="1:1" x14ac:dyDescent="0.35">
      <c r="A467" s="40"/>
    </row>
    <row r="468" spans="1:1" x14ac:dyDescent="0.35">
      <c r="A468" s="40"/>
    </row>
    <row r="469" spans="1:1" x14ac:dyDescent="0.35">
      <c r="A469" s="40"/>
    </row>
    <row r="470" spans="1:1" x14ac:dyDescent="0.35">
      <c r="A470" s="40"/>
    </row>
    <row r="471" spans="1:1" x14ac:dyDescent="0.35">
      <c r="A471" s="40"/>
    </row>
    <row r="472" spans="1:1" x14ac:dyDescent="0.35">
      <c r="A472" s="40"/>
    </row>
    <row r="473" spans="1:1" x14ac:dyDescent="0.35">
      <c r="A473" s="50"/>
    </row>
    <row r="474" spans="1:1" x14ac:dyDescent="0.35">
      <c r="A474" s="50"/>
    </row>
    <row r="475" spans="1:1" x14ac:dyDescent="0.35">
      <c r="A475" s="50"/>
    </row>
    <row r="476" spans="1:1" x14ac:dyDescent="0.35">
      <c r="A476" s="50"/>
    </row>
    <row r="477" spans="1:1" x14ac:dyDescent="0.35">
      <c r="A477" s="50"/>
    </row>
    <row r="478" spans="1:1" x14ac:dyDescent="0.35">
      <c r="A478" s="50"/>
    </row>
    <row r="479" spans="1:1" x14ac:dyDescent="0.35">
      <c r="A479" s="50"/>
    </row>
    <row r="480" spans="1:1" x14ac:dyDescent="0.35">
      <c r="A480" s="50"/>
    </row>
    <row r="481" spans="1:1" x14ac:dyDescent="0.35">
      <c r="A481" s="50"/>
    </row>
    <row r="482" spans="1:1" x14ac:dyDescent="0.35">
      <c r="A482" s="50"/>
    </row>
    <row r="483" spans="1:1" x14ac:dyDescent="0.35">
      <c r="A483" s="50"/>
    </row>
    <row r="484" spans="1:1" x14ac:dyDescent="0.35">
      <c r="A484" s="50"/>
    </row>
    <row r="485" spans="1:1" x14ac:dyDescent="0.35">
      <c r="A485" s="50"/>
    </row>
    <row r="486" spans="1:1" x14ac:dyDescent="0.35">
      <c r="A486" s="50"/>
    </row>
    <row r="487" spans="1:1" x14ac:dyDescent="0.35">
      <c r="A487" s="50"/>
    </row>
    <row r="488" spans="1:1" x14ac:dyDescent="0.35">
      <c r="A488" s="50"/>
    </row>
    <row r="489" spans="1:1" x14ac:dyDescent="0.35">
      <c r="A489" s="50"/>
    </row>
    <row r="490" spans="1:1" x14ac:dyDescent="0.35">
      <c r="A490" s="50"/>
    </row>
    <row r="491" spans="1:1" x14ac:dyDescent="0.35">
      <c r="A491" s="50"/>
    </row>
    <row r="492" spans="1:1" x14ac:dyDescent="0.35">
      <c r="A492" s="50"/>
    </row>
    <row r="493" spans="1:1" x14ac:dyDescent="0.35">
      <c r="A493" s="50"/>
    </row>
    <row r="494" spans="1:1" x14ac:dyDescent="0.35">
      <c r="A494" s="50"/>
    </row>
    <row r="495" spans="1:1" x14ac:dyDescent="0.35">
      <c r="A495" s="50"/>
    </row>
    <row r="496" spans="1:1" x14ac:dyDescent="0.35">
      <c r="A496" s="40"/>
    </row>
    <row r="497" spans="1:1" x14ac:dyDescent="0.35">
      <c r="A497" s="50"/>
    </row>
    <row r="498" spans="1:1" x14ac:dyDescent="0.35">
      <c r="A498" s="50"/>
    </row>
    <row r="499" spans="1:1" x14ac:dyDescent="0.35">
      <c r="A499" s="50"/>
    </row>
    <row r="500" spans="1:1" x14ac:dyDescent="0.35">
      <c r="A500" s="50"/>
    </row>
    <row r="501" spans="1:1" x14ac:dyDescent="0.35">
      <c r="A501" s="40"/>
    </row>
    <row r="502" spans="1:1" x14ac:dyDescent="0.35">
      <c r="A502" s="50"/>
    </row>
    <row r="503" spans="1:1" x14ac:dyDescent="0.35">
      <c r="A503" s="40"/>
    </row>
    <row r="504" spans="1:1" x14ac:dyDescent="0.35">
      <c r="A504" s="40"/>
    </row>
    <row r="505" spans="1:1" x14ac:dyDescent="0.35">
      <c r="A505" s="50"/>
    </row>
    <row r="506" spans="1:1" x14ac:dyDescent="0.35">
      <c r="A506" s="40"/>
    </row>
    <row r="507" spans="1:1" x14ac:dyDescent="0.35">
      <c r="A507" s="50"/>
    </row>
    <row r="508" spans="1:1" x14ac:dyDescent="0.35">
      <c r="A508" s="40"/>
    </row>
    <row r="509" spans="1:1" x14ac:dyDescent="0.35">
      <c r="A509" s="40"/>
    </row>
    <row r="510" spans="1:1" x14ac:dyDescent="0.35">
      <c r="A510" s="50"/>
    </row>
    <row r="511" spans="1:1" x14ac:dyDescent="0.35">
      <c r="A511" s="50"/>
    </row>
    <row r="512" spans="1:1" x14ac:dyDescent="0.35">
      <c r="A512" s="50"/>
    </row>
    <row r="513" spans="1:1" x14ac:dyDescent="0.35">
      <c r="A513" s="40"/>
    </row>
    <row r="514" spans="1:1" x14ac:dyDescent="0.35">
      <c r="A514" s="40"/>
    </row>
    <row r="515" spans="1:1" x14ac:dyDescent="0.35">
      <c r="A515" s="50"/>
    </row>
    <row r="516" spans="1:1" x14ac:dyDescent="0.35">
      <c r="A516" s="50"/>
    </row>
    <row r="517" spans="1:1" x14ac:dyDescent="0.35">
      <c r="A517" s="50"/>
    </row>
    <row r="518" spans="1:1" x14ac:dyDescent="0.35">
      <c r="A518" s="50"/>
    </row>
    <row r="519" spans="1:1" x14ac:dyDescent="0.35">
      <c r="A519" s="50"/>
    </row>
    <row r="520" spans="1:1" x14ac:dyDescent="0.35">
      <c r="A520" s="50"/>
    </row>
    <row r="521" spans="1:1" x14ac:dyDescent="0.35">
      <c r="A521" s="50"/>
    </row>
    <row r="522" spans="1:1" x14ac:dyDescent="0.35">
      <c r="A522" s="50"/>
    </row>
    <row r="523" spans="1:1" x14ac:dyDescent="0.35">
      <c r="A523" s="50"/>
    </row>
    <row r="524" spans="1:1" x14ac:dyDescent="0.35">
      <c r="A524" s="50"/>
    </row>
    <row r="525" spans="1:1" x14ac:dyDescent="0.35">
      <c r="A525" s="50"/>
    </row>
    <row r="526" spans="1:1" x14ac:dyDescent="0.35">
      <c r="A526" s="50"/>
    </row>
    <row r="527" spans="1:1" x14ac:dyDescent="0.35">
      <c r="A527" s="50"/>
    </row>
    <row r="528" spans="1:1" x14ac:dyDescent="0.35">
      <c r="A528" s="50"/>
    </row>
    <row r="529" spans="1:1" x14ac:dyDescent="0.35">
      <c r="A529" s="40"/>
    </row>
    <row r="530" spans="1:1" x14ac:dyDescent="0.35">
      <c r="A530" s="40"/>
    </row>
    <row r="531" spans="1:1" x14ac:dyDescent="0.35">
      <c r="A531" s="40"/>
    </row>
    <row r="532" spans="1:1" x14ac:dyDescent="0.35">
      <c r="A532" s="40"/>
    </row>
    <row r="533" spans="1:1" x14ac:dyDescent="0.35">
      <c r="A533" s="50"/>
    </row>
    <row r="534" spans="1:1" x14ac:dyDescent="0.35">
      <c r="A534" s="40"/>
    </row>
    <row r="535" spans="1:1" x14ac:dyDescent="0.35">
      <c r="A535" s="40"/>
    </row>
    <row r="536" spans="1:1" x14ac:dyDescent="0.35">
      <c r="A536" s="40"/>
    </row>
    <row r="537" spans="1:1" x14ac:dyDescent="0.35">
      <c r="A537" s="50"/>
    </row>
    <row r="538" spans="1:1" x14ac:dyDescent="0.35">
      <c r="A538" s="50"/>
    </row>
    <row r="539" spans="1:1" x14ac:dyDescent="0.35">
      <c r="A539" s="40"/>
    </row>
    <row r="540" spans="1:1" x14ac:dyDescent="0.35">
      <c r="A540" s="40"/>
    </row>
    <row r="541" spans="1:1" x14ac:dyDescent="0.35">
      <c r="A541" s="50"/>
    </row>
    <row r="542" spans="1:1" x14ac:dyDescent="0.35">
      <c r="A542" s="50"/>
    </row>
    <row r="543" spans="1:1" x14ac:dyDescent="0.35">
      <c r="A543" s="40"/>
    </row>
    <row r="544" spans="1:1" x14ac:dyDescent="0.35">
      <c r="A544" s="50"/>
    </row>
    <row r="545" spans="1:1" x14ac:dyDescent="0.35">
      <c r="A545" s="40"/>
    </row>
    <row r="546" spans="1:1" x14ac:dyDescent="0.35">
      <c r="A546" s="50"/>
    </row>
    <row r="547" spans="1:1" x14ac:dyDescent="0.35">
      <c r="A547" s="40"/>
    </row>
    <row r="548" spans="1:1" x14ac:dyDescent="0.35">
      <c r="A548" s="50"/>
    </row>
    <row r="549" spans="1:1" x14ac:dyDescent="0.35">
      <c r="A549" s="50"/>
    </row>
    <row r="550" spans="1:1" x14ac:dyDescent="0.35">
      <c r="A550" s="40"/>
    </row>
    <row r="551" spans="1:1" x14ac:dyDescent="0.35">
      <c r="A551" s="50"/>
    </row>
    <row r="552" spans="1:1" x14ac:dyDescent="0.35">
      <c r="A552" s="40"/>
    </row>
    <row r="553" spans="1:1" x14ac:dyDescent="0.35">
      <c r="A553" s="50"/>
    </row>
    <row r="554" spans="1:1" x14ac:dyDescent="0.35">
      <c r="A554" s="40"/>
    </row>
    <row r="555" spans="1:1" x14ac:dyDescent="0.35">
      <c r="A555" s="50"/>
    </row>
    <row r="556" spans="1:1" x14ac:dyDescent="0.35">
      <c r="A556" s="50"/>
    </row>
    <row r="557" spans="1:1" x14ac:dyDescent="0.35">
      <c r="A557" s="40"/>
    </row>
    <row r="558" spans="1:1" x14ac:dyDescent="0.35">
      <c r="A558" s="40"/>
    </row>
    <row r="559" spans="1:1" x14ac:dyDescent="0.35">
      <c r="A559" s="50"/>
    </row>
    <row r="560" spans="1:1" x14ac:dyDescent="0.35">
      <c r="A560" s="50"/>
    </row>
    <row r="561" spans="1:1" x14ac:dyDescent="0.35">
      <c r="A561" s="50"/>
    </row>
    <row r="562" spans="1:1" x14ac:dyDescent="0.35">
      <c r="A562" s="50"/>
    </row>
    <row r="563" spans="1:1" x14ac:dyDescent="0.35">
      <c r="A563" s="40"/>
    </row>
    <row r="564" spans="1:1" x14ac:dyDescent="0.35">
      <c r="A564" s="50"/>
    </row>
    <row r="565" spans="1:1" x14ac:dyDescent="0.35">
      <c r="A565" s="50"/>
    </row>
    <row r="566" spans="1:1" x14ac:dyDescent="0.35">
      <c r="A566" s="50"/>
    </row>
    <row r="567" spans="1:1" x14ac:dyDescent="0.35">
      <c r="A567" s="50"/>
    </row>
    <row r="568" spans="1:1" x14ac:dyDescent="0.35">
      <c r="A568" s="50"/>
    </row>
    <row r="569" spans="1:1" x14ac:dyDescent="0.35">
      <c r="A569" s="50"/>
    </row>
    <row r="570" spans="1:1" x14ac:dyDescent="0.35">
      <c r="A570" s="50"/>
    </row>
    <row r="571" spans="1:1" x14ac:dyDescent="0.35">
      <c r="A571" s="50"/>
    </row>
    <row r="572" spans="1:1" x14ac:dyDescent="0.35">
      <c r="A572" s="40"/>
    </row>
    <row r="573" spans="1:1" x14ac:dyDescent="0.35">
      <c r="A573" s="40"/>
    </row>
    <row r="574" spans="1:1" x14ac:dyDescent="0.35">
      <c r="A574" s="40"/>
    </row>
    <row r="575" spans="1:1" x14ac:dyDescent="0.35">
      <c r="A575" s="40"/>
    </row>
    <row r="576" spans="1:1" x14ac:dyDescent="0.35">
      <c r="A576" s="40"/>
    </row>
    <row r="577" spans="1:1" x14ac:dyDescent="0.35">
      <c r="A577" s="40"/>
    </row>
    <row r="578" spans="1:1" x14ac:dyDescent="0.35">
      <c r="A578" s="40"/>
    </row>
    <row r="579" spans="1:1" x14ac:dyDescent="0.35">
      <c r="A579" s="40"/>
    </row>
    <row r="580" spans="1:1" x14ac:dyDescent="0.35">
      <c r="A580" s="40"/>
    </row>
    <row r="581" spans="1:1" x14ac:dyDescent="0.35">
      <c r="A581" s="40"/>
    </row>
    <row r="582" spans="1:1" x14ac:dyDescent="0.35">
      <c r="A582" s="50"/>
    </row>
    <row r="583" spans="1:1" x14ac:dyDescent="0.35">
      <c r="A583" s="40"/>
    </row>
    <row r="584" spans="1:1" x14ac:dyDescent="0.35">
      <c r="A584" s="40"/>
    </row>
    <row r="585" spans="1:1" x14ac:dyDescent="0.35">
      <c r="A585" s="40"/>
    </row>
    <row r="586" spans="1:1" x14ac:dyDescent="0.35">
      <c r="A586" s="40"/>
    </row>
    <row r="587" spans="1:1" x14ac:dyDescent="0.35">
      <c r="A587" s="40"/>
    </row>
    <row r="588" spans="1:1" x14ac:dyDescent="0.35">
      <c r="A588" s="40"/>
    </row>
    <row r="589" spans="1:1" x14ac:dyDescent="0.35">
      <c r="A589" s="40"/>
    </row>
    <row r="590" spans="1:1" x14ac:dyDescent="0.35">
      <c r="A590" s="40"/>
    </row>
    <row r="591" spans="1:1" x14ac:dyDescent="0.35">
      <c r="A591" s="50"/>
    </row>
    <row r="592" spans="1:1" x14ac:dyDescent="0.35">
      <c r="A592" s="50"/>
    </row>
    <row r="593" spans="1:1" x14ac:dyDescent="0.35">
      <c r="A593" s="50"/>
    </row>
    <row r="594" spans="1:1" x14ac:dyDescent="0.35">
      <c r="A594" s="50"/>
    </row>
    <row r="595" spans="1:1" x14ac:dyDescent="0.35">
      <c r="A595" s="50"/>
    </row>
    <row r="596" spans="1:1" x14ac:dyDescent="0.35">
      <c r="A596" s="50"/>
    </row>
    <row r="597" spans="1:1" x14ac:dyDescent="0.35">
      <c r="A597" s="50"/>
    </row>
    <row r="598" spans="1:1" x14ac:dyDescent="0.35">
      <c r="A598" s="50"/>
    </row>
    <row r="599" spans="1:1" x14ac:dyDescent="0.35">
      <c r="A599" s="50"/>
    </row>
    <row r="600" spans="1:1" x14ac:dyDescent="0.35">
      <c r="A600" s="50"/>
    </row>
    <row r="601" spans="1:1" x14ac:dyDescent="0.35">
      <c r="A601" s="50"/>
    </row>
    <row r="602" spans="1:1" x14ac:dyDescent="0.35">
      <c r="A602" s="40"/>
    </row>
    <row r="603" spans="1:1" x14ac:dyDescent="0.35">
      <c r="A603" s="50"/>
    </row>
    <row r="604" spans="1:1" x14ac:dyDescent="0.35">
      <c r="A604" s="50"/>
    </row>
    <row r="605" spans="1:1" x14ac:dyDescent="0.35">
      <c r="A605" s="50"/>
    </row>
    <row r="606" spans="1:1" x14ac:dyDescent="0.35">
      <c r="A606" s="50"/>
    </row>
    <row r="607" spans="1:1" x14ac:dyDescent="0.35">
      <c r="A607" s="40"/>
    </row>
    <row r="608" spans="1:1" x14ac:dyDescent="0.35">
      <c r="A608" s="50"/>
    </row>
    <row r="609" spans="1:1" x14ac:dyDescent="0.35">
      <c r="A609" s="50"/>
    </row>
    <row r="610" spans="1:1" x14ac:dyDescent="0.35">
      <c r="A610" s="50"/>
    </row>
    <row r="611" spans="1:1" x14ac:dyDescent="0.35">
      <c r="A611" s="50"/>
    </row>
    <row r="612" spans="1:1" x14ac:dyDescent="0.35">
      <c r="A612" s="50"/>
    </row>
    <row r="613" spans="1:1" x14ac:dyDescent="0.35">
      <c r="A613" s="40"/>
    </row>
    <row r="614" spans="1:1" x14ac:dyDescent="0.35">
      <c r="A614" s="40"/>
    </row>
    <row r="615" spans="1:1" x14ac:dyDescent="0.35">
      <c r="A615" s="40"/>
    </row>
    <row r="616" spans="1:1" x14ac:dyDescent="0.35">
      <c r="A616" s="40"/>
    </row>
    <row r="617" spans="1:1" x14ac:dyDescent="0.35">
      <c r="A617" s="40"/>
    </row>
    <row r="618" spans="1:1" x14ac:dyDescent="0.35">
      <c r="A618" s="50"/>
    </row>
    <row r="619" spans="1:1" x14ac:dyDescent="0.35">
      <c r="A619" s="50"/>
    </row>
    <row r="620" spans="1:1" x14ac:dyDescent="0.35">
      <c r="A620" s="50"/>
    </row>
    <row r="621" spans="1:1" x14ac:dyDescent="0.35">
      <c r="A621" s="50"/>
    </row>
    <row r="622" spans="1:1" x14ac:dyDescent="0.35">
      <c r="A622" s="50"/>
    </row>
    <row r="623" spans="1:1" x14ac:dyDescent="0.35">
      <c r="A623" s="50"/>
    </row>
    <row r="624" spans="1:1" x14ac:dyDescent="0.35">
      <c r="A624" s="40"/>
    </row>
    <row r="625" spans="1:1" x14ac:dyDescent="0.35">
      <c r="A625" s="40"/>
    </row>
    <row r="626" spans="1:1" x14ac:dyDescent="0.35">
      <c r="A626" s="50"/>
    </row>
    <row r="627" spans="1:1" x14ac:dyDescent="0.35">
      <c r="A627" s="50"/>
    </row>
    <row r="628" spans="1:1" x14ac:dyDescent="0.35">
      <c r="A628" s="50"/>
    </row>
    <row r="629" spans="1:1" x14ac:dyDescent="0.35">
      <c r="A629" s="50"/>
    </row>
    <row r="630" spans="1:1" x14ac:dyDescent="0.35">
      <c r="A630" s="50"/>
    </row>
    <row r="631" spans="1:1" x14ac:dyDescent="0.35">
      <c r="A631" s="50"/>
    </row>
    <row r="632" spans="1:1" x14ac:dyDescent="0.35">
      <c r="A632" s="50"/>
    </row>
    <row r="633" spans="1:1" x14ac:dyDescent="0.35">
      <c r="A633" s="40"/>
    </row>
    <row r="634" spans="1:1" x14ac:dyDescent="0.35">
      <c r="A634" s="50"/>
    </row>
    <row r="635" spans="1:1" x14ac:dyDescent="0.35">
      <c r="A635" s="50"/>
    </row>
    <row r="636" spans="1:1" x14ac:dyDescent="0.35">
      <c r="A636" s="50"/>
    </row>
    <row r="637" spans="1:1" x14ac:dyDescent="0.35">
      <c r="A637" s="50"/>
    </row>
    <row r="638" spans="1:1" x14ac:dyDescent="0.35">
      <c r="A638" s="50"/>
    </row>
    <row r="639" spans="1:1" x14ac:dyDescent="0.35">
      <c r="A639" s="50"/>
    </row>
    <row r="640" spans="1:1" x14ac:dyDescent="0.35">
      <c r="A640" s="50"/>
    </row>
    <row r="641" spans="1:1" x14ac:dyDescent="0.35">
      <c r="A641" s="50"/>
    </row>
    <row r="642" spans="1:1" x14ac:dyDescent="0.35">
      <c r="A642" s="50"/>
    </row>
    <row r="643" spans="1:1" x14ac:dyDescent="0.35">
      <c r="A643" s="40"/>
    </row>
    <row r="644" spans="1:1" x14ac:dyDescent="0.35">
      <c r="A644" s="40"/>
    </row>
    <row r="645" spans="1:1" x14ac:dyDescent="0.35">
      <c r="A645" s="50"/>
    </row>
    <row r="646" spans="1:1" x14ac:dyDescent="0.35">
      <c r="A646" s="50"/>
    </row>
    <row r="647" spans="1:1" x14ac:dyDescent="0.35">
      <c r="A647" s="50"/>
    </row>
    <row r="648" spans="1:1" x14ac:dyDescent="0.35">
      <c r="A648" s="40"/>
    </row>
    <row r="649" spans="1:1" x14ac:dyDescent="0.35">
      <c r="A649" s="50"/>
    </row>
    <row r="650" spans="1:1" x14ac:dyDescent="0.35">
      <c r="A650" s="40"/>
    </row>
    <row r="651" spans="1:1" x14ac:dyDescent="0.35">
      <c r="A651" s="40"/>
    </row>
    <row r="652" spans="1:1" x14ac:dyDescent="0.35">
      <c r="A652" s="50"/>
    </row>
    <row r="653" spans="1:1" x14ac:dyDescent="0.35">
      <c r="A653" s="50"/>
    </row>
    <row r="654" spans="1:1" x14ac:dyDescent="0.35">
      <c r="A654" s="50"/>
    </row>
    <row r="655" spans="1:1" x14ac:dyDescent="0.35">
      <c r="A655" s="50"/>
    </row>
    <row r="656" spans="1:1" x14ac:dyDescent="0.35">
      <c r="A656" s="40"/>
    </row>
    <row r="657" spans="1:1" x14ac:dyDescent="0.35">
      <c r="A657" s="40"/>
    </row>
    <row r="658" spans="1:1" x14ac:dyDescent="0.35">
      <c r="A658" s="50"/>
    </row>
    <row r="659" spans="1:1" x14ac:dyDescent="0.35">
      <c r="A659" s="50"/>
    </row>
    <row r="660" spans="1:1" x14ac:dyDescent="0.35">
      <c r="A660" s="50"/>
    </row>
    <row r="661" spans="1:1" x14ac:dyDescent="0.35">
      <c r="A661" s="50"/>
    </row>
    <row r="662" spans="1:1" x14ac:dyDescent="0.35">
      <c r="A662" s="50"/>
    </row>
    <row r="663" spans="1:1" x14ac:dyDescent="0.35">
      <c r="A663" s="50"/>
    </row>
    <row r="664" spans="1:1" x14ac:dyDescent="0.35">
      <c r="A664" s="50"/>
    </row>
    <row r="665" spans="1:1" x14ac:dyDescent="0.35">
      <c r="A665" s="50"/>
    </row>
    <row r="666" spans="1:1" x14ac:dyDescent="0.35">
      <c r="A666" s="50"/>
    </row>
    <row r="667" spans="1:1" x14ac:dyDescent="0.35">
      <c r="A667" s="50"/>
    </row>
    <row r="668" spans="1:1" x14ac:dyDescent="0.35">
      <c r="A668" s="50"/>
    </row>
    <row r="669" spans="1:1" x14ac:dyDescent="0.35">
      <c r="A669" s="50"/>
    </row>
    <row r="670" spans="1:1" x14ac:dyDescent="0.35">
      <c r="A670" s="50"/>
    </row>
    <row r="671" spans="1:1" x14ac:dyDescent="0.35">
      <c r="A671" s="50"/>
    </row>
    <row r="672" spans="1:1" x14ac:dyDescent="0.35">
      <c r="A672" s="50"/>
    </row>
    <row r="673" spans="1:1" x14ac:dyDescent="0.35">
      <c r="A673" s="50"/>
    </row>
    <row r="674" spans="1:1" x14ac:dyDescent="0.35">
      <c r="A674" s="50"/>
    </row>
    <row r="675" spans="1:1" x14ac:dyDescent="0.35">
      <c r="A675" s="50"/>
    </row>
    <row r="676" spans="1:1" x14ac:dyDescent="0.35">
      <c r="A676" s="40"/>
    </row>
    <row r="677" spans="1:1" x14ac:dyDescent="0.35">
      <c r="A677" s="40"/>
    </row>
    <row r="678" spans="1:1" x14ac:dyDescent="0.35">
      <c r="A678" s="40"/>
    </row>
    <row r="679" spans="1:1" x14ac:dyDescent="0.35">
      <c r="A679" s="40"/>
    </row>
    <row r="680" spans="1:1" x14ac:dyDescent="0.35">
      <c r="A680" s="40"/>
    </row>
    <row r="681" spans="1:1" x14ac:dyDescent="0.35">
      <c r="A681" s="50"/>
    </row>
    <row r="682" spans="1:1" x14ac:dyDescent="0.35">
      <c r="A682" s="50"/>
    </row>
    <row r="683" spans="1:1" x14ac:dyDescent="0.35">
      <c r="A683" s="50"/>
    </row>
    <row r="684" spans="1:1" x14ac:dyDescent="0.35">
      <c r="A684" s="50"/>
    </row>
    <row r="685" spans="1:1" x14ac:dyDescent="0.35">
      <c r="A685" s="50"/>
    </row>
    <row r="686" spans="1:1" x14ac:dyDescent="0.35">
      <c r="A686" s="50"/>
    </row>
    <row r="687" spans="1:1" x14ac:dyDescent="0.35">
      <c r="A687" s="50"/>
    </row>
    <row r="688" spans="1:1" x14ac:dyDescent="0.35">
      <c r="A688" s="40"/>
    </row>
    <row r="689" spans="1:1" x14ac:dyDescent="0.35">
      <c r="A689" s="50"/>
    </row>
    <row r="690" spans="1:1" x14ac:dyDescent="0.35">
      <c r="A690" s="40"/>
    </row>
    <row r="691" spans="1:1" x14ac:dyDescent="0.35">
      <c r="A691" s="50"/>
    </row>
    <row r="692" spans="1:1" x14ac:dyDescent="0.35">
      <c r="A692" s="50"/>
    </row>
    <row r="693" spans="1:1" x14ac:dyDescent="0.35">
      <c r="A693" s="50"/>
    </row>
    <row r="694" spans="1:1" x14ac:dyDescent="0.35">
      <c r="A694" s="40"/>
    </row>
    <row r="695" spans="1:1" x14ac:dyDescent="0.35">
      <c r="A695" s="40"/>
    </row>
    <row r="696" spans="1:1" x14ac:dyDescent="0.35">
      <c r="A696" s="40"/>
    </row>
    <row r="697" spans="1:1" x14ac:dyDescent="0.35">
      <c r="A697" s="40"/>
    </row>
    <row r="698" spans="1:1" x14ac:dyDescent="0.35">
      <c r="A698" s="50"/>
    </row>
    <row r="699" spans="1:1" x14ac:dyDescent="0.35">
      <c r="A699" s="50"/>
    </row>
    <row r="700" spans="1:1" x14ac:dyDescent="0.35">
      <c r="A700" s="50"/>
    </row>
    <row r="701" spans="1:1" x14ac:dyDescent="0.35">
      <c r="A701" s="40"/>
    </row>
    <row r="702" spans="1:1" x14ac:dyDescent="0.35">
      <c r="A702" s="40"/>
    </row>
    <row r="703" spans="1:1" x14ac:dyDescent="0.35">
      <c r="A703" s="50"/>
    </row>
    <row r="704" spans="1:1" x14ac:dyDescent="0.35">
      <c r="A704" s="50"/>
    </row>
    <row r="705" spans="1:1" x14ac:dyDescent="0.35">
      <c r="A705" s="40"/>
    </row>
    <row r="706" spans="1:1" x14ac:dyDescent="0.35">
      <c r="A706" s="40"/>
    </row>
    <row r="707" spans="1:1" x14ac:dyDescent="0.35">
      <c r="A707" s="40"/>
    </row>
    <row r="708" spans="1:1" x14ac:dyDescent="0.35">
      <c r="A708" s="40"/>
    </row>
    <row r="709" spans="1:1" x14ac:dyDescent="0.35">
      <c r="A709" s="40"/>
    </row>
    <row r="710" spans="1:1" x14ac:dyDescent="0.35">
      <c r="A710" s="40"/>
    </row>
    <row r="711" spans="1:1" x14ac:dyDescent="0.35">
      <c r="A711" s="40"/>
    </row>
    <row r="712" spans="1:1" x14ac:dyDescent="0.35">
      <c r="A712" s="50"/>
    </row>
    <row r="713" spans="1:1" x14ac:dyDescent="0.35">
      <c r="A713" s="40"/>
    </row>
    <row r="714" spans="1:1" x14ac:dyDescent="0.35">
      <c r="A714" s="40"/>
    </row>
    <row r="715" spans="1:1" x14ac:dyDescent="0.35">
      <c r="A715" s="40"/>
    </row>
    <row r="716" spans="1:1" x14ac:dyDescent="0.35">
      <c r="A716" s="40"/>
    </row>
    <row r="717" spans="1:1" x14ac:dyDescent="0.35">
      <c r="A717" s="40"/>
    </row>
    <row r="718" spans="1:1" x14ac:dyDescent="0.35">
      <c r="A718" s="50"/>
    </row>
    <row r="719" spans="1:1" x14ac:dyDescent="0.35">
      <c r="A719" s="40"/>
    </row>
    <row r="720" spans="1:1" x14ac:dyDescent="0.35">
      <c r="A720" s="40"/>
    </row>
    <row r="721" spans="1:1" x14ac:dyDescent="0.35">
      <c r="A721" s="40"/>
    </row>
    <row r="722" spans="1:1" x14ac:dyDescent="0.35">
      <c r="A722" s="40"/>
    </row>
    <row r="723" spans="1:1" x14ac:dyDescent="0.35">
      <c r="A723" s="40"/>
    </row>
    <row r="724" spans="1:1" x14ac:dyDescent="0.35">
      <c r="A724" s="40"/>
    </row>
    <row r="725" spans="1:1" x14ac:dyDescent="0.35">
      <c r="A725" s="40"/>
    </row>
    <row r="726" spans="1:1" x14ac:dyDescent="0.35">
      <c r="A726" s="40"/>
    </row>
    <row r="727" spans="1:1" x14ac:dyDescent="0.35">
      <c r="A727" s="50"/>
    </row>
    <row r="728" spans="1:1" x14ac:dyDescent="0.35">
      <c r="A728" s="50"/>
    </row>
    <row r="729" spans="1:1" x14ac:dyDescent="0.35">
      <c r="A729" s="50"/>
    </row>
    <row r="730" spans="1:1" x14ac:dyDescent="0.35">
      <c r="A730" s="50"/>
    </row>
    <row r="731" spans="1:1" x14ac:dyDescent="0.35">
      <c r="A731" s="50"/>
    </row>
    <row r="732" spans="1:1" x14ac:dyDescent="0.35">
      <c r="A732" s="50"/>
    </row>
    <row r="733" spans="1:1" x14ac:dyDescent="0.35">
      <c r="A733" s="50"/>
    </row>
    <row r="734" spans="1:1" x14ac:dyDescent="0.35">
      <c r="A734" s="50"/>
    </row>
    <row r="735" spans="1:1" x14ac:dyDescent="0.35">
      <c r="A735" s="50"/>
    </row>
    <row r="736" spans="1:1" x14ac:dyDescent="0.35">
      <c r="A736" s="50"/>
    </row>
    <row r="737" spans="1:1" x14ac:dyDescent="0.35">
      <c r="A737" s="50"/>
    </row>
    <row r="738" spans="1:1" x14ac:dyDescent="0.35">
      <c r="A738" s="50"/>
    </row>
    <row r="739" spans="1:1" x14ac:dyDescent="0.35">
      <c r="A739" s="50"/>
    </row>
    <row r="740" spans="1:1" x14ac:dyDescent="0.35">
      <c r="A740" s="50"/>
    </row>
    <row r="741" spans="1:1" x14ac:dyDescent="0.35">
      <c r="A741" s="50"/>
    </row>
    <row r="742" spans="1:1" x14ac:dyDescent="0.35">
      <c r="A742" s="50"/>
    </row>
    <row r="743" spans="1:1" x14ac:dyDescent="0.35">
      <c r="A743" s="50"/>
    </row>
    <row r="744" spans="1:1" x14ac:dyDescent="0.35">
      <c r="A744" s="40"/>
    </row>
    <row r="745" spans="1:1" x14ac:dyDescent="0.35">
      <c r="A745" s="50"/>
    </row>
    <row r="746" spans="1:1" x14ac:dyDescent="0.35">
      <c r="A746" s="40"/>
    </row>
    <row r="747" spans="1:1" x14ac:dyDescent="0.35">
      <c r="A747" s="40"/>
    </row>
    <row r="748" spans="1:1" x14ac:dyDescent="0.35">
      <c r="A748" s="40"/>
    </row>
    <row r="749" spans="1:1" x14ac:dyDescent="0.35">
      <c r="A749" s="40"/>
    </row>
    <row r="750" spans="1:1" x14ac:dyDescent="0.35">
      <c r="A750" s="40"/>
    </row>
    <row r="751" spans="1:1" x14ac:dyDescent="0.35">
      <c r="A751" s="40"/>
    </row>
    <row r="752" spans="1:1" x14ac:dyDescent="0.35">
      <c r="A752" s="40"/>
    </row>
    <row r="753" spans="1:1" x14ac:dyDescent="0.35">
      <c r="A753" s="40"/>
    </row>
    <row r="754" spans="1:1" x14ac:dyDescent="0.35">
      <c r="A754" s="40"/>
    </row>
    <row r="755" spans="1:1" x14ac:dyDescent="0.35">
      <c r="A755" s="40"/>
    </row>
    <row r="756" spans="1:1" x14ac:dyDescent="0.35">
      <c r="A756" s="40"/>
    </row>
    <row r="757" spans="1:1" x14ac:dyDescent="0.35">
      <c r="A757" s="40"/>
    </row>
    <row r="758" spans="1:1" x14ac:dyDescent="0.35">
      <c r="A758" s="40"/>
    </row>
    <row r="759" spans="1:1" x14ac:dyDescent="0.35">
      <c r="A759" s="50"/>
    </row>
    <row r="760" spans="1:1" x14ac:dyDescent="0.35">
      <c r="A760" s="50"/>
    </row>
    <row r="761" spans="1:1" x14ac:dyDescent="0.35">
      <c r="A761" s="50"/>
    </row>
    <row r="762" spans="1:1" x14ac:dyDescent="0.35">
      <c r="A762" s="50"/>
    </row>
    <row r="763" spans="1:1" x14ac:dyDescent="0.35">
      <c r="A763" s="50"/>
    </row>
    <row r="764" spans="1:1" x14ac:dyDescent="0.35">
      <c r="A764" s="50"/>
    </row>
    <row r="765" spans="1:1" x14ac:dyDescent="0.35">
      <c r="A765" s="50"/>
    </row>
    <row r="766" spans="1:1" x14ac:dyDescent="0.35">
      <c r="A766" s="40"/>
    </row>
    <row r="767" spans="1:1" x14ac:dyDescent="0.35">
      <c r="A767" s="50"/>
    </row>
    <row r="768" spans="1:1" x14ac:dyDescent="0.35">
      <c r="A768" s="40"/>
    </row>
    <row r="769" spans="1:1" x14ac:dyDescent="0.35">
      <c r="A769" s="40"/>
    </row>
    <row r="770" spans="1:1" x14ac:dyDescent="0.35">
      <c r="A770" s="50"/>
    </row>
    <row r="771" spans="1:1" x14ac:dyDescent="0.35">
      <c r="A771" s="50"/>
    </row>
    <row r="772" spans="1:1" x14ac:dyDescent="0.35">
      <c r="A772" s="50"/>
    </row>
    <row r="773" spans="1:1" x14ac:dyDescent="0.35">
      <c r="A773" s="50"/>
    </row>
    <row r="774" spans="1:1" x14ac:dyDescent="0.35">
      <c r="A774" s="50"/>
    </row>
    <row r="775" spans="1:1" x14ac:dyDescent="0.35">
      <c r="A775" s="50"/>
    </row>
    <row r="776" spans="1:1" x14ac:dyDescent="0.35">
      <c r="A776" s="50"/>
    </row>
    <row r="777" spans="1:1" x14ac:dyDescent="0.35">
      <c r="A777" s="50"/>
    </row>
    <row r="778" spans="1:1" x14ac:dyDescent="0.35">
      <c r="A778" s="50"/>
    </row>
    <row r="779" spans="1:1" x14ac:dyDescent="0.35">
      <c r="A779" s="50"/>
    </row>
    <row r="780" spans="1:1" x14ac:dyDescent="0.35">
      <c r="A780" s="50"/>
    </row>
    <row r="781" spans="1:1" x14ac:dyDescent="0.35">
      <c r="A781" s="50"/>
    </row>
    <row r="782" spans="1:1" x14ac:dyDescent="0.35">
      <c r="A782" s="50"/>
    </row>
    <row r="783" spans="1:1" x14ac:dyDescent="0.35">
      <c r="A783" s="50"/>
    </row>
    <row r="784" spans="1:1" x14ac:dyDescent="0.35">
      <c r="A784" s="50"/>
    </row>
    <row r="785" spans="1:1" x14ac:dyDescent="0.35">
      <c r="A785" s="50"/>
    </row>
    <row r="786" spans="1:1" x14ac:dyDescent="0.35">
      <c r="A786" s="40"/>
    </row>
    <row r="787" spans="1:1" x14ac:dyDescent="0.35">
      <c r="A787" s="50"/>
    </row>
    <row r="788" spans="1:1" x14ac:dyDescent="0.35">
      <c r="A788" s="50"/>
    </row>
    <row r="789" spans="1:1" x14ac:dyDescent="0.35">
      <c r="A789" s="50"/>
    </row>
    <row r="790" spans="1:1" x14ac:dyDescent="0.35">
      <c r="A790" s="50"/>
    </row>
    <row r="791" spans="1:1" x14ac:dyDescent="0.35">
      <c r="A791" s="50"/>
    </row>
    <row r="792" spans="1:1" x14ac:dyDescent="0.35">
      <c r="A792" s="40"/>
    </row>
    <row r="793" spans="1:1" x14ac:dyDescent="0.35">
      <c r="A793" s="40"/>
    </row>
    <row r="794" spans="1:1" x14ac:dyDescent="0.35">
      <c r="A794" s="50"/>
    </row>
    <row r="795" spans="1:1" x14ac:dyDescent="0.35">
      <c r="A795" s="50"/>
    </row>
    <row r="796" spans="1:1" x14ac:dyDescent="0.35">
      <c r="A796" s="40"/>
    </row>
    <row r="797" spans="1:1" x14ac:dyDescent="0.35">
      <c r="A797" s="40"/>
    </row>
    <row r="798" spans="1:1" x14ac:dyDescent="0.35">
      <c r="A798" s="50"/>
    </row>
    <row r="799" spans="1:1" x14ac:dyDescent="0.35">
      <c r="A799" s="50"/>
    </row>
    <row r="800" spans="1:1" x14ac:dyDescent="0.35">
      <c r="A800" s="50"/>
    </row>
    <row r="801" spans="1:1" x14ac:dyDescent="0.35">
      <c r="A801" s="50"/>
    </row>
    <row r="802" spans="1:1" x14ac:dyDescent="0.35">
      <c r="A802" s="50"/>
    </row>
    <row r="803" spans="1:1" x14ac:dyDescent="0.35">
      <c r="A803" s="40"/>
    </row>
    <row r="804" spans="1:1" x14ac:dyDescent="0.35">
      <c r="A804" s="50"/>
    </row>
    <row r="805" spans="1:1" x14ac:dyDescent="0.35">
      <c r="A805" s="40"/>
    </row>
    <row r="806" spans="1:1" x14ac:dyDescent="0.35">
      <c r="A806" s="40"/>
    </row>
    <row r="807" spans="1:1" x14ac:dyDescent="0.35">
      <c r="A807" s="40"/>
    </row>
    <row r="808" spans="1:1" x14ac:dyDescent="0.35">
      <c r="A808" s="40"/>
    </row>
    <row r="809" spans="1:1" x14ac:dyDescent="0.35">
      <c r="A809" s="40"/>
    </row>
    <row r="810" spans="1:1" x14ac:dyDescent="0.35">
      <c r="A810" s="40"/>
    </row>
    <row r="811" spans="1:1" x14ac:dyDescent="0.35">
      <c r="A811" s="50"/>
    </row>
    <row r="812" spans="1:1" x14ac:dyDescent="0.35">
      <c r="A812" s="40"/>
    </row>
    <row r="813" spans="1:1" x14ac:dyDescent="0.35">
      <c r="A813" s="50"/>
    </row>
    <row r="814" spans="1:1" x14ac:dyDescent="0.35">
      <c r="A814" s="50"/>
    </row>
    <row r="815" spans="1:1" x14ac:dyDescent="0.35">
      <c r="A815" s="50"/>
    </row>
    <row r="816" spans="1:1" x14ac:dyDescent="0.35">
      <c r="A816" s="50"/>
    </row>
    <row r="817" spans="1:1" x14ac:dyDescent="0.35">
      <c r="A817" s="50"/>
    </row>
    <row r="818" spans="1:1" x14ac:dyDescent="0.35">
      <c r="A818" s="50"/>
    </row>
    <row r="819" spans="1:1" x14ac:dyDescent="0.35">
      <c r="A819" s="50"/>
    </row>
    <row r="820" spans="1:1" x14ac:dyDescent="0.35">
      <c r="A820" s="50"/>
    </row>
    <row r="821" spans="1:1" x14ac:dyDescent="0.35">
      <c r="A821" s="50"/>
    </row>
    <row r="822" spans="1:1" x14ac:dyDescent="0.35">
      <c r="A822" s="50"/>
    </row>
    <row r="823" spans="1:1" x14ac:dyDescent="0.35">
      <c r="A823" s="50"/>
    </row>
    <row r="824" spans="1:1" x14ac:dyDescent="0.35">
      <c r="A824" s="50"/>
    </row>
    <row r="825" spans="1:1" x14ac:dyDescent="0.35">
      <c r="A825" s="50"/>
    </row>
    <row r="826" spans="1:1" x14ac:dyDescent="0.35">
      <c r="A826" s="50"/>
    </row>
    <row r="827" spans="1:1" x14ac:dyDescent="0.35">
      <c r="A827" s="50"/>
    </row>
    <row r="828" spans="1:1" x14ac:dyDescent="0.35">
      <c r="A828" s="50"/>
    </row>
    <row r="829" spans="1:1" x14ac:dyDescent="0.35">
      <c r="A829" s="50"/>
    </row>
    <row r="830" spans="1:1" x14ac:dyDescent="0.35">
      <c r="A830" s="40"/>
    </row>
    <row r="831" spans="1:1" x14ac:dyDescent="0.35">
      <c r="A831" s="50"/>
    </row>
    <row r="832" spans="1:1" x14ac:dyDescent="0.35">
      <c r="A832" s="50"/>
    </row>
    <row r="833" spans="1:1" x14ac:dyDescent="0.35">
      <c r="A833" s="50"/>
    </row>
    <row r="834" spans="1:1" x14ac:dyDescent="0.35">
      <c r="A834" s="50"/>
    </row>
    <row r="835" spans="1:1" x14ac:dyDescent="0.35">
      <c r="A835" s="50"/>
    </row>
    <row r="836" spans="1:1" x14ac:dyDescent="0.35">
      <c r="A836" s="50"/>
    </row>
    <row r="837" spans="1:1" x14ac:dyDescent="0.35">
      <c r="A837" s="40"/>
    </row>
    <row r="838" spans="1:1" x14ac:dyDescent="0.35">
      <c r="A838" s="50"/>
    </row>
    <row r="839" spans="1:1" x14ac:dyDescent="0.35">
      <c r="A839" s="40"/>
    </row>
    <row r="840" spans="1:1" x14ac:dyDescent="0.35">
      <c r="A840" s="50"/>
    </row>
    <row r="841" spans="1:1" x14ac:dyDescent="0.35">
      <c r="A841" s="40"/>
    </row>
    <row r="842" spans="1:1" x14ac:dyDescent="0.35">
      <c r="A842" s="50"/>
    </row>
    <row r="843" spans="1:1" x14ac:dyDescent="0.35">
      <c r="A843" s="50"/>
    </row>
    <row r="844" spans="1:1" x14ac:dyDescent="0.35">
      <c r="A844" s="50"/>
    </row>
    <row r="845" spans="1:1" x14ac:dyDescent="0.35">
      <c r="A845" s="50"/>
    </row>
    <row r="846" spans="1:1" x14ac:dyDescent="0.35">
      <c r="A846" s="50"/>
    </row>
    <row r="847" spans="1:1" x14ac:dyDescent="0.35">
      <c r="A847" s="50"/>
    </row>
    <row r="848" spans="1:1" x14ac:dyDescent="0.35">
      <c r="A848" s="40"/>
    </row>
    <row r="849" spans="1:1" x14ac:dyDescent="0.35">
      <c r="A849" s="40"/>
    </row>
    <row r="850" spans="1:1" x14ac:dyDescent="0.35">
      <c r="A850" s="40"/>
    </row>
    <row r="851" spans="1:1" x14ac:dyDescent="0.35">
      <c r="A851" s="40"/>
    </row>
    <row r="852" spans="1:1" x14ac:dyDescent="0.35">
      <c r="A852" s="50"/>
    </row>
    <row r="853" spans="1:1" x14ac:dyDescent="0.35">
      <c r="A853" s="40"/>
    </row>
    <row r="854" spans="1:1" x14ac:dyDescent="0.35">
      <c r="A854" s="40"/>
    </row>
    <row r="855" spans="1:1" x14ac:dyDescent="0.35">
      <c r="A855" s="40"/>
    </row>
    <row r="856" spans="1:1" x14ac:dyDescent="0.35">
      <c r="A856" s="40"/>
    </row>
    <row r="857" spans="1:1" x14ac:dyDescent="0.35">
      <c r="A857" s="40"/>
    </row>
    <row r="858" spans="1:1" x14ac:dyDescent="0.35">
      <c r="A858" s="40"/>
    </row>
    <row r="859" spans="1:1" x14ac:dyDescent="0.35">
      <c r="A859" s="40"/>
    </row>
    <row r="860" spans="1:1" x14ac:dyDescent="0.35">
      <c r="A860" s="40"/>
    </row>
    <row r="861" spans="1:1" x14ac:dyDescent="0.35">
      <c r="A861" s="40"/>
    </row>
    <row r="862" spans="1:1" x14ac:dyDescent="0.35">
      <c r="A862" s="40"/>
    </row>
    <row r="863" spans="1:1" x14ac:dyDescent="0.35">
      <c r="A863" s="40"/>
    </row>
    <row r="864" spans="1:1" x14ac:dyDescent="0.35">
      <c r="A864" s="40"/>
    </row>
    <row r="865" spans="1:1" x14ac:dyDescent="0.35">
      <c r="A865" s="40"/>
    </row>
    <row r="866" spans="1:1" x14ac:dyDescent="0.35">
      <c r="A866" s="40"/>
    </row>
    <row r="867" spans="1:1" x14ac:dyDescent="0.35">
      <c r="A867" s="40"/>
    </row>
    <row r="868" spans="1:1" x14ac:dyDescent="0.35">
      <c r="A868" s="40"/>
    </row>
    <row r="869" spans="1:1" x14ac:dyDescent="0.35">
      <c r="A869" s="40"/>
    </row>
    <row r="870" spans="1:1" x14ac:dyDescent="0.35">
      <c r="A870" s="40"/>
    </row>
    <row r="871" spans="1:1" x14ac:dyDescent="0.35">
      <c r="A871" s="40"/>
    </row>
    <row r="872" spans="1:1" x14ac:dyDescent="0.35">
      <c r="A872" s="40"/>
    </row>
    <row r="873" spans="1:1" x14ac:dyDescent="0.35">
      <c r="A873" s="50"/>
    </row>
    <row r="874" spans="1:1" x14ac:dyDescent="0.35">
      <c r="A874" s="40"/>
    </row>
    <row r="875" spans="1:1" x14ac:dyDescent="0.35">
      <c r="A875" s="40"/>
    </row>
    <row r="876" spans="1:1" x14ac:dyDescent="0.35">
      <c r="A876" s="40"/>
    </row>
    <row r="877" spans="1:1" x14ac:dyDescent="0.35">
      <c r="A877" s="40"/>
    </row>
    <row r="878" spans="1:1" x14ac:dyDescent="0.35">
      <c r="A878" s="40"/>
    </row>
    <row r="879" spans="1:1" x14ac:dyDescent="0.35">
      <c r="A879" s="40"/>
    </row>
    <row r="880" spans="1:1" x14ac:dyDescent="0.35">
      <c r="A880" s="40"/>
    </row>
    <row r="881" spans="1:1" x14ac:dyDescent="0.35">
      <c r="A881" s="40"/>
    </row>
    <row r="882" spans="1:1" x14ac:dyDescent="0.35">
      <c r="A882" s="40"/>
    </row>
    <row r="883" spans="1:1" x14ac:dyDescent="0.35">
      <c r="A883" s="50"/>
    </row>
    <row r="884" spans="1:1" x14ac:dyDescent="0.35">
      <c r="A884" s="40"/>
    </row>
    <row r="885" spans="1:1" x14ac:dyDescent="0.35">
      <c r="A885" s="40"/>
    </row>
    <row r="886" spans="1:1" x14ac:dyDescent="0.35">
      <c r="A886" s="40"/>
    </row>
    <row r="887" spans="1:1" x14ac:dyDescent="0.35">
      <c r="A887" s="50"/>
    </row>
    <row r="888" spans="1:1" x14ac:dyDescent="0.35">
      <c r="A888" s="50"/>
    </row>
    <row r="889" spans="1:1" x14ac:dyDescent="0.35">
      <c r="A889" s="50"/>
    </row>
    <row r="890" spans="1:1" x14ac:dyDescent="0.35">
      <c r="A890" s="50"/>
    </row>
    <row r="891" spans="1:1" x14ac:dyDescent="0.35">
      <c r="A891" s="50"/>
    </row>
    <row r="892" spans="1:1" x14ac:dyDescent="0.35">
      <c r="A892" s="40"/>
    </row>
    <row r="893" spans="1:1" x14ac:dyDescent="0.35">
      <c r="A893" s="40"/>
    </row>
    <row r="894" spans="1:1" x14ac:dyDescent="0.35">
      <c r="A894" s="40"/>
    </row>
    <row r="895" spans="1:1" x14ac:dyDescent="0.35">
      <c r="A895" s="40"/>
    </row>
    <row r="896" spans="1:1" x14ac:dyDescent="0.35">
      <c r="A896" s="40"/>
    </row>
    <row r="897" spans="1:1" x14ac:dyDescent="0.35">
      <c r="A897" s="40"/>
    </row>
    <row r="898" spans="1:1" x14ac:dyDescent="0.35">
      <c r="A898" s="40"/>
    </row>
    <row r="899" spans="1:1" x14ac:dyDescent="0.35">
      <c r="A899" s="40"/>
    </row>
    <row r="900" spans="1:1" x14ac:dyDescent="0.35">
      <c r="A900" s="40"/>
    </row>
    <row r="901" spans="1:1" x14ac:dyDescent="0.35">
      <c r="A901" s="40"/>
    </row>
    <row r="902" spans="1:1" x14ac:dyDescent="0.35">
      <c r="A902" s="40"/>
    </row>
    <row r="903" spans="1:1" x14ac:dyDescent="0.35">
      <c r="A903" s="50"/>
    </row>
    <row r="904" spans="1:1" x14ac:dyDescent="0.35">
      <c r="A904" s="40"/>
    </row>
    <row r="905" spans="1:1" x14ac:dyDescent="0.35">
      <c r="A905" s="40"/>
    </row>
    <row r="906" spans="1:1" x14ac:dyDescent="0.35">
      <c r="A906" s="40"/>
    </row>
    <row r="907" spans="1:1" x14ac:dyDescent="0.35">
      <c r="A907" s="40"/>
    </row>
    <row r="908" spans="1:1" x14ac:dyDescent="0.35">
      <c r="A908" s="50"/>
    </row>
    <row r="909" spans="1:1" x14ac:dyDescent="0.35">
      <c r="A909" s="40"/>
    </row>
    <row r="910" spans="1:1" x14ac:dyDescent="0.35">
      <c r="A910" s="40"/>
    </row>
    <row r="911" spans="1:1" x14ac:dyDescent="0.35">
      <c r="A911" s="40"/>
    </row>
    <row r="912" spans="1:1" x14ac:dyDescent="0.35">
      <c r="A912" s="40"/>
    </row>
    <row r="913" spans="1:1" x14ac:dyDescent="0.35">
      <c r="A913" s="40"/>
    </row>
    <row r="914" spans="1:1" x14ac:dyDescent="0.35">
      <c r="A914" s="50"/>
    </row>
    <row r="915" spans="1:1" x14ac:dyDescent="0.35">
      <c r="A915" s="50"/>
    </row>
    <row r="916" spans="1:1" x14ac:dyDescent="0.35">
      <c r="A916" s="50"/>
    </row>
    <row r="917" spans="1:1" x14ac:dyDescent="0.35">
      <c r="A917" s="50"/>
    </row>
    <row r="918" spans="1:1" x14ac:dyDescent="0.35">
      <c r="A918" s="50"/>
    </row>
    <row r="919" spans="1:1" x14ac:dyDescent="0.35">
      <c r="A919" s="50"/>
    </row>
    <row r="920" spans="1:1" x14ac:dyDescent="0.35">
      <c r="A920" s="50"/>
    </row>
    <row r="921" spans="1:1" x14ac:dyDescent="0.35">
      <c r="A921" s="50"/>
    </row>
    <row r="922" spans="1:1" x14ac:dyDescent="0.35">
      <c r="A922" s="50"/>
    </row>
    <row r="923" spans="1:1" x14ac:dyDescent="0.35">
      <c r="A923" s="50"/>
    </row>
    <row r="924" spans="1:1" x14ac:dyDescent="0.35">
      <c r="A924" s="50"/>
    </row>
    <row r="925" spans="1:1" x14ac:dyDescent="0.35">
      <c r="A925" s="40"/>
    </row>
    <row r="926" spans="1:1" x14ac:dyDescent="0.35">
      <c r="A926" s="50"/>
    </row>
    <row r="927" spans="1:1" x14ac:dyDescent="0.35">
      <c r="A927" s="40"/>
    </row>
    <row r="928" spans="1:1" x14ac:dyDescent="0.35">
      <c r="A928" s="50"/>
    </row>
    <row r="929" spans="1:1" x14ac:dyDescent="0.35">
      <c r="A929" s="50"/>
    </row>
    <row r="930" spans="1:1" x14ac:dyDescent="0.35">
      <c r="A930" s="50"/>
    </row>
    <row r="931" spans="1:1" x14ac:dyDescent="0.35">
      <c r="A931" s="40"/>
    </row>
    <row r="932" spans="1:1" x14ac:dyDescent="0.35">
      <c r="A932" s="50"/>
    </row>
    <row r="933" spans="1:1" x14ac:dyDescent="0.35">
      <c r="A933" s="50"/>
    </row>
    <row r="934" spans="1:1" x14ac:dyDescent="0.35">
      <c r="A934" s="50"/>
    </row>
    <row r="935" spans="1:1" x14ac:dyDescent="0.35">
      <c r="A935" s="50"/>
    </row>
    <row r="936" spans="1:1" x14ac:dyDescent="0.35">
      <c r="A936" s="50"/>
    </row>
    <row r="937" spans="1:1" x14ac:dyDescent="0.35">
      <c r="A937" s="50"/>
    </row>
    <row r="938" spans="1:1" x14ac:dyDescent="0.35">
      <c r="A938" s="50"/>
    </row>
    <row r="939" spans="1:1" x14ac:dyDescent="0.35">
      <c r="A939" s="50"/>
    </row>
    <row r="940" spans="1:1" x14ac:dyDescent="0.35">
      <c r="A940" s="50"/>
    </row>
    <row r="941" spans="1:1" x14ac:dyDescent="0.35">
      <c r="A941" s="50"/>
    </row>
    <row r="942" spans="1:1" x14ac:dyDescent="0.35">
      <c r="A942" s="50"/>
    </row>
    <row r="943" spans="1:1" x14ac:dyDescent="0.35">
      <c r="A943" s="40"/>
    </row>
    <row r="944" spans="1:1" x14ac:dyDescent="0.35">
      <c r="A944" s="50"/>
    </row>
    <row r="945" spans="1:1" x14ac:dyDescent="0.35">
      <c r="A945" s="50"/>
    </row>
    <row r="946" spans="1:1" x14ac:dyDescent="0.35">
      <c r="A946" s="50"/>
    </row>
    <row r="947" spans="1:1" x14ac:dyDescent="0.35">
      <c r="A947" s="50"/>
    </row>
    <row r="948" spans="1:1" x14ac:dyDescent="0.35">
      <c r="A948" s="50"/>
    </row>
    <row r="949" spans="1:1" x14ac:dyDescent="0.35">
      <c r="A949" s="50"/>
    </row>
    <row r="950" spans="1:1" x14ac:dyDescent="0.35">
      <c r="A950" s="40"/>
    </row>
    <row r="951" spans="1:1" x14ac:dyDescent="0.35">
      <c r="A951" s="50"/>
    </row>
    <row r="952" spans="1:1" x14ac:dyDescent="0.35">
      <c r="A952" s="40"/>
    </row>
    <row r="953" spans="1:1" x14ac:dyDescent="0.35">
      <c r="A953" s="40"/>
    </row>
    <row r="954" spans="1:1" x14ac:dyDescent="0.35">
      <c r="A954" s="50"/>
    </row>
    <row r="955" spans="1:1" x14ac:dyDescent="0.35">
      <c r="A955" s="50"/>
    </row>
    <row r="956" spans="1:1" x14ac:dyDescent="0.35">
      <c r="A956" s="50"/>
    </row>
    <row r="957" spans="1:1" x14ac:dyDescent="0.35">
      <c r="A957" s="50"/>
    </row>
    <row r="958" spans="1:1" x14ac:dyDescent="0.35">
      <c r="A958" s="40"/>
    </row>
    <row r="959" spans="1:1" x14ac:dyDescent="0.35">
      <c r="A959" s="40"/>
    </row>
    <row r="960" spans="1:1" x14ac:dyDescent="0.35">
      <c r="A960" s="50"/>
    </row>
    <row r="961" spans="1:1" x14ac:dyDescent="0.35">
      <c r="A961" s="40"/>
    </row>
    <row r="962" spans="1:1" x14ac:dyDescent="0.35">
      <c r="A962" s="40"/>
    </row>
    <row r="963" spans="1:1" x14ac:dyDescent="0.35">
      <c r="A963" s="40"/>
    </row>
    <row r="964" spans="1:1" x14ac:dyDescent="0.35">
      <c r="A964" s="50"/>
    </row>
    <row r="965" spans="1:1" x14ac:dyDescent="0.35">
      <c r="A965" s="50"/>
    </row>
    <row r="966" spans="1:1" x14ac:dyDescent="0.35">
      <c r="A966" s="50"/>
    </row>
    <row r="967" spans="1:1" x14ac:dyDescent="0.35">
      <c r="A967" s="50"/>
    </row>
    <row r="968" spans="1:1" x14ac:dyDescent="0.35">
      <c r="A968" s="50"/>
    </row>
    <row r="969" spans="1:1" x14ac:dyDescent="0.35">
      <c r="A969" s="50"/>
    </row>
    <row r="970" spans="1:1" x14ac:dyDescent="0.35">
      <c r="A970" s="50"/>
    </row>
    <row r="971" spans="1:1" x14ac:dyDescent="0.35">
      <c r="A971" s="50"/>
    </row>
    <row r="972" spans="1:1" x14ac:dyDescent="0.35">
      <c r="A972" s="50"/>
    </row>
    <row r="973" spans="1:1" x14ac:dyDescent="0.35">
      <c r="A973" s="50"/>
    </row>
    <row r="974" spans="1:1" x14ac:dyDescent="0.35">
      <c r="A974" s="50"/>
    </row>
    <row r="975" spans="1:1" x14ac:dyDescent="0.35">
      <c r="A975" s="50"/>
    </row>
    <row r="976" spans="1:1" x14ac:dyDescent="0.35">
      <c r="A976" s="50"/>
    </row>
    <row r="977" spans="1:1" x14ac:dyDescent="0.35">
      <c r="A977" s="40"/>
    </row>
    <row r="978" spans="1:1" x14ac:dyDescent="0.35">
      <c r="A978" s="50"/>
    </row>
    <row r="979" spans="1:1" x14ac:dyDescent="0.35">
      <c r="A979" s="50"/>
    </row>
    <row r="980" spans="1:1" x14ac:dyDescent="0.35">
      <c r="A980" s="50"/>
    </row>
    <row r="981" spans="1:1" x14ac:dyDescent="0.35">
      <c r="A981" s="50"/>
    </row>
    <row r="982" spans="1:1" x14ac:dyDescent="0.35">
      <c r="A982" s="50"/>
    </row>
    <row r="983" spans="1:1" x14ac:dyDescent="0.35">
      <c r="A983" s="50"/>
    </row>
    <row r="984" spans="1:1" x14ac:dyDescent="0.35">
      <c r="A984" s="40"/>
    </row>
    <row r="985" spans="1:1" x14ac:dyDescent="0.35">
      <c r="A985" s="40"/>
    </row>
    <row r="986" spans="1:1" x14ac:dyDescent="0.35">
      <c r="A986" s="40"/>
    </row>
    <row r="987" spans="1:1" x14ac:dyDescent="0.35">
      <c r="A987" s="50"/>
    </row>
    <row r="988" spans="1:1" x14ac:dyDescent="0.35">
      <c r="A988" s="40"/>
    </row>
    <row r="989" spans="1:1" x14ac:dyDescent="0.35">
      <c r="A989" s="40"/>
    </row>
    <row r="990" spans="1:1" x14ac:dyDescent="0.35">
      <c r="A990" s="50"/>
    </row>
    <row r="991" spans="1:1" x14ac:dyDescent="0.35">
      <c r="A991" s="50"/>
    </row>
    <row r="992" spans="1:1" x14ac:dyDescent="0.35">
      <c r="A992" s="50"/>
    </row>
    <row r="993" spans="1:1" x14ac:dyDescent="0.35">
      <c r="A993" s="50"/>
    </row>
    <row r="994" spans="1:1" x14ac:dyDescent="0.35">
      <c r="A994" s="40"/>
    </row>
    <row r="995" spans="1:1" x14ac:dyDescent="0.35">
      <c r="A995" s="40"/>
    </row>
    <row r="996" spans="1:1" x14ac:dyDescent="0.35">
      <c r="A996" s="50"/>
    </row>
    <row r="997" spans="1:1" x14ac:dyDescent="0.35">
      <c r="A997" s="50"/>
    </row>
    <row r="998" spans="1:1" x14ac:dyDescent="0.35">
      <c r="A998" s="40"/>
    </row>
    <row r="999" spans="1:1" x14ac:dyDescent="0.35">
      <c r="A999" s="50"/>
    </row>
    <row r="1000" spans="1:1" x14ac:dyDescent="0.35">
      <c r="A1000" s="50"/>
    </row>
    <row r="1001" spans="1:1" x14ac:dyDescent="0.35">
      <c r="A1001" s="50"/>
    </row>
    <row r="1002" spans="1:1" x14ac:dyDescent="0.35">
      <c r="A1002" s="50"/>
    </row>
    <row r="1003" spans="1:1" x14ac:dyDescent="0.35">
      <c r="A1003" s="50"/>
    </row>
    <row r="1004" spans="1:1" x14ac:dyDescent="0.35">
      <c r="A1004" s="40"/>
    </row>
    <row r="1005" spans="1:1" x14ac:dyDescent="0.35">
      <c r="A1005" s="40"/>
    </row>
    <row r="1006" spans="1:1" x14ac:dyDescent="0.35">
      <c r="A1006" s="50"/>
    </row>
    <row r="1007" spans="1:1" x14ac:dyDescent="0.35">
      <c r="A1007" s="50"/>
    </row>
    <row r="1008" spans="1:1" x14ac:dyDescent="0.35">
      <c r="A1008" s="50"/>
    </row>
    <row r="1009" spans="1:1" x14ac:dyDescent="0.35">
      <c r="A1009" s="50"/>
    </row>
    <row r="1010" spans="1:1" x14ac:dyDescent="0.35">
      <c r="A1010" s="50"/>
    </row>
    <row r="1011" spans="1:1" x14ac:dyDescent="0.35">
      <c r="A1011" s="50"/>
    </row>
    <row r="1012" spans="1:1" x14ac:dyDescent="0.35">
      <c r="A1012" s="50"/>
    </row>
    <row r="1013" spans="1:1" x14ac:dyDescent="0.35">
      <c r="A1013" s="50"/>
    </row>
    <row r="1014" spans="1:1" x14ac:dyDescent="0.35">
      <c r="A1014" s="50"/>
    </row>
    <row r="1015" spans="1:1" x14ac:dyDescent="0.35">
      <c r="A1015" s="40"/>
    </row>
    <row r="1016" spans="1:1" x14ac:dyDescent="0.35">
      <c r="A1016" s="40"/>
    </row>
    <row r="1017" spans="1:1" x14ac:dyDescent="0.35">
      <c r="A1017" s="40"/>
    </row>
    <row r="1018" spans="1:1" x14ac:dyDescent="0.35">
      <c r="A1018" s="50"/>
    </row>
    <row r="1019" spans="1:1" x14ac:dyDescent="0.35">
      <c r="A1019" s="50"/>
    </row>
    <row r="1020" spans="1:1" x14ac:dyDescent="0.35">
      <c r="A1020" s="50"/>
    </row>
    <row r="1021" spans="1:1" x14ac:dyDescent="0.35">
      <c r="A1021" s="50"/>
    </row>
    <row r="1022" spans="1:1" x14ac:dyDescent="0.35">
      <c r="A1022" s="40"/>
    </row>
    <row r="1023" spans="1:1" x14ac:dyDescent="0.35">
      <c r="A1023" s="50"/>
    </row>
    <row r="1024" spans="1:1" x14ac:dyDescent="0.35">
      <c r="A1024" s="40"/>
    </row>
    <row r="1025" spans="1:1" x14ac:dyDescent="0.35">
      <c r="A1025" s="40"/>
    </row>
    <row r="1026" spans="1:1" x14ac:dyDescent="0.35">
      <c r="A1026" s="50"/>
    </row>
    <row r="1027" spans="1:1" x14ac:dyDescent="0.35">
      <c r="A1027" s="50"/>
    </row>
    <row r="1028" spans="1:1" x14ac:dyDescent="0.35">
      <c r="A1028" s="40"/>
    </row>
    <row r="1029" spans="1:1" x14ac:dyDescent="0.35">
      <c r="A1029" s="50"/>
    </row>
    <row r="1030" spans="1:1" x14ac:dyDescent="0.35">
      <c r="A1030" s="50"/>
    </row>
    <row r="1031" spans="1:1" x14ac:dyDescent="0.35">
      <c r="A1031" s="50"/>
    </row>
    <row r="1032" spans="1:1" x14ac:dyDescent="0.35">
      <c r="A1032" s="50"/>
    </row>
    <row r="1033" spans="1:1" x14ac:dyDescent="0.35">
      <c r="A1033" s="40"/>
    </row>
    <row r="1034" spans="1:1" x14ac:dyDescent="0.35">
      <c r="A1034" s="40"/>
    </row>
    <row r="1035" spans="1:1" x14ac:dyDescent="0.35">
      <c r="A1035" s="50"/>
    </row>
    <row r="1036" spans="1:1" x14ac:dyDescent="0.35">
      <c r="A1036" s="40"/>
    </row>
    <row r="1037" spans="1:1" x14ac:dyDescent="0.35">
      <c r="A1037" s="50"/>
    </row>
    <row r="1038" spans="1:1" x14ac:dyDescent="0.35">
      <c r="A1038" s="50"/>
    </row>
    <row r="1039" spans="1:1" x14ac:dyDescent="0.35">
      <c r="A1039" s="50"/>
    </row>
    <row r="1040" spans="1:1" x14ac:dyDescent="0.35">
      <c r="A1040" s="50"/>
    </row>
    <row r="1041" spans="1:1" x14ac:dyDescent="0.35">
      <c r="A1041" s="40"/>
    </row>
    <row r="1042" spans="1:1" x14ac:dyDescent="0.35">
      <c r="A1042" s="50"/>
    </row>
    <row r="1043" spans="1:1" x14ac:dyDescent="0.35">
      <c r="A1043" s="50"/>
    </row>
    <row r="1044" spans="1:1" x14ac:dyDescent="0.35">
      <c r="A1044" s="50"/>
    </row>
    <row r="1045" spans="1:1" x14ac:dyDescent="0.35">
      <c r="A1045" s="50"/>
    </row>
    <row r="1046" spans="1:1" x14ac:dyDescent="0.35">
      <c r="A1046" s="40"/>
    </row>
    <row r="1047" spans="1:1" x14ac:dyDescent="0.35">
      <c r="A1047" s="50"/>
    </row>
    <row r="1048" spans="1:1" x14ac:dyDescent="0.35">
      <c r="A1048" s="50"/>
    </row>
    <row r="1049" spans="1:1" x14ac:dyDescent="0.35">
      <c r="A1049" s="50"/>
    </row>
    <row r="1050" spans="1:1" x14ac:dyDescent="0.35">
      <c r="A1050" s="40"/>
    </row>
    <row r="1051" spans="1:1" x14ac:dyDescent="0.35">
      <c r="A1051" s="50"/>
    </row>
    <row r="1052" spans="1:1" x14ac:dyDescent="0.35">
      <c r="A1052" s="50"/>
    </row>
    <row r="1053" spans="1:1" x14ac:dyDescent="0.35">
      <c r="A1053" s="50"/>
    </row>
    <row r="1054" spans="1:1" x14ac:dyDescent="0.35">
      <c r="A1054" s="50"/>
    </row>
    <row r="1055" spans="1:1" x14ac:dyDescent="0.35">
      <c r="A1055" s="50"/>
    </row>
    <row r="1056" spans="1:1" x14ac:dyDescent="0.35">
      <c r="A1056" s="50"/>
    </row>
    <row r="1057" spans="1:1" x14ac:dyDescent="0.35">
      <c r="A1057" s="50"/>
    </row>
    <row r="1058" spans="1:1" x14ac:dyDescent="0.35">
      <c r="A1058" s="50"/>
    </row>
    <row r="1059" spans="1:1" x14ac:dyDescent="0.35">
      <c r="A1059" s="50"/>
    </row>
    <row r="1060" spans="1:1" x14ac:dyDescent="0.35">
      <c r="A1060" s="50"/>
    </row>
    <row r="1061" spans="1:1" x14ac:dyDescent="0.35">
      <c r="A1061" s="50"/>
    </row>
    <row r="1062" spans="1:1" x14ac:dyDescent="0.35">
      <c r="A1062" s="50"/>
    </row>
    <row r="1063" spans="1:1" x14ac:dyDescent="0.35">
      <c r="A1063" s="50"/>
    </row>
    <row r="1064" spans="1:1" x14ac:dyDescent="0.35">
      <c r="A1064" s="50"/>
    </row>
    <row r="1065" spans="1:1" x14ac:dyDescent="0.35">
      <c r="A1065" s="50"/>
    </row>
    <row r="1066" spans="1:1" x14ac:dyDescent="0.35">
      <c r="A1066" s="50"/>
    </row>
    <row r="1067" spans="1:1" x14ac:dyDescent="0.35">
      <c r="A1067" s="50"/>
    </row>
    <row r="1068" spans="1:1" x14ac:dyDescent="0.35">
      <c r="A1068" s="50"/>
    </row>
    <row r="1069" spans="1:1" x14ac:dyDescent="0.35">
      <c r="A1069" s="40"/>
    </row>
    <row r="1070" spans="1:1" x14ac:dyDescent="0.35">
      <c r="A1070" s="50"/>
    </row>
    <row r="1071" spans="1:1" x14ac:dyDescent="0.35">
      <c r="A1071" s="50"/>
    </row>
    <row r="1072" spans="1:1" x14ac:dyDescent="0.35">
      <c r="A1072" s="50"/>
    </row>
    <row r="1073" spans="1:1" x14ac:dyDescent="0.35">
      <c r="A1073" s="50"/>
    </row>
    <row r="1074" spans="1:1" x14ac:dyDescent="0.35">
      <c r="A1074" s="50"/>
    </row>
    <row r="1075" spans="1:1" x14ac:dyDescent="0.35">
      <c r="A1075" s="50"/>
    </row>
    <row r="1076" spans="1:1" x14ac:dyDescent="0.35">
      <c r="A1076" s="50"/>
    </row>
    <row r="1077" spans="1:1" x14ac:dyDescent="0.35">
      <c r="A1077" s="50"/>
    </row>
    <row r="1078" spans="1:1" x14ac:dyDescent="0.35">
      <c r="A1078" s="50"/>
    </row>
    <row r="1079" spans="1:1" x14ac:dyDescent="0.35">
      <c r="A1079" s="50"/>
    </row>
    <row r="1080" spans="1:1" x14ac:dyDescent="0.35">
      <c r="A1080" s="50"/>
    </row>
    <row r="1081" spans="1:1" x14ac:dyDescent="0.35">
      <c r="A1081" s="50"/>
    </row>
    <row r="1082" spans="1:1" x14ac:dyDescent="0.35">
      <c r="A1082" s="40"/>
    </row>
    <row r="1083" spans="1:1" x14ac:dyDescent="0.35">
      <c r="A1083" s="40"/>
    </row>
    <row r="1084" spans="1:1" x14ac:dyDescent="0.35">
      <c r="A1084" s="40"/>
    </row>
    <row r="1085" spans="1:1" x14ac:dyDescent="0.35">
      <c r="A1085" s="50"/>
    </row>
    <row r="1086" spans="1:1" x14ac:dyDescent="0.35">
      <c r="A1086" s="50"/>
    </row>
    <row r="1087" spans="1:1" x14ac:dyDescent="0.35">
      <c r="A1087" s="50"/>
    </row>
    <row r="1088" spans="1:1" x14ac:dyDescent="0.35">
      <c r="A1088" s="40"/>
    </row>
    <row r="1089" spans="1:1" x14ac:dyDescent="0.35">
      <c r="A1089" s="50"/>
    </row>
    <row r="1090" spans="1:1" x14ac:dyDescent="0.35">
      <c r="A1090" s="50"/>
    </row>
    <row r="1091" spans="1:1" x14ac:dyDescent="0.35">
      <c r="A1091" s="50"/>
    </row>
    <row r="1092" spans="1:1" x14ac:dyDescent="0.35">
      <c r="A1092" s="50"/>
    </row>
    <row r="1093" spans="1:1" x14ac:dyDescent="0.35">
      <c r="A1093" s="50"/>
    </row>
    <row r="1094" spans="1:1" x14ac:dyDescent="0.35">
      <c r="A1094" s="50"/>
    </row>
    <row r="1095" spans="1:1" x14ac:dyDescent="0.35">
      <c r="A1095" s="50"/>
    </row>
    <row r="1096" spans="1:1" x14ac:dyDescent="0.35">
      <c r="A1096" s="50"/>
    </row>
    <row r="1097" spans="1:1" x14ac:dyDescent="0.35">
      <c r="A1097" s="50"/>
    </row>
    <row r="1098" spans="1:1" x14ac:dyDescent="0.35">
      <c r="A1098" s="50"/>
    </row>
    <row r="1099" spans="1:1" x14ac:dyDescent="0.35">
      <c r="A1099" s="40"/>
    </row>
    <row r="1100" spans="1:1" x14ac:dyDescent="0.35">
      <c r="A1100" s="40"/>
    </row>
    <row r="1101" spans="1:1" x14ac:dyDescent="0.35">
      <c r="A1101" s="50"/>
    </row>
    <row r="1102" spans="1:1" x14ac:dyDescent="0.35">
      <c r="A1102" s="40"/>
    </row>
    <row r="1103" spans="1:1" x14ac:dyDescent="0.35">
      <c r="A1103" s="40"/>
    </row>
    <row r="1104" spans="1:1" x14ac:dyDescent="0.35">
      <c r="A1104" s="50"/>
    </row>
    <row r="1105" spans="1:1" x14ac:dyDescent="0.35">
      <c r="A1105" s="50"/>
    </row>
    <row r="1106" spans="1:1" x14ac:dyDescent="0.35">
      <c r="A1106" s="50"/>
    </row>
    <row r="1107" spans="1:1" x14ac:dyDescent="0.35">
      <c r="A1107" s="50"/>
    </row>
    <row r="1108" spans="1:1" x14ac:dyDescent="0.35">
      <c r="A1108" s="50"/>
    </row>
    <row r="1109" spans="1:1" x14ac:dyDescent="0.35">
      <c r="A1109" s="50"/>
    </row>
    <row r="1110" spans="1:1" x14ac:dyDescent="0.35">
      <c r="A1110" s="50"/>
    </row>
    <row r="1111" spans="1:1" x14ac:dyDescent="0.35">
      <c r="A1111" s="50"/>
    </row>
    <row r="1112" spans="1:1" x14ac:dyDescent="0.35">
      <c r="A1112" s="50"/>
    </row>
    <row r="1113" spans="1:1" x14ac:dyDescent="0.35">
      <c r="A1113" s="50"/>
    </row>
    <row r="1114" spans="1:1" x14ac:dyDescent="0.35">
      <c r="A1114" s="50"/>
    </row>
    <row r="1115" spans="1:1" x14ac:dyDescent="0.35">
      <c r="A1115" s="40"/>
    </row>
    <row r="1116" spans="1:1" x14ac:dyDescent="0.35">
      <c r="A1116" s="40"/>
    </row>
    <row r="1117" spans="1:1" x14ac:dyDescent="0.35">
      <c r="A1117" s="40"/>
    </row>
    <row r="1118" spans="1:1" x14ac:dyDescent="0.35">
      <c r="A1118" s="50"/>
    </row>
    <row r="1119" spans="1:1" x14ac:dyDescent="0.35">
      <c r="A1119" s="40"/>
    </row>
    <row r="1120" spans="1:1" x14ac:dyDescent="0.35">
      <c r="A1120" s="50"/>
    </row>
    <row r="1121" spans="1:1" x14ac:dyDescent="0.35">
      <c r="A1121" s="40"/>
    </row>
    <row r="1122" spans="1:1" x14ac:dyDescent="0.35">
      <c r="A1122" s="50"/>
    </row>
    <row r="1123" spans="1:1" x14ac:dyDescent="0.35">
      <c r="A1123" s="50"/>
    </row>
    <row r="1124" spans="1:1" x14ac:dyDescent="0.35">
      <c r="A1124" s="50"/>
    </row>
    <row r="1125" spans="1:1" x14ac:dyDescent="0.35">
      <c r="A1125" s="50"/>
    </row>
    <row r="1126" spans="1:1" x14ac:dyDescent="0.35">
      <c r="A1126" s="50"/>
    </row>
    <row r="1127" spans="1:1" x14ac:dyDescent="0.35">
      <c r="A1127" s="40"/>
    </row>
    <row r="1128" spans="1:1" x14ac:dyDescent="0.35">
      <c r="A1128" s="50"/>
    </row>
    <row r="1129" spans="1:1" x14ac:dyDescent="0.35">
      <c r="A1129" s="50"/>
    </row>
    <row r="1130" spans="1:1" x14ac:dyDescent="0.35">
      <c r="A1130" s="50"/>
    </row>
    <row r="1131" spans="1:1" x14ac:dyDescent="0.35">
      <c r="A1131" s="50"/>
    </row>
    <row r="1132" spans="1:1" x14ac:dyDescent="0.35">
      <c r="A1132" s="50"/>
    </row>
    <row r="1133" spans="1:1" x14ac:dyDescent="0.35">
      <c r="A1133" s="50"/>
    </row>
    <row r="1134" spans="1:1" x14ac:dyDescent="0.35">
      <c r="A1134" s="50"/>
    </row>
    <row r="1135" spans="1:1" x14ac:dyDescent="0.35">
      <c r="A1135" s="50"/>
    </row>
    <row r="1136" spans="1:1" x14ac:dyDescent="0.35">
      <c r="A1136" s="40"/>
    </row>
    <row r="1137" spans="1:1" x14ac:dyDescent="0.35">
      <c r="A1137" s="40"/>
    </row>
    <row r="1138" spans="1:1" x14ac:dyDescent="0.35">
      <c r="A1138" s="40"/>
    </row>
    <row r="1139" spans="1:1" x14ac:dyDescent="0.35">
      <c r="A1139" s="50"/>
    </row>
    <row r="1140" spans="1:1" x14ac:dyDescent="0.35">
      <c r="A1140" s="40"/>
    </row>
    <row r="1141" spans="1:1" x14ac:dyDescent="0.35">
      <c r="A1141" s="50"/>
    </row>
    <row r="1142" spans="1:1" x14ac:dyDescent="0.35">
      <c r="A1142" s="50"/>
    </row>
    <row r="1143" spans="1:1" x14ac:dyDescent="0.35">
      <c r="A1143" s="50"/>
    </row>
    <row r="1144" spans="1:1" x14ac:dyDescent="0.35">
      <c r="A1144" s="50"/>
    </row>
    <row r="1145" spans="1:1" x14ac:dyDescent="0.35">
      <c r="A1145" s="40"/>
    </row>
    <row r="1146" spans="1:1" x14ac:dyDescent="0.35">
      <c r="A1146" s="50"/>
    </row>
    <row r="1147" spans="1:1" x14ac:dyDescent="0.35">
      <c r="A1147" s="50"/>
    </row>
    <row r="1148" spans="1:1" x14ac:dyDescent="0.35">
      <c r="A1148" s="40"/>
    </row>
    <row r="1149" spans="1:1" x14ac:dyDescent="0.35">
      <c r="A1149" s="40"/>
    </row>
    <row r="1150" spans="1:1" x14ac:dyDescent="0.35">
      <c r="A1150" s="40"/>
    </row>
    <row r="1151" spans="1:1" x14ac:dyDescent="0.35">
      <c r="A1151" s="50"/>
    </row>
    <row r="1152" spans="1:1" x14ac:dyDescent="0.35">
      <c r="A1152" s="50"/>
    </row>
    <row r="1153" spans="1:1" x14ac:dyDescent="0.35">
      <c r="A1153" s="50"/>
    </row>
    <row r="1154" spans="1:1" x14ac:dyDescent="0.35">
      <c r="A1154" s="40"/>
    </row>
    <row r="1155" spans="1:1" x14ac:dyDescent="0.35">
      <c r="A1155" s="40"/>
    </row>
    <row r="1156" spans="1:1" x14ac:dyDescent="0.35">
      <c r="A1156" s="40"/>
    </row>
    <row r="1157" spans="1:1" x14ac:dyDescent="0.35">
      <c r="A1157" s="50"/>
    </row>
    <row r="1158" spans="1:1" x14ac:dyDescent="0.35">
      <c r="A1158" s="40"/>
    </row>
    <row r="1159" spans="1:1" x14ac:dyDescent="0.35">
      <c r="A1159" s="40"/>
    </row>
    <row r="1160" spans="1:1" x14ac:dyDescent="0.35">
      <c r="A1160" s="40"/>
    </row>
    <row r="1161" spans="1:1" x14ac:dyDescent="0.35">
      <c r="A1161" s="40"/>
    </row>
    <row r="1162" spans="1:1" x14ac:dyDescent="0.35">
      <c r="A1162" s="40"/>
    </row>
    <row r="1163" spans="1:1" x14ac:dyDescent="0.35">
      <c r="A1163" s="40"/>
    </row>
    <row r="1164" spans="1:1" x14ac:dyDescent="0.35">
      <c r="A1164" s="40"/>
    </row>
    <row r="1165" spans="1:1" x14ac:dyDescent="0.35">
      <c r="A1165" s="40"/>
    </row>
    <row r="1166" spans="1:1" x14ac:dyDescent="0.35">
      <c r="A1166" s="40"/>
    </row>
    <row r="1167" spans="1:1" x14ac:dyDescent="0.35">
      <c r="A1167" s="40"/>
    </row>
    <row r="1168" spans="1:1" x14ac:dyDescent="0.35">
      <c r="A1168" s="40"/>
    </row>
    <row r="1169" spans="1:1" x14ac:dyDescent="0.35">
      <c r="A1169" s="40"/>
    </row>
    <row r="1170" spans="1:1" x14ac:dyDescent="0.35">
      <c r="A1170" s="40"/>
    </row>
    <row r="1171" spans="1:1" x14ac:dyDescent="0.35">
      <c r="A1171" s="40"/>
    </row>
    <row r="1172" spans="1:1" x14ac:dyDescent="0.35">
      <c r="A1172" s="40"/>
    </row>
    <row r="1173" spans="1:1" x14ac:dyDescent="0.35">
      <c r="A1173" s="40"/>
    </row>
    <row r="1174" spans="1:1" x14ac:dyDescent="0.35">
      <c r="A1174" s="40"/>
    </row>
    <row r="1175" spans="1:1" x14ac:dyDescent="0.35">
      <c r="A1175" s="40"/>
    </row>
    <row r="1176" spans="1:1" x14ac:dyDescent="0.35">
      <c r="A1176" s="40"/>
    </row>
    <row r="1177" spans="1:1" x14ac:dyDescent="0.35">
      <c r="A1177" s="50"/>
    </row>
    <row r="1178" spans="1:1" x14ac:dyDescent="0.35">
      <c r="A1178" s="40"/>
    </row>
    <row r="1179" spans="1:1" x14ac:dyDescent="0.35">
      <c r="A1179" s="40"/>
    </row>
    <row r="1180" spans="1:1" x14ac:dyDescent="0.35">
      <c r="A1180" s="40"/>
    </row>
    <row r="1181" spans="1:1" x14ac:dyDescent="0.35">
      <c r="A1181" s="40"/>
    </row>
    <row r="1182" spans="1:1" x14ac:dyDescent="0.35">
      <c r="A1182" s="40"/>
    </row>
    <row r="1183" spans="1:1" x14ac:dyDescent="0.35">
      <c r="A1183" s="40"/>
    </row>
    <row r="1184" spans="1:1" x14ac:dyDescent="0.35">
      <c r="A1184" s="40"/>
    </row>
    <row r="1185" spans="1:1" x14ac:dyDescent="0.35">
      <c r="A1185" s="40"/>
    </row>
    <row r="1186" spans="1:1" x14ac:dyDescent="0.35">
      <c r="A1186" s="40"/>
    </row>
    <row r="1187" spans="1:1" x14ac:dyDescent="0.35">
      <c r="A1187" s="40"/>
    </row>
    <row r="1188" spans="1:1" x14ac:dyDescent="0.35">
      <c r="A1188" s="40"/>
    </row>
    <row r="1189" spans="1:1" x14ac:dyDescent="0.35">
      <c r="A1189" s="40"/>
    </row>
    <row r="1190" spans="1:1" x14ac:dyDescent="0.35">
      <c r="A1190" s="40"/>
    </row>
    <row r="1191" spans="1:1" x14ac:dyDescent="0.35">
      <c r="A1191" s="40"/>
    </row>
    <row r="1192" spans="1:1" x14ac:dyDescent="0.35">
      <c r="A1192" s="40"/>
    </row>
    <row r="1193" spans="1:1" x14ac:dyDescent="0.35">
      <c r="A1193" s="40"/>
    </row>
    <row r="1194" spans="1:1" x14ac:dyDescent="0.35">
      <c r="A1194" s="40"/>
    </row>
    <row r="1195" spans="1:1" x14ac:dyDescent="0.35">
      <c r="A1195" s="40"/>
    </row>
    <row r="1196" spans="1:1" x14ac:dyDescent="0.35">
      <c r="A1196" s="50"/>
    </row>
    <row r="1197" spans="1:1" x14ac:dyDescent="0.35">
      <c r="A1197" s="50"/>
    </row>
    <row r="1198" spans="1:1" x14ac:dyDescent="0.35">
      <c r="A1198" s="50"/>
    </row>
    <row r="1199" spans="1:1" x14ac:dyDescent="0.35">
      <c r="A1199" s="50"/>
    </row>
    <row r="1200" spans="1:1" x14ac:dyDescent="0.35">
      <c r="A1200" s="50"/>
    </row>
    <row r="1201" spans="1:1" x14ac:dyDescent="0.35">
      <c r="A1201" s="50"/>
    </row>
    <row r="1202" spans="1:1" x14ac:dyDescent="0.35">
      <c r="A1202" s="50"/>
    </row>
    <row r="1203" spans="1:1" x14ac:dyDescent="0.35">
      <c r="A1203" s="50"/>
    </row>
    <row r="1204" spans="1:1" x14ac:dyDescent="0.35">
      <c r="A1204" s="50"/>
    </row>
    <row r="1205" spans="1:1" x14ac:dyDescent="0.35">
      <c r="A1205" s="50"/>
    </row>
    <row r="1206" spans="1:1" x14ac:dyDescent="0.35">
      <c r="A1206" s="50"/>
    </row>
    <row r="1207" spans="1:1" x14ac:dyDescent="0.35">
      <c r="A1207" s="50"/>
    </row>
    <row r="1208" spans="1:1" x14ac:dyDescent="0.35">
      <c r="A1208" s="50"/>
    </row>
    <row r="1209" spans="1:1" x14ac:dyDescent="0.35">
      <c r="A1209" s="50"/>
    </row>
    <row r="1210" spans="1:1" x14ac:dyDescent="0.35">
      <c r="A1210" s="50"/>
    </row>
    <row r="1211" spans="1:1" x14ac:dyDescent="0.35">
      <c r="A1211" s="40"/>
    </row>
    <row r="1212" spans="1:1" x14ac:dyDescent="0.35">
      <c r="A1212" s="50"/>
    </row>
    <row r="1213" spans="1:1" x14ac:dyDescent="0.35">
      <c r="A1213" s="40"/>
    </row>
    <row r="1214" spans="1:1" x14ac:dyDescent="0.35">
      <c r="A1214" s="50"/>
    </row>
    <row r="1215" spans="1:1" x14ac:dyDescent="0.35">
      <c r="A1215" s="40"/>
    </row>
    <row r="1216" spans="1:1" x14ac:dyDescent="0.35">
      <c r="A1216" s="50"/>
    </row>
    <row r="1217" spans="1:1" x14ac:dyDescent="0.35">
      <c r="A1217" s="40"/>
    </row>
    <row r="1218" spans="1:1" x14ac:dyDescent="0.35">
      <c r="A1218" s="40"/>
    </row>
    <row r="1219" spans="1:1" x14ac:dyDescent="0.35">
      <c r="A1219" s="40"/>
    </row>
    <row r="1220" spans="1:1" x14ac:dyDescent="0.35">
      <c r="A1220" s="50"/>
    </row>
    <row r="1221" spans="1:1" x14ac:dyDescent="0.35">
      <c r="A1221" s="50"/>
    </row>
    <row r="1222" spans="1:1" x14ac:dyDescent="0.35">
      <c r="A1222" s="50"/>
    </row>
    <row r="1223" spans="1:1" x14ac:dyDescent="0.35">
      <c r="A1223" s="50"/>
    </row>
    <row r="1224" spans="1:1" x14ac:dyDescent="0.35">
      <c r="A1224" s="40"/>
    </row>
    <row r="1225" spans="1:1" x14ac:dyDescent="0.35">
      <c r="A1225" s="50"/>
    </row>
    <row r="1226" spans="1:1" x14ac:dyDescent="0.35">
      <c r="A1226" s="50"/>
    </row>
    <row r="1227" spans="1:1" x14ac:dyDescent="0.35">
      <c r="A1227" s="40"/>
    </row>
    <row r="1228" spans="1:1" x14ac:dyDescent="0.35">
      <c r="A1228" s="50"/>
    </row>
    <row r="1229" spans="1:1" x14ac:dyDescent="0.35">
      <c r="A1229" s="40"/>
    </row>
    <row r="1230" spans="1:1" x14ac:dyDescent="0.35">
      <c r="A1230" s="50"/>
    </row>
    <row r="1231" spans="1:1" x14ac:dyDescent="0.35">
      <c r="A1231" s="40"/>
    </row>
    <row r="1232" spans="1:1" x14ac:dyDescent="0.35">
      <c r="A1232" s="40"/>
    </row>
    <row r="1233" spans="1:1" x14ac:dyDescent="0.35">
      <c r="A1233" s="40"/>
    </row>
    <row r="1234" spans="1:1" x14ac:dyDescent="0.35">
      <c r="A1234" s="40"/>
    </row>
    <row r="1235" spans="1:1" x14ac:dyDescent="0.35">
      <c r="A1235" s="50"/>
    </row>
    <row r="1236" spans="1:1" x14ac:dyDescent="0.35">
      <c r="A1236" s="50"/>
    </row>
    <row r="1237" spans="1:1" x14ac:dyDescent="0.35">
      <c r="A1237" s="40"/>
    </row>
    <row r="1238" spans="1:1" x14ac:dyDescent="0.35">
      <c r="A1238" s="50"/>
    </row>
    <row r="1239" spans="1:1" x14ac:dyDescent="0.35">
      <c r="A1239" s="50"/>
    </row>
    <row r="1240" spans="1:1" x14ac:dyDescent="0.35">
      <c r="A1240" s="40"/>
    </row>
    <row r="1241" spans="1:1" x14ac:dyDescent="0.35">
      <c r="A1241" s="50"/>
    </row>
    <row r="1242" spans="1:1" x14ac:dyDescent="0.35">
      <c r="A1242" s="50"/>
    </row>
    <row r="1243" spans="1:1" x14ac:dyDescent="0.35">
      <c r="A1243" s="40"/>
    </row>
    <row r="1244" spans="1:1" x14ac:dyDescent="0.35">
      <c r="A1244" s="50"/>
    </row>
    <row r="1245" spans="1:1" x14ac:dyDescent="0.35">
      <c r="A1245" s="50"/>
    </row>
    <row r="1246" spans="1:1" x14ac:dyDescent="0.35">
      <c r="A1246" s="40"/>
    </row>
    <row r="1247" spans="1:1" x14ac:dyDescent="0.35">
      <c r="A1247" s="50"/>
    </row>
    <row r="1248" spans="1:1" x14ac:dyDescent="0.35">
      <c r="A1248" s="50"/>
    </row>
    <row r="1249" spans="1:1" x14ac:dyDescent="0.35">
      <c r="A1249" s="50"/>
    </row>
    <row r="1250" spans="1:1" x14ac:dyDescent="0.35">
      <c r="A1250" s="50"/>
    </row>
    <row r="1251" spans="1:1" x14ac:dyDescent="0.35">
      <c r="A1251" s="50"/>
    </row>
    <row r="1252" spans="1:1" x14ac:dyDescent="0.35">
      <c r="A1252" s="50"/>
    </row>
    <row r="1253" spans="1:1" x14ac:dyDescent="0.35">
      <c r="A1253" s="50"/>
    </row>
    <row r="1254" spans="1:1" x14ac:dyDescent="0.35">
      <c r="A1254" s="50"/>
    </row>
    <row r="1255" spans="1:1" x14ac:dyDescent="0.35">
      <c r="A1255" s="50"/>
    </row>
    <row r="1256" spans="1:1" x14ac:dyDescent="0.35">
      <c r="A1256" s="50"/>
    </row>
    <row r="1257" spans="1:1" x14ac:dyDescent="0.35">
      <c r="A1257" s="50"/>
    </row>
    <row r="1258" spans="1:1" x14ac:dyDescent="0.35">
      <c r="A1258" s="40"/>
    </row>
    <row r="1259" spans="1:1" x14ac:dyDescent="0.35">
      <c r="A1259" s="50"/>
    </row>
    <row r="1260" spans="1:1" x14ac:dyDescent="0.35">
      <c r="A1260" s="50"/>
    </row>
    <row r="1261" spans="1:1" x14ac:dyDescent="0.35">
      <c r="A1261" s="50"/>
    </row>
    <row r="1262" spans="1:1" x14ac:dyDescent="0.35">
      <c r="A1262" s="50"/>
    </row>
    <row r="1263" spans="1:1" x14ac:dyDescent="0.35">
      <c r="A1263" s="50"/>
    </row>
    <row r="1264" spans="1:1" x14ac:dyDescent="0.35">
      <c r="A1264" s="50"/>
    </row>
    <row r="1265" spans="1:1" x14ac:dyDescent="0.35">
      <c r="A1265" s="50"/>
    </row>
    <row r="1266" spans="1:1" x14ac:dyDescent="0.35">
      <c r="A1266" s="40"/>
    </row>
    <row r="1267" spans="1:1" x14ac:dyDescent="0.35">
      <c r="A1267" s="50"/>
    </row>
    <row r="1268" spans="1:1" x14ac:dyDescent="0.35">
      <c r="A1268" s="50"/>
    </row>
    <row r="1269" spans="1:1" x14ac:dyDescent="0.35">
      <c r="A1269" s="50"/>
    </row>
    <row r="1270" spans="1:1" x14ac:dyDescent="0.35">
      <c r="A1270" s="50"/>
    </row>
    <row r="1271" spans="1:1" x14ac:dyDescent="0.35">
      <c r="A1271" s="50"/>
    </row>
    <row r="1272" spans="1:1" x14ac:dyDescent="0.35">
      <c r="A1272" s="50"/>
    </row>
    <row r="1273" spans="1:1" x14ac:dyDescent="0.35">
      <c r="A1273" s="50"/>
    </row>
    <row r="1274" spans="1:1" x14ac:dyDescent="0.35">
      <c r="A1274" s="50"/>
    </row>
    <row r="1275" spans="1:1" x14ac:dyDescent="0.35">
      <c r="A1275" s="50"/>
    </row>
    <row r="1276" spans="1:1" x14ac:dyDescent="0.35">
      <c r="A1276" s="50"/>
    </row>
    <row r="1277" spans="1:1" x14ac:dyDescent="0.35">
      <c r="A1277" s="50"/>
    </row>
    <row r="1278" spans="1:1" x14ac:dyDescent="0.35">
      <c r="A1278" s="50"/>
    </row>
    <row r="1279" spans="1:1" x14ac:dyDescent="0.35">
      <c r="A1279" s="40"/>
    </row>
    <row r="1280" spans="1:1" x14ac:dyDescent="0.35">
      <c r="A1280" s="40"/>
    </row>
    <row r="1281" spans="1:1" x14ac:dyDescent="0.35">
      <c r="A1281" s="40"/>
    </row>
    <row r="1282" spans="1:1" x14ac:dyDescent="0.35">
      <c r="A1282" s="40"/>
    </row>
    <row r="1283" spans="1:1" x14ac:dyDescent="0.35">
      <c r="A1283" s="40"/>
    </row>
    <row r="1284" spans="1:1" x14ac:dyDescent="0.35">
      <c r="A1284" s="40"/>
    </row>
    <row r="1285" spans="1:1" x14ac:dyDescent="0.35">
      <c r="A1285" s="40"/>
    </row>
    <row r="1286" spans="1:1" x14ac:dyDescent="0.35">
      <c r="A1286" s="40"/>
    </row>
    <row r="1287" spans="1:1" x14ac:dyDescent="0.35">
      <c r="A1287" s="40"/>
    </row>
    <row r="1288" spans="1:1" x14ac:dyDescent="0.35">
      <c r="A1288" s="40"/>
    </row>
    <row r="1289" spans="1:1" x14ac:dyDescent="0.35">
      <c r="A1289" s="50"/>
    </row>
    <row r="1290" spans="1:1" x14ac:dyDescent="0.35">
      <c r="A1290" s="50"/>
    </row>
    <row r="1291" spans="1:1" x14ac:dyDescent="0.35">
      <c r="A1291" s="50"/>
    </row>
    <row r="1292" spans="1:1" x14ac:dyDescent="0.35">
      <c r="A1292" s="40"/>
    </row>
    <row r="1293" spans="1:1" x14ac:dyDescent="0.35">
      <c r="A1293" s="50"/>
    </row>
    <row r="1294" spans="1:1" x14ac:dyDescent="0.35">
      <c r="A1294" s="50"/>
    </row>
    <row r="1295" spans="1:1" x14ac:dyDescent="0.35">
      <c r="A1295" s="40"/>
    </row>
    <row r="1296" spans="1:1" x14ac:dyDescent="0.35">
      <c r="A1296" s="50"/>
    </row>
    <row r="1297" spans="1:1" x14ac:dyDescent="0.35">
      <c r="A1297" s="50"/>
    </row>
    <row r="1298" spans="1:1" x14ac:dyDescent="0.35">
      <c r="A1298" s="50"/>
    </row>
    <row r="1299" spans="1:1" x14ac:dyDescent="0.35">
      <c r="A1299" s="50"/>
    </row>
    <row r="1300" spans="1:1" x14ac:dyDescent="0.35">
      <c r="A1300" s="50"/>
    </row>
    <row r="1301" spans="1:1" x14ac:dyDescent="0.35">
      <c r="A1301" s="50"/>
    </row>
    <row r="1302" spans="1:1" x14ac:dyDescent="0.35">
      <c r="A1302" s="50"/>
    </row>
    <row r="1303" spans="1:1" x14ac:dyDescent="0.35">
      <c r="A1303" s="50"/>
    </row>
    <row r="1304" spans="1:1" x14ac:dyDescent="0.35">
      <c r="A1304" s="50"/>
    </row>
    <row r="1305" spans="1:1" x14ac:dyDescent="0.35">
      <c r="A1305" s="50"/>
    </row>
    <row r="1306" spans="1:1" x14ac:dyDescent="0.35">
      <c r="A1306" s="50"/>
    </row>
    <row r="1307" spans="1:1" x14ac:dyDescent="0.35">
      <c r="A1307" s="40"/>
    </row>
    <row r="1308" spans="1:1" x14ac:dyDescent="0.35">
      <c r="A1308" s="40"/>
    </row>
    <row r="1309" spans="1:1" x14ac:dyDescent="0.35">
      <c r="A1309" s="50"/>
    </row>
    <row r="1310" spans="1:1" x14ac:dyDescent="0.35">
      <c r="A1310" s="40"/>
    </row>
    <row r="1311" spans="1:1" x14ac:dyDescent="0.35">
      <c r="A1311" s="40"/>
    </row>
    <row r="1312" spans="1:1" x14ac:dyDescent="0.35">
      <c r="A1312" s="40"/>
    </row>
    <row r="1313" spans="1:1" x14ac:dyDescent="0.35">
      <c r="A1313" s="50"/>
    </row>
    <row r="1314" spans="1:1" x14ac:dyDescent="0.35">
      <c r="A1314" s="50"/>
    </row>
    <row r="1315" spans="1:1" x14ac:dyDescent="0.35">
      <c r="A1315" s="50"/>
    </row>
    <row r="1316" spans="1:1" x14ac:dyDescent="0.35">
      <c r="A1316" s="40"/>
    </row>
    <row r="1317" spans="1:1" x14ac:dyDescent="0.35">
      <c r="A1317" s="40"/>
    </row>
    <row r="1318" spans="1:1" x14ac:dyDescent="0.35">
      <c r="A1318" s="50"/>
    </row>
    <row r="1319" spans="1:1" x14ac:dyDescent="0.35">
      <c r="A1319" s="50"/>
    </row>
    <row r="1320" spans="1:1" x14ac:dyDescent="0.35">
      <c r="A1320" s="50"/>
    </row>
    <row r="1321" spans="1:1" x14ac:dyDescent="0.35">
      <c r="A1321" s="40"/>
    </row>
    <row r="1322" spans="1:1" x14ac:dyDescent="0.35">
      <c r="A1322" s="50"/>
    </row>
    <row r="1323" spans="1:1" x14ac:dyDescent="0.35">
      <c r="A1323" s="50"/>
    </row>
    <row r="1324" spans="1:1" x14ac:dyDescent="0.35">
      <c r="A1324" s="40"/>
    </row>
    <row r="1325" spans="1:1" x14ac:dyDescent="0.35">
      <c r="A1325" s="50"/>
    </row>
    <row r="1326" spans="1:1" x14ac:dyDescent="0.35">
      <c r="A1326" s="40"/>
    </row>
    <row r="1327" spans="1:1" x14ac:dyDescent="0.35">
      <c r="A1327" s="40"/>
    </row>
    <row r="1328" spans="1:1" x14ac:dyDescent="0.35">
      <c r="A1328" s="40"/>
    </row>
    <row r="1329" spans="1:1" x14ac:dyDescent="0.35">
      <c r="A1329" s="40"/>
    </row>
    <row r="1330" spans="1:1" x14ac:dyDescent="0.35">
      <c r="A1330" s="40"/>
    </row>
    <row r="1331" spans="1:1" x14ac:dyDescent="0.35">
      <c r="A1331" s="40"/>
    </row>
    <row r="1332" spans="1:1" x14ac:dyDescent="0.35">
      <c r="A1332" s="40"/>
    </row>
    <row r="1333" spans="1:1" x14ac:dyDescent="0.35">
      <c r="A1333" s="40"/>
    </row>
    <row r="1334" spans="1:1" x14ac:dyDescent="0.35">
      <c r="A1334" s="40"/>
    </row>
    <row r="1335" spans="1:1" x14ac:dyDescent="0.35">
      <c r="A1335" s="40"/>
    </row>
    <row r="1336" spans="1:1" x14ac:dyDescent="0.35">
      <c r="A1336" s="40"/>
    </row>
    <row r="1337" spans="1:1" x14ac:dyDescent="0.35">
      <c r="A1337" s="40"/>
    </row>
    <row r="1338" spans="1:1" x14ac:dyDescent="0.35">
      <c r="A1338" s="40"/>
    </row>
    <row r="1339" spans="1:1" x14ac:dyDescent="0.35">
      <c r="A1339" s="40"/>
    </row>
    <row r="1340" spans="1:1" x14ac:dyDescent="0.35">
      <c r="A1340" s="40"/>
    </row>
    <row r="1341" spans="1:1" x14ac:dyDescent="0.35">
      <c r="A1341" s="40"/>
    </row>
    <row r="1342" spans="1:1" x14ac:dyDescent="0.35">
      <c r="A1342" s="50"/>
    </row>
    <row r="1343" spans="1:1" x14ac:dyDescent="0.35">
      <c r="A1343" s="50"/>
    </row>
    <row r="1344" spans="1:1" x14ac:dyDescent="0.35">
      <c r="A1344" s="50"/>
    </row>
    <row r="1345" spans="1:1" x14ac:dyDescent="0.35">
      <c r="A1345" s="50"/>
    </row>
    <row r="1346" spans="1:1" x14ac:dyDescent="0.35">
      <c r="A1346" s="50"/>
    </row>
    <row r="1347" spans="1:1" x14ac:dyDescent="0.35">
      <c r="A1347" s="50"/>
    </row>
    <row r="1348" spans="1:1" x14ac:dyDescent="0.35">
      <c r="A1348" s="50"/>
    </row>
    <row r="1349" spans="1:1" x14ac:dyDescent="0.35">
      <c r="A1349" s="50"/>
    </row>
    <row r="1350" spans="1:1" x14ac:dyDescent="0.35">
      <c r="A1350" s="50"/>
    </row>
    <row r="1351" spans="1:1" x14ac:dyDescent="0.35">
      <c r="A1351" s="50"/>
    </row>
    <row r="1352" spans="1:1" x14ac:dyDescent="0.35">
      <c r="A1352" s="40"/>
    </row>
    <row r="1353" spans="1:1" x14ac:dyDescent="0.35">
      <c r="A1353" s="40"/>
    </row>
    <row r="1354" spans="1:1" x14ac:dyDescent="0.35">
      <c r="A1354" s="40"/>
    </row>
    <row r="1355" spans="1:1" x14ac:dyDescent="0.35">
      <c r="A1355" s="50"/>
    </row>
    <row r="1356" spans="1:1" x14ac:dyDescent="0.35">
      <c r="A1356" s="40"/>
    </row>
    <row r="1357" spans="1:1" x14ac:dyDescent="0.35">
      <c r="A1357" s="50"/>
    </row>
    <row r="1358" spans="1:1" x14ac:dyDescent="0.35">
      <c r="A1358" s="50"/>
    </row>
    <row r="1359" spans="1:1" x14ac:dyDescent="0.35">
      <c r="A1359" s="50"/>
    </row>
    <row r="1360" spans="1:1" x14ac:dyDescent="0.35">
      <c r="A1360" s="50"/>
    </row>
    <row r="1361" spans="1:1" x14ac:dyDescent="0.35">
      <c r="A1361" s="50"/>
    </row>
    <row r="1362" spans="1:1" x14ac:dyDescent="0.35">
      <c r="A1362" s="50"/>
    </row>
    <row r="1363" spans="1:1" x14ac:dyDescent="0.35">
      <c r="A1363" s="50"/>
    </row>
    <row r="1364" spans="1:1" x14ac:dyDescent="0.35">
      <c r="A1364" s="50"/>
    </row>
    <row r="1365" spans="1:1" x14ac:dyDescent="0.35">
      <c r="A1365" s="50"/>
    </row>
    <row r="1366" spans="1:1" x14ac:dyDescent="0.35">
      <c r="A1366" s="40"/>
    </row>
    <row r="1367" spans="1:1" x14ac:dyDescent="0.35">
      <c r="A1367" s="40"/>
    </row>
    <row r="1368" spans="1:1" x14ac:dyDescent="0.35">
      <c r="A1368" s="40"/>
    </row>
    <row r="1369" spans="1:1" x14ac:dyDescent="0.35">
      <c r="A1369" s="40"/>
    </row>
    <row r="1370" spans="1:1" x14ac:dyDescent="0.35">
      <c r="A1370" s="50"/>
    </row>
    <row r="1371" spans="1:1" x14ac:dyDescent="0.35">
      <c r="A1371" s="50"/>
    </row>
    <row r="1372" spans="1:1" x14ac:dyDescent="0.35">
      <c r="A1372" s="50"/>
    </row>
    <row r="1373" spans="1:1" x14ac:dyDescent="0.35">
      <c r="A1373" s="50"/>
    </row>
    <row r="1374" spans="1:1" x14ac:dyDescent="0.35">
      <c r="A1374" s="40"/>
    </row>
    <row r="1375" spans="1:1" x14ac:dyDescent="0.35">
      <c r="A1375" s="40"/>
    </row>
    <row r="1376" spans="1:1" x14ac:dyDescent="0.35">
      <c r="A1376" s="50"/>
    </row>
    <row r="1377" spans="1:1" x14ac:dyDescent="0.35">
      <c r="A1377" s="50"/>
    </row>
    <row r="1378" spans="1:1" x14ac:dyDescent="0.35">
      <c r="A1378" s="50"/>
    </row>
    <row r="1379" spans="1:1" x14ac:dyDescent="0.35">
      <c r="A1379" s="40"/>
    </row>
    <row r="1380" spans="1:1" x14ac:dyDescent="0.35">
      <c r="A1380" s="50"/>
    </row>
    <row r="1381" spans="1:1" x14ac:dyDescent="0.35">
      <c r="A1381" s="40"/>
    </row>
    <row r="1382" spans="1:1" x14ac:dyDescent="0.35">
      <c r="A1382" s="50"/>
    </row>
    <row r="1383" spans="1:1" x14ac:dyDescent="0.35">
      <c r="A1383" s="40"/>
    </row>
    <row r="1384" spans="1:1" x14ac:dyDescent="0.35">
      <c r="A1384" s="50"/>
    </row>
    <row r="1385" spans="1:1" x14ac:dyDescent="0.35">
      <c r="A1385" s="40"/>
    </row>
    <row r="1386" spans="1:1" x14ac:dyDescent="0.35">
      <c r="A1386" s="40"/>
    </row>
    <row r="1387" spans="1:1" x14ac:dyDescent="0.35">
      <c r="A1387" s="40"/>
    </row>
    <row r="1388" spans="1:1" x14ac:dyDescent="0.35">
      <c r="A1388" s="40"/>
    </row>
    <row r="1389" spans="1:1" x14ac:dyDescent="0.35">
      <c r="A1389" s="50"/>
    </row>
    <row r="1390" spans="1:1" x14ac:dyDescent="0.35">
      <c r="A1390" s="40"/>
    </row>
    <row r="1391" spans="1:1" x14ac:dyDescent="0.35">
      <c r="A1391" s="40"/>
    </row>
    <row r="1392" spans="1:1" x14ac:dyDescent="0.35">
      <c r="A1392" s="40"/>
    </row>
    <row r="1393" spans="1:1" x14ac:dyDescent="0.35">
      <c r="A1393" s="40"/>
    </row>
    <row r="1394" spans="1:1" x14ac:dyDescent="0.35">
      <c r="A1394" s="50"/>
    </row>
    <row r="1395" spans="1:1" x14ac:dyDescent="0.35">
      <c r="A1395" s="50"/>
    </row>
    <row r="1396" spans="1:1" x14ac:dyDescent="0.35">
      <c r="A1396" s="50"/>
    </row>
    <row r="1397" spans="1:1" x14ac:dyDescent="0.35">
      <c r="A1397" s="50"/>
    </row>
    <row r="1398" spans="1:1" x14ac:dyDescent="0.35">
      <c r="A1398" s="50"/>
    </row>
    <row r="1399" spans="1:1" x14ac:dyDescent="0.35">
      <c r="A1399" s="50"/>
    </row>
    <row r="1400" spans="1:1" x14ac:dyDescent="0.35">
      <c r="A1400" s="50"/>
    </row>
    <row r="1401" spans="1:1" x14ac:dyDescent="0.35">
      <c r="A1401" s="50"/>
    </row>
    <row r="1402" spans="1:1" x14ac:dyDescent="0.35">
      <c r="A1402" s="50"/>
    </row>
    <row r="1403" spans="1:1" x14ac:dyDescent="0.35">
      <c r="A1403" s="50"/>
    </row>
    <row r="1404" spans="1:1" x14ac:dyDescent="0.35">
      <c r="A1404" s="50"/>
    </row>
    <row r="1405" spans="1:1" x14ac:dyDescent="0.35">
      <c r="A1405" s="50"/>
    </row>
    <row r="1406" spans="1:1" x14ac:dyDescent="0.35">
      <c r="A1406" s="50"/>
    </row>
    <row r="1407" spans="1:1" x14ac:dyDescent="0.35">
      <c r="A1407" s="50"/>
    </row>
    <row r="1408" spans="1:1" x14ac:dyDescent="0.35">
      <c r="A1408" s="40"/>
    </row>
    <row r="1409" spans="1:1" x14ac:dyDescent="0.35">
      <c r="A1409" s="50"/>
    </row>
    <row r="1410" spans="1:1" x14ac:dyDescent="0.35">
      <c r="A1410" s="50"/>
    </row>
    <row r="1411" spans="1:1" x14ac:dyDescent="0.35">
      <c r="A1411" s="50"/>
    </row>
    <row r="1412" spans="1:1" x14ac:dyDescent="0.35">
      <c r="A1412" s="40"/>
    </row>
    <row r="1413" spans="1:1" x14ac:dyDescent="0.35">
      <c r="A1413" s="50"/>
    </row>
    <row r="1414" spans="1:1" x14ac:dyDescent="0.35">
      <c r="A1414" s="50"/>
    </row>
    <row r="1415" spans="1:1" x14ac:dyDescent="0.35">
      <c r="A1415" s="50"/>
    </row>
    <row r="1416" spans="1:1" x14ac:dyDescent="0.35">
      <c r="A1416" s="50"/>
    </row>
    <row r="1417" spans="1:1" x14ac:dyDescent="0.35">
      <c r="A1417" s="50"/>
    </row>
    <row r="1418" spans="1:1" x14ac:dyDescent="0.35">
      <c r="A1418" s="50"/>
    </row>
    <row r="1419" spans="1:1" x14ac:dyDescent="0.35">
      <c r="A1419" s="50"/>
    </row>
    <row r="1420" spans="1:1" x14ac:dyDescent="0.35">
      <c r="A1420" s="40"/>
    </row>
    <row r="1421" spans="1:1" x14ac:dyDescent="0.35">
      <c r="A1421" s="50"/>
    </row>
    <row r="1422" spans="1:1" x14ac:dyDescent="0.35">
      <c r="A1422" s="50"/>
    </row>
    <row r="1423" spans="1:1" x14ac:dyDescent="0.35">
      <c r="A1423" s="40"/>
    </row>
    <row r="1424" spans="1:1" x14ac:dyDescent="0.35">
      <c r="A1424" s="50"/>
    </row>
    <row r="1425" spans="1:1" x14ac:dyDescent="0.35">
      <c r="A1425" s="50"/>
    </row>
    <row r="1426" spans="1:1" x14ac:dyDescent="0.35">
      <c r="A1426" s="50"/>
    </row>
    <row r="1427" spans="1:1" x14ac:dyDescent="0.35">
      <c r="A1427" s="50"/>
    </row>
    <row r="1428" spans="1:1" x14ac:dyDescent="0.35">
      <c r="A1428" s="50"/>
    </row>
    <row r="1429" spans="1:1" x14ac:dyDescent="0.35">
      <c r="A1429" s="40"/>
    </row>
    <row r="1430" spans="1:1" x14ac:dyDescent="0.35">
      <c r="A1430" s="40"/>
    </row>
    <row r="1431" spans="1:1" x14ac:dyDescent="0.35">
      <c r="A1431" s="40"/>
    </row>
    <row r="1432" spans="1:1" x14ac:dyDescent="0.35">
      <c r="A1432" s="50"/>
    </row>
    <row r="1433" spans="1:1" x14ac:dyDescent="0.35">
      <c r="A1433" s="40"/>
    </row>
    <row r="1434" spans="1:1" x14ac:dyDescent="0.35">
      <c r="A1434" s="50"/>
    </row>
    <row r="1435" spans="1:1" x14ac:dyDescent="0.35">
      <c r="A1435" s="40"/>
    </row>
    <row r="1436" spans="1:1" x14ac:dyDescent="0.35">
      <c r="A1436" s="40"/>
    </row>
    <row r="1437" spans="1:1" x14ac:dyDescent="0.35">
      <c r="A1437" s="50"/>
    </row>
    <row r="1438" spans="1:1" x14ac:dyDescent="0.35">
      <c r="A1438" s="50"/>
    </row>
    <row r="1439" spans="1:1" x14ac:dyDescent="0.35">
      <c r="A1439" s="50"/>
    </row>
    <row r="1440" spans="1:1" x14ac:dyDescent="0.35">
      <c r="A1440" s="50"/>
    </row>
    <row r="1441" spans="1:1" x14ac:dyDescent="0.35">
      <c r="A1441" s="50"/>
    </row>
    <row r="1442" spans="1:1" x14ac:dyDescent="0.35">
      <c r="A1442" s="50"/>
    </row>
    <row r="1443" spans="1:1" x14ac:dyDescent="0.35">
      <c r="A1443" s="50"/>
    </row>
    <row r="1444" spans="1:1" x14ac:dyDescent="0.35">
      <c r="A1444" s="40"/>
    </row>
    <row r="1445" spans="1:1" x14ac:dyDescent="0.35">
      <c r="A1445" s="50"/>
    </row>
    <row r="1446" spans="1:1" x14ac:dyDescent="0.35">
      <c r="A1446" s="50"/>
    </row>
    <row r="1447" spans="1:1" x14ac:dyDescent="0.35">
      <c r="A1447" s="40"/>
    </row>
    <row r="1448" spans="1:1" x14ac:dyDescent="0.35">
      <c r="A1448" s="50"/>
    </row>
    <row r="1449" spans="1:1" x14ac:dyDescent="0.35">
      <c r="A1449" s="40"/>
    </row>
    <row r="1450" spans="1:1" x14ac:dyDescent="0.35">
      <c r="A1450" s="50"/>
    </row>
    <row r="1451" spans="1:1" x14ac:dyDescent="0.35">
      <c r="A1451" s="50"/>
    </row>
    <row r="1452" spans="1:1" x14ac:dyDescent="0.35">
      <c r="A1452" s="40"/>
    </row>
    <row r="1453" spans="1:1" x14ac:dyDescent="0.35">
      <c r="A1453" s="40"/>
    </row>
    <row r="1454" spans="1:1" x14ac:dyDescent="0.35">
      <c r="A1454" s="40"/>
    </row>
    <row r="1455" spans="1:1" x14ac:dyDescent="0.35">
      <c r="A1455" s="40"/>
    </row>
    <row r="1456" spans="1:1" x14ac:dyDescent="0.35">
      <c r="A1456" s="50"/>
    </row>
    <row r="1457" spans="1:1" x14ac:dyDescent="0.35">
      <c r="A1457" s="50"/>
    </row>
    <row r="1458" spans="1:1" x14ac:dyDescent="0.35">
      <c r="A1458" s="50"/>
    </row>
    <row r="1459" spans="1:1" x14ac:dyDescent="0.35">
      <c r="A1459" s="50"/>
    </row>
    <row r="1460" spans="1:1" x14ac:dyDescent="0.35">
      <c r="A1460" s="50"/>
    </row>
    <row r="1461" spans="1:1" x14ac:dyDescent="0.35">
      <c r="A1461" s="50"/>
    </row>
    <row r="1462" spans="1:1" x14ac:dyDescent="0.35">
      <c r="A1462" s="50"/>
    </row>
    <row r="1463" spans="1:1" x14ac:dyDescent="0.35">
      <c r="A1463" s="50"/>
    </row>
    <row r="1464" spans="1:1" x14ac:dyDescent="0.35">
      <c r="A1464" s="40"/>
    </row>
    <row r="1465" spans="1:1" x14ac:dyDescent="0.35">
      <c r="A1465" s="50"/>
    </row>
    <row r="1466" spans="1:1" x14ac:dyDescent="0.35">
      <c r="A1466" s="40"/>
    </row>
    <row r="1467" spans="1:1" x14ac:dyDescent="0.35">
      <c r="A1467" s="40"/>
    </row>
    <row r="1468" spans="1:1" x14ac:dyDescent="0.35">
      <c r="A1468" s="40"/>
    </row>
    <row r="1469" spans="1:1" x14ac:dyDescent="0.35">
      <c r="A1469" s="40"/>
    </row>
    <row r="1470" spans="1:1" x14ac:dyDescent="0.35">
      <c r="A1470" s="40"/>
    </row>
    <row r="1471" spans="1:1" x14ac:dyDescent="0.35">
      <c r="A1471" s="40"/>
    </row>
    <row r="1472" spans="1:1" x14ac:dyDescent="0.35">
      <c r="A1472" s="40"/>
    </row>
    <row r="1473" spans="1:1" x14ac:dyDescent="0.35">
      <c r="A1473" s="40"/>
    </row>
    <row r="1474" spans="1:1" x14ac:dyDescent="0.35">
      <c r="A1474" s="40"/>
    </row>
    <row r="1475" spans="1:1" x14ac:dyDescent="0.35">
      <c r="A1475" s="40"/>
    </row>
    <row r="1476" spans="1:1" x14ac:dyDescent="0.35">
      <c r="A1476" s="40"/>
    </row>
    <row r="1477" spans="1:1" x14ac:dyDescent="0.35">
      <c r="A1477" s="50"/>
    </row>
    <row r="1478" spans="1:1" x14ac:dyDescent="0.35">
      <c r="A1478" s="50"/>
    </row>
    <row r="1479" spans="1:1" x14ac:dyDescent="0.35">
      <c r="A1479" s="50"/>
    </row>
    <row r="1480" spans="1:1" x14ac:dyDescent="0.35">
      <c r="A1480" s="40"/>
    </row>
    <row r="1481" spans="1:1" x14ac:dyDescent="0.35">
      <c r="A1481" s="40"/>
    </row>
    <row r="1482" spans="1:1" x14ac:dyDescent="0.35">
      <c r="A1482" s="40"/>
    </row>
    <row r="1483" spans="1:1" x14ac:dyDescent="0.35">
      <c r="A1483" s="40"/>
    </row>
    <row r="1484" spans="1:1" x14ac:dyDescent="0.35">
      <c r="A1484" s="40"/>
    </row>
    <row r="1485" spans="1:1" x14ac:dyDescent="0.35">
      <c r="A1485" s="40"/>
    </row>
    <row r="1486" spans="1:1" x14ac:dyDescent="0.35">
      <c r="A1486" s="40"/>
    </row>
    <row r="1487" spans="1:1" x14ac:dyDescent="0.35">
      <c r="A1487" s="40"/>
    </row>
    <row r="1488" spans="1:1" x14ac:dyDescent="0.35">
      <c r="A1488" s="40"/>
    </row>
    <row r="1489" spans="1:1" x14ac:dyDescent="0.35">
      <c r="A1489" s="50"/>
    </row>
    <row r="1490" spans="1:1" x14ac:dyDescent="0.35">
      <c r="A1490" s="50"/>
    </row>
    <row r="1491" spans="1:1" x14ac:dyDescent="0.35">
      <c r="A1491" s="50"/>
    </row>
    <row r="1492" spans="1:1" x14ac:dyDescent="0.35">
      <c r="A1492" s="50"/>
    </row>
    <row r="1493" spans="1:1" x14ac:dyDescent="0.35">
      <c r="A1493" s="50"/>
    </row>
    <row r="1494" spans="1:1" x14ac:dyDescent="0.35">
      <c r="A1494" s="50"/>
    </row>
    <row r="1495" spans="1:1" x14ac:dyDescent="0.35">
      <c r="A1495" s="50"/>
    </row>
    <row r="1496" spans="1:1" x14ac:dyDescent="0.35">
      <c r="A1496" s="50"/>
    </row>
    <row r="1497" spans="1:1" x14ac:dyDescent="0.35">
      <c r="A1497" s="50"/>
    </row>
    <row r="1498" spans="1:1" x14ac:dyDescent="0.35">
      <c r="A1498" s="50"/>
    </row>
    <row r="1499" spans="1:1" x14ac:dyDescent="0.35">
      <c r="A1499" s="50"/>
    </row>
    <row r="1500" spans="1:1" x14ac:dyDescent="0.35">
      <c r="A1500" s="50"/>
    </row>
    <row r="1501" spans="1:1" x14ac:dyDescent="0.35">
      <c r="A1501" s="40"/>
    </row>
    <row r="1502" spans="1:1" x14ac:dyDescent="0.35">
      <c r="A1502" s="40"/>
    </row>
    <row r="1503" spans="1:1" x14ac:dyDescent="0.35">
      <c r="A1503" s="40"/>
    </row>
    <row r="1504" spans="1:1" x14ac:dyDescent="0.35">
      <c r="A1504" s="40"/>
    </row>
    <row r="1505" spans="1:1" x14ac:dyDescent="0.35">
      <c r="A1505" s="40"/>
    </row>
    <row r="1506" spans="1:1" x14ac:dyDescent="0.35">
      <c r="A1506" s="50"/>
    </row>
    <row r="1507" spans="1:1" x14ac:dyDescent="0.35">
      <c r="A1507" s="50"/>
    </row>
    <row r="1508" spans="1:1" x14ac:dyDescent="0.35">
      <c r="A1508" s="50"/>
    </row>
    <row r="1509" spans="1:1" x14ac:dyDescent="0.35">
      <c r="A1509" s="50"/>
    </row>
    <row r="1510" spans="1:1" x14ac:dyDescent="0.35">
      <c r="A1510" s="50"/>
    </row>
    <row r="1511" spans="1:1" x14ac:dyDescent="0.35">
      <c r="A1511" s="50"/>
    </row>
    <row r="1512" spans="1:1" x14ac:dyDescent="0.35">
      <c r="A1512" s="50"/>
    </row>
    <row r="1513" spans="1:1" x14ac:dyDescent="0.35">
      <c r="A1513" s="50"/>
    </row>
    <row r="1514" spans="1:1" x14ac:dyDescent="0.35">
      <c r="A1514" s="50"/>
    </row>
    <row r="1515" spans="1:1" x14ac:dyDescent="0.35">
      <c r="A1515" s="50"/>
    </row>
    <row r="1516" spans="1:1" x14ac:dyDescent="0.35">
      <c r="A1516" s="50"/>
    </row>
    <row r="1517" spans="1:1" x14ac:dyDescent="0.35">
      <c r="A1517" s="50"/>
    </row>
    <row r="1518" spans="1:1" x14ac:dyDescent="0.35">
      <c r="A1518" s="50"/>
    </row>
    <row r="1519" spans="1:1" x14ac:dyDescent="0.35">
      <c r="A1519" s="40"/>
    </row>
    <row r="1520" spans="1:1" x14ac:dyDescent="0.35">
      <c r="A1520" s="40"/>
    </row>
    <row r="1521" spans="1:1" x14ac:dyDescent="0.35">
      <c r="A1521" s="50"/>
    </row>
    <row r="1522" spans="1:1" x14ac:dyDescent="0.35">
      <c r="A1522" s="40"/>
    </row>
    <row r="1523" spans="1:1" x14ac:dyDescent="0.35">
      <c r="A1523" s="50"/>
    </row>
    <row r="1524" spans="1:1" x14ac:dyDescent="0.35">
      <c r="A1524" s="40"/>
    </row>
    <row r="1525" spans="1:1" x14ac:dyDescent="0.35">
      <c r="A1525" s="40"/>
    </row>
    <row r="1526" spans="1:1" x14ac:dyDescent="0.35">
      <c r="A1526" s="50"/>
    </row>
    <row r="1527" spans="1:1" x14ac:dyDescent="0.35">
      <c r="A1527" s="50"/>
    </row>
    <row r="1528" spans="1:1" x14ac:dyDescent="0.35">
      <c r="A1528" s="50"/>
    </row>
    <row r="1529" spans="1:1" x14ac:dyDescent="0.35">
      <c r="A1529" s="40"/>
    </row>
    <row r="1530" spans="1:1" x14ac:dyDescent="0.35">
      <c r="A1530" s="50"/>
    </row>
    <row r="1531" spans="1:1" x14ac:dyDescent="0.35">
      <c r="A1531" s="40"/>
    </row>
    <row r="1532" spans="1:1" x14ac:dyDescent="0.35">
      <c r="A1532" s="50"/>
    </row>
    <row r="1533" spans="1:1" x14ac:dyDescent="0.35">
      <c r="A1533" s="40"/>
    </row>
    <row r="1534" spans="1:1" x14ac:dyDescent="0.35">
      <c r="A1534" s="40"/>
    </row>
    <row r="1535" spans="1:1" x14ac:dyDescent="0.35">
      <c r="A1535" s="40"/>
    </row>
    <row r="1536" spans="1:1" x14ac:dyDescent="0.35">
      <c r="A1536" s="50"/>
    </row>
    <row r="1537" spans="1:1" x14ac:dyDescent="0.35">
      <c r="A1537" s="50"/>
    </row>
    <row r="1538" spans="1:1" x14ac:dyDescent="0.35">
      <c r="A1538" s="50"/>
    </row>
    <row r="1539" spans="1:1" x14ac:dyDescent="0.35">
      <c r="A1539" s="50"/>
    </row>
    <row r="1540" spans="1:1" x14ac:dyDescent="0.35">
      <c r="A1540" s="50"/>
    </row>
    <row r="1541" spans="1:1" x14ac:dyDescent="0.35">
      <c r="A1541" s="50"/>
    </row>
    <row r="1542" spans="1:1" x14ac:dyDescent="0.35">
      <c r="A1542" s="50"/>
    </row>
    <row r="1543" spans="1:1" x14ac:dyDescent="0.35">
      <c r="A1543" s="50"/>
    </row>
    <row r="1544" spans="1:1" x14ac:dyDescent="0.35">
      <c r="A1544" s="50"/>
    </row>
    <row r="1545" spans="1:1" x14ac:dyDescent="0.35">
      <c r="A1545" s="40"/>
    </row>
    <row r="1546" spans="1:1" x14ac:dyDescent="0.35">
      <c r="A1546" s="40"/>
    </row>
    <row r="1547" spans="1:1" x14ac:dyDescent="0.35">
      <c r="A1547" s="50"/>
    </row>
    <row r="1548" spans="1:1" x14ac:dyDescent="0.35">
      <c r="A1548" s="50"/>
    </row>
    <row r="1549" spans="1:1" x14ac:dyDescent="0.35">
      <c r="A1549" s="50"/>
    </row>
    <row r="1550" spans="1:1" x14ac:dyDescent="0.35">
      <c r="A1550" s="50"/>
    </row>
    <row r="1551" spans="1:1" x14ac:dyDescent="0.35">
      <c r="A1551" s="50"/>
    </row>
    <row r="1552" spans="1:1" x14ac:dyDescent="0.35">
      <c r="A1552" s="50"/>
    </row>
    <row r="1553" spans="1:1" x14ac:dyDescent="0.35">
      <c r="A1553" s="50"/>
    </row>
    <row r="1554" spans="1:1" x14ac:dyDescent="0.35">
      <c r="A1554" s="50"/>
    </row>
    <row r="1555" spans="1:1" x14ac:dyDescent="0.35">
      <c r="A1555" s="50"/>
    </row>
    <row r="1556" spans="1:1" x14ac:dyDescent="0.35">
      <c r="A1556" s="40"/>
    </row>
    <row r="1557" spans="1:1" x14ac:dyDescent="0.35">
      <c r="A1557" s="40"/>
    </row>
    <row r="1558" spans="1:1" x14ac:dyDescent="0.35">
      <c r="A1558" s="40"/>
    </row>
    <row r="1559" spans="1:1" x14ac:dyDescent="0.35">
      <c r="A1559" s="50"/>
    </row>
    <row r="1560" spans="1:1" x14ac:dyDescent="0.35">
      <c r="A1560" s="50"/>
    </row>
    <row r="1561" spans="1:1" x14ac:dyDescent="0.35">
      <c r="A1561" s="50"/>
    </row>
    <row r="1562" spans="1:1" x14ac:dyDescent="0.35">
      <c r="A1562" s="50"/>
    </row>
    <row r="1563" spans="1:1" x14ac:dyDescent="0.35">
      <c r="A1563" s="50"/>
    </row>
    <row r="1564" spans="1:1" x14ac:dyDescent="0.35">
      <c r="A1564" s="50"/>
    </row>
    <row r="1565" spans="1:1" x14ac:dyDescent="0.35">
      <c r="A1565" s="40"/>
    </row>
    <row r="1566" spans="1:1" x14ac:dyDescent="0.35">
      <c r="A1566" s="50"/>
    </row>
    <row r="1567" spans="1:1" x14ac:dyDescent="0.35">
      <c r="A1567" s="40"/>
    </row>
    <row r="1568" spans="1:1" x14ac:dyDescent="0.35">
      <c r="A1568" s="40"/>
    </row>
    <row r="1569" spans="1:1" x14ac:dyDescent="0.35">
      <c r="A1569" s="50"/>
    </row>
    <row r="1570" spans="1:1" x14ac:dyDescent="0.35">
      <c r="A1570" s="50"/>
    </row>
    <row r="1571" spans="1:1" x14ac:dyDescent="0.35">
      <c r="A1571" s="50"/>
    </row>
    <row r="1572" spans="1:1" x14ac:dyDescent="0.35">
      <c r="A1572" s="50"/>
    </row>
    <row r="1573" spans="1:1" x14ac:dyDescent="0.35">
      <c r="A1573" s="50"/>
    </row>
    <row r="1574" spans="1:1" x14ac:dyDescent="0.35">
      <c r="A1574" s="50"/>
    </row>
    <row r="1575" spans="1:1" x14ac:dyDescent="0.35">
      <c r="A1575" s="50"/>
    </row>
    <row r="1576" spans="1:1" x14ac:dyDescent="0.35">
      <c r="A1576" s="50"/>
    </row>
    <row r="1577" spans="1:1" x14ac:dyDescent="0.35">
      <c r="A1577" s="40"/>
    </row>
    <row r="1578" spans="1:1" x14ac:dyDescent="0.35">
      <c r="A1578" s="50"/>
    </row>
    <row r="1579" spans="1:1" x14ac:dyDescent="0.35">
      <c r="A1579" s="40"/>
    </row>
    <row r="1580" spans="1:1" x14ac:dyDescent="0.35">
      <c r="A1580" s="50"/>
    </row>
    <row r="1581" spans="1:1" x14ac:dyDescent="0.35">
      <c r="A1581" s="50"/>
    </row>
    <row r="1582" spans="1:1" x14ac:dyDescent="0.35">
      <c r="A1582" s="40"/>
    </row>
    <row r="1583" spans="1:1" x14ac:dyDescent="0.35">
      <c r="A1583" s="50"/>
    </row>
    <row r="1584" spans="1:1" x14ac:dyDescent="0.35">
      <c r="A1584" s="40"/>
    </row>
    <row r="1585" spans="1:1" x14ac:dyDescent="0.35">
      <c r="A1585" s="40"/>
    </row>
    <row r="1586" spans="1:1" x14ac:dyDescent="0.35">
      <c r="A1586" s="50"/>
    </row>
    <row r="1587" spans="1:1" x14ac:dyDescent="0.35">
      <c r="A1587" s="40"/>
    </row>
    <row r="1588" spans="1:1" x14ac:dyDescent="0.35">
      <c r="A1588" s="40"/>
    </row>
    <row r="1589" spans="1:1" x14ac:dyDescent="0.35">
      <c r="A1589" s="50"/>
    </row>
    <row r="1590" spans="1:1" x14ac:dyDescent="0.35">
      <c r="A1590" s="50"/>
    </row>
    <row r="1591" spans="1:1" x14ac:dyDescent="0.35">
      <c r="A1591" s="50"/>
    </row>
    <row r="1592" spans="1:1" x14ac:dyDescent="0.35">
      <c r="A1592" s="50"/>
    </row>
    <row r="1593" spans="1:1" x14ac:dyDescent="0.35">
      <c r="A1593" s="50"/>
    </row>
    <row r="1594" spans="1:1" x14ac:dyDescent="0.35">
      <c r="A1594" s="50"/>
    </row>
    <row r="1595" spans="1:1" x14ac:dyDescent="0.35">
      <c r="A1595" s="50"/>
    </row>
    <row r="1596" spans="1:1" x14ac:dyDescent="0.35">
      <c r="A1596" s="50"/>
    </row>
    <row r="1597" spans="1:1" x14ac:dyDescent="0.35">
      <c r="A1597" s="50"/>
    </row>
    <row r="1598" spans="1:1" x14ac:dyDescent="0.35">
      <c r="A1598" s="50"/>
    </row>
    <row r="1599" spans="1:1" x14ac:dyDescent="0.35">
      <c r="A1599" s="50"/>
    </row>
    <row r="1600" spans="1:1" x14ac:dyDescent="0.35">
      <c r="A1600" s="50"/>
    </row>
    <row r="1601" spans="1:1" x14ac:dyDescent="0.35">
      <c r="A1601" s="50"/>
    </row>
    <row r="1602" spans="1:1" x14ac:dyDescent="0.35">
      <c r="A1602" s="50"/>
    </row>
    <row r="1603" spans="1:1" x14ac:dyDescent="0.35">
      <c r="A1603" s="40"/>
    </row>
    <row r="1604" spans="1:1" x14ac:dyDescent="0.35">
      <c r="A1604" s="50"/>
    </row>
    <row r="1605" spans="1:1" x14ac:dyDescent="0.35">
      <c r="A1605" s="50"/>
    </row>
    <row r="1606" spans="1:1" x14ac:dyDescent="0.35">
      <c r="A1606" s="40"/>
    </row>
    <row r="1607" spans="1:1" x14ac:dyDescent="0.35">
      <c r="A1607" s="50"/>
    </row>
    <row r="1608" spans="1:1" x14ac:dyDescent="0.35">
      <c r="A1608" s="40"/>
    </row>
    <row r="1609" spans="1:1" x14ac:dyDescent="0.35">
      <c r="A1609" s="40"/>
    </row>
    <row r="1610" spans="1:1" x14ac:dyDescent="0.35">
      <c r="A1610" s="50"/>
    </row>
    <row r="1611" spans="1:1" x14ac:dyDescent="0.35">
      <c r="A1611" s="50"/>
    </row>
    <row r="1612" spans="1:1" x14ac:dyDescent="0.35">
      <c r="A1612" s="40"/>
    </row>
    <row r="1613" spans="1:1" x14ac:dyDescent="0.35">
      <c r="A1613" s="40"/>
    </row>
    <row r="1614" spans="1:1" x14ac:dyDescent="0.35">
      <c r="A1614" s="40"/>
    </row>
    <row r="1615" spans="1:1" x14ac:dyDescent="0.35">
      <c r="A1615" s="50"/>
    </row>
    <row r="1616" spans="1:1" x14ac:dyDescent="0.35">
      <c r="A1616" s="40"/>
    </row>
    <row r="1617" spans="1:1" x14ac:dyDescent="0.35">
      <c r="A1617" s="40"/>
    </row>
    <row r="1618" spans="1:1" x14ac:dyDescent="0.35">
      <c r="A1618" s="40"/>
    </row>
    <row r="1619" spans="1:1" x14ac:dyDescent="0.35">
      <c r="A1619" s="50"/>
    </row>
    <row r="1620" spans="1:1" x14ac:dyDescent="0.35">
      <c r="A1620" s="50"/>
    </row>
    <row r="1621" spans="1:1" x14ac:dyDescent="0.35">
      <c r="A1621" s="40"/>
    </row>
    <row r="1622" spans="1:1" x14ac:dyDescent="0.35">
      <c r="A1622" s="40"/>
    </row>
    <row r="1623" spans="1:1" x14ac:dyDescent="0.35">
      <c r="A1623" s="40"/>
    </row>
    <row r="1624" spans="1:1" x14ac:dyDescent="0.35">
      <c r="A1624" s="40"/>
    </row>
    <row r="1625" spans="1:1" x14ac:dyDescent="0.35">
      <c r="A1625" s="40"/>
    </row>
    <row r="1626" spans="1:1" x14ac:dyDescent="0.35">
      <c r="A1626" s="40"/>
    </row>
    <row r="1627" spans="1:1" x14ac:dyDescent="0.35">
      <c r="A1627" s="40"/>
    </row>
    <row r="1628" spans="1:1" x14ac:dyDescent="0.35">
      <c r="A1628" s="50"/>
    </row>
    <row r="1629" spans="1:1" x14ac:dyDescent="0.35">
      <c r="A1629" s="50"/>
    </row>
    <row r="1630" spans="1:1" x14ac:dyDescent="0.35">
      <c r="A1630" s="50"/>
    </row>
    <row r="1631" spans="1:1" x14ac:dyDescent="0.35">
      <c r="A1631" s="50"/>
    </row>
    <row r="1632" spans="1:1" x14ac:dyDescent="0.35">
      <c r="A1632" s="50"/>
    </row>
    <row r="1633" spans="1:1" x14ac:dyDescent="0.35">
      <c r="A1633" s="50"/>
    </row>
    <row r="1634" spans="1:1" x14ac:dyDescent="0.35">
      <c r="A1634" s="50"/>
    </row>
    <row r="1635" spans="1:1" x14ac:dyDescent="0.35">
      <c r="A1635" s="50"/>
    </row>
    <row r="1636" spans="1:1" x14ac:dyDescent="0.35">
      <c r="A1636" s="40"/>
    </row>
    <row r="1637" spans="1:1" x14ac:dyDescent="0.35">
      <c r="A1637" s="50"/>
    </row>
    <row r="1638" spans="1:1" x14ac:dyDescent="0.35">
      <c r="A1638" s="50"/>
    </row>
    <row r="1639" spans="1:1" x14ac:dyDescent="0.35">
      <c r="A1639" s="50"/>
    </row>
    <row r="1640" spans="1:1" x14ac:dyDescent="0.35">
      <c r="A1640" s="50"/>
    </row>
    <row r="1641" spans="1:1" x14ac:dyDescent="0.35">
      <c r="A1641" s="50"/>
    </row>
    <row r="1642" spans="1:1" x14ac:dyDescent="0.35">
      <c r="A1642" s="50"/>
    </row>
    <row r="1643" spans="1:1" x14ac:dyDescent="0.35">
      <c r="A1643" s="50"/>
    </row>
    <row r="1644" spans="1:1" x14ac:dyDescent="0.35">
      <c r="A1644" s="50"/>
    </row>
    <row r="1645" spans="1:1" x14ac:dyDescent="0.35">
      <c r="A1645" s="50"/>
    </row>
    <row r="1646" spans="1:1" x14ac:dyDescent="0.35">
      <c r="A1646" s="50"/>
    </row>
    <row r="1647" spans="1:1" x14ac:dyDescent="0.35">
      <c r="A1647" s="40"/>
    </row>
    <row r="1648" spans="1:1" x14ac:dyDescent="0.35">
      <c r="A1648" s="50"/>
    </row>
    <row r="1649" spans="1:1" x14ac:dyDescent="0.35">
      <c r="A1649" s="50"/>
    </row>
    <row r="1650" spans="1:1" x14ac:dyDescent="0.35">
      <c r="A1650" s="50"/>
    </row>
    <row r="1651" spans="1:1" x14ac:dyDescent="0.35">
      <c r="A1651" s="50"/>
    </row>
    <row r="1652" spans="1:1" x14ac:dyDescent="0.35">
      <c r="A1652" s="50"/>
    </row>
    <row r="1653" spans="1:1" x14ac:dyDescent="0.35">
      <c r="A1653" s="50"/>
    </row>
    <row r="1654" spans="1:1" x14ac:dyDescent="0.35">
      <c r="A1654" s="40"/>
    </row>
    <row r="1655" spans="1:1" x14ac:dyDescent="0.35">
      <c r="A1655" s="50"/>
    </row>
    <row r="1656" spans="1:1" x14ac:dyDescent="0.35">
      <c r="A1656" s="50"/>
    </row>
    <row r="1657" spans="1:1" x14ac:dyDescent="0.35">
      <c r="A1657" s="50"/>
    </row>
    <row r="1658" spans="1:1" x14ac:dyDescent="0.35">
      <c r="A1658" s="40"/>
    </row>
    <row r="1659" spans="1:1" x14ac:dyDescent="0.35">
      <c r="A1659" s="40"/>
    </row>
    <row r="1660" spans="1:1" x14ac:dyDescent="0.35">
      <c r="A1660" s="50"/>
    </row>
    <row r="1661" spans="1:1" x14ac:dyDescent="0.35">
      <c r="A1661" s="50"/>
    </row>
    <row r="1662" spans="1:1" x14ac:dyDescent="0.35">
      <c r="A1662" s="50"/>
    </row>
    <row r="1663" spans="1:1" x14ac:dyDescent="0.35">
      <c r="A1663" s="40"/>
    </row>
    <row r="1664" spans="1:1" x14ac:dyDescent="0.35">
      <c r="A1664" s="40"/>
    </row>
    <row r="1665" spans="1:1" x14ac:dyDescent="0.35">
      <c r="A1665" s="50"/>
    </row>
    <row r="1666" spans="1:1" x14ac:dyDescent="0.35">
      <c r="A1666" s="50"/>
    </row>
    <row r="1667" spans="1:1" x14ac:dyDescent="0.35">
      <c r="A1667" s="50"/>
    </row>
    <row r="1668" spans="1:1" x14ac:dyDescent="0.35">
      <c r="A1668" s="50"/>
    </row>
    <row r="1669" spans="1:1" x14ac:dyDescent="0.35">
      <c r="A1669" s="50"/>
    </row>
    <row r="1670" spans="1:1" x14ac:dyDescent="0.35">
      <c r="A1670" s="40"/>
    </row>
    <row r="1671" spans="1:1" x14ac:dyDescent="0.35">
      <c r="A1671" s="50"/>
    </row>
    <row r="1672" spans="1:1" x14ac:dyDescent="0.35">
      <c r="A1672" s="50"/>
    </row>
    <row r="1673" spans="1:1" x14ac:dyDescent="0.35">
      <c r="A1673" s="50"/>
    </row>
    <row r="1674" spans="1:1" x14ac:dyDescent="0.35">
      <c r="A1674" s="50"/>
    </row>
    <row r="1675" spans="1:1" x14ac:dyDescent="0.35">
      <c r="A1675" s="50"/>
    </row>
    <row r="1676" spans="1:1" x14ac:dyDescent="0.35">
      <c r="A1676" s="50"/>
    </row>
    <row r="1677" spans="1:1" x14ac:dyDescent="0.35">
      <c r="A1677" s="50"/>
    </row>
    <row r="1678" spans="1:1" x14ac:dyDescent="0.35">
      <c r="A1678" s="50"/>
    </row>
    <row r="1679" spans="1:1" x14ac:dyDescent="0.35">
      <c r="A1679" s="50"/>
    </row>
    <row r="1680" spans="1:1" x14ac:dyDescent="0.35">
      <c r="A1680" s="50"/>
    </row>
    <row r="1681" spans="1:1" x14ac:dyDescent="0.35">
      <c r="A1681" s="40"/>
    </row>
    <row r="1682" spans="1:1" x14ac:dyDescent="0.35">
      <c r="A1682" s="50"/>
    </row>
    <row r="1683" spans="1:1" x14ac:dyDescent="0.35">
      <c r="A1683" s="50"/>
    </row>
    <row r="1684" spans="1:1" x14ac:dyDescent="0.35">
      <c r="A1684" s="50"/>
    </row>
    <row r="1685" spans="1:1" x14ac:dyDescent="0.35">
      <c r="A1685" s="50"/>
    </row>
    <row r="1686" spans="1:1" x14ac:dyDescent="0.35">
      <c r="A1686" s="50"/>
    </row>
    <row r="1687" spans="1:1" x14ac:dyDescent="0.35">
      <c r="A1687" s="50"/>
    </row>
    <row r="1688" spans="1:1" x14ac:dyDescent="0.35">
      <c r="A1688" s="50"/>
    </row>
    <row r="1689" spans="1:1" x14ac:dyDescent="0.35">
      <c r="A1689" s="50"/>
    </row>
    <row r="1690" spans="1:1" x14ac:dyDescent="0.35">
      <c r="A1690" s="50"/>
    </row>
    <row r="1691" spans="1:1" x14ac:dyDescent="0.35">
      <c r="A1691" s="50"/>
    </row>
    <row r="1692" spans="1:1" x14ac:dyDescent="0.35">
      <c r="A1692" s="50"/>
    </row>
    <row r="1693" spans="1:1" x14ac:dyDescent="0.35">
      <c r="A1693" s="50"/>
    </row>
    <row r="1694" spans="1:1" x14ac:dyDescent="0.35">
      <c r="A1694" s="40"/>
    </row>
    <row r="1695" spans="1:1" x14ac:dyDescent="0.35">
      <c r="A1695" s="50"/>
    </row>
    <row r="1696" spans="1:1" x14ac:dyDescent="0.35">
      <c r="A1696" s="50"/>
    </row>
    <row r="1697" spans="1:1" x14ac:dyDescent="0.35">
      <c r="A1697" s="50"/>
    </row>
    <row r="1698" spans="1:1" x14ac:dyDescent="0.35">
      <c r="A1698" s="50"/>
    </row>
    <row r="1699" spans="1:1" x14ac:dyDescent="0.35">
      <c r="A1699" s="50"/>
    </row>
    <row r="1700" spans="1:1" x14ac:dyDescent="0.35">
      <c r="A1700" s="50"/>
    </row>
    <row r="1701" spans="1:1" x14ac:dyDescent="0.35">
      <c r="A1701" s="50"/>
    </row>
    <row r="1702" spans="1:1" x14ac:dyDescent="0.35">
      <c r="A1702" s="50"/>
    </row>
    <row r="1703" spans="1:1" x14ac:dyDescent="0.35">
      <c r="A1703" s="50"/>
    </row>
    <row r="1704" spans="1:1" x14ac:dyDescent="0.35">
      <c r="A1704" s="50"/>
    </row>
    <row r="1705" spans="1:1" x14ac:dyDescent="0.35">
      <c r="A1705" s="50"/>
    </row>
    <row r="1706" spans="1:1" x14ac:dyDescent="0.35">
      <c r="A1706" s="50"/>
    </row>
    <row r="1707" spans="1:1" x14ac:dyDescent="0.35">
      <c r="A1707" s="50"/>
    </row>
    <row r="1708" spans="1:1" x14ac:dyDescent="0.35">
      <c r="A1708" s="50"/>
    </row>
    <row r="1709" spans="1:1" x14ac:dyDescent="0.35">
      <c r="A1709" s="50"/>
    </row>
    <row r="1710" spans="1:1" x14ac:dyDescent="0.35">
      <c r="A1710" s="50"/>
    </row>
    <row r="1711" spans="1:1" x14ac:dyDescent="0.35">
      <c r="A1711" s="50"/>
    </row>
    <row r="1712" spans="1:1" x14ac:dyDescent="0.35">
      <c r="A1712" s="50"/>
    </row>
    <row r="1713" spans="1:1" x14ac:dyDescent="0.35">
      <c r="A1713" s="50"/>
    </row>
    <row r="1714" spans="1:1" x14ac:dyDescent="0.35">
      <c r="A1714" s="50"/>
    </row>
    <row r="1715" spans="1:1" x14ac:dyDescent="0.35">
      <c r="A1715" s="50"/>
    </row>
    <row r="1716" spans="1:1" x14ac:dyDescent="0.35">
      <c r="A1716" s="50"/>
    </row>
    <row r="1717" spans="1:1" x14ac:dyDescent="0.35">
      <c r="A1717" s="50"/>
    </row>
    <row r="1718" spans="1:1" x14ac:dyDescent="0.35">
      <c r="A1718" s="40"/>
    </row>
    <row r="1719" spans="1:1" x14ac:dyDescent="0.35">
      <c r="A1719" s="50"/>
    </row>
    <row r="1720" spans="1:1" x14ac:dyDescent="0.35">
      <c r="A1720" s="50"/>
    </row>
    <row r="1721" spans="1:1" x14ac:dyDescent="0.35">
      <c r="A1721" s="50"/>
    </row>
    <row r="1722" spans="1:1" x14ac:dyDescent="0.35">
      <c r="A1722" s="50"/>
    </row>
    <row r="1723" spans="1:1" x14ac:dyDescent="0.35">
      <c r="A1723" s="40"/>
    </row>
    <row r="1724" spans="1:1" x14ac:dyDescent="0.35">
      <c r="A1724" s="40"/>
    </row>
    <row r="1725" spans="1:1" x14ac:dyDescent="0.35">
      <c r="A1725" s="50"/>
    </row>
    <row r="1726" spans="1:1" x14ac:dyDescent="0.35">
      <c r="A1726" s="50"/>
    </row>
    <row r="1727" spans="1:1" x14ac:dyDescent="0.35">
      <c r="A1727" s="40"/>
    </row>
    <row r="1728" spans="1:1" x14ac:dyDescent="0.35">
      <c r="A1728" s="50"/>
    </row>
    <row r="1729" spans="1:1" x14ac:dyDescent="0.35">
      <c r="A1729" s="40"/>
    </row>
    <row r="1730" spans="1:1" x14ac:dyDescent="0.35">
      <c r="A1730" s="50"/>
    </row>
    <row r="1731" spans="1:1" x14ac:dyDescent="0.35">
      <c r="A1731" s="50"/>
    </row>
    <row r="1732" spans="1:1" x14ac:dyDescent="0.35">
      <c r="A1732" s="50"/>
    </row>
    <row r="1733" spans="1:1" x14ac:dyDescent="0.35">
      <c r="A1733" s="40"/>
    </row>
    <row r="1734" spans="1:1" x14ac:dyDescent="0.35">
      <c r="A1734" s="40"/>
    </row>
    <row r="1735" spans="1:1" x14ac:dyDescent="0.35">
      <c r="A1735" s="40"/>
    </row>
    <row r="1736" spans="1:1" x14ac:dyDescent="0.35">
      <c r="A1736" s="40"/>
    </row>
    <row r="1737" spans="1:1" x14ac:dyDescent="0.35">
      <c r="A1737" s="40"/>
    </row>
    <row r="1738" spans="1:1" x14ac:dyDescent="0.35">
      <c r="A1738" s="40"/>
    </row>
    <row r="1739" spans="1:1" x14ac:dyDescent="0.35">
      <c r="A1739" s="40"/>
    </row>
    <row r="1740" spans="1:1" x14ac:dyDescent="0.35">
      <c r="A1740" s="40"/>
    </row>
    <row r="1741" spans="1:1" x14ac:dyDescent="0.35">
      <c r="A1741" s="40"/>
    </row>
    <row r="1742" spans="1:1" x14ac:dyDescent="0.35">
      <c r="A1742" s="40"/>
    </row>
    <row r="1743" spans="1:1" x14ac:dyDescent="0.35">
      <c r="A1743" s="50"/>
    </row>
    <row r="1744" spans="1:1" x14ac:dyDescent="0.35">
      <c r="A1744" s="50"/>
    </row>
    <row r="1745" spans="1:1" x14ac:dyDescent="0.35">
      <c r="A1745" s="40"/>
    </row>
    <row r="1746" spans="1:1" x14ac:dyDescent="0.35">
      <c r="A1746" s="50"/>
    </row>
    <row r="1747" spans="1:1" x14ac:dyDescent="0.35">
      <c r="A1747" s="40"/>
    </row>
    <row r="1748" spans="1:1" x14ac:dyDescent="0.35">
      <c r="A1748" s="40"/>
    </row>
    <row r="1749" spans="1:1" x14ac:dyDescent="0.35">
      <c r="A1749" s="40"/>
    </row>
    <row r="1750" spans="1:1" x14ac:dyDescent="0.35">
      <c r="A1750" s="40"/>
    </row>
    <row r="1751" spans="1:1" x14ac:dyDescent="0.35">
      <c r="A1751" s="40"/>
    </row>
    <row r="1752" spans="1:1" x14ac:dyDescent="0.35">
      <c r="A1752" s="40"/>
    </row>
    <row r="1753" spans="1:1" x14ac:dyDescent="0.35">
      <c r="A1753" s="40"/>
    </row>
    <row r="1754" spans="1:1" x14ac:dyDescent="0.35">
      <c r="A1754" s="40"/>
    </row>
    <row r="1755" spans="1:1" x14ac:dyDescent="0.35">
      <c r="A1755" s="40"/>
    </row>
    <row r="1756" spans="1:1" x14ac:dyDescent="0.35">
      <c r="A1756" s="40"/>
    </row>
    <row r="1757" spans="1:1" x14ac:dyDescent="0.35">
      <c r="A1757" s="50"/>
    </row>
    <row r="1758" spans="1:1" x14ac:dyDescent="0.35">
      <c r="A1758" s="50"/>
    </row>
    <row r="1759" spans="1:1" x14ac:dyDescent="0.35">
      <c r="A1759" s="50"/>
    </row>
    <row r="1760" spans="1:1" x14ac:dyDescent="0.35">
      <c r="A1760" s="50"/>
    </row>
    <row r="1761" spans="1:1" x14ac:dyDescent="0.35">
      <c r="A1761" s="50"/>
    </row>
    <row r="1762" spans="1:1" x14ac:dyDescent="0.35">
      <c r="A1762" s="50"/>
    </row>
    <row r="1763" spans="1:1" x14ac:dyDescent="0.35">
      <c r="A1763" s="50"/>
    </row>
    <row r="1764" spans="1:1" x14ac:dyDescent="0.35">
      <c r="A1764" s="50"/>
    </row>
    <row r="1765" spans="1:1" x14ac:dyDescent="0.35">
      <c r="A1765" s="50"/>
    </row>
    <row r="1766" spans="1:1" x14ac:dyDescent="0.35">
      <c r="A1766" s="50"/>
    </row>
    <row r="1767" spans="1:1" x14ac:dyDescent="0.35">
      <c r="A1767" s="50"/>
    </row>
    <row r="1768" spans="1:1" x14ac:dyDescent="0.35">
      <c r="A1768" s="50"/>
    </row>
    <row r="1769" spans="1:1" x14ac:dyDescent="0.35">
      <c r="A1769" s="50"/>
    </row>
    <row r="1770" spans="1:1" x14ac:dyDescent="0.35">
      <c r="A1770" s="50"/>
    </row>
    <row r="1771" spans="1:1" x14ac:dyDescent="0.35">
      <c r="A1771" s="50"/>
    </row>
    <row r="1772" spans="1:1" x14ac:dyDescent="0.35">
      <c r="A1772" s="50"/>
    </row>
    <row r="1773" spans="1:1" x14ac:dyDescent="0.35">
      <c r="A1773" s="50"/>
    </row>
    <row r="1774" spans="1:1" x14ac:dyDescent="0.35">
      <c r="A1774" s="50"/>
    </row>
    <row r="1775" spans="1:1" x14ac:dyDescent="0.35">
      <c r="A1775" s="40"/>
    </row>
    <row r="1776" spans="1:1" x14ac:dyDescent="0.35">
      <c r="A1776" s="40"/>
    </row>
    <row r="1777" spans="1:1" x14ac:dyDescent="0.35">
      <c r="A1777" s="40"/>
    </row>
    <row r="1778" spans="1:1" x14ac:dyDescent="0.35">
      <c r="A1778" s="40"/>
    </row>
    <row r="1779" spans="1:1" x14ac:dyDescent="0.35">
      <c r="A1779" s="40"/>
    </row>
    <row r="1780" spans="1:1" x14ac:dyDescent="0.35">
      <c r="A1780" s="50"/>
    </row>
    <row r="1781" spans="1:1" x14ac:dyDescent="0.35">
      <c r="A1781" s="40"/>
    </row>
    <row r="1782" spans="1:1" x14ac:dyDescent="0.35">
      <c r="A1782" s="50"/>
    </row>
    <row r="1783" spans="1:1" x14ac:dyDescent="0.35">
      <c r="A1783" s="50"/>
    </row>
    <row r="1784" spans="1:1" x14ac:dyDescent="0.35">
      <c r="A1784" s="40"/>
    </row>
    <row r="1785" spans="1:1" x14ac:dyDescent="0.35">
      <c r="A1785" s="40"/>
    </row>
    <row r="1786" spans="1:1" x14ac:dyDescent="0.35">
      <c r="A1786" s="40"/>
    </row>
    <row r="1787" spans="1:1" x14ac:dyDescent="0.35">
      <c r="A1787" s="40"/>
    </row>
    <row r="1788" spans="1:1" x14ac:dyDescent="0.35">
      <c r="A1788" s="50"/>
    </row>
    <row r="1789" spans="1:1" x14ac:dyDescent="0.35">
      <c r="A1789" s="50"/>
    </row>
    <row r="1790" spans="1:1" x14ac:dyDescent="0.35">
      <c r="A1790" s="50"/>
    </row>
    <row r="1791" spans="1:1" x14ac:dyDescent="0.35">
      <c r="A1791" s="50"/>
    </row>
    <row r="1792" spans="1:1" x14ac:dyDescent="0.35">
      <c r="A1792" s="40"/>
    </row>
    <row r="1793" spans="1:1" x14ac:dyDescent="0.35">
      <c r="A1793" s="50"/>
    </row>
    <row r="1794" spans="1:1" x14ac:dyDescent="0.35">
      <c r="A1794" s="50"/>
    </row>
    <row r="1795" spans="1:1" x14ac:dyDescent="0.35">
      <c r="A1795" s="40"/>
    </row>
    <row r="1796" spans="1:1" x14ac:dyDescent="0.35">
      <c r="A1796" s="50"/>
    </row>
    <row r="1797" spans="1:1" x14ac:dyDescent="0.35">
      <c r="A1797" s="40"/>
    </row>
    <row r="1798" spans="1:1" x14ac:dyDescent="0.35">
      <c r="A1798" s="50"/>
    </row>
    <row r="1799" spans="1:1" x14ac:dyDescent="0.35">
      <c r="A1799" s="50"/>
    </row>
    <row r="1800" spans="1:1" x14ac:dyDescent="0.35">
      <c r="A1800" s="40"/>
    </row>
    <row r="1801" spans="1:1" x14ac:dyDescent="0.35">
      <c r="A1801" s="50"/>
    </row>
    <row r="1802" spans="1:1" x14ac:dyDescent="0.35">
      <c r="A1802" s="50"/>
    </row>
    <row r="1803" spans="1:1" x14ac:dyDescent="0.35">
      <c r="A1803" s="50"/>
    </row>
    <row r="1804" spans="1:1" x14ac:dyDescent="0.35">
      <c r="A1804" s="50"/>
    </row>
    <row r="1805" spans="1:1" x14ac:dyDescent="0.35">
      <c r="A1805" s="50"/>
    </row>
    <row r="1806" spans="1:1" x14ac:dyDescent="0.35">
      <c r="A1806" s="40"/>
    </row>
    <row r="1807" spans="1:1" x14ac:dyDescent="0.35">
      <c r="A1807" s="50"/>
    </row>
    <row r="1808" spans="1:1" x14ac:dyDescent="0.35">
      <c r="A1808" s="50"/>
    </row>
    <row r="1809" spans="1:1" x14ac:dyDescent="0.35">
      <c r="A1809" s="50"/>
    </row>
    <row r="1810" spans="1:1" x14ac:dyDescent="0.35">
      <c r="A1810" s="50"/>
    </row>
    <row r="1811" spans="1:1" x14ac:dyDescent="0.35">
      <c r="A1811" s="50"/>
    </row>
    <row r="1812" spans="1:1" x14ac:dyDescent="0.35">
      <c r="A1812" s="50"/>
    </row>
    <row r="1813" spans="1:1" x14ac:dyDescent="0.35">
      <c r="A1813" s="50"/>
    </row>
    <row r="1814" spans="1:1" x14ac:dyDescent="0.35">
      <c r="A1814" s="50"/>
    </row>
    <row r="1815" spans="1:1" x14ac:dyDescent="0.35">
      <c r="A1815" s="50"/>
    </row>
    <row r="1816" spans="1:1" x14ac:dyDescent="0.35">
      <c r="A1816" s="50"/>
    </row>
    <row r="1817" spans="1:1" x14ac:dyDescent="0.35">
      <c r="A1817" s="50"/>
    </row>
    <row r="1818" spans="1:1" x14ac:dyDescent="0.35">
      <c r="A1818" s="40"/>
    </row>
    <row r="1819" spans="1:1" x14ac:dyDescent="0.35">
      <c r="A1819" s="50"/>
    </row>
    <row r="1820" spans="1:1" x14ac:dyDescent="0.35">
      <c r="A1820" s="50"/>
    </row>
    <row r="1821" spans="1:1" x14ac:dyDescent="0.35">
      <c r="A1821" s="50"/>
    </row>
    <row r="1822" spans="1:1" x14ac:dyDescent="0.35">
      <c r="A1822" s="50"/>
    </row>
    <row r="1823" spans="1:1" x14ac:dyDescent="0.35">
      <c r="A1823" s="40"/>
    </row>
    <row r="1824" spans="1:1" x14ac:dyDescent="0.35">
      <c r="A1824" s="50"/>
    </row>
    <row r="1825" spans="1:1" x14ac:dyDescent="0.35">
      <c r="A1825" s="50"/>
    </row>
    <row r="1826" spans="1:1" x14ac:dyDescent="0.35">
      <c r="A1826" s="50"/>
    </row>
    <row r="1827" spans="1:1" x14ac:dyDescent="0.35">
      <c r="A1827" s="50"/>
    </row>
    <row r="1828" spans="1:1" x14ac:dyDescent="0.35">
      <c r="A1828" s="50"/>
    </row>
    <row r="1829" spans="1:1" x14ac:dyDescent="0.35">
      <c r="A1829" s="40"/>
    </row>
    <row r="1830" spans="1:1" x14ac:dyDescent="0.35">
      <c r="A1830" s="50"/>
    </row>
    <row r="1831" spans="1:1" x14ac:dyDescent="0.35">
      <c r="A1831" s="50"/>
    </row>
    <row r="1832" spans="1:1" x14ac:dyDescent="0.35">
      <c r="A1832" s="50"/>
    </row>
    <row r="1833" spans="1:1" x14ac:dyDescent="0.35">
      <c r="A1833" s="40"/>
    </row>
    <row r="1834" spans="1:1" x14ac:dyDescent="0.35">
      <c r="A1834" s="50"/>
    </row>
    <row r="1835" spans="1:1" x14ac:dyDescent="0.35">
      <c r="A1835" s="50"/>
    </row>
    <row r="1836" spans="1:1" x14ac:dyDescent="0.35">
      <c r="A1836" s="50"/>
    </row>
    <row r="1837" spans="1:1" x14ac:dyDescent="0.35">
      <c r="A1837" s="50"/>
    </row>
    <row r="1838" spans="1:1" x14ac:dyDescent="0.35">
      <c r="A1838" s="50"/>
    </row>
    <row r="1839" spans="1:1" x14ac:dyDescent="0.35">
      <c r="A1839" s="40"/>
    </row>
    <row r="1840" spans="1:1" x14ac:dyDescent="0.35">
      <c r="A1840" s="50"/>
    </row>
    <row r="1841" spans="1:1" x14ac:dyDescent="0.35">
      <c r="A1841" s="40"/>
    </row>
    <row r="1842" spans="1:1" x14ac:dyDescent="0.35">
      <c r="A1842" s="50"/>
    </row>
    <row r="1843" spans="1:1" x14ac:dyDescent="0.35">
      <c r="A1843" s="40"/>
    </row>
    <row r="1844" spans="1:1" x14ac:dyDescent="0.35">
      <c r="A1844" s="50"/>
    </row>
    <row r="1845" spans="1:1" x14ac:dyDescent="0.35">
      <c r="A1845" s="40"/>
    </row>
    <row r="1846" spans="1:1" x14ac:dyDescent="0.35">
      <c r="A1846" s="40"/>
    </row>
    <row r="1847" spans="1:1" x14ac:dyDescent="0.35">
      <c r="A1847" s="40"/>
    </row>
    <row r="1848" spans="1:1" x14ac:dyDescent="0.35">
      <c r="A1848" s="50"/>
    </row>
    <row r="1849" spans="1:1" x14ac:dyDescent="0.35">
      <c r="A1849" s="50"/>
    </row>
    <row r="1850" spans="1:1" x14ac:dyDescent="0.35">
      <c r="A1850" s="50"/>
    </row>
    <row r="1851" spans="1:1" x14ac:dyDescent="0.35">
      <c r="A1851" s="50"/>
    </row>
    <row r="1852" spans="1:1" x14ac:dyDescent="0.35">
      <c r="A1852" s="50"/>
    </row>
    <row r="1853" spans="1:1" x14ac:dyDescent="0.35">
      <c r="A1853" s="50"/>
    </row>
    <row r="1854" spans="1:1" x14ac:dyDescent="0.35">
      <c r="A1854" s="50"/>
    </row>
    <row r="1855" spans="1:1" x14ac:dyDescent="0.35">
      <c r="A1855" s="50"/>
    </row>
    <row r="1856" spans="1:1" x14ac:dyDescent="0.35">
      <c r="A1856" s="50"/>
    </row>
    <row r="1857" spans="1:1" x14ac:dyDescent="0.35">
      <c r="A1857" s="50"/>
    </row>
    <row r="1858" spans="1:1" x14ac:dyDescent="0.35">
      <c r="A1858" s="50"/>
    </row>
    <row r="1859" spans="1:1" x14ac:dyDescent="0.35">
      <c r="A1859" s="50"/>
    </row>
    <row r="1860" spans="1:1" x14ac:dyDescent="0.35">
      <c r="A1860" s="50"/>
    </row>
    <row r="1861" spans="1:1" x14ac:dyDescent="0.35">
      <c r="A1861" s="50"/>
    </row>
    <row r="1862" spans="1:1" x14ac:dyDescent="0.35">
      <c r="A1862" s="50"/>
    </row>
    <row r="1863" spans="1:1" x14ac:dyDescent="0.35">
      <c r="A1863" s="50"/>
    </row>
    <row r="1864" spans="1:1" x14ac:dyDescent="0.35">
      <c r="A1864" s="50"/>
    </row>
    <row r="1865" spans="1:1" x14ac:dyDescent="0.35">
      <c r="A1865" s="50"/>
    </row>
    <row r="1866" spans="1:1" x14ac:dyDescent="0.35">
      <c r="A1866" s="50"/>
    </row>
    <row r="1867" spans="1:1" x14ac:dyDescent="0.35">
      <c r="A1867" s="50"/>
    </row>
    <row r="1868" spans="1:1" x14ac:dyDescent="0.35">
      <c r="A1868" s="50"/>
    </row>
    <row r="1869" spans="1:1" x14ac:dyDescent="0.35">
      <c r="A1869" s="50"/>
    </row>
    <row r="1870" spans="1:1" x14ac:dyDescent="0.35">
      <c r="A1870" s="50"/>
    </row>
    <row r="1871" spans="1:1" x14ac:dyDescent="0.35">
      <c r="A1871" s="50"/>
    </row>
    <row r="1872" spans="1:1" x14ac:dyDescent="0.35">
      <c r="A1872" s="50"/>
    </row>
    <row r="1873" spans="1:1" x14ac:dyDescent="0.35">
      <c r="A1873" s="40"/>
    </row>
    <row r="1874" spans="1:1" x14ac:dyDescent="0.35">
      <c r="A1874" s="50"/>
    </row>
    <row r="1875" spans="1:1" x14ac:dyDescent="0.35">
      <c r="A1875" s="50"/>
    </row>
    <row r="1876" spans="1:1" x14ac:dyDescent="0.35">
      <c r="A1876" s="50"/>
    </row>
    <row r="1877" spans="1:1" x14ac:dyDescent="0.35">
      <c r="A1877" s="50"/>
    </row>
    <row r="1878" spans="1:1" x14ac:dyDescent="0.35">
      <c r="A1878" s="50"/>
    </row>
    <row r="1879" spans="1:1" x14ac:dyDescent="0.35">
      <c r="A1879" s="50"/>
    </row>
    <row r="1880" spans="1:1" x14ac:dyDescent="0.35">
      <c r="A1880" s="50"/>
    </row>
    <row r="1881" spans="1:1" x14ac:dyDescent="0.35">
      <c r="A1881" s="40"/>
    </row>
    <row r="1882" spans="1:1" x14ac:dyDescent="0.35">
      <c r="A1882" s="50"/>
    </row>
    <row r="1883" spans="1:1" x14ac:dyDescent="0.35">
      <c r="A1883" s="50"/>
    </row>
    <row r="1884" spans="1:1" x14ac:dyDescent="0.35">
      <c r="A1884" s="50"/>
    </row>
    <row r="1885" spans="1:1" x14ac:dyDescent="0.35">
      <c r="A1885" s="50"/>
    </row>
    <row r="1886" spans="1:1" x14ac:dyDescent="0.35">
      <c r="A1886" s="50"/>
    </row>
    <row r="1887" spans="1:1" x14ac:dyDescent="0.35">
      <c r="A1887" s="50"/>
    </row>
    <row r="1888" spans="1:1" x14ac:dyDescent="0.35">
      <c r="A1888" s="50"/>
    </row>
    <row r="1889" spans="1:1" x14ac:dyDescent="0.35">
      <c r="A1889" s="50"/>
    </row>
    <row r="1890" spans="1:1" x14ac:dyDescent="0.35">
      <c r="A1890" s="50"/>
    </row>
    <row r="1891" spans="1:1" x14ac:dyDescent="0.35">
      <c r="A1891" s="50"/>
    </row>
    <row r="1892" spans="1:1" x14ac:dyDescent="0.35">
      <c r="A1892" s="50"/>
    </row>
    <row r="1893" spans="1:1" x14ac:dyDescent="0.35">
      <c r="A1893" s="50"/>
    </row>
    <row r="1894" spans="1:1" x14ac:dyDescent="0.35">
      <c r="A1894" s="50"/>
    </row>
    <row r="1895" spans="1:1" x14ac:dyDescent="0.35">
      <c r="A1895" s="50"/>
    </row>
    <row r="1896" spans="1:1" x14ac:dyDescent="0.35">
      <c r="A1896" s="50"/>
    </row>
    <row r="1897" spans="1:1" x14ac:dyDescent="0.35">
      <c r="A1897" s="50"/>
    </row>
    <row r="1898" spans="1:1" x14ac:dyDescent="0.35">
      <c r="A1898" s="50"/>
    </row>
    <row r="1899" spans="1:1" x14ac:dyDescent="0.35">
      <c r="A1899" s="40"/>
    </row>
    <row r="1900" spans="1:1" x14ac:dyDescent="0.35">
      <c r="A1900" s="40"/>
    </row>
    <row r="1901" spans="1:1" x14ac:dyDescent="0.35">
      <c r="A1901" s="40"/>
    </row>
    <row r="1902" spans="1:1" x14ac:dyDescent="0.35">
      <c r="A1902" s="40"/>
    </row>
    <row r="1903" spans="1:1" x14ac:dyDescent="0.35">
      <c r="A1903" s="40"/>
    </row>
    <row r="1904" spans="1:1" x14ac:dyDescent="0.35">
      <c r="A1904" s="40"/>
    </row>
    <row r="1905" spans="1:1" x14ac:dyDescent="0.35">
      <c r="A1905" s="50"/>
    </row>
    <row r="1906" spans="1:1" x14ac:dyDescent="0.35">
      <c r="A1906" s="50"/>
    </row>
    <row r="1907" spans="1:1" x14ac:dyDescent="0.35">
      <c r="A1907" s="40"/>
    </row>
    <row r="1908" spans="1:1" x14ac:dyDescent="0.35">
      <c r="A1908" s="50"/>
    </row>
    <row r="1909" spans="1:1" x14ac:dyDescent="0.35">
      <c r="A1909" s="40"/>
    </row>
    <row r="1910" spans="1:1" x14ac:dyDescent="0.35">
      <c r="A1910" s="40"/>
    </row>
    <row r="1911" spans="1:1" x14ac:dyDescent="0.35">
      <c r="A1911" s="40"/>
    </row>
    <row r="1912" spans="1:1" x14ac:dyDescent="0.35">
      <c r="A1912" s="40"/>
    </row>
    <row r="1913" spans="1:1" x14ac:dyDescent="0.35">
      <c r="A1913" s="40"/>
    </row>
    <row r="1914" spans="1:1" x14ac:dyDescent="0.35">
      <c r="A1914" s="40"/>
    </row>
    <row r="1915" spans="1:1" x14ac:dyDescent="0.35">
      <c r="A1915" s="40"/>
    </row>
    <row r="1916" spans="1:1" x14ac:dyDescent="0.35">
      <c r="A1916" s="50"/>
    </row>
    <row r="1917" spans="1:1" x14ac:dyDescent="0.35">
      <c r="A1917" s="50"/>
    </row>
    <row r="1918" spans="1:1" x14ac:dyDescent="0.35">
      <c r="A1918" s="50"/>
    </row>
    <row r="1919" spans="1:1" x14ac:dyDescent="0.35">
      <c r="A1919" s="50"/>
    </row>
    <row r="1920" spans="1:1" x14ac:dyDescent="0.35">
      <c r="A1920" s="50"/>
    </row>
    <row r="1921" spans="1:1" x14ac:dyDescent="0.35">
      <c r="A1921" s="50"/>
    </row>
    <row r="1922" spans="1:1" x14ac:dyDescent="0.35">
      <c r="A1922" s="50"/>
    </row>
    <row r="1923" spans="1:1" x14ac:dyDescent="0.35">
      <c r="A1923" s="50"/>
    </row>
    <row r="1924" spans="1:1" x14ac:dyDescent="0.35">
      <c r="A1924" s="50"/>
    </row>
    <row r="1925" spans="1:1" x14ac:dyDescent="0.35">
      <c r="A1925" s="50"/>
    </row>
    <row r="1926" spans="1:1" x14ac:dyDescent="0.35">
      <c r="A1926" s="40"/>
    </row>
    <row r="1927" spans="1:1" x14ac:dyDescent="0.35">
      <c r="A1927" s="50"/>
    </row>
    <row r="1928" spans="1:1" x14ac:dyDescent="0.35">
      <c r="A1928" s="50"/>
    </row>
    <row r="1929" spans="1:1" x14ac:dyDescent="0.35">
      <c r="A1929" s="50"/>
    </row>
    <row r="1930" spans="1:1" x14ac:dyDescent="0.35">
      <c r="A1930" s="50"/>
    </row>
    <row r="1931" spans="1:1" x14ac:dyDescent="0.35">
      <c r="A1931" s="50"/>
    </row>
    <row r="1932" spans="1:1" x14ac:dyDescent="0.35">
      <c r="A1932" s="50"/>
    </row>
    <row r="1933" spans="1:1" x14ac:dyDescent="0.35">
      <c r="A1933" s="40"/>
    </row>
    <row r="1934" spans="1:1" x14ac:dyDescent="0.35">
      <c r="A1934" s="50"/>
    </row>
    <row r="1935" spans="1:1" x14ac:dyDescent="0.35">
      <c r="A1935" s="50"/>
    </row>
    <row r="1936" spans="1:1" x14ac:dyDescent="0.35">
      <c r="A1936" s="50"/>
    </row>
    <row r="1937" spans="1:1" x14ac:dyDescent="0.35">
      <c r="A1937" s="50"/>
    </row>
    <row r="1938" spans="1:1" x14ac:dyDescent="0.35">
      <c r="A1938" s="50"/>
    </row>
    <row r="1939" spans="1:1" x14ac:dyDescent="0.35">
      <c r="A1939" s="50"/>
    </row>
    <row r="1940" spans="1:1" x14ac:dyDescent="0.35">
      <c r="A1940" s="50"/>
    </row>
    <row r="1941" spans="1:1" x14ac:dyDescent="0.35">
      <c r="A1941" s="50"/>
    </row>
    <row r="1942" spans="1:1" x14ac:dyDescent="0.35">
      <c r="A1942" s="50"/>
    </row>
    <row r="1943" spans="1:1" x14ac:dyDescent="0.35">
      <c r="A1943" s="50"/>
    </row>
    <row r="1944" spans="1:1" x14ac:dyDescent="0.35">
      <c r="A1944" s="50"/>
    </row>
    <row r="1945" spans="1:1" x14ac:dyDescent="0.35">
      <c r="A1945" s="50"/>
    </row>
    <row r="1946" spans="1:1" x14ac:dyDescent="0.35">
      <c r="A1946" s="50"/>
    </row>
    <row r="1947" spans="1:1" x14ac:dyDescent="0.35">
      <c r="A1947" s="50"/>
    </row>
    <row r="1948" spans="1:1" x14ac:dyDescent="0.35">
      <c r="A1948" s="50"/>
    </row>
    <row r="1949" spans="1:1" x14ac:dyDescent="0.35">
      <c r="A1949" s="50"/>
    </row>
    <row r="1950" spans="1:1" x14ac:dyDescent="0.35">
      <c r="A1950" s="50"/>
    </row>
    <row r="1951" spans="1:1" x14ac:dyDescent="0.35">
      <c r="A1951" s="50"/>
    </row>
    <row r="1952" spans="1:1" x14ac:dyDescent="0.35">
      <c r="A1952" s="50"/>
    </row>
    <row r="1953" spans="1:1" x14ac:dyDescent="0.35">
      <c r="A1953" s="50"/>
    </row>
    <row r="1954" spans="1:1" x14ac:dyDescent="0.35">
      <c r="A1954" s="50"/>
    </row>
    <row r="1955" spans="1:1" x14ac:dyDescent="0.35">
      <c r="A1955" s="50"/>
    </row>
    <row r="1956" spans="1:1" x14ac:dyDescent="0.35">
      <c r="A1956" s="50"/>
    </row>
    <row r="1957" spans="1:1" x14ac:dyDescent="0.35">
      <c r="A1957" s="50"/>
    </row>
    <row r="1958" spans="1:1" x14ac:dyDescent="0.35">
      <c r="A1958" s="50"/>
    </row>
    <row r="1959" spans="1:1" x14ac:dyDescent="0.35">
      <c r="A1959" s="50"/>
    </row>
    <row r="1960" spans="1:1" x14ac:dyDescent="0.35">
      <c r="A1960" s="50"/>
    </row>
    <row r="1961" spans="1:1" x14ac:dyDescent="0.35">
      <c r="A1961" s="40"/>
    </row>
    <row r="1962" spans="1:1" x14ac:dyDescent="0.35">
      <c r="A1962" s="40"/>
    </row>
    <row r="1963" spans="1:1" x14ac:dyDescent="0.35">
      <c r="A1963" s="40"/>
    </row>
    <row r="1964" spans="1:1" x14ac:dyDescent="0.35">
      <c r="A1964" s="40"/>
    </row>
    <row r="1965" spans="1:1" x14ac:dyDescent="0.35">
      <c r="A1965" s="40"/>
    </row>
    <row r="1966" spans="1:1" x14ac:dyDescent="0.35">
      <c r="A1966" s="50"/>
    </row>
    <row r="1967" spans="1:1" x14ac:dyDescent="0.35">
      <c r="A1967" s="50"/>
    </row>
    <row r="1968" spans="1:1" x14ac:dyDescent="0.35">
      <c r="A1968" s="50"/>
    </row>
    <row r="1969" spans="1:1" x14ac:dyDescent="0.35">
      <c r="A1969" s="50"/>
    </row>
    <row r="1970" spans="1:1" x14ac:dyDescent="0.35">
      <c r="A1970" s="50"/>
    </row>
    <row r="1971" spans="1:1" x14ac:dyDescent="0.35">
      <c r="A1971" s="50"/>
    </row>
    <row r="1972" spans="1:1" x14ac:dyDescent="0.35">
      <c r="A1972" s="50"/>
    </row>
    <row r="1973" spans="1:1" x14ac:dyDescent="0.35">
      <c r="A1973" s="50"/>
    </row>
    <row r="1974" spans="1:1" x14ac:dyDescent="0.35">
      <c r="A1974" s="40"/>
    </row>
    <row r="1975" spans="1:1" x14ac:dyDescent="0.35">
      <c r="A1975" s="50"/>
    </row>
    <row r="1976" spans="1:1" x14ac:dyDescent="0.35">
      <c r="A1976" s="50"/>
    </row>
    <row r="1977" spans="1:1" x14ac:dyDescent="0.35">
      <c r="A1977" s="40"/>
    </row>
    <row r="1978" spans="1:1" x14ac:dyDescent="0.35">
      <c r="A1978" s="50"/>
    </row>
    <row r="1979" spans="1:1" x14ac:dyDescent="0.35">
      <c r="A1979" s="40"/>
    </row>
    <row r="1980" spans="1:1" x14ac:dyDescent="0.35">
      <c r="A1980" s="40"/>
    </row>
    <row r="1981" spans="1:1" x14ac:dyDescent="0.35">
      <c r="A1981" s="50"/>
    </row>
    <row r="1982" spans="1:1" x14ac:dyDescent="0.35">
      <c r="A1982" s="50"/>
    </row>
    <row r="1983" spans="1:1" x14ac:dyDescent="0.35">
      <c r="A1983" s="40"/>
    </row>
    <row r="1984" spans="1:1" x14ac:dyDescent="0.35">
      <c r="A1984" s="40"/>
    </row>
    <row r="1985" spans="1:1" x14ac:dyDescent="0.35">
      <c r="A1985" s="40"/>
    </row>
    <row r="1986" spans="1:1" x14ac:dyDescent="0.35">
      <c r="A1986" s="50"/>
    </row>
    <row r="1987" spans="1:1" x14ac:dyDescent="0.35">
      <c r="A1987" s="50"/>
    </row>
    <row r="1988" spans="1:1" x14ac:dyDescent="0.35">
      <c r="A1988" s="50"/>
    </row>
    <row r="1989" spans="1:1" x14ac:dyDescent="0.35">
      <c r="A1989" s="40"/>
    </row>
    <row r="1990" spans="1:1" x14ac:dyDescent="0.35">
      <c r="A1990" s="50"/>
    </row>
    <row r="1991" spans="1:1" x14ac:dyDescent="0.35">
      <c r="A1991" s="50"/>
    </row>
    <row r="1992" spans="1:1" x14ac:dyDescent="0.35">
      <c r="A1992" s="50"/>
    </row>
    <row r="1993" spans="1:1" x14ac:dyDescent="0.35">
      <c r="A1993" s="50"/>
    </row>
    <row r="1994" spans="1:1" x14ac:dyDescent="0.35">
      <c r="A1994" s="50"/>
    </row>
    <row r="1995" spans="1:1" x14ac:dyDescent="0.35">
      <c r="A1995" s="50"/>
    </row>
    <row r="1996" spans="1:1" x14ac:dyDescent="0.35">
      <c r="A1996" s="50"/>
    </row>
    <row r="1997" spans="1:1" x14ac:dyDescent="0.35">
      <c r="A1997" s="50"/>
    </row>
    <row r="1998" spans="1:1" x14ac:dyDescent="0.35">
      <c r="A1998" s="50"/>
    </row>
    <row r="1999" spans="1:1" x14ac:dyDescent="0.35">
      <c r="A1999" s="50"/>
    </row>
    <row r="2000" spans="1:1" x14ac:dyDescent="0.35">
      <c r="A2000" s="50"/>
    </row>
    <row r="2001" spans="1:1" x14ac:dyDescent="0.35">
      <c r="A2001" s="50"/>
    </row>
    <row r="2002" spans="1:1" x14ac:dyDescent="0.35">
      <c r="A2002" s="50"/>
    </row>
    <row r="2003" spans="1:1" x14ac:dyDescent="0.35">
      <c r="A2003" s="40"/>
    </row>
    <row r="2004" spans="1:1" x14ac:dyDescent="0.35">
      <c r="A2004" s="50"/>
    </row>
    <row r="2005" spans="1:1" x14ac:dyDescent="0.35">
      <c r="A2005" s="50"/>
    </row>
    <row r="2006" spans="1:1" x14ac:dyDescent="0.35">
      <c r="A2006" s="40"/>
    </row>
    <row r="2007" spans="1:1" x14ac:dyDescent="0.35">
      <c r="A2007" s="50"/>
    </row>
    <row r="2008" spans="1:1" x14ac:dyDescent="0.35">
      <c r="A2008" s="50"/>
    </row>
    <row r="2009" spans="1:1" x14ac:dyDescent="0.35">
      <c r="A2009" s="50"/>
    </row>
    <row r="2010" spans="1:1" x14ac:dyDescent="0.35">
      <c r="A2010" s="40"/>
    </row>
    <row r="2011" spans="1:1" x14ac:dyDescent="0.35">
      <c r="A2011" s="50"/>
    </row>
    <row r="2012" spans="1:1" x14ac:dyDescent="0.35">
      <c r="A2012" s="40"/>
    </row>
    <row r="2013" spans="1:1" x14ac:dyDescent="0.35">
      <c r="A2013" s="40"/>
    </row>
    <row r="2014" spans="1:1" x14ac:dyDescent="0.35">
      <c r="A2014" s="40"/>
    </row>
    <row r="2015" spans="1:1" x14ac:dyDescent="0.35">
      <c r="A2015" s="50"/>
    </row>
    <row r="2016" spans="1:1" x14ac:dyDescent="0.35">
      <c r="A2016" s="50"/>
    </row>
    <row r="2017" spans="1:1" x14ac:dyDescent="0.35">
      <c r="A2017" s="50"/>
    </row>
    <row r="2018" spans="1:1" x14ac:dyDescent="0.35">
      <c r="A2018" s="50"/>
    </row>
    <row r="2019" spans="1:1" x14ac:dyDescent="0.35">
      <c r="A2019" s="50"/>
    </row>
    <row r="2020" spans="1:1" x14ac:dyDescent="0.35">
      <c r="A2020" s="50"/>
    </row>
    <row r="2021" spans="1:1" x14ac:dyDescent="0.35">
      <c r="A2021" s="50"/>
    </row>
    <row r="2022" spans="1:1" x14ac:dyDescent="0.35">
      <c r="A2022" s="40"/>
    </row>
    <row r="2023" spans="1:1" x14ac:dyDescent="0.35">
      <c r="A2023" s="40"/>
    </row>
    <row r="2024" spans="1:1" x14ac:dyDescent="0.35">
      <c r="A2024" s="40"/>
    </row>
    <row r="2025" spans="1:1" x14ac:dyDescent="0.35">
      <c r="A2025" s="40"/>
    </row>
    <row r="2026" spans="1:1" x14ac:dyDescent="0.35">
      <c r="A2026" s="40"/>
    </row>
    <row r="2027" spans="1:1" x14ac:dyDescent="0.35">
      <c r="A2027" s="40"/>
    </row>
    <row r="2028" spans="1:1" x14ac:dyDescent="0.35">
      <c r="A2028" s="50"/>
    </row>
    <row r="2029" spans="1:1" x14ac:dyDescent="0.35">
      <c r="A2029" s="50"/>
    </row>
    <row r="2030" spans="1:1" x14ac:dyDescent="0.35">
      <c r="A2030" s="50"/>
    </row>
    <row r="2031" spans="1:1" x14ac:dyDescent="0.35">
      <c r="A2031" s="50"/>
    </row>
    <row r="2032" spans="1:1" x14ac:dyDescent="0.35">
      <c r="A2032" s="50"/>
    </row>
    <row r="2033" spans="1:1" x14ac:dyDescent="0.35">
      <c r="A2033" s="50"/>
    </row>
    <row r="2034" spans="1:1" x14ac:dyDescent="0.35">
      <c r="A2034" s="50"/>
    </row>
    <row r="2035" spans="1:1" x14ac:dyDescent="0.35">
      <c r="A2035" s="50"/>
    </row>
    <row r="2036" spans="1:1" x14ac:dyDescent="0.35">
      <c r="A2036" s="50"/>
    </row>
    <row r="2037" spans="1:1" x14ac:dyDescent="0.35">
      <c r="A2037" s="50"/>
    </row>
    <row r="2038" spans="1:1" x14ac:dyDescent="0.35">
      <c r="A2038" s="50"/>
    </row>
    <row r="2039" spans="1:1" x14ac:dyDescent="0.35">
      <c r="A2039" s="40"/>
    </row>
    <row r="2040" spans="1:1" x14ac:dyDescent="0.35">
      <c r="A2040" s="40"/>
    </row>
    <row r="2041" spans="1:1" x14ac:dyDescent="0.35">
      <c r="A2041" s="40"/>
    </row>
    <row r="2042" spans="1:1" x14ac:dyDescent="0.35">
      <c r="A2042" s="50"/>
    </row>
    <row r="2043" spans="1:1" x14ac:dyDescent="0.35">
      <c r="A2043" s="50"/>
    </row>
    <row r="2044" spans="1:1" x14ac:dyDescent="0.35">
      <c r="A2044" s="50"/>
    </row>
    <row r="2045" spans="1:1" x14ac:dyDescent="0.35">
      <c r="A2045" s="40"/>
    </row>
    <row r="2046" spans="1:1" x14ac:dyDescent="0.35">
      <c r="A2046" s="50"/>
    </row>
    <row r="2047" spans="1:1" x14ac:dyDescent="0.35">
      <c r="A2047" s="50"/>
    </row>
    <row r="2048" spans="1:1" x14ac:dyDescent="0.35">
      <c r="A2048" s="50"/>
    </row>
    <row r="2049" spans="1:1" x14ac:dyDescent="0.35">
      <c r="A2049" s="50"/>
    </row>
    <row r="2050" spans="1:1" x14ac:dyDescent="0.35">
      <c r="A2050" s="50"/>
    </row>
    <row r="2051" spans="1:1" x14ac:dyDescent="0.35">
      <c r="A2051" s="50"/>
    </row>
    <row r="2052" spans="1:1" x14ac:dyDescent="0.35">
      <c r="A2052" s="50"/>
    </row>
    <row r="2053" spans="1:1" x14ac:dyDescent="0.35">
      <c r="A2053" s="50"/>
    </row>
    <row r="2054" spans="1:1" x14ac:dyDescent="0.35">
      <c r="A2054" s="50"/>
    </row>
    <row r="2055" spans="1:1" x14ac:dyDescent="0.35">
      <c r="A2055" s="50"/>
    </row>
    <row r="2056" spans="1:1" x14ac:dyDescent="0.35">
      <c r="A2056" s="40"/>
    </row>
    <row r="2057" spans="1:1" x14ac:dyDescent="0.35">
      <c r="A2057" s="40"/>
    </row>
    <row r="2058" spans="1:1" x14ac:dyDescent="0.35">
      <c r="A2058" s="50"/>
    </row>
    <row r="2059" spans="1:1" x14ac:dyDescent="0.35">
      <c r="A2059" s="50"/>
    </row>
    <row r="2060" spans="1:1" x14ac:dyDescent="0.35">
      <c r="A2060" s="50"/>
    </row>
    <row r="2061" spans="1:1" x14ac:dyDescent="0.35">
      <c r="A2061" s="50"/>
    </row>
    <row r="2062" spans="1:1" x14ac:dyDescent="0.35">
      <c r="A2062" s="40"/>
    </row>
    <row r="2063" spans="1:1" x14ac:dyDescent="0.35">
      <c r="A2063" s="50"/>
    </row>
    <row r="2064" spans="1:1" x14ac:dyDescent="0.35">
      <c r="A2064" s="50"/>
    </row>
    <row r="2065" spans="1:1" x14ac:dyDescent="0.35">
      <c r="A2065" s="50"/>
    </row>
    <row r="2066" spans="1:1" x14ac:dyDescent="0.35">
      <c r="A2066" s="50"/>
    </row>
    <row r="2067" spans="1:1" x14ac:dyDescent="0.35">
      <c r="A2067" s="40"/>
    </row>
    <row r="2068" spans="1:1" x14ac:dyDescent="0.35">
      <c r="A2068" s="50"/>
    </row>
    <row r="2069" spans="1:1" x14ac:dyDescent="0.35">
      <c r="A2069" s="50"/>
    </row>
    <row r="2070" spans="1:1" x14ac:dyDescent="0.35">
      <c r="A2070" s="50"/>
    </row>
    <row r="2071" spans="1:1" x14ac:dyDescent="0.35">
      <c r="A2071" s="40"/>
    </row>
    <row r="2072" spans="1:1" x14ac:dyDescent="0.35">
      <c r="A2072" s="40"/>
    </row>
    <row r="2073" spans="1:1" x14ac:dyDescent="0.35">
      <c r="A2073" s="40"/>
    </row>
    <row r="2074" spans="1:1" x14ac:dyDescent="0.35">
      <c r="A2074" s="40"/>
    </row>
    <row r="2075" spans="1:1" x14ac:dyDescent="0.35">
      <c r="A2075" s="50"/>
    </row>
    <row r="2076" spans="1:1" x14ac:dyDescent="0.35">
      <c r="A2076" s="50"/>
    </row>
    <row r="2077" spans="1:1" x14ac:dyDescent="0.35">
      <c r="A2077" s="40"/>
    </row>
    <row r="2078" spans="1:1" x14ac:dyDescent="0.35">
      <c r="A2078" s="40"/>
    </row>
    <row r="2079" spans="1:1" x14ac:dyDescent="0.35">
      <c r="A2079" s="40"/>
    </row>
    <row r="2080" spans="1:1" x14ac:dyDescent="0.35">
      <c r="A2080" s="40"/>
    </row>
    <row r="2081" spans="1:1" x14ac:dyDescent="0.35">
      <c r="A2081" s="40"/>
    </row>
    <row r="2082" spans="1:1" x14ac:dyDescent="0.35">
      <c r="A2082" s="40"/>
    </row>
    <row r="2083" spans="1:1" x14ac:dyDescent="0.35">
      <c r="A2083" s="40"/>
    </row>
    <row r="2084" spans="1:1" x14ac:dyDescent="0.35">
      <c r="A2084" s="50"/>
    </row>
    <row r="2085" spans="1:1" x14ac:dyDescent="0.35">
      <c r="A2085" s="40"/>
    </row>
    <row r="2086" spans="1:1" x14ac:dyDescent="0.35">
      <c r="A2086" s="40"/>
    </row>
    <row r="2087" spans="1:1" x14ac:dyDescent="0.35">
      <c r="A2087" s="40"/>
    </row>
    <row r="2088" spans="1:1" x14ac:dyDescent="0.35">
      <c r="A2088" s="50"/>
    </row>
    <row r="2089" spans="1:1" x14ac:dyDescent="0.35">
      <c r="A2089" s="40"/>
    </row>
    <row r="2090" spans="1:1" x14ac:dyDescent="0.35">
      <c r="A2090" s="40"/>
    </row>
    <row r="2091" spans="1:1" x14ac:dyDescent="0.35">
      <c r="A2091" s="40"/>
    </row>
    <row r="2092" spans="1:1" x14ac:dyDescent="0.35">
      <c r="A2092" s="40"/>
    </row>
    <row r="2093" spans="1:1" x14ac:dyDescent="0.35">
      <c r="A2093" s="40"/>
    </row>
    <row r="2094" spans="1:1" x14ac:dyDescent="0.35">
      <c r="A2094" s="40"/>
    </row>
    <row r="2095" spans="1:1" x14ac:dyDescent="0.35">
      <c r="A2095" s="50"/>
    </row>
    <row r="2096" spans="1:1" x14ac:dyDescent="0.35">
      <c r="A2096" s="50"/>
    </row>
    <row r="2097" spans="1:1" x14ac:dyDescent="0.35">
      <c r="A2097" s="50"/>
    </row>
    <row r="2098" spans="1:1" x14ac:dyDescent="0.35">
      <c r="A2098" s="50"/>
    </row>
    <row r="2099" spans="1:1" x14ac:dyDescent="0.35">
      <c r="A2099" s="50"/>
    </row>
    <row r="2100" spans="1:1" x14ac:dyDescent="0.35">
      <c r="A2100" s="50"/>
    </row>
    <row r="2101" spans="1:1" x14ac:dyDescent="0.35">
      <c r="A2101" s="50"/>
    </row>
    <row r="2102" spans="1:1" x14ac:dyDescent="0.35">
      <c r="A2102" s="50"/>
    </row>
    <row r="2103" spans="1:1" x14ac:dyDescent="0.35">
      <c r="A2103" s="50"/>
    </row>
    <row r="2104" spans="1:1" x14ac:dyDescent="0.35">
      <c r="A2104" s="50"/>
    </row>
    <row r="2105" spans="1:1" x14ac:dyDescent="0.35">
      <c r="A2105" s="50"/>
    </row>
    <row r="2106" spans="1:1" x14ac:dyDescent="0.35">
      <c r="A2106" s="50"/>
    </row>
    <row r="2107" spans="1:1" x14ac:dyDescent="0.35">
      <c r="A2107" s="50"/>
    </row>
    <row r="2108" spans="1:1" x14ac:dyDescent="0.35">
      <c r="A2108" s="50"/>
    </row>
    <row r="2109" spans="1:1" x14ac:dyDescent="0.35">
      <c r="A2109" s="50"/>
    </row>
    <row r="2110" spans="1:1" x14ac:dyDescent="0.35">
      <c r="A2110" s="50"/>
    </row>
    <row r="2111" spans="1:1" x14ac:dyDescent="0.35">
      <c r="A2111" s="50"/>
    </row>
    <row r="2112" spans="1:1" x14ac:dyDescent="0.35">
      <c r="A2112" s="50"/>
    </row>
    <row r="2113" spans="1:1" x14ac:dyDescent="0.35">
      <c r="A2113" s="50"/>
    </row>
    <row r="2114" spans="1:1" x14ac:dyDescent="0.35">
      <c r="A2114" s="50"/>
    </row>
    <row r="2115" spans="1:1" x14ac:dyDescent="0.35">
      <c r="A2115" s="50"/>
    </row>
    <row r="2116" spans="1:1" x14ac:dyDescent="0.35">
      <c r="A2116" s="50"/>
    </row>
    <row r="2117" spans="1:1" x14ac:dyDescent="0.35">
      <c r="A2117" s="50"/>
    </row>
    <row r="2118" spans="1:1" x14ac:dyDescent="0.35">
      <c r="A2118" s="50"/>
    </row>
    <row r="2119" spans="1:1" x14ac:dyDescent="0.35">
      <c r="A2119" s="50"/>
    </row>
    <row r="2120" spans="1:1" x14ac:dyDescent="0.35">
      <c r="A2120" s="40"/>
    </row>
    <row r="2121" spans="1:1" x14ac:dyDescent="0.35">
      <c r="A2121" s="50"/>
    </row>
    <row r="2122" spans="1:1" x14ac:dyDescent="0.35">
      <c r="A2122" s="40"/>
    </row>
    <row r="2123" spans="1:1" x14ac:dyDescent="0.35">
      <c r="A2123" s="50"/>
    </row>
    <row r="2124" spans="1:1" x14ac:dyDescent="0.35">
      <c r="A2124" s="50"/>
    </row>
    <row r="2125" spans="1:1" x14ac:dyDescent="0.35">
      <c r="A2125" s="40"/>
    </row>
    <row r="2126" spans="1:1" x14ac:dyDescent="0.35">
      <c r="A2126" s="50"/>
    </row>
    <row r="2127" spans="1:1" x14ac:dyDescent="0.35">
      <c r="A2127" s="40"/>
    </row>
    <row r="2128" spans="1:1" x14ac:dyDescent="0.35">
      <c r="A2128" s="40"/>
    </row>
    <row r="2129" spans="1:1" x14ac:dyDescent="0.35">
      <c r="A2129" s="50"/>
    </row>
    <row r="2130" spans="1:1" x14ac:dyDescent="0.35">
      <c r="A2130" s="40"/>
    </row>
    <row r="2131" spans="1:1" x14ac:dyDescent="0.35">
      <c r="A2131" s="40"/>
    </row>
    <row r="2132" spans="1:1" x14ac:dyDescent="0.35">
      <c r="A2132" s="50"/>
    </row>
    <row r="2133" spans="1:1" x14ac:dyDescent="0.35">
      <c r="A2133" s="40"/>
    </row>
    <row r="2134" spans="1:1" x14ac:dyDescent="0.35">
      <c r="A2134" s="50"/>
    </row>
    <row r="2135" spans="1:1" x14ac:dyDescent="0.35">
      <c r="A2135" s="40"/>
    </row>
    <row r="2136" spans="1:1" x14ac:dyDescent="0.35">
      <c r="A2136" s="50"/>
    </row>
    <row r="2137" spans="1:1" x14ac:dyDescent="0.35">
      <c r="A2137" s="40"/>
    </row>
    <row r="2138" spans="1:1" x14ac:dyDescent="0.35">
      <c r="A2138" s="50"/>
    </row>
    <row r="2139" spans="1:1" x14ac:dyDescent="0.35">
      <c r="A2139" s="40"/>
    </row>
    <row r="2140" spans="1:1" x14ac:dyDescent="0.35">
      <c r="A2140" s="50"/>
    </row>
    <row r="2141" spans="1:1" x14ac:dyDescent="0.35">
      <c r="A2141" s="40"/>
    </row>
    <row r="2142" spans="1:1" x14ac:dyDescent="0.35">
      <c r="A2142" s="40"/>
    </row>
    <row r="2143" spans="1:1" x14ac:dyDescent="0.35">
      <c r="A2143" s="40"/>
    </row>
    <row r="2144" spans="1:1" x14ac:dyDescent="0.35">
      <c r="A2144" s="50"/>
    </row>
    <row r="2145" spans="1:1" x14ac:dyDescent="0.35">
      <c r="A2145" s="40"/>
    </row>
    <row r="2146" spans="1:1" x14ac:dyDescent="0.35">
      <c r="A2146" s="50"/>
    </row>
    <row r="2147" spans="1:1" x14ac:dyDescent="0.35">
      <c r="A2147" s="40"/>
    </row>
    <row r="2148" spans="1:1" x14ac:dyDescent="0.35">
      <c r="A2148" s="50"/>
    </row>
    <row r="2149" spans="1:1" x14ac:dyDescent="0.35">
      <c r="A2149" s="40"/>
    </row>
    <row r="2150" spans="1:1" x14ac:dyDescent="0.35">
      <c r="A2150" s="50"/>
    </row>
    <row r="2151" spans="1:1" x14ac:dyDescent="0.35">
      <c r="A2151" s="50"/>
    </row>
    <row r="2152" spans="1:1" x14ac:dyDescent="0.35">
      <c r="A2152" s="50"/>
    </row>
    <row r="2153" spans="1:1" x14ac:dyDescent="0.35">
      <c r="A2153" s="50"/>
    </row>
    <row r="2154" spans="1:1" x14ac:dyDescent="0.35">
      <c r="A2154" s="50"/>
    </row>
    <row r="2155" spans="1:1" x14ac:dyDescent="0.35">
      <c r="A2155" s="50"/>
    </row>
    <row r="2156" spans="1:1" x14ac:dyDescent="0.35">
      <c r="A2156" s="40"/>
    </row>
    <row r="2157" spans="1:1" x14ac:dyDescent="0.35">
      <c r="A2157" s="40"/>
    </row>
    <row r="2158" spans="1:1" x14ac:dyDescent="0.35">
      <c r="A2158" s="50"/>
    </row>
    <row r="2159" spans="1:1" x14ac:dyDescent="0.35">
      <c r="A2159" s="40"/>
    </row>
    <row r="2160" spans="1:1" x14ac:dyDescent="0.35">
      <c r="A2160" s="40"/>
    </row>
    <row r="2161" spans="1:1" x14ac:dyDescent="0.35">
      <c r="A2161" s="40"/>
    </row>
    <row r="2162" spans="1:1" x14ac:dyDescent="0.35">
      <c r="A2162" s="50"/>
    </row>
    <row r="2163" spans="1:1" x14ac:dyDescent="0.35">
      <c r="A2163" s="50"/>
    </row>
    <row r="2164" spans="1:1" x14ac:dyDescent="0.35">
      <c r="A2164" s="40"/>
    </row>
    <row r="2165" spans="1:1" x14ac:dyDescent="0.35">
      <c r="A2165" s="40"/>
    </row>
    <row r="2166" spans="1:1" x14ac:dyDescent="0.35">
      <c r="A2166" s="50"/>
    </row>
    <row r="2167" spans="1:1" x14ac:dyDescent="0.35">
      <c r="A2167" s="50"/>
    </row>
    <row r="2168" spans="1:1" x14ac:dyDescent="0.35">
      <c r="A2168" s="50"/>
    </row>
    <row r="2169" spans="1:1" x14ac:dyDescent="0.35">
      <c r="A2169" s="40"/>
    </row>
    <row r="2170" spans="1:1" x14ac:dyDescent="0.35">
      <c r="A2170" s="50"/>
    </row>
    <row r="2171" spans="1:1" x14ac:dyDescent="0.35">
      <c r="A2171" s="50"/>
    </row>
    <row r="2172" spans="1:1" x14ac:dyDescent="0.35">
      <c r="A2172" s="50"/>
    </row>
    <row r="2173" spans="1:1" x14ac:dyDescent="0.35">
      <c r="A2173" s="50"/>
    </row>
    <row r="2174" spans="1:1" x14ac:dyDescent="0.35">
      <c r="A2174" s="50"/>
    </row>
    <row r="2175" spans="1:1" x14ac:dyDescent="0.35">
      <c r="A2175" s="50"/>
    </row>
    <row r="2176" spans="1:1" x14ac:dyDescent="0.35">
      <c r="A2176" s="40"/>
    </row>
    <row r="2177" spans="1:1" x14ac:dyDescent="0.35">
      <c r="A2177" s="50"/>
    </row>
    <row r="2178" spans="1:1" x14ac:dyDescent="0.35">
      <c r="A2178" s="40"/>
    </row>
    <row r="2179" spans="1:1" x14ac:dyDescent="0.35">
      <c r="A2179" s="40"/>
    </row>
    <row r="2180" spans="1:1" x14ac:dyDescent="0.35">
      <c r="A2180" s="50"/>
    </row>
    <row r="2181" spans="1:1" x14ac:dyDescent="0.35">
      <c r="A2181" s="50"/>
    </row>
    <row r="2182" spans="1:1" x14ac:dyDescent="0.35">
      <c r="A2182" s="40"/>
    </row>
    <row r="2183" spans="1:1" x14ac:dyDescent="0.35">
      <c r="A2183" s="50"/>
    </row>
    <row r="2184" spans="1:1" x14ac:dyDescent="0.35">
      <c r="A2184" s="50"/>
    </row>
    <row r="2185" spans="1:1" x14ac:dyDescent="0.35">
      <c r="A2185" s="50"/>
    </row>
    <row r="2186" spans="1:1" x14ac:dyDescent="0.35">
      <c r="A2186" s="50"/>
    </row>
    <row r="2187" spans="1:1" x14ac:dyDescent="0.35">
      <c r="A2187" s="50"/>
    </row>
    <row r="2188" spans="1:1" x14ac:dyDescent="0.35">
      <c r="A2188" s="50"/>
    </row>
    <row r="2189" spans="1:1" x14ac:dyDescent="0.35">
      <c r="A2189" s="40"/>
    </row>
    <row r="2190" spans="1:1" x14ac:dyDescent="0.35">
      <c r="A2190" s="50"/>
    </row>
    <row r="2191" spans="1:1" x14ac:dyDescent="0.35">
      <c r="A2191" s="50"/>
    </row>
    <row r="2192" spans="1:1" x14ac:dyDescent="0.35">
      <c r="A2192" s="50"/>
    </row>
    <row r="2193" spans="1:1" x14ac:dyDescent="0.35">
      <c r="A2193" s="50"/>
    </row>
    <row r="2194" spans="1:1" x14ac:dyDescent="0.35">
      <c r="A2194" s="50"/>
    </row>
    <row r="2195" spans="1:1" x14ac:dyDescent="0.35">
      <c r="A2195" s="50"/>
    </row>
    <row r="2196" spans="1:1" x14ac:dyDescent="0.35">
      <c r="A2196" s="50"/>
    </row>
    <row r="2197" spans="1:1" x14ac:dyDescent="0.35">
      <c r="A2197" s="50"/>
    </row>
    <row r="2198" spans="1:1" x14ac:dyDescent="0.35">
      <c r="A2198" s="50"/>
    </row>
    <row r="2199" spans="1:1" x14ac:dyDescent="0.35">
      <c r="A2199" s="40"/>
    </row>
    <row r="2200" spans="1:1" x14ac:dyDescent="0.35">
      <c r="A2200" s="50"/>
    </row>
    <row r="2201" spans="1:1" x14ac:dyDescent="0.35">
      <c r="A2201" s="40"/>
    </row>
    <row r="2202" spans="1:1" x14ac:dyDescent="0.35">
      <c r="A2202" s="50"/>
    </row>
    <row r="2203" spans="1:1" x14ac:dyDescent="0.35">
      <c r="A2203" s="40"/>
    </row>
    <row r="2204" spans="1:1" x14ac:dyDescent="0.35">
      <c r="A2204" s="50"/>
    </row>
    <row r="2205" spans="1:1" x14ac:dyDescent="0.35">
      <c r="A2205" s="50"/>
    </row>
    <row r="2206" spans="1:1" x14ac:dyDescent="0.35">
      <c r="A2206" s="50"/>
    </row>
    <row r="2207" spans="1:1" x14ac:dyDescent="0.35">
      <c r="A2207" s="40"/>
    </row>
    <row r="2208" spans="1:1" x14ac:dyDescent="0.35">
      <c r="A2208" s="40"/>
    </row>
    <row r="2209" spans="1:1" x14ac:dyDescent="0.35">
      <c r="A2209" s="40"/>
    </row>
    <row r="2210" spans="1:1" x14ac:dyDescent="0.35">
      <c r="A2210" s="50"/>
    </row>
    <row r="2211" spans="1:1" x14ac:dyDescent="0.35">
      <c r="A2211" s="40"/>
    </row>
    <row r="2212" spans="1:1" x14ac:dyDescent="0.35">
      <c r="A2212" s="50"/>
    </row>
    <row r="2213" spans="1:1" x14ac:dyDescent="0.35">
      <c r="A2213" s="40"/>
    </row>
    <row r="2214" spans="1:1" x14ac:dyDescent="0.35">
      <c r="A2214" s="40"/>
    </row>
    <row r="2215" spans="1:1" x14ac:dyDescent="0.35">
      <c r="A2215" s="50"/>
    </row>
    <row r="2216" spans="1:1" x14ac:dyDescent="0.35">
      <c r="A2216" s="50"/>
    </row>
    <row r="2217" spans="1:1" x14ac:dyDescent="0.35">
      <c r="A2217" s="50"/>
    </row>
    <row r="2218" spans="1:1" x14ac:dyDescent="0.35">
      <c r="A2218" s="50"/>
    </row>
    <row r="2219" spans="1:1" x14ac:dyDescent="0.35">
      <c r="A2219" s="50"/>
    </row>
    <row r="2220" spans="1:1" x14ac:dyDescent="0.35">
      <c r="A2220" s="50"/>
    </row>
    <row r="2221" spans="1:1" x14ac:dyDescent="0.35">
      <c r="A2221" s="50"/>
    </row>
    <row r="2222" spans="1:1" x14ac:dyDescent="0.35">
      <c r="A2222" s="50"/>
    </row>
    <row r="2223" spans="1:1" x14ac:dyDescent="0.35">
      <c r="A2223" s="50"/>
    </row>
    <row r="2224" spans="1:1" x14ac:dyDescent="0.35">
      <c r="A2224" s="50"/>
    </row>
    <row r="2225" spans="1:1" x14ac:dyDescent="0.35">
      <c r="A2225" s="50"/>
    </row>
    <row r="2226" spans="1:1" x14ac:dyDescent="0.35">
      <c r="A2226" s="50"/>
    </row>
    <row r="2227" spans="1:1" x14ac:dyDescent="0.35">
      <c r="A2227" s="50"/>
    </row>
    <row r="2228" spans="1:1" x14ac:dyDescent="0.35">
      <c r="A2228" s="40"/>
    </row>
    <row r="2229" spans="1:1" x14ac:dyDescent="0.35">
      <c r="A2229" s="50"/>
    </row>
    <row r="2230" spans="1:1" x14ac:dyDescent="0.35">
      <c r="A2230" s="50"/>
    </row>
    <row r="2231" spans="1:1" x14ac:dyDescent="0.35">
      <c r="A2231" s="50"/>
    </row>
    <row r="2232" spans="1:1" x14ac:dyDescent="0.35">
      <c r="A2232" s="50"/>
    </row>
    <row r="2233" spans="1:1" x14ac:dyDescent="0.35">
      <c r="A2233" s="50"/>
    </row>
    <row r="2234" spans="1:1" x14ac:dyDescent="0.35">
      <c r="A2234" s="50"/>
    </row>
    <row r="2235" spans="1:1" x14ac:dyDescent="0.35">
      <c r="A2235" s="50"/>
    </row>
    <row r="2236" spans="1:1" x14ac:dyDescent="0.35">
      <c r="A2236" s="50"/>
    </row>
    <row r="2237" spans="1:1" x14ac:dyDescent="0.35">
      <c r="A2237" s="50"/>
    </row>
    <row r="2238" spans="1:1" x14ac:dyDescent="0.35">
      <c r="A2238" s="50"/>
    </row>
    <row r="2239" spans="1:1" x14ac:dyDescent="0.35">
      <c r="A2239" s="40"/>
    </row>
    <row r="2240" spans="1:1" x14ac:dyDescent="0.35">
      <c r="A2240" s="40"/>
    </row>
    <row r="2241" spans="1:1" x14ac:dyDescent="0.35">
      <c r="A2241" s="40"/>
    </row>
    <row r="2242" spans="1:1" x14ac:dyDescent="0.35">
      <c r="A2242" s="50"/>
    </row>
    <row r="2243" spans="1:1" x14ac:dyDescent="0.35">
      <c r="A2243" s="40"/>
    </row>
    <row r="2244" spans="1:1" x14ac:dyDescent="0.35">
      <c r="A2244" s="50"/>
    </row>
    <row r="2245" spans="1:1" x14ac:dyDescent="0.35">
      <c r="A2245" s="50"/>
    </row>
    <row r="2246" spans="1:1" x14ac:dyDescent="0.35">
      <c r="A2246" s="50"/>
    </row>
    <row r="2247" spans="1:1" x14ac:dyDescent="0.35">
      <c r="A2247" s="50"/>
    </row>
    <row r="2248" spans="1:1" x14ac:dyDescent="0.35">
      <c r="A2248" s="50"/>
    </row>
    <row r="2249" spans="1:1" x14ac:dyDescent="0.35">
      <c r="A2249" s="40"/>
    </row>
    <row r="2250" spans="1:1" x14ac:dyDescent="0.35">
      <c r="A2250" s="50"/>
    </row>
    <row r="2251" spans="1:1" x14ac:dyDescent="0.35">
      <c r="A2251" s="40"/>
    </row>
    <row r="2252" spans="1:1" x14ac:dyDescent="0.35">
      <c r="A2252" s="40"/>
    </row>
    <row r="2253" spans="1:1" x14ac:dyDescent="0.35">
      <c r="A2253" s="40"/>
    </row>
    <row r="2254" spans="1:1" x14ac:dyDescent="0.35">
      <c r="A2254" s="50"/>
    </row>
    <row r="2255" spans="1:1" x14ac:dyDescent="0.35">
      <c r="A2255" s="40"/>
    </row>
    <row r="2256" spans="1:1" x14ac:dyDescent="0.35">
      <c r="A2256" s="50"/>
    </row>
    <row r="2257" spans="1:1" x14ac:dyDescent="0.35">
      <c r="A2257" s="40"/>
    </row>
    <row r="2258" spans="1:1" x14ac:dyDescent="0.35">
      <c r="A2258" s="50"/>
    </row>
    <row r="2259" spans="1:1" x14ac:dyDescent="0.35">
      <c r="A2259" s="50"/>
    </row>
    <row r="2260" spans="1:1" x14ac:dyDescent="0.35">
      <c r="A2260" s="50"/>
    </row>
    <row r="2261" spans="1:1" x14ac:dyDescent="0.35">
      <c r="A2261" s="50"/>
    </row>
    <row r="2262" spans="1:1" x14ac:dyDescent="0.35">
      <c r="A2262" s="50"/>
    </row>
    <row r="2263" spans="1:1" x14ac:dyDescent="0.35">
      <c r="A2263" s="50"/>
    </row>
    <row r="2264" spans="1:1" x14ac:dyDescent="0.35">
      <c r="A2264" s="50"/>
    </row>
    <row r="2265" spans="1:1" x14ac:dyDescent="0.35">
      <c r="A2265" s="50"/>
    </row>
    <row r="2266" spans="1:1" x14ac:dyDescent="0.35">
      <c r="A2266" s="50"/>
    </row>
    <row r="2267" spans="1:1" x14ac:dyDescent="0.35">
      <c r="A2267" s="50"/>
    </row>
    <row r="2268" spans="1:1" x14ac:dyDescent="0.35">
      <c r="A2268" s="50"/>
    </row>
    <row r="2269" spans="1:1" x14ac:dyDescent="0.35">
      <c r="A2269" s="50"/>
    </row>
    <row r="2270" spans="1:1" x14ac:dyDescent="0.35">
      <c r="A2270" s="50"/>
    </row>
    <row r="2271" spans="1:1" x14ac:dyDescent="0.35">
      <c r="A2271" s="50"/>
    </row>
    <row r="2272" spans="1:1" x14ac:dyDescent="0.35">
      <c r="A2272" s="50"/>
    </row>
    <row r="2273" spans="1:1" x14ac:dyDescent="0.35">
      <c r="A2273" s="50"/>
    </row>
    <row r="2274" spans="1:1" x14ac:dyDescent="0.35">
      <c r="A2274" s="50"/>
    </row>
    <row r="2275" spans="1:1" x14ac:dyDescent="0.35">
      <c r="A2275" s="50"/>
    </row>
    <row r="2276" spans="1:1" x14ac:dyDescent="0.35">
      <c r="A2276" s="50"/>
    </row>
    <row r="2277" spans="1:1" x14ac:dyDescent="0.35">
      <c r="A2277" s="50"/>
    </row>
    <row r="2278" spans="1:1" x14ac:dyDescent="0.35">
      <c r="A2278" s="40"/>
    </row>
    <row r="2279" spans="1:1" x14ac:dyDescent="0.35">
      <c r="A2279" s="40"/>
    </row>
    <row r="2280" spans="1:1" x14ac:dyDescent="0.35">
      <c r="A2280" s="50"/>
    </row>
    <row r="2281" spans="1:1" x14ac:dyDescent="0.35">
      <c r="A2281" s="50"/>
    </row>
    <row r="2282" spans="1:1" x14ac:dyDescent="0.35">
      <c r="A2282" s="50"/>
    </row>
    <row r="2283" spans="1:1" x14ac:dyDescent="0.35">
      <c r="A2283" s="50"/>
    </row>
    <row r="2284" spans="1:1" x14ac:dyDescent="0.35">
      <c r="A2284" s="50"/>
    </row>
    <row r="2285" spans="1:1" x14ac:dyDescent="0.35">
      <c r="A2285" s="50"/>
    </row>
    <row r="2286" spans="1:1" x14ac:dyDescent="0.35">
      <c r="A2286" s="50"/>
    </row>
    <row r="2287" spans="1:1" x14ac:dyDescent="0.35">
      <c r="A2287" s="50"/>
    </row>
    <row r="2288" spans="1:1" x14ac:dyDescent="0.35">
      <c r="A2288" s="50"/>
    </row>
    <row r="2289" spans="1:1" x14ac:dyDescent="0.35">
      <c r="A2289" s="50"/>
    </row>
    <row r="2290" spans="1:1" x14ac:dyDescent="0.35">
      <c r="A2290" s="50"/>
    </row>
    <row r="2291" spans="1:1" x14ac:dyDescent="0.35">
      <c r="A2291" s="50"/>
    </row>
    <row r="2292" spans="1:1" x14ac:dyDescent="0.35">
      <c r="A2292" s="50"/>
    </row>
    <row r="2293" spans="1:1" x14ac:dyDescent="0.35">
      <c r="A2293" s="50"/>
    </row>
    <row r="2294" spans="1:1" x14ac:dyDescent="0.35">
      <c r="A2294" s="50"/>
    </row>
    <row r="2295" spans="1:1" x14ac:dyDescent="0.35">
      <c r="A2295" s="50"/>
    </row>
    <row r="2296" spans="1:1" x14ac:dyDescent="0.35">
      <c r="A2296" s="50"/>
    </row>
    <row r="2297" spans="1:1" x14ac:dyDescent="0.35">
      <c r="A2297" s="50"/>
    </row>
    <row r="2298" spans="1:1" x14ac:dyDescent="0.35">
      <c r="A2298" s="50"/>
    </row>
    <row r="2299" spans="1:1" x14ac:dyDescent="0.35">
      <c r="A2299" s="50"/>
    </row>
    <row r="2300" spans="1:1" x14ac:dyDescent="0.35">
      <c r="A2300" s="50"/>
    </row>
    <row r="2301" spans="1:1" x14ac:dyDescent="0.35">
      <c r="A2301" s="50"/>
    </row>
    <row r="2302" spans="1:1" x14ac:dyDescent="0.35">
      <c r="A2302" s="50"/>
    </row>
    <row r="2303" spans="1:1" x14ac:dyDescent="0.35">
      <c r="A2303" s="40"/>
    </row>
    <row r="2304" spans="1:1" x14ac:dyDescent="0.35">
      <c r="A2304" s="50"/>
    </row>
    <row r="2305" spans="1:1" x14ac:dyDescent="0.35">
      <c r="A2305" s="50"/>
    </row>
    <row r="2306" spans="1:1" x14ac:dyDescent="0.35">
      <c r="A2306" s="50"/>
    </row>
    <row r="2307" spans="1:1" x14ac:dyDescent="0.35">
      <c r="A2307" s="50"/>
    </row>
    <row r="2308" spans="1:1" x14ac:dyDescent="0.35">
      <c r="A2308" s="50"/>
    </row>
    <row r="2309" spans="1:1" x14ac:dyDescent="0.35">
      <c r="A2309" s="50"/>
    </row>
    <row r="2310" spans="1:1" x14ac:dyDescent="0.35">
      <c r="A2310" s="50"/>
    </row>
    <row r="2311" spans="1:1" x14ac:dyDescent="0.35">
      <c r="A2311" s="50"/>
    </row>
    <row r="2312" spans="1:1" x14ac:dyDescent="0.35">
      <c r="A2312" s="50"/>
    </row>
    <row r="2313" spans="1:1" x14ac:dyDescent="0.35">
      <c r="A2313" s="50"/>
    </row>
    <row r="2314" spans="1:1" x14ac:dyDescent="0.35">
      <c r="A2314" s="50"/>
    </row>
    <row r="2315" spans="1:1" x14ac:dyDescent="0.35">
      <c r="A2315" s="50"/>
    </row>
    <row r="2316" spans="1:1" x14ac:dyDescent="0.35">
      <c r="A2316" s="50"/>
    </row>
    <row r="2317" spans="1:1" x14ac:dyDescent="0.35">
      <c r="A2317" s="50"/>
    </row>
    <row r="2318" spans="1:1" x14ac:dyDescent="0.35">
      <c r="A2318" s="50"/>
    </row>
    <row r="2319" spans="1:1" x14ac:dyDescent="0.35">
      <c r="A2319" s="50"/>
    </row>
    <row r="2320" spans="1:1" x14ac:dyDescent="0.35">
      <c r="A2320" s="50"/>
    </row>
    <row r="2321" spans="1:1" x14ac:dyDescent="0.35">
      <c r="A2321" s="50"/>
    </row>
    <row r="2322" spans="1:1" x14ac:dyDescent="0.35">
      <c r="A2322" s="50"/>
    </row>
    <row r="2323" spans="1:1" x14ac:dyDescent="0.35">
      <c r="A2323" s="50"/>
    </row>
    <row r="2324" spans="1:1" x14ac:dyDescent="0.35">
      <c r="A2324" s="50"/>
    </row>
    <row r="2325" spans="1:1" x14ac:dyDescent="0.35">
      <c r="A2325" s="50"/>
    </row>
    <row r="2326" spans="1:1" x14ac:dyDescent="0.35">
      <c r="A2326" s="50"/>
    </row>
    <row r="2327" spans="1:1" x14ac:dyDescent="0.35">
      <c r="A2327" s="50"/>
    </row>
    <row r="2328" spans="1:1" x14ac:dyDescent="0.35">
      <c r="A2328" s="50"/>
    </row>
    <row r="2329" spans="1:1" x14ac:dyDescent="0.35">
      <c r="A2329" s="50"/>
    </row>
    <row r="2330" spans="1:1" x14ac:dyDescent="0.35">
      <c r="A2330" s="50"/>
    </row>
    <row r="2331" spans="1:1" x14ac:dyDescent="0.35">
      <c r="A2331" s="50"/>
    </row>
    <row r="2332" spans="1:1" x14ac:dyDescent="0.35">
      <c r="A2332" s="50"/>
    </row>
    <row r="2333" spans="1:1" x14ac:dyDescent="0.35">
      <c r="A2333" s="50"/>
    </row>
    <row r="2334" spans="1:1" x14ac:dyDescent="0.35">
      <c r="A2334" s="50"/>
    </row>
    <row r="2335" spans="1:1" x14ac:dyDescent="0.35">
      <c r="A2335" s="50"/>
    </row>
    <row r="2336" spans="1:1" x14ac:dyDescent="0.35">
      <c r="A2336" s="50"/>
    </row>
    <row r="2337" spans="1:1" x14ac:dyDescent="0.35">
      <c r="A2337" s="50"/>
    </row>
    <row r="2338" spans="1:1" x14ac:dyDescent="0.35">
      <c r="A2338" s="50"/>
    </row>
    <row r="2339" spans="1:1" x14ac:dyDescent="0.35">
      <c r="A2339" s="50"/>
    </row>
    <row r="2340" spans="1:1" x14ac:dyDescent="0.35">
      <c r="A2340" s="50"/>
    </row>
    <row r="2341" spans="1:1" x14ac:dyDescent="0.35">
      <c r="A2341" s="50"/>
    </row>
    <row r="2342" spans="1:1" x14ac:dyDescent="0.35">
      <c r="A2342" s="50"/>
    </row>
    <row r="2343" spans="1:1" x14ac:dyDescent="0.35">
      <c r="A2343" s="50"/>
    </row>
    <row r="2344" spans="1:1" x14ac:dyDescent="0.35">
      <c r="A2344" s="40"/>
    </row>
    <row r="2345" spans="1:1" x14ac:dyDescent="0.35">
      <c r="A2345" s="40"/>
    </row>
    <row r="2346" spans="1:1" x14ac:dyDescent="0.35">
      <c r="A2346" s="50"/>
    </row>
    <row r="2347" spans="1:1" x14ac:dyDescent="0.35">
      <c r="A2347" s="50"/>
    </row>
    <row r="2348" spans="1:1" x14ac:dyDescent="0.35">
      <c r="A2348" s="50"/>
    </row>
    <row r="2349" spans="1:1" x14ac:dyDescent="0.35">
      <c r="A2349" s="50"/>
    </row>
    <row r="2350" spans="1:1" x14ac:dyDescent="0.35">
      <c r="A2350" s="50"/>
    </row>
    <row r="2351" spans="1:1" x14ac:dyDescent="0.35">
      <c r="A2351" s="50"/>
    </row>
    <row r="2352" spans="1:1" x14ac:dyDescent="0.35">
      <c r="A2352" s="50"/>
    </row>
    <row r="2353" spans="1:1" x14ac:dyDescent="0.35">
      <c r="A2353" s="50"/>
    </row>
    <row r="2354" spans="1:1" x14ac:dyDescent="0.35">
      <c r="A2354" s="50"/>
    </row>
    <row r="2355" spans="1:1" x14ac:dyDescent="0.35">
      <c r="A2355" s="50"/>
    </row>
    <row r="2356" spans="1:1" x14ac:dyDescent="0.35">
      <c r="A2356" s="50"/>
    </row>
    <row r="2357" spans="1:1" x14ac:dyDescent="0.35">
      <c r="A2357" s="50"/>
    </row>
    <row r="2358" spans="1:1" x14ac:dyDescent="0.35">
      <c r="A2358" s="50"/>
    </row>
    <row r="2359" spans="1:1" x14ac:dyDescent="0.35">
      <c r="A2359" s="50"/>
    </row>
    <row r="2360" spans="1:1" x14ac:dyDescent="0.35">
      <c r="A2360" s="50"/>
    </row>
    <row r="2361" spans="1:1" x14ac:dyDescent="0.35">
      <c r="A2361" s="50"/>
    </row>
    <row r="2362" spans="1:1" x14ac:dyDescent="0.35">
      <c r="A2362" s="50"/>
    </row>
    <row r="2363" spans="1:1" x14ac:dyDescent="0.35">
      <c r="A2363" s="40"/>
    </row>
    <row r="2364" spans="1:1" x14ac:dyDescent="0.35">
      <c r="A2364" s="50"/>
    </row>
    <row r="2365" spans="1:1" x14ac:dyDescent="0.35">
      <c r="A2365" s="50"/>
    </row>
    <row r="2366" spans="1:1" x14ac:dyDescent="0.35">
      <c r="A2366" s="50"/>
    </row>
    <row r="2367" spans="1:1" x14ac:dyDescent="0.35">
      <c r="A2367" s="50"/>
    </row>
    <row r="2368" spans="1:1" x14ac:dyDescent="0.35">
      <c r="A2368" s="50"/>
    </row>
    <row r="2369" spans="1:1" x14ac:dyDescent="0.35">
      <c r="A2369" s="50"/>
    </row>
    <row r="2370" spans="1:1" x14ac:dyDescent="0.35">
      <c r="A2370" s="50"/>
    </row>
    <row r="2371" spans="1:1" x14ac:dyDescent="0.35">
      <c r="A2371" s="50"/>
    </row>
    <row r="2372" spans="1:1" x14ac:dyDescent="0.35">
      <c r="A2372" s="50"/>
    </row>
    <row r="2373" spans="1:1" x14ac:dyDescent="0.35">
      <c r="A2373" s="50"/>
    </row>
    <row r="2374" spans="1:1" x14ac:dyDescent="0.35">
      <c r="A2374" s="50"/>
    </row>
    <row r="2375" spans="1:1" x14ac:dyDescent="0.35">
      <c r="A2375" s="50"/>
    </row>
    <row r="2376" spans="1:1" x14ac:dyDescent="0.35">
      <c r="A2376" s="50"/>
    </row>
    <row r="2377" spans="1:1" x14ac:dyDescent="0.35">
      <c r="A2377" s="50"/>
    </row>
    <row r="2378" spans="1:1" x14ac:dyDescent="0.35">
      <c r="A2378" s="50"/>
    </row>
    <row r="2379" spans="1:1" x14ac:dyDescent="0.35">
      <c r="A2379" s="50"/>
    </row>
    <row r="2380" spans="1:1" x14ac:dyDescent="0.35">
      <c r="A2380" s="50"/>
    </row>
    <row r="2381" spans="1:1" x14ac:dyDescent="0.35">
      <c r="A2381" s="50"/>
    </row>
    <row r="2382" spans="1:1" x14ac:dyDescent="0.35">
      <c r="A2382" s="50"/>
    </row>
    <row r="2383" spans="1:1" x14ac:dyDescent="0.35">
      <c r="A2383" s="50"/>
    </row>
    <row r="2384" spans="1:1" x14ac:dyDescent="0.35">
      <c r="A2384" s="50"/>
    </row>
    <row r="2385" spans="1:1" x14ac:dyDescent="0.35">
      <c r="A2385" s="40"/>
    </row>
    <row r="2386" spans="1:1" x14ac:dyDescent="0.35">
      <c r="A2386" s="50"/>
    </row>
    <row r="2387" spans="1:1" x14ac:dyDescent="0.35">
      <c r="A2387" s="50"/>
    </row>
    <row r="2388" spans="1:1" x14ac:dyDescent="0.35">
      <c r="A2388" s="50"/>
    </row>
    <row r="2389" spans="1:1" x14ac:dyDescent="0.35">
      <c r="A2389" s="50"/>
    </row>
    <row r="2390" spans="1:1" x14ac:dyDescent="0.35">
      <c r="A2390" s="50"/>
    </row>
    <row r="2391" spans="1:1" x14ac:dyDescent="0.35">
      <c r="A2391" s="40"/>
    </row>
    <row r="2392" spans="1:1" x14ac:dyDescent="0.35">
      <c r="A2392" s="40"/>
    </row>
    <row r="2393" spans="1:1" x14ac:dyDescent="0.35">
      <c r="A2393" s="50"/>
    </row>
    <row r="2394" spans="1:1" x14ac:dyDescent="0.35">
      <c r="A2394" s="50"/>
    </row>
    <row r="2395" spans="1:1" x14ac:dyDescent="0.35">
      <c r="A2395" s="50"/>
    </row>
    <row r="2396" spans="1:1" x14ac:dyDescent="0.35">
      <c r="A2396" s="50"/>
    </row>
    <row r="2397" spans="1:1" x14ac:dyDescent="0.35">
      <c r="A2397" s="50"/>
    </row>
    <row r="2398" spans="1:1" x14ac:dyDescent="0.35">
      <c r="A2398" s="50"/>
    </row>
    <row r="2399" spans="1:1" x14ac:dyDescent="0.35">
      <c r="A2399" s="50"/>
    </row>
    <row r="2400" spans="1:1" x14ac:dyDescent="0.35">
      <c r="A2400" s="50"/>
    </row>
    <row r="2401" spans="1:1" x14ac:dyDescent="0.35">
      <c r="A2401" s="50"/>
    </row>
    <row r="2402" spans="1:1" x14ac:dyDescent="0.35">
      <c r="A2402" s="50"/>
    </row>
    <row r="2403" spans="1:1" x14ac:dyDescent="0.35">
      <c r="A2403" s="50"/>
    </row>
    <row r="2404" spans="1:1" x14ac:dyDescent="0.35">
      <c r="A2404" s="50"/>
    </row>
    <row r="2405" spans="1:1" x14ac:dyDescent="0.35">
      <c r="A2405" s="50"/>
    </row>
    <row r="2406" spans="1:1" x14ac:dyDescent="0.35">
      <c r="A2406" s="50"/>
    </row>
    <row r="2407" spans="1:1" x14ac:dyDescent="0.35">
      <c r="A2407" s="50"/>
    </row>
    <row r="2408" spans="1:1" x14ac:dyDescent="0.35">
      <c r="A2408" s="50"/>
    </row>
    <row r="2409" spans="1:1" x14ac:dyDescent="0.35">
      <c r="A2409" s="50"/>
    </row>
    <row r="2410" spans="1:1" x14ac:dyDescent="0.35">
      <c r="A2410" s="50"/>
    </row>
    <row r="2411" spans="1:1" x14ac:dyDescent="0.35">
      <c r="A2411" s="50"/>
    </row>
    <row r="2412" spans="1:1" x14ac:dyDescent="0.35">
      <c r="A2412" s="50"/>
    </row>
    <row r="2413" spans="1:1" x14ac:dyDescent="0.35">
      <c r="A2413" s="50"/>
    </row>
    <row r="2414" spans="1:1" x14ac:dyDescent="0.35">
      <c r="A2414" s="50"/>
    </row>
    <row r="2415" spans="1:1" x14ac:dyDescent="0.35">
      <c r="A2415" s="50"/>
    </row>
    <row r="2416" spans="1:1" x14ac:dyDescent="0.35">
      <c r="A2416" s="50"/>
    </row>
    <row r="2417" spans="1:1" x14ac:dyDescent="0.35">
      <c r="A2417" s="50"/>
    </row>
    <row r="2418" spans="1:1" x14ac:dyDescent="0.35">
      <c r="A2418" s="50"/>
    </row>
    <row r="2419" spans="1:1" x14ac:dyDescent="0.35">
      <c r="A2419" s="50"/>
    </row>
    <row r="2420" spans="1:1" x14ac:dyDescent="0.35">
      <c r="A2420" s="50"/>
    </row>
    <row r="2421" spans="1:1" x14ac:dyDescent="0.35">
      <c r="A2421" s="50"/>
    </row>
    <row r="2422" spans="1:1" x14ac:dyDescent="0.35">
      <c r="A2422" s="50"/>
    </row>
    <row r="2423" spans="1:1" x14ac:dyDescent="0.35">
      <c r="A2423" s="40"/>
    </row>
    <row r="2424" spans="1:1" x14ac:dyDescent="0.35">
      <c r="A2424" s="40"/>
    </row>
    <row r="2425" spans="1:1" x14ac:dyDescent="0.35">
      <c r="A2425" s="40"/>
    </row>
    <row r="2426" spans="1:1" x14ac:dyDescent="0.35">
      <c r="A2426" s="40"/>
    </row>
    <row r="2427" spans="1:1" x14ac:dyDescent="0.35">
      <c r="A2427" s="40"/>
    </row>
    <row r="2428" spans="1:1" x14ac:dyDescent="0.35">
      <c r="A2428" s="40"/>
    </row>
    <row r="2429" spans="1:1" x14ac:dyDescent="0.35">
      <c r="A2429" s="50"/>
    </row>
    <row r="2430" spans="1:1" x14ac:dyDescent="0.35">
      <c r="A2430" s="50"/>
    </row>
    <row r="2431" spans="1:1" x14ac:dyDescent="0.35">
      <c r="A2431" s="40"/>
    </row>
    <row r="2432" spans="1:1" x14ac:dyDescent="0.35">
      <c r="A2432" s="50"/>
    </row>
    <row r="2433" spans="1:1" x14ac:dyDescent="0.35">
      <c r="A2433" s="50"/>
    </row>
    <row r="2434" spans="1:1" x14ac:dyDescent="0.35">
      <c r="A2434" s="50"/>
    </row>
    <row r="2435" spans="1:1" x14ac:dyDescent="0.35">
      <c r="A2435" s="50"/>
    </row>
    <row r="2436" spans="1:1" x14ac:dyDescent="0.35">
      <c r="A2436" s="50"/>
    </row>
    <row r="2437" spans="1:1" x14ac:dyDescent="0.35">
      <c r="A2437" s="50"/>
    </row>
    <row r="2438" spans="1:1" x14ac:dyDescent="0.35">
      <c r="A2438" s="50"/>
    </row>
    <row r="2439" spans="1:1" x14ac:dyDescent="0.35">
      <c r="A2439" s="40"/>
    </row>
    <row r="2440" spans="1:1" x14ac:dyDescent="0.35">
      <c r="A2440" s="50"/>
    </row>
    <row r="2441" spans="1:1" x14ac:dyDescent="0.35">
      <c r="A2441" s="50"/>
    </row>
    <row r="2442" spans="1:1" x14ac:dyDescent="0.35">
      <c r="A2442" s="50"/>
    </row>
    <row r="2443" spans="1:1" x14ac:dyDescent="0.35">
      <c r="A2443" s="50"/>
    </row>
    <row r="2444" spans="1:1" x14ac:dyDescent="0.35">
      <c r="A2444" s="50"/>
    </row>
    <row r="2445" spans="1:1" x14ac:dyDescent="0.35">
      <c r="A2445" s="50"/>
    </row>
    <row r="2446" spans="1:1" x14ac:dyDescent="0.35">
      <c r="A2446" s="50"/>
    </row>
    <row r="2447" spans="1:1" x14ac:dyDescent="0.35">
      <c r="A2447" s="50"/>
    </row>
    <row r="2448" spans="1:1" x14ac:dyDescent="0.35">
      <c r="A2448" s="50"/>
    </row>
    <row r="2449" spans="1:1" x14ac:dyDescent="0.35">
      <c r="A2449" s="50"/>
    </row>
    <row r="2450" spans="1:1" x14ac:dyDescent="0.35">
      <c r="A2450" s="50"/>
    </row>
    <row r="2451" spans="1:1" x14ac:dyDescent="0.35">
      <c r="A2451" s="50"/>
    </row>
    <row r="2452" spans="1:1" x14ac:dyDescent="0.35">
      <c r="A2452" s="50"/>
    </row>
    <row r="2453" spans="1:1" x14ac:dyDescent="0.35">
      <c r="A2453" s="50"/>
    </row>
    <row r="2454" spans="1:1" x14ac:dyDescent="0.35">
      <c r="A2454" s="50"/>
    </row>
    <row r="2455" spans="1:1" x14ac:dyDescent="0.35">
      <c r="A2455" s="50"/>
    </row>
    <row r="2456" spans="1:1" x14ac:dyDescent="0.35">
      <c r="A2456" s="50"/>
    </row>
    <row r="2457" spans="1:1" x14ac:dyDescent="0.35">
      <c r="A2457" s="50"/>
    </row>
    <row r="2458" spans="1:1" x14ac:dyDescent="0.35">
      <c r="A2458" s="50"/>
    </row>
    <row r="2459" spans="1:1" x14ac:dyDescent="0.35">
      <c r="A2459" s="50"/>
    </row>
    <row r="2460" spans="1:1" x14ac:dyDescent="0.35">
      <c r="A2460" s="50"/>
    </row>
    <row r="2461" spans="1:1" x14ac:dyDescent="0.35">
      <c r="A2461" s="50"/>
    </row>
    <row r="2462" spans="1:1" x14ac:dyDescent="0.35">
      <c r="A2462" s="50"/>
    </row>
    <row r="2463" spans="1:1" x14ac:dyDescent="0.35">
      <c r="A2463" s="50"/>
    </row>
    <row r="2464" spans="1:1" x14ac:dyDescent="0.35">
      <c r="A2464" s="50"/>
    </row>
    <row r="2465" spans="1:1" x14ac:dyDescent="0.35">
      <c r="A2465" s="50"/>
    </row>
    <row r="2466" spans="1:1" x14ac:dyDescent="0.35">
      <c r="A2466" s="50"/>
    </row>
    <row r="2467" spans="1:1" x14ac:dyDescent="0.35">
      <c r="A2467" s="50"/>
    </row>
    <row r="2468" spans="1:1" x14ac:dyDescent="0.35">
      <c r="A2468" s="50"/>
    </row>
    <row r="2469" spans="1:1" x14ac:dyDescent="0.35">
      <c r="A2469" s="50"/>
    </row>
    <row r="2470" spans="1:1" x14ac:dyDescent="0.35">
      <c r="A2470" s="50"/>
    </row>
    <row r="2471" spans="1:1" x14ac:dyDescent="0.35">
      <c r="A2471" s="50"/>
    </row>
    <row r="2472" spans="1:1" x14ac:dyDescent="0.35">
      <c r="A2472" s="50"/>
    </row>
    <row r="2473" spans="1:1" x14ac:dyDescent="0.35">
      <c r="A2473" s="50"/>
    </row>
    <row r="2474" spans="1:1" x14ac:dyDescent="0.35">
      <c r="A2474" s="50"/>
    </row>
    <row r="2475" spans="1:1" x14ac:dyDescent="0.35">
      <c r="A2475" s="50"/>
    </row>
    <row r="2476" spans="1:1" x14ac:dyDescent="0.35">
      <c r="A2476" s="50"/>
    </row>
    <row r="2477" spans="1:1" x14ac:dyDescent="0.35">
      <c r="A2477" s="40"/>
    </row>
    <row r="2478" spans="1:1" x14ac:dyDescent="0.35">
      <c r="A2478" s="50"/>
    </row>
    <row r="2479" spans="1:1" x14ac:dyDescent="0.35">
      <c r="A2479" s="40"/>
    </row>
    <row r="2480" spans="1:1" x14ac:dyDescent="0.35">
      <c r="A2480" s="50"/>
    </row>
    <row r="2481" spans="1:1" x14ac:dyDescent="0.35">
      <c r="A2481" s="50"/>
    </row>
    <row r="2482" spans="1:1" x14ac:dyDescent="0.35">
      <c r="A2482" s="50"/>
    </row>
    <row r="2483" spans="1:1" x14ac:dyDescent="0.35">
      <c r="A2483" s="50"/>
    </row>
    <row r="2484" spans="1:1" x14ac:dyDescent="0.35">
      <c r="A2484" s="50"/>
    </row>
    <row r="2485" spans="1:1" x14ac:dyDescent="0.35">
      <c r="A2485" s="50"/>
    </row>
    <row r="2486" spans="1:1" x14ac:dyDescent="0.35">
      <c r="A2486" s="50"/>
    </row>
    <row r="2487" spans="1:1" x14ac:dyDescent="0.35">
      <c r="A2487" s="50"/>
    </row>
    <row r="2488" spans="1:1" x14ac:dyDescent="0.35">
      <c r="A2488" s="50"/>
    </row>
    <row r="2489" spans="1:1" x14ac:dyDescent="0.35">
      <c r="A2489" s="50"/>
    </row>
    <row r="2490" spans="1:1" x14ac:dyDescent="0.35">
      <c r="A2490" s="40"/>
    </row>
    <row r="2491" spans="1:1" x14ac:dyDescent="0.35">
      <c r="A2491" s="50"/>
    </row>
    <row r="2492" spans="1:1" x14ac:dyDescent="0.35">
      <c r="A2492" s="50"/>
    </row>
    <row r="2493" spans="1:1" x14ac:dyDescent="0.35">
      <c r="A2493" s="50"/>
    </row>
    <row r="2494" spans="1:1" x14ac:dyDescent="0.35">
      <c r="A2494" s="50"/>
    </row>
    <row r="2495" spans="1:1" x14ac:dyDescent="0.35">
      <c r="A2495" s="50"/>
    </row>
    <row r="2496" spans="1:1" x14ac:dyDescent="0.35">
      <c r="A2496" s="50"/>
    </row>
    <row r="2497" spans="1:1" x14ac:dyDescent="0.35">
      <c r="A2497" s="50"/>
    </row>
    <row r="2498" spans="1:1" x14ac:dyDescent="0.35">
      <c r="A2498" s="50"/>
    </row>
    <row r="2499" spans="1:1" x14ac:dyDescent="0.35">
      <c r="A2499" s="50"/>
    </row>
    <row r="2500" spans="1:1" x14ac:dyDescent="0.35">
      <c r="A2500" s="50"/>
    </row>
    <row r="2501" spans="1:1" x14ac:dyDescent="0.35">
      <c r="A2501" s="50"/>
    </row>
    <row r="2502" spans="1:1" x14ac:dyDescent="0.35">
      <c r="A2502" s="50"/>
    </row>
    <row r="2503" spans="1:1" x14ac:dyDescent="0.35">
      <c r="A2503" s="50"/>
    </row>
    <row r="2504" spans="1:1" x14ac:dyDescent="0.35">
      <c r="A2504" s="50"/>
    </row>
    <row r="2505" spans="1:1" x14ac:dyDescent="0.35">
      <c r="A2505" s="40"/>
    </row>
    <row r="2506" spans="1:1" x14ac:dyDescent="0.35">
      <c r="A2506" s="40"/>
    </row>
    <row r="2507" spans="1:1" x14ac:dyDescent="0.35">
      <c r="A2507" s="40"/>
    </row>
    <row r="2508" spans="1:1" x14ac:dyDescent="0.35">
      <c r="A2508" s="40"/>
    </row>
    <row r="2509" spans="1:1" x14ac:dyDescent="0.35">
      <c r="A2509" s="50"/>
    </row>
    <row r="2510" spans="1:1" x14ac:dyDescent="0.35">
      <c r="A2510" s="50"/>
    </row>
    <row r="2511" spans="1:1" x14ac:dyDescent="0.35">
      <c r="A2511" s="40"/>
    </row>
    <row r="2512" spans="1:1" x14ac:dyDescent="0.35">
      <c r="A2512" s="50"/>
    </row>
    <row r="2513" spans="1:1" x14ac:dyDescent="0.35">
      <c r="A2513" s="40"/>
    </row>
  </sheetData>
  <phoneticPr fontId="8"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54BC-F757-47D2-A527-565738FA2264}">
  <dimension ref="A1:K87"/>
  <sheetViews>
    <sheetView zoomScaleNormal="100" workbookViewId="0">
      <selection activeCell="K1366" sqref="K1366:L1366"/>
    </sheetView>
  </sheetViews>
  <sheetFormatPr defaultColWidth="8.7265625" defaultRowHeight="12.5" x14ac:dyDescent="0.25"/>
  <cols>
    <col min="1" max="1" width="34.1796875" style="27" bestFit="1" customWidth="1"/>
    <col min="2" max="2" width="49.1796875" style="27" bestFit="1" customWidth="1"/>
    <col min="3" max="3" width="10.1796875" style="46" bestFit="1" customWidth="1"/>
    <col min="4" max="5" width="15.54296875" style="27" customWidth="1"/>
    <col min="6" max="6" width="25.54296875" style="27" customWidth="1"/>
    <col min="7" max="7" width="15.54296875" style="27" customWidth="1"/>
    <col min="8" max="8" width="25.54296875" style="27" customWidth="1"/>
    <col min="9" max="9" width="8.7265625" style="27"/>
    <col min="10" max="10" width="50.54296875" style="27" customWidth="1"/>
    <col min="11" max="11" width="14.1796875" style="27" bestFit="1" customWidth="1"/>
    <col min="12" max="16384" width="8.7265625" style="27"/>
  </cols>
  <sheetData>
    <row r="1" spans="1:11" ht="13" x14ac:dyDescent="0.25">
      <c r="A1" s="48" t="s">
        <v>7718</v>
      </c>
      <c r="B1" s="48" t="s">
        <v>7719</v>
      </c>
      <c r="C1" s="48" t="s">
        <v>7720</v>
      </c>
      <c r="D1" s="52" t="s">
        <v>7721</v>
      </c>
      <c r="E1" s="52" t="s">
        <v>7722</v>
      </c>
      <c r="F1" s="52" t="s">
        <v>7723</v>
      </c>
      <c r="G1" s="52" t="s">
        <v>7724</v>
      </c>
      <c r="H1" s="52" t="s">
        <v>7725</v>
      </c>
      <c r="J1" s="52" t="s">
        <v>7726</v>
      </c>
      <c r="K1" s="52" t="s">
        <v>7727</v>
      </c>
    </row>
    <row r="2" spans="1:11" x14ac:dyDescent="0.25">
      <c r="A2" s="27" t="s">
        <v>7728</v>
      </c>
      <c r="B2" s="27" t="s">
        <v>7729</v>
      </c>
      <c r="C2" s="46" t="s">
        <v>7730</v>
      </c>
    </row>
    <row r="3" spans="1:11" x14ac:dyDescent="0.25">
      <c r="A3" s="27" t="s">
        <v>47</v>
      </c>
      <c r="B3" s="27" t="s">
        <v>7731</v>
      </c>
      <c r="C3" s="46" t="str">
        <f>IF(COUNTIFS(Assessment!V:V,"=Yes",Assessment!X:X,"")&gt;0,"Column Y","Good")</f>
        <v>Column Y</v>
      </c>
    </row>
    <row r="4" spans="1:11" x14ac:dyDescent="0.25">
      <c r="A4" s="27" t="s">
        <v>7732</v>
      </c>
      <c r="B4" s="27" t="s">
        <v>7733</v>
      </c>
      <c r="C4" s="46" t="str">
        <f>IF(COUNTIFS(Assessment!V:V,"=Yes",Assessment!AC:AC,"")&gt;0,"Column AD","Good")</f>
        <v>Column AD</v>
      </c>
    </row>
    <row r="5" spans="1:11" x14ac:dyDescent="0.25">
      <c r="A5" s="27" t="s">
        <v>7734</v>
      </c>
      <c r="B5" s="27" t="s">
        <v>7735</v>
      </c>
      <c r="C5" s="46" t="str">
        <f>IF(COUNTIFS(Assessment!V:V,"=Yes",Assessment!AD:AD,"")&gt;0,"Column AE","Good")</f>
        <v>Column AE</v>
      </c>
    </row>
    <row r="6" spans="1:11" x14ac:dyDescent="0.25">
      <c r="A6" s="27" t="s">
        <v>7734</v>
      </c>
      <c r="B6" s="27" t="s">
        <v>7736</v>
      </c>
      <c r="C6" s="46" t="s">
        <v>7730</v>
      </c>
    </row>
    <row r="7" spans="1:11" x14ac:dyDescent="0.25">
      <c r="A7" s="27" t="s">
        <v>7737</v>
      </c>
      <c r="B7" s="27" t="s">
        <v>7738</v>
      </c>
      <c r="C7" s="46" t="str">
        <f>IF(COUNTIFS(Assessment!V:V,"=Yes",Assessment!X:X,"&lt;&gt;5. Fully Compliant (100%)",Assessment!AE:AE,"")&gt;0,"Column AF","Good")</f>
        <v>Column AF</v>
      </c>
    </row>
    <row r="8" spans="1:11" x14ac:dyDescent="0.25">
      <c r="A8" s="27" t="s">
        <v>7737</v>
      </c>
      <c r="B8" s="27" t="s">
        <v>7736</v>
      </c>
      <c r="C8" s="46" t="s">
        <v>7730</v>
      </c>
    </row>
    <row r="9" spans="1:11" x14ac:dyDescent="0.25">
      <c r="A9" s="27" t="s">
        <v>47</v>
      </c>
      <c r="B9" s="27" t="s">
        <v>7739</v>
      </c>
      <c r="C9" s="46" t="str">
        <f>IF(COUNTIFS(Assessment!V:V,"=Yes",Assessment!X:X,"=5. Fully Compliant (100%)",Assessment!AE:AE,"&lt;&gt;")&gt;0,"Column AF","Good")</f>
        <v>Good</v>
      </c>
    </row>
    <row r="10" spans="1:11" x14ac:dyDescent="0.25">
      <c r="A10" s="27" t="s">
        <v>47</v>
      </c>
      <c r="B10" s="27" t="s">
        <v>7740</v>
      </c>
      <c r="C10" s="46" t="s">
        <v>7730</v>
      </c>
    </row>
    <row r="11" spans="1:11" x14ac:dyDescent="0.25">
      <c r="A11" s="27" t="s">
        <v>47</v>
      </c>
      <c r="B11" s="27" t="s">
        <v>7741</v>
      </c>
      <c r="C11" s="46" t="s">
        <v>7730</v>
      </c>
    </row>
    <row r="12" spans="1:11" x14ac:dyDescent="0.25">
      <c r="A12" s="27" t="s">
        <v>47</v>
      </c>
      <c r="B12" s="27" t="s">
        <v>7742</v>
      </c>
      <c r="C12" s="46" t="s">
        <v>7730</v>
      </c>
    </row>
    <row r="13" spans="1:11" x14ac:dyDescent="0.25">
      <c r="A13" s="27" t="s">
        <v>47</v>
      </c>
      <c r="B13" s="27" t="s">
        <v>7743</v>
      </c>
      <c r="C13" s="46" t="s">
        <v>7730</v>
      </c>
    </row>
    <row r="14" spans="1:11" x14ac:dyDescent="0.25">
      <c r="A14" s="27" t="s">
        <v>55</v>
      </c>
      <c r="B14" s="27" t="s">
        <v>7744</v>
      </c>
      <c r="C14" s="46" t="str">
        <f>IF(COUNTIFS(Assessment!E:E,"=Yes",Assessment!AF:AF,"")&gt;0,"Column AG","Good")</f>
        <v>Column AG</v>
      </c>
    </row>
    <row r="15" spans="1:11" x14ac:dyDescent="0.25">
      <c r="A15" s="27" t="s">
        <v>48</v>
      </c>
      <c r="B15" s="27" t="s">
        <v>7731</v>
      </c>
      <c r="C15" s="46" t="str">
        <f>IF(COUNTIFS(Assessment!V:V,"=Yes",Assessment!Y:Y,"")&gt;0,"Column Z","Good")</f>
        <v>Column Z</v>
      </c>
    </row>
    <row r="16" spans="1:11" x14ac:dyDescent="0.25">
      <c r="A16" s="27" t="s">
        <v>7745</v>
      </c>
      <c r="B16" s="27" t="s">
        <v>7733</v>
      </c>
      <c r="C16" s="46" t="str">
        <f>IF(COUNTIFS(Assessment!V:V,"=Yes",Assessment!AG:AG,"")&gt;0,"Column AH","Good")</f>
        <v>Column AH</v>
      </c>
    </row>
    <row r="17" spans="1:3" x14ac:dyDescent="0.25">
      <c r="A17" s="27" t="s">
        <v>7746</v>
      </c>
      <c r="B17" s="27" t="s">
        <v>7735</v>
      </c>
      <c r="C17" s="46" t="str">
        <f>IF(COUNTIFS(Assessment!V:V,"=Yes",Assessment!AH:AH,"")&gt;0,"Column AI","Good")</f>
        <v>Column AI</v>
      </c>
    </row>
    <row r="18" spans="1:3" x14ac:dyDescent="0.25">
      <c r="A18" s="27" t="s">
        <v>7746</v>
      </c>
      <c r="B18" s="27" t="s">
        <v>7736</v>
      </c>
      <c r="C18" s="46" t="s">
        <v>7730</v>
      </c>
    </row>
    <row r="19" spans="1:3" x14ac:dyDescent="0.25">
      <c r="A19" s="27" t="s">
        <v>7747</v>
      </c>
      <c r="B19" s="27" t="s">
        <v>7738</v>
      </c>
      <c r="C19" s="46" t="str">
        <f>IF(COUNTIFS(Assessment!V:V,"=Yes",Assessment!Y:Y,"&lt;&gt;5. Fully Compliant (100%)",Assessment!AI:AI,"")&gt;0,"Column AJ","Good")</f>
        <v>Column AJ</v>
      </c>
    </row>
    <row r="20" spans="1:3" x14ac:dyDescent="0.25">
      <c r="A20" s="27" t="s">
        <v>7747</v>
      </c>
      <c r="B20" s="27" t="s">
        <v>7736</v>
      </c>
      <c r="C20" s="46" t="s">
        <v>7730</v>
      </c>
    </row>
    <row r="21" spans="1:3" x14ac:dyDescent="0.25">
      <c r="A21" s="27" t="s">
        <v>48</v>
      </c>
      <c r="B21" s="27" t="s">
        <v>7739</v>
      </c>
      <c r="C21" s="46" t="str">
        <f>IF(COUNTIFS(Assessment!V:V,"=Yes",Assessment!Y:Y,"=5. Fully Compliant (100%)",Assessment!AI:AI,"&lt;&gt;")&gt;0,"Column AJ","Good")</f>
        <v>Good</v>
      </c>
    </row>
    <row r="22" spans="1:3" x14ac:dyDescent="0.25">
      <c r="A22" s="27" t="s">
        <v>48</v>
      </c>
      <c r="B22" s="27" t="s">
        <v>7740</v>
      </c>
      <c r="C22" s="46" t="s">
        <v>7730</v>
      </c>
    </row>
    <row r="23" spans="1:3" x14ac:dyDescent="0.25">
      <c r="A23" s="27" t="s">
        <v>48</v>
      </c>
      <c r="B23" s="27" t="s">
        <v>7741</v>
      </c>
      <c r="C23" s="46" t="s">
        <v>7730</v>
      </c>
    </row>
    <row r="24" spans="1:3" x14ac:dyDescent="0.25">
      <c r="A24" s="27" t="s">
        <v>48</v>
      </c>
      <c r="B24" s="27" t="s">
        <v>7742</v>
      </c>
      <c r="C24" s="46" t="s">
        <v>7730</v>
      </c>
    </row>
    <row r="25" spans="1:3" x14ac:dyDescent="0.25">
      <c r="A25" s="27" t="s">
        <v>48</v>
      </c>
      <c r="B25" s="27" t="s">
        <v>7743</v>
      </c>
      <c r="C25" s="46" t="s">
        <v>7730</v>
      </c>
    </row>
    <row r="26" spans="1:3" x14ac:dyDescent="0.25">
      <c r="A26" s="27" t="s">
        <v>59</v>
      </c>
      <c r="B26" s="27" t="s">
        <v>7744</v>
      </c>
      <c r="C26" s="46" t="str">
        <f>IF(COUNTIFS(Assessment!E:E,"=Yes",Assessment!AJ:AJ,"")&gt;0,"Column AK","Good")</f>
        <v>Column AK</v>
      </c>
    </row>
    <row r="27" spans="1:3" x14ac:dyDescent="0.25">
      <c r="A27" s="27" t="s">
        <v>45</v>
      </c>
      <c r="B27" s="27" t="s">
        <v>7748</v>
      </c>
      <c r="C27" s="46" t="s">
        <v>7730</v>
      </c>
    </row>
    <row r="28" spans="1:3" x14ac:dyDescent="0.25">
      <c r="A28" s="27" t="s">
        <v>7749</v>
      </c>
      <c r="B28" s="27" t="s">
        <v>7750</v>
      </c>
      <c r="C28" s="46" t="str">
        <f>IF(COUNTIFS(Assessment!V:V,"=No",Assessment!W:W,"")&gt;0,"Column X","Good")</f>
        <v>Good</v>
      </c>
    </row>
    <row r="29" spans="1:3" x14ac:dyDescent="0.25">
      <c r="A29" s="27" t="s">
        <v>7749</v>
      </c>
      <c r="B29" s="27" t="s">
        <v>7736</v>
      </c>
      <c r="C29" s="46" t="s">
        <v>7730</v>
      </c>
    </row>
    <row r="30" spans="1:3" x14ac:dyDescent="0.25">
      <c r="A30" s="27" t="s">
        <v>7751</v>
      </c>
      <c r="B30" s="27" t="s">
        <v>7752</v>
      </c>
      <c r="C30" s="46" t="s">
        <v>7730</v>
      </c>
    </row>
    <row r="31" spans="1:3" x14ac:dyDescent="0.25">
      <c r="A31" s="27" t="s">
        <v>39</v>
      </c>
      <c r="B31" s="27" t="s">
        <v>7753</v>
      </c>
      <c r="C31" s="46" t="s">
        <v>7730</v>
      </c>
    </row>
    <row r="32" spans="1:3" x14ac:dyDescent="0.25">
      <c r="A32" s="27" t="s">
        <v>7754</v>
      </c>
      <c r="B32" s="27" t="s">
        <v>7755</v>
      </c>
      <c r="C32" s="46" t="s">
        <v>7730</v>
      </c>
    </row>
    <row r="33" spans="1:3" x14ac:dyDescent="0.25">
      <c r="A33" s="27" t="s">
        <v>7756</v>
      </c>
      <c r="B33" s="27" t="s">
        <v>7757</v>
      </c>
      <c r="C33" s="46" t="s">
        <v>7730</v>
      </c>
    </row>
    <row r="34" spans="1:3" x14ac:dyDescent="0.25">
      <c r="A34" s="27" t="s">
        <v>49</v>
      </c>
      <c r="B34" s="27" t="s">
        <v>7731</v>
      </c>
      <c r="C34" s="46" t="str">
        <f>IF(COUNTIFS(Assessment!V:V,"=Yes",Assessment!Z:Z,"")&gt;0,"Column AA","Good")</f>
        <v>Column AA</v>
      </c>
    </row>
    <row r="35" spans="1:3" x14ac:dyDescent="0.25">
      <c r="A35" s="27" t="s">
        <v>7758</v>
      </c>
      <c r="B35" s="27" t="s">
        <v>7759</v>
      </c>
      <c r="C35" s="46" t="s">
        <v>7730</v>
      </c>
    </row>
    <row r="36" spans="1:3" x14ac:dyDescent="0.25">
      <c r="A36" s="27" t="s">
        <v>7758</v>
      </c>
      <c r="B36" s="27" t="s">
        <v>7736</v>
      </c>
      <c r="C36" s="46" t="s">
        <v>7730</v>
      </c>
    </row>
    <row r="37" spans="1:3" x14ac:dyDescent="0.25">
      <c r="A37" s="27" t="s">
        <v>7760</v>
      </c>
      <c r="B37" s="27" t="s">
        <v>7759</v>
      </c>
      <c r="C37" s="46" t="s">
        <v>7730</v>
      </c>
    </row>
    <row r="38" spans="1:3" x14ac:dyDescent="0.25">
      <c r="A38" s="27" t="s">
        <v>7760</v>
      </c>
      <c r="B38" s="27" t="s">
        <v>7736</v>
      </c>
      <c r="C38" s="46" t="s">
        <v>7730</v>
      </c>
    </row>
    <row r="39" spans="1:3" x14ac:dyDescent="0.25">
      <c r="A39" s="27" t="s">
        <v>7761</v>
      </c>
      <c r="B39" s="27" t="s">
        <v>7759</v>
      </c>
      <c r="C39" s="46" t="s">
        <v>7730</v>
      </c>
    </row>
    <row r="40" spans="1:3" x14ac:dyDescent="0.25">
      <c r="A40" s="27" t="s">
        <v>7761</v>
      </c>
      <c r="B40" s="27" t="s">
        <v>7736</v>
      </c>
      <c r="C40" s="46" t="s">
        <v>7730</v>
      </c>
    </row>
    <row r="41" spans="1:3" x14ac:dyDescent="0.25">
      <c r="A41" s="27" t="s">
        <v>7762</v>
      </c>
      <c r="B41" s="27" t="s">
        <v>7733</v>
      </c>
      <c r="C41" s="46" t="s">
        <v>7730</v>
      </c>
    </row>
    <row r="42" spans="1:3" x14ac:dyDescent="0.25">
      <c r="A42" s="27" t="s">
        <v>7763</v>
      </c>
      <c r="B42" s="27" t="s">
        <v>7744</v>
      </c>
      <c r="C42" s="46" t="str">
        <f>IF(COUNTIFS(Assessment!V:V,"=Yes",Assessment!AO:AO,"")&gt;0,"Column AP","Good")</f>
        <v>Column AP</v>
      </c>
    </row>
    <row r="43" spans="1:3" x14ac:dyDescent="0.25">
      <c r="A43" s="27" t="s">
        <v>7763</v>
      </c>
      <c r="B43" s="27" t="s">
        <v>7736</v>
      </c>
      <c r="C43" s="46" t="s">
        <v>7730</v>
      </c>
    </row>
    <row r="44" spans="1:3" x14ac:dyDescent="0.25">
      <c r="A44" s="27" t="s">
        <v>7763</v>
      </c>
      <c r="B44" s="27" t="s">
        <v>7764</v>
      </c>
      <c r="C44" s="46" t="s">
        <v>7730</v>
      </c>
    </row>
    <row r="45" spans="1:3" x14ac:dyDescent="0.25">
      <c r="A45" s="27" t="s">
        <v>7765</v>
      </c>
      <c r="B45" s="27" t="s">
        <v>7738</v>
      </c>
      <c r="C45" s="46" t="str">
        <f>IF(COUNTIFS(Assessment!V:V,"=Yes",Assessment!Z:Z,"&lt;&gt;5. Fully Compliant (100%)",Assessment!AP:AP,"")&gt;0,"Column AQ","Good")</f>
        <v>Column AQ</v>
      </c>
    </row>
    <row r="46" spans="1:3" x14ac:dyDescent="0.25">
      <c r="A46" s="27" t="s">
        <v>7765</v>
      </c>
      <c r="B46" s="27" t="s">
        <v>7736</v>
      </c>
      <c r="C46" s="46" t="s">
        <v>7730</v>
      </c>
    </row>
    <row r="47" spans="1:3" x14ac:dyDescent="0.25">
      <c r="A47" s="27" t="s">
        <v>49</v>
      </c>
      <c r="B47" s="27" t="s">
        <v>7739</v>
      </c>
      <c r="C47" s="46" t="str">
        <f>IF(COUNTIFS(Assessment!V:V,"=Yes",Assessment!Z:Z,"=5. Fully Compliant (100%)",Assessment!AP:AP,"&lt;&gt;")&gt;0,"Column AQ","Good")</f>
        <v>Good</v>
      </c>
    </row>
    <row r="48" spans="1:3" x14ac:dyDescent="0.25">
      <c r="A48" s="27" t="s">
        <v>49</v>
      </c>
      <c r="B48" s="27" t="s">
        <v>7740</v>
      </c>
      <c r="C48" s="46" t="s">
        <v>7730</v>
      </c>
    </row>
    <row r="49" spans="1:3" x14ac:dyDescent="0.25">
      <c r="A49" s="27" t="s">
        <v>49</v>
      </c>
      <c r="B49" s="27" t="s">
        <v>7741</v>
      </c>
      <c r="C49" s="46" t="s">
        <v>7730</v>
      </c>
    </row>
    <row r="50" spans="1:3" x14ac:dyDescent="0.25">
      <c r="A50" s="27" t="s">
        <v>49</v>
      </c>
      <c r="B50" s="27" t="s">
        <v>7742</v>
      </c>
      <c r="C50" s="46" t="s">
        <v>7730</v>
      </c>
    </row>
    <row r="51" spans="1:3" x14ac:dyDescent="0.25">
      <c r="A51" s="27" t="s">
        <v>49</v>
      </c>
      <c r="B51" s="27" t="s">
        <v>7743</v>
      </c>
      <c r="C51" s="46" t="s">
        <v>7730</v>
      </c>
    </row>
    <row r="52" spans="1:3" x14ac:dyDescent="0.25">
      <c r="A52" s="27" t="s">
        <v>7766</v>
      </c>
      <c r="B52" s="27" t="s">
        <v>7744</v>
      </c>
      <c r="C52" s="46" t="str">
        <f>IF(COUNTIFS(Assessment!V:V,"=Yes",Assessment!AR:AR,"")&gt;0,"Column AS","Good")</f>
        <v>Column AS</v>
      </c>
    </row>
    <row r="53" spans="1:3" x14ac:dyDescent="0.25">
      <c r="A53" s="27" t="s">
        <v>68</v>
      </c>
      <c r="B53" s="27" t="s">
        <v>7744</v>
      </c>
      <c r="C53" s="46" t="str">
        <f>IF(COUNTIFS(Assessment!E:E,"=Yes",Assessment!AS:AS,"")&gt;0,"Column AT","Good")</f>
        <v>Column AT</v>
      </c>
    </row>
    <row r="54" spans="1:3" x14ac:dyDescent="0.25">
      <c r="A54" s="27" t="s">
        <v>50</v>
      </c>
      <c r="B54" s="27" t="s">
        <v>7731</v>
      </c>
      <c r="C54" s="46" t="str">
        <f>IF(COUNTIFS(Assessment!V:V,"=Yes",Assessment!AA:AA,"")&gt;0,"Column AB","Good")</f>
        <v>Column AB</v>
      </c>
    </row>
    <row r="55" spans="1:3" x14ac:dyDescent="0.25">
      <c r="A55" s="27" t="s">
        <v>51</v>
      </c>
      <c r="B55" s="27" t="s">
        <v>7731</v>
      </c>
      <c r="C55" s="46" t="str">
        <f>IF(COUNTIFS(Assessment!V:V,"=Yes",Assessment!AB:AB,"")&gt;0,"Column AC","Good")</f>
        <v>Column AC</v>
      </c>
    </row>
    <row r="56" spans="1:3" x14ac:dyDescent="0.25">
      <c r="A56" s="27" t="s">
        <v>83</v>
      </c>
      <c r="B56" s="27" t="s">
        <v>7767</v>
      </c>
      <c r="C56" s="46" t="s">
        <v>7730</v>
      </c>
    </row>
    <row r="57" spans="1:3" x14ac:dyDescent="0.25">
      <c r="A57" s="27" t="s">
        <v>7768</v>
      </c>
      <c r="B57" s="27" t="s">
        <v>7769</v>
      </c>
      <c r="C57" s="46" t="s">
        <v>7730</v>
      </c>
    </row>
    <row r="58" spans="1:3" x14ac:dyDescent="0.25">
      <c r="A58" s="27" t="s">
        <v>7768</v>
      </c>
      <c r="B58" s="27" t="s">
        <v>7736</v>
      </c>
      <c r="C58" s="46" t="s">
        <v>7730</v>
      </c>
    </row>
    <row r="59" spans="1:3" x14ac:dyDescent="0.25">
      <c r="A59" s="27" t="s">
        <v>7768</v>
      </c>
      <c r="B59" s="27" t="s">
        <v>7770</v>
      </c>
      <c r="C59" s="46" t="s">
        <v>7730</v>
      </c>
    </row>
    <row r="60" spans="1:3" x14ac:dyDescent="0.25">
      <c r="A60" s="27" t="s">
        <v>7768</v>
      </c>
      <c r="B60" s="27" t="s">
        <v>7771</v>
      </c>
      <c r="C60" s="46" t="s">
        <v>7730</v>
      </c>
    </row>
    <row r="61" spans="1:3" x14ac:dyDescent="0.25">
      <c r="A61" s="27" t="s">
        <v>7768</v>
      </c>
      <c r="B61" s="27" t="s">
        <v>7772</v>
      </c>
      <c r="C61" s="46" t="s">
        <v>7730</v>
      </c>
    </row>
    <row r="62" spans="1:3" x14ac:dyDescent="0.25">
      <c r="A62" s="27" t="s">
        <v>7768</v>
      </c>
      <c r="B62" s="27" t="s">
        <v>7773</v>
      </c>
      <c r="C62" s="46" t="s">
        <v>7730</v>
      </c>
    </row>
    <row r="63" spans="1:3" x14ac:dyDescent="0.25">
      <c r="A63" s="27" t="s">
        <v>7768</v>
      </c>
      <c r="B63" s="27" t="s">
        <v>7731</v>
      </c>
      <c r="C63" s="46" t="s">
        <v>7730</v>
      </c>
    </row>
    <row r="64" spans="1:3" x14ac:dyDescent="0.25">
      <c r="A64" s="27" t="s">
        <v>7768</v>
      </c>
      <c r="B64" s="27" t="s">
        <v>7774</v>
      </c>
      <c r="C64" s="46" t="s">
        <v>7730</v>
      </c>
    </row>
    <row r="65" spans="1:3" x14ac:dyDescent="0.25">
      <c r="A65" s="27" t="s">
        <v>7768</v>
      </c>
      <c r="B65" s="27" t="s">
        <v>7775</v>
      </c>
      <c r="C65" s="46" t="s">
        <v>7730</v>
      </c>
    </row>
    <row r="66" spans="1:3" x14ac:dyDescent="0.25">
      <c r="A66" s="27" t="s">
        <v>7768</v>
      </c>
      <c r="B66" s="27" t="s">
        <v>7776</v>
      </c>
      <c r="C66" s="46" t="s">
        <v>7730</v>
      </c>
    </row>
    <row r="67" spans="1:3" x14ac:dyDescent="0.25">
      <c r="A67" s="27" t="s">
        <v>7768</v>
      </c>
      <c r="B67" s="27" t="s">
        <v>7777</v>
      </c>
      <c r="C67" s="46" t="s">
        <v>7730</v>
      </c>
    </row>
    <row r="68" spans="1:3" x14ac:dyDescent="0.25">
      <c r="A68" s="27" t="s">
        <v>7778</v>
      </c>
      <c r="B68" s="27" t="s">
        <v>7779</v>
      </c>
      <c r="C68" s="46" t="s">
        <v>7730</v>
      </c>
    </row>
    <row r="69" spans="1:3" x14ac:dyDescent="0.25">
      <c r="A69" s="27" t="s">
        <v>7780</v>
      </c>
      <c r="B69" s="27" t="s">
        <v>7781</v>
      </c>
      <c r="C69" s="46" t="s">
        <v>7730</v>
      </c>
    </row>
    <row r="70" spans="1:3" x14ac:dyDescent="0.25">
      <c r="A70" s="27" t="s">
        <v>7780</v>
      </c>
      <c r="B70" s="27" t="s">
        <v>7782</v>
      </c>
      <c r="C70" s="46" t="s">
        <v>7730</v>
      </c>
    </row>
    <row r="71" spans="1:3" x14ac:dyDescent="0.25">
      <c r="A71" s="27" t="s">
        <v>7783</v>
      </c>
      <c r="B71" s="27" t="s">
        <v>7784</v>
      </c>
      <c r="C71" s="46" t="s">
        <v>7730</v>
      </c>
    </row>
    <row r="72" spans="1:3" x14ac:dyDescent="0.25">
      <c r="A72" s="27" t="s">
        <v>7783</v>
      </c>
      <c r="B72" s="27" t="s">
        <v>7785</v>
      </c>
      <c r="C72" s="46" t="s">
        <v>7730</v>
      </c>
    </row>
    <row r="73" spans="1:3" x14ac:dyDescent="0.25">
      <c r="A73" s="27" t="s">
        <v>7783</v>
      </c>
      <c r="B73" s="27" t="s">
        <v>7786</v>
      </c>
      <c r="C73" s="46" t="s">
        <v>7730</v>
      </c>
    </row>
    <row r="74" spans="1:3" x14ac:dyDescent="0.25">
      <c r="A74" s="27" t="s">
        <v>7787</v>
      </c>
      <c r="B74" s="27" t="s">
        <v>7788</v>
      </c>
      <c r="C74" s="46" t="s">
        <v>7730</v>
      </c>
    </row>
    <row r="75" spans="1:3" x14ac:dyDescent="0.25">
      <c r="A75" s="27" t="s">
        <v>7787</v>
      </c>
      <c r="B75" s="27" t="s">
        <v>7789</v>
      </c>
      <c r="C75" s="46" t="s">
        <v>7730</v>
      </c>
    </row>
    <row r="76" spans="1:3" x14ac:dyDescent="0.25">
      <c r="A76" s="27" t="s">
        <v>7787</v>
      </c>
      <c r="B76" s="27" t="s">
        <v>7790</v>
      </c>
      <c r="C76" s="46" t="s">
        <v>7730</v>
      </c>
    </row>
    <row r="77" spans="1:3" x14ac:dyDescent="0.25">
      <c r="A77" s="27" t="s">
        <v>7791</v>
      </c>
      <c r="B77" s="27" t="s">
        <v>7792</v>
      </c>
      <c r="C77" s="46" t="s">
        <v>7730</v>
      </c>
    </row>
    <row r="78" spans="1:3" x14ac:dyDescent="0.25">
      <c r="A78" s="27" t="s">
        <v>7793</v>
      </c>
      <c r="B78" s="27" t="s">
        <v>7794</v>
      </c>
      <c r="C78" s="46" t="s">
        <v>7730</v>
      </c>
    </row>
    <row r="79" spans="1:3" x14ac:dyDescent="0.25">
      <c r="A79" s="27" t="s">
        <v>7793</v>
      </c>
      <c r="B79" s="27" t="s">
        <v>7795</v>
      </c>
      <c r="C79" s="46" t="s">
        <v>7730</v>
      </c>
    </row>
    <row r="80" spans="1:3" x14ac:dyDescent="0.25">
      <c r="A80" s="27" t="s">
        <v>7793</v>
      </c>
      <c r="B80" s="27" t="s">
        <v>7796</v>
      </c>
      <c r="C80" s="46" t="s">
        <v>7730</v>
      </c>
    </row>
    <row r="81" spans="1:3" x14ac:dyDescent="0.25">
      <c r="A81" s="27" t="s">
        <v>7797</v>
      </c>
      <c r="B81" s="27" t="s">
        <v>7798</v>
      </c>
      <c r="C81" s="46" t="s">
        <v>7730</v>
      </c>
    </row>
    <row r="82" spans="1:3" x14ac:dyDescent="0.25">
      <c r="A82" s="27" t="s">
        <v>7799</v>
      </c>
      <c r="B82" s="27" t="s">
        <v>7800</v>
      </c>
      <c r="C82" s="46" t="s">
        <v>7730</v>
      </c>
    </row>
    <row r="83" spans="1:3" x14ac:dyDescent="0.25">
      <c r="A83" s="27" t="s">
        <v>7801</v>
      </c>
      <c r="B83" s="27" t="s">
        <v>7798</v>
      </c>
      <c r="C83" s="46" t="s">
        <v>7730</v>
      </c>
    </row>
    <row r="84" spans="1:3" x14ac:dyDescent="0.25">
      <c r="A84" s="27" t="s">
        <v>7802</v>
      </c>
      <c r="B84" s="27" t="s">
        <v>7803</v>
      </c>
      <c r="C84" s="46" t="s">
        <v>7730</v>
      </c>
    </row>
    <row r="85" spans="1:3" x14ac:dyDescent="0.25">
      <c r="A85" s="27" t="s">
        <v>7804</v>
      </c>
      <c r="B85" s="27" t="s">
        <v>7800</v>
      </c>
      <c r="C85" s="46" t="s">
        <v>7730</v>
      </c>
    </row>
    <row r="86" spans="1:3" x14ac:dyDescent="0.25">
      <c r="A86" s="27" t="s">
        <v>7805</v>
      </c>
      <c r="B86" s="27" t="s">
        <v>7800</v>
      </c>
      <c r="C86" s="46" t="s">
        <v>7730</v>
      </c>
    </row>
    <row r="87" spans="1:3" x14ac:dyDescent="0.25">
      <c r="A87" s="27" t="s">
        <v>7806</v>
      </c>
      <c r="B87" s="27" t="s">
        <v>7807</v>
      </c>
      <c r="C87" s="46" t="s">
        <v>7730</v>
      </c>
    </row>
  </sheetData>
  <conditionalFormatting sqref="C2 C48:C52">
    <cfRule type="expression" dxfId="56" priority="77">
      <formula>D2&lt;&gt;0</formula>
    </cfRule>
    <cfRule type="expression" dxfId="55" priority="78">
      <formula>D2=0</formula>
    </cfRule>
  </conditionalFormatting>
  <conditionalFormatting sqref="C3:C5">
    <cfRule type="containsText" dxfId="53" priority="127" operator="containsText" text="Column">
      <formula>NOT(ISERROR(SEARCH("Column",C3)))</formula>
    </cfRule>
  </conditionalFormatting>
  <conditionalFormatting sqref="C6">
    <cfRule type="expression" dxfId="52" priority="49">
      <formula>D6&lt;&gt;0</formula>
    </cfRule>
    <cfRule type="expression" dxfId="51" priority="50">
      <formula>D6=0</formula>
    </cfRule>
  </conditionalFormatting>
  <conditionalFormatting sqref="C7">
    <cfRule type="containsText" dxfId="50" priority="23" operator="containsText" text="Column">
      <formula>NOT(ISERROR(SEARCH("Column",C7)))</formula>
    </cfRule>
  </conditionalFormatting>
  <conditionalFormatting sqref="C8">
    <cfRule type="expression" dxfId="48" priority="47">
      <formula>D8&lt;&gt;0</formula>
    </cfRule>
    <cfRule type="expression" dxfId="47" priority="48">
      <formula>D8=0</formula>
    </cfRule>
  </conditionalFormatting>
  <conditionalFormatting sqref="C9">
    <cfRule type="containsText" dxfId="46" priority="15" operator="containsText" text="Column">
      <formula>NOT(ISERROR(SEARCH("Column",C9)))</formula>
    </cfRule>
  </conditionalFormatting>
  <conditionalFormatting sqref="C10:C13">
    <cfRule type="expression" dxfId="44" priority="46">
      <formula>D10=0</formula>
    </cfRule>
    <cfRule type="expression" dxfId="43" priority="45">
      <formula>D10&lt;&gt;0</formula>
    </cfRule>
  </conditionalFormatting>
  <conditionalFormatting sqref="C14:C17">
    <cfRule type="containsText" dxfId="42" priority="21" operator="containsText" text="Column">
      <formula>NOT(ISERROR(SEARCH("Column",C14)))</formula>
    </cfRule>
  </conditionalFormatting>
  <conditionalFormatting sqref="C18">
    <cfRule type="expression" dxfId="40" priority="44">
      <formula>D18=0</formula>
    </cfRule>
    <cfRule type="expression" dxfId="39" priority="43">
      <formula>D18&lt;&gt;0</formula>
    </cfRule>
  </conditionalFormatting>
  <conditionalFormatting sqref="C19">
    <cfRule type="containsText" dxfId="38" priority="19" operator="containsText" text="Column">
      <formula>NOT(ISERROR(SEARCH("Column",C19)))</formula>
    </cfRule>
  </conditionalFormatting>
  <conditionalFormatting sqref="C20">
    <cfRule type="expression" dxfId="36" priority="41">
      <formula>D20&lt;&gt;0</formula>
    </cfRule>
    <cfRule type="expression" dxfId="35" priority="42">
      <formula>D20=0</formula>
    </cfRule>
  </conditionalFormatting>
  <conditionalFormatting sqref="C21">
    <cfRule type="containsText" dxfId="34" priority="13" operator="containsText" text="Column">
      <formula>NOT(ISERROR(SEARCH("Column",C21)))</formula>
    </cfRule>
  </conditionalFormatting>
  <conditionalFormatting sqref="C22:C25">
    <cfRule type="expression" dxfId="32" priority="40">
      <formula>D22=0</formula>
    </cfRule>
    <cfRule type="expression" dxfId="31" priority="39">
      <formula>D22&lt;&gt;0</formula>
    </cfRule>
  </conditionalFormatting>
  <conditionalFormatting sqref="C26">
    <cfRule type="containsText" dxfId="30" priority="17" operator="containsText" text="Column">
      <formula>NOT(ISERROR(SEARCH("Column",C26)))</formula>
    </cfRule>
  </conditionalFormatting>
  <conditionalFormatting sqref="C27">
    <cfRule type="expression" dxfId="28" priority="38">
      <formula>D27=0</formula>
    </cfRule>
    <cfRule type="expression" dxfId="27" priority="37">
      <formula>D27&lt;&gt;0</formula>
    </cfRule>
  </conditionalFormatting>
  <conditionalFormatting sqref="C28">
    <cfRule type="containsText" dxfId="26" priority="11" operator="containsText" text="Column">
      <formula>NOT(ISERROR(SEARCH("Column",C28)))</formula>
    </cfRule>
  </conditionalFormatting>
  <conditionalFormatting sqref="C29:C33">
    <cfRule type="expression" dxfId="24" priority="35">
      <formula>D29&lt;&gt;0</formula>
    </cfRule>
    <cfRule type="expression" dxfId="23" priority="36">
      <formula>D29=0</formula>
    </cfRule>
  </conditionalFormatting>
  <conditionalFormatting sqref="C34">
    <cfRule type="containsText" dxfId="21" priority="9" operator="containsText" text="Column">
      <formula>NOT(ISERROR(SEARCH("Column",C34)))</formula>
    </cfRule>
  </conditionalFormatting>
  <conditionalFormatting sqref="C35:C41">
    <cfRule type="expression" dxfId="20" priority="33">
      <formula>D35&lt;&gt;0</formula>
    </cfRule>
    <cfRule type="expression" dxfId="19" priority="34">
      <formula>D35=0</formula>
    </cfRule>
  </conditionalFormatting>
  <conditionalFormatting sqref="C42">
    <cfRule type="containsText" dxfId="17" priority="7" operator="containsText" text="Column">
      <formula>NOT(ISERROR(SEARCH("Column",C42)))</formula>
    </cfRule>
  </conditionalFormatting>
  <conditionalFormatting sqref="C43:C44">
    <cfRule type="expression" dxfId="16" priority="31">
      <formula>D43&lt;&gt;0</formula>
    </cfRule>
    <cfRule type="expression" dxfId="15" priority="32">
      <formula>D43=0</formula>
    </cfRule>
  </conditionalFormatting>
  <conditionalFormatting sqref="C45">
    <cfRule type="containsText" dxfId="13" priority="5" operator="containsText" text="Column">
      <formula>NOT(ISERROR(SEARCH("Column",C45)))</formula>
    </cfRule>
  </conditionalFormatting>
  <conditionalFormatting sqref="C46">
    <cfRule type="expression" dxfId="12" priority="29">
      <formula>D46&lt;&gt;0</formula>
    </cfRule>
    <cfRule type="expression" dxfId="11" priority="30">
      <formula>D46=0</formula>
    </cfRule>
  </conditionalFormatting>
  <conditionalFormatting sqref="C47">
    <cfRule type="containsText" dxfId="9" priority="3" operator="containsText" text="Column">
      <formula>NOT(ISERROR(SEARCH("Column",C47)))</formula>
    </cfRule>
  </conditionalFormatting>
  <conditionalFormatting sqref="C53:C55">
    <cfRule type="containsText" dxfId="8" priority="1" operator="containsText" text="Column">
      <formula>NOT(ISERROR(SEARCH("Column",C53)))</formula>
    </cfRule>
  </conditionalFormatting>
  <conditionalFormatting sqref="C56:C87">
    <cfRule type="expression" dxfId="6" priority="26">
      <formula>D56=0</formula>
    </cfRule>
    <cfRule type="expression" dxfId="5" priority="25">
      <formula>D56&lt;&gt;0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28" operator="containsText" id="{D93AA06E-B1AF-4C19-B269-BA0013991DC2}">
            <xm:f>NOT(ISERROR(SEARCH("Good",C3)))</xm:f>
            <xm:f>"Good"</xm:f>
            <x14:dxf>
              <fill>
                <patternFill>
                  <bgColor theme="6" tint="0.39994506668294322"/>
                </patternFill>
              </fill>
            </x14:dxf>
          </x14:cfRule>
          <xm:sqref>C3:C5</xm:sqref>
        </x14:conditionalFormatting>
        <x14:conditionalFormatting xmlns:xm="http://schemas.microsoft.com/office/excel/2006/main">
          <x14:cfRule type="containsText" priority="24" operator="containsText" id="{9852C00C-36AC-44D8-9DA2-019682D9122E}">
            <xm:f>NOT(ISERROR(SEARCH("Good",C7)))</xm:f>
            <xm:f>"Good"</xm:f>
            <x14:dxf>
              <fill>
                <patternFill>
                  <bgColor theme="6" tint="0.39994506668294322"/>
                </patternFill>
              </fill>
            </x14:dxf>
          </x14:cfRule>
          <xm:sqref>C7</xm:sqref>
        </x14:conditionalFormatting>
        <x14:conditionalFormatting xmlns:xm="http://schemas.microsoft.com/office/excel/2006/main">
          <x14:cfRule type="containsText" priority="16" operator="containsText" id="{00CA6ECF-77B0-40B8-8D5C-E1AB60AF2032}">
            <xm:f>NOT(ISERROR(SEARCH("Good",C9)))</xm:f>
            <xm:f>"Good"</xm:f>
            <x14:dxf>
              <fill>
                <patternFill>
                  <bgColor theme="6" tint="0.39994506668294322"/>
                </patternFill>
              </fill>
            </x14:dxf>
          </x14:cfRule>
          <xm:sqref>C9</xm:sqref>
        </x14:conditionalFormatting>
        <x14:conditionalFormatting xmlns:xm="http://schemas.microsoft.com/office/excel/2006/main">
          <x14:cfRule type="containsText" priority="22" operator="containsText" id="{47A20042-E7AF-4833-8891-AFA45320D5DD}">
            <xm:f>NOT(ISERROR(SEARCH("Good",C14)))</xm:f>
            <xm:f>"Good"</xm:f>
            <x14:dxf>
              <fill>
                <patternFill>
                  <bgColor theme="6" tint="0.39994506668294322"/>
                </patternFill>
              </fill>
            </x14:dxf>
          </x14:cfRule>
          <xm:sqref>C14:C17</xm:sqref>
        </x14:conditionalFormatting>
        <x14:conditionalFormatting xmlns:xm="http://schemas.microsoft.com/office/excel/2006/main">
          <x14:cfRule type="containsText" priority="20" operator="containsText" id="{3E711FBD-640B-4FB6-A0E9-D16F21C1B5CC}">
            <xm:f>NOT(ISERROR(SEARCH("Good",C19)))</xm:f>
            <xm:f>"Good"</xm:f>
            <x14:dxf>
              <fill>
                <patternFill>
                  <bgColor theme="6" tint="0.39994506668294322"/>
                </patternFill>
              </fill>
            </x14:dxf>
          </x14:cfRule>
          <xm:sqref>C19</xm:sqref>
        </x14:conditionalFormatting>
        <x14:conditionalFormatting xmlns:xm="http://schemas.microsoft.com/office/excel/2006/main">
          <x14:cfRule type="containsText" priority="14" operator="containsText" id="{360C6EB2-24B6-4BD0-B400-5442516ABB9E}">
            <xm:f>NOT(ISERROR(SEARCH("Good",C21)))</xm:f>
            <xm:f>"Good"</xm:f>
            <x14:dxf>
              <fill>
                <patternFill>
                  <bgColor theme="6" tint="0.39994506668294322"/>
                </patternFill>
              </fill>
            </x14:dxf>
          </x14:cfRule>
          <xm:sqref>C21</xm:sqref>
        </x14:conditionalFormatting>
        <x14:conditionalFormatting xmlns:xm="http://schemas.microsoft.com/office/excel/2006/main">
          <x14:cfRule type="containsText" priority="18" operator="containsText" id="{34307E87-FE80-4B93-AB8D-7A807DD14522}">
            <xm:f>NOT(ISERROR(SEARCH("Good",C26)))</xm:f>
            <xm:f>"Good"</xm:f>
            <x14:dxf>
              <fill>
                <patternFill>
                  <bgColor theme="6" tint="0.39994506668294322"/>
                </patternFill>
              </fill>
            </x14:dxf>
          </x14:cfRule>
          <xm:sqref>C26</xm:sqref>
        </x14:conditionalFormatting>
        <x14:conditionalFormatting xmlns:xm="http://schemas.microsoft.com/office/excel/2006/main">
          <x14:cfRule type="containsText" priority="12" operator="containsText" id="{7042953B-FF4B-4BC3-826D-7B21F022DE2D}">
            <xm:f>NOT(ISERROR(SEARCH("Good",C28)))</xm:f>
            <xm:f>"Good"</xm:f>
            <x14:dxf>
              <fill>
                <patternFill>
                  <bgColor theme="6" tint="0.39994506668294322"/>
                </patternFill>
              </fill>
            </x14:dxf>
          </x14:cfRule>
          <xm:sqref>C28</xm:sqref>
        </x14:conditionalFormatting>
        <x14:conditionalFormatting xmlns:xm="http://schemas.microsoft.com/office/excel/2006/main">
          <x14:cfRule type="containsText" priority="10" operator="containsText" id="{7406E6D1-16A1-4375-8CEE-574A984949E0}">
            <xm:f>NOT(ISERROR(SEARCH("Good",C34)))</xm:f>
            <xm:f>"Good"</xm:f>
            <x14:dxf>
              <fill>
                <patternFill>
                  <bgColor theme="6" tint="0.39994506668294322"/>
                </patternFill>
              </fill>
            </x14:dxf>
          </x14:cfRule>
          <xm:sqref>C34</xm:sqref>
        </x14:conditionalFormatting>
        <x14:conditionalFormatting xmlns:xm="http://schemas.microsoft.com/office/excel/2006/main">
          <x14:cfRule type="containsText" priority="8" operator="containsText" id="{6275619C-C828-446F-B152-1F1857F8E5CE}">
            <xm:f>NOT(ISERROR(SEARCH("Good",C42)))</xm:f>
            <xm:f>"Good"</xm:f>
            <x14:dxf>
              <fill>
                <patternFill>
                  <bgColor theme="6" tint="0.39994506668294322"/>
                </patternFill>
              </fill>
            </x14:dxf>
          </x14:cfRule>
          <xm:sqref>C42</xm:sqref>
        </x14:conditionalFormatting>
        <x14:conditionalFormatting xmlns:xm="http://schemas.microsoft.com/office/excel/2006/main">
          <x14:cfRule type="containsText" priority="6" operator="containsText" id="{DE8C462E-F568-466D-B778-C54E028C89CE}">
            <xm:f>NOT(ISERROR(SEARCH("Good",C45)))</xm:f>
            <xm:f>"Good"</xm:f>
            <x14:dxf>
              <fill>
                <patternFill>
                  <bgColor theme="6" tint="0.39994506668294322"/>
                </patternFill>
              </fill>
            </x14:dxf>
          </x14:cfRule>
          <xm:sqref>C45</xm:sqref>
        </x14:conditionalFormatting>
        <x14:conditionalFormatting xmlns:xm="http://schemas.microsoft.com/office/excel/2006/main">
          <x14:cfRule type="containsText" priority="4" operator="containsText" id="{BC6A6FA5-3D5D-4E94-8B3D-A1DB298BE520}">
            <xm:f>NOT(ISERROR(SEARCH("Good",C47)))</xm:f>
            <xm:f>"Good"</xm:f>
            <x14:dxf>
              <fill>
                <patternFill>
                  <bgColor theme="6" tint="0.39994506668294322"/>
                </patternFill>
              </fill>
            </x14:dxf>
          </x14:cfRule>
          <xm:sqref>C47</xm:sqref>
        </x14:conditionalFormatting>
        <x14:conditionalFormatting xmlns:xm="http://schemas.microsoft.com/office/excel/2006/main">
          <x14:cfRule type="containsText" priority="2" operator="containsText" id="{DF353BFB-6EC6-4AFB-A0B0-DBDA062E0DD9}">
            <xm:f>NOT(ISERROR(SEARCH("Good",C53)))</xm:f>
            <xm:f>"Good"</xm:f>
            <x14:dxf>
              <fill>
                <patternFill>
                  <bgColor theme="6" tint="0.39994506668294322"/>
                </patternFill>
              </fill>
            </x14:dxf>
          </x14:cfRule>
          <xm:sqref>C53:C55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563FE-5078-4133-89AB-DD5E4FA6B6FD}">
  <dimension ref="A1:AM24"/>
  <sheetViews>
    <sheetView showGridLines="0" zoomScaleNormal="100" workbookViewId="0">
      <selection activeCell="AS8" sqref="AS8"/>
    </sheetView>
  </sheetViews>
  <sheetFormatPr defaultColWidth="9.1796875" defaultRowHeight="10" x14ac:dyDescent="0.2"/>
  <cols>
    <col min="1" max="1" width="30.54296875" style="2" customWidth="1"/>
    <col min="2" max="4" width="5.54296875" style="2" customWidth="1"/>
    <col min="5" max="18" width="5.54296875" style="2" hidden="1" customWidth="1"/>
    <col min="19" max="25" width="5.54296875" style="2" customWidth="1"/>
    <col min="26" max="39" width="5.54296875" style="2" hidden="1" customWidth="1"/>
    <col min="40" max="40" width="0" style="2" hidden="1" customWidth="1"/>
    <col min="41" max="16384" width="9.1796875" style="2"/>
  </cols>
  <sheetData>
    <row r="1" spans="1:39" x14ac:dyDescent="0.2">
      <c r="A1" s="100" t="s">
        <v>7808</v>
      </c>
      <c r="B1" s="100"/>
      <c r="C1" s="100"/>
      <c r="D1" s="100"/>
      <c r="E1" s="100" t="s">
        <v>7809</v>
      </c>
      <c r="F1" s="100"/>
      <c r="G1" s="100"/>
      <c r="H1" s="100"/>
      <c r="I1" s="100"/>
      <c r="J1" s="100"/>
      <c r="K1" s="100"/>
      <c r="L1" s="100" t="s">
        <v>7810</v>
      </c>
      <c r="M1" s="100"/>
      <c r="N1" s="100"/>
      <c r="O1" s="100"/>
      <c r="P1" s="100"/>
      <c r="Q1" s="100"/>
      <c r="R1" s="100"/>
      <c r="S1" s="100" t="s">
        <v>7811</v>
      </c>
      <c r="T1" s="100"/>
      <c r="U1" s="100"/>
      <c r="V1" s="100"/>
      <c r="W1" s="100"/>
      <c r="X1" s="100"/>
      <c r="Y1" s="100"/>
      <c r="Z1" s="100" t="s">
        <v>7812</v>
      </c>
      <c r="AA1" s="100"/>
      <c r="AB1" s="100"/>
      <c r="AC1" s="100"/>
      <c r="AD1" s="100"/>
      <c r="AE1" s="100"/>
      <c r="AF1" s="100"/>
      <c r="AG1" s="100" t="s">
        <v>7813</v>
      </c>
      <c r="AH1" s="100"/>
      <c r="AI1" s="100"/>
      <c r="AJ1" s="100"/>
      <c r="AK1" s="100"/>
      <c r="AL1" s="100"/>
      <c r="AM1" s="100"/>
    </row>
    <row r="2" spans="1:39" s="17" customFormat="1" x14ac:dyDescent="0.35">
      <c r="A2" s="22" t="s">
        <v>4</v>
      </c>
      <c r="B2" s="20" t="s">
        <v>7814</v>
      </c>
      <c r="C2" s="20" t="s">
        <v>7815</v>
      </c>
      <c r="D2" s="20" t="s">
        <v>7816</v>
      </c>
      <c r="E2" s="18">
        <v>1</v>
      </c>
      <c r="F2" s="18">
        <v>0.75</v>
      </c>
      <c r="G2" s="18">
        <v>0.5</v>
      </c>
      <c r="H2" s="18">
        <v>0.25</v>
      </c>
      <c r="I2" s="18">
        <v>0</v>
      </c>
      <c r="J2" s="20" t="s">
        <v>7817</v>
      </c>
      <c r="K2" s="20" t="s">
        <v>7818</v>
      </c>
      <c r="L2" s="18">
        <v>1</v>
      </c>
      <c r="M2" s="18">
        <v>0.75</v>
      </c>
      <c r="N2" s="18">
        <v>0.5</v>
      </c>
      <c r="O2" s="18">
        <v>0.25</v>
      </c>
      <c r="P2" s="18">
        <v>0</v>
      </c>
      <c r="Q2" s="20" t="s">
        <v>7817</v>
      </c>
      <c r="R2" s="20" t="s">
        <v>7818</v>
      </c>
      <c r="S2" s="18">
        <v>1</v>
      </c>
      <c r="T2" s="18">
        <v>0.75</v>
      </c>
      <c r="U2" s="18">
        <v>0.5</v>
      </c>
      <c r="V2" s="18">
        <v>0.25</v>
      </c>
      <c r="W2" s="18">
        <v>0</v>
      </c>
      <c r="X2" s="20" t="s">
        <v>7817</v>
      </c>
      <c r="Y2" s="20" t="s">
        <v>7818</v>
      </c>
      <c r="Z2" s="18">
        <v>1</v>
      </c>
      <c r="AA2" s="18">
        <v>0.75</v>
      </c>
      <c r="AB2" s="18">
        <v>0.5</v>
      </c>
      <c r="AC2" s="18">
        <v>0.25</v>
      </c>
      <c r="AD2" s="18">
        <v>0</v>
      </c>
      <c r="AE2" s="20" t="s">
        <v>7817</v>
      </c>
      <c r="AF2" s="20" t="s">
        <v>7818</v>
      </c>
      <c r="AG2" s="18">
        <v>1</v>
      </c>
      <c r="AH2" s="18">
        <v>0.75</v>
      </c>
      <c r="AI2" s="18">
        <v>0.5</v>
      </c>
      <c r="AJ2" s="18">
        <v>0.25</v>
      </c>
      <c r="AK2" s="18">
        <v>0</v>
      </c>
      <c r="AL2" s="20" t="s">
        <v>7817</v>
      </c>
      <c r="AM2" s="20" t="s">
        <v>7818</v>
      </c>
    </row>
    <row r="3" spans="1:39" s="17" customFormat="1" x14ac:dyDescent="0.35">
      <c r="A3" s="19"/>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row>
    <row r="4" spans="1:39" x14ac:dyDescent="0.2">
      <c r="A4" s="23" t="s">
        <v>90</v>
      </c>
      <c r="B4" s="21">
        <f>COUNTIFS(Assessment!E:E,"Yes",Assessment!F:F,A4)</f>
        <v>17</v>
      </c>
      <c r="C4" s="21">
        <f>COUNTIFS(Assessment!E:E,"Yes",Assessment!F:F,A4,Assessment!V:V,"No")</f>
        <v>0</v>
      </c>
      <c r="D4" s="25">
        <f>IFERROR(SUM((K4*0.15)+(R4*0.2)+(Y4*0.4)+(AF4*0.1)+(AM4*0.15)),"N/A")</f>
        <v>18.823529411764707</v>
      </c>
      <c r="E4" s="19">
        <f>COUNTIFS(Assessment!E:E,"Yes",Assessment!F:F,A4,Assessment!X:X,"5. Fully Compliant (100%)")</f>
        <v>0</v>
      </c>
      <c r="F4" s="19">
        <f>COUNTIFS(Assessment!E:E,"Yes",Assessment!F:F,A4,Assessment!X:X,"4. Mostly Compliant (75%)")</f>
        <v>0</v>
      </c>
      <c r="G4" s="19">
        <f>COUNTIFS(Assessment!E:E,"Yes",Assessment!F:F,A4,Assessment!X:X,"3. Partially Compliant (50%)")</f>
        <v>0</v>
      </c>
      <c r="H4" s="19">
        <f>COUNTIFS(Assessment!E:E,"Yes",Assessment!F:F,A4,Assessment!X:X,"2. Somewhat Compliant (25%)")</f>
        <v>0</v>
      </c>
      <c r="I4" s="19">
        <f>COUNTIFS(Assessment!E:E,"Yes",Assessment!F:F,A4,Assessment!X:X,"1. Non Compliant (0%)")</f>
        <v>0</v>
      </c>
      <c r="J4" s="21">
        <f t="shared" ref="J4:J22" si="0">B4-E4-F4-G4-H4-I4-C4</f>
        <v>17</v>
      </c>
      <c r="K4" s="24">
        <f>IFERROR(SUM(((E4*100)+(F4*75)+(G4*50)+(H4*25)+(I4*0))/($B4-$C4)),"N/A")</f>
        <v>0</v>
      </c>
      <c r="L4" s="19">
        <f>COUNTIFS(Assessment!E:E,"Yes",Assessment!F:F,A4,Assessment!Y:Y,"5. Fully Compliant (100%)")</f>
        <v>0</v>
      </c>
      <c r="M4" s="19">
        <f>COUNTIFS(Assessment!E:E,"Yes",Assessment!F:F,A4,Assessment!Y:Y,"4. Mostly Compliant (75%)")</f>
        <v>0</v>
      </c>
      <c r="N4" s="19">
        <f>COUNTIFS(Assessment!E:E,"Yes",Assessment!F:F,A4,Assessment!Y:Y,"3. Partially Compliant (50%)")</f>
        <v>0</v>
      </c>
      <c r="O4" s="19">
        <f>COUNTIFS(Assessment!E:E,"Yes",Assessment!F:F,A4,Assessment!Y:Y,"2. Somewhat Compliant (25%)")</f>
        <v>0</v>
      </c>
      <c r="P4" s="19">
        <f>COUNTIFS(Assessment!E:E,"Yes",Assessment!F:F,A4,Assessment!Y:Y,"1. Non Compliant (0%)")</f>
        <v>0</v>
      </c>
      <c r="Q4" s="21">
        <f t="shared" ref="Q4:Q22" si="1">B4-L4-M4-N4-O4-P4-C4</f>
        <v>17</v>
      </c>
      <c r="R4" s="26">
        <f>IFERROR(SUM(((L4*100)+(M4*75)+(N4*50)+(O4*25)+(P4*0))/($B4-$C4)),"N/A")</f>
        <v>0</v>
      </c>
      <c r="S4" s="19">
        <f>COUNTIFS(Assessment!E:E,"Yes",Assessment!F:F,A4,Assessment!Z:Z,"5. Fully Compliant (100%)")</f>
        <v>7</v>
      </c>
      <c r="T4" s="19">
        <f>COUNTIFS(Assessment!E:E,"Yes",Assessment!F:F,A4,Assessment!Z:Z,"4. Mostly Compliant (75%)")</f>
        <v>0</v>
      </c>
      <c r="U4" s="19">
        <f>COUNTIFS(Assessment!E:E,"Yes",Assessment!F:F,A4,Assessment!Z:Z,"3. Partially Compliant (50%)")</f>
        <v>2</v>
      </c>
      <c r="V4" s="19">
        <f>COUNTIFS(Assessment!E:E,"Yes",Assessment!F:F,A4,Assessment!Z:Z,"2. Somewhat Compliant (25%)")</f>
        <v>0</v>
      </c>
      <c r="W4" s="19">
        <f>COUNTIFS(Assessment!E:E,"Yes",Assessment!F:F,A4,Assessment!Z:Z,"1. Non Compliant (0%)")</f>
        <v>8</v>
      </c>
      <c r="X4" s="21">
        <f t="shared" ref="X4:X22" si="2">B4-S4-T4-U4-V4-W4-C4</f>
        <v>0</v>
      </c>
      <c r="Y4" s="26">
        <f>IFERROR(SUM(((S4*100)+(T4*75)+(U4*50)+(V4*25)+(W4*0))/($B4-$C4)),"N/A")</f>
        <v>47.058823529411768</v>
      </c>
      <c r="Z4" s="19">
        <f>COUNTIFS(Assessment!E:E,"Yes",Assessment!F:F,A4,Assessment!AA:AA,"5. Fully Compliant (100%)")</f>
        <v>0</v>
      </c>
      <c r="AA4" s="19">
        <f>COUNTIFS(Assessment!E:E,"Yes",Assessment!F:F,A4,Assessment!AA:AA,"4. Mostly Compliant (75%)")</f>
        <v>0</v>
      </c>
      <c r="AB4" s="19">
        <f>COUNTIFS(Assessment!E:E,"Yes",Assessment!F:F,A4,Assessment!AA:AA,"3. Partially Compliant (50%)")</f>
        <v>0</v>
      </c>
      <c r="AC4" s="19">
        <f>COUNTIFS(Assessment!E:E,"Yes",Assessment!F:F,A4,Assessment!AA:AA,"2. Somewhat Compliant (25%)")</f>
        <v>0</v>
      </c>
      <c r="AD4" s="19">
        <f>COUNTIFS(Assessment!E:E,"Yes",Assessment!F:F,A4,Assessment!AA:AA,"1. Non Compliant (0%)")</f>
        <v>0</v>
      </c>
      <c r="AE4" s="21">
        <f t="shared" ref="AE4:AE22" si="3">B4-Z4-AA4-AB4-AC4-AD4-C4</f>
        <v>17</v>
      </c>
      <c r="AF4" s="26">
        <f>IFERROR(SUM(((Z4*100)+(AA4*75)+(AB4*50)+(AC4*25)+(AD4*0))/($B4-$C4)),"N/A")</f>
        <v>0</v>
      </c>
      <c r="AG4" s="19">
        <f>COUNTIFS(Assessment!E:E,"Yes",Assessment!F:F,A4,Assessment!AB:AB,"5. Fully Compliant (100%)")</f>
        <v>0</v>
      </c>
      <c r="AH4" s="19">
        <f>COUNTIFS(Assessment!E:E,"Yes",Assessment!F:F,A4,Assessment!AB:AB,"4. Mostly Compliant (75%)")</f>
        <v>0</v>
      </c>
      <c r="AI4" s="19">
        <f>COUNTIFS(Assessment!E:E,"Yes",Assessment!F:F,A4,Assessment!AB:AB,"3. Partially Compliant (50%)")</f>
        <v>0</v>
      </c>
      <c r="AJ4" s="19">
        <f>COUNTIFS(Assessment!E:E,"Yes",Assessment!F:F,A4,Assessment!AB:AB,"2. Somewhat Compliant (25%)")</f>
        <v>0</v>
      </c>
      <c r="AK4" s="19">
        <f>COUNTIFS(Assessment!E:E,"Yes",Assessment!F:F,A4,Assessment!AB:AB,"1. Non Compliant (0%)")</f>
        <v>0</v>
      </c>
      <c r="AL4" s="21">
        <f t="shared" ref="AL4:AL22" si="4">B4-AG4-AH4-AI4-AJ4-AK4-C4</f>
        <v>17</v>
      </c>
      <c r="AM4" s="26">
        <f>IFERROR(SUM(((AG4*100)+(AH4*75)+(AI4*50)+(AJ4*25)+(AK4*0))/($B4-$C4)),"N/A")</f>
        <v>0</v>
      </c>
    </row>
    <row r="5" spans="1:39" x14ac:dyDescent="0.2">
      <c r="A5" s="23" t="s">
        <v>632</v>
      </c>
      <c r="B5" s="21">
        <f>COUNTIFS(Assessment!E:E,"Yes",Assessment!F:F,A5)</f>
        <v>5</v>
      </c>
      <c r="C5" s="21">
        <f>COUNTIFS(Assessment!E:E,"Yes",Assessment!F:F,A5,Assessment!V:V,"No")</f>
        <v>0</v>
      </c>
      <c r="D5" s="25">
        <f t="shared" ref="D5:D22" si="5">IFERROR(SUM((K5*0.15)+(R5*0.2)+(Y5*0.4)+(AF5*0.1)+(AM5*0.15)),"N/A")</f>
        <v>40</v>
      </c>
      <c r="E5" s="19">
        <f>COUNTIFS(Assessment!E:E,"Yes",Assessment!F:F,A5,Assessment!X:X,"5. Fully Compliant (100%)")</f>
        <v>0</v>
      </c>
      <c r="F5" s="19">
        <f>COUNTIFS(Assessment!E:E,"Yes",Assessment!F:F,A5,Assessment!X:X,"4. Mostly Compliant (75%)")</f>
        <v>0</v>
      </c>
      <c r="G5" s="19">
        <f>COUNTIFS(Assessment!E:E,"Yes",Assessment!F:F,A5,Assessment!X:X,"3. Partially Compliant (50%)")</f>
        <v>0</v>
      </c>
      <c r="H5" s="19">
        <f>COUNTIFS(Assessment!E:E,"Yes",Assessment!F:F,A5,Assessment!X:X,"2. Somewhat Compliant (25%)")</f>
        <v>0</v>
      </c>
      <c r="I5" s="19">
        <f>COUNTIFS(Assessment!E:E,"Yes",Assessment!F:F,A5,Assessment!X:X,"1. Non Compliant (0%)")</f>
        <v>0</v>
      </c>
      <c r="J5" s="21">
        <f t="shared" si="0"/>
        <v>5</v>
      </c>
      <c r="K5" s="24">
        <f>IFERROR(SUM(((E5*100)+(F5*75)+(G5*50)+(H5*25)+(I5*0))/($B5-$C5)),"N/A")</f>
        <v>0</v>
      </c>
      <c r="L5" s="19">
        <f>COUNTIFS(Assessment!E:E,"Yes",Assessment!F:F,A5,Assessment!Y:Y,"5. Fully Compliant (100%)")</f>
        <v>0</v>
      </c>
      <c r="M5" s="19">
        <f>COUNTIFS(Assessment!E:E,"Yes",Assessment!F:F,A5,Assessment!Y:Y,"4. Mostly Compliant (75%)")</f>
        <v>0</v>
      </c>
      <c r="N5" s="19">
        <f>COUNTIFS(Assessment!E:E,"Yes",Assessment!F:F,A5,Assessment!Y:Y,"3. Partially Compliant (50%)")</f>
        <v>0</v>
      </c>
      <c r="O5" s="19">
        <f>COUNTIFS(Assessment!E:E,"Yes",Assessment!F:F,A5,Assessment!Y:Y,"2. Somewhat Compliant (25%)")</f>
        <v>0</v>
      </c>
      <c r="P5" s="19">
        <f>COUNTIFS(Assessment!E:E,"Yes",Assessment!F:F,A5,Assessment!Y:Y,"1. Non Compliant (0%)")</f>
        <v>0</v>
      </c>
      <c r="Q5" s="21">
        <f t="shared" si="1"/>
        <v>5</v>
      </c>
      <c r="R5" s="26">
        <f t="shared" ref="R5:R22" si="6">IFERROR(SUM(((L5*100)+(M5*75)+(N5*50)+(O5*25)+(P5*0))/($B5-$C5)),"N/A")</f>
        <v>0</v>
      </c>
      <c r="S5" s="19">
        <f>COUNTIFS(Assessment!E:E,"Yes",Assessment!F:F,A5,Assessment!Z:Z,"5. Fully Compliant (100%)")</f>
        <v>5</v>
      </c>
      <c r="T5" s="19">
        <f>COUNTIFS(Assessment!E:E,"Yes",Assessment!F:F,A5,Assessment!Z:Z,"4. Mostly Compliant (75%)")</f>
        <v>0</v>
      </c>
      <c r="U5" s="19">
        <f>COUNTIFS(Assessment!E:E,"Yes",Assessment!F:F,A5,Assessment!Z:Z,"3. Partially Compliant (50%)")</f>
        <v>0</v>
      </c>
      <c r="V5" s="19">
        <f>COUNTIFS(Assessment!E:E,"Yes",Assessment!F:F,A5,Assessment!Z:Z,"2. Somewhat Compliant (25%)")</f>
        <v>0</v>
      </c>
      <c r="W5" s="19">
        <f>COUNTIFS(Assessment!E:E,"Yes",Assessment!F:F,A5,Assessment!Z:Z,"1. Non Compliant (0%)")</f>
        <v>0</v>
      </c>
      <c r="X5" s="21">
        <f t="shared" si="2"/>
        <v>0</v>
      </c>
      <c r="Y5" s="26">
        <f t="shared" ref="Y5:Y22" si="7">IFERROR(SUM(((S5*100)+(T5*75)+(U5*50)+(V5*25)+(W5*0))/($B5-$C5)),"N/A")</f>
        <v>100</v>
      </c>
      <c r="Z5" s="19">
        <f>COUNTIFS(Assessment!E:E,"Yes",Assessment!F:F,A5,Assessment!AA:AA,"5. Fully Compliant (100%)")</f>
        <v>0</v>
      </c>
      <c r="AA5" s="19">
        <f>COUNTIFS(Assessment!E:E,"Yes",Assessment!F:F,A5,Assessment!AA:AA,"4. Mostly Compliant (75%)")</f>
        <v>0</v>
      </c>
      <c r="AB5" s="19">
        <f>COUNTIFS(Assessment!E:E,"Yes",Assessment!F:F,A5,Assessment!AA:AA,"3. Partially Compliant (50%)")</f>
        <v>0</v>
      </c>
      <c r="AC5" s="19">
        <f>COUNTIFS(Assessment!E:E,"Yes",Assessment!F:F,A5,Assessment!AA:AA,"2. Somewhat Compliant (25%)")</f>
        <v>0</v>
      </c>
      <c r="AD5" s="19">
        <f>COUNTIFS(Assessment!E:E,"Yes",Assessment!F:F,A5,Assessment!AA:AA,"1. Non Compliant (0%)")</f>
        <v>0</v>
      </c>
      <c r="AE5" s="21">
        <f t="shared" si="3"/>
        <v>5</v>
      </c>
      <c r="AF5" s="26">
        <f t="shared" ref="AF5:AF22" si="8">IFERROR(SUM(((Z5*100)+(AA5*75)+(AB5*50)+(AC5*25)+(AD5*0))/($B5-$C5)),"N/A")</f>
        <v>0</v>
      </c>
      <c r="AG5" s="19">
        <f>COUNTIFS(Assessment!E:E,"Yes",Assessment!F:F,A5,Assessment!AB:AB,"5. Fully Compliant (100%)")</f>
        <v>0</v>
      </c>
      <c r="AH5" s="19">
        <f>COUNTIFS(Assessment!E:E,"Yes",Assessment!F:F,A5,Assessment!AB:AB,"4. Mostly Compliant (75%)")</f>
        <v>0</v>
      </c>
      <c r="AI5" s="19">
        <f>COUNTIFS(Assessment!E:E,"Yes",Assessment!F:F,A5,Assessment!AB:AB,"3. Partially Compliant (50%)")</f>
        <v>0</v>
      </c>
      <c r="AJ5" s="19">
        <f>COUNTIFS(Assessment!E:E,"Yes",Assessment!F:F,A5,Assessment!AB:AB,"2. Somewhat Compliant (25%)")</f>
        <v>0</v>
      </c>
      <c r="AK5" s="19">
        <f>COUNTIFS(Assessment!E:E,"Yes",Assessment!F:F,A5,Assessment!AB:AB,"1. Non Compliant (0%)")</f>
        <v>0</v>
      </c>
      <c r="AL5" s="21">
        <f t="shared" si="4"/>
        <v>5</v>
      </c>
      <c r="AM5" s="26">
        <f t="shared" ref="AM5:AM22" si="9">IFERROR(SUM(((AG5*100)+(AH5*75)+(AI5*50)+(AJ5*25)+(AK5*0))/($B5-$C5)),"N/A")</f>
        <v>0</v>
      </c>
    </row>
    <row r="6" spans="1:39" x14ac:dyDescent="0.2">
      <c r="A6" s="23" t="s">
        <v>752</v>
      </c>
      <c r="B6" s="21">
        <f>COUNTIFS(Assessment!E:E,"Yes",Assessment!F:F,A6)</f>
        <v>5</v>
      </c>
      <c r="C6" s="21">
        <f>COUNTIFS(Assessment!E:E,"Yes",Assessment!F:F,A6,Assessment!V:V,"No")</f>
        <v>0</v>
      </c>
      <c r="D6" s="25">
        <f t="shared" si="5"/>
        <v>22</v>
      </c>
      <c r="E6" s="19">
        <f>COUNTIFS(Assessment!E:E,"Yes",Assessment!F:F,A6,Assessment!X:X,"5. Fully Compliant (100%)")</f>
        <v>0</v>
      </c>
      <c r="F6" s="19">
        <f>COUNTIFS(Assessment!E:E,"Yes",Assessment!F:F,A6,Assessment!X:X,"4. Mostly Compliant (75%)")</f>
        <v>0</v>
      </c>
      <c r="G6" s="19">
        <f>COUNTIFS(Assessment!E:E,"Yes",Assessment!F:F,A6,Assessment!X:X,"3. Partially Compliant (50%)")</f>
        <v>0</v>
      </c>
      <c r="H6" s="19">
        <f>COUNTIFS(Assessment!E:E,"Yes",Assessment!F:F,A6,Assessment!X:X,"2. Somewhat Compliant (25%)")</f>
        <v>0</v>
      </c>
      <c r="I6" s="19">
        <f>COUNTIFS(Assessment!E:E,"Yes",Assessment!F:F,A6,Assessment!X:X,"1. Non Compliant (0%)")</f>
        <v>0</v>
      </c>
      <c r="J6" s="21">
        <f t="shared" si="0"/>
        <v>5</v>
      </c>
      <c r="K6" s="24">
        <f t="shared" ref="K6:K22" si="10">IFERROR(SUM(((E6*100)+(F6*75)+(G6*50)+(H6*25)+(I6*0))/($B6-$C6)),"N/A")</f>
        <v>0</v>
      </c>
      <c r="L6" s="19">
        <f>COUNTIFS(Assessment!E:E,"Yes",Assessment!F:F,A6,Assessment!Y:Y,"5. Fully Compliant (100%)")</f>
        <v>0</v>
      </c>
      <c r="M6" s="19">
        <f>COUNTIFS(Assessment!E:E,"Yes",Assessment!F:F,A6,Assessment!Y:Y,"4. Mostly Compliant (75%)")</f>
        <v>0</v>
      </c>
      <c r="N6" s="19">
        <f>COUNTIFS(Assessment!E:E,"Yes",Assessment!F:F,A6,Assessment!Y:Y,"3. Partially Compliant (50%)")</f>
        <v>0</v>
      </c>
      <c r="O6" s="19">
        <f>COUNTIFS(Assessment!E:E,"Yes",Assessment!F:F,A6,Assessment!Y:Y,"2. Somewhat Compliant (25%)")</f>
        <v>0</v>
      </c>
      <c r="P6" s="19">
        <f>COUNTIFS(Assessment!E:E,"Yes",Assessment!F:F,A6,Assessment!Y:Y,"1. Non Compliant (0%)")</f>
        <v>0</v>
      </c>
      <c r="Q6" s="21">
        <f t="shared" si="1"/>
        <v>5</v>
      </c>
      <c r="R6" s="26">
        <f t="shared" si="6"/>
        <v>0</v>
      </c>
      <c r="S6" s="19">
        <f>COUNTIFS(Assessment!E:E,"Yes",Assessment!F:F,A6,Assessment!Z:Z,"5. Fully Compliant (100%)")</f>
        <v>0</v>
      </c>
      <c r="T6" s="19">
        <f>COUNTIFS(Assessment!E:E,"Yes",Assessment!F:F,A6,Assessment!Z:Z,"4. Mostly Compliant (75%)")</f>
        <v>3</v>
      </c>
      <c r="U6" s="19">
        <f>COUNTIFS(Assessment!E:E,"Yes",Assessment!F:F,A6,Assessment!Z:Z,"3. Partially Compliant (50%)")</f>
        <v>1</v>
      </c>
      <c r="V6" s="19">
        <f>COUNTIFS(Assessment!E:E,"Yes",Assessment!F:F,A6,Assessment!Z:Z,"2. Somewhat Compliant (25%)")</f>
        <v>0</v>
      </c>
      <c r="W6" s="19">
        <f>COUNTIFS(Assessment!E:E,"Yes",Assessment!F:F,A6,Assessment!Z:Z,"1. Non Compliant (0%)")</f>
        <v>1</v>
      </c>
      <c r="X6" s="21">
        <f t="shared" si="2"/>
        <v>0</v>
      </c>
      <c r="Y6" s="26">
        <f t="shared" si="7"/>
        <v>55</v>
      </c>
      <c r="Z6" s="19">
        <f>COUNTIFS(Assessment!E:E,"Yes",Assessment!F:F,A6,Assessment!AA:AA,"5. Fully Compliant (100%)")</f>
        <v>0</v>
      </c>
      <c r="AA6" s="19">
        <f>COUNTIFS(Assessment!E:E,"Yes",Assessment!F:F,A6,Assessment!AA:AA,"4. Mostly Compliant (75%)")</f>
        <v>0</v>
      </c>
      <c r="AB6" s="19">
        <f>COUNTIFS(Assessment!E:E,"Yes",Assessment!F:F,A6,Assessment!AA:AA,"3. Partially Compliant (50%)")</f>
        <v>0</v>
      </c>
      <c r="AC6" s="19">
        <f>COUNTIFS(Assessment!E:E,"Yes",Assessment!F:F,A6,Assessment!AA:AA,"2. Somewhat Compliant (25%)")</f>
        <v>0</v>
      </c>
      <c r="AD6" s="19">
        <f>COUNTIFS(Assessment!E:E,"Yes",Assessment!F:F,A6,Assessment!AA:AA,"1. Non Compliant (0%)")</f>
        <v>0</v>
      </c>
      <c r="AE6" s="21">
        <f t="shared" si="3"/>
        <v>5</v>
      </c>
      <c r="AF6" s="26">
        <f t="shared" si="8"/>
        <v>0</v>
      </c>
      <c r="AG6" s="19">
        <f>COUNTIFS(Assessment!E:E,"Yes",Assessment!F:F,A6,Assessment!AB:AB,"5. Fully Compliant (100%)")</f>
        <v>0</v>
      </c>
      <c r="AH6" s="19">
        <f>COUNTIFS(Assessment!E:E,"Yes",Assessment!F:F,A6,Assessment!AB:AB,"4. Mostly Compliant (75%)")</f>
        <v>0</v>
      </c>
      <c r="AI6" s="19">
        <f>COUNTIFS(Assessment!E:E,"Yes",Assessment!F:F,A6,Assessment!AB:AB,"3. Partially Compliant (50%)")</f>
        <v>0</v>
      </c>
      <c r="AJ6" s="19">
        <f>COUNTIFS(Assessment!E:E,"Yes",Assessment!F:F,A6,Assessment!AB:AB,"2. Somewhat Compliant (25%)")</f>
        <v>0</v>
      </c>
      <c r="AK6" s="19">
        <f>COUNTIFS(Assessment!E:E,"Yes",Assessment!F:F,A6,Assessment!AB:AB,"1. Non Compliant (0%)")</f>
        <v>0</v>
      </c>
      <c r="AL6" s="21">
        <f t="shared" si="4"/>
        <v>5</v>
      </c>
      <c r="AM6" s="26">
        <f t="shared" si="9"/>
        <v>0</v>
      </c>
    </row>
    <row r="7" spans="1:39" x14ac:dyDescent="0.2">
      <c r="A7" s="23" t="s">
        <v>851</v>
      </c>
      <c r="B7" s="21">
        <f>COUNTIFS(Assessment!E:E,"Yes",Assessment!F:F,A7)</f>
        <v>2</v>
      </c>
      <c r="C7" s="21">
        <f>COUNTIFS(Assessment!E:E,"Yes",Assessment!F:F,A7,Assessment!V:V,"No")</f>
        <v>0</v>
      </c>
      <c r="D7" s="25">
        <f t="shared" si="5"/>
        <v>40</v>
      </c>
      <c r="E7" s="19">
        <f>COUNTIFS(Assessment!E:E,"Yes",Assessment!F:F,A7,Assessment!X:X,"5. Fully Compliant (100%)")</f>
        <v>0</v>
      </c>
      <c r="F7" s="19">
        <f>COUNTIFS(Assessment!E:E,"Yes",Assessment!F:F,A7,Assessment!X:X,"4. Mostly Compliant (75%)")</f>
        <v>0</v>
      </c>
      <c r="G7" s="19">
        <f>COUNTIFS(Assessment!E:E,"Yes",Assessment!F:F,A7,Assessment!X:X,"3. Partially Compliant (50%)")</f>
        <v>0</v>
      </c>
      <c r="H7" s="19">
        <f>COUNTIFS(Assessment!E:E,"Yes",Assessment!F:F,A7,Assessment!X:X,"2. Somewhat Compliant (25%)")</f>
        <v>0</v>
      </c>
      <c r="I7" s="19">
        <f>COUNTIFS(Assessment!E:E,"Yes",Assessment!F:F,A7,Assessment!X:X,"1. Non Compliant (0%)")</f>
        <v>0</v>
      </c>
      <c r="J7" s="21">
        <f t="shared" si="0"/>
        <v>2</v>
      </c>
      <c r="K7" s="24">
        <f t="shared" si="10"/>
        <v>0</v>
      </c>
      <c r="L7" s="19">
        <f>COUNTIFS(Assessment!E:E,"Yes",Assessment!F:F,A7,Assessment!Y:Y,"5. Fully Compliant (100%)")</f>
        <v>0</v>
      </c>
      <c r="M7" s="19">
        <f>COUNTIFS(Assessment!E:E,"Yes",Assessment!F:F,A7,Assessment!Y:Y,"4. Mostly Compliant (75%)")</f>
        <v>0</v>
      </c>
      <c r="N7" s="19">
        <f>COUNTIFS(Assessment!E:E,"Yes",Assessment!F:F,A7,Assessment!Y:Y,"3. Partially Compliant (50%)")</f>
        <v>0</v>
      </c>
      <c r="O7" s="19">
        <f>COUNTIFS(Assessment!E:E,"Yes",Assessment!F:F,A7,Assessment!Y:Y,"2. Somewhat Compliant (25%)")</f>
        <v>0</v>
      </c>
      <c r="P7" s="19">
        <f>COUNTIFS(Assessment!E:E,"Yes",Assessment!F:F,A7,Assessment!Y:Y,"1. Non Compliant (0%)")</f>
        <v>0</v>
      </c>
      <c r="Q7" s="21">
        <f t="shared" si="1"/>
        <v>2</v>
      </c>
      <c r="R7" s="26">
        <f t="shared" si="6"/>
        <v>0</v>
      </c>
      <c r="S7" s="19">
        <f>COUNTIFS(Assessment!E:E,"Yes",Assessment!F:F,A7,Assessment!Z:Z,"5. Fully Compliant (100%)")</f>
        <v>2</v>
      </c>
      <c r="T7" s="19">
        <f>COUNTIFS(Assessment!E:E,"Yes",Assessment!F:F,A7,Assessment!Z:Z,"4. Mostly Compliant (75%)")</f>
        <v>0</v>
      </c>
      <c r="U7" s="19">
        <f>COUNTIFS(Assessment!E:E,"Yes",Assessment!F:F,A7,Assessment!Z:Z,"3. Partially Compliant (50%)")</f>
        <v>0</v>
      </c>
      <c r="V7" s="19">
        <f>COUNTIFS(Assessment!E:E,"Yes",Assessment!F:F,A7,Assessment!Z:Z,"2. Somewhat Compliant (25%)")</f>
        <v>0</v>
      </c>
      <c r="W7" s="19">
        <f>COUNTIFS(Assessment!E:E,"Yes",Assessment!F:F,A7,Assessment!Z:Z,"1. Non Compliant (0%)")</f>
        <v>0</v>
      </c>
      <c r="X7" s="21">
        <f t="shared" si="2"/>
        <v>0</v>
      </c>
      <c r="Y7" s="26">
        <f t="shared" si="7"/>
        <v>100</v>
      </c>
      <c r="Z7" s="19">
        <f>COUNTIFS(Assessment!E:E,"Yes",Assessment!F:F,A7,Assessment!AA:AA,"5. Fully Compliant (100%)")</f>
        <v>0</v>
      </c>
      <c r="AA7" s="19">
        <f>COUNTIFS(Assessment!E:E,"Yes",Assessment!F:F,A7,Assessment!AA:AA,"4. Mostly Compliant (75%)")</f>
        <v>0</v>
      </c>
      <c r="AB7" s="19">
        <f>COUNTIFS(Assessment!E:E,"Yes",Assessment!F:F,A7,Assessment!AA:AA,"3. Partially Compliant (50%)")</f>
        <v>0</v>
      </c>
      <c r="AC7" s="19">
        <f>COUNTIFS(Assessment!E:E,"Yes",Assessment!F:F,A7,Assessment!AA:AA,"2. Somewhat Compliant (25%)")</f>
        <v>0</v>
      </c>
      <c r="AD7" s="19">
        <f>COUNTIFS(Assessment!E:E,"Yes",Assessment!F:F,A7,Assessment!AA:AA,"1. Non Compliant (0%)")</f>
        <v>0</v>
      </c>
      <c r="AE7" s="21">
        <f t="shared" si="3"/>
        <v>2</v>
      </c>
      <c r="AF7" s="26">
        <f t="shared" si="8"/>
        <v>0</v>
      </c>
      <c r="AG7" s="19">
        <f>COUNTIFS(Assessment!E:E,"Yes",Assessment!F:F,A7,Assessment!AB:AB,"5. Fully Compliant (100%)")</f>
        <v>0</v>
      </c>
      <c r="AH7" s="19">
        <f>COUNTIFS(Assessment!E:E,"Yes",Assessment!F:F,A7,Assessment!AB:AB,"4. Mostly Compliant (75%)")</f>
        <v>0</v>
      </c>
      <c r="AI7" s="19">
        <f>COUNTIFS(Assessment!E:E,"Yes",Assessment!F:F,A7,Assessment!AB:AB,"3. Partially Compliant (50%)")</f>
        <v>0</v>
      </c>
      <c r="AJ7" s="19">
        <f>COUNTIFS(Assessment!E:E,"Yes",Assessment!F:F,A7,Assessment!AB:AB,"2. Somewhat Compliant (25%)")</f>
        <v>0</v>
      </c>
      <c r="AK7" s="19">
        <f>COUNTIFS(Assessment!E:E,"Yes",Assessment!F:F,A7,Assessment!AB:AB,"1. Non Compliant (0%)")</f>
        <v>0</v>
      </c>
      <c r="AL7" s="21">
        <f t="shared" si="4"/>
        <v>2</v>
      </c>
      <c r="AM7" s="26">
        <f t="shared" si="9"/>
        <v>0</v>
      </c>
    </row>
    <row r="8" spans="1:39" x14ac:dyDescent="0.2">
      <c r="A8" s="23" t="s">
        <v>931</v>
      </c>
      <c r="B8" s="21">
        <f>COUNTIFS(Assessment!E:E,"Yes",Assessment!F:F,A8)</f>
        <v>1</v>
      </c>
      <c r="C8" s="21">
        <f>COUNTIFS(Assessment!E:E,"Yes",Assessment!F:F,A8,Assessment!V:V,"No")</f>
        <v>1</v>
      </c>
      <c r="D8" s="25" t="str">
        <f t="shared" si="5"/>
        <v>N/A</v>
      </c>
      <c r="E8" s="19">
        <f>COUNTIFS(Assessment!E:E,"Yes",Assessment!F:F,A8,Assessment!X:X,"5. Fully Compliant (100%)")</f>
        <v>0</v>
      </c>
      <c r="F8" s="19">
        <f>COUNTIFS(Assessment!E:E,"Yes",Assessment!F:F,A8,Assessment!X:X,"4. Mostly Compliant (75%)")</f>
        <v>0</v>
      </c>
      <c r="G8" s="19">
        <f>COUNTIFS(Assessment!E:E,"Yes",Assessment!F:F,A8,Assessment!X:X,"3. Partially Compliant (50%)")</f>
        <v>0</v>
      </c>
      <c r="H8" s="19">
        <f>COUNTIFS(Assessment!E:E,"Yes",Assessment!F:F,A8,Assessment!X:X,"2. Somewhat Compliant (25%)")</f>
        <v>0</v>
      </c>
      <c r="I8" s="19">
        <f>COUNTIFS(Assessment!E:E,"Yes",Assessment!F:F,A8,Assessment!X:X,"1. Non Compliant (0%)")</f>
        <v>0</v>
      </c>
      <c r="J8" s="21">
        <f t="shared" si="0"/>
        <v>0</v>
      </c>
      <c r="K8" s="24" t="str">
        <f t="shared" si="10"/>
        <v>N/A</v>
      </c>
      <c r="L8" s="19">
        <f>COUNTIFS(Assessment!E:E,"Yes",Assessment!F:F,A8,Assessment!Y:Y,"5. Fully Compliant (100%)")</f>
        <v>0</v>
      </c>
      <c r="M8" s="19">
        <f>COUNTIFS(Assessment!E:E,"Yes",Assessment!F:F,A8,Assessment!Y:Y,"4. Mostly Compliant (75%)")</f>
        <v>0</v>
      </c>
      <c r="N8" s="19">
        <f>COUNTIFS(Assessment!E:E,"Yes",Assessment!F:F,A8,Assessment!Y:Y,"3. Partially Compliant (50%)")</f>
        <v>0</v>
      </c>
      <c r="O8" s="19">
        <f>COUNTIFS(Assessment!E:E,"Yes",Assessment!F:F,A8,Assessment!Y:Y,"2. Somewhat Compliant (25%)")</f>
        <v>0</v>
      </c>
      <c r="P8" s="19">
        <f>COUNTIFS(Assessment!E:E,"Yes",Assessment!F:F,A8,Assessment!Y:Y,"1. Non Compliant (0%)")</f>
        <v>0</v>
      </c>
      <c r="Q8" s="21">
        <f t="shared" si="1"/>
        <v>0</v>
      </c>
      <c r="R8" s="26" t="str">
        <f t="shared" si="6"/>
        <v>N/A</v>
      </c>
      <c r="S8" s="19">
        <f>COUNTIFS(Assessment!E:E,"Yes",Assessment!F:F,A8,Assessment!Z:Z,"5. Fully Compliant (100%)")</f>
        <v>0</v>
      </c>
      <c r="T8" s="19">
        <f>COUNTIFS(Assessment!E:E,"Yes",Assessment!F:F,A8,Assessment!Z:Z,"4. Mostly Compliant (75%)")</f>
        <v>0</v>
      </c>
      <c r="U8" s="19">
        <f>COUNTIFS(Assessment!E:E,"Yes",Assessment!F:F,A8,Assessment!Z:Z,"3. Partially Compliant (50%)")</f>
        <v>0</v>
      </c>
      <c r="V8" s="19">
        <f>COUNTIFS(Assessment!E:E,"Yes",Assessment!F:F,A8,Assessment!Z:Z,"2. Somewhat Compliant (25%)")</f>
        <v>0</v>
      </c>
      <c r="W8" s="19">
        <f>COUNTIFS(Assessment!E:E,"Yes",Assessment!F:F,A8,Assessment!Z:Z,"1. Non Compliant (0%)")</f>
        <v>0</v>
      </c>
      <c r="X8" s="21">
        <f t="shared" si="2"/>
        <v>0</v>
      </c>
      <c r="Y8" s="26" t="str">
        <f t="shared" si="7"/>
        <v>N/A</v>
      </c>
      <c r="Z8" s="19">
        <f>COUNTIFS(Assessment!E:E,"Yes",Assessment!F:F,A8,Assessment!AA:AA,"5. Fully Compliant (100%)")</f>
        <v>0</v>
      </c>
      <c r="AA8" s="19">
        <f>COUNTIFS(Assessment!E:E,"Yes",Assessment!F:F,A8,Assessment!AA:AA,"4. Mostly Compliant (75%)")</f>
        <v>0</v>
      </c>
      <c r="AB8" s="19">
        <f>COUNTIFS(Assessment!E:E,"Yes",Assessment!F:F,A8,Assessment!AA:AA,"3. Partially Compliant (50%)")</f>
        <v>0</v>
      </c>
      <c r="AC8" s="19">
        <f>COUNTIFS(Assessment!E:E,"Yes",Assessment!F:F,A8,Assessment!AA:AA,"2. Somewhat Compliant (25%)")</f>
        <v>0</v>
      </c>
      <c r="AD8" s="19">
        <f>COUNTIFS(Assessment!E:E,"Yes",Assessment!F:F,A8,Assessment!AA:AA,"1. Non Compliant (0%)")</f>
        <v>0</v>
      </c>
      <c r="AE8" s="21">
        <f t="shared" si="3"/>
        <v>0</v>
      </c>
      <c r="AF8" s="26" t="str">
        <f t="shared" si="8"/>
        <v>N/A</v>
      </c>
      <c r="AG8" s="19">
        <f>COUNTIFS(Assessment!E:E,"Yes",Assessment!F:F,A8,Assessment!AB:AB,"5. Fully Compliant (100%)")</f>
        <v>0</v>
      </c>
      <c r="AH8" s="19">
        <f>COUNTIFS(Assessment!E:E,"Yes",Assessment!F:F,A8,Assessment!AB:AB,"4. Mostly Compliant (75%)")</f>
        <v>0</v>
      </c>
      <c r="AI8" s="19">
        <f>COUNTIFS(Assessment!E:E,"Yes",Assessment!F:F,A8,Assessment!AB:AB,"3. Partially Compliant (50%)")</f>
        <v>0</v>
      </c>
      <c r="AJ8" s="19">
        <f>COUNTIFS(Assessment!E:E,"Yes",Assessment!F:F,A8,Assessment!AB:AB,"2. Somewhat Compliant (25%)")</f>
        <v>0</v>
      </c>
      <c r="AK8" s="19">
        <f>COUNTIFS(Assessment!E:E,"Yes",Assessment!F:F,A8,Assessment!AB:AB,"1. Non Compliant (0%)")</f>
        <v>0</v>
      </c>
      <c r="AL8" s="21">
        <f t="shared" si="4"/>
        <v>0</v>
      </c>
      <c r="AM8" s="26" t="str">
        <f t="shared" si="9"/>
        <v>N/A</v>
      </c>
    </row>
    <row r="9" spans="1:39" x14ac:dyDescent="0.2">
      <c r="A9" s="23" t="s">
        <v>957</v>
      </c>
      <c r="B9" s="21">
        <f>COUNTIFS(Assessment!E:E,"Yes",Assessment!F:F,A9)</f>
        <v>12</v>
      </c>
      <c r="C9" s="21">
        <f>COUNTIFS(Assessment!E:E,"Yes",Assessment!F:F,A9,Assessment!V:V,"No")</f>
        <v>0</v>
      </c>
      <c r="D9" s="25">
        <f t="shared" si="5"/>
        <v>15</v>
      </c>
      <c r="E9" s="19">
        <f>COUNTIFS(Assessment!E:E,"Yes",Assessment!F:F,A9,Assessment!X:X,"5. Fully Compliant (100%)")</f>
        <v>0</v>
      </c>
      <c r="F9" s="19">
        <f>COUNTIFS(Assessment!E:E,"Yes",Assessment!F:F,A9,Assessment!X:X,"4. Mostly Compliant (75%)")</f>
        <v>0</v>
      </c>
      <c r="G9" s="19">
        <f>COUNTIFS(Assessment!E:E,"Yes",Assessment!F:F,A9,Assessment!X:X,"3. Partially Compliant (50%)")</f>
        <v>0</v>
      </c>
      <c r="H9" s="19">
        <f>COUNTIFS(Assessment!E:E,"Yes",Assessment!F:F,A9,Assessment!X:X,"2. Somewhat Compliant (25%)")</f>
        <v>0</v>
      </c>
      <c r="I9" s="19">
        <f>COUNTIFS(Assessment!E:E,"Yes",Assessment!F:F,A9,Assessment!X:X,"1. Non Compliant (0%)")</f>
        <v>0</v>
      </c>
      <c r="J9" s="21">
        <f t="shared" si="0"/>
        <v>12</v>
      </c>
      <c r="K9" s="24">
        <f t="shared" si="10"/>
        <v>0</v>
      </c>
      <c r="L9" s="19">
        <f>COUNTIFS(Assessment!E:E,"Yes",Assessment!F:F,A9,Assessment!Y:Y,"5. Fully Compliant (100%)")</f>
        <v>0</v>
      </c>
      <c r="M9" s="19">
        <f>COUNTIFS(Assessment!E:E,"Yes",Assessment!F:F,A9,Assessment!Y:Y,"4. Mostly Compliant (75%)")</f>
        <v>0</v>
      </c>
      <c r="N9" s="19">
        <f>COUNTIFS(Assessment!E:E,"Yes",Assessment!F:F,A9,Assessment!Y:Y,"3. Partially Compliant (50%)")</f>
        <v>0</v>
      </c>
      <c r="O9" s="19">
        <f>COUNTIFS(Assessment!E:E,"Yes",Assessment!F:F,A9,Assessment!Y:Y,"2. Somewhat Compliant (25%)")</f>
        <v>0</v>
      </c>
      <c r="P9" s="19">
        <f>COUNTIFS(Assessment!E:E,"Yes",Assessment!F:F,A9,Assessment!Y:Y,"1. Non Compliant (0%)")</f>
        <v>0</v>
      </c>
      <c r="Q9" s="21">
        <f t="shared" si="1"/>
        <v>12</v>
      </c>
      <c r="R9" s="26">
        <f t="shared" si="6"/>
        <v>0</v>
      </c>
      <c r="S9" s="19">
        <f>COUNTIFS(Assessment!E:E,"Yes",Assessment!F:F,A9,Assessment!Z:Z,"5. Fully Compliant (100%)")</f>
        <v>4</v>
      </c>
      <c r="T9" s="19">
        <f>COUNTIFS(Assessment!E:E,"Yes",Assessment!F:F,A9,Assessment!Z:Z,"4. Mostly Compliant (75%)")</f>
        <v>0</v>
      </c>
      <c r="U9" s="19">
        <f>COUNTIFS(Assessment!E:E,"Yes",Assessment!F:F,A9,Assessment!Z:Z,"3. Partially Compliant (50%)")</f>
        <v>1</v>
      </c>
      <c r="V9" s="19">
        <f>COUNTIFS(Assessment!E:E,"Yes",Assessment!F:F,A9,Assessment!Z:Z,"2. Somewhat Compliant (25%)")</f>
        <v>0</v>
      </c>
      <c r="W9" s="19">
        <f>COUNTIFS(Assessment!E:E,"Yes",Assessment!F:F,A9,Assessment!Z:Z,"1. Non Compliant (0%)")</f>
        <v>7</v>
      </c>
      <c r="X9" s="21">
        <f t="shared" si="2"/>
        <v>0</v>
      </c>
      <c r="Y9" s="26">
        <f t="shared" si="7"/>
        <v>37.5</v>
      </c>
      <c r="Z9" s="19">
        <f>COUNTIFS(Assessment!E:E,"Yes",Assessment!F:F,A9,Assessment!AA:AA,"5. Fully Compliant (100%)")</f>
        <v>0</v>
      </c>
      <c r="AA9" s="19">
        <f>COUNTIFS(Assessment!E:E,"Yes",Assessment!F:F,A9,Assessment!AA:AA,"4. Mostly Compliant (75%)")</f>
        <v>0</v>
      </c>
      <c r="AB9" s="19">
        <f>COUNTIFS(Assessment!E:E,"Yes",Assessment!F:F,A9,Assessment!AA:AA,"3. Partially Compliant (50%)")</f>
        <v>0</v>
      </c>
      <c r="AC9" s="19">
        <f>COUNTIFS(Assessment!E:E,"Yes",Assessment!F:F,A9,Assessment!AA:AA,"2. Somewhat Compliant (25%)")</f>
        <v>0</v>
      </c>
      <c r="AD9" s="19">
        <f>COUNTIFS(Assessment!E:E,"Yes",Assessment!F:F,A9,Assessment!AA:AA,"1. Non Compliant (0%)")</f>
        <v>0</v>
      </c>
      <c r="AE9" s="21">
        <f t="shared" si="3"/>
        <v>12</v>
      </c>
      <c r="AF9" s="26">
        <f t="shared" si="8"/>
        <v>0</v>
      </c>
      <c r="AG9" s="19">
        <f>COUNTIFS(Assessment!E:E,"Yes",Assessment!F:F,A9,Assessment!AB:AB,"5. Fully Compliant (100%)")</f>
        <v>0</v>
      </c>
      <c r="AH9" s="19">
        <f>COUNTIFS(Assessment!E:E,"Yes",Assessment!F:F,A9,Assessment!AB:AB,"4. Mostly Compliant (75%)")</f>
        <v>0</v>
      </c>
      <c r="AI9" s="19">
        <f>COUNTIFS(Assessment!E:E,"Yes",Assessment!F:F,A9,Assessment!AB:AB,"3. Partially Compliant (50%)")</f>
        <v>0</v>
      </c>
      <c r="AJ9" s="19">
        <f>COUNTIFS(Assessment!E:E,"Yes",Assessment!F:F,A9,Assessment!AB:AB,"2. Somewhat Compliant (25%)")</f>
        <v>0</v>
      </c>
      <c r="AK9" s="19">
        <f>COUNTIFS(Assessment!E:E,"Yes",Assessment!F:F,A9,Assessment!AB:AB,"1. Non Compliant (0%)")</f>
        <v>0</v>
      </c>
      <c r="AL9" s="21">
        <f t="shared" si="4"/>
        <v>12</v>
      </c>
      <c r="AM9" s="26">
        <f t="shared" si="9"/>
        <v>0</v>
      </c>
    </row>
    <row r="10" spans="1:39" x14ac:dyDescent="0.2">
      <c r="A10" s="23" t="s">
        <v>1293</v>
      </c>
      <c r="B10" s="21">
        <f>COUNTIFS(Assessment!E:E,"Yes",Assessment!F:F,A10)</f>
        <v>23</v>
      </c>
      <c r="C10" s="21">
        <f>COUNTIFS(Assessment!E:E,"Yes",Assessment!F:F,A10,Assessment!V:V,"No")</f>
        <v>0</v>
      </c>
      <c r="D10" s="25">
        <f t="shared" si="5"/>
        <v>11.739130434782609</v>
      </c>
      <c r="E10" s="19">
        <f>COUNTIFS(Assessment!E:E,"Yes",Assessment!F:F,A10,Assessment!X:X,"5. Fully Compliant (100%)")</f>
        <v>0</v>
      </c>
      <c r="F10" s="19">
        <f>COUNTIFS(Assessment!E:E,"Yes",Assessment!F:F,A10,Assessment!X:X,"4. Mostly Compliant (75%)")</f>
        <v>0</v>
      </c>
      <c r="G10" s="19">
        <f>COUNTIFS(Assessment!E:E,"Yes",Assessment!F:F,A10,Assessment!X:X,"3. Partially Compliant (50%)")</f>
        <v>0</v>
      </c>
      <c r="H10" s="19">
        <f>COUNTIFS(Assessment!E:E,"Yes",Assessment!F:F,A10,Assessment!X:X,"2. Somewhat Compliant (25%)")</f>
        <v>0</v>
      </c>
      <c r="I10" s="19">
        <f>COUNTIFS(Assessment!E:E,"Yes",Assessment!F:F,A10,Assessment!X:X,"1. Non Compliant (0%)")</f>
        <v>0</v>
      </c>
      <c r="J10" s="21">
        <f t="shared" si="0"/>
        <v>23</v>
      </c>
      <c r="K10" s="24">
        <f t="shared" si="10"/>
        <v>0</v>
      </c>
      <c r="L10" s="19">
        <f>COUNTIFS(Assessment!E:E,"Yes",Assessment!F:F,A10,Assessment!Y:Y,"5. Fully Compliant (100%)")</f>
        <v>0</v>
      </c>
      <c r="M10" s="19">
        <f>COUNTIFS(Assessment!E:E,"Yes",Assessment!F:F,A10,Assessment!Y:Y,"4. Mostly Compliant (75%)")</f>
        <v>0</v>
      </c>
      <c r="N10" s="19">
        <f>COUNTIFS(Assessment!E:E,"Yes",Assessment!F:F,A10,Assessment!Y:Y,"3. Partially Compliant (50%)")</f>
        <v>0</v>
      </c>
      <c r="O10" s="19">
        <f>COUNTIFS(Assessment!E:E,"Yes",Assessment!F:F,A10,Assessment!Y:Y,"2. Somewhat Compliant (25%)")</f>
        <v>0</v>
      </c>
      <c r="P10" s="19">
        <f>COUNTIFS(Assessment!E:E,"Yes",Assessment!F:F,A10,Assessment!Y:Y,"1. Non Compliant (0%)")</f>
        <v>0</v>
      </c>
      <c r="Q10" s="21">
        <f t="shared" si="1"/>
        <v>23</v>
      </c>
      <c r="R10" s="26">
        <f t="shared" si="6"/>
        <v>0</v>
      </c>
      <c r="S10" s="19">
        <f>COUNTIFS(Assessment!E:E,"Yes",Assessment!F:F,A10,Assessment!Z:Z,"5. Fully Compliant (100%)")</f>
        <v>3</v>
      </c>
      <c r="T10" s="19">
        <f>COUNTIFS(Assessment!E:E,"Yes",Assessment!F:F,A10,Assessment!Z:Z,"4. Mostly Compliant (75%)")</f>
        <v>1</v>
      </c>
      <c r="U10" s="19">
        <f>COUNTIFS(Assessment!E:E,"Yes",Assessment!F:F,A10,Assessment!Z:Z,"3. Partially Compliant (50%)")</f>
        <v>6</v>
      </c>
      <c r="V10" s="19">
        <f>COUNTIFS(Assessment!E:E,"Yes",Assessment!F:F,A10,Assessment!Z:Z,"2. Somewhat Compliant (25%)")</f>
        <v>0</v>
      </c>
      <c r="W10" s="19">
        <f>COUNTIFS(Assessment!E:E,"Yes",Assessment!F:F,A10,Assessment!Z:Z,"1. Non Compliant (0%)")</f>
        <v>13</v>
      </c>
      <c r="X10" s="21">
        <f t="shared" si="2"/>
        <v>0</v>
      </c>
      <c r="Y10" s="26">
        <f t="shared" si="7"/>
        <v>29.347826086956523</v>
      </c>
      <c r="Z10" s="19">
        <f>COUNTIFS(Assessment!E:E,"Yes",Assessment!F:F,A10,Assessment!AA:AA,"5. Fully Compliant (100%)")</f>
        <v>0</v>
      </c>
      <c r="AA10" s="19">
        <f>COUNTIFS(Assessment!E:E,"Yes",Assessment!F:F,A10,Assessment!AA:AA,"4. Mostly Compliant (75%)")</f>
        <v>0</v>
      </c>
      <c r="AB10" s="19">
        <f>COUNTIFS(Assessment!E:E,"Yes",Assessment!F:F,A10,Assessment!AA:AA,"3. Partially Compliant (50%)")</f>
        <v>0</v>
      </c>
      <c r="AC10" s="19">
        <f>COUNTIFS(Assessment!E:E,"Yes",Assessment!F:F,A10,Assessment!AA:AA,"2. Somewhat Compliant (25%)")</f>
        <v>0</v>
      </c>
      <c r="AD10" s="19">
        <f>COUNTIFS(Assessment!E:E,"Yes",Assessment!F:F,A10,Assessment!AA:AA,"1. Non Compliant (0%)")</f>
        <v>0</v>
      </c>
      <c r="AE10" s="21">
        <f t="shared" si="3"/>
        <v>23</v>
      </c>
      <c r="AF10" s="26">
        <f t="shared" si="8"/>
        <v>0</v>
      </c>
      <c r="AG10" s="19">
        <f>COUNTIFS(Assessment!E:E,"Yes",Assessment!F:F,A10,Assessment!AB:AB,"5. Fully Compliant (100%)")</f>
        <v>0</v>
      </c>
      <c r="AH10" s="19">
        <f>COUNTIFS(Assessment!E:E,"Yes",Assessment!F:F,A10,Assessment!AB:AB,"4. Mostly Compliant (75%)")</f>
        <v>0</v>
      </c>
      <c r="AI10" s="19">
        <f>COUNTIFS(Assessment!E:E,"Yes",Assessment!F:F,A10,Assessment!AB:AB,"3. Partially Compliant (50%)")</f>
        <v>0</v>
      </c>
      <c r="AJ10" s="19">
        <f>COUNTIFS(Assessment!E:E,"Yes",Assessment!F:F,A10,Assessment!AB:AB,"2. Somewhat Compliant (25%)")</f>
        <v>0</v>
      </c>
      <c r="AK10" s="19">
        <f>COUNTIFS(Assessment!E:E,"Yes",Assessment!F:F,A10,Assessment!AB:AB,"1. Non Compliant (0%)")</f>
        <v>0</v>
      </c>
      <c r="AL10" s="21">
        <f t="shared" si="4"/>
        <v>23</v>
      </c>
      <c r="AM10" s="26">
        <f t="shared" si="9"/>
        <v>0</v>
      </c>
    </row>
    <row r="11" spans="1:39" x14ac:dyDescent="0.2">
      <c r="A11" s="23" t="s">
        <v>1732</v>
      </c>
      <c r="B11" s="21">
        <f>COUNTIFS(Assessment!E:E,"Yes",Assessment!F:F,A11)</f>
        <v>5</v>
      </c>
      <c r="C11" s="21">
        <f>COUNTIFS(Assessment!E:E,"Yes",Assessment!F:F,A11,Assessment!V:V,"No")</f>
        <v>0</v>
      </c>
      <c r="D11" s="25">
        <f t="shared" si="5"/>
        <v>34</v>
      </c>
      <c r="E11" s="19">
        <f>COUNTIFS(Assessment!E:E,"Yes",Assessment!F:F,A11,Assessment!X:X,"5. Fully Compliant (100%)")</f>
        <v>0</v>
      </c>
      <c r="F11" s="19">
        <f>COUNTIFS(Assessment!E:E,"Yes",Assessment!F:F,A11,Assessment!X:X,"4. Mostly Compliant (75%)")</f>
        <v>0</v>
      </c>
      <c r="G11" s="19">
        <f>COUNTIFS(Assessment!E:E,"Yes",Assessment!F:F,A11,Assessment!X:X,"3. Partially Compliant (50%)")</f>
        <v>0</v>
      </c>
      <c r="H11" s="19">
        <f>COUNTIFS(Assessment!E:E,"Yes",Assessment!F:F,A11,Assessment!X:X,"2. Somewhat Compliant (25%)")</f>
        <v>0</v>
      </c>
      <c r="I11" s="19">
        <f>COUNTIFS(Assessment!E:E,"Yes",Assessment!F:F,A11,Assessment!X:X,"1. Non Compliant (0%)")</f>
        <v>0</v>
      </c>
      <c r="J11" s="21">
        <f t="shared" si="0"/>
        <v>5</v>
      </c>
      <c r="K11" s="24">
        <f t="shared" si="10"/>
        <v>0</v>
      </c>
      <c r="L11" s="19">
        <f>COUNTIFS(Assessment!E:E,"Yes",Assessment!F:F,A11,Assessment!Y:Y,"5. Fully Compliant (100%)")</f>
        <v>0</v>
      </c>
      <c r="M11" s="19">
        <f>COUNTIFS(Assessment!E:E,"Yes",Assessment!F:F,A11,Assessment!Y:Y,"4. Mostly Compliant (75%)")</f>
        <v>0</v>
      </c>
      <c r="N11" s="19">
        <f>COUNTIFS(Assessment!E:E,"Yes",Assessment!F:F,A11,Assessment!Y:Y,"3. Partially Compliant (50%)")</f>
        <v>0</v>
      </c>
      <c r="O11" s="19">
        <f>COUNTIFS(Assessment!E:E,"Yes",Assessment!F:F,A11,Assessment!Y:Y,"2. Somewhat Compliant (25%)")</f>
        <v>0</v>
      </c>
      <c r="P11" s="19">
        <f>COUNTIFS(Assessment!E:E,"Yes",Assessment!F:F,A11,Assessment!Y:Y,"1. Non Compliant (0%)")</f>
        <v>0</v>
      </c>
      <c r="Q11" s="21">
        <f t="shared" si="1"/>
        <v>5</v>
      </c>
      <c r="R11" s="26">
        <f t="shared" si="6"/>
        <v>0</v>
      </c>
      <c r="S11" s="19">
        <f>COUNTIFS(Assessment!E:E,"Yes",Assessment!F:F,A11,Assessment!Z:Z,"5. Fully Compliant (100%)")</f>
        <v>2</v>
      </c>
      <c r="T11" s="19">
        <f>COUNTIFS(Assessment!E:E,"Yes",Assessment!F:F,A11,Assessment!Z:Z,"4. Mostly Compliant (75%)")</f>
        <v>3</v>
      </c>
      <c r="U11" s="19">
        <f>COUNTIFS(Assessment!E:E,"Yes",Assessment!F:F,A11,Assessment!Z:Z,"3. Partially Compliant (50%)")</f>
        <v>0</v>
      </c>
      <c r="V11" s="19">
        <f>COUNTIFS(Assessment!E:E,"Yes",Assessment!F:F,A11,Assessment!Z:Z,"2. Somewhat Compliant (25%)")</f>
        <v>0</v>
      </c>
      <c r="W11" s="19">
        <f>COUNTIFS(Assessment!E:E,"Yes",Assessment!F:F,A11,Assessment!Z:Z,"1. Non Compliant (0%)")</f>
        <v>0</v>
      </c>
      <c r="X11" s="21">
        <f t="shared" si="2"/>
        <v>0</v>
      </c>
      <c r="Y11" s="26">
        <f t="shared" si="7"/>
        <v>85</v>
      </c>
      <c r="Z11" s="19">
        <f>COUNTIFS(Assessment!E:E,"Yes",Assessment!F:F,A11,Assessment!AA:AA,"5. Fully Compliant (100%)")</f>
        <v>0</v>
      </c>
      <c r="AA11" s="19">
        <f>COUNTIFS(Assessment!E:E,"Yes",Assessment!F:F,A11,Assessment!AA:AA,"4. Mostly Compliant (75%)")</f>
        <v>0</v>
      </c>
      <c r="AB11" s="19">
        <f>COUNTIFS(Assessment!E:E,"Yes",Assessment!F:F,A11,Assessment!AA:AA,"3. Partially Compliant (50%)")</f>
        <v>0</v>
      </c>
      <c r="AC11" s="19">
        <f>COUNTIFS(Assessment!E:E,"Yes",Assessment!F:F,A11,Assessment!AA:AA,"2. Somewhat Compliant (25%)")</f>
        <v>0</v>
      </c>
      <c r="AD11" s="19">
        <f>COUNTIFS(Assessment!E:E,"Yes",Assessment!F:F,A11,Assessment!AA:AA,"1. Non Compliant (0%)")</f>
        <v>0</v>
      </c>
      <c r="AE11" s="21">
        <f t="shared" si="3"/>
        <v>5</v>
      </c>
      <c r="AF11" s="26">
        <f t="shared" si="8"/>
        <v>0</v>
      </c>
      <c r="AG11" s="19">
        <f>COUNTIFS(Assessment!E:E,"Yes",Assessment!F:F,A11,Assessment!AB:AB,"5. Fully Compliant (100%)")</f>
        <v>0</v>
      </c>
      <c r="AH11" s="19">
        <f>COUNTIFS(Assessment!E:E,"Yes",Assessment!F:F,A11,Assessment!AB:AB,"4. Mostly Compliant (75%)")</f>
        <v>0</v>
      </c>
      <c r="AI11" s="19">
        <f>COUNTIFS(Assessment!E:E,"Yes",Assessment!F:F,A11,Assessment!AB:AB,"3. Partially Compliant (50%)")</f>
        <v>0</v>
      </c>
      <c r="AJ11" s="19">
        <f>COUNTIFS(Assessment!E:E,"Yes",Assessment!F:F,A11,Assessment!AB:AB,"2. Somewhat Compliant (25%)")</f>
        <v>0</v>
      </c>
      <c r="AK11" s="19">
        <f>COUNTIFS(Assessment!E:E,"Yes",Assessment!F:F,A11,Assessment!AB:AB,"1. Non Compliant (0%)")</f>
        <v>0</v>
      </c>
      <c r="AL11" s="21">
        <f t="shared" si="4"/>
        <v>5</v>
      </c>
      <c r="AM11" s="26">
        <f t="shared" si="9"/>
        <v>0</v>
      </c>
    </row>
    <row r="12" spans="1:39" x14ac:dyDescent="0.2">
      <c r="A12" s="23" t="s">
        <v>2048</v>
      </c>
      <c r="B12" s="21">
        <f>COUNTIFS(Assessment!E:E,"Yes",Assessment!F:F,A12)</f>
        <v>6</v>
      </c>
      <c r="C12" s="21">
        <f>COUNTIFS(Assessment!E:E,"Yes",Assessment!F:F,A12,Assessment!V:V,"No")</f>
        <v>0</v>
      </c>
      <c r="D12" s="25">
        <f t="shared" si="5"/>
        <v>23.333333333333336</v>
      </c>
      <c r="E12" s="19">
        <f>COUNTIFS(Assessment!E:E,"Yes",Assessment!F:F,A12,Assessment!X:X,"5. Fully Compliant (100%)")</f>
        <v>0</v>
      </c>
      <c r="F12" s="19">
        <f>COUNTIFS(Assessment!E:E,"Yes",Assessment!F:F,A12,Assessment!X:X,"4. Mostly Compliant (75%)")</f>
        <v>0</v>
      </c>
      <c r="G12" s="19">
        <f>COUNTIFS(Assessment!E:E,"Yes",Assessment!F:F,A12,Assessment!X:X,"3. Partially Compliant (50%)")</f>
        <v>0</v>
      </c>
      <c r="H12" s="19">
        <f>COUNTIFS(Assessment!E:E,"Yes",Assessment!F:F,A12,Assessment!X:X,"2. Somewhat Compliant (25%)")</f>
        <v>0</v>
      </c>
      <c r="I12" s="19">
        <f>COUNTIFS(Assessment!E:E,"Yes",Assessment!F:F,A12,Assessment!X:X,"1. Non Compliant (0%)")</f>
        <v>0</v>
      </c>
      <c r="J12" s="21">
        <f t="shared" si="0"/>
        <v>6</v>
      </c>
      <c r="K12" s="24">
        <f t="shared" si="10"/>
        <v>0</v>
      </c>
      <c r="L12" s="19">
        <f>COUNTIFS(Assessment!E:E,"Yes",Assessment!F:F,A12,Assessment!Y:Y,"5. Fully Compliant (100%)")</f>
        <v>0</v>
      </c>
      <c r="M12" s="19">
        <f>COUNTIFS(Assessment!E:E,"Yes",Assessment!F:F,A12,Assessment!Y:Y,"4. Mostly Compliant (75%)")</f>
        <v>0</v>
      </c>
      <c r="N12" s="19">
        <f>COUNTIFS(Assessment!E:E,"Yes",Assessment!F:F,A12,Assessment!Y:Y,"3. Partially Compliant (50%)")</f>
        <v>0</v>
      </c>
      <c r="O12" s="19">
        <f>COUNTIFS(Assessment!E:E,"Yes",Assessment!F:F,A12,Assessment!Y:Y,"2. Somewhat Compliant (25%)")</f>
        <v>0</v>
      </c>
      <c r="P12" s="19">
        <f>COUNTIFS(Assessment!E:E,"Yes",Assessment!F:F,A12,Assessment!Y:Y,"1. Non Compliant (0%)")</f>
        <v>0</v>
      </c>
      <c r="Q12" s="21">
        <f t="shared" si="1"/>
        <v>6</v>
      </c>
      <c r="R12" s="26">
        <f t="shared" si="6"/>
        <v>0</v>
      </c>
      <c r="S12" s="19">
        <f>COUNTIFS(Assessment!E:E,"Yes",Assessment!F:F,A12,Assessment!Z:Z,"5. Fully Compliant (100%)")</f>
        <v>2</v>
      </c>
      <c r="T12" s="19">
        <f>COUNTIFS(Assessment!E:E,"Yes",Assessment!F:F,A12,Assessment!Z:Z,"4. Mostly Compliant (75%)")</f>
        <v>0</v>
      </c>
      <c r="U12" s="19">
        <f>COUNTIFS(Assessment!E:E,"Yes",Assessment!F:F,A12,Assessment!Z:Z,"3. Partially Compliant (50%)")</f>
        <v>3</v>
      </c>
      <c r="V12" s="19">
        <f>COUNTIFS(Assessment!E:E,"Yes",Assessment!F:F,A12,Assessment!Z:Z,"2. Somewhat Compliant (25%)")</f>
        <v>0</v>
      </c>
      <c r="W12" s="19">
        <f>COUNTIFS(Assessment!E:E,"Yes",Assessment!F:F,A12,Assessment!Z:Z,"1. Non Compliant (0%)")</f>
        <v>1</v>
      </c>
      <c r="X12" s="21">
        <f t="shared" si="2"/>
        <v>0</v>
      </c>
      <c r="Y12" s="26">
        <f t="shared" si="7"/>
        <v>58.333333333333336</v>
      </c>
      <c r="Z12" s="19">
        <f>COUNTIFS(Assessment!E:E,"Yes",Assessment!F:F,A12,Assessment!AA:AA,"5. Fully Compliant (100%)")</f>
        <v>0</v>
      </c>
      <c r="AA12" s="19">
        <f>COUNTIFS(Assessment!E:E,"Yes",Assessment!F:F,A12,Assessment!AA:AA,"4. Mostly Compliant (75%)")</f>
        <v>0</v>
      </c>
      <c r="AB12" s="19">
        <f>COUNTIFS(Assessment!E:E,"Yes",Assessment!F:F,A12,Assessment!AA:AA,"3. Partially Compliant (50%)")</f>
        <v>0</v>
      </c>
      <c r="AC12" s="19">
        <f>COUNTIFS(Assessment!E:E,"Yes",Assessment!F:F,A12,Assessment!AA:AA,"2. Somewhat Compliant (25%)")</f>
        <v>0</v>
      </c>
      <c r="AD12" s="19">
        <f>COUNTIFS(Assessment!E:E,"Yes",Assessment!F:F,A12,Assessment!AA:AA,"1. Non Compliant (0%)")</f>
        <v>0</v>
      </c>
      <c r="AE12" s="21">
        <f t="shared" si="3"/>
        <v>6</v>
      </c>
      <c r="AF12" s="26">
        <f t="shared" si="8"/>
        <v>0</v>
      </c>
      <c r="AG12" s="19">
        <f>COUNTIFS(Assessment!E:E,"Yes",Assessment!F:F,A12,Assessment!AB:AB,"5. Fully Compliant (100%)")</f>
        <v>0</v>
      </c>
      <c r="AH12" s="19">
        <f>COUNTIFS(Assessment!E:E,"Yes",Assessment!F:F,A12,Assessment!AB:AB,"4. Mostly Compliant (75%)")</f>
        <v>0</v>
      </c>
      <c r="AI12" s="19">
        <f>COUNTIFS(Assessment!E:E,"Yes",Assessment!F:F,A12,Assessment!AB:AB,"3. Partially Compliant (50%)")</f>
        <v>0</v>
      </c>
      <c r="AJ12" s="19">
        <f>COUNTIFS(Assessment!E:E,"Yes",Assessment!F:F,A12,Assessment!AB:AB,"2. Somewhat Compliant (25%)")</f>
        <v>0</v>
      </c>
      <c r="AK12" s="19">
        <f>COUNTIFS(Assessment!E:E,"Yes",Assessment!F:F,A12,Assessment!AB:AB,"1. Non Compliant (0%)")</f>
        <v>0</v>
      </c>
      <c r="AL12" s="21">
        <f t="shared" si="4"/>
        <v>6</v>
      </c>
      <c r="AM12" s="26">
        <f t="shared" si="9"/>
        <v>0</v>
      </c>
    </row>
    <row r="13" spans="1:39" x14ac:dyDescent="0.2">
      <c r="A13" s="23" t="s">
        <v>2290</v>
      </c>
      <c r="B13" s="21">
        <f>COUNTIFS(Assessment!E:E,"Yes",Assessment!F:F,A13)</f>
        <v>6</v>
      </c>
      <c r="C13" s="21">
        <f>COUNTIFS(Assessment!E:E,"Yes",Assessment!F:F,A13,Assessment!V:V,"No")</f>
        <v>0</v>
      </c>
      <c r="D13" s="25">
        <f t="shared" si="5"/>
        <v>40</v>
      </c>
      <c r="E13" s="19">
        <f>COUNTIFS(Assessment!E:E,"Yes",Assessment!F:F,A13,Assessment!X:X,"5. Fully Compliant (100%)")</f>
        <v>0</v>
      </c>
      <c r="F13" s="19">
        <f>COUNTIFS(Assessment!E:E,"Yes",Assessment!F:F,A13,Assessment!X:X,"4. Mostly Compliant (75%)")</f>
        <v>0</v>
      </c>
      <c r="G13" s="19">
        <f>COUNTIFS(Assessment!E:E,"Yes",Assessment!F:F,A13,Assessment!X:X,"3. Partially Compliant (50%)")</f>
        <v>0</v>
      </c>
      <c r="H13" s="19">
        <f>COUNTIFS(Assessment!E:E,"Yes",Assessment!F:F,A13,Assessment!X:X,"2. Somewhat Compliant (25%)")</f>
        <v>0</v>
      </c>
      <c r="I13" s="19">
        <f>COUNTIFS(Assessment!E:E,"Yes",Assessment!F:F,A13,Assessment!X:X,"1. Non Compliant (0%)")</f>
        <v>0</v>
      </c>
      <c r="J13" s="21">
        <f t="shared" si="0"/>
        <v>6</v>
      </c>
      <c r="K13" s="24">
        <f t="shared" si="10"/>
        <v>0</v>
      </c>
      <c r="L13" s="19">
        <f>COUNTIFS(Assessment!E:E,"Yes",Assessment!F:F,A13,Assessment!Y:Y,"5. Fully Compliant (100%)")</f>
        <v>0</v>
      </c>
      <c r="M13" s="19">
        <f>COUNTIFS(Assessment!E:E,"Yes",Assessment!F:F,A13,Assessment!Y:Y,"4. Mostly Compliant (75%)")</f>
        <v>0</v>
      </c>
      <c r="N13" s="19">
        <f>COUNTIFS(Assessment!E:E,"Yes",Assessment!F:F,A13,Assessment!Y:Y,"3. Partially Compliant (50%)")</f>
        <v>0</v>
      </c>
      <c r="O13" s="19">
        <f>COUNTIFS(Assessment!E:E,"Yes",Assessment!F:F,A13,Assessment!Y:Y,"2. Somewhat Compliant (25%)")</f>
        <v>0</v>
      </c>
      <c r="P13" s="19">
        <f>COUNTIFS(Assessment!E:E,"Yes",Assessment!F:F,A13,Assessment!Y:Y,"1. Non Compliant (0%)")</f>
        <v>0</v>
      </c>
      <c r="Q13" s="21">
        <f t="shared" si="1"/>
        <v>6</v>
      </c>
      <c r="R13" s="26">
        <f t="shared" si="6"/>
        <v>0</v>
      </c>
      <c r="S13" s="19">
        <f>COUNTIFS(Assessment!E:E,"Yes",Assessment!F:F,A13,Assessment!Z:Z,"5. Fully Compliant (100%)")</f>
        <v>6</v>
      </c>
      <c r="T13" s="19">
        <f>COUNTIFS(Assessment!E:E,"Yes",Assessment!F:F,A13,Assessment!Z:Z,"4. Mostly Compliant (75%)")</f>
        <v>0</v>
      </c>
      <c r="U13" s="19">
        <f>COUNTIFS(Assessment!E:E,"Yes",Assessment!F:F,A13,Assessment!Z:Z,"3. Partially Compliant (50%)")</f>
        <v>0</v>
      </c>
      <c r="V13" s="19">
        <f>COUNTIFS(Assessment!E:E,"Yes",Assessment!F:F,A13,Assessment!Z:Z,"2. Somewhat Compliant (25%)")</f>
        <v>0</v>
      </c>
      <c r="W13" s="19">
        <f>COUNTIFS(Assessment!E:E,"Yes",Assessment!F:F,A13,Assessment!Z:Z,"1. Non Compliant (0%)")</f>
        <v>0</v>
      </c>
      <c r="X13" s="21">
        <f t="shared" si="2"/>
        <v>0</v>
      </c>
      <c r="Y13" s="26">
        <f t="shared" si="7"/>
        <v>100</v>
      </c>
      <c r="Z13" s="19">
        <f>COUNTIFS(Assessment!E:E,"Yes",Assessment!F:F,A13,Assessment!AA:AA,"5. Fully Compliant (100%)")</f>
        <v>0</v>
      </c>
      <c r="AA13" s="19">
        <f>COUNTIFS(Assessment!E:E,"Yes",Assessment!F:F,A13,Assessment!AA:AA,"4. Mostly Compliant (75%)")</f>
        <v>0</v>
      </c>
      <c r="AB13" s="19">
        <f>COUNTIFS(Assessment!E:E,"Yes",Assessment!F:F,A13,Assessment!AA:AA,"3. Partially Compliant (50%)")</f>
        <v>0</v>
      </c>
      <c r="AC13" s="19">
        <f>COUNTIFS(Assessment!E:E,"Yes",Assessment!F:F,A13,Assessment!AA:AA,"2. Somewhat Compliant (25%)")</f>
        <v>0</v>
      </c>
      <c r="AD13" s="19">
        <f>COUNTIFS(Assessment!E:E,"Yes",Assessment!F:F,A13,Assessment!AA:AA,"1. Non Compliant (0%)")</f>
        <v>0</v>
      </c>
      <c r="AE13" s="21">
        <f t="shared" si="3"/>
        <v>6</v>
      </c>
      <c r="AF13" s="26">
        <f t="shared" si="8"/>
        <v>0</v>
      </c>
      <c r="AG13" s="19">
        <f>COUNTIFS(Assessment!E:E,"Yes",Assessment!F:F,A13,Assessment!AB:AB,"5. Fully Compliant (100%)")</f>
        <v>0</v>
      </c>
      <c r="AH13" s="19">
        <f>COUNTIFS(Assessment!E:E,"Yes",Assessment!F:F,A13,Assessment!AB:AB,"4. Mostly Compliant (75%)")</f>
        <v>0</v>
      </c>
      <c r="AI13" s="19">
        <f>COUNTIFS(Assessment!E:E,"Yes",Assessment!F:F,A13,Assessment!AB:AB,"3. Partially Compliant (50%)")</f>
        <v>0</v>
      </c>
      <c r="AJ13" s="19">
        <f>COUNTIFS(Assessment!E:E,"Yes",Assessment!F:F,A13,Assessment!AB:AB,"2. Somewhat Compliant (25%)")</f>
        <v>0</v>
      </c>
      <c r="AK13" s="19">
        <f>COUNTIFS(Assessment!E:E,"Yes",Assessment!F:F,A13,Assessment!AB:AB,"1. Non Compliant (0%)")</f>
        <v>0</v>
      </c>
      <c r="AL13" s="21">
        <f t="shared" si="4"/>
        <v>6</v>
      </c>
      <c r="AM13" s="26">
        <f t="shared" si="9"/>
        <v>0</v>
      </c>
    </row>
    <row r="14" spans="1:39" x14ac:dyDescent="0.2">
      <c r="A14" s="23" t="s">
        <v>2424</v>
      </c>
      <c r="B14" s="21">
        <f>COUNTIFS(Assessment!E:E,"Yes",Assessment!F:F,A14)</f>
        <v>21</v>
      </c>
      <c r="C14" s="21">
        <f>COUNTIFS(Assessment!E:E,"Yes",Assessment!F:F,A14,Assessment!V:V,"No")</f>
        <v>0</v>
      </c>
      <c r="D14" s="25">
        <f t="shared" si="5"/>
        <v>21.904761904761905</v>
      </c>
      <c r="E14" s="19">
        <f>COUNTIFS(Assessment!E:E,"Yes",Assessment!F:F,A14,Assessment!X:X,"5. Fully Compliant (100%)")</f>
        <v>0</v>
      </c>
      <c r="F14" s="19">
        <f>COUNTIFS(Assessment!E:E,"Yes",Assessment!F:F,A14,Assessment!X:X,"4. Mostly Compliant (75%)")</f>
        <v>0</v>
      </c>
      <c r="G14" s="19">
        <f>COUNTIFS(Assessment!E:E,"Yes",Assessment!F:F,A14,Assessment!X:X,"3. Partially Compliant (50%)")</f>
        <v>0</v>
      </c>
      <c r="H14" s="19">
        <f>COUNTIFS(Assessment!E:E,"Yes",Assessment!F:F,A14,Assessment!X:X,"2. Somewhat Compliant (25%)")</f>
        <v>0</v>
      </c>
      <c r="I14" s="19">
        <f>COUNTIFS(Assessment!E:E,"Yes",Assessment!F:F,A14,Assessment!X:X,"1. Non Compliant (0%)")</f>
        <v>0</v>
      </c>
      <c r="J14" s="21">
        <f t="shared" si="0"/>
        <v>21</v>
      </c>
      <c r="K14" s="24">
        <f t="shared" si="10"/>
        <v>0</v>
      </c>
      <c r="L14" s="19">
        <f>COUNTIFS(Assessment!E:E,"Yes",Assessment!F:F,A14,Assessment!Y:Y,"5. Fully Compliant (100%)")</f>
        <v>0</v>
      </c>
      <c r="M14" s="19">
        <f>COUNTIFS(Assessment!E:E,"Yes",Assessment!F:F,A14,Assessment!Y:Y,"4. Mostly Compliant (75%)")</f>
        <v>0</v>
      </c>
      <c r="N14" s="19">
        <f>COUNTIFS(Assessment!E:E,"Yes",Assessment!F:F,A14,Assessment!Y:Y,"3. Partially Compliant (50%)")</f>
        <v>0</v>
      </c>
      <c r="O14" s="19">
        <f>COUNTIFS(Assessment!E:E,"Yes",Assessment!F:F,A14,Assessment!Y:Y,"2. Somewhat Compliant (25%)")</f>
        <v>0</v>
      </c>
      <c r="P14" s="19">
        <f>COUNTIFS(Assessment!E:E,"Yes",Assessment!F:F,A14,Assessment!Y:Y,"1. Non Compliant (0%)")</f>
        <v>0</v>
      </c>
      <c r="Q14" s="21">
        <f t="shared" si="1"/>
        <v>21</v>
      </c>
      <c r="R14" s="26">
        <f t="shared" si="6"/>
        <v>0</v>
      </c>
      <c r="S14" s="19">
        <f>COUNTIFS(Assessment!E:E,"Yes",Assessment!F:F,A14,Assessment!Z:Z,"5. Fully Compliant (100%)")</f>
        <v>10</v>
      </c>
      <c r="T14" s="19">
        <f>COUNTIFS(Assessment!E:E,"Yes",Assessment!F:F,A14,Assessment!Z:Z,"4. Mostly Compliant (75%)")</f>
        <v>0</v>
      </c>
      <c r="U14" s="19">
        <f>COUNTIFS(Assessment!E:E,"Yes",Assessment!F:F,A14,Assessment!Z:Z,"3. Partially Compliant (50%)")</f>
        <v>3</v>
      </c>
      <c r="V14" s="19">
        <f>COUNTIFS(Assessment!E:E,"Yes",Assessment!F:F,A14,Assessment!Z:Z,"2. Somewhat Compliant (25%)")</f>
        <v>0</v>
      </c>
      <c r="W14" s="19">
        <f>COUNTIFS(Assessment!E:E,"Yes",Assessment!F:F,A14,Assessment!Z:Z,"1. Non Compliant (0%)")</f>
        <v>6</v>
      </c>
      <c r="X14" s="21">
        <f t="shared" si="2"/>
        <v>2</v>
      </c>
      <c r="Y14" s="26">
        <f t="shared" si="7"/>
        <v>54.761904761904759</v>
      </c>
      <c r="Z14" s="19">
        <f>COUNTIFS(Assessment!E:E,"Yes",Assessment!F:F,A14,Assessment!AA:AA,"5. Fully Compliant (100%)")</f>
        <v>0</v>
      </c>
      <c r="AA14" s="19">
        <f>COUNTIFS(Assessment!E:E,"Yes",Assessment!F:F,A14,Assessment!AA:AA,"4. Mostly Compliant (75%)")</f>
        <v>0</v>
      </c>
      <c r="AB14" s="19">
        <f>COUNTIFS(Assessment!E:E,"Yes",Assessment!F:F,A14,Assessment!AA:AA,"3. Partially Compliant (50%)")</f>
        <v>0</v>
      </c>
      <c r="AC14" s="19">
        <f>COUNTIFS(Assessment!E:E,"Yes",Assessment!F:F,A14,Assessment!AA:AA,"2. Somewhat Compliant (25%)")</f>
        <v>0</v>
      </c>
      <c r="AD14" s="19">
        <f>COUNTIFS(Assessment!E:E,"Yes",Assessment!F:F,A14,Assessment!AA:AA,"1. Non Compliant (0%)")</f>
        <v>0</v>
      </c>
      <c r="AE14" s="21">
        <f t="shared" si="3"/>
        <v>21</v>
      </c>
      <c r="AF14" s="26">
        <f t="shared" si="8"/>
        <v>0</v>
      </c>
      <c r="AG14" s="19">
        <f>COUNTIFS(Assessment!E:E,"Yes",Assessment!F:F,A14,Assessment!AB:AB,"5. Fully Compliant (100%)")</f>
        <v>0</v>
      </c>
      <c r="AH14" s="19">
        <f>COUNTIFS(Assessment!E:E,"Yes",Assessment!F:F,A14,Assessment!AB:AB,"4. Mostly Compliant (75%)")</f>
        <v>0</v>
      </c>
      <c r="AI14" s="19">
        <f>COUNTIFS(Assessment!E:E,"Yes",Assessment!F:F,A14,Assessment!AB:AB,"3. Partially Compliant (50%)")</f>
        <v>0</v>
      </c>
      <c r="AJ14" s="19">
        <f>COUNTIFS(Assessment!E:E,"Yes",Assessment!F:F,A14,Assessment!AB:AB,"2. Somewhat Compliant (25%)")</f>
        <v>0</v>
      </c>
      <c r="AK14" s="19">
        <f>COUNTIFS(Assessment!E:E,"Yes",Assessment!F:F,A14,Assessment!AB:AB,"1. Non Compliant (0%)")</f>
        <v>0</v>
      </c>
      <c r="AL14" s="21">
        <f t="shared" si="4"/>
        <v>21</v>
      </c>
      <c r="AM14" s="26">
        <f t="shared" si="9"/>
        <v>0</v>
      </c>
    </row>
    <row r="15" spans="1:39" x14ac:dyDescent="0.2">
      <c r="A15" s="23" t="s">
        <v>3189</v>
      </c>
      <c r="B15" s="21">
        <f>COUNTIFS(Assessment!E:E,"Yes",Assessment!F:F,A15)</f>
        <v>8</v>
      </c>
      <c r="C15" s="21">
        <f>COUNTIFS(Assessment!E:E,"Yes",Assessment!F:F,A15,Assessment!V:V,"No")</f>
        <v>0</v>
      </c>
      <c r="D15" s="25">
        <f t="shared" si="5"/>
        <v>10</v>
      </c>
      <c r="E15" s="19">
        <f>COUNTIFS(Assessment!E:E,"Yes",Assessment!F:F,A15,Assessment!X:X,"5. Fully Compliant (100%)")</f>
        <v>0</v>
      </c>
      <c r="F15" s="19">
        <f>COUNTIFS(Assessment!E:E,"Yes",Assessment!F:F,A15,Assessment!X:X,"4. Mostly Compliant (75%)")</f>
        <v>0</v>
      </c>
      <c r="G15" s="19">
        <f>COUNTIFS(Assessment!E:E,"Yes",Assessment!F:F,A15,Assessment!X:X,"3. Partially Compliant (50%)")</f>
        <v>0</v>
      </c>
      <c r="H15" s="19">
        <f>COUNTIFS(Assessment!E:E,"Yes",Assessment!F:F,A15,Assessment!X:X,"2. Somewhat Compliant (25%)")</f>
        <v>0</v>
      </c>
      <c r="I15" s="19">
        <f>COUNTIFS(Assessment!E:E,"Yes",Assessment!F:F,A15,Assessment!X:X,"1. Non Compliant (0%)")</f>
        <v>0</v>
      </c>
      <c r="J15" s="21">
        <f t="shared" si="0"/>
        <v>8</v>
      </c>
      <c r="K15" s="24">
        <f t="shared" si="10"/>
        <v>0</v>
      </c>
      <c r="L15" s="19">
        <f>COUNTIFS(Assessment!E:E,"Yes",Assessment!F:F,A15,Assessment!Y:Y,"5. Fully Compliant (100%)")</f>
        <v>0</v>
      </c>
      <c r="M15" s="19">
        <f>COUNTIFS(Assessment!E:E,"Yes",Assessment!F:F,A15,Assessment!Y:Y,"4. Mostly Compliant (75%)")</f>
        <v>0</v>
      </c>
      <c r="N15" s="19">
        <f>COUNTIFS(Assessment!E:E,"Yes",Assessment!F:F,A15,Assessment!Y:Y,"3. Partially Compliant (50%)")</f>
        <v>0</v>
      </c>
      <c r="O15" s="19">
        <f>COUNTIFS(Assessment!E:E,"Yes",Assessment!F:F,A15,Assessment!Y:Y,"2. Somewhat Compliant (25%)")</f>
        <v>0</v>
      </c>
      <c r="P15" s="19">
        <f>COUNTIFS(Assessment!E:E,"Yes",Assessment!F:F,A15,Assessment!Y:Y,"1. Non Compliant (0%)")</f>
        <v>0</v>
      </c>
      <c r="Q15" s="21">
        <f t="shared" si="1"/>
        <v>8</v>
      </c>
      <c r="R15" s="26">
        <f t="shared" si="6"/>
        <v>0</v>
      </c>
      <c r="S15" s="19">
        <f>COUNTIFS(Assessment!E:E,"Yes",Assessment!F:F,A15,Assessment!Z:Z,"5. Fully Compliant (100%)")</f>
        <v>2</v>
      </c>
      <c r="T15" s="19">
        <f>COUNTIFS(Assessment!E:E,"Yes",Assessment!F:F,A15,Assessment!Z:Z,"4. Mostly Compliant (75%)")</f>
        <v>0</v>
      </c>
      <c r="U15" s="19">
        <f>COUNTIFS(Assessment!E:E,"Yes",Assessment!F:F,A15,Assessment!Z:Z,"3. Partially Compliant (50%)")</f>
        <v>0</v>
      </c>
      <c r="V15" s="19">
        <f>COUNTIFS(Assessment!E:E,"Yes",Assessment!F:F,A15,Assessment!Z:Z,"2. Somewhat Compliant (25%)")</f>
        <v>0</v>
      </c>
      <c r="W15" s="19">
        <f>COUNTIFS(Assessment!E:E,"Yes",Assessment!F:F,A15,Assessment!Z:Z,"1. Non Compliant (0%)")</f>
        <v>5</v>
      </c>
      <c r="X15" s="21">
        <f t="shared" si="2"/>
        <v>1</v>
      </c>
      <c r="Y15" s="26">
        <f t="shared" si="7"/>
        <v>25</v>
      </c>
      <c r="Z15" s="19">
        <f>COUNTIFS(Assessment!E:E,"Yes",Assessment!F:F,A15,Assessment!AA:AA,"5. Fully Compliant (100%)")</f>
        <v>0</v>
      </c>
      <c r="AA15" s="19">
        <f>COUNTIFS(Assessment!E:E,"Yes",Assessment!F:F,A15,Assessment!AA:AA,"4. Mostly Compliant (75%)")</f>
        <v>0</v>
      </c>
      <c r="AB15" s="19">
        <f>COUNTIFS(Assessment!E:E,"Yes",Assessment!F:F,A15,Assessment!AA:AA,"3. Partially Compliant (50%)")</f>
        <v>0</v>
      </c>
      <c r="AC15" s="19">
        <f>COUNTIFS(Assessment!E:E,"Yes",Assessment!F:F,A15,Assessment!AA:AA,"2. Somewhat Compliant (25%)")</f>
        <v>0</v>
      </c>
      <c r="AD15" s="19">
        <f>COUNTIFS(Assessment!E:E,"Yes",Assessment!F:F,A15,Assessment!AA:AA,"1. Non Compliant (0%)")</f>
        <v>0</v>
      </c>
      <c r="AE15" s="21">
        <f t="shared" si="3"/>
        <v>8</v>
      </c>
      <c r="AF15" s="26">
        <f t="shared" si="8"/>
        <v>0</v>
      </c>
      <c r="AG15" s="19">
        <f>COUNTIFS(Assessment!E:E,"Yes",Assessment!F:F,A15,Assessment!AB:AB,"5. Fully Compliant (100%)")</f>
        <v>0</v>
      </c>
      <c r="AH15" s="19">
        <f>COUNTIFS(Assessment!E:E,"Yes",Assessment!F:F,A15,Assessment!AB:AB,"4. Mostly Compliant (75%)")</f>
        <v>0</v>
      </c>
      <c r="AI15" s="19">
        <f>COUNTIFS(Assessment!E:E,"Yes",Assessment!F:F,A15,Assessment!AB:AB,"3. Partially Compliant (50%)")</f>
        <v>0</v>
      </c>
      <c r="AJ15" s="19">
        <f>COUNTIFS(Assessment!E:E,"Yes",Assessment!F:F,A15,Assessment!AB:AB,"2. Somewhat Compliant (25%)")</f>
        <v>0</v>
      </c>
      <c r="AK15" s="19">
        <f>COUNTIFS(Assessment!E:E,"Yes",Assessment!F:F,A15,Assessment!AB:AB,"1. Non Compliant (0%)")</f>
        <v>0</v>
      </c>
      <c r="AL15" s="21">
        <f t="shared" si="4"/>
        <v>8</v>
      </c>
      <c r="AM15" s="26">
        <f t="shared" si="9"/>
        <v>0</v>
      </c>
    </row>
    <row r="16" spans="1:39" x14ac:dyDescent="0.2">
      <c r="A16" s="23" t="s">
        <v>3611</v>
      </c>
      <c r="B16" s="21">
        <f>COUNTIFS(Assessment!E:E,"Yes",Assessment!F:F,A16)</f>
        <v>5</v>
      </c>
      <c r="C16" s="21">
        <f>COUNTIFS(Assessment!E:E,"Yes",Assessment!F:F,A16,Assessment!V:V,"No")</f>
        <v>0</v>
      </c>
      <c r="D16" s="25">
        <f t="shared" si="5"/>
        <v>32</v>
      </c>
      <c r="E16" s="19">
        <f>COUNTIFS(Assessment!E:E,"Yes",Assessment!F:F,A16,Assessment!X:X,"5. Fully Compliant (100%)")</f>
        <v>0</v>
      </c>
      <c r="F16" s="19">
        <f>COUNTIFS(Assessment!E:E,"Yes",Assessment!F:F,A16,Assessment!X:X,"4. Mostly Compliant (75%)")</f>
        <v>0</v>
      </c>
      <c r="G16" s="19">
        <f>COUNTIFS(Assessment!E:E,"Yes",Assessment!F:F,A16,Assessment!X:X,"3. Partially Compliant (50%)")</f>
        <v>0</v>
      </c>
      <c r="H16" s="19">
        <f>COUNTIFS(Assessment!E:E,"Yes",Assessment!F:F,A16,Assessment!X:X,"2. Somewhat Compliant (25%)")</f>
        <v>0</v>
      </c>
      <c r="I16" s="19">
        <f>COUNTIFS(Assessment!E:E,"Yes",Assessment!F:F,A16,Assessment!X:X,"1. Non Compliant (0%)")</f>
        <v>0</v>
      </c>
      <c r="J16" s="21">
        <f t="shared" si="0"/>
        <v>5</v>
      </c>
      <c r="K16" s="24">
        <f t="shared" si="10"/>
        <v>0</v>
      </c>
      <c r="L16" s="19">
        <f>COUNTIFS(Assessment!E:E,"Yes",Assessment!F:F,A16,Assessment!Y:Y,"5. Fully Compliant (100%)")</f>
        <v>0</v>
      </c>
      <c r="M16" s="19">
        <f>COUNTIFS(Assessment!E:E,"Yes",Assessment!F:F,A16,Assessment!Y:Y,"4. Mostly Compliant (75%)")</f>
        <v>0</v>
      </c>
      <c r="N16" s="19">
        <f>COUNTIFS(Assessment!E:E,"Yes",Assessment!F:F,A16,Assessment!Y:Y,"3. Partially Compliant (50%)")</f>
        <v>0</v>
      </c>
      <c r="O16" s="19">
        <f>COUNTIFS(Assessment!E:E,"Yes",Assessment!F:F,A16,Assessment!Y:Y,"2. Somewhat Compliant (25%)")</f>
        <v>0</v>
      </c>
      <c r="P16" s="19">
        <f>COUNTIFS(Assessment!E:E,"Yes",Assessment!F:F,A16,Assessment!Y:Y,"1. Non Compliant (0%)")</f>
        <v>0</v>
      </c>
      <c r="Q16" s="21">
        <f t="shared" si="1"/>
        <v>5</v>
      </c>
      <c r="R16" s="26">
        <f t="shared" si="6"/>
        <v>0</v>
      </c>
      <c r="S16" s="19">
        <f>COUNTIFS(Assessment!E:E,"Yes",Assessment!F:F,A16,Assessment!Z:Z,"5. Fully Compliant (100%)")</f>
        <v>4</v>
      </c>
      <c r="T16" s="19">
        <f>COUNTIFS(Assessment!E:E,"Yes",Assessment!F:F,A16,Assessment!Z:Z,"4. Mostly Compliant (75%)")</f>
        <v>0</v>
      </c>
      <c r="U16" s="19">
        <f>COUNTIFS(Assessment!E:E,"Yes",Assessment!F:F,A16,Assessment!Z:Z,"3. Partially Compliant (50%)")</f>
        <v>0</v>
      </c>
      <c r="V16" s="19">
        <f>COUNTIFS(Assessment!E:E,"Yes",Assessment!F:F,A16,Assessment!Z:Z,"2. Somewhat Compliant (25%)")</f>
        <v>0</v>
      </c>
      <c r="W16" s="19">
        <f>COUNTIFS(Assessment!E:E,"Yes",Assessment!F:F,A16,Assessment!Z:Z,"1. Non Compliant (0%)")</f>
        <v>1</v>
      </c>
      <c r="X16" s="21">
        <f t="shared" si="2"/>
        <v>0</v>
      </c>
      <c r="Y16" s="26">
        <f t="shared" si="7"/>
        <v>80</v>
      </c>
      <c r="Z16" s="19">
        <f>COUNTIFS(Assessment!E:E,"Yes",Assessment!F:F,A16,Assessment!AA:AA,"5. Fully Compliant (100%)")</f>
        <v>0</v>
      </c>
      <c r="AA16" s="19">
        <f>COUNTIFS(Assessment!E:E,"Yes",Assessment!F:F,A16,Assessment!AA:AA,"4. Mostly Compliant (75%)")</f>
        <v>0</v>
      </c>
      <c r="AB16" s="19">
        <f>COUNTIFS(Assessment!E:E,"Yes",Assessment!F:F,A16,Assessment!AA:AA,"3. Partially Compliant (50%)")</f>
        <v>0</v>
      </c>
      <c r="AC16" s="19">
        <f>COUNTIFS(Assessment!E:E,"Yes",Assessment!F:F,A16,Assessment!AA:AA,"2. Somewhat Compliant (25%)")</f>
        <v>0</v>
      </c>
      <c r="AD16" s="19">
        <f>COUNTIFS(Assessment!E:E,"Yes",Assessment!F:F,A16,Assessment!AA:AA,"1. Non Compliant (0%)")</f>
        <v>0</v>
      </c>
      <c r="AE16" s="21">
        <f t="shared" si="3"/>
        <v>5</v>
      </c>
      <c r="AF16" s="26">
        <f t="shared" si="8"/>
        <v>0</v>
      </c>
      <c r="AG16" s="19">
        <f>COUNTIFS(Assessment!E:E,"Yes",Assessment!F:F,A16,Assessment!AB:AB,"5. Fully Compliant (100%)")</f>
        <v>0</v>
      </c>
      <c r="AH16" s="19">
        <f>COUNTIFS(Assessment!E:E,"Yes",Assessment!F:F,A16,Assessment!AB:AB,"4. Mostly Compliant (75%)")</f>
        <v>0</v>
      </c>
      <c r="AI16" s="19">
        <f>COUNTIFS(Assessment!E:E,"Yes",Assessment!F:F,A16,Assessment!AB:AB,"3. Partially Compliant (50%)")</f>
        <v>0</v>
      </c>
      <c r="AJ16" s="19">
        <f>COUNTIFS(Assessment!E:E,"Yes",Assessment!F:F,A16,Assessment!AB:AB,"2. Somewhat Compliant (25%)")</f>
        <v>0</v>
      </c>
      <c r="AK16" s="19">
        <f>COUNTIFS(Assessment!E:E,"Yes",Assessment!F:F,A16,Assessment!AB:AB,"1. Non Compliant (0%)")</f>
        <v>0</v>
      </c>
      <c r="AL16" s="21">
        <f t="shared" si="4"/>
        <v>5</v>
      </c>
      <c r="AM16" s="26">
        <f t="shared" si="9"/>
        <v>0</v>
      </c>
    </row>
    <row r="17" spans="1:39" x14ac:dyDescent="0.2">
      <c r="A17" s="23" t="s">
        <v>3786</v>
      </c>
      <c r="B17" s="21">
        <f>COUNTIFS(Assessment!E:E,"Yes",Assessment!F:F,A17)</f>
        <v>6</v>
      </c>
      <c r="C17" s="21">
        <f>COUNTIFS(Assessment!E:E,"Yes",Assessment!F:F,A17,Assessment!V:V,"No")</f>
        <v>0</v>
      </c>
      <c r="D17" s="25">
        <f t="shared" si="5"/>
        <v>20</v>
      </c>
      <c r="E17" s="19">
        <f>COUNTIFS(Assessment!E:E,"Yes",Assessment!F:F,A17,Assessment!X:X,"5. Fully Compliant (100%)")</f>
        <v>0</v>
      </c>
      <c r="F17" s="19">
        <f>COUNTIFS(Assessment!E:E,"Yes",Assessment!F:F,A17,Assessment!X:X,"4. Mostly Compliant (75%)")</f>
        <v>0</v>
      </c>
      <c r="G17" s="19">
        <f>COUNTIFS(Assessment!E:E,"Yes",Assessment!F:F,A17,Assessment!X:X,"3. Partially Compliant (50%)")</f>
        <v>0</v>
      </c>
      <c r="H17" s="19">
        <f>COUNTIFS(Assessment!E:E,"Yes",Assessment!F:F,A17,Assessment!X:X,"2. Somewhat Compliant (25%)")</f>
        <v>0</v>
      </c>
      <c r="I17" s="19">
        <f>COUNTIFS(Assessment!E:E,"Yes",Assessment!F:F,A17,Assessment!X:X,"1. Non Compliant (0%)")</f>
        <v>0</v>
      </c>
      <c r="J17" s="21">
        <f t="shared" si="0"/>
        <v>6</v>
      </c>
      <c r="K17" s="24">
        <f t="shared" si="10"/>
        <v>0</v>
      </c>
      <c r="L17" s="19">
        <f>COUNTIFS(Assessment!E:E,"Yes",Assessment!F:F,A17,Assessment!Y:Y,"5. Fully Compliant (100%)")</f>
        <v>0</v>
      </c>
      <c r="M17" s="19">
        <f>COUNTIFS(Assessment!E:E,"Yes",Assessment!F:F,A17,Assessment!Y:Y,"4. Mostly Compliant (75%)")</f>
        <v>0</v>
      </c>
      <c r="N17" s="19">
        <f>COUNTIFS(Assessment!E:E,"Yes",Assessment!F:F,A17,Assessment!Y:Y,"3. Partially Compliant (50%)")</f>
        <v>0</v>
      </c>
      <c r="O17" s="19">
        <f>COUNTIFS(Assessment!E:E,"Yes",Assessment!F:F,A17,Assessment!Y:Y,"2. Somewhat Compliant (25%)")</f>
        <v>0</v>
      </c>
      <c r="P17" s="19">
        <f>COUNTIFS(Assessment!E:E,"Yes",Assessment!F:F,A17,Assessment!Y:Y,"1. Non Compliant (0%)")</f>
        <v>0</v>
      </c>
      <c r="Q17" s="21">
        <f t="shared" si="1"/>
        <v>6</v>
      </c>
      <c r="R17" s="26">
        <f t="shared" si="6"/>
        <v>0</v>
      </c>
      <c r="S17" s="19">
        <f>COUNTIFS(Assessment!E:E,"Yes",Assessment!F:F,A17,Assessment!Z:Z,"5. Fully Compliant (100%)")</f>
        <v>2</v>
      </c>
      <c r="T17" s="19">
        <f>COUNTIFS(Assessment!E:E,"Yes",Assessment!F:F,A17,Assessment!Z:Z,"4. Mostly Compliant (75%)")</f>
        <v>0</v>
      </c>
      <c r="U17" s="19">
        <f>COUNTIFS(Assessment!E:E,"Yes",Assessment!F:F,A17,Assessment!Z:Z,"3. Partially Compliant (50%)")</f>
        <v>2</v>
      </c>
      <c r="V17" s="19">
        <f>COUNTIFS(Assessment!E:E,"Yes",Assessment!F:F,A17,Assessment!Z:Z,"2. Somewhat Compliant (25%)")</f>
        <v>0</v>
      </c>
      <c r="W17" s="19">
        <f>COUNTIFS(Assessment!E:E,"Yes",Assessment!F:F,A17,Assessment!Z:Z,"1. Non Compliant (0%)")</f>
        <v>2</v>
      </c>
      <c r="X17" s="21">
        <f t="shared" si="2"/>
        <v>0</v>
      </c>
      <c r="Y17" s="26">
        <f t="shared" si="7"/>
        <v>50</v>
      </c>
      <c r="Z17" s="19">
        <f>COUNTIFS(Assessment!E:E,"Yes",Assessment!F:F,A17,Assessment!AA:AA,"5. Fully Compliant (100%)")</f>
        <v>0</v>
      </c>
      <c r="AA17" s="19">
        <f>COUNTIFS(Assessment!E:E,"Yes",Assessment!F:F,A17,Assessment!AA:AA,"4. Mostly Compliant (75%)")</f>
        <v>0</v>
      </c>
      <c r="AB17" s="19">
        <f>COUNTIFS(Assessment!E:E,"Yes",Assessment!F:F,A17,Assessment!AA:AA,"3. Partially Compliant (50%)")</f>
        <v>0</v>
      </c>
      <c r="AC17" s="19">
        <f>COUNTIFS(Assessment!E:E,"Yes",Assessment!F:F,A17,Assessment!AA:AA,"2. Somewhat Compliant (25%)")</f>
        <v>0</v>
      </c>
      <c r="AD17" s="19">
        <f>COUNTIFS(Assessment!E:E,"Yes",Assessment!F:F,A17,Assessment!AA:AA,"1. Non Compliant (0%)")</f>
        <v>0</v>
      </c>
      <c r="AE17" s="21">
        <f t="shared" si="3"/>
        <v>6</v>
      </c>
      <c r="AF17" s="26">
        <f t="shared" si="8"/>
        <v>0</v>
      </c>
      <c r="AG17" s="19">
        <f>COUNTIFS(Assessment!E:E,"Yes",Assessment!F:F,A17,Assessment!AB:AB,"5. Fully Compliant (100%)")</f>
        <v>0</v>
      </c>
      <c r="AH17" s="19">
        <f>COUNTIFS(Assessment!E:E,"Yes",Assessment!F:F,A17,Assessment!AB:AB,"4. Mostly Compliant (75%)")</f>
        <v>0</v>
      </c>
      <c r="AI17" s="19">
        <f>COUNTIFS(Assessment!E:E,"Yes",Assessment!F:F,A17,Assessment!AB:AB,"3. Partially Compliant (50%)")</f>
        <v>0</v>
      </c>
      <c r="AJ17" s="19">
        <f>COUNTIFS(Assessment!E:E,"Yes",Assessment!F:F,A17,Assessment!AB:AB,"2. Somewhat Compliant (25%)")</f>
        <v>0</v>
      </c>
      <c r="AK17" s="19">
        <f>COUNTIFS(Assessment!E:E,"Yes",Assessment!F:F,A17,Assessment!AB:AB,"1. Non Compliant (0%)")</f>
        <v>0</v>
      </c>
      <c r="AL17" s="21">
        <f t="shared" si="4"/>
        <v>6</v>
      </c>
      <c r="AM17" s="26">
        <f t="shared" si="9"/>
        <v>0</v>
      </c>
    </row>
    <row r="18" spans="1:39" x14ac:dyDescent="0.2">
      <c r="A18" s="23" t="s">
        <v>4036</v>
      </c>
      <c r="B18" s="21">
        <f>COUNTIFS(Assessment!E:E,"Yes",Assessment!F:F,A18)</f>
        <v>5</v>
      </c>
      <c r="C18" s="21">
        <f>COUNTIFS(Assessment!E:E,"Yes",Assessment!F:F,A18,Assessment!V:V,"No")</f>
        <v>0</v>
      </c>
      <c r="D18" s="25">
        <f t="shared" si="5"/>
        <v>16</v>
      </c>
      <c r="E18" s="19">
        <f>COUNTIFS(Assessment!E:E,"Yes",Assessment!F:F,A18,Assessment!X:X,"5. Fully Compliant (100%)")</f>
        <v>0</v>
      </c>
      <c r="F18" s="19">
        <f>COUNTIFS(Assessment!E:E,"Yes",Assessment!F:F,A18,Assessment!X:X,"4. Mostly Compliant (75%)")</f>
        <v>0</v>
      </c>
      <c r="G18" s="19">
        <f>COUNTIFS(Assessment!E:E,"Yes",Assessment!F:F,A18,Assessment!X:X,"3. Partially Compliant (50%)")</f>
        <v>0</v>
      </c>
      <c r="H18" s="19">
        <f>COUNTIFS(Assessment!E:E,"Yes",Assessment!F:F,A18,Assessment!X:X,"2. Somewhat Compliant (25%)")</f>
        <v>0</v>
      </c>
      <c r="I18" s="19">
        <f>COUNTIFS(Assessment!E:E,"Yes",Assessment!F:F,A18,Assessment!X:X,"1. Non Compliant (0%)")</f>
        <v>0</v>
      </c>
      <c r="J18" s="21">
        <f t="shared" si="0"/>
        <v>5</v>
      </c>
      <c r="K18" s="24">
        <f t="shared" si="10"/>
        <v>0</v>
      </c>
      <c r="L18" s="19">
        <f>COUNTIFS(Assessment!E:E,"Yes",Assessment!F:F,A18,Assessment!Y:Y,"5. Fully Compliant (100%)")</f>
        <v>0</v>
      </c>
      <c r="M18" s="19">
        <f>COUNTIFS(Assessment!E:E,"Yes",Assessment!F:F,A18,Assessment!Y:Y,"4. Mostly Compliant (75%)")</f>
        <v>0</v>
      </c>
      <c r="N18" s="19">
        <f>COUNTIFS(Assessment!E:E,"Yes",Assessment!F:F,A18,Assessment!Y:Y,"3. Partially Compliant (50%)")</f>
        <v>0</v>
      </c>
      <c r="O18" s="19">
        <f>COUNTIFS(Assessment!E:E,"Yes",Assessment!F:F,A18,Assessment!Y:Y,"2. Somewhat Compliant (25%)")</f>
        <v>0</v>
      </c>
      <c r="P18" s="19">
        <f>COUNTIFS(Assessment!E:E,"Yes",Assessment!F:F,A18,Assessment!Y:Y,"1. Non Compliant (0%)")</f>
        <v>0</v>
      </c>
      <c r="Q18" s="21">
        <f t="shared" si="1"/>
        <v>5</v>
      </c>
      <c r="R18" s="26">
        <f t="shared" si="6"/>
        <v>0</v>
      </c>
      <c r="S18" s="19">
        <f>COUNTIFS(Assessment!E:E,"Yes",Assessment!F:F,A18,Assessment!Z:Z,"5. Fully Compliant (100%)")</f>
        <v>2</v>
      </c>
      <c r="T18" s="19">
        <f>COUNTIFS(Assessment!E:E,"Yes",Assessment!F:F,A18,Assessment!Z:Z,"4. Mostly Compliant (75%)")</f>
        <v>0</v>
      </c>
      <c r="U18" s="19">
        <f>COUNTIFS(Assessment!E:E,"Yes",Assessment!F:F,A18,Assessment!Z:Z,"3. Partially Compliant (50%)")</f>
        <v>0</v>
      </c>
      <c r="V18" s="19">
        <f>COUNTIFS(Assessment!E:E,"Yes",Assessment!F:F,A18,Assessment!Z:Z,"2. Somewhat Compliant (25%)")</f>
        <v>0</v>
      </c>
      <c r="W18" s="19">
        <f>COUNTIFS(Assessment!E:E,"Yes",Assessment!F:F,A18,Assessment!Z:Z,"1. Non Compliant (0%)")</f>
        <v>2</v>
      </c>
      <c r="X18" s="21">
        <f t="shared" si="2"/>
        <v>1</v>
      </c>
      <c r="Y18" s="26">
        <f t="shared" si="7"/>
        <v>40</v>
      </c>
      <c r="Z18" s="19">
        <f>COUNTIFS(Assessment!E:E,"Yes",Assessment!F:F,A18,Assessment!AA:AA,"5. Fully Compliant (100%)")</f>
        <v>0</v>
      </c>
      <c r="AA18" s="19">
        <f>COUNTIFS(Assessment!E:E,"Yes",Assessment!F:F,A18,Assessment!AA:AA,"4. Mostly Compliant (75%)")</f>
        <v>0</v>
      </c>
      <c r="AB18" s="19">
        <f>COUNTIFS(Assessment!E:E,"Yes",Assessment!F:F,A18,Assessment!AA:AA,"3. Partially Compliant (50%)")</f>
        <v>0</v>
      </c>
      <c r="AC18" s="19">
        <f>COUNTIFS(Assessment!E:E,"Yes",Assessment!F:F,A18,Assessment!AA:AA,"2. Somewhat Compliant (25%)")</f>
        <v>0</v>
      </c>
      <c r="AD18" s="19">
        <f>COUNTIFS(Assessment!E:E,"Yes",Assessment!F:F,A18,Assessment!AA:AA,"1. Non Compliant (0%)")</f>
        <v>0</v>
      </c>
      <c r="AE18" s="21">
        <f t="shared" si="3"/>
        <v>5</v>
      </c>
      <c r="AF18" s="26">
        <f t="shared" si="8"/>
        <v>0</v>
      </c>
      <c r="AG18" s="19">
        <f>COUNTIFS(Assessment!E:E,"Yes",Assessment!F:F,A18,Assessment!AB:AB,"5. Fully Compliant (100%)")</f>
        <v>0</v>
      </c>
      <c r="AH18" s="19">
        <f>COUNTIFS(Assessment!E:E,"Yes",Assessment!F:F,A18,Assessment!AB:AB,"4. Mostly Compliant (75%)")</f>
        <v>0</v>
      </c>
      <c r="AI18" s="19">
        <f>COUNTIFS(Assessment!E:E,"Yes",Assessment!F:F,A18,Assessment!AB:AB,"3. Partially Compliant (50%)")</f>
        <v>0</v>
      </c>
      <c r="AJ18" s="19">
        <f>COUNTIFS(Assessment!E:E,"Yes",Assessment!F:F,A18,Assessment!AB:AB,"2. Somewhat Compliant (25%)")</f>
        <v>0</v>
      </c>
      <c r="AK18" s="19">
        <f>COUNTIFS(Assessment!E:E,"Yes",Assessment!F:F,A18,Assessment!AB:AB,"1. Non Compliant (0%)")</f>
        <v>0</v>
      </c>
      <c r="AL18" s="21">
        <f t="shared" si="4"/>
        <v>5</v>
      </c>
      <c r="AM18" s="26">
        <f t="shared" si="9"/>
        <v>0</v>
      </c>
    </row>
    <row r="19" spans="1:39" x14ac:dyDescent="0.2">
      <c r="A19" s="23" t="s">
        <v>4382</v>
      </c>
      <c r="B19" s="21">
        <f>COUNTIFS(Assessment!E:E,"Yes",Assessment!F:F,A19)</f>
        <v>6</v>
      </c>
      <c r="C19" s="21">
        <f>COUNTIFS(Assessment!E:E,"Yes",Assessment!F:F,A19,Assessment!V:V,"No")</f>
        <v>0</v>
      </c>
      <c r="D19" s="25">
        <f t="shared" si="5"/>
        <v>0</v>
      </c>
      <c r="E19" s="19">
        <f>COUNTIFS(Assessment!E:E,"Yes",Assessment!F:F,A19,Assessment!X:X,"5. Fully Compliant (100%)")</f>
        <v>0</v>
      </c>
      <c r="F19" s="19">
        <f>COUNTIFS(Assessment!E:E,"Yes",Assessment!F:F,A19,Assessment!X:X,"4. Mostly Compliant (75%)")</f>
        <v>0</v>
      </c>
      <c r="G19" s="19">
        <f>COUNTIFS(Assessment!E:E,"Yes",Assessment!F:F,A19,Assessment!X:X,"3. Partially Compliant (50%)")</f>
        <v>0</v>
      </c>
      <c r="H19" s="19">
        <f>COUNTIFS(Assessment!E:E,"Yes",Assessment!F:F,A19,Assessment!X:X,"2. Somewhat Compliant (25%)")</f>
        <v>0</v>
      </c>
      <c r="I19" s="19">
        <f>COUNTIFS(Assessment!E:E,"Yes",Assessment!F:F,A19,Assessment!X:X,"1. Non Compliant (0%)")</f>
        <v>0</v>
      </c>
      <c r="J19" s="21">
        <f t="shared" si="0"/>
        <v>6</v>
      </c>
      <c r="K19" s="24">
        <f t="shared" si="10"/>
        <v>0</v>
      </c>
      <c r="L19" s="19">
        <f>COUNTIFS(Assessment!E:E,"Yes",Assessment!F:F,A19,Assessment!Y:Y,"5. Fully Compliant (100%)")</f>
        <v>0</v>
      </c>
      <c r="M19" s="19">
        <f>COUNTIFS(Assessment!E:E,"Yes",Assessment!F:F,A19,Assessment!Y:Y,"4. Mostly Compliant (75%)")</f>
        <v>0</v>
      </c>
      <c r="N19" s="19">
        <f>COUNTIFS(Assessment!E:E,"Yes",Assessment!F:F,A19,Assessment!Y:Y,"3. Partially Compliant (50%)")</f>
        <v>0</v>
      </c>
      <c r="O19" s="19">
        <f>COUNTIFS(Assessment!E:E,"Yes",Assessment!F:F,A19,Assessment!Y:Y,"2. Somewhat Compliant (25%)")</f>
        <v>0</v>
      </c>
      <c r="P19" s="19">
        <f>COUNTIFS(Assessment!E:E,"Yes",Assessment!F:F,A19,Assessment!Y:Y,"1. Non Compliant (0%)")</f>
        <v>0</v>
      </c>
      <c r="Q19" s="21">
        <f t="shared" si="1"/>
        <v>6</v>
      </c>
      <c r="R19" s="26">
        <f t="shared" si="6"/>
        <v>0</v>
      </c>
      <c r="S19" s="19">
        <f>COUNTIFS(Assessment!E:E,"Yes",Assessment!F:F,A19,Assessment!Z:Z,"5. Fully Compliant (100%)")</f>
        <v>0</v>
      </c>
      <c r="T19" s="19">
        <f>COUNTIFS(Assessment!E:E,"Yes",Assessment!F:F,A19,Assessment!Z:Z,"4. Mostly Compliant (75%)")</f>
        <v>0</v>
      </c>
      <c r="U19" s="19">
        <f>COUNTIFS(Assessment!E:E,"Yes",Assessment!F:F,A19,Assessment!Z:Z,"3. Partially Compliant (50%)")</f>
        <v>0</v>
      </c>
      <c r="V19" s="19">
        <f>COUNTIFS(Assessment!E:E,"Yes",Assessment!F:F,A19,Assessment!Z:Z,"2. Somewhat Compliant (25%)")</f>
        <v>0</v>
      </c>
      <c r="W19" s="19">
        <f>COUNTIFS(Assessment!E:E,"Yes",Assessment!F:F,A19,Assessment!Z:Z,"1. Non Compliant (0%)")</f>
        <v>4</v>
      </c>
      <c r="X19" s="21">
        <f t="shared" si="2"/>
        <v>2</v>
      </c>
      <c r="Y19" s="26">
        <f t="shared" si="7"/>
        <v>0</v>
      </c>
      <c r="Z19" s="19">
        <f>COUNTIFS(Assessment!E:E,"Yes",Assessment!F:F,A19,Assessment!AA:AA,"5. Fully Compliant (100%)")</f>
        <v>0</v>
      </c>
      <c r="AA19" s="19">
        <f>COUNTIFS(Assessment!E:E,"Yes",Assessment!F:F,A19,Assessment!AA:AA,"4. Mostly Compliant (75%)")</f>
        <v>0</v>
      </c>
      <c r="AB19" s="19">
        <f>COUNTIFS(Assessment!E:E,"Yes",Assessment!F:F,A19,Assessment!AA:AA,"3. Partially Compliant (50%)")</f>
        <v>0</v>
      </c>
      <c r="AC19" s="19">
        <f>COUNTIFS(Assessment!E:E,"Yes",Assessment!F:F,A19,Assessment!AA:AA,"2. Somewhat Compliant (25%)")</f>
        <v>0</v>
      </c>
      <c r="AD19" s="19">
        <f>COUNTIFS(Assessment!E:E,"Yes",Assessment!F:F,A19,Assessment!AA:AA,"1. Non Compliant (0%)")</f>
        <v>0</v>
      </c>
      <c r="AE19" s="21">
        <f t="shared" si="3"/>
        <v>6</v>
      </c>
      <c r="AF19" s="26">
        <f t="shared" si="8"/>
        <v>0</v>
      </c>
      <c r="AG19" s="19">
        <f>COUNTIFS(Assessment!E:E,"Yes",Assessment!F:F,A19,Assessment!AB:AB,"5. Fully Compliant (100%)")</f>
        <v>0</v>
      </c>
      <c r="AH19" s="19">
        <f>COUNTIFS(Assessment!E:E,"Yes",Assessment!F:F,A19,Assessment!AB:AB,"4. Mostly Compliant (75%)")</f>
        <v>0</v>
      </c>
      <c r="AI19" s="19">
        <f>COUNTIFS(Assessment!E:E,"Yes",Assessment!F:F,A19,Assessment!AB:AB,"3. Partially Compliant (50%)")</f>
        <v>0</v>
      </c>
      <c r="AJ19" s="19">
        <f>COUNTIFS(Assessment!E:E,"Yes",Assessment!F:F,A19,Assessment!AB:AB,"2. Somewhat Compliant (25%)")</f>
        <v>0</v>
      </c>
      <c r="AK19" s="19">
        <f>COUNTIFS(Assessment!E:E,"Yes",Assessment!F:F,A19,Assessment!AB:AB,"1. Non Compliant (0%)")</f>
        <v>0</v>
      </c>
      <c r="AL19" s="21">
        <f t="shared" si="4"/>
        <v>6</v>
      </c>
      <c r="AM19" s="26">
        <f t="shared" si="9"/>
        <v>0</v>
      </c>
    </row>
    <row r="20" spans="1:39" x14ac:dyDescent="0.2">
      <c r="A20" s="23" t="s">
        <v>4666</v>
      </c>
      <c r="B20" s="21">
        <f>COUNTIFS(Assessment!E:E,"Yes",Assessment!F:F,A20)</f>
        <v>51</v>
      </c>
      <c r="C20" s="21">
        <f>COUNTIFS(Assessment!E:E,"Yes",Assessment!F:F,A20,Assessment!V:V,"No")</f>
        <v>0</v>
      </c>
      <c r="D20" s="25">
        <f t="shared" si="5"/>
        <v>2.5490196078431371</v>
      </c>
      <c r="E20" s="19">
        <f>COUNTIFS(Assessment!E:E,"Yes",Assessment!F:F,A20,Assessment!X:X,"5. Fully Compliant (100%)")</f>
        <v>0</v>
      </c>
      <c r="F20" s="19">
        <f>COUNTIFS(Assessment!E:E,"Yes",Assessment!F:F,A20,Assessment!X:X,"4. Mostly Compliant (75%)")</f>
        <v>0</v>
      </c>
      <c r="G20" s="19">
        <f>COUNTIFS(Assessment!E:E,"Yes",Assessment!F:F,A20,Assessment!X:X,"3. Partially Compliant (50%)")</f>
        <v>0</v>
      </c>
      <c r="H20" s="19">
        <f>COUNTIFS(Assessment!E:E,"Yes",Assessment!F:F,A20,Assessment!X:X,"2. Somewhat Compliant (25%)")</f>
        <v>0</v>
      </c>
      <c r="I20" s="19">
        <f>COUNTIFS(Assessment!E:E,"Yes",Assessment!F:F,A20,Assessment!X:X,"1. Non Compliant (0%)")</f>
        <v>0</v>
      </c>
      <c r="J20" s="21">
        <f t="shared" si="0"/>
        <v>51</v>
      </c>
      <c r="K20" s="24">
        <f t="shared" si="10"/>
        <v>0</v>
      </c>
      <c r="L20" s="19">
        <f>COUNTIFS(Assessment!E:E,"Yes",Assessment!F:F,A20,Assessment!Y:Y,"5. Fully Compliant (100%)")</f>
        <v>0</v>
      </c>
      <c r="M20" s="19">
        <f>COUNTIFS(Assessment!E:E,"Yes",Assessment!F:F,A20,Assessment!Y:Y,"4. Mostly Compliant (75%)")</f>
        <v>0</v>
      </c>
      <c r="N20" s="19">
        <f>COUNTIFS(Assessment!E:E,"Yes",Assessment!F:F,A20,Assessment!Y:Y,"3. Partially Compliant (50%)")</f>
        <v>0</v>
      </c>
      <c r="O20" s="19">
        <f>COUNTIFS(Assessment!E:E,"Yes",Assessment!F:F,A20,Assessment!Y:Y,"2. Somewhat Compliant (25%)")</f>
        <v>0</v>
      </c>
      <c r="P20" s="19">
        <f>COUNTIFS(Assessment!E:E,"Yes",Assessment!F:F,A20,Assessment!Y:Y,"1. Non Compliant (0%)")</f>
        <v>0</v>
      </c>
      <c r="Q20" s="21">
        <f t="shared" si="1"/>
        <v>51</v>
      </c>
      <c r="R20" s="26">
        <f t="shared" si="6"/>
        <v>0</v>
      </c>
      <c r="S20" s="19">
        <f>COUNTIFS(Assessment!E:E,"Yes",Assessment!F:F,A20,Assessment!Z:Z,"5. Fully Compliant (100%)")</f>
        <v>1</v>
      </c>
      <c r="T20" s="19">
        <f>COUNTIFS(Assessment!E:E,"Yes",Assessment!F:F,A20,Assessment!Z:Z,"4. Mostly Compliant (75%)")</f>
        <v>1</v>
      </c>
      <c r="U20" s="19">
        <f>COUNTIFS(Assessment!E:E,"Yes",Assessment!F:F,A20,Assessment!Z:Z,"3. Partially Compliant (50%)")</f>
        <v>3</v>
      </c>
      <c r="V20" s="19">
        <f>COUNTIFS(Assessment!E:E,"Yes",Assessment!F:F,A20,Assessment!Z:Z,"2. Somewhat Compliant (25%)")</f>
        <v>0</v>
      </c>
      <c r="W20" s="19">
        <f>COUNTIFS(Assessment!E:E,"Yes",Assessment!F:F,A20,Assessment!Z:Z,"1. Non Compliant (0%)")</f>
        <v>38</v>
      </c>
      <c r="X20" s="21">
        <f t="shared" si="2"/>
        <v>8</v>
      </c>
      <c r="Y20" s="26">
        <f t="shared" si="7"/>
        <v>6.3725490196078427</v>
      </c>
      <c r="Z20" s="19">
        <f>COUNTIFS(Assessment!E:E,"Yes",Assessment!F:F,A20,Assessment!AA:AA,"5. Fully Compliant (100%)")</f>
        <v>0</v>
      </c>
      <c r="AA20" s="19">
        <f>COUNTIFS(Assessment!E:E,"Yes",Assessment!F:F,A20,Assessment!AA:AA,"4. Mostly Compliant (75%)")</f>
        <v>0</v>
      </c>
      <c r="AB20" s="19">
        <f>COUNTIFS(Assessment!E:E,"Yes",Assessment!F:F,A20,Assessment!AA:AA,"3. Partially Compliant (50%)")</f>
        <v>0</v>
      </c>
      <c r="AC20" s="19">
        <f>COUNTIFS(Assessment!E:E,"Yes",Assessment!F:F,A20,Assessment!AA:AA,"2. Somewhat Compliant (25%)")</f>
        <v>0</v>
      </c>
      <c r="AD20" s="19">
        <f>COUNTIFS(Assessment!E:E,"Yes",Assessment!F:F,A20,Assessment!AA:AA,"1. Non Compliant (0%)")</f>
        <v>0</v>
      </c>
      <c r="AE20" s="21">
        <f t="shared" si="3"/>
        <v>51</v>
      </c>
      <c r="AF20" s="26">
        <f t="shared" si="8"/>
        <v>0</v>
      </c>
      <c r="AG20" s="19">
        <f>COUNTIFS(Assessment!E:E,"Yes",Assessment!F:F,A20,Assessment!AB:AB,"5. Fully Compliant (100%)")</f>
        <v>0</v>
      </c>
      <c r="AH20" s="19">
        <f>COUNTIFS(Assessment!E:E,"Yes",Assessment!F:F,A20,Assessment!AB:AB,"4. Mostly Compliant (75%)")</f>
        <v>0</v>
      </c>
      <c r="AI20" s="19">
        <f>COUNTIFS(Assessment!E:E,"Yes",Assessment!F:F,A20,Assessment!AB:AB,"3. Partially Compliant (50%)")</f>
        <v>0</v>
      </c>
      <c r="AJ20" s="19">
        <f>COUNTIFS(Assessment!E:E,"Yes",Assessment!F:F,A20,Assessment!AB:AB,"2. Somewhat Compliant (25%)")</f>
        <v>0</v>
      </c>
      <c r="AK20" s="19">
        <f>COUNTIFS(Assessment!E:E,"Yes",Assessment!F:F,A20,Assessment!AB:AB,"1. Non Compliant (0%)")</f>
        <v>0</v>
      </c>
      <c r="AL20" s="21">
        <f t="shared" si="4"/>
        <v>51</v>
      </c>
      <c r="AM20" s="26">
        <f t="shared" si="9"/>
        <v>0</v>
      </c>
    </row>
    <row r="21" spans="1:39" x14ac:dyDescent="0.2">
      <c r="A21" s="23" t="s">
        <v>5280</v>
      </c>
      <c r="B21" s="21">
        <f>COUNTIFS(Assessment!E:E,"Yes",Assessment!F:F,A21)</f>
        <v>9</v>
      </c>
      <c r="C21" s="21">
        <f>COUNTIFS(Assessment!E:E,"Yes",Assessment!F:F,A21,Assessment!V:V,"No")</f>
        <v>0</v>
      </c>
      <c r="D21" s="25">
        <f t="shared" si="5"/>
        <v>26.666666666666671</v>
      </c>
      <c r="E21" s="19">
        <f>COUNTIFS(Assessment!E:E,"Yes",Assessment!F:F,A21,Assessment!X:X,"5. Fully Compliant (100%)")</f>
        <v>0</v>
      </c>
      <c r="F21" s="19">
        <f>COUNTIFS(Assessment!E:E,"Yes",Assessment!F:F,A21,Assessment!X:X,"4. Mostly Compliant (75%)")</f>
        <v>0</v>
      </c>
      <c r="G21" s="19">
        <f>COUNTIFS(Assessment!E:E,"Yes",Assessment!F:F,A21,Assessment!X:X,"3. Partially Compliant (50%)")</f>
        <v>0</v>
      </c>
      <c r="H21" s="19">
        <f>COUNTIFS(Assessment!E:E,"Yes",Assessment!F:F,A21,Assessment!X:X,"2. Somewhat Compliant (25%)")</f>
        <v>0</v>
      </c>
      <c r="I21" s="19">
        <f>COUNTIFS(Assessment!E:E,"Yes",Assessment!F:F,A21,Assessment!X:X,"1. Non Compliant (0%)")</f>
        <v>0</v>
      </c>
      <c r="J21" s="21">
        <f t="shared" si="0"/>
        <v>9</v>
      </c>
      <c r="K21" s="24">
        <f t="shared" si="10"/>
        <v>0</v>
      </c>
      <c r="L21" s="19">
        <f>COUNTIFS(Assessment!E:E,"Yes",Assessment!F:F,A21,Assessment!Y:Y,"5. Fully Compliant (100%)")</f>
        <v>0</v>
      </c>
      <c r="M21" s="19">
        <f>COUNTIFS(Assessment!E:E,"Yes",Assessment!F:F,A21,Assessment!Y:Y,"4. Mostly Compliant (75%)")</f>
        <v>0</v>
      </c>
      <c r="N21" s="19">
        <f>COUNTIFS(Assessment!E:E,"Yes",Assessment!F:F,A21,Assessment!Y:Y,"3. Partially Compliant (50%)")</f>
        <v>0</v>
      </c>
      <c r="O21" s="19">
        <f>COUNTIFS(Assessment!E:E,"Yes",Assessment!F:F,A21,Assessment!Y:Y,"2. Somewhat Compliant (25%)")</f>
        <v>0</v>
      </c>
      <c r="P21" s="19">
        <f>COUNTIFS(Assessment!E:E,"Yes",Assessment!F:F,A21,Assessment!Y:Y,"1. Non Compliant (0%)")</f>
        <v>0</v>
      </c>
      <c r="Q21" s="21">
        <f t="shared" si="1"/>
        <v>9</v>
      </c>
      <c r="R21" s="26">
        <f t="shared" si="6"/>
        <v>0</v>
      </c>
      <c r="S21" s="19">
        <f>COUNTIFS(Assessment!E:E,"Yes",Assessment!F:F,A21,Assessment!Z:Z,"5. Fully Compliant (100%)")</f>
        <v>6</v>
      </c>
      <c r="T21" s="19">
        <f>COUNTIFS(Assessment!E:E,"Yes",Assessment!F:F,A21,Assessment!Z:Z,"4. Mostly Compliant (75%)")</f>
        <v>0</v>
      </c>
      <c r="U21" s="19">
        <f>COUNTIFS(Assessment!E:E,"Yes",Assessment!F:F,A21,Assessment!Z:Z,"3. Partially Compliant (50%)")</f>
        <v>0</v>
      </c>
      <c r="V21" s="19">
        <f>COUNTIFS(Assessment!E:E,"Yes",Assessment!F:F,A21,Assessment!Z:Z,"2. Somewhat Compliant (25%)")</f>
        <v>0</v>
      </c>
      <c r="W21" s="19">
        <f>COUNTIFS(Assessment!E:E,"Yes",Assessment!F:F,A21,Assessment!Z:Z,"1. Non Compliant (0%)")</f>
        <v>3</v>
      </c>
      <c r="X21" s="21">
        <f t="shared" si="2"/>
        <v>0</v>
      </c>
      <c r="Y21" s="26">
        <f t="shared" si="7"/>
        <v>66.666666666666671</v>
      </c>
      <c r="Z21" s="19">
        <f>COUNTIFS(Assessment!E:E,"Yes",Assessment!F:F,A21,Assessment!AA:AA,"5. Fully Compliant (100%)")</f>
        <v>0</v>
      </c>
      <c r="AA21" s="19">
        <f>COUNTIFS(Assessment!E:E,"Yes",Assessment!F:F,A21,Assessment!AA:AA,"4. Mostly Compliant (75%)")</f>
        <v>0</v>
      </c>
      <c r="AB21" s="19">
        <f>COUNTIFS(Assessment!E:E,"Yes",Assessment!F:F,A21,Assessment!AA:AA,"3. Partially Compliant (50%)")</f>
        <v>0</v>
      </c>
      <c r="AC21" s="19">
        <f>COUNTIFS(Assessment!E:E,"Yes",Assessment!F:F,A21,Assessment!AA:AA,"2. Somewhat Compliant (25%)")</f>
        <v>0</v>
      </c>
      <c r="AD21" s="19">
        <f>COUNTIFS(Assessment!E:E,"Yes",Assessment!F:F,A21,Assessment!AA:AA,"1. Non Compliant (0%)")</f>
        <v>0</v>
      </c>
      <c r="AE21" s="21">
        <f t="shared" si="3"/>
        <v>9</v>
      </c>
      <c r="AF21" s="26">
        <f t="shared" si="8"/>
        <v>0</v>
      </c>
      <c r="AG21" s="19">
        <f>COUNTIFS(Assessment!E:E,"Yes",Assessment!F:F,A21,Assessment!AB:AB,"5. Fully Compliant (100%)")</f>
        <v>0</v>
      </c>
      <c r="AH21" s="19">
        <f>COUNTIFS(Assessment!E:E,"Yes",Assessment!F:F,A21,Assessment!AB:AB,"4. Mostly Compliant (75%)")</f>
        <v>0</v>
      </c>
      <c r="AI21" s="19">
        <f>COUNTIFS(Assessment!E:E,"Yes",Assessment!F:F,A21,Assessment!AB:AB,"3. Partially Compliant (50%)")</f>
        <v>0</v>
      </c>
      <c r="AJ21" s="19">
        <f>COUNTIFS(Assessment!E:E,"Yes",Assessment!F:F,A21,Assessment!AB:AB,"2. Somewhat Compliant (25%)")</f>
        <v>0</v>
      </c>
      <c r="AK21" s="19">
        <f>COUNTIFS(Assessment!E:E,"Yes",Assessment!F:F,A21,Assessment!AB:AB,"1. Non Compliant (0%)")</f>
        <v>0</v>
      </c>
      <c r="AL21" s="21">
        <f t="shared" si="4"/>
        <v>9</v>
      </c>
      <c r="AM21" s="26">
        <f t="shared" si="9"/>
        <v>0</v>
      </c>
    </row>
    <row r="22" spans="1:39" x14ac:dyDescent="0.2">
      <c r="A22" s="23" t="s">
        <v>5677</v>
      </c>
      <c r="B22" s="21">
        <f>COUNTIFS(Assessment!E:E,"Yes",Assessment!F:F,A22)</f>
        <v>10</v>
      </c>
      <c r="C22" s="21">
        <f>COUNTIFS(Assessment!E:E,"Yes",Assessment!F:F,A22,Assessment!V:V,"No")</f>
        <v>0</v>
      </c>
      <c r="D22" s="25">
        <f t="shared" si="5"/>
        <v>4</v>
      </c>
      <c r="E22" s="19">
        <f>COUNTIFS(Assessment!E:E,"Yes",Assessment!F:F,A22,Assessment!X:X,"5. Fully Compliant (100%)")</f>
        <v>0</v>
      </c>
      <c r="F22" s="19">
        <f>COUNTIFS(Assessment!E:E,"Yes",Assessment!F:F,A22,Assessment!X:X,"4. Mostly Compliant (75%)")</f>
        <v>0</v>
      </c>
      <c r="G22" s="19">
        <f>COUNTIFS(Assessment!E:E,"Yes",Assessment!F:F,A22,Assessment!X:X,"3. Partially Compliant (50%)")</f>
        <v>0</v>
      </c>
      <c r="H22" s="19">
        <f>COUNTIFS(Assessment!E:E,"Yes",Assessment!F:F,A22,Assessment!X:X,"2. Somewhat Compliant (25%)")</f>
        <v>0</v>
      </c>
      <c r="I22" s="19">
        <f>COUNTIFS(Assessment!E:E,"Yes",Assessment!F:F,A22,Assessment!X:X,"1. Non Compliant (0%)")</f>
        <v>0</v>
      </c>
      <c r="J22" s="21">
        <f t="shared" si="0"/>
        <v>10</v>
      </c>
      <c r="K22" s="24">
        <f t="shared" si="10"/>
        <v>0</v>
      </c>
      <c r="L22" s="19">
        <f>COUNTIFS(Assessment!E:E,"Yes",Assessment!F:F,A22,Assessment!Y:Y,"5. Fully Compliant (100%)")</f>
        <v>0</v>
      </c>
      <c r="M22" s="19">
        <f>COUNTIFS(Assessment!E:E,"Yes",Assessment!F:F,A22,Assessment!Y:Y,"4. Mostly Compliant (75%)")</f>
        <v>0</v>
      </c>
      <c r="N22" s="19">
        <f>COUNTIFS(Assessment!E:E,"Yes",Assessment!F:F,A22,Assessment!Y:Y,"3. Partially Compliant (50%)")</f>
        <v>0</v>
      </c>
      <c r="O22" s="19">
        <f>COUNTIFS(Assessment!E:E,"Yes",Assessment!F:F,A22,Assessment!Y:Y,"2. Somewhat Compliant (25%)")</f>
        <v>0</v>
      </c>
      <c r="P22" s="19">
        <f>COUNTIFS(Assessment!E:E,"Yes",Assessment!F:F,A22,Assessment!Y:Y,"1. Non Compliant (0%)")</f>
        <v>0</v>
      </c>
      <c r="Q22" s="21">
        <f t="shared" si="1"/>
        <v>10</v>
      </c>
      <c r="R22" s="26">
        <f t="shared" si="6"/>
        <v>0</v>
      </c>
      <c r="S22" s="19">
        <f>COUNTIFS(Assessment!E:E,"Yes",Assessment!F:F,A22,Assessment!Z:Z,"5. Fully Compliant (100%)")</f>
        <v>0</v>
      </c>
      <c r="T22" s="19">
        <f>COUNTIFS(Assessment!E:E,"Yes",Assessment!F:F,A22,Assessment!Z:Z,"4. Mostly Compliant (75%)")</f>
        <v>0</v>
      </c>
      <c r="U22" s="19">
        <f>COUNTIFS(Assessment!E:E,"Yes",Assessment!F:F,A22,Assessment!Z:Z,"3. Partially Compliant (50%)")</f>
        <v>2</v>
      </c>
      <c r="V22" s="19">
        <f>COUNTIFS(Assessment!E:E,"Yes",Assessment!F:F,A22,Assessment!Z:Z,"2. Somewhat Compliant (25%)")</f>
        <v>0</v>
      </c>
      <c r="W22" s="19">
        <f>COUNTIFS(Assessment!E:E,"Yes",Assessment!F:F,A22,Assessment!Z:Z,"1. Non Compliant (0%)")</f>
        <v>6</v>
      </c>
      <c r="X22" s="21">
        <f t="shared" si="2"/>
        <v>2</v>
      </c>
      <c r="Y22" s="26">
        <f t="shared" si="7"/>
        <v>10</v>
      </c>
      <c r="Z22" s="19">
        <f>COUNTIFS(Assessment!E:E,"Yes",Assessment!F:F,A22,Assessment!AA:AA,"5. Fully Compliant (100%)")</f>
        <v>0</v>
      </c>
      <c r="AA22" s="19">
        <f>COUNTIFS(Assessment!E:E,"Yes",Assessment!F:F,A22,Assessment!AA:AA,"4. Mostly Compliant (75%)")</f>
        <v>0</v>
      </c>
      <c r="AB22" s="19">
        <f>COUNTIFS(Assessment!E:E,"Yes",Assessment!F:F,A22,Assessment!AA:AA,"3. Partially Compliant (50%)")</f>
        <v>0</v>
      </c>
      <c r="AC22" s="19">
        <f>COUNTIFS(Assessment!E:E,"Yes",Assessment!F:F,A22,Assessment!AA:AA,"2. Somewhat Compliant (25%)")</f>
        <v>0</v>
      </c>
      <c r="AD22" s="19">
        <f>COUNTIFS(Assessment!E:E,"Yes",Assessment!F:F,A22,Assessment!AA:AA,"1. Non Compliant (0%)")</f>
        <v>0</v>
      </c>
      <c r="AE22" s="21">
        <f t="shared" si="3"/>
        <v>10</v>
      </c>
      <c r="AF22" s="26">
        <f t="shared" si="8"/>
        <v>0</v>
      </c>
      <c r="AG22" s="19">
        <f>COUNTIFS(Assessment!E:E,"Yes",Assessment!F:F,A22,Assessment!AB:AB,"5. Fully Compliant (100%)")</f>
        <v>0</v>
      </c>
      <c r="AH22" s="19">
        <f>COUNTIFS(Assessment!E:E,"Yes",Assessment!F:F,A22,Assessment!AB:AB,"4. Mostly Compliant (75%)")</f>
        <v>0</v>
      </c>
      <c r="AI22" s="19">
        <f>COUNTIFS(Assessment!E:E,"Yes",Assessment!F:F,A22,Assessment!AB:AB,"3. Partially Compliant (50%)")</f>
        <v>0</v>
      </c>
      <c r="AJ22" s="19">
        <f>COUNTIFS(Assessment!E:E,"Yes",Assessment!F:F,A22,Assessment!AB:AB,"2. Somewhat Compliant (25%)")</f>
        <v>0</v>
      </c>
      <c r="AK22" s="19">
        <f>COUNTIFS(Assessment!E:E,"Yes",Assessment!F:F,A22,Assessment!AB:AB,"1. Non Compliant (0%)")</f>
        <v>0</v>
      </c>
      <c r="AL22" s="21">
        <f t="shared" si="4"/>
        <v>10</v>
      </c>
      <c r="AM22" s="26">
        <f t="shared" si="9"/>
        <v>0</v>
      </c>
    </row>
    <row r="23" spans="1:39" x14ac:dyDescent="0.2">
      <c r="A23" s="23"/>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row>
    <row r="24" spans="1:39" x14ac:dyDescent="0.2">
      <c r="A24" s="19" t="s">
        <v>7819</v>
      </c>
      <c r="B24" s="21">
        <f t="shared" ref="B24:AL24" si="11">SUM(B4:B22)</f>
        <v>203</v>
      </c>
      <c r="C24" s="21">
        <f>SUM(C4:C22)</f>
        <v>1</v>
      </c>
      <c r="D24" s="19"/>
      <c r="E24" s="19">
        <f t="shared" si="11"/>
        <v>0</v>
      </c>
      <c r="F24" s="19">
        <f t="shared" si="11"/>
        <v>0</v>
      </c>
      <c r="G24" s="19">
        <f t="shared" si="11"/>
        <v>0</v>
      </c>
      <c r="H24" s="19">
        <f t="shared" si="11"/>
        <v>0</v>
      </c>
      <c r="I24" s="19">
        <f t="shared" si="11"/>
        <v>0</v>
      </c>
      <c r="J24" s="21">
        <f t="shared" si="11"/>
        <v>202</v>
      </c>
      <c r="K24" s="19"/>
      <c r="L24" s="19">
        <f t="shared" si="11"/>
        <v>0</v>
      </c>
      <c r="M24" s="19">
        <f t="shared" si="11"/>
        <v>0</v>
      </c>
      <c r="N24" s="19">
        <f t="shared" si="11"/>
        <v>0</v>
      </c>
      <c r="O24" s="19">
        <f t="shared" si="11"/>
        <v>0</v>
      </c>
      <c r="P24" s="19">
        <f t="shared" si="11"/>
        <v>0</v>
      </c>
      <c r="Q24" s="21">
        <f t="shared" si="11"/>
        <v>202</v>
      </c>
      <c r="R24" s="19"/>
      <c r="S24" s="19">
        <f t="shared" si="11"/>
        <v>58</v>
      </c>
      <c r="T24" s="19">
        <f t="shared" si="11"/>
        <v>8</v>
      </c>
      <c r="U24" s="19">
        <f t="shared" si="11"/>
        <v>23</v>
      </c>
      <c r="V24" s="19">
        <f t="shared" si="11"/>
        <v>0</v>
      </c>
      <c r="W24" s="19">
        <f t="shared" si="11"/>
        <v>97</v>
      </c>
      <c r="X24" s="21">
        <f t="shared" si="11"/>
        <v>16</v>
      </c>
      <c r="Y24" s="19"/>
      <c r="Z24" s="19">
        <f t="shared" si="11"/>
        <v>0</v>
      </c>
      <c r="AA24" s="19">
        <f t="shared" si="11"/>
        <v>0</v>
      </c>
      <c r="AB24" s="19">
        <f t="shared" si="11"/>
        <v>0</v>
      </c>
      <c r="AC24" s="19">
        <f t="shared" si="11"/>
        <v>0</v>
      </c>
      <c r="AD24" s="19">
        <f t="shared" si="11"/>
        <v>0</v>
      </c>
      <c r="AE24" s="21">
        <f t="shared" si="11"/>
        <v>202</v>
      </c>
      <c r="AF24" s="19"/>
      <c r="AG24" s="19">
        <f t="shared" si="11"/>
        <v>0</v>
      </c>
      <c r="AH24" s="19">
        <f t="shared" si="11"/>
        <v>0</v>
      </c>
      <c r="AI24" s="19">
        <f t="shared" si="11"/>
        <v>0</v>
      </c>
      <c r="AJ24" s="19">
        <f t="shared" si="11"/>
        <v>0</v>
      </c>
      <c r="AK24" s="19">
        <f t="shared" si="11"/>
        <v>0</v>
      </c>
      <c r="AL24" s="21">
        <f t="shared" si="11"/>
        <v>202</v>
      </c>
      <c r="AM24" s="19"/>
    </row>
  </sheetData>
  <mergeCells count="6">
    <mergeCell ref="AG1:AM1"/>
    <mergeCell ref="A1:D1"/>
    <mergeCell ref="E1:K1"/>
    <mergeCell ref="L1:R1"/>
    <mergeCell ref="S1:Y1"/>
    <mergeCell ref="Z1:AF1"/>
  </mergeCells>
  <conditionalFormatting sqref="D4:D22">
    <cfRule type="cellIs" dxfId="4" priority="1" operator="greaterThanOrEqual">
      <formula>68</formula>
    </cfRule>
    <cfRule type="cellIs" dxfId="3" priority="2" operator="between">
      <formula>63</formula>
      <formula>67.99</formula>
    </cfRule>
    <cfRule type="cellIs" dxfId="2" priority="3" operator="lessThan">
      <formula>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290C-CF3F-4E1C-8A54-A5E2BDD4AB2B}">
  <dimension ref="A1:I2994"/>
  <sheetViews>
    <sheetView zoomScaleNormal="100" workbookViewId="0">
      <pane ySplit="1" topLeftCell="A2" activePane="bottomLeft" state="frozen"/>
      <selection pane="bottomLeft" activeCell="A2" sqref="A2"/>
    </sheetView>
  </sheetViews>
  <sheetFormatPr defaultColWidth="8.7265625" defaultRowHeight="12.5" x14ac:dyDescent="0.35"/>
  <cols>
    <col min="1" max="1" width="12" style="40" bestFit="1" customWidth="1"/>
    <col min="2" max="2" width="12.26953125" style="40" bestFit="1" customWidth="1"/>
    <col min="3" max="3" width="11.7265625" style="40" bestFit="1" customWidth="1"/>
    <col min="4" max="4" width="170.81640625" style="40" bestFit="1" customWidth="1"/>
    <col min="5" max="5" width="11" style="40" bestFit="1" customWidth="1"/>
    <col min="6" max="6" width="8.7265625" style="40" hidden="1" customWidth="1"/>
    <col min="7" max="7" width="12.54296875" style="40" hidden="1" customWidth="1"/>
    <col min="8" max="9" width="15.54296875" style="40" customWidth="1"/>
    <col min="10" max="16384" width="8.7265625" style="40"/>
  </cols>
  <sheetData>
    <row r="1" spans="1:9" ht="21" x14ac:dyDescent="0.35">
      <c r="A1" s="45" t="s">
        <v>7820</v>
      </c>
      <c r="B1" s="45" t="s">
        <v>7821</v>
      </c>
      <c r="C1" s="45" t="s">
        <v>7822</v>
      </c>
      <c r="D1" s="45" t="s">
        <v>7823</v>
      </c>
      <c r="E1" s="45" t="s">
        <v>7824</v>
      </c>
      <c r="F1" s="28" t="s">
        <v>7825</v>
      </c>
      <c r="G1" s="28" t="s">
        <v>7826</v>
      </c>
      <c r="H1" s="66" t="s">
        <v>7827</v>
      </c>
      <c r="I1" s="66" t="s">
        <v>7828</v>
      </c>
    </row>
    <row r="2" spans="1:9" ht="409.5" x14ac:dyDescent="0.35">
      <c r="A2" s="40" t="s">
        <v>85</v>
      </c>
      <c r="B2" s="40" t="s">
        <v>7829</v>
      </c>
      <c r="C2" s="40" t="s">
        <v>7809</v>
      </c>
      <c r="D2" s="40" t="s">
        <v>7830</v>
      </c>
      <c r="E2" s="40" t="s">
        <v>7809</v>
      </c>
      <c r="H2" s="58" t="s">
        <v>7831</v>
      </c>
      <c r="I2" s="58" t="s">
        <v>7832</v>
      </c>
    </row>
    <row r="3" spans="1:9" ht="50" x14ac:dyDescent="0.35">
      <c r="A3" s="40" t="s">
        <v>85</v>
      </c>
      <c r="B3" s="40" t="s">
        <v>7829</v>
      </c>
      <c r="C3" s="40" t="s">
        <v>7809</v>
      </c>
      <c r="D3" s="40" t="s">
        <v>7833</v>
      </c>
      <c r="E3" s="40" t="s">
        <v>7809</v>
      </c>
      <c r="I3" s="58" t="s">
        <v>7834</v>
      </c>
    </row>
    <row r="4" spans="1:9" x14ac:dyDescent="0.35">
      <c r="A4" s="40" t="e">
        <f>IF(OR(_xlfn.XLOOKUP("11.01e1System.2",Assessment!H:H,Assessment!E:E)="yes",_xlfn.XLOOKUP("1101.01a1Organizational.1245",Assessment!H:H,Assessment!E:E)="yes",_xlfn.XLOOKUP("1117.01j1Organizational.23",Assessment!H:H,Assessment!E:E),_xlfn.XLOOKUP("1123.01q1System.2",Assessment!H:H,Assessment!E:E,)="yes",_xlfn.XLOOKUP("1403.05i1Organizational.67",Assessment!H:H,Assessment!E:E,)="yes",_xlfn.XLOOKUP("1149.01c2System.9",Assessment!H:H,Assessment!E:E,)="yes"),"Yes","No")</f>
        <v>#N/A</v>
      </c>
      <c r="B4" s="40" t="s">
        <v>7829</v>
      </c>
      <c r="C4" s="40" t="s">
        <v>7835</v>
      </c>
      <c r="D4" s="40" t="s">
        <v>7836</v>
      </c>
      <c r="E4" s="40" t="s">
        <v>7835</v>
      </c>
      <c r="H4" s="40" t="s">
        <v>7837</v>
      </c>
      <c r="I4" s="40" t="s">
        <v>7837</v>
      </c>
    </row>
    <row r="5" spans="1:9" x14ac:dyDescent="0.35">
      <c r="A5" s="40" t="e">
        <f>IF(OR(_xlfn.XLOOKUP("1124.01q2System.12",Assessment!H:H,Assessment!E:E)="yes"),"Yes","No")</f>
        <v>#N/A</v>
      </c>
      <c r="B5" s="40" t="s">
        <v>7829</v>
      </c>
      <c r="C5" s="40" t="s">
        <v>7835</v>
      </c>
      <c r="D5" s="40" t="s">
        <v>7838</v>
      </c>
      <c r="E5" s="40" t="s">
        <v>7835</v>
      </c>
      <c r="F5" s="44"/>
    </row>
    <row r="6" spans="1:9" ht="100" x14ac:dyDescent="0.35">
      <c r="A6" s="40" t="e">
        <f>IF(OR(_xlfn.XLOOKUP("11.01e1System.2",Assessment!H:H,Assessment!E:E)="yes",_xlfn.XLOOKUP("1101.01a1Organizational.1245",Assessment!H:H,Assessment!E:E)="yes",_xlfn.XLOOKUP("11113.01q3System.3",Assessment!H:H,Assessment!E:E)="yes",_xlfn.XLOOKUP("11183.01c1System.3",Assessment!H:H,Assessment!E:E)="yes",_xlfn.XLOOKUP("1123.01q1System.2",Assessment!H:H,Assessment!E:E)="yes",_xlfn.XLOOKUP("1143.01c1System.123",Assessment!H:H,Assessment!E:E)="yes",_xlfn.XLOOKUP("1147.01c2System.456",Assessment!H:H,Assessment!E:E)="yes",_xlfn.XLOOKUP("1151.01c1System.2",Assessment!H:H,Assessment!E:E)="yes"),"Yes","No")</f>
        <v>#N/A</v>
      </c>
      <c r="B6" s="40" t="s">
        <v>7829</v>
      </c>
      <c r="C6" s="40" t="s">
        <v>7835</v>
      </c>
      <c r="D6" s="40" t="s">
        <v>7839</v>
      </c>
      <c r="E6" s="40" t="s">
        <v>7835</v>
      </c>
      <c r="F6" s="44"/>
      <c r="H6" s="58" t="s">
        <v>7840</v>
      </c>
      <c r="I6" s="58" t="s">
        <v>7841</v>
      </c>
    </row>
    <row r="7" spans="1:9" x14ac:dyDescent="0.35">
      <c r="A7" s="40" t="str">
        <f>IF(OR(_xlfn.XLOOKUP("11.01e1System.2",Assessment!H:H,Assessment!E:E)="yes",_xlfn.XLOOKUP("1101.01a1Organizational.1245",Assessment!H:H,Assessment!E:E)="yes",_xlfn.XLOOKUP("1123.01q1System.2",Assessment!H:H,Assessment!E:E)="yes"),"Yes","No")</f>
        <v>Yes</v>
      </c>
      <c r="B7" s="40" t="s">
        <v>7829</v>
      </c>
      <c r="C7" s="40" t="s">
        <v>7835</v>
      </c>
      <c r="D7" s="40" t="s">
        <v>7842</v>
      </c>
      <c r="E7" s="40" t="s">
        <v>7835</v>
      </c>
      <c r="F7" s="44"/>
      <c r="I7" s="40" t="s">
        <v>7843</v>
      </c>
    </row>
    <row r="8" spans="1:9" x14ac:dyDescent="0.35">
      <c r="A8" s="40" t="e">
        <f>IF(OR(_xlfn.XLOOKUP("xyz",Assessment!H:H,Assessment!E:E)="yes"),"Yes","No")</f>
        <v>#N/A</v>
      </c>
      <c r="B8" s="40" t="s">
        <v>7829</v>
      </c>
      <c r="C8" s="40" t="s">
        <v>7835</v>
      </c>
      <c r="D8" s="40" t="s">
        <v>7844</v>
      </c>
      <c r="E8" s="40" t="s">
        <v>7835</v>
      </c>
      <c r="F8" s="44"/>
    </row>
    <row r="9" spans="1:9" x14ac:dyDescent="0.25">
      <c r="A9" s="40" t="e">
        <f>IF(OR(_xlfn.XLOOKUP("11113.01q3System.3",Assessment!H:H,Assessment!E:E)="yes"),"Yes","No")</f>
        <v>#N/A</v>
      </c>
      <c r="B9" s="40" t="s">
        <v>7829</v>
      </c>
      <c r="C9" s="40" t="s">
        <v>7835</v>
      </c>
      <c r="D9" s="40" t="s">
        <v>7845</v>
      </c>
      <c r="E9" s="40" t="s">
        <v>7835</v>
      </c>
      <c r="F9" s="27"/>
      <c r="H9" s="40" t="s">
        <v>7846</v>
      </c>
    </row>
    <row r="10" spans="1:9" x14ac:dyDescent="0.35">
      <c r="A10" s="40" t="e">
        <f>IF(OR(_xlfn.XLOOKUP("xyz",Assessment!H:H,Assessment!E:E)="yes"),"Yes","No")</f>
        <v>#N/A</v>
      </c>
      <c r="B10" s="40" t="s">
        <v>7829</v>
      </c>
      <c r="C10" s="40" t="s">
        <v>7835</v>
      </c>
      <c r="D10" s="40" t="s">
        <v>7847</v>
      </c>
      <c r="E10" s="40" t="s">
        <v>7835</v>
      </c>
      <c r="F10" s="44"/>
    </row>
    <row r="11" spans="1:9" x14ac:dyDescent="0.25">
      <c r="A11" s="40" t="e">
        <f>IF(OR(_xlfn.XLOOKUP("11.01e1System.2",Assessment!H:H,Assessment!E:E)="yes",_xlfn.XLOOKUP("1101.01a1Organizational.1245",Assessment!H:H,Assessment!E:E)="yes",_xlfn.XLOOKUP("1117.01j1Organizational.23",Assessment!H:H,Assessment!E:E)="yes",_xlfn.XLOOKUP("1123.01q1System.2",Assessment!H:H,Assessment!E:E)="yes",_xlfn.XLOOKUP("1403.05i1Organizational.67",Assessment!H:H,Assessment!E:E)="yes",_xlfn.XLOOKUP("1451.05iCSPOrganizational.2",Assessment!H:H,Assessment!E:E)="yes"),"Yes","No")</f>
        <v>#N/A</v>
      </c>
      <c r="B11" s="40" t="s">
        <v>7829</v>
      </c>
      <c r="C11" s="40" t="s">
        <v>7835</v>
      </c>
      <c r="D11" s="40" t="s">
        <v>7848</v>
      </c>
      <c r="E11" s="40" t="s">
        <v>7835</v>
      </c>
      <c r="F11" s="27"/>
      <c r="H11" s="40" t="s">
        <v>7837</v>
      </c>
      <c r="I11" s="40" t="s">
        <v>7837</v>
      </c>
    </row>
    <row r="12" spans="1:9" x14ac:dyDescent="0.25">
      <c r="A12" s="40" t="str">
        <f>IF(OR(_xlfn.XLOOKUP("11.01e1System.2",Assessment!H:H,Assessment!E:E)="yes",_xlfn.XLOOKUP("1101.01a1Organizational.1245",Assessment!H:H,Assessment!E:E)="yes",_xlfn.XLOOKUP("1123.01q1System.2",Assessment!H:H,Assessment!E:E)="yes"),"Yes","No")</f>
        <v>Yes</v>
      </c>
      <c r="B12" s="40" t="s">
        <v>7829</v>
      </c>
      <c r="C12" s="40" t="s">
        <v>7835</v>
      </c>
      <c r="D12" s="40" t="s">
        <v>7849</v>
      </c>
      <c r="E12" s="40" t="s">
        <v>7835</v>
      </c>
      <c r="F12" s="27"/>
      <c r="H12" s="40" t="s">
        <v>7837</v>
      </c>
      <c r="I12" s="40" t="s">
        <v>7837</v>
      </c>
    </row>
    <row r="13" spans="1:9" x14ac:dyDescent="0.35">
      <c r="A13" s="40" t="e">
        <f>IF(OR(_xlfn.XLOOKUP("1130.01v2System.1",Assessment!H:H,Assessment!E:E)="yes"),"Yes","No")</f>
        <v>#N/A</v>
      </c>
      <c r="B13" s="40" t="s">
        <v>7829</v>
      </c>
      <c r="C13" s="40" t="s">
        <v>7835</v>
      </c>
      <c r="D13" s="40" t="s">
        <v>7850</v>
      </c>
      <c r="E13" s="40" t="s">
        <v>7835</v>
      </c>
      <c r="F13" s="44"/>
    </row>
    <row r="14" spans="1:9" x14ac:dyDescent="0.35">
      <c r="A14" s="40" t="e">
        <f>IF(OR(_xlfn.XLOOKUP("1133.01v2System.4",Assessment!H:H,Assessment!E:E)="yes"),"Yes","No")</f>
        <v>#N/A</v>
      </c>
      <c r="B14" s="40" t="s">
        <v>7829</v>
      </c>
      <c r="C14" s="40" t="s">
        <v>7835</v>
      </c>
      <c r="D14" s="40" t="s">
        <v>7851</v>
      </c>
      <c r="E14" s="40" t="s">
        <v>7835</v>
      </c>
      <c r="F14" s="44"/>
    </row>
    <row r="15" spans="1:9" x14ac:dyDescent="0.35">
      <c r="A15" s="40" t="e">
        <f>IF(OR(_xlfn.XLOOKUP("0627.10h1System.45",Assessment!H:H,Assessment!E:E)="yes",_xlfn.XLOOKUP("1002.01d2System.7",Assessment!H:H,Assessment!E:E)="yes",_xlfn.XLOOKUP("1004.01d2System.8",Assessment!H:H,Assessment!E:E)="yes",_xlfn.XLOOKUP("1006.01d2System.1",Assessment!H:H,Assessment!E:E)="yes",_xlfn.XLOOKUP("1007.01d2System.2",Assessment!H:H,Assessment!E:E)="yes",_xlfn.XLOOKUP("1012.01r2System.1",Assessment!H:H,Assessment!E:E)="yes",_xlfn.XLOOKUP("1031.01d2System.11",Assessment!H:H,Assessment!E:E)="yes",_xlfn.XLOOKUP("11109.01q2System.9",Assessment!H:H,Assessment!E:E)="yes",_xlfn.XLOOKUP("1111.01b2System.1",Assessment!H:H,Assessment!E:E)="yes",_xlfn.XLOOKUP("1124.01q2System.12",Assessment!H:H,Assessment!E:E)="yes",_xlfn.XLOOKUP("1129.01v1System.12",Assessment!H:H,Assessment!E:E)="yes",_xlfn.XLOOKUP("1145.01c2System.1",Assessment!H:H,Assessment!E:E)="yes",_xlfn.XLOOKUP("1146.01c2System.23",Assessment!H:H,Assessment!E:E)="yes",_xlfn.XLOOKUP("1150.01c2System.10",Assessment!H:H,Assessment!E:E)="yes",_xlfn.XLOOKUP("1168.01e2System.2",Assessment!H:H,Assessment!E:E)="yes",_xlfn.XLOOKUP("1005.01d3System.1",Assessment!H:H,Assessment!E:E)="yes",_xlfn.XLOOKUP("1164.01cHIESystem.1",Assessment!H:H,Assessment!E:E)="yes",_xlfn.XLOOKUP("1170.01eHIESystem.1",Assessment!H:H,Assessment!E:E)="yes"),"Yes","No")</f>
        <v>#N/A</v>
      </c>
      <c r="B15" s="40" t="s">
        <v>7829</v>
      </c>
      <c r="C15" s="40" t="s">
        <v>7835</v>
      </c>
      <c r="D15" s="40" t="s">
        <v>7852</v>
      </c>
      <c r="E15" s="40" t="s">
        <v>7835</v>
      </c>
      <c r="F15" s="44"/>
    </row>
    <row r="16" spans="1:9" x14ac:dyDescent="0.25">
      <c r="A16" s="40" t="e">
        <f>IF(OR(_xlfn.XLOOKUP("0816.01w1System.1",Assessment!H:H,Assessment!E:E)="yes",_xlfn.XLOOKUP("11131.01u1System.2",Assessment!H:H,Assessment!E:E)="yes"),"Yes","No")</f>
        <v>#N/A</v>
      </c>
      <c r="B16" s="40" t="s">
        <v>7829</v>
      </c>
      <c r="C16" s="40" t="s">
        <v>7835</v>
      </c>
      <c r="D16" s="40" t="s">
        <v>7853</v>
      </c>
      <c r="E16" s="40" t="s">
        <v>7835</v>
      </c>
      <c r="F16" s="27"/>
    </row>
    <row r="17" spans="1:8" x14ac:dyDescent="0.35">
      <c r="A17" s="40" t="e">
        <f>IF(OR(_xlfn.XLOOKUP("xyz",Assessment!H:H,Assessment!E:E)="yes"),"Yes","No")</f>
        <v>#N/A</v>
      </c>
      <c r="B17" s="40" t="s">
        <v>7829</v>
      </c>
      <c r="C17" s="40" t="s">
        <v>7835</v>
      </c>
      <c r="D17" s="40" t="s">
        <v>7854</v>
      </c>
      <c r="E17" s="40" t="s">
        <v>7835</v>
      </c>
      <c r="F17" s="44"/>
    </row>
    <row r="18" spans="1:8" x14ac:dyDescent="0.35">
      <c r="A18" s="40" t="e">
        <f>IF(OR(_xlfn.XLOOKUP("xyz",Assessment!H:H,Assessment!E:E)="yes"),"Yes","No")</f>
        <v>#N/A</v>
      </c>
      <c r="B18" s="40" t="s">
        <v>7829</v>
      </c>
      <c r="C18" s="40" t="s">
        <v>7835</v>
      </c>
      <c r="D18" s="40" t="s">
        <v>7855</v>
      </c>
      <c r="E18" s="40" t="s">
        <v>7835</v>
      </c>
      <c r="F18" s="44"/>
    </row>
    <row r="19" spans="1:8" x14ac:dyDescent="0.35">
      <c r="A19" s="40" t="e">
        <f>IF(OR(_xlfn.XLOOKUP("0605.10h2System.7",Assessment!H:H,Assessment!E:E)="yes",_xlfn.XLOOKUP("0707.10b2System.1",Assessment!H:H,Assessment!E:E)="yes",_xlfn.XLOOKUP("0733.10b2System.4",Assessment!H:H,Assessment!E:E)="yes"),"Yes","No")</f>
        <v>#N/A</v>
      </c>
      <c r="B19" s="40" t="s">
        <v>7829</v>
      </c>
      <c r="C19" s="40" t="s">
        <v>7835</v>
      </c>
      <c r="D19" s="40" t="s">
        <v>7856</v>
      </c>
      <c r="E19" s="40" t="s">
        <v>7835</v>
      </c>
      <c r="F19" s="44"/>
    </row>
    <row r="20" spans="1:8" x14ac:dyDescent="0.35">
      <c r="A20" s="40" t="e">
        <f>IF(OR(_xlfn.XLOOKUP("1131.01v2System.2",Assessment!H:H,Assessment!E:E)="yes",_xlfn.XLOOKUP("1132.01v2System.3",Assessment!H:H,Assessment!E:E)="yes"),"Yes","No")</f>
        <v>#N/A</v>
      </c>
      <c r="B20" s="40" t="s">
        <v>7829</v>
      </c>
      <c r="C20" s="40" t="s">
        <v>7835</v>
      </c>
      <c r="D20" s="40" t="s">
        <v>7857</v>
      </c>
      <c r="E20" s="40" t="s">
        <v>7835</v>
      </c>
      <c r="F20" s="44"/>
    </row>
    <row r="21" spans="1:8" x14ac:dyDescent="0.25">
      <c r="A21" s="40" t="str">
        <f>IF(OR(_xlfn.XLOOKUP("19249.06b1Organizational.2",Assessment!H:H,Assessment!E:E)="yes"),"Yes","No")</f>
        <v>Yes</v>
      </c>
      <c r="B21" s="40" t="s">
        <v>7829</v>
      </c>
      <c r="C21" s="40" t="s">
        <v>7835</v>
      </c>
      <c r="D21" s="40" t="s">
        <v>7858</v>
      </c>
      <c r="E21" s="40" t="s">
        <v>7835</v>
      </c>
      <c r="F21" s="27"/>
    </row>
    <row r="22" spans="1:8" x14ac:dyDescent="0.35">
      <c r="A22" s="40" t="e">
        <f>IF(OR(_xlfn.XLOOKUP("1134.01v3System.1",Assessment!H:H,Assessment!E:E)="yes"),"Yes","No")</f>
        <v>#N/A</v>
      </c>
      <c r="B22" s="40" t="s">
        <v>7829</v>
      </c>
      <c r="C22" s="40" t="s">
        <v>7835</v>
      </c>
      <c r="D22" s="40" t="s">
        <v>7859</v>
      </c>
      <c r="E22" s="40" t="s">
        <v>7835</v>
      </c>
      <c r="F22" s="44"/>
    </row>
    <row r="23" spans="1:8" x14ac:dyDescent="0.35">
      <c r="A23" s="40" t="e">
        <f>IF(OR(_xlfn.XLOOKUP("xyz",Assessment!H:H,Assessment!E:E)="yes"),"Yes","No")</f>
        <v>#N/A</v>
      </c>
      <c r="B23" s="40" t="s">
        <v>7829</v>
      </c>
      <c r="C23" s="40" t="s">
        <v>7835</v>
      </c>
      <c r="D23" s="40" t="s">
        <v>7860</v>
      </c>
      <c r="E23" s="40" t="s">
        <v>7835</v>
      </c>
      <c r="F23" s="44"/>
    </row>
    <row r="24" spans="1:8" x14ac:dyDescent="0.35">
      <c r="A24" s="40" t="e">
        <f>IF(OR(_xlfn.XLOOKUP("0808.10b2System.3",Assessment!H:H,Assessment!E:E)="yes"),"Yes","No")</f>
        <v>#N/A</v>
      </c>
      <c r="B24" s="40" t="s">
        <v>7829</v>
      </c>
      <c r="C24" s="40" t="s">
        <v>7835</v>
      </c>
      <c r="D24" s="40" t="s">
        <v>7861</v>
      </c>
      <c r="E24" s="40" t="s">
        <v>7835</v>
      </c>
      <c r="F24" s="44"/>
    </row>
    <row r="25" spans="1:8" x14ac:dyDescent="0.35">
      <c r="A25" s="40" t="e">
        <f>IF(OR(_xlfn.XLOOKUP("0618.09b2System.3",Assessment!H:H,Assessment!E:E)="yes",_xlfn.XLOOKUP("0638.10k2Organizational.7",Assessment!H:H,Assessment!E:E)="yes"),"Yes","No")</f>
        <v>#N/A</v>
      </c>
      <c r="B25" s="40" t="s">
        <v>7829</v>
      </c>
      <c r="C25" s="40" t="s">
        <v>7835</v>
      </c>
      <c r="D25" s="40" t="s">
        <v>7862</v>
      </c>
      <c r="E25" s="40" t="s">
        <v>7835</v>
      </c>
      <c r="F25" s="44"/>
      <c r="H25" s="40" t="s">
        <v>7863</v>
      </c>
    </row>
    <row r="26" spans="1:8" x14ac:dyDescent="0.25">
      <c r="A26" s="40" t="e">
        <f>IF(OR(_xlfn.XLOOKUP("1110.01b2System.7",Assessment!H:H,Assessment!E:E)="yes",_xlfn.XLOOKUP("1139.01b2System.10",Assessment!H:H,Assessment!E:E)="yes"),"Yes","No")</f>
        <v>#N/A</v>
      </c>
      <c r="B26" s="40" t="s">
        <v>7829</v>
      </c>
      <c r="C26" s="40" t="s">
        <v>7835</v>
      </c>
      <c r="D26" s="40" t="s">
        <v>7864</v>
      </c>
      <c r="E26" s="40" t="s">
        <v>7835</v>
      </c>
      <c r="F26" s="27"/>
    </row>
    <row r="27" spans="1:8" x14ac:dyDescent="0.25">
      <c r="A27" s="40" t="e">
        <f>IF(OR(_xlfn.XLOOKUP("1105.09c1Organizational.2",Assessment!H:H,Assessment!E:E)="yes",_xlfn.XLOOKUP("1144.01c3System.5",Assessment!H:H,Assessment!E:E)="yes"),"Yes","No")</f>
        <v>#N/A</v>
      </c>
      <c r="B27" s="40" t="s">
        <v>7829</v>
      </c>
      <c r="C27" s="40" t="s">
        <v>7835</v>
      </c>
      <c r="D27" s="40" t="s">
        <v>7865</v>
      </c>
      <c r="E27" s="40" t="s">
        <v>7835</v>
      </c>
      <c r="F27" s="27"/>
    </row>
    <row r="28" spans="1:8" x14ac:dyDescent="0.25">
      <c r="A28" s="40" t="e">
        <f>IF(OR(_xlfn.XLOOKUP("1105.09c1Organizational.2",Assessment!H:H,Assessment!E:E)="yes",_xlfn.XLOOKUP("1144.01c3System.5",Assessment!H:H,Assessment!E:E)="yes"),"Yes","No")</f>
        <v>#N/A</v>
      </c>
      <c r="B28" s="40" t="s">
        <v>7829</v>
      </c>
      <c r="C28" s="40" t="s">
        <v>7835</v>
      </c>
      <c r="D28" s="40" t="s">
        <v>7866</v>
      </c>
      <c r="E28" s="40" t="s">
        <v>7835</v>
      </c>
      <c r="F28" s="27"/>
    </row>
    <row r="29" spans="1:8" x14ac:dyDescent="0.35">
      <c r="A29" s="40" t="e">
        <f>IF(OR(_xlfn.XLOOKUP("1144.01c3System.5",Assessment!H:H,Assessment!E:E)="yes"),"Yes","No")</f>
        <v>#N/A</v>
      </c>
      <c r="B29" s="40" t="s">
        <v>7829</v>
      </c>
      <c r="C29" s="40" t="s">
        <v>7835</v>
      </c>
      <c r="D29" s="40" t="s">
        <v>7867</v>
      </c>
      <c r="E29" s="40" t="s">
        <v>7835</v>
      </c>
      <c r="F29" s="44"/>
    </row>
    <row r="30" spans="1:8" x14ac:dyDescent="0.25">
      <c r="A30" s="40" t="str">
        <f>IF(OR(_xlfn.XLOOKUP("0732.09r1Organizational.3",Assessment!H:H,Assessment!E:E)="yes"),"Yes","No")</f>
        <v>Yes</v>
      </c>
      <c r="B30" s="40" t="s">
        <v>7829</v>
      </c>
      <c r="C30" s="40" t="s">
        <v>7835</v>
      </c>
      <c r="D30" s="40" t="s">
        <v>7868</v>
      </c>
      <c r="E30" s="40" t="s">
        <v>7835</v>
      </c>
      <c r="F30" s="27"/>
    </row>
    <row r="31" spans="1:8" x14ac:dyDescent="0.35">
      <c r="A31" s="40" t="e">
        <f>IF(OR(_xlfn.XLOOKUP("1681.12e2Organizational.345",Assessment!H:H,Assessment!E:E)="yes",_xlfn.XLOOKUP("1667.12d2Organizational.4",Assessment!H:H,Assessment!E:E)="yes",_xlfn.XLOOKUP("1678.12e2Organizational.10",Assessment!H:H,Assessment!E:E)="yes",_xlfn.XLOOKUP("1671.12d2Organizational.2",Assessment!H:H,Assessment!E:E)="yes"),"Yes","No")</f>
        <v>#N/A</v>
      </c>
      <c r="B31" s="40" t="s">
        <v>7829</v>
      </c>
      <c r="C31" s="40" t="s">
        <v>7835</v>
      </c>
      <c r="D31" s="40" t="s">
        <v>7869</v>
      </c>
      <c r="E31" s="40" t="s">
        <v>7835</v>
      </c>
      <c r="F31" s="44"/>
    </row>
    <row r="32" spans="1:8" x14ac:dyDescent="0.25">
      <c r="A32" s="40" t="e">
        <f>IF(OR(_xlfn.XLOOKUP("0605.10h2System.7",Assessment!H:H,Assessment!E:E)="yes",_xlfn.XLOOKUP("1781.10a1Organizational.23",Assessment!H:H,Assessment!E:E)="yes"),"Yes","No")</f>
        <v>#N/A</v>
      </c>
      <c r="B32" s="40" t="s">
        <v>7829</v>
      </c>
      <c r="C32" s="40" t="s">
        <v>7835</v>
      </c>
      <c r="D32" s="40" t="s">
        <v>7870</v>
      </c>
      <c r="E32" s="40" t="s">
        <v>7835</v>
      </c>
      <c r="F32" s="27"/>
    </row>
    <row r="33" spans="1:9" x14ac:dyDescent="0.35">
      <c r="A33" s="40" t="e">
        <f>IF(OR(_xlfn.XLOOKUP("06.09b1System.2",Assessment!H:H,Assessment!E:E)="yes",_xlfn.XLOOKUP("1769.09i1System.12",Assessment!H:H,Assessment!E:E)="yes",_xlfn.XLOOKUP("0619.09b2System.12",Assessment!H:H,Assessment!E:E)="yes"),"Yes","No")</f>
        <v>#N/A</v>
      </c>
      <c r="B33" s="40" t="s">
        <v>7829</v>
      </c>
      <c r="C33" s="40" t="s">
        <v>7835</v>
      </c>
      <c r="D33" s="40" t="s">
        <v>7871</v>
      </c>
      <c r="E33" s="40" t="s">
        <v>7835</v>
      </c>
      <c r="F33" s="44"/>
      <c r="H33" s="58" t="s">
        <v>7863</v>
      </c>
      <c r="I33" s="58" t="s">
        <v>7863</v>
      </c>
    </row>
    <row r="34" spans="1:9" x14ac:dyDescent="0.35">
      <c r="A34" s="40" t="e">
        <f>IF(OR(_xlfn.XLOOKUP("xyz",Assessment!H:H,Assessment!E:E)="yes"),"Yes","No")</f>
        <v>#N/A</v>
      </c>
      <c r="B34" s="40" t="s">
        <v>7829</v>
      </c>
      <c r="C34" s="40" t="s">
        <v>7835</v>
      </c>
      <c r="D34" s="40" t="s">
        <v>7872</v>
      </c>
      <c r="E34" s="40" t="s">
        <v>7835</v>
      </c>
      <c r="F34" s="44"/>
    </row>
    <row r="35" spans="1:9" x14ac:dyDescent="0.35">
      <c r="A35" s="40" t="e">
        <f>IF(OR(_xlfn.XLOOKUP("0671.10k2Organizational.7",Assessment!H:H,Assessment!E:E)="yes"),"Yes","No")</f>
        <v>#N/A</v>
      </c>
      <c r="B35" s="40" t="s">
        <v>7829</v>
      </c>
      <c r="C35" s="40" t="s">
        <v>7835</v>
      </c>
      <c r="D35" s="40" t="s">
        <v>7873</v>
      </c>
      <c r="E35" s="40" t="s">
        <v>7835</v>
      </c>
      <c r="F35" s="44"/>
    </row>
    <row r="36" spans="1:9" x14ac:dyDescent="0.35">
      <c r="A36" s="40" t="e">
        <f>IF(OR(_xlfn.XLOOKUP("0821.09m2Organizational.2",Assessment!H:H,Assessment!E:E)="yes",_xlfn.XLOOKUP("0863.09m2Organizational.910",Assessment!H:H,Assessment!E:E)="yes"),"Yes","No")</f>
        <v>#N/A</v>
      </c>
      <c r="B36" s="40" t="s">
        <v>7829</v>
      </c>
      <c r="C36" s="40" t="s">
        <v>7835</v>
      </c>
      <c r="D36" s="40" t="s">
        <v>7874</v>
      </c>
      <c r="E36" s="40" t="s">
        <v>7835</v>
      </c>
      <c r="F36" s="44"/>
      <c r="H36" s="40" t="s">
        <v>7875</v>
      </c>
    </row>
    <row r="37" spans="1:9" x14ac:dyDescent="0.35">
      <c r="A37" s="40" t="e">
        <f>IF(OR(_xlfn.XLOOKUP("0638.10k2Organizational.7",Assessment!H:H,Assessment!E:E)="yes"),"Yes","No")</f>
        <v>#N/A</v>
      </c>
      <c r="B37" s="40" t="s">
        <v>7829</v>
      </c>
      <c r="C37" s="40" t="s">
        <v>7835</v>
      </c>
      <c r="D37" s="40" t="s">
        <v>7876</v>
      </c>
      <c r="E37" s="40" t="s">
        <v>7835</v>
      </c>
      <c r="F37" s="44"/>
    </row>
    <row r="38" spans="1:9" x14ac:dyDescent="0.35">
      <c r="A38" s="40" t="e">
        <f>IF(OR(_xlfn.XLOOKUP("xyz",Assessment!H:H,Assessment!E:E)="yes"),"Yes","No")</f>
        <v>#N/A</v>
      </c>
      <c r="B38" s="40" t="s">
        <v>7829</v>
      </c>
      <c r="C38" s="40" t="s">
        <v>7835</v>
      </c>
      <c r="D38" s="40" t="s">
        <v>7877</v>
      </c>
      <c r="E38" s="40" t="s">
        <v>7835</v>
      </c>
      <c r="F38" s="44"/>
    </row>
    <row r="39" spans="1:9" x14ac:dyDescent="0.35">
      <c r="A39" s="40" t="e">
        <f>IF(OR(_xlfn.XLOOKUP("1803.08b2Organizational.10",Assessment!H:H,Assessment!E:E)="yes",_xlfn.XLOOKUP("1834.08a2Organizational.7",Assessment!H:H,Assessment!E:E)="yes"),"Yes","No")</f>
        <v>#N/A</v>
      </c>
      <c r="B39" s="40" t="s">
        <v>7829</v>
      </c>
      <c r="C39" s="40" t="s">
        <v>7835</v>
      </c>
      <c r="D39" s="40" t="s">
        <v>7878</v>
      </c>
      <c r="E39" s="40" t="s">
        <v>7835</v>
      </c>
      <c r="F39" s="44"/>
    </row>
    <row r="40" spans="1:9" x14ac:dyDescent="0.35">
      <c r="A40" s="40" t="e">
        <f>IF(OR(_xlfn.XLOOKUP("08101.09m2Organizational.14",Assessment!H:H,Assessment!E:E)="yes",_xlfn.XLOOKUP("0894.01m2Organizational.7",Assessment!H:H,Assessment!E:E)="yes"),"Yes","No")</f>
        <v>#N/A</v>
      </c>
      <c r="B40" s="40" t="s">
        <v>7829</v>
      </c>
      <c r="C40" s="40" t="s">
        <v>7835</v>
      </c>
      <c r="D40" s="40" t="s">
        <v>7879</v>
      </c>
      <c r="E40" s="40" t="s">
        <v>7835</v>
      </c>
      <c r="F40" s="44"/>
    </row>
    <row r="41" spans="1:9" x14ac:dyDescent="0.25">
      <c r="A41" s="40" t="str">
        <f>IF(OR(_xlfn.XLOOKUP("1414.09g1System.1",Assessment!H:H,Assessment!E:E)="yes"),"Yes","No")</f>
        <v>Yes</v>
      </c>
      <c r="B41" s="40" t="s">
        <v>7829</v>
      </c>
      <c r="C41" s="40" t="s">
        <v>7835</v>
      </c>
      <c r="D41" s="40" t="s">
        <v>7880</v>
      </c>
      <c r="E41" s="40" t="s">
        <v>7835</v>
      </c>
      <c r="F41" s="27"/>
    </row>
    <row r="42" spans="1:9" x14ac:dyDescent="0.35">
      <c r="A42" s="40" t="e">
        <f>IF(OR(_xlfn.XLOOKUP("1304.02e1Organizational.7",Assessment!H:H,Assessment!E:E)="yes",_xlfn.XLOOKUP("1704.03b1Organizational.12",Assessment!H:H,Assessment!E:E)="yes",_xlfn.XLOOKUP("0620.09b2System.3",Assessment!H:H,Assessment!E:E)="yes",_xlfn.XLOOKUP("0638.10k2Organizational.7",Assessment!H:H,Assessment!E:E)="yes",_xlfn.XLOOKUP("0638.10k3Organizational.5",Assessment!H:H,Assessment!E:E)="yes",_xlfn.XLOOKUP("08102.09nCSPOrganizational.1",Assessment!H:H,Assessment!E:E)="yes",_xlfn.XLOOKUP("1799.10a3Organizational.34",Assessment!H:H,Assessment!E:E)="yes"),"Yes","No")</f>
        <v>#N/A</v>
      </c>
      <c r="B42" s="40" t="s">
        <v>7829</v>
      </c>
      <c r="C42" s="40" t="s">
        <v>7835</v>
      </c>
      <c r="D42" s="40" t="s">
        <v>7881</v>
      </c>
      <c r="E42" s="40" t="s">
        <v>7835</v>
      </c>
      <c r="F42" s="44"/>
    </row>
    <row r="43" spans="1:9" x14ac:dyDescent="0.35">
      <c r="A43" s="40" t="e">
        <f>IF(OR(_xlfn.XLOOKUP("0605.10h2System.7",Assessment!H:H,Assessment!E:E)="yes",_xlfn.XLOOKUP("0606.10h2System.1",Assessment!H:H,Assessment!E:E)="yes",_xlfn.XLOOKUP("0607.10h2System.23",Assessment!H:H,Assessment!E:E)="yes",_xlfn.XLOOKUP("0629.10h2System.45",Assessment!H:H,Assessment!E:E)="yes",_xlfn.XLOOKUP("06900.09d1System.2",Assessment!H:H,Assessment!E:E)="yes",_xlfn.XLOOKUP("1781.10a1Organizational.23",Assessment!H:H,Assessment!E:E)="yes",_xlfn.XLOOKUP("19199.10e1System.12",Assessment!H:H,Assessment!E:E)="yes",_xlfn.XLOOKUP("0619.09b2System.12",Assessment!H:H,Assessment!E:E)="yes",_xlfn.XLOOKUP("0620.09b2System.3",Assessment!H:H,Assessment!E:E)="yes",_xlfn.XLOOKUP("0635.10k2Organizational.8",Assessment!H:H,Assessment!E:E)="yes",_xlfn.XLOOKUP("0637.10k2Organizational.2",Assessment!H:H,Assessment!E:E)="yes",_xlfn.XLOOKUP("0638.10k3Organizational.5",Assessment!H:H,Assessment!E:E)="yes",_xlfn.XLOOKUP("1793.10a2Organizational.91011",Assessment!H:H,Assessment!E:E)="yes",_xlfn.XLOOKUP("0228.09k2Organizational.3",Assessment!H:H,Assessment!E:E)="yes",_xlfn.XLOOKUP("17101.10a3Organizational.6",Assessment!H:H,Assessment!E:E)="yes",_xlfn.XLOOKUP("1786.10a2Organizational.15",Assessment!H:H,Assessment!E:E)="yes",_xlfn.XLOOKUP("1791.10a2Organizational.6",Assessment!H:H,Assessment!E:E)="yes",_xlfn.XLOOKUP("1792.10a2Organizational.7814",Assessment!H:H,Assessment!E:E)="yes",_xlfn.XLOOKUP("1794.10a2Organizational.12",Assessment!H:H,Assessment!E:E)="yes",_xlfn.XLOOKUP("1795.10a2Organizational.13",Assessment!H:H,Assessment!E:E)="yes"),"Yes","No")</f>
        <v>#N/A</v>
      </c>
      <c r="B43" s="40" t="s">
        <v>7829</v>
      </c>
      <c r="C43" s="40" t="s">
        <v>7835</v>
      </c>
      <c r="D43" s="40" t="s">
        <v>7882</v>
      </c>
      <c r="E43" s="40" t="s">
        <v>7835</v>
      </c>
      <c r="F43" s="44"/>
      <c r="H43" s="40" t="s">
        <v>7883</v>
      </c>
    </row>
    <row r="44" spans="1:9" x14ac:dyDescent="0.25">
      <c r="A44" s="40" t="e">
        <f>IF(OR(_xlfn.XLOOKUP("0606.10h2System.1",Assessment!H:H,Assessment!E:E)="yes",_xlfn.XLOOKUP("0607.10h2System.23",Assessment!H:H,Assessment!E:E)="yes",_xlfn.XLOOKUP("0629.10h2System.45",Assessment!H:H,Assessment!E:E)="yes",_xlfn.XLOOKUP("19199.10e1System.12",Assessment!H:H,Assessment!E:E)="yes",_xlfn.XLOOKUP("0619.09b2System.12",Assessment!H:H,Assessment!E:E)="yes",_xlfn.XLOOKUP("0620.09b2System.3",Assessment!H:H,Assessment!E:E)="yes",_xlfn.XLOOKUP("0635.10k2Organizational.8",Assessment!H:H,Assessment!E:E)="yes",_xlfn.XLOOKUP("0637.10k2Organizational.2",Assessment!H:H,Assessment!E:E)="yes",_xlfn.XLOOKUP("0638.10k3Organizational.5",Assessment!H:H,Assessment!E:E)="yes",_xlfn.XLOOKUP("0639.10k2Organizational.78",Assessment!H:H,Assessment!E:E)="yes",_xlfn.XLOOKUP("17101.10a3Organizational.6",Assessment!H:H,Assessment!E:E)="yes",_xlfn.XLOOKUP("1786.10a2Organizational.15",Assessment!H:H,Assessment!E:E)="yes",_xlfn.XLOOKUP("1791.10a2Organizational.6",Assessment!H:H,Assessment!E:E)="yes",_xlfn.XLOOKUP("1792.10a2Organizational.7814",Assessment!H:H,Assessment!E:E)="yes",_xlfn.XLOOKUP("1794.10a2Organizational.12",Assessment!H:H,Assessment!E:E)="yes",_xlfn.XLOOKUP("1795.10a2Organizational.13",Assessment!H:H,Assessment!E:E)="yes"),"Yes","No")</f>
        <v>#N/A</v>
      </c>
      <c r="B44" s="40" t="s">
        <v>7829</v>
      </c>
      <c r="C44" s="40" t="s">
        <v>7835</v>
      </c>
      <c r="D44" s="40" t="s">
        <v>7884</v>
      </c>
      <c r="E44" s="40" t="s">
        <v>7835</v>
      </c>
      <c r="F44" s="27"/>
      <c r="H44" s="40" t="s">
        <v>7863</v>
      </c>
    </row>
    <row r="45" spans="1:9" x14ac:dyDescent="0.35">
      <c r="A45" s="40" t="e">
        <f>IF(OR(_xlfn.XLOOKUP("0662.09sCSPOrganizational.2",Assessment!H:H,Assessment!E:E)="yes",_xlfn.XLOOKUP("0672.10k3Organizational.6",Assessment!H:H,Assessment!E:E)="yes"),"Yes","No")</f>
        <v>#N/A</v>
      </c>
      <c r="B45" s="40" t="s">
        <v>7829</v>
      </c>
      <c r="C45" s="40" t="s">
        <v>7835</v>
      </c>
      <c r="D45" s="40" t="s">
        <v>7885</v>
      </c>
      <c r="E45" s="40" t="s">
        <v>7835</v>
      </c>
      <c r="F45" s="44"/>
    </row>
    <row r="46" spans="1:9" x14ac:dyDescent="0.25">
      <c r="A46" s="40" t="str">
        <f>IF(OR(_xlfn.XLOOKUP("07.10m1Organizational.2",Assessment!H:H,Assessment!E:E)="yes"),"Yes","No")</f>
        <v>Yes</v>
      </c>
      <c r="B46" s="40" t="s">
        <v>7829</v>
      </c>
      <c r="C46" s="40" t="s">
        <v>7835</v>
      </c>
      <c r="D46" s="40" t="s">
        <v>7886</v>
      </c>
      <c r="E46" s="40" t="s">
        <v>7835</v>
      </c>
      <c r="F46" s="27"/>
    </row>
    <row r="47" spans="1:9" x14ac:dyDescent="0.25">
      <c r="A47" s="40" t="str">
        <f>IF(OR(_xlfn.XLOOKUP("07.10m1Organizational.2",Assessment!H:H,Assessment!E:E)="yes"),"Yes","No")</f>
        <v>Yes</v>
      </c>
      <c r="B47" s="40" t="s">
        <v>7829</v>
      </c>
      <c r="C47" s="40" t="s">
        <v>7835</v>
      </c>
      <c r="D47" s="40" t="s">
        <v>7887</v>
      </c>
      <c r="E47" s="40" t="s">
        <v>7835</v>
      </c>
      <c r="F47" s="27"/>
    </row>
    <row r="48" spans="1:9" x14ac:dyDescent="0.35">
      <c r="A48" s="40" t="e">
        <f>IF(OR(_xlfn.XLOOKUP("0201.09j1Organizational.124",Assessment!H:H,Assessment!E:E)="yes",_xlfn.XLOOKUP("0217.09j1Organizational.7",Assessment!H:H,Assessment!E:E)="yes",_xlfn.XLOOKUP("0226.09k1Organizational.2",Assessment!H:H,Assessment!E:E)="yes",_xlfn.XLOOKUP("0265.09m1Organizational.2",Assessment!H:H,Assessment!E:E)="yes",_xlfn.XLOOKUP("0429.01x1Organizational.5",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11190.01t1System.2",Assessment!H:H,Assessment!E:E)="yes",_xlfn.XLOOKUP("0202.09j2Organizational.8",Assessment!H:H,Assessment!E:E)="yes",_xlfn.XLOOKUP("0836.09n2Organizational.1",Assessment!H:H,Assessment!E:E)="yes",_xlfn.XLOOKUP("0886.09n2Organizational.4",Assessment!H:H,Assessment!E:E)="yes",_xlfn.XLOOKUP("0887.09n2Organizational.5",Assessment!H:H,Assessment!E:E)="yes",_xlfn.XLOOKUP("1022.01dMASSSystem.1",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0427.01x2Organizational.8",Assessment!H:H,Assessment!E:E)="yes",_xlfn.XLOOKUP("0865.09m2Organizational.14",Assessment!H:H,Assessment!E:E)="yes"),"Yes","No")</f>
        <v>#N/A</v>
      </c>
      <c r="B48" s="40" t="s">
        <v>7829</v>
      </c>
      <c r="C48" s="40" t="s">
        <v>7835</v>
      </c>
      <c r="D48" s="40" t="s">
        <v>7888</v>
      </c>
      <c r="E48" s="40" t="s">
        <v>7835</v>
      </c>
      <c r="F48" s="44"/>
      <c r="H48" s="58" t="s">
        <v>7889</v>
      </c>
    </row>
    <row r="49" spans="1:9" x14ac:dyDescent="0.35">
      <c r="A49" s="40" t="e">
        <f>IF(OR(_xlfn.XLOOKUP("0641.10k2Organizational.11",Assessment!H:H,Assessment!E:E)="yes"),"Yes","No")</f>
        <v>#N/A</v>
      </c>
      <c r="B49" s="40" t="s">
        <v>7829</v>
      </c>
      <c r="C49" s="40" t="s">
        <v>7835</v>
      </c>
      <c r="D49" s="40" t="s">
        <v>7890</v>
      </c>
      <c r="E49" s="40" t="s">
        <v>7835</v>
      </c>
      <c r="F49" s="44"/>
    </row>
    <row r="50" spans="1:9" x14ac:dyDescent="0.35">
      <c r="A50" s="40" t="e">
        <f>IF(OR(_xlfn.XLOOKUP("xyz",Assessment!H:H,Assessment!E:E)="yes"),"Yes","No")</f>
        <v>#N/A</v>
      </c>
      <c r="B50" s="40" t="s">
        <v>7829</v>
      </c>
      <c r="C50" s="40" t="s">
        <v>7835</v>
      </c>
      <c r="D50" s="40" t="s">
        <v>7891</v>
      </c>
      <c r="E50" s="40" t="s">
        <v>7835</v>
      </c>
      <c r="F50" s="44"/>
    </row>
    <row r="51" spans="1:9" x14ac:dyDescent="0.35">
      <c r="A51" s="40" t="e">
        <f>IF(OR(_xlfn.XLOOKUP("0723.07a2Organizational.5",Assessment!H:H,Assessment!E:E)="yes"),"Yes","No")</f>
        <v>#N/A</v>
      </c>
      <c r="B51" s="40" t="s">
        <v>7829</v>
      </c>
      <c r="C51" s="40" t="s">
        <v>7835</v>
      </c>
      <c r="D51" s="40" t="s">
        <v>7892</v>
      </c>
      <c r="E51" s="40" t="s">
        <v>7835</v>
      </c>
      <c r="F51" s="44"/>
    </row>
    <row r="52" spans="1:9" x14ac:dyDescent="0.35">
      <c r="A52" s="40" t="e">
        <f>IF(OR(_xlfn.XLOOKUP("0724.07a3Organizational.4",Assessment!H:H,Assessment!E:E)="yes"),"Yes","No")</f>
        <v>#N/A</v>
      </c>
      <c r="B52" s="40" t="s">
        <v>7829</v>
      </c>
      <c r="C52" s="40" t="s">
        <v>7835</v>
      </c>
      <c r="D52" s="40" t="s">
        <v>7893</v>
      </c>
      <c r="E52" s="40" t="s">
        <v>7835</v>
      </c>
      <c r="F52" s="44"/>
    </row>
    <row r="53" spans="1:9" x14ac:dyDescent="0.35">
      <c r="A53" s="40" t="e">
        <f>IF(OR(_xlfn.XLOOKUP("0201.09j1Organizational.124",Assessment!H:H,Assessment!E:E)="yes",_xlfn.XLOOKUP("0217.09j1Organizational.7",Assessment!H:H,Assessment!E:E)="yes",_xlfn.XLOOKUP("0226.09k1Organizational.2",Assessment!H:H,Assessment!E:E)="yes",_xlfn.XLOOKUP("0265.09m1Organizational.2",Assessment!H:H,Assessment!E:E)="yes",_xlfn.XLOOKUP("0429.01x1Organizational.5",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11190.01t1System.2",Assessment!H:H,Assessment!E:E)="yes",_xlfn.XLOOKUP("0202.09j2Organizational.8",Assessment!H:H,Assessment!E:E)="yes",_xlfn.XLOOKUP("1022.01dMASSSystem.1",Assessment!H:H,Assessment!E:E)="yes",_xlfn.XLOOKUP("0301.09o2Organizational.2",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0427.01x2Organizational.8",Assessment!H:H,Assessment!E:E)="yes",_xlfn.XLOOKUP("1138.06e2Organizational.12",Assessment!H:H,Assessment!E:E)="yes",_xlfn.XLOOKUP("0322.09u2Organizational.12",Assessment!H:H,Assessment!E:E)="yes",_xlfn.XLOOKUP("0323.09u2Organizational.3",Assessment!H:H,Assessment!E:E)="yes"),"Yes","No")</f>
        <v>#N/A</v>
      </c>
      <c r="B53" s="40" t="s">
        <v>7829</v>
      </c>
      <c r="C53" s="40" t="s">
        <v>7835</v>
      </c>
      <c r="D53" s="40" t="s">
        <v>7894</v>
      </c>
      <c r="E53" s="40" t="s">
        <v>7835</v>
      </c>
      <c r="F53" s="44"/>
      <c r="H53" s="58" t="s">
        <v>7889</v>
      </c>
    </row>
    <row r="54" spans="1:9" x14ac:dyDescent="0.35">
      <c r="A54" s="40" t="e">
        <f>IF(OR(_xlfn.XLOOKUP("xyz",Assessment!H:H,Assessment!E:E)="yes"),"Yes","No")</f>
        <v>#N/A</v>
      </c>
      <c r="B54" s="40" t="s">
        <v>7829</v>
      </c>
      <c r="C54" s="40" t="s">
        <v>7835</v>
      </c>
      <c r="D54" s="40" t="s">
        <v>7895</v>
      </c>
      <c r="E54" s="40" t="s">
        <v>7835</v>
      </c>
      <c r="F54" s="44"/>
    </row>
    <row r="55" spans="1:9" x14ac:dyDescent="0.35">
      <c r="A55" s="40" t="e">
        <f>IF(OR(_xlfn.XLOOKUP("0506.09m1Organizational.12",Assessment!H:H,Assessment!E:E)="yes",_xlfn.XLOOKUP("0506.09m1Organizational.11",Assessment!H:H,Assessment!E:E)="yes"),"Yes","No")</f>
        <v>#N/A</v>
      </c>
      <c r="B55" s="40" t="s">
        <v>7829</v>
      </c>
      <c r="C55" s="40" t="s">
        <v>7835</v>
      </c>
      <c r="D55" s="40" t="s">
        <v>7896</v>
      </c>
      <c r="E55" s="40" t="s">
        <v>7835</v>
      </c>
      <c r="F55" s="44"/>
    </row>
    <row r="56" spans="1:9" x14ac:dyDescent="0.35">
      <c r="A56" s="40" t="e">
        <f>IF(OR(_xlfn.XLOOKUP("0936.09w1Organizational.1",Assessment!H:H,Assessment!E:E)="yes",_xlfn.XLOOKUP("18122.08k1Organizational.1",Assessment!H:H,Assessment!E:E)="yes",_xlfn.XLOOKUP("0811.01n2Organizational.6",Assessment!H:H,Assessment!E:E)="yes",_xlfn.XLOOKUP("0812.01n2Organizational.8",Assessment!H:H,Assessment!E:E)="yes"),"Yes","No")</f>
        <v>#N/A</v>
      </c>
      <c r="B56" s="40" t="s">
        <v>7829</v>
      </c>
      <c r="C56" s="40" t="s">
        <v>7835</v>
      </c>
      <c r="D56" s="40" t="s">
        <v>7897</v>
      </c>
      <c r="E56" s="40" t="s">
        <v>7835</v>
      </c>
      <c r="F56" s="44"/>
    </row>
    <row r="57" spans="1:9" x14ac:dyDescent="0.25">
      <c r="A57" s="40" t="e">
        <f>IF(OR(_xlfn.XLOOKUP("0201.09j1Organizational.124",Assessment!H:H,Assessment!E:E)="yes",_xlfn.XLOOKUP("0217.09j1Organizational.7",Assessment!H:H,Assessment!E:E)="yes",_xlfn.XLOOKUP("0226.09k1Organizational.2",Assessment!H:H,Assessment!E:E)="yes",_xlfn.XLOOKUP("0265.09m1Organizational.2",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1295.09af1System.2",Assessment!H:H,Assessment!E:E)="yes",_xlfn.XLOOKUP("0202.09j2Organizational.8",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1138.06e2Organizational.12",Assessment!H:H,Assessment!E:E)="yes"),"Yes","No")</f>
        <v>#N/A</v>
      </c>
      <c r="B57" s="40" t="s">
        <v>7829</v>
      </c>
      <c r="C57" s="40" t="s">
        <v>7835</v>
      </c>
      <c r="D57" s="40" t="s">
        <v>7898</v>
      </c>
      <c r="E57" s="40" t="s">
        <v>7835</v>
      </c>
      <c r="F57" s="27"/>
      <c r="H57" s="58" t="s">
        <v>7899</v>
      </c>
    </row>
    <row r="58" spans="1:9" x14ac:dyDescent="0.35">
      <c r="A58" s="40" t="e">
        <f>IF(OR(_xlfn.XLOOKUP("xyz",Assessment!H:H,Assessment!E:E)="yes"),"Yes","No")</f>
        <v>#N/A</v>
      </c>
      <c r="B58" s="40" t="s">
        <v>7829</v>
      </c>
      <c r="C58" s="40" t="s">
        <v>7835</v>
      </c>
      <c r="D58" s="40" t="s">
        <v>7900</v>
      </c>
      <c r="E58" s="40" t="s">
        <v>7835</v>
      </c>
      <c r="F58" s="44"/>
    </row>
    <row r="59" spans="1:9" x14ac:dyDescent="0.35">
      <c r="A59" s="40" t="e">
        <f>IF(OR(,_xlfn.XLOOKUP("11180.01c3System.6",Assessment!H:H,Assessment!E:E)="yes"),"Yes","No")</f>
        <v>#N/A</v>
      </c>
      <c r="B59" s="40" t="s">
        <v>7829</v>
      </c>
      <c r="C59" s="40" t="s">
        <v>7835</v>
      </c>
      <c r="D59" s="40" t="s">
        <v>7901</v>
      </c>
      <c r="E59" s="40" t="s">
        <v>7835</v>
      </c>
      <c r="F59" s="44"/>
    </row>
    <row r="60" spans="1:9" x14ac:dyDescent="0.35">
      <c r="A60" s="40" t="e">
        <f>IF(OR(,_xlfn.XLOOKUP("0209.09m3Organizational.7",Assessment!H:H,Assessment!E:E)="yes"),"Yes","No")</f>
        <v>#N/A</v>
      </c>
      <c r="B60" s="40" t="s">
        <v>7829</v>
      </c>
      <c r="C60" s="40" t="s">
        <v>7835</v>
      </c>
      <c r="D60" s="40" t="s">
        <v>7902</v>
      </c>
      <c r="E60" s="40" t="s">
        <v>7835</v>
      </c>
      <c r="F60" s="44"/>
    </row>
    <row r="61" spans="1:9" x14ac:dyDescent="0.25">
      <c r="A61" s="40" t="e">
        <f>IF(OR(_xlfn.XLOOKUP("0201.09j1Organizational.124",Assessment!H:H,Assessment!E:E)="yes",_xlfn.XLOOKUP("0217.09j1Organizational.7",Assessment!H:H,Assessment!E:E)="yes",_xlfn.XLOOKUP("0226.09k1Organizational.2",Assessment!H:H,Assessment!E:E)="yes",_xlfn.XLOOKUP("0265.09m1Organizational.2",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0202.09j2Organizational.8",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1138.06e2Organizational.12",Assessment!H:H,Assessment!E:E)="yes"),"Yes","No")</f>
        <v>#N/A</v>
      </c>
      <c r="B61" s="40" t="s">
        <v>7829</v>
      </c>
      <c r="C61" s="40" t="s">
        <v>7835</v>
      </c>
      <c r="D61" s="40" t="s">
        <v>7903</v>
      </c>
      <c r="E61" s="40" t="s">
        <v>7835</v>
      </c>
      <c r="F61" s="27"/>
      <c r="H61" s="58" t="s">
        <v>7899</v>
      </c>
    </row>
    <row r="62" spans="1:9" x14ac:dyDescent="0.35">
      <c r="A62" s="40" t="e">
        <f>IF(OR(_xlfn.XLOOKUP("0835.09n1Organizational.1",Assessment!H:H,Assessment!E:E)="yes",_xlfn.XLOOKUP("0885.09n2Organizational.3",Assessment!H:H,Assessment!E:E)="yes",_xlfn.XLOOKUP("1413.09f2System.3",Assessment!H:H,Assessment!E:E)="yes"),"Yes","No")</f>
        <v>#N/A</v>
      </c>
      <c r="B62" s="40" t="s">
        <v>7829</v>
      </c>
      <c r="C62" s="40" t="s">
        <v>7835</v>
      </c>
      <c r="D62" s="40" t="s">
        <v>7904</v>
      </c>
      <c r="E62" s="40" t="s">
        <v>7835</v>
      </c>
      <c r="F62" s="44"/>
      <c r="I62" s="40" t="s">
        <v>7905</v>
      </c>
    </row>
    <row r="63" spans="1:9" x14ac:dyDescent="0.35">
      <c r="A63" s="40" t="e">
        <f>IF(OR(_xlfn.XLOOKUP("xyz",Assessment!H:H,Assessment!E:E)="yes"),"Yes","No")</f>
        <v>#N/A</v>
      </c>
      <c r="B63" s="40" t="s">
        <v>7829</v>
      </c>
      <c r="C63" s="40" t="s">
        <v>7835</v>
      </c>
      <c r="D63" s="40" t="s">
        <v>7906</v>
      </c>
      <c r="E63" s="40" t="s">
        <v>7835</v>
      </c>
      <c r="F63" s="44"/>
    </row>
    <row r="64" spans="1:9" x14ac:dyDescent="0.35">
      <c r="A64" s="40" t="e">
        <f>IF(OR(,_xlfn.XLOOKUP("0670.10hCSPSystem.2",Assessment!H:H,Assessment!E:E)="yes",_xlfn.XLOOKUP("0960.09sCSPOrganizational.1",Assessment!H:H,Assessment!E:E)="yes",_xlfn.XLOOKUP("1421.05j2Organizational.12",Assessment!H:H,Assessment!E:E)="yes",_xlfn.XLOOKUP("1452.05kCSPOrganizational.1",Assessment!H:H,Assessment!E:E)="yes",_xlfn.XLOOKUP("1453.05kCSPOrganizational.2",Assessment!H:H,Assessment!E:E)="yes",_xlfn.XLOOKUP("1454.05kCSPOrganizational.3",Assessment!H:H,Assessment!E:E)="yes"),"Yes","No")</f>
        <v>#N/A</v>
      </c>
      <c r="B64" s="40" t="s">
        <v>7829</v>
      </c>
      <c r="C64" s="40" t="s">
        <v>7835</v>
      </c>
      <c r="D64" s="40" t="s">
        <v>7907</v>
      </c>
      <c r="E64" s="40" t="s">
        <v>7835</v>
      </c>
      <c r="F64" s="44"/>
      <c r="H64" s="40" t="s">
        <v>7908</v>
      </c>
    </row>
    <row r="65" spans="1:9" x14ac:dyDescent="0.25">
      <c r="A65" s="40" t="e">
        <f>IF(OR(_xlfn.XLOOKUP("0939.09x1Organizational.2",Assessment!H:H,Assessment!E:E)="yes"),"Yes","No")</f>
        <v>#N/A</v>
      </c>
      <c r="B65" s="40" t="s">
        <v>7829</v>
      </c>
      <c r="C65" s="40" t="s">
        <v>7835</v>
      </c>
      <c r="D65" s="40" t="s">
        <v>7909</v>
      </c>
      <c r="E65" s="40" t="s">
        <v>7835</v>
      </c>
      <c r="F65" s="27"/>
    </row>
    <row r="66" spans="1:9" x14ac:dyDescent="0.35">
      <c r="A66" s="40" t="e">
        <f>IF(OR(_xlfn.XLOOKUP("xyz",Assessment!H:H,Assessment!E:E)="yes"),"Yes","No")</f>
        <v>#N/A</v>
      </c>
      <c r="B66" s="40" t="s">
        <v>7829</v>
      </c>
      <c r="C66" s="40" t="s">
        <v>7835</v>
      </c>
      <c r="D66" s="40" t="s">
        <v>7910</v>
      </c>
      <c r="E66" s="40" t="s">
        <v>7835</v>
      </c>
      <c r="F66" s="44"/>
    </row>
    <row r="67" spans="1:9" x14ac:dyDescent="0.35">
      <c r="A67" s="40" t="e">
        <f>IF(OR(_xlfn.XLOOKUP("xyz",Assessment!H:H,Assessment!E:E)="yes"),"Yes","No")</f>
        <v>#N/A</v>
      </c>
      <c r="B67" s="40" t="s">
        <v>7829</v>
      </c>
      <c r="C67" s="40" t="s">
        <v>7835</v>
      </c>
      <c r="D67" s="40" t="s">
        <v>7911</v>
      </c>
      <c r="E67" s="40" t="s">
        <v>7835</v>
      </c>
      <c r="F67" s="44"/>
    </row>
    <row r="68" spans="1:9" x14ac:dyDescent="0.35">
      <c r="A68" s="40" t="e">
        <f>IF(OR(,_xlfn.XLOOKUP("1783.10a2Organizational.13",Assessment!H:H,Assessment!E:E)="yes"),"Yes","No")</f>
        <v>#N/A</v>
      </c>
      <c r="B68" s="40" t="s">
        <v>7829</v>
      </c>
      <c r="C68" s="40" t="s">
        <v>7835</v>
      </c>
      <c r="D68" s="40" t="s">
        <v>7912</v>
      </c>
      <c r="E68" s="40" t="s">
        <v>7835</v>
      </c>
      <c r="F68" s="44"/>
    </row>
    <row r="69" spans="1:9" x14ac:dyDescent="0.35">
      <c r="A69" s="40" t="e">
        <f>IF(OR(_xlfn.XLOOKUP("xyz",Assessment!H:H,Assessment!E:E)="yes"),"Yes","No")</f>
        <v>#N/A</v>
      </c>
      <c r="B69" s="40" t="s">
        <v>7829</v>
      </c>
      <c r="C69" s="40" t="s">
        <v>7835</v>
      </c>
      <c r="D69" s="40" t="s">
        <v>7913</v>
      </c>
      <c r="E69" s="40" t="s">
        <v>7835</v>
      </c>
      <c r="F69" s="44"/>
    </row>
    <row r="70" spans="1:9" x14ac:dyDescent="0.35">
      <c r="A70" s="40" t="e">
        <f>IF(OR(_xlfn.XLOOKUP("1416.10l1Organizational.1",Assessment!H:H,Assessment!E:E)="yes",_xlfn.XLOOKUP("0640.10k2Organizational.1012",Assessment!H:H,Assessment!E:E)="yes",_xlfn.XLOOKUP("1417.10l2Organizational.1",Assessment!H:H,Assessment!E:E)="yes"),"Yes","No")</f>
        <v>#N/A</v>
      </c>
      <c r="B70" s="40" t="s">
        <v>7829</v>
      </c>
      <c r="C70" s="40" t="s">
        <v>7835</v>
      </c>
      <c r="D70" s="40" t="s">
        <v>7914</v>
      </c>
      <c r="E70" s="40" t="s">
        <v>7835</v>
      </c>
      <c r="F70" s="44"/>
      <c r="I70" s="40" t="s">
        <v>7915</v>
      </c>
    </row>
    <row r="71" spans="1:9" x14ac:dyDescent="0.25">
      <c r="A71" s="40" t="e">
        <f>IF(OR(,_xlfn.XLOOKUP("0640.10k2Organizational.1012",Assessment!H:H,Assessment!E:E)="yes"),"Yes","No")</f>
        <v>#N/A</v>
      </c>
      <c r="B71" s="40" t="s">
        <v>7829</v>
      </c>
      <c r="C71" s="40" t="s">
        <v>7835</v>
      </c>
      <c r="D71" s="40" t="s">
        <v>7916</v>
      </c>
      <c r="E71" s="40" t="s">
        <v>7835</v>
      </c>
      <c r="F71" s="27"/>
    </row>
    <row r="72" spans="1:9" x14ac:dyDescent="0.35">
      <c r="A72" s="40" t="e">
        <f>IF(OR(_xlfn.XLOOKUP("1444.09t1Organizational.12",Assessment!H:H,Assessment!E:E)="yes",_xlfn.XLOOKUP("19547.13rHIPAAOrganizational.2",Assessment!H:H,Assessment!E:E)="yes",_xlfn.XLOOKUP("0836.09n2Organizational.1",Assessment!H:H,Assessment!E:E)="yes",_xlfn.XLOOKUP("0886.09n2Organizational.4",Assessment!H:H,Assessment!E:E)="yes",_xlfn.XLOOKUP("0887.09n2Organizational.5",Assessment!H:H,Assessment!E:E)="yes",_xlfn.XLOOKUP("0837.09n2Organizational.2",Assessment!H:H,Assessment!E:E)="yes",_xlfn.XLOOKUP("0888.09n2Organizational.6",Assessment!H:H,Assessment!E:E)="yes",_xlfn.XLOOKUP("0902.09s2Organizational.13",Assessment!H:H,Assessment!E:E)="yes",_xlfn.XLOOKUP("1429.05k2Organizational.4",Assessment!H:H,Assessment!E:E)="yes",_xlfn.XLOOKUP("1445.09t2Organizational.1",Assessment!H:H,Assessment!E:E)="yes",_xlfn.XLOOKUP("19546.13rHIPAAOrganizational.1",Assessment!H:H,Assessment!E:E)="yes",_xlfn.XLOOKUP("0865.09m2Organizational.14",Assessment!H:H,Assessment!E:E)="yes",_xlfn.XLOOKUP("0901.09s2Organizational.5",Assessment!H:H,Assessment!E:E)="yes",_xlfn.XLOOKUP("0911.09s2Organizational.6",Assessment!H:H,Assessment!E:E)="yes",_xlfn.XLOOKUP("1402.05i2Organizational.4",Assessment!H:H,Assessment!E:E)="yes",_xlfn.XLOOKUP("1435.05kHIEOrganizational.1",Assessment!H:H,Assessment!E:E)="yes"),"Yes","No")</f>
        <v>#N/A</v>
      </c>
      <c r="B72" s="40" t="s">
        <v>7829</v>
      </c>
      <c r="C72" s="40" t="s">
        <v>7835</v>
      </c>
      <c r="D72" s="40" t="s">
        <v>7917</v>
      </c>
      <c r="E72" s="40" t="s">
        <v>7835</v>
      </c>
      <c r="F72" s="44"/>
    </row>
    <row r="73" spans="1:9" x14ac:dyDescent="0.35">
      <c r="A73" s="40" t="e">
        <f>IF(OR(_xlfn.XLOOKUP("1406.05k2Organizational.2",Assessment!H:H,Assessment!E:E)="yes",_xlfn.XLOOKUP("1406.05k2Organizational.3",Assessment!H:H,Assessment!E:E)="yes",_xlfn.XLOOKUP("1408.09e1System.1",Assessment!H:H,Assessment!E:E)="yes",_xlfn.XLOOKUP("1411.09f1System.1",Assessment!H:H,Assessment!E:E)="yes",_xlfn.XLOOKUP("1428.05k1Organizational.2",Assessment!H:H,Assessment!E:E)="yes",_xlfn.XLOOKUP("1410.09e2System.23",Assessment!H:H,Assessment!E:E)="yes",_xlfn.XLOOKUP("1430.05k2Organizational.5",Assessment!H:H,Assessment!E:E)="yes",_xlfn.XLOOKUP("1442.09f2System.456",Assessment!H:H,Assessment!E:E)="yes",_xlfn.XLOOKUP("1402.05i2Organizational.4",Assessment!H:H,Assessment!E:E)="yes",_xlfn.XLOOKUP("1401.05i2Organizational.3",Assessment!H:H,Assessment!E:E)="yes",_xlfn.XLOOKUP("1404.05i3Organizational.1",Assessment!H:H,Assessment!E:E)="yes",_xlfn.XLOOKUP("1407.05k2Organizational.1",Assessment!H:H,Assessment!E:E)="yes",_xlfn.XLOOKUP("1418.05i2Organizational.5",Assessment!H:H,Assessment!E:E)="yes",_xlfn.XLOOKUP("1422.05j2Organizational.3",Assessment!H:H,Assessment!E:E)="yes",_xlfn.XLOOKUP("1450.05i2Organizational.2",Assessment!H:H,Assessment!E:E)="yes"),"Yes","No")</f>
        <v>#N/A</v>
      </c>
      <c r="B73" s="40" t="s">
        <v>7829</v>
      </c>
      <c r="C73" s="40" t="s">
        <v>7835</v>
      </c>
      <c r="D73" s="40" t="s">
        <v>7918</v>
      </c>
      <c r="E73" s="40" t="s">
        <v>7835</v>
      </c>
      <c r="F73" s="44"/>
      <c r="H73" s="40" t="s">
        <v>7919</v>
      </c>
      <c r="I73" s="40" t="s">
        <v>7919</v>
      </c>
    </row>
    <row r="74" spans="1:9" x14ac:dyDescent="0.35">
      <c r="A74" s="40" t="e">
        <f>IF(OR(_xlfn.XLOOKUP("xyz",Assessment!H:H,Assessment!E:E)="yes"),"Yes","No")</f>
        <v>#N/A</v>
      </c>
      <c r="B74" s="40" t="s">
        <v>7829</v>
      </c>
      <c r="C74" s="40" t="s">
        <v>7835</v>
      </c>
      <c r="D74" s="40" t="s">
        <v>7920</v>
      </c>
      <c r="E74" s="40" t="s">
        <v>7835</v>
      </c>
      <c r="F74" s="44"/>
    </row>
    <row r="75" spans="1:9" x14ac:dyDescent="0.25">
      <c r="A75" s="40" t="e">
        <f>IF(OR(_xlfn.XLOOKUP("xyz",Assessment!H:H,Assessment!E:E)="yes"),"Yes","No")</f>
        <v>#N/A</v>
      </c>
      <c r="B75" s="40" t="s">
        <v>7829</v>
      </c>
      <c r="C75" s="40" t="s">
        <v>7835</v>
      </c>
      <c r="D75" s="40" t="s">
        <v>7921</v>
      </c>
      <c r="E75" s="40" t="s">
        <v>7835</v>
      </c>
      <c r="F75" s="27"/>
    </row>
    <row r="76" spans="1:9" x14ac:dyDescent="0.35">
      <c r="A76" s="40" t="e">
        <f>IF(OR(_xlfn.XLOOKUP("15.11aHIPAAOrganizational.3",Assessment!H:H,Assessment!E:E)="yes",_xlfn.XLOOKUP("15.11aHIPAAOrganizational.4",Assessment!H:H,Assessment!E:E)="yes",_xlfn.XLOOKUP("15.11aHIPAAOrganizational.5",Assessment!H:H,Assessment!E:E)="yes",_xlfn.XLOOKUP("1510.11a2Organizational.47",Assessment!H:H,Assessment!E:E)="yes",_xlfn.XLOOKUP("1505.11a2Organizational.6",Assessment!H:H,Assessment!E:E)="yes",_xlfn.XLOOKUP("1523.11c3Organizational.24",Assessment!H:H,Assessment!E:E)="yes"),"Yes","No")</f>
        <v>#N/A</v>
      </c>
      <c r="B76" s="40" t="s">
        <v>7829</v>
      </c>
      <c r="C76" s="40" t="s">
        <v>7835</v>
      </c>
      <c r="D76" s="40" t="s">
        <v>7922</v>
      </c>
      <c r="E76" s="40" t="s">
        <v>7835</v>
      </c>
      <c r="F76" s="44"/>
    </row>
    <row r="77" spans="1:9" x14ac:dyDescent="0.25">
      <c r="A77" s="40" t="e">
        <f>IF(OR(_xlfn.XLOOKUP("1602.12c1Organizational.4567",Assessment!H:H,Assessment!E:E)="yes",_xlfn.XLOOKUP("1607.12c2Organizational.4",Assessment!H:H,Assessment!E:E)="yes",_xlfn.XLOOKUP("1608.12c2Organizational.5",Assessment!H:H,Assessment!E:E)="yes"),"Yes","No")</f>
        <v>#N/A</v>
      </c>
      <c r="B77" s="40" t="s">
        <v>7829</v>
      </c>
      <c r="C77" s="40" t="s">
        <v>7835</v>
      </c>
      <c r="D77" s="40" t="s">
        <v>7923</v>
      </c>
      <c r="E77" s="40" t="s">
        <v>7835</v>
      </c>
      <c r="F77" s="27"/>
    </row>
    <row r="78" spans="1:9" x14ac:dyDescent="0.25">
      <c r="A78" s="40" t="e">
        <f>IF(OR(_xlfn.XLOOKUP("1677.12e1Organizational.6",Assessment!H:H,Assessment!E:E)="yes",_xlfn.XLOOKUP("1680.12e2Organizational.2",Assessment!H:H,Assessment!E:E)="yes",_xlfn.XLOOKUP("1681.12e2Organizational.345",Assessment!H:H,Assessment!E:E)="yes",_xlfn.XLOOKUP("1674.12e2Organizational.7",Assessment!H:H,Assessment!E:E)="yes",_xlfn.XLOOKUP("1675.12e2Organizational.8",Assessment!H:H,Assessment!E:E)="yes",_xlfn.XLOOKUP("1676.12e2Organizational.9",Assessment!H:H,Assessment!E:E)="yes"),"Yes","No")</f>
        <v>#N/A</v>
      </c>
      <c r="B78" s="40" t="s">
        <v>7829</v>
      </c>
      <c r="C78" s="40" t="s">
        <v>7835</v>
      </c>
      <c r="D78" s="40" t="s">
        <v>7924</v>
      </c>
      <c r="E78" s="40" t="s">
        <v>7835</v>
      </c>
      <c r="F78" s="27"/>
    </row>
    <row r="79" spans="1:9" x14ac:dyDescent="0.35">
      <c r="A79" s="40" t="e">
        <f>IF(OR(_xlfn.XLOOKUP("0119.05a2Organizational.7",Assessment!H:H,Assessment!E:E)="yes",_xlfn.XLOOKUP("0123.05a2Organizational.4",Assessment!H:H,Assessment!E:E)="yes",_xlfn.XLOOKUP("1670.12d2Organizational.1",Assessment!H:H,Assessment!E:E)="yes"),"Yes","No")</f>
        <v>#N/A</v>
      </c>
      <c r="B79" s="40" t="s">
        <v>7829</v>
      </c>
      <c r="C79" s="40" t="s">
        <v>7835</v>
      </c>
      <c r="D79" s="40" t="s">
        <v>7925</v>
      </c>
      <c r="E79" s="40" t="s">
        <v>7835</v>
      </c>
      <c r="F79" s="44"/>
    </row>
    <row r="80" spans="1:9" x14ac:dyDescent="0.35">
      <c r="A80" s="40" t="e">
        <f>IF(OR(_xlfn.XLOOKUP("0120.05a2Organizational.8",Assessment!H:H,Assessment!E:E)="yes"),"Yes","No")</f>
        <v>#N/A</v>
      </c>
      <c r="B80" s="40" t="s">
        <v>7829</v>
      </c>
      <c r="C80" s="40" t="s">
        <v>7835</v>
      </c>
      <c r="D80" s="40" t="s">
        <v>7926</v>
      </c>
      <c r="E80" s="40" t="s">
        <v>7835</v>
      </c>
      <c r="F80" s="44"/>
    </row>
    <row r="81" spans="1:8" x14ac:dyDescent="0.35">
      <c r="A81" s="40" t="e">
        <f>IF(OR(_xlfn.XLOOKUP("xyz",Assessment!H:H,Assessment!E:E)="yes"),"Yes","No")</f>
        <v>#N/A</v>
      </c>
      <c r="B81" s="40" t="s">
        <v>7829</v>
      </c>
      <c r="C81" s="40" t="s">
        <v>7835</v>
      </c>
      <c r="D81" s="40" t="s">
        <v>7927</v>
      </c>
      <c r="E81" s="40" t="s">
        <v>7835</v>
      </c>
      <c r="F81" s="44"/>
    </row>
    <row r="82" spans="1:8" x14ac:dyDescent="0.35">
      <c r="A82" s="40" t="e">
        <f>IF(OR(_xlfn.XLOOKUP("1524.11aTexasOrganizational.4",Assessment!H:H,Assessment!E:E)="yes",_xlfn.XLOOKUP("1525.11a2Organizational.8",Assessment!H:H,Assessment!E:E)="yes"),"Yes","No")</f>
        <v>#N/A</v>
      </c>
      <c r="B82" s="40" t="s">
        <v>7829</v>
      </c>
      <c r="C82" s="40" t="s">
        <v>7835</v>
      </c>
      <c r="D82" s="40" t="s">
        <v>7928</v>
      </c>
      <c r="E82" s="40" t="s">
        <v>7835</v>
      </c>
      <c r="F82" s="44"/>
      <c r="H82" s="40" t="s">
        <v>7929</v>
      </c>
    </row>
    <row r="83" spans="1:8" x14ac:dyDescent="0.35">
      <c r="A83" s="40" t="e">
        <f>IF(OR(_xlfn.XLOOKUP("1524.11aTexasOrganizational.4",Assessment!H:H,Assessment!E:E)="yes",_xlfn.XLOOKUP("1525.11a2Organizational.8",Assessment!H:H,Assessment!E:E)="yes",_xlfn.XLOOKUP("0162.04b2Organizational.2",Assessment!H:H,Assessment!E:E)="yes"),"Yes","No")</f>
        <v>#N/A</v>
      </c>
      <c r="B83" s="40" t="s">
        <v>7829</v>
      </c>
      <c r="C83" s="40" t="s">
        <v>7835</v>
      </c>
      <c r="D83" s="40" t="s">
        <v>7930</v>
      </c>
      <c r="E83" s="40" t="s">
        <v>7835</v>
      </c>
      <c r="F83" s="44"/>
    </row>
    <row r="84" spans="1:8" x14ac:dyDescent="0.35">
      <c r="A84" s="40" t="e">
        <f>IF(OR(_xlfn.XLOOKUP("xyz",Assessment!H:H,Assessment!E:E)="yes"),"Yes","No")</f>
        <v>#N/A</v>
      </c>
      <c r="B84" s="40" t="s">
        <v>7829</v>
      </c>
      <c r="C84" s="40" t="s">
        <v>7835</v>
      </c>
      <c r="D84" s="40" t="s">
        <v>7931</v>
      </c>
      <c r="E84" s="40" t="s">
        <v>7835</v>
      </c>
      <c r="F84" s="44"/>
    </row>
    <row r="85" spans="1:8" x14ac:dyDescent="0.35">
      <c r="A85" s="40" t="e">
        <f>IF(OR(,_xlfn.XLOOKUP("19368.13f1Organizational.1",Assessment!H:H,Assessment!E:E)="yes"),"Yes","No")</f>
        <v>#N/A</v>
      </c>
      <c r="B85" s="40" t="s">
        <v>7829</v>
      </c>
      <c r="C85" s="40" t="s">
        <v>7835</v>
      </c>
      <c r="D85" s="40" t="s">
        <v>7932</v>
      </c>
      <c r="E85" s="40" t="s">
        <v>7835</v>
      </c>
      <c r="F85" s="44"/>
    </row>
    <row r="86" spans="1:8" x14ac:dyDescent="0.35">
      <c r="A86" s="40" t="e">
        <f>IF(OR(_xlfn.XLOOKUP("xyz",Assessment!H:H,Assessment!E:E)="yes"),"Yes","No")</f>
        <v>#N/A</v>
      </c>
      <c r="B86" s="40" t="s">
        <v>7829</v>
      </c>
      <c r="C86" s="40" t="s">
        <v>7835</v>
      </c>
      <c r="D86" s="40" t="s">
        <v>7933</v>
      </c>
      <c r="E86" s="40" t="s">
        <v>7835</v>
      </c>
      <c r="F86" s="44"/>
    </row>
    <row r="87" spans="1:8" x14ac:dyDescent="0.35">
      <c r="A87" s="40" t="e">
        <f>IF(OR(_xlfn.XLOOKUP("xyz",Assessment!H:H,Assessment!E:E)="yes"),"Yes","No")</f>
        <v>#N/A</v>
      </c>
      <c r="B87" s="40" t="s">
        <v>7829</v>
      </c>
      <c r="C87" s="40" t="s">
        <v>7835</v>
      </c>
      <c r="D87" s="40" t="s">
        <v>7934</v>
      </c>
      <c r="E87" s="40" t="s">
        <v>7835</v>
      </c>
      <c r="F87" s="44"/>
    </row>
    <row r="88" spans="1:8" x14ac:dyDescent="0.35">
      <c r="A88" s="40" t="e">
        <f>IF(OR(_xlfn.XLOOKUP("xyz",Assessment!H:H,Assessment!E:E)="yes"),"Yes","No")</f>
        <v>#N/A</v>
      </c>
      <c r="B88" s="40" t="s">
        <v>7829</v>
      </c>
      <c r="C88" s="40" t="s">
        <v>7835</v>
      </c>
      <c r="D88" s="40" t="s">
        <v>7935</v>
      </c>
      <c r="E88" s="40" t="s">
        <v>7835</v>
      </c>
      <c r="F88" s="44"/>
    </row>
    <row r="89" spans="1:8" x14ac:dyDescent="0.35">
      <c r="A89" s="40" t="e">
        <f>IF(OR(_xlfn.XLOOKUP("xyz",Assessment!H:H,Assessment!E:E)="yes"),"Yes","No")</f>
        <v>#N/A</v>
      </c>
      <c r="B89" s="40" t="s">
        <v>7829</v>
      </c>
      <c r="C89" s="40" t="s">
        <v>7835</v>
      </c>
      <c r="D89" s="40" t="s">
        <v>7936</v>
      </c>
      <c r="E89" s="40" t="s">
        <v>7835</v>
      </c>
      <c r="F89" s="44"/>
    </row>
    <row r="90" spans="1:8" x14ac:dyDescent="0.35">
      <c r="A90" s="40" t="e">
        <f>IF(OR(_xlfn.XLOOKUP("xyz",Assessment!H:H,Assessment!E:E)="yes"),"Yes","No")</f>
        <v>#N/A</v>
      </c>
      <c r="B90" s="40" t="s">
        <v>7829</v>
      </c>
      <c r="C90" s="40" t="s">
        <v>7835</v>
      </c>
      <c r="D90" s="40" t="s">
        <v>7937</v>
      </c>
      <c r="E90" s="40" t="s">
        <v>7835</v>
      </c>
      <c r="F90" s="44"/>
    </row>
    <row r="91" spans="1:8" x14ac:dyDescent="0.35">
      <c r="A91" s="40" t="e">
        <f>IF(OR(_xlfn.XLOOKUP("xyz",Assessment!H:H,Assessment!E:E)="yes"),"Yes","No")</f>
        <v>#N/A</v>
      </c>
      <c r="B91" s="40" t="s">
        <v>7829</v>
      </c>
      <c r="C91" s="40" t="s">
        <v>7835</v>
      </c>
      <c r="D91" s="40" t="s">
        <v>7938</v>
      </c>
      <c r="E91" s="40" t="s">
        <v>7835</v>
      </c>
      <c r="F91" s="44"/>
      <c r="H91" s="40" t="s">
        <v>7939</v>
      </c>
    </row>
    <row r="92" spans="1:8" x14ac:dyDescent="0.35">
      <c r="A92" s="40" t="e">
        <f>IF(OR(_xlfn.XLOOKUP("xyz",Assessment!H:H,Assessment!E:E)="yes"),"Yes","No")</f>
        <v>#N/A</v>
      </c>
      <c r="B92" s="40" t="s">
        <v>7829</v>
      </c>
      <c r="C92" s="40" t="s">
        <v>7835</v>
      </c>
      <c r="D92" s="40" t="s">
        <v>7940</v>
      </c>
      <c r="E92" s="40" t="s">
        <v>7835</v>
      </c>
      <c r="F92" s="44"/>
    </row>
    <row r="93" spans="1:8" x14ac:dyDescent="0.35">
      <c r="A93" s="40" t="e">
        <f>IF(OR(_xlfn.XLOOKUP("1913.07eTexasOrganizational.1",Assessment!H:H,Assessment!E:E)="yes"),"Yes","No")</f>
        <v>#N/A</v>
      </c>
      <c r="B93" s="40" t="s">
        <v>7829</v>
      </c>
      <c r="C93" s="40" t="s">
        <v>7835</v>
      </c>
      <c r="D93" s="40" t="s">
        <v>7941</v>
      </c>
      <c r="E93" s="40" t="s">
        <v>7835</v>
      </c>
      <c r="F93" s="44"/>
    </row>
    <row r="94" spans="1:8" x14ac:dyDescent="0.35">
      <c r="A94" s="40" t="e">
        <f>IF(OR(_xlfn.XLOOKUP("xyz",Assessment!H:H,Assessment!E:E)="yes"),"Yes","No")</f>
        <v>#N/A</v>
      </c>
      <c r="B94" s="40" t="s">
        <v>7829</v>
      </c>
      <c r="C94" s="40" t="s">
        <v>7835</v>
      </c>
      <c r="D94" s="40" t="s">
        <v>7942</v>
      </c>
      <c r="E94" s="40" t="s">
        <v>7835</v>
      </c>
      <c r="F94" s="44"/>
    </row>
    <row r="95" spans="1:8" x14ac:dyDescent="0.35">
      <c r="A95" s="40" t="e">
        <f>IF(OR(_xlfn.XLOOKUP("xyz",Assessment!H:H,Assessment!E:E)="yes"),"Yes","No")</f>
        <v>#N/A</v>
      </c>
      <c r="B95" s="40" t="s">
        <v>7829</v>
      </c>
      <c r="C95" s="40" t="s">
        <v>7835</v>
      </c>
      <c r="D95" s="40" t="s">
        <v>7943</v>
      </c>
      <c r="E95" s="40" t="s">
        <v>7835</v>
      </c>
      <c r="F95" s="44"/>
    </row>
    <row r="96" spans="1:8" x14ac:dyDescent="0.35">
      <c r="A96" s="40" t="e">
        <f>IF(OR(_xlfn.XLOOKUP("xyz",Assessment!H:H,Assessment!E:E)="yes"),"Yes","No")</f>
        <v>#N/A</v>
      </c>
      <c r="B96" s="40" t="s">
        <v>7829</v>
      </c>
      <c r="C96" s="40" t="s">
        <v>7835</v>
      </c>
      <c r="D96" s="40" t="s">
        <v>7944</v>
      </c>
      <c r="E96" s="40" t="s">
        <v>7835</v>
      </c>
      <c r="F96" s="44"/>
    </row>
    <row r="97" spans="1:6" x14ac:dyDescent="0.35">
      <c r="A97" s="40" t="e">
        <f>IF(OR(_xlfn.XLOOKUP("xyz",Assessment!H:H,Assessment!E:E)="yes"),"Yes","No")</f>
        <v>#N/A</v>
      </c>
      <c r="B97" s="40" t="s">
        <v>7829</v>
      </c>
      <c r="C97" s="40" t="s">
        <v>7835</v>
      </c>
      <c r="D97" s="40" t="s">
        <v>7945</v>
      </c>
      <c r="E97" s="40" t="s">
        <v>7835</v>
      </c>
      <c r="F97" s="44"/>
    </row>
    <row r="98" spans="1:6" x14ac:dyDescent="0.35">
      <c r="A98" s="40" t="e">
        <f>IF(OR(_xlfn.XLOOKUP("xyz",Assessment!H:H,Assessment!E:E)="yes"),"Yes","No")</f>
        <v>#N/A</v>
      </c>
      <c r="B98" s="40" t="s">
        <v>7829</v>
      </c>
      <c r="C98" s="40" t="s">
        <v>7835</v>
      </c>
      <c r="D98" s="40" t="s">
        <v>7946</v>
      </c>
      <c r="E98" s="40" t="s">
        <v>7835</v>
      </c>
      <c r="F98" s="44"/>
    </row>
    <row r="99" spans="1:6" x14ac:dyDescent="0.35">
      <c r="A99" s="40" t="e">
        <f>IF(OR(_xlfn.XLOOKUP("xyz",Assessment!H:H,Assessment!E:E)="yes"),"Yes","No")</f>
        <v>#N/A</v>
      </c>
      <c r="B99" s="40" t="s">
        <v>7829</v>
      </c>
      <c r="C99" s="40" t="s">
        <v>7835</v>
      </c>
      <c r="D99" s="40" t="s">
        <v>7947</v>
      </c>
      <c r="E99" s="40" t="s">
        <v>7835</v>
      </c>
      <c r="F99" s="44"/>
    </row>
    <row r="100" spans="1:6" x14ac:dyDescent="0.35">
      <c r="A100" s="40" t="e">
        <f>IF(OR(_xlfn.XLOOKUP("xyz",Assessment!H:H,Assessment!E:E)="yes"),"Yes","No")</f>
        <v>#N/A</v>
      </c>
      <c r="B100" s="40" t="s">
        <v>7829</v>
      </c>
      <c r="C100" s="40" t="s">
        <v>7835</v>
      </c>
      <c r="D100" s="40" t="s">
        <v>7948</v>
      </c>
      <c r="E100" s="40" t="s">
        <v>7835</v>
      </c>
      <c r="F100" s="44"/>
    </row>
    <row r="101" spans="1:6" x14ac:dyDescent="0.35">
      <c r="A101" s="40" t="e">
        <f>IF(OR(,_xlfn.XLOOKUP("1501.02f2Organizational.2",Assessment!H:H,Assessment!E:E)="yes"),"Yes","No")</f>
        <v>#N/A</v>
      </c>
      <c r="B101" s="40" t="s">
        <v>7829</v>
      </c>
      <c r="C101" s="40" t="s">
        <v>7835</v>
      </c>
      <c r="D101" s="40" t="s">
        <v>7949</v>
      </c>
      <c r="E101" s="40" t="s">
        <v>7835</v>
      </c>
      <c r="F101" s="44"/>
    </row>
    <row r="102" spans="1:6" x14ac:dyDescent="0.35">
      <c r="A102" s="40" t="e">
        <f>IF(OR(_xlfn.XLOOKUP("xyz",Assessment!H:H,Assessment!E:E)="yes"),"Yes","No")</f>
        <v>#N/A</v>
      </c>
      <c r="B102" s="40" t="s">
        <v>7829</v>
      </c>
      <c r="C102" s="40" t="s">
        <v>7835</v>
      </c>
      <c r="D102" s="40" t="s">
        <v>7950</v>
      </c>
      <c r="E102" s="40" t="s">
        <v>7835</v>
      </c>
      <c r="F102" s="44"/>
    </row>
    <row r="103" spans="1:6" x14ac:dyDescent="0.35">
      <c r="A103" s="40" t="e">
        <f>IF(OR(_xlfn.XLOOKUP("xyz",Assessment!H:H,Assessment!E:E)="yes"),"Yes","No")</f>
        <v>#N/A</v>
      </c>
      <c r="B103" s="40" t="s">
        <v>7829</v>
      </c>
      <c r="C103" s="40" t="s">
        <v>7835</v>
      </c>
      <c r="D103" s="40" t="s">
        <v>7951</v>
      </c>
      <c r="E103" s="40" t="s">
        <v>7835</v>
      </c>
      <c r="F103" s="44"/>
    </row>
    <row r="104" spans="1:6" x14ac:dyDescent="0.35">
      <c r="A104" s="40" t="e">
        <f>IF(OR(_xlfn.XLOOKUP("xyz",Assessment!H:H,Assessment!E:E)="yes"),"Yes","No")</f>
        <v>#N/A</v>
      </c>
      <c r="B104" s="40" t="s">
        <v>7829</v>
      </c>
      <c r="C104" s="40" t="s">
        <v>7835</v>
      </c>
      <c r="D104" s="40" t="s">
        <v>7952</v>
      </c>
      <c r="E104" s="40" t="s">
        <v>7835</v>
      </c>
      <c r="F104" s="44"/>
    </row>
    <row r="105" spans="1:6" x14ac:dyDescent="0.35">
      <c r="A105" s="40" t="e">
        <f>IF(OR(_xlfn.XLOOKUP("xyz",Assessment!H:H,Assessment!E:E)="yes"),"Yes","No")</f>
        <v>#N/A</v>
      </c>
      <c r="B105" s="40" t="s">
        <v>7829</v>
      </c>
      <c r="C105" s="40" t="s">
        <v>7835</v>
      </c>
      <c r="D105" s="40" t="s">
        <v>7953</v>
      </c>
      <c r="E105" s="40" t="s">
        <v>7835</v>
      </c>
      <c r="F105" s="44"/>
    </row>
    <row r="106" spans="1:6" x14ac:dyDescent="0.35">
      <c r="A106" s="40" t="e">
        <f>IF(OR(_xlfn.XLOOKUP("xyz",Assessment!H:H,Assessment!E:E)="yes"),"Yes","No")</f>
        <v>#N/A</v>
      </c>
      <c r="B106" s="40" t="s">
        <v>7829</v>
      </c>
      <c r="C106" s="40" t="s">
        <v>7835</v>
      </c>
      <c r="D106" s="40" t="s">
        <v>7954</v>
      </c>
      <c r="E106" s="40" t="s">
        <v>7835</v>
      </c>
      <c r="F106" s="44"/>
    </row>
    <row r="107" spans="1:6" x14ac:dyDescent="0.35">
      <c r="A107" s="40" t="e">
        <f>IF(OR(_xlfn.XLOOKUP("xyz",Assessment!H:H,Assessment!E:E)="yes"),"Yes","No")</f>
        <v>#N/A</v>
      </c>
      <c r="B107" s="40" t="s">
        <v>7829</v>
      </c>
      <c r="C107" s="40" t="s">
        <v>7835</v>
      </c>
      <c r="D107" s="40" t="s">
        <v>7955</v>
      </c>
      <c r="E107" s="40" t="s">
        <v>7835</v>
      </c>
      <c r="F107" s="44"/>
    </row>
    <row r="108" spans="1:6" x14ac:dyDescent="0.35">
      <c r="A108" s="40" t="e">
        <f>IF(OR(_xlfn.XLOOKUP("xyz",Assessment!H:H,Assessment!E:E)="yes"),"Yes","No")</f>
        <v>#N/A</v>
      </c>
      <c r="B108" s="40" t="s">
        <v>7829</v>
      </c>
      <c r="C108" s="40" t="s">
        <v>7835</v>
      </c>
      <c r="D108" s="40" t="s">
        <v>7956</v>
      </c>
      <c r="E108" s="40" t="s">
        <v>7835</v>
      </c>
      <c r="F108" s="44"/>
    </row>
    <row r="109" spans="1:6" x14ac:dyDescent="0.35">
      <c r="A109" s="40" t="e">
        <f>IF(OR(_xlfn.XLOOKUP("19379.13fHIPAAOrganizational.4",Assessment!H:H,Assessment!E:E)="yes",_xlfn.XLOOKUP("19441.13kHIPAAOrganizational.13",Assessment!H:H,Assessment!E:E)="yes",_xlfn.XLOOKUP("1902.06d2Organizational.4",Assessment!H:H,Assessment!E:E)="yes",_xlfn.XLOOKUP("19439.13kHIPAAOrganizational.11",Assessment!H:H,Assessment!E:E)="yes",_xlfn.XLOOKUP("19440.13kHIPAAOrganizational.12",Assessment!H:H,Assessment!E:E)="yes",_xlfn.XLOOKUP("19612.13kHIPAAOrganizational.25",Assessment!H:H,Assessment!E:E)="yes",_xlfn.XLOOKUP("19483.13kTexasOrganizational.26",Assessment!H:H,Assessment!E:E)="yes",_xlfn.XLOOKUP("1210.09aa3System.3",Assessment!H:H,Assessment!E:E)="yes"),"Yes","No")</f>
        <v>#N/A</v>
      </c>
      <c r="B109" s="40" t="s">
        <v>7829</v>
      </c>
      <c r="C109" s="40" t="s">
        <v>7835</v>
      </c>
      <c r="D109" s="40" t="s">
        <v>7957</v>
      </c>
      <c r="E109" s="40" t="s">
        <v>7835</v>
      </c>
      <c r="F109" s="44"/>
    </row>
    <row r="110" spans="1:6" x14ac:dyDescent="0.35">
      <c r="A110" s="40" t="e">
        <f>IF(OR(_xlfn.XLOOKUP("xyz",Assessment!H:H,Assessment!E:E)="yes"),"Yes","No")</f>
        <v>#N/A</v>
      </c>
      <c r="B110" s="40" t="s">
        <v>7829</v>
      </c>
      <c r="C110" s="40" t="s">
        <v>7835</v>
      </c>
      <c r="D110" s="40" t="s">
        <v>7958</v>
      </c>
      <c r="E110" s="40" t="s">
        <v>7835</v>
      </c>
      <c r="F110" s="44"/>
    </row>
    <row r="111" spans="1:6" x14ac:dyDescent="0.25">
      <c r="A111" s="40" t="str">
        <f>IF(OR(_xlfn.XLOOKUP("1569.11e1Organizational.12",Assessment!H:H,Assessment!E:E)="yes"),"Yes","No")</f>
        <v>Yes</v>
      </c>
      <c r="B111" s="40" t="s">
        <v>7829</v>
      </c>
      <c r="C111" s="40" t="s">
        <v>7835</v>
      </c>
      <c r="D111" s="40" t="s">
        <v>7959</v>
      </c>
      <c r="E111" s="40" t="s">
        <v>7835</v>
      </c>
      <c r="F111" s="27"/>
    </row>
    <row r="112" spans="1:6" x14ac:dyDescent="0.25">
      <c r="A112" s="40" t="e">
        <f>IF(OR(_xlfn.XLOOKUP("1589.11c1Organizational.5",Assessment!H:H,Assessment!E:E)="yes"),"Yes","No")</f>
        <v>#N/A</v>
      </c>
      <c r="B112" s="40" t="s">
        <v>7829</v>
      </c>
      <c r="C112" s="40" t="s">
        <v>7835</v>
      </c>
      <c r="D112" s="40" t="s">
        <v>7960</v>
      </c>
      <c r="E112" s="40" t="s">
        <v>7835</v>
      </c>
      <c r="F112" s="27"/>
    </row>
    <row r="113" spans="1:9" x14ac:dyDescent="0.25">
      <c r="A113" s="40" t="e">
        <f>IF(OR(_xlfn.XLOOKUP("1535.11b1Organizational.12",Assessment!H:H,Assessment!E:E)="yes",_xlfn.XLOOKUP("1560.11d1Organizational.1",Assessment!H:H,Assessment!E:E)="yes",_xlfn.XLOOKUP("1561.11c1Organizational.4",Assessment!H:H,Assessment!E:E)="yes",_xlfn.XLOOKUP("1563.11d1Organizational.2",Assessment!H:H,Assessment!E:E)="yes",_xlfn.XLOOKUP("1505.11a2Organizational.6",Assessment!H:H,Assessment!E:E)="yes",_xlfn.XLOOKUP("1562.11d2Organizational.2",Assessment!H:H,Assessment!E:E)="yes",_xlfn.XLOOKUP("1523.11c3Organizational.24",Assessment!H:H,Assessment!E:E)="yes",_xlfn.XLOOKUP("1503.02f2Organizational.12",Assessment!H:H,Assessment!E:E)="yes",_xlfn.XLOOKUP("1515.11a3Organizational.3",Assessment!H:H,Assessment!E:E)="yes",_xlfn.XLOOKUP("1518.11c2Organizational.13",Assessment!H:H,Assessment!E:E)="yes",_xlfn.XLOOKUP("1522.11c3Organizational.13",Assessment!H:H,Assessment!E:E)="yes",_xlfn.XLOOKUP("1539.11c2Organizational.7",Assessment!H:H,Assessment!E:E)="yes",_xlfn.XLOOKUP("1577.11aCSPOrganizational.1",Assessment!H:H,Assessment!E:E)="yes"),"Yes","No")</f>
        <v>#N/A</v>
      </c>
      <c r="B113" s="40" t="s">
        <v>7829</v>
      </c>
      <c r="C113" s="40" t="s">
        <v>7835</v>
      </c>
      <c r="D113" s="40" t="s">
        <v>7961</v>
      </c>
      <c r="E113" s="40" t="s">
        <v>7835</v>
      </c>
      <c r="F113" s="27"/>
      <c r="H113" s="58" t="s">
        <v>7962</v>
      </c>
      <c r="I113" s="58" t="s">
        <v>7962</v>
      </c>
    </row>
    <row r="114" spans="1:9" x14ac:dyDescent="0.35">
      <c r="A114" s="40" t="e">
        <f>IF(OR(_xlfn.XLOOKUP("1710.03a2Organizational.2",Assessment!H:H,Assessment!E:E)="yes",_xlfn.XLOOKUP("1711.03a3Organizational.4",Assessment!H:H,Assessment!E:E)="yes"),"Yes","No")</f>
        <v>#N/A</v>
      </c>
      <c r="B114" s="40" t="s">
        <v>7829</v>
      </c>
      <c r="C114" s="40" t="s">
        <v>7835</v>
      </c>
      <c r="D114" s="40" t="s">
        <v>7963</v>
      </c>
      <c r="E114" s="40" t="s">
        <v>7835</v>
      </c>
      <c r="F114" s="44"/>
      <c r="H114" s="40" t="s">
        <v>7962</v>
      </c>
    </row>
    <row r="115" spans="1:9" x14ac:dyDescent="0.35">
      <c r="A115" s="40" t="e">
        <f>IF(OR(,_xlfn.XLOOKUP("1820.08j2Organizational.1",Assessment!H:H,Assessment!E:E)="yes",_xlfn.XLOOKUP("1821.08j2Organizational.3",Assessment!H:H,Assessment!E:E)="yes",_xlfn.XLOOKUP("1822.08j2Organizational.2",Assessment!H:H,Assessment!E:E)="yes",_xlfn.XLOOKUP("1823.08j3Organizational.12",Assessment!H:H,Assessment!E:E)="yes",_xlfn.XLOOKUP("1824.08j3Organizational.3",Assessment!H:H,Assessment!E:E)="yes"),"Yes","No")</f>
        <v>#N/A</v>
      </c>
      <c r="B115" s="40" t="s">
        <v>7829</v>
      </c>
      <c r="C115" s="40" t="s">
        <v>7835</v>
      </c>
      <c r="D115" s="40" t="s">
        <v>7964</v>
      </c>
      <c r="E115" s="40" t="s">
        <v>7835</v>
      </c>
      <c r="F115" s="44"/>
    </row>
    <row r="116" spans="1:9" x14ac:dyDescent="0.35">
      <c r="A116" s="40" t="e">
        <f>IF(OR(_xlfn.XLOOKUP("0301.09o2Organizational.2",Assessment!H:H,Assessment!E:E)="yes"),"Yes","No")</f>
        <v>#N/A</v>
      </c>
      <c r="B116" s="40" t="s">
        <v>7829</v>
      </c>
      <c r="C116" s="40" t="s">
        <v>7835</v>
      </c>
      <c r="D116" s="40" t="s">
        <v>7965</v>
      </c>
      <c r="E116" s="40" t="s">
        <v>7835</v>
      </c>
      <c r="F116" s="44"/>
      <c r="H116" s="40" t="s">
        <v>7966</v>
      </c>
    </row>
    <row r="117" spans="1:9" x14ac:dyDescent="0.35">
      <c r="A117" s="40" t="e">
        <f>IF(OR(,_xlfn.XLOOKUP("1783.10a2Organizational.13",Assessment!H:H,Assessment!E:E)="yes",_xlfn.XLOOKUP("1785.10a2Organizational.14",Assessment!H:H,Assessment!E:E)="yes",_xlfn.XLOOKUP("1796.10a2Organizational.15",Assessment!H:H,Assessment!E:E)="yes"),"Yes","No")</f>
        <v>#N/A</v>
      </c>
      <c r="B117" s="40" t="s">
        <v>7829</v>
      </c>
      <c r="C117" s="40" t="s">
        <v>7835</v>
      </c>
      <c r="D117" s="40" t="s">
        <v>7967</v>
      </c>
      <c r="E117" s="40" t="s">
        <v>7835</v>
      </c>
      <c r="F117" s="44"/>
    </row>
    <row r="118" spans="1:9" x14ac:dyDescent="0.35">
      <c r="A118" s="40" t="e">
        <f>IF(OR(_xlfn.XLOOKUP("xyz",Assessment!H:H,Assessment!E:E)="yes"),"Yes","No")</f>
        <v>#N/A</v>
      </c>
      <c r="B118" s="40" t="s">
        <v>7829</v>
      </c>
      <c r="C118" s="40" t="s">
        <v>7835</v>
      </c>
      <c r="D118" s="40" t="s">
        <v>7968</v>
      </c>
      <c r="E118" s="40" t="s">
        <v>7835</v>
      </c>
      <c r="F118" s="44"/>
    </row>
    <row r="119" spans="1:9" x14ac:dyDescent="0.35">
      <c r="A119" s="40" t="e">
        <f>IF(OR(_xlfn.XLOOKUP("0613.06h1Organizational.12",Assessment!H:H,Assessment!E:E)="yes",_xlfn.XLOOKUP("0709.10m1Organizational.1",Assessment!H:H,Assessment!E:E)="yes",_xlfn.XLOOKUP("0778.10m1Organizational.5",Assessment!H:H,Assessment!E:E)="yes",_xlfn.XLOOKUP("1708.03c2Organizational.12",Assessment!H:H,Assessment!E:E)="yes",_xlfn.XLOOKUP("0711.10m2Organizational.23",Assessment!H:H,Assessment!E:E)="yes",_xlfn.XLOOKUP("0790.10m3Organizational.22",Assessment!H:H,Assessment!E:E)="yes"),"Yes","No")</f>
        <v>#N/A</v>
      </c>
      <c r="B119" s="40" t="s">
        <v>7829</v>
      </c>
      <c r="C119" s="40" t="s">
        <v>7835</v>
      </c>
      <c r="D119" s="40" t="s">
        <v>7969</v>
      </c>
      <c r="E119" s="40" t="s">
        <v>7835</v>
      </c>
      <c r="F119" s="44"/>
      <c r="H119" s="40" t="s">
        <v>7970</v>
      </c>
    </row>
    <row r="120" spans="1:9" x14ac:dyDescent="0.35">
      <c r="A120" s="40" t="e">
        <f>IF(OR(_xlfn.XLOOKUP("xyz",Assessment!H:H,Assessment!E:E)="yes"),"Yes","No")</f>
        <v>#N/A</v>
      </c>
      <c r="B120" s="40" t="s">
        <v>7829</v>
      </c>
      <c r="C120" s="40" t="s">
        <v>7835</v>
      </c>
      <c r="D120" s="40" t="s">
        <v>7971</v>
      </c>
      <c r="E120" s="40" t="s">
        <v>7835</v>
      </c>
      <c r="F120" s="44"/>
    </row>
    <row r="121" spans="1:9" x14ac:dyDescent="0.35">
      <c r="A121" s="40" t="e">
        <f>IF(OR(_xlfn.XLOOKUP("1259.09ab2System.9",Assessment!H:H,Assessment!E:E)="yes",_xlfn.XLOOKUP("1331.02e3Organizational.4",Assessment!H:H,Assessment!E:E)="yes"),"Yes","No")</f>
        <v>#N/A</v>
      </c>
      <c r="B121" s="40" t="s">
        <v>7829</v>
      </c>
      <c r="C121" s="40" t="s">
        <v>7835</v>
      </c>
      <c r="D121" s="40" t="s">
        <v>7972</v>
      </c>
      <c r="E121" s="40" t="s">
        <v>7835</v>
      </c>
      <c r="F121" s="44"/>
      <c r="H121" s="40" t="s">
        <v>7962</v>
      </c>
    </row>
    <row r="122" spans="1:9" x14ac:dyDescent="0.35">
      <c r="A122" s="40" t="e">
        <f>IF(OR(_xlfn.XLOOKUP("xyz",Assessment!H:H,Assessment!E:E)="yes"),"Yes","No")</f>
        <v>#N/A</v>
      </c>
      <c r="B122" s="40" t="s">
        <v>7829</v>
      </c>
      <c r="C122" s="40" t="s">
        <v>7835</v>
      </c>
      <c r="D122" s="40" t="s">
        <v>7973</v>
      </c>
      <c r="E122" s="40" t="s">
        <v>7835</v>
      </c>
      <c r="F122" s="44"/>
    </row>
    <row r="123" spans="1:9" x14ac:dyDescent="0.25">
      <c r="A123" s="40" t="e">
        <f>IF(OR(_xlfn.XLOOKUP("xyz",Assessment!H:H,Assessment!E:E)="yes"),"Yes","No")</f>
        <v>#N/A</v>
      </c>
      <c r="B123" s="40" t="s">
        <v>7829</v>
      </c>
      <c r="C123" s="40" t="s">
        <v>7835</v>
      </c>
      <c r="D123" s="40" t="s">
        <v>7974</v>
      </c>
      <c r="E123" s="40" t="s">
        <v>7835</v>
      </c>
      <c r="F123" s="27"/>
    </row>
    <row r="124" spans="1:9" x14ac:dyDescent="0.35">
      <c r="A124" s="40" t="e">
        <f>IF(OR(_xlfn.XLOOKUP("xyz",Assessment!H:H,Assessment!E:E)="yes"),"Yes","No")</f>
        <v>#N/A</v>
      </c>
      <c r="B124" s="40" t="s">
        <v>7829</v>
      </c>
      <c r="C124" s="40" t="s">
        <v>7835</v>
      </c>
      <c r="D124" s="40" t="s">
        <v>7975</v>
      </c>
      <c r="E124" s="40" t="s">
        <v>7835</v>
      </c>
      <c r="F124" s="44"/>
    </row>
    <row r="125" spans="1:9" x14ac:dyDescent="0.35">
      <c r="A125" s="40" t="e">
        <f>IF(OR(,_xlfn.XLOOKUP("1211.09aa3System.4",Assessment!H:H,Assessment!E:E)="yes"),"Yes","No")</f>
        <v>#N/A</v>
      </c>
      <c r="B125" s="40" t="s">
        <v>7829</v>
      </c>
      <c r="C125" s="40" t="s">
        <v>7835</v>
      </c>
      <c r="D125" s="40" t="s">
        <v>7976</v>
      </c>
      <c r="E125" s="40" t="s">
        <v>7835</v>
      </c>
      <c r="F125" s="44"/>
    </row>
    <row r="126" spans="1:9" x14ac:dyDescent="0.35">
      <c r="A126" s="40" t="e">
        <f>IF(OR(_xlfn.XLOOKUP("xyz",Assessment!H:H,Assessment!E:E)="yes"),"Yes","No")</f>
        <v>#N/A</v>
      </c>
      <c r="B126" s="40" t="s">
        <v>7829</v>
      </c>
      <c r="C126" s="40" t="s">
        <v>7835</v>
      </c>
      <c r="D126" s="40" t="s">
        <v>7977</v>
      </c>
      <c r="E126" s="40" t="s">
        <v>7835</v>
      </c>
      <c r="F126" s="44"/>
      <c r="H126" s="40" t="s">
        <v>7970</v>
      </c>
    </row>
    <row r="127" spans="1:9" x14ac:dyDescent="0.25">
      <c r="A127" s="40" t="e">
        <f>IF(OR(_xlfn.XLOOKUP("1734.03d1Organizational.2",Assessment!H:H,Assessment!E:E)="yes",_xlfn.XLOOKUP("1735.03d2Organizational.23",Assessment!H:H,Assessment!E:E)="yes",_xlfn.XLOOKUP("1756.06g2Organizational.5",Assessment!H:H,Assessment!E:E)="yes",_xlfn.XLOOKUP("17.03aISO31000Organizational.12",Assessment!H:H,Assessment!E:E)="yes"),"Yes","No")</f>
        <v>#N/A</v>
      </c>
      <c r="B127" s="40" t="s">
        <v>7829</v>
      </c>
      <c r="C127" s="40" t="s">
        <v>7835</v>
      </c>
      <c r="D127" s="40" t="s">
        <v>7978</v>
      </c>
      <c r="E127" s="40" t="s">
        <v>7835</v>
      </c>
      <c r="F127" s="27"/>
    </row>
    <row r="128" spans="1:9" x14ac:dyDescent="0.35">
      <c r="A128" s="40" t="e">
        <f>IF(OR(_xlfn.XLOOKUP("xyz",Assessment!H:H,Assessment!E:E)="yes"),"Yes","No")</f>
        <v>#N/A</v>
      </c>
      <c r="B128" s="40" t="s">
        <v>7829</v>
      </c>
      <c r="C128" s="40" t="s">
        <v>7835</v>
      </c>
      <c r="D128" s="40" t="s">
        <v>7979</v>
      </c>
      <c r="E128" s="40" t="s">
        <v>7835</v>
      </c>
      <c r="F128" s="44"/>
    </row>
    <row r="129" spans="1:8" x14ac:dyDescent="0.35">
      <c r="A129" s="40" t="e">
        <f>IF(OR(_xlfn.XLOOKUP("xyz",Assessment!H:H,Assessment!E:E)="yes"),"Yes","No")</f>
        <v>#N/A</v>
      </c>
      <c r="B129" s="40" t="s">
        <v>7829</v>
      </c>
      <c r="C129" s="40" t="s">
        <v>7835</v>
      </c>
      <c r="D129" s="40" t="s">
        <v>7980</v>
      </c>
      <c r="E129" s="40" t="s">
        <v>7835</v>
      </c>
      <c r="F129" s="44"/>
    </row>
    <row r="130" spans="1:8" x14ac:dyDescent="0.35">
      <c r="A130" s="40" t="e">
        <f>IF(OR(_xlfn.XLOOKUP("xyz",Assessment!H:H,Assessment!E:E)="yes"),"Yes","No")</f>
        <v>#N/A</v>
      </c>
      <c r="B130" s="40" t="s">
        <v>7829</v>
      </c>
      <c r="C130" s="40" t="s">
        <v>7835</v>
      </c>
      <c r="D130" s="40" t="s">
        <v>7981</v>
      </c>
      <c r="E130" s="40" t="s">
        <v>7835</v>
      </c>
      <c r="F130" s="44"/>
    </row>
    <row r="131" spans="1:8" x14ac:dyDescent="0.35">
      <c r="A131" s="40" t="e">
        <f>IF(OR(,_xlfn.XLOOKUP("0106.02a2Organizational.23",Assessment!H:H,Assessment!E:E)="yes",_xlfn.XLOOKUP("0107.02d2Organizational.5",Assessment!H:H,Assessment!E:E)="yes",_xlfn.XLOOKUP("1231.09c2Organizational.23",Assessment!H:H,Assessment!E:E)="yes"),"Yes","No")</f>
        <v>#N/A</v>
      </c>
      <c r="B131" s="40" t="s">
        <v>7829</v>
      </c>
      <c r="C131" s="40" t="s">
        <v>7835</v>
      </c>
      <c r="D131" s="40" t="s">
        <v>7982</v>
      </c>
      <c r="E131" s="40" t="s">
        <v>7835</v>
      </c>
      <c r="F131" s="44"/>
    </row>
    <row r="132" spans="1:8" x14ac:dyDescent="0.35">
      <c r="A132" s="40" t="e">
        <f>IF(OR(_xlfn.XLOOKUP("xyz",Assessment!H:H,Assessment!E:E)="yes"),"Yes","No")</f>
        <v>#N/A</v>
      </c>
      <c r="B132" s="40" t="s">
        <v>7829</v>
      </c>
      <c r="C132" s="40" t="s">
        <v>7835</v>
      </c>
      <c r="D132" s="40" t="s">
        <v>7983</v>
      </c>
      <c r="E132" s="40" t="s">
        <v>7835</v>
      </c>
      <c r="F132" s="44"/>
    </row>
    <row r="133" spans="1:8" x14ac:dyDescent="0.35">
      <c r="A133" s="40" t="e">
        <f>IF(OR(_xlfn.XLOOKUP("0613.06h1Organizational.12",Assessment!H:H,Assessment!E:E)="yes",_xlfn.XLOOKUP("1756.06g2Organizational.5",Assessment!H:H,Assessment!E:E)="yes",_xlfn.XLOOKUP("0614.06h2Organizational.12",Assessment!H:H,Assessment!E:E)="yes",_xlfn.XLOOKUP("0615.06h2Organizational.3",Assessment!H:H,Assessment!E:E)="yes",_xlfn.XLOOKUP("0718.10m3Organizational.34",Assessment!H:H,Assessment!E:E)="yes",_xlfn.XLOOKUP("0789.10m3Organizational.21",Assessment!H:H,Assessment!E:E)="yes",_xlfn.XLOOKUP("0828.09m2Organizational.8",Assessment!H:H,Assessment!E:E)="yes",_xlfn.XLOOKUP("07.06hAISecOrganizational.1",Assessment!H:H,Assessment!E:E)="yes"),"Yes","No")</f>
        <v>#N/A</v>
      </c>
      <c r="B133" s="40" t="s">
        <v>7829</v>
      </c>
      <c r="C133" s="40" t="s">
        <v>7835</v>
      </c>
      <c r="D133" s="40" t="s">
        <v>7984</v>
      </c>
      <c r="E133" s="40" t="s">
        <v>7835</v>
      </c>
      <c r="F133" s="44"/>
    </row>
    <row r="134" spans="1:8" x14ac:dyDescent="0.35">
      <c r="A134" s="40" t="e">
        <f>IF(OR(_xlfn.XLOOKUP("1712.03a3Organizational.5",Assessment!H:H,Assessment!E:E)="yes"),"Yes","No")</f>
        <v>#N/A</v>
      </c>
      <c r="B134" s="40" t="s">
        <v>7829</v>
      </c>
      <c r="C134" s="40" t="s">
        <v>7835</v>
      </c>
      <c r="D134" s="40" t="s">
        <v>7985</v>
      </c>
      <c r="E134" s="40" t="s">
        <v>7835</v>
      </c>
      <c r="F134" s="44"/>
    </row>
    <row r="135" spans="1:8" x14ac:dyDescent="0.25">
      <c r="A135" s="40" t="str">
        <f>IF(OR(_xlfn.XLOOKUP("0181.06a1Organizational.12",Assessment!H:H,Assessment!E:E)="yes"),"Yes","No")</f>
        <v>Yes</v>
      </c>
      <c r="B135" s="40" t="s">
        <v>7829</v>
      </c>
      <c r="C135" s="40" t="s">
        <v>7835</v>
      </c>
      <c r="D135" s="40" t="s">
        <v>7986</v>
      </c>
      <c r="E135" s="40" t="s">
        <v>7835</v>
      </c>
      <c r="F135" s="27"/>
    </row>
    <row r="136" spans="1:8" x14ac:dyDescent="0.35">
      <c r="A136" s="40" t="e">
        <f>IF(OR(,_xlfn.XLOOKUP("1804.08b2Organizational.12",Assessment!H:H,Assessment!E:E)="yes"),"Yes","No")</f>
        <v>#N/A</v>
      </c>
      <c r="B136" s="40" t="s">
        <v>7829</v>
      </c>
      <c r="C136" s="40" t="s">
        <v>7835</v>
      </c>
      <c r="D136" s="40" t="s">
        <v>7987</v>
      </c>
      <c r="E136" s="40" t="s">
        <v>7835</v>
      </c>
      <c r="F136" s="44"/>
    </row>
    <row r="137" spans="1:8" x14ac:dyDescent="0.35">
      <c r="A137" s="40" t="e">
        <f>IF(OR(_xlfn.XLOOKUP("xyz",Assessment!H:H,Assessment!E:E)="yes"),"Yes","No")</f>
        <v>#N/A</v>
      </c>
      <c r="B137" s="40" t="s">
        <v>7829</v>
      </c>
      <c r="C137" s="40" t="s">
        <v>7835</v>
      </c>
      <c r="D137" s="40" t="s">
        <v>7988</v>
      </c>
      <c r="E137" s="40" t="s">
        <v>7835</v>
      </c>
      <c r="F137" s="44"/>
    </row>
    <row r="138" spans="1:8" x14ac:dyDescent="0.35">
      <c r="A138" s="40" t="e">
        <f>IF(OR(_xlfn.XLOOKUP("1847.08b2Organizational.910",Assessment!H:H,Assessment!E:E)="yes",_xlfn.XLOOKUP("1846.08b2Organizational.8",Assessment!H:H,Assessment!E:E)="yes"),"Yes","No")</f>
        <v>#N/A</v>
      </c>
      <c r="B138" s="40" t="s">
        <v>7829</v>
      </c>
      <c r="C138" s="40" t="s">
        <v>7835</v>
      </c>
      <c r="D138" s="40" t="s">
        <v>7989</v>
      </c>
      <c r="E138" s="40" t="s">
        <v>7835</v>
      </c>
      <c r="F138" s="44"/>
    </row>
    <row r="139" spans="1:8" x14ac:dyDescent="0.35">
      <c r="A139" s="40" t="e">
        <f>IF(OR(_xlfn.XLOOKUP("0183.07b1Organizational.1",Assessment!H:H,Assessment!E:E)="yes",_xlfn.XLOOKUP("1109.01b2System.6",Assessment!H:H,Assessment!E:E)="yes",_xlfn.XLOOKUP("1616.09l1Organizational.16",Assessment!H:H,Assessment!E:E)="yes",_xlfn.XLOOKUP("1617.09l1Organizational.23",Assessment!H:H,Assessment!E:E)="yes",_xlfn.XLOOKUP("19190.10c2System.7",Assessment!H:H,Assessment!E:E)="yes",_xlfn.XLOOKUP("19191.10c2System.6",Assessment!H:H,Assessment!E:E)="yes",_xlfn.XLOOKUP("0208.09j2Organizational.7",Assessment!H:H,Assessment!E:E)="yes",_xlfn.XLOOKUP("0604.06g2Organizational.2",Assessment!H:H,Assessment!E:E)="yes",_xlfn.XLOOKUP("0642.10k3Organizational.12",Assessment!H:H,Assessment!E:E)="yes",_xlfn.XLOOKUP("1153.01c3System.35",Assessment!H:H,Assessment!E:E)="yes",_xlfn.XLOOKUP("1197.01l3Organizational.3",Assessment!H:H,Assessment!E:E)="yes"),"Yes","No")</f>
        <v>#N/A</v>
      </c>
      <c r="B139" s="40" t="s">
        <v>7829</v>
      </c>
      <c r="C139" s="40" t="s">
        <v>7835</v>
      </c>
      <c r="D139" s="40" t="s">
        <v>7990</v>
      </c>
      <c r="E139" s="40" t="s">
        <v>7835</v>
      </c>
      <c r="F139" s="44"/>
      <c r="H139" s="58"/>
    </row>
    <row r="140" spans="1:8" x14ac:dyDescent="0.35">
      <c r="A140" s="40" t="e">
        <f>IF(OR(,_xlfn.XLOOKUP("17100.10a3Organizational.5",Assessment!H:H,Assessment!E:E)="yes"),"Yes","No")</f>
        <v>#N/A</v>
      </c>
      <c r="B140" s="40" t="s">
        <v>7829</v>
      </c>
      <c r="C140" s="40" t="s">
        <v>7835</v>
      </c>
      <c r="D140" s="40" t="s">
        <v>7991</v>
      </c>
      <c r="E140" s="40" t="s">
        <v>7835</v>
      </c>
      <c r="F140" s="44"/>
    </row>
    <row r="141" spans="1:8" x14ac:dyDescent="0.35">
      <c r="A141" s="40" t="e">
        <f>IF(OR(,_xlfn.XLOOKUP("1604.12c3Organizational.4",Assessment!H:H,Assessment!E:E)="yes",_xlfn.XLOOKUP("1609.12c3Organizational.12",Assessment!H:H,Assessment!E:E)="yes"),"Yes","No")</f>
        <v>#N/A</v>
      </c>
      <c r="B141" s="40" t="s">
        <v>7829</v>
      </c>
      <c r="C141" s="40" t="s">
        <v>7835</v>
      </c>
      <c r="D141" s="40" t="s">
        <v>7992</v>
      </c>
      <c r="E141" s="40" t="s">
        <v>7835</v>
      </c>
      <c r="F141" s="44"/>
    </row>
    <row r="142" spans="1:8" x14ac:dyDescent="0.25">
      <c r="A142" s="40" t="e">
        <f>IF(OR(_xlfn.XLOOKUP("1133.01v2System.4",Assessment!H:H,Assessment!E:E)="yes"),"Yes","No")</f>
        <v>#N/A</v>
      </c>
      <c r="B142" s="40" t="s">
        <v>7829</v>
      </c>
      <c r="C142" s="40" t="s">
        <v>7835</v>
      </c>
      <c r="D142" s="40" t="s">
        <v>7993</v>
      </c>
      <c r="E142" s="40" t="s">
        <v>7835</v>
      </c>
      <c r="F142" s="27"/>
    </row>
    <row r="143" spans="1:8" x14ac:dyDescent="0.25">
      <c r="A143" s="40" t="e">
        <f>IF(OR(_xlfn.XLOOKUP("1002.01d2System.7",Assessment!H:H,Assessment!E:E)="yes",_xlfn.XLOOKUP("1004.01d2System.8",Assessment!H:H,Assessment!E:E)="yes",_xlfn.XLOOKUP("1006.01d2System.1",Assessment!H:H,Assessment!E:E)="yes",_xlfn.XLOOKUP("1007.01d2System.2",Assessment!H:H,Assessment!E:E)="yes",_xlfn.XLOOKUP("1012.01r2System.1",Assessment!H:H,Assessment!E:E)="yes",_xlfn.XLOOKUP("1013.01r1System.2",Assessment!H:H,Assessment!E:E)="yes",_xlfn.XLOOKUP("1031.01d2System.11",Assessment!H:H,Assessment!E:E)="yes",_xlfn.XLOOKUP("1107.01b1System.2",Assessment!H:H,Assessment!E:E)="yes",_xlfn.XLOOKUP("11109.01q2System.9",Assessment!H:H,Assessment!E:E)="yes",_xlfn.XLOOKUP("1111.01b2System.1",Assessment!H:H,Assessment!E:E)="yes",_xlfn.XLOOKUP("1124.01q2System.12",Assessment!H:H,Assessment!E:E)="yes",_xlfn.XLOOKUP("1145.01c2System.1",Assessment!H:H,Assessment!E:E)="yes",_xlfn.XLOOKUP("1146.01c2System.23",Assessment!H:H,Assessment!E:E)="yes",_xlfn.XLOOKUP("1150.01c2System.10",Assessment!H:H,Assessment!E:E)="yes",_xlfn.XLOOKUP("1168.01e2System.2",Assessment!H:H,Assessment!E:E)="yes",_xlfn.XLOOKUP("1005.01d3System.1",Assessment!H:H,Assessment!E:E)="yes",_xlfn.XLOOKUP("1232.09c3Organizational.12",Assessment!H:H,Assessment!E:E)="yes",_xlfn.XLOOKUP("1164.01cHIESystem.1",Assessment!H:H,Assessment!E:E)="yes",_xlfn.XLOOKUP("1170.01eHIESystem.1",Assessment!H:H,Assessment!E:E)="yes"),"Yes","No")</f>
        <v>#N/A</v>
      </c>
      <c r="B143" s="40" t="s">
        <v>7829</v>
      </c>
      <c r="C143" s="40" t="s">
        <v>7835</v>
      </c>
      <c r="D143" s="40" t="s">
        <v>7994</v>
      </c>
      <c r="E143" s="40" t="s">
        <v>7835</v>
      </c>
      <c r="F143" s="27"/>
    </row>
    <row r="144" spans="1:8" x14ac:dyDescent="0.35">
      <c r="A144" s="40" t="e">
        <f>IF(OR(_xlfn.XLOOKUP("1619.09l2Organizational.4",Assessment!H:H,Assessment!E:E)="yes"),"Yes","No")</f>
        <v>#N/A</v>
      </c>
      <c r="B144" s="40" t="s">
        <v>7829</v>
      </c>
      <c r="C144" s="40" t="s">
        <v>7835</v>
      </c>
      <c r="D144" s="40" t="s">
        <v>7995</v>
      </c>
      <c r="E144" s="40" t="s">
        <v>7835</v>
      </c>
      <c r="F144" s="44"/>
    </row>
    <row r="145" spans="1:6" x14ac:dyDescent="0.25">
      <c r="A145" s="40" t="e">
        <f>IF(OR(_xlfn.XLOOKUP("xyz",Assessment!H:H,Assessment!E:E)="yes"),"Yes","No")</f>
        <v>#N/A</v>
      </c>
      <c r="B145" s="40" t="s">
        <v>7829</v>
      </c>
      <c r="C145" s="40" t="s">
        <v>7835</v>
      </c>
      <c r="D145" s="40" t="s">
        <v>7996</v>
      </c>
      <c r="E145" s="40" t="s">
        <v>7835</v>
      </c>
      <c r="F145" s="27"/>
    </row>
    <row r="146" spans="1:6" x14ac:dyDescent="0.35">
      <c r="A146" s="40" t="e">
        <f>IF(OR(_xlfn.XLOOKUP("xyz",Assessment!H:H,Assessment!E:E)="yes"),"Yes","No")</f>
        <v>#N/A</v>
      </c>
      <c r="B146" s="40" t="s">
        <v>7829</v>
      </c>
      <c r="C146" s="40" t="s">
        <v>7835</v>
      </c>
      <c r="D146" s="40" t="s">
        <v>7997</v>
      </c>
      <c r="E146" s="40" t="s">
        <v>7835</v>
      </c>
      <c r="F146" s="44"/>
    </row>
    <row r="147" spans="1:6" x14ac:dyDescent="0.35">
      <c r="A147" s="40" t="e">
        <f>IF(OR(_xlfn.XLOOKUP("0903.10f1Organizational.1",Assessment!H:H,Assessment!E:E)="yes",_xlfn.XLOOKUP("0955.10d2System.1",Assessment!H:H,Assessment!E:E)="yes",_xlfn.XLOOKUP("0904.10f2Organizational.1",Assessment!H:H,Assessment!E:E)="yes",_xlfn.XLOOKUP("099.09m2Organizational.11",Assessment!H:H,Assessment!E:E)="yes"),"Yes","No")</f>
        <v>#N/A</v>
      </c>
      <c r="B147" s="40" t="s">
        <v>7829</v>
      </c>
      <c r="C147" s="40" t="s">
        <v>7835</v>
      </c>
      <c r="D147" s="40" t="s">
        <v>7998</v>
      </c>
      <c r="E147" s="40" t="s">
        <v>7835</v>
      </c>
      <c r="F147" s="44"/>
    </row>
    <row r="148" spans="1:6" x14ac:dyDescent="0.35">
      <c r="A148" s="40" t="e">
        <f>IF(OR(_xlfn.XLOOKUP("xyz",Assessment!H:H,Assessment!E:E)="yes"),"Yes","No")</f>
        <v>#N/A</v>
      </c>
      <c r="B148" s="40" t="s">
        <v>7829</v>
      </c>
      <c r="C148" s="40" t="s">
        <v>7835</v>
      </c>
      <c r="D148" s="40" t="s">
        <v>7999</v>
      </c>
      <c r="E148" s="40" t="s">
        <v>7835</v>
      </c>
      <c r="F148" s="44"/>
    </row>
    <row r="149" spans="1:6" x14ac:dyDescent="0.35">
      <c r="A149" s="40" t="e">
        <f>IF(OR(_xlfn.XLOOKUP("xyz",Assessment!H:H,Assessment!E:E)="yes"),"Yes","No")</f>
        <v>#N/A</v>
      </c>
      <c r="B149" s="40" t="s">
        <v>7829</v>
      </c>
      <c r="C149" s="40" t="s">
        <v>7835</v>
      </c>
      <c r="D149" s="40" t="s">
        <v>8000</v>
      </c>
      <c r="E149" s="40" t="s">
        <v>7835</v>
      </c>
      <c r="F149" s="44"/>
    </row>
    <row r="150" spans="1:6" x14ac:dyDescent="0.35">
      <c r="A150" s="40" t="e">
        <f>IF(OR(_xlfn.XLOOKUP("xyz",Assessment!H:H,Assessment!E:E)="yes"),"Yes","No")</f>
        <v>#N/A</v>
      </c>
      <c r="B150" s="40" t="s">
        <v>7829</v>
      </c>
      <c r="C150" s="40" t="s">
        <v>7835</v>
      </c>
      <c r="D150" s="40" t="s">
        <v>8001</v>
      </c>
      <c r="E150" s="40" t="s">
        <v>7835</v>
      </c>
      <c r="F150" s="44"/>
    </row>
    <row r="151" spans="1:6" x14ac:dyDescent="0.35">
      <c r="A151" s="40" t="e">
        <f>IF(OR(_xlfn.XLOOKUP("xyz",Assessment!H:H,Assessment!E:E)="yes"),"Yes","No")</f>
        <v>#N/A</v>
      </c>
      <c r="B151" s="40" t="s">
        <v>7829</v>
      </c>
      <c r="C151" s="40" t="s">
        <v>7835</v>
      </c>
      <c r="D151" s="40" t="s">
        <v>8002</v>
      </c>
      <c r="E151" s="40" t="s">
        <v>7835</v>
      </c>
      <c r="F151" s="44"/>
    </row>
    <row r="152" spans="1:6" x14ac:dyDescent="0.35">
      <c r="A152" s="40" t="e">
        <f>IF(OR(_xlfn.XLOOKUP("1739.05d1Organizational.3",Assessment!H:H,Assessment!E:E)="yes",_xlfn.XLOOKUP("1802.08b1Organizational.3",Assessment!H:H,Assessment!E:E)="yes",_xlfn.XLOOKUP("1845.08b1Organizational.7",Assessment!H:H,Assessment!E:E)="yes",_xlfn.XLOOKUP("1609.12c3Organizational.12",Assessment!H:H,Assessment!E:E)="yes",_xlfn.XLOOKUP("1514.11a3Organizational.12",Assessment!H:H,Assessment!E:E)="yes",_xlfn.XLOOKUP("1805.08b2Organizational.3",Assessment!H:H,Assessment!E:E)="yes",_xlfn.XLOOKUP("1807.08b2Organizational.56",Assessment!H:H,Assessment!E:E)="yes",_xlfn.XLOOKUP("1809.08b3Organizational.1",Assessment!H:H,Assessment!E:E)="yes",_xlfn.XLOOKUP("1811.08b3Organizational.3",Assessment!H:H,Assessment!E:E)="yes",_xlfn.XLOOKUP("1812.08b3Organizational.46",Assessment!H:H,Assessment!E:E)="yes",_xlfn.XLOOKUP("1813.08b3Organizational.56",Assessment!H:H,Assessment!E:E)="yes",_xlfn.XLOOKUP("1815.08d2Organizational.123",Assessment!H:H,Assessment!E:E)="yes",_xlfn.XLOOKUP("1817.08d3Organizational.12",Assessment!H:H,Assessment!E:E)="yes",_xlfn.XLOOKUP("1848.08b2Organizational.11",Assessment!H:H,Assessment!E:E)="yes"),"Yes","No")</f>
        <v>#N/A</v>
      </c>
      <c r="B152" s="40" t="s">
        <v>7829</v>
      </c>
      <c r="C152" s="40" t="s">
        <v>7835</v>
      </c>
      <c r="D152" s="40" t="s">
        <v>8003</v>
      </c>
      <c r="E152" s="40" t="s">
        <v>7835</v>
      </c>
      <c r="F152" s="44"/>
    </row>
    <row r="153" spans="1:6" x14ac:dyDescent="0.35">
      <c r="A153" s="40" t="e">
        <f>IF(OR(_xlfn.XLOOKUP("1213.09ab2System.6",Assessment!H:H,Assessment!E:E)="yes",_xlfn.XLOOKUP("1214.09ab2System.3456",Assessment!H:H,Assessment!E:E)="yes",_xlfn.XLOOKUP("1270.09ad1System.12",Assessment!H:H,Assessment!E:E)="yes",_xlfn.XLOOKUP("1272.09ae1System.13",Assessment!H:H,Assessment!E:E)="yes",_xlfn.XLOOKUP("1204.09aa2System.6",Assessment!H:H,Assessment!E:E)="yes",_xlfn.XLOOKUP("1205.09aa2System.1",Assessment!H:H,Assessment!E:E)="yes",_xlfn.XLOOKUP("1206.09aa2System.23",Assessment!H:H,Assessment!E:E)="yes",_xlfn.XLOOKUP("1273.09ae2System.3",Assessment!H:H,Assessment!E:E)="yes",_xlfn.XLOOKUP("1208.09aa3System.1",Assessment!H:H,Assessment!E:E)="yes",_xlfn.XLOOKUP("1209.09aa3System.2",Assessment!H:H,Assessment!E:E)="yes",_xlfn.XLOOKUP("1217.09ab3System.3",Assessment!H:H,Assessment!E:E)="yes",_xlfn.XLOOKUP("1220.09ab3System.56",Assessment!H:H,Assessment!E:E)="yes"),"Yes","No")</f>
        <v>#N/A</v>
      </c>
      <c r="B153" s="40" t="s">
        <v>7829</v>
      </c>
      <c r="C153" s="40" t="s">
        <v>7835</v>
      </c>
      <c r="D153" s="40" t="s">
        <v>8004</v>
      </c>
      <c r="E153" s="40" t="s">
        <v>7835</v>
      </c>
      <c r="F153" s="44"/>
    </row>
    <row r="154" spans="1:6" x14ac:dyDescent="0.35">
      <c r="A154" s="40" t="e">
        <f>IF(OR(_xlfn.XLOOKUP("xyz",Assessment!H:H,Assessment!E:E)="yes"),"Yes","No")</f>
        <v>#N/A</v>
      </c>
      <c r="B154" s="40" t="s">
        <v>7829</v>
      </c>
      <c r="C154" s="40" t="s">
        <v>7835</v>
      </c>
      <c r="D154" s="40" t="s">
        <v>8005</v>
      </c>
      <c r="E154" s="40" t="s">
        <v>7835</v>
      </c>
      <c r="F154" s="44"/>
    </row>
    <row r="155" spans="1:6" x14ac:dyDescent="0.35">
      <c r="A155" s="40" t="e">
        <f>IF(OR(,_xlfn.XLOOKUP("0725.07a3Organizational.5",Assessment!H:H,Assessment!E:E)="yes"),"Yes","No")</f>
        <v>#N/A</v>
      </c>
      <c r="B155" s="40" t="s">
        <v>7829</v>
      </c>
      <c r="C155" s="40" t="s">
        <v>7835</v>
      </c>
      <c r="D155" s="40" t="s">
        <v>8006</v>
      </c>
      <c r="E155" s="40" t="s">
        <v>7835</v>
      </c>
      <c r="F155" s="44"/>
    </row>
    <row r="156" spans="1:6" x14ac:dyDescent="0.35">
      <c r="A156" s="40" t="e">
        <f>IF(OR(,_xlfn.XLOOKUP("1783.10a2Organizational.13",Assessment!H:H,Assessment!E:E)="yes",_xlfn.XLOOKUP("1796.10a2Organizational.15",Assessment!H:H,Assessment!E:E)="yes",_xlfn.XLOOKUP("1785.10a2Organizational.14",Assessment!H:H,Assessment!E:E)="yes",_xlfn.XLOOKUP("0725.07a3Organizational.5",Assessment!H:H,Assessment!E:E)="yes"),"Yes","No")</f>
        <v>#N/A</v>
      </c>
      <c r="B156" s="40" t="s">
        <v>7829</v>
      </c>
      <c r="C156" s="40" t="s">
        <v>7835</v>
      </c>
      <c r="D156" s="40" t="s">
        <v>8007</v>
      </c>
      <c r="E156" s="40" t="s">
        <v>7835</v>
      </c>
      <c r="F156" s="44"/>
    </row>
    <row r="157" spans="1:6" x14ac:dyDescent="0.35">
      <c r="A157" s="40" t="e">
        <f>IF(OR(,_xlfn.XLOOKUP("0725.07a3Organizational.5",Assessment!H:H,Assessment!E:E)="yes"),"Yes","No")</f>
        <v>#N/A</v>
      </c>
      <c r="B157" s="40" t="s">
        <v>7829</v>
      </c>
      <c r="C157" s="40" t="s">
        <v>7835</v>
      </c>
      <c r="D157" s="40" t="s">
        <v>8008</v>
      </c>
      <c r="E157" s="40" t="s">
        <v>7835</v>
      </c>
      <c r="F157" s="44"/>
    </row>
    <row r="158" spans="1:6" x14ac:dyDescent="0.25">
      <c r="A158" s="40" t="str">
        <f>IF(OR(_xlfn.XLOOKUP("0193.09a1System.3",Assessment!H:H,Assessment!E:E)="yes"),"Yes","No")</f>
        <v>Yes</v>
      </c>
      <c r="B158" s="40" t="s">
        <v>7829</v>
      </c>
      <c r="C158" s="40" t="s">
        <v>7835</v>
      </c>
      <c r="D158" s="40" t="s">
        <v>8009</v>
      </c>
      <c r="E158" s="40" t="s">
        <v>7835</v>
      </c>
      <c r="F158" s="27"/>
    </row>
    <row r="159" spans="1:6" x14ac:dyDescent="0.25">
      <c r="A159" s="40" t="str">
        <f>IF(OR(_xlfn.XLOOKUP("1031.01d2System.11",Assessment!H:H,Assessment!E:E)="yes"),"Yes","No")</f>
        <v>Yes</v>
      </c>
      <c r="B159" s="40" t="s">
        <v>7829</v>
      </c>
      <c r="C159" s="40" t="s">
        <v>7835</v>
      </c>
      <c r="D159" s="40" t="s">
        <v>8010</v>
      </c>
      <c r="E159" s="40" t="s">
        <v>7835</v>
      </c>
      <c r="F159" s="27"/>
    </row>
    <row r="160" spans="1:6" x14ac:dyDescent="0.35">
      <c r="A160" s="40" t="e">
        <f>IF(OR(_xlfn.XLOOKUP("1003.01d1System.3",Assessment!H:H,Assessment!E:E)="yes",_xlfn.XLOOKUP("1009.01d2System.4",Assessment!H:H,Assessment!E:E)="yes",_xlfn.XLOOKUP("1014.01d2System.9",Assessment!H:H,Assessment!E:E)="yes",_xlfn.XLOOKUP("1015.01d2System.10",Assessment!H:H,Assessment!E:E)="yes"),"Yes","No")</f>
        <v>#N/A</v>
      </c>
      <c r="B160" s="40" t="s">
        <v>7829</v>
      </c>
      <c r="C160" s="40" t="s">
        <v>7835</v>
      </c>
      <c r="D160" s="40" t="s">
        <v>8011</v>
      </c>
      <c r="E160" s="40" t="s">
        <v>7835</v>
      </c>
      <c r="F160" s="44"/>
    </row>
    <row r="161" spans="1:8" x14ac:dyDescent="0.25">
      <c r="A161" s="40" t="str">
        <f>IF(OR(_xlfn.XLOOKUP("1013.01r1System.2",Assessment!H:H,Assessment!E:E)="yes"),"Yes","No")</f>
        <v>Yes</v>
      </c>
      <c r="B161" s="40" t="s">
        <v>7829</v>
      </c>
      <c r="C161" s="40" t="s">
        <v>7835</v>
      </c>
      <c r="D161" s="40" t="s">
        <v>8012</v>
      </c>
      <c r="E161" s="40" t="s">
        <v>7835</v>
      </c>
      <c r="F161" s="27"/>
    </row>
    <row r="162" spans="1:8" x14ac:dyDescent="0.25">
      <c r="A162" s="40" t="str">
        <f>IF(OR(_xlfn.XLOOKUP("1013.01r1System.2",Assessment!H:H,Assessment!E:E)="yes",_xlfn.XLOOKUP("10902.01d1System.12",Assessment!H:H,Assessment!E:E)="yes"),"Yes","No")</f>
        <v>Yes</v>
      </c>
      <c r="B162" s="40" t="s">
        <v>7829</v>
      </c>
      <c r="C162" s="40" t="s">
        <v>7835</v>
      </c>
      <c r="D162" s="40" t="s">
        <v>8013</v>
      </c>
      <c r="E162" s="40" t="s">
        <v>7835</v>
      </c>
      <c r="F162" s="27"/>
    </row>
    <row r="163" spans="1:8" x14ac:dyDescent="0.35">
      <c r="A163" s="40" t="e">
        <f>IF(OR(_xlfn.XLOOKUP("xyz",Assessment!H:H,Assessment!E:E)="yes"),"Yes","No")</f>
        <v>#N/A</v>
      </c>
      <c r="B163" s="40" t="s">
        <v>7829</v>
      </c>
      <c r="C163" s="40" t="s">
        <v>7835</v>
      </c>
      <c r="D163" s="40" t="s">
        <v>8014</v>
      </c>
      <c r="E163" s="40" t="s">
        <v>7835</v>
      </c>
      <c r="F163" s="44"/>
    </row>
    <row r="164" spans="1:8" x14ac:dyDescent="0.35">
      <c r="A164" s="40" t="e">
        <f>IF(OR(_xlfn.XLOOKUP("1616.09l1Organizational.16",Assessment!H:H,Assessment!E:E)="yes",_xlfn.XLOOKUP("1626.09l3Organizational.5",Assessment!H:H,Assessment!E:E)="yes"),"Yes","No")</f>
        <v>#N/A</v>
      </c>
      <c r="B164" s="40" t="s">
        <v>7829</v>
      </c>
      <c r="C164" s="40" t="s">
        <v>7835</v>
      </c>
      <c r="D164" s="40" t="s">
        <v>8015</v>
      </c>
      <c r="E164" s="40" t="s">
        <v>7835</v>
      </c>
      <c r="F164" s="44"/>
    </row>
    <row r="165" spans="1:8" x14ac:dyDescent="0.35">
      <c r="A165" s="40" t="e">
        <f>IF(OR(,_xlfn.XLOOKUP("19401.13g1Organizational.1",Assessment!H:H,Assessment!E:E)="yes"),"Yes","No")</f>
        <v>#N/A</v>
      </c>
      <c r="B165" s="40" t="s">
        <v>7829</v>
      </c>
      <c r="C165" s="40" t="s">
        <v>7835</v>
      </c>
      <c r="D165" s="40" t="s">
        <v>8016</v>
      </c>
      <c r="E165" s="40" t="s">
        <v>7835</v>
      </c>
      <c r="F165" s="44"/>
    </row>
    <row r="166" spans="1:8" x14ac:dyDescent="0.35">
      <c r="A166" s="40" t="e">
        <f>IF(OR(_xlfn.XLOOKUP("xyz",Assessment!H:H,Assessment!E:E)="yes"),"Yes","No")</f>
        <v>#N/A</v>
      </c>
      <c r="B166" s="40" t="s">
        <v>7829</v>
      </c>
      <c r="C166" s="40" t="s">
        <v>7835</v>
      </c>
      <c r="D166" s="40" t="s">
        <v>8017</v>
      </c>
      <c r="E166" s="40" t="s">
        <v>7835</v>
      </c>
      <c r="F166" s="44"/>
    </row>
    <row r="167" spans="1:8" x14ac:dyDescent="0.35">
      <c r="A167" s="40" t="e">
        <f>IF(OR(_xlfn.XLOOKUP("0816.01w1System.1",Assessment!H:H,Assessment!E:E)="yes",_xlfn.XLOOKUP("11131.01u1System.2",Assessment!H:H,Assessment!E:E)="yes",_xlfn.XLOOKUP("0818.01w3System.12",Assessment!H:H,Assessment!E:E)="yes"),"Yes","No")</f>
        <v>#N/A</v>
      </c>
      <c r="B167" s="40" t="s">
        <v>7829</v>
      </c>
      <c r="C167" s="40" t="s">
        <v>7835</v>
      </c>
      <c r="D167" s="40" t="s">
        <v>8018</v>
      </c>
      <c r="E167" s="40" t="s">
        <v>7835</v>
      </c>
      <c r="F167" s="44"/>
    </row>
    <row r="168" spans="1:8" x14ac:dyDescent="0.25">
      <c r="A168" s="40" t="str">
        <f>IF(OR(_xlfn.XLOOKUP("1888.08h1Organizational.456",Assessment!H:H,Assessment!E:E)="yes"),"Yes","No")</f>
        <v>Yes</v>
      </c>
      <c r="B168" s="40" t="s">
        <v>7829</v>
      </c>
      <c r="C168" s="40" t="s">
        <v>7835</v>
      </c>
      <c r="D168" s="40" t="s">
        <v>8019</v>
      </c>
      <c r="E168" s="40" t="s">
        <v>7835</v>
      </c>
      <c r="F168" s="27"/>
    </row>
    <row r="169" spans="1:8" x14ac:dyDescent="0.35">
      <c r="A169" s="40" t="e">
        <f>IF(OR(_xlfn.XLOOKUP("1819.08j2Organizational.4",Assessment!H:H,Assessment!E:E)="yes"),"Yes","No")</f>
        <v>#N/A</v>
      </c>
      <c r="B169" s="40" t="s">
        <v>7829</v>
      </c>
      <c r="C169" s="40" t="s">
        <v>7835</v>
      </c>
      <c r="D169" s="40" t="s">
        <v>8020</v>
      </c>
      <c r="E169" s="40" t="s">
        <v>7835</v>
      </c>
      <c r="F169" s="44"/>
    </row>
    <row r="170" spans="1:8" x14ac:dyDescent="0.35">
      <c r="A170" s="40" t="e">
        <f>IF(OR(,_xlfn.XLOOKUP("0713.10m2Organizational.5",Assessment!H:H,Assessment!E:E)="yes",_xlfn.XLOOKUP("0786.10m2Organizational.13",Assessment!H:H,Assessment!E:E)="yes",_xlfn.XLOOKUP("0787.10m2Organizational.14",Assessment!H:H,Assessment!E:E)="yes"),"Yes","No")</f>
        <v>#N/A</v>
      </c>
      <c r="B170" s="40" t="s">
        <v>7829</v>
      </c>
      <c r="C170" s="40" t="s">
        <v>7835</v>
      </c>
      <c r="D170" s="40" t="s">
        <v>8021</v>
      </c>
      <c r="E170" s="40" t="s">
        <v>7835</v>
      </c>
      <c r="F170" s="44"/>
      <c r="H170" s="40" t="s">
        <v>8022</v>
      </c>
    </row>
    <row r="171" spans="1:8" x14ac:dyDescent="0.35">
      <c r="A171" s="40" t="e">
        <f>IF(OR(_xlfn.XLOOKUP("1202.09aa2System.5",Assessment!H:H,Assessment!E:E)="yes"),"Yes","No")</f>
        <v>#N/A</v>
      </c>
      <c r="B171" s="40" t="s">
        <v>7829</v>
      </c>
      <c r="C171" s="40" t="s">
        <v>7835</v>
      </c>
      <c r="D171" s="40" t="s">
        <v>8023</v>
      </c>
      <c r="E171" s="40" t="s">
        <v>7835</v>
      </c>
      <c r="F171" s="44"/>
    </row>
    <row r="172" spans="1:8" x14ac:dyDescent="0.35">
      <c r="A172" s="40" t="e">
        <f>IF(OR(_xlfn.XLOOKUP("xyz",Assessment!H:H,Assessment!E:E)="yes"),"Yes","No")</f>
        <v>#N/A</v>
      </c>
      <c r="B172" s="40" t="s">
        <v>7829</v>
      </c>
      <c r="C172" s="40" t="s">
        <v>7835</v>
      </c>
      <c r="D172" s="40" t="s">
        <v>8024</v>
      </c>
      <c r="E172" s="40" t="s">
        <v>7835</v>
      </c>
      <c r="F172" s="44"/>
    </row>
    <row r="173" spans="1:8" x14ac:dyDescent="0.35">
      <c r="A173" s="40" t="e">
        <f>IF(OR(_xlfn.XLOOKUP("1906.06cHIPAAOrganizational.4",Assessment!H:H,Assessment!E:E)="yes"),"Yes","No")</f>
        <v>#N/A</v>
      </c>
      <c r="B173" s="40" t="s">
        <v>7829</v>
      </c>
      <c r="C173" s="40" t="s">
        <v>7835</v>
      </c>
      <c r="D173" s="40" t="s">
        <v>8025</v>
      </c>
      <c r="E173" s="40" t="s">
        <v>7835</v>
      </c>
      <c r="F173" s="44"/>
    </row>
    <row r="174" spans="1:8" x14ac:dyDescent="0.35">
      <c r="A174" s="40" t="e">
        <f>IF(OR(_xlfn.XLOOKUP("1907.06cHIPAAOrganizational.3",Assessment!H:H,Assessment!E:E)="yes"),"Yes","No")</f>
        <v>#N/A</v>
      </c>
      <c r="B174" s="40" t="s">
        <v>7829</v>
      </c>
      <c r="C174" s="40" t="s">
        <v>7835</v>
      </c>
      <c r="D174" s="40" t="s">
        <v>8026</v>
      </c>
      <c r="E174" s="40" t="s">
        <v>7835</v>
      </c>
      <c r="F174" s="44"/>
    </row>
    <row r="175" spans="1:8" x14ac:dyDescent="0.35">
      <c r="A175" s="40" t="e">
        <f>IF(OR(_xlfn.XLOOKUP("xyz",Assessment!H:H,Assessment!E:E)="yes"),"Yes","No")</f>
        <v>#N/A</v>
      </c>
      <c r="B175" s="40" t="s">
        <v>7829</v>
      </c>
      <c r="C175" s="40" t="s">
        <v>7835</v>
      </c>
      <c r="D175" s="40" t="s">
        <v>8027</v>
      </c>
      <c r="E175" s="40" t="s">
        <v>7835</v>
      </c>
      <c r="F175" s="44"/>
    </row>
    <row r="176" spans="1:8" x14ac:dyDescent="0.35">
      <c r="A176" s="40" t="e">
        <f>IF(OR(_xlfn.XLOOKUP("xyz",Assessment!H:H,Assessment!E:E)="yes"),"Yes","No")</f>
        <v>#N/A</v>
      </c>
      <c r="B176" s="40" t="s">
        <v>7829</v>
      </c>
      <c r="C176" s="40" t="s">
        <v>7835</v>
      </c>
      <c r="D176" s="40" t="s">
        <v>8028</v>
      </c>
      <c r="E176" s="40" t="s">
        <v>7835</v>
      </c>
      <c r="F176" s="44"/>
    </row>
    <row r="177" spans="1:9" x14ac:dyDescent="0.35">
      <c r="A177" s="40" t="e">
        <f>IF(OR(_xlfn.XLOOKUP("19140.06c2Organizational.5",Assessment!H:H,Assessment!E:E)="yes",_xlfn.XLOOKUP("1904.06d2Organizational.1",Assessment!H:H,Assessment!E:E)="yes"),"Yes","No")</f>
        <v>#N/A</v>
      </c>
      <c r="B177" s="40" t="s">
        <v>7829</v>
      </c>
      <c r="C177" s="40" t="s">
        <v>7835</v>
      </c>
      <c r="D177" s="40" t="s">
        <v>8029</v>
      </c>
      <c r="E177" s="40" t="s">
        <v>7835</v>
      </c>
      <c r="F177" s="44"/>
    </row>
    <row r="178" spans="1:9" x14ac:dyDescent="0.35">
      <c r="A178" s="40" t="e">
        <f>IF(OR(_xlfn.XLOOKUP("19142.06c1Organizational.8",Assessment!H:H,Assessment!E:E)="yes",_xlfn.XLOOKUP("19165.07e1Organizational.13",Assessment!H:H,Assessment!E:E)="yes",_xlfn.XLOOKUP("19141.06c2Organizational.4",Assessment!H:H,Assessment!E:E)="yes",_xlfn.XLOOKUP("19143.06c2Organizational.3",Assessment!H:H,Assessment!E:E)="yes"),"Yes","No")</f>
        <v>#N/A</v>
      </c>
      <c r="B178" s="40" t="s">
        <v>7829</v>
      </c>
      <c r="C178" s="40" t="s">
        <v>7835</v>
      </c>
      <c r="D178" s="40" t="s">
        <v>8030</v>
      </c>
      <c r="E178" s="40" t="s">
        <v>7835</v>
      </c>
      <c r="F178" s="44"/>
    </row>
    <row r="179" spans="1:9" x14ac:dyDescent="0.35">
      <c r="A179" s="40" t="e">
        <f>IF(OR(_xlfn.XLOOKUP("0702.07a2Organizational.2",Assessment!H:H,Assessment!E:E)="yes"),"Yes","No")</f>
        <v>#N/A</v>
      </c>
      <c r="B179" s="40" t="s">
        <v>7829</v>
      </c>
      <c r="C179" s="40" t="s">
        <v>7835</v>
      </c>
      <c r="D179" s="40" t="s">
        <v>8031</v>
      </c>
      <c r="E179" s="40" t="s">
        <v>7835</v>
      </c>
      <c r="F179" s="44"/>
    </row>
    <row r="180" spans="1:9" x14ac:dyDescent="0.35">
      <c r="A180" s="40" t="e">
        <f>IF(OR(_xlfn.XLOOKUP("0605.10h2System.7",Assessment!H:H,Assessment!E:E)="yes",_xlfn.XLOOKUP("0703.07a2Organizational.1",Assessment!H:H,Assessment!E:E)="yes",_xlfn.XLOOKUP("0704.07a1Organizational.9",Assessment!H:H,Assessment!E:E)="yes",_xlfn.XLOOKUP("1148.01c2System.78",Assessment!H:H,Assessment!E:E)="yes",_xlfn.XLOOKUP("1611.09h1System.2",Assessment!H:H,Assessment!E:E)="yes",_xlfn.XLOOKUP("1739.05d1Organizational.3",Assessment!H:H,Assessment!E:E)="yes",_xlfn.XLOOKUP("0817.01w2System.123",Assessment!H:H,Assessment!E:E)="yes",_xlfn.XLOOKUP("0710.10m2Organizational.1",Assessment!H:H,Assessment!E:E)="yes"),"Yes","No")</f>
        <v>#N/A</v>
      </c>
      <c r="B180" s="40" t="s">
        <v>7829</v>
      </c>
      <c r="C180" s="40" t="s">
        <v>7835</v>
      </c>
      <c r="D180" s="40" t="s">
        <v>8032</v>
      </c>
      <c r="E180" s="40" t="s">
        <v>7835</v>
      </c>
      <c r="F180" s="44"/>
    </row>
    <row r="181" spans="1:9" x14ac:dyDescent="0.35">
      <c r="A181" s="40" t="e">
        <f>IF(OR(,_xlfn.XLOOKUP("1120.09ab3System.9",Assessment!H:H,Assessment!E:E)="yes"),"Yes","No")</f>
        <v>#N/A</v>
      </c>
      <c r="B181" s="40" t="s">
        <v>7829</v>
      </c>
      <c r="C181" s="40" t="s">
        <v>7835</v>
      </c>
      <c r="D181" s="40" t="s">
        <v>8033</v>
      </c>
      <c r="E181" s="40" t="s">
        <v>7835</v>
      </c>
      <c r="F181" s="44"/>
    </row>
    <row r="182" spans="1:9" x14ac:dyDescent="0.35">
      <c r="A182" s="40" t="e">
        <f>IF(OR(_xlfn.XLOOKUP("xyz",Assessment!H:H,Assessment!E:E)="yes"),"Yes","No")</f>
        <v>#N/A</v>
      </c>
      <c r="B182" s="40" t="s">
        <v>7829</v>
      </c>
      <c r="C182" s="40" t="s">
        <v>7835</v>
      </c>
      <c r="D182" s="40" t="s">
        <v>8034</v>
      </c>
      <c r="E182" s="40" t="s">
        <v>7835</v>
      </c>
      <c r="F182" s="44"/>
    </row>
    <row r="183" spans="1:9" x14ac:dyDescent="0.35">
      <c r="A183" s="40" t="e">
        <f>IF(OR(_xlfn.XLOOKUP("0814.01n1Organizational.12",Assessment!H:H,Assessment!E:E)="yes",_xlfn.XLOOKUP("0815.01o1Organizational.1",Assessment!H:H,Assessment!E:E)="yes",_xlfn.XLOOKUP("1004.01d2System.8",Assessment!H:H,Assessment!E:E)="yes",_xlfn.XLOOKUP("1023.01d1System.11",Assessment!H:H,Assessment!E:E)="yes",_xlfn.XLOOKUP("11124.01s1System.2",Assessment!H:H,Assessment!E:E)="yes",_xlfn.XLOOKUP("1295.09af1System.2",Assessment!H:H,Assessment!E:E)="yes",_xlfn.XLOOKUP("0809.01n2Organizational.1234",Assessment!H:H,Assessment!E:E)="yes",_xlfn.XLOOKUP("0810.01n2Organizational.5",Assessment!H:H,Assessment!E:E)="yes",_xlfn.XLOOKUP("0822.09m2Organizational.4",Assessment!H:H,Assessment!E:E)="yes",_xlfn.XLOOKUP("0826.09m3Organizational.45",Assessment!H:H,Assessment!E:E)="yes",_xlfn.XLOOKUP("0829.09m3Organizational.911",Assessment!H:H,Assessment!E:E)="yes",_xlfn.XLOOKUP("0863.09m2Organizational.910",Assessment!H:H,Assessment!E:E)="yes",_xlfn.XLOOKUP("0868.09m3Organizational.18",Assessment!H:H,Assessment!E:E)="yes",_xlfn.XLOOKUP("0869.09m3Organizational.19",Assessment!H:H,Assessment!E:E)="yes",_xlfn.XLOOKUP("1119.01j2Organizational.3",Assessment!H:H,Assessment!E:E)="yes"),"Yes","No")</f>
        <v>#N/A</v>
      </c>
      <c r="B183" s="40" t="s">
        <v>7829</v>
      </c>
      <c r="C183" s="40" t="s">
        <v>7835</v>
      </c>
      <c r="D183" s="40" t="s">
        <v>8035</v>
      </c>
      <c r="E183" s="40" t="s">
        <v>7835</v>
      </c>
      <c r="F183" s="44"/>
    </row>
    <row r="184" spans="1:9" x14ac:dyDescent="0.25">
      <c r="A184" s="40" t="e">
        <f>IF(OR(_xlfn.XLOOKUP("0724.07a3Organizational.4",Assessment!H:H,Assessment!E:E)="yes"),"Yes","No")</f>
        <v>#N/A</v>
      </c>
      <c r="B184" s="40" t="s">
        <v>7829</v>
      </c>
      <c r="C184" s="40" t="s">
        <v>7835</v>
      </c>
      <c r="D184" s="40" t="s">
        <v>8036</v>
      </c>
      <c r="E184" s="40" t="s">
        <v>7835</v>
      </c>
      <c r="F184" s="27"/>
    </row>
    <row r="185" spans="1:9" x14ac:dyDescent="0.25">
      <c r="A185" s="40" t="e">
        <f>IF(OR(_xlfn.XLOOKUP("1023.01d1System.11",Assessment!H:H,Assessment!E:E)="yes",_xlfn.XLOOKUP("11124.01s1System.2",Assessment!H:H,Assessment!E:E)="yes",_xlfn.XLOOKUP("1295.09af1System.2",Assessment!H:H,Assessment!E:E)="yes",_xlfn.XLOOKUP("0826.09m3Organizational.45",Assessment!H:H,Assessment!E:E)="yes",_xlfn.XLOOKUP("0869.09m3Organizational.19",Assessment!H:H,Assessment!E:E)="yes",_xlfn.XLOOKUP("1119.01j2Organizational.3",Assessment!H:H,Assessment!E:E)="yes"),"Yes","No")</f>
        <v>#N/A</v>
      </c>
      <c r="B185" s="40" t="s">
        <v>7829</v>
      </c>
      <c r="C185" s="40" t="s">
        <v>7835</v>
      </c>
      <c r="D185" s="40" t="s">
        <v>8037</v>
      </c>
      <c r="E185" s="40" t="s">
        <v>7835</v>
      </c>
      <c r="F185" s="27"/>
    </row>
    <row r="186" spans="1:9" x14ac:dyDescent="0.25">
      <c r="A186" s="40" t="e">
        <f>IF(OR(_xlfn.XLOOKUP("1023.01d1System.11",Assessment!H:H,Assessment!E:E)="yes",_xlfn.XLOOKUP("11124.01s1System.2",Assessment!H:H,Assessment!E:E)="yes",_xlfn.XLOOKUP("1295.09af1System.2",Assessment!H:H,Assessment!E:E)="yes",_xlfn.XLOOKUP("1119.01j2Organizational.3",Assessment!H:H,Assessment!E:E)="yes"),"Yes","No")</f>
        <v>#N/A</v>
      </c>
      <c r="B186" s="40" t="s">
        <v>7829</v>
      </c>
      <c r="C186" s="40" t="s">
        <v>7835</v>
      </c>
      <c r="D186" s="40" t="s">
        <v>8038</v>
      </c>
      <c r="E186" s="40" t="s">
        <v>7835</v>
      </c>
      <c r="F186" s="27"/>
    </row>
    <row r="187" spans="1:9" x14ac:dyDescent="0.35">
      <c r="A187" s="40" t="e">
        <f>IF(OR(_xlfn.XLOOKUP("1023.01d1System.11",Assessment!H:H,Assessment!E:E)="yes",_xlfn.XLOOKUP("11124.01s1System.2",Assessment!H:H,Assessment!E:E)="yes",_xlfn.XLOOKUP("1295.09af1System.2",Assessment!H:H,Assessment!E:E)="yes",_xlfn.XLOOKUP("0501.09m1Organizational.10",Assessment!H:H,Assessment!E:E)="yes",_xlfn.XLOOKUP("0502.09m1Organizational.5",Assessment!H:H,Assessment!E:E)="yes",_xlfn.XLOOKUP("0503.09m1Organizational.6",Assessment!H:H,Assessment!E:E)="yes",_xlfn.XLOOKUP("0506.09m1Organizational.11",Assessment!H:H,Assessment!E:E)="yes",_xlfn.XLOOKUP("0858.09m2Organizational.12",Assessment!H:H,Assessment!E:E)="yes",_xlfn.XLOOKUP("1119.01j2Organizational.3",Assessment!H:H,Assessment!E:E)="yes",_xlfn.XLOOKUP("0827.09m3Organizational.6",Assessment!H:H,Assessment!E:E)="yes"),"Yes","No")</f>
        <v>#N/A</v>
      </c>
      <c r="B187" s="40" t="s">
        <v>7829</v>
      </c>
      <c r="C187" s="40" t="s">
        <v>7835</v>
      </c>
      <c r="D187" s="40" t="s">
        <v>8039</v>
      </c>
      <c r="E187" s="40" t="s">
        <v>7835</v>
      </c>
      <c r="F187" s="44"/>
    </row>
    <row r="188" spans="1:9" x14ac:dyDescent="0.35">
      <c r="A188" s="40" t="e">
        <f>IF(OR(_xlfn.XLOOKUP("0305.09q1Organizational.12",Assessment!H:H,Assessment!E:E)="yes",_xlfn.XLOOKUP("0311.09o1Organizational.5",Assessment!H:H,Assessment!E:E)="yes",_xlfn.XLOOKUP("0301.09o2Organizational.2",Assessment!H:H,Assessment!E:E)="yes",_xlfn.XLOOKUP("19166.07e2Organizational.7",Assessment!H:H,Assessment!E:E)="yes",_xlfn.XLOOKUP("0322.09u2Organizational.12",Assessment!H:H,Assessment!E:E)="yes",_xlfn.XLOOKUP("0323.09u2Organizational.3",Assessment!H:H,Assessment!E:E)="yes"),"Yes","No")</f>
        <v>#N/A</v>
      </c>
      <c r="B188" s="40" t="s">
        <v>7829</v>
      </c>
      <c r="C188" s="40" t="s">
        <v>7835</v>
      </c>
      <c r="D188" s="40" t="s">
        <v>8040</v>
      </c>
      <c r="E188" s="40" t="s">
        <v>7835</v>
      </c>
      <c r="F188" s="44"/>
      <c r="I188" s="40" t="s">
        <v>8041</v>
      </c>
    </row>
    <row r="189" spans="1:9" x14ac:dyDescent="0.35">
      <c r="A189" s="40" t="e">
        <f>IF(OR(_xlfn.XLOOKUP("0313.07e2Organizational.6",Assessment!H:H,Assessment!E:E)="yes"),"Yes","No")</f>
        <v>#N/A</v>
      </c>
      <c r="B189" s="40" t="s">
        <v>7829</v>
      </c>
      <c r="C189" s="40" t="s">
        <v>7835</v>
      </c>
      <c r="D189" s="40" t="s">
        <v>8042</v>
      </c>
      <c r="E189" s="40" t="s">
        <v>7835</v>
      </c>
      <c r="F189" s="44"/>
    </row>
    <row r="190" spans="1:9" x14ac:dyDescent="0.35">
      <c r="A190" s="40" t="e">
        <f>IF(OR(_xlfn.XLOOKUP("0302.09o1Organizational.3",Assessment!H:H,Assessment!E:E)="yes",_xlfn.XLOOKUP("0321.09u1Organizational.2",Assessment!H:H,Assessment!E:E)="yes",_xlfn.XLOOKUP("0903.10f1Organizational.1",Assessment!H:H,Assessment!E:E)="yes",_xlfn.XLOOKUP("1445.09t2Organizational.1",Assessment!H:H,Assessment!E:E)="yes",_xlfn.XLOOKUP("0915.09s2Organizational.2",Assessment!H:H,Assessment!E:E)="yes",_xlfn.XLOOKUP("0307.09q2Organizational.12",Assessment!H:H,Assessment!E:E)="yes",_xlfn.XLOOKUP("0308.09q3Organizational.1",Assessment!H:H,Assessment!E:E)="yes",_xlfn.XLOOKUP("0314.09q3Organizational.2",Assessment!H:H,Assessment!E:E)="yes"),"Yes","No")</f>
        <v>#N/A</v>
      </c>
      <c r="B190" s="40" t="s">
        <v>7829</v>
      </c>
      <c r="C190" s="40" t="s">
        <v>7835</v>
      </c>
      <c r="D190" s="40" t="s">
        <v>8043</v>
      </c>
      <c r="E190" s="40" t="s">
        <v>7835</v>
      </c>
      <c r="F190" s="44"/>
    </row>
    <row r="191" spans="1:9" x14ac:dyDescent="0.25">
      <c r="A191" s="40" t="str">
        <f>IF(OR(_xlfn.XLOOKUP("19180.09z1Organizational.2",Assessment!H:H,Assessment!E:E)="yes"),"Yes","No")</f>
        <v>Yes</v>
      </c>
      <c r="B191" s="40" t="s">
        <v>7829</v>
      </c>
      <c r="C191" s="40" t="s">
        <v>7835</v>
      </c>
      <c r="D191" s="40" t="s">
        <v>8044</v>
      </c>
      <c r="E191" s="40" t="s">
        <v>7835</v>
      </c>
      <c r="F191" s="27"/>
    </row>
    <row r="192" spans="1:9" x14ac:dyDescent="0.25">
      <c r="A192" s="40" t="str">
        <f>IF(OR(_xlfn.XLOOKUP("0905.10g1Organizational.12",Assessment!H:H,Assessment!E:E)="yes"),"Yes","No")</f>
        <v>Yes</v>
      </c>
      <c r="B192" s="40" t="s">
        <v>7829</v>
      </c>
      <c r="C192" s="40" t="s">
        <v>7835</v>
      </c>
      <c r="D192" s="40" t="s">
        <v>8045</v>
      </c>
      <c r="E192" s="40" t="s">
        <v>7835</v>
      </c>
      <c r="F192" s="27"/>
    </row>
    <row r="193" spans="1:9" x14ac:dyDescent="0.35">
      <c r="A193" s="40" t="e">
        <f>IF(OR(,_xlfn.XLOOKUP("19375.13f1Organizational.8",Assessment!H:H,Assessment!E:E)="yes"),"Yes","No")</f>
        <v>#N/A</v>
      </c>
      <c r="B193" s="40" t="s">
        <v>7829</v>
      </c>
      <c r="C193" s="40" t="s">
        <v>7835</v>
      </c>
      <c r="D193" s="40" t="s">
        <v>8046</v>
      </c>
      <c r="E193" s="40" t="s">
        <v>7835</v>
      </c>
      <c r="F193" s="44"/>
      <c r="H193" s="40" t="s">
        <v>8047</v>
      </c>
    </row>
    <row r="194" spans="1:9" x14ac:dyDescent="0.35">
      <c r="A194" s="40" t="e">
        <f>IF(OR(_xlfn.XLOOKUP("1603.12c2Organizational.8",Assessment!H:H,Assessment!E:E)="yes"),"Yes","No")</f>
        <v>#N/A</v>
      </c>
      <c r="B194" s="40" t="s">
        <v>7829</v>
      </c>
      <c r="C194" s="40" t="s">
        <v>7835</v>
      </c>
      <c r="D194" s="40" t="s">
        <v>8048</v>
      </c>
      <c r="E194" s="40" t="s">
        <v>7835</v>
      </c>
      <c r="F194" s="44"/>
    </row>
    <row r="195" spans="1:9" ht="25" x14ac:dyDescent="0.35">
      <c r="A195" s="40" t="e">
        <f>IF(OR(_xlfn.XLOOKUP("0109.02d1Organizational.4",Assessment!H:H,Assessment!E:E)="yes",_xlfn.XLOOKUP("0151.02c1Organizational.23",Assessment!H:H,Assessment!E:E)="yes",_xlfn.XLOOKUP("0210.01g1Organizational.1",Assessment!H:H,Assessment!E:E)="yes",_xlfn.XLOOKUP("11110.01q2System.10",Assessment!H:H,Assessment!E:E)="yes",_xlfn.XLOOKUP("1304.02e1Organizational.7",Assessment!H:H,Assessment!E:E)="yes",_xlfn.XLOOKUP("1306.06e1Organizational.5",Assessment!H:H,Assessment!E:E)="yes",_xlfn.XLOOKUP("1506.11a1Organizational.2",Assessment!H:H,Assessment!E:E)="yes",_xlfn.XLOOKUP("18128.08m1Organizational.12",Assessment!H:H,Assessment!E:E)="yes",_xlfn.XLOOKUP("0722.07a2Organizational.4",Assessment!H:H,Assessment!E:E)="yes",_xlfn.XLOOKUP("1102.01a2Organizational.2",Assessment!H:H,Assessment!E:E)="yes",_xlfn.XLOOKUP("1432.05k2Organizational.7",Assessment!H:H,Assessment!E:E)="yes",_xlfn.XLOOKUP("1522.11c3Organizational.13",Assessment!H:H,Assessment!E:E)="yes",_xlfn.XLOOKUP("1815.08d2Organizational.123",Assessment!H:H,Assessment!E:E)="yes",_xlfn.XLOOKUP("0111.02d2Organizational.2",Assessment!H:H,Assessment!E:E)="yes",_xlfn.XLOOKUP("1154.01c3System.4",Assessment!H:H,Assessment!E:E)="yes",_xlfn.XLOOKUP("1511.11a2Organizational.5",Assessment!H:H,Assessment!E:E)="yes",_xlfn.XLOOKUP("1520.11c2Organizational.4",Assessment!H:H,Assessment!E:E)="yes"),"Yes","No")</f>
        <v>#N/A</v>
      </c>
      <c r="B195" s="40" t="s">
        <v>7829</v>
      </c>
      <c r="C195" s="40" t="s">
        <v>7835</v>
      </c>
      <c r="D195" s="40" t="s">
        <v>8049</v>
      </c>
      <c r="E195" s="40" t="s">
        <v>7835</v>
      </c>
      <c r="F195" s="44"/>
      <c r="H195" s="58" t="s">
        <v>8050</v>
      </c>
      <c r="I195" s="40" t="s">
        <v>7919</v>
      </c>
    </row>
    <row r="196" spans="1:9" ht="37.5" x14ac:dyDescent="0.35">
      <c r="A196" s="40" t="e">
        <f>IF(OR(_xlfn.XLOOKUP("0109.02d1Organizational.4",Assessment!H:H,Assessment!E:E)="yes",_xlfn.XLOOKUP("0151.02c1Organizational.23",Assessment!H:H,Assessment!E:E)="yes",_xlfn.XLOOKUP("0210.01g1Organizational.1",Assessment!H:H,Assessment!E:E)="yes",_xlfn.XLOOKUP("1145.01c2System.1",Assessment!H:H,Assessment!E:E)="yes",_xlfn.XLOOKUP("1304.02e1Organizational.7",Assessment!H:H,Assessment!E:E)="yes",_xlfn.XLOOKUP("1306.06e1Organizational.5",Assessment!H:H,Assessment!E:E)="yes",_xlfn.XLOOKUP("1506.11a1Organizational.2",Assessment!H:H,Assessment!E:E)="yes",_xlfn.XLOOKUP("18128.08m1Organizational.12",Assessment!H:H,Assessment!E:E)="yes",_xlfn.XLOOKUP("1102.01a2Organizational.2",Assessment!H:H,Assessment!E:E)="yes",_xlfn.XLOOKUP("1303.02e2Organizational.2",Assessment!H:H,Assessment!E:E)="yes",_xlfn.XLOOKUP("1326.02e2Organizational.9",Assessment!H:H,Assessment!E:E)="yes",_xlfn.XLOOKUP("1517.11c2Organizational.8",Assessment!H:H,Assessment!E:E)="yes",_xlfn.XLOOKUP("1522.11c3Organizational.13",Assessment!H:H,Assessment!E:E)="yes",_xlfn.XLOOKUP("1815.08d2Organizational.123",Assessment!H:H,Assessment!E:E)="yes",_xlfn.XLOOKUP("1511.11a2Organizational.5",Assessment!H:H,Assessment!E:E)="yes",_xlfn.XLOOKUP("1520.11c2Organizational.4",Assessment!H:H,Assessment!E:E)="yes",_xlfn.XLOOKUP("1137.06e2Organizational.3",Assessment!H:H,Assessment!E:E)="yes",_xlfn.XLOOKUP("1201.06e2Organizational.4",Assessment!H:H,Assessment!E:E)="yes",_xlfn.XLOOKUP("1311.12c2Organizational.3",Assessment!H:H,Assessment!E:E)="yes",_xlfn.XLOOKUP("1325.09s2Organizational.4",Assessment!H:H,Assessment!E:E)="yes",_xlfn.XLOOKUP("1164.01cHIESystem.1",Assessment!H:H,Assessment!E:E)="yes"),"Yes","No")</f>
        <v>#N/A</v>
      </c>
      <c r="B196" s="40" t="s">
        <v>7829</v>
      </c>
      <c r="C196" s="40" t="s">
        <v>7835</v>
      </c>
      <c r="D196" s="40" t="s">
        <v>8051</v>
      </c>
      <c r="E196" s="40" t="s">
        <v>7835</v>
      </c>
      <c r="F196" s="44"/>
      <c r="H196" s="58" t="s">
        <v>8052</v>
      </c>
      <c r="I196" s="58" t="s">
        <v>8053</v>
      </c>
    </row>
    <row r="197" spans="1:9" x14ac:dyDescent="0.25">
      <c r="A197" s="40" t="str">
        <f>IF(OR(_xlfn.XLOOKUP("1304.02e1Organizational.7",Assessment!H:H,Assessment!E:E)="yes"),"Yes","No")</f>
        <v>Yes</v>
      </c>
      <c r="B197" s="40" t="s">
        <v>7829</v>
      </c>
      <c r="C197" s="40" t="s">
        <v>7835</v>
      </c>
      <c r="D197" s="40" t="s">
        <v>8054</v>
      </c>
      <c r="E197" s="40" t="s">
        <v>7835</v>
      </c>
      <c r="F197" s="27"/>
    </row>
    <row r="198" spans="1:9" x14ac:dyDescent="0.35">
      <c r="A198" s="40" t="e">
        <f>IF(OR(_xlfn.XLOOKUP("1847.08b2Organizational.910",Assessment!H:H,Assessment!E:E)="yes",_xlfn.XLOOKUP("1801.08b2Organizational.9",Assessment!H:H,Assessment!E:E)="yes",_xlfn.XLOOKUP("18109.08j2Organizational.5",Assessment!H:H,Assessment!E:E)="yes",_xlfn.XLOOKUP("18110.08j2Organizational.6",Assessment!H:H,Assessment!E:E)="yes"),"Yes","No")</f>
        <v>#N/A</v>
      </c>
      <c r="B198" s="40" t="s">
        <v>7829</v>
      </c>
      <c r="C198" s="40" t="s">
        <v>7835</v>
      </c>
      <c r="D198" s="40" t="s">
        <v>8055</v>
      </c>
      <c r="E198" s="40" t="s">
        <v>7835</v>
      </c>
      <c r="F198" s="44"/>
    </row>
    <row r="199" spans="1:9" x14ac:dyDescent="0.25">
      <c r="A199" s="40" t="e">
        <f>IF(OR(_xlfn.XLOOKUP("0135.02f1Organizational.56",Assessment!H:H,Assessment!E:E)="yes"),"Yes","No")</f>
        <v>#N/A</v>
      </c>
      <c r="B199" s="40" t="s">
        <v>7829</v>
      </c>
      <c r="C199" s="40" t="s">
        <v>7835</v>
      </c>
      <c r="D199" s="40" t="s">
        <v>8056</v>
      </c>
      <c r="E199" s="40" t="s">
        <v>7835</v>
      </c>
      <c r="F199" s="27"/>
    </row>
    <row r="200" spans="1:9" x14ac:dyDescent="0.35">
      <c r="A200" s="40" t="e">
        <f>IF(OR(_xlfn.XLOOKUP("1313.02e2Organizational.8",Assessment!H:H,Assessment!E:E)="yes"),"Yes","No")</f>
        <v>#N/A</v>
      </c>
      <c r="B200" s="40" t="s">
        <v>7829</v>
      </c>
      <c r="C200" s="40" t="s">
        <v>7835</v>
      </c>
      <c r="D200" s="40" t="s">
        <v>8057</v>
      </c>
      <c r="E200" s="40" t="s">
        <v>7835</v>
      </c>
      <c r="F200" s="44"/>
    </row>
    <row r="201" spans="1:9" x14ac:dyDescent="0.35">
      <c r="A201" s="40" t="e">
        <f>IF(OR(_xlfn.XLOOKUP("1315.02e2Organizational.67",Assessment!H:H,Assessment!E:E)="yes"),"Yes","No")</f>
        <v>#N/A</v>
      </c>
      <c r="B201" s="40" t="s">
        <v>7829</v>
      </c>
      <c r="C201" s="40" t="s">
        <v>7835</v>
      </c>
      <c r="D201" s="40" t="s">
        <v>8058</v>
      </c>
      <c r="E201" s="40" t="s">
        <v>7835</v>
      </c>
      <c r="F201" s="44"/>
    </row>
    <row r="202" spans="1:9" x14ac:dyDescent="0.35">
      <c r="A202" s="40" t="e">
        <f>IF(OR(_xlfn.XLOOKUP("xyz",Assessment!H:H,Assessment!E:E)="yes"),"Yes","No")</f>
        <v>#N/A</v>
      </c>
      <c r="B202" s="40" t="s">
        <v>7829</v>
      </c>
      <c r="C202" s="40" t="s">
        <v>7835</v>
      </c>
      <c r="D202" s="40" t="s">
        <v>8059</v>
      </c>
      <c r="E202" s="40" t="s">
        <v>7835</v>
      </c>
      <c r="F202" s="44"/>
    </row>
    <row r="203" spans="1:9" x14ac:dyDescent="0.35">
      <c r="A203" s="40" t="e">
        <f>IF(OR(_xlfn.XLOOKUP("0104.02a1Organizational.12",Assessment!H:H,Assessment!E:E)="yes",_xlfn.XLOOKUP("1008.01d2System.3",Assessment!H:H,Assessment!E:E)="yes",_xlfn.XLOOKUP("1106.01b2System.4",Assessment!H:H,Assessment!E:E)="yes",_xlfn.XLOOKUP("1109.01b2System.6",Assessment!H:H,Assessment!E:E)="yes",_xlfn.XLOOKUP("1110.01b2System.7",Assessment!H:H,Assessment!E:E)="yes",_xlfn.XLOOKUP("1166.01e2System.3",Assessment!H:H,Assessment!E:E)="yes",_xlfn.XLOOKUP("13.02e1Organizational.6",Assessment!H:H,Assessment!E:E)="yes",_xlfn.XLOOKUP("13998.02e1Organizational.2",Assessment!H:H,Assessment!E:E)="yes",_xlfn.XLOOKUP("1504.06e2Organizational.2",Assessment!H:H,Assessment!E:E)="yes",_xlfn.XLOOKUP("1305.02e3Organizational.23",Assessment!H:H,Assessment!E:E)="yes",_xlfn.XLOOKUP("0106.02a2Organizational.23",Assessment!H:H,Assessment!E:E)="yes",_xlfn.XLOOKUP("0105.02a2Organizational.1",Assessment!H:H,Assessment!E:E)="yes",_xlfn.XLOOKUP("1301.02e2Organizational.7",Assessment!H:H,Assessment!E:E)="yes"),"Yes","No")</f>
        <v>#N/A</v>
      </c>
      <c r="B203" s="40" t="s">
        <v>7829</v>
      </c>
      <c r="C203" s="40" t="s">
        <v>7835</v>
      </c>
      <c r="D203" s="40" t="s">
        <v>8060</v>
      </c>
      <c r="E203" s="40" t="s">
        <v>7835</v>
      </c>
      <c r="F203" s="44"/>
      <c r="H203" s="58" t="s">
        <v>8061</v>
      </c>
      <c r="I203" s="58" t="s">
        <v>8061</v>
      </c>
    </row>
    <row r="204" spans="1:9" x14ac:dyDescent="0.35">
      <c r="A204" s="40" t="e">
        <f>IF(OR(_xlfn.XLOOKUP("xyz",Assessment!H:H,Assessment!E:E)="yes"),"Yes","No")</f>
        <v>#N/A</v>
      </c>
      <c r="B204" s="40" t="s">
        <v>7829</v>
      </c>
      <c r="C204" s="40" t="s">
        <v>7835</v>
      </c>
      <c r="D204" s="40" t="s">
        <v>8062</v>
      </c>
      <c r="E204" s="40" t="s">
        <v>7835</v>
      </c>
      <c r="F204" s="44"/>
    </row>
    <row r="205" spans="1:9" x14ac:dyDescent="0.35">
      <c r="A205" s="40" t="e">
        <f>IF(OR(_xlfn.XLOOKUP("1112.01b2System.2",Assessment!H:H,Assessment!E:E)="yes"),"Yes","No")</f>
        <v>#N/A</v>
      </c>
      <c r="B205" s="40" t="s">
        <v>7829</v>
      </c>
      <c r="C205" s="40" t="s">
        <v>7835</v>
      </c>
      <c r="D205" s="40" t="s">
        <v>8063</v>
      </c>
      <c r="E205" s="40" t="s">
        <v>7835</v>
      </c>
      <c r="F205" s="44"/>
    </row>
    <row r="206" spans="1:9" x14ac:dyDescent="0.35">
      <c r="A206" s="40" t="e">
        <f>IF(OR(_xlfn.XLOOKUP("19419.13jHIPAAOrganizational.1",Assessment!H:H,Assessment!E:E)="yes"),"Yes","No")</f>
        <v>#N/A</v>
      </c>
      <c r="B206" s="40" t="s">
        <v>7829</v>
      </c>
      <c r="C206" s="40" t="s">
        <v>7835</v>
      </c>
      <c r="D206" s="40" t="s">
        <v>8064</v>
      </c>
      <c r="E206" s="40" t="s">
        <v>7835</v>
      </c>
      <c r="F206" s="44"/>
    </row>
    <row r="207" spans="1:9" x14ac:dyDescent="0.35">
      <c r="A207" s="40" t="e">
        <f>IF(OR(_xlfn.XLOOKUP("xyz",Assessment!H:H,Assessment!E:E)="yes"),"Yes","No")</f>
        <v>#N/A</v>
      </c>
      <c r="B207" s="40" t="s">
        <v>7829</v>
      </c>
      <c r="C207" s="40" t="s">
        <v>7835</v>
      </c>
      <c r="D207" s="40" t="s">
        <v>8065</v>
      </c>
      <c r="E207" s="40" t="s">
        <v>7835</v>
      </c>
      <c r="F207" s="44"/>
    </row>
    <row r="208" spans="1:9" x14ac:dyDescent="0.35">
      <c r="A208" s="40" t="e">
        <f>IF(OR(_xlfn.XLOOKUP("1334.02e2Organizational.12",Assessment!H:H,Assessment!E:E)="yes"),"Yes","No")</f>
        <v>#N/A</v>
      </c>
      <c r="B208" s="40" t="s">
        <v>7829</v>
      </c>
      <c r="C208" s="40" t="s">
        <v>7835</v>
      </c>
      <c r="D208" s="40" t="s">
        <v>8066</v>
      </c>
      <c r="E208" s="40" t="s">
        <v>7835</v>
      </c>
      <c r="F208" s="44"/>
      <c r="H208" s="40" t="s">
        <v>8067</v>
      </c>
    </row>
    <row r="209" spans="1:9" x14ac:dyDescent="0.35">
      <c r="A209" s="40" t="e">
        <f>IF(OR(_xlfn.XLOOKUP("xyz",Assessment!H:H,Assessment!E:E)="yes"),"Yes","No")</f>
        <v>#N/A</v>
      </c>
      <c r="B209" s="40" t="s">
        <v>7829</v>
      </c>
      <c r="C209" s="40" t="s">
        <v>7835</v>
      </c>
      <c r="D209" s="40" t="s">
        <v>8068</v>
      </c>
      <c r="E209" s="40" t="s">
        <v>7835</v>
      </c>
      <c r="F209" s="44"/>
    </row>
    <row r="210" spans="1:9" x14ac:dyDescent="0.25">
      <c r="A210" s="40" t="e">
        <f>IF(OR(_xlfn.XLOOKUP("1315.02e2Organizational.67",Assessment!H:H,Assessment!E:E)="yes"),"Yes","No")</f>
        <v>#N/A</v>
      </c>
      <c r="B210" s="40" t="s">
        <v>7829</v>
      </c>
      <c r="C210" s="40" t="s">
        <v>7835</v>
      </c>
      <c r="D210" s="40" t="s">
        <v>8069</v>
      </c>
      <c r="E210" s="40" t="s">
        <v>7835</v>
      </c>
      <c r="F210" s="27"/>
      <c r="H210" s="40" t="s">
        <v>8070</v>
      </c>
    </row>
    <row r="211" spans="1:9" x14ac:dyDescent="0.35">
      <c r="A211" s="40" t="e">
        <f>IF(OR(_xlfn.XLOOKUP("0407.01y1Organizational.4",Assessment!H:H,Assessment!E:E)="yes",_xlfn.XLOOKUP("0415.01y1Organizational.10",Assessment!H:H,Assessment!E:E)="yes",_xlfn.XLOOKUP("1125.01q2System.1",Assessment!H:H,Assessment!E:E)="yes",_xlfn.XLOOKUP("1119.01j2Organizational.3",Assessment!H:H,Assessment!E:E)="yes",_xlfn.XLOOKUP("0405.01y2Organizational.2",Assessment!H:H,Assessment!E:E)="yes",_xlfn.XLOOKUP("0417.01y3Organizational.5",Assessment!H:H,Assessment!E:E)="yes",_xlfn.XLOOKUP("1116.01j2Organizational.6",Assessment!H:H,Assessment!E:E)="yes",_xlfn.XLOOKUP("1118.01j2Organizational.124",Assessment!H:H,Assessment!E:E)="yes",_xlfn.XLOOKUP("1310.01y2Organizational.1",Assessment!H:H,Assessment!E:E)="yes"),"Yes","No")</f>
        <v>#N/A</v>
      </c>
      <c r="B211" s="40" t="s">
        <v>7829</v>
      </c>
      <c r="C211" s="40" t="s">
        <v>7835</v>
      </c>
      <c r="D211" s="40" t="s">
        <v>8071</v>
      </c>
      <c r="E211" s="40" t="s">
        <v>7835</v>
      </c>
      <c r="F211" s="44"/>
    </row>
    <row r="212" spans="1:9" x14ac:dyDescent="0.35">
      <c r="A212" s="40" t="e">
        <f>IF(OR(,_xlfn.XLOOKUP("1136.02i2Organizational.1",Assessment!H:H,Assessment!E:E)="yes"),"Yes","No")</f>
        <v>#N/A</v>
      </c>
      <c r="B212" s="40" t="s">
        <v>7829</v>
      </c>
      <c r="C212" s="40" t="s">
        <v>7835</v>
      </c>
      <c r="D212" s="40" t="s">
        <v>8072</v>
      </c>
      <c r="E212" s="40" t="s">
        <v>7835</v>
      </c>
      <c r="F212" s="44"/>
    </row>
    <row r="213" spans="1:9" x14ac:dyDescent="0.25">
      <c r="A213" s="40" t="e">
        <f>IF(OR(_xlfn.XLOOKUP("0501.09m1Organizational.11",Assessment!H:H,Assessment!E:E)="yes"),"Yes","No")</f>
        <v>#N/A</v>
      </c>
      <c r="B213" s="40" t="s">
        <v>7829</v>
      </c>
      <c r="C213" s="40" t="s">
        <v>7835</v>
      </c>
      <c r="D213" s="40" t="s">
        <v>8073</v>
      </c>
      <c r="E213" s="40" t="s">
        <v>7835</v>
      </c>
      <c r="F213" s="27"/>
    </row>
    <row r="214" spans="1:9" x14ac:dyDescent="0.25">
      <c r="A214" s="40" t="e">
        <f>IF(OR(_xlfn.XLOOKUP("1109.01b2System.6",Assessment!H:H,Assessment!E:E)="yes",_xlfn.XLOOKUP("11143.02i1Organizational.3",Assessment!H:H,Assessment!E:E)="yes",_xlfn.XLOOKUP("11152.02h1Organizational.1",Assessment!H:H,Assessment!E:E)="yes",_xlfn.XLOOKUP("1166.01e2System.3",Assessment!H:H,Assessment!E:E)="yes",_xlfn.XLOOKUP("11144.02g2Organizational.5",Assessment!H:H,Assessment!E:E)="yes",_xlfn.XLOOKUP("11154.02i2Organizational.3",Assessment!H:H,Assessment!E:E)="yes",_xlfn.XLOOKUP("1135.02i3Organizational.1",Assessment!H:H,Assessment!E:E)="yes",_xlfn.XLOOKUP("19153.13k1Organizational.4",Assessment!H:H,Assessment!E:E)="yes"),"Yes","No")</f>
        <v>#N/A</v>
      </c>
      <c r="B214" s="40" t="s">
        <v>7829</v>
      </c>
      <c r="C214" s="40" t="s">
        <v>7835</v>
      </c>
      <c r="D214" s="40" t="s">
        <v>8074</v>
      </c>
      <c r="E214" s="40" t="s">
        <v>7835</v>
      </c>
      <c r="F214" s="27"/>
      <c r="H214" s="58" t="s">
        <v>8075</v>
      </c>
      <c r="I214" s="58" t="s">
        <v>8075</v>
      </c>
    </row>
    <row r="215" spans="1:9" ht="25" x14ac:dyDescent="0.35">
      <c r="A215" s="40" t="e">
        <f>IF(OR(_xlfn.XLOOKUP("0109.02d1Organizational.4",Assessment!H:H,Assessment!E:E)="yes",_xlfn.XLOOKUP("0151.02c1Organizational.23",Assessment!H:H,Assessment!E:E)="yes",_xlfn.XLOOKUP("0210.01g1Organizational.1",Assessment!H:H,Assessment!E:E)="yes",_xlfn.XLOOKUP("0630.10h2System.6",Assessment!H:H,Assessment!E:E)="yes",_xlfn.XLOOKUP("11110.01q2System.10",Assessment!H:H,Assessment!E:E)="yes",_xlfn.XLOOKUP("1304.02e1Organizational.7",Assessment!H:H,Assessment!E:E)="yes",_xlfn.XLOOKUP("1306.06e1Organizational.5",Assessment!H:H,Assessment!E:E)="yes",_xlfn.XLOOKUP("1506.11a1Organizational.2",Assessment!H:H,Assessment!E:E)="yes",_xlfn.XLOOKUP("18128.08m1Organizational.12",Assessment!H:H,Assessment!E:E)="yes",_xlfn.XLOOKUP("1102.01a2Organizational.2",Assessment!H:H,Assessment!E:E)="yes",_xlfn.XLOOKUP("1432.05k2Organizational.7",Assessment!H:H,Assessment!E:E)="yes",_xlfn.XLOOKUP("1801.08b2Organizational.9",Assessment!H:H,Assessment!E:E)="yes",_xlfn.XLOOKUP("18110.08j2Organizational.6",Assessment!H:H,Assessment!E:E)="yes",_xlfn.XLOOKUP("1431.05k2Organizational.6",Assessment!H:H,Assessment!E:E)="yes",_xlfn.XLOOKUP("1522.11c3Organizational.13",Assessment!H:H,Assessment!E:E)="yes",_xlfn.XLOOKUP("1815.08d2Organizational.123",Assessment!H:H,Assessment!E:E)="yes",_xlfn.XLOOKUP("0111.02d2Organizational.2",Assessment!H:H,Assessment!E:E)="yes",_xlfn.XLOOKUP("1511.11a2Organizational.5",Assessment!H:H,Assessment!E:E)="yes",_xlfn.XLOOKUP("1520.11c2Organizational.4",Assessment!H:H,Assessment!E:E)="yes"),"Yes","No")</f>
        <v>#N/A</v>
      </c>
      <c r="B215" s="40" t="s">
        <v>7829</v>
      </c>
      <c r="C215" s="40" t="s">
        <v>7835</v>
      </c>
      <c r="D215" s="40" t="s">
        <v>8076</v>
      </c>
      <c r="E215" s="40" t="s">
        <v>7835</v>
      </c>
      <c r="F215" s="44"/>
      <c r="H215" s="58" t="s">
        <v>8050</v>
      </c>
      <c r="I215" s="40" t="s">
        <v>7919</v>
      </c>
    </row>
    <row r="216" spans="1:9" x14ac:dyDescent="0.35">
      <c r="A216" s="40" t="e">
        <f>IF(OR(_xlfn.XLOOKUP("1109.01b2System.6",Assessment!H:H,Assessment!E:E)="yes",_xlfn.XLOOKUP("11143.02i1Organizational.3",Assessment!H:H,Assessment!E:E)="yes",_xlfn.XLOOKUP("1166.01e2System.3",Assessment!H:H,Assessment!E:E)="yes",_xlfn.XLOOKUP("11145.02i2Organizational.2",Assessment!H:H,Assessment!E:E)="yes"),"Yes","No")</f>
        <v>#N/A</v>
      </c>
      <c r="B216" s="40" t="s">
        <v>7829</v>
      </c>
      <c r="C216" s="40" t="s">
        <v>7835</v>
      </c>
      <c r="D216" s="40" t="s">
        <v>8077</v>
      </c>
      <c r="E216" s="40" t="s">
        <v>7835</v>
      </c>
      <c r="F216" s="44"/>
      <c r="H216" s="40" t="s">
        <v>8078</v>
      </c>
    </row>
    <row r="217" spans="1:9" x14ac:dyDescent="0.25">
      <c r="A217" s="40" t="e">
        <f>IF(OR(_xlfn.XLOOKUP("xyz",Assessment!H:H,Assessment!E:E)="yes"),"Yes","No")</f>
        <v>#N/A</v>
      </c>
      <c r="B217" s="40" t="s">
        <v>7829</v>
      </c>
      <c r="C217" s="40" t="s">
        <v>7835</v>
      </c>
      <c r="D217" s="40" t="s">
        <v>8079</v>
      </c>
      <c r="E217" s="40" t="s">
        <v>7835</v>
      </c>
      <c r="F217" s="27"/>
    </row>
    <row r="218" spans="1:9" x14ac:dyDescent="0.25">
      <c r="A218" s="40" t="e">
        <f>IF(OR(_xlfn.XLOOKUP("0722.07a2Organizational.4",Assessment!H:H,Assessment!E:E)="yes"),"Yes","No")</f>
        <v>#N/A</v>
      </c>
      <c r="B218" s="40" t="s">
        <v>7829</v>
      </c>
      <c r="C218" s="40" t="s">
        <v>7835</v>
      </c>
      <c r="D218" s="40" t="s">
        <v>8080</v>
      </c>
      <c r="E218" s="40" t="s">
        <v>7835</v>
      </c>
      <c r="F218" s="27"/>
    </row>
    <row r="219" spans="1:9" x14ac:dyDescent="0.25">
      <c r="A219" s="40" t="e">
        <f>IF(OR(,_xlfn.XLOOKUP("0669.10hCSPSystem.1",Assessment!H:H,Assessment!E:E)="yes"),"Yes","No")</f>
        <v>#N/A</v>
      </c>
      <c r="B219" s="40" t="s">
        <v>7829</v>
      </c>
      <c r="C219" s="40" t="s">
        <v>7835</v>
      </c>
      <c r="D219" s="40" t="s">
        <v>8081</v>
      </c>
      <c r="E219" s="40" t="s">
        <v>7835</v>
      </c>
      <c r="F219" s="27"/>
    </row>
    <row r="220" spans="1:9" x14ac:dyDescent="0.25">
      <c r="A220" s="40" t="str">
        <f>IF(OR(,_xlfn.XLOOKUP("0936.09w1Organizational.1",Assessment!H:H,Assessment!E:E)="yes"),"Yes","No")</f>
        <v>Yes</v>
      </c>
      <c r="B220" s="40" t="s">
        <v>7829</v>
      </c>
      <c r="C220" s="40" t="s">
        <v>7835</v>
      </c>
      <c r="D220" s="40" t="s">
        <v>8082</v>
      </c>
      <c r="E220" s="40" t="s">
        <v>7835</v>
      </c>
      <c r="F220" s="27"/>
    </row>
    <row r="221" spans="1:9" x14ac:dyDescent="0.35">
      <c r="A221" s="40" t="e">
        <f>IF(OR(_xlfn.XLOOKUP("11.01e1System.2",Assessment!H:H,Assessment!E:E)="yes",_xlfn.XLOOKUP("1101.01a1Organizational.1245",Assessment!H:H,Assessment!E:E)="yes",_xlfn.XLOOKUP("1117.01j1Organizational.23",Assessment!H:H,Assessment!E:E),_xlfn.XLOOKUP("1123.01q1System.2",Assessment!H:H,Assessment!E:E,)="yes",_xlfn.XLOOKUP("1403.05i1Organizational.67",Assessment!H:H,Assessment!E:E,)="yes",_xlfn.XLOOKUP("1149.01c2System.9",Assessment!H:H,Assessment!E:E,)="yes"),"Yes","No")</f>
        <v>#N/A</v>
      </c>
      <c r="B221" s="40" t="s">
        <v>7829</v>
      </c>
      <c r="C221" s="40" t="s">
        <v>8083</v>
      </c>
      <c r="D221" s="40" t="s">
        <v>8084</v>
      </c>
      <c r="E221" s="40" t="s">
        <v>8085</v>
      </c>
      <c r="H221" s="40" t="s">
        <v>8086</v>
      </c>
      <c r="I221" s="40" t="s">
        <v>8086</v>
      </c>
    </row>
    <row r="222" spans="1:9" x14ac:dyDescent="0.35">
      <c r="A222" s="40" t="e">
        <f>IF(OR(_xlfn.XLOOKUP("1124.01q2System.12",Assessment!H:H,Assessment!E:E)="yes"),"Yes","No")</f>
        <v>#N/A</v>
      </c>
      <c r="B222" s="40" t="s">
        <v>7829</v>
      </c>
      <c r="C222" s="40" t="s">
        <v>8083</v>
      </c>
      <c r="D222" s="40" t="s">
        <v>8087</v>
      </c>
      <c r="E222" s="40" t="s">
        <v>8085</v>
      </c>
    </row>
    <row r="223" spans="1:9" x14ac:dyDescent="0.35">
      <c r="A223" s="40" t="e">
        <f>IF(OR(_xlfn.XLOOKUP("11.01e1System.2",Assessment!H:H,Assessment!E:E)="yes",_xlfn.XLOOKUP("1101.01a1Organizational.1245",Assessment!H:H,Assessment!E:E)="yes",_xlfn.XLOOKUP("11113.01q3System.3",Assessment!H:H,Assessment!E:E)="yes",_xlfn.XLOOKUP("11183.01c1System.3",Assessment!H:H,Assessment!E:E)="yes",_xlfn.XLOOKUP("1123.01q1System.2",Assessment!H:H,Assessment!E:E)="yes",_xlfn.XLOOKUP("1143.01c1System.123",Assessment!H:H,Assessment!E:E)="yes",_xlfn.XLOOKUP("1147.01c2System.456",Assessment!H:H,Assessment!E:E)="yes",_xlfn.XLOOKUP("1151.01c1System.2",Assessment!H:H,Assessment!E:E)="yes"),"Yes","No")</f>
        <v>#N/A</v>
      </c>
      <c r="B223" s="40" t="s">
        <v>7829</v>
      </c>
      <c r="C223" s="40" t="s">
        <v>8083</v>
      </c>
      <c r="D223" s="40" t="s">
        <v>8088</v>
      </c>
      <c r="E223" s="40" t="s">
        <v>8085</v>
      </c>
      <c r="H223" s="40" t="s">
        <v>8086</v>
      </c>
      <c r="I223" s="40" t="s">
        <v>8086</v>
      </c>
    </row>
    <row r="224" spans="1:9" x14ac:dyDescent="0.35">
      <c r="A224" s="40" t="str">
        <f>IF(OR(_xlfn.XLOOKUP("11.01e1System.2",Assessment!H:H,Assessment!E:E)="yes",_xlfn.XLOOKUP("1101.01a1Organizational.1245",Assessment!H:H,Assessment!E:E)="yes",_xlfn.XLOOKUP("1123.01q1System.2",Assessment!H:H,Assessment!E:E)="yes"),"Yes","No")</f>
        <v>Yes</v>
      </c>
      <c r="B224" s="40" t="s">
        <v>7829</v>
      </c>
      <c r="C224" s="40" t="s">
        <v>8083</v>
      </c>
      <c r="D224" s="40" t="s">
        <v>8089</v>
      </c>
      <c r="E224" s="40" t="s">
        <v>8085</v>
      </c>
      <c r="H224" s="40" t="s">
        <v>8086</v>
      </c>
      <c r="I224" s="40" t="s">
        <v>8086</v>
      </c>
    </row>
    <row r="225" spans="1:9" x14ac:dyDescent="0.35">
      <c r="A225" s="40" t="e">
        <f>IF(OR(_xlfn.XLOOKUP("xyz",Assessment!H:H,Assessment!E:E)="yes"),"Yes","No")</f>
        <v>#N/A</v>
      </c>
      <c r="B225" s="40" t="s">
        <v>7829</v>
      </c>
      <c r="C225" s="40" t="s">
        <v>8083</v>
      </c>
      <c r="D225" s="40" t="s">
        <v>8090</v>
      </c>
      <c r="E225" s="40" t="s">
        <v>8085</v>
      </c>
    </row>
    <row r="226" spans="1:9" x14ac:dyDescent="0.35">
      <c r="A226" s="40" t="e">
        <f>IF(OR(_xlfn.XLOOKUP("11113.01q3System.3",Assessment!H:H,Assessment!E:E)="yes"),"Yes","No")</f>
        <v>#N/A</v>
      </c>
      <c r="B226" s="40" t="s">
        <v>7829</v>
      </c>
      <c r="C226" s="40" t="s">
        <v>8083</v>
      </c>
      <c r="D226" s="40" t="s">
        <v>8091</v>
      </c>
      <c r="E226" s="40" t="s">
        <v>8085</v>
      </c>
    </row>
    <row r="227" spans="1:9" x14ac:dyDescent="0.35">
      <c r="A227" s="40" t="e">
        <f>IF(OR(_xlfn.XLOOKUP("xyz",Assessment!H:H,Assessment!E:E)="yes"),"Yes","No")</f>
        <v>#N/A</v>
      </c>
      <c r="B227" s="40" t="s">
        <v>7829</v>
      </c>
      <c r="C227" s="40" t="s">
        <v>8083</v>
      </c>
      <c r="D227" s="40" t="s">
        <v>8092</v>
      </c>
      <c r="E227" s="40" t="s">
        <v>8085</v>
      </c>
    </row>
    <row r="228" spans="1:9" x14ac:dyDescent="0.35">
      <c r="A228" s="40" t="e">
        <f>IF(OR(_xlfn.XLOOKUP("11.01e1System.2",Assessment!H:H,Assessment!E:E)="yes",_xlfn.XLOOKUP("1101.01a1Organizational.1245",Assessment!H:H,Assessment!E:E)="yes",_xlfn.XLOOKUP("1117.01j1Organizational.23",Assessment!H:H,Assessment!E:E)="yes",_xlfn.XLOOKUP("1123.01q1System.2",Assessment!H:H,Assessment!E:E)="yes",_xlfn.XLOOKUP("1403.05i1Organizational.67",Assessment!H:H,Assessment!E:E)="yes",_xlfn.XLOOKUP("1451.05iCSPOrganizational.2",Assessment!H:H,Assessment!E:E)="yes"),"Yes","No")</f>
        <v>#N/A</v>
      </c>
      <c r="B228" s="40" t="s">
        <v>7829</v>
      </c>
      <c r="C228" s="40" t="s">
        <v>8083</v>
      </c>
      <c r="D228" s="40" t="s">
        <v>8093</v>
      </c>
      <c r="E228" s="40" t="s">
        <v>8085</v>
      </c>
      <c r="H228" s="40" t="s">
        <v>8086</v>
      </c>
      <c r="I228" s="40" t="s">
        <v>8086</v>
      </c>
    </row>
    <row r="229" spans="1:9" x14ac:dyDescent="0.35">
      <c r="A229" s="40" t="str">
        <f>IF(OR(_xlfn.XLOOKUP("11.01e1System.2",Assessment!H:H,Assessment!E:E)="yes",_xlfn.XLOOKUP("1101.01a1Organizational.1245",Assessment!H:H,Assessment!E:E)="yes",_xlfn.XLOOKUP("1123.01q1System.2",Assessment!H:H,Assessment!E:E)="yes"),"Yes","No")</f>
        <v>Yes</v>
      </c>
      <c r="B229" s="40" t="s">
        <v>7829</v>
      </c>
      <c r="C229" s="40" t="s">
        <v>8083</v>
      </c>
      <c r="D229" s="40" t="s">
        <v>8094</v>
      </c>
      <c r="E229" s="40" t="s">
        <v>8085</v>
      </c>
      <c r="H229" s="40" t="s">
        <v>8086</v>
      </c>
      <c r="I229" s="40" t="s">
        <v>8086</v>
      </c>
    </row>
    <row r="230" spans="1:9" x14ac:dyDescent="0.35">
      <c r="A230" s="40" t="e">
        <f>IF(OR(_xlfn.XLOOKUP("1130.01v2System.1",Assessment!H:H,Assessment!E:E)="yes"),"Yes","No")</f>
        <v>#N/A</v>
      </c>
      <c r="B230" s="40" t="s">
        <v>7829</v>
      </c>
      <c r="C230" s="40" t="s">
        <v>8083</v>
      </c>
      <c r="D230" s="40" t="s">
        <v>8095</v>
      </c>
      <c r="E230" s="40" t="s">
        <v>8085</v>
      </c>
    </row>
    <row r="231" spans="1:9" x14ac:dyDescent="0.35">
      <c r="A231" s="40" t="e">
        <f>IF(OR(_xlfn.XLOOKUP("1133.01v2System.4",Assessment!H:H,Assessment!E:E)="yes"),"Yes","No")</f>
        <v>#N/A</v>
      </c>
      <c r="B231" s="40" t="s">
        <v>7829</v>
      </c>
      <c r="C231" s="40" t="s">
        <v>8083</v>
      </c>
      <c r="D231" s="40" t="s">
        <v>8096</v>
      </c>
      <c r="E231" s="40" t="s">
        <v>8085</v>
      </c>
    </row>
    <row r="232" spans="1:9" ht="25" x14ac:dyDescent="0.35">
      <c r="A232" s="40" t="e">
        <f>IF(OR(_xlfn.XLOOKUP("0627.10h1System.45",Assessment!H:H,Assessment!E:E)="yes",_xlfn.XLOOKUP("1002.01d2System.7",Assessment!H:H,Assessment!E:E)="yes",_xlfn.XLOOKUP("1004.01d2System.8",Assessment!H:H,Assessment!E:E)="yes",_xlfn.XLOOKUP("1006.01d2System.1",Assessment!H:H,Assessment!E:E)="yes",_xlfn.XLOOKUP("1007.01d2System.2",Assessment!H:H,Assessment!E:E)="yes",_xlfn.XLOOKUP("1012.01r2System.1",Assessment!H:H,Assessment!E:E)="yes",_xlfn.XLOOKUP("1031.01d2System.11",Assessment!H:H,Assessment!E:E)="yes",_xlfn.XLOOKUP("11109.01q2System.9",Assessment!H:H,Assessment!E:E)="yes",_xlfn.XLOOKUP("1111.01b2System.1",Assessment!H:H,Assessment!E:E)="yes",_xlfn.XLOOKUP("1124.01q2System.12",Assessment!H:H,Assessment!E:E)="yes",_xlfn.XLOOKUP("1129.01v1System.12",Assessment!H:H,Assessment!E:E)="yes",_xlfn.XLOOKUP("1145.01c2System.1",Assessment!H:H,Assessment!E:E)="yes",_xlfn.XLOOKUP("1146.01c2System.23",Assessment!H:H,Assessment!E:E)="yes",_xlfn.XLOOKUP("1150.01c2System.10",Assessment!H:H,Assessment!E:E)="yes",_xlfn.XLOOKUP("1168.01e2System.2",Assessment!H:H,Assessment!E:E)="yes",_xlfn.XLOOKUP("1005.01d3System.1",Assessment!H:H,Assessment!E:E)="yes",_xlfn.XLOOKUP("1164.01cHIESystem.1",Assessment!H:H,Assessment!E:E)="yes",_xlfn.XLOOKUP("1170.01eHIESystem.1",Assessment!H:H,Assessment!E:E)="yes"),"Yes","No")</f>
        <v>#N/A</v>
      </c>
      <c r="B232" s="40" t="s">
        <v>7829</v>
      </c>
      <c r="C232" s="40" t="s">
        <v>8083</v>
      </c>
      <c r="D232" s="40" t="s">
        <v>8097</v>
      </c>
      <c r="E232" s="40" t="s">
        <v>8085</v>
      </c>
      <c r="H232" s="40" t="s">
        <v>8098</v>
      </c>
      <c r="I232" s="58" t="s">
        <v>8099</v>
      </c>
    </row>
    <row r="233" spans="1:9" x14ac:dyDescent="0.35">
      <c r="A233" s="40" t="e">
        <f>IF(OR(_xlfn.XLOOKUP("0816.01w1System.1",Assessment!H:H,Assessment!E:E)="yes",_xlfn.XLOOKUP("11131.01u1System.2",Assessment!H:H,Assessment!E:E)="yes"),"Yes","No")</f>
        <v>#N/A</v>
      </c>
      <c r="B233" s="40" t="s">
        <v>7829</v>
      </c>
      <c r="C233" s="40" t="s">
        <v>8083</v>
      </c>
      <c r="D233" s="40" t="s">
        <v>8100</v>
      </c>
      <c r="E233" s="40" t="s">
        <v>8085</v>
      </c>
    </row>
    <row r="234" spans="1:9" x14ac:dyDescent="0.35">
      <c r="A234" s="40" t="e">
        <f>IF(OR(_xlfn.XLOOKUP("xyz",Assessment!H:H,Assessment!E:E)="yes"),"Yes","No")</f>
        <v>#N/A</v>
      </c>
      <c r="B234" s="40" t="s">
        <v>7829</v>
      </c>
      <c r="C234" s="40" t="s">
        <v>8083</v>
      </c>
      <c r="D234" s="40" t="s">
        <v>8101</v>
      </c>
      <c r="E234" s="40" t="s">
        <v>8085</v>
      </c>
    </row>
    <row r="235" spans="1:9" x14ac:dyDescent="0.35">
      <c r="A235" s="40" t="e">
        <f>IF(OR(_xlfn.XLOOKUP("xyz",Assessment!H:H,Assessment!E:E)="yes"),"Yes","No")</f>
        <v>#N/A</v>
      </c>
      <c r="B235" s="40" t="s">
        <v>7829</v>
      </c>
      <c r="C235" s="40" t="s">
        <v>8083</v>
      </c>
      <c r="D235" s="40" t="s">
        <v>8102</v>
      </c>
      <c r="E235" s="40" t="s">
        <v>8085</v>
      </c>
    </row>
    <row r="236" spans="1:9" x14ac:dyDescent="0.35">
      <c r="A236" s="40" t="e">
        <f>IF(OR(_xlfn.XLOOKUP("0605.10h2System.7",Assessment!H:H,Assessment!E:E)="yes",_xlfn.XLOOKUP("0707.10b2System.1",Assessment!H:H,Assessment!E:E)="yes",_xlfn.XLOOKUP("0733.10b2System.4",Assessment!H:H,Assessment!E:E)="yes"),"Yes","No")</f>
        <v>#N/A</v>
      </c>
      <c r="B236" s="40" t="s">
        <v>7829</v>
      </c>
      <c r="C236" s="40" t="s">
        <v>8083</v>
      </c>
      <c r="D236" s="40" t="s">
        <v>8103</v>
      </c>
      <c r="E236" s="40" t="s">
        <v>8085</v>
      </c>
    </row>
    <row r="237" spans="1:9" x14ac:dyDescent="0.35">
      <c r="A237" s="40" t="e">
        <f>IF(OR(_xlfn.XLOOKUP("1131.01v2System.2",Assessment!H:H,Assessment!E:E)="yes",_xlfn.XLOOKUP("1132.01v2System.3",Assessment!H:H,Assessment!E:E)="yes"),"Yes","No")</f>
        <v>#N/A</v>
      </c>
      <c r="B237" s="40" t="s">
        <v>7829</v>
      </c>
      <c r="C237" s="40" t="s">
        <v>8083</v>
      </c>
      <c r="D237" s="40" t="s">
        <v>8104</v>
      </c>
      <c r="E237" s="40" t="s">
        <v>8085</v>
      </c>
    </row>
    <row r="238" spans="1:9" x14ac:dyDescent="0.35">
      <c r="A238" s="40" t="str">
        <f>IF(OR(_xlfn.XLOOKUP("19249.06b1Organizational.2",Assessment!H:H,Assessment!E:E)="yes"),"Yes","No")</f>
        <v>Yes</v>
      </c>
      <c r="B238" s="40" t="s">
        <v>7829</v>
      </c>
      <c r="C238" s="40" t="s">
        <v>8083</v>
      </c>
      <c r="D238" s="40" t="s">
        <v>8105</v>
      </c>
      <c r="E238" s="40" t="s">
        <v>8085</v>
      </c>
    </row>
    <row r="239" spans="1:9" x14ac:dyDescent="0.35">
      <c r="A239" s="40" t="e">
        <f>IF(OR(_xlfn.XLOOKUP("1134.01v3System.1",Assessment!H:H,Assessment!E:E)="yes"),"Yes","No")</f>
        <v>#N/A</v>
      </c>
      <c r="B239" s="40" t="s">
        <v>7829</v>
      </c>
      <c r="C239" s="40" t="s">
        <v>8083</v>
      </c>
      <c r="D239" s="40" t="s">
        <v>8106</v>
      </c>
      <c r="E239" s="40" t="s">
        <v>8085</v>
      </c>
    </row>
    <row r="240" spans="1:9" x14ac:dyDescent="0.35">
      <c r="A240" s="40" t="e">
        <f>IF(OR(_xlfn.XLOOKUP("xyz",Assessment!H:H,Assessment!E:E)="yes"),"Yes","No")</f>
        <v>#N/A</v>
      </c>
      <c r="B240" s="40" t="s">
        <v>7829</v>
      </c>
      <c r="C240" s="40" t="s">
        <v>8083</v>
      </c>
      <c r="D240" s="40" t="s">
        <v>8107</v>
      </c>
      <c r="E240" s="40" t="s">
        <v>8085</v>
      </c>
    </row>
    <row r="241" spans="1:9" x14ac:dyDescent="0.35">
      <c r="A241" s="40" t="e">
        <f>IF(OR(_xlfn.XLOOKUP("0808.10b2System.3",Assessment!H:H,Assessment!E:E)="yes"),"Yes","No")</f>
        <v>#N/A</v>
      </c>
      <c r="B241" s="40" t="s">
        <v>7829</v>
      </c>
      <c r="C241" s="40" t="s">
        <v>8083</v>
      </c>
      <c r="D241" s="40" t="s">
        <v>8108</v>
      </c>
      <c r="E241" s="40" t="s">
        <v>8085</v>
      </c>
    </row>
    <row r="242" spans="1:9" x14ac:dyDescent="0.35">
      <c r="A242" s="40" t="e">
        <f>IF(OR(_xlfn.XLOOKUP("0618.09b2System.3",Assessment!H:H,Assessment!E:E)="yes",_xlfn.XLOOKUP("0638.10k2Organizational.7",Assessment!H:H,Assessment!E:E)="yes"),"Yes","No")</f>
        <v>#N/A</v>
      </c>
      <c r="B242" s="40" t="s">
        <v>7829</v>
      </c>
      <c r="C242" s="40" t="s">
        <v>8083</v>
      </c>
      <c r="D242" s="40" t="s">
        <v>8109</v>
      </c>
      <c r="E242" s="40" t="s">
        <v>8085</v>
      </c>
    </row>
    <row r="243" spans="1:9" x14ac:dyDescent="0.35">
      <c r="A243" s="40" t="e">
        <f>IF(OR(_xlfn.XLOOKUP("1110.01b2System.7",Assessment!H:H,Assessment!E:E)="yes",_xlfn.XLOOKUP("1139.01b2System.10",Assessment!H:H,Assessment!E:E)="yes"),"Yes","No")</f>
        <v>#N/A</v>
      </c>
      <c r="B243" s="40" t="s">
        <v>7829</v>
      </c>
      <c r="C243" s="40" t="s">
        <v>8083</v>
      </c>
      <c r="D243" s="40" t="s">
        <v>8110</v>
      </c>
      <c r="E243" s="40" t="s">
        <v>8085</v>
      </c>
    </row>
    <row r="244" spans="1:9" x14ac:dyDescent="0.35">
      <c r="A244" s="40" t="e">
        <f>IF(OR(_xlfn.XLOOKUP("1105.09c1Organizational.2",Assessment!H:H,Assessment!E:E)="yes",_xlfn.XLOOKUP("1144.01c3System.5",Assessment!H:H,Assessment!E:E)="yes"),"Yes","No")</f>
        <v>#N/A</v>
      </c>
      <c r="B244" s="40" t="s">
        <v>7829</v>
      </c>
      <c r="C244" s="40" t="s">
        <v>8083</v>
      </c>
      <c r="D244" s="40" t="s">
        <v>8111</v>
      </c>
      <c r="E244" s="40" t="s">
        <v>8085</v>
      </c>
    </row>
    <row r="245" spans="1:9" x14ac:dyDescent="0.35">
      <c r="A245" s="40" t="e">
        <f>IF(OR(_xlfn.XLOOKUP("1105.09c1Organizational.2",Assessment!H:H,Assessment!E:E)="yes",_xlfn.XLOOKUP("1144.01c3System.5",Assessment!H:H,Assessment!E:E)="yes"),"Yes","No")</f>
        <v>#N/A</v>
      </c>
      <c r="B245" s="40" t="s">
        <v>7829</v>
      </c>
      <c r="C245" s="40" t="s">
        <v>8083</v>
      </c>
      <c r="D245" s="40" t="s">
        <v>8112</v>
      </c>
      <c r="E245" s="40" t="s">
        <v>8085</v>
      </c>
    </row>
    <row r="246" spans="1:9" x14ac:dyDescent="0.35">
      <c r="A246" s="40" t="e">
        <f>IF(OR(_xlfn.XLOOKUP("1144.01c3System.5",Assessment!H:H,Assessment!E:E)="yes"),"Yes","No")</f>
        <v>#N/A</v>
      </c>
      <c r="B246" s="40" t="s">
        <v>7829</v>
      </c>
      <c r="C246" s="40" t="s">
        <v>8083</v>
      </c>
      <c r="D246" s="40" t="s">
        <v>8113</v>
      </c>
      <c r="E246" s="40" t="s">
        <v>8085</v>
      </c>
    </row>
    <row r="247" spans="1:9" x14ac:dyDescent="0.35">
      <c r="A247" s="40" t="str">
        <f>IF(OR(_xlfn.XLOOKUP("0732.09r1Organizational.3",Assessment!H:H,Assessment!E:E)="yes"),"Yes","No")</f>
        <v>Yes</v>
      </c>
      <c r="B247" s="40" t="s">
        <v>7829</v>
      </c>
      <c r="C247" s="40" t="s">
        <v>8083</v>
      </c>
      <c r="D247" s="40" t="s">
        <v>8114</v>
      </c>
      <c r="E247" s="40" t="s">
        <v>8085</v>
      </c>
    </row>
    <row r="248" spans="1:9" x14ac:dyDescent="0.35">
      <c r="A248" s="40" t="e">
        <f>IF(OR(_xlfn.XLOOKUP("1681.12e2Organizational.345",Assessment!H:H,Assessment!E:E)="yes",_xlfn.XLOOKUP("1667.12d2Organizational.4",Assessment!H:H,Assessment!E:E)="yes",_xlfn.XLOOKUP("1678.12e2Organizational.10",Assessment!H:H,Assessment!E:E)="yes",_xlfn.XLOOKUP("1671.12d2Organizational.2",Assessment!H:H,Assessment!E:E)="yes"),"Yes","No")</f>
        <v>#N/A</v>
      </c>
      <c r="B248" s="40" t="s">
        <v>7829</v>
      </c>
      <c r="C248" s="40" t="s">
        <v>8083</v>
      </c>
      <c r="D248" s="40" t="s">
        <v>8115</v>
      </c>
      <c r="E248" s="40" t="s">
        <v>8085</v>
      </c>
    </row>
    <row r="249" spans="1:9" x14ac:dyDescent="0.35">
      <c r="A249" s="40" t="e">
        <f>IF(OR(_xlfn.XLOOKUP("0605.10h2System.7",Assessment!H:H,Assessment!E:E)="yes",_xlfn.XLOOKUP("1781.10a1Organizational.23",Assessment!H:H,Assessment!E:E)="yes"),"Yes","No")</f>
        <v>#N/A</v>
      </c>
      <c r="B249" s="40" t="s">
        <v>7829</v>
      </c>
      <c r="C249" s="40" t="s">
        <v>8083</v>
      </c>
      <c r="D249" s="40" t="s">
        <v>8116</v>
      </c>
      <c r="E249" s="40" t="s">
        <v>8085</v>
      </c>
    </row>
    <row r="250" spans="1:9" ht="37.5" x14ac:dyDescent="0.35">
      <c r="A250" s="40" t="e">
        <f>IF(OR(_xlfn.XLOOKUP("06.09b1System.2",Assessment!H:H,Assessment!E:E)="yes",_xlfn.XLOOKUP("1769.09i1System.12",Assessment!H:H,Assessment!E:E)="yes",_xlfn.XLOOKUP("0619.09b2System.12",Assessment!H:H,Assessment!E:E)="yes"),"Yes","No")</f>
        <v>#N/A</v>
      </c>
      <c r="B250" s="40" t="s">
        <v>7829</v>
      </c>
      <c r="C250" s="40" t="s">
        <v>8083</v>
      </c>
      <c r="D250" s="40" t="s">
        <v>8117</v>
      </c>
      <c r="E250" s="40" t="s">
        <v>8085</v>
      </c>
      <c r="H250" s="40" t="s">
        <v>8118</v>
      </c>
      <c r="I250" s="58" t="s">
        <v>8119</v>
      </c>
    </row>
    <row r="251" spans="1:9" x14ac:dyDescent="0.35">
      <c r="A251" s="40" t="e">
        <f>IF(OR(_xlfn.XLOOKUP("xyz",Assessment!H:H,Assessment!E:E)="yes"),"Yes","No")</f>
        <v>#N/A</v>
      </c>
      <c r="B251" s="40" t="s">
        <v>7829</v>
      </c>
      <c r="C251" s="40" t="s">
        <v>8083</v>
      </c>
      <c r="D251" s="40" t="s">
        <v>8120</v>
      </c>
      <c r="E251" s="40" t="s">
        <v>8085</v>
      </c>
    </row>
    <row r="252" spans="1:9" x14ac:dyDescent="0.35">
      <c r="A252" s="40" t="e">
        <f>IF(OR(_xlfn.XLOOKUP("0671.10k2Organizational.7",Assessment!H:H,Assessment!E:E)="yes"),"Yes","No")</f>
        <v>#N/A</v>
      </c>
      <c r="B252" s="40" t="s">
        <v>7829</v>
      </c>
      <c r="C252" s="40" t="s">
        <v>8083</v>
      </c>
      <c r="D252" s="40" t="s">
        <v>8121</v>
      </c>
      <c r="E252" s="40" t="s">
        <v>8085</v>
      </c>
    </row>
    <row r="253" spans="1:9" x14ac:dyDescent="0.35">
      <c r="A253" s="40" t="e">
        <f>IF(OR(_xlfn.XLOOKUP("0821.09m2Organizational.2",Assessment!H:H,Assessment!E:E)="yes",_xlfn.XLOOKUP("0863.09m2Organizational.910",Assessment!H:H,Assessment!E:E)="yes"),"Yes","No")</f>
        <v>#N/A</v>
      </c>
      <c r="B253" s="40" t="s">
        <v>7829</v>
      </c>
      <c r="C253" s="40" t="s">
        <v>8083</v>
      </c>
      <c r="D253" s="40" t="s">
        <v>8122</v>
      </c>
      <c r="E253" s="40" t="s">
        <v>8085</v>
      </c>
    </row>
    <row r="254" spans="1:9" x14ac:dyDescent="0.35">
      <c r="A254" s="40" t="e">
        <f>IF(OR(_xlfn.XLOOKUP("0638.10k2Organizational.7",Assessment!H:H,Assessment!E:E)="yes"),"Yes","No")</f>
        <v>#N/A</v>
      </c>
      <c r="B254" s="40" t="s">
        <v>7829</v>
      </c>
      <c r="C254" s="40" t="s">
        <v>8083</v>
      </c>
      <c r="D254" s="40" t="s">
        <v>8123</v>
      </c>
      <c r="E254" s="40" t="s">
        <v>8085</v>
      </c>
    </row>
    <row r="255" spans="1:9" x14ac:dyDescent="0.35">
      <c r="A255" s="40" t="e">
        <f>IF(OR(_xlfn.XLOOKUP("xyz",Assessment!H:H,Assessment!E:E)="yes"),"Yes","No")</f>
        <v>#N/A</v>
      </c>
      <c r="B255" s="40" t="s">
        <v>7829</v>
      </c>
      <c r="C255" s="40" t="s">
        <v>8083</v>
      </c>
      <c r="D255" s="40" t="s">
        <v>8124</v>
      </c>
      <c r="E255" s="40" t="s">
        <v>8085</v>
      </c>
    </row>
    <row r="256" spans="1:9" x14ac:dyDescent="0.35">
      <c r="A256" s="40" t="e">
        <f>IF(OR(_xlfn.XLOOKUP("1803.08b2Organizational.10",Assessment!H:H,Assessment!E:E)="yes",_xlfn.XLOOKUP("1834.08a2Organizational.7",Assessment!H:H,Assessment!E:E)="yes"),"Yes","No")</f>
        <v>#N/A</v>
      </c>
      <c r="B256" s="40" t="s">
        <v>7829</v>
      </c>
      <c r="C256" s="40" t="s">
        <v>8083</v>
      </c>
      <c r="D256" s="40" t="s">
        <v>8125</v>
      </c>
      <c r="E256" s="40" t="s">
        <v>8085</v>
      </c>
    </row>
    <row r="257" spans="1:9" x14ac:dyDescent="0.35">
      <c r="A257" s="40" t="e">
        <f>IF(OR(_xlfn.XLOOKUP("08101.09m2Organizational.14",Assessment!H:H,Assessment!E:E)="yes",_xlfn.XLOOKUP("0894.01m2Organizational.7",Assessment!H:H,Assessment!E:E)="yes"),"Yes","No")</f>
        <v>#N/A</v>
      </c>
      <c r="B257" s="40" t="s">
        <v>7829</v>
      </c>
      <c r="C257" s="40" t="s">
        <v>8083</v>
      </c>
      <c r="D257" s="40" t="s">
        <v>8126</v>
      </c>
      <c r="E257" s="40" t="s">
        <v>8085</v>
      </c>
    </row>
    <row r="258" spans="1:9" x14ac:dyDescent="0.35">
      <c r="A258" s="40" t="str">
        <f>IF(OR(_xlfn.XLOOKUP("1414.09g1System.1",Assessment!H:H,Assessment!E:E)="yes"),"Yes","No")</f>
        <v>Yes</v>
      </c>
      <c r="B258" s="40" t="s">
        <v>7829</v>
      </c>
      <c r="C258" s="40" t="s">
        <v>8083</v>
      </c>
      <c r="D258" s="40" t="s">
        <v>8127</v>
      </c>
      <c r="E258" s="40" t="s">
        <v>8085</v>
      </c>
    </row>
    <row r="259" spans="1:9" x14ac:dyDescent="0.35">
      <c r="A259" s="40" t="e">
        <f>IF(OR(_xlfn.XLOOKUP("1304.02e1Organizational.7",Assessment!H:H,Assessment!E:E)="yes",_xlfn.XLOOKUP("1704.03b1Organizational.12",Assessment!H:H,Assessment!E:E)="yes",_xlfn.XLOOKUP("0620.09b2System.3",Assessment!H:H,Assessment!E:E)="yes",_xlfn.XLOOKUP("0638.10k2Organizational.7",Assessment!H:H,Assessment!E:E)="yes",_xlfn.XLOOKUP("0638.10k3Organizational.5",Assessment!H:H,Assessment!E:E)="yes",_xlfn.XLOOKUP("08102.09nCSPOrganizational.1",Assessment!H:H,Assessment!E:E)="yes",_xlfn.XLOOKUP("1799.10a3Organizational.34",Assessment!H:H,Assessment!E:E)="yes"),"Yes","No")</f>
        <v>#N/A</v>
      </c>
      <c r="B259" s="40" t="s">
        <v>7829</v>
      </c>
      <c r="C259" s="40" t="s">
        <v>8083</v>
      </c>
      <c r="D259" s="40" t="s">
        <v>8128</v>
      </c>
      <c r="E259" s="40" t="s">
        <v>8085</v>
      </c>
      <c r="I259" s="40" t="s">
        <v>8129</v>
      </c>
    </row>
    <row r="260" spans="1:9" ht="25" x14ac:dyDescent="0.35">
      <c r="A260" s="40" t="e">
        <f>IF(OR(_xlfn.XLOOKUP("0605.10h2System.7",Assessment!H:H,Assessment!E:E)="yes",_xlfn.XLOOKUP("0606.10h2System.1",Assessment!H:H,Assessment!E:E)="yes",_xlfn.XLOOKUP("0607.10h2System.23",Assessment!H:H,Assessment!E:E)="yes",_xlfn.XLOOKUP("0629.10h2System.45",Assessment!H:H,Assessment!E:E)="yes",_xlfn.XLOOKUP("06900.09d1System.2",Assessment!H:H,Assessment!E:E)="yes",_xlfn.XLOOKUP("1781.10a1Organizational.23",Assessment!H:H,Assessment!E:E)="yes",_xlfn.XLOOKUP("19199.10e1System.12",Assessment!H:H,Assessment!E:E)="yes",_xlfn.XLOOKUP("0619.09b2System.12",Assessment!H:H,Assessment!E:E)="yes",_xlfn.XLOOKUP("0620.09b2System.3",Assessment!H:H,Assessment!E:E)="yes",_xlfn.XLOOKUP("0635.10k2Organizational.8",Assessment!H:H,Assessment!E:E)="yes",_xlfn.XLOOKUP("0637.10k2Organizational.2",Assessment!H:H,Assessment!E:E)="yes",_xlfn.XLOOKUP("0638.10k3Organizational.5",Assessment!H:H,Assessment!E:E)="yes",_xlfn.XLOOKUP("1793.10a2Organizational.91011",Assessment!H:H,Assessment!E:E)="yes",_xlfn.XLOOKUP("0228.09k2Organizational.3",Assessment!H:H,Assessment!E:E)="yes",_xlfn.XLOOKUP("17101.10a3Organizational.6",Assessment!H:H,Assessment!E:E)="yes",_xlfn.XLOOKUP("1786.10a2Organizational.15",Assessment!H:H,Assessment!E:E)="yes",_xlfn.XLOOKUP("1791.10a2Organizational.6",Assessment!H:H,Assessment!E:E)="yes",_xlfn.XLOOKUP("1792.10a2Organizational.7814",Assessment!H:H,Assessment!E:E)="yes",_xlfn.XLOOKUP("1794.10a2Organizational.12",Assessment!H:H,Assessment!E:E)="yes",_xlfn.XLOOKUP("1795.10a2Organizational.13",Assessment!H:H,Assessment!E:E)="yes"),"Yes","No")</f>
        <v>#N/A</v>
      </c>
      <c r="B260" s="40" t="s">
        <v>7829</v>
      </c>
      <c r="C260" s="40" t="s">
        <v>8083</v>
      </c>
      <c r="D260" s="40" t="s">
        <v>8130</v>
      </c>
      <c r="E260" s="40" t="s">
        <v>8085</v>
      </c>
      <c r="H260" s="58" t="s">
        <v>8131</v>
      </c>
    </row>
    <row r="261" spans="1:9" x14ac:dyDescent="0.35">
      <c r="A261" s="40" t="e">
        <f>IF(OR(_xlfn.XLOOKUP("0606.10h2System.1",Assessment!H:H,Assessment!E:E)="yes",_xlfn.XLOOKUP("0607.10h2System.23",Assessment!H:H,Assessment!E:E)="yes",_xlfn.XLOOKUP("0629.10h2System.45",Assessment!H:H,Assessment!E:E)="yes",_xlfn.XLOOKUP("19199.10e1System.12",Assessment!H:H,Assessment!E:E)="yes",_xlfn.XLOOKUP("0619.09b2System.12",Assessment!H:H,Assessment!E:E)="yes",_xlfn.XLOOKUP("0620.09b2System.3",Assessment!H:H,Assessment!E:E)="yes",_xlfn.XLOOKUP("0635.10k2Organizational.8",Assessment!H:H,Assessment!E:E)="yes",_xlfn.XLOOKUP("0637.10k2Organizational.2",Assessment!H:H,Assessment!E:E)="yes",_xlfn.XLOOKUP("0638.10k3Organizational.5",Assessment!H:H,Assessment!E:E)="yes",_xlfn.XLOOKUP("0639.10k2Organizational.78",Assessment!H:H,Assessment!E:E)="yes",_xlfn.XLOOKUP("17101.10a3Organizational.6",Assessment!H:H,Assessment!E:E)="yes",_xlfn.XLOOKUP("1786.10a2Organizational.15",Assessment!H:H,Assessment!E:E)="yes",_xlfn.XLOOKUP("1791.10a2Organizational.6",Assessment!H:H,Assessment!E:E)="yes",_xlfn.XLOOKUP("1792.10a2Organizational.7814",Assessment!H:H,Assessment!E:E)="yes",_xlfn.XLOOKUP("1794.10a2Organizational.12",Assessment!H:H,Assessment!E:E)="yes",_xlfn.XLOOKUP("1795.10a2Organizational.13",Assessment!H:H,Assessment!E:E)="yes"),"Yes","No")</f>
        <v>#N/A</v>
      </c>
      <c r="B261" s="40" t="s">
        <v>7829</v>
      </c>
      <c r="C261" s="40" t="s">
        <v>8083</v>
      </c>
      <c r="D261" s="40" t="s">
        <v>8132</v>
      </c>
      <c r="E261" s="40" t="s">
        <v>8085</v>
      </c>
      <c r="H261" s="40" t="s">
        <v>8133</v>
      </c>
    </row>
    <row r="262" spans="1:9" x14ac:dyDescent="0.35">
      <c r="A262" s="40" t="e">
        <f>IF(OR(_xlfn.XLOOKUP("0662.09sCSPOrganizational.2",Assessment!H:H,Assessment!E:E)="yes",_xlfn.XLOOKUP("0672.10k3Organizational.6",Assessment!H:H,Assessment!E:E)="yes"),"Yes","No")</f>
        <v>#N/A</v>
      </c>
      <c r="B262" s="40" t="s">
        <v>7829</v>
      </c>
      <c r="C262" s="40" t="s">
        <v>8083</v>
      </c>
      <c r="D262" s="40" t="s">
        <v>8134</v>
      </c>
      <c r="E262" s="40" t="s">
        <v>8085</v>
      </c>
    </row>
    <row r="263" spans="1:9" x14ac:dyDescent="0.35">
      <c r="A263" s="40" t="str">
        <f>IF(OR(_xlfn.XLOOKUP("07.10m1Organizational.2",Assessment!H:H,Assessment!E:E)="yes"),"Yes","No")</f>
        <v>Yes</v>
      </c>
      <c r="B263" s="40" t="s">
        <v>7829</v>
      </c>
      <c r="C263" s="40" t="s">
        <v>8083</v>
      </c>
      <c r="D263" s="40" t="s">
        <v>8135</v>
      </c>
      <c r="E263" s="40" t="s">
        <v>8085</v>
      </c>
    </row>
    <row r="264" spans="1:9" x14ac:dyDescent="0.35">
      <c r="A264" s="40" t="str">
        <f>IF(OR(_xlfn.XLOOKUP("07.10m1Organizational.2",Assessment!H:H,Assessment!E:E)="yes"),"Yes","No")</f>
        <v>Yes</v>
      </c>
      <c r="B264" s="40" t="s">
        <v>7829</v>
      </c>
      <c r="C264" s="40" t="s">
        <v>8083</v>
      </c>
      <c r="D264" s="40" t="s">
        <v>8136</v>
      </c>
      <c r="E264" s="40" t="s">
        <v>8085</v>
      </c>
    </row>
    <row r="265" spans="1:9" ht="25" x14ac:dyDescent="0.35">
      <c r="A265" s="40" t="e">
        <f>IF(OR(_xlfn.XLOOKUP("0201.09j1Organizational.124",Assessment!H:H,Assessment!E:E)="yes",_xlfn.XLOOKUP("0217.09j1Organizational.7",Assessment!H:H,Assessment!E:E)="yes",_xlfn.XLOOKUP("0226.09k1Organizational.2",Assessment!H:H,Assessment!E:E)="yes",_xlfn.XLOOKUP("0265.09m1Organizational.2",Assessment!H:H,Assessment!E:E)="yes",_xlfn.XLOOKUP("0429.01x1Organizational.5",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11190.01t1System.2",Assessment!H:H,Assessment!E:E)="yes",_xlfn.XLOOKUP("0202.09j2Organizational.8",Assessment!H:H,Assessment!E:E)="yes",_xlfn.XLOOKUP("0836.09n2Organizational.1",Assessment!H:H,Assessment!E:E)="yes",_xlfn.XLOOKUP("0886.09n2Organizational.4",Assessment!H:H,Assessment!E:E)="yes",_xlfn.XLOOKUP("0887.09n2Organizational.5",Assessment!H:H,Assessment!E:E)="yes",_xlfn.XLOOKUP("1022.01dMASSSystem.1",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0427.01x2Organizational.8",Assessment!H:H,Assessment!E:E)="yes",_xlfn.XLOOKUP("0865.09m2Organizational.14",Assessment!H:H,Assessment!E:E)="yes"),"Yes","No")</f>
        <v>#N/A</v>
      </c>
      <c r="B265" s="40" t="s">
        <v>7829</v>
      </c>
      <c r="C265" s="40" t="s">
        <v>8083</v>
      </c>
      <c r="D265" s="40" t="s">
        <v>8137</v>
      </c>
      <c r="E265" s="40" t="s">
        <v>8085</v>
      </c>
      <c r="H265" s="58" t="s">
        <v>8138</v>
      </c>
      <c r="I265" s="40" t="s">
        <v>8139</v>
      </c>
    </row>
    <row r="266" spans="1:9" x14ac:dyDescent="0.35">
      <c r="A266" s="40" t="e">
        <f>IF(OR(_xlfn.XLOOKUP("0641.10k2Organizational.11",Assessment!H:H,Assessment!E:E)="yes"),"Yes","No")</f>
        <v>#N/A</v>
      </c>
      <c r="B266" s="40" t="s">
        <v>7829</v>
      </c>
      <c r="C266" s="40" t="s">
        <v>8083</v>
      </c>
      <c r="D266" s="40" t="s">
        <v>8140</v>
      </c>
      <c r="E266" s="40" t="s">
        <v>8085</v>
      </c>
    </row>
    <row r="267" spans="1:9" x14ac:dyDescent="0.35">
      <c r="A267" s="40" t="e">
        <f>IF(OR(_xlfn.XLOOKUP("xyz",Assessment!H:H,Assessment!E:E)="yes"),"Yes","No")</f>
        <v>#N/A</v>
      </c>
      <c r="B267" s="40" t="s">
        <v>7829</v>
      </c>
      <c r="C267" s="40" t="s">
        <v>8083</v>
      </c>
      <c r="D267" s="40" t="s">
        <v>8141</v>
      </c>
      <c r="E267" s="40" t="s">
        <v>8085</v>
      </c>
    </row>
    <row r="268" spans="1:9" x14ac:dyDescent="0.35">
      <c r="A268" s="40" t="e">
        <f>IF(OR(_xlfn.XLOOKUP("0723.07a2Organizational.5",Assessment!H:H,Assessment!E:E)="yes"),"Yes","No")</f>
        <v>#N/A</v>
      </c>
      <c r="B268" s="40" t="s">
        <v>7829</v>
      </c>
      <c r="C268" s="40" t="s">
        <v>8083</v>
      </c>
      <c r="D268" s="40" t="s">
        <v>8142</v>
      </c>
      <c r="E268" s="40" t="s">
        <v>8085</v>
      </c>
    </row>
    <row r="269" spans="1:9" x14ac:dyDescent="0.35">
      <c r="A269" s="40" t="e">
        <f>IF(OR(_xlfn.XLOOKUP("0724.07a3Organizational.4",Assessment!H:H,Assessment!E:E)="yes"),"Yes","No")</f>
        <v>#N/A</v>
      </c>
      <c r="B269" s="40" t="s">
        <v>7829</v>
      </c>
      <c r="C269" s="40" t="s">
        <v>8083</v>
      </c>
      <c r="D269" s="40" t="s">
        <v>8143</v>
      </c>
      <c r="E269" s="40" t="s">
        <v>8085</v>
      </c>
    </row>
    <row r="270" spans="1:9" x14ac:dyDescent="0.35">
      <c r="A270" s="40" t="e">
        <f>IF(OR(_xlfn.XLOOKUP("0201.09j1Organizational.124",Assessment!H:H,Assessment!E:E)="yes",_xlfn.XLOOKUP("0217.09j1Organizational.7",Assessment!H:H,Assessment!E:E)="yes",_xlfn.XLOOKUP("0226.09k1Organizational.2",Assessment!H:H,Assessment!E:E)="yes",_xlfn.XLOOKUP("0265.09m1Organizational.2",Assessment!H:H,Assessment!E:E)="yes",_xlfn.XLOOKUP("0429.01x1Organizational.5",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11190.01t1System.2",Assessment!H:H,Assessment!E:E)="yes",_xlfn.XLOOKUP("0202.09j2Organizational.8",Assessment!H:H,Assessment!E:E)="yes",_xlfn.XLOOKUP("1022.01dMASSSystem.1",Assessment!H:H,Assessment!E:E)="yes",_xlfn.XLOOKUP("0301.09o2Organizational.2",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0427.01x2Organizational.8",Assessment!H:H,Assessment!E:E)="yes",_xlfn.XLOOKUP("1138.06e2Organizational.12",Assessment!H:H,Assessment!E:E)="yes",_xlfn.XLOOKUP("0322.09u2Organizational.12",Assessment!H:H,Assessment!E:E)="yes",_xlfn.XLOOKUP("0323.09u2Organizational.3",Assessment!H:H,Assessment!E:E)="yes"),"Yes","No")</f>
        <v>#N/A</v>
      </c>
      <c r="B270" s="40" t="s">
        <v>7829</v>
      </c>
      <c r="C270" s="40" t="s">
        <v>8083</v>
      </c>
      <c r="D270" s="40" t="s">
        <v>8144</v>
      </c>
      <c r="E270" s="40" t="s">
        <v>8085</v>
      </c>
      <c r="H270" s="40" t="s">
        <v>8098</v>
      </c>
      <c r="I270" s="40" t="s">
        <v>8139</v>
      </c>
    </row>
    <row r="271" spans="1:9" x14ac:dyDescent="0.35">
      <c r="A271" s="40" t="e">
        <f>IF(OR(_xlfn.XLOOKUP("xyz",Assessment!H:H,Assessment!E:E)="yes"),"Yes","No")</f>
        <v>#N/A</v>
      </c>
      <c r="B271" s="40" t="s">
        <v>7829</v>
      </c>
      <c r="C271" s="40" t="s">
        <v>8083</v>
      </c>
      <c r="D271" s="40" t="s">
        <v>8145</v>
      </c>
      <c r="E271" s="40" t="s">
        <v>8085</v>
      </c>
    </row>
    <row r="272" spans="1:9" x14ac:dyDescent="0.35">
      <c r="A272" s="40" t="e">
        <f>IF(OR(_xlfn.XLOOKUP("0506.09m1Organizational.12",Assessment!H:H,Assessment!E:E)="yes",_xlfn.XLOOKUP("0506.09m1Organizational.11",Assessment!H:H,Assessment!E:E)="yes"),"Yes","No")</f>
        <v>#N/A</v>
      </c>
      <c r="B272" s="40" t="s">
        <v>7829</v>
      </c>
      <c r="C272" s="40" t="s">
        <v>8083</v>
      </c>
      <c r="D272" s="40" t="s">
        <v>8146</v>
      </c>
      <c r="E272" s="40" t="s">
        <v>8085</v>
      </c>
    </row>
    <row r="273" spans="1:9" x14ac:dyDescent="0.35">
      <c r="A273" s="40" t="e">
        <f>IF(OR(_xlfn.XLOOKUP("0936.09w1Organizational.1",Assessment!H:H,Assessment!E:E)="yes",_xlfn.XLOOKUP("18122.08k1Organizational.1",Assessment!H:H,Assessment!E:E)="yes",_xlfn.XLOOKUP("0811.01n2Organizational.6",Assessment!H:H,Assessment!E:E)="yes",_xlfn.XLOOKUP("0812.01n2Organizational.8",Assessment!H:H,Assessment!E:E)="yes"),"Yes","No")</f>
        <v>#N/A</v>
      </c>
      <c r="B273" s="40" t="s">
        <v>7829</v>
      </c>
      <c r="C273" s="40" t="s">
        <v>8083</v>
      </c>
      <c r="D273" s="40" t="s">
        <v>8147</v>
      </c>
      <c r="E273" s="40" t="s">
        <v>8085</v>
      </c>
    </row>
    <row r="274" spans="1:9" ht="37.5" x14ac:dyDescent="0.35">
      <c r="A274" s="40" t="e">
        <f>IF(OR(_xlfn.XLOOKUP("0201.09j1Organizational.124",Assessment!H:H,Assessment!E:E)="yes",_xlfn.XLOOKUP("0217.09j1Organizational.7",Assessment!H:H,Assessment!E:E)="yes",_xlfn.XLOOKUP("0226.09k1Organizational.2",Assessment!H:H,Assessment!E:E)="yes",_xlfn.XLOOKUP("0265.09m1Organizational.2",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1295.09af1System.2",Assessment!H:H,Assessment!E:E)="yes",_xlfn.XLOOKUP("0202.09j2Organizational.8",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1138.06e2Organizational.12",Assessment!H:H,Assessment!E:E)="yes"),"Yes","No")</f>
        <v>#N/A</v>
      </c>
      <c r="B274" s="40" t="s">
        <v>7829</v>
      </c>
      <c r="C274" s="40" t="s">
        <v>8083</v>
      </c>
      <c r="D274" s="40" t="s">
        <v>8148</v>
      </c>
      <c r="E274" s="40" t="s">
        <v>8085</v>
      </c>
      <c r="H274" s="58" t="s">
        <v>8149</v>
      </c>
      <c r="I274" s="58" t="s">
        <v>8150</v>
      </c>
    </row>
    <row r="275" spans="1:9" x14ac:dyDescent="0.35">
      <c r="A275" s="40" t="e">
        <f>IF(OR(_xlfn.XLOOKUP("xyz",Assessment!H:H,Assessment!E:E)="yes"),"Yes","No")</f>
        <v>#N/A</v>
      </c>
      <c r="B275" s="40" t="s">
        <v>7829</v>
      </c>
      <c r="C275" s="40" t="s">
        <v>8083</v>
      </c>
      <c r="D275" s="40" t="s">
        <v>8151</v>
      </c>
      <c r="E275" s="40" t="s">
        <v>8085</v>
      </c>
    </row>
    <row r="276" spans="1:9" x14ac:dyDescent="0.35">
      <c r="A276" s="40" t="e">
        <f>IF(OR(,_xlfn.XLOOKUP("11180.01c3System.6",Assessment!H:H,Assessment!E:E)="yes"),"Yes","No")</f>
        <v>#N/A</v>
      </c>
      <c r="B276" s="40" t="s">
        <v>7829</v>
      </c>
      <c r="C276" s="40" t="s">
        <v>8083</v>
      </c>
      <c r="D276" s="40" t="s">
        <v>8152</v>
      </c>
      <c r="E276" s="40" t="s">
        <v>8085</v>
      </c>
    </row>
    <row r="277" spans="1:9" x14ac:dyDescent="0.35">
      <c r="A277" s="40" t="e">
        <f>IF(OR(,_xlfn.XLOOKUP("0209.09m3Organizational.7",Assessment!H:H,Assessment!E:E)="yes"),"Yes","No")</f>
        <v>#N/A</v>
      </c>
      <c r="B277" s="40" t="s">
        <v>7829</v>
      </c>
      <c r="C277" s="40" t="s">
        <v>8083</v>
      </c>
      <c r="D277" s="40" t="s">
        <v>8153</v>
      </c>
      <c r="E277" s="40" t="s">
        <v>8085</v>
      </c>
    </row>
    <row r="278" spans="1:9" ht="25" x14ac:dyDescent="0.35">
      <c r="A278" s="40" t="e">
        <f>IF(OR(_xlfn.XLOOKUP("0201.09j1Organizational.124",Assessment!H:H,Assessment!E:E)="yes",_xlfn.XLOOKUP("0217.09j1Organizational.7",Assessment!H:H,Assessment!E:E)="yes",_xlfn.XLOOKUP("0226.09k1Organizational.2",Assessment!H:H,Assessment!E:E)="yes",_xlfn.XLOOKUP("0265.09m1Organizational.2",Assessment!H:H,Assessment!E:E)="yes",_xlfn.XLOOKUP("0627.10h1System.45",Assessment!H:H,Assessment!E:E)="yes",_xlfn.XLOOKUP("0663.10h2System.10",Assessment!H:H,Assessment!E:E)="yes",_xlfn.XLOOKUP("0664.10h2System.10",Assessment!H:H,Assessment!E:E)="yes",_xlfn.XLOOKUP("0667.10h1System.6",Assessment!H:H,Assessment!E:E)="yes",_xlfn.XLOOKUP("07.10m1Organizational.3",Assessment!H:H,Assessment!E:E)="yes",_xlfn.XLOOKUP("0715.10m1Organizational.4",Assessment!H:H,Assessment!E:E)="yes",_xlfn.XLOOKUP("1023.01d1System.11",Assessment!H:H,Assessment!E:E)="yes",_xlfn.XLOOKUP("11124.01s1System.2",Assessment!H:H,Assessment!E:E)="yes",_xlfn.XLOOKUP("11126.01t2System.2",Assessment!H:H,Assessment!E:E)="yes",_xlfn.XLOOKUP("0202.09j2Organizational.8",Assessment!H:H,Assessment!E:E)="yes",_xlfn.XLOOKUP("0643.10k3Organizational.3",Assessment!H:H,Assessment!E:E)="yes",_xlfn.XLOOKUP("0225.09k2Organizational.3",Assessment!H:H,Assessment!E:E)="yes",_xlfn.XLOOKUP("0206.09j2Organizational.34",Assessment!H:H,Assessment!E:E)="yes",_xlfn.XLOOKUP("0205.09j2Organizational.2",Assessment!H:H,Assessment!E:E)="yes",_xlfn.XLOOKUP("0204.09j2Organizational.1",Assessment!H:H,Assessment!E:E)="yes",_xlfn.XLOOKUP("1138.06e2Organizational.12",Assessment!H:H,Assessment!E:E)="yes"),"Yes","No")</f>
        <v>#N/A</v>
      </c>
      <c r="B278" s="40" t="s">
        <v>7829</v>
      </c>
      <c r="C278" s="40" t="s">
        <v>8083</v>
      </c>
      <c r="D278" s="40" t="s">
        <v>8154</v>
      </c>
      <c r="E278" s="40" t="s">
        <v>8085</v>
      </c>
      <c r="H278" s="58" t="s">
        <v>8155</v>
      </c>
      <c r="I278" s="40" t="s">
        <v>8139</v>
      </c>
    </row>
    <row r="279" spans="1:9" ht="25" x14ac:dyDescent="0.35">
      <c r="A279" s="40" t="e">
        <f>IF(OR(_xlfn.XLOOKUP("0835.09n1Organizational.1",Assessment!H:H,Assessment!E:E)="yes",_xlfn.XLOOKUP("0885.09n2Organizational.3",Assessment!H:H,Assessment!E:E)="yes",_xlfn.XLOOKUP("1413.09f2System.3",Assessment!H:H,Assessment!E:E)="yes"),"Yes","No")</f>
        <v>#N/A</v>
      </c>
      <c r="B279" s="40" t="s">
        <v>7829</v>
      </c>
      <c r="C279" s="40" t="s">
        <v>8083</v>
      </c>
      <c r="D279" s="40" t="s">
        <v>8156</v>
      </c>
      <c r="E279" s="40" t="s">
        <v>8085</v>
      </c>
      <c r="I279" s="58" t="s">
        <v>8157</v>
      </c>
    </row>
    <row r="280" spans="1:9" x14ac:dyDescent="0.35">
      <c r="A280" s="40" t="e">
        <f>IF(OR(_xlfn.XLOOKUP("xyz",Assessment!H:H,Assessment!E:E)="yes"),"Yes","No")</f>
        <v>#N/A</v>
      </c>
      <c r="B280" s="40" t="s">
        <v>7829</v>
      </c>
      <c r="C280" s="40" t="s">
        <v>8083</v>
      </c>
      <c r="D280" s="40" t="s">
        <v>8158</v>
      </c>
      <c r="E280" s="40" t="s">
        <v>8085</v>
      </c>
    </row>
    <row r="281" spans="1:9" x14ac:dyDescent="0.35">
      <c r="A281" s="40" t="e">
        <f>IF(OR(,_xlfn.XLOOKUP("0670.10hCSPSystem.2",Assessment!H:H,Assessment!E:E)="yes",_xlfn.XLOOKUP("0960.09sCSPOrganizational.1",Assessment!H:H,Assessment!E:E)="yes",_xlfn.XLOOKUP("1421.05j2Organizational.12",Assessment!H:H,Assessment!E:E)="yes",_xlfn.XLOOKUP("1452.05kCSPOrganizational.1",Assessment!H:H,Assessment!E:E)="yes",_xlfn.XLOOKUP("1453.05kCSPOrganizational.2",Assessment!H:H,Assessment!E:E)="yes",_xlfn.XLOOKUP("1454.05kCSPOrganizational.3",Assessment!H:H,Assessment!E:E)="yes",_xlfn.XLOOKUP("1455.05kCSPOrganizational.4",Assessment!H:H,Assessment!E:E)="yes"),"Yes","No")</f>
        <v>#N/A</v>
      </c>
      <c r="B281" s="40" t="s">
        <v>7829</v>
      </c>
      <c r="C281" s="40" t="s">
        <v>8083</v>
      </c>
      <c r="D281" s="40" t="s">
        <v>8159</v>
      </c>
      <c r="E281" s="40" t="s">
        <v>8085</v>
      </c>
    </row>
    <row r="282" spans="1:9" x14ac:dyDescent="0.35">
      <c r="A282" s="40" t="e">
        <f>IF(OR(_xlfn.XLOOKUP("0939.09x1Organizational.2",Assessment!H:H,Assessment!E:E)="yes"),"Yes","No")</f>
        <v>#N/A</v>
      </c>
      <c r="B282" s="40" t="s">
        <v>7829</v>
      </c>
      <c r="C282" s="40" t="s">
        <v>8083</v>
      </c>
      <c r="D282" s="40" t="s">
        <v>8160</v>
      </c>
      <c r="E282" s="40" t="s">
        <v>8085</v>
      </c>
    </row>
    <row r="283" spans="1:9" x14ac:dyDescent="0.35">
      <c r="A283" s="40" t="e">
        <f>IF(OR(_xlfn.XLOOKUP("xyz",Assessment!H:H,Assessment!E:E)="yes"),"Yes","No")</f>
        <v>#N/A</v>
      </c>
      <c r="B283" s="40" t="s">
        <v>7829</v>
      </c>
      <c r="C283" s="40" t="s">
        <v>8083</v>
      </c>
      <c r="D283" s="40" t="s">
        <v>8161</v>
      </c>
      <c r="E283" s="40" t="s">
        <v>8085</v>
      </c>
    </row>
    <row r="284" spans="1:9" x14ac:dyDescent="0.35">
      <c r="A284" s="40" t="e">
        <f>IF(OR(_xlfn.XLOOKUP("xyz",Assessment!H:H,Assessment!E:E)="yes"),"Yes","No")</f>
        <v>#N/A</v>
      </c>
      <c r="B284" s="40" t="s">
        <v>7829</v>
      </c>
      <c r="C284" s="40" t="s">
        <v>8083</v>
      </c>
      <c r="D284" s="40" t="s">
        <v>8162</v>
      </c>
      <c r="E284" s="40" t="s">
        <v>8085</v>
      </c>
    </row>
    <row r="285" spans="1:9" x14ac:dyDescent="0.35">
      <c r="A285" s="40" t="e">
        <f>IF(OR(,_xlfn.XLOOKUP("1783.10a2Organizational.13",Assessment!H:H,Assessment!E:E)="yes"),"Yes","No")</f>
        <v>#N/A</v>
      </c>
      <c r="B285" s="40" t="s">
        <v>7829</v>
      </c>
      <c r="C285" s="40" t="s">
        <v>8083</v>
      </c>
      <c r="D285" s="40" t="s">
        <v>8163</v>
      </c>
      <c r="E285" s="40" t="s">
        <v>8085</v>
      </c>
    </row>
    <row r="286" spans="1:9" x14ac:dyDescent="0.35">
      <c r="A286" s="40" t="e">
        <f>IF(OR(_xlfn.XLOOKUP("xyz",Assessment!H:H,Assessment!E:E)="yes"),"Yes","No")</f>
        <v>#N/A</v>
      </c>
      <c r="B286" s="40" t="s">
        <v>7829</v>
      </c>
      <c r="C286" s="40" t="s">
        <v>8083</v>
      </c>
      <c r="D286" s="40" t="s">
        <v>8164</v>
      </c>
      <c r="E286" s="40" t="s">
        <v>8085</v>
      </c>
    </row>
    <row r="287" spans="1:9" x14ac:dyDescent="0.35">
      <c r="A287" s="40" t="e">
        <f>IF(OR(_xlfn.XLOOKUP("1416.10l1Organizational.1",Assessment!H:H,Assessment!E:E)="yes",_xlfn.XLOOKUP("0640.10k2Organizational.1012",Assessment!H:H,Assessment!E:E)="yes",_xlfn.XLOOKUP("1417.10l2Organizational.1",Assessment!H:H,Assessment!E:E)="yes"),"Yes","No")</f>
        <v>#N/A</v>
      </c>
      <c r="B287" s="40" t="s">
        <v>7829</v>
      </c>
      <c r="C287" s="40" t="s">
        <v>8083</v>
      </c>
      <c r="D287" s="40" t="s">
        <v>8165</v>
      </c>
      <c r="E287" s="40" t="s">
        <v>8085</v>
      </c>
    </row>
    <row r="288" spans="1:9" x14ac:dyDescent="0.35">
      <c r="A288" s="40" t="e">
        <f>IF(OR(,_xlfn.XLOOKUP("0640.10k2Organizational.1012",Assessment!H:H,Assessment!E:E)="yes"),"Yes","No")</f>
        <v>#N/A</v>
      </c>
      <c r="B288" s="40" t="s">
        <v>7829</v>
      </c>
      <c r="C288" s="40" t="s">
        <v>8083</v>
      </c>
      <c r="D288" s="40" t="s">
        <v>8166</v>
      </c>
      <c r="E288" s="40" t="s">
        <v>8085</v>
      </c>
    </row>
    <row r="289" spans="1:9" x14ac:dyDescent="0.35">
      <c r="A289" s="40" t="e">
        <f>IF(OR(_xlfn.XLOOKUP("1444.09t1Organizational.12",Assessment!H:H,Assessment!E:E)="yes",_xlfn.XLOOKUP("19547.13rHIPAAOrganizational.2",Assessment!H:H,Assessment!E:E)="yes",_xlfn.XLOOKUP("0836.09n2Organizational.1",Assessment!H:H,Assessment!E:E)="yes",_xlfn.XLOOKUP("0886.09n2Organizational.4",Assessment!H:H,Assessment!E:E)="yes",_xlfn.XLOOKUP("0887.09n2Organizational.5",Assessment!H:H,Assessment!E:E)="yes",_xlfn.XLOOKUP("0837.09n2Organizational.2",Assessment!H:H,Assessment!E:E)="yes",_xlfn.XLOOKUP("0888.09n2Organizational.6",Assessment!H:H,Assessment!E:E)="yes",_xlfn.XLOOKUP("0902.09s2Organizational.13",Assessment!H:H,Assessment!E:E)="yes",_xlfn.XLOOKUP("1429.05k2Organizational.4",Assessment!H:H,Assessment!E:E)="yes",_xlfn.XLOOKUP("1445.09t2Organizational.1",Assessment!H:H,Assessment!E:E)="yes",_xlfn.XLOOKUP("19546.13rHIPAAOrganizational.1",Assessment!H:H,Assessment!E:E)="yes",_xlfn.XLOOKUP("0865.09m2Organizational.14",Assessment!H:H,Assessment!E:E)="yes",_xlfn.XLOOKUP("0901.09s2Organizational.5",Assessment!H:H,Assessment!E:E)="yes",_xlfn.XLOOKUP("0911.09s2Organizational.6",Assessment!H:H,Assessment!E:E)="yes",_xlfn.XLOOKUP("1402.05i2Organizational.4",Assessment!H:H,Assessment!E:E)="yes",_xlfn.XLOOKUP("1435.05kHIEOrganizational.1",Assessment!H:H,Assessment!E:E)="yes"),"Yes","No")</f>
        <v>#N/A</v>
      </c>
      <c r="B289" s="40" t="s">
        <v>7829</v>
      </c>
      <c r="C289" s="40" t="s">
        <v>8083</v>
      </c>
      <c r="D289" s="40" t="s">
        <v>8167</v>
      </c>
      <c r="E289" s="40" t="s">
        <v>8085</v>
      </c>
      <c r="I289" s="40" t="s">
        <v>8168</v>
      </c>
    </row>
    <row r="290" spans="1:9" ht="37.5" x14ac:dyDescent="0.35">
      <c r="A290" s="40" t="e">
        <f>IF(OR(_xlfn.XLOOKUP("1406.05k2Organizational.2",Assessment!H:H,Assessment!E:E)="yes",_xlfn.XLOOKUP("1406.05k2Organizational.3",Assessment!H:H,Assessment!E:E)="yes",_xlfn.XLOOKUP("1408.09e1System.1",Assessment!H:H,Assessment!E:E)="yes",_xlfn.XLOOKUP("1411.09f1System.1",Assessment!H:H,Assessment!E:E)="yes",_xlfn.XLOOKUP("1428.05k1Organizational.2",Assessment!H:H,Assessment!E:E)="yes",_xlfn.XLOOKUP("1410.09e2System.23",Assessment!H:H,Assessment!E:E)="yes",_xlfn.XLOOKUP("1430.05k2Organizational.5",Assessment!H:H,Assessment!E:E)="yes",_xlfn.XLOOKUP("1442.09f2System.456",Assessment!H:H,Assessment!E:E)="yes",_xlfn.XLOOKUP("1402.05i2Organizational.4",Assessment!H:H,Assessment!E:E)="yes",_xlfn.XLOOKUP("1401.05i2Organizational.3",Assessment!H:H,Assessment!E:E)="yes",_xlfn.XLOOKUP("1404.05i3Organizational.1",Assessment!H:H,Assessment!E:E)="yes",_xlfn.XLOOKUP("1407.05k2Organizational.1",Assessment!H:H,Assessment!E:E)="yes",_xlfn.XLOOKUP("1418.05i2Organizational.5",Assessment!H:H,Assessment!E:E)="yes",_xlfn.XLOOKUP("1422.05j2Organizational.3",Assessment!H:H,Assessment!E:E)="yes",_xlfn.XLOOKUP("1450.05i2Organizational.2",Assessment!H:H,Assessment!E:E)="yes"),"Yes","No")</f>
        <v>#N/A</v>
      </c>
      <c r="B290" s="40" t="s">
        <v>7829</v>
      </c>
      <c r="C290" s="40" t="s">
        <v>8083</v>
      </c>
      <c r="D290" s="40" t="s">
        <v>8169</v>
      </c>
      <c r="E290" s="40" t="s">
        <v>8085</v>
      </c>
      <c r="H290" s="58" t="s">
        <v>8170</v>
      </c>
      <c r="I290" s="58" t="s">
        <v>8171</v>
      </c>
    </row>
    <row r="291" spans="1:9" x14ac:dyDescent="0.35">
      <c r="A291" s="40" t="e">
        <f>IF(OR(_xlfn.XLOOKUP("xyz",Assessment!H:H,Assessment!E:E)="yes"),"Yes","No")</f>
        <v>#N/A</v>
      </c>
      <c r="B291" s="40" t="s">
        <v>7829</v>
      </c>
      <c r="C291" s="40" t="s">
        <v>8083</v>
      </c>
      <c r="D291" s="40" t="s">
        <v>8172</v>
      </c>
      <c r="E291" s="40" t="s">
        <v>8085</v>
      </c>
    </row>
    <row r="292" spans="1:9" x14ac:dyDescent="0.35">
      <c r="A292" s="40" t="e">
        <f>IF(OR(_xlfn.XLOOKUP("xyz",Assessment!H:H,Assessment!E:E)="yes"),"Yes","No")</f>
        <v>#N/A</v>
      </c>
      <c r="B292" s="40" t="s">
        <v>7829</v>
      </c>
      <c r="C292" s="40" t="s">
        <v>8083</v>
      </c>
      <c r="D292" s="40" t="s">
        <v>8173</v>
      </c>
      <c r="E292" s="40" t="s">
        <v>8085</v>
      </c>
    </row>
    <row r="293" spans="1:9" x14ac:dyDescent="0.35">
      <c r="A293" s="40" t="e">
        <f>IF(OR(_xlfn.XLOOKUP("15.11aHIPAAOrganizational.3",Assessment!H:H,Assessment!E:E)="yes",_xlfn.XLOOKUP("15.11aHIPAAOrganizational.4",Assessment!H:H,Assessment!E:E)="yes",_xlfn.XLOOKUP("15.11aHIPAAOrganizational.5",Assessment!H:H,Assessment!E:E)="yes",_xlfn.XLOOKUP("1510.11a2Organizational.47",Assessment!H:H,Assessment!E:E)="yes",_xlfn.XLOOKUP("1505.11a2Organizational.6",Assessment!H:H,Assessment!E:E)="yes",_xlfn.XLOOKUP("1523.11c3Organizational.24",Assessment!H:H,Assessment!E:E)="yes"),"Yes","No")</f>
        <v>#N/A</v>
      </c>
      <c r="B293" s="40" t="s">
        <v>7829</v>
      </c>
      <c r="C293" s="40" t="s">
        <v>8083</v>
      </c>
      <c r="D293" s="40" t="s">
        <v>8174</v>
      </c>
      <c r="E293" s="40" t="s">
        <v>8085</v>
      </c>
    </row>
    <row r="294" spans="1:9" x14ac:dyDescent="0.35">
      <c r="A294" s="40" t="e">
        <f>IF(OR(_xlfn.XLOOKUP("1602.12c1Organizational.4567",Assessment!H:H,Assessment!E:E)="yes",_xlfn.XLOOKUP("1607.12c2Organizational.4",Assessment!H:H,Assessment!E:E)="yes",_xlfn.XLOOKUP("1608.12c2Organizational.5",Assessment!H:H,Assessment!E:E)="yes"),"Yes","No")</f>
        <v>#N/A</v>
      </c>
      <c r="B294" s="40" t="s">
        <v>7829</v>
      </c>
      <c r="C294" s="40" t="s">
        <v>8083</v>
      </c>
      <c r="D294" s="40" t="s">
        <v>8175</v>
      </c>
      <c r="E294" s="40" t="s">
        <v>8085</v>
      </c>
    </row>
    <row r="295" spans="1:9" ht="25" x14ac:dyDescent="0.35">
      <c r="A295" s="40" t="e">
        <f>IF(OR(_xlfn.XLOOKUP("1677.12e1Organizational.6",Assessment!H:H,Assessment!E:E)="yes",_xlfn.XLOOKUP("1680.12e2Organizational.2",Assessment!H:H,Assessment!E:E)="yes",_xlfn.XLOOKUP("1681.12e2Organizational.345",Assessment!H:H,Assessment!E:E)="yes",_xlfn.XLOOKUP("1674.12e2Organizational.7",Assessment!H:H,Assessment!E:E)="yes",_xlfn.XLOOKUP("1675.12e2Organizational.8",Assessment!H:H,Assessment!E:E)="yes",_xlfn.XLOOKUP("1676.12e2Organizational.9",Assessment!H:H,Assessment!E:E)="yes"),"Yes","No")</f>
        <v>#N/A</v>
      </c>
      <c r="B295" s="40" t="s">
        <v>7829</v>
      </c>
      <c r="C295" s="40" t="s">
        <v>8083</v>
      </c>
      <c r="D295" s="40" t="s">
        <v>8176</v>
      </c>
      <c r="E295" s="40" t="s">
        <v>8085</v>
      </c>
      <c r="H295" s="40" t="s">
        <v>8177</v>
      </c>
      <c r="I295" s="58" t="s">
        <v>8178</v>
      </c>
    </row>
    <row r="296" spans="1:9" x14ac:dyDescent="0.35">
      <c r="A296" s="40" t="e">
        <f>IF(OR(_xlfn.XLOOKUP("0119.05a2Organizational.7",Assessment!H:H,Assessment!E:E)="yes",_xlfn.XLOOKUP("0123.05a2Organizational.4",Assessment!H:H,Assessment!E:E)="yes",_xlfn.XLOOKUP("1670.12d2Organizational.1",Assessment!H:H,Assessment!E:E)="yes"),"Yes","No")</f>
        <v>#N/A</v>
      </c>
      <c r="B296" s="40" t="s">
        <v>7829</v>
      </c>
      <c r="C296" s="40" t="s">
        <v>8083</v>
      </c>
      <c r="D296" s="40" t="s">
        <v>8179</v>
      </c>
      <c r="E296" s="40" t="s">
        <v>8085</v>
      </c>
    </row>
    <row r="297" spans="1:9" x14ac:dyDescent="0.35">
      <c r="A297" s="40" t="e">
        <f>IF(OR(_xlfn.XLOOKUP("0120.05a2Organizational.8",Assessment!H:H,Assessment!E:E)="yes"),"Yes","No")</f>
        <v>#N/A</v>
      </c>
      <c r="B297" s="40" t="s">
        <v>7829</v>
      </c>
      <c r="C297" s="40" t="s">
        <v>8083</v>
      </c>
      <c r="D297" s="40" t="s">
        <v>8180</v>
      </c>
      <c r="E297" s="40" t="s">
        <v>8085</v>
      </c>
    </row>
    <row r="298" spans="1:9" x14ac:dyDescent="0.35">
      <c r="A298" s="40" t="e">
        <f>IF(OR(_xlfn.XLOOKUP("xyz",Assessment!H:H,Assessment!E:E)="yes"),"Yes","No")</f>
        <v>#N/A</v>
      </c>
      <c r="B298" s="40" t="s">
        <v>7829</v>
      </c>
      <c r="C298" s="40" t="s">
        <v>8083</v>
      </c>
      <c r="D298" s="40" t="s">
        <v>8181</v>
      </c>
      <c r="E298" s="40" t="s">
        <v>8085</v>
      </c>
    </row>
    <row r="299" spans="1:9" x14ac:dyDescent="0.35">
      <c r="A299" s="40" t="e">
        <f>IF(OR(_xlfn.XLOOKUP("1524.11aTexasOrganizational.4",Assessment!H:H,Assessment!E:E)="yes",_xlfn.XLOOKUP("1525.11a2Organizational.8",Assessment!H:H,Assessment!E:E)="yes"),"Yes","No")</f>
        <v>#N/A</v>
      </c>
      <c r="B299" s="40" t="s">
        <v>7829</v>
      </c>
      <c r="C299" s="40" t="s">
        <v>8083</v>
      </c>
      <c r="D299" s="40" t="s">
        <v>8182</v>
      </c>
      <c r="E299" s="40" t="s">
        <v>8085</v>
      </c>
    </row>
    <row r="300" spans="1:9" x14ac:dyDescent="0.35">
      <c r="A300" s="40" t="e">
        <f>IF(OR(_xlfn.XLOOKUP("1524.11aTexasOrganizational.4",Assessment!H:H,Assessment!E:E)="yes",_xlfn.XLOOKUP("1525.11a2Organizational.8",Assessment!H:H,Assessment!E:E)="yes",_xlfn.XLOOKUP("0162.04b2Organizational.2",Assessment!H:H,Assessment!E:E)="yes"),"Yes","No")</f>
        <v>#N/A</v>
      </c>
      <c r="B300" s="40" t="s">
        <v>7829</v>
      </c>
      <c r="C300" s="40" t="s">
        <v>8083</v>
      </c>
      <c r="D300" s="40" t="s">
        <v>8183</v>
      </c>
      <c r="E300" s="40" t="s">
        <v>8085</v>
      </c>
    </row>
    <row r="301" spans="1:9" x14ac:dyDescent="0.35">
      <c r="A301" s="40" t="e">
        <f>IF(OR(_xlfn.XLOOKUP("xyz",Assessment!H:H,Assessment!E:E)="yes"),"Yes","No")</f>
        <v>#N/A</v>
      </c>
      <c r="B301" s="40" t="s">
        <v>7829</v>
      </c>
      <c r="C301" s="40" t="s">
        <v>8083</v>
      </c>
      <c r="D301" s="40" t="s">
        <v>8184</v>
      </c>
      <c r="E301" s="40" t="s">
        <v>8085</v>
      </c>
    </row>
    <row r="302" spans="1:9" x14ac:dyDescent="0.35">
      <c r="A302" s="40" t="e">
        <f>IF(OR(,_xlfn.XLOOKUP("19368.13f1Organizational.1",Assessment!H:H,Assessment!E:E)="yes"),"Yes","No")</f>
        <v>#N/A</v>
      </c>
      <c r="B302" s="40" t="s">
        <v>7829</v>
      </c>
      <c r="C302" s="40" t="s">
        <v>8083</v>
      </c>
      <c r="D302" s="40" t="s">
        <v>8185</v>
      </c>
      <c r="E302" s="40" t="s">
        <v>8085</v>
      </c>
    </row>
    <row r="303" spans="1:9" x14ac:dyDescent="0.35">
      <c r="A303" s="40" t="e">
        <f>IF(OR(_xlfn.XLOOKUP("xyz",Assessment!H:H,Assessment!E:E)="yes"),"Yes","No")</f>
        <v>#N/A</v>
      </c>
      <c r="B303" s="40" t="s">
        <v>7829</v>
      </c>
      <c r="C303" s="40" t="s">
        <v>8083</v>
      </c>
      <c r="D303" s="40" t="s">
        <v>8186</v>
      </c>
      <c r="E303" s="40" t="s">
        <v>8085</v>
      </c>
    </row>
    <row r="304" spans="1:9" x14ac:dyDescent="0.35">
      <c r="A304" s="40" t="e">
        <f>IF(OR(_xlfn.XLOOKUP("xyz",Assessment!H:H,Assessment!E:E)="yes"),"Yes","No")</f>
        <v>#N/A</v>
      </c>
      <c r="B304" s="40" t="s">
        <v>7829</v>
      </c>
      <c r="C304" s="40" t="s">
        <v>8083</v>
      </c>
      <c r="D304" s="40" t="s">
        <v>8187</v>
      </c>
      <c r="E304" s="40" t="s">
        <v>8085</v>
      </c>
    </row>
    <row r="305" spans="1:5" x14ac:dyDescent="0.35">
      <c r="A305" s="40" t="e">
        <f>IF(OR(_xlfn.XLOOKUP("xyz",Assessment!H:H,Assessment!E:E)="yes"),"Yes","No")</f>
        <v>#N/A</v>
      </c>
      <c r="B305" s="40" t="s">
        <v>7829</v>
      </c>
      <c r="C305" s="40" t="s">
        <v>8083</v>
      </c>
      <c r="D305" s="40" t="s">
        <v>8188</v>
      </c>
      <c r="E305" s="40" t="s">
        <v>8085</v>
      </c>
    </row>
    <row r="306" spans="1:5" x14ac:dyDescent="0.35">
      <c r="A306" s="40" t="e">
        <f>IF(OR(_xlfn.XLOOKUP("xyz",Assessment!H:H,Assessment!E:E)="yes"),"Yes","No")</f>
        <v>#N/A</v>
      </c>
      <c r="B306" s="40" t="s">
        <v>7829</v>
      </c>
      <c r="C306" s="40" t="s">
        <v>8083</v>
      </c>
      <c r="D306" s="40" t="s">
        <v>8189</v>
      </c>
      <c r="E306" s="40" t="s">
        <v>8085</v>
      </c>
    </row>
    <row r="307" spans="1:5" x14ac:dyDescent="0.35">
      <c r="A307" s="40" t="e">
        <f>IF(OR(_xlfn.XLOOKUP("xyz",Assessment!H:H,Assessment!E:E)="yes"),"Yes","No")</f>
        <v>#N/A</v>
      </c>
      <c r="B307" s="40" t="s">
        <v>7829</v>
      </c>
      <c r="C307" s="40" t="s">
        <v>8083</v>
      </c>
      <c r="D307" s="40" t="s">
        <v>8190</v>
      </c>
      <c r="E307" s="40" t="s">
        <v>8085</v>
      </c>
    </row>
    <row r="308" spans="1:5" x14ac:dyDescent="0.35">
      <c r="A308" s="40" t="e">
        <f>IF(OR(_xlfn.XLOOKUP("xyz",Assessment!H:H,Assessment!E:E)="yes"),"Yes","No")</f>
        <v>#N/A</v>
      </c>
      <c r="B308" s="40" t="s">
        <v>7829</v>
      </c>
      <c r="C308" s="40" t="s">
        <v>8083</v>
      </c>
      <c r="D308" s="40" t="s">
        <v>8191</v>
      </c>
      <c r="E308" s="40" t="s">
        <v>8085</v>
      </c>
    </row>
    <row r="309" spans="1:5" x14ac:dyDescent="0.35">
      <c r="A309" s="40" t="e">
        <f>IF(OR(_xlfn.XLOOKUP("xyz",Assessment!H:H,Assessment!E:E)="yes"),"Yes","No")</f>
        <v>#N/A</v>
      </c>
      <c r="B309" s="40" t="s">
        <v>7829</v>
      </c>
      <c r="C309" s="40" t="s">
        <v>8083</v>
      </c>
      <c r="D309" s="40" t="s">
        <v>8192</v>
      </c>
      <c r="E309" s="40" t="s">
        <v>8085</v>
      </c>
    </row>
    <row r="310" spans="1:5" x14ac:dyDescent="0.35">
      <c r="A310" s="40" t="e">
        <f>IF(OR(_xlfn.XLOOKUP("1913.07eTexasOrganizational.1",Assessment!H:H,Assessment!E:E)="yes"),"Yes","No")</f>
        <v>#N/A</v>
      </c>
      <c r="B310" s="40" t="s">
        <v>7829</v>
      </c>
      <c r="C310" s="40" t="s">
        <v>8083</v>
      </c>
      <c r="D310" s="40" t="s">
        <v>8193</v>
      </c>
      <c r="E310" s="40" t="s">
        <v>8085</v>
      </c>
    </row>
    <row r="311" spans="1:5" x14ac:dyDescent="0.35">
      <c r="A311" s="40" t="e">
        <f>IF(OR(_xlfn.XLOOKUP("xyz",Assessment!H:H,Assessment!E:E)="yes"),"Yes","No")</f>
        <v>#N/A</v>
      </c>
      <c r="B311" s="40" t="s">
        <v>7829</v>
      </c>
      <c r="C311" s="40" t="s">
        <v>8083</v>
      </c>
      <c r="D311" s="40" t="s">
        <v>8194</v>
      </c>
      <c r="E311" s="40" t="s">
        <v>8085</v>
      </c>
    </row>
    <row r="312" spans="1:5" x14ac:dyDescent="0.35">
      <c r="A312" s="40" t="e">
        <f>IF(OR(_xlfn.XLOOKUP("xyz",Assessment!H:H,Assessment!E:E)="yes"),"Yes","No")</f>
        <v>#N/A</v>
      </c>
      <c r="B312" s="40" t="s">
        <v>7829</v>
      </c>
      <c r="C312" s="40" t="s">
        <v>8083</v>
      </c>
      <c r="D312" s="40" t="s">
        <v>8195</v>
      </c>
      <c r="E312" s="40" t="s">
        <v>8085</v>
      </c>
    </row>
    <row r="313" spans="1:5" x14ac:dyDescent="0.35">
      <c r="A313" s="40" t="e">
        <f>IF(OR(_xlfn.XLOOKUP("xyz",Assessment!H:H,Assessment!E:E)="yes"),"Yes","No")</f>
        <v>#N/A</v>
      </c>
      <c r="B313" s="40" t="s">
        <v>7829</v>
      </c>
      <c r="C313" s="40" t="s">
        <v>8083</v>
      </c>
      <c r="D313" s="40" t="s">
        <v>8196</v>
      </c>
      <c r="E313" s="40" t="s">
        <v>8085</v>
      </c>
    </row>
    <row r="314" spans="1:5" x14ac:dyDescent="0.35">
      <c r="A314" s="40" t="e">
        <f>IF(OR(_xlfn.XLOOKUP("xyz",Assessment!H:H,Assessment!E:E)="yes"),"Yes","No")</f>
        <v>#N/A</v>
      </c>
      <c r="B314" s="40" t="s">
        <v>7829</v>
      </c>
      <c r="C314" s="40" t="s">
        <v>8083</v>
      </c>
      <c r="D314" s="40" t="s">
        <v>8197</v>
      </c>
      <c r="E314" s="40" t="s">
        <v>8085</v>
      </c>
    </row>
    <row r="315" spans="1:5" x14ac:dyDescent="0.35">
      <c r="A315" s="40" t="e">
        <f>IF(OR(_xlfn.XLOOKUP("xyz",Assessment!H:H,Assessment!E:E)="yes"),"Yes","No")</f>
        <v>#N/A</v>
      </c>
      <c r="B315" s="40" t="s">
        <v>7829</v>
      </c>
      <c r="C315" s="40" t="s">
        <v>8083</v>
      </c>
      <c r="D315" s="40" t="s">
        <v>8198</v>
      </c>
      <c r="E315" s="40" t="s">
        <v>8085</v>
      </c>
    </row>
    <row r="316" spans="1:5" x14ac:dyDescent="0.35">
      <c r="A316" s="40" t="e">
        <f>IF(OR(_xlfn.XLOOKUP("xyz",Assessment!H:H,Assessment!E:E)="yes"),"Yes","No")</f>
        <v>#N/A</v>
      </c>
      <c r="B316" s="40" t="s">
        <v>7829</v>
      </c>
      <c r="C316" s="40" t="s">
        <v>8083</v>
      </c>
      <c r="D316" s="40" t="s">
        <v>8199</v>
      </c>
      <c r="E316" s="40" t="s">
        <v>8085</v>
      </c>
    </row>
    <row r="317" spans="1:5" x14ac:dyDescent="0.35">
      <c r="A317" s="40" t="e">
        <f>IF(OR(_xlfn.XLOOKUP("xyz",Assessment!H:H,Assessment!E:E)="yes"),"Yes","No")</f>
        <v>#N/A</v>
      </c>
      <c r="B317" s="40" t="s">
        <v>7829</v>
      </c>
      <c r="C317" s="40" t="s">
        <v>8083</v>
      </c>
      <c r="D317" s="40" t="s">
        <v>8200</v>
      </c>
      <c r="E317" s="40" t="s">
        <v>8085</v>
      </c>
    </row>
    <row r="318" spans="1:5" x14ac:dyDescent="0.35">
      <c r="A318" s="40" t="e">
        <f>IF(OR(,_xlfn.XLOOKUP("1501.02f2Organizational.2",Assessment!H:H,Assessment!E:E)="yes"),"Yes","No")</f>
        <v>#N/A</v>
      </c>
      <c r="B318" s="40" t="s">
        <v>7829</v>
      </c>
      <c r="C318" s="40" t="s">
        <v>8083</v>
      </c>
      <c r="D318" s="40" t="s">
        <v>8201</v>
      </c>
      <c r="E318" s="40" t="s">
        <v>8085</v>
      </c>
    </row>
    <row r="319" spans="1:5" x14ac:dyDescent="0.35">
      <c r="A319" s="40" t="e">
        <f>IF(OR(_xlfn.XLOOKUP("xyz",Assessment!H:H,Assessment!E:E)="yes"),"Yes","No")</f>
        <v>#N/A</v>
      </c>
      <c r="B319" s="40" t="s">
        <v>7829</v>
      </c>
      <c r="C319" s="40" t="s">
        <v>8083</v>
      </c>
      <c r="D319" s="40" t="s">
        <v>8202</v>
      </c>
      <c r="E319" s="40" t="s">
        <v>8085</v>
      </c>
    </row>
    <row r="320" spans="1:5" x14ac:dyDescent="0.35">
      <c r="A320" s="40" t="e">
        <f>IF(OR(_xlfn.XLOOKUP("xyz",Assessment!H:H,Assessment!E:E)="yes"),"Yes","No")</f>
        <v>#N/A</v>
      </c>
      <c r="B320" s="40" t="s">
        <v>7829</v>
      </c>
      <c r="C320" s="40" t="s">
        <v>8083</v>
      </c>
      <c r="D320" s="40" t="s">
        <v>8203</v>
      </c>
      <c r="E320" s="40" t="s">
        <v>8085</v>
      </c>
    </row>
    <row r="321" spans="1:9" x14ac:dyDescent="0.35">
      <c r="A321" s="40" t="e">
        <f>IF(OR(_xlfn.XLOOKUP("xyz",Assessment!H:H,Assessment!E:E)="yes"),"Yes","No")</f>
        <v>#N/A</v>
      </c>
      <c r="B321" s="40" t="s">
        <v>7829</v>
      </c>
      <c r="C321" s="40" t="s">
        <v>8083</v>
      </c>
      <c r="D321" s="40" t="s">
        <v>8204</v>
      </c>
      <c r="E321" s="40" t="s">
        <v>8085</v>
      </c>
    </row>
    <row r="322" spans="1:9" x14ac:dyDescent="0.35">
      <c r="A322" s="40" t="e">
        <f>IF(OR(_xlfn.XLOOKUP("xyz",Assessment!H:H,Assessment!E:E)="yes"),"Yes","No")</f>
        <v>#N/A</v>
      </c>
      <c r="B322" s="40" t="s">
        <v>7829</v>
      </c>
      <c r="C322" s="40" t="s">
        <v>8083</v>
      </c>
      <c r="D322" s="40" t="s">
        <v>8205</v>
      </c>
      <c r="E322" s="40" t="s">
        <v>8085</v>
      </c>
    </row>
    <row r="323" spans="1:9" x14ac:dyDescent="0.35">
      <c r="A323" s="40" t="e">
        <f>IF(OR(_xlfn.XLOOKUP("xyz",Assessment!H:H,Assessment!E:E)="yes"),"Yes","No")</f>
        <v>#N/A</v>
      </c>
      <c r="B323" s="40" t="s">
        <v>7829</v>
      </c>
      <c r="C323" s="40" t="s">
        <v>8083</v>
      </c>
      <c r="D323" s="40" t="s">
        <v>8206</v>
      </c>
      <c r="E323" s="40" t="s">
        <v>8085</v>
      </c>
    </row>
    <row r="324" spans="1:9" x14ac:dyDescent="0.35">
      <c r="A324" s="40" t="e">
        <f>IF(OR(_xlfn.XLOOKUP("xyz",Assessment!H:H,Assessment!E:E)="yes"),"Yes","No")</f>
        <v>#N/A</v>
      </c>
      <c r="B324" s="40" t="s">
        <v>7829</v>
      </c>
      <c r="C324" s="40" t="s">
        <v>8083</v>
      </c>
      <c r="D324" s="40" t="s">
        <v>8207</v>
      </c>
      <c r="E324" s="40" t="s">
        <v>8085</v>
      </c>
    </row>
    <row r="325" spans="1:9" x14ac:dyDescent="0.35">
      <c r="A325" s="40" t="e">
        <f>IF(OR(_xlfn.XLOOKUP("xyz",Assessment!H:H,Assessment!E:E)="yes"),"Yes","No")</f>
        <v>#N/A</v>
      </c>
      <c r="B325" s="40" t="s">
        <v>7829</v>
      </c>
      <c r="C325" s="40" t="s">
        <v>8083</v>
      </c>
      <c r="D325" s="40" t="s">
        <v>8208</v>
      </c>
      <c r="E325" s="40" t="s">
        <v>8085</v>
      </c>
    </row>
    <row r="326" spans="1:9" x14ac:dyDescent="0.35">
      <c r="A326" s="40" t="e">
        <f>IF(OR(_xlfn.XLOOKUP("19379.13fHIPAAOrganizational.4",Assessment!H:H,Assessment!E:E)="yes",_xlfn.XLOOKUP("19441.13kHIPAAOrganizational.13",Assessment!H:H,Assessment!E:E)="yes",_xlfn.XLOOKUP("1902.06d2Organizational.4",Assessment!H:H,Assessment!E:E)="yes",_xlfn.XLOOKUP("19439.13kHIPAAOrganizational.11",Assessment!H:H,Assessment!E:E)="yes",_xlfn.XLOOKUP("19440.13kHIPAAOrganizational.12",Assessment!H:H,Assessment!E:E)="yes",_xlfn.XLOOKUP("19612.13kHIPAAOrganizational.25",Assessment!H:H,Assessment!E:E)="yes",_xlfn.XLOOKUP("19483.13kTexasOrganizational.26",Assessment!H:H,Assessment!E:E)="yes",_xlfn.XLOOKUP("1210.09aa3System.3",Assessment!H:H,Assessment!E:E)="yes"),"Yes","No")</f>
        <v>#N/A</v>
      </c>
      <c r="B326" s="40" t="s">
        <v>7829</v>
      </c>
      <c r="C326" s="40" t="s">
        <v>8083</v>
      </c>
      <c r="D326" s="40" t="s">
        <v>8209</v>
      </c>
      <c r="E326" s="40" t="s">
        <v>8085</v>
      </c>
    </row>
    <row r="327" spans="1:9" x14ac:dyDescent="0.35">
      <c r="A327" s="40" t="e">
        <f>IF(OR(_xlfn.XLOOKUP("xyz",Assessment!H:H,Assessment!E:E)="yes"),"Yes","No")</f>
        <v>#N/A</v>
      </c>
      <c r="B327" s="40" t="s">
        <v>7829</v>
      </c>
      <c r="C327" s="40" t="s">
        <v>8083</v>
      </c>
      <c r="D327" s="40" t="s">
        <v>8210</v>
      </c>
      <c r="E327" s="40" t="s">
        <v>8085</v>
      </c>
    </row>
    <row r="328" spans="1:9" x14ac:dyDescent="0.35">
      <c r="A328" s="40" t="str">
        <f>IF(OR(_xlfn.XLOOKUP("1569.11e1Organizational.12",Assessment!H:H,Assessment!E:E)="yes"),"Yes","No")</f>
        <v>Yes</v>
      </c>
      <c r="B328" s="40" t="s">
        <v>7829</v>
      </c>
      <c r="C328" s="40" t="s">
        <v>8083</v>
      </c>
      <c r="D328" s="40" t="s">
        <v>8211</v>
      </c>
      <c r="E328" s="40" t="s">
        <v>8085</v>
      </c>
    </row>
    <row r="329" spans="1:9" x14ac:dyDescent="0.35">
      <c r="A329" s="40" t="e">
        <f>IF(OR(_xlfn.XLOOKUP("1589.11c1Organizational.5",Assessment!H:H,Assessment!E:E)="yes"),"Yes","No")</f>
        <v>#N/A</v>
      </c>
      <c r="B329" s="40" t="s">
        <v>7829</v>
      </c>
      <c r="C329" s="40" t="s">
        <v>8083</v>
      </c>
      <c r="D329" s="40" t="s">
        <v>8212</v>
      </c>
      <c r="E329" s="40" t="s">
        <v>8085</v>
      </c>
    </row>
    <row r="330" spans="1:9" ht="37.5" x14ac:dyDescent="0.35">
      <c r="A330" s="40" t="e">
        <f>IF(OR(_xlfn.XLOOKUP("1535.11b1Organizational.12",Assessment!H:H,Assessment!E:E)="yes",_xlfn.XLOOKUP("1560.11d1Organizational.1",Assessment!H:H,Assessment!E:E)="yes",_xlfn.XLOOKUP("1561.11c1Organizational.4",Assessment!H:H,Assessment!E:E)="yes",_xlfn.XLOOKUP("1563.11d1Organizational.2",Assessment!H:H,Assessment!E:E)="yes",_xlfn.XLOOKUP("1505.11a2Organizational.6",Assessment!H:H,Assessment!E:E)="yes",_xlfn.XLOOKUP("1562.11d2Organizational.2",Assessment!H:H,Assessment!E:E)="yes",_xlfn.XLOOKUP("1523.11c3Organizational.24",Assessment!H:H,Assessment!E:E)="yes",_xlfn.XLOOKUP("1503.02f2Organizational.12",Assessment!H:H,Assessment!E:E)="yes",_xlfn.XLOOKUP("1515.11a3Organizational.3",Assessment!H:H,Assessment!E:E)="yes",_xlfn.XLOOKUP("1518.11c2Organizational.13",Assessment!H:H,Assessment!E:E)="yes",_xlfn.XLOOKUP("1522.11c3Organizational.13",Assessment!H:H,Assessment!E:E)="yes",_xlfn.XLOOKUP("1539.11c2Organizational.7",Assessment!H:H,Assessment!E:E)="yes",_xlfn.XLOOKUP("1577.11aCSPOrganizational.1",Assessment!H:H,Assessment!E:E)="yes"),"Yes","No")</f>
        <v>#N/A</v>
      </c>
      <c r="B330" s="40" t="s">
        <v>7829</v>
      </c>
      <c r="C330" s="40" t="s">
        <v>8083</v>
      </c>
      <c r="D330" s="40" t="s">
        <v>8213</v>
      </c>
      <c r="E330" s="40" t="s">
        <v>8085</v>
      </c>
      <c r="H330" s="58" t="s">
        <v>8214</v>
      </c>
      <c r="I330" s="58" t="s">
        <v>8215</v>
      </c>
    </row>
    <row r="331" spans="1:9" x14ac:dyDescent="0.35">
      <c r="A331" s="40" t="e">
        <f>IF(OR(_xlfn.XLOOKUP("1710.03a2Organizational.2",Assessment!H:H,Assessment!E:E)="yes",_xlfn.XLOOKUP("1711.03a3Organizational.4",Assessment!H:H,Assessment!E:E)="yes"),"Yes","No")</f>
        <v>#N/A</v>
      </c>
      <c r="B331" s="40" t="s">
        <v>7829</v>
      </c>
      <c r="C331" s="40" t="s">
        <v>8083</v>
      </c>
      <c r="D331" s="40" t="s">
        <v>8216</v>
      </c>
      <c r="E331" s="40" t="s">
        <v>8085</v>
      </c>
    </row>
    <row r="332" spans="1:9" x14ac:dyDescent="0.35">
      <c r="A332" s="40" t="e">
        <f>IF(OR(,_xlfn.XLOOKUP("1820.08j2Organizational.1",Assessment!H:H,Assessment!E:E)="yes",_xlfn.XLOOKUP("1821.08j2Organizational.3",Assessment!H:H,Assessment!E:E)="yes",_xlfn.XLOOKUP("1822.08j2Organizational.2",Assessment!H:H,Assessment!E:E)="yes",_xlfn.XLOOKUP("1823.08j3Organizational.12",Assessment!H:H,Assessment!E:E)="yes",_xlfn.XLOOKUP("1824.08j3Organizational.3",Assessment!H:H,Assessment!E:E)="yes"),"Yes","No")</f>
        <v>#N/A</v>
      </c>
      <c r="B332" s="40" t="s">
        <v>7829</v>
      </c>
      <c r="C332" s="40" t="s">
        <v>8083</v>
      </c>
      <c r="D332" s="40" t="s">
        <v>8217</v>
      </c>
      <c r="E332" s="40" t="s">
        <v>8085</v>
      </c>
    </row>
    <row r="333" spans="1:9" x14ac:dyDescent="0.35">
      <c r="A333" s="40" t="e">
        <f>IF(OR(_xlfn.XLOOKUP("0301.09o2Organizational.2",Assessment!H:H,Assessment!E:E)="yes"),"Yes","No")</f>
        <v>#N/A</v>
      </c>
      <c r="B333" s="40" t="s">
        <v>7829</v>
      </c>
      <c r="C333" s="40" t="s">
        <v>8083</v>
      </c>
      <c r="D333" s="40" t="s">
        <v>8218</v>
      </c>
      <c r="E333" s="40" t="s">
        <v>8085</v>
      </c>
    </row>
    <row r="334" spans="1:9" x14ac:dyDescent="0.35">
      <c r="A334" s="40" t="e">
        <f>IF(OR(,_xlfn.XLOOKUP("1783.10a2Organizational.13",Assessment!H:H,Assessment!E:E)="yes",_xlfn.XLOOKUP("1785.10a2Organizational.14",Assessment!H:H,Assessment!E:E)="yes",_xlfn.XLOOKUP("1796.10a2Organizational.15",Assessment!H:H,Assessment!E:E)="yes"),"Yes","No")</f>
        <v>#N/A</v>
      </c>
      <c r="B334" s="40" t="s">
        <v>7829</v>
      </c>
      <c r="C334" s="40" t="s">
        <v>8083</v>
      </c>
      <c r="D334" s="40" t="s">
        <v>8219</v>
      </c>
      <c r="E334" s="40" t="s">
        <v>8085</v>
      </c>
    </row>
    <row r="335" spans="1:9" x14ac:dyDescent="0.35">
      <c r="A335" s="40" t="e">
        <f>IF(OR(_xlfn.XLOOKUP("xyz",Assessment!H:H,Assessment!E:E)="yes"),"Yes","No")</f>
        <v>#N/A</v>
      </c>
      <c r="B335" s="40" t="s">
        <v>7829</v>
      </c>
      <c r="C335" s="40" t="s">
        <v>8083</v>
      </c>
      <c r="D335" s="40" t="s">
        <v>8220</v>
      </c>
      <c r="E335" s="40" t="s">
        <v>8085</v>
      </c>
    </row>
    <row r="336" spans="1:9" ht="37.5" x14ac:dyDescent="0.35">
      <c r="A336" s="40" t="e">
        <f>IF(OR(_xlfn.XLOOKUP("0613.06h1Organizational.12",Assessment!H:H,Assessment!E:E)="yes",_xlfn.XLOOKUP("0709.10m1Organizational.1",Assessment!H:H,Assessment!E:E)="yes",_xlfn.XLOOKUP("0778.10m1Organizational.5",Assessment!H:H,Assessment!E:E)="yes",_xlfn.XLOOKUP("1708.03c2Organizational.12",Assessment!H:H,Assessment!E:E)="yes",_xlfn.XLOOKUP("0711.10m2Organizational.23",Assessment!H:H,Assessment!E:E)="yes",_xlfn.XLOOKUP("0790.10m3Organizational.22",Assessment!H:H,Assessment!E:E)="yes"),"Yes","No")</f>
        <v>#N/A</v>
      </c>
      <c r="B336" s="40" t="s">
        <v>7829</v>
      </c>
      <c r="C336" s="40" t="s">
        <v>8083</v>
      </c>
      <c r="D336" s="40" t="s">
        <v>8221</v>
      </c>
      <c r="E336" s="40" t="s">
        <v>8085</v>
      </c>
      <c r="H336" s="58" t="s">
        <v>8222</v>
      </c>
      <c r="I336" s="58" t="s">
        <v>8223</v>
      </c>
    </row>
    <row r="337" spans="1:9" x14ac:dyDescent="0.35">
      <c r="A337" s="40" t="e">
        <f>IF(OR(_xlfn.XLOOKUP("xyz",Assessment!H:H,Assessment!E:E)="yes"),"Yes","No")</f>
        <v>#N/A</v>
      </c>
      <c r="B337" s="40" t="s">
        <v>7829</v>
      </c>
      <c r="C337" s="40" t="s">
        <v>8083</v>
      </c>
      <c r="D337" s="40" t="s">
        <v>8224</v>
      </c>
      <c r="E337" s="40" t="s">
        <v>8085</v>
      </c>
    </row>
    <row r="338" spans="1:9" x14ac:dyDescent="0.35">
      <c r="A338" s="40" t="e">
        <f>IF(OR(_xlfn.XLOOKUP("1259.09ab2System.9",Assessment!H:H,Assessment!E:E)="yes",_xlfn.XLOOKUP("1331.02e3Organizational.4",Assessment!H:H,Assessment!E:E)="yes"),"Yes","No")</f>
        <v>#N/A</v>
      </c>
      <c r="B338" s="40" t="s">
        <v>7829</v>
      </c>
      <c r="C338" s="40" t="s">
        <v>8083</v>
      </c>
      <c r="D338" s="40" t="s">
        <v>8225</v>
      </c>
      <c r="E338" s="40" t="s">
        <v>8085</v>
      </c>
    </row>
    <row r="339" spans="1:9" x14ac:dyDescent="0.35">
      <c r="A339" s="40" t="e">
        <f>IF(OR(_xlfn.XLOOKUP("xyz",Assessment!H:H,Assessment!E:E)="yes"),"Yes","No")</f>
        <v>#N/A</v>
      </c>
      <c r="B339" s="40" t="s">
        <v>7829</v>
      </c>
      <c r="C339" s="40" t="s">
        <v>8083</v>
      </c>
      <c r="D339" s="40" t="s">
        <v>8226</v>
      </c>
      <c r="E339" s="40" t="s">
        <v>8085</v>
      </c>
    </row>
    <row r="340" spans="1:9" x14ac:dyDescent="0.35">
      <c r="A340" s="40" t="e">
        <f>IF(OR(_xlfn.XLOOKUP("xyz",Assessment!H:H,Assessment!E:E)="yes"),"Yes","No")</f>
        <v>#N/A</v>
      </c>
      <c r="B340" s="40" t="s">
        <v>7829</v>
      </c>
      <c r="C340" s="40" t="s">
        <v>8083</v>
      </c>
      <c r="D340" s="40" t="s">
        <v>8227</v>
      </c>
      <c r="E340" s="40" t="s">
        <v>8085</v>
      </c>
    </row>
    <row r="341" spans="1:9" x14ac:dyDescent="0.35">
      <c r="A341" s="40" t="e">
        <f>IF(OR(_xlfn.XLOOKUP("xyz",Assessment!H:H,Assessment!E:E)="yes"),"Yes","No")</f>
        <v>#N/A</v>
      </c>
      <c r="B341" s="40" t="s">
        <v>7829</v>
      </c>
      <c r="C341" s="40" t="s">
        <v>8083</v>
      </c>
      <c r="D341" s="40" t="s">
        <v>8228</v>
      </c>
      <c r="E341" s="40" t="s">
        <v>8085</v>
      </c>
    </row>
    <row r="342" spans="1:9" x14ac:dyDescent="0.35">
      <c r="A342" s="40" t="e">
        <f>IF(OR(,_xlfn.XLOOKUP("1211.09aa3System.4",Assessment!H:H,Assessment!E:E)="yes"),"Yes","No")</f>
        <v>#N/A</v>
      </c>
      <c r="B342" s="40" t="s">
        <v>7829</v>
      </c>
      <c r="C342" s="40" t="s">
        <v>8083</v>
      </c>
      <c r="D342" s="40" t="s">
        <v>8229</v>
      </c>
      <c r="E342" s="40" t="s">
        <v>8085</v>
      </c>
    </row>
    <row r="343" spans="1:9" x14ac:dyDescent="0.35">
      <c r="A343" s="40" t="e">
        <f>IF(OR(_xlfn.XLOOKUP("xyz",Assessment!H:H,Assessment!E:E)="yes"),"Yes","No")</f>
        <v>#N/A</v>
      </c>
      <c r="B343" s="40" t="s">
        <v>7829</v>
      </c>
      <c r="C343" s="40" t="s">
        <v>8083</v>
      </c>
      <c r="D343" s="40" t="s">
        <v>8230</v>
      </c>
      <c r="E343" s="40" t="s">
        <v>8085</v>
      </c>
    </row>
    <row r="344" spans="1:9" x14ac:dyDescent="0.35">
      <c r="A344" s="40" t="e">
        <f>IF(OR(_xlfn.XLOOKUP("1734.03d1Organizational.2",Assessment!H:H,Assessment!E:E)="yes",_xlfn.XLOOKUP("1735.03d2Organizational.23",Assessment!H:H,Assessment!E:E)="yes",_xlfn.XLOOKUP("1756.06g2Organizational.5",Assessment!H:H,Assessment!E:E)="yes",_xlfn.XLOOKUP("17.03aISO31000Organizational.12",Assessment!H:H,Assessment!E:E)="yes"),"Yes","No")</f>
        <v>#N/A</v>
      </c>
      <c r="B344" s="40" t="s">
        <v>7829</v>
      </c>
      <c r="C344" s="40" t="s">
        <v>8083</v>
      </c>
      <c r="D344" s="40" t="s">
        <v>8231</v>
      </c>
      <c r="E344" s="40" t="s">
        <v>8085</v>
      </c>
    </row>
    <row r="345" spans="1:9" x14ac:dyDescent="0.35">
      <c r="A345" s="40" t="e">
        <f>IF(OR(_xlfn.XLOOKUP("xyz",Assessment!H:H,Assessment!E:E)="yes"),"Yes","No")</f>
        <v>#N/A</v>
      </c>
      <c r="B345" s="40" t="s">
        <v>7829</v>
      </c>
      <c r="C345" s="40" t="s">
        <v>8083</v>
      </c>
      <c r="D345" s="40" t="s">
        <v>8232</v>
      </c>
      <c r="E345" s="40" t="s">
        <v>8085</v>
      </c>
    </row>
    <row r="346" spans="1:9" x14ac:dyDescent="0.35">
      <c r="A346" s="40" t="e">
        <f>IF(OR(_xlfn.XLOOKUP("xyz",Assessment!H:H,Assessment!E:E)="yes"),"Yes","No")</f>
        <v>#N/A</v>
      </c>
      <c r="B346" s="40" t="s">
        <v>7829</v>
      </c>
      <c r="C346" s="40" t="s">
        <v>8083</v>
      </c>
      <c r="D346" s="40" t="s">
        <v>8233</v>
      </c>
      <c r="E346" s="40" t="s">
        <v>8085</v>
      </c>
    </row>
    <row r="347" spans="1:9" x14ac:dyDescent="0.35">
      <c r="A347" s="40" t="e">
        <f>IF(OR(_xlfn.XLOOKUP("xyz",Assessment!H:H,Assessment!E:E)="yes"),"Yes","No")</f>
        <v>#N/A</v>
      </c>
      <c r="B347" s="40" t="s">
        <v>7829</v>
      </c>
      <c r="C347" s="40" t="s">
        <v>8083</v>
      </c>
      <c r="D347" s="40" t="s">
        <v>8234</v>
      </c>
      <c r="E347" s="40" t="s">
        <v>8085</v>
      </c>
    </row>
    <row r="348" spans="1:9" x14ac:dyDescent="0.35">
      <c r="A348" s="40" t="e">
        <f>IF(OR(,_xlfn.XLOOKUP("0106.02a2Organizational.23",Assessment!H:H,Assessment!E:E)="yes",_xlfn.XLOOKUP("0107.02d2Organizational.5",Assessment!H:H,Assessment!E:E)="yes",_xlfn.XLOOKUP("1231.09c2Organizational.23",Assessment!H:H,Assessment!E:E)="yes"),"Yes","No")</f>
        <v>#N/A</v>
      </c>
      <c r="B348" s="40" t="s">
        <v>7829</v>
      </c>
      <c r="C348" s="40" t="s">
        <v>8083</v>
      </c>
      <c r="D348" s="40" t="s">
        <v>8235</v>
      </c>
      <c r="E348" s="40" t="s">
        <v>8085</v>
      </c>
    </row>
    <row r="349" spans="1:9" x14ac:dyDescent="0.35">
      <c r="A349" s="40" t="e">
        <f>IF(OR(_xlfn.XLOOKUP("xyz",Assessment!H:H,Assessment!E:E)="yes"),"Yes","No")</f>
        <v>#N/A</v>
      </c>
      <c r="B349" s="40" t="s">
        <v>7829</v>
      </c>
      <c r="C349" s="40" t="s">
        <v>8083</v>
      </c>
      <c r="D349" s="40" t="s">
        <v>8236</v>
      </c>
      <c r="E349" s="40" t="s">
        <v>8085</v>
      </c>
    </row>
    <row r="350" spans="1:9" ht="25" x14ac:dyDescent="0.35">
      <c r="A350" s="40" t="e">
        <f>IF(OR(_xlfn.XLOOKUP("0613.06h1Organizational.12",Assessment!H:H,Assessment!E:E)="yes",_xlfn.XLOOKUP("1756.06g2Organizational.5",Assessment!H:H,Assessment!E:E)="yes",_xlfn.XLOOKUP("0614.06h2Organizational.12",Assessment!H:H,Assessment!E:E)="yes",_xlfn.XLOOKUP("0615.06h2Organizational.3",Assessment!H:H,Assessment!E:E)="yes",_xlfn.XLOOKUP("0718.10m3Organizational.34",Assessment!H:H,Assessment!E:E)="yes",_xlfn.XLOOKUP("0789.10m3Organizational.21",Assessment!H:H,Assessment!E:E)="yes",_xlfn.XLOOKUP("0828.09m2Organizational.8",Assessment!H:H,Assessment!E:E)="yes",_xlfn.XLOOKUP("07.06hAISecOrganizational.1",Assessment!H:H,Assessment!E:E)="yes"),"Yes","No")</f>
        <v>#N/A</v>
      </c>
      <c r="B350" s="40" t="s">
        <v>7829</v>
      </c>
      <c r="C350" s="40" t="s">
        <v>8083</v>
      </c>
      <c r="D350" s="40" t="s">
        <v>8237</v>
      </c>
      <c r="E350" s="40" t="s">
        <v>8085</v>
      </c>
      <c r="H350" s="58" t="s">
        <v>8238</v>
      </c>
      <c r="I350" s="58" t="s">
        <v>8238</v>
      </c>
    </row>
    <row r="351" spans="1:9" x14ac:dyDescent="0.35">
      <c r="A351" s="40" t="e">
        <f>IF(OR(_xlfn.XLOOKUP("1712.03a3Organizational.5",Assessment!H:H,Assessment!E:E)="yes"),"Yes","No")</f>
        <v>#N/A</v>
      </c>
      <c r="B351" s="40" t="s">
        <v>7829</v>
      </c>
      <c r="C351" s="40" t="s">
        <v>8083</v>
      </c>
      <c r="D351" s="40" t="s">
        <v>8239</v>
      </c>
      <c r="E351" s="40" t="s">
        <v>8085</v>
      </c>
    </row>
    <row r="352" spans="1:9" x14ac:dyDescent="0.35">
      <c r="A352" s="40" t="str">
        <f>IF(OR(_xlfn.XLOOKUP("0181.06a1Organizational.12",Assessment!H:H,Assessment!E:E)="yes"),"Yes","No")</f>
        <v>Yes</v>
      </c>
      <c r="B352" s="40" t="s">
        <v>7829</v>
      </c>
      <c r="C352" s="40" t="s">
        <v>8083</v>
      </c>
      <c r="D352" s="40" t="s">
        <v>8240</v>
      </c>
      <c r="E352" s="40" t="s">
        <v>8085</v>
      </c>
      <c r="H352" s="40" t="s">
        <v>8241</v>
      </c>
      <c r="I352" s="40" t="s">
        <v>8241</v>
      </c>
    </row>
    <row r="353" spans="1:9" x14ac:dyDescent="0.35">
      <c r="A353" s="40" t="e">
        <f>IF(OR(,_xlfn.XLOOKUP("1804.08b2Organizational.12",Assessment!H:H,Assessment!E:E)="yes"),"Yes","No")</f>
        <v>#N/A</v>
      </c>
      <c r="B353" s="40" t="s">
        <v>7829</v>
      </c>
      <c r="C353" s="40" t="s">
        <v>8083</v>
      </c>
      <c r="D353" s="40" t="s">
        <v>8242</v>
      </c>
      <c r="E353" s="40" t="s">
        <v>8085</v>
      </c>
    </row>
    <row r="354" spans="1:9" x14ac:dyDescent="0.35">
      <c r="A354" s="40" t="e">
        <f>IF(OR(_xlfn.XLOOKUP("xyz",Assessment!H:H,Assessment!E:E)="yes"),"Yes","No")</f>
        <v>#N/A</v>
      </c>
      <c r="B354" s="40" t="s">
        <v>7829</v>
      </c>
      <c r="C354" s="40" t="s">
        <v>8083</v>
      </c>
      <c r="D354" s="40" t="s">
        <v>8243</v>
      </c>
      <c r="E354" s="40" t="s">
        <v>8085</v>
      </c>
    </row>
    <row r="355" spans="1:9" x14ac:dyDescent="0.35">
      <c r="A355" s="40" t="e">
        <f>IF(OR(_xlfn.XLOOKUP("1847.08b2Organizational.910",Assessment!H:H,Assessment!E:E)="yes",_xlfn.XLOOKUP("1846.08b2Organizational.8",Assessment!H:H,Assessment!E:E)="yes"),"Yes","No")</f>
        <v>#N/A</v>
      </c>
      <c r="B355" s="40" t="s">
        <v>7829</v>
      </c>
      <c r="C355" s="40" t="s">
        <v>8083</v>
      </c>
      <c r="D355" s="40" t="s">
        <v>8244</v>
      </c>
      <c r="E355" s="40" t="s">
        <v>8085</v>
      </c>
    </row>
    <row r="356" spans="1:9" ht="37.5" x14ac:dyDescent="0.35">
      <c r="A356" s="40" t="e">
        <f>IF(OR(_xlfn.XLOOKUP("0183.07b1Organizational.1",Assessment!H:H,Assessment!E:E)="yes",_xlfn.XLOOKUP("1109.01b2System.6",Assessment!H:H,Assessment!E:E)="yes",_xlfn.XLOOKUP("1616.09l1Organizational.16",Assessment!H:H,Assessment!E:E)="yes",_xlfn.XLOOKUP("1617.09l1Organizational.23",Assessment!H:H,Assessment!E:E)="yes",_xlfn.XLOOKUP("19190.10c2System.7",Assessment!H:H,Assessment!E:E)="yes",_xlfn.XLOOKUP("19191.10c2System.6",Assessment!H:H,Assessment!E:E)="yes",_xlfn.XLOOKUP("0208.09j2Organizational.7",Assessment!H:H,Assessment!E:E)="yes",_xlfn.XLOOKUP("0604.06g2Organizational.2",Assessment!H:H,Assessment!E:E)="yes",_xlfn.XLOOKUP("0642.10k3Organizational.12",Assessment!H:H,Assessment!E:E)="yes",_xlfn.XLOOKUP("1153.01c3System.35",Assessment!H:H,Assessment!E:E)="yes",_xlfn.XLOOKUP("1197.01l3Organizational.3",Assessment!H:H,Assessment!E:E)="yes"),"Yes","No")</f>
        <v>#N/A</v>
      </c>
      <c r="B356" s="40" t="s">
        <v>7829</v>
      </c>
      <c r="C356" s="40" t="s">
        <v>8083</v>
      </c>
      <c r="D356" s="40" t="s">
        <v>8245</v>
      </c>
      <c r="E356" s="40" t="s">
        <v>8085</v>
      </c>
      <c r="H356" s="58" t="s">
        <v>8246</v>
      </c>
      <c r="I356" s="40" t="s">
        <v>8247</v>
      </c>
    </row>
    <row r="357" spans="1:9" x14ac:dyDescent="0.35">
      <c r="A357" s="40" t="e">
        <f>IF(OR(,_xlfn.XLOOKUP("17100.10a3Organizational.5",Assessment!H:H,Assessment!E:E)="yes"),"Yes","No")</f>
        <v>#N/A</v>
      </c>
      <c r="B357" s="40" t="s">
        <v>7829</v>
      </c>
      <c r="C357" s="40" t="s">
        <v>8083</v>
      </c>
      <c r="D357" s="40" t="s">
        <v>8248</v>
      </c>
      <c r="E357" s="40" t="s">
        <v>8085</v>
      </c>
    </row>
    <row r="358" spans="1:9" x14ac:dyDescent="0.35">
      <c r="A358" s="40" t="e">
        <f>IF(OR(,_xlfn.XLOOKUP("1604.12c3Organizational.4",Assessment!H:H,Assessment!E:E)="yes",_xlfn.XLOOKUP("1609.12c3Organizational.12",Assessment!H:H,Assessment!E:E)="yes"),"Yes","No")</f>
        <v>#N/A</v>
      </c>
      <c r="B358" s="40" t="s">
        <v>7829</v>
      </c>
      <c r="C358" s="40" t="s">
        <v>8083</v>
      </c>
      <c r="D358" s="40" t="s">
        <v>8249</v>
      </c>
      <c r="E358" s="40" t="s">
        <v>8085</v>
      </c>
    </row>
    <row r="359" spans="1:9" x14ac:dyDescent="0.35">
      <c r="A359" s="40" t="e">
        <f>IF(OR(_xlfn.XLOOKUP("1133.01v2System.4",Assessment!H:H,Assessment!E:E)="yes"),"Yes","No")</f>
        <v>#N/A</v>
      </c>
      <c r="B359" s="40" t="s">
        <v>7829</v>
      </c>
      <c r="C359" s="40" t="s">
        <v>8083</v>
      </c>
      <c r="D359" s="40" t="s">
        <v>8250</v>
      </c>
      <c r="E359" s="40" t="s">
        <v>8085</v>
      </c>
    </row>
    <row r="360" spans="1:9" x14ac:dyDescent="0.35">
      <c r="A360" s="40" t="e">
        <f>IF(OR(_xlfn.XLOOKUP("1002.01d2System.7",Assessment!H:H,Assessment!E:E)="yes",_xlfn.XLOOKUP("1004.01d2System.8",Assessment!H:H,Assessment!E:E)="yes",_xlfn.XLOOKUP("1006.01d2System.1",Assessment!H:H,Assessment!E:E)="yes",_xlfn.XLOOKUP("1007.01d2System.2",Assessment!H:H,Assessment!E:E)="yes",_xlfn.XLOOKUP("1012.01r2System.1",Assessment!H:H,Assessment!E:E)="yes",_xlfn.XLOOKUP("1013.01r1System.2",Assessment!H:H,Assessment!E:E)="yes",_xlfn.XLOOKUP("1031.01d2System.11",Assessment!H:H,Assessment!E:E)="yes",_xlfn.XLOOKUP("1107.01b1System.2",Assessment!H:H,Assessment!E:E)="yes",_xlfn.XLOOKUP("11109.01q2System.9",Assessment!H:H,Assessment!E:E)="yes",_xlfn.XLOOKUP("1111.01b2System.1",Assessment!H:H,Assessment!E:E)="yes",_xlfn.XLOOKUP("1124.01q2System.12",Assessment!H:H,Assessment!E:E)="yes",_xlfn.XLOOKUP("1145.01c2System.1",Assessment!H:H,Assessment!E:E)="yes",_xlfn.XLOOKUP("1146.01c2System.23",Assessment!H:H,Assessment!E:E)="yes",_xlfn.XLOOKUP("1150.01c2System.10",Assessment!H:H,Assessment!E:E)="yes",_xlfn.XLOOKUP("1168.01e2System.2",Assessment!H:H,Assessment!E:E)="yes",_xlfn.XLOOKUP("1005.01d3System.1",Assessment!H:H,Assessment!E:E)="yes",_xlfn.XLOOKUP("1232.09c3Organizational.12",Assessment!H:H,Assessment!E:E)="yes",_xlfn.XLOOKUP("1164.01cHIESystem.1",Assessment!H:H,Assessment!E:E)="yes",_xlfn.XLOOKUP("1170.01eHIESystem.1",Assessment!H:H,Assessment!E:E)="yes"),"Yes","No")</f>
        <v>#N/A</v>
      </c>
      <c r="B360" s="40" t="s">
        <v>7829</v>
      </c>
      <c r="C360" s="40" t="s">
        <v>8083</v>
      </c>
      <c r="D360" s="40" t="s">
        <v>8251</v>
      </c>
      <c r="E360" s="40" t="s">
        <v>8085</v>
      </c>
    </row>
    <row r="361" spans="1:9" x14ac:dyDescent="0.35">
      <c r="A361" s="40" t="e">
        <f>IF(OR(_xlfn.XLOOKUP("1619.09l2Organizational.4",Assessment!H:H,Assessment!E:E)="yes"),"Yes","No")</f>
        <v>#N/A</v>
      </c>
      <c r="B361" s="40" t="s">
        <v>7829</v>
      </c>
      <c r="C361" s="40" t="s">
        <v>8083</v>
      </c>
      <c r="D361" s="40" t="s">
        <v>8252</v>
      </c>
      <c r="E361" s="40" t="s">
        <v>8085</v>
      </c>
    </row>
    <row r="362" spans="1:9" x14ac:dyDescent="0.35">
      <c r="A362" s="40" t="e">
        <f>IF(OR(_xlfn.XLOOKUP("xyz",Assessment!H:H,Assessment!E:E)="yes"),"Yes","No")</f>
        <v>#N/A</v>
      </c>
      <c r="B362" s="40" t="s">
        <v>7829</v>
      </c>
      <c r="C362" s="40" t="s">
        <v>8083</v>
      </c>
      <c r="D362" s="40" t="s">
        <v>8253</v>
      </c>
      <c r="E362" s="40" t="s">
        <v>8085</v>
      </c>
    </row>
    <row r="363" spans="1:9" x14ac:dyDescent="0.35">
      <c r="A363" s="40" t="e">
        <f>IF(OR(_xlfn.XLOOKUP("xyz",Assessment!H:H,Assessment!E:E)="yes"),"Yes","No")</f>
        <v>#N/A</v>
      </c>
      <c r="B363" s="40" t="s">
        <v>7829</v>
      </c>
      <c r="C363" s="40" t="s">
        <v>8083</v>
      </c>
      <c r="D363" s="40" t="s">
        <v>8254</v>
      </c>
      <c r="E363" s="40" t="s">
        <v>8085</v>
      </c>
    </row>
    <row r="364" spans="1:9" x14ac:dyDescent="0.35">
      <c r="A364" s="40" t="e">
        <f>IF(OR(_xlfn.XLOOKUP("0903.10f1Organizational.1",Assessment!H:H,Assessment!E:E)="yes",_xlfn.XLOOKUP("0955.10d2System.1",Assessment!H:H,Assessment!E:E)="yes",_xlfn.XLOOKUP("0904.10f2Organizational.1",Assessment!H:H,Assessment!E:E)="yes",_xlfn.XLOOKUP("099.09m2Organizational.11",Assessment!H:H,Assessment!E:E)="yes"),"Yes","No")</f>
        <v>#N/A</v>
      </c>
      <c r="B364" s="40" t="s">
        <v>7829</v>
      </c>
      <c r="C364" s="40" t="s">
        <v>8083</v>
      </c>
      <c r="D364" s="40" t="s">
        <v>8255</v>
      </c>
      <c r="E364" s="40" t="s">
        <v>8085</v>
      </c>
    </row>
    <row r="365" spans="1:9" x14ac:dyDescent="0.35">
      <c r="A365" s="40" t="e">
        <f>IF(OR(_xlfn.XLOOKUP("xyz",Assessment!H:H,Assessment!E:E)="yes"),"Yes","No")</f>
        <v>#N/A</v>
      </c>
      <c r="B365" s="40" t="s">
        <v>7829</v>
      </c>
      <c r="C365" s="40" t="s">
        <v>8083</v>
      </c>
      <c r="D365" s="40" t="s">
        <v>8256</v>
      </c>
      <c r="E365" s="40" t="s">
        <v>8085</v>
      </c>
    </row>
    <row r="366" spans="1:9" x14ac:dyDescent="0.35">
      <c r="A366" s="40" t="e">
        <f>IF(OR(_xlfn.XLOOKUP("xyz",Assessment!H:H,Assessment!E:E)="yes"),"Yes","No")</f>
        <v>#N/A</v>
      </c>
      <c r="B366" s="40" t="s">
        <v>7829</v>
      </c>
      <c r="C366" s="40" t="s">
        <v>8083</v>
      </c>
      <c r="D366" s="40" t="s">
        <v>8257</v>
      </c>
      <c r="E366" s="40" t="s">
        <v>8085</v>
      </c>
    </row>
    <row r="367" spans="1:9" x14ac:dyDescent="0.35">
      <c r="A367" s="40" t="e">
        <f>IF(OR(_xlfn.XLOOKUP("xyz",Assessment!H:H,Assessment!E:E)="yes"),"Yes","No")</f>
        <v>#N/A</v>
      </c>
      <c r="B367" s="40" t="s">
        <v>7829</v>
      </c>
      <c r="C367" s="40" t="s">
        <v>8083</v>
      </c>
      <c r="D367" s="40" t="s">
        <v>8258</v>
      </c>
      <c r="E367" s="40" t="s">
        <v>8085</v>
      </c>
    </row>
    <row r="368" spans="1:9" x14ac:dyDescent="0.35">
      <c r="A368" s="40" t="e">
        <f>IF(OR(_xlfn.XLOOKUP("xyz",Assessment!H:H,Assessment!E:E)="yes"),"Yes","No")</f>
        <v>#N/A</v>
      </c>
      <c r="B368" s="40" t="s">
        <v>7829</v>
      </c>
      <c r="C368" s="40" t="s">
        <v>8083</v>
      </c>
      <c r="D368" s="40" t="s">
        <v>8259</v>
      </c>
      <c r="E368" s="40" t="s">
        <v>8085</v>
      </c>
    </row>
    <row r="369" spans="1:9" ht="25" x14ac:dyDescent="0.35">
      <c r="A369" s="40" t="e">
        <f>IF(OR(_xlfn.XLOOKUP("1739.05d1Organizational.3",Assessment!H:H,Assessment!E:E)="yes",_xlfn.XLOOKUP("1802.08b1Organizational.3",Assessment!H:H,Assessment!E:E)="yes",_xlfn.XLOOKUP("1845.08b1Organizational.7",Assessment!H:H,Assessment!E:E)="yes",_xlfn.XLOOKUP("1609.12c3Organizational.12",Assessment!H:H,Assessment!E:E)="yes",_xlfn.XLOOKUP("1514.11a3Organizational.12",Assessment!H:H,Assessment!E:E)="yes",_xlfn.XLOOKUP("1805.08b2Organizational.3",Assessment!H:H,Assessment!E:E)="yes",_xlfn.XLOOKUP("1807.08b2Organizational.56",Assessment!H:H,Assessment!E:E)="yes",_xlfn.XLOOKUP("1809.08b3Organizational.1",Assessment!H:H,Assessment!E:E)="yes",_xlfn.XLOOKUP("1811.08b3Organizational.3",Assessment!H:H,Assessment!E:E)="yes",_xlfn.XLOOKUP("1812.08b3Organizational.46",Assessment!H:H,Assessment!E:E)="yes",_xlfn.XLOOKUP("1813.08b3Organizational.56",Assessment!H:H,Assessment!E:E)="yes",_xlfn.XLOOKUP("1815.08d2Organizational.123",Assessment!H:H,Assessment!E:E)="yes",_xlfn.XLOOKUP("1817.08d3Organizational.12",Assessment!H:H,Assessment!E:E)="yes",_xlfn.XLOOKUP("1848.08b2Organizational.11",Assessment!H:H,Assessment!E:E)="yes"),"Yes","No")</f>
        <v>#N/A</v>
      </c>
      <c r="B369" s="40" t="s">
        <v>7829</v>
      </c>
      <c r="C369" s="40" t="s">
        <v>8083</v>
      </c>
      <c r="D369" s="40" t="s">
        <v>8260</v>
      </c>
      <c r="E369" s="40" t="s">
        <v>8085</v>
      </c>
      <c r="H369" s="40" t="s">
        <v>8261</v>
      </c>
      <c r="I369" s="58" t="s">
        <v>8262</v>
      </c>
    </row>
    <row r="370" spans="1:9" ht="37.5" x14ac:dyDescent="0.35">
      <c r="A370" s="40" t="e">
        <f>IF(OR(_xlfn.XLOOKUP("1213.09ab2System.6",Assessment!H:H,Assessment!E:E)="yes",_xlfn.XLOOKUP("1214.09ab2System.3456",Assessment!H:H,Assessment!E:E)="yes",_xlfn.XLOOKUP("1270.09ad1System.12",Assessment!H:H,Assessment!E:E)="yes",_xlfn.XLOOKUP("1272.09ae1System.13",Assessment!H:H,Assessment!E:E)="yes",_xlfn.XLOOKUP("1204.09aa2System.6",Assessment!H:H,Assessment!E:E)="yes",_xlfn.XLOOKUP("1205.09aa2System.1",Assessment!H:H,Assessment!E:E)="yes",_xlfn.XLOOKUP("1206.09aa2System.23",Assessment!H:H,Assessment!E:E)="yes",_xlfn.XLOOKUP("1273.09ae2System.3",Assessment!H:H,Assessment!E:E)="yes",_xlfn.XLOOKUP("1208.09aa3System.1",Assessment!H:H,Assessment!E:E)="yes",_xlfn.XLOOKUP("1209.09aa3System.2",Assessment!H:H,Assessment!E:E)="yes",_xlfn.XLOOKUP("1217.09ab3System.3",Assessment!H:H,Assessment!E:E)="yes",_xlfn.XLOOKUP("1220.09ab3System.56",Assessment!H:H,Assessment!E:E)="yes"),"Yes","No")</f>
        <v>#N/A</v>
      </c>
      <c r="B370" s="40" t="s">
        <v>7829</v>
      </c>
      <c r="C370" s="40" t="s">
        <v>8083</v>
      </c>
      <c r="D370" s="40" t="s">
        <v>8263</v>
      </c>
      <c r="E370" s="40" t="s">
        <v>8085</v>
      </c>
      <c r="I370" s="58" t="s">
        <v>8264</v>
      </c>
    </row>
    <row r="371" spans="1:9" x14ac:dyDescent="0.35">
      <c r="A371" s="40" t="e">
        <f>IF(OR(_xlfn.XLOOKUP("xyz",Assessment!H:H,Assessment!E:E)="yes"),"Yes","No")</f>
        <v>#N/A</v>
      </c>
      <c r="B371" s="40" t="s">
        <v>7829</v>
      </c>
      <c r="C371" s="40" t="s">
        <v>8083</v>
      </c>
      <c r="D371" s="40" t="s">
        <v>8265</v>
      </c>
      <c r="E371" s="40" t="s">
        <v>8085</v>
      </c>
    </row>
    <row r="372" spans="1:9" x14ac:dyDescent="0.35">
      <c r="A372" s="40" t="e">
        <f>IF(OR(,_xlfn.XLOOKUP("0725.07a3Organizational.5",Assessment!H:H,Assessment!E:E)="yes"),"Yes","No")</f>
        <v>#N/A</v>
      </c>
      <c r="B372" s="40" t="s">
        <v>7829</v>
      </c>
      <c r="C372" s="40" t="s">
        <v>8083</v>
      </c>
      <c r="D372" s="40" t="s">
        <v>8266</v>
      </c>
      <c r="E372" s="40" t="s">
        <v>8085</v>
      </c>
    </row>
    <row r="373" spans="1:9" x14ac:dyDescent="0.35">
      <c r="A373" s="40" t="e">
        <f>IF(OR(,_xlfn.XLOOKUP("1783.10a2Organizational.13",Assessment!H:H,Assessment!E:E)="yes",_xlfn.XLOOKUP("1796.10a2Organizational.15",Assessment!H:H,Assessment!E:E)="yes",_xlfn.XLOOKUP("1785.10a2Organizational.14",Assessment!H:H,Assessment!E:E)="yes",_xlfn.XLOOKUP("0725.07a3Organizational.5",Assessment!H:H,Assessment!E:E)="yes"),"Yes","No")</f>
        <v>#N/A</v>
      </c>
      <c r="B373" s="40" t="s">
        <v>7829</v>
      </c>
      <c r="C373" s="40" t="s">
        <v>8083</v>
      </c>
      <c r="D373" s="40" t="s">
        <v>8267</v>
      </c>
      <c r="E373" s="40" t="s">
        <v>8085</v>
      </c>
    </row>
    <row r="374" spans="1:9" x14ac:dyDescent="0.35">
      <c r="A374" s="40" t="e">
        <f>IF(OR(,_xlfn.XLOOKUP("0725.07a3Organizational.5",Assessment!H:H,Assessment!E:E)="yes"),"Yes","No")</f>
        <v>#N/A</v>
      </c>
      <c r="B374" s="40" t="s">
        <v>7829</v>
      </c>
      <c r="C374" s="40" t="s">
        <v>8083</v>
      </c>
      <c r="D374" s="40" t="s">
        <v>8268</v>
      </c>
      <c r="E374" s="40" t="s">
        <v>8085</v>
      </c>
    </row>
    <row r="375" spans="1:9" x14ac:dyDescent="0.35">
      <c r="A375" s="40" t="str">
        <f>IF(OR(_xlfn.XLOOKUP("0193.09a1System.3",Assessment!H:H,Assessment!E:E)="yes"),"Yes","No")</f>
        <v>Yes</v>
      </c>
      <c r="B375" s="40" t="s">
        <v>7829</v>
      </c>
      <c r="C375" s="40" t="s">
        <v>8083</v>
      </c>
      <c r="D375" s="40" t="s">
        <v>8269</v>
      </c>
      <c r="E375" s="40" t="s">
        <v>8085</v>
      </c>
    </row>
    <row r="376" spans="1:9" x14ac:dyDescent="0.35">
      <c r="A376" s="40" t="str">
        <f>IF(OR(_xlfn.XLOOKUP("1031.01d2System.11",Assessment!H:H,Assessment!E:E)="yes"),"Yes","No")</f>
        <v>Yes</v>
      </c>
      <c r="B376" s="40" t="s">
        <v>7829</v>
      </c>
      <c r="C376" s="40" t="s">
        <v>8083</v>
      </c>
      <c r="D376" s="40" t="s">
        <v>8270</v>
      </c>
      <c r="E376" s="40" t="s">
        <v>8085</v>
      </c>
    </row>
    <row r="377" spans="1:9" x14ac:dyDescent="0.35">
      <c r="A377" s="40" t="e">
        <f>IF(OR(_xlfn.XLOOKUP("1003.01d1System.3",Assessment!H:H,Assessment!E:E)="yes",_xlfn.XLOOKUP("1009.01d2System.4",Assessment!H:H,Assessment!E:E)="yes",_xlfn.XLOOKUP("1014.01d2System.9",Assessment!H:H,Assessment!E:E)="yes",_xlfn.XLOOKUP("1015.01d2System.10",Assessment!H:H,Assessment!E:E)="yes"),"Yes","No")</f>
        <v>#N/A</v>
      </c>
      <c r="B377" s="40" t="s">
        <v>7829</v>
      </c>
      <c r="C377" s="40" t="s">
        <v>8083</v>
      </c>
      <c r="D377" s="40" t="s">
        <v>8271</v>
      </c>
      <c r="E377" s="40" t="s">
        <v>8085</v>
      </c>
    </row>
    <row r="378" spans="1:9" x14ac:dyDescent="0.35">
      <c r="A378" s="40" t="str">
        <f>IF(OR(_xlfn.XLOOKUP("1013.01r1System.2",Assessment!H:H,Assessment!E:E)="yes"),"Yes","No")</f>
        <v>Yes</v>
      </c>
      <c r="B378" s="40" t="s">
        <v>7829</v>
      </c>
      <c r="C378" s="40" t="s">
        <v>8083</v>
      </c>
      <c r="D378" s="40" t="s">
        <v>8272</v>
      </c>
      <c r="E378" s="40" t="s">
        <v>8085</v>
      </c>
      <c r="H378" s="40" t="s">
        <v>8273</v>
      </c>
    </row>
    <row r="379" spans="1:9" x14ac:dyDescent="0.35">
      <c r="A379" s="40" t="str">
        <f>IF(OR(_xlfn.XLOOKUP("1013.01r1System.2",Assessment!H:H,Assessment!E:E)="yes",_xlfn.XLOOKUP("10902.01d1System.12",Assessment!H:H,Assessment!E:E)="yes"),"Yes","No")</f>
        <v>Yes</v>
      </c>
      <c r="B379" s="40" t="s">
        <v>7829</v>
      </c>
      <c r="C379" s="40" t="s">
        <v>8083</v>
      </c>
      <c r="D379" s="40" t="s">
        <v>8274</v>
      </c>
      <c r="E379" s="40" t="s">
        <v>8085</v>
      </c>
      <c r="H379" s="40" t="s">
        <v>8273</v>
      </c>
    </row>
    <row r="380" spans="1:9" x14ac:dyDescent="0.35">
      <c r="A380" s="40" t="e">
        <f>IF(OR(_xlfn.XLOOKUP("xyz",Assessment!H:H,Assessment!E:E)="yes"),"Yes","No")</f>
        <v>#N/A</v>
      </c>
      <c r="B380" s="40" t="s">
        <v>7829</v>
      </c>
      <c r="C380" s="40" t="s">
        <v>8083</v>
      </c>
      <c r="D380" s="40" t="s">
        <v>8275</v>
      </c>
      <c r="E380" s="40" t="s">
        <v>8085</v>
      </c>
    </row>
    <row r="381" spans="1:9" x14ac:dyDescent="0.35">
      <c r="A381" s="40" t="e">
        <f>IF(OR(_xlfn.XLOOKUP("1616.09l1Organizational.16",Assessment!H:H,Assessment!E:E)="yes",_xlfn.XLOOKUP("1626.09l3Organizational.5",Assessment!H:H,Assessment!E:E)="yes"),"Yes","No")</f>
        <v>#N/A</v>
      </c>
      <c r="B381" s="40" t="s">
        <v>7829</v>
      </c>
      <c r="C381" s="40" t="s">
        <v>8083</v>
      </c>
      <c r="D381" s="40" t="s">
        <v>8276</v>
      </c>
      <c r="E381" s="40" t="s">
        <v>8085</v>
      </c>
    </row>
    <row r="382" spans="1:9" x14ac:dyDescent="0.35">
      <c r="A382" s="40" t="e">
        <f>IF(OR(,_xlfn.XLOOKUP("19401.13g1Organizational.1",Assessment!H:H,Assessment!E:E)="yes"),"Yes","No")</f>
        <v>#N/A</v>
      </c>
      <c r="B382" s="40" t="s">
        <v>7829</v>
      </c>
      <c r="C382" s="40" t="s">
        <v>8083</v>
      </c>
      <c r="D382" s="40" t="s">
        <v>8277</v>
      </c>
      <c r="E382" s="40" t="s">
        <v>8085</v>
      </c>
    </row>
    <row r="383" spans="1:9" x14ac:dyDescent="0.35">
      <c r="A383" s="40" t="e">
        <f>IF(OR(_xlfn.XLOOKUP("xyz",Assessment!H:H,Assessment!E:E)="yes"),"Yes","No")</f>
        <v>#N/A</v>
      </c>
      <c r="B383" s="40" t="s">
        <v>7829</v>
      </c>
      <c r="C383" s="40" t="s">
        <v>8083</v>
      </c>
      <c r="D383" s="40" t="s">
        <v>8278</v>
      </c>
      <c r="E383" s="40" t="s">
        <v>8085</v>
      </c>
    </row>
    <row r="384" spans="1:9" x14ac:dyDescent="0.35">
      <c r="A384" s="40" t="e">
        <f>IF(OR(_xlfn.XLOOKUP("0816.01w1System.1",Assessment!H:H,Assessment!E:E)="yes",_xlfn.XLOOKUP("11131.01u1System.2",Assessment!H:H,Assessment!E:E)="yes",_xlfn.XLOOKUP("0818.01w3System.12",Assessment!H:H,Assessment!E:E)="yes"),"Yes","No")</f>
        <v>#N/A</v>
      </c>
      <c r="B384" s="40" t="s">
        <v>7829</v>
      </c>
      <c r="C384" s="40" t="s">
        <v>8083</v>
      </c>
      <c r="D384" s="40" t="s">
        <v>8279</v>
      </c>
      <c r="E384" s="40" t="s">
        <v>8085</v>
      </c>
    </row>
    <row r="385" spans="1:9" x14ac:dyDescent="0.35">
      <c r="A385" s="40" t="str">
        <f>IF(OR(_xlfn.XLOOKUP("1888.08h1Organizational.456",Assessment!H:H,Assessment!E:E)="yes"),"Yes","No")</f>
        <v>Yes</v>
      </c>
      <c r="B385" s="40" t="s">
        <v>7829</v>
      </c>
      <c r="C385" s="40" t="s">
        <v>8083</v>
      </c>
      <c r="D385" s="40" t="s">
        <v>8280</v>
      </c>
      <c r="E385" s="40" t="s">
        <v>8085</v>
      </c>
    </row>
    <row r="386" spans="1:9" x14ac:dyDescent="0.35">
      <c r="A386" s="40" t="e">
        <f>IF(OR(_xlfn.XLOOKUP("1819.08j2Organizational.4",Assessment!H:H,Assessment!E:E)="yes"),"Yes","No")</f>
        <v>#N/A</v>
      </c>
      <c r="B386" s="40" t="s">
        <v>7829</v>
      </c>
      <c r="C386" s="40" t="s">
        <v>8083</v>
      </c>
      <c r="D386" s="40" t="s">
        <v>8281</v>
      </c>
      <c r="E386" s="40" t="s">
        <v>8085</v>
      </c>
    </row>
    <row r="387" spans="1:9" x14ac:dyDescent="0.35">
      <c r="A387" s="40" t="e">
        <f>IF(OR(,_xlfn.XLOOKUP("0713.10m2Organizational.5",Assessment!H:H,Assessment!E:E)="yes",_xlfn.XLOOKUP("0786.10m2Organizational.13",Assessment!H:H,Assessment!E:E)="yes",_xlfn.XLOOKUP("0787.10m2Organizational.14",Assessment!H:H,Assessment!E:E)="yes"),"Yes","No")</f>
        <v>#N/A</v>
      </c>
      <c r="B387" s="40" t="s">
        <v>7829</v>
      </c>
      <c r="C387" s="40" t="s">
        <v>8083</v>
      </c>
      <c r="D387" s="40" t="s">
        <v>8282</v>
      </c>
      <c r="E387" s="40" t="s">
        <v>8085</v>
      </c>
    </row>
    <row r="388" spans="1:9" x14ac:dyDescent="0.35">
      <c r="A388" s="40" t="e">
        <f>IF(OR(_xlfn.XLOOKUP("1202.09aa2System.5",Assessment!H:H,Assessment!E:E)="yes"),"Yes","No")</f>
        <v>#N/A</v>
      </c>
      <c r="B388" s="40" t="s">
        <v>7829</v>
      </c>
      <c r="C388" s="40" t="s">
        <v>8083</v>
      </c>
      <c r="D388" s="40" t="s">
        <v>8283</v>
      </c>
      <c r="E388" s="40" t="s">
        <v>8085</v>
      </c>
    </row>
    <row r="389" spans="1:9" x14ac:dyDescent="0.35">
      <c r="A389" s="40" t="e">
        <f>IF(OR(_xlfn.XLOOKUP("xyz",Assessment!H:H,Assessment!E:E)="yes"),"Yes","No")</f>
        <v>#N/A</v>
      </c>
      <c r="B389" s="40" t="s">
        <v>7829</v>
      </c>
      <c r="C389" s="40" t="s">
        <v>8083</v>
      </c>
      <c r="D389" s="40" t="s">
        <v>8284</v>
      </c>
      <c r="E389" s="40" t="s">
        <v>8085</v>
      </c>
    </row>
    <row r="390" spans="1:9" x14ac:dyDescent="0.35">
      <c r="A390" s="40" t="e">
        <f>IF(OR(_xlfn.XLOOKUP("1906.06cHIPAAOrganizational.4",Assessment!H:H,Assessment!E:E)="yes"),"Yes","No")</f>
        <v>#N/A</v>
      </c>
      <c r="B390" s="40" t="s">
        <v>7829</v>
      </c>
      <c r="C390" s="40" t="s">
        <v>8083</v>
      </c>
      <c r="D390" s="40" t="s">
        <v>8285</v>
      </c>
      <c r="E390" s="40" t="s">
        <v>8085</v>
      </c>
    </row>
    <row r="391" spans="1:9" x14ac:dyDescent="0.35">
      <c r="A391" s="40" t="e">
        <f>IF(OR(_xlfn.XLOOKUP("1907.06cHIPAAOrganizational.3",Assessment!H:H,Assessment!E:E)="yes"),"Yes","No")</f>
        <v>#N/A</v>
      </c>
      <c r="B391" s="40" t="s">
        <v>7829</v>
      </c>
      <c r="C391" s="40" t="s">
        <v>8083</v>
      </c>
      <c r="D391" s="40" t="s">
        <v>8286</v>
      </c>
      <c r="E391" s="40" t="s">
        <v>8085</v>
      </c>
    </row>
    <row r="392" spans="1:9" x14ac:dyDescent="0.35">
      <c r="A392" s="40" t="e">
        <f>IF(OR(_xlfn.XLOOKUP("xyz",Assessment!H:H,Assessment!E:E)="yes"),"Yes","No")</f>
        <v>#N/A</v>
      </c>
      <c r="B392" s="40" t="s">
        <v>7829</v>
      </c>
      <c r="C392" s="40" t="s">
        <v>8083</v>
      </c>
      <c r="D392" s="40" t="s">
        <v>8287</v>
      </c>
      <c r="E392" s="40" t="s">
        <v>8085</v>
      </c>
    </row>
    <row r="393" spans="1:9" x14ac:dyDescent="0.35">
      <c r="A393" s="40" t="e">
        <f>IF(OR(_xlfn.XLOOKUP("xyz",Assessment!H:H,Assessment!E:E)="yes"),"Yes","No")</f>
        <v>#N/A</v>
      </c>
      <c r="B393" s="40" t="s">
        <v>7829</v>
      </c>
      <c r="C393" s="40" t="s">
        <v>8083</v>
      </c>
      <c r="D393" s="40" t="s">
        <v>8288</v>
      </c>
      <c r="E393" s="40" t="s">
        <v>8085</v>
      </c>
    </row>
    <row r="394" spans="1:9" x14ac:dyDescent="0.35">
      <c r="A394" s="40" t="e">
        <f>IF(OR(_xlfn.XLOOKUP("19140.06c2Organizational.5",Assessment!H:H,Assessment!E:E)="yes",_xlfn.XLOOKUP("1904.06d2Organizational.1",Assessment!H:H,Assessment!E:E)="yes"),"Yes","No")</f>
        <v>#N/A</v>
      </c>
      <c r="B394" s="40" t="s">
        <v>7829</v>
      </c>
      <c r="C394" s="40" t="s">
        <v>8083</v>
      </c>
      <c r="D394" s="40" t="s">
        <v>8289</v>
      </c>
      <c r="E394" s="40" t="s">
        <v>8085</v>
      </c>
    </row>
    <row r="395" spans="1:9" x14ac:dyDescent="0.35">
      <c r="A395" s="40" t="e">
        <f>IF(OR(_xlfn.XLOOKUP("19142.06c1Organizational.8",Assessment!H:H,Assessment!E:E)="yes",_xlfn.XLOOKUP("19165.07e1Organizational.13",Assessment!H:H,Assessment!E:E)="yes",_xlfn.XLOOKUP("19141.06c2Organizational.4",Assessment!H:H,Assessment!E:E)="yes",_xlfn.XLOOKUP("19143.06c2Organizational.3",Assessment!H:H,Assessment!E:E)="yes"),"Yes","No")</f>
        <v>#N/A</v>
      </c>
      <c r="B395" s="40" t="s">
        <v>7829</v>
      </c>
      <c r="C395" s="40" t="s">
        <v>8083</v>
      </c>
      <c r="D395" s="40" t="s">
        <v>8290</v>
      </c>
      <c r="E395" s="40" t="s">
        <v>8085</v>
      </c>
      <c r="H395" s="40" t="s">
        <v>8291</v>
      </c>
      <c r="I395" s="40" t="s">
        <v>8291</v>
      </c>
    </row>
    <row r="396" spans="1:9" x14ac:dyDescent="0.35">
      <c r="A396" s="40" t="e">
        <f>IF(OR(_xlfn.XLOOKUP("0702.07a2Organizational.2",Assessment!H:H,Assessment!E:E)="yes"),"Yes","No")</f>
        <v>#N/A</v>
      </c>
      <c r="B396" s="40" t="s">
        <v>7829</v>
      </c>
      <c r="C396" s="40" t="s">
        <v>8083</v>
      </c>
      <c r="D396" s="40" t="s">
        <v>8292</v>
      </c>
      <c r="E396" s="40" t="s">
        <v>8085</v>
      </c>
    </row>
    <row r="397" spans="1:9" x14ac:dyDescent="0.35">
      <c r="A397" s="40" t="e">
        <f>IF(OR(_xlfn.XLOOKUP("0605.10h2System.7",Assessment!H:H,Assessment!E:E)="yes",_xlfn.XLOOKUP("0703.07a2Organizational.1",Assessment!H:H,Assessment!E:E)="yes",_xlfn.XLOOKUP("0704.07a1Organizational.9",Assessment!H:H,Assessment!E:E)="yes",_xlfn.XLOOKUP("1148.01c2System.78",Assessment!H:H,Assessment!E:E)="yes",_xlfn.XLOOKUP("1611.09h1System.2",Assessment!H:H,Assessment!E:E)="yes",_xlfn.XLOOKUP("1739.05d1Organizational.3",Assessment!H:H,Assessment!E:E)="yes",_xlfn.XLOOKUP("0817.01w2System.123",Assessment!H:H,Assessment!E:E)="yes",_xlfn.XLOOKUP("0710.10m2Organizational.1",Assessment!H:H,Assessment!E:E)="yes"),"Yes","No")</f>
        <v>#N/A</v>
      </c>
      <c r="B397" s="40" t="s">
        <v>7829</v>
      </c>
      <c r="C397" s="40" t="s">
        <v>8083</v>
      </c>
      <c r="D397" s="40" t="s">
        <v>8293</v>
      </c>
      <c r="E397" s="40" t="s">
        <v>8085</v>
      </c>
      <c r="H397" s="40" t="s">
        <v>8294</v>
      </c>
      <c r="I397" s="40" t="s">
        <v>8294</v>
      </c>
    </row>
    <row r="398" spans="1:9" x14ac:dyDescent="0.35">
      <c r="A398" s="40" t="e">
        <f>IF(OR(,_xlfn.XLOOKUP("1120.09ab3System.9",Assessment!H:H,Assessment!E:E)="yes"),"Yes","No")</f>
        <v>#N/A</v>
      </c>
      <c r="B398" s="40" t="s">
        <v>7829</v>
      </c>
      <c r="C398" s="40" t="s">
        <v>8083</v>
      </c>
      <c r="D398" s="40" t="s">
        <v>8295</v>
      </c>
      <c r="E398" s="40" t="s">
        <v>8085</v>
      </c>
    </row>
    <row r="399" spans="1:9" x14ac:dyDescent="0.35">
      <c r="A399" s="40" t="e">
        <f>IF(OR(_xlfn.XLOOKUP("xyz",Assessment!H:H,Assessment!E:E)="yes"),"Yes","No")</f>
        <v>#N/A</v>
      </c>
      <c r="B399" s="40" t="s">
        <v>7829</v>
      </c>
      <c r="C399" s="40" t="s">
        <v>8083</v>
      </c>
      <c r="D399" s="40" t="s">
        <v>8296</v>
      </c>
      <c r="E399" s="40" t="s">
        <v>8085</v>
      </c>
    </row>
    <row r="400" spans="1:9" x14ac:dyDescent="0.35">
      <c r="A400" s="40" t="e">
        <f>IF(OR(_xlfn.XLOOKUP("0814.01n1Organizational.12",Assessment!H:H,Assessment!E:E)="yes",_xlfn.XLOOKUP("0815.01o1Organizational.1",Assessment!H:H,Assessment!E:E)="yes",_xlfn.XLOOKUP("1004.01d2System.8",Assessment!H:H,Assessment!E:E)="yes",_xlfn.XLOOKUP("1023.01d1System.11",Assessment!H:H,Assessment!E:E)="yes",_xlfn.XLOOKUP("11124.01s1System.2",Assessment!H:H,Assessment!E:E)="yes",_xlfn.XLOOKUP("1295.09af1System.2",Assessment!H:H,Assessment!E:E)="yes",_xlfn.XLOOKUP("0809.01n2Organizational.1234",Assessment!H:H,Assessment!E:E)="yes",_xlfn.XLOOKUP("0810.01n2Organizational.5",Assessment!H:H,Assessment!E:E)="yes",_xlfn.XLOOKUP("0822.09m2Organizational.4",Assessment!H:H,Assessment!E:E)="yes",_xlfn.XLOOKUP("0826.09m3Organizational.45",Assessment!H:H,Assessment!E:E)="yes",_xlfn.XLOOKUP("0829.09m3Organizational.911",Assessment!H:H,Assessment!E:E)="yes",_xlfn.XLOOKUP("0863.09m2Organizational.910",Assessment!H:H,Assessment!E:E)="yes",_xlfn.XLOOKUP("0868.09m3Organizational.18",Assessment!H:H,Assessment!E:E)="yes",_xlfn.XLOOKUP("0869.09m3Organizational.19",Assessment!H:H,Assessment!E:E)="yes",_xlfn.XLOOKUP("1119.01j2Organizational.3",Assessment!H:H,Assessment!E:E)="yes"),"Yes","No")</f>
        <v>#N/A</v>
      </c>
      <c r="B400" s="40" t="s">
        <v>7829</v>
      </c>
      <c r="C400" s="40" t="s">
        <v>8083</v>
      </c>
      <c r="D400" s="40" t="s">
        <v>8297</v>
      </c>
      <c r="E400" s="40" t="s">
        <v>8085</v>
      </c>
      <c r="I400" s="40" t="s">
        <v>8298</v>
      </c>
    </row>
    <row r="401" spans="1:9" x14ac:dyDescent="0.35">
      <c r="A401" s="40" t="e">
        <f>IF(OR(_xlfn.XLOOKUP("0724.07a3Organizational.4",Assessment!H:H,Assessment!E:E)="yes"),"Yes","No")</f>
        <v>#N/A</v>
      </c>
      <c r="B401" s="40" t="s">
        <v>7829</v>
      </c>
      <c r="C401" s="40" t="s">
        <v>8083</v>
      </c>
      <c r="D401" s="40" t="s">
        <v>8299</v>
      </c>
      <c r="E401" s="40" t="s">
        <v>8085</v>
      </c>
    </row>
    <row r="402" spans="1:9" x14ac:dyDescent="0.35">
      <c r="A402" s="40" t="e">
        <f>IF(OR(_xlfn.XLOOKUP("1023.01d1System.11",Assessment!H:H,Assessment!E:E)="yes",_xlfn.XLOOKUP("11124.01s1System.2",Assessment!H:H,Assessment!E:E)="yes",_xlfn.XLOOKUP("1295.09af1System.2",Assessment!H:H,Assessment!E:E)="yes",_xlfn.XLOOKUP("0826.09m3Organizational.45",Assessment!H:H,Assessment!E:E)="yes",_xlfn.XLOOKUP("0869.09m3Organizational.19",Assessment!H:H,Assessment!E:E)="yes",_xlfn.XLOOKUP("1119.01j2Organizational.3",Assessment!H:H,Assessment!E:E)="yes"),"Yes","No")</f>
        <v>#N/A</v>
      </c>
      <c r="B402" s="40" t="s">
        <v>7829</v>
      </c>
      <c r="C402" s="40" t="s">
        <v>8083</v>
      </c>
      <c r="D402" s="40" t="s">
        <v>8300</v>
      </c>
      <c r="E402" s="40" t="s">
        <v>8085</v>
      </c>
      <c r="I402" s="40" t="s">
        <v>8298</v>
      </c>
    </row>
    <row r="403" spans="1:9" x14ac:dyDescent="0.35">
      <c r="A403" s="40" t="e">
        <f>IF(OR(_xlfn.XLOOKUP("1023.01d1System.11",Assessment!H:H,Assessment!E:E)="yes",_xlfn.XLOOKUP("11124.01s1System.2",Assessment!H:H,Assessment!E:E)="yes",_xlfn.XLOOKUP("1295.09af1System.2",Assessment!H:H,Assessment!E:E)="yes",_xlfn.XLOOKUP("1119.01j2Organizational.3",Assessment!H:H,Assessment!E:E)="yes"),"Yes","No")</f>
        <v>#N/A</v>
      </c>
      <c r="B403" s="40" t="s">
        <v>7829</v>
      </c>
      <c r="C403" s="40" t="s">
        <v>8083</v>
      </c>
      <c r="D403" s="40" t="s">
        <v>8301</v>
      </c>
      <c r="E403" s="40" t="s">
        <v>8085</v>
      </c>
      <c r="I403" s="40" t="s">
        <v>8298</v>
      </c>
    </row>
    <row r="404" spans="1:9" x14ac:dyDescent="0.35">
      <c r="A404" s="40" t="e">
        <f>IF(OR(_xlfn.XLOOKUP("1023.01d1System.11",Assessment!H:H,Assessment!E:E)="yes",_xlfn.XLOOKUP("11124.01s1System.2",Assessment!H:H,Assessment!E:E)="yes",_xlfn.XLOOKUP("1295.09af1System.2",Assessment!H:H,Assessment!E:E)="yes",_xlfn.XLOOKUP("0501.09m1Organizational.10",Assessment!H:H,Assessment!E:E)="yes",_xlfn.XLOOKUP("0502.09m1Organizational.5",Assessment!H:H,Assessment!E:E)="yes",_xlfn.XLOOKUP("0503.09m1Organizational.6",Assessment!H:H,Assessment!E:E)="yes",_xlfn.XLOOKUP("0506.09m1Organizational.11",Assessment!H:H,Assessment!E:E)="yes",_xlfn.XLOOKUP("0858.09m2Organizational.12",Assessment!H:H,Assessment!E:E)="yes",_xlfn.XLOOKUP("1119.01j2Organizational.3",Assessment!H:H,Assessment!E:E)="yes",_xlfn.XLOOKUP("0827.09m3Organizational.6",Assessment!H:H,Assessment!E:E)="yes"),"Yes","No")</f>
        <v>#N/A</v>
      </c>
      <c r="B404" s="40" t="s">
        <v>7829</v>
      </c>
      <c r="C404" s="40" t="s">
        <v>8083</v>
      </c>
      <c r="D404" s="40" t="s">
        <v>8302</v>
      </c>
      <c r="E404" s="40" t="s">
        <v>8085</v>
      </c>
      <c r="H404" s="40" t="s">
        <v>8303</v>
      </c>
      <c r="I404" s="40" t="s">
        <v>8298</v>
      </c>
    </row>
    <row r="405" spans="1:9" x14ac:dyDescent="0.35">
      <c r="A405" s="40" t="e">
        <f>IF(OR(_xlfn.XLOOKUP("0305.09q1Organizational.12",Assessment!H:H,Assessment!E:E)="yes",_xlfn.XLOOKUP("0311.09o1Organizational.5",Assessment!H:H,Assessment!E:E)="yes",_xlfn.XLOOKUP("0301.09o2Organizational.2",Assessment!H:H,Assessment!E:E)="yes",_xlfn.XLOOKUP("19166.07e2Organizational.7",Assessment!H:H,Assessment!E:E)="yes",_xlfn.XLOOKUP("0322.09u2Organizational.12",Assessment!H:H,Assessment!E:E)="yes",_xlfn.XLOOKUP("0323.09u2Organizational.3",Assessment!H:H,Assessment!E:E)="yes"),"Yes","No")</f>
        <v>#N/A</v>
      </c>
      <c r="B405" s="40" t="s">
        <v>7829</v>
      </c>
      <c r="C405" s="40" t="s">
        <v>8083</v>
      </c>
      <c r="D405" s="40" t="s">
        <v>8304</v>
      </c>
      <c r="E405" s="40" t="s">
        <v>8085</v>
      </c>
    </row>
    <row r="406" spans="1:9" x14ac:dyDescent="0.35">
      <c r="A406" s="40" t="e">
        <f>IF(OR(_xlfn.XLOOKUP("0313.07e2Organizational.6",Assessment!H:H,Assessment!E:E)="yes"),"Yes","No")</f>
        <v>#N/A</v>
      </c>
      <c r="B406" s="40" t="s">
        <v>7829</v>
      </c>
      <c r="C406" s="40" t="s">
        <v>8083</v>
      </c>
      <c r="D406" s="40" t="s">
        <v>8305</v>
      </c>
      <c r="E406" s="40" t="s">
        <v>8085</v>
      </c>
    </row>
    <row r="407" spans="1:9" ht="25" x14ac:dyDescent="0.35">
      <c r="A407" s="40" t="e">
        <f>IF(OR(_xlfn.XLOOKUP("0302.09o1Organizational.3",Assessment!H:H,Assessment!E:E)="yes",_xlfn.XLOOKUP("0321.09u1Organizational.2",Assessment!H:H,Assessment!E:E)="yes",_xlfn.XLOOKUP("0903.10f1Organizational.1",Assessment!H:H,Assessment!E:E)="yes",_xlfn.XLOOKUP("1445.09t2Organizational.1",Assessment!H:H,Assessment!E:E)="yes",_xlfn.XLOOKUP("0915.09s2Organizational.2",Assessment!H:H,Assessment!E:E)="yes",_xlfn.XLOOKUP("0307.09q2Organizational.12",Assessment!H:H,Assessment!E:E)="yes",_xlfn.XLOOKUP("0308.09q3Organizational.1",Assessment!H:H,Assessment!E:E)="yes",_xlfn.XLOOKUP("0314.09q3Organizational.2",Assessment!H:H,Assessment!E:E)="yes"),"Yes","No")</f>
        <v>#N/A</v>
      </c>
      <c r="B407" s="40" t="s">
        <v>7829</v>
      </c>
      <c r="C407" s="40" t="s">
        <v>8083</v>
      </c>
      <c r="D407" s="40" t="s">
        <v>8306</v>
      </c>
      <c r="E407" s="40" t="s">
        <v>8085</v>
      </c>
      <c r="I407" s="58" t="s">
        <v>8307</v>
      </c>
    </row>
    <row r="408" spans="1:9" x14ac:dyDescent="0.35">
      <c r="A408" s="40" t="str">
        <f>IF(OR(_xlfn.XLOOKUP("19180.09z1Organizational.2",Assessment!H:H,Assessment!E:E)="yes"),"Yes","No")</f>
        <v>Yes</v>
      </c>
      <c r="B408" s="40" t="s">
        <v>7829</v>
      </c>
      <c r="C408" s="40" t="s">
        <v>8083</v>
      </c>
      <c r="D408" s="40" t="s">
        <v>8308</v>
      </c>
      <c r="E408" s="40" t="s">
        <v>8085</v>
      </c>
    </row>
    <row r="409" spans="1:9" x14ac:dyDescent="0.35">
      <c r="A409" s="40" t="str">
        <f>IF(OR(_xlfn.XLOOKUP("0905.10g1Organizational.12",Assessment!H:H,Assessment!E:E)="yes"),"Yes","No")</f>
        <v>Yes</v>
      </c>
      <c r="B409" s="40" t="s">
        <v>7829</v>
      </c>
      <c r="C409" s="40" t="s">
        <v>8083</v>
      </c>
      <c r="D409" s="40" t="s">
        <v>8309</v>
      </c>
      <c r="E409" s="40" t="s">
        <v>8085</v>
      </c>
      <c r="I409" s="40" t="s">
        <v>8310</v>
      </c>
    </row>
    <row r="410" spans="1:9" x14ac:dyDescent="0.35">
      <c r="A410" s="40" t="e">
        <f>IF(OR(,_xlfn.XLOOKUP("19375.13f1Organizational.8",Assessment!H:H,Assessment!E:E)="yes"),"Yes","No")</f>
        <v>#N/A</v>
      </c>
      <c r="B410" s="40" t="s">
        <v>7829</v>
      </c>
      <c r="C410" s="40" t="s">
        <v>8083</v>
      </c>
      <c r="D410" s="40" t="s">
        <v>8311</v>
      </c>
      <c r="E410" s="40" t="s">
        <v>8085</v>
      </c>
    </row>
    <row r="411" spans="1:9" x14ac:dyDescent="0.35">
      <c r="A411" s="40" t="e">
        <f>IF(OR(_xlfn.XLOOKUP("1603.12c2Organizational.8",Assessment!H:H,Assessment!E:E)="yes"),"Yes","No")</f>
        <v>#N/A</v>
      </c>
      <c r="B411" s="40" t="s">
        <v>7829</v>
      </c>
      <c r="C411" s="40" t="s">
        <v>8083</v>
      </c>
      <c r="D411" s="40" t="s">
        <v>8312</v>
      </c>
      <c r="E411" s="40" t="s">
        <v>8085</v>
      </c>
    </row>
    <row r="412" spans="1:9" ht="37.5" x14ac:dyDescent="0.35">
      <c r="A412" s="40" t="e">
        <f>IF(OR(_xlfn.XLOOKUP("0109.02d1Organizational.4",Assessment!H:H,Assessment!E:E)="yes",_xlfn.XLOOKUP("0151.02c1Organizational.23",Assessment!H:H,Assessment!E:E)="yes",_xlfn.XLOOKUP("0210.01g1Organizational.1",Assessment!H:H,Assessment!E:E)="yes",_xlfn.XLOOKUP("11110.01q2System.10",Assessment!H:H,Assessment!E:E)="yes",_xlfn.XLOOKUP("1304.02e1Organizational.7",Assessment!H:H,Assessment!E:E)="yes",_xlfn.XLOOKUP("1306.06e1Organizational.5",Assessment!H:H,Assessment!E:E)="yes",_xlfn.XLOOKUP("1506.11a1Organizational.2",Assessment!H:H,Assessment!E:E)="yes",_xlfn.XLOOKUP("18128.08m1Organizational.12",Assessment!H:H,Assessment!E:E)="yes",_xlfn.XLOOKUP("0722.07a2Organizational.4",Assessment!H:H,Assessment!E:E)="yes",_xlfn.XLOOKUP("1102.01a2Organizational.2",Assessment!H:H,Assessment!E:E)="yes",_xlfn.XLOOKUP("1432.05k2Organizational.7",Assessment!H:H,Assessment!E:E)="yes",_xlfn.XLOOKUP("1522.11c3Organizational.13",Assessment!H:H,Assessment!E:E)="yes",_xlfn.XLOOKUP("1815.08d2Organizational.123",Assessment!H:H,Assessment!E:E)="yes",_xlfn.XLOOKUP("0111.02d2Organizational.2",Assessment!H:H,Assessment!E:E)="yes",_xlfn.XLOOKUP("1154.01c3System.4",Assessment!H:H,Assessment!E:E)="yes",_xlfn.XLOOKUP("1511.11a2Organizational.5",Assessment!H:H,Assessment!E:E)="yes",_xlfn.XLOOKUP("1520.11c2Organizational.4",Assessment!H:H,Assessment!E:E)="yes"),"Yes","No")</f>
        <v>#N/A</v>
      </c>
      <c r="B412" s="40" t="s">
        <v>7829</v>
      </c>
      <c r="C412" s="40" t="s">
        <v>8083</v>
      </c>
      <c r="D412" s="40" t="s">
        <v>8313</v>
      </c>
      <c r="E412" s="40" t="s">
        <v>8085</v>
      </c>
      <c r="H412" s="58" t="s">
        <v>8314</v>
      </c>
      <c r="I412" s="58" t="s">
        <v>8315</v>
      </c>
    </row>
    <row r="413" spans="1:9" ht="37.5" x14ac:dyDescent="0.35">
      <c r="A413" s="40" t="e">
        <f>IF(OR(_xlfn.XLOOKUP("0109.02d1Organizational.4",Assessment!H:H,Assessment!E:E)="yes",_xlfn.XLOOKUP("0151.02c1Organizational.23",Assessment!H:H,Assessment!E:E)="yes",_xlfn.XLOOKUP("0210.01g1Organizational.1",Assessment!H:H,Assessment!E:E)="yes",_xlfn.XLOOKUP("1145.01c2System.1",Assessment!H:H,Assessment!E:E)="yes",_xlfn.XLOOKUP("1304.02e1Organizational.7",Assessment!H:H,Assessment!E:E)="yes",_xlfn.XLOOKUP("1306.06e1Organizational.5",Assessment!H:H,Assessment!E:E)="yes",_xlfn.XLOOKUP("1506.11a1Organizational.2",Assessment!H:H,Assessment!E:E)="yes",_xlfn.XLOOKUP("18128.08m1Organizational.12",Assessment!H:H,Assessment!E:E)="yes",_xlfn.XLOOKUP("1102.01a2Organizational.2",Assessment!H:H,Assessment!E:E)="yes",_xlfn.XLOOKUP("1303.02e2Organizational.2",Assessment!H:H,Assessment!E:E)="yes",_xlfn.XLOOKUP("1326.02e2Organizational.9",Assessment!H:H,Assessment!E:E)="yes",_xlfn.XLOOKUP("1517.11c2Organizational.8",Assessment!H:H,Assessment!E:E)="yes",_xlfn.XLOOKUP("1522.11c3Organizational.13",Assessment!H:H,Assessment!E:E)="yes",_xlfn.XLOOKUP("1815.08d2Organizational.123",Assessment!H:H,Assessment!E:E)="yes",_xlfn.XLOOKUP("1511.11a2Organizational.5",Assessment!H:H,Assessment!E:E)="yes",_xlfn.XLOOKUP("1520.11c2Organizational.4",Assessment!H:H,Assessment!E:E)="yes",_xlfn.XLOOKUP("1137.06e2Organizational.3",Assessment!H:H,Assessment!E:E)="yes",_xlfn.XLOOKUP("1201.06e2Organizational.4",Assessment!H:H,Assessment!E:E)="yes",_xlfn.XLOOKUP("1311.12c2Organizational.3",Assessment!H:H,Assessment!E:E)="yes",_xlfn.XLOOKUP("1325.09s2Organizational.4",Assessment!H:H,Assessment!E:E)="yes",_xlfn.XLOOKUP("1164.01cHIESystem.1",Assessment!H:H,Assessment!E:E)="yes"),"Yes","No")</f>
        <v>#N/A</v>
      </c>
      <c r="B413" s="40" t="s">
        <v>7829</v>
      </c>
      <c r="C413" s="40" t="s">
        <v>8083</v>
      </c>
      <c r="D413" s="40" t="s">
        <v>8316</v>
      </c>
      <c r="E413" s="40" t="s">
        <v>8085</v>
      </c>
      <c r="H413" s="58" t="s">
        <v>8317</v>
      </c>
      <c r="I413" s="58" t="s">
        <v>8318</v>
      </c>
    </row>
    <row r="414" spans="1:9" x14ac:dyDescent="0.35">
      <c r="A414" s="40" t="str">
        <f>IF(OR(_xlfn.XLOOKUP("1304.02e1Organizational.7",Assessment!H:H,Assessment!E:E)="yes"),"Yes","No")</f>
        <v>Yes</v>
      </c>
      <c r="B414" s="40" t="s">
        <v>7829</v>
      </c>
      <c r="C414" s="40" t="s">
        <v>8083</v>
      </c>
      <c r="D414" s="40" t="s">
        <v>8319</v>
      </c>
      <c r="E414" s="40" t="s">
        <v>8085</v>
      </c>
    </row>
    <row r="415" spans="1:9" x14ac:dyDescent="0.35">
      <c r="A415" s="40" t="e">
        <f>IF(OR(_xlfn.XLOOKUP("1847.08b2Organizational.910",Assessment!H:H,Assessment!E:E)="yes",_xlfn.XLOOKUP("1801.08b2Organizational.9",Assessment!H:H,Assessment!E:E)="yes",_xlfn.XLOOKUP("18109.08j2Organizational.5",Assessment!H:H,Assessment!E:E)="yes",_xlfn.XLOOKUP("18110.08j2Organizational.6",Assessment!H:H,Assessment!E:E)="yes"),"Yes","No")</f>
        <v>#N/A</v>
      </c>
      <c r="B415" s="40" t="s">
        <v>7829</v>
      </c>
      <c r="C415" s="40" t="s">
        <v>8083</v>
      </c>
      <c r="D415" s="40" t="s">
        <v>8320</v>
      </c>
      <c r="E415" s="40" t="s">
        <v>8085</v>
      </c>
    </row>
    <row r="416" spans="1:9" x14ac:dyDescent="0.35">
      <c r="A416" s="40" t="e">
        <f>IF(OR(_xlfn.XLOOKUP("0135.02f1Organizational.56",Assessment!H:H,Assessment!E:E)="yes"),"Yes","No")</f>
        <v>#N/A</v>
      </c>
      <c r="B416" s="40" t="s">
        <v>7829</v>
      </c>
      <c r="C416" s="40" t="s">
        <v>8083</v>
      </c>
      <c r="D416" s="40" t="s">
        <v>8321</v>
      </c>
      <c r="E416" s="40" t="s">
        <v>8085</v>
      </c>
    </row>
    <row r="417" spans="1:9" x14ac:dyDescent="0.35">
      <c r="A417" s="40" t="e">
        <f>IF(OR(_xlfn.XLOOKUP("1313.02e2Organizational.8",Assessment!H:H,Assessment!E:E)="yes"),"Yes","No")</f>
        <v>#N/A</v>
      </c>
      <c r="B417" s="40" t="s">
        <v>7829</v>
      </c>
      <c r="C417" s="40" t="s">
        <v>8083</v>
      </c>
      <c r="D417" s="40" t="s">
        <v>8322</v>
      </c>
      <c r="E417" s="40" t="s">
        <v>8085</v>
      </c>
    </row>
    <row r="418" spans="1:9" x14ac:dyDescent="0.35">
      <c r="A418" s="40" t="e">
        <f>IF(OR(_xlfn.XLOOKUP("1315.02e2Organizational.67",Assessment!H:H,Assessment!E:E)="yes"),"Yes","No")</f>
        <v>#N/A</v>
      </c>
      <c r="B418" s="40" t="s">
        <v>7829</v>
      </c>
      <c r="C418" s="40" t="s">
        <v>8083</v>
      </c>
      <c r="D418" s="40" t="s">
        <v>8323</v>
      </c>
      <c r="E418" s="40" t="s">
        <v>8085</v>
      </c>
    </row>
    <row r="419" spans="1:9" x14ac:dyDescent="0.35">
      <c r="A419" s="40" t="e">
        <f>IF(OR(_xlfn.XLOOKUP("xyz",Assessment!H:H,Assessment!E:E)="yes"),"Yes","No")</f>
        <v>#N/A</v>
      </c>
      <c r="B419" s="40" t="s">
        <v>7829</v>
      </c>
      <c r="C419" s="40" t="s">
        <v>8083</v>
      </c>
      <c r="D419" s="40" t="s">
        <v>8324</v>
      </c>
      <c r="E419" s="40" t="s">
        <v>8085</v>
      </c>
    </row>
    <row r="420" spans="1:9" ht="37.5" x14ac:dyDescent="0.35">
      <c r="A420" s="40" t="e">
        <f>IF(OR(_xlfn.XLOOKUP("0104.02a1Organizational.12",Assessment!H:H,Assessment!E:E)="yes",_xlfn.XLOOKUP("1008.01d2System.3",Assessment!H:H,Assessment!E:E)="yes",_xlfn.XLOOKUP("1106.01b2System.4",Assessment!H:H,Assessment!E:E)="yes",_xlfn.XLOOKUP("1109.01b2System.6",Assessment!H:H,Assessment!E:E)="yes",_xlfn.XLOOKUP("1110.01b2System.7",Assessment!H:H,Assessment!E:E)="yes",_xlfn.XLOOKUP("1166.01e2System.3",Assessment!H:H,Assessment!E:E)="yes",_xlfn.XLOOKUP("13.02e1Organizational.6",Assessment!H:H,Assessment!E:E)="yes",_xlfn.XLOOKUP("13998.02e1Organizational.2",Assessment!H:H,Assessment!E:E)="yes",_xlfn.XLOOKUP("1504.06e2Organizational.2",Assessment!H:H,Assessment!E:E)="yes",_xlfn.XLOOKUP("1305.02e3Organizational.23",Assessment!H:H,Assessment!E:E)="yes",_xlfn.XLOOKUP("0106.02a2Organizational.23",Assessment!H:H,Assessment!E:E)="yes",_xlfn.XLOOKUP("0105.02a2Organizational.1",Assessment!H:H,Assessment!E:E)="yes",_xlfn.XLOOKUP("1301.02e2Organizational.7",Assessment!H:H,Assessment!E:E)="yes"),"Yes","No")</f>
        <v>#N/A</v>
      </c>
      <c r="B420" s="40" t="s">
        <v>7829</v>
      </c>
      <c r="C420" s="40" t="s">
        <v>8083</v>
      </c>
      <c r="D420" s="40" t="s">
        <v>8325</v>
      </c>
      <c r="E420" s="40" t="s">
        <v>8085</v>
      </c>
      <c r="H420" s="58" t="s">
        <v>8326</v>
      </c>
      <c r="I420" s="58" t="s">
        <v>8327</v>
      </c>
    </row>
    <row r="421" spans="1:9" x14ac:dyDescent="0.35">
      <c r="A421" s="40" t="e">
        <f>IF(OR(_xlfn.XLOOKUP("xyz",Assessment!H:H,Assessment!E:E)="yes"),"Yes","No")</f>
        <v>#N/A</v>
      </c>
      <c r="B421" s="40" t="s">
        <v>7829</v>
      </c>
      <c r="C421" s="40" t="s">
        <v>8083</v>
      </c>
      <c r="D421" s="40" t="s">
        <v>8328</v>
      </c>
      <c r="E421" s="40" t="s">
        <v>8085</v>
      </c>
    </row>
    <row r="422" spans="1:9" x14ac:dyDescent="0.35">
      <c r="A422" s="40" t="e">
        <f>IF(OR(_xlfn.XLOOKUP("1112.01b2System.2",Assessment!H:H,Assessment!E:E)="yes"),"Yes","No")</f>
        <v>#N/A</v>
      </c>
      <c r="B422" s="40" t="s">
        <v>7829</v>
      </c>
      <c r="C422" s="40" t="s">
        <v>8083</v>
      </c>
      <c r="D422" s="40" t="s">
        <v>8329</v>
      </c>
      <c r="E422" s="40" t="s">
        <v>8085</v>
      </c>
    </row>
    <row r="423" spans="1:9" x14ac:dyDescent="0.35">
      <c r="A423" s="40" t="e">
        <f>IF(OR(_xlfn.XLOOKUP("19419.13jHIPAAOrganizational.1",Assessment!H:H,Assessment!E:E)="yes"),"Yes","No")</f>
        <v>#N/A</v>
      </c>
      <c r="B423" s="40" t="s">
        <v>7829</v>
      </c>
      <c r="C423" s="40" t="s">
        <v>8083</v>
      </c>
      <c r="D423" s="40" t="s">
        <v>8330</v>
      </c>
      <c r="E423" s="40" t="s">
        <v>8085</v>
      </c>
    </row>
    <row r="424" spans="1:9" x14ac:dyDescent="0.35">
      <c r="A424" s="40" t="e">
        <f>IF(OR(_xlfn.XLOOKUP("xyz",Assessment!H:H,Assessment!E:E)="yes"),"Yes","No")</f>
        <v>#N/A</v>
      </c>
      <c r="B424" s="40" t="s">
        <v>7829</v>
      </c>
      <c r="C424" s="40" t="s">
        <v>8083</v>
      </c>
      <c r="D424" s="40" t="s">
        <v>8331</v>
      </c>
      <c r="E424" s="40" t="s">
        <v>8085</v>
      </c>
    </row>
    <row r="425" spans="1:9" x14ac:dyDescent="0.35">
      <c r="A425" s="40" t="e">
        <f>IF(OR(_xlfn.XLOOKUP("1334.02e2Organizational.12",Assessment!H:H,Assessment!E:E)="yes"),"Yes","No")</f>
        <v>#N/A</v>
      </c>
      <c r="B425" s="40" t="s">
        <v>7829</v>
      </c>
      <c r="C425" s="40" t="s">
        <v>8083</v>
      </c>
      <c r="D425" s="40" t="s">
        <v>8332</v>
      </c>
      <c r="E425" s="40" t="s">
        <v>8085</v>
      </c>
    </row>
    <row r="426" spans="1:9" x14ac:dyDescent="0.35">
      <c r="A426" s="40" t="e">
        <f>IF(OR(_xlfn.XLOOKUP("xyz",Assessment!H:H,Assessment!E:E)="yes"),"Yes","No")</f>
        <v>#N/A</v>
      </c>
      <c r="B426" s="40" t="s">
        <v>7829</v>
      </c>
      <c r="C426" s="40" t="s">
        <v>8083</v>
      </c>
      <c r="D426" s="40" t="s">
        <v>8333</v>
      </c>
      <c r="E426" s="40" t="s">
        <v>8085</v>
      </c>
    </row>
    <row r="427" spans="1:9" x14ac:dyDescent="0.35">
      <c r="A427" s="40" t="e">
        <f>IF(OR(_xlfn.XLOOKUP("1315.02e2Organizational.67",Assessment!H:H,Assessment!E:E)="yes"),"Yes","No")</f>
        <v>#N/A</v>
      </c>
      <c r="B427" s="40" t="s">
        <v>7829</v>
      </c>
      <c r="C427" s="40" t="s">
        <v>8083</v>
      </c>
      <c r="D427" s="40" t="s">
        <v>8334</v>
      </c>
      <c r="E427" s="40" t="s">
        <v>8085</v>
      </c>
    </row>
    <row r="428" spans="1:9" x14ac:dyDescent="0.35">
      <c r="A428" s="40" t="e">
        <f>IF(OR(_xlfn.XLOOKUP("0407.01y1Organizational.4",Assessment!H:H,Assessment!E:E)="yes",_xlfn.XLOOKUP("0415.01y1Organizational.10",Assessment!H:H,Assessment!E:E)="yes",_xlfn.XLOOKUP("1125.01q2System.1",Assessment!H:H,Assessment!E:E)="yes",_xlfn.XLOOKUP("1119.01j2Organizational.3",Assessment!H:H,Assessment!E:E)="yes",_xlfn.XLOOKUP("0405.01y2Organizational.2",Assessment!H:H,Assessment!E:E)="yes",_xlfn.XLOOKUP("0417.01y3Organizational.5",Assessment!H:H,Assessment!E:E)="yes",_xlfn.XLOOKUP("1116.01j2Organizational.6",Assessment!H:H,Assessment!E:E)="yes",_xlfn.XLOOKUP("1118.01j2Organizational.124",Assessment!H:H,Assessment!E:E)="yes",_xlfn.XLOOKUP("1310.01y2Organizational.1",Assessment!H:H,Assessment!E:E)="yes"),"Yes","No")</f>
        <v>#N/A</v>
      </c>
      <c r="B428" s="40" t="s">
        <v>7829</v>
      </c>
      <c r="C428" s="40" t="s">
        <v>8083</v>
      </c>
      <c r="D428" s="40" t="s">
        <v>8335</v>
      </c>
      <c r="E428" s="40" t="s">
        <v>8085</v>
      </c>
    </row>
    <row r="429" spans="1:9" x14ac:dyDescent="0.35">
      <c r="A429" s="40" t="e">
        <f>IF(OR(,_xlfn.XLOOKUP("1136.02i2Organizational.1",Assessment!H:H,Assessment!E:E)="yes"),"Yes","No")</f>
        <v>#N/A</v>
      </c>
      <c r="B429" s="40" t="s">
        <v>7829</v>
      </c>
      <c r="C429" s="40" t="s">
        <v>8083</v>
      </c>
      <c r="D429" s="40" t="s">
        <v>8336</v>
      </c>
      <c r="E429" s="40" t="s">
        <v>8085</v>
      </c>
    </row>
    <row r="430" spans="1:9" x14ac:dyDescent="0.35">
      <c r="A430" s="40" t="e">
        <f>IF(OR(_xlfn.XLOOKUP("0501.09m1Organizational.11",Assessment!H:H,Assessment!E:E)="yes"),"Yes","No")</f>
        <v>#N/A</v>
      </c>
      <c r="B430" s="40" t="s">
        <v>7829</v>
      </c>
      <c r="C430" s="40" t="s">
        <v>8083</v>
      </c>
      <c r="D430" s="40" t="s">
        <v>8337</v>
      </c>
      <c r="E430" s="40" t="s">
        <v>8085</v>
      </c>
    </row>
    <row r="431" spans="1:9" ht="25" x14ac:dyDescent="0.35">
      <c r="A431" s="40" t="e">
        <f>IF(OR(_xlfn.XLOOKUP("1109.01b2System.6",Assessment!H:H,Assessment!E:E)="yes",_xlfn.XLOOKUP("11143.02i1Organizational.3",Assessment!H:H,Assessment!E:E)="yes",_xlfn.XLOOKUP("11152.02h1Organizational.1",Assessment!H:H,Assessment!E:E)="yes",_xlfn.XLOOKUP("1166.01e2System.3",Assessment!H:H,Assessment!E:E)="yes",_xlfn.XLOOKUP("11144.02g2Organizational.5",Assessment!H:H,Assessment!E:E)="yes",_xlfn.XLOOKUP("11154.02i2Organizational.3",Assessment!H:H,Assessment!E:E)="yes",_xlfn.XLOOKUP("1135.02i3Organizational.1",Assessment!H:H,Assessment!E:E)="yes",_xlfn.XLOOKUP("19153.13k1Organizational.4",Assessment!H:H,Assessment!E:E)="yes"),"Yes","No")</f>
        <v>#N/A</v>
      </c>
      <c r="B431" s="40" t="s">
        <v>7829</v>
      </c>
      <c r="C431" s="40" t="s">
        <v>8083</v>
      </c>
      <c r="D431" s="40" t="s">
        <v>8338</v>
      </c>
      <c r="E431" s="40" t="s">
        <v>8085</v>
      </c>
      <c r="H431" s="40" t="s">
        <v>8339</v>
      </c>
      <c r="I431" s="58" t="s">
        <v>8340</v>
      </c>
    </row>
    <row r="432" spans="1:9" ht="25" x14ac:dyDescent="0.35">
      <c r="A432" s="40" t="e">
        <f>IF(OR(_xlfn.XLOOKUP("0109.02d1Organizational.4",Assessment!H:H,Assessment!E:E)="yes",_xlfn.XLOOKUP("0151.02c1Organizational.23",Assessment!H:H,Assessment!E:E)="yes",_xlfn.XLOOKUP("0210.01g1Organizational.1",Assessment!H:H,Assessment!E:E)="yes",_xlfn.XLOOKUP("0630.10h2System.6",Assessment!H:H,Assessment!E:E)="yes",_xlfn.XLOOKUP("11110.01q2System.10",Assessment!H:H,Assessment!E:E)="yes",_xlfn.XLOOKUP("1304.02e1Organizational.7",Assessment!H:H,Assessment!E:E)="yes",_xlfn.XLOOKUP("1306.06e1Organizational.5",Assessment!H:H,Assessment!E:E)="yes",_xlfn.XLOOKUP("1506.11a1Organizational.2",Assessment!H:H,Assessment!E:E)="yes",_xlfn.XLOOKUP("18128.08m1Organizational.12",Assessment!H:H,Assessment!E:E)="yes",_xlfn.XLOOKUP("1102.01a2Organizational.2",Assessment!H:H,Assessment!E:E)="yes",_xlfn.XLOOKUP("1432.05k2Organizational.7",Assessment!H:H,Assessment!E:E)="yes",_xlfn.XLOOKUP("1801.08b2Organizational.9",Assessment!H:H,Assessment!E:E)="yes",_xlfn.XLOOKUP("18110.08j2Organizational.6",Assessment!H:H,Assessment!E:E)="yes",_xlfn.XLOOKUP("1431.05k2Organizational.6",Assessment!H:H,Assessment!E:E)="yes",_xlfn.XLOOKUP("1522.11c3Organizational.13",Assessment!H:H,Assessment!E:E)="yes",_xlfn.XLOOKUP("1815.08d2Organizational.123",Assessment!H:H,Assessment!E:E)="yes",_xlfn.XLOOKUP("0111.02d2Organizational.2",Assessment!H:H,Assessment!E:E)="yes",_xlfn.XLOOKUP("1511.11a2Organizational.5",Assessment!H:H,Assessment!E:E)="yes",_xlfn.XLOOKUP("1520.11c2Organizational.4",Assessment!H:H,Assessment!E:E)="yes"),"Yes","No")</f>
        <v>#N/A</v>
      </c>
      <c r="B432" s="40" t="s">
        <v>7829</v>
      </c>
      <c r="C432" s="40" t="s">
        <v>8083</v>
      </c>
      <c r="D432" s="40" t="s">
        <v>8341</v>
      </c>
      <c r="E432" s="40" t="s">
        <v>8085</v>
      </c>
      <c r="H432" s="58" t="s">
        <v>8342</v>
      </c>
      <c r="I432" s="58" t="s">
        <v>8315</v>
      </c>
    </row>
    <row r="433" spans="1:9" x14ac:dyDescent="0.35">
      <c r="A433" s="40" t="e">
        <f>IF(OR(_xlfn.XLOOKUP("1109.01b2System.6",Assessment!H:H,Assessment!E:E)="yes",_xlfn.XLOOKUP("11143.02i1Organizational.3",Assessment!H:H,Assessment!E:E)="yes",_xlfn.XLOOKUP("1166.01e2System.3",Assessment!H:H,Assessment!E:E)="yes",_xlfn.XLOOKUP("11145.02i2Organizational.2",Assessment!H:H,Assessment!E:E)="yes"),"Yes","No")</f>
        <v>#N/A</v>
      </c>
      <c r="B433" s="40" t="s">
        <v>7829</v>
      </c>
      <c r="C433" s="40" t="s">
        <v>8083</v>
      </c>
      <c r="D433" s="40" t="s">
        <v>8343</v>
      </c>
      <c r="E433" s="40" t="s">
        <v>8085</v>
      </c>
    </row>
    <row r="434" spans="1:9" x14ac:dyDescent="0.35">
      <c r="A434" s="40" t="e">
        <f>IF(OR(_xlfn.XLOOKUP("xyz",Assessment!H:H,Assessment!E:E)="yes"),"Yes","No")</f>
        <v>#N/A</v>
      </c>
      <c r="B434" s="40" t="s">
        <v>7829</v>
      </c>
      <c r="C434" s="40" t="s">
        <v>8083</v>
      </c>
      <c r="D434" s="40" t="s">
        <v>8344</v>
      </c>
      <c r="E434" s="40" t="s">
        <v>8085</v>
      </c>
    </row>
    <row r="435" spans="1:9" x14ac:dyDescent="0.35">
      <c r="A435" s="40" t="e">
        <f>IF(OR(_xlfn.XLOOKUP("0722.07a2Organizational.4",Assessment!H:H,Assessment!E:E)="yes"),"Yes","No")</f>
        <v>#N/A</v>
      </c>
      <c r="B435" s="40" t="s">
        <v>7829</v>
      </c>
      <c r="C435" s="40" t="s">
        <v>8083</v>
      </c>
      <c r="D435" s="40" t="s">
        <v>8345</v>
      </c>
      <c r="E435" s="40" t="s">
        <v>8085</v>
      </c>
    </row>
    <row r="436" spans="1:9" x14ac:dyDescent="0.35">
      <c r="A436" s="40" t="e">
        <f>IF(OR(,_xlfn.XLOOKUP("0669.10hCSPSystem.1",Assessment!H:H,Assessment!E:E)="yes"),"Yes","No")</f>
        <v>#N/A</v>
      </c>
      <c r="B436" s="40" t="s">
        <v>7829</v>
      </c>
      <c r="C436" s="40" t="s">
        <v>8083</v>
      </c>
      <c r="D436" s="40" t="s">
        <v>8346</v>
      </c>
      <c r="E436" s="40" t="s">
        <v>8085</v>
      </c>
    </row>
    <row r="437" spans="1:9" x14ac:dyDescent="0.35">
      <c r="A437" s="40" t="str">
        <f>IF(OR(,_xlfn.XLOOKUP("0936.09w1Organizational.1",Assessment!H:H,Assessment!E:E)="yes"),"Yes","No")</f>
        <v>Yes</v>
      </c>
      <c r="B437" s="40" t="s">
        <v>7829</v>
      </c>
      <c r="C437" s="40" t="s">
        <v>8083</v>
      </c>
      <c r="D437" s="40" t="s">
        <v>8347</v>
      </c>
      <c r="E437" s="40" t="s">
        <v>8085</v>
      </c>
    </row>
    <row r="438" spans="1:9" x14ac:dyDescent="0.35">
      <c r="A438" s="40" t="e">
        <f>IF(OR(_xlfn.XLOOKUP("0101.00a1Organizational.123",Assessment!H:H,Assessment!E:E)="yes",_xlfn.XLOOKUP("0102.00a2Organizational.123",Assessment!H:H,Assessment!E:E)="yes",_xlfn.XLOOKUP("0114.04b1Organizational.1",Assessment!H:H,Assessment!E:E)="yes",_xlfn.XLOOKUP("0118.05a2Organizational.6",Assessment!H:H,Assessment!E:E)="yes",_xlfn.XLOOKUP("0115.04b2Organizational.123",Assessment!H:H,Assessment!E:E)="yes"),"Yes","No")</f>
        <v>#N/A</v>
      </c>
      <c r="B438" s="40" t="s">
        <v>7829</v>
      </c>
      <c r="C438" s="40" t="s">
        <v>8083</v>
      </c>
      <c r="D438" s="40" t="s">
        <v>8348</v>
      </c>
      <c r="E438" s="40" t="s">
        <v>8349</v>
      </c>
      <c r="I438" s="40" t="s">
        <v>8350</v>
      </c>
    </row>
    <row r="439" spans="1:9" x14ac:dyDescent="0.35">
      <c r="A439" s="40" t="e">
        <f>IF(OR(_xlfn.XLOOKUP("0101.00a1Organizational.123",Assessment!H:H,Assessment!E:E)="yes",_xlfn.XLOOKUP("0102.00a2Organizational.123",Assessment!H:H,Assessment!E:E)="yes",_xlfn.XLOOKUP("0114.04b1Organizational.1",Assessment!H:H,Assessment!E:E)="yes",_xlfn.XLOOKUP("0118.05a2Organizational.6",Assessment!H:H,Assessment!E:E)="yes",_xlfn.XLOOKUP("0115.04b2Organizational.123",Assessment!H:H,Assessment!E:E)="yes"),"Yes","No")</f>
        <v>#N/A</v>
      </c>
      <c r="B439" s="40" t="s">
        <v>7829</v>
      </c>
      <c r="C439" s="40" t="s">
        <v>8083</v>
      </c>
      <c r="D439" s="40" t="s">
        <v>8351</v>
      </c>
      <c r="E439" s="40" t="s">
        <v>8349</v>
      </c>
    </row>
    <row r="440" spans="1:9" x14ac:dyDescent="0.35">
      <c r="A440" s="40" t="e">
        <f>IF(OR(_xlfn.XLOOKUP("0102.00a2Organizational.123",Assessment!H:H,Assessment!E:E)="yes"),"Yes","No")</f>
        <v>#N/A</v>
      </c>
      <c r="B440" s="40" t="s">
        <v>7829</v>
      </c>
      <c r="C440" s="40" t="s">
        <v>8083</v>
      </c>
      <c r="D440" s="40" t="s">
        <v>8352</v>
      </c>
      <c r="E440" s="40" t="s">
        <v>8349</v>
      </c>
    </row>
    <row r="441" spans="1:9" x14ac:dyDescent="0.35">
      <c r="A441" s="40" t="str">
        <f>IF(OR(_xlfn.XLOOKUP("01109.02b1Organizational.7",Assessment!H:H,Assessment!E:E)="yes"),"Yes","No")</f>
        <v>Yes</v>
      </c>
      <c r="B441" s="40" t="s">
        <v>7829</v>
      </c>
      <c r="C441" s="40" t="s">
        <v>8083</v>
      </c>
      <c r="D441" s="40" t="s">
        <v>8353</v>
      </c>
      <c r="E441" s="40" t="s">
        <v>8354</v>
      </c>
    </row>
    <row r="442" spans="1:9" x14ac:dyDescent="0.35">
      <c r="A442" s="40" t="e">
        <f>IF(OR(_xlfn.XLOOKUP("0113.04a1Organizational.2",Assessment!H:H,Assessment!E:E)="yes",_xlfn.XLOOKUP("0114.04b1Organizational.1",Assessment!H:H,Assessment!E:E)="yes",_xlfn.XLOOKUP("0118.05a2Organizational.6",Assessment!H:H,Assessment!E:E)="yes"),"Yes","No")</f>
        <v>#N/A</v>
      </c>
      <c r="B442" s="40" t="s">
        <v>7829</v>
      </c>
      <c r="C442" s="40" t="s">
        <v>8083</v>
      </c>
      <c r="D442" s="40" t="s">
        <v>8355</v>
      </c>
      <c r="E442" s="40" t="s">
        <v>8356</v>
      </c>
      <c r="H442" s="40" t="s">
        <v>8357</v>
      </c>
      <c r="I442" s="40" t="s">
        <v>8358</v>
      </c>
    </row>
    <row r="443" spans="1:9" x14ac:dyDescent="0.35">
      <c r="A443" s="40" t="e">
        <f>IF(OR(_xlfn.XLOOKUP("0117.05a1Organizational.1",Assessment!H:H,Assessment!E:E)="yes",_xlfn.XLOOKUP("0119.05a2Organizational.7",Assessment!H:H,Assessment!E:E)="yes",_xlfn.XLOOKUP("0172.05c2Organizational.3",Assessment!H:H,Assessment!E:E)="yes",_xlfn.XLOOKUP("0110.02d2Organizational.1",Assessment!H:H,Assessment!E:E)="yes"),"Yes","No")</f>
        <v>#N/A</v>
      </c>
      <c r="B443" s="40" t="s">
        <v>7829</v>
      </c>
      <c r="C443" s="40" t="s">
        <v>8083</v>
      </c>
      <c r="D443" s="40" t="s">
        <v>8359</v>
      </c>
      <c r="E443" s="40" t="s">
        <v>8360</v>
      </c>
    </row>
    <row r="444" spans="1:9" x14ac:dyDescent="0.35">
      <c r="A444" s="40" t="str">
        <f>IF(OR(_xlfn.XLOOKUP("0126.05b1Organizational.1",Assessment!H:H,Assessment!E:E)="yes"),"Yes","No")</f>
        <v>Yes</v>
      </c>
      <c r="B444" s="40" t="s">
        <v>7829</v>
      </c>
      <c r="C444" s="40" t="s">
        <v>8083</v>
      </c>
      <c r="D444" s="40" t="s">
        <v>8361</v>
      </c>
      <c r="E444" s="40" t="s">
        <v>8362</v>
      </c>
    </row>
    <row r="445" spans="1:9" x14ac:dyDescent="0.35">
      <c r="A445" s="40" t="str">
        <f>IF(OR(_xlfn.XLOOKUP("0126.05b1Organizational.1",Assessment!H:H,Assessment!E:E)="yes"),"Yes","No")</f>
        <v>Yes</v>
      </c>
      <c r="B445" s="40" t="s">
        <v>7829</v>
      </c>
      <c r="C445" s="40" t="s">
        <v>8083</v>
      </c>
      <c r="D445" s="40" t="s">
        <v>8363</v>
      </c>
      <c r="E445" s="40" t="s">
        <v>8362</v>
      </c>
    </row>
    <row r="446" spans="1:9" x14ac:dyDescent="0.35">
      <c r="A446" s="40" t="str">
        <f>IF(OR(_xlfn.XLOOKUP("0151.02c1Organizational.23",Assessment!H:H,Assessment!E:E)="yes"),"Yes","No")</f>
        <v>Yes</v>
      </c>
      <c r="B446" s="40" t="s">
        <v>7829</v>
      </c>
      <c r="C446" s="40" t="s">
        <v>8083</v>
      </c>
      <c r="D446" s="40" t="s">
        <v>8364</v>
      </c>
      <c r="E446" s="40" t="s">
        <v>8365</v>
      </c>
    </row>
    <row r="447" spans="1:9" x14ac:dyDescent="0.35">
      <c r="A447" s="40" t="e">
        <f>IF(OR(_xlfn.XLOOKUP("0168.05b2Organizational.5",Assessment!H:H,Assessment!E:E)="yes"),"Yes","No")</f>
        <v>#N/A</v>
      </c>
      <c r="B447" s="40" t="s">
        <v>7829</v>
      </c>
      <c r="C447" s="40" t="s">
        <v>8083</v>
      </c>
      <c r="D447" s="40" t="s">
        <v>8366</v>
      </c>
      <c r="E447" s="40" t="s">
        <v>8362</v>
      </c>
    </row>
    <row r="448" spans="1:9" x14ac:dyDescent="0.35">
      <c r="A448" s="40" t="str">
        <f>IF(OR(_xlfn.XLOOKUP("0173.05c1Organizational.45",Assessment!H:H,Assessment!E:E)="yes"),"Yes","No")</f>
        <v>Yes</v>
      </c>
      <c r="B448" s="40" t="s">
        <v>7829</v>
      </c>
      <c r="C448" s="40" t="s">
        <v>8083</v>
      </c>
      <c r="D448" s="40" t="s">
        <v>8367</v>
      </c>
      <c r="E448" s="40" t="s">
        <v>8368</v>
      </c>
    </row>
    <row r="449" spans="1:9" x14ac:dyDescent="0.35">
      <c r="A449" s="40" t="str">
        <f>IF(OR(_xlfn.XLOOKUP("0173.05c1Organizational.45",Assessment!H:H,Assessment!E:E)="yes"),"Yes","No")</f>
        <v>Yes</v>
      </c>
      <c r="B449" s="40" t="s">
        <v>7829</v>
      </c>
      <c r="C449" s="40" t="s">
        <v>8083</v>
      </c>
      <c r="D449" s="40" t="s">
        <v>8369</v>
      </c>
      <c r="E449" s="40" t="s">
        <v>8368</v>
      </c>
    </row>
    <row r="450" spans="1:9" ht="25" x14ac:dyDescent="0.35">
      <c r="A450" s="40" t="e">
        <f>IF(OR(_xlfn.XLOOKUP("0180.05h1Organizational.4",Assessment!H:H,Assessment!E:E)="yes",_xlfn.XLOOKUP("0103.00a3Organizational.1234567",Assessment!H:H,Assessment!E:E)="yes",_xlfn.XLOOKUP("0179.05h2Organizational.3",Assessment!H:H,Assessment!E:E)="yes"),"Yes","No")</f>
        <v>#N/A</v>
      </c>
      <c r="B450" s="40" t="s">
        <v>7829</v>
      </c>
      <c r="C450" s="40" t="s">
        <v>8083</v>
      </c>
      <c r="D450" s="40" t="s">
        <v>8370</v>
      </c>
      <c r="E450" s="40" t="s">
        <v>8371</v>
      </c>
      <c r="H450" s="58" t="s">
        <v>8372</v>
      </c>
      <c r="I450" s="58" t="s">
        <v>8372</v>
      </c>
    </row>
    <row r="451" spans="1:9" x14ac:dyDescent="0.35">
      <c r="A451" s="40" t="e">
        <f>IF(OR(_xlfn.XLOOKUP("0199.00aHIXOrganizational.2",Assessment!H:H,Assessment!E:E)="yes"),"Yes","No")</f>
        <v>#N/A</v>
      </c>
      <c r="B451" s="40" t="s">
        <v>7829</v>
      </c>
      <c r="C451" s="40" t="s">
        <v>8083</v>
      </c>
      <c r="D451" s="40" t="s">
        <v>8373</v>
      </c>
      <c r="E451" s="40" t="s">
        <v>8349</v>
      </c>
    </row>
    <row r="452" spans="1:9" x14ac:dyDescent="0.35">
      <c r="A452" s="40" t="e">
        <f>IF(OR(_xlfn.XLOOKUP("0201.09j1Organizational.124",Assessment!H:H,Assessment!E:E)="yes",_xlfn.XLOOKUP("0214.09j2Organizational.9",Assessment!H:H,Assessment!E:E)="yes",_xlfn.XLOOKUP("0206.09j2Organizational.34",Assessment!H:H,Assessment!E:E)="yes",_xlfn.XLOOKUP("02.09jNIST80053Organizational.4",Assessment!H:H,Assessment!E:E)="yes"),"Yes","No")</f>
        <v>#N/A</v>
      </c>
      <c r="B452" s="40" t="s">
        <v>7829</v>
      </c>
      <c r="C452" s="40" t="s">
        <v>8083</v>
      </c>
      <c r="D452" s="40" t="s">
        <v>8374</v>
      </c>
      <c r="E452" s="40" t="s">
        <v>8375</v>
      </c>
      <c r="H452" s="40" t="s">
        <v>8376</v>
      </c>
      <c r="I452" s="40" t="s">
        <v>8376</v>
      </c>
    </row>
    <row r="453" spans="1:9" x14ac:dyDescent="0.35">
      <c r="A453" s="40" t="e">
        <f>IF(OR(_xlfn.XLOOKUP("0201.09j1Organizational.124",Assessment!H:H,Assessment!E:E)="yes",_xlfn.XLOOKUP("0226.09k1Organizational.2",Assessment!H:H,Assessment!E:E)="yes"),"Yes","No")</f>
        <v>#N/A</v>
      </c>
      <c r="B453" s="40" t="s">
        <v>7829</v>
      </c>
      <c r="C453" s="40" t="s">
        <v>8083</v>
      </c>
      <c r="D453" s="40" t="s">
        <v>8377</v>
      </c>
      <c r="E453" s="40" t="s">
        <v>8375</v>
      </c>
      <c r="H453" s="40" t="s">
        <v>8376</v>
      </c>
      <c r="I453" s="40" t="s">
        <v>8376</v>
      </c>
    </row>
    <row r="454" spans="1:9" x14ac:dyDescent="0.35">
      <c r="A454" s="40" t="e">
        <f>IF(OR(_xlfn.XLOOKUP("0201.09j1Organizational.124",Assessment!H:H,Assessment!E:E)="yes",_xlfn.XLOOKUP("0217.09j1Organizational.7",Assessment!H:H,Assessment!E:E)="yes",_xlfn.XLOOKUP("0205.09j2Organizational.2",Assessment!H:H,Assessment!E:E)="yes",_xlfn.XLOOKUP("02.09jTXRAMPOrganizational.2",Assessment!H:H,Assessment!E:E)="yes"),"Yes","No")</f>
        <v>#N/A</v>
      </c>
      <c r="B454" s="40" t="s">
        <v>7829</v>
      </c>
      <c r="C454" s="40" t="s">
        <v>8083</v>
      </c>
      <c r="D454" s="40" t="s">
        <v>8378</v>
      </c>
      <c r="E454" s="40" t="s">
        <v>8375</v>
      </c>
      <c r="H454" s="40" t="s">
        <v>8376</v>
      </c>
      <c r="I454" s="40" t="s">
        <v>8376</v>
      </c>
    </row>
    <row r="455" spans="1:9" x14ac:dyDescent="0.35">
      <c r="A455" s="40" t="e">
        <f>IF(OR(_xlfn.XLOOKUP("0201.09j1Organizational.124",Assessment!H:H,Assessment!E:E)="yes",_xlfn.XLOOKUP("0217.09j1Organizational.7",Assessment!H:H,Assessment!E:E)="yes"),"Yes","No")</f>
        <v>#N/A</v>
      </c>
      <c r="B455" s="40" t="s">
        <v>7829</v>
      </c>
      <c r="C455" s="40" t="s">
        <v>8083</v>
      </c>
      <c r="D455" s="40" t="s">
        <v>8379</v>
      </c>
      <c r="E455" s="40" t="s">
        <v>8375</v>
      </c>
      <c r="H455" s="40" t="s">
        <v>8376</v>
      </c>
      <c r="I455" s="40" t="s">
        <v>8376</v>
      </c>
    </row>
    <row r="456" spans="1:9" x14ac:dyDescent="0.35">
      <c r="A456" s="40" t="e">
        <f>IF(OR(_xlfn.XLOOKUP("0201.09j1Organizational.124",Assessment!H:H,Assessment!E:E)="yes",_xlfn.XLOOKUP("0217.09j1Organizational.7",Assessment!H:H,Assessment!E:E)="yes"),"Yes","No")</f>
        <v>#N/A</v>
      </c>
      <c r="B456" s="40" t="s">
        <v>7829</v>
      </c>
      <c r="C456" s="40" t="s">
        <v>8083</v>
      </c>
      <c r="D456" s="40" t="s">
        <v>8380</v>
      </c>
      <c r="E456" s="40" t="s">
        <v>8375</v>
      </c>
      <c r="H456" s="40" t="s">
        <v>8376</v>
      </c>
      <c r="I456" s="40" t="s">
        <v>8376</v>
      </c>
    </row>
    <row r="457" spans="1:9" x14ac:dyDescent="0.35">
      <c r="A457" s="40" t="e">
        <f>IF(OR(_xlfn.XLOOKUP("0201.09j1Organizational.124",Assessment!H:H,Assessment!E:E)="yes",_xlfn.XLOOKUP("0217.09j1Organizational.7",Assessment!H:H,Assessment!E:E)="yes"),"Yes","No")</f>
        <v>#N/A</v>
      </c>
      <c r="B457" s="40" t="s">
        <v>7829</v>
      </c>
      <c r="C457" s="40" t="s">
        <v>8083</v>
      </c>
      <c r="D457" s="40" t="s">
        <v>8381</v>
      </c>
      <c r="E457" s="40" t="s">
        <v>8375</v>
      </c>
      <c r="H457" s="40" t="s">
        <v>8376</v>
      </c>
      <c r="I457" s="40" t="s">
        <v>8376</v>
      </c>
    </row>
    <row r="458" spans="1:9" x14ac:dyDescent="0.35">
      <c r="A458" s="40" t="str">
        <f>IF(OR(_xlfn.XLOOKUP("0207.09j1Organizational.6",Assessment!H:H,Assessment!E:E)="yes"),"Yes","No")</f>
        <v>Yes</v>
      </c>
      <c r="B458" s="40" t="s">
        <v>7829</v>
      </c>
      <c r="C458" s="40" t="s">
        <v>8083</v>
      </c>
      <c r="D458" s="40" t="s">
        <v>8382</v>
      </c>
      <c r="E458" s="40" t="s">
        <v>8375</v>
      </c>
    </row>
    <row r="459" spans="1:9" x14ac:dyDescent="0.35">
      <c r="A459" s="40" t="str">
        <f>IF(OR(_xlfn.XLOOKUP("0207.09j1Organizational.6",Assessment!H:H,Assessment!E:E)="yes"),"Yes","No")</f>
        <v>Yes</v>
      </c>
      <c r="B459" s="40" t="s">
        <v>7829</v>
      </c>
      <c r="C459" s="40" t="s">
        <v>8083</v>
      </c>
      <c r="D459" s="40" t="s">
        <v>8383</v>
      </c>
      <c r="E459" s="40" t="s">
        <v>8375</v>
      </c>
    </row>
    <row r="460" spans="1:9" x14ac:dyDescent="0.35">
      <c r="A460" s="40" t="str">
        <f>IF(OR(_xlfn.XLOOKUP("0207.09j1Organizational.6",Assessment!H:H,Assessment!E:E)="yes",_xlfn.XLOOKUP("09.09v1Organizational.7",Assessment!H:H,Assessment!E:E)="yes"),"Yes","No")</f>
        <v>Yes</v>
      </c>
      <c r="B460" s="40" t="s">
        <v>7829</v>
      </c>
      <c r="C460" s="40" t="s">
        <v>8083</v>
      </c>
      <c r="D460" s="40" t="s">
        <v>8384</v>
      </c>
      <c r="E460" s="40" t="s">
        <v>8375</v>
      </c>
    </row>
    <row r="461" spans="1:9" ht="25" x14ac:dyDescent="0.35">
      <c r="A461" s="40" t="e">
        <f>IF(OR(_xlfn.XLOOKUP("0201.09j1Organizational.124",Assessment!H:H,Assessment!E:E)="yes",_xlfn.XLOOKUP("0217.09j1Organizational.7",Assessment!H:H,Assessment!E:E)="yes",_xlfn.XLOOKUP("0205.09j2Organizational.2",Assessment!H:H,Assessment!E:E)="yes",_xlfn.XLOOKUP("02.09jTXRAMPOrganizational.2",Assessment!H:H,Assessment!E:E)="yes"),"Yes","No")</f>
        <v>#N/A</v>
      </c>
      <c r="B461" s="40" t="s">
        <v>7829</v>
      </c>
      <c r="C461" s="40" t="s">
        <v>8083</v>
      </c>
      <c r="D461" s="40" t="s">
        <v>8385</v>
      </c>
      <c r="E461" s="40" t="s">
        <v>8375</v>
      </c>
      <c r="H461" s="40" t="s">
        <v>8376</v>
      </c>
      <c r="I461" s="58" t="s">
        <v>8386</v>
      </c>
    </row>
    <row r="462" spans="1:9" x14ac:dyDescent="0.35">
      <c r="A462" s="40" t="str">
        <f>IF(OR(_xlfn.XLOOKUP("0302.09o1Organizational.3",Assessment!H:H,Assessment!E:E)="yes"),"Yes","No")</f>
        <v>Yes</v>
      </c>
      <c r="B462" s="40" t="s">
        <v>7829</v>
      </c>
      <c r="C462" s="40" t="s">
        <v>8083</v>
      </c>
      <c r="D462" s="40" t="s">
        <v>8387</v>
      </c>
      <c r="E462" s="40" t="s">
        <v>8388</v>
      </c>
      <c r="I462" s="40" t="s">
        <v>8389</v>
      </c>
    </row>
    <row r="463" spans="1:9" x14ac:dyDescent="0.35">
      <c r="A463" s="40" t="str">
        <f>IF(OR(_xlfn.XLOOKUP("0302.09o1Organizational.3",Assessment!H:H,Assessment!E:E)="yes"),"Yes","No")</f>
        <v>Yes</v>
      </c>
      <c r="B463" s="40" t="s">
        <v>7829</v>
      </c>
      <c r="C463" s="40" t="s">
        <v>8083</v>
      </c>
      <c r="D463" s="40" t="s">
        <v>8390</v>
      </c>
      <c r="E463" s="40" t="s">
        <v>8388</v>
      </c>
    </row>
    <row r="464" spans="1:9" x14ac:dyDescent="0.35">
      <c r="A464" s="40" t="e">
        <f>IF(OR(_xlfn.XLOOKUP("0304.09o1Organizational.2",Assessment!H:H,Assessment!E:E)="yes",_xlfn.XLOOKUP("0330.09o1Organizational.4",Assessment!H:H,Assessment!E:E)="yes",_xlfn.XLOOKUP("0303.09o2Organizational.2",Assessment!H:H,Assessment!E:E)="yes"),"Yes","No")</f>
        <v>#N/A</v>
      </c>
      <c r="B464" s="40" t="s">
        <v>7829</v>
      </c>
      <c r="C464" s="40" t="s">
        <v>8083</v>
      </c>
      <c r="D464" s="40" t="s">
        <v>8391</v>
      </c>
      <c r="E464" s="40" t="s">
        <v>8388</v>
      </c>
      <c r="H464" s="40" t="s">
        <v>8392</v>
      </c>
      <c r="I464" s="40" t="s">
        <v>8393</v>
      </c>
    </row>
    <row r="465" spans="1:8" x14ac:dyDescent="0.35">
      <c r="A465" s="40" t="str">
        <f>IF(OR(_xlfn.XLOOKUP("04.01x1Organizational.5",Assessment!H:H,Assessment!E:E)="yes"),"Yes","No")</f>
        <v>Yes</v>
      </c>
      <c r="B465" s="40" t="s">
        <v>7829</v>
      </c>
      <c r="C465" s="40" t="s">
        <v>8083</v>
      </c>
      <c r="D465" s="40" t="s">
        <v>8394</v>
      </c>
      <c r="E465" s="40" t="s">
        <v>8395</v>
      </c>
    </row>
    <row r="466" spans="1:8" x14ac:dyDescent="0.35">
      <c r="A466" s="40" t="e">
        <f>IF(OR(_xlfn.XLOOKUP("0403.01x1Organizational.5",Assessment!H:H,Assessment!E:E)="yes"),"Yes","No")</f>
        <v>#N/A</v>
      </c>
      <c r="B466" s="40" t="s">
        <v>7829</v>
      </c>
      <c r="C466" s="40" t="s">
        <v>8083</v>
      </c>
      <c r="D466" s="40" t="s">
        <v>8396</v>
      </c>
      <c r="E466" s="40" t="s">
        <v>8395</v>
      </c>
    </row>
    <row r="467" spans="1:8" x14ac:dyDescent="0.35">
      <c r="A467" s="40" t="e">
        <f>IF(OR(_xlfn.XLOOKUP("0504.09m1Organizational.13",Assessment!H:H,Assessment!E:E)="yes",_xlfn.XLOOKUP("0819.09m2Organizational.11",Assessment!H:H,Assessment!E:E)="yes"),"Yes","No")</f>
        <v>#N/A</v>
      </c>
      <c r="B467" s="40" t="s">
        <v>7829</v>
      </c>
      <c r="C467" s="40" t="s">
        <v>8083</v>
      </c>
      <c r="D467" s="40" t="s">
        <v>8397</v>
      </c>
      <c r="E467" s="40" t="s">
        <v>8398</v>
      </c>
    </row>
    <row r="468" spans="1:8" x14ac:dyDescent="0.35">
      <c r="A468" s="40" t="e">
        <f>IF(OR(_xlfn.XLOOKUP("0504.09m1Organizational.13",Assessment!H:H,Assessment!E:E)="yes"),"Yes","No")</f>
        <v>#N/A</v>
      </c>
      <c r="B468" s="40" t="s">
        <v>7829</v>
      </c>
      <c r="C468" s="40" t="s">
        <v>8083</v>
      </c>
      <c r="D468" s="40" t="s">
        <v>8399</v>
      </c>
      <c r="E468" s="40" t="s">
        <v>8398</v>
      </c>
    </row>
    <row r="469" spans="1:8" x14ac:dyDescent="0.35">
      <c r="A469" s="40" t="e">
        <f>IF(OR(_xlfn.XLOOKUP("0505.09m1Organizational.11",Assessment!H:H,Assessment!E:E)="yes",_xlfn.XLOOKUP("0858.09m2Organizational.12",Assessment!H:H,Assessment!E:E)="yes",_xlfn.XLOOKUP("08.09mCMSOrganizational.9",Assessment!H:H,Assessment!E:E)="yes"),"Yes","No")</f>
        <v>#N/A</v>
      </c>
      <c r="B469" s="40" t="s">
        <v>7829</v>
      </c>
      <c r="C469" s="40" t="s">
        <v>8083</v>
      </c>
      <c r="D469" s="40" t="s">
        <v>8400</v>
      </c>
      <c r="E469" s="40" t="s">
        <v>8398</v>
      </c>
    </row>
    <row r="470" spans="1:8" x14ac:dyDescent="0.35">
      <c r="A470" s="40" t="e">
        <f>IF(OR(_xlfn.XLOOKUP("0505.09m1Organizational.11",Assessment!H:H,Assessment!E:E)="yes"),"Yes","No")</f>
        <v>#N/A</v>
      </c>
      <c r="B470" s="40" t="s">
        <v>7829</v>
      </c>
      <c r="C470" s="40" t="s">
        <v>8083</v>
      </c>
      <c r="D470" s="40" t="s">
        <v>8401</v>
      </c>
      <c r="E470" s="40" t="s">
        <v>8398</v>
      </c>
    </row>
    <row r="471" spans="1:8" x14ac:dyDescent="0.35">
      <c r="A471" s="40" t="e">
        <f>IF(OR(_xlfn.XLOOKUP("0601.06g1Organizational.124",Assessment!H:H,Assessment!E:E)="yes"),"Yes","No")</f>
        <v>#N/A</v>
      </c>
      <c r="B471" s="40" t="s">
        <v>7829</v>
      </c>
      <c r="C471" s="40" t="s">
        <v>8083</v>
      </c>
      <c r="D471" s="40" t="s">
        <v>8402</v>
      </c>
      <c r="E471" s="40" t="s">
        <v>8403</v>
      </c>
    </row>
    <row r="472" spans="1:8" x14ac:dyDescent="0.35">
      <c r="A472" s="40" t="e">
        <f>IF(OR(_xlfn.XLOOKUP("0601.06g1Organizational.124",Assessment!H:H,Assessment!E:E)="yes"),"Yes","No")</f>
        <v>#N/A</v>
      </c>
      <c r="B472" s="40" t="s">
        <v>7829</v>
      </c>
      <c r="C472" s="40" t="s">
        <v>8083</v>
      </c>
      <c r="D472" s="40" t="s">
        <v>8404</v>
      </c>
      <c r="E472" s="40" t="s">
        <v>8403</v>
      </c>
    </row>
    <row r="473" spans="1:8" x14ac:dyDescent="0.35">
      <c r="A473" s="40" t="e">
        <f>IF(OR(_xlfn.XLOOKUP("0601.06g1Organizational.124",Assessment!H:H,Assessment!E:E)="yes",_xlfn.XLOOKUP("069.06g2Organizational.56",Assessment!H:H,Assessment!E:E)="yes"),"Yes","No")</f>
        <v>#N/A</v>
      </c>
      <c r="B473" s="40" t="s">
        <v>7829</v>
      </c>
      <c r="C473" s="40" t="s">
        <v>8083</v>
      </c>
      <c r="D473" s="40" t="s">
        <v>8405</v>
      </c>
      <c r="E473" s="40" t="s">
        <v>8403</v>
      </c>
      <c r="H473" s="40" t="s">
        <v>8406</v>
      </c>
    </row>
    <row r="474" spans="1:8" x14ac:dyDescent="0.35">
      <c r="A474" s="40" t="e">
        <f>IF(OR(_xlfn.XLOOKUP("0601.06g1Organizational.124",Assessment!H:H,Assessment!E:E)="yes",_xlfn.XLOOKUP("1707.03c2Organizational.2",Assessment!H:H,Assessment!E:E)="yes",_xlfn.XLOOKUP("069.06g2Organizational.56",Assessment!H:H,Assessment!E:E)="yes"),"Yes","No")</f>
        <v>#N/A</v>
      </c>
      <c r="B474" s="40" t="s">
        <v>7829</v>
      </c>
      <c r="C474" s="40" t="s">
        <v>8083</v>
      </c>
      <c r="D474" s="40" t="s">
        <v>8407</v>
      </c>
      <c r="E474" s="40" t="s">
        <v>8403</v>
      </c>
      <c r="H474" s="40" t="s">
        <v>8406</v>
      </c>
    </row>
    <row r="475" spans="1:8" x14ac:dyDescent="0.35">
      <c r="A475" s="40" t="e">
        <f>IF(OR(_xlfn.XLOOKUP("0601.06g1Organizational.124",Assessment!H:H,Assessment!E:E)="yes",_xlfn.XLOOKUP("069.06g2Organizational.56",Assessment!H:H,Assessment!E:E)="yes"),"Yes","No")</f>
        <v>#N/A</v>
      </c>
      <c r="B475" s="40" t="s">
        <v>7829</v>
      </c>
      <c r="C475" s="40" t="s">
        <v>8083</v>
      </c>
      <c r="D475" s="40" t="s">
        <v>8408</v>
      </c>
      <c r="E475" s="40" t="s">
        <v>8403</v>
      </c>
      <c r="H475" s="40" t="s">
        <v>8406</v>
      </c>
    </row>
    <row r="476" spans="1:8" x14ac:dyDescent="0.35">
      <c r="A476" s="40" t="e">
        <f>IF(OR(_xlfn.XLOOKUP("0601.06g1Organizational.124",Assessment!H:H,Assessment!E:E)="yes",_xlfn.XLOOKUP("069.06g2Organizational.56",Assessment!H:H,Assessment!E:E)="yes"),"Yes","No")</f>
        <v>#N/A</v>
      </c>
      <c r="B476" s="40" t="s">
        <v>7829</v>
      </c>
      <c r="C476" s="40" t="s">
        <v>8083</v>
      </c>
      <c r="D476" s="40" t="s">
        <v>8409</v>
      </c>
      <c r="E476" s="40" t="s">
        <v>8403</v>
      </c>
      <c r="H476" s="40" t="s">
        <v>8406</v>
      </c>
    </row>
    <row r="477" spans="1:8" x14ac:dyDescent="0.35">
      <c r="A477" s="40" t="e">
        <f>IF(OR(_xlfn.XLOOKUP("0607.10h2System.23",Assessment!H:H,Assessment!E:E)="yes"),"Yes","No")</f>
        <v>#N/A</v>
      </c>
      <c r="B477" s="40" t="s">
        <v>7829</v>
      </c>
      <c r="C477" s="40" t="s">
        <v>8083</v>
      </c>
      <c r="D477" s="40" t="s">
        <v>8410</v>
      </c>
      <c r="E477" s="40" t="s">
        <v>8411</v>
      </c>
      <c r="H477" s="40" t="s">
        <v>8412</v>
      </c>
    </row>
    <row r="478" spans="1:8" x14ac:dyDescent="0.35">
      <c r="A478" s="40" t="e">
        <f>IF(OR(_xlfn.XLOOKUP("0625.10c2System.8",Assessment!H:H,Assessment!E:E)="yes"),"Yes","No")</f>
        <v>#N/A</v>
      </c>
      <c r="B478" s="40" t="s">
        <v>7829</v>
      </c>
      <c r="C478" s="40" t="s">
        <v>8083</v>
      </c>
      <c r="D478" s="40" t="s">
        <v>8413</v>
      </c>
      <c r="E478" s="40" t="s">
        <v>8414</v>
      </c>
    </row>
    <row r="479" spans="1:8" x14ac:dyDescent="0.35">
      <c r="A479" s="40" t="e">
        <f>IF(OR(_xlfn.XLOOKUP("0628.10h2System.8",Assessment!H:H,Assessment!E:E)="yes"),"Yes","No")</f>
        <v>#N/A</v>
      </c>
      <c r="B479" s="40" t="s">
        <v>7829</v>
      </c>
      <c r="C479" s="40" t="s">
        <v>8083</v>
      </c>
      <c r="D479" s="40" t="s">
        <v>8415</v>
      </c>
      <c r="E479" s="40" t="s">
        <v>8411</v>
      </c>
      <c r="H479" s="40" t="s">
        <v>8416</v>
      </c>
    </row>
    <row r="480" spans="1:8" x14ac:dyDescent="0.35">
      <c r="A480" s="40" t="e">
        <f>IF(OR(_xlfn.XLOOKUP("0628.10h2System.8",Assessment!H:H,Assessment!E:E)="yes"),"Yes","No")</f>
        <v>#N/A</v>
      </c>
      <c r="B480" s="40" t="s">
        <v>7829</v>
      </c>
      <c r="C480" s="40" t="s">
        <v>8083</v>
      </c>
      <c r="D480" s="40" t="s">
        <v>8417</v>
      </c>
      <c r="E480" s="40" t="s">
        <v>8411</v>
      </c>
    </row>
    <row r="481" spans="1:9" x14ac:dyDescent="0.35">
      <c r="A481" s="40" t="e">
        <f>IF(OR(_xlfn.XLOOKUP("0629.10h2System.45",Assessment!H:H,Assessment!E:E)="yes"),"Yes","No")</f>
        <v>#N/A</v>
      </c>
      <c r="B481" s="40" t="s">
        <v>7829</v>
      </c>
      <c r="C481" s="40" t="s">
        <v>8083</v>
      </c>
      <c r="D481" s="40" t="s">
        <v>8418</v>
      </c>
      <c r="E481" s="40" t="s">
        <v>8411</v>
      </c>
    </row>
    <row r="482" spans="1:9" x14ac:dyDescent="0.35">
      <c r="A482" s="40" t="str">
        <f>IF(OR(_xlfn.XLOOKUP("0633.10j1System.1",Assessment!H:H,Assessment!E:E)="yes"),"Yes","No")</f>
        <v>Yes</v>
      </c>
      <c r="B482" s="40" t="s">
        <v>7829</v>
      </c>
      <c r="C482" s="40" t="s">
        <v>8083</v>
      </c>
      <c r="D482" s="40" t="s">
        <v>8419</v>
      </c>
      <c r="E482" s="40" t="s">
        <v>8420</v>
      </c>
    </row>
    <row r="483" spans="1:9" x14ac:dyDescent="0.35">
      <c r="A483" s="40" t="e">
        <f>IF(OR(_xlfn.XLOOKUP("0663.10h2System.9",Assessment!H:H,Assessment!E:E)="yes"),"Yes","No")</f>
        <v>#N/A</v>
      </c>
      <c r="B483" s="40" t="s">
        <v>7829</v>
      </c>
      <c r="C483" s="40" t="s">
        <v>8083</v>
      </c>
      <c r="D483" s="40" t="s">
        <v>8421</v>
      </c>
      <c r="E483" s="40" t="s">
        <v>8420</v>
      </c>
    </row>
    <row r="484" spans="1:9" x14ac:dyDescent="0.35">
      <c r="A484" s="40" t="e">
        <f>IF(OR(_xlfn.XLOOKUP("0663.10h2System.9",Assessment!H:H,Assessment!E:E)="yes"),"Yes","No")</f>
        <v>#N/A</v>
      </c>
      <c r="B484" s="40" t="s">
        <v>7829</v>
      </c>
      <c r="C484" s="40" t="s">
        <v>8083</v>
      </c>
      <c r="D484" s="40" t="s">
        <v>8422</v>
      </c>
      <c r="E484" s="40" t="s">
        <v>8420</v>
      </c>
      <c r="H484" s="40" t="s">
        <v>8423</v>
      </c>
    </row>
    <row r="485" spans="1:9" x14ac:dyDescent="0.35">
      <c r="A485" s="40" t="e">
        <f>IF(OR(_xlfn.XLOOKUP("0663.10h2System.9",Assessment!H:H,Assessment!E:E)="yes"),"Yes","No")</f>
        <v>#N/A</v>
      </c>
      <c r="B485" s="40" t="s">
        <v>7829</v>
      </c>
      <c r="C485" s="40" t="s">
        <v>8083</v>
      </c>
      <c r="D485" s="40" t="s">
        <v>8424</v>
      </c>
      <c r="E485" s="40" t="s">
        <v>8420</v>
      </c>
    </row>
    <row r="486" spans="1:9" x14ac:dyDescent="0.35">
      <c r="A486" s="40" t="e">
        <f>IF(OR(_xlfn.XLOOKUP("0663.10h2System.9",Assessment!H:H,Assessment!E:E)="yes"),"Yes","No")</f>
        <v>#N/A</v>
      </c>
      <c r="B486" s="40" t="s">
        <v>7829</v>
      </c>
      <c r="C486" s="40" t="s">
        <v>8083</v>
      </c>
      <c r="D486" s="40" t="s">
        <v>8425</v>
      </c>
      <c r="E486" s="40" t="s">
        <v>8420</v>
      </c>
    </row>
    <row r="487" spans="1:9" x14ac:dyDescent="0.35">
      <c r="A487" s="40" t="e">
        <f>IF(OR(_xlfn.XLOOKUP("0664.10h2System.10",Assessment!H:H,Assessment!E:E)="yes",_xlfn.XLOOKUP("0666.10h1System.5",Assessment!H:H,Assessment!E:E)="yes",_xlfn.XLOOKUP("1196.01l3Organizational.24",Assessment!H:H,Assessment!E:E)="yes",_xlfn.XLOOKUP("11.10h3System.2",Assessment!H:H,Assessment!E:E)="yes"),"Yes","No")</f>
        <v>#N/A</v>
      </c>
      <c r="B487" s="40" t="s">
        <v>7829</v>
      </c>
      <c r="C487" s="40" t="s">
        <v>8083</v>
      </c>
      <c r="D487" s="40" t="s">
        <v>8426</v>
      </c>
      <c r="E487" s="40" t="s">
        <v>8411</v>
      </c>
    </row>
    <row r="488" spans="1:9" ht="25" x14ac:dyDescent="0.35">
      <c r="A488" s="40" t="str">
        <f>IF(OR(_xlfn.XLOOKUP("06900.09d1System.2",Assessment!H:H,Assessment!E:E)="yes"),"Yes","No")</f>
        <v>Yes</v>
      </c>
      <c r="B488" s="40" t="s">
        <v>7829</v>
      </c>
      <c r="C488" s="40" t="s">
        <v>8083</v>
      </c>
      <c r="D488" s="40" t="s">
        <v>8427</v>
      </c>
      <c r="E488" s="40" t="s">
        <v>8428</v>
      </c>
      <c r="H488" s="40" t="s">
        <v>8429</v>
      </c>
      <c r="I488" s="58" t="s">
        <v>8430</v>
      </c>
    </row>
    <row r="489" spans="1:9" ht="25" x14ac:dyDescent="0.35">
      <c r="A489" s="40" t="str">
        <f>IF(OR(_xlfn.XLOOKUP("06900.09d1System.2",Assessment!H:H,Assessment!E:E)="yes"),"Yes","No")</f>
        <v>Yes</v>
      </c>
      <c r="B489" s="40" t="s">
        <v>7829</v>
      </c>
      <c r="C489" s="40" t="s">
        <v>8083</v>
      </c>
      <c r="D489" s="40" t="s">
        <v>8431</v>
      </c>
      <c r="E489" s="40" t="s">
        <v>8428</v>
      </c>
      <c r="H489" s="40" t="s">
        <v>8429</v>
      </c>
      <c r="I489" s="58" t="s">
        <v>8430</v>
      </c>
    </row>
    <row r="490" spans="1:9" ht="25" x14ac:dyDescent="0.35">
      <c r="A490" s="40" t="str">
        <f>IF(OR(_xlfn.XLOOKUP("06900.09d1System.2",Assessment!H:H,Assessment!E:E)="yes"),"Yes","No")</f>
        <v>Yes</v>
      </c>
      <c r="B490" s="40" t="s">
        <v>7829</v>
      </c>
      <c r="C490" s="40" t="s">
        <v>8083</v>
      </c>
      <c r="D490" s="40" t="s">
        <v>8432</v>
      </c>
      <c r="E490" s="40" t="s">
        <v>8428</v>
      </c>
      <c r="H490" s="40" t="s">
        <v>8429</v>
      </c>
      <c r="I490" s="58" t="s">
        <v>8430</v>
      </c>
    </row>
    <row r="491" spans="1:9" ht="37.5" x14ac:dyDescent="0.35">
      <c r="A491" s="40" t="str">
        <f>IF(OR(_xlfn.XLOOKUP("06900.09d1System.2",Assessment!H:H,Assessment!E:E)="yes"),"Yes","No")</f>
        <v>Yes</v>
      </c>
      <c r="B491" s="40" t="s">
        <v>7829</v>
      </c>
      <c r="C491" s="40" t="s">
        <v>8083</v>
      </c>
      <c r="D491" s="40" t="s">
        <v>8433</v>
      </c>
      <c r="E491" s="40" t="s">
        <v>8428</v>
      </c>
      <c r="H491" s="58" t="s">
        <v>8434</v>
      </c>
      <c r="I491" s="58" t="s">
        <v>8435</v>
      </c>
    </row>
    <row r="492" spans="1:9" x14ac:dyDescent="0.35">
      <c r="A492" s="40" t="str">
        <f>IF(OR(_xlfn.XLOOKUP("07.07a1Organizational.8",Assessment!H:H,Assessment!E:E)="yes",_xlfn.XLOOKUP("0701.07a1Organizational.7",Assessment!H:H,Assessment!E:E)="yes",_xlfn.XLOOKUP("0704.07a1Organizational.8",Assessment!H:H,Assessment!E:E)="yes"),"Yes","No")</f>
        <v>Yes</v>
      </c>
      <c r="B492" s="40" t="s">
        <v>7829</v>
      </c>
      <c r="C492" s="40" t="s">
        <v>8083</v>
      </c>
      <c r="D492" s="40" t="s">
        <v>8436</v>
      </c>
      <c r="E492" s="40" t="s">
        <v>8437</v>
      </c>
      <c r="H492" s="40" t="s">
        <v>8416</v>
      </c>
      <c r="I492" s="40" t="s">
        <v>8438</v>
      </c>
    </row>
    <row r="493" spans="1:9" x14ac:dyDescent="0.35">
      <c r="A493" s="40" t="str">
        <f>IF(OR(_xlfn.XLOOKUP("0701.07a1Organizational.8",Assessment!H:H,Assessment!E:E)="yes"),"Yes","No")</f>
        <v>Yes</v>
      </c>
      <c r="B493" s="40" t="s">
        <v>7829</v>
      </c>
      <c r="C493" s="40" t="s">
        <v>8083</v>
      </c>
      <c r="D493" s="40" t="s">
        <v>8439</v>
      </c>
      <c r="E493" s="40" t="s">
        <v>8437</v>
      </c>
      <c r="H493" s="40" t="s">
        <v>8416</v>
      </c>
    </row>
    <row r="494" spans="1:9" x14ac:dyDescent="0.35">
      <c r="A494" s="40" t="str">
        <f>IF(OR(_xlfn.XLOOKUP("0732.09r1Organizational.3",Assessment!H:H,Assessment!E:E)="yes"),"Yes","No")</f>
        <v>Yes</v>
      </c>
      <c r="B494" s="40" t="s">
        <v>7829</v>
      </c>
      <c r="C494" s="40" t="s">
        <v>8083</v>
      </c>
      <c r="D494" s="40" t="s">
        <v>8440</v>
      </c>
      <c r="E494" s="40" t="s">
        <v>8441</v>
      </c>
      <c r="H494" s="40" t="s">
        <v>8442</v>
      </c>
    </row>
    <row r="495" spans="1:9" x14ac:dyDescent="0.35">
      <c r="A495" s="40" t="str">
        <f>IF(OR(_xlfn.XLOOKUP("0778.10m1Organizational.5",Assessment!H:H,Assessment!E:E)="yes"),"Yes","No")</f>
        <v>Yes</v>
      </c>
      <c r="B495" s="40" t="s">
        <v>7829</v>
      </c>
      <c r="C495" s="40" t="s">
        <v>8083</v>
      </c>
      <c r="D495" s="40" t="s">
        <v>8443</v>
      </c>
      <c r="E495" s="40" t="s">
        <v>8444</v>
      </c>
    </row>
    <row r="496" spans="1:9" x14ac:dyDescent="0.35">
      <c r="A496" s="40" t="str">
        <f>IF(OR(_xlfn.XLOOKUP("08.09m1Organizational.8",Assessment!H:H,Assessment!E:E)="yes"),"Yes","No")</f>
        <v>Yes</v>
      </c>
      <c r="B496" s="40" t="s">
        <v>7829</v>
      </c>
      <c r="C496" s="40" t="s">
        <v>8083</v>
      </c>
      <c r="D496" s="40" t="s">
        <v>8445</v>
      </c>
      <c r="E496" s="40" t="s">
        <v>8398</v>
      </c>
    </row>
    <row r="497" spans="1:9" x14ac:dyDescent="0.35">
      <c r="A497" s="40" t="str">
        <f>IF(OR(_xlfn.XLOOKUP("0802.01i1Organizational.2",Assessment!H:H,Assessment!E:E)="yes"),"Yes","No")</f>
        <v>Yes</v>
      </c>
      <c r="B497" s="40" t="s">
        <v>7829</v>
      </c>
      <c r="C497" s="40" t="s">
        <v>8083</v>
      </c>
      <c r="D497" s="40" t="s">
        <v>8446</v>
      </c>
      <c r="E497" s="40" t="s">
        <v>8447</v>
      </c>
    </row>
    <row r="498" spans="1:9" x14ac:dyDescent="0.35">
      <c r="A498" s="40" t="str">
        <f>IF(OR(_xlfn.XLOOKUP("0802.01i1Organizational.2",Assessment!H:H,Assessment!E:E)="yes"),"Yes","No")</f>
        <v>Yes</v>
      </c>
      <c r="B498" s="40" t="s">
        <v>7829</v>
      </c>
      <c r="C498" s="40" t="s">
        <v>8083</v>
      </c>
      <c r="D498" s="40" t="s">
        <v>8448</v>
      </c>
      <c r="E498" s="40" t="s">
        <v>8447</v>
      </c>
    </row>
    <row r="499" spans="1:9" x14ac:dyDescent="0.35">
      <c r="A499" s="40" t="str">
        <f>IF(OR(_xlfn.XLOOKUP("0802.01i1Organizational.2",Assessment!H:H,Assessment!E:E)="yes"),"Yes","No")</f>
        <v>Yes</v>
      </c>
      <c r="B499" s="40" t="s">
        <v>7829</v>
      </c>
      <c r="C499" s="40" t="s">
        <v>8083</v>
      </c>
      <c r="D499" s="40" t="s">
        <v>8449</v>
      </c>
      <c r="E499" s="40" t="s">
        <v>8447</v>
      </c>
    </row>
    <row r="500" spans="1:9" x14ac:dyDescent="0.35">
      <c r="A500" s="40" t="str">
        <f>IF(OR(_xlfn.XLOOKUP("0802.01i1Organizational.2",Assessment!H:H,Assessment!E:E)="yes"),"Yes","No")</f>
        <v>Yes</v>
      </c>
      <c r="B500" s="40" t="s">
        <v>7829</v>
      </c>
      <c r="C500" s="40" t="s">
        <v>8083</v>
      </c>
      <c r="D500" s="40" t="s">
        <v>8450</v>
      </c>
      <c r="E500" s="40" t="s">
        <v>8447</v>
      </c>
    </row>
    <row r="501" spans="1:9" ht="37.5" x14ac:dyDescent="0.35">
      <c r="A501" s="40" t="e">
        <f>IF(OR(_xlfn.XLOOKUP("0805.01m1Organizational.12",Assessment!H:H,Assessment!E:E)="yes",_xlfn.XLOOKUP("0819.09m2Organizational.11",Assessment!H:H,Assessment!E:E)="yes"),"Yes","No")</f>
        <v>#N/A</v>
      </c>
      <c r="B501" s="40" t="s">
        <v>7829</v>
      </c>
      <c r="C501" s="40" t="s">
        <v>8083</v>
      </c>
      <c r="D501" s="40" t="s">
        <v>8451</v>
      </c>
      <c r="E501" s="40" t="s">
        <v>8452</v>
      </c>
      <c r="H501" s="58" t="s">
        <v>8453</v>
      </c>
    </row>
    <row r="502" spans="1:9" ht="37.5" x14ac:dyDescent="0.35">
      <c r="A502" s="40" t="e">
        <f>IF(OR(_xlfn.XLOOKUP("0805.01m1Organizational.12",Assessment!H:H,Assessment!E:E)="yes",_xlfn.XLOOKUP("0830.09m3Organizational.1012",Assessment!H:H,Assessment!E:E)="yes"),"Yes","No")</f>
        <v>#N/A</v>
      </c>
      <c r="B502" s="40" t="s">
        <v>7829</v>
      </c>
      <c r="C502" s="40" t="s">
        <v>8083</v>
      </c>
      <c r="D502" s="40" t="s">
        <v>8454</v>
      </c>
      <c r="E502" s="40" t="s">
        <v>8452</v>
      </c>
      <c r="H502" s="58" t="s">
        <v>8455</v>
      </c>
    </row>
    <row r="503" spans="1:9" x14ac:dyDescent="0.35">
      <c r="A503" s="40" t="e">
        <f>IF(OR(_xlfn.XLOOKUP("0808.10b2System.3",Assessment!H:H,Assessment!E:E)="yes"),"Yes","No")</f>
        <v>#N/A</v>
      </c>
      <c r="B503" s="40" t="s">
        <v>7829</v>
      </c>
      <c r="C503" s="40" t="s">
        <v>8083</v>
      </c>
      <c r="D503" s="40" t="s">
        <v>8456</v>
      </c>
      <c r="E503" s="40" t="s">
        <v>8457</v>
      </c>
    </row>
    <row r="504" spans="1:9" x14ac:dyDescent="0.35">
      <c r="A504" s="40" t="e">
        <f>IF(OR(_xlfn.XLOOKUP("0808.10b2System.3",Assessment!H:H,Assessment!E:E)="yes"),"Yes","No")</f>
        <v>#N/A</v>
      </c>
      <c r="B504" s="40" t="s">
        <v>7829</v>
      </c>
      <c r="C504" s="40" t="s">
        <v>8083</v>
      </c>
      <c r="D504" s="40" t="s">
        <v>8458</v>
      </c>
      <c r="E504" s="40" t="s">
        <v>8457</v>
      </c>
    </row>
    <row r="505" spans="1:9" x14ac:dyDescent="0.35">
      <c r="A505" s="40" t="str">
        <f>IF(OR(_xlfn.XLOOKUP("0815.01o1Organizational.1",Assessment!H:H,Assessment!E:E)="yes"),"Yes","No")</f>
        <v>Yes</v>
      </c>
      <c r="B505" s="40" t="s">
        <v>7829</v>
      </c>
      <c r="C505" s="40" t="s">
        <v>8083</v>
      </c>
      <c r="D505" s="40" t="s">
        <v>8459</v>
      </c>
      <c r="E505" s="40" t="s">
        <v>8460</v>
      </c>
      <c r="H505" s="40" t="s">
        <v>8461</v>
      </c>
    </row>
    <row r="506" spans="1:9" x14ac:dyDescent="0.35">
      <c r="A506" s="40" t="str">
        <f>IF(OR(_xlfn.XLOOKUP("0815.01o1Organizational.1",Assessment!H:H,Assessment!E:E)="yes"),"Yes","No")</f>
        <v>Yes</v>
      </c>
      <c r="B506" s="40" t="s">
        <v>7829</v>
      </c>
      <c r="C506" s="40" t="s">
        <v>8083</v>
      </c>
      <c r="D506" s="40" t="s">
        <v>8462</v>
      </c>
      <c r="E506" s="40" t="s">
        <v>8460</v>
      </c>
    </row>
    <row r="507" spans="1:9" x14ac:dyDescent="0.35">
      <c r="A507" s="40" t="str">
        <f>IF(OR(_xlfn.XLOOKUP("0815.01o1Organizational.1",Assessment!H:H,Assessment!E:E)="yes"),"Yes","No")</f>
        <v>Yes</v>
      </c>
      <c r="B507" s="40" t="s">
        <v>7829</v>
      </c>
      <c r="C507" s="40" t="s">
        <v>8083</v>
      </c>
      <c r="D507" s="40" t="s">
        <v>8463</v>
      </c>
      <c r="E507" s="40" t="s">
        <v>8460</v>
      </c>
    </row>
    <row r="508" spans="1:9" x14ac:dyDescent="0.35">
      <c r="A508" s="40" t="str">
        <f>IF(OR(_xlfn.XLOOKUP("0815.01o1Organizational.1",Assessment!H:H,Assessment!E:E)="yes"),"Yes","No")</f>
        <v>Yes</v>
      </c>
      <c r="B508" s="40" t="s">
        <v>7829</v>
      </c>
      <c r="C508" s="40" t="s">
        <v>8083</v>
      </c>
      <c r="D508" s="40" t="s">
        <v>8464</v>
      </c>
      <c r="E508" s="40" t="s">
        <v>8460</v>
      </c>
    </row>
    <row r="509" spans="1:9" x14ac:dyDescent="0.35">
      <c r="A509" s="40" t="str">
        <f>IF(OR(_xlfn.XLOOKUP("0815.01o1Organizational.1",Assessment!H:H,Assessment!E:E)="yes"),"Yes","No")</f>
        <v>Yes</v>
      </c>
      <c r="B509" s="40" t="s">
        <v>7829</v>
      </c>
      <c r="C509" s="40" t="s">
        <v>8083</v>
      </c>
      <c r="D509" s="40" t="s">
        <v>8465</v>
      </c>
      <c r="E509" s="40" t="s">
        <v>8460</v>
      </c>
    </row>
    <row r="510" spans="1:9" x14ac:dyDescent="0.35">
      <c r="A510" s="40" t="str">
        <f>IF(OR(_xlfn.XLOOKUP("0820.01k1System.3",Assessment!H:H,Assessment!E:E)="yes"),"Yes","No")</f>
        <v>Yes</v>
      </c>
      <c r="B510" s="40" t="s">
        <v>7829</v>
      </c>
      <c r="C510" s="40" t="s">
        <v>8083</v>
      </c>
      <c r="D510" s="40" t="s">
        <v>8466</v>
      </c>
      <c r="E510" s="40" t="s">
        <v>8398</v>
      </c>
    </row>
    <row r="511" spans="1:9" x14ac:dyDescent="0.35">
      <c r="A511" s="40" t="e">
        <f>IF(OR(_xlfn.XLOOKUP("0820.01k1System.3",Assessment!H:H,Assessment!E:E)="yes",_xlfn.XLOOKUP("1121.01j3Organizational.2",Assessment!H:H,Assessment!E:E)="yes",_xlfn.XLOOKUP("1175.01j2Organizational.9",Assessment!H:H,Assessment!E:E)="yes",_xlfn.XLOOKUP("1179.01j3Organizational.1",Assessment!H:H,Assessment!E:E)="yes"),"Yes","No")</f>
        <v>#N/A</v>
      </c>
      <c r="B511" s="40" t="s">
        <v>7829</v>
      </c>
      <c r="C511" s="40" t="s">
        <v>8083</v>
      </c>
      <c r="D511" s="40" t="s">
        <v>8467</v>
      </c>
      <c r="E511" s="40" t="s">
        <v>8398</v>
      </c>
    </row>
    <row r="512" spans="1:9" x14ac:dyDescent="0.35">
      <c r="A512" s="40" t="e">
        <f>IF(OR(_xlfn.XLOOKUP("0825.09m1Organizational.14",Assessment!H:H,Assessment!E:E)="yes",_xlfn.XLOOKUP("1271.09ad2System.1",Assessment!H:H,Assessment!E:E)="yes"),"Yes","No")</f>
        <v>#N/A</v>
      </c>
      <c r="B512" s="40" t="s">
        <v>7829</v>
      </c>
      <c r="C512" s="40" t="s">
        <v>8083</v>
      </c>
      <c r="D512" s="40" t="s">
        <v>8468</v>
      </c>
      <c r="E512" s="40" t="s">
        <v>8398</v>
      </c>
      <c r="H512" s="40" t="s">
        <v>8469</v>
      </c>
      <c r="I512" s="40" t="s">
        <v>8469</v>
      </c>
    </row>
    <row r="513" spans="1:9" x14ac:dyDescent="0.35">
      <c r="A513" s="40" t="e">
        <f>IF(OR(_xlfn.XLOOKUP("0825.09m1Organizational.14",Assessment!H:H,Assessment!E:E)="yes",_xlfn.XLOOKUP("1220.09ab3System.56",Assessment!H:H,Assessment!E:E)="yes"),"Yes","No")</f>
        <v>#N/A</v>
      </c>
      <c r="B513" s="40" t="s">
        <v>7829</v>
      </c>
      <c r="C513" s="40" t="s">
        <v>8083</v>
      </c>
      <c r="D513" s="40" t="s">
        <v>8470</v>
      </c>
      <c r="E513" s="40" t="s">
        <v>8398</v>
      </c>
      <c r="H513" s="40" t="s">
        <v>8469</v>
      </c>
      <c r="I513" s="40" t="s">
        <v>8469</v>
      </c>
    </row>
    <row r="514" spans="1:9" x14ac:dyDescent="0.35">
      <c r="A514" s="40" t="str">
        <f>IF(OR(_xlfn.XLOOKUP("0825.09m1Organizational.14",Assessment!H:H,Assessment!E:E)="yes"),"Yes","No")</f>
        <v>Yes</v>
      </c>
      <c r="B514" s="40" t="s">
        <v>7829</v>
      </c>
      <c r="C514" s="40" t="s">
        <v>8083</v>
      </c>
      <c r="D514" s="40" t="s">
        <v>8471</v>
      </c>
      <c r="E514" s="40" t="s">
        <v>8398</v>
      </c>
      <c r="H514" s="40" t="s">
        <v>8469</v>
      </c>
      <c r="I514" s="40" t="s">
        <v>8469</v>
      </c>
    </row>
    <row r="515" spans="1:9" x14ac:dyDescent="0.35">
      <c r="A515" s="40" t="e">
        <f>IF(OR(_xlfn.XLOOKUP("0825.09m1Organizational.14",Assessment!H:H,Assessment!E:E)="yes",_xlfn.XLOOKUP("1271.09ad2System.1",Assessment!H:H,Assessment!E:E)="yes",_xlfn.XLOOKUP("1512.11a2Organizational.8",Assessment!H:H,Assessment!E:E)="yes",_xlfn.XLOOKUP("15.11aNIST80053Organizational.6",Assessment!H:H,Assessment!E:E)="yes"),"Yes","No")</f>
        <v>#N/A</v>
      </c>
      <c r="B515" s="40" t="s">
        <v>7829</v>
      </c>
      <c r="C515" s="40" t="s">
        <v>8083</v>
      </c>
      <c r="D515" s="40" t="s">
        <v>8472</v>
      </c>
      <c r="E515" s="40" t="s">
        <v>8398</v>
      </c>
      <c r="H515" s="40" t="s">
        <v>8469</v>
      </c>
      <c r="I515" s="40" t="s">
        <v>8469</v>
      </c>
    </row>
    <row r="516" spans="1:9" x14ac:dyDescent="0.35">
      <c r="A516" s="40" t="str">
        <f>IF(OR(_xlfn.XLOOKUP("0825.09m1Organizational.14",Assessment!H:H,Assessment!E:E)="yes"),"Yes","No")</f>
        <v>Yes</v>
      </c>
      <c r="B516" s="40" t="s">
        <v>7829</v>
      </c>
      <c r="C516" s="40" t="s">
        <v>8083</v>
      </c>
      <c r="D516" s="40" t="s">
        <v>8473</v>
      </c>
      <c r="E516" s="40" t="s">
        <v>8398</v>
      </c>
    </row>
    <row r="517" spans="1:9" x14ac:dyDescent="0.35">
      <c r="A517" s="40" t="e">
        <f>IF(OR(_xlfn.XLOOKUP("0835.09n1Organizational.1",Assessment!H:H,Assessment!E:E)="yes",_xlfn.XLOOKUP("0885.09n2Organizational.3",Assessment!H:H,Assessment!E:E)="yes"),"Yes","No")</f>
        <v>#N/A</v>
      </c>
      <c r="B517" s="40" t="s">
        <v>7829</v>
      </c>
      <c r="C517" s="40" t="s">
        <v>8083</v>
      </c>
      <c r="D517" s="40" t="s">
        <v>8474</v>
      </c>
      <c r="E517" s="40" t="s">
        <v>8475</v>
      </c>
    </row>
    <row r="518" spans="1:9" x14ac:dyDescent="0.35">
      <c r="A518" s="40" t="e">
        <f>IF(OR(_xlfn.XLOOKUP("0835.09n1Organizational.1",Assessment!H:H,Assessment!E:E)="yes"),"Yes","No")</f>
        <v>#N/A</v>
      </c>
      <c r="B518" s="40" t="s">
        <v>7829</v>
      </c>
      <c r="C518" s="40" t="s">
        <v>8083</v>
      </c>
      <c r="D518" s="40" t="s">
        <v>8476</v>
      </c>
      <c r="E518" s="40" t="s">
        <v>8475</v>
      </c>
    </row>
    <row r="519" spans="1:9" x14ac:dyDescent="0.35">
      <c r="A519" s="40" t="str">
        <f>IF(OR(_xlfn.XLOOKUP("0905.10g1Organizational.12",Assessment!H:H,Assessment!E:E)="yes"),"Yes","No")</f>
        <v>Yes</v>
      </c>
      <c r="B519" s="40" t="s">
        <v>7829</v>
      </c>
      <c r="C519" s="40" t="s">
        <v>8083</v>
      </c>
      <c r="D519" s="40" t="s">
        <v>8477</v>
      </c>
      <c r="E519" s="40" t="s">
        <v>8478</v>
      </c>
    </row>
    <row r="520" spans="1:9" x14ac:dyDescent="0.35">
      <c r="A520" s="40" t="str">
        <f>IF(OR(_xlfn.XLOOKUP("0905.10g1Organizational.12",Assessment!H:H,Assessment!E:E)="yes"),"Yes","No")</f>
        <v>Yes</v>
      </c>
      <c r="B520" s="40" t="s">
        <v>7829</v>
      </c>
      <c r="C520" s="40" t="s">
        <v>8083</v>
      </c>
      <c r="D520" s="40" t="s">
        <v>8479</v>
      </c>
      <c r="E520" s="40" t="s">
        <v>8478</v>
      </c>
    </row>
    <row r="521" spans="1:9" x14ac:dyDescent="0.35">
      <c r="A521" s="40" t="str">
        <f>IF(OR(_xlfn.XLOOKUP("0905.10g1Organizational.12",Assessment!H:H,Assessment!E:E)="yes"),"Yes","No")</f>
        <v>Yes</v>
      </c>
      <c r="B521" s="40" t="s">
        <v>7829</v>
      </c>
      <c r="C521" s="40" t="s">
        <v>8083</v>
      </c>
      <c r="D521" s="40" t="s">
        <v>8480</v>
      </c>
      <c r="E521" s="40" t="s">
        <v>8478</v>
      </c>
    </row>
    <row r="522" spans="1:9" ht="37.5" x14ac:dyDescent="0.35">
      <c r="A522" s="40" t="e">
        <f>IF(OR(_xlfn.XLOOKUP("0862.09m2Organizational.8",Assessment!H:H,Assessment!E:E)="yes",_xlfn.XLOOKUP("0913.09s1Organizational.5",Assessment!H:H,Assessment!E:E)="yes",_xlfn.XLOOKUP("0945.09y1Organizational.3",Assessment!H:H,Assessment!E:E)="yes",_xlfn.XLOOKUP("0954.10d1System.1",Assessment!H:H,Assessment!E:E)="yes",_xlfn.XLOOKUP("19922.06f1Organizational.2",Assessment!H:H,Assessment!E:E)="yes",_xlfn.XLOOKUP("1911.06d2Organizational.3",Assessment!H:H,Assessment!E:E)="yes"),"Yes","No")</f>
        <v>#N/A</v>
      </c>
      <c r="B522" s="40" t="s">
        <v>7829</v>
      </c>
      <c r="C522" s="40" t="s">
        <v>8083</v>
      </c>
      <c r="D522" s="40" t="s">
        <v>8481</v>
      </c>
      <c r="E522" s="40" t="s">
        <v>8482</v>
      </c>
      <c r="H522" s="40" t="s">
        <v>8483</v>
      </c>
      <c r="I522" s="58" t="s">
        <v>8484</v>
      </c>
    </row>
    <row r="523" spans="1:9" x14ac:dyDescent="0.35">
      <c r="A523" s="40" t="str">
        <f>IF(OR(_xlfn.XLOOKUP("0931.09v1Organizational.8",Assessment!H:H,Assessment!E:E)="yes"),"Yes","No")</f>
        <v>Yes</v>
      </c>
      <c r="B523" s="40" t="s">
        <v>7829</v>
      </c>
      <c r="C523" s="40" t="s">
        <v>8083</v>
      </c>
      <c r="D523" s="40" t="s">
        <v>8485</v>
      </c>
      <c r="E523" s="40" t="s">
        <v>8486</v>
      </c>
      <c r="I523" s="40" t="s">
        <v>8487</v>
      </c>
    </row>
    <row r="524" spans="1:9" x14ac:dyDescent="0.35">
      <c r="A524" s="40" t="str">
        <f>IF(OR(_xlfn.XLOOKUP("0931.09v1Organizational.8",Assessment!H:H,Assessment!E:E)="yes"),"Yes","No")</f>
        <v>Yes</v>
      </c>
      <c r="B524" s="40" t="s">
        <v>7829</v>
      </c>
      <c r="C524" s="40" t="s">
        <v>8083</v>
      </c>
      <c r="D524" s="40" t="s">
        <v>8488</v>
      </c>
      <c r="E524" s="40" t="s">
        <v>8486</v>
      </c>
      <c r="I524" s="40" t="s">
        <v>8487</v>
      </c>
    </row>
    <row r="525" spans="1:9" x14ac:dyDescent="0.35">
      <c r="A525" s="40" t="str">
        <f>IF(OR(_xlfn.XLOOKUP("0931.09v1Organizational.8",Assessment!H:H,Assessment!E:E)="yes"),"Yes","No")</f>
        <v>Yes</v>
      </c>
      <c r="B525" s="40" t="s">
        <v>7829</v>
      </c>
      <c r="C525" s="40" t="s">
        <v>8083</v>
      </c>
      <c r="D525" s="40" t="s">
        <v>8489</v>
      </c>
      <c r="E525" s="40" t="s">
        <v>8486</v>
      </c>
      <c r="I525" s="40" t="s">
        <v>8487</v>
      </c>
    </row>
    <row r="526" spans="1:9" x14ac:dyDescent="0.35">
      <c r="A526" s="40" t="str">
        <f>IF(OR(_xlfn.XLOOKUP("0936.09w1Organizational.1",Assessment!H:H,Assessment!E:E)="yes"),"Yes","No")</f>
        <v>Yes</v>
      </c>
      <c r="B526" s="40" t="s">
        <v>7829</v>
      </c>
      <c r="C526" s="40" t="s">
        <v>8083</v>
      </c>
      <c r="D526" s="40" t="s">
        <v>8490</v>
      </c>
      <c r="E526" s="40" t="s">
        <v>8491</v>
      </c>
    </row>
    <row r="527" spans="1:9" x14ac:dyDescent="0.35">
      <c r="A527" s="40" t="str">
        <f>IF(OR(_xlfn.XLOOKUP("10.01d1System.10",Assessment!H:H,Assessment!E:E)="yes"),"Yes","No")</f>
        <v>Yes</v>
      </c>
      <c r="B527" s="40" t="s">
        <v>7829</v>
      </c>
      <c r="C527" s="40" t="s">
        <v>8083</v>
      </c>
      <c r="D527" s="40" t="s">
        <v>8492</v>
      </c>
      <c r="E527" s="40" t="s">
        <v>8493</v>
      </c>
      <c r="H527" s="40" t="s">
        <v>8494</v>
      </c>
    </row>
    <row r="528" spans="1:9" x14ac:dyDescent="0.35">
      <c r="A528" s="40" t="e">
        <f>IF(OR(_xlfn.XLOOKUP("1003.01d1System.3",Assessment!H:H,Assessment!E:E)="yes"),"Yes","No")</f>
        <v>#N/A</v>
      </c>
      <c r="B528" s="40" t="s">
        <v>7829</v>
      </c>
      <c r="C528" s="40" t="s">
        <v>8083</v>
      </c>
      <c r="D528" s="40" t="s">
        <v>8495</v>
      </c>
      <c r="E528" s="40" t="s">
        <v>8493</v>
      </c>
    </row>
    <row r="529" spans="1:9" x14ac:dyDescent="0.35">
      <c r="A529" s="40" t="e">
        <f>IF(OR(_xlfn.XLOOKUP("1004.01d2System.8",Assessment!H:H,Assessment!E:E)="yes"),"Yes","No")</f>
        <v>#N/A</v>
      </c>
      <c r="B529" s="40" t="s">
        <v>7829</v>
      </c>
      <c r="C529" s="40" t="s">
        <v>8083</v>
      </c>
      <c r="D529" s="40" t="s">
        <v>8496</v>
      </c>
      <c r="E529" s="40" t="s">
        <v>8493</v>
      </c>
    </row>
    <row r="530" spans="1:9" x14ac:dyDescent="0.35">
      <c r="A530" s="40" t="str">
        <f>IF(OR(_xlfn.XLOOKUP("1011.01f1Organizational.1",Assessment!H:H,Assessment!E:E)="yes"),"Yes","No")</f>
        <v>Yes</v>
      </c>
      <c r="B530" s="40" t="s">
        <v>7829</v>
      </c>
      <c r="C530" s="40" t="s">
        <v>8083</v>
      </c>
      <c r="D530" s="40" t="s">
        <v>8497</v>
      </c>
      <c r="E530" s="40" t="s">
        <v>8498</v>
      </c>
    </row>
    <row r="531" spans="1:9" x14ac:dyDescent="0.35">
      <c r="A531" s="40" t="str">
        <f>IF(OR(_xlfn.XLOOKUP("11.01p1System.5",Assessment!H:H,Assessment!E:E)="yes"),"Yes","No")</f>
        <v>Yes</v>
      </c>
      <c r="B531" s="40" t="s">
        <v>7829</v>
      </c>
      <c r="C531" s="40" t="s">
        <v>8083</v>
      </c>
      <c r="D531" s="40" t="s">
        <v>8499</v>
      </c>
      <c r="E531" s="40" t="s">
        <v>8500</v>
      </c>
      <c r="H531" s="40" t="s">
        <v>8501</v>
      </c>
      <c r="I531" s="40" t="s">
        <v>8502</v>
      </c>
    </row>
    <row r="532" spans="1:9" ht="62.5" x14ac:dyDescent="0.35">
      <c r="A532" s="40" t="e">
        <f>IF(OR(_xlfn.XLOOKUP("11.01q1System.3",Assessment!H:H,Assessment!E:E)="yes",_xlfn.XLOOKUP("11.01q1System.4",Assessment!H:H,Assessment!E:E)="yes",_xlfn.XLOOKUP("1121.01j3Organizational.2",Assessment!H:H,Assessment!E:E)="yes"),"Yes","No")</f>
        <v>#N/A</v>
      </c>
      <c r="B532" s="40" t="s">
        <v>7829</v>
      </c>
      <c r="C532" s="40" t="s">
        <v>8083</v>
      </c>
      <c r="D532" s="40" t="s">
        <v>8503</v>
      </c>
      <c r="E532" s="40" t="s">
        <v>8504</v>
      </c>
      <c r="H532" s="58" t="s">
        <v>8505</v>
      </c>
      <c r="I532" s="58" t="s">
        <v>8506</v>
      </c>
    </row>
    <row r="533" spans="1:9" ht="62.5" x14ac:dyDescent="0.35">
      <c r="A533" s="40" t="str">
        <f>IF(OR(_xlfn.XLOOKUP("11.01q1System.3",Assessment!H:H,Assessment!E:E)="yes"),"Yes","No")</f>
        <v>Yes</v>
      </c>
      <c r="B533" s="40" t="s">
        <v>7829</v>
      </c>
      <c r="C533" s="40" t="s">
        <v>8083</v>
      </c>
      <c r="D533" s="40" t="s">
        <v>8507</v>
      </c>
      <c r="E533" s="40" t="s">
        <v>8504</v>
      </c>
      <c r="H533" s="58" t="s">
        <v>8505</v>
      </c>
      <c r="I533" s="40" t="s">
        <v>8508</v>
      </c>
    </row>
    <row r="534" spans="1:9" ht="62.5" x14ac:dyDescent="0.35">
      <c r="A534" s="40" t="str">
        <f>IF(OR(_xlfn.XLOOKUP("11.01q1System.3",Assessment!H:H,Assessment!E:E)="yes",_xlfn.XLOOKUP("11.01q1System.4",Assessment!H:H,Assessment!E:E)="yes"),"Yes","No")</f>
        <v>Yes</v>
      </c>
      <c r="B534" s="40" t="s">
        <v>7829</v>
      </c>
      <c r="C534" s="40" t="s">
        <v>8083</v>
      </c>
      <c r="D534" s="40" t="s">
        <v>8509</v>
      </c>
      <c r="E534" s="40" t="s">
        <v>8504</v>
      </c>
      <c r="H534" s="58" t="s">
        <v>8505</v>
      </c>
      <c r="I534" s="58" t="s">
        <v>8506</v>
      </c>
    </row>
    <row r="535" spans="1:9" x14ac:dyDescent="0.35">
      <c r="A535" s="40" t="e">
        <f>IF(OR(_xlfn.XLOOKUP("1103.01a2Organizational.3",Assessment!H:H,Assessment!E:E)="yes"),"Yes","No")</f>
        <v>#N/A</v>
      </c>
      <c r="B535" s="40" t="s">
        <v>7829</v>
      </c>
      <c r="C535" s="40" t="s">
        <v>8083</v>
      </c>
      <c r="D535" s="40" t="s">
        <v>8510</v>
      </c>
      <c r="E535" s="40" t="s">
        <v>8511</v>
      </c>
    </row>
    <row r="536" spans="1:9" x14ac:dyDescent="0.35">
      <c r="A536" s="40" t="e">
        <f>IF(OR(_xlfn.XLOOKUP("1108.01b2System.5",Assessment!H:H,Assessment!E:E)="yes"),"Yes","No")</f>
        <v>#N/A</v>
      </c>
      <c r="B536" s="40" t="s">
        <v>7829</v>
      </c>
      <c r="C536" s="40" t="s">
        <v>8083</v>
      </c>
      <c r="D536" s="40" t="s">
        <v>8512</v>
      </c>
      <c r="E536" s="40" t="s">
        <v>8513</v>
      </c>
    </row>
    <row r="537" spans="1:9" x14ac:dyDescent="0.35">
      <c r="A537" s="40" t="e">
        <f>IF(OR(_xlfn.XLOOKUP("11111.01q2System.4",Assessment!H:H,Assessment!E:E)="yes"),"Yes","No")</f>
        <v>#N/A</v>
      </c>
      <c r="B537" s="40" t="s">
        <v>7829</v>
      </c>
      <c r="C537" s="40" t="s">
        <v>8083</v>
      </c>
      <c r="D537" s="40" t="s">
        <v>8514</v>
      </c>
      <c r="E537" s="40" t="s">
        <v>8504</v>
      </c>
    </row>
    <row r="538" spans="1:9" x14ac:dyDescent="0.35">
      <c r="A538" s="40" t="e">
        <f>IF(OR(_xlfn.XLOOKUP("11111.01q2System.4",Assessment!H:H,Assessment!E:E)="yes",_xlfn.XLOOKUP("0948.09y2Organizational.3",Assessment!H:H,Assessment!E:E)="yes"),"Yes","No")</f>
        <v>#N/A</v>
      </c>
      <c r="B538" s="40" t="s">
        <v>7829</v>
      </c>
      <c r="C538" s="40" t="s">
        <v>8083</v>
      </c>
      <c r="D538" s="40" t="s">
        <v>8515</v>
      </c>
      <c r="E538" s="40" t="s">
        <v>8504</v>
      </c>
    </row>
    <row r="539" spans="1:9" x14ac:dyDescent="0.35">
      <c r="A539" s="40" t="e">
        <f>IF(OR(_xlfn.XLOOKUP("11111.01q2System.4",Assessment!H:H,Assessment!E:E)="yes"),"Yes","No")</f>
        <v>#N/A</v>
      </c>
      <c r="B539" s="40" t="s">
        <v>7829</v>
      </c>
      <c r="C539" s="40" t="s">
        <v>8083</v>
      </c>
      <c r="D539" s="40" t="s">
        <v>8516</v>
      </c>
      <c r="E539" s="40" t="s">
        <v>8504</v>
      </c>
    </row>
    <row r="540" spans="1:9" x14ac:dyDescent="0.35">
      <c r="A540" s="40" t="e">
        <f>IF(OR(_xlfn.XLOOKUP("11111.01q2System.4",Assessment!H:H,Assessment!E:E)="yes",_xlfn.XLOOKUP("0948.09y2Organizational.3",Assessment!H:H,Assessment!E:E)="yes"),"Yes","No")</f>
        <v>#N/A</v>
      </c>
      <c r="B540" s="40" t="s">
        <v>7829</v>
      </c>
      <c r="C540" s="40" t="s">
        <v>8083</v>
      </c>
      <c r="D540" s="40" t="s">
        <v>8517</v>
      </c>
      <c r="E540" s="40" t="s">
        <v>8504</v>
      </c>
    </row>
    <row r="541" spans="1:9" x14ac:dyDescent="0.35">
      <c r="A541" s="40" t="e">
        <f>IF(OR(_xlfn.XLOOKUP("11112.01q2System.12",Assessment!H:H,Assessment!E:E)="yes"),"Yes","No")</f>
        <v>#N/A</v>
      </c>
      <c r="B541" s="40" t="s">
        <v>7829</v>
      </c>
      <c r="C541" s="40" t="s">
        <v>8083</v>
      </c>
      <c r="D541" s="40" t="s">
        <v>8518</v>
      </c>
      <c r="E541" s="40" t="s">
        <v>8504</v>
      </c>
    </row>
    <row r="542" spans="1:9" x14ac:dyDescent="0.35">
      <c r="A542" s="40" t="e">
        <f>IF(OR(_xlfn.XLOOKUP("11112.01q2System.12",Assessment!H:H,Assessment!E:E)="yes"),"Yes","No")</f>
        <v>#N/A</v>
      </c>
      <c r="B542" s="40" t="s">
        <v>7829</v>
      </c>
      <c r="C542" s="40" t="s">
        <v>8083</v>
      </c>
      <c r="D542" s="40" t="s">
        <v>8519</v>
      </c>
      <c r="E542" s="40" t="s">
        <v>8504</v>
      </c>
    </row>
    <row r="543" spans="1:9" x14ac:dyDescent="0.35">
      <c r="A543" s="40" t="e">
        <f>IF(OR(_xlfn.XLOOKUP("11113.01q3System.3",Assessment!H:H,Assessment!E:E)="yes"),"Yes","No")</f>
        <v>#N/A</v>
      </c>
      <c r="B543" s="40" t="s">
        <v>7829</v>
      </c>
      <c r="C543" s="40" t="s">
        <v>8083</v>
      </c>
      <c r="D543" s="40" t="s">
        <v>8520</v>
      </c>
      <c r="E543" s="40" t="s">
        <v>8504</v>
      </c>
    </row>
    <row r="544" spans="1:9" x14ac:dyDescent="0.35">
      <c r="A544" s="40" t="e">
        <f>IF(OR(_xlfn.XLOOKUP("1114.01h1Organizational.123",Assessment!H:H,Assessment!E:E)="yes"),"Yes","No")</f>
        <v>#N/A</v>
      </c>
      <c r="B544" s="40" t="s">
        <v>7829</v>
      </c>
      <c r="C544" s="40" t="s">
        <v>8083</v>
      </c>
      <c r="D544" s="40" t="s">
        <v>8521</v>
      </c>
      <c r="E544" s="40" t="s">
        <v>8522</v>
      </c>
    </row>
    <row r="545" spans="1:9" x14ac:dyDescent="0.35">
      <c r="A545" s="40" t="e">
        <f>IF(OR(_xlfn.XLOOKUP("1114.01h1Organizational.123",Assessment!H:H,Assessment!E:E)="yes"),"Yes","No")</f>
        <v>#N/A</v>
      </c>
      <c r="B545" s="40" t="s">
        <v>7829</v>
      </c>
      <c r="C545" s="40" t="s">
        <v>8083</v>
      </c>
      <c r="D545" s="40" t="s">
        <v>8523</v>
      </c>
      <c r="E545" s="40" t="s">
        <v>8522</v>
      </c>
    </row>
    <row r="546" spans="1:9" x14ac:dyDescent="0.35">
      <c r="A546" s="40" t="e">
        <f>IF(OR(_xlfn.XLOOKUP("1114.01h1Organizational.123",Assessment!H:H,Assessment!E:E)="yes"),"Yes","No")</f>
        <v>#N/A</v>
      </c>
      <c r="B546" s="40" t="s">
        <v>7829</v>
      </c>
      <c r="C546" s="40" t="s">
        <v>8083</v>
      </c>
      <c r="D546" s="40" t="s">
        <v>8524</v>
      </c>
      <c r="E546" s="40" t="s">
        <v>8522</v>
      </c>
    </row>
    <row r="547" spans="1:9" x14ac:dyDescent="0.35">
      <c r="A547" s="40" t="str">
        <f>IF(OR(_xlfn.XLOOKUP("11149.02g1Organizational.2",Assessment!H:H,Assessment!E:E)="yes"),"Yes","No")</f>
        <v>Yes</v>
      </c>
      <c r="B547" s="40" t="s">
        <v>7829</v>
      </c>
      <c r="C547" s="40" t="s">
        <v>8083</v>
      </c>
      <c r="D547" s="40" t="s">
        <v>8525</v>
      </c>
      <c r="E547" s="40" t="s">
        <v>8526</v>
      </c>
    </row>
    <row r="548" spans="1:9" x14ac:dyDescent="0.35">
      <c r="A548" s="40" t="e">
        <f>IF(OR(_xlfn.XLOOKUP("11219.01b2System.8",Assessment!H:H,Assessment!E:E)="yes"),"Yes","No")</f>
        <v>#N/A</v>
      </c>
      <c r="B548" s="40" t="s">
        <v>7829</v>
      </c>
      <c r="C548" s="40" t="s">
        <v>8083</v>
      </c>
      <c r="D548" s="40" t="s">
        <v>8527</v>
      </c>
      <c r="E548" s="40" t="s">
        <v>8513</v>
      </c>
      <c r="H548" s="40" t="s">
        <v>8442</v>
      </c>
    </row>
    <row r="549" spans="1:9" x14ac:dyDescent="0.35">
      <c r="A549" s="40" t="e">
        <f>IF(OR(_xlfn.XLOOKUP("1128.01q2System.5",Assessment!H:H,Assessment!E:E)="yes"),"Yes","No")</f>
        <v>#N/A</v>
      </c>
      <c r="B549" s="40" t="s">
        <v>7829</v>
      </c>
      <c r="C549" s="40" t="s">
        <v>8083</v>
      </c>
      <c r="D549" s="40" t="s">
        <v>8528</v>
      </c>
      <c r="E549" s="40" t="s">
        <v>8504</v>
      </c>
    </row>
    <row r="550" spans="1:9" x14ac:dyDescent="0.35">
      <c r="A550" s="40" t="e">
        <f>IF(OR(_xlfn.XLOOKUP("1143.01c1System.123",Assessment!H:H,Assessment!E:E)="yes",_xlfn.XLOOKUP("0214.09j2Organizational.9",Assessment!H:H,Assessment!E:E)="yes",_xlfn.XLOOKUP("02.09jNIST80053Organizational.4",Assessment!H:H,Assessment!E:E)="yes"),"Yes","No")</f>
        <v>#N/A</v>
      </c>
      <c r="B550" s="40" t="s">
        <v>7829</v>
      </c>
      <c r="C550" s="40" t="s">
        <v>8083</v>
      </c>
      <c r="D550" s="40" t="s">
        <v>8529</v>
      </c>
      <c r="E550" s="40" t="s">
        <v>8530</v>
      </c>
    </row>
    <row r="551" spans="1:9" x14ac:dyDescent="0.35">
      <c r="A551" s="40" t="e">
        <f>IF(OR(_xlfn.XLOOKUP("1148.01c2System.78",Assessment!H:H,Assessment!E:E)="yes"),"Yes","No")</f>
        <v>#N/A</v>
      </c>
      <c r="B551" s="40" t="s">
        <v>7829</v>
      </c>
      <c r="C551" s="40" t="s">
        <v>8083</v>
      </c>
      <c r="D551" s="40" t="s">
        <v>8531</v>
      </c>
      <c r="E551" s="40" t="s">
        <v>8530</v>
      </c>
    </row>
    <row r="552" spans="1:9" x14ac:dyDescent="0.35">
      <c r="A552" s="40" t="e">
        <f>IF(OR(_xlfn.XLOOKUP("1149.01c2System.9",Assessment!H:H,Assessment!E:E)="yes"),"Yes","No")</f>
        <v>#N/A</v>
      </c>
      <c r="B552" s="40" t="s">
        <v>7829</v>
      </c>
      <c r="C552" s="40" t="s">
        <v>8083</v>
      </c>
      <c r="D552" s="40" t="s">
        <v>8532</v>
      </c>
      <c r="E552" s="40" t="s">
        <v>8530</v>
      </c>
    </row>
    <row r="553" spans="1:9" x14ac:dyDescent="0.35">
      <c r="A553" s="40" t="str">
        <f>IF(OR(_xlfn.XLOOKUP("1151.01c1System.2",Assessment!H:H,Assessment!E:E)="yes"),"Yes","No")</f>
        <v>Yes</v>
      </c>
      <c r="B553" s="40" t="s">
        <v>7829</v>
      </c>
      <c r="C553" s="40" t="s">
        <v>8083</v>
      </c>
      <c r="D553" s="40" t="s">
        <v>8533</v>
      </c>
      <c r="E553" s="40" t="s">
        <v>8530</v>
      </c>
    </row>
    <row r="554" spans="1:9" x14ac:dyDescent="0.35">
      <c r="A554" s="40" t="e">
        <f>IF(OR(_xlfn.XLOOKUP("1167.01e2System.1",Assessment!H:H,Assessment!E:E)="yes",_xlfn.XLOOKUP("11.01eNIST800171System.3",Assessment!H:H,Assessment!E:E)="yes"),"Yes","No")</f>
        <v>#N/A</v>
      </c>
      <c r="B554" s="40" t="s">
        <v>7829</v>
      </c>
      <c r="C554" s="40" t="s">
        <v>8083</v>
      </c>
      <c r="D554" s="40" t="s">
        <v>8534</v>
      </c>
      <c r="E554" s="40" t="s">
        <v>8535</v>
      </c>
    </row>
    <row r="555" spans="1:9" x14ac:dyDescent="0.35">
      <c r="A555" s="40" t="str">
        <f>IF(OR(_xlfn.XLOOKUP("1194.01l1Organizational.2",Assessment!H:H,Assessment!E:E)="yes"),"Yes","No")</f>
        <v>Yes</v>
      </c>
      <c r="B555" s="40" t="s">
        <v>7829</v>
      </c>
      <c r="C555" s="40" t="s">
        <v>8083</v>
      </c>
      <c r="D555" s="40" t="s">
        <v>8536</v>
      </c>
      <c r="E555" s="40" t="s">
        <v>8537</v>
      </c>
    </row>
    <row r="556" spans="1:9" x14ac:dyDescent="0.35">
      <c r="A556" s="40" t="str">
        <f>IF(OR(_xlfn.XLOOKUP("1194.01l1Organizational.2",Assessment!H:H,Assessment!E:E)="yes"),"Yes","No")</f>
        <v>Yes</v>
      </c>
      <c r="B556" s="40" t="s">
        <v>7829</v>
      </c>
      <c r="C556" s="40" t="s">
        <v>8083</v>
      </c>
      <c r="D556" s="40" t="s">
        <v>8538</v>
      </c>
      <c r="E556" s="40" t="s">
        <v>8537</v>
      </c>
    </row>
    <row r="557" spans="1:9" x14ac:dyDescent="0.35">
      <c r="A557" s="40" t="str">
        <f>IF(OR(_xlfn.XLOOKUP("1194.01l1Organizational.2",Assessment!H:H,Assessment!E:E)="yes"),"Yes","No")</f>
        <v>Yes</v>
      </c>
      <c r="B557" s="40" t="s">
        <v>7829</v>
      </c>
      <c r="C557" s="40" t="s">
        <v>8083</v>
      </c>
      <c r="D557" s="40" t="s">
        <v>8539</v>
      </c>
      <c r="E557" s="40" t="s">
        <v>8537</v>
      </c>
    </row>
    <row r="558" spans="1:9" ht="62.5" x14ac:dyDescent="0.35">
      <c r="A558" s="40" t="e">
        <f>IF(OR(_xlfn.XLOOKUP("1203.09aa1System.2",Assessment!H:H,Assessment!E:E)="yes"),"Yes","No")</f>
        <v>#N/A</v>
      </c>
      <c r="B558" s="40" t="s">
        <v>7829</v>
      </c>
      <c r="C558" s="40" t="s">
        <v>8083</v>
      </c>
      <c r="D558" s="40" t="s">
        <v>8540</v>
      </c>
      <c r="E558" s="40" t="s">
        <v>8541</v>
      </c>
      <c r="H558" s="58" t="s">
        <v>8542</v>
      </c>
      <c r="I558" s="40" t="s">
        <v>8543</v>
      </c>
    </row>
    <row r="559" spans="1:9" ht="62.5" x14ac:dyDescent="0.35">
      <c r="A559" s="40" t="e">
        <f>IF(OR(_xlfn.XLOOKUP("1203.09aa1System.2",Assessment!H:H,Assessment!E:E)="yes"),"Yes","No")</f>
        <v>#N/A</v>
      </c>
      <c r="B559" s="40" t="s">
        <v>7829</v>
      </c>
      <c r="C559" s="40" t="s">
        <v>8083</v>
      </c>
      <c r="D559" s="40" t="s">
        <v>8544</v>
      </c>
      <c r="E559" s="40" t="s">
        <v>8541</v>
      </c>
      <c r="H559" s="58" t="s">
        <v>8542</v>
      </c>
      <c r="I559" s="40" t="s">
        <v>8543</v>
      </c>
    </row>
    <row r="560" spans="1:9" ht="62.5" x14ac:dyDescent="0.35">
      <c r="A560" s="40" t="e">
        <f>IF(OR(_xlfn.XLOOKUP("1203.09aa1System.2",Assessment!H:H,Assessment!E:E)="yes"),"Yes","No")</f>
        <v>#N/A</v>
      </c>
      <c r="B560" s="40" t="s">
        <v>7829</v>
      </c>
      <c r="C560" s="40" t="s">
        <v>8083</v>
      </c>
      <c r="D560" s="40" t="s">
        <v>8545</v>
      </c>
      <c r="E560" s="40" t="s">
        <v>8541</v>
      </c>
      <c r="H560" s="58" t="s">
        <v>8542</v>
      </c>
      <c r="I560" s="40" t="s">
        <v>8543</v>
      </c>
    </row>
    <row r="561" spans="1:9" ht="62.5" x14ac:dyDescent="0.35">
      <c r="A561" s="40" t="e">
        <f>IF(OR(_xlfn.XLOOKUP("1203.09aa1System.2",Assessment!H:H,Assessment!E:E)="yes"),"Yes","No")</f>
        <v>#N/A</v>
      </c>
      <c r="B561" s="40" t="s">
        <v>7829</v>
      </c>
      <c r="C561" s="40" t="s">
        <v>8083</v>
      </c>
      <c r="D561" s="40" t="s">
        <v>8546</v>
      </c>
      <c r="E561" s="40" t="s">
        <v>8541</v>
      </c>
      <c r="H561" s="58" t="s">
        <v>8542</v>
      </c>
      <c r="I561" s="40" t="s">
        <v>8543</v>
      </c>
    </row>
    <row r="562" spans="1:9" x14ac:dyDescent="0.35">
      <c r="A562" s="40" t="e">
        <f>IF(OR(_xlfn.XLOOKUP("1213.09ab2System.6",Assessment!H:H,Assessment!E:E)="yes",_xlfn.XLOOKUP("12100.09ab2System.15",Assessment!H:H,Assessment!E:E)="yes",_xlfn.XLOOKUP("12103.09abTexasSystem.1",Assessment!H:H,Assessment!E:E)="yes",_xlfn.XLOOKUP("1215.09ab2System.7",Assessment!H:H,Assessment!E:E)="yes",_xlfn.XLOOKUP("0108.02d2Organizational.6",Assessment!H:H,Assessment!E:E)="yes",_xlfn.XLOOKUP("1217.09ab3System.3",Assessment!H:H,Assessment!E:E)="yes",_xlfn.XLOOKUP("1218.09ab3System.47",Assessment!H:H,Assessment!E:E)="yes",_xlfn.XLOOKUP("1219.09ab3System.10",Assessment!H:H,Assessment!E:E)="yes",_xlfn.XLOOKUP("1220.09ab3System.56",Assessment!H:H,Assessment!E:E)="yes",_xlfn.XLOOKUP("1222.09ab3System.8",Assessment!H:H,Assessment!E:E)="yes",_xlfn.XLOOKUP("1244.09aa3System.5",Assessment!H:H,Assessment!E:E)="yes"),"Yes","No")</f>
        <v>#N/A</v>
      </c>
      <c r="B562" s="40" t="s">
        <v>7829</v>
      </c>
      <c r="C562" s="40" t="s">
        <v>8083</v>
      </c>
      <c r="D562" s="40" t="s">
        <v>8547</v>
      </c>
      <c r="E562" s="40" t="s">
        <v>8548</v>
      </c>
    </row>
    <row r="563" spans="1:9" x14ac:dyDescent="0.35">
      <c r="A563" s="40" t="e">
        <f>IF(OR(_xlfn.XLOOKUP("1213.09ab2System.6",Assessment!H:H,Assessment!E:E)="yes"),"Yes","No")</f>
        <v>#N/A</v>
      </c>
      <c r="B563" s="40" t="s">
        <v>7829</v>
      </c>
      <c r="C563" s="40" t="s">
        <v>8083</v>
      </c>
      <c r="D563" s="40" t="s">
        <v>8549</v>
      </c>
      <c r="E563" s="40" t="s">
        <v>8548</v>
      </c>
      <c r="H563" s="40" t="s">
        <v>8550</v>
      </c>
    </row>
    <row r="564" spans="1:9" x14ac:dyDescent="0.35">
      <c r="A564" s="40" t="e">
        <f>IF(OR(_xlfn.XLOOKUP("1213.09ab2System.6",Assessment!H:H,Assessment!E:E)="yes"),"Yes","No")</f>
        <v>#N/A</v>
      </c>
      <c r="B564" s="40" t="s">
        <v>7829</v>
      </c>
      <c r="C564" s="40" t="s">
        <v>8083</v>
      </c>
      <c r="D564" s="40" t="s">
        <v>8551</v>
      </c>
      <c r="E564" s="40" t="s">
        <v>8548</v>
      </c>
    </row>
    <row r="565" spans="1:9" x14ac:dyDescent="0.35">
      <c r="A565" s="40" t="e">
        <f>IF(OR(_xlfn.XLOOKUP("1214.09ab2System.3456",Assessment!H:H,Assessment!E:E)="yes",_xlfn.XLOOKUP("1152.01c3System.2",Assessment!H:H,Assessment!E:E)="yes",_xlfn.XLOOKUP("1271.09ad2System.1",Assessment!H:H,Assessment!E:E)="yes"),"Yes","No")</f>
        <v>#N/A</v>
      </c>
      <c r="B565" s="40" t="s">
        <v>7829</v>
      </c>
      <c r="C565" s="40" t="s">
        <v>8083</v>
      </c>
      <c r="D565" s="40" t="s">
        <v>8552</v>
      </c>
      <c r="E565" s="40" t="s">
        <v>8548</v>
      </c>
    </row>
    <row r="566" spans="1:9" x14ac:dyDescent="0.35">
      <c r="A566" s="40" t="e">
        <f>IF(OR(_xlfn.XLOOKUP("1214.09ab2System.3456",Assessment!H:H,Assessment!E:E)="yes",_xlfn.XLOOKUP("1212.09ab2System.5",Assessment!H:H,Assessment!E:E)="yes",_xlfn.XLOOKUP("1120.09ab3System.9",Assessment!H:H,Assessment!E:E)="yes",_xlfn.XLOOKUP("1179.01j3Organizational.1",Assessment!H:H,Assessment!E:E)="yes"),"Yes","No")</f>
        <v>#N/A</v>
      </c>
      <c r="B566" s="40" t="s">
        <v>7829</v>
      </c>
      <c r="C566" s="40" t="s">
        <v>8083</v>
      </c>
      <c r="D566" s="40" t="s">
        <v>8553</v>
      </c>
      <c r="E566" s="40" t="s">
        <v>8548</v>
      </c>
    </row>
    <row r="567" spans="1:9" x14ac:dyDescent="0.35">
      <c r="A567" s="40" t="str">
        <f>IF(OR(_xlfn.XLOOKUP("1223.09ac1System.1",Assessment!H:H,Assessment!E:E)="yes"),"Yes","No")</f>
        <v>Yes</v>
      </c>
      <c r="B567" s="40" t="s">
        <v>7829</v>
      </c>
      <c r="C567" s="40" t="s">
        <v>8083</v>
      </c>
      <c r="D567" s="40" t="s">
        <v>8554</v>
      </c>
      <c r="E567" s="40" t="s">
        <v>8555</v>
      </c>
      <c r="I567" s="40" t="s">
        <v>8556</v>
      </c>
    </row>
    <row r="568" spans="1:9" x14ac:dyDescent="0.35">
      <c r="A568" s="40" t="e">
        <f>IF(OR(_xlfn.XLOOKUP("1239.09aa1System.4",Assessment!H:H,Assessment!E:E)="yes"),"Yes","No")</f>
        <v>#N/A</v>
      </c>
      <c r="B568" s="40" t="s">
        <v>7829</v>
      </c>
      <c r="C568" s="40" t="s">
        <v>8083</v>
      </c>
      <c r="D568" s="40" t="s">
        <v>8557</v>
      </c>
      <c r="E568" s="40" t="s">
        <v>8541</v>
      </c>
    </row>
    <row r="569" spans="1:9" x14ac:dyDescent="0.35">
      <c r="A569" s="40" t="str">
        <f>IF(OR(_xlfn.XLOOKUP("13.02e1Organizational.6",Assessment!H:H,Assessment!E:E)="yes"),"Yes","No")</f>
        <v>Yes</v>
      </c>
      <c r="B569" s="40" t="s">
        <v>7829</v>
      </c>
      <c r="C569" s="40" t="s">
        <v>8083</v>
      </c>
      <c r="D569" s="40" t="s">
        <v>8558</v>
      </c>
      <c r="E569" s="40" t="s">
        <v>8559</v>
      </c>
    </row>
    <row r="570" spans="1:9" x14ac:dyDescent="0.35">
      <c r="A570" s="40" t="str">
        <f>IF(OR(_xlfn.XLOOKUP("13.02e1Organizational.6",Assessment!H:H,Assessment!E:E)="yes"),"Yes","No")</f>
        <v>Yes</v>
      </c>
      <c r="B570" s="40" t="s">
        <v>7829</v>
      </c>
      <c r="C570" s="40" t="s">
        <v>8083</v>
      </c>
      <c r="D570" s="40" t="s">
        <v>8560</v>
      </c>
      <c r="E570" s="40" t="s">
        <v>8559</v>
      </c>
    </row>
    <row r="571" spans="1:9" x14ac:dyDescent="0.35">
      <c r="A571" s="40" t="str">
        <f>IF(OR(_xlfn.XLOOKUP("13.02e1Organizational.6",Assessment!H:H,Assessment!E:E)="yes"),"Yes","No")</f>
        <v>Yes</v>
      </c>
      <c r="B571" s="40" t="s">
        <v>7829</v>
      </c>
      <c r="C571" s="40" t="s">
        <v>8083</v>
      </c>
      <c r="D571" s="40" t="s">
        <v>8561</v>
      </c>
      <c r="E571" s="40" t="s">
        <v>8559</v>
      </c>
    </row>
    <row r="572" spans="1:9" x14ac:dyDescent="0.35">
      <c r="A572" s="40" t="e">
        <f>IF(OR(_xlfn.XLOOKUP("1307.07c1Organizational.124",Assessment!H:H,Assessment!E:E)="yes",_xlfn.XLOOKUP("1308.09j1Organizational.5",Assessment!H:H,Assessment!E:E)="yes",_xlfn.XLOOKUP("1324.07c2Organizational.1",Assessment!H:H,Assessment!E:E)="yes",_xlfn.XLOOKUP("1875.08g2Organizational.3",Assessment!H:H,Assessment!E:E)="yes",_xlfn.XLOOKUP("1876.08g2Organizational.4",Assessment!H:H,Assessment!E:E)="yes",_xlfn.XLOOKUP("13.07cCMSOrganizational.3",Assessment!H:H,Assessment!E:E)="yes"),"Yes","No")</f>
        <v>#N/A</v>
      </c>
      <c r="B572" s="40" t="s">
        <v>7829</v>
      </c>
      <c r="C572" s="40" t="s">
        <v>8083</v>
      </c>
      <c r="D572" s="40" t="s">
        <v>8562</v>
      </c>
      <c r="E572" s="40" t="s">
        <v>8563</v>
      </c>
    </row>
    <row r="573" spans="1:9" x14ac:dyDescent="0.35">
      <c r="A573" s="40" t="str">
        <f>IF(OR(_xlfn.XLOOKUP("1308.09j1Organizational.5",Assessment!H:H,Assessment!E:E)="yes"),"Yes","No")</f>
        <v>Yes</v>
      </c>
      <c r="B573" s="40" t="s">
        <v>7829</v>
      </c>
      <c r="C573" s="40" t="s">
        <v>8083</v>
      </c>
      <c r="D573" s="40" t="s">
        <v>8564</v>
      </c>
      <c r="E573" s="40" t="s">
        <v>8375</v>
      </c>
      <c r="I573" s="40" t="s">
        <v>8565</v>
      </c>
    </row>
    <row r="574" spans="1:9" x14ac:dyDescent="0.35">
      <c r="A574" s="40" t="str">
        <f>IF(OR(_xlfn.XLOOKUP("1308.09j1Organizational.5",Assessment!H:H,Assessment!E:E)="yes"),"Yes","No")</f>
        <v>Yes</v>
      </c>
      <c r="B574" s="40" t="s">
        <v>7829</v>
      </c>
      <c r="C574" s="40" t="s">
        <v>8083</v>
      </c>
      <c r="D574" s="40" t="s">
        <v>8566</v>
      </c>
      <c r="E574" s="40" t="s">
        <v>8375</v>
      </c>
    </row>
    <row r="575" spans="1:9" x14ac:dyDescent="0.35">
      <c r="A575" s="40" t="str">
        <f>IF(OR(_xlfn.XLOOKUP("1308.09j1Organizational.5",Assessment!H:H,Assessment!E:E)="yes"),"Yes","No")</f>
        <v>Yes</v>
      </c>
      <c r="B575" s="40" t="s">
        <v>7829</v>
      </c>
      <c r="C575" s="40" t="s">
        <v>8083</v>
      </c>
      <c r="D575" s="40" t="s">
        <v>8567</v>
      </c>
      <c r="E575" s="40" t="s">
        <v>8375</v>
      </c>
    </row>
    <row r="576" spans="1:9" x14ac:dyDescent="0.35">
      <c r="A576" s="40" t="str">
        <f>IF(OR(_xlfn.XLOOKUP("1419.05j1Organizational.12",Assessment!H:H,Assessment!E:E)="yes"),"Yes","No")</f>
        <v>Yes</v>
      </c>
      <c r="B576" s="40" t="s">
        <v>7829</v>
      </c>
      <c r="C576" s="40" t="s">
        <v>8083</v>
      </c>
      <c r="D576" s="40" t="s">
        <v>8568</v>
      </c>
      <c r="E576" s="40" t="s">
        <v>8569</v>
      </c>
    </row>
    <row r="577" spans="1:9" x14ac:dyDescent="0.35">
      <c r="A577" s="40" t="str">
        <f>IF(OR(_xlfn.XLOOKUP("1419.05j1Organizational.12",Assessment!H:H,Assessment!E:E)="yes"),"Yes","No")</f>
        <v>Yes</v>
      </c>
      <c r="B577" s="40" t="s">
        <v>7829</v>
      </c>
      <c r="C577" s="40" t="s">
        <v>8083</v>
      </c>
      <c r="D577" s="40" t="s">
        <v>8570</v>
      </c>
      <c r="E577" s="40" t="s">
        <v>8569</v>
      </c>
      <c r="H577" s="40" t="s">
        <v>8571</v>
      </c>
      <c r="I577" s="40" t="s">
        <v>8571</v>
      </c>
    </row>
    <row r="578" spans="1:9" x14ac:dyDescent="0.35">
      <c r="A578" s="40" t="str">
        <f>IF(OR(_xlfn.XLOOKUP("1419.05j1Organizational.12",Assessment!H:H,Assessment!E:E)="yes"),"Yes","No")</f>
        <v>Yes</v>
      </c>
      <c r="B578" s="40" t="s">
        <v>7829</v>
      </c>
      <c r="C578" s="40" t="s">
        <v>8083</v>
      </c>
      <c r="D578" s="40" t="s">
        <v>8572</v>
      </c>
      <c r="E578" s="40" t="s">
        <v>8569</v>
      </c>
      <c r="H578" s="40" t="s">
        <v>8571</v>
      </c>
      <c r="I578" s="40" t="s">
        <v>8571</v>
      </c>
    </row>
    <row r="579" spans="1:9" x14ac:dyDescent="0.35">
      <c r="A579" s="40" t="str">
        <f>IF(OR(_xlfn.XLOOKUP("1419.05j1Organizational.12",Assessment!H:H,Assessment!E:E)="yes"),"Yes","No")</f>
        <v>Yes</v>
      </c>
      <c r="B579" s="40" t="s">
        <v>7829</v>
      </c>
      <c r="C579" s="40" t="s">
        <v>8083</v>
      </c>
      <c r="D579" s="40" t="s">
        <v>8573</v>
      </c>
      <c r="E579" s="40" t="s">
        <v>8569</v>
      </c>
      <c r="H579" s="40" t="s">
        <v>8571</v>
      </c>
      <c r="I579" s="40" t="s">
        <v>8571</v>
      </c>
    </row>
    <row r="580" spans="1:9" x14ac:dyDescent="0.35">
      <c r="A580" s="40" t="e">
        <f>IF(OR(_xlfn.XLOOKUP("1504.06e2Organizational.2",Assessment!H:H,Assessment!E:E)="yes"),"Yes","No")</f>
        <v>#N/A</v>
      </c>
      <c r="B580" s="40" t="s">
        <v>7829</v>
      </c>
      <c r="C580" s="40" t="s">
        <v>8083</v>
      </c>
      <c r="D580" s="40" t="s">
        <v>8574</v>
      </c>
      <c r="E580" s="40" t="s">
        <v>8575</v>
      </c>
    </row>
    <row r="581" spans="1:9" x14ac:dyDescent="0.35">
      <c r="A581" s="40" t="e">
        <f>IF(OR(_xlfn.XLOOKUP("1504.06e2Organizational.2",Assessment!H:H,Assessment!E:E)="yes"),"Yes","No")</f>
        <v>#N/A</v>
      </c>
      <c r="B581" s="40" t="s">
        <v>7829</v>
      </c>
      <c r="C581" s="40" t="s">
        <v>8083</v>
      </c>
      <c r="D581" s="40" t="s">
        <v>8576</v>
      </c>
      <c r="E581" s="40" t="s">
        <v>8575</v>
      </c>
    </row>
    <row r="582" spans="1:9" x14ac:dyDescent="0.35">
      <c r="A582" s="40" t="e">
        <f>IF(OR(_xlfn.XLOOKUP("1506.11a1Organizational.2",Assessment!H:H,Assessment!E:E)="yes",_xlfn.XLOOKUP("1517.11c2Organizational.8",Assessment!H:H,Assessment!E:E)="yes",_xlfn.XLOOKUP("1511.11a2Organizational.5",Assessment!H:H,Assessment!E:E)="yes",_xlfn.XLOOKUP("1522.11c3Organizational.13",Assessment!H:H,Assessment!E:E)="yes"),"Yes","No")</f>
        <v>#N/A</v>
      </c>
      <c r="B582" s="40" t="s">
        <v>7829</v>
      </c>
      <c r="C582" s="40" t="s">
        <v>8083</v>
      </c>
      <c r="D582" s="40" t="s">
        <v>8577</v>
      </c>
      <c r="E582" s="40" t="s">
        <v>8578</v>
      </c>
      <c r="I582" s="40" t="s">
        <v>8579</v>
      </c>
    </row>
    <row r="583" spans="1:9" x14ac:dyDescent="0.35">
      <c r="A583" s="40" t="e">
        <f>IF(OR(_xlfn.XLOOKUP("1506.11a1Organizational.2",Assessment!H:H,Assessment!E:E)="yes"),"Yes","No")</f>
        <v>#N/A</v>
      </c>
      <c r="B583" s="40" t="s">
        <v>7829</v>
      </c>
      <c r="C583" s="40" t="s">
        <v>8083</v>
      </c>
      <c r="D583" s="40" t="s">
        <v>8580</v>
      </c>
      <c r="E583" s="40" t="s">
        <v>8578</v>
      </c>
      <c r="I583" s="40" t="s">
        <v>8579</v>
      </c>
    </row>
    <row r="584" spans="1:9" x14ac:dyDescent="0.35">
      <c r="A584" s="40" t="e">
        <f>IF(OR(_xlfn.XLOOKUP("1535.11b1Organizational.12",Assessment!H:H,Assessment!E:E)="yes",_xlfn.XLOOKUP("1301.02e2Organizational.7",Assessment!H:H,Assessment!E:E)="yes"),"Yes","No")</f>
        <v>#N/A</v>
      </c>
      <c r="B584" s="40" t="s">
        <v>7829</v>
      </c>
      <c r="C584" s="40" t="s">
        <v>8083</v>
      </c>
      <c r="D584" s="40" t="s">
        <v>8581</v>
      </c>
      <c r="E584" s="40" t="s">
        <v>8582</v>
      </c>
    </row>
    <row r="585" spans="1:9" x14ac:dyDescent="0.35">
      <c r="A585" s="40" t="e">
        <f>IF(OR(_xlfn.XLOOKUP("1535.11b1Organizational.12",Assessment!H:H,Assessment!E:E)="yes",_xlfn.XLOOKUP("1301.02e2Organizational.7",Assessment!H:H,Assessment!E:E)="yes"),"Yes","No")</f>
        <v>#N/A</v>
      </c>
      <c r="B585" s="40" t="s">
        <v>7829</v>
      </c>
      <c r="C585" s="40" t="s">
        <v>8083</v>
      </c>
      <c r="D585" s="40" t="s">
        <v>8583</v>
      </c>
      <c r="E585" s="40" t="s">
        <v>8582</v>
      </c>
    </row>
    <row r="586" spans="1:9" x14ac:dyDescent="0.35">
      <c r="A586" s="40" t="e">
        <f>IF(OR(_xlfn.XLOOKUP("1560.11d1Organizational.1",Assessment!H:H,Assessment!E:E)="yes"),"Yes","No")</f>
        <v>#N/A</v>
      </c>
      <c r="B586" s="40" t="s">
        <v>7829</v>
      </c>
      <c r="C586" s="40" t="s">
        <v>8083</v>
      </c>
      <c r="D586" s="40" t="s">
        <v>8584</v>
      </c>
      <c r="E586" s="40" t="s">
        <v>8585</v>
      </c>
    </row>
    <row r="587" spans="1:9" x14ac:dyDescent="0.35">
      <c r="A587" s="40" t="str">
        <f>IF(OR(_xlfn.XLOOKUP("16.09l1Organizational.4",Assessment!H:H,Assessment!E:E)="yes"),"Yes","No")</f>
        <v>Yes</v>
      </c>
      <c r="B587" s="40" t="s">
        <v>7829</v>
      </c>
      <c r="C587" s="40" t="s">
        <v>8083</v>
      </c>
      <c r="D587" s="40" t="s">
        <v>8586</v>
      </c>
      <c r="E587" s="40" t="s">
        <v>8587</v>
      </c>
      <c r="H587" s="40" t="s">
        <v>8588</v>
      </c>
    </row>
    <row r="588" spans="1:9" x14ac:dyDescent="0.35">
      <c r="A588" s="40" t="e">
        <f>IF(OR(_xlfn.XLOOKUP("1616.09l1Organizational.16",Assessment!H:H,Assessment!E:E)="yes"),"Yes","No")</f>
        <v>#N/A</v>
      </c>
      <c r="B588" s="40" t="s">
        <v>7829</v>
      </c>
      <c r="C588" s="40" t="s">
        <v>8083</v>
      </c>
      <c r="D588" s="40" t="s">
        <v>8589</v>
      </c>
      <c r="E588" s="40" t="s">
        <v>8587</v>
      </c>
      <c r="H588" s="40" t="s">
        <v>8590</v>
      </c>
    </row>
    <row r="589" spans="1:9" x14ac:dyDescent="0.35">
      <c r="A589" s="40" t="e">
        <f>IF(OR(_xlfn.XLOOKUP("1618.09l1Organizational.45",Assessment!H:H,Assessment!E:E)="yes",_xlfn.XLOOKUP("1622.09l2Organizational.23",Assessment!H:H,Assessment!E:E)="yes"),"Yes","No")</f>
        <v>#N/A</v>
      </c>
      <c r="B589" s="40" t="s">
        <v>7829</v>
      </c>
      <c r="C589" s="40" t="s">
        <v>8083</v>
      </c>
      <c r="D589" s="40" t="s">
        <v>8591</v>
      </c>
      <c r="E589" s="40" t="s">
        <v>8587</v>
      </c>
    </row>
    <row r="590" spans="1:9" x14ac:dyDescent="0.35">
      <c r="A590" s="40" t="e">
        <f>IF(OR(_xlfn.XLOOKUP("1618.09l1Organizational.45",Assessment!H:H,Assessment!E:E)="yes"),"Yes","No")</f>
        <v>#N/A</v>
      </c>
      <c r="B590" s="40" t="s">
        <v>7829</v>
      </c>
      <c r="C590" s="40" t="s">
        <v>8083</v>
      </c>
      <c r="D590" s="40" t="s">
        <v>8592</v>
      </c>
      <c r="E590" s="40" t="s">
        <v>8587</v>
      </c>
    </row>
    <row r="591" spans="1:9" x14ac:dyDescent="0.35">
      <c r="A591" s="40" t="e">
        <f>IF(OR(_xlfn.XLOOKUP("1637.12b2Organizational.2",Assessment!H:H,Assessment!E:E)="yes",_xlfn.XLOOKUP("1635.12b2Organizational.4",Assessment!H:H,Assessment!E:E)="yes"),"Yes","No")</f>
        <v>#N/A</v>
      </c>
      <c r="B591" s="40" t="s">
        <v>7829</v>
      </c>
      <c r="C591" s="40" t="s">
        <v>8083</v>
      </c>
      <c r="D591" s="40" t="s">
        <v>8593</v>
      </c>
      <c r="E591" s="40" t="s">
        <v>8594</v>
      </c>
    </row>
    <row r="592" spans="1:9" x14ac:dyDescent="0.35">
      <c r="A592" s="40" t="e">
        <f>IF(OR(_xlfn.XLOOKUP("1637.12b2Organizational.2",Assessment!H:H,Assessment!E:E)="yes",_xlfn.XLOOKUP("1635.12b2Organizational.4",Assessment!H:H,Assessment!E:E)="yes"),"Yes","No")</f>
        <v>#N/A</v>
      </c>
      <c r="B592" s="40" t="s">
        <v>7829</v>
      </c>
      <c r="C592" s="40" t="s">
        <v>8083</v>
      </c>
      <c r="D592" s="40" t="s">
        <v>8595</v>
      </c>
      <c r="E592" s="40" t="s">
        <v>8594</v>
      </c>
    </row>
    <row r="593" spans="1:9" x14ac:dyDescent="0.35">
      <c r="A593" s="40" t="e">
        <f>IF(OR(_xlfn.XLOOKUP("1637.12b2Organizational.2",Assessment!H:H,Assessment!E:E)="yes",_xlfn.XLOOKUP("1635.12b2Organizational.4",Assessment!H:H,Assessment!E:E)="yes",_xlfn.XLOOKUP("0824.09m3Organizational.1",Assessment!H:H,Assessment!E:E)="yes"),"Yes","No")</f>
        <v>#N/A</v>
      </c>
      <c r="B593" s="40" t="s">
        <v>7829</v>
      </c>
      <c r="C593" s="40" t="s">
        <v>8083</v>
      </c>
      <c r="D593" s="40" t="s">
        <v>8596</v>
      </c>
      <c r="E593" s="40" t="s">
        <v>8594</v>
      </c>
    </row>
    <row r="594" spans="1:9" x14ac:dyDescent="0.35">
      <c r="A594" s="40" t="e">
        <f>IF(OR(_xlfn.XLOOKUP("1637.12b2Organizational.2",Assessment!H:H,Assessment!E:E)="yes",_xlfn.XLOOKUP("1635.12b2Organizational.4",Assessment!H:H,Assessment!E:E)="yes"),"Yes","No")</f>
        <v>#N/A</v>
      </c>
      <c r="B594" s="40" t="s">
        <v>7829</v>
      </c>
      <c r="C594" s="40" t="s">
        <v>8083</v>
      </c>
      <c r="D594" s="40" t="s">
        <v>8597</v>
      </c>
      <c r="E594" s="40" t="s">
        <v>8594</v>
      </c>
    </row>
    <row r="595" spans="1:9" x14ac:dyDescent="0.35">
      <c r="A595" s="40" t="e">
        <f>IF(OR(_xlfn.XLOOKUP("1704.03b1Organizational.12",Assessment!H:H,Assessment!E:E)="yes"),"Yes","No")</f>
        <v>#N/A</v>
      </c>
      <c r="B595" s="40" t="s">
        <v>7829</v>
      </c>
      <c r="C595" s="40" t="s">
        <v>8083</v>
      </c>
      <c r="D595" s="40" t="s">
        <v>8598</v>
      </c>
      <c r="E595" s="40" t="s">
        <v>8599</v>
      </c>
      <c r="H595" s="40" t="s">
        <v>8600</v>
      </c>
    </row>
    <row r="596" spans="1:9" x14ac:dyDescent="0.35">
      <c r="A596" s="40" t="e">
        <f>IF(OR(_xlfn.XLOOKUP("1704.03b1Organizational.12",Assessment!H:H,Assessment!E:E)="yes",_xlfn.XLOOKUP("1705.03b2Organizational.12",Assessment!H:H,Assessment!E:E)="yes",_xlfn.XLOOKUP("1733.03d2Organizational.3",Assessment!H:H,Assessment!E:E)="yes"),"Yes","No")</f>
        <v>#N/A</v>
      </c>
      <c r="B596" s="40" t="s">
        <v>7829</v>
      </c>
      <c r="C596" s="40" t="s">
        <v>8083</v>
      </c>
      <c r="D596" s="40" t="s">
        <v>8601</v>
      </c>
      <c r="E596" s="40" t="s">
        <v>8599</v>
      </c>
      <c r="H596" s="40" t="s">
        <v>8600</v>
      </c>
    </row>
    <row r="597" spans="1:9" x14ac:dyDescent="0.35">
      <c r="A597" s="40" t="e">
        <f>IF(OR(_xlfn.XLOOKUP("1706.03bHIPAAOrganizational.3",Assessment!H:H,Assessment!E:E)="yes"),"Yes","No")</f>
        <v>#N/A</v>
      </c>
      <c r="B597" s="40" t="s">
        <v>7829</v>
      </c>
      <c r="C597" s="40" t="s">
        <v>8083</v>
      </c>
      <c r="D597" s="40" t="s">
        <v>8602</v>
      </c>
      <c r="E597" s="40" t="s">
        <v>8599</v>
      </c>
    </row>
    <row r="598" spans="1:9" x14ac:dyDescent="0.35">
      <c r="A598" s="40" t="e">
        <f>IF(OR(_xlfn.XLOOKUP("1706.03bHIPAAOrganizational.3",Assessment!H:H,Assessment!E:E)="yes"),"Yes","No")</f>
        <v>#N/A</v>
      </c>
      <c r="B598" s="40" t="s">
        <v>7829</v>
      </c>
      <c r="C598" s="40" t="s">
        <v>8083</v>
      </c>
      <c r="D598" s="40" t="s">
        <v>8603</v>
      </c>
      <c r="E598" s="40" t="s">
        <v>8599</v>
      </c>
    </row>
    <row r="599" spans="1:9" x14ac:dyDescent="0.35">
      <c r="A599" s="40" t="e">
        <f>IF(OR(_xlfn.XLOOKUP("1706.03bHIPAAOrganizational.3",Assessment!H:H,Assessment!E:E)="yes"),"Yes","No")</f>
        <v>#N/A</v>
      </c>
      <c r="B599" s="40" t="s">
        <v>7829</v>
      </c>
      <c r="C599" s="40" t="s">
        <v>8083</v>
      </c>
      <c r="D599" s="40" t="s">
        <v>8604</v>
      </c>
      <c r="E599" s="40" t="s">
        <v>8599</v>
      </c>
    </row>
    <row r="600" spans="1:9" x14ac:dyDescent="0.35">
      <c r="A600" s="40" t="str">
        <f>IF(OR(_xlfn.XLOOKUP("1708.03c2Organizational.12",Assessment!H:H,Assessment!E:E)="yes"),"Yes","No")</f>
        <v>Yes</v>
      </c>
      <c r="B600" s="40" t="s">
        <v>7829</v>
      </c>
      <c r="C600" s="40" t="s">
        <v>8083</v>
      </c>
      <c r="D600" s="40" t="s">
        <v>8605</v>
      </c>
      <c r="E600" s="40" t="s">
        <v>8606</v>
      </c>
    </row>
    <row r="601" spans="1:9" x14ac:dyDescent="0.35">
      <c r="A601" s="40" t="str">
        <f>IF(OR(_xlfn.XLOOKUP("1708.03c2Organizational.12",Assessment!H:H,Assessment!E:E)="yes"),"Yes","No")</f>
        <v>Yes</v>
      </c>
      <c r="B601" s="40" t="s">
        <v>7829</v>
      </c>
      <c r="C601" s="40" t="s">
        <v>8083</v>
      </c>
      <c r="D601" s="40" t="s">
        <v>8607</v>
      </c>
      <c r="E601" s="40" t="s">
        <v>8606</v>
      </c>
    </row>
    <row r="602" spans="1:9" x14ac:dyDescent="0.35">
      <c r="A602" s="40" t="str">
        <f>IF(OR(_xlfn.XLOOKUP("1708.03c2Organizational.12",Assessment!H:H,Assessment!E:E)="yes"),"Yes","No")</f>
        <v>Yes</v>
      </c>
      <c r="B602" s="40" t="s">
        <v>7829</v>
      </c>
      <c r="C602" s="40" t="s">
        <v>8083</v>
      </c>
      <c r="D602" s="40" t="s">
        <v>8608</v>
      </c>
      <c r="E602" s="40" t="s">
        <v>8606</v>
      </c>
    </row>
    <row r="603" spans="1:9" x14ac:dyDescent="0.35">
      <c r="A603" s="40" t="e">
        <f>IF(OR(_xlfn.XLOOKUP("17126.03c1Organizational.2",Assessment!H:H,Assessment!E:E)="yes"),"Yes","No")</f>
        <v>#N/A</v>
      </c>
      <c r="B603" s="40" t="s">
        <v>7829</v>
      </c>
      <c r="C603" s="40" t="s">
        <v>8083</v>
      </c>
      <c r="D603" s="40" t="s">
        <v>8609</v>
      </c>
      <c r="E603" s="40" t="s">
        <v>8606</v>
      </c>
    </row>
    <row r="604" spans="1:9" x14ac:dyDescent="0.35">
      <c r="A604" s="40" t="str">
        <f>IF(OR(_xlfn.XLOOKUP("1744.05f1Organizational.23",Assessment!H:H,Assessment!E:E)="yes"),"Yes","No")</f>
        <v>Yes</v>
      </c>
      <c r="B604" s="40" t="s">
        <v>7829</v>
      </c>
      <c r="C604" s="40" t="s">
        <v>8083</v>
      </c>
      <c r="D604" s="40" t="s">
        <v>8610</v>
      </c>
      <c r="E604" s="40" t="s">
        <v>8611</v>
      </c>
    </row>
    <row r="605" spans="1:9" x14ac:dyDescent="0.35">
      <c r="A605" s="40" t="str">
        <f>IF(OR(_xlfn.XLOOKUP("1744.05f1Organizational.23",Assessment!H:H,Assessment!E:E)="yes"),"Yes","No")</f>
        <v>Yes</v>
      </c>
      <c r="B605" s="40" t="s">
        <v>7829</v>
      </c>
      <c r="C605" s="40" t="s">
        <v>8083</v>
      </c>
      <c r="D605" s="40" t="s">
        <v>8612</v>
      </c>
      <c r="E605" s="40" t="s">
        <v>8611</v>
      </c>
    </row>
    <row r="606" spans="1:9" x14ac:dyDescent="0.35">
      <c r="A606" s="40" t="e">
        <f>IF(OR(_xlfn.XLOOKUP("1744.05f1Organizational.23",Assessment!H:H,Assessment!E:E)="yes",_xlfn.XLOOKUP("1522.11c3Organizational.13",Assessment!H:H,Assessment!E:E)="yes"),"Yes","No")</f>
        <v>#N/A</v>
      </c>
      <c r="B606" s="40" t="s">
        <v>7829</v>
      </c>
      <c r="C606" s="40" t="s">
        <v>8083</v>
      </c>
      <c r="D606" s="40" t="s">
        <v>8613</v>
      </c>
      <c r="E606" s="40" t="s">
        <v>8611</v>
      </c>
    </row>
    <row r="607" spans="1:9" x14ac:dyDescent="0.35">
      <c r="A607" s="40" t="e">
        <f>IF(OR(_xlfn.XLOOKUP("1744.05f1Organizational.23",Assessment!H:H,Assessment!E:E)="yes",_xlfn.XLOOKUP("1522.11c3Organizational.13",Assessment!H:H,Assessment!E:E)="yes"),"Yes","No")</f>
        <v>#N/A</v>
      </c>
      <c r="B607" s="40" t="s">
        <v>7829</v>
      </c>
      <c r="C607" s="40" t="s">
        <v>8083</v>
      </c>
      <c r="D607" s="40" t="s">
        <v>8614</v>
      </c>
      <c r="E607" s="40" t="s">
        <v>8611</v>
      </c>
    </row>
    <row r="608" spans="1:9" x14ac:dyDescent="0.35">
      <c r="A608" s="40" t="e">
        <f>IF(OR(_xlfn.XLOOKUP("1749.05g1Organizational.1",Assessment!H:H,Assessment!E:E)="yes",_xlfn.XLOOKUP("0737.10m2Organizational.9",Assessment!H:H,Assessment!E:E)="yes"),"Yes","No")</f>
        <v>#N/A</v>
      </c>
      <c r="B608" s="40" t="s">
        <v>7829</v>
      </c>
      <c r="C608" s="40" t="s">
        <v>8083</v>
      </c>
      <c r="D608" s="40" t="s">
        <v>8615</v>
      </c>
      <c r="E608" s="40" t="s">
        <v>8616</v>
      </c>
      <c r="I608" s="40" t="s">
        <v>8617</v>
      </c>
    </row>
    <row r="609" spans="1:9" x14ac:dyDescent="0.35">
      <c r="A609" s="40" t="e">
        <f>IF(OR(_xlfn.XLOOKUP("1752.05g2Organizational.4",Assessment!H:H,Assessment!E:E)="yes"),"Yes","No")</f>
        <v>#N/A</v>
      </c>
      <c r="B609" s="40" t="s">
        <v>7829</v>
      </c>
      <c r="C609" s="40" t="s">
        <v>8083</v>
      </c>
      <c r="D609" s="40" t="s">
        <v>8618</v>
      </c>
      <c r="E609" s="40" t="s">
        <v>8616</v>
      </c>
    </row>
    <row r="610" spans="1:9" x14ac:dyDescent="0.35">
      <c r="A610" s="40" t="e">
        <f>IF(OR(_xlfn.XLOOKUP("1752.05g2Organizational.4",Assessment!H:H,Assessment!E:E)="yes"),"Yes","No")</f>
        <v>#N/A</v>
      </c>
      <c r="B610" s="40" t="s">
        <v>7829</v>
      </c>
      <c r="C610" s="40" t="s">
        <v>8083</v>
      </c>
      <c r="D610" s="40" t="s">
        <v>8619</v>
      </c>
      <c r="E610" s="40" t="s">
        <v>8616</v>
      </c>
    </row>
    <row r="611" spans="1:9" x14ac:dyDescent="0.35">
      <c r="A611" s="40" t="e">
        <f>IF(OR(_xlfn.XLOOKUP("1781.10a1Organizational.23",Assessment!H:H,Assessment!E:E)="yes"),"Yes","No")</f>
        <v>#N/A</v>
      </c>
      <c r="B611" s="40" t="s">
        <v>7829</v>
      </c>
      <c r="C611" s="40" t="s">
        <v>8083</v>
      </c>
      <c r="D611" s="40" t="s">
        <v>8620</v>
      </c>
      <c r="E611" s="40" t="s">
        <v>8621</v>
      </c>
    </row>
    <row r="612" spans="1:9" x14ac:dyDescent="0.35">
      <c r="A612" s="40" t="e">
        <f>IF(OR(_xlfn.XLOOKUP("18127.08l1Organizational.3",Assessment!H:H,Assessment!E:E)="yes"),"Yes","No")</f>
        <v>#N/A</v>
      </c>
      <c r="B612" s="40" t="s">
        <v>7829</v>
      </c>
      <c r="C612" s="40" t="s">
        <v>8083</v>
      </c>
      <c r="D612" s="40" t="s">
        <v>8622</v>
      </c>
      <c r="E612" s="40" t="s">
        <v>8623</v>
      </c>
    </row>
    <row r="613" spans="1:9" x14ac:dyDescent="0.35">
      <c r="A613" s="40" t="e">
        <f>IF(OR(_xlfn.XLOOKUP("18127.08l1Organizational.3",Assessment!H:H,Assessment!E:E)="yes"),"Yes","No")</f>
        <v>#N/A</v>
      </c>
      <c r="B613" s="40" t="s">
        <v>7829</v>
      </c>
      <c r="C613" s="40" t="s">
        <v>8083</v>
      </c>
      <c r="D613" s="40" t="s">
        <v>8624</v>
      </c>
      <c r="E613" s="40" t="s">
        <v>8623</v>
      </c>
    </row>
    <row r="614" spans="1:9" x14ac:dyDescent="0.35">
      <c r="A614" s="40" t="str">
        <f>IF(OR(_xlfn.XLOOKUP("18128.08m1Organizational.12",Assessment!H:H,Assessment!E:E)="yes"),"Yes","No")</f>
        <v>Yes</v>
      </c>
      <c r="B614" s="40" t="s">
        <v>7829</v>
      </c>
      <c r="C614" s="40" t="s">
        <v>8083</v>
      </c>
      <c r="D614" s="40" t="s">
        <v>8625</v>
      </c>
      <c r="E614" s="40" t="s">
        <v>8626</v>
      </c>
      <c r="I614" s="40" t="s">
        <v>8315</v>
      </c>
    </row>
    <row r="615" spans="1:9" ht="25" x14ac:dyDescent="0.35">
      <c r="A615" s="40" t="e">
        <f>IF(OR(_xlfn.XLOOKUP("18131.09p2Organizational.3",Assessment!H:H,Assessment!E:E)="yes",_xlfn.XLOOKUP("1825.08l2Organizational.1",Assessment!H:H,Assessment!E:E)="yes",_xlfn.XLOOKUP("1826.09p1Organizational.1",Assessment!H:H,Assessment!E:E)="yes"),"Yes","No")</f>
        <v>#N/A</v>
      </c>
      <c r="B615" s="40" t="s">
        <v>7829</v>
      </c>
      <c r="C615" s="40" t="s">
        <v>8083</v>
      </c>
      <c r="D615" s="40" t="s">
        <v>8627</v>
      </c>
      <c r="E615" s="40" t="s">
        <v>8628</v>
      </c>
      <c r="I615" s="58" t="s">
        <v>8629</v>
      </c>
    </row>
    <row r="616" spans="1:9" x14ac:dyDescent="0.35">
      <c r="A616" s="40" t="e">
        <f>IF(OR(_xlfn.XLOOKUP("18131.09p2Organizational.3",Assessment!H:H,Assessment!E:E)="yes",_xlfn.XLOOKUP("1826.09p1Organizational.1",Assessment!H:H,Assessment!E:E)="yes"),"Yes","No")</f>
        <v>#N/A</v>
      </c>
      <c r="B616" s="40" t="s">
        <v>7829</v>
      </c>
      <c r="C616" s="40" t="s">
        <v>8083</v>
      </c>
      <c r="D616" s="40" t="s">
        <v>8630</v>
      </c>
      <c r="E616" s="40" t="s">
        <v>8628</v>
      </c>
    </row>
    <row r="617" spans="1:9" x14ac:dyDescent="0.35">
      <c r="A617" s="40" t="str">
        <f>IF(OR(_xlfn.XLOOKUP("1828.08a1Organizational.12",Assessment!H:H,Assessment!E:E)="yes"),"Yes","No")</f>
        <v>Yes</v>
      </c>
      <c r="B617" s="40" t="s">
        <v>7829</v>
      </c>
      <c r="C617" s="40" t="s">
        <v>8083</v>
      </c>
      <c r="D617" s="40" t="s">
        <v>8631</v>
      </c>
      <c r="E617" s="40" t="s">
        <v>8632</v>
      </c>
    </row>
    <row r="618" spans="1:9" x14ac:dyDescent="0.35">
      <c r="A618" s="40" t="str">
        <f>IF(OR(_xlfn.XLOOKUP("1828.08a1Organizational.12",Assessment!H:H,Assessment!E:E)="yes"),"Yes","No")</f>
        <v>Yes</v>
      </c>
      <c r="B618" s="40" t="s">
        <v>7829</v>
      </c>
      <c r="C618" s="40" t="s">
        <v>8083</v>
      </c>
      <c r="D618" s="40" t="s">
        <v>8633</v>
      </c>
      <c r="E618" s="40" t="s">
        <v>8632</v>
      </c>
    </row>
    <row r="619" spans="1:9" x14ac:dyDescent="0.35">
      <c r="A619" s="40" t="str">
        <f>IF(OR(_xlfn.XLOOKUP("1828.08a1Organizational.12",Assessment!H:H,Assessment!E:E)="yes"),"Yes","No")</f>
        <v>Yes</v>
      </c>
      <c r="B619" s="40" t="s">
        <v>7829</v>
      </c>
      <c r="C619" s="40" t="s">
        <v>8083</v>
      </c>
      <c r="D619" s="40" t="s">
        <v>8634</v>
      </c>
      <c r="E619" s="40" t="s">
        <v>8632</v>
      </c>
    </row>
    <row r="620" spans="1:9" x14ac:dyDescent="0.35">
      <c r="A620" s="40" t="e">
        <f>IF(OR(_xlfn.XLOOKUP("1830.08a2Organizational.1",Assessment!H:H,Assessment!E:E)="yes"),"Yes","No")</f>
        <v>#N/A</v>
      </c>
      <c r="B620" s="40" t="s">
        <v>7829</v>
      </c>
      <c r="C620" s="40" t="s">
        <v>8083</v>
      </c>
      <c r="D620" s="40" t="s">
        <v>8635</v>
      </c>
      <c r="E620" s="40" t="s">
        <v>8632</v>
      </c>
    </row>
    <row r="621" spans="1:9" x14ac:dyDescent="0.35">
      <c r="A621" s="40" t="e">
        <f>IF(OR(_xlfn.XLOOKUP("1830.08a2Organizational.1",Assessment!H:H,Assessment!E:E)="yes",_xlfn.XLOOKUP("1829.08a2Organizational.6",Assessment!H:H,Assessment!E:E)="yes"),"Yes","No")</f>
        <v>#N/A</v>
      </c>
      <c r="B621" s="40" t="s">
        <v>7829</v>
      </c>
      <c r="C621" s="40" t="s">
        <v>8083</v>
      </c>
      <c r="D621" s="40" t="s">
        <v>8636</v>
      </c>
      <c r="E621" s="40" t="s">
        <v>8632</v>
      </c>
    </row>
    <row r="622" spans="1:9" x14ac:dyDescent="0.35">
      <c r="A622" s="40" t="str">
        <f>IF(OR(_xlfn.XLOOKUP("1857.08c1Organizational.1",Assessment!H:H,Assessment!E:E)="yes"),"Yes","No")</f>
        <v>Yes</v>
      </c>
      <c r="B622" s="40" t="s">
        <v>7829</v>
      </c>
      <c r="C622" s="40" t="s">
        <v>8083</v>
      </c>
      <c r="D622" s="40" t="s">
        <v>8637</v>
      </c>
      <c r="E622" s="40" t="s">
        <v>8638</v>
      </c>
    </row>
    <row r="623" spans="1:9" x14ac:dyDescent="0.35">
      <c r="A623" s="40" t="e">
        <f>IF(OR(_xlfn.XLOOKUP("1867.08e1Organizational.12",Assessment!H:H,Assessment!E:E)="yes",_xlfn.XLOOKUP("1829.08a2Organizational.6",Assessment!H:H,Assessment!E:E)="yes",_xlfn.XLOOKUP("1844.08b2Organizational.11",Assessment!H:H,Assessment!E:E)="yes"),"Yes","No")</f>
        <v>#N/A</v>
      </c>
      <c r="B623" s="40" t="s">
        <v>7829</v>
      </c>
      <c r="C623" s="40" t="s">
        <v>8083</v>
      </c>
      <c r="D623" s="40" t="s">
        <v>8639</v>
      </c>
      <c r="E623" s="40" t="s">
        <v>8640</v>
      </c>
    </row>
    <row r="624" spans="1:9" x14ac:dyDescent="0.35">
      <c r="A624" s="40" t="str">
        <f>IF(OR(_xlfn.XLOOKUP("1867.08e1Organizational.12",Assessment!H:H,Assessment!E:E)="yes"),"Yes","No")</f>
        <v>Yes</v>
      </c>
      <c r="B624" s="40" t="s">
        <v>7829</v>
      </c>
      <c r="C624" s="40" t="s">
        <v>8083</v>
      </c>
      <c r="D624" s="40" t="s">
        <v>8641</v>
      </c>
      <c r="E624" s="40" t="s">
        <v>8640</v>
      </c>
    </row>
    <row r="625" spans="1:9" x14ac:dyDescent="0.35">
      <c r="A625" s="40" t="str">
        <f>IF(OR(_xlfn.XLOOKUP("1871.08f1Organizational.13",Assessment!H:H,Assessment!E:E)="yes"),"Yes","No")</f>
        <v>Yes</v>
      </c>
      <c r="B625" s="40" t="s">
        <v>7829</v>
      </c>
      <c r="C625" s="40" t="s">
        <v>8083</v>
      </c>
      <c r="D625" s="40" t="s">
        <v>8642</v>
      </c>
      <c r="E625" s="40" t="s">
        <v>8643</v>
      </c>
    </row>
    <row r="626" spans="1:9" x14ac:dyDescent="0.35">
      <c r="A626" s="40" t="str">
        <f>IF(OR(_xlfn.XLOOKUP("1871.08f1Organizational.13",Assessment!H:H,Assessment!E:E)="yes"),"Yes","No")</f>
        <v>Yes</v>
      </c>
      <c r="B626" s="40" t="s">
        <v>7829</v>
      </c>
      <c r="C626" s="40" t="s">
        <v>8083</v>
      </c>
      <c r="D626" s="40" t="s">
        <v>8644</v>
      </c>
      <c r="E626" s="40" t="s">
        <v>8643</v>
      </c>
    </row>
    <row r="627" spans="1:9" x14ac:dyDescent="0.35">
      <c r="A627" s="40" t="str">
        <f>IF(OR(_xlfn.XLOOKUP("1880.08g1Organizational.6",Assessment!H:H,Assessment!E:E)="yes",_xlfn.XLOOKUP("1705.03b2Organizational.12",Assessment!H:H,Assessment!E:E)="yes"),"Yes","No")</f>
        <v>Yes</v>
      </c>
      <c r="B627" s="40" t="s">
        <v>7829</v>
      </c>
      <c r="C627" s="40" t="s">
        <v>8083</v>
      </c>
      <c r="D627" s="40" t="s">
        <v>8645</v>
      </c>
      <c r="E627" s="40" t="s">
        <v>8646</v>
      </c>
    </row>
    <row r="628" spans="1:9" x14ac:dyDescent="0.35">
      <c r="A628" s="40" t="str">
        <f>IF(OR(_xlfn.XLOOKUP("1888.08h1Organizational.456",Assessment!H:H,Assessment!E:E)="yes"),"Yes","No")</f>
        <v>Yes</v>
      </c>
      <c r="B628" s="40" t="s">
        <v>7829</v>
      </c>
      <c r="C628" s="40" t="s">
        <v>8083</v>
      </c>
      <c r="D628" s="40" t="s">
        <v>8647</v>
      </c>
      <c r="E628" s="40" t="s">
        <v>8648</v>
      </c>
    </row>
    <row r="629" spans="1:9" ht="25" x14ac:dyDescent="0.35">
      <c r="A629" s="40" t="str">
        <f>IF(OR(_xlfn.XLOOKUP("1888.08h1Organizational.456",Assessment!H:H,Assessment!E:E)="yes"),"Yes","No")</f>
        <v>Yes</v>
      </c>
      <c r="B629" s="40" t="s">
        <v>7829</v>
      </c>
      <c r="C629" s="40" t="s">
        <v>8083</v>
      </c>
      <c r="D629" s="40" t="s">
        <v>8649</v>
      </c>
      <c r="E629" s="40" t="s">
        <v>8648</v>
      </c>
      <c r="H629" s="58" t="s">
        <v>8650</v>
      </c>
      <c r="I629" s="58" t="s">
        <v>8650</v>
      </c>
    </row>
    <row r="630" spans="1:9" x14ac:dyDescent="0.35">
      <c r="A630" s="40" t="str">
        <f>IF(OR(_xlfn.XLOOKUP("1899.08i1Organizational.1",Assessment!H:H,Assessment!E:E)="yes"),"Yes","No")</f>
        <v>Yes</v>
      </c>
      <c r="B630" s="40" t="s">
        <v>7829</v>
      </c>
      <c r="C630" s="40" t="s">
        <v>8083</v>
      </c>
      <c r="D630" s="40" t="s">
        <v>8651</v>
      </c>
      <c r="E630" s="40" t="s">
        <v>8652</v>
      </c>
      <c r="I630" s="40" t="s">
        <v>8653</v>
      </c>
    </row>
    <row r="631" spans="1:9" ht="25" x14ac:dyDescent="0.35">
      <c r="A631" s="40" t="e">
        <f>IF(OR(_xlfn.XLOOKUP("1903.06d1Organizational.3456711",Assessment!H:H,Assessment!E:E)="yes",_xlfn.XLOOKUP("19922.06f1Organizational.2",Assessment!H:H,Assessment!E:E)="yes"),"Yes","No")</f>
        <v>#N/A</v>
      </c>
      <c r="B631" s="40" t="s">
        <v>7829</v>
      </c>
      <c r="C631" s="40" t="s">
        <v>8083</v>
      </c>
      <c r="D631" s="40" t="s">
        <v>8654</v>
      </c>
      <c r="E631" s="40" t="s">
        <v>8655</v>
      </c>
      <c r="H631" s="40" t="s">
        <v>8656</v>
      </c>
      <c r="I631" s="58" t="s">
        <v>8657</v>
      </c>
    </row>
    <row r="632" spans="1:9" x14ac:dyDescent="0.35">
      <c r="A632" s="40" t="e">
        <f>IF(OR(_xlfn.XLOOKUP("1903.06d1Organizational.3456711",Assessment!H:H,Assessment!E:E)="yes"),"Yes","No")</f>
        <v>#N/A</v>
      </c>
      <c r="B632" s="40" t="s">
        <v>7829</v>
      </c>
      <c r="C632" s="40" t="s">
        <v>8083</v>
      </c>
      <c r="D632" s="40" t="s">
        <v>8658</v>
      </c>
      <c r="E632" s="40" t="s">
        <v>8655</v>
      </c>
    </row>
    <row r="633" spans="1:9" x14ac:dyDescent="0.35">
      <c r="A633" s="40" t="e">
        <f>IF(OR(_xlfn.XLOOKUP("1903.06d1Organizational.3456711",Assessment!H:H,Assessment!E:E)="yes"),"Yes","No")</f>
        <v>#N/A</v>
      </c>
      <c r="B633" s="40" t="s">
        <v>7829</v>
      </c>
      <c r="C633" s="40" t="s">
        <v>8083</v>
      </c>
      <c r="D633" s="40" t="s">
        <v>8659</v>
      </c>
      <c r="E633" s="40" t="s">
        <v>8655</v>
      </c>
    </row>
    <row r="634" spans="1:9" x14ac:dyDescent="0.35">
      <c r="A634" s="40" t="str">
        <f>IF(OR(_xlfn.XLOOKUP("19131.05e1Organizational.45",Assessment!H:H,Assessment!E:E)="yes"),"Yes","No")</f>
        <v>Yes</v>
      </c>
      <c r="B634" s="40" t="s">
        <v>7829</v>
      </c>
      <c r="C634" s="40" t="s">
        <v>8083</v>
      </c>
      <c r="D634" s="40" t="s">
        <v>8660</v>
      </c>
      <c r="E634" s="40" t="s">
        <v>8661</v>
      </c>
    </row>
    <row r="635" spans="1:9" x14ac:dyDescent="0.35">
      <c r="A635" s="40" t="str">
        <f>IF(OR(_xlfn.XLOOKUP("19131.05e1Organizational.45",Assessment!H:H,Assessment!E:E)="yes"),"Yes","No")</f>
        <v>Yes</v>
      </c>
      <c r="B635" s="40" t="s">
        <v>7829</v>
      </c>
      <c r="C635" s="40" t="s">
        <v>8083</v>
      </c>
      <c r="D635" s="40" t="s">
        <v>8662</v>
      </c>
      <c r="E635" s="40" t="s">
        <v>8661</v>
      </c>
    </row>
    <row r="636" spans="1:9" x14ac:dyDescent="0.35">
      <c r="A636" s="40" t="e">
        <f>IF(OR(_xlfn.XLOOKUP("19145.06c2Organizational.2",Assessment!H:H,Assessment!E:E)="yes"),"Yes","No")</f>
        <v>#N/A</v>
      </c>
      <c r="B636" s="40" t="s">
        <v>7829</v>
      </c>
      <c r="C636" s="40" t="s">
        <v>8083</v>
      </c>
      <c r="D636" s="40" t="s">
        <v>8663</v>
      </c>
      <c r="E636" s="40" t="s">
        <v>8664</v>
      </c>
    </row>
    <row r="637" spans="1:9" x14ac:dyDescent="0.35">
      <c r="A637" s="40" t="e">
        <f>IF(OR(_xlfn.XLOOKUP("19145.06c2Organizational.2",Assessment!H:H,Assessment!E:E)="yes"),"Yes","No")</f>
        <v>#N/A</v>
      </c>
      <c r="B637" s="40" t="s">
        <v>7829</v>
      </c>
      <c r="C637" s="40" t="s">
        <v>8083</v>
      </c>
      <c r="D637" s="40" t="s">
        <v>8665</v>
      </c>
      <c r="E637" s="40" t="s">
        <v>8664</v>
      </c>
    </row>
    <row r="638" spans="1:9" x14ac:dyDescent="0.35">
      <c r="A638" s="40" t="e">
        <f>IF(OR(_xlfn.XLOOKUP("19145.06c2Organizational.2",Assessment!H:H,Assessment!E:E)="yes"),"Yes","No")</f>
        <v>#N/A</v>
      </c>
      <c r="B638" s="40" t="s">
        <v>7829</v>
      </c>
      <c r="C638" s="40" t="s">
        <v>8083</v>
      </c>
      <c r="D638" s="40" t="s">
        <v>8666</v>
      </c>
      <c r="E638" s="40" t="s">
        <v>8664</v>
      </c>
    </row>
    <row r="639" spans="1:9" x14ac:dyDescent="0.35">
      <c r="A639" s="40" t="str">
        <f>IF(OR(_xlfn.XLOOKUP("19180.09z1Organizational.2",Assessment!H:H,Assessment!E:E)="yes"),"Yes","No")</f>
        <v>Yes</v>
      </c>
      <c r="B639" s="40" t="s">
        <v>7829</v>
      </c>
      <c r="C639" s="40" t="s">
        <v>8083</v>
      </c>
      <c r="D639" s="40" t="s">
        <v>8667</v>
      </c>
      <c r="E639" s="40" t="s">
        <v>8664</v>
      </c>
    </row>
    <row r="640" spans="1:9" x14ac:dyDescent="0.35">
      <c r="A640" s="40" t="str">
        <f>IF(OR(_xlfn.XLOOKUP("19249.06b1Organizational.2",Assessment!H:H,Assessment!E:E)="yes"),"Yes","No")</f>
        <v>Yes</v>
      </c>
      <c r="B640" s="40" t="s">
        <v>7829</v>
      </c>
      <c r="C640" s="40" t="s">
        <v>8083</v>
      </c>
      <c r="D640" s="40" t="s">
        <v>8668</v>
      </c>
      <c r="E640" s="40" t="s">
        <v>8669</v>
      </c>
    </row>
    <row r="641" spans="1:5" x14ac:dyDescent="0.35">
      <c r="A641" s="40" t="e">
        <f>IF(OR(_xlfn.XLOOKUP("19355.13eHIPAAOrganizational.5",Assessment!H:H,Assessment!E:E)="yes"),"Yes","No")</f>
        <v>#N/A</v>
      </c>
      <c r="B641" s="40" t="s">
        <v>7829</v>
      </c>
      <c r="C641" s="40" t="s">
        <v>8083</v>
      </c>
      <c r="D641" s="40" t="s">
        <v>8670</v>
      </c>
      <c r="E641" s="40" t="s">
        <v>8671</v>
      </c>
    </row>
    <row r="642" spans="1:5" x14ac:dyDescent="0.35">
      <c r="A642" s="40" t="e">
        <f>IF(OR(_xlfn.XLOOKUP("19980.06dHIPAAOrganizational.1",Assessment!H:H,Assessment!E:E)="yes"),"Yes","No")</f>
        <v>#N/A</v>
      </c>
      <c r="B642" s="40" t="s">
        <v>7829</v>
      </c>
      <c r="C642" s="40" t="s">
        <v>8083</v>
      </c>
      <c r="D642" s="40" t="s">
        <v>8672</v>
      </c>
      <c r="E642" s="40" t="s">
        <v>8655</v>
      </c>
    </row>
    <row r="643" spans="1:5" x14ac:dyDescent="0.35">
      <c r="A643" s="40" t="e">
        <f>IF(OR(_xlfn.XLOOKUP("19980.06dHIPAAOrganizational.1",Assessment!H:H,Assessment!E:E)="yes"),"Yes","No")</f>
        <v>#N/A</v>
      </c>
      <c r="B643" s="40" t="s">
        <v>7829</v>
      </c>
      <c r="C643" s="40" t="s">
        <v>8083</v>
      </c>
      <c r="D643" s="40" t="s">
        <v>8673</v>
      </c>
      <c r="E643" s="40" t="s">
        <v>8655</v>
      </c>
    </row>
    <row r="644" spans="1:5" x14ac:dyDescent="0.35">
      <c r="A644" s="40" t="e">
        <f>IF(OR(_xlfn.XLOOKUP("0404.01x1Organizational.5",Assessment!H:H,Assessment!E:E)="yes"),"Yes","No")</f>
        <v>#N/A</v>
      </c>
      <c r="B644" s="40" t="s">
        <v>7829</v>
      </c>
      <c r="C644" s="40" t="s">
        <v>8083</v>
      </c>
      <c r="D644" s="40" t="s">
        <v>8674</v>
      </c>
      <c r="E644" s="40" t="s">
        <v>8395</v>
      </c>
    </row>
    <row r="645" spans="1:5" x14ac:dyDescent="0.35">
      <c r="A645" s="40" t="e">
        <f>IF(OR(_xlfn.XLOOKUP("0404.01x1Organizational.5",Assessment!H:H,Assessment!E:E)="yes"),"Yes","No")</f>
        <v>#N/A</v>
      </c>
      <c r="B645" s="40" t="s">
        <v>7829</v>
      </c>
      <c r="C645" s="40" t="s">
        <v>8083</v>
      </c>
      <c r="D645" s="40" t="s">
        <v>8675</v>
      </c>
      <c r="E645" s="40" t="s">
        <v>8395</v>
      </c>
    </row>
    <row r="646" spans="1:5" x14ac:dyDescent="0.35">
      <c r="A646" s="40" t="e">
        <f>IF(OR(_xlfn.XLOOKUP("0404.01x1Organizational.5",Assessment!H:H,Assessment!E:E)="yes"),"Yes","No")</f>
        <v>#N/A</v>
      </c>
      <c r="B646" s="40" t="s">
        <v>7829</v>
      </c>
      <c r="C646" s="40" t="s">
        <v>8083</v>
      </c>
      <c r="D646" s="40" t="s">
        <v>8676</v>
      </c>
      <c r="E646" s="40" t="s">
        <v>8395</v>
      </c>
    </row>
    <row r="647" spans="1:5" x14ac:dyDescent="0.35">
      <c r="A647" s="40" t="e">
        <f>IF(OR(_xlfn.XLOOKUP("0502.09m1Organizational.5",Assessment!H:H,Assessment!E:E)="yes"),"Yes","No")</f>
        <v>#N/A</v>
      </c>
      <c r="B647" s="40" t="s">
        <v>7829</v>
      </c>
      <c r="C647" s="40" t="s">
        <v>8083</v>
      </c>
      <c r="D647" s="40" t="s">
        <v>8677</v>
      </c>
      <c r="E647" s="40" t="s">
        <v>8398</v>
      </c>
    </row>
    <row r="648" spans="1:5" x14ac:dyDescent="0.35">
      <c r="A648" s="40" t="e">
        <f>IF(OR(_xlfn.XLOOKUP("0939.09x1Organizational.2",Assessment!H:H,Assessment!E:E)="yes"),"Yes","No")</f>
        <v>#N/A</v>
      </c>
      <c r="B648" s="40" t="s">
        <v>7829</v>
      </c>
      <c r="C648" s="40" t="s">
        <v>8083</v>
      </c>
      <c r="D648" s="40" t="s">
        <v>8678</v>
      </c>
      <c r="E648" s="40" t="s">
        <v>8679</v>
      </c>
    </row>
    <row r="649" spans="1:5" x14ac:dyDescent="0.35">
      <c r="A649" s="40" t="e">
        <f>IF(OR(_xlfn.XLOOKUP("0939.09x1Organizational.2",Assessment!H:H,Assessment!E:E)="yes"),"Yes","No")</f>
        <v>#N/A</v>
      </c>
      <c r="B649" s="40" t="s">
        <v>7829</v>
      </c>
      <c r="C649" s="40" t="s">
        <v>8083</v>
      </c>
      <c r="D649" s="40" t="s">
        <v>8680</v>
      </c>
      <c r="E649" s="40" t="s">
        <v>8679</v>
      </c>
    </row>
    <row r="650" spans="1:5" x14ac:dyDescent="0.35">
      <c r="A650" s="40" t="e">
        <f>IF(OR(_xlfn.XLOOKUP("1235.06j1Organizational.1",Assessment!H:H,Assessment!E:E)="yes"),"Yes","No")</f>
        <v>#N/A</v>
      </c>
      <c r="B650" s="40" t="s">
        <v>7829</v>
      </c>
      <c r="C650" s="40" t="s">
        <v>8083</v>
      </c>
      <c r="D650" s="40" t="s">
        <v>8681</v>
      </c>
      <c r="E650" s="40" t="s">
        <v>8682</v>
      </c>
    </row>
    <row r="651" spans="1:5" x14ac:dyDescent="0.35">
      <c r="A651" s="40" t="e">
        <f>IF(OR(_xlfn.XLOOKUP("0214.09j2Organizational.9",Assessment!H:H,Assessment!E:E)="yes",_xlfn.XLOOKUP("02.09jNIST80053Organizational.4",Assessment!H:H,Assessment!E:E)="yes"),"Yes","No")</f>
        <v>#N/A</v>
      </c>
      <c r="B651" s="40" t="s">
        <v>7829</v>
      </c>
      <c r="C651" s="40" t="s">
        <v>8083</v>
      </c>
      <c r="D651" s="40" t="s">
        <v>8683</v>
      </c>
      <c r="E651" s="40" t="s">
        <v>8375</v>
      </c>
    </row>
    <row r="652" spans="1:5" x14ac:dyDescent="0.35">
      <c r="A652" s="40" t="e">
        <f>IF(OR(_xlfn.XLOOKUP("0214.09j2Organizational.9",Assessment!H:H,Assessment!E:E)="yes",_xlfn.XLOOKUP("02.09jNIST80053Organizational.4",Assessment!H:H,Assessment!E:E)="yes"),"Yes","No")</f>
        <v>#N/A</v>
      </c>
      <c r="B652" s="40" t="s">
        <v>7829</v>
      </c>
      <c r="C652" s="40" t="s">
        <v>8083</v>
      </c>
      <c r="D652" s="40" t="s">
        <v>8684</v>
      </c>
      <c r="E652" s="40" t="s">
        <v>8375</v>
      </c>
    </row>
    <row r="653" spans="1:5" x14ac:dyDescent="0.35">
      <c r="A653" s="40" t="e">
        <f>IF(OR(_xlfn.XLOOKUP("0306.09q2Organizational.2",Assessment!H:H,Assessment!E:E)="yes"),"Yes","No")</f>
        <v>#N/A</v>
      </c>
      <c r="B653" s="40" t="s">
        <v>7829</v>
      </c>
      <c r="C653" s="40" t="s">
        <v>8083</v>
      </c>
      <c r="D653" s="40" t="s">
        <v>8685</v>
      </c>
      <c r="E653" s="40" t="s">
        <v>8686</v>
      </c>
    </row>
    <row r="654" spans="1:5" x14ac:dyDescent="0.35">
      <c r="A654" s="40" t="e">
        <f>IF(OR(_xlfn.XLOOKUP("0306.09q2Organizational.2",Assessment!H:H,Assessment!E:E)="yes"),"Yes","No")</f>
        <v>#N/A</v>
      </c>
      <c r="B654" s="40" t="s">
        <v>7829</v>
      </c>
      <c r="C654" s="40" t="s">
        <v>8083</v>
      </c>
      <c r="D654" s="40" t="s">
        <v>8687</v>
      </c>
      <c r="E654" s="40" t="s">
        <v>8686</v>
      </c>
    </row>
    <row r="655" spans="1:5" x14ac:dyDescent="0.35">
      <c r="A655" s="40" t="e">
        <f>IF(OR(_xlfn.XLOOKUP("0313.07e2Organizational.6",Assessment!H:H,Assessment!E:E)="yes"),"Yes","No")</f>
        <v>#N/A</v>
      </c>
      <c r="B655" s="40" t="s">
        <v>7829</v>
      </c>
      <c r="C655" s="40" t="s">
        <v>8083</v>
      </c>
      <c r="D655" s="40" t="s">
        <v>8688</v>
      </c>
      <c r="E655" s="40" t="s">
        <v>8689</v>
      </c>
    </row>
    <row r="656" spans="1:5" x14ac:dyDescent="0.35">
      <c r="A656" s="40" t="e">
        <f>IF(OR(_xlfn.XLOOKUP("0313.07e2Organizational.6",Assessment!H:H,Assessment!E:E)="yes"),"Yes","No")</f>
        <v>#N/A</v>
      </c>
      <c r="B656" s="40" t="s">
        <v>7829</v>
      </c>
      <c r="C656" s="40" t="s">
        <v>8083</v>
      </c>
      <c r="D656" s="40" t="s">
        <v>8690</v>
      </c>
      <c r="E656" s="40" t="s">
        <v>8689</v>
      </c>
    </row>
    <row r="657" spans="1:8" x14ac:dyDescent="0.35">
      <c r="A657" s="40" t="e">
        <f>IF(OR(_xlfn.XLOOKUP("0320.09u2Organizational.3",Assessment!H:H,Assessment!E:E)="yes"),"Yes","No")</f>
        <v>#N/A</v>
      </c>
      <c r="B657" s="40" t="s">
        <v>7829</v>
      </c>
      <c r="C657" s="40" t="s">
        <v>8083</v>
      </c>
      <c r="D657" s="40" t="s">
        <v>8691</v>
      </c>
      <c r="E657" s="40" t="s">
        <v>8692</v>
      </c>
    </row>
    <row r="658" spans="1:8" x14ac:dyDescent="0.35">
      <c r="A658" s="40" t="e">
        <f>IF(OR(_xlfn.XLOOKUP("0320.09u2Organizational.3",Assessment!H:H,Assessment!E:E)="yes"),"Yes","No")</f>
        <v>#N/A</v>
      </c>
      <c r="B658" s="40" t="s">
        <v>7829</v>
      </c>
      <c r="C658" s="40" t="s">
        <v>8083</v>
      </c>
      <c r="D658" s="40" t="s">
        <v>8693</v>
      </c>
      <c r="E658" s="40" t="s">
        <v>8692</v>
      </c>
    </row>
    <row r="659" spans="1:8" x14ac:dyDescent="0.35">
      <c r="A659" s="40" t="e">
        <f>IF(OR(_xlfn.XLOOKUP("0320.09u2Organizational.3",Assessment!H:H,Assessment!E:E)="yes"),"Yes","No")</f>
        <v>#N/A</v>
      </c>
      <c r="B659" s="40" t="s">
        <v>7829</v>
      </c>
      <c r="C659" s="40" t="s">
        <v>8083</v>
      </c>
      <c r="D659" s="40" t="s">
        <v>8694</v>
      </c>
      <c r="E659" s="40" t="s">
        <v>8692</v>
      </c>
    </row>
    <row r="660" spans="1:8" x14ac:dyDescent="0.35">
      <c r="A660" s="40" t="e">
        <f>IF(OR(_xlfn.XLOOKUP("0320.09u2Organizational.3",Assessment!H:H,Assessment!E:E)="yes"),"Yes","No")</f>
        <v>#N/A</v>
      </c>
      <c r="B660" s="40" t="s">
        <v>7829</v>
      </c>
      <c r="C660" s="40" t="s">
        <v>8083</v>
      </c>
      <c r="D660" s="40" t="s">
        <v>8695</v>
      </c>
      <c r="E660" s="40" t="s">
        <v>8692</v>
      </c>
    </row>
    <row r="661" spans="1:8" x14ac:dyDescent="0.35">
      <c r="A661" s="40" t="e">
        <f>IF(OR(_xlfn.XLOOKUP("0401.01x2Organizational.5",Assessment!H:H,Assessment!E:E)="yes"),"Yes","No")</f>
        <v>#N/A</v>
      </c>
      <c r="B661" s="40" t="s">
        <v>7829</v>
      </c>
      <c r="C661" s="40" t="s">
        <v>8083</v>
      </c>
      <c r="D661" s="40" t="s">
        <v>8696</v>
      </c>
      <c r="E661" s="40" t="s">
        <v>8395</v>
      </c>
    </row>
    <row r="662" spans="1:8" x14ac:dyDescent="0.35">
      <c r="A662" s="40" t="e">
        <f>IF(OR(_xlfn.XLOOKUP("0401.01x2Organizational.5",Assessment!H:H,Assessment!E:E)="yes"),"Yes","No")</f>
        <v>#N/A</v>
      </c>
      <c r="B662" s="40" t="s">
        <v>7829</v>
      </c>
      <c r="C662" s="40" t="s">
        <v>8083</v>
      </c>
      <c r="D662" s="40" t="s">
        <v>8697</v>
      </c>
      <c r="E662" s="40" t="s">
        <v>8395</v>
      </c>
    </row>
    <row r="663" spans="1:8" x14ac:dyDescent="0.35">
      <c r="A663" s="40" t="e">
        <f>IF(OR(_xlfn.XLOOKUP("0401.01x2Organizational.5",Assessment!H:H,Assessment!E:E)="yes"),"Yes","No")</f>
        <v>#N/A</v>
      </c>
      <c r="B663" s="40" t="s">
        <v>7829</v>
      </c>
      <c r="C663" s="40" t="s">
        <v>8083</v>
      </c>
      <c r="D663" s="40" t="s">
        <v>8698</v>
      </c>
      <c r="E663" s="40" t="s">
        <v>8395</v>
      </c>
    </row>
    <row r="664" spans="1:8" x14ac:dyDescent="0.35">
      <c r="A664" s="40" t="e">
        <f>IF(OR(_xlfn.XLOOKUP("0401.01x2Organizational.5",Assessment!H:H,Assessment!E:E)="yes"),"Yes","No")</f>
        <v>#N/A</v>
      </c>
      <c r="B664" s="40" t="s">
        <v>7829</v>
      </c>
      <c r="C664" s="40" t="s">
        <v>8083</v>
      </c>
      <c r="D664" s="40" t="s">
        <v>8699</v>
      </c>
      <c r="E664" s="40" t="s">
        <v>8395</v>
      </c>
    </row>
    <row r="665" spans="1:8" x14ac:dyDescent="0.35">
      <c r="A665" s="40" t="e">
        <f>IF(OR(_xlfn.XLOOKUP("0401.01x2Organizational.5",Assessment!H:H,Assessment!E:E)="yes"),"Yes","No")</f>
        <v>#N/A</v>
      </c>
      <c r="B665" s="40" t="s">
        <v>7829</v>
      </c>
      <c r="C665" s="40" t="s">
        <v>8083</v>
      </c>
      <c r="D665" s="40" t="s">
        <v>8700</v>
      </c>
      <c r="E665" s="40" t="s">
        <v>8395</v>
      </c>
    </row>
    <row r="666" spans="1:8" x14ac:dyDescent="0.35">
      <c r="A666" s="40" t="e">
        <f>IF(OR(_xlfn.XLOOKUP("0401.01x2Organizational.5",Assessment!H:H,Assessment!E:E)="yes"),"Yes","No")</f>
        <v>#N/A</v>
      </c>
      <c r="B666" s="40" t="s">
        <v>7829</v>
      </c>
      <c r="C666" s="40" t="s">
        <v>8083</v>
      </c>
      <c r="D666" s="40" t="s">
        <v>8701</v>
      </c>
      <c r="E666" s="40" t="s">
        <v>8395</v>
      </c>
    </row>
    <row r="667" spans="1:8" x14ac:dyDescent="0.35">
      <c r="A667" s="40" t="e">
        <f>IF(OR(_xlfn.XLOOKUP("0425.01x2Organizational.7",Assessment!H:H,Assessment!E:E)="yes"),"Yes","No")</f>
        <v>#N/A</v>
      </c>
      <c r="B667" s="40" t="s">
        <v>7829</v>
      </c>
      <c r="C667" s="40" t="s">
        <v>8083</v>
      </c>
      <c r="D667" s="40" t="s">
        <v>8702</v>
      </c>
      <c r="E667" s="40" t="s">
        <v>8395</v>
      </c>
    </row>
    <row r="668" spans="1:8" x14ac:dyDescent="0.35">
      <c r="A668" s="40" t="e">
        <f>IF(OR(_xlfn.XLOOKUP("0425.01x2Organizational.7",Assessment!H:H,Assessment!E:E)="yes"),"Yes","No")</f>
        <v>#N/A</v>
      </c>
      <c r="B668" s="40" t="s">
        <v>7829</v>
      </c>
      <c r="C668" s="40" t="s">
        <v>8083</v>
      </c>
      <c r="D668" s="40" t="s">
        <v>8703</v>
      </c>
      <c r="E668" s="40" t="s">
        <v>8395</v>
      </c>
    </row>
    <row r="669" spans="1:8" x14ac:dyDescent="0.35">
      <c r="A669" s="40" t="e">
        <f>IF(OR(_xlfn.XLOOKUP("0602.06g2Organizational.7",Assessment!H:H,Assessment!E:E)="yes"),"Yes","No")</f>
        <v>#N/A</v>
      </c>
      <c r="B669" s="40" t="s">
        <v>7829</v>
      </c>
      <c r="C669" s="40" t="s">
        <v>8083</v>
      </c>
      <c r="D669" s="40" t="s">
        <v>8704</v>
      </c>
      <c r="E669" s="40" t="s">
        <v>8403</v>
      </c>
    </row>
    <row r="670" spans="1:8" x14ac:dyDescent="0.35">
      <c r="A670" s="40" t="e">
        <f>IF(OR(_xlfn.XLOOKUP("0720.07aNYDOHOrganizational.4",Assessment!H:H,Assessment!E:E)="yes"),"Yes","No")</f>
        <v>#N/A</v>
      </c>
      <c r="B670" s="40" t="s">
        <v>7829</v>
      </c>
      <c r="C670" s="40" t="s">
        <v>8083</v>
      </c>
      <c r="D670" s="40" t="s">
        <v>8705</v>
      </c>
      <c r="E670" s="40" t="s">
        <v>8437</v>
      </c>
      <c r="H670" s="40" t="s">
        <v>8416</v>
      </c>
    </row>
    <row r="671" spans="1:8" x14ac:dyDescent="0.35">
      <c r="A671" s="40" t="e">
        <f>IF(OR(_xlfn.XLOOKUP("0721.07a2Organizational.3",Assessment!H:H,Assessment!E:E)="yes"),"Yes","No")</f>
        <v>#N/A</v>
      </c>
      <c r="B671" s="40" t="s">
        <v>7829</v>
      </c>
      <c r="C671" s="40" t="s">
        <v>8083</v>
      </c>
      <c r="D671" s="40" t="s">
        <v>8706</v>
      </c>
      <c r="E671" s="40" t="s">
        <v>8437</v>
      </c>
      <c r="H671" s="40" t="s">
        <v>8416</v>
      </c>
    </row>
    <row r="672" spans="1:8" x14ac:dyDescent="0.35">
      <c r="A672" s="40" t="e">
        <f>IF(OR(_xlfn.XLOOKUP("0721.07a2Organizational.3",Assessment!H:H,Assessment!E:E)="yes"),"Yes","No")</f>
        <v>#N/A</v>
      </c>
      <c r="B672" s="40" t="s">
        <v>7829</v>
      </c>
      <c r="C672" s="40" t="s">
        <v>8083</v>
      </c>
      <c r="D672" s="40" t="s">
        <v>8707</v>
      </c>
      <c r="E672" s="40" t="s">
        <v>8437</v>
      </c>
    </row>
    <row r="673" spans="1:8" x14ac:dyDescent="0.35">
      <c r="A673" s="40" t="e">
        <f>IF(OR(_xlfn.XLOOKUP("0722.07a2Organizational.4",Assessment!H:H,Assessment!E:E)="yes"),"Yes","No")</f>
        <v>#N/A</v>
      </c>
      <c r="B673" s="40" t="s">
        <v>7829</v>
      </c>
      <c r="C673" s="40" t="s">
        <v>8083</v>
      </c>
      <c r="D673" s="40" t="s">
        <v>8708</v>
      </c>
      <c r="E673" s="40" t="s">
        <v>8437</v>
      </c>
      <c r="H673" s="40" t="s">
        <v>8416</v>
      </c>
    </row>
    <row r="674" spans="1:8" x14ac:dyDescent="0.35">
      <c r="A674" s="40" t="e">
        <f>IF(OR(_xlfn.XLOOKUP("0819.09m2Organizational.11",Assessment!H:H,Assessment!E:E)="yes"),"Yes","No")</f>
        <v>#N/A</v>
      </c>
      <c r="B674" s="40" t="s">
        <v>7829</v>
      </c>
      <c r="C674" s="40" t="s">
        <v>8083</v>
      </c>
      <c r="D674" s="40" t="s">
        <v>8709</v>
      </c>
      <c r="E674" s="40" t="s">
        <v>8398</v>
      </c>
    </row>
    <row r="675" spans="1:8" x14ac:dyDescent="0.35">
      <c r="A675" s="40" t="e">
        <f>IF(OR(_xlfn.XLOOKUP("0819.09m2Organizational.11",Assessment!H:H,Assessment!E:E)="yes",_xlfn.XLOOKUP("1464.09e2System.5",Assessment!H:H,Assessment!E:E)="yes",_xlfn.XLOOKUP("0806.01m2Organizational.12356",Assessment!H:H,Assessment!E:E)="yes"),"Yes","No")</f>
        <v>#N/A</v>
      </c>
      <c r="B675" s="40" t="s">
        <v>7829</v>
      </c>
      <c r="C675" s="40" t="s">
        <v>8083</v>
      </c>
      <c r="D675" s="40" t="s">
        <v>8710</v>
      </c>
      <c r="E675" s="40" t="s">
        <v>8398</v>
      </c>
      <c r="H675" s="40" t="s">
        <v>8711</v>
      </c>
    </row>
    <row r="676" spans="1:8" x14ac:dyDescent="0.35">
      <c r="A676" s="40" t="e">
        <f>IF(OR(_xlfn.XLOOKUP("0888.09n2Organizational.6",Assessment!H:H,Assessment!E:E)="yes"),"Yes","No")</f>
        <v>#N/A</v>
      </c>
      <c r="B676" s="40" t="s">
        <v>7829</v>
      </c>
      <c r="C676" s="40" t="s">
        <v>8083</v>
      </c>
      <c r="D676" s="40" t="s">
        <v>8712</v>
      </c>
      <c r="E676" s="40" t="s">
        <v>8475</v>
      </c>
    </row>
    <row r="677" spans="1:8" x14ac:dyDescent="0.35">
      <c r="A677" s="40" t="e">
        <f>IF(OR(_xlfn.XLOOKUP("0916.09s2Organizational.4",Assessment!H:H,Assessment!E:E)="yes"),"Yes","No")</f>
        <v>#N/A</v>
      </c>
      <c r="B677" s="40" t="s">
        <v>7829</v>
      </c>
      <c r="C677" s="40" t="s">
        <v>8083</v>
      </c>
      <c r="D677" s="40" t="s">
        <v>8713</v>
      </c>
      <c r="E677" s="40" t="s">
        <v>8482</v>
      </c>
    </row>
    <row r="678" spans="1:8" x14ac:dyDescent="0.35">
      <c r="A678" s="40" t="e">
        <f>IF(OR(_xlfn.XLOOKUP("0916.09s2Organizational.4",Assessment!H:H,Assessment!E:E)="yes"),"Yes","No")</f>
        <v>#N/A</v>
      </c>
      <c r="B678" s="40" t="s">
        <v>7829</v>
      </c>
      <c r="C678" s="40" t="s">
        <v>8083</v>
      </c>
      <c r="D678" s="40" t="s">
        <v>8714</v>
      </c>
      <c r="E678" s="40" t="s">
        <v>8482</v>
      </c>
    </row>
    <row r="679" spans="1:8" x14ac:dyDescent="0.35">
      <c r="A679" s="40" t="e">
        <f>IF(OR(_xlfn.XLOOKUP("0961.10g2Organizational.4",Assessment!H:H,Assessment!E:E)="yes"),"Yes","No")</f>
        <v>#N/A</v>
      </c>
      <c r="B679" s="40" t="s">
        <v>7829</v>
      </c>
      <c r="C679" s="40" t="s">
        <v>8083</v>
      </c>
      <c r="D679" s="40" t="s">
        <v>8715</v>
      </c>
      <c r="E679" s="40" t="s">
        <v>8478</v>
      </c>
    </row>
    <row r="680" spans="1:8" x14ac:dyDescent="0.35">
      <c r="A680" s="40" t="e">
        <f>IF(OR(_xlfn.XLOOKUP("0961.10g2Organizational.4",Assessment!H:H,Assessment!E:E)="yes"),"Yes","No")</f>
        <v>#N/A</v>
      </c>
      <c r="B680" s="40" t="s">
        <v>7829</v>
      </c>
      <c r="C680" s="40" t="s">
        <v>8083</v>
      </c>
      <c r="D680" s="40" t="s">
        <v>8716</v>
      </c>
      <c r="E680" s="40" t="s">
        <v>8478</v>
      </c>
    </row>
    <row r="681" spans="1:8" x14ac:dyDescent="0.35">
      <c r="A681" s="40" t="e">
        <f>IF(OR(_xlfn.XLOOKUP("1020.01f2Organizational.1",Assessment!H:H,Assessment!E:E)="yes"),"Yes","No")</f>
        <v>#N/A</v>
      </c>
      <c r="B681" s="40" t="s">
        <v>7829</v>
      </c>
      <c r="C681" s="40" t="s">
        <v>8083</v>
      </c>
      <c r="D681" s="40" t="s">
        <v>8717</v>
      </c>
      <c r="E681" s="40" t="s">
        <v>8498</v>
      </c>
    </row>
    <row r="682" spans="1:8" x14ac:dyDescent="0.35">
      <c r="A682" s="40" t="e">
        <f>IF(OR(_xlfn.XLOOKUP("1135.02i3Organizational.1",Assessment!H:H,Assessment!E:E)="yes"),"Yes","No")</f>
        <v>#N/A</v>
      </c>
      <c r="B682" s="40" t="s">
        <v>7829</v>
      </c>
      <c r="C682" s="40" t="s">
        <v>8083</v>
      </c>
      <c r="D682" s="40" t="s">
        <v>8718</v>
      </c>
      <c r="E682" s="40" t="s">
        <v>8719</v>
      </c>
    </row>
    <row r="683" spans="1:8" x14ac:dyDescent="0.35">
      <c r="A683" s="40" t="e">
        <f>IF(OR(_xlfn.XLOOKUP("1207.09aa2System.4",Assessment!H:H,Assessment!E:E)="yes"),"Yes","No")</f>
        <v>#N/A</v>
      </c>
      <c r="B683" s="40" t="s">
        <v>7829</v>
      </c>
      <c r="C683" s="40" t="s">
        <v>8083</v>
      </c>
      <c r="D683" s="40" t="s">
        <v>8720</v>
      </c>
      <c r="E683" s="40" t="s">
        <v>8541</v>
      </c>
    </row>
    <row r="684" spans="1:8" x14ac:dyDescent="0.35">
      <c r="A684" s="40" t="e">
        <f>IF(OR(_xlfn.XLOOKUP("1207.09aa2System.4",Assessment!H:H,Assessment!E:E)="yes"),"Yes","No")</f>
        <v>#N/A</v>
      </c>
      <c r="B684" s="40" t="s">
        <v>7829</v>
      </c>
      <c r="C684" s="40" t="s">
        <v>8083</v>
      </c>
      <c r="D684" s="40" t="s">
        <v>8721</v>
      </c>
      <c r="E684" s="40" t="s">
        <v>8541</v>
      </c>
    </row>
    <row r="685" spans="1:8" x14ac:dyDescent="0.35">
      <c r="A685" s="40" t="e">
        <f>IF(OR(_xlfn.XLOOKUP("12100.09ab2System.15",Assessment!H:H,Assessment!E:E)="yes",_xlfn.XLOOKUP("12103.09abTexasSystem.1",Assessment!H:H,Assessment!E:E)="yes",_xlfn.XLOOKUP("1222.09ab3System.8",Assessment!H:H,Assessment!E:E)="yes"),"Yes","No")</f>
        <v>#N/A</v>
      </c>
      <c r="B685" s="40" t="s">
        <v>7829</v>
      </c>
      <c r="C685" s="40" t="s">
        <v>8083</v>
      </c>
      <c r="D685" s="40" t="s">
        <v>8722</v>
      </c>
      <c r="E685" s="40" t="s">
        <v>8548</v>
      </c>
    </row>
    <row r="686" spans="1:8" x14ac:dyDescent="0.35">
      <c r="A686" s="40" t="e">
        <f>IF(OR(_xlfn.XLOOKUP("12102.09abNIST80053System.1",Assessment!H:H,Assessment!E:E)="yes"),"Yes","No")</f>
        <v>#N/A</v>
      </c>
      <c r="B686" s="40" t="s">
        <v>7829</v>
      </c>
      <c r="C686" s="40" t="s">
        <v>8083</v>
      </c>
      <c r="D686" s="40" t="s">
        <v>8723</v>
      </c>
      <c r="E686" s="40" t="s">
        <v>8548</v>
      </c>
    </row>
    <row r="687" spans="1:8" x14ac:dyDescent="0.35">
      <c r="A687" s="40" t="e">
        <f>IF(OR(_xlfn.XLOOKUP("12102.09abNIST80053System.1",Assessment!H:H,Assessment!E:E)="yes"),"Yes","No")</f>
        <v>#N/A</v>
      </c>
      <c r="B687" s="40" t="s">
        <v>7829</v>
      </c>
      <c r="C687" s="40" t="s">
        <v>8083</v>
      </c>
      <c r="D687" s="40" t="s">
        <v>8724</v>
      </c>
      <c r="E687" s="40" t="s">
        <v>8548</v>
      </c>
    </row>
    <row r="688" spans="1:8" x14ac:dyDescent="0.35">
      <c r="A688" s="40" t="e">
        <f>IF(OR(_xlfn.XLOOKUP("1215.09ab2System.7",Assessment!H:H,Assessment!E:E)="yes",_xlfn.XLOOKUP("1219.09ab3System.10",Assessment!H:H,Assessment!E:E)="yes"),"Yes","No")</f>
        <v>#N/A</v>
      </c>
      <c r="B688" s="40" t="s">
        <v>7829</v>
      </c>
      <c r="C688" s="40" t="s">
        <v>8083</v>
      </c>
      <c r="D688" s="40" t="s">
        <v>8725</v>
      </c>
      <c r="E688" s="40" t="s">
        <v>8548</v>
      </c>
    </row>
    <row r="689" spans="1:5" x14ac:dyDescent="0.35">
      <c r="A689" s="40" t="e">
        <f>IF(OR(_xlfn.XLOOKUP("1215.09ab2System.7",Assessment!H:H,Assessment!E:E)="yes"),"Yes","No")</f>
        <v>#N/A</v>
      </c>
      <c r="B689" s="40" t="s">
        <v>7829</v>
      </c>
      <c r="C689" s="40" t="s">
        <v>8083</v>
      </c>
      <c r="D689" s="40" t="s">
        <v>8726</v>
      </c>
      <c r="E689" s="40" t="s">
        <v>8548</v>
      </c>
    </row>
    <row r="690" spans="1:5" x14ac:dyDescent="0.35">
      <c r="A690" s="40" t="e">
        <f>IF(OR(_xlfn.XLOOKUP("1302.02e2Organizational.134",Assessment!H:H,Assessment!E:E)="yes",_xlfn.XLOOKUP("0108.02d2Organizational.6",Assessment!H:H,Assessment!E:E)="yes",_xlfn.XLOOKUP("1301.02e2Organizational.7",Assessment!H:H,Assessment!E:E)="yes",_xlfn.XLOOKUP("13.02eNIST80053Organizational.5",Assessment!H:H,Assessment!E:E)="yes"),"Yes","No")</f>
        <v>#N/A</v>
      </c>
      <c r="B690" s="40" t="s">
        <v>7829</v>
      </c>
      <c r="C690" s="40" t="s">
        <v>8083</v>
      </c>
      <c r="D690" s="40" t="s">
        <v>8727</v>
      </c>
      <c r="E690" s="40" t="s">
        <v>8559</v>
      </c>
    </row>
    <row r="691" spans="1:5" x14ac:dyDescent="0.35">
      <c r="A691" s="40" t="e">
        <f>IF(OR(_xlfn.XLOOKUP("1302.02e2Organizational.134",Assessment!H:H,Assessment!E:E)="yes",_xlfn.XLOOKUP("13.02eNIST80053Organizational.5",Assessment!H:H,Assessment!E:E)="yes"),"Yes","No")</f>
        <v>#N/A</v>
      </c>
      <c r="B691" s="40" t="s">
        <v>7829</v>
      </c>
      <c r="C691" s="40" t="s">
        <v>8083</v>
      </c>
      <c r="D691" s="40" t="s">
        <v>8728</v>
      </c>
      <c r="E691" s="40" t="s">
        <v>8559</v>
      </c>
    </row>
    <row r="692" spans="1:5" x14ac:dyDescent="0.35">
      <c r="A692" s="40" t="e">
        <f>IF(OR(_xlfn.XLOOKUP("1302.02e2Organizational.134",Assessment!H:H,Assessment!E:E)="yes",_xlfn.XLOOKUP("0107.02d2Organizational.5",Assessment!H:H,Assessment!E:E)="yes",_xlfn.XLOOKUP("13.02eNIST80053Organizational.5",Assessment!H:H,Assessment!E:E)="yes"),"Yes","No")</f>
        <v>#N/A</v>
      </c>
      <c r="B692" s="40" t="s">
        <v>7829</v>
      </c>
      <c r="C692" s="40" t="s">
        <v>8083</v>
      </c>
      <c r="D692" s="40" t="s">
        <v>8729</v>
      </c>
      <c r="E692" s="40" t="s">
        <v>8559</v>
      </c>
    </row>
    <row r="693" spans="1:5" x14ac:dyDescent="0.35">
      <c r="A693" s="40" t="e">
        <f>IF(OR(_xlfn.XLOOKUP("1302.02e2Organizational.134",Assessment!H:H,Assessment!E:E)="yes",_xlfn.XLOOKUP("0107.02d2Organizational.5",Assessment!H:H,Assessment!E:E)="yes",_xlfn.XLOOKUP("13.02eNIST80053Organizational.5",Assessment!H:H,Assessment!E:E)="yes"),"Yes","No")</f>
        <v>#N/A</v>
      </c>
      <c r="B693" s="40" t="s">
        <v>7829</v>
      </c>
      <c r="C693" s="40" t="s">
        <v>8083</v>
      </c>
      <c r="D693" s="40" t="s">
        <v>8730</v>
      </c>
      <c r="E693" s="40" t="s">
        <v>8559</v>
      </c>
    </row>
    <row r="694" spans="1:5" x14ac:dyDescent="0.35">
      <c r="A694" s="40" t="e">
        <f>IF(OR(_xlfn.XLOOKUP("1302.02e2Organizational.134",Assessment!H:H,Assessment!E:E)="yes",_xlfn.XLOOKUP("13.02eNIST80053Organizational.5",Assessment!H:H,Assessment!E:E)="yes"),"Yes","No")</f>
        <v>#N/A</v>
      </c>
      <c r="B694" s="40" t="s">
        <v>7829</v>
      </c>
      <c r="C694" s="40" t="s">
        <v>8083</v>
      </c>
      <c r="D694" s="40" t="s">
        <v>8731</v>
      </c>
      <c r="E694" s="40" t="s">
        <v>8559</v>
      </c>
    </row>
    <row r="695" spans="1:5" x14ac:dyDescent="0.35">
      <c r="A695" s="40" t="e">
        <f>IF(OR(_xlfn.XLOOKUP("1302.02e2Organizational.134",Assessment!H:H,Assessment!E:E)="yes",_xlfn.XLOOKUP("13.02eNIST80053Organizational.5",Assessment!H:H,Assessment!E:E)="yes"),"Yes","No")</f>
        <v>#N/A</v>
      </c>
      <c r="B695" s="40" t="s">
        <v>7829</v>
      </c>
      <c r="C695" s="40" t="s">
        <v>8083</v>
      </c>
      <c r="D695" s="40" t="s">
        <v>8732</v>
      </c>
      <c r="E695" s="40" t="s">
        <v>8559</v>
      </c>
    </row>
    <row r="696" spans="1:5" x14ac:dyDescent="0.35">
      <c r="A696" s="40" t="e">
        <f>IF(OR(_xlfn.XLOOKUP("1302.02e2Organizational.134",Assessment!H:H,Assessment!E:E)="yes",_xlfn.XLOOKUP("13.02eNIST80053Organizational.5",Assessment!H:H,Assessment!E:E)="yes"),"Yes","No")</f>
        <v>#N/A</v>
      </c>
      <c r="B696" s="40" t="s">
        <v>7829</v>
      </c>
      <c r="C696" s="40" t="s">
        <v>8083</v>
      </c>
      <c r="D696" s="40" t="s">
        <v>8733</v>
      </c>
      <c r="E696" s="40" t="s">
        <v>8559</v>
      </c>
    </row>
    <row r="697" spans="1:5" x14ac:dyDescent="0.35">
      <c r="A697" s="40" t="e">
        <f>IF(OR(_xlfn.XLOOKUP("1305.02e3Organizational.23",Assessment!H:H,Assessment!E:E)="yes"),"Yes","No")</f>
        <v>#N/A</v>
      </c>
      <c r="B697" s="40" t="s">
        <v>7829</v>
      </c>
      <c r="C697" s="40" t="s">
        <v>8083</v>
      </c>
      <c r="D697" s="40" t="s">
        <v>8734</v>
      </c>
      <c r="E697" s="40" t="s">
        <v>8559</v>
      </c>
    </row>
    <row r="698" spans="1:5" x14ac:dyDescent="0.35">
      <c r="A698" s="40" t="e">
        <f>IF(OR(_xlfn.XLOOKUP("1305.02e3Organizational.23",Assessment!H:H,Assessment!E:E)="yes"),"Yes","No")</f>
        <v>#N/A</v>
      </c>
      <c r="B698" s="40" t="s">
        <v>7829</v>
      </c>
      <c r="C698" s="40" t="s">
        <v>8083</v>
      </c>
      <c r="D698" s="40" t="s">
        <v>8735</v>
      </c>
      <c r="E698" s="40" t="s">
        <v>8559</v>
      </c>
    </row>
    <row r="699" spans="1:5" x14ac:dyDescent="0.35">
      <c r="A699" s="40" t="e">
        <f>IF(OR(_xlfn.XLOOKUP("1309.01x2Organizational.4",Assessment!H:H,Assessment!E:E)="yes"),"Yes","No")</f>
        <v>#N/A</v>
      </c>
      <c r="B699" s="40" t="s">
        <v>7829</v>
      </c>
      <c r="C699" s="40" t="s">
        <v>8083</v>
      </c>
      <c r="D699" s="40" t="s">
        <v>8736</v>
      </c>
      <c r="E699" s="40" t="s">
        <v>8395</v>
      </c>
    </row>
    <row r="700" spans="1:5" x14ac:dyDescent="0.35">
      <c r="A700" s="40" t="e">
        <f>IF(OR(_xlfn.XLOOKUP("1309.01x2Organizational.4",Assessment!H:H,Assessment!E:E)="yes"),"Yes","No")</f>
        <v>#N/A</v>
      </c>
      <c r="B700" s="40" t="s">
        <v>7829</v>
      </c>
      <c r="C700" s="40" t="s">
        <v>8083</v>
      </c>
      <c r="D700" s="40" t="s">
        <v>8737</v>
      </c>
      <c r="E700" s="40" t="s">
        <v>8395</v>
      </c>
    </row>
    <row r="701" spans="1:5" x14ac:dyDescent="0.35">
      <c r="A701" s="40" t="e">
        <f>IF(OR(_xlfn.XLOOKUP("1309.01x2Organizational.4",Assessment!H:H,Assessment!E:E)="yes"),"Yes","No")</f>
        <v>#N/A</v>
      </c>
      <c r="B701" s="40" t="s">
        <v>7829</v>
      </c>
      <c r="C701" s="40" t="s">
        <v>8083</v>
      </c>
      <c r="D701" s="40" t="s">
        <v>8738</v>
      </c>
      <c r="E701" s="40" t="s">
        <v>8395</v>
      </c>
    </row>
    <row r="702" spans="1:5" x14ac:dyDescent="0.35">
      <c r="A702" s="40" t="e">
        <f>IF(OR(_xlfn.XLOOKUP("1309.01x2Organizational.4",Assessment!H:H,Assessment!E:E)="yes"),"Yes","No")</f>
        <v>#N/A</v>
      </c>
      <c r="B702" s="40" t="s">
        <v>7829</v>
      </c>
      <c r="C702" s="40" t="s">
        <v>8083</v>
      </c>
      <c r="D702" s="40" t="s">
        <v>8739</v>
      </c>
      <c r="E702" s="40" t="s">
        <v>8395</v>
      </c>
    </row>
    <row r="703" spans="1:5" x14ac:dyDescent="0.35">
      <c r="A703" s="40" t="e">
        <f>IF(OR(_xlfn.XLOOKUP("1315.02e2Organizational.67",Assessment!H:H,Assessment!E:E)="yes"),"Yes","No")</f>
        <v>#N/A</v>
      </c>
      <c r="B703" s="40" t="s">
        <v>7829</v>
      </c>
      <c r="C703" s="40" t="s">
        <v>8083</v>
      </c>
      <c r="D703" s="40" t="s">
        <v>8740</v>
      </c>
      <c r="E703" s="40" t="s">
        <v>8559</v>
      </c>
    </row>
    <row r="704" spans="1:5" x14ac:dyDescent="0.35">
      <c r="A704" s="40" t="e">
        <f>IF(OR(_xlfn.XLOOKUP("1326.02e2Organizational.9",Assessment!H:H,Assessment!E:E)="yes"),"Yes","No")</f>
        <v>#N/A</v>
      </c>
      <c r="B704" s="40" t="s">
        <v>7829</v>
      </c>
      <c r="C704" s="40" t="s">
        <v>8083</v>
      </c>
      <c r="D704" s="40" t="s">
        <v>8741</v>
      </c>
      <c r="E704" s="40" t="s">
        <v>8559</v>
      </c>
    </row>
    <row r="705" spans="1:5" x14ac:dyDescent="0.35">
      <c r="A705" s="40" t="e">
        <f>IF(OR(_xlfn.XLOOKUP("1327.02e2Organizational.8",Assessment!H:H,Assessment!E:E)="yes"),"Yes","No")</f>
        <v>#N/A</v>
      </c>
      <c r="B705" s="40" t="s">
        <v>7829</v>
      </c>
      <c r="C705" s="40" t="s">
        <v>8083</v>
      </c>
      <c r="D705" s="40" t="s">
        <v>8742</v>
      </c>
      <c r="E705" s="40" t="s">
        <v>8559</v>
      </c>
    </row>
    <row r="706" spans="1:5" x14ac:dyDescent="0.35">
      <c r="A706" s="40" t="e">
        <f>IF(OR(_xlfn.XLOOKUP("1327.02e2Organizational.8",Assessment!H:H,Assessment!E:E)="yes",_xlfn.XLOOKUP("19245.06d2Organizational.2",Assessment!H:H,Assessment!E:E)="yes"),"Yes","No")</f>
        <v>#N/A</v>
      </c>
      <c r="B706" s="40" t="s">
        <v>7829</v>
      </c>
      <c r="C706" s="40" t="s">
        <v>8083</v>
      </c>
      <c r="D706" s="40" t="s">
        <v>8743</v>
      </c>
      <c r="E706" s="40" t="s">
        <v>8559</v>
      </c>
    </row>
    <row r="707" spans="1:5" x14ac:dyDescent="0.35">
      <c r="A707" s="40" t="e">
        <f>IF(OR(_xlfn.XLOOKUP("1409.09e2System.1",Assessment!H:H,Assessment!E:E)="yes",_xlfn.XLOOKUP("17120.10a3Organizational.5",Assessment!H:H,Assessment!E:E)="yes"),"Yes","No")</f>
        <v>#N/A</v>
      </c>
      <c r="B707" s="40" t="s">
        <v>7829</v>
      </c>
      <c r="C707" s="40" t="s">
        <v>8083</v>
      </c>
      <c r="D707" s="40" t="s">
        <v>8744</v>
      </c>
      <c r="E707" s="40" t="s">
        <v>8745</v>
      </c>
    </row>
    <row r="708" spans="1:5" x14ac:dyDescent="0.35">
      <c r="A708" s="40" t="e">
        <f>IF(OR(_xlfn.XLOOKUP("1409.09e2System.1",Assessment!H:H,Assessment!E:E)="yes"),"Yes","No")</f>
        <v>#N/A</v>
      </c>
      <c r="B708" s="40" t="s">
        <v>7829</v>
      </c>
      <c r="C708" s="40" t="s">
        <v>8083</v>
      </c>
      <c r="D708" s="40" t="s">
        <v>8746</v>
      </c>
      <c r="E708" s="40" t="s">
        <v>8745</v>
      </c>
    </row>
    <row r="709" spans="1:5" x14ac:dyDescent="0.35">
      <c r="A709" s="40" t="e">
        <f>IF(OR(_xlfn.XLOOKUP("1412.09f3System.1",Assessment!H:H,Assessment!E:E)="yes"),"Yes","No")</f>
        <v>#N/A</v>
      </c>
      <c r="B709" s="40" t="s">
        <v>7829</v>
      </c>
      <c r="C709" s="40" t="s">
        <v>8083</v>
      </c>
      <c r="D709" s="40" t="s">
        <v>8747</v>
      </c>
      <c r="E709" s="40" t="s">
        <v>8748</v>
      </c>
    </row>
    <row r="710" spans="1:5" x14ac:dyDescent="0.35">
      <c r="A710" s="40" t="e">
        <f>IF(OR(_xlfn.XLOOKUP("1412.09f3System.1",Assessment!H:H,Assessment!E:E)="yes"),"Yes","No")</f>
        <v>#N/A</v>
      </c>
      <c r="B710" s="40" t="s">
        <v>7829</v>
      </c>
      <c r="C710" s="40" t="s">
        <v>8083</v>
      </c>
      <c r="D710" s="40" t="s">
        <v>8749</v>
      </c>
      <c r="E710" s="40" t="s">
        <v>8748</v>
      </c>
    </row>
    <row r="711" spans="1:5" x14ac:dyDescent="0.35">
      <c r="A711" s="40" t="e">
        <f>IF(OR(_xlfn.XLOOKUP("1412.09f3System.1",Assessment!H:H,Assessment!E:E)="yes"),"Yes","No")</f>
        <v>#N/A</v>
      </c>
      <c r="B711" s="40" t="s">
        <v>7829</v>
      </c>
      <c r="C711" s="40" t="s">
        <v>8083</v>
      </c>
      <c r="D711" s="40" t="s">
        <v>8750</v>
      </c>
      <c r="E711" s="40" t="s">
        <v>8748</v>
      </c>
    </row>
    <row r="712" spans="1:5" x14ac:dyDescent="0.35">
      <c r="A712" s="40" t="e">
        <f>IF(OR(_xlfn.XLOOKUP("1412.09f3System.1",Assessment!H:H,Assessment!E:E)="yes"),"Yes","No")</f>
        <v>#N/A</v>
      </c>
      <c r="B712" s="40" t="s">
        <v>7829</v>
      </c>
      <c r="C712" s="40" t="s">
        <v>8083</v>
      </c>
      <c r="D712" s="40" t="s">
        <v>8751</v>
      </c>
      <c r="E712" s="40" t="s">
        <v>8748</v>
      </c>
    </row>
    <row r="713" spans="1:5" x14ac:dyDescent="0.35">
      <c r="A713" s="40" t="e">
        <f>IF(OR(_xlfn.XLOOKUP("1412.09f3System.1",Assessment!H:H,Assessment!E:E)="yes"),"Yes","No")</f>
        <v>#N/A</v>
      </c>
      <c r="B713" s="40" t="s">
        <v>7829</v>
      </c>
      <c r="C713" s="40" t="s">
        <v>8083</v>
      </c>
      <c r="D713" s="40" t="s">
        <v>8752</v>
      </c>
      <c r="E713" s="40" t="s">
        <v>8748</v>
      </c>
    </row>
    <row r="714" spans="1:5" x14ac:dyDescent="0.35">
      <c r="A714" s="40" t="e">
        <f>IF(OR(_xlfn.XLOOKUP("1438.09e2System.4",Assessment!H:H,Assessment!E:E)="yes"),"Yes","No")</f>
        <v>#N/A</v>
      </c>
      <c r="B714" s="40" t="s">
        <v>7829</v>
      </c>
      <c r="C714" s="40" t="s">
        <v>8083</v>
      </c>
      <c r="D714" s="40" t="s">
        <v>8753</v>
      </c>
      <c r="E714" s="40" t="s">
        <v>8745</v>
      </c>
    </row>
    <row r="715" spans="1:5" x14ac:dyDescent="0.35">
      <c r="A715" s="40" t="e">
        <f>IF(OR(_xlfn.XLOOKUP("1502.02f2Organizational.3",Assessment!H:H,Assessment!E:E)="yes",_xlfn.XLOOKUP("15.02fHIPAAOrganizational.3",Assessment!H:H,Assessment!E:E)="yes"),"Yes","No")</f>
        <v>#N/A</v>
      </c>
      <c r="B715" s="40" t="s">
        <v>7829</v>
      </c>
      <c r="C715" s="40" t="s">
        <v>8083</v>
      </c>
      <c r="D715" s="40" t="s">
        <v>8754</v>
      </c>
      <c r="E715" s="40" t="s">
        <v>8755</v>
      </c>
    </row>
    <row r="716" spans="1:5" x14ac:dyDescent="0.35">
      <c r="A716" s="40" t="e">
        <f>IF(OR(_xlfn.XLOOKUP("1502.02f2Organizational.3",Assessment!H:H,Assessment!E:E)="yes",_xlfn.XLOOKUP("15.02fHIPAAOrganizational.3",Assessment!H:H,Assessment!E:E)="yes"),"Yes","No")</f>
        <v>#N/A</v>
      </c>
      <c r="B716" s="40" t="s">
        <v>7829</v>
      </c>
      <c r="C716" s="40" t="s">
        <v>8083</v>
      </c>
      <c r="D716" s="40" t="s">
        <v>8756</v>
      </c>
      <c r="E716" s="40" t="s">
        <v>8755</v>
      </c>
    </row>
    <row r="717" spans="1:5" x14ac:dyDescent="0.35">
      <c r="A717" s="40" t="e">
        <f>IF(OR(_xlfn.XLOOKUP("1507.11a2Organizational.7",Assessment!H:H,Assessment!E:E)="yes"),"Yes","No")</f>
        <v>#N/A</v>
      </c>
      <c r="B717" s="40" t="s">
        <v>7829</v>
      </c>
      <c r="C717" s="40" t="s">
        <v>8083</v>
      </c>
      <c r="D717" s="40" t="s">
        <v>8757</v>
      </c>
      <c r="E717" s="40" t="s">
        <v>8578</v>
      </c>
    </row>
    <row r="718" spans="1:5" x14ac:dyDescent="0.35">
      <c r="A718" s="40" t="e">
        <f>IF(OR(_xlfn.XLOOKUP("1507.11a2Organizational.7",Assessment!H:H,Assessment!E:E)="yes"),"Yes","No")</f>
        <v>#N/A</v>
      </c>
      <c r="B718" s="40" t="s">
        <v>7829</v>
      </c>
      <c r="C718" s="40" t="s">
        <v>8083</v>
      </c>
      <c r="D718" s="40" t="s">
        <v>8758</v>
      </c>
      <c r="E718" s="40" t="s">
        <v>8578</v>
      </c>
    </row>
    <row r="719" spans="1:5" x14ac:dyDescent="0.35">
      <c r="A719" s="40" t="e">
        <f>IF(OR(_xlfn.XLOOKUP("1527.11aTexasOrganizational.2",Assessment!H:H,Assessment!E:E)="yes"),"Yes","No")</f>
        <v>#N/A</v>
      </c>
      <c r="B719" s="40" t="s">
        <v>7829</v>
      </c>
      <c r="C719" s="40" t="s">
        <v>8083</v>
      </c>
      <c r="D719" s="40" t="s">
        <v>8759</v>
      </c>
      <c r="E719" s="40" t="s">
        <v>8578</v>
      </c>
    </row>
    <row r="720" spans="1:5" x14ac:dyDescent="0.35">
      <c r="A720" s="40" t="e">
        <f>IF(OR(_xlfn.XLOOKUP("1527.11aTexasOrganizational.2",Assessment!H:H,Assessment!E:E)="yes"),"Yes","No")</f>
        <v>#N/A</v>
      </c>
      <c r="B720" s="40" t="s">
        <v>7829</v>
      </c>
      <c r="C720" s="40" t="s">
        <v>8083</v>
      </c>
      <c r="D720" s="40" t="s">
        <v>8760</v>
      </c>
      <c r="E720" s="40" t="s">
        <v>8578</v>
      </c>
    </row>
    <row r="721" spans="1:8" x14ac:dyDescent="0.35">
      <c r="A721" s="40" t="e">
        <f>IF(OR(_xlfn.XLOOKUP("1528.11aTexasOrganizational.3",Assessment!H:H,Assessment!E:E)="yes"),"Yes","No")</f>
        <v>#N/A</v>
      </c>
      <c r="B721" s="40" t="s">
        <v>7829</v>
      </c>
      <c r="C721" s="40" t="s">
        <v>8083</v>
      </c>
      <c r="D721" s="40" t="s">
        <v>8761</v>
      </c>
      <c r="E721" s="40" t="s">
        <v>8578</v>
      </c>
    </row>
    <row r="722" spans="1:8" x14ac:dyDescent="0.35">
      <c r="A722" s="40" t="e">
        <f>IF(OR(_xlfn.XLOOKUP("1528.11aTexasOrganizational.3",Assessment!H:H,Assessment!E:E)="yes"),"Yes","No")</f>
        <v>#N/A</v>
      </c>
      <c r="B722" s="40" t="s">
        <v>7829</v>
      </c>
      <c r="C722" s="40" t="s">
        <v>8083</v>
      </c>
      <c r="D722" s="40" t="s">
        <v>8762</v>
      </c>
      <c r="E722" s="40" t="s">
        <v>8578</v>
      </c>
    </row>
    <row r="723" spans="1:8" x14ac:dyDescent="0.35">
      <c r="A723" s="40" t="e">
        <f>IF(OR(_xlfn.XLOOKUP("1127.01q2System.3",Assessment!H:H,Assessment!E:E)="yes"),"Yes","No")</f>
        <v>#N/A</v>
      </c>
      <c r="B723" s="40" t="s">
        <v>7829</v>
      </c>
      <c r="C723" s="40" t="s">
        <v>8083</v>
      </c>
      <c r="D723" s="40" t="s">
        <v>8763</v>
      </c>
      <c r="E723" s="40" t="s">
        <v>8504</v>
      </c>
    </row>
    <row r="724" spans="1:8" x14ac:dyDescent="0.35">
      <c r="A724" s="40" t="e">
        <f>IF(OR(_xlfn.XLOOKUP("1620.09l2Organizational.5",Assessment!H:H,Assessment!E:E)="yes"),"Yes","No")</f>
        <v>#N/A</v>
      </c>
      <c r="B724" s="40" t="s">
        <v>7829</v>
      </c>
      <c r="C724" s="40" t="s">
        <v>8083</v>
      </c>
      <c r="D724" s="40" t="s">
        <v>8764</v>
      </c>
      <c r="E724" s="40" t="s">
        <v>8587</v>
      </c>
      <c r="H724" s="40" t="s">
        <v>8765</v>
      </c>
    </row>
    <row r="725" spans="1:8" x14ac:dyDescent="0.35">
      <c r="A725" s="40" t="e">
        <f>IF(OR(_xlfn.XLOOKUP("1635.12b2Organizational.4",Assessment!H:H,Assessment!E:E)="yes"),"Yes","No")</f>
        <v>#N/A</v>
      </c>
      <c r="B725" s="40" t="s">
        <v>7829</v>
      </c>
      <c r="C725" s="40" t="s">
        <v>8083</v>
      </c>
      <c r="D725" s="40" t="s">
        <v>8766</v>
      </c>
      <c r="E725" s="40" t="s">
        <v>8594</v>
      </c>
    </row>
    <row r="726" spans="1:8" x14ac:dyDescent="0.35">
      <c r="A726" s="40" t="e">
        <f>IF(OR(_xlfn.XLOOKUP("1668.12d2Organizational.5",Assessment!H:H,Assessment!E:E)="yes"),"Yes","No")</f>
        <v>#N/A</v>
      </c>
      <c r="B726" s="40" t="s">
        <v>7829</v>
      </c>
      <c r="C726" s="40" t="s">
        <v>8083</v>
      </c>
      <c r="D726" s="40" t="s">
        <v>8767</v>
      </c>
      <c r="E726" s="40" t="s">
        <v>8768</v>
      </c>
    </row>
    <row r="727" spans="1:8" x14ac:dyDescent="0.35">
      <c r="A727" s="40" t="e">
        <f>IF(OR(_xlfn.XLOOKUP("1673.12e2Organizational.6",Assessment!H:H,Assessment!E:E)="yes"),"Yes","No")</f>
        <v>#N/A</v>
      </c>
      <c r="B727" s="40" t="s">
        <v>7829</v>
      </c>
      <c r="C727" s="40" t="s">
        <v>8083</v>
      </c>
      <c r="D727" s="40" t="s">
        <v>8769</v>
      </c>
      <c r="E727" s="40" t="s">
        <v>8770</v>
      </c>
    </row>
    <row r="728" spans="1:8" x14ac:dyDescent="0.35">
      <c r="A728" s="40" t="e">
        <f>IF(OR(_xlfn.XLOOKUP("1674.12e2Organizational.7",Assessment!H:H,Assessment!E:E)="yes"),"Yes","No")</f>
        <v>#N/A</v>
      </c>
      <c r="B728" s="40" t="s">
        <v>7829</v>
      </c>
      <c r="C728" s="40" t="s">
        <v>8083</v>
      </c>
      <c r="D728" s="40" t="s">
        <v>8771</v>
      </c>
      <c r="E728" s="40" t="s">
        <v>8770</v>
      </c>
      <c r="H728" s="40" t="s">
        <v>8177</v>
      </c>
    </row>
    <row r="729" spans="1:8" x14ac:dyDescent="0.35">
      <c r="A729" s="40" t="e">
        <f>IF(OR(_xlfn.XLOOKUP("1674.12e2Organizational.7",Assessment!H:H,Assessment!E:E)="yes"),"Yes","No")</f>
        <v>#N/A</v>
      </c>
      <c r="B729" s="40" t="s">
        <v>7829</v>
      </c>
      <c r="C729" s="40" t="s">
        <v>8083</v>
      </c>
      <c r="D729" s="40" t="s">
        <v>8772</v>
      </c>
      <c r="E729" s="40" t="s">
        <v>8770</v>
      </c>
      <c r="H729" s="40" t="s">
        <v>8177</v>
      </c>
    </row>
    <row r="730" spans="1:8" x14ac:dyDescent="0.35">
      <c r="A730" s="40" t="e">
        <f>IF(OR(_xlfn.XLOOKUP("1699.09l2Organizational.6",Assessment!H:H,Assessment!E:E)="yes"),"Yes","No")</f>
        <v>#N/A</v>
      </c>
      <c r="B730" s="40" t="s">
        <v>7829</v>
      </c>
      <c r="C730" s="40" t="s">
        <v>8083</v>
      </c>
      <c r="D730" s="40" t="s">
        <v>8773</v>
      </c>
      <c r="E730" s="40" t="s">
        <v>8587</v>
      </c>
    </row>
    <row r="731" spans="1:8" x14ac:dyDescent="0.35">
      <c r="A731" s="40" t="e">
        <f>IF(OR(_xlfn.XLOOKUP("1703.03a3Organizational.123",Assessment!H:H,Assessment!E:E)="yes"),"Yes","No")</f>
        <v>#N/A</v>
      </c>
      <c r="B731" s="40" t="s">
        <v>7829</v>
      </c>
      <c r="C731" s="40" t="s">
        <v>8083</v>
      </c>
      <c r="D731" s="40" t="s">
        <v>8774</v>
      </c>
      <c r="E731" s="40" t="s">
        <v>8775</v>
      </c>
    </row>
    <row r="732" spans="1:8" x14ac:dyDescent="0.35">
      <c r="A732" s="40" t="e">
        <f>IF(OR(_xlfn.XLOOKUP("1754.06g2Organizational.6",Assessment!H:H,Assessment!E:E)="yes"),"Yes","No")</f>
        <v>#N/A</v>
      </c>
      <c r="B732" s="40" t="s">
        <v>7829</v>
      </c>
      <c r="C732" s="40" t="s">
        <v>8083</v>
      </c>
      <c r="D732" s="40" t="s">
        <v>8776</v>
      </c>
      <c r="E732" s="40" t="s">
        <v>8403</v>
      </c>
    </row>
    <row r="733" spans="1:8" x14ac:dyDescent="0.35">
      <c r="A733" s="40" t="e">
        <f>IF(OR(_xlfn.XLOOKUP("1754.06g2Organizational.6",Assessment!H:H,Assessment!E:E)="yes"),"Yes","No")</f>
        <v>#N/A</v>
      </c>
      <c r="B733" s="40" t="s">
        <v>7829</v>
      </c>
      <c r="C733" s="40" t="s">
        <v>8083</v>
      </c>
      <c r="D733" s="40" t="s">
        <v>8777</v>
      </c>
      <c r="E733" s="40" t="s">
        <v>8403</v>
      </c>
    </row>
    <row r="734" spans="1:8" x14ac:dyDescent="0.35">
      <c r="A734" s="40" t="e">
        <f>IF(OR(_xlfn.XLOOKUP("1801.08b2Organizational.9",Assessment!H:H,Assessment!E:E)="yes"),"Yes","No")</f>
        <v>#N/A</v>
      </c>
      <c r="B734" s="40" t="s">
        <v>7829</v>
      </c>
      <c r="C734" s="40" t="s">
        <v>8083</v>
      </c>
      <c r="D734" s="40" t="s">
        <v>8778</v>
      </c>
      <c r="E734" s="40" t="s">
        <v>8779</v>
      </c>
      <c r="H734" s="40" t="s">
        <v>8780</v>
      </c>
    </row>
    <row r="735" spans="1:8" x14ac:dyDescent="0.35">
      <c r="A735" s="40" t="e">
        <f>IF(OR(_xlfn.XLOOKUP("1801.08b2Organizational.9",Assessment!H:H,Assessment!E:E)="yes",_xlfn.XLOOKUP("1804.08b2Organizational.12",Assessment!H:H,Assessment!E:E)="yes",_xlfn.XLOOKUP("18.08bNIST80053Organizational.10",Assessment!H:H,Assessment!E:E)="yes"),"Yes","No")</f>
        <v>#N/A</v>
      </c>
      <c r="B735" s="40" t="s">
        <v>7829</v>
      </c>
      <c r="C735" s="40" t="s">
        <v>8083</v>
      </c>
      <c r="D735" s="40" t="s">
        <v>8781</v>
      </c>
      <c r="E735" s="40" t="s">
        <v>8779</v>
      </c>
      <c r="H735" s="40" t="s">
        <v>8780</v>
      </c>
    </row>
    <row r="736" spans="1:8" x14ac:dyDescent="0.35">
      <c r="A736" s="40" t="e">
        <f>IF(OR(_xlfn.XLOOKUP("1801.08b2Organizational.9",Assessment!H:H,Assessment!E:E)="yes"),"Yes","No")</f>
        <v>#N/A</v>
      </c>
      <c r="B736" s="40" t="s">
        <v>7829</v>
      </c>
      <c r="C736" s="40" t="s">
        <v>8083</v>
      </c>
      <c r="D736" s="40" t="s">
        <v>8782</v>
      </c>
      <c r="E736" s="40" t="s">
        <v>8779</v>
      </c>
      <c r="H736" s="40" t="s">
        <v>8780</v>
      </c>
    </row>
    <row r="737" spans="1:8" x14ac:dyDescent="0.35">
      <c r="A737" s="40" t="e">
        <f>IF(OR(_xlfn.XLOOKUP("1801.08b2Organizational.9",Assessment!H:H,Assessment!E:E)="yes",_xlfn.XLOOKUP("1804.08b2Organizational.12",Assessment!H:H,Assessment!E:E)="yes",_xlfn.XLOOKUP("18.08bNIST80053Organizational.10",Assessment!H:H,Assessment!E:E)="yes"),"Yes","No")</f>
        <v>#N/A</v>
      </c>
      <c r="B737" s="40" t="s">
        <v>7829</v>
      </c>
      <c r="C737" s="40" t="s">
        <v>8083</v>
      </c>
      <c r="D737" s="40" t="s">
        <v>8783</v>
      </c>
      <c r="E737" s="40" t="s">
        <v>8779</v>
      </c>
      <c r="H737" s="40" t="s">
        <v>8780</v>
      </c>
    </row>
    <row r="738" spans="1:8" x14ac:dyDescent="0.35">
      <c r="A738" s="40" t="e">
        <f>IF(OR(_xlfn.XLOOKUP("1801.08b2Organizational.9",Assessment!H:H,Assessment!E:E)="yes"),"Yes","No")</f>
        <v>#N/A</v>
      </c>
      <c r="B738" s="40" t="s">
        <v>7829</v>
      </c>
      <c r="C738" s="40" t="s">
        <v>8083</v>
      </c>
      <c r="D738" s="40" t="s">
        <v>8784</v>
      </c>
      <c r="E738" s="40" t="s">
        <v>8779</v>
      </c>
      <c r="H738" s="40" t="s">
        <v>8780</v>
      </c>
    </row>
    <row r="739" spans="1:8" x14ac:dyDescent="0.35">
      <c r="A739" s="40" t="e">
        <f>IF(OR(_xlfn.XLOOKUP("1801.08b2Organizational.9",Assessment!H:H,Assessment!E:E)="yes",_xlfn.XLOOKUP("1804.08b2Organizational.12",Assessment!H:H,Assessment!E:E)="yes",_xlfn.XLOOKUP("18.08bNIST80053Organizational.10",Assessment!H:H,Assessment!E:E)="yes"),"Yes","No")</f>
        <v>#N/A</v>
      </c>
      <c r="B739" s="40" t="s">
        <v>7829</v>
      </c>
      <c r="C739" s="40" t="s">
        <v>8083</v>
      </c>
      <c r="D739" s="40" t="s">
        <v>8785</v>
      </c>
      <c r="E739" s="40" t="s">
        <v>8779</v>
      </c>
      <c r="H739" s="40" t="s">
        <v>8780</v>
      </c>
    </row>
    <row r="740" spans="1:8" x14ac:dyDescent="0.35">
      <c r="A740" s="40" t="e">
        <f>IF(OR(_xlfn.XLOOKUP("1801.08b2Organizational.9",Assessment!H:H,Assessment!E:E)="yes"),"Yes","No")</f>
        <v>#N/A</v>
      </c>
      <c r="B740" s="40" t="s">
        <v>7829</v>
      </c>
      <c r="C740" s="40" t="s">
        <v>8083</v>
      </c>
      <c r="D740" s="40" t="s">
        <v>8786</v>
      </c>
      <c r="E740" s="40" t="s">
        <v>8779</v>
      </c>
      <c r="H740" s="40" t="s">
        <v>8780</v>
      </c>
    </row>
    <row r="741" spans="1:8" x14ac:dyDescent="0.35">
      <c r="A741" s="40" t="e">
        <f>IF(OR(_xlfn.XLOOKUP("18109.08j2Organizational.5",Assessment!H:H,Assessment!E:E)="yes"),"Yes","No")</f>
        <v>#N/A</v>
      </c>
      <c r="B741" s="40" t="s">
        <v>7829</v>
      </c>
      <c r="C741" s="40" t="s">
        <v>8083</v>
      </c>
      <c r="D741" s="40" t="s">
        <v>8787</v>
      </c>
      <c r="E741" s="40" t="s">
        <v>8788</v>
      </c>
    </row>
    <row r="742" spans="1:8" x14ac:dyDescent="0.35">
      <c r="A742" s="40" t="e">
        <f>IF(OR(_xlfn.XLOOKUP("18109.08j2Organizational.5",Assessment!H:H,Assessment!E:E)="yes"),"Yes","No")</f>
        <v>#N/A</v>
      </c>
      <c r="B742" s="40" t="s">
        <v>7829</v>
      </c>
      <c r="C742" s="40" t="s">
        <v>8083</v>
      </c>
      <c r="D742" s="40" t="s">
        <v>8789</v>
      </c>
      <c r="E742" s="40" t="s">
        <v>8788</v>
      </c>
    </row>
    <row r="743" spans="1:8" x14ac:dyDescent="0.35">
      <c r="A743" s="40" t="e">
        <f>IF(OR(_xlfn.XLOOKUP("18111.08j2Organizational.7",Assessment!H:H,Assessment!E:E)="yes"),"Yes","No")</f>
        <v>#N/A</v>
      </c>
      <c r="B743" s="40" t="s">
        <v>7829</v>
      </c>
      <c r="C743" s="40" t="s">
        <v>8083</v>
      </c>
      <c r="D743" s="40" t="s">
        <v>8790</v>
      </c>
      <c r="E743" s="40" t="s">
        <v>8788</v>
      </c>
    </row>
    <row r="744" spans="1:8" x14ac:dyDescent="0.35">
      <c r="A744" s="40" t="e">
        <f>IF(OR(_xlfn.XLOOKUP("18130.09p2Organizational.2",Assessment!H:H,Assessment!E:E)="yes"),"Yes","No")</f>
        <v>#N/A</v>
      </c>
      <c r="B744" s="40" t="s">
        <v>7829</v>
      </c>
      <c r="C744" s="40" t="s">
        <v>8083</v>
      </c>
      <c r="D744" s="40" t="s">
        <v>8791</v>
      </c>
      <c r="E744" s="40" t="s">
        <v>8628</v>
      </c>
    </row>
    <row r="745" spans="1:8" x14ac:dyDescent="0.35">
      <c r="A745" s="40" t="e">
        <f>IF(OR(_xlfn.XLOOKUP("18130.09p2Organizational.2",Assessment!H:H,Assessment!E:E)="yes"),"Yes","No")</f>
        <v>#N/A</v>
      </c>
      <c r="B745" s="40" t="s">
        <v>7829</v>
      </c>
      <c r="C745" s="40" t="s">
        <v>8083</v>
      </c>
      <c r="D745" s="40" t="s">
        <v>8792</v>
      </c>
      <c r="E745" s="40" t="s">
        <v>8628</v>
      </c>
    </row>
    <row r="746" spans="1:8" x14ac:dyDescent="0.35">
      <c r="A746" s="40" t="e">
        <f>IF(OR(_xlfn.XLOOKUP("1814.08d2Organizational.3",Assessment!H:H,Assessment!E:E)="yes"),"Yes","No")</f>
        <v>#N/A</v>
      </c>
      <c r="B746" s="40" t="s">
        <v>7829</v>
      </c>
      <c r="C746" s="40" t="s">
        <v>8083</v>
      </c>
      <c r="D746" s="40" t="s">
        <v>8793</v>
      </c>
      <c r="E746" s="40" t="s">
        <v>8794</v>
      </c>
    </row>
    <row r="747" spans="1:8" x14ac:dyDescent="0.35">
      <c r="A747" s="40" t="e">
        <f>IF(OR(_xlfn.XLOOKUP("1844.08b2Organizational.11",Assessment!H:H,Assessment!E:E)="yes"),"Yes","No")</f>
        <v>#N/A</v>
      </c>
      <c r="B747" s="40" t="s">
        <v>7829</v>
      </c>
      <c r="C747" s="40" t="s">
        <v>8083</v>
      </c>
      <c r="D747" s="40" t="s">
        <v>8795</v>
      </c>
      <c r="E747" s="40" t="s">
        <v>8779</v>
      </c>
      <c r="H747" s="40" t="s">
        <v>8261</v>
      </c>
    </row>
    <row r="748" spans="1:8" x14ac:dyDescent="0.35">
      <c r="A748" s="40" t="e">
        <f>IF(OR(_xlfn.XLOOKUP("1875.08g2Organizational.3",Assessment!H:H,Assessment!E:E)="yes",_xlfn.XLOOKUP("1876.08g2Organizational.4",Assessment!H:H,Assessment!E:E)="yes"),"Yes","No")</f>
        <v>#N/A</v>
      </c>
      <c r="B748" s="40" t="s">
        <v>7829</v>
      </c>
      <c r="C748" s="40" t="s">
        <v>8083</v>
      </c>
      <c r="D748" s="40" t="s">
        <v>8796</v>
      </c>
      <c r="E748" s="40" t="s">
        <v>8646</v>
      </c>
    </row>
    <row r="749" spans="1:8" x14ac:dyDescent="0.35">
      <c r="A749" s="40" t="e">
        <f>IF(OR(_xlfn.XLOOKUP("1877.08g2Organizational.5",Assessment!H:H,Assessment!E:E)="yes"),"Yes","No")</f>
        <v>#N/A</v>
      </c>
      <c r="B749" s="40" t="s">
        <v>7829</v>
      </c>
      <c r="C749" s="40" t="s">
        <v>8083</v>
      </c>
      <c r="D749" s="40" t="s">
        <v>8797</v>
      </c>
      <c r="E749" s="40" t="s">
        <v>8646</v>
      </c>
    </row>
    <row r="750" spans="1:8" x14ac:dyDescent="0.35">
      <c r="A750" s="40" t="e">
        <f>IF(OR(_xlfn.XLOOKUP("1877.08g2Organizational.5",Assessment!H:H,Assessment!E:E)="yes",_xlfn.XLOOKUP("1878.08g2Organizational.6",Assessment!H:H,Assessment!E:E)="yes"),"Yes","No")</f>
        <v>#N/A</v>
      </c>
      <c r="B750" s="40" t="s">
        <v>7829</v>
      </c>
      <c r="C750" s="40" t="s">
        <v>8083</v>
      </c>
      <c r="D750" s="40" t="s">
        <v>8798</v>
      </c>
      <c r="E750" s="40" t="s">
        <v>8646</v>
      </c>
    </row>
    <row r="751" spans="1:8" x14ac:dyDescent="0.35">
      <c r="A751" s="40" t="e">
        <f>IF(OR(_xlfn.XLOOKUP("1879.08g2Organizational.7",Assessment!H:H,Assessment!E:E)="yes"),"Yes","No")</f>
        <v>#N/A</v>
      </c>
      <c r="B751" s="40" t="s">
        <v>7829</v>
      </c>
      <c r="C751" s="40" t="s">
        <v>8083</v>
      </c>
      <c r="D751" s="40" t="s">
        <v>8799</v>
      </c>
      <c r="E751" s="40" t="s">
        <v>8646</v>
      </c>
    </row>
    <row r="752" spans="1:8" x14ac:dyDescent="0.35">
      <c r="A752" s="40" t="e">
        <f>IF(OR(_xlfn.XLOOKUP("1881.08g2Organizational.8",Assessment!H:H,Assessment!E:E)="yes"),"Yes","No")</f>
        <v>#N/A</v>
      </c>
      <c r="B752" s="40" t="s">
        <v>7829</v>
      </c>
      <c r="C752" s="40" t="s">
        <v>8083</v>
      </c>
      <c r="D752" s="40" t="s">
        <v>8800</v>
      </c>
      <c r="E752" s="40" t="s">
        <v>8646</v>
      </c>
    </row>
    <row r="753" spans="1:5" x14ac:dyDescent="0.35">
      <c r="A753" s="40" t="e">
        <f>IF(OR(_xlfn.XLOOKUP("1881.08g2Organizational.8",Assessment!H:H,Assessment!E:E)="yes"),"Yes","No")</f>
        <v>#N/A</v>
      </c>
      <c r="B753" s="40" t="s">
        <v>7829</v>
      </c>
      <c r="C753" s="40" t="s">
        <v>8083</v>
      </c>
      <c r="D753" s="40" t="s">
        <v>8801</v>
      </c>
      <c r="E753" s="40" t="s">
        <v>8646</v>
      </c>
    </row>
    <row r="754" spans="1:5" x14ac:dyDescent="0.35">
      <c r="A754" s="40" t="e">
        <f>IF(OR(_xlfn.XLOOKUP("1881.08g2Organizational.8",Assessment!H:H,Assessment!E:E)="yes"),"Yes","No")</f>
        <v>#N/A</v>
      </c>
      <c r="B754" s="40" t="s">
        <v>7829</v>
      </c>
      <c r="C754" s="40" t="s">
        <v>8083</v>
      </c>
      <c r="D754" s="40" t="s">
        <v>8802</v>
      </c>
      <c r="E754" s="40" t="s">
        <v>8646</v>
      </c>
    </row>
    <row r="755" spans="1:5" x14ac:dyDescent="0.35">
      <c r="A755" s="40" t="e">
        <f>IF(OR(_xlfn.XLOOKUP("1881.08g2Organizational.8",Assessment!H:H,Assessment!E:E)="yes"),"Yes","No")</f>
        <v>#N/A</v>
      </c>
      <c r="B755" s="40" t="s">
        <v>7829</v>
      </c>
      <c r="C755" s="40" t="s">
        <v>8083</v>
      </c>
      <c r="D755" s="40" t="s">
        <v>8803</v>
      </c>
      <c r="E755" s="40" t="s">
        <v>8646</v>
      </c>
    </row>
    <row r="756" spans="1:5" x14ac:dyDescent="0.35">
      <c r="A756" s="40" t="e">
        <f>IF(OR(_xlfn.XLOOKUP("1881.08g2Organizational.8",Assessment!H:H,Assessment!E:E)="yes"),"Yes","No")</f>
        <v>#N/A</v>
      </c>
      <c r="B756" s="40" t="s">
        <v>7829</v>
      </c>
      <c r="C756" s="40" t="s">
        <v>8083</v>
      </c>
      <c r="D756" s="40" t="s">
        <v>8804</v>
      </c>
      <c r="E756" s="40" t="s">
        <v>8646</v>
      </c>
    </row>
    <row r="757" spans="1:5" x14ac:dyDescent="0.35">
      <c r="A757" s="40" t="e">
        <f>IF(OR(_xlfn.XLOOKUP("1881.08g2Organizational.8",Assessment!H:H,Assessment!E:E)="yes"),"Yes","No")</f>
        <v>#N/A</v>
      </c>
      <c r="B757" s="40" t="s">
        <v>7829</v>
      </c>
      <c r="C757" s="40" t="s">
        <v>8083</v>
      </c>
      <c r="D757" s="40" t="s">
        <v>8805</v>
      </c>
      <c r="E757" s="40" t="s">
        <v>8646</v>
      </c>
    </row>
    <row r="758" spans="1:5" x14ac:dyDescent="0.35">
      <c r="A758" s="40" t="e">
        <f>IF(OR(_xlfn.XLOOKUP("1881.08g2Organizational.8",Assessment!H:H,Assessment!E:E)="yes"),"Yes","No")</f>
        <v>#N/A</v>
      </c>
      <c r="B758" s="40" t="s">
        <v>7829</v>
      </c>
      <c r="C758" s="40" t="s">
        <v>8083</v>
      </c>
      <c r="D758" s="40" t="s">
        <v>8806</v>
      </c>
      <c r="E758" s="40" t="s">
        <v>8646</v>
      </c>
    </row>
    <row r="759" spans="1:5" x14ac:dyDescent="0.35">
      <c r="A759" s="40" t="e">
        <f>IF(OR(_xlfn.XLOOKUP("1881.08g2Organizational.8",Assessment!H:H,Assessment!E:E)="yes"),"Yes","No")</f>
        <v>#N/A</v>
      </c>
      <c r="B759" s="40" t="s">
        <v>7829</v>
      </c>
      <c r="C759" s="40" t="s">
        <v>8083</v>
      </c>
      <c r="D759" s="40" t="s">
        <v>8807</v>
      </c>
      <c r="E759" s="40" t="s">
        <v>8646</v>
      </c>
    </row>
    <row r="760" spans="1:5" x14ac:dyDescent="0.35">
      <c r="A760" s="40" t="e">
        <f>IF(OR(_xlfn.XLOOKUP("0103.00a3Organizational.1234567",Assessment!H:H,Assessment!E:E)="yes",_xlfn.XLOOKUP("0108.02d2Organizational.6",Assessment!H:H,Assessment!E:E)="yes"),"Yes","No")</f>
        <v>#N/A</v>
      </c>
      <c r="B760" s="40" t="s">
        <v>7829</v>
      </c>
      <c r="C760" s="40" t="s">
        <v>8083</v>
      </c>
      <c r="D760" s="40" t="s">
        <v>8808</v>
      </c>
      <c r="E760" s="40" t="s">
        <v>8349</v>
      </c>
    </row>
    <row r="761" spans="1:5" x14ac:dyDescent="0.35">
      <c r="A761" s="40" t="e">
        <f>IF(OR(_xlfn.XLOOKUP("0103.00a3Organizational.1234567",Assessment!H:H,Assessment!E:E)="yes",_xlfn.XLOOKUP("0178.05h2Organizational.2",Assessment!H:H,Assessment!E:E)="yes",_xlfn.XLOOKUP("0179.05h2Organizational.3",Assessment!H:H,Assessment!E:E)="yes"),"Yes","No")</f>
        <v>#N/A</v>
      </c>
      <c r="B761" s="40" t="s">
        <v>7829</v>
      </c>
      <c r="C761" s="40" t="s">
        <v>8083</v>
      </c>
      <c r="D761" s="40" t="s">
        <v>8809</v>
      </c>
      <c r="E761" s="40" t="s">
        <v>8349</v>
      </c>
    </row>
    <row r="762" spans="1:5" x14ac:dyDescent="0.35">
      <c r="A762" s="40" t="e">
        <f>IF(OR(_xlfn.XLOOKUP("0103.00a3Organizational.1234567",Assessment!H:H,Assessment!E:E)="yes",_xlfn.XLOOKUP("0179.05h2Organizational.3",Assessment!H:H,Assessment!E:E)="yes"),"Yes","No")</f>
        <v>#N/A</v>
      </c>
      <c r="B762" s="40" t="s">
        <v>7829</v>
      </c>
      <c r="C762" s="40" t="s">
        <v>8083</v>
      </c>
      <c r="D762" s="40" t="s">
        <v>8810</v>
      </c>
      <c r="E762" s="40" t="s">
        <v>8349</v>
      </c>
    </row>
    <row r="763" spans="1:5" x14ac:dyDescent="0.35">
      <c r="A763" s="40" t="e">
        <f>IF(OR(_xlfn.XLOOKUP("0118.05a2Organizational.6",Assessment!H:H,Assessment!E:E)="yes",_xlfn.XLOOKUP("01.05aNIST80053Organizational.4",Assessment!H:H,Assessment!E:E)="yes"),"Yes","No")</f>
        <v>#N/A</v>
      </c>
      <c r="B763" s="40" t="s">
        <v>7829</v>
      </c>
      <c r="C763" s="40" t="s">
        <v>8083</v>
      </c>
      <c r="D763" s="40" t="s">
        <v>8811</v>
      </c>
      <c r="E763" s="40" t="s">
        <v>8360</v>
      </c>
    </row>
    <row r="764" spans="1:5" x14ac:dyDescent="0.35">
      <c r="A764" s="40" t="e">
        <f>IF(OR(_xlfn.XLOOKUP("0118.05a2Organizational.6",Assessment!H:H,Assessment!E:E)="yes",_xlfn.XLOOKUP("01.05aNIST80053Organizational.4",Assessment!H:H,Assessment!E:E)="yes"),"Yes","No")</f>
        <v>#N/A</v>
      </c>
      <c r="B764" s="40" t="s">
        <v>7829</v>
      </c>
      <c r="C764" s="40" t="s">
        <v>8083</v>
      </c>
      <c r="D764" s="40" t="s">
        <v>8812</v>
      </c>
      <c r="E764" s="40" t="s">
        <v>8360</v>
      </c>
    </row>
    <row r="765" spans="1:5" x14ac:dyDescent="0.35">
      <c r="A765" s="40" t="e">
        <f>IF(OR(_xlfn.XLOOKUP("0118.05a2Organizational.6",Assessment!H:H,Assessment!E:E)="yes",_xlfn.XLOOKUP("01.05aNIST80053Organizational.4",Assessment!H:H,Assessment!E:E)="yes"),"Yes","No")</f>
        <v>#N/A</v>
      </c>
      <c r="B765" s="40" t="s">
        <v>7829</v>
      </c>
      <c r="C765" s="40" t="s">
        <v>8083</v>
      </c>
      <c r="D765" s="40" t="s">
        <v>8813</v>
      </c>
      <c r="E765" s="40" t="s">
        <v>8360</v>
      </c>
    </row>
    <row r="766" spans="1:5" x14ac:dyDescent="0.35">
      <c r="A766" s="40" t="e">
        <f>IF(OR(_xlfn.XLOOKUP("0118.05a2Organizational.6",Assessment!H:H,Assessment!E:E)="yes",_xlfn.XLOOKUP("01.05aNIST80053Organizational.4",Assessment!H:H,Assessment!E:E)="yes"),"Yes","No")</f>
        <v>#N/A</v>
      </c>
      <c r="B766" s="40" t="s">
        <v>7829</v>
      </c>
      <c r="C766" s="40" t="s">
        <v>8083</v>
      </c>
      <c r="D766" s="40" t="s">
        <v>8814</v>
      </c>
      <c r="E766" s="40" t="s">
        <v>8360</v>
      </c>
    </row>
    <row r="767" spans="1:5" x14ac:dyDescent="0.35">
      <c r="A767" s="40" t="e">
        <f>IF(OR(_xlfn.XLOOKUP("0118.05a2Organizational.6",Assessment!H:H,Assessment!E:E)="yes",_xlfn.XLOOKUP("01.05aNIST80053Organizational.4",Assessment!H:H,Assessment!E:E)="yes"),"Yes","No")</f>
        <v>#N/A</v>
      </c>
      <c r="B767" s="40" t="s">
        <v>7829</v>
      </c>
      <c r="C767" s="40" t="s">
        <v>8083</v>
      </c>
      <c r="D767" s="40" t="s">
        <v>8815</v>
      </c>
      <c r="E767" s="40" t="s">
        <v>8360</v>
      </c>
    </row>
    <row r="768" spans="1:5" x14ac:dyDescent="0.35">
      <c r="A768" s="40" t="e">
        <f>IF(OR(_xlfn.XLOOKUP("0118.05a2Organizational.6",Assessment!H:H,Assessment!E:E)="yes",_xlfn.XLOOKUP("01.05aNIST80053Organizational.4",Assessment!H:H,Assessment!E:E)="yes"),"Yes","No")</f>
        <v>#N/A</v>
      </c>
      <c r="B768" s="40" t="s">
        <v>7829</v>
      </c>
      <c r="C768" s="40" t="s">
        <v>8083</v>
      </c>
      <c r="D768" s="40" t="s">
        <v>8816</v>
      </c>
      <c r="E768" s="40" t="s">
        <v>8360</v>
      </c>
    </row>
    <row r="769" spans="1:8" x14ac:dyDescent="0.35">
      <c r="A769" s="40" t="e">
        <f>IF(OR(_xlfn.XLOOKUP("0118.05a2Organizational.6",Assessment!H:H,Assessment!E:E)="yes",_xlfn.XLOOKUP("01.05aNIST80053Organizational.4",Assessment!H:H,Assessment!E:E)="yes"),"Yes","No")</f>
        <v>#N/A</v>
      </c>
      <c r="B769" s="40" t="s">
        <v>7829</v>
      </c>
      <c r="C769" s="40" t="s">
        <v>8083</v>
      </c>
      <c r="D769" s="40" t="s">
        <v>8817</v>
      </c>
      <c r="E769" s="40" t="s">
        <v>8360</v>
      </c>
    </row>
    <row r="770" spans="1:8" x14ac:dyDescent="0.35">
      <c r="A770" s="40" t="e">
        <f>IF(OR(_xlfn.XLOOKUP("0118.05a2Organizational.6",Assessment!H:H,Assessment!E:E)="yes",_xlfn.XLOOKUP("01.05aNIST80053Organizational.4",Assessment!H:H,Assessment!E:E)="yes"),"Yes","No")</f>
        <v>#N/A</v>
      </c>
      <c r="B770" s="40" t="s">
        <v>7829</v>
      </c>
      <c r="C770" s="40" t="s">
        <v>8083</v>
      </c>
      <c r="D770" s="40" t="s">
        <v>8818</v>
      </c>
      <c r="E770" s="40" t="s">
        <v>8360</v>
      </c>
    </row>
    <row r="771" spans="1:8" x14ac:dyDescent="0.35">
      <c r="A771" s="40" t="e">
        <f>IF(OR(_xlfn.XLOOKUP("0118.05a2Organizational.6",Assessment!H:H,Assessment!E:E)="yes",_xlfn.XLOOKUP("01.05aNIST80053Organizational.4",Assessment!H:H,Assessment!E:E)="yes"),"Yes","No")</f>
        <v>#N/A</v>
      </c>
      <c r="B771" s="40" t="s">
        <v>7829</v>
      </c>
      <c r="C771" s="40" t="s">
        <v>8083</v>
      </c>
      <c r="D771" s="40" t="s">
        <v>8819</v>
      </c>
      <c r="E771" s="40" t="s">
        <v>8360</v>
      </c>
    </row>
    <row r="772" spans="1:8" x14ac:dyDescent="0.35">
      <c r="A772" s="40" t="e">
        <f>IF(OR(_xlfn.XLOOKUP("0119.05a2Organizational.7",Assessment!H:H,Assessment!E:E)="yes",_xlfn.XLOOKUP("0172.05c2Organizational.3",Assessment!H:H,Assessment!E:E)="yes",_xlfn.XLOOKUP("0110.02d2Organizational.1",Assessment!H:H,Assessment!E:E)="yes"),"Yes","No")</f>
        <v>#N/A</v>
      </c>
      <c r="B772" s="40" t="s">
        <v>7829</v>
      </c>
      <c r="C772" s="40" t="s">
        <v>8083</v>
      </c>
      <c r="D772" s="40" t="s">
        <v>8820</v>
      </c>
      <c r="E772" s="40" t="s">
        <v>8360</v>
      </c>
    </row>
    <row r="773" spans="1:8" x14ac:dyDescent="0.35">
      <c r="A773" s="40" t="e">
        <f>IF(OR(_xlfn.XLOOKUP("0177.05h2Organizational.1",Assessment!H:H,Assessment!E:E)="yes"),"Yes","No")</f>
        <v>#N/A</v>
      </c>
      <c r="B773" s="40" t="s">
        <v>7829</v>
      </c>
      <c r="C773" s="40" t="s">
        <v>8083</v>
      </c>
      <c r="D773" s="40" t="s">
        <v>8821</v>
      </c>
      <c r="E773" s="40" t="s">
        <v>8371</v>
      </c>
    </row>
    <row r="774" spans="1:8" x14ac:dyDescent="0.35">
      <c r="A774" s="40" t="e">
        <f>IF(OR(_xlfn.XLOOKUP("0177.05h2Organizational.1",Assessment!H:H,Assessment!E:E)="yes"),"Yes","No")</f>
        <v>#N/A</v>
      </c>
      <c r="B774" s="40" t="s">
        <v>7829</v>
      </c>
      <c r="C774" s="40" t="s">
        <v>8083</v>
      </c>
      <c r="D774" s="40" t="s">
        <v>8822</v>
      </c>
      <c r="E774" s="40" t="s">
        <v>8371</v>
      </c>
    </row>
    <row r="775" spans="1:8" x14ac:dyDescent="0.35">
      <c r="A775" s="40" t="e">
        <f>IF(OR(_xlfn.XLOOKUP("0177.05h2Organizational.1",Assessment!H:H,Assessment!E:E)="yes"),"Yes","No")</f>
        <v>#N/A</v>
      </c>
      <c r="B775" s="40" t="s">
        <v>7829</v>
      </c>
      <c r="C775" s="40" t="s">
        <v>8083</v>
      </c>
      <c r="D775" s="40" t="s">
        <v>8823</v>
      </c>
      <c r="E775" s="40" t="s">
        <v>8371</v>
      </c>
    </row>
    <row r="776" spans="1:8" x14ac:dyDescent="0.35">
      <c r="A776" s="40" t="e">
        <f>IF(OR(_xlfn.XLOOKUP("0177.05h2Organizational.1",Assessment!H:H,Assessment!E:E)="yes",_xlfn.XLOOKUP("0108.02d2Organizational.6",Assessment!H:H,Assessment!E:E)="yes"),"Yes","No")</f>
        <v>#N/A</v>
      </c>
      <c r="B776" s="40" t="s">
        <v>7829</v>
      </c>
      <c r="C776" s="40" t="s">
        <v>8083</v>
      </c>
      <c r="D776" s="40" t="s">
        <v>8824</v>
      </c>
      <c r="E776" s="40" t="s">
        <v>8371</v>
      </c>
    </row>
    <row r="777" spans="1:8" x14ac:dyDescent="0.35">
      <c r="A777" s="40" t="e">
        <f>IF(OR(_xlfn.XLOOKUP("0177.05h2Organizational.1",Assessment!H:H,Assessment!E:E)="yes"),"Yes","No")</f>
        <v>#N/A</v>
      </c>
      <c r="B777" s="40" t="s">
        <v>7829</v>
      </c>
      <c r="C777" s="40" t="s">
        <v>8083</v>
      </c>
      <c r="D777" s="40" t="s">
        <v>8825</v>
      </c>
      <c r="E777" s="40" t="s">
        <v>8371</v>
      </c>
    </row>
    <row r="778" spans="1:8" x14ac:dyDescent="0.35">
      <c r="A778" s="40" t="e">
        <f>IF(OR(_xlfn.XLOOKUP("0177.05h2Organizational.1",Assessment!H:H,Assessment!E:E)="yes"),"Yes","No")</f>
        <v>#N/A</v>
      </c>
      <c r="B778" s="40" t="s">
        <v>7829</v>
      </c>
      <c r="C778" s="40" t="s">
        <v>8083</v>
      </c>
      <c r="D778" s="40" t="s">
        <v>8826</v>
      </c>
      <c r="E778" s="40" t="s">
        <v>8371</v>
      </c>
    </row>
    <row r="779" spans="1:8" x14ac:dyDescent="0.35">
      <c r="A779" s="40" t="e">
        <f>IF(OR(_xlfn.XLOOKUP("0178.05h2Organizational.2",Assessment!H:H,Assessment!E:E)="yes"),"Yes","No")</f>
        <v>#N/A</v>
      </c>
      <c r="B779" s="40" t="s">
        <v>7829</v>
      </c>
      <c r="C779" s="40" t="s">
        <v>8083</v>
      </c>
      <c r="D779" s="40" t="s">
        <v>8827</v>
      </c>
      <c r="E779" s="40" t="s">
        <v>8371</v>
      </c>
    </row>
    <row r="780" spans="1:8" x14ac:dyDescent="0.35">
      <c r="A780" s="40" t="e">
        <f>IF(OR(_xlfn.XLOOKUP("1904.06d2Organizational.1",Assessment!H:H,Assessment!E:E)="yes"),"Yes","No")</f>
        <v>#N/A</v>
      </c>
      <c r="B780" s="40" t="s">
        <v>7829</v>
      </c>
      <c r="C780" s="40" t="s">
        <v>8083</v>
      </c>
      <c r="D780" s="40" t="s">
        <v>8828</v>
      </c>
      <c r="E780" s="40" t="s">
        <v>8655</v>
      </c>
    </row>
    <row r="781" spans="1:8" x14ac:dyDescent="0.35">
      <c r="A781" s="40" t="e">
        <f>IF(OR(_xlfn.XLOOKUP("19143.06c2Organizational.3",Assessment!H:H,Assessment!E:E)="yes"),"Yes","No")</f>
        <v>#N/A</v>
      </c>
      <c r="B781" s="40" t="s">
        <v>7829</v>
      </c>
      <c r="C781" s="40" t="s">
        <v>8083</v>
      </c>
      <c r="D781" s="40" t="s">
        <v>8829</v>
      </c>
      <c r="E781" s="40" t="s">
        <v>8664</v>
      </c>
    </row>
    <row r="782" spans="1:8" x14ac:dyDescent="0.35">
      <c r="A782" s="40" t="e">
        <f>IF(OR(_xlfn.XLOOKUP("19189.10c2System.8",Assessment!H:H,Assessment!E:E)="yes",_xlfn.XLOOKUP("19.10cISO27001System.3",Assessment!H:H,Assessment!E:E)="yes"),"Yes","No")</f>
        <v>#N/A</v>
      </c>
      <c r="B782" s="40" t="s">
        <v>7829</v>
      </c>
      <c r="C782" s="40" t="s">
        <v>8083</v>
      </c>
      <c r="D782" s="40" t="s">
        <v>8830</v>
      </c>
      <c r="E782" s="40" t="s">
        <v>8414</v>
      </c>
    </row>
    <row r="783" spans="1:8" x14ac:dyDescent="0.35">
      <c r="A783" s="40" t="e">
        <f>IF(OR(_xlfn.XLOOKUP("19191.10c2System.6",Assessment!H:H,Assessment!E:E)="yes"),"Yes","No")</f>
        <v>#N/A</v>
      </c>
      <c r="B783" s="40" t="s">
        <v>7829</v>
      </c>
      <c r="C783" s="40" t="s">
        <v>8083</v>
      </c>
      <c r="D783" s="40" t="s">
        <v>8831</v>
      </c>
      <c r="E783" s="40" t="s">
        <v>8414</v>
      </c>
    </row>
    <row r="784" spans="1:8" x14ac:dyDescent="0.35">
      <c r="A784" s="40" t="e">
        <f>IF(OR(_xlfn.XLOOKUP("19191.10c2System.6",Assessment!H:H,Assessment!E:E)="yes"),"Yes","No")</f>
        <v>#N/A</v>
      </c>
      <c r="B784" s="40" t="s">
        <v>7829</v>
      </c>
      <c r="C784" s="40" t="s">
        <v>8083</v>
      </c>
      <c r="D784" s="40" t="s">
        <v>8832</v>
      </c>
      <c r="E784" s="40" t="s">
        <v>8414</v>
      </c>
      <c r="H784" s="40" t="s">
        <v>8833</v>
      </c>
    </row>
    <row r="785" spans="1:5" x14ac:dyDescent="0.35">
      <c r="A785" s="40" t="e">
        <f>IF(OR(_xlfn.XLOOKUP("19191.10c2System.6",Assessment!H:H,Assessment!E:E)="yes"),"Yes","No")</f>
        <v>#N/A</v>
      </c>
      <c r="B785" s="40" t="s">
        <v>7829</v>
      </c>
      <c r="C785" s="40" t="s">
        <v>8083</v>
      </c>
      <c r="D785" s="40" t="s">
        <v>8834</v>
      </c>
      <c r="E785" s="40" t="s">
        <v>8414</v>
      </c>
    </row>
    <row r="786" spans="1:5" x14ac:dyDescent="0.35">
      <c r="A786" s="40" t="e">
        <f>IF(OR(_xlfn.XLOOKUP("19191.10c2System.6",Assessment!H:H,Assessment!E:E)="yes"),"Yes","No")</f>
        <v>#N/A</v>
      </c>
      <c r="B786" s="40" t="s">
        <v>7829</v>
      </c>
      <c r="C786" s="40" t="s">
        <v>8083</v>
      </c>
      <c r="D786" s="40" t="s">
        <v>8835</v>
      </c>
      <c r="E786" s="40" t="s">
        <v>8414</v>
      </c>
    </row>
    <row r="787" spans="1:5" x14ac:dyDescent="0.35">
      <c r="A787" s="40" t="e">
        <f>IF(OR(_xlfn.XLOOKUP("19191.10c2System.6",Assessment!H:H,Assessment!E:E)="yes"),"Yes","No")</f>
        <v>#N/A</v>
      </c>
      <c r="B787" s="40" t="s">
        <v>7829</v>
      </c>
      <c r="C787" s="40" t="s">
        <v>8083</v>
      </c>
      <c r="D787" s="40" t="s">
        <v>8836</v>
      </c>
      <c r="E787" s="40" t="s">
        <v>8414</v>
      </c>
    </row>
    <row r="788" spans="1:5" x14ac:dyDescent="0.35">
      <c r="A788" s="40" t="e">
        <f>IF(OR(_xlfn.XLOOKUP("19191.10c2System.6",Assessment!H:H,Assessment!E:E)="yes"),"Yes","No")</f>
        <v>#N/A</v>
      </c>
      <c r="B788" s="40" t="s">
        <v>7829</v>
      </c>
      <c r="C788" s="40" t="s">
        <v>8083</v>
      </c>
      <c r="D788" s="40" t="s">
        <v>8837</v>
      </c>
      <c r="E788" s="40" t="s">
        <v>8414</v>
      </c>
    </row>
    <row r="789" spans="1:5" x14ac:dyDescent="0.35">
      <c r="A789" s="40" t="e">
        <f>IF(OR(_xlfn.XLOOKUP("19191.10c2System.6",Assessment!H:H,Assessment!E:E)="yes"),"Yes","No")</f>
        <v>#N/A</v>
      </c>
      <c r="B789" s="40" t="s">
        <v>7829</v>
      </c>
      <c r="C789" s="40" t="s">
        <v>8083</v>
      </c>
      <c r="D789" s="40" t="s">
        <v>8838</v>
      </c>
      <c r="E789" s="40" t="s">
        <v>8414</v>
      </c>
    </row>
    <row r="790" spans="1:5" x14ac:dyDescent="0.35">
      <c r="A790" s="40" t="e">
        <f>IF(OR(_xlfn.XLOOKUP("19412.13i1Organizational.1",Assessment!H:H,Assessment!E:E)="yes"),"Yes","No")</f>
        <v>#N/A</v>
      </c>
      <c r="B790" s="40" t="s">
        <v>7829</v>
      </c>
      <c r="C790" s="40" t="s">
        <v>8083</v>
      </c>
      <c r="D790" s="40" t="s">
        <v>8839</v>
      </c>
      <c r="E790" s="40" t="s">
        <v>8840</v>
      </c>
    </row>
    <row r="791" spans="1:5" x14ac:dyDescent="0.35">
      <c r="A791" s="40" t="e">
        <f>IF(OR(_xlfn.XLOOKUP("19412.13i1Organizational.1",Assessment!H:H,Assessment!E:E)="yes"),"Yes","No")</f>
        <v>#N/A</v>
      </c>
      <c r="B791" s="40" t="s">
        <v>7829</v>
      </c>
      <c r="C791" s="40" t="s">
        <v>8083</v>
      </c>
      <c r="D791" s="40" t="s">
        <v>8841</v>
      </c>
      <c r="E791" s="40" t="s">
        <v>8840</v>
      </c>
    </row>
    <row r="792" spans="1:5" x14ac:dyDescent="0.35">
      <c r="A792" s="40" t="e">
        <f>IF(OR(_xlfn.XLOOKUP("19446.13kHIPAAOrganizational.18",Assessment!H:H,Assessment!E:E)="yes"),"Yes","No")</f>
        <v>#N/A</v>
      </c>
      <c r="B792" s="40" t="s">
        <v>7829</v>
      </c>
      <c r="C792" s="40" t="s">
        <v>8083</v>
      </c>
      <c r="D792" s="40" t="s">
        <v>8842</v>
      </c>
      <c r="E792" s="40" t="s">
        <v>8843</v>
      </c>
    </row>
    <row r="793" spans="1:5" x14ac:dyDescent="0.35">
      <c r="A793" s="40" t="e">
        <f>IF(OR(_xlfn.XLOOKUP("19446.13kHIPAAOrganizational.18",Assessment!H:H,Assessment!E:E)="yes"),"Yes","No")</f>
        <v>#N/A</v>
      </c>
      <c r="B793" s="40" t="s">
        <v>7829</v>
      </c>
      <c r="C793" s="40" t="s">
        <v>8083</v>
      </c>
      <c r="D793" s="40" t="s">
        <v>8844</v>
      </c>
      <c r="E793" s="40" t="s">
        <v>8843</v>
      </c>
    </row>
    <row r="794" spans="1:5" x14ac:dyDescent="0.35">
      <c r="A794" s="40" t="e">
        <f>IF(OR(_xlfn.XLOOKUP("19494.13l1Organizational.2",Assessment!H:H,Assessment!E:E)="yes"),"Yes","No")</f>
        <v>#N/A</v>
      </c>
      <c r="B794" s="40" t="s">
        <v>7829</v>
      </c>
      <c r="C794" s="40" t="s">
        <v>8083</v>
      </c>
      <c r="D794" s="40" t="s">
        <v>8845</v>
      </c>
      <c r="E794" s="40" t="s">
        <v>8846</v>
      </c>
    </row>
    <row r="795" spans="1:5" x14ac:dyDescent="0.35">
      <c r="A795" s="40" t="e">
        <f>IF(OR(_xlfn.XLOOKUP("19310.13aTexasOrganizational.8",Assessment!H:H,Assessment!E:E)="yes",_xlfn.XLOOKUP("19344.13dTexasOrganizational.1",Assessment!H:H,Assessment!E:E)="yes",_xlfn.XLOOKUP("19345.13dTexasOrganizational.2",Assessment!H:H,Assessment!E:E)="yes",_xlfn.XLOOKUP("19346.13dTexasOrganizational.3",Assessment!H:H,Assessment!E:E)="yes",_xlfn.XLOOKUP("19460.13kTexasOrganizational.3",Assessment!H:H,Assessment!E:E)="yes",_xlfn.XLOOKUP("19461.13kTexasOrganizational.4",Assessment!H:H,Assessment!E:E)="yes",_xlfn.XLOOKUP("19462.13kTexasOrganizational.5",Assessment!H:H,Assessment!E:E)="yes",_xlfn.XLOOKUP("19463.13kTexasOrganizational.6",Assessment!H:H,Assessment!E:E)="yes",_xlfn.XLOOKUP("19464.13kTexasOrganizational.7",Assessment!H:H,Assessment!E:E)="yes",_xlfn.XLOOKUP("19466.13kTexasOrganizational.9",Assessment!H:H,Assessment!E:E)="yes",_xlfn.XLOOKUP("19469.13kTexasOrganizational.12",Assessment!H:H,Assessment!E:E)="yes",_xlfn.XLOOKUP("19470.13kTexasOrganizational.13",Assessment!H:H,Assessment!E:E)="yes",_xlfn.XLOOKUP("19471.13kTexasOrganizational.14",Assessment!H:H,Assessment!E:E)="yes",_xlfn.XLOOKUP("19472.13kTexasOrganizational.15",Assessment!H:H,Assessment!E:E)="yes",_xlfn.XLOOKUP("19473.13kTexasOrganizational.16",Assessment!H:H,Assessment!E:E)="yes",_xlfn.XLOOKUP("19474.13kTexasOrganizational.17",Assessment!H:H,Assessment!E:E)="yes",_xlfn.XLOOKUP("19475.13kTexasOrganizational.18",Assessment!H:H,Assessment!E:E)="yes",_xlfn.XLOOKUP("19476.13kTexasOrganizational.19",Assessment!H:H,Assessment!E:E)="yes",_xlfn.XLOOKUP("19477.13kTexasOrganizational.20",Assessment!H:H,Assessment!E:E)="yes",_xlfn.XLOOKUP("19478.13kTexasOrganizational.21",Assessment!H:H,Assessment!E:E)="yes",_xlfn.XLOOKUP("19479.13kTexasOrganizational.22",Assessment!H:H,Assessment!E:E)="yes",_xlfn.XLOOKUP("19480.13kTexasOrganizational.23",Assessment!H:H,Assessment!E:E)="yes",_xlfn.XLOOKUP("19481.13kTexasOrganizational.24",Assessment!H:H,Assessment!E:E)="yes",_xlfn.XLOOKUP("19485.13kTexasOrganizational.28",Assessment!H:H,Assessment!E:E)="yes",_xlfn.XLOOKUP("19486.13kTexasOrganizational.29",Assessment!H:H,Assessment!E:E)="yes"),"Yes","No")</f>
        <v>#N/A</v>
      </c>
      <c r="B795" s="40" t="s">
        <v>7829</v>
      </c>
      <c r="C795" s="40" t="s">
        <v>8083</v>
      </c>
      <c r="D795" s="40" t="s">
        <v>8847</v>
      </c>
      <c r="E795" s="40" t="s">
        <v>8848</v>
      </c>
    </row>
    <row r="796" spans="1:5" x14ac:dyDescent="0.35">
      <c r="A796" s="40" t="e">
        <f>IF(OR(_xlfn.XLOOKUP("19310.13aTexasOrganizational.8",Assessment!H:H,Assessment!E:E)="yes",_xlfn.XLOOKUP("19344.13dTexasOrganizational.1",Assessment!H:H,Assessment!E:E)="yes",_xlfn.XLOOKUP("19345.13dTexasOrganizational.2",Assessment!H:H,Assessment!E:E)="yes",_xlfn.XLOOKUP("19346.13dTexasOrganizational.3",Assessment!H:H,Assessment!E:E)="yes",_xlfn.XLOOKUP("19460.13kTexasOrganizational.3",Assessment!H:H,Assessment!E:E)="yes",_xlfn.XLOOKUP("19461.13kTexasOrganizational.4",Assessment!H:H,Assessment!E:E)="yes",_xlfn.XLOOKUP("19462.13kTexasOrganizational.5",Assessment!H:H,Assessment!E:E)="yes",_xlfn.XLOOKUP("19463.13kTexasOrganizational.6",Assessment!H:H,Assessment!E:E)="yes",_xlfn.XLOOKUP("19464.13kTexasOrganizational.7",Assessment!H:H,Assessment!E:E)="yes",_xlfn.XLOOKUP("19466.13kTexasOrganizational.9",Assessment!H:H,Assessment!E:E)="yes",_xlfn.XLOOKUP("19469.13kTexasOrganizational.12",Assessment!H:H,Assessment!E:E)="yes",_xlfn.XLOOKUP("19470.13kTexasOrganizational.13",Assessment!H:H,Assessment!E:E)="yes",_xlfn.XLOOKUP("19471.13kTexasOrganizational.14",Assessment!H:H,Assessment!E:E)="yes",_xlfn.XLOOKUP("19472.13kTexasOrganizational.15",Assessment!H:H,Assessment!E:E)="yes",_xlfn.XLOOKUP("19473.13kTexasOrganizational.16",Assessment!H:H,Assessment!E:E)="yes",_xlfn.XLOOKUP("19474.13kTexasOrganizational.17",Assessment!H:H,Assessment!E:E)="yes",_xlfn.XLOOKUP("19475.13kTexasOrganizational.18",Assessment!H:H,Assessment!E:E)="yes",_xlfn.XLOOKUP("19476.13kTexasOrganizational.19",Assessment!H:H,Assessment!E:E)="yes",_xlfn.XLOOKUP("19477.13kTexasOrganizational.20",Assessment!H:H,Assessment!E:E)="yes",_xlfn.XLOOKUP("19478.13kTexasOrganizational.21",Assessment!H:H,Assessment!E:E)="yes",_xlfn.XLOOKUP("19479.13kTexasOrganizational.22",Assessment!H:H,Assessment!E:E)="yes",_xlfn.XLOOKUP("19480.13kTexasOrganizational.23",Assessment!H:H,Assessment!E:E)="yes",_xlfn.XLOOKUP("19481.13kTexasOrganizational.24",Assessment!H:H,Assessment!E:E)="yes",_xlfn.XLOOKUP("19485.13kTexasOrganizational.28",Assessment!H:H,Assessment!E:E)="yes",_xlfn.XLOOKUP("19486.13kTexasOrganizational.29",Assessment!H:H,Assessment!E:E)="yes"),"Yes","No")</f>
        <v>#N/A</v>
      </c>
      <c r="B796" s="40" t="s">
        <v>7829</v>
      </c>
      <c r="C796" s="40" t="s">
        <v>8083</v>
      </c>
      <c r="D796" s="40" t="s">
        <v>8849</v>
      </c>
      <c r="E796" s="40" t="s">
        <v>8848</v>
      </c>
    </row>
    <row r="797" spans="1:5" x14ac:dyDescent="0.35">
      <c r="A797" s="40" t="e">
        <f>IF(OR(_xlfn.XLOOKUP("19303.13aTexasOrganizational.1",Assessment!H:H,Assessment!E:E)="yes",_xlfn.XLOOKUP("19304.13aTexasOrganizational.2",Assessment!H:H,Assessment!E:E)="yes",_xlfn.XLOOKUP("19305.13aTexasOrganizational.3",Assessment!H:H,Assessment!E:E)="yes",_xlfn.XLOOKUP("19305.13aTexasOrganizational.3",Assessment!H:H,Assessment!E:E)="yes",_xlfn.XLOOKUP("19307.13aTexasOrganizational.5",Assessment!H:H,Assessment!E:E)="yes",_xlfn.XLOOKUP("19308.13aTexasOrganizational.6",Assessment!H:H,Assessment!E:E)="yes",_xlfn.XLOOKUP("19309.13aTexasOrganizational.7",Assessment!H:H,Assessment!E:E)="yes"),"Yes","No")</f>
        <v>#N/A</v>
      </c>
      <c r="B797" s="40" t="s">
        <v>7829</v>
      </c>
      <c r="C797" s="40" t="s">
        <v>8083</v>
      </c>
      <c r="D797" s="40" t="s">
        <v>8850</v>
      </c>
      <c r="E797" s="40" t="s">
        <v>8848</v>
      </c>
    </row>
    <row r="798" spans="1:5" x14ac:dyDescent="0.35">
      <c r="A798" s="40" t="e">
        <f>IF(OR(_xlfn.XLOOKUP("19303.13aTexasOrganizational.1",Assessment!H:H,Assessment!E:E)="yes",_xlfn.XLOOKUP("19304.13aTexasOrganizational.2",Assessment!H:H,Assessment!E:E)="yes",_xlfn.XLOOKUP("19305.13aTexasOrganizational.3",Assessment!H:H,Assessment!E:E)="yes",_xlfn.XLOOKUP("19305.13aTexasOrganizational.3",Assessment!H:H,Assessment!E:E)="yes",_xlfn.XLOOKUP("19307.13aTexasOrganizational.5",Assessment!H:H,Assessment!E:E)="yes",_xlfn.XLOOKUP("19308.13aTexasOrganizational.6",Assessment!H:H,Assessment!E:E)="yes",_xlfn.XLOOKUP("19309.13aTexasOrganizational.7",Assessment!H:H,Assessment!E:E)="yes"),"Yes","No")</f>
        <v>#N/A</v>
      </c>
      <c r="B798" s="40" t="s">
        <v>7829</v>
      </c>
      <c r="C798" s="40" t="s">
        <v>8083</v>
      </c>
      <c r="D798" s="40" t="s">
        <v>8851</v>
      </c>
      <c r="E798" s="40" t="s">
        <v>8848</v>
      </c>
    </row>
    <row r="799" spans="1:5" x14ac:dyDescent="0.35">
      <c r="A799" s="40" t="e">
        <f>IF(OR(_xlfn.XLOOKUP("1913.07eTexasOrganizational.1",Assessment!H:H,Assessment!E:E)="yes"),"Yes","No")</f>
        <v>#N/A</v>
      </c>
      <c r="B799" s="40" t="s">
        <v>7829</v>
      </c>
      <c r="C799" s="40" t="s">
        <v>8083</v>
      </c>
      <c r="D799" s="40" t="s">
        <v>8852</v>
      </c>
      <c r="E799" s="40" t="s">
        <v>8689</v>
      </c>
    </row>
    <row r="800" spans="1:5" x14ac:dyDescent="0.35">
      <c r="A800" s="40" t="e">
        <f>IF(OR(_xlfn.XLOOKUP("1913.07eTexasOrganizational.1",Assessment!H:H,Assessment!E:E)="yes"),"Yes","No")</f>
        <v>#N/A</v>
      </c>
      <c r="B800" s="40" t="s">
        <v>7829</v>
      </c>
      <c r="C800" s="40" t="s">
        <v>8083</v>
      </c>
      <c r="D800" s="40" t="s">
        <v>8853</v>
      </c>
      <c r="E800" s="40" t="s">
        <v>8689</v>
      </c>
    </row>
    <row r="801" spans="1:5" x14ac:dyDescent="0.35">
      <c r="A801" s="40" t="e">
        <f>IF(OR(_xlfn.XLOOKUP("19458.13kTexasOrganizational.1",Assessment!H:H,Assessment!E:E)="yes"),"Yes","No")</f>
        <v>#N/A</v>
      </c>
      <c r="B801" s="40" t="s">
        <v>7829</v>
      </c>
      <c r="C801" s="40" t="s">
        <v>8083</v>
      </c>
      <c r="D801" s="40" t="s">
        <v>8854</v>
      </c>
      <c r="E801" s="40" t="s">
        <v>8843</v>
      </c>
    </row>
    <row r="802" spans="1:5" x14ac:dyDescent="0.35">
      <c r="A802" s="40" t="e">
        <f>IF(OR(_xlfn.XLOOKUP("19483.13kTexasOrganizational.26",Assessment!H:H,Assessment!E:E)="yes"),"Yes","No")</f>
        <v>#N/A</v>
      </c>
      <c r="B802" s="40" t="s">
        <v>7829</v>
      </c>
      <c r="C802" s="40" t="s">
        <v>8083</v>
      </c>
      <c r="D802" s="40" t="s">
        <v>8855</v>
      </c>
      <c r="E802" s="40" t="s">
        <v>8843</v>
      </c>
    </row>
    <row r="803" spans="1:5" x14ac:dyDescent="0.35">
      <c r="A803" s="40" t="e">
        <f>IF(OR(_xlfn.XLOOKUP("19484.13kTexasOrganizational.27",Assessment!H:H,Assessment!E:E)="yes"),"Yes","No")</f>
        <v>#N/A</v>
      </c>
      <c r="B803" s="40" t="s">
        <v>7829</v>
      </c>
      <c r="C803" s="40" t="s">
        <v>8083</v>
      </c>
      <c r="D803" s="40" t="s">
        <v>8856</v>
      </c>
      <c r="E803" s="40" t="s">
        <v>8843</v>
      </c>
    </row>
    <row r="804" spans="1:5" x14ac:dyDescent="0.35">
      <c r="A804" s="40" t="e">
        <f>IF(OR(_xlfn.XLOOKUP("19485.13kTexasOrganizational.28",Assessment!H:H,Assessment!E:E)="yes"),"Yes","No")</f>
        <v>#N/A</v>
      </c>
      <c r="B804" s="40" t="s">
        <v>7829</v>
      </c>
      <c r="C804" s="40" t="s">
        <v>8083</v>
      </c>
      <c r="D804" s="40" t="s">
        <v>8857</v>
      </c>
      <c r="E804" s="40" t="s">
        <v>8843</v>
      </c>
    </row>
    <row r="805" spans="1:5" x14ac:dyDescent="0.35">
      <c r="A805" s="40" t="e">
        <f>IF(OR(_xlfn.XLOOKUP("0105.02a2Organizational.1",Assessment!H:H,Assessment!E:E)="yes"),"Yes","No")</f>
        <v>#N/A</v>
      </c>
      <c r="B805" s="40" t="s">
        <v>7829</v>
      </c>
      <c r="C805" s="40" t="s">
        <v>8083</v>
      </c>
      <c r="D805" s="40" t="s">
        <v>8858</v>
      </c>
      <c r="E805" s="40" t="s">
        <v>8859</v>
      </c>
    </row>
    <row r="806" spans="1:5" x14ac:dyDescent="0.35">
      <c r="A806" s="40" t="e">
        <f>IF(OR(_xlfn.XLOOKUP("0107.02d2Organizational.5",Assessment!H:H,Assessment!E:E)="yes"),"Yes","No")</f>
        <v>#N/A</v>
      </c>
      <c r="B806" s="40" t="s">
        <v>7829</v>
      </c>
      <c r="C806" s="40" t="s">
        <v>8083</v>
      </c>
      <c r="D806" s="40" t="s">
        <v>8860</v>
      </c>
      <c r="E806" s="40" t="s">
        <v>8861</v>
      </c>
    </row>
    <row r="807" spans="1:5" x14ac:dyDescent="0.35">
      <c r="A807" s="40" t="e">
        <f>IF(OR(_xlfn.XLOOKUP("01111.05a2Organizational.5",Assessment!H:H,Assessment!E:E)="yes"),"Yes","No")</f>
        <v>#N/A</v>
      </c>
      <c r="B807" s="40" t="s">
        <v>7829</v>
      </c>
      <c r="C807" s="40" t="s">
        <v>8083</v>
      </c>
      <c r="D807" s="40" t="s">
        <v>8862</v>
      </c>
      <c r="E807" s="40" t="s">
        <v>8360</v>
      </c>
    </row>
    <row r="808" spans="1:5" x14ac:dyDescent="0.35">
      <c r="A808" s="40" t="e">
        <f>IF(OR(_xlfn.XLOOKUP("01111.05a2Organizational.5",Assessment!H:H,Assessment!E:E)="yes"),"Yes","No")</f>
        <v>#N/A</v>
      </c>
      <c r="B808" s="40" t="s">
        <v>7829</v>
      </c>
      <c r="C808" s="40" t="s">
        <v>8083</v>
      </c>
      <c r="D808" s="40" t="s">
        <v>8863</v>
      </c>
      <c r="E808" s="40" t="s">
        <v>8360</v>
      </c>
    </row>
    <row r="809" spans="1:5" x14ac:dyDescent="0.35">
      <c r="A809" s="40" t="e">
        <f>IF(OR(_xlfn.XLOOKUP("01111.05a2Organizational.5",Assessment!H:H,Assessment!E:E)="yes"),"Yes","No")</f>
        <v>#N/A</v>
      </c>
      <c r="B809" s="40" t="s">
        <v>7829</v>
      </c>
      <c r="C809" s="40" t="s">
        <v>8083</v>
      </c>
      <c r="D809" s="40" t="s">
        <v>8864</v>
      </c>
      <c r="E809" s="40" t="s">
        <v>8360</v>
      </c>
    </row>
    <row r="810" spans="1:5" x14ac:dyDescent="0.35">
      <c r="A810" s="40" t="e">
        <f>IF(OR(_xlfn.XLOOKUP("01111.05a2Organizational.5",Assessment!H:H,Assessment!E:E)="yes"),"Yes","No")</f>
        <v>#N/A</v>
      </c>
      <c r="B810" s="40" t="s">
        <v>7829</v>
      </c>
      <c r="C810" s="40" t="s">
        <v>8083</v>
      </c>
      <c r="D810" s="40" t="s">
        <v>8865</v>
      </c>
      <c r="E810" s="40" t="s">
        <v>8360</v>
      </c>
    </row>
    <row r="811" spans="1:5" x14ac:dyDescent="0.35">
      <c r="A811" s="40" t="e">
        <f>IF(OR(_xlfn.XLOOKUP("01111.05a2Organizational.5",Assessment!H:H,Assessment!E:E)="yes"),"Yes","No")</f>
        <v>#N/A</v>
      </c>
      <c r="B811" s="40" t="s">
        <v>7829</v>
      </c>
      <c r="C811" s="40" t="s">
        <v>8083</v>
      </c>
      <c r="D811" s="40" t="s">
        <v>8866</v>
      </c>
      <c r="E811" s="40" t="s">
        <v>8360</v>
      </c>
    </row>
    <row r="812" spans="1:5" x14ac:dyDescent="0.35">
      <c r="A812" s="40" t="e">
        <f>IF(OR(_xlfn.XLOOKUP("0112.02d2Organizational.3",Assessment!H:H,Assessment!E:E)="yes",_xlfn.XLOOKUP("0197.02d2Organizational.4",Assessment!H:H,Assessment!E:E)="yes"),"Yes","No")</f>
        <v>#N/A</v>
      </c>
      <c r="B812" s="40" t="s">
        <v>7829</v>
      </c>
      <c r="C812" s="40" t="s">
        <v>8083</v>
      </c>
      <c r="D812" s="40" t="s">
        <v>8867</v>
      </c>
      <c r="E812" s="40" t="s">
        <v>8861</v>
      </c>
    </row>
    <row r="813" spans="1:5" x14ac:dyDescent="0.35">
      <c r="A813" s="40" t="e">
        <f>IF(OR(_xlfn.XLOOKUP("0121.05a2Organizational.12",Assessment!H:H,Assessment!E:E)="yes"),"Yes","No")</f>
        <v>#N/A</v>
      </c>
      <c r="B813" s="40" t="s">
        <v>7829</v>
      </c>
      <c r="C813" s="40" t="s">
        <v>8083</v>
      </c>
      <c r="D813" s="40" t="s">
        <v>8868</v>
      </c>
      <c r="E813" s="40" t="s">
        <v>8360</v>
      </c>
    </row>
    <row r="814" spans="1:5" x14ac:dyDescent="0.35">
      <c r="A814" s="40" t="e">
        <f>IF(OR(_xlfn.XLOOKUP("0122.05a2Organizational.3",Assessment!H:H,Assessment!E:E)="yes"),"Yes","No")</f>
        <v>#N/A</v>
      </c>
      <c r="B814" s="40" t="s">
        <v>7829</v>
      </c>
      <c r="C814" s="40" t="s">
        <v>8083</v>
      </c>
      <c r="D814" s="40" t="s">
        <v>8869</v>
      </c>
      <c r="E814" s="40" t="s">
        <v>8360</v>
      </c>
    </row>
    <row r="815" spans="1:5" x14ac:dyDescent="0.35">
      <c r="A815" s="40" t="e">
        <f>IF(OR(_xlfn.XLOOKUP("0123.05a2Organizational.4",Assessment!H:H,Assessment!E:E)="yes",_xlfn.XLOOKUP("01.05aFFIECISOrganizational.2",Assessment!H:H,Assessment!E:E)="yes"),"Yes","No")</f>
        <v>#N/A</v>
      </c>
      <c r="B815" s="40" t="s">
        <v>7829</v>
      </c>
      <c r="C815" s="40" t="s">
        <v>8083</v>
      </c>
      <c r="D815" s="40" t="s">
        <v>8870</v>
      </c>
      <c r="E815" s="40" t="s">
        <v>8360</v>
      </c>
    </row>
    <row r="816" spans="1:5" x14ac:dyDescent="0.35">
      <c r="A816" s="40" t="e">
        <f>IF(OR(_xlfn.XLOOKUP("0124.05a3Organizational.1",Assessment!H:H,Assessment!E:E)="yes"),"Yes","No")</f>
        <v>#N/A</v>
      </c>
      <c r="B816" s="40" t="s">
        <v>7829</v>
      </c>
      <c r="C816" s="40" t="s">
        <v>8083</v>
      </c>
      <c r="D816" s="40" t="s">
        <v>8871</v>
      </c>
      <c r="E816" s="40" t="s">
        <v>8360</v>
      </c>
    </row>
    <row r="817" spans="1:8" x14ac:dyDescent="0.35">
      <c r="A817" s="40" t="e">
        <f>IF(OR(_xlfn.XLOOKUP("0124.05a3Organizational.1",Assessment!H:H,Assessment!E:E)="yes"),"Yes","No")</f>
        <v>#N/A</v>
      </c>
      <c r="B817" s="40" t="s">
        <v>7829</v>
      </c>
      <c r="C817" s="40" t="s">
        <v>8083</v>
      </c>
      <c r="D817" s="40" t="s">
        <v>8872</v>
      </c>
      <c r="E817" s="40" t="s">
        <v>8360</v>
      </c>
    </row>
    <row r="818" spans="1:8" x14ac:dyDescent="0.35">
      <c r="A818" s="40" t="e">
        <f>IF(OR(_xlfn.XLOOKUP("0125.05a3Organizational.2",Assessment!H:H,Assessment!E:E)="yes"),"Yes","No")</f>
        <v>#N/A</v>
      </c>
      <c r="B818" s="40" t="s">
        <v>7829</v>
      </c>
      <c r="C818" s="40" t="s">
        <v>8083</v>
      </c>
      <c r="D818" s="40" t="s">
        <v>8873</v>
      </c>
      <c r="E818" s="40" t="s">
        <v>8360</v>
      </c>
    </row>
    <row r="819" spans="1:8" x14ac:dyDescent="0.35">
      <c r="A819" s="40" t="e">
        <f>IF(OR(_xlfn.XLOOKUP("0137.02a2Organizational.3",Assessment!H:H,Assessment!E:E)="yes",_xlfn.XLOOKUP("01.04a2Organizational.3",Assessment!H:H,Assessment!E:E)="yes"),"Yes","No")</f>
        <v>#N/A</v>
      </c>
      <c r="B819" s="40" t="s">
        <v>7829</v>
      </c>
      <c r="C819" s="40" t="s">
        <v>8083</v>
      </c>
      <c r="D819" s="40" t="s">
        <v>8874</v>
      </c>
      <c r="E819" s="40" t="s">
        <v>8859</v>
      </c>
    </row>
    <row r="820" spans="1:8" x14ac:dyDescent="0.35">
      <c r="A820" s="40" t="e">
        <f>IF(OR(_xlfn.XLOOKUP("0137.02a2Organizational.3",Assessment!H:H,Assessment!E:E)="yes",_xlfn.XLOOKUP("01.04a2Organizational.3",Assessment!H:H,Assessment!E:E)="yes"),"Yes","No")</f>
        <v>#N/A</v>
      </c>
      <c r="B820" s="40" t="s">
        <v>7829</v>
      </c>
      <c r="C820" s="40" t="s">
        <v>8083</v>
      </c>
      <c r="D820" s="40" t="s">
        <v>8875</v>
      </c>
      <c r="E820" s="40" t="s">
        <v>8859</v>
      </c>
    </row>
    <row r="821" spans="1:8" x14ac:dyDescent="0.35">
      <c r="A821" s="40" t="e">
        <f>IF(OR(_xlfn.XLOOKUP("0204.09j2Organizational.1",Assessment!H:H,Assessment!E:E)="yes"),"Yes","No")</f>
        <v>#N/A</v>
      </c>
      <c r="B821" s="40" t="s">
        <v>7829</v>
      </c>
      <c r="C821" s="40" t="s">
        <v>8083</v>
      </c>
      <c r="D821" s="40" t="s">
        <v>8876</v>
      </c>
      <c r="E821" s="40" t="s">
        <v>8375</v>
      </c>
    </row>
    <row r="822" spans="1:8" x14ac:dyDescent="0.35">
      <c r="A822" s="40" t="e">
        <f>IF(OR(_xlfn.XLOOKUP("0204.09j2Organizational.1",Assessment!H:H,Assessment!E:E)="yes"),"Yes","No")</f>
        <v>#N/A</v>
      </c>
      <c r="B822" s="40" t="s">
        <v>7829</v>
      </c>
      <c r="C822" s="40" t="s">
        <v>8083</v>
      </c>
      <c r="D822" s="40" t="s">
        <v>8877</v>
      </c>
      <c r="E822" s="40" t="s">
        <v>8375</v>
      </c>
    </row>
    <row r="823" spans="1:8" x14ac:dyDescent="0.35">
      <c r="A823" s="40" t="e">
        <f>IF(OR(_xlfn.XLOOKUP("0215.09j2Organizational.8",Assessment!H:H,Assessment!E:E)="yes"),"Yes","No")</f>
        <v>#N/A</v>
      </c>
      <c r="B823" s="40" t="s">
        <v>7829</v>
      </c>
      <c r="C823" s="40" t="s">
        <v>8083</v>
      </c>
      <c r="D823" s="40" t="s">
        <v>8878</v>
      </c>
      <c r="E823" s="40" t="s">
        <v>8375</v>
      </c>
    </row>
    <row r="824" spans="1:8" x14ac:dyDescent="0.35">
      <c r="A824" s="40" t="e">
        <f>IF(OR(_xlfn.XLOOKUP("0215.09j2Organizational.8",Assessment!H:H,Assessment!E:E)="yes"),"Yes","No")</f>
        <v>#N/A</v>
      </c>
      <c r="B824" s="40" t="s">
        <v>7829</v>
      </c>
      <c r="C824" s="40" t="s">
        <v>8083</v>
      </c>
      <c r="D824" s="40" t="s">
        <v>8879</v>
      </c>
      <c r="E824" s="40" t="s">
        <v>8375</v>
      </c>
    </row>
    <row r="825" spans="1:8" x14ac:dyDescent="0.35">
      <c r="A825" s="40" t="e">
        <f>IF(OR(_xlfn.XLOOKUP("0219.09j2Organizational.12",Assessment!H:H,Assessment!E:E)="yes"),"Yes","No")</f>
        <v>#N/A</v>
      </c>
      <c r="B825" s="40" t="s">
        <v>7829</v>
      </c>
      <c r="C825" s="40" t="s">
        <v>8083</v>
      </c>
      <c r="D825" s="40" t="s">
        <v>8880</v>
      </c>
      <c r="E825" s="40" t="s">
        <v>8375</v>
      </c>
    </row>
    <row r="826" spans="1:8" x14ac:dyDescent="0.35">
      <c r="A826" s="40" t="e">
        <f>IF(OR(_xlfn.XLOOKUP("0307.09q2Organizational.12",Assessment!H:H,Assessment!E:E)="yes",_xlfn.XLOOKUP("0308.09q3Organizational.1",Assessment!H:H,Assessment!E:E)="yes"),"Yes","No")</f>
        <v>#N/A</v>
      </c>
      <c r="B826" s="40" t="s">
        <v>7829</v>
      </c>
      <c r="C826" s="40" t="s">
        <v>8083</v>
      </c>
      <c r="D826" s="40" t="s">
        <v>8881</v>
      </c>
      <c r="E826" s="40" t="s">
        <v>8686</v>
      </c>
      <c r="H826" s="40" t="s">
        <v>8416</v>
      </c>
    </row>
    <row r="827" spans="1:8" x14ac:dyDescent="0.35">
      <c r="A827" s="40" t="e">
        <f>IF(OR(_xlfn.XLOOKUP("0405.01y2Organizational.2",Assessment!H:H,Assessment!E:E)="yes",_xlfn.XLOOKUP("1310.01y2Organizational.1",Assessment!H:H,Assessment!E:E)="yes"),"Yes","No")</f>
        <v>#N/A</v>
      </c>
      <c r="B827" s="40" t="s">
        <v>7829</v>
      </c>
      <c r="C827" s="40" t="s">
        <v>8083</v>
      </c>
      <c r="D827" s="40" t="s">
        <v>8882</v>
      </c>
      <c r="E827" s="40" t="s">
        <v>8883</v>
      </c>
    </row>
    <row r="828" spans="1:8" x14ac:dyDescent="0.35">
      <c r="A828" s="40" t="e">
        <f>IF(OR(_xlfn.XLOOKUP("0405.01y2Organizational.2",Assessment!H:H,Assessment!E:E)="yes",_xlfn.XLOOKUP("1310.01y2Organizational.1",Assessment!H:H,Assessment!E:E)="yes"),"Yes","No")</f>
        <v>#N/A</v>
      </c>
      <c r="B828" s="40" t="s">
        <v>7829</v>
      </c>
      <c r="C828" s="40" t="s">
        <v>8083</v>
      </c>
      <c r="D828" s="40" t="s">
        <v>8884</v>
      </c>
      <c r="E828" s="40" t="s">
        <v>8883</v>
      </c>
    </row>
    <row r="829" spans="1:8" x14ac:dyDescent="0.35">
      <c r="A829" s="40" t="e">
        <f>IF(OR(_xlfn.XLOOKUP("0405.01y2Organizational.2",Assessment!H:H,Assessment!E:E)="yes",_xlfn.XLOOKUP("1310.01y2Organizational.1",Assessment!H:H,Assessment!E:E)="yes"),"Yes","No")</f>
        <v>#N/A</v>
      </c>
      <c r="B829" s="40" t="s">
        <v>7829</v>
      </c>
      <c r="C829" s="40" t="s">
        <v>8083</v>
      </c>
      <c r="D829" s="40" t="s">
        <v>8885</v>
      </c>
      <c r="E829" s="40" t="s">
        <v>8883</v>
      </c>
    </row>
    <row r="830" spans="1:8" x14ac:dyDescent="0.35">
      <c r="A830" s="40" t="e">
        <f>IF(OR(_xlfn.XLOOKUP("0405.01y2Organizational.2",Assessment!H:H,Assessment!E:E)="yes",_xlfn.XLOOKUP("0416.01y3Organizational.4",Assessment!H:H,Assessment!E:E)="yes",_xlfn.XLOOKUP("1310.01y2Organizational.1",Assessment!H:H,Assessment!E:E)="yes"),"Yes","No")</f>
        <v>#N/A</v>
      </c>
      <c r="B830" s="40" t="s">
        <v>7829</v>
      </c>
      <c r="C830" s="40" t="s">
        <v>8083</v>
      </c>
      <c r="D830" s="40" t="s">
        <v>8886</v>
      </c>
      <c r="E830" s="40" t="s">
        <v>8883</v>
      </c>
    </row>
    <row r="831" spans="1:8" x14ac:dyDescent="0.35">
      <c r="A831" s="40" t="e">
        <f>IF(OR(_xlfn.XLOOKUP("0405.01y2Organizational.2",Assessment!H:H,Assessment!E:E)="yes",_xlfn.XLOOKUP("1310.01y2Organizational.1",Assessment!H:H,Assessment!E:E)="yes"),"Yes","No")</f>
        <v>#N/A</v>
      </c>
      <c r="B831" s="40" t="s">
        <v>7829</v>
      </c>
      <c r="C831" s="40" t="s">
        <v>8083</v>
      </c>
      <c r="D831" s="40" t="s">
        <v>8887</v>
      </c>
      <c r="E831" s="40" t="s">
        <v>8883</v>
      </c>
    </row>
    <row r="832" spans="1:8" x14ac:dyDescent="0.35">
      <c r="A832" s="40" t="e">
        <f>IF(OR(_xlfn.XLOOKUP("0405.01y2Organizational.2",Assessment!H:H,Assessment!E:E)="yes",_xlfn.XLOOKUP("1310.01y2Organizational.1",Assessment!H:H,Assessment!E:E)="yes"),"Yes","No")</f>
        <v>#N/A</v>
      </c>
      <c r="B832" s="40" t="s">
        <v>7829</v>
      </c>
      <c r="C832" s="40" t="s">
        <v>8083</v>
      </c>
      <c r="D832" s="40" t="s">
        <v>8888</v>
      </c>
      <c r="E832" s="40" t="s">
        <v>8883</v>
      </c>
    </row>
    <row r="833" spans="1:5" x14ac:dyDescent="0.35">
      <c r="A833" s="40" t="e">
        <f>IF(OR(_xlfn.XLOOKUP("0405.01y2Organizational.2",Assessment!H:H,Assessment!E:E)="yes",_xlfn.XLOOKUP("0416.01y3Organizational.4",Assessment!H:H,Assessment!E:E)="yes",_xlfn.XLOOKUP("1310.01y2Organizational.1",Assessment!H:H,Assessment!E:E)="yes"),"Yes","No")</f>
        <v>#N/A</v>
      </c>
      <c r="B833" s="40" t="s">
        <v>7829</v>
      </c>
      <c r="C833" s="40" t="s">
        <v>8083</v>
      </c>
      <c r="D833" s="40" t="s">
        <v>8889</v>
      </c>
      <c r="E833" s="40" t="s">
        <v>8883</v>
      </c>
    </row>
    <row r="834" spans="1:5" x14ac:dyDescent="0.35">
      <c r="A834" s="40" t="e">
        <f>IF(OR(_xlfn.XLOOKUP("0405.01y2Organizational.2",Assessment!H:H,Assessment!E:E)="yes",_xlfn.XLOOKUP("1310.01y2Organizational.1",Assessment!H:H,Assessment!E:E)="yes"),"Yes","No")</f>
        <v>#N/A</v>
      </c>
      <c r="B834" s="40" t="s">
        <v>7829</v>
      </c>
      <c r="C834" s="40" t="s">
        <v>8083</v>
      </c>
      <c r="D834" s="40" t="s">
        <v>8890</v>
      </c>
      <c r="E834" s="40" t="s">
        <v>8883</v>
      </c>
    </row>
    <row r="835" spans="1:5" x14ac:dyDescent="0.35">
      <c r="A835" s="40" t="e">
        <f>IF(OR(_xlfn.XLOOKUP("0405.01y2Organizational.2",Assessment!H:H,Assessment!E:E)="yes",_xlfn.XLOOKUP("1310.01y2Organizational.1",Assessment!H:H,Assessment!E:E)="yes"),"Yes","No")</f>
        <v>#N/A</v>
      </c>
      <c r="B835" s="40" t="s">
        <v>7829</v>
      </c>
      <c r="C835" s="40" t="s">
        <v>8083</v>
      </c>
      <c r="D835" s="40" t="s">
        <v>8891</v>
      </c>
      <c r="E835" s="40" t="s">
        <v>8883</v>
      </c>
    </row>
    <row r="836" spans="1:5" x14ac:dyDescent="0.35">
      <c r="A836" s="40" t="e">
        <f>IF(OR(_xlfn.XLOOKUP("0408.01y3Organizational.12",Assessment!H:H,Assessment!E:E)="yes"),"Yes","No")</f>
        <v>#N/A</v>
      </c>
      <c r="B836" s="40" t="s">
        <v>7829</v>
      </c>
      <c r="C836" s="40" t="s">
        <v>8083</v>
      </c>
      <c r="D836" s="40" t="s">
        <v>8892</v>
      </c>
      <c r="E836" s="40" t="s">
        <v>8883</v>
      </c>
    </row>
    <row r="837" spans="1:5" x14ac:dyDescent="0.35">
      <c r="A837" s="40" t="e">
        <f>IF(OR(_xlfn.XLOOKUP("0409.01y3Organizational.3",Assessment!H:H,Assessment!E:E)="yes"),"Yes","No")</f>
        <v>#N/A</v>
      </c>
      <c r="B837" s="40" t="s">
        <v>7829</v>
      </c>
      <c r="C837" s="40" t="s">
        <v>8083</v>
      </c>
      <c r="D837" s="40" t="s">
        <v>8893</v>
      </c>
      <c r="E837" s="40" t="s">
        <v>8883</v>
      </c>
    </row>
    <row r="838" spans="1:5" x14ac:dyDescent="0.35">
      <c r="A838" s="40" t="e">
        <f>IF(OR(_xlfn.XLOOKUP("0416.01y3Organizational.4",Assessment!H:H,Assessment!E:E)="yes",_xlfn.XLOOKUP("1310.01y2Organizational.1",Assessment!H:H,Assessment!E:E)="yes"),"Yes","No")</f>
        <v>#N/A</v>
      </c>
      <c r="B838" s="40" t="s">
        <v>7829</v>
      </c>
      <c r="C838" s="40" t="s">
        <v>8083</v>
      </c>
      <c r="D838" s="40" t="s">
        <v>8894</v>
      </c>
      <c r="E838" s="40" t="s">
        <v>8883</v>
      </c>
    </row>
    <row r="839" spans="1:5" x14ac:dyDescent="0.35">
      <c r="A839" s="40" t="e">
        <f>IF(OR(_xlfn.XLOOKUP("0416.01y3Organizational.4",Assessment!H:H,Assessment!E:E)="yes",_xlfn.XLOOKUP("1310.01y2Organizational.1",Assessment!H:H,Assessment!E:E)="yes"),"Yes","No")</f>
        <v>#N/A</v>
      </c>
      <c r="B839" s="40" t="s">
        <v>7829</v>
      </c>
      <c r="C839" s="40" t="s">
        <v>8083</v>
      </c>
      <c r="D839" s="40" t="s">
        <v>8895</v>
      </c>
      <c r="E839" s="40" t="s">
        <v>8883</v>
      </c>
    </row>
    <row r="840" spans="1:5" x14ac:dyDescent="0.35">
      <c r="A840" s="40" t="e">
        <f>IF(OR(_xlfn.XLOOKUP("0416.01y3Organizational.4",Assessment!H:H,Assessment!E:E)="yes",_xlfn.XLOOKUP("1310.01y2Organizational.1",Assessment!H:H,Assessment!E:E)="yes"),"Yes","No")</f>
        <v>#N/A</v>
      </c>
      <c r="B840" s="40" t="s">
        <v>7829</v>
      </c>
      <c r="C840" s="40" t="s">
        <v>8083</v>
      </c>
      <c r="D840" s="40" t="s">
        <v>8896</v>
      </c>
      <c r="E840" s="40" t="s">
        <v>8883</v>
      </c>
    </row>
    <row r="841" spans="1:5" x14ac:dyDescent="0.35">
      <c r="A841" s="40" t="e">
        <f>IF(OR(_xlfn.XLOOKUP("0416.01y3Organizational.4",Assessment!H:H,Assessment!E:E)="yes",_xlfn.XLOOKUP("1310.01y2Organizational.1",Assessment!H:H,Assessment!E:E)="yes"),"Yes","No")</f>
        <v>#N/A</v>
      </c>
      <c r="B841" s="40" t="s">
        <v>7829</v>
      </c>
      <c r="C841" s="40" t="s">
        <v>8083</v>
      </c>
      <c r="D841" s="40" t="s">
        <v>8897</v>
      </c>
      <c r="E841" s="40" t="s">
        <v>8883</v>
      </c>
    </row>
    <row r="842" spans="1:5" x14ac:dyDescent="0.35">
      <c r="A842" s="40" t="e">
        <f>IF(OR(_xlfn.XLOOKUP("0426.01x2Organizational.8",Assessment!H:H,Assessment!E:E)="yes",_xlfn.XLOOKUP("0428.01x2Organizational.8",Assessment!H:H,Assessment!E:E)="yes"),"Yes","No")</f>
        <v>#N/A</v>
      </c>
      <c r="B842" s="40" t="s">
        <v>7829</v>
      </c>
      <c r="C842" s="40" t="s">
        <v>8083</v>
      </c>
      <c r="D842" s="40" t="s">
        <v>8898</v>
      </c>
      <c r="E842" s="40" t="s">
        <v>8395</v>
      </c>
    </row>
    <row r="843" spans="1:5" x14ac:dyDescent="0.35">
      <c r="A843" s="40" t="e">
        <f>IF(OR(_xlfn.XLOOKUP("0426.01x2Organizational.8",Assessment!H:H,Assessment!E:E)="yes",_xlfn.XLOOKUP("0428.01x2Organizational.8",Assessment!H:H,Assessment!E:E)="yes"),"Yes","No")</f>
        <v>#N/A</v>
      </c>
      <c r="B843" s="40" t="s">
        <v>7829</v>
      </c>
      <c r="C843" s="40" t="s">
        <v>8083</v>
      </c>
      <c r="D843" s="40" t="s">
        <v>8899</v>
      </c>
      <c r="E843" s="40" t="s">
        <v>8395</v>
      </c>
    </row>
    <row r="844" spans="1:5" x14ac:dyDescent="0.35">
      <c r="A844" s="40" t="e">
        <f>IF(OR(_xlfn.XLOOKUP("0426.01x2Organizational.8",Assessment!H:H,Assessment!E:E)="yes"),"Yes","No")</f>
        <v>#N/A</v>
      </c>
      <c r="B844" s="40" t="s">
        <v>7829</v>
      </c>
      <c r="C844" s="40" t="s">
        <v>8083</v>
      </c>
      <c r="D844" s="40" t="s">
        <v>8900</v>
      </c>
      <c r="E844" s="40" t="s">
        <v>8395</v>
      </c>
    </row>
    <row r="845" spans="1:5" x14ac:dyDescent="0.35">
      <c r="A845" s="40" t="e">
        <f>IF(OR(_xlfn.XLOOKUP("0426.01x2Organizational.8",Assessment!H:H,Assessment!E:E)="yes",_xlfn.XLOOKUP("0427.01x2Organizational.8",Assessment!H:H,Assessment!E:E)="yes"),"Yes","No")</f>
        <v>#N/A</v>
      </c>
      <c r="B845" s="40" t="s">
        <v>7829</v>
      </c>
      <c r="C845" s="40" t="s">
        <v>8083</v>
      </c>
      <c r="D845" s="40" t="s">
        <v>8901</v>
      </c>
      <c r="E845" s="40" t="s">
        <v>8395</v>
      </c>
    </row>
    <row r="846" spans="1:5" x14ac:dyDescent="0.35">
      <c r="A846" s="40" t="e">
        <f>IF(OR(_xlfn.XLOOKUP("0603.06g2Organizational.1",Assessment!H:H,Assessment!E:E)="yes"),"Yes","No")</f>
        <v>#N/A</v>
      </c>
      <c r="B846" s="40" t="s">
        <v>7829</v>
      </c>
      <c r="C846" s="40" t="s">
        <v>8083</v>
      </c>
      <c r="D846" s="40" t="s">
        <v>8902</v>
      </c>
      <c r="E846" s="40" t="s">
        <v>8403</v>
      </c>
    </row>
    <row r="847" spans="1:5" x14ac:dyDescent="0.35">
      <c r="A847" s="40" t="e">
        <f>IF(OR(_xlfn.XLOOKUP("0604.06g2Organizational.2",Assessment!H:H,Assessment!E:E)="yes"),"Yes","No")</f>
        <v>#N/A</v>
      </c>
      <c r="B847" s="40" t="s">
        <v>7829</v>
      </c>
      <c r="C847" s="40" t="s">
        <v>8083</v>
      </c>
      <c r="D847" s="40" t="s">
        <v>8903</v>
      </c>
      <c r="E847" s="40" t="s">
        <v>8403</v>
      </c>
    </row>
    <row r="848" spans="1:5" x14ac:dyDescent="0.35">
      <c r="A848" s="40" t="e">
        <f>IF(OR(_xlfn.XLOOKUP("0604.06g2Organizational.2",Assessment!H:H,Assessment!E:E)="yes"),"Yes","No")</f>
        <v>#N/A</v>
      </c>
      <c r="B848" s="40" t="s">
        <v>7829</v>
      </c>
      <c r="C848" s="40" t="s">
        <v>8083</v>
      </c>
      <c r="D848" s="40" t="s">
        <v>8904</v>
      </c>
      <c r="E848" s="40" t="s">
        <v>8403</v>
      </c>
    </row>
    <row r="849" spans="1:8" x14ac:dyDescent="0.35">
      <c r="A849" s="40" t="e">
        <f>IF(OR(_xlfn.XLOOKUP("0604.06g2Organizational.2",Assessment!H:H,Assessment!E:E)="yes"),"Yes","No")</f>
        <v>#N/A</v>
      </c>
      <c r="B849" s="40" t="s">
        <v>7829</v>
      </c>
      <c r="C849" s="40" t="s">
        <v>8083</v>
      </c>
      <c r="D849" s="40" t="s">
        <v>8905</v>
      </c>
      <c r="E849" s="40" t="s">
        <v>8403</v>
      </c>
    </row>
    <row r="850" spans="1:8" x14ac:dyDescent="0.35">
      <c r="A850" s="40" t="e">
        <f>IF(OR(_xlfn.XLOOKUP("0604.06g2Organizational.2",Assessment!H:H,Assessment!E:E)="yes"),"Yes","No")</f>
        <v>#N/A</v>
      </c>
      <c r="B850" s="40" t="s">
        <v>7829</v>
      </c>
      <c r="C850" s="40" t="s">
        <v>8083</v>
      </c>
      <c r="D850" s="40" t="s">
        <v>8906</v>
      </c>
      <c r="E850" s="40" t="s">
        <v>8403</v>
      </c>
    </row>
    <row r="851" spans="1:8" x14ac:dyDescent="0.35">
      <c r="A851" s="40" t="e">
        <f>IF(OR(_xlfn.XLOOKUP("0604.06g2Organizational.2",Assessment!H:H,Assessment!E:E)="yes"),"Yes","No")</f>
        <v>#N/A</v>
      </c>
      <c r="B851" s="40" t="s">
        <v>7829</v>
      </c>
      <c r="C851" s="40" t="s">
        <v>8083</v>
      </c>
      <c r="D851" s="40" t="s">
        <v>8907</v>
      </c>
      <c r="E851" s="40" t="s">
        <v>8403</v>
      </c>
    </row>
    <row r="852" spans="1:8" x14ac:dyDescent="0.35">
      <c r="A852" s="40" t="e">
        <f>IF(OR(_xlfn.XLOOKUP("0604.06g2Organizational.2",Assessment!H:H,Assessment!E:E)="yes"),"Yes","No")</f>
        <v>#N/A</v>
      </c>
      <c r="B852" s="40" t="s">
        <v>7829</v>
      </c>
      <c r="C852" s="40" t="s">
        <v>8083</v>
      </c>
      <c r="D852" s="40" t="s">
        <v>8908</v>
      </c>
      <c r="E852" s="40" t="s">
        <v>8403</v>
      </c>
    </row>
    <row r="853" spans="1:8" x14ac:dyDescent="0.35">
      <c r="A853" s="40" t="e">
        <f>IF(OR(_xlfn.XLOOKUP("0637.10k2Organizational.2",Assessment!H:H,Assessment!E:E)="yes"),"Yes","No")</f>
        <v>#N/A</v>
      </c>
      <c r="B853" s="40" t="s">
        <v>7829</v>
      </c>
      <c r="C853" s="40" t="s">
        <v>8083</v>
      </c>
      <c r="D853" s="40" t="s">
        <v>8909</v>
      </c>
      <c r="E853" s="40" t="s">
        <v>8910</v>
      </c>
    </row>
    <row r="854" spans="1:8" x14ac:dyDescent="0.35">
      <c r="A854" s="40" t="e">
        <f>IF(OR(_xlfn.XLOOKUP("0638.10k3Organizational.5",Assessment!H:H,Assessment!E:E)="yes",_xlfn.XLOOKUP("0644.10k3Organizational.4",Assessment!H:H,Assessment!E:E)="yes"),"Yes","No")</f>
        <v>#N/A</v>
      </c>
      <c r="B854" s="40" t="s">
        <v>7829</v>
      </c>
      <c r="C854" s="40" t="s">
        <v>8083</v>
      </c>
      <c r="D854" s="40" t="s">
        <v>8911</v>
      </c>
      <c r="E854" s="40" t="s">
        <v>8910</v>
      </c>
    </row>
    <row r="855" spans="1:8" x14ac:dyDescent="0.35">
      <c r="A855" s="40" t="e">
        <f>IF(OR(_xlfn.XLOOKUP("0643.10k3Organizational.3",Assessment!H:H,Assessment!E:E)="yes"),"Yes","No")</f>
        <v>#N/A</v>
      </c>
      <c r="B855" s="40" t="s">
        <v>7829</v>
      </c>
      <c r="C855" s="40" t="s">
        <v>8083</v>
      </c>
      <c r="D855" s="40" t="s">
        <v>8912</v>
      </c>
      <c r="E855" s="40" t="s">
        <v>8910</v>
      </c>
    </row>
    <row r="856" spans="1:8" x14ac:dyDescent="0.35">
      <c r="A856" s="40" t="e">
        <f>IF(OR(_xlfn.XLOOKUP("0643.10k3Organizational.3",Assessment!H:H,Assessment!E:E)="yes"),"Yes","No")</f>
        <v>#N/A</v>
      </c>
      <c r="B856" s="40" t="s">
        <v>7829</v>
      </c>
      <c r="C856" s="40" t="s">
        <v>8083</v>
      </c>
      <c r="D856" s="40" t="s">
        <v>8913</v>
      </c>
      <c r="E856" s="40" t="s">
        <v>8910</v>
      </c>
    </row>
    <row r="857" spans="1:8" x14ac:dyDescent="0.35">
      <c r="A857" s="40" t="e">
        <f>IF(OR(_xlfn.XLOOKUP("0644.10k3Organizational.4",Assessment!H:H,Assessment!E:E)="yes"),"Yes","No")</f>
        <v>#N/A</v>
      </c>
      <c r="B857" s="40" t="s">
        <v>7829</v>
      </c>
      <c r="C857" s="40" t="s">
        <v>8083</v>
      </c>
      <c r="D857" s="40" t="s">
        <v>8914</v>
      </c>
      <c r="E857" s="40" t="s">
        <v>8910</v>
      </c>
    </row>
    <row r="858" spans="1:8" x14ac:dyDescent="0.35">
      <c r="A858" s="40" t="e">
        <f>IF(OR(_xlfn.XLOOKUP("0662.09sCSPOrganizational.2",Assessment!H:H,Assessment!E:E)="yes"),"Yes","No")</f>
        <v>#N/A</v>
      </c>
      <c r="B858" s="40" t="s">
        <v>7829</v>
      </c>
      <c r="C858" s="40" t="s">
        <v>8083</v>
      </c>
      <c r="D858" s="40" t="s">
        <v>8915</v>
      </c>
      <c r="E858" s="40" t="s">
        <v>8482</v>
      </c>
    </row>
    <row r="859" spans="1:8" x14ac:dyDescent="0.35">
      <c r="A859" s="40" t="e">
        <f>IF(OR(_xlfn.XLOOKUP("0662.09sCSPOrganizational.2",Assessment!H:H,Assessment!E:E)="yes"),"Yes","No")</f>
        <v>#N/A</v>
      </c>
      <c r="B859" s="40" t="s">
        <v>7829</v>
      </c>
      <c r="C859" s="40" t="s">
        <v>8083</v>
      </c>
      <c r="D859" s="40" t="s">
        <v>8916</v>
      </c>
      <c r="E859" s="40" t="s">
        <v>8482</v>
      </c>
    </row>
    <row r="860" spans="1:8" x14ac:dyDescent="0.35">
      <c r="A860" s="40" t="e">
        <f>IF(OR(_xlfn.XLOOKUP("0672.10k3Organizational.6",Assessment!H:H,Assessment!E:E)="yes"),"Yes","No")</f>
        <v>#N/A</v>
      </c>
      <c r="B860" s="40" t="s">
        <v>7829</v>
      </c>
      <c r="C860" s="40" t="s">
        <v>8083</v>
      </c>
      <c r="D860" s="40" t="s">
        <v>8917</v>
      </c>
      <c r="E860" s="40" t="s">
        <v>8910</v>
      </c>
      <c r="H860" s="40" t="s">
        <v>8423</v>
      </c>
    </row>
    <row r="861" spans="1:8" x14ac:dyDescent="0.35">
      <c r="A861" s="40" t="e">
        <f>IF(OR(_xlfn.XLOOKUP("0672.10k3Organizational.6",Assessment!H:H,Assessment!E:E)="yes"),"Yes","No")</f>
        <v>#N/A</v>
      </c>
      <c r="B861" s="40" t="s">
        <v>7829</v>
      </c>
      <c r="C861" s="40" t="s">
        <v>8083</v>
      </c>
      <c r="D861" s="40" t="s">
        <v>8918</v>
      </c>
      <c r="E861" s="40" t="s">
        <v>8910</v>
      </c>
      <c r="H861" s="40" t="s">
        <v>8423</v>
      </c>
    </row>
    <row r="862" spans="1:8" x14ac:dyDescent="0.35">
      <c r="A862" s="40" t="e">
        <f>IF(OR(_xlfn.XLOOKUP("068.06g2Organizational.34",Assessment!H:H,Assessment!E:E)="yes"),"Yes","No")</f>
        <v>#N/A</v>
      </c>
      <c r="B862" s="40" t="s">
        <v>7829</v>
      </c>
      <c r="C862" s="40" t="s">
        <v>8083</v>
      </c>
      <c r="D862" s="40" t="s">
        <v>8919</v>
      </c>
      <c r="E862" s="40" t="s">
        <v>8403</v>
      </c>
    </row>
    <row r="863" spans="1:8" x14ac:dyDescent="0.35">
      <c r="A863" s="40" t="e">
        <f>IF(OR(_xlfn.XLOOKUP("068.06g2Organizational.34",Assessment!H:H,Assessment!E:E)="yes"),"Yes","No")</f>
        <v>#N/A</v>
      </c>
      <c r="B863" s="40" t="s">
        <v>7829</v>
      </c>
      <c r="C863" s="40" t="s">
        <v>8083</v>
      </c>
      <c r="D863" s="40" t="s">
        <v>8920</v>
      </c>
      <c r="E863" s="40" t="s">
        <v>8403</v>
      </c>
    </row>
    <row r="864" spans="1:8" x14ac:dyDescent="0.35">
      <c r="A864" s="40" t="e">
        <f>IF(OR(_xlfn.XLOOKUP("069.06g2Organizational.56",Assessment!H:H,Assessment!E:E)="yes"),"Yes","No")</f>
        <v>#N/A</v>
      </c>
      <c r="B864" s="40" t="s">
        <v>7829</v>
      </c>
      <c r="C864" s="40" t="s">
        <v>8083</v>
      </c>
      <c r="D864" s="40" t="s">
        <v>8921</v>
      </c>
      <c r="E864" s="40" t="s">
        <v>8403</v>
      </c>
    </row>
    <row r="865" spans="1:8" x14ac:dyDescent="0.35">
      <c r="A865" s="40" t="e">
        <f>IF(OR(_xlfn.XLOOKUP("0705.07a3Organizational.3",Assessment!H:H,Assessment!E:E)="yes"),"Yes","No")</f>
        <v>#N/A</v>
      </c>
      <c r="B865" s="40" t="s">
        <v>7829</v>
      </c>
      <c r="C865" s="40" t="s">
        <v>8083</v>
      </c>
      <c r="D865" s="40" t="s">
        <v>8922</v>
      </c>
      <c r="E865" s="40" t="s">
        <v>8437</v>
      </c>
    </row>
    <row r="866" spans="1:8" x14ac:dyDescent="0.35">
      <c r="A866" s="40" t="e">
        <f>IF(OR(_xlfn.XLOOKUP("0710.10m2Organizational.1",Assessment!H:H,Assessment!E:E)="yes"),"Yes","No")</f>
        <v>#N/A</v>
      </c>
      <c r="B866" s="40" t="s">
        <v>7829</v>
      </c>
      <c r="C866" s="40" t="s">
        <v>8083</v>
      </c>
      <c r="D866" s="40" t="s">
        <v>8923</v>
      </c>
      <c r="E866" s="40" t="s">
        <v>8444</v>
      </c>
    </row>
    <row r="867" spans="1:8" x14ac:dyDescent="0.35">
      <c r="A867" s="40" t="e">
        <f>IF(OR(_xlfn.XLOOKUP("0712.10m2Organizational.4",Assessment!H:H,Assessment!E:E)="yes"),"Yes","No")</f>
        <v>#N/A</v>
      </c>
      <c r="B867" s="40" t="s">
        <v>7829</v>
      </c>
      <c r="C867" s="40" t="s">
        <v>8083</v>
      </c>
      <c r="D867" s="40" t="s">
        <v>8924</v>
      </c>
      <c r="E867" s="40" t="s">
        <v>8444</v>
      </c>
    </row>
    <row r="868" spans="1:8" x14ac:dyDescent="0.35">
      <c r="A868" s="40" t="e">
        <f>IF(OR(_xlfn.XLOOKUP("0712.10m2Organizational.4",Assessment!H:H,Assessment!E:E)="yes"),"Yes","No")</f>
        <v>#N/A</v>
      </c>
      <c r="B868" s="40" t="s">
        <v>7829</v>
      </c>
      <c r="C868" s="40" t="s">
        <v>8083</v>
      </c>
      <c r="D868" s="40" t="s">
        <v>8925</v>
      </c>
      <c r="E868" s="40" t="s">
        <v>8444</v>
      </c>
    </row>
    <row r="869" spans="1:8" x14ac:dyDescent="0.35">
      <c r="A869" s="40" t="e">
        <f>IF(OR(_xlfn.XLOOKUP("0713.10m2Organizational.5",Assessment!H:H,Assessment!E:E)="yes"),"Yes","No")</f>
        <v>#N/A</v>
      </c>
      <c r="B869" s="40" t="s">
        <v>7829</v>
      </c>
      <c r="C869" s="40" t="s">
        <v>8083</v>
      </c>
      <c r="D869" s="40" t="s">
        <v>8926</v>
      </c>
      <c r="E869" s="40" t="s">
        <v>8444</v>
      </c>
    </row>
    <row r="870" spans="1:8" x14ac:dyDescent="0.35">
      <c r="A870" s="40" t="e">
        <f>IF(OR(_xlfn.XLOOKUP("0714.10m2Organizational.7",Assessment!H:H,Assessment!E:E)="yes"),"Yes","No")</f>
        <v>#N/A</v>
      </c>
      <c r="B870" s="40" t="s">
        <v>7829</v>
      </c>
      <c r="C870" s="40" t="s">
        <v>8083</v>
      </c>
      <c r="D870" s="40" t="s">
        <v>8927</v>
      </c>
      <c r="E870" s="40" t="s">
        <v>8444</v>
      </c>
    </row>
    <row r="871" spans="1:8" x14ac:dyDescent="0.35">
      <c r="A871" s="40" t="e">
        <f>IF(OR(_xlfn.XLOOKUP("0714.10m2Organizational.7",Assessment!H:H,Assessment!E:E)="yes"),"Yes","No")</f>
        <v>#N/A</v>
      </c>
      <c r="B871" s="40" t="s">
        <v>7829</v>
      </c>
      <c r="C871" s="40" t="s">
        <v>8083</v>
      </c>
      <c r="D871" s="40" t="s">
        <v>8928</v>
      </c>
      <c r="E871" s="40" t="s">
        <v>8444</v>
      </c>
    </row>
    <row r="872" spans="1:8" x14ac:dyDescent="0.35">
      <c r="A872" s="40" t="e">
        <f>IF(OR(_xlfn.XLOOKUP("0714.10m2Organizational.7",Assessment!H:H,Assessment!E:E)="yes"),"Yes","No")</f>
        <v>#N/A</v>
      </c>
      <c r="B872" s="40" t="s">
        <v>7829</v>
      </c>
      <c r="C872" s="40" t="s">
        <v>8083</v>
      </c>
      <c r="D872" s="40" t="s">
        <v>8929</v>
      </c>
      <c r="E872" s="40" t="s">
        <v>8444</v>
      </c>
    </row>
    <row r="873" spans="1:8" x14ac:dyDescent="0.35">
      <c r="A873" s="40" t="e">
        <f>IF(OR(_xlfn.XLOOKUP("0714.10m2Organizational.7",Assessment!H:H,Assessment!E:E)="yes"),"Yes","No")</f>
        <v>#N/A</v>
      </c>
      <c r="B873" s="40" t="s">
        <v>7829</v>
      </c>
      <c r="C873" s="40" t="s">
        <v>8083</v>
      </c>
      <c r="D873" s="40" t="s">
        <v>8930</v>
      </c>
      <c r="E873" s="40" t="s">
        <v>8444</v>
      </c>
    </row>
    <row r="874" spans="1:8" x14ac:dyDescent="0.35">
      <c r="A874" s="40" t="e">
        <f>IF(OR(_xlfn.XLOOKUP("0714.10m2Organizational.7",Assessment!H:H,Assessment!E:E)="yes"),"Yes","No")</f>
        <v>#N/A</v>
      </c>
      <c r="B874" s="40" t="s">
        <v>7829</v>
      </c>
      <c r="C874" s="40" t="s">
        <v>8083</v>
      </c>
      <c r="D874" s="40" t="s">
        <v>8931</v>
      </c>
      <c r="E874" s="40" t="s">
        <v>8444</v>
      </c>
    </row>
    <row r="875" spans="1:8" x14ac:dyDescent="0.35">
      <c r="A875" s="40" t="e">
        <f>IF(OR(_xlfn.XLOOKUP("0714.10m2Organizational.7",Assessment!H:H,Assessment!E:E)="yes"),"Yes","No")</f>
        <v>#N/A</v>
      </c>
      <c r="B875" s="40" t="s">
        <v>7829</v>
      </c>
      <c r="C875" s="40" t="s">
        <v>8083</v>
      </c>
      <c r="D875" s="40" t="s">
        <v>8932</v>
      </c>
      <c r="E875" s="40" t="s">
        <v>8444</v>
      </c>
    </row>
    <row r="876" spans="1:8" x14ac:dyDescent="0.35">
      <c r="A876" s="40" t="e">
        <f>IF(OR(_xlfn.XLOOKUP("0716.10m3Organizational.1",Assessment!H:H,Assessment!E:E)="yes"),"Yes","No")</f>
        <v>#N/A</v>
      </c>
      <c r="B876" s="40" t="s">
        <v>7829</v>
      </c>
      <c r="C876" s="40" t="s">
        <v>8083</v>
      </c>
      <c r="D876" s="40" t="s">
        <v>8933</v>
      </c>
      <c r="E876" s="40" t="s">
        <v>8444</v>
      </c>
    </row>
    <row r="877" spans="1:8" x14ac:dyDescent="0.35">
      <c r="A877" s="40" t="e">
        <f>IF(OR(_xlfn.XLOOKUP("0717.10m3Organizational.2",Assessment!H:H,Assessment!E:E)="yes"),"Yes","No")</f>
        <v>#N/A</v>
      </c>
      <c r="B877" s="40" t="s">
        <v>7829</v>
      </c>
      <c r="C877" s="40" t="s">
        <v>8083</v>
      </c>
      <c r="D877" s="40" t="s">
        <v>8934</v>
      </c>
      <c r="E877" s="40" t="s">
        <v>8444</v>
      </c>
    </row>
    <row r="878" spans="1:8" x14ac:dyDescent="0.35">
      <c r="A878" s="40" t="e">
        <f>IF(OR(_xlfn.XLOOKUP("0724.07a3Organizational.4",Assessment!H:H,Assessment!E:E)="yes"),"Yes","No")</f>
        <v>#N/A</v>
      </c>
      <c r="B878" s="40" t="s">
        <v>7829</v>
      </c>
      <c r="C878" s="40" t="s">
        <v>8083</v>
      </c>
      <c r="D878" s="40" t="s">
        <v>8935</v>
      </c>
      <c r="E878" s="40" t="s">
        <v>8444</v>
      </c>
    </row>
    <row r="879" spans="1:8" x14ac:dyDescent="0.35">
      <c r="A879" s="40" t="e">
        <f>IF(OR(_xlfn.XLOOKUP("0724.07a3Organizational.4",Assessment!H:H,Assessment!E:E)="yes"),"Yes","No")</f>
        <v>#N/A</v>
      </c>
      <c r="B879" s="40" t="s">
        <v>7829</v>
      </c>
      <c r="C879" s="40" t="s">
        <v>8083</v>
      </c>
      <c r="D879" s="40" t="s">
        <v>8936</v>
      </c>
      <c r="E879" s="40" t="s">
        <v>8444</v>
      </c>
    </row>
    <row r="880" spans="1:8" x14ac:dyDescent="0.35">
      <c r="A880" s="40" t="e">
        <f>IF(OR(_xlfn.XLOOKUP("0725.07a3Organizational.5",Assessment!H:H,Assessment!E:E)="yes"),"Yes","No")</f>
        <v>#N/A</v>
      </c>
      <c r="B880" s="40" t="s">
        <v>7829</v>
      </c>
      <c r="C880" s="40" t="s">
        <v>8083</v>
      </c>
      <c r="D880" s="40" t="s">
        <v>8937</v>
      </c>
      <c r="E880" s="40" t="s">
        <v>8437</v>
      </c>
      <c r="H880" s="40" t="s">
        <v>8416</v>
      </c>
    </row>
    <row r="881" spans="1:5" x14ac:dyDescent="0.35">
      <c r="A881" s="40" t="e">
        <f>IF(OR(_xlfn.XLOOKUP("0741.10m3Organizational.6",Assessment!H:H,Assessment!E:E)="yes"),"Yes","No")</f>
        <v>#N/A</v>
      </c>
      <c r="B881" s="40" t="s">
        <v>7829</v>
      </c>
      <c r="C881" s="40" t="s">
        <v>8083</v>
      </c>
      <c r="D881" s="40" t="s">
        <v>8938</v>
      </c>
      <c r="E881" s="40" t="s">
        <v>8444</v>
      </c>
    </row>
    <row r="882" spans="1:5" x14ac:dyDescent="0.35">
      <c r="A882" s="40" t="e">
        <f>IF(OR(_xlfn.XLOOKUP("0788.10m3Organizational.20",Assessment!H:H,Assessment!E:E)="yes"),"Yes","No")</f>
        <v>#N/A</v>
      </c>
      <c r="B882" s="40" t="s">
        <v>7829</v>
      </c>
      <c r="C882" s="40" t="s">
        <v>8083</v>
      </c>
      <c r="D882" s="40" t="s">
        <v>8939</v>
      </c>
      <c r="E882" s="40" t="s">
        <v>8444</v>
      </c>
    </row>
    <row r="883" spans="1:5" x14ac:dyDescent="0.35">
      <c r="A883" s="40" t="e">
        <f>IF(OR(_xlfn.XLOOKUP("0788.10m3Organizational.20",Assessment!H:H,Assessment!E:E)="yes"),"Yes","No")</f>
        <v>#N/A</v>
      </c>
      <c r="B883" s="40" t="s">
        <v>7829</v>
      </c>
      <c r="C883" s="40" t="s">
        <v>8083</v>
      </c>
      <c r="D883" s="40" t="s">
        <v>8940</v>
      </c>
      <c r="E883" s="40" t="s">
        <v>8444</v>
      </c>
    </row>
    <row r="884" spans="1:5" x14ac:dyDescent="0.35">
      <c r="A884" s="40" t="e">
        <f>IF(OR(_xlfn.XLOOKUP("0788.10m3Organizational.20",Assessment!H:H,Assessment!E:E)="yes"),"Yes","No")</f>
        <v>#N/A</v>
      </c>
      <c r="B884" s="40" t="s">
        <v>7829</v>
      </c>
      <c r="C884" s="40" t="s">
        <v>8083</v>
      </c>
      <c r="D884" s="40" t="s">
        <v>8941</v>
      </c>
      <c r="E884" s="40" t="s">
        <v>8444</v>
      </c>
    </row>
    <row r="885" spans="1:5" x14ac:dyDescent="0.35">
      <c r="A885" s="40" t="e">
        <f>IF(OR(_xlfn.XLOOKUP("0788.10m3Organizational.20",Assessment!H:H,Assessment!E:E)="yes"),"Yes","No")</f>
        <v>#N/A</v>
      </c>
      <c r="B885" s="40" t="s">
        <v>7829</v>
      </c>
      <c r="C885" s="40" t="s">
        <v>8083</v>
      </c>
      <c r="D885" s="40" t="s">
        <v>8942</v>
      </c>
      <c r="E885" s="40" t="s">
        <v>8444</v>
      </c>
    </row>
    <row r="886" spans="1:5" x14ac:dyDescent="0.35">
      <c r="A886" s="40" t="e">
        <f>IF(OR(_xlfn.XLOOKUP("0806.01m2Organizational.12356",Assessment!H:H,Assessment!E:E)="yes"),"Yes","No")</f>
        <v>#N/A</v>
      </c>
      <c r="B886" s="40" t="s">
        <v>7829</v>
      </c>
      <c r="C886" s="40" t="s">
        <v>8083</v>
      </c>
      <c r="D886" s="40" t="s">
        <v>8943</v>
      </c>
      <c r="E886" s="40" t="s">
        <v>8452</v>
      </c>
    </row>
    <row r="887" spans="1:5" x14ac:dyDescent="0.35">
      <c r="A887" s="40" t="e">
        <f>IF(OR(_xlfn.XLOOKUP("0811.01n2Organizational.6",Assessment!H:H,Assessment!E:E)="yes",_xlfn.XLOOKUP("0821.09m2Organizational.2",Assessment!H:H,Assessment!E:E)="yes"),"Yes","No")</f>
        <v>#N/A</v>
      </c>
      <c r="B887" s="40" t="s">
        <v>7829</v>
      </c>
      <c r="C887" s="40" t="s">
        <v>8083</v>
      </c>
      <c r="D887" s="40" t="s">
        <v>8944</v>
      </c>
      <c r="E887" s="40" t="s">
        <v>8945</v>
      </c>
    </row>
    <row r="888" spans="1:5" x14ac:dyDescent="0.35">
      <c r="A888" s="40" t="e">
        <f>IF(OR(_xlfn.XLOOKUP("0811.01n2Organizational.6",Assessment!H:H,Assessment!E:E)="yes",_xlfn.XLOOKUP("0821.09m2Organizational.2",Assessment!H:H,Assessment!E:E)="yes"),"Yes","No")</f>
        <v>#N/A</v>
      </c>
      <c r="B888" s="40" t="s">
        <v>7829</v>
      </c>
      <c r="C888" s="40" t="s">
        <v>8083</v>
      </c>
      <c r="D888" s="40" t="s">
        <v>8946</v>
      </c>
      <c r="E888" s="40" t="s">
        <v>8945</v>
      </c>
    </row>
    <row r="889" spans="1:5" x14ac:dyDescent="0.35">
      <c r="A889" s="40" t="e">
        <f>IF(OR(_xlfn.XLOOKUP("0811.01n2Organizational.6",Assessment!H:H,Assessment!E:E)="yes"),"Yes","No")</f>
        <v>#N/A</v>
      </c>
      <c r="B889" s="40" t="s">
        <v>7829</v>
      </c>
      <c r="C889" s="40" t="s">
        <v>8083</v>
      </c>
      <c r="D889" s="40" t="s">
        <v>8947</v>
      </c>
      <c r="E889" s="40" t="s">
        <v>8945</v>
      </c>
    </row>
    <row r="890" spans="1:5" x14ac:dyDescent="0.35">
      <c r="A890" s="40" t="e">
        <f>IF(OR(_xlfn.XLOOKUP("0821.09m2Organizational.2",Assessment!H:H,Assessment!E:E)="yes"),"Yes","No")</f>
        <v>#N/A</v>
      </c>
      <c r="B890" s="40" t="s">
        <v>7829</v>
      </c>
      <c r="C890" s="40" t="s">
        <v>8083</v>
      </c>
      <c r="D890" s="40" t="s">
        <v>8948</v>
      </c>
      <c r="E890" s="40" t="s">
        <v>8398</v>
      </c>
    </row>
    <row r="891" spans="1:5" x14ac:dyDescent="0.35">
      <c r="A891" s="40" t="e">
        <f>IF(OR(_xlfn.XLOOKUP("0828.09m2Organizational.8",Assessment!H:H,Assessment!E:E)="yes"),"Yes","No")</f>
        <v>#N/A</v>
      </c>
      <c r="B891" s="40" t="s">
        <v>7829</v>
      </c>
      <c r="C891" s="40" t="s">
        <v>8083</v>
      </c>
      <c r="D891" s="40" t="s">
        <v>8949</v>
      </c>
      <c r="E891" s="40" t="s">
        <v>8398</v>
      </c>
    </row>
    <row r="892" spans="1:5" x14ac:dyDescent="0.35">
      <c r="A892" s="40" t="e">
        <f>IF(OR(_xlfn.XLOOKUP("0830.09m3Organizational.1012",Assessment!H:H,Assessment!E:E)="yes"),"Yes","No")</f>
        <v>#N/A</v>
      </c>
      <c r="B892" s="40" t="s">
        <v>7829</v>
      </c>
      <c r="C892" s="40" t="s">
        <v>8083</v>
      </c>
      <c r="D892" s="40" t="s">
        <v>8950</v>
      </c>
      <c r="E892" s="40" t="s">
        <v>8398</v>
      </c>
    </row>
    <row r="893" spans="1:5" x14ac:dyDescent="0.35">
      <c r="A893" s="40" t="e">
        <f>IF(OR(_xlfn.XLOOKUP("0830.09m3Organizational.1012",Assessment!H:H,Assessment!E:E)="yes"),"Yes","No")</f>
        <v>#N/A</v>
      </c>
      <c r="B893" s="40" t="s">
        <v>7829</v>
      </c>
      <c r="C893" s="40" t="s">
        <v>8083</v>
      </c>
      <c r="D893" s="40" t="s">
        <v>8951</v>
      </c>
      <c r="E893" s="40" t="s">
        <v>8398</v>
      </c>
    </row>
    <row r="894" spans="1:5" x14ac:dyDescent="0.35">
      <c r="A894" s="40" t="e">
        <f>IF(OR(_xlfn.XLOOKUP("0830.09m3Organizational.1012",Assessment!H:H,Assessment!E:E)="yes"),"Yes","No")</f>
        <v>#N/A</v>
      </c>
      <c r="B894" s="40" t="s">
        <v>7829</v>
      </c>
      <c r="C894" s="40" t="s">
        <v>8083</v>
      </c>
      <c r="D894" s="40" t="s">
        <v>8952</v>
      </c>
      <c r="E894" s="40" t="s">
        <v>8398</v>
      </c>
    </row>
    <row r="895" spans="1:5" x14ac:dyDescent="0.35">
      <c r="A895" s="40" t="e">
        <f>IF(OR(_xlfn.XLOOKUP("0830.09m3Organizational.1012",Assessment!H:H,Assessment!E:E)="yes"),"Yes","No")</f>
        <v>#N/A</v>
      </c>
      <c r="B895" s="40" t="s">
        <v>7829</v>
      </c>
      <c r="C895" s="40" t="s">
        <v>8083</v>
      </c>
      <c r="D895" s="40" t="s">
        <v>8953</v>
      </c>
      <c r="E895" s="40" t="s">
        <v>8398</v>
      </c>
    </row>
    <row r="896" spans="1:5" x14ac:dyDescent="0.35">
      <c r="A896" s="40" t="e">
        <f>IF(OR(_xlfn.XLOOKUP("0830.09m3Organizational.1012",Assessment!H:H,Assessment!E:E)="yes"),"Yes","No")</f>
        <v>#N/A</v>
      </c>
      <c r="B896" s="40" t="s">
        <v>7829</v>
      </c>
      <c r="C896" s="40" t="s">
        <v>8083</v>
      </c>
      <c r="D896" s="40" t="s">
        <v>8954</v>
      </c>
      <c r="E896" s="40" t="s">
        <v>8398</v>
      </c>
    </row>
    <row r="897" spans="1:5" x14ac:dyDescent="0.35">
      <c r="A897" s="40" t="e">
        <f>IF(OR(_xlfn.XLOOKUP("0830.09m3Organizational.1012",Assessment!H:H,Assessment!E:E)="yes"),"Yes","No")</f>
        <v>#N/A</v>
      </c>
      <c r="B897" s="40" t="s">
        <v>7829</v>
      </c>
      <c r="C897" s="40" t="s">
        <v>8083</v>
      </c>
      <c r="D897" s="40" t="s">
        <v>8955</v>
      </c>
      <c r="E897" s="40" t="s">
        <v>8398</v>
      </c>
    </row>
    <row r="898" spans="1:5" x14ac:dyDescent="0.35">
      <c r="A898" s="40" t="e">
        <f>IF(OR(_xlfn.XLOOKUP("0832.09m3Organizational.14",Assessment!H:H,Assessment!E:E)="yes",_xlfn.XLOOKUP("0871.09m3Organizational.22",Assessment!H:H,Assessment!E:E)="yes"),"Yes","No")</f>
        <v>#N/A</v>
      </c>
      <c r="B898" s="40" t="s">
        <v>7829</v>
      </c>
      <c r="C898" s="40" t="s">
        <v>8083</v>
      </c>
      <c r="D898" s="40" t="s">
        <v>8956</v>
      </c>
      <c r="E898" s="40" t="s">
        <v>8398</v>
      </c>
    </row>
    <row r="899" spans="1:5" x14ac:dyDescent="0.35">
      <c r="A899" s="40" t="e">
        <f>IF(OR(_xlfn.XLOOKUP("0861.09m2Organizational.67",Assessment!H:H,Assessment!E:E)="yes"),"Yes","No")</f>
        <v>#N/A</v>
      </c>
      <c r="B899" s="40" t="s">
        <v>7829</v>
      </c>
      <c r="C899" s="40" t="s">
        <v>8083</v>
      </c>
      <c r="D899" s="40" t="s">
        <v>8957</v>
      </c>
      <c r="E899" s="40" t="s">
        <v>8398</v>
      </c>
    </row>
    <row r="900" spans="1:5" x14ac:dyDescent="0.35">
      <c r="A900" s="40" t="e">
        <f>IF(OR(_xlfn.XLOOKUP("0864.09m2Organizational.12",Assessment!H:H,Assessment!E:E)="yes"),"Yes","No")</f>
        <v>#N/A</v>
      </c>
      <c r="B900" s="40" t="s">
        <v>7829</v>
      </c>
      <c r="C900" s="40" t="s">
        <v>8083</v>
      </c>
      <c r="D900" s="40" t="s">
        <v>8958</v>
      </c>
      <c r="E900" s="40" t="s">
        <v>8398</v>
      </c>
    </row>
    <row r="901" spans="1:5" x14ac:dyDescent="0.35">
      <c r="A901" s="40" t="e">
        <f>IF(OR(_xlfn.XLOOKUP("0865.09m2Organizational.14",Assessment!H:H,Assessment!E:E)="yes",_xlfn.XLOOKUP("08.09n2Organizational.8",Assessment!H:H,Assessment!E:E)="yes"),"Yes","No")</f>
        <v>#N/A</v>
      </c>
      <c r="B901" s="40" t="s">
        <v>7829</v>
      </c>
      <c r="C901" s="40" t="s">
        <v>8083</v>
      </c>
      <c r="D901" s="40" t="s">
        <v>8959</v>
      </c>
      <c r="E901" s="40" t="s">
        <v>8398</v>
      </c>
    </row>
    <row r="902" spans="1:5" x14ac:dyDescent="0.35">
      <c r="A902" s="40" t="e">
        <f>IF(OR(_xlfn.XLOOKUP("0866.09m3Organizational.1516",Assessment!H:H,Assessment!E:E)="yes"),"Yes","No")</f>
        <v>#N/A</v>
      </c>
      <c r="B902" s="40" t="s">
        <v>7829</v>
      </c>
      <c r="C902" s="40" t="s">
        <v>8083</v>
      </c>
      <c r="D902" s="40" t="s">
        <v>8960</v>
      </c>
      <c r="E902" s="40" t="s">
        <v>8398</v>
      </c>
    </row>
    <row r="903" spans="1:5" x14ac:dyDescent="0.35">
      <c r="A903" s="40" t="e">
        <f>IF(OR(_xlfn.XLOOKUP("0870.09m3Organizational.20",Assessment!H:H,Assessment!E:E)="yes"),"Yes","No")</f>
        <v>#N/A</v>
      </c>
      <c r="B903" s="40" t="s">
        <v>7829</v>
      </c>
      <c r="C903" s="40" t="s">
        <v>8083</v>
      </c>
      <c r="D903" s="40" t="s">
        <v>8961</v>
      </c>
      <c r="E903" s="40" t="s">
        <v>8398</v>
      </c>
    </row>
    <row r="904" spans="1:5" x14ac:dyDescent="0.35">
      <c r="A904" s="40" t="e">
        <f>IF(OR(_xlfn.XLOOKUP("0871.09m3Organizational.22",Assessment!H:H,Assessment!E:E)="yes"),"Yes","No")</f>
        <v>#N/A</v>
      </c>
      <c r="B904" s="40" t="s">
        <v>7829</v>
      </c>
      <c r="C904" s="40" t="s">
        <v>8083</v>
      </c>
      <c r="D904" s="40" t="s">
        <v>8962</v>
      </c>
      <c r="E904" s="40" t="s">
        <v>8398</v>
      </c>
    </row>
    <row r="905" spans="1:5" x14ac:dyDescent="0.35">
      <c r="A905" s="40" t="e">
        <f>IF(OR(_xlfn.XLOOKUP("0871.09m3Organizational.22",Assessment!H:H,Assessment!E:E)="yes"),"Yes","No")</f>
        <v>#N/A</v>
      </c>
      <c r="B905" s="40" t="s">
        <v>7829</v>
      </c>
      <c r="C905" s="40" t="s">
        <v>8083</v>
      </c>
      <c r="D905" s="40" t="s">
        <v>8963</v>
      </c>
      <c r="E905" s="40" t="s">
        <v>8398</v>
      </c>
    </row>
    <row r="906" spans="1:5" x14ac:dyDescent="0.35">
      <c r="A906" s="40" t="e">
        <f>IF(OR(_xlfn.XLOOKUP("0912.09s2Organizational.7",Assessment!H:H,Assessment!E:E)="yes",_xlfn.XLOOKUP("1121.01j3Organizational.2",Assessment!H:H,Assessment!E:E)="yes",_xlfn.XLOOKUP("09.09sNIST80053Organizational.6",Assessment!H:H,Assessment!E:E)="yes"),"Yes","No")</f>
        <v>#N/A</v>
      </c>
      <c r="B906" s="40" t="s">
        <v>7829</v>
      </c>
      <c r="C906" s="40" t="s">
        <v>8083</v>
      </c>
      <c r="D906" s="40" t="s">
        <v>8964</v>
      </c>
      <c r="E906" s="40" t="s">
        <v>8482</v>
      </c>
    </row>
    <row r="907" spans="1:5" x14ac:dyDescent="0.35">
      <c r="A907" s="40" t="e">
        <f>IF(OR(_xlfn.XLOOKUP("0914.09s2Organizational.8",Assessment!H:H,Assessment!E:E)="yes"),"Yes","No")</f>
        <v>#N/A</v>
      </c>
      <c r="B907" s="40" t="s">
        <v>7829</v>
      </c>
      <c r="C907" s="40" t="s">
        <v>8083</v>
      </c>
      <c r="D907" s="40" t="s">
        <v>8965</v>
      </c>
      <c r="E907" s="40" t="s">
        <v>8482</v>
      </c>
    </row>
    <row r="908" spans="1:5" x14ac:dyDescent="0.35">
      <c r="A908" s="40" t="e">
        <f>IF(OR(_xlfn.XLOOKUP("0943.09y2Organizational.5",Assessment!H:H,Assessment!E:E)="yes",_xlfn.XLOOKUP("0944.09y2Organizational.6",Assessment!H:H,Assessment!E:E)="yes"),"Yes","No")</f>
        <v>#N/A</v>
      </c>
      <c r="B908" s="40" t="s">
        <v>7829</v>
      </c>
      <c r="C908" s="40" t="s">
        <v>8083</v>
      </c>
      <c r="D908" s="40" t="s">
        <v>8966</v>
      </c>
      <c r="E908" s="40" t="s">
        <v>8967</v>
      </c>
    </row>
    <row r="909" spans="1:5" x14ac:dyDescent="0.35">
      <c r="A909" s="40" t="e">
        <f>IF(OR(_xlfn.XLOOKUP("0944.09y2Organizational.6",Assessment!H:H,Assessment!E:E)="yes"),"Yes","No")</f>
        <v>#N/A</v>
      </c>
      <c r="B909" s="40" t="s">
        <v>7829</v>
      </c>
      <c r="C909" s="40" t="s">
        <v>8083</v>
      </c>
      <c r="D909" s="40" t="s">
        <v>8968</v>
      </c>
      <c r="E909" s="40" t="s">
        <v>8967</v>
      </c>
    </row>
    <row r="910" spans="1:5" x14ac:dyDescent="0.35">
      <c r="A910" s="40" t="e">
        <f>IF(OR(_xlfn.XLOOKUP("0947.09y2Organizational.2",Assessment!H:H,Assessment!E:E)="yes"),"Yes","No")</f>
        <v>#N/A</v>
      </c>
      <c r="B910" s="40" t="s">
        <v>7829</v>
      </c>
      <c r="C910" s="40" t="s">
        <v>8083</v>
      </c>
      <c r="D910" s="40" t="s">
        <v>8969</v>
      </c>
      <c r="E910" s="40" t="s">
        <v>8967</v>
      </c>
    </row>
    <row r="911" spans="1:5" x14ac:dyDescent="0.35">
      <c r="A911" s="40" t="e">
        <f>IF(OR(_xlfn.XLOOKUP("0948.09y2Organizational.3",Assessment!H:H,Assessment!E:E)="yes"),"Yes","No")</f>
        <v>#N/A</v>
      </c>
      <c r="B911" s="40" t="s">
        <v>7829</v>
      </c>
      <c r="C911" s="40" t="s">
        <v>8083</v>
      </c>
      <c r="D911" s="40" t="s">
        <v>8970</v>
      </c>
      <c r="E911" s="40" t="s">
        <v>8967</v>
      </c>
    </row>
    <row r="912" spans="1:5" x14ac:dyDescent="0.35">
      <c r="A912" s="40" t="e">
        <f>IF(OR(_xlfn.XLOOKUP("0949.09y3Organizational.1",Assessment!H:H,Assessment!E:E)="yes"),"Yes","No")</f>
        <v>#N/A</v>
      </c>
      <c r="B912" s="40" t="s">
        <v>7829</v>
      </c>
      <c r="C912" s="40" t="s">
        <v>8083</v>
      </c>
      <c r="D912" s="40" t="s">
        <v>8971</v>
      </c>
      <c r="E912" s="40" t="s">
        <v>8967</v>
      </c>
    </row>
    <row r="913" spans="1:8" x14ac:dyDescent="0.35">
      <c r="A913" s="40" t="e">
        <f>IF(OR(_xlfn.XLOOKUP("0960.09sCSPOrganizational.1",Assessment!H:H,Assessment!E:E)="yes"),"Yes","No")</f>
        <v>#N/A</v>
      </c>
      <c r="B913" s="40" t="s">
        <v>7829</v>
      </c>
      <c r="C913" s="40" t="s">
        <v>8083</v>
      </c>
      <c r="D913" s="40" t="s">
        <v>8972</v>
      </c>
      <c r="E913" s="40" t="s">
        <v>8482</v>
      </c>
    </row>
    <row r="914" spans="1:8" x14ac:dyDescent="0.35">
      <c r="A914" s="40" t="e">
        <f>IF(OR(_xlfn.XLOOKUP("11180.01c3System.6",Assessment!H:H,Assessment!E:E)="yes"),"Yes","No")</f>
        <v>#N/A</v>
      </c>
      <c r="B914" s="40" t="s">
        <v>7829</v>
      </c>
      <c r="C914" s="40" t="s">
        <v>8083</v>
      </c>
      <c r="D914" s="40" t="s">
        <v>8973</v>
      </c>
      <c r="E914" s="40" t="s">
        <v>8530</v>
      </c>
    </row>
    <row r="915" spans="1:8" x14ac:dyDescent="0.35">
      <c r="A915" s="40" t="e">
        <f>IF(OR(_xlfn.XLOOKUP("11180.01c3System.6",Assessment!H:H,Assessment!E:E)="yes"),"Yes","No")</f>
        <v>#N/A</v>
      </c>
      <c r="B915" s="40" t="s">
        <v>7829</v>
      </c>
      <c r="C915" s="40" t="s">
        <v>8083</v>
      </c>
      <c r="D915" s="40" t="s">
        <v>8974</v>
      </c>
      <c r="E915" s="40" t="s">
        <v>8530</v>
      </c>
    </row>
    <row r="916" spans="1:8" x14ac:dyDescent="0.35">
      <c r="A916" s="40" t="e">
        <f>IF(OR(_xlfn.XLOOKUP("11180.01c3System.6",Assessment!H:H,Assessment!E:E)="yes"),"Yes","No")</f>
        <v>#N/A</v>
      </c>
      <c r="B916" s="40" t="s">
        <v>7829</v>
      </c>
      <c r="C916" s="40" t="s">
        <v>8083</v>
      </c>
      <c r="D916" s="40" t="s">
        <v>8975</v>
      </c>
      <c r="E916" s="40" t="s">
        <v>8530</v>
      </c>
      <c r="H916" s="40" t="s">
        <v>8423</v>
      </c>
    </row>
    <row r="917" spans="1:8" x14ac:dyDescent="0.35">
      <c r="A917" s="40" t="e">
        <f>IF(OR(_xlfn.XLOOKUP("11180.01c3System.6",Assessment!H:H,Assessment!E:E)="yes"),"Yes","No")</f>
        <v>#N/A</v>
      </c>
      <c r="B917" s="40" t="s">
        <v>7829</v>
      </c>
      <c r="C917" s="40" t="s">
        <v>8083</v>
      </c>
      <c r="D917" s="40" t="s">
        <v>8976</v>
      </c>
      <c r="E917" s="40" t="s">
        <v>8530</v>
      </c>
    </row>
    <row r="918" spans="1:8" x14ac:dyDescent="0.35">
      <c r="A918" s="40" t="e">
        <f>IF(OR(_xlfn.XLOOKUP("11180.01c3System.6",Assessment!H:H,Assessment!E:E)="yes"),"Yes","No")</f>
        <v>#N/A</v>
      </c>
      <c r="B918" s="40" t="s">
        <v>7829</v>
      </c>
      <c r="C918" s="40" t="s">
        <v>8083</v>
      </c>
      <c r="D918" s="40" t="s">
        <v>8977</v>
      </c>
      <c r="E918" s="40" t="s">
        <v>8530</v>
      </c>
    </row>
    <row r="919" spans="1:8" x14ac:dyDescent="0.35">
      <c r="A919" s="40" t="e">
        <f>IF(OR(_xlfn.XLOOKUP("11180.01c3System.6",Assessment!H:H,Assessment!E:E)="yes"),"Yes","No")</f>
        <v>#N/A</v>
      </c>
      <c r="B919" s="40" t="s">
        <v>7829</v>
      </c>
      <c r="C919" s="40" t="s">
        <v>8083</v>
      </c>
      <c r="D919" s="40" t="s">
        <v>8978</v>
      </c>
      <c r="E919" s="40" t="s">
        <v>8530</v>
      </c>
    </row>
    <row r="920" spans="1:8" x14ac:dyDescent="0.35">
      <c r="A920" s="40" t="e">
        <f>IF(OR(_xlfn.XLOOKUP("1120.09ab3System.9",Assessment!H:H,Assessment!E:E)="yes"),"Yes","No")</f>
        <v>#N/A</v>
      </c>
      <c r="B920" s="40" t="s">
        <v>7829</v>
      </c>
      <c r="C920" s="40" t="s">
        <v>8083</v>
      </c>
      <c r="D920" s="40" t="s">
        <v>8979</v>
      </c>
      <c r="E920" s="40" t="s">
        <v>8548</v>
      </c>
    </row>
    <row r="921" spans="1:8" x14ac:dyDescent="0.35">
      <c r="A921" s="40" t="e">
        <f>IF(OR(_xlfn.XLOOKUP("1152.01c3System.2",Assessment!H:H,Assessment!E:E)="yes"),"Yes","No")</f>
        <v>#N/A</v>
      </c>
      <c r="B921" s="40" t="s">
        <v>7829</v>
      </c>
      <c r="C921" s="40" t="s">
        <v>8083</v>
      </c>
      <c r="D921" s="40" t="s">
        <v>8980</v>
      </c>
      <c r="E921" s="40" t="s">
        <v>8530</v>
      </c>
    </row>
    <row r="922" spans="1:8" x14ac:dyDescent="0.35">
      <c r="A922" s="40" t="e">
        <f>IF(OR(_xlfn.XLOOKUP("1152.01c3System.2",Assessment!H:H,Assessment!E:E)="yes"),"Yes","No")</f>
        <v>#N/A</v>
      </c>
      <c r="B922" s="40" t="s">
        <v>7829</v>
      </c>
      <c r="C922" s="40" t="s">
        <v>8083</v>
      </c>
      <c r="D922" s="40" t="s">
        <v>8981</v>
      </c>
      <c r="E922" s="40" t="s">
        <v>8530</v>
      </c>
    </row>
    <row r="923" spans="1:8" x14ac:dyDescent="0.35">
      <c r="A923" s="40" t="e">
        <f>IF(OR(_xlfn.XLOOKUP("1177.01j2Organizational.6",Assessment!H:H,Assessment!E:E)="yes"),"Yes","No")</f>
        <v>#N/A</v>
      </c>
      <c r="B923" s="40" t="s">
        <v>7829</v>
      </c>
      <c r="C923" s="40" t="s">
        <v>8083</v>
      </c>
      <c r="D923" s="40" t="s">
        <v>8982</v>
      </c>
      <c r="E923" s="40" t="s">
        <v>8983</v>
      </c>
    </row>
    <row r="924" spans="1:8" x14ac:dyDescent="0.35">
      <c r="A924" s="40" t="e">
        <f>IF(OR(_xlfn.XLOOKUP("1178.01j2Organizational.7",Assessment!H:H,Assessment!E:E)="yes"),"Yes","No")</f>
        <v>#N/A</v>
      </c>
      <c r="B924" s="40" t="s">
        <v>7829</v>
      </c>
      <c r="C924" s="40" t="s">
        <v>8083</v>
      </c>
      <c r="D924" s="40" t="s">
        <v>8984</v>
      </c>
      <c r="E924" s="40" t="s">
        <v>8983</v>
      </c>
    </row>
    <row r="925" spans="1:8" x14ac:dyDescent="0.35">
      <c r="A925" s="40" t="e">
        <f>IF(OR(_xlfn.XLOOKUP("1193.01l2Organizational.13",Assessment!H:H,Assessment!E:E)="yes"),"Yes","No")</f>
        <v>#N/A</v>
      </c>
      <c r="B925" s="40" t="s">
        <v>7829</v>
      </c>
      <c r="C925" s="40" t="s">
        <v>8083</v>
      </c>
      <c r="D925" s="40" t="s">
        <v>8985</v>
      </c>
      <c r="E925" s="40" t="s">
        <v>8537</v>
      </c>
    </row>
    <row r="926" spans="1:8" x14ac:dyDescent="0.35">
      <c r="A926" s="40" t="e">
        <f>IF(OR(_xlfn.XLOOKUP("1195.01l3Organizational.1",Assessment!H:H,Assessment!E:E)="yes"),"Yes","No")</f>
        <v>#N/A</v>
      </c>
      <c r="B926" s="40" t="s">
        <v>7829</v>
      </c>
      <c r="C926" s="40" t="s">
        <v>8083</v>
      </c>
      <c r="D926" s="40" t="s">
        <v>8986</v>
      </c>
      <c r="E926" s="40" t="s">
        <v>8537</v>
      </c>
    </row>
    <row r="927" spans="1:8" x14ac:dyDescent="0.35">
      <c r="A927" s="40" t="e">
        <f>IF(OR(_xlfn.XLOOKUP("1195.01l3Organizational.1",Assessment!H:H,Assessment!E:E)="yes"),"Yes","No")</f>
        <v>#N/A</v>
      </c>
      <c r="B927" s="40" t="s">
        <v>7829</v>
      </c>
      <c r="C927" s="40" t="s">
        <v>8083</v>
      </c>
      <c r="D927" s="40" t="s">
        <v>8987</v>
      </c>
      <c r="E927" s="40" t="s">
        <v>8537</v>
      </c>
    </row>
    <row r="928" spans="1:8" x14ac:dyDescent="0.35">
      <c r="A928" s="40" t="e">
        <f>IF(OR(_xlfn.XLOOKUP("1196.01l3Organizational.24",Assessment!H:H,Assessment!E:E)="yes",_xlfn.XLOOKUP("11.10h3System.2",Assessment!H:H,Assessment!E:E)="yes"),"Yes","No")</f>
        <v>#N/A</v>
      </c>
      <c r="B928" s="40" t="s">
        <v>7829</v>
      </c>
      <c r="C928" s="40" t="s">
        <v>8083</v>
      </c>
      <c r="D928" s="40" t="s">
        <v>8988</v>
      </c>
      <c r="E928" s="40" t="s">
        <v>8537</v>
      </c>
    </row>
    <row r="929" spans="1:8" x14ac:dyDescent="0.35">
      <c r="A929" s="40" t="e">
        <f>IF(OR(_xlfn.XLOOKUP("1216.09ab3System.12",Assessment!H:H,Assessment!E:E)="yes"),"Yes","No")</f>
        <v>#N/A</v>
      </c>
      <c r="B929" s="40" t="s">
        <v>7829</v>
      </c>
      <c r="C929" s="40" t="s">
        <v>8083</v>
      </c>
      <c r="D929" s="40" t="s">
        <v>8989</v>
      </c>
      <c r="E929" s="40" t="s">
        <v>8548</v>
      </c>
    </row>
    <row r="930" spans="1:8" x14ac:dyDescent="0.35">
      <c r="A930" s="40" t="e">
        <f>IF(OR(_xlfn.XLOOKUP("1216.09ab3System.12",Assessment!H:H,Assessment!E:E)="yes"),"Yes","No")</f>
        <v>#N/A</v>
      </c>
      <c r="B930" s="40" t="s">
        <v>7829</v>
      </c>
      <c r="C930" s="40" t="s">
        <v>8083</v>
      </c>
      <c r="D930" s="40" t="s">
        <v>8990</v>
      </c>
      <c r="E930" s="40" t="s">
        <v>8548</v>
      </c>
    </row>
    <row r="931" spans="1:8" x14ac:dyDescent="0.35">
      <c r="A931" s="40" t="e">
        <f>IF(OR(_xlfn.XLOOKUP("1216.09ab3System.12",Assessment!H:H,Assessment!E:E)="yes"),"Yes","No")</f>
        <v>#N/A</v>
      </c>
      <c r="B931" s="40" t="s">
        <v>7829</v>
      </c>
      <c r="C931" s="40" t="s">
        <v>8083</v>
      </c>
      <c r="D931" s="40" t="s">
        <v>8991</v>
      </c>
      <c r="E931" s="40" t="s">
        <v>8548</v>
      </c>
    </row>
    <row r="932" spans="1:8" x14ac:dyDescent="0.35">
      <c r="A932" s="40" t="e">
        <f>IF(OR(_xlfn.XLOOKUP("1216.09ab3System.12",Assessment!H:H,Assessment!E:E)="yes"),"Yes","No")</f>
        <v>#N/A</v>
      </c>
      <c r="B932" s="40" t="s">
        <v>7829</v>
      </c>
      <c r="C932" s="40" t="s">
        <v>8083</v>
      </c>
      <c r="D932" s="40" t="s">
        <v>8992</v>
      </c>
      <c r="E932" s="40" t="s">
        <v>8548</v>
      </c>
    </row>
    <row r="933" spans="1:8" x14ac:dyDescent="0.35">
      <c r="A933" s="40" t="e">
        <f>IF(OR(_xlfn.XLOOKUP("1216.09ab3System.12",Assessment!H:H,Assessment!E:E)="yes"),"Yes","No")</f>
        <v>#N/A</v>
      </c>
      <c r="B933" s="40" t="s">
        <v>7829</v>
      </c>
      <c r="C933" s="40" t="s">
        <v>8083</v>
      </c>
      <c r="D933" s="40" t="s">
        <v>8993</v>
      </c>
      <c r="E933" s="40" t="s">
        <v>8548</v>
      </c>
    </row>
    <row r="934" spans="1:8" x14ac:dyDescent="0.35">
      <c r="A934" s="40" t="e">
        <f>IF(OR(_xlfn.XLOOKUP("1216.09ab3System.12",Assessment!H:H,Assessment!E:E)="yes"),"Yes","No")</f>
        <v>#N/A</v>
      </c>
      <c r="B934" s="40" t="s">
        <v>7829</v>
      </c>
      <c r="C934" s="40" t="s">
        <v>8083</v>
      </c>
      <c r="D934" s="40" t="s">
        <v>8994</v>
      </c>
      <c r="E934" s="40" t="s">
        <v>8548</v>
      </c>
    </row>
    <row r="935" spans="1:8" x14ac:dyDescent="0.35">
      <c r="A935" s="40" t="e">
        <f>IF(OR(_xlfn.XLOOKUP("1216.09ab3System.12",Assessment!H:H,Assessment!E:E)="yes"),"Yes","No")</f>
        <v>#N/A</v>
      </c>
      <c r="B935" s="40" t="s">
        <v>7829</v>
      </c>
      <c r="C935" s="40" t="s">
        <v>8083</v>
      </c>
      <c r="D935" s="40" t="s">
        <v>8995</v>
      </c>
      <c r="E935" s="40" t="s">
        <v>8548</v>
      </c>
    </row>
    <row r="936" spans="1:8" x14ac:dyDescent="0.35">
      <c r="A936" s="40" t="e">
        <f>IF(OR(_xlfn.XLOOKUP("1216.09ab3System.12",Assessment!H:H,Assessment!E:E)="yes"),"Yes","No")</f>
        <v>#N/A</v>
      </c>
      <c r="B936" s="40" t="s">
        <v>7829</v>
      </c>
      <c r="C936" s="40" t="s">
        <v>8083</v>
      </c>
      <c r="D936" s="40" t="s">
        <v>8996</v>
      </c>
      <c r="E936" s="40" t="s">
        <v>8548</v>
      </c>
    </row>
    <row r="937" spans="1:8" x14ac:dyDescent="0.35">
      <c r="A937" s="40" t="e">
        <f>IF(OR(_xlfn.XLOOKUP("1218.09ab3System.47",Assessment!H:H,Assessment!E:E)="yes"),"Yes","No")</f>
        <v>#N/A</v>
      </c>
      <c r="B937" s="40" t="s">
        <v>7829</v>
      </c>
      <c r="C937" s="40" t="s">
        <v>8083</v>
      </c>
      <c r="D937" s="40" t="s">
        <v>8997</v>
      </c>
      <c r="E937" s="40" t="s">
        <v>8548</v>
      </c>
    </row>
    <row r="938" spans="1:8" x14ac:dyDescent="0.35">
      <c r="A938" s="40" t="e">
        <f>IF(OR(_xlfn.XLOOKUP("1218.09ab3System.47",Assessment!H:H,Assessment!E:E)="yes"),"Yes","No")</f>
        <v>#N/A</v>
      </c>
      <c r="B938" s="40" t="s">
        <v>7829</v>
      </c>
      <c r="C938" s="40" t="s">
        <v>8083</v>
      </c>
      <c r="D938" s="40" t="s">
        <v>8998</v>
      </c>
      <c r="E938" s="40" t="s">
        <v>8548</v>
      </c>
    </row>
    <row r="939" spans="1:8" x14ac:dyDescent="0.35">
      <c r="A939" s="40" t="e">
        <f>IF(OR(_xlfn.XLOOKUP("1218.09ab3System.47",Assessment!H:H,Assessment!E:E)="yes"),"Yes","No")</f>
        <v>#N/A</v>
      </c>
      <c r="B939" s="40" t="s">
        <v>7829</v>
      </c>
      <c r="C939" s="40" t="s">
        <v>8083</v>
      </c>
      <c r="D939" s="40" t="s">
        <v>8999</v>
      </c>
      <c r="E939" s="40" t="s">
        <v>8548</v>
      </c>
    </row>
    <row r="940" spans="1:8" x14ac:dyDescent="0.35">
      <c r="A940" s="40" t="e">
        <f>IF(OR(_xlfn.XLOOKUP("1218.09ab3System.47",Assessment!H:H,Assessment!E:E)="yes"),"Yes","No")</f>
        <v>#N/A</v>
      </c>
      <c r="B940" s="40" t="s">
        <v>7829</v>
      </c>
      <c r="C940" s="40" t="s">
        <v>8083</v>
      </c>
      <c r="D940" s="40" t="s">
        <v>9000</v>
      </c>
      <c r="E940" s="40" t="s">
        <v>8548</v>
      </c>
    </row>
    <row r="941" spans="1:8" x14ac:dyDescent="0.35">
      <c r="A941" s="40" t="e">
        <f>IF(OR(_xlfn.XLOOKUP("1220.09ab3System.56",Assessment!H:H,Assessment!E:E)="yes"),"Yes","No")</f>
        <v>#N/A</v>
      </c>
      <c r="B941" s="40" t="s">
        <v>7829</v>
      </c>
      <c r="C941" s="40" t="s">
        <v>8083</v>
      </c>
      <c r="D941" s="40" t="s">
        <v>9001</v>
      </c>
      <c r="E941" s="40" t="s">
        <v>8548</v>
      </c>
      <c r="H941" s="40" t="s">
        <v>8423</v>
      </c>
    </row>
    <row r="942" spans="1:8" x14ac:dyDescent="0.35">
      <c r="A942" s="40" t="e">
        <f>IF(OR(_xlfn.XLOOKUP("1220.09ab3System.56",Assessment!H:H,Assessment!E:E)="yes"),"Yes","No")</f>
        <v>#N/A</v>
      </c>
      <c r="B942" s="40" t="s">
        <v>7829</v>
      </c>
      <c r="C942" s="40" t="s">
        <v>8083</v>
      </c>
      <c r="D942" s="40" t="s">
        <v>9002</v>
      </c>
      <c r="E942" s="40" t="s">
        <v>8548</v>
      </c>
      <c r="H942" s="40" t="s">
        <v>8423</v>
      </c>
    </row>
    <row r="943" spans="1:8" x14ac:dyDescent="0.35">
      <c r="A943" s="40" t="e">
        <f>IF(OR(_xlfn.XLOOKUP("1222.09ab3System.8",Assessment!H:H,Assessment!E:E)="yes"),"Yes","No")</f>
        <v>#N/A</v>
      </c>
      <c r="B943" s="40" t="s">
        <v>7829</v>
      </c>
      <c r="C943" s="40" t="s">
        <v>8083</v>
      </c>
      <c r="D943" s="40" t="s">
        <v>9003</v>
      </c>
      <c r="E943" s="40" t="s">
        <v>8548</v>
      </c>
    </row>
    <row r="944" spans="1:8" x14ac:dyDescent="0.35">
      <c r="A944" s="40" t="e">
        <f>IF(OR(_xlfn.XLOOKUP("1222.09ab3System.8",Assessment!H:H,Assessment!E:E)="yes"),"Yes","No")</f>
        <v>#N/A</v>
      </c>
      <c r="B944" s="40" t="s">
        <v>7829</v>
      </c>
      <c r="C944" s="40" t="s">
        <v>8083</v>
      </c>
      <c r="D944" s="40" t="s">
        <v>9004</v>
      </c>
      <c r="E944" s="40" t="s">
        <v>8548</v>
      </c>
    </row>
    <row r="945" spans="1:5" x14ac:dyDescent="0.35">
      <c r="A945" s="40" t="e">
        <f>IF(OR(_xlfn.XLOOKUP("1229.09c2Organizational.6",Assessment!H:H,Assessment!E:E)="yes"),"Yes","No")</f>
        <v>#N/A</v>
      </c>
      <c r="B945" s="40" t="s">
        <v>7829</v>
      </c>
      <c r="C945" s="40" t="s">
        <v>8083</v>
      </c>
      <c r="D945" s="40" t="s">
        <v>9005</v>
      </c>
      <c r="E945" s="40" t="s">
        <v>9006</v>
      </c>
    </row>
    <row r="946" spans="1:5" x14ac:dyDescent="0.35">
      <c r="A946" s="40" t="e">
        <f>IF(OR(_xlfn.XLOOKUP("1230.09c2Organizational.1",Assessment!H:H,Assessment!E:E)="yes",_xlfn.XLOOKUP("1277.09c2Organizational.4",Assessment!H:H,Assessment!E:E)="yes"),"Yes","No")</f>
        <v>#N/A</v>
      </c>
      <c r="B946" s="40" t="s">
        <v>7829</v>
      </c>
      <c r="C946" s="40" t="s">
        <v>8083</v>
      </c>
      <c r="D946" s="40" t="s">
        <v>9007</v>
      </c>
      <c r="E946" s="40" t="s">
        <v>9006</v>
      </c>
    </row>
    <row r="947" spans="1:5" x14ac:dyDescent="0.35">
      <c r="A947" s="40" t="e">
        <f>IF(OR(_xlfn.XLOOKUP("1244.09aa3System.5",Assessment!H:H,Assessment!E:E)="yes"),"Yes","No")</f>
        <v>#N/A</v>
      </c>
      <c r="B947" s="40" t="s">
        <v>7829</v>
      </c>
      <c r="C947" s="40" t="s">
        <v>8083</v>
      </c>
      <c r="D947" s="40" t="s">
        <v>9008</v>
      </c>
      <c r="E947" s="40" t="s">
        <v>8541</v>
      </c>
    </row>
    <row r="948" spans="1:5" x14ac:dyDescent="0.35">
      <c r="A948" s="40" t="e">
        <f>IF(OR(_xlfn.XLOOKUP("1271.09ad2System.1",Assessment!H:H,Assessment!E:E)="yes"),"Yes","No")</f>
        <v>#N/A</v>
      </c>
      <c r="B948" s="40" t="s">
        <v>7829</v>
      </c>
      <c r="C948" s="40" t="s">
        <v>8083</v>
      </c>
      <c r="D948" s="40" t="s">
        <v>9009</v>
      </c>
      <c r="E948" s="40" t="s">
        <v>9010</v>
      </c>
    </row>
    <row r="949" spans="1:5" x14ac:dyDescent="0.35">
      <c r="A949" s="40" t="e">
        <f>IF(OR(_xlfn.XLOOKUP("1276.09c2Organizational.2",Assessment!H:H,Assessment!E:E)="yes"),"Yes","No")</f>
        <v>#N/A</v>
      </c>
      <c r="B949" s="40" t="s">
        <v>7829</v>
      </c>
      <c r="C949" s="40" t="s">
        <v>8083</v>
      </c>
      <c r="D949" s="40" t="s">
        <v>9011</v>
      </c>
      <c r="E949" s="40" t="s">
        <v>9006</v>
      </c>
    </row>
    <row r="950" spans="1:5" x14ac:dyDescent="0.35">
      <c r="A950" s="40" t="e">
        <f>IF(OR(_xlfn.XLOOKUP("1278.09c2Organizational.56",Assessment!H:H,Assessment!E:E)="yes"),"Yes","No")</f>
        <v>#N/A</v>
      </c>
      <c r="B950" s="40" t="s">
        <v>7829</v>
      </c>
      <c r="C950" s="40" t="s">
        <v>8083</v>
      </c>
      <c r="D950" s="40" t="s">
        <v>9012</v>
      </c>
      <c r="E950" s="40" t="s">
        <v>9006</v>
      </c>
    </row>
    <row r="951" spans="1:5" x14ac:dyDescent="0.35">
      <c r="A951" s="40" t="e">
        <f>IF(OR(_xlfn.XLOOKUP("1279.09c3Organizational.4",Assessment!H:H,Assessment!E:E)="yes"),"Yes","No")</f>
        <v>#N/A</v>
      </c>
      <c r="B951" s="40" t="s">
        <v>7829</v>
      </c>
      <c r="C951" s="40" t="s">
        <v>8083</v>
      </c>
      <c r="D951" s="40" t="s">
        <v>9013</v>
      </c>
      <c r="E951" s="40" t="s">
        <v>9006</v>
      </c>
    </row>
    <row r="952" spans="1:5" x14ac:dyDescent="0.35">
      <c r="A952" s="40" t="e">
        <f>IF(OR(_xlfn.XLOOKUP("1311.12c2Organizational.3",Assessment!H:H,Assessment!E:E)="yes"),"Yes","No")</f>
        <v>#N/A</v>
      </c>
      <c r="B952" s="40" t="s">
        <v>7829</v>
      </c>
      <c r="C952" s="40" t="s">
        <v>8083</v>
      </c>
      <c r="D952" s="40" t="s">
        <v>9014</v>
      </c>
      <c r="E952" s="40" t="s">
        <v>9015</v>
      </c>
    </row>
    <row r="953" spans="1:5" x14ac:dyDescent="0.35">
      <c r="A953" s="40" t="e">
        <f>IF(OR(_xlfn.XLOOKUP("1325.09s2Organizational.4",Assessment!H:H,Assessment!E:E)="yes"),"Yes","No")</f>
        <v>#N/A</v>
      </c>
      <c r="B953" s="40" t="s">
        <v>7829</v>
      </c>
      <c r="C953" s="40" t="s">
        <v>8083</v>
      </c>
      <c r="D953" s="40" t="s">
        <v>9016</v>
      </c>
      <c r="E953" s="40" t="s">
        <v>8482</v>
      </c>
    </row>
    <row r="954" spans="1:5" x14ac:dyDescent="0.35">
      <c r="A954" s="40" t="e">
        <f>IF(OR(_xlfn.XLOOKUP("1325.09s2Organizational.4",Assessment!H:H,Assessment!E:E)="yes"),"Yes","No")</f>
        <v>#N/A</v>
      </c>
      <c r="B954" s="40" t="s">
        <v>7829</v>
      </c>
      <c r="C954" s="40" t="s">
        <v>8083</v>
      </c>
      <c r="D954" s="40" t="s">
        <v>9017</v>
      </c>
      <c r="E954" s="40" t="s">
        <v>8482</v>
      </c>
    </row>
    <row r="955" spans="1:5" x14ac:dyDescent="0.35">
      <c r="A955" s="40" t="e">
        <f>IF(OR(_xlfn.XLOOKUP("1325.09s2Organizational.4",Assessment!H:H,Assessment!E:E)="yes"),"Yes","No")</f>
        <v>#N/A</v>
      </c>
      <c r="B955" s="40" t="s">
        <v>7829</v>
      </c>
      <c r="C955" s="40" t="s">
        <v>8083</v>
      </c>
      <c r="D955" s="40" t="s">
        <v>9018</v>
      </c>
      <c r="E955" s="40" t="s">
        <v>8482</v>
      </c>
    </row>
    <row r="956" spans="1:5" x14ac:dyDescent="0.35">
      <c r="A956" s="40" t="e">
        <f>IF(OR(_xlfn.XLOOKUP("1325.09s2Organizational.4",Assessment!H:H,Assessment!E:E)="yes"),"Yes","No")</f>
        <v>#N/A</v>
      </c>
      <c r="B956" s="40" t="s">
        <v>7829</v>
      </c>
      <c r="C956" s="40" t="s">
        <v>8083</v>
      </c>
      <c r="D956" s="40" t="s">
        <v>9019</v>
      </c>
      <c r="E956" s="40" t="s">
        <v>8482</v>
      </c>
    </row>
    <row r="957" spans="1:5" x14ac:dyDescent="0.35">
      <c r="A957" s="40" t="e">
        <f>IF(OR(_xlfn.XLOOKUP("1407.05k2Organizational.1",Assessment!H:H,Assessment!E:E)="yes"),"Yes","No")</f>
        <v>#N/A</v>
      </c>
      <c r="B957" s="40" t="s">
        <v>7829</v>
      </c>
      <c r="C957" s="40" t="s">
        <v>8083</v>
      </c>
      <c r="D957" s="40" t="s">
        <v>9020</v>
      </c>
      <c r="E957" s="40" t="s">
        <v>9021</v>
      </c>
    </row>
    <row r="958" spans="1:5" x14ac:dyDescent="0.35">
      <c r="A958" s="40" t="e">
        <f>IF(OR(_xlfn.XLOOKUP("1407.05k2Organizational.1",Assessment!H:H,Assessment!E:E)="yes"),"Yes","No")</f>
        <v>#N/A</v>
      </c>
      <c r="B958" s="40" t="s">
        <v>7829</v>
      </c>
      <c r="C958" s="40" t="s">
        <v>8083</v>
      </c>
      <c r="D958" s="40" t="s">
        <v>9022</v>
      </c>
      <c r="E958" s="40" t="s">
        <v>9021</v>
      </c>
    </row>
    <row r="959" spans="1:5" x14ac:dyDescent="0.35">
      <c r="A959" s="40" t="e">
        <f>IF(OR(_xlfn.XLOOKUP("1407.05k2Organizational.1",Assessment!H:H,Assessment!E:E)="yes"),"Yes","No")</f>
        <v>#N/A</v>
      </c>
      <c r="B959" s="40" t="s">
        <v>7829</v>
      </c>
      <c r="C959" s="40" t="s">
        <v>8083</v>
      </c>
      <c r="D959" s="40" t="s">
        <v>9023</v>
      </c>
      <c r="E959" s="40" t="s">
        <v>9021</v>
      </c>
    </row>
    <row r="960" spans="1:5" x14ac:dyDescent="0.35">
      <c r="A960" s="40" t="e">
        <f>IF(OR(_xlfn.XLOOKUP("1407.05k2Organizational.1",Assessment!H:H,Assessment!E:E)="yes"),"Yes","No")</f>
        <v>#N/A</v>
      </c>
      <c r="B960" s="40" t="s">
        <v>7829</v>
      </c>
      <c r="C960" s="40" t="s">
        <v>8083</v>
      </c>
      <c r="D960" s="40" t="s">
        <v>9024</v>
      </c>
      <c r="E960" s="40" t="s">
        <v>9021</v>
      </c>
    </row>
    <row r="961" spans="1:5" x14ac:dyDescent="0.35">
      <c r="A961" s="40" t="e">
        <f>IF(OR(_xlfn.XLOOKUP("1407.05k2Organizational.1",Assessment!H:H,Assessment!E:E)="yes"),"Yes","No")</f>
        <v>#N/A</v>
      </c>
      <c r="B961" s="40" t="s">
        <v>7829</v>
      </c>
      <c r="C961" s="40" t="s">
        <v>8083</v>
      </c>
      <c r="D961" s="40" t="s">
        <v>9025</v>
      </c>
      <c r="E961" s="40" t="s">
        <v>9021</v>
      </c>
    </row>
    <row r="962" spans="1:5" x14ac:dyDescent="0.35">
      <c r="A962" s="40" t="e">
        <f>IF(OR(_xlfn.XLOOKUP("1407.05k2Organizational.1",Assessment!H:H,Assessment!E:E)="yes"),"Yes","No")</f>
        <v>#N/A</v>
      </c>
      <c r="B962" s="40" t="s">
        <v>7829</v>
      </c>
      <c r="C962" s="40" t="s">
        <v>8083</v>
      </c>
      <c r="D962" s="40" t="s">
        <v>9026</v>
      </c>
      <c r="E962" s="40" t="s">
        <v>9021</v>
      </c>
    </row>
    <row r="963" spans="1:5" x14ac:dyDescent="0.35">
      <c r="A963" s="40" t="e">
        <f>IF(OR(_xlfn.XLOOKUP("1407.05k2Organizational.1",Assessment!H:H,Assessment!E:E)="yes"),"Yes","No")</f>
        <v>#N/A</v>
      </c>
      <c r="B963" s="40" t="s">
        <v>7829</v>
      </c>
      <c r="C963" s="40" t="s">
        <v>8083</v>
      </c>
      <c r="D963" s="40" t="s">
        <v>9027</v>
      </c>
      <c r="E963" s="40" t="s">
        <v>9021</v>
      </c>
    </row>
    <row r="964" spans="1:5" x14ac:dyDescent="0.35">
      <c r="A964" s="40" t="e">
        <f>IF(OR(_xlfn.XLOOKUP("1407.05k2Organizational.1",Assessment!H:H,Assessment!E:E)="yes"),"Yes","No")</f>
        <v>#N/A</v>
      </c>
      <c r="B964" s="40" t="s">
        <v>7829</v>
      </c>
      <c r="C964" s="40" t="s">
        <v>8083</v>
      </c>
      <c r="D964" s="40" t="s">
        <v>9028</v>
      </c>
      <c r="E964" s="40" t="s">
        <v>9021</v>
      </c>
    </row>
    <row r="965" spans="1:5" x14ac:dyDescent="0.35">
      <c r="A965" s="40" t="e">
        <f>IF(OR(_xlfn.XLOOKUP("1407.05k2Organizational.1",Assessment!H:H,Assessment!E:E)="yes"),"Yes","No")</f>
        <v>#N/A</v>
      </c>
      <c r="B965" s="40" t="s">
        <v>7829</v>
      </c>
      <c r="C965" s="40" t="s">
        <v>8083</v>
      </c>
      <c r="D965" s="40" t="s">
        <v>9029</v>
      </c>
      <c r="E965" s="40" t="s">
        <v>9021</v>
      </c>
    </row>
    <row r="966" spans="1:5" x14ac:dyDescent="0.35">
      <c r="A966" s="40" t="e">
        <f>IF(OR(_xlfn.XLOOKUP("1418.05i2Organizational.5",Assessment!H:H,Assessment!E:E)="yes"),"Yes","No")</f>
        <v>#N/A</v>
      </c>
      <c r="B966" s="40" t="s">
        <v>7829</v>
      </c>
      <c r="C966" s="40" t="s">
        <v>8083</v>
      </c>
      <c r="D966" s="40" t="s">
        <v>9030</v>
      </c>
      <c r="E966" s="40" t="s">
        <v>9031</v>
      </c>
    </row>
    <row r="967" spans="1:5" x14ac:dyDescent="0.35">
      <c r="A967" s="40" t="e">
        <f>IF(OR(_xlfn.XLOOKUP("1418.05i2Organizational.5",Assessment!H:H,Assessment!E:E)="yes"),"Yes","No")</f>
        <v>#N/A</v>
      </c>
      <c r="B967" s="40" t="s">
        <v>7829</v>
      </c>
      <c r="C967" s="40" t="s">
        <v>8083</v>
      </c>
      <c r="D967" s="40" t="s">
        <v>9032</v>
      </c>
      <c r="E967" s="40" t="s">
        <v>9031</v>
      </c>
    </row>
    <row r="968" spans="1:5" x14ac:dyDescent="0.35">
      <c r="A968" s="40" t="e">
        <f>IF(OR(_xlfn.XLOOKUP("1418.05i2Organizational.5",Assessment!H:H,Assessment!E:E)="yes"),"Yes","No")</f>
        <v>#N/A</v>
      </c>
      <c r="B968" s="40" t="s">
        <v>7829</v>
      </c>
      <c r="C968" s="40" t="s">
        <v>8083</v>
      </c>
      <c r="D968" s="40" t="s">
        <v>9033</v>
      </c>
      <c r="E968" s="40" t="s">
        <v>9031</v>
      </c>
    </row>
    <row r="969" spans="1:5" x14ac:dyDescent="0.35">
      <c r="A969" s="40" t="e">
        <f>IF(OR(_xlfn.XLOOKUP("1418.05i2Organizational.5",Assessment!H:H,Assessment!E:E)="yes"),"Yes","No")</f>
        <v>#N/A</v>
      </c>
      <c r="B969" s="40" t="s">
        <v>7829</v>
      </c>
      <c r="C969" s="40" t="s">
        <v>8083</v>
      </c>
      <c r="D969" s="40" t="s">
        <v>9034</v>
      </c>
      <c r="E969" s="40" t="s">
        <v>9031</v>
      </c>
    </row>
    <row r="970" spans="1:5" x14ac:dyDescent="0.35">
      <c r="A970" s="40" t="e">
        <f>IF(OR(_xlfn.XLOOKUP("1418.05i2Organizational.5",Assessment!H:H,Assessment!E:E)="yes"),"Yes","No")</f>
        <v>#N/A</v>
      </c>
      <c r="B970" s="40" t="s">
        <v>7829</v>
      </c>
      <c r="C970" s="40" t="s">
        <v>8083</v>
      </c>
      <c r="D970" s="40" t="s">
        <v>9035</v>
      </c>
      <c r="E970" s="40" t="s">
        <v>9031</v>
      </c>
    </row>
    <row r="971" spans="1:5" x14ac:dyDescent="0.35">
      <c r="A971" s="40" t="e">
        <f>IF(OR(_xlfn.XLOOKUP("1418.05i2Organizational.5",Assessment!H:H,Assessment!E:E)="yes"),"Yes","No")</f>
        <v>#N/A</v>
      </c>
      <c r="B971" s="40" t="s">
        <v>7829</v>
      </c>
      <c r="C971" s="40" t="s">
        <v>8083</v>
      </c>
      <c r="D971" s="40" t="s">
        <v>9036</v>
      </c>
      <c r="E971" s="40" t="s">
        <v>9031</v>
      </c>
    </row>
    <row r="972" spans="1:5" x14ac:dyDescent="0.35">
      <c r="A972" s="40" t="e">
        <f>IF(OR(_xlfn.XLOOKUP("1418.05i2Organizational.5",Assessment!H:H,Assessment!E:E)="yes"),"Yes","No")</f>
        <v>#N/A</v>
      </c>
      <c r="B972" s="40" t="s">
        <v>7829</v>
      </c>
      <c r="C972" s="40" t="s">
        <v>8083</v>
      </c>
      <c r="D972" s="40" t="s">
        <v>9037</v>
      </c>
      <c r="E972" s="40" t="s">
        <v>9031</v>
      </c>
    </row>
    <row r="973" spans="1:5" x14ac:dyDescent="0.35">
      <c r="A973" s="40" t="e">
        <f>IF(OR(_xlfn.XLOOKUP("1418.05i2Organizational.5",Assessment!H:H,Assessment!E:E)="yes"),"Yes","No")</f>
        <v>#N/A</v>
      </c>
      <c r="B973" s="40" t="s">
        <v>7829</v>
      </c>
      <c r="C973" s="40" t="s">
        <v>8083</v>
      </c>
      <c r="D973" s="40" t="s">
        <v>9038</v>
      </c>
      <c r="E973" s="40" t="s">
        <v>9031</v>
      </c>
    </row>
    <row r="974" spans="1:5" x14ac:dyDescent="0.35">
      <c r="A974" s="40" t="e">
        <f>IF(OR(_xlfn.XLOOKUP("1418.05i2Organizational.5",Assessment!H:H,Assessment!E:E)="yes"),"Yes","No")</f>
        <v>#N/A</v>
      </c>
      <c r="B974" s="40" t="s">
        <v>7829</v>
      </c>
      <c r="C974" s="40" t="s">
        <v>8083</v>
      </c>
      <c r="D974" s="40" t="s">
        <v>9039</v>
      </c>
      <c r="E974" s="40" t="s">
        <v>9031</v>
      </c>
    </row>
    <row r="975" spans="1:5" x14ac:dyDescent="0.35">
      <c r="A975" s="40" t="e">
        <f>IF(OR(_xlfn.XLOOKUP("1418.05i2Organizational.5",Assessment!H:H,Assessment!E:E)="yes"),"Yes","No")</f>
        <v>#N/A</v>
      </c>
      <c r="B975" s="40" t="s">
        <v>7829</v>
      </c>
      <c r="C975" s="40" t="s">
        <v>8083</v>
      </c>
      <c r="D975" s="40" t="s">
        <v>9040</v>
      </c>
      <c r="E975" s="40" t="s">
        <v>9031</v>
      </c>
    </row>
    <row r="976" spans="1:5" x14ac:dyDescent="0.35">
      <c r="A976" s="40" t="e">
        <f>IF(OR(_xlfn.XLOOKUP("1418.05i2Organizational.5",Assessment!H:H,Assessment!E:E)="yes"),"Yes","No")</f>
        <v>#N/A</v>
      </c>
      <c r="B976" s="40" t="s">
        <v>7829</v>
      </c>
      <c r="C976" s="40" t="s">
        <v>8083</v>
      </c>
      <c r="D976" s="40" t="s">
        <v>9041</v>
      </c>
      <c r="E976" s="40" t="s">
        <v>9031</v>
      </c>
    </row>
    <row r="977" spans="1:5" x14ac:dyDescent="0.35">
      <c r="A977" s="40" t="e">
        <f>IF(OR(_xlfn.XLOOKUP("1421.05j2Organizational.12",Assessment!H:H,Assessment!E:E)="yes",_xlfn.XLOOKUP("1423.05j2Organizational.4",Assessment!H:H,Assessment!E:E)="yes"),"Yes","No")</f>
        <v>#N/A</v>
      </c>
      <c r="B977" s="40" t="s">
        <v>7829</v>
      </c>
      <c r="C977" s="40" t="s">
        <v>8083</v>
      </c>
      <c r="D977" s="40" t="s">
        <v>9042</v>
      </c>
      <c r="E977" s="40" t="s">
        <v>8569</v>
      </c>
    </row>
    <row r="978" spans="1:5" x14ac:dyDescent="0.35">
      <c r="A978" s="40" t="e">
        <f>IF(OR(_xlfn.XLOOKUP("1421.05j2Organizational.12",Assessment!H:H,Assessment!E:E)="yes",_xlfn.XLOOKUP("1423.05j2Organizational.4",Assessment!H:H,Assessment!E:E)="yes"),"Yes","No")</f>
        <v>#N/A</v>
      </c>
      <c r="B978" s="40" t="s">
        <v>7829</v>
      </c>
      <c r="C978" s="40" t="s">
        <v>8083</v>
      </c>
      <c r="D978" s="40" t="s">
        <v>9043</v>
      </c>
      <c r="E978" s="40" t="s">
        <v>8569</v>
      </c>
    </row>
    <row r="979" spans="1:5" x14ac:dyDescent="0.35">
      <c r="A979" s="40" t="e">
        <f>IF(OR(_xlfn.XLOOKUP("1421.05j2Organizational.12",Assessment!H:H,Assessment!E:E)="yes",_xlfn.XLOOKUP("1423.05j2Organizational.4",Assessment!H:H,Assessment!E:E)="yes"),"Yes","No")</f>
        <v>#N/A</v>
      </c>
      <c r="B979" s="40" t="s">
        <v>7829</v>
      </c>
      <c r="C979" s="40" t="s">
        <v>8083</v>
      </c>
      <c r="D979" s="40" t="s">
        <v>9044</v>
      </c>
      <c r="E979" s="40" t="s">
        <v>8569</v>
      </c>
    </row>
    <row r="980" spans="1:5" x14ac:dyDescent="0.35">
      <c r="A980" s="40" t="e">
        <f>IF(OR(_xlfn.XLOOKUP("1421.05j2Organizational.12",Assessment!H:H,Assessment!E:E)="yes",_xlfn.XLOOKUP("1423.05j2Organizational.4",Assessment!H:H,Assessment!E:E)="yes"),"Yes","No")</f>
        <v>#N/A</v>
      </c>
      <c r="B980" s="40" t="s">
        <v>7829</v>
      </c>
      <c r="C980" s="40" t="s">
        <v>8083</v>
      </c>
      <c r="D980" s="40" t="s">
        <v>9045</v>
      </c>
      <c r="E980" s="40" t="s">
        <v>8569</v>
      </c>
    </row>
    <row r="981" spans="1:5" x14ac:dyDescent="0.35">
      <c r="A981" s="40" t="e">
        <f>IF(OR(_xlfn.XLOOKUP("1421.05j2Organizational.12",Assessment!H:H,Assessment!E:E)="yes",_xlfn.XLOOKUP("1423.05j2Organizational.4",Assessment!H:H,Assessment!E:E)="yes"),"Yes","No")</f>
        <v>#N/A</v>
      </c>
      <c r="B981" s="40" t="s">
        <v>7829</v>
      </c>
      <c r="C981" s="40" t="s">
        <v>8083</v>
      </c>
      <c r="D981" s="40" t="s">
        <v>9046</v>
      </c>
      <c r="E981" s="40" t="s">
        <v>8569</v>
      </c>
    </row>
    <row r="982" spans="1:5" x14ac:dyDescent="0.35">
      <c r="A982" s="40" t="e">
        <f>IF(OR(_xlfn.XLOOKUP("1421.05j2Organizational.12",Assessment!H:H,Assessment!E:E)="yes",_xlfn.XLOOKUP("1423.05j2Organizational.4",Assessment!H:H,Assessment!E:E)="yes"),"Yes","No")</f>
        <v>#N/A</v>
      </c>
      <c r="B982" s="40" t="s">
        <v>7829</v>
      </c>
      <c r="C982" s="40" t="s">
        <v>8083</v>
      </c>
      <c r="D982" s="40" t="s">
        <v>9047</v>
      </c>
      <c r="E982" s="40" t="s">
        <v>8569</v>
      </c>
    </row>
    <row r="983" spans="1:5" x14ac:dyDescent="0.35">
      <c r="A983" s="40" t="e">
        <f>IF(OR(_xlfn.XLOOKUP("1421.05j2Organizational.12",Assessment!H:H,Assessment!E:E)="yes",_xlfn.XLOOKUP("1423.05j2Organizational.4",Assessment!H:H,Assessment!E:E)="yes"),"Yes","No")</f>
        <v>#N/A</v>
      </c>
      <c r="B983" s="40" t="s">
        <v>7829</v>
      </c>
      <c r="C983" s="40" t="s">
        <v>8083</v>
      </c>
      <c r="D983" s="40" t="s">
        <v>9048</v>
      </c>
      <c r="E983" s="40" t="s">
        <v>8569</v>
      </c>
    </row>
    <row r="984" spans="1:5" x14ac:dyDescent="0.35">
      <c r="A984" s="40" t="e">
        <f>IF(OR(_xlfn.XLOOKUP("1421.05j2Organizational.12",Assessment!H:H,Assessment!E:E)="yes"),"Yes","No")</f>
        <v>#N/A</v>
      </c>
      <c r="B984" s="40" t="s">
        <v>7829</v>
      </c>
      <c r="C984" s="40" t="s">
        <v>8083</v>
      </c>
      <c r="D984" s="40" t="s">
        <v>9049</v>
      </c>
      <c r="E984" s="40" t="s">
        <v>8569</v>
      </c>
    </row>
    <row r="985" spans="1:5" x14ac:dyDescent="0.35">
      <c r="A985" s="40" t="e">
        <f>IF(OR(_xlfn.XLOOKUP("1421.05j2Organizational.12",Assessment!H:H,Assessment!E:E)="yes"),"Yes","No")</f>
        <v>#N/A</v>
      </c>
      <c r="B985" s="40" t="s">
        <v>7829</v>
      </c>
      <c r="C985" s="40" t="s">
        <v>8083</v>
      </c>
      <c r="D985" s="40" t="s">
        <v>9050</v>
      </c>
      <c r="E985" s="40" t="s">
        <v>8569</v>
      </c>
    </row>
    <row r="986" spans="1:5" x14ac:dyDescent="0.35">
      <c r="A986" s="40" t="e">
        <f>IF(OR(_xlfn.XLOOKUP("1421.05j2Organizational.12",Assessment!H:H,Assessment!E:E)="yes"),"Yes","No")</f>
        <v>#N/A</v>
      </c>
      <c r="B986" s="40" t="s">
        <v>7829</v>
      </c>
      <c r="C986" s="40" t="s">
        <v>8083</v>
      </c>
      <c r="D986" s="40" t="s">
        <v>9051</v>
      </c>
      <c r="E986" s="40" t="s">
        <v>8569</v>
      </c>
    </row>
    <row r="987" spans="1:5" x14ac:dyDescent="0.35">
      <c r="A987" s="40" t="e">
        <f>IF(OR(_xlfn.XLOOKUP("1421.05j2Organizational.12",Assessment!H:H,Assessment!E:E)="yes"),"Yes","No")</f>
        <v>#N/A</v>
      </c>
      <c r="B987" s="40" t="s">
        <v>7829</v>
      </c>
      <c r="C987" s="40" t="s">
        <v>8083</v>
      </c>
      <c r="D987" s="40" t="s">
        <v>9052</v>
      </c>
      <c r="E987" s="40" t="s">
        <v>8569</v>
      </c>
    </row>
    <row r="988" spans="1:5" x14ac:dyDescent="0.35">
      <c r="A988" s="40" t="e">
        <f>IF(OR(_xlfn.XLOOKUP("1421.05j2Organizational.12",Assessment!H:H,Assessment!E:E)="yes"),"Yes","No")</f>
        <v>#N/A</v>
      </c>
      <c r="B988" s="40" t="s">
        <v>7829</v>
      </c>
      <c r="C988" s="40" t="s">
        <v>8083</v>
      </c>
      <c r="D988" s="40" t="s">
        <v>9053</v>
      </c>
      <c r="E988" s="40" t="s">
        <v>8569</v>
      </c>
    </row>
    <row r="989" spans="1:5" x14ac:dyDescent="0.35">
      <c r="A989" s="40" t="e">
        <f>IF(OR(_xlfn.XLOOKUP("1421.05j2Organizational.12",Assessment!H:H,Assessment!E:E)="yes"),"Yes","No")</f>
        <v>#N/A</v>
      </c>
      <c r="B989" s="40" t="s">
        <v>7829</v>
      </c>
      <c r="C989" s="40" t="s">
        <v>8083</v>
      </c>
      <c r="D989" s="40" t="s">
        <v>9054</v>
      </c>
      <c r="E989" s="40" t="s">
        <v>8569</v>
      </c>
    </row>
    <row r="990" spans="1:5" x14ac:dyDescent="0.35">
      <c r="A990" s="40" t="e">
        <f>IF(OR(_xlfn.XLOOKUP("1421.05j2Organizational.12",Assessment!H:H,Assessment!E:E)="yes"),"Yes","No")</f>
        <v>#N/A</v>
      </c>
      <c r="B990" s="40" t="s">
        <v>7829</v>
      </c>
      <c r="C990" s="40" t="s">
        <v>8083</v>
      </c>
      <c r="D990" s="40" t="s">
        <v>9055</v>
      </c>
      <c r="E990" s="40" t="s">
        <v>8569</v>
      </c>
    </row>
    <row r="991" spans="1:5" x14ac:dyDescent="0.35">
      <c r="A991" s="40" t="e">
        <f>IF(OR(_xlfn.XLOOKUP("1421.05j2Organizational.12",Assessment!H:H,Assessment!E:E)="yes"),"Yes","No")</f>
        <v>#N/A</v>
      </c>
      <c r="B991" s="40" t="s">
        <v>7829</v>
      </c>
      <c r="C991" s="40" t="s">
        <v>8083</v>
      </c>
      <c r="D991" s="40" t="s">
        <v>9056</v>
      </c>
      <c r="E991" s="40" t="s">
        <v>8569</v>
      </c>
    </row>
    <row r="992" spans="1:5" x14ac:dyDescent="0.35">
      <c r="A992" s="40" t="e">
        <f>IF(OR(_xlfn.XLOOKUP("1421.05j2Organizational.12",Assessment!H:H,Assessment!E:E)="yes"),"Yes","No")</f>
        <v>#N/A</v>
      </c>
      <c r="B992" s="40" t="s">
        <v>7829</v>
      </c>
      <c r="C992" s="40" t="s">
        <v>8083</v>
      </c>
      <c r="D992" s="40" t="s">
        <v>9057</v>
      </c>
      <c r="E992" s="40" t="s">
        <v>8569</v>
      </c>
    </row>
    <row r="993" spans="1:8" x14ac:dyDescent="0.35">
      <c r="A993" s="40" t="e">
        <f>IF(OR(_xlfn.XLOOKUP("1423.05j2Organizational.4",Assessment!H:H,Assessment!E:E)="yes"),"Yes","No")</f>
        <v>#N/A</v>
      </c>
      <c r="B993" s="40" t="s">
        <v>7829</v>
      </c>
      <c r="C993" s="40" t="s">
        <v>8083</v>
      </c>
      <c r="D993" s="40" t="s">
        <v>9058</v>
      </c>
      <c r="E993" s="40" t="s">
        <v>8569</v>
      </c>
    </row>
    <row r="994" spans="1:8" x14ac:dyDescent="0.35">
      <c r="A994" s="40" t="e">
        <f>IF(OR(_xlfn.XLOOKUP("1424.05j2Organizational.5",Assessment!H:H,Assessment!E:E)="yes"),"Yes","No")</f>
        <v>#N/A</v>
      </c>
      <c r="B994" s="40" t="s">
        <v>7829</v>
      </c>
      <c r="C994" s="40" t="s">
        <v>8083</v>
      </c>
      <c r="D994" s="40" t="s">
        <v>9059</v>
      </c>
      <c r="E994" s="40" t="s">
        <v>8569</v>
      </c>
    </row>
    <row r="995" spans="1:8" x14ac:dyDescent="0.35">
      <c r="A995" s="40" t="e">
        <f>IF(OR(_xlfn.XLOOKUP("1450.05i2Organizational.2",Assessment!H:H,Assessment!E:E)="yes"),"Yes","No")</f>
        <v>#N/A</v>
      </c>
      <c r="B995" s="40" t="s">
        <v>7829</v>
      </c>
      <c r="C995" s="40" t="s">
        <v>8083</v>
      </c>
      <c r="D995" s="40" t="s">
        <v>9060</v>
      </c>
      <c r="E995" s="40" t="s">
        <v>9031</v>
      </c>
    </row>
    <row r="996" spans="1:8" x14ac:dyDescent="0.35">
      <c r="A996" s="40" t="e">
        <f>IF(OR(_xlfn.XLOOKUP("1508.11a2Organizational.1",Assessment!H:H,Assessment!E:E)="yes"),"Yes","No")</f>
        <v>#N/A</v>
      </c>
      <c r="B996" s="40" t="s">
        <v>7829</v>
      </c>
      <c r="C996" s="40" t="s">
        <v>8083</v>
      </c>
      <c r="D996" s="40" t="s">
        <v>9061</v>
      </c>
      <c r="E996" s="40" t="s">
        <v>8578</v>
      </c>
    </row>
    <row r="997" spans="1:8" x14ac:dyDescent="0.35">
      <c r="A997" s="40" t="e">
        <f>IF(OR(_xlfn.XLOOKUP("1512.11a2Organizational.8",Assessment!H:H,Assessment!E:E)="yes",_xlfn.XLOOKUP("15.11aNIST80053Organizational.6",Assessment!H:H,Assessment!E:E)="yes"),"Yes","No")</f>
        <v>#N/A</v>
      </c>
      <c r="B997" s="40" t="s">
        <v>7829</v>
      </c>
      <c r="C997" s="40" t="s">
        <v>8083</v>
      </c>
      <c r="D997" s="40" t="s">
        <v>9062</v>
      </c>
      <c r="E997" s="40" t="s">
        <v>8578</v>
      </c>
    </row>
    <row r="998" spans="1:8" x14ac:dyDescent="0.35">
      <c r="A998" s="40" t="e">
        <f>IF(OR(_xlfn.XLOOKUP("1519.11c2Organizational.2",Assessment!H:H,Assessment!E:E)="yes"),"Yes","No")</f>
        <v>#N/A</v>
      </c>
      <c r="B998" s="40" t="s">
        <v>7829</v>
      </c>
      <c r="C998" s="40" t="s">
        <v>8083</v>
      </c>
      <c r="D998" s="40" t="s">
        <v>9063</v>
      </c>
      <c r="E998" s="40" t="s">
        <v>9064</v>
      </c>
    </row>
    <row r="999" spans="1:8" x14ac:dyDescent="0.35">
      <c r="A999" s="40" t="e">
        <f>IF(OR(_xlfn.XLOOKUP("1520.11c2Organizational.4",Assessment!H:H,Assessment!E:E)="yes"),"Yes","No")</f>
        <v>#N/A</v>
      </c>
      <c r="B999" s="40" t="s">
        <v>7829</v>
      </c>
      <c r="C999" s="40" t="s">
        <v>8083</v>
      </c>
      <c r="D999" s="40" t="s">
        <v>9065</v>
      </c>
      <c r="E999" s="40" t="s">
        <v>9064</v>
      </c>
    </row>
    <row r="1000" spans="1:8" x14ac:dyDescent="0.35">
      <c r="A1000" s="40" t="e">
        <f>IF(OR(_xlfn.XLOOKUP("1520.11c2Organizational.4",Assessment!H:H,Assessment!E:E)="yes"),"Yes","No")</f>
        <v>#N/A</v>
      </c>
      <c r="B1000" s="40" t="s">
        <v>7829</v>
      </c>
      <c r="C1000" s="40" t="s">
        <v>8083</v>
      </c>
      <c r="D1000" s="40" t="s">
        <v>9066</v>
      </c>
      <c r="E1000" s="40" t="s">
        <v>9064</v>
      </c>
    </row>
    <row r="1001" spans="1:8" x14ac:dyDescent="0.35">
      <c r="A1001" s="40" t="e">
        <f>IF(OR(_xlfn.XLOOKUP("1521.11c2Organizational.56",Assessment!H:H,Assessment!E:E)="yes"),"Yes","No")</f>
        <v>#N/A</v>
      </c>
      <c r="B1001" s="40" t="s">
        <v>7829</v>
      </c>
      <c r="C1001" s="40" t="s">
        <v>8083</v>
      </c>
      <c r="D1001" s="40" t="s">
        <v>9067</v>
      </c>
      <c r="E1001" s="40" t="s">
        <v>9064</v>
      </c>
    </row>
    <row r="1002" spans="1:8" x14ac:dyDescent="0.35">
      <c r="A1002" s="40" t="e">
        <f>IF(OR(_xlfn.XLOOKUP("1521.11c2Organizational.56",Assessment!H:H,Assessment!E:E)="yes"),"Yes","No")</f>
        <v>#N/A</v>
      </c>
      <c r="B1002" s="40" t="s">
        <v>7829</v>
      </c>
      <c r="C1002" s="40" t="s">
        <v>8083</v>
      </c>
      <c r="D1002" s="40" t="s">
        <v>9068</v>
      </c>
      <c r="E1002" s="40" t="s">
        <v>9064</v>
      </c>
    </row>
    <row r="1003" spans="1:8" x14ac:dyDescent="0.35">
      <c r="A1003" s="40" t="e">
        <f>IF(OR(_xlfn.XLOOKUP("1548.11c3Organizational.14",Assessment!H:H,Assessment!E:E)="yes"),"Yes","No")</f>
        <v>#N/A</v>
      </c>
      <c r="B1003" s="40" t="s">
        <v>7829</v>
      </c>
      <c r="C1003" s="40" t="s">
        <v>8083</v>
      </c>
      <c r="D1003" s="40" t="s">
        <v>9069</v>
      </c>
      <c r="E1003" s="40" t="s">
        <v>9064</v>
      </c>
    </row>
    <row r="1004" spans="1:8" x14ac:dyDescent="0.35">
      <c r="A1004" s="40" t="e">
        <f>IF(OR(_xlfn.XLOOKUP("1587.11c2Organizational.10",Assessment!H:H,Assessment!E:E)="yes"),"Yes","No")</f>
        <v>#N/A</v>
      </c>
      <c r="B1004" s="40" t="s">
        <v>7829</v>
      </c>
      <c r="C1004" s="40" t="s">
        <v>8083</v>
      </c>
      <c r="D1004" s="40" t="s">
        <v>9070</v>
      </c>
      <c r="E1004" s="40" t="s">
        <v>9064</v>
      </c>
    </row>
    <row r="1005" spans="1:8" x14ac:dyDescent="0.35">
      <c r="A1005" s="40" t="e">
        <f>IF(OR(_xlfn.XLOOKUP("1605.12c2Organizational.2",Assessment!H:H,Assessment!E:E)="yes"),"Yes","No")</f>
        <v>#N/A</v>
      </c>
      <c r="B1005" s="40" t="s">
        <v>7829</v>
      </c>
      <c r="C1005" s="40" t="s">
        <v>8083</v>
      </c>
      <c r="D1005" s="40" t="s">
        <v>9071</v>
      </c>
      <c r="E1005" s="40" t="s">
        <v>9015</v>
      </c>
    </row>
    <row r="1006" spans="1:8" x14ac:dyDescent="0.35">
      <c r="A1006" s="40" t="e">
        <f>IF(OR(_xlfn.XLOOKUP("1605.12c2Organizational.2",Assessment!H:H,Assessment!E:E)="yes"),"Yes","No")</f>
        <v>#N/A</v>
      </c>
      <c r="B1006" s="40" t="s">
        <v>7829</v>
      </c>
      <c r="C1006" s="40" t="s">
        <v>8083</v>
      </c>
      <c r="D1006" s="40" t="s">
        <v>9072</v>
      </c>
      <c r="E1006" s="40" t="s">
        <v>9015</v>
      </c>
    </row>
    <row r="1007" spans="1:8" x14ac:dyDescent="0.35">
      <c r="A1007" s="40" t="e">
        <f>IF(OR(_xlfn.XLOOKUP("16100.12c3Organizational.5",Assessment!H:H,Assessment!E:E)="yes"),"Yes","No")</f>
        <v>#N/A</v>
      </c>
      <c r="B1007" s="40" t="s">
        <v>7829</v>
      </c>
      <c r="C1007" s="40" t="s">
        <v>8083</v>
      </c>
      <c r="D1007" s="40" t="s">
        <v>9073</v>
      </c>
      <c r="E1007" s="40" t="s">
        <v>9015</v>
      </c>
    </row>
    <row r="1008" spans="1:8" x14ac:dyDescent="0.35">
      <c r="A1008" s="40" t="e">
        <f>IF(OR(_xlfn.XLOOKUP("1621.09l2Organizational.1",Assessment!H:H,Assessment!E:E)="yes",_xlfn.XLOOKUP("1627.09l3Organizational.6",Assessment!H:H,Assessment!E:E)="yes"),"Yes","No")</f>
        <v>#N/A</v>
      </c>
      <c r="B1008" s="40" t="s">
        <v>7829</v>
      </c>
      <c r="C1008" s="40" t="s">
        <v>8083</v>
      </c>
      <c r="D1008" s="40" t="s">
        <v>9074</v>
      </c>
      <c r="E1008" s="40" t="s">
        <v>8587</v>
      </c>
      <c r="H1008" s="40" t="s">
        <v>9075</v>
      </c>
    </row>
    <row r="1009" spans="1:8" x14ac:dyDescent="0.35">
      <c r="A1009" s="40" t="e">
        <f>IF(OR(_xlfn.XLOOKUP("1622.09l2Organizational.23",Assessment!H:H,Assessment!E:E)="yes"),"Yes","No")</f>
        <v>#N/A</v>
      </c>
      <c r="B1009" s="40" t="s">
        <v>7829</v>
      </c>
      <c r="C1009" s="40" t="s">
        <v>8083</v>
      </c>
      <c r="D1009" s="40" t="s">
        <v>9076</v>
      </c>
      <c r="E1009" s="40" t="s">
        <v>8587</v>
      </c>
      <c r="H1009" s="40" t="s">
        <v>8590</v>
      </c>
    </row>
    <row r="1010" spans="1:8" x14ac:dyDescent="0.35">
      <c r="A1010" s="40" t="e">
        <f>IF(OR(_xlfn.XLOOKUP("1622.09l2Organizational.23",Assessment!H:H,Assessment!E:E)="yes"),"Yes","No")</f>
        <v>#N/A</v>
      </c>
      <c r="B1010" s="40" t="s">
        <v>7829</v>
      </c>
      <c r="C1010" s="40" t="s">
        <v>8083</v>
      </c>
      <c r="D1010" s="40" t="s">
        <v>9077</v>
      </c>
      <c r="E1010" s="40" t="s">
        <v>8587</v>
      </c>
    </row>
    <row r="1011" spans="1:8" x14ac:dyDescent="0.35">
      <c r="A1011" s="40" t="e">
        <f>IF(OR(_xlfn.XLOOKUP("1623.09l2Organizational.4",Assessment!H:H,Assessment!E:E)="yes"),"Yes","No")</f>
        <v>#N/A</v>
      </c>
      <c r="B1011" s="40" t="s">
        <v>7829</v>
      </c>
      <c r="C1011" s="40" t="s">
        <v>8083</v>
      </c>
      <c r="D1011" s="40" t="s">
        <v>9078</v>
      </c>
      <c r="E1011" s="40" t="s">
        <v>8587</v>
      </c>
    </row>
    <row r="1012" spans="1:8" x14ac:dyDescent="0.35">
      <c r="A1012" s="40" t="e">
        <f>IF(OR(_xlfn.XLOOKUP("1624.09l3Organizational.12",Assessment!H:H,Assessment!E:E)="yes"),"Yes","No")</f>
        <v>#N/A</v>
      </c>
      <c r="B1012" s="40" t="s">
        <v>7829</v>
      </c>
      <c r="C1012" s="40" t="s">
        <v>8083</v>
      </c>
      <c r="D1012" s="40" t="s">
        <v>9079</v>
      </c>
      <c r="E1012" s="40" t="s">
        <v>8587</v>
      </c>
      <c r="H1012" s="40" t="s">
        <v>8590</v>
      </c>
    </row>
    <row r="1013" spans="1:8" x14ac:dyDescent="0.35">
      <c r="A1013" s="40" t="e">
        <f>IF(OR(_xlfn.XLOOKUP("1624.09l3Organizational.12",Assessment!H:H,Assessment!E:E)="yes"),"Yes","No")</f>
        <v>#N/A</v>
      </c>
      <c r="B1013" s="40" t="s">
        <v>7829</v>
      </c>
      <c r="C1013" s="40" t="s">
        <v>8083</v>
      </c>
      <c r="D1013" s="40" t="s">
        <v>9080</v>
      </c>
      <c r="E1013" s="40" t="s">
        <v>8587</v>
      </c>
      <c r="H1013" s="40" t="s">
        <v>8590</v>
      </c>
    </row>
    <row r="1014" spans="1:8" x14ac:dyDescent="0.35">
      <c r="A1014" s="40" t="e">
        <f>IF(OR(_xlfn.XLOOKUP("1625.09l3Organizational.34",Assessment!H:H,Assessment!E:E)="yes"),"Yes","No")</f>
        <v>#N/A</v>
      </c>
      <c r="B1014" s="40" t="s">
        <v>7829</v>
      </c>
      <c r="C1014" s="40" t="s">
        <v>8083</v>
      </c>
      <c r="D1014" s="40" t="s">
        <v>9081</v>
      </c>
      <c r="E1014" s="40" t="s">
        <v>8587</v>
      </c>
      <c r="H1014" s="40" t="s">
        <v>8590</v>
      </c>
    </row>
    <row r="1015" spans="1:8" x14ac:dyDescent="0.35">
      <c r="A1015" s="40" t="e">
        <f>IF(OR(_xlfn.XLOOKUP("1625.09l3Organizational.34",Assessment!H:H,Assessment!E:E)="yes"),"Yes","No")</f>
        <v>#N/A</v>
      </c>
      <c r="B1015" s="40" t="s">
        <v>7829</v>
      </c>
      <c r="C1015" s="40" t="s">
        <v>8083</v>
      </c>
      <c r="D1015" s="40" t="s">
        <v>9082</v>
      </c>
      <c r="E1015" s="40" t="s">
        <v>8587</v>
      </c>
      <c r="H1015" s="40" t="s">
        <v>8590</v>
      </c>
    </row>
    <row r="1016" spans="1:8" x14ac:dyDescent="0.35">
      <c r="A1016" s="40" t="e">
        <f>IF(OR(_xlfn.XLOOKUP("1627.09l3Organizational.6",Assessment!H:H,Assessment!E:E)="yes"),"Yes","No")</f>
        <v>#N/A</v>
      </c>
      <c r="B1016" s="40" t="s">
        <v>7829</v>
      </c>
      <c r="C1016" s="40" t="s">
        <v>8083</v>
      </c>
      <c r="D1016" s="40" t="s">
        <v>9083</v>
      </c>
      <c r="E1016" s="40" t="s">
        <v>8587</v>
      </c>
    </row>
    <row r="1017" spans="1:8" x14ac:dyDescent="0.35">
      <c r="A1017" s="40" t="e">
        <f>IF(OR(_xlfn.XLOOKUP("1638.12b2Organizational.345",Assessment!H:H,Assessment!E:E)="yes"),"Yes","No")</f>
        <v>#N/A</v>
      </c>
      <c r="B1017" s="40" t="s">
        <v>7829</v>
      </c>
      <c r="C1017" s="40" t="s">
        <v>8083</v>
      </c>
      <c r="D1017" s="40" t="s">
        <v>9084</v>
      </c>
      <c r="E1017" s="40" t="s">
        <v>8594</v>
      </c>
    </row>
    <row r="1018" spans="1:8" x14ac:dyDescent="0.35">
      <c r="A1018" s="40" t="e">
        <f>IF(OR(_xlfn.XLOOKUP("1638.12b2Organizational.345",Assessment!H:H,Assessment!E:E)="yes"),"Yes","No")</f>
        <v>#N/A</v>
      </c>
      <c r="B1018" s="40" t="s">
        <v>7829</v>
      </c>
      <c r="C1018" s="40" t="s">
        <v>8083</v>
      </c>
      <c r="D1018" s="40" t="s">
        <v>9085</v>
      </c>
      <c r="E1018" s="40" t="s">
        <v>8594</v>
      </c>
    </row>
    <row r="1019" spans="1:8" x14ac:dyDescent="0.35">
      <c r="A1019" s="40" t="e">
        <f>IF(OR(_xlfn.XLOOKUP("1638.12b2Organizational.345",Assessment!H:H,Assessment!E:E)="yes"),"Yes","No")</f>
        <v>#N/A</v>
      </c>
      <c r="B1019" s="40" t="s">
        <v>7829</v>
      </c>
      <c r="C1019" s="40" t="s">
        <v>8083</v>
      </c>
      <c r="D1019" s="40" t="s">
        <v>9086</v>
      </c>
      <c r="E1019" s="40" t="s">
        <v>8594</v>
      </c>
    </row>
    <row r="1020" spans="1:8" x14ac:dyDescent="0.35">
      <c r="A1020" s="40" t="e">
        <f>IF(OR(_xlfn.XLOOKUP("1638.12b2Organizational.345",Assessment!H:H,Assessment!E:E)="yes"),"Yes","No")</f>
        <v>#N/A</v>
      </c>
      <c r="B1020" s="40" t="s">
        <v>7829</v>
      </c>
      <c r="C1020" s="40" t="s">
        <v>8083</v>
      </c>
      <c r="D1020" s="40" t="s">
        <v>9087</v>
      </c>
      <c r="E1020" s="40" t="s">
        <v>8594</v>
      </c>
    </row>
    <row r="1021" spans="1:8" x14ac:dyDescent="0.35">
      <c r="A1021" s="40" t="e">
        <f>IF(OR(_xlfn.XLOOKUP("1638.12b2Organizational.345",Assessment!H:H,Assessment!E:E)="yes"),"Yes","No")</f>
        <v>#N/A</v>
      </c>
      <c r="B1021" s="40" t="s">
        <v>7829</v>
      </c>
      <c r="C1021" s="40" t="s">
        <v>8083</v>
      </c>
      <c r="D1021" s="40" t="s">
        <v>9088</v>
      </c>
      <c r="E1021" s="40" t="s">
        <v>8594</v>
      </c>
    </row>
    <row r="1022" spans="1:8" x14ac:dyDescent="0.35">
      <c r="A1022" s="40" t="e">
        <f>IF(OR(_xlfn.XLOOKUP("1638.12b2Organizational.345",Assessment!H:H,Assessment!E:E)="yes"),"Yes","No")</f>
        <v>#N/A</v>
      </c>
      <c r="B1022" s="40" t="s">
        <v>7829</v>
      </c>
      <c r="C1022" s="40" t="s">
        <v>8083</v>
      </c>
      <c r="D1022" s="40" t="s">
        <v>9089</v>
      </c>
      <c r="E1022" s="40" t="s">
        <v>8594</v>
      </c>
    </row>
    <row r="1023" spans="1:8" x14ac:dyDescent="0.35">
      <c r="A1023" s="40" t="e">
        <f>IF(OR(_xlfn.XLOOKUP("1638.12b2Organizational.345",Assessment!H:H,Assessment!E:E)="yes"),"Yes","No")</f>
        <v>#N/A</v>
      </c>
      <c r="B1023" s="40" t="s">
        <v>7829</v>
      </c>
      <c r="C1023" s="40" t="s">
        <v>8083</v>
      </c>
      <c r="D1023" s="40" t="s">
        <v>9090</v>
      </c>
      <c r="E1023" s="40" t="s">
        <v>8594</v>
      </c>
    </row>
    <row r="1024" spans="1:8" x14ac:dyDescent="0.35">
      <c r="A1024" s="40" t="e">
        <f>IF(OR(_xlfn.XLOOKUP("1638.12b2Organizational.345",Assessment!H:H,Assessment!E:E)="yes"),"Yes","No")</f>
        <v>#N/A</v>
      </c>
      <c r="B1024" s="40" t="s">
        <v>7829</v>
      </c>
      <c r="C1024" s="40" t="s">
        <v>8083</v>
      </c>
      <c r="D1024" s="40" t="s">
        <v>9091</v>
      </c>
      <c r="E1024" s="40" t="s">
        <v>8594</v>
      </c>
    </row>
    <row r="1025" spans="1:8" x14ac:dyDescent="0.35">
      <c r="A1025" s="40" t="e">
        <f>IF(OR(_xlfn.XLOOKUP("1647.12c2Organizational.1315",Assessment!H:H,Assessment!E:E)="yes"),"Yes","No")</f>
        <v>#N/A</v>
      </c>
      <c r="B1025" s="40" t="s">
        <v>7829</v>
      </c>
      <c r="C1025" s="40" t="s">
        <v>8083</v>
      </c>
      <c r="D1025" s="40" t="s">
        <v>9092</v>
      </c>
      <c r="E1025" s="40" t="s">
        <v>9015</v>
      </c>
    </row>
    <row r="1026" spans="1:8" x14ac:dyDescent="0.35">
      <c r="A1026" s="40" t="str">
        <f>IF(OR(_xlfn.XLOOKUP("1705.03b2Organizational.12",Assessment!H:H,Assessment!E:E)="yes"),"Yes","No")</f>
        <v>Yes</v>
      </c>
      <c r="B1026" s="40" t="s">
        <v>7829</v>
      </c>
      <c r="C1026" s="40" t="s">
        <v>8083</v>
      </c>
      <c r="D1026" s="40" t="s">
        <v>9093</v>
      </c>
      <c r="E1026" s="40" t="s">
        <v>8599</v>
      </c>
    </row>
    <row r="1027" spans="1:8" x14ac:dyDescent="0.35">
      <c r="A1027" s="40" t="str">
        <f>IF(OR(_xlfn.XLOOKUP("1705.03b2Organizational.12",Assessment!H:H,Assessment!E:E)="yes"),"Yes","No")</f>
        <v>Yes</v>
      </c>
      <c r="B1027" s="40" t="s">
        <v>7829</v>
      </c>
      <c r="C1027" s="40" t="s">
        <v>8083</v>
      </c>
      <c r="D1027" s="40" t="s">
        <v>9094</v>
      </c>
      <c r="E1027" s="40" t="s">
        <v>8599</v>
      </c>
    </row>
    <row r="1028" spans="1:8" x14ac:dyDescent="0.35">
      <c r="A1028" s="40" t="str">
        <f>IF(OR(_xlfn.XLOOKUP("1705.03b2Organizational.12",Assessment!H:H,Assessment!E:E)="yes"),"Yes","No")</f>
        <v>Yes</v>
      </c>
      <c r="B1028" s="40" t="s">
        <v>7829</v>
      </c>
      <c r="C1028" s="40" t="s">
        <v>8083</v>
      </c>
      <c r="D1028" s="40" t="s">
        <v>9095</v>
      </c>
      <c r="E1028" s="40" t="s">
        <v>8599</v>
      </c>
    </row>
    <row r="1029" spans="1:8" x14ac:dyDescent="0.35">
      <c r="A1029" s="40" t="str">
        <f>IF(OR(_xlfn.XLOOKUP("1705.03b2Organizational.12",Assessment!H:H,Assessment!E:E)="yes"),"Yes","No")</f>
        <v>Yes</v>
      </c>
      <c r="B1029" s="40" t="s">
        <v>7829</v>
      </c>
      <c r="C1029" s="40" t="s">
        <v>8083</v>
      </c>
      <c r="D1029" s="40" t="s">
        <v>9096</v>
      </c>
      <c r="E1029" s="40" t="s">
        <v>8599</v>
      </c>
    </row>
    <row r="1030" spans="1:8" x14ac:dyDescent="0.35">
      <c r="A1030" s="40" t="str">
        <f>IF(OR(_xlfn.XLOOKUP("1705.03b2Organizational.12",Assessment!H:H,Assessment!E:E)="yes"),"Yes","No")</f>
        <v>Yes</v>
      </c>
      <c r="B1030" s="40" t="s">
        <v>7829</v>
      </c>
      <c r="C1030" s="40" t="s">
        <v>8083</v>
      </c>
      <c r="D1030" s="40" t="s">
        <v>9097</v>
      </c>
      <c r="E1030" s="40" t="s">
        <v>8599</v>
      </c>
    </row>
    <row r="1031" spans="1:8" x14ac:dyDescent="0.35">
      <c r="A1031" s="40" t="str">
        <f>IF(OR(_xlfn.XLOOKUP("1705.03b2Organizational.12",Assessment!H:H,Assessment!E:E)="yes"),"Yes","No")</f>
        <v>Yes</v>
      </c>
      <c r="B1031" s="40" t="s">
        <v>7829</v>
      </c>
      <c r="C1031" s="40" t="s">
        <v>8083</v>
      </c>
      <c r="D1031" s="40" t="s">
        <v>9098</v>
      </c>
      <c r="E1031" s="40" t="s">
        <v>8599</v>
      </c>
    </row>
    <row r="1032" spans="1:8" x14ac:dyDescent="0.35">
      <c r="A1032" s="40" t="e">
        <f>IF(OR(_xlfn.XLOOKUP("17120.10a3Organizational.5",Assessment!H:H,Assessment!E:E)="yes"),"Yes","No")</f>
        <v>#N/A</v>
      </c>
      <c r="B1032" s="40" t="s">
        <v>7829</v>
      </c>
      <c r="C1032" s="40" t="s">
        <v>8083</v>
      </c>
      <c r="D1032" s="40" t="s">
        <v>9099</v>
      </c>
      <c r="E1032" s="40" t="s">
        <v>8621</v>
      </c>
    </row>
    <row r="1033" spans="1:8" x14ac:dyDescent="0.35">
      <c r="A1033" s="40" t="e">
        <f>IF(OR(_xlfn.XLOOKUP("1736.03d2Organizational.4",Assessment!H:H,Assessment!E:E)="yes"),"Yes","No")</f>
        <v>#N/A</v>
      </c>
      <c r="B1033" s="40" t="s">
        <v>7829</v>
      </c>
      <c r="C1033" s="40" t="s">
        <v>8083</v>
      </c>
      <c r="D1033" s="40" t="s">
        <v>9100</v>
      </c>
      <c r="E1033" s="40" t="s">
        <v>9101</v>
      </c>
    </row>
    <row r="1034" spans="1:8" x14ac:dyDescent="0.35">
      <c r="A1034" s="40" t="e">
        <f>IF(OR(_xlfn.XLOOKUP("1782.10a2Organizational.12",Assessment!H:H,Assessment!E:E)="yes"),"Yes","No")</f>
        <v>#N/A</v>
      </c>
      <c r="B1034" s="40" t="s">
        <v>7829</v>
      </c>
      <c r="C1034" s="40" t="s">
        <v>8083</v>
      </c>
      <c r="D1034" s="40" t="s">
        <v>9102</v>
      </c>
      <c r="E1034" s="40" t="s">
        <v>8621</v>
      </c>
    </row>
    <row r="1035" spans="1:8" x14ac:dyDescent="0.35">
      <c r="A1035" s="40" t="e">
        <f>IF(OR(_xlfn.XLOOKUP("1782.10a2Organizational.12",Assessment!H:H,Assessment!E:E)="yes"),"Yes","No")</f>
        <v>#N/A</v>
      </c>
      <c r="B1035" s="40" t="s">
        <v>7829</v>
      </c>
      <c r="C1035" s="40" t="s">
        <v>8083</v>
      </c>
      <c r="D1035" s="40" t="s">
        <v>9103</v>
      </c>
      <c r="E1035" s="40" t="s">
        <v>8621</v>
      </c>
    </row>
    <row r="1036" spans="1:8" x14ac:dyDescent="0.35">
      <c r="A1036" s="40" t="e">
        <f>IF(OR(_xlfn.XLOOKUP("1787.10a2Organizational.1",Assessment!H:H,Assessment!E:E)="yes"),"Yes","No")</f>
        <v>#N/A</v>
      </c>
      <c r="B1036" s="40" t="s">
        <v>7829</v>
      </c>
      <c r="C1036" s="40" t="s">
        <v>8083</v>
      </c>
      <c r="D1036" s="40" t="s">
        <v>9104</v>
      </c>
      <c r="E1036" s="40" t="s">
        <v>8621</v>
      </c>
    </row>
    <row r="1037" spans="1:8" x14ac:dyDescent="0.35">
      <c r="A1037" s="40" t="e">
        <f>IF(OR(_xlfn.XLOOKUP("1787.10a2Organizational.1",Assessment!H:H,Assessment!E:E)="yes"),"Yes","No")</f>
        <v>#N/A</v>
      </c>
      <c r="B1037" s="40" t="s">
        <v>7829</v>
      </c>
      <c r="C1037" s="40" t="s">
        <v>8083</v>
      </c>
      <c r="D1037" s="40" t="s">
        <v>9105</v>
      </c>
      <c r="E1037" s="40" t="s">
        <v>8621</v>
      </c>
    </row>
    <row r="1038" spans="1:8" x14ac:dyDescent="0.35">
      <c r="A1038" s="40" t="e">
        <f>IF(OR(_xlfn.XLOOKUP("1790.10a2Organizational.45",Assessment!H:H,Assessment!E:E)="yes"),"Yes","No")</f>
        <v>#N/A</v>
      </c>
      <c r="B1038" s="40" t="s">
        <v>7829</v>
      </c>
      <c r="C1038" s="40" t="s">
        <v>8083</v>
      </c>
      <c r="D1038" s="40" t="s">
        <v>9106</v>
      </c>
      <c r="E1038" s="40" t="s">
        <v>8621</v>
      </c>
    </row>
    <row r="1039" spans="1:8" x14ac:dyDescent="0.35">
      <c r="A1039" s="40" t="e">
        <f>IF(OR(_xlfn.XLOOKUP("1790.10a2Organizational.45",Assessment!H:H,Assessment!E:E)="yes"),"Yes","No")</f>
        <v>#N/A</v>
      </c>
      <c r="B1039" s="40" t="s">
        <v>7829</v>
      </c>
      <c r="C1039" s="40" t="s">
        <v>8083</v>
      </c>
      <c r="D1039" s="40" t="s">
        <v>9107</v>
      </c>
      <c r="E1039" s="40" t="s">
        <v>8621</v>
      </c>
    </row>
    <row r="1040" spans="1:8" x14ac:dyDescent="0.35">
      <c r="A1040" s="40" t="e">
        <f>IF(OR(_xlfn.XLOOKUP("1804.08b2Organizational.12",Assessment!H:H,Assessment!E:E)="yes",_xlfn.XLOOKUP("18.08bNIST80053Organizational.10",Assessment!H:H,Assessment!E:E)="yes"),"Yes","No")</f>
        <v>#N/A</v>
      </c>
      <c r="B1040" s="40" t="s">
        <v>7829</v>
      </c>
      <c r="C1040" s="40" t="s">
        <v>8083</v>
      </c>
      <c r="D1040" s="40" t="s">
        <v>9108</v>
      </c>
      <c r="E1040" s="40" t="s">
        <v>8779</v>
      </c>
      <c r="H1040" s="40" t="s">
        <v>8780</v>
      </c>
    </row>
    <row r="1041" spans="1:8" x14ac:dyDescent="0.35">
      <c r="A1041" s="40" t="e">
        <f>IF(OR(_xlfn.XLOOKUP("1804.08b2Organizational.12",Assessment!H:H,Assessment!E:E)="yes",_xlfn.XLOOKUP("18.08bNIST80053Organizational.10",Assessment!H:H,Assessment!E:E)="yes"),"Yes","No")</f>
        <v>#N/A</v>
      </c>
      <c r="B1041" s="40" t="s">
        <v>7829</v>
      </c>
      <c r="C1041" s="40" t="s">
        <v>8083</v>
      </c>
      <c r="D1041" s="40" t="s">
        <v>9109</v>
      </c>
      <c r="E1041" s="40" t="s">
        <v>8779</v>
      </c>
      <c r="H1041" s="40" t="s">
        <v>8780</v>
      </c>
    </row>
    <row r="1042" spans="1:8" x14ac:dyDescent="0.35">
      <c r="A1042" s="40" t="e">
        <f>IF(OR(_xlfn.XLOOKUP("1807.08b2Organizational.56",Assessment!H:H,Assessment!E:E)="yes"),"Yes","No")</f>
        <v>#N/A</v>
      </c>
      <c r="B1042" s="40" t="s">
        <v>7829</v>
      </c>
      <c r="C1042" s="40" t="s">
        <v>8083</v>
      </c>
      <c r="D1042" s="40" t="s">
        <v>9110</v>
      </c>
      <c r="E1042" s="40" t="s">
        <v>8779</v>
      </c>
      <c r="H1042" s="40" t="s">
        <v>8550</v>
      </c>
    </row>
    <row r="1043" spans="1:8" x14ac:dyDescent="0.35">
      <c r="A1043" s="40" t="e">
        <f>IF(OR(_xlfn.XLOOKUP("1807.08b2Organizational.56",Assessment!H:H,Assessment!E:E)="yes"),"Yes","No")</f>
        <v>#N/A</v>
      </c>
      <c r="B1043" s="40" t="s">
        <v>7829</v>
      </c>
      <c r="C1043" s="40" t="s">
        <v>8083</v>
      </c>
      <c r="D1043" s="40" t="s">
        <v>9111</v>
      </c>
      <c r="E1043" s="40" t="s">
        <v>8779</v>
      </c>
      <c r="H1043" s="40" t="s">
        <v>9112</v>
      </c>
    </row>
    <row r="1044" spans="1:8" x14ac:dyDescent="0.35">
      <c r="A1044" s="40" t="e">
        <f>IF(OR(_xlfn.XLOOKUP("1807.08b2Organizational.56",Assessment!H:H,Assessment!E:E)="yes"),"Yes","No")</f>
        <v>#N/A</v>
      </c>
      <c r="B1044" s="40" t="s">
        <v>7829</v>
      </c>
      <c r="C1044" s="40" t="s">
        <v>8083</v>
      </c>
      <c r="D1044" s="40" t="s">
        <v>9113</v>
      </c>
      <c r="E1044" s="40" t="s">
        <v>8779</v>
      </c>
    </row>
    <row r="1045" spans="1:8" x14ac:dyDescent="0.35">
      <c r="A1045" s="40" t="e">
        <f>IF(OR(_xlfn.XLOOKUP("1807.08b2Organizational.56",Assessment!H:H,Assessment!E:E)="yes"),"Yes","No")</f>
        <v>#N/A</v>
      </c>
      <c r="B1045" s="40" t="s">
        <v>7829</v>
      </c>
      <c r="C1045" s="40" t="s">
        <v>8083</v>
      </c>
      <c r="D1045" s="40" t="s">
        <v>9114</v>
      </c>
      <c r="E1045" s="40" t="s">
        <v>8779</v>
      </c>
    </row>
    <row r="1046" spans="1:8" x14ac:dyDescent="0.35">
      <c r="A1046" s="40" t="e">
        <f>IF(OR(_xlfn.XLOOKUP("1808.08b2Organizational.7",Assessment!H:H,Assessment!E:E)="yes"),"Yes","No")</f>
        <v>#N/A</v>
      </c>
      <c r="B1046" s="40" t="s">
        <v>7829</v>
      </c>
      <c r="C1046" s="40" t="s">
        <v>8083</v>
      </c>
      <c r="D1046" s="40" t="s">
        <v>9115</v>
      </c>
      <c r="E1046" s="40" t="s">
        <v>8779</v>
      </c>
      <c r="H1046" s="40" t="s">
        <v>8261</v>
      </c>
    </row>
    <row r="1047" spans="1:8" x14ac:dyDescent="0.35">
      <c r="A1047" s="40" t="e">
        <f>IF(OR(_xlfn.XLOOKUP("1810.08b3Organizational.2",Assessment!H:H,Assessment!E:E)="yes"),"Yes","No")</f>
        <v>#N/A</v>
      </c>
      <c r="B1047" s="40" t="s">
        <v>7829</v>
      </c>
      <c r="C1047" s="40" t="s">
        <v>8083</v>
      </c>
      <c r="D1047" s="40" t="s">
        <v>9116</v>
      </c>
      <c r="E1047" s="40" t="s">
        <v>8779</v>
      </c>
    </row>
    <row r="1048" spans="1:8" x14ac:dyDescent="0.35">
      <c r="A1048" s="40" t="e">
        <f>IF(OR(_xlfn.XLOOKUP("18145.08b3Organizational.7",Assessment!H:H,Assessment!E:E)="yes",_xlfn.XLOOKUP("18.08bNIST80053Organizational.11",Assessment!H:H,Assessment!E:E)="yes"),"Yes","No")</f>
        <v>#N/A</v>
      </c>
      <c r="B1048" s="40" t="s">
        <v>7829</v>
      </c>
      <c r="C1048" s="40" t="s">
        <v>8083</v>
      </c>
      <c r="D1048" s="40" t="s">
        <v>9117</v>
      </c>
      <c r="E1048" s="40" t="s">
        <v>8779</v>
      </c>
    </row>
    <row r="1049" spans="1:8" x14ac:dyDescent="0.35">
      <c r="A1049" s="40" t="e">
        <f>IF(OR(_xlfn.XLOOKUP("18146.08b3Organizational.8",Assessment!H:H,Assessment!E:E)="yes",_xlfn.XLOOKUP("18.08bNIST80053Organizational.12",Assessment!H:H,Assessment!E:E)="yes"),"Yes","No")</f>
        <v>#N/A</v>
      </c>
      <c r="B1049" s="40" t="s">
        <v>7829</v>
      </c>
      <c r="C1049" s="40" t="s">
        <v>8083</v>
      </c>
      <c r="D1049" s="40" t="s">
        <v>9118</v>
      </c>
      <c r="E1049" s="40" t="s">
        <v>8779</v>
      </c>
    </row>
    <row r="1050" spans="1:8" x14ac:dyDescent="0.35">
      <c r="A1050" s="40" t="e">
        <f>IF(OR(_xlfn.XLOOKUP("1816.08d2Organizational.4",Assessment!H:H,Assessment!E:E)="yes"),"Yes","No")</f>
        <v>#N/A</v>
      </c>
      <c r="B1050" s="40" t="s">
        <v>7829</v>
      </c>
      <c r="C1050" s="40" t="s">
        <v>8083</v>
      </c>
      <c r="D1050" s="40" t="s">
        <v>9119</v>
      </c>
      <c r="E1050" s="40" t="s">
        <v>8794</v>
      </c>
    </row>
    <row r="1051" spans="1:8" x14ac:dyDescent="0.35">
      <c r="A1051" s="40" t="e">
        <f>IF(OR(_xlfn.XLOOKUP("1818.08d3Organizational.3",Assessment!H:H,Assessment!E:E)="yes"),"Yes","No")</f>
        <v>#N/A</v>
      </c>
      <c r="B1051" s="40" t="s">
        <v>7829</v>
      </c>
      <c r="C1051" s="40" t="s">
        <v>8083</v>
      </c>
      <c r="D1051" s="40" t="s">
        <v>9120</v>
      </c>
      <c r="E1051" s="40" t="s">
        <v>8794</v>
      </c>
    </row>
    <row r="1052" spans="1:8" x14ac:dyDescent="0.35">
      <c r="A1052" s="40" t="e">
        <f>IF(OR(_xlfn.XLOOKUP("1827.09p2Organizational.1",Assessment!H:H,Assessment!E:E)="yes"),"Yes","No")</f>
        <v>#N/A</v>
      </c>
      <c r="B1052" s="40" t="s">
        <v>7829</v>
      </c>
      <c r="C1052" s="40" t="s">
        <v>8083</v>
      </c>
      <c r="D1052" s="40" t="s">
        <v>9121</v>
      </c>
      <c r="E1052" s="40" t="s">
        <v>8628</v>
      </c>
    </row>
    <row r="1053" spans="1:8" x14ac:dyDescent="0.35">
      <c r="A1053" s="40" t="e">
        <f>IF(OR(_xlfn.XLOOKUP("1862.08d3Organizational.3",Assessment!H:H,Assessment!E:E)="yes"),"Yes","No")</f>
        <v>#N/A</v>
      </c>
      <c r="B1053" s="40" t="s">
        <v>7829</v>
      </c>
      <c r="C1053" s="40" t="s">
        <v>8083</v>
      </c>
      <c r="D1053" s="40" t="s">
        <v>9122</v>
      </c>
      <c r="E1053" s="40" t="s">
        <v>8794</v>
      </c>
    </row>
    <row r="1054" spans="1:8" x14ac:dyDescent="0.35">
      <c r="A1054" s="40" t="e">
        <f>IF(OR(_xlfn.XLOOKUP("19134.05j2Organizational.5",Assessment!H:H,Assessment!E:E)="yes",_xlfn.XLOOKUP("19.13b2Organizational.2",Assessment!H:H,Assessment!E:E)="yes"),"Yes","No")</f>
        <v>#N/A</v>
      </c>
      <c r="B1054" s="40" t="s">
        <v>7829</v>
      </c>
      <c r="C1054" s="40" t="s">
        <v>8083</v>
      </c>
      <c r="D1054" s="40" t="s">
        <v>9123</v>
      </c>
      <c r="E1054" s="40" t="s">
        <v>8569</v>
      </c>
    </row>
    <row r="1055" spans="1:8" x14ac:dyDescent="0.35">
      <c r="A1055" s="40" t="e">
        <f>IF(OR(_xlfn.XLOOKUP("19134.05j2Organizational.5",Assessment!H:H,Assessment!E:E)="yes",_xlfn.XLOOKUP("19.13b2Organizational.2",Assessment!H:H,Assessment!E:E)="yes"),"Yes","No")</f>
        <v>#N/A</v>
      </c>
      <c r="B1055" s="40" t="s">
        <v>7829</v>
      </c>
      <c r="C1055" s="40" t="s">
        <v>8083</v>
      </c>
      <c r="D1055" s="40" t="s">
        <v>9124</v>
      </c>
      <c r="E1055" s="40" t="s">
        <v>8569</v>
      </c>
    </row>
    <row r="1056" spans="1:8" x14ac:dyDescent="0.35">
      <c r="A1056" s="40" t="e">
        <f>IF(OR(_xlfn.XLOOKUP("0216.09j2Organizational.9",Assessment!H:H,Assessment!E:E)="yes"),"Yes","No")</f>
        <v>#N/A</v>
      </c>
      <c r="B1056" s="40" t="s">
        <v>7829</v>
      </c>
      <c r="C1056" s="40" t="s">
        <v>8083</v>
      </c>
      <c r="D1056" s="40" t="s">
        <v>9125</v>
      </c>
      <c r="E1056" s="40" t="s">
        <v>8375</v>
      </c>
    </row>
    <row r="1057" spans="1:8" x14ac:dyDescent="0.35">
      <c r="A1057" s="40" t="e">
        <f>IF(OR(_xlfn.XLOOKUP("0227.09k2Organizational.12",Assessment!H:H,Assessment!E:E)="yes"),"Yes","No")</f>
        <v>#N/A</v>
      </c>
      <c r="B1057" s="40" t="s">
        <v>7829</v>
      </c>
      <c r="C1057" s="40" t="s">
        <v>8083</v>
      </c>
      <c r="D1057" s="40" t="s">
        <v>9126</v>
      </c>
      <c r="E1057" s="40" t="s">
        <v>9127</v>
      </c>
    </row>
    <row r="1058" spans="1:8" x14ac:dyDescent="0.35">
      <c r="A1058" s="40" t="e">
        <f>IF(OR(_xlfn.XLOOKUP("0227.09k2Organizational.12",Assessment!H:H,Assessment!E:E)="yes"),"Yes","No")</f>
        <v>#N/A</v>
      </c>
      <c r="B1058" s="40" t="s">
        <v>7829</v>
      </c>
      <c r="C1058" s="40" t="s">
        <v>8083</v>
      </c>
      <c r="D1058" s="40" t="s">
        <v>9128</v>
      </c>
      <c r="E1058" s="40" t="s">
        <v>9127</v>
      </c>
    </row>
    <row r="1059" spans="1:8" x14ac:dyDescent="0.35">
      <c r="A1059" s="40" t="e">
        <f>IF(OR(_xlfn.XLOOKUP("0227.09k2Organizational.12",Assessment!H:H,Assessment!E:E)="yes"),"Yes","No")</f>
        <v>#N/A</v>
      </c>
      <c r="B1059" s="40" t="s">
        <v>7829</v>
      </c>
      <c r="C1059" s="40" t="s">
        <v>8083</v>
      </c>
      <c r="D1059" s="40" t="s">
        <v>9129</v>
      </c>
      <c r="E1059" s="40" t="s">
        <v>9127</v>
      </c>
    </row>
    <row r="1060" spans="1:8" x14ac:dyDescent="0.35">
      <c r="A1060" s="40" t="e">
        <f>IF(OR(_xlfn.XLOOKUP("0227.09k2Organizational.12",Assessment!H:H,Assessment!E:E)="yes"),"Yes","No")</f>
        <v>#N/A</v>
      </c>
      <c r="B1060" s="40" t="s">
        <v>7829</v>
      </c>
      <c r="C1060" s="40" t="s">
        <v>8083</v>
      </c>
      <c r="D1060" s="40" t="s">
        <v>9130</v>
      </c>
      <c r="E1060" s="40" t="s">
        <v>9127</v>
      </c>
    </row>
    <row r="1061" spans="1:8" x14ac:dyDescent="0.35">
      <c r="A1061" s="40" t="e">
        <f>IF(OR(,_xlfn.XLOOKUP("0115.04b2Organizational.123",Assessment!H:H,Assessment!E:E)="yes"),"Yes","No")</f>
        <v>#N/A</v>
      </c>
      <c r="B1061" s="40" t="s">
        <v>7829</v>
      </c>
      <c r="C1061" s="40" t="s">
        <v>8083</v>
      </c>
      <c r="D1061" s="40" t="s">
        <v>9131</v>
      </c>
      <c r="E1061" s="40" t="s">
        <v>9132</v>
      </c>
    </row>
    <row r="1062" spans="1:8" x14ac:dyDescent="0.35">
      <c r="A1062" s="40" t="e">
        <f>IF(OR(,_xlfn.XLOOKUP("0115.04b2Organizational.123",Assessment!H:H,Assessment!E:E)="yes"),"Yes","No")</f>
        <v>#N/A</v>
      </c>
      <c r="B1062" s="40" t="s">
        <v>7829</v>
      </c>
      <c r="C1062" s="40" t="s">
        <v>8083</v>
      </c>
      <c r="D1062" s="40" t="s">
        <v>9133</v>
      </c>
      <c r="E1062" s="40" t="s">
        <v>9132</v>
      </c>
    </row>
    <row r="1063" spans="1:8" x14ac:dyDescent="0.35">
      <c r="A1063" s="40" t="e">
        <f>IF(OR(,_xlfn.XLOOKUP("0115.04b2Organizational.123",Assessment!H:H,Assessment!E:E)="yes"),"Yes","No")</f>
        <v>#N/A</v>
      </c>
      <c r="B1063" s="40" t="s">
        <v>7829</v>
      </c>
      <c r="C1063" s="40" t="s">
        <v>8083</v>
      </c>
      <c r="D1063" s="40" t="s">
        <v>9134</v>
      </c>
      <c r="E1063" s="40" t="s">
        <v>9132</v>
      </c>
    </row>
    <row r="1064" spans="1:8" x14ac:dyDescent="0.35">
      <c r="A1064" s="40" t="e">
        <f>IF(OR(,_xlfn.XLOOKUP("0115.04b2Organizational.123",Assessment!H:H,Assessment!E:E)="yes"),"Yes","No")</f>
        <v>#N/A</v>
      </c>
      <c r="B1064" s="40" t="s">
        <v>7829</v>
      </c>
      <c r="C1064" s="40" t="s">
        <v>8083</v>
      </c>
      <c r="D1064" s="40" t="s">
        <v>9135</v>
      </c>
      <c r="E1064" s="40" t="s">
        <v>9132</v>
      </c>
    </row>
    <row r="1065" spans="1:8" x14ac:dyDescent="0.35">
      <c r="A1065" s="40" t="e">
        <f>IF(OR(,_xlfn.XLOOKUP("0115.04b2Organizational.123",Assessment!H:H,Assessment!E:E)="yes"),"Yes","No")</f>
        <v>#N/A</v>
      </c>
      <c r="B1065" s="40" t="s">
        <v>7829</v>
      </c>
      <c r="C1065" s="40" t="s">
        <v>8083</v>
      </c>
      <c r="D1065" s="40" t="s">
        <v>9136</v>
      </c>
      <c r="E1065" s="40" t="s">
        <v>9132</v>
      </c>
    </row>
    <row r="1066" spans="1:8" x14ac:dyDescent="0.35">
      <c r="A1066" s="40" t="e">
        <f>IF(OR(,_xlfn.XLOOKUP("0115.04b2Organizational.123",Assessment!H:H,Assessment!E:E)="yes"),"Yes","No")</f>
        <v>#N/A</v>
      </c>
      <c r="B1066" s="40" t="s">
        <v>7829</v>
      </c>
      <c r="C1066" s="40" t="s">
        <v>8083</v>
      </c>
      <c r="D1066" s="40" t="s">
        <v>9137</v>
      </c>
      <c r="E1066" s="40" t="s">
        <v>9132</v>
      </c>
    </row>
    <row r="1067" spans="1:8" x14ac:dyDescent="0.35">
      <c r="A1067" s="40" t="e">
        <f>IF(OR(,_xlfn.XLOOKUP("0115.04b2Organizational.123",Assessment!H:H,Assessment!E:E)="yes"),"Yes","No")</f>
        <v>#N/A</v>
      </c>
      <c r="B1067" s="40" t="s">
        <v>7829</v>
      </c>
      <c r="C1067" s="40" t="s">
        <v>8083</v>
      </c>
      <c r="D1067" s="40" t="s">
        <v>9138</v>
      </c>
      <c r="E1067" s="40" t="s">
        <v>9132</v>
      </c>
    </row>
    <row r="1068" spans="1:8" x14ac:dyDescent="0.35">
      <c r="A1068" s="40" t="e">
        <f>IF(OR(,_xlfn.XLOOKUP("0115.04b2Organizational.123",Assessment!H:H,Assessment!E:E)="yes"),"Yes","No")</f>
        <v>#N/A</v>
      </c>
      <c r="B1068" s="40" t="s">
        <v>7829</v>
      </c>
      <c r="C1068" s="40" t="s">
        <v>8083</v>
      </c>
      <c r="D1068" s="40" t="s">
        <v>9139</v>
      </c>
      <c r="E1068" s="40" t="s">
        <v>9132</v>
      </c>
    </row>
    <row r="1069" spans="1:8" x14ac:dyDescent="0.35">
      <c r="A1069" s="40" t="e">
        <f>IF(OR(,_xlfn.XLOOKUP("0115.04b2Organizational.123",Assessment!H:H,Assessment!E:E)="yes"),"Yes","No")</f>
        <v>#N/A</v>
      </c>
      <c r="B1069" s="40" t="s">
        <v>7829</v>
      </c>
      <c r="C1069" s="40" t="s">
        <v>8083</v>
      </c>
      <c r="D1069" s="40" t="s">
        <v>9140</v>
      </c>
      <c r="E1069" s="40" t="s">
        <v>9132</v>
      </c>
    </row>
    <row r="1070" spans="1:8" x14ac:dyDescent="0.35">
      <c r="A1070" s="40" t="e">
        <f>IF(OR(,_xlfn.XLOOKUP("0115.04b2Organizational.123",Assessment!H:H,Assessment!E:E)="yes",_xlfn.XLOOKUP("0116.04b3Organizational.1",Assessment!H:H,Assessment!E:E)="yes"),"Yes","No")</f>
        <v>#N/A</v>
      </c>
      <c r="B1070" s="40" t="s">
        <v>7829</v>
      </c>
      <c r="C1070" s="40" t="s">
        <v>8083</v>
      </c>
      <c r="D1070" s="40" t="s">
        <v>9141</v>
      </c>
      <c r="E1070" s="40" t="s">
        <v>9132</v>
      </c>
    </row>
    <row r="1071" spans="1:8" x14ac:dyDescent="0.35">
      <c r="A1071" s="40" t="e">
        <f>IF(OR(,_xlfn.XLOOKUP("0228.09k2Organizational.3",Assessment!H:H,Assessment!E:E)="yes"),"Yes","No")</f>
        <v>#N/A</v>
      </c>
      <c r="B1071" s="40" t="s">
        <v>7829</v>
      </c>
      <c r="C1071" s="40" t="s">
        <v>8083</v>
      </c>
      <c r="D1071" s="40" t="s">
        <v>9142</v>
      </c>
      <c r="E1071" s="40" t="s">
        <v>9127</v>
      </c>
      <c r="H1071" s="40" t="s">
        <v>8429</v>
      </c>
    </row>
    <row r="1072" spans="1:8" x14ac:dyDescent="0.35">
      <c r="A1072" s="40" t="e">
        <f>IF(OR(,_xlfn.XLOOKUP("0228.09k2Organizational.3",Assessment!H:H,Assessment!E:E)="yes"),"Yes","No")</f>
        <v>#N/A</v>
      </c>
      <c r="B1072" s="40" t="s">
        <v>7829</v>
      </c>
      <c r="C1072" s="40" t="s">
        <v>8083</v>
      </c>
      <c r="D1072" s="40" t="s">
        <v>9143</v>
      </c>
      <c r="E1072" s="40" t="s">
        <v>9127</v>
      </c>
      <c r="H1072" s="40" t="s">
        <v>8429</v>
      </c>
    </row>
    <row r="1073" spans="1:8" x14ac:dyDescent="0.35">
      <c r="A1073" s="40" t="e">
        <f>IF(OR(,_xlfn.XLOOKUP("0228.09k2Organizational.3",Assessment!H:H,Assessment!E:E)="yes"),"Yes","No")</f>
        <v>#N/A</v>
      </c>
      <c r="B1073" s="40" t="s">
        <v>7829</v>
      </c>
      <c r="C1073" s="40" t="s">
        <v>8083</v>
      </c>
      <c r="D1073" s="40" t="s">
        <v>9144</v>
      </c>
      <c r="E1073" s="40" t="s">
        <v>9127</v>
      </c>
      <c r="H1073" s="40" t="s">
        <v>8429</v>
      </c>
    </row>
    <row r="1074" spans="1:8" x14ac:dyDescent="0.35">
      <c r="A1074" s="40" t="e">
        <f>IF(OR(,_xlfn.XLOOKUP("0640.10k2Organizational.1012",Assessment!H:H,Assessment!E:E)="yes"),"Yes","No")</f>
        <v>#N/A</v>
      </c>
      <c r="B1074" s="40" t="s">
        <v>7829</v>
      </c>
      <c r="C1074" s="40" t="s">
        <v>8083</v>
      </c>
      <c r="D1074" s="40" t="s">
        <v>9145</v>
      </c>
      <c r="E1074" s="40" t="s">
        <v>8910</v>
      </c>
    </row>
    <row r="1075" spans="1:8" x14ac:dyDescent="0.35">
      <c r="A1075" s="40" t="e">
        <f>IF(OR(,_xlfn.XLOOKUP("0640.10k2Organizational.1012",Assessment!H:H,Assessment!E:E)="yes"),"Yes","No")</f>
        <v>#N/A</v>
      </c>
      <c r="B1075" s="40" t="s">
        <v>7829</v>
      </c>
      <c r="C1075" s="40" t="s">
        <v>8083</v>
      </c>
      <c r="D1075" s="40" t="s">
        <v>9146</v>
      </c>
      <c r="E1075" s="40" t="s">
        <v>8910</v>
      </c>
    </row>
    <row r="1076" spans="1:8" x14ac:dyDescent="0.35">
      <c r="A1076" s="40" t="e">
        <f>IF(OR(,_xlfn.XLOOKUP("1301.02e2Organizational.7",Assessment!H:H,Assessment!E:E)="yes"),"Yes","No")</f>
        <v>#N/A</v>
      </c>
      <c r="B1076" s="40" t="s">
        <v>7829</v>
      </c>
      <c r="C1076" s="40" t="s">
        <v>8083</v>
      </c>
      <c r="D1076" s="40" t="s">
        <v>9147</v>
      </c>
      <c r="E1076" s="40" t="s">
        <v>8559</v>
      </c>
    </row>
    <row r="1077" spans="1:8" x14ac:dyDescent="0.35">
      <c r="A1077" s="40" t="e">
        <f>IF(OR(,_xlfn.XLOOKUP("1301.02e2Organizational.7",Assessment!H:H,Assessment!E:E)="yes"),"Yes","No")</f>
        <v>#N/A</v>
      </c>
      <c r="B1077" s="40" t="s">
        <v>7829</v>
      </c>
      <c r="C1077" s="40" t="s">
        <v>8083</v>
      </c>
      <c r="D1077" s="40" t="s">
        <v>9148</v>
      </c>
      <c r="E1077" s="40" t="s">
        <v>8559</v>
      </c>
    </row>
    <row r="1078" spans="1:8" x14ac:dyDescent="0.35">
      <c r="A1078" s="40" t="e">
        <f>IF(OR(,_xlfn.XLOOKUP("1314.02e2Organizational.5",Assessment!H:H,Assessment!E:E)="yes"),"Yes","No")</f>
        <v>#N/A</v>
      </c>
      <c r="B1078" s="40" t="s">
        <v>7829</v>
      </c>
      <c r="C1078" s="40" t="s">
        <v>8083</v>
      </c>
      <c r="D1078" s="40" t="s">
        <v>9149</v>
      </c>
      <c r="E1078" s="40" t="s">
        <v>8559</v>
      </c>
    </row>
    <row r="1079" spans="1:8" x14ac:dyDescent="0.35">
      <c r="A1079" s="40" t="e">
        <f>IF(OR(,_xlfn.XLOOKUP("1314.02e2Organizational.5",Assessment!H:H,Assessment!E:E)="yes"),"Yes","No")</f>
        <v>#N/A</v>
      </c>
      <c r="B1079" s="40" t="s">
        <v>7829</v>
      </c>
      <c r="C1079" s="40" t="s">
        <v>8083</v>
      </c>
      <c r="D1079" s="40" t="s">
        <v>9150</v>
      </c>
      <c r="E1079" s="40" t="s">
        <v>8559</v>
      </c>
    </row>
    <row r="1080" spans="1:8" x14ac:dyDescent="0.35">
      <c r="A1080" s="40" t="e">
        <f>IF(OR(,_xlfn.XLOOKUP("1314.02e2Organizational.5",Assessment!H:H,Assessment!E:E)="yes"),"Yes","No")</f>
        <v>#N/A</v>
      </c>
      <c r="B1080" s="40" t="s">
        <v>7829</v>
      </c>
      <c r="C1080" s="40" t="s">
        <v>8083</v>
      </c>
      <c r="D1080" s="40" t="s">
        <v>9151</v>
      </c>
      <c r="E1080" s="40" t="s">
        <v>8559</v>
      </c>
    </row>
    <row r="1081" spans="1:8" x14ac:dyDescent="0.35">
      <c r="A1081" s="40" t="e">
        <f>IF(OR(,_xlfn.XLOOKUP("1417.10l2Organizational.1",Assessment!H:H,Assessment!E:E)="yes"),"Yes","No")</f>
        <v>#N/A</v>
      </c>
      <c r="B1081" s="40" t="s">
        <v>7829</v>
      </c>
      <c r="C1081" s="40" t="s">
        <v>8083</v>
      </c>
      <c r="D1081" s="40" t="s">
        <v>9152</v>
      </c>
      <c r="E1081" s="40" t="s">
        <v>9153</v>
      </c>
    </row>
    <row r="1082" spans="1:8" x14ac:dyDescent="0.35">
      <c r="A1082" s="40" t="e">
        <f>IF(OR(,_xlfn.XLOOKUP("1501.02f2Organizational.2",Assessment!H:H,Assessment!E:E)="yes"),"Yes","No")</f>
        <v>#N/A</v>
      </c>
      <c r="B1082" s="40" t="s">
        <v>7829</v>
      </c>
      <c r="C1082" s="40" t="s">
        <v>8083</v>
      </c>
      <c r="D1082" s="40" t="s">
        <v>9154</v>
      </c>
      <c r="E1082" s="40" t="s">
        <v>9153</v>
      </c>
    </row>
    <row r="1083" spans="1:8" x14ac:dyDescent="0.35">
      <c r="A1083" s="40" t="e">
        <f>IF(OR(,_xlfn.XLOOKUP("1501.02f2Organizational.2",Assessment!H:H,Assessment!E:E)="yes"),"Yes","No")</f>
        <v>#N/A</v>
      </c>
      <c r="B1083" s="40" t="s">
        <v>7829</v>
      </c>
      <c r="C1083" s="40" t="s">
        <v>8083</v>
      </c>
      <c r="D1083" s="40" t="s">
        <v>9155</v>
      </c>
      <c r="E1083" s="40" t="s">
        <v>9153</v>
      </c>
    </row>
    <row r="1084" spans="1:8" x14ac:dyDescent="0.35">
      <c r="A1084" s="40" t="e">
        <f>IF(OR(,_xlfn.XLOOKUP("1501.02f2Organizational.2",Assessment!H:H,Assessment!E:E)="yes"),"Yes","No")</f>
        <v>#N/A</v>
      </c>
      <c r="B1084" s="40" t="s">
        <v>7829</v>
      </c>
      <c r="C1084" s="40" t="s">
        <v>8083</v>
      </c>
      <c r="D1084" s="40" t="s">
        <v>9156</v>
      </c>
      <c r="E1084" s="40" t="s">
        <v>9153</v>
      </c>
    </row>
    <row r="1085" spans="1:8" x14ac:dyDescent="0.35">
      <c r="A1085" s="40" t="e">
        <f>IF(OR(,_xlfn.XLOOKUP("1501.02f2Organizational.2",Assessment!H:H,Assessment!E:E)="yes"),"Yes","No")</f>
        <v>#N/A</v>
      </c>
      <c r="B1085" s="40" t="s">
        <v>7829</v>
      </c>
      <c r="C1085" s="40" t="s">
        <v>8083</v>
      </c>
      <c r="D1085" s="40" t="s">
        <v>9157</v>
      </c>
      <c r="E1085" s="40" t="s">
        <v>9153</v>
      </c>
    </row>
    <row r="1086" spans="1:8" x14ac:dyDescent="0.35">
      <c r="A1086" s="40" t="e">
        <f>IF(OR(,_xlfn.XLOOKUP("1501.02f2Organizational.2",Assessment!H:H,Assessment!E:E)="yes"),"Yes","No")</f>
        <v>#N/A</v>
      </c>
      <c r="B1086" s="40" t="s">
        <v>7829</v>
      </c>
      <c r="C1086" s="40" t="s">
        <v>8083</v>
      </c>
      <c r="D1086" s="40" t="s">
        <v>9158</v>
      </c>
      <c r="E1086" s="40" t="s">
        <v>9153</v>
      </c>
    </row>
    <row r="1087" spans="1:8" x14ac:dyDescent="0.35">
      <c r="A1087" s="40" t="e">
        <f>IF(OR(,_xlfn.XLOOKUP("1501.02f2Organizational.2",Assessment!H:H,Assessment!E:E)="yes"),"Yes","No")</f>
        <v>#N/A</v>
      </c>
      <c r="B1087" s="40" t="s">
        <v>7829</v>
      </c>
      <c r="C1087" s="40" t="s">
        <v>8083</v>
      </c>
      <c r="D1087" s="40" t="s">
        <v>9159</v>
      </c>
      <c r="E1087" s="40" t="s">
        <v>9153</v>
      </c>
    </row>
    <row r="1088" spans="1:8" x14ac:dyDescent="0.35">
      <c r="A1088" s="40" t="e">
        <f>IF(OR(,_xlfn.XLOOKUP("1501.02f2Organizational.2",Assessment!H:H,Assessment!E:E)="yes"),"Yes","No")</f>
        <v>#N/A</v>
      </c>
      <c r="B1088" s="40" t="s">
        <v>7829</v>
      </c>
      <c r="C1088" s="40" t="s">
        <v>8083</v>
      </c>
      <c r="D1088" s="40" t="s">
        <v>9160</v>
      </c>
      <c r="E1088" s="40" t="s">
        <v>9153</v>
      </c>
    </row>
    <row r="1089" spans="1:8" x14ac:dyDescent="0.35">
      <c r="A1089" s="40" t="e">
        <f>IF(OR(,_xlfn.XLOOKUP("1788.10a2Organizational.2",Assessment!H:H,Assessment!E:E)="yes"),"Yes","No")</f>
        <v>#N/A</v>
      </c>
      <c r="B1089" s="40" t="s">
        <v>7829</v>
      </c>
      <c r="C1089" s="40" t="s">
        <v>8083</v>
      </c>
      <c r="D1089" s="40" t="s">
        <v>9161</v>
      </c>
      <c r="E1089" s="40" t="s">
        <v>8621</v>
      </c>
      <c r="H1089" s="40" t="s">
        <v>8429</v>
      </c>
    </row>
    <row r="1090" spans="1:8" x14ac:dyDescent="0.35">
      <c r="A1090" s="40" t="e">
        <f>IF(OR(,_xlfn.XLOOKUP("1788.10a2Organizational.2",Assessment!H:H,Assessment!E:E)="yes"),"Yes","No")</f>
        <v>#N/A</v>
      </c>
      <c r="B1090" s="40" t="s">
        <v>7829</v>
      </c>
      <c r="C1090" s="40" t="s">
        <v>8083</v>
      </c>
      <c r="D1090" s="40" t="s">
        <v>9162</v>
      </c>
      <c r="E1090" s="40" t="s">
        <v>8621</v>
      </c>
      <c r="H1090" s="40" t="s">
        <v>8429</v>
      </c>
    </row>
    <row r="1091" spans="1:8" x14ac:dyDescent="0.35">
      <c r="A1091" s="40" t="e">
        <f>IF(OR(,_xlfn.XLOOKUP("1788.10a2Organizational.2",Assessment!H:H,Assessment!E:E)="yes"),"Yes","No")</f>
        <v>#N/A</v>
      </c>
      <c r="B1091" s="40" t="s">
        <v>7829</v>
      </c>
      <c r="C1091" s="40" t="s">
        <v>8083</v>
      </c>
      <c r="D1091" s="40" t="s">
        <v>9163</v>
      </c>
      <c r="E1091" s="40" t="s">
        <v>8621</v>
      </c>
      <c r="H1091" s="40" t="s">
        <v>8429</v>
      </c>
    </row>
    <row r="1092" spans="1:8" x14ac:dyDescent="0.35">
      <c r="A1092" s="40" t="e">
        <f>IF(OR(,_xlfn.XLOOKUP("1788.10a2Organizational.2",Assessment!H:H,Assessment!E:E)="yes"),"Yes","No")</f>
        <v>#N/A</v>
      </c>
      <c r="B1092" s="40" t="s">
        <v>7829</v>
      </c>
      <c r="C1092" s="40" t="s">
        <v>8083</v>
      </c>
      <c r="D1092" s="40" t="s">
        <v>9164</v>
      </c>
      <c r="E1092" s="40" t="s">
        <v>8621</v>
      </c>
      <c r="H1092" s="40" t="s">
        <v>8429</v>
      </c>
    </row>
    <row r="1093" spans="1:8" x14ac:dyDescent="0.35">
      <c r="A1093" s="40" t="e">
        <f>IF(OR(,_xlfn.XLOOKUP("1788.10a2Organizational.2",Assessment!H:H,Assessment!E:E)="yes"),"Yes","No")</f>
        <v>#N/A</v>
      </c>
      <c r="B1093" s="40" t="s">
        <v>7829</v>
      </c>
      <c r="C1093" s="40" t="s">
        <v>8083</v>
      </c>
      <c r="D1093" s="40" t="s">
        <v>9165</v>
      </c>
      <c r="E1093" s="40" t="s">
        <v>8621</v>
      </c>
      <c r="H1093" s="40" t="s">
        <v>8429</v>
      </c>
    </row>
    <row r="1094" spans="1:8" x14ac:dyDescent="0.35">
      <c r="A1094" s="40" t="e">
        <f>IF(OR(,_xlfn.XLOOKUP("1788.10a2Organizational.2",Assessment!H:H,Assessment!E:E)="yes"),"Yes","No")</f>
        <v>#N/A</v>
      </c>
      <c r="B1094" s="40" t="s">
        <v>7829</v>
      </c>
      <c r="C1094" s="40" t="s">
        <v>8083</v>
      </c>
      <c r="D1094" s="40" t="s">
        <v>9166</v>
      </c>
      <c r="E1094" s="40" t="s">
        <v>8621</v>
      </c>
      <c r="H1094" s="40" t="s">
        <v>8429</v>
      </c>
    </row>
    <row r="1095" spans="1:8" x14ac:dyDescent="0.35">
      <c r="A1095" s="40" t="e">
        <f>IF(OR(,_xlfn.XLOOKUP("1788.10a2Organizational.2",Assessment!H:H,Assessment!E:E)="yes"),"Yes","No")</f>
        <v>#N/A</v>
      </c>
      <c r="B1095" s="40" t="s">
        <v>7829</v>
      </c>
      <c r="C1095" s="40" t="s">
        <v>8083</v>
      </c>
      <c r="D1095" s="40" t="s">
        <v>9167</v>
      </c>
      <c r="E1095" s="40" t="s">
        <v>8621</v>
      </c>
      <c r="H1095" s="40" t="s">
        <v>8429</v>
      </c>
    </row>
    <row r="1096" spans="1:8" x14ac:dyDescent="0.35">
      <c r="A1096" s="40" t="e">
        <f>IF(OR(,_xlfn.XLOOKUP("1788.10a2Organizational.2",Assessment!H:H,Assessment!E:E)="yes"),"Yes","No")</f>
        <v>#N/A</v>
      </c>
      <c r="B1096" s="40" t="s">
        <v>7829</v>
      </c>
      <c r="C1096" s="40" t="s">
        <v>8083</v>
      </c>
      <c r="D1096" s="40" t="s">
        <v>9168</v>
      </c>
      <c r="E1096" s="40" t="s">
        <v>8621</v>
      </c>
      <c r="H1096" s="40" t="s">
        <v>8429</v>
      </c>
    </row>
    <row r="1097" spans="1:8" x14ac:dyDescent="0.35">
      <c r="A1097" s="40" t="e">
        <f>IF(OR(,_xlfn.XLOOKUP("1788.10a2Organizational.2",Assessment!H:H,Assessment!E:E)="yes"),"Yes","No")</f>
        <v>#N/A</v>
      </c>
      <c r="B1097" s="40" t="s">
        <v>7829</v>
      </c>
      <c r="C1097" s="40" t="s">
        <v>8083</v>
      </c>
      <c r="D1097" s="40" t="s">
        <v>9169</v>
      </c>
      <c r="E1097" s="40" t="s">
        <v>8621</v>
      </c>
      <c r="H1097" s="40" t="s">
        <v>8429</v>
      </c>
    </row>
    <row r="1098" spans="1:8" x14ac:dyDescent="0.35">
      <c r="A1098" s="40" t="e">
        <f>IF(OR(,_xlfn.XLOOKUP("1788.10a2Organizational.2",Assessment!H:H,Assessment!E:E)="yes"),"Yes","No")</f>
        <v>#N/A</v>
      </c>
      <c r="B1098" s="40" t="s">
        <v>7829</v>
      </c>
      <c r="C1098" s="40" t="s">
        <v>8083</v>
      </c>
      <c r="D1098" s="40" t="s">
        <v>9170</v>
      </c>
      <c r="E1098" s="40" t="s">
        <v>8621</v>
      </c>
      <c r="H1098" s="40" t="s">
        <v>8429</v>
      </c>
    </row>
    <row r="1099" spans="1:8" x14ac:dyDescent="0.35">
      <c r="A1099" s="40" t="e">
        <f>IF(OR(,_xlfn.XLOOKUP("1789.10a2Organizational.3",Assessment!H:H,Assessment!E:E)="yes"),"Yes","No")</f>
        <v>#N/A</v>
      </c>
      <c r="B1099" s="40" t="s">
        <v>7829</v>
      </c>
      <c r="C1099" s="40" t="s">
        <v>8083</v>
      </c>
      <c r="D1099" s="40" t="s">
        <v>9171</v>
      </c>
      <c r="E1099" s="40" t="s">
        <v>8621</v>
      </c>
    </row>
    <row r="1100" spans="1:8" x14ac:dyDescent="0.35">
      <c r="A1100" s="40" t="e">
        <f>IF(OR(,_xlfn.XLOOKUP("1789.10a2Organizational.3",Assessment!H:H,Assessment!E:E)="yes"),"Yes","No")</f>
        <v>#N/A</v>
      </c>
      <c r="B1100" s="40" t="s">
        <v>7829</v>
      </c>
      <c r="C1100" s="40" t="s">
        <v>8083</v>
      </c>
      <c r="D1100" s="40" t="s">
        <v>9172</v>
      </c>
      <c r="E1100" s="40" t="s">
        <v>8621</v>
      </c>
    </row>
    <row r="1101" spans="1:8" x14ac:dyDescent="0.35">
      <c r="A1101" s="40" t="e">
        <f>IF(OR(,_xlfn.XLOOKUP("1789.10a2Organizational.3",Assessment!H:H,Assessment!E:E)="yes"),"Yes","No")</f>
        <v>#N/A</v>
      </c>
      <c r="B1101" s="40" t="s">
        <v>7829</v>
      </c>
      <c r="C1101" s="40" t="s">
        <v>8083</v>
      </c>
      <c r="D1101" s="40" t="s">
        <v>9173</v>
      </c>
      <c r="E1101" s="40" t="s">
        <v>8621</v>
      </c>
    </row>
    <row r="1102" spans="1:8" x14ac:dyDescent="0.35">
      <c r="A1102" s="40" t="e">
        <f>IF(OR(,_xlfn.XLOOKUP("1789.10a2Organizational.3",Assessment!H:H,Assessment!E:E)="yes"),"Yes","No")</f>
        <v>#N/A</v>
      </c>
      <c r="B1102" s="40" t="s">
        <v>7829</v>
      </c>
      <c r="C1102" s="40" t="s">
        <v>8083</v>
      </c>
      <c r="D1102" s="40" t="s">
        <v>9174</v>
      </c>
      <c r="E1102" s="40" t="s">
        <v>8621</v>
      </c>
    </row>
    <row r="1103" spans="1:8" x14ac:dyDescent="0.35">
      <c r="A1103" s="40" t="e">
        <f>IF(OR(,_xlfn.XLOOKUP("1789.10a2Organizational.3",Assessment!H:H,Assessment!E:E)="yes"),"Yes","No")</f>
        <v>#N/A</v>
      </c>
      <c r="B1103" s="40" t="s">
        <v>7829</v>
      </c>
      <c r="C1103" s="40" t="s">
        <v>8083</v>
      </c>
      <c r="D1103" s="40" t="s">
        <v>9175</v>
      </c>
      <c r="E1103" s="40" t="s">
        <v>8621</v>
      </c>
    </row>
    <row r="1104" spans="1:8" x14ac:dyDescent="0.35">
      <c r="A1104" s="40" t="e">
        <f>IF(OR(,_xlfn.XLOOKUP("1789.10a2Organizational.3",Assessment!H:H,Assessment!E:E)="yes"),"Yes","No")</f>
        <v>#N/A</v>
      </c>
      <c r="B1104" s="40" t="s">
        <v>7829</v>
      </c>
      <c r="C1104" s="40" t="s">
        <v>8083</v>
      </c>
      <c r="D1104" s="40" t="s">
        <v>9176</v>
      </c>
      <c r="E1104" s="40" t="s">
        <v>8621</v>
      </c>
    </row>
    <row r="1105" spans="1:5" x14ac:dyDescent="0.35">
      <c r="A1105" s="40" t="e">
        <f>IF(OR(,_xlfn.XLOOKUP("1789.10a2Organizational.3",Assessment!H:H,Assessment!E:E)="yes"),"Yes","No")</f>
        <v>#N/A</v>
      </c>
      <c r="B1105" s="40" t="s">
        <v>7829</v>
      </c>
      <c r="C1105" s="40" t="s">
        <v>8083</v>
      </c>
      <c r="D1105" s="40" t="s">
        <v>9177</v>
      </c>
      <c r="E1105" s="40" t="s">
        <v>8621</v>
      </c>
    </row>
    <row r="1106" spans="1:5" x14ac:dyDescent="0.35">
      <c r="A1106" s="40" t="e">
        <f>IF(OR(,_xlfn.XLOOKUP("1792.10a2Organizational.7814",Assessment!H:H,Assessment!E:E)="yes"),"Yes","No")</f>
        <v>#N/A</v>
      </c>
      <c r="B1106" s="40" t="s">
        <v>7829</v>
      </c>
      <c r="C1106" s="40" t="s">
        <v>8083</v>
      </c>
      <c r="D1106" s="40" t="s">
        <v>9178</v>
      </c>
      <c r="E1106" s="40" t="s">
        <v>8621</v>
      </c>
    </row>
    <row r="1107" spans="1:5" x14ac:dyDescent="0.35">
      <c r="A1107" s="40" t="e">
        <f>IF(OR(,_xlfn.XLOOKUP("1792.10a2Organizational.7814",Assessment!H:H,Assessment!E:E)="yes"),"Yes","No")</f>
        <v>#N/A</v>
      </c>
      <c r="B1107" s="40" t="s">
        <v>7829</v>
      </c>
      <c r="C1107" s="40" t="s">
        <v>8083</v>
      </c>
      <c r="D1107" s="40" t="s">
        <v>9179</v>
      </c>
      <c r="E1107" s="40" t="s">
        <v>8621</v>
      </c>
    </row>
    <row r="1108" spans="1:5" x14ac:dyDescent="0.35">
      <c r="A1108" s="40" t="e">
        <f>IF(OR(,_xlfn.XLOOKUP("1792.10a2Organizational.7814",Assessment!H:H,Assessment!E:E)="yes"),"Yes","No")</f>
        <v>#N/A</v>
      </c>
      <c r="B1108" s="40" t="s">
        <v>7829</v>
      </c>
      <c r="C1108" s="40" t="s">
        <v>8083</v>
      </c>
      <c r="D1108" s="40" t="s">
        <v>9180</v>
      </c>
      <c r="E1108" s="40" t="s">
        <v>8621</v>
      </c>
    </row>
    <row r="1109" spans="1:5" x14ac:dyDescent="0.35">
      <c r="A1109" s="40" t="e">
        <f>IF(OR(,_xlfn.XLOOKUP("1792.10a2Organizational.7814",Assessment!H:H,Assessment!E:E)="yes"),"Yes","No")</f>
        <v>#N/A</v>
      </c>
      <c r="B1109" s="40" t="s">
        <v>7829</v>
      </c>
      <c r="C1109" s="40" t="s">
        <v>8083</v>
      </c>
      <c r="D1109" s="40" t="s">
        <v>9181</v>
      </c>
      <c r="E1109" s="40" t="s">
        <v>8621</v>
      </c>
    </row>
    <row r="1110" spans="1:5" x14ac:dyDescent="0.35">
      <c r="A1110" s="40" t="e">
        <f>IF(OR(,_xlfn.XLOOKUP("1792.10a2Organizational.7814",Assessment!H:H,Assessment!E:E)="yes"),"Yes","No")</f>
        <v>#N/A</v>
      </c>
      <c r="B1110" s="40" t="s">
        <v>7829</v>
      </c>
      <c r="C1110" s="40" t="s">
        <v>8083</v>
      </c>
      <c r="D1110" s="40" t="s">
        <v>9182</v>
      </c>
      <c r="E1110" s="40" t="s">
        <v>8621</v>
      </c>
    </row>
    <row r="1111" spans="1:5" x14ac:dyDescent="0.35">
      <c r="A1111" s="40" t="e">
        <f>IF(OR(,_xlfn.XLOOKUP("1792.10a2Organizational.7814",Assessment!H:H,Assessment!E:E)="yes"),"Yes","No")</f>
        <v>#N/A</v>
      </c>
      <c r="B1111" s="40" t="s">
        <v>7829</v>
      </c>
      <c r="C1111" s="40" t="s">
        <v>8083</v>
      </c>
      <c r="D1111" s="40" t="s">
        <v>9183</v>
      </c>
      <c r="E1111" s="40" t="s">
        <v>8621</v>
      </c>
    </row>
    <row r="1112" spans="1:5" x14ac:dyDescent="0.35">
      <c r="A1112" s="40" t="e">
        <f>IF(OR(,_xlfn.XLOOKUP("1792.10a2Organizational.7814",Assessment!H:H,Assessment!E:E)="yes"),"Yes","No")</f>
        <v>#N/A</v>
      </c>
      <c r="B1112" s="40" t="s">
        <v>7829</v>
      </c>
      <c r="C1112" s="40" t="s">
        <v>8083</v>
      </c>
      <c r="D1112" s="40" t="s">
        <v>9184</v>
      </c>
      <c r="E1112" s="40" t="s">
        <v>8621</v>
      </c>
    </row>
    <row r="1113" spans="1:5" x14ac:dyDescent="0.35">
      <c r="A1113" s="40" t="e">
        <f>IF(OR(,_xlfn.XLOOKUP("1792.10a2Organizational.7814",Assessment!H:H,Assessment!E:E)="yes"),"Yes","No")</f>
        <v>#N/A</v>
      </c>
      <c r="B1113" s="40" t="s">
        <v>7829</v>
      </c>
      <c r="C1113" s="40" t="s">
        <v>8083</v>
      </c>
      <c r="D1113" s="40" t="s">
        <v>9185</v>
      </c>
      <c r="E1113" s="40" t="s">
        <v>8621</v>
      </c>
    </row>
    <row r="1114" spans="1:5" x14ac:dyDescent="0.35">
      <c r="A1114" s="40" t="e">
        <f>IF(OR(,_xlfn.XLOOKUP("0116.04b3Organizational.1",Assessment!H:H,Assessment!E:E)="yes"),"Yes","No")</f>
        <v>#N/A</v>
      </c>
      <c r="B1114" s="40" t="s">
        <v>7829</v>
      </c>
      <c r="C1114" s="40" t="s">
        <v>8083</v>
      </c>
      <c r="D1114" s="40" t="s">
        <v>9186</v>
      </c>
      <c r="E1114" s="40" t="s">
        <v>9132</v>
      </c>
    </row>
    <row r="1115" spans="1:5" x14ac:dyDescent="0.35">
      <c r="A1115" s="40" t="e">
        <f>IF(OR(,_xlfn.XLOOKUP("0116.04b3Organizational.1",Assessment!H:H,Assessment!E:E)="yes"),"Yes","No")</f>
        <v>#N/A</v>
      </c>
      <c r="B1115" s="40" t="s">
        <v>7829</v>
      </c>
      <c r="C1115" s="40" t="s">
        <v>8083</v>
      </c>
      <c r="D1115" s="40" t="s">
        <v>9187</v>
      </c>
      <c r="E1115" s="40" t="s">
        <v>9132</v>
      </c>
    </row>
    <row r="1116" spans="1:5" x14ac:dyDescent="0.35">
      <c r="A1116" s="40" t="e">
        <f>IF(OR(,_xlfn.XLOOKUP("0116.04b3Organizational.1",Assessment!H:H,Assessment!E:E)="yes"),"Yes","No")</f>
        <v>#N/A</v>
      </c>
      <c r="B1116" s="40" t="s">
        <v>7829</v>
      </c>
      <c r="C1116" s="40" t="s">
        <v>8083</v>
      </c>
      <c r="D1116" s="40" t="s">
        <v>9188</v>
      </c>
      <c r="E1116" s="40" t="s">
        <v>9132</v>
      </c>
    </row>
    <row r="1117" spans="1:5" x14ac:dyDescent="0.35">
      <c r="A1117" s="40" t="e">
        <f>IF(OR(,_xlfn.XLOOKUP("0116.04b3Organizational.1",Assessment!H:H,Assessment!E:E)="yes"),"Yes","No")</f>
        <v>#N/A</v>
      </c>
      <c r="B1117" s="40" t="s">
        <v>7829</v>
      </c>
      <c r="C1117" s="40" t="s">
        <v>8083</v>
      </c>
      <c r="D1117" s="40" t="s">
        <v>9189</v>
      </c>
      <c r="E1117" s="40" t="s">
        <v>9132</v>
      </c>
    </row>
    <row r="1118" spans="1:5" x14ac:dyDescent="0.35">
      <c r="A1118" s="40" t="e">
        <f>IF(OR(,_xlfn.XLOOKUP("0818.01w3System.12",Assessment!H:H,Assessment!E:E)="yes"),"Yes","No")</f>
        <v>#N/A</v>
      </c>
      <c r="B1118" s="40" t="s">
        <v>7829</v>
      </c>
      <c r="C1118" s="40" t="s">
        <v>8083</v>
      </c>
      <c r="D1118" s="40" t="s">
        <v>9190</v>
      </c>
      <c r="E1118" s="40" t="s">
        <v>9191</v>
      </c>
    </row>
    <row r="1119" spans="1:5" x14ac:dyDescent="0.35">
      <c r="A1119" s="40" t="e">
        <f>IF(OR(,_xlfn.XLOOKUP("0853.01w3System.3",Assessment!H:H,Assessment!E:E)="yes"),"Yes","No")</f>
        <v>#N/A</v>
      </c>
      <c r="B1119" s="40" t="s">
        <v>7829</v>
      </c>
      <c r="C1119" s="40" t="s">
        <v>8083</v>
      </c>
      <c r="D1119" s="40" t="s">
        <v>9192</v>
      </c>
      <c r="E1119" s="40" t="s">
        <v>9191</v>
      </c>
    </row>
    <row r="1120" spans="1:5" x14ac:dyDescent="0.35">
      <c r="A1120" s="40" t="e">
        <f>IF(OR(,_xlfn.XLOOKUP("1233.09c3Organizational.3",Assessment!H:H,Assessment!E:E)="yes"),"Yes","No")</f>
        <v>#N/A</v>
      </c>
      <c r="B1120" s="40" t="s">
        <v>7829</v>
      </c>
      <c r="C1120" s="40" t="s">
        <v>8083</v>
      </c>
      <c r="D1120" s="40" t="s">
        <v>9193</v>
      </c>
      <c r="E1120" s="40" t="s">
        <v>9006</v>
      </c>
    </row>
    <row r="1121" spans="1:9" x14ac:dyDescent="0.35">
      <c r="A1121" s="40" t="e">
        <f>IF(OR(,_xlfn.XLOOKUP("17101.10a3Organizational.6",Assessment!H:H,Assessment!E:E)="yes"),"Yes","No")</f>
        <v>#N/A</v>
      </c>
      <c r="B1121" s="40" t="s">
        <v>7829</v>
      </c>
      <c r="C1121" s="40" t="s">
        <v>8083</v>
      </c>
      <c r="D1121" s="40" t="s">
        <v>9194</v>
      </c>
      <c r="E1121" s="40" t="s">
        <v>8621</v>
      </c>
    </row>
    <row r="1122" spans="1:9" x14ac:dyDescent="0.35">
      <c r="A1122" s="40" t="e">
        <f>IF(OR(,_xlfn.XLOOKUP("11192.01cHIXSystem.2",Assessment!H:H,Assessment!E:E)="yes"),"Yes","No")</f>
        <v>#N/A</v>
      </c>
      <c r="B1122" s="40" t="s">
        <v>7829</v>
      </c>
      <c r="C1122" s="40" t="s">
        <v>8083</v>
      </c>
      <c r="D1122" s="40" t="s">
        <v>9195</v>
      </c>
      <c r="E1122" s="40" t="s">
        <v>8530</v>
      </c>
    </row>
    <row r="1123" spans="1:9" x14ac:dyDescent="0.35">
      <c r="A1123" s="40" t="e">
        <f>IF(OR(,_xlfn.XLOOKUP("11192.01cHIXSystem.2",Assessment!H:H,Assessment!E:E)="yes"),"Yes","No")</f>
        <v>#N/A</v>
      </c>
      <c r="B1123" s="40" t="s">
        <v>7829</v>
      </c>
      <c r="C1123" s="40" t="s">
        <v>8083</v>
      </c>
      <c r="D1123" s="40" t="s">
        <v>9196</v>
      </c>
      <c r="E1123" s="40" t="s">
        <v>8530</v>
      </c>
    </row>
    <row r="1124" spans="1:9" x14ac:dyDescent="0.35">
      <c r="A1124" s="40" t="e">
        <f>IF(OR(_xlfn.XLOOKUP("19560.13u2Organizational.1",Assessment!H:H,Assessment!E:E)="yes"),"Yes","No")</f>
        <v>#N/A</v>
      </c>
      <c r="B1124" s="40" t="s">
        <v>7829</v>
      </c>
      <c r="C1124" s="40" t="s">
        <v>8083</v>
      </c>
      <c r="D1124" s="40" t="s">
        <v>9197</v>
      </c>
      <c r="E1124" s="40" t="s">
        <v>9198</v>
      </c>
    </row>
    <row r="1125" spans="1:9" x14ac:dyDescent="0.35">
      <c r="A1125" s="40" t="e">
        <f>IF(OR(_xlfn.XLOOKUP("19560.13u2Organizational.1",Assessment!H:H,Assessment!E:E)="yes"),"Yes","No")</f>
        <v>#N/A</v>
      </c>
      <c r="B1125" s="40" t="s">
        <v>7829</v>
      </c>
      <c r="C1125" s="40" t="s">
        <v>8083</v>
      </c>
      <c r="D1125" s="40" t="s">
        <v>9199</v>
      </c>
      <c r="E1125" s="40" t="s">
        <v>9198</v>
      </c>
    </row>
    <row r="1126" spans="1:9" x14ac:dyDescent="0.35">
      <c r="A1126" s="40" t="e">
        <f>IF(OR(_xlfn.XLOOKUP("19560.13u2Organizational.1",Assessment!H:H,Assessment!E:E)="yes"),"Yes","No")</f>
        <v>#N/A</v>
      </c>
      <c r="B1126" s="40" t="s">
        <v>7829</v>
      </c>
      <c r="C1126" s="40" t="s">
        <v>8083</v>
      </c>
      <c r="D1126" s="40" t="s">
        <v>9200</v>
      </c>
      <c r="E1126" s="40" t="s">
        <v>9198</v>
      </c>
    </row>
    <row r="1127" spans="1:9" x14ac:dyDescent="0.35">
      <c r="A1127" s="40" t="str">
        <f>IF(OR(_xlfn.XLOOKUP("19204.10i1System.1",Assessment!H:H,Assessment!E:E)="yes"),"Yes","No")</f>
        <v>Yes</v>
      </c>
      <c r="B1127" s="40" t="s">
        <v>7829</v>
      </c>
      <c r="C1127" s="40" t="s">
        <v>8083</v>
      </c>
      <c r="D1127" s="40" t="s">
        <v>9201</v>
      </c>
      <c r="E1127" s="40" t="s">
        <v>9202</v>
      </c>
      <c r="H1127" s="40" t="s">
        <v>9203</v>
      </c>
      <c r="I1127" s="40" t="s">
        <v>9204</v>
      </c>
    </row>
    <row r="1128" spans="1:9" x14ac:dyDescent="0.35">
      <c r="A1128" s="40" t="e">
        <f>IF(OR(_xlfn.XLOOKUP("0724.07a3Organizational.4",Assessment!H:H,Assessment!E:E)="yes",_xlfn.XLOOKUP("07.09m3Organizational.14",Assessment!H:H,Assessment!E:E)="yes"),"Yes","No")</f>
        <v>#N/A</v>
      </c>
      <c r="B1128" s="40" t="s">
        <v>7829</v>
      </c>
      <c r="C1128" s="40" t="s">
        <v>8083</v>
      </c>
      <c r="D1128" s="40" t="s">
        <v>9205</v>
      </c>
      <c r="E1128" s="40" t="s">
        <v>8437</v>
      </c>
    </row>
    <row r="1129" spans="1:9" x14ac:dyDescent="0.35">
      <c r="A1129" s="40" t="e">
        <f>IF(OR(_xlfn.XLOOKUP("0724.07a3Organizational.4",Assessment!H:H,Assessment!E:E)="yes",_xlfn.XLOOKUP("07.09m3Organizational.14",Assessment!H:H,Assessment!E:E)="yes"),"Yes","No")</f>
        <v>#N/A</v>
      </c>
      <c r="B1129" s="40" t="s">
        <v>7829</v>
      </c>
      <c r="C1129" s="40" t="s">
        <v>8083</v>
      </c>
      <c r="D1129" s="40" t="s">
        <v>9206</v>
      </c>
      <c r="E1129" s="40" t="s">
        <v>8437</v>
      </c>
    </row>
    <row r="1130" spans="1:9" x14ac:dyDescent="0.35">
      <c r="A1130" s="40" t="str">
        <f>IF(OR(_xlfn.XLOOKUP("01.03aISO23894Organizational.12",Assessment!H:H,Assessment!E:E)="yes",_xlfn.XLOOKUP("01.03aISO23894Organizational.13",Assessment!H:H,Assessment!E:E)="yes",_xlfn.XLOOKUP("17.03aISO23894Organizational.12",Assessment!H:H,Assessment!E:E)="yes",_xlfn.XLOOKUP("17.03aISO23894Organizational.15",Assessment!H:H,Assessment!E:E)="yes",_xlfn.XLOOKUP("17.03aISO23894Organizational.17",Assessment!H:H,Assessment!E:E)="yes",_xlfn.XLOOKUP("17.03aISO23894Organizational.19",Assessment!H:H,Assessment!E:E)="yes"),"Yes","No")</f>
        <v>Yes</v>
      </c>
      <c r="B1130" s="40" t="s">
        <v>7829</v>
      </c>
      <c r="C1130" s="40" t="s">
        <v>7809</v>
      </c>
      <c r="D1130" s="40" t="s">
        <v>9207</v>
      </c>
      <c r="E1130" s="40" t="s">
        <v>7809</v>
      </c>
    </row>
    <row r="1131" spans="1:9" x14ac:dyDescent="0.35">
      <c r="A1131" s="40" t="str">
        <f>IF(OR(_xlfn.XLOOKUP("01.03aISO31000Organizational.3",Assessment!H:H,Assessment!E:E)="yes",_xlfn.XLOOKUP("17.03aISO31000Organizational.12",Assessment!H:H,Assessment!E:E)="yes",_xlfn.XLOOKUP("17.03aISO31000Organizational.14",Assessment!H:H,Assessment!E:E)="yes",_xlfn.XLOOKUP("17.03aISO31000Organizational.15",Assessment!H:H,Assessment!E:E)="yes",_xlfn.XLOOKUP("17.03aISO31000Organizational.16",Assessment!H:H,Assessment!E:E)="yes",_xlfn.XLOOKUP("17.03aISO31000Organizational.17",Assessment!H:H,Assessment!E:E)="yes",_xlfn.XLOOKUP("17.03aISO31000Organizational.5",Assessment!H:H,Assessment!E:E)="yes",_xlfn.XLOOKUP("17.03aISO31000Organizational.7",Assessment!H:H,Assessment!E:E)="yes",_xlfn.XLOOKUP("01.03aISO31000Organizational.1",Assessment!H:H,Assessment!E:E)="yes",_xlfn.XLOOKUP("01.03aISO31000Organizational.2",Assessment!H:H,Assessment!E:E)="yes"),"Yes","No")</f>
        <v>Yes</v>
      </c>
      <c r="B1131" s="40" t="s">
        <v>7829</v>
      </c>
      <c r="C1131" s="40" t="s">
        <v>7809</v>
      </c>
      <c r="D1131" s="40" t="s">
        <v>9208</v>
      </c>
      <c r="E1131" s="40" t="s">
        <v>7809</v>
      </c>
    </row>
    <row r="1132" spans="1:9" x14ac:dyDescent="0.35">
      <c r="A1132" s="40" t="str">
        <f>IF(OR(_xlfn.XLOOKUP("01.03aISO23894Organizational.25",Assessment!H:H,Assessment!E:E)="yes"),"Yes","No")</f>
        <v>Yes</v>
      </c>
      <c r="B1132" s="40" t="s">
        <v>7829</v>
      </c>
      <c r="C1132" s="40" t="s">
        <v>8083</v>
      </c>
      <c r="D1132" s="40" t="s">
        <v>9209</v>
      </c>
      <c r="E1132" s="40" t="s">
        <v>8775</v>
      </c>
    </row>
    <row r="1133" spans="1:9" x14ac:dyDescent="0.35">
      <c r="A1133" s="40" t="str">
        <f>IF(OR(_xlfn.XLOOKUP("17.03aISO23894Organizational.20",Assessment!H:H,Assessment!E:E)="yes"),"Yes","No")</f>
        <v>Yes</v>
      </c>
      <c r="B1133" s="40" t="s">
        <v>7829</v>
      </c>
      <c r="C1133" s="40" t="s">
        <v>8083</v>
      </c>
      <c r="D1133" s="40" t="s">
        <v>9210</v>
      </c>
      <c r="E1133" s="40" t="s">
        <v>8775</v>
      </c>
    </row>
    <row r="1134" spans="1:9" x14ac:dyDescent="0.35">
      <c r="A1134" s="40" t="str">
        <f>IF(OR(_xlfn.XLOOKUP("17.03aISO23894Organizational.21",Assessment!H:H,Assessment!E:E)="yes"),"Yes","No")</f>
        <v>Yes</v>
      </c>
      <c r="B1134" s="40" t="s">
        <v>7829</v>
      </c>
      <c r="C1134" s="40" t="s">
        <v>8083</v>
      </c>
      <c r="D1134" s="40" t="s">
        <v>9211</v>
      </c>
      <c r="E1134" s="40" t="s">
        <v>8775</v>
      </c>
    </row>
    <row r="1135" spans="1:9" x14ac:dyDescent="0.35">
      <c r="A1135" s="40" t="str">
        <f>IF(OR(_xlfn.XLOOKUP("17.03aISO23894Organizational.23",Assessment!H:H,Assessment!E:E)="yes"),"Yes","No")</f>
        <v>Yes</v>
      </c>
      <c r="B1135" s="40" t="s">
        <v>7829</v>
      </c>
      <c r="C1135" s="40" t="s">
        <v>8083</v>
      </c>
      <c r="D1135" s="40" t="s">
        <v>9212</v>
      </c>
      <c r="E1135" s="40" t="s">
        <v>8775</v>
      </c>
    </row>
    <row r="1136" spans="1:9" x14ac:dyDescent="0.35">
      <c r="A1136" s="40" t="str">
        <f>IF(OR(_xlfn.XLOOKUP("17.03aISO23894Organizational.23",Assessment!H:H,Assessment!E:E)="yes"),"Yes","No")</f>
        <v>Yes</v>
      </c>
      <c r="B1136" s="40" t="s">
        <v>7829</v>
      </c>
      <c r="C1136" s="40" t="s">
        <v>8083</v>
      </c>
      <c r="D1136" s="40" t="s">
        <v>9213</v>
      </c>
      <c r="E1136" s="40" t="s">
        <v>8775</v>
      </c>
    </row>
    <row r="1137" spans="1:5" x14ac:dyDescent="0.35">
      <c r="A1137" s="40" t="str">
        <f>IF(OR(_xlfn.XLOOKUP("17.03aISO23894Organizational.16",Assessment!H:H,Assessment!E:E)="yes"),"Yes","No")</f>
        <v>Yes</v>
      </c>
      <c r="B1137" s="40" t="s">
        <v>7829</v>
      </c>
      <c r="C1137" s="40" t="s">
        <v>8083</v>
      </c>
      <c r="D1137" s="40" t="s">
        <v>9214</v>
      </c>
      <c r="E1137" s="40" t="s">
        <v>8775</v>
      </c>
    </row>
    <row r="1138" spans="1:5" x14ac:dyDescent="0.35">
      <c r="A1138" s="40" t="str">
        <f>IF(OR(_xlfn.XLOOKUP("17.03aISO23894Organizational.16",Assessment!H:H,Assessment!E:E)="yes"),"Yes","No")</f>
        <v>Yes</v>
      </c>
      <c r="B1138" s="40" t="s">
        <v>7829</v>
      </c>
      <c r="C1138" s="40" t="s">
        <v>8083</v>
      </c>
      <c r="D1138" s="40" t="s">
        <v>9215</v>
      </c>
      <c r="E1138" s="40" t="s">
        <v>8775</v>
      </c>
    </row>
    <row r="1139" spans="1:5" x14ac:dyDescent="0.35">
      <c r="A1139" s="40" t="str">
        <f>IF(OR(_xlfn.XLOOKUP("17.03aISO23894Organizational.16",Assessment!H:H,Assessment!E:E)="yes"),"Yes","No")</f>
        <v>Yes</v>
      </c>
      <c r="B1139" s="40" t="s">
        <v>7829</v>
      </c>
      <c r="C1139" s="40" t="s">
        <v>8083</v>
      </c>
      <c r="D1139" s="40" t="s">
        <v>9216</v>
      </c>
      <c r="E1139" s="40" t="s">
        <v>8775</v>
      </c>
    </row>
    <row r="1140" spans="1:5" x14ac:dyDescent="0.35">
      <c r="A1140" s="40" t="str">
        <f>IF(OR(_xlfn.XLOOKUP("17.03aISO23894Organizational.16",Assessment!H:H,Assessment!E:E)="yes"),"Yes","No")</f>
        <v>Yes</v>
      </c>
      <c r="B1140" s="40" t="s">
        <v>7829</v>
      </c>
      <c r="C1140" s="40" t="s">
        <v>8083</v>
      </c>
      <c r="D1140" s="40" t="s">
        <v>9217</v>
      </c>
      <c r="E1140" s="40" t="s">
        <v>8775</v>
      </c>
    </row>
    <row r="1141" spans="1:5" x14ac:dyDescent="0.35">
      <c r="A1141" s="40" t="str">
        <f>IF(OR(_xlfn.XLOOKUP("17.03bISO23894Organizational.12",Assessment!H:H,Assessment!E:E)="yes"),"Yes","No")</f>
        <v>Yes</v>
      </c>
      <c r="B1141" s="40" t="s">
        <v>7829</v>
      </c>
      <c r="C1141" s="40" t="s">
        <v>8083</v>
      </c>
      <c r="D1141" s="40" t="s">
        <v>9218</v>
      </c>
      <c r="E1141" s="40" t="s">
        <v>8599</v>
      </c>
    </row>
    <row r="1142" spans="1:5" x14ac:dyDescent="0.35">
      <c r="A1142" s="40" t="str">
        <f>IF(OR(_xlfn.XLOOKUP("17.03bISO23894Organizational.13",Assessment!H:H,Assessment!E:E)="yes"),"Yes","No")</f>
        <v>Yes</v>
      </c>
      <c r="B1142" s="40" t="s">
        <v>7829</v>
      </c>
      <c r="C1142" s="40" t="s">
        <v>8083</v>
      </c>
      <c r="D1142" s="40" t="s">
        <v>9219</v>
      </c>
      <c r="E1142" s="40" t="s">
        <v>8599</v>
      </c>
    </row>
    <row r="1143" spans="1:5" x14ac:dyDescent="0.35">
      <c r="A1143" s="40" t="str">
        <f>IF(OR(_xlfn.XLOOKUP("17.03bISO23894Organizational.13",Assessment!H:H,Assessment!E:E)="yes"),"Yes","No")</f>
        <v>Yes</v>
      </c>
      <c r="B1143" s="40" t="s">
        <v>7829</v>
      </c>
      <c r="C1143" s="40" t="s">
        <v>8083</v>
      </c>
      <c r="D1143" s="40" t="s">
        <v>9220</v>
      </c>
      <c r="E1143" s="40" t="s">
        <v>8599</v>
      </c>
    </row>
    <row r="1144" spans="1:5" x14ac:dyDescent="0.35">
      <c r="A1144" s="40" t="str">
        <f>IF(OR(_xlfn.XLOOKUP("17.03bISO23894Organizational.14",Assessment!H:H,Assessment!E:E)="yes"),"Yes","No")</f>
        <v>Yes</v>
      </c>
      <c r="B1144" s="40" t="s">
        <v>7829</v>
      </c>
      <c r="C1144" s="40" t="s">
        <v>8083</v>
      </c>
      <c r="D1144" s="40" t="s">
        <v>9221</v>
      </c>
      <c r="E1144" s="40" t="s">
        <v>8599</v>
      </c>
    </row>
    <row r="1145" spans="1:5" x14ac:dyDescent="0.35">
      <c r="A1145" s="40" t="str">
        <f>IF(OR(_xlfn.XLOOKUP("17.03bISO23894Organizational.14",Assessment!H:H,Assessment!E:E)="yes"),"Yes","No")</f>
        <v>Yes</v>
      </c>
      <c r="B1145" s="40" t="s">
        <v>7829</v>
      </c>
      <c r="C1145" s="40" t="s">
        <v>8083</v>
      </c>
      <c r="D1145" s="40" t="s">
        <v>9222</v>
      </c>
      <c r="E1145" s="40" t="s">
        <v>8599</v>
      </c>
    </row>
    <row r="1146" spans="1:5" x14ac:dyDescent="0.35">
      <c r="A1146" s="40" t="str">
        <f>IF(OR(_xlfn.XLOOKUP("17.03bISO23894Organizational.14",Assessment!H:H,Assessment!E:E)="yes"),"Yes","No")</f>
        <v>Yes</v>
      </c>
      <c r="B1146" s="40" t="s">
        <v>7829</v>
      </c>
      <c r="C1146" s="40" t="s">
        <v>8083</v>
      </c>
      <c r="D1146" s="40" t="s">
        <v>9223</v>
      </c>
      <c r="E1146" s="40" t="s">
        <v>8599</v>
      </c>
    </row>
    <row r="1147" spans="1:5" x14ac:dyDescent="0.35">
      <c r="A1147" s="40" t="str">
        <f>IF(OR(_xlfn.XLOOKUP("17.03bISO23894Organizational.14",Assessment!H:H,Assessment!E:E)="yes"),"Yes","No")</f>
        <v>Yes</v>
      </c>
      <c r="B1147" s="40" t="s">
        <v>7829</v>
      </c>
      <c r="C1147" s="40" t="s">
        <v>8083</v>
      </c>
      <c r="D1147" s="40" t="s">
        <v>9224</v>
      </c>
      <c r="E1147" s="40" t="s">
        <v>8599</v>
      </c>
    </row>
    <row r="1148" spans="1:5" x14ac:dyDescent="0.35">
      <c r="A1148" s="40" t="str">
        <f>IF(OR(_xlfn.XLOOKUP("17.03bISO23894Organizational.14",Assessment!H:H,Assessment!E:E)="yes"),"Yes","No")</f>
        <v>Yes</v>
      </c>
      <c r="B1148" s="40" t="s">
        <v>7829</v>
      </c>
      <c r="C1148" s="40" t="s">
        <v>8083</v>
      </c>
      <c r="D1148" s="40" t="s">
        <v>9225</v>
      </c>
      <c r="E1148" s="40" t="s">
        <v>8599</v>
      </c>
    </row>
    <row r="1149" spans="1:5" x14ac:dyDescent="0.35">
      <c r="A1149" s="40" t="str">
        <f>IF(OR(_xlfn.XLOOKUP("17.03bISO23894Organizational.14",Assessment!H:H,Assessment!E:E)="yes"),"Yes","No")</f>
        <v>Yes</v>
      </c>
      <c r="B1149" s="40" t="s">
        <v>7829</v>
      </c>
      <c r="C1149" s="40" t="s">
        <v>8083</v>
      </c>
      <c r="D1149" s="40" t="s">
        <v>9226</v>
      </c>
      <c r="E1149" s="40" t="s">
        <v>8599</v>
      </c>
    </row>
    <row r="1150" spans="1:5" x14ac:dyDescent="0.35">
      <c r="A1150" s="40" t="str">
        <f>IF(OR(_xlfn.XLOOKUP("17.03bISO23894Organizational.14",Assessment!H:H,Assessment!E:E)="yes"),"Yes","No")</f>
        <v>Yes</v>
      </c>
      <c r="B1150" s="40" t="s">
        <v>7829</v>
      </c>
      <c r="C1150" s="40" t="s">
        <v>8083</v>
      </c>
      <c r="D1150" s="40" t="s">
        <v>9227</v>
      </c>
      <c r="E1150" s="40" t="s">
        <v>8599</v>
      </c>
    </row>
    <row r="1151" spans="1:5" x14ac:dyDescent="0.35">
      <c r="A1151" s="40" t="str">
        <f>IF(OR(_xlfn.XLOOKUP("17.03bISO23894Organizational.14",Assessment!H:H,Assessment!E:E)="yes"),"Yes","No")</f>
        <v>Yes</v>
      </c>
      <c r="B1151" s="40" t="s">
        <v>7829</v>
      </c>
      <c r="C1151" s="40" t="s">
        <v>8083</v>
      </c>
      <c r="D1151" s="40" t="s">
        <v>9228</v>
      </c>
      <c r="E1151" s="40" t="s">
        <v>8599</v>
      </c>
    </row>
    <row r="1152" spans="1:5" x14ac:dyDescent="0.35">
      <c r="A1152" s="40" t="str">
        <f>IF(OR(_xlfn.XLOOKUP("17.03bISO23894Organizational.14",Assessment!H:H,Assessment!E:E)="yes"),"Yes","No")</f>
        <v>Yes</v>
      </c>
      <c r="B1152" s="40" t="s">
        <v>7829</v>
      </c>
      <c r="C1152" s="40" t="s">
        <v>8083</v>
      </c>
      <c r="D1152" s="40" t="s">
        <v>9229</v>
      </c>
      <c r="E1152" s="40" t="s">
        <v>8599</v>
      </c>
    </row>
    <row r="1153" spans="1:5" x14ac:dyDescent="0.35">
      <c r="A1153" s="40" t="str">
        <f>IF(OR(_xlfn.XLOOKUP("17.03bISO23894Organizational.14",Assessment!H:H,Assessment!E:E)="yes"),"Yes","No")</f>
        <v>Yes</v>
      </c>
      <c r="B1153" s="40" t="s">
        <v>7829</v>
      </c>
      <c r="C1153" s="40" t="s">
        <v>8083</v>
      </c>
      <c r="D1153" s="40" t="s">
        <v>9230</v>
      </c>
      <c r="E1153" s="40" t="s">
        <v>8599</v>
      </c>
    </row>
    <row r="1154" spans="1:5" x14ac:dyDescent="0.35">
      <c r="A1154" s="40" t="str">
        <f>IF(OR(_xlfn.XLOOKUP("17.03cISO23894Organizational.2",Assessment!H:H,Assessment!E:E)="yes"),"Yes","No")</f>
        <v>Yes</v>
      </c>
      <c r="B1154" s="40" t="s">
        <v>7829</v>
      </c>
      <c r="C1154" s="40" t="s">
        <v>8083</v>
      </c>
      <c r="D1154" s="40" t="s">
        <v>9231</v>
      </c>
      <c r="E1154" s="40" t="s">
        <v>8606</v>
      </c>
    </row>
    <row r="1155" spans="1:5" x14ac:dyDescent="0.35">
      <c r="A1155" s="40" t="str">
        <f>IF(OR(_xlfn.XLOOKUP("17.03cISO23894Organizational.3",Assessment!H:H,Assessment!E:E)="yes",_xlfn.XLOOKUP("17.03dISO23894Organizational.1",Assessment!H:H,Assessment!E:E)="yes"),"Yes","No")</f>
        <v>Yes</v>
      </c>
      <c r="B1155" s="40" t="s">
        <v>7829</v>
      </c>
      <c r="C1155" s="40" t="s">
        <v>8083</v>
      </c>
      <c r="D1155" s="40" t="s">
        <v>9232</v>
      </c>
      <c r="E1155" s="40" t="s">
        <v>8606</v>
      </c>
    </row>
    <row r="1156" spans="1:5" x14ac:dyDescent="0.35">
      <c r="A1156" s="40" t="str">
        <f>IF(OR(_xlfn.XLOOKUP("07.07aISO23894Organizational.2",Assessment!H:H,Assessment!E:E)="yes"),"Yes","No")</f>
        <v>Yes</v>
      </c>
      <c r="B1156" s="40" t="s">
        <v>7829</v>
      </c>
      <c r="C1156" s="40" t="s">
        <v>8083</v>
      </c>
      <c r="D1156" s="40" t="s">
        <v>9233</v>
      </c>
      <c r="E1156" s="40" t="s">
        <v>8437</v>
      </c>
    </row>
    <row r="1157" spans="1:5" x14ac:dyDescent="0.35">
      <c r="A1157" s="40" t="str">
        <f>IF(OR(_xlfn.XLOOKUP("07.07aISO23894Organizational.2",Assessment!H:H,Assessment!E:E)="yes"),"Yes","No")</f>
        <v>Yes</v>
      </c>
      <c r="B1157" s="40" t="s">
        <v>7829</v>
      </c>
      <c r="C1157" s="40" t="s">
        <v>8083</v>
      </c>
      <c r="D1157" s="40" t="s">
        <v>9234</v>
      </c>
      <c r="E1157" s="40" t="s">
        <v>8437</v>
      </c>
    </row>
    <row r="1158" spans="1:5" x14ac:dyDescent="0.35">
      <c r="A1158" s="40" t="str">
        <f>IF(OR(_xlfn.XLOOKUP("07.07aISO23894Organizational.2",Assessment!H:H,Assessment!E:E)="yes"),"Yes","No")</f>
        <v>Yes</v>
      </c>
      <c r="B1158" s="40" t="s">
        <v>7829</v>
      </c>
      <c r="C1158" s="40" t="s">
        <v>8083</v>
      </c>
      <c r="D1158" s="40" t="s">
        <v>9235</v>
      </c>
      <c r="E1158" s="40" t="s">
        <v>8437</v>
      </c>
    </row>
    <row r="1159" spans="1:5" x14ac:dyDescent="0.35">
      <c r="A1159" s="40" t="str">
        <f>IF(OR(_xlfn.XLOOKUP("17.03bISO23894Organizational.10",Assessment!H:H,Assessment!E:E)="yes"),"Yes","No")</f>
        <v>Yes</v>
      </c>
      <c r="B1159" s="40" t="s">
        <v>7829</v>
      </c>
      <c r="C1159" s="40" t="s">
        <v>8083</v>
      </c>
      <c r="D1159" s="40" t="s">
        <v>9236</v>
      </c>
      <c r="E1159" s="40" t="s">
        <v>8599</v>
      </c>
    </row>
    <row r="1160" spans="1:5" x14ac:dyDescent="0.35">
      <c r="A1160" s="40" t="str">
        <f>IF(OR(_xlfn.XLOOKUP("17.03bISO23894Organizational.10",Assessment!H:H,Assessment!E:E)="yes"),"Yes","No")</f>
        <v>Yes</v>
      </c>
      <c r="B1160" s="40" t="s">
        <v>7829</v>
      </c>
      <c r="C1160" s="40" t="s">
        <v>8083</v>
      </c>
      <c r="D1160" s="40" t="s">
        <v>9237</v>
      </c>
      <c r="E1160" s="40" t="s">
        <v>8599</v>
      </c>
    </row>
    <row r="1161" spans="1:5" x14ac:dyDescent="0.35">
      <c r="A1161" s="40" t="str">
        <f>IF(OR(_xlfn.XLOOKUP("17.03aISO31000Organizational.4",Assessment!H:H,Assessment!E:E)="yes"),"Yes","No")</f>
        <v>Yes</v>
      </c>
      <c r="B1161" s="40" t="s">
        <v>7829</v>
      </c>
      <c r="C1161" s="40" t="s">
        <v>8083</v>
      </c>
      <c r="D1161" s="40" t="s">
        <v>9238</v>
      </c>
      <c r="E1161" s="40" t="s">
        <v>8775</v>
      </c>
    </row>
    <row r="1162" spans="1:5" x14ac:dyDescent="0.35">
      <c r="A1162" s="40" t="str">
        <f>IF(OR(_xlfn.XLOOKUP("17.03aISO31000Organizational.4",Assessment!H:H,Assessment!E:E)="yes"),"Yes","No")</f>
        <v>Yes</v>
      </c>
      <c r="B1162" s="40" t="s">
        <v>7829</v>
      </c>
      <c r="C1162" s="40" t="s">
        <v>8083</v>
      </c>
      <c r="D1162" s="40" t="s">
        <v>9239</v>
      </c>
      <c r="E1162" s="40" t="s">
        <v>8775</v>
      </c>
    </row>
    <row r="1163" spans="1:5" x14ac:dyDescent="0.35">
      <c r="A1163" s="40" t="str">
        <f>IF(OR(_xlfn.XLOOKUP("17.03aISO31000Organizational.11",Assessment!H:H,Assessment!E:E)="yes"),"Yes","No")</f>
        <v>Yes</v>
      </c>
      <c r="B1163" s="40" t="s">
        <v>7829</v>
      </c>
      <c r="C1163" s="40" t="s">
        <v>8083</v>
      </c>
      <c r="D1163" s="40" t="s">
        <v>9240</v>
      </c>
      <c r="E1163" s="40" t="s">
        <v>8775</v>
      </c>
    </row>
    <row r="1164" spans="1:5" x14ac:dyDescent="0.35">
      <c r="A1164" s="40" t="str">
        <f>IF(OR(_xlfn.XLOOKUP("17.03aISO31000Organizational.11",Assessment!H:H,Assessment!E:E)="yes"),"Yes","No")</f>
        <v>Yes</v>
      </c>
      <c r="B1164" s="40" t="s">
        <v>7829</v>
      </c>
      <c r="C1164" s="40" t="s">
        <v>8083</v>
      </c>
      <c r="D1164" s="40" t="s">
        <v>9241</v>
      </c>
      <c r="E1164" s="40" t="s">
        <v>8775</v>
      </c>
    </row>
    <row r="1165" spans="1:5" x14ac:dyDescent="0.35">
      <c r="A1165" s="40" t="str">
        <f>IF(OR(_xlfn.XLOOKUP("17.03aISO31000Organizational.14",Assessment!H:H,Assessment!E:E)="yes"),"Yes","No")</f>
        <v>Yes</v>
      </c>
      <c r="B1165" s="40" t="s">
        <v>7829</v>
      </c>
      <c r="C1165" s="40" t="s">
        <v>8083</v>
      </c>
      <c r="D1165" s="40" t="s">
        <v>9242</v>
      </c>
      <c r="E1165" s="40" t="s">
        <v>8775</v>
      </c>
    </row>
    <row r="1166" spans="1:5" x14ac:dyDescent="0.35">
      <c r="A1166" s="40" t="str">
        <f>IF(OR(_xlfn.XLOOKUP("17.03aISO31000Organizational.14",Assessment!H:H,Assessment!E:E)="yes"),"Yes","No")</f>
        <v>Yes</v>
      </c>
      <c r="B1166" s="40" t="s">
        <v>7829</v>
      </c>
      <c r="C1166" s="40" t="s">
        <v>8083</v>
      </c>
      <c r="D1166" s="40" t="s">
        <v>9243</v>
      </c>
      <c r="E1166" s="40" t="s">
        <v>8775</v>
      </c>
    </row>
    <row r="1167" spans="1:5" x14ac:dyDescent="0.35">
      <c r="A1167" s="40" t="str">
        <f>IF(OR(_xlfn.XLOOKUP("17.03aISO31000Organizational.14",Assessment!H:H,Assessment!E:E)="yes"),"Yes","No")</f>
        <v>Yes</v>
      </c>
      <c r="B1167" s="40" t="s">
        <v>7829</v>
      </c>
      <c r="C1167" s="40" t="s">
        <v>8083</v>
      </c>
      <c r="D1167" s="40" t="s">
        <v>9244</v>
      </c>
      <c r="E1167" s="40" t="s">
        <v>8775</v>
      </c>
    </row>
    <row r="1168" spans="1:5" x14ac:dyDescent="0.35">
      <c r="A1168" s="40" t="str">
        <f>IF(OR(_xlfn.XLOOKUP("17.03aISO31000Organizational.17",Assessment!H:H,Assessment!E:E)="yes"),"Yes","No")</f>
        <v>Yes</v>
      </c>
      <c r="B1168" s="40" t="s">
        <v>7829</v>
      </c>
      <c r="C1168" s="40" t="s">
        <v>8083</v>
      </c>
      <c r="D1168" s="40" t="s">
        <v>9245</v>
      </c>
      <c r="E1168" s="40" t="s">
        <v>8775</v>
      </c>
    </row>
    <row r="1169" spans="1:5" x14ac:dyDescent="0.35">
      <c r="A1169" s="40" t="str">
        <f>IF(OR(_xlfn.XLOOKUP("17.03aISO31000Organizational.4",Assessment!H:H,Assessment!E:E)="yes"),"Yes","No")</f>
        <v>Yes</v>
      </c>
      <c r="B1169" s="40" t="s">
        <v>7829</v>
      </c>
      <c r="C1169" s="40" t="s">
        <v>8083</v>
      </c>
      <c r="D1169" s="40" t="s">
        <v>9246</v>
      </c>
      <c r="E1169" s="40" t="s">
        <v>8775</v>
      </c>
    </row>
    <row r="1170" spans="1:5" x14ac:dyDescent="0.35">
      <c r="A1170" s="40" t="str">
        <f>IF(OR(_xlfn.XLOOKUP("17.03aISO31000Organizational.4",Assessment!H:H,Assessment!E:E)="yes"),"Yes","No")</f>
        <v>Yes</v>
      </c>
      <c r="B1170" s="40" t="s">
        <v>7829</v>
      </c>
      <c r="C1170" s="40" t="s">
        <v>8083</v>
      </c>
      <c r="D1170" s="40" t="s">
        <v>9247</v>
      </c>
      <c r="E1170" s="40" t="s">
        <v>8775</v>
      </c>
    </row>
    <row r="1171" spans="1:5" x14ac:dyDescent="0.35">
      <c r="A1171" s="40" t="str">
        <f>IF(OR(_xlfn.XLOOKUP("17.03aISO31000Organizational.8",Assessment!H:H,Assessment!E:E)="yes"),"Yes","No")</f>
        <v>Yes</v>
      </c>
      <c r="B1171" s="40" t="s">
        <v>7829</v>
      </c>
      <c r="C1171" s="40" t="s">
        <v>8083</v>
      </c>
      <c r="D1171" s="40" t="s">
        <v>9248</v>
      </c>
      <c r="E1171" s="40" t="s">
        <v>8775</v>
      </c>
    </row>
    <row r="1172" spans="1:5" x14ac:dyDescent="0.35">
      <c r="A1172" s="40" t="str">
        <f>IF(OR(_xlfn.XLOOKUP("17.03aISO31000Organizational.8",Assessment!H:H,Assessment!E:E)="yes"),"Yes","No")</f>
        <v>Yes</v>
      </c>
      <c r="B1172" s="40" t="s">
        <v>7829</v>
      </c>
      <c r="C1172" s="40" t="s">
        <v>8083</v>
      </c>
      <c r="D1172" s="40" t="s">
        <v>9249</v>
      </c>
      <c r="E1172" s="40" t="s">
        <v>8775</v>
      </c>
    </row>
    <row r="1173" spans="1:5" x14ac:dyDescent="0.35">
      <c r="A1173" s="40" t="str">
        <f>IF(OR(_xlfn.XLOOKUP("17.03aISO31000Organizational.10",Assessment!H:H,Assessment!E:E)="yes"),"Yes","No")</f>
        <v>Yes</v>
      </c>
      <c r="B1173" s="40" t="s">
        <v>7829</v>
      </c>
      <c r="C1173" s="40" t="s">
        <v>8083</v>
      </c>
      <c r="D1173" s="40" t="s">
        <v>9250</v>
      </c>
      <c r="E1173" s="40" t="s">
        <v>8775</v>
      </c>
    </row>
    <row r="1174" spans="1:5" x14ac:dyDescent="0.35">
      <c r="A1174" s="40" t="str">
        <f>IF(OR(_xlfn.XLOOKUP("17.03aISO31000Organizational.13",Assessment!H:H,Assessment!E:E)="yes"),"Yes","No")</f>
        <v>Yes</v>
      </c>
      <c r="B1174" s="40" t="s">
        <v>7829</v>
      </c>
      <c r="C1174" s="40" t="s">
        <v>8083</v>
      </c>
      <c r="D1174" s="40" t="s">
        <v>9251</v>
      </c>
      <c r="E1174" s="40" t="s">
        <v>8775</v>
      </c>
    </row>
    <row r="1175" spans="1:5" x14ac:dyDescent="0.35">
      <c r="A1175" s="40" t="str">
        <f>IF(OR(_xlfn.XLOOKUP("17.03aISO31000Organizational.13",Assessment!H:H,Assessment!E:E)="yes"),"Yes","No")</f>
        <v>Yes</v>
      </c>
      <c r="B1175" s="40" t="s">
        <v>7829</v>
      </c>
      <c r="C1175" s="40" t="s">
        <v>8083</v>
      </c>
      <c r="D1175" s="40" t="s">
        <v>9252</v>
      </c>
      <c r="E1175" s="40" t="s">
        <v>8775</v>
      </c>
    </row>
    <row r="1176" spans="1:5" x14ac:dyDescent="0.35">
      <c r="A1176" s="40" t="str">
        <f>IF(OR(_xlfn.XLOOKUP("17.03aISO31000Organizational.16",Assessment!H:H,Assessment!E:E)="yes"),"Yes","No")</f>
        <v>Yes</v>
      </c>
      <c r="B1176" s="40" t="s">
        <v>7829</v>
      </c>
      <c r="C1176" s="40" t="s">
        <v>8083</v>
      </c>
      <c r="D1176" s="40" t="s">
        <v>9253</v>
      </c>
      <c r="E1176" s="40" t="s">
        <v>8775</v>
      </c>
    </row>
    <row r="1177" spans="1:5" x14ac:dyDescent="0.35">
      <c r="A1177" s="40" t="str">
        <f>IF(OR(_xlfn.XLOOKUP("17.03aISO31000Organizational.6",Assessment!H:H,Assessment!E:E)="yes"),"Yes","No")</f>
        <v>Yes</v>
      </c>
      <c r="B1177" s="40" t="s">
        <v>7829</v>
      </c>
      <c r="C1177" s="40" t="s">
        <v>8083</v>
      </c>
      <c r="D1177" s="40" t="s">
        <v>9254</v>
      </c>
      <c r="E1177" s="40" t="s">
        <v>8775</v>
      </c>
    </row>
    <row r="1178" spans="1:5" x14ac:dyDescent="0.35">
      <c r="A1178" s="40" t="str">
        <f>IF(OR(_xlfn.XLOOKUP("17.03aISO31000Organizational.7",Assessment!H:H,Assessment!E:E)="yes"),"Yes","No")</f>
        <v>Yes</v>
      </c>
      <c r="B1178" s="40" t="s">
        <v>7829</v>
      </c>
      <c r="C1178" s="40" t="s">
        <v>8083</v>
      </c>
      <c r="D1178" s="40" t="s">
        <v>9255</v>
      </c>
      <c r="E1178" s="40" t="s">
        <v>8775</v>
      </c>
    </row>
    <row r="1179" spans="1:5" x14ac:dyDescent="0.35">
      <c r="A1179" s="40" t="str">
        <f>IF(OR(_xlfn.XLOOKUP("17.03bISO23894Organizational.11",Assessment!H:H,Assessment!E:E)="yes"),"Yes","No")</f>
        <v>Yes</v>
      </c>
      <c r="B1179" s="40" t="s">
        <v>7829</v>
      </c>
      <c r="C1179" s="40" t="s">
        <v>8083</v>
      </c>
      <c r="D1179" s="40" t="s">
        <v>9256</v>
      </c>
      <c r="E1179" s="40" t="s">
        <v>8599</v>
      </c>
    </row>
    <row r="1180" spans="1:5" x14ac:dyDescent="0.35">
      <c r="A1180" s="40" t="str">
        <f>IF(OR(_xlfn.XLOOKUP("17.03aISO31000Organizational.9",Assessment!H:H,Assessment!E:E)="yes"),"Yes","No")</f>
        <v>Yes</v>
      </c>
      <c r="B1180" s="40" t="s">
        <v>7829</v>
      </c>
      <c r="C1180" s="40" t="s">
        <v>8083</v>
      </c>
      <c r="D1180" s="40" t="s">
        <v>9257</v>
      </c>
      <c r="E1180" s="40" t="s">
        <v>8775</v>
      </c>
    </row>
    <row r="1181" spans="1:5" x14ac:dyDescent="0.35">
      <c r="A1181" s="40" t="str">
        <f>IF(OR(_xlfn.XLOOKUP("17.03aISO31000Organizational.9",Assessment!H:H,Assessment!E:E)="yes"),"Yes","No")</f>
        <v>Yes</v>
      </c>
      <c r="B1181" s="40" t="s">
        <v>7829</v>
      </c>
      <c r="C1181" s="40" t="s">
        <v>8083</v>
      </c>
      <c r="D1181" s="40" t="s">
        <v>9258</v>
      </c>
      <c r="E1181" s="40" t="s">
        <v>8775</v>
      </c>
    </row>
    <row r="1182" spans="1:5" x14ac:dyDescent="0.35">
      <c r="A1182" s="40" t="str">
        <f>IF(OR(_xlfn.XLOOKUP("17.03aISO31000Organizational.9",Assessment!H:H,Assessment!E:E)="yes"),"Yes","No")</f>
        <v>Yes</v>
      </c>
      <c r="B1182" s="40" t="s">
        <v>7829</v>
      </c>
      <c r="C1182" s="40" t="s">
        <v>8083</v>
      </c>
      <c r="D1182" s="40" t="s">
        <v>9259</v>
      </c>
      <c r="E1182" s="40" t="s">
        <v>8775</v>
      </c>
    </row>
    <row r="1183" spans="1:5" x14ac:dyDescent="0.35">
      <c r="A1183" s="40" t="str">
        <f>IF(OR(_xlfn.XLOOKUP("17.03aISO31000Organizational.9",Assessment!H:H,Assessment!E:E)="yes"),"Yes","No")</f>
        <v>Yes</v>
      </c>
      <c r="B1183" s="40" t="s">
        <v>7829</v>
      </c>
      <c r="C1183" s="40" t="s">
        <v>8083</v>
      </c>
      <c r="D1183" s="40" t="s">
        <v>9260</v>
      </c>
      <c r="E1183" s="40" t="s">
        <v>8775</v>
      </c>
    </row>
    <row r="1184" spans="1:5" x14ac:dyDescent="0.35">
      <c r="A1184" s="40" t="str">
        <f>IF(OR(_xlfn.XLOOKUP("17.03aISO31000Organizational.9",Assessment!H:H,Assessment!E:E)="yes"),"Yes","No")</f>
        <v>Yes</v>
      </c>
      <c r="B1184" s="40" t="s">
        <v>7829</v>
      </c>
      <c r="C1184" s="40" t="s">
        <v>8083</v>
      </c>
      <c r="D1184" s="40" t="s">
        <v>9261</v>
      </c>
      <c r="E1184" s="40" t="s">
        <v>8775</v>
      </c>
    </row>
    <row r="1185" spans="1:5" x14ac:dyDescent="0.35">
      <c r="A1185" s="40" t="str">
        <f>IF(OR(_xlfn.XLOOKUP("17.03aISO31000Organizational.9",Assessment!H:H,Assessment!E:E)="yes"),"Yes","No")</f>
        <v>Yes</v>
      </c>
      <c r="B1185" s="40" t="s">
        <v>7829</v>
      </c>
      <c r="C1185" s="40" t="s">
        <v>8083</v>
      </c>
      <c r="D1185" s="40" t="s">
        <v>9262</v>
      </c>
      <c r="E1185" s="40" t="s">
        <v>8775</v>
      </c>
    </row>
    <row r="1186" spans="1:5" x14ac:dyDescent="0.35">
      <c r="A1186" s="40" t="str">
        <f>IF(OR(_xlfn.XLOOKUP("17.03aISO31000Organizational.9",Assessment!H:H,Assessment!E:E)="yes"),"Yes","No")</f>
        <v>Yes</v>
      </c>
      <c r="B1186" s="40" t="s">
        <v>7829</v>
      </c>
      <c r="C1186" s="40" t="s">
        <v>8083</v>
      </c>
      <c r="D1186" s="40" t="s">
        <v>9263</v>
      </c>
      <c r="E1186" s="40" t="s">
        <v>8775</v>
      </c>
    </row>
    <row r="1187" spans="1:5" x14ac:dyDescent="0.35">
      <c r="A1187" s="40" t="str">
        <f>IF(OR(_xlfn.XLOOKUP("17.03bISO31000Organizational.1",Assessment!H:H,Assessment!E:E)="yes"),"Yes","No")</f>
        <v>Yes</v>
      </c>
      <c r="B1187" s="40" t="s">
        <v>7829</v>
      </c>
      <c r="C1187" s="40" t="s">
        <v>8083</v>
      </c>
      <c r="D1187" s="40" t="s">
        <v>9264</v>
      </c>
      <c r="E1187" s="40" t="s">
        <v>8599</v>
      </c>
    </row>
    <row r="1188" spans="1:5" x14ac:dyDescent="0.35">
      <c r="A1188" s="40" t="str">
        <f>IF(OR(_xlfn.XLOOKUP("17.03bISO31000Organizational.1",Assessment!H:H,Assessment!E:E)="yes"),"Yes","No")</f>
        <v>Yes</v>
      </c>
      <c r="B1188" s="40" t="s">
        <v>7829</v>
      </c>
      <c r="C1188" s="40" t="s">
        <v>8083</v>
      </c>
      <c r="D1188" s="40" t="s">
        <v>9265</v>
      </c>
      <c r="E1188" s="40" t="s">
        <v>8599</v>
      </c>
    </row>
    <row r="1189" spans="1:5" x14ac:dyDescent="0.35">
      <c r="A1189" s="40" t="str">
        <f>IF(OR(_xlfn.XLOOKUP("17.03bISO23894Organizational.15",Assessment!H:H,Assessment!E:E)="yes",_xlfn.XLOOKUP("17.03bISO23894Organizational.17",Assessment!H:H,Assessment!E:E)="yes"),"Yes","No")</f>
        <v>Yes</v>
      </c>
      <c r="B1189" s="40" t="s">
        <v>7829</v>
      </c>
      <c r="C1189" s="40" t="s">
        <v>8083</v>
      </c>
      <c r="D1189" s="40" t="s">
        <v>9266</v>
      </c>
      <c r="E1189" s="40" t="s">
        <v>8599</v>
      </c>
    </row>
    <row r="1190" spans="1:5" x14ac:dyDescent="0.35">
      <c r="A1190" s="40" t="str">
        <f>IF(OR(_xlfn.XLOOKUP("17.03bISO23894Organizational.15",Assessment!H:H,Assessment!E:E)="yes"),"Yes","No")</f>
        <v>Yes</v>
      </c>
      <c r="B1190" s="40" t="s">
        <v>7829</v>
      </c>
      <c r="C1190" s="40" t="s">
        <v>8083</v>
      </c>
      <c r="D1190" s="40" t="s">
        <v>9267</v>
      </c>
      <c r="E1190" s="40" t="s">
        <v>8599</v>
      </c>
    </row>
    <row r="1191" spans="1:5" x14ac:dyDescent="0.35">
      <c r="A1191" s="40" t="str">
        <f>IF(OR(_xlfn.XLOOKUP("17.03bISO23894Organizational.15",Assessment!H:H,Assessment!E:E)="yes"),"Yes","No")</f>
        <v>Yes</v>
      </c>
      <c r="B1191" s="40" t="s">
        <v>7829</v>
      </c>
      <c r="C1191" s="40" t="s">
        <v>8083</v>
      </c>
      <c r="D1191" s="40" t="s">
        <v>9268</v>
      </c>
      <c r="E1191" s="40" t="s">
        <v>8599</v>
      </c>
    </row>
    <row r="1192" spans="1:5" x14ac:dyDescent="0.35">
      <c r="A1192" s="40" t="str">
        <f>IF(OR(_xlfn.XLOOKUP("17.03bISO23894Organizational.15",Assessment!H:H,Assessment!E:E)="yes"),"Yes","No")</f>
        <v>Yes</v>
      </c>
      <c r="B1192" s="40" t="s">
        <v>7829</v>
      </c>
      <c r="C1192" s="40" t="s">
        <v>8083</v>
      </c>
      <c r="D1192" s="40" t="s">
        <v>9269</v>
      </c>
      <c r="E1192" s="40" t="s">
        <v>8599</v>
      </c>
    </row>
    <row r="1193" spans="1:5" x14ac:dyDescent="0.35">
      <c r="A1193" s="40" t="str">
        <f>IF(OR(_xlfn.XLOOKUP("17.03bISO23894Organizational.15",Assessment!H:H,Assessment!E:E)="yes"),"Yes","No")</f>
        <v>Yes</v>
      </c>
      <c r="B1193" s="40" t="s">
        <v>7829</v>
      </c>
      <c r="C1193" s="40" t="s">
        <v>8083</v>
      </c>
      <c r="D1193" s="40" t="s">
        <v>9270</v>
      </c>
      <c r="E1193" s="40" t="s">
        <v>8599</v>
      </c>
    </row>
    <row r="1194" spans="1:5" x14ac:dyDescent="0.35">
      <c r="A1194" s="40" t="str">
        <f>IF(OR(_xlfn.XLOOKUP("17.03bISO23894Organizational.15",Assessment!H:H,Assessment!E:E)="yes"),"Yes","No")</f>
        <v>Yes</v>
      </c>
      <c r="B1194" s="40" t="s">
        <v>7829</v>
      </c>
      <c r="C1194" s="40" t="s">
        <v>8083</v>
      </c>
      <c r="D1194" s="40" t="s">
        <v>9271</v>
      </c>
      <c r="E1194" s="40" t="s">
        <v>8599</v>
      </c>
    </row>
    <row r="1195" spans="1:5" x14ac:dyDescent="0.35">
      <c r="A1195" s="40" t="str">
        <f>IF(OR(_xlfn.XLOOKUP("17.03bISO23894Organizational.15",Assessment!H:H,Assessment!E:E)="yes"),"Yes","No")</f>
        <v>Yes</v>
      </c>
      <c r="B1195" s="40" t="s">
        <v>7829</v>
      </c>
      <c r="C1195" s="40" t="s">
        <v>8083</v>
      </c>
      <c r="D1195" s="40" t="s">
        <v>9272</v>
      </c>
      <c r="E1195" s="40" t="s">
        <v>8599</v>
      </c>
    </row>
    <row r="1196" spans="1:5" x14ac:dyDescent="0.35">
      <c r="A1196" s="40" t="str">
        <f>IF(OR(_xlfn.XLOOKUP("17.03bISO23894Organizational.15",Assessment!H:H,Assessment!E:E)="yes"),"Yes","No")</f>
        <v>Yes</v>
      </c>
      <c r="B1196" s="40" t="s">
        <v>7829</v>
      </c>
      <c r="C1196" s="40" t="s">
        <v>8083</v>
      </c>
      <c r="D1196" s="40" t="s">
        <v>9273</v>
      </c>
      <c r="E1196" s="40" t="s">
        <v>8599</v>
      </c>
    </row>
    <row r="1197" spans="1:5" x14ac:dyDescent="0.35">
      <c r="A1197" s="40" t="str">
        <f>IF(OR(_xlfn.XLOOKUP("17.03bISO23894Organizational.17",Assessment!H:H,Assessment!E:E)="yes"),"Yes","No")</f>
        <v>Yes</v>
      </c>
      <c r="B1197" s="40" t="s">
        <v>7829</v>
      </c>
      <c r="C1197" s="40" t="s">
        <v>8083</v>
      </c>
      <c r="D1197" s="40" t="s">
        <v>9274</v>
      </c>
      <c r="E1197" s="40" t="s">
        <v>8599</v>
      </c>
    </row>
    <row r="1198" spans="1:5" x14ac:dyDescent="0.35">
      <c r="A1198" s="40" t="str">
        <f>IF(OR(_xlfn.XLOOKUP("17.03bISO23894Organizational.17",Assessment!H:H,Assessment!E:E)="yes"),"Yes","No")</f>
        <v>Yes</v>
      </c>
      <c r="B1198" s="40" t="s">
        <v>7829</v>
      </c>
      <c r="C1198" s="40" t="s">
        <v>8083</v>
      </c>
      <c r="D1198" s="40" t="s">
        <v>9275</v>
      </c>
      <c r="E1198" s="40" t="s">
        <v>8599</v>
      </c>
    </row>
    <row r="1199" spans="1:5" x14ac:dyDescent="0.35">
      <c r="A1199" s="40" t="str">
        <f>IF(OR(_xlfn.XLOOKUP("17.03bISO23894Organizational.17",Assessment!H:H,Assessment!E:E)="yes"),"Yes","No")</f>
        <v>Yes</v>
      </c>
      <c r="B1199" s="40" t="s">
        <v>7829</v>
      </c>
      <c r="C1199" s="40" t="s">
        <v>8083</v>
      </c>
      <c r="D1199" s="40" t="s">
        <v>9276</v>
      </c>
      <c r="E1199" s="40" t="s">
        <v>8599</v>
      </c>
    </row>
    <row r="1200" spans="1:5" x14ac:dyDescent="0.35">
      <c r="A1200" s="40" t="str">
        <f>IF(OR(_xlfn.XLOOKUP("17.03bISO23894Organizational.17",Assessment!H:H,Assessment!E:E)="yes"),"Yes","No")</f>
        <v>Yes</v>
      </c>
      <c r="B1200" s="40" t="s">
        <v>7829</v>
      </c>
      <c r="C1200" s="40" t="s">
        <v>8083</v>
      </c>
      <c r="D1200" s="40" t="s">
        <v>9277</v>
      </c>
      <c r="E1200" s="40" t="s">
        <v>8599</v>
      </c>
    </row>
    <row r="1201" spans="1:5" x14ac:dyDescent="0.35">
      <c r="A1201" s="40" t="str">
        <f>IF(OR(_xlfn.XLOOKUP("17.03bISO23894Organizational.17",Assessment!H:H,Assessment!E:E)="yes"),"Yes","No")</f>
        <v>Yes</v>
      </c>
      <c r="B1201" s="40" t="s">
        <v>7829</v>
      </c>
      <c r="C1201" s="40" t="s">
        <v>8083</v>
      </c>
      <c r="D1201" s="40" t="s">
        <v>9278</v>
      </c>
      <c r="E1201" s="40" t="s">
        <v>8599</v>
      </c>
    </row>
    <row r="1202" spans="1:5" x14ac:dyDescent="0.35">
      <c r="A1202" s="40" t="str">
        <f>IF(OR(_xlfn.XLOOKUP("17.03bISO23894Organizational.17",Assessment!H:H,Assessment!E:E)="yes"),"Yes","No")</f>
        <v>Yes</v>
      </c>
      <c r="B1202" s="40" t="s">
        <v>7829</v>
      </c>
      <c r="C1202" s="40" t="s">
        <v>8083</v>
      </c>
      <c r="D1202" s="40" t="s">
        <v>9279</v>
      </c>
      <c r="E1202" s="40" t="s">
        <v>8599</v>
      </c>
    </row>
    <row r="1203" spans="1:5" x14ac:dyDescent="0.35">
      <c r="A1203" s="40" t="str">
        <f>IF(OR(_xlfn.XLOOKUP("17.03bISO23894Organizational.17",Assessment!H:H,Assessment!E:E)="yes"),"Yes","No")</f>
        <v>Yes</v>
      </c>
      <c r="B1203" s="40" t="s">
        <v>7829</v>
      </c>
      <c r="C1203" s="40" t="s">
        <v>8083</v>
      </c>
      <c r="D1203" s="40" t="s">
        <v>9280</v>
      </c>
      <c r="E1203" s="40" t="s">
        <v>8599</v>
      </c>
    </row>
    <row r="1204" spans="1:5" x14ac:dyDescent="0.35">
      <c r="A1204" s="40" t="str">
        <f>IF(OR(_xlfn.XLOOKUP("17.03bISO23894Organizational.17",Assessment!H:H,Assessment!E:E)="yes"),"Yes","No")</f>
        <v>Yes</v>
      </c>
      <c r="B1204" s="40" t="s">
        <v>7829</v>
      </c>
      <c r="C1204" s="40" t="s">
        <v>8083</v>
      </c>
      <c r="D1204" s="40" t="s">
        <v>9281</v>
      </c>
      <c r="E1204" s="40" t="s">
        <v>8599</v>
      </c>
    </row>
    <row r="1205" spans="1:5" x14ac:dyDescent="0.35">
      <c r="A1205" s="40" t="str">
        <f>IF(OR(_xlfn.XLOOKUP("17.03bISO23894Organizational.15",Assessment!H:H,Assessment!E:E)="yes"),"Yes","No")</f>
        <v>Yes</v>
      </c>
      <c r="B1205" s="40" t="s">
        <v>7829</v>
      </c>
      <c r="C1205" s="40" t="s">
        <v>8083</v>
      </c>
      <c r="D1205" s="40" t="s">
        <v>9282</v>
      </c>
      <c r="E1205" s="40" t="s">
        <v>8599</v>
      </c>
    </row>
    <row r="1206" spans="1:5" x14ac:dyDescent="0.35">
      <c r="A1206" s="40" t="str">
        <f>IF(OR(_xlfn.XLOOKUP("17.03bISO23894Organizational.15",Assessment!H:H,Assessment!E:E)="yes"),"Yes","No")</f>
        <v>Yes</v>
      </c>
      <c r="B1206" s="40" t="s">
        <v>7829</v>
      </c>
      <c r="C1206" s="40" t="s">
        <v>8083</v>
      </c>
      <c r="D1206" s="40" t="s">
        <v>9283</v>
      </c>
      <c r="E1206" s="40" t="s">
        <v>8599</v>
      </c>
    </row>
    <row r="1207" spans="1:5" x14ac:dyDescent="0.35">
      <c r="A1207" s="40" t="str">
        <f>IF(OR(_xlfn.XLOOKUP("17.03bISO23894Organizational.15",Assessment!H:H,Assessment!E:E)="yes"),"Yes","No")</f>
        <v>Yes</v>
      </c>
      <c r="B1207" s="40" t="s">
        <v>7829</v>
      </c>
      <c r="C1207" s="40" t="s">
        <v>8083</v>
      </c>
      <c r="D1207" s="40" t="s">
        <v>9284</v>
      </c>
      <c r="E1207" s="40" t="s">
        <v>8599</v>
      </c>
    </row>
    <row r="1208" spans="1:5" x14ac:dyDescent="0.35">
      <c r="A1208" s="40" t="str">
        <f>IF(OR(_xlfn.XLOOKUP("17.03bISO23894Organizational.16",Assessment!H:H,Assessment!E:E)="yes"),"Yes","No")</f>
        <v>Yes</v>
      </c>
      <c r="B1208" s="40" t="s">
        <v>7829</v>
      </c>
      <c r="C1208" s="40" t="s">
        <v>8083</v>
      </c>
      <c r="D1208" s="40" t="s">
        <v>9285</v>
      </c>
      <c r="E1208" s="40" t="s">
        <v>8599</v>
      </c>
    </row>
    <row r="1209" spans="1:5" x14ac:dyDescent="0.35">
      <c r="A1209" s="40" t="str">
        <f>IF(OR(_xlfn.XLOOKUP("17.03bISO23894Organizational.16",Assessment!H:H,Assessment!E:E)="yes"),"Yes","No")</f>
        <v>Yes</v>
      </c>
      <c r="B1209" s="40" t="s">
        <v>7829</v>
      </c>
      <c r="C1209" s="40" t="s">
        <v>8083</v>
      </c>
      <c r="D1209" s="40" t="s">
        <v>9286</v>
      </c>
      <c r="E1209" s="40" t="s">
        <v>8599</v>
      </c>
    </row>
    <row r="1210" spans="1:5" x14ac:dyDescent="0.35">
      <c r="A1210" s="40" t="str">
        <f>IF(OR(_xlfn.XLOOKUP("17.03bISO23894Organizational.16",Assessment!H:H,Assessment!E:E)="yes"),"Yes","No")</f>
        <v>Yes</v>
      </c>
      <c r="B1210" s="40" t="s">
        <v>7829</v>
      </c>
      <c r="C1210" s="40" t="s">
        <v>8083</v>
      </c>
      <c r="D1210" s="40" t="s">
        <v>9287</v>
      </c>
      <c r="E1210" s="40" t="s">
        <v>8599</v>
      </c>
    </row>
    <row r="1211" spans="1:5" x14ac:dyDescent="0.35">
      <c r="A1211" s="40" t="str">
        <f>IF(OR(_xlfn.XLOOKUP("17.03dISO23894Organizational.1",Assessment!H:H,Assessment!E:E)="yes"),"Yes","No")</f>
        <v>Yes</v>
      </c>
      <c r="B1211" s="40" t="s">
        <v>7829</v>
      </c>
      <c r="C1211" s="40" t="s">
        <v>8083</v>
      </c>
      <c r="D1211" s="40" t="s">
        <v>9288</v>
      </c>
      <c r="E1211" s="40" t="s">
        <v>9101</v>
      </c>
    </row>
    <row r="1212" spans="1:5" x14ac:dyDescent="0.35">
      <c r="A1212" s="40" t="str">
        <f>IF(OR(_xlfn.XLOOKUP("17.03aISO31000Organizational.10",Assessment!H:H,Assessment!E:E)="yes",_xlfn.XLOOKUP("17.03cISO31000Organizational.1",Assessment!H:H,Assessment!E:E)="yes"),"Yes","No")</f>
        <v>Yes</v>
      </c>
      <c r="B1212" s="40" t="s">
        <v>7829</v>
      </c>
      <c r="C1212" s="40" t="s">
        <v>7835</v>
      </c>
      <c r="D1212" s="40" t="s">
        <v>9289</v>
      </c>
      <c r="E1212" s="40" t="s">
        <v>7835</v>
      </c>
    </row>
    <row r="1213" spans="1:5" x14ac:dyDescent="0.35">
      <c r="A1213" s="40" t="str">
        <f>IF(OR(_xlfn.XLOOKUP("17.03cISO31000Organizational.1",Assessment!H:H,Assessment!E:E)="yes"),"Yes","No")</f>
        <v>Yes</v>
      </c>
      <c r="B1213" s="40" t="s">
        <v>7829</v>
      </c>
      <c r="C1213" s="40" t="s">
        <v>7835</v>
      </c>
      <c r="D1213" s="40" t="s">
        <v>9290</v>
      </c>
      <c r="E1213" s="40" t="s">
        <v>7835</v>
      </c>
    </row>
    <row r="1214" spans="1:5" x14ac:dyDescent="0.35">
      <c r="A1214" s="40" t="str">
        <f>IF(OR(_xlfn.XLOOKUP("17.03cISO31000Organizational.1",Assessment!H:H,Assessment!E:E)="yes"),"Yes","No")</f>
        <v>Yes</v>
      </c>
      <c r="B1214" s="40" t="s">
        <v>7829</v>
      </c>
      <c r="C1214" s="40" t="s">
        <v>7835</v>
      </c>
      <c r="D1214" s="40" t="s">
        <v>9291</v>
      </c>
      <c r="E1214" s="40" t="s">
        <v>7835</v>
      </c>
    </row>
    <row r="1215" spans="1:5" x14ac:dyDescent="0.35">
      <c r="A1215" s="40" t="str">
        <f>IF(OR(_xlfn.XLOOKUP("17.03aISO31000Organizational.15",Assessment!H:H,Assessment!E:E)="yes"),"Yes","No")</f>
        <v>Yes</v>
      </c>
      <c r="B1215" s="40" t="s">
        <v>7829</v>
      </c>
      <c r="C1215" s="40" t="s">
        <v>7835</v>
      </c>
      <c r="D1215" s="40" t="s">
        <v>9292</v>
      </c>
      <c r="E1215" s="40" t="s">
        <v>7835</v>
      </c>
    </row>
    <row r="1216" spans="1:5" x14ac:dyDescent="0.35">
      <c r="A1216" s="40" t="str">
        <f>IF(OR(_xlfn.XLOOKUP("17.03aISO31000Organizational.10",Assessment!H:H,Assessment!E:E)="yes",_xlfn.XLOOKUP("17.03cISO31000Organizational.1",Assessment!H:H,Assessment!E:E)="yes"),"Yes","No")</f>
        <v>Yes</v>
      </c>
      <c r="B1216" s="40" t="s">
        <v>7829</v>
      </c>
      <c r="C1216" s="40" t="s">
        <v>8083</v>
      </c>
      <c r="D1216" s="40" t="s">
        <v>9293</v>
      </c>
      <c r="E1216" s="40" t="s">
        <v>8085</v>
      </c>
    </row>
    <row r="1217" spans="1:5" x14ac:dyDescent="0.35">
      <c r="A1217" s="40" t="str">
        <f>IF(OR(_xlfn.XLOOKUP("17.03cISO31000Organizational.1",Assessment!H:H,Assessment!E:E)="yes"),"Yes","No")</f>
        <v>Yes</v>
      </c>
      <c r="B1217" s="40" t="s">
        <v>7829</v>
      </c>
      <c r="C1217" s="40" t="s">
        <v>8083</v>
      </c>
      <c r="D1217" s="40" t="s">
        <v>9294</v>
      </c>
      <c r="E1217" s="40" t="s">
        <v>8085</v>
      </c>
    </row>
    <row r="1218" spans="1:5" x14ac:dyDescent="0.35">
      <c r="A1218" s="40" t="str">
        <f>IF(OR(_xlfn.XLOOKUP("17.03cISO31000Organizational.1",Assessment!H:H,Assessment!E:E)="yes"),"Yes","No")</f>
        <v>Yes</v>
      </c>
      <c r="B1218" s="40" t="s">
        <v>7829</v>
      </c>
      <c r="C1218" s="40" t="s">
        <v>8083</v>
      </c>
      <c r="D1218" s="40" t="s">
        <v>9295</v>
      </c>
      <c r="E1218" s="40" t="s">
        <v>8085</v>
      </c>
    </row>
    <row r="1219" spans="1:5" x14ac:dyDescent="0.35">
      <c r="A1219" s="40" t="str">
        <f>IF(OR(_xlfn.XLOOKUP("17.03aISO31000Organizational.15",Assessment!H:H,Assessment!E:E)="yes"),"Yes","No")</f>
        <v>Yes</v>
      </c>
      <c r="B1219" s="40" t="s">
        <v>7829</v>
      </c>
      <c r="C1219" s="40" t="s">
        <v>8083</v>
      </c>
      <c r="D1219" s="40" t="s">
        <v>9296</v>
      </c>
      <c r="E1219" s="40" t="s">
        <v>8085</v>
      </c>
    </row>
    <row r="1220" spans="1:5" x14ac:dyDescent="0.35">
      <c r="A1220" s="40" t="str">
        <f>IF(OR(_xlfn.XLOOKUP("06.09bAISecSystem.1",Assessment!H:H,Assessment!E:E)="yes",_xlfn.XLOOKUP("06.10hAISecSystem.5",Assessment!H:H,Assessment!E:E)="yes",_xlfn.XLOOKUP("06.10hAISecSystem.7",Assessment!H:H,Assessment!E:E)="yes",_xlfn.XLOOKUP("07.10mAISecOrganizational.6",Assessment!H:H,Assessment!E:E)="yes"),"Yes","No")</f>
        <v>Yes</v>
      </c>
      <c r="B1220" s="40" t="s">
        <v>7829</v>
      </c>
      <c r="C1220" s="40" t="s">
        <v>7835</v>
      </c>
      <c r="D1220" s="40" t="s">
        <v>9297</v>
      </c>
      <c r="E1220" s="40" t="s">
        <v>7835</v>
      </c>
    </row>
    <row r="1221" spans="1:5" x14ac:dyDescent="0.35">
      <c r="A1221" s="40" t="str">
        <f>IF(OR(_xlfn.XLOOKUP("06.09bAISecSystem.1",Assessment!H:H,Assessment!E:E)="yes",_xlfn.XLOOKUP("06.10hAISecSystem.5",Assessment!H:H,Assessment!E:E)="yes",_xlfn.XLOOKUP("06.10hAISecSystem.7",Assessment!H:H,Assessment!E:E)="yes",_xlfn.XLOOKUP("07.10mAISecOrganizational.6",Assessment!H:H,Assessment!E:E)="yes"),"Yes","No")</f>
        <v>Yes</v>
      </c>
      <c r="B1221" s="40" t="s">
        <v>7829</v>
      </c>
      <c r="C1221" s="40" t="s">
        <v>8083</v>
      </c>
      <c r="D1221" s="40" t="s">
        <v>9298</v>
      </c>
      <c r="E1221" s="40" t="s">
        <v>8085</v>
      </c>
    </row>
    <row r="1222" spans="1:5" x14ac:dyDescent="0.35">
      <c r="A1222" s="40" t="str">
        <f>IF(OR(_xlfn.XLOOKUP("17.03bAISecOrganizational.4",Assessment!H:H,Assessment!E:E)="yes"),"Yes","No")</f>
        <v>Yes</v>
      </c>
      <c r="B1222" s="40" t="s">
        <v>7829</v>
      </c>
      <c r="C1222" s="40" t="s">
        <v>7835</v>
      </c>
      <c r="D1222" s="40" t="s">
        <v>9299</v>
      </c>
      <c r="E1222" s="40" t="s">
        <v>7835</v>
      </c>
    </row>
    <row r="1223" spans="1:5" x14ac:dyDescent="0.35">
      <c r="A1223" s="40" t="str">
        <f>IF(OR(_xlfn.XLOOKUP("17.03bAISecOrganizational.4",Assessment!H:H,Assessment!E:E)="yes"),"Yes","No")</f>
        <v>Yes</v>
      </c>
      <c r="B1223" s="40" t="s">
        <v>7829</v>
      </c>
      <c r="C1223" s="40" t="s">
        <v>8083</v>
      </c>
      <c r="D1223" s="40" t="s">
        <v>9300</v>
      </c>
      <c r="E1223" s="40" t="s">
        <v>8085</v>
      </c>
    </row>
    <row r="1224" spans="1:5" x14ac:dyDescent="0.35">
      <c r="A1224" s="40" t="str">
        <f>IF(OR(_xlfn.XLOOKUP("17.03bAISecOrganizational.5",Assessment!H:H,Assessment!E:E)="yes"),"Yes","No")</f>
        <v>Yes</v>
      </c>
      <c r="B1224" s="40" t="s">
        <v>7829</v>
      </c>
      <c r="C1224" s="40" t="s">
        <v>7835</v>
      </c>
      <c r="D1224" s="40" t="s">
        <v>9301</v>
      </c>
      <c r="E1224" s="40" t="s">
        <v>7835</v>
      </c>
    </row>
    <row r="1225" spans="1:5" x14ac:dyDescent="0.35">
      <c r="A1225" s="40" t="str">
        <f>IF(OR(_xlfn.XLOOKUP("17.03bAISecOrganizational.5",Assessment!H:H,Assessment!E:E)="yes"),"Yes","No")</f>
        <v>Yes</v>
      </c>
      <c r="B1225" s="40" t="s">
        <v>7829</v>
      </c>
      <c r="C1225" s="40" t="s">
        <v>8083</v>
      </c>
      <c r="D1225" s="40" t="s">
        <v>9302</v>
      </c>
      <c r="E1225" s="40" t="s">
        <v>8085</v>
      </c>
    </row>
    <row r="1226" spans="1:5" x14ac:dyDescent="0.35">
      <c r="A1226" s="40" t="str">
        <f>IF(OR(_xlfn.XLOOKUP("06.10jAISecSystem.1",Assessment!H:H,Assessment!E:E)="yes",_xlfn.XLOOKUP("07.07aAISecOrganizational.3",Assessment!H:H,Assessment!E:E)="yes"),"Yes","No")</f>
        <v>Yes</v>
      </c>
      <c r="B1226" s="40" t="s">
        <v>7829</v>
      </c>
      <c r="C1226" s="40" t="s">
        <v>8083</v>
      </c>
      <c r="D1226" s="40" t="s">
        <v>9303</v>
      </c>
      <c r="E1226" s="40" t="s">
        <v>8420</v>
      </c>
    </row>
    <row r="1227" spans="1:5" x14ac:dyDescent="0.35">
      <c r="A1227" s="40" t="str">
        <f>IF(OR(_xlfn.XLOOKUP("06.10jAISecSystem.1",Assessment!H:H,Assessment!E:E)="yes",_xlfn.XLOOKUP("07.07aAISecOrganizational.4",Assessment!H:H,Assessment!E:E)="yes",_xlfn.XLOOKUP("07.07aAISecOrganizational.5",Assessment!H:H,Assessment!E:E)="yes"),"Yes","No")</f>
        <v>Yes</v>
      </c>
      <c r="B1227" s="40" t="s">
        <v>7829</v>
      </c>
      <c r="C1227" s="40" t="s">
        <v>8083</v>
      </c>
      <c r="D1227" s="40" t="s">
        <v>9304</v>
      </c>
      <c r="E1227" s="40" t="s">
        <v>8420</v>
      </c>
    </row>
    <row r="1228" spans="1:5" x14ac:dyDescent="0.35">
      <c r="A1228" s="40" t="str">
        <f>IF(OR(_xlfn.XLOOKUP("06.10jAISecSystem.1",Assessment!H:H,Assessment!E:E)="yes",_xlfn.XLOOKUP("07.07aAISecOrganizational.4",Assessment!H:H,Assessment!E:E)="yes",_xlfn.XLOOKUP("07.07aAISecOrganizational.5",Assessment!H:H,Assessment!E:E)="yes"),"Yes","No")</f>
        <v>Yes</v>
      </c>
      <c r="B1228" s="40" t="s">
        <v>7829</v>
      </c>
      <c r="C1228" s="40" t="s">
        <v>8083</v>
      </c>
      <c r="D1228" s="40" t="s">
        <v>9305</v>
      </c>
      <c r="E1228" s="40" t="s">
        <v>8420</v>
      </c>
    </row>
    <row r="1229" spans="1:5" x14ac:dyDescent="0.35">
      <c r="A1229" s="40" t="str">
        <f>IF(OR(_xlfn.XLOOKUP("06.10jAISecSystem.1",Assessment!H:H,Assessment!E:E)="yes",_xlfn.XLOOKUP("07.07aAISecOrganizational.4",Assessment!H:H,Assessment!E:E)="yes",_xlfn.XLOOKUP("07.07aAISecOrganizational.5",Assessment!H:H,Assessment!E:E)="yes"),"Yes","No")</f>
        <v>Yes</v>
      </c>
      <c r="B1229" s="40" t="s">
        <v>7829</v>
      </c>
      <c r="C1229" s="40" t="s">
        <v>8083</v>
      </c>
      <c r="D1229" s="40" t="s">
        <v>9306</v>
      </c>
      <c r="E1229" s="40" t="s">
        <v>8420</v>
      </c>
    </row>
    <row r="1230" spans="1:5" x14ac:dyDescent="0.35">
      <c r="A1230" s="40" t="str">
        <f>IF(OR(_xlfn.XLOOKUP("06.10jAISecSystem.1",Assessment!H:H,Assessment!E:E)="yes",_xlfn.XLOOKUP("07.07aAISecOrganizational.4",Assessment!H:H,Assessment!E:E)="yes",_xlfn.XLOOKUP("07.07aAISecOrganizational.5",Assessment!H:H,Assessment!E:E)="yes"),"Yes","No")</f>
        <v>Yes</v>
      </c>
      <c r="B1230" s="40" t="s">
        <v>7829</v>
      </c>
      <c r="C1230" s="40" t="s">
        <v>8083</v>
      </c>
      <c r="D1230" s="40" t="s">
        <v>9307</v>
      </c>
      <c r="E1230" s="40" t="s">
        <v>8420</v>
      </c>
    </row>
    <row r="1231" spans="1:5" x14ac:dyDescent="0.35">
      <c r="A1231" s="40" t="str">
        <f>IF(OR(_xlfn.XLOOKUP("06.10jAISecSystem.1",Assessment!H:H,Assessment!E:E)="yes"),"Yes","No")</f>
        <v>Yes</v>
      </c>
      <c r="B1231" s="40" t="s">
        <v>7829</v>
      </c>
      <c r="C1231" s="40" t="s">
        <v>8083</v>
      </c>
      <c r="D1231" s="40" t="s">
        <v>9308</v>
      </c>
      <c r="E1231" s="40" t="s">
        <v>8420</v>
      </c>
    </row>
    <row r="1232" spans="1:5" x14ac:dyDescent="0.35">
      <c r="A1232" s="40" t="str">
        <f>IF(OR(_xlfn.XLOOKUP("06.10jAISecSystem.1",Assessment!H:H,Assessment!E:E)="yes"),"Yes","No")</f>
        <v>Yes</v>
      </c>
      <c r="B1232" s="40" t="s">
        <v>7829</v>
      </c>
      <c r="C1232" s="40" t="s">
        <v>8083</v>
      </c>
      <c r="D1232" s="40" t="s">
        <v>9309</v>
      </c>
      <c r="E1232" s="40" t="s">
        <v>8420</v>
      </c>
    </row>
    <row r="1233" spans="1:5" x14ac:dyDescent="0.35">
      <c r="A1233" s="40" t="str">
        <f>IF(OR(_xlfn.XLOOKUP("06.10jAISecSystem.1",Assessment!H:H,Assessment!E:E)="yes",_xlfn.XLOOKUP("07.07aAISecOrganizational.3",Assessment!H:H,Assessment!E:E)="yes"),"Yes","No")</f>
        <v>Yes</v>
      </c>
      <c r="B1233" s="40" t="s">
        <v>7829</v>
      </c>
      <c r="C1233" s="40" t="s">
        <v>8083</v>
      </c>
      <c r="D1233" s="40" t="s">
        <v>9310</v>
      </c>
      <c r="E1233" s="40" t="s">
        <v>8420</v>
      </c>
    </row>
    <row r="1234" spans="1:5" x14ac:dyDescent="0.35">
      <c r="A1234" s="40" t="str">
        <f>IF(OR(_xlfn.XLOOKUP("07.07aAISecOrganizational.3",Assessment!H:H,Assessment!E:E)="yes"),"Yes","No")</f>
        <v>Yes</v>
      </c>
      <c r="B1234" s="40" t="s">
        <v>7829</v>
      </c>
      <c r="C1234" s="40" t="s">
        <v>8083</v>
      </c>
      <c r="D1234" s="40" t="s">
        <v>9311</v>
      </c>
      <c r="E1234" s="40" t="s">
        <v>8437</v>
      </c>
    </row>
    <row r="1235" spans="1:5" x14ac:dyDescent="0.35">
      <c r="A1235" s="40" t="str">
        <f>IF(OR(_xlfn.XLOOKUP("07.07aAISecOrganizational.3",Assessment!H:H,Assessment!E:E)="yes"),"Yes","No")</f>
        <v>Yes</v>
      </c>
      <c r="B1235" s="40" t="s">
        <v>7829</v>
      </c>
      <c r="C1235" s="40" t="s">
        <v>8083</v>
      </c>
      <c r="D1235" s="40" t="s">
        <v>9312</v>
      </c>
      <c r="E1235" s="40" t="s">
        <v>8437</v>
      </c>
    </row>
    <row r="1236" spans="1:5" x14ac:dyDescent="0.35">
      <c r="A1236" s="40" t="str">
        <f>IF(OR(_xlfn.XLOOKUP("07.07aAISecOrganizational.5",Assessment!H:H,Assessment!E:E)="yes"),"Yes","No")</f>
        <v>Yes</v>
      </c>
      <c r="B1236" s="40" t="s">
        <v>7829</v>
      </c>
      <c r="C1236" s="40" t="s">
        <v>8083</v>
      </c>
      <c r="D1236" s="40" t="s">
        <v>9313</v>
      </c>
      <c r="E1236" s="40" t="s">
        <v>8437</v>
      </c>
    </row>
    <row r="1237" spans="1:5" x14ac:dyDescent="0.35">
      <c r="A1237" s="40" t="str">
        <f>IF(OR(_xlfn.XLOOKUP("07.07aAISecOrganizational.3",Assessment!H:H,Assessment!E:E)="yes",_xlfn.XLOOKUP("07.07aAISecOrganizational.5",Assessment!H:H,Assessment!E:E)="yes"),"Yes","No")</f>
        <v>Yes</v>
      </c>
      <c r="B1237" s="40" t="s">
        <v>7829</v>
      </c>
      <c r="C1237" s="40" t="s">
        <v>8083</v>
      </c>
      <c r="D1237" s="40" t="s">
        <v>9314</v>
      </c>
      <c r="E1237" s="40" t="s">
        <v>8437</v>
      </c>
    </row>
    <row r="1238" spans="1:5" x14ac:dyDescent="0.35">
      <c r="A1238" s="40" t="str">
        <f>IF(OR(_xlfn.XLOOKUP("01.02aAISecOrganizational.1",Assessment!H:H,Assessment!E:E)="yes"),"Yes","No")</f>
        <v>Yes</v>
      </c>
      <c r="B1238" s="40" t="s">
        <v>7829</v>
      </c>
      <c r="C1238" s="40" t="s">
        <v>8083</v>
      </c>
      <c r="D1238" s="40" t="s">
        <v>9315</v>
      </c>
      <c r="E1238" s="40" t="s">
        <v>8859</v>
      </c>
    </row>
    <row r="1239" spans="1:5" x14ac:dyDescent="0.35">
      <c r="A1239" s="40" t="str">
        <f>IF(OR(_xlfn.XLOOKUP("01.02aAISecOrganizational.1",Assessment!H:H,Assessment!E:E)="yes"),"Yes","No")</f>
        <v>Yes</v>
      </c>
      <c r="B1239" s="40" t="s">
        <v>7829</v>
      </c>
      <c r="C1239" s="40" t="s">
        <v>8083</v>
      </c>
      <c r="D1239" s="40" t="s">
        <v>9316</v>
      </c>
      <c r="E1239" s="40" t="s">
        <v>8859</v>
      </c>
    </row>
    <row r="1240" spans="1:5" x14ac:dyDescent="0.35">
      <c r="A1240" s="40" t="str">
        <f>IF(OR(_xlfn.XLOOKUP("01.02aAISecOrganizational.1",Assessment!H:H,Assessment!E:E)="yes"),"Yes","No")</f>
        <v>Yes</v>
      </c>
      <c r="B1240" s="40" t="s">
        <v>7829</v>
      </c>
      <c r="C1240" s="40" t="s">
        <v>8083</v>
      </c>
      <c r="D1240" s="40" t="s">
        <v>9317</v>
      </c>
      <c r="E1240" s="40" t="s">
        <v>8859</v>
      </c>
    </row>
    <row r="1241" spans="1:5" x14ac:dyDescent="0.35">
      <c r="A1241" s="40" t="str">
        <f>IF(OR(_xlfn.XLOOKUP("06.10hAISecSystem.6",Assessment!H:H,Assessment!E:E)="yes"),"Yes","No")</f>
        <v>Yes</v>
      </c>
      <c r="B1241" s="40" t="s">
        <v>7829</v>
      </c>
      <c r="C1241" s="40" t="s">
        <v>8083</v>
      </c>
      <c r="D1241" s="40" t="s">
        <v>9318</v>
      </c>
      <c r="E1241" s="40" t="s">
        <v>8411</v>
      </c>
    </row>
    <row r="1242" spans="1:5" x14ac:dyDescent="0.35">
      <c r="A1242" s="40" t="str">
        <f>IF(OR(_xlfn.XLOOKUP("06.10hAISecSystem.6",Assessment!H:H,Assessment!E:E)="yes"),"Yes","No")</f>
        <v>Yes</v>
      </c>
      <c r="B1242" s="40" t="s">
        <v>7829</v>
      </c>
      <c r="C1242" s="40" t="s">
        <v>8083</v>
      </c>
      <c r="D1242" s="40" t="s">
        <v>9319</v>
      </c>
      <c r="E1242" s="40" t="s">
        <v>8411</v>
      </c>
    </row>
    <row r="1243" spans="1:5" x14ac:dyDescent="0.35">
      <c r="A1243" s="40" t="str">
        <f>IF(OR(_xlfn.XLOOKUP("06.10hAISecSystem.6",Assessment!H:H,Assessment!E:E)="yes"),"Yes","No")</f>
        <v>Yes</v>
      </c>
      <c r="B1243" s="40" t="s">
        <v>7829</v>
      </c>
      <c r="C1243" s="40" t="s">
        <v>8083</v>
      </c>
      <c r="D1243" s="40" t="s">
        <v>9320</v>
      </c>
      <c r="E1243" s="40" t="s">
        <v>8411</v>
      </c>
    </row>
    <row r="1244" spans="1:5" x14ac:dyDescent="0.35">
      <c r="A1244" s="40" t="str">
        <f>IF(OR(_xlfn.XLOOKUP("06.10hAISecSystem.6",Assessment!H:H,Assessment!E:E)="yes"),"Yes","No")</f>
        <v>Yes</v>
      </c>
      <c r="B1244" s="40" t="s">
        <v>7829</v>
      </c>
      <c r="C1244" s="40" t="s">
        <v>8083</v>
      </c>
      <c r="D1244" s="40" t="s">
        <v>9321</v>
      </c>
      <c r="E1244" s="40" t="s">
        <v>8411</v>
      </c>
    </row>
    <row r="1245" spans="1:5" x14ac:dyDescent="0.35">
      <c r="A1245" s="40" t="str">
        <f>IF(OR(_xlfn.XLOOKUP("06.10hAISecSystem.6",Assessment!H:H,Assessment!E:E)="yes"),"Yes","No")</f>
        <v>Yes</v>
      </c>
      <c r="B1245" s="40" t="s">
        <v>7829</v>
      </c>
      <c r="C1245" s="40" t="s">
        <v>8083</v>
      </c>
      <c r="D1245" s="40" t="s">
        <v>9322</v>
      </c>
      <c r="E1245" s="40" t="s">
        <v>8411</v>
      </c>
    </row>
    <row r="1246" spans="1:5" x14ac:dyDescent="0.35">
      <c r="A1246" s="40" t="str">
        <f>IF(OR(_xlfn.XLOOKUP("06.10hAISecSystem.6",Assessment!H:H,Assessment!E:E)="yes"),"Yes","No")</f>
        <v>Yes</v>
      </c>
      <c r="B1246" s="40" t="s">
        <v>7829</v>
      </c>
      <c r="C1246" s="40" t="s">
        <v>8083</v>
      </c>
      <c r="D1246" s="40" t="s">
        <v>9323</v>
      </c>
      <c r="E1246" s="40" t="s">
        <v>8411</v>
      </c>
    </row>
    <row r="1247" spans="1:5" x14ac:dyDescent="0.35">
      <c r="A1247" s="40" t="str">
        <f>IF(OR(_xlfn.XLOOKUP("06.10hAISecSystem.6",Assessment!H:H,Assessment!E:E)="yes"),"Yes","No")</f>
        <v>Yes</v>
      </c>
      <c r="B1247" s="40" t="s">
        <v>7829</v>
      </c>
      <c r="C1247" s="40" t="s">
        <v>8083</v>
      </c>
      <c r="D1247" s="40" t="s">
        <v>9324</v>
      </c>
      <c r="E1247" s="40" t="s">
        <v>8411</v>
      </c>
    </row>
    <row r="1248" spans="1:5" x14ac:dyDescent="0.35">
      <c r="A1248" s="40" t="str">
        <f>IF(OR(_xlfn.XLOOKUP("07.10bAISecSystem.1",Assessment!H:H,Assessment!E:E)="yes"),"Yes","No")</f>
        <v>Yes</v>
      </c>
      <c r="B1248" s="40" t="s">
        <v>7829</v>
      </c>
      <c r="C1248" s="40" t="s">
        <v>8083</v>
      </c>
      <c r="D1248" s="40" t="s">
        <v>9325</v>
      </c>
      <c r="E1248" s="40" t="s">
        <v>8457</v>
      </c>
    </row>
    <row r="1249" spans="1:5" x14ac:dyDescent="0.35">
      <c r="A1249" s="40" t="str">
        <f>IF(OR(_xlfn.XLOOKUP("07.10eAISecSystem.1",Assessment!H:H,Assessment!E:E)="yes"),"Yes","No")</f>
        <v>Yes</v>
      </c>
      <c r="B1249" s="40" t="s">
        <v>7829</v>
      </c>
      <c r="C1249" s="40" t="s">
        <v>8083</v>
      </c>
      <c r="D1249" s="40" t="s">
        <v>9326</v>
      </c>
      <c r="E1249" s="40" t="s">
        <v>9327</v>
      </c>
    </row>
    <row r="1250" spans="1:5" x14ac:dyDescent="0.35">
      <c r="A1250" s="40" t="str">
        <f>IF(OR(_xlfn.XLOOKUP("07.10mAISecOrganizational.3",Assessment!H:H,Assessment!E:E)="yes"),"Yes","No")</f>
        <v>Yes</v>
      </c>
      <c r="B1250" s="40" t="s">
        <v>7829</v>
      </c>
      <c r="C1250" s="40" t="s">
        <v>8083</v>
      </c>
      <c r="D1250" s="40" t="s">
        <v>9328</v>
      </c>
      <c r="E1250" s="40" t="s">
        <v>8444</v>
      </c>
    </row>
    <row r="1251" spans="1:5" x14ac:dyDescent="0.35">
      <c r="A1251" s="40" t="str">
        <f>IF(OR(_xlfn.XLOOKUP("07.10mAISecOrganizational.4",Assessment!H:H,Assessment!E:E)="yes"),"Yes","No")</f>
        <v>Yes</v>
      </c>
      <c r="B1251" s="40" t="s">
        <v>7829</v>
      </c>
      <c r="C1251" s="40" t="s">
        <v>8083</v>
      </c>
      <c r="D1251" s="40" t="s">
        <v>9329</v>
      </c>
      <c r="E1251" s="40" t="s">
        <v>8444</v>
      </c>
    </row>
    <row r="1252" spans="1:5" x14ac:dyDescent="0.35">
      <c r="A1252" s="40" t="str">
        <f>IF(OR(_xlfn.XLOOKUP("07.10mAISecOrganizational.5",Assessment!H:H,Assessment!E:E)="yes"),"Yes","No")</f>
        <v>Yes</v>
      </c>
      <c r="B1252" s="40" t="s">
        <v>7829</v>
      </c>
      <c r="C1252" s="40" t="s">
        <v>8083</v>
      </c>
      <c r="D1252" s="40" t="s">
        <v>9330</v>
      </c>
      <c r="E1252" s="40" t="s">
        <v>8444</v>
      </c>
    </row>
    <row r="1253" spans="1:5" x14ac:dyDescent="0.35">
      <c r="A1253" s="40" t="str">
        <f>IF(OR(_xlfn.XLOOKUP("06.10hAISecSystem.4",Assessment!H:H,Assessment!E:E)="yes"),"Yes","No")</f>
        <v>Yes</v>
      </c>
      <c r="B1253" s="40" t="s">
        <v>7829</v>
      </c>
      <c r="C1253" s="40" t="s">
        <v>8083</v>
      </c>
      <c r="D1253" s="40" t="s">
        <v>9331</v>
      </c>
      <c r="E1253" s="40" t="s">
        <v>8411</v>
      </c>
    </row>
    <row r="1254" spans="1:5" x14ac:dyDescent="0.35">
      <c r="A1254" s="40" t="str">
        <f>IF(OR(_xlfn.XLOOKUP("06.10hAISecSystem.4",Assessment!H:H,Assessment!E:E)="yes"),"Yes","No")</f>
        <v>Yes</v>
      </c>
      <c r="B1254" s="40" t="s">
        <v>7829</v>
      </c>
      <c r="C1254" s="40" t="s">
        <v>8083</v>
      </c>
      <c r="D1254" s="40" t="s">
        <v>9332</v>
      </c>
      <c r="E1254" s="40" t="s">
        <v>8411</v>
      </c>
    </row>
    <row r="1255" spans="1:5" x14ac:dyDescent="0.35">
      <c r="A1255" s="40" t="str">
        <f>IF(OR(_xlfn.XLOOKUP("06.10hAISecSystem.4",Assessment!H:H,Assessment!E:E)="yes"),"Yes","No")</f>
        <v>Yes</v>
      </c>
      <c r="B1255" s="40" t="s">
        <v>7829</v>
      </c>
      <c r="C1255" s="40" t="s">
        <v>8083</v>
      </c>
      <c r="D1255" s="40" t="s">
        <v>9333</v>
      </c>
      <c r="E1255" s="40" t="s">
        <v>8411</v>
      </c>
    </row>
    <row r="1256" spans="1:5" x14ac:dyDescent="0.35">
      <c r="A1256" s="40" t="str">
        <f>IF(OR(_xlfn.XLOOKUP("06.10hAISecSystem.4",Assessment!H:H,Assessment!E:E)="yes"),"Yes","No")</f>
        <v>Yes</v>
      </c>
      <c r="B1256" s="40" t="s">
        <v>7829</v>
      </c>
      <c r="C1256" s="40" t="s">
        <v>8083</v>
      </c>
      <c r="D1256" s="40" t="s">
        <v>9334</v>
      </c>
      <c r="E1256" s="40" t="s">
        <v>8411</v>
      </c>
    </row>
    <row r="1257" spans="1:5" x14ac:dyDescent="0.35">
      <c r="A1257" s="40" t="str">
        <f>IF(OR(_xlfn.XLOOKUP("06.10hAISecSystem.4",Assessment!H:H,Assessment!E:E)="yes"),"Yes","No")</f>
        <v>Yes</v>
      </c>
      <c r="B1257" s="40" t="s">
        <v>7829</v>
      </c>
      <c r="C1257" s="40" t="s">
        <v>8083</v>
      </c>
      <c r="D1257" s="40" t="s">
        <v>9335</v>
      </c>
      <c r="E1257" s="40" t="s">
        <v>8411</v>
      </c>
    </row>
    <row r="1258" spans="1:5" x14ac:dyDescent="0.35">
      <c r="A1258" s="40" t="str">
        <f>IF(OR(_xlfn.XLOOKUP("07.10bAISecSystem.2",Assessment!H:H,Assessment!E:E)="yes"),"Yes","No")</f>
        <v>Yes</v>
      </c>
      <c r="B1258" s="40" t="s">
        <v>7829</v>
      </c>
      <c r="C1258" s="40" t="s">
        <v>8083</v>
      </c>
      <c r="D1258" s="40" t="s">
        <v>9336</v>
      </c>
      <c r="E1258" s="40" t="s">
        <v>8457</v>
      </c>
    </row>
    <row r="1259" spans="1:5" x14ac:dyDescent="0.35">
      <c r="A1259" s="40" t="str">
        <f>IF(OR(_xlfn.XLOOKUP("07.10bAISecSystem.2",Assessment!H:H,Assessment!E:E)="yes"),"Yes","No")</f>
        <v>Yes</v>
      </c>
      <c r="B1259" s="40" t="s">
        <v>7829</v>
      </c>
      <c r="C1259" s="40" t="s">
        <v>8083</v>
      </c>
      <c r="D1259" s="40" t="s">
        <v>9337</v>
      </c>
      <c r="E1259" s="40" t="s">
        <v>8457</v>
      </c>
    </row>
    <row r="1260" spans="1:5" x14ac:dyDescent="0.35">
      <c r="A1260" s="40" t="str">
        <f>IF(OR(_xlfn.XLOOKUP("07.10bAISecSystem.2",Assessment!H:H,Assessment!E:E)="yes"),"Yes","No")</f>
        <v>Yes</v>
      </c>
      <c r="B1260" s="40" t="s">
        <v>7829</v>
      </c>
      <c r="C1260" s="40" t="s">
        <v>8083</v>
      </c>
      <c r="D1260" s="40" t="s">
        <v>9338</v>
      </c>
      <c r="E1260" s="40" t="s">
        <v>8457</v>
      </c>
    </row>
    <row r="1261" spans="1:5" x14ac:dyDescent="0.35">
      <c r="A1261" s="40" t="str">
        <f>IF(OR(_xlfn.XLOOKUP("07.10bAISecSystem.2",Assessment!H:H,Assessment!E:E)="yes"),"Yes","No")</f>
        <v>Yes</v>
      </c>
      <c r="B1261" s="40" t="s">
        <v>7829</v>
      </c>
      <c r="C1261" s="40" t="s">
        <v>8083</v>
      </c>
      <c r="D1261" s="40" t="s">
        <v>9339</v>
      </c>
      <c r="E1261" s="40" t="s">
        <v>8457</v>
      </c>
    </row>
    <row r="1262" spans="1:5" x14ac:dyDescent="0.35">
      <c r="A1262" s="40" t="str">
        <f>IF(OR(_xlfn.XLOOKUP("07.10mAISecOrganizational.2",Assessment!H:H,Assessment!E:E)="yes"),"Yes","No")</f>
        <v>Yes</v>
      </c>
      <c r="B1262" s="40" t="s">
        <v>7829</v>
      </c>
      <c r="C1262" s="40" t="s">
        <v>8083</v>
      </c>
      <c r="D1262" s="40" t="s">
        <v>9340</v>
      </c>
      <c r="E1262" s="40" t="s">
        <v>8444</v>
      </c>
    </row>
    <row r="1263" spans="1:5" x14ac:dyDescent="0.35">
      <c r="A1263" s="40" t="str">
        <f>IF(OR(_xlfn.XLOOKUP("07.10mAISecOrganizational.2",Assessment!H:H,Assessment!E:E)="yes"),"Yes","No")</f>
        <v>Yes</v>
      </c>
      <c r="B1263" s="40" t="s">
        <v>7829</v>
      </c>
      <c r="C1263" s="40" t="s">
        <v>8083</v>
      </c>
      <c r="D1263" s="40" t="s">
        <v>9341</v>
      </c>
      <c r="E1263" s="40" t="s">
        <v>8444</v>
      </c>
    </row>
    <row r="1264" spans="1:5" x14ac:dyDescent="0.35">
      <c r="A1264" s="40" t="str">
        <f>IF(OR(_xlfn.XLOOKUP("07.10mAISecOrganizational.2",Assessment!H:H,Assessment!E:E)="yes"),"Yes","No")</f>
        <v>Yes</v>
      </c>
      <c r="B1264" s="40" t="s">
        <v>7829</v>
      </c>
      <c r="C1264" s="40" t="s">
        <v>8083</v>
      </c>
      <c r="D1264" s="40" t="s">
        <v>9342</v>
      </c>
      <c r="E1264" s="40" t="s">
        <v>8444</v>
      </c>
    </row>
    <row r="1265" spans="1:5" x14ac:dyDescent="0.35">
      <c r="A1265" s="40" t="str">
        <f>IF(OR(_xlfn.XLOOKUP("07.10mAISecOrganizational.2",Assessment!H:H,Assessment!E:E)="yes"),"Yes","No")</f>
        <v>Yes</v>
      </c>
      <c r="B1265" s="40" t="s">
        <v>7829</v>
      </c>
      <c r="C1265" s="40" t="s">
        <v>8083</v>
      </c>
      <c r="D1265" s="40" t="s">
        <v>9343</v>
      </c>
      <c r="E1265" s="40" t="s">
        <v>8444</v>
      </c>
    </row>
    <row r="1266" spans="1:5" x14ac:dyDescent="0.35">
      <c r="A1266" s="40" t="str">
        <f>IF(OR(_xlfn.XLOOKUP("14.05iAISecOrganizational.1",Assessment!H:H,Assessment!E:E)="yes"),"Yes","No")</f>
        <v>Yes</v>
      </c>
      <c r="B1266" s="40" t="s">
        <v>7829</v>
      </c>
      <c r="C1266" s="40" t="s">
        <v>8083</v>
      </c>
      <c r="D1266" s="40" t="s">
        <v>9344</v>
      </c>
      <c r="E1266" s="40" t="s">
        <v>9031</v>
      </c>
    </row>
    <row r="1267" spans="1:5" x14ac:dyDescent="0.35">
      <c r="A1267" s="40" t="str">
        <f>IF(OR(_xlfn.XLOOKUP("15.11cAISecOrganizational.1",Assessment!H:H,Assessment!E:E)="yes"),"Yes","No")</f>
        <v>Yes</v>
      </c>
      <c r="B1267" s="40" t="s">
        <v>7829</v>
      </c>
      <c r="C1267" s="40" t="s">
        <v>8083</v>
      </c>
      <c r="D1267" s="40" t="s">
        <v>9345</v>
      </c>
      <c r="E1267" s="40" t="s">
        <v>9064</v>
      </c>
    </row>
    <row r="1268" spans="1:5" x14ac:dyDescent="0.35">
      <c r="A1268" s="40" t="str">
        <f>IF(OR(_xlfn.XLOOKUP("17.03bAISecOrganizational.3",Assessment!H:H,Assessment!E:E)="yes"),"Yes","No")</f>
        <v>Yes</v>
      </c>
      <c r="B1268" s="40" t="s">
        <v>7829</v>
      </c>
      <c r="C1268" s="40" t="s">
        <v>8083</v>
      </c>
      <c r="D1268" s="40" t="s">
        <v>9346</v>
      </c>
      <c r="E1268" s="40" t="s">
        <v>8599</v>
      </c>
    </row>
    <row r="1269" spans="1:5" x14ac:dyDescent="0.35">
      <c r="A1269" s="40" t="str">
        <f>IF(OR(_xlfn.XLOOKUP("17.03bAISecOrganizational.3",Assessment!H:H,Assessment!E:E)="yes"),"Yes","No")</f>
        <v>Yes</v>
      </c>
      <c r="B1269" s="40" t="s">
        <v>7829</v>
      </c>
      <c r="C1269" s="40" t="s">
        <v>8083</v>
      </c>
      <c r="D1269" s="40" t="s">
        <v>9347</v>
      </c>
      <c r="E1269" s="40" t="s">
        <v>8599</v>
      </c>
    </row>
    <row r="1270" spans="1:5" x14ac:dyDescent="0.35">
      <c r="A1270" s="40" t="str">
        <f>IF(OR(_xlfn.XLOOKUP("17.03bAISecOrganizational.3",Assessment!H:H,Assessment!E:E)="yes",_xlfn.XLOOKUP("17.03bAISecOrganizational.4",Assessment!H:H,Assessment!E:E)="yes",_xlfn.XLOOKUP("17.03bAISecOrganizational.5",Assessment!H:H,Assessment!E:E)="yes",_xlfn.XLOOKUP("19.06aAISecOrganizational.1",Assessment!H:H,Assessment!E:E)="yes",_xlfn.XLOOKUP("19.06cAISecOrganizational.1",Assessment!H:H,Assessment!E:E)="yes"),"Yes","No")</f>
        <v>Yes</v>
      </c>
      <c r="B1270" s="40" t="s">
        <v>7829</v>
      </c>
      <c r="C1270" s="40" t="s">
        <v>8083</v>
      </c>
      <c r="D1270" s="40" t="s">
        <v>9348</v>
      </c>
      <c r="E1270" s="40" t="s">
        <v>8599</v>
      </c>
    </row>
    <row r="1271" spans="1:5" x14ac:dyDescent="0.35">
      <c r="A1271" s="40" t="str">
        <f>IF(OR(_xlfn.XLOOKUP("17.03bAISecOrganizational.3",Assessment!H:H,Assessment!E:E)="yes"),"Yes","No")</f>
        <v>Yes</v>
      </c>
      <c r="B1271" s="40" t="s">
        <v>7829</v>
      </c>
      <c r="C1271" s="40" t="s">
        <v>8083</v>
      </c>
      <c r="D1271" s="40" t="s">
        <v>9349</v>
      </c>
      <c r="E1271" s="40" t="s">
        <v>8599</v>
      </c>
    </row>
    <row r="1272" spans="1:5" x14ac:dyDescent="0.35">
      <c r="A1272" s="40" t="str">
        <f>IF(OR(_xlfn.XLOOKUP("19.06aAISecOrganizational.1",Assessment!H:H,Assessment!E:E)="yes",_xlfn.XLOOKUP("19.06cAISecOrganizational.1",Assessment!H:H,Assessment!E:E)="yes"),"Yes","No")</f>
        <v>Yes</v>
      </c>
      <c r="B1272" s="40" t="s">
        <v>7829</v>
      </c>
      <c r="C1272" s="40" t="s">
        <v>8083</v>
      </c>
      <c r="D1272" s="40" t="s">
        <v>9350</v>
      </c>
      <c r="E1272" s="40" t="s">
        <v>9351</v>
      </c>
    </row>
    <row r="1273" spans="1:5" x14ac:dyDescent="0.35">
      <c r="A1273" s="40" t="str">
        <f>IF(OR(_xlfn.XLOOKUP("19.13jAISecOrganizational.1",Assessment!H:H,Assessment!E:E)="yes"),"Yes","No")</f>
        <v>Yes</v>
      </c>
      <c r="B1273" s="40" t="s">
        <v>7829</v>
      </c>
      <c r="C1273" s="40" t="s">
        <v>8083</v>
      </c>
      <c r="D1273" s="40" t="s">
        <v>9352</v>
      </c>
      <c r="E1273" s="40" t="s">
        <v>9353</v>
      </c>
    </row>
    <row r="1274" spans="1:5" x14ac:dyDescent="0.35">
      <c r="A1274" s="40" t="str">
        <f>IF(OR(_xlfn.XLOOKUP("19.13jAISecOrganizational.1",Assessment!H:H,Assessment!E:E)="yes"),"Yes","No")</f>
        <v>Yes</v>
      </c>
      <c r="B1274" s="40" t="s">
        <v>7829</v>
      </c>
      <c r="C1274" s="40" t="s">
        <v>8083</v>
      </c>
      <c r="D1274" s="40" t="s">
        <v>9354</v>
      </c>
      <c r="E1274" s="40" t="s">
        <v>9353</v>
      </c>
    </row>
    <row r="1275" spans="1:5" x14ac:dyDescent="0.35">
      <c r="A1275" s="40" t="str">
        <f>IF(OR(_xlfn.XLOOKUP("19.13jAISecOrganizational.1",Assessment!H:H,Assessment!E:E)="yes"),"Yes","No")</f>
        <v>Yes</v>
      </c>
      <c r="B1275" s="40" t="s">
        <v>7829</v>
      </c>
      <c r="C1275" s="40" t="s">
        <v>8083</v>
      </c>
      <c r="D1275" s="40" t="s">
        <v>9355</v>
      </c>
      <c r="E1275" s="40" t="s">
        <v>9353</v>
      </c>
    </row>
    <row r="1276" spans="1:5" x14ac:dyDescent="0.35">
      <c r="A1276" s="40" t="str">
        <f>IF(OR(_xlfn.XLOOKUP("12.09abAISecSystem.3",Assessment!H:H,Assessment!E:E)="yes"),"Yes","No")</f>
        <v>Yes</v>
      </c>
      <c r="B1276" s="40" t="s">
        <v>7829</v>
      </c>
      <c r="C1276" s="40" t="s">
        <v>8083</v>
      </c>
      <c r="D1276" s="40" t="s">
        <v>9356</v>
      </c>
      <c r="E1276" s="40" t="s">
        <v>8548</v>
      </c>
    </row>
    <row r="1277" spans="1:5" x14ac:dyDescent="0.35">
      <c r="A1277" s="40" t="str">
        <f>IF(OR(_xlfn.XLOOKUP("12.09abAISecSystem.3",Assessment!H:H,Assessment!E:E)="yes"),"Yes","No")</f>
        <v>Yes</v>
      </c>
      <c r="B1277" s="40" t="s">
        <v>7829</v>
      </c>
      <c r="C1277" s="40" t="s">
        <v>8083</v>
      </c>
      <c r="D1277" s="40" t="s">
        <v>9357</v>
      </c>
      <c r="E1277" s="40" t="s">
        <v>8548</v>
      </c>
    </row>
    <row r="1278" spans="1:5" x14ac:dyDescent="0.35">
      <c r="A1278" s="40" t="str">
        <f>IF(OR(_xlfn.XLOOKUP("11.01cAISecSystem.5",Assessment!H:H,Assessment!E:E)="yes"),"Yes","No")</f>
        <v>Yes</v>
      </c>
      <c r="B1278" s="40" t="s">
        <v>7829</v>
      </c>
      <c r="C1278" s="40" t="s">
        <v>8083</v>
      </c>
      <c r="D1278" s="40" t="s">
        <v>9358</v>
      </c>
      <c r="E1278" s="40" t="s">
        <v>8530</v>
      </c>
    </row>
    <row r="1279" spans="1:5" x14ac:dyDescent="0.35">
      <c r="A1279" s="40" t="str">
        <f>IF(OR(_xlfn.XLOOKUP("11.01cAISecSystem.6",Assessment!H:H,Assessment!E:E)="yes"),"Yes","No")</f>
        <v>Yes</v>
      </c>
      <c r="B1279" s="40" t="s">
        <v>7829</v>
      </c>
      <c r="C1279" s="40" t="s">
        <v>8083</v>
      </c>
      <c r="D1279" s="40" t="s">
        <v>9359</v>
      </c>
      <c r="E1279" s="40" t="s">
        <v>8530</v>
      </c>
    </row>
    <row r="1280" spans="1:5" x14ac:dyDescent="0.35">
      <c r="A1280" s="40" t="str">
        <f>IF(OR(_xlfn.XLOOKUP("11.01cAISecSystem.7",Assessment!H:H,Assessment!E:E)="yes"),"Yes","No")</f>
        <v>Yes</v>
      </c>
      <c r="B1280" s="40" t="s">
        <v>7829</v>
      </c>
      <c r="C1280" s="40" t="s">
        <v>8083</v>
      </c>
      <c r="D1280" s="40" t="s">
        <v>9360</v>
      </c>
      <c r="E1280" s="40" t="s">
        <v>8530</v>
      </c>
    </row>
    <row r="1281" spans="1:5" x14ac:dyDescent="0.35">
      <c r="A1281" s="40" t="str">
        <f>IF(OR(_xlfn.XLOOKUP("11.01cAISecSystem.8",Assessment!H:H,Assessment!E:E)="yes"),"Yes","No")</f>
        <v>Yes</v>
      </c>
      <c r="B1281" s="40" t="s">
        <v>7829</v>
      </c>
      <c r="C1281" s="40" t="s">
        <v>8083</v>
      </c>
      <c r="D1281" s="40" t="s">
        <v>9361</v>
      </c>
      <c r="E1281" s="40" t="s">
        <v>8530</v>
      </c>
    </row>
    <row r="1282" spans="1:5" x14ac:dyDescent="0.35">
      <c r="A1282" s="40" t="str">
        <f>IF(OR(_xlfn.XLOOKUP("11.01cAISecSystem.9",Assessment!H:H,Assessment!E:E)="yes"),"Yes","No")</f>
        <v>Yes</v>
      </c>
      <c r="B1282" s="40" t="s">
        <v>7829</v>
      </c>
      <c r="C1282" s="40" t="s">
        <v>8083</v>
      </c>
      <c r="D1282" s="40" t="s">
        <v>9362</v>
      </c>
      <c r="E1282" s="40" t="s">
        <v>8530</v>
      </c>
    </row>
    <row r="1283" spans="1:5" x14ac:dyDescent="0.35">
      <c r="A1283" s="40" t="str">
        <f>IF(OR(_xlfn.XLOOKUP("11.01cAISecSystem.9",Assessment!H:H,Assessment!E:E)="yes"),"Yes","No")</f>
        <v>Yes</v>
      </c>
      <c r="B1283" s="40" t="s">
        <v>7829</v>
      </c>
      <c r="C1283" s="40" t="s">
        <v>8083</v>
      </c>
      <c r="D1283" s="40" t="s">
        <v>9363</v>
      </c>
      <c r="E1283" s="40" t="s">
        <v>8530</v>
      </c>
    </row>
    <row r="1284" spans="1:5" x14ac:dyDescent="0.35">
      <c r="A1284" s="40" t="str">
        <f>IF(OR(_xlfn.XLOOKUP("11.01cAISecSystem.9",Assessment!H:H,Assessment!E:E)="yes"),"Yes","No")</f>
        <v>Yes</v>
      </c>
      <c r="B1284" s="40" t="s">
        <v>7829</v>
      </c>
      <c r="C1284" s="40" t="s">
        <v>8083</v>
      </c>
      <c r="D1284" s="40" t="s">
        <v>9364</v>
      </c>
      <c r="E1284" s="40" t="s">
        <v>8530</v>
      </c>
    </row>
    <row r="1285" spans="1:5" x14ac:dyDescent="0.35">
      <c r="A1285" s="40" t="str">
        <f>IF(OR(_xlfn.XLOOKUP("09.09sAISecOrganizational.1",Assessment!H:H,Assessment!E:E)="yes"),"Yes","No")</f>
        <v>Yes</v>
      </c>
      <c r="B1285" s="40" t="s">
        <v>7829</v>
      </c>
      <c r="C1285" s="40" t="s">
        <v>8083</v>
      </c>
      <c r="D1285" s="40" t="s">
        <v>9365</v>
      </c>
      <c r="E1285" s="40" t="s">
        <v>8482</v>
      </c>
    </row>
    <row r="1286" spans="1:5" x14ac:dyDescent="0.35">
      <c r="A1286" s="40" t="str">
        <f>IF(OR(_xlfn.XLOOKUP("11.01vAISecSystem.1",Assessment!H:H,Assessment!E:E)="yes"),"Yes","No")</f>
        <v>Yes</v>
      </c>
      <c r="B1286" s="40" t="s">
        <v>7829</v>
      </c>
      <c r="C1286" s="40" t="s">
        <v>8083</v>
      </c>
      <c r="D1286" s="40" t="s">
        <v>9366</v>
      </c>
      <c r="E1286" s="40" t="s">
        <v>9367</v>
      </c>
    </row>
    <row r="1287" spans="1:5" x14ac:dyDescent="0.35">
      <c r="A1287" s="40" t="str">
        <f>IF(OR(_xlfn.XLOOKUP("11.01vAISecSystem.1",Assessment!H:H,Assessment!E:E)="yes"),"Yes","No")</f>
        <v>Yes</v>
      </c>
      <c r="B1287" s="40" t="s">
        <v>7829</v>
      </c>
      <c r="C1287" s="40" t="s">
        <v>8083</v>
      </c>
      <c r="D1287" s="40" t="s">
        <v>9368</v>
      </c>
      <c r="E1287" s="40" t="s">
        <v>9367</v>
      </c>
    </row>
    <row r="1288" spans="1:5" x14ac:dyDescent="0.35">
      <c r="A1288" s="40" t="str">
        <f>IF(OR(_xlfn.XLOOKUP("11.01vAISecSystem.1",Assessment!H:H,Assessment!E:E)="yes"),"Yes","No")</f>
        <v>Yes</v>
      </c>
      <c r="B1288" s="40" t="s">
        <v>7829</v>
      </c>
      <c r="C1288" s="40" t="s">
        <v>8083</v>
      </c>
      <c r="D1288" s="40" t="s">
        <v>9369</v>
      </c>
      <c r="E1288" s="40" t="s">
        <v>9367</v>
      </c>
    </row>
    <row r="1289" spans="1:5" x14ac:dyDescent="0.35">
      <c r="A1289" s="40" t="str">
        <f>IF(OR(_xlfn.XLOOKUP("11.01vAISecSystem.1",Assessment!H:H,Assessment!E:E)="yes"),"Yes","No")</f>
        <v>Yes</v>
      </c>
      <c r="B1289" s="40" t="s">
        <v>7829</v>
      </c>
      <c r="C1289" s="40" t="s">
        <v>8083</v>
      </c>
      <c r="D1289" s="40" t="s">
        <v>9370</v>
      </c>
      <c r="E1289" s="40" t="s">
        <v>9367</v>
      </c>
    </row>
    <row r="1290" spans="1:5" x14ac:dyDescent="0.35">
      <c r="A1290" s="40" t="str">
        <f>IF(OR(_xlfn.XLOOKUP("12.09abAISecSystem.4",Assessment!H:H,Assessment!E:E)="yes"),"Yes","No")</f>
        <v>Yes</v>
      </c>
      <c r="B1290" s="40" t="s">
        <v>7829</v>
      </c>
      <c r="C1290" s="40" t="s">
        <v>8083</v>
      </c>
      <c r="D1290" s="40" t="s">
        <v>9371</v>
      </c>
      <c r="E1290" s="40" t="s">
        <v>8548</v>
      </c>
    </row>
    <row r="1291" spans="1:5" x14ac:dyDescent="0.35">
      <c r="A1291" s="40" t="str">
        <f>IF(OR(_xlfn.XLOOKUP("12.09abAISecSystem.4",Assessment!H:H,Assessment!E:E)="yes"),"Yes","No")</f>
        <v>Yes</v>
      </c>
      <c r="B1291" s="40" t="s">
        <v>7829</v>
      </c>
      <c r="C1291" s="40" t="s">
        <v>8083</v>
      </c>
      <c r="D1291" s="40" t="s">
        <v>9372</v>
      </c>
      <c r="E1291" s="40" t="s">
        <v>8548</v>
      </c>
    </row>
    <row r="1292" spans="1:5" x14ac:dyDescent="0.35">
      <c r="A1292" s="40" t="str">
        <f>IF(OR(_xlfn.XLOOKUP("12.09abAISecSystem.5",Assessment!H:H,Assessment!E:E)="yes"),"Yes","No")</f>
        <v>Yes</v>
      </c>
      <c r="B1292" s="40" t="s">
        <v>7829</v>
      </c>
      <c r="C1292" s="40" t="s">
        <v>8083</v>
      </c>
      <c r="D1292" s="40" t="s">
        <v>9373</v>
      </c>
      <c r="E1292" s="40" t="s">
        <v>8548</v>
      </c>
    </row>
    <row r="1293" spans="1:5" x14ac:dyDescent="0.35">
      <c r="A1293" s="40" t="str">
        <f>IF(OR(_xlfn.XLOOKUP("12.09abAISecSystem.5",Assessment!H:H,Assessment!E:E)="yes"),"Yes","No")</f>
        <v>Yes</v>
      </c>
      <c r="B1293" s="40" t="s">
        <v>7829</v>
      </c>
      <c r="C1293" s="40" t="s">
        <v>8083</v>
      </c>
      <c r="D1293" s="40" t="s">
        <v>9374</v>
      </c>
      <c r="E1293" s="40" t="s">
        <v>8548</v>
      </c>
    </row>
    <row r="1294" spans="1:5" x14ac:dyDescent="0.35">
      <c r="A1294" s="40" t="str">
        <f>IF(OR(_xlfn.XLOOKUP("12.09abAISecSystem.5",Assessment!H:H,Assessment!E:E)="yes"),"Yes","No")</f>
        <v>Yes</v>
      </c>
      <c r="B1294" s="40" t="s">
        <v>7829</v>
      </c>
      <c r="C1294" s="40" t="s">
        <v>8083</v>
      </c>
      <c r="D1294" s="40" t="s">
        <v>9375</v>
      </c>
      <c r="E1294" s="40" t="s">
        <v>8548</v>
      </c>
    </row>
    <row r="1295" spans="1:5" x14ac:dyDescent="0.35">
      <c r="A1295" s="40" t="str">
        <f>IF(OR(_xlfn.XLOOKUP("12.09abAISecSystem.6",Assessment!H:H,Assessment!E:E)="yes"),"Yes","No")</f>
        <v>Yes</v>
      </c>
      <c r="B1295" s="40" t="s">
        <v>7829</v>
      </c>
      <c r="C1295" s="40" t="s">
        <v>8083</v>
      </c>
      <c r="D1295" s="40" t="s">
        <v>9376</v>
      </c>
      <c r="E1295" s="40" t="s">
        <v>8548</v>
      </c>
    </row>
    <row r="1296" spans="1:5" x14ac:dyDescent="0.35">
      <c r="A1296" s="40" t="str">
        <f>IF(OR(_xlfn.XLOOKUP("12.09abAISecSystem.6",Assessment!H:H,Assessment!E:E)="yes"),"Yes","No")</f>
        <v>Yes</v>
      </c>
      <c r="B1296" s="40" t="s">
        <v>7829</v>
      </c>
      <c r="C1296" s="40" t="s">
        <v>8083</v>
      </c>
      <c r="D1296" s="40" t="s">
        <v>9377</v>
      </c>
      <c r="E1296" s="40" t="s">
        <v>8548</v>
      </c>
    </row>
    <row r="1297" spans="1:5" x14ac:dyDescent="0.35">
      <c r="A1297" s="40" t="str">
        <f>IF(OR(_xlfn.XLOOKUP("12.09abAISecSystem.6",Assessment!H:H,Assessment!E:E)="yes"),"Yes","No")</f>
        <v>Yes</v>
      </c>
      <c r="B1297" s="40" t="s">
        <v>7829</v>
      </c>
      <c r="C1297" s="40" t="s">
        <v>8083</v>
      </c>
      <c r="D1297" s="40" t="s">
        <v>9378</v>
      </c>
      <c r="E1297" s="40" t="s">
        <v>8548</v>
      </c>
    </row>
    <row r="1298" spans="1:5" x14ac:dyDescent="0.35">
      <c r="A1298" s="40" t="str">
        <f>IF(OR(_xlfn.XLOOKUP("12.09abAISecSystem.6",Assessment!H:H,Assessment!E:E)="yes"),"Yes","No")</f>
        <v>Yes</v>
      </c>
      <c r="B1298" s="40" t="s">
        <v>7829</v>
      </c>
      <c r="C1298" s="40" t="s">
        <v>8083</v>
      </c>
      <c r="D1298" s="40" t="s">
        <v>9379</v>
      </c>
      <c r="E1298" s="40" t="s">
        <v>8548</v>
      </c>
    </row>
    <row r="1299" spans="1:5" x14ac:dyDescent="0.35">
      <c r="A1299" s="40" t="str">
        <f>IF(OR(_xlfn.XLOOKUP("12.09abAISecSystem.6",Assessment!H:H,Assessment!E:E)="yes"),"Yes","No")</f>
        <v>Yes</v>
      </c>
      <c r="B1299" s="40" t="s">
        <v>7829</v>
      </c>
      <c r="C1299" s="40" t="s">
        <v>8083</v>
      </c>
      <c r="D1299" s="40" t="s">
        <v>9380</v>
      </c>
      <c r="E1299" s="40" t="s">
        <v>8548</v>
      </c>
    </row>
    <row r="1300" spans="1:5" x14ac:dyDescent="0.35">
      <c r="A1300" s="40" t="str">
        <f>IF(OR(_xlfn.XLOOKUP("12.09abAISecSystem.6",Assessment!H:H,Assessment!E:E)="yes"),"Yes","No")</f>
        <v>Yes</v>
      </c>
      <c r="B1300" s="40" t="s">
        <v>7829</v>
      </c>
      <c r="C1300" s="40" t="s">
        <v>8083</v>
      </c>
      <c r="D1300" s="40" t="s">
        <v>9381</v>
      </c>
      <c r="E1300" s="40" t="s">
        <v>8548</v>
      </c>
    </row>
    <row r="1301" spans="1:5" x14ac:dyDescent="0.35">
      <c r="A1301" s="40" t="str">
        <f>IF(OR(_xlfn.XLOOKUP("12.09abAISecSystem.6",Assessment!H:H,Assessment!E:E)="yes"),"Yes","No")</f>
        <v>Yes</v>
      </c>
      <c r="B1301" s="40" t="s">
        <v>7829</v>
      </c>
      <c r="C1301" s="40" t="s">
        <v>8083</v>
      </c>
      <c r="D1301" s="40" t="s">
        <v>9382</v>
      </c>
      <c r="E1301" s="40" t="s">
        <v>8548</v>
      </c>
    </row>
    <row r="1302" spans="1:5" x14ac:dyDescent="0.35">
      <c r="A1302" s="40" t="str">
        <f>IF(OR(_xlfn.XLOOKUP("15.11cAISecOrganizational.1",Assessment!H:H,Assessment!E:E)="yes"),"Yes","No")</f>
        <v>Yes</v>
      </c>
      <c r="B1302" s="40" t="s">
        <v>7829</v>
      </c>
      <c r="C1302" s="40" t="s">
        <v>8083</v>
      </c>
      <c r="D1302" s="40" t="s">
        <v>9383</v>
      </c>
      <c r="E1302" s="40" t="s">
        <v>9064</v>
      </c>
    </row>
    <row r="1303" spans="1:5" x14ac:dyDescent="0.35">
      <c r="A1303" s="40" t="str">
        <f>IF(OR(_xlfn.XLOOKUP("15.11cAISecOrganizational.1",Assessment!H:H,Assessment!E:E)="yes"),"Yes","No")</f>
        <v>Yes</v>
      </c>
      <c r="B1303" s="40" t="s">
        <v>7829</v>
      </c>
      <c r="C1303" s="40" t="s">
        <v>8083</v>
      </c>
      <c r="D1303" s="40" t="s">
        <v>9384</v>
      </c>
      <c r="E1303" s="40" t="s">
        <v>9064</v>
      </c>
    </row>
    <row r="1304" spans="1:5" x14ac:dyDescent="0.35">
      <c r="A1304" s="40" t="str">
        <f>IF(OR(_xlfn.XLOOKUP("13.02eAISecOrganizational.1",Assessment!H:H,Assessment!E:E)="yes"),"Yes","No")</f>
        <v>Yes</v>
      </c>
      <c r="B1304" s="40" t="s">
        <v>7829</v>
      </c>
      <c r="C1304" s="40" t="s">
        <v>8083</v>
      </c>
      <c r="D1304" s="40" t="s">
        <v>9385</v>
      </c>
      <c r="E1304" s="40" t="s">
        <v>8559</v>
      </c>
    </row>
    <row r="1305" spans="1:5" x14ac:dyDescent="0.35">
      <c r="A1305" s="40" t="str">
        <f>IF(OR(_xlfn.XLOOKUP("13.02eAISecOrganizational.1",Assessment!H:H,Assessment!E:E)="yes"),"Yes","No")</f>
        <v>Yes</v>
      </c>
      <c r="B1305" s="40" t="s">
        <v>7829</v>
      </c>
      <c r="C1305" s="40" t="s">
        <v>8083</v>
      </c>
      <c r="D1305" s="40" t="s">
        <v>9386</v>
      </c>
      <c r="E1305" s="40" t="s">
        <v>8559</v>
      </c>
    </row>
    <row r="1306" spans="1:5" x14ac:dyDescent="0.35">
      <c r="A1306" s="40" t="str">
        <f>IF(OR(_xlfn.XLOOKUP("13.02eAISecOrganizational.1",Assessment!H:H,Assessment!E:E)="yes"),"Yes","No")</f>
        <v>Yes</v>
      </c>
      <c r="B1306" s="40" t="s">
        <v>7829</v>
      </c>
      <c r="C1306" s="40" t="s">
        <v>8083</v>
      </c>
      <c r="D1306" s="40" t="s">
        <v>9387</v>
      </c>
      <c r="E1306" s="40" t="s">
        <v>8559</v>
      </c>
    </row>
    <row r="1307" spans="1:5" x14ac:dyDescent="0.35">
      <c r="A1307" s="40" t="str">
        <f>IF(OR(_xlfn.XLOOKUP("13.02eAISecOrganizational.1",Assessment!H:H,Assessment!E:E)="yes"),"Yes","No")</f>
        <v>Yes</v>
      </c>
      <c r="B1307" s="40" t="s">
        <v>7829</v>
      </c>
      <c r="C1307" s="40" t="s">
        <v>8083</v>
      </c>
      <c r="D1307" s="40" t="s">
        <v>9388</v>
      </c>
      <c r="E1307" s="40" t="s">
        <v>8559</v>
      </c>
    </row>
    <row r="1308" spans="1:5" x14ac:dyDescent="0.35">
      <c r="A1308" s="40" t="str">
        <f>IF(OR(_xlfn.XLOOKUP("16.09lAISecOrganizational.1",Assessment!H:H,Assessment!E:E)="yes"),"Yes","No")</f>
        <v>Yes</v>
      </c>
      <c r="B1308" s="40" t="s">
        <v>7829</v>
      </c>
      <c r="C1308" s="40" t="s">
        <v>8083</v>
      </c>
      <c r="D1308" s="40" t="s">
        <v>9389</v>
      </c>
      <c r="E1308" s="40" t="s">
        <v>8587</v>
      </c>
    </row>
    <row r="1309" spans="1:5" x14ac:dyDescent="0.35">
      <c r="A1309" s="40" t="str">
        <f>IF(OR(_xlfn.XLOOKUP("16.09lAISecOrganizational.1",Assessment!H:H,Assessment!E:E)="yes"),"Yes","No")</f>
        <v>Yes</v>
      </c>
      <c r="B1309" s="40" t="s">
        <v>7829</v>
      </c>
      <c r="C1309" s="40" t="s">
        <v>8083</v>
      </c>
      <c r="D1309" s="40" t="s">
        <v>9390</v>
      </c>
      <c r="E1309" s="40" t="s">
        <v>8587</v>
      </c>
    </row>
    <row r="1310" spans="1:5" x14ac:dyDescent="0.35">
      <c r="A1310" s="40" t="str">
        <f>IF(OR(_xlfn.XLOOKUP("16.09lAISecOrganizational.1",Assessment!H:H,Assessment!E:E)="yes"),"Yes","No")</f>
        <v>Yes</v>
      </c>
      <c r="B1310" s="40" t="s">
        <v>7829</v>
      </c>
      <c r="C1310" s="40" t="s">
        <v>8083</v>
      </c>
      <c r="D1310" s="40" t="s">
        <v>9391</v>
      </c>
      <c r="E1310" s="40" t="s">
        <v>8587</v>
      </c>
    </row>
    <row r="1311" spans="1:5" x14ac:dyDescent="0.35">
      <c r="A1311" s="40" t="str">
        <f>IF(OR(_xlfn.XLOOKUP("16.09lAISecOrganizational.1",Assessment!H:H,Assessment!E:E)="yes"),"Yes","No")</f>
        <v>Yes</v>
      </c>
      <c r="B1311" s="40" t="s">
        <v>7829</v>
      </c>
      <c r="C1311" s="40" t="s">
        <v>8083</v>
      </c>
      <c r="D1311" s="40" t="s">
        <v>9392</v>
      </c>
      <c r="E1311" s="40" t="s">
        <v>8587</v>
      </c>
    </row>
    <row r="1312" spans="1:5" x14ac:dyDescent="0.35">
      <c r="A1312" s="40" t="str">
        <f>IF(OR(_xlfn.XLOOKUP("16.09lAISecOrganizational.1",Assessment!H:H,Assessment!E:E)="yes"),"Yes","No")</f>
        <v>Yes</v>
      </c>
      <c r="B1312" s="40" t="s">
        <v>7829</v>
      </c>
      <c r="C1312" s="40" t="s">
        <v>8083</v>
      </c>
      <c r="D1312" s="40" t="s">
        <v>9393</v>
      </c>
      <c r="E1312" s="40" t="s">
        <v>8587</v>
      </c>
    </row>
    <row r="1313" spans="1:5" x14ac:dyDescent="0.35">
      <c r="A1313" s="40" t="str">
        <f>IF(OR(_xlfn.XLOOKUP("16.09lAISecOrganizational.1",Assessment!H:H,Assessment!E:E)="yes"),"Yes","No")</f>
        <v>Yes</v>
      </c>
      <c r="B1313" s="40" t="s">
        <v>7829</v>
      </c>
      <c r="C1313" s="40" t="s">
        <v>8083</v>
      </c>
      <c r="D1313" s="40" t="s">
        <v>9394</v>
      </c>
      <c r="E1313" s="40" t="s">
        <v>8587</v>
      </c>
    </row>
    <row r="1314" spans="1:5" x14ac:dyDescent="0.35">
      <c r="A1314" s="40" t="str">
        <f>IF(OR(_xlfn.XLOOKUP("16.09lAISecOrganizational.1",Assessment!H:H,Assessment!E:E)="yes"),"Yes","No")</f>
        <v>Yes</v>
      </c>
      <c r="B1314" s="40" t="s">
        <v>7829</v>
      </c>
      <c r="C1314" s="40" t="s">
        <v>8083</v>
      </c>
      <c r="D1314" s="40" t="s">
        <v>9395</v>
      </c>
      <c r="E1314" s="40" t="s">
        <v>8587</v>
      </c>
    </row>
    <row r="1315" spans="1:5" x14ac:dyDescent="0.35">
      <c r="A1315" s="40" t="str">
        <f>IF(OR(_xlfn.XLOOKUP("19.09zAISecOrganizational.1",Assessment!H:H,Assessment!E:E)="yes"),"Yes","No")</f>
        <v>Yes</v>
      </c>
      <c r="B1315" s="40" t="s">
        <v>7829</v>
      </c>
      <c r="C1315" s="40" t="s">
        <v>8083</v>
      </c>
      <c r="D1315" s="40" t="s">
        <v>9396</v>
      </c>
      <c r="E1315" s="40" t="s">
        <v>9397</v>
      </c>
    </row>
    <row r="1316" spans="1:5" x14ac:dyDescent="0.35">
      <c r="A1316" s="40" t="str">
        <f>IF(OR(_xlfn.XLOOKUP("19.09zAISecOrganizational.1",Assessment!H:H,Assessment!E:E)="yes"),"Yes","No")</f>
        <v>Yes</v>
      </c>
      <c r="B1316" s="40" t="s">
        <v>7829</v>
      </c>
      <c r="C1316" s="40" t="s">
        <v>8083</v>
      </c>
      <c r="D1316" s="40" t="s">
        <v>9398</v>
      </c>
      <c r="E1316" s="40" t="s">
        <v>9397</v>
      </c>
    </row>
    <row r="1317" spans="1:5" x14ac:dyDescent="0.35">
      <c r="A1317" s="40" t="str">
        <f>IF(OR(_xlfn.XLOOKUP("19.09zAISecOrganizational.1",Assessment!H:H,Assessment!E:E)="yes"),"Yes","No")</f>
        <v>Yes</v>
      </c>
      <c r="B1317" s="40" t="s">
        <v>7829</v>
      </c>
      <c r="C1317" s="40" t="s">
        <v>8083</v>
      </c>
      <c r="D1317" s="40" t="s">
        <v>9399</v>
      </c>
      <c r="E1317" s="40" t="s">
        <v>9397</v>
      </c>
    </row>
    <row r="1318" spans="1:5" x14ac:dyDescent="0.35">
      <c r="A1318" s="40" t="str">
        <f>IF(OR(_xlfn.XLOOKUP("19.09zAISecOrganizational.1",Assessment!H:H,Assessment!E:E)="yes"),"Yes","No")</f>
        <v>Yes</v>
      </c>
      <c r="B1318" s="40" t="s">
        <v>7829</v>
      </c>
      <c r="C1318" s="40" t="s">
        <v>8083</v>
      </c>
      <c r="D1318" s="40" t="s">
        <v>9400</v>
      </c>
      <c r="E1318" s="40" t="s">
        <v>9397</v>
      </c>
    </row>
    <row r="1319" spans="1:5" x14ac:dyDescent="0.35">
      <c r="A1319" s="40" t="str">
        <f>IF(OR(_xlfn.XLOOKUP("19.09zAISecOrganizational.1",Assessment!H:H,Assessment!E:E)="yes"),"Yes","No")</f>
        <v>Yes</v>
      </c>
      <c r="B1319" s="40" t="s">
        <v>7829</v>
      </c>
      <c r="C1319" s="40" t="s">
        <v>8083</v>
      </c>
      <c r="D1319" s="40" t="s">
        <v>9401</v>
      </c>
      <c r="E1319" s="40" t="s">
        <v>9397</v>
      </c>
    </row>
    <row r="1320" spans="1:5" x14ac:dyDescent="0.35">
      <c r="A1320" s="40" t="str">
        <f>IF(OR(_xlfn.XLOOKUP("19.09zAISecOrganizational.1",Assessment!H:H,Assessment!E:E)="yes"),"Yes","No")</f>
        <v>Yes</v>
      </c>
      <c r="B1320" s="40" t="s">
        <v>7829</v>
      </c>
      <c r="C1320" s="40" t="s">
        <v>8083</v>
      </c>
      <c r="D1320" s="40" t="s">
        <v>9402</v>
      </c>
      <c r="E1320" s="40" t="s">
        <v>9397</v>
      </c>
    </row>
    <row r="1321" spans="1:5" x14ac:dyDescent="0.35">
      <c r="A1321" s="40" t="str">
        <f>IF(OR(_xlfn.XLOOKUP("19.09zAISecOrganizational.1",Assessment!H:H,Assessment!E:E)="yes"),"Yes","No")</f>
        <v>Yes</v>
      </c>
      <c r="B1321" s="40" t="s">
        <v>7829</v>
      </c>
      <c r="C1321" s="40" t="s">
        <v>8083</v>
      </c>
      <c r="D1321" s="40" t="s">
        <v>9403</v>
      </c>
      <c r="E1321" s="40" t="s">
        <v>9397</v>
      </c>
    </row>
    <row r="1322" spans="1:5" x14ac:dyDescent="0.35">
      <c r="A1322" s="40" t="str">
        <f>IF(OR(_xlfn.XLOOKUP("19.09zAISecOrganizational.1",Assessment!H:H,Assessment!E:E)="yes"),"Yes","No")</f>
        <v>Yes</v>
      </c>
      <c r="B1322" s="40" t="s">
        <v>7829</v>
      </c>
      <c r="C1322" s="40" t="s">
        <v>8083</v>
      </c>
      <c r="D1322" s="40" t="s">
        <v>9404</v>
      </c>
      <c r="E1322" s="40" t="s">
        <v>9397</v>
      </c>
    </row>
    <row r="1323" spans="1:5" x14ac:dyDescent="0.35">
      <c r="A1323" s="40" t="e">
        <f>IF(OR(_xlfn.XLOOKUP("",Assessment!H:H,Assessment!E:E)="yes"),"Yes","No")</f>
        <v>#N/A</v>
      </c>
      <c r="D1323" s="40" t="s">
        <v>9405</v>
      </c>
    </row>
    <row r="1324" spans="1:5" x14ac:dyDescent="0.35">
      <c r="A1324" s="40" t="e">
        <f>IF(OR(_xlfn.XLOOKUP("",Assessment!H:H,Assessment!E:E)="yes"),"Yes","No")</f>
        <v>#N/A</v>
      </c>
      <c r="D1324" s="40" t="s">
        <v>9405</v>
      </c>
    </row>
    <row r="1325" spans="1:5" x14ac:dyDescent="0.35">
      <c r="A1325" s="40" t="e">
        <f>IF(OR(_xlfn.XLOOKUP("",Assessment!H:H,Assessment!E:E)="yes"),"Yes","No")</f>
        <v>#N/A</v>
      </c>
      <c r="D1325" s="40" t="s">
        <v>9405</v>
      </c>
    </row>
    <row r="1326" spans="1:5" x14ac:dyDescent="0.35">
      <c r="A1326" s="40" t="e">
        <f>IF(OR(_xlfn.XLOOKUP("",Assessment!H:H,Assessment!E:E)="yes"),"Yes","No")</f>
        <v>#N/A</v>
      </c>
      <c r="D1326" s="40" t="s">
        <v>9405</v>
      </c>
    </row>
    <row r="1327" spans="1:5" x14ac:dyDescent="0.35">
      <c r="A1327" s="40" t="e">
        <f>IF(OR(_xlfn.XLOOKUP("",Assessment!H:H,Assessment!E:E)="yes"),"Yes","No")</f>
        <v>#N/A</v>
      </c>
      <c r="D1327" s="40" t="s">
        <v>9405</v>
      </c>
    </row>
    <row r="1328" spans="1:5" x14ac:dyDescent="0.35">
      <c r="A1328" s="40" t="e">
        <f>IF(OR(_xlfn.XLOOKUP("",Assessment!H:H,Assessment!E:E)="yes"),"Yes","No")</f>
        <v>#N/A</v>
      </c>
      <c r="D1328" s="40" t="s">
        <v>9405</v>
      </c>
    </row>
    <row r="1329" spans="1:4" x14ac:dyDescent="0.35">
      <c r="A1329" s="40" t="e">
        <f>IF(OR(_xlfn.XLOOKUP("",Assessment!H:H,Assessment!E:E)="yes"),"Yes","No")</f>
        <v>#N/A</v>
      </c>
      <c r="D1329" s="40" t="s">
        <v>9405</v>
      </c>
    </row>
    <row r="1330" spans="1:4" x14ac:dyDescent="0.35">
      <c r="A1330" s="40" t="e">
        <f>IF(OR(_xlfn.XLOOKUP("",Assessment!H:H,Assessment!E:E)="yes"),"Yes","No")</f>
        <v>#N/A</v>
      </c>
      <c r="D1330" s="40" t="s">
        <v>9405</v>
      </c>
    </row>
    <row r="1331" spans="1:4" x14ac:dyDescent="0.35">
      <c r="A1331" s="40" t="e">
        <f>IF(OR(_xlfn.XLOOKUP("",Assessment!H:H,Assessment!E:E)="yes"),"Yes","No")</f>
        <v>#N/A</v>
      </c>
      <c r="D1331" s="40" t="s">
        <v>9405</v>
      </c>
    </row>
    <row r="1332" spans="1:4" x14ac:dyDescent="0.35">
      <c r="A1332" s="40" t="e">
        <f>IF(OR(_xlfn.XLOOKUP("",Assessment!H:H,Assessment!E:E)="yes"),"Yes","No")</f>
        <v>#N/A</v>
      </c>
      <c r="D1332" s="40" t="s">
        <v>9405</v>
      </c>
    </row>
    <row r="1333" spans="1:4" x14ac:dyDescent="0.35">
      <c r="A1333" s="40" t="e">
        <f>IF(OR(_xlfn.XLOOKUP("",Assessment!H:H,Assessment!E:E)="yes"),"Yes","No")</f>
        <v>#N/A</v>
      </c>
      <c r="D1333" s="40" t="s">
        <v>9405</v>
      </c>
    </row>
    <row r="1334" spans="1:4" x14ac:dyDescent="0.35">
      <c r="A1334" s="40" t="e">
        <f>IF(OR(_xlfn.XLOOKUP("",Assessment!H:H,Assessment!E:E)="yes"),"Yes","No")</f>
        <v>#N/A</v>
      </c>
      <c r="D1334" s="40" t="s">
        <v>9405</v>
      </c>
    </row>
    <row r="1335" spans="1:4" x14ac:dyDescent="0.35">
      <c r="A1335" s="40" t="e">
        <f>IF(OR(_xlfn.XLOOKUP("",Assessment!H:H,Assessment!E:E)="yes"),"Yes","No")</f>
        <v>#N/A</v>
      </c>
      <c r="D1335" s="40" t="s">
        <v>9405</v>
      </c>
    </row>
    <row r="1336" spans="1:4" x14ac:dyDescent="0.35">
      <c r="A1336" s="40" t="e">
        <f>IF(OR(_xlfn.XLOOKUP("",Assessment!H:H,Assessment!E:E)="yes"),"Yes","No")</f>
        <v>#N/A</v>
      </c>
      <c r="D1336" s="40" t="s">
        <v>9405</v>
      </c>
    </row>
    <row r="1337" spans="1:4" x14ac:dyDescent="0.35">
      <c r="A1337" s="40" t="e">
        <f>IF(OR(_xlfn.XLOOKUP("",Assessment!H:H,Assessment!E:E)="yes"),"Yes","No")</f>
        <v>#N/A</v>
      </c>
      <c r="D1337" s="40" t="s">
        <v>9405</v>
      </c>
    </row>
    <row r="1338" spans="1:4" x14ac:dyDescent="0.35">
      <c r="A1338" s="40" t="e">
        <f>IF(OR(_xlfn.XLOOKUP("",Assessment!H:H,Assessment!E:E)="yes"),"Yes","No")</f>
        <v>#N/A</v>
      </c>
      <c r="D1338" s="40" t="s">
        <v>9405</v>
      </c>
    </row>
    <row r="1339" spans="1:4" x14ac:dyDescent="0.35">
      <c r="A1339" s="40" t="e">
        <f>IF(OR(_xlfn.XLOOKUP("",Assessment!H:H,Assessment!E:E)="yes"),"Yes","No")</f>
        <v>#N/A</v>
      </c>
      <c r="D1339" s="40" t="s">
        <v>9405</v>
      </c>
    </row>
    <row r="1340" spans="1:4" x14ac:dyDescent="0.35">
      <c r="A1340" s="40" t="e">
        <f>IF(OR(_xlfn.XLOOKUP("",Assessment!H:H,Assessment!E:E)="yes"),"Yes","No")</f>
        <v>#N/A</v>
      </c>
      <c r="D1340" s="40" t="s">
        <v>9405</v>
      </c>
    </row>
    <row r="1341" spans="1:4" x14ac:dyDescent="0.35">
      <c r="A1341" s="40" t="e">
        <f>IF(OR(_xlfn.XLOOKUP("",Assessment!H:H,Assessment!E:E)="yes"),"Yes","No")</f>
        <v>#N/A</v>
      </c>
      <c r="D1341" s="40" t="s">
        <v>9405</v>
      </c>
    </row>
    <row r="1342" spans="1:4" x14ac:dyDescent="0.35">
      <c r="A1342" s="40" t="e">
        <f>IF(OR(_xlfn.XLOOKUP("",Assessment!H:H,Assessment!E:E)="yes"),"Yes","No")</f>
        <v>#N/A</v>
      </c>
      <c r="D1342" s="40" t="s">
        <v>9405</v>
      </c>
    </row>
    <row r="1343" spans="1:4" x14ac:dyDescent="0.35">
      <c r="A1343" s="40" t="e">
        <f>IF(OR(_xlfn.XLOOKUP("",Assessment!H:H,Assessment!E:E)="yes"),"Yes","No")</f>
        <v>#N/A</v>
      </c>
      <c r="D1343" s="40" t="s">
        <v>9405</v>
      </c>
    </row>
    <row r="1344" spans="1:4" x14ac:dyDescent="0.35">
      <c r="A1344" s="40" t="e">
        <f>IF(OR(_xlfn.XLOOKUP("",Assessment!H:H,Assessment!E:E)="yes"),"Yes","No")</f>
        <v>#N/A</v>
      </c>
      <c r="D1344" s="40" t="s">
        <v>9405</v>
      </c>
    </row>
    <row r="1345" spans="1:4" x14ac:dyDescent="0.35">
      <c r="A1345" s="40" t="e">
        <f>IF(OR(_xlfn.XLOOKUP("",Assessment!H:H,Assessment!E:E)="yes"),"Yes","No")</f>
        <v>#N/A</v>
      </c>
      <c r="D1345" s="40" t="s">
        <v>9405</v>
      </c>
    </row>
    <row r="1346" spans="1:4" x14ac:dyDescent="0.35">
      <c r="A1346" s="40" t="e">
        <f>IF(OR(_xlfn.XLOOKUP("",Assessment!H:H,Assessment!E:E)="yes"),"Yes","No")</f>
        <v>#N/A</v>
      </c>
      <c r="D1346" s="40" t="s">
        <v>9405</v>
      </c>
    </row>
    <row r="1347" spans="1:4" x14ac:dyDescent="0.35">
      <c r="A1347" s="40" t="e">
        <f>IF(OR(_xlfn.XLOOKUP("",Assessment!H:H,Assessment!E:E)="yes"),"Yes","No")</f>
        <v>#N/A</v>
      </c>
      <c r="D1347" s="40" t="s">
        <v>9405</v>
      </c>
    </row>
    <row r="1348" spans="1:4" x14ac:dyDescent="0.35">
      <c r="A1348" s="40" t="e">
        <f>IF(OR(_xlfn.XLOOKUP("",Assessment!H:H,Assessment!E:E)="yes"),"Yes","No")</f>
        <v>#N/A</v>
      </c>
      <c r="D1348" s="40" t="s">
        <v>9405</v>
      </c>
    </row>
    <row r="1349" spans="1:4" x14ac:dyDescent="0.35">
      <c r="A1349" s="40" t="e">
        <f>IF(OR(_xlfn.XLOOKUP("",Assessment!H:H,Assessment!E:E)="yes"),"Yes","No")</f>
        <v>#N/A</v>
      </c>
      <c r="D1349" s="40" t="s">
        <v>9405</v>
      </c>
    </row>
    <row r="1350" spans="1:4" x14ac:dyDescent="0.35">
      <c r="A1350" s="40" t="e">
        <f>IF(OR(_xlfn.XLOOKUP("",Assessment!H:H,Assessment!E:E)="yes"),"Yes","No")</f>
        <v>#N/A</v>
      </c>
      <c r="D1350" s="40" t="s">
        <v>9405</v>
      </c>
    </row>
    <row r="1351" spans="1:4" x14ac:dyDescent="0.35">
      <c r="A1351" s="40" t="e">
        <f>IF(OR(_xlfn.XLOOKUP("",Assessment!H:H,Assessment!E:E)="yes"),"Yes","No")</f>
        <v>#N/A</v>
      </c>
      <c r="D1351" s="40" t="s">
        <v>9405</v>
      </c>
    </row>
    <row r="1352" spans="1:4" x14ac:dyDescent="0.35">
      <c r="A1352" s="40" t="e">
        <f>IF(OR(_xlfn.XLOOKUP("",Assessment!H:H,Assessment!E:E)="yes"),"Yes","No")</f>
        <v>#N/A</v>
      </c>
      <c r="D1352" s="40" t="s">
        <v>9405</v>
      </c>
    </row>
    <row r="1353" spans="1:4" x14ac:dyDescent="0.35">
      <c r="A1353" s="40" t="e">
        <f>IF(OR(_xlfn.XLOOKUP("",Assessment!H:H,Assessment!E:E)="yes"),"Yes","No")</f>
        <v>#N/A</v>
      </c>
      <c r="D1353" s="40" t="s">
        <v>9405</v>
      </c>
    </row>
    <row r="1354" spans="1:4" x14ac:dyDescent="0.35">
      <c r="A1354" s="40" t="e">
        <f>IF(OR(_xlfn.XLOOKUP("",Assessment!H:H,Assessment!E:E)="yes"),"Yes","No")</f>
        <v>#N/A</v>
      </c>
      <c r="D1354" s="40" t="s">
        <v>9405</v>
      </c>
    </row>
    <row r="1355" spans="1:4" x14ac:dyDescent="0.35">
      <c r="A1355" s="40" t="e">
        <f>IF(OR(_xlfn.XLOOKUP("",Assessment!H:H,Assessment!E:E)="yes"),"Yes","No")</f>
        <v>#N/A</v>
      </c>
      <c r="D1355" s="40" t="s">
        <v>9405</v>
      </c>
    </row>
    <row r="1356" spans="1:4" x14ac:dyDescent="0.35">
      <c r="A1356" s="40" t="e">
        <f>IF(OR(_xlfn.XLOOKUP("",Assessment!H:H,Assessment!E:E)="yes"),"Yes","No")</f>
        <v>#N/A</v>
      </c>
      <c r="D1356" s="40" t="s">
        <v>9405</v>
      </c>
    </row>
    <row r="1357" spans="1:4" x14ac:dyDescent="0.35">
      <c r="A1357" s="40" t="e">
        <f>IF(OR(_xlfn.XLOOKUP("",Assessment!H:H,Assessment!E:E)="yes"),"Yes","No")</f>
        <v>#N/A</v>
      </c>
      <c r="D1357" s="40" t="s">
        <v>9405</v>
      </c>
    </row>
    <row r="1358" spans="1:4" x14ac:dyDescent="0.35">
      <c r="A1358" s="40" t="e">
        <f>IF(OR(_xlfn.XLOOKUP("",Assessment!H:H,Assessment!E:E)="yes"),"Yes","No")</f>
        <v>#N/A</v>
      </c>
      <c r="D1358" s="40" t="s">
        <v>9405</v>
      </c>
    </row>
    <row r="1359" spans="1:4" x14ac:dyDescent="0.35">
      <c r="A1359" s="40" t="e">
        <f>IF(OR(_xlfn.XLOOKUP("",Assessment!H:H,Assessment!E:E)="yes"),"Yes","No")</f>
        <v>#N/A</v>
      </c>
      <c r="D1359" s="40" t="s">
        <v>9405</v>
      </c>
    </row>
    <row r="1360" spans="1:4" x14ac:dyDescent="0.35">
      <c r="A1360" s="40" t="e">
        <f>IF(OR(_xlfn.XLOOKUP("",Assessment!H:H,Assessment!E:E)="yes"),"Yes","No")</f>
        <v>#N/A</v>
      </c>
      <c r="D1360" s="40" t="s">
        <v>9405</v>
      </c>
    </row>
    <row r="1361" spans="1:4" x14ac:dyDescent="0.35">
      <c r="A1361" s="40" t="e">
        <f>IF(OR(_xlfn.XLOOKUP("",Assessment!H:H,Assessment!E:E)="yes"),"Yes","No")</f>
        <v>#N/A</v>
      </c>
      <c r="D1361" s="40" t="s">
        <v>9405</v>
      </c>
    </row>
    <row r="1362" spans="1:4" x14ac:dyDescent="0.35">
      <c r="A1362" s="40" t="e">
        <f>IF(OR(_xlfn.XLOOKUP("",Assessment!H:H,Assessment!E:E)="yes"),"Yes","No")</f>
        <v>#N/A</v>
      </c>
      <c r="D1362" s="40" t="s">
        <v>9405</v>
      </c>
    </row>
    <row r="1363" spans="1:4" x14ac:dyDescent="0.35">
      <c r="A1363" s="40" t="e">
        <f>IF(OR(_xlfn.XLOOKUP("",Assessment!H:H,Assessment!E:E)="yes"),"Yes","No")</f>
        <v>#N/A</v>
      </c>
      <c r="D1363" s="40" t="s">
        <v>9405</v>
      </c>
    </row>
    <row r="1364" spans="1:4" x14ac:dyDescent="0.35">
      <c r="A1364" s="40" t="e">
        <f>IF(OR(_xlfn.XLOOKUP("",Assessment!H:H,Assessment!E:E)="yes"),"Yes","No")</f>
        <v>#N/A</v>
      </c>
      <c r="D1364" s="40" t="s">
        <v>9405</v>
      </c>
    </row>
    <row r="1365" spans="1:4" x14ac:dyDescent="0.35">
      <c r="A1365" s="40" t="e">
        <f>IF(OR(_xlfn.XLOOKUP("",Assessment!H:H,Assessment!E:E)="yes"),"Yes","No")</f>
        <v>#N/A</v>
      </c>
      <c r="D1365" s="40" t="s">
        <v>9405</v>
      </c>
    </row>
    <row r="1366" spans="1:4" x14ac:dyDescent="0.35">
      <c r="A1366" s="40" t="e">
        <f>IF(OR(_xlfn.XLOOKUP("",Assessment!H:H,Assessment!E:E)="yes"),"Yes","No")</f>
        <v>#N/A</v>
      </c>
      <c r="D1366" s="40" t="s">
        <v>9405</v>
      </c>
    </row>
    <row r="1367" spans="1:4" x14ac:dyDescent="0.35">
      <c r="A1367" s="40" t="e">
        <f>IF(OR(_xlfn.XLOOKUP("",Assessment!H:H,Assessment!E:E)="yes"),"Yes","No")</f>
        <v>#N/A</v>
      </c>
      <c r="D1367" s="40" t="s">
        <v>9405</v>
      </c>
    </row>
    <row r="1368" spans="1:4" x14ac:dyDescent="0.35">
      <c r="A1368" s="40" t="e">
        <f>IF(OR(_xlfn.XLOOKUP("",Assessment!H:H,Assessment!E:E)="yes"),"Yes","No")</f>
        <v>#N/A</v>
      </c>
      <c r="D1368" s="40" t="s">
        <v>9405</v>
      </c>
    </row>
    <row r="1369" spans="1:4" x14ac:dyDescent="0.35">
      <c r="A1369" s="40" t="e">
        <f>IF(OR(_xlfn.XLOOKUP("",Assessment!H:H,Assessment!E:E)="yes"),"Yes","No")</f>
        <v>#N/A</v>
      </c>
      <c r="D1369" s="40" t="s">
        <v>9405</v>
      </c>
    </row>
    <row r="1370" spans="1:4" x14ac:dyDescent="0.35">
      <c r="A1370" s="40" t="e">
        <f>IF(OR(_xlfn.XLOOKUP("",Assessment!H:H,Assessment!E:E)="yes"),"Yes","No")</f>
        <v>#N/A</v>
      </c>
      <c r="D1370" s="40" t="s">
        <v>9405</v>
      </c>
    </row>
    <row r="1371" spans="1:4" x14ac:dyDescent="0.35">
      <c r="A1371" s="40" t="e">
        <f>IF(OR(_xlfn.XLOOKUP("",Assessment!H:H,Assessment!E:E)="yes"),"Yes","No")</f>
        <v>#N/A</v>
      </c>
      <c r="D1371" s="40" t="s">
        <v>9405</v>
      </c>
    </row>
    <row r="1372" spans="1:4" x14ac:dyDescent="0.35">
      <c r="A1372" s="40" t="e">
        <f>IF(OR(_xlfn.XLOOKUP("",Assessment!H:H,Assessment!E:E)="yes"),"Yes","No")</f>
        <v>#N/A</v>
      </c>
      <c r="D1372" s="40" t="s">
        <v>9405</v>
      </c>
    </row>
    <row r="1373" spans="1:4" x14ac:dyDescent="0.35">
      <c r="A1373" s="40" t="e">
        <f>IF(OR(_xlfn.XLOOKUP("",Assessment!H:H,Assessment!E:E)="yes"),"Yes","No")</f>
        <v>#N/A</v>
      </c>
      <c r="D1373" s="40" t="s">
        <v>9405</v>
      </c>
    </row>
    <row r="1374" spans="1:4" x14ac:dyDescent="0.35">
      <c r="A1374" s="40" t="e">
        <f>IF(OR(_xlfn.XLOOKUP("",Assessment!H:H,Assessment!E:E)="yes"),"Yes","No")</f>
        <v>#N/A</v>
      </c>
      <c r="D1374" s="40" t="s">
        <v>9405</v>
      </c>
    </row>
    <row r="1375" spans="1:4" x14ac:dyDescent="0.35">
      <c r="A1375" s="40" t="e">
        <f>IF(OR(_xlfn.XLOOKUP("",Assessment!H:H,Assessment!E:E)="yes"),"Yes","No")</f>
        <v>#N/A</v>
      </c>
      <c r="D1375" s="40" t="s">
        <v>9405</v>
      </c>
    </row>
    <row r="1376" spans="1:4" x14ac:dyDescent="0.35">
      <c r="A1376" s="40" t="e">
        <f>IF(OR(_xlfn.XLOOKUP("",Assessment!H:H,Assessment!E:E)="yes"),"Yes","No")</f>
        <v>#N/A</v>
      </c>
      <c r="D1376" s="40" t="s">
        <v>9405</v>
      </c>
    </row>
    <row r="1377" spans="1:4" x14ac:dyDescent="0.35">
      <c r="A1377" s="40" t="e">
        <f>IF(OR(_xlfn.XLOOKUP("",Assessment!H:H,Assessment!E:E)="yes"),"Yes","No")</f>
        <v>#N/A</v>
      </c>
      <c r="D1377" s="40" t="s">
        <v>9405</v>
      </c>
    </row>
    <row r="1378" spans="1:4" x14ac:dyDescent="0.35">
      <c r="A1378" s="40" t="e">
        <f>IF(OR(_xlfn.XLOOKUP("",Assessment!H:H,Assessment!E:E)="yes"),"Yes","No")</f>
        <v>#N/A</v>
      </c>
      <c r="D1378" s="40" t="s">
        <v>9405</v>
      </c>
    </row>
    <row r="1379" spans="1:4" x14ac:dyDescent="0.35">
      <c r="A1379" s="40" t="e">
        <f>IF(OR(_xlfn.XLOOKUP("",Assessment!H:H,Assessment!E:E)="yes"),"Yes","No")</f>
        <v>#N/A</v>
      </c>
      <c r="D1379" s="40" t="s">
        <v>9405</v>
      </c>
    </row>
    <row r="1380" spans="1:4" x14ac:dyDescent="0.35">
      <c r="A1380" s="40" t="e">
        <f>IF(OR(_xlfn.XLOOKUP("",Assessment!H:H,Assessment!E:E)="yes"),"Yes","No")</f>
        <v>#N/A</v>
      </c>
      <c r="D1380" s="40" t="s">
        <v>9405</v>
      </c>
    </row>
    <row r="1381" spans="1:4" x14ac:dyDescent="0.35">
      <c r="A1381" s="40" t="e">
        <f>IF(OR(_xlfn.XLOOKUP("",Assessment!H:H,Assessment!E:E)="yes"),"Yes","No")</f>
        <v>#N/A</v>
      </c>
      <c r="D1381" s="40" t="s">
        <v>9405</v>
      </c>
    </row>
    <row r="1382" spans="1:4" x14ac:dyDescent="0.35">
      <c r="A1382" s="40" t="e">
        <f>IF(OR(_xlfn.XLOOKUP("",Assessment!H:H,Assessment!E:E)="yes"),"Yes","No")</f>
        <v>#N/A</v>
      </c>
      <c r="D1382" s="40" t="s">
        <v>9405</v>
      </c>
    </row>
    <row r="1383" spans="1:4" x14ac:dyDescent="0.35">
      <c r="A1383" s="40" t="e">
        <f>IF(OR(_xlfn.XLOOKUP("",Assessment!H:H,Assessment!E:E)="yes"),"Yes","No")</f>
        <v>#N/A</v>
      </c>
      <c r="D1383" s="40" t="s">
        <v>9405</v>
      </c>
    </row>
    <row r="1384" spans="1:4" x14ac:dyDescent="0.35">
      <c r="A1384" s="40" t="e">
        <f>IF(OR(_xlfn.XLOOKUP("",Assessment!H:H,Assessment!E:E)="yes"),"Yes","No")</f>
        <v>#N/A</v>
      </c>
      <c r="D1384" s="40" t="s">
        <v>9405</v>
      </c>
    </row>
    <row r="1385" spans="1:4" x14ac:dyDescent="0.35">
      <c r="A1385" s="40" t="e">
        <f>IF(OR(_xlfn.XLOOKUP("",Assessment!H:H,Assessment!E:E)="yes"),"Yes","No")</f>
        <v>#N/A</v>
      </c>
      <c r="D1385" s="40" t="s">
        <v>9405</v>
      </c>
    </row>
    <row r="1386" spans="1:4" x14ac:dyDescent="0.35">
      <c r="A1386" s="40" t="e">
        <f>IF(OR(_xlfn.XLOOKUP("",Assessment!H:H,Assessment!E:E)="yes"),"Yes","No")</f>
        <v>#N/A</v>
      </c>
      <c r="D1386" s="40" t="s">
        <v>9405</v>
      </c>
    </row>
    <row r="1387" spans="1:4" x14ac:dyDescent="0.35">
      <c r="A1387" s="40" t="e">
        <f>IF(OR(_xlfn.XLOOKUP("",Assessment!H:H,Assessment!E:E)="yes"),"Yes","No")</f>
        <v>#N/A</v>
      </c>
      <c r="D1387" s="40" t="s">
        <v>9405</v>
      </c>
    </row>
    <row r="1388" spans="1:4" x14ac:dyDescent="0.35">
      <c r="A1388" s="40" t="e">
        <f>IF(OR(_xlfn.XLOOKUP("",Assessment!H:H,Assessment!E:E)="yes"),"Yes","No")</f>
        <v>#N/A</v>
      </c>
      <c r="D1388" s="40" t="s">
        <v>9405</v>
      </c>
    </row>
    <row r="1389" spans="1:4" x14ac:dyDescent="0.35">
      <c r="A1389" s="40" t="e">
        <f>IF(OR(_xlfn.XLOOKUP("",Assessment!H:H,Assessment!E:E)="yes"),"Yes","No")</f>
        <v>#N/A</v>
      </c>
      <c r="D1389" s="40" t="s">
        <v>9405</v>
      </c>
    </row>
    <row r="1390" spans="1:4" x14ac:dyDescent="0.35">
      <c r="A1390" s="40" t="e">
        <f>IF(OR(_xlfn.XLOOKUP("",Assessment!H:H,Assessment!E:E)="yes"),"Yes","No")</f>
        <v>#N/A</v>
      </c>
      <c r="D1390" s="40" t="s">
        <v>9405</v>
      </c>
    </row>
    <row r="1391" spans="1:4" x14ac:dyDescent="0.35">
      <c r="A1391" s="40" t="e">
        <f>IF(OR(_xlfn.XLOOKUP("",Assessment!H:H,Assessment!E:E)="yes"),"Yes","No")</f>
        <v>#N/A</v>
      </c>
      <c r="D1391" s="40" t="s">
        <v>9405</v>
      </c>
    </row>
    <row r="1392" spans="1:4" x14ac:dyDescent="0.35">
      <c r="A1392" s="40" t="e">
        <f>IF(OR(_xlfn.XLOOKUP("",Assessment!H:H,Assessment!E:E)="yes"),"Yes","No")</f>
        <v>#N/A</v>
      </c>
      <c r="D1392" s="40" t="s">
        <v>9405</v>
      </c>
    </row>
    <row r="1393" spans="1:4" x14ac:dyDescent="0.35">
      <c r="A1393" s="40" t="e">
        <f>IF(OR(_xlfn.XLOOKUP("",Assessment!H:H,Assessment!E:E)="yes"),"Yes","No")</f>
        <v>#N/A</v>
      </c>
      <c r="D1393" s="40" t="s">
        <v>9405</v>
      </c>
    </row>
    <row r="1394" spans="1:4" x14ac:dyDescent="0.35">
      <c r="A1394" s="40" t="e">
        <f>IF(OR(_xlfn.XLOOKUP("",Assessment!H:H,Assessment!E:E)="yes"),"Yes","No")</f>
        <v>#N/A</v>
      </c>
      <c r="D1394" s="40" t="s">
        <v>9405</v>
      </c>
    </row>
    <row r="1395" spans="1:4" x14ac:dyDescent="0.35">
      <c r="A1395" s="40" t="e">
        <f>IF(OR(_xlfn.XLOOKUP("",Assessment!H:H,Assessment!E:E)="yes"),"Yes","No")</f>
        <v>#N/A</v>
      </c>
      <c r="D1395" s="40" t="s">
        <v>9405</v>
      </c>
    </row>
    <row r="1396" spans="1:4" x14ac:dyDescent="0.35">
      <c r="A1396" s="40" t="e">
        <f>IF(OR(_xlfn.XLOOKUP("",Assessment!H:H,Assessment!E:E)="yes"),"Yes","No")</f>
        <v>#N/A</v>
      </c>
      <c r="D1396" s="40" t="s">
        <v>9405</v>
      </c>
    </row>
    <row r="1397" spans="1:4" x14ac:dyDescent="0.35">
      <c r="A1397" s="40" t="e">
        <f>IF(OR(_xlfn.XLOOKUP("",Assessment!H:H,Assessment!E:E)="yes"),"Yes","No")</f>
        <v>#N/A</v>
      </c>
      <c r="D1397" s="40" t="s">
        <v>9405</v>
      </c>
    </row>
    <row r="1398" spans="1:4" x14ac:dyDescent="0.35">
      <c r="A1398" s="40" t="e">
        <f>IF(OR(_xlfn.XLOOKUP("",Assessment!H:H,Assessment!E:E)="yes"),"Yes","No")</f>
        <v>#N/A</v>
      </c>
      <c r="D1398" s="40" t="s">
        <v>9405</v>
      </c>
    </row>
    <row r="1399" spans="1:4" x14ac:dyDescent="0.35">
      <c r="A1399" s="40" t="e">
        <f>IF(OR(_xlfn.XLOOKUP("",Assessment!H:H,Assessment!E:E)="yes"),"Yes","No")</f>
        <v>#N/A</v>
      </c>
      <c r="D1399" s="40" t="s">
        <v>9405</v>
      </c>
    </row>
    <row r="1400" spans="1:4" x14ac:dyDescent="0.35">
      <c r="A1400" s="40" t="e">
        <f>IF(OR(_xlfn.XLOOKUP("",Assessment!H:H,Assessment!E:E)="yes"),"Yes","No")</f>
        <v>#N/A</v>
      </c>
      <c r="D1400" s="40" t="s">
        <v>9405</v>
      </c>
    </row>
    <row r="1401" spans="1:4" x14ac:dyDescent="0.35">
      <c r="A1401" s="40" t="e">
        <f>IF(OR(_xlfn.XLOOKUP("",Assessment!H:H,Assessment!E:E)="yes"),"Yes","No")</f>
        <v>#N/A</v>
      </c>
      <c r="D1401" s="40" t="s">
        <v>9405</v>
      </c>
    </row>
    <row r="1402" spans="1:4" x14ac:dyDescent="0.35">
      <c r="A1402" s="40" t="e">
        <f>IF(OR(_xlfn.XLOOKUP("",Assessment!H:H,Assessment!E:E)="yes"),"Yes","No")</f>
        <v>#N/A</v>
      </c>
      <c r="D1402" s="40" t="s">
        <v>9405</v>
      </c>
    </row>
    <row r="1403" spans="1:4" x14ac:dyDescent="0.35">
      <c r="A1403" s="40" t="e">
        <f>IF(OR(_xlfn.XLOOKUP("",Assessment!H:H,Assessment!E:E)="yes"),"Yes","No")</f>
        <v>#N/A</v>
      </c>
      <c r="D1403" s="40" t="s">
        <v>9405</v>
      </c>
    </row>
    <row r="1404" spans="1:4" x14ac:dyDescent="0.35">
      <c r="A1404" s="40" t="e">
        <f>IF(OR(_xlfn.XLOOKUP("",Assessment!H:H,Assessment!E:E)="yes"),"Yes","No")</f>
        <v>#N/A</v>
      </c>
      <c r="D1404" s="40" t="s">
        <v>9405</v>
      </c>
    </row>
    <row r="1405" spans="1:4" x14ac:dyDescent="0.35">
      <c r="A1405" s="40" t="e">
        <f>IF(OR(_xlfn.XLOOKUP("",Assessment!H:H,Assessment!E:E)="yes"),"Yes","No")</f>
        <v>#N/A</v>
      </c>
      <c r="D1405" s="40" t="s">
        <v>9405</v>
      </c>
    </row>
    <row r="1406" spans="1:4" x14ac:dyDescent="0.35">
      <c r="A1406" s="40" t="e">
        <f>IF(OR(_xlfn.XLOOKUP("",Assessment!H:H,Assessment!E:E)="yes"),"Yes","No")</f>
        <v>#N/A</v>
      </c>
      <c r="D1406" s="40" t="s">
        <v>9405</v>
      </c>
    </row>
    <row r="1407" spans="1:4" x14ac:dyDescent="0.35">
      <c r="A1407" s="40" t="e">
        <f>IF(OR(_xlfn.XLOOKUP("",Assessment!H:H,Assessment!E:E)="yes"),"Yes","No")</f>
        <v>#N/A</v>
      </c>
      <c r="D1407" s="40" t="s">
        <v>9405</v>
      </c>
    </row>
    <row r="1408" spans="1:4" x14ac:dyDescent="0.35">
      <c r="A1408" s="40" t="e">
        <f>IF(OR(_xlfn.XLOOKUP("",Assessment!H:H,Assessment!E:E)="yes"),"Yes","No")</f>
        <v>#N/A</v>
      </c>
      <c r="D1408" s="40" t="s">
        <v>9405</v>
      </c>
    </row>
    <row r="1409" spans="1:4" x14ac:dyDescent="0.35">
      <c r="A1409" s="40" t="e">
        <f>IF(OR(_xlfn.XLOOKUP("",Assessment!H:H,Assessment!E:E)="yes"),"Yes","No")</f>
        <v>#N/A</v>
      </c>
      <c r="D1409" s="40" t="s">
        <v>9405</v>
      </c>
    </row>
    <row r="1410" spans="1:4" x14ac:dyDescent="0.35">
      <c r="A1410" s="40" t="e">
        <f>IF(OR(_xlfn.XLOOKUP("",Assessment!H:H,Assessment!E:E)="yes"),"Yes","No")</f>
        <v>#N/A</v>
      </c>
      <c r="D1410" s="40" t="s">
        <v>9405</v>
      </c>
    </row>
    <row r="1411" spans="1:4" x14ac:dyDescent="0.35">
      <c r="A1411" s="40" t="e">
        <f>IF(OR(_xlfn.XLOOKUP("",Assessment!H:H,Assessment!E:E)="yes"),"Yes","No")</f>
        <v>#N/A</v>
      </c>
      <c r="D1411" s="40" t="s">
        <v>9405</v>
      </c>
    </row>
    <row r="1412" spans="1:4" x14ac:dyDescent="0.35">
      <c r="A1412" s="40" t="e">
        <f>IF(OR(_xlfn.XLOOKUP("",Assessment!H:H,Assessment!E:E)="yes"),"Yes","No")</f>
        <v>#N/A</v>
      </c>
      <c r="D1412" s="40" t="s">
        <v>9405</v>
      </c>
    </row>
    <row r="1413" spans="1:4" x14ac:dyDescent="0.35">
      <c r="A1413" s="40" t="e">
        <f>IF(OR(_xlfn.XLOOKUP("",Assessment!H:H,Assessment!E:E)="yes"),"Yes","No")</f>
        <v>#N/A</v>
      </c>
      <c r="D1413" s="40" t="s">
        <v>9405</v>
      </c>
    </row>
    <row r="1414" spans="1:4" x14ac:dyDescent="0.35">
      <c r="A1414" s="40" t="e">
        <f>IF(OR(_xlfn.XLOOKUP("",Assessment!H:H,Assessment!E:E)="yes"),"Yes","No")</f>
        <v>#N/A</v>
      </c>
      <c r="D1414" s="40" t="s">
        <v>9405</v>
      </c>
    </row>
    <row r="1415" spans="1:4" x14ac:dyDescent="0.35">
      <c r="A1415" s="40" t="e">
        <f>IF(OR(_xlfn.XLOOKUP("",Assessment!H:H,Assessment!E:E)="yes"),"Yes","No")</f>
        <v>#N/A</v>
      </c>
      <c r="D1415" s="40" t="s">
        <v>9405</v>
      </c>
    </row>
    <row r="1416" spans="1:4" x14ac:dyDescent="0.35">
      <c r="A1416" s="40" t="e">
        <f>IF(OR(_xlfn.XLOOKUP("",Assessment!H:H,Assessment!E:E)="yes"),"Yes","No")</f>
        <v>#N/A</v>
      </c>
      <c r="D1416" s="40" t="s">
        <v>9405</v>
      </c>
    </row>
    <row r="1417" spans="1:4" x14ac:dyDescent="0.35">
      <c r="A1417" s="40" t="e">
        <f>IF(OR(_xlfn.XLOOKUP("",Assessment!H:H,Assessment!E:E)="yes"),"Yes","No")</f>
        <v>#N/A</v>
      </c>
      <c r="D1417" s="40" t="s">
        <v>9405</v>
      </c>
    </row>
    <row r="1418" spans="1:4" x14ac:dyDescent="0.35">
      <c r="A1418" s="40" t="e">
        <f>IF(OR(_xlfn.XLOOKUP("",Assessment!H:H,Assessment!E:E)="yes"),"Yes","No")</f>
        <v>#N/A</v>
      </c>
      <c r="D1418" s="40" t="s">
        <v>9405</v>
      </c>
    </row>
    <row r="1419" spans="1:4" x14ac:dyDescent="0.35">
      <c r="A1419" s="40" t="e">
        <f>IF(OR(_xlfn.XLOOKUP("",Assessment!H:H,Assessment!E:E)="yes"),"Yes","No")</f>
        <v>#N/A</v>
      </c>
      <c r="D1419" s="40" t="s">
        <v>9405</v>
      </c>
    </row>
    <row r="1420" spans="1:4" x14ac:dyDescent="0.35">
      <c r="A1420" s="40" t="e">
        <f>IF(OR(_xlfn.XLOOKUP("",Assessment!H:H,Assessment!E:E)="yes"),"Yes","No")</f>
        <v>#N/A</v>
      </c>
      <c r="D1420" s="40" t="s">
        <v>9405</v>
      </c>
    </row>
    <row r="1421" spans="1:4" x14ac:dyDescent="0.35">
      <c r="A1421" s="40" t="e">
        <f>IF(OR(_xlfn.XLOOKUP("",Assessment!H:H,Assessment!E:E)="yes"),"Yes","No")</f>
        <v>#N/A</v>
      </c>
      <c r="D1421" s="40" t="s">
        <v>9405</v>
      </c>
    </row>
    <row r="1422" spans="1:4" x14ac:dyDescent="0.35">
      <c r="A1422" s="40" t="e">
        <f>IF(OR(_xlfn.XLOOKUP("",Assessment!H:H,Assessment!E:E)="yes"),"Yes","No")</f>
        <v>#N/A</v>
      </c>
      <c r="D1422" s="40" t="s">
        <v>9405</v>
      </c>
    </row>
    <row r="1423" spans="1:4" x14ac:dyDescent="0.35">
      <c r="A1423" s="40" t="e">
        <f>IF(OR(_xlfn.XLOOKUP("",Assessment!H:H,Assessment!E:E)="yes"),"Yes","No")</f>
        <v>#N/A</v>
      </c>
      <c r="D1423" s="40" t="s">
        <v>9405</v>
      </c>
    </row>
    <row r="1424" spans="1:4" x14ac:dyDescent="0.35">
      <c r="A1424" s="40" t="e">
        <f>IF(OR(_xlfn.XLOOKUP("",Assessment!H:H,Assessment!E:E)="yes"),"Yes","No")</f>
        <v>#N/A</v>
      </c>
      <c r="D1424" s="40" t="s">
        <v>9405</v>
      </c>
    </row>
    <row r="1425" spans="1:4" x14ac:dyDescent="0.35">
      <c r="A1425" s="40" t="e">
        <f>IF(OR(_xlfn.XLOOKUP("",Assessment!H:H,Assessment!E:E)="yes"),"Yes","No")</f>
        <v>#N/A</v>
      </c>
      <c r="D1425" s="40" t="s">
        <v>9405</v>
      </c>
    </row>
    <row r="1426" spans="1:4" x14ac:dyDescent="0.35">
      <c r="A1426" s="40" t="e">
        <f>IF(OR(_xlfn.XLOOKUP("",Assessment!H:H,Assessment!E:E)="yes"),"Yes","No")</f>
        <v>#N/A</v>
      </c>
      <c r="D1426" s="40" t="s">
        <v>9405</v>
      </c>
    </row>
    <row r="1427" spans="1:4" x14ac:dyDescent="0.35">
      <c r="A1427" s="40" t="e">
        <f>IF(OR(_xlfn.XLOOKUP("",Assessment!H:H,Assessment!E:E)="yes"),"Yes","No")</f>
        <v>#N/A</v>
      </c>
      <c r="D1427" s="40" t="s">
        <v>9405</v>
      </c>
    </row>
    <row r="1428" spans="1:4" x14ac:dyDescent="0.35">
      <c r="A1428" s="40" t="e">
        <f>IF(OR(_xlfn.XLOOKUP("",Assessment!H:H,Assessment!E:E)="yes"),"Yes","No")</f>
        <v>#N/A</v>
      </c>
      <c r="D1428" s="40" t="s">
        <v>9405</v>
      </c>
    </row>
    <row r="1429" spans="1:4" x14ac:dyDescent="0.35">
      <c r="A1429" s="40" t="e">
        <f>IF(OR(_xlfn.XLOOKUP("",Assessment!H:H,Assessment!E:E)="yes"),"Yes","No")</f>
        <v>#N/A</v>
      </c>
      <c r="D1429" s="40" t="s">
        <v>9405</v>
      </c>
    </row>
    <row r="1430" spans="1:4" x14ac:dyDescent="0.35">
      <c r="A1430" s="40" t="e">
        <f>IF(OR(_xlfn.XLOOKUP("",Assessment!H:H,Assessment!E:E)="yes"),"Yes","No")</f>
        <v>#N/A</v>
      </c>
      <c r="D1430" s="40" t="s">
        <v>9405</v>
      </c>
    </row>
    <row r="1431" spans="1:4" x14ac:dyDescent="0.35">
      <c r="A1431" s="40" t="e">
        <f>IF(OR(_xlfn.XLOOKUP("",Assessment!H:H,Assessment!E:E)="yes"),"Yes","No")</f>
        <v>#N/A</v>
      </c>
      <c r="D1431" s="40" t="s">
        <v>9405</v>
      </c>
    </row>
    <row r="1432" spans="1:4" x14ac:dyDescent="0.35">
      <c r="A1432" s="40" t="e">
        <f>IF(OR(_xlfn.XLOOKUP("",Assessment!H:H,Assessment!E:E)="yes"),"Yes","No")</f>
        <v>#N/A</v>
      </c>
      <c r="D1432" s="40" t="s">
        <v>9405</v>
      </c>
    </row>
    <row r="1433" spans="1:4" x14ac:dyDescent="0.35">
      <c r="A1433" s="40" t="e">
        <f>IF(OR(_xlfn.XLOOKUP("",Assessment!H:H,Assessment!E:E)="yes"),"Yes","No")</f>
        <v>#N/A</v>
      </c>
      <c r="D1433" s="40" t="s">
        <v>9405</v>
      </c>
    </row>
    <row r="1434" spans="1:4" x14ac:dyDescent="0.35">
      <c r="A1434" s="40" t="e">
        <f>IF(OR(_xlfn.XLOOKUP("",Assessment!H:H,Assessment!E:E)="yes"),"Yes","No")</f>
        <v>#N/A</v>
      </c>
      <c r="D1434" s="40" t="s">
        <v>9405</v>
      </c>
    </row>
    <row r="1435" spans="1:4" x14ac:dyDescent="0.35">
      <c r="A1435" s="40" t="e">
        <f>IF(OR(_xlfn.XLOOKUP("",Assessment!H:H,Assessment!E:E)="yes"),"Yes","No")</f>
        <v>#N/A</v>
      </c>
      <c r="D1435" s="40" t="s">
        <v>9405</v>
      </c>
    </row>
    <row r="1436" spans="1:4" x14ac:dyDescent="0.35">
      <c r="A1436" s="40" t="e">
        <f>IF(OR(_xlfn.XLOOKUP("",Assessment!H:H,Assessment!E:E)="yes"),"Yes","No")</f>
        <v>#N/A</v>
      </c>
      <c r="D1436" s="40" t="s">
        <v>9405</v>
      </c>
    </row>
    <row r="1437" spans="1:4" x14ac:dyDescent="0.35">
      <c r="A1437" s="40" t="e">
        <f>IF(OR(_xlfn.XLOOKUP("",Assessment!H:H,Assessment!E:E)="yes"),"Yes","No")</f>
        <v>#N/A</v>
      </c>
      <c r="D1437" s="40" t="s">
        <v>9405</v>
      </c>
    </row>
    <row r="1438" spans="1:4" x14ac:dyDescent="0.35">
      <c r="A1438" s="40" t="e">
        <f>IF(OR(_xlfn.XLOOKUP("",Assessment!H:H,Assessment!E:E)="yes"),"Yes","No")</f>
        <v>#N/A</v>
      </c>
      <c r="D1438" s="40" t="s">
        <v>9405</v>
      </c>
    </row>
    <row r="1439" spans="1:4" x14ac:dyDescent="0.35">
      <c r="A1439" s="40" t="e">
        <f>IF(OR(_xlfn.XLOOKUP("",Assessment!H:H,Assessment!E:E)="yes"),"Yes","No")</f>
        <v>#N/A</v>
      </c>
      <c r="D1439" s="40" t="s">
        <v>9405</v>
      </c>
    </row>
    <row r="1440" spans="1:4" x14ac:dyDescent="0.35">
      <c r="A1440" s="40" t="e">
        <f>IF(OR(_xlfn.XLOOKUP("",Assessment!H:H,Assessment!E:E)="yes"),"Yes","No")</f>
        <v>#N/A</v>
      </c>
      <c r="D1440" s="40" t="s">
        <v>9405</v>
      </c>
    </row>
    <row r="1441" spans="1:4" x14ac:dyDescent="0.35">
      <c r="A1441" s="40" t="e">
        <f>IF(OR(_xlfn.XLOOKUP("",Assessment!H:H,Assessment!E:E)="yes"),"Yes","No")</f>
        <v>#N/A</v>
      </c>
      <c r="D1441" s="40" t="s">
        <v>9405</v>
      </c>
    </row>
    <row r="1442" spans="1:4" x14ac:dyDescent="0.35">
      <c r="A1442" s="40" t="e">
        <f>IF(OR(_xlfn.XLOOKUP("",Assessment!H:H,Assessment!E:E)="yes"),"Yes","No")</f>
        <v>#N/A</v>
      </c>
      <c r="D1442" s="40" t="s">
        <v>9405</v>
      </c>
    </row>
    <row r="1443" spans="1:4" x14ac:dyDescent="0.35">
      <c r="A1443" s="40" t="e">
        <f>IF(OR(_xlfn.XLOOKUP("",Assessment!H:H,Assessment!E:E)="yes"),"Yes","No")</f>
        <v>#N/A</v>
      </c>
      <c r="D1443" s="40" t="s">
        <v>9405</v>
      </c>
    </row>
    <row r="1444" spans="1:4" x14ac:dyDescent="0.35">
      <c r="A1444" s="40" t="e">
        <f>IF(OR(_xlfn.XLOOKUP("",Assessment!H:H,Assessment!E:E)="yes"),"Yes","No")</f>
        <v>#N/A</v>
      </c>
      <c r="D1444" s="40" t="s">
        <v>9405</v>
      </c>
    </row>
    <row r="1445" spans="1:4" x14ac:dyDescent="0.35">
      <c r="A1445" s="40" t="e">
        <f>IF(OR(_xlfn.XLOOKUP("",Assessment!H:H,Assessment!E:E)="yes"),"Yes","No")</f>
        <v>#N/A</v>
      </c>
      <c r="D1445" s="40" t="s">
        <v>9405</v>
      </c>
    </row>
    <row r="1446" spans="1:4" x14ac:dyDescent="0.35">
      <c r="A1446" s="40" t="e">
        <f>IF(OR(_xlfn.XLOOKUP("",Assessment!H:H,Assessment!E:E)="yes"),"Yes","No")</f>
        <v>#N/A</v>
      </c>
      <c r="D1446" s="40" t="s">
        <v>9405</v>
      </c>
    </row>
    <row r="1447" spans="1:4" x14ac:dyDescent="0.35">
      <c r="A1447" s="40" t="e">
        <f>IF(OR(_xlfn.XLOOKUP("",Assessment!H:H,Assessment!E:E)="yes"),"Yes","No")</f>
        <v>#N/A</v>
      </c>
      <c r="D1447" s="40" t="s">
        <v>9405</v>
      </c>
    </row>
    <row r="1448" spans="1:4" x14ac:dyDescent="0.35">
      <c r="A1448" s="40" t="e">
        <f>IF(OR(_xlfn.XLOOKUP("",Assessment!H:H,Assessment!E:E)="yes"),"Yes","No")</f>
        <v>#N/A</v>
      </c>
      <c r="D1448" s="40" t="s">
        <v>9405</v>
      </c>
    </row>
    <row r="1449" spans="1:4" x14ac:dyDescent="0.35">
      <c r="A1449" s="40" t="e">
        <f>IF(OR(_xlfn.XLOOKUP("",Assessment!H:H,Assessment!E:E)="yes"),"Yes","No")</f>
        <v>#N/A</v>
      </c>
      <c r="D1449" s="40" t="s">
        <v>9405</v>
      </c>
    </row>
    <row r="1450" spans="1:4" x14ac:dyDescent="0.35">
      <c r="A1450" s="40" t="e">
        <f>IF(OR(_xlfn.XLOOKUP("",Assessment!H:H,Assessment!E:E)="yes"),"Yes","No")</f>
        <v>#N/A</v>
      </c>
      <c r="D1450" s="40" t="s">
        <v>9405</v>
      </c>
    </row>
    <row r="1451" spans="1:4" x14ac:dyDescent="0.35">
      <c r="A1451" s="40" t="e">
        <f>IF(OR(_xlfn.XLOOKUP("",Assessment!H:H,Assessment!E:E)="yes"),"Yes","No")</f>
        <v>#N/A</v>
      </c>
      <c r="D1451" s="40" t="s">
        <v>9405</v>
      </c>
    </row>
    <row r="1452" spans="1:4" x14ac:dyDescent="0.35">
      <c r="A1452" s="40" t="e">
        <f>IF(OR(_xlfn.XLOOKUP("",Assessment!H:H,Assessment!E:E)="yes"),"Yes","No")</f>
        <v>#N/A</v>
      </c>
      <c r="D1452" s="40" t="s">
        <v>9405</v>
      </c>
    </row>
    <row r="1453" spans="1:4" x14ac:dyDescent="0.35">
      <c r="A1453" s="40" t="e">
        <f>IF(OR(_xlfn.XLOOKUP("",Assessment!H:H,Assessment!E:E)="yes"),"Yes","No")</f>
        <v>#N/A</v>
      </c>
      <c r="D1453" s="40" t="s">
        <v>9405</v>
      </c>
    </row>
    <row r="1454" spans="1:4" x14ac:dyDescent="0.35">
      <c r="A1454" s="40" t="e">
        <f>IF(OR(_xlfn.XLOOKUP("",Assessment!H:H,Assessment!E:E)="yes"),"Yes","No")</f>
        <v>#N/A</v>
      </c>
      <c r="D1454" s="40" t="s">
        <v>9405</v>
      </c>
    </row>
    <row r="1455" spans="1:4" x14ac:dyDescent="0.35">
      <c r="A1455" s="40" t="e">
        <f>IF(OR(_xlfn.XLOOKUP("",Assessment!H:H,Assessment!E:E)="yes"),"Yes","No")</f>
        <v>#N/A</v>
      </c>
      <c r="D1455" s="40" t="s">
        <v>9405</v>
      </c>
    </row>
    <row r="1456" spans="1:4" x14ac:dyDescent="0.35">
      <c r="A1456" s="40" t="e">
        <f>IF(OR(_xlfn.XLOOKUP("",Assessment!H:H,Assessment!E:E)="yes"),"Yes","No")</f>
        <v>#N/A</v>
      </c>
      <c r="D1456" s="40" t="s">
        <v>9405</v>
      </c>
    </row>
    <row r="1457" spans="1:4" x14ac:dyDescent="0.35">
      <c r="A1457" s="40" t="e">
        <f>IF(OR(_xlfn.XLOOKUP("",Assessment!H:H,Assessment!E:E)="yes"),"Yes","No")</f>
        <v>#N/A</v>
      </c>
      <c r="D1457" s="40" t="s">
        <v>9405</v>
      </c>
    </row>
    <row r="1458" spans="1:4" x14ac:dyDescent="0.35">
      <c r="A1458" s="40" t="e">
        <f>IF(OR(_xlfn.XLOOKUP("",Assessment!H:H,Assessment!E:E)="yes"),"Yes","No")</f>
        <v>#N/A</v>
      </c>
      <c r="D1458" s="40" t="s">
        <v>9405</v>
      </c>
    </row>
    <row r="1459" spans="1:4" x14ac:dyDescent="0.35">
      <c r="A1459" s="40" t="e">
        <f>IF(OR(_xlfn.XLOOKUP("",Assessment!H:H,Assessment!E:E)="yes"),"Yes","No")</f>
        <v>#N/A</v>
      </c>
      <c r="D1459" s="40" t="s">
        <v>9405</v>
      </c>
    </row>
    <row r="1460" spans="1:4" x14ac:dyDescent="0.35">
      <c r="A1460" s="40" t="e">
        <f>IF(OR(_xlfn.XLOOKUP("",Assessment!H:H,Assessment!E:E)="yes"),"Yes","No")</f>
        <v>#N/A</v>
      </c>
      <c r="D1460" s="40" t="s">
        <v>9405</v>
      </c>
    </row>
    <row r="1461" spans="1:4" x14ac:dyDescent="0.35">
      <c r="A1461" s="40" t="e">
        <f>IF(OR(_xlfn.XLOOKUP("",Assessment!H:H,Assessment!E:E)="yes"),"Yes","No")</f>
        <v>#N/A</v>
      </c>
      <c r="D1461" s="40" t="s">
        <v>9405</v>
      </c>
    </row>
    <row r="1462" spans="1:4" x14ac:dyDescent="0.35">
      <c r="A1462" s="40" t="e">
        <f>IF(OR(_xlfn.XLOOKUP("",Assessment!H:H,Assessment!E:E)="yes"),"Yes","No")</f>
        <v>#N/A</v>
      </c>
      <c r="D1462" s="40" t="s">
        <v>9405</v>
      </c>
    </row>
    <row r="1463" spans="1:4" x14ac:dyDescent="0.35">
      <c r="A1463" s="40" t="e">
        <f>IF(OR(_xlfn.XLOOKUP("",Assessment!H:H,Assessment!E:E)="yes"),"Yes","No")</f>
        <v>#N/A</v>
      </c>
      <c r="D1463" s="40" t="s">
        <v>9405</v>
      </c>
    </row>
    <row r="1464" spans="1:4" x14ac:dyDescent="0.35">
      <c r="A1464" s="40" t="e">
        <f>IF(OR(_xlfn.XLOOKUP("",Assessment!H:H,Assessment!E:E)="yes"),"Yes","No")</f>
        <v>#N/A</v>
      </c>
      <c r="D1464" s="40" t="s">
        <v>9405</v>
      </c>
    </row>
    <row r="1465" spans="1:4" x14ac:dyDescent="0.35">
      <c r="A1465" s="40" t="e">
        <f>IF(OR(_xlfn.XLOOKUP("",Assessment!H:H,Assessment!E:E)="yes"),"Yes","No")</f>
        <v>#N/A</v>
      </c>
      <c r="D1465" s="40" t="s">
        <v>9405</v>
      </c>
    </row>
    <row r="1466" spans="1:4" x14ac:dyDescent="0.35">
      <c r="A1466" s="40" t="e">
        <f>IF(OR(_xlfn.XLOOKUP("",Assessment!H:H,Assessment!E:E)="yes"),"Yes","No")</f>
        <v>#N/A</v>
      </c>
      <c r="D1466" s="40" t="s">
        <v>9405</v>
      </c>
    </row>
    <row r="1467" spans="1:4" x14ac:dyDescent="0.35">
      <c r="A1467" s="40" t="e">
        <f>IF(OR(_xlfn.XLOOKUP("",Assessment!H:H,Assessment!E:E)="yes"),"Yes","No")</f>
        <v>#N/A</v>
      </c>
      <c r="D1467" s="40" t="s">
        <v>9405</v>
      </c>
    </row>
    <row r="1468" spans="1:4" x14ac:dyDescent="0.35">
      <c r="A1468" s="40" t="e">
        <f>IF(OR(_xlfn.XLOOKUP("",Assessment!H:H,Assessment!E:E)="yes"),"Yes","No")</f>
        <v>#N/A</v>
      </c>
      <c r="D1468" s="40" t="s">
        <v>9405</v>
      </c>
    </row>
    <row r="1469" spans="1:4" x14ac:dyDescent="0.35">
      <c r="A1469" s="40" t="e">
        <f>IF(OR(_xlfn.XLOOKUP("",Assessment!H:H,Assessment!E:E)="yes"),"Yes","No")</f>
        <v>#N/A</v>
      </c>
      <c r="D1469" s="40" t="s">
        <v>9405</v>
      </c>
    </row>
    <row r="1470" spans="1:4" x14ac:dyDescent="0.35">
      <c r="A1470" s="40" t="e">
        <f>IF(OR(_xlfn.XLOOKUP("",Assessment!H:H,Assessment!E:E)="yes"),"Yes","No")</f>
        <v>#N/A</v>
      </c>
      <c r="D1470" s="40" t="s">
        <v>9405</v>
      </c>
    </row>
    <row r="1471" spans="1:4" x14ac:dyDescent="0.35">
      <c r="A1471" s="40" t="e">
        <f>IF(OR(_xlfn.XLOOKUP("",Assessment!H:H,Assessment!E:E)="yes"),"Yes","No")</f>
        <v>#N/A</v>
      </c>
      <c r="D1471" s="40" t="s">
        <v>9405</v>
      </c>
    </row>
    <row r="1472" spans="1:4" x14ac:dyDescent="0.35">
      <c r="A1472" s="40" t="e">
        <f>IF(OR(_xlfn.XLOOKUP("",Assessment!H:H,Assessment!E:E)="yes"),"Yes","No")</f>
        <v>#N/A</v>
      </c>
      <c r="D1472" s="40" t="s">
        <v>9405</v>
      </c>
    </row>
    <row r="1473" spans="1:4" x14ac:dyDescent="0.35">
      <c r="A1473" s="40" t="e">
        <f>IF(OR(_xlfn.XLOOKUP("",Assessment!H:H,Assessment!E:E)="yes"),"Yes","No")</f>
        <v>#N/A</v>
      </c>
      <c r="D1473" s="40" t="s">
        <v>9405</v>
      </c>
    </row>
    <row r="1474" spans="1:4" x14ac:dyDescent="0.35">
      <c r="A1474" s="40" t="e">
        <f>IF(OR(_xlfn.XLOOKUP("",Assessment!H:H,Assessment!E:E)="yes"),"Yes","No")</f>
        <v>#N/A</v>
      </c>
      <c r="D1474" s="40" t="s">
        <v>9405</v>
      </c>
    </row>
    <row r="1475" spans="1:4" x14ac:dyDescent="0.35">
      <c r="A1475" s="40" t="e">
        <f>IF(OR(_xlfn.XLOOKUP("",Assessment!H:H,Assessment!E:E)="yes"),"Yes","No")</f>
        <v>#N/A</v>
      </c>
      <c r="D1475" s="40" t="s">
        <v>9405</v>
      </c>
    </row>
    <row r="1476" spans="1:4" x14ac:dyDescent="0.35">
      <c r="A1476" s="40" t="e">
        <f>IF(OR(_xlfn.XLOOKUP("",Assessment!H:H,Assessment!E:E)="yes"),"Yes","No")</f>
        <v>#N/A</v>
      </c>
      <c r="D1476" s="40" t="s">
        <v>9405</v>
      </c>
    </row>
    <row r="1477" spans="1:4" x14ac:dyDescent="0.35">
      <c r="A1477" s="40" t="e">
        <f>IF(OR(_xlfn.XLOOKUP("",Assessment!H:H,Assessment!E:E)="yes"),"Yes","No")</f>
        <v>#N/A</v>
      </c>
      <c r="D1477" s="40" t="s">
        <v>9405</v>
      </c>
    </row>
    <row r="1478" spans="1:4" x14ac:dyDescent="0.35">
      <c r="A1478" s="40" t="e">
        <f>IF(OR(_xlfn.XLOOKUP("",Assessment!H:H,Assessment!E:E)="yes"),"Yes","No")</f>
        <v>#N/A</v>
      </c>
      <c r="D1478" s="40" t="s">
        <v>9405</v>
      </c>
    </row>
    <row r="1479" spans="1:4" x14ac:dyDescent="0.35">
      <c r="A1479" s="40" t="e">
        <f>IF(OR(_xlfn.XLOOKUP("",Assessment!H:H,Assessment!E:E)="yes"),"Yes","No")</f>
        <v>#N/A</v>
      </c>
      <c r="D1479" s="40" t="s">
        <v>9405</v>
      </c>
    </row>
    <row r="1480" spans="1:4" x14ac:dyDescent="0.35">
      <c r="A1480" s="40" t="e">
        <f>IF(OR(_xlfn.XLOOKUP("",Assessment!H:H,Assessment!E:E)="yes"),"Yes","No")</f>
        <v>#N/A</v>
      </c>
      <c r="D1480" s="40" t="s">
        <v>9405</v>
      </c>
    </row>
    <row r="1481" spans="1:4" x14ac:dyDescent="0.35">
      <c r="A1481" s="40" t="e">
        <f>IF(OR(_xlfn.XLOOKUP("",Assessment!H:H,Assessment!E:E)="yes"),"Yes","No")</f>
        <v>#N/A</v>
      </c>
      <c r="D1481" s="40" t="s">
        <v>9405</v>
      </c>
    </row>
    <row r="1482" spans="1:4" x14ac:dyDescent="0.35">
      <c r="A1482" s="40" t="e">
        <f>IF(OR(_xlfn.XLOOKUP("",Assessment!H:H,Assessment!E:E)="yes"),"Yes","No")</f>
        <v>#N/A</v>
      </c>
      <c r="D1482" s="40" t="s">
        <v>9405</v>
      </c>
    </row>
    <row r="1483" spans="1:4" x14ac:dyDescent="0.35">
      <c r="A1483" s="40" t="e">
        <f>IF(OR(_xlfn.XLOOKUP("",Assessment!H:H,Assessment!E:E)="yes"),"Yes","No")</f>
        <v>#N/A</v>
      </c>
      <c r="D1483" s="40" t="s">
        <v>9405</v>
      </c>
    </row>
    <row r="1484" spans="1:4" x14ac:dyDescent="0.35">
      <c r="A1484" s="40" t="e">
        <f>IF(OR(_xlfn.XLOOKUP("",Assessment!H:H,Assessment!E:E)="yes"),"Yes","No")</f>
        <v>#N/A</v>
      </c>
      <c r="D1484" s="40" t="s">
        <v>9405</v>
      </c>
    </row>
    <row r="1485" spans="1:4" x14ac:dyDescent="0.35">
      <c r="A1485" s="40" t="e">
        <f>IF(OR(_xlfn.XLOOKUP("",Assessment!H:H,Assessment!E:E)="yes"),"Yes","No")</f>
        <v>#N/A</v>
      </c>
      <c r="D1485" s="40" t="s">
        <v>9405</v>
      </c>
    </row>
    <row r="1486" spans="1:4" x14ac:dyDescent="0.35">
      <c r="A1486" s="40" t="e">
        <f>IF(OR(_xlfn.XLOOKUP("",Assessment!H:H,Assessment!E:E)="yes"),"Yes","No")</f>
        <v>#N/A</v>
      </c>
      <c r="D1486" s="40" t="s">
        <v>9405</v>
      </c>
    </row>
    <row r="1487" spans="1:4" x14ac:dyDescent="0.35">
      <c r="A1487" s="40" t="e">
        <f>IF(OR(_xlfn.XLOOKUP("",Assessment!H:H,Assessment!E:E)="yes"),"Yes","No")</f>
        <v>#N/A</v>
      </c>
      <c r="D1487" s="40" t="s">
        <v>9405</v>
      </c>
    </row>
    <row r="1488" spans="1:4" x14ac:dyDescent="0.35">
      <c r="A1488" s="40" t="e">
        <f>IF(OR(_xlfn.XLOOKUP("",Assessment!H:H,Assessment!E:E)="yes"),"Yes","No")</f>
        <v>#N/A</v>
      </c>
      <c r="D1488" s="40" t="s">
        <v>9405</v>
      </c>
    </row>
    <row r="1489" spans="1:4" x14ac:dyDescent="0.35">
      <c r="A1489" s="40" t="e">
        <f>IF(OR(_xlfn.XLOOKUP("",Assessment!H:H,Assessment!E:E)="yes"),"Yes","No")</f>
        <v>#N/A</v>
      </c>
      <c r="D1489" s="40" t="s">
        <v>9405</v>
      </c>
    </row>
    <row r="1490" spans="1:4" x14ac:dyDescent="0.35">
      <c r="A1490" s="40" t="e">
        <f>IF(OR(_xlfn.XLOOKUP("",Assessment!H:H,Assessment!E:E)="yes"),"Yes","No")</f>
        <v>#N/A</v>
      </c>
      <c r="D1490" s="40" t="s">
        <v>9405</v>
      </c>
    </row>
    <row r="1491" spans="1:4" x14ac:dyDescent="0.35">
      <c r="A1491" s="40" t="e">
        <f>IF(OR(_xlfn.XLOOKUP("",Assessment!H:H,Assessment!E:E)="yes"),"Yes","No")</f>
        <v>#N/A</v>
      </c>
      <c r="D1491" s="40" t="s">
        <v>9405</v>
      </c>
    </row>
    <row r="1492" spans="1:4" x14ac:dyDescent="0.35">
      <c r="A1492" s="40" t="e">
        <f>IF(OR(_xlfn.XLOOKUP("",Assessment!H:H,Assessment!E:E)="yes"),"Yes","No")</f>
        <v>#N/A</v>
      </c>
      <c r="D1492" s="40" t="s">
        <v>9405</v>
      </c>
    </row>
    <row r="1493" spans="1:4" x14ac:dyDescent="0.35">
      <c r="A1493" s="40" t="e">
        <f>IF(OR(_xlfn.XLOOKUP("",Assessment!H:H,Assessment!E:E)="yes"),"Yes","No")</f>
        <v>#N/A</v>
      </c>
      <c r="D1493" s="40" t="s">
        <v>9405</v>
      </c>
    </row>
    <row r="1494" spans="1:4" x14ac:dyDescent="0.35">
      <c r="A1494" s="40" t="e">
        <f>IF(OR(_xlfn.XLOOKUP("",Assessment!H:H,Assessment!E:E)="yes"),"Yes","No")</f>
        <v>#N/A</v>
      </c>
      <c r="D1494" s="40" t="s">
        <v>9405</v>
      </c>
    </row>
    <row r="1495" spans="1:4" x14ac:dyDescent="0.35">
      <c r="A1495" s="40" t="e">
        <f>IF(OR(_xlfn.XLOOKUP("",Assessment!H:H,Assessment!E:E)="yes"),"Yes","No")</f>
        <v>#N/A</v>
      </c>
      <c r="D1495" s="40" t="s">
        <v>9405</v>
      </c>
    </row>
    <row r="1496" spans="1:4" x14ac:dyDescent="0.35">
      <c r="A1496" s="40" t="e">
        <f>IF(OR(_xlfn.XLOOKUP("",Assessment!H:H,Assessment!E:E)="yes"),"Yes","No")</f>
        <v>#N/A</v>
      </c>
      <c r="D1496" s="40" t="s">
        <v>9405</v>
      </c>
    </row>
    <row r="1497" spans="1:4" x14ac:dyDescent="0.35">
      <c r="A1497" s="40" t="e">
        <f>IF(OR(_xlfn.XLOOKUP("",Assessment!H:H,Assessment!E:E)="yes"),"Yes","No")</f>
        <v>#N/A</v>
      </c>
      <c r="D1497" s="40" t="s">
        <v>9405</v>
      </c>
    </row>
    <row r="1498" spans="1:4" x14ac:dyDescent="0.35">
      <c r="A1498" s="40" t="e">
        <f>IF(OR(_xlfn.XLOOKUP("",Assessment!H:H,Assessment!E:E)="yes"),"Yes","No")</f>
        <v>#N/A</v>
      </c>
      <c r="D1498" s="40" t="s">
        <v>9405</v>
      </c>
    </row>
    <row r="1499" spans="1:4" x14ac:dyDescent="0.35">
      <c r="A1499" s="40" t="e">
        <f>IF(OR(_xlfn.XLOOKUP("",Assessment!H:H,Assessment!E:E)="yes"),"Yes","No")</f>
        <v>#N/A</v>
      </c>
      <c r="D1499" s="40" t="s">
        <v>9405</v>
      </c>
    </row>
    <row r="1500" spans="1:4" x14ac:dyDescent="0.35">
      <c r="A1500" s="40" t="e">
        <f>IF(OR(_xlfn.XLOOKUP("",Assessment!H:H,Assessment!E:E)="yes"),"Yes","No")</f>
        <v>#N/A</v>
      </c>
      <c r="D1500" s="40" t="s">
        <v>9405</v>
      </c>
    </row>
    <row r="1501" spans="1:4" x14ac:dyDescent="0.35">
      <c r="A1501" s="40" t="e">
        <f>IF(OR(_xlfn.XLOOKUP("",Assessment!H:H,Assessment!E:E)="yes"),"Yes","No")</f>
        <v>#N/A</v>
      </c>
      <c r="D1501" s="40" t="s">
        <v>9405</v>
      </c>
    </row>
    <row r="1502" spans="1:4" x14ac:dyDescent="0.35">
      <c r="A1502" s="40" t="e">
        <f>IF(OR(_xlfn.XLOOKUP("",Assessment!H:H,Assessment!E:E)="yes"),"Yes","No")</f>
        <v>#N/A</v>
      </c>
      <c r="D1502" s="40" t="s">
        <v>9405</v>
      </c>
    </row>
    <row r="1503" spans="1:4" x14ac:dyDescent="0.35">
      <c r="A1503" s="40" t="e">
        <f>IF(OR(_xlfn.XLOOKUP("",Assessment!H:H,Assessment!E:E)="yes"),"Yes","No")</f>
        <v>#N/A</v>
      </c>
      <c r="D1503" s="40" t="s">
        <v>9405</v>
      </c>
    </row>
    <row r="1504" spans="1:4" x14ac:dyDescent="0.35">
      <c r="A1504" s="40" t="e">
        <f>IF(OR(_xlfn.XLOOKUP("",Assessment!H:H,Assessment!E:E)="yes"),"Yes","No")</f>
        <v>#N/A</v>
      </c>
      <c r="D1504" s="40" t="s">
        <v>9405</v>
      </c>
    </row>
    <row r="1505" spans="1:4" x14ac:dyDescent="0.35">
      <c r="A1505" s="40" t="e">
        <f>IF(OR(_xlfn.XLOOKUP("",Assessment!H:H,Assessment!E:E)="yes"),"Yes","No")</f>
        <v>#N/A</v>
      </c>
      <c r="D1505" s="40" t="s">
        <v>9405</v>
      </c>
    </row>
    <row r="1506" spans="1:4" x14ac:dyDescent="0.35">
      <c r="A1506" s="40" t="e">
        <f>IF(OR(_xlfn.XLOOKUP("",Assessment!H:H,Assessment!E:E)="yes"),"Yes","No")</f>
        <v>#N/A</v>
      </c>
      <c r="D1506" s="40" t="s">
        <v>9405</v>
      </c>
    </row>
    <row r="1507" spans="1:4" x14ac:dyDescent="0.35">
      <c r="A1507" s="40" t="e">
        <f>IF(OR(_xlfn.XLOOKUP("",Assessment!H:H,Assessment!E:E)="yes"),"Yes","No")</f>
        <v>#N/A</v>
      </c>
      <c r="D1507" s="40" t="s">
        <v>9405</v>
      </c>
    </row>
    <row r="1508" spans="1:4" x14ac:dyDescent="0.35">
      <c r="A1508" s="40" t="e">
        <f>IF(OR(_xlfn.XLOOKUP("",Assessment!H:H,Assessment!E:E)="yes"),"Yes","No")</f>
        <v>#N/A</v>
      </c>
      <c r="D1508" s="40" t="s">
        <v>9405</v>
      </c>
    </row>
    <row r="1509" spans="1:4" x14ac:dyDescent="0.35">
      <c r="A1509" s="40" t="e">
        <f>IF(OR(_xlfn.XLOOKUP("",Assessment!H:H,Assessment!E:E)="yes"),"Yes","No")</f>
        <v>#N/A</v>
      </c>
      <c r="D1509" s="40" t="s">
        <v>9405</v>
      </c>
    </row>
    <row r="1510" spans="1:4" x14ac:dyDescent="0.35">
      <c r="A1510" s="40" t="e">
        <f>IF(OR(_xlfn.XLOOKUP("",Assessment!H:H,Assessment!E:E)="yes"),"Yes","No")</f>
        <v>#N/A</v>
      </c>
      <c r="D1510" s="40" t="s">
        <v>9405</v>
      </c>
    </row>
    <row r="1511" spans="1:4" x14ac:dyDescent="0.35">
      <c r="A1511" s="40" t="e">
        <f>IF(OR(_xlfn.XLOOKUP("",Assessment!H:H,Assessment!E:E)="yes"),"Yes","No")</f>
        <v>#N/A</v>
      </c>
      <c r="D1511" s="40" t="s">
        <v>9405</v>
      </c>
    </row>
    <row r="1512" spans="1:4" x14ac:dyDescent="0.35">
      <c r="A1512" s="40" t="e">
        <f>IF(OR(_xlfn.XLOOKUP("",Assessment!H:H,Assessment!E:E)="yes"),"Yes","No")</f>
        <v>#N/A</v>
      </c>
      <c r="D1512" s="40" t="s">
        <v>9405</v>
      </c>
    </row>
    <row r="1513" spans="1:4" x14ac:dyDescent="0.35">
      <c r="A1513" s="40" t="e">
        <f>IF(OR(_xlfn.XLOOKUP("",Assessment!H:H,Assessment!E:E)="yes"),"Yes","No")</f>
        <v>#N/A</v>
      </c>
      <c r="D1513" s="40" t="s">
        <v>9405</v>
      </c>
    </row>
    <row r="1514" spans="1:4" x14ac:dyDescent="0.35">
      <c r="A1514" s="40" t="e">
        <f>IF(OR(_xlfn.XLOOKUP("",Assessment!H:H,Assessment!E:E)="yes"),"Yes","No")</f>
        <v>#N/A</v>
      </c>
      <c r="D1514" s="40" t="s">
        <v>9405</v>
      </c>
    </row>
    <row r="1515" spans="1:4" x14ac:dyDescent="0.35">
      <c r="A1515" s="40" t="e">
        <f>IF(OR(_xlfn.XLOOKUP("",Assessment!H:H,Assessment!E:E)="yes"),"Yes","No")</f>
        <v>#N/A</v>
      </c>
      <c r="D1515" s="40" t="s">
        <v>9405</v>
      </c>
    </row>
    <row r="1516" spans="1:4" x14ac:dyDescent="0.35">
      <c r="A1516" s="40" t="e">
        <f>IF(OR(_xlfn.XLOOKUP("",Assessment!H:H,Assessment!E:E)="yes"),"Yes","No")</f>
        <v>#N/A</v>
      </c>
      <c r="D1516" s="40" t="s">
        <v>9405</v>
      </c>
    </row>
    <row r="1517" spans="1:4" x14ac:dyDescent="0.35">
      <c r="A1517" s="40" t="e">
        <f>IF(OR(_xlfn.XLOOKUP("",Assessment!H:H,Assessment!E:E)="yes"),"Yes","No")</f>
        <v>#N/A</v>
      </c>
      <c r="D1517" s="40" t="s">
        <v>9405</v>
      </c>
    </row>
    <row r="1518" spans="1:4" x14ac:dyDescent="0.35">
      <c r="A1518" s="40" t="e">
        <f>IF(OR(_xlfn.XLOOKUP("",Assessment!H:H,Assessment!E:E)="yes"),"Yes","No")</f>
        <v>#N/A</v>
      </c>
      <c r="D1518" s="40" t="s">
        <v>9405</v>
      </c>
    </row>
    <row r="1519" spans="1:4" x14ac:dyDescent="0.35">
      <c r="A1519" s="40" t="e">
        <f>IF(OR(_xlfn.XLOOKUP("",Assessment!H:H,Assessment!E:E)="yes"),"Yes","No")</f>
        <v>#N/A</v>
      </c>
      <c r="D1519" s="40" t="s">
        <v>9405</v>
      </c>
    </row>
    <row r="1520" spans="1:4" x14ac:dyDescent="0.35">
      <c r="A1520" s="40" t="e">
        <f>IF(OR(_xlfn.XLOOKUP("",Assessment!H:H,Assessment!E:E)="yes"),"Yes","No")</f>
        <v>#N/A</v>
      </c>
      <c r="D1520" s="40" t="s">
        <v>9405</v>
      </c>
    </row>
    <row r="1521" spans="1:4" x14ac:dyDescent="0.35">
      <c r="A1521" s="40" t="e">
        <f>IF(OR(_xlfn.XLOOKUP("",Assessment!H:H,Assessment!E:E)="yes"),"Yes","No")</f>
        <v>#N/A</v>
      </c>
      <c r="D1521" s="40" t="s">
        <v>9405</v>
      </c>
    </row>
    <row r="1522" spans="1:4" x14ac:dyDescent="0.35">
      <c r="A1522" s="40" t="e">
        <f>IF(OR(_xlfn.XLOOKUP("",Assessment!H:H,Assessment!E:E)="yes"),"Yes","No")</f>
        <v>#N/A</v>
      </c>
      <c r="D1522" s="40" t="s">
        <v>9405</v>
      </c>
    </row>
    <row r="1523" spans="1:4" x14ac:dyDescent="0.35">
      <c r="A1523" s="40" t="e">
        <f>IF(OR(_xlfn.XLOOKUP("",Assessment!H:H,Assessment!E:E)="yes"),"Yes","No")</f>
        <v>#N/A</v>
      </c>
      <c r="D1523" s="40" t="s">
        <v>9405</v>
      </c>
    </row>
    <row r="1524" spans="1:4" x14ac:dyDescent="0.35">
      <c r="A1524" s="40" t="e">
        <f>IF(OR(_xlfn.XLOOKUP("",Assessment!H:H,Assessment!E:E)="yes"),"Yes","No")</f>
        <v>#N/A</v>
      </c>
      <c r="D1524" s="40" t="s">
        <v>9405</v>
      </c>
    </row>
    <row r="1525" spans="1:4" x14ac:dyDescent="0.35">
      <c r="A1525" s="40" t="e">
        <f>IF(OR(_xlfn.XLOOKUP("",Assessment!H:H,Assessment!E:E)="yes"),"Yes","No")</f>
        <v>#N/A</v>
      </c>
      <c r="D1525" s="40" t="s">
        <v>9405</v>
      </c>
    </row>
    <row r="1526" spans="1:4" x14ac:dyDescent="0.35">
      <c r="A1526" s="40" t="e">
        <f>IF(OR(_xlfn.XLOOKUP("",Assessment!H:H,Assessment!E:E)="yes"),"Yes","No")</f>
        <v>#N/A</v>
      </c>
      <c r="D1526" s="40" t="s">
        <v>9405</v>
      </c>
    </row>
    <row r="1527" spans="1:4" x14ac:dyDescent="0.35">
      <c r="A1527" s="40" t="e">
        <f>IF(OR(_xlfn.XLOOKUP("",Assessment!H:H,Assessment!E:E)="yes"),"Yes","No")</f>
        <v>#N/A</v>
      </c>
      <c r="D1527" s="40" t="s">
        <v>9405</v>
      </c>
    </row>
    <row r="1528" spans="1:4" x14ac:dyDescent="0.35">
      <c r="A1528" s="40" t="e">
        <f>IF(OR(_xlfn.XLOOKUP("",Assessment!H:H,Assessment!E:E)="yes"),"Yes","No")</f>
        <v>#N/A</v>
      </c>
      <c r="D1528" s="40" t="s">
        <v>9405</v>
      </c>
    </row>
    <row r="1529" spans="1:4" x14ac:dyDescent="0.35">
      <c r="A1529" s="40" t="e">
        <f>IF(OR(_xlfn.XLOOKUP("",Assessment!H:H,Assessment!E:E)="yes"),"Yes","No")</f>
        <v>#N/A</v>
      </c>
      <c r="D1529" s="40" t="s">
        <v>9405</v>
      </c>
    </row>
    <row r="1530" spans="1:4" x14ac:dyDescent="0.35">
      <c r="A1530" s="40" t="e">
        <f>IF(OR(_xlfn.XLOOKUP("",Assessment!H:H,Assessment!E:E)="yes"),"Yes","No")</f>
        <v>#N/A</v>
      </c>
      <c r="D1530" s="40" t="s">
        <v>9405</v>
      </c>
    </row>
    <row r="1531" spans="1:4" x14ac:dyDescent="0.35">
      <c r="A1531" s="40" t="e">
        <f>IF(OR(_xlfn.XLOOKUP("",Assessment!H:H,Assessment!E:E)="yes"),"Yes","No")</f>
        <v>#N/A</v>
      </c>
      <c r="D1531" s="40" t="s">
        <v>9405</v>
      </c>
    </row>
    <row r="1532" spans="1:4" x14ac:dyDescent="0.35">
      <c r="A1532" s="40" t="e">
        <f>IF(OR(_xlfn.XLOOKUP("",Assessment!H:H,Assessment!E:E)="yes"),"Yes","No")</f>
        <v>#N/A</v>
      </c>
      <c r="D1532" s="40" t="s">
        <v>9405</v>
      </c>
    </row>
    <row r="1533" spans="1:4" x14ac:dyDescent="0.35">
      <c r="A1533" s="40" t="e">
        <f>IF(OR(_xlfn.XLOOKUP("",Assessment!H:H,Assessment!E:E)="yes"),"Yes","No")</f>
        <v>#N/A</v>
      </c>
      <c r="D1533" s="40" t="s">
        <v>9405</v>
      </c>
    </row>
    <row r="1534" spans="1:4" x14ac:dyDescent="0.35">
      <c r="A1534" s="40" t="e">
        <f>IF(OR(_xlfn.XLOOKUP("",Assessment!H:H,Assessment!E:E)="yes"),"Yes","No")</f>
        <v>#N/A</v>
      </c>
      <c r="D1534" s="40" t="s">
        <v>9405</v>
      </c>
    </row>
    <row r="1535" spans="1:4" x14ac:dyDescent="0.35">
      <c r="A1535" s="40" t="e">
        <f>IF(OR(_xlfn.XLOOKUP("",Assessment!H:H,Assessment!E:E)="yes"),"Yes","No")</f>
        <v>#N/A</v>
      </c>
      <c r="D1535" s="40" t="s">
        <v>9405</v>
      </c>
    </row>
    <row r="1536" spans="1:4" x14ac:dyDescent="0.35">
      <c r="A1536" s="40" t="e">
        <f>IF(OR(_xlfn.XLOOKUP("",Assessment!H:H,Assessment!E:E)="yes"),"Yes","No")</f>
        <v>#N/A</v>
      </c>
      <c r="D1536" s="40" t="s">
        <v>9405</v>
      </c>
    </row>
    <row r="1537" spans="1:4" x14ac:dyDescent="0.35">
      <c r="A1537" s="40" t="e">
        <f>IF(OR(_xlfn.XLOOKUP("",Assessment!H:H,Assessment!E:E)="yes"),"Yes","No")</f>
        <v>#N/A</v>
      </c>
      <c r="D1537" s="40" t="s">
        <v>9405</v>
      </c>
    </row>
    <row r="1538" spans="1:4" x14ac:dyDescent="0.35">
      <c r="A1538" s="40" t="e">
        <f>IF(OR(_xlfn.XLOOKUP("",Assessment!H:H,Assessment!E:E)="yes"),"Yes","No")</f>
        <v>#N/A</v>
      </c>
      <c r="D1538" s="40" t="s">
        <v>9405</v>
      </c>
    </row>
    <row r="1539" spans="1:4" x14ac:dyDescent="0.35">
      <c r="A1539" s="40" t="e">
        <f>IF(OR(_xlfn.XLOOKUP("",Assessment!H:H,Assessment!E:E)="yes"),"Yes","No")</f>
        <v>#N/A</v>
      </c>
      <c r="D1539" s="40" t="s">
        <v>9405</v>
      </c>
    </row>
    <row r="1540" spans="1:4" x14ac:dyDescent="0.35">
      <c r="A1540" s="40" t="e">
        <f>IF(OR(_xlfn.XLOOKUP("",Assessment!H:H,Assessment!E:E)="yes"),"Yes","No")</f>
        <v>#N/A</v>
      </c>
      <c r="D1540" s="40" t="s">
        <v>9405</v>
      </c>
    </row>
    <row r="1541" spans="1:4" x14ac:dyDescent="0.35">
      <c r="A1541" s="40" t="e">
        <f>IF(OR(_xlfn.XLOOKUP("",Assessment!H:H,Assessment!E:E)="yes"),"Yes","No")</f>
        <v>#N/A</v>
      </c>
      <c r="D1541" s="40" t="s">
        <v>9405</v>
      </c>
    </row>
    <row r="1542" spans="1:4" x14ac:dyDescent="0.35">
      <c r="A1542" s="40" t="e">
        <f>IF(OR(_xlfn.XLOOKUP("",Assessment!H:H,Assessment!E:E)="yes"),"Yes","No")</f>
        <v>#N/A</v>
      </c>
      <c r="D1542" s="40" t="s">
        <v>9405</v>
      </c>
    </row>
    <row r="1543" spans="1:4" x14ac:dyDescent="0.35">
      <c r="A1543" s="40" t="e">
        <f>IF(OR(_xlfn.XLOOKUP("",Assessment!H:H,Assessment!E:E)="yes"),"Yes","No")</f>
        <v>#N/A</v>
      </c>
      <c r="D1543" s="40" t="s">
        <v>9405</v>
      </c>
    </row>
    <row r="1544" spans="1:4" x14ac:dyDescent="0.35">
      <c r="A1544" s="40" t="e">
        <f>IF(OR(_xlfn.XLOOKUP("",Assessment!H:H,Assessment!E:E)="yes"),"Yes","No")</f>
        <v>#N/A</v>
      </c>
      <c r="D1544" s="40" t="s">
        <v>9405</v>
      </c>
    </row>
    <row r="1545" spans="1:4" x14ac:dyDescent="0.35">
      <c r="A1545" s="40" t="e">
        <f>IF(OR(_xlfn.XLOOKUP("",Assessment!H:H,Assessment!E:E)="yes"),"Yes","No")</f>
        <v>#N/A</v>
      </c>
      <c r="D1545" s="40" t="s">
        <v>9405</v>
      </c>
    </row>
    <row r="1546" spans="1:4" x14ac:dyDescent="0.35">
      <c r="A1546" s="40" t="e">
        <f>IF(OR(_xlfn.XLOOKUP("",Assessment!H:H,Assessment!E:E)="yes"),"Yes","No")</f>
        <v>#N/A</v>
      </c>
      <c r="D1546" s="40" t="s">
        <v>9405</v>
      </c>
    </row>
    <row r="1547" spans="1:4" x14ac:dyDescent="0.35">
      <c r="A1547" s="40" t="e">
        <f>IF(OR(_xlfn.XLOOKUP("",Assessment!H:H,Assessment!E:E)="yes"),"Yes","No")</f>
        <v>#N/A</v>
      </c>
      <c r="D1547" s="40" t="s">
        <v>9405</v>
      </c>
    </row>
    <row r="1548" spans="1:4" x14ac:dyDescent="0.35">
      <c r="A1548" s="40" t="e">
        <f>IF(OR(_xlfn.XLOOKUP("",Assessment!H:H,Assessment!E:E)="yes"),"Yes","No")</f>
        <v>#N/A</v>
      </c>
      <c r="D1548" s="40" t="s">
        <v>9405</v>
      </c>
    </row>
    <row r="1549" spans="1:4" x14ac:dyDescent="0.35">
      <c r="A1549" s="40" t="e">
        <f>IF(OR(_xlfn.XLOOKUP("",Assessment!H:H,Assessment!E:E)="yes"),"Yes","No")</f>
        <v>#N/A</v>
      </c>
      <c r="D1549" s="40" t="s">
        <v>9405</v>
      </c>
    </row>
    <row r="1550" spans="1:4" x14ac:dyDescent="0.35">
      <c r="A1550" s="40" t="e">
        <f>IF(OR(_xlfn.XLOOKUP("",Assessment!H:H,Assessment!E:E)="yes"),"Yes","No")</f>
        <v>#N/A</v>
      </c>
      <c r="D1550" s="40" t="s">
        <v>9405</v>
      </c>
    </row>
    <row r="1551" spans="1:4" x14ac:dyDescent="0.35">
      <c r="A1551" s="40" t="e">
        <f>IF(OR(_xlfn.XLOOKUP("",Assessment!H:H,Assessment!E:E)="yes"),"Yes","No")</f>
        <v>#N/A</v>
      </c>
      <c r="D1551" s="40" t="s">
        <v>9405</v>
      </c>
    </row>
    <row r="1552" spans="1:4" x14ac:dyDescent="0.35">
      <c r="A1552" s="40" t="e">
        <f>IF(OR(_xlfn.XLOOKUP("",Assessment!H:H,Assessment!E:E)="yes"),"Yes","No")</f>
        <v>#N/A</v>
      </c>
      <c r="D1552" s="40" t="s">
        <v>9405</v>
      </c>
    </row>
    <row r="1553" spans="1:4" x14ac:dyDescent="0.35">
      <c r="A1553" s="40" t="e">
        <f>IF(OR(_xlfn.XLOOKUP("",Assessment!H:H,Assessment!E:E)="yes"),"Yes","No")</f>
        <v>#N/A</v>
      </c>
      <c r="D1553" s="40" t="s">
        <v>9405</v>
      </c>
    </row>
    <row r="1554" spans="1:4" x14ac:dyDescent="0.35">
      <c r="A1554" s="40" t="e">
        <f>IF(OR(_xlfn.XLOOKUP("",Assessment!H:H,Assessment!E:E)="yes"),"Yes","No")</f>
        <v>#N/A</v>
      </c>
      <c r="D1554" s="40" t="s">
        <v>9405</v>
      </c>
    </row>
    <row r="1555" spans="1:4" x14ac:dyDescent="0.35">
      <c r="A1555" s="40" t="e">
        <f>IF(OR(_xlfn.XLOOKUP("",Assessment!H:H,Assessment!E:E)="yes"),"Yes","No")</f>
        <v>#N/A</v>
      </c>
      <c r="D1555" s="40" t="s">
        <v>9405</v>
      </c>
    </row>
    <row r="1556" spans="1:4" x14ac:dyDescent="0.35">
      <c r="A1556" s="40" t="e">
        <f>IF(OR(_xlfn.XLOOKUP("",Assessment!H:H,Assessment!E:E)="yes"),"Yes","No")</f>
        <v>#N/A</v>
      </c>
      <c r="D1556" s="40" t="s">
        <v>9405</v>
      </c>
    </row>
    <row r="1557" spans="1:4" x14ac:dyDescent="0.35">
      <c r="A1557" s="40" t="e">
        <f>IF(OR(_xlfn.XLOOKUP("",Assessment!H:H,Assessment!E:E)="yes"),"Yes","No")</f>
        <v>#N/A</v>
      </c>
      <c r="D1557" s="40" t="s">
        <v>9405</v>
      </c>
    </row>
    <row r="1558" spans="1:4" x14ac:dyDescent="0.35">
      <c r="A1558" s="40" t="e">
        <f>IF(OR(_xlfn.XLOOKUP("",Assessment!H:H,Assessment!E:E)="yes"),"Yes","No")</f>
        <v>#N/A</v>
      </c>
      <c r="D1558" s="40" t="s">
        <v>9405</v>
      </c>
    </row>
    <row r="1559" spans="1:4" x14ac:dyDescent="0.35">
      <c r="A1559" s="40" t="e">
        <f>IF(OR(_xlfn.XLOOKUP("",Assessment!H:H,Assessment!E:E)="yes"),"Yes","No")</f>
        <v>#N/A</v>
      </c>
      <c r="D1559" s="40" t="s">
        <v>9405</v>
      </c>
    </row>
    <row r="1560" spans="1:4" x14ac:dyDescent="0.35">
      <c r="A1560" s="40" t="e">
        <f>IF(OR(_xlfn.XLOOKUP("",Assessment!H:H,Assessment!E:E)="yes"),"Yes","No")</f>
        <v>#N/A</v>
      </c>
      <c r="D1560" s="40" t="s">
        <v>9405</v>
      </c>
    </row>
    <row r="1561" spans="1:4" x14ac:dyDescent="0.35">
      <c r="A1561" s="40" t="e">
        <f>IF(OR(_xlfn.XLOOKUP("",Assessment!H:H,Assessment!E:E)="yes"),"Yes","No")</f>
        <v>#N/A</v>
      </c>
      <c r="D1561" s="40" t="s">
        <v>9405</v>
      </c>
    </row>
    <row r="1562" spans="1:4" x14ac:dyDescent="0.35">
      <c r="A1562" s="40" t="e">
        <f>IF(OR(_xlfn.XLOOKUP("",Assessment!H:H,Assessment!E:E)="yes"),"Yes","No")</f>
        <v>#N/A</v>
      </c>
      <c r="D1562" s="40" t="s">
        <v>9405</v>
      </c>
    </row>
    <row r="1563" spans="1:4" x14ac:dyDescent="0.35">
      <c r="A1563" s="40" t="e">
        <f>IF(OR(_xlfn.XLOOKUP("",Assessment!H:H,Assessment!E:E)="yes"),"Yes","No")</f>
        <v>#N/A</v>
      </c>
      <c r="D1563" s="40" t="s">
        <v>9405</v>
      </c>
    </row>
    <row r="1564" spans="1:4" x14ac:dyDescent="0.35">
      <c r="A1564" s="40" t="e">
        <f>IF(OR(_xlfn.XLOOKUP("",Assessment!H:H,Assessment!E:E)="yes"),"Yes","No")</f>
        <v>#N/A</v>
      </c>
      <c r="D1564" s="40" t="s">
        <v>9405</v>
      </c>
    </row>
    <row r="1565" spans="1:4" x14ac:dyDescent="0.35">
      <c r="A1565" s="40" t="e">
        <f>IF(OR(_xlfn.XLOOKUP("",Assessment!H:H,Assessment!E:E)="yes"),"Yes","No")</f>
        <v>#N/A</v>
      </c>
      <c r="D1565" s="40" t="s">
        <v>9405</v>
      </c>
    </row>
    <row r="1566" spans="1:4" x14ac:dyDescent="0.35">
      <c r="A1566" s="40" t="e">
        <f>IF(OR(_xlfn.XLOOKUP("",Assessment!H:H,Assessment!E:E)="yes"),"Yes","No")</f>
        <v>#N/A</v>
      </c>
      <c r="D1566" s="40" t="s">
        <v>9405</v>
      </c>
    </row>
    <row r="1567" spans="1:4" x14ac:dyDescent="0.35">
      <c r="A1567" s="40" t="e">
        <f>IF(OR(_xlfn.XLOOKUP("",Assessment!H:H,Assessment!E:E)="yes"),"Yes","No")</f>
        <v>#N/A</v>
      </c>
      <c r="D1567" s="40" t="s">
        <v>9405</v>
      </c>
    </row>
    <row r="1568" spans="1:4" x14ac:dyDescent="0.35">
      <c r="A1568" s="40" t="e">
        <f>IF(OR(_xlfn.XLOOKUP("",Assessment!H:H,Assessment!E:E)="yes"),"Yes","No")</f>
        <v>#N/A</v>
      </c>
      <c r="D1568" s="40" t="s">
        <v>9405</v>
      </c>
    </row>
    <row r="1569" spans="1:4" x14ac:dyDescent="0.35">
      <c r="A1569" s="40" t="e">
        <f>IF(OR(_xlfn.XLOOKUP("",Assessment!H:H,Assessment!E:E)="yes"),"Yes","No")</f>
        <v>#N/A</v>
      </c>
      <c r="D1569" s="40" t="s">
        <v>9405</v>
      </c>
    </row>
    <row r="1570" spans="1:4" x14ac:dyDescent="0.35">
      <c r="A1570" s="40" t="e">
        <f>IF(OR(_xlfn.XLOOKUP("",Assessment!H:H,Assessment!E:E)="yes"),"Yes","No")</f>
        <v>#N/A</v>
      </c>
      <c r="D1570" s="40" t="s">
        <v>9405</v>
      </c>
    </row>
    <row r="1571" spans="1:4" x14ac:dyDescent="0.35">
      <c r="A1571" s="40" t="e">
        <f>IF(OR(_xlfn.XLOOKUP("",Assessment!H:H,Assessment!E:E)="yes"),"Yes","No")</f>
        <v>#N/A</v>
      </c>
      <c r="D1571" s="40" t="s">
        <v>9405</v>
      </c>
    </row>
    <row r="1572" spans="1:4" x14ac:dyDescent="0.35">
      <c r="A1572" s="40" t="e">
        <f>IF(OR(_xlfn.XLOOKUP("",Assessment!H:H,Assessment!E:E)="yes"),"Yes","No")</f>
        <v>#N/A</v>
      </c>
      <c r="D1572" s="40" t="s">
        <v>9405</v>
      </c>
    </row>
    <row r="1573" spans="1:4" x14ac:dyDescent="0.35">
      <c r="A1573" s="40" t="e">
        <f>IF(OR(_xlfn.XLOOKUP("",Assessment!H:H,Assessment!E:E)="yes"),"Yes","No")</f>
        <v>#N/A</v>
      </c>
      <c r="D1573" s="40" t="s">
        <v>9405</v>
      </c>
    </row>
    <row r="1574" spans="1:4" x14ac:dyDescent="0.35">
      <c r="A1574" s="40" t="e">
        <f>IF(OR(_xlfn.XLOOKUP("",Assessment!H:H,Assessment!E:E)="yes"),"Yes","No")</f>
        <v>#N/A</v>
      </c>
      <c r="D1574" s="40" t="s">
        <v>9405</v>
      </c>
    </row>
    <row r="1575" spans="1:4" x14ac:dyDescent="0.35">
      <c r="A1575" s="40" t="e">
        <f>IF(OR(_xlfn.XLOOKUP("",Assessment!H:H,Assessment!E:E)="yes"),"Yes","No")</f>
        <v>#N/A</v>
      </c>
      <c r="D1575" s="40" t="s">
        <v>9405</v>
      </c>
    </row>
    <row r="1576" spans="1:4" x14ac:dyDescent="0.35">
      <c r="A1576" s="40" t="e">
        <f>IF(OR(_xlfn.XLOOKUP("",Assessment!H:H,Assessment!E:E)="yes"),"Yes","No")</f>
        <v>#N/A</v>
      </c>
      <c r="D1576" s="40" t="s">
        <v>9405</v>
      </c>
    </row>
    <row r="1577" spans="1:4" x14ac:dyDescent="0.35">
      <c r="A1577" s="40" t="e">
        <f>IF(OR(_xlfn.XLOOKUP("",Assessment!H:H,Assessment!E:E)="yes"),"Yes","No")</f>
        <v>#N/A</v>
      </c>
      <c r="D1577" s="40" t="s">
        <v>9405</v>
      </c>
    </row>
    <row r="1578" spans="1:4" x14ac:dyDescent="0.35">
      <c r="A1578" s="40" t="e">
        <f>IF(OR(_xlfn.XLOOKUP("",Assessment!H:H,Assessment!E:E)="yes"),"Yes","No")</f>
        <v>#N/A</v>
      </c>
      <c r="D1578" s="40" t="s">
        <v>9405</v>
      </c>
    </row>
    <row r="1579" spans="1:4" x14ac:dyDescent="0.35">
      <c r="A1579" s="40" t="e">
        <f>IF(OR(_xlfn.XLOOKUP("",Assessment!H:H,Assessment!E:E)="yes"),"Yes","No")</f>
        <v>#N/A</v>
      </c>
      <c r="D1579" s="40" t="s">
        <v>9405</v>
      </c>
    </row>
    <row r="1580" spans="1:4" x14ac:dyDescent="0.35">
      <c r="A1580" s="40" t="e">
        <f>IF(OR(_xlfn.XLOOKUP("",Assessment!H:H,Assessment!E:E)="yes"),"Yes","No")</f>
        <v>#N/A</v>
      </c>
      <c r="D1580" s="40" t="s">
        <v>9405</v>
      </c>
    </row>
    <row r="1581" spans="1:4" x14ac:dyDescent="0.35">
      <c r="A1581" s="40" t="e">
        <f>IF(OR(_xlfn.XLOOKUP("",Assessment!H:H,Assessment!E:E)="yes"),"Yes","No")</f>
        <v>#N/A</v>
      </c>
      <c r="D1581" s="40" t="s">
        <v>9405</v>
      </c>
    </row>
    <row r="1582" spans="1:4" x14ac:dyDescent="0.35">
      <c r="A1582" s="40" t="e">
        <f>IF(OR(_xlfn.XLOOKUP("",Assessment!H:H,Assessment!E:E)="yes"),"Yes","No")</f>
        <v>#N/A</v>
      </c>
      <c r="D1582" s="40" t="s">
        <v>9405</v>
      </c>
    </row>
    <row r="1583" spans="1:4" x14ac:dyDescent="0.35">
      <c r="A1583" s="40" t="e">
        <f>IF(OR(_xlfn.XLOOKUP("",Assessment!H:H,Assessment!E:E)="yes"),"Yes","No")</f>
        <v>#N/A</v>
      </c>
      <c r="D1583" s="40" t="s">
        <v>9405</v>
      </c>
    </row>
    <row r="1584" spans="1:4" x14ac:dyDescent="0.35">
      <c r="A1584" s="40" t="e">
        <f>IF(OR(_xlfn.XLOOKUP("",Assessment!H:H,Assessment!E:E)="yes"),"Yes","No")</f>
        <v>#N/A</v>
      </c>
      <c r="D1584" s="40" t="s">
        <v>9405</v>
      </c>
    </row>
    <row r="1585" spans="1:4" x14ac:dyDescent="0.35">
      <c r="A1585" s="40" t="e">
        <f>IF(OR(_xlfn.XLOOKUP("",Assessment!H:H,Assessment!E:E)="yes"),"Yes","No")</f>
        <v>#N/A</v>
      </c>
      <c r="D1585" s="40" t="s">
        <v>9405</v>
      </c>
    </row>
    <row r="1586" spans="1:4" x14ac:dyDescent="0.35">
      <c r="A1586" s="40" t="e">
        <f>IF(OR(_xlfn.XLOOKUP("",Assessment!H:H,Assessment!E:E)="yes"),"Yes","No")</f>
        <v>#N/A</v>
      </c>
      <c r="D1586" s="40" t="s">
        <v>9405</v>
      </c>
    </row>
    <row r="1587" spans="1:4" x14ac:dyDescent="0.35">
      <c r="A1587" s="40" t="e">
        <f>IF(OR(_xlfn.XLOOKUP("",Assessment!H:H,Assessment!E:E)="yes"),"Yes","No")</f>
        <v>#N/A</v>
      </c>
      <c r="D1587" s="40" t="s">
        <v>9405</v>
      </c>
    </row>
    <row r="1588" spans="1:4" x14ac:dyDescent="0.35">
      <c r="A1588" s="40" t="e">
        <f>IF(OR(_xlfn.XLOOKUP("",Assessment!H:H,Assessment!E:E)="yes"),"Yes","No")</f>
        <v>#N/A</v>
      </c>
      <c r="D1588" s="40" t="s">
        <v>9405</v>
      </c>
    </row>
    <row r="1589" spans="1:4" x14ac:dyDescent="0.35">
      <c r="A1589" s="40" t="e">
        <f>IF(OR(_xlfn.XLOOKUP("",Assessment!H:H,Assessment!E:E)="yes"),"Yes","No")</f>
        <v>#N/A</v>
      </c>
      <c r="D1589" s="40" t="s">
        <v>9405</v>
      </c>
    </row>
    <row r="1590" spans="1:4" x14ac:dyDescent="0.35">
      <c r="A1590" s="40" t="e">
        <f>IF(OR(_xlfn.XLOOKUP("",Assessment!H:H,Assessment!E:E)="yes"),"Yes","No")</f>
        <v>#N/A</v>
      </c>
      <c r="D1590" s="40" t="s">
        <v>9405</v>
      </c>
    </row>
    <row r="1591" spans="1:4" x14ac:dyDescent="0.35">
      <c r="A1591" s="40" t="e">
        <f>IF(OR(_xlfn.XLOOKUP("",Assessment!H:H,Assessment!E:E)="yes"),"Yes","No")</f>
        <v>#N/A</v>
      </c>
      <c r="D1591" s="40" t="s">
        <v>9405</v>
      </c>
    </row>
    <row r="1592" spans="1:4" x14ac:dyDescent="0.35">
      <c r="A1592" s="40" t="e">
        <f>IF(OR(_xlfn.XLOOKUP("",Assessment!H:H,Assessment!E:E)="yes"),"Yes","No")</f>
        <v>#N/A</v>
      </c>
      <c r="D1592" s="40" t="s">
        <v>9405</v>
      </c>
    </row>
    <row r="1593" spans="1:4" x14ac:dyDescent="0.35">
      <c r="A1593" s="40" t="e">
        <f>IF(OR(_xlfn.XLOOKUP("",Assessment!H:H,Assessment!E:E)="yes"),"Yes","No")</f>
        <v>#N/A</v>
      </c>
      <c r="D1593" s="40" t="s">
        <v>9405</v>
      </c>
    </row>
    <row r="1594" spans="1:4" x14ac:dyDescent="0.35">
      <c r="A1594" s="40" t="e">
        <f>IF(OR(_xlfn.XLOOKUP("",Assessment!H:H,Assessment!E:E)="yes"),"Yes","No")</f>
        <v>#N/A</v>
      </c>
      <c r="D1594" s="40" t="s">
        <v>9405</v>
      </c>
    </row>
    <row r="1595" spans="1:4" x14ac:dyDescent="0.35">
      <c r="A1595" s="40" t="e">
        <f>IF(OR(_xlfn.XLOOKUP("",Assessment!H:H,Assessment!E:E)="yes"),"Yes","No")</f>
        <v>#N/A</v>
      </c>
      <c r="D1595" s="40" t="s">
        <v>9405</v>
      </c>
    </row>
    <row r="1596" spans="1:4" x14ac:dyDescent="0.35">
      <c r="A1596" s="40" t="e">
        <f>IF(OR(_xlfn.XLOOKUP("",Assessment!H:H,Assessment!E:E)="yes"),"Yes","No")</f>
        <v>#N/A</v>
      </c>
      <c r="D1596" s="40" t="s">
        <v>9405</v>
      </c>
    </row>
    <row r="1597" spans="1:4" x14ac:dyDescent="0.35">
      <c r="A1597" s="40" t="e">
        <f>IF(OR(_xlfn.XLOOKUP("",Assessment!H:H,Assessment!E:E)="yes"),"Yes","No")</f>
        <v>#N/A</v>
      </c>
      <c r="D1597" s="40" t="s">
        <v>9405</v>
      </c>
    </row>
    <row r="1598" spans="1:4" x14ac:dyDescent="0.35">
      <c r="A1598" s="40" t="e">
        <f>IF(OR(_xlfn.XLOOKUP("",Assessment!H:H,Assessment!E:E)="yes"),"Yes","No")</f>
        <v>#N/A</v>
      </c>
      <c r="D1598" s="40" t="s">
        <v>9405</v>
      </c>
    </row>
    <row r="1599" spans="1:4" x14ac:dyDescent="0.35">
      <c r="A1599" s="40" t="e">
        <f>IF(OR(_xlfn.XLOOKUP("",Assessment!H:H,Assessment!E:E)="yes"),"Yes","No")</f>
        <v>#N/A</v>
      </c>
      <c r="D1599" s="40" t="s">
        <v>9405</v>
      </c>
    </row>
    <row r="1600" spans="1:4" x14ac:dyDescent="0.35">
      <c r="A1600" s="40" t="e">
        <f>IF(OR(_xlfn.XLOOKUP("",Assessment!H:H,Assessment!E:E)="yes"),"Yes","No")</f>
        <v>#N/A</v>
      </c>
      <c r="D1600" s="40" t="s">
        <v>9405</v>
      </c>
    </row>
    <row r="1601" spans="1:4" x14ac:dyDescent="0.35">
      <c r="A1601" s="40" t="e">
        <f>IF(OR(_xlfn.XLOOKUP("",Assessment!H:H,Assessment!E:E)="yes"),"Yes","No")</f>
        <v>#N/A</v>
      </c>
      <c r="D1601" s="40" t="s">
        <v>9405</v>
      </c>
    </row>
    <row r="1602" spans="1:4" x14ac:dyDescent="0.35">
      <c r="A1602" s="40" t="e">
        <f>IF(OR(_xlfn.XLOOKUP("",Assessment!H:H,Assessment!E:E)="yes"),"Yes","No")</f>
        <v>#N/A</v>
      </c>
      <c r="D1602" s="40" t="s">
        <v>9405</v>
      </c>
    </row>
    <row r="1603" spans="1:4" x14ac:dyDescent="0.35">
      <c r="A1603" s="40" t="e">
        <f>IF(OR(_xlfn.XLOOKUP("",Assessment!H:H,Assessment!E:E)="yes"),"Yes","No")</f>
        <v>#N/A</v>
      </c>
      <c r="D1603" s="40" t="s">
        <v>9405</v>
      </c>
    </row>
    <row r="1604" spans="1:4" x14ac:dyDescent="0.35">
      <c r="A1604" s="40" t="e">
        <f>IF(OR(_xlfn.XLOOKUP("",Assessment!H:H,Assessment!E:E)="yes"),"Yes","No")</f>
        <v>#N/A</v>
      </c>
      <c r="D1604" s="40" t="s">
        <v>9405</v>
      </c>
    </row>
    <row r="1605" spans="1:4" x14ac:dyDescent="0.35">
      <c r="A1605" s="40" t="e">
        <f>IF(OR(_xlfn.XLOOKUP("",Assessment!H:H,Assessment!E:E)="yes"),"Yes","No")</f>
        <v>#N/A</v>
      </c>
      <c r="D1605" s="40" t="s">
        <v>9405</v>
      </c>
    </row>
    <row r="1606" spans="1:4" x14ac:dyDescent="0.35">
      <c r="A1606" s="40" t="e">
        <f>IF(OR(_xlfn.XLOOKUP("",Assessment!H:H,Assessment!E:E)="yes"),"Yes","No")</f>
        <v>#N/A</v>
      </c>
      <c r="D1606" s="40" t="s">
        <v>9405</v>
      </c>
    </row>
    <row r="1607" spans="1:4" x14ac:dyDescent="0.35">
      <c r="A1607" s="40" t="e">
        <f>IF(OR(_xlfn.XLOOKUP("",Assessment!H:H,Assessment!E:E)="yes"),"Yes","No")</f>
        <v>#N/A</v>
      </c>
      <c r="D1607" s="40" t="s">
        <v>9405</v>
      </c>
    </row>
    <row r="1608" spans="1:4" x14ac:dyDescent="0.35">
      <c r="A1608" s="40" t="e">
        <f>IF(OR(_xlfn.XLOOKUP("",Assessment!H:H,Assessment!E:E)="yes"),"Yes","No")</f>
        <v>#N/A</v>
      </c>
      <c r="D1608" s="40" t="s">
        <v>9405</v>
      </c>
    </row>
    <row r="1609" spans="1:4" x14ac:dyDescent="0.35">
      <c r="A1609" s="40" t="e">
        <f>IF(OR(_xlfn.XLOOKUP("",Assessment!H:H,Assessment!E:E)="yes"),"Yes","No")</f>
        <v>#N/A</v>
      </c>
      <c r="D1609" s="40" t="s">
        <v>9405</v>
      </c>
    </row>
    <row r="1610" spans="1:4" x14ac:dyDescent="0.35">
      <c r="A1610" s="40" t="e">
        <f>IF(OR(_xlfn.XLOOKUP("",Assessment!H:H,Assessment!E:E)="yes"),"Yes","No")</f>
        <v>#N/A</v>
      </c>
      <c r="D1610" s="40" t="s">
        <v>9405</v>
      </c>
    </row>
    <row r="1611" spans="1:4" x14ac:dyDescent="0.35">
      <c r="A1611" s="40" t="e">
        <f>IF(OR(_xlfn.XLOOKUP("",Assessment!H:H,Assessment!E:E)="yes"),"Yes","No")</f>
        <v>#N/A</v>
      </c>
      <c r="D1611" s="40" t="s">
        <v>9405</v>
      </c>
    </row>
    <row r="1612" spans="1:4" x14ac:dyDescent="0.35">
      <c r="A1612" s="40" t="e">
        <f>IF(OR(_xlfn.XLOOKUP("",Assessment!H:H,Assessment!E:E)="yes"),"Yes","No")</f>
        <v>#N/A</v>
      </c>
      <c r="D1612" s="40" t="s">
        <v>9405</v>
      </c>
    </row>
    <row r="1613" spans="1:4" x14ac:dyDescent="0.35">
      <c r="A1613" s="40" t="e">
        <f>IF(OR(_xlfn.XLOOKUP("",Assessment!H:H,Assessment!E:E)="yes"),"Yes","No")</f>
        <v>#N/A</v>
      </c>
      <c r="D1613" s="40" t="s">
        <v>9405</v>
      </c>
    </row>
    <row r="1614" spans="1:4" x14ac:dyDescent="0.35">
      <c r="A1614" s="40" t="e">
        <f>IF(OR(_xlfn.XLOOKUP("",Assessment!H:H,Assessment!E:E)="yes"),"Yes","No")</f>
        <v>#N/A</v>
      </c>
      <c r="D1614" s="40" t="s">
        <v>9405</v>
      </c>
    </row>
    <row r="1615" spans="1:4" x14ac:dyDescent="0.35">
      <c r="A1615" s="40" t="e">
        <f>IF(OR(_xlfn.XLOOKUP("",Assessment!H:H,Assessment!E:E)="yes"),"Yes","No")</f>
        <v>#N/A</v>
      </c>
      <c r="D1615" s="40" t="s">
        <v>9405</v>
      </c>
    </row>
    <row r="1616" spans="1:4" x14ac:dyDescent="0.35">
      <c r="A1616" s="40" t="e">
        <f>IF(OR(_xlfn.XLOOKUP("",Assessment!H:H,Assessment!E:E)="yes"),"Yes","No")</f>
        <v>#N/A</v>
      </c>
      <c r="D1616" s="40" t="s">
        <v>9405</v>
      </c>
    </row>
    <row r="1617" spans="1:4" x14ac:dyDescent="0.35">
      <c r="A1617" s="40" t="e">
        <f>IF(OR(_xlfn.XLOOKUP("",Assessment!H:H,Assessment!E:E)="yes"),"Yes","No")</f>
        <v>#N/A</v>
      </c>
      <c r="D1617" s="40" t="s">
        <v>9405</v>
      </c>
    </row>
    <row r="1618" spans="1:4" x14ac:dyDescent="0.35">
      <c r="A1618" s="40" t="e">
        <f>IF(OR(_xlfn.XLOOKUP("",Assessment!H:H,Assessment!E:E)="yes"),"Yes","No")</f>
        <v>#N/A</v>
      </c>
      <c r="D1618" s="40" t="s">
        <v>9405</v>
      </c>
    </row>
    <row r="1619" spans="1:4" x14ac:dyDescent="0.35">
      <c r="A1619" s="40" t="e">
        <f>IF(OR(_xlfn.XLOOKUP("",Assessment!H:H,Assessment!E:E)="yes"),"Yes","No")</f>
        <v>#N/A</v>
      </c>
      <c r="D1619" s="40" t="s">
        <v>9405</v>
      </c>
    </row>
    <row r="1620" spans="1:4" x14ac:dyDescent="0.35">
      <c r="A1620" s="40" t="e">
        <f>IF(OR(_xlfn.XLOOKUP("",Assessment!H:H,Assessment!E:E)="yes"),"Yes","No")</f>
        <v>#N/A</v>
      </c>
      <c r="D1620" s="40" t="s">
        <v>9405</v>
      </c>
    </row>
    <row r="1621" spans="1:4" x14ac:dyDescent="0.35">
      <c r="A1621" s="40" t="e">
        <f>IF(OR(_xlfn.XLOOKUP("",Assessment!H:H,Assessment!E:E)="yes"),"Yes","No")</f>
        <v>#N/A</v>
      </c>
      <c r="D1621" s="40" t="s">
        <v>9405</v>
      </c>
    </row>
    <row r="1622" spans="1:4" x14ac:dyDescent="0.35">
      <c r="A1622" s="40" t="e">
        <f>IF(OR(_xlfn.XLOOKUP("",Assessment!H:H,Assessment!E:E)="yes"),"Yes","No")</f>
        <v>#N/A</v>
      </c>
      <c r="D1622" s="40" t="s">
        <v>9405</v>
      </c>
    </row>
    <row r="1623" spans="1:4" x14ac:dyDescent="0.35">
      <c r="A1623" s="40" t="e">
        <f>IF(OR(_xlfn.XLOOKUP("",Assessment!H:H,Assessment!E:E)="yes"),"Yes","No")</f>
        <v>#N/A</v>
      </c>
      <c r="D1623" s="40" t="s">
        <v>9405</v>
      </c>
    </row>
    <row r="1624" spans="1:4" x14ac:dyDescent="0.35">
      <c r="A1624" s="40" t="e">
        <f>IF(OR(_xlfn.XLOOKUP("",Assessment!H:H,Assessment!E:E)="yes"),"Yes","No")</f>
        <v>#N/A</v>
      </c>
      <c r="D1624" s="40" t="s">
        <v>9405</v>
      </c>
    </row>
    <row r="1625" spans="1:4" x14ac:dyDescent="0.35">
      <c r="A1625" s="40" t="e">
        <f>IF(OR(_xlfn.XLOOKUP("",Assessment!H:H,Assessment!E:E)="yes"),"Yes","No")</f>
        <v>#N/A</v>
      </c>
      <c r="D1625" s="40" t="s">
        <v>9405</v>
      </c>
    </row>
    <row r="1626" spans="1:4" x14ac:dyDescent="0.35">
      <c r="A1626" s="40" t="e">
        <f>IF(OR(_xlfn.XLOOKUP("",Assessment!H:H,Assessment!E:E)="yes"),"Yes","No")</f>
        <v>#N/A</v>
      </c>
      <c r="D1626" s="40" t="s">
        <v>9405</v>
      </c>
    </row>
    <row r="1627" spans="1:4" x14ac:dyDescent="0.35">
      <c r="A1627" s="40" t="e">
        <f>IF(OR(_xlfn.XLOOKUP("",Assessment!H:H,Assessment!E:E)="yes"),"Yes","No")</f>
        <v>#N/A</v>
      </c>
      <c r="D1627" s="40" t="s">
        <v>9405</v>
      </c>
    </row>
    <row r="1628" spans="1:4" x14ac:dyDescent="0.35">
      <c r="A1628" s="40" t="e">
        <f>IF(OR(_xlfn.XLOOKUP("",Assessment!H:H,Assessment!E:E)="yes"),"Yes","No")</f>
        <v>#N/A</v>
      </c>
      <c r="D1628" s="40" t="s">
        <v>9405</v>
      </c>
    </row>
    <row r="1629" spans="1:4" x14ac:dyDescent="0.35">
      <c r="A1629" s="40" t="e">
        <f>IF(OR(_xlfn.XLOOKUP("",Assessment!H:H,Assessment!E:E)="yes"),"Yes","No")</f>
        <v>#N/A</v>
      </c>
      <c r="D1629" s="40" t="s">
        <v>9405</v>
      </c>
    </row>
    <row r="1630" spans="1:4" x14ac:dyDescent="0.35">
      <c r="A1630" s="40" t="e">
        <f>IF(OR(_xlfn.XLOOKUP("",Assessment!H:H,Assessment!E:E)="yes"),"Yes","No")</f>
        <v>#N/A</v>
      </c>
      <c r="D1630" s="40" t="s">
        <v>9405</v>
      </c>
    </row>
    <row r="1631" spans="1:4" x14ac:dyDescent="0.35">
      <c r="A1631" s="40" t="e">
        <f>IF(OR(_xlfn.XLOOKUP("",Assessment!H:H,Assessment!E:E)="yes"),"Yes","No")</f>
        <v>#N/A</v>
      </c>
      <c r="D1631" s="40" t="s">
        <v>9405</v>
      </c>
    </row>
    <row r="1632" spans="1:4" x14ac:dyDescent="0.35">
      <c r="A1632" s="40" t="e">
        <f>IF(OR(_xlfn.XLOOKUP("",Assessment!H:H,Assessment!E:E)="yes"),"Yes","No")</f>
        <v>#N/A</v>
      </c>
      <c r="D1632" s="40" t="s">
        <v>9405</v>
      </c>
    </row>
    <row r="1633" spans="1:4" x14ac:dyDescent="0.35">
      <c r="A1633" s="40" t="e">
        <f>IF(OR(_xlfn.XLOOKUP("",Assessment!H:H,Assessment!E:E)="yes"),"Yes","No")</f>
        <v>#N/A</v>
      </c>
      <c r="D1633" s="40" t="s">
        <v>9405</v>
      </c>
    </row>
    <row r="1634" spans="1:4" x14ac:dyDescent="0.35">
      <c r="A1634" s="40" t="e">
        <f>IF(OR(_xlfn.XLOOKUP("",Assessment!H:H,Assessment!E:E)="yes"),"Yes","No")</f>
        <v>#N/A</v>
      </c>
      <c r="D1634" s="40" t="s">
        <v>9405</v>
      </c>
    </row>
    <row r="1635" spans="1:4" x14ac:dyDescent="0.35">
      <c r="A1635" s="40" t="e">
        <f>IF(OR(_xlfn.XLOOKUP("",Assessment!H:H,Assessment!E:E)="yes"),"Yes","No")</f>
        <v>#N/A</v>
      </c>
      <c r="D1635" s="40" t="s">
        <v>9405</v>
      </c>
    </row>
    <row r="1636" spans="1:4" x14ac:dyDescent="0.35">
      <c r="A1636" s="40" t="e">
        <f>IF(OR(_xlfn.XLOOKUP("",Assessment!H:H,Assessment!E:E)="yes"),"Yes","No")</f>
        <v>#N/A</v>
      </c>
      <c r="D1636" s="40" t="s">
        <v>9405</v>
      </c>
    </row>
    <row r="1637" spans="1:4" x14ac:dyDescent="0.35">
      <c r="A1637" s="40" t="e">
        <f>IF(OR(_xlfn.XLOOKUP("",Assessment!H:H,Assessment!E:E)="yes"),"Yes","No")</f>
        <v>#N/A</v>
      </c>
      <c r="D1637" s="40" t="s">
        <v>9405</v>
      </c>
    </row>
    <row r="1638" spans="1:4" x14ac:dyDescent="0.35">
      <c r="A1638" s="40" t="e">
        <f>IF(OR(_xlfn.XLOOKUP("",Assessment!H:H,Assessment!E:E)="yes"),"Yes","No")</f>
        <v>#N/A</v>
      </c>
      <c r="D1638" s="40" t="s">
        <v>9405</v>
      </c>
    </row>
    <row r="1639" spans="1:4" x14ac:dyDescent="0.35">
      <c r="A1639" s="40" t="e">
        <f>IF(OR(_xlfn.XLOOKUP("",Assessment!H:H,Assessment!E:E)="yes"),"Yes","No")</f>
        <v>#N/A</v>
      </c>
      <c r="D1639" s="40" t="s">
        <v>9405</v>
      </c>
    </row>
    <row r="1640" spans="1:4" x14ac:dyDescent="0.35">
      <c r="A1640" s="40" t="e">
        <f>IF(OR(_xlfn.XLOOKUP("",Assessment!H:H,Assessment!E:E)="yes"),"Yes","No")</f>
        <v>#N/A</v>
      </c>
      <c r="D1640" s="40" t="s">
        <v>9405</v>
      </c>
    </row>
    <row r="1641" spans="1:4" x14ac:dyDescent="0.35">
      <c r="A1641" s="40" t="e">
        <f>IF(OR(_xlfn.XLOOKUP("",Assessment!H:H,Assessment!E:E)="yes"),"Yes","No")</f>
        <v>#N/A</v>
      </c>
      <c r="D1641" s="40" t="s">
        <v>9405</v>
      </c>
    </row>
    <row r="1642" spans="1:4" x14ac:dyDescent="0.35">
      <c r="A1642" s="40" t="e">
        <f>IF(OR(_xlfn.XLOOKUP("",Assessment!H:H,Assessment!E:E)="yes"),"Yes","No")</f>
        <v>#N/A</v>
      </c>
      <c r="D1642" s="40" t="s">
        <v>9405</v>
      </c>
    </row>
    <row r="1643" spans="1:4" x14ac:dyDescent="0.35">
      <c r="A1643" s="40" t="e">
        <f>IF(OR(_xlfn.XLOOKUP("",Assessment!H:H,Assessment!E:E)="yes"),"Yes","No")</f>
        <v>#N/A</v>
      </c>
      <c r="D1643" s="40" t="s">
        <v>9405</v>
      </c>
    </row>
    <row r="1644" spans="1:4" x14ac:dyDescent="0.35">
      <c r="A1644" s="40" t="e">
        <f>IF(OR(_xlfn.XLOOKUP("",Assessment!H:H,Assessment!E:E)="yes"),"Yes","No")</f>
        <v>#N/A</v>
      </c>
      <c r="D1644" s="40" t="s">
        <v>9405</v>
      </c>
    </row>
    <row r="1645" spans="1:4" x14ac:dyDescent="0.35">
      <c r="A1645" s="40" t="e">
        <f>IF(OR(_xlfn.XLOOKUP("",Assessment!H:H,Assessment!E:E)="yes"),"Yes","No")</f>
        <v>#N/A</v>
      </c>
      <c r="D1645" s="40" t="s">
        <v>9405</v>
      </c>
    </row>
    <row r="1646" spans="1:4" x14ac:dyDescent="0.35">
      <c r="A1646" s="40" t="e">
        <f>IF(OR(_xlfn.XLOOKUP("",Assessment!H:H,Assessment!E:E)="yes"),"Yes","No")</f>
        <v>#N/A</v>
      </c>
      <c r="D1646" s="40" t="s">
        <v>9405</v>
      </c>
    </row>
    <row r="1647" spans="1:4" x14ac:dyDescent="0.35">
      <c r="A1647" s="40" t="e">
        <f>IF(OR(_xlfn.XLOOKUP("",Assessment!H:H,Assessment!E:E)="yes"),"Yes","No")</f>
        <v>#N/A</v>
      </c>
      <c r="D1647" s="40" t="s">
        <v>9405</v>
      </c>
    </row>
    <row r="1648" spans="1:4" x14ac:dyDescent="0.35">
      <c r="A1648" s="40" t="e">
        <f>IF(OR(_xlfn.XLOOKUP("",Assessment!H:H,Assessment!E:E)="yes"),"Yes","No")</f>
        <v>#N/A</v>
      </c>
      <c r="D1648" s="40" t="s">
        <v>9405</v>
      </c>
    </row>
    <row r="1649" spans="1:4" x14ac:dyDescent="0.35">
      <c r="A1649" s="40" t="e">
        <f>IF(OR(_xlfn.XLOOKUP("",Assessment!H:H,Assessment!E:E)="yes"),"Yes","No")</f>
        <v>#N/A</v>
      </c>
      <c r="D1649" s="40" t="s">
        <v>9405</v>
      </c>
    </row>
    <row r="1650" spans="1:4" x14ac:dyDescent="0.35">
      <c r="A1650" s="40" t="e">
        <f>IF(OR(_xlfn.XLOOKUP("",Assessment!H:H,Assessment!E:E)="yes"),"Yes","No")</f>
        <v>#N/A</v>
      </c>
      <c r="D1650" s="40" t="s">
        <v>9405</v>
      </c>
    </row>
    <row r="1651" spans="1:4" x14ac:dyDescent="0.35">
      <c r="A1651" s="40" t="e">
        <f>IF(OR(_xlfn.XLOOKUP("",Assessment!H:H,Assessment!E:E)="yes"),"Yes","No")</f>
        <v>#N/A</v>
      </c>
      <c r="D1651" s="40" t="s">
        <v>9405</v>
      </c>
    </row>
    <row r="1652" spans="1:4" x14ac:dyDescent="0.35">
      <c r="A1652" s="40" t="e">
        <f>IF(OR(_xlfn.XLOOKUP("",Assessment!H:H,Assessment!E:E)="yes"),"Yes","No")</f>
        <v>#N/A</v>
      </c>
      <c r="D1652" s="40" t="s">
        <v>9405</v>
      </c>
    </row>
    <row r="1653" spans="1:4" x14ac:dyDescent="0.35">
      <c r="A1653" s="40" t="e">
        <f>IF(OR(_xlfn.XLOOKUP("",Assessment!H:H,Assessment!E:E)="yes"),"Yes","No")</f>
        <v>#N/A</v>
      </c>
      <c r="D1653" s="40" t="s">
        <v>9405</v>
      </c>
    </row>
    <row r="1654" spans="1:4" x14ac:dyDescent="0.35">
      <c r="A1654" s="40" t="e">
        <f>IF(OR(_xlfn.XLOOKUP("",Assessment!H:H,Assessment!E:E)="yes"),"Yes","No")</f>
        <v>#N/A</v>
      </c>
      <c r="D1654" s="40" t="s">
        <v>9405</v>
      </c>
    </row>
    <row r="1655" spans="1:4" x14ac:dyDescent="0.35">
      <c r="A1655" s="40" t="e">
        <f>IF(OR(_xlfn.XLOOKUP("",Assessment!H:H,Assessment!E:E)="yes"),"Yes","No")</f>
        <v>#N/A</v>
      </c>
      <c r="D1655" s="40" t="s">
        <v>9405</v>
      </c>
    </row>
    <row r="1656" spans="1:4" x14ac:dyDescent="0.35">
      <c r="A1656" s="40" t="e">
        <f>IF(OR(_xlfn.XLOOKUP("",Assessment!H:H,Assessment!E:E)="yes"),"Yes","No")</f>
        <v>#N/A</v>
      </c>
      <c r="D1656" s="40" t="s">
        <v>9405</v>
      </c>
    </row>
    <row r="1657" spans="1:4" x14ac:dyDescent="0.35">
      <c r="A1657" s="40" t="e">
        <f>IF(OR(_xlfn.XLOOKUP("",Assessment!H:H,Assessment!E:E)="yes"),"Yes","No")</f>
        <v>#N/A</v>
      </c>
      <c r="D1657" s="40" t="s">
        <v>9405</v>
      </c>
    </row>
    <row r="1658" spans="1:4" x14ac:dyDescent="0.35">
      <c r="A1658" s="40" t="e">
        <f>IF(OR(_xlfn.XLOOKUP("",Assessment!H:H,Assessment!E:E)="yes"),"Yes","No")</f>
        <v>#N/A</v>
      </c>
      <c r="D1658" s="40" t="s">
        <v>9405</v>
      </c>
    </row>
    <row r="1659" spans="1:4" x14ac:dyDescent="0.35">
      <c r="A1659" s="40" t="e">
        <f>IF(OR(_xlfn.XLOOKUP("",Assessment!H:H,Assessment!E:E)="yes"),"Yes","No")</f>
        <v>#N/A</v>
      </c>
      <c r="D1659" s="40" t="s">
        <v>9405</v>
      </c>
    </row>
    <row r="1660" spans="1:4" x14ac:dyDescent="0.35">
      <c r="A1660" s="40" t="e">
        <f>IF(OR(_xlfn.XLOOKUP("",Assessment!H:H,Assessment!E:E)="yes"),"Yes","No")</f>
        <v>#N/A</v>
      </c>
      <c r="D1660" s="40" t="s">
        <v>9405</v>
      </c>
    </row>
    <row r="1661" spans="1:4" x14ac:dyDescent="0.35">
      <c r="A1661" s="40" t="e">
        <f>IF(OR(_xlfn.XLOOKUP("",Assessment!H:H,Assessment!E:E)="yes"),"Yes","No")</f>
        <v>#N/A</v>
      </c>
      <c r="D1661" s="40" t="s">
        <v>9405</v>
      </c>
    </row>
    <row r="1662" spans="1:4" x14ac:dyDescent="0.35">
      <c r="A1662" s="40" t="e">
        <f>IF(OR(_xlfn.XLOOKUP("",Assessment!H:H,Assessment!E:E)="yes"),"Yes","No")</f>
        <v>#N/A</v>
      </c>
      <c r="D1662" s="40" t="s">
        <v>9405</v>
      </c>
    </row>
    <row r="1663" spans="1:4" x14ac:dyDescent="0.35">
      <c r="A1663" s="40" t="e">
        <f>IF(OR(_xlfn.XLOOKUP("",Assessment!H:H,Assessment!E:E)="yes"),"Yes","No")</f>
        <v>#N/A</v>
      </c>
      <c r="D1663" s="40" t="s">
        <v>9405</v>
      </c>
    </row>
    <row r="1664" spans="1:4" x14ac:dyDescent="0.35">
      <c r="A1664" s="40" t="e">
        <f>IF(OR(_xlfn.XLOOKUP("",Assessment!H:H,Assessment!E:E)="yes"),"Yes","No")</f>
        <v>#N/A</v>
      </c>
      <c r="D1664" s="40" t="s">
        <v>9405</v>
      </c>
    </row>
    <row r="1665" spans="1:4" x14ac:dyDescent="0.35">
      <c r="A1665" s="40" t="e">
        <f>IF(OR(_xlfn.XLOOKUP("",Assessment!H:H,Assessment!E:E)="yes"),"Yes","No")</f>
        <v>#N/A</v>
      </c>
      <c r="D1665" s="40" t="s">
        <v>9405</v>
      </c>
    </row>
    <row r="1666" spans="1:4" x14ac:dyDescent="0.35">
      <c r="A1666" s="40" t="e">
        <f>IF(OR(_xlfn.XLOOKUP("",Assessment!H:H,Assessment!E:E)="yes"),"Yes","No")</f>
        <v>#N/A</v>
      </c>
      <c r="D1666" s="40" t="s">
        <v>9405</v>
      </c>
    </row>
    <row r="1667" spans="1:4" x14ac:dyDescent="0.35">
      <c r="A1667" s="40" t="e">
        <f>IF(OR(_xlfn.XLOOKUP("",Assessment!H:H,Assessment!E:E)="yes"),"Yes","No")</f>
        <v>#N/A</v>
      </c>
      <c r="D1667" s="40" t="s">
        <v>9405</v>
      </c>
    </row>
    <row r="1668" spans="1:4" x14ac:dyDescent="0.35">
      <c r="A1668" s="40" t="e">
        <f>IF(OR(_xlfn.XLOOKUP("",Assessment!H:H,Assessment!E:E)="yes"),"Yes","No")</f>
        <v>#N/A</v>
      </c>
      <c r="D1668" s="40" t="s">
        <v>9405</v>
      </c>
    </row>
    <row r="1669" spans="1:4" x14ac:dyDescent="0.35">
      <c r="A1669" s="40" t="e">
        <f>IF(OR(_xlfn.XLOOKUP("",Assessment!H:H,Assessment!E:E)="yes"),"Yes","No")</f>
        <v>#N/A</v>
      </c>
      <c r="D1669" s="40" t="s">
        <v>9405</v>
      </c>
    </row>
    <row r="1670" spans="1:4" x14ac:dyDescent="0.35">
      <c r="A1670" s="40" t="e">
        <f>IF(OR(_xlfn.XLOOKUP("",Assessment!H:H,Assessment!E:E)="yes"),"Yes","No")</f>
        <v>#N/A</v>
      </c>
      <c r="D1670" s="40" t="s">
        <v>9405</v>
      </c>
    </row>
    <row r="1671" spans="1:4" x14ac:dyDescent="0.35">
      <c r="A1671" s="40" t="e">
        <f>IF(OR(_xlfn.XLOOKUP("",Assessment!H:H,Assessment!E:E)="yes"),"Yes","No")</f>
        <v>#N/A</v>
      </c>
      <c r="D1671" s="40" t="s">
        <v>9405</v>
      </c>
    </row>
    <row r="1672" spans="1:4" x14ac:dyDescent="0.35">
      <c r="A1672" s="40" t="e">
        <f>IF(OR(_xlfn.XLOOKUP("",Assessment!H:H,Assessment!E:E)="yes"),"Yes","No")</f>
        <v>#N/A</v>
      </c>
      <c r="D1672" s="40" t="s">
        <v>9405</v>
      </c>
    </row>
    <row r="1673" spans="1:4" x14ac:dyDescent="0.35">
      <c r="A1673" s="40" t="e">
        <f>IF(OR(_xlfn.XLOOKUP("",Assessment!H:H,Assessment!E:E)="yes"),"Yes","No")</f>
        <v>#N/A</v>
      </c>
      <c r="D1673" s="40" t="s">
        <v>9405</v>
      </c>
    </row>
    <row r="1674" spans="1:4" x14ac:dyDescent="0.35">
      <c r="A1674" s="40" t="e">
        <f>IF(OR(_xlfn.XLOOKUP("",Assessment!H:H,Assessment!E:E)="yes"),"Yes","No")</f>
        <v>#N/A</v>
      </c>
      <c r="D1674" s="40" t="s">
        <v>9405</v>
      </c>
    </row>
    <row r="1675" spans="1:4" x14ac:dyDescent="0.35">
      <c r="A1675" s="40" t="e">
        <f>IF(OR(_xlfn.XLOOKUP("",Assessment!H:H,Assessment!E:E)="yes"),"Yes","No")</f>
        <v>#N/A</v>
      </c>
      <c r="D1675" s="40" t="s">
        <v>9405</v>
      </c>
    </row>
    <row r="1676" spans="1:4" x14ac:dyDescent="0.35">
      <c r="A1676" s="40" t="e">
        <f>IF(OR(_xlfn.XLOOKUP("",Assessment!H:H,Assessment!E:E)="yes"),"Yes","No")</f>
        <v>#N/A</v>
      </c>
      <c r="D1676" s="40" t="s">
        <v>9405</v>
      </c>
    </row>
    <row r="1677" spans="1:4" x14ac:dyDescent="0.35">
      <c r="A1677" s="40" t="e">
        <f>IF(OR(_xlfn.XLOOKUP("",Assessment!H:H,Assessment!E:E)="yes"),"Yes","No")</f>
        <v>#N/A</v>
      </c>
      <c r="D1677" s="40" t="s">
        <v>9405</v>
      </c>
    </row>
    <row r="1678" spans="1:4" x14ac:dyDescent="0.35">
      <c r="A1678" s="40" t="e">
        <f>IF(OR(_xlfn.XLOOKUP("",Assessment!H:H,Assessment!E:E)="yes"),"Yes","No")</f>
        <v>#N/A</v>
      </c>
      <c r="D1678" s="40" t="s">
        <v>9405</v>
      </c>
    </row>
    <row r="1679" spans="1:4" x14ac:dyDescent="0.35">
      <c r="A1679" s="40" t="e">
        <f>IF(OR(_xlfn.XLOOKUP("",Assessment!H:H,Assessment!E:E)="yes"),"Yes","No")</f>
        <v>#N/A</v>
      </c>
      <c r="D1679" s="40" t="s">
        <v>9405</v>
      </c>
    </row>
    <row r="1680" spans="1:4" x14ac:dyDescent="0.35">
      <c r="A1680" s="40" t="e">
        <f>IF(OR(_xlfn.XLOOKUP("",Assessment!H:H,Assessment!E:E)="yes"),"Yes","No")</f>
        <v>#N/A</v>
      </c>
      <c r="D1680" s="40" t="s">
        <v>9405</v>
      </c>
    </row>
    <row r="1681" spans="1:4" x14ac:dyDescent="0.35">
      <c r="A1681" s="40" t="e">
        <f>IF(OR(_xlfn.XLOOKUP("",Assessment!H:H,Assessment!E:E)="yes"),"Yes","No")</f>
        <v>#N/A</v>
      </c>
      <c r="D1681" s="40" t="s">
        <v>9405</v>
      </c>
    </row>
    <row r="1682" spans="1:4" x14ac:dyDescent="0.35">
      <c r="A1682" s="40" t="e">
        <f>IF(OR(_xlfn.XLOOKUP("",Assessment!H:H,Assessment!E:E)="yes"),"Yes","No")</f>
        <v>#N/A</v>
      </c>
      <c r="D1682" s="40" t="s">
        <v>9405</v>
      </c>
    </row>
    <row r="1683" spans="1:4" x14ac:dyDescent="0.35">
      <c r="A1683" s="40" t="e">
        <f>IF(OR(_xlfn.XLOOKUP("",Assessment!H:H,Assessment!E:E)="yes"),"Yes","No")</f>
        <v>#N/A</v>
      </c>
      <c r="D1683" s="40" t="s">
        <v>9405</v>
      </c>
    </row>
    <row r="1684" spans="1:4" x14ac:dyDescent="0.35">
      <c r="A1684" s="40" t="e">
        <f>IF(OR(_xlfn.XLOOKUP("",Assessment!H:H,Assessment!E:E)="yes"),"Yes","No")</f>
        <v>#N/A</v>
      </c>
      <c r="D1684" s="40" t="s">
        <v>9405</v>
      </c>
    </row>
    <row r="1685" spans="1:4" x14ac:dyDescent="0.35">
      <c r="A1685" s="40" t="e">
        <f>IF(OR(_xlfn.XLOOKUP("",Assessment!H:H,Assessment!E:E)="yes"),"Yes","No")</f>
        <v>#N/A</v>
      </c>
      <c r="D1685" s="40" t="s">
        <v>9405</v>
      </c>
    </row>
    <row r="1686" spans="1:4" x14ac:dyDescent="0.35">
      <c r="A1686" s="40" t="e">
        <f>IF(OR(_xlfn.XLOOKUP("",Assessment!H:H,Assessment!E:E)="yes"),"Yes","No")</f>
        <v>#N/A</v>
      </c>
      <c r="D1686" s="40" t="s">
        <v>9405</v>
      </c>
    </row>
    <row r="1687" spans="1:4" x14ac:dyDescent="0.35">
      <c r="A1687" s="40" t="e">
        <f>IF(OR(_xlfn.XLOOKUP("",Assessment!H:H,Assessment!E:E)="yes"),"Yes","No")</f>
        <v>#N/A</v>
      </c>
      <c r="D1687" s="40" t="s">
        <v>9405</v>
      </c>
    </row>
    <row r="1688" spans="1:4" x14ac:dyDescent="0.35">
      <c r="A1688" s="40" t="e">
        <f>IF(OR(_xlfn.XLOOKUP("",Assessment!H:H,Assessment!E:E)="yes"),"Yes","No")</f>
        <v>#N/A</v>
      </c>
      <c r="D1688" s="40" t="s">
        <v>9405</v>
      </c>
    </row>
    <row r="1689" spans="1:4" x14ac:dyDescent="0.35">
      <c r="A1689" s="40" t="e">
        <f>IF(OR(_xlfn.XLOOKUP("",Assessment!H:H,Assessment!E:E)="yes"),"Yes","No")</f>
        <v>#N/A</v>
      </c>
      <c r="D1689" s="40" t="s">
        <v>9405</v>
      </c>
    </row>
    <row r="1690" spans="1:4" x14ac:dyDescent="0.35">
      <c r="A1690" s="40" t="e">
        <f>IF(OR(_xlfn.XLOOKUP("",Assessment!H:H,Assessment!E:E)="yes"),"Yes","No")</f>
        <v>#N/A</v>
      </c>
      <c r="D1690" s="40" t="s">
        <v>9405</v>
      </c>
    </row>
    <row r="1691" spans="1:4" x14ac:dyDescent="0.35">
      <c r="A1691" s="40" t="e">
        <f>IF(OR(_xlfn.XLOOKUP("",Assessment!H:H,Assessment!E:E)="yes"),"Yes","No")</f>
        <v>#N/A</v>
      </c>
      <c r="D1691" s="40" t="s">
        <v>9405</v>
      </c>
    </row>
    <row r="1692" spans="1:4" x14ac:dyDescent="0.35">
      <c r="A1692" s="40" t="e">
        <f>IF(OR(_xlfn.XLOOKUP("",Assessment!H:H,Assessment!E:E)="yes"),"Yes","No")</f>
        <v>#N/A</v>
      </c>
      <c r="D1692" s="40" t="s">
        <v>9405</v>
      </c>
    </row>
    <row r="1693" spans="1:4" x14ac:dyDescent="0.35">
      <c r="A1693" s="40" t="e">
        <f>IF(OR(_xlfn.XLOOKUP("",Assessment!H:H,Assessment!E:E)="yes"),"Yes","No")</f>
        <v>#N/A</v>
      </c>
      <c r="D1693" s="40" t="s">
        <v>9405</v>
      </c>
    </row>
    <row r="1694" spans="1:4" x14ac:dyDescent="0.35">
      <c r="A1694" s="40" t="e">
        <f>IF(OR(_xlfn.XLOOKUP("",Assessment!H:H,Assessment!E:E)="yes"),"Yes","No")</f>
        <v>#N/A</v>
      </c>
      <c r="D1694" s="40" t="s">
        <v>9405</v>
      </c>
    </row>
    <row r="1695" spans="1:4" x14ac:dyDescent="0.35">
      <c r="A1695" s="40" t="e">
        <f>IF(OR(_xlfn.XLOOKUP("",Assessment!H:H,Assessment!E:E)="yes"),"Yes","No")</f>
        <v>#N/A</v>
      </c>
      <c r="D1695" s="40" t="s">
        <v>9405</v>
      </c>
    </row>
    <row r="1696" spans="1:4" x14ac:dyDescent="0.35">
      <c r="A1696" s="40" t="e">
        <f>IF(OR(_xlfn.XLOOKUP("",Assessment!H:H,Assessment!E:E)="yes"),"Yes","No")</f>
        <v>#N/A</v>
      </c>
      <c r="D1696" s="40" t="s">
        <v>9405</v>
      </c>
    </row>
    <row r="1697" spans="1:4" x14ac:dyDescent="0.35">
      <c r="A1697" s="40" t="e">
        <f>IF(OR(_xlfn.XLOOKUP("",Assessment!H:H,Assessment!E:E)="yes"),"Yes","No")</f>
        <v>#N/A</v>
      </c>
      <c r="D1697" s="40" t="s">
        <v>9405</v>
      </c>
    </row>
    <row r="1698" spans="1:4" x14ac:dyDescent="0.35">
      <c r="A1698" s="40" t="e">
        <f>IF(OR(_xlfn.XLOOKUP("",Assessment!H:H,Assessment!E:E)="yes"),"Yes","No")</f>
        <v>#N/A</v>
      </c>
      <c r="D1698" s="40" t="s">
        <v>9405</v>
      </c>
    </row>
    <row r="1699" spans="1:4" x14ac:dyDescent="0.35">
      <c r="A1699" s="40" t="e">
        <f>IF(OR(_xlfn.XLOOKUP("",Assessment!H:H,Assessment!E:E)="yes"),"Yes","No")</f>
        <v>#N/A</v>
      </c>
      <c r="D1699" s="40" t="s">
        <v>9405</v>
      </c>
    </row>
    <row r="1700" spans="1:4" x14ac:dyDescent="0.35">
      <c r="A1700" s="40" t="e">
        <f>IF(OR(_xlfn.XLOOKUP("",Assessment!H:H,Assessment!E:E)="yes"),"Yes","No")</f>
        <v>#N/A</v>
      </c>
      <c r="D1700" s="40" t="s">
        <v>9405</v>
      </c>
    </row>
    <row r="1701" spans="1:4" x14ac:dyDescent="0.35">
      <c r="A1701" s="40" t="e">
        <f>IF(OR(_xlfn.XLOOKUP("",Assessment!H:H,Assessment!E:E)="yes"),"Yes","No")</f>
        <v>#N/A</v>
      </c>
      <c r="D1701" s="40" t="s">
        <v>9405</v>
      </c>
    </row>
    <row r="1702" spans="1:4" x14ac:dyDescent="0.35">
      <c r="A1702" s="40" t="e">
        <f>IF(OR(_xlfn.XLOOKUP("",Assessment!H:H,Assessment!E:E)="yes"),"Yes","No")</f>
        <v>#N/A</v>
      </c>
      <c r="D1702" s="40" t="s">
        <v>9405</v>
      </c>
    </row>
    <row r="1703" spans="1:4" x14ac:dyDescent="0.35">
      <c r="A1703" s="40" t="e">
        <f>IF(OR(_xlfn.XLOOKUP("",Assessment!H:H,Assessment!E:E)="yes"),"Yes","No")</f>
        <v>#N/A</v>
      </c>
      <c r="D1703" s="40" t="s">
        <v>9405</v>
      </c>
    </row>
    <row r="1704" spans="1:4" x14ac:dyDescent="0.35">
      <c r="A1704" s="40" t="e">
        <f>IF(OR(_xlfn.XLOOKUP("",Assessment!H:H,Assessment!E:E)="yes"),"Yes","No")</f>
        <v>#N/A</v>
      </c>
      <c r="D1704" s="40" t="s">
        <v>9405</v>
      </c>
    </row>
    <row r="1705" spans="1:4" x14ac:dyDescent="0.35">
      <c r="A1705" s="40" t="e">
        <f>IF(OR(_xlfn.XLOOKUP("",Assessment!H:H,Assessment!E:E)="yes"),"Yes","No")</f>
        <v>#N/A</v>
      </c>
      <c r="D1705" s="40" t="s">
        <v>9405</v>
      </c>
    </row>
    <row r="1706" spans="1:4" x14ac:dyDescent="0.35">
      <c r="A1706" s="40" t="e">
        <f>IF(OR(_xlfn.XLOOKUP("",Assessment!H:H,Assessment!E:E)="yes"),"Yes","No")</f>
        <v>#N/A</v>
      </c>
      <c r="D1706" s="40" t="s">
        <v>9405</v>
      </c>
    </row>
    <row r="1707" spans="1:4" x14ac:dyDescent="0.35">
      <c r="A1707" s="40" t="e">
        <f>IF(OR(_xlfn.XLOOKUP("",Assessment!H:H,Assessment!E:E)="yes"),"Yes","No")</f>
        <v>#N/A</v>
      </c>
      <c r="D1707" s="40" t="s">
        <v>9405</v>
      </c>
    </row>
    <row r="1708" spans="1:4" x14ac:dyDescent="0.35">
      <c r="A1708" s="40" t="e">
        <f>IF(OR(_xlfn.XLOOKUP("",Assessment!H:H,Assessment!E:E)="yes"),"Yes","No")</f>
        <v>#N/A</v>
      </c>
      <c r="D1708" s="40" t="s">
        <v>9405</v>
      </c>
    </row>
    <row r="1709" spans="1:4" x14ac:dyDescent="0.35">
      <c r="A1709" s="40" t="e">
        <f>IF(OR(_xlfn.XLOOKUP("",Assessment!H:H,Assessment!E:E)="yes"),"Yes","No")</f>
        <v>#N/A</v>
      </c>
      <c r="D1709" s="40" t="s">
        <v>9405</v>
      </c>
    </row>
    <row r="1710" spans="1:4" x14ac:dyDescent="0.35">
      <c r="A1710" s="40" t="e">
        <f>IF(OR(_xlfn.XLOOKUP("",Assessment!H:H,Assessment!E:E)="yes"),"Yes","No")</f>
        <v>#N/A</v>
      </c>
      <c r="D1710" s="40" t="s">
        <v>9405</v>
      </c>
    </row>
    <row r="1711" spans="1:4" x14ac:dyDescent="0.35">
      <c r="A1711" s="40" t="e">
        <f>IF(OR(_xlfn.XLOOKUP("",Assessment!H:H,Assessment!E:E)="yes"),"Yes","No")</f>
        <v>#N/A</v>
      </c>
      <c r="D1711" s="40" t="s">
        <v>9405</v>
      </c>
    </row>
    <row r="1712" spans="1:4" x14ac:dyDescent="0.35">
      <c r="A1712" s="40" t="e">
        <f>IF(OR(_xlfn.XLOOKUP("",Assessment!H:H,Assessment!E:E)="yes"),"Yes","No")</f>
        <v>#N/A</v>
      </c>
      <c r="D1712" s="40" t="s">
        <v>9405</v>
      </c>
    </row>
    <row r="1713" spans="1:4" x14ac:dyDescent="0.35">
      <c r="A1713" s="40" t="e">
        <f>IF(OR(_xlfn.XLOOKUP("",Assessment!H:H,Assessment!E:E)="yes"),"Yes","No")</f>
        <v>#N/A</v>
      </c>
      <c r="D1713" s="40" t="s">
        <v>9405</v>
      </c>
    </row>
    <row r="1714" spans="1:4" x14ac:dyDescent="0.35">
      <c r="A1714" s="40" t="e">
        <f>IF(OR(_xlfn.XLOOKUP("",Assessment!H:H,Assessment!E:E)="yes"),"Yes","No")</f>
        <v>#N/A</v>
      </c>
      <c r="D1714" s="40" t="s">
        <v>9405</v>
      </c>
    </row>
    <row r="1715" spans="1:4" x14ac:dyDescent="0.35">
      <c r="A1715" s="40" t="e">
        <f>IF(OR(_xlfn.XLOOKUP("",Assessment!H:H,Assessment!E:E)="yes"),"Yes","No")</f>
        <v>#N/A</v>
      </c>
      <c r="D1715" s="40" t="s">
        <v>9405</v>
      </c>
    </row>
    <row r="1716" spans="1:4" x14ac:dyDescent="0.35">
      <c r="A1716" s="40" t="e">
        <f>IF(OR(_xlfn.XLOOKUP("",Assessment!H:H,Assessment!E:E)="yes"),"Yes","No")</f>
        <v>#N/A</v>
      </c>
      <c r="D1716" s="40" t="s">
        <v>9405</v>
      </c>
    </row>
    <row r="1717" spans="1:4" x14ac:dyDescent="0.35">
      <c r="A1717" s="40" t="e">
        <f>IF(OR(_xlfn.XLOOKUP("",Assessment!H:H,Assessment!E:E)="yes"),"Yes","No")</f>
        <v>#N/A</v>
      </c>
      <c r="D1717" s="40" t="s">
        <v>9405</v>
      </c>
    </row>
    <row r="1718" spans="1:4" x14ac:dyDescent="0.35">
      <c r="A1718" s="40" t="e">
        <f>IF(OR(_xlfn.XLOOKUP("",Assessment!H:H,Assessment!E:E)="yes"),"Yes","No")</f>
        <v>#N/A</v>
      </c>
      <c r="D1718" s="40" t="s">
        <v>9405</v>
      </c>
    </row>
    <row r="1719" spans="1:4" x14ac:dyDescent="0.35">
      <c r="A1719" s="40" t="e">
        <f>IF(OR(_xlfn.XLOOKUP("",Assessment!H:H,Assessment!E:E)="yes"),"Yes","No")</f>
        <v>#N/A</v>
      </c>
      <c r="D1719" s="40" t="s">
        <v>9405</v>
      </c>
    </row>
    <row r="1720" spans="1:4" x14ac:dyDescent="0.35">
      <c r="A1720" s="40" t="e">
        <f>IF(OR(_xlfn.XLOOKUP("",Assessment!H:H,Assessment!E:E)="yes"),"Yes","No")</f>
        <v>#N/A</v>
      </c>
      <c r="D1720" s="40" t="s">
        <v>9405</v>
      </c>
    </row>
    <row r="1721" spans="1:4" x14ac:dyDescent="0.35">
      <c r="A1721" s="40" t="e">
        <f>IF(OR(_xlfn.XLOOKUP("",Assessment!H:H,Assessment!E:E)="yes"),"Yes","No")</f>
        <v>#N/A</v>
      </c>
      <c r="D1721" s="40" t="s">
        <v>9405</v>
      </c>
    </row>
    <row r="1722" spans="1:4" x14ac:dyDescent="0.35">
      <c r="A1722" s="40" t="e">
        <f>IF(OR(_xlfn.XLOOKUP("",Assessment!H:H,Assessment!E:E)="yes"),"Yes","No")</f>
        <v>#N/A</v>
      </c>
      <c r="D1722" s="40" t="s">
        <v>9405</v>
      </c>
    </row>
    <row r="1723" spans="1:4" x14ac:dyDescent="0.35">
      <c r="A1723" s="40" t="e">
        <f>IF(OR(_xlfn.XLOOKUP("",Assessment!H:H,Assessment!E:E)="yes"),"Yes","No")</f>
        <v>#N/A</v>
      </c>
      <c r="D1723" s="40" t="s">
        <v>9405</v>
      </c>
    </row>
    <row r="1724" spans="1:4" x14ac:dyDescent="0.35">
      <c r="A1724" s="40" t="e">
        <f>IF(OR(_xlfn.XLOOKUP("",Assessment!H:H,Assessment!E:E)="yes"),"Yes","No")</f>
        <v>#N/A</v>
      </c>
      <c r="D1724" s="40" t="s">
        <v>9405</v>
      </c>
    </row>
    <row r="1725" spans="1:4" x14ac:dyDescent="0.35">
      <c r="A1725" s="40" t="e">
        <f>IF(OR(_xlfn.XLOOKUP("",Assessment!H:H,Assessment!E:E)="yes"),"Yes","No")</f>
        <v>#N/A</v>
      </c>
      <c r="D1725" s="40" t="s">
        <v>9405</v>
      </c>
    </row>
    <row r="1726" spans="1:4" x14ac:dyDescent="0.35">
      <c r="A1726" s="40" t="e">
        <f>IF(OR(_xlfn.XLOOKUP("",Assessment!H:H,Assessment!E:E)="yes"),"Yes","No")</f>
        <v>#N/A</v>
      </c>
      <c r="D1726" s="40" t="s">
        <v>9405</v>
      </c>
    </row>
    <row r="1727" spans="1:4" x14ac:dyDescent="0.35">
      <c r="A1727" s="40" t="e">
        <f>IF(OR(_xlfn.XLOOKUP("",Assessment!H:H,Assessment!E:E)="yes"),"Yes","No")</f>
        <v>#N/A</v>
      </c>
      <c r="D1727" s="40" t="s">
        <v>9405</v>
      </c>
    </row>
    <row r="1728" spans="1:4" x14ac:dyDescent="0.35">
      <c r="A1728" s="40" t="e">
        <f>IF(OR(_xlfn.XLOOKUP("",Assessment!H:H,Assessment!E:E)="yes"),"Yes","No")</f>
        <v>#N/A</v>
      </c>
      <c r="D1728" s="40" t="s">
        <v>9405</v>
      </c>
    </row>
    <row r="1729" spans="1:4" x14ac:dyDescent="0.35">
      <c r="A1729" s="40" t="e">
        <f>IF(OR(_xlfn.XLOOKUP("",Assessment!H:H,Assessment!E:E)="yes"),"Yes","No")</f>
        <v>#N/A</v>
      </c>
      <c r="D1729" s="40" t="s">
        <v>9405</v>
      </c>
    </row>
    <row r="1730" spans="1:4" x14ac:dyDescent="0.35">
      <c r="A1730" s="40" t="e">
        <f>IF(OR(_xlfn.XLOOKUP("",Assessment!H:H,Assessment!E:E)="yes"),"Yes","No")</f>
        <v>#N/A</v>
      </c>
      <c r="D1730" s="40" t="s">
        <v>9405</v>
      </c>
    </row>
    <row r="1731" spans="1:4" x14ac:dyDescent="0.35">
      <c r="A1731" s="40" t="e">
        <f>IF(OR(_xlfn.XLOOKUP("",Assessment!H:H,Assessment!E:E)="yes"),"Yes","No")</f>
        <v>#N/A</v>
      </c>
      <c r="D1731" s="40" t="s">
        <v>9405</v>
      </c>
    </row>
    <row r="1732" spans="1:4" x14ac:dyDescent="0.35">
      <c r="A1732" s="40" t="e">
        <f>IF(OR(_xlfn.XLOOKUP("",Assessment!H:H,Assessment!E:E)="yes"),"Yes","No")</f>
        <v>#N/A</v>
      </c>
      <c r="D1732" s="40" t="s">
        <v>9405</v>
      </c>
    </row>
    <row r="1733" spans="1:4" x14ac:dyDescent="0.35">
      <c r="A1733" s="40" t="e">
        <f>IF(OR(_xlfn.XLOOKUP("",Assessment!H:H,Assessment!E:E)="yes"),"Yes","No")</f>
        <v>#N/A</v>
      </c>
      <c r="D1733" s="40" t="s">
        <v>9405</v>
      </c>
    </row>
    <row r="1734" spans="1:4" x14ac:dyDescent="0.35">
      <c r="A1734" s="40" t="e">
        <f>IF(OR(_xlfn.XLOOKUP("",Assessment!H:H,Assessment!E:E)="yes"),"Yes","No")</f>
        <v>#N/A</v>
      </c>
      <c r="D1734" s="40" t="s">
        <v>9405</v>
      </c>
    </row>
    <row r="1735" spans="1:4" x14ac:dyDescent="0.35">
      <c r="A1735" s="40" t="e">
        <f>IF(OR(_xlfn.XLOOKUP("",Assessment!H:H,Assessment!E:E)="yes"),"Yes","No")</f>
        <v>#N/A</v>
      </c>
      <c r="D1735" s="40" t="s">
        <v>9405</v>
      </c>
    </row>
    <row r="1736" spans="1:4" x14ac:dyDescent="0.35">
      <c r="A1736" s="40" t="e">
        <f>IF(OR(_xlfn.XLOOKUP("",Assessment!H:H,Assessment!E:E)="yes"),"Yes","No")</f>
        <v>#N/A</v>
      </c>
      <c r="D1736" s="40" t="s">
        <v>9405</v>
      </c>
    </row>
    <row r="1737" spans="1:4" x14ac:dyDescent="0.35">
      <c r="A1737" s="40" t="e">
        <f>IF(OR(_xlfn.XLOOKUP("",Assessment!H:H,Assessment!E:E)="yes"),"Yes","No")</f>
        <v>#N/A</v>
      </c>
      <c r="D1737" s="40" t="s">
        <v>9405</v>
      </c>
    </row>
    <row r="1738" spans="1:4" x14ac:dyDescent="0.35">
      <c r="A1738" s="40" t="e">
        <f>IF(OR(_xlfn.XLOOKUP("",Assessment!H:H,Assessment!E:E)="yes"),"Yes","No")</f>
        <v>#N/A</v>
      </c>
      <c r="D1738" s="40" t="s">
        <v>9405</v>
      </c>
    </row>
    <row r="1739" spans="1:4" x14ac:dyDescent="0.35">
      <c r="A1739" s="40" t="e">
        <f>IF(OR(_xlfn.XLOOKUP("",Assessment!H:H,Assessment!E:E)="yes"),"Yes","No")</f>
        <v>#N/A</v>
      </c>
      <c r="D1739" s="40" t="s">
        <v>9405</v>
      </c>
    </row>
    <row r="1740" spans="1:4" x14ac:dyDescent="0.35">
      <c r="A1740" s="40" t="e">
        <f>IF(OR(_xlfn.XLOOKUP("",Assessment!H:H,Assessment!E:E)="yes"),"Yes","No")</f>
        <v>#N/A</v>
      </c>
      <c r="D1740" s="40" t="s">
        <v>9405</v>
      </c>
    </row>
    <row r="1741" spans="1:4" x14ac:dyDescent="0.35">
      <c r="A1741" s="40" t="e">
        <f>IF(OR(_xlfn.XLOOKUP("",Assessment!H:H,Assessment!E:E)="yes"),"Yes","No")</f>
        <v>#N/A</v>
      </c>
      <c r="D1741" s="40" t="s">
        <v>9405</v>
      </c>
    </row>
    <row r="1742" spans="1:4" x14ac:dyDescent="0.35">
      <c r="A1742" s="40" t="e">
        <f>IF(OR(_xlfn.XLOOKUP("",Assessment!H:H,Assessment!E:E)="yes"),"Yes","No")</f>
        <v>#N/A</v>
      </c>
      <c r="D1742" s="40" t="s">
        <v>9405</v>
      </c>
    </row>
    <row r="1743" spans="1:4" x14ac:dyDescent="0.35">
      <c r="A1743" s="40" t="e">
        <f>IF(OR(_xlfn.XLOOKUP("",Assessment!H:H,Assessment!E:E)="yes"),"Yes","No")</f>
        <v>#N/A</v>
      </c>
      <c r="D1743" s="40" t="s">
        <v>9405</v>
      </c>
    </row>
    <row r="1744" spans="1:4" x14ac:dyDescent="0.35">
      <c r="A1744" s="40" t="e">
        <f>IF(OR(_xlfn.XLOOKUP("",Assessment!H:H,Assessment!E:E)="yes"),"Yes","No")</f>
        <v>#N/A</v>
      </c>
      <c r="D1744" s="40" t="s">
        <v>9405</v>
      </c>
    </row>
    <row r="1745" spans="1:4" x14ac:dyDescent="0.35">
      <c r="A1745" s="40" t="e">
        <f>IF(OR(_xlfn.XLOOKUP("",Assessment!H:H,Assessment!E:E)="yes"),"Yes","No")</f>
        <v>#N/A</v>
      </c>
      <c r="D1745" s="40" t="s">
        <v>9405</v>
      </c>
    </row>
    <row r="1746" spans="1:4" x14ac:dyDescent="0.35">
      <c r="A1746" s="40" t="e">
        <f>IF(OR(_xlfn.XLOOKUP("",Assessment!H:H,Assessment!E:E)="yes"),"Yes","No")</f>
        <v>#N/A</v>
      </c>
      <c r="D1746" s="40" t="s">
        <v>9405</v>
      </c>
    </row>
    <row r="1747" spans="1:4" x14ac:dyDescent="0.35">
      <c r="A1747" s="40" t="e">
        <f>IF(OR(_xlfn.XLOOKUP("",Assessment!H:H,Assessment!E:E)="yes"),"Yes","No")</f>
        <v>#N/A</v>
      </c>
      <c r="D1747" s="40" t="s">
        <v>9405</v>
      </c>
    </row>
    <row r="1748" spans="1:4" x14ac:dyDescent="0.35">
      <c r="A1748" s="40" t="e">
        <f>IF(OR(_xlfn.XLOOKUP("",Assessment!H:H,Assessment!E:E)="yes"),"Yes","No")</f>
        <v>#N/A</v>
      </c>
      <c r="D1748" s="40" t="s">
        <v>9405</v>
      </c>
    </row>
    <row r="1749" spans="1:4" x14ac:dyDescent="0.35">
      <c r="A1749" s="40" t="e">
        <f>IF(OR(_xlfn.XLOOKUP("",Assessment!H:H,Assessment!E:E)="yes"),"Yes","No")</f>
        <v>#N/A</v>
      </c>
      <c r="D1749" s="40" t="s">
        <v>9405</v>
      </c>
    </row>
    <row r="1750" spans="1:4" x14ac:dyDescent="0.35">
      <c r="A1750" s="40" t="e">
        <f>IF(OR(_xlfn.XLOOKUP("",Assessment!H:H,Assessment!E:E)="yes"),"Yes","No")</f>
        <v>#N/A</v>
      </c>
      <c r="D1750" s="40" t="s">
        <v>9405</v>
      </c>
    </row>
    <row r="1751" spans="1:4" x14ac:dyDescent="0.35">
      <c r="A1751" s="40" t="e">
        <f>IF(OR(_xlfn.XLOOKUP("",Assessment!H:H,Assessment!E:E)="yes"),"Yes","No")</f>
        <v>#N/A</v>
      </c>
      <c r="D1751" s="40" t="s">
        <v>9405</v>
      </c>
    </row>
    <row r="1752" spans="1:4" x14ac:dyDescent="0.35">
      <c r="A1752" s="40" t="e">
        <f>IF(OR(_xlfn.XLOOKUP("",Assessment!H:H,Assessment!E:E)="yes"),"Yes","No")</f>
        <v>#N/A</v>
      </c>
      <c r="D1752" s="40" t="s">
        <v>9405</v>
      </c>
    </row>
    <row r="1753" spans="1:4" x14ac:dyDescent="0.35">
      <c r="A1753" s="40" t="e">
        <f>IF(OR(_xlfn.XLOOKUP("",Assessment!H:H,Assessment!E:E)="yes"),"Yes","No")</f>
        <v>#N/A</v>
      </c>
      <c r="D1753" s="40" t="s">
        <v>9405</v>
      </c>
    </row>
    <row r="1754" spans="1:4" x14ac:dyDescent="0.35">
      <c r="A1754" s="40" t="e">
        <f>IF(OR(_xlfn.XLOOKUP("",Assessment!H:H,Assessment!E:E)="yes"),"Yes","No")</f>
        <v>#N/A</v>
      </c>
      <c r="D1754" s="40" t="s">
        <v>9405</v>
      </c>
    </row>
    <row r="1755" spans="1:4" x14ac:dyDescent="0.35">
      <c r="A1755" s="40" t="e">
        <f>IF(OR(_xlfn.XLOOKUP("",Assessment!H:H,Assessment!E:E)="yes"),"Yes","No")</f>
        <v>#N/A</v>
      </c>
      <c r="D1755" s="40" t="s">
        <v>9405</v>
      </c>
    </row>
    <row r="1756" spans="1:4" x14ac:dyDescent="0.35">
      <c r="A1756" s="40" t="e">
        <f>IF(OR(_xlfn.XLOOKUP("",Assessment!H:H,Assessment!E:E)="yes"),"Yes","No")</f>
        <v>#N/A</v>
      </c>
      <c r="D1756" s="40" t="s">
        <v>9405</v>
      </c>
    </row>
    <row r="1757" spans="1:4" x14ac:dyDescent="0.35">
      <c r="A1757" s="40" t="e">
        <f>IF(OR(_xlfn.XLOOKUP("",Assessment!H:H,Assessment!E:E)="yes"),"Yes","No")</f>
        <v>#N/A</v>
      </c>
      <c r="D1757" s="40" t="s">
        <v>9405</v>
      </c>
    </row>
    <row r="1758" spans="1:4" x14ac:dyDescent="0.35">
      <c r="A1758" s="40" t="e">
        <f>IF(OR(_xlfn.XLOOKUP("",Assessment!H:H,Assessment!E:E)="yes"),"Yes","No")</f>
        <v>#N/A</v>
      </c>
      <c r="D1758" s="40" t="s">
        <v>9405</v>
      </c>
    </row>
    <row r="1759" spans="1:4" x14ac:dyDescent="0.35">
      <c r="A1759" s="40" t="e">
        <f>IF(OR(_xlfn.XLOOKUP("",Assessment!H:H,Assessment!E:E)="yes"),"Yes","No")</f>
        <v>#N/A</v>
      </c>
      <c r="D1759" s="40" t="s">
        <v>9405</v>
      </c>
    </row>
    <row r="1760" spans="1:4" x14ac:dyDescent="0.35">
      <c r="A1760" s="40" t="e">
        <f>IF(OR(_xlfn.XLOOKUP("",Assessment!H:H,Assessment!E:E)="yes"),"Yes","No")</f>
        <v>#N/A</v>
      </c>
      <c r="D1760" s="40" t="s">
        <v>9405</v>
      </c>
    </row>
    <row r="1761" spans="1:4" x14ac:dyDescent="0.35">
      <c r="A1761" s="40" t="e">
        <f>IF(OR(_xlfn.XLOOKUP("",Assessment!H:H,Assessment!E:E)="yes"),"Yes","No")</f>
        <v>#N/A</v>
      </c>
      <c r="D1761" s="40" t="s">
        <v>9405</v>
      </c>
    </row>
    <row r="1762" spans="1:4" x14ac:dyDescent="0.35">
      <c r="A1762" s="40" t="e">
        <f>IF(OR(_xlfn.XLOOKUP("",Assessment!H:H,Assessment!E:E)="yes"),"Yes","No")</f>
        <v>#N/A</v>
      </c>
      <c r="D1762" s="40" t="s">
        <v>9405</v>
      </c>
    </row>
    <row r="1763" spans="1:4" x14ac:dyDescent="0.35">
      <c r="A1763" s="40" t="e">
        <f>IF(OR(_xlfn.XLOOKUP("",Assessment!H:H,Assessment!E:E)="yes"),"Yes","No")</f>
        <v>#N/A</v>
      </c>
      <c r="D1763" s="40" t="s">
        <v>9405</v>
      </c>
    </row>
    <row r="1764" spans="1:4" x14ac:dyDescent="0.35">
      <c r="A1764" s="40" t="e">
        <f>IF(OR(_xlfn.XLOOKUP("",Assessment!H:H,Assessment!E:E)="yes"),"Yes","No")</f>
        <v>#N/A</v>
      </c>
      <c r="D1764" s="40" t="s">
        <v>9405</v>
      </c>
    </row>
    <row r="1765" spans="1:4" x14ac:dyDescent="0.35">
      <c r="A1765" s="40" t="e">
        <f>IF(OR(_xlfn.XLOOKUP("",Assessment!H:H,Assessment!E:E)="yes"),"Yes","No")</f>
        <v>#N/A</v>
      </c>
      <c r="D1765" s="40" t="s">
        <v>9405</v>
      </c>
    </row>
    <row r="1766" spans="1:4" x14ac:dyDescent="0.35">
      <c r="A1766" s="40" t="e">
        <f>IF(OR(_xlfn.XLOOKUP("",Assessment!H:H,Assessment!E:E)="yes"),"Yes","No")</f>
        <v>#N/A</v>
      </c>
      <c r="D1766" s="40" t="s">
        <v>9405</v>
      </c>
    </row>
    <row r="1767" spans="1:4" x14ac:dyDescent="0.35">
      <c r="A1767" s="40" t="e">
        <f>IF(OR(_xlfn.XLOOKUP("",Assessment!H:H,Assessment!E:E)="yes"),"Yes","No")</f>
        <v>#N/A</v>
      </c>
      <c r="D1767" s="40" t="s">
        <v>9405</v>
      </c>
    </row>
    <row r="1768" spans="1:4" x14ac:dyDescent="0.35">
      <c r="A1768" s="40" t="e">
        <f>IF(OR(_xlfn.XLOOKUP("",Assessment!H:H,Assessment!E:E)="yes"),"Yes","No")</f>
        <v>#N/A</v>
      </c>
      <c r="D1768" s="40" t="s">
        <v>9405</v>
      </c>
    </row>
    <row r="1769" spans="1:4" x14ac:dyDescent="0.35">
      <c r="A1769" s="40" t="e">
        <f>IF(OR(_xlfn.XLOOKUP("",Assessment!H:H,Assessment!E:E)="yes"),"Yes","No")</f>
        <v>#N/A</v>
      </c>
      <c r="D1769" s="40" t="s">
        <v>9405</v>
      </c>
    </row>
    <row r="1770" spans="1:4" x14ac:dyDescent="0.35">
      <c r="A1770" s="40" t="e">
        <f>IF(OR(_xlfn.XLOOKUP("",Assessment!H:H,Assessment!E:E)="yes"),"Yes","No")</f>
        <v>#N/A</v>
      </c>
      <c r="D1770" s="40" t="s">
        <v>9405</v>
      </c>
    </row>
    <row r="1771" spans="1:4" x14ac:dyDescent="0.35">
      <c r="A1771" s="40" t="e">
        <f>IF(OR(_xlfn.XLOOKUP("",Assessment!H:H,Assessment!E:E)="yes"),"Yes","No")</f>
        <v>#N/A</v>
      </c>
      <c r="D1771" s="40" t="s">
        <v>9405</v>
      </c>
    </row>
    <row r="1772" spans="1:4" x14ac:dyDescent="0.35">
      <c r="A1772" s="40" t="e">
        <f>IF(OR(_xlfn.XLOOKUP("",Assessment!H:H,Assessment!E:E)="yes"),"Yes","No")</f>
        <v>#N/A</v>
      </c>
      <c r="D1772" s="40" t="s">
        <v>9405</v>
      </c>
    </row>
    <row r="1773" spans="1:4" x14ac:dyDescent="0.35">
      <c r="A1773" s="40" t="e">
        <f>IF(OR(_xlfn.XLOOKUP("",Assessment!H:H,Assessment!E:E)="yes"),"Yes","No")</f>
        <v>#N/A</v>
      </c>
      <c r="D1773" s="40" t="s">
        <v>9405</v>
      </c>
    </row>
    <row r="1774" spans="1:4" x14ac:dyDescent="0.35">
      <c r="A1774" s="40" t="e">
        <f>IF(OR(_xlfn.XLOOKUP("",Assessment!H:H,Assessment!E:E)="yes"),"Yes","No")</f>
        <v>#N/A</v>
      </c>
      <c r="D1774" s="40" t="s">
        <v>9405</v>
      </c>
    </row>
    <row r="1775" spans="1:4" x14ac:dyDescent="0.35">
      <c r="A1775" s="40" t="e">
        <f>IF(OR(_xlfn.XLOOKUP("",Assessment!H:H,Assessment!E:E)="yes"),"Yes","No")</f>
        <v>#N/A</v>
      </c>
      <c r="D1775" s="40" t="s">
        <v>9405</v>
      </c>
    </row>
    <row r="1776" spans="1:4" x14ac:dyDescent="0.35">
      <c r="A1776" s="40" t="e">
        <f>IF(OR(_xlfn.XLOOKUP("",Assessment!H:H,Assessment!E:E)="yes"),"Yes","No")</f>
        <v>#N/A</v>
      </c>
      <c r="D1776" s="40" t="s">
        <v>9405</v>
      </c>
    </row>
    <row r="1777" spans="1:4" x14ac:dyDescent="0.35">
      <c r="A1777" s="40" t="e">
        <f>IF(OR(_xlfn.XLOOKUP("",Assessment!H:H,Assessment!E:E)="yes"),"Yes","No")</f>
        <v>#N/A</v>
      </c>
      <c r="D1777" s="40" t="s">
        <v>9405</v>
      </c>
    </row>
    <row r="1778" spans="1:4" x14ac:dyDescent="0.35">
      <c r="A1778" s="40" t="e">
        <f>IF(OR(_xlfn.XLOOKUP("",Assessment!H:H,Assessment!E:E)="yes"),"Yes","No")</f>
        <v>#N/A</v>
      </c>
      <c r="D1778" s="40" t="s">
        <v>9405</v>
      </c>
    </row>
    <row r="1779" spans="1:4" x14ac:dyDescent="0.35">
      <c r="A1779" s="40" t="e">
        <f>IF(OR(_xlfn.XLOOKUP("",Assessment!H:H,Assessment!E:E)="yes"),"Yes","No")</f>
        <v>#N/A</v>
      </c>
      <c r="D1779" s="40" t="s">
        <v>9405</v>
      </c>
    </row>
    <row r="1780" spans="1:4" x14ac:dyDescent="0.35">
      <c r="A1780" s="40" t="e">
        <f>IF(OR(_xlfn.XLOOKUP("",Assessment!H:H,Assessment!E:E)="yes"),"Yes","No")</f>
        <v>#N/A</v>
      </c>
      <c r="D1780" s="40" t="s">
        <v>9405</v>
      </c>
    </row>
    <row r="1781" spans="1:4" x14ac:dyDescent="0.35">
      <c r="A1781" s="40" t="e">
        <f>IF(OR(_xlfn.XLOOKUP("",Assessment!H:H,Assessment!E:E)="yes"),"Yes","No")</f>
        <v>#N/A</v>
      </c>
      <c r="D1781" s="40" t="s">
        <v>9405</v>
      </c>
    </row>
    <row r="1782" spans="1:4" x14ac:dyDescent="0.35">
      <c r="A1782" s="40" t="e">
        <f>IF(OR(_xlfn.XLOOKUP("",Assessment!H:H,Assessment!E:E)="yes"),"Yes","No")</f>
        <v>#N/A</v>
      </c>
      <c r="D1782" s="40" t="s">
        <v>9405</v>
      </c>
    </row>
    <row r="1783" spans="1:4" x14ac:dyDescent="0.35">
      <c r="A1783" s="40" t="e">
        <f>IF(OR(_xlfn.XLOOKUP("",Assessment!H:H,Assessment!E:E)="yes"),"Yes","No")</f>
        <v>#N/A</v>
      </c>
      <c r="D1783" s="40" t="s">
        <v>9405</v>
      </c>
    </row>
    <row r="1784" spans="1:4" x14ac:dyDescent="0.35">
      <c r="A1784" s="40" t="e">
        <f>IF(OR(_xlfn.XLOOKUP("",Assessment!H:H,Assessment!E:E)="yes"),"Yes","No")</f>
        <v>#N/A</v>
      </c>
      <c r="D1784" s="40" t="s">
        <v>9405</v>
      </c>
    </row>
    <row r="1785" spans="1:4" x14ac:dyDescent="0.35">
      <c r="A1785" s="40" t="e">
        <f>IF(OR(_xlfn.XLOOKUP("",Assessment!H:H,Assessment!E:E)="yes"),"Yes","No")</f>
        <v>#N/A</v>
      </c>
      <c r="D1785" s="40" t="s">
        <v>9405</v>
      </c>
    </row>
    <row r="1786" spans="1:4" x14ac:dyDescent="0.35">
      <c r="A1786" s="40" t="e">
        <f>IF(OR(_xlfn.XLOOKUP("",Assessment!H:H,Assessment!E:E)="yes"),"Yes","No")</f>
        <v>#N/A</v>
      </c>
      <c r="D1786" s="40" t="s">
        <v>9405</v>
      </c>
    </row>
    <row r="1787" spans="1:4" x14ac:dyDescent="0.35">
      <c r="A1787" s="40" t="e">
        <f>IF(OR(_xlfn.XLOOKUP("",Assessment!H:H,Assessment!E:E)="yes"),"Yes","No")</f>
        <v>#N/A</v>
      </c>
      <c r="D1787" s="40" t="s">
        <v>9405</v>
      </c>
    </row>
    <row r="1788" spans="1:4" x14ac:dyDescent="0.35">
      <c r="A1788" s="40" t="e">
        <f>IF(OR(_xlfn.XLOOKUP("",Assessment!H:H,Assessment!E:E)="yes"),"Yes","No")</f>
        <v>#N/A</v>
      </c>
      <c r="D1788" s="40" t="s">
        <v>9405</v>
      </c>
    </row>
    <row r="1789" spans="1:4" x14ac:dyDescent="0.35">
      <c r="A1789" s="40" t="e">
        <f>IF(OR(_xlfn.XLOOKUP("",Assessment!H:H,Assessment!E:E)="yes"),"Yes","No")</f>
        <v>#N/A</v>
      </c>
      <c r="D1789" s="40" t="s">
        <v>9405</v>
      </c>
    </row>
    <row r="1790" spans="1:4" x14ac:dyDescent="0.35">
      <c r="A1790" s="40" t="e">
        <f>IF(OR(_xlfn.XLOOKUP("",Assessment!H:H,Assessment!E:E)="yes"),"Yes","No")</f>
        <v>#N/A</v>
      </c>
      <c r="D1790" s="40" t="s">
        <v>9405</v>
      </c>
    </row>
    <row r="1791" spans="1:4" x14ac:dyDescent="0.35">
      <c r="A1791" s="40" t="e">
        <f>IF(OR(_xlfn.XLOOKUP("",Assessment!H:H,Assessment!E:E)="yes"),"Yes","No")</f>
        <v>#N/A</v>
      </c>
      <c r="D1791" s="40" t="s">
        <v>9405</v>
      </c>
    </row>
    <row r="1792" spans="1:4" x14ac:dyDescent="0.35">
      <c r="A1792" s="40" t="e">
        <f>IF(OR(_xlfn.XLOOKUP("",Assessment!H:H,Assessment!E:E)="yes"),"Yes","No")</f>
        <v>#N/A</v>
      </c>
      <c r="D1792" s="40" t="s">
        <v>9405</v>
      </c>
    </row>
    <row r="1793" spans="1:4" x14ac:dyDescent="0.35">
      <c r="A1793" s="40" t="e">
        <f>IF(OR(_xlfn.XLOOKUP("",Assessment!H:H,Assessment!E:E)="yes"),"Yes","No")</f>
        <v>#N/A</v>
      </c>
      <c r="D1793" s="40" t="s">
        <v>9405</v>
      </c>
    </row>
    <row r="1794" spans="1:4" x14ac:dyDescent="0.35">
      <c r="A1794" s="40" t="e">
        <f>IF(OR(_xlfn.XLOOKUP("",Assessment!H:H,Assessment!E:E)="yes"),"Yes","No")</f>
        <v>#N/A</v>
      </c>
      <c r="D1794" s="40" t="s">
        <v>9405</v>
      </c>
    </row>
    <row r="1795" spans="1:4" x14ac:dyDescent="0.35">
      <c r="A1795" s="40" t="e">
        <f>IF(OR(_xlfn.XLOOKUP("",Assessment!H:H,Assessment!E:E)="yes"),"Yes","No")</f>
        <v>#N/A</v>
      </c>
      <c r="D1795" s="40" t="s">
        <v>9405</v>
      </c>
    </row>
    <row r="1796" spans="1:4" x14ac:dyDescent="0.35">
      <c r="A1796" s="40" t="e">
        <f>IF(OR(_xlfn.XLOOKUP("",Assessment!H:H,Assessment!E:E)="yes"),"Yes","No")</f>
        <v>#N/A</v>
      </c>
      <c r="D1796" s="40" t="s">
        <v>9405</v>
      </c>
    </row>
    <row r="1797" spans="1:4" x14ac:dyDescent="0.35">
      <c r="A1797" s="40" t="e">
        <f>IF(OR(_xlfn.XLOOKUP("",Assessment!H:H,Assessment!E:E)="yes"),"Yes","No")</f>
        <v>#N/A</v>
      </c>
      <c r="D1797" s="40" t="s">
        <v>9405</v>
      </c>
    </row>
    <row r="1798" spans="1:4" x14ac:dyDescent="0.35">
      <c r="A1798" s="40" t="e">
        <f>IF(OR(_xlfn.XLOOKUP("",Assessment!H:H,Assessment!E:E)="yes"),"Yes","No")</f>
        <v>#N/A</v>
      </c>
      <c r="D1798" s="40" t="s">
        <v>9405</v>
      </c>
    </row>
    <row r="1799" spans="1:4" x14ac:dyDescent="0.35">
      <c r="A1799" s="40" t="e">
        <f>IF(OR(_xlfn.XLOOKUP("",Assessment!H:H,Assessment!E:E)="yes"),"Yes","No")</f>
        <v>#N/A</v>
      </c>
      <c r="D1799" s="40" t="s">
        <v>9405</v>
      </c>
    </row>
    <row r="1800" spans="1:4" x14ac:dyDescent="0.35">
      <c r="A1800" s="40" t="e">
        <f>IF(OR(_xlfn.XLOOKUP("",Assessment!H:H,Assessment!E:E)="yes"),"Yes","No")</f>
        <v>#N/A</v>
      </c>
      <c r="D1800" s="40" t="s">
        <v>9405</v>
      </c>
    </row>
    <row r="1801" spans="1:4" x14ac:dyDescent="0.35">
      <c r="A1801" s="40" t="e">
        <f>IF(OR(_xlfn.XLOOKUP("",Assessment!H:H,Assessment!E:E)="yes"),"Yes","No")</f>
        <v>#N/A</v>
      </c>
      <c r="D1801" s="40" t="s">
        <v>9405</v>
      </c>
    </row>
    <row r="1802" spans="1:4" x14ac:dyDescent="0.35">
      <c r="A1802" s="40" t="e">
        <f>IF(OR(_xlfn.XLOOKUP("",Assessment!H:H,Assessment!E:E)="yes"),"Yes","No")</f>
        <v>#N/A</v>
      </c>
      <c r="D1802" s="40" t="s">
        <v>9405</v>
      </c>
    </row>
    <row r="1803" spans="1:4" x14ac:dyDescent="0.35">
      <c r="A1803" s="40" t="e">
        <f>IF(OR(_xlfn.XLOOKUP("",Assessment!H:H,Assessment!E:E)="yes"),"Yes","No")</f>
        <v>#N/A</v>
      </c>
      <c r="D1803" s="40" t="s">
        <v>9405</v>
      </c>
    </row>
    <row r="1804" spans="1:4" x14ac:dyDescent="0.35">
      <c r="A1804" s="40" t="e">
        <f>IF(OR(_xlfn.XLOOKUP("",Assessment!H:H,Assessment!E:E)="yes"),"Yes","No")</f>
        <v>#N/A</v>
      </c>
      <c r="D1804" s="40" t="s">
        <v>9405</v>
      </c>
    </row>
    <row r="1805" spans="1:4" x14ac:dyDescent="0.35">
      <c r="A1805" s="40" t="e">
        <f>IF(OR(_xlfn.XLOOKUP("",Assessment!H:H,Assessment!E:E)="yes"),"Yes","No")</f>
        <v>#N/A</v>
      </c>
      <c r="D1805" s="40" t="s">
        <v>9405</v>
      </c>
    </row>
    <row r="1806" spans="1:4" x14ac:dyDescent="0.35">
      <c r="A1806" s="40" t="e">
        <f>IF(OR(_xlfn.XLOOKUP("",Assessment!H:H,Assessment!E:E)="yes"),"Yes","No")</f>
        <v>#N/A</v>
      </c>
      <c r="D1806" s="40" t="s">
        <v>9405</v>
      </c>
    </row>
    <row r="1807" spans="1:4" x14ac:dyDescent="0.35">
      <c r="A1807" s="40" t="e">
        <f>IF(OR(_xlfn.XLOOKUP("",Assessment!H:H,Assessment!E:E)="yes"),"Yes","No")</f>
        <v>#N/A</v>
      </c>
      <c r="D1807" s="40" t="s">
        <v>9405</v>
      </c>
    </row>
    <row r="1808" spans="1:4" x14ac:dyDescent="0.35">
      <c r="A1808" s="40" t="e">
        <f>IF(OR(_xlfn.XLOOKUP("",Assessment!H:H,Assessment!E:E)="yes"),"Yes","No")</f>
        <v>#N/A</v>
      </c>
      <c r="D1808" s="40" t="s">
        <v>9405</v>
      </c>
    </row>
    <row r="1809" spans="1:4" x14ac:dyDescent="0.35">
      <c r="A1809" s="40" t="e">
        <f>IF(OR(_xlfn.XLOOKUP("",Assessment!H:H,Assessment!E:E)="yes"),"Yes","No")</f>
        <v>#N/A</v>
      </c>
      <c r="D1809" s="40" t="s">
        <v>9405</v>
      </c>
    </row>
    <row r="1810" spans="1:4" x14ac:dyDescent="0.35">
      <c r="A1810" s="40" t="e">
        <f>IF(OR(_xlfn.XLOOKUP("",Assessment!H:H,Assessment!E:E)="yes"),"Yes","No")</f>
        <v>#N/A</v>
      </c>
      <c r="D1810" s="40" t="s">
        <v>9405</v>
      </c>
    </row>
    <row r="1811" spans="1:4" x14ac:dyDescent="0.35">
      <c r="A1811" s="40" t="e">
        <f>IF(OR(_xlfn.XLOOKUP("",Assessment!H:H,Assessment!E:E)="yes"),"Yes","No")</f>
        <v>#N/A</v>
      </c>
      <c r="D1811" s="40" t="s">
        <v>9405</v>
      </c>
    </row>
    <row r="1812" spans="1:4" x14ac:dyDescent="0.35">
      <c r="A1812" s="40" t="e">
        <f>IF(OR(_xlfn.XLOOKUP("",Assessment!H:H,Assessment!E:E)="yes"),"Yes","No")</f>
        <v>#N/A</v>
      </c>
      <c r="D1812" s="40" t="s">
        <v>9405</v>
      </c>
    </row>
    <row r="1813" spans="1:4" x14ac:dyDescent="0.35">
      <c r="A1813" s="40" t="e">
        <f>IF(OR(_xlfn.XLOOKUP("",Assessment!H:H,Assessment!E:E)="yes"),"Yes","No")</f>
        <v>#N/A</v>
      </c>
      <c r="D1813" s="40" t="s">
        <v>9405</v>
      </c>
    </row>
    <row r="1814" spans="1:4" x14ac:dyDescent="0.35">
      <c r="A1814" s="40" t="e">
        <f>IF(OR(_xlfn.XLOOKUP("",Assessment!H:H,Assessment!E:E)="yes"),"Yes","No")</f>
        <v>#N/A</v>
      </c>
      <c r="D1814" s="40" t="s">
        <v>9405</v>
      </c>
    </row>
    <row r="1815" spans="1:4" x14ac:dyDescent="0.35">
      <c r="A1815" s="40" t="e">
        <f>IF(OR(_xlfn.XLOOKUP("",Assessment!H:H,Assessment!E:E)="yes"),"Yes","No")</f>
        <v>#N/A</v>
      </c>
      <c r="D1815" s="40" t="s">
        <v>9405</v>
      </c>
    </row>
    <row r="1816" spans="1:4" x14ac:dyDescent="0.35">
      <c r="A1816" s="40" t="e">
        <f>IF(OR(_xlfn.XLOOKUP("",Assessment!H:H,Assessment!E:E)="yes"),"Yes","No")</f>
        <v>#N/A</v>
      </c>
      <c r="D1816" s="40" t="s">
        <v>9405</v>
      </c>
    </row>
    <row r="1817" spans="1:4" x14ac:dyDescent="0.35">
      <c r="A1817" s="40" t="e">
        <f>IF(OR(_xlfn.XLOOKUP("",Assessment!H:H,Assessment!E:E)="yes"),"Yes","No")</f>
        <v>#N/A</v>
      </c>
      <c r="D1817" s="40" t="s">
        <v>9405</v>
      </c>
    </row>
    <row r="1818" spans="1:4" x14ac:dyDescent="0.35">
      <c r="A1818" s="40" t="e">
        <f>IF(OR(_xlfn.XLOOKUP("",Assessment!H:H,Assessment!E:E)="yes"),"Yes","No")</f>
        <v>#N/A</v>
      </c>
      <c r="D1818" s="40" t="s">
        <v>9405</v>
      </c>
    </row>
    <row r="1819" spans="1:4" x14ac:dyDescent="0.35">
      <c r="A1819" s="40" t="e">
        <f>IF(OR(_xlfn.XLOOKUP("",Assessment!H:H,Assessment!E:E)="yes"),"Yes","No")</f>
        <v>#N/A</v>
      </c>
      <c r="D1819" s="40" t="s">
        <v>9405</v>
      </c>
    </row>
    <row r="1820" spans="1:4" x14ac:dyDescent="0.35">
      <c r="A1820" s="40" t="e">
        <f>IF(OR(_xlfn.XLOOKUP("",Assessment!H:H,Assessment!E:E)="yes"),"Yes","No")</f>
        <v>#N/A</v>
      </c>
      <c r="D1820" s="40" t="s">
        <v>9405</v>
      </c>
    </row>
    <row r="1821" spans="1:4" x14ac:dyDescent="0.35">
      <c r="A1821" s="40" t="e">
        <f>IF(OR(_xlfn.XLOOKUP("",Assessment!H:H,Assessment!E:E)="yes"),"Yes","No")</f>
        <v>#N/A</v>
      </c>
      <c r="D1821" s="40" t="s">
        <v>9405</v>
      </c>
    </row>
    <row r="1822" spans="1:4" x14ac:dyDescent="0.35">
      <c r="A1822" s="40" t="e">
        <f>IF(OR(_xlfn.XLOOKUP("",Assessment!H:H,Assessment!E:E)="yes"),"Yes","No")</f>
        <v>#N/A</v>
      </c>
      <c r="D1822" s="40" t="s">
        <v>9405</v>
      </c>
    </row>
    <row r="1823" spans="1:4" x14ac:dyDescent="0.35">
      <c r="A1823" s="40" t="e">
        <f>IF(OR(_xlfn.XLOOKUP("",Assessment!H:H,Assessment!E:E)="yes"),"Yes","No")</f>
        <v>#N/A</v>
      </c>
      <c r="D1823" s="40" t="s">
        <v>9405</v>
      </c>
    </row>
    <row r="1824" spans="1:4" x14ac:dyDescent="0.35">
      <c r="A1824" s="40" t="e">
        <f>IF(OR(_xlfn.XLOOKUP("",Assessment!H:H,Assessment!E:E)="yes"),"Yes","No")</f>
        <v>#N/A</v>
      </c>
      <c r="D1824" s="40" t="s">
        <v>9405</v>
      </c>
    </row>
    <row r="1825" spans="1:4" x14ac:dyDescent="0.35">
      <c r="A1825" s="40" t="e">
        <f>IF(OR(_xlfn.XLOOKUP("",Assessment!H:H,Assessment!E:E)="yes"),"Yes","No")</f>
        <v>#N/A</v>
      </c>
      <c r="D1825" s="40" t="s">
        <v>9405</v>
      </c>
    </row>
    <row r="1826" spans="1:4" x14ac:dyDescent="0.35">
      <c r="A1826" s="40" t="e">
        <f>IF(OR(_xlfn.XLOOKUP("",Assessment!H:H,Assessment!E:E)="yes"),"Yes","No")</f>
        <v>#N/A</v>
      </c>
      <c r="D1826" s="40" t="s">
        <v>9405</v>
      </c>
    </row>
    <row r="1827" spans="1:4" x14ac:dyDescent="0.35">
      <c r="A1827" s="40" t="e">
        <f>IF(OR(_xlfn.XLOOKUP("",Assessment!H:H,Assessment!E:E)="yes"),"Yes","No")</f>
        <v>#N/A</v>
      </c>
      <c r="D1827" s="40" t="s">
        <v>9405</v>
      </c>
    </row>
    <row r="1828" spans="1:4" x14ac:dyDescent="0.35">
      <c r="A1828" s="40" t="e">
        <f>IF(OR(_xlfn.XLOOKUP("",Assessment!H:H,Assessment!E:E)="yes"),"Yes","No")</f>
        <v>#N/A</v>
      </c>
      <c r="D1828" s="40" t="s">
        <v>9405</v>
      </c>
    </row>
    <row r="1829" spans="1:4" x14ac:dyDescent="0.35">
      <c r="A1829" s="40" t="e">
        <f>IF(OR(_xlfn.XLOOKUP("",Assessment!H:H,Assessment!E:E)="yes"),"Yes","No")</f>
        <v>#N/A</v>
      </c>
      <c r="D1829" s="40" t="s">
        <v>9405</v>
      </c>
    </row>
    <row r="1830" spans="1:4" x14ac:dyDescent="0.35">
      <c r="A1830" s="40" t="e">
        <f>IF(OR(_xlfn.XLOOKUP("",Assessment!H:H,Assessment!E:E)="yes"),"Yes","No")</f>
        <v>#N/A</v>
      </c>
      <c r="D1830" s="40" t="s">
        <v>9405</v>
      </c>
    </row>
    <row r="1831" spans="1:4" x14ac:dyDescent="0.35">
      <c r="A1831" s="40" t="e">
        <f>IF(OR(_xlfn.XLOOKUP("",Assessment!H:H,Assessment!E:E)="yes"),"Yes","No")</f>
        <v>#N/A</v>
      </c>
      <c r="D1831" s="40" t="s">
        <v>9405</v>
      </c>
    </row>
    <row r="1832" spans="1:4" x14ac:dyDescent="0.35">
      <c r="A1832" s="40" t="e">
        <f>IF(OR(_xlfn.XLOOKUP("",Assessment!H:H,Assessment!E:E)="yes"),"Yes","No")</f>
        <v>#N/A</v>
      </c>
      <c r="D1832" s="40" t="s">
        <v>9405</v>
      </c>
    </row>
    <row r="1833" spans="1:4" x14ac:dyDescent="0.35">
      <c r="A1833" s="40" t="e">
        <f>IF(OR(_xlfn.XLOOKUP("",Assessment!H:H,Assessment!E:E)="yes"),"Yes","No")</f>
        <v>#N/A</v>
      </c>
      <c r="D1833" s="40" t="s">
        <v>9405</v>
      </c>
    </row>
    <row r="1834" spans="1:4" x14ac:dyDescent="0.35">
      <c r="A1834" s="40" t="e">
        <f>IF(OR(_xlfn.XLOOKUP("",Assessment!H:H,Assessment!E:E)="yes"),"Yes","No")</f>
        <v>#N/A</v>
      </c>
      <c r="D1834" s="40" t="s">
        <v>9405</v>
      </c>
    </row>
    <row r="1835" spans="1:4" x14ac:dyDescent="0.35">
      <c r="A1835" s="40" t="e">
        <f>IF(OR(_xlfn.XLOOKUP("",Assessment!H:H,Assessment!E:E)="yes"),"Yes","No")</f>
        <v>#N/A</v>
      </c>
      <c r="D1835" s="40" t="s">
        <v>9405</v>
      </c>
    </row>
    <row r="1836" spans="1:4" x14ac:dyDescent="0.35">
      <c r="A1836" s="40" t="e">
        <f>IF(OR(_xlfn.XLOOKUP("",Assessment!H:H,Assessment!E:E)="yes"),"Yes","No")</f>
        <v>#N/A</v>
      </c>
      <c r="D1836" s="40" t="s">
        <v>9405</v>
      </c>
    </row>
    <row r="1837" spans="1:4" x14ac:dyDescent="0.35">
      <c r="A1837" s="40" t="e">
        <f>IF(OR(_xlfn.XLOOKUP("",Assessment!H:H,Assessment!E:E)="yes"),"Yes","No")</f>
        <v>#N/A</v>
      </c>
      <c r="D1837" s="40" t="s">
        <v>9405</v>
      </c>
    </row>
    <row r="1838" spans="1:4" x14ac:dyDescent="0.35">
      <c r="A1838" s="40" t="e">
        <f>IF(OR(_xlfn.XLOOKUP("",Assessment!H:H,Assessment!E:E)="yes"),"Yes","No")</f>
        <v>#N/A</v>
      </c>
      <c r="D1838" s="40" t="s">
        <v>9405</v>
      </c>
    </row>
    <row r="1839" spans="1:4" x14ac:dyDescent="0.35">
      <c r="A1839" s="40" t="e">
        <f>IF(OR(_xlfn.XLOOKUP("",Assessment!H:H,Assessment!E:E)="yes"),"Yes","No")</f>
        <v>#N/A</v>
      </c>
      <c r="D1839" s="40" t="s">
        <v>9405</v>
      </c>
    </row>
    <row r="1840" spans="1:4" x14ac:dyDescent="0.35">
      <c r="A1840" s="40" t="e">
        <f>IF(OR(_xlfn.XLOOKUP("",Assessment!H:H,Assessment!E:E)="yes"),"Yes","No")</f>
        <v>#N/A</v>
      </c>
      <c r="D1840" s="40" t="s">
        <v>9405</v>
      </c>
    </row>
    <row r="1841" spans="1:4" x14ac:dyDescent="0.35">
      <c r="A1841" s="40" t="e">
        <f>IF(OR(_xlfn.XLOOKUP("",Assessment!H:H,Assessment!E:E)="yes"),"Yes","No")</f>
        <v>#N/A</v>
      </c>
      <c r="D1841" s="40" t="s">
        <v>9405</v>
      </c>
    </row>
    <row r="1842" spans="1:4" x14ac:dyDescent="0.35">
      <c r="A1842" s="40" t="e">
        <f>IF(OR(_xlfn.XLOOKUP("",Assessment!H:H,Assessment!E:E)="yes"),"Yes","No")</f>
        <v>#N/A</v>
      </c>
      <c r="D1842" s="40" t="s">
        <v>9405</v>
      </c>
    </row>
    <row r="1843" spans="1:4" x14ac:dyDescent="0.35">
      <c r="A1843" s="40" t="e">
        <f>IF(OR(_xlfn.XLOOKUP("",Assessment!H:H,Assessment!E:E)="yes"),"Yes","No")</f>
        <v>#N/A</v>
      </c>
      <c r="D1843" s="40" t="s">
        <v>9405</v>
      </c>
    </row>
    <row r="1844" spans="1:4" x14ac:dyDescent="0.35">
      <c r="A1844" s="40" t="e">
        <f>IF(OR(_xlfn.XLOOKUP("",Assessment!H:H,Assessment!E:E)="yes"),"Yes","No")</f>
        <v>#N/A</v>
      </c>
      <c r="D1844" s="40" t="s">
        <v>9405</v>
      </c>
    </row>
    <row r="1845" spans="1:4" x14ac:dyDescent="0.35">
      <c r="A1845" s="40" t="e">
        <f>IF(OR(_xlfn.XLOOKUP("",Assessment!H:H,Assessment!E:E)="yes"),"Yes","No")</f>
        <v>#N/A</v>
      </c>
      <c r="D1845" s="40" t="s">
        <v>9405</v>
      </c>
    </row>
    <row r="1846" spans="1:4" x14ac:dyDescent="0.35">
      <c r="A1846" s="40" t="e">
        <f>IF(OR(_xlfn.XLOOKUP("",Assessment!H:H,Assessment!E:E)="yes"),"Yes","No")</f>
        <v>#N/A</v>
      </c>
      <c r="D1846" s="40" t="s">
        <v>9405</v>
      </c>
    </row>
    <row r="1847" spans="1:4" x14ac:dyDescent="0.35">
      <c r="A1847" s="40" t="e">
        <f>IF(OR(_xlfn.XLOOKUP("",Assessment!H:H,Assessment!E:E)="yes"),"Yes","No")</f>
        <v>#N/A</v>
      </c>
      <c r="D1847" s="40" t="s">
        <v>9405</v>
      </c>
    </row>
    <row r="1848" spans="1:4" x14ac:dyDescent="0.35">
      <c r="A1848" s="40" t="e">
        <f>IF(OR(_xlfn.XLOOKUP("",Assessment!H:H,Assessment!E:E)="yes"),"Yes","No")</f>
        <v>#N/A</v>
      </c>
      <c r="D1848" s="40" t="s">
        <v>9405</v>
      </c>
    </row>
    <row r="1849" spans="1:4" x14ac:dyDescent="0.35">
      <c r="A1849" s="40" t="e">
        <f>IF(OR(_xlfn.XLOOKUP("",Assessment!H:H,Assessment!E:E)="yes"),"Yes","No")</f>
        <v>#N/A</v>
      </c>
      <c r="D1849" s="40" t="s">
        <v>9405</v>
      </c>
    </row>
    <row r="1850" spans="1:4" x14ac:dyDescent="0.35">
      <c r="A1850" s="40" t="e">
        <f>IF(OR(_xlfn.XLOOKUP("",Assessment!H:H,Assessment!E:E)="yes"),"Yes","No")</f>
        <v>#N/A</v>
      </c>
      <c r="D1850" s="40" t="s">
        <v>9405</v>
      </c>
    </row>
    <row r="1851" spans="1:4" x14ac:dyDescent="0.35">
      <c r="A1851" s="40" t="e">
        <f>IF(OR(_xlfn.XLOOKUP("",Assessment!H:H,Assessment!E:E)="yes"),"Yes","No")</f>
        <v>#N/A</v>
      </c>
      <c r="D1851" s="40" t="s">
        <v>9405</v>
      </c>
    </row>
    <row r="1852" spans="1:4" x14ac:dyDescent="0.35">
      <c r="A1852" s="40" t="e">
        <f>IF(OR(_xlfn.XLOOKUP("",Assessment!H:H,Assessment!E:E)="yes"),"Yes","No")</f>
        <v>#N/A</v>
      </c>
      <c r="D1852" s="40" t="s">
        <v>9405</v>
      </c>
    </row>
    <row r="1853" spans="1:4" x14ac:dyDescent="0.35">
      <c r="A1853" s="40" t="e">
        <f>IF(OR(_xlfn.XLOOKUP("",Assessment!H:H,Assessment!E:E)="yes"),"Yes","No")</f>
        <v>#N/A</v>
      </c>
      <c r="D1853" s="40" t="s">
        <v>9405</v>
      </c>
    </row>
    <row r="1854" spans="1:4" x14ac:dyDescent="0.35">
      <c r="A1854" s="40" t="e">
        <f>IF(OR(_xlfn.XLOOKUP("",Assessment!H:H,Assessment!E:E)="yes"),"Yes","No")</f>
        <v>#N/A</v>
      </c>
      <c r="D1854" s="40" t="s">
        <v>9405</v>
      </c>
    </row>
    <row r="1855" spans="1:4" x14ac:dyDescent="0.35">
      <c r="A1855" s="40" t="e">
        <f>IF(OR(_xlfn.XLOOKUP("",Assessment!H:H,Assessment!E:E)="yes"),"Yes","No")</f>
        <v>#N/A</v>
      </c>
      <c r="D1855" s="40" t="s">
        <v>9405</v>
      </c>
    </row>
    <row r="1856" spans="1:4" x14ac:dyDescent="0.35">
      <c r="A1856" s="40" t="e">
        <f>IF(OR(_xlfn.XLOOKUP("",Assessment!H:H,Assessment!E:E)="yes"),"Yes","No")</f>
        <v>#N/A</v>
      </c>
      <c r="D1856" s="40" t="s">
        <v>9405</v>
      </c>
    </row>
    <row r="1857" spans="1:4" x14ac:dyDescent="0.35">
      <c r="A1857" s="40" t="e">
        <f>IF(OR(_xlfn.XLOOKUP("",Assessment!H:H,Assessment!E:E)="yes"),"Yes","No")</f>
        <v>#N/A</v>
      </c>
      <c r="D1857" s="40" t="s">
        <v>9405</v>
      </c>
    </row>
    <row r="1858" spans="1:4" x14ac:dyDescent="0.35">
      <c r="A1858" s="40" t="e">
        <f>IF(OR(_xlfn.XLOOKUP("",Assessment!H:H,Assessment!E:E)="yes"),"Yes","No")</f>
        <v>#N/A</v>
      </c>
      <c r="D1858" s="40" t="s">
        <v>9405</v>
      </c>
    </row>
    <row r="1859" spans="1:4" x14ac:dyDescent="0.35">
      <c r="A1859" s="40" t="e">
        <f>IF(OR(_xlfn.XLOOKUP("",Assessment!H:H,Assessment!E:E)="yes"),"Yes","No")</f>
        <v>#N/A</v>
      </c>
      <c r="D1859" s="40" t="s">
        <v>9405</v>
      </c>
    </row>
    <row r="1860" spans="1:4" x14ac:dyDescent="0.35">
      <c r="A1860" s="40" t="e">
        <f>IF(OR(_xlfn.XLOOKUP("",Assessment!H:H,Assessment!E:E)="yes"),"Yes","No")</f>
        <v>#N/A</v>
      </c>
      <c r="D1860" s="40" t="s">
        <v>9405</v>
      </c>
    </row>
    <row r="1861" spans="1:4" x14ac:dyDescent="0.35">
      <c r="A1861" s="40" t="e">
        <f>IF(OR(_xlfn.XLOOKUP("",Assessment!H:H,Assessment!E:E)="yes"),"Yes","No")</f>
        <v>#N/A</v>
      </c>
      <c r="D1861" s="40" t="s">
        <v>9405</v>
      </c>
    </row>
    <row r="1862" spans="1:4" x14ac:dyDescent="0.35">
      <c r="A1862" s="40" t="e">
        <f>IF(OR(_xlfn.XLOOKUP("",Assessment!H:H,Assessment!E:E)="yes"),"Yes","No")</f>
        <v>#N/A</v>
      </c>
      <c r="D1862" s="40" t="s">
        <v>9405</v>
      </c>
    </row>
    <row r="1863" spans="1:4" x14ac:dyDescent="0.35">
      <c r="A1863" s="40" t="e">
        <f>IF(OR(_xlfn.XLOOKUP("",Assessment!H:H,Assessment!E:E)="yes"),"Yes","No")</f>
        <v>#N/A</v>
      </c>
      <c r="D1863" s="40" t="s">
        <v>9405</v>
      </c>
    </row>
    <row r="1864" spans="1:4" x14ac:dyDescent="0.35">
      <c r="A1864" s="40" t="e">
        <f>IF(OR(_xlfn.XLOOKUP("",Assessment!H:H,Assessment!E:E)="yes"),"Yes","No")</f>
        <v>#N/A</v>
      </c>
      <c r="D1864" s="40" t="s">
        <v>9405</v>
      </c>
    </row>
    <row r="1865" spans="1:4" x14ac:dyDescent="0.35">
      <c r="A1865" s="40" t="e">
        <f>IF(OR(_xlfn.XLOOKUP("",Assessment!H:H,Assessment!E:E)="yes"),"Yes","No")</f>
        <v>#N/A</v>
      </c>
      <c r="D1865" s="40" t="s">
        <v>9405</v>
      </c>
    </row>
    <row r="1866" spans="1:4" x14ac:dyDescent="0.35">
      <c r="A1866" s="40" t="e">
        <f>IF(OR(_xlfn.XLOOKUP("",Assessment!H:H,Assessment!E:E)="yes"),"Yes","No")</f>
        <v>#N/A</v>
      </c>
      <c r="D1866" s="40" t="s">
        <v>9405</v>
      </c>
    </row>
    <row r="1867" spans="1:4" x14ac:dyDescent="0.35">
      <c r="A1867" s="40" t="e">
        <f>IF(OR(_xlfn.XLOOKUP("",Assessment!H:H,Assessment!E:E)="yes"),"Yes","No")</f>
        <v>#N/A</v>
      </c>
      <c r="D1867" s="40" t="s">
        <v>9405</v>
      </c>
    </row>
    <row r="1868" spans="1:4" x14ac:dyDescent="0.35">
      <c r="A1868" s="40" t="e">
        <f>IF(OR(_xlfn.XLOOKUP("",Assessment!H:H,Assessment!E:E)="yes"),"Yes","No")</f>
        <v>#N/A</v>
      </c>
      <c r="D1868" s="40" t="s">
        <v>9405</v>
      </c>
    </row>
    <row r="1869" spans="1:4" x14ac:dyDescent="0.35">
      <c r="A1869" s="40" t="e">
        <f>IF(OR(_xlfn.XLOOKUP("",Assessment!H:H,Assessment!E:E)="yes"),"Yes","No")</f>
        <v>#N/A</v>
      </c>
      <c r="D1869" s="40" t="s">
        <v>9405</v>
      </c>
    </row>
    <row r="1870" spans="1:4" x14ac:dyDescent="0.35">
      <c r="A1870" s="40" t="e">
        <f>IF(OR(_xlfn.XLOOKUP("",Assessment!H:H,Assessment!E:E)="yes"),"Yes","No")</f>
        <v>#N/A</v>
      </c>
      <c r="D1870" s="40" t="s">
        <v>9405</v>
      </c>
    </row>
    <row r="1871" spans="1:4" x14ac:dyDescent="0.35">
      <c r="A1871" s="40" t="e">
        <f>IF(OR(_xlfn.XLOOKUP("",Assessment!H:H,Assessment!E:E)="yes"),"Yes","No")</f>
        <v>#N/A</v>
      </c>
      <c r="D1871" s="40" t="s">
        <v>9405</v>
      </c>
    </row>
    <row r="1872" spans="1:4" x14ac:dyDescent="0.35">
      <c r="A1872" s="40" t="e">
        <f>IF(OR(_xlfn.XLOOKUP("",Assessment!H:H,Assessment!E:E)="yes"),"Yes","No")</f>
        <v>#N/A</v>
      </c>
      <c r="D1872" s="40" t="s">
        <v>9405</v>
      </c>
    </row>
    <row r="1873" spans="1:4" x14ac:dyDescent="0.35">
      <c r="A1873" s="40" t="e">
        <f>IF(OR(_xlfn.XLOOKUP("",Assessment!H:H,Assessment!E:E)="yes"),"Yes","No")</f>
        <v>#N/A</v>
      </c>
      <c r="D1873" s="40" t="s">
        <v>9405</v>
      </c>
    </row>
    <row r="1874" spans="1:4" x14ac:dyDescent="0.35">
      <c r="A1874" s="40" t="e">
        <f>IF(OR(_xlfn.XLOOKUP("",Assessment!H:H,Assessment!E:E)="yes"),"Yes","No")</f>
        <v>#N/A</v>
      </c>
      <c r="D1874" s="40" t="s">
        <v>9405</v>
      </c>
    </row>
    <row r="1875" spans="1:4" x14ac:dyDescent="0.35">
      <c r="A1875" s="40" t="e">
        <f>IF(OR(_xlfn.XLOOKUP("",Assessment!H:H,Assessment!E:E)="yes"),"Yes","No")</f>
        <v>#N/A</v>
      </c>
      <c r="D1875" s="40" t="s">
        <v>9405</v>
      </c>
    </row>
    <row r="1876" spans="1:4" x14ac:dyDescent="0.35">
      <c r="A1876" s="40" t="e">
        <f>IF(OR(_xlfn.XLOOKUP("",Assessment!H:H,Assessment!E:E)="yes"),"Yes","No")</f>
        <v>#N/A</v>
      </c>
      <c r="D1876" s="40" t="s">
        <v>9405</v>
      </c>
    </row>
    <row r="1877" spans="1:4" x14ac:dyDescent="0.35">
      <c r="A1877" s="40" t="e">
        <f>IF(OR(_xlfn.XLOOKUP("",Assessment!H:H,Assessment!E:E)="yes"),"Yes","No")</f>
        <v>#N/A</v>
      </c>
      <c r="D1877" s="40" t="s">
        <v>9405</v>
      </c>
    </row>
    <row r="1878" spans="1:4" x14ac:dyDescent="0.35">
      <c r="A1878" s="40" t="e">
        <f>IF(OR(_xlfn.XLOOKUP("",Assessment!H:H,Assessment!E:E)="yes"),"Yes","No")</f>
        <v>#N/A</v>
      </c>
      <c r="D1878" s="40" t="s">
        <v>9405</v>
      </c>
    </row>
    <row r="1879" spans="1:4" x14ac:dyDescent="0.35">
      <c r="A1879" s="40" t="e">
        <f>IF(OR(_xlfn.XLOOKUP("",Assessment!H:H,Assessment!E:E)="yes"),"Yes","No")</f>
        <v>#N/A</v>
      </c>
      <c r="D1879" s="40" t="s">
        <v>9405</v>
      </c>
    </row>
    <row r="1880" spans="1:4" x14ac:dyDescent="0.35">
      <c r="A1880" s="40" t="e">
        <f>IF(OR(_xlfn.XLOOKUP("",Assessment!H:H,Assessment!E:E)="yes"),"Yes","No")</f>
        <v>#N/A</v>
      </c>
      <c r="D1880" s="40" t="s">
        <v>9405</v>
      </c>
    </row>
    <row r="1881" spans="1:4" x14ac:dyDescent="0.35">
      <c r="A1881" s="40" t="e">
        <f>IF(OR(_xlfn.XLOOKUP("",Assessment!H:H,Assessment!E:E)="yes"),"Yes","No")</f>
        <v>#N/A</v>
      </c>
      <c r="D1881" s="40" t="s">
        <v>9405</v>
      </c>
    </row>
    <row r="1882" spans="1:4" x14ac:dyDescent="0.35">
      <c r="A1882" s="40" t="e">
        <f>IF(OR(_xlfn.XLOOKUP("",Assessment!H:H,Assessment!E:E)="yes"),"Yes","No")</f>
        <v>#N/A</v>
      </c>
      <c r="D1882" s="40" t="s">
        <v>9405</v>
      </c>
    </row>
    <row r="1883" spans="1:4" x14ac:dyDescent="0.35">
      <c r="A1883" s="40" t="e">
        <f>IF(OR(_xlfn.XLOOKUP("",Assessment!H:H,Assessment!E:E)="yes"),"Yes","No")</f>
        <v>#N/A</v>
      </c>
      <c r="D1883" s="40" t="s">
        <v>9405</v>
      </c>
    </row>
    <row r="1884" spans="1:4" x14ac:dyDescent="0.35">
      <c r="A1884" s="40" t="e">
        <f>IF(OR(_xlfn.XLOOKUP("",Assessment!H:H,Assessment!E:E)="yes"),"Yes","No")</f>
        <v>#N/A</v>
      </c>
      <c r="D1884" s="40" t="s">
        <v>9405</v>
      </c>
    </row>
    <row r="1885" spans="1:4" x14ac:dyDescent="0.35">
      <c r="A1885" s="40" t="e">
        <f>IF(OR(_xlfn.XLOOKUP("",Assessment!H:H,Assessment!E:E)="yes"),"Yes","No")</f>
        <v>#N/A</v>
      </c>
      <c r="D1885" s="40" t="s">
        <v>9405</v>
      </c>
    </row>
    <row r="1886" spans="1:4" x14ac:dyDescent="0.35">
      <c r="A1886" s="40" t="e">
        <f>IF(OR(_xlfn.XLOOKUP("",Assessment!H:H,Assessment!E:E)="yes"),"Yes","No")</f>
        <v>#N/A</v>
      </c>
      <c r="D1886" s="40" t="s">
        <v>9405</v>
      </c>
    </row>
    <row r="1887" spans="1:4" x14ac:dyDescent="0.35">
      <c r="A1887" s="40" t="e">
        <f>IF(OR(_xlfn.XLOOKUP("",Assessment!H:H,Assessment!E:E)="yes"),"Yes","No")</f>
        <v>#N/A</v>
      </c>
      <c r="D1887" s="40" t="s">
        <v>9405</v>
      </c>
    </row>
    <row r="1888" spans="1:4" x14ac:dyDescent="0.35">
      <c r="A1888" s="40" t="e">
        <f>IF(OR(_xlfn.XLOOKUP("",Assessment!H:H,Assessment!E:E)="yes"),"Yes","No")</f>
        <v>#N/A</v>
      </c>
      <c r="D1888" s="40" t="s">
        <v>9405</v>
      </c>
    </row>
    <row r="1889" spans="1:4" x14ac:dyDescent="0.35">
      <c r="A1889" s="40" t="e">
        <f>IF(OR(_xlfn.XLOOKUP("",Assessment!H:H,Assessment!E:E)="yes"),"Yes","No")</f>
        <v>#N/A</v>
      </c>
      <c r="D1889" s="40" t="s">
        <v>9405</v>
      </c>
    </row>
    <row r="1890" spans="1:4" x14ac:dyDescent="0.35">
      <c r="A1890" s="40" t="e">
        <f>IF(OR(_xlfn.XLOOKUP("",Assessment!H:H,Assessment!E:E)="yes"),"Yes","No")</f>
        <v>#N/A</v>
      </c>
      <c r="D1890" s="40" t="s">
        <v>9405</v>
      </c>
    </row>
    <row r="1891" spans="1:4" x14ac:dyDescent="0.35">
      <c r="A1891" s="40" t="e">
        <f>IF(OR(_xlfn.XLOOKUP("",Assessment!H:H,Assessment!E:E)="yes"),"Yes","No")</f>
        <v>#N/A</v>
      </c>
      <c r="D1891" s="40" t="s">
        <v>9405</v>
      </c>
    </row>
    <row r="1892" spans="1:4" x14ac:dyDescent="0.35">
      <c r="A1892" s="40" t="e">
        <f>IF(OR(_xlfn.XLOOKUP("",Assessment!H:H,Assessment!E:E)="yes"),"Yes","No")</f>
        <v>#N/A</v>
      </c>
      <c r="D1892" s="40" t="s">
        <v>9405</v>
      </c>
    </row>
    <row r="1893" spans="1:4" x14ac:dyDescent="0.35">
      <c r="A1893" s="40" t="e">
        <f>IF(OR(_xlfn.XLOOKUP("",Assessment!H:H,Assessment!E:E)="yes"),"Yes","No")</f>
        <v>#N/A</v>
      </c>
      <c r="D1893" s="40" t="s">
        <v>9405</v>
      </c>
    </row>
    <row r="1894" spans="1:4" x14ac:dyDescent="0.35">
      <c r="A1894" s="40" t="e">
        <f>IF(OR(_xlfn.XLOOKUP("",Assessment!H:H,Assessment!E:E)="yes"),"Yes","No")</f>
        <v>#N/A</v>
      </c>
      <c r="D1894" s="40" t="s">
        <v>9405</v>
      </c>
    </row>
    <row r="1895" spans="1:4" x14ac:dyDescent="0.35">
      <c r="A1895" s="40" t="e">
        <f>IF(OR(_xlfn.XLOOKUP("",Assessment!H:H,Assessment!E:E)="yes"),"Yes","No")</f>
        <v>#N/A</v>
      </c>
      <c r="D1895" s="40" t="s">
        <v>9405</v>
      </c>
    </row>
    <row r="1896" spans="1:4" x14ac:dyDescent="0.35">
      <c r="A1896" s="40" t="e">
        <f>IF(OR(_xlfn.XLOOKUP("",Assessment!H:H,Assessment!E:E)="yes"),"Yes","No")</f>
        <v>#N/A</v>
      </c>
      <c r="D1896" s="40" t="s">
        <v>9405</v>
      </c>
    </row>
    <row r="1897" spans="1:4" x14ac:dyDescent="0.35">
      <c r="A1897" s="40" t="e">
        <f>IF(OR(_xlfn.XLOOKUP("",Assessment!H:H,Assessment!E:E)="yes"),"Yes","No")</f>
        <v>#N/A</v>
      </c>
      <c r="D1897" s="40" t="s">
        <v>9405</v>
      </c>
    </row>
    <row r="1898" spans="1:4" x14ac:dyDescent="0.35">
      <c r="A1898" s="40" t="e">
        <f>IF(OR(_xlfn.XLOOKUP("",Assessment!H:H,Assessment!E:E)="yes"),"Yes","No")</f>
        <v>#N/A</v>
      </c>
      <c r="D1898" s="40" t="s">
        <v>9405</v>
      </c>
    </row>
    <row r="1899" spans="1:4" x14ac:dyDescent="0.35">
      <c r="A1899" s="40" t="e">
        <f>IF(OR(_xlfn.XLOOKUP("",Assessment!H:H,Assessment!E:E)="yes"),"Yes","No")</f>
        <v>#N/A</v>
      </c>
      <c r="D1899" s="40" t="s">
        <v>9405</v>
      </c>
    </row>
    <row r="1900" spans="1:4" x14ac:dyDescent="0.35">
      <c r="A1900" s="40" t="e">
        <f>IF(OR(_xlfn.XLOOKUP("",Assessment!H:H,Assessment!E:E)="yes"),"Yes","No")</f>
        <v>#N/A</v>
      </c>
      <c r="D1900" s="40" t="s">
        <v>9405</v>
      </c>
    </row>
    <row r="1901" spans="1:4" x14ac:dyDescent="0.35">
      <c r="A1901" s="40" t="e">
        <f>IF(OR(_xlfn.XLOOKUP("",Assessment!H:H,Assessment!E:E)="yes"),"Yes","No")</f>
        <v>#N/A</v>
      </c>
      <c r="D1901" s="40" t="s">
        <v>9405</v>
      </c>
    </row>
    <row r="1902" spans="1:4" x14ac:dyDescent="0.35">
      <c r="A1902" s="40" t="e">
        <f>IF(OR(_xlfn.XLOOKUP("",Assessment!H:H,Assessment!E:E)="yes"),"Yes","No")</f>
        <v>#N/A</v>
      </c>
      <c r="D1902" s="40" t="s">
        <v>9405</v>
      </c>
    </row>
    <row r="1903" spans="1:4" x14ac:dyDescent="0.35">
      <c r="A1903" s="40" t="e">
        <f>IF(OR(_xlfn.XLOOKUP("",Assessment!H:H,Assessment!E:E)="yes"),"Yes","No")</f>
        <v>#N/A</v>
      </c>
      <c r="D1903" s="40" t="s">
        <v>9405</v>
      </c>
    </row>
    <row r="1904" spans="1:4" x14ac:dyDescent="0.35">
      <c r="A1904" s="40" t="e">
        <f>IF(OR(_xlfn.XLOOKUP("",Assessment!H:H,Assessment!E:E)="yes"),"Yes","No")</f>
        <v>#N/A</v>
      </c>
      <c r="D1904" s="40" t="s">
        <v>9405</v>
      </c>
    </row>
    <row r="1905" spans="1:4" x14ac:dyDescent="0.35">
      <c r="A1905" s="40" t="e">
        <f>IF(OR(_xlfn.XLOOKUP("",Assessment!H:H,Assessment!E:E)="yes"),"Yes","No")</f>
        <v>#N/A</v>
      </c>
      <c r="D1905" s="40" t="s">
        <v>9405</v>
      </c>
    </row>
    <row r="1906" spans="1:4" x14ac:dyDescent="0.35">
      <c r="A1906" s="40" t="e">
        <f>IF(OR(_xlfn.XLOOKUP("",Assessment!H:H,Assessment!E:E)="yes"),"Yes","No")</f>
        <v>#N/A</v>
      </c>
      <c r="D1906" s="40" t="s">
        <v>9405</v>
      </c>
    </row>
    <row r="1907" spans="1:4" x14ac:dyDescent="0.35">
      <c r="A1907" s="40" t="e">
        <f>IF(OR(_xlfn.XLOOKUP("",Assessment!H:H,Assessment!E:E)="yes"),"Yes","No")</f>
        <v>#N/A</v>
      </c>
      <c r="D1907" s="40" t="s">
        <v>9405</v>
      </c>
    </row>
    <row r="1908" spans="1:4" x14ac:dyDescent="0.35">
      <c r="A1908" s="40" t="e">
        <f>IF(OR(_xlfn.XLOOKUP("",Assessment!H:H,Assessment!E:E)="yes"),"Yes","No")</f>
        <v>#N/A</v>
      </c>
      <c r="D1908" s="40" t="s">
        <v>9405</v>
      </c>
    </row>
    <row r="1909" spans="1:4" x14ac:dyDescent="0.35">
      <c r="A1909" s="40" t="e">
        <f>IF(OR(_xlfn.XLOOKUP("",Assessment!H:H,Assessment!E:E)="yes"),"Yes","No")</f>
        <v>#N/A</v>
      </c>
      <c r="D1909" s="40" t="s">
        <v>9405</v>
      </c>
    </row>
    <row r="1910" spans="1:4" x14ac:dyDescent="0.35">
      <c r="A1910" s="40" t="e">
        <f>IF(OR(_xlfn.XLOOKUP("",Assessment!H:H,Assessment!E:E)="yes"),"Yes","No")</f>
        <v>#N/A</v>
      </c>
      <c r="D1910" s="40" t="s">
        <v>9405</v>
      </c>
    </row>
    <row r="1911" spans="1:4" x14ac:dyDescent="0.35">
      <c r="A1911" s="40" t="e">
        <f>IF(OR(_xlfn.XLOOKUP("",Assessment!H:H,Assessment!E:E)="yes"),"Yes","No")</f>
        <v>#N/A</v>
      </c>
      <c r="D1911" s="40" t="s">
        <v>9405</v>
      </c>
    </row>
    <row r="1912" spans="1:4" x14ac:dyDescent="0.35">
      <c r="A1912" s="40" t="e">
        <f>IF(OR(_xlfn.XLOOKUP("",Assessment!H:H,Assessment!E:E)="yes"),"Yes","No")</f>
        <v>#N/A</v>
      </c>
      <c r="D1912" s="40" t="s">
        <v>9405</v>
      </c>
    </row>
    <row r="1913" spans="1:4" x14ac:dyDescent="0.35">
      <c r="A1913" s="40" t="e">
        <f>IF(OR(_xlfn.XLOOKUP("",Assessment!H:H,Assessment!E:E)="yes"),"Yes","No")</f>
        <v>#N/A</v>
      </c>
      <c r="D1913" s="40" t="s">
        <v>9405</v>
      </c>
    </row>
    <row r="1914" spans="1:4" x14ac:dyDescent="0.35">
      <c r="A1914" s="40" t="e">
        <f>IF(OR(_xlfn.XLOOKUP("",Assessment!H:H,Assessment!E:E)="yes"),"Yes","No")</f>
        <v>#N/A</v>
      </c>
      <c r="D1914" s="40" t="s">
        <v>9405</v>
      </c>
    </row>
    <row r="1915" spans="1:4" x14ac:dyDescent="0.35">
      <c r="A1915" s="40" t="e">
        <f>IF(OR(_xlfn.XLOOKUP("",Assessment!H:H,Assessment!E:E)="yes"),"Yes","No")</f>
        <v>#N/A</v>
      </c>
      <c r="D1915" s="40" t="s">
        <v>9405</v>
      </c>
    </row>
    <row r="1916" spans="1:4" x14ac:dyDescent="0.35">
      <c r="A1916" s="40" t="e">
        <f>IF(OR(_xlfn.XLOOKUP("",Assessment!H:H,Assessment!E:E)="yes"),"Yes","No")</f>
        <v>#N/A</v>
      </c>
      <c r="D1916" s="40" t="s">
        <v>9405</v>
      </c>
    </row>
    <row r="1917" spans="1:4" x14ac:dyDescent="0.35">
      <c r="A1917" s="40" t="e">
        <f>IF(OR(_xlfn.XLOOKUP("",Assessment!H:H,Assessment!E:E)="yes"),"Yes","No")</f>
        <v>#N/A</v>
      </c>
      <c r="D1917" s="40" t="s">
        <v>9405</v>
      </c>
    </row>
    <row r="1918" spans="1:4" x14ac:dyDescent="0.35">
      <c r="A1918" s="40" t="e">
        <f>IF(OR(_xlfn.XLOOKUP("",Assessment!H:H,Assessment!E:E)="yes"),"Yes","No")</f>
        <v>#N/A</v>
      </c>
      <c r="D1918" s="40" t="s">
        <v>9405</v>
      </c>
    </row>
    <row r="1919" spans="1:4" x14ac:dyDescent="0.35">
      <c r="A1919" s="40" t="e">
        <f>IF(OR(_xlfn.XLOOKUP("",Assessment!H:H,Assessment!E:E)="yes"),"Yes","No")</f>
        <v>#N/A</v>
      </c>
      <c r="D1919" s="40" t="s">
        <v>9405</v>
      </c>
    </row>
    <row r="1920" spans="1:4" x14ac:dyDescent="0.35">
      <c r="A1920" s="40" t="e">
        <f>IF(OR(_xlfn.XLOOKUP("",Assessment!H:H,Assessment!E:E)="yes"),"Yes","No")</f>
        <v>#N/A</v>
      </c>
      <c r="D1920" s="40" t="s">
        <v>9405</v>
      </c>
    </row>
    <row r="1921" spans="1:4" x14ac:dyDescent="0.35">
      <c r="A1921" s="40" t="e">
        <f>IF(OR(_xlfn.XLOOKUP("",Assessment!H:H,Assessment!E:E)="yes"),"Yes","No")</f>
        <v>#N/A</v>
      </c>
      <c r="D1921" s="40" t="s">
        <v>9405</v>
      </c>
    </row>
    <row r="1922" spans="1:4" x14ac:dyDescent="0.35">
      <c r="A1922" s="40" t="e">
        <f>IF(OR(_xlfn.XLOOKUP("",Assessment!H:H,Assessment!E:E)="yes"),"Yes","No")</f>
        <v>#N/A</v>
      </c>
      <c r="D1922" s="40" t="s">
        <v>9405</v>
      </c>
    </row>
    <row r="1923" spans="1:4" x14ac:dyDescent="0.35">
      <c r="A1923" s="40" t="e">
        <f>IF(OR(_xlfn.XLOOKUP("",Assessment!H:H,Assessment!E:E)="yes"),"Yes","No")</f>
        <v>#N/A</v>
      </c>
      <c r="D1923" s="40" t="s">
        <v>9405</v>
      </c>
    </row>
    <row r="1924" spans="1:4" x14ac:dyDescent="0.35">
      <c r="A1924" s="40" t="e">
        <f>IF(OR(_xlfn.XLOOKUP("",Assessment!H:H,Assessment!E:E)="yes"),"Yes","No")</f>
        <v>#N/A</v>
      </c>
      <c r="D1924" s="40" t="s">
        <v>9405</v>
      </c>
    </row>
    <row r="1925" spans="1:4" x14ac:dyDescent="0.35">
      <c r="A1925" s="40" t="e">
        <f>IF(OR(_xlfn.XLOOKUP("",Assessment!H:H,Assessment!E:E)="yes"),"Yes","No")</f>
        <v>#N/A</v>
      </c>
      <c r="D1925" s="40" t="s">
        <v>9405</v>
      </c>
    </row>
    <row r="1926" spans="1:4" x14ac:dyDescent="0.35">
      <c r="A1926" s="40" t="e">
        <f>IF(OR(_xlfn.XLOOKUP("",Assessment!H:H,Assessment!E:E)="yes"),"Yes","No")</f>
        <v>#N/A</v>
      </c>
      <c r="D1926" s="40" t="s">
        <v>9405</v>
      </c>
    </row>
    <row r="1927" spans="1:4" x14ac:dyDescent="0.35">
      <c r="A1927" s="40" t="e">
        <f>IF(OR(_xlfn.XLOOKUP("",Assessment!H:H,Assessment!E:E)="yes"),"Yes","No")</f>
        <v>#N/A</v>
      </c>
      <c r="D1927" s="40" t="s">
        <v>9405</v>
      </c>
    </row>
    <row r="1928" spans="1:4" x14ac:dyDescent="0.35">
      <c r="A1928" s="40" t="e">
        <f>IF(OR(_xlfn.XLOOKUP("",Assessment!H:H,Assessment!E:E)="yes"),"Yes","No")</f>
        <v>#N/A</v>
      </c>
      <c r="D1928" s="40" t="s">
        <v>9405</v>
      </c>
    </row>
    <row r="1929" spans="1:4" x14ac:dyDescent="0.35">
      <c r="A1929" s="40" t="e">
        <f>IF(OR(_xlfn.XLOOKUP("",Assessment!H:H,Assessment!E:E)="yes"),"Yes","No")</f>
        <v>#N/A</v>
      </c>
      <c r="D1929" s="40" t="s">
        <v>9405</v>
      </c>
    </row>
    <row r="1930" spans="1:4" x14ac:dyDescent="0.35">
      <c r="A1930" s="40" t="e">
        <f>IF(OR(_xlfn.XLOOKUP("",Assessment!H:H,Assessment!E:E)="yes"),"Yes","No")</f>
        <v>#N/A</v>
      </c>
      <c r="D1930" s="40" t="s">
        <v>9405</v>
      </c>
    </row>
    <row r="1931" spans="1:4" x14ac:dyDescent="0.35">
      <c r="A1931" s="40" t="e">
        <f>IF(OR(_xlfn.XLOOKUP("",Assessment!H:H,Assessment!E:E)="yes"),"Yes","No")</f>
        <v>#N/A</v>
      </c>
      <c r="D1931" s="40" t="s">
        <v>9405</v>
      </c>
    </row>
    <row r="1932" spans="1:4" x14ac:dyDescent="0.35">
      <c r="A1932" s="40" t="e">
        <f>IF(OR(_xlfn.XLOOKUP("",Assessment!H:H,Assessment!E:E)="yes"),"Yes","No")</f>
        <v>#N/A</v>
      </c>
      <c r="D1932" s="40" t="s">
        <v>9405</v>
      </c>
    </row>
    <row r="1933" spans="1:4" x14ac:dyDescent="0.35">
      <c r="A1933" s="40" t="e">
        <f>IF(OR(_xlfn.XLOOKUP("",Assessment!H:H,Assessment!E:E)="yes"),"Yes","No")</f>
        <v>#N/A</v>
      </c>
      <c r="D1933" s="40" t="s">
        <v>9405</v>
      </c>
    </row>
    <row r="1934" spans="1:4" x14ac:dyDescent="0.35">
      <c r="A1934" s="40" t="e">
        <f>IF(OR(_xlfn.XLOOKUP("",Assessment!H:H,Assessment!E:E)="yes"),"Yes","No")</f>
        <v>#N/A</v>
      </c>
      <c r="D1934" s="40" t="s">
        <v>9405</v>
      </c>
    </row>
    <row r="1935" spans="1:4" x14ac:dyDescent="0.35">
      <c r="A1935" s="40" t="e">
        <f>IF(OR(_xlfn.XLOOKUP("",Assessment!H:H,Assessment!E:E)="yes"),"Yes","No")</f>
        <v>#N/A</v>
      </c>
      <c r="D1935" s="40" t="s">
        <v>9405</v>
      </c>
    </row>
    <row r="1936" spans="1:4" x14ac:dyDescent="0.35">
      <c r="A1936" s="40" t="e">
        <f>IF(OR(_xlfn.XLOOKUP("",Assessment!H:H,Assessment!E:E)="yes"),"Yes","No")</f>
        <v>#N/A</v>
      </c>
      <c r="D1936" s="40" t="s">
        <v>9405</v>
      </c>
    </row>
    <row r="1937" spans="1:4" x14ac:dyDescent="0.35">
      <c r="A1937" s="40" t="e">
        <f>IF(OR(_xlfn.XLOOKUP("",Assessment!H:H,Assessment!E:E)="yes"),"Yes","No")</f>
        <v>#N/A</v>
      </c>
      <c r="D1937" s="40" t="s">
        <v>9405</v>
      </c>
    </row>
    <row r="1938" spans="1:4" x14ac:dyDescent="0.35">
      <c r="A1938" s="40" t="e">
        <f>IF(OR(_xlfn.XLOOKUP("",Assessment!H:H,Assessment!E:E)="yes"),"Yes","No")</f>
        <v>#N/A</v>
      </c>
      <c r="D1938" s="40" t="s">
        <v>9405</v>
      </c>
    </row>
    <row r="1939" spans="1:4" x14ac:dyDescent="0.35">
      <c r="A1939" s="40" t="e">
        <f>IF(OR(_xlfn.XLOOKUP("",Assessment!H:H,Assessment!E:E)="yes"),"Yes","No")</f>
        <v>#N/A</v>
      </c>
      <c r="D1939" s="40" t="s">
        <v>9405</v>
      </c>
    </row>
    <row r="1940" spans="1:4" x14ac:dyDescent="0.35">
      <c r="A1940" s="40" t="e">
        <f>IF(OR(_xlfn.XLOOKUP("",Assessment!H:H,Assessment!E:E)="yes"),"Yes","No")</f>
        <v>#N/A</v>
      </c>
      <c r="D1940" s="40" t="s">
        <v>9405</v>
      </c>
    </row>
    <row r="1941" spans="1:4" x14ac:dyDescent="0.35">
      <c r="A1941" s="40" t="e">
        <f>IF(OR(_xlfn.XLOOKUP("",Assessment!H:H,Assessment!E:E)="yes"),"Yes","No")</f>
        <v>#N/A</v>
      </c>
      <c r="D1941" s="40" t="s">
        <v>9405</v>
      </c>
    </row>
    <row r="1942" spans="1:4" x14ac:dyDescent="0.35">
      <c r="A1942" s="40" t="e">
        <f>IF(OR(_xlfn.XLOOKUP("",Assessment!H:H,Assessment!E:E)="yes"),"Yes","No")</f>
        <v>#N/A</v>
      </c>
      <c r="D1942" s="40" t="s">
        <v>9405</v>
      </c>
    </row>
    <row r="1943" spans="1:4" x14ac:dyDescent="0.35">
      <c r="A1943" s="40" t="e">
        <f>IF(OR(_xlfn.XLOOKUP("",Assessment!H:H,Assessment!E:E)="yes"),"Yes","No")</f>
        <v>#N/A</v>
      </c>
      <c r="D1943" s="40" t="s">
        <v>9405</v>
      </c>
    </row>
    <row r="1944" spans="1:4" x14ac:dyDescent="0.35">
      <c r="A1944" s="40" t="e">
        <f>IF(OR(_xlfn.XLOOKUP("",Assessment!H:H,Assessment!E:E)="yes"),"Yes","No")</f>
        <v>#N/A</v>
      </c>
      <c r="D1944" s="40" t="s">
        <v>9405</v>
      </c>
    </row>
    <row r="1945" spans="1:4" x14ac:dyDescent="0.35">
      <c r="A1945" s="40" t="e">
        <f>IF(OR(_xlfn.XLOOKUP("",Assessment!H:H,Assessment!E:E)="yes"),"Yes","No")</f>
        <v>#N/A</v>
      </c>
      <c r="D1945" s="40" t="s">
        <v>9405</v>
      </c>
    </row>
    <row r="1946" spans="1:4" x14ac:dyDescent="0.35">
      <c r="A1946" s="40" t="e">
        <f>IF(OR(_xlfn.XLOOKUP("",Assessment!H:H,Assessment!E:E)="yes"),"Yes","No")</f>
        <v>#N/A</v>
      </c>
      <c r="D1946" s="40" t="s">
        <v>9405</v>
      </c>
    </row>
    <row r="1947" spans="1:4" x14ac:dyDescent="0.35">
      <c r="A1947" s="40" t="e">
        <f>IF(OR(_xlfn.XLOOKUP("",Assessment!H:H,Assessment!E:E)="yes"),"Yes","No")</f>
        <v>#N/A</v>
      </c>
      <c r="D1947" s="40" t="s">
        <v>9405</v>
      </c>
    </row>
    <row r="1948" spans="1:4" x14ac:dyDescent="0.35">
      <c r="A1948" s="40" t="e">
        <f>IF(OR(_xlfn.XLOOKUP("",Assessment!H:H,Assessment!E:E)="yes"),"Yes","No")</f>
        <v>#N/A</v>
      </c>
      <c r="D1948" s="40" t="s">
        <v>9405</v>
      </c>
    </row>
    <row r="1949" spans="1:4" x14ac:dyDescent="0.35">
      <c r="A1949" s="40" t="e">
        <f>IF(OR(_xlfn.XLOOKUP("",Assessment!H:H,Assessment!E:E)="yes"),"Yes","No")</f>
        <v>#N/A</v>
      </c>
      <c r="D1949" s="40" t="s">
        <v>9405</v>
      </c>
    </row>
    <row r="1950" spans="1:4" x14ac:dyDescent="0.35">
      <c r="A1950" s="40" t="e">
        <f>IF(OR(_xlfn.XLOOKUP("",Assessment!H:H,Assessment!E:E)="yes"),"Yes","No")</f>
        <v>#N/A</v>
      </c>
      <c r="D1950" s="40" t="s">
        <v>9405</v>
      </c>
    </row>
    <row r="1951" spans="1:4" x14ac:dyDescent="0.35">
      <c r="A1951" s="40" t="e">
        <f>IF(OR(_xlfn.XLOOKUP("",Assessment!H:H,Assessment!E:E)="yes"),"Yes","No")</f>
        <v>#N/A</v>
      </c>
      <c r="D1951" s="40" t="s">
        <v>9405</v>
      </c>
    </row>
    <row r="1952" spans="1:4" x14ac:dyDescent="0.35">
      <c r="A1952" s="40" t="e">
        <f>IF(OR(_xlfn.XLOOKUP("",Assessment!H:H,Assessment!E:E)="yes"),"Yes","No")</f>
        <v>#N/A</v>
      </c>
      <c r="D1952" s="40" t="s">
        <v>9405</v>
      </c>
    </row>
    <row r="1953" spans="1:4" x14ac:dyDescent="0.35">
      <c r="A1953" s="40" t="e">
        <f>IF(OR(_xlfn.XLOOKUP("",Assessment!H:H,Assessment!E:E)="yes"),"Yes","No")</f>
        <v>#N/A</v>
      </c>
      <c r="D1953" s="40" t="s">
        <v>9405</v>
      </c>
    </row>
    <row r="1954" spans="1:4" x14ac:dyDescent="0.35">
      <c r="A1954" s="40" t="e">
        <f>IF(OR(_xlfn.XLOOKUP("",Assessment!H:H,Assessment!E:E)="yes"),"Yes","No")</f>
        <v>#N/A</v>
      </c>
      <c r="D1954" s="40" t="s">
        <v>9405</v>
      </c>
    </row>
    <row r="1955" spans="1:4" x14ac:dyDescent="0.35">
      <c r="A1955" s="40" t="e">
        <f>IF(OR(_xlfn.XLOOKUP("",Assessment!H:H,Assessment!E:E)="yes"),"Yes","No")</f>
        <v>#N/A</v>
      </c>
      <c r="D1955" s="40" t="s">
        <v>9405</v>
      </c>
    </row>
    <row r="1956" spans="1:4" x14ac:dyDescent="0.35">
      <c r="A1956" s="40" t="e">
        <f>IF(OR(_xlfn.XLOOKUP("",Assessment!H:H,Assessment!E:E)="yes"),"Yes","No")</f>
        <v>#N/A</v>
      </c>
      <c r="D1956" s="40" t="s">
        <v>9405</v>
      </c>
    </row>
    <row r="1957" spans="1:4" x14ac:dyDescent="0.35">
      <c r="A1957" s="40" t="e">
        <f>IF(OR(_xlfn.XLOOKUP("",Assessment!H:H,Assessment!E:E)="yes"),"Yes","No")</f>
        <v>#N/A</v>
      </c>
      <c r="D1957" s="40" t="s">
        <v>9405</v>
      </c>
    </row>
    <row r="1958" spans="1:4" x14ac:dyDescent="0.35">
      <c r="A1958" s="40" t="e">
        <f>IF(OR(_xlfn.XLOOKUP("",Assessment!H:H,Assessment!E:E)="yes"),"Yes","No")</f>
        <v>#N/A</v>
      </c>
      <c r="D1958" s="40" t="s">
        <v>9405</v>
      </c>
    </row>
    <row r="1959" spans="1:4" x14ac:dyDescent="0.35">
      <c r="A1959" s="40" t="e">
        <f>IF(OR(_xlfn.XLOOKUP("",Assessment!H:H,Assessment!E:E)="yes"),"Yes","No")</f>
        <v>#N/A</v>
      </c>
      <c r="D1959" s="40" t="s">
        <v>9405</v>
      </c>
    </row>
    <row r="1960" spans="1:4" x14ac:dyDescent="0.35">
      <c r="A1960" s="40" t="e">
        <f>IF(OR(_xlfn.XLOOKUP("",Assessment!H:H,Assessment!E:E)="yes"),"Yes","No")</f>
        <v>#N/A</v>
      </c>
      <c r="D1960" s="40" t="s">
        <v>9405</v>
      </c>
    </row>
    <row r="1961" spans="1:4" x14ac:dyDescent="0.35">
      <c r="A1961" s="40" t="e">
        <f>IF(OR(_xlfn.XLOOKUP("",Assessment!H:H,Assessment!E:E)="yes"),"Yes","No")</f>
        <v>#N/A</v>
      </c>
      <c r="D1961" s="40" t="s">
        <v>9405</v>
      </c>
    </row>
    <row r="1962" spans="1:4" x14ac:dyDescent="0.35">
      <c r="A1962" s="40" t="e">
        <f>IF(OR(_xlfn.XLOOKUP("",Assessment!H:H,Assessment!E:E)="yes"),"Yes","No")</f>
        <v>#N/A</v>
      </c>
      <c r="D1962" s="40" t="s">
        <v>9405</v>
      </c>
    </row>
    <row r="1963" spans="1:4" x14ac:dyDescent="0.35">
      <c r="A1963" s="40" t="e">
        <f>IF(OR(_xlfn.XLOOKUP("",Assessment!H:H,Assessment!E:E)="yes"),"Yes","No")</f>
        <v>#N/A</v>
      </c>
      <c r="D1963" s="40" t="s">
        <v>9405</v>
      </c>
    </row>
    <row r="1964" spans="1:4" x14ac:dyDescent="0.35">
      <c r="A1964" s="40" t="e">
        <f>IF(OR(_xlfn.XLOOKUP("",Assessment!H:H,Assessment!E:E)="yes"),"Yes","No")</f>
        <v>#N/A</v>
      </c>
      <c r="D1964" s="40" t="s">
        <v>9405</v>
      </c>
    </row>
    <row r="1965" spans="1:4" x14ac:dyDescent="0.35">
      <c r="A1965" s="40" t="e">
        <f>IF(OR(_xlfn.XLOOKUP("",Assessment!H:H,Assessment!E:E)="yes"),"Yes","No")</f>
        <v>#N/A</v>
      </c>
      <c r="D1965" s="40" t="s">
        <v>9405</v>
      </c>
    </row>
    <row r="1966" spans="1:4" x14ac:dyDescent="0.35">
      <c r="A1966" s="40" t="e">
        <f>IF(OR(_xlfn.XLOOKUP("",Assessment!H:H,Assessment!E:E)="yes"),"Yes","No")</f>
        <v>#N/A</v>
      </c>
      <c r="D1966" s="40" t="s">
        <v>9405</v>
      </c>
    </row>
    <row r="1967" spans="1:4" x14ac:dyDescent="0.35">
      <c r="A1967" s="40" t="e">
        <f>IF(OR(_xlfn.XLOOKUP("",Assessment!H:H,Assessment!E:E)="yes"),"Yes","No")</f>
        <v>#N/A</v>
      </c>
      <c r="D1967" s="40" t="s">
        <v>9405</v>
      </c>
    </row>
    <row r="1968" spans="1:4" x14ac:dyDescent="0.35">
      <c r="A1968" s="40" t="e">
        <f>IF(OR(_xlfn.XLOOKUP("",Assessment!H:H,Assessment!E:E)="yes"),"Yes","No")</f>
        <v>#N/A</v>
      </c>
      <c r="D1968" s="40" t="s">
        <v>9405</v>
      </c>
    </row>
    <row r="1969" spans="1:4" x14ac:dyDescent="0.35">
      <c r="A1969" s="40" t="e">
        <f>IF(OR(_xlfn.XLOOKUP("",Assessment!H:H,Assessment!E:E)="yes"),"Yes","No")</f>
        <v>#N/A</v>
      </c>
      <c r="D1969" s="40" t="s">
        <v>9405</v>
      </c>
    </row>
    <row r="1970" spans="1:4" x14ac:dyDescent="0.35">
      <c r="A1970" s="40" t="e">
        <f>IF(OR(_xlfn.XLOOKUP("",Assessment!H:H,Assessment!E:E)="yes"),"Yes","No")</f>
        <v>#N/A</v>
      </c>
      <c r="D1970" s="40" t="s">
        <v>9405</v>
      </c>
    </row>
    <row r="1971" spans="1:4" x14ac:dyDescent="0.35">
      <c r="A1971" s="40" t="e">
        <f>IF(OR(_xlfn.XLOOKUP("",Assessment!H:H,Assessment!E:E)="yes"),"Yes","No")</f>
        <v>#N/A</v>
      </c>
      <c r="D1971" s="40" t="s">
        <v>9405</v>
      </c>
    </row>
    <row r="1972" spans="1:4" x14ac:dyDescent="0.35">
      <c r="A1972" s="40" t="e">
        <f>IF(OR(_xlfn.XLOOKUP("",Assessment!H:H,Assessment!E:E)="yes"),"Yes","No")</f>
        <v>#N/A</v>
      </c>
      <c r="D1972" s="40" t="s">
        <v>9405</v>
      </c>
    </row>
    <row r="1973" spans="1:4" x14ac:dyDescent="0.35">
      <c r="A1973" s="40" t="e">
        <f>IF(OR(_xlfn.XLOOKUP("",Assessment!H:H,Assessment!E:E)="yes"),"Yes","No")</f>
        <v>#N/A</v>
      </c>
      <c r="D1973" s="40" t="s">
        <v>9405</v>
      </c>
    </row>
    <row r="1974" spans="1:4" x14ac:dyDescent="0.35">
      <c r="A1974" s="40" t="e">
        <f>IF(OR(_xlfn.XLOOKUP("",Assessment!H:H,Assessment!E:E)="yes"),"Yes","No")</f>
        <v>#N/A</v>
      </c>
      <c r="D1974" s="40" t="s">
        <v>9405</v>
      </c>
    </row>
    <row r="1975" spans="1:4" x14ac:dyDescent="0.35">
      <c r="A1975" s="40" t="e">
        <f>IF(OR(_xlfn.XLOOKUP("",Assessment!H:H,Assessment!E:E)="yes"),"Yes","No")</f>
        <v>#N/A</v>
      </c>
      <c r="D1975" s="40" t="s">
        <v>9405</v>
      </c>
    </row>
    <row r="1976" spans="1:4" x14ac:dyDescent="0.35">
      <c r="A1976" s="40" t="e">
        <f>IF(OR(_xlfn.XLOOKUP("",Assessment!H:H,Assessment!E:E)="yes"),"Yes","No")</f>
        <v>#N/A</v>
      </c>
      <c r="D1976" s="40" t="s">
        <v>9405</v>
      </c>
    </row>
    <row r="1977" spans="1:4" x14ac:dyDescent="0.35">
      <c r="A1977" s="40" t="e">
        <f>IF(OR(_xlfn.XLOOKUP("",Assessment!H:H,Assessment!E:E)="yes"),"Yes","No")</f>
        <v>#N/A</v>
      </c>
      <c r="D1977" s="40" t="s">
        <v>9405</v>
      </c>
    </row>
    <row r="1978" spans="1:4" x14ac:dyDescent="0.35">
      <c r="A1978" s="40" t="e">
        <f>IF(OR(_xlfn.XLOOKUP("",Assessment!H:H,Assessment!E:E)="yes"),"Yes","No")</f>
        <v>#N/A</v>
      </c>
      <c r="D1978" s="40" t="s">
        <v>9405</v>
      </c>
    </row>
    <row r="1979" spans="1:4" x14ac:dyDescent="0.35">
      <c r="A1979" s="40" t="e">
        <f>IF(OR(_xlfn.XLOOKUP("",Assessment!H:H,Assessment!E:E)="yes"),"Yes","No")</f>
        <v>#N/A</v>
      </c>
      <c r="D1979" s="40" t="s">
        <v>9405</v>
      </c>
    </row>
    <row r="1980" spans="1:4" x14ac:dyDescent="0.35">
      <c r="A1980" s="40" t="e">
        <f>IF(OR(_xlfn.XLOOKUP("",Assessment!H:H,Assessment!E:E)="yes"),"Yes","No")</f>
        <v>#N/A</v>
      </c>
      <c r="D1980" s="40" t="s">
        <v>9405</v>
      </c>
    </row>
    <row r="1981" spans="1:4" x14ac:dyDescent="0.35">
      <c r="A1981" s="40" t="e">
        <f>IF(OR(_xlfn.XLOOKUP("",Assessment!H:H,Assessment!E:E)="yes"),"Yes","No")</f>
        <v>#N/A</v>
      </c>
      <c r="D1981" s="40" t="s">
        <v>9405</v>
      </c>
    </row>
    <row r="1982" spans="1:4" x14ac:dyDescent="0.35">
      <c r="A1982" s="40" t="e">
        <f>IF(OR(_xlfn.XLOOKUP("",Assessment!H:H,Assessment!E:E)="yes"),"Yes","No")</f>
        <v>#N/A</v>
      </c>
      <c r="D1982" s="40" t="s">
        <v>9405</v>
      </c>
    </row>
    <row r="1983" spans="1:4" x14ac:dyDescent="0.35">
      <c r="A1983" s="40" t="e">
        <f>IF(OR(_xlfn.XLOOKUP("",Assessment!H:H,Assessment!E:E)="yes"),"Yes","No")</f>
        <v>#N/A</v>
      </c>
      <c r="D1983" s="40" t="s">
        <v>9405</v>
      </c>
    </row>
    <row r="1984" spans="1:4" x14ac:dyDescent="0.35">
      <c r="A1984" s="40" t="e">
        <f>IF(OR(_xlfn.XLOOKUP("",Assessment!H:H,Assessment!E:E)="yes"),"Yes","No")</f>
        <v>#N/A</v>
      </c>
      <c r="D1984" s="40" t="s">
        <v>9405</v>
      </c>
    </row>
    <row r="1985" spans="1:4" x14ac:dyDescent="0.35">
      <c r="A1985" s="40" t="e">
        <f>IF(OR(_xlfn.XLOOKUP("",Assessment!H:H,Assessment!E:E)="yes"),"Yes","No")</f>
        <v>#N/A</v>
      </c>
      <c r="D1985" s="40" t="s">
        <v>9405</v>
      </c>
    </row>
    <row r="1986" spans="1:4" x14ac:dyDescent="0.35">
      <c r="A1986" s="40" t="e">
        <f>IF(OR(_xlfn.XLOOKUP("",Assessment!H:H,Assessment!E:E)="yes"),"Yes","No")</f>
        <v>#N/A</v>
      </c>
      <c r="D1986" s="40" t="s">
        <v>9405</v>
      </c>
    </row>
    <row r="1987" spans="1:4" x14ac:dyDescent="0.35">
      <c r="A1987" s="40" t="e">
        <f>IF(OR(_xlfn.XLOOKUP("",Assessment!H:H,Assessment!E:E)="yes"),"Yes","No")</f>
        <v>#N/A</v>
      </c>
      <c r="D1987" s="40" t="s">
        <v>9405</v>
      </c>
    </row>
    <row r="1988" spans="1:4" x14ac:dyDescent="0.35">
      <c r="A1988" s="40" t="e">
        <f>IF(OR(_xlfn.XLOOKUP("",Assessment!H:H,Assessment!E:E)="yes"),"Yes","No")</f>
        <v>#N/A</v>
      </c>
      <c r="D1988" s="40" t="s">
        <v>9405</v>
      </c>
    </row>
    <row r="1989" spans="1:4" x14ac:dyDescent="0.35">
      <c r="A1989" s="40" t="e">
        <f>IF(OR(_xlfn.XLOOKUP("",Assessment!H:H,Assessment!E:E)="yes"),"Yes","No")</f>
        <v>#N/A</v>
      </c>
      <c r="D1989" s="40" t="s">
        <v>9405</v>
      </c>
    </row>
    <row r="1990" spans="1:4" x14ac:dyDescent="0.35">
      <c r="A1990" s="40" t="e">
        <f>IF(OR(_xlfn.XLOOKUP("",Assessment!H:H,Assessment!E:E)="yes"),"Yes","No")</f>
        <v>#N/A</v>
      </c>
      <c r="D1990" s="40" t="s">
        <v>9405</v>
      </c>
    </row>
    <row r="1991" spans="1:4" x14ac:dyDescent="0.35">
      <c r="A1991" s="40" t="e">
        <f>IF(OR(_xlfn.XLOOKUP("",Assessment!H:H,Assessment!E:E)="yes"),"Yes","No")</f>
        <v>#N/A</v>
      </c>
      <c r="D1991" s="40" t="s">
        <v>9405</v>
      </c>
    </row>
    <row r="1992" spans="1:4" x14ac:dyDescent="0.35">
      <c r="A1992" s="40" t="e">
        <f>IF(OR(_xlfn.XLOOKUP("",Assessment!H:H,Assessment!E:E)="yes"),"Yes","No")</f>
        <v>#N/A</v>
      </c>
      <c r="D1992" s="40" t="s">
        <v>9405</v>
      </c>
    </row>
    <row r="1993" spans="1:4" x14ac:dyDescent="0.35">
      <c r="A1993" s="40" t="e">
        <f>IF(OR(_xlfn.XLOOKUP("",Assessment!H:H,Assessment!E:E)="yes"),"Yes","No")</f>
        <v>#N/A</v>
      </c>
      <c r="D1993" s="40" t="s">
        <v>9405</v>
      </c>
    </row>
    <row r="1994" spans="1:4" x14ac:dyDescent="0.35">
      <c r="A1994" s="40" t="e">
        <f>IF(OR(_xlfn.XLOOKUP("",Assessment!H:H,Assessment!E:E)="yes"),"Yes","No")</f>
        <v>#N/A</v>
      </c>
      <c r="D1994" s="40" t="s">
        <v>9405</v>
      </c>
    </row>
    <row r="1995" spans="1:4" x14ac:dyDescent="0.35">
      <c r="A1995" s="40" t="e">
        <f>IF(OR(_xlfn.XLOOKUP("",Assessment!H:H,Assessment!E:E)="yes"),"Yes","No")</f>
        <v>#N/A</v>
      </c>
      <c r="D1995" s="40" t="s">
        <v>9405</v>
      </c>
    </row>
    <row r="1996" spans="1:4" x14ac:dyDescent="0.35">
      <c r="A1996" s="40" t="e">
        <f>IF(OR(_xlfn.XLOOKUP("",Assessment!H:H,Assessment!E:E)="yes"),"Yes","No")</f>
        <v>#N/A</v>
      </c>
      <c r="D1996" s="40" t="s">
        <v>9405</v>
      </c>
    </row>
    <row r="1997" spans="1:4" x14ac:dyDescent="0.35">
      <c r="A1997" s="40" t="e">
        <f>IF(OR(_xlfn.XLOOKUP("",Assessment!H:H,Assessment!E:E)="yes"),"Yes","No")</f>
        <v>#N/A</v>
      </c>
      <c r="D1997" s="40" t="s">
        <v>9405</v>
      </c>
    </row>
    <row r="1998" spans="1:4" x14ac:dyDescent="0.35">
      <c r="A1998" s="40" t="e">
        <f>IF(OR(_xlfn.XLOOKUP("",Assessment!H:H,Assessment!E:E)="yes"),"Yes","No")</f>
        <v>#N/A</v>
      </c>
      <c r="D1998" s="40" t="s">
        <v>9405</v>
      </c>
    </row>
    <row r="1999" spans="1:4" x14ac:dyDescent="0.35">
      <c r="A1999" s="40" t="e">
        <f>IF(OR(_xlfn.XLOOKUP("",Assessment!H:H,Assessment!E:E)="yes"),"Yes","No")</f>
        <v>#N/A</v>
      </c>
      <c r="D1999" s="40" t="s">
        <v>9405</v>
      </c>
    </row>
    <row r="2000" spans="1:4" x14ac:dyDescent="0.35">
      <c r="A2000" s="40" t="e">
        <f>IF(OR(_xlfn.XLOOKUP("",Assessment!H:H,Assessment!E:E)="yes"),"Yes","No")</f>
        <v>#N/A</v>
      </c>
      <c r="D2000" s="40" t="s">
        <v>9405</v>
      </c>
    </row>
    <row r="2001" spans="1:4" x14ac:dyDescent="0.35">
      <c r="A2001" s="40" t="e">
        <f>IF(OR(_xlfn.XLOOKUP("",Assessment!H:H,Assessment!E:E)="yes"),"Yes","No")</f>
        <v>#N/A</v>
      </c>
      <c r="D2001" s="40" t="s">
        <v>9405</v>
      </c>
    </row>
    <row r="2002" spans="1:4" x14ac:dyDescent="0.35">
      <c r="A2002" s="40" t="e">
        <f>IF(OR(_xlfn.XLOOKUP("",Assessment!H:H,Assessment!E:E)="yes"),"Yes","No")</f>
        <v>#N/A</v>
      </c>
      <c r="D2002" s="40" t="s">
        <v>9405</v>
      </c>
    </row>
    <row r="2003" spans="1:4" x14ac:dyDescent="0.35">
      <c r="A2003" s="40" t="e">
        <f>IF(OR(_xlfn.XLOOKUP("",Assessment!H:H,Assessment!E:E)="yes"),"Yes","No")</f>
        <v>#N/A</v>
      </c>
      <c r="D2003" s="40" t="s">
        <v>9405</v>
      </c>
    </row>
    <row r="2004" spans="1:4" x14ac:dyDescent="0.35">
      <c r="A2004" s="40" t="e">
        <f>IF(OR(_xlfn.XLOOKUP("",Assessment!H:H,Assessment!E:E)="yes"),"Yes","No")</f>
        <v>#N/A</v>
      </c>
      <c r="D2004" s="40" t="s">
        <v>9405</v>
      </c>
    </row>
    <row r="2005" spans="1:4" x14ac:dyDescent="0.35">
      <c r="A2005" s="40" t="e">
        <f>IF(OR(_xlfn.XLOOKUP("",Assessment!H:H,Assessment!E:E)="yes"),"Yes","No")</f>
        <v>#N/A</v>
      </c>
      <c r="D2005" s="40" t="s">
        <v>9405</v>
      </c>
    </row>
    <row r="2006" spans="1:4" x14ac:dyDescent="0.35">
      <c r="A2006" s="40" t="e">
        <f>IF(OR(_xlfn.XLOOKUP("",Assessment!H:H,Assessment!E:E)="yes"),"Yes","No")</f>
        <v>#N/A</v>
      </c>
      <c r="D2006" s="40" t="s">
        <v>9405</v>
      </c>
    </row>
    <row r="2007" spans="1:4" x14ac:dyDescent="0.35">
      <c r="A2007" s="40" t="e">
        <f>IF(OR(_xlfn.XLOOKUP("",Assessment!H:H,Assessment!E:E)="yes"),"Yes","No")</f>
        <v>#N/A</v>
      </c>
      <c r="D2007" s="40" t="s">
        <v>9405</v>
      </c>
    </row>
    <row r="2008" spans="1:4" x14ac:dyDescent="0.35">
      <c r="A2008" s="40" t="e">
        <f>IF(OR(_xlfn.XLOOKUP("",Assessment!H:H,Assessment!E:E)="yes"),"Yes","No")</f>
        <v>#N/A</v>
      </c>
      <c r="D2008" s="40" t="s">
        <v>9405</v>
      </c>
    </row>
    <row r="2009" spans="1:4" x14ac:dyDescent="0.35">
      <c r="A2009" s="40" t="e">
        <f>IF(OR(_xlfn.XLOOKUP("",Assessment!H:H,Assessment!E:E)="yes"),"Yes","No")</f>
        <v>#N/A</v>
      </c>
      <c r="D2009" s="40" t="s">
        <v>9405</v>
      </c>
    </row>
    <row r="2010" spans="1:4" x14ac:dyDescent="0.35">
      <c r="A2010" s="40" t="e">
        <f>IF(OR(_xlfn.XLOOKUP("",Assessment!H:H,Assessment!E:E)="yes"),"Yes","No")</f>
        <v>#N/A</v>
      </c>
      <c r="D2010" s="40" t="s">
        <v>9405</v>
      </c>
    </row>
    <row r="2011" spans="1:4" x14ac:dyDescent="0.35">
      <c r="A2011" s="40" t="e">
        <f>IF(OR(_xlfn.XLOOKUP("",Assessment!H:H,Assessment!E:E)="yes"),"Yes","No")</f>
        <v>#N/A</v>
      </c>
      <c r="D2011" s="40" t="s">
        <v>9405</v>
      </c>
    </row>
    <row r="2012" spans="1:4" x14ac:dyDescent="0.35">
      <c r="A2012" s="40" t="e">
        <f>IF(OR(_xlfn.XLOOKUP("",Assessment!H:H,Assessment!E:E)="yes"),"Yes","No")</f>
        <v>#N/A</v>
      </c>
      <c r="D2012" s="40" t="s">
        <v>9405</v>
      </c>
    </row>
    <row r="2013" spans="1:4" x14ac:dyDescent="0.35">
      <c r="A2013" s="40" t="e">
        <f>IF(OR(_xlfn.XLOOKUP("",Assessment!H:H,Assessment!E:E)="yes"),"Yes","No")</f>
        <v>#N/A</v>
      </c>
      <c r="D2013" s="40" t="s">
        <v>9405</v>
      </c>
    </row>
    <row r="2014" spans="1:4" x14ac:dyDescent="0.35">
      <c r="A2014" s="40" t="e">
        <f>IF(OR(_xlfn.XLOOKUP("",Assessment!H:H,Assessment!E:E)="yes"),"Yes","No")</f>
        <v>#N/A</v>
      </c>
      <c r="D2014" s="40" t="s">
        <v>9405</v>
      </c>
    </row>
    <row r="2015" spans="1:4" x14ac:dyDescent="0.35">
      <c r="A2015" s="40" t="e">
        <f>IF(OR(_xlfn.XLOOKUP("",Assessment!H:H,Assessment!E:E)="yes"),"Yes","No")</f>
        <v>#N/A</v>
      </c>
      <c r="D2015" s="40" t="s">
        <v>9405</v>
      </c>
    </row>
    <row r="2016" spans="1:4" x14ac:dyDescent="0.35">
      <c r="A2016" s="40" t="e">
        <f>IF(OR(_xlfn.XLOOKUP("",Assessment!H:H,Assessment!E:E)="yes"),"Yes","No")</f>
        <v>#N/A</v>
      </c>
      <c r="D2016" s="40" t="s">
        <v>9405</v>
      </c>
    </row>
    <row r="2017" spans="1:4" x14ac:dyDescent="0.35">
      <c r="A2017" s="40" t="e">
        <f>IF(OR(_xlfn.XLOOKUP("",Assessment!H:H,Assessment!E:E)="yes"),"Yes","No")</f>
        <v>#N/A</v>
      </c>
      <c r="D2017" s="40" t="s">
        <v>9405</v>
      </c>
    </row>
    <row r="2018" spans="1:4" x14ac:dyDescent="0.35">
      <c r="A2018" s="40" t="e">
        <f>IF(OR(_xlfn.XLOOKUP("",Assessment!H:H,Assessment!E:E)="yes"),"Yes","No")</f>
        <v>#N/A</v>
      </c>
      <c r="D2018" s="40" t="s">
        <v>9405</v>
      </c>
    </row>
    <row r="2019" spans="1:4" x14ac:dyDescent="0.35">
      <c r="A2019" s="40" t="e">
        <f>IF(OR(_xlfn.XLOOKUP("",Assessment!H:H,Assessment!E:E)="yes"),"Yes","No")</f>
        <v>#N/A</v>
      </c>
      <c r="D2019" s="40" t="s">
        <v>9405</v>
      </c>
    </row>
    <row r="2020" spans="1:4" x14ac:dyDescent="0.35">
      <c r="A2020" s="40" t="e">
        <f>IF(OR(_xlfn.XLOOKUP("",Assessment!H:H,Assessment!E:E)="yes"),"Yes","No")</f>
        <v>#N/A</v>
      </c>
      <c r="D2020" s="40" t="s">
        <v>9405</v>
      </c>
    </row>
    <row r="2021" spans="1:4" x14ac:dyDescent="0.35">
      <c r="A2021" s="40" t="e">
        <f>IF(OR(_xlfn.XLOOKUP("",Assessment!H:H,Assessment!E:E)="yes"),"Yes","No")</f>
        <v>#N/A</v>
      </c>
      <c r="D2021" s="40" t="s">
        <v>9405</v>
      </c>
    </row>
    <row r="2022" spans="1:4" x14ac:dyDescent="0.35">
      <c r="A2022" s="40" t="e">
        <f>IF(OR(_xlfn.XLOOKUP("",Assessment!H:H,Assessment!E:E)="yes"),"Yes","No")</f>
        <v>#N/A</v>
      </c>
      <c r="D2022" s="40" t="s">
        <v>9405</v>
      </c>
    </row>
    <row r="2023" spans="1:4" x14ac:dyDescent="0.35">
      <c r="A2023" s="40" t="e">
        <f>IF(OR(_xlfn.XLOOKUP("",Assessment!H:H,Assessment!E:E)="yes"),"Yes","No")</f>
        <v>#N/A</v>
      </c>
      <c r="D2023" s="40" t="s">
        <v>9405</v>
      </c>
    </row>
    <row r="2024" spans="1:4" x14ac:dyDescent="0.35">
      <c r="A2024" s="40" t="e">
        <f>IF(OR(_xlfn.XLOOKUP("",Assessment!H:H,Assessment!E:E)="yes"),"Yes","No")</f>
        <v>#N/A</v>
      </c>
      <c r="D2024" s="40" t="s">
        <v>9405</v>
      </c>
    </row>
    <row r="2025" spans="1:4" x14ac:dyDescent="0.35">
      <c r="A2025" s="40" t="e">
        <f>IF(OR(_xlfn.XLOOKUP("",Assessment!H:H,Assessment!E:E)="yes"),"Yes","No")</f>
        <v>#N/A</v>
      </c>
      <c r="D2025" s="40" t="s">
        <v>9405</v>
      </c>
    </row>
    <row r="2026" spans="1:4" x14ac:dyDescent="0.35">
      <c r="A2026" s="40" t="e">
        <f>IF(OR(_xlfn.XLOOKUP("",Assessment!H:H,Assessment!E:E)="yes"),"Yes","No")</f>
        <v>#N/A</v>
      </c>
      <c r="D2026" s="40" t="s">
        <v>9405</v>
      </c>
    </row>
    <row r="2027" spans="1:4" x14ac:dyDescent="0.35">
      <c r="A2027" s="40" t="e">
        <f>IF(OR(_xlfn.XLOOKUP("",Assessment!H:H,Assessment!E:E)="yes"),"Yes","No")</f>
        <v>#N/A</v>
      </c>
      <c r="D2027" s="40" t="s">
        <v>9405</v>
      </c>
    </row>
    <row r="2028" spans="1:4" x14ac:dyDescent="0.35">
      <c r="A2028" s="40" t="e">
        <f>IF(OR(_xlfn.XLOOKUP("",Assessment!H:H,Assessment!E:E)="yes"),"Yes","No")</f>
        <v>#N/A</v>
      </c>
      <c r="D2028" s="40" t="s">
        <v>9405</v>
      </c>
    </row>
    <row r="2029" spans="1:4" x14ac:dyDescent="0.35">
      <c r="A2029" s="40" t="e">
        <f>IF(OR(_xlfn.XLOOKUP("",Assessment!H:H,Assessment!E:E)="yes"),"Yes","No")</f>
        <v>#N/A</v>
      </c>
      <c r="D2029" s="40" t="s">
        <v>9405</v>
      </c>
    </row>
    <row r="2030" spans="1:4" x14ac:dyDescent="0.35">
      <c r="A2030" s="40" t="e">
        <f>IF(OR(_xlfn.XLOOKUP("",Assessment!H:H,Assessment!E:E)="yes"),"Yes","No")</f>
        <v>#N/A</v>
      </c>
      <c r="D2030" s="40" t="s">
        <v>9405</v>
      </c>
    </row>
    <row r="2031" spans="1:4" x14ac:dyDescent="0.35">
      <c r="A2031" s="40" t="e">
        <f>IF(OR(_xlfn.XLOOKUP("",Assessment!H:H,Assessment!E:E)="yes"),"Yes","No")</f>
        <v>#N/A</v>
      </c>
      <c r="D2031" s="40" t="s">
        <v>9405</v>
      </c>
    </row>
    <row r="2032" spans="1:4" x14ac:dyDescent="0.35">
      <c r="A2032" s="40" t="e">
        <f>IF(OR(_xlfn.XLOOKUP("",Assessment!H:H,Assessment!E:E)="yes"),"Yes","No")</f>
        <v>#N/A</v>
      </c>
      <c r="D2032" s="40" t="s">
        <v>9405</v>
      </c>
    </row>
    <row r="2033" spans="1:4" x14ac:dyDescent="0.35">
      <c r="A2033" s="40" t="e">
        <f>IF(OR(_xlfn.XLOOKUP("",Assessment!H:H,Assessment!E:E)="yes"),"Yes","No")</f>
        <v>#N/A</v>
      </c>
      <c r="D2033" s="40" t="s">
        <v>9405</v>
      </c>
    </row>
    <row r="2034" spans="1:4" x14ac:dyDescent="0.35">
      <c r="A2034" s="40" t="e">
        <f>IF(OR(_xlfn.XLOOKUP("",Assessment!H:H,Assessment!E:E)="yes"),"Yes","No")</f>
        <v>#N/A</v>
      </c>
      <c r="D2034" s="40" t="s">
        <v>9405</v>
      </c>
    </row>
    <row r="2035" spans="1:4" x14ac:dyDescent="0.35">
      <c r="A2035" s="40" t="e">
        <f>IF(OR(_xlfn.XLOOKUP("",Assessment!H:H,Assessment!E:E)="yes"),"Yes","No")</f>
        <v>#N/A</v>
      </c>
      <c r="D2035" s="40" t="s">
        <v>9405</v>
      </c>
    </row>
    <row r="2036" spans="1:4" x14ac:dyDescent="0.35">
      <c r="A2036" s="40" t="e">
        <f>IF(OR(_xlfn.XLOOKUP("",Assessment!H:H,Assessment!E:E)="yes"),"Yes","No")</f>
        <v>#N/A</v>
      </c>
      <c r="D2036" s="40" t="s">
        <v>9405</v>
      </c>
    </row>
    <row r="2037" spans="1:4" x14ac:dyDescent="0.35">
      <c r="A2037" s="40" t="e">
        <f>IF(OR(_xlfn.XLOOKUP("",Assessment!H:H,Assessment!E:E)="yes"),"Yes","No")</f>
        <v>#N/A</v>
      </c>
      <c r="D2037" s="40" t="s">
        <v>9405</v>
      </c>
    </row>
    <row r="2038" spans="1:4" x14ac:dyDescent="0.35">
      <c r="A2038" s="40" t="e">
        <f>IF(OR(_xlfn.XLOOKUP("",Assessment!H:H,Assessment!E:E)="yes"),"Yes","No")</f>
        <v>#N/A</v>
      </c>
      <c r="D2038" s="40" t="s">
        <v>9405</v>
      </c>
    </row>
    <row r="2039" spans="1:4" x14ac:dyDescent="0.35">
      <c r="A2039" s="40" t="e">
        <f>IF(OR(_xlfn.XLOOKUP("",Assessment!H:H,Assessment!E:E)="yes"),"Yes","No")</f>
        <v>#N/A</v>
      </c>
      <c r="D2039" s="40" t="s">
        <v>9405</v>
      </c>
    </row>
    <row r="2040" spans="1:4" x14ac:dyDescent="0.35">
      <c r="A2040" s="40" t="e">
        <f>IF(OR(_xlfn.XLOOKUP("",Assessment!H:H,Assessment!E:E)="yes"),"Yes","No")</f>
        <v>#N/A</v>
      </c>
      <c r="D2040" s="40" t="s">
        <v>9405</v>
      </c>
    </row>
    <row r="2041" spans="1:4" x14ac:dyDescent="0.35">
      <c r="A2041" s="40" t="e">
        <f>IF(OR(_xlfn.XLOOKUP("",Assessment!H:H,Assessment!E:E)="yes"),"Yes","No")</f>
        <v>#N/A</v>
      </c>
      <c r="D2041" s="40" t="s">
        <v>9405</v>
      </c>
    </row>
    <row r="2042" spans="1:4" x14ac:dyDescent="0.35">
      <c r="A2042" s="40" t="e">
        <f>IF(OR(_xlfn.XLOOKUP("",Assessment!H:H,Assessment!E:E)="yes"),"Yes","No")</f>
        <v>#N/A</v>
      </c>
      <c r="D2042" s="40" t="s">
        <v>9405</v>
      </c>
    </row>
    <row r="2043" spans="1:4" x14ac:dyDescent="0.35">
      <c r="A2043" s="40" t="e">
        <f>IF(OR(_xlfn.XLOOKUP("",Assessment!H:H,Assessment!E:E)="yes"),"Yes","No")</f>
        <v>#N/A</v>
      </c>
      <c r="D2043" s="40" t="s">
        <v>9405</v>
      </c>
    </row>
    <row r="2044" spans="1:4" x14ac:dyDescent="0.35">
      <c r="A2044" s="40" t="e">
        <f>IF(OR(_xlfn.XLOOKUP("",Assessment!H:H,Assessment!E:E)="yes"),"Yes","No")</f>
        <v>#N/A</v>
      </c>
      <c r="D2044" s="40" t="s">
        <v>9405</v>
      </c>
    </row>
    <row r="2045" spans="1:4" x14ac:dyDescent="0.35">
      <c r="A2045" s="40" t="e">
        <f>IF(OR(_xlfn.XLOOKUP("",Assessment!H:H,Assessment!E:E)="yes"),"Yes","No")</f>
        <v>#N/A</v>
      </c>
      <c r="D2045" s="40" t="s">
        <v>9405</v>
      </c>
    </row>
    <row r="2046" spans="1:4" x14ac:dyDescent="0.35">
      <c r="A2046" s="40" t="e">
        <f>IF(OR(_xlfn.XLOOKUP("",Assessment!H:H,Assessment!E:E)="yes"),"Yes","No")</f>
        <v>#N/A</v>
      </c>
      <c r="D2046" s="40" t="s">
        <v>9405</v>
      </c>
    </row>
    <row r="2047" spans="1:4" x14ac:dyDescent="0.35">
      <c r="A2047" s="40" t="e">
        <f>IF(OR(_xlfn.XLOOKUP("",Assessment!H:H,Assessment!E:E)="yes"),"Yes","No")</f>
        <v>#N/A</v>
      </c>
      <c r="D2047" s="40" t="s">
        <v>9405</v>
      </c>
    </row>
    <row r="2048" spans="1:4" x14ac:dyDescent="0.35">
      <c r="A2048" s="40" t="e">
        <f>IF(OR(_xlfn.XLOOKUP("",Assessment!H:H,Assessment!E:E)="yes"),"Yes","No")</f>
        <v>#N/A</v>
      </c>
      <c r="D2048" s="40" t="s">
        <v>9405</v>
      </c>
    </row>
    <row r="2049" spans="1:4" x14ac:dyDescent="0.35">
      <c r="A2049" s="40" t="e">
        <f>IF(OR(_xlfn.XLOOKUP("",Assessment!H:H,Assessment!E:E)="yes"),"Yes","No")</f>
        <v>#N/A</v>
      </c>
      <c r="D2049" s="40" t="s">
        <v>9405</v>
      </c>
    </row>
    <row r="2050" spans="1:4" x14ac:dyDescent="0.35">
      <c r="A2050" s="40" t="e">
        <f>IF(OR(_xlfn.XLOOKUP("",Assessment!H:H,Assessment!E:E)="yes"),"Yes","No")</f>
        <v>#N/A</v>
      </c>
      <c r="D2050" s="40" t="s">
        <v>9405</v>
      </c>
    </row>
    <row r="2051" spans="1:4" x14ac:dyDescent="0.35">
      <c r="A2051" s="40" t="e">
        <f>IF(OR(_xlfn.XLOOKUP("",Assessment!H:H,Assessment!E:E)="yes"),"Yes","No")</f>
        <v>#N/A</v>
      </c>
      <c r="D2051" s="40" t="s">
        <v>9405</v>
      </c>
    </row>
    <row r="2052" spans="1:4" x14ac:dyDescent="0.35">
      <c r="A2052" s="40" t="e">
        <f>IF(OR(_xlfn.XLOOKUP("",Assessment!H:H,Assessment!E:E)="yes"),"Yes","No")</f>
        <v>#N/A</v>
      </c>
      <c r="D2052" s="40" t="s">
        <v>9405</v>
      </c>
    </row>
    <row r="2053" spans="1:4" x14ac:dyDescent="0.35">
      <c r="A2053" s="40" t="e">
        <f>IF(OR(_xlfn.XLOOKUP("",Assessment!H:H,Assessment!E:E)="yes"),"Yes","No")</f>
        <v>#N/A</v>
      </c>
      <c r="D2053" s="40" t="s">
        <v>9405</v>
      </c>
    </row>
    <row r="2054" spans="1:4" x14ac:dyDescent="0.35">
      <c r="A2054" s="40" t="e">
        <f>IF(OR(_xlfn.XLOOKUP("",Assessment!H:H,Assessment!E:E)="yes"),"Yes","No")</f>
        <v>#N/A</v>
      </c>
      <c r="D2054" s="40" t="s">
        <v>9405</v>
      </c>
    </row>
    <row r="2055" spans="1:4" x14ac:dyDescent="0.35">
      <c r="A2055" s="40" t="e">
        <f>IF(OR(_xlfn.XLOOKUP("",Assessment!H:H,Assessment!E:E)="yes"),"Yes","No")</f>
        <v>#N/A</v>
      </c>
      <c r="D2055" s="40" t="s">
        <v>9405</v>
      </c>
    </row>
    <row r="2056" spans="1:4" x14ac:dyDescent="0.35">
      <c r="A2056" s="40" t="e">
        <f>IF(OR(_xlfn.XLOOKUP("",Assessment!H:H,Assessment!E:E)="yes"),"Yes","No")</f>
        <v>#N/A</v>
      </c>
      <c r="D2056" s="40" t="s">
        <v>9405</v>
      </c>
    </row>
    <row r="2057" spans="1:4" x14ac:dyDescent="0.35">
      <c r="A2057" s="40" t="e">
        <f>IF(OR(_xlfn.XLOOKUP("",Assessment!H:H,Assessment!E:E)="yes"),"Yes","No")</f>
        <v>#N/A</v>
      </c>
      <c r="D2057" s="40" t="s">
        <v>9405</v>
      </c>
    </row>
    <row r="2058" spans="1:4" x14ac:dyDescent="0.35">
      <c r="A2058" s="40" t="e">
        <f>IF(OR(_xlfn.XLOOKUP("",Assessment!H:H,Assessment!E:E)="yes"),"Yes","No")</f>
        <v>#N/A</v>
      </c>
      <c r="D2058" s="40" t="s">
        <v>9405</v>
      </c>
    </row>
    <row r="2059" spans="1:4" x14ac:dyDescent="0.35">
      <c r="A2059" s="40" t="e">
        <f>IF(OR(_xlfn.XLOOKUP("",Assessment!H:H,Assessment!E:E)="yes"),"Yes","No")</f>
        <v>#N/A</v>
      </c>
      <c r="D2059" s="40" t="s">
        <v>9405</v>
      </c>
    </row>
    <row r="2060" spans="1:4" x14ac:dyDescent="0.35">
      <c r="A2060" s="40" t="e">
        <f>IF(OR(_xlfn.XLOOKUP("",Assessment!H:H,Assessment!E:E)="yes"),"Yes","No")</f>
        <v>#N/A</v>
      </c>
      <c r="D2060" s="40" t="s">
        <v>9405</v>
      </c>
    </row>
    <row r="2061" spans="1:4" x14ac:dyDescent="0.35">
      <c r="A2061" s="40" t="e">
        <f>IF(OR(_xlfn.XLOOKUP("",Assessment!H:H,Assessment!E:E)="yes"),"Yes","No")</f>
        <v>#N/A</v>
      </c>
      <c r="D2061" s="40" t="s">
        <v>9405</v>
      </c>
    </row>
    <row r="2062" spans="1:4" x14ac:dyDescent="0.35">
      <c r="A2062" s="40" t="e">
        <f>IF(OR(_xlfn.XLOOKUP("",Assessment!H:H,Assessment!E:E)="yes"),"Yes","No")</f>
        <v>#N/A</v>
      </c>
      <c r="D2062" s="40" t="s">
        <v>9405</v>
      </c>
    </row>
    <row r="2063" spans="1:4" x14ac:dyDescent="0.35">
      <c r="A2063" s="40" t="e">
        <f>IF(OR(_xlfn.XLOOKUP("",Assessment!H:H,Assessment!E:E)="yes"),"Yes","No")</f>
        <v>#N/A</v>
      </c>
      <c r="D2063" s="40" t="s">
        <v>9405</v>
      </c>
    </row>
    <row r="2064" spans="1:4" x14ac:dyDescent="0.35">
      <c r="A2064" s="40" t="e">
        <f>IF(OR(_xlfn.XLOOKUP("",Assessment!H:H,Assessment!E:E)="yes"),"Yes","No")</f>
        <v>#N/A</v>
      </c>
      <c r="D2064" s="40" t="s">
        <v>9405</v>
      </c>
    </row>
    <row r="2065" spans="1:4" x14ac:dyDescent="0.35">
      <c r="A2065" s="40" t="e">
        <f>IF(OR(_xlfn.XLOOKUP("",Assessment!H:H,Assessment!E:E)="yes"),"Yes","No")</f>
        <v>#N/A</v>
      </c>
      <c r="D2065" s="40" t="s">
        <v>9405</v>
      </c>
    </row>
    <row r="2066" spans="1:4" x14ac:dyDescent="0.35">
      <c r="A2066" s="40" t="e">
        <f>IF(OR(_xlfn.XLOOKUP("",Assessment!H:H,Assessment!E:E)="yes"),"Yes","No")</f>
        <v>#N/A</v>
      </c>
      <c r="D2066" s="40" t="s">
        <v>9405</v>
      </c>
    </row>
    <row r="2067" spans="1:4" x14ac:dyDescent="0.35">
      <c r="A2067" s="40" t="e">
        <f>IF(OR(_xlfn.XLOOKUP("",Assessment!H:H,Assessment!E:E)="yes"),"Yes","No")</f>
        <v>#N/A</v>
      </c>
      <c r="D2067" s="40" t="s">
        <v>9405</v>
      </c>
    </row>
    <row r="2068" spans="1:4" x14ac:dyDescent="0.35">
      <c r="A2068" s="40" t="e">
        <f>IF(OR(_xlfn.XLOOKUP("",Assessment!H:H,Assessment!E:E)="yes"),"Yes","No")</f>
        <v>#N/A</v>
      </c>
      <c r="D2068" s="40" t="s">
        <v>9405</v>
      </c>
    </row>
    <row r="2069" spans="1:4" x14ac:dyDescent="0.35">
      <c r="A2069" s="40" t="e">
        <f>IF(OR(_xlfn.XLOOKUP("",Assessment!H:H,Assessment!E:E)="yes"),"Yes","No")</f>
        <v>#N/A</v>
      </c>
      <c r="D2069" s="40" t="s">
        <v>9405</v>
      </c>
    </row>
    <row r="2070" spans="1:4" x14ac:dyDescent="0.35">
      <c r="A2070" s="40" t="e">
        <f>IF(OR(_xlfn.XLOOKUP("",Assessment!H:H,Assessment!E:E)="yes"),"Yes","No")</f>
        <v>#N/A</v>
      </c>
      <c r="D2070" s="40" t="s">
        <v>9405</v>
      </c>
    </row>
    <row r="2071" spans="1:4" x14ac:dyDescent="0.35">
      <c r="A2071" s="40" t="e">
        <f>IF(OR(_xlfn.XLOOKUP("",Assessment!H:H,Assessment!E:E)="yes"),"Yes","No")</f>
        <v>#N/A</v>
      </c>
      <c r="D2071" s="40" t="s">
        <v>9405</v>
      </c>
    </row>
    <row r="2072" spans="1:4" x14ac:dyDescent="0.35">
      <c r="A2072" s="40" t="e">
        <f>IF(OR(_xlfn.XLOOKUP("",Assessment!H:H,Assessment!E:E)="yes"),"Yes","No")</f>
        <v>#N/A</v>
      </c>
      <c r="D2072" s="40" t="s">
        <v>9405</v>
      </c>
    </row>
    <row r="2073" spans="1:4" x14ac:dyDescent="0.35">
      <c r="A2073" s="40" t="e">
        <f>IF(OR(_xlfn.XLOOKUP("",Assessment!H:H,Assessment!E:E)="yes"),"Yes","No")</f>
        <v>#N/A</v>
      </c>
      <c r="D2073" s="40" t="s">
        <v>9405</v>
      </c>
    </row>
    <row r="2074" spans="1:4" x14ac:dyDescent="0.35">
      <c r="A2074" s="40" t="e">
        <f>IF(OR(_xlfn.XLOOKUP("",Assessment!H:H,Assessment!E:E)="yes"),"Yes","No")</f>
        <v>#N/A</v>
      </c>
      <c r="D2074" s="40" t="s">
        <v>9405</v>
      </c>
    </row>
    <row r="2075" spans="1:4" x14ac:dyDescent="0.35">
      <c r="A2075" s="40" t="e">
        <f>IF(OR(_xlfn.XLOOKUP("",Assessment!H:H,Assessment!E:E)="yes"),"Yes","No")</f>
        <v>#N/A</v>
      </c>
      <c r="D2075" s="40" t="s">
        <v>9405</v>
      </c>
    </row>
    <row r="2076" spans="1:4" x14ac:dyDescent="0.35">
      <c r="A2076" s="40" t="e">
        <f>IF(OR(_xlfn.XLOOKUP("",Assessment!H:H,Assessment!E:E)="yes"),"Yes","No")</f>
        <v>#N/A</v>
      </c>
      <c r="D2076" s="40" t="s">
        <v>9405</v>
      </c>
    </row>
    <row r="2077" spans="1:4" x14ac:dyDescent="0.35">
      <c r="A2077" s="40" t="e">
        <f>IF(OR(_xlfn.XLOOKUP("",Assessment!H:H,Assessment!E:E)="yes"),"Yes","No")</f>
        <v>#N/A</v>
      </c>
      <c r="D2077" s="40" t="s">
        <v>9405</v>
      </c>
    </row>
    <row r="2078" spans="1:4" x14ac:dyDescent="0.35">
      <c r="A2078" s="40" t="e">
        <f>IF(OR(_xlfn.XLOOKUP("",Assessment!H:H,Assessment!E:E)="yes"),"Yes","No")</f>
        <v>#N/A</v>
      </c>
      <c r="D2078" s="40" t="s">
        <v>9405</v>
      </c>
    </row>
    <row r="2079" spans="1:4" x14ac:dyDescent="0.35">
      <c r="A2079" s="40" t="e">
        <f>IF(OR(_xlfn.XLOOKUP("",Assessment!H:H,Assessment!E:E)="yes"),"Yes","No")</f>
        <v>#N/A</v>
      </c>
      <c r="D2079" s="40" t="s">
        <v>9405</v>
      </c>
    </row>
    <row r="2080" spans="1:4" x14ac:dyDescent="0.35">
      <c r="A2080" s="40" t="e">
        <f>IF(OR(_xlfn.XLOOKUP("",Assessment!H:H,Assessment!E:E)="yes"),"Yes","No")</f>
        <v>#N/A</v>
      </c>
      <c r="D2080" s="40" t="s">
        <v>9405</v>
      </c>
    </row>
    <row r="2081" spans="1:4" x14ac:dyDescent="0.35">
      <c r="A2081" s="40" t="e">
        <f>IF(OR(_xlfn.XLOOKUP("",Assessment!H:H,Assessment!E:E)="yes"),"Yes","No")</f>
        <v>#N/A</v>
      </c>
      <c r="D2081" s="40" t="s">
        <v>9405</v>
      </c>
    </row>
    <row r="2082" spans="1:4" x14ac:dyDescent="0.35">
      <c r="A2082" s="40" t="e">
        <f>IF(OR(_xlfn.XLOOKUP("",Assessment!H:H,Assessment!E:E)="yes"),"Yes","No")</f>
        <v>#N/A</v>
      </c>
      <c r="D2082" s="40" t="s">
        <v>9405</v>
      </c>
    </row>
    <row r="2083" spans="1:4" x14ac:dyDescent="0.35">
      <c r="A2083" s="40" t="e">
        <f>IF(OR(_xlfn.XLOOKUP("",Assessment!H:H,Assessment!E:E)="yes"),"Yes","No")</f>
        <v>#N/A</v>
      </c>
      <c r="D2083" s="40" t="s">
        <v>9405</v>
      </c>
    </row>
    <row r="2084" spans="1:4" x14ac:dyDescent="0.35">
      <c r="A2084" s="40" t="e">
        <f>IF(OR(_xlfn.XLOOKUP("",Assessment!H:H,Assessment!E:E)="yes"),"Yes","No")</f>
        <v>#N/A</v>
      </c>
      <c r="D2084" s="40" t="s">
        <v>9405</v>
      </c>
    </row>
    <row r="2085" spans="1:4" x14ac:dyDescent="0.35">
      <c r="A2085" s="40" t="e">
        <f>IF(OR(_xlfn.XLOOKUP("",Assessment!H:H,Assessment!E:E)="yes"),"Yes","No")</f>
        <v>#N/A</v>
      </c>
      <c r="D2085" s="40" t="s">
        <v>9405</v>
      </c>
    </row>
    <row r="2086" spans="1:4" x14ac:dyDescent="0.35">
      <c r="A2086" s="40" t="e">
        <f>IF(OR(_xlfn.XLOOKUP("",Assessment!H:H,Assessment!E:E)="yes"),"Yes","No")</f>
        <v>#N/A</v>
      </c>
      <c r="D2086" s="40" t="s">
        <v>9405</v>
      </c>
    </row>
    <row r="2087" spans="1:4" x14ac:dyDescent="0.35">
      <c r="A2087" s="40" t="e">
        <f>IF(OR(_xlfn.XLOOKUP("",Assessment!H:H,Assessment!E:E)="yes"),"Yes","No")</f>
        <v>#N/A</v>
      </c>
      <c r="D2087" s="40" t="s">
        <v>9405</v>
      </c>
    </row>
    <row r="2088" spans="1:4" x14ac:dyDescent="0.35">
      <c r="A2088" s="40" t="e">
        <f>IF(OR(_xlfn.XLOOKUP("",Assessment!H:H,Assessment!E:E)="yes"),"Yes","No")</f>
        <v>#N/A</v>
      </c>
      <c r="D2088" s="40" t="s">
        <v>9405</v>
      </c>
    </row>
    <row r="2089" spans="1:4" x14ac:dyDescent="0.35">
      <c r="A2089" s="40" t="e">
        <f>IF(OR(_xlfn.XLOOKUP("",Assessment!H:H,Assessment!E:E)="yes"),"Yes","No")</f>
        <v>#N/A</v>
      </c>
      <c r="D2089" s="40" t="s">
        <v>9405</v>
      </c>
    </row>
    <row r="2090" spans="1:4" x14ac:dyDescent="0.35">
      <c r="A2090" s="40" t="e">
        <f>IF(OR(_xlfn.XLOOKUP("",Assessment!H:H,Assessment!E:E)="yes"),"Yes","No")</f>
        <v>#N/A</v>
      </c>
      <c r="D2090" s="40" t="s">
        <v>9405</v>
      </c>
    </row>
    <row r="2091" spans="1:4" x14ac:dyDescent="0.35">
      <c r="A2091" s="40" t="e">
        <f>IF(OR(_xlfn.XLOOKUP("",Assessment!H:H,Assessment!E:E)="yes"),"Yes","No")</f>
        <v>#N/A</v>
      </c>
      <c r="D2091" s="40" t="s">
        <v>9405</v>
      </c>
    </row>
    <row r="2092" spans="1:4" x14ac:dyDescent="0.35">
      <c r="A2092" s="40" t="e">
        <f>IF(OR(_xlfn.XLOOKUP("",Assessment!H:H,Assessment!E:E)="yes"),"Yes","No")</f>
        <v>#N/A</v>
      </c>
      <c r="D2092" s="40" t="s">
        <v>9405</v>
      </c>
    </row>
    <row r="2093" spans="1:4" x14ac:dyDescent="0.35">
      <c r="A2093" s="40" t="e">
        <f>IF(OR(_xlfn.XLOOKUP("",Assessment!H:H,Assessment!E:E)="yes"),"Yes","No")</f>
        <v>#N/A</v>
      </c>
      <c r="D2093" s="40" t="s">
        <v>9405</v>
      </c>
    </row>
    <row r="2094" spans="1:4" x14ac:dyDescent="0.35">
      <c r="A2094" s="40" t="e">
        <f>IF(OR(_xlfn.XLOOKUP("",Assessment!H:H,Assessment!E:E)="yes"),"Yes","No")</f>
        <v>#N/A</v>
      </c>
      <c r="D2094" s="40" t="s">
        <v>9405</v>
      </c>
    </row>
    <row r="2095" spans="1:4" x14ac:dyDescent="0.35">
      <c r="A2095" s="40" t="e">
        <f>IF(OR(_xlfn.XLOOKUP("",Assessment!H:H,Assessment!E:E)="yes"),"Yes","No")</f>
        <v>#N/A</v>
      </c>
      <c r="D2095" s="40" t="s">
        <v>9405</v>
      </c>
    </row>
    <row r="2096" spans="1:4" x14ac:dyDescent="0.35">
      <c r="A2096" s="40" t="e">
        <f>IF(OR(_xlfn.XLOOKUP("",Assessment!H:H,Assessment!E:E)="yes"),"Yes","No")</f>
        <v>#N/A</v>
      </c>
      <c r="D2096" s="40" t="s">
        <v>9405</v>
      </c>
    </row>
    <row r="2097" spans="1:4" x14ac:dyDescent="0.35">
      <c r="A2097" s="40" t="e">
        <f>IF(OR(_xlfn.XLOOKUP("",Assessment!H:H,Assessment!E:E)="yes"),"Yes","No")</f>
        <v>#N/A</v>
      </c>
      <c r="D2097" s="40" t="s">
        <v>9405</v>
      </c>
    </row>
    <row r="2098" spans="1:4" x14ac:dyDescent="0.35">
      <c r="A2098" s="40" t="e">
        <f>IF(OR(_xlfn.XLOOKUP("",Assessment!H:H,Assessment!E:E)="yes"),"Yes","No")</f>
        <v>#N/A</v>
      </c>
      <c r="D2098" s="40" t="s">
        <v>9405</v>
      </c>
    </row>
    <row r="2099" spans="1:4" x14ac:dyDescent="0.35">
      <c r="A2099" s="40" t="e">
        <f>IF(OR(_xlfn.XLOOKUP("",Assessment!H:H,Assessment!E:E)="yes"),"Yes","No")</f>
        <v>#N/A</v>
      </c>
      <c r="D2099" s="40" t="s">
        <v>9405</v>
      </c>
    </row>
    <row r="2100" spans="1:4" x14ac:dyDescent="0.35">
      <c r="A2100" s="40" t="e">
        <f>IF(OR(_xlfn.XLOOKUP("",Assessment!H:H,Assessment!E:E)="yes"),"Yes","No")</f>
        <v>#N/A</v>
      </c>
      <c r="D2100" s="40" t="s">
        <v>9405</v>
      </c>
    </row>
    <row r="2101" spans="1:4" x14ac:dyDescent="0.35">
      <c r="A2101" s="40" t="e">
        <f>IF(OR(_xlfn.XLOOKUP("",Assessment!H:H,Assessment!E:E)="yes"),"Yes","No")</f>
        <v>#N/A</v>
      </c>
      <c r="D2101" s="40" t="s">
        <v>9405</v>
      </c>
    </row>
    <row r="2102" spans="1:4" x14ac:dyDescent="0.35">
      <c r="A2102" s="40" t="e">
        <f>IF(OR(_xlfn.XLOOKUP("",Assessment!H:H,Assessment!E:E)="yes"),"Yes","No")</f>
        <v>#N/A</v>
      </c>
      <c r="D2102" s="40" t="s">
        <v>9405</v>
      </c>
    </row>
    <row r="2103" spans="1:4" x14ac:dyDescent="0.35">
      <c r="A2103" s="40" t="e">
        <f>IF(OR(_xlfn.XLOOKUP("",Assessment!H:H,Assessment!E:E)="yes"),"Yes","No")</f>
        <v>#N/A</v>
      </c>
      <c r="D2103" s="40" t="s">
        <v>9405</v>
      </c>
    </row>
    <row r="2104" spans="1:4" x14ac:dyDescent="0.35">
      <c r="A2104" s="40" t="e">
        <f>IF(OR(_xlfn.XLOOKUP("",Assessment!H:H,Assessment!E:E)="yes"),"Yes","No")</f>
        <v>#N/A</v>
      </c>
      <c r="D2104" s="40" t="s">
        <v>9405</v>
      </c>
    </row>
    <row r="2105" spans="1:4" x14ac:dyDescent="0.35">
      <c r="A2105" s="40" t="e">
        <f>IF(OR(_xlfn.XLOOKUP("",Assessment!H:H,Assessment!E:E)="yes"),"Yes","No")</f>
        <v>#N/A</v>
      </c>
      <c r="D2105" s="40" t="s">
        <v>9405</v>
      </c>
    </row>
    <row r="2106" spans="1:4" x14ac:dyDescent="0.35">
      <c r="A2106" s="40" t="e">
        <f>IF(OR(_xlfn.XLOOKUP("",Assessment!H:H,Assessment!E:E)="yes"),"Yes","No")</f>
        <v>#N/A</v>
      </c>
      <c r="D2106" s="40" t="s">
        <v>9405</v>
      </c>
    </row>
    <row r="2107" spans="1:4" x14ac:dyDescent="0.35">
      <c r="A2107" s="40" t="e">
        <f>IF(OR(_xlfn.XLOOKUP("",Assessment!H:H,Assessment!E:E)="yes"),"Yes","No")</f>
        <v>#N/A</v>
      </c>
      <c r="D2107" s="40" t="s">
        <v>9405</v>
      </c>
    </row>
    <row r="2108" spans="1:4" x14ac:dyDescent="0.35">
      <c r="A2108" s="40" t="e">
        <f>IF(OR(_xlfn.XLOOKUP("",Assessment!H:H,Assessment!E:E)="yes"),"Yes","No")</f>
        <v>#N/A</v>
      </c>
      <c r="D2108" s="40" t="s">
        <v>9405</v>
      </c>
    </row>
    <row r="2109" spans="1:4" x14ac:dyDescent="0.35">
      <c r="A2109" s="40" t="e">
        <f>IF(OR(_xlfn.XLOOKUP("",Assessment!H:H,Assessment!E:E)="yes"),"Yes","No")</f>
        <v>#N/A</v>
      </c>
      <c r="D2109" s="40" t="s">
        <v>9405</v>
      </c>
    </row>
    <row r="2110" spans="1:4" x14ac:dyDescent="0.35">
      <c r="A2110" s="40" t="e">
        <f>IF(OR(_xlfn.XLOOKUP("",Assessment!H:H,Assessment!E:E)="yes"),"Yes","No")</f>
        <v>#N/A</v>
      </c>
      <c r="D2110" s="40" t="s">
        <v>9405</v>
      </c>
    </row>
    <row r="2111" spans="1:4" x14ac:dyDescent="0.35">
      <c r="A2111" s="40" t="e">
        <f>IF(OR(_xlfn.XLOOKUP("",Assessment!H:H,Assessment!E:E)="yes"),"Yes","No")</f>
        <v>#N/A</v>
      </c>
      <c r="D2111" s="40" t="s">
        <v>9405</v>
      </c>
    </row>
    <row r="2112" spans="1:4" x14ac:dyDescent="0.35">
      <c r="A2112" s="40" t="e">
        <f>IF(OR(_xlfn.XLOOKUP("",Assessment!H:H,Assessment!E:E)="yes"),"Yes","No")</f>
        <v>#N/A</v>
      </c>
      <c r="D2112" s="40" t="s">
        <v>9405</v>
      </c>
    </row>
    <row r="2113" spans="1:4" x14ac:dyDescent="0.35">
      <c r="A2113" s="40" t="e">
        <f>IF(OR(_xlfn.XLOOKUP("",Assessment!H:H,Assessment!E:E)="yes"),"Yes","No")</f>
        <v>#N/A</v>
      </c>
      <c r="D2113" s="40" t="s">
        <v>9405</v>
      </c>
    </row>
    <row r="2114" spans="1:4" x14ac:dyDescent="0.35">
      <c r="A2114" s="40" t="e">
        <f>IF(OR(_xlfn.XLOOKUP("",Assessment!H:H,Assessment!E:E)="yes"),"Yes","No")</f>
        <v>#N/A</v>
      </c>
      <c r="D2114" s="40" t="s">
        <v>9405</v>
      </c>
    </row>
    <row r="2115" spans="1:4" x14ac:dyDescent="0.35">
      <c r="A2115" s="40" t="e">
        <f>IF(OR(_xlfn.XLOOKUP("",Assessment!H:H,Assessment!E:E)="yes"),"Yes","No")</f>
        <v>#N/A</v>
      </c>
      <c r="D2115" s="40" t="s">
        <v>9405</v>
      </c>
    </row>
    <row r="2116" spans="1:4" x14ac:dyDescent="0.35">
      <c r="A2116" s="40" t="e">
        <f>IF(OR(_xlfn.XLOOKUP("",Assessment!H:H,Assessment!E:E)="yes"),"Yes","No")</f>
        <v>#N/A</v>
      </c>
      <c r="D2116" s="40" t="s">
        <v>9405</v>
      </c>
    </row>
    <row r="2117" spans="1:4" x14ac:dyDescent="0.35">
      <c r="A2117" s="40" t="e">
        <f>IF(OR(_xlfn.XLOOKUP("",Assessment!H:H,Assessment!E:E)="yes"),"Yes","No")</f>
        <v>#N/A</v>
      </c>
      <c r="D2117" s="40" t="s">
        <v>9405</v>
      </c>
    </row>
    <row r="2118" spans="1:4" x14ac:dyDescent="0.35">
      <c r="A2118" s="40" t="e">
        <f>IF(OR(_xlfn.XLOOKUP("",Assessment!H:H,Assessment!E:E)="yes"),"Yes","No")</f>
        <v>#N/A</v>
      </c>
      <c r="D2118" s="40" t="s">
        <v>9405</v>
      </c>
    </row>
    <row r="2119" spans="1:4" x14ac:dyDescent="0.35">
      <c r="A2119" s="40" t="e">
        <f>IF(OR(_xlfn.XLOOKUP("",Assessment!H:H,Assessment!E:E)="yes"),"Yes","No")</f>
        <v>#N/A</v>
      </c>
      <c r="D2119" s="40" t="s">
        <v>9405</v>
      </c>
    </row>
    <row r="2120" spans="1:4" x14ac:dyDescent="0.35">
      <c r="A2120" s="40" t="e">
        <f>IF(OR(_xlfn.XLOOKUP("",Assessment!H:H,Assessment!E:E)="yes"),"Yes","No")</f>
        <v>#N/A</v>
      </c>
      <c r="D2120" s="40" t="s">
        <v>9405</v>
      </c>
    </row>
    <row r="2121" spans="1:4" x14ac:dyDescent="0.35">
      <c r="A2121" s="40" t="e">
        <f>IF(OR(_xlfn.XLOOKUP("",Assessment!H:H,Assessment!E:E)="yes"),"Yes","No")</f>
        <v>#N/A</v>
      </c>
      <c r="D2121" s="40" t="s">
        <v>9405</v>
      </c>
    </row>
    <row r="2122" spans="1:4" x14ac:dyDescent="0.35">
      <c r="A2122" s="40" t="e">
        <f>IF(OR(_xlfn.XLOOKUP("",Assessment!H:H,Assessment!E:E)="yes"),"Yes","No")</f>
        <v>#N/A</v>
      </c>
      <c r="D2122" s="40" t="s">
        <v>9405</v>
      </c>
    </row>
    <row r="2123" spans="1:4" x14ac:dyDescent="0.35">
      <c r="A2123" s="40" t="e">
        <f>IF(OR(_xlfn.XLOOKUP("",Assessment!H:H,Assessment!E:E)="yes"),"Yes","No")</f>
        <v>#N/A</v>
      </c>
      <c r="D2123" s="40" t="s">
        <v>9405</v>
      </c>
    </row>
    <row r="2124" spans="1:4" x14ac:dyDescent="0.35">
      <c r="A2124" s="40" t="e">
        <f>IF(OR(_xlfn.XLOOKUP("",Assessment!H:H,Assessment!E:E)="yes"),"Yes","No")</f>
        <v>#N/A</v>
      </c>
      <c r="D2124" s="40" t="s">
        <v>9405</v>
      </c>
    </row>
    <row r="2125" spans="1:4" x14ac:dyDescent="0.35">
      <c r="A2125" s="40" t="e">
        <f>IF(OR(_xlfn.XLOOKUP("",Assessment!H:H,Assessment!E:E)="yes"),"Yes","No")</f>
        <v>#N/A</v>
      </c>
      <c r="D2125" s="40" t="s">
        <v>9405</v>
      </c>
    </row>
    <row r="2126" spans="1:4" x14ac:dyDescent="0.35">
      <c r="A2126" s="40" t="e">
        <f>IF(OR(_xlfn.XLOOKUP("",Assessment!H:H,Assessment!E:E)="yes"),"Yes","No")</f>
        <v>#N/A</v>
      </c>
      <c r="D2126" s="40" t="s">
        <v>9405</v>
      </c>
    </row>
    <row r="2127" spans="1:4" x14ac:dyDescent="0.35">
      <c r="A2127" s="40" t="e">
        <f>IF(OR(_xlfn.XLOOKUP("",Assessment!H:H,Assessment!E:E)="yes"),"Yes","No")</f>
        <v>#N/A</v>
      </c>
      <c r="D2127" s="40" t="s">
        <v>9405</v>
      </c>
    </row>
    <row r="2128" spans="1:4" x14ac:dyDescent="0.35">
      <c r="A2128" s="40" t="e">
        <f>IF(OR(_xlfn.XLOOKUP("",Assessment!H:H,Assessment!E:E)="yes"),"Yes","No")</f>
        <v>#N/A</v>
      </c>
      <c r="D2128" s="40" t="s">
        <v>9405</v>
      </c>
    </row>
    <row r="2129" spans="1:4" x14ac:dyDescent="0.35">
      <c r="A2129" s="40" t="e">
        <f>IF(OR(_xlfn.XLOOKUP("",Assessment!H:H,Assessment!E:E)="yes"),"Yes","No")</f>
        <v>#N/A</v>
      </c>
      <c r="D2129" s="40" t="s">
        <v>9405</v>
      </c>
    </row>
    <row r="2130" spans="1:4" x14ac:dyDescent="0.35">
      <c r="A2130" s="40" t="e">
        <f>IF(OR(_xlfn.XLOOKUP("",Assessment!H:H,Assessment!E:E)="yes"),"Yes","No")</f>
        <v>#N/A</v>
      </c>
      <c r="D2130" s="40" t="s">
        <v>9405</v>
      </c>
    </row>
    <row r="2131" spans="1:4" x14ac:dyDescent="0.35">
      <c r="A2131" s="40" t="e">
        <f>IF(OR(_xlfn.XLOOKUP("",Assessment!H:H,Assessment!E:E)="yes"),"Yes","No")</f>
        <v>#N/A</v>
      </c>
      <c r="D2131" s="40" t="s">
        <v>9405</v>
      </c>
    </row>
    <row r="2132" spans="1:4" x14ac:dyDescent="0.35">
      <c r="A2132" s="40" t="e">
        <f>IF(OR(_xlfn.XLOOKUP("",Assessment!H:H,Assessment!E:E)="yes"),"Yes","No")</f>
        <v>#N/A</v>
      </c>
      <c r="D2132" s="40" t="s">
        <v>9405</v>
      </c>
    </row>
    <row r="2133" spans="1:4" x14ac:dyDescent="0.35">
      <c r="A2133" s="40" t="e">
        <f>IF(OR(_xlfn.XLOOKUP("",Assessment!H:H,Assessment!E:E)="yes"),"Yes","No")</f>
        <v>#N/A</v>
      </c>
      <c r="D2133" s="40" t="s">
        <v>9405</v>
      </c>
    </row>
    <row r="2134" spans="1:4" x14ac:dyDescent="0.35">
      <c r="A2134" s="40" t="e">
        <f>IF(OR(_xlfn.XLOOKUP("",Assessment!H:H,Assessment!E:E)="yes"),"Yes","No")</f>
        <v>#N/A</v>
      </c>
      <c r="D2134" s="40" t="s">
        <v>9405</v>
      </c>
    </row>
    <row r="2135" spans="1:4" x14ac:dyDescent="0.35">
      <c r="A2135" s="40" t="e">
        <f>IF(OR(_xlfn.XLOOKUP("",Assessment!H:H,Assessment!E:E)="yes"),"Yes","No")</f>
        <v>#N/A</v>
      </c>
      <c r="D2135" s="40" t="s">
        <v>9405</v>
      </c>
    </row>
    <row r="2136" spans="1:4" x14ac:dyDescent="0.35">
      <c r="A2136" s="40" t="e">
        <f>IF(OR(_xlfn.XLOOKUP("",Assessment!H:H,Assessment!E:E)="yes"),"Yes","No")</f>
        <v>#N/A</v>
      </c>
      <c r="D2136" s="40" t="s">
        <v>9405</v>
      </c>
    </row>
    <row r="2137" spans="1:4" x14ac:dyDescent="0.35">
      <c r="A2137" s="40" t="e">
        <f>IF(OR(_xlfn.XLOOKUP("",Assessment!H:H,Assessment!E:E)="yes"),"Yes","No")</f>
        <v>#N/A</v>
      </c>
      <c r="D2137" s="40" t="s">
        <v>9405</v>
      </c>
    </row>
    <row r="2138" spans="1:4" x14ac:dyDescent="0.35">
      <c r="A2138" s="40" t="e">
        <f>IF(OR(_xlfn.XLOOKUP("",Assessment!H:H,Assessment!E:E)="yes"),"Yes","No")</f>
        <v>#N/A</v>
      </c>
      <c r="D2138" s="40" t="s">
        <v>9405</v>
      </c>
    </row>
    <row r="2139" spans="1:4" x14ac:dyDescent="0.35">
      <c r="A2139" s="40" t="e">
        <f>IF(OR(_xlfn.XLOOKUP("",Assessment!H:H,Assessment!E:E)="yes"),"Yes","No")</f>
        <v>#N/A</v>
      </c>
      <c r="D2139" s="40" t="s">
        <v>9405</v>
      </c>
    </row>
    <row r="2140" spans="1:4" x14ac:dyDescent="0.35">
      <c r="A2140" s="40" t="e">
        <f>IF(OR(_xlfn.XLOOKUP("",Assessment!H:H,Assessment!E:E)="yes"),"Yes","No")</f>
        <v>#N/A</v>
      </c>
      <c r="D2140" s="40" t="s">
        <v>9405</v>
      </c>
    </row>
    <row r="2141" spans="1:4" x14ac:dyDescent="0.35">
      <c r="A2141" s="40" t="e">
        <f>IF(OR(_xlfn.XLOOKUP("",Assessment!H:H,Assessment!E:E)="yes"),"Yes","No")</f>
        <v>#N/A</v>
      </c>
      <c r="D2141" s="40" t="s">
        <v>9405</v>
      </c>
    </row>
    <row r="2142" spans="1:4" x14ac:dyDescent="0.35">
      <c r="A2142" s="40" t="e">
        <f>IF(OR(_xlfn.XLOOKUP("",Assessment!H:H,Assessment!E:E)="yes"),"Yes","No")</f>
        <v>#N/A</v>
      </c>
      <c r="D2142" s="40" t="s">
        <v>9405</v>
      </c>
    </row>
    <row r="2143" spans="1:4" x14ac:dyDescent="0.35">
      <c r="A2143" s="40" t="e">
        <f>IF(OR(_xlfn.XLOOKUP("",Assessment!H:H,Assessment!E:E)="yes"),"Yes","No")</f>
        <v>#N/A</v>
      </c>
      <c r="D2143" s="40" t="s">
        <v>9405</v>
      </c>
    </row>
    <row r="2144" spans="1:4" x14ac:dyDescent="0.35">
      <c r="A2144" s="40" t="e">
        <f>IF(OR(_xlfn.XLOOKUP("",Assessment!H:H,Assessment!E:E)="yes"),"Yes","No")</f>
        <v>#N/A</v>
      </c>
      <c r="D2144" s="40" t="s">
        <v>9405</v>
      </c>
    </row>
    <row r="2145" spans="1:4" x14ac:dyDescent="0.35">
      <c r="A2145" s="40" t="e">
        <f>IF(OR(_xlfn.XLOOKUP("",Assessment!H:H,Assessment!E:E)="yes"),"Yes","No")</f>
        <v>#N/A</v>
      </c>
      <c r="D2145" s="40" t="s">
        <v>9405</v>
      </c>
    </row>
    <row r="2146" spans="1:4" x14ac:dyDescent="0.35">
      <c r="A2146" s="40" t="e">
        <f>IF(OR(_xlfn.XLOOKUP("",Assessment!H:H,Assessment!E:E)="yes"),"Yes","No")</f>
        <v>#N/A</v>
      </c>
      <c r="D2146" s="40" t="s">
        <v>9405</v>
      </c>
    </row>
    <row r="2147" spans="1:4" x14ac:dyDescent="0.35">
      <c r="A2147" s="40" t="e">
        <f>IF(OR(_xlfn.XLOOKUP("",Assessment!H:H,Assessment!E:E)="yes"),"Yes","No")</f>
        <v>#N/A</v>
      </c>
      <c r="D2147" s="40" t="s">
        <v>9405</v>
      </c>
    </row>
    <row r="2148" spans="1:4" x14ac:dyDescent="0.35">
      <c r="A2148" s="40" t="e">
        <f>IF(OR(_xlfn.XLOOKUP("",Assessment!H:H,Assessment!E:E)="yes"),"Yes","No")</f>
        <v>#N/A</v>
      </c>
      <c r="D2148" s="40" t="s">
        <v>9405</v>
      </c>
    </row>
    <row r="2149" spans="1:4" x14ac:dyDescent="0.35">
      <c r="A2149" s="40" t="e">
        <f>IF(OR(_xlfn.XLOOKUP("",Assessment!H:H,Assessment!E:E)="yes"),"Yes","No")</f>
        <v>#N/A</v>
      </c>
      <c r="D2149" s="40" t="s">
        <v>9405</v>
      </c>
    </row>
    <row r="2150" spans="1:4" x14ac:dyDescent="0.35">
      <c r="A2150" s="40" t="e">
        <f>IF(OR(_xlfn.XLOOKUP("",Assessment!H:H,Assessment!E:E)="yes"),"Yes","No")</f>
        <v>#N/A</v>
      </c>
      <c r="D2150" s="40" t="s">
        <v>9405</v>
      </c>
    </row>
    <row r="2151" spans="1:4" x14ac:dyDescent="0.35">
      <c r="A2151" s="40" t="e">
        <f>IF(OR(_xlfn.XLOOKUP("",Assessment!H:H,Assessment!E:E)="yes"),"Yes","No")</f>
        <v>#N/A</v>
      </c>
      <c r="D2151" s="40" t="s">
        <v>9405</v>
      </c>
    </row>
    <row r="2152" spans="1:4" x14ac:dyDescent="0.35">
      <c r="A2152" s="40" t="e">
        <f>IF(OR(_xlfn.XLOOKUP("",Assessment!H:H,Assessment!E:E)="yes"),"Yes","No")</f>
        <v>#N/A</v>
      </c>
      <c r="D2152" s="40" t="s">
        <v>9405</v>
      </c>
    </row>
    <row r="2153" spans="1:4" x14ac:dyDescent="0.35">
      <c r="A2153" s="40" t="e">
        <f>IF(OR(_xlfn.XLOOKUP("",Assessment!H:H,Assessment!E:E)="yes"),"Yes","No")</f>
        <v>#N/A</v>
      </c>
      <c r="D2153" s="40" t="s">
        <v>9405</v>
      </c>
    </row>
    <row r="2154" spans="1:4" x14ac:dyDescent="0.35">
      <c r="A2154" s="40" t="e">
        <f>IF(OR(_xlfn.XLOOKUP("",Assessment!H:H,Assessment!E:E)="yes"),"Yes","No")</f>
        <v>#N/A</v>
      </c>
      <c r="D2154" s="40" t="s">
        <v>9405</v>
      </c>
    </row>
    <row r="2155" spans="1:4" x14ac:dyDescent="0.35">
      <c r="A2155" s="40" t="e">
        <f>IF(OR(_xlfn.XLOOKUP("",Assessment!H:H,Assessment!E:E)="yes"),"Yes","No")</f>
        <v>#N/A</v>
      </c>
      <c r="D2155" s="40" t="s">
        <v>9405</v>
      </c>
    </row>
    <row r="2156" spans="1:4" x14ac:dyDescent="0.35">
      <c r="A2156" s="40" t="e">
        <f>IF(OR(_xlfn.XLOOKUP("",Assessment!H:H,Assessment!E:E)="yes"),"Yes","No")</f>
        <v>#N/A</v>
      </c>
      <c r="D2156" s="40" t="s">
        <v>9405</v>
      </c>
    </row>
    <row r="2157" spans="1:4" x14ac:dyDescent="0.35">
      <c r="A2157" s="40" t="e">
        <f>IF(OR(_xlfn.XLOOKUP("",Assessment!H:H,Assessment!E:E)="yes"),"Yes","No")</f>
        <v>#N/A</v>
      </c>
      <c r="D2157" s="40" t="s">
        <v>9405</v>
      </c>
    </row>
    <row r="2158" spans="1:4" x14ac:dyDescent="0.35">
      <c r="A2158" s="40" t="e">
        <f>IF(OR(_xlfn.XLOOKUP("",Assessment!H:H,Assessment!E:E)="yes"),"Yes","No")</f>
        <v>#N/A</v>
      </c>
      <c r="D2158" s="40" t="s">
        <v>9405</v>
      </c>
    </row>
    <row r="2159" spans="1:4" x14ac:dyDescent="0.35">
      <c r="A2159" s="40" t="e">
        <f>IF(OR(_xlfn.XLOOKUP("",Assessment!H:H,Assessment!E:E)="yes"),"Yes","No")</f>
        <v>#N/A</v>
      </c>
      <c r="D2159" s="40" t="s">
        <v>9405</v>
      </c>
    </row>
    <row r="2160" spans="1:4" x14ac:dyDescent="0.35">
      <c r="A2160" s="40" t="e">
        <f>IF(OR(_xlfn.XLOOKUP("",Assessment!H:H,Assessment!E:E)="yes"),"Yes","No")</f>
        <v>#N/A</v>
      </c>
      <c r="D2160" s="40" t="s">
        <v>9405</v>
      </c>
    </row>
    <row r="2161" spans="1:4" x14ac:dyDescent="0.35">
      <c r="A2161" s="40" t="e">
        <f>IF(OR(_xlfn.XLOOKUP("",Assessment!H:H,Assessment!E:E)="yes"),"Yes","No")</f>
        <v>#N/A</v>
      </c>
      <c r="D2161" s="40" t="s">
        <v>9405</v>
      </c>
    </row>
    <row r="2162" spans="1:4" x14ac:dyDescent="0.35">
      <c r="A2162" s="40" t="e">
        <f>IF(OR(_xlfn.XLOOKUP("",Assessment!H:H,Assessment!E:E)="yes"),"Yes","No")</f>
        <v>#N/A</v>
      </c>
      <c r="D2162" s="40" t="s">
        <v>9405</v>
      </c>
    </row>
    <row r="2163" spans="1:4" x14ac:dyDescent="0.35">
      <c r="A2163" s="40" t="e">
        <f>IF(OR(_xlfn.XLOOKUP("",Assessment!H:H,Assessment!E:E)="yes"),"Yes","No")</f>
        <v>#N/A</v>
      </c>
      <c r="D2163" s="40" t="s">
        <v>9405</v>
      </c>
    </row>
    <row r="2164" spans="1:4" x14ac:dyDescent="0.35">
      <c r="A2164" s="40" t="e">
        <f>IF(OR(_xlfn.XLOOKUP("",Assessment!H:H,Assessment!E:E)="yes"),"Yes","No")</f>
        <v>#N/A</v>
      </c>
      <c r="D2164" s="40" t="s">
        <v>9405</v>
      </c>
    </row>
    <row r="2165" spans="1:4" x14ac:dyDescent="0.35">
      <c r="A2165" s="40" t="e">
        <f>IF(OR(_xlfn.XLOOKUP("",Assessment!H:H,Assessment!E:E)="yes"),"Yes","No")</f>
        <v>#N/A</v>
      </c>
      <c r="D2165" s="40" t="s">
        <v>9405</v>
      </c>
    </row>
    <row r="2166" spans="1:4" x14ac:dyDescent="0.35">
      <c r="A2166" s="40" t="e">
        <f>IF(OR(_xlfn.XLOOKUP("",Assessment!H:H,Assessment!E:E)="yes"),"Yes","No")</f>
        <v>#N/A</v>
      </c>
      <c r="D2166" s="40" t="s">
        <v>9405</v>
      </c>
    </row>
    <row r="2167" spans="1:4" x14ac:dyDescent="0.35">
      <c r="A2167" s="40" t="e">
        <f>IF(OR(_xlfn.XLOOKUP("",Assessment!H:H,Assessment!E:E)="yes"),"Yes","No")</f>
        <v>#N/A</v>
      </c>
      <c r="D2167" s="40" t="s">
        <v>9405</v>
      </c>
    </row>
    <row r="2168" spans="1:4" x14ac:dyDescent="0.35">
      <c r="A2168" s="40" t="e">
        <f>IF(OR(_xlfn.XLOOKUP("",Assessment!H:H,Assessment!E:E)="yes"),"Yes","No")</f>
        <v>#N/A</v>
      </c>
      <c r="D2168" s="40" t="s">
        <v>9405</v>
      </c>
    </row>
    <row r="2169" spans="1:4" x14ac:dyDescent="0.35">
      <c r="A2169" s="40" t="e">
        <f>IF(OR(_xlfn.XLOOKUP("",Assessment!H:H,Assessment!E:E)="yes"),"Yes","No")</f>
        <v>#N/A</v>
      </c>
      <c r="D2169" s="40" t="s">
        <v>9405</v>
      </c>
    </row>
    <row r="2170" spans="1:4" x14ac:dyDescent="0.35">
      <c r="A2170" s="40" t="e">
        <f>IF(OR(_xlfn.XLOOKUP("",Assessment!H:H,Assessment!E:E)="yes"),"Yes","No")</f>
        <v>#N/A</v>
      </c>
      <c r="D2170" s="40" t="s">
        <v>9405</v>
      </c>
    </row>
    <row r="2171" spans="1:4" x14ac:dyDescent="0.35">
      <c r="A2171" s="40" t="e">
        <f>IF(OR(_xlfn.XLOOKUP("",Assessment!H:H,Assessment!E:E)="yes"),"Yes","No")</f>
        <v>#N/A</v>
      </c>
      <c r="D2171" s="40" t="s">
        <v>9405</v>
      </c>
    </row>
    <row r="2172" spans="1:4" x14ac:dyDescent="0.35">
      <c r="A2172" s="40" t="e">
        <f>IF(OR(_xlfn.XLOOKUP("",Assessment!H:H,Assessment!E:E)="yes"),"Yes","No")</f>
        <v>#N/A</v>
      </c>
      <c r="D2172" s="40" t="s">
        <v>9405</v>
      </c>
    </row>
    <row r="2173" spans="1:4" x14ac:dyDescent="0.35">
      <c r="A2173" s="40" t="e">
        <f>IF(OR(_xlfn.XLOOKUP("",Assessment!H:H,Assessment!E:E)="yes"),"Yes","No")</f>
        <v>#N/A</v>
      </c>
      <c r="D2173" s="40" t="s">
        <v>9405</v>
      </c>
    </row>
    <row r="2174" spans="1:4" x14ac:dyDescent="0.35">
      <c r="A2174" s="40" t="e">
        <f>IF(OR(_xlfn.XLOOKUP("",Assessment!H:H,Assessment!E:E)="yes"),"Yes","No")</f>
        <v>#N/A</v>
      </c>
      <c r="D2174" s="40" t="s">
        <v>9405</v>
      </c>
    </row>
    <row r="2175" spans="1:4" x14ac:dyDescent="0.35">
      <c r="A2175" s="40" t="e">
        <f>IF(OR(_xlfn.XLOOKUP("",Assessment!H:H,Assessment!E:E)="yes"),"Yes","No")</f>
        <v>#N/A</v>
      </c>
      <c r="D2175" s="40" t="s">
        <v>9405</v>
      </c>
    </row>
    <row r="2176" spans="1:4" x14ac:dyDescent="0.35">
      <c r="A2176" s="40" t="e">
        <f>IF(OR(_xlfn.XLOOKUP("",Assessment!H:H,Assessment!E:E)="yes"),"Yes","No")</f>
        <v>#N/A</v>
      </c>
      <c r="D2176" s="40" t="s">
        <v>9405</v>
      </c>
    </row>
    <row r="2177" spans="1:4" x14ac:dyDescent="0.35">
      <c r="A2177" s="40" t="e">
        <f>IF(OR(_xlfn.XLOOKUP("",Assessment!H:H,Assessment!E:E)="yes"),"Yes","No")</f>
        <v>#N/A</v>
      </c>
      <c r="D2177" s="40" t="s">
        <v>9405</v>
      </c>
    </row>
    <row r="2178" spans="1:4" x14ac:dyDescent="0.35">
      <c r="A2178" s="40" t="e">
        <f>IF(OR(_xlfn.XLOOKUP("",Assessment!H:H,Assessment!E:E)="yes"),"Yes","No")</f>
        <v>#N/A</v>
      </c>
      <c r="D2178" s="40" t="s">
        <v>9405</v>
      </c>
    </row>
    <row r="2179" spans="1:4" x14ac:dyDescent="0.35">
      <c r="A2179" s="40" t="e">
        <f>IF(OR(_xlfn.XLOOKUP("",Assessment!H:H,Assessment!E:E)="yes"),"Yes","No")</f>
        <v>#N/A</v>
      </c>
      <c r="D2179" s="40" t="s">
        <v>9405</v>
      </c>
    </row>
    <row r="2180" spans="1:4" x14ac:dyDescent="0.35">
      <c r="A2180" s="40" t="e">
        <f>IF(OR(_xlfn.XLOOKUP("",Assessment!H:H,Assessment!E:E)="yes"),"Yes","No")</f>
        <v>#N/A</v>
      </c>
      <c r="D2180" s="40" t="s">
        <v>9405</v>
      </c>
    </row>
    <row r="2181" spans="1:4" x14ac:dyDescent="0.35">
      <c r="A2181" s="40" t="e">
        <f>IF(OR(_xlfn.XLOOKUP("",Assessment!H:H,Assessment!E:E)="yes"),"Yes","No")</f>
        <v>#N/A</v>
      </c>
      <c r="D2181" s="40" t="s">
        <v>9405</v>
      </c>
    </row>
    <row r="2182" spans="1:4" x14ac:dyDescent="0.35">
      <c r="A2182" s="40" t="e">
        <f>IF(OR(_xlfn.XLOOKUP("",Assessment!H:H,Assessment!E:E)="yes"),"Yes","No")</f>
        <v>#N/A</v>
      </c>
      <c r="D2182" s="40" t="s">
        <v>9405</v>
      </c>
    </row>
    <row r="2183" spans="1:4" x14ac:dyDescent="0.35">
      <c r="A2183" s="40" t="e">
        <f>IF(OR(_xlfn.XLOOKUP("",Assessment!H:H,Assessment!E:E)="yes"),"Yes","No")</f>
        <v>#N/A</v>
      </c>
      <c r="D2183" s="40" t="s">
        <v>9405</v>
      </c>
    </row>
    <row r="2184" spans="1:4" x14ac:dyDescent="0.35">
      <c r="A2184" s="40" t="e">
        <f>IF(OR(_xlfn.XLOOKUP("",Assessment!H:H,Assessment!E:E)="yes"),"Yes","No")</f>
        <v>#N/A</v>
      </c>
      <c r="D2184" s="40" t="s">
        <v>9405</v>
      </c>
    </row>
    <row r="2185" spans="1:4" x14ac:dyDescent="0.35">
      <c r="A2185" s="40" t="e">
        <f>IF(OR(_xlfn.XLOOKUP("",Assessment!H:H,Assessment!E:E)="yes"),"Yes","No")</f>
        <v>#N/A</v>
      </c>
      <c r="D2185" s="40" t="s">
        <v>9405</v>
      </c>
    </row>
    <row r="2186" spans="1:4" x14ac:dyDescent="0.35">
      <c r="A2186" s="40" t="e">
        <f>IF(OR(_xlfn.XLOOKUP("",Assessment!H:H,Assessment!E:E)="yes"),"Yes","No")</f>
        <v>#N/A</v>
      </c>
      <c r="D2186" s="40" t="s">
        <v>9405</v>
      </c>
    </row>
    <row r="2187" spans="1:4" x14ac:dyDescent="0.35">
      <c r="A2187" s="40" t="e">
        <f>IF(OR(_xlfn.XLOOKUP("",Assessment!H:H,Assessment!E:E)="yes"),"Yes","No")</f>
        <v>#N/A</v>
      </c>
      <c r="D2187" s="40" t="s">
        <v>9405</v>
      </c>
    </row>
    <row r="2188" spans="1:4" x14ac:dyDescent="0.35">
      <c r="A2188" s="40" t="e">
        <f>IF(OR(_xlfn.XLOOKUP("",Assessment!H:H,Assessment!E:E)="yes"),"Yes","No")</f>
        <v>#N/A</v>
      </c>
      <c r="D2188" s="40" t="s">
        <v>9405</v>
      </c>
    </row>
    <row r="2189" spans="1:4" x14ac:dyDescent="0.35">
      <c r="A2189" s="40" t="e">
        <f>IF(OR(_xlfn.XLOOKUP("",Assessment!H:H,Assessment!E:E)="yes"),"Yes","No")</f>
        <v>#N/A</v>
      </c>
      <c r="D2189" s="40" t="s">
        <v>9405</v>
      </c>
    </row>
    <row r="2190" spans="1:4" x14ac:dyDescent="0.35">
      <c r="A2190" s="40" t="e">
        <f>IF(OR(_xlfn.XLOOKUP("",Assessment!H:H,Assessment!E:E)="yes"),"Yes","No")</f>
        <v>#N/A</v>
      </c>
      <c r="D2190" s="40" t="s">
        <v>9405</v>
      </c>
    </row>
    <row r="2191" spans="1:4" x14ac:dyDescent="0.35">
      <c r="A2191" s="40" t="e">
        <f>IF(OR(_xlfn.XLOOKUP("",Assessment!H:H,Assessment!E:E)="yes"),"Yes","No")</f>
        <v>#N/A</v>
      </c>
      <c r="D2191" s="40" t="s">
        <v>9405</v>
      </c>
    </row>
    <row r="2192" spans="1:4" x14ac:dyDescent="0.35">
      <c r="A2192" s="40" t="e">
        <f>IF(OR(_xlfn.XLOOKUP("",Assessment!H:H,Assessment!E:E)="yes"),"Yes","No")</f>
        <v>#N/A</v>
      </c>
      <c r="D2192" s="40" t="s">
        <v>9405</v>
      </c>
    </row>
    <row r="2193" spans="1:4" x14ac:dyDescent="0.35">
      <c r="A2193" s="40" t="e">
        <f>IF(OR(_xlfn.XLOOKUP("",Assessment!H:H,Assessment!E:E)="yes"),"Yes","No")</f>
        <v>#N/A</v>
      </c>
      <c r="D2193" s="40" t="s">
        <v>9405</v>
      </c>
    </row>
    <row r="2194" spans="1:4" x14ac:dyDescent="0.35">
      <c r="A2194" s="40" t="e">
        <f>IF(OR(_xlfn.XLOOKUP("",Assessment!H:H,Assessment!E:E)="yes"),"Yes","No")</f>
        <v>#N/A</v>
      </c>
      <c r="D2194" s="40" t="s">
        <v>9405</v>
      </c>
    </row>
    <row r="2195" spans="1:4" x14ac:dyDescent="0.35">
      <c r="A2195" s="40" t="e">
        <f>IF(OR(_xlfn.XLOOKUP("",Assessment!H:H,Assessment!E:E)="yes"),"Yes","No")</f>
        <v>#N/A</v>
      </c>
      <c r="D2195" s="40" t="s">
        <v>9405</v>
      </c>
    </row>
    <row r="2196" spans="1:4" x14ac:dyDescent="0.35">
      <c r="A2196" s="40" t="e">
        <f>IF(OR(_xlfn.XLOOKUP("",Assessment!H:H,Assessment!E:E)="yes"),"Yes","No")</f>
        <v>#N/A</v>
      </c>
      <c r="D2196" s="40" t="s">
        <v>9405</v>
      </c>
    </row>
    <row r="2197" spans="1:4" x14ac:dyDescent="0.35">
      <c r="A2197" s="40" t="e">
        <f>IF(OR(_xlfn.XLOOKUP("",Assessment!H:H,Assessment!E:E)="yes"),"Yes","No")</f>
        <v>#N/A</v>
      </c>
      <c r="D2197" s="40" t="s">
        <v>9405</v>
      </c>
    </row>
    <row r="2198" spans="1:4" x14ac:dyDescent="0.35">
      <c r="A2198" s="40" t="e">
        <f>IF(OR(_xlfn.XLOOKUP("",Assessment!H:H,Assessment!E:E)="yes"),"Yes","No")</f>
        <v>#N/A</v>
      </c>
      <c r="D2198" s="40" t="s">
        <v>9405</v>
      </c>
    </row>
    <row r="2199" spans="1:4" x14ac:dyDescent="0.35">
      <c r="A2199" s="40" t="e">
        <f>IF(OR(_xlfn.XLOOKUP("",Assessment!H:H,Assessment!E:E)="yes"),"Yes","No")</f>
        <v>#N/A</v>
      </c>
      <c r="D2199" s="40" t="s">
        <v>9405</v>
      </c>
    </row>
    <row r="2200" spans="1:4" x14ac:dyDescent="0.35">
      <c r="A2200" s="40" t="e">
        <f>IF(OR(_xlfn.XLOOKUP("",Assessment!H:H,Assessment!E:E)="yes"),"Yes","No")</f>
        <v>#N/A</v>
      </c>
      <c r="D2200" s="40" t="s">
        <v>9405</v>
      </c>
    </row>
    <row r="2201" spans="1:4" x14ac:dyDescent="0.35">
      <c r="A2201" s="40" t="e">
        <f>IF(OR(_xlfn.XLOOKUP("",Assessment!H:H,Assessment!E:E)="yes"),"Yes","No")</f>
        <v>#N/A</v>
      </c>
      <c r="D2201" s="40" t="s">
        <v>9405</v>
      </c>
    </row>
    <row r="2202" spans="1:4" x14ac:dyDescent="0.35">
      <c r="A2202" s="40" t="e">
        <f>IF(OR(_xlfn.XLOOKUP("",Assessment!H:H,Assessment!E:E)="yes"),"Yes","No")</f>
        <v>#N/A</v>
      </c>
      <c r="D2202" s="40" t="s">
        <v>9405</v>
      </c>
    </row>
    <row r="2203" spans="1:4" x14ac:dyDescent="0.35">
      <c r="A2203" s="40" t="e">
        <f>IF(OR(_xlfn.XLOOKUP("",Assessment!H:H,Assessment!E:E)="yes"),"Yes","No")</f>
        <v>#N/A</v>
      </c>
      <c r="D2203" s="40" t="s">
        <v>9405</v>
      </c>
    </row>
    <row r="2204" spans="1:4" x14ac:dyDescent="0.35">
      <c r="A2204" s="40" t="e">
        <f>IF(OR(_xlfn.XLOOKUP("",Assessment!H:H,Assessment!E:E)="yes"),"Yes","No")</f>
        <v>#N/A</v>
      </c>
      <c r="D2204" s="40" t="s">
        <v>9405</v>
      </c>
    </row>
    <row r="2205" spans="1:4" x14ac:dyDescent="0.35">
      <c r="A2205" s="40" t="e">
        <f>IF(OR(_xlfn.XLOOKUP("",Assessment!H:H,Assessment!E:E)="yes"),"Yes","No")</f>
        <v>#N/A</v>
      </c>
      <c r="D2205" s="40" t="s">
        <v>9405</v>
      </c>
    </row>
    <row r="2206" spans="1:4" x14ac:dyDescent="0.35">
      <c r="A2206" s="40" t="e">
        <f>IF(OR(_xlfn.XLOOKUP("",Assessment!H:H,Assessment!E:E)="yes"),"Yes","No")</f>
        <v>#N/A</v>
      </c>
      <c r="D2206" s="40" t="s">
        <v>9405</v>
      </c>
    </row>
    <row r="2207" spans="1:4" x14ac:dyDescent="0.35">
      <c r="A2207" s="40" t="e">
        <f>IF(OR(_xlfn.XLOOKUP("",Assessment!H:H,Assessment!E:E)="yes"),"Yes","No")</f>
        <v>#N/A</v>
      </c>
      <c r="D2207" s="40" t="s">
        <v>9405</v>
      </c>
    </row>
    <row r="2208" spans="1:4" x14ac:dyDescent="0.35">
      <c r="A2208" s="40" t="e">
        <f>IF(OR(_xlfn.XLOOKUP("",Assessment!H:H,Assessment!E:E)="yes"),"Yes","No")</f>
        <v>#N/A</v>
      </c>
      <c r="D2208" s="40" t="s">
        <v>9405</v>
      </c>
    </row>
    <row r="2209" spans="1:4" x14ac:dyDescent="0.35">
      <c r="A2209" s="40" t="e">
        <f>IF(OR(_xlfn.XLOOKUP("",Assessment!H:H,Assessment!E:E)="yes"),"Yes","No")</f>
        <v>#N/A</v>
      </c>
      <c r="D2209" s="40" t="s">
        <v>9405</v>
      </c>
    </row>
    <row r="2210" spans="1:4" x14ac:dyDescent="0.35">
      <c r="A2210" s="40" t="e">
        <f>IF(OR(_xlfn.XLOOKUP("",Assessment!H:H,Assessment!E:E)="yes"),"Yes","No")</f>
        <v>#N/A</v>
      </c>
      <c r="D2210" s="40" t="s">
        <v>9405</v>
      </c>
    </row>
    <row r="2211" spans="1:4" x14ac:dyDescent="0.35">
      <c r="A2211" s="40" t="e">
        <f>IF(OR(_xlfn.XLOOKUP("",Assessment!H:H,Assessment!E:E)="yes"),"Yes","No")</f>
        <v>#N/A</v>
      </c>
      <c r="D2211" s="40" t="s">
        <v>9405</v>
      </c>
    </row>
    <row r="2212" spans="1:4" x14ac:dyDescent="0.35">
      <c r="A2212" s="40" t="e">
        <f>IF(OR(_xlfn.XLOOKUP("",Assessment!H:H,Assessment!E:E)="yes"),"Yes","No")</f>
        <v>#N/A</v>
      </c>
      <c r="D2212" s="40" t="s">
        <v>9405</v>
      </c>
    </row>
    <row r="2213" spans="1:4" x14ac:dyDescent="0.35">
      <c r="A2213" s="40" t="e">
        <f>IF(OR(_xlfn.XLOOKUP("",Assessment!H:H,Assessment!E:E)="yes"),"Yes","No")</f>
        <v>#N/A</v>
      </c>
      <c r="D2213" s="40" t="s">
        <v>9405</v>
      </c>
    </row>
    <row r="2214" spans="1:4" x14ac:dyDescent="0.35">
      <c r="A2214" s="40" t="e">
        <f>IF(OR(_xlfn.XLOOKUP("",Assessment!H:H,Assessment!E:E)="yes"),"Yes","No")</f>
        <v>#N/A</v>
      </c>
      <c r="D2214" s="40" t="s">
        <v>9405</v>
      </c>
    </row>
    <row r="2215" spans="1:4" x14ac:dyDescent="0.35">
      <c r="A2215" s="40" t="e">
        <f>IF(OR(_xlfn.XLOOKUP("",Assessment!H:H,Assessment!E:E)="yes"),"Yes","No")</f>
        <v>#N/A</v>
      </c>
      <c r="D2215" s="40" t="s">
        <v>9405</v>
      </c>
    </row>
    <row r="2216" spans="1:4" x14ac:dyDescent="0.35">
      <c r="A2216" s="40" t="e">
        <f>IF(OR(_xlfn.XLOOKUP("",Assessment!H:H,Assessment!E:E)="yes"),"Yes","No")</f>
        <v>#N/A</v>
      </c>
      <c r="D2216" s="40" t="s">
        <v>9405</v>
      </c>
    </row>
    <row r="2217" spans="1:4" x14ac:dyDescent="0.35">
      <c r="A2217" s="40" t="e">
        <f>IF(OR(_xlfn.XLOOKUP("",Assessment!H:H,Assessment!E:E)="yes"),"Yes","No")</f>
        <v>#N/A</v>
      </c>
      <c r="D2217" s="40" t="s">
        <v>9405</v>
      </c>
    </row>
    <row r="2218" spans="1:4" x14ac:dyDescent="0.35">
      <c r="A2218" s="40" t="e">
        <f>IF(OR(_xlfn.XLOOKUP("",Assessment!H:H,Assessment!E:E)="yes"),"Yes","No")</f>
        <v>#N/A</v>
      </c>
      <c r="D2218" s="40" t="s">
        <v>9405</v>
      </c>
    </row>
    <row r="2219" spans="1:4" x14ac:dyDescent="0.35">
      <c r="A2219" s="40" t="e">
        <f>IF(OR(_xlfn.XLOOKUP("",Assessment!H:H,Assessment!E:E)="yes"),"Yes","No")</f>
        <v>#N/A</v>
      </c>
      <c r="D2219" s="40" t="s">
        <v>9405</v>
      </c>
    </row>
    <row r="2220" spans="1:4" x14ac:dyDescent="0.35">
      <c r="A2220" s="40" t="e">
        <f>IF(OR(_xlfn.XLOOKUP("",Assessment!H:H,Assessment!E:E)="yes"),"Yes","No")</f>
        <v>#N/A</v>
      </c>
      <c r="D2220" s="40" t="s">
        <v>9405</v>
      </c>
    </row>
    <row r="2221" spans="1:4" x14ac:dyDescent="0.35">
      <c r="A2221" s="40" t="e">
        <f>IF(OR(_xlfn.XLOOKUP("",Assessment!H:H,Assessment!E:E)="yes"),"Yes","No")</f>
        <v>#N/A</v>
      </c>
      <c r="D2221" s="40" t="s">
        <v>9405</v>
      </c>
    </row>
    <row r="2222" spans="1:4" x14ac:dyDescent="0.35">
      <c r="A2222" s="40" t="e">
        <f>IF(OR(_xlfn.XLOOKUP("",Assessment!H:H,Assessment!E:E)="yes"),"Yes","No")</f>
        <v>#N/A</v>
      </c>
      <c r="D2222" s="40" t="s">
        <v>9405</v>
      </c>
    </row>
    <row r="2223" spans="1:4" x14ac:dyDescent="0.35">
      <c r="A2223" s="40" t="e">
        <f>IF(OR(_xlfn.XLOOKUP("",Assessment!H:H,Assessment!E:E)="yes"),"Yes","No")</f>
        <v>#N/A</v>
      </c>
      <c r="D2223" s="40" t="s">
        <v>9405</v>
      </c>
    </row>
    <row r="2224" spans="1:4" x14ac:dyDescent="0.35">
      <c r="A2224" s="40" t="e">
        <f>IF(OR(_xlfn.XLOOKUP("",Assessment!H:H,Assessment!E:E)="yes"),"Yes","No")</f>
        <v>#N/A</v>
      </c>
      <c r="D2224" s="40" t="s">
        <v>9405</v>
      </c>
    </row>
    <row r="2225" spans="1:4" x14ac:dyDescent="0.35">
      <c r="A2225" s="40" t="e">
        <f>IF(OR(_xlfn.XLOOKUP("",Assessment!H:H,Assessment!E:E)="yes"),"Yes","No")</f>
        <v>#N/A</v>
      </c>
      <c r="D2225" s="40" t="s">
        <v>9405</v>
      </c>
    </row>
    <row r="2226" spans="1:4" x14ac:dyDescent="0.35">
      <c r="A2226" s="40" t="e">
        <f>IF(OR(_xlfn.XLOOKUP("",Assessment!H:H,Assessment!E:E)="yes"),"Yes","No")</f>
        <v>#N/A</v>
      </c>
      <c r="D2226" s="40" t="s">
        <v>9405</v>
      </c>
    </row>
    <row r="2227" spans="1:4" x14ac:dyDescent="0.35">
      <c r="A2227" s="40" t="e">
        <f>IF(OR(_xlfn.XLOOKUP("",Assessment!H:H,Assessment!E:E)="yes"),"Yes","No")</f>
        <v>#N/A</v>
      </c>
      <c r="D2227" s="40" t="s">
        <v>9405</v>
      </c>
    </row>
    <row r="2228" spans="1:4" x14ac:dyDescent="0.35">
      <c r="A2228" s="40" t="e">
        <f>IF(OR(_xlfn.XLOOKUP("",Assessment!H:H,Assessment!E:E)="yes"),"Yes","No")</f>
        <v>#N/A</v>
      </c>
      <c r="D2228" s="40" t="s">
        <v>9405</v>
      </c>
    </row>
    <row r="2229" spans="1:4" x14ac:dyDescent="0.35">
      <c r="A2229" s="40" t="e">
        <f>IF(OR(_xlfn.XLOOKUP("",Assessment!H:H,Assessment!E:E)="yes"),"Yes","No")</f>
        <v>#N/A</v>
      </c>
      <c r="D2229" s="40" t="s">
        <v>9405</v>
      </c>
    </row>
    <row r="2230" spans="1:4" x14ac:dyDescent="0.35">
      <c r="A2230" s="40" t="e">
        <f>IF(OR(_xlfn.XLOOKUP("",Assessment!H:H,Assessment!E:E)="yes"),"Yes","No")</f>
        <v>#N/A</v>
      </c>
      <c r="D2230" s="40" t="s">
        <v>9405</v>
      </c>
    </row>
    <row r="2231" spans="1:4" x14ac:dyDescent="0.35">
      <c r="A2231" s="40" t="e">
        <f>IF(OR(_xlfn.XLOOKUP("",Assessment!H:H,Assessment!E:E)="yes"),"Yes","No")</f>
        <v>#N/A</v>
      </c>
      <c r="D2231" s="40" t="s">
        <v>9405</v>
      </c>
    </row>
    <row r="2232" spans="1:4" x14ac:dyDescent="0.35">
      <c r="A2232" s="40" t="e">
        <f>IF(OR(_xlfn.XLOOKUP("",Assessment!H:H,Assessment!E:E)="yes"),"Yes","No")</f>
        <v>#N/A</v>
      </c>
      <c r="D2232" s="40" t="s">
        <v>9405</v>
      </c>
    </row>
    <row r="2233" spans="1:4" x14ac:dyDescent="0.35">
      <c r="A2233" s="40" t="e">
        <f>IF(OR(_xlfn.XLOOKUP("",Assessment!H:H,Assessment!E:E)="yes"),"Yes","No")</f>
        <v>#N/A</v>
      </c>
      <c r="D2233" s="40" t="s">
        <v>9405</v>
      </c>
    </row>
    <row r="2234" spans="1:4" x14ac:dyDescent="0.35">
      <c r="A2234" s="40" t="e">
        <f>IF(OR(_xlfn.XLOOKUP("",Assessment!H:H,Assessment!E:E)="yes"),"Yes","No")</f>
        <v>#N/A</v>
      </c>
      <c r="D2234" s="40" t="s">
        <v>9405</v>
      </c>
    </row>
    <row r="2235" spans="1:4" x14ac:dyDescent="0.35">
      <c r="A2235" s="40" t="e">
        <f>IF(OR(_xlfn.XLOOKUP("",Assessment!H:H,Assessment!E:E)="yes"),"Yes","No")</f>
        <v>#N/A</v>
      </c>
      <c r="D2235" s="40" t="s">
        <v>9405</v>
      </c>
    </row>
    <row r="2236" spans="1:4" x14ac:dyDescent="0.35">
      <c r="A2236" s="40" t="e">
        <f>IF(OR(_xlfn.XLOOKUP("",Assessment!H:H,Assessment!E:E)="yes"),"Yes","No")</f>
        <v>#N/A</v>
      </c>
      <c r="D2236" s="40" t="s">
        <v>9405</v>
      </c>
    </row>
    <row r="2237" spans="1:4" x14ac:dyDescent="0.35">
      <c r="A2237" s="40" t="e">
        <f>IF(OR(_xlfn.XLOOKUP("",Assessment!H:H,Assessment!E:E)="yes"),"Yes","No")</f>
        <v>#N/A</v>
      </c>
      <c r="D2237" s="40" t="s">
        <v>9405</v>
      </c>
    </row>
    <row r="2238" spans="1:4" x14ac:dyDescent="0.35">
      <c r="A2238" s="40" t="e">
        <f>IF(OR(_xlfn.XLOOKUP("",Assessment!H:H,Assessment!E:E)="yes"),"Yes","No")</f>
        <v>#N/A</v>
      </c>
      <c r="D2238" s="40" t="s">
        <v>9405</v>
      </c>
    </row>
    <row r="2239" spans="1:4" x14ac:dyDescent="0.35">
      <c r="A2239" s="40" t="e">
        <f>IF(OR(_xlfn.XLOOKUP("",Assessment!H:H,Assessment!E:E)="yes"),"Yes","No")</f>
        <v>#N/A</v>
      </c>
      <c r="D2239" s="40" t="s">
        <v>9405</v>
      </c>
    </row>
    <row r="2240" spans="1:4" x14ac:dyDescent="0.35">
      <c r="A2240" s="40" t="e">
        <f>IF(OR(_xlfn.XLOOKUP("",Assessment!H:H,Assessment!E:E)="yes"),"Yes","No")</f>
        <v>#N/A</v>
      </c>
      <c r="D2240" s="40" t="s">
        <v>9405</v>
      </c>
    </row>
    <row r="2241" spans="1:4" x14ac:dyDescent="0.35">
      <c r="A2241" s="40" t="e">
        <f>IF(OR(_xlfn.XLOOKUP("",Assessment!H:H,Assessment!E:E)="yes"),"Yes","No")</f>
        <v>#N/A</v>
      </c>
      <c r="D2241" s="40" t="s">
        <v>9405</v>
      </c>
    </row>
    <row r="2242" spans="1:4" x14ac:dyDescent="0.35">
      <c r="A2242" s="40" t="e">
        <f>IF(OR(_xlfn.XLOOKUP("",Assessment!H:H,Assessment!E:E)="yes"),"Yes","No")</f>
        <v>#N/A</v>
      </c>
      <c r="D2242" s="40" t="s">
        <v>9405</v>
      </c>
    </row>
    <row r="2243" spans="1:4" x14ac:dyDescent="0.35">
      <c r="A2243" s="40" t="e">
        <f>IF(OR(_xlfn.XLOOKUP("",Assessment!H:H,Assessment!E:E)="yes"),"Yes","No")</f>
        <v>#N/A</v>
      </c>
      <c r="D2243" s="40" t="s">
        <v>9405</v>
      </c>
    </row>
    <row r="2244" spans="1:4" x14ac:dyDescent="0.35">
      <c r="A2244" s="40" t="e">
        <f>IF(OR(_xlfn.XLOOKUP("",Assessment!H:H,Assessment!E:E)="yes"),"Yes","No")</f>
        <v>#N/A</v>
      </c>
      <c r="D2244" s="40" t="s">
        <v>9405</v>
      </c>
    </row>
    <row r="2245" spans="1:4" x14ac:dyDescent="0.35">
      <c r="A2245" s="40" t="e">
        <f>IF(OR(_xlfn.XLOOKUP("",Assessment!H:H,Assessment!E:E)="yes"),"Yes","No")</f>
        <v>#N/A</v>
      </c>
      <c r="D2245" s="40" t="s">
        <v>9405</v>
      </c>
    </row>
    <row r="2246" spans="1:4" x14ac:dyDescent="0.35">
      <c r="A2246" s="40" t="e">
        <f>IF(OR(_xlfn.XLOOKUP("",Assessment!H:H,Assessment!E:E)="yes"),"Yes","No")</f>
        <v>#N/A</v>
      </c>
      <c r="D2246" s="40" t="s">
        <v>9405</v>
      </c>
    </row>
    <row r="2247" spans="1:4" x14ac:dyDescent="0.35">
      <c r="A2247" s="40" t="e">
        <f>IF(OR(_xlfn.XLOOKUP("",Assessment!H:H,Assessment!E:E)="yes"),"Yes","No")</f>
        <v>#N/A</v>
      </c>
      <c r="D2247" s="40" t="s">
        <v>9405</v>
      </c>
    </row>
    <row r="2248" spans="1:4" x14ac:dyDescent="0.35">
      <c r="A2248" s="40" t="e">
        <f>IF(OR(_xlfn.XLOOKUP("",Assessment!H:H,Assessment!E:E)="yes"),"Yes","No")</f>
        <v>#N/A</v>
      </c>
      <c r="D2248" s="40" t="s">
        <v>9405</v>
      </c>
    </row>
    <row r="2249" spans="1:4" x14ac:dyDescent="0.35">
      <c r="A2249" s="40" t="e">
        <f>IF(OR(_xlfn.XLOOKUP("",Assessment!H:H,Assessment!E:E)="yes"),"Yes","No")</f>
        <v>#N/A</v>
      </c>
      <c r="D2249" s="40" t="s">
        <v>9405</v>
      </c>
    </row>
    <row r="2250" spans="1:4" x14ac:dyDescent="0.35">
      <c r="A2250" s="40" t="e">
        <f>IF(OR(_xlfn.XLOOKUP("",Assessment!H:H,Assessment!E:E)="yes"),"Yes","No")</f>
        <v>#N/A</v>
      </c>
      <c r="D2250" s="40" t="s">
        <v>9405</v>
      </c>
    </row>
    <row r="2251" spans="1:4" x14ac:dyDescent="0.35">
      <c r="A2251" s="40" t="e">
        <f>IF(OR(_xlfn.XLOOKUP("",Assessment!H:H,Assessment!E:E)="yes"),"Yes","No")</f>
        <v>#N/A</v>
      </c>
      <c r="D2251" s="40" t="s">
        <v>9405</v>
      </c>
    </row>
    <row r="2252" spans="1:4" x14ac:dyDescent="0.35">
      <c r="A2252" s="40" t="e">
        <f>IF(OR(_xlfn.XLOOKUP("",Assessment!H:H,Assessment!E:E)="yes"),"Yes","No")</f>
        <v>#N/A</v>
      </c>
      <c r="D2252" s="40" t="s">
        <v>9405</v>
      </c>
    </row>
    <row r="2253" spans="1:4" x14ac:dyDescent="0.35">
      <c r="A2253" s="40" t="e">
        <f>IF(OR(_xlfn.XLOOKUP("",Assessment!H:H,Assessment!E:E)="yes"),"Yes","No")</f>
        <v>#N/A</v>
      </c>
      <c r="D2253" s="40" t="s">
        <v>9405</v>
      </c>
    </row>
    <row r="2254" spans="1:4" x14ac:dyDescent="0.35">
      <c r="A2254" s="40" t="e">
        <f>IF(OR(_xlfn.XLOOKUP("",Assessment!H:H,Assessment!E:E)="yes"),"Yes","No")</f>
        <v>#N/A</v>
      </c>
      <c r="D2254" s="40" t="s">
        <v>9405</v>
      </c>
    </row>
    <row r="2255" spans="1:4" x14ac:dyDescent="0.35">
      <c r="A2255" s="40" t="e">
        <f>IF(OR(_xlfn.XLOOKUP("",Assessment!H:H,Assessment!E:E)="yes"),"Yes","No")</f>
        <v>#N/A</v>
      </c>
      <c r="D2255" s="40" t="s">
        <v>9405</v>
      </c>
    </row>
    <row r="2256" spans="1:4" x14ac:dyDescent="0.35">
      <c r="A2256" s="40" t="e">
        <f>IF(OR(_xlfn.XLOOKUP("",Assessment!H:H,Assessment!E:E)="yes"),"Yes","No")</f>
        <v>#N/A</v>
      </c>
      <c r="D2256" s="40" t="s">
        <v>9405</v>
      </c>
    </row>
    <row r="2257" spans="1:4" x14ac:dyDescent="0.35">
      <c r="A2257" s="40" t="e">
        <f>IF(OR(_xlfn.XLOOKUP("",Assessment!H:H,Assessment!E:E)="yes"),"Yes","No")</f>
        <v>#N/A</v>
      </c>
      <c r="D2257" s="40" t="s">
        <v>9405</v>
      </c>
    </row>
    <row r="2258" spans="1:4" x14ac:dyDescent="0.35">
      <c r="A2258" s="40" t="e">
        <f>IF(OR(_xlfn.XLOOKUP("",Assessment!H:H,Assessment!E:E)="yes"),"Yes","No")</f>
        <v>#N/A</v>
      </c>
      <c r="D2258" s="40" t="s">
        <v>9405</v>
      </c>
    </row>
    <row r="2259" spans="1:4" x14ac:dyDescent="0.35">
      <c r="A2259" s="40" t="e">
        <f>IF(OR(_xlfn.XLOOKUP("",Assessment!H:H,Assessment!E:E)="yes"),"Yes","No")</f>
        <v>#N/A</v>
      </c>
      <c r="D2259" s="40" t="s">
        <v>9405</v>
      </c>
    </row>
    <row r="2260" spans="1:4" x14ac:dyDescent="0.35">
      <c r="A2260" s="40" t="e">
        <f>IF(OR(_xlfn.XLOOKUP("",Assessment!H:H,Assessment!E:E)="yes"),"Yes","No")</f>
        <v>#N/A</v>
      </c>
      <c r="D2260" s="40" t="s">
        <v>9405</v>
      </c>
    </row>
    <row r="2261" spans="1:4" x14ac:dyDescent="0.35">
      <c r="A2261" s="40" t="e">
        <f>IF(OR(_xlfn.XLOOKUP("",Assessment!H:H,Assessment!E:E)="yes"),"Yes","No")</f>
        <v>#N/A</v>
      </c>
      <c r="D2261" s="40" t="s">
        <v>9405</v>
      </c>
    </row>
    <row r="2262" spans="1:4" x14ac:dyDescent="0.35">
      <c r="A2262" s="40" t="e">
        <f>IF(OR(_xlfn.XLOOKUP("",Assessment!H:H,Assessment!E:E)="yes"),"Yes","No")</f>
        <v>#N/A</v>
      </c>
      <c r="D2262" s="40" t="s">
        <v>9405</v>
      </c>
    </row>
    <row r="2263" spans="1:4" x14ac:dyDescent="0.35">
      <c r="A2263" s="40" t="e">
        <f>IF(OR(_xlfn.XLOOKUP("",Assessment!H:H,Assessment!E:E)="yes"),"Yes","No")</f>
        <v>#N/A</v>
      </c>
      <c r="D2263" s="40" t="s">
        <v>9405</v>
      </c>
    </row>
    <row r="2264" spans="1:4" x14ac:dyDescent="0.35">
      <c r="A2264" s="40" t="e">
        <f>IF(OR(_xlfn.XLOOKUP("",Assessment!H:H,Assessment!E:E)="yes"),"Yes","No")</f>
        <v>#N/A</v>
      </c>
      <c r="D2264" s="40" t="s">
        <v>9405</v>
      </c>
    </row>
    <row r="2265" spans="1:4" x14ac:dyDescent="0.35">
      <c r="A2265" s="40" t="e">
        <f>IF(OR(_xlfn.XLOOKUP("",Assessment!H:H,Assessment!E:E)="yes"),"Yes","No")</f>
        <v>#N/A</v>
      </c>
      <c r="D2265" s="40" t="s">
        <v>9405</v>
      </c>
    </row>
    <row r="2266" spans="1:4" x14ac:dyDescent="0.35">
      <c r="A2266" s="40" t="e">
        <f>IF(OR(_xlfn.XLOOKUP("",Assessment!H:H,Assessment!E:E)="yes"),"Yes","No")</f>
        <v>#N/A</v>
      </c>
      <c r="D2266" s="40" t="s">
        <v>9405</v>
      </c>
    </row>
    <row r="2267" spans="1:4" x14ac:dyDescent="0.35">
      <c r="A2267" s="40" t="e">
        <f>IF(OR(_xlfn.XLOOKUP("",Assessment!H:H,Assessment!E:E)="yes"),"Yes","No")</f>
        <v>#N/A</v>
      </c>
      <c r="D2267" s="40" t="s">
        <v>9405</v>
      </c>
    </row>
    <row r="2268" spans="1:4" x14ac:dyDescent="0.35">
      <c r="A2268" s="40" t="e">
        <f>IF(OR(_xlfn.XLOOKUP("",Assessment!H:H,Assessment!E:E)="yes"),"Yes","No")</f>
        <v>#N/A</v>
      </c>
      <c r="D2268" s="40" t="s">
        <v>9405</v>
      </c>
    </row>
    <row r="2269" spans="1:4" x14ac:dyDescent="0.35">
      <c r="A2269" s="40" t="e">
        <f>IF(OR(_xlfn.XLOOKUP("",Assessment!H:H,Assessment!E:E)="yes"),"Yes","No")</f>
        <v>#N/A</v>
      </c>
      <c r="D2269" s="40" t="s">
        <v>9405</v>
      </c>
    </row>
    <row r="2270" spans="1:4" x14ac:dyDescent="0.35">
      <c r="A2270" s="40" t="e">
        <f>IF(OR(_xlfn.XLOOKUP("",Assessment!H:H,Assessment!E:E)="yes"),"Yes","No")</f>
        <v>#N/A</v>
      </c>
      <c r="D2270" s="40" t="s">
        <v>9405</v>
      </c>
    </row>
    <row r="2271" spans="1:4" x14ac:dyDescent="0.35">
      <c r="A2271" s="40" t="e">
        <f>IF(OR(_xlfn.XLOOKUP("",Assessment!H:H,Assessment!E:E)="yes"),"Yes","No")</f>
        <v>#N/A</v>
      </c>
      <c r="D2271" s="40" t="s">
        <v>9405</v>
      </c>
    </row>
    <row r="2272" spans="1:4" x14ac:dyDescent="0.35">
      <c r="A2272" s="40" t="e">
        <f>IF(OR(_xlfn.XLOOKUP("",Assessment!H:H,Assessment!E:E)="yes"),"Yes","No")</f>
        <v>#N/A</v>
      </c>
      <c r="D2272" s="40" t="s">
        <v>9405</v>
      </c>
    </row>
    <row r="2273" spans="1:4" x14ac:dyDescent="0.35">
      <c r="A2273" s="40" t="e">
        <f>IF(OR(_xlfn.XLOOKUP("",Assessment!H:H,Assessment!E:E)="yes"),"Yes","No")</f>
        <v>#N/A</v>
      </c>
      <c r="D2273" s="40" t="s">
        <v>9405</v>
      </c>
    </row>
    <row r="2274" spans="1:4" x14ac:dyDescent="0.35">
      <c r="A2274" s="40" t="e">
        <f>IF(OR(_xlfn.XLOOKUP("",Assessment!H:H,Assessment!E:E)="yes"),"Yes","No")</f>
        <v>#N/A</v>
      </c>
      <c r="D2274" s="40" t="s">
        <v>9405</v>
      </c>
    </row>
    <row r="2275" spans="1:4" x14ac:dyDescent="0.35">
      <c r="A2275" s="40" t="e">
        <f>IF(OR(_xlfn.XLOOKUP("",Assessment!H:H,Assessment!E:E)="yes"),"Yes","No")</f>
        <v>#N/A</v>
      </c>
      <c r="D2275" s="40" t="s">
        <v>9405</v>
      </c>
    </row>
    <row r="2276" spans="1:4" x14ac:dyDescent="0.35">
      <c r="A2276" s="40" t="e">
        <f>IF(OR(_xlfn.XLOOKUP("",Assessment!H:H,Assessment!E:E)="yes"),"Yes","No")</f>
        <v>#N/A</v>
      </c>
      <c r="D2276" s="40" t="s">
        <v>9405</v>
      </c>
    </row>
    <row r="2277" spans="1:4" x14ac:dyDescent="0.35">
      <c r="A2277" s="40" t="e">
        <f>IF(OR(_xlfn.XLOOKUP("",Assessment!H:H,Assessment!E:E)="yes"),"Yes","No")</f>
        <v>#N/A</v>
      </c>
      <c r="D2277" s="40" t="s">
        <v>9405</v>
      </c>
    </row>
    <row r="2278" spans="1:4" x14ac:dyDescent="0.35">
      <c r="A2278" s="40" t="e">
        <f>IF(OR(_xlfn.XLOOKUP("",Assessment!H:H,Assessment!E:E)="yes"),"Yes","No")</f>
        <v>#N/A</v>
      </c>
      <c r="D2278" s="40" t="s">
        <v>9405</v>
      </c>
    </row>
    <row r="2279" spans="1:4" x14ac:dyDescent="0.35">
      <c r="A2279" s="40" t="e">
        <f>IF(OR(_xlfn.XLOOKUP("",Assessment!H:H,Assessment!E:E)="yes"),"Yes","No")</f>
        <v>#N/A</v>
      </c>
      <c r="D2279" s="40" t="s">
        <v>9405</v>
      </c>
    </row>
    <row r="2280" spans="1:4" x14ac:dyDescent="0.35">
      <c r="A2280" s="40" t="e">
        <f>IF(OR(_xlfn.XLOOKUP("",Assessment!H:H,Assessment!E:E)="yes"),"Yes","No")</f>
        <v>#N/A</v>
      </c>
      <c r="D2280" s="40" t="s">
        <v>9405</v>
      </c>
    </row>
    <row r="2281" spans="1:4" x14ac:dyDescent="0.35">
      <c r="A2281" s="40" t="e">
        <f>IF(OR(_xlfn.XLOOKUP("",Assessment!H:H,Assessment!E:E)="yes"),"Yes","No")</f>
        <v>#N/A</v>
      </c>
      <c r="D2281" s="40" t="s">
        <v>9405</v>
      </c>
    </row>
    <row r="2282" spans="1:4" x14ac:dyDescent="0.35">
      <c r="A2282" s="40" t="e">
        <f>IF(OR(_xlfn.XLOOKUP("",Assessment!H:H,Assessment!E:E)="yes"),"Yes","No")</f>
        <v>#N/A</v>
      </c>
      <c r="D2282" s="40" t="s">
        <v>9405</v>
      </c>
    </row>
    <row r="2283" spans="1:4" x14ac:dyDescent="0.35">
      <c r="A2283" s="40" t="e">
        <f>IF(OR(_xlfn.XLOOKUP("",Assessment!H:H,Assessment!E:E)="yes"),"Yes","No")</f>
        <v>#N/A</v>
      </c>
      <c r="D2283" s="40" t="s">
        <v>9405</v>
      </c>
    </row>
    <row r="2284" spans="1:4" x14ac:dyDescent="0.35">
      <c r="A2284" s="40" t="e">
        <f>IF(OR(_xlfn.XLOOKUP("",Assessment!H:H,Assessment!E:E)="yes"),"Yes","No")</f>
        <v>#N/A</v>
      </c>
      <c r="D2284" s="40" t="s">
        <v>9405</v>
      </c>
    </row>
    <row r="2285" spans="1:4" x14ac:dyDescent="0.35">
      <c r="A2285" s="40" t="e">
        <f>IF(OR(_xlfn.XLOOKUP("",Assessment!H:H,Assessment!E:E)="yes"),"Yes","No")</f>
        <v>#N/A</v>
      </c>
      <c r="D2285" s="40" t="s">
        <v>9405</v>
      </c>
    </row>
    <row r="2286" spans="1:4" x14ac:dyDescent="0.35">
      <c r="A2286" s="40" t="e">
        <f>IF(OR(_xlfn.XLOOKUP("",Assessment!H:H,Assessment!E:E)="yes"),"Yes","No")</f>
        <v>#N/A</v>
      </c>
      <c r="D2286" s="40" t="s">
        <v>9405</v>
      </c>
    </row>
    <row r="2287" spans="1:4" x14ac:dyDescent="0.35">
      <c r="A2287" s="40" t="e">
        <f>IF(OR(_xlfn.XLOOKUP("",Assessment!H:H,Assessment!E:E)="yes"),"Yes","No")</f>
        <v>#N/A</v>
      </c>
      <c r="D2287" s="40" t="s">
        <v>9405</v>
      </c>
    </row>
    <row r="2288" spans="1:4" x14ac:dyDescent="0.35">
      <c r="A2288" s="40" t="e">
        <f>IF(OR(_xlfn.XLOOKUP("",Assessment!H:H,Assessment!E:E)="yes"),"Yes","No")</f>
        <v>#N/A</v>
      </c>
      <c r="D2288" s="40" t="s">
        <v>9405</v>
      </c>
    </row>
    <row r="2289" spans="1:4" x14ac:dyDescent="0.35">
      <c r="A2289" s="40" t="e">
        <f>IF(OR(_xlfn.XLOOKUP("",Assessment!H:H,Assessment!E:E)="yes"),"Yes","No")</f>
        <v>#N/A</v>
      </c>
      <c r="D2289" s="40" t="s">
        <v>9405</v>
      </c>
    </row>
    <row r="2290" spans="1:4" x14ac:dyDescent="0.35">
      <c r="A2290" s="40" t="e">
        <f>IF(OR(_xlfn.XLOOKUP("",Assessment!H:H,Assessment!E:E)="yes"),"Yes","No")</f>
        <v>#N/A</v>
      </c>
      <c r="D2290" s="40" t="s">
        <v>9405</v>
      </c>
    </row>
    <row r="2291" spans="1:4" x14ac:dyDescent="0.35">
      <c r="A2291" s="40" t="e">
        <f>IF(OR(_xlfn.XLOOKUP("",Assessment!H:H,Assessment!E:E)="yes"),"Yes","No")</f>
        <v>#N/A</v>
      </c>
      <c r="D2291" s="40" t="s">
        <v>9405</v>
      </c>
    </row>
    <row r="2292" spans="1:4" x14ac:dyDescent="0.35">
      <c r="A2292" s="40" t="e">
        <f>IF(OR(_xlfn.XLOOKUP("",Assessment!H:H,Assessment!E:E)="yes"),"Yes","No")</f>
        <v>#N/A</v>
      </c>
      <c r="D2292" s="40" t="s">
        <v>9405</v>
      </c>
    </row>
    <row r="2293" spans="1:4" x14ac:dyDescent="0.35">
      <c r="A2293" s="40" t="e">
        <f>IF(OR(_xlfn.XLOOKUP("",Assessment!H:H,Assessment!E:E)="yes"),"Yes","No")</f>
        <v>#N/A</v>
      </c>
      <c r="D2293" s="40" t="s">
        <v>9405</v>
      </c>
    </row>
    <row r="2294" spans="1:4" x14ac:dyDescent="0.35">
      <c r="A2294" s="40" t="e">
        <f>IF(OR(_xlfn.XLOOKUP("",Assessment!H:H,Assessment!E:E)="yes"),"Yes","No")</f>
        <v>#N/A</v>
      </c>
      <c r="D2294" s="40" t="s">
        <v>9405</v>
      </c>
    </row>
    <row r="2295" spans="1:4" x14ac:dyDescent="0.35">
      <c r="A2295" s="40" t="e">
        <f>IF(OR(_xlfn.XLOOKUP("",Assessment!H:H,Assessment!E:E)="yes"),"Yes","No")</f>
        <v>#N/A</v>
      </c>
      <c r="D2295" s="40" t="s">
        <v>9405</v>
      </c>
    </row>
    <row r="2296" spans="1:4" x14ac:dyDescent="0.35">
      <c r="A2296" s="40" t="e">
        <f>IF(OR(_xlfn.XLOOKUP("",Assessment!H:H,Assessment!E:E)="yes"),"Yes","No")</f>
        <v>#N/A</v>
      </c>
      <c r="D2296" s="40" t="s">
        <v>9405</v>
      </c>
    </row>
    <row r="2297" spans="1:4" x14ac:dyDescent="0.35">
      <c r="A2297" s="40" t="e">
        <f>IF(OR(_xlfn.XLOOKUP("",Assessment!H:H,Assessment!E:E)="yes"),"Yes","No")</f>
        <v>#N/A</v>
      </c>
      <c r="D2297" s="40" t="s">
        <v>9405</v>
      </c>
    </row>
    <row r="2298" spans="1:4" x14ac:dyDescent="0.35">
      <c r="A2298" s="40" t="e">
        <f>IF(OR(_xlfn.XLOOKUP("",Assessment!H:H,Assessment!E:E)="yes"),"Yes","No")</f>
        <v>#N/A</v>
      </c>
      <c r="D2298" s="40" t="s">
        <v>9405</v>
      </c>
    </row>
    <row r="2299" spans="1:4" x14ac:dyDescent="0.35">
      <c r="A2299" s="40" t="e">
        <f>IF(OR(_xlfn.XLOOKUP("",Assessment!H:H,Assessment!E:E)="yes"),"Yes","No")</f>
        <v>#N/A</v>
      </c>
      <c r="D2299" s="40" t="s">
        <v>9405</v>
      </c>
    </row>
    <row r="2300" spans="1:4" x14ac:dyDescent="0.35">
      <c r="A2300" s="40" t="e">
        <f>IF(OR(_xlfn.XLOOKUP("",Assessment!H:H,Assessment!E:E)="yes"),"Yes","No")</f>
        <v>#N/A</v>
      </c>
      <c r="D2300" s="40" t="s">
        <v>9405</v>
      </c>
    </row>
    <row r="2301" spans="1:4" x14ac:dyDescent="0.35">
      <c r="A2301" s="40" t="e">
        <f>IF(OR(_xlfn.XLOOKUP("",Assessment!H:H,Assessment!E:E)="yes"),"Yes","No")</f>
        <v>#N/A</v>
      </c>
      <c r="D2301" s="40" t="s">
        <v>9405</v>
      </c>
    </row>
    <row r="2302" spans="1:4" x14ac:dyDescent="0.35">
      <c r="A2302" s="40" t="e">
        <f>IF(OR(_xlfn.XLOOKUP("",Assessment!H:H,Assessment!E:E)="yes"),"Yes","No")</f>
        <v>#N/A</v>
      </c>
      <c r="D2302" s="40" t="s">
        <v>9405</v>
      </c>
    </row>
    <row r="2303" spans="1:4" x14ac:dyDescent="0.35">
      <c r="A2303" s="40" t="e">
        <f>IF(OR(_xlfn.XLOOKUP("",Assessment!H:H,Assessment!E:E)="yes"),"Yes","No")</f>
        <v>#N/A</v>
      </c>
      <c r="D2303" s="40" t="s">
        <v>9405</v>
      </c>
    </row>
    <row r="2304" spans="1:4" x14ac:dyDescent="0.35">
      <c r="A2304" s="40" t="e">
        <f>IF(OR(_xlfn.XLOOKUP("",Assessment!H:H,Assessment!E:E)="yes"),"Yes","No")</f>
        <v>#N/A</v>
      </c>
      <c r="D2304" s="40" t="s">
        <v>9405</v>
      </c>
    </row>
    <row r="2305" spans="1:4" x14ac:dyDescent="0.35">
      <c r="A2305" s="40" t="e">
        <f>IF(OR(_xlfn.XLOOKUP("",Assessment!H:H,Assessment!E:E)="yes"),"Yes","No")</f>
        <v>#N/A</v>
      </c>
      <c r="D2305" s="40" t="s">
        <v>9405</v>
      </c>
    </row>
    <row r="2306" spans="1:4" x14ac:dyDescent="0.35">
      <c r="A2306" s="40" t="e">
        <f>IF(OR(_xlfn.XLOOKUP("",Assessment!H:H,Assessment!E:E)="yes"),"Yes","No")</f>
        <v>#N/A</v>
      </c>
      <c r="D2306" s="40" t="s">
        <v>9405</v>
      </c>
    </row>
    <row r="2307" spans="1:4" x14ac:dyDescent="0.35">
      <c r="A2307" s="40" t="e">
        <f>IF(OR(_xlfn.XLOOKUP("",Assessment!H:H,Assessment!E:E)="yes"),"Yes","No")</f>
        <v>#N/A</v>
      </c>
      <c r="D2307" s="40" t="s">
        <v>9405</v>
      </c>
    </row>
    <row r="2308" spans="1:4" x14ac:dyDescent="0.35">
      <c r="A2308" s="40" t="e">
        <f>IF(OR(_xlfn.XLOOKUP("",Assessment!H:H,Assessment!E:E)="yes"),"Yes","No")</f>
        <v>#N/A</v>
      </c>
      <c r="D2308" s="40" t="s">
        <v>9405</v>
      </c>
    </row>
    <row r="2309" spans="1:4" x14ac:dyDescent="0.35">
      <c r="A2309" s="40" t="e">
        <f>IF(OR(_xlfn.XLOOKUP("",Assessment!H:H,Assessment!E:E)="yes"),"Yes","No")</f>
        <v>#N/A</v>
      </c>
      <c r="D2309" s="40" t="s">
        <v>9405</v>
      </c>
    </row>
    <row r="2310" spans="1:4" x14ac:dyDescent="0.35">
      <c r="A2310" s="40" t="e">
        <f>IF(OR(_xlfn.XLOOKUP("",Assessment!H:H,Assessment!E:E)="yes"),"Yes","No")</f>
        <v>#N/A</v>
      </c>
      <c r="D2310" s="40" t="s">
        <v>9405</v>
      </c>
    </row>
    <row r="2311" spans="1:4" x14ac:dyDescent="0.35">
      <c r="A2311" s="40" t="e">
        <f>IF(OR(_xlfn.XLOOKUP("",Assessment!H:H,Assessment!E:E)="yes"),"Yes","No")</f>
        <v>#N/A</v>
      </c>
      <c r="D2311" s="40" t="s">
        <v>9405</v>
      </c>
    </row>
    <row r="2312" spans="1:4" x14ac:dyDescent="0.35">
      <c r="A2312" s="40" t="e">
        <f>IF(OR(_xlfn.XLOOKUP("",Assessment!H:H,Assessment!E:E)="yes"),"Yes","No")</f>
        <v>#N/A</v>
      </c>
      <c r="D2312" s="40" t="s">
        <v>9405</v>
      </c>
    </row>
    <row r="2313" spans="1:4" x14ac:dyDescent="0.35">
      <c r="A2313" s="40" t="e">
        <f>IF(OR(_xlfn.XLOOKUP("",Assessment!H:H,Assessment!E:E)="yes"),"Yes","No")</f>
        <v>#N/A</v>
      </c>
      <c r="D2313" s="40" t="s">
        <v>9405</v>
      </c>
    </row>
    <row r="2314" spans="1:4" x14ac:dyDescent="0.35">
      <c r="A2314" s="40" t="e">
        <f>IF(OR(_xlfn.XLOOKUP("",Assessment!H:H,Assessment!E:E)="yes"),"Yes","No")</f>
        <v>#N/A</v>
      </c>
      <c r="D2314" s="40" t="s">
        <v>9405</v>
      </c>
    </row>
    <row r="2315" spans="1:4" x14ac:dyDescent="0.35">
      <c r="A2315" s="40" t="e">
        <f>IF(OR(_xlfn.XLOOKUP("",Assessment!H:H,Assessment!E:E)="yes"),"Yes","No")</f>
        <v>#N/A</v>
      </c>
      <c r="D2315" s="40" t="s">
        <v>9405</v>
      </c>
    </row>
    <row r="2316" spans="1:4" x14ac:dyDescent="0.35">
      <c r="A2316" s="40" t="e">
        <f>IF(OR(_xlfn.XLOOKUP("",Assessment!H:H,Assessment!E:E)="yes"),"Yes","No")</f>
        <v>#N/A</v>
      </c>
      <c r="D2316" s="40" t="s">
        <v>9405</v>
      </c>
    </row>
    <row r="2317" spans="1:4" x14ac:dyDescent="0.35">
      <c r="A2317" s="40" t="e">
        <f>IF(OR(_xlfn.XLOOKUP("",Assessment!H:H,Assessment!E:E)="yes"),"Yes","No")</f>
        <v>#N/A</v>
      </c>
      <c r="D2317" s="40" t="s">
        <v>9405</v>
      </c>
    </row>
    <row r="2318" spans="1:4" x14ac:dyDescent="0.35">
      <c r="A2318" s="40" t="e">
        <f>IF(OR(_xlfn.XLOOKUP("",Assessment!H:H,Assessment!E:E)="yes"),"Yes","No")</f>
        <v>#N/A</v>
      </c>
      <c r="D2318" s="40" t="s">
        <v>9405</v>
      </c>
    </row>
    <row r="2319" spans="1:4" x14ac:dyDescent="0.35">
      <c r="A2319" s="40" t="e">
        <f>IF(OR(_xlfn.XLOOKUP("",Assessment!H:H,Assessment!E:E)="yes"),"Yes","No")</f>
        <v>#N/A</v>
      </c>
      <c r="D2319" s="40" t="s">
        <v>9405</v>
      </c>
    </row>
    <row r="2320" spans="1:4" x14ac:dyDescent="0.35">
      <c r="A2320" s="40" t="e">
        <f>IF(OR(_xlfn.XLOOKUP("",Assessment!H:H,Assessment!E:E)="yes"),"Yes","No")</f>
        <v>#N/A</v>
      </c>
      <c r="D2320" s="40" t="s">
        <v>9405</v>
      </c>
    </row>
    <row r="2321" spans="1:4" x14ac:dyDescent="0.35">
      <c r="A2321" s="40" t="e">
        <f>IF(OR(_xlfn.XLOOKUP("",Assessment!H:H,Assessment!E:E)="yes"),"Yes","No")</f>
        <v>#N/A</v>
      </c>
      <c r="D2321" s="40" t="s">
        <v>9405</v>
      </c>
    </row>
    <row r="2322" spans="1:4" x14ac:dyDescent="0.35">
      <c r="A2322" s="40" t="e">
        <f>IF(OR(_xlfn.XLOOKUP("",Assessment!H:H,Assessment!E:E)="yes"),"Yes","No")</f>
        <v>#N/A</v>
      </c>
      <c r="D2322" s="40" t="s">
        <v>9405</v>
      </c>
    </row>
    <row r="2323" spans="1:4" x14ac:dyDescent="0.35">
      <c r="A2323" s="40" t="e">
        <f>IF(OR(_xlfn.XLOOKUP("",Assessment!H:H,Assessment!E:E)="yes"),"Yes","No")</f>
        <v>#N/A</v>
      </c>
      <c r="D2323" s="40" t="s">
        <v>9405</v>
      </c>
    </row>
    <row r="2324" spans="1:4" x14ac:dyDescent="0.35">
      <c r="A2324" s="40" t="e">
        <f>IF(OR(_xlfn.XLOOKUP("",Assessment!H:H,Assessment!E:E)="yes"),"Yes","No")</f>
        <v>#N/A</v>
      </c>
      <c r="D2324" s="40" t="s">
        <v>9405</v>
      </c>
    </row>
    <row r="2325" spans="1:4" x14ac:dyDescent="0.35">
      <c r="A2325" s="40" t="e">
        <f>IF(OR(_xlfn.XLOOKUP("",Assessment!H:H,Assessment!E:E)="yes"),"Yes","No")</f>
        <v>#N/A</v>
      </c>
      <c r="D2325" s="40" t="s">
        <v>9405</v>
      </c>
    </row>
    <row r="2326" spans="1:4" x14ac:dyDescent="0.35">
      <c r="A2326" s="40" t="e">
        <f>IF(OR(_xlfn.XLOOKUP("",Assessment!H:H,Assessment!E:E)="yes"),"Yes","No")</f>
        <v>#N/A</v>
      </c>
      <c r="D2326" s="40" t="s">
        <v>9405</v>
      </c>
    </row>
    <row r="2327" spans="1:4" x14ac:dyDescent="0.35">
      <c r="A2327" s="40" t="e">
        <f>IF(OR(_xlfn.XLOOKUP("",Assessment!H:H,Assessment!E:E)="yes"),"Yes","No")</f>
        <v>#N/A</v>
      </c>
      <c r="D2327" s="40" t="s">
        <v>9405</v>
      </c>
    </row>
    <row r="2328" spans="1:4" x14ac:dyDescent="0.35">
      <c r="A2328" s="40" t="e">
        <f>IF(OR(_xlfn.XLOOKUP("",Assessment!H:H,Assessment!E:E)="yes"),"Yes","No")</f>
        <v>#N/A</v>
      </c>
      <c r="D2328" s="40" t="s">
        <v>9405</v>
      </c>
    </row>
    <row r="2329" spans="1:4" x14ac:dyDescent="0.35">
      <c r="A2329" s="40" t="e">
        <f>IF(OR(_xlfn.XLOOKUP("",Assessment!H:H,Assessment!E:E)="yes"),"Yes","No")</f>
        <v>#N/A</v>
      </c>
      <c r="D2329" s="40" t="s">
        <v>9405</v>
      </c>
    </row>
    <row r="2330" spans="1:4" x14ac:dyDescent="0.35">
      <c r="A2330" s="40" t="e">
        <f>IF(OR(_xlfn.XLOOKUP("",Assessment!H:H,Assessment!E:E)="yes"),"Yes","No")</f>
        <v>#N/A</v>
      </c>
      <c r="D2330" s="40" t="s">
        <v>9405</v>
      </c>
    </row>
    <row r="2331" spans="1:4" x14ac:dyDescent="0.35">
      <c r="A2331" s="40" t="e">
        <f>IF(OR(_xlfn.XLOOKUP("",Assessment!H:H,Assessment!E:E)="yes"),"Yes","No")</f>
        <v>#N/A</v>
      </c>
      <c r="D2331" s="40" t="s">
        <v>9405</v>
      </c>
    </row>
    <row r="2332" spans="1:4" x14ac:dyDescent="0.35">
      <c r="A2332" s="40" t="e">
        <f>IF(OR(_xlfn.XLOOKUP("",Assessment!H:H,Assessment!E:E)="yes"),"Yes","No")</f>
        <v>#N/A</v>
      </c>
      <c r="D2332" s="40" t="s">
        <v>9405</v>
      </c>
    </row>
    <row r="2333" spans="1:4" x14ac:dyDescent="0.35">
      <c r="A2333" s="40" t="e">
        <f>IF(OR(_xlfn.XLOOKUP("",Assessment!H:H,Assessment!E:E)="yes"),"Yes","No")</f>
        <v>#N/A</v>
      </c>
      <c r="D2333" s="40" t="s">
        <v>9405</v>
      </c>
    </row>
    <row r="2334" spans="1:4" x14ac:dyDescent="0.35">
      <c r="A2334" s="40" t="e">
        <f>IF(OR(_xlfn.XLOOKUP("",Assessment!H:H,Assessment!E:E)="yes"),"Yes","No")</f>
        <v>#N/A</v>
      </c>
      <c r="D2334" s="40" t="s">
        <v>9405</v>
      </c>
    </row>
    <row r="2335" spans="1:4" x14ac:dyDescent="0.35">
      <c r="A2335" s="40" t="e">
        <f>IF(OR(_xlfn.XLOOKUP("",Assessment!H:H,Assessment!E:E)="yes"),"Yes","No")</f>
        <v>#N/A</v>
      </c>
      <c r="D2335" s="40" t="s">
        <v>9405</v>
      </c>
    </row>
    <row r="2336" spans="1:4" x14ac:dyDescent="0.35">
      <c r="A2336" s="40" t="e">
        <f>IF(OR(_xlfn.XLOOKUP("",Assessment!H:H,Assessment!E:E)="yes"),"Yes","No")</f>
        <v>#N/A</v>
      </c>
      <c r="D2336" s="40" t="s">
        <v>9405</v>
      </c>
    </row>
    <row r="2337" spans="1:4" x14ac:dyDescent="0.35">
      <c r="A2337" s="40" t="e">
        <f>IF(OR(_xlfn.XLOOKUP("",Assessment!H:H,Assessment!E:E)="yes"),"Yes","No")</f>
        <v>#N/A</v>
      </c>
      <c r="D2337" s="40" t="s">
        <v>9405</v>
      </c>
    </row>
    <row r="2338" spans="1:4" x14ac:dyDescent="0.35">
      <c r="A2338" s="40" t="e">
        <f>IF(OR(_xlfn.XLOOKUP("",Assessment!H:H,Assessment!E:E)="yes"),"Yes","No")</f>
        <v>#N/A</v>
      </c>
      <c r="D2338" s="40" t="s">
        <v>9405</v>
      </c>
    </row>
    <row r="2339" spans="1:4" x14ac:dyDescent="0.35">
      <c r="A2339" s="40" t="e">
        <f>IF(OR(_xlfn.XLOOKUP("",Assessment!H:H,Assessment!E:E)="yes"),"Yes","No")</f>
        <v>#N/A</v>
      </c>
      <c r="D2339" s="40" t="s">
        <v>9405</v>
      </c>
    </row>
    <row r="2340" spans="1:4" x14ac:dyDescent="0.35">
      <c r="A2340" s="40" t="e">
        <f>IF(OR(_xlfn.XLOOKUP("",Assessment!H:H,Assessment!E:E)="yes"),"Yes","No")</f>
        <v>#N/A</v>
      </c>
      <c r="D2340" s="40" t="s">
        <v>9405</v>
      </c>
    </row>
    <row r="2341" spans="1:4" x14ac:dyDescent="0.35">
      <c r="A2341" s="40" t="e">
        <f>IF(OR(_xlfn.XLOOKUP("",Assessment!H:H,Assessment!E:E)="yes"),"Yes","No")</f>
        <v>#N/A</v>
      </c>
      <c r="D2341" s="40" t="s">
        <v>9405</v>
      </c>
    </row>
    <row r="2342" spans="1:4" x14ac:dyDescent="0.35">
      <c r="A2342" s="40" t="e">
        <f>IF(OR(_xlfn.XLOOKUP("",Assessment!H:H,Assessment!E:E)="yes"),"Yes","No")</f>
        <v>#N/A</v>
      </c>
      <c r="D2342" s="40" t="s">
        <v>9405</v>
      </c>
    </row>
    <row r="2343" spans="1:4" x14ac:dyDescent="0.35">
      <c r="A2343" s="40" t="e">
        <f>IF(OR(_xlfn.XLOOKUP("",Assessment!H:H,Assessment!E:E)="yes"),"Yes","No")</f>
        <v>#N/A</v>
      </c>
      <c r="D2343" s="40" t="s">
        <v>9405</v>
      </c>
    </row>
    <row r="2344" spans="1:4" x14ac:dyDescent="0.35">
      <c r="A2344" s="40" t="e">
        <f>IF(OR(_xlfn.XLOOKUP("",Assessment!H:H,Assessment!E:E)="yes"),"Yes","No")</f>
        <v>#N/A</v>
      </c>
      <c r="D2344" s="40" t="s">
        <v>9405</v>
      </c>
    </row>
    <row r="2345" spans="1:4" x14ac:dyDescent="0.35">
      <c r="A2345" s="40" t="e">
        <f>IF(OR(_xlfn.XLOOKUP("",Assessment!H:H,Assessment!E:E)="yes"),"Yes","No")</f>
        <v>#N/A</v>
      </c>
      <c r="D2345" s="40" t="s">
        <v>9405</v>
      </c>
    </row>
    <row r="2346" spans="1:4" x14ac:dyDescent="0.35">
      <c r="A2346" s="40" t="e">
        <f>IF(OR(_xlfn.XLOOKUP("",Assessment!H:H,Assessment!E:E)="yes"),"Yes","No")</f>
        <v>#N/A</v>
      </c>
      <c r="D2346" s="40" t="s">
        <v>9405</v>
      </c>
    </row>
    <row r="2347" spans="1:4" x14ac:dyDescent="0.35">
      <c r="A2347" s="40" t="e">
        <f>IF(OR(_xlfn.XLOOKUP("",Assessment!H:H,Assessment!E:E)="yes"),"Yes","No")</f>
        <v>#N/A</v>
      </c>
      <c r="D2347" s="40" t="s">
        <v>9405</v>
      </c>
    </row>
    <row r="2348" spans="1:4" x14ac:dyDescent="0.35">
      <c r="A2348" s="40" t="e">
        <f>IF(OR(_xlfn.XLOOKUP("",Assessment!H:H,Assessment!E:E)="yes"),"Yes","No")</f>
        <v>#N/A</v>
      </c>
      <c r="D2348" s="40" t="s">
        <v>9405</v>
      </c>
    </row>
    <row r="2349" spans="1:4" x14ac:dyDescent="0.35">
      <c r="A2349" s="40" t="e">
        <f>IF(OR(_xlfn.XLOOKUP("",Assessment!H:H,Assessment!E:E)="yes"),"Yes","No")</f>
        <v>#N/A</v>
      </c>
      <c r="D2349" s="40" t="s">
        <v>9405</v>
      </c>
    </row>
    <row r="2350" spans="1:4" x14ac:dyDescent="0.35">
      <c r="A2350" s="40" t="e">
        <f>IF(OR(_xlfn.XLOOKUP("",Assessment!H:H,Assessment!E:E)="yes"),"Yes","No")</f>
        <v>#N/A</v>
      </c>
      <c r="D2350" s="40" t="s">
        <v>9405</v>
      </c>
    </row>
    <row r="2351" spans="1:4" x14ac:dyDescent="0.35">
      <c r="A2351" s="40" t="e">
        <f>IF(OR(_xlfn.XLOOKUP("",Assessment!H:H,Assessment!E:E)="yes"),"Yes","No")</f>
        <v>#N/A</v>
      </c>
      <c r="D2351" s="40" t="s">
        <v>9405</v>
      </c>
    </row>
    <row r="2352" spans="1:4" x14ac:dyDescent="0.35">
      <c r="A2352" s="40" t="e">
        <f>IF(OR(_xlfn.XLOOKUP("",Assessment!H:H,Assessment!E:E)="yes"),"Yes","No")</f>
        <v>#N/A</v>
      </c>
      <c r="D2352" s="40" t="s">
        <v>9405</v>
      </c>
    </row>
    <row r="2353" spans="1:4" x14ac:dyDescent="0.35">
      <c r="A2353" s="40" t="e">
        <f>IF(OR(_xlfn.XLOOKUP("",Assessment!H:H,Assessment!E:E)="yes"),"Yes","No")</f>
        <v>#N/A</v>
      </c>
      <c r="D2353" s="40" t="s">
        <v>9405</v>
      </c>
    </row>
    <row r="2354" spans="1:4" x14ac:dyDescent="0.35">
      <c r="A2354" s="40" t="e">
        <f>IF(OR(_xlfn.XLOOKUP("",Assessment!H:H,Assessment!E:E)="yes"),"Yes","No")</f>
        <v>#N/A</v>
      </c>
      <c r="D2354" s="40" t="s">
        <v>9405</v>
      </c>
    </row>
    <row r="2355" spans="1:4" x14ac:dyDescent="0.35">
      <c r="A2355" s="40" t="e">
        <f>IF(OR(_xlfn.XLOOKUP("",Assessment!H:H,Assessment!E:E)="yes"),"Yes","No")</f>
        <v>#N/A</v>
      </c>
      <c r="D2355" s="40" t="s">
        <v>9405</v>
      </c>
    </row>
    <row r="2356" spans="1:4" x14ac:dyDescent="0.35">
      <c r="A2356" s="40" t="e">
        <f>IF(OR(_xlfn.XLOOKUP("",Assessment!H:H,Assessment!E:E)="yes"),"Yes","No")</f>
        <v>#N/A</v>
      </c>
      <c r="D2356" s="40" t="s">
        <v>9405</v>
      </c>
    </row>
    <row r="2357" spans="1:4" x14ac:dyDescent="0.35">
      <c r="A2357" s="40" t="e">
        <f>IF(OR(_xlfn.XLOOKUP("",Assessment!H:H,Assessment!E:E)="yes"),"Yes","No")</f>
        <v>#N/A</v>
      </c>
      <c r="D2357" s="40" t="s">
        <v>9405</v>
      </c>
    </row>
    <row r="2358" spans="1:4" x14ac:dyDescent="0.35">
      <c r="A2358" s="40" t="e">
        <f>IF(OR(_xlfn.XLOOKUP("",Assessment!H:H,Assessment!E:E)="yes"),"Yes","No")</f>
        <v>#N/A</v>
      </c>
      <c r="D2358" s="40" t="s">
        <v>9405</v>
      </c>
    </row>
    <row r="2359" spans="1:4" x14ac:dyDescent="0.35">
      <c r="A2359" s="40" t="e">
        <f>IF(OR(_xlfn.XLOOKUP("",Assessment!H:H,Assessment!E:E)="yes"),"Yes","No")</f>
        <v>#N/A</v>
      </c>
      <c r="D2359" s="40" t="s">
        <v>9405</v>
      </c>
    </row>
    <row r="2360" spans="1:4" x14ac:dyDescent="0.35">
      <c r="A2360" s="40" t="e">
        <f>IF(OR(_xlfn.XLOOKUP("",Assessment!H:H,Assessment!E:E)="yes"),"Yes","No")</f>
        <v>#N/A</v>
      </c>
      <c r="D2360" s="40" t="s">
        <v>9405</v>
      </c>
    </row>
    <row r="2361" spans="1:4" x14ac:dyDescent="0.35">
      <c r="A2361" s="40" t="e">
        <f>IF(OR(_xlfn.XLOOKUP("",Assessment!H:H,Assessment!E:E)="yes"),"Yes","No")</f>
        <v>#N/A</v>
      </c>
      <c r="D2361" s="40" t="s">
        <v>9405</v>
      </c>
    </row>
    <row r="2362" spans="1:4" x14ac:dyDescent="0.35">
      <c r="A2362" s="40" t="e">
        <f>IF(OR(_xlfn.XLOOKUP("",Assessment!H:H,Assessment!E:E)="yes"),"Yes","No")</f>
        <v>#N/A</v>
      </c>
      <c r="D2362" s="40" t="s">
        <v>9405</v>
      </c>
    </row>
    <row r="2363" spans="1:4" x14ac:dyDescent="0.35">
      <c r="A2363" s="40" t="e">
        <f>IF(OR(_xlfn.XLOOKUP("",Assessment!H:H,Assessment!E:E)="yes"),"Yes","No")</f>
        <v>#N/A</v>
      </c>
      <c r="D2363" s="40" t="s">
        <v>9405</v>
      </c>
    </row>
    <row r="2364" spans="1:4" x14ac:dyDescent="0.35">
      <c r="A2364" s="40" t="e">
        <f>IF(OR(_xlfn.XLOOKUP("",Assessment!H:H,Assessment!E:E)="yes"),"Yes","No")</f>
        <v>#N/A</v>
      </c>
      <c r="D2364" s="40" t="s">
        <v>9405</v>
      </c>
    </row>
    <row r="2365" spans="1:4" x14ac:dyDescent="0.35">
      <c r="A2365" s="40" t="e">
        <f>IF(OR(_xlfn.XLOOKUP("",Assessment!H:H,Assessment!E:E)="yes"),"Yes","No")</f>
        <v>#N/A</v>
      </c>
      <c r="D2365" s="40" t="s">
        <v>9405</v>
      </c>
    </row>
    <row r="2366" spans="1:4" x14ac:dyDescent="0.35">
      <c r="A2366" s="40" t="e">
        <f>IF(OR(_xlfn.XLOOKUP("",Assessment!H:H,Assessment!E:E)="yes"),"Yes","No")</f>
        <v>#N/A</v>
      </c>
      <c r="D2366" s="40" t="s">
        <v>9405</v>
      </c>
    </row>
    <row r="2367" spans="1:4" x14ac:dyDescent="0.35">
      <c r="A2367" s="40" t="e">
        <f>IF(OR(_xlfn.XLOOKUP("",Assessment!H:H,Assessment!E:E)="yes"),"Yes","No")</f>
        <v>#N/A</v>
      </c>
      <c r="D2367" s="40" t="s">
        <v>9405</v>
      </c>
    </row>
    <row r="2368" spans="1:4" x14ac:dyDescent="0.35">
      <c r="A2368" s="40" t="e">
        <f>IF(OR(_xlfn.XLOOKUP("",Assessment!H:H,Assessment!E:E)="yes"),"Yes","No")</f>
        <v>#N/A</v>
      </c>
      <c r="D2368" s="40" t="s">
        <v>9405</v>
      </c>
    </row>
    <row r="2369" spans="1:4" x14ac:dyDescent="0.35">
      <c r="A2369" s="40" t="e">
        <f>IF(OR(_xlfn.XLOOKUP("",Assessment!H:H,Assessment!E:E)="yes"),"Yes","No")</f>
        <v>#N/A</v>
      </c>
      <c r="D2369" s="40" t="s">
        <v>9405</v>
      </c>
    </row>
    <row r="2370" spans="1:4" x14ac:dyDescent="0.35">
      <c r="A2370" s="40" t="e">
        <f>IF(OR(_xlfn.XLOOKUP("",Assessment!H:H,Assessment!E:E)="yes"),"Yes","No")</f>
        <v>#N/A</v>
      </c>
      <c r="D2370" s="40" t="s">
        <v>9405</v>
      </c>
    </row>
    <row r="2371" spans="1:4" x14ac:dyDescent="0.35">
      <c r="A2371" s="40" t="e">
        <f>IF(OR(_xlfn.XLOOKUP("",Assessment!H:H,Assessment!E:E)="yes"),"Yes","No")</f>
        <v>#N/A</v>
      </c>
      <c r="D2371" s="40" t="s">
        <v>9405</v>
      </c>
    </row>
    <row r="2372" spans="1:4" x14ac:dyDescent="0.35">
      <c r="A2372" s="40" t="e">
        <f>IF(OR(_xlfn.XLOOKUP("",Assessment!H:H,Assessment!E:E)="yes"),"Yes","No")</f>
        <v>#N/A</v>
      </c>
      <c r="D2372" s="40" t="s">
        <v>9405</v>
      </c>
    </row>
    <row r="2373" spans="1:4" x14ac:dyDescent="0.35">
      <c r="A2373" s="40" t="e">
        <f>IF(OR(_xlfn.XLOOKUP("",Assessment!H:H,Assessment!E:E)="yes"),"Yes","No")</f>
        <v>#N/A</v>
      </c>
      <c r="D2373" s="40" t="s">
        <v>9405</v>
      </c>
    </row>
    <row r="2374" spans="1:4" x14ac:dyDescent="0.35">
      <c r="A2374" s="40" t="e">
        <f>IF(OR(_xlfn.XLOOKUP("",Assessment!H:H,Assessment!E:E)="yes"),"Yes","No")</f>
        <v>#N/A</v>
      </c>
      <c r="D2374" s="40" t="s">
        <v>9405</v>
      </c>
    </row>
    <row r="2375" spans="1:4" x14ac:dyDescent="0.35">
      <c r="A2375" s="40" t="e">
        <f>IF(OR(_xlfn.XLOOKUP("",Assessment!H:H,Assessment!E:E)="yes"),"Yes","No")</f>
        <v>#N/A</v>
      </c>
      <c r="D2375" s="40" t="s">
        <v>9405</v>
      </c>
    </row>
    <row r="2376" spans="1:4" x14ac:dyDescent="0.35">
      <c r="A2376" s="40" t="e">
        <f>IF(OR(_xlfn.XLOOKUP("",Assessment!H:H,Assessment!E:E)="yes"),"Yes","No")</f>
        <v>#N/A</v>
      </c>
      <c r="D2376" s="40" t="s">
        <v>9405</v>
      </c>
    </row>
    <row r="2377" spans="1:4" x14ac:dyDescent="0.35">
      <c r="A2377" s="40" t="e">
        <f>IF(OR(_xlfn.XLOOKUP("",Assessment!H:H,Assessment!E:E)="yes"),"Yes","No")</f>
        <v>#N/A</v>
      </c>
      <c r="D2377" s="40" t="s">
        <v>9405</v>
      </c>
    </row>
    <row r="2378" spans="1:4" x14ac:dyDescent="0.35">
      <c r="A2378" s="40" t="e">
        <f>IF(OR(_xlfn.XLOOKUP("",Assessment!H:H,Assessment!E:E)="yes"),"Yes","No")</f>
        <v>#N/A</v>
      </c>
      <c r="D2378" s="40" t="s">
        <v>9405</v>
      </c>
    </row>
    <row r="2379" spans="1:4" x14ac:dyDescent="0.35">
      <c r="A2379" s="40" t="e">
        <f>IF(OR(_xlfn.XLOOKUP("",Assessment!H:H,Assessment!E:E)="yes"),"Yes","No")</f>
        <v>#N/A</v>
      </c>
      <c r="D2379" s="40" t="s">
        <v>9405</v>
      </c>
    </row>
    <row r="2380" spans="1:4" x14ac:dyDescent="0.35">
      <c r="A2380" s="40" t="e">
        <f>IF(OR(_xlfn.XLOOKUP("",Assessment!H:H,Assessment!E:E)="yes"),"Yes","No")</f>
        <v>#N/A</v>
      </c>
      <c r="D2380" s="40" t="s">
        <v>9405</v>
      </c>
    </row>
    <row r="2381" spans="1:4" x14ac:dyDescent="0.35">
      <c r="A2381" s="40" t="e">
        <f>IF(OR(_xlfn.XLOOKUP("",Assessment!H:H,Assessment!E:E)="yes"),"Yes","No")</f>
        <v>#N/A</v>
      </c>
      <c r="D2381" s="40" t="s">
        <v>9405</v>
      </c>
    </row>
    <row r="2382" spans="1:4" x14ac:dyDescent="0.35">
      <c r="A2382" s="40" t="e">
        <f>IF(OR(_xlfn.XLOOKUP("",Assessment!H:H,Assessment!E:E)="yes"),"Yes","No")</f>
        <v>#N/A</v>
      </c>
      <c r="D2382" s="40" t="s">
        <v>9405</v>
      </c>
    </row>
    <row r="2383" spans="1:4" x14ac:dyDescent="0.35">
      <c r="A2383" s="40" t="e">
        <f>IF(OR(_xlfn.XLOOKUP("",Assessment!H:H,Assessment!E:E)="yes"),"Yes","No")</f>
        <v>#N/A</v>
      </c>
      <c r="D2383" s="40" t="s">
        <v>9405</v>
      </c>
    </row>
    <row r="2384" spans="1:4" x14ac:dyDescent="0.35">
      <c r="A2384" s="40" t="e">
        <f>IF(OR(_xlfn.XLOOKUP("",Assessment!H:H,Assessment!E:E)="yes"),"Yes","No")</f>
        <v>#N/A</v>
      </c>
      <c r="D2384" s="40" t="s">
        <v>9405</v>
      </c>
    </row>
    <row r="2385" spans="1:4" x14ac:dyDescent="0.35">
      <c r="A2385" s="40" t="e">
        <f>IF(OR(_xlfn.XLOOKUP("",Assessment!H:H,Assessment!E:E)="yes"),"Yes","No")</f>
        <v>#N/A</v>
      </c>
      <c r="D2385" s="40" t="s">
        <v>9405</v>
      </c>
    </row>
    <row r="2386" spans="1:4" x14ac:dyDescent="0.35">
      <c r="A2386" s="40" t="e">
        <f>IF(OR(_xlfn.XLOOKUP("",Assessment!H:H,Assessment!E:E)="yes"),"Yes","No")</f>
        <v>#N/A</v>
      </c>
      <c r="D2386" s="40" t="s">
        <v>9405</v>
      </c>
    </row>
    <row r="2387" spans="1:4" x14ac:dyDescent="0.35">
      <c r="A2387" s="40" t="e">
        <f>IF(OR(_xlfn.XLOOKUP("",Assessment!H:H,Assessment!E:E)="yes"),"Yes","No")</f>
        <v>#N/A</v>
      </c>
      <c r="D2387" s="40" t="s">
        <v>9405</v>
      </c>
    </row>
    <row r="2388" spans="1:4" x14ac:dyDescent="0.35">
      <c r="A2388" s="40" t="e">
        <f>IF(OR(_xlfn.XLOOKUP("",Assessment!H:H,Assessment!E:E)="yes"),"Yes","No")</f>
        <v>#N/A</v>
      </c>
      <c r="D2388" s="40" t="s">
        <v>9405</v>
      </c>
    </row>
    <row r="2389" spans="1:4" x14ac:dyDescent="0.35">
      <c r="A2389" s="40" t="e">
        <f>IF(OR(_xlfn.XLOOKUP("",Assessment!H:H,Assessment!E:E)="yes"),"Yes","No")</f>
        <v>#N/A</v>
      </c>
      <c r="D2389" s="40" t="s">
        <v>9405</v>
      </c>
    </row>
    <row r="2390" spans="1:4" x14ac:dyDescent="0.35">
      <c r="A2390" s="40" t="e">
        <f>IF(OR(_xlfn.XLOOKUP("",Assessment!H:H,Assessment!E:E)="yes"),"Yes","No")</f>
        <v>#N/A</v>
      </c>
      <c r="D2390" s="40" t="s">
        <v>9405</v>
      </c>
    </row>
    <row r="2391" spans="1:4" x14ac:dyDescent="0.35">
      <c r="A2391" s="40" t="e">
        <f>IF(OR(_xlfn.XLOOKUP("",Assessment!H:H,Assessment!E:E)="yes"),"Yes","No")</f>
        <v>#N/A</v>
      </c>
      <c r="D2391" s="40" t="s">
        <v>9405</v>
      </c>
    </row>
    <row r="2392" spans="1:4" x14ac:dyDescent="0.35">
      <c r="A2392" s="40" t="e">
        <f>IF(OR(_xlfn.XLOOKUP("",Assessment!H:H,Assessment!E:E)="yes"),"Yes","No")</f>
        <v>#N/A</v>
      </c>
      <c r="D2392" s="40" t="s">
        <v>9405</v>
      </c>
    </row>
    <row r="2393" spans="1:4" x14ac:dyDescent="0.35">
      <c r="A2393" s="40" t="e">
        <f>IF(OR(_xlfn.XLOOKUP("",Assessment!H:H,Assessment!E:E)="yes"),"Yes","No")</f>
        <v>#N/A</v>
      </c>
      <c r="D2393" s="40" t="s">
        <v>9405</v>
      </c>
    </row>
    <row r="2394" spans="1:4" x14ac:dyDescent="0.35">
      <c r="A2394" s="40" t="e">
        <f>IF(OR(_xlfn.XLOOKUP("",Assessment!H:H,Assessment!E:E)="yes"),"Yes","No")</f>
        <v>#N/A</v>
      </c>
      <c r="D2394" s="40" t="s">
        <v>9405</v>
      </c>
    </row>
    <row r="2395" spans="1:4" x14ac:dyDescent="0.35">
      <c r="A2395" s="40" t="e">
        <f>IF(OR(_xlfn.XLOOKUP("",Assessment!H:H,Assessment!E:E)="yes"),"Yes","No")</f>
        <v>#N/A</v>
      </c>
      <c r="D2395" s="40" t="s">
        <v>9405</v>
      </c>
    </row>
    <row r="2396" spans="1:4" x14ac:dyDescent="0.35">
      <c r="A2396" s="40" t="e">
        <f>IF(OR(_xlfn.XLOOKUP("",Assessment!H:H,Assessment!E:E)="yes"),"Yes","No")</f>
        <v>#N/A</v>
      </c>
      <c r="D2396" s="40" t="s">
        <v>9405</v>
      </c>
    </row>
    <row r="2397" spans="1:4" x14ac:dyDescent="0.35">
      <c r="A2397" s="40" t="e">
        <f>IF(OR(_xlfn.XLOOKUP("",Assessment!H:H,Assessment!E:E)="yes"),"Yes","No")</f>
        <v>#N/A</v>
      </c>
      <c r="D2397" s="40" t="s">
        <v>9405</v>
      </c>
    </row>
    <row r="2398" spans="1:4" x14ac:dyDescent="0.35">
      <c r="A2398" s="40" t="e">
        <f>IF(OR(_xlfn.XLOOKUP("",Assessment!H:H,Assessment!E:E)="yes"),"Yes","No")</f>
        <v>#N/A</v>
      </c>
      <c r="D2398" s="40" t="s">
        <v>9405</v>
      </c>
    </row>
    <row r="2399" spans="1:4" x14ac:dyDescent="0.35">
      <c r="A2399" s="40" t="e">
        <f>IF(OR(_xlfn.XLOOKUP("",Assessment!H:H,Assessment!E:E)="yes"),"Yes","No")</f>
        <v>#N/A</v>
      </c>
      <c r="D2399" s="40" t="s">
        <v>9405</v>
      </c>
    </row>
    <row r="2400" spans="1:4" x14ac:dyDescent="0.35">
      <c r="A2400" s="40" t="e">
        <f>IF(OR(_xlfn.XLOOKUP("",Assessment!H:H,Assessment!E:E)="yes"),"Yes","No")</f>
        <v>#N/A</v>
      </c>
      <c r="D2400" s="40" t="s">
        <v>9405</v>
      </c>
    </row>
    <row r="2401" spans="1:4" x14ac:dyDescent="0.35">
      <c r="A2401" s="40" t="e">
        <f>IF(OR(_xlfn.XLOOKUP("",Assessment!H:H,Assessment!E:E)="yes"),"Yes","No")</f>
        <v>#N/A</v>
      </c>
      <c r="D2401" s="40" t="s">
        <v>9405</v>
      </c>
    </row>
    <row r="2402" spans="1:4" x14ac:dyDescent="0.35">
      <c r="A2402" s="40" t="e">
        <f>IF(OR(_xlfn.XLOOKUP("",Assessment!H:H,Assessment!E:E)="yes"),"Yes","No")</f>
        <v>#N/A</v>
      </c>
      <c r="D2402" s="40" t="s">
        <v>9405</v>
      </c>
    </row>
    <row r="2403" spans="1:4" x14ac:dyDescent="0.35">
      <c r="A2403" s="40" t="e">
        <f>IF(OR(_xlfn.XLOOKUP("",Assessment!H:H,Assessment!E:E)="yes"),"Yes","No")</f>
        <v>#N/A</v>
      </c>
      <c r="D2403" s="40" t="s">
        <v>9405</v>
      </c>
    </row>
    <row r="2404" spans="1:4" x14ac:dyDescent="0.35">
      <c r="A2404" s="40" t="e">
        <f>IF(OR(_xlfn.XLOOKUP("",Assessment!H:H,Assessment!E:E)="yes"),"Yes","No")</f>
        <v>#N/A</v>
      </c>
      <c r="D2404" s="40" t="s">
        <v>9405</v>
      </c>
    </row>
    <row r="2405" spans="1:4" x14ac:dyDescent="0.35">
      <c r="A2405" s="40" t="e">
        <f>IF(OR(_xlfn.XLOOKUP("",Assessment!H:H,Assessment!E:E)="yes"),"Yes","No")</f>
        <v>#N/A</v>
      </c>
      <c r="D2405" s="40" t="s">
        <v>9405</v>
      </c>
    </row>
    <row r="2406" spans="1:4" x14ac:dyDescent="0.35">
      <c r="A2406" s="40" t="e">
        <f>IF(OR(_xlfn.XLOOKUP("",Assessment!H:H,Assessment!E:E)="yes"),"Yes","No")</f>
        <v>#N/A</v>
      </c>
      <c r="D2406" s="40" t="s">
        <v>9405</v>
      </c>
    </row>
    <row r="2407" spans="1:4" x14ac:dyDescent="0.35">
      <c r="A2407" s="40" t="e">
        <f>IF(OR(_xlfn.XLOOKUP("",Assessment!H:H,Assessment!E:E)="yes"),"Yes","No")</f>
        <v>#N/A</v>
      </c>
      <c r="D2407" s="40" t="s">
        <v>9405</v>
      </c>
    </row>
    <row r="2408" spans="1:4" x14ac:dyDescent="0.35">
      <c r="A2408" s="40" t="e">
        <f>IF(OR(_xlfn.XLOOKUP("",Assessment!H:H,Assessment!E:E)="yes"),"Yes","No")</f>
        <v>#N/A</v>
      </c>
      <c r="D2408" s="40" t="s">
        <v>9405</v>
      </c>
    </row>
    <row r="2409" spans="1:4" x14ac:dyDescent="0.35">
      <c r="A2409" s="40" t="e">
        <f>IF(OR(_xlfn.XLOOKUP("",Assessment!H:H,Assessment!E:E)="yes"),"Yes","No")</f>
        <v>#N/A</v>
      </c>
      <c r="D2409" s="40" t="s">
        <v>9405</v>
      </c>
    </row>
    <row r="2410" spans="1:4" x14ac:dyDescent="0.35">
      <c r="A2410" s="40" t="e">
        <f>IF(OR(_xlfn.XLOOKUP("",Assessment!H:H,Assessment!E:E)="yes"),"Yes","No")</f>
        <v>#N/A</v>
      </c>
      <c r="D2410" s="40" t="s">
        <v>9405</v>
      </c>
    </row>
    <row r="2411" spans="1:4" x14ac:dyDescent="0.35">
      <c r="A2411" s="40" t="e">
        <f>IF(OR(_xlfn.XLOOKUP("",Assessment!H:H,Assessment!E:E)="yes"),"Yes","No")</f>
        <v>#N/A</v>
      </c>
      <c r="D2411" s="40" t="s">
        <v>9405</v>
      </c>
    </row>
    <row r="2412" spans="1:4" x14ac:dyDescent="0.35">
      <c r="A2412" s="40" t="e">
        <f>IF(OR(_xlfn.XLOOKUP("",Assessment!H:H,Assessment!E:E)="yes"),"Yes","No")</f>
        <v>#N/A</v>
      </c>
      <c r="D2412" s="40" t="s">
        <v>9405</v>
      </c>
    </row>
    <row r="2413" spans="1:4" x14ac:dyDescent="0.35">
      <c r="A2413" s="40" t="e">
        <f>IF(OR(_xlfn.XLOOKUP("",Assessment!H:H,Assessment!E:E)="yes"),"Yes","No")</f>
        <v>#N/A</v>
      </c>
      <c r="D2413" s="40" t="s">
        <v>9405</v>
      </c>
    </row>
    <row r="2414" spans="1:4" x14ac:dyDescent="0.35">
      <c r="A2414" s="40" t="e">
        <f>IF(OR(_xlfn.XLOOKUP("",Assessment!H:H,Assessment!E:E)="yes"),"Yes","No")</f>
        <v>#N/A</v>
      </c>
      <c r="D2414" s="40" t="s">
        <v>9405</v>
      </c>
    </row>
    <row r="2415" spans="1:4" x14ac:dyDescent="0.35">
      <c r="A2415" s="40" t="e">
        <f>IF(OR(_xlfn.XLOOKUP("",Assessment!H:H,Assessment!E:E)="yes"),"Yes","No")</f>
        <v>#N/A</v>
      </c>
      <c r="D2415" s="40" t="s">
        <v>9405</v>
      </c>
    </row>
    <row r="2416" spans="1:4" x14ac:dyDescent="0.35">
      <c r="A2416" s="40" t="e">
        <f>IF(OR(_xlfn.XLOOKUP("",Assessment!H:H,Assessment!E:E)="yes"),"Yes","No")</f>
        <v>#N/A</v>
      </c>
      <c r="D2416" s="40" t="s">
        <v>9405</v>
      </c>
    </row>
    <row r="2417" spans="1:4" x14ac:dyDescent="0.35">
      <c r="A2417" s="40" t="e">
        <f>IF(OR(_xlfn.XLOOKUP("",Assessment!H:H,Assessment!E:E)="yes"),"Yes","No")</f>
        <v>#N/A</v>
      </c>
      <c r="D2417" s="40" t="s">
        <v>9405</v>
      </c>
    </row>
    <row r="2418" spans="1:4" x14ac:dyDescent="0.35">
      <c r="A2418" s="40" t="e">
        <f>IF(OR(_xlfn.XLOOKUP("",Assessment!H:H,Assessment!E:E)="yes"),"Yes","No")</f>
        <v>#N/A</v>
      </c>
      <c r="D2418" s="40" t="s">
        <v>9405</v>
      </c>
    </row>
    <row r="2419" spans="1:4" x14ac:dyDescent="0.35">
      <c r="A2419" s="40" t="e">
        <f>IF(OR(_xlfn.XLOOKUP("",Assessment!H:H,Assessment!E:E)="yes"),"Yes","No")</f>
        <v>#N/A</v>
      </c>
      <c r="D2419" s="40" t="s">
        <v>9405</v>
      </c>
    </row>
    <row r="2420" spans="1:4" x14ac:dyDescent="0.35">
      <c r="A2420" s="40" t="e">
        <f>IF(OR(_xlfn.XLOOKUP("",Assessment!H:H,Assessment!E:E)="yes"),"Yes","No")</f>
        <v>#N/A</v>
      </c>
      <c r="D2420" s="40" t="s">
        <v>9405</v>
      </c>
    </row>
    <row r="2421" spans="1:4" x14ac:dyDescent="0.35">
      <c r="A2421" s="40" t="e">
        <f>IF(OR(_xlfn.XLOOKUP("",Assessment!H:H,Assessment!E:E)="yes"),"Yes","No")</f>
        <v>#N/A</v>
      </c>
      <c r="D2421" s="40" t="s">
        <v>9405</v>
      </c>
    </row>
    <row r="2422" spans="1:4" x14ac:dyDescent="0.35">
      <c r="A2422" s="40" t="e">
        <f>IF(OR(_xlfn.XLOOKUP("",Assessment!H:H,Assessment!E:E)="yes"),"Yes","No")</f>
        <v>#N/A</v>
      </c>
      <c r="D2422" s="40" t="s">
        <v>9405</v>
      </c>
    </row>
    <row r="2423" spans="1:4" x14ac:dyDescent="0.35">
      <c r="A2423" s="40" t="e">
        <f>IF(OR(_xlfn.XLOOKUP("",Assessment!H:H,Assessment!E:E)="yes"),"Yes","No")</f>
        <v>#N/A</v>
      </c>
      <c r="D2423" s="40" t="s">
        <v>9405</v>
      </c>
    </row>
    <row r="2424" spans="1:4" x14ac:dyDescent="0.35">
      <c r="A2424" s="40" t="e">
        <f>IF(OR(_xlfn.XLOOKUP("",Assessment!H:H,Assessment!E:E)="yes"),"Yes","No")</f>
        <v>#N/A</v>
      </c>
      <c r="D2424" s="40" t="s">
        <v>9405</v>
      </c>
    </row>
    <row r="2425" spans="1:4" x14ac:dyDescent="0.35">
      <c r="A2425" s="40" t="e">
        <f>IF(OR(_xlfn.XLOOKUP("",Assessment!H:H,Assessment!E:E)="yes"),"Yes","No")</f>
        <v>#N/A</v>
      </c>
      <c r="D2425" s="40" t="s">
        <v>9405</v>
      </c>
    </row>
    <row r="2426" spans="1:4" x14ac:dyDescent="0.35">
      <c r="A2426" s="40" t="e">
        <f>IF(OR(_xlfn.XLOOKUP("",Assessment!H:H,Assessment!E:E)="yes"),"Yes","No")</f>
        <v>#N/A</v>
      </c>
      <c r="D2426" s="40" t="s">
        <v>9405</v>
      </c>
    </row>
    <row r="2427" spans="1:4" x14ac:dyDescent="0.35">
      <c r="A2427" s="40" t="e">
        <f>IF(OR(_xlfn.XLOOKUP("",Assessment!H:H,Assessment!E:E)="yes"),"Yes","No")</f>
        <v>#N/A</v>
      </c>
      <c r="D2427" s="40" t="s">
        <v>9405</v>
      </c>
    </row>
    <row r="2428" spans="1:4" x14ac:dyDescent="0.35">
      <c r="A2428" s="40" t="e">
        <f>IF(OR(_xlfn.XLOOKUP("",Assessment!H:H,Assessment!E:E)="yes"),"Yes","No")</f>
        <v>#N/A</v>
      </c>
      <c r="D2428" s="40" t="s">
        <v>9405</v>
      </c>
    </row>
    <row r="2429" spans="1:4" x14ac:dyDescent="0.35">
      <c r="A2429" s="40" t="e">
        <f>IF(OR(_xlfn.XLOOKUP("",Assessment!H:H,Assessment!E:E)="yes"),"Yes","No")</f>
        <v>#N/A</v>
      </c>
      <c r="D2429" s="40" t="s">
        <v>9405</v>
      </c>
    </row>
    <row r="2430" spans="1:4" x14ac:dyDescent="0.35">
      <c r="A2430" s="40" t="e">
        <f>IF(OR(_xlfn.XLOOKUP("",Assessment!H:H,Assessment!E:E)="yes"),"Yes","No")</f>
        <v>#N/A</v>
      </c>
      <c r="D2430" s="40" t="s">
        <v>9405</v>
      </c>
    </row>
    <row r="2431" spans="1:4" x14ac:dyDescent="0.35">
      <c r="A2431" s="40" t="e">
        <f>IF(OR(_xlfn.XLOOKUP("",Assessment!H:H,Assessment!E:E)="yes"),"Yes","No")</f>
        <v>#N/A</v>
      </c>
      <c r="D2431" s="40" t="s">
        <v>9405</v>
      </c>
    </row>
    <row r="2432" spans="1:4" x14ac:dyDescent="0.35">
      <c r="A2432" s="40" t="e">
        <f>IF(OR(_xlfn.XLOOKUP("",Assessment!H:H,Assessment!E:E)="yes"),"Yes","No")</f>
        <v>#N/A</v>
      </c>
      <c r="D2432" s="40" t="s">
        <v>9405</v>
      </c>
    </row>
    <row r="2433" spans="1:4" x14ac:dyDescent="0.35">
      <c r="A2433" s="40" t="e">
        <f>IF(OR(_xlfn.XLOOKUP("",Assessment!H:H,Assessment!E:E)="yes"),"Yes","No")</f>
        <v>#N/A</v>
      </c>
      <c r="D2433" s="40" t="s">
        <v>9405</v>
      </c>
    </row>
    <row r="2434" spans="1:4" x14ac:dyDescent="0.35">
      <c r="A2434" s="40" t="e">
        <f>IF(OR(_xlfn.XLOOKUP("",Assessment!H:H,Assessment!E:E)="yes"),"Yes","No")</f>
        <v>#N/A</v>
      </c>
      <c r="D2434" s="40" t="s">
        <v>9405</v>
      </c>
    </row>
    <row r="2435" spans="1:4" x14ac:dyDescent="0.35">
      <c r="A2435" s="40" t="e">
        <f>IF(OR(_xlfn.XLOOKUP("",Assessment!H:H,Assessment!E:E)="yes"),"Yes","No")</f>
        <v>#N/A</v>
      </c>
      <c r="D2435" s="40" t="s">
        <v>9405</v>
      </c>
    </row>
    <row r="2436" spans="1:4" x14ac:dyDescent="0.35">
      <c r="A2436" s="40" t="e">
        <f>IF(OR(_xlfn.XLOOKUP("",Assessment!H:H,Assessment!E:E)="yes"),"Yes","No")</f>
        <v>#N/A</v>
      </c>
      <c r="D2436" s="40" t="s">
        <v>9405</v>
      </c>
    </row>
    <row r="2437" spans="1:4" x14ac:dyDescent="0.35">
      <c r="A2437" s="40" t="e">
        <f>IF(OR(_xlfn.XLOOKUP("",Assessment!H:H,Assessment!E:E)="yes"),"Yes","No")</f>
        <v>#N/A</v>
      </c>
      <c r="D2437" s="40" t="s">
        <v>9405</v>
      </c>
    </row>
    <row r="2438" spans="1:4" x14ac:dyDescent="0.35">
      <c r="A2438" s="40" t="e">
        <f>IF(OR(_xlfn.XLOOKUP("",Assessment!H:H,Assessment!E:E)="yes"),"Yes","No")</f>
        <v>#N/A</v>
      </c>
      <c r="D2438" s="40" t="s">
        <v>9405</v>
      </c>
    </row>
    <row r="2439" spans="1:4" x14ac:dyDescent="0.35">
      <c r="A2439" s="40" t="e">
        <f>IF(OR(_xlfn.XLOOKUP("",Assessment!H:H,Assessment!E:E)="yes"),"Yes","No")</f>
        <v>#N/A</v>
      </c>
      <c r="D2439" s="40" t="s">
        <v>9405</v>
      </c>
    </row>
    <row r="2440" spans="1:4" x14ac:dyDescent="0.35">
      <c r="A2440" s="40" t="e">
        <f>IF(OR(_xlfn.XLOOKUP("",Assessment!H:H,Assessment!E:E)="yes"),"Yes","No")</f>
        <v>#N/A</v>
      </c>
      <c r="D2440" s="40" t="s">
        <v>9405</v>
      </c>
    </row>
    <row r="2441" spans="1:4" x14ac:dyDescent="0.35">
      <c r="A2441" s="40" t="e">
        <f>IF(OR(_xlfn.XLOOKUP("",Assessment!H:H,Assessment!E:E)="yes"),"Yes","No")</f>
        <v>#N/A</v>
      </c>
      <c r="D2441" s="40" t="s">
        <v>9405</v>
      </c>
    </row>
    <row r="2442" spans="1:4" x14ac:dyDescent="0.35">
      <c r="A2442" s="40" t="e">
        <f>IF(OR(_xlfn.XLOOKUP("",Assessment!H:H,Assessment!E:E)="yes"),"Yes","No")</f>
        <v>#N/A</v>
      </c>
      <c r="D2442" s="40" t="s">
        <v>9405</v>
      </c>
    </row>
    <row r="2443" spans="1:4" x14ac:dyDescent="0.35">
      <c r="A2443" s="40" t="e">
        <f>IF(OR(_xlfn.XLOOKUP("",Assessment!H:H,Assessment!E:E)="yes"),"Yes","No")</f>
        <v>#N/A</v>
      </c>
      <c r="D2443" s="40" t="s">
        <v>9405</v>
      </c>
    </row>
    <row r="2444" spans="1:4" x14ac:dyDescent="0.35">
      <c r="A2444" s="40" t="e">
        <f>IF(OR(_xlfn.XLOOKUP("",Assessment!H:H,Assessment!E:E)="yes"),"Yes","No")</f>
        <v>#N/A</v>
      </c>
      <c r="D2444" s="40" t="s">
        <v>9405</v>
      </c>
    </row>
    <row r="2445" spans="1:4" x14ac:dyDescent="0.35">
      <c r="A2445" s="40" t="e">
        <f>IF(OR(_xlfn.XLOOKUP("",Assessment!H:H,Assessment!E:E)="yes"),"Yes","No")</f>
        <v>#N/A</v>
      </c>
      <c r="D2445" s="40" t="s">
        <v>9405</v>
      </c>
    </row>
    <row r="2446" spans="1:4" x14ac:dyDescent="0.35">
      <c r="A2446" s="40" t="e">
        <f>IF(OR(_xlfn.XLOOKUP("",Assessment!H:H,Assessment!E:E)="yes"),"Yes","No")</f>
        <v>#N/A</v>
      </c>
      <c r="D2446" s="40" t="s">
        <v>9405</v>
      </c>
    </row>
    <row r="2447" spans="1:4" x14ac:dyDescent="0.35">
      <c r="A2447" s="40" t="e">
        <f>IF(OR(_xlfn.XLOOKUP("",Assessment!H:H,Assessment!E:E)="yes"),"Yes","No")</f>
        <v>#N/A</v>
      </c>
      <c r="D2447" s="40" t="s">
        <v>9405</v>
      </c>
    </row>
    <row r="2448" spans="1:4" x14ac:dyDescent="0.35">
      <c r="A2448" s="40" t="e">
        <f>IF(OR(_xlfn.XLOOKUP("",Assessment!H:H,Assessment!E:E)="yes"),"Yes","No")</f>
        <v>#N/A</v>
      </c>
      <c r="D2448" s="40" t="s">
        <v>9405</v>
      </c>
    </row>
    <row r="2449" spans="1:4" x14ac:dyDescent="0.35">
      <c r="A2449" s="40" t="e">
        <f>IF(OR(_xlfn.XLOOKUP("",Assessment!H:H,Assessment!E:E)="yes"),"Yes","No")</f>
        <v>#N/A</v>
      </c>
      <c r="D2449" s="40" t="s">
        <v>9405</v>
      </c>
    </row>
    <row r="2450" spans="1:4" x14ac:dyDescent="0.35">
      <c r="A2450" s="40" t="e">
        <f>IF(OR(_xlfn.XLOOKUP("",Assessment!H:H,Assessment!E:E)="yes"),"Yes","No")</f>
        <v>#N/A</v>
      </c>
      <c r="D2450" s="40" t="s">
        <v>9405</v>
      </c>
    </row>
    <row r="2451" spans="1:4" x14ac:dyDescent="0.35">
      <c r="A2451" s="40" t="e">
        <f>IF(OR(_xlfn.XLOOKUP("",Assessment!H:H,Assessment!E:E)="yes"),"Yes","No")</f>
        <v>#N/A</v>
      </c>
      <c r="D2451" s="40" t="s">
        <v>9405</v>
      </c>
    </row>
    <row r="2452" spans="1:4" x14ac:dyDescent="0.35">
      <c r="A2452" s="40" t="e">
        <f>IF(OR(_xlfn.XLOOKUP("",Assessment!H:H,Assessment!E:E)="yes"),"Yes","No")</f>
        <v>#N/A</v>
      </c>
      <c r="D2452" s="40" t="s">
        <v>9405</v>
      </c>
    </row>
    <row r="2453" spans="1:4" x14ac:dyDescent="0.35">
      <c r="A2453" s="40" t="e">
        <f>IF(OR(_xlfn.XLOOKUP("",Assessment!H:H,Assessment!E:E)="yes"),"Yes","No")</f>
        <v>#N/A</v>
      </c>
      <c r="D2453" s="40" t="s">
        <v>9405</v>
      </c>
    </row>
    <row r="2454" spans="1:4" x14ac:dyDescent="0.35">
      <c r="A2454" s="40" t="e">
        <f>IF(OR(_xlfn.XLOOKUP("",Assessment!H:H,Assessment!E:E)="yes"),"Yes","No")</f>
        <v>#N/A</v>
      </c>
      <c r="D2454" s="40" t="s">
        <v>9405</v>
      </c>
    </row>
    <row r="2455" spans="1:4" x14ac:dyDescent="0.35">
      <c r="A2455" s="40" t="e">
        <f>IF(OR(_xlfn.XLOOKUP("",Assessment!H:H,Assessment!E:E)="yes"),"Yes","No")</f>
        <v>#N/A</v>
      </c>
      <c r="D2455" s="40" t="s">
        <v>9405</v>
      </c>
    </row>
    <row r="2456" spans="1:4" x14ac:dyDescent="0.35">
      <c r="A2456" s="40" t="e">
        <f>IF(OR(_xlfn.XLOOKUP("",Assessment!H:H,Assessment!E:E)="yes"),"Yes","No")</f>
        <v>#N/A</v>
      </c>
      <c r="D2456" s="40" t="s">
        <v>9405</v>
      </c>
    </row>
    <row r="2457" spans="1:4" x14ac:dyDescent="0.35">
      <c r="A2457" s="40" t="e">
        <f>IF(OR(_xlfn.XLOOKUP("",Assessment!H:H,Assessment!E:E)="yes"),"Yes","No")</f>
        <v>#N/A</v>
      </c>
      <c r="D2457" s="40" t="s">
        <v>9405</v>
      </c>
    </row>
    <row r="2458" spans="1:4" x14ac:dyDescent="0.35">
      <c r="A2458" s="40" t="e">
        <f>IF(OR(_xlfn.XLOOKUP("",Assessment!H:H,Assessment!E:E)="yes"),"Yes","No")</f>
        <v>#N/A</v>
      </c>
      <c r="D2458" s="40" t="s">
        <v>9405</v>
      </c>
    </row>
    <row r="2459" spans="1:4" x14ac:dyDescent="0.35">
      <c r="A2459" s="40" t="e">
        <f>IF(OR(_xlfn.XLOOKUP("",Assessment!H:H,Assessment!E:E)="yes"),"Yes","No")</f>
        <v>#N/A</v>
      </c>
      <c r="D2459" s="40" t="s">
        <v>9405</v>
      </c>
    </row>
    <row r="2460" spans="1:4" x14ac:dyDescent="0.35">
      <c r="A2460" s="40" t="e">
        <f>IF(OR(_xlfn.XLOOKUP("",Assessment!H:H,Assessment!E:E)="yes"),"Yes","No")</f>
        <v>#N/A</v>
      </c>
      <c r="D2460" s="40" t="s">
        <v>9405</v>
      </c>
    </row>
    <row r="2461" spans="1:4" x14ac:dyDescent="0.35">
      <c r="A2461" s="40" t="e">
        <f>IF(OR(_xlfn.XLOOKUP("",Assessment!H:H,Assessment!E:E)="yes"),"Yes","No")</f>
        <v>#N/A</v>
      </c>
      <c r="D2461" s="40" t="s">
        <v>9405</v>
      </c>
    </row>
    <row r="2462" spans="1:4" x14ac:dyDescent="0.35">
      <c r="A2462" s="40" t="e">
        <f>IF(OR(_xlfn.XLOOKUP("",Assessment!H:H,Assessment!E:E)="yes"),"Yes","No")</f>
        <v>#N/A</v>
      </c>
      <c r="D2462" s="40" t="s">
        <v>9405</v>
      </c>
    </row>
    <row r="2463" spans="1:4" x14ac:dyDescent="0.35">
      <c r="A2463" s="40" t="e">
        <f>IF(OR(_xlfn.XLOOKUP("",Assessment!H:H,Assessment!E:E)="yes"),"Yes","No")</f>
        <v>#N/A</v>
      </c>
      <c r="D2463" s="40" t="s">
        <v>9405</v>
      </c>
    </row>
    <row r="2464" spans="1:4" x14ac:dyDescent="0.35">
      <c r="A2464" s="40" t="e">
        <f>IF(OR(_xlfn.XLOOKUP("",Assessment!H:H,Assessment!E:E)="yes"),"Yes","No")</f>
        <v>#N/A</v>
      </c>
      <c r="D2464" s="40" t="s">
        <v>9405</v>
      </c>
    </row>
    <row r="2465" spans="1:4" x14ac:dyDescent="0.35">
      <c r="A2465" s="40" t="e">
        <f>IF(OR(_xlfn.XLOOKUP("",Assessment!H:H,Assessment!E:E)="yes"),"Yes","No")</f>
        <v>#N/A</v>
      </c>
      <c r="D2465" s="40" t="s">
        <v>9405</v>
      </c>
    </row>
    <row r="2466" spans="1:4" x14ac:dyDescent="0.35">
      <c r="A2466" s="40" t="e">
        <f>IF(OR(_xlfn.XLOOKUP("",Assessment!H:H,Assessment!E:E)="yes"),"Yes","No")</f>
        <v>#N/A</v>
      </c>
      <c r="D2466" s="40" t="s">
        <v>9405</v>
      </c>
    </row>
    <row r="2467" spans="1:4" x14ac:dyDescent="0.35">
      <c r="A2467" s="40" t="e">
        <f>IF(OR(_xlfn.XLOOKUP("",Assessment!H:H,Assessment!E:E)="yes"),"Yes","No")</f>
        <v>#N/A</v>
      </c>
      <c r="D2467" s="40" t="s">
        <v>9405</v>
      </c>
    </row>
    <row r="2468" spans="1:4" x14ac:dyDescent="0.35">
      <c r="A2468" s="40" t="e">
        <f>IF(OR(_xlfn.XLOOKUP("",Assessment!H:H,Assessment!E:E)="yes"),"Yes","No")</f>
        <v>#N/A</v>
      </c>
      <c r="D2468" s="40" t="s">
        <v>9405</v>
      </c>
    </row>
    <row r="2469" spans="1:4" x14ac:dyDescent="0.35">
      <c r="A2469" s="40" t="e">
        <f>IF(OR(_xlfn.XLOOKUP("",Assessment!H:H,Assessment!E:E)="yes"),"Yes","No")</f>
        <v>#N/A</v>
      </c>
      <c r="D2469" s="40" t="s">
        <v>9405</v>
      </c>
    </row>
    <row r="2470" spans="1:4" x14ac:dyDescent="0.35">
      <c r="A2470" s="40" t="e">
        <f>IF(OR(_xlfn.XLOOKUP("",Assessment!H:H,Assessment!E:E)="yes"),"Yes","No")</f>
        <v>#N/A</v>
      </c>
      <c r="D2470" s="40" t="s">
        <v>9405</v>
      </c>
    </row>
    <row r="2471" spans="1:4" x14ac:dyDescent="0.35">
      <c r="A2471" s="40" t="e">
        <f>IF(OR(_xlfn.XLOOKUP("",Assessment!H:H,Assessment!E:E)="yes"),"Yes","No")</f>
        <v>#N/A</v>
      </c>
      <c r="D2471" s="40" t="s">
        <v>9405</v>
      </c>
    </row>
    <row r="2472" spans="1:4" x14ac:dyDescent="0.35">
      <c r="A2472" s="40" t="e">
        <f>IF(OR(_xlfn.XLOOKUP("",Assessment!H:H,Assessment!E:E)="yes"),"Yes","No")</f>
        <v>#N/A</v>
      </c>
      <c r="D2472" s="40" t="s">
        <v>9405</v>
      </c>
    </row>
    <row r="2473" spans="1:4" x14ac:dyDescent="0.35">
      <c r="A2473" s="40" t="e">
        <f>IF(OR(_xlfn.XLOOKUP("",Assessment!H:H,Assessment!E:E)="yes"),"Yes","No")</f>
        <v>#N/A</v>
      </c>
      <c r="D2473" s="40" t="s">
        <v>9405</v>
      </c>
    </row>
    <row r="2474" spans="1:4" x14ac:dyDescent="0.35">
      <c r="A2474" s="40" t="e">
        <f>IF(OR(_xlfn.XLOOKUP("",Assessment!H:H,Assessment!E:E)="yes"),"Yes","No")</f>
        <v>#N/A</v>
      </c>
      <c r="D2474" s="40" t="s">
        <v>9405</v>
      </c>
    </row>
    <row r="2475" spans="1:4" x14ac:dyDescent="0.35">
      <c r="A2475" s="40" t="e">
        <f>IF(OR(_xlfn.XLOOKUP("",Assessment!H:H,Assessment!E:E)="yes"),"Yes","No")</f>
        <v>#N/A</v>
      </c>
      <c r="D2475" s="40" t="s">
        <v>9405</v>
      </c>
    </row>
    <row r="2476" spans="1:4" x14ac:dyDescent="0.35">
      <c r="A2476" s="40" t="e">
        <f>IF(OR(_xlfn.XLOOKUP("",Assessment!H:H,Assessment!E:E)="yes"),"Yes","No")</f>
        <v>#N/A</v>
      </c>
      <c r="D2476" s="40" t="s">
        <v>9405</v>
      </c>
    </row>
    <row r="2477" spans="1:4" x14ac:dyDescent="0.35">
      <c r="A2477" s="40" t="e">
        <f>IF(OR(_xlfn.XLOOKUP("",Assessment!H:H,Assessment!E:E)="yes"),"Yes","No")</f>
        <v>#N/A</v>
      </c>
      <c r="D2477" s="40" t="s">
        <v>9405</v>
      </c>
    </row>
    <row r="2478" spans="1:4" x14ac:dyDescent="0.35">
      <c r="A2478" s="40" t="e">
        <f>IF(OR(_xlfn.XLOOKUP("",Assessment!H:H,Assessment!E:E)="yes"),"Yes","No")</f>
        <v>#N/A</v>
      </c>
      <c r="D2478" s="40" t="s">
        <v>9405</v>
      </c>
    </row>
    <row r="2479" spans="1:4" x14ac:dyDescent="0.35">
      <c r="A2479" s="40" t="e">
        <f>IF(OR(_xlfn.XLOOKUP("",Assessment!H:H,Assessment!E:E)="yes"),"Yes","No")</f>
        <v>#N/A</v>
      </c>
      <c r="D2479" s="40" t="s">
        <v>9405</v>
      </c>
    </row>
    <row r="2480" spans="1:4" x14ac:dyDescent="0.35">
      <c r="A2480" s="40" t="e">
        <f>IF(OR(_xlfn.XLOOKUP("",Assessment!H:H,Assessment!E:E)="yes"),"Yes","No")</f>
        <v>#N/A</v>
      </c>
      <c r="D2480" s="40" t="s">
        <v>9405</v>
      </c>
    </row>
    <row r="2481" spans="1:4" x14ac:dyDescent="0.35">
      <c r="A2481" s="40" t="e">
        <f>IF(OR(_xlfn.XLOOKUP("",Assessment!H:H,Assessment!E:E)="yes"),"Yes","No")</f>
        <v>#N/A</v>
      </c>
      <c r="D2481" s="40" t="s">
        <v>9405</v>
      </c>
    </row>
    <row r="2482" spans="1:4" x14ac:dyDescent="0.35">
      <c r="A2482" s="40" t="e">
        <f>IF(OR(_xlfn.XLOOKUP("",Assessment!H:H,Assessment!E:E)="yes"),"Yes","No")</f>
        <v>#N/A</v>
      </c>
      <c r="D2482" s="40" t="s">
        <v>9405</v>
      </c>
    </row>
    <row r="2483" spans="1:4" x14ac:dyDescent="0.35">
      <c r="A2483" s="40" t="e">
        <f>IF(OR(_xlfn.XLOOKUP("",Assessment!H:H,Assessment!E:E)="yes"),"Yes","No")</f>
        <v>#N/A</v>
      </c>
      <c r="D2483" s="40" t="s">
        <v>9405</v>
      </c>
    </row>
    <row r="2484" spans="1:4" x14ac:dyDescent="0.35">
      <c r="A2484" s="40" t="e">
        <f>IF(OR(_xlfn.XLOOKUP("",Assessment!H:H,Assessment!E:E)="yes"),"Yes","No")</f>
        <v>#N/A</v>
      </c>
      <c r="D2484" s="40" t="s">
        <v>9405</v>
      </c>
    </row>
    <row r="2485" spans="1:4" x14ac:dyDescent="0.35">
      <c r="A2485" s="40" t="e">
        <f>IF(OR(_xlfn.XLOOKUP("",Assessment!H:H,Assessment!E:E)="yes"),"Yes","No")</f>
        <v>#N/A</v>
      </c>
      <c r="D2485" s="40" t="s">
        <v>9405</v>
      </c>
    </row>
    <row r="2486" spans="1:4" x14ac:dyDescent="0.35">
      <c r="A2486" s="40" t="e">
        <f>IF(OR(_xlfn.XLOOKUP("",Assessment!H:H,Assessment!E:E)="yes"),"Yes","No")</f>
        <v>#N/A</v>
      </c>
      <c r="D2486" s="40" t="s">
        <v>9405</v>
      </c>
    </row>
    <row r="2487" spans="1:4" x14ac:dyDescent="0.35">
      <c r="A2487" s="40" t="e">
        <f>IF(OR(_xlfn.XLOOKUP("",Assessment!H:H,Assessment!E:E)="yes"),"Yes","No")</f>
        <v>#N/A</v>
      </c>
      <c r="D2487" s="40" t="s">
        <v>9405</v>
      </c>
    </row>
    <row r="2488" spans="1:4" x14ac:dyDescent="0.35">
      <c r="A2488" s="40" t="e">
        <f>IF(OR(_xlfn.XLOOKUP("",Assessment!H:H,Assessment!E:E)="yes"),"Yes","No")</f>
        <v>#N/A</v>
      </c>
      <c r="D2488" s="40" t="s">
        <v>9405</v>
      </c>
    </row>
    <row r="2489" spans="1:4" x14ac:dyDescent="0.35">
      <c r="A2489" s="40" t="e">
        <f>IF(OR(_xlfn.XLOOKUP("",Assessment!H:H,Assessment!E:E)="yes"),"Yes","No")</f>
        <v>#N/A</v>
      </c>
      <c r="D2489" s="40" t="s">
        <v>9405</v>
      </c>
    </row>
    <row r="2490" spans="1:4" x14ac:dyDescent="0.35">
      <c r="A2490" s="40" t="e">
        <f>IF(OR(_xlfn.XLOOKUP("",Assessment!H:H,Assessment!E:E)="yes"),"Yes","No")</f>
        <v>#N/A</v>
      </c>
      <c r="D2490" s="40" t="s">
        <v>9405</v>
      </c>
    </row>
    <row r="2491" spans="1:4" x14ac:dyDescent="0.35">
      <c r="A2491" s="40" t="e">
        <f>IF(OR(_xlfn.XLOOKUP("",Assessment!H:H,Assessment!E:E)="yes"),"Yes","No")</f>
        <v>#N/A</v>
      </c>
      <c r="D2491" s="40" t="s">
        <v>9405</v>
      </c>
    </row>
    <row r="2492" spans="1:4" x14ac:dyDescent="0.35">
      <c r="A2492" s="40" t="e">
        <f>IF(OR(_xlfn.XLOOKUP("",Assessment!H:H,Assessment!E:E)="yes"),"Yes","No")</f>
        <v>#N/A</v>
      </c>
      <c r="D2492" s="40" t="s">
        <v>9405</v>
      </c>
    </row>
    <row r="2493" spans="1:4" x14ac:dyDescent="0.35">
      <c r="A2493" s="40" t="e">
        <f>IF(OR(_xlfn.XLOOKUP("",Assessment!H:H,Assessment!E:E)="yes"),"Yes","No")</f>
        <v>#N/A</v>
      </c>
      <c r="D2493" s="40" t="s">
        <v>9405</v>
      </c>
    </row>
    <row r="2494" spans="1:4" x14ac:dyDescent="0.35">
      <c r="A2494" s="40" t="e">
        <f>IF(OR(_xlfn.XLOOKUP("",Assessment!H:H,Assessment!E:E)="yes"),"Yes","No")</f>
        <v>#N/A</v>
      </c>
      <c r="D2494" s="40" t="s">
        <v>9405</v>
      </c>
    </row>
    <row r="2495" spans="1:4" x14ac:dyDescent="0.35">
      <c r="A2495" s="40" t="e">
        <f>IF(OR(_xlfn.XLOOKUP("",Assessment!H:H,Assessment!E:E)="yes"),"Yes","No")</f>
        <v>#N/A</v>
      </c>
      <c r="D2495" s="40" t="s">
        <v>9405</v>
      </c>
    </row>
    <row r="2496" spans="1:4" x14ac:dyDescent="0.35">
      <c r="A2496" s="40" t="e">
        <f>IF(OR(_xlfn.XLOOKUP("",Assessment!H:H,Assessment!E:E)="yes"),"Yes","No")</f>
        <v>#N/A</v>
      </c>
      <c r="D2496" s="40" t="s">
        <v>9405</v>
      </c>
    </row>
    <row r="2497" spans="1:4" x14ac:dyDescent="0.35">
      <c r="A2497" s="40" t="e">
        <f>IF(OR(_xlfn.XLOOKUP("",Assessment!H:H,Assessment!E:E)="yes"),"Yes","No")</f>
        <v>#N/A</v>
      </c>
      <c r="D2497" s="40" t="s">
        <v>9405</v>
      </c>
    </row>
    <row r="2498" spans="1:4" x14ac:dyDescent="0.35">
      <c r="A2498" s="40" t="e">
        <f>IF(OR(_xlfn.XLOOKUP("",Assessment!H:H,Assessment!E:E)="yes"),"Yes","No")</f>
        <v>#N/A</v>
      </c>
      <c r="D2498" s="40" t="s">
        <v>9405</v>
      </c>
    </row>
    <row r="2499" spans="1:4" x14ac:dyDescent="0.35">
      <c r="A2499" s="40" t="e">
        <f>IF(OR(_xlfn.XLOOKUP("",Assessment!H:H,Assessment!E:E)="yes"),"Yes","No")</f>
        <v>#N/A</v>
      </c>
      <c r="D2499" s="40" t="s">
        <v>9405</v>
      </c>
    </row>
    <row r="2500" spans="1:4" x14ac:dyDescent="0.35">
      <c r="A2500" s="40" t="e">
        <f>IF(OR(_xlfn.XLOOKUP("",Assessment!H:H,Assessment!E:E)="yes"),"Yes","No")</f>
        <v>#N/A</v>
      </c>
      <c r="D2500" s="40" t="s">
        <v>9405</v>
      </c>
    </row>
    <row r="2501" spans="1:4" x14ac:dyDescent="0.35">
      <c r="A2501" s="40" t="e">
        <f>IF(OR(_xlfn.XLOOKUP("",Assessment!H:H,Assessment!E:E)="yes"),"Yes","No")</f>
        <v>#N/A</v>
      </c>
      <c r="D2501" s="40" t="s">
        <v>9405</v>
      </c>
    </row>
    <row r="2502" spans="1:4" x14ac:dyDescent="0.35">
      <c r="A2502" s="40" t="e">
        <f>IF(OR(_xlfn.XLOOKUP("",Assessment!H:H,Assessment!E:E)="yes"),"Yes","No")</f>
        <v>#N/A</v>
      </c>
      <c r="D2502" s="40" t="s">
        <v>9405</v>
      </c>
    </row>
    <row r="2503" spans="1:4" x14ac:dyDescent="0.35">
      <c r="A2503" s="40" t="e">
        <f>IF(OR(_xlfn.XLOOKUP("",Assessment!H:H,Assessment!E:E)="yes"),"Yes","No")</f>
        <v>#N/A</v>
      </c>
      <c r="D2503" s="40" t="s">
        <v>9405</v>
      </c>
    </row>
    <row r="2504" spans="1:4" x14ac:dyDescent="0.35">
      <c r="A2504" s="40" t="e">
        <f>IF(OR(_xlfn.XLOOKUP("",Assessment!H:H,Assessment!E:E)="yes"),"Yes","No")</f>
        <v>#N/A</v>
      </c>
      <c r="D2504" s="40" t="s">
        <v>9405</v>
      </c>
    </row>
    <row r="2505" spans="1:4" x14ac:dyDescent="0.35">
      <c r="A2505" s="40" t="e">
        <f>IF(OR(_xlfn.XLOOKUP("",Assessment!H:H,Assessment!E:E)="yes"),"Yes","No")</f>
        <v>#N/A</v>
      </c>
      <c r="D2505" s="40" t="s">
        <v>9405</v>
      </c>
    </row>
    <row r="2506" spans="1:4" x14ac:dyDescent="0.35">
      <c r="A2506" s="40" t="e">
        <f>IF(OR(_xlfn.XLOOKUP("",Assessment!H:H,Assessment!E:E)="yes"),"Yes","No")</f>
        <v>#N/A</v>
      </c>
      <c r="D2506" s="40" t="s">
        <v>9405</v>
      </c>
    </row>
    <row r="2507" spans="1:4" x14ac:dyDescent="0.35">
      <c r="A2507" s="40" t="e">
        <f>IF(OR(_xlfn.XLOOKUP("",Assessment!H:H,Assessment!E:E)="yes"),"Yes","No")</f>
        <v>#N/A</v>
      </c>
      <c r="D2507" s="40" t="s">
        <v>9405</v>
      </c>
    </row>
    <row r="2508" spans="1:4" x14ac:dyDescent="0.35">
      <c r="A2508" s="40" t="e">
        <f>IF(OR(_xlfn.XLOOKUP("",Assessment!H:H,Assessment!E:E)="yes"),"Yes","No")</f>
        <v>#N/A</v>
      </c>
      <c r="D2508" s="40" t="s">
        <v>9405</v>
      </c>
    </row>
    <row r="2509" spans="1:4" x14ac:dyDescent="0.35">
      <c r="A2509" s="40" t="e">
        <f>IF(OR(_xlfn.XLOOKUP("",Assessment!H:H,Assessment!E:E)="yes"),"Yes","No")</f>
        <v>#N/A</v>
      </c>
      <c r="D2509" s="40" t="s">
        <v>9405</v>
      </c>
    </row>
    <row r="2510" spans="1:4" x14ac:dyDescent="0.35">
      <c r="A2510" s="40" t="e">
        <f>IF(OR(_xlfn.XLOOKUP("",Assessment!H:H,Assessment!E:E)="yes"),"Yes","No")</f>
        <v>#N/A</v>
      </c>
      <c r="D2510" s="40" t="s">
        <v>9405</v>
      </c>
    </row>
    <row r="2511" spans="1:4" x14ac:dyDescent="0.35">
      <c r="A2511" s="40" t="e">
        <f>IF(OR(_xlfn.XLOOKUP("",Assessment!H:H,Assessment!E:E)="yes"),"Yes","No")</f>
        <v>#N/A</v>
      </c>
      <c r="D2511" s="40" t="s">
        <v>9405</v>
      </c>
    </row>
    <row r="2512" spans="1:4" x14ac:dyDescent="0.35">
      <c r="A2512" s="40" t="e">
        <f>IF(OR(_xlfn.XLOOKUP("",Assessment!H:H,Assessment!E:E)="yes"),"Yes","No")</f>
        <v>#N/A</v>
      </c>
      <c r="D2512" s="40" t="s">
        <v>9405</v>
      </c>
    </row>
    <row r="2513" spans="1:4" x14ac:dyDescent="0.35">
      <c r="A2513" s="40" t="e">
        <f>IF(OR(_xlfn.XLOOKUP("",Assessment!H:H,Assessment!E:E)="yes"),"Yes","No")</f>
        <v>#N/A</v>
      </c>
      <c r="D2513" s="40" t="s">
        <v>9405</v>
      </c>
    </row>
    <row r="2514" spans="1:4" x14ac:dyDescent="0.35">
      <c r="A2514" s="40" t="e">
        <f>IF(OR(_xlfn.XLOOKUP("",Assessment!H:H,Assessment!E:E)="yes"),"Yes","No")</f>
        <v>#N/A</v>
      </c>
      <c r="D2514" s="40" t="s">
        <v>9405</v>
      </c>
    </row>
    <row r="2515" spans="1:4" x14ac:dyDescent="0.35">
      <c r="A2515" s="40" t="e">
        <f>IF(OR(_xlfn.XLOOKUP("",Assessment!H:H,Assessment!E:E)="yes"),"Yes","No")</f>
        <v>#N/A</v>
      </c>
      <c r="D2515" s="40" t="s">
        <v>9405</v>
      </c>
    </row>
    <row r="2516" spans="1:4" x14ac:dyDescent="0.35">
      <c r="A2516" s="40" t="e">
        <f>IF(OR(_xlfn.XLOOKUP("",Assessment!H:H,Assessment!E:E)="yes"),"Yes","No")</f>
        <v>#N/A</v>
      </c>
      <c r="D2516" s="40" t="s">
        <v>9405</v>
      </c>
    </row>
    <row r="2517" spans="1:4" x14ac:dyDescent="0.35">
      <c r="A2517" s="40" t="e">
        <f>IF(OR(_xlfn.XLOOKUP("",Assessment!H:H,Assessment!E:E)="yes"),"Yes","No")</f>
        <v>#N/A</v>
      </c>
      <c r="D2517" s="40" t="s">
        <v>9405</v>
      </c>
    </row>
    <row r="2518" spans="1:4" x14ac:dyDescent="0.35">
      <c r="A2518" s="40" t="e">
        <f>IF(OR(_xlfn.XLOOKUP("",Assessment!H:H,Assessment!E:E)="yes"),"Yes","No")</f>
        <v>#N/A</v>
      </c>
      <c r="D2518" s="40" t="s">
        <v>9405</v>
      </c>
    </row>
    <row r="2519" spans="1:4" x14ac:dyDescent="0.35">
      <c r="A2519" s="40" t="e">
        <f>IF(OR(_xlfn.XLOOKUP("",Assessment!H:H,Assessment!E:E)="yes"),"Yes","No")</f>
        <v>#N/A</v>
      </c>
      <c r="D2519" s="40" t="s">
        <v>9405</v>
      </c>
    </row>
    <row r="2520" spans="1:4" x14ac:dyDescent="0.35">
      <c r="A2520" s="40" t="e">
        <f>IF(OR(_xlfn.XLOOKUP("",Assessment!H:H,Assessment!E:E)="yes"),"Yes","No")</f>
        <v>#N/A</v>
      </c>
      <c r="D2520" s="40" t="s">
        <v>9405</v>
      </c>
    </row>
    <row r="2521" spans="1:4" x14ac:dyDescent="0.35">
      <c r="A2521" s="40" t="e">
        <f>IF(OR(_xlfn.XLOOKUP("",Assessment!H:H,Assessment!E:E)="yes"),"Yes","No")</f>
        <v>#N/A</v>
      </c>
      <c r="D2521" s="40" t="s">
        <v>9405</v>
      </c>
    </row>
    <row r="2522" spans="1:4" x14ac:dyDescent="0.35">
      <c r="A2522" s="40" t="e">
        <f>IF(OR(_xlfn.XLOOKUP("",Assessment!H:H,Assessment!E:E)="yes"),"Yes","No")</f>
        <v>#N/A</v>
      </c>
      <c r="D2522" s="40" t="s">
        <v>9405</v>
      </c>
    </row>
    <row r="2523" spans="1:4" x14ac:dyDescent="0.35">
      <c r="A2523" s="40" t="e">
        <f>IF(OR(_xlfn.XLOOKUP("",Assessment!H:H,Assessment!E:E)="yes"),"Yes","No")</f>
        <v>#N/A</v>
      </c>
      <c r="D2523" s="40" t="s">
        <v>9405</v>
      </c>
    </row>
    <row r="2524" spans="1:4" x14ac:dyDescent="0.35">
      <c r="A2524" s="40" t="e">
        <f>IF(OR(_xlfn.XLOOKUP("",Assessment!H:H,Assessment!E:E)="yes"),"Yes","No")</f>
        <v>#N/A</v>
      </c>
      <c r="D2524" s="40" t="s">
        <v>9405</v>
      </c>
    </row>
    <row r="2525" spans="1:4" x14ac:dyDescent="0.35">
      <c r="A2525" s="40" t="e">
        <f>IF(OR(_xlfn.XLOOKUP("",Assessment!H:H,Assessment!E:E)="yes"),"Yes","No")</f>
        <v>#N/A</v>
      </c>
      <c r="D2525" s="40" t="s">
        <v>9405</v>
      </c>
    </row>
    <row r="2526" spans="1:4" x14ac:dyDescent="0.35">
      <c r="A2526" s="40" t="e">
        <f>IF(OR(_xlfn.XLOOKUP("",Assessment!H:H,Assessment!E:E)="yes"),"Yes","No")</f>
        <v>#N/A</v>
      </c>
      <c r="D2526" s="40" t="s">
        <v>9405</v>
      </c>
    </row>
    <row r="2527" spans="1:4" x14ac:dyDescent="0.35">
      <c r="A2527" s="40" t="e">
        <f>IF(OR(_xlfn.XLOOKUP("",Assessment!H:H,Assessment!E:E)="yes"),"Yes","No")</f>
        <v>#N/A</v>
      </c>
      <c r="D2527" s="40" t="s">
        <v>9405</v>
      </c>
    </row>
    <row r="2528" spans="1:4" x14ac:dyDescent="0.35">
      <c r="A2528" s="40" t="e">
        <f>IF(OR(_xlfn.XLOOKUP("",Assessment!H:H,Assessment!E:E)="yes"),"Yes","No")</f>
        <v>#N/A</v>
      </c>
      <c r="D2528" s="40" t="s">
        <v>9405</v>
      </c>
    </row>
    <row r="2529" spans="1:4" x14ac:dyDescent="0.35">
      <c r="A2529" s="40" t="e">
        <f>IF(OR(_xlfn.XLOOKUP("",Assessment!H:H,Assessment!E:E)="yes"),"Yes","No")</f>
        <v>#N/A</v>
      </c>
      <c r="D2529" s="40" t="s">
        <v>9405</v>
      </c>
    </row>
    <row r="2530" spans="1:4" x14ac:dyDescent="0.35">
      <c r="A2530" s="40" t="e">
        <f>IF(OR(_xlfn.XLOOKUP("",Assessment!H:H,Assessment!E:E)="yes"),"Yes","No")</f>
        <v>#N/A</v>
      </c>
      <c r="D2530" s="40" t="s">
        <v>9405</v>
      </c>
    </row>
    <row r="2531" spans="1:4" x14ac:dyDescent="0.35">
      <c r="A2531" s="40" t="e">
        <f>IF(OR(_xlfn.XLOOKUP("",Assessment!H:H,Assessment!E:E)="yes"),"Yes","No")</f>
        <v>#N/A</v>
      </c>
      <c r="D2531" s="40" t="s">
        <v>9405</v>
      </c>
    </row>
    <row r="2532" spans="1:4" x14ac:dyDescent="0.35">
      <c r="A2532" s="40" t="e">
        <f>IF(OR(_xlfn.XLOOKUP("",Assessment!H:H,Assessment!E:E)="yes"),"Yes","No")</f>
        <v>#N/A</v>
      </c>
      <c r="D2532" s="40" t="s">
        <v>9405</v>
      </c>
    </row>
    <row r="2533" spans="1:4" x14ac:dyDescent="0.35">
      <c r="A2533" s="40" t="e">
        <f>IF(OR(_xlfn.XLOOKUP("",Assessment!H:H,Assessment!E:E)="yes"),"Yes","No")</f>
        <v>#N/A</v>
      </c>
      <c r="D2533" s="40" t="s">
        <v>9405</v>
      </c>
    </row>
    <row r="2534" spans="1:4" x14ac:dyDescent="0.35">
      <c r="A2534" s="40" t="e">
        <f>IF(OR(_xlfn.XLOOKUP("",Assessment!H:H,Assessment!E:E)="yes"),"Yes","No")</f>
        <v>#N/A</v>
      </c>
      <c r="D2534" s="40" t="s">
        <v>9405</v>
      </c>
    </row>
    <row r="2535" spans="1:4" x14ac:dyDescent="0.35">
      <c r="A2535" s="40" t="e">
        <f>IF(OR(_xlfn.XLOOKUP("",Assessment!H:H,Assessment!E:E)="yes"),"Yes","No")</f>
        <v>#N/A</v>
      </c>
      <c r="D2535" s="40" t="s">
        <v>9405</v>
      </c>
    </row>
    <row r="2536" spans="1:4" x14ac:dyDescent="0.35">
      <c r="A2536" s="40" t="e">
        <f>IF(OR(_xlfn.XLOOKUP("",Assessment!H:H,Assessment!E:E)="yes"),"Yes","No")</f>
        <v>#N/A</v>
      </c>
      <c r="D2536" s="40" t="s">
        <v>9405</v>
      </c>
    </row>
    <row r="2537" spans="1:4" x14ac:dyDescent="0.35">
      <c r="A2537" s="40" t="e">
        <f>IF(OR(_xlfn.XLOOKUP("",Assessment!H:H,Assessment!E:E)="yes"),"Yes","No")</f>
        <v>#N/A</v>
      </c>
      <c r="D2537" s="40" t="s">
        <v>9405</v>
      </c>
    </row>
    <row r="2538" spans="1:4" x14ac:dyDescent="0.35">
      <c r="A2538" s="40" t="e">
        <f>IF(OR(_xlfn.XLOOKUP("",Assessment!H:H,Assessment!E:E)="yes"),"Yes","No")</f>
        <v>#N/A</v>
      </c>
      <c r="D2538" s="40" t="s">
        <v>9405</v>
      </c>
    </row>
    <row r="2539" spans="1:4" x14ac:dyDescent="0.35">
      <c r="A2539" s="40" t="e">
        <f>IF(OR(_xlfn.XLOOKUP("",Assessment!H:H,Assessment!E:E)="yes"),"Yes","No")</f>
        <v>#N/A</v>
      </c>
      <c r="D2539" s="40" t="s">
        <v>9405</v>
      </c>
    </row>
    <row r="2540" spans="1:4" x14ac:dyDescent="0.35">
      <c r="A2540" s="40" t="e">
        <f>IF(OR(_xlfn.XLOOKUP("",Assessment!H:H,Assessment!E:E)="yes"),"Yes","No")</f>
        <v>#N/A</v>
      </c>
      <c r="D2540" s="40" t="s">
        <v>9405</v>
      </c>
    </row>
    <row r="2541" spans="1:4" x14ac:dyDescent="0.35">
      <c r="A2541" s="40" t="e">
        <f>IF(OR(_xlfn.XLOOKUP("",Assessment!H:H,Assessment!E:E)="yes"),"Yes","No")</f>
        <v>#N/A</v>
      </c>
      <c r="D2541" s="40" t="s">
        <v>9405</v>
      </c>
    </row>
    <row r="2542" spans="1:4" x14ac:dyDescent="0.35">
      <c r="A2542" s="40" t="e">
        <f>IF(OR(_xlfn.XLOOKUP("",Assessment!H:H,Assessment!E:E)="yes"),"Yes","No")</f>
        <v>#N/A</v>
      </c>
      <c r="D2542" s="40" t="s">
        <v>9405</v>
      </c>
    </row>
    <row r="2543" spans="1:4" x14ac:dyDescent="0.35">
      <c r="A2543" s="40" t="e">
        <f>IF(OR(_xlfn.XLOOKUP("",Assessment!H:H,Assessment!E:E)="yes"),"Yes","No")</f>
        <v>#N/A</v>
      </c>
      <c r="D2543" s="40" t="s">
        <v>9405</v>
      </c>
    </row>
    <row r="2544" spans="1:4" x14ac:dyDescent="0.35">
      <c r="A2544" s="40" t="e">
        <f>IF(OR(_xlfn.XLOOKUP("",Assessment!H:H,Assessment!E:E)="yes"),"Yes","No")</f>
        <v>#N/A</v>
      </c>
      <c r="D2544" s="40" t="s">
        <v>9405</v>
      </c>
    </row>
    <row r="2545" spans="1:4" x14ac:dyDescent="0.35">
      <c r="A2545" s="40" t="e">
        <f>IF(OR(_xlfn.XLOOKUP("",Assessment!H:H,Assessment!E:E)="yes"),"Yes","No")</f>
        <v>#N/A</v>
      </c>
      <c r="D2545" s="40" t="s">
        <v>9405</v>
      </c>
    </row>
    <row r="2546" spans="1:4" x14ac:dyDescent="0.35">
      <c r="A2546" s="40" t="e">
        <f>IF(OR(_xlfn.XLOOKUP("",Assessment!H:H,Assessment!E:E)="yes"),"Yes","No")</f>
        <v>#N/A</v>
      </c>
      <c r="D2546" s="40" t="s">
        <v>9405</v>
      </c>
    </row>
    <row r="2547" spans="1:4" x14ac:dyDescent="0.35">
      <c r="A2547" s="40" t="e">
        <f>IF(OR(_xlfn.XLOOKUP("",Assessment!H:H,Assessment!E:E)="yes"),"Yes","No")</f>
        <v>#N/A</v>
      </c>
      <c r="D2547" s="40" t="s">
        <v>9405</v>
      </c>
    </row>
    <row r="2548" spans="1:4" x14ac:dyDescent="0.35">
      <c r="A2548" s="40" t="e">
        <f>IF(OR(_xlfn.XLOOKUP("",Assessment!H:H,Assessment!E:E)="yes"),"Yes","No")</f>
        <v>#N/A</v>
      </c>
      <c r="D2548" s="40" t="s">
        <v>9405</v>
      </c>
    </row>
    <row r="2549" spans="1:4" x14ac:dyDescent="0.35">
      <c r="A2549" s="40" t="e">
        <f>IF(OR(_xlfn.XLOOKUP("",Assessment!H:H,Assessment!E:E)="yes"),"Yes","No")</f>
        <v>#N/A</v>
      </c>
      <c r="D2549" s="40" t="s">
        <v>9405</v>
      </c>
    </row>
    <row r="2550" spans="1:4" x14ac:dyDescent="0.35">
      <c r="A2550" s="40" t="e">
        <f>IF(OR(_xlfn.XLOOKUP("",Assessment!H:H,Assessment!E:E)="yes"),"Yes","No")</f>
        <v>#N/A</v>
      </c>
      <c r="D2550" s="40" t="s">
        <v>9405</v>
      </c>
    </row>
    <row r="2551" spans="1:4" x14ac:dyDescent="0.35">
      <c r="A2551" s="40" t="e">
        <f>IF(OR(_xlfn.XLOOKUP("",Assessment!H:H,Assessment!E:E)="yes"),"Yes","No")</f>
        <v>#N/A</v>
      </c>
      <c r="D2551" s="40" t="s">
        <v>9405</v>
      </c>
    </row>
    <row r="2552" spans="1:4" x14ac:dyDescent="0.35">
      <c r="A2552" s="40" t="e">
        <f>IF(OR(_xlfn.XLOOKUP("",Assessment!H:H,Assessment!E:E)="yes"),"Yes","No")</f>
        <v>#N/A</v>
      </c>
      <c r="D2552" s="40" t="s">
        <v>9405</v>
      </c>
    </row>
    <row r="2553" spans="1:4" x14ac:dyDescent="0.35">
      <c r="A2553" s="40" t="e">
        <f>IF(OR(_xlfn.XLOOKUP("",Assessment!H:H,Assessment!E:E)="yes"),"Yes","No")</f>
        <v>#N/A</v>
      </c>
      <c r="D2553" s="40" t="s">
        <v>9405</v>
      </c>
    </row>
    <row r="2554" spans="1:4" x14ac:dyDescent="0.35">
      <c r="A2554" s="40" t="e">
        <f>IF(OR(_xlfn.XLOOKUP("",Assessment!H:H,Assessment!E:E)="yes"),"Yes","No")</f>
        <v>#N/A</v>
      </c>
      <c r="D2554" s="40" t="s">
        <v>9405</v>
      </c>
    </row>
    <row r="2555" spans="1:4" x14ac:dyDescent="0.35">
      <c r="A2555" s="40" t="e">
        <f>IF(OR(_xlfn.XLOOKUP("",Assessment!H:H,Assessment!E:E)="yes"),"Yes","No")</f>
        <v>#N/A</v>
      </c>
      <c r="D2555" s="40" t="s">
        <v>9405</v>
      </c>
    </row>
    <row r="2556" spans="1:4" x14ac:dyDescent="0.35">
      <c r="A2556" s="40" t="e">
        <f>IF(OR(_xlfn.XLOOKUP("",Assessment!H:H,Assessment!E:E)="yes"),"Yes","No")</f>
        <v>#N/A</v>
      </c>
      <c r="D2556" s="40" t="s">
        <v>9405</v>
      </c>
    </row>
    <row r="2557" spans="1:4" x14ac:dyDescent="0.35">
      <c r="A2557" s="40" t="e">
        <f>IF(OR(_xlfn.XLOOKUP("",Assessment!H:H,Assessment!E:E)="yes"),"Yes","No")</f>
        <v>#N/A</v>
      </c>
      <c r="D2557" s="40" t="s">
        <v>9405</v>
      </c>
    </row>
    <row r="2558" spans="1:4" x14ac:dyDescent="0.35">
      <c r="A2558" s="40" t="e">
        <f>IF(OR(_xlfn.XLOOKUP("",Assessment!H:H,Assessment!E:E)="yes"),"Yes","No")</f>
        <v>#N/A</v>
      </c>
      <c r="D2558" s="40" t="s">
        <v>9405</v>
      </c>
    </row>
    <row r="2559" spans="1:4" x14ac:dyDescent="0.35">
      <c r="A2559" s="40" t="e">
        <f>IF(OR(_xlfn.XLOOKUP("",Assessment!H:H,Assessment!E:E)="yes"),"Yes","No")</f>
        <v>#N/A</v>
      </c>
      <c r="D2559" s="40" t="s">
        <v>9405</v>
      </c>
    </row>
    <row r="2560" spans="1:4" x14ac:dyDescent="0.35">
      <c r="A2560" s="40" t="e">
        <f>IF(OR(_xlfn.XLOOKUP("",Assessment!H:H,Assessment!E:E)="yes"),"Yes","No")</f>
        <v>#N/A</v>
      </c>
      <c r="D2560" s="40" t="s">
        <v>9405</v>
      </c>
    </row>
    <row r="2561" spans="1:4" x14ac:dyDescent="0.35">
      <c r="A2561" s="40" t="e">
        <f>IF(OR(_xlfn.XLOOKUP("",Assessment!H:H,Assessment!E:E)="yes"),"Yes","No")</f>
        <v>#N/A</v>
      </c>
      <c r="D2561" s="40" t="s">
        <v>9405</v>
      </c>
    </row>
    <row r="2562" spans="1:4" x14ac:dyDescent="0.35">
      <c r="A2562" s="40" t="e">
        <f>IF(OR(_xlfn.XLOOKUP("",Assessment!H:H,Assessment!E:E)="yes"),"Yes","No")</f>
        <v>#N/A</v>
      </c>
      <c r="D2562" s="40" t="s">
        <v>9405</v>
      </c>
    </row>
    <row r="2563" spans="1:4" x14ac:dyDescent="0.35">
      <c r="A2563" s="40" t="e">
        <f>IF(OR(_xlfn.XLOOKUP("",Assessment!H:H,Assessment!E:E)="yes"),"Yes","No")</f>
        <v>#N/A</v>
      </c>
      <c r="D2563" s="40" t="s">
        <v>9405</v>
      </c>
    </row>
    <row r="2564" spans="1:4" x14ac:dyDescent="0.35">
      <c r="A2564" s="40" t="e">
        <f>IF(OR(_xlfn.XLOOKUP("",Assessment!H:H,Assessment!E:E)="yes"),"Yes","No")</f>
        <v>#N/A</v>
      </c>
      <c r="D2564" s="40" t="s">
        <v>9405</v>
      </c>
    </row>
    <row r="2565" spans="1:4" x14ac:dyDescent="0.35">
      <c r="A2565" s="40" t="e">
        <f>IF(OR(_xlfn.XLOOKUP("",Assessment!H:H,Assessment!E:E)="yes"),"Yes","No")</f>
        <v>#N/A</v>
      </c>
      <c r="D2565" s="40" t="s">
        <v>9405</v>
      </c>
    </row>
    <row r="2566" spans="1:4" x14ac:dyDescent="0.35">
      <c r="A2566" s="40" t="e">
        <f>IF(OR(_xlfn.XLOOKUP("",Assessment!H:H,Assessment!E:E)="yes"),"Yes","No")</f>
        <v>#N/A</v>
      </c>
      <c r="D2566" s="40" t="s">
        <v>9405</v>
      </c>
    </row>
    <row r="2567" spans="1:4" x14ac:dyDescent="0.35">
      <c r="A2567" s="40" t="e">
        <f>IF(OR(_xlfn.XLOOKUP("",Assessment!H:H,Assessment!E:E)="yes"),"Yes","No")</f>
        <v>#N/A</v>
      </c>
      <c r="D2567" s="40" t="s">
        <v>9405</v>
      </c>
    </row>
    <row r="2568" spans="1:4" x14ac:dyDescent="0.35">
      <c r="A2568" s="40" t="e">
        <f>IF(OR(_xlfn.XLOOKUP("",Assessment!H:H,Assessment!E:E)="yes"),"Yes","No")</f>
        <v>#N/A</v>
      </c>
      <c r="D2568" s="40" t="s">
        <v>9405</v>
      </c>
    </row>
    <row r="2569" spans="1:4" x14ac:dyDescent="0.35">
      <c r="A2569" s="40" t="e">
        <f>IF(OR(_xlfn.XLOOKUP("",Assessment!H:H,Assessment!E:E)="yes"),"Yes","No")</f>
        <v>#N/A</v>
      </c>
      <c r="D2569" s="40" t="s">
        <v>9405</v>
      </c>
    </row>
    <row r="2570" spans="1:4" x14ac:dyDescent="0.35">
      <c r="A2570" s="40" t="e">
        <f>IF(OR(_xlfn.XLOOKUP("",Assessment!H:H,Assessment!E:E)="yes"),"Yes","No")</f>
        <v>#N/A</v>
      </c>
      <c r="D2570" s="40" t="s">
        <v>9405</v>
      </c>
    </row>
    <row r="2571" spans="1:4" x14ac:dyDescent="0.35">
      <c r="A2571" s="40" t="e">
        <f>IF(OR(_xlfn.XLOOKUP("",Assessment!H:H,Assessment!E:E)="yes"),"Yes","No")</f>
        <v>#N/A</v>
      </c>
      <c r="D2571" s="40" t="s">
        <v>9405</v>
      </c>
    </row>
    <row r="2572" spans="1:4" x14ac:dyDescent="0.35">
      <c r="A2572" s="40" t="e">
        <f>IF(OR(_xlfn.XLOOKUP("",Assessment!H:H,Assessment!E:E)="yes"),"Yes","No")</f>
        <v>#N/A</v>
      </c>
      <c r="D2572" s="40" t="s">
        <v>9405</v>
      </c>
    </row>
    <row r="2573" spans="1:4" x14ac:dyDescent="0.35">
      <c r="A2573" s="40" t="e">
        <f>IF(OR(_xlfn.XLOOKUP("",Assessment!H:H,Assessment!E:E)="yes"),"Yes","No")</f>
        <v>#N/A</v>
      </c>
      <c r="D2573" s="40" t="s">
        <v>9405</v>
      </c>
    </row>
    <row r="2574" spans="1:4" x14ac:dyDescent="0.35">
      <c r="A2574" s="40" t="e">
        <f>IF(OR(_xlfn.XLOOKUP("",Assessment!H:H,Assessment!E:E)="yes"),"Yes","No")</f>
        <v>#N/A</v>
      </c>
      <c r="D2574" s="40" t="s">
        <v>9405</v>
      </c>
    </row>
    <row r="2575" spans="1:4" x14ac:dyDescent="0.35">
      <c r="A2575" s="40" t="e">
        <f>IF(OR(_xlfn.XLOOKUP("",Assessment!H:H,Assessment!E:E)="yes"),"Yes","No")</f>
        <v>#N/A</v>
      </c>
      <c r="D2575" s="40" t="s">
        <v>9405</v>
      </c>
    </row>
    <row r="2576" spans="1:4" x14ac:dyDescent="0.35">
      <c r="A2576" s="40" t="e">
        <f>IF(OR(_xlfn.XLOOKUP("",Assessment!H:H,Assessment!E:E)="yes"),"Yes","No")</f>
        <v>#N/A</v>
      </c>
      <c r="D2576" s="40" t="s">
        <v>9405</v>
      </c>
    </row>
    <row r="2577" spans="1:4" x14ac:dyDescent="0.35">
      <c r="A2577" s="40" t="e">
        <f>IF(OR(_xlfn.XLOOKUP("",Assessment!H:H,Assessment!E:E)="yes"),"Yes","No")</f>
        <v>#N/A</v>
      </c>
      <c r="D2577" s="40" t="s">
        <v>9405</v>
      </c>
    </row>
    <row r="2578" spans="1:4" x14ac:dyDescent="0.35">
      <c r="A2578" s="40" t="e">
        <f>IF(OR(_xlfn.XLOOKUP("",Assessment!H:H,Assessment!E:E)="yes"),"Yes","No")</f>
        <v>#N/A</v>
      </c>
      <c r="D2578" s="40" t="s">
        <v>9405</v>
      </c>
    </row>
    <row r="2579" spans="1:4" x14ac:dyDescent="0.35">
      <c r="A2579" s="40" t="e">
        <f>IF(OR(_xlfn.XLOOKUP("",Assessment!H:H,Assessment!E:E)="yes"),"Yes","No")</f>
        <v>#N/A</v>
      </c>
      <c r="D2579" s="40" t="s">
        <v>9405</v>
      </c>
    </row>
    <row r="2580" spans="1:4" x14ac:dyDescent="0.35">
      <c r="A2580" s="40" t="e">
        <f>IF(OR(_xlfn.XLOOKUP("",Assessment!H:H,Assessment!E:E)="yes"),"Yes","No")</f>
        <v>#N/A</v>
      </c>
      <c r="D2580" s="40" t="s">
        <v>9405</v>
      </c>
    </row>
    <row r="2581" spans="1:4" x14ac:dyDescent="0.35">
      <c r="A2581" s="40" t="e">
        <f>IF(OR(_xlfn.XLOOKUP("",Assessment!H:H,Assessment!E:E)="yes"),"Yes","No")</f>
        <v>#N/A</v>
      </c>
      <c r="D2581" s="40" t="s">
        <v>9405</v>
      </c>
    </row>
    <row r="2582" spans="1:4" x14ac:dyDescent="0.35">
      <c r="A2582" s="40" t="e">
        <f>IF(OR(_xlfn.XLOOKUP("",Assessment!H:H,Assessment!E:E)="yes"),"Yes","No")</f>
        <v>#N/A</v>
      </c>
      <c r="D2582" s="40" t="s">
        <v>9405</v>
      </c>
    </row>
    <row r="2583" spans="1:4" x14ac:dyDescent="0.35">
      <c r="A2583" s="40" t="e">
        <f>IF(OR(_xlfn.XLOOKUP("",Assessment!H:H,Assessment!E:E)="yes"),"Yes","No")</f>
        <v>#N/A</v>
      </c>
      <c r="D2583" s="40" t="s">
        <v>9405</v>
      </c>
    </row>
    <row r="2584" spans="1:4" x14ac:dyDescent="0.35">
      <c r="A2584" s="40" t="e">
        <f>IF(OR(_xlfn.XLOOKUP("",Assessment!H:H,Assessment!E:E)="yes"),"Yes","No")</f>
        <v>#N/A</v>
      </c>
      <c r="D2584" s="40" t="s">
        <v>9405</v>
      </c>
    </row>
    <row r="2585" spans="1:4" x14ac:dyDescent="0.35">
      <c r="A2585" s="40" t="e">
        <f>IF(OR(_xlfn.XLOOKUP("",Assessment!H:H,Assessment!E:E)="yes"),"Yes","No")</f>
        <v>#N/A</v>
      </c>
      <c r="D2585" s="40" t="s">
        <v>9405</v>
      </c>
    </row>
    <row r="2586" spans="1:4" x14ac:dyDescent="0.35">
      <c r="A2586" s="40" t="e">
        <f>IF(OR(_xlfn.XLOOKUP("",Assessment!H:H,Assessment!E:E)="yes"),"Yes","No")</f>
        <v>#N/A</v>
      </c>
      <c r="D2586" s="40" t="s">
        <v>9405</v>
      </c>
    </row>
    <row r="2587" spans="1:4" x14ac:dyDescent="0.35">
      <c r="A2587" s="40" t="e">
        <f>IF(OR(_xlfn.XLOOKUP("",Assessment!H:H,Assessment!E:E)="yes"),"Yes","No")</f>
        <v>#N/A</v>
      </c>
      <c r="D2587" s="40" t="s">
        <v>9405</v>
      </c>
    </row>
    <row r="2588" spans="1:4" x14ac:dyDescent="0.35">
      <c r="A2588" s="40" t="e">
        <f>IF(OR(_xlfn.XLOOKUP("",Assessment!H:H,Assessment!E:E)="yes"),"Yes","No")</f>
        <v>#N/A</v>
      </c>
      <c r="D2588" s="40" t="s">
        <v>9405</v>
      </c>
    </row>
    <row r="2589" spans="1:4" x14ac:dyDescent="0.35">
      <c r="A2589" s="40" t="e">
        <f>IF(OR(_xlfn.XLOOKUP("",Assessment!H:H,Assessment!E:E)="yes"),"Yes","No")</f>
        <v>#N/A</v>
      </c>
      <c r="D2589" s="40" t="s">
        <v>9405</v>
      </c>
    </row>
    <row r="2590" spans="1:4" x14ac:dyDescent="0.35">
      <c r="A2590" s="40" t="e">
        <f>IF(OR(_xlfn.XLOOKUP("",Assessment!H:H,Assessment!E:E)="yes"),"Yes","No")</f>
        <v>#N/A</v>
      </c>
      <c r="D2590" s="40" t="s">
        <v>9405</v>
      </c>
    </row>
    <row r="2591" spans="1:4" x14ac:dyDescent="0.35">
      <c r="A2591" s="40" t="e">
        <f>IF(OR(_xlfn.XLOOKUP("",Assessment!H:H,Assessment!E:E)="yes"),"Yes","No")</f>
        <v>#N/A</v>
      </c>
      <c r="D2591" s="40" t="s">
        <v>9405</v>
      </c>
    </row>
    <row r="2592" spans="1:4" x14ac:dyDescent="0.35">
      <c r="A2592" s="40" t="e">
        <f>IF(OR(_xlfn.XLOOKUP("",Assessment!H:H,Assessment!E:E)="yes"),"Yes","No")</f>
        <v>#N/A</v>
      </c>
      <c r="D2592" s="40" t="s">
        <v>9405</v>
      </c>
    </row>
    <row r="2593" spans="1:4" x14ac:dyDescent="0.35">
      <c r="A2593" s="40" t="e">
        <f>IF(OR(_xlfn.XLOOKUP("",Assessment!H:H,Assessment!E:E)="yes"),"Yes","No")</f>
        <v>#N/A</v>
      </c>
      <c r="D2593" s="40" t="s">
        <v>9405</v>
      </c>
    </row>
    <row r="2594" spans="1:4" x14ac:dyDescent="0.35">
      <c r="A2594" s="40" t="e">
        <f>IF(OR(_xlfn.XLOOKUP("",Assessment!H:H,Assessment!E:E)="yes"),"Yes","No")</f>
        <v>#N/A</v>
      </c>
      <c r="D2594" s="40" t="s">
        <v>9405</v>
      </c>
    </row>
    <row r="2595" spans="1:4" x14ac:dyDescent="0.35">
      <c r="A2595" s="40" t="e">
        <f>IF(OR(_xlfn.XLOOKUP("",Assessment!H:H,Assessment!E:E)="yes"),"Yes","No")</f>
        <v>#N/A</v>
      </c>
      <c r="D2595" s="40" t="s">
        <v>9405</v>
      </c>
    </row>
    <row r="2596" spans="1:4" x14ac:dyDescent="0.35">
      <c r="A2596" s="40" t="e">
        <f>IF(OR(_xlfn.XLOOKUP("",Assessment!H:H,Assessment!E:E)="yes"),"Yes","No")</f>
        <v>#N/A</v>
      </c>
      <c r="D2596" s="40" t="s">
        <v>9405</v>
      </c>
    </row>
    <row r="2597" spans="1:4" x14ac:dyDescent="0.35">
      <c r="A2597" s="40" t="e">
        <f>IF(OR(_xlfn.XLOOKUP("",Assessment!H:H,Assessment!E:E)="yes"),"Yes","No")</f>
        <v>#N/A</v>
      </c>
      <c r="D2597" s="40" t="s">
        <v>9405</v>
      </c>
    </row>
    <row r="2598" spans="1:4" x14ac:dyDescent="0.35">
      <c r="A2598" s="40" t="e">
        <f>IF(OR(_xlfn.XLOOKUP("",Assessment!H:H,Assessment!E:E)="yes"),"Yes","No")</f>
        <v>#N/A</v>
      </c>
      <c r="D2598" s="40" t="s">
        <v>9405</v>
      </c>
    </row>
    <row r="2599" spans="1:4" x14ac:dyDescent="0.35">
      <c r="A2599" s="40" t="e">
        <f>IF(OR(_xlfn.XLOOKUP("",Assessment!H:H,Assessment!E:E)="yes"),"Yes","No")</f>
        <v>#N/A</v>
      </c>
      <c r="D2599" s="40" t="s">
        <v>9405</v>
      </c>
    </row>
    <row r="2600" spans="1:4" x14ac:dyDescent="0.35">
      <c r="A2600" s="40" t="e">
        <f>IF(OR(_xlfn.XLOOKUP("",Assessment!H:H,Assessment!E:E)="yes"),"Yes","No")</f>
        <v>#N/A</v>
      </c>
      <c r="D2600" s="40" t="s">
        <v>9405</v>
      </c>
    </row>
    <row r="2601" spans="1:4" x14ac:dyDescent="0.35">
      <c r="A2601" s="40" t="e">
        <f>IF(OR(_xlfn.XLOOKUP("",Assessment!H:H,Assessment!E:E)="yes"),"Yes","No")</f>
        <v>#N/A</v>
      </c>
      <c r="D2601" s="40" t="s">
        <v>9405</v>
      </c>
    </row>
    <row r="2602" spans="1:4" x14ac:dyDescent="0.35">
      <c r="A2602" s="40" t="e">
        <f>IF(OR(_xlfn.XLOOKUP("",Assessment!H:H,Assessment!E:E)="yes"),"Yes","No")</f>
        <v>#N/A</v>
      </c>
      <c r="D2602" s="40" t="s">
        <v>9405</v>
      </c>
    </row>
    <row r="2603" spans="1:4" x14ac:dyDescent="0.35">
      <c r="A2603" s="40" t="e">
        <f>IF(OR(_xlfn.XLOOKUP("",Assessment!H:H,Assessment!E:E)="yes"),"Yes","No")</f>
        <v>#N/A</v>
      </c>
      <c r="D2603" s="40" t="s">
        <v>9405</v>
      </c>
    </row>
    <row r="2604" spans="1:4" x14ac:dyDescent="0.35">
      <c r="A2604" s="40" t="e">
        <f>IF(OR(_xlfn.XLOOKUP("",Assessment!H:H,Assessment!E:E)="yes"),"Yes","No")</f>
        <v>#N/A</v>
      </c>
      <c r="D2604" s="40" t="s">
        <v>9405</v>
      </c>
    </row>
    <row r="2605" spans="1:4" x14ac:dyDescent="0.35">
      <c r="A2605" s="40" t="e">
        <f>IF(OR(_xlfn.XLOOKUP("",Assessment!H:H,Assessment!E:E)="yes"),"Yes","No")</f>
        <v>#N/A</v>
      </c>
      <c r="D2605" s="40" t="s">
        <v>9405</v>
      </c>
    </row>
    <row r="2606" spans="1:4" x14ac:dyDescent="0.35">
      <c r="A2606" s="40" t="e">
        <f>IF(OR(_xlfn.XLOOKUP("",Assessment!H:H,Assessment!E:E)="yes"),"Yes","No")</f>
        <v>#N/A</v>
      </c>
      <c r="D2606" s="40" t="s">
        <v>9405</v>
      </c>
    </row>
    <row r="2607" spans="1:4" x14ac:dyDescent="0.35">
      <c r="A2607" s="40" t="e">
        <f>IF(OR(_xlfn.XLOOKUP("",Assessment!H:H,Assessment!E:E)="yes"),"Yes","No")</f>
        <v>#N/A</v>
      </c>
      <c r="D2607" s="40" t="s">
        <v>9405</v>
      </c>
    </row>
    <row r="2608" spans="1:4" x14ac:dyDescent="0.35">
      <c r="A2608" s="40" t="e">
        <f>IF(OR(_xlfn.XLOOKUP("",Assessment!H:H,Assessment!E:E)="yes"),"Yes","No")</f>
        <v>#N/A</v>
      </c>
      <c r="D2608" s="40" t="s">
        <v>9405</v>
      </c>
    </row>
    <row r="2609" spans="1:4" x14ac:dyDescent="0.35">
      <c r="A2609" s="40" t="e">
        <f>IF(OR(_xlfn.XLOOKUP("",Assessment!H:H,Assessment!E:E)="yes"),"Yes","No")</f>
        <v>#N/A</v>
      </c>
      <c r="D2609" s="40" t="s">
        <v>9405</v>
      </c>
    </row>
    <row r="2610" spans="1:4" x14ac:dyDescent="0.35">
      <c r="A2610" s="40" t="e">
        <f>IF(OR(_xlfn.XLOOKUP("",Assessment!H:H,Assessment!E:E)="yes"),"Yes","No")</f>
        <v>#N/A</v>
      </c>
      <c r="D2610" s="40" t="s">
        <v>9405</v>
      </c>
    </row>
    <row r="2611" spans="1:4" x14ac:dyDescent="0.35">
      <c r="A2611" s="40" t="e">
        <f>IF(OR(_xlfn.XLOOKUP("",Assessment!H:H,Assessment!E:E)="yes"),"Yes","No")</f>
        <v>#N/A</v>
      </c>
      <c r="D2611" s="40" t="s">
        <v>9405</v>
      </c>
    </row>
    <row r="2612" spans="1:4" x14ac:dyDescent="0.35">
      <c r="A2612" s="40" t="e">
        <f>IF(OR(_xlfn.XLOOKUP("",Assessment!H:H,Assessment!E:E)="yes"),"Yes","No")</f>
        <v>#N/A</v>
      </c>
      <c r="D2612" s="40" t="s">
        <v>9405</v>
      </c>
    </row>
    <row r="2613" spans="1:4" x14ac:dyDescent="0.35">
      <c r="A2613" s="40" t="e">
        <f>IF(OR(_xlfn.XLOOKUP("",Assessment!H:H,Assessment!E:E)="yes"),"Yes","No")</f>
        <v>#N/A</v>
      </c>
      <c r="D2613" s="40" t="s">
        <v>9405</v>
      </c>
    </row>
    <row r="2614" spans="1:4" x14ac:dyDescent="0.35">
      <c r="A2614" s="40" t="e">
        <f>IF(OR(_xlfn.XLOOKUP("",Assessment!H:H,Assessment!E:E)="yes"),"Yes","No")</f>
        <v>#N/A</v>
      </c>
      <c r="D2614" s="40" t="s">
        <v>9405</v>
      </c>
    </row>
    <row r="2615" spans="1:4" x14ac:dyDescent="0.35">
      <c r="A2615" s="40" t="e">
        <f>IF(OR(_xlfn.XLOOKUP("",Assessment!H:H,Assessment!E:E)="yes"),"Yes","No")</f>
        <v>#N/A</v>
      </c>
      <c r="D2615" s="40" t="s">
        <v>9405</v>
      </c>
    </row>
    <row r="2616" spans="1:4" x14ac:dyDescent="0.35">
      <c r="A2616" s="40" t="e">
        <f>IF(OR(_xlfn.XLOOKUP("",Assessment!H:H,Assessment!E:E)="yes"),"Yes","No")</f>
        <v>#N/A</v>
      </c>
      <c r="D2616" s="40" t="s">
        <v>9405</v>
      </c>
    </row>
    <row r="2617" spans="1:4" x14ac:dyDescent="0.35">
      <c r="A2617" s="40" t="e">
        <f>IF(OR(_xlfn.XLOOKUP("",Assessment!H:H,Assessment!E:E)="yes"),"Yes","No")</f>
        <v>#N/A</v>
      </c>
      <c r="D2617" s="40" t="s">
        <v>9405</v>
      </c>
    </row>
    <row r="2618" spans="1:4" x14ac:dyDescent="0.35">
      <c r="A2618" s="40" t="e">
        <f>IF(OR(_xlfn.XLOOKUP("",Assessment!H:H,Assessment!E:E)="yes"),"Yes","No")</f>
        <v>#N/A</v>
      </c>
      <c r="D2618" s="40" t="s">
        <v>9405</v>
      </c>
    </row>
    <row r="2619" spans="1:4" x14ac:dyDescent="0.35">
      <c r="A2619" s="40" t="e">
        <f>IF(OR(_xlfn.XLOOKUP("",Assessment!H:H,Assessment!E:E)="yes"),"Yes","No")</f>
        <v>#N/A</v>
      </c>
      <c r="D2619" s="40" t="s">
        <v>9405</v>
      </c>
    </row>
    <row r="2620" spans="1:4" x14ac:dyDescent="0.35">
      <c r="A2620" s="40" t="e">
        <f>IF(OR(_xlfn.XLOOKUP("",Assessment!H:H,Assessment!E:E)="yes"),"Yes","No")</f>
        <v>#N/A</v>
      </c>
      <c r="D2620" s="40" t="s">
        <v>9405</v>
      </c>
    </row>
    <row r="2621" spans="1:4" x14ac:dyDescent="0.35">
      <c r="A2621" s="40" t="e">
        <f>IF(OR(_xlfn.XLOOKUP("",Assessment!H:H,Assessment!E:E)="yes"),"Yes","No")</f>
        <v>#N/A</v>
      </c>
      <c r="D2621" s="40" t="s">
        <v>9405</v>
      </c>
    </row>
    <row r="2622" spans="1:4" x14ac:dyDescent="0.35">
      <c r="A2622" s="40" t="e">
        <f>IF(OR(_xlfn.XLOOKUP("",Assessment!H:H,Assessment!E:E)="yes"),"Yes","No")</f>
        <v>#N/A</v>
      </c>
      <c r="D2622" s="40" t="s">
        <v>9405</v>
      </c>
    </row>
    <row r="2623" spans="1:4" x14ac:dyDescent="0.35">
      <c r="A2623" s="40" t="e">
        <f>IF(OR(_xlfn.XLOOKUP("",Assessment!H:H,Assessment!E:E)="yes"),"Yes","No")</f>
        <v>#N/A</v>
      </c>
      <c r="D2623" s="40" t="s">
        <v>9405</v>
      </c>
    </row>
    <row r="2624" spans="1:4" x14ac:dyDescent="0.35">
      <c r="A2624" s="40" t="e">
        <f>IF(OR(_xlfn.XLOOKUP("",Assessment!H:H,Assessment!E:E)="yes"),"Yes","No")</f>
        <v>#N/A</v>
      </c>
      <c r="D2624" s="40" t="s">
        <v>9405</v>
      </c>
    </row>
    <row r="2625" spans="1:4" x14ac:dyDescent="0.35">
      <c r="A2625" s="40" t="e">
        <f>IF(OR(_xlfn.XLOOKUP("",Assessment!H:H,Assessment!E:E)="yes"),"Yes","No")</f>
        <v>#N/A</v>
      </c>
      <c r="D2625" s="40" t="s">
        <v>9405</v>
      </c>
    </row>
    <row r="2626" spans="1:4" x14ac:dyDescent="0.35">
      <c r="A2626" s="40" t="e">
        <f>IF(OR(_xlfn.XLOOKUP("",Assessment!H:H,Assessment!E:E)="yes"),"Yes","No")</f>
        <v>#N/A</v>
      </c>
      <c r="D2626" s="40" t="s">
        <v>9405</v>
      </c>
    </row>
    <row r="2627" spans="1:4" x14ac:dyDescent="0.35">
      <c r="A2627" s="40" t="e">
        <f>IF(OR(_xlfn.XLOOKUP("",Assessment!H:H,Assessment!E:E)="yes"),"Yes","No")</f>
        <v>#N/A</v>
      </c>
      <c r="D2627" s="40" t="s">
        <v>9405</v>
      </c>
    </row>
    <row r="2628" spans="1:4" x14ac:dyDescent="0.35">
      <c r="A2628" s="40" t="e">
        <f>IF(OR(_xlfn.XLOOKUP("",Assessment!H:H,Assessment!E:E)="yes"),"Yes","No")</f>
        <v>#N/A</v>
      </c>
      <c r="D2628" s="40" t="s">
        <v>9405</v>
      </c>
    </row>
    <row r="2629" spans="1:4" x14ac:dyDescent="0.35">
      <c r="A2629" s="40" t="e">
        <f>IF(OR(_xlfn.XLOOKUP("",Assessment!H:H,Assessment!E:E)="yes"),"Yes","No")</f>
        <v>#N/A</v>
      </c>
      <c r="D2629" s="40" t="s">
        <v>9405</v>
      </c>
    </row>
    <row r="2630" spans="1:4" x14ac:dyDescent="0.35">
      <c r="A2630" s="40" t="e">
        <f>IF(OR(_xlfn.XLOOKUP("",Assessment!H:H,Assessment!E:E)="yes"),"Yes","No")</f>
        <v>#N/A</v>
      </c>
      <c r="D2630" s="40" t="s">
        <v>9405</v>
      </c>
    </row>
    <row r="2631" spans="1:4" x14ac:dyDescent="0.35">
      <c r="A2631" s="40" t="e">
        <f>IF(OR(_xlfn.XLOOKUP("",Assessment!H:H,Assessment!E:E)="yes"),"Yes","No")</f>
        <v>#N/A</v>
      </c>
      <c r="D2631" s="40" t="s">
        <v>9405</v>
      </c>
    </row>
    <row r="2632" spans="1:4" x14ac:dyDescent="0.35">
      <c r="A2632" s="40" t="e">
        <f>IF(OR(_xlfn.XLOOKUP("",Assessment!H:H,Assessment!E:E)="yes"),"Yes","No")</f>
        <v>#N/A</v>
      </c>
      <c r="D2632" s="40" t="s">
        <v>9405</v>
      </c>
    </row>
    <row r="2633" spans="1:4" x14ac:dyDescent="0.35">
      <c r="A2633" s="40" t="e">
        <f>IF(OR(_xlfn.XLOOKUP("",Assessment!H:H,Assessment!E:E)="yes"),"Yes","No")</f>
        <v>#N/A</v>
      </c>
      <c r="D2633" s="40" t="s">
        <v>9405</v>
      </c>
    </row>
    <row r="2634" spans="1:4" x14ac:dyDescent="0.35">
      <c r="A2634" s="40" t="e">
        <f>IF(OR(_xlfn.XLOOKUP("",Assessment!H:H,Assessment!E:E)="yes"),"Yes","No")</f>
        <v>#N/A</v>
      </c>
      <c r="D2634" s="40" t="s">
        <v>9405</v>
      </c>
    </row>
    <row r="2635" spans="1:4" x14ac:dyDescent="0.35">
      <c r="A2635" s="40" t="e">
        <f>IF(OR(_xlfn.XLOOKUP("",Assessment!H:H,Assessment!E:E)="yes"),"Yes","No")</f>
        <v>#N/A</v>
      </c>
      <c r="D2635" s="40" t="s">
        <v>9405</v>
      </c>
    </row>
    <row r="2636" spans="1:4" x14ac:dyDescent="0.35">
      <c r="A2636" s="40" t="e">
        <f>IF(OR(_xlfn.XLOOKUP("",Assessment!H:H,Assessment!E:E)="yes"),"Yes","No")</f>
        <v>#N/A</v>
      </c>
      <c r="D2636" s="40" t="s">
        <v>9405</v>
      </c>
    </row>
    <row r="2637" spans="1:4" x14ac:dyDescent="0.35">
      <c r="A2637" s="40" t="e">
        <f>IF(OR(_xlfn.XLOOKUP("",Assessment!H:H,Assessment!E:E)="yes"),"Yes","No")</f>
        <v>#N/A</v>
      </c>
      <c r="D2637" s="40" t="s">
        <v>9405</v>
      </c>
    </row>
    <row r="2638" spans="1:4" x14ac:dyDescent="0.35">
      <c r="A2638" s="40" t="e">
        <f>IF(OR(_xlfn.XLOOKUP("",Assessment!H:H,Assessment!E:E)="yes"),"Yes","No")</f>
        <v>#N/A</v>
      </c>
      <c r="D2638" s="40" t="s">
        <v>9405</v>
      </c>
    </row>
    <row r="2639" spans="1:4" x14ac:dyDescent="0.35">
      <c r="A2639" s="40" t="e">
        <f>IF(OR(_xlfn.XLOOKUP("",Assessment!H:H,Assessment!E:E)="yes"),"Yes","No")</f>
        <v>#N/A</v>
      </c>
      <c r="D2639" s="40" t="s">
        <v>9405</v>
      </c>
    </row>
    <row r="2640" spans="1:4" x14ac:dyDescent="0.35">
      <c r="A2640" s="40" t="e">
        <f>IF(OR(_xlfn.XLOOKUP("",Assessment!H:H,Assessment!E:E)="yes"),"Yes","No")</f>
        <v>#N/A</v>
      </c>
      <c r="D2640" s="40" t="s">
        <v>9405</v>
      </c>
    </row>
    <row r="2641" spans="1:4" x14ac:dyDescent="0.35">
      <c r="A2641" s="40" t="e">
        <f>IF(OR(_xlfn.XLOOKUP("",Assessment!H:H,Assessment!E:E)="yes"),"Yes","No")</f>
        <v>#N/A</v>
      </c>
      <c r="D2641" s="40" t="s">
        <v>9405</v>
      </c>
    </row>
    <row r="2642" spans="1:4" x14ac:dyDescent="0.35">
      <c r="A2642" s="40" t="e">
        <f>IF(OR(_xlfn.XLOOKUP("",Assessment!H:H,Assessment!E:E)="yes"),"Yes","No")</f>
        <v>#N/A</v>
      </c>
      <c r="D2642" s="40" t="s">
        <v>9405</v>
      </c>
    </row>
    <row r="2643" spans="1:4" x14ac:dyDescent="0.35">
      <c r="A2643" s="40" t="e">
        <f>IF(OR(_xlfn.XLOOKUP("",Assessment!H:H,Assessment!E:E)="yes"),"Yes","No")</f>
        <v>#N/A</v>
      </c>
      <c r="D2643" s="40" t="s">
        <v>9405</v>
      </c>
    </row>
    <row r="2644" spans="1:4" x14ac:dyDescent="0.35">
      <c r="A2644" s="40" t="e">
        <f>IF(OR(_xlfn.XLOOKUP("",Assessment!H:H,Assessment!E:E)="yes"),"Yes","No")</f>
        <v>#N/A</v>
      </c>
      <c r="D2644" s="40" t="s">
        <v>9405</v>
      </c>
    </row>
    <row r="2645" spans="1:4" x14ac:dyDescent="0.35">
      <c r="A2645" s="40" t="e">
        <f>IF(OR(_xlfn.XLOOKUP("",Assessment!H:H,Assessment!E:E)="yes"),"Yes","No")</f>
        <v>#N/A</v>
      </c>
      <c r="D2645" s="40" t="s">
        <v>9405</v>
      </c>
    </row>
    <row r="2646" spans="1:4" x14ac:dyDescent="0.35">
      <c r="A2646" s="40" t="e">
        <f>IF(OR(_xlfn.XLOOKUP("",Assessment!H:H,Assessment!E:E)="yes"),"Yes","No")</f>
        <v>#N/A</v>
      </c>
      <c r="D2646" s="40" t="s">
        <v>9405</v>
      </c>
    </row>
    <row r="2647" spans="1:4" x14ac:dyDescent="0.35">
      <c r="A2647" s="40" t="e">
        <f>IF(OR(_xlfn.XLOOKUP("",Assessment!H:H,Assessment!E:E)="yes"),"Yes","No")</f>
        <v>#N/A</v>
      </c>
      <c r="D2647" s="40" t="s">
        <v>9405</v>
      </c>
    </row>
    <row r="2648" spans="1:4" x14ac:dyDescent="0.35">
      <c r="A2648" s="40" t="e">
        <f>IF(OR(_xlfn.XLOOKUP("",Assessment!H:H,Assessment!E:E)="yes"),"Yes","No")</f>
        <v>#N/A</v>
      </c>
      <c r="D2648" s="40" t="s">
        <v>9405</v>
      </c>
    </row>
    <row r="2649" spans="1:4" x14ac:dyDescent="0.35">
      <c r="A2649" s="40" t="e">
        <f>IF(OR(_xlfn.XLOOKUP("",Assessment!H:H,Assessment!E:E)="yes"),"Yes","No")</f>
        <v>#N/A</v>
      </c>
      <c r="D2649" s="40" t="s">
        <v>9405</v>
      </c>
    </row>
    <row r="2650" spans="1:4" x14ac:dyDescent="0.35">
      <c r="A2650" s="40" t="e">
        <f>IF(OR(_xlfn.XLOOKUP("",Assessment!H:H,Assessment!E:E)="yes"),"Yes","No")</f>
        <v>#N/A</v>
      </c>
      <c r="D2650" s="40" t="s">
        <v>9405</v>
      </c>
    </row>
    <row r="2651" spans="1:4" x14ac:dyDescent="0.35">
      <c r="A2651" s="40" t="e">
        <f>IF(OR(_xlfn.XLOOKUP("",Assessment!H:H,Assessment!E:E)="yes"),"Yes","No")</f>
        <v>#N/A</v>
      </c>
      <c r="D2651" s="40" t="s">
        <v>9405</v>
      </c>
    </row>
    <row r="2652" spans="1:4" x14ac:dyDescent="0.35">
      <c r="A2652" s="40" t="e">
        <f>IF(OR(_xlfn.XLOOKUP("",Assessment!H:H,Assessment!E:E)="yes"),"Yes","No")</f>
        <v>#N/A</v>
      </c>
      <c r="D2652" s="40" t="s">
        <v>9405</v>
      </c>
    </row>
    <row r="2653" spans="1:4" x14ac:dyDescent="0.35">
      <c r="A2653" s="40" t="e">
        <f>IF(OR(_xlfn.XLOOKUP("",Assessment!H:H,Assessment!E:E)="yes"),"Yes","No")</f>
        <v>#N/A</v>
      </c>
      <c r="D2653" s="40" t="s">
        <v>9405</v>
      </c>
    </row>
    <row r="2654" spans="1:4" x14ac:dyDescent="0.35">
      <c r="A2654" s="40" t="e">
        <f>IF(OR(_xlfn.XLOOKUP("",Assessment!H:H,Assessment!E:E)="yes"),"Yes","No")</f>
        <v>#N/A</v>
      </c>
      <c r="D2654" s="40" t="s">
        <v>9405</v>
      </c>
    </row>
    <row r="2655" spans="1:4" x14ac:dyDescent="0.35">
      <c r="A2655" s="40" t="e">
        <f>IF(OR(_xlfn.XLOOKUP("",Assessment!H:H,Assessment!E:E)="yes"),"Yes","No")</f>
        <v>#N/A</v>
      </c>
      <c r="D2655" s="40" t="s">
        <v>9405</v>
      </c>
    </row>
    <row r="2656" spans="1:4" x14ac:dyDescent="0.35">
      <c r="A2656" s="40" t="e">
        <f>IF(OR(_xlfn.XLOOKUP("",Assessment!H:H,Assessment!E:E)="yes"),"Yes","No")</f>
        <v>#N/A</v>
      </c>
      <c r="D2656" s="40" t="s">
        <v>9405</v>
      </c>
    </row>
    <row r="2657" spans="1:4" x14ac:dyDescent="0.35">
      <c r="A2657" s="40" t="e">
        <f>IF(OR(_xlfn.XLOOKUP("",Assessment!H:H,Assessment!E:E)="yes"),"Yes","No")</f>
        <v>#N/A</v>
      </c>
      <c r="D2657" s="40" t="s">
        <v>9405</v>
      </c>
    </row>
    <row r="2658" spans="1:4" x14ac:dyDescent="0.35">
      <c r="A2658" s="40" t="e">
        <f>IF(OR(_xlfn.XLOOKUP("",Assessment!H:H,Assessment!E:E)="yes"),"Yes","No")</f>
        <v>#N/A</v>
      </c>
      <c r="D2658" s="40" t="s">
        <v>9405</v>
      </c>
    </row>
    <row r="2659" spans="1:4" x14ac:dyDescent="0.35">
      <c r="A2659" s="40" t="e">
        <f>IF(OR(_xlfn.XLOOKUP("",Assessment!H:H,Assessment!E:E)="yes"),"Yes","No")</f>
        <v>#N/A</v>
      </c>
      <c r="D2659" s="40" t="s">
        <v>9405</v>
      </c>
    </row>
    <row r="2660" spans="1:4" x14ac:dyDescent="0.35">
      <c r="A2660" s="40" t="e">
        <f>IF(OR(_xlfn.XLOOKUP("",Assessment!H:H,Assessment!E:E)="yes"),"Yes","No")</f>
        <v>#N/A</v>
      </c>
      <c r="D2660" s="40" t="s">
        <v>9405</v>
      </c>
    </row>
    <row r="2661" spans="1:4" x14ac:dyDescent="0.35">
      <c r="A2661" s="40" t="e">
        <f>IF(OR(_xlfn.XLOOKUP("",Assessment!H:H,Assessment!E:E)="yes"),"Yes","No")</f>
        <v>#N/A</v>
      </c>
      <c r="D2661" s="40" t="s">
        <v>9405</v>
      </c>
    </row>
    <row r="2662" spans="1:4" x14ac:dyDescent="0.35">
      <c r="A2662" s="40" t="e">
        <f>IF(OR(_xlfn.XLOOKUP("",Assessment!H:H,Assessment!E:E)="yes"),"Yes","No")</f>
        <v>#N/A</v>
      </c>
      <c r="D2662" s="40" t="s">
        <v>9405</v>
      </c>
    </row>
    <row r="2663" spans="1:4" x14ac:dyDescent="0.35">
      <c r="A2663" s="40" t="e">
        <f>IF(OR(_xlfn.XLOOKUP("",Assessment!H:H,Assessment!E:E)="yes"),"Yes","No")</f>
        <v>#N/A</v>
      </c>
      <c r="D2663" s="40" t="s">
        <v>9405</v>
      </c>
    </row>
    <row r="2664" spans="1:4" x14ac:dyDescent="0.35">
      <c r="A2664" s="40" t="e">
        <f>IF(OR(_xlfn.XLOOKUP("",Assessment!H:H,Assessment!E:E)="yes"),"Yes","No")</f>
        <v>#N/A</v>
      </c>
      <c r="D2664" s="40" t="s">
        <v>9405</v>
      </c>
    </row>
    <row r="2665" spans="1:4" x14ac:dyDescent="0.35">
      <c r="A2665" s="40" t="e">
        <f>IF(OR(_xlfn.XLOOKUP("",Assessment!H:H,Assessment!E:E)="yes"),"Yes","No")</f>
        <v>#N/A</v>
      </c>
      <c r="D2665" s="40" t="s">
        <v>9405</v>
      </c>
    </row>
    <row r="2666" spans="1:4" x14ac:dyDescent="0.35">
      <c r="A2666" s="40" t="e">
        <f>IF(OR(_xlfn.XLOOKUP("",Assessment!H:H,Assessment!E:E)="yes"),"Yes","No")</f>
        <v>#N/A</v>
      </c>
      <c r="D2666" s="40" t="s">
        <v>9405</v>
      </c>
    </row>
    <row r="2667" spans="1:4" x14ac:dyDescent="0.35">
      <c r="A2667" s="40" t="e">
        <f>IF(OR(_xlfn.XLOOKUP("",Assessment!H:H,Assessment!E:E)="yes"),"Yes","No")</f>
        <v>#N/A</v>
      </c>
      <c r="D2667" s="40" t="s">
        <v>9405</v>
      </c>
    </row>
    <row r="2668" spans="1:4" x14ac:dyDescent="0.35">
      <c r="A2668" s="40" t="e">
        <f>IF(OR(_xlfn.XLOOKUP("",Assessment!H:H,Assessment!E:E)="yes"),"Yes","No")</f>
        <v>#N/A</v>
      </c>
      <c r="D2668" s="40" t="s">
        <v>9405</v>
      </c>
    </row>
    <row r="2669" spans="1:4" x14ac:dyDescent="0.35">
      <c r="A2669" s="40" t="e">
        <f>IF(OR(_xlfn.XLOOKUP("",Assessment!H:H,Assessment!E:E)="yes"),"Yes","No")</f>
        <v>#N/A</v>
      </c>
      <c r="D2669" s="40" t="s">
        <v>9405</v>
      </c>
    </row>
    <row r="2670" spans="1:4" x14ac:dyDescent="0.35">
      <c r="A2670" s="40" t="e">
        <f>IF(OR(_xlfn.XLOOKUP("",Assessment!H:H,Assessment!E:E)="yes"),"Yes","No")</f>
        <v>#N/A</v>
      </c>
      <c r="D2670" s="40" t="s">
        <v>9405</v>
      </c>
    </row>
    <row r="2671" spans="1:4" x14ac:dyDescent="0.35">
      <c r="A2671" s="40" t="e">
        <f>IF(OR(_xlfn.XLOOKUP("",Assessment!H:H,Assessment!E:E)="yes"),"Yes","No")</f>
        <v>#N/A</v>
      </c>
      <c r="D2671" s="40" t="s">
        <v>9405</v>
      </c>
    </row>
    <row r="2672" spans="1:4" x14ac:dyDescent="0.35">
      <c r="A2672" s="40" t="e">
        <f>IF(OR(_xlfn.XLOOKUP("",Assessment!H:H,Assessment!E:E)="yes"),"Yes","No")</f>
        <v>#N/A</v>
      </c>
      <c r="D2672" s="40" t="s">
        <v>9405</v>
      </c>
    </row>
    <row r="2673" spans="1:4" x14ac:dyDescent="0.35">
      <c r="A2673" s="40" t="e">
        <f>IF(OR(_xlfn.XLOOKUP("",Assessment!H:H,Assessment!E:E)="yes"),"Yes","No")</f>
        <v>#N/A</v>
      </c>
      <c r="D2673" s="40" t="s">
        <v>9405</v>
      </c>
    </row>
    <row r="2674" spans="1:4" x14ac:dyDescent="0.35">
      <c r="A2674" s="40" t="e">
        <f>IF(OR(_xlfn.XLOOKUP("",Assessment!H:H,Assessment!E:E)="yes"),"Yes","No")</f>
        <v>#N/A</v>
      </c>
      <c r="D2674" s="40" t="s">
        <v>9405</v>
      </c>
    </row>
    <row r="2675" spans="1:4" x14ac:dyDescent="0.35">
      <c r="A2675" s="40" t="e">
        <f>IF(OR(_xlfn.XLOOKUP("",Assessment!H:H,Assessment!E:E)="yes"),"Yes","No")</f>
        <v>#N/A</v>
      </c>
      <c r="D2675" s="40" t="s">
        <v>9405</v>
      </c>
    </row>
    <row r="2676" spans="1:4" x14ac:dyDescent="0.35">
      <c r="A2676" s="40" t="e">
        <f>IF(OR(_xlfn.XLOOKUP("",Assessment!H:H,Assessment!E:E)="yes"),"Yes","No")</f>
        <v>#N/A</v>
      </c>
      <c r="D2676" s="40" t="s">
        <v>9405</v>
      </c>
    </row>
    <row r="2677" spans="1:4" x14ac:dyDescent="0.35">
      <c r="A2677" s="40" t="e">
        <f>IF(OR(_xlfn.XLOOKUP("",Assessment!H:H,Assessment!E:E)="yes"),"Yes","No")</f>
        <v>#N/A</v>
      </c>
      <c r="D2677" s="40" t="s">
        <v>9405</v>
      </c>
    </row>
    <row r="2678" spans="1:4" x14ac:dyDescent="0.35">
      <c r="A2678" s="40" t="e">
        <f>IF(OR(_xlfn.XLOOKUP("",Assessment!H:H,Assessment!E:E)="yes"),"Yes","No")</f>
        <v>#N/A</v>
      </c>
      <c r="D2678" s="40" t="s">
        <v>9405</v>
      </c>
    </row>
    <row r="2679" spans="1:4" x14ac:dyDescent="0.35">
      <c r="A2679" s="40" t="e">
        <f>IF(OR(_xlfn.XLOOKUP("",Assessment!H:H,Assessment!E:E)="yes"),"Yes","No")</f>
        <v>#N/A</v>
      </c>
      <c r="D2679" s="40" t="s">
        <v>9405</v>
      </c>
    </row>
    <row r="2680" spans="1:4" x14ac:dyDescent="0.35">
      <c r="A2680" s="40" t="e">
        <f>IF(OR(_xlfn.XLOOKUP("",Assessment!H:H,Assessment!E:E)="yes"),"Yes","No")</f>
        <v>#N/A</v>
      </c>
      <c r="D2680" s="40" t="s">
        <v>9405</v>
      </c>
    </row>
    <row r="2681" spans="1:4" x14ac:dyDescent="0.35">
      <c r="A2681" s="40" t="e">
        <f>IF(OR(_xlfn.XLOOKUP("",Assessment!H:H,Assessment!E:E)="yes"),"Yes","No")</f>
        <v>#N/A</v>
      </c>
      <c r="D2681" s="40" t="s">
        <v>9405</v>
      </c>
    </row>
    <row r="2682" spans="1:4" x14ac:dyDescent="0.35">
      <c r="A2682" s="40" t="e">
        <f>IF(OR(_xlfn.XLOOKUP("",Assessment!H:H,Assessment!E:E)="yes"),"Yes","No")</f>
        <v>#N/A</v>
      </c>
      <c r="D2682" s="40" t="s">
        <v>9405</v>
      </c>
    </row>
    <row r="2683" spans="1:4" x14ac:dyDescent="0.35">
      <c r="A2683" s="40" t="e">
        <f>IF(OR(_xlfn.XLOOKUP("",Assessment!H:H,Assessment!E:E)="yes"),"Yes","No")</f>
        <v>#N/A</v>
      </c>
      <c r="D2683" s="40" t="s">
        <v>9405</v>
      </c>
    </row>
    <row r="2684" spans="1:4" x14ac:dyDescent="0.35">
      <c r="A2684" s="40" t="e">
        <f>IF(OR(_xlfn.XLOOKUP("",Assessment!H:H,Assessment!E:E)="yes"),"Yes","No")</f>
        <v>#N/A</v>
      </c>
      <c r="D2684" s="40" t="s">
        <v>9405</v>
      </c>
    </row>
    <row r="2685" spans="1:4" x14ac:dyDescent="0.35">
      <c r="A2685" s="40" t="e">
        <f>IF(OR(_xlfn.XLOOKUP("",Assessment!H:H,Assessment!E:E)="yes"),"Yes","No")</f>
        <v>#N/A</v>
      </c>
      <c r="D2685" s="40" t="s">
        <v>9405</v>
      </c>
    </row>
    <row r="2686" spans="1:4" x14ac:dyDescent="0.35">
      <c r="A2686" s="40" t="e">
        <f>IF(OR(_xlfn.XLOOKUP("",Assessment!H:H,Assessment!E:E)="yes"),"Yes","No")</f>
        <v>#N/A</v>
      </c>
      <c r="D2686" s="40" t="s">
        <v>9405</v>
      </c>
    </row>
    <row r="2687" spans="1:4" x14ac:dyDescent="0.35">
      <c r="A2687" s="40" t="e">
        <f>IF(OR(_xlfn.XLOOKUP("",Assessment!H:H,Assessment!E:E)="yes"),"Yes","No")</f>
        <v>#N/A</v>
      </c>
      <c r="D2687" s="40" t="s">
        <v>9405</v>
      </c>
    </row>
    <row r="2688" spans="1:4" x14ac:dyDescent="0.35">
      <c r="A2688" s="40" t="e">
        <f>IF(OR(_xlfn.XLOOKUP("",Assessment!H:H,Assessment!E:E)="yes"),"Yes","No")</f>
        <v>#N/A</v>
      </c>
      <c r="D2688" s="40" t="s">
        <v>9405</v>
      </c>
    </row>
    <row r="2689" spans="1:4" x14ac:dyDescent="0.35">
      <c r="A2689" s="40" t="e">
        <f>IF(OR(_xlfn.XLOOKUP("",Assessment!H:H,Assessment!E:E)="yes"),"Yes","No")</f>
        <v>#N/A</v>
      </c>
      <c r="D2689" s="40" t="s">
        <v>9405</v>
      </c>
    </row>
    <row r="2690" spans="1:4" x14ac:dyDescent="0.35">
      <c r="A2690" s="40" t="e">
        <f>IF(OR(_xlfn.XLOOKUP("",Assessment!H:H,Assessment!E:E)="yes"),"Yes","No")</f>
        <v>#N/A</v>
      </c>
      <c r="D2690" s="40" t="s">
        <v>9405</v>
      </c>
    </row>
    <row r="2691" spans="1:4" x14ac:dyDescent="0.35">
      <c r="A2691" s="40" t="e">
        <f>IF(OR(_xlfn.XLOOKUP("",Assessment!H:H,Assessment!E:E)="yes"),"Yes","No")</f>
        <v>#N/A</v>
      </c>
      <c r="D2691" s="40" t="s">
        <v>9405</v>
      </c>
    </row>
    <row r="2692" spans="1:4" x14ac:dyDescent="0.35">
      <c r="A2692" s="40" t="e">
        <f>IF(OR(_xlfn.XLOOKUP("",Assessment!H:H,Assessment!E:E)="yes"),"Yes","No")</f>
        <v>#N/A</v>
      </c>
      <c r="D2692" s="40" t="s">
        <v>9405</v>
      </c>
    </row>
    <row r="2693" spans="1:4" x14ac:dyDescent="0.35">
      <c r="A2693" s="40" t="e">
        <f>IF(OR(_xlfn.XLOOKUP("",Assessment!H:H,Assessment!E:E)="yes"),"Yes","No")</f>
        <v>#N/A</v>
      </c>
      <c r="D2693" s="40" t="s">
        <v>9405</v>
      </c>
    </row>
    <row r="2694" spans="1:4" x14ac:dyDescent="0.35">
      <c r="A2694" s="40" t="e">
        <f>IF(OR(_xlfn.XLOOKUP("",Assessment!H:H,Assessment!E:E)="yes"),"Yes","No")</f>
        <v>#N/A</v>
      </c>
      <c r="D2694" s="40" t="s">
        <v>9405</v>
      </c>
    </row>
    <row r="2695" spans="1:4" x14ac:dyDescent="0.35">
      <c r="A2695" s="40" t="e">
        <f>IF(OR(_xlfn.XLOOKUP("",Assessment!H:H,Assessment!E:E)="yes"),"Yes","No")</f>
        <v>#N/A</v>
      </c>
      <c r="D2695" s="40" t="s">
        <v>9405</v>
      </c>
    </row>
    <row r="2696" spans="1:4" x14ac:dyDescent="0.35">
      <c r="A2696" s="40" t="e">
        <f>IF(OR(_xlfn.XLOOKUP("",Assessment!H:H,Assessment!E:E)="yes"),"Yes","No")</f>
        <v>#N/A</v>
      </c>
      <c r="D2696" s="40" t="s">
        <v>9405</v>
      </c>
    </row>
    <row r="2697" spans="1:4" x14ac:dyDescent="0.35">
      <c r="A2697" s="40" t="e">
        <f>IF(OR(_xlfn.XLOOKUP("",Assessment!H:H,Assessment!E:E)="yes"),"Yes","No")</f>
        <v>#N/A</v>
      </c>
      <c r="D2697" s="40" t="s">
        <v>9405</v>
      </c>
    </row>
    <row r="2698" spans="1:4" x14ac:dyDescent="0.35">
      <c r="A2698" s="40" t="e">
        <f>IF(OR(_xlfn.XLOOKUP("",Assessment!H:H,Assessment!E:E)="yes"),"Yes","No")</f>
        <v>#N/A</v>
      </c>
      <c r="D2698" s="40" t="s">
        <v>9405</v>
      </c>
    </row>
    <row r="2699" spans="1:4" x14ac:dyDescent="0.35">
      <c r="A2699" s="40" t="e">
        <f>IF(OR(_xlfn.XLOOKUP("",Assessment!H:H,Assessment!E:E)="yes"),"Yes","No")</f>
        <v>#N/A</v>
      </c>
      <c r="D2699" s="40" t="s">
        <v>9405</v>
      </c>
    </row>
    <row r="2700" spans="1:4" x14ac:dyDescent="0.35">
      <c r="A2700" s="40" t="e">
        <f>IF(OR(_xlfn.XLOOKUP("",Assessment!H:H,Assessment!E:E)="yes"),"Yes","No")</f>
        <v>#N/A</v>
      </c>
      <c r="D2700" s="40" t="s">
        <v>9405</v>
      </c>
    </row>
    <row r="2701" spans="1:4" x14ac:dyDescent="0.35">
      <c r="A2701" s="40" t="e">
        <f>IF(OR(_xlfn.XLOOKUP("",Assessment!H:H,Assessment!E:E)="yes"),"Yes","No")</f>
        <v>#N/A</v>
      </c>
      <c r="D2701" s="40" t="s">
        <v>9405</v>
      </c>
    </row>
    <row r="2702" spans="1:4" x14ac:dyDescent="0.35">
      <c r="A2702" s="40" t="e">
        <f>IF(OR(_xlfn.XLOOKUP("",Assessment!H:H,Assessment!E:E)="yes"),"Yes","No")</f>
        <v>#N/A</v>
      </c>
      <c r="D2702" s="40" t="s">
        <v>9405</v>
      </c>
    </row>
    <row r="2703" spans="1:4" x14ac:dyDescent="0.35">
      <c r="A2703" s="40" t="e">
        <f>IF(OR(_xlfn.XLOOKUP("",Assessment!H:H,Assessment!E:E)="yes"),"Yes","No")</f>
        <v>#N/A</v>
      </c>
      <c r="D2703" s="40" t="s">
        <v>9405</v>
      </c>
    </row>
    <row r="2704" spans="1:4" x14ac:dyDescent="0.35">
      <c r="A2704" s="40" t="e">
        <f>IF(OR(_xlfn.XLOOKUP("",Assessment!H:H,Assessment!E:E)="yes"),"Yes","No")</f>
        <v>#N/A</v>
      </c>
      <c r="D2704" s="40" t="s">
        <v>9405</v>
      </c>
    </row>
    <row r="2705" spans="1:4" x14ac:dyDescent="0.35">
      <c r="A2705" s="40" t="e">
        <f>IF(OR(_xlfn.XLOOKUP("",Assessment!H:H,Assessment!E:E)="yes"),"Yes","No")</f>
        <v>#N/A</v>
      </c>
      <c r="D2705" s="40" t="s">
        <v>9405</v>
      </c>
    </row>
    <row r="2706" spans="1:4" x14ac:dyDescent="0.35">
      <c r="A2706" s="40" t="e">
        <f>IF(OR(_xlfn.XLOOKUP("",Assessment!H:H,Assessment!E:E)="yes"),"Yes","No")</f>
        <v>#N/A</v>
      </c>
      <c r="D2706" s="40" t="s">
        <v>9405</v>
      </c>
    </row>
    <row r="2707" spans="1:4" x14ac:dyDescent="0.35">
      <c r="A2707" s="40" t="e">
        <f>IF(OR(_xlfn.XLOOKUP("",Assessment!H:H,Assessment!E:E)="yes"),"Yes","No")</f>
        <v>#N/A</v>
      </c>
      <c r="D2707" s="40" t="s">
        <v>9405</v>
      </c>
    </row>
    <row r="2708" spans="1:4" x14ac:dyDescent="0.35">
      <c r="A2708" s="40" t="e">
        <f>IF(OR(_xlfn.XLOOKUP("",Assessment!H:H,Assessment!E:E)="yes"),"Yes","No")</f>
        <v>#N/A</v>
      </c>
      <c r="D2708" s="40" t="s">
        <v>9405</v>
      </c>
    </row>
    <row r="2709" spans="1:4" x14ac:dyDescent="0.35">
      <c r="A2709" s="40" t="e">
        <f>IF(OR(_xlfn.XLOOKUP("",Assessment!H:H,Assessment!E:E)="yes"),"Yes","No")</f>
        <v>#N/A</v>
      </c>
      <c r="D2709" s="40" t="s">
        <v>9405</v>
      </c>
    </row>
    <row r="2710" spans="1:4" x14ac:dyDescent="0.35">
      <c r="A2710" s="40" t="e">
        <f>IF(OR(_xlfn.XLOOKUP("",Assessment!H:H,Assessment!E:E)="yes"),"Yes","No")</f>
        <v>#N/A</v>
      </c>
      <c r="D2710" s="40" t="s">
        <v>9405</v>
      </c>
    </row>
    <row r="2711" spans="1:4" x14ac:dyDescent="0.35">
      <c r="A2711" s="40" t="e">
        <f>IF(OR(_xlfn.XLOOKUP("",Assessment!H:H,Assessment!E:E)="yes"),"Yes","No")</f>
        <v>#N/A</v>
      </c>
      <c r="D2711" s="40" t="s">
        <v>9405</v>
      </c>
    </row>
    <row r="2712" spans="1:4" x14ac:dyDescent="0.35">
      <c r="A2712" s="40" t="e">
        <f>IF(OR(_xlfn.XLOOKUP("",Assessment!H:H,Assessment!E:E)="yes"),"Yes","No")</f>
        <v>#N/A</v>
      </c>
      <c r="D2712" s="40" t="s">
        <v>9405</v>
      </c>
    </row>
    <row r="2713" spans="1:4" x14ac:dyDescent="0.35">
      <c r="A2713" s="40" t="e">
        <f>IF(OR(_xlfn.XLOOKUP("",Assessment!H:H,Assessment!E:E)="yes"),"Yes","No")</f>
        <v>#N/A</v>
      </c>
      <c r="D2713" s="40" t="s">
        <v>9405</v>
      </c>
    </row>
    <row r="2714" spans="1:4" x14ac:dyDescent="0.35">
      <c r="A2714" s="40" t="e">
        <f>IF(OR(_xlfn.XLOOKUP("",Assessment!H:H,Assessment!E:E)="yes"),"Yes","No")</f>
        <v>#N/A</v>
      </c>
      <c r="D2714" s="40" t="s">
        <v>9405</v>
      </c>
    </row>
    <row r="2715" spans="1:4" x14ac:dyDescent="0.35">
      <c r="A2715" s="40" t="e">
        <f>IF(OR(_xlfn.XLOOKUP("",Assessment!H:H,Assessment!E:E)="yes"),"Yes","No")</f>
        <v>#N/A</v>
      </c>
      <c r="D2715" s="40" t="s">
        <v>9405</v>
      </c>
    </row>
    <row r="2716" spans="1:4" x14ac:dyDescent="0.35">
      <c r="A2716" s="40" t="e">
        <f>IF(OR(_xlfn.XLOOKUP("",Assessment!H:H,Assessment!E:E)="yes"),"Yes","No")</f>
        <v>#N/A</v>
      </c>
      <c r="D2716" s="40" t="s">
        <v>9405</v>
      </c>
    </row>
    <row r="2717" spans="1:4" x14ac:dyDescent="0.35">
      <c r="A2717" s="40" t="e">
        <f>IF(OR(_xlfn.XLOOKUP("",Assessment!H:H,Assessment!E:E)="yes"),"Yes","No")</f>
        <v>#N/A</v>
      </c>
      <c r="D2717" s="40" t="s">
        <v>9405</v>
      </c>
    </row>
    <row r="2718" spans="1:4" x14ac:dyDescent="0.35">
      <c r="A2718" s="40" t="e">
        <f>IF(OR(_xlfn.XLOOKUP("",Assessment!H:H,Assessment!E:E)="yes"),"Yes","No")</f>
        <v>#N/A</v>
      </c>
      <c r="D2718" s="40" t="s">
        <v>9405</v>
      </c>
    </row>
    <row r="2719" spans="1:4" x14ac:dyDescent="0.35">
      <c r="A2719" s="40" t="e">
        <f>IF(OR(_xlfn.XLOOKUP("",Assessment!H:H,Assessment!E:E)="yes"),"Yes","No")</f>
        <v>#N/A</v>
      </c>
      <c r="D2719" s="40" t="s">
        <v>9405</v>
      </c>
    </row>
    <row r="2720" spans="1:4" x14ac:dyDescent="0.35">
      <c r="A2720" s="40" t="e">
        <f>IF(OR(_xlfn.XLOOKUP("",Assessment!H:H,Assessment!E:E)="yes"),"Yes","No")</f>
        <v>#N/A</v>
      </c>
      <c r="D2720" s="40" t="s">
        <v>9405</v>
      </c>
    </row>
    <row r="2721" spans="1:4" x14ac:dyDescent="0.35">
      <c r="A2721" s="40" t="e">
        <f>IF(OR(_xlfn.XLOOKUP("",Assessment!H:H,Assessment!E:E)="yes"),"Yes","No")</f>
        <v>#N/A</v>
      </c>
      <c r="D2721" s="40" t="s">
        <v>9405</v>
      </c>
    </row>
    <row r="2722" spans="1:4" x14ac:dyDescent="0.35">
      <c r="A2722" s="40" t="e">
        <f>IF(OR(_xlfn.XLOOKUP("",Assessment!H:H,Assessment!E:E)="yes"),"Yes","No")</f>
        <v>#N/A</v>
      </c>
      <c r="D2722" s="40" t="s">
        <v>9405</v>
      </c>
    </row>
    <row r="2723" spans="1:4" x14ac:dyDescent="0.35">
      <c r="A2723" s="40" t="e">
        <f>IF(OR(_xlfn.XLOOKUP("",Assessment!H:H,Assessment!E:E)="yes"),"Yes","No")</f>
        <v>#N/A</v>
      </c>
      <c r="D2723" s="40" t="s">
        <v>9405</v>
      </c>
    </row>
    <row r="2724" spans="1:4" x14ac:dyDescent="0.35">
      <c r="A2724" s="40" t="e">
        <f>IF(OR(_xlfn.XLOOKUP("",Assessment!H:H,Assessment!E:E)="yes"),"Yes","No")</f>
        <v>#N/A</v>
      </c>
      <c r="D2724" s="40" t="s">
        <v>9405</v>
      </c>
    </row>
    <row r="2725" spans="1:4" x14ac:dyDescent="0.35">
      <c r="A2725" s="40" t="e">
        <f>IF(OR(_xlfn.XLOOKUP("",Assessment!H:H,Assessment!E:E)="yes"),"Yes","No")</f>
        <v>#N/A</v>
      </c>
      <c r="D2725" s="40" t="s">
        <v>9405</v>
      </c>
    </row>
    <row r="2726" spans="1:4" x14ac:dyDescent="0.35">
      <c r="A2726" s="40" t="e">
        <f>IF(OR(_xlfn.XLOOKUP("",Assessment!H:H,Assessment!E:E)="yes"),"Yes","No")</f>
        <v>#N/A</v>
      </c>
      <c r="D2726" s="40" t="s">
        <v>9405</v>
      </c>
    </row>
    <row r="2727" spans="1:4" x14ac:dyDescent="0.35">
      <c r="A2727" s="40" t="e">
        <f>IF(OR(_xlfn.XLOOKUP("",Assessment!H:H,Assessment!E:E)="yes"),"Yes","No")</f>
        <v>#N/A</v>
      </c>
      <c r="D2727" s="40" t="s">
        <v>9405</v>
      </c>
    </row>
    <row r="2728" spans="1:4" x14ac:dyDescent="0.35">
      <c r="A2728" s="40" t="e">
        <f>IF(OR(_xlfn.XLOOKUP("",Assessment!H:H,Assessment!E:E)="yes"),"Yes","No")</f>
        <v>#N/A</v>
      </c>
      <c r="D2728" s="40" t="s">
        <v>9405</v>
      </c>
    </row>
    <row r="2729" spans="1:4" x14ac:dyDescent="0.35">
      <c r="A2729" s="40" t="e">
        <f>IF(OR(_xlfn.XLOOKUP("",Assessment!H:H,Assessment!E:E)="yes"),"Yes","No")</f>
        <v>#N/A</v>
      </c>
      <c r="D2729" s="40" t="s">
        <v>9405</v>
      </c>
    </row>
    <row r="2730" spans="1:4" x14ac:dyDescent="0.35">
      <c r="A2730" s="40" t="e">
        <f>IF(OR(_xlfn.XLOOKUP("",Assessment!H:H,Assessment!E:E)="yes"),"Yes","No")</f>
        <v>#N/A</v>
      </c>
      <c r="D2730" s="40" t="s">
        <v>9405</v>
      </c>
    </row>
    <row r="2731" spans="1:4" x14ac:dyDescent="0.35">
      <c r="A2731" s="40" t="e">
        <f>IF(OR(_xlfn.XLOOKUP("",Assessment!H:H,Assessment!E:E)="yes"),"Yes","No")</f>
        <v>#N/A</v>
      </c>
      <c r="D2731" s="40" t="s">
        <v>9405</v>
      </c>
    </row>
    <row r="2732" spans="1:4" x14ac:dyDescent="0.35">
      <c r="A2732" s="40" t="e">
        <f>IF(OR(_xlfn.XLOOKUP("",Assessment!H:H,Assessment!E:E)="yes"),"Yes","No")</f>
        <v>#N/A</v>
      </c>
      <c r="D2732" s="40" t="s">
        <v>9405</v>
      </c>
    </row>
    <row r="2733" spans="1:4" x14ac:dyDescent="0.35">
      <c r="A2733" s="40" t="e">
        <f>IF(OR(_xlfn.XLOOKUP("",Assessment!H:H,Assessment!E:E)="yes"),"Yes","No")</f>
        <v>#N/A</v>
      </c>
      <c r="D2733" s="40" t="s">
        <v>9405</v>
      </c>
    </row>
    <row r="2734" spans="1:4" x14ac:dyDescent="0.35">
      <c r="A2734" s="40" t="e">
        <f>IF(OR(_xlfn.XLOOKUP("",Assessment!H:H,Assessment!E:E)="yes"),"Yes","No")</f>
        <v>#N/A</v>
      </c>
      <c r="D2734" s="40" t="s">
        <v>9405</v>
      </c>
    </row>
    <row r="2735" spans="1:4" x14ac:dyDescent="0.35">
      <c r="A2735" s="40" t="e">
        <f>IF(OR(_xlfn.XLOOKUP("",Assessment!H:H,Assessment!E:E)="yes"),"Yes","No")</f>
        <v>#N/A</v>
      </c>
      <c r="D2735" s="40" t="s">
        <v>9405</v>
      </c>
    </row>
    <row r="2736" spans="1:4" x14ac:dyDescent="0.35">
      <c r="A2736" s="40" t="e">
        <f>IF(OR(_xlfn.XLOOKUP("",Assessment!H:H,Assessment!E:E)="yes"),"Yes","No")</f>
        <v>#N/A</v>
      </c>
      <c r="D2736" s="40" t="s">
        <v>9405</v>
      </c>
    </row>
    <row r="2737" spans="1:4" x14ac:dyDescent="0.35">
      <c r="A2737" s="40" t="e">
        <f>IF(OR(_xlfn.XLOOKUP("",Assessment!H:H,Assessment!E:E)="yes"),"Yes","No")</f>
        <v>#N/A</v>
      </c>
      <c r="D2737" s="40" t="s">
        <v>9405</v>
      </c>
    </row>
    <row r="2738" spans="1:4" x14ac:dyDescent="0.35">
      <c r="A2738" s="40" t="e">
        <f>IF(OR(_xlfn.XLOOKUP("",Assessment!H:H,Assessment!E:E)="yes"),"Yes","No")</f>
        <v>#N/A</v>
      </c>
      <c r="D2738" s="40" t="s">
        <v>9405</v>
      </c>
    </row>
    <row r="2739" spans="1:4" x14ac:dyDescent="0.35">
      <c r="A2739" s="40" t="e">
        <f>IF(OR(_xlfn.XLOOKUP("",Assessment!H:H,Assessment!E:E)="yes"),"Yes","No")</f>
        <v>#N/A</v>
      </c>
      <c r="D2739" s="40" t="s">
        <v>9405</v>
      </c>
    </row>
    <row r="2740" spans="1:4" x14ac:dyDescent="0.35">
      <c r="A2740" s="40" t="e">
        <f>IF(OR(_xlfn.XLOOKUP("",Assessment!H:H,Assessment!E:E)="yes"),"Yes","No")</f>
        <v>#N/A</v>
      </c>
      <c r="D2740" s="40" t="s">
        <v>9405</v>
      </c>
    </row>
    <row r="2741" spans="1:4" x14ac:dyDescent="0.35">
      <c r="A2741" s="40" t="e">
        <f>IF(OR(_xlfn.XLOOKUP("",Assessment!H:H,Assessment!E:E)="yes"),"Yes","No")</f>
        <v>#N/A</v>
      </c>
      <c r="D2741" s="40" t="s">
        <v>9405</v>
      </c>
    </row>
    <row r="2742" spans="1:4" x14ac:dyDescent="0.35">
      <c r="A2742" s="40" t="e">
        <f>IF(OR(_xlfn.XLOOKUP("",Assessment!H:H,Assessment!E:E)="yes"),"Yes","No")</f>
        <v>#N/A</v>
      </c>
      <c r="D2742" s="40" t="s">
        <v>9405</v>
      </c>
    </row>
    <row r="2743" spans="1:4" x14ac:dyDescent="0.35">
      <c r="A2743" s="40" t="e">
        <f>IF(OR(_xlfn.XLOOKUP("",Assessment!H:H,Assessment!E:E)="yes"),"Yes","No")</f>
        <v>#N/A</v>
      </c>
      <c r="D2743" s="40" t="s">
        <v>9405</v>
      </c>
    </row>
    <row r="2744" spans="1:4" x14ac:dyDescent="0.35">
      <c r="A2744" s="40" t="e">
        <f>IF(OR(_xlfn.XLOOKUP("",Assessment!H:H,Assessment!E:E)="yes"),"Yes","No")</f>
        <v>#N/A</v>
      </c>
      <c r="D2744" s="40" t="s">
        <v>9405</v>
      </c>
    </row>
    <row r="2745" spans="1:4" x14ac:dyDescent="0.35">
      <c r="A2745" s="40" t="e">
        <f>IF(OR(_xlfn.XLOOKUP("",Assessment!H:H,Assessment!E:E)="yes"),"Yes","No")</f>
        <v>#N/A</v>
      </c>
      <c r="D2745" s="40" t="s">
        <v>9405</v>
      </c>
    </row>
    <row r="2746" spans="1:4" x14ac:dyDescent="0.35">
      <c r="A2746" s="40" t="e">
        <f>IF(OR(_xlfn.XLOOKUP("",Assessment!H:H,Assessment!E:E)="yes"),"Yes","No")</f>
        <v>#N/A</v>
      </c>
      <c r="D2746" s="40" t="s">
        <v>9405</v>
      </c>
    </row>
    <row r="2747" spans="1:4" x14ac:dyDescent="0.35">
      <c r="A2747" s="40" t="e">
        <f>IF(OR(_xlfn.XLOOKUP("",Assessment!H:H,Assessment!E:E)="yes"),"Yes","No")</f>
        <v>#N/A</v>
      </c>
      <c r="D2747" s="40" t="s">
        <v>9405</v>
      </c>
    </row>
    <row r="2748" spans="1:4" x14ac:dyDescent="0.35">
      <c r="A2748" s="40" t="e">
        <f>IF(OR(_xlfn.XLOOKUP("",Assessment!H:H,Assessment!E:E)="yes"),"Yes","No")</f>
        <v>#N/A</v>
      </c>
      <c r="D2748" s="40" t="s">
        <v>9405</v>
      </c>
    </row>
    <row r="2749" spans="1:4" x14ac:dyDescent="0.35">
      <c r="A2749" s="40" t="e">
        <f>IF(OR(_xlfn.XLOOKUP("",Assessment!H:H,Assessment!E:E)="yes"),"Yes","No")</f>
        <v>#N/A</v>
      </c>
      <c r="D2749" s="40" t="s">
        <v>9405</v>
      </c>
    </row>
    <row r="2750" spans="1:4" x14ac:dyDescent="0.35">
      <c r="A2750" s="40" t="e">
        <f>IF(OR(_xlfn.XLOOKUP("",Assessment!H:H,Assessment!E:E)="yes"),"Yes","No")</f>
        <v>#N/A</v>
      </c>
      <c r="D2750" s="40" t="s">
        <v>9405</v>
      </c>
    </row>
    <row r="2751" spans="1:4" x14ac:dyDescent="0.35">
      <c r="A2751" s="40" t="e">
        <f>IF(OR(_xlfn.XLOOKUP("",Assessment!H:H,Assessment!E:E)="yes"),"Yes","No")</f>
        <v>#N/A</v>
      </c>
      <c r="D2751" s="40" t="s">
        <v>9405</v>
      </c>
    </row>
    <row r="2752" spans="1:4" x14ac:dyDescent="0.35">
      <c r="A2752" s="40" t="e">
        <f>IF(OR(_xlfn.XLOOKUP("",Assessment!H:H,Assessment!E:E)="yes"),"Yes","No")</f>
        <v>#N/A</v>
      </c>
      <c r="D2752" s="40" t="s">
        <v>9405</v>
      </c>
    </row>
    <row r="2753" spans="1:4" x14ac:dyDescent="0.35">
      <c r="A2753" s="40" t="e">
        <f>IF(OR(_xlfn.XLOOKUP("",Assessment!H:H,Assessment!E:E)="yes"),"Yes","No")</f>
        <v>#N/A</v>
      </c>
      <c r="D2753" s="40" t="s">
        <v>9405</v>
      </c>
    </row>
    <row r="2754" spans="1:4" x14ac:dyDescent="0.35">
      <c r="A2754" s="40" t="e">
        <f>IF(OR(_xlfn.XLOOKUP("",Assessment!H:H,Assessment!E:E)="yes"),"Yes","No")</f>
        <v>#N/A</v>
      </c>
      <c r="D2754" s="40" t="s">
        <v>9405</v>
      </c>
    </row>
    <row r="2755" spans="1:4" x14ac:dyDescent="0.35">
      <c r="A2755" s="40" t="e">
        <f>IF(OR(_xlfn.XLOOKUP("",Assessment!H:H,Assessment!E:E)="yes"),"Yes","No")</f>
        <v>#N/A</v>
      </c>
      <c r="D2755" s="40" t="s">
        <v>9405</v>
      </c>
    </row>
    <row r="2756" spans="1:4" x14ac:dyDescent="0.35">
      <c r="A2756" s="40" t="e">
        <f>IF(OR(_xlfn.XLOOKUP("",Assessment!H:H,Assessment!E:E)="yes"),"Yes","No")</f>
        <v>#N/A</v>
      </c>
      <c r="D2756" s="40" t="s">
        <v>9405</v>
      </c>
    </row>
    <row r="2757" spans="1:4" x14ac:dyDescent="0.35">
      <c r="A2757" s="40" t="e">
        <f>IF(OR(_xlfn.XLOOKUP("",Assessment!H:H,Assessment!E:E)="yes"),"Yes","No")</f>
        <v>#N/A</v>
      </c>
      <c r="D2757" s="40" t="s">
        <v>9405</v>
      </c>
    </row>
    <row r="2758" spans="1:4" x14ac:dyDescent="0.35">
      <c r="A2758" s="40" t="e">
        <f>IF(OR(_xlfn.XLOOKUP("",Assessment!H:H,Assessment!E:E)="yes"),"Yes","No")</f>
        <v>#N/A</v>
      </c>
      <c r="D2758" s="40" t="s">
        <v>9405</v>
      </c>
    </row>
    <row r="2759" spans="1:4" x14ac:dyDescent="0.35">
      <c r="A2759" s="40" t="e">
        <f>IF(OR(_xlfn.XLOOKUP("",Assessment!H:H,Assessment!E:E)="yes"),"Yes","No")</f>
        <v>#N/A</v>
      </c>
      <c r="D2759" s="40" t="s">
        <v>9405</v>
      </c>
    </row>
    <row r="2760" spans="1:4" x14ac:dyDescent="0.35">
      <c r="A2760" s="40" t="e">
        <f>IF(OR(_xlfn.XLOOKUP("",Assessment!H:H,Assessment!E:E)="yes"),"Yes","No")</f>
        <v>#N/A</v>
      </c>
      <c r="D2760" s="40" t="s">
        <v>9405</v>
      </c>
    </row>
    <row r="2761" spans="1:4" x14ac:dyDescent="0.35">
      <c r="A2761" s="40" t="e">
        <f>IF(OR(_xlfn.XLOOKUP("",Assessment!H:H,Assessment!E:E)="yes"),"Yes","No")</f>
        <v>#N/A</v>
      </c>
      <c r="D2761" s="40" t="s">
        <v>9405</v>
      </c>
    </row>
    <row r="2762" spans="1:4" x14ac:dyDescent="0.35">
      <c r="A2762" s="40" t="e">
        <f>IF(OR(_xlfn.XLOOKUP("",Assessment!H:H,Assessment!E:E)="yes"),"Yes","No")</f>
        <v>#N/A</v>
      </c>
      <c r="D2762" s="40" t="s">
        <v>9405</v>
      </c>
    </row>
    <row r="2763" spans="1:4" x14ac:dyDescent="0.35">
      <c r="A2763" s="40" t="e">
        <f>IF(OR(_xlfn.XLOOKUP("",Assessment!H:H,Assessment!E:E)="yes"),"Yes","No")</f>
        <v>#N/A</v>
      </c>
      <c r="D2763" s="40" t="s">
        <v>9405</v>
      </c>
    </row>
    <row r="2764" spans="1:4" x14ac:dyDescent="0.35">
      <c r="A2764" s="40" t="e">
        <f>IF(OR(_xlfn.XLOOKUP("",Assessment!H:H,Assessment!E:E)="yes"),"Yes","No")</f>
        <v>#N/A</v>
      </c>
      <c r="D2764" s="40" t="s">
        <v>9405</v>
      </c>
    </row>
    <row r="2765" spans="1:4" x14ac:dyDescent="0.35">
      <c r="A2765" s="40" t="e">
        <f>IF(OR(_xlfn.XLOOKUP("",Assessment!H:H,Assessment!E:E)="yes"),"Yes","No")</f>
        <v>#N/A</v>
      </c>
      <c r="D2765" s="40" t="s">
        <v>9405</v>
      </c>
    </row>
    <row r="2766" spans="1:4" x14ac:dyDescent="0.35">
      <c r="A2766" s="40" t="e">
        <f>IF(OR(_xlfn.XLOOKUP("",Assessment!H:H,Assessment!E:E)="yes"),"Yes","No")</f>
        <v>#N/A</v>
      </c>
      <c r="D2766" s="40" t="s">
        <v>9405</v>
      </c>
    </row>
    <row r="2767" spans="1:4" x14ac:dyDescent="0.35">
      <c r="A2767" s="40" t="e">
        <f>IF(OR(_xlfn.XLOOKUP("",Assessment!H:H,Assessment!E:E)="yes"),"Yes","No")</f>
        <v>#N/A</v>
      </c>
      <c r="D2767" s="40" t="s">
        <v>9405</v>
      </c>
    </row>
    <row r="2768" spans="1:4" x14ac:dyDescent="0.35">
      <c r="A2768" s="40" t="e">
        <f>IF(OR(_xlfn.XLOOKUP("",Assessment!H:H,Assessment!E:E)="yes"),"Yes","No")</f>
        <v>#N/A</v>
      </c>
      <c r="D2768" s="40" t="s">
        <v>9405</v>
      </c>
    </row>
    <row r="2769" spans="1:4" x14ac:dyDescent="0.35">
      <c r="A2769" s="40" t="e">
        <f>IF(OR(_xlfn.XLOOKUP("",Assessment!H:H,Assessment!E:E)="yes"),"Yes","No")</f>
        <v>#N/A</v>
      </c>
      <c r="D2769" s="40" t="s">
        <v>9405</v>
      </c>
    </row>
    <row r="2770" spans="1:4" x14ac:dyDescent="0.35">
      <c r="A2770" s="40" t="e">
        <f>IF(OR(_xlfn.XLOOKUP("",Assessment!H:H,Assessment!E:E)="yes"),"Yes","No")</f>
        <v>#N/A</v>
      </c>
      <c r="D2770" s="40" t="s">
        <v>9405</v>
      </c>
    </row>
    <row r="2771" spans="1:4" x14ac:dyDescent="0.35">
      <c r="A2771" s="40" t="e">
        <f>IF(OR(_xlfn.XLOOKUP("",Assessment!H:H,Assessment!E:E)="yes"),"Yes","No")</f>
        <v>#N/A</v>
      </c>
      <c r="D2771" s="40" t="s">
        <v>9405</v>
      </c>
    </row>
    <row r="2772" spans="1:4" x14ac:dyDescent="0.35">
      <c r="A2772" s="40" t="e">
        <f>IF(OR(_xlfn.XLOOKUP("",Assessment!H:H,Assessment!E:E)="yes"),"Yes","No")</f>
        <v>#N/A</v>
      </c>
      <c r="D2772" s="40" t="s">
        <v>9405</v>
      </c>
    </row>
    <row r="2773" spans="1:4" x14ac:dyDescent="0.35">
      <c r="A2773" s="40" t="e">
        <f>IF(OR(_xlfn.XLOOKUP("",Assessment!H:H,Assessment!E:E)="yes"),"Yes","No")</f>
        <v>#N/A</v>
      </c>
      <c r="D2773" s="40" t="s">
        <v>9405</v>
      </c>
    </row>
    <row r="2774" spans="1:4" x14ac:dyDescent="0.35">
      <c r="A2774" s="40" t="e">
        <f>IF(OR(_xlfn.XLOOKUP("",Assessment!H:H,Assessment!E:E)="yes"),"Yes","No")</f>
        <v>#N/A</v>
      </c>
      <c r="D2774" s="40" t="s">
        <v>9405</v>
      </c>
    </row>
    <row r="2775" spans="1:4" x14ac:dyDescent="0.35">
      <c r="A2775" s="40" t="e">
        <f>IF(OR(_xlfn.XLOOKUP("",Assessment!H:H,Assessment!E:E)="yes"),"Yes","No")</f>
        <v>#N/A</v>
      </c>
      <c r="D2775" s="40" t="s">
        <v>9405</v>
      </c>
    </row>
    <row r="2776" spans="1:4" x14ac:dyDescent="0.35">
      <c r="A2776" s="40" t="e">
        <f>IF(OR(_xlfn.XLOOKUP("",Assessment!H:H,Assessment!E:E)="yes"),"Yes","No")</f>
        <v>#N/A</v>
      </c>
      <c r="D2776" s="40" t="s">
        <v>9405</v>
      </c>
    </row>
    <row r="2777" spans="1:4" x14ac:dyDescent="0.35">
      <c r="A2777" s="40" t="e">
        <f>IF(OR(_xlfn.XLOOKUP("",Assessment!H:H,Assessment!E:E)="yes"),"Yes","No")</f>
        <v>#N/A</v>
      </c>
      <c r="D2777" s="40" t="s">
        <v>9405</v>
      </c>
    </row>
    <row r="2778" spans="1:4" x14ac:dyDescent="0.35">
      <c r="A2778" s="40" t="e">
        <f>IF(OR(_xlfn.XLOOKUP("",Assessment!H:H,Assessment!E:E)="yes"),"Yes","No")</f>
        <v>#N/A</v>
      </c>
      <c r="D2778" s="40" t="s">
        <v>9405</v>
      </c>
    </row>
    <row r="2779" spans="1:4" x14ac:dyDescent="0.35">
      <c r="A2779" s="40" t="e">
        <f>IF(OR(_xlfn.XLOOKUP("",Assessment!H:H,Assessment!E:E)="yes"),"Yes","No")</f>
        <v>#N/A</v>
      </c>
      <c r="D2779" s="40" t="s">
        <v>9405</v>
      </c>
    </row>
    <row r="2780" spans="1:4" x14ac:dyDescent="0.35">
      <c r="A2780" s="40" t="e">
        <f>IF(OR(_xlfn.XLOOKUP("",Assessment!H:H,Assessment!E:E)="yes"),"Yes","No")</f>
        <v>#N/A</v>
      </c>
      <c r="D2780" s="40" t="s">
        <v>9405</v>
      </c>
    </row>
    <row r="2781" spans="1:4" x14ac:dyDescent="0.35">
      <c r="A2781" s="40" t="e">
        <f>IF(OR(_xlfn.XLOOKUP("",Assessment!H:H,Assessment!E:E)="yes"),"Yes","No")</f>
        <v>#N/A</v>
      </c>
      <c r="D2781" s="40" t="s">
        <v>9405</v>
      </c>
    </row>
    <row r="2782" spans="1:4" x14ac:dyDescent="0.35">
      <c r="A2782" s="40" t="e">
        <f>IF(OR(_xlfn.XLOOKUP("",Assessment!H:H,Assessment!E:E)="yes"),"Yes","No")</f>
        <v>#N/A</v>
      </c>
      <c r="D2782" s="40" t="s">
        <v>9405</v>
      </c>
    </row>
    <row r="2783" spans="1:4" x14ac:dyDescent="0.35">
      <c r="A2783" s="40" t="e">
        <f>IF(OR(_xlfn.XLOOKUP("",Assessment!H:H,Assessment!E:E)="yes"),"Yes","No")</f>
        <v>#N/A</v>
      </c>
      <c r="D2783" s="40" t="s">
        <v>9405</v>
      </c>
    </row>
    <row r="2784" spans="1:4" x14ac:dyDescent="0.35">
      <c r="A2784" s="40" t="e">
        <f>IF(OR(_xlfn.XLOOKUP("",Assessment!H:H,Assessment!E:E)="yes"),"Yes","No")</f>
        <v>#N/A</v>
      </c>
      <c r="D2784" s="40" t="s">
        <v>9405</v>
      </c>
    </row>
    <row r="2785" spans="1:4" x14ac:dyDescent="0.35">
      <c r="A2785" s="40" t="e">
        <f>IF(OR(_xlfn.XLOOKUP("",Assessment!H:H,Assessment!E:E)="yes"),"Yes","No")</f>
        <v>#N/A</v>
      </c>
      <c r="D2785" s="40" t="s">
        <v>9405</v>
      </c>
    </row>
    <row r="2786" spans="1:4" x14ac:dyDescent="0.35">
      <c r="A2786" s="40" t="e">
        <f>IF(OR(_xlfn.XLOOKUP("",Assessment!H:H,Assessment!E:E)="yes"),"Yes","No")</f>
        <v>#N/A</v>
      </c>
      <c r="D2786" s="40" t="s">
        <v>9405</v>
      </c>
    </row>
    <row r="2787" spans="1:4" x14ac:dyDescent="0.35">
      <c r="A2787" s="40" t="e">
        <f>IF(OR(_xlfn.XLOOKUP("",Assessment!H:H,Assessment!E:E)="yes"),"Yes","No")</f>
        <v>#N/A</v>
      </c>
      <c r="D2787" s="40" t="s">
        <v>9405</v>
      </c>
    </row>
    <row r="2788" spans="1:4" x14ac:dyDescent="0.35">
      <c r="A2788" s="40" t="e">
        <f>IF(OR(_xlfn.XLOOKUP("",Assessment!H:H,Assessment!E:E)="yes"),"Yes","No")</f>
        <v>#N/A</v>
      </c>
      <c r="D2788" s="40" t="s">
        <v>9405</v>
      </c>
    </row>
    <row r="2789" spans="1:4" x14ac:dyDescent="0.35">
      <c r="A2789" s="40" t="e">
        <f>IF(OR(_xlfn.XLOOKUP("",Assessment!H:H,Assessment!E:E)="yes"),"Yes","No")</f>
        <v>#N/A</v>
      </c>
      <c r="D2789" s="40" t="s">
        <v>9405</v>
      </c>
    </row>
    <row r="2790" spans="1:4" x14ac:dyDescent="0.35">
      <c r="A2790" s="40" t="e">
        <f>IF(OR(_xlfn.XLOOKUP("",Assessment!H:H,Assessment!E:E)="yes"),"Yes","No")</f>
        <v>#N/A</v>
      </c>
      <c r="D2790" s="40" t="s">
        <v>9405</v>
      </c>
    </row>
    <row r="2791" spans="1:4" x14ac:dyDescent="0.35">
      <c r="A2791" s="40" t="e">
        <f>IF(OR(_xlfn.XLOOKUP("",Assessment!H:H,Assessment!E:E)="yes"),"Yes","No")</f>
        <v>#N/A</v>
      </c>
      <c r="D2791" s="40" t="s">
        <v>9405</v>
      </c>
    </row>
    <row r="2792" spans="1:4" x14ac:dyDescent="0.35">
      <c r="A2792" s="40" t="e">
        <f>IF(OR(_xlfn.XLOOKUP("",Assessment!H:H,Assessment!E:E)="yes"),"Yes","No")</f>
        <v>#N/A</v>
      </c>
      <c r="D2792" s="40" t="s">
        <v>9405</v>
      </c>
    </row>
    <row r="2793" spans="1:4" x14ac:dyDescent="0.35">
      <c r="A2793" s="40" t="e">
        <f>IF(OR(_xlfn.XLOOKUP("",Assessment!H:H,Assessment!E:E)="yes"),"Yes","No")</f>
        <v>#N/A</v>
      </c>
      <c r="D2793" s="40" t="s">
        <v>9405</v>
      </c>
    </row>
    <row r="2794" spans="1:4" x14ac:dyDescent="0.35">
      <c r="A2794" s="40" t="e">
        <f>IF(OR(_xlfn.XLOOKUP("",Assessment!H:H,Assessment!E:E)="yes"),"Yes","No")</f>
        <v>#N/A</v>
      </c>
      <c r="D2794" s="40" t="s">
        <v>9405</v>
      </c>
    </row>
    <row r="2795" spans="1:4" x14ac:dyDescent="0.35">
      <c r="A2795" s="40" t="e">
        <f>IF(OR(_xlfn.XLOOKUP("",Assessment!H:H,Assessment!E:E)="yes"),"Yes","No")</f>
        <v>#N/A</v>
      </c>
      <c r="D2795" s="40" t="s">
        <v>9405</v>
      </c>
    </row>
    <row r="2796" spans="1:4" x14ac:dyDescent="0.35">
      <c r="A2796" s="40" t="e">
        <f>IF(OR(_xlfn.XLOOKUP("",Assessment!H:H,Assessment!E:E)="yes"),"Yes","No")</f>
        <v>#N/A</v>
      </c>
      <c r="D2796" s="40" t="s">
        <v>9405</v>
      </c>
    </row>
    <row r="2797" spans="1:4" x14ac:dyDescent="0.35">
      <c r="A2797" s="40" t="e">
        <f>IF(OR(_xlfn.XLOOKUP("",Assessment!H:H,Assessment!E:E)="yes"),"Yes","No")</f>
        <v>#N/A</v>
      </c>
      <c r="D2797" s="40" t="s">
        <v>9405</v>
      </c>
    </row>
    <row r="2798" spans="1:4" x14ac:dyDescent="0.35">
      <c r="A2798" s="40" t="e">
        <f>IF(OR(_xlfn.XLOOKUP("",Assessment!H:H,Assessment!E:E)="yes"),"Yes","No")</f>
        <v>#N/A</v>
      </c>
      <c r="D2798" s="40" t="s">
        <v>9405</v>
      </c>
    </row>
    <row r="2799" spans="1:4" x14ac:dyDescent="0.35">
      <c r="A2799" s="40" t="e">
        <f>IF(OR(_xlfn.XLOOKUP("",Assessment!H:H,Assessment!E:E)="yes"),"Yes","No")</f>
        <v>#N/A</v>
      </c>
      <c r="D2799" s="40" t="s">
        <v>9405</v>
      </c>
    </row>
    <row r="2800" spans="1:4" x14ac:dyDescent="0.35">
      <c r="A2800" s="40" t="e">
        <f>IF(OR(_xlfn.XLOOKUP("",Assessment!H:H,Assessment!E:E)="yes"),"Yes","No")</f>
        <v>#N/A</v>
      </c>
      <c r="D2800" s="40" t="s">
        <v>9405</v>
      </c>
    </row>
    <row r="2801" spans="1:4" x14ac:dyDescent="0.35">
      <c r="A2801" s="40" t="e">
        <f>IF(OR(_xlfn.XLOOKUP("",Assessment!H:H,Assessment!E:E)="yes"),"Yes","No")</f>
        <v>#N/A</v>
      </c>
      <c r="D2801" s="40" t="s">
        <v>9405</v>
      </c>
    </row>
    <row r="2802" spans="1:4" x14ac:dyDescent="0.35">
      <c r="A2802" s="40" t="e">
        <f>IF(OR(_xlfn.XLOOKUP("",Assessment!H:H,Assessment!E:E)="yes"),"Yes","No")</f>
        <v>#N/A</v>
      </c>
      <c r="D2802" s="40" t="s">
        <v>9405</v>
      </c>
    </row>
    <row r="2803" spans="1:4" x14ac:dyDescent="0.35">
      <c r="A2803" s="40" t="e">
        <f>IF(OR(_xlfn.XLOOKUP("",Assessment!H:H,Assessment!E:E)="yes"),"Yes","No")</f>
        <v>#N/A</v>
      </c>
      <c r="D2803" s="40" t="s">
        <v>9405</v>
      </c>
    </row>
    <row r="2804" spans="1:4" x14ac:dyDescent="0.35">
      <c r="A2804" s="40" t="e">
        <f>IF(OR(_xlfn.XLOOKUP("",Assessment!H:H,Assessment!E:E)="yes"),"Yes","No")</f>
        <v>#N/A</v>
      </c>
      <c r="D2804" s="40" t="s">
        <v>9405</v>
      </c>
    </row>
    <row r="2805" spans="1:4" x14ac:dyDescent="0.35">
      <c r="A2805" s="40" t="e">
        <f>IF(OR(_xlfn.XLOOKUP("",Assessment!H:H,Assessment!E:E)="yes"),"Yes","No")</f>
        <v>#N/A</v>
      </c>
      <c r="D2805" s="40" t="s">
        <v>9405</v>
      </c>
    </row>
    <row r="2806" spans="1:4" x14ac:dyDescent="0.35">
      <c r="A2806" s="40" t="e">
        <f>IF(OR(_xlfn.XLOOKUP("",Assessment!H:H,Assessment!E:E)="yes"),"Yes","No")</f>
        <v>#N/A</v>
      </c>
      <c r="D2806" s="40" t="s">
        <v>9405</v>
      </c>
    </row>
    <row r="2807" spans="1:4" x14ac:dyDescent="0.35">
      <c r="A2807" s="40" t="e">
        <f>IF(OR(_xlfn.XLOOKUP("",Assessment!H:H,Assessment!E:E)="yes"),"Yes","No")</f>
        <v>#N/A</v>
      </c>
      <c r="D2807" s="40" t="s">
        <v>9405</v>
      </c>
    </row>
    <row r="2808" spans="1:4" x14ac:dyDescent="0.35">
      <c r="A2808" s="40" t="e">
        <f>IF(OR(_xlfn.XLOOKUP("",Assessment!H:H,Assessment!E:E)="yes"),"Yes","No")</f>
        <v>#N/A</v>
      </c>
      <c r="D2808" s="40" t="s">
        <v>9405</v>
      </c>
    </row>
    <row r="2809" spans="1:4" x14ac:dyDescent="0.35">
      <c r="A2809" s="40" t="e">
        <f>IF(OR(_xlfn.XLOOKUP("",Assessment!H:H,Assessment!E:E)="yes"),"Yes","No")</f>
        <v>#N/A</v>
      </c>
      <c r="D2809" s="40" t="s">
        <v>9405</v>
      </c>
    </row>
    <row r="2810" spans="1:4" x14ac:dyDescent="0.35">
      <c r="A2810" s="40" t="e">
        <f>IF(OR(_xlfn.XLOOKUP("",Assessment!H:H,Assessment!E:E)="yes"),"Yes","No")</f>
        <v>#N/A</v>
      </c>
      <c r="D2810" s="40" t="s">
        <v>9405</v>
      </c>
    </row>
    <row r="2811" spans="1:4" x14ac:dyDescent="0.35">
      <c r="A2811" s="40" t="e">
        <f>IF(OR(_xlfn.XLOOKUP("",Assessment!H:H,Assessment!E:E)="yes"),"Yes","No")</f>
        <v>#N/A</v>
      </c>
      <c r="D2811" s="40" t="s">
        <v>9405</v>
      </c>
    </row>
    <row r="2812" spans="1:4" x14ac:dyDescent="0.35">
      <c r="A2812" s="40" t="e">
        <f>IF(OR(_xlfn.XLOOKUP("",Assessment!H:H,Assessment!E:E)="yes"),"Yes","No")</f>
        <v>#N/A</v>
      </c>
      <c r="D2812" s="40" t="s">
        <v>9405</v>
      </c>
    </row>
    <row r="2813" spans="1:4" x14ac:dyDescent="0.35">
      <c r="A2813" s="40" t="e">
        <f>IF(OR(_xlfn.XLOOKUP("",Assessment!H:H,Assessment!E:E)="yes"),"Yes","No")</f>
        <v>#N/A</v>
      </c>
      <c r="D2813" s="40" t="s">
        <v>9405</v>
      </c>
    </row>
    <row r="2814" spans="1:4" x14ac:dyDescent="0.35">
      <c r="A2814" s="40" t="e">
        <f>IF(OR(_xlfn.XLOOKUP("",Assessment!H:H,Assessment!E:E)="yes"),"Yes","No")</f>
        <v>#N/A</v>
      </c>
      <c r="D2814" s="40" t="s">
        <v>9405</v>
      </c>
    </row>
    <row r="2815" spans="1:4" x14ac:dyDescent="0.35">
      <c r="A2815" s="40" t="e">
        <f>IF(OR(_xlfn.XLOOKUP("",Assessment!H:H,Assessment!E:E)="yes"),"Yes","No")</f>
        <v>#N/A</v>
      </c>
      <c r="D2815" s="40" t="s">
        <v>9405</v>
      </c>
    </row>
    <row r="2816" spans="1:4" x14ac:dyDescent="0.35">
      <c r="A2816" s="40" t="e">
        <f>IF(OR(_xlfn.XLOOKUP("",Assessment!H:H,Assessment!E:E)="yes"),"Yes","No")</f>
        <v>#N/A</v>
      </c>
      <c r="D2816" s="40" t="s">
        <v>9405</v>
      </c>
    </row>
    <row r="2817" spans="1:4" x14ac:dyDescent="0.35">
      <c r="A2817" s="40" t="e">
        <f>IF(OR(_xlfn.XLOOKUP("",Assessment!H:H,Assessment!E:E)="yes"),"Yes","No")</f>
        <v>#N/A</v>
      </c>
      <c r="D2817" s="40" t="s">
        <v>9405</v>
      </c>
    </row>
    <row r="2818" spans="1:4" x14ac:dyDescent="0.35">
      <c r="A2818" s="40" t="e">
        <f>IF(OR(_xlfn.XLOOKUP("",Assessment!H:H,Assessment!E:E)="yes"),"Yes","No")</f>
        <v>#N/A</v>
      </c>
      <c r="D2818" s="40" t="s">
        <v>9405</v>
      </c>
    </row>
    <row r="2819" spans="1:4" x14ac:dyDescent="0.35">
      <c r="A2819" s="40" t="e">
        <f>IF(OR(_xlfn.XLOOKUP("",Assessment!H:H,Assessment!E:E)="yes"),"Yes","No")</f>
        <v>#N/A</v>
      </c>
      <c r="D2819" s="40" t="s">
        <v>9405</v>
      </c>
    </row>
    <row r="2820" spans="1:4" x14ac:dyDescent="0.35">
      <c r="A2820" s="40" t="e">
        <f>IF(OR(_xlfn.XLOOKUP("",Assessment!H:H,Assessment!E:E)="yes"),"Yes","No")</f>
        <v>#N/A</v>
      </c>
      <c r="D2820" s="40" t="s">
        <v>9405</v>
      </c>
    </row>
    <row r="2821" spans="1:4" x14ac:dyDescent="0.35">
      <c r="A2821" s="40" t="e">
        <f>IF(OR(_xlfn.XLOOKUP("",Assessment!H:H,Assessment!E:E)="yes"),"Yes","No")</f>
        <v>#N/A</v>
      </c>
      <c r="D2821" s="40" t="s">
        <v>9405</v>
      </c>
    </row>
    <row r="2822" spans="1:4" x14ac:dyDescent="0.35">
      <c r="A2822" s="40" t="e">
        <f>IF(OR(_xlfn.XLOOKUP("",Assessment!H:H,Assessment!E:E)="yes"),"Yes","No")</f>
        <v>#N/A</v>
      </c>
      <c r="D2822" s="40" t="s">
        <v>9405</v>
      </c>
    </row>
    <row r="2823" spans="1:4" x14ac:dyDescent="0.35">
      <c r="A2823" s="40" t="e">
        <f>IF(OR(_xlfn.XLOOKUP("",Assessment!H:H,Assessment!E:E)="yes"),"Yes","No")</f>
        <v>#N/A</v>
      </c>
      <c r="D2823" s="40" t="s">
        <v>9405</v>
      </c>
    </row>
    <row r="2824" spans="1:4" x14ac:dyDescent="0.35">
      <c r="A2824" s="40" t="e">
        <f>IF(OR(_xlfn.XLOOKUP("",Assessment!H:H,Assessment!E:E)="yes"),"Yes","No")</f>
        <v>#N/A</v>
      </c>
      <c r="D2824" s="40" t="s">
        <v>9405</v>
      </c>
    </row>
    <row r="2825" spans="1:4" x14ac:dyDescent="0.35">
      <c r="A2825" s="40" t="e">
        <f>IF(OR(_xlfn.XLOOKUP("",Assessment!H:H,Assessment!E:E)="yes"),"Yes","No")</f>
        <v>#N/A</v>
      </c>
      <c r="D2825" s="40" t="s">
        <v>9405</v>
      </c>
    </row>
    <row r="2826" spans="1:4" x14ac:dyDescent="0.35">
      <c r="A2826" s="40" t="e">
        <f>IF(OR(_xlfn.XLOOKUP("",Assessment!H:H,Assessment!E:E)="yes"),"Yes","No")</f>
        <v>#N/A</v>
      </c>
      <c r="D2826" s="40" t="s">
        <v>9405</v>
      </c>
    </row>
    <row r="2827" spans="1:4" x14ac:dyDescent="0.35">
      <c r="A2827" s="40" t="e">
        <f>IF(OR(_xlfn.XLOOKUP("",Assessment!H:H,Assessment!E:E)="yes"),"Yes","No")</f>
        <v>#N/A</v>
      </c>
      <c r="D2827" s="40" t="s">
        <v>9405</v>
      </c>
    </row>
    <row r="2828" spans="1:4" x14ac:dyDescent="0.35">
      <c r="A2828" s="40" t="e">
        <f>IF(OR(_xlfn.XLOOKUP("",Assessment!H:H,Assessment!E:E)="yes"),"Yes","No")</f>
        <v>#N/A</v>
      </c>
      <c r="D2828" s="40" t="s">
        <v>9405</v>
      </c>
    </row>
    <row r="2829" spans="1:4" x14ac:dyDescent="0.35">
      <c r="A2829" s="40" t="e">
        <f>IF(OR(_xlfn.XLOOKUP("",Assessment!H:H,Assessment!E:E)="yes"),"Yes","No")</f>
        <v>#N/A</v>
      </c>
      <c r="D2829" s="40" t="s">
        <v>9405</v>
      </c>
    </row>
    <row r="2830" spans="1:4" x14ac:dyDescent="0.35">
      <c r="A2830" s="40" t="e">
        <f>IF(OR(_xlfn.XLOOKUP("",Assessment!H:H,Assessment!E:E)="yes"),"Yes","No")</f>
        <v>#N/A</v>
      </c>
      <c r="D2830" s="40" t="s">
        <v>9405</v>
      </c>
    </row>
    <row r="2831" spans="1:4" x14ac:dyDescent="0.35">
      <c r="A2831" s="40" t="e">
        <f>IF(OR(_xlfn.XLOOKUP("",Assessment!H:H,Assessment!E:E)="yes"),"Yes","No")</f>
        <v>#N/A</v>
      </c>
      <c r="D2831" s="40" t="s">
        <v>9405</v>
      </c>
    </row>
    <row r="2832" spans="1:4" x14ac:dyDescent="0.35">
      <c r="A2832" s="40" t="e">
        <f>IF(OR(_xlfn.XLOOKUP("",Assessment!H:H,Assessment!E:E)="yes"),"Yes","No")</f>
        <v>#N/A</v>
      </c>
      <c r="D2832" s="40" t="s">
        <v>9405</v>
      </c>
    </row>
    <row r="2833" spans="1:4" x14ac:dyDescent="0.35">
      <c r="A2833" s="40" t="e">
        <f>IF(OR(_xlfn.XLOOKUP("",Assessment!H:H,Assessment!E:E)="yes"),"Yes","No")</f>
        <v>#N/A</v>
      </c>
      <c r="D2833" s="40" t="s">
        <v>9405</v>
      </c>
    </row>
    <row r="2834" spans="1:4" x14ac:dyDescent="0.35">
      <c r="A2834" s="40" t="e">
        <f>IF(OR(_xlfn.XLOOKUP("",Assessment!H:H,Assessment!E:E)="yes"),"Yes","No")</f>
        <v>#N/A</v>
      </c>
      <c r="D2834" s="40" t="s">
        <v>9405</v>
      </c>
    </row>
    <row r="2835" spans="1:4" x14ac:dyDescent="0.35">
      <c r="A2835" s="40" t="e">
        <f>IF(OR(_xlfn.XLOOKUP("",Assessment!H:H,Assessment!E:E)="yes"),"Yes","No")</f>
        <v>#N/A</v>
      </c>
      <c r="D2835" s="40" t="s">
        <v>9405</v>
      </c>
    </row>
    <row r="2836" spans="1:4" x14ac:dyDescent="0.35">
      <c r="A2836" s="40" t="e">
        <f>IF(OR(_xlfn.XLOOKUP("",Assessment!H:H,Assessment!E:E)="yes"),"Yes","No")</f>
        <v>#N/A</v>
      </c>
      <c r="D2836" s="40" t="s">
        <v>9405</v>
      </c>
    </row>
    <row r="2837" spans="1:4" x14ac:dyDescent="0.35">
      <c r="A2837" s="40" t="e">
        <f>IF(OR(_xlfn.XLOOKUP("",Assessment!H:H,Assessment!E:E)="yes"),"Yes","No")</f>
        <v>#N/A</v>
      </c>
      <c r="D2837" s="40" t="s">
        <v>9405</v>
      </c>
    </row>
    <row r="2838" spans="1:4" x14ac:dyDescent="0.35">
      <c r="A2838" s="40" t="e">
        <f>IF(OR(_xlfn.XLOOKUP("",Assessment!H:H,Assessment!E:E)="yes"),"Yes","No")</f>
        <v>#N/A</v>
      </c>
      <c r="D2838" s="40" t="s">
        <v>9405</v>
      </c>
    </row>
    <row r="2839" spans="1:4" x14ac:dyDescent="0.35">
      <c r="A2839" s="40" t="e">
        <f>IF(OR(_xlfn.XLOOKUP("",Assessment!H:H,Assessment!E:E)="yes"),"Yes","No")</f>
        <v>#N/A</v>
      </c>
      <c r="D2839" s="40" t="s">
        <v>9405</v>
      </c>
    </row>
    <row r="2840" spans="1:4" x14ac:dyDescent="0.35">
      <c r="A2840" s="40" t="e">
        <f>IF(OR(_xlfn.XLOOKUP("",Assessment!H:H,Assessment!E:E)="yes"),"Yes","No")</f>
        <v>#N/A</v>
      </c>
      <c r="D2840" s="40" t="s">
        <v>9405</v>
      </c>
    </row>
    <row r="2841" spans="1:4" x14ac:dyDescent="0.35">
      <c r="A2841" s="40" t="e">
        <f>IF(OR(_xlfn.XLOOKUP("",Assessment!H:H,Assessment!E:E)="yes"),"Yes","No")</f>
        <v>#N/A</v>
      </c>
      <c r="D2841" s="40" t="s">
        <v>9405</v>
      </c>
    </row>
    <row r="2842" spans="1:4" x14ac:dyDescent="0.35">
      <c r="A2842" s="40" t="e">
        <f>IF(OR(_xlfn.XLOOKUP("",Assessment!H:H,Assessment!E:E)="yes"),"Yes","No")</f>
        <v>#N/A</v>
      </c>
      <c r="D2842" s="40" t="s">
        <v>9405</v>
      </c>
    </row>
    <row r="2843" spans="1:4" x14ac:dyDescent="0.35">
      <c r="A2843" s="40" t="e">
        <f>IF(OR(_xlfn.XLOOKUP("",Assessment!H:H,Assessment!E:E)="yes"),"Yes","No")</f>
        <v>#N/A</v>
      </c>
      <c r="D2843" s="40" t="s">
        <v>9405</v>
      </c>
    </row>
    <row r="2844" spans="1:4" x14ac:dyDescent="0.35">
      <c r="A2844" s="40" t="e">
        <f>IF(OR(_xlfn.XLOOKUP("",Assessment!H:H,Assessment!E:E)="yes"),"Yes","No")</f>
        <v>#N/A</v>
      </c>
      <c r="D2844" s="40" t="s">
        <v>9405</v>
      </c>
    </row>
    <row r="2845" spans="1:4" x14ac:dyDescent="0.35">
      <c r="A2845" s="40" t="e">
        <f>IF(OR(_xlfn.XLOOKUP("",Assessment!H:H,Assessment!E:E)="yes"),"Yes","No")</f>
        <v>#N/A</v>
      </c>
      <c r="D2845" s="40" t="s">
        <v>9405</v>
      </c>
    </row>
    <row r="2846" spans="1:4" x14ac:dyDescent="0.35">
      <c r="A2846" s="40" t="e">
        <f>IF(OR(_xlfn.XLOOKUP("",Assessment!H:H,Assessment!E:E)="yes"),"Yes","No")</f>
        <v>#N/A</v>
      </c>
      <c r="D2846" s="40" t="s">
        <v>9405</v>
      </c>
    </row>
    <row r="2847" spans="1:4" x14ac:dyDescent="0.35">
      <c r="A2847" s="40" t="e">
        <f>IF(OR(_xlfn.XLOOKUP("",Assessment!H:H,Assessment!E:E)="yes"),"Yes","No")</f>
        <v>#N/A</v>
      </c>
      <c r="D2847" s="40" t="s">
        <v>9405</v>
      </c>
    </row>
    <row r="2848" spans="1:4" x14ac:dyDescent="0.35">
      <c r="A2848" s="40" t="e">
        <f>IF(OR(_xlfn.XLOOKUP("",Assessment!H:H,Assessment!E:E)="yes"),"Yes","No")</f>
        <v>#N/A</v>
      </c>
      <c r="D2848" s="40" t="s">
        <v>9405</v>
      </c>
    </row>
    <row r="2849" spans="1:4" x14ac:dyDescent="0.35">
      <c r="A2849" s="40" t="e">
        <f>IF(OR(_xlfn.XLOOKUP("",Assessment!H:H,Assessment!E:E)="yes"),"Yes","No")</f>
        <v>#N/A</v>
      </c>
      <c r="D2849" s="40" t="s">
        <v>9405</v>
      </c>
    </row>
    <row r="2850" spans="1:4" x14ac:dyDescent="0.35">
      <c r="A2850" s="40" t="e">
        <f>IF(OR(_xlfn.XLOOKUP("",Assessment!H:H,Assessment!E:E)="yes"),"Yes","No")</f>
        <v>#N/A</v>
      </c>
      <c r="D2850" s="40" t="s">
        <v>9405</v>
      </c>
    </row>
    <row r="2851" spans="1:4" x14ac:dyDescent="0.35">
      <c r="A2851" s="40" t="e">
        <f>IF(OR(_xlfn.XLOOKUP("",Assessment!H:H,Assessment!E:E)="yes"),"Yes","No")</f>
        <v>#N/A</v>
      </c>
      <c r="D2851" s="40" t="s">
        <v>9405</v>
      </c>
    </row>
    <row r="2852" spans="1:4" x14ac:dyDescent="0.35">
      <c r="A2852" s="40" t="e">
        <f>IF(OR(_xlfn.XLOOKUP("",Assessment!H:H,Assessment!E:E)="yes"),"Yes","No")</f>
        <v>#N/A</v>
      </c>
      <c r="D2852" s="40" t="s">
        <v>9405</v>
      </c>
    </row>
    <row r="2853" spans="1:4" x14ac:dyDescent="0.35">
      <c r="A2853" s="40" t="e">
        <f>IF(OR(_xlfn.XLOOKUP("",Assessment!H:H,Assessment!E:E)="yes"),"Yes","No")</f>
        <v>#N/A</v>
      </c>
      <c r="D2853" s="40" t="s">
        <v>9405</v>
      </c>
    </row>
    <row r="2854" spans="1:4" x14ac:dyDescent="0.35">
      <c r="A2854" s="40" t="e">
        <f>IF(OR(_xlfn.XLOOKUP("",Assessment!H:H,Assessment!E:E)="yes"),"Yes","No")</f>
        <v>#N/A</v>
      </c>
      <c r="D2854" s="40" t="s">
        <v>9405</v>
      </c>
    </row>
    <row r="2855" spans="1:4" x14ac:dyDescent="0.35">
      <c r="A2855" s="40" t="e">
        <f>IF(OR(_xlfn.XLOOKUP("",Assessment!H:H,Assessment!E:E)="yes"),"Yes","No")</f>
        <v>#N/A</v>
      </c>
      <c r="D2855" s="40" t="s">
        <v>9405</v>
      </c>
    </row>
    <row r="2856" spans="1:4" x14ac:dyDescent="0.35">
      <c r="A2856" s="40" t="e">
        <f>IF(OR(_xlfn.XLOOKUP("",Assessment!H:H,Assessment!E:E)="yes"),"Yes","No")</f>
        <v>#N/A</v>
      </c>
      <c r="D2856" s="40" t="s">
        <v>9405</v>
      </c>
    </row>
    <row r="2857" spans="1:4" x14ac:dyDescent="0.35">
      <c r="A2857" s="40" t="e">
        <f>IF(OR(_xlfn.XLOOKUP("",Assessment!H:H,Assessment!E:E)="yes"),"Yes","No")</f>
        <v>#N/A</v>
      </c>
      <c r="D2857" s="40" t="s">
        <v>9405</v>
      </c>
    </row>
    <row r="2858" spans="1:4" x14ac:dyDescent="0.35">
      <c r="A2858" s="40" t="e">
        <f>IF(OR(_xlfn.XLOOKUP("",Assessment!H:H,Assessment!E:E)="yes"),"Yes","No")</f>
        <v>#N/A</v>
      </c>
      <c r="D2858" s="40" t="s">
        <v>9405</v>
      </c>
    </row>
    <row r="2859" spans="1:4" x14ac:dyDescent="0.35">
      <c r="A2859" s="40" t="e">
        <f>IF(OR(_xlfn.XLOOKUP("",Assessment!H:H,Assessment!E:E)="yes"),"Yes","No")</f>
        <v>#N/A</v>
      </c>
      <c r="D2859" s="40" t="s">
        <v>9405</v>
      </c>
    </row>
    <row r="2860" spans="1:4" x14ac:dyDescent="0.35">
      <c r="A2860" s="40" t="e">
        <f>IF(OR(_xlfn.XLOOKUP("",Assessment!H:H,Assessment!E:E)="yes"),"Yes","No")</f>
        <v>#N/A</v>
      </c>
      <c r="D2860" s="40" t="s">
        <v>9405</v>
      </c>
    </row>
    <row r="2861" spans="1:4" x14ac:dyDescent="0.35">
      <c r="A2861" s="40" t="e">
        <f>IF(OR(_xlfn.XLOOKUP("",Assessment!H:H,Assessment!E:E)="yes"),"Yes","No")</f>
        <v>#N/A</v>
      </c>
      <c r="D2861" s="40" t="s">
        <v>9405</v>
      </c>
    </row>
    <row r="2862" spans="1:4" x14ac:dyDescent="0.35">
      <c r="A2862" s="40" t="e">
        <f>IF(OR(_xlfn.XLOOKUP("",Assessment!H:H,Assessment!E:E)="yes"),"Yes","No")</f>
        <v>#N/A</v>
      </c>
      <c r="D2862" s="40" t="s">
        <v>9405</v>
      </c>
    </row>
    <row r="2863" spans="1:4" x14ac:dyDescent="0.35">
      <c r="A2863" s="40" t="e">
        <f>IF(OR(_xlfn.XLOOKUP("",Assessment!H:H,Assessment!E:E)="yes"),"Yes","No")</f>
        <v>#N/A</v>
      </c>
      <c r="D2863" s="40" t="s">
        <v>9405</v>
      </c>
    </row>
    <row r="2864" spans="1:4" x14ac:dyDescent="0.35">
      <c r="A2864" s="40" t="e">
        <f>IF(OR(_xlfn.XLOOKUP("",Assessment!H:H,Assessment!E:E)="yes"),"Yes","No")</f>
        <v>#N/A</v>
      </c>
      <c r="D2864" s="40" t="s">
        <v>9405</v>
      </c>
    </row>
    <row r="2865" spans="1:4" x14ac:dyDescent="0.35">
      <c r="A2865" s="40" t="e">
        <f>IF(OR(_xlfn.XLOOKUP("",Assessment!H:H,Assessment!E:E)="yes"),"Yes","No")</f>
        <v>#N/A</v>
      </c>
      <c r="D2865" s="40" t="s">
        <v>9405</v>
      </c>
    </row>
    <row r="2866" spans="1:4" x14ac:dyDescent="0.35">
      <c r="A2866" s="40" t="e">
        <f>IF(OR(_xlfn.XLOOKUP("",Assessment!H:H,Assessment!E:E)="yes"),"Yes","No")</f>
        <v>#N/A</v>
      </c>
      <c r="D2866" s="40" t="s">
        <v>9405</v>
      </c>
    </row>
    <row r="2867" spans="1:4" x14ac:dyDescent="0.35">
      <c r="A2867" s="40" t="e">
        <f>IF(OR(_xlfn.XLOOKUP("",Assessment!H:H,Assessment!E:E)="yes"),"Yes","No")</f>
        <v>#N/A</v>
      </c>
      <c r="D2867" s="40" t="s">
        <v>9405</v>
      </c>
    </row>
    <row r="2868" spans="1:4" x14ac:dyDescent="0.35">
      <c r="A2868" s="40" t="e">
        <f>IF(OR(_xlfn.XLOOKUP("",Assessment!H:H,Assessment!E:E)="yes"),"Yes","No")</f>
        <v>#N/A</v>
      </c>
      <c r="D2868" s="40" t="s">
        <v>9405</v>
      </c>
    </row>
    <row r="2869" spans="1:4" x14ac:dyDescent="0.35">
      <c r="A2869" s="40" t="e">
        <f>IF(OR(_xlfn.XLOOKUP("",Assessment!H:H,Assessment!E:E)="yes"),"Yes","No")</f>
        <v>#N/A</v>
      </c>
      <c r="D2869" s="40" t="s">
        <v>9405</v>
      </c>
    </row>
    <row r="2870" spans="1:4" x14ac:dyDescent="0.35">
      <c r="A2870" s="40" t="e">
        <f>IF(OR(_xlfn.XLOOKUP("",Assessment!H:H,Assessment!E:E)="yes"),"Yes","No")</f>
        <v>#N/A</v>
      </c>
      <c r="D2870" s="40" t="s">
        <v>9405</v>
      </c>
    </row>
    <row r="2871" spans="1:4" x14ac:dyDescent="0.35">
      <c r="A2871" s="40" t="e">
        <f>IF(OR(_xlfn.XLOOKUP("",Assessment!H:H,Assessment!E:E)="yes"),"Yes","No")</f>
        <v>#N/A</v>
      </c>
      <c r="D2871" s="40" t="s">
        <v>9405</v>
      </c>
    </row>
    <row r="2872" spans="1:4" x14ac:dyDescent="0.35">
      <c r="A2872" s="40" t="e">
        <f>IF(OR(_xlfn.XLOOKUP("",Assessment!H:H,Assessment!E:E)="yes"),"Yes","No")</f>
        <v>#N/A</v>
      </c>
      <c r="D2872" s="40" t="s">
        <v>9405</v>
      </c>
    </row>
    <row r="2873" spans="1:4" x14ac:dyDescent="0.35">
      <c r="A2873" s="40" t="e">
        <f>IF(OR(_xlfn.XLOOKUP("",Assessment!H:H,Assessment!E:E)="yes"),"Yes","No")</f>
        <v>#N/A</v>
      </c>
      <c r="D2873" s="40" t="s">
        <v>9405</v>
      </c>
    </row>
    <row r="2874" spans="1:4" x14ac:dyDescent="0.35">
      <c r="A2874" s="40" t="e">
        <f>IF(OR(_xlfn.XLOOKUP("",Assessment!H:H,Assessment!E:E)="yes"),"Yes","No")</f>
        <v>#N/A</v>
      </c>
      <c r="D2874" s="40" t="s">
        <v>9405</v>
      </c>
    </row>
    <row r="2875" spans="1:4" x14ac:dyDescent="0.35">
      <c r="A2875" s="40" t="e">
        <f>IF(OR(_xlfn.XLOOKUP("",Assessment!H:H,Assessment!E:E)="yes"),"Yes","No")</f>
        <v>#N/A</v>
      </c>
      <c r="D2875" s="40" t="s">
        <v>9405</v>
      </c>
    </row>
    <row r="2876" spans="1:4" x14ac:dyDescent="0.35">
      <c r="A2876" s="40" t="e">
        <f>IF(OR(_xlfn.XLOOKUP("",Assessment!H:H,Assessment!E:E)="yes"),"Yes","No")</f>
        <v>#N/A</v>
      </c>
      <c r="D2876" s="40" t="s">
        <v>9405</v>
      </c>
    </row>
    <row r="2877" spans="1:4" x14ac:dyDescent="0.35">
      <c r="A2877" s="40" t="e">
        <f>IF(OR(_xlfn.XLOOKUP("",Assessment!H:H,Assessment!E:E)="yes"),"Yes","No")</f>
        <v>#N/A</v>
      </c>
      <c r="D2877" s="40" t="s">
        <v>9405</v>
      </c>
    </row>
    <row r="2878" spans="1:4" x14ac:dyDescent="0.35">
      <c r="A2878" s="40" t="e">
        <f>IF(OR(_xlfn.XLOOKUP("",Assessment!H:H,Assessment!E:E)="yes"),"Yes","No")</f>
        <v>#N/A</v>
      </c>
      <c r="D2878" s="40" t="s">
        <v>9405</v>
      </c>
    </row>
    <row r="2879" spans="1:4" x14ac:dyDescent="0.35">
      <c r="A2879" s="40" t="e">
        <f>IF(OR(_xlfn.XLOOKUP("",Assessment!H:H,Assessment!E:E)="yes"),"Yes","No")</f>
        <v>#N/A</v>
      </c>
      <c r="D2879" s="40" t="s">
        <v>9405</v>
      </c>
    </row>
    <row r="2880" spans="1:4" x14ac:dyDescent="0.35">
      <c r="A2880" s="40" t="e">
        <f>IF(OR(_xlfn.XLOOKUP("",Assessment!H:H,Assessment!E:E)="yes"),"Yes","No")</f>
        <v>#N/A</v>
      </c>
      <c r="D2880" s="40" t="s">
        <v>9405</v>
      </c>
    </row>
    <row r="2881" spans="1:4" x14ac:dyDescent="0.35">
      <c r="A2881" s="40" t="e">
        <f>IF(OR(_xlfn.XLOOKUP("",Assessment!H:H,Assessment!E:E)="yes"),"Yes","No")</f>
        <v>#N/A</v>
      </c>
      <c r="D2881" s="40" t="s">
        <v>9405</v>
      </c>
    </row>
    <row r="2882" spans="1:4" x14ac:dyDescent="0.35">
      <c r="A2882" s="40" t="e">
        <f>IF(OR(_xlfn.XLOOKUP("",Assessment!H:H,Assessment!E:E)="yes"),"Yes","No")</f>
        <v>#N/A</v>
      </c>
      <c r="D2882" s="40" t="s">
        <v>9405</v>
      </c>
    </row>
    <row r="2883" spans="1:4" x14ac:dyDescent="0.35">
      <c r="A2883" s="40" t="e">
        <f>IF(OR(_xlfn.XLOOKUP("",Assessment!H:H,Assessment!E:E)="yes"),"Yes","No")</f>
        <v>#N/A</v>
      </c>
      <c r="D2883" s="40" t="s">
        <v>9405</v>
      </c>
    </row>
    <row r="2884" spans="1:4" x14ac:dyDescent="0.35">
      <c r="A2884" s="40" t="e">
        <f>IF(OR(_xlfn.XLOOKUP("",Assessment!H:H,Assessment!E:E)="yes"),"Yes","No")</f>
        <v>#N/A</v>
      </c>
      <c r="D2884" s="40" t="s">
        <v>9405</v>
      </c>
    </row>
    <row r="2885" spans="1:4" x14ac:dyDescent="0.35">
      <c r="A2885" s="40" t="e">
        <f>IF(OR(_xlfn.XLOOKUP("",Assessment!H:H,Assessment!E:E)="yes"),"Yes","No")</f>
        <v>#N/A</v>
      </c>
      <c r="D2885" s="40" t="s">
        <v>9405</v>
      </c>
    </row>
    <row r="2886" spans="1:4" x14ac:dyDescent="0.35">
      <c r="A2886" s="40" t="e">
        <f>IF(OR(_xlfn.XLOOKUP("",Assessment!H:H,Assessment!E:E)="yes"),"Yes","No")</f>
        <v>#N/A</v>
      </c>
      <c r="D2886" s="40" t="s">
        <v>9405</v>
      </c>
    </row>
    <row r="2887" spans="1:4" x14ac:dyDescent="0.35">
      <c r="A2887" s="40" t="e">
        <f>IF(OR(_xlfn.XLOOKUP("",Assessment!H:H,Assessment!E:E)="yes"),"Yes","No")</f>
        <v>#N/A</v>
      </c>
      <c r="D2887" s="40" t="s">
        <v>9405</v>
      </c>
    </row>
    <row r="2888" spans="1:4" x14ac:dyDescent="0.35">
      <c r="A2888" s="40" t="e">
        <f>IF(OR(_xlfn.XLOOKUP("",Assessment!H:H,Assessment!E:E)="yes"),"Yes","No")</f>
        <v>#N/A</v>
      </c>
      <c r="D2888" s="40" t="s">
        <v>9405</v>
      </c>
    </row>
    <row r="2889" spans="1:4" x14ac:dyDescent="0.35">
      <c r="A2889" s="40" t="e">
        <f>IF(OR(_xlfn.XLOOKUP("",Assessment!H:H,Assessment!E:E)="yes"),"Yes","No")</f>
        <v>#N/A</v>
      </c>
      <c r="D2889" s="40" t="s">
        <v>9405</v>
      </c>
    </row>
    <row r="2890" spans="1:4" x14ac:dyDescent="0.35">
      <c r="A2890" s="40" t="e">
        <f>IF(OR(_xlfn.XLOOKUP("",Assessment!H:H,Assessment!E:E)="yes"),"Yes","No")</f>
        <v>#N/A</v>
      </c>
      <c r="D2890" s="40" t="s">
        <v>9405</v>
      </c>
    </row>
    <row r="2891" spans="1:4" x14ac:dyDescent="0.35">
      <c r="A2891" s="40" t="e">
        <f>IF(OR(_xlfn.XLOOKUP("",Assessment!H:H,Assessment!E:E)="yes"),"Yes","No")</f>
        <v>#N/A</v>
      </c>
      <c r="D2891" s="40" t="s">
        <v>9405</v>
      </c>
    </row>
    <row r="2892" spans="1:4" x14ac:dyDescent="0.35">
      <c r="A2892" s="40" t="e">
        <f>IF(OR(_xlfn.XLOOKUP("",Assessment!H:H,Assessment!E:E)="yes"),"Yes","No")</f>
        <v>#N/A</v>
      </c>
      <c r="D2892" s="40" t="s">
        <v>9405</v>
      </c>
    </row>
    <row r="2893" spans="1:4" x14ac:dyDescent="0.35">
      <c r="A2893" s="40" t="e">
        <f>IF(OR(_xlfn.XLOOKUP("",Assessment!H:H,Assessment!E:E)="yes"),"Yes","No")</f>
        <v>#N/A</v>
      </c>
      <c r="D2893" s="40" t="s">
        <v>9405</v>
      </c>
    </row>
    <row r="2894" spans="1:4" x14ac:dyDescent="0.35">
      <c r="A2894" s="40" t="e">
        <f>IF(OR(_xlfn.XLOOKUP("",Assessment!H:H,Assessment!E:E)="yes"),"Yes","No")</f>
        <v>#N/A</v>
      </c>
      <c r="D2894" s="40" t="s">
        <v>9405</v>
      </c>
    </row>
    <row r="2895" spans="1:4" x14ac:dyDescent="0.35">
      <c r="A2895" s="40" t="e">
        <f>IF(OR(_xlfn.XLOOKUP("",Assessment!H:H,Assessment!E:E)="yes"),"Yes","No")</f>
        <v>#N/A</v>
      </c>
      <c r="D2895" s="40" t="s">
        <v>9405</v>
      </c>
    </row>
    <row r="2896" spans="1:4" x14ac:dyDescent="0.35">
      <c r="A2896" s="40" t="e">
        <f>IF(OR(_xlfn.XLOOKUP("",Assessment!H:H,Assessment!E:E)="yes"),"Yes","No")</f>
        <v>#N/A</v>
      </c>
      <c r="D2896" s="40" t="s">
        <v>9405</v>
      </c>
    </row>
    <row r="2897" spans="1:4" x14ac:dyDescent="0.35">
      <c r="A2897" s="40" t="e">
        <f>IF(OR(_xlfn.XLOOKUP("",Assessment!H:H,Assessment!E:E)="yes"),"Yes","No")</f>
        <v>#N/A</v>
      </c>
      <c r="D2897" s="40" t="s">
        <v>9405</v>
      </c>
    </row>
    <row r="2898" spans="1:4" x14ac:dyDescent="0.35">
      <c r="A2898" s="40" t="e">
        <f>IF(OR(_xlfn.XLOOKUP("",Assessment!H:H,Assessment!E:E)="yes"),"Yes","No")</f>
        <v>#N/A</v>
      </c>
      <c r="D2898" s="40" t="s">
        <v>9405</v>
      </c>
    </row>
    <row r="2899" spans="1:4" x14ac:dyDescent="0.35">
      <c r="A2899" s="40" t="e">
        <f>IF(OR(_xlfn.XLOOKUP("",Assessment!H:H,Assessment!E:E)="yes"),"Yes","No")</f>
        <v>#N/A</v>
      </c>
      <c r="D2899" s="40" t="s">
        <v>9405</v>
      </c>
    </row>
    <row r="2900" spans="1:4" x14ac:dyDescent="0.35">
      <c r="A2900" s="40" t="e">
        <f>IF(OR(_xlfn.XLOOKUP("",Assessment!H:H,Assessment!E:E)="yes"),"Yes","No")</f>
        <v>#N/A</v>
      </c>
      <c r="D2900" s="40" t="s">
        <v>9405</v>
      </c>
    </row>
    <row r="2901" spans="1:4" x14ac:dyDescent="0.35">
      <c r="A2901" s="40" t="e">
        <f>IF(OR(_xlfn.XLOOKUP("",Assessment!H:H,Assessment!E:E)="yes"),"Yes","No")</f>
        <v>#N/A</v>
      </c>
      <c r="D2901" s="40" t="s">
        <v>9405</v>
      </c>
    </row>
    <row r="2902" spans="1:4" x14ac:dyDescent="0.35">
      <c r="A2902" s="40" t="e">
        <f>IF(OR(_xlfn.XLOOKUP("",Assessment!H:H,Assessment!E:E)="yes"),"Yes","No")</f>
        <v>#N/A</v>
      </c>
      <c r="D2902" s="40" t="s">
        <v>9405</v>
      </c>
    </row>
    <row r="2903" spans="1:4" x14ac:dyDescent="0.35">
      <c r="A2903" s="40" t="e">
        <f>IF(OR(_xlfn.XLOOKUP("",Assessment!H:H,Assessment!E:E)="yes"),"Yes","No")</f>
        <v>#N/A</v>
      </c>
      <c r="D2903" s="40" t="s">
        <v>9405</v>
      </c>
    </row>
    <row r="2904" spans="1:4" x14ac:dyDescent="0.35">
      <c r="A2904" s="40" t="e">
        <f>IF(OR(_xlfn.XLOOKUP("",Assessment!H:H,Assessment!E:E)="yes"),"Yes","No")</f>
        <v>#N/A</v>
      </c>
      <c r="D2904" s="40" t="s">
        <v>9405</v>
      </c>
    </row>
    <row r="2905" spans="1:4" x14ac:dyDescent="0.35">
      <c r="A2905" s="40" t="e">
        <f>IF(OR(_xlfn.XLOOKUP("",Assessment!H:H,Assessment!E:E)="yes"),"Yes","No")</f>
        <v>#N/A</v>
      </c>
      <c r="D2905" s="40" t="s">
        <v>9405</v>
      </c>
    </row>
    <row r="2906" spans="1:4" x14ac:dyDescent="0.35">
      <c r="A2906" s="40" t="e">
        <f>IF(OR(_xlfn.XLOOKUP("",Assessment!H:H,Assessment!E:E)="yes"),"Yes","No")</f>
        <v>#N/A</v>
      </c>
      <c r="D2906" s="40" t="s">
        <v>9405</v>
      </c>
    </row>
    <row r="2907" spans="1:4" x14ac:dyDescent="0.35">
      <c r="A2907" s="40" t="e">
        <f>IF(OR(_xlfn.XLOOKUP("",Assessment!H:H,Assessment!E:E)="yes"),"Yes","No")</f>
        <v>#N/A</v>
      </c>
      <c r="D2907" s="40" t="s">
        <v>9405</v>
      </c>
    </row>
    <row r="2908" spans="1:4" x14ac:dyDescent="0.35">
      <c r="A2908" s="40" t="e">
        <f>IF(OR(_xlfn.XLOOKUP("",Assessment!H:H,Assessment!E:E)="yes"),"Yes","No")</f>
        <v>#N/A</v>
      </c>
      <c r="D2908" s="40" t="s">
        <v>9405</v>
      </c>
    </row>
    <row r="2909" spans="1:4" x14ac:dyDescent="0.35">
      <c r="A2909" s="40" t="e">
        <f>IF(OR(_xlfn.XLOOKUP("",Assessment!H:H,Assessment!E:E)="yes"),"Yes","No")</f>
        <v>#N/A</v>
      </c>
      <c r="D2909" s="40" t="s">
        <v>9405</v>
      </c>
    </row>
    <row r="2910" spans="1:4" x14ac:dyDescent="0.35">
      <c r="A2910" s="40" t="e">
        <f>IF(OR(_xlfn.XLOOKUP("",Assessment!H:H,Assessment!E:E)="yes"),"Yes","No")</f>
        <v>#N/A</v>
      </c>
      <c r="D2910" s="40" t="s">
        <v>9405</v>
      </c>
    </row>
    <row r="2911" spans="1:4" x14ac:dyDescent="0.35">
      <c r="A2911" s="40" t="e">
        <f>IF(OR(_xlfn.XLOOKUP("",Assessment!H:H,Assessment!E:E)="yes"),"Yes","No")</f>
        <v>#N/A</v>
      </c>
      <c r="D2911" s="40" t="s">
        <v>9405</v>
      </c>
    </row>
    <row r="2912" spans="1:4" x14ac:dyDescent="0.35">
      <c r="A2912" s="40" t="e">
        <f>IF(OR(_xlfn.XLOOKUP("",Assessment!H:H,Assessment!E:E)="yes"),"Yes","No")</f>
        <v>#N/A</v>
      </c>
      <c r="D2912" s="40" t="s">
        <v>9405</v>
      </c>
    </row>
    <row r="2913" spans="1:4" x14ac:dyDescent="0.35">
      <c r="A2913" s="40" t="e">
        <f>IF(OR(_xlfn.XLOOKUP("",Assessment!H:H,Assessment!E:E)="yes"),"Yes","No")</f>
        <v>#N/A</v>
      </c>
      <c r="D2913" s="40" t="s">
        <v>9405</v>
      </c>
    </row>
    <row r="2914" spans="1:4" x14ac:dyDescent="0.35">
      <c r="A2914" s="40" t="e">
        <f>IF(OR(_xlfn.XLOOKUP("",Assessment!H:H,Assessment!E:E)="yes"),"Yes","No")</f>
        <v>#N/A</v>
      </c>
      <c r="D2914" s="40" t="s">
        <v>9405</v>
      </c>
    </row>
    <row r="2915" spans="1:4" x14ac:dyDescent="0.35">
      <c r="A2915" s="40" t="e">
        <f>IF(OR(_xlfn.XLOOKUP("",Assessment!H:H,Assessment!E:E)="yes"),"Yes","No")</f>
        <v>#N/A</v>
      </c>
      <c r="D2915" s="40" t="s">
        <v>9405</v>
      </c>
    </row>
    <row r="2916" spans="1:4" x14ac:dyDescent="0.35">
      <c r="A2916" s="40" t="e">
        <f>IF(OR(_xlfn.XLOOKUP("",Assessment!H:H,Assessment!E:E)="yes"),"Yes","No")</f>
        <v>#N/A</v>
      </c>
      <c r="D2916" s="40" t="s">
        <v>9405</v>
      </c>
    </row>
    <row r="2917" spans="1:4" x14ac:dyDescent="0.35">
      <c r="A2917" s="40" t="e">
        <f>IF(OR(_xlfn.XLOOKUP("",Assessment!H:H,Assessment!E:E)="yes"),"Yes","No")</f>
        <v>#N/A</v>
      </c>
      <c r="D2917" s="40" t="s">
        <v>9405</v>
      </c>
    </row>
    <row r="2918" spans="1:4" x14ac:dyDescent="0.35">
      <c r="A2918" s="40" t="e">
        <f>IF(OR(_xlfn.XLOOKUP("",Assessment!H:H,Assessment!E:E)="yes"),"Yes","No")</f>
        <v>#N/A</v>
      </c>
      <c r="D2918" s="40" t="s">
        <v>9405</v>
      </c>
    </row>
    <row r="2919" spans="1:4" x14ac:dyDescent="0.35">
      <c r="A2919" s="40" t="e">
        <f>IF(OR(_xlfn.XLOOKUP("",Assessment!H:H,Assessment!E:E)="yes"),"Yes","No")</f>
        <v>#N/A</v>
      </c>
      <c r="D2919" s="40" t="s">
        <v>9405</v>
      </c>
    </row>
    <row r="2920" spans="1:4" x14ac:dyDescent="0.35">
      <c r="A2920" s="40" t="e">
        <f>IF(OR(_xlfn.XLOOKUP("",Assessment!H:H,Assessment!E:E)="yes"),"Yes","No")</f>
        <v>#N/A</v>
      </c>
      <c r="D2920" s="40" t="s">
        <v>9405</v>
      </c>
    </row>
    <row r="2921" spans="1:4" x14ac:dyDescent="0.35">
      <c r="A2921" s="40" t="e">
        <f>IF(OR(_xlfn.XLOOKUP("",Assessment!H:H,Assessment!E:E)="yes"),"Yes","No")</f>
        <v>#N/A</v>
      </c>
      <c r="D2921" s="40" t="s">
        <v>9405</v>
      </c>
    </row>
    <row r="2922" spans="1:4" x14ac:dyDescent="0.35">
      <c r="A2922" s="40" t="e">
        <f>IF(OR(_xlfn.XLOOKUP("",Assessment!H:H,Assessment!E:E)="yes"),"Yes","No")</f>
        <v>#N/A</v>
      </c>
      <c r="D2922" s="40" t="s">
        <v>9405</v>
      </c>
    </row>
    <row r="2923" spans="1:4" x14ac:dyDescent="0.35">
      <c r="A2923" s="40" t="e">
        <f>IF(OR(_xlfn.XLOOKUP("",Assessment!H:H,Assessment!E:E)="yes"),"Yes","No")</f>
        <v>#N/A</v>
      </c>
      <c r="D2923" s="40" t="s">
        <v>9405</v>
      </c>
    </row>
    <row r="2924" spans="1:4" x14ac:dyDescent="0.35">
      <c r="A2924" s="40" t="e">
        <f>IF(OR(_xlfn.XLOOKUP("",Assessment!H:H,Assessment!E:E)="yes"),"Yes","No")</f>
        <v>#N/A</v>
      </c>
      <c r="D2924" s="40" t="s">
        <v>9405</v>
      </c>
    </row>
    <row r="2925" spans="1:4" x14ac:dyDescent="0.35">
      <c r="A2925" s="40" t="e">
        <f>IF(OR(_xlfn.XLOOKUP("",Assessment!H:H,Assessment!E:E)="yes"),"Yes","No")</f>
        <v>#N/A</v>
      </c>
      <c r="D2925" s="40" t="s">
        <v>9405</v>
      </c>
    </row>
    <row r="2926" spans="1:4" x14ac:dyDescent="0.35">
      <c r="A2926" s="40" t="e">
        <f>IF(OR(_xlfn.XLOOKUP("",Assessment!H:H,Assessment!E:E)="yes"),"Yes","No")</f>
        <v>#N/A</v>
      </c>
      <c r="D2926" s="40" t="s">
        <v>9405</v>
      </c>
    </row>
    <row r="2927" spans="1:4" x14ac:dyDescent="0.35">
      <c r="A2927" s="40" t="e">
        <f>IF(OR(_xlfn.XLOOKUP("",Assessment!H:H,Assessment!E:E)="yes"),"Yes","No")</f>
        <v>#N/A</v>
      </c>
      <c r="D2927" s="40" t="s">
        <v>9405</v>
      </c>
    </row>
    <row r="2928" spans="1:4" x14ac:dyDescent="0.35">
      <c r="A2928" s="40" t="e">
        <f>IF(OR(_xlfn.XLOOKUP("",Assessment!H:H,Assessment!E:E)="yes"),"Yes","No")</f>
        <v>#N/A</v>
      </c>
      <c r="D2928" s="40" t="s">
        <v>9405</v>
      </c>
    </row>
    <row r="2929" spans="1:4" x14ac:dyDescent="0.35">
      <c r="A2929" s="40" t="e">
        <f>IF(OR(_xlfn.XLOOKUP("",Assessment!H:H,Assessment!E:E)="yes"),"Yes","No")</f>
        <v>#N/A</v>
      </c>
      <c r="D2929" s="40" t="s">
        <v>9405</v>
      </c>
    </row>
    <row r="2930" spans="1:4" x14ac:dyDescent="0.35">
      <c r="A2930" s="40" t="e">
        <f>IF(OR(_xlfn.XLOOKUP("",Assessment!H:H,Assessment!E:E)="yes"),"Yes","No")</f>
        <v>#N/A</v>
      </c>
      <c r="D2930" s="40" t="s">
        <v>9405</v>
      </c>
    </row>
    <row r="2931" spans="1:4" x14ac:dyDescent="0.35">
      <c r="A2931" s="40" t="e">
        <f>IF(OR(_xlfn.XLOOKUP("",Assessment!H:H,Assessment!E:E)="yes"),"Yes","No")</f>
        <v>#N/A</v>
      </c>
      <c r="D2931" s="40" t="s">
        <v>9405</v>
      </c>
    </row>
    <row r="2932" spans="1:4" x14ac:dyDescent="0.35">
      <c r="A2932" s="40" t="e">
        <f>IF(OR(_xlfn.XLOOKUP("",Assessment!H:H,Assessment!E:E)="yes"),"Yes","No")</f>
        <v>#N/A</v>
      </c>
      <c r="D2932" s="40" t="s">
        <v>9405</v>
      </c>
    </row>
    <row r="2933" spans="1:4" x14ac:dyDescent="0.35">
      <c r="A2933" s="40" t="e">
        <f>IF(OR(_xlfn.XLOOKUP("",Assessment!H:H,Assessment!E:E)="yes"),"Yes","No")</f>
        <v>#N/A</v>
      </c>
      <c r="D2933" s="40" t="s">
        <v>9405</v>
      </c>
    </row>
    <row r="2934" spans="1:4" x14ac:dyDescent="0.35">
      <c r="A2934" s="40" t="e">
        <f>IF(OR(_xlfn.XLOOKUP("",Assessment!H:H,Assessment!E:E)="yes"),"Yes","No")</f>
        <v>#N/A</v>
      </c>
      <c r="D2934" s="40" t="s">
        <v>9405</v>
      </c>
    </row>
    <row r="2935" spans="1:4" x14ac:dyDescent="0.35">
      <c r="A2935" s="40" t="e">
        <f>IF(OR(_xlfn.XLOOKUP("",Assessment!H:H,Assessment!E:E)="yes"),"Yes","No")</f>
        <v>#N/A</v>
      </c>
      <c r="D2935" s="40" t="s">
        <v>9405</v>
      </c>
    </row>
    <row r="2936" spans="1:4" x14ac:dyDescent="0.35">
      <c r="A2936" s="40" t="e">
        <f>IF(OR(_xlfn.XLOOKUP("",Assessment!H:H,Assessment!E:E)="yes"),"Yes","No")</f>
        <v>#N/A</v>
      </c>
      <c r="D2936" s="40" t="s">
        <v>9405</v>
      </c>
    </row>
    <row r="2937" spans="1:4" x14ac:dyDescent="0.35">
      <c r="A2937" s="40" t="e">
        <f>IF(OR(_xlfn.XLOOKUP("",Assessment!H:H,Assessment!E:E)="yes"),"Yes","No")</f>
        <v>#N/A</v>
      </c>
      <c r="D2937" s="40" t="s">
        <v>9405</v>
      </c>
    </row>
    <row r="2938" spans="1:4" x14ac:dyDescent="0.35">
      <c r="A2938" s="40" t="e">
        <f>IF(OR(_xlfn.XLOOKUP("",Assessment!H:H,Assessment!E:E)="yes"),"Yes","No")</f>
        <v>#N/A</v>
      </c>
      <c r="D2938" s="40" t="s">
        <v>9405</v>
      </c>
    </row>
    <row r="2939" spans="1:4" x14ac:dyDescent="0.35">
      <c r="A2939" s="40" t="e">
        <f>IF(OR(_xlfn.XLOOKUP("",Assessment!H:H,Assessment!E:E)="yes"),"Yes","No")</f>
        <v>#N/A</v>
      </c>
      <c r="D2939" s="40" t="s">
        <v>9405</v>
      </c>
    </row>
    <row r="2940" spans="1:4" x14ac:dyDescent="0.35">
      <c r="A2940" s="40" t="e">
        <f>IF(OR(_xlfn.XLOOKUP("",Assessment!H:H,Assessment!E:E)="yes"),"Yes","No")</f>
        <v>#N/A</v>
      </c>
      <c r="D2940" s="40" t="s">
        <v>9405</v>
      </c>
    </row>
    <row r="2941" spans="1:4" x14ac:dyDescent="0.35">
      <c r="A2941" s="40" t="e">
        <f>IF(OR(_xlfn.XLOOKUP("",Assessment!H:H,Assessment!E:E)="yes"),"Yes","No")</f>
        <v>#N/A</v>
      </c>
      <c r="D2941" s="40" t="s">
        <v>9405</v>
      </c>
    </row>
    <row r="2942" spans="1:4" x14ac:dyDescent="0.35">
      <c r="A2942" s="40" t="e">
        <f>IF(OR(_xlfn.XLOOKUP("",Assessment!H:H,Assessment!E:E)="yes"),"Yes","No")</f>
        <v>#N/A</v>
      </c>
      <c r="D2942" s="40" t="s">
        <v>9405</v>
      </c>
    </row>
    <row r="2943" spans="1:4" x14ac:dyDescent="0.35">
      <c r="A2943" s="40" t="e">
        <f>IF(OR(_xlfn.XLOOKUP("",Assessment!H:H,Assessment!E:E)="yes"),"Yes","No")</f>
        <v>#N/A</v>
      </c>
      <c r="D2943" s="40" t="s">
        <v>9405</v>
      </c>
    </row>
    <row r="2944" spans="1:4" x14ac:dyDescent="0.35">
      <c r="A2944" s="40" t="e">
        <f>IF(OR(_xlfn.XLOOKUP("",Assessment!H:H,Assessment!E:E)="yes"),"Yes","No")</f>
        <v>#N/A</v>
      </c>
      <c r="D2944" s="40" t="s">
        <v>9405</v>
      </c>
    </row>
    <row r="2945" spans="1:4" x14ac:dyDescent="0.35">
      <c r="A2945" s="40" t="e">
        <f>IF(OR(_xlfn.XLOOKUP("",Assessment!H:H,Assessment!E:E)="yes"),"Yes","No")</f>
        <v>#N/A</v>
      </c>
      <c r="D2945" s="40" t="s">
        <v>9405</v>
      </c>
    </row>
    <row r="2946" spans="1:4" x14ac:dyDescent="0.35">
      <c r="A2946" s="40" t="e">
        <f>IF(OR(_xlfn.XLOOKUP("",Assessment!H:H,Assessment!E:E)="yes"),"Yes","No")</f>
        <v>#N/A</v>
      </c>
      <c r="D2946" s="40" t="s">
        <v>9405</v>
      </c>
    </row>
    <row r="2947" spans="1:4" x14ac:dyDescent="0.35">
      <c r="A2947" s="40" t="e">
        <f>IF(OR(_xlfn.XLOOKUP("",Assessment!H:H,Assessment!E:E)="yes"),"Yes","No")</f>
        <v>#N/A</v>
      </c>
      <c r="D2947" s="40" t="s">
        <v>9405</v>
      </c>
    </row>
    <row r="2948" spans="1:4" x14ac:dyDescent="0.35">
      <c r="A2948" s="40" t="e">
        <f>IF(OR(_xlfn.XLOOKUP("",Assessment!H:H,Assessment!E:E)="yes"),"Yes","No")</f>
        <v>#N/A</v>
      </c>
      <c r="D2948" s="40" t="s">
        <v>9405</v>
      </c>
    </row>
    <row r="2949" spans="1:4" x14ac:dyDescent="0.35">
      <c r="A2949" s="40" t="e">
        <f>IF(OR(_xlfn.XLOOKUP("",Assessment!H:H,Assessment!E:E)="yes"),"Yes","No")</f>
        <v>#N/A</v>
      </c>
      <c r="D2949" s="40" t="s">
        <v>9405</v>
      </c>
    </row>
    <row r="2950" spans="1:4" x14ac:dyDescent="0.35">
      <c r="A2950" s="40" t="e">
        <f>IF(OR(_xlfn.XLOOKUP("",Assessment!H:H,Assessment!E:E)="yes"),"Yes","No")</f>
        <v>#N/A</v>
      </c>
      <c r="D2950" s="40" t="s">
        <v>9405</v>
      </c>
    </row>
    <row r="2951" spans="1:4" x14ac:dyDescent="0.35">
      <c r="A2951" s="40" t="e">
        <f>IF(OR(_xlfn.XLOOKUP("",Assessment!H:H,Assessment!E:E)="yes"),"Yes","No")</f>
        <v>#N/A</v>
      </c>
      <c r="D2951" s="40" t="s">
        <v>9405</v>
      </c>
    </row>
    <row r="2952" spans="1:4" x14ac:dyDescent="0.35">
      <c r="A2952" s="40" t="e">
        <f>IF(OR(_xlfn.XLOOKUP("",Assessment!H:H,Assessment!E:E)="yes"),"Yes","No")</f>
        <v>#N/A</v>
      </c>
      <c r="D2952" s="40" t="s">
        <v>9405</v>
      </c>
    </row>
    <row r="2953" spans="1:4" x14ac:dyDescent="0.35">
      <c r="A2953" s="40" t="e">
        <f>IF(OR(_xlfn.XLOOKUP("",Assessment!H:H,Assessment!E:E)="yes"),"Yes","No")</f>
        <v>#N/A</v>
      </c>
      <c r="D2953" s="40" t="s">
        <v>9405</v>
      </c>
    </row>
    <row r="2954" spans="1:4" x14ac:dyDescent="0.35">
      <c r="A2954" s="40" t="e">
        <f>IF(OR(_xlfn.XLOOKUP("",Assessment!H:H,Assessment!E:E)="yes"),"Yes","No")</f>
        <v>#N/A</v>
      </c>
      <c r="D2954" s="40" t="s">
        <v>9405</v>
      </c>
    </row>
    <row r="2955" spans="1:4" x14ac:dyDescent="0.35">
      <c r="A2955" s="40" t="e">
        <f>IF(OR(_xlfn.XLOOKUP("",Assessment!H:H,Assessment!E:E)="yes"),"Yes","No")</f>
        <v>#N/A</v>
      </c>
      <c r="D2955" s="40" t="s">
        <v>9405</v>
      </c>
    </row>
    <row r="2956" spans="1:4" x14ac:dyDescent="0.35">
      <c r="A2956" s="40" t="e">
        <f>IF(OR(_xlfn.XLOOKUP("",Assessment!H:H,Assessment!E:E)="yes"),"Yes","No")</f>
        <v>#N/A</v>
      </c>
      <c r="D2956" s="40" t="s">
        <v>9405</v>
      </c>
    </row>
    <row r="2957" spans="1:4" x14ac:dyDescent="0.35">
      <c r="A2957" s="40" t="e">
        <f>IF(OR(_xlfn.XLOOKUP("",Assessment!H:H,Assessment!E:E)="yes"),"Yes","No")</f>
        <v>#N/A</v>
      </c>
      <c r="D2957" s="40" t="s">
        <v>9405</v>
      </c>
    </row>
    <row r="2958" spans="1:4" x14ac:dyDescent="0.35">
      <c r="A2958" s="40" t="e">
        <f>IF(OR(_xlfn.XLOOKUP("",Assessment!H:H,Assessment!E:E)="yes"),"Yes","No")</f>
        <v>#N/A</v>
      </c>
      <c r="D2958" s="40" t="s">
        <v>9405</v>
      </c>
    </row>
    <row r="2959" spans="1:4" x14ac:dyDescent="0.35">
      <c r="A2959" s="40" t="e">
        <f>IF(OR(_xlfn.XLOOKUP("",Assessment!H:H,Assessment!E:E)="yes"),"Yes","No")</f>
        <v>#N/A</v>
      </c>
      <c r="D2959" s="40" t="s">
        <v>9405</v>
      </c>
    </row>
    <row r="2960" spans="1:4" x14ac:dyDescent="0.35">
      <c r="A2960" s="40" t="e">
        <f>IF(OR(_xlfn.XLOOKUP("",Assessment!H:H,Assessment!E:E)="yes"),"Yes","No")</f>
        <v>#N/A</v>
      </c>
      <c r="D2960" s="40" t="s">
        <v>9405</v>
      </c>
    </row>
    <row r="2961" spans="1:4" x14ac:dyDescent="0.35">
      <c r="A2961" s="40" t="e">
        <f>IF(OR(_xlfn.XLOOKUP("",Assessment!H:H,Assessment!E:E)="yes"),"Yes","No")</f>
        <v>#N/A</v>
      </c>
      <c r="D2961" s="40" t="s">
        <v>9405</v>
      </c>
    </row>
    <row r="2962" spans="1:4" x14ac:dyDescent="0.35">
      <c r="A2962" s="40" t="e">
        <f>IF(OR(_xlfn.XLOOKUP("",Assessment!H:H,Assessment!E:E)="yes"),"Yes","No")</f>
        <v>#N/A</v>
      </c>
      <c r="D2962" s="40" t="s">
        <v>9405</v>
      </c>
    </row>
    <row r="2963" spans="1:4" x14ac:dyDescent="0.35">
      <c r="A2963" s="40" t="e">
        <f>IF(OR(_xlfn.XLOOKUP("",Assessment!H:H,Assessment!E:E)="yes"),"Yes","No")</f>
        <v>#N/A</v>
      </c>
    </row>
    <row r="2964" spans="1:4" x14ac:dyDescent="0.35">
      <c r="A2964" s="40" t="e">
        <f>IF(OR(_xlfn.XLOOKUP("",Assessment!H:H,Assessment!E:E)="yes"),"Yes","No")</f>
        <v>#N/A</v>
      </c>
    </row>
    <row r="2965" spans="1:4" x14ac:dyDescent="0.35">
      <c r="A2965" s="40" t="e">
        <f>IF(OR(_xlfn.XLOOKUP("",Assessment!H:H,Assessment!E:E)="yes"),"Yes","No")</f>
        <v>#N/A</v>
      </c>
    </row>
    <row r="2966" spans="1:4" x14ac:dyDescent="0.35">
      <c r="A2966" s="40" t="e">
        <f>IF(OR(_xlfn.XLOOKUP("",Assessment!H:H,Assessment!E:E)="yes"),"Yes","No")</f>
        <v>#N/A</v>
      </c>
    </row>
    <row r="2967" spans="1:4" x14ac:dyDescent="0.35">
      <c r="A2967" s="40" t="e">
        <f>IF(OR(_xlfn.XLOOKUP("",Assessment!H:H,Assessment!E:E)="yes"),"Yes","No")</f>
        <v>#N/A</v>
      </c>
    </row>
    <row r="2968" spans="1:4" x14ac:dyDescent="0.35">
      <c r="A2968" s="40" t="e">
        <f>IF(OR(_xlfn.XLOOKUP("",Assessment!H:H,Assessment!E:E)="yes"),"Yes","No")</f>
        <v>#N/A</v>
      </c>
    </row>
    <row r="2969" spans="1:4" x14ac:dyDescent="0.35">
      <c r="A2969" s="40" t="e">
        <f>IF(OR(_xlfn.XLOOKUP("",Assessment!H:H,Assessment!E:E)="yes"),"Yes","No")</f>
        <v>#N/A</v>
      </c>
    </row>
    <row r="2970" spans="1:4" x14ac:dyDescent="0.35">
      <c r="A2970" s="40" t="e">
        <f>IF(OR(_xlfn.XLOOKUP("",Assessment!H:H,Assessment!E:E)="yes"),"Yes","No")</f>
        <v>#N/A</v>
      </c>
    </row>
    <row r="2971" spans="1:4" x14ac:dyDescent="0.35">
      <c r="A2971" s="40" t="e">
        <f>IF(OR(_xlfn.XLOOKUP("",Assessment!H:H,Assessment!E:E)="yes"),"Yes","No")</f>
        <v>#N/A</v>
      </c>
    </row>
    <row r="2972" spans="1:4" x14ac:dyDescent="0.35">
      <c r="A2972" s="40" t="e">
        <f>IF(OR(_xlfn.XLOOKUP("",Assessment!H:H,Assessment!E:E)="yes"),"Yes","No")</f>
        <v>#N/A</v>
      </c>
    </row>
    <row r="2973" spans="1:4" x14ac:dyDescent="0.35">
      <c r="A2973" s="40" t="e">
        <f>IF(OR(_xlfn.XLOOKUP("",Assessment!H:H,Assessment!E:E)="yes"),"Yes","No")</f>
        <v>#N/A</v>
      </c>
    </row>
    <row r="2974" spans="1:4" x14ac:dyDescent="0.35">
      <c r="A2974" s="40" t="e">
        <f>IF(OR(_xlfn.XLOOKUP("",Assessment!H:H,Assessment!E:E)="yes"),"Yes","No")</f>
        <v>#N/A</v>
      </c>
    </row>
    <row r="2975" spans="1:4" x14ac:dyDescent="0.35">
      <c r="A2975" s="40" t="e">
        <f>IF(OR(_xlfn.XLOOKUP("",Assessment!H:H,Assessment!E:E)="yes"),"Yes","No")</f>
        <v>#N/A</v>
      </c>
    </row>
    <row r="2976" spans="1:4" x14ac:dyDescent="0.35">
      <c r="A2976" s="40" t="e">
        <f>IF(OR(_xlfn.XLOOKUP("",Assessment!H:H,Assessment!E:E)="yes"),"Yes","No")</f>
        <v>#N/A</v>
      </c>
    </row>
    <row r="2977" spans="1:1" x14ac:dyDescent="0.35">
      <c r="A2977" s="40" t="e">
        <f>IF(OR(_xlfn.XLOOKUP("",Assessment!H:H,Assessment!E:E)="yes"),"Yes","No")</f>
        <v>#N/A</v>
      </c>
    </row>
    <row r="2978" spans="1:1" x14ac:dyDescent="0.35">
      <c r="A2978" s="40" t="e">
        <f>IF(OR(_xlfn.XLOOKUP("",Assessment!H:H,Assessment!E:E)="yes"),"Yes","No")</f>
        <v>#N/A</v>
      </c>
    </row>
    <row r="2979" spans="1:1" x14ac:dyDescent="0.35">
      <c r="A2979" s="40" t="e">
        <f>IF(OR(_xlfn.XLOOKUP("",Assessment!H:H,Assessment!E:E)="yes"),"Yes","No")</f>
        <v>#N/A</v>
      </c>
    </row>
    <row r="2980" spans="1:1" x14ac:dyDescent="0.35">
      <c r="A2980" s="40" t="e">
        <f>IF(OR(_xlfn.XLOOKUP("",Assessment!H:H,Assessment!E:E)="yes"),"Yes","No")</f>
        <v>#N/A</v>
      </c>
    </row>
    <row r="2981" spans="1:1" x14ac:dyDescent="0.35">
      <c r="A2981" s="40" t="e">
        <f>IF(OR(_xlfn.XLOOKUP("",Assessment!H:H,Assessment!E:E)="yes"),"Yes","No")</f>
        <v>#N/A</v>
      </c>
    </row>
    <row r="2982" spans="1:1" x14ac:dyDescent="0.35">
      <c r="A2982" s="40" t="e">
        <f>IF(OR(_xlfn.XLOOKUP("",Assessment!H:H,Assessment!E:E)="yes"),"Yes","No")</f>
        <v>#N/A</v>
      </c>
    </row>
    <row r="2983" spans="1:1" x14ac:dyDescent="0.35">
      <c r="A2983" s="40" t="e">
        <f>IF(OR(_xlfn.XLOOKUP("",Assessment!H:H,Assessment!E:E)="yes"),"Yes","No")</f>
        <v>#N/A</v>
      </c>
    </row>
    <row r="2984" spans="1:1" x14ac:dyDescent="0.35">
      <c r="A2984" s="40" t="e">
        <f>IF(OR(_xlfn.XLOOKUP("",Assessment!H:H,Assessment!E:E)="yes"),"Yes","No")</f>
        <v>#N/A</v>
      </c>
    </row>
    <row r="2985" spans="1:1" x14ac:dyDescent="0.35">
      <c r="A2985" s="40" t="e">
        <f>IF(OR(_xlfn.XLOOKUP("",Assessment!H:H,Assessment!E:E)="yes"),"Yes","No")</f>
        <v>#N/A</v>
      </c>
    </row>
    <row r="2986" spans="1:1" x14ac:dyDescent="0.35">
      <c r="A2986" s="40" t="e">
        <f>IF(OR(_xlfn.XLOOKUP("",Assessment!H:H,Assessment!E:E)="yes"),"Yes","No")</f>
        <v>#N/A</v>
      </c>
    </row>
    <row r="2987" spans="1:1" x14ac:dyDescent="0.35">
      <c r="A2987" s="40" t="e">
        <f>IF(OR(_xlfn.XLOOKUP("",Assessment!H:H,Assessment!E:E)="yes"),"Yes","No")</f>
        <v>#N/A</v>
      </c>
    </row>
    <row r="2988" spans="1:1" x14ac:dyDescent="0.35">
      <c r="A2988" s="40" t="e">
        <f>IF(OR(_xlfn.XLOOKUP("",Assessment!H:H,Assessment!E:E)="yes"),"Yes","No")</f>
        <v>#N/A</v>
      </c>
    </row>
    <row r="2989" spans="1:1" x14ac:dyDescent="0.35">
      <c r="A2989" s="40" t="e">
        <f>IF(OR(_xlfn.XLOOKUP("",Assessment!H:H,Assessment!E:E)="yes"),"Yes","No")</f>
        <v>#N/A</v>
      </c>
    </row>
    <row r="2990" spans="1:1" x14ac:dyDescent="0.35">
      <c r="A2990" s="40" t="e">
        <f>IF(OR(_xlfn.XLOOKUP("",Assessment!H:H,Assessment!E:E)="yes"),"Yes","No")</f>
        <v>#N/A</v>
      </c>
    </row>
    <row r="2991" spans="1:1" x14ac:dyDescent="0.35">
      <c r="A2991" s="40" t="e">
        <f>IF(OR(_xlfn.XLOOKUP("",Assessment!H:H,Assessment!E:E)="yes"),"Yes","No")</f>
        <v>#N/A</v>
      </c>
    </row>
    <row r="2992" spans="1:1" x14ac:dyDescent="0.35">
      <c r="A2992" s="40" t="e">
        <f>IF(OR(_xlfn.XLOOKUP("",Assessment!H:H,Assessment!E:E)="yes"),"Yes","No")</f>
        <v>#N/A</v>
      </c>
    </row>
    <row r="2993" spans="1:1" x14ac:dyDescent="0.35">
      <c r="A2993" s="40" t="e">
        <f>IF(OR(_xlfn.XLOOKUP("",Assessment!H:H,Assessment!E:E)="yes"),"Yes","No")</f>
        <v>#N/A</v>
      </c>
    </row>
    <row r="2994" spans="1:1" x14ac:dyDescent="0.35">
      <c r="A2994" s="40" t="e">
        <f>IF(OR(_xlfn.XLOOKUP("",Assessment!H:H,Assessment!E:E)="yes"),"Yes","No")</f>
        <v>#N/A</v>
      </c>
    </row>
  </sheetData>
  <autoFilter ref="A1:I2994" xr:uid="{7A38290C-CF3F-4E1C-8A54-A5E2BDD4AB2B}"/>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4793-929C-4DD5-9382-5E9742A0A2F8}">
  <dimension ref="A1:E211"/>
  <sheetViews>
    <sheetView zoomScaleNormal="100" workbookViewId="0">
      <selection activeCell="K1366" sqref="K1366:L1366"/>
    </sheetView>
  </sheetViews>
  <sheetFormatPr defaultColWidth="8.7265625" defaultRowHeight="12.5" x14ac:dyDescent="0.25"/>
  <cols>
    <col min="1" max="1" width="15.54296875" style="27" customWidth="1"/>
    <col min="2" max="2" width="15.54296875" style="77" customWidth="1"/>
    <col min="3" max="3" width="2.54296875" style="27" customWidth="1"/>
    <col min="4" max="4" width="15.54296875" style="27" customWidth="1"/>
    <col min="5" max="5" width="15.54296875" style="77" customWidth="1"/>
    <col min="6" max="16384" width="8.7265625" style="27"/>
  </cols>
  <sheetData>
    <row r="1" spans="1:5" ht="13" x14ac:dyDescent="0.25">
      <c r="A1" s="56" t="s">
        <v>9406</v>
      </c>
      <c r="B1" s="56" t="s">
        <v>9407</v>
      </c>
      <c r="C1" s="75"/>
      <c r="D1" s="56" t="s">
        <v>9408</v>
      </c>
      <c r="E1" s="56" t="s">
        <v>9407</v>
      </c>
    </row>
    <row r="2" spans="1:5" x14ac:dyDescent="0.25">
      <c r="A2" s="27" t="s">
        <v>7883</v>
      </c>
      <c r="B2" s="77" t="s">
        <v>9409</v>
      </c>
      <c r="C2" s="76"/>
      <c r="D2" s="27" t="s">
        <v>9410</v>
      </c>
    </row>
    <row r="3" spans="1:5" x14ac:dyDescent="0.25">
      <c r="A3" s="27" t="s">
        <v>7929</v>
      </c>
      <c r="C3" s="76"/>
      <c r="D3" s="27" t="s">
        <v>7905</v>
      </c>
      <c r="E3" s="77" t="s">
        <v>9409</v>
      </c>
    </row>
    <row r="4" spans="1:5" x14ac:dyDescent="0.25">
      <c r="A4" s="27" t="s">
        <v>9411</v>
      </c>
      <c r="C4" s="76"/>
      <c r="D4" s="27" t="s">
        <v>7962</v>
      </c>
      <c r="E4" s="77" t="s">
        <v>9412</v>
      </c>
    </row>
    <row r="5" spans="1:5" x14ac:dyDescent="0.25">
      <c r="A5" s="27" t="s">
        <v>7939</v>
      </c>
      <c r="C5" s="76"/>
      <c r="D5" s="27" t="s">
        <v>8061</v>
      </c>
      <c r="E5" s="77" t="s">
        <v>9412</v>
      </c>
    </row>
    <row r="6" spans="1:5" x14ac:dyDescent="0.25">
      <c r="A6" s="27" t="s">
        <v>7875</v>
      </c>
      <c r="C6" s="76"/>
      <c r="D6" s="27" t="s">
        <v>7863</v>
      </c>
      <c r="E6" s="77" t="s">
        <v>9412</v>
      </c>
    </row>
    <row r="7" spans="1:5" x14ac:dyDescent="0.25">
      <c r="A7" s="27" t="s">
        <v>7962</v>
      </c>
      <c r="B7" s="77" t="s">
        <v>9412</v>
      </c>
      <c r="C7" s="76"/>
      <c r="D7" s="27" t="s">
        <v>8075</v>
      </c>
      <c r="E7" s="77" t="s">
        <v>9412</v>
      </c>
    </row>
    <row r="8" spans="1:5" x14ac:dyDescent="0.25">
      <c r="A8" s="27" t="s">
        <v>7889</v>
      </c>
      <c r="B8" s="77" t="s">
        <v>9412</v>
      </c>
      <c r="C8" s="76"/>
      <c r="D8" s="27" t="s">
        <v>7919</v>
      </c>
      <c r="E8" s="77" t="s">
        <v>9409</v>
      </c>
    </row>
    <row r="9" spans="1:5" x14ac:dyDescent="0.25">
      <c r="A9" s="27" t="s">
        <v>8061</v>
      </c>
      <c r="B9" s="77" t="s">
        <v>9412</v>
      </c>
      <c r="C9" s="76"/>
      <c r="D9" s="27" t="s">
        <v>9413</v>
      </c>
    </row>
    <row r="10" spans="1:5" x14ac:dyDescent="0.25">
      <c r="A10" s="27" t="s">
        <v>7899</v>
      </c>
      <c r="B10" s="77" t="s">
        <v>9412</v>
      </c>
      <c r="C10" s="76"/>
      <c r="D10" s="27" t="s">
        <v>8041</v>
      </c>
      <c r="E10" s="77" t="s">
        <v>9409</v>
      </c>
    </row>
    <row r="11" spans="1:5" x14ac:dyDescent="0.25">
      <c r="A11" s="27" t="s">
        <v>8047</v>
      </c>
      <c r="B11" s="77" t="s">
        <v>9409</v>
      </c>
      <c r="C11" s="76"/>
      <c r="D11" s="27" t="s">
        <v>9414</v>
      </c>
    </row>
    <row r="12" spans="1:5" x14ac:dyDescent="0.25">
      <c r="A12" s="27" t="s">
        <v>7863</v>
      </c>
      <c r="B12" s="77" t="s">
        <v>9412</v>
      </c>
      <c r="C12" s="76"/>
      <c r="D12" s="27" t="s">
        <v>7908</v>
      </c>
    </row>
    <row r="13" spans="1:5" x14ac:dyDescent="0.25">
      <c r="A13" s="27" t="s">
        <v>8075</v>
      </c>
      <c r="B13" s="77" t="s">
        <v>9412</v>
      </c>
      <c r="C13" s="76"/>
      <c r="D13" s="27" t="s">
        <v>7966</v>
      </c>
    </row>
    <row r="14" spans="1:5" x14ac:dyDescent="0.25">
      <c r="A14" s="27" t="s">
        <v>7919</v>
      </c>
      <c r="B14" s="77" t="s">
        <v>9409</v>
      </c>
      <c r="C14" s="76"/>
      <c r="D14" s="27" t="s">
        <v>9415</v>
      </c>
    </row>
    <row r="15" spans="1:5" x14ac:dyDescent="0.25">
      <c r="A15" s="27" t="s">
        <v>8078</v>
      </c>
      <c r="B15" s="77" t="s">
        <v>9412</v>
      </c>
      <c r="C15" s="76"/>
      <c r="D15" s="27" t="s">
        <v>9416</v>
      </c>
      <c r="E15" s="77" t="s">
        <v>9409</v>
      </c>
    </row>
    <row r="16" spans="1:5" x14ac:dyDescent="0.25">
      <c r="A16" s="27" t="s">
        <v>7970</v>
      </c>
      <c r="B16" s="77" t="s">
        <v>9409</v>
      </c>
      <c r="C16" s="76"/>
      <c r="D16" s="27" t="s">
        <v>9417</v>
      </c>
      <c r="E16" s="77" t="s">
        <v>9409</v>
      </c>
    </row>
    <row r="17" spans="1:5" x14ac:dyDescent="0.25">
      <c r="A17" s="27" t="s">
        <v>9418</v>
      </c>
      <c r="C17" s="76"/>
      <c r="D17" s="27" t="s">
        <v>9419</v>
      </c>
      <c r="E17" s="77" t="s">
        <v>9409</v>
      </c>
    </row>
    <row r="18" spans="1:5" x14ac:dyDescent="0.25">
      <c r="A18" s="27" t="s">
        <v>8067</v>
      </c>
      <c r="C18" s="76"/>
      <c r="D18" s="27" t="s">
        <v>9420</v>
      </c>
    </row>
    <row r="19" spans="1:5" x14ac:dyDescent="0.25">
      <c r="A19" s="27" t="s">
        <v>8022</v>
      </c>
      <c r="C19" s="76"/>
      <c r="D19" s="27" t="s">
        <v>9421</v>
      </c>
      <c r="E19" s="77" t="s">
        <v>9422</v>
      </c>
    </row>
    <row r="20" spans="1:5" x14ac:dyDescent="0.25">
      <c r="A20" s="27" t="s">
        <v>9414</v>
      </c>
      <c r="C20" s="76"/>
      <c r="D20" s="27" t="s">
        <v>9423</v>
      </c>
    </row>
    <row r="21" spans="1:5" x14ac:dyDescent="0.25">
      <c r="A21" s="27" t="s">
        <v>7908</v>
      </c>
      <c r="C21" s="76"/>
      <c r="D21" s="27" t="s">
        <v>9424</v>
      </c>
    </row>
    <row r="22" spans="1:5" x14ac:dyDescent="0.25">
      <c r="A22" s="27" t="s">
        <v>7966</v>
      </c>
      <c r="C22" s="76"/>
      <c r="D22" s="27" t="s">
        <v>9425</v>
      </c>
      <c r="E22" s="77" t="s">
        <v>9409</v>
      </c>
    </row>
    <row r="23" spans="1:5" x14ac:dyDescent="0.25">
      <c r="A23" s="27" t="s">
        <v>9426</v>
      </c>
      <c r="C23" s="76"/>
      <c r="D23" s="27" t="s">
        <v>9427</v>
      </c>
      <c r="E23" s="77" t="s">
        <v>9412</v>
      </c>
    </row>
    <row r="24" spans="1:5" x14ac:dyDescent="0.25">
      <c r="A24" s="27" t="s">
        <v>9428</v>
      </c>
      <c r="C24" s="76"/>
      <c r="D24" s="27" t="s">
        <v>8241</v>
      </c>
      <c r="E24" s="77" t="s">
        <v>9409</v>
      </c>
    </row>
    <row r="25" spans="1:5" x14ac:dyDescent="0.25">
      <c r="A25" s="27" t="s">
        <v>9415</v>
      </c>
      <c r="C25" s="76"/>
      <c r="D25" s="27" t="s">
        <v>9429</v>
      </c>
      <c r="E25" s="77" t="s">
        <v>9422</v>
      </c>
    </row>
    <row r="26" spans="1:5" x14ac:dyDescent="0.25">
      <c r="A26" s="27" t="s">
        <v>9430</v>
      </c>
      <c r="B26" s="77" t="s">
        <v>9409</v>
      </c>
      <c r="C26" s="76"/>
      <c r="D26" s="27" t="s">
        <v>8571</v>
      </c>
      <c r="E26" s="77" t="s">
        <v>9409</v>
      </c>
    </row>
    <row r="27" spans="1:5" x14ac:dyDescent="0.25">
      <c r="A27" s="27" t="s">
        <v>9431</v>
      </c>
      <c r="B27" s="77" t="s">
        <v>9409</v>
      </c>
      <c r="C27" s="76"/>
      <c r="D27" s="27" t="s">
        <v>9432</v>
      </c>
    </row>
    <row r="28" spans="1:5" x14ac:dyDescent="0.25">
      <c r="A28" s="27" t="s">
        <v>9419</v>
      </c>
      <c r="B28" s="77" t="s">
        <v>9409</v>
      </c>
      <c r="C28" s="76"/>
      <c r="D28" s="27" t="s">
        <v>9433</v>
      </c>
    </row>
    <row r="29" spans="1:5" x14ac:dyDescent="0.25">
      <c r="A29" s="27" t="s">
        <v>9434</v>
      </c>
      <c r="C29" s="76"/>
      <c r="D29" s="27" t="s">
        <v>9435</v>
      </c>
    </row>
    <row r="30" spans="1:5" x14ac:dyDescent="0.25">
      <c r="A30" s="27" t="s">
        <v>9421</v>
      </c>
      <c r="B30" s="77" t="s">
        <v>9422</v>
      </c>
      <c r="C30" s="76"/>
      <c r="D30" s="27" t="s">
        <v>9436</v>
      </c>
      <c r="E30" s="77" t="s">
        <v>9409</v>
      </c>
    </row>
    <row r="31" spans="1:5" x14ac:dyDescent="0.25">
      <c r="A31" s="27" t="s">
        <v>9437</v>
      </c>
      <c r="C31" s="76"/>
      <c r="D31" s="27" t="s">
        <v>9438</v>
      </c>
      <c r="E31" s="77" t="s">
        <v>9409</v>
      </c>
    </row>
    <row r="32" spans="1:5" x14ac:dyDescent="0.25">
      <c r="A32" s="27" t="s">
        <v>9439</v>
      </c>
      <c r="C32" s="76"/>
      <c r="D32" s="27" t="s">
        <v>9440</v>
      </c>
    </row>
    <row r="33" spans="1:5" x14ac:dyDescent="0.25">
      <c r="A33" s="27" t="s">
        <v>9441</v>
      </c>
      <c r="C33" s="76"/>
      <c r="D33" s="27" t="s">
        <v>9442</v>
      </c>
      <c r="E33" s="77" t="s">
        <v>9409</v>
      </c>
    </row>
    <row r="34" spans="1:5" x14ac:dyDescent="0.25">
      <c r="A34" s="27" t="s">
        <v>9424</v>
      </c>
      <c r="C34" s="76"/>
      <c r="D34" s="27" t="s">
        <v>9443</v>
      </c>
      <c r="E34" s="77" t="s">
        <v>9409</v>
      </c>
    </row>
    <row r="35" spans="1:5" x14ac:dyDescent="0.25">
      <c r="A35" s="27" t="s">
        <v>9444</v>
      </c>
      <c r="B35" s="77" t="s">
        <v>9409</v>
      </c>
      <c r="C35" s="76"/>
      <c r="D35" s="27" t="s">
        <v>8600</v>
      </c>
      <c r="E35" s="77" t="s">
        <v>9412</v>
      </c>
    </row>
    <row r="36" spans="1:5" x14ac:dyDescent="0.25">
      <c r="A36" s="27" t="s">
        <v>9445</v>
      </c>
      <c r="B36" s="77" t="s">
        <v>9412</v>
      </c>
      <c r="C36" s="76"/>
      <c r="D36" s="27" t="s">
        <v>9446</v>
      </c>
    </row>
    <row r="37" spans="1:5" x14ac:dyDescent="0.25">
      <c r="A37" s="27" t="s">
        <v>8241</v>
      </c>
      <c r="B37" s="77" t="s">
        <v>9409</v>
      </c>
      <c r="C37" s="76"/>
      <c r="D37" s="27" t="s">
        <v>9447</v>
      </c>
      <c r="E37" s="77" t="s">
        <v>9409</v>
      </c>
    </row>
    <row r="38" spans="1:5" x14ac:dyDescent="0.25">
      <c r="A38" s="27" t="s">
        <v>9448</v>
      </c>
      <c r="C38" s="76"/>
      <c r="D38" s="27" t="s">
        <v>8086</v>
      </c>
      <c r="E38" s="77" t="s">
        <v>9412</v>
      </c>
    </row>
    <row r="39" spans="1:5" x14ac:dyDescent="0.25">
      <c r="A39" s="27" t="s">
        <v>9429</v>
      </c>
      <c r="B39" s="77" t="s">
        <v>9422</v>
      </c>
      <c r="C39" s="76"/>
      <c r="D39" s="27" t="s">
        <v>9449</v>
      </c>
      <c r="E39" s="77" t="s">
        <v>9409</v>
      </c>
    </row>
    <row r="40" spans="1:5" x14ac:dyDescent="0.25">
      <c r="A40" s="27" t="s">
        <v>9450</v>
      </c>
      <c r="C40" s="76"/>
      <c r="D40" s="27" t="s">
        <v>9451</v>
      </c>
      <c r="E40" s="77" t="s">
        <v>9409</v>
      </c>
    </row>
    <row r="41" spans="1:5" x14ac:dyDescent="0.25">
      <c r="A41" s="27" t="s">
        <v>8833</v>
      </c>
      <c r="B41" s="77" t="s">
        <v>9409</v>
      </c>
      <c r="C41" s="76"/>
      <c r="D41" s="27" t="s">
        <v>9452</v>
      </c>
      <c r="E41" s="77" t="s">
        <v>9412</v>
      </c>
    </row>
    <row r="42" spans="1:5" x14ac:dyDescent="0.25">
      <c r="A42" s="27" t="s">
        <v>8711</v>
      </c>
      <c r="C42" s="76"/>
      <c r="D42" s="27" t="s">
        <v>9453</v>
      </c>
      <c r="E42" s="77" t="s">
        <v>9422</v>
      </c>
    </row>
    <row r="43" spans="1:5" x14ac:dyDescent="0.25">
      <c r="A43" s="27" t="s">
        <v>8571</v>
      </c>
      <c r="B43" s="77" t="s">
        <v>9409</v>
      </c>
      <c r="C43" s="76"/>
      <c r="D43" s="27" t="s">
        <v>9454</v>
      </c>
      <c r="E43" s="77" t="s">
        <v>9422</v>
      </c>
    </row>
    <row r="44" spans="1:5" x14ac:dyDescent="0.25">
      <c r="A44" s="27" t="s">
        <v>9455</v>
      </c>
      <c r="C44" s="76"/>
      <c r="D44" s="27" t="s">
        <v>9456</v>
      </c>
      <c r="E44" s="77" t="s">
        <v>9409</v>
      </c>
    </row>
    <row r="45" spans="1:5" x14ac:dyDescent="0.25">
      <c r="A45" s="27" t="s">
        <v>9433</v>
      </c>
      <c r="C45" s="76"/>
      <c r="D45" s="27" t="s">
        <v>9457</v>
      </c>
      <c r="E45" s="77" t="s">
        <v>9409</v>
      </c>
    </row>
    <row r="46" spans="1:5" x14ac:dyDescent="0.25">
      <c r="A46" s="27" t="s">
        <v>9458</v>
      </c>
      <c r="B46" s="77" t="s">
        <v>9409</v>
      </c>
      <c r="C46" s="76"/>
      <c r="D46" s="27" t="s">
        <v>8177</v>
      </c>
      <c r="E46" s="77" t="s">
        <v>9409</v>
      </c>
    </row>
    <row r="47" spans="1:5" x14ac:dyDescent="0.25">
      <c r="A47" s="27" t="s">
        <v>9459</v>
      </c>
      <c r="C47" s="76"/>
      <c r="D47" s="27" t="s">
        <v>8247</v>
      </c>
      <c r="E47" s="77" t="s">
        <v>9412</v>
      </c>
    </row>
    <row r="48" spans="1:5" x14ac:dyDescent="0.25">
      <c r="A48" s="27" t="s">
        <v>9435</v>
      </c>
      <c r="C48" s="76"/>
      <c r="D48" s="27" t="s">
        <v>9460</v>
      </c>
    </row>
    <row r="49" spans="1:5" x14ac:dyDescent="0.25">
      <c r="A49" s="27" t="s">
        <v>9436</v>
      </c>
      <c r="B49" s="77" t="s">
        <v>9409</v>
      </c>
      <c r="C49" s="76"/>
      <c r="D49" s="27" t="s">
        <v>9461</v>
      </c>
      <c r="E49" s="77" t="s">
        <v>9422</v>
      </c>
    </row>
    <row r="50" spans="1:5" x14ac:dyDescent="0.25">
      <c r="A50" s="27" t="s">
        <v>9438</v>
      </c>
      <c r="B50" s="77" t="s">
        <v>9409</v>
      </c>
      <c r="C50" s="76"/>
      <c r="D50" s="27" t="s">
        <v>9462</v>
      </c>
      <c r="E50" s="77" t="s">
        <v>9409</v>
      </c>
    </row>
    <row r="51" spans="1:5" x14ac:dyDescent="0.25">
      <c r="A51" s="27" t="s">
        <v>9440</v>
      </c>
      <c r="C51" s="76"/>
      <c r="D51" s="27" t="s">
        <v>9463</v>
      </c>
    </row>
    <row r="52" spans="1:5" x14ac:dyDescent="0.25">
      <c r="A52" s="27" t="s">
        <v>9443</v>
      </c>
      <c r="B52" s="77" t="s">
        <v>9409</v>
      </c>
      <c r="C52" s="76"/>
      <c r="D52" s="27" t="s">
        <v>9464</v>
      </c>
      <c r="E52" s="77" t="s">
        <v>9409</v>
      </c>
    </row>
    <row r="53" spans="1:5" x14ac:dyDescent="0.25">
      <c r="A53" s="27" t="s">
        <v>8600</v>
      </c>
      <c r="B53" s="77" t="s">
        <v>9412</v>
      </c>
      <c r="C53" s="76"/>
      <c r="D53" s="27" t="s">
        <v>9465</v>
      </c>
      <c r="E53" s="77" t="s">
        <v>9409</v>
      </c>
    </row>
    <row r="54" spans="1:5" x14ac:dyDescent="0.25">
      <c r="A54" s="27" t="s">
        <v>9446</v>
      </c>
      <c r="C54" s="76"/>
      <c r="D54" s="27" t="s">
        <v>8357</v>
      </c>
      <c r="E54" s="77" t="s">
        <v>9412</v>
      </c>
    </row>
    <row r="55" spans="1:5" x14ac:dyDescent="0.25">
      <c r="A55" s="27" t="s">
        <v>8086</v>
      </c>
      <c r="B55" s="77" t="s">
        <v>9412</v>
      </c>
      <c r="C55" s="76"/>
      <c r="D55" s="27" t="s">
        <v>9466</v>
      </c>
    </row>
    <row r="56" spans="1:5" x14ac:dyDescent="0.25">
      <c r="A56" s="27" t="s">
        <v>9467</v>
      </c>
      <c r="B56" s="77" t="s">
        <v>9412</v>
      </c>
      <c r="C56" s="76"/>
      <c r="D56" s="27" t="s">
        <v>7837</v>
      </c>
      <c r="E56" s="77" t="s">
        <v>9409</v>
      </c>
    </row>
    <row r="57" spans="1:5" x14ac:dyDescent="0.25">
      <c r="A57" s="27" t="s">
        <v>9449</v>
      </c>
      <c r="B57" s="77" t="s">
        <v>9409</v>
      </c>
      <c r="C57" s="76"/>
      <c r="D57" s="27" t="s">
        <v>9468</v>
      </c>
      <c r="E57" s="77" t="s">
        <v>9409</v>
      </c>
    </row>
    <row r="58" spans="1:5" x14ac:dyDescent="0.25">
      <c r="A58" s="27" t="s">
        <v>9451</v>
      </c>
      <c r="B58" s="77" t="s">
        <v>9409</v>
      </c>
      <c r="C58" s="76"/>
      <c r="D58" s="27" t="s">
        <v>9469</v>
      </c>
      <c r="E58" s="77" t="s">
        <v>9412</v>
      </c>
    </row>
    <row r="59" spans="1:5" x14ac:dyDescent="0.25">
      <c r="A59" s="27" t="s">
        <v>9452</v>
      </c>
      <c r="B59" s="77" t="s">
        <v>9412</v>
      </c>
      <c r="C59" s="76"/>
      <c r="D59" s="27" t="s">
        <v>9470</v>
      </c>
      <c r="E59" s="77" t="s">
        <v>9412</v>
      </c>
    </row>
    <row r="60" spans="1:5" x14ac:dyDescent="0.25">
      <c r="A60" s="27" t="s">
        <v>9454</v>
      </c>
      <c r="B60" s="77" t="s">
        <v>9422</v>
      </c>
      <c r="C60" s="76"/>
      <c r="D60" s="27" t="s">
        <v>7846</v>
      </c>
      <c r="E60" s="77" t="s">
        <v>9409</v>
      </c>
    </row>
    <row r="61" spans="1:5" x14ac:dyDescent="0.25">
      <c r="A61" s="27" t="s">
        <v>9457</v>
      </c>
      <c r="B61" s="77" t="s">
        <v>9409</v>
      </c>
      <c r="C61" s="76"/>
      <c r="D61" s="27" t="s">
        <v>8494</v>
      </c>
      <c r="E61" s="77" t="s">
        <v>9412</v>
      </c>
    </row>
    <row r="62" spans="1:5" x14ac:dyDescent="0.25">
      <c r="A62" s="27" t="s">
        <v>8177</v>
      </c>
      <c r="B62" s="77" t="s">
        <v>9409</v>
      </c>
      <c r="C62" s="76"/>
      <c r="D62" s="27" t="s">
        <v>9471</v>
      </c>
      <c r="E62" s="77" t="s">
        <v>9412</v>
      </c>
    </row>
    <row r="63" spans="1:5" x14ac:dyDescent="0.25">
      <c r="A63" s="27" t="s">
        <v>8247</v>
      </c>
      <c r="B63" s="77" t="s">
        <v>9412</v>
      </c>
      <c r="C63" s="76"/>
      <c r="D63" s="27" t="s">
        <v>9472</v>
      </c>
      <c r="E63" s="77" t="s">
        <v>9409</v>
      </c>
    </row>
    <row r="64" spans="1:5" x14ac:dyDescent="0.25">
      <c r="A64" s="27" t="s">
        <v>9461</v>
      </c>
      <c r="B64" s="77" t="s">
        <v>9422</v>
      </c>
      <c r="C64" s="76"/>
      <c r="D64" s="27" t="s">
        <v>9473</v>
      </c>
      <c r="E64" s="77" t="s">
        <v>9412</v>
      </c>
    </row>
    <row r="65" spans="1:5" x14ac:dyDescent="0.25">
      <c r="A65" s="27" t="s">
        <v>9474</v>
      </c>
      <c r="C65" s="76"/>
      <c r="D65" s="27" t="s">
        <v>9475</v>
      </c>
      <c r="E65" s="77" t="s">
        <v>9412</v>
      </c>
    </row>
    <row r="66" spans="1:5" x14ac:dyDescent="0.25">
      <c r="A66" s="27" t="s">
        <v>9476</v>
      </c>
      <c r="C66" s="76"/>
      <c r="D66" s="27" t="s">
        <v>9477</v>
      </c>
      <c r="E66" s="77" t="s">
        <v>9409</v>
      </c>
    </row>
    <row r="67" spans="1:5" x14ac:dyDescent="0.25">
      <c r="A67" s="27" t="s">
        <v>9464</v>
      </c>
      <c r="B67" s="77" t="s">
        <v>9409</v>
      </c>
      <c r="C67" s="76"/>
      <c r="D67" s="27" t="s">
        <v>9478</v>
      </c>
      <c r="E67" s="77" t="s">
        <v>9412</v>
      </c>
    </row>
    <row r="68" spans="1:5" x14ac:dyDescent="0.25">
      <c r="A68" s="27" t="s">
        <v>9479</v>
      </c>
      <c r="B68" s="77" t="s">
        <v>9409</v>
      </c>
      <c r="C68" s="76"/>
      <c r="D68" s="27" t="s">
        <v>9480</v>
      </c>
      <c r="E68" s="77" t="s">
        <v>9412</v>
      </c>
    </row>
    <row r="69" spans="1:5" x14ac:dyDescent="0.25">
      <c r="A69" s="27" t="s">
        <v>9481</v>
      </c>
      <c r="C69" s="76"/>
      <c r="D69" s="27" t="s">
        <v>9482</v>
      </c>
      <c r="E69" s="77" t="s">
        <v>9409</v>
      </c>
    </row>
    <row r="70" spans="1:5" x14ac:dyDescent="0.25">
      <c r="A70" s="27" t="s">
        <v>8357</v>
      </c>
      <c r="B70" s="77" t="s">
        <v>9412</v>
      </c>
      <c r="C70" s="76"/>
      <c r="D70" s="27" t="s">
        <v>9483</v>
      </c>
      <c r="E70" s="77" t="s">
        <v>9412</v>
      </c>
    </row>
    <row r="71" spans="1:5" x14ac:dyDescent="0.25">
      <c r="A71" s="27" t="s">
        <v>7837</v>
      </c>
      <c r="B71" s="77" t="s">
        <v>9409</v>
      </c>
      <c r="C71" s="76"/>
      <c r="D71" s="27" t="s">
        <v>9484</v>
      </c>
      <c r="E71" s="77" t="s">
        <v>9412</v>
      </c>
    </row>
    <row r="72" spans="1:5" x14ac:dyDescent="0.25">
      <c r="A72" s="27" t="s">
        <v>9468</v>
      </c>
      <c r="B72" s="77" t="s">
        <v>9409</v>
      </c>
      <c r="C72" s="76"/>
      <c r="D72" s="27" t="s">
        <v>9485</v>
      </c>
      <c r="E72" s="77" t="s">
        <v>9412</v>
      </c>
    </row>
    <row r="73" spans="1:5" x14ac:dyDescent="0.25">
      <c r="A73" s="27" t="s">
        <v>9469</v>
      </c>
      <c r="B73" s="77" t="s">
        <v>9412</v>
      </c>
      <c r="C73" s="76"/>
      <c r="D73" s="27" t="s">
        <v>9486</v>
      </c>
      <c r="E73" s="77" t="s">
        <v>9412</v>
      </c>
    </row>
    <row r="74" spans="1:5" x14ac:dyDescent="0.25">
      <c r="A74" s="27" t="s">
        <v>9487</v>
      </c>
      <c r="C74" s="76"/>
      <c r="D74" s="27" t="s">
        <v>8508</v>
      </c>
      <c r="E74" s="77" t="s">
        <v>9412</v>
      </c>
    </row>
    <row r="75" spans="1:5" x14ac:dyDescent="0.25">
      <c r="A75" s="27" t="s">
        <v>9470</v>
      </c>
      <c r="B75" s="77" t="s">
        <v>9412</v>
      </c>
      <c r="C75" s="76"/>
      <c r="D75" s="27" t="s">
        <v>8556</v>
      </c>
      <c r="E75" s="77" t="s">
        <v>9412</v>
      </c>
    </row>
    <row r="76" spans="1:5" x14ac:dyDescent="0.25">
      <c r="A76" s="27" t="s">
        <v>7846</v>
      </c>
      <c r="B76" s="77" t="s">
        <v>9409</v>
      </c>
      <c r="C76" s="76"/>
      <c r="D76" s="27" t="s">
        <v>7843</v>
      </c>
      <c r="E76" s="77" t="s">
        <v>9412</v>
      </c>
    </row>
    <row r="77" spans="1:5" x14ac:dyDescent="0.25">
      <c r="A77" s="27" t="s">
        <v>9488</v>
      </c>
      <c r="B77" s="77" t="s">
        <v>9412</v>
      </c>
      <c r="C77" s="76"/>
      <c r="D77" s="27" t="s">
        <v>9489</v>
      </c>
      <c r="E77" s="77" t="s">
        <v>9409</v>
      </c>
    </row>
    <row r="78" spans="1:5" x14ac:dyDescent="0.25">
      <c r="A78" s="27" t="s">
        <v>8494</v>
      </c>
      <c r="B78" s="77" t="s">
        <v>9412</v>
      </c>
      <c r="C78" s="76"/>
      <c r="D78" s="27" t="s">
        <v>8656</v>
      </c>
      <c r="E78" s="77" t="s">
        <v>9409</v>
      </c>
    </row>
    <row r="79" spans="1:5" x14ac:dyDescent="0.25">
      <c r="A79" s="27" t="s">
        <v>8501</v>
      </c>
      <c r="B79" s="77" t="s">
        <v>9412</v>
      </c>
      <c r="C79" s="76"/>
      <c r="D79" s="27" t="s">
        <v>8483</v>
      </c>
      <c r="E79" s="77" t="s">
        <v>9409</v>
      </c>
    </row>
    <row r="80" spans="1:5" x14ac:dyDescent="0.25">
      <c r="A80" s="27" t="s">
        <v>9471</v>
      </c>
      <c r="B80" s="77" t="s">
        <v>9412</v>
      </c>
      <c r="C80" s="76"/>
      <c r="D80" s="27" t="s">
        <v>8315</v>
      </c>
      <c r="E80" s="77" t="s">
        <v>9409</v>
      </c>
    </row>
    <row r="81" spans="1:5" x14ac:dyDescent="0.25">
      <c r="A81" s="27" t="s">
        <v>9472</v>
      </c>
      <c r="B81" s="77" t="s">
        <v>9409</v>
      </c>
      <c r="C81" s="76"/>
      <c r="D81" s="27" t="s">
        <v>9490</v>
      </c>
      <c r="E81" s="77" t="s">
        <v>9422</v>
      </c>
    </row>
    <row r="82" spans="1:5" x14ac:dyDescent="0.25">
      <c r="A82" s="27" t="s">
        <v>9491</v>
      </c>
      <c r="C82" s="76"/>
      <c r="D82" s="27" t="s">
        <v>9492</v>
      </c>
      <c r="E82" s="77" t="s">
        <v>9409</v>
      </c>
    </row>
    <row r="83" spans="1:5" x14ac:dyDescent="0.25">
      <c r="A83" s="27" t="s">
        <v>9473</v>
      </c>
      <c r="B83" s="77" t="s">
        <v>9412</v>
      </c>
      <c r="C83" s="76"/>
      <c r="D83" s="27" t="s">
        <v>8376</v>
      </c>
      <c r="E83" s="77" t="s">
        <v>9409</v>
      </c>
    </row>
    <row r="84" spans="1:5" x14ac:dyDescent="0.25">
      <c r="A84" s="27" t="s">
        <v>9493</v>
      </c>
      <c r="C84" s="76"/>
      <c r="D84" s="27" t="s">
        <v>8469</v>
      </c>
      <c r="E84" s="77" t="s">
        <v>9409</v>
      </c>
    </row>
    <row r="85" spans="1:5" x14ac:dyDescent="0.25">
      <c r="A85" s="27" t="s">
        <v>9475</v>
      </c>
      <c r="B85" s="77" t="s">
        <v>9412</v>
      </c>
      <c r="C85" s="76"/>
      <c r="D85" s="27" t="s">
        <v>9494</v>
      </c>
      <c r="E85" s="77" t="s">
        <v>9412</v>
      </c>
    </row>
    <row r="86" spans="1:5" x14ac:dyDescent="0.25">
      <c r="A86" s="27" t="s">
        <v>9477</v>
      </c>
      <c r="B86" s="77" t="s">
        <v>9409</v>
      </c>
      <c r="C86" s="76"/>
      <c r="D86" s="27" t="s">
        <v>9495</v>
      </c>
      <c r="E86" s="77" t="s">
        <v>9412</v>
      </c>
    </row>
    <row r="87" spans="1:5" x14ac:dyDescent="0.25">
      <c r="A87" s="27" t="s">
        <v>9496</v>
      </c>
      <c r="C87" s="76"/>
      <c r="D87" s="27" t="s">
        <v>9497</v>
      </c>
      <c r="E87" s="77" t="s">
        <v>9409</v>
      </c>
    </row>
    <row r="88" spans="1:5" x14ac:dyDescent="0.25">
      <c r="A88" s="27" t="s">
        <v>9478</v>
      </c>
      <c r="B88" s="77" t="s">
        <v>9412</v>
      </c>
      <c r="C88" s="76"/>
      <c r="D88" s="27" t="s">
        <v>9075</v>
      </c>
    </row>
    <row r="89" spans="1:5" x14ac:dyDescent="0.25">
      <c r="A89" s="27" t="s">
        <v>9498</v>
      </c>
      <c r="C89" s="76"/>
      <c r="D89" s="27" t="s">
        <v>8765</v>
      </c>
    </row>
    <row r="90" spans="1:5" x14ac:dyDescent="0.25">
      <c r="A90" s="27" t="s">
        <v>9480</v>
      </c>
      <c r="B90" s="77" t="s">
        <v>9412</v>
      </c>
      <c r="C90" s="76"/>
      <c r="D90" s="27" t="s">
        <v>9499</v>
      </c>
      <c r="E90" s="77" t="s">
        <v>9409</v>
      </c>
    </row>
    <row r="91" spans="1:5" x14ac:dyDescent="0.25">
      <c r="A91" s="27" t="s">
        <v>9482</v>
      </c>
      <c r="B91" s="77" t="s">
        <v>9409</v>
      </c>
      <c r="C91" s="76"/>
      <c r="D91" s="27" t="s">
        <v>9112</v>
      </c>
    </row>
    <row r="92" spans="1:5" x14ac:dyDescent="0.25">
      <c r="A92" s="27" t="s">
        <v>9500</v>
      </c>
      <c r="C92" s="76"/>
      <c r="D92" s="27" t="s">
        <v>8261</v>
      </c>
      <c r="E92" s="77" t="s">
        <v>9412</v>
      </c>
    </row>
    <row r="93" spans="1:5" x14ac:dyDescent="0.25">
      <c r="A93" s="27" t="s">
        <v>9483</v>
      </c>
      <c r="B93" s="77" t="s">
        <v>9412</v>
      </c>
      <c r="C93" s="76"/>
      <c r="D93" s="27" t="s">
        <v>9501</v>
      </c>
      <c r="E93" s="77" t="s">
        <v>9412</v>
      </c>
    </row>
    <row r="94" spans="1:5" x14ac:dyDescent="0.25">
      <c r="A94" s="27" t="s">
        <v>9502</v>
      </c>
      <c r="C94" s="76"/>
      <c r="D94" s="27" t="s">
        <v>9503</v>
      </c>
    </row>
    <row r="95" spans="1:5" x14ac:dyDescent="0.25">
      <c r="A95" s="27" t="s">
        <v>9484</v>
      </c>
      <c r="B95" s="77" t="s">
        <v>9412</v>
      </c>
      <c r="C95" s="76"/>
      <c r="D95" s="27" t="s">
        <v>9504</v>
      </c>
      <c r="E95" s="77" t="s">
        <v>9412</v>
      </c>
    </row>
    <row r="96" spans="1:5" x14ac:dyDescent="0.25">
      <c r="A96" s="27" t="s">
        <v>9489</v>
      </c>
      <c r="B96" s="77" t="s">
        <v>9409</v>
      </c>
      <c r="C96" s="76"/>
      <c r="D96" s="27" t="s">
        <v>9505</v>
      </c>
    </row>
    <row r="97" spans="1:5" x14ac:dyDescent="0.25">
      <c r="A97" s="27" t="s">
        <v>8656</v>
      </c>
      <c r="B97" s="77" t="s">
        <v>9409</v>
      </c>
      <c r="C97" s="76"/>
      <c r="D97" s="27" t="s">
        <v>9506</v>
      </c>
      <c r="E97" s="77" t="s">
        <v>9409</v>
      </c>
    </row>
    <row r="98" spans="1:5" x14ac:dyDescent="0.25">
      <c r="A98" s="27" t="s">
        <v>8483</v>
      </c>
      <c r="B98" s="77" t="s">
        <v>9409</v>
      </c>
      <c r="C98" s="76"/>
      <c r="D98" s="27" t="s">
        <v>9507</v>
      </c>
    </row>
    <row r="99" spans="1:5" x14ac:dyDescent="0.25">
      <c r="A99" s="27" t="s">
        <v>9490</v>
      </c>
      <c r="B99" s="77" t="s">
        <v>9422</v>
      </c>
      <c r="C99" s="76"/>
      <c r="D99" s="27" t="s">
        <v>9508</v>
      </c>
    </row>
    <row r="100" spans="1:5" x14ac:dyDescent="0.25">
      <c r="A100" s="27" t="s">
        <v>8392</v>
      </c>
      <c r="B100" s="77" t="s">
        <v>9412</v>
      </c>
      <c r="C100" s="76"/>
      <c r="D100" s="27" t="s">
        <v>9509</v>
      </c>
    </row>
    <row r="101" spans="1:5" x14ac:dyDescent="0.25">
      <c r="A101" s="27" t="s">
        <v>9510</v>
      </c>
      <c r="B101" s="77" t="s">
        <v>9412</v>
      </c>
      <c r="C101" s="76"/>
      <c r="D101" s="27" t="s">
        <v>8291</v>
      </c>
      <c r="E101" s="77" t="s">
        <v>9409</v>
      </c>
    </row>
    <row r="102" spans="1:5" x14ac:dyDescent="0.25">
      <c r="A102" s="27" t="s">
        <v>9511</v>
      </c>
      <c r="B102" s="77" t="s">
        <v>9412</v>
      </c>
      <c r="C102" s="76"/>
      <c r="D102" s="27" t="s">
        <v>9512</v>
      </c>
      <c r="E102" s="77" t="s">
        <v>9409</v>
      </c>
    </row>
    <row r="103" spans="1:5" x14ac:dyDescent="0.25">
      <c r="A103" s="27" t="s">
        <v>8376</v>
      </c>
      <c r="B103" s="77" t="s">
        <v>9409</v>
      </c>
      <c r="C103" s="76"/>
      <c r="D103" s="27" t="s">
        <v>8416</v>
      </c>
      <c r="E103" s="77" t="s">
        <v>9412</v>
      </c>
    </row>
    <row r="104" spans="1:5" x14ac:dyDescent="0.25">
      <c r="A104" s="27" t="s">
        <v>8469</v>
      </c>
      <c r="B104" s="77" t="s">
        <v>9409</v>
      </c>
      <c r="C104" s="76"/>
      <c r="D104" s="27" t="s">
        <v>9513</v>
      </c>
      <c r="E104" s="77" t="s">
        <v>9412</v>
      </c>
    </row>
    <row r="105" spans="1:5" x14ac:dyDescent="0.25">
      <c r="A105" s="27" t="s">
        <v>9494</v>
      </c>
      <c r="B105" s="77" t="s">
        <v>9412</v>
      </c>
      <c r="C105" s="76"/>
      <c r="D105" s="27" t="s">
        <v>8579</v>
      </c>
      <c r="E105" s="77" t="s">
        <v>9409</v>
      </c>
    </row>
    <row r="106" spans="1:5" x14ac:dyDescent="0.25">
      <c r="A106" s="27" t="s">
        <v>9495</v>
      </c>
      <c r="B106" s="77" t="s">
        <v>9412</v>
      </c>
      <c r="C106" s="76"/>
      <c r="D106" s="27" t="s">
        <v>8617</v>
      </c>
      <c r="E106" s="77" t="s">
        <v>9409</v>
      </c>
    </row>
    <row r="107" spans="1:5" x14ac:dyDescent="0.25">
      <c r="A107" s="27" t="s">
        <v>9514</v>
      </c>
      <c r="B107" s="77" t="s">
        <v>9412</v>
      </c>
      <c r="C107" s="76"/>
      <c r="D107" s="27" t="s">
        <v>9515</v>
      </c>
      <c r="E107" s="77" t="s">
        <v>9412</v>
      </c>
    </row>
    <row r="108" spans="1:5" x14ac:dyDescent="0.25">
      <c r="A108" s="27" t="s">
        <v>8461</v>
      </c>
      <c r="B108" s="77" t="s">
        <v>9409</v>
      </c>
      <c r="C108" s="76"/>
      <c r="D108" s="27" t="s">
        <v>9516</v>
      </c>
      <c r="E108" s="77" t="s">
        <v>9412</v>
      </c>
    </row>
    <row r="109" spans="1:5" x14ac:dyDescent="0.25">
      <c r="A109" s="27" t="s">
        <v>9517</v>
      </c>
      <c r="B109" s="77" t="s">
        <v>9412</v>
      </c>
      <c r="C109" s="76"/>
      <c r="D109" s="27" t="s">
        <v>9518</v>
      </c>
      <c r="E109" s="77" t="s">
        <v>9412</v>
      </c>
    </row>
    <row r="110" spans="1:5" x14ac:dyDescent="0.25">
      <c r="A110" s="27" t="s">
        <v>9497</v>
      </c>
      <c r="B110" s="77" t="s">
        <v>9409</v>
      </c>
      <c r="C110" s="76"/>
      <c r="D110" s="27" t="s">
        <v>9519</v>
      </c>
      <c r="E110" s="77" t="s">
        <v>9409</v>
      </c>
    </row>
    <row r="111" spans="1:5" x14ac:dyDescent="0.25">
      <c r="A111" s="27" t="s">
        <v>9075</v>
      </c>
      <c r="C111" s="76"/>
      <c r="D111" s="27" t="s">
        <v>9520</v>
      </c>
      <c r="E111" s="77" t="s">
        <v>9412</v>
      </c>
    </row>
    <row r="112" spans="1:5" x14ac:dyDescent="0.25">
      <c r="A112" s="27" t="s">
        <v>9521</v>
      </c>
      <c r="B112" s="77" t="s">
        <v>9412</v>
      </c>
      <c r="C112" s="76"/>
      <c r="D112" s="27" t="s">
        <v>8129</v>
      </c>
      <c r="E112" s="77" t="s">
        <v>9412</v>
      </c>
    </row>
    <row r="113" spans="1:5" x14ac:dyDescent="0.25">
      <c r="A113" s="27" t="s">
        <v>8590</v>
      </c>
      <c r="B113" s="77" t="s">
        <v>9412</v>
      </c>
      <c r="C113" s="76"/>
      <c r="D113" s="27" t="s">
        <v>8070</v>
      </c>
    </row>
    <row r="114" spans="1:5" x14ac:dyDescent="0.25">
      <c r="A114" s="27" t="s">
        <v>8765</v>
      </c>
      <c r="C114" s="76"/>
      <c r="D114" s="27" t="s">
        <v>8429</v>
      </c>
      <c r="E114" s="77" t="s">
        <v>9409</v>
      </c>
    </row>
    <row r="115" spans="1:5" x14ac:dyDescent="0.25">
      <c r="A115" s="27" t="s">
        <v>9522</v>
      </c>
      <c r="B115" s="77" t="s">
        <v>9412</v>
      </c>
      <c r="C115" s="76"/>
      <c r="D115" s="27" t="s">
        <v>8438</v>
      </c>
      <c r="E115" s="77" t="s">
        <v>9412</v>
      </c>
    </row>
    <row r="116" spans="1:5" x14ac:dyDescent="0.25">
      <c r="A116" s="27" t="s">
        <v>8588</v>
      </c>
      <c r="B116" s="77" t="s">
        <v>9409</v>
      </c>
      <c r="C116" s="76"/>
      <c r="D116" s="27" t="s">
        <v>7915</v>
      </c>
      <c r="E116" s="77" t="s">
        <v>9409</v>
      </c>
    </row>
    <row r="117" spans="1:5" x14ac:dyDescent="0.25">
      <c r="A117" s="27" t="s">
        <v>9499</v>
      </c>
      <c r="B117" s="77" t="s">
        <v>9409</v>
      </c>
      <c r="C117" s="76"/>
      <c r="D117" s="27" t="s">
        <v>9523</v>
      </c>
      <c r="E117" s="77" t="s">
        <v>9409</v>
      </c>
    </row>
    <row r="118" spans="1:5" x14ac:dyDescent="0.25">
      <c r="A118" s="27" t="s">
        <v>9524</v>
      </c>
      <c r="B118" s="77" t="s">
        <v>9412</v>
      </c>
      <c r="C118" s="76"/>
      <c r="D118" s="27" t="s">
        <v>9525</v>
      </c>
      <c r="E118" s="77" t="s">
        <v>9409</v>
      </c>
    </row>
    <row r="119" spans="1:5" x14ac:dyDescent="0.25">
      <c r="A119" s="27" t="s">
        <v>9112</v>
      </c>
      <c r="C119" s="76"/>
      <c r="D119" s="27" t="s">
        <v>9526</v>
      </c>
    </row>
    <row r="120" spans="1:5" x14ac:dyDescent="0.25">
      <c r="A120" s="27" t="s">
        <v>8261</v>
      </c>
      <c r="B120" s="77" t="s">
        <v>9412</v>
      </c>
      <c r="C120" s="76"/>
      <c r="D120" s="27" t="s">
        <v>9527</v>
      </c>
      <c r="E120" s="77" t="s">
        <v>9409</v>
      </c>
    </row>
    <row r="121" spans="1:5" x14ac:dyDescent="0.25">
      <c r="A121" s="27" t="s">
        <v>8550</v>
      </c>
      <c r="C121" s="76"/>
      <c r="D121" s="27" t="s">
        <v>9528</v>
      </c>
    </row>
    <row r="122" spans="1:5" x14ac:dyDescent="0.25">
      <c r="A122" s="27" t="s">
        <v>8780</v>
      </c>
      <c r="C122" s="76"/>
      <c r="D122" s="27" t="s">
        <v>9529</v>
      </c>
      <c r="E122" s="77" t="s">
        <v>9409</v>
      </c>
    </row>
    <row r="123" spans="1:5" x14ac:dyDescent="0.25">
      <c r="A123" s="27" t="s">
        <v>9530</v>
      </c>
      <c r="C123" s="76"/>
      <c r="D123" s="27" t="s">
        <v>9531</v>
      </c>
    </row>
    <row r="124" spans="1:5" x14ac:dyDescent="0.25">
      <c r="A124" s="27" t="s">
        <v>9532</v>
      </c>
      <c r="B124" s="77" t="s">
        <v>9412</v>
      </c>
      <c r="C124" s="76"/>
      <c r="D124" s="27" t="s">
        <v>8653</v>
      </c>
      <c r="E124" s="77" t="s">
        <v>9409</v>
      </c>
    </row>
    <row r="125" spans="1:5" x14ac:dyDescent="0.25">
      <c r="A125" s="27" t="s">
        <v>9533</v>
      </c>
      <c r="C125" s="76"/>
      <c r="D125" s="27" t="s">
        <v>8294</v>
      </c>
      <c r="E125" s="77" t="s">
        <v>9409</v>
      </c>
    </row>
    <row r="126" spans="1:5" x14ac:dyDescent="0.25">
      <c r="A126" s="27" t="s">
        <v>8339</v>
      </c>
      <c r="B126" s="77" t="s">
        <v>9412</v>
      </c>
      <c r="C126" s="76"/>
      <c r="D126" s="27" t="s">
        <v>9534</v>
      </c>
      <c r="E126" s="77" t="s">
        <v>9409</v>
      </c>
    </row>
    <row r="127" spans="1:5" x14ac:dyDescent="0.25">
      <c r="A127" s="27" t="s">
        <v>9506</v>
      </c>
      <c r="B127" s="77" t="s">
        <v>9409</v>
      </c>
      <c r="C127" s="76"/>
      <c r="D127" s="27" t="s">
        <v>9535</v>
      </c>
      <c r="E127" s="77" t="s">
        <v>9422</v>
      </c>
    </row>
    <row r="128" spans="1:5" x14ac:dyDescent="0.25">
      <c r="A128" s="27" t="s">
        <v>9507</v>
      </c>
      <c r="C128" s="76"/>
      <c r="D128" s="27" t="s">
        <v>8098</v>
      </c>
      <c r="E128" s="77" t="s">
        <v>9412</v>
      </c>
    </row>
    <row r="129" spans="1:5" x14ac:dyDescent="0.25">
      <c r="A129" s="27" t="s">
        <v>8291</v>
      </c>
      <c r="B129" s="77" t="s">
        <v>9409</v>
      </c>
      <c r="C129" s="76"/>
      <c r="D129" s="27" t="s">
        <v>9536</v>
      </c>
      <c r="E129" s="77" t="s">
        <v>9412</v>
      </c>
    </row>
    <row r="130" spans="1:5" x14ac:dyDescent="0.25">
      <c r="A130" s="27" t="s">
        <v>8416</v>
      </c>
      <c r="B130" s="77" t="s">
        <v>9412</v>
      </c>
      <c r="C130" s="76"/>
      <c r="D130" s="27" t="s">
        <v>9537</v>
      </c>
      <c r="E130" s="77" t="s">
        <v>9409</v>
      </c>
    </row>
    <row r="131" spans="1:5" x14ac:dyDescent="0.25">
      <c r="A131" s="27" t="s">
        <v>9538</v>
      </c>
      <c r="B131" s="77" t="s">
        <v>9412</v>
      </c>
      <c r="C131" s="76"/>
      <c r="D131" s="27" t="s">
        <v>9539</v>
      </c>
      <c r="E131" s="77" t="s">
        <v>9409</v>
      </c>
    </row>
    <row r="132" spans="1:5" x14ac:dyDescent="0.25">
      <c r="A132" s="27" t="s">
        <v>9513</v>
      </c>
      <c r="B132" s="77" t="s">
        <v>9412</v>
      </c>
      <c r="C132" s="76"/>
      <c r="D132" s="27" t="s">
        <v>9540</v>
      </c>
      <c r="E132" s="77" t="s">
        <v>9422</v>
      </c>
    </row>
    <row r="133" spans="1:5" x14ac:dyDescent="0.25">
      <c r="A133" s="27" t="s">
        <v>9541</v>
      </c>
      <c r="B133" s="77" t="s">
        <v>9412</v>
      </c>
      <c r="C133" s="76"/>
      <c r="D133" s="27" t="s">
        <v>9542</v>
      </c>
      <c r="E133" s="77" t="s">
        <v>9409</v>
      </c>
    </row>
    <row r="134" spans="1:5" x14ac:dyDescent="0.25">
      <c r="A134" s="27" t="s">
        <v>9519</v>
      </c>
      <c r="B134" s="77" t="s">
        <v>9409</v>
      </c>
      <c r="C134" s="76"/>
      <c r="D134" s="27" t="s">
        <v>8310</v>
      </c>
      <c r="E134" s="77" t="s">
        <v>9409</v>
      </c>
    </row>
    <row r="135" spans="1:5" x14ac:dyDescent="0.25">
      <c r="A135" s="27" t="s">
        <v>8118</v>
      </c>
      <c r="B135" s="77" t="s">
        <v>9412</v>
      </c>
      <c r="C135" s="76"/>
      <c r="D135" s="27" t="s">
        <v>9543</v>
      </c>
    </row>
    <row r="136" spans="1:5" x14ac:dyDescent="0.25">
      <c r="A136" s="27" t="s">
        <v>9544</v>
      </c>
      <c r="C136" s="76"/>
      <c r="D136" s="27" t="s">
        <v>9545</v>
      </c>
      <c r="E136" s="77" t="s">
        <v>9409</v>
      </c>
    </row>
    <row r="137" spans="1:5" x14ac:dyDescent="0.25">
      <c r="A137" s="27" t="s">
        <v>8133</v>
      </c>
      <c r="B137" s="77" t="s">
        <v>9409</v>
      </c>
      <c r="C137" s="76"/>
      <c r="D137" s="27" t="s">
        <v>9546</v>
      </c>
    </row>
    <row r="138" spans="1:5" x14ac:dyDescent="0.25">
      <c r="A138" s="27" t="s">
        <v>8070</v>
      </c>
      <c r="C138" s="76"/>
      <c r="D138" s="27" t="s">
        <v>9547</v>
      </c>
      <c r="E138" s="77" t="s">
        <v>9412</v>
      </c>
    </row>
    <row r="139" spans="1:5" x14ac:dyDescent="0.25">
      <c r="A139" s="27" t="s">
        <v>9548</v>
      </c>
      <c r="C139" s="76"/>
      <c r="D139" s="27" t="s">
        <v>8298</v>
      </c>
      <c r="E139" s="77" t="s">
        <v>9409</v>
      </c>
    </row>
    <row r="140" spans="1:5" x14ac:dyDescent="0.25">
      <c r="A140" s="27" t="s">
        <v>8429</v>
      </c>
      <c r="B140" s="77" t="s">
        <v>9409</v>
      </c>
      <c r="C140" s="76"/>
      <c r="D140" s="27" t="s">
        <v>9549</v>
      </c>
      <c r="E140" s="77" t="s">
        <v>9412</v>
      </c>
    </row>
    <row r="141" spans="1:5" x14ac:dyDescent="0.25">
      <c r="A141" s="27" t="s">
        <v>8423</v>
      </c>
      <c r="C141" s="76"/>
      <c r="D141" s="27" t="s">
        <v>9550</v>
      </c>
    </row>
    <row r="142" spans="1:5" x14ac:dyDescent="0.25">
      <c r="A142" s="27" t="s">
        <v>8412</v>
      </c>
      <c r="C142" s="76"/>
      <c r="D142" s="27" t="s">
        <v>8358</v>
      </c>
      <c r="E142" s="77" t="s">
        <v>9409</v>
      </c>
    </row>
    <row r="143" spans="1:5" x14ac:dyDescent="0.25">
      <c r="A143" s="27" t="s">
        <v>9551</v>
      </c>
      <c r="C143" s="76"/>
      <c r="D143" s="27" t="s">
        <v>9552</v>
      </c>
    </row>
    <row r="144" spans="1:5" x14ac:dyDescent="0.25">
      <c r="A144" s="27" t="s">
        <v>9553</v>
      </c>
      <c r="B144" s="77" t="s">
        <v>9412</v>
      </c>
      <c r="C144" s="76"/>
      <c r="D144" s="27" t="s">
        <v>9554</v>
      </c>
      <c r="E144" s="77" t="s">
        <v>9409</v>
      </c>
    </row>
    <row r="145" spans="1:5" x14ac:dyDescent="0.25">
      <c r="A145" s="27" t="s">
        <v>9526</v>
      </c>
      <c r="C145" s="76"/>
      <c r="D145" s="27" t="s">
        <v>8389</v>
      </c>
      <c r="E145" s="77" t="s">
        <v>9409</v>
      </c>
    </row>
    <row r="146" spans="1:5" x14ac:dyDescent="0.25">
      <c r="A146" s="27" t="s">
        <v>9527</v>
      </c>
      <c r="B146" s="77" t="s">
        <v>9409</v>
      </c>
      <c r="C146" s="76"/>
      <c r="D146" s="27" t="s">
        <v>9555</v>
      </c>
      <c r="E146" s="77" t="s">
        <v>9412</v>
      </c>
    </row>
    <row r="147" spans="1:5" x14ac:dyDescent="0.25">
      <c r="A147" s="27" t="s">
        <v>9528</v>
      </c>
      <c r="C147" s="76"/>
      <c r="D147" s="27" t="s">
        <v>9556</v>
      </c>
    </row>
    <row r="148" spans="1:5" x14ac:dyDescent="0.25">
      <c r="A148" s="27" t="s">
        <v>9529</v>
      </c>
      <c r="B148" s="77" t="s">
        <v>9409</v>
      </c>
      <c r="C148" s="76"/>
      <c r="D148" s="27" t="s">
        <v>9557</v>
      </c>
    </row>
    <row r="149" spans="1:5" x14ac:dyDescent="0.25">
      <c r="A149" s="27" t="s">
        <v>9531</v>
      </c>
      <c r="C149" s="76"/>
      <c r="D149" s="27" t="s">
        <v>9558</v>
      </c>
      <c r="E149" s="77" t="s">
        <v>9409</v>
      </c>
    </row>
    <row r="150" spans="1:5" x14ac:dyDescent="0.25">
      <c r="A150" s="27" t="s">
        <v>8294</v>
      </c>
      <c r="B150" s="77" t="s">
        <v>9409</v>
      </c>
      <c r="C150" s="76"/>
      <c r="D150" s="27" t="s">
        <v>8502</v>
      </c>
      <c r="E150" s="77" t="s">
        <v>9412</v>
      </c>
    </row>
    <row r="151" spans="1:5" x14ac:dyDescent="0.25">
      <c r="A151" s="27" t="s">
        <v>9534</v>
      </c>
      <c r="B151" s="77" t="s">
        <v>9409</v>
      </c>
      <c r="C151" s="76"/>
      <c r="D151" s="27" t="s">
        <v>8565</v>
      </c>
      <c r="E151" s="77" t="s">
        <v>9412</v>
      </c>
    </row>
    <row r="152" spans="1:5" x14ac:dyDescent="0.25">
      <c r="A152" s="27" t="s">
        <v>9559</v>
      </c>
      <c r="C152" s="76"/>
      <c r="D152" s="27" t="s">
        <v>9560</v>
      </c>
      <c r="E152" s="77" t="s">
        <v>9422</v>
      </c>
    </row>
    <row r="153" spans="1:5" x14ac:dyDescent="0.25">
      <c r="A153" s="27" t="s">
        <v>9535</v>
      </c>
      <c r="B153" s="77" t="s">
        <v>9422</v>
      </c>
      <c r="C153" s="76"/>
      <c r="D153" s="27" t="s">
        <v>9561</v>
      </c>
      <c r="E153" s="77" t="s">
        <v>9422</v>
      </c>
    </row>
    <row r="154" spans="1:5" x14ac:dyDescent="0.25">
      <c r="A154" s="27" t="s">
        <v>9562</v>
      </c>
      <c r="C154" s="76"/>
      <c r="D154" s="27" t="s">
        <v>9563</v>
      </c>
      <c r="E154" s="77" t="s">
        <v>9409</v>
      </c>
    </row>
    <row r="155" spans="1:5" x14ac:dyDescent="0.25">
      <c r="A155" s="27" t="s">
        <v>9564</v>
      </c>
      <c r="C155" s="76"/>
      <c r="D155" s="27" t="s">
        <v>9565</v>
      </c>
    </row>
    <row r="156" spans="1:5" x14ac:dyDescent="0.25">
      <c r="A156" s="27" t="s">
        <v>9566</v>
      </c>
      <c r="C156" s="76"/>
      <c r="D156" s="27" t="s">
        <v>9567</v>
      </c>
      <c r="E156" s="77" t="s">
        <v>9409</v>
      </c>
    </row>
    <row r="157" spans="1:5" x14ac:dyDescent="0.25">
      <c r="A157" s="27" t="s">
        <v>9568</v>
      </c>
      <c r="C157" s="76"/>
      <c r="D157" s="27" t="s">
        <v>9569</v>
      </c>
      <c r="E157" s="77" t="s">
        <v>9412</v>
      </c>
    </row>
    <row r="158" spans="1:5" x14ac:dyDescent="0.25">
      <c r="A158" s="27" t="s">
        <v>8098</v>
      </c>
      <c r="B158" s="77" t="s">
        <v>9412</v>
      </c>
      <c r="C158" s="76"/>
      <c r="D158" s="27" t="s">
        <v>9570</v>
      </c>
      <c r="E158" s="77" t="s">
        <v>9412</v>
      </c>
    </row>
    <row r="159" spans="1:5" x14ac:dyDescent="0.25">
      <c r="A159" s="27" t="s">
        <v>9537</v>
      </c>
      <c r="B159" s="77" t="s">
        <v>9409</v>
      </c>
      <c r="C159" s="76"/>
      <c r="D159" s="27" t="s">
        <v>9571</v>
      </c>
    </row>
    <row r="160" spans="1:5" x14ac:dyDescent="0.25">
      <c r="A160" s="27" t="s">
        <v>9540</v>
      </c>
      <c r="B160" s="77" t="s">
        <v>9422</v>
      </c>
      <c r="C160" s="76"/>
      <c r="D160" s="27" t="s">
        <v>8487</v>
      </c>
      <c r="E160" s="77" t="s">
        <v>9409</v>
      </c>
    </row>
    <row r="161" spans="1:5" x14ac:dyDescent="0.25">
      <c r="A161" s="27" t="s">
        <v>9572</v>
      </c>
      <c r="B161" s="77" t="s">
        <v>9412</v>
      </c>
      <c r="C161" s="76"/>
      <c r="D161" s="27" t="s">
        <v>9573</v>
      </c>
      <c r="E161" s="77" t="s">
        <v>9409</v>
      </c>
    </row>
    <row r="162" spans="1:5" x14ac:dyDescent="0.25">
      <c r="A162" s="27" t="s">
        <v>9547</v>
      </c>
      <c r="B162" s="77" t="s">
        <v>9412</v>
      </c>
      <c r="C162" s="76"/>
      <c r="D162" s="27" t="s">
        <v>9574</v>
      </c>
      <c r="E162" s="77" t="s">
        <v>9412</v>
      </c>
    </row>
    <row r="163" spans="1:5" x14ac:dyDescent="0.25">
      <c r="A163" s="27" t="s">
        <v>9575</v>
      </c>
      <c r="B163" s="77" t="s">
        <v>9412</v>
      </c>
      <c r="C163" s="76"/>
      <c r="D163" s="27" t="s">
        <v>9576</v>
      </c>
      <c r="E163" s="77" t="s">
        <v>9409</v>
      </c>
    </row>
    <row r="164" spans="1:5" x14ac:dyDescent="0.25">
      <c r="A164" s="27" t="s">
        <v>8273</v>
      </c>
      <c r="B164" s="77" t="s">
        <v>9409</v>
      </c>
      <c r="C164" s="76"/>
      <c r="D164" s="27" t="s">
        <v>9577</v>
      </c>
    </row>
    <row r="165" spans="1:5" x14ac:dyDescent="0.25">
      <c r="A165" s="27" t="s">
        <v>9578</v>
      </c>
      <c r="C165" s="76"/>
      <c r="D165" s="27" t="s">
        <v>9579</v>
      </c>
    </row>
    <row r="166" spans="1:5" x14ac:dyDescent="0.25">
      <c r="A166" s="27" t="s">
        <v>9580</v>
      </c>
      <c r="C166" s="76"/>
      <c r="D166" s="27" t="s">
        <v>9581</v>
      </c>
    </row>
    <row r="167" spans="1:5" x14ac:dyDescent="0.25">
      <c r="A167" s="27" t="s">
        <v>9582</v>
      </c>
      <c r="C167" s="76"/>
      <c r="D167" s="27" t="s">
        <v>9583</v>
      </c>
    </row>
    <row r="168" spans="1:5" x14ac:dyDescent="0.25">
      <c r="A168" s="27" t="s">
        <v>9584</v>
      </c>
      <c r="C168" s="76"/>
      <c r="D168" s="27" t="s">
        <v>9585</v>
      </c>
    </row>
    <row r="169" spans="1:5" x14ac:dyDescent="0.25">
      <c r="A169" s="27" t="s">
        <v>9586</v>
      </c>
      <c r="C169" s="76"/>
      <c r="D169" s="27" t="s">
        <v>9587</v>
      </c>
    </row>
    <row r="170" spans="1:5" x14ac:dyDescent="0.25">
      <c r="A170" s="27" t="s">
        <v>9588</v>
      </c>
      <c r="C170" s="76"/>
      <c r="D170" s="27" t="s">
        <v>9589</v>
      </c>
      <c r="E170" s="77" t="s">
        <v>9409</v>
      </c>
    </row>
    <row r="171" spans="1:5" x14ac:dyDescent="0.25">
      <c r="A171" s="27" t="s">
        <v>9590</v>
      </c>
      <c r="B171" s="77" t="s">
        <v>9409</v>
      </c>
      <c r="C171" s="76"/>
      <c r="D171" s="27" t="s">
        <v>9591</v>
      </c>
      <c r="E171" s="77" t="s">
        <v>9412</v>
      </c>
    </row>
    <row r="172" spans="1:5" x14ac:dyDescent="0.25">
      <c r="A172" s="27" t="s">
        <v>9592</v>
      </c>
      <c r="C172" s="76"/>
      <c r="D172" s="27" t="s">
        <v>8543</v>
      </c>
      <c r="E172" s="77" t="s">
        <v>9412</v>
      </c>
    </row>
    <row r="173" spans="1:5" x14ac:dyDescent="0.25">
      <c r="A173" s="27" t="s">
        <v>9593</v>
      </c>
      <c r="C173" s="76"/>
      <c r="D173" s="27" t="s">
        <v>9594</v>
      </c>
      <c r="E173" s="77" t="s">
        <v>9409</v>
      </c>
    </row>
    <row r="174" spans="1:5" x14ac:dyDescent="0.25">
      <c r="A174" s="27" t="s">
        <v>9595</v>
      </c>
      <c r="C174" s="76"/>
      <c r="D174" s="27" t="s">
        <v>8168</v>
      </c>
      <c r="E174" s="77" t="s">
        <v>9409</v>
      </c>
    </row>
    <row r="175" spans="1:5" x14ac:dyDescent="0.25">
      <c r="A175" s="27" t="s">
        <v>8406</v>
      </c>
      <c r="B175" s="77" t="s">
        <v>9409</v>
      </c>
      <c r="C175" s="76"/>
      <c r="D175" s="27" t="s">
        <v>9596</v>
      </c>
      <c r="E175" s="77" t="s">
        <v>9412</v>
      </c>
    </row>
    <row r="176" spans="1:5" x14ac:dyDescent="0.25">
      <c r="A176" s="27" t="s">
        <v>9597</v>
      </c>
      <c r="B176" s="77" t="s">
        <v>9412</v>
      </c>
      <c r="C176" s="76"/>
      <c r="D176" s="27" t="s">
        <v>9598</v>
      </c>
      <c r="E176" s="77" t="s">
        <v>9422</v>
      </c>
    </row>
    <row r="177" spans="1:5" x14ac:dyDescent="0.25">
      <c r="A177" s="27" t="s">
        <v>9599</v>
      </c>
      <c r="B177" s="77" t="s">
        <v>9409</v>
      </c>
      <c r="C177" s="76"/>
      <c r="D177" s="27" t="s">
        <v>9600</v>
      </c>
      <c r="E177" s="77" t="s">
        <v>9409</v>
      </c>
    </row>
    <row r="178" spans="1:5" x14ac:dyDescent="0.25">
      <c r="A178" s="27" t="s">
        <v>9601</v>
      </c>
      <c r="B178" s="77" t="s">
        <v>9409</v>
      </c>
      <c r="C178" s="76"/>
      <c r="D178" s="27" t="s">
        <v>9602</v>
      </c>
      <c r="E178" s="77" t="s">
        <v>9409</v>
      </c>
    </row>
    <row r="179" spans="1:5" x14ac:dyDescent="0.25">
      <c r="A179" s="27" t="s">
        <v>9603</v>
      </c>
      <c r="C179" s="76"/>
      <c r="D179" s="27" t="s">
        <v>9604</v>
      </c>
      <c r="E179" s="77" t="s">
        <v>9412</v>
      </c>
    </row>
    <row r="180" spans="1:5" x14ac:dyDescent="0.25">
      <c r="A180" s="27" t="s">
        <v>9605</v>
      </c>
      <c r="C180" s="76"/>
      <c r="D180" s="27" t="s">
        <v>9606</v>
      </c>
      <c r="E180" s="77" t="s">
        <v>9409</v>
      </c>
    </row>
    <row r="181" spans="1:5" x14ac:dyDescent="0.25">
      <c r="A181" s="27" t="s">
        <v>8303</v>
      </c>
      <c r="B181" s="77" t="s">
        <v>9409</v>
      </c>
      <c r="C181" s="76"/>
      <c r="D181" s="27" t="s">
        <v>9607</v>
      </c>
    </row>
    <row r="182" spans="1:5" x14ac:dyDescent="0.25">
      <c r="A182" s="27" t="s">
        <v>9608</v>
      </c>
      <c r="B182" s="77" t="s">
        <v>9412</v>
      </c>
      <c r="C182" s="76"/>
      <c r="D182" s="27" t="s">
        <v>8350</v>
      </c>
      <c r="E182" s="77" t="s">
        <v>9409</v>
      </c>
    </row>
    <row r="183" spans="1:5" x14ac:dyDescent="0.25">
      <c r="A183" s="27" t="s">
        <v>9609</v>
      </c>
      <c r="C183" s="76"/>
      <c r="D183" s="27" t="s">
        <v>9610</v>
      </c>
      <c r="E183" s="77" t="s">
        <v>9409</v>
      </c>
    </row>
    <row r="184" spans="1:5" x14ac:dyDescent="0.25">
      <c r="A184" s="27" t="s">
        <v>9611</v>
      </c>
      <c r="B184" s="77" t="s">
        <v>9412</v>
      </c>
      <c r="C184" s="76"/>
      <c r="D184" s="27" t="s">
        <v>9612</v>
      </c>
      <c r="E184" s="77" t="s">
        <v>9412</v>
      </c>
    </row>
    <row r="185" spans="1:5" x14ac:dyDescent="0.25">
      <c r="A185" s="27" t="s">
        <v>9203</v>
      </c>
      <c r="B185" s="77" t="s">
        <v>9409</v>
      </c>
      <c r="C185" s="76"/>
      <c r="D185" s="27" t="s">
        <v>9613</v>
      </c>
    </row>
    <row r="186" spans="1:5" x14ac:dyDescent="0.25">
      <c r="A186" s="27" t="s">
        <v>9614</v>
      </c>
      <c r="C186" s="76"/>
      <c r="D186" s="27" t="s">
        <v>9615</v>
      </c>
    </row>
    <row r="187" spans="1:5" x14ac:dyDescent="0.25">
      <c r="A187" s="27" t="s">
        <v>9616</v>
      </c>
      <c r="C187" s="76"/>
      <c r="D187" s="27" t="s">
        <v>9617</v>
      </c>
    </row>
    <row r="188" spans="1:5" x14ac:dyDescent="0.25">
      <c r="A188" s="27" t="s">
        <v>9618</v>
      </c>
      <c r="C188" s="76"/>
      <c r="D188" s="27" t="s">
        <v>9619</v>
      </c>
      <c r="E188" s="77" t="s">
        <v>9409</v>
      </c>
    </row>
    <row r="189" spans="1:5" x14ac:dyDescent="0.25">
      <c r="A189" s="27" t="s">
        <v>8442</v>
      </c>
      <c r="B189" s="77" t="s">
        <v>9409</v>
      </c>
      <c r="C189" s="76"/>
      <c r="D189" s="27" t="s">
        <v>8393</v>
      </c>
      <c r="E189" s="77" t="s">
        <v>9412</v>
      </c>
    </row>
    <row r="190" spans="1:5" x14ac:dyDescent="0.25">
      <c r="A190" s="27" t="s">
        <v>9620</v>
      </c>
      <c r="C190" s="76"/>
      <c r="D190" s="27" t="s">
        <v>9621</v>
      </c>
      <c r="E190" s="77" t="s">
        <v>9409</v>
      </c>
    </row>
    <row r="191" spans="1:5" x14ac:dyDescent="0.25">
      <c r="A191" s="27" t="s">
        <v>9622</v>
      </c>
      <c r="C191" s="76"/>
      <c r="D191" s="27" t="s">
        <v>9623</v>
      </c>
      <c r="E191" s="77" t="s">
        <v>9409</v>
      </c>
    </row>
    <row r="192" spans="1:5" x14ac:dyDescent="0.25">
      <c r="A192" s="27" t="s">
        <v>9624</v>
      </c>
      <c r="C192" s="76"/>
      <c r="D192" s="27" t="s">
        <v>9625</v>
      </c>
      <c r="E192" s="77" t="s">
        <v>9409</v>
      </c>
    </row>
    <row r="193" spans="1:5" x14ac:dyDescent="0.25">
      <c r="A193" s="27" t="s">
        <v>9626</v>
      </c>
      <c r="C193" s="76"/>
      <c r="D193" s="27" t="s">
        <v>8139</v>
      </c>
      <c r="E193" s="77" t="s">
        <v>9412</v>
      </c>
    </row>
    <row r="194" spans="1:5" x14ac:dyDescent="0.25">
      <c r="A194" s="27" t="s">
        <v>9627</v>
      </c>
      <c r="C194" s="76"/>
      <c r="D194" s="27" t="s">
        <v>9628</v>
      </c>
      <c r="E194" s="77" t="s">
        <v>9412</v>
      </c>
    </row>
    <row r="195" spans="1:5" x14ac:dyDescent="0.25">
      <c r="A195" s="27" t="s">
        <v>9629</v>
      </c>
      <c r="C195" s="76"/>
      <c r="D195" s="27" t="s">
        <v>9630</v>
      </c>
      <c r="E195" s="77" t="s">
        <v>9412</v>
      </c>
    </row>
    <row r="196" spans="1:5" x14ac:dyDescent="0.25">
      <c r="A196" s="27" t="s">
        <v>9631</v>
      </c>
      <c r="C196" s="76"/>
      <c r="D196" s="27" t="s">
        <v>9632</v>
      </c>
      <c r="E196" s="77" t="s">
        <v>9412</v>
      </c>
    </row>
    <row r="197" spans="1:5" x14ac:dyDescent="0.25">
      <c r="A197" s="27" t="s">
        <v>9633</v>
      </c>
      <c r="C197" s="76"/>
      <c r="D197" s="27" t="s">
        <v>9634</v>
      </c>
      <c r="E197" s="77" t="s">
        <v>9422</v>
      </c>
    </row>
    <row r="198" spans="1:5" x14ac:dyDescent="0.25">
      <c r="A198" s="27" t="s">
        <v>9635</v>
      </c>
      <c r="C198" s="76"/>
      <c r="D198" s="27" t="s">
        <v>9204</v>
      </c>
      <c r="E198" s="77" t="s">
        <v>9409</v>
      </c>
    </row>
    <row r="199" spans="1:5" x14ac:dyDescent="0.25">
      <c r="A199" s="27" t="s">
        <v>9636</v>
      </c>
      <c r="C199" s="76"/>
      <c r="D199" s="27" t="s">
        <v>9637</v>
      </c>
      <c r="E199" s="77" t="s">
        <v>9422</v>
      </c>
    </row>
    <row r="200" spans="1:5" x14ac:dyDescent="0.25">
      <c r="A200" s="27" t="s">
        <v>9638</v>
      </c>
      <c r="C200" s="76"/>
      <c r="D200" s="27" t="s">
        <v>9639</v>
      </c>
    </row>
    <row r="201" spans="1:5" x14ac:dyDescent="0.25">
      <c r="A201" s="27" t="s">
        <v>9640</v>
      </c>
      <c r="C201" s="76"/>
      <c r="D201" s="27" t="s">
        <v>9641</v>
      </c>
      <c r="E201" s="77" t="s">
        <v>9412</v>
      </c>
    </row>
    <row r="202" spans="1:5" x14ac:dyDescent="0.25">
      <c r="A202" s="27" t="s">
        <v>9642</v>
      </c>
      <c r="C202" s="76"/>
      <c r="D202" s="27" t="s">
        <v>9643</v>
      </c>
      <c r="E202" s="77" t="s">
        <v>9409</v>
      </c>
    </row>
    <row r="203" spans="1:5" x14ac:dyDescent="0.25">
      <c r="A203" s="27" t="s">
        <v>9644</v>
      </c>
      <c r="C203" s="76"/>
      <c r="D203" s="27" t="s">
        <v>9645</v>
      </c>
      <c r="E203" s="77" t="s">
        <v>9422</v>
      </c>
    </row>
    <row r="204" spans="1:5" x14ac:dyDescent="0.25">
      <c r="A204" s="27" t="s">
        <v>9646</v>
      </c>
      <c r="C204" s="76"/>
      <c r="D204" s="27" t="s">
        <v>9647</v>
      </c>
      <c r="E204" s="77" t="s">
        <v>9409</v>
      </c>
    </row>
    <row r="205" spans="1:5" x14ac:dyDescent="0.25">
      <c r="A205" s="27" t="s">
        <v>9565</v>
      </c>
      <c r="C205" s="76"/>
      <c r="D205" s="27" t="s">
        <v>9648</v>
      </c>
    </row>
    <row r="206" spans="1:5" x14ac:dyDescent="0.25">
      <c r="A206" s="27" t="s">
        <v>9649</v>
      </c>
      <c r="C206" s="76"/>
      <c r="D206" s="27" t="s">
        <v>9650</v>
      </c>
      <c r="E206" s="77" t="s">
        <v>9409</v>
      </c>
    </row>
    <row r="207" spans="1:5" x14ac:dyDescent="0.25">
      <c r="A207" s="27" t="s">
        <v>9651</v>
      </c>
      <c r="B207" s="77" t="s">
        <v>9409</v>
      </c>
      <c r="C207" s="76"/>
      <c r="D207" s="27" t="s">
        <v>9652</v>
      </c>
      <c r="E207" s="77" t="s">
        <v>9412</v>
      </c>
    </row>
    <row r="208" spans="1:5" x14ac:dyDescent="0.25">
      <c r="A208" s="27" t="s">
        <v>9653</v>
      </c>
      <c r="B208" s="77" t="s">
        <v>9412</v>
      </c>
      <c r="C208" s="76"/>
      <c r="D208" s="27" t="s">
        <v>9654</v>
      </c>
      <c r="E208" s="77" t="s">
        <v>9409</v>
      </c>
    </row>
    <row r="209" spans="1:5" x14ac:dyDescent="0.25">
      <c r="A209" s="27" t="s">
        <v>9655</v>
      </c>
      <c r="B209" s="77" t="s">
        <v>9412</v>
      </c>
      <c r="C209" s="76"/>
      <c r="D209" s="27" t="s">
        <v>9656</v>
      </c>
      <c r="E209" s="77" t="s">
        <v>9409</v>
      </c>
    </row>
    <row r="210" spans="1:5" x14ac:dyDescent="0.25">
      <c r="A210" s="27" t="s">
        <v>9657</v>
      </c>
      <c r="B210" s="77" t="s">
        <v>9409</v>
      </c>
      <c r="C210" s="76"/>
      <c r="D210" s="27" t="s">
        <v>9658</v>
      </c>
      <c r="E210" s="77" t="s">
        <v>9409</v>
      </c>
    </row>
    <row r="211" spans="1:5" x14ac:dyDescent="0.25">
      <c r="C211" s="76"/>
      <c r="D211" s="27" t="s">
        <v>9659</v>
      </c>
      <c r="E211" s="77" t="s">
        <v>9409</v>
      </c>
    </row>
  </sheetData>
  <autoFilter ref="A1:E211" xr:uid="{05874793-929C-4DD5-9382-5E9742A0A2F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648E1-7630-4644-A30C-D2B8CF70B1E1}">
  <dimension ref="A1:C410"/>
  <sheetViews>
    <sheetView zoomScaleNormal="100" workbookViewId="0">
      <selection activeCell="A2" sqref="A2"/>
    </sheetView>
  </sheetViews>
  <sheetFormatPr defaultColWidth="8.7265625" defaultRowHeight="12.5" x14ac:dyDescent="0.25"/>
  <cols>
    <col min="1" max="3" width="30.54296875" style="27" customWidth="1"/>
    <col min="4" max="16384" width="8.7265625" style="27"/>
  </cols>
  <sheetData>
    <row r="1" spans="1:3" ht="13" x14ac:dyDescent="0.25">
      <c r="A1" s="49" t="s">
        <v>9660</v>
      </c>
      <c r="B1" s="56" t="s">
        <v>9661</v>
      </c>
      <c r="C1" s="56" t="s">
        <v>9662</v>
      </c>
    </row>
    <row r="2" spans="1:3" ht="14.5" x14ac:dyDescent="0.35">
      <c r="A2" t="s">
        <v>92</v>
      </c>
      <c r="B2" s="27" t="s">
        <v>297</v>
      </c>
      <c r="C2" s="27" t="s">
        <v>388</v>
      </c>
    </row>
    <row r="3" spans="1:3" ht="14.5" x14ac:dyDescent="0.35">
      <c r="A3" t="s">
        <v>182</v>
      </c>
      <c r="B3" s="27" t="s">
        <v>303</v>
      </c>
      <c r="C3" s="27" t="s">
        <v>732</v>
      </c>
    </row>
    <row r="4" spans="1:3" ht="14.5" x14ac:dyDescent="0.35">
      <c r="A4" t="s">
        <v>224</v>
      </c>
      <c r="B4" s="27" t="s">
        <v>313</v>
      </c>
      <c r="C4" s="57" t="s">
        <v>742</v>
      </c>
    </row>
    <row r="5" spans="1:3" ht="14.5" x14ac:dyDescent="0.35">
      <c r="A5" t="s">
        <v>231</v>
      </c>
      <c r="B5" s="27" t="s">
        <v>333</v>
      </c>
      <c r="C5" s="27" t="s">
        <v>783</v>
      </c>
    </row>
    <row r="6" spans="1:3" ht="14.5" x14ac:dyDescent="0.35">
      <c r="A6" t="s">
        <v>236</v>
      </c>
      <c r="B6" s="27" t="s">
        <v>388</v>
      </c>
      <c r="C6" s="27" t="s">
        <v>853</v>
      </c>
    </row>
    <row r="7" spans="1:3" ht="14.5" x14ac:dyDescent="0.35">
      <c r="A7" t="s">
        <v>241</v>
      </c>
      <c r="B7" s="27" t="s">
        <v>395</v>
      </c>
      <c r="C7" s="27" t="s">
        <v>937</v>
      </c>
    </row>
    <row r="8" spans="1:3" ht="14.5" x14ac:dyDescent="0.35">
      <c r="A8" t="s">
        <v>247</v>
      </c>
      <c r="B8" s="27" t="s">
        <v>406</v>
      </c>
      <c r="C8" s="27" t="s">
        <v>986</v>
      </c>
    </row>
    <row r="9" spans="1:3" ht="14.5" x14ac:dyDescent="0.35">
      <c r="A9" t="s">
        <v>252</v>
      </c>
      <c r="B9" s="27" t="s">
        <v>425</v>
      </c>
      <c r="C9" s="27" t="s">
        <v>1159</v>
      </c>
    </row>
    <row r="10" spans="1:3" ht="14.5" x14ac:dyDescent="0.35">
      <c r="A10" t="s">
        <v>333</v>
      </c>
      <c r="B10" s="27" t="s">
        <v>485</v>
      </c>
      <c r="C10" s="27" t="s">
        <v>1300</v>
      </c>
    </row>
    <row r="11" spans="1:3" ht="14.5" x14ac:dyDescent="0.35">
      <c r="A11" t="s">
        <v>388</v>
      </c>
      <c r="B11" s="27" t="s">
        <v>515</v>
      </c>
      <c r="C11" s="27" t="s">
        <v>1372</v>
      </c>
    </row>
    <row r="12" spans="1:3" ht="14.5" x14ac:dyDescent="0.35">
      <c r="A12" t="s">
        <v>425</v>
      </c>
      <c r="B12" s="27" t="s">
        <v>551</v>
      </c>
      <c r="C12" s="27" t="s">
        <v>1377</v>
      </c>
    </row>
    <row r="13" spans="1:3" ht="14.5" x14ac:dyDescent="0.35">
      <c r="A13" t="s">
        <v>515</v>
      </c>
      <c r="B13" s="27" t="s">
        <v>567</v>
      </c>
      <c r="C13" s="27" t="s">
        <v>1520</v>
      </c>
    </row>
    <row r="14" spans="1:3" ht="14.5" x14ac:dyDescent="0.35">
      <c r="A14" t="s">
        <v>551</v>
      </c>
      <c r="B14" s="27" t="s">
        <v>572</v>
      </c>
      <c r="C14" s="27" t="s">
        <v>1779</v>
      </c>
    </row>
    <row r="15" spans="1:3" ht="14.5" x14ac:dyDescent="0.35">
      <c r="A15" t="s">
        <v>567</v>
      </c>
      <c r="B15" s="27" t="s">
        <v>580</v>
      </c>
      <c r="C15" s="27" t="s">
        <v>1824</v>
      </c>
    </row>
    <row r="16" spans="1:3" ht="14.5" x14ac:dyDescent="0.35">
      <c r="A16" t="s">
        <v>572</v>
      </c>
      <c r="B16" s="27" t="s">
        <v>608</v>
      </c>
      <c r="C16" s="27" t="s">
        <v>2082</v>
      </c>
    </row>
    <row r="17" spans="1:3" ht="14.5" x14ac:dyDescent="0.35">
      <c r="A17" t="s">
        <v>580</v>
      </c>
      <c r="B17" s="27" t="s">
        <v>674</v>
      </c>
      <c r="C17" s="27" t="s">
        <v>2214</v>
      </c>
    </row>
    <row r="18" spans="1:3" ht="14.5" x14ac:dyDescent="0.35">
      <c r="A18" t="s">
        <v>608</v>
      </c>
      <c r="B18" s="27" t="s">
        <v>684</v>
      </c>
      <c r="C18" s="27" t="s">
        <v>2292</v>
      </c>
    </row>
    <row r="19" spans="1:3" ht="14.5" x14ac:dyDescent="0.35">
      <c r="A19" t="s">
        <v>684</v>
      </c>
      <c r="B19" s="27" t="s">
        <v>692</v>
      </c>
      <c r="C19" s="27" t="s">
        <v>2379</v>
      </c>
    </row>
    <row r="20" spans="1:3" ht="14.5" x14ac:dyDescent="0.35">
      <c r="A20" t="s">
        <v>692</v>
      </c>
      <c r="B20" s="27" t="s">
        <v>707</v>
      </c>
      <c r="C20" s="27" t="s">
        <v>2510</v>
      </c>
    </row>
    <row r="21" spans="1:3" ht="14.5" x14ac:dyDescent="0.35">
      <c r="A21" t="s">
        <v>707</v>
      </c>
      <c r="B21" s="27" t="s">
        <v>732</v>
      </c>
      <c r="C21" s="27" t="s">
        <v>2551</v>
      </c>
    </row>
    <row r="22" spans="1:3" ht="14.5" x14ac:dyDescent="0.35">
      <c r="A22" t="s">
        <v>742</v>
      </c>
      <c r="B22" s="27" t="s">
        <v>742</v>
      </c>
      <c r="C22" s="27" t="s">
        <v>2574</v>
      </c>
    </row>
    <row r="23" spans="1:3" ht="14.5" x14ac:dyDescent="0.35">
      <c r="A23" t="s">
        <v>748</v>
      </c>
      <c r="B23" s="27" t="s">
        <v>748</v>
      </c>
      <c r="C23" s="27" t="s">
        <v>2579</v>
      </c>
    </row>
    <row r="24" spans="1:3" ht="14.5" x14ac:dyDescent="0.35">
      <c r="A24" t="s">
        <v>776</v>
      </c>
      <c r="B24" s="27" t="s">
        <v>776</v>
      </c>
      <c r="C24" s="27" t="s">
        <v>2801</v>
      </c>
    </row>
    <row r="25" spans="1:3" ht="14.5" x14ac:dyDescent="0.35">
      <c r="A25" t="s">
        <v>783</v>
      </c>
      <c r="B25" s="27" t="s">
        <v>783</v>
      </c>
      <c r="C25" s="27" t="s">
        <v>2880</v>
      </c>
    </row>
    <row r="26" spans="1:3" ht="14.5" x14ac:dyDescent="0.35">
      <c r="A26" t="s">
        <v>796</v>
      </c>
      <c r="B26" s="27" t="s">
        <v>788</v>
      </c>
      <c r="C26" s="27" t="s">
        <v>2899</v>
      </c>
    </row>
    <row r="27" spans="1:3" ht="14.5" x14ac:dyDescent="0.35">
      <c r="A27" t="s">
        <v>827</v>
      </c>
      <c r="B27" s="27" t="s">
        <v>796</v>
      </c>
      <c r="C27" s="27" t="s">
        <v>2966</v>
      </c>
    </row>
    <row r="28" spans="1:3" ht="14.5" x14ac:dyDescent="0.35">
      <c r="A28" t="s">
        <v>846</v>
      </c>
      <c r="B28" s="27" t="s">
        <v>827</v>
      </c>
      <c r="C28" s="27" t="s">
        <v>3010</v>
      </c>
    </row>
    <row r="29" spans="1:3" ht="14.5" x14ac:dyDescent="0.35">
      <c r="A29" t="s">
        <v>853</v>
      </c>
      <c r="B29" s="27" t="s">
        <v>846</v>
      </c>
      <c r="C29" s="27" t="s">
        <v>3026</v>
      </c>
    </row>
    <row r="30" spans="1:3" ht="14.5" x14ac:dyDescent="0.35">
      <c r="A30" t="s">
        <v>878</v>
      </c>
      <c r="B30" s="27" t="s">
        <v>853</v>
      </c>
      <c r="C30" s="27" t="s">
        <v>3096</v>
      </c>
    </row>
    <row r="31" spans="1:3" ht="14.5" x14ac:dyDescent="0.35">
      <c r="A31" t="s">
        <v>945</v>
      </c>
      <c r="B31" s="27" t="s">
        <v>871</v>
      </c>
      <c r="C31" s="27" t="s">
        <v>3363</v>
      </c>
    </row>
    <row r="32" spans="1:3" ht="14.5" x14ac:dyDescent="0.35">
      <c r="A32" t="s">
        <v>986</v>
      </c>
      <c r="B32" s="27" t="s">
        <v>873</v>
      </c>
      <c r="C32" s="27" t="s">
        <v>3471</v>
      </c>
    </row>
    <row r="33" spans="1:3" ht="14.5" x14ac:dyDescent="0.35">
      <c r="A33" t="s">
        <v>992</v>
      </c>
      <c r="B33" s="27" t="s">
        <v>878</v>
      </c>
      <c r="C33" s="27" t="s">
        <v>3509</v>
      </c>
    </row>
    <row r="34" spans="1:3" ht="14.5" x14ac:dyDescent="0.35">
      <c r="A34" t="s">
        <v>1011</v>
      </c>
      <c r="B34" s="27" t="s">
        <v>896</v>
      </c>
      <c r="C34" s="27" t="s">
        <v>3618</v>
      </c>
    </row>
    <row r="35" spans="1:3" ht="14.5" x14ac:dyDescent="0.35">
      <c r="A35" t="s">
        <v>1017</v>
      </c>
      <c r="B35" s="27" t="s">
        <v>924</v>
      </c>
      <c r="C35" s="27" t="s">
        <v>3714</v>
      </c>
    </row>
    <row r="36" spans="1:3" ht="14.5" x14ac:dyDescent="0.35">
      <c r="A36" t="s">
        <v>1022</v>
      </c>
      <c r="B36" s="27" t="s">
        <v>933</v>
      </c>
      <c r="C36" s="27" t="s">
        <v>3781</v>
      </c>
    </row>
    <row r="37" spans="1:3" ht="14.5" x14ac:dyDescent="0.35">
      <c r="A37" t="s">
        <v>1027</v>
      </c>
      <c r="B37" s="27" t="s">
        <v>935</v>
      </c>
      <c r="C37" s="27" t="s">
        <v>3874</v>
      </c>
    </row>
    <row r="38" spans="1:3" ht="14.5" x14ac:dyDescent="0.35">
      <c r="A38" t="s">
        <v>1038</v>
      </c>
      <c r="B38" s="27" t="s">
        <v>937</v>
      </c>
      <c r="C38" s="27" t="s">
        <v>4278</v>
      </c>
    </row>
    <row r="39" spans="1:3" ht="14.5" x14ac:dyDescent="0.35">
      <c r="A39" t="s">
        <v>1175</v>
      </c>
      <c r="B39" s="27" t="s">
        <v>939</v>
      </c>
      <c r="C39" s="27" t="s">
        <v>4394</v>
      </c>
    </row>
    <row r="40" spans="1:3" ht="14.5" x14ac:dyDescent="0.35">
      <c r="A40" t="s">
        <v>1184</v>
      </c>
      <c r="B40" s="27" t="s">
        <v>941</v>
      </c>
      <c r="C40" s="27" t="s">
        <v>4487</v>
      </c>
    </row>
    <row r="41" spans="1:3" ht="14.5" x14ac:dyDescent="0.35">
      <c r="A41" t="s">
        <v>1248</v>
      </c>
      <c r="B41" s="27" t="s">
        <v>943</v>
      </c>
      <c r="C41" s="27" t="s">
        <v>4491</v>
      </c>
    </row>
    <row r="42" spans="1:3" ht="14.5" x14ac:dyDescent="0.35">
      <c r="A42" t="s">
        <v>1255</v>
      </c>
      <c r="B42" s="27" t="s">
        <v>945</v>
      </c>
      <c r="C42" s="27" t="s">
        <v>4984</v>
      </c>
    </row>
    <row r="43" spans="1:3" ht="14.5" x14ac:dyDescent="0.35">
      <c r="A43" t="s">
        <v>1289</v>
      </c>
      <c r="B43" s="27" t="s">
        <v>986</v>
      </c>
      <c r="C43" s="27" t="s">
        <v>5347</v>
      </c>
    </row>
    <row r="44" spans="1:3" ht="14.5" x14ac:dyDescent="0.35">
      <c r="A44" t="s">
        <v>1295</v>
      </c>
      <c r="B44" s="27" t="s">
        <v>1086</v>
      </c>
      <c r="C44" s="27" t="s">
        <v>5504</v>
      </c>
    </row>
    <row r="45" spans="1:3" ht="14.5" x14ac:dyDescent="0.35">
      <c r="A45" t="s">
        <v>1300</v>
      </c>
      <c r="B45" s="27" t="s">
        <v>1104</v>
      </c>
      <c r="C45" s="27" t="s">
        <v>6139</v>
      </c>
    </row>
    <row r="46" spans="1:3" ht="14.5" x14ac:dyDescent="0.35">
      <c r="A46" t="s">
        <v>1305</v>
      </c>
      <c r="B46" s="27" t="s">
        <v>1159</v>
      </c>
    </row>
    <row r="47" spans="1:3" ht="14.5" x14ac:dyDescent="0.35">
      <c r="A47" t="s">
        <v>1310</v>
      </c>
      <c r="B47" s="27" t="s">
        <v>1175</v>
      </c>
    </row>
    <row r="48" spans="1:3" ht="14.5" x14ac:dyDescent="0.35">
      <c r="A48" t="s">
        <v>1315</v>
      </c>
      <c r="B48" s="27" t="s">
        <v>1184</v>
      </c>
    </row>
    <row r="49" spans="1:2" ht="14.5" x14ac:dyDescent="0.35">
      <c r="A49" t="s">
        <v>1328</v>
      </c>
      <c r="B49" s="27" t="s">
        <v>1248</v>
      </c>
    </row>
    <row r="50" spans="1:2" ht="14.5" x14ac:dyDescent="0.35">
      <c r="A50" t="s">
        <v>1343</v>
      </c>
      <c r="B50" s="27" t="s">
        <v>1255</v>
      </c>
    </row>
    <row r="51" spans="1:2" ht="14.5" x14ac:dyDescent="0.35">
      <c r="A51" t="s">
        <v>1349</v>
      </c>
      <c r="B51" s="27" t="s">
        <v>1289</v>
      </c>
    </row>
    <row r="52" spans="1:2" ht="14.5" x14ac:dyDescent="0.35">
      <c r="A52" t="s">
        <v>1362</v>
      </c>
      <c r="B52" s="27" t="s">
        <v>1300</v>
      </c>
    </row>
    <row r="53" spans="1:2" ht="14.5" x14ac:dyDescent="0.35">
      <c r="A53" t="s">
        <v>1372</v>
      </c>
      <c r="B53" s="27" t="s">
        <v>1372</v>
      </c>
    </row>
    <row r="54" spans="1:2" ht="14.5" x14ac:dyDescent="0.35">
      <c r="A54" t="s">
        <v>1377</v>
      </c>
      <c r="B54" s="27" t="s">
        <v>1377</v>
      </c>
    </row>
    <row r="55" spans="1:2" ht="14.5" x14ac:dyDescent="0.35">
      <c r="A55" t="s">
        <v>1381</v>
      </c>
      <c r="B55" s="27" t="s">
        <v>1520</v>
      </c>
    </row>
    <row r="56" spans="1:2" ht="14.5" x14ac:dyDescent="0.35">
      <c r="A56" t="s">
        <v>1386</v>
      </c>
      <c r="B56" s="27" t="s">
        <v>1525</v>
      </c>
    </row>
    <row r="57" spans="1:2" ht="14.5" x14ac:dyDescent="0.35">
      <c r="A57" t="s">
        <v>1391</v>
      </c>
      <c r="B57" s="27" t="s">
        <v>1533</v>
      </c>
    </row>
    <row r="58" spans="1:2" ht="14.5" x14ac:dyDescent="0.35">
      <c r="A58" t="s">
        <v>1396</v>
      </c>
      <c r="B58" s="27" t="s">
        <v>1538</v>
      </c>
    </row>
    <row r="59" spans="1:2" ht="14.5" x14ac:dyDescent="0.35">
      <c r="A59" t="s">
        <v>1401</v>
      </c>
      <c r="B59" s="27" t="s">
        <v>1544</v>
      </c>
    </row>
    <row r="60" spans="1:2" ht="14.5" x14ac:dyDescent="0.35">
      <c r="A60" t="s">
        <v>1520</v>
      </c>
      <c r="B60" s="27" t="s">
        <v>1550</v>
      </c>
    </row>
    <row r="61" spans="1:2" ht="14.5" x14ac:dyDescent="0.35">
      <c r="A61" t="s">
        <v>1525</v>
      </c>
      <c r="B61" s="27" t="s">
        <v>1562</v>
      </c>
    </row>
    <row r="62" spans="1:2" ht="14.5" x14ac:dyDescent="0.35">
      <c r="A62" t="s">
        <v>1533</v>
      </c>
      <c r="B62" s="27" t="s">
        <v>1622</v>
      </c>
    </row>
    <row r="63" spans="1:2" ht="14.5" x14ac:dyDescent="0.35">
      <c r="A63" t="s">
        <v>1538</v>
      </c>
      <c r="B63" s="27" t="s">
        <v>1699</v>
      </c>
    </row>
    <row r="64" spans="1:2" ht="14.5" x14ac:dyDescent="0.35">
      <c r="A64" t="s">
        <v>1562</v>
      </c>
      <c r="B64" s="27" t="s">
        <v>1779</v>
      </c>
    </row>
    <row r="65" spans="1:2" ht="14.5" x14ac:dyDescent="0.35">
      <c r="A65" t="s">
        <v>1622</v>
      </c>
      <c r="B65" s="27" t="s">
        <v>1815</v>
      </c>
    </row>
    <row r="66" spans="1:2" ht="14.5" x14ac:dyDescent="0.35">
      <c r="A66" t="s">
        <v>1699</v>
      </c>
      <c r="B66" s="27" t="s">
        <v>1824</v>
      </c>
    </row>
    <row r="67" spans="1:2" ht="14.5" x14ac:dyDescent="0.35">
      <c r="A67" t="s">
        <v>1779</v>
      </c>
      <c r="B67" s="27" t="s">
        <v>1868</v>
      </c>
    </row>
    <row r="68" spans="1:2" ht="14.5" x14ac:dyDescent="0.35">
      <c r="A68" t="s">
        <v>1815</v>
      </c>
      <c r="B68" s="27" t="s">
        <v>1870</v>
      </c>
    </row>
    <row r="69" spans="1:2" ht="14.5" x14ac:dyDescent="0.35">
      <c r="A69" t="s">
        <v>1870</v>
      </c>
      <c r="B69" s="27" t="s">
        <v>1875</v>
      </c>
    </row>
    <row r="70" spans="1:2" ht="14.5" x14ac:dyDescent="0.35">
      <c r="A70" t="s">
        <v>1897</v>
      </c>
      <c r="B70" s="27" t="s">
        <v>1897</v>
      </c>
    </row>
    <row r="71" spans="1:2" ht="14.5" x14ac:dyDescent="0.35">
      <c r="A71" t="s">
        <v>1911</v>
      </c>
      <c r="B71" s="27" t="s">
        <v>1911</v>
      </c>
    </row>
    <row r="72" spans="1:2" ht="14.5" x14ac:dyDescent="0.35">
      <c r="A72" t="s">
        <v>2071</v>
      </c>
      <c r="B72" s="27" t="s">
        <v>1934</v>
      </c>
    </row>
    <row r="73" spans="1:2" ht="14.5" x14ac:dyDescent="0.35">
      <c r="A73" t="s">
        <v>2082</v>
      </c>
      <c r="B73" s="27" t="s">
        <v>2082</v>
      </c>
    </row>
    <row r="74" spans="1:2" ht="14.5" x14ac:dyDescent="0.35">
      <c r="A74" t="s">
        <v>2142</v>
      </c>
      <c r="B74" s="27" t="s">
        <v>2138</v>
      </c>
    </row>
    <row r="75" spans="1:2" ht="14.5" x14ac:dyDescent="0.35">
      <c r="A75" t="s">
        <v>2214</v>
      </c>
      <c r="B75" s="27" t="s">
        <v>2142</v>
      </c>
    </row>
    <row r="76" spans="1:2" ht="14.5" x14ac:dyDescent="0.35">
      <c r="A76" t="s">
        <v>2227</v>
      </c>
      <c r="B76" s="27" t="s">
        <v>2156</v>
      </c>
    </row>
    <row r="77" spans="1:2" ht="14.5" x14ac:dyDescent="0.35">
      <c r="A77" t="s">
        <v>2261</v>
      </c>
      <c r="B77" s="27" t="s">
        <v>2214</v>
      </c>
    </row>
    <row r="78" spans="1:2" ht="14.5" x14ac:dyDescent="0.35">
      <c r="A78" t="s">
        <v>2292</v>
      </c>
      <c r="B78" s="27" t="s">
        <v>2227</v>
      </c>
    </row>
    <row r="79" spans="1:2" ht="14.5" x14ac:dyDescent="0.35">
      <c r="A79" t="s">
        <v>2347</v>
      </c>
      <c r="B79" s="27" t="s">
        <v>2235</v>
      </c>
    </row>
    <row r="80" spans="1:2" ht="14.5" x14ac:dyDescent="0.35">
      <c r="A80" t="s">
        <v>2356</v>
      </c>
      <c r="B80" s="27" t="s">
        <v>2247</v>
      </c>
    </row>
    <row r="81" spans="1:2" ht="14.5" x14ac:dyDescent="0.35">
      <c r="A81" t="s">
        <v>2379</v>
      </c>
      <c r="B81" s="27" t="s">
        <v>2261</v>
      </c>
    </row>
    <row r="82" spans="1:2" ht="14.5" x14ac:dyDescent="0.35">
      <c r="A82" t="s">
        <v>2398</v>
      </c>
      <c r="B82" s="27" t="s">
        <v>2292</v>
      </c>
    </row>
    <row r="83" spans="1:2" ht="14.5" x14ac:dyDescent="0.35">
      <c r="A83" t="s">
        <v>2418</v>
      </c>
      <c r="B83" s="27" t="s">
        <v>2330</v>
      </c>
    </row>
    <row r="84" spans="1:2" ht="14.5" x14ac:dyDescent="0.35">
      <c r="A84" t="s">
        <v>2472</v>
      </c>
      <c r="B84" s="27" t="s">
        <v>2347</v>
      </c>
    </row>
    <row r="85" spans="1:2" ht="14.5" x14ac:dyDescent="0.35">
      <c r="A85" t="s">
        <v>2478</v>
      </c>
      <c r="B85" s="27" t="s">
        <v>2356</v>
      </c>
    </row>
    <row r="86" spans="1:2" ht="14.5" x14ac:dyDescent="0.35">
      <c r="A86" t="s">
        <v>2483</v>
      </c>
      <c r="B86" s="27" t="s">
        <v>2379</v>
      </c>
    </row>
    <row r="87" spans="1:2" ht="14.5" x14ac:dyDescent="0.35">
      <c r="A87" t="s">
        <v>2488</v>
      </c>
      <c r="B87" s="27" t="s">
        <v>2418</v>
      </c>
    </row>
    <row r="88" spans="1:2" ht="14.5" x14ac:dyDescent="0.35">
      <c r="A88" t="s">
        <v>2493</v>
      </c>
      <c r="B88" s="27" t="s">
        <v>2510</v>
      </c>
    </row>
    <row r="89" spans="1:2" ht="14.5" x14ac:dyDescent="0.35">
      <c r="A89" t="s">
        <v>2510</v>
      </c>
      <c r="B89" s="27" t="s">
        <v>2551</v>
      </c>
    </row>
    <row r="90" spans="1:2" ht="14.5" x14ac:dyDescent="0.35">
      <c r="A90" t="s">
        <v>2551</v>
      </c>
      <c r="B90" s="27" t="s">
        <v>2574</v>
      </c>
    </row>
    <row r="91" spans="1:2" ht="14.5" x14ac:dyDescent="0.35">
      <c r="A91" t="s">
        <v>2574</v>
      </c>
      <c r="B91" s="27" t="s">
        <v>2579</v>
      </c>
    </row>
    <row r="92" spans="1:2" ht="14.5" x14ac:dyDescent="0.35">
      <c r="A92" t="s">
        <v>2579</v>
      </c>
      <c r="B92" s="27" t="s">
        <v>2688</v>
      </c>
    </row>
    <row r="93" spans="1:2" ht="14.5" x14ac:dyDescent="0.35">
      <c r="A93" t="s">
        <v>2636</v>
      </c>
      <c r="B93" s="27" t="s">
        <v>2698</v>
      </c>
    </row>
    <row r="94" spans="1:2" ht="14.5" x14ac:dyDescent="0.35">
      <c r="A94" t="s">
        <v>2688</v>
      </c>
      <c r="B94" s="27" t="s">
        <v>2706</v>
      </c>
    </row>
    <row r="95" spans="1:2" ht="14.5" x14ac:dyDescent="0.35">
      <c r="A95" t="s">
        <v>2698</v>
      </c>
      <c r="B95" s="27" t="s">
        <v>2758</v>
      </c>
    </row>
    <row r="96" spans="1:2" ht="14.5" x14ac:dyDescent="0.35">
      <c r="A96" t="s">
        <v>2758</v>
      </c>
      <c r="B96" s="27" t="s">
        <v>2781</v>
      </c>
    </row>
    <row r="97" spans="1:2" ht="14.5" x14ac:dyDescent="0.35">
      <c r="A97" t="s">
        <v>2781</v>
      </c>
      <c r="B97" s="27" t="s">
        <v>2792</v>
      </c>
    </row>
    <row r="98" spans="1:2" ht="14.5" x14ac:dyDescent="0.35">
      <c r="A98" t="s">
        <v>2801</v>
      </c>
      <c r="B98" s="27" t="s">
        <v>2801</v>
      </c>
    </row>
    <row r="99" spans="1:2" ht="14.5" x14ac:dyDescent="0.35">
      <c r="A99" t="s">
        <v>2816</v>
      </c>
      <c r="B99" s="27" t="s">
        <v>2816</v>
      </c>
    </row>
    <row r="100" spans="1:2" ht="14.5" x14ac:dyDescent="0.35">
      <c r="A100" t="s">
        <v>2827</v>
      </c>
      <c r="B100" s="27" t="s">
        <v>2827</v>
      </c>
    </row>
    <row r="101" spans="1:2" ht="14.5" x14ac:dyDescent="0.35">
      <c r="A101" t="s">
        <v>2880</v>
      </c>
      <c r="B101" s="27" t="s">
        <v>2856</v>
      </c>
    </row>
    <row r="102" spans="1:2" ht="14.5" x14ac:dyDescent="0.35">
      <c r="A102" t="s">
        <v>2966</v>
      </c>
      <c r="B102" s="27" t="s">
        <v>2880</v>
      </c>
    </row>
    <row r="103" spans="1:2" ht="14.5" x14ac:dyDescent="0.35">
      <c r="A103" t="s">
        <v>3026</v>
      </c>
      <c r="B103" s="27" t="s">
        <v>2899</v>
      </c>
    </row>
    <row r="104" spans="1:2" ht="14.5" x14ac:dyDescent="0.35">
      <c r="A104" t="s">
        <v>3096</v>
      </c>
      <c r="B104" s="27" t="s">
        <v>2966</v>
      </c>
    </row>
    <row r="105" spans="1:2" ht="14.5" x14ac:dyDescent="0.35">
      <c r="A105" t="s">
        <v>3250</v>
      </c>
      <c r="B105" s="27" t="s">
        <v>2980</v>
      </c>
    </row>
    <row r="106" spans="1:2" ht="14.5" x14ac:dyDescent="0.35">
      <c r="A106" t="s">
        <v>3255</v>
      </c>
      <c r="B106" s="27" t="s">
        <v>3010</v>
      </c>
    </row>
    <row r="107" spans="1:2" ht="14.5" x14ac:dyDescent="0.35">
      <c r="A107" t="s">
        <v>3260</v>
      </c>
      <c r="B107" s="27" t="s">
        <v>3026</v>
      </c>
    </row>
    <row r="108" spans="1:2" ht="14.5" x14ac:dyDescent="0.35">
      <c r="A108" t="s">
        <v>3265</v>
      </c>
      <c r="B108" s="27" t="s">
        <v>3096</v>
      </c>
    </row>
    <row r="109" spans="1:2" ht="14.5" x14ac:dyDescent="0.35">
      <c r="A109" t="s">
        <v>3416</v>
      </c>
      <c r="B109" s="27" t="s">
        <v>3363</v>
      </c>
    </row>
    <row r="110" spans="1:2" ht="14.5" x14ac:dyDescent="0.35">
      <c r="A110" t="s">
        <v>3471</v>
      </c>
      <c r="B110" s="27" t="s">
        <v>3384</v>
      </c>
    </row>
    <row r="111" spans="1:2" ht="14.5" x14ac:dyDescent="0.35">
      <c r="A111" t="s">
        <v>3562</v>
      </c>
      <c r="B111" s="27" t="s">
        <v>3416</v>
      </c>
    </row>
    <row r="112" spans="1:2" ht="14.5" x14ac:dyDescent="0.35">
      <c r="A112" t="s">
        <v>3597</v>
      </c>
      <c r="B112" s="27" t="s">
        <v>3471</v>
      </c>
    </row>
    <row r="113" spans="1:2" ht="14.5" x14ac:dyDescent="0.35">
      <c r="A113" t="s">
        <v>3618</v>
      </c>
      <c r="B113" s="27" t="s">
        <v>3501</v>
      </c>
    </row>
    <row r="114" spans="1:2" ht="14.5" x14ac:dyDescent="0.35">
      <c r="A114" t="s">
        <v>3623</v>
      </c>
      <c r="B114" s="27" t="s">
        <v>3509</v>
      </c>
    </row>
    <row r="115" spans="1:2" ht="14.5" x14ac:dyDescent="0.35">
      <c r="A115" t="s">
        <v>3703</v>
      </c>
      <c r="B115" s="27" t="s">
        <v>3557</v>
      </c>
    </row>
    <row r="116" spans="1:2" ht="14.5" x14ac:dyDescent="0.35">
      <c r="A116" t="s">
        <v>3714</v>
      </c>
      <c r="B116" s="27" t="s">
        <v>3562</v>
      </c>
    </row>
    <row r="117" spans="1:2" ht="14.5" x14ac:dyDescent="0.35">
      <c r="A117" t="s">
        <v>3781</v>
      </c>
      <c r="B117" s="27" t="s">
        <v>3597</v>
      </c>
    </row>
    <row r="118" spans="1:2" ht="14.5" x14ac:dyDescent="0.35">
      <c r="A118" t="s">
        <v>3790</v>
      </c>
      <c r="B118" s="27" t="s">
        <v>3618</v>
      </c>
    </row>
    <row r="119" spans="1:2" ht="14.5" x14ac:dyDescent="0.35">
      <c r="A119" t="s">
        <v>3816</v>
      </c>
      <c r="B119" s="27" t="s">
        <v>3703</v>
      </c>
    </row>
    <row r="120" spans="1:2" ht="14.5" x14ac:dyDescent="0.35">
      <c r="A120" t="s">
        <v>3853</v>
      </c>
      <c r="B120" s="27" t="s">
        <v>3710</v>
      </c>
    </row>
    <row r="121" spans="1:2" ht="14.5" x14ac:dyDescent="0.35">
      <c r="A121" t="s">
        <v>3896</v>
      </c>
      <c r="B121" s="27" t="s">
        <v>3712</v>
      </c>
    </row>
    <row r="122" spans="1:2" ht="14.5" x14ac:dyDescent="0.35">
      <c r="A122" t="s">
        <v>3913</v>
      </c>
      <c r="B122" s="27" t="s">
        <v>3714</v>
      </c>
    </row>
    <row r="123" spans="1:2" ht="14.5" x14ac:dyDescent="0.35">
      <c r="A123" t="s">
        <v>3971</v>
      </c>
      <c r="B123" s="27" t="s">
        <v>3781</v>
      </c>
    </row>
    <row r="124" spans="1:2" ht="14.5" x14ac:dyDescent="0.35">
      <c r="A124" t="s">
        <v>4098</v>
      </c>
      <c r="B124" s="27" t="s">
        <v>3874</v>
      </c>
    </row>
    <row r="125" spans="1:2" ht="14.5" x14ac:dyDescent="0.35">
      <c r="A125" t="s">
        <v>4252</v>
      </c>
      <c r="B125" s="27" t="s">
        <v>3884</v>
      </c>
    </row>
    <row r="126" spans="1:2" ht="14.5" x14ac:dyDescent="0.35">
      <c r="A126" t="s">
        <v>4278</v>
      </c>
      <c r="B126" s="27" t="s">
        <v>3890</v>
      </c>
    </row>
    <row r="127" spans="1:2" ht="14.5" x14ac:dyDescent="0.35">
      <c r="A127" t="s">
        <v>4285</v>
      </c>
      <c r="B127" s="27" t="s">
        <v>3896</v>
      </c>
    </row>
    <row r="128" spans="1:2" ht="14.5" x14ac:dyDescent="0.35">
      <c r="A128" t="s">
        <v>4299</v>
      </c>
      <c r="B128" s="27" t="s">
        <v>3904</v>
      </c>
    </row>
    <row r="129" spans="1:2" ht="14.5" x14ac:dyDescent="0.35">
      <c r="A129" t="s">
        <v>4394</v>
      </c>
      <c r="B129" s="27" t="s">
        <v>3913</v>
      </c>
    </row>
    <row r="130" spans="1:2" ht="14.5" x14ac:dyDescent="0.35">
      <c r="A130" t="s">
        <v>4400</v>
      </c>
      <c r="B130" s="27" t="s">
        <v>3939</v>
      </c>
    </row>
    <row r="131" spans="1:2" ht="14.5" x14ac:dyDescent="0.35">
      <c r="A131" t="s">
        <v>4415</v>
      </c>
      <c r="B131" s="27" t="s">
        <v>3971</v>
      </c>
    </row>
    <row r="132" spans="1:2" ht="14.5" x14ac:dyDescent="0.35">
      <c r="A132" t="s">
        <v>4475</v>
      </c>
      <c r="B132" s="27" t="s">
        <v>4148</v>
      </c>
    </row>
    <row r="133" spans="1:2" ht="14.5" x14ac:dyDescent="0.35">
      <c r="A133" t="s">
        <v>4543</v>
      </c>
      <c r="B133" s="27" t="s">
        <v>4252</v>
      </c>
    </row>
    <row r="134" spans="1:2" ht="14.5" x14ac:dyDescent="0.35">
      <c r="A134" t="s">
        <v>4622</v>
      </c>
      <c r="B134" s="27" t="s">
        <v>4276</v>
      </c>
    </row>
    <row r="135" spans="1:2" ht="14.5" x14ac:dyDescent="0.35">
      <c r="A135" t="s">
        <v>4668</v>
      </c>
      <c r="B135" s="27" t="s">
        <v>4278</v>
      </c>
    </row>
    <row r="136" spans="1:2" ht="14.5" x14ac:dyDescent="0.35">
      <c r="A136" t="s">
        <v>4671</v>
      </c>
      <c r="B136" s="27" t="s">
        <v>4285</v>
      </c>
    </row>
    <row r="137" spans="1:2" ht="14.5" x14ac:dyDescent="0.35">
      <c r="A137" t="s">
        <v>4686</v>
      </c>
      <c r="B137" s="27" t="s">
        <v>4299</v>
      </c>
    </row>
    <row r="138" spans="1:2" ht="14.5" x14ac:dyDescent="0.35">
      <c r="A138" t="s">
        <v>4691</v>
      </c>
      <c r="B138" s="27" t="s">
        <v>4349</v>
      </c>
    </row>
    <row r="139" spans="1:2" ht="14.5" x14ac:dyDescent="0.35">
      <c r="A139" t="s">
        <v>4696</v>
      </c>
      <c r="B139" s="27" t="s">
        <v>4394</v>
      </c>
    </row>
    <row r="140" spans="1:2" ht="14.5" x14ac:dyDescent="0.35">
      <c r="A140" t="s">
        <v>4701</v>
      </c>
      <c r="B140" s="27" t="s">
        <v>4460</v>
      </c>
    </row>
    <row r="141" spans="1:2" ht="14.5" x14ac:dyDescent="0.35">
      <c r="A141" t="s">
        <v>4706</v>
      </c>
      <c r="B141" s="27" t="s">
        <v>4475</v>
      </c>
    </row>
    <row r="142" spans="1:2" ht="14.5" x14ac:dyDescent="0.35">
      <c r="A142" t="s">
        <v>4711</v>
      </c>
      <c r="B142" s="27" t="s">
        <v>4487</v>
      </c>
    </row>
    <row r="143" spans="1:2" ht="14.5" x14ac:dyDescent="0.35">
      <c r="A143" t="s">
        <v>4715</v>
      </c>
      <c r="B143" s="27" t="s">
        <v>4489</v>
      </c>
    </row>
    <row r="144" spans="1:2" ht="14.5" x14ac:dyDescent="0.35">
      <c r="A144" t="s">
        <v>4720</v>
      </c>
      <c r="B144" s="27" t="s">
        <v>4491</v>
      </c>
    </row>
    <row r="145" spans="1:2" ht="14.5" x14ac:dyDescent="0.35">
      <c r="A145" t="s">
        <v>4724</v>
      </c>
      <c r="B145" s="27" t="s">
        <v>4543</v>
      </c>
    </row>
    <row r="146" spans="1:2" ht="14.5" x14ac:dyDescent="0.35">
      <c r="A146" t="s">
        <v>4728</v>
      </c>
      <c r="B146" s="27" t="s">
        <v>4551</v>
      </c>
    </row>
    <row r="147" spans="1:2" ht="14.5" x14ac:dyDescent="0.35">
      <c r="A147" t="s">
        <v>4733</v>
      </c>
      <c r="B147" s="27" t="s">
        <v>4599</v>
      </c>
    </row>
    <row r="148" spans="1:2" ht="14.5" x14ac:dyDescent="0.35">
      <c r="A148" t="s">
        <v>4738</v>
      </c>
      <c r="B148" s="27" t="s">
        <v>4622</v>
      </c>
    </row>
    <row r="149" spans="1:2" ht="14.5" x14ac:dyDescent="0.35">
      <c r="A149" t="s">
        <v>4743</v>
      </c>
      <c r="B149" s="27" t="s">
        <v>4973</v>
      </c>
    </row>
    <row r="150" spans="1:2" ht="14.5" x14ac:dyDescent="0.35">
      <c r="A150" t="s">
        <v>4748</v>
      </c>
      <c r="B150" s="27" t="s">
        <v>4984</v>
      </c>
    </row>
    <row r="151" spans="1:2" ht="14.5" x14ac:dyDescent="0.35">
      <c r="A151" t="s">
        <v>4753</v>
      </c>
      <c r="B151" s="27" t="s">
        <v>5070</v>
      </c>
    </row>
    <row r="152" spans="1:2" ht="14.5" x14ac:dyDescent="0.35">
      <c r="A152" t="s">
        <v>4758</v>
      </c>
      <c r="B152" s="27" t="s">
        <v>5143</v>
      </c>
    </row>
    <row r="153" spans="1:2" ht="14.5" x14ac:dyDescent="0.35">
      <c r="A153" t="s">
        <v>4763</v>
      </c>
      <c r="B153" s="27" t="s">
        <v>5154</v>
      </c>
    </row>
    <row r="154" spans="1:2" ht="14.5" x14ac:dyDescent="0.35">
      <c r="A154" t="s">
        <v>4768</v>
      </c>
      <c r="B154" s="27" t="s">
        <v>5164</v>
      </c>
    </row>
    <row r="155" spans="1:2" ht="14.5" x14ac:dyDescent="0.35">
      <c r="A155" t="s">
        <v>4773</v>
      </c>
      <c r="B155" s="27" t="s">
        <v>5175</v>
      </c>
    </row>
    <row r="156" spans="1:2" ht="14.5" x14ac:dyDescent="0.35">
      <c r="A156" t="s">
        <v>4778</v>
      </c>
      <c r="B156" s="27" t="s">
        <v>5211</v>
      </c>
    </row>
    <row r="157" spans="1:2" ht="14.5" x14ac:dyDescent="0.35">
      <c r="A157" t="s">
        <v>4783</v>
      </c>
      <c r="B157" s="27" t="s">
        <v>5216</v>
      </c>
    </row>
    <row r="158" spans="1:2" ht="14.5" x14ac:dyDescent="0.35">
      <c r="A158" t="s">
        <v>4788</v>
      </c>
      <c r="B158" s="27" t="s">
        <v>5242</v>
      </c>
    </row>
    <row r="159" spans="1:2" ht="14.5" x14ac:dyDescent="0.35">
      <c r="A159" t="s">
        <v>4799</v>
      </c>
      <c r="B159" s="27" t="s">
        <v>5347</v>
      </c>
    </row>
    <row r="160" spans="1:2" ht="14.5" x14ac:dyDescent="0.35">
      <c r="A160" t="s">
        <v>4805</v>
      </c>
      <c r="B160" s="27" t="s">
        <v>5381</v>
      </c>
    </row>
    <row r="161" spans="1:2" ht="14.5" x14ac:dyDescent="0.35">
      <c r="A161" t="s">
        <v>4810</v>
      </c>
      <c r="B161" s="27" t="s">
        <v>5413</v>
      </c>
    </row>
    <row r="162" spans="1:2" ht="14.5" x14ac:dyDescent="0.35">
      <c r="A162" t="s">
        <v>4817</v>
      </c>
      <c r="B162" s="27" t="s">
        <v>5427</v>
      </c>
    </row>
    <row r="163" spans="1:2" ht="14.5" x14ac:dyDescent="0.35">
      <c r="A163" t="s">
        <v>4822</v>
      </c>
      <c r="B163" s="27" t="s">
        <v>5430</v>
      </c>
    </row>
    <row r="164" spans="1:2" ht="14.5" x14ac:dyDescent="0.35">
      <c r="A164" t="s">
        <v>4827</v>
      </c>
      <c r="B164" s="27" t="s">
        <v>5504</v>
      </c>
    </row>
    <row r="165" spans="1:2" ht="14.5" x14ac:dyDescent="0.35">
      <c r="A165" t="s">
        <v>4832</v>
      </c>
      <c r="B165" s="27" t="s">
        <v>5510</v>
      </c>
    </row>
    <row r="166" spans="1:2" ht="14.5" x14ac:dyDescent="0.35">
      <c r="A166" t="s">
        <v>4837</v>
      </c>
      <c r="B166" s="27" t="s">
        <v>5548</v>
      </c>
    </row>
    <row r="167" spans="1:2" ht="14.5" x14ac:dyDescent="0.35">
      <c r="A167" t="s">
        <v>4842</v>
      </c>
      <c r="B167" s="27" t="s">
        <v>5571</v>
      </c>
    </row>
    <row r="168" spans="1:2" ht="14.5" x14ac:dyDescent="0.35">
      <c r="A168" t="s">
        <v>4847</v>
      </c>
      <c r="B168" s="27" t="s">
        <v>5587</v>
      </c>
    </row>
    <row r="169" spans="1:2" ht="14.5" x14ac:dyDescent="0.35">
      <c r="A169" t="s">
        <v>4852</v>
      </c>
      <c r="B169" s="27" t="s">
        <v>5595</v>
      </c>
    </row>
    <row r="170" spans="1:2" ht="14.5" x14ac:dyDescent="0.35">
      <c r="A170" t="s">
        <v>4857</v>
      </c>
      <c r="B170" s="27" t="s">
        <v>5607</v>
      </c>
    </row>
    <row r="171" spans="1:2" ht="14.5" x14ac:dyDescent="0.35">
      <c r="A171" t="s">
        <v>4875</v>
      </c>
      <c r="B171" s="27" t="s">
        <v>5629</v>
      </c>
    </row>
    <row r="172" spans="1:2" ht="14.5" x14ac:dyDescent="0.35">
      <c r="A172" t="s">
        <v>4880</v>
      </c>
      <c r="B172" s="27" t="s">
        <v>5648</v>
      </c>
    </row>
    <row r="173" spans="1:2" ht="14.5" x14ac:dyDescent="0.35">
      <c r="A173" t="s">
        <v>4885</v>
      </c>
      <c r="B173" s="27" t="s">
        <v>5673</v>
      </c>
    </row>
    <row r="174" spans="1:2" ht="14.5" x14ac:dyDescent="0.35">
      <c r="A174" t="s">
        <v>4911</v>
      </c>
      <c r="B174" s="27" t="s">
        <v>5962</v>
      </c>
    </row>
    <row r="175" spans="1:2" ht="14.5" x14ac:dyDescent="0.35">
      <c r="A175" t="s">
        <v>4973</v>
      </c>
      <c r="B175" s="27" t="s">
        <v>5974</v>
      </c>
    </row>
    <row r="176" spans="1:2" ht="14.5" x14ac:dyDescent="0.35">
      <c r="A176" t="s">
        <v>4978</v>
      </c>
      <c r="B176" s="27" t="s">
        <v>6020</v>
      </c>
    </row>
    <row r="177" spans="1:2" ht="14.5" x14ac:dyDescent="0.35">
      <c r="A177" t="s">
        <v>4986</v>
      </c>
      <c r="B177" s="27" t="s">
        <v>6066</v>
      </c>
    </row>
    <row r="178" spans="1:2" ht="14.5" x14ac:dyDescent="0.35">
      <c r="A178" t="s">
        <v>4998</v>
      </c>
      <c r="B178" s="27" t="s">
        <v>6106</v>
      </c>
    </row>
    <row r="179" spans="1:2" ht="14.5" x14ac:dyDescent="0.35">
      <c r="A179" t="s">
        <v>5143</v>
      </c>
      <c r="B179" s="27" t="s">
        <v>6139</v>
      </c>
    </row>
    <row r="180" spans="1:2" ht="14.5" x14ac:dyDescent="0.35">
      <c r="A180" t="s">
        <v>5154</v>
      </c>
      <c r="B180" s="27" t="s">
        <v>6175</v>
      </c>
    </row>
    <row r="181" spans="1:2" ht="14.5" x14ac:dyDescent="0.35">
      <c r="A181" t="s">
        <v>5164</v>
      </c>
      <c r="B181" s="27" t="s">
        <v>6182</v>
      </c>
    </row>
    <row r="182" spans="1:2" ht="14.5" x14ac:dyDescent="0.35">
      <c r="A182" t="s">
        <v>5175</v>
      </c>
      <c r="B182" s="27" t="s">
        <v>6201</v>
      </c>
    </row>
    <row r="183" spans="1:2" ht="14.5" x14ac:dyDescent="0.35">
      <c r="A183" t="s">
        <v>5211</v>
      </c>
      <c r="B183" s="27" t="s">
        <v>6796</v>
      </c>
    </row>
    <row r="184" spans="1:2" ht="14.5" x14ac:dyDescent="0.35">
      <c r="A184" t="s">
        <v>5216</v>
      </c>
    </row>
    <row r="185" spans="1:2" ht="14.5" x14ac:dyDescent="0.35">
      <c r="A185" t="s">
        <v>5413</v>
      </c>
    </row>
    <row r="186" spans="1:2" ht="14.5" x14ac:dyDescent="0.35">
      <c r="A186" t="s">
        <v>5430</v>
      </c>
    </row>
    <row r="187" spans="1:2" ht="14.5" x14ac:dyDescent="0.35">
      <c r="A187" t="s">
        <v>5510</v>
      </c>
    </row>
    <row r="188" spans="1:2" ht="14.5" x14ac:dyDescent="0.35">
      <c r="A188" t="s">
        <v>5571</v>
      </c>
    </row>
    <row r="189" spans="1:2" ht="14.5" x14ac:dyDescent="0.35">
      <c r="A189" t="s">
        <v>5595</v>
      </c>
    </row>
    <row r="190" spans="1:2" ht="14.5" x14ac:dyDescent="0.35">
      <c r="A190" t="s">
        <v>5607</v>
      </c>
    </row>
    <row r="191" spans="1:2" ht="14.5" x14ac:dyDescent="0.35">
      <c r="A191" t="s">
        <v>5629</v>
      </c>
    </row>
    <row r="192" spans="1:2" ht="14.5" x14ac:dyDescent="0.35">
      <c r="A192" t="s">
        <v>5648</v>
      </c>
    </row>
    <row r="193" spans="1:1" ht="14.5" x14ac:dyDescent="0.35">
      <c r="A193" t="s">
        <v>5673</v>
      </c>
    </row>
    <row r="194" spans="1:1" ht="14.5" x14ac:dyDescent="0.35">
      <c r="A194" t="s">
        <v>5681</v>
      </c>
    </row>
    <row r="195" spans="1:1" ht="14.5" x14ac:dyDescent="0.35">
      <c r="A195" t="s">
        <v>5689</v>
      </c>
    </row>
    <row r="196" spans="1:1" ht="14.5" x14ac:dyDescent="0.35">
      <c r="A196" t="s">
        <v>5732</v>
      </c>
    </row>
    <row r="197" spans="1:1" ht="14.5" x14ac:dyDescent="0.35">
      <c r="A197" t="s">
        <v>5835</v>
      </c>
    </row>
    <row r="198" spans="1:1" ht="14.5" x14ac:dyDescent="0.35">
      <c r="A198" t="s">
        <v>6020</v>
      </c>
    </row>
    <row r="199" spans="1:1" ht="14.5" x14ac:dyDescent="0.35">
      <c r="A199" t="s">
        <v>6106</v>
      </c>
    </row>
    <row r="200" spans="1:1" ht="14.5" x14ac:dyDescent="0.35">
      <c r="A200" t="s">
        <v>6139</v>
      </c>
    </row>
    <row r="201" spans="1:1" ht="14.5" x14ac:dyDescent="0.35">
      <c r="A201" t="s">
        <v>6182</v>
      </c>
    </row>
    <row r="202" spans="1:1" ht="14.5" x14ac:dyDescent="0.35">
      <c r="A202" t="s">
        <v>6201</v>
      </c>
    </row>
    <row r="203" spans="1:1" ht="14.5" x14ac:dyDescent="0.35">
      <c r="A203" t="s">
        <v>6796</v>
      </c>
    </row>
    <row r="204" spans="1:1" ht="14.5" x14ac:dyDescent="0.35">
      <c r="A204" t="s">
        <v>4993</v>
      </c>
    </row>
    <row r="205" spans="1:1" ht="14.5" x14ac:dyDescent="0.35">
      <c r="A205"/>
    </row>
    <row r="206" spans="1:1" ht="14.5" x14ac:dyDescent="0.35">
      <c r="A206"/>
    </row>
    <row r="207" spans="1:1" ht="14.5" x14ac:dyDescent="0.35">
      <c r="A207"/>
    </row>
    <row r="208" spans="1:1" ht="14.5" x14ac:dyDescent="0.35">
      <c r="A208"/>
    </row>
    <row r="209" spans="1:1" ht="14.5" x14ac:dyDescent="0.35">
      <c r="A209"/>
    </row>
    <row r="210" spans="1:1" ht="14.5" x14ac:dyDescent="0.35">
      <c r="A210"/>
    </row>
    <row r="211" spans="1:1" ht="14.5" x14ac:dyDescent="0.35">
      <c r="A211"/>
    </row>
    <row r="212" spans="1:1" ht="14.5" x14ac:dyDescent="0.35">
      <c r="A212"/>
    </row>
    <row r="213" spans="1:1" ht="14.5" x14ac:dyDescent="0.35">
      <c r="A213"/>
    </row>
    <row r="214" spans="1:1" ht="14.5" x14ac:dyDescent="0.35">
      <c r="A214"/>
    </row>
    <row r="215" spans="1:1" ht="14.5" x14ac:dyDescent="0.35">
      <c r="A215"/>
    </row>
    <row r="216" spans="1:1" ht="14.5" x14ac:dyDescent="0.35">
      <c r="A216"/>
    </row>
    <row r="217" spans="1:1" ht="14.5" x14ac:dyDescent="0.35">
      <c r="A217"/>
    </row>
    <row r="218" spans="1:1" ht="14.5" x14ac:dyDescent="0.35">
      <c r="A218"/>
    </row>
    <row r="219" spans="1:1" ht="14.5" x14ac:dyDescent="0.35">
      <c r="A219"/>
    </row>
    <row r="220" spans="1:1" ht="14.5" x14ac:dyDescent="0.35">
      <c r="A220"/>
    </row>
    <row r="221" spans="1:1" ht="14.5" x14ac:dyDescent="0.35">
      <c r="A221"/>
    </row>
    <row r="222" spans="1:1" ht="14.5" x14ac:dyDescent="0.35">
      <c r="A222"/>
    </row>
    <row r="223" spans="1:1" ht="14.5" x14ac:dyDescent="0.35">
      <c r="A223"/>
    </row>
    <row r="224" spans="1:1" ht="14.5" x14ac:dyDescent="0.35">
      <c r="A224"/>
    </row>
    <row r="225" spans="1:1" ht="14.5" x14ac:dyDescent="0.35">
      <c r="A225"/>
    </row>
    <row r="226" spans="1:1" ht="14.5" x14ac:dyDescent="0.35">
      <c r="A226"/>
    </row>
    <row r="227" spans="1:1" ht="14.5" x14ac:dyDescent="0.35">
      <c r="A227"/>
    </row>
    <row r="228" spans="1:1" ht="14.5" x14ac:dyDescent="0.35">
      <c r="A228"/>
    </row>
    <row r="229" spans="1:1" ht="14.5" x14ac:dyDescent="0.35">
      <c r="A229"/>
    </row>
    <row r="230" spans="1:1" ht="14.5" x14ac:dyDescent="0.35">
      <c r="A230"/>
    </row>
    <row r="231" spans="1:1" ht="14.5" x14ac:dyDescent="0.35">
      <c r="A231"/>
    </row>
    <row r="232" spans="1:1" ht="14.5" x14ac:dyDescent="0.35">
      <c r="A232"/>
    </row>
    <row r="233" spans="1:1" ht="14.5" x14ac:dyDescent="0.35">
      <c r="A233"/>
    </row>
    <row r="234" spans="1:1" ht="14.5" x14ac:dyDescent="0.35">
      <c r="A234"/>
    </row>
    <row r="235" spans="1:1" ht="14.5" x14ac:dyDescent="0.35">
      <c r="A235"/>
    </row>
    <row r="236" spans="1:1" ht="14.5" x14ac:dyDescent="0.35">
      <c r="A236"/>
    </row>
    <row r="237" spans="1:1" ht="14.5" x14ac:dyDescent="0.35">
      <c r="A237"/>
    </row>
    <row r="238" spans="1:1" ht="14.5" x14ac:dyDescent="0.35">
      <c r="A238"/>
    </row>
    <row r="239" spans="1:1" ht="14.5" x14ac:dyDescent="0.35">
      <c r="A239"/>
    </row>
    <row r="240" spans="1:1" ht="14.5" x14ac:dyDescent="0.35">
      <c r="A240"/>
    </row>
    <row r="241" spans="1:1" ht="14.5" x14ac:dyDescent="0.35">
      <c r="A241"/>
    </row>
    <row r="242" spans="1:1" ht="14.5" x14ac:dyDescent="0.35">
      <c r="A242"/>
    </row>
    <row r="243" spans="1:1" ht="14.5" x14ac:dyDescent="0.35">
      <c r="A243"/>
    </row>
    <row r="244" spans="1:1" ht="14.5" x14ac:dyDescent="0.35">
      <c r="A244"/>
    </row>
    <row r="245" spans="1:1" ht="14.5" x14ac:dyDescent="0.35">
      <c r="A245"/>
    </row>
    <row r="246" spans="1:1" ht="14.5" x14ac:dyDescent="0.35">
      <c r="A246"/>
    </row>
    <row r="247" spans="1:1" ht="14.5" x14ac:dyDescent="0.35">
      <c r="A247"/>
    </row>
    <row r="248" spans="1:1" ht="14.5" x14ac:dyDescent="0.35">
      <c r="A248"/>
    </row>
    <row r="249" spans="1:1" ht="14.5" x14ac:dyDescent="0.35">
      <c r="A249"/>
    </row>
    <row r="250" spans="1:1" ht="14.5" x14ac:dyDescent="0.35">
      <c r="A250"/>
    </row>
    <row r="251" spans="1:1" ht="14.5" x14ac:dyDescent="0.35">
      <c r="A251"/>
    </row>
    <row r="252" spans="1:1" ht="14.5" x14ac:dyDescent="0.35">
      <c r="A252"/>
    </row>
    <row r="253" spans="1:1" ht="14.5" x14ac:dyDescent="0.35">
      <c r="A253"/>
    </row>
    <row r="254" spans="1:1" ht="14.5" x14ac:dyDescent="0.35">
      <c r="A254"/>
    </row>
    <row r="255" spans="1:1" ht="14.5" x14ac:dyDescent="0.35">
      <c r="A255"/>
    </row>
    <row r="256" spans="1:1" ht="14.5" x14ac:dyDescent="0.35">
      <c r="A256"/>
    </row>
    <row r="257" spans="1:1" ht="14.5" x14ac:dyDescent="0.35">
      <c r="A257"/>
    </row>
    <row r="258" spans="1:1" ht="14.5" x14ac:dyDescent="0.35">
      <c r="A258"/>
    </row>
    <row r="259" spans="1:1" ht="14.5" x14ac:dyDescent="0.35">
      <c r="A259"/>
    </row>
    <row r="260" spans="1:1" ht="14.5" x14ac:dyDescent="0.35">
      <c r="A260"/>
    </row>
    <row r="261" spans="1:1" ht="14.5" x14ac:dyDescent="0.35">
      <c r="A261"/>
    </row>
    <row r="262" spans="1:1" ht="14.5" x14ac:dyDescent="0.35">
      <c r="A262"/>
    </row>
    <row r="263" spans="1:1" ht="14.5" x14ac:dyDescent="0.35">
      <c r="A263"/>
    </row>
    <row r="264" spans="1:1" ht="14.5" x14ac:dyDescent="0.35">
      <c r="A264"/>
    </row>
    <row r="265" spans="1:1" ht="14.5" x14ac:dyDescent="0.35">
      <c r="A265"/>
    </row>
    <row r="266" spans="1:1" ht="14.5" x14ac:dyDescent="0.35">
      <c r="A266"/>
    </row>
    <row r="267" spans="1:1" ht="14.5" x14ac:dyDescent="0.35">
      <c r="A267"/>
    </row>
    <row r="268" spans="1:1" ht="14.5" x14ac:dyDescent="0.35">
      <c r="A268"/>
    </row>
    <row r="269" spans="1:1" ht="14.5" x14ac:dyDescent="0.35">
      <c r="A269"/>
    </row>
    <row r="270" spans="1:1" ht="14.5" x14ac:dyDescent="0.35">
      <c r="A270"/>
    </row>
    <row r="271" spans="1:1" ht="14.5" x14ac:dyDescent="0.35">
      <c r="A271"/>
    </row>
    <row r="272" spans="1:1" ht="14.5" x14ac:dyDescent="0.35">
      <c r="A272"/>
    </row>
    <row r="273" spans="1:1" ht="14.5" x14ac:dyDescent="0.35">
      <c r="A273"/>
    </row>
    <row r="274" spans="1:1" ht="14.5" x14ac:dyDescent="0.35">
      <c r="A274"/>
    </row>
    <row r="275" spans="1:1" ht="14.5" x14ac:dyDescent="0.35">
      <c r="A275"/>
    </row>
    <row r="276" spans="1:1" ht="14.5" x14ac:dyDescent="0.35">
      <c r="A276"/>
    </row>
    <row r="277" spans="1:1" ht="14.5" x14ac:dyDescent="0.35">
      <c r="A277"/>
    </row>
    <row r="278" spans="1:1" ht="14.5" x14ac:dyDescent="0.35">
      <c r="A278"/>
    </row>
    <row r="279" spans="1:1" ht="14.5" x14ac:dyDescent="0.35">
      <c r="A279"/>
    </row>
    <row r="280" spans="1:1" ht="14.5" x14ac:dyDescent="0.35">
      <c r="A280"/>
    </row>
    <row r="281" spans="1:1" ht="14.5" x14ac:dyDescent="0.35">
      <c r="A281"/>
    </row>
    <row r="282" spans="1:1" ht="14.5" x14ac:dyDescent="0.35">
      <c r="A282"/>
    </row>
    <row r="283" spans="1:1" ht="14.5" x14ac:dyDescent="0.35">
      <c r="A283"/>
    </row>
    <row r="284" spans="1:1" ht="14.5" x14ac:dyDescent="0.35">
      <c r="A284"/>
    </row>
    <row r="285" spans="1:1" ht="14.5" x14ac:dyDescent="0.35">
      <c r="A285"/>
    </row>
    <row r="286" spans="1:1" ht="14.5" x14ac:dyDescent="0.35">
      <c r="A286"/>
    </row>
    <row r="287" spans="1:1" ht="14.5" x14ac:dyDescent="0.35">
      <c r="A287"/>
    </row>
    <row r="288" spans="1:1" ht="14.5" x14ac:dyDescent="0.35">
      <c r="A288"/>
    </row>
    <row r="289" spans="1:1" ht="14.5" x14ac:dyDescent="0.35">
      <c r="A289"/>
    </row>
    <row r="290" spans="1:1" ht="14.5" x14ac:dyDescent="0.35">
      <c r="A290"/>
    </row>
    <row r="291" spans="1:1" ht="14.5" x14ac:dyDescent="0.35">
      <c r="A291"/>
    </row>
    <row r="292" spans="1:1" ht="14.5" x14ac:dyDescent="0.35">
      <c r="A292"/>
    </row>
    <row r="293" spans="1:1" ht="14.5" x14ac:dyDescent="0.35">
      <c r="A293"/>
    </row>
    <row r="294" spans="1:1" ht="14.5" x14ac:dyDescent="0.35">
      <c r="A294"/>
    </row>
    <row r="295" spans="1:1" ht="14.5" x14ac:dyDescent="0.35">
      <c r="A295"/>
    </row>
    <row r="296" spans="1:1" ht="14.5" x14ac:dyDescent="0.35">
      <c r="A296"/>
    </row>
    <row r="297" spans="1:1" ht="14.5" x14ac:dyDescent="0.35">
      <c r="A297"/>
    </row>
    <row r="298" spans="1:1" ht="14.5" x14ac:dyDescent="0.35">
      <c r="A298"/>
    </row>
    <row r="299" spans="1:1" ht="14.5" x14ac:dyDescent="0.35">
      <c r="A299"/>
    </row>
    <row r="300" spans="1:1" ht="14.5" x14ac:dyDescent="0.35">
      <c r="A300"/>
    </row>
    <row r="301" spans="1:1" ht="14.5" x14ac:dyDescent="0.35">
      <c r="A301"/>
    </row>
    <row r="302" spans="1:1" ht="14.5" x14ac:dyDescent="0.35">
      <c r="A302"/>
    </row>
    <row r="303" spans="1:1" ht="14.5" x14ac:dyDescent="0.35">
      <c r="A303"/>
    </row>
    <row r="304" spans="1:1" ht="14.5" x14ac:dyDescent="0.35">
      <c r="A304"/>
    </row>
    <row r="305" spans="1:1" ht="14.5" x14ac:dyDescent="0.35">
      <c r="A305"/>
    </row>
    <row r="306" spans="1:1" ht="14.5" x14ac:dyDescent="0.35">
      <c r="A306"/>
    </row>
    <row r="307" spans="1:1" ht="14.5" x14ac:dyDescent="0.35">
      <c r="A307"/>
    </row>
    <row r="308" spans="1:1" ht="14.5" x14ac:dyDescent="0.35">
      <c r="A308"/>
    </row>
    <row r="309" spans="1:1" ht="14.5" x14ac:dyDescent="0.35">
      <c r="A309"/>
    </row>
    <row r="310" spans="1:1" ht="14.5" x14ac:dyDescent="0.35">
      <c r="A310"/>
    </row>
    <row r="311" spans="1:1" ht="14.5" x14ac:dyDescent="0.35">
      <c r="A311"/>
    </row>
    <row r="312" spans="1:1" ht="14.5" x14ac:dyDescent="0.35">
      <c r="A312"/>
    </row>
    <row r="313" spans="1:1" ht="14.5" x14ac:dyDescent="0.35">
      <c r="A313"/>
    </row>
    <row r="314" spans="1:1" ht="14.5" x14ac:dyDescent="0.35">
      <c r="A314"/>
    </row>
    <row r="315" spans="1:1" ht="14.5" x14ac:dyDescent="0.35">
      <c r="A315"/>
    </row>
    <row r="316" spans="1:1" ht="14.5" x14ac:dyDescent="0.35">
      <c r="A316"/>
    </row>
    <row r="317" spans="1:1" ht="14.5" x14ac:dyDescent="0.35">
      <c r="A317"/>
    </row>
    <row r="318" spans="1:1" ht="14.5" x14ac:dyDescent="0.35">
      <c r="A318"/>
    </row>
    <row r="319" spans="1:1" ht="14.5" x14ac:dyDescent="0.35">
      <c r="A319"/>
    </row>
    <row r="320" spans="1:1" ht="14.5" x14ac:dyDescent="0.35">
      <c r="A320"/>
    </row>
    <row r="321" spans="1:1" ht="14.5" x14ac:dyDescent="0.35">
      <c r="A321"/>
    </row>
    <row r="322" spans="1:1" ht="14.5" x14ac:dyDescent="0.35">
      <c r="A322"/>
    </row>
    <row r="323" spans="1:1" ht="14.5" x14ac:dyDescent="0.35">
      <c r="A323"/>
    </row>
    <row r="324" spans="1:1" ht="14.5" x14ac:dyDescent="0.35">
      <c r="A324"/>
    </row>
    <row r="325" spans="1:1" ht="14.5" x14ac:dyDescent="0.35">
      <c r="A325"/>
    </row>
    <row r="326" spans="1:1" ht="14.5" x14ac:dyDescent="0.35">
      <c r="A326"/>
    </row>
    <row r="327" spans="1:1" ht="14.5" x14ac:dyDescent="0.35">
      <c r="A327"/>
    </row>
    <row r="328" spans="1:1" ht="14.5" x14ac:dyDescent="0.35">
      <c r="A328"/>
    </row>
    <row r="329" spans="1:1" ht="14.5" x14ac:dyDescent="0.35">
      <c r="A329"/>
    </row>
    <row r="330" spans="1:1" ht="14.5" x14ac:dyDescent="0.35">
      <c r="A330"/>
    </row>
    <row r="331" spans="1:1" ht="14.5" x14ac:dyDescent="0.35">
      <c r="A331"/>
    </row>
    <row r="332" spans="1:1" ht="14.5" x14ac:dyDescent="0.35">
      <c r="A332"/>
    </row>
    <row r="333" spans="1:1" ht="14.5" x14ac:dyDescent="0.35">
      <c r="A333"/>
    </row>
    <row r="334" spans="1:1" ht="14.5" x14ac:dyDescent="0.35">
      <c r="A334"/>
    </row>
    <row r="335" spans="1:1" ht="14.5" x14ac:dyDescent="0.35">
      <c r="A335"/>
    </row>
    <row r="336" spans="1:1" ht="14.5" x14ac:dyDescent="0.35">
      <c r="A336"/>
    </row>
    <row r="337" spans="1:1" ht="14.5" x14ac:dyDescent="0.35">
      <c r="A337"/>
    </row>
    <row r="338" spans="1:1" ht="14.5" x14ac:dyDescent="0.35">
      <c r="A338"/>
    </row>
    <row r="339" spans="1:1" ht="14.5" x14ac:dyDescent="0.35">
      <c r="A339"/>
    </row>
    <row r="340" spans="1:1" ht="14.5" x14ac:dyDescent="0.35">
      <c r="A340"/>
    </row>
    <row r="341" spans="1:1" ht="14.5" x14ac:dyDescent="0.35">
      <c r="A341"/>
    </row>
    <row r="342" spans="1:1" ht="14.5" x14ac:dyDescent="0.35">
      <c r="A342"/>
    </row>
    <row r="343" spans="1:1" ht="14.5" x14ac:dyDescent="0.35">
      <c r="A343"/>
    </row>
    <row r="344" spans="1:1" ht="14.5" x14ac:dyDescent="0.35">
      <c r="A344"/>
    </row>
    <row r="345" spans="1:1" ht="14.5" x14ac:dyDescent="0.35">
      <c r="A345"/>
    </row>
    <row r="346" spans="1:1" ht="14.5" x14ac:dyDescent="0.35">
      <c r="A346"/>
    </row>
    <row r="347" spans="1:1" ht="14.5" x14ac:dyDescent="0.35">
      <c r="A347"/>
    </row>
    <row r="348" spans="1:1" ht="14.5" x14ac:dyDescent="0.35">
      <c r="A348"/>
    </row>
    <row r="349" spans="1:1" ht="14.5" x14ac:dyDescent="0.35">
      <c r="A349"/>
    </row>
    <row r="350" spans="1:1" ht="14.5" x14ac:dyDescent="0.35">
      <c r="A350"/>
    </row>
    <row r="351" spans="1:1" ht="14.5" x14ac:dyDescent="0.35">
      <c r="A351"/>
    </row>
    <row r="352" spans="1:1" ht="14.5" x14ac:dyDescent="0.35">
      <c r="A352"/>
    </row>
    <row r="353" spans="1:1" ht="14.5" x14ac:dyDescent="0.35">
      <c r="A353"/>
    </row>
    <row r="354" spans="1:1" ht="14.5" x14ac:dyDescent="0.35">
      <c r="A354"/>
    </row>
    <row r="355" spans="1:1" ht="14.5" x14ac:dyDescent="0.35">
      <c r="A355"/>
    </row>
    <row r="356" spans="1:1" ht="14.5" x14ac:dyDescent="0.35">
      <c r="A356"/>
    </row>
    <row r="357" spans="1:1" ht="14.5" x14ac:dyDescent="0.35">
      <c r="A357"/>
    </row>
    <row r="358" spans="1:1" ht="14.5" x14ac:dyDescent="0.35">
      <c r="A358"/>
    </row>
    <row r="359" spans="1:1" ht="14.5" x14ac:dyDescent="0.35">
      <c r="A359"/>
    </row>
    <row r="360" spans="1:1" ht="14.5" x14ac:dyDescent="0.35">
      <c r="A360"/>
    </row>
    <row r="361" spans="1:1" ht="14.5" x14ac:dyDescent="0.35">
      <c r="A361"/>
    </row>
    <row r="362" spans="1:1" ht="14.5" x14ac:dyDescent="0.35">
      <c r="A362"/>
    </row>
    <row r="363" spans="1:1" ht="14.5" x14ac:dyDescent="0.35">
      <c r="A363"/>
    </row>
    <row r="364" spans="1:1" ht="14.5" x14ac:dyDescent="0.35">
      <c r="A364"/>
    </row>
    <row r="365" spans="1:1" ht="14.5" x14ac:dyDescent="0.35">
      <c r="A365"/>
    </row>
    <row r="366" spans="1:1" ht="14.5" x14ac:dyDescent="0.35">
      <c r="A366"/>
    </row>
    <row r="367" spans="1:1" ht="14.5" x14ac:dyDescent="0.35">
      <c r="A367"/>
    </row>
    <row r="368" spans="1:1" ht="14.5" x14ac:dyDescent="0.35">
      <c r="A368"/>
    </row>
    <row r="369" spans="1:1" ht="14.5" x14ac:dyDescent="0.35">
      <c r="A369"/>
    </row>
    <row r="370" spans="1:1" ht="14.5" x14ac:dyDescent="0.35">
      <c r="A370"/>
    </row>
    <row r="371" spans="1:1" ht="14.5" x14ac:dyDescent="0.35">
      <c r="A371"/>
    </row>
    <row r="372" spans="1:1" ht="14.5" x14ac:dyDescent="0.35">
      <c r="A372"/>
    </row>
    <row r="373" spans="1:1" ht="14.5" x14ac:dyDescent="0.35">
      <c r="A373"/>
    </row>
    <row r="374" spans="1:1" ht="14.5" x14ac:dyDescent="0.35">
      <c r="A374"/>
    </row>
    <row r="375" spans="1:1" ht="14.5" x14ac:dyDescent="0.35">
      <c r="A375"/>
    </row>
    <row r="376" spans="1:1" ht="14.5" x14ac:dyDescent="0.35">
      <c r="A376"/>
    </row>
    <row r="377" spans="1:1" ht="14.5" x14ac:dyDescent="0.35">
      <c r="A377"/>
    </row>
    <row r="378" spans="1:1" ht="14.5" x14ac:dyDescent="0.35">
      <c r="A378"/>
    </row>
    <row r="379" spans="1:1" ht="14.5" x14ac:dyDescent="0.35">
      <c r="A379"/>
    </row>
    <row r="380" spans="1:1" ht="14.5" x14ac:dyDescent="0.35">
      <c r="A380"/>
    </row>
    <row r="381" spans="1:1" ht="14.5" x14ac:dyDescent="0.35">
      <c r="A381"/>
    </row>
    <row r="382" spans="1:1" ht="14.5" x14ac:dyDescent="0.35">
      <c r="A382"/>
    </row>
    <row r="383" spans="1:1" ht="14.5" x14ac:dyDescent="0.35">
      <c r="A383"/>
    </row>
    <row r="384" spans="1:1" ht="14.5" x14ac:dyDescent="0.35">
      <c r="A384"/>
    </row>
    <row r="385" spans="1:1" ht="14.5" x14ac:dyDescent="0.35">
      <c r="A385"/>
    </row>
    <row r="386" spans="1:1" ht="14.5" x14ac:dyDescent="0.35">
      <c r="A386"/>
    </row>
    <row r="387" spans="1:1" ht="14.5" x14ac:dyDescent="0.35">
      <c r="A387"/>
    </row>
    <row r="388" spans="1:1" ht="14.5" x14ac:dyDescent="0.35">
      <c r="A388"/>
    </row>
    <row r="389" spans="1:1" ht="14.5" x14ac:dyDescent="0.35">
      <c r="A389"/>
    </row>
    <row r="390" spans="1:1" ht="14.5" x14ac:dyDescent="0.35">
      <c r="A390"/>
    </row>
    <row r="391" spans="1:1" ht="14.5" x14ac:dyDescent="0.35">
      <c r="A391"/>
    </row>
    <row r="392" spans="1:1" ht="14.5" x14ac:dyDescent="0.35">
      <c r="A392"/>
    </row>
    <row r="393" spans="1:1" ht="14.5" x14ac:dyDescent="0.35">
      <c r="A393"/>
    </row>
    <row r="394" spans="1:1" ht="14.5" x14ac:dyDescent="0.35">
      <c r="A394"/>
    </row>
    <row r="395" spans="1:1" ht="14.5" x14ac:dyDescent="0.35">
      <c r="A395"/>
    </row>
    <row r="396" spans="1:1" ht="14.5" x14ac:dyDescent="0.35">
      <c r="A396"/>
    </row>
    <row r="397" spans="1:1" ht="14.5" x14ac:dyDescent="0.35">
      <c r="A397"/>
    </row>
    <row r="398" spans="1:1" ht="14.5" x14ac:dyDescent="0.35">
      <c r="A398"/>
    </row>
    <row r="399" spans="1:1" ht="14.5" x14ac:dyDescent="0.35">
      <c r="A399"/>
    </row>
    <row r="400" spans="1:1" ht="14.5" x14ac:dyDescent="0.35">
      <c r="A400"/>
    </row>
    <row r="401" spans="1:1" ht="14.5" x14ac:dyDescent="0.35">
      <c r="A401"/>
    </row>
    <row r="402" spans="1:1" ht="14.5" x14ac:dyDescent="0.35">
      <c r="A402"/>
    </row>
    <row r="403" spans="1:1" ht="14.5" x14ac:dyDescent="0.35">
      <c r="A403"/>
    </row>
    <row r="404" spans="1:1" ht="14.5" x14ac:dyDescent="0.35">
      <c r="A404"/>
    </row>
    <row r="405" spans="1:1" ht="14.5" x14ac:dyDescent="0.35">
      <c r="A405"/>
    </row>
    <row r="406" spans="1:1" ht="14.5" x14ac:dyDescent="0.35">
      <c r="A406"/>
    </row>
    <row r="407" spans="1:1" ht="14.5" x14ac:dyDescent="0.35">
      <c r="A407"/>
    </row>
    <row r="408" spans="1:1" ht="14.5" x14ac:dyDescent="0.35">
      <c r="A408"/>
    </row>
    <row r="409" spans="1:1" ht="14.5" x14ac:dyDescent="0.35">
      <c r="A409"/>
    </row>
    <row r="410" spans="1:1" ht="14.5" x14ac:dyDescent="0.35">
      <c r="A410"/>
    </row>
  </sheetData>
  <autoFilter ref="A1:C1" xr:uid="{0DD648E1-7630-4644-A30C-D2B8CF70B1E1}"/>
  <conditionalFormatting sqref="A631:A678">
    <cfRule type="duplicateValues" dxfId="1" priority="110580"/>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2F177-3C9E-4DFA-803C-B13E85AFF601}">
  <dimension ref="A1:S4035"/>
  <sheetViews>
    <sheetView zoomScale="75" zoomScaleNormal="75" workbookViewId="0">
      <selection activeCell="K1366" sqref="K1366:L1366"/>
    </sheetView>
  </sheetViews>
  <sheetFormatPr defaultColWidth="8.7265625" defaultRowHeight="10" x14ac:dyDescent="0.2"/>
  <cols>
    <col min="1" max="5" width="15.54296875" style="78" customWidth="1"/>
    <col min="6" max="6" width="15.54296875" style="78" hidden="1" customWidth="1"/>
    <col min="7" max="15" width="15.54296875" style="78" customWidth="1"/>
    <col min="16" max="16" width="15.54296875" style="78" hidden="1" customWidth="1"/>
    <col min="17" max="18" width="15.54296875" style="78" customWidth="1"/>
    <col min="19" max="16384" width="8.7265625" style="78"/>
  </cols>
  <sheetData>
    <row r="1" spans="1:19" ht="21" x14ac:dyDescent="0.2">
      <c r="A1" s="79" t="s">
        <v>30</v>
      </c>
      <c r="B1" s="79" t="s">
        <v>9663</v>
      </c>
      <c r="C1" s="79" t="s">
        <v>9664</v>
      </c>
      <c r="D1" s="79" t="s">
        <v>9665</v>
      </c>
      <c r="E1" s="79" t="s">
        <v>9666</v>
      </c>
      <c r="F1" s="79" t="s">
        <v>9667</v>
      </c>
      <c r="G1" s="79" t="s">
        <v>9668</v>
      </c>
      <c r="H1" s="79" t="s">
        <v>9669</v>
      </c>
      <c r="I1" s="79" t="s">
        <v>9670</v>
      </c>
      <c r="J1" s="79" t="s">
        <v>9671</v>
      </c>
      <c r="K1" s="79" t="s">
        <v>9672</v>
      </c>
      <c r="L1" s="79" t="s">
        <v>9673</v>
      </c>
      <c r="M1" s="79" t="s">
        <v>9674</v>
      </c>
      <c r="N1" s="79" t="s">
        <v>9675</v>
      </c>
      <c r="O1" s="79" t="s">
        <v>9676</v>
      </c>
      <c r="P1" s="79" t="s">
        <v>9677</v>
      </c>
      <c r="Q1" s="79" t="s">
        <v>9678</v>
      </c>
      <c r="R1" s="79" t="s">
        <v>9679</v>
      </c>
    </row>
    <row r="2" spans="1:19" ht="20" x14ac:dyDescent="0.2">
      <c r="A2" s="80" t="s">
        <v>296</v>
      </c>
      <c r="B2" s="80" t="s">
        <v>297</v>
      </c>
      <c r="C2" s="80" t="s">
        <v>84</v>
      </c>
      <c r="D2" s="80" t="s">
        <v>84</v>
      </c>
      <c r="E2" s="80" t="s">
        <v>84</v>
      </c>
      <c r="F2" s="80"/>
      <c r="G2" s="80" t="s">
        <v>84</v>
      </c>
      <c r="H2" s="80" t="s">
        <v>84</v>
      </c>
      <c r="I2" s="80" t="s">
        <v>84</v>
      </c>
      <c r="J2" s="80" t="s">
        <v>84</v>
      </c>
      <c r="K2" s="80" t="s">
        <v>84</v>
      </c>
      <c r="L2" s="80" t="s">
        <v>84</v>
      </c>
      <c r="M2" s="80" t="s">
        <v>84</v>
      </c>
      <c r="N2" s="80" t="s">
        <v>84</v>
      </c>
      <c r="O2" s="80" t="s">
        <v>84</v>
      </c>
      <c r="P2" s="80"/>
      <c r="Q2" s="80" t="s">
        <v>84</v>
      </c>
      <c r="R2" s="80" t="s">
        <v>84</v>
      </c>
    </row>
    <row r="3" spans="1:19" ht="20" x14ac:dyDescent="0.2">
      <c r="A3" s="80" t="s">
        <v>298</v>
      </c>
      <c r="B3" s="80" t="s">
        <v>299</v>
      </c>
      <c r="C3" s="80" t="s">
        <v>84</v>
      </c>
      <c r="D3" s="80" t="s">
        <v>84</v>
      </c>
      <c r="E3" s="80" t="s">
        <v>84</v>
      </c>
      <c r="F3" s="80"/>
      <c r="G3" s="80" t="s">
        <v>84</v>
      </c>
      <c r="H3" s="80" t="s">
        <v>84</v>
      </c>
      <c r="I3" s="80" t="s">
        <v>84</v>
      </c>
      <c r="J3" s="80" t="s">
        <v>84</v>
      </c>
      <c r="K3" s="80" t="s">
        <v>84</v>
      </c>
      <c r="L3" s="80" t="s">
        <v>84</v>
      </c>
      <c r="M3" s="80" t="s">
        <v>84</v>
      </c>
      <c r="N3" s="80" t="s">
        <v>84</v>
      </c>
      <c r="O3" s="80" t="s">
        <v>84</v>
      </c>
      <c r="P3" s="80"/>
      <c r="Q3" s="80" t="s">
        <v>84</v>
      </c>
      <c r="R3" s="80" t="s">
        <v>84</v>
      </c>
      <c r="S3" s="81"/>
    </row>
    <row r="4" spans="1:19" ht="20" x14ac:dyDescent="0.2">
      <c r="A4" s="80" t="s">
        <v>300</v>
      </c>
      <c r="B4" s="80" t="s">
        <v>301</v>
      </c>
      <c r="C4" s="80" t="s">
        <v>84</v>
      </c>
      <c r="D4" s="80" t="s">
        <v>84</v>
      </c>
      <c r="E4" s="80" t="s">
        <v>84</v>
      </c>
      <c r="F4" s="80"/>
      <c r="G4" s="80" t="s">
        <v>84</v>
      </c>
      <c r="H4" s="80" t="s">
        <v>84</v>
      </c>
      <c r="I4" s="80" t="s">
        <v>84</v>
      </c>
      <c r="J4" s="80" t="s">
        <v>84</v>
      </c>
      <c r="K4" s="80" t="s">
        <v>84</v>
      </c>
      <c r="L4" s="80" t="s">
        <v>84</v>
      </c>
      <c r="M4" s="80" t="s">
        <v>84</v>
      </c>
      <c r="N4" s="80" t="s">
        <v>84</v>
      </c>
      <c r="O4" s="80" t="s">
        <v>84</v>
      </c>
      <c r="P4" s="80"/>
      <c r="Q4" s="80" t="s">
        <v>84</v>
      </c>
      <c r="R4" s="80" t="s">
        <v>84</v>
      </c>
    </row>
    <row r="5" spans="1:19" ht="20" x14ac:dyDescent="0.2">
      <c r="A5" s="80" t="s">
        <v>329</v>
      </c>
      <c r="B5" s="80" t="s">
        <v>330</v>
      </c>
      <c r="C5" s="80" t="s">
        <v>84</v>
      </c>
      <c r="D5" s="80" t="s">
        <v>84</v>
      </c>
      <c r="E5" s="80" t="s">
        <v>84</v>
      </c>
      <c r="F5" s="80"/>
      <c r="G5" s="80" t="s">
        <v>84</v>
      </c>
      <c r="H5" s="80" t="s">
        <v>84</v>
      </c>
      <c r="I5" s="80" t="s">
        <v>84</v>
      </c>
      <c r="J5" s="80" t="s">
        <v>84</v>
      </c>
      <c r="K5" s="80" t="s">
        <v>84</v>
      </c>
      <c r="L5" s="80" t="s">
        <v>84</v>
      </c>
      <c r="M5" s="80" t="s">
        <v>84</v>
      </c>
      <c r="N5" s="80" t="s">
        <v>84</v>
      </c>
      <c r="O5" s="80" t="s">
        <v>84</v>
      </c>
      <c r="P5" s="80"/>
      <c r="Q5" s="80" t="s">
        <v>84</v>
      </c>
      <c r="R5" s="80" t="s">
        <v>84</v>
      </c>
    </row>
    <row r="6" spans="1:19" ht="20" x14ac:dyDescent="0.2">
      <c r="A6" s="80" t="s">
        <v>319</v>
      </c>
      <c r="B6" s="80" t="s">
        <v>320</v>
      </c>
      <c r="C6" s="80" t="s">
        <v>84</v>
      </c>
      <c r="D6" s="80" t="s">
        <v>84</v>
      </c>
      <c r="E6" s="80" t="s">
        <v>84</v>
      </c>
      <c r="F6" s="80"/>
      <c r="G6" s="80" t="s">
        <v>84</v>
      </c>
      <c r="H6" s="80" t="s">
        <v>84</v>
      </c>
      <c r="I6" s="80" t="s">
        <v>84</v>
      </c>
      <c r="J6" s="80" t="s">
        <v>84</v>
      </c>
      <c r="K6" s="80" t="s">
        <v>84</v>
      </c>
      <c r="L6" s="80" t="s">
        <v>84</v>
      </c>
      <c r="M6" s="80" t="s">
        <v>84</v>
      </c>
      <c r="N6" s="80" t="s">
        <v>84</v>
      </c>
      <c r="O6" s="80" t="s">
        <v>84</v>
      </c>
      <c r="P6" s="80"/>
      <c r="Q6" s="80" t="s">
        <v>84</v>
      </c>
      <c r="R6" s="80" t="s">
        <v>84</v>
      </c>
    </row>
    <row r="7" spans="1:19" ht="20" x14ac:dyDescent="0.2">
      <c r="A7" s="80" t="s">
        <v>486</v>
      </c>
      <c r="B7" s="80" t="s">
        <v>487</v>
      </c>
      <c r="C7" s="80" t="s">
        <v>9680</v>
      </c>
      <c r="D7" s="80" t="s">
        <v>84</v>
      </c>
      <c r="E7" s="80" t="s">
        <v>84</v>
      </c>
      <c r="F7" s="80"/>
      <c r="G7" s="80" t="s">
        <v>84</v>
      </c>
      <c r="H7" s="80" t="s">
        <v>84</v>
      </c>
      <c r="I7" s="80" t="s">
        <v>84</v>
      </c>
      <c r="J7" s="80" t="s">
        <v>84</v>
      </c>
      <c r="K7" s="80" t="s">
        <v>84</v>
      </c>
      <c r="L7" s="80" t="s">
        <v>84</v>
      </c>
      <c r="M7" s="80" t="s">
        <v>84</v>
      </c>
      <c r="N7" s="80" t="s">
        <v>84</v>
      </c>
      <c r="O7" s="80" t="s">
        <v>84</v>
      </c>
      <c r="P7" s="80"/>
      <c r="Q7" s="80" t="s">
        <v>84</v>
      </c>
      <c r="R7" s="80" t="s">
        <v>84</v>
      </c>
    </row>
    <row r="8" spans="1:19" ht="20" x14ac:dyDescent="0.2">
      <c r="A8" s="80" t="s">
        <v>630</v>
      </c>
      <c r="B8" s="80" t="s">
        <v>631</v>
      </c>
      <c r="C8" s="80" t="s">
        <v>84</v>
      </c>
      <c r="D8" s="80" t="s">
        <v>84</v>
      </c>
      <c r="E8" s="80" t="s">
        <v>84</v>
      </c>
      <c r="F8" s="80"/>
      <c r="G8" s="80" t="s">
        <v>84</v>
      </c>
      <c r="H8" s="80" t="s">
        <v>84</v>
      </c>
      <c r="I8" s="80" t="s">
        <v>84</v>
      </c>
      <c r="J8" s="80" t="s">
        <v>84</v>
      </c>
      <c r="K8" s="80" t="s">
        <v>84</v>
      </c>
      <c r="L8" s="80" t="s">
        <v>84</v>
      </c>
      <c r="M8" s="80" t="s">
        <v>84</v>
      </c>
      <c r="N8" s="80" t="s">
        <v>84</v>
      </c>
      <c r="O8" s="80" t="s">
        <v>84</v>
      </c>
      <c r="P8" s="80"/>
      <c r="Q8" s="80" t="s">
        <v>84</v>
      </c>
      <c r="R8" s="80" t="s">
        <v>84</v>
      </c>
    </row>
    <row r="9" spans="1:19" ht="20" x14ac:dyDescent="0.2">
      <c r="A9" s="80" t="s">
        <v>344</v>
      </c>
      <c r="B9" s="80" t="s">
        <v>9681</v>
      </c>
      <c r="C9" s="80" t="s">
        <v>84</v>
      </c>
      <c r="D9" s="80" t="s">
        <v>84</v>
      </c>
      <c r="E9" s="80" t="s">
        <v>84</v>
      </c>
      <c r="F9" s="80"/>
      <c r="G9" s="80" t="s">
        <v>84</v>
      </c>
      <c r="H9" s="80" t="s">
        <v>84</v>
      </c>
      <c r="I9" s="80" t="s">
        <v>84</v>
      </c>
      <c r="J9" s="80" t="s">
        <v>84</v>
      </c>
      <c r="K9" s="80" t="s">
        <v>84</v>
      </c>
      <c r="L9" s="80" t="s">
        <v>84</v>
      </c>
      <c r="M9" s="80" t="s">
        <v>84</v>
      </c>
      <c r="N9" s="80" t="s">
        <v>84</v>
      </c>
      <c r="O9" s="80" t="s">
        <v>84</v>
      </c>
      <c r="P9" s="80"/>
      <c r="Q9" s="80" t="s">
        <v>84</v>
      </c>
      <c r="R9" s="80" t="s">
        <v>84</v>
      </c>
    </row>
    <row r="10" spans="1:19" ht="20" x14ac:dyDescent="0.2">
      <c r="A10" s="80" t="s">
        <v>344</v>
      </c>
      <c r="B10" s="80" t="s">
        <v>345</v>
      </c>
      <c r="C10" s="80" t="s">
        <v>84</v>
      </c>
      <c r="D10" s="80" t="s">
        <v>84</v>
      </c>
      <c r="E10" s="80" t="s">
        <v>84</v>
      </c>
      <c r="F10" s="80"/>
      <c r="G10" s="80" t="s">
        <v>84</v>
      </c>
      <c r="H10" s="80" t="s">
        <v>84</v>
      </c>
      <c r="I10" s="80" t="s">
        <v>84</v>
      </c>
      <c r="J10" s="80" t="s">
        <v>84</v>
      </c>
      <c r="K10" s="80" t="s">
        <v>84</v>
      </c>
      <c r="L10" s="80" t="s">
        <v>84</v>
      </c>
      <c r="M10" s="80" t="s">
        <v>84</v>
      </c>
      <c r="N10" s="80" t="s">
        <v>84</v>
      </c>
      <c r="O10" s="80" t="s">
        <v>84</v>
      </c>
      <c r="P10" s="80"/>
      <c r="Q10" s="80" t="s">
        <v>84</v>
      </c>
      <c r="R10" s="80" t="s">
        <v>84</v>
      </c>
    </row>
    <row r="11" spans="1:19" ht="20" x14ac:dyDescent="0.2">
      <c r="A11" s="80" t="s">
        <v>348</v>
      </c>
      <c r="B11" s="80" t="s">
        <v>9682</v>
      </c>
      <c r="C11" s="80" t="s">
        <v>84</v>
      </c>
      <c r="D11" s="80" t="s">
        <v>84</v>
      </c>
      <c r="E11" s="80" t="s">
        <v>84</v>
      </c>
      <c r="F11" s="80"/>
      <c r="G11" s="80" t="s">
        <v>84</v>
      </c>
      <c r="H11" s="80" t="s">
        <v>84</v>
      </c>
      <c r="I11" s="80" t="s">
        <v>84</v>
      </c>
      <c r="J11" s="80" t="s">
        <v>84</v>
      </c>
      <c r="K11" s="80" t="s">
        <v>84</v>
      </c>
      <c r="L11" s="80" t="s">
        <v>84</v>
      </c>
      <c r="M11" s="80" t="s">
        <v>84</v>
      </c>
      <c r="N11" s="80" t="s">
        <v>84</v>
      </c>
      <c r="O11" s="80" t="s">
        <v>84</v>
      </c>
      <c r="P11" s="80"/>
      <c r="Q11" s="80" t="s">
        <v>84</v>
      </c>
      <c r="R11" s="80" t="s">
        <v>84</v>
      </c>
    </row>
    <row r="12" spans="1:19" ht="20" x14ac:dyDescent="0.2">
      <c r="A12" s="80" t="s">
        <v>348</v>
      </c>
      <c r="B12" s="80" t="s">
        <v>349</v>
      </c>
      <c r="C12" s="80" t="s">
        <v>84</v>
      </c>
      <c r="D12" s="80" t="s">
        <v>84</v>
      </c>
      <c r="E12" s="80" t="s">
        <v>84</v>
      </c>
      <c r="F12" s="80"/>
      <c r="G12" s="80" t="s">
        <v>84</v>
      </c>
      <c r="H12" s="80" t="s">
        <v>84</v>
      </c>
      <c r="I12" s="80" t="s">
        <v>84</v>
      </c>
      <c r="J12" s="80" t="s">
        <v>84</v>
      </c>
      <c r="K12" s="80" t="s">
        <v>84</v>
      </c>
      <c r="L12" s="80" t="s">
        <v>84</v>
      </c>
      <c r="M12" s="80" t="s">
        <v>84</v>
      </c>
      <c r="N12" s="80" t="s">
        <v>84</v>
      </c>
      <c r="O12" s="80" t="s">
        <v>84</v>
      </c>
      <c r="P12" s="80"/>
      <c r="Q12" s="80" t="s">
        <v>84</v>
      </c>
      <c r="R12" s="80" t="s">
        <v>84</v>
      </c>
    </row>
    <row r="13" spans="1:19" ht="20" x14ac:dyDescent="0.2">
      <c r="A13" s="80" t="s">
        <v>352</v>
      </c>
      <c r="B13" s="80" t="s">
        <v>9683</v>
      </c>
      <c r="C13" s="80" t="s">
        <v>84</v>
      </c>
      <c r="D13" s="80" t="s">
        <v>84</v>
      </c>
      <c r="E13" s="80" t="s">
        <v>84</v>
      </c>
      <c r="F13" s="80"/>
      <c r="G13" s="80" t="s">
        <v>84</v>
      </c>
      <c r="H13" s="80" t="s">
        <v>84</v>
      </c>
      <c r="I13" s="80" t="s">
        <v>84</v>
      </c>
      <c r="J13" s="80" t="s">
        <v>84</v>
      </c>
      <c r="K13" s="80" t="s">
        <v>84</v>
      </c>
      <c r="L13" s="80" t="s">
        <v>84</v>
      </c>
      <c r="M13" s="80" t="s">
        <v>84</v>
      </c>
      <c r="N13" s="80" t="s">
        <v>84</v>
      </c>
      <c r="O13" s="80" t="s">
        <v>84</v>
      </c>
      <c r="P13" s="80"/>
      <c r="Q13" s="80" t="s">
        <v>84</v>
      </c>
      <c r="R13" s="80" t="s">
        <v>84</v>
      </c>
    </row>
    <row r="14" spans="1:19" ht="20" x14ac:dyDescent="0.2">
      <c r="A14" s="80" t="s">
        <v>352</v>
      </c>
      <c r="B14" s="80" t="s">
        <v>353</v>
      </c>
      <c r="C14" s="80" t="s">
        <v>84</v>
      </c>
      <c r="D14" s="80" t="s">
        <v>84</v>
      </c>
      <c r="E14" s="80" t="s">
        <v>84</v>
      </c>
      <c r="F14" s="80"/>
      <c r="G14" s="80" t="s">
        <v>84</v>
      </c>
      <c r="H14" s="80" t="s">
        <v>84</v>
      </c>
      <c r="I14" s="80" t="s">
        <v>84</v>
      </c>
      <c r="J14" s="80" t="s">
        <v>84</v>
      </c>
      <c r="K14" s="80" t="s">
        <v>84</v>
      </c>
      <c r="L14" s="80" t="s">
        <v>84</v>
      </c>
      <c r="M14" s="80" t="s">
        <v>84</v>
      </c>
      <c r="N14" s="80" t="s">
        <v>84</v>
      </c>
      <c r="O14" s="80" t="s">
        <v>84</v>
      </c>
      <c r="P14" s="80"/>
      <c r="Q14" s="80" t="s">
        <v>84</v>
      </c>
      <c r="R14" s="80" t="s">
        <v>84</v>
      </c>
    </row>
    <row r="15" spans="1:19" ht="20" x14ac:dyDescent="0.2">
      <c r="A15" s="80" t="s">
        <v>356</v>
      </c>
      <c r="B15" s="80" t="s">
        <v>9684</v>
      </c>
      <c r="C15" s="80" t="s">
        <v>84</v>
      </c>
      <c r="D15" s="80" t="s">
        <v>84</v>
      </c>
      <c r="E15" s="80" t="s">
        <v>84</v>
      </c>
      <c r="F15" s="80"/>
      <c r="G15" s="80" t="s">
        <v>84</v>
      </c>
      <c r="H15" s="80" t="s">
        <v>84</v>
      </c>
      <c r="I15" s="80" t="s">
        <v>84</v>
      </c>
      <c r="J15" s="80" t="s">
        <v>84</v>
      </c>
      <c r="K15" s="80" t="s">
        <v>84</v>
      </c>
      <c r="L15" s="80" t="s">
        <v>84</v>
      </c>
      <c r="M15" s="80" t="s">
        <v>84</v>
      </c>
      <c r="N15" s="80" t="s">
        <v>84</v>
      </c>
      <c r="O15" s="80" t="s">
        <v>84</v>
      </c>
      <c r="P15" s="80"/>
      <c r="Q15" s="80" t="s">
        <v>84</v>
      </c>
      <c r="R15" s="80" t="s">
        <v>84</v>
      </c>
    </row>
    <row r="16" spans="1:19" ht="20" x14ac:dyDescent="0.2">
      <c r="A16" s="80" t="s">
        <v>356</v>
      </c>
      <c r="B16" s="80" t="s">
        <v>357</v>
      </c>
      <c r="C16" s="80" t="s">
        <v>84</v>
      </c>
      <c r="D16" s="80" t="s">
        <v>84</v>
      </c>
      <c r="E16" s="80" t="s">
        <v>84</v>
      </c>
      <c r="F16" s="80"/>
      <c r="G16" s="80" t="s">
        <v>84</v>
      </c>
      <c r="H16" s="80" t="s">
        <v>84</v>
      </c>
      <c r="I16" s="80" t="s">
        <v>84</v>
      </c>
      <c r="J16" s="80" t="s">
        <v>84</v>
      </c>
      <c r="K16" s="80" t="s">
        <v>84</v>
      </c>
      <c r="L16" s="80" t="s">
        <v>84</v>
      </c>
      <c r="M16" s="80" t="s">
        <v>84</v>
      </c>
      <c r="N16" s="80" t="s">
        <v>84</v>
      </c>
      <c r="O16" s="80" t="s">
        <v>84</v>
      </c>
      <c r="P16" s="80"/>
      <c r="Q16" s="80" t="s">
        <v>84</v>
      </c>
      <c r="R16" s="80" t="s">
        <v>84</v>
      </c>
    </row>
    <row r="17" spans="1:18" ht="20" x14ac:dyDescent="0.2">
      <c r="A17" s="80" t="s">
        <v>360</v>
      </c>
      <c r="B17" s="80" t="s">
        <v>9685</v>
      </c>
      <c r="C17" s="80" t="s">
        <v>84</v>
      </c>
      <c r="D17" s="80" t="s">
        <v>84</v>
      </c>
      <c r="E17" s="80" t="s">
        <v>84</v>
      </c>
      <c r="F17" s="80"/>
      <c r="G17" s="80" t="s">
        <v>84</v>
      </c>
      <c r="H17" s="80" t="s">
        <v>84</v>
      </c>
      <c r="I17" s="80" t="s">
        <v>84</v>
      </c>
      <c r="J17" s="80" t="s">
        <v>84</v>
      </c>
      <c r="K17" s="80" t="s">
        <v>84</v>
      </c>
      <c r="L17" s="80" t="s">
        <v>84</v>
      </c>
      <c r="M17" s="80" t="s">
        <v>84</v>
      </c>
      <c r="N17" s="80" t="s">
        <v>84</v>
      </c>
      <c r="O17" s="80" t="s">
        <v>84</v>
      </c>
      <c r="P17" s="80"/>
      <c r="Q17" s="80" t="s">
        <v>84</v>
      </c>
      <c r="R17" s="80" t="s">
        <v>84</v>
      </c>
    </row>
    <row r="18" spans="1:18" ht="20" x14ac:dyDescent="0.2">
      <c r="A18" s="80" t="s">
        <v>360</v>
      </c>
      <c r="B18" s="80" t="s">
        <v>361</v>
      </c>
      <c r="C18" s="80" t="s">
        <v>84</v>
      </c>
      <c r="D18" s="80" t="s">
        <v>84</v>
      </c>
      <c r="E18" s="80" t="s">
        <v>84</v>
      </c>
      <c r="F18" s="80"/>
      <c r="G18" s="80" t="s">
        <v>84</v>
      </c>
      <c r="H18" s="80" t="s">
        <v>84</v>
      </c>
      <c r="I18" s="80" t="s">
        <v>84</v>
      </c>
      <c r="J18" s="80" t="s">
        <v>84</v>
      </c>
      <c r="K18" s="80" t="s">
        <v>84</v>
      </c>
      <c r="L18" s="80" t="s">
        <v>84</v>
      </c>
      <c r="M18" s="80" t="s">
        <v>84</v>
      </c>
      <c r="N18" s="80" t="s">
        <v>84</v>
      </c>
      <c r="O18" s="80" t="s">
        <v>84</v>
      </c>
      <c r="P18" s="80"/>
      <c r="Q18" s="80" t="s">
        <v>84</v>
      </c>
      <c r="R18" s="80" t="s">
        <v>84</v>
      </c>
    </row>
    <row r="19" spans="1:18" ht="20" x14ac:dyDescent="0.2">
      <c r="A19" s="80" t="s">
        <v>2687</v>
      </c>
      <c r="B19" s="80" t="s">
        <v>2688</v>
      </c>
      <c r="C19" s="80" t="s">
        <v>9680</v>
      </c>
      <c r="D19" s="80" t="s">
        <v>9680</v>
      </c>
      <c r="E19" s="80" t="s">
        <v>9680</v>
      </c>
      <c r="F19" s="80"/>
      <c r="G19" s="80" t="s">
        <v>9680</v>
      </c>
      <c r="H19" s="80" t="s">
        <v>9680</v>
      </c>
      <c r="I19" s="80" t="s">
        <v>9680</v>
      </c>
      <c r="J19" s="80" t="s">
        <v>84</v>
      </c>
      <c r="K19" s="80" t="s">
        <v>9680</v>
      </c>
      <c r="L19" s="80" t="s">
        <v>9680</v>
      </c>
      <c r="M19" s="80" t="s">
        <v>9680</v>
      </c>
      <c r="N19" s="80" t="s">
        <v>9680</v>
      </c>
      <c r="O19" s="80" t="s">
        <v>9680</v>
      </c>
      <c r="P19" s="80"/>
      <c r="Q19" s="80" t="s">
        <v>84</v>
      </c>
      <c r="R19" s="80" t="s">
        <v>9680</v>
      </c>
    </row>
    <row r="20" spans="1:18" ht="20" x14ac:dyDescent="0.2">
      <c r="A20" s="80" t="s">
        <v>2691</v>
      </c>
      <c r="B20" s="80" t="s">
        <v>9686</v>
      </c>
      <c r="C20" s="80" t="s">
        <v>84</v>
      </c>
      <c r="D20" s="80" t="s">
        <v>84</v>
      </c>
      <c r="E20" s="80" t="s">
        <v>84</v>
      </c>
      <c r="F20" s="80"/>
      <c r="G20" s="80" t="s">
        <v>84</v>
      </c>
      <c r="H20" s="80" t="s">
        <v>84</v>
      </c>
      <c r="I20" s="80" t="s">
        <v>84</v>
      </c>
      <c r="J20" s="80" t="s">
        <v>84</v>
      </c>
      <c r="K20" s="80" t="s">
        <v>84</v>
      </c>
      <c r="L20" s="80" t="s">
        <v>84</v>
      </c>
      <c r="M20" s="80" t="s">
        <v>84</v>
      </c>
      <c r="N20" s="80" t="s">
        <v>84</v>
      </c>
      <c r="O20" s="80" t="s">
        <v>84</v>
      </c>
      <c r="P20" s="80"/>
      <c r="Q20" s="80" t="s">
        <v>84</v>
      </c>
      <c r="R20" s="80" t="s">
        <v>84</v>
      </c>
    </row>
    <row r="21" spans="1:18" ht="20" x14ac:dyDescent="0.2">
      <c r="A21" s="80" t="s">
        <v>2691</v>
      </c>
      <c r="B21" s="80" t="s">
        <v>2692</v>
      </c>
      <c r="C21" s="80" t="s">
        <v>84</v>
      </c>
      <c r="D21" s="80" t="s">
        <v>84</v>
      </c>
      <c r="E21" s="80" t="s">
        <v>84</v>
      </c>
      <c r="F21" s="80"/>
      <c r="G21" s="80" t="s">
        <v>84</v>
      </c>
      <c r="H21" s="80" t="s">
        <v>84</v>
      </c>
      <c r="I21" s="80" t="s">
        <v>84</v>
      </c>
      <c r="J21" s="80" t="s">
        <v>84</v>
      </c>
      <c r="K21" s="80" t="s">
        <v>84</v>
      </c>
      <c r="L21" s="80" t="s">
        <v>84</v>
      </c>
      <c r="M21" s="80" t="s">
        <v>84</v>
      </c>
      <c r="N21" s="80" t="s">
        <v>84</v>
      </c>
      <c r="O21" s="80" t="s">
        <v>84</v>
      </c>
      <c r="P21" s="80"/>
      <c r="Q21" s="80" t="s">
        <v>84</v>
      </c>
      <c r="R21" s="80" t="s">
        <v>84</v>
      </c>
    </row>
    <row r="22" spans="1:18" ht="20" x14ac:dyDescent="0.2">
      <c r="A22" s="80" t="s">
        <v>2693</v>
      </c>
      <c r="B22" s="80" t="s">
        <v>9687</v>
      </c>
      <c r="C22" s="80" t="s">
        <v>9680</v>
      </c>
      <c r="D22" s="80" t="s">
        <v>84</v>
      </c>
      <c r="E22" s="80" t="s">
        <v>9680</v>
      </c>
      <c r="F22" s="80"/>
      <c r="G22" s="80" t="s">
        <v>9680</v>
      </c>
      <c r="H22" s="80" t="s">
        <v>9680</v>
      </c>
      <c r="I22" s="80" t="s">
        <v>9680</v>
      </c>
      <c r="J22" s="80" t="s">
        <v>84</v>
      </c>
      <c r="K22" s="80" t="s">
        <v>84</v>
      </c>
      <c r="L22" s="80" t="s">
        <v>9680</v>
      </c>
      <c r="M22" s="80" t="s">
        <v>9680</v>
      </c>
      <c r="N22" s="80" t="s">
        <v>9680</v>
      </c>
      <c r="O22" s="80" t="s">
        <v>9680</v>
      </c>
      <c r="P22" s="80"/>
      <c r="Q22" s="80" t="s">
        <v>84</v>
      </c>
      <c r="R22" s="80" t="s">
        <v>9680</v>
      </c>
    </row>
    <row r="23" spans="1:18" ht="20" x14ac:dyDescent="0.2">
      <c r="A23" s="80" t="s">
        <v>2693</v>
      </c>
      <c r="B23" s="80" t="s">
        <v>2694</v>
      </c>
      <c r="C23" s="80" t="s">
        <v>9680</v>
      </c>
      <c r="D23" s="80" t="s">
        <v>84</v>
      </c>
      <c r="E23" s="80" t="s">
        <v>9680</v>
      </c>
      <c r="F23" s="80"/>
      <c r="G23" s="80" t="s">
        <v>9680</v>
      </c>
      <c r="H23" s="80" t="s">
        <v>9680</v>
      </c>
      <c r="I23" s="80" t="s">
        <v>9680</v>
      </c>
      <c r="J23" s="80" t="s">
        <v>84</v>
      </c>
      <c r="K23" s="80" t="s">
        <v>84</v>
      </c>
      <c r="L23" s="80" t="s">
        <v>9680</v>
      </c>
      <c r="M23" s="80" t="s">
        <v>9680</v>
      </c>
      <c r="N23" s="80" t="s">
        <v>9680</v>
      </c>
      <c r="O23" s="80" t="s">
        <v>9680</v>
      </c>
      <c r="P23" s="80"/>
      <c r="Q23" s="80" t="s">
        <v>84</v>
      </c>
      <c r="R23" s="80" t="s">
        <v>9680</v>
      </c>
    </row>
    <row r="24" spans="1:18" ht="20" x14ac:dyDescent="0.2">
      <c r="A24" s="80" t="s">
        <v>2695</v>
      </c>
      <c r="B24" s="80" t="s">
        <v>9688</v>
      </c>
      <c r="C24" s="80" t="s">
        <v>9680</v>
      </c>
      <c r="D24" s="80" t="s">
        <v>84</v>
      </c>
      <c r="E24" s="80" t="s">
        <v>84</v>
      </c>
      <c r="F24" s="80"/>
      <c r="G24" s="80" t="s">
        <v>84</v>
      </c>
      <c r="H24" s="80" t="s">
        <v>84</v>
      </c>
      <c r="I24" s="80" t="s">
        <v>84</v>
      </c>
      <c r="J24" s="80" t="s">
        <v>84</v>
      </c>
      <c r="K24" s="80" t="s">
        <v>84</v>
      </c>
      <c r="L24" s="80" t="s">
        <v>84</v>
      </c>
      <c r="M24" s="80" t="s">
        <v>84</v>
      </c>
      <c r="N24" s="80" t="s">
        <v>84</v>
      </c>
      <c r="O24" s="80" t="s">
        <v>84</v>
      </c>
      <c r="P24" s="80"/>
      <c r="Q24" s="80" t="s">
        <v>84</v>
      </c>
      <c r="R24" s="80" t="s">
        <v>84</v>
      </c>
    </row>
    <row r="25" spans="1:18" ht="20" x14ac:dyDescent="0.2">
      <c r="A25" s="80" t="s">
        <v>2695</v>
      </c>
      <c r="B25" s="80" t="s">
        <v>2696</v>
      </c>
      <c r="C25" s="80" t="s">
        <v>9680</v>
      </c>
      <c r="D25" s="80" t="s">
        <v>84</v>
      </c>
      <c r="E25" s="80" t="s">
        <v>84</v>
      </c>
      <c r="F25" s="80"/>
      <c r="G25" s="80" t="s">
        <v>84</v>
      </c>
      <c r="H25" s="80" t="s">
        <v>84</v>
      </c>
      <c r="I25" s="80" t="s">
        <v>84</v>
      </c>
      <c r="J25" s="80" t="s">
        <v>84</v>
      </c>
      <c r="K25" s="80" t="s">
        <v>84</v>
      </c>
      <c r="L25" s="80" t="s">
        <v>84</v>
      </c>
      <c r="M25" s="80" t="s">
        <v>84</v>
      </c>
      <c r="N25" s="80" t="s">
        <v>84</v>
      </c>
      <c r="O25" s="80" t="s">
        <v>84</v>
      </c>
      <c r="P25" s="80"/>
      <c r="Q25" s="80" t="s">
        <v>84</v>
      </c>
      <c r="R25" s="80" t="s">
        <v>84</v>
      </c>
    </row>
    <row r="26" spans="1:18" ht="20" x14ac:dyDescent="0.2">
      <c r="A26" s="80" t="s">
        <v>2697</v>
      </c>
      <c r="B26" s="80" t="s">
        <v>9689</v>
      </c>
      <c r="C26" s="80" t="s">
        <v>9680</v>
      </c>
      <c r="D26" s="80" t="s">
        <v>9680</v>
      </c>
      <c r="E26" s="80" t="s">
        <v>9680</v>
      </c>
      <c r="F26" s="80"/>
      <c r="G26" s="80" t="s">
        <v>9680</v>
      </c>
      <c r="H26" s="80" t="s">
        <v>9680</v>
      </c>
      <c r="I26" s="80" t="s">
        <v>9680</v>
      </c>
      <c r="J26" s="80" t="s">
        <v>84</v>
      </c>
      <c r="K26" s="80" t="s">
        <v>9680</v>
      </c>
      <c r="L26" s="80" t="s">
        <v>9680</v>
      </c>
      <c r="M26" s="80" t="s">
        <v>84</v>
      </c>
      <c r="N26" s="80" t="s">
        <v>9680</v>
      </c>
      <c r="O26" s="80" t="s">
        <v>84</v>
      </c>
      <c r="P26" s="80"/>
      <c r="Q26" s="80" t="s">
        <v>84</v>
      </c>
      <c r="R26" s="80" t="s">
        <v>84</v>
      </c>
    </row>
    <row r="27" spans="1:18" ht="20" x14ac:dyDescent="0.2">
      <c r="A27" s="80" t="s">
        <v>2697</v>
      </c>
      <c r="B27" s="80" t="s">
        <v>2698</v>
      </c>
      <c r="C27" s="80" t="s">
        <v>9680</v>
      </c>
      <c r="D27" s="80" t="s">
        <v>9680</v>
      </c>
      <c r="E27" s="80" t="s">
        <v>9680</v>
      </c>
      <c r="F27" s="80"/>
      <c r="G27" s="80" t="s">
        <v>9680</v>
      </c>
      <c r="H27" s="80" t="s">
        <v>9680</v>
      </c>
      <c r="I27" s="80" t="s">
        <v>9680</v>
      </c>
      <c r="J27" s="80" t="s">
        <v>84</v>
      </c>
      <c r="K27" s="80" t="s">
        <v>9680</v>
      </c>
      <c r="L27" s="80" t="s">
        <v>9680</v>
      </c>
      <c r="M27" s="80" t="s">
        <v>84</v>
      </c>
      <c r="N27" s="80" t="s">
        <v>9680</v>
      </c>
      <c r="O27" s="80" t="s">
        <v>84</v>
      </c>
      <c r="P27" s="80"/>
      <c r="Q27" s="80" t="s">
        <v>84</v>
      </c>
      <c r="R27" s="80" t="s">
        <v>84</v>
      </c>
    </row>
    <row r="28" spans="1:18" ht="20" x14ac:dyDescent="0.2">
      <c r="A28" s="80" t="s">
        <v>2703</v>
      </c>
      <c r="B28" s="80" t="s">
        <v>9690</v>
      </c>
      <c r="C28" s="80" t="s">
        <v>9680</v>
      </c>
      <c r="D28" s="80" t="s">
        <v>9680</v>
      </c>
      <c r="E28" s="80" t="s">
        <v>9680</v>
      </c>
      <c r="F28" s="80"/>
      <c r="G28" s="80" t="s">
        <v>9680</v>
      </c>
      <c r="H28" s="80" t="s">
        <v>9680</v>
      </c>
      <c r="I28" s="80" t="s">
        <v>9680</v>
      </c>
      <c r="J28" s="80" t="s">
        <v>9680</v>
      </c>
      <c r="K28" s="80" t="s">
        <v>9680</v>
      </c>
      <c r="L28" s="80" t="s">
        <v>9680</v>
      </c>
      <c r="M28" s="80" t="s">
        <v>9680</v>
      </c>
      <c r="N28" s="80" t="s">
        <v>9680</v>
      </c>
      <c r="O28" s="80" t="s">
        <v>9680</v>
      </c>
      <c r="P28" s="80"/>
      <c r="Q28" s="80" t="s">
        <v>9680</v>
      </c>
      <c r="R28" s="80" t="s">
        <v>9680</v>
      </c>
    </row>
    <row r="29" spans="1:18" ht="20" x14ac:dyDescent="0.2">
      <c r="A29" s="80" t="s">
        <v>2703</v>
      </c>
      <c r="B29" s="80" t="s">
        <v>2704</v>
      </c>
      <c r="C29" s="80" t="s">
        <v>9680</v>
      </c>
      <c r="D29" s="80" t="s">
        <v>9680</v>
      </c>
      <c r="E29" s="80" t="s">
        <v>9680</v>
      </c>
      <c r="F29" s="80"/>
      <c r="G29" s="80" t="s">
        <v>9680</v>
      </c>
      <c r="H29" s="80" t="s">
        <v>9680</v>
      </c>
      <c r="I29" s="80" t="s">
        <v>9680</v>
      </c>
      <c r="J29" s="80" t="s">
        <v>9680</v>
      </c>
      <c r="K29" s="80" t="s">
        <v>9680</v>
      </c>
      <c r="L29" s="80" t="s">
        <v>9680</v>
      </c>
      <c r="M29" s="80" t="s">
        <v>9680</v>
      </c>
      <c r="N29" s="80" t="s">
        <v>9680</v>
      </c>
      <c r="O29" s="80" t="s">
        <v>9680</v>
      </c>
      <c r="P29" s="80"/>
      <c r="Q29" s="80" t="s">
        <v>9680</v>
      </c>
      <c r="R29" s="80" t="s">
        <v>9680</v>
      </c>
    </row>
    <row r="30" spans="1:18" ht="20" x14ac:dyDescent="0.2">
      <c r="A30" s="80" t="s">
        <v>2705</v>
      </c>
      <c r="B30" s="80" t="s">
        <v>2706</v>
      </c>
      <c r="C30" s="80" t="s">
        <v>9680</v>
      </c>
      <c r="D30" s="80" t="s">
        <v>9680</v>
      </c>
      <c r="E30" s="80" t="s">
        <v>9680</v>
      </c>
      <c r="F30" s="80"/>
      <c r="G30" s="80" t="s">
        <v>9680</v>
      </c>
      <c r="H30" s="80" t="s">
        <v>9680</v>
      </c>
      <c r="I30" s="80" t="s">
        <v>9680</v>
      </c>
      <c r="J30" s="80" t="s">
        <v>9680</v>
      </c>
      <c r="K30" s="80" t="s">
        <v>9680</v>
      </c>
      <c r="L30" s="80" t="s">
        <v>9680</v>
      </c>
      <c r="M30" s="80" t="s">
        <v>9680</v>
      </c>
      <c r="N30" s="80" t="s">
        <v>9680</v>
      </c>
      <c r="O30" s="80" t="s">
        <v>9680</v>
      </c>
      <c r="P30" s="80"/>
      <c r="Q30" s="80" t="s">
        <v>9680</v>
      </c>
      <c r="R30" s="80" t="s">
        <v>9680</v>
      </c>
    </row>
    <row r="31" spans="1:18" ht="20" x14ac:dyDescent="0.2">
      <c r="A31" s="80" t="s">
        <v>2707</v>
      </c>
      <c r="B31" s="80" t="s">
        <v>9691</v>
      </c>
      <c r="C31" s="80" t="s">
        <v>9680</v>
      </c>
      <c r="D31" s="80" t="s">
        <v>9680</v>
      </c>
      <c r="E31" s="80" t="s">
        <v>9680</v>
      </c>
      <c r="F31" s="80"/>
      <c r="G31" s="80" t="s">
        <v>9680</v>
      </c>
      <c r="H31" s="80" t="s">
        <v>9680</v>
      </c>
      <c r="I31" s="80" t="s">
        <v>9680</v>
      </c>
      <c r="J31" s="80" t="s">
        <v>9680</v>
      </c>
      <c r="K31" s="80" t="s">
        <v>9680</v>
      </c>
      <c r="L31" s="80" t="s">
        <v>9680</v>
      </c>
      <c r="M31" s="80" t="s">
        <v>9680</v>
      </c>
      <c r="N31" s="80" t="s">
        <v>9680</v>
      </c>
      <c r="O31" s="80" t="s">
        <v>9680</v>
      </c>
      <c r="P31" s="80"/>
      <c r="Q31" s="80" t="s">
        <v>9680</v>
      </c>
      <c r="R31" s="80" t="s">
        <v>9680</v>
      </c>
    </row>
    <row r="32" spans="1:18" ht="20" x14ac:dyDescent="0.2">
      <c r="A32" s="80" t="s">
        <v>2707</v>
      </c>
      <c r="B32" s="80" t="s">
        <v>2708</v>
      </c>
      <c r="C32" s="80" t="s">
        <v>9680</v>
      </c>
      <c r="D32" s="80" t="s">
        <v>9680</v>
      </c>
      <c r="E32" s="80" t="s">
        <v>9680</v>
      </c>
      <c r="F32" s="80"/>
      <c r="G32" s="80" t="s">
        <v>9680</v>
      </c>
      <c r="H32" s="80" t="s">
        <v>9680</v>
      </c>
      <c r="I32" s="80" t="s">
        <v>9680</v>
      </c>
      <c r="J32" s="80" t="s">
        <v>9680</v>
      </c>
      <c r="K32" s="80" t="s">
        <v>9680</v>
      </c>
      <c r="L32" s="80" t="s">
        <v>9680</v>
      </c>
      <c r="M32" s="80" t="s">
        <v>9680</v>
      </c>
      <c r="N32" s="80" t="s">
        <v>9680</v>
      </c>
      <c r="O32" s="80" t="s">
        <v>9680</v>
      </c>
      <c r="P32" s="80"/>
      <c r="Q32" s="80" t="s">
        <v>9680</v>
      </c>
      <c r="R32" s="80" t="s">
        <v>9680</v>
      </c>
    </row>
    <row r="33" spans="1:18" ht="20" x14ac:dyDescent="0.2">
      <c r="A33" s="80" t="s">
        <v>2709</v>
      </c>
      <c r="B33" s="80" t="s">
        <v>9692</v>
      </c>
      <c r="C33" s="80" t="s">
        <v>9680</v>
      </c>
      <c r="D33" s="80" t="s">
        <v>9680</v>
      </c>
      <c r="E33" s="80" t="s">
        <v>9680</v>
      </c>
      <c r="F33" s="80"/>
      <c r="G33" s="80" t="s">
        <v>9680</v>
      </c>
      <c r="H33" s="80" t="s">
        <v>9680</v>
      </c>
      <c r="I33" s="80" t="s">
        <v>9680</v>
      </c>
      <c r="J33" s="80" t="s">
        <v>9680</v>
      </c>
      <c r="K33" s="80" t="s">
        <v>9680</v>
      </c>
      <c r="L33" s="80" t="s">
        <v>9680</v>
      </c>
      <c r="M33" s="80" t="s">
        <v>9680</v>
      </c>
      <c r="N33" s="80" t="s">
        <v>9680</v>
      </c>
      <c r="O33" s="80" t="s">
        <v>9680</v>
      </c>
      <c r="P33" s="80"/>
      <c r="Q33" s="80" t="s">
        <v>9680</v>
      </c>
      <c r="R33" s="80" t="s">
        <v>9680</v>
      </c>
    </row>
    <row r="34" spans="1:18" ht="20" x14ac:dyDescent="0.2">
      <c r="A34" s="80" t="s">
        <v>2709</v>
      </c>
      <c r="B34" s="80" t="s">
        <v>2710</v>
      </c>
      <c r="C34" s="80" t="s">
        <v>9680</v>
      </c>
      <c r="D34" s="80" t="s">
        <v>9680</v>
      </c>
      <c r="E34" s="80" t="s">
        <v>9680</v>
      </c>
      <c r="F34" s="80"/>
      <c r="G34" s="80" t="s">
        <v>9680</v>
      </c>
      <c r="H34" s="80" t="s">
        <v>9680</v>
      </c>
      <c r="I34" s="80" t="s">
        <v>9680</v>
      </c>
      <c r="J34" s="80" t="s">
        <v>9680</v>
      </c>
      <c r="K34" s="80" t="s">
        <v>9680</v>
      </c>
      <c r="L34" s="80" t="s">
        <v>9680</v>
      </c>
      <c r="M34" s="80" t="s">
        <v>9680</v>
      </c>
      <c r="N34" s="80" t="s">
        <v>9680</v>
      </c>
      <c r="O34" s="80" t="s">
        <v>9680</v>
      </c>
      <c r="P34" s="80"/>
      <c r="Q34" s="80" t="s">
        <v>9680</v>
      </c>
      <c r="R34" s="80" t="s">
        <v>9680</v>
      </c>
    </row>
    <row r="35" spans="1:18" ht="20" x14ac:dyDescent="0.2">
      <c r="A35" s="80" t="s">
        <v>2711</v>
      </c>
      <c r="B35" s="80" t="s">
        <v>9693</v>
      </c>
      <c r="C35" s="80" t="s">
        <v>9680</v>
      </c>
      <c r="D35" s="80" t="s">
        <v>9680</v>
      </c>
      <c r="E35" s="80" t="s">
        <v>9680</v>
      </c>
      <c r="F35" s="80"/>
      <c r="G35" s="80" t="s">
        <v>9680</v>
      </c>
      <c r="H35" s="80" t="s">
        <v>9680</v>
      </c>
      <c r="I35" s="80" t="s">
        <v>9680</v>
      </c>
      <c r="J35" s="80" t="s">
        <v>9680</v>
      </c>
      <c r="K35" s="80" t="s">
        <v>9680</v>
      </c>
      <c r="L35" s="80" t="s">
        <v>9680</v>
      </c>
      <c r="M35" s="80" t="s">
        <v>9680</v>
      </c>
      <c r="N35" s="80" t="s">
        <v>9680</v>
      </c>
      <c r="O35" s="80" t="s">
        <v>9680</v>
      </c>
      <c r="P35" s="80"/>
      <c r="Q35" s="80" t="s">
        <v>9680</v>
      </c>
      <c r="R35" s="80" t="s">
        <v>9680</v>
      </c>
    </row>
    <row r="36" spans="1:18" ht="20" x14ac:dyDescent="0.2">
      <c r="A36" s="80" t="s">
        <v>2711</v>
      </c>
      <c r="B36" s="80" t="s">
        <v>2712</v>
      </c>
      <c r="C36" s="80" t="s">
        <v>9680</v>
      </c>
      <c r="D36" s="80" t="s">
        <v>9680</v>
      </c>
      <c r="E36" s="80" t="s">
        <v>9680</v>
      </c>
      <c r="F36" s="80"/>
      <c r="G36" s="80" t="s">
        <v>9680</v>
      </c>
      <c r="H36" s="80" t="s">
        <v>9680</v>
      </c>
      <c r="I36" s="80" t="s">
        <v>9680</v>
      </c>
      <c r="J36" s="80" t="s">
        <v>9680</v>
      </c>
      <c r="K36" s="80" t="s">
        <v>9680</v>
      </c>
      <c r="L36" s="80" t="s">
        <v>9680</v>
      </c>
      <c r="M36" s="80" t="s">
        <v>9680</v>
      </c>
      <c r="N36" s="80" t="s">
        <v>9680</v>
      </c>
      <c r="O36" s="80" t="s">
        <v>9680</v>
      </c>
      <c r="P36" s="80"/>
      <c r="Q36" s="80" t="s">
        <v>9680</v>
      </c>
      <c r="R36" s="80" t="s">
        <v>9680</v>
      </c>
    </row>
    <row r="37" spans="1:18" ht="20" x14ac:dyDescent="0.2">
      <c r="A37" s="80" t="s">
        <v>3003</v>
      </c>
      <c r="B37" s="80" t="s">
        <v>9694</v>
      </c>
      <c r="C37" s="80" t="s">
        <v>9680</v>
      </c>
      <c r="D37" s="80" t="s">
        <v>9680</v>
      </c>
      <c r="E37" s="80" t="s">
        <v>9680</v>
      </c>
      <c r="F37" s="80"/>
      <c r="G37" s="80" t="s">
        <v>9680</v>
      </c>
      <c r="H37" s="80" t="s">
        <v>9680</v>
      </c>
      <c r="I37" s="80" t="s">
        <v>9680</v>
      </c>
      <c r="J37" s="80" t="s">
        <v>9680</v>
      </c>
      <c r="K37" s="80" t="s">
        <v>9680</v>
      </c>
      <c r="L37" s="80" t="s">
        <v>9680</v>
      </c>
      <c r="M37" s="80" t="s">
        <v>9680</v>
      </c>
      <c r="N37" s="80" t="s">
        <v>9680</v>
      </c>
      <c r="O37" s="80" t="s">
        <v>9680</v>
      </c>
      <c r="P37" s="80"/>
      <c r="Q37" s="80" t="s">
        <v>9680</v>
      </c>
      <c r="R37" s="80" t="s">
        <v>9680</v>
      </c>
    </row>
    <row r="38" spans="1:18" ht="20" x14ac:dyDescent="0.2">
      <c r="A38" s="80" t="s">
        <v>3003</v>
      </c>
      <c r="B38" s="80" t="s">
        <v>3004</v>
      </c>
      <c r="C38" s="80" t="s">
        <v>9680</v>
      </c>
      <c r="D38" s="80" t="s">
        <v>9680</v>
      </c>
      <c r="E38" s="80" t="s">
        <v>9680</v>
      </c>
      <c r="F38" s="80"/>
      <c r="G38" s="80" t="s">
        <v>9680</v>
      </c>
      <c r="H38" s="80" t="s">
        <v>9680</v>
      </c>
      <c r="I38" s="80" t="s">
        <v>9680</v>
      </c>
      <c r="J38" s="80" t="s">
        <v>9680</v>
      </c>
      <c r="K38" s="80" t="s">
        <v>9680</v>
      </c>
      <c r="L38" s="80" t="s">
        <v>9680</v>
      </c>
      <c r="M38" s="80" t="s">
        <v>9680</v>
      </c>
      <c r="N38" s="80" t="s">
        <v>9680</v>
      </c>
      <c r="O38" s="80" t="s">
        <v>9680</v>
      </c>
      <c r="P38" s="80"/>
      <c r="Q38" s="80" t="s">
        <v>9680</v>
      </c>
      <c r="R38" s="80" t="s">
        <v>9680</v>
      </c>
    </row>
    <row r="39" spans="1:18" ht="20" x14ac:dyDescent="0.2">
      <c r="A39" s="80" t="s">
        <v>2958</v>
      </c>
      <c r="B39" s="80" t="s">
        <v>9695</v>
      </c>
      <c r="C39" s="80" t="s">
        <v>9680</v>
      </c>
      <c r="D39" s="80" t="s">
        <v>9680</v>
      </c>
      <c r="E39" s="80" t="s">
        <v>9680</v>
      </c>
      <c r="F39" s="80"/>
      <c r="G39" s="80" t="s">
        <v>9680</v>
      </c>
      <c r="H39" s="80" t="s">
        <v>9680</v>
      </c>
      <c r="I39" s="80" t="s">
        <v>9680</v>
      </c>
      <c r="J39" s="80" t="s">
        <v>9680</v>
      </c>
      <c r="K39" s="80" t="s">
        <v>9680</v>
      </c>
      <c r="L39" s="80" t="s">
        <v>9680</v>
      </c>
      <c r="M39" s="80" t="s">
        <v>9680</v>
      </c>
      <c r="N39" s="80" t="s">
        <v>9680</v>
      </c>
      <c r="O39" s="80" t="s">
        <v>9680</v>
      </c>
      <c r="P39" s="80"/>
      <c r="Q39" s="80" t="s">
        <v>9680</v>
      </c>
      <c r="R39" s="80" t="s">
        <v>9680</v>
      </c>
    </row>
    <row r="40" spans="1:18" ht="20" x14ac:dyDescent="0.2">
      <c r="A40" s="80" t="s">
        <v>2958</v>
      </c>
      <c r="B40" s="80" t="s">
        <v>2959</v>
      </c>
      <c r="C40" s="80" t="s">
        <v>9680</v>
      </c>
      <c r="D40" s="80" t="s">
        <v>9680</v>
      </c>
      <c r="E40" s="80" t="s">
        <v>9680</v>
      </c>
      <c r="F40" s="80"/>
      <c r="G40" s="80" t="s">
        <v>9680</v>
      </c>
      <c r="H40" s="80" t="s">
        <v>9680</v>
      </c>
      <c r="I40" s="80" t="s">
        <v>9680</v>
      </c>
      <c r="J40" s="80" t="s">
        <v>9680</v>
      </c>
      <c r="K40" s="80" t="s">
        <v>9680</v>
      </c>
      <c r="L40" s="80" t="s">
        <v>9680</v>
      </c>
      <c r="M40" s="80" t="s">
        <v>9680</v>
      </c>
      <c r="N40" s="80" t="s">
        <v>9680</v>
      </c>
      <c r="O40" s="80" t="s">
        <v>9680</v>
      </c>
      <c r="P40" s="80"/>
      <c r="Q40" s="80" t="s">
        <v>9680</v>
      </c>
      <c r="R40" s="80" t="s">
        <v>9680</v>
      </c>
    </row>
    <row r="41" spans="1:18" ht="20" x14ac:dyDescent="0.2">
      <c r="A41" s="80" t="s">
        <v>2960</v>
      </c>
      <c r="B41" s="80" t="s">
        <v>9696</v>
      </c>
      <c r="C41" s="80" t="s">
        <v>9680</v>
      </c>
      <c r="D41" s="80" t="s">
        <v>9680</v>
      </c>
      <c r="E41" s="80" t="s">
        <v>9680</v>
      </c>
      <c r="F41" s="80"/>
      <c r="G41" s="80" t="s">
        <v>9680</v>
      </c>
      <c r="H41" s="80" t="s">
        <v>9680</v>
      </c>
      <c r="I41" s="80" t="s">
        <v>9680</v>
      </c>
      <c r="J41" s="80" t="s">
        <v>9680</v>
      </c>
      <c r="K41" s="80" t="s">
        <v>9680</v>
      </c>
      <c r="L41" s="80" t="s">
        <v>9680</v>
      </c>
      <c r="M41" s="80" t="s">
        <v>9680</v>
      </c>
      <c r="N41" s="80" t="s">
        <v>9680</v>
      </c>
      <c r="O41" s="80" t="s">
        <v>9680</v>
      </c>
      <c r="P41" s="80"/>
      <c r="Q41" s="80" t="s">
        <v>9680</v>
      </c>
      <c r="R41" s="80" t="s">
        <v>9680</v>
      </c>
    </row>
    <row r="42" spans="1:18" ht="20" x14ac:dyDescent="0.2">
      <c r="A42" s="80" t="s">
        <v>2960</v>
      </c>
      <c r="B42" s="80" t="s">
        <v>2961</v>
      </c>
      <c r="C42" s="80" t="s">
        <v>9680</v>
      </c>
      <c r="D42" s="80" t="s">
        <v>9680</v>
      </c>
      <c r="E42" s="80" t="s">
        <v>9680</v>
      </c>
      <c r="F42" s="80"/>
      <c r="G42" s="80" t="s">
        <v>9680</v>
      </c>
      <c r="H42" s="80" t="s">
        <v>9680</v>
      </c>
      <c r="I42" s="80" t="s">
        <v>9680</v>
      </c>
      <c r="J42" s="80" t="s">
        <v>9680</v>
      </c>
      <c r="K42" s="80" t="s">
        <v>9680</v>
      </c>
      <c r="L42" s="80" t="s">
        <v>9680</v>
      </c>
      <c r="M42" s="80" t="s">
        <v>9680</v>
      </c>
      <c r="N42" s="80" t="s">
        <v>9680</v>
      </c>
      <c r="O42" s="80" t="s">
        <v>9680</v>
      </c>
      <c r="P42" s="80"/>
      <c r="Q42" s="80" t="s">
        <v>9680</v>
      </c>
      <c r="R42" s="80" t="s">
        <v>9680</v>
      </c>
    </row>
    <row r="43" spans="1:18" ht="20" x14ac:dyDescent="0.2">
      <c r="A43" s="80" t="s">
        <v>2734</v>
      </c>
      <c r="B43" s="80" t="s">
        <v>2735</v>
      </c>
      <c r="C43" s="80" t="s">
        <v>9680</v>
      </c>
      <c r="D43" s="80" t="s">
        <v>9680</v>
      </c>
      <c r="E43" s="80" t="s">
        <v>9680</v>
      </c>
      <c r="F43" s="80"/>
      <c r="G43" s="80" t="s">
        <v>9680</v>
      </c>
      <c r="H43" s="80" t="s">
        <v>9680</v>
      </c>
      <c r="I43" s="80" t="s">
        <v>9680</v>
      </c>
      <c r="J43" s="80" t="s">
        <v>9680</v>
      </c>
      <c r="K43" s="80" t="s">
        <v>9680</v>
      </c>
      <c r="L43" s="80" t="s">
        <v>9680</v>
      </c>
      <c r="M43" s="80" t="s">
        <v>9680</v>
      </c>
      <c r="N43" s="80" t="s">
        <v>9680</v>
      </c>
      <c r="O43" s="80" t="s">
        <v>9680</v>
      </c>
      <c r="P43" s="80"/>
      <c r="Q43" s="80" t="s">
        <v>9680</v>
      </c>
      <c r="R43" s="80" t="s">
        <v>9680</v>
      </c>
    </row>
    <row r="44" spans="1:18" ht="20" x14ac:dyDescent="0.2">
      <c r="A44" s="80" t="s">
        <v>2444</v>
      </c>
      <c r="B44" s="80" t="s">
        <v>2445</v>
      </c>
      <c r="C44" s="80" t="s">
        <v>9680</v>
      </c>
      <c r="D44" s="80" t="s">
        <v>9680</v>
      </c>
      <c r="E44" s="80" t="s">
        <v>9680</v>
      </c>
      <c r="F44" s="80"/>
      <c r="G44" s="80" t="s">
        <v>84</v>
      </c>
      <c r="H44" s="80" t="s">
        <v>84</v>
      </c>
      <c r="I44" s="80" t="s">
        <v>9680</v>
      </c>
      <c r="J44" s="80" t="s">
        <v>9680</v>
      </c>
      <c r="K44" s="80" t="s">
        <v>9680</v>
      </c>
      <c r="L44" s="80" t="s">
        <v>9680</v>
      </c>
      <c r="M44" s="80" t="s">
        <v>84</v>
      </c>
      <c r="N44" s="80" t="s">
        <v>84</v>
      </c>
      <c r="O44" s="80" t="s">
        <v>9680</v>
      </c>
      <c r="P44" s="80"/>
      <c r="Q44" s="80" t="s">
        <v>9680</v>
      </c>
      <c r="R44" s="80" t="s">
        <v>84</v>
      </c>
    </row>
    <row r="45" spans="1:18" ht="20" x14ac:dyDescent="0.2">
      <c r="A45" s="80" t="s">
        <v>2444</v>
      </c>
      <c r="B45" s="80" t="s">
        <v>2750</v>
      </c>
      <c r="C45" s="80" t="s">
        <v>9680</v>
      </c>
      <c r="D45" s="80" t="s">
        <v>9680</v>
      </c>
      <c r="E45" s="80" t="s">
        <v>9680</v>
      </c>
      <c r="F45" s="80"/>
      <c r="G45" s="80" t="s">
        <v>84</v>
      </c>
      <c r="H45" s="80" t="s">
        <v>84</v>
      </c>
      <c r="I45" s="80" t="s">
        <v>9680</v>
      </c>
      <c r="J45" s="80" t="s">
        <v>9680</v>
      </c>
      <c r="K45" s="80" t="s">
        <v>9680</v>
      </c>
      <c r="L45" s="80" t="s">
        <v>9680</v>
      </c>
      <c r="M45" s="80" t="s">
        <v>84</v>
      </c>
      <c r="N45" s="80" t="s">
        <v>84</v>
      </c>
      <c r="O45" s="80" t="s">
        <v>9680</v>
      </c>
      <c r="P45" s="80"/>
      <c r="Q45" s="80" t="s">
        <v>9680</v>
      </c>
      <c r="R45" s="80" t="s">
        <v>84</v>
      </c>
    </row>
    <row r="46" spans="1:18" ht="20" x14ac:dyDescent="0.2">
      <c r="A46" s="80" t="s">
        <v>2920</v>
      </c>
      <c r="B46" s="80" t="s">
        <v>9697</v>
      </c>
      <c r="C46" s="80" t="s">
        <v>84</v>
      </c>
      <c r="D46" s="80" t="s">
        <v>84</v>
      </c>
      <c r="E46" s="80" t="s">
        <v>84</v>
      </c>
      <c r="F46" s="80"/>
      <c r="G46" s="80" t="s">
        <v>84</v>
      </c>
      <c r="H46" s="80" t="s">
        <v>84</v>
      </c>
      <c r="I46" s="80" t="s">
        <v>84</v>
      </c>
      <c r="J46" s="80" t="s">
        <v>84</v>
      </c>
      <c r="K46" s="80" t="s">
        <v>84</v>
      </c>
      <c r="L46" s="80" t="s">
        <v>84</v>
      </c>
      <c r="M46" s="80" t="s">
        <v>84</v>
      </c>
      <c r="N46" s="80" t="s">
        <v>84</v>
      </c>
      <c r="O46" s="80" t="s">
        <v>84</v>
      </c>
      <c r="P46" s="80"/>
      <c r="Q46" s="80" t="s">
        <v>84</v>
      </c>
      <c r="R46" s="80" t="s">
        <v>84</v>
      </c>
    </row>
    <row r="47" spans="1:18" x14ac:dyDescent="0.2">
      <c r="A47" s="80" t="s">
        <v>2920</v>
      </c>
      <c r="B47" s="80" t="s">
        <v>2921</v>
      </c>
      <c r="C47" s="80" t="s">
        <v>84</v>
      </c>
      <c r="D47" s="80" t="s">
        <v>84</v>
      </c>
      <c r="E47" s="80" t="s">
        <v>84</v>
      </c>
      <c r="F47" s="80"/>
      <c r="G47" s="80" t="s">
        <v>84</v>
      </c>
      <c r="H47" s="80" t="s">
        <v>84</v>
      </c>
      <c r="I47" s="80" t="s">
        <v>84</v>
      </c>
      <c r="J47" s="80" t="s">
        <v>84</v>
      </c>
      <c r="K47" s="80" t="s">
        <v>84</v>
      </c>
      <c r="L47" s="80" t="s">
        <v>84</v>
      </c>
      <c r="M47" s="80" t="s">
        <v>84</v>
      </c>
      <c r="N47" s="80" t="s">
        <v>84</v>
      </c>
      <c r="O47" s="80" t="s">
        <v>84</v>
      </c>
      <c r="P47" s="80"/>
      <c r="Q47" s="80" t="s">
        <v>84</v>
      </c>
      <c r="R47" s="80" t="s">
        <v>84</v>
      </c>
    </row>
    <row r="48" spans="1:18" ht="20" x14ac:dyDescent="0.2">
      <c r="A48" s="80" t="s">
        <v>2776</v>
      </c>
      <c r="B48" s="80" t="s">
        <v>2777</v>
      </c>
      <c r="C48" s="80" t="s">
        <v>9680</v>
      </c>
      <c r="D48" s="80" t="s">
        <v>84</v>
      </c>
      <c r="E48" s="80" t="s">
        <v>84</v>
      </c>
      <c r="F48" s="80"/>
      <c r="G48" s="80" t="s">
        <v>84</v>
      </c>
      <c r="H48" s="80" t="s">
        <v>9680</v>
      </c>
      <c r="I48" s="80" t="s">
        <v>84</v>
      </c>
      <c r="J48" s="80" t="s">
        <v>84</v>
      </c>
      <c r="K48" s="80" t="s">
        <v>84</v>
      </c>
      <c r="L48" s="80" t="s">
        <v>84</v>
      </c>
      <c r="M48" s="80" t="s">
        <v>84</v>
      </c>
      <c r="N48" s="80" t="s">
        <v>84</v>
      </c>
      <c r="O48" s="80" t="s">
        <v>84</v>
      </c>
      <c r="P48" s="80"/>
      <c r="Q48" s="80" t="s">
        <v>84</v>
      </c>
      <c r="R48" s="80" t="s">
        <v>84</v>
      </c>
    </row>
    <row r="49" spans="1:18" ht="20" x14ac:dyDescent="0.2">
      <c r="A49" s="80" t="s">
        <v>3005</v>
      </c>
      <c r="B49" s="80" t="s">
        <v>3006</v>
      </c>
      <c r="C49" s="80" t="s">
        <v>9680</v>
      </c>
      <c r="D49" s="80" t="s">
        <v>84</v>
      </c>
      <c r="E49" s="80" t="s">
        <v>84</v>
      </c>
      <c r="F49" s="80"/>
      <c r="G49" s="80" t="s">
        <v>84</v>
      </c>
      <c r="H49" s="80" t="s">
        <v>9680</v>
      </c>
      <c r="I49" s="80" t="s">
        <v>84</v>
      </c>
      <c r="J49" s="80" t="s">
        <v>84</v>
      </c>
      <c r="K49" s="80" t="s">
        <v>84</v>
      </c>
      <c r="L49" s="80" t="s">
        <v>84</v>
      </c>
      <c r="M49" s="80" t="s">
        <v>84</v>
      </c>
      <c r="N49" s="80" t="s">
        <v>84</v>
      </c>
      <c r="O49" s="80" t="s">
        <v>84</v>
      </c>
      <c r="P49" s="80"/>
      <c r="Q49" s="80" t="s">
        <v>84</v>
      </c>
      <c r="R49" s="80" t="s">
        <v>84</v>
      </c>
    </row>
    <row r="50" spans="1:18" ht="20" x14ac:dyDescent="0.2">
      <c r="A50" s="80" t="s">
        <v>9698</v>
      </c>
      <c r="B50" s="80" t="s">
        <v>3008</v>
      </c>
      <c r="C50" s="80" t="s">
        <v>9680</v>
      </c>
      <c r="D50" s="80" t="s">
        <v>84</v>
      </c>
      <c r="E50" s="80" t="s">
        <v>84</v>
      </c>
      <c r="F50" s="80"/>
      <c r="G50" s="80" t="s">
        <v>84</v>
      </c>
      <c r="H50" s="80" t="s">
        <v>84</v>
      </c>
      <c r="I50" s="80" t="s">
        <v>84</v>
      </c>
      <c r="J50" s="80" t="s">
        <v>84</v>
      </c>
      <c r="K50" s="80" t="s">
        <v>84</v>
      </c>
      <c r="L50" s="80" t="s">
        <v>84</v>
      </c>
      <c r="M50" s="80" t="s">
        <v>84</v>
      </c>
      <c r="N50" s="80" t="s">
        <v>84</v>
      </c>
      <c r="O50" s="80" t="s">
        <v>84</v>
      </c>
      <c r="P50" s="80"/>
      <c r="Q50" s="80" t="s">
        <v>84</v>
      </c>
      <c r="R50" s="80" t="s">
        <v>84</v>
      </c>
    </row>
    <row r="51" spans="1:18" ht="20" x14ac:dyDescent="0.2">
      <c r="A51" s="80" t="s">
        <v>2956</v>
      </c>
      <c r="B51" s="80" t="s">
        <v>2957</v>
      </c>
      <c r="C51" s="80" t="s">
        <v>9680</v>
      </c>
      <c r="D51" s="80" t="s">
        <v>84</v>
      </c>
      <c r="E51" s="80" t="s">
        <v>84</v>
      </c>
      <c r="F51" s="80"/>
      <c r="G51" s="80" t="s">
        <v>84</v>
      </c>
      <c r="H51" s="80" t="s">
        <v>84</v>
      </c>
      <c r="I51" s="80" t="s">
        <v>84</v>
      </c>
      <c r="J51" s="80" t="s">
        <v>84</v>
      </c>
      <c r="K51" s="80" t="s">
        <v>84</v>
      </c>
      <c r="L51" s="80" t="s">
        <v>84</v>
      </c>
      <c r="M51" s="80" t="s">
        <v>84</v>
      </c>
      <c r="N51" s="80" t="s">
        <v>84</v>
      </c>
      <c r="O51" s="80" t="s">
        <v>84</v>
      </c>
      <c r="P51" s="80"/>
      <c r="Q51" s="80" t="s">
        <v>84</v>
      </c>
      <c r="R51" s="80" t="s">
        <v>84</v>
      </c>
    </row>
    <row r="52" spans="1:18" ht="20" x14ac:dyDescent="0.2">
      <c r="A52" s="80" t="s">
        <v>2954</v>
      </c>
      <c r="B52" s="80" t="s">
        <v>2955</v>
      </c>
      <c r="C52" s="80" t="s">
        <v>9680</v>
      </c>
      <c r="D52" s="80" t="s">
        <v>84</v>
      </c>
      <c r="E52" s="80" t="s">
        <v>84</v>
      </c>
      <c r="F52" s="80"/>
      <c r="G52" s="80" t="s">
        <v>84</v>
      </c>
      <c r="H52" s="80" t="s">
        <v>84</v>
      </c>
      <c r="I52" s="80" t="s">
        <v>84</v>
      </c>
      <c r="J52" s="80" t="s">
        <v>84</v>
      </c>
      <c r="K52" s="80" t="s">
        <v>84</v>
      </c>
      <c r="L52" s="80" t="s">
        <v>84</v>
      </c>
      <c r="M52" s="80" t="s">
        <v>84</v>
      </c>
      <c r="N52" s="80" t="s">
        <v>84</v>
      </c>
      <c r="O52" s="80" t="s">
        <v>84</v>
      </c>
      <c r="P52" s="80"/>
      <c r="Q52" s="80" t="s">
        <v>84</v>
      </c>
      <c r="R52" s="80" t="s">
        <v>84</v>
      </c>
    </row>
    <row r="53" spans="1:18" ht="20" x14ac:dyDescent="0.2">
      <c r="A53" s="80" t="s">
        <v>9699</v>
      </c>
      <c r="B53" s="80" t="s">
        <v>9700</v>
      </c>
      <c r="C53" s="80" t="s">
        <v>9680</v>
      </c>
      <c r="D53" s="80" t="s">
        <v>84</v>
      </c>
      <c r="E53" s="80" t="s">
        <v>84</v>
      </c>
      <c r="F53" s="80"/>
      <c r="G53" s="80" t="s">
        <v>84</v>
      </c>
      <c r="H53" s="80" t="s">
        <v>84</v>
      </c>
      <c r="I53" s="80" t="s">
        <v>84</v>
      </c>
      <c r="J53" s="80" t="s">
        <v>84</v>
      </c>
      <c r="K53" s="80" t="s">
        <v>84</v>
      </c>
      <c r="L53" s="80" t="s">
        <v>84</v>
      </c>
      <c r="M53" s="80" t="s">
        <v>84</v>
      </c>
      <c r="N53" s="80" t="s">
        <v>84</v>
      </c>
      <c r="O53" s="80" t="s">
        <v>84</v>
      </c>
      <c r="P53" s="80"/>
      <c r="Q53" s="80" t="s">
        <v>84</v>
      </c>
      <c r="R53" s="80" t="s">
        <v>84</v>
      </c>
    </row>
    <row r="54" spans="1:18" ht="20" x14ac:dyDescent="0.2">
      <c r="A54" s="80" t="s">
        <v>3009</v>
      </c>
      <c r="B54" s="80" t="s">
        <v>3010</v>
      </c>
      <c r="C54" s="80" t="s">
        <v>9680</v>
      </c>
      <c r="D54" s="80" t="s">
        <v>9680</v>
      </c>
      <c r="E54" s="80" t="s">
        <v>9680</v>
      </c>
      <c r="F54" s="80"/>
      <c r="G54" s="80" t="s">
        <v>9680</v>
      </c>
      <c r="H54" s="80" t="s">
        <v>9680</v>
      </c>
      <c r="I54" s="80" t="s">
        <v>9680</v>
      </c>
      <c r="J54" s="80" t="s">
        <v>9680</v>
      </c>
      <c r="K54" s="80" t="s">
        <v>9680</v>
      </c>
      <c r="L54" s="80" t="s">
        <v>9680</v>
      </c>
      <c r="M54" s="80" t="s">
        <v>9680</v>
      </c>
      <c r="N54" s="80" t="s">
        <v>9680</v>
      </c>
      <c r="O54" s="80" t="s">
        <v>9680</v>
      </c>
      <c r="P54" s="80"/>
      <c r="Q54" s="80" t="s">
        <v>9680</v>
      </c>
      <c r="R54" s="80" t="s">
        <v>9680</v>
      </c>
    </row>
    <row r="55" spans="1:18" ht="20" x14ac:dyDescent="0.2">
      <c r="A55" s="80" t="s">
        <v>3011</v>
      </c>
      <c r="B55" s="80" t="s">
        <v>9701</v>
      </c>
      <c r="C55" s="80" t="s">
        <v>9680</v>
      </c>
      <c r="D55" s="80" t="s">
        <v>9680</v>
      </c>
      <c r="E55" s="80" t="s">
        <v>84</v>
      </c>
      <c r="F55" s="80"/>
      <c r="G55" s="80" t="s">
        <v>9680</v>
      </c>
      <c r="H55" s="80" t="s">
        <v>84</v>
      </c>
      <c r="I55" s="80" t="s">
        <v>9680</v>
      </c>
      <c r="J55" s="80" t="s">
        <v>9680</v>
      </c>
      <c r="K55" s="80" t="s">
        <v>9680</v>
      </c>
      <c r="L55" s="80" t="s">
        <v>9680</v>
      </c>
      <c r="M55" s="80" t="s">
        <v>9680</v>
      </c>
      <c r="N55" s="80" t="s">
        <v>84</v>
      </c>
      <c r="O55" s="80" t="s">
        <v>9680</v>
      </c>
      <c r="P55" s="80"/>
      <c r="Q55" s="80" t="s">
        <v>9680</v>
      </c>
      <c r="R55" s="80" t="s">
        <v>9680</v>
      </c>
    </row>
    <row r="56" spans="1:18" ht="20" x14ac:dyDescent="0.2">
      <c r="A56" s="80" t="s">
        <v>3011</v>
      </c>
      <c r="B56" s="80" t="s">
        <v>3012</v>
      </c>
      <c r="C56" s="80" t="s">
        <v>9680</v>
      </c>
      <c r="D56" s="80" t="s">
        <v>9680</v>
      </c>
      <c r="E56" s="80" t="s">
        <v>84</v>
      </c>
      <c r="F56" s="80"/>
      <c r="G56" s="80" t="s">
        <v>9680</v>
      </c>
      <c r="H56" s="80" t="s">
        <v>84</v>
      </c>
      <c r="I56" s="80" t="s">
        <v>9680</v>
      </c>
      <c r="J56" s="80" t="s">
        <v>9680</v>
      </c>
      <c r="K56" s="80" t="s">
        <v>9680</v>
      </c>
      <c r="L56" s="80" t="s">
        <v>9680</v>
      </c>
      <c r="M56" s="80" t="s">
        <v>9680</v>
      </c>
      <c r="N56" s="80" t="s">
        <v>84</v>
      </c>
      <c r="O56" s="80" t="s">
        <v>9680</v>
      </c>
      <c r="P56" s="80"/>
      <c r="Q56" s="80" t="s">
        <v>9680</v>
      </c>
      <c r="R56" s="80" t="s">
        <v>9680</v>
      </c>
    </row>
    <row r="57" spans="1:18" ht="20" x14ac:dyDescent="0.2">
      <c r="A57" s="80" t="s">
        <v>3013</v>
      </c>
      <c r="B57" s="80" t="s">
        <v>3014</v>
      </c>
      <c r="C57" s="80" t="s">
        <v>9680</v>
      </c>
      <c r="D57" s="80" t="s">
        <v>9680</v>
      </c>
      <c r="E57" s="80" t="s">
        <v>9680</v>
      </c>
      <c r="F57" s="80"/>
      <c r="G57" s="80" t="s">
        <v>9680</v>
      </c>
      <c r="H57" s="80" t="s">
        <v>9680</v>
      </c>
      <c r="I57" s="80" t="s">
        <v>9680</v>
      </c>
      <c r="J57" s="80" t="s">
        <v>9680</v>
      </c>
      <c r="K57" s="80" t="s">
        <v>9680</v>
      </c>
      <c r="L57" s="80" t="s">
        <v>9680</v>
      </c>
      <c r="M57" s="80" t="s">
        <v>9680</v>
      </c>
      <c r="N57" s="80" t="s">
        <v>9680</v>
      </c>
      <c r="O57" s="80" t="s">
        <v>9680</v>
      </c>
      <c r="P57" s="80"/>
      <c r="Q57" s="80" t="s">
        <v>9680</v>
      </c>
      <c r="R57" s="80" t="s">
        <v>9680</v>
      </c>
    </row>
    <row r="58" spans="1:18" ht="20" x14ac:dyDescent="0.2">
      <c r="A58" s="80" t="s">
        <v>3015</v>
      </c>
      <c r="B58" s="80" t="s">
        <v>3016</v>
      </c>
      <c r="C58" s="80" t="s">
        <v>9680</v>
      </c>
      <c r="D58" s="80" t="s">
        <v>9680</v>
      </c>
      <c r="E58" s="80" t="s">
        <v>9680</v>
      </c>
      <c r="F58" s="80"/>
      <c r="G58" s="80" t="s">
        <v>9680</v>
      </c>
      <c r="H58" s="80" t="s">
        <v>9680</v>
      </c>
      <c r="I58" s="80" t="s">
        <v>9680</v>
      </c>
      <c r="J58" s="80" t="s">
        <v>9680</v>
      </c>
      <c r="K58" s="80" t="s">
        <v>9680</v>
      </c>
      <c r="L58" s="80" t="s">
        <v>9680</v>
      </c>
      <c r="M58" s="80" t="s">
        <v>9680</v>
      </c>
      <c r="N58" s="80" t="s">
        <v>9680</v>
      </c>
      <c r="O58" s="80" t="s">
        <v>9680</v>
      </c>
      <c r="P58" s="80"/>
      <c r="Q58" s="80" t="s">
        <v>9680</v>
      </c>
      <c r="R58" s="80" t="s">
        <v>9680</v>
      </c>
    </row>
    <row r="59" spans="1:18" ht="20" x14ac:dyDescent="0.2">
      <c r="A59" s="80" t="s">
        <v>3017</v>
      </c>
      <c r="B59" s="80" t="s">
        <v>3018</v>
      </c>
      <c r="C59" s="80" t="s">
        <v>9680</v>
      </c>
      <c r="D59" s="80" t="s">
        <v>9680</v>
      </c>
      <c r="E59" s="80" t="s">
        <v>9680</v>
      </c>
      <c r="F59" s="80"/>
      <c r="G59" s="80" t="s">
        <v>9680</v>
      </c>
      <c r="H59" s="80" t="s">
        <v>9680</v>
      </c>
      <c r="I59" s="80" t="s">
        <v>9680</v>
      </c>
      <c r="J59" s="80" t="s">
        <v>9680</v>
      </c>
      <c r="K59" s="80" t="s">
        <v>9680</v>
      </c>
      <c r="L59" s="80" t="s">
        <v>9680</v>
      </c>
      <c r="M59" s="80" t="s">
        <v>9680</v>
      </c>
      <c r="N59" s="80" t="s">
        <v>9680</v>
      </c>
      <c r="O59" s="80" t="s">
        <v>9680</v>
      </c>
      <c r="P59" s="80"/>
      <c r="Q59" s="80" t="s">
        <v>9680</v>
      </c>
      <c r="R59" s="80" t="s">
        <v>9680</v>
      </c>
    </row>
    <row r="60" spans="1:18" ht="20" x14ac:dyDescent="0.2">
      <c r="A60" s="80" t="s">
        <v>3019</v>
      </c>
      <c r="B60" s="80" t="s">
        <v>3020</v>
      </c>
      <c r="C60" s="80" t="s">
        <v>9680</v>
      </c>
      <c r="D60" s="80" t="s">
        <v>9680</v>
      </c>
      <c r="E60" s="80" t="s">
        <v>9680</v>
      </c>
      <c r="F60" s="80"/>
      <c r="G60" s="80" t="s">
        <v>9680</v>
      </c>
      <c r="H60" s="80" t="s">
        <v>9680</v>
      </c>
      <c r="I60" s="80" t="s">
        <v>9680</v>
      </c>
      <c r="J60" s="80" t="s">
        <v>9680</v>
      </c>
      <c r="K60" s="80" t="s">
        <v>9680</v>
      </c>
      <c r="L60" s="80" t="s">
        <v>9680</v>
      </c>
      <c r="M60" s="80" t="s">
        <v>9680</v>
      </c>
      <c r="N60" s="80" t="s">
        <v>9680</v>
      </c>
      <c r="O60" s="80" t="s">
        <v>9680</v>
      </c>
      <c r="P60" s="80"/>
      <c r="Q60" s="80" t="s">
        <v>9680</v>
      </c>
      <c r="R60" s="80" t="s">
        <v>9680</v>
      </c>
    </row>
    <row r="61" spans="1:18" x14ac:dyDescent="0.2">
      <c r="A61" s="80" t="s">
        <v>3021</v>
      </c>
      <c r="B61" s="80" t="s">
        <v>3022</v>
      </c>
      <c r="C61" s="80" t="s">
        <v>84</v>
      </c>
      <c r="D61" s="80" t="s">
        <v>84</v>
      </c>
      <c r="E61" s="80" t="s">
        <v>84</v>
      </c>
      <c r="F61" s="80"/>
      <c r="G61" s="80" t="s">
        <v>84</v>
      </c>
      <c r="H61" s="80" t="s">
        <v>84</v>
      </c>
      <c r="I61" s="80" t="s">
        <v>84</v>
      </c>
      <c r="J61" s="80" t="s">
        <v>84</v>
      </c>
      <c r="K61" s="80" t="s">
        <v>84</v>
      </c>
      <c r="L61" s="80" t="s">
        <v>84</v>
      </c>
      <c r="M61" s="80" t="s">
        <v>84</v>
      </c>
      <c r="N61" s="80" t="s">
        <v>84</v>
      </c>
      <c r="O61" s="80" t="s">
        <v>84</v>
      </c>
      <c r="P61" s="80"/>
      <c r="Q61" s="80" t="s">
        <v>84</v>
      </c>
      <c r="R61" s="80" t="s">
        <v>84</v>
      </c>
    </row>
    <row r="62" spans="1:18" ht="20" x14ac:dyDescent="0.2">
      <c r="A62" s="80" t="s">
        <v>3023</v>
      </c>
      <c r="B62" s="80" t="s">
        <v>3024</v>
      </c>
      <c r="C62" s="80" t="s">
        <v>9680</v>
      </c>
      <c r="D62" s="80" t="s">
        <v>9680</v>
      </c>
      <c r="E62" s="80" t="s">
        <v>9680</v>
      </c>
      <c r="F62" s="80"/>
      <c r="G62" s="80" t="s">
        <v>9680</v>
      </c>
      <c r="H62" s="80" t="s">
        <v>9680</v>
      </c>
      <c r="I62" s="80" t="s">
        <v>9680</v>
      </c>
      <c r="J62" s="80" t="s">
        <v>9680</v>
      </c>
      <c r="K62" s="80" t="s">
        <v>9680</v>
      </c>
      <c r="L62" s="80" t="s">
        <v>9680</v>
      </c>
      <c r="M62" s="80" t="s">
        <v>9680</v>
      </c>
      <c r="N62" s="80" t="s">
        <v>9680</v>
      </c>
      <c r="O62" s="80" t="s">
        <v>9680</v>
      </c>
      <c r="P62" s="80"/>
      <c r="Q62" s="80" t="s">
        <v>9680</v>
      </c>
      <c r="R62" s="80" t="s">
        <v>9680</v>
      </c>
    </row>
    <row r="63" spans="1:18" ht="20" x14ac:dyDescent="0.2">
      <c r="A63" s="80" t="s">
        <v>3025</v>
      </c>
      <c r="B63" s="80" t="s">
        <v>3026</v>
      </c>
      <c r="C63" s="80" t="s">
        <v>9680</v>
      </c>
      <c r="D63" s="80" t="s">
        <v>9680</v>
      </c>
      <c r="E63" s="80" t="s">
        <v>9680</v>
      </c>
      <c r="F63" s="80"/>
      <c r="G63" s="80" t="s">
        <v>9680</v>
      </c>
      <c r="H63" s="80" t="s">
        <v>9680</v>
      </c>
      <c r="I63" s="80" t="s">
        <v>9680</v>
      </c>
      <c r="J63" s="80" t="s">
        <v>84</v>
      </c>
      <c r="K63" s="80" t="s">
        <v>9680</v>
      </c>
      <c r="L63" s="80" t="s">
        <v>9680</v>
      </c>
      <c r="M63" s="80" t="s">
        <v>84</v>
      </c>
      <c r="N63" s="80" t="s">
        <v>9680</v>
      </c>
      <c r="O63" s="80" t="s">
        <v>9680</v>
      </c>
      <c r="P63" s="80"/>
      <c r="Q63" s="80" t="s">
        <v>9680</v>
      </c>
      <c r="R63" s="80" t="s">
        <v>9680</v>
      </c>
    </row>
    <row r="64" spans="1:18" ht="20" x14ac:dyDescent="0.2">
      <c r="A64" s="80" t="s">
        <v>3025</v>
      </c>
      <c r="B64" s="80" t="s">
        <v>9702</v>
      </c>
      <c r="C64" s="80" t="s">
        <v>9680</v>
      </c>
      <c r="D64" s="80" t="s">
        <v>9680</v>
      </c>
      <c r="E64" s="80" t="s">
        <v>9680</v>
      </c>
      <c r="F64" s="80"/>
      <c r="G64" s="80" t="s">
        <v>9680</v>
      </c>
      <c r="H64" s="80" t="s">
        <v>9680</v>
      </c>
      <c r="I64" s="80" t="s">
        <v>9680</v>
      </c>
      <c r="J64" s="80" t="s">
        <v>84</v>
      </c>
      <c r="K64" s="80" t="s">
        <v>9680</v>
      </c>
      <c r="L64" s="80" t="s">
        <v>9680</v>
      </c>
      <c r="M64" s="80" t="s">
        <v>84</v>
      </c>
      <c r="N64" s="80" t="s">
        <v>9680</v>
      </c>
      <c r="O64" s="80" t="s">
        <v>9680</v>
      </c>
      <c r="P64" s="80"/>
      <c r="Q64" s="80" t="s">
        <v>9680</v>
      </c>
      <c r="R64" s="80" t="s">
        <v>9680</v>
      </c>
    </row>
    <row r="65" spans="1:18" ht="20" x14ac:dyDescent="0.2">
      <c r="A65" s="80" t="s">
        <v>3030</v>
      </c>
      <c r="B65" s="80" t="s">
        <v>3031</v>
      </c>
      <c r="C65" s="80" t="s">
        <v>9680</v>
      </c>
      <c r="D65" s="80" t="s">
        <v>9680</v>
      </c>
      <c r="E65" s="80" t="s">
        <v>84</v>
      </c>
      <c r="F65" s="80"/>
      <c r="G65" s="80" t="s">
        <v>84</v>
      </c>
      <c r="H65" s="80" t="s">
        <v>9680</v>
      </c>
      <c r="I65" s="80" t="s">
        <v>9680</v>
      </c>
      <c r="J65" s="80" t="s">
        <v>84</v>
      </c>
      <c r="K65" s="80" t="s">
        <v>9680</v>
      </c>
      <c r="L65" s="80" t="s">
        <v>9680</v>
      </c>
      <c r="M65" s="80" t="s">
        <v>84</v>
      </c>
      <c r="N65" s="80" t="s">
        <v>84</v>
      </c>
      <c r="O65" s="80" t="s">
        <v>9680</v>
      </c>
      <c r="P65" s="80"/>
      <c r="Q65" s="80" t="s">
        <v>9680</v>
      </c>
      <c r="R65" s="80" t="s">
        <v>9680</v>
      </c>
    </row>
    <row r="66" spans="1:18" ht="20" x14ac:dyDescent="0.2">
      <c r="A66" s="80" t="s">
        <v>3032</v>
      </c>
      <c r="B66" s="80" t="s">
        <v>3033</v>
      </c>
      <c r="C66" s="80" t="s">
        <v>9680</v>
      </c>
      <c r="D66" s="80" t="s">
        <v>9680</v>
      </c>
      <c r="E66" s="80" t="s">
        <v>84</v>
      </c>
      <c r="F66" s="80"/>
      <c r="G66" s="80" t="s">
        <v>84</v>
      </c>
      <c r="H66" s="80" t="s">
        <v>9680</v>
      </c>
      <c r="I66" s="80" t="s">
        <v>9680</v>
      </c>
      <c r="J66" s="80" t="s">
        <v>84</v>
      </c>
      <c r="K66" s="80" t="s">
        <v>9680</v>
      </c>
      <c r="L66" s="80" t="s">
        <v>9680</v>
      </c>
      <c r="M66" s="80" t="s">
        <v>84</v>
      </c>
      <c r="N66" s="80" t="s">
        <v>84</v>
      </c>
      <c r="O66" s="80" t="s">
        <v>9680</v>
      </c>
      <c r="P66" s="80"/>
      <c r="Q66" s="80" t="s">
        <v>9680</v>
      </c>
      <c r="R66" s="80" t="s">
        <v>9680</v>
      </c>
    </row>
    <row r="67" spans="1:18" ht="20" x14ac:dyDescent="0.2">
      <c r="A67" s="80" t="s">
        <v>3034</v>
      </c>
      <c r="B67" s="80" t="s">
        <v>3035</v>
      </c>
      <c r="C67" s="80" t="s">
        <v>9680</v>
      </c>
      <c r="D67" s="80" t="s">
        <v>9680</v>
      </c>
      <c r="E67" s="80" t="s">
        <v>84</v>
      </c>
      <c r="F67" s="80"/>
      <c r="G67" s="80" t="s">
        <v>84</v>
      </c>
      <c r="H67" s="80" t="s">
        <v>9680</v>
      </c>
      <c r="I67" s="80" t="s">
        <v>84</v>
      </c>
      <c r="J67" s="80" t="s">
        <v>84</v>
      </c>
      <c r="K67" s="80" t="s">
        <v>84</v>
      </c>
      <c r="L67" s="80" t="s">
        <v>84</v>
      </c>
      <c r="M67" s="80" t="s">
        <v>84</v>
      </c>
      <c r="N67" s="80" t="s">
        <v>84</v>
      </c>
      <c r="O67" s="80" t="s">
        <v>9680</v>
      </c>
      <c r="P67" s="80"/>
      <c r="Q67" s="80" t="s">
        <v>9680</v>
      </c>
      <c r="R67" s="80" t="s">
        <v>9680</v>
      </c>
    </row>
    <row r="68" spans="1:18" ht="20" x14ac:dyDescent="0.2">
      <c r="A68" s="80" t="s">
        <v>2875</v>
      </c>
      <c r="B68" s="80" t="s">
        <v>2876</v>
      </c>
      <c r="C68" s="80" t="s">
        <v>9680</v>
      </c>
      <c r="D68" s="80" t="s">
        <v>9680</v>
      </c>
      <c r="E68" s="80" t="s">
        <v>84</v>
      </c>
      <c r="F68" s="80"/>
      <c r="G68" s="80" t="s">
        <v>84</v>
      </c>
      <c r="H68" s="80" t="s">
        <v>9680</v>
      </c>
      <c r="I68" s="80" t="s">
        <v>9680</v>
      </c>
      <c r="J68" s="80" t="s">
        <v>84</v>
      </c>
      <c r="K68" s="80" t="s">
        <v>9680</v>
      </c>
      <c r="L68" s="80" t="s">
        <v>9680</v>
      </c>
      <c r="M68" s="80" t="s">
        <v>84</v>
      </c>
      <c r="N68" s="80" t="s">
        <v>84</v>
      </c>
      <c r="O68" s="80" t="s">
        <v>9680</v>
      </c>
      <c r="P68" s="80"/>
      <c r="Q68" s="80" t="s">
        <v>9680</v>
      </c>
      <c r="R68" s="80" t="s">
        <v>9680</v>
      </c>
    </row>
    <row r="69" spans="1:18" ht="20" x14ac:dyDescent="0.2">
      <c r="A69" s="80" t="s">
        <v>9703</v>
      </c>
      <c r="B69" s="80" t="s">
        <v>9704</v>
      </c>
      <c r="C69" s="80" t="s">
        <v>9680</v>
      </c>
      <c r="D69" s="80" t="s">
        <v>84</v>
      </c>
      <c r="E69" s="80" t="s">
        <v>84</v>
      </c>
      <c r="F69" s="80"/>
      <c r="G69" s="80" t="s">
        <v>84</v>
      </c>
      <c r="H69" s="80" t="s">
        <v>84</v>
      </c>
      <c r="I69" s="80" t="s">
        <v>84</v>
      </c>
      <c r="J69" s="80" t="s">
        <v>84</v>
      </c>
      <c r="K69" s="80" t="s">
        <v>84</v>
      </c>
      <c r="L69" s="80" t="s">
        <v>84</v>
      </c>
      <c r="M69" s="80" t="s">
        <v>84</v>
      </c>
      <c r="N69" s="80" t="s">
        <v>84</v>
      </c>
      <c r="O69" s="80" t="s">
        <v>84</v>
      </c>
      <c r="P69" s="80"/>
      <c r="Q69" s="80" t="s">
        <v>84</v>
      </c>
      <c r="R69" s="80" t="s">
        <v>84</v>
      </c>
    </row>
    <row r="70" spans="1:18" ht="20" x14ac:dyDescent="0.2">
      <c r="A70" s="80" t="s">
        <v>2877</v>
      </c>
      <c r="B70" s="80" t="s">
        <v>9705</v>
      </c>
      <c r="C70" s="80" t="s">
        <v>9680</v>
      </c>
      <c r="D70" s="80" t="s">
        <v>84</v>
      </c>
      <c r="E70" s="80" t="s">
        <v>84</v>
      </c>
      <c r="F70" s="80"/>
      <c r="G70" s="80" t="s">
        <v>84</v>
      </c>
      <c r="H70" s="80" t="s">
        <v>84</v>
      </c>
      <c r="I70" s="80" t="s">
        <v>84</v>
      </c>
      <c r="J70" s="80" t="s">
        <v>84</v>
      </c>
      <c r="K70" s="80" t="s">
        <v>84</v>
      </c>
      <c r="L70" s="80" t="s">
        <v>84</v>
      </c>
      <c r="M70" s="80" t="s">
        <v>84</v>
      </c>
      <c r="N70" s="80" t="s">
        <v>84</v>
      </c>
      <c r="O70" s="80" t="s">
        <v>84</v>
      </c>
      <c r="P70" s="80"/>
      <c r="Q70" s="80" t="s">
        <v>84</v>
      </c>
      <c r="R70" s="80" t="s">
        <v>84</v>
      </c>
    </row>
    <row r="71" spans="1:18" ht="20" x14ac:dyDescent="0.2">
      <c r="A71" s="80" t="s">
        <v>2877</v>
      </c>
      <c r="B71" s="80" t="s">
        <v>2878</v>
      </c>
      <c r="C71" s="80" t="s">
        <v>9680</v>
      </c>
      <c r="D71" s="80" t="s">
        <v>84</v>
      </c>
      <c r="E71" s="80" t="s">
        <v>84</v>
      </c>
      <c r="F71" s="80"/>
      <c r="G71" s="80" t="s">
        <v>84</v>
      </c>
      <c r="H71" s="80" t="s">
        <v>84</v>
      </c>
      <c r="I71" s="80" t="s">
        <v>84</v>
      </c>
      <c r="J71" s="80" t="s">
        <v>84</v>
      </c>
      <c r="K71" s="80" t="s">
        <v>84</v>
      </c>
      <c r="L71" s="80" t="s">
        <v>84</v>
      </c>
      <c r="M71" s="80" t="s">
        <v>84</v>
      </c>
      <c r="N71" s="80" t="s">
        <v>84</v>
      </c>
      <c r="O71" s="80" t="s">
        <v>84</v>
      </c>
      <c r="P71" s="80"/>
      <c r="Q71" s="80" t="s">
        <v>84</v>
      </c>
      <c r="R71" s="80" t="s">
        <v>84</v>
      </c>
    </row>
    <row r="72" spans="1:18" ht="20" x14ac:dyDescent="0.2">
      <c r="A72" s="80" t="s">
        <v>9706</v>
      </c>
      <c r="B72" s="80" t="s">
        <v>9707</v>
      </c>
      <c r="C72" s="80" t="s">
        <v>9680</v>
      </c>
      <c r="D72" s="80" t="s">
        <v>84</v>
      </c>
      <c r="E72" s="80" t="s">
        <v>84</v>
      </c>
      <c r="F72" s="80"/>
      <c r="G72" s="80" t="s">
        <v>84</v>
      </c>
      <c r="H72" s="80" t="s">
        <v>84</v>
      </c>
      <c r="I72" s="80" t="s">
        <v>84</v>
      </c>
      <c r="J72" s="80" t="s">
        <v>84</v>
      </c>
      <c r="K72" s="80" t="s">
        <v>84</v>
      </c>
      <c r="L72" s="80" t="s">
        <v>84</v>
      </c>
      <c r="M72" s="80" t="s">
        <v>84</v>
      </c>
      <c r="N72" s="80" t="s">
        <v>84</v>
      </c>
      <c r="O72" s="80" t="s">
        <v>84</v>
      </c>
      <c r="P72" s="80"/>
      <c r="Q72" s="80" t="s">
        <v>84</v>
      </c>
      <c r="R72" s="80" t="s">
        <v>84</v>
      </c>
    </row>
    <row r="73" spans="1:18" ht="20" x14ac:dyDescent="0.2">
      <c r="A73" s="80" t="s">
        <v>2884</v>
      </c>
      <c r="B73" s="80" t="s">
        <v>9708</v>
      </c>
      <c r="C73" s="80" t="s">
        <v>9680</v>
      </c>
      <c r="D73" s="80" t="s">
        <v>84</v>
      </c>
      <c r="E73" s="80" t="s">
        <v>84</v>
      </c>
      <c r="F73" s="80"/>
      <c r="G73" s="80" t="s">
        <v>84</v>
      </c>
      <c r="H73" s="80" t="s">
        <v>84</v>
      </c>
      <c r="I73" s="80" t="s">
        <v>84</v>
      </c>
      <c r="J73" s="80" t="s">
        <v>84</v>
      </c>
      <c r="K73" s="80" t="s">
        <v>84</v>
      </c>
      <c r="L73" s="80" t="s">
        <v>84</v>
      </c>
      <c r="M73" s="80" t="s">
        <v>84</v>
      </c>
      <c r="N73" s="80" t="s">
        <v>84</v>
      </c>
      <c r="O73" s="80" t="s">
        <v>84</v>
      </c>
      <c r="P73" s="80"/>
      <c r="Q73" s="80" t="s">
        <v>84</v>
      </c>
      <c r="R73" s="80" t="s">
        <v>84</v>
      </c>
    </row>
    <row r="74" spans="1:18" ht="20" x14ac:dyDescent="0.2">
      <c r="A74" s="80" t="s">
        <v>2884</v>
      </c>
      <c r="B74" s="80" t="s">
        <v>2885</v>
      </c>
      <c r="C74" s="80" t="s">
        <v>9680</v>
      </c>
      <c r="D74" s="80" t="s">
        <v>84</v>
      </c>
      <c r="E74" s="80" t="s">
        <v>84</v>
      </c>
      <c r="F74" s="80"/>
      <c r="G74" s="80" t="s">
        <v>84</v>
      </c>
      <c r="H74" s="80" t="s">
        <v>84</v>
      </c>
      <c r="I74" s="80" t="s">
        <v>84</v>
      </c>
      <c r="J74" s="80" t="s">
        <v>84</v>
      </c>
      <c r="K74" s="80" t="s">
        <v>84</v>
      </c>
      <c r="L74" s="80" t="s">
        <v>84</v>
      </c>
      <c r="M74" s="80" t="s">
        <v>84</v>
      </c>
      <c r="N74" s="80" t="s">
        <v>84</v>
      </c>
      <c r="O74" s="80" t="s">
        <v>84</v>
      </c>
      <c r="P74" s="80"/>
      <c r="Q74" s="80" t="s">
        <v>84</v>
      </c>
      <c r="R74" s="80" t="s">
        <v>84</v>
      </c>
    </row>
    <row r="75" spans="1:18" ht="20" x14ac:dyDescent="0.2">
      <c r="A75" s="80" t="s">
        <v>3036</v>
      </c>
      <c r="B75" s="80" t="s">
        <v>3037</v>
      </c>
      <c r="C75" s="80" t="s">
        <v>9680</v>
      </c>
      <c r="D75" s="80" t="s">
        <v>84</v>
      </c>
      <c r="E75" s="80" t="s">
        <v>84</v>
      </c>
      <c r="F75" s="80"/>
      <c r="G75" s="80" t="s">
        <v>84</v>
      </c>
      <c r="H75" s="80" t="s">
        <v>84</v>
      </c>
      <c r="I75" s="80" t="s">
        <v>84</v>
      </c>
      <c r="J75" s="80" t="s">
        <v>84</v>
      </c>
      <c r="K75" s="80" t="s">
        <v>84</v>
      </c>
      <c r="L75" s="80" t="s">
        <v>84</v>
      </c>
      <c r="M75" s="80" t="s">
        <v>84</v>
      </c>
      <c r="N75" s="80" t="s">
        <v>84</v>
      </c>
      <c r="O75" s="80" t="s">
        <v>84</v>
      </c>
      <c r="P75" s="80"/>
      <c r="Q75" s="80" t="s">
        <v>84</v>
      </c>
      <c r="R75" s="80" t="s">
        <v>84</v>
      </c>
    </row>
    <row r="76" spans="1:18" ht="20" x14ac:dyDescent="0.2">
      <c r="A76" s="80" t="s">
        <v>3038</v>
      </c>
      <c r="B76" s="80" t="s">
        <v>3039</v>
      </c>
      <c r="C76" s="80" t="s">
        <v>9680</v>
      </c>
      <c r="D76" s="80" t="s">
        <v>84</v>
      </c>
      <c r="E76" s="80" t="s">
        <v>84</v>
      </c>
      <c r="F76" s="80"/>
      <c r="G76" s="80" t="s">
        <v>84</v>
      </c>
      <c r="H76" s="80" t="s">
        <v>84</v>
      </c>
      <c r="I76" s="80" t="s">
        <v>84</v>
      </c>
      <c r="J76" s="80" t="s">
        <v>84</v>
      </c>
      <c r="K76" s="80" t="s">
        <v>84</v>
      </c>
      <c r="L76" s="80" t="s">
        <v>84</v>
      </c>
      <c r="M76" s="80" t="s">
        <v>84</v>
      </c>
      <c r="N76" s="80" t="s">
        <v>84</v>
      </c>
      <c r="O76" s="80" t="s">
        <v>84</v>
      </c>
      <c r="P76" s="80"/>
      <c r="Q76" s="80" t="s">
        <v>84</v>
      </c>
      <c r="R76" s="80" t="s">
        <v>84</v>
      </c>
    </row>
    <row r="77" spans="1:18" ht="20" x14ac:dyDescent="0.2">
      <c r="A77" s="80" t="s">
        <v>2922</v>
      </c>
      <c r="B77" s="80" t="s">
        <v>2923</v>
      </c>
      <c r="C77" s="80" t="s">
        <v>9680</v>
      </c>
      <c r="D77" s="80" t="s">
        <v>84</v>
      </c>
      <c r="E77" s="80" t="s">
        <v>84</v>
      </c>
      <c r="F77" s="80"/>
      <c r="G77" s="80" t="s">
        <v>84</v>
      </c>
      <c r="H77" s="80" t="s">
        <v>84</v>
      </c>
      <c r="I77" s="80" t="s">
        <v>84</v>
      </c>
      <c r="J77" s="80" t="s">
        <v>84</v>
      </c>
      <c r="K77" s="80" t="s">
        <v>84</v>
      </c>
      <c r="L77" s="80" t="s">
        <v>84</v>
      </c>
      <c r="M77" s="80" t="s">
        <v>84</v>
      </c>
      <c r="N77" s="80" t="s">
        <v>84</v>
      </c>
      <c r="O77" s="80" t="s">
        <v>84</v>
      </c>
      <c r="P77" s="80"/>
      <c r="Q77" s="80" t="s">
        <v>84</v>
      </c>
      <c r="R77" s="80" t="s">
        <v>84</v>
      </c>
    </row>
    <row r="78" spans="1:18" ht="20" x14ac:dyDescent="0.2">
      <c r="A78" s="80" t="s">
        <v>9709</v>
      </c>
      <c r="B78" s="80" t="s">
        <v>9710</v>
      </c>
      <c r="C78" s="80" t="s">
        <v>9680</v>
      </c>
      <c r="D78" s="80" t="s">
        <v>84</v>
      </c>
      <c r="E78" s="80" t="s">
        <v>84</v>
      </c>
      <c r="F78" s="80"/>
      <c r="G78" s="80" t="s">
        <v>84</v>
      </c>
      <c r="H78" s="80" t="s">
        <v>84</v>
      </c>
      <c r="I78" s="80" t="s">
        <v>84</v>
      </c>
      <c r="J78" s="80" t="s">
        <v>84</v>
      </c>
      <c r="K78" s="80" t="s">
        <v>84</v>
      </c>
      <c r="L78" s="80" t="s">
        <v>84</v>
      </c>
      <c r="M78" s="80" t="s">
        <v>84</v>
      </c>
      <c r="N78" s="80" t="s">
        <v>84</v>
      </c>
      <c r="O78" s="80" t="s">
        <v>84</v>
      </c>
      <c r="P78" s="80"/>
      <c r="Q78" s="80" t="s">
        <v>84</v>
      </c>
      <c r="R78" s="80" t="s">
        <v>84</v>
      </c>
    </row>
    <row r="79" spans="1:18" x14ac:dyDescent="0.2">
      <c r="A79" s="80" t="s">
        <v>3040</v>
      </c>
      <c r="B79" s="80" t="s">
        <v>3041</v>
      </c>
      <c r="C79" s="80" t="s">
        <v>84</v>
      </c>
      <c r="D79" s="80" t="s">
        <v>84</v>
      </c>
      <c r="E79" s="80" t="s">
        <v>84</v>
      </c>
      <c r="F79" s="80"/>
      <c r="G79" s="80" t="s">
        <v>84</v>
      </c>
      <c r="H79" s="80" t="s">
        <v>84</v>
      </c>
      <c r="I79" s="80" t="s">
        <v>84</v>
      </c>
      <c r="J79" s="80" t="s">
        <v>84</v>
      </c>
      <c r="K79" s="80" t="s">
        <v>84</v>
      </c>
      <c r="L79" s="80" t="s">
        <v>84</v>
      </c>
      <c r="M79" s="80" t="s">
        <v>84</v>
      </c>
      <c r="N79" s="80" t="s">
        <v>84</v>
      </c>
      <c r="O79" s="80" t="s">
        <v>84</v>
      </c>
      <c r="P79" s="80"/>
      <c r="Q79" s="80" t="s">
        <v>84</v>
      </c>
      <c r="R79" s="80" t="s">
        <v>84</v>
      </c>
    </row>
    <row r="80" spans="1:18" ht="20" x14ac:dyDescent="0.2">
      <c r="A80" s="80" t="s">
        <v>6789</v>
      </c>
      <c r="B80" s="80" t="s">
        <v>9711</v>
      </c>
      <c r="C80" s="80" t="s">
        <v>84</v>
      </c>
      <c r="D80" s="80" t="s">
        <v>84</v>
      </c>
      <c r="E80" s="80" t="s">
        <v>84</v>
      </c>
      <c r="F80" s="80"/>
      <c r="G80" s="80" t="s">
        <v>84</v>
      </c>
      <c r="H80" s="80" t="s">
        <v>84</v>
      </c>
      <c r="I80" s="80" t="s">
        <v>84</v>
      </c>
      <c r="J80" s="80" t="s">
        <v>84</v>
      </c>
      <c r="K80" s="80" t="s">
        <v>84</v>
      </c>
      <c r="L80" s="80" t="s">
        <v>84</v>
      </c>
      <c r="M80" s="80" t="s">
        <v>84</v>
      </c>
      <c r="N80" s="80" t="s">
        <v>84</v>
      </c>
      <c r="O80" s="80" t="s">
        <v>84</v>
      </c>
      <c r="P80" s="80"/>
      <c r="Q80" s="80" t="s">
        <v>84</v>
      </c>
      <c r="R80" s="80" t="s">
        <v>84</v>
      </c>
    </row>
    <row r="81" spans="1:18" x14ac:dyDescent="0.2">
      <c r="A81" s="80" t="s">
        <v>6789</v>
      </c>
      <c r="B81" s="80" t="s">
        <v>6790</v>
      </c>
      <c r="C81" s="80" t="s">
        <v>84</v>
      </c>
      <c r="D81" s="80" t="s">
        <v>84</v>
      </c>
      <c r="E81" s="80" t="s">
        <v>84</v>
      </c>
      <c r="F81" s="80"/>
      <c r="G81" s="80" t="s">
        <v>84</v>
      </c>
      <c r="H81" s="80" t="s">
        <v>84</v>
      </c>
      <c r="I81" s="80" t="s">
        <v>84</v>
      </c>
      <c r="J81" s="80" t="s">
        <v>84</v>
      </c>
      <c r="K81" s="80" t="s">
        <v>84</v>
      </c>
      <c r="L81" s="80" t="s">
        <v>84</v>
      </c>
      <c r="M81" s="80" t="s">
        <v>84</v>
      </c>
      <c r="N81" s="80" t="s">
        <v>84</v>
      </c>
      <c r="O81" s="80" t="s">
        <v>84</v>
      </c>
      <c r="P81" s="80"/>
      <c r="Q81" s="80" t="s">
        <v>84</v>
      </c>
      <c r="R81" s="80" t="s">
        <v>84</v>
      </c>
    </row>
    <row r="82" spans="1:18" ht="20" x14ac:dyDescent="0.2">
      <c r="A82" s="80" t="s">
        <v>9712</v>
      </c>
      <c r="B82" s="80" t="s">
        <v>9713</v>
      </c>
      <c r="C82" s="80" t="s">
        <v>9680</v>
      </c>
      <c r="D82" s="80" t="s">
        <v>84</v>
      </c>
      <c r="E82" s="80" t="s">
        <v>84</v>
      </c>
      <c r="F82" s="80"/>
      <c r="G82" s="80" t="s">
        <v>84</v>
      </c>
      <c r="H82" s="80" t="s">
        <v>84</v>
      </c>
      <c r="I82" s="80" t="s">
        <v>84</v>
      </c>
      <c r="J82" s="80" t="s">
        <v>84</v>
      </c>
      <c r="K82" s="80" t="s">
        <v>84</v>
      </c>
      <c r="L82" s="80" t="s">
        <v>84</v>
      </c>
      <c r="M82" s="80" t="s">
        <v>84</v>
      </c>
      <c r="N82" s="80" t="s">
        <v>84</v>
      </c>
      <c r="O82" s="80" t="s">
        <v>84</v>
      </c>
      <c r="P82" s="80"/>
      <c r="Q82" s="80" t="s">
        <v>84</v>
      </c>
      <c r="R82" s="80" t="s">
        <v>84</v>
      </c>
    </row>
    <row r="83" spans="1:18" ht="20" x14ac:dyDescent="0.2">
      <c r="A83" s="80" t="s">
        <v>9714</v>
      </c>
      <c r="B83" s="80" t="s">
        <v>9715</v>
      </c>
      <c r="C83" s="80" t="s">
        <v>9680</v>
      </c>
      <c r="D83" s="80" t="s">
        <v>84</v>
      </c>
      <c r="E83" s="80" t="s">
        <v>84</v>
      </c>
      <c r="F83" s="80"/>
      <c r="G83" s="80" t="s">
        <v>84</v>
      </c>
      <c r="H83" s="80" t="s">
        <v>84</v>
      </c>
      <c r="I83" s="80" t="s">
        <v>84</v>
      </c>
      <c r="J83" s="80" t="s">
        <v>84</v>
      </c>
      <c r="K83" s="80" t="s">
        <v>84</v>
      </c>
      <c r="L83" s="80" t="s">
        <v>84</v>
      </c>
      <c r="M83" s="80" t="s">
        <v>84</v>
      </c>
      <c r="N83" s="80" t="s">
        <v>84</v>
      </c>
      <c r="O83" s="80" t="s">
        <v>84</v>
      </c>
      <c r="P83" s="80"/>
      <c r="Q83" s="80" t="s">
        <v>84</v>
      </c>
      <c r="R83" s="80" t="s">
        <v>84</v>
      </c>
    </row>
    <row r="84" spans="1:18" x14ac:dyDescent="0.2">
      <c r="A84" s="80" t="s">
        <v>9716</v>
      </c>
      <c r="B84" s="80" t="s">
        <v>9717</v>
      </c>
      <c r="C84" s="80" t="s">
        <v>84</v>
      </c>
      <c r="D84" s="80" t="s">
        <v>84</v>
      </c>
      <c r="E84" s="80" t="s">
        <v>84</v>
      </c>
      <c r="F84" s="80"/>
      <c r="G84" s="80" t="s">
        <v>84</v>
      </c>
      <c r="H84" s="80" t="s">
        <v>84</v>
      </c>
      <c r="I84" s="80" t="s">
        <v>84</v>
      </c>
      <c r="J84" s="80" t="s">
        <v>84</v>
      </c>
      <c r="K84" s="80" t="s">
        <v>84</v>
      </c>
      <c r="L84" s="80" t="s">
        <v>84</v>
      </c>
      <c r="M84" s="80" t="s">
        <v>84</v>
      </c>
      <c r="N84" s="80" t="s">
        <v>84</v>
      </c>
      <c r="O84" s="80" t="s">
        <v>84</v>
      </c>
      <c r="P84" s="80"/>
      <c r="Q84" s="80" t="s">
        <v>84</v>
      </c>
      <c r="R84" s="80" t="s">
        <v>84</v>
      </c>
    </row>
    <row r="85" spans="1:18" ht="20" x14ac:dyDescent="0.2">
      <c r="A85" s="80" t="s">
        <v>9718</v>
      </c>
      <c r="B85" s="80" t="s">
        <v>9719</v>
      </c>
      <c r="C85" s="80" t="s">
        <v>9680</v>
      </c>
      <c r="D85" s="80" t="s">
        <v>84</v>
      </c>
      <c r="E85" s="80" t="s">
        <v>84</v>
      </c>
      <c r="F85" s="80"/>
      <c r="G85" s="80" t="s">
        <v>84</v>
      </c>
      <c r="H85" s="80" t="s">
        <v>84</v>
      </c>
      <c r="I85" s="80" t="s">
        <v>84</v>
      </c>
      <c r="J85" s="80" t="s">
        <v>84</v>
      </c>
      <c r="K85" s="80" t="s">
        <v>84</v>
      </c>
      <c r="L85" s="80" t="s">
        <v>84</v>
      </c>
      <c r="M85" s="80" t="s">
        <v>84</v>
      </c>
      <c r="N85" s="80" t="s">
        <v>84</v>
      </c>
      <c r="O85" s="80" t="s">
        <v>84</v>
      </c>
      <c r="P85" s="80"/>
      <c r="Q85" s="80" t="s">
        <v>84</v>
      </c>
      <c r="R85" s="80" t="s">
        <v>84</v>
      </c>
    </row>
    <row r="86" spans="1:18" ht="20" x14ac:dyDescent="0.2">
      <c r="A86" s="80" t="s">
        <v>9720</v>
      </c>
      <c r="B86" s="80" t="s">
        <v>9721</v>
      </c>
      <c r="C86" s="80" t="s">
        <v>9680</v>
      </c>
      <c r="D86" s="80" t="s">
        <v>84</v>
      </c>
      <c r="E86" s="80" t="s">
        <v>84</v>
      </c>
      <c r="F86" s="80"/>
      <c r="G86" s="80" t="s">
        <v>84</v>
      </c>
      <c r="H86" s="80" t="s">
        <v>84</v>
      </c>
      <c r="I86" s="80" t="s">
        <v>84</v>
      </c>
      <c r="J86" s="80" t="s">
        <v>84</v>
      </c>
      <c r="K86" s="80" t="s">
        <v>84</v>
      </c>
      <c r="L86" s="80" t="s">
        <v>84</v>
      </c>
      <c r="M86" s="80" t="s">
        <v>84</v>
      </c>
      <c r="N86" s="80" t="s">
        <v>84</v>
      </c>
      <c r="O86" s="80" t="s">
        <v>84</v>
      </c>
      <c r="P86" s="80"/>
      <c r="Q86" s="80" t="s">
        <v>84</v>
      </c>
      <c r="R86" s="80" t="s">
        <v>84</v>
      </c>
    </row>
    <row r="87" spans="1:18" ht="20" x14ac:dyDescent="0.2">
      <c r="A87" s="80" t="s">
        <v>3042</v>
      </c>
      <c r="B87" s="80" t="s">
        <v>3043</v>
      </c>
      <c r="C87" s="80" t="s">
        <v>9680</v>
      </c>
      <c r="D87" s="80" t="s">
        <v>84</v>
      </c>
      <c r="E87" s="80" t="s">
        <v>84</v>
      </c>
      <c r="F87" s="80"/>
      <c r="G87" s="80" t="s">
        <v>84</v>
      </c>
      <c r="H87" s="80" t="s">
        <v>84</v>
      </c>
      <c r="I87" s="80" t="s">
        <v>84</v>
      </c>
      <c r="J87" s="80" t="s">
        <v>84</v>
      </c>
      <c r="K87" s="80" t="s">
        <v>84</v>
      </c>
      <c r="L87" s="80" t="s">
        <v>84</v>
      </c>
      <c r="M87" s="80" t="s">
        <v>84</v>
      </c>
      <c r="N87" s="80" t="s">
        <v>84</v>
      </c>
      <c r="O87" s="80" t="s">
        <v>84</v>
      </c>
      <c r="P87" s="80"/>
      <c r="Q87" s="80" t="s">
        <v>84</v>
      </c>
      <c r="R87" s="80" t="s">
        <v>84</v>
      </c>
    </row>
    <row r="88" spans="1:18" ht="20" x14ac:dyDescent="0.2">
      <c r="A88" s="80" t="s">
        <v>2900</v>
      </c>
      <c r="B88" s="80" t="s">
        <v>2901</v>
      </c>
      <c r="C88" s="80" t="s">
        <v>9680</v>
      </c>
      <c r="D88" s="80" t="s">
        <v>84</v>
      </c>
      <c r="E88" s="80" t="s">
        <v>84</v>
      </c>
      <c r="F88" s="80"/>
      <c r="G88" s="80" t="s">
        <v>84</v>
      </c>
      <c r="H88" s="80" t="s">
        <v>84</v>
      </c>
      <c r="I88" s="80" t="s">
        <v>84</v>
      </c>
      <c r="J88" s="80" t="s">
        <v>84</v>
      </c>
      <c r="K88" s="80" t="s">
        <v>84</v>
      </c>
      <c r="L88" s="80" t="s">
        <v>84</v>
      </c>
      <c r="M88" s="80" t="s">
        <v>84</v>
      </c>
      <c r="N88" s="80" t="s">
        <v>84</v>
      </c>
      <c r="O88" s="80" t="s">
        <v>84</v>
      </c>
      <c r="P88" s="80"/>
      <c r="Q88" s="80" t="s">
        <v>84</v>
      </c>
      <c r="R88" s="80" t="s">
        <v>84</v>
      </c>
    </row>
    <row r="89" spans="1:18" ht="20" x14ac:dyDescent="0.2">
      <c r="A89" s="80" t="s">
        <v>2902</v>
      </c>
      <c r="B89" s="80" t="s">
        <v>2903</v>
      </c>
      <c r="C89" s="80" t="s">
        <v>84</v>
      </c>
      <c r="D89" s="80" t="s">
        <v>84</v>
      </c>
      <c r="E89" s="80" t="s">
        <v>84</v>
      </c>
      <c r="F89" s="80"/>
      <c r="G89" s="80" t="s">
        <v>84</v>
      </c>
      <c r="H89" s="80" t="s">
        <v>84</v>
      </c>
      <c r="I89" s="80" t="s">
        <v>84</v>
      </c>
      <c r="J89" s="80" t="s">
        <v>84</v>
      </c>
      <c r="K89" s="80" t="s">
        <v>84</v>
      </c>
      <c r="L89" s="80" t="s">
        <v>84</v>
      </c>
      <c r="M89" s="80" t="s">
        <v>84</v>
      </c>
      <c r="N89" s="80" t="s">
        <v>84</v>
      </c>
      <c r="O89" s="80" t="s">
        <v>84</v>
      </c>
      <c r="P89" s="80"/>
      <c r="Q89" s="80" t="s">
        <v>84</v>
      </c>
      <c r="R89" s="80" t="s">
        <v>84</v>
      </c>
    </row>
    <row r="90" spans="1:18" x14ac:dyDescent="0.2">
      <c r="A90" s="80" t="s">
        <v>3044</v>
      </c>
      <c r="B90" s="80" t="s">
        <v>3045</v>
      </c>
      <c r="C90" s="80" t="s">
        <v>9722</v>
      </c>
      <c r="D90" s="80" t="s">
        <v>84</v>
      </c>
      <c r="E90" s="80" t="s">
        <v>84</v>
      </c>
      <c r="F90" s="80"/>
      <c r="G90" s="80" t="s">
        <v>84</v>
      </c>
      <c r="H90" s="80" t="s">
        <v>84</v>
      </c>
      <c r="I90" s="80" t="s">
        <v>84</v>
      </c>
      <c r="J90" s="80" t="s">
        <v>84</v>
      </c>
      <c r="K90" s="80" t="s">
        <v>84</v>
      </c>
      <c r="L90" s="80" t="s">
        <v>84</v>
      </c>
      <c r="M90" s="80" t="s">
        <v>84</v>
      </c>
      <c r="N90" s="80" t="s">
        <v>84</v>
      </c>
      <c r="O90" s="80" t="s">
        <v>84</v>
      </c>
      <c r="P90" s="80"/>
      <c r="Q90" s="80" t="s">
        <v>84</v>
      </c>
      <c r="R90" s="80" t="s">
        <v>84</v>
      </c>
    </row>
    <row r="91" spans="1:18" ht="20" x14ac:dyDescent="0.2">
      <c r="A91" s="80" t="s">
        <v>2327</v>
      </c>
      <c r="B91" s="80" t="s">
        <v>9723</v>
      </c>
      <c r="C91" s="80" t="s">
        <v>9680</v>
      </c>
      <c r="D91" s="80" t="s">
        <v>9680</v>
      </c>
      <c r="E91" s="80" t="s">
        <v>9680</v>
      </c>
      <c r="F91" s="80"/>
      <c r="G91" s="80" t="s">
        <v>9680</v>
      </c>
      <c r="H91" s="80" t="s">
        <v>9680</v>
      </c>
      <c r="I91" s="80" t="s">
        <v>9680</v>
      </c>
      <c r="J91" s="80" t="s">
        <v>9680</v>
      </c>
      <c r="K91" s="80" t="s">
        <v>9680</v>
      </c>
      <c r="L91" s="80" t="s">
        <v>9680</v>
      </c>
      <c r="M91" s="80" t="s">
        <v>9680</v>
      </c>
      <c r="N91" s="80" t="s">
        <v>9680</v>
      </c>
      <c r="O91" s="80" t="s">
        <v>9680</v>
      </c>
      <c r="P91" s="80"/>
      <c r="Q91" s="80" t="s">
        <v>9680</v>
      </c>
      <c r="R91" s="80" t="s">
        <v>9680</v>
      </c>
    </row>
    <row r="92" spans="1:18" ht="20" x14ac:dyDescent="0.2">
      <c r="A92" s="80" t="s">
        <v>2327</v>
      </c>
      <c r="B92" s="80" t="s">
        <v>2328</v>
      </c>
      <c r="C92" s="80" t="s">
        <v>9680</v>
      </c>
      <c r="D92" s="80" t="s">
        <v>9680</v>
      </c>
      <c r="E92" s="80" t="s">
        <v>9680</v>
      </c>
      <c r="F92" s="80"/>
      <c r="G92" s="80" t="s">
        <v>9680</v>
      </c>
      <c r="H92" s="80" t="s">
        <v>9680</v>
      </c>
      <c r="I92" s="80" t="s">
        <v>9680</v>
      </c>
      <c r="J92" s="80" t="s">
        <v>9680</v>
      </c>
      <c r="K92" s="80" t="s">
        <v>9680</v>
      </c>
      <c r="L92" s="80" t="s">
        <v>9680</v>
      </c>
      <c r="M92" s="80" t="s">
        <v>9680</v>
      </c>
      <c r="N92" s="80" t="s">
        <v>9680</v>
      </c>
      <c r="O92" s="80" t="s">
        <v>9680</v>
      </c>
      <c r="P92" s="80"/>
      <c r="Q92" s="80" t="s">
        <v>9680</v>
      </c>
      <c r="R92" s="80" t="s">
        <v>9680</v>
      </c>
    </row>
    <row r="93" spans="1:18" ht="20" x14ac:dyDescent="0.2">
      <c r="A93" s="80" t="s">
        <v>2376</v>
      </c>
      <c r="B93" s="80" t="s">
        <v>9724</v>
      </c>
      <c r="C93" s="80" t="s">
        <v>9680</v>
      </c>
      <c r="D93" s="80" t="s">
        <v>9680</v>
      </c>
      <c r="E93" s="80" t="s">
        <v>84</v>
      </c>
      <c r="F93" s="80"/>
      <c r="G93" s="80" t="s">
        <v>9680</v>
      </c>
      <c r="H93" s="80" t="s">
        <v>84</v>
      </c>
      <c r="I93" s="80" t="s">
        <v>9680</v>
      </c>
      <c r="J93" s="80" t="s">
        <v>9680</v>
      </c>
      <c r="K93" s="80" t="s">
        <v>9680</v>
      </c>
      <c r="L93" s="80" t="s">
        <v>84</v>
      </c>
      <c r="M93" s="80" t="s">
        <v>9680</v>
      </c>
      <c r="N93" s="80" t="s">
        <v>84</v>
      </c>
      <c r="O93" s="80" t="s">
        <v>9680</v>
      </c>
      <c r="P93" s="80"/>
      <c r="Q93" s="80" t="s">
        <v>9680</v>
      </c>
      <c r="R93" s="80" t="s">
        <v>9680</v>
      </c>
    </row>
    <row r="94" spans="1:18" ht="20" x14ac:dyDescent="0.2">
      <c r="A94" s="80" t="s">
        <v>2376</v>
      </c>
      <c r="B94" s="80" t="s">
        <v>2377</v>
      </c>
      <c r="C94" s="80" t="s">
        <v>9680</v>
      </c>
      <c r="D94" s="80" t="s">
        <v>9680</v>
      </c>
      <c r="E94" s="80" t="s">
        <v>84</v>
      </c>
      <c r="F94" s="80"/>
      <c r="G94" s="80" t="s">
        <v>9680</v>
      </c>
      <c r="H94" s="80" t="s">
        <v>84</v>
      </c>
      <c r="I94" s="80" t="s">
        <v>9680</v>
      </c>
      <c r="J94" s="80" t="s">
        <v>9680</v>
      </c>
      <c r="K94" s="80" t="s">
        <v>9680</v>
      </c>
      <c r="L94" s="80" t="s">
        <v>84</v>
      </c>
      <c r="M94" s="80" t="s">
        <v>9680</v>
      </c>
      <c r="N94" s="80" t="s">
        <v>84</v>
      </c>
      <c r="O94" s="80" t="s">
        <v>9680</v>
      </c>
      <c r="P94" s="80"/>
      <c r="Q94" s="80" t="s">
        <v>9680</v>
      </c>
      <c r="R94" s="80" t="s">
        <v>9680</v>
      </c>
    </row>
    <row r="95" spans="1:18" ht="20" x14ac:dyDescent="0.2">
      <c r="A95" s="80" t="s">
        <v>2329</v>
      </c>
      <c r="B95" s="80" t="s">
        <v>2330</v>
      </c>
      <c r="C95" s="80" t="s">
        <v>9680</v>
      </c>
      <c r="D95" s="80" t="s">
        <v>9680</v>
      </c>
      <c r="E95" s="80" t="s">
        <v>9680</v>
      </c>
      <c r="F95" s="80"/>
      <c r="G95" s="80" t="s">
        <v>9680</v>
      </c>
      <c r="H95" s="80" t="s">
        <v>9680</v>
      </c>
      <c r="I95" s="80" t="s">
        <v>9680</v>
      </c>
      <c r="J95" s="80" t="s">
        <v>9680</v>
      </c>
      <c r="K95" s="80" t="s">
        <v>9680</v>
      </c>
      <c r="L95" s="80" t="s">
        <v>9680</v>
      </c>
      <c r="M95" s="80" t="s">
        <v>9680</v>
      </c>
      <c r="N95" s="80" t="s">
        <v>9680</v>
      </c>
      <c r="O95" s="80" t="s">
        <v>9680</v>
      </c>
      <c r="P95" s="80"/>
      <c r="Q95" s="80" t="s">
        <v>9680</v>
      </c>
      <c r="R95" s="80" t="s">
        <v>9680</v>
      </c>
    </row>
    <row r="96" spans="1:18" ht="20" x14ac:dyDescent="0.2">
      <c r="A96" s="80" t="s">
        <v>2395</v>
      </c>
      <c r="B96" s="80" t="s">
        <v>2396</v>
      </c>
      <c r="C96" s="80" t="s">
        <v>9680</v>
      </c>
      <c r="D96" s="80" t="s">
        <v>84</v>
      </c>
      <c r="E96" s="80" t="s">
        <v>84</v>
      </c>
      <c r="F96" s="80"/>
      <c r="G96" s="80" t="s">
        <v>84</v>
      </c>
      <c r="H96" s="80" t="s">
        <v>84</v>
      </c>
      <c r="I96" s="80" t="s">
        <v>84</v>
      </c>
      <c r="J96" s="80" t="s">
        <v>9680</v>
      </c>
      <c r="K96" s="80" t="s">
        <v>84</v>
      </c>
      <c r="L96" s="80" t="s">
        <v>84</v>
      </c>
      <c r="M96" s="80" t="s">
        <v>9680</v>
      </c>
      <c r="N96" s="80" t="s">
        <v>84</v>
      </c>
      <c r="O96" s="80" t="s">
        <v>9680</v>
      </c>
      <c r="P96" s="80"/>
      <c r="Q96" s="80" t="s">
        <v>9680</v>
      </c>
      <c r="R96" s="80" t="s">
        <v>9680</v>
      </c>
    </row>
    <row r="97" spans="1:18" ht="20" x14ac:dyDescent="0.2">
      <c r="A97" s="80" t="s">
        <v>2331</v>
      </c>
      <c r="B97" s="80" t="s">
        <v>9725</v>
      </c>
      <c r="C97" s="80" t="s">
        <v>9680</v>
      </c>
      <c r="D97" s="80" t="s">
        <v>9680</v>
      </c>
      <c r="E97" s="80" t="s">
        <v>9680</v>
      </c>
      <c r="F97" s="80"/>
      <c r="G97" s="80" t="s">
        <v>9680</v>
      </c>
      <c r="H97" s="80" t="s">
        <v>9680</v>
      </c>
      <c r="I97" s="80" t="s">
        <v>9680</v>
      </c>
      <c r="J97" s="80" t="s">
        <v>9680</v>
      </c>
      <c r="K97" s="80" t="s">
        <v>9680</v>
      </c>
      <c r="L97" s="80" t="s">
        <v>9680</v>
      </c>
      <c r="M97" s="80" t="s">
        <v>9680</v>
      </c>
      <c r="N97" s="80" t="s">
        <v>9680</v>
      </c>
      <c r="O97" s="80" t="s">
        <v>9680</v>
      </c>
      <c r="P97" s="80"/>
      <c r="Q97" s="80" t="s">
        <v>9680</v>
      </c>
      <c r="R97" s="80" t="s">
        <v>9680</v>
      </c>
    </row>
    <row r="98" spans="1:18" ht="20" x14ac:dyDescent="0.2">
      <c r="A98" s="80" t="s">
        <v>2331</v>
      </c>
      <c r="B98" s="80" t="s">
        <v>2332</v>
      </c>
      <c r="C98" s="80" t="s">
        <v>9680</v>
      </c>
      <c r="D98" s="80" t="s">
        <v>9680</v>
      </c>
      <c r="E98" s="80" t="s">
        <v>9680</v>
      </c>
      <c r="F98" s="80"/>
      <c r="G98" s="80" t="s">
        <v>9680</v>
      </c>
      <c r="H98" s="80" t="s">
        <v>9680</v>
      </c>
      <c r="I98" s="80" t="s">
        <v>9680</v>
      </c>
      <c r="J98" s="80" t="s">
        <v>9680</v>
      </c>
      <c r="K98" s="80" t="s">
        <v>9680</v>
      </c>
      <c r="L98" s="80" t="s">
        <v>9680</v>
      </c>
      <c r="M98" s="80" t="s">
        <v>9680</v>
      </c>
      <c r="N98" s="80" t="s">
        <v>9680</v>
      </c>
      <c r="O98" s="80" t="s">
        <v>9680</v>
      </c>
      <c r="P98" s="80"/>
      <c r="Q98" s="80" t="s">
        <v>9680</v>
      </c>
      <c r="R98" s="80" t="s">
        <v>9680</v>
      </c>
    </row>
    <row r="99" spans="1:18" ht="20" x14ac:dyDescent="0.2">
      <c r="A99" s="80" t="s">
        <v>2333</v>
      </c>
      <c r="B99" s="80" t="s">
        <v>9726</v>
      </c>
      <c r="C99" s="80" t="s">
        <v>9680</v>
      </c>
      <c r="D99" s="80" t="s">
        <v>9680</v>
      </c>
      <c r="E99" s="80" t="s">
        <v>84</v>
      </c>
      <c r="F99" s="80"/>
      <c r="G99" s="80" t="s">
        <v>9680</v>
      </c>
      <c r="H99" s="80" t="s">
        <v>84</v>
      </c>
      <c r="I99" s="80" t="s">
        <v>9680</v>
      </c>
      <c r="J99" s="80" t="s">
        <v>9680</v>
      </c>
      <c r="K99" s="80" t="s">
        <v>9680</v>
      </c>
      <c r="L99" s="80" t="s">
        <v>84</v>
      </c>
      <c r="M99" s="80" t="s">
        <v>9680</v>
      </c>
      <c r="N99" s="80" t="s">
        <v>84</v>
      </c>
      <c r="O99" s="80" t="s">
        <v>9680</v>
      </c>
      <c r="P99" s="80"/>
      <c r="Q99" s="80" t="s">
        <v>9680</v>
      </c>
      <c r="R99" s="80" t="s">
        <v>9680</v>
      </c>
    </row>
    <row r="100" spans="1:18" ht="20" x14ac:dyDescent="0.2">
      <c r="A100" s="80" t="s">
        <v>2333</v>
      </c>
      <c r="B100" s="80" t="s">
        <v>2334</v>
      </c>
      <c r="C100" s="80" t="s">
        <v>9680</v>
      </c>
      <c r="D100" s="80" t="s">
        <v>9680</v>
      </c>
      <c r="E100" s="80" t="s">
        <v>84</v>
      </c>
      <c r="F100" s="80"/>
      <c r="G100" s="80" t="s">
        <v>9680</v>
      </c>
      <c r="H100" s="80" t="s">
        <v>84</v>
      </c>
      <c r="I100" s="80" t="s">
        <v>9680</v>
      </c>
      <c r="J100" s="80" t="s">
        <v>9680</v>
      </c>
      <c r="K100" s="80" t="s">
        <v>9680</v>
      </c>
      <c r="L100" s="80" t="s">
        <v>84</v>
      </c>
      <c r="M100" s="80" t="s">
        <v>9680</v>
      </c>
      <c r="N100" s="80" t="s">
        <v>84</v>
      </c>
      <c r="O100" s="80" t="s">
        <v>9680</v>
      </c>
      <c r="P100" s="80"/>
      <c r="Q100" s="80" t="s">
        <v>9680</v>
      </c>
      <c r="R100" s="80" t="s">
        <v>9680</v>
      </c>
    </row>
    <row r="101" spans="1:18" ht="20" x14ac:dyDescent="0.2">
      <c r="A101" s="80" t="s">
        <v>2360</v>
      </c>
      <c r="B101" s="80" t="s">
        <v>9727</v>
      </c>
      <c r="C101" s="80" t="s">
        <v>84</v>
      </c>
      <c r="D101" s="80" t="s">
        <v>84</v>
      </c>
      <c r="E101" s="80" t="s">
        <v>84</v>
      </c>
      <c r="F101" s="80"/>
      <c r="G101" s="80" t="s">
        <v>84</v>
      </c>
      <c r="H101" s="80" t="s">
        <v>84</v>
      </c>
      <c r="I101" s="80" t="s">
        <v>84</v>
      </c>
      <c r="J101" s="80" t="s">
        <v>84</v>
      </c>
      <c r="K101" s="80" t="s">
        <v>84</v>
      </c>
      <c r="L101" s="80" t="s">
        <v>84</v>
      </c>
      <c r="M101" s="80" t="s">
        <v>84</v>
      </c>
      <c r="N101" s="80" t="s">
        <v>84</v>
      </c>
      <c r="O101" s="80" t="s">
        <v>84</v>
      </c>
      <c r="P101" s="80"/>
      <c r="Q101" s="80" t="s">
        <v>84</v>
      </c>
      <c r="R101" s="80" t="s">
        <v>84</v>
      </c>
    </row>
    <row r="102" spans="1:18" x14ac:dyDescent="0.2">
      <c r="A102" s="80" t="s">
        <v>2360</v>
      </c>
      <c r="B102" s="80" t="s">
        <v>9728</v>
      </c>
      <c r="C102" s="80" t="s">
        <v>84</v>
      </c>
      <c r="D102" s="80" t="s">
        <v>84</v>
      </c>
      <c r="E102" s="80" t="s">
        <v>84</v>
      </c>
      <c r="F102" s="80"/>
      <c r="G102" s="80" t="s">
        <v>84</v>
      </c>
      <c r="H102" s="80" t="s">
        <v>84</v>
      </c>
      <c r="I102" s="80" t="s">
        <v>84</v>
      </c>
      <c r="J102" s="80" t="s">
        <v>84</v>
      </c>
      <c r="K102" s="80" t="s">
        <v>84</v>
      </c>
      <c r="L102" s="80" t="s">
        <v>84</v>
      </c>
      <c r="M102" s="80" t="s">
        <v>84</v>
      </c>
      <c r="N102" s="80" t="s">
        <v>84</v>
      </c>
      <c r="O102" s="80" t="s">
        <v>84</v>
      </c>
      <c r="P102" s="80"/>
      <c r="Q102" s="80" t="s">
        <v>84</v>
      </c>
      <c r="R102" s="80" t="s">
        <v>84</v>
      </c>
    </row>
    <row r="103" spans="1:18" x14ac:dyDescent="0.2">
      <c r="A103" s="80" t="s">
        <v>2360</v>
      </c>
      <c r="B103" s="80" t="s">
        <v>2361</v>
      </c>
      <c r="C103" s="80" t="s">
        <v>84</v>
      </c>
      <c r="D103" s="80" t="s">
        <v>84</v>
      </c>
      <c r="E103" s="80" t="s">
        <v>84</v>
      </c>
      <c r="F103" s="80"/>
      <c r="G103" s="80" t="s">
        <v>84</v>
      </c>
      <c r="H103" s="80" t="s">
        <v>84</v>
      </c>
      <c r="I103" s="80" t="s">
        <v>84</v>
      </c>
      <c r="J103" s="80" t="s">
        <v>84</v>
      </c>
      <c r="K103" s="80" t="s">
        <v>84</v>
      </c>
      <c r="L103" s="80" t="s">
        <v>84</v>
      </c>
      <c r="M103" s="80" t="s">
        <v>84</v>
      </c>
      <c r="N103" s="80" t="s">
        <v>84</v>
      </c>
      <c r="O103" s="80" t="s">
        <v>84</v>
      </c>
      <c r="P103" s="80"/>
      <c r="Q103" s="80" t="s">
        <v>84</v>
      </c>
      <c r="R103" s="80" t="s">
        <v>84</v>
      </c>
    </row>
    <row r="104" spans="1:18" x14ac:dyDescent="0.2">
      <c r="A104" s="80" t="s">
        <v>2362</v>
      </c>
      <c r="B104" s="80" t="s">
        <v>9729</v>
      </c>
      <c r="C104" s="80" t="s">
        <v>84</v>
      </c>
      <c r="D104" s="80" t="s">
        <v>84</v>
      </c>
      <c r="E104" s="80" t="s">
        <v>84</v>
      </c>
      <c r="F104" s="80"/>
      <c r="G104" s="80" t="s">
        <v>84</v>
      </c>
      <c r="H104" s="80" t="s">
        <v>84</v>
      </c>
      <c r="I104" s="80" t="s">
        <v>84</v>
      </c>
      <c r="J104" s="80" t="s">
        <v>84</v>
      </c>
      <c r="K104" s="80" t="s">
        <v>84</v>
      </c>
      <c r="L104" s="80" t="s">
        <v>84</v>
      </c>
      <c r="M104" s="80" t="s">
        <v>84</v>
      </c>
      <c r="N104" s="80" t="s">
        <v>84</v>
      </c>
      <c r="O104" s="80" t="s">
        <v>84</v>
      </c>
      <c r="P104" s="80"/>
      <c r="Q104" s="80" t="s">
        <v>84</v>
      </c>
      <c r="R104" s="80" t="s">
        <v>84</v>
      </c>
    </row>
    <row r="105" spans="1:18" x14ac:dyDescent="0.2">
      <c r="A105" s="80" t="s">
        <v>2362</v>
      </c>
      <c r="B105" s="80" t="s">
        <v>2363</v>
      </c>
      <c r="C105" s="80" t="s">
        <v>84</v>
      </c>
      <c r="D105" s="80" t="s">
        <v>84</v>
      </c>
      <c r="E105" s="80" t="s">
        <v>84</v>
      </c>
      <c r="F105" s="80"/>
      <c r="G105" s="80" t="s">
        <v>84</v>
      </c>
      <c r="H105" s="80" t="s">
        <v>84</v>
      </c>
      <c r="I105" s="80" t="s">
        <v>84</v>
      </c>
      <c r="J105" s="80" t="s">
        <v>84</v>
      </c>
      <c r="K105" s="80" t="s">
        <v>84</v>
      </c>
      <c r="L105" s="80" t="s">
        <v>84</v>
      </c>
      <c r="M105" s="80" t="s">
        <v>84</v>
      </c>
      <c r="N105" s="80" t="s">
        <v>84</v>
      </c>
      <c r="O105" s="80" t="s">
        <v>84</v>
      </c>
      <c r="P105" s="80"/>
      <c r="Q105" s="80" t="s">
        <v>84</v>
      </c>
      <c r="R105" s="80" t="s">
        <v>84</v>
      </c>
    </row>
    <row r="106" spans="1:18" ht="20" x14ac:dyDescent="0.2">
      <c r="A106" s="80" t="s">
        <v>2335</v>
      </c>
      <c r="B106" s="80" t="s">
        <v>2336</v>
      </c>
      <c r="C106" s="80" t="s">
        <v>9680</v>
      </c>
      <c r="D106" s="80" t="s">
        <v>9680</v>
      </c>
      <c r="E106" s="80" t="s">
        <v>9680</v>
      </c>
      <c r="F106" s="80"/>
      <c r="G106" s="80" t="s">
        <v>9680</v>
      </c>
      <c r="H106" s="80" t="s">
        <v>9680</v>
      </c>
      <c r="I106" s="80" t="s">
        <v>9680</v>
      </c>
      <c r="J106" s="80" t="s">
        <v>9680</v>
      </c>
      <c r="K106" s="80" t="s">
        <v>9680</v>
      </c>
      <c r="L106" s="80" t="s">
        <v>9680</v>
      </c>
      <c r="M106" s="80" t="s">
        <v>9680</v>
      </c>
      <c r="N106" s="80" t="s">
        <v>9680</v>
      </c>
      <c r="O106" s="80" t="s">
        <v>9680</v>
      </c>
      <c r="P106" s="80"/>
      <c r="Q106" s="80" t="s">
        <v>9680</v>
      </c>
      <c r="R106" s="80" t="s">
        <v>9680</v>
      </c>
    </row>
    <row r="107" spans="1:18" ht="20" x14ac:dyDescent="0.2">
      <c r="A107" s="80" t="s">
        <v>2337</v>
      </c>
      <c r="B107" s="80" t="s">
        <v>2338</v>
      </c>
      <c r="C107" s="80" t="s">
        <v>9680</v>
      </c>
      <c r="D107" s="80" t="s">
        <v>9680</v>
      </c>
      <c r="E107" s="80" t="s">
        <v>9680</v>
      </c>
      <c r="F107" s="80"/>
      <c r="G107" s="80" t="s">
        <v>9680</v>
      </c>
      <c r="H107" s="80" t="s">
        <v>9680</v>
      </c>
      <c r="I107" s="80" t="s">
        <v>9680</v>
      </c>
      <c r="J107" s="80" t="s">
        <v>9680</v>
      </c>
      <c r="K107" s="80" t="s">
        <v>9680</v>
      </c>
      <c r="L107" s="80" t="s">
        <v>9680</v>
      </c>
      <c r="M107" s="80" t="s">
        <v>9680</v>
      </c>
      <c r="N107" s="80" t="s">
        <v>9680</v>
      </c>
      <c r="O107" s="80" t="s">
        <v>9680</v>
      </c>
      <c r="P107" s="80"/>
      <c r="Q107" s="80" t="s">
        <v>9680</v>
      </c>
      <c r="R107" s="80" t="s">
        <v>9680</v>
      </c>
    </row>
    <row r="108" spans="1:18" x14ac:dyDescent="0.2">
      <c r="A108" s="80" t="s">
        <v>2339</v>
      </c>
      <c r="B108" s="80" t="s">
        <v>2340</v>
      </c>
      <c r="C108" s="80" t="s">
        <v>84</v>
      </c>
      <c r="D108" s="80" t="s">
        <v>84</v>
      </c>
      <c r="E108" s="80" t="s">
        <v>84</v>
      </c>
      <c r="F108" s="80"/>
      <c r="G108" s="80" t="s">
        <v>84</v>
      </c>
      <c r="H108" s="80" t="s">
        <v>84</v>
      </c>
      <c r="I108" s="80" t="s">
        <v>84</v>
      </c>
      <c r="J108" s="80" t="s">
        <v>84</v>
      </c>
      <c r="K108" s="80" t="s">
        <v>84</v>
      </c>
      <c r="L108" s="80" t="s">
        <v>84</v>
      </c>
      <c r="M108" s="80" t="s">
        <v>84</v>
      </c>
      <c r="N108" s="80" t="s">
        <v>84</v>
      </c>
      <c r="O108" s="80" t="s">
        <v>84</v>
      </c>
      <c r="P108" s="80"/>
      <c r="Q108" s="80" t="s">
        <v>84</v>
      </c>
      <c r="R108" s="80" t="s">
        <v>84</v>
      </c>
    </row>
    <row r="109" spans="1:18" ht="20" x14ac:dyDescent="0.2">
      <c r="A109" s="80" t="s">
        <v>2342</v>
      </c>
      <c r="B109" s="80" t="s">
        <v>2343</v>
      </c>
      <c r="C109" s="80" t="s">
        <v>9680</v>
      </c>
      <c r="D109" s="80" t="s">
        <v>9680</v>
      </c>
      <c r="E109" s="80" t="s">
        <v>9680</v>
      </c>
      <c r="F109" s="80"/>
      <c r="G109" s="80" t="s">
        <v>9680</v>
      </c>
      <c r="H109" s="80" t="s">
        <v>9680</v>
      </c>
      <c r="I109" s="80" t="s">
        <v>9680</v>
      </c>
      <c r="J109" s="80" t="s">
        <v>9680</v>
      </c>
      <c r="K109" s="80" t="s">
        <v>9680</v>
      </c>
      <c r="L109" s="80" t="s">
        <v>9680</v>
      </c>
      <c r="M109" s="80" t="s">
        <v>9680</v>
      </c>
      <c r="N109" s="80" t="s">
        <v>9680</v>
      </c>
      <c r="O109" s="80" t="s">
        <v>9680</v>
      </c>
      <c r="P109" s="80"/>
      <c r="Q109" s="80" t="s">
        <v>9680</v>
      </c>
      <c r="R109" s="80" t="s">
        <v>9680</v>
      </c>
    </row>
    <row r="110" spans="1:18" x14ac:dyDescent="0.2">
      <c r="A110" s="80" t="s">
        <v>2344</v>
      </c>
      <c r="B110" s="80" t="s">
        <v>2345</v>
      </c>
      <c r="C110" s="80" t="s">
        <v>84</v>
      </c>
      <c r="D110" s="80" t="s">
        <v>84</v>
      </c>
      <c r="E110" s="80" t="s">
        <v>84</v>
      </c>
      <c r="F110" s="80"/>
      <c r="G110" s="80" t="s">
        <v>84</v>
      </c>
      <c r="H110" s="80" t="s">
        <v>84</v>
      </c>
      <c r="I110" s="80" t="s">
        <v>84</v>
      </c>
      <c r="J110" s="80" t="s">
        <v>84</v>
      </c>
      <c r="K110" s="80" t="s">
        <v>84</v>
      </c>
      <c r="L110" s="80" t="s">
        <v>84</v>
      </c>
      <c r="M110" s="80" t="s">
        <v>84</v>
      </c>
      <c r="N110" s="80" t="s">
        <v>84</v>
      </c>
      <c r="O110" s="80" t="s">
        <v>84</v>
      </c>
      <c r="P110" s="80"/>
      <c r="Q110" s="80" t="s">
        <v>84</v>
      </c>
      <c r="R110" s="80" t="s">
        <v>84</v>
      </c>
    </row>
    <row r="111" spans="1:18" x14ac:dyDescent="0.2">
      <c r="A111" s="80" t="s">
        <v>2389</v>
      </c>
      <c r="B111" s="80" t="s">
        <v>2390</v>
      </c>
      <c r="C111" s="80" t="s">
        <v>84</v>
      </c>
      <c r="D111" s="80" t="s">
        <v>84</v>
      </c>
      <c r="E111" s="80" t="s">
        <v>84</v>
      </c>
      <c r="F111" s="80"/>
      <c r="G111" s="80" t="s">
        <v>84</v>
      </c>
      <c r="H111" s="80" t="s">
        <v>84</v>
      </c>
      <c r="I111" s="80" t="s">
        <v>84</v>
      </c>
      <c r="J111" s="80" t="s">
        <v>84</v>
      </c>
      <c r="K111" s="80" t="s">
        <v>84</v>
      </c>
      <c r="L111" s="80" t="s">
        <v>84</v>
      </c>
      <c r="M111" s="80" t="s">
        <v>84</v>
      </c>
      <c r="N111" s="80" t="s">
        <v>84</v>
      </c>
      <c r="O111" s="80" t="s">
        <v>84</v>
      </c>
      <c r="P111" s="80"/>
      <c r="Q111" s="80" t="s">
        <v>84</v>
      </c>
      <c r="R111" s="80" t="s">
        <v>84</v>
      </c>
    </row>
    <row r="112" spans="1:18" ht="20" x14ac:dyDescent="0.2">
      <c r="A112" s="80" t="s">
        <v>2378</v>
      </c>
      <c r="B112" s="80" t="s">
        <v>2379</v>
      </c>
      <c r="C112" s="80" t="s">
        <v>9680</v>
      </c>
      <c r="D112" s="80" t="s">
        <v>9680</v>
      </c>
      <c r="E112" s="80" t="s">
        <v>9680</v>
      </c>
      <c r="F112" s="80"/>
      <c r="G112" s="80" t="s">
        <v>9680</v>
      </c>
      <c r="H112" s="80" t="s">
        <v>9680</v>
      </c>
      <c r="I112" s="80" t="s">
        <v>9680</v>
      </c>
      <c r="J112" s="80" t="s">
        <v>84</v>
      </c>
      <c r="K112" s="80" t="s">
        <v>9680</v>
      </c>
      <c r="L112" s="80" t="s">
        <v>9680</v>
      </c>
      <c r="M112" s="80" t="s">
        <v>84</v>
      </c>
      <c r="N112" s="80" t="s">
        <v>9680</v>
      </c>
      <c r="O112" s="80" t="s">
        <v>84</v>
      </c>
      <c r="P112" s="80"/>
      <c r="Q112" s="80" t="s">
        <v>84</v>
      </c>
      <c r="R112" s="80" t="s">
        <v>84</v>
      </c>
    </row>
    <row r="113" spans="1:18" ht="20" x14ac:dyDescent="0.2">
      <c r="A113" s="80" t="s">
        <v>2378</v>
      </c>
      <c r="B113" s="80" t="s">
        <v>9730</v>
      </c>
      <c r="C113" s="80" t="s">
        <v>9680</v>
      </c>
      <c r="D113" s="80" t="s">
        <v>9680</v>
      </c>
      <c r="E113" s="80" t="s">
        <v>9680</v>
      </c>
      <c r="F113" s="80"/>
      <c r="G113" s="80" t="s">
        <v>9680</v>
      </c>
      <c r="H113" s="80" t="s">
        <v>9680</v>
      </c>
      <c r="I113" s="80" t="s">
        <v>9680</v>
      </c>
      <c r="J113" s="80" t="s">
        <v>84</v>
      </c>
      <c r="K113" s="80" t="s">
        <v>9680</v>
      </c>
      <c r="L113" s="80" t="s">
        <v>9680</v>
      </c>
      <c r="M113" s="80" t="s">
        <v>84</v>
      </c>
      <c r="N113" s="80" t="s">
        <v>9680</v>
      </c>
      <c r="O113" s="80" t="s">
        <v>84</v>
      </c>
      <c r="P113" s="80"/>
      <c r="Q113" s="80" t="s">
        <v>84</v>
      </c>
      <c r="R113" s="80" t="s">
        <v>84</v>
      </c>
    </row>
    <row r="114" spans="1:18" ht="20" x14ac:dyDescent="0.2">
      <c r="A114" s="80" t="s">
        <v>2378</v>
      </c>
      <c r="B114" s="80" t="s">
        <v>9731</v>
      </c>
      <c r="C114" s="80" t="s">
        <v>9680</v>
      </c>
      <c r="D114" s="80" t="s">
        <v>9680</v>
      </c>
      <c r="E114" s="80" t="s">
        <v>9680</v>
      </c>
      <c r="F114" s="80"/>
      <c r="G114" s="80" t="s">
        <v>9680</v>
      </c>
      <c r="H114" s="80" t="s">
        <v>9680</v>
      </c>
      <c r="I114" s="80" t="s">
        <v>9680</v>
      </c>
      <c r="J114" s="80" t="s">
        <v>84</v>
      </c>
      <c r="K114" s="80" t="s">
        <v>9680</v>
      </c>
      <c r="L114" s="80" t="s">
        <v>9680</v>
      </c>
      <c r="M114" s="80" t="s">
        <v>84</v>
      </c>
      <c r="N114" s="80" t="s">
        <v>9680</v>
      </c>
      <c r="O114" s="80" t="s">
        <v>84</v>
      </c>
      <c r="P114" s="80"/>
      <c r="Q114" s="80" t="s">
        <v>84</v>
      </c>
      <c r="R114" s="80" t="s">
        <v>84</v>
      </c>
    </row>
    <row r="115" spans="1:18" ht="20" x14ac:dyDescent="0.2">
      <c r="A115" s="80" t="s">
        <v>2364</v>
      </c>
      <c r="B115" s="80" t="s">
        <v>2365</v>
      </c>
      <c r="C115" s="80" t="s">
        <v>9680</v>
      </c>
      <c r="D115" s="80" t="s">
        <v>84</v>
      </c>
      <c r="E115" s="80" t="s">
        <v>84</v>
      </c>
      <c r="F115" s="80"/>
      <c r="G115" s="80" t="s">
        <v>84</v>
      </c>
      <c r="H115" s="80" t="s">
        <v>84</v>
      </c>
      <c r="I115" s="80" t="s">
        <v>84</v>
      </c>
      <c r="J115" s="80" t="s">
        <v>84</v>
      </c>
      <c r="K115" s="80" t="s">
        <v>84</v>
      </c>
      <c r="L115" s="80" t="s">
        <v>84</v>
      </c>
      <c r="M115" s="80" t="s">
        <v>84</v>
      </c>
      <c r="N115" s="80" t="s">
        <v>84</v>
      </c>
      <c r="O115" s="80" t="s">
        <v>84</v>
      </c>
      <c r="P115" s="80"/>
      <c r="Q115" s="80" t="s">
        <v>84</v>
      </c>
      <c r="R115" s="80" t="s">
        <v>84</v>
      </c>
    </row>
    <row r="116" spans="1:18" ht="20" x14ac:dyDescent="0.2">
      <c r="A116" s="80" t="s">
        <v>2366</v>
      </c>
      <c r="B116" s="80" t="s">
        <v>2367</v>
      </c>
      <c r="C116" s="80" t="s">
        <v>9680</v>
      </c>
      <c r="D116" s="80" t="s">
        <v>84</v>
      </c>
      <c r="E116" s="80" t="s">
        <v>84</v>
      </c>
      <c r="F116" s="80"/>
      <c r="G116" s="80" t="s">
        <v>84</v>
      </c>
      <c r="H116" s="80" t="s">
        <v>84</v>
      </c>
      <c r="I116" s="80" t="s">
        <v>84</v>
      </c>
      <c r="J116" s="80" t="s">
        <v>84</v>
      </c>
      <c r="K116" s="80" t="s">
        <v>84</v>
      </c>
      <c r="L116" s="80" t="s">
        <v>84</v>
      </c>
      <c r="M116" s="80" t="s">
        <v>84</v>
      </c>
      <c r="N116" s="80" t="s">
        <v>84</v>
      </c>
      <c r="O116" s="80" t="s">
        <v>84</v>
      </c>
      <c r="P116" s="80"/>
      <c r="Q116" s="80" t="s">
        <v>84</v>
      </c>
      <c r="R116" s="80" t="s">
        <v>84</v>
      </c>
    </row>
    <row r="117" spans="1:18" ht="20" x14ac:dyDescent="0.2">
      <c r="A117" s="80" t="s">
        <v>2368</v>
      </c>
      <c r="B117" s="80" t="s">
        <v>2369</v>
      </c>
      <c r="C117" s="80" t="s">
        <v>9680</v>
      </c>
      <c r="D117" s="80" t="s">
        <v>84</v>
      </c>
      <c r="E117" s="80" t="s">
        <v>84</v>
      </c>
      <c r="F117" s="80"/>
      <c r="G117" s="80" t="s">
        <v>84</v>
      </c>
      <c r="H117" s="80" t="s">
        <v>84</v>
      </c>
      <c r="I117" s="80" t="s">
        <v>84</v>
      </c>
      <c r="J117" s="80" t="s">
        <v>84</v>
      </c>
      <c r="K117" s="80" t="s">
        <v>84</v>
      </c>
      <c r="L117" s="80" t="s">
        <v>84</v>
      </c>
      <c r="M117" s="80" t="s">
        <v>84</v>
      </c>
      <c r="N117" s="80" t="s">
        <v>84</v>
      </c>
      <c r="O117" s="80" t="s">
        <v>84</v>
      </c>
      <c r="P117" s="80"/>
      <c r="Q117" s="80" t="s">
        <v>84</v>
      </c>
      <c r="R117" s="80" t="s">
        <v>84</v>
      </c>
    </row>
    <row r="118" spans="1:18" ht="20" x14ac:dyDescent="0.2">
      <c r="A118" s="80" t="s">
        <v>2393</v>
      </c>
      <c r="B118" s="80" t="s">
        <v>2394</v>
      </c>
      <c r="C118" s="80" t="s">
        <v>9680</v>
      </c>
      <c r="D118" s="80" t="s">
        <v>84</v>
      </c>
      <c r="E118" s="80" t="s">
        <v>84</v>
      </c>
      <c r="F118" s="80"/>
      <c r="G118" s="80" t="s">
        <v>84</v>
      </c>
      <c r="H118" s="80" t="s">
        <v>84</v>
      </c>
      <c r="I118" s="80" t="s">
        <v>84</v>
      </c>
      <c r="J118" s="80" t="s">
        <v>84</v>
      </c>
      <c r="K118" s="80" t="s">
        <v>84</v>
      </c>
      <c r="L118" s="80" t="s">
        <v>84</v>
      </c>
      <c r="M118" s="80" t="s">
        <v>84</v>
      </c>
      <c r="N118" s="80" t="s">
        <v>84</v>
      </c>
      <c r="O118" s="80" t="s">
        <v>84</v>
      </c>
      <c r="P118" s="80"/>
      <c r="Q118" s="80" t="s">
        <v>84</v>
      </c>
      <c r="R118" s="80" t="s">
        <v>84</v>
      </c>
    </row>
    <row r="119" spans="1:18" ht="20" x14ac:dyDescent="0.2">
      <c r="A119" s="80" t="s">
        <v>9732</v>
      </c>
      <c r="B119" s="80" t="s">
        <v>2403</v>
      </c>
      <c r="C119" s="80" t="s">
        <v>9680</v>
      </c>
      <c r="D119" s="80" t="s">
        <v>84</v>
      </c>
      <c r="E119" s="80" t="s">
        <v>84</v>
      </c>
      <c r="F119" s="80"/>
      <c r="G119" s="80" t="s">
        <v>84</v>
      </c>
      <c r="H119" s="80" t="s">
        <v>84</v>
      </c>
      <c r="I119" s="80" t="s">
        <v>84</v>
      </c>
      <c r="J119" s="80" t="s">
        <v>84</v>
      </c>
      <c r="K119" s="80" t="s">
        <v>84</v>
      </c>
      <c r="L119" s="80" t="s">
        <v>84</v>
      </c>
      <c r="M119" s="80" t="s">
        <v>84</v>
      </c>
      <c r="N119" s="80" t="s">
        <v>84</v>
      </c>
      <c r="O119" s="80" t="s">
        <v>84</v>
      </c>
      <c r="P119" s="80"/>
      <c r="Q119" s="80" t="s">
        <v>84</v>
      </c>
      <c r="R119" s="80" t="s">
        <v>84</v>
      </c>
    </row>
    <row r="120" spans="1:18" ht="20" x14ac:dyDescent="0.2">
      <c r="A120" s="80" t="s">
        <v>2387</v>
      </c>
      <c r="B120" s="80" t="s">
        <v>2388</v>
      </c>
      <c r="C120" s="80" t="s">
        <v>9680</v>
      </c>
      <c r="D120" s="80" t="s">
        <v>84</v>
      </c>
      <c r="E120" s="80" t="s">
        <v>84</v>
      </c>
      <c r="F120" s="80"/>
      <c r="G120" s="80" t="s">
        <v>84</v>
      </c>
      <c r="H120" s="80" t="s">
        <v>84</v>
      </c>
      <c r="I120" s="80" t="s">
        <v>84</v>
      </c>
      <c r="J120" s="80" t="s">
        <v>84</v>
      </c>
      <c r="K120" s="80" t="s">
        <v>84</v>
      </c>
      <c r="L120" s="80" t="s">
        <v>84</v>
      </c>
      <c r="M120" s="80" t="s">
        <v>84</v>
      </c>
      <c r="N120" s="80" t="s">
        <v>84</v>
      </c>
      <c r="O120" s="80" t="s">
        <v>84</v>
      </c>
      <c r="P120" s="80"/>
      <c r="Q120" s="80" t="s">
        <v>84</v>
      </c>
      <c r="R120" s="80" t="s">
        <v>84</v>
      </c>
    </row>
    <row r="121" spans="1:18" ht="20" x14ac:dyDescent="0.2">
      <c r="A121" s="80" t="s">
        <v>2303</v>
      </c>
      <c r="B121" s="80" t="s">
        <v>2304</v>
      </c>
      <c r="C121" s="80" t="s">
        <v>9680</v>
      </c>
      <c r="D121" s="80" t="s">
        <v>84</v>
      </c>
      <c r="E121" s="80" t="s">
        <v>84</v>
      </c>
      <c r="F121" s="80"/>
      <c r="G121" s="80" t="s">
        <v>84</v>
      </c>
      <c r="H121" s="80" t="s">
        <v>84</v>
      </c>
      <c r="I121" s="80" t="s">
        <v>84</v>
      </c>
      <c r="J121" s="80" t="s">
        <v>84</v>
      </c>
      <c r="K121" s="80" t="s">
        <v>84</v>
      </c>
      <c r="L121" s="80" t="s">
        <v>84</v>
      </c>
      <c r="M121" s="80" t="s">
        <v>84</v>
      </c>
      <c r="N121" s="80" t="s">
        <v>84</v>
      </c>
      <c r="O121" s="80" t="s">
        <v>84</v>
      </c>
      <c r="P121" s="80"/>
      <c r="Q121" s="80" t="s">
        <v>84</v>
      </c>
      <c r="R121" s="80" t="s">
        <v>84</v>
      </c>
    </row>
    <row r="122" spans="1:18" ht="20" x14ac:dyDescent="0.2">
      <c r="A122" s="80" t="s">
        <v>2303</v>
      </c>
      <c r="B122" s="80" t="s">
        <v>2416</v>
      </c>
      <c r="C122" s="80" t="s">
        <v>9680</v>
      </c>
      <c r="D122" s="80" t="s">
        <v>84</v>
      </c>
      <c r="E122" s="80" t="s">
        <v>84</v>
      </c>
      <c r="F122" s="80"/>
      <c r="G122" s="80" t="s">
        <v>84</v>
      </c>
      <c r="H122" s="80" t="s">
        <v>84</v>
      </c>
      <c r="I122" s="80" t="s">
        <v>84</v>
      </c>
      <c r="J122" s="80" t="s">
        <v>84</v>
      </c>
      <c r="K122" s="80" t="s">
        <v>84</v>
      </c>
      <c r="L122" s="80" t="s">
        <v>84</v>
      </c>
      <c r="M122" s="80" t="s">
        <v>84</v>
      </c>
      <c r="N122" s="80" t="s">
        <v>84</v>
      </c>
      <c r="O122" s="80" t="s">
        <v>84</v>
      </c>
      <c r="P122" s="80"/>
      <c r="Q122" s="80" t="s">
        <v>84</v>
      </c>
      <c r="R122" s="80" t="s">
        <v>84</v>
      </c>
    </row>
    <row r="123" spans="1:18" ht="20" x14ac:dyDescent="0.2">
      <c r="A123" s="80" t="s">
        <v>2370</v>
      </c>
      <c r="B123" s="80" t="s">
        <v>2371</v>
      </c>
      <c r="C123" s="80" t="s">
        <v>9680</v>
      </c>
      <c r="D123" s="80" t="s">
        <v>84</v>
      </c>
      <c r="E123" s="80" t="s">
        <v>84</v>
      </c>
      <c r="F123" s="80"/>
      <c r="G123" s="80" t="s">
        <v>84</v>
      </c>
      <c r="H123" s="80" t="s">
        <v>84</v>
      </c>
      <c r="I123" s="80" t="s">
        <v>84</v>
      </c>
      <c r="J123" s="80" t="s">
        <v>84</v>
      </c>
      <c r="K123" s="80" t="s">
        <v>84</v>
      </c>
      <c r="L123" s="80" t="s">
        <v>84</v>
      </c>
      <c r="M123" s="80" t="s">
        <v>84</v>
      </c>
      <c r="N123" s="80" t="s">
        <v>84</v>
      </c>
      <c r="O123" s="80" t="s">
        <v>84</v>
      </c>
      <c r="P123" s="80"/>
      <c r="Q123" s="80" t="s">
        <v>84</v>
      </c>
      <c r="R123" s="80" t="s">
        <v>84</v>
      </c>
    </row>
    <row r="124" spans="1:18" ht="20" x14ac:dyDescent="0.2">
      <c r="A124" s="80" t="s">
        <v>2408</v>
      </c>
      <c r="B124" s="80" t="s">
        <v>2409</v>
      </c>
      <c r="C124" s="80" t="s">
        <v>9680</v>
      </c>
      <c r="D124" s="80" t="s">
        <v>84</v>
      </c>
      <c r="E124" s="80" t="s">
        <v>84</v>
      </c>
      <c r="F124" s="80"/>
      <c r="G124" s="80" t="s">
        <v>84</v>
      </c>
      <c r="H124" s="80" t="s">
        <v>84</v>
      </c>
      <c r="I124" s="80" t="s">
        <v>84</v>
      </c>
      <c r="J124" s="80" t="s">
        <v>84</v>
      </c>
      <c r="K124" s="80" t="s">
        <v>84</v>
      </c>
      <c r="L124" s="80" t="s">
        <v>84</v>
      </c>
      <c r="M124" s="80" t="s">
        <v>84</v>
      </c>
      <c r="N124" s="80" t="s">
        <v>84</v>
      </c>
      <c r="O124" s="80" t="s">
        <v>84</v>
      </c>
      <c r="P124" s="80"/>
      <c r="Q124" s="80" t="s">
        <v>84</v>
      </c>
      <c r="R124" s="80" t="s">
        <v>84</v>
      </c>
    </row>
    <row r="125" spans="1:18" ht="20" x14ac:dyDescent="0.2">
      <c r="A125" s="80" t="s">
        <v>2317</v>
      </c>
      <c r="B125" s="80" t="s">
        <v>2318</v>
      </c>
      <c r="C125" s="80" t="s">
        <v>9680</v>
      </c>
      <c r="D125" s="80" t="s">
        <v>84</v>
      </c>
      <c r="E125" s="80" t="s">
        <v>84</v>
      </c>
      <c r="F125" s="80"/>
      <c r="G125" s="80" t="s">
        <v>84</v>
      </c>
      <c r="H125" s="80" t="s">
        <v>84</v>
      </c>
      <c r="I125" s="80" t="s">
        <v>84</v>
      </c>
      <c r="J125" s="80" t="s">
        <v>84</v>
      </c>
      <c r="K125" s="80" t="s">
        <v>84</v>
      </c>
      <c r="L125" s="80" t="s">
        <v>84</v>
      </c>
      <c r="M125" s="80" t="s">
        <v>84</v>
      </c>
      <c r="N125" s="80" t="s">
        <v>84</v>
      </c>
      <c r="O125" s="80" t="s">
        <v>84</v>
      </c>
      <c r="P125" s="80"/>
      <c r="Q125" s="80" t="s">
        <v>84</v>
      </c>
      <c r="R125" s="80" t="s">
        <v>84</v>
      </c>
    </row>
    <row r="126" spans="1:18" ht="20" x14ac:dyDescent="0.2">
      <c r="A126" s="80" t="s">
        <v>2317</v>
      </c>
      <c r="B126" s="80" t="s">
        <v>2410</v>
      </c>
      <c r="C126" s="80" t="s">
        <v>9680</v>
      </c>
      <c r="D126" s="80" t="s">
        <v>84</v>
      </c>
      <c r="E126" s="80" t="s">
        <v>84</v>
      </c>
      <c r="F126" s="80"/>
      <c r="G126" s="80" t="s">
        <v>84</v>
      </c>
      <c r="H126" s="80" t="s">
        <v>84</v>
      </c>
      <c r="I126" s="80" t="s">
        <v>84</v>
      </c>
      <c r="J126" s="80" t="s">
        <v>84</v>
      </c>
      <c r="K126" s="80" t="s">
        <v>84</v>
      </c>
      <c r="L126" s="80" t="s">
        <v>84</v>
      </c>
      <c r="M126" s="80" t="s">
        <v>84</v>
      </c>
      <c r="N126" s="80" t="s">
        <v>84</v>
      </c>
      <c r="O126" s="80" t="s">
        <v>84</v>
      </c>
      <c r="P126" s="80"/>
      <c r="Q126" s="80" t="s">
        <v>84</v>
      </c>
      <c r="R126" s="80" t="s">
        <v>84</v>
      </c>
    </row>
    <row r="127" spans="1:18" ht="20" x14ac:dyDescent="0.2">
      <c r="A127" s="80" t="s">
        <v>2383</v>
      </c>
      <c r="B127" s="80" t="s">
        <v>2384</v>
      </c>
      <c r="C127" s="80" t="s">
        <v>9680</v>
      </c>
      <c r="D127" s="80" t="s">
        <v>84</v>
      </c>
      <c r="E127" s="80" t="s">
        <v>84</v>
      </c>
      <c r="F127" s="80"/>
      <c r="G127" s="80" t="s">
        <v>84</v>
      </c>
      <c r="H127" s="80" t="s">
        <v>84</v>
      </c>
      <c r="I127" s="80" t="s">
        <v>84</v>
      </c>
      <c r="J127" s="80" t="s">
        <v>84</v>
      </c>
      <c r="K127" s="80" t="s">
        <v>84</v>
      </c>
      <c r="L127" s="80" t="s">
        <v>84</v>
      </c>
      <c r="M127" s="80" t="s">
        <v>84</v>
      </c>
      <c r="N127" s="80" t="s">
        <v>84</v>
      </c>
      <c r="O127" s="80" t="s">
        <v>84</v>
      </c>
      <c r="P127" s="80"/>
      <c r="Q127" s="80" t="s">
        <v>84</v>
      </c>
      <c r="R127" s="80" t="s">
        <v>84</v>
      </c>
    </row>
    <row r="128" spans="1:18" ht="20" x14ac:dyDescent="0.2">
      <c r="A128" s="80" t="s">
        <v>2385</v>
      </c>
      <c r="B128" s="80" t="s">
        <v>2386</v>
      </c>
      <c r="C128" s="80" t="s">
        <v>9680</v>
      </c>
      <c r="D128" s="80" t="s">
        <v>84</v>
      </c>
      <c r="E128" s="80" t="s">
        <v>84</v>
      </c>
      <c r="F128" s="80"/>
      <c r="G128" s="80" t="s">
        <v>84</v>
      </c>
      <c r="H128" s="80" t="s">
        <v>84</v>
      </c>
      <c r="I128" s="80" t="s">
        <v>84</v>
      </c>
      <c r="J128" s="80" t="s">
        <v>84</v>
      </c>
      <c r="K128" s="80" t="s">
        <v>84</v>
      </c>
      <c r="L128" s="80" t="s">
        <v>84</v>
      </c>
      <c r="M128" s="80" t="s">
        <v>84</v>
      </c>
      <c r="N128" s="80" t="s">
        <v>84</v>
      </c>
      <c r="O128" s="80" t="s">
        <v>84</v>
      </c>
      <c r="P128" s="80"/>
      <c r="Q128" s="80" t="s">
        <v>84</v>
      </c>
      <c r="R128" s="80" t="s">
        <v>84</v>
      </c>
    </row>
    <row r="129" spans="1:18" ht="20" x14ac:dyDescent="0.2">
      <c r="A129" s="80" t="s">
        <v>2404</v>
      </c>
      <c r="B129" s="80" t="s">
        <v>2405</v>
      </c>
      <c r="C129" s="80" t="s">
        <v>9680</v>
      </c>
      <c r="D129" s="80" t="s">
        <v>84</v>
      </c>
      <c r="E129" s="80" t="s">
        <v>84</v>
      </c>
      <c r="F129" s="80"/>
      <c r="G129" s="80" t="s">
        <v>84</v>
      </c>
      <c r="H129" s="80" t="s">
        <v>84</v>
      </c>
      <c r="I129" s="80" t="s">
        <v>84</v>
      </c>
      <c r="J129" s="80" t="s">
        <v>84</v>
      </c>
      <c r="K129" s="80" t="s">
        <v>84</v>
      </c>
      <c r="L129" s="80" t="s">
        <v>84</v>
      </c>
      <c r="M129" s="80" t="s">
        <v>84</v>
      </c>
      <c r="N129" s="80" t="s">
        <v>84</v>
      </c>
      <c r="O129" s="80" t="s">
        <v>84</v>
      </c>
      <c r="P129" s="80"/>
      <c r="Q129" s="80" t="s">
        <v>84</v>
      </c>
      <c r="R129" s="80" t="s">
        <v>84</v>
      </c>
    </row>
    <row r="130" spans="1:18" ht="20" x14ac:dyDescent="0.2">
      <c r="A130" s="80" t="s">
        <v>2406</v>
      </c>
      <c r="B130" s="80" t="s">
        <v>2407</v>
      </c>
      <c r="C130" s="80" t="s">
        <v>9680</v>
      </c>
      <c r="D130" s="80" t="s">
        <v>84</v>
      </c>
      <c r="E130" s="80" t="s">
        <v>84</v>
      </c>
      <c r="F130" s="80"/>
      <c r="G130" s="80" t="s">
        <v>84</v>
      </c>
      <c r="H130" s="80" t="s">
        <v>84</v>
      </c>
      <c r="I130" s="80" t="s">
        <v>84</v>
      </c>
      <c r="J130" s="80" t="s">
        <v>84</v>
      </c>
      <c r="K130" s="80" t="s">
        <v>84</v>
      </c>
      <c r="L130" s="80" t="s">
        <v>84</v>
      </c>
      <c r="M130" s="80" t="s">
        <v>84</v>
      </c>
      <c r="N130" s="80" t="s">
        <v>84</v>
      </c>
      <c r="O130" s="80" t="s">
        <v>84</v>
      </c>
      <c r="P130" s="80"/>
      <c r="Q130" s="80" t="s">
        <v>84</v>
      </c>
      <c r="R130" s="80" t="s">
        <v>84</v>
      </c>
    </row>
    <row r="131" spans="1:18" ht="20" x14ac:dyDescent="0.2">
      <c r="A131" s="80" t="s">
        <v>2411</v>
      </c>
      <c r="B131" s="80" t="s">
        <v>2412</v>
      </c>
      <c r="C131" s="80" t="s">
        <v>9680</v>
      </c>
      <c r="D131" s="80" t="s">
        <v>84</v>
      </c>
      <c r="E131" s="80" t="s">
        <v>84</v>
      </c>
      <c r="F131" s="80"/>
      <c r="G131" s="80" t="s">
        <v>84</v>
      </c>
      <c r="H131" s="80" t="s">
        <v>84</v>
      </c>
      <c r="I131" s="80" t="s">
        <v>84</v>
      </c>
      <c r="J131" s="80" t="s">
        <v>84</v>
      </c>
      <c r="K131" s="80" t="s">
        <v>84</v>
      </c>
      <c r="L131" s="80" t="s">
        <v>84</v>
      </c>
      <c r="M131" s="80" t="s">
        <v>84</v>
      </c>
      <c r="N131" s="80" t="s">
        <v>84</v>
      </c>
      <c r="O131" s="80" t="s">
        <v>84</v>
      </c>
      <c r="P131" s="80"/>
      <c r="Q131" s="80" t="s">
        <v>84</v>
      </c>
      <c r="R131" s="80" t="s">
        <v>84</v>
      </c>
    </row>
    <row r="132" spans="1:18" ht="20" x14ac:dyDescent="0.2">
      <c r="A132" s="80" t="s">
        <v>2321</v>
      </c>
      <c r="B132" s="80" t="s">
        <v>2322</v>
      </c>
      <c r="C132" s="80" t="s">
        <v>9680</v>
      </c>
      <c r="D132" s="80" t="s">
        <v>84</v>
      </c>
      <c r="E132" s="80" t="s">
        <v>84</v>
      </c>
      <c r="F132" s="80"/>
      <c r="G132" s="80" t="s">
        <v>84</v>
      </c>
      <c r="H132" s="80" t="s">
        <v>84</v>
      </c>
      <c r="I132" s="80" t="s">
        <v>84</v>
      </c>
      <c r="J132" s="80" t="s">
        <v>84</v>
      </c>
      <c r="K132" s="80" t="s">
        <v>84</v>
      </c>
      <c r="L132" s="80" t="s">
        <v>84</v>
      </c>
      <c r="M132" s="80" t="s">
        <v>84</v>
      </c>
      <c r="N132" s="80" t="s">
        <v>84</v>
      </c>
      <c r="O132" s="80" t="s">
        <v>84</v>
      </c>
      <c r="P132" s="80"/>
      <c r="Q132" s="80" t="s">
        <v>84</v>
      </c>
      <c r="R132" s="80" t="s">
        <v>84</v>
      </c>
    </row>
    <row r="133" spans="1:18" ht="20" x14ac:dyDescent="0.2">
      <c r="A133" s="80" t="s">
        <v>2321</v>
      </c>
      <c r="B133" s="80" t="s">
        <v>2413</v>
      </c>
      <c r="C133" s="80" t="s">
        <v>9680</v>
      </c>
      <c r="D133" s="80" t="s">
        <v>84</v>
      </c>
      <c r="E133" s="80" t="s">
        <v>84</v>
      </c>
      <c r="F133" s="80"/>
      <c r="G133" s="80" t="s">
        <v>84</v>
      </c>
      <c r="H133" s="80" t="s">
        <v>84</v>
      </c>
      <c r="I133" s="80" t="s">
        <v>84</v>
      </c>
      <c r="J133" s="80" t="s">
        <v>84</v>
      </c>
      <c r="K133" s="80" t="s">
        <v>84</v>
      </c>
      <c r="L133" s="80" t="s">
        <v>84</v>
      </c>
      <c r="M133" s="80" t="s">
        <v>84</v>
      </c>
      <c r="N133" s="80" t="s">
        <v>84</v>
      </c>
      <c r="O133" s="80" t="s">
        <v>84</v>
      </c>
      <c r="P133" s="80"/>
      <c r="Q133" s="80" t="s">
        <v>84</v>
      </c>
      <c r="R133" s="80" t="s">
        <v>84</v>
      </c>
    </row>
    <row r="134" spans="1:18" ht="20" x14ac:dyDescent="0.2">
      <c r="A134" s="80" t="s">
        <v>2414</v>
      </c>
      <c r="B134" s="80" t="s">
        <v>2415</v>
      </c>
      <c r="C134" s="80" t="s">
        <v>9680</v>
      </c>
      <c r="D134" s="80" t="s">
        <v>84</v>
      </c>
      <c r="E134" s="80" t="s">
        <v>84</v>
      </c>
      <c r="F134" s="80"/>
      <c r="G134" s="80" t="s">
        <v>84</v>
      </c>
      <c r="H134" s="80" t="s">
        <v>84</v>
      </c>
      <c r="I134" s="80" t="s">
        <v>84</v>
      </c>
      <c r="J134" s="80" t="s">
        <v>84</v>
      </c>
      <c r="K134" s="80" t="s">
        <v>84</v>
      </c>
      <c r="L134" s="80" t="s">
        <v>84</v>
      </c>
      <c r="M134" s="80" t="s">
        <v>84</v>
      </c>
      <c r="N134" s="80" t="s">
        <v>84</v>
      </c>
      <c r="O134" s="80" t="s">
        <v>84</v>
      </c>
      <c r="P134" s="80"/>
      <c r="Q134" s="80" t="s">
        <v>84</v>
      </c>
      <c r="R134" s="80" t="s">
        <v>84</v>
      </c>
    </row>
    <row r="135" spans="1:18" ht="20" x14ac:dyDescent="0.2">
      <c r="A135" s="80" t="s">
        <v>2391</v>
      </c>
      <c r="B135" s="80" t="s">
        <v>2392</v>
      </c>
      <c r="C135" s="80" t="s">
        <v>9680</v>
      </c>
      <c r="D135" s="80" t="s">
        <v>84</v>
      </c>
      <c r="E135" s="80" t="s">
        <v>84</v>
      </c>
      <c r="F135" s="80"/>
      <c r="G135" s="80" t="s">
        <v>84</v>
      </c>
      <c r="H135" s="80" t="s">
        <v>84</v>
      </c>
      <c r="I135" s="80" t="s">
        <v>84</v>
      </c>
      <c r="J135" s="80" t="s">
        <v>84</v>
      </c>
      <c r="K135" s="80" t="s">
        <v>84</v>
      </c>
      <c r="L135" s="80" t="s">
        <v>84</v>
      </c>
      <c r="M135" s="80" t="s">
        <v>84</v>
      </c>
      <c r="N135" s="80" t="s">
        <v>84</v>
      </c>
      <c r="O135" s="80" t="s">
        <v>84</v>
      </c>
      <c r="P135" s="80"/>
      <c r="Q135" s="80" t="s">
        <v>84</v>
      </c>
      <c r="R135" s="80" t="s">
        <v>84</v>
      </c>
    </row>
    <row r="136" spans="1:18" ht="20" x14ac:dyDescent="0.2">
      <c r="A136" s="80" t="s">
        <v>2391</v>
      </c>
      <c r="B136" s="80" t="s">
        <v>9733</v>
      </c>
      <c r="C136" s="80" t="s">
        <v>9680</v>
      </c>
      <c r="D136" s="80" t="s">
        <v>84</v>
      </c>
      <c r="E136" s="80" t="s">
        <v>84</v>
      </c>
      <c r="F136" s="80"/>
      <c r="G136" s="80" t="s">
        <v>84</v>
      </c>
      <c r="H136" s="80" t="s">
        <v>84</v>
      </c>
      <c r="I136" s="80" t="s">
        <v>84</v>
      </c>
      <c r="J136" s="80" t="s">
        <v>84</v>
      </c>
      <c r="K136" s="80" t="s">
        <v>84</v>
      </c>
      <c r="L136" s="80" t="s">
        <v>84</v>
      </c>
      <c r="M136" s="80" t="s">
        <v>84</v>
      </c>
      <c r="N136" s="80" t="s">
        <v>84</v>
      </c>
      <c r="O136" s="80" t="s">
        <v>84</v>
      </c>
      <c r="P136" s="80"/>
      <c r="Q136" s="80" t="s">
        <v>84</v>
      </c>
      <c r="R136" s="80" t="s">
        <v>84</v>
      </c>
    </row>
    <row r="137" spans="1:18" ht="20" x14ac:dyDescent="0.2">
      <c r="A137" s="80" t="s">
        <v>3046</v>
      </c>
      <c r="B137" s="80" t="s">
        <v>9734</v>
      </c>
      <c r="C137" s="80" t="s">
        <v>9680</v>
      </c>
      <c r="D137" s="80" t="s">
        <v>9680</v>
      </c>
      <c r="E137" s="80" t="s">
        <v>9680</v>
      </c>
      <c r="F137" s="80"/>
      <c r="G137" s="80" t="s">
        <v>9680</v>
      </c>
      <c r="H137" s="80" t="s">
        <v>9680</v>
      </c>
      <c r="I137" s="80" t="s">
        <v>9680</v>
      </c>
      <c r="J137" s="80" t="s">
        <v>9680</v>
      </c>
      <c r="K137" s="80" t="s">
        <v>9680</v>
      </c>
      <c r="L137" s="80" t="s">
        <v>9680</v>
      </c>
      <c r="M137" s="80" t="s">
        <v>9680</v>
      </c>
      <c r="N137" s="80" t="s">
        <v>9680</v>
      </c>
      <c r="O137" s="80" t="s">
        <v>9680</v>
      </c>
      <c r="P137" s="80"/>
      <c r="Q137" s="80" t="s">
        <v>9680</v>
      </c>
      <c r="R137" s="80" t="s">
        <v>9680</v>
      </c>
    </row>
    <row r="138" spans="1:18" ht="20" x14ac:dyDescent="0.2">
      <c r="A138" s="80" t="s">
        <v>3046</v>
      </c>
      <c r="B138" s="80" t="s">
        <v>3047</v>
      </c>
      <c r="C138" s="80" t="s">
        <v>9680</v>
      </c>
      <c r="D138" s="80" t="s">
        <v>9680</v>
      </c>
      <c r="E138" s="80" t="s">
        <v>9680</v>
      </c>
      <c r="F138" s="80"/>
      <c r="G138" s="80" t="s">
        <v>9680</v>
      </c>
      <c r="H138" s="80" t="s">
        <v>9680</v>
      </c>
      <c r="I138" s="80" t="s">
        <v>9680</v>
      </c>
      <c r="J138" s="80" t="s">
        <v>9680</v>
      </c>
      <c r="K138" s="80" t="s">
        <v>9680</v>
      </c>
      <c r="L138" s="80" t="s">
        <v>9680</v>
      </c>
      <c r="M138" s="80" t="s">
        <v>9680</v>
      </c>
      <c r="N138" s="80" t="s">
        <v>9680</v>
      </c>
      <c r="O138" s="80" t="s">
        <v>9680</v>
      </c>
      <c r="P138" s="80"/>
      <c r="Q138" s="80" t="s">
        <v>9680</v>
      </c>
      <c r="R138" s="80" t="s">
        <v>9680</v>
      </c>
    </row>
    <row r="139" spans="1:18" ht="20" x14ac:dyDescent="0.2">
      <c r="A139" s="80" t="s">
        <v>2519</v>
      </c>
      <c r="B139" s="80" t="s">
        <v>2520</v>
      </c>
      <c r="C139" s="80" t="s">
        <v>9680</v>
      </c>
      <c r="D139" s="80" t="s">
        <v>9680</v>
      </c>
      <c r="E139" s="80" t="s">
        <v>9680</v>
      </c>
      <c r="F139" s="80"/>
      <c r="G139" s="80" t="s">
        <v>9680</v>
      </c>
      <c r="H139" s="80" t="s">
        <v>9680</v>
      </c>
      <c r="I139" s="80" t="s">
        <v>9680</v>
      </c>
      <c r="J139" s="80" t="s">
        <v>9680</v>
      </c>
      <c r="K139" s="80" t="s">
        <v>9680</v>
      </c>
      <c r="L139" s="80" t="s">
        <v>9680</v>
      </c>
      <c r="M139" s="80" t="s">
        <v>9680</v>
      </c>
      <c r="N139" s="80" t="s">
        <v>9680</v>
      </c>
      <c r="O139" s="80" t="s">
        <v>9680</v>
      </c>
      <c r="P139" s="80"/>
      <c r="Q139" s="80" t="s">
        <v>9680</v>
      </c>
      <c r="R139" s="80" t="s">
        <v>9680</v>
      </c>
    </row>
    <row r="140" spans="1:18" ht="20" x14ac:dyDescent="0.2">
      <c r="A140" s="80" t="s">
        <v>2519</v>
      </c>
      <c r="B140" s="80" t="s">
        <v>3048</v>
      </c>
      <c r="C140" s="80" t="s">
        <v>9680</v>
      </c>
      <c r="D140" s="80" t="s">
        <v>9680</v>
      </c>
      <c r="E140" s="80" t="s">
        <v>9680</v>
      </c>
      <c r="F140" s="80"/>
      <c r="G140" s="80" t="s">
        <v>9680</v>
      </c>
      <c r="H140" s="80" t="s">
        <v>9680</v>
      </c>
      <c r="I140" s="80" t="s">
        <v>9680</v>
      </c>
      <c r="J140" s="80" t="s">
        <v>9680</v>
      </c>
      <c r="K140" s="80" t="s">
        <v>9680</v>
      </c>
      <c r="L140" s="80" t="s">
        <v>9680</v>
      </c>
      <c r="M140" s="80" t="s">
        <v>9680</v>
      </c>
      <c r="N140" s="80" t="s">
        <v>9680</v>
      </c>
      <c r="O140" s="80" t="s">
        <v>9680</v>
      </c>
      <c r="P140" s="80"/>
      <c r="Q140" s="80" t="s">
        <v>9680</v>
      </c>
      <c r="R140" s="80" t="s">
        <v>9680</v>
      </c>
    </row>
    <row r="141" spans="1:18" ht="20" x14ac:dyDescent="0.2">
      <c r="A141" s="80" t="s">
        <v>3049</v>
      </c>
      <c r="B141" s="80" t="s">
        <v>3050</v>
      </c>
      <c r="C141" s="80" t="s">
        <v>9680</v>
      </c>
      <c r="D141" s="80" t="s">
        <v>9680</v>
      </c>
      <c r="E141" s="80" t="s">
        <v>9680</v>
      </c>
      <c r="F141" s="80"/>
      <c r="G141" s="80" t="s">
        <v>9680</v>
      </c>
      <c r="H141" s="80" t="s">
        <v>9680</v>
      </c>
      <c r="I141" s="80" t="s">
        <v>9680</v>
      </c>
      <c r="J141" s="80" t="s">
        <v>9680</v>
      </c>
      <c r="K141" s="80" t="s">
        <v>9680</v>
      </c>
      <c r="L141" s="80" t="s">
        <v>9680</v>
      </c>
      <c r="M141" s="80" t="s">
        <v>9680</v>
      </c>
      <c r="N141" s="80" t="s">
        <v>9680</v>
      </c>
      <c r="O141" s="80" t="s">
        <v>9680</v>
      </c>
      <c r="P141" s="80"/>
      <c r="Q141" s="80" t="s">
        <v>9680</v>
      </c>
      <c r="R141" s="80" t="s">
        <v>9680</v>
      </c>
    </row>
    <row r="142" spans="1:18" ht="20" x14ac:dyDescent="0.2">
      <c r="A142" s="80" t="s">
        <v>2521</v>
      </c>
      <c r="B142" s="80" t="s">
        <v>2522</v>
      </c>
      <c r="C142" s="80" t="s">
        <v>9680</v>
      </c>
      <c r="D142" s="80" t="s">
        <v>84</v>
      </c>
      <c r="E142" s="80" t="s">
        <v>84</v>
      </c>
      <c r="F142" s="80"/>
      <c r="G142" s="80" t="s">
        <v>84</v>
      </c>
      <c r="H142" s="80" t="s">
        <v>84</v>
      </c>
      <c r="I142" s="80" t="s">
        <v>84</v>
      </c>
      <c r="J142" s="80" t="s">
        <v>84</v>
      </c>
      <c r="K142" s="80" t="s">
        <v>84</v>
      </c>
      <c r="L142" s="80" t="s">
        <v>84</v>
      </c>
      <c r="M142" s="80" t="s">
        <v>84</v>
      </c>
      <c r="N142" s="80" t="s">
        <v>84</v>
      </c>
      <c r="O142" s="80" t="s">
        <v>84</v>
      </c>
      <c r="P142" s="80"/>
      <c r="Q142" s="80" t="s">
        <v>84</v>
      </c>
      <c r="R142" s="80" t="s">
        <v>84</v>
      </c>
    </row>
    <row r="143" spans="1:18" ht="20" x14ac:dyDescent="0.2">
      <c r="A143" s="80" t="s">
        <v>2521</v>
      </c>
      <c r="B143" s="80" t="s">
        <v>9735</v>
      </c>
      <c r="C143" s="80" t="s">
        <v>9680</v>
      </c>
      <c r="D143" s="80" t="s">
        <v>84</v>
      </c>
      <c r="E143" s="80" t="s">
        <v>84</v>
      </c>
      <c r="F143" s="80"/>
      <c r="G143" s="80" t="s">
        <v>84</v>
      </c>
      <c r="H143" s="80" t="s">
        <v>84</v>
      </c>
      <c r="I143" s="80" t="s">
        <v>84</v>
      </c>
      <c r="J143" s="80" t="s">
        <v>84</v>
      </c>
      <c r="K143" s="80" t="s">
        <v>84</v>
      </c>
      <c r="L143" s="80" t="s">
        <v>84</v>
      </c>
      <c r="M143" s="80" t="s">
        <v>84</v>
      </c>
      <c r="N143" s="80" t="s">
        <v>84</v>
      </c>
      <c r="O143" s="80" t="s">
        <v>84</v>
      </c>
      <c r="P143" s="80"/>
      <c r="Q143" s="80" t="s">
        <v>84</v>
      </c>
      <c r="R143" s="80" t="s">
        <v>84</v>
      </c>
    </row>
    <row r="144" spans="1:18" ht="20" x14ac:dyDescent="0.2">
      <c r="A144" s="80" t="s">
        <v>2521</v>
      </c>
      <c r="B144" s="80" t="s">
        <v>2886</v>
      </c>
      <c r="C144" s="80" t="s">
        <v>9680</v>
      </c>
      <c r="D144" s="80" t="s">
        <v>84</v>
      </c>
      <c r="E144" s="80" t="s">
        <v>84</v>
      </c>
      <c r="F144" s="80"/>
      <c r="G144" s="80" t="s">
        <v>84</v>
      </c>
      <c r="H144" s="80" t="s">
        <v>84</v>
      </c>
      <c r="I144" s="80" t="s">
        <v>84</v>
      </c>
      <c r="J144" s="80" t="s">
        <v>84</v>
      </c>
      <c r="K144" s="80" t="s">
        <v>84</v>
      </c>
      <c r="L144" s="80" t="s">
        <v>84</v>
      </c>
      <c r="M144" s="80" t="s">
        <v>84</v>
      </c>
      <c r="N144" s="80" t="s">
        <v>84</v>
      </c>
      <c r="O144" s="80" t="s">
        <v>84</v>
      </c>
      <c r="P144" s="80"/>
      <c r="Q144" s="80" t="s">
        <v>84</v>
      </c>
      <c r="R144" s="80" t="s">
        <v>84</v>
      </c>
    </row>
    <row r="145" spans="1:18" ht="20" x14ac:dyDescent="0.2">
      <c r="A145" s="80" t="s">
        <v>2523</v>
      </c>
      <c r="B145" s="80" t="s">
        <v>2524</v>
      </c>
      <c r="C145" s="80" t="s">
        <v>9680</v>
      </c>
      <c r="D145" s="80" t="s">
        <v>84</v>
      </c>
      <c r="E145" s="80" t="s">
        <v>84</v>
      </c>
      <c r="F145" s="80"/>
      <c r="G145" s="80" t="s">
        <v>84</v>
      </c>
      <c r="H145" s="80" t="s">
        <v>84</v>
      </c>
      <c r="I145" s="80" t="s">
        <v>84</v>
      </c>
      <c r="J145" s="80" t="s">
        <v>84</v>
      </c>
      <c r="K145" s="80" t="s">
        <v>84</v>
      </c>
      <c r="L145" s="80" t="s">
        <v>84</v>
      </c>
      <c r="M145" s="80" t="s">
        <v>84</v>
      </c>
      <c r="N145" s="80" t="s">
        <v>84</v>
      </c>
      <c r="O145" s="80" t="s">
        <v>84</v>
      </c>
      <c r="P145" s="80"/>
      <c r="Q145" s="80" t="s">
        <v>84</v>
      </c>
      <c r="R145" s="80" t="s">
        <v>84</v>
      </c>
    </row>
    <row r="146" spans="1:18" ht="20" x14ac:dyDescent="0.2">
      <c r="A146" s="80" t="s">
        <v>2523</v>
      </c>
      <c r="B146" s="80" t="s">
        <v>9736</v>
      </c>
      <c r="C146" s="80" t="s">
        <v>9680</v>
      </c>
      <c r="D146" s="80" t="s">
        <v>84</v>
      </c>
      <c r="E146" s="80" t="s">
        <v>84</v>
      </c>
      <c r="F146" s="80"/>
      <c r="G146" s="80" t="s">
        <v>84</v>
      </c>
      <c r="H146" s="80" t="s">
        <v>84</v>
      </c>
      <c r="I146" s="80" t="s">
        <v>84</v>
      </c>
      <c r="J146" s="80" t="s">
        <v>84</v>
      </c>
      <c r="K146" s="80" t="s">
        <v>84</v>
      </c>
      <c r="L146" s="80" t="s">
        <v>84</v>
      </c>
      <c r="M146" s="80" t="s">
        <v>84</v>
      </c>
      <c r="N146" s="80" t="s">
        <v>84</v>
      </c>
      <c r="O146" s="80" t="s">
        <v>84</v>
      </c>
      <c r="P146" s="80"/>
      <c r="Q146" s="80" t="s">
        <v>84</v>
      </c>
      <c r="R146" s="80" t="s">
        <v>84</v>
      </c>
    </row>
    <row r="147" spans="1:18" ht="20" x14ac:dyDescent="0.2">
      <c r="A147" s="80" t="s">
        <v>2523</v>
      </c>
      <c r="B147" s="80" t="s">
        <v>2887</v>
      </c>
      <c r="C147" s="80" t="s">
        <v>9680</v>
      </c>
      <c r="D147" s="80" t="s">
        <v>84</v>
      </c>
      <c r="E147" s="80" t="s">
        <v>84</v>
      </c>
      <c r="F147" s="80"/>
      <c r="G147" s="80" t="s">
        <v>84</v>
      </c>
      <c r="H147" s="80" t="s">
        <v>84</v>
      </c>
      <c r="I147" s="80" t="s">
        <v>84</v>
      </c>
      <c r="J147" s="80" t="s">
        <v>84</v>
      </c>
      <c r="K147" s="80" t="s">
        <v>84</v>
      </c>
      <c r="L147" s="80" t="s">
        <v>84</v>
      </c>
      <c r="M147" s="80" t="s">
        <v>84</v>
      </c>
      <c r="N147" s="80" t="s">
        <v>84</v>
      </c>
      <c r="O147" s="80" t="s">
        <v>84</v>
      </c>
      <c r="P147" s="80"/>
      <c r="Q147" s="80" t="s">
        <v>84</v>
      </c>
      <c r="R147" s="80" t="s">
        <v>84</v>
      </c>
    </row>
    <row r="148" spans="1:18" ht="20" x14ac:dyDescent="0.2">
      <c r="A148" s="80" t="s">
        <v>9737</v>
      </c>
      <c r="B148" s="80" t="s">
        <v>9738</v>
      </c>
      <c r="C148" s="80" t="s">
        <v>9680</v>
      </c>
      <c r="D148" s="80" t="s">
        <v>84</v>
      </c>
      <c r="E148" s="80" t="s">
        <v>84</v>
      </c>
      <c r="F148" s="80"/>
      <c r="G148" s="80" t="s">
        <v>84</v>
      </c>
      <c r="H148" s="80" t="s">
        <v>84</v>
      </c>
      <c r="I148" s="80" t="s">
        <v>84</v>
      </c>
      <c r="J148" s="80" t="s">
        <v>84</v>
      </c>
      <c r="K148" s="80" t="s">
        <v>84</v>
      </c>
      <c r="L148" s="80" t="s">
        <v>84</v>
      </c>
      <c r="M148" s="80" t="s">
        <v>84</v>
      </c>
      <c r="N148" s="80" t="s">
        <v>84</v>
      </c>
      <c r="O148" s="80" t="s">
        <v>84</v>
      </c>
      <c r="P148" s="80"/>
      <c r="Q148" s="80" t="s">
        <v>84</v>
      </c>
      <c r="R148" s="80" t="s">
        <v>84</v>
      </c>
    </row>
    <row r="149" spans="1:18" ht="20" x14ac:dyDescent="0.2">
      <c r="A149" s="80" t="s">
        <v>3051</v>
      </c>
      <c r="B149" s="80" t="s">
        <v>3052</v>
      </c>
      <c r="C149" s="80" t="s">
        <v>9680</v>
      </c>
      <c r="D149" s="80" t="s">
        <v>84</v>
      </c>
      <c r="E149" s="80" t="s">
        <v>84</v>
      </c>
      <c r="F149" s="80"/>
      <c r="G149" s="80" t="s">
        <v>84</v>
      </c>
      <c r="H149" s="80" t="s">
        <v>84</v>
      </c>
      <c r="I149" s="80" t="s">
        <v>84</v>
      </c>
      <c r="J149" s="80" t="s">
        <v>84</v>
      </c>
      <c r="K149" s="80" t="s">
        <v>84</v>
      </c>
      <c r="L149" s="80" t="s">
        <v>84</v>
      </c>
      <c r="M149" s="80" t="s">
        <v>84</v>
      </c>
      <c r="N149" s="80" t="s">
        <v>84</v>
      </c>
      <c r="O149" s="80" t="s">
        <v>84</v>
      </c>
      <c r="P149" s="80"/>
      <c r="Q149" s="80" t="s">
        <v>84</v>
      </c>
      <c r="R149" s="80" t="s">
        <v>84</v>
      </c>
    </row>
    <row r="150" spans="1:18" ht="20" x14ac:dyDescent="0.2">
      <c r="A150" s="80" t="s">
        <v>2904</v>
      </c>
      <c r="B150" s="80" t="s">
        <v>2905</v>
      </c>
      <c r="C150" s="80" t="s">
        <v>9680</v>
      </c>
      <c r="D150" s="80" t="s">
        <v>84</v>
      </c>
      <c r="E150" s="80" t="s">
        <v>84</v>
      </c>
      <c r="F150" s="80"/>
      <c r="G150" s="80" t="s">
        <v>84</v>
      </c>
      <c r="H150" s="80" t="s">
        <v>84</v>
      </c>
      <c r="I150" s="80" t="s">
        <v>84</v>
      </c>
      <c r="J150" s="80" t="s">
        <v>84</v>
      </c>
      <c r="K150" s="80" t="s">
        <v>84</v>
      </c>
      <c r="L150" s="80" t="s">
        <v>84</v>
      </c>
      <c r="M150" s="80" t="s">
        <v>84</v>
      </c>
      <c r="N150" s="80" t="s">
        <v>84</v>
      </c>
      <c r="O150" s="80" t="s">
        <v>84</v>
      </c>
      <c r="P150" s="80"/>
      <c r="Q150" s="80" t="s">
        <v>84</v>
      </c>
      <c r="R150" s="80" t="s">
        <v>84</v>
      </c>
    </row>
    <row r="151" spans="1:18" ht="20" x14ac:dyDescent="0.2">
      <c r="A151" s="80" t="s">
        <v>2346</v>
      </c>
      <c r="B151" s="80" t="s">
        <v>2347</v>
      </c>
      <c r="C151" s="80" t="s">
        <v>9680</v>
      </c>
      <c r="D151" s="80" t="s">
        <v>9680</v>
      </c>
      <c r="E151" s="80" t="s">
        <v>9680</v>
      </c>
      <c r="F151" s="80"/>
      <c r="G151" s="80" t="s">
        <v>9680</v>
      </c>
      <c r="H151" s="80" t="s">
        <v>9680</v>
      </c>
      <c r="I151" s="80" t="s">
        <v>9680</v>
      </c>
      <c r="J151" s="80" t="s">
        <v>84</v>
      </c>
      <c r="K151" s="80" t="s">
        <v>9680</v>
      </c>
      <c r="L151" s="80" t="s">
        <v>9680</v>
      </c>
      <c r="M151" s="80" t="s">
        <v>84</v>
      </c>
      <c r="N151" s="80" t="s">
        <v>9680</v>
      </c>
      <c r="O151" s="80" t="s">
        <v>84</v>
      </c>
      <c r="P151" s="80"/>
      <c r="Q151" s="80" t="s">
        <v>84</v>
      </c>
      <c r="R151" s="80" t="s">
        <v>84</v>
      </c>
    </row>
    <row r="152" spans="1:18" ht="20" x14ac:dyDescent="0.2">
      <c r="A152" s="80" t="s">
        <v>2372</v>
      </c>
      <c r="B152" s="80" t="s">
        <v>9739</v>
      </c>
      <c r="C152" s="80" t="s">
        <v>9680</v>
      </c>
      <c r="D152" s="80" t="s">
        <v>84</v>
      </c>
      <c r="E152" s="80" t="s">
        <v>84</v>
      </c>
      <c r="F152" s="80"/>
      <c r="G152" s="80" t="s">
        <v>84</v>
      </c>
      <c r="H152" s="80" t="s">
        <v>9680</v>
      </c>
      <c r="I152" s="80" t="s">
        <v>84</v>
      </c>
      <c r="J152" s="80" t="s">
        <v>84</v>
      </c>
      <c r="K152" s="80" t="s">
        <v>84</v>
      </c>
      <c r="L152" s="80" t="s">
        <v>84</v>
      </c>
      <c r="M152" s="80" t="s">
        <v>84</v>
      </c>
      <c r="N152" s="80" t="s">
        <v>84</v>
      </c>
      <c r="O152" s="80" t="s">
        <v>84</v>
      </c>
      <c r="P152" s="80"/>
      <c r="Q152" s="80" t="s">
        <v>84</v>
      </c>
      <c r="R152" s="80" t="s">
        <v>84</v>
      </c>
    </row>
    <row r="153" spans="1:18" ht="20" x14ac:dyDescent="0.2">
      <c r="A153" s="80" t="s">
        <v>2372</v>
      </c>
      <c r="B153" s="80" t="s">
        <v>2373</v>
      </c>
      <c r="C153" s="80" t="s">
        <v>9680</v>
      </c>
      <c r="D153" s="80" t="s">
        <v>84</v>
      </c>
      <c r="E153" s="80" t="s">
        <v>84</v>
      </c>
      <c r="F153" s="80"/>
      <c r="G153" s="80" t="s">
        <v>84</v>
      </c>
      <c r="H153" s="80" t="s">
        <v>9680</v>
      </c>
      <c r="I153" s="80" t="s">
        <v>84</v>
      </c>
      <c r="J153" s="80" t="s">
        <v>84</v>
      </c>
      <c r="K153" s="80" t="s">
        <v>84</v>
      </c>
      <c r="L153" s="80" t="s">
        <v>84</v>
      </c>
      <c r="M153" s="80" t="s">
        <v>84</v>
      </c>
      <c r="N153" s="80" t="s">
        <v>84</v>
      </c>
      <c r="O153" s="80" t="s">
        <v>84</v>
      </c>
      <c r="P153" s="80"/>
      <c r="Q153" s="80" t="s">
        <v>84</v>
      </c>
      <c r="R153" s="80" t="s">
        <v>84</v>
      </c>
    </row>
    <row r="154" spans="1:18" ht="20" x14ac:dyDescent="0.2">
      <c r="A154" s="80" t="s">
        <v>691</v>
      </c>
      <c r="B154" s="80" t="s">
        <v>692</v>
      </c>
      <c r="C154" s="80" t="s">
        <v>9722</v>
      </c>
      <c r="D154" s="80" t="s">
        <v>9722</v>
      </c>
      <c r="E154" s="80" t="s">
        <v>9722</v>
      </c>
      <c r="F154" s="80"/>
      <c r="G154" s="80" t="s">
        <v>9722</v>
      </c>
      <c r="H154" s="80" t="s">
        <v>9722</v>
      </c>
      <c r="I154" s="80" t="s">
        <v>9722</v>
      </c>
      <c r="J154" s="80" t="s">
        <v>84</v>
      </c>
      <c r="K154" s="80" t="s">
        <v>9722</v>
      </c>
      <c r="L154" s="80" t="s">
        <v>9722</v>
      </c>
      <c r="M154" s="80" t="s">
        <v>84</v>
      </c>
      <c r="N154" s="80" t="s">
        <v>9722</v>
      </c>
      <c r="O154" s="80" t="s">
        <v>84</v>
      </c>
      <c r="P154" s="80"/>
      <c r="Q154" s="80" t="s">
        <v>84</v>
      </c>
      <c r="R154" s="80" t="s">
        <v>84</v>
      </c>
    </row>
    <row r="155" spans="1:18" ht="20" x14ac:dyDescent="0.2">
      <c r="A155" s="80" t="s">
        <v>695</v>
      </c>
      <c r="B155" s="80" t="s">
        <v>9740</v>
      </c>
      <c r="C155" s="80" t="s">
        <v>84</v>
      </c>
      <c r="D155" s="80" t="s">
        <v>84</v>
      </c>
      <c r="E155" s="80" t="s">
        <v>84</v>
      </c>
      <c r="F155" s="80"/>
      <c r="G155" s="80" t="s">
        <v>84</v>
      </c>
      <c r="H155" s="80" t="s">
        <v>84</v>
      </c>
      <c r="I155" s="80" t="s">
        <v>84</v>
      </c>
      <c r="J155" s="80" t="s">
        <v>84</v>
      </c>
      <c r="K155" s="80" t="s">
        <v>84</v>
      </c>
      <c r="L155" s="80" t="s">
        <v>84</v>
      </c>
      <c r="M155" s="80" t="s">
        <v>84</v>
      </c>
      <c r="N155" s="80" t="s">
        <v>84</v>
      </c>
      <c r="O155" s="80" t="s">
        <v>84</v>
      </c>
      <c r="P155" s="80"/>
      <c r="Q155" s="80" t="s">
        <v>84</v>
      </c>
      <c r="R155" s="80" t="s">
        <v>84</v>
      </c>
    </row>
    <row r="156" spans="1:18" ht="20" x14ac:dyDescent="0.2">
      <c r="A156" s="80" t="s">
        <v>695</v>
      </c>
      <c r="B156" s="80" t="s">
        <v>696</v>
      </c>
      <c r="C156" s="80" t="s">
        <v>84</v>
      </c>
      <c r="D156" s="80" t="s">
        <v>84</v>
      </c>
      <c r="E156" s="80" t="s">
        <v>84</v>
      </c>
      <c r="F156" s="80"/>
      <c r="G156" s="80" t="s">
        <v>84</v>
      </c>
      <c r="H156" s="80" t="s">
        <v>84</v>
      </c>
      <c r="I156" s="80" t="s">
        <v>84</v>
      </c>
      <c r="J156" s="80" t="s">
        <v>84</v>
      </c>
      <c r="K156" s="80" t="s">
        <v>84</v>
      </c>
      <c r="L156" s="80" t="s">
        <v>84</v>
      </c>
      <c r="M156" s="80" t="s">
        <v>84</v>
      </c>
      <c r="N156" s="80" t="s">
        <v>84</v>
      </c>
      <c r="O156" s="80" t="s">
        <v>84</v>
      </c>
      <c r="P156" s="80"/>
      <c r="Q156" s="80" t="s">
        <v>84</v>
      </c>
      <c r="R156" s="80" t="s">
        <v>84</v>
      </c>
    </row>
    <row r="157" spans="1:18" ht="20" x14ac:dyDescent="0.2">
      <c r="A157" s="80" t="s">
        <v>697</v>
      </c>
      <c r="B157" s="80" t="s">
        <v>698</v>
      </c>
      <c r="C157" s="80" t="s">
        <v>84</v>
      </c>
      <c r="D157" s="80" t="s">
        <v>84</v>
      </c>
      <c r="E157" s="80" t="s">
        <v>84</v>
      </c>
      <c r="F157" s="80"/>
      <c r="G157" s="80" t="s">
        <v>84</v>
      </c>
      <c r="H157" s="80" t="s">
        <v>84</v>
      </c>
      <c r="I157" s="80" t="s">
        <v>84</v>
      </c>
      <c r="J157" s="80" t="s">
        <v>84</v>
      </c>
      <c r="K157" s="80" t="s">
        <v>84</v>
      </c>
      <c r="L157" s="80" t="s">
        <v>84</v>
      </c>
      <c r="M157" s="80" t="s">
        <v>84</v>
      </c>
      <c r="N157" s="80" t="s">
        <v>84</v>
      </c>
      <c r="O157" s="80" t="s">
        <v>84</v>
      </c>
      <c r="P157" s="80"/>
      <c r="Q157" s="80" t="s">
        <v>84</v>
      </c>
      <c r="R157" s="80" t="s">
        <v>84</v>
      </c>
    </row>
    <row r="158" spans="1:18" ht="20" x14ac:dyDescent="0.2">
      <c r="A158" s="80" t="s">
        <v>699</v>
      </c>
      <c r="B158" s="80" t="s">
        <v>700</v>
      </c>
      <c r="C158" s="80" t="s">
        <v>9722</v>
      </c>
      <c r="D158" s="80" t="s">
        <v>84</v>
      </c>
      <c r="E158" s="80" t="s">
        <v>84</v>
      </c>
      <c r="F158" s="80"/>
      <c r="G158" s="80" t="s">
        <v>84</v>
      </c>
      <c r="H158" s="80" t="s">
        <v>84</v>
      </c>
      <c r="I158" s="80" t="s">
        <v>84</v>
      </c>
      <c r="J158" s="80" t="s">
        <v>84</v>
      </c>
      <c r="K158" s="80" t="s">
        <v>84</v>
      </c>
      <c r="L158" s="80" t="s">
        <v>84</v>
      </c>
      <c r="M158" s="80" t="s">
        <v>84</v>
      </c>
      <c r="N158" s="80" t="s">
        <v>84</v>
      </c>
      <c r="O158" s="80" t="s">
        <v>84</v>
      </c>
      <c r="P158" s="80"/>
      <c r="Q158" s="80" t="s">
        <v>84</v>
      </c>
      <c r="R158" s="80" t="s">
        <v>84</v>
      </c>
    </row>
    <row r="159" spans="1:18" ht="20" x14ac:dyDescent="0.2">
      <c r="A159" s="80" t="s">
        <v>2791</v>
      </c>
      <c r="B159" s="80" t="s">
        <v>2792</v>
      </c>
      <c r="C159" s="80" t="s">
        <v>9680</v>
      </c>
      <c r="D159" s="80" t="s">
        <v>9680</v>
      </c>
      <c r="E159" s="80" t="s">
        <v>9680</v>
      </c>
      <c r="F159" s="80"/>
      <c r="G159" s="80" t="s">
        <v>9680</v>
      </c>
      <c r="H159" s="80" t="s">
        <v>9680</v>
      </c>
      <c r="I159" s="80" t="s">
        <v>9680</v>
      </c>
      <c r="J159" s="80" t="s">
        <v>9680</v>
      </c>
      <c r="K159" s="80" t="s">
        <v>9680</v>
      </c>
      <c r="L159" s="80" t="s">
        <v>9680</v>
      </c>
      <c r="M159" s="80" t="s">
        <v>9680</v>
      </c>
      <c r="N159" s="80" t="s">
        <v>9680</v>
      </c>
      <c r="O159" s="80" t="s">
        <v>9680</v>
      </c>
      <c r="P159" s="80"/>
      <c r="Q159" s="80" t="s">
        <v>9680</v>
      </c>
      <c r="R159" s="80" t="s">
        <v>9680</v>
      </c>
    </row>
    <row r="160" spans="1:18" ht="20" x14ac:dyDescent="0.2">
      <c r="A160" s="80" t="s">
        <v>2820</v>
      </c>
      <c r="B160" s="80" t="s">
        <v>9741</v>
      </c>
      <c r="C160" s="80" t="s">
        <v>84</v>
      </c>
      <c r="D160" s="80" t="s">
        <v>84</v>
      </c>
      <c r="E160" s="80" t="s">
        <v>84</v>
      </c>
      <c r="F160" s="80"/>
      <c r="G160" s="80" t="s">
        <v>84</v>
      </c>
      <c r="H160" s="80" t="s">
        <v>84</v>
      </c>
      <c r="I160" s="80" t="s">
        <v>84</v>
      </c>
      <c r="J160" s="80" t="s">
        <v>84</v>
      </c>
      <c r="K160" s="80" t="s">
        <v>84</v>
      </c>
      <c r="L160" s="80" t="s">
        <v>84</v>
      </c>
      <c r="M160" s="80" t="s">
        <v>84</v>
      </c>
      <c r="N160" s="80" t="s">
        <v>84</v>
      </c>
      <c r="O160" s="80" t="s">
        <v>84</v>
      </c>
      <c r="P160" s="80"/>
      <c r="Q160" s="80" t="s">
        <v>84</v>
      </c>
      <c r="R160" s="80" t="s">
        <v>84</v>
      </c>
    </row>
    <row r="161" spans="1:18" ht="20" x14ac:dyDescent="0.2">
      <c r="A161" s="80" t="s">
        <v>2820</v>
      </c>
      <c r="B161" s="80" t="s">
        <v>2821</v>
      </c>
      <c r="C161" s="80" t="s">
        <v>84</v>
      </c>
      <c r="D161" s="80" t="s">
        <v>84</v>
      </c>
      <c r="E161" s="80" t="s">
        <v>84</v>
      </c>
      <c r="F161" s="80"/>
      <c r="G161" s="80" t="s">
        <v>84</v>
      </c>
      <c r="H161" s="80" t="s">
        <v>84</v>
      </c>
      <c r="I161" s="80" t="s">
        <v>84</v>
      </c>
      <c r="J161" s="80" t="s">
        <v>84</v>
      </c>
      <c r="K161" s="80" t="s">
        <v>84</v>
      </c>
      <c r="L161" s="80" t="s">
        <v>84</v>
      </c>
      <c r="M161" s="80" t="s">
        <v>84</v>
      </c>
      <c r="N161" s="80" t="s">
        <v>84</v>
      </c>
      <c r="O161" s="80" t="s">
        <v>84</v>
      </c>
      <c r="P161" s="80"/>
      <c r="Q161" s="80" t="s">
        <v>84</v>
      </c>
      <c r="R161" s="80" t="s">
        <v>84</v>
      </c>
    </row>
    <row r="162" spans="1:18" ht="20" x14ac:dyDescent="0.2">
      <c r="A162" s="80" t="s">
        <v>1812</v>
      </c>
      <c r="B162" s="80" t="s">
        <v>9742</v>
      </c>
      <c r="C162" s="80" t="s">
        <v>9680</v>
      </c>
      <c r="D162" s="80" t="s">
        <v>84</v>
      </c>
      <c r="E162" s="80" t="s">
        <v>84</v>
      </c>
      <c r="F162" s="80"/>
      <c r="G162" s="80" t="s">
        <v>84</v>
      </c>
      <c r="H162" s="80" t="s">
        <v>9680</v>
      </c>
      <c r="I162" s="80" t="s">
        <v>84</v>
      </c>
      <c r="J162" s="80" t="s">
        <v>84</v>
      </c>
      <c r="K162" s="80" t="s">
        <v>84</v>
      </c>
      <c r="L162" s="80" t="s">
        <v>84</v>
      </c>
      <c r="M162" s="80" t="s">
        <v>84</v>
      </c>
      <c r="N162" s="80" t="s">
        <v>84</v>
      </c>
      <c r="O162" s="80" t="s">
        <v>84</v>
      </c>
      <c r="P162" s="80"/>
      <c r="Q162" s="80" t="s">
        <v>84</v>
      </c>
      <c r="R162" s="80" t="s">
        <v>84</v>
      </c>
    </row>
    <row r="163" spans="1:18" ht="20" x14ac:dyDescent="0.2">
      <c r="A163" s="80" t="s">
        <v>1812</v>
      </c>
      <c r="B163" s="80" t="s">
        <v>1813</v>
      </c>
      <c r="C163" s="80" t="s">
        <v>9680</v>
      </c>
      <c r="D163" s="80" t="s">
        <v>84</v>
      </c>
      <c r="E163" s="80" t="s">
        <v>84</v>
      </c>
      <c r="F163" s="80"/>
      <c r="G163" s="80" t="s">
        <v>84</v>
      </c>
      <c r="H163" s="80" t="s">
        <v>9680</v>
      </c>
      <c r="I163" s="80" t="s">
        <v>84</v>
      </c>
      <c r="J163" s="80" t="s">
        <v>84</v>
      </c>
      <c r="K163" s="80" t="s">
        <v>84</v>
      </c>
      <c r="L163" s="80" t="s">
        <v>84</v>
      </c>
      <c r="M163" s="80" t="s">
        <v>84</v>
      </c>
      <c r="N163" s="80" t="s">
        <v>84</v>
      </c>
      <c r="O163" s="80" t="s">
        <v>84</v>
      </c>
      <c r="P163" s="80"/>
      <c r="Q163" s="80" t="s">
        <v>84</v>
      </c>
      <c r="R163" s="80" t="s">
        <v>84</v>
      </c>
    </row>
    <row r="164" spans="1:18" ht="20" x14ac:dyDescent="0.2">
      <c r="A164" s="80" t="s">
        <v>1814</v>
      </c>
      <c r="B164" s="80" t="s">
        <v>1815</v>
      </c>
      <c r="C164" s="80" t="s">
        <v>9680</v>
      </c>
      <c r="D164" s="80" t="s">
        <v>9680</v>
      </c>
      <c r="E164" s="80" t="s">
        <v>9680</v>
      </c>
      <c r="F164" s="80"/>
      <c r="G164" s="80" t="s">
        <v>9680</v>
      </c>
      <c r="H164" s="80" t="s">
        <v>9680</v>
      </c>
      <c r="I164" s="80" t="s">
        <v>9680</v>
      </c>
      <c r="J164" s="80" t="s">
        <v>84</v>
      </c>
      <c r="K164" s="80" t="s">
        <v>9680</v>
      </c>
      <c r="L164" s="80" t="s">
        <v>9680</v>
      </c>
      <c r="M164" s="80" t="s">
        <v>84</v>
      </c>
      <c r="N164" s="80" t="s">
        <v>9680</v>
      </c>
      <c r="O164" s="80" t="s">
        <v>84</v>
      </c>
      <c r="P164" s="80"/>
      <c r="Q164" s="80" t="s">
        <v>84</v>
      </c>
      <c r="R164" s="80" t="s">
        <v>84</v>
      </c>
    </row>
    <row r="165" spans="1:18" ht="20" x14ac:dyDescent="0.2">
      <c r="A165" s="80" t="s">
        <v>1814</v>
      </c>
      <c r="B165" s="80" t="s">
        <v>9743</v>
      </c>
      <c r="C165" s="80" t="s">
        <v>9680</v>
      </c>
      <c r="D165" s="80" t="s">
        <v>9680</v>
      </c>
      <c r="E165" s="80" t="s">
        <v>9680</v>
      </c>
      <c r="F165" s="80"/>
      <c r="G165" s="80" t="s">
        <v>9680</v>
      </c>
      <c r="H165" s="80" t="s">
        <v>9680</v>
      </c>
      <c r="I165" s="80" t="s">
        <v>9680</v>
      </c>
      <c r="J165" s="80" t="s">
        <v>84</v>
      </c>
      <c r="K165" s="80" t="s">
        <v>9680</v>
      </c>
      <c r="L165" s="80" t="s">
        <v>9680</v>
      </c>
      <c r="M165" s="80" t="s">
        <v>84</v>
      </c>
      <c r="N165" s="80" t="s">
        <v>9680</v>
      </c>
      <c r="O165" s="80" t="s">
        <v>84</v>
      </c>
      <c r="P165" s="80"/>
      <c r="Q165" s="80" t="s">
        <v>84</v>
      </c>
      <c r="R165" s="80" t="s">
        <v>84</v>
      </c>
    </row>
    <row r="166" spans="1:18" ht="20" x14ac:dyDescent="0.2">
      <c r="A166" s="80" t="s">
        <v>1819</v>
      </c>
      <c r="B166" s="80" t="s">
        <v>1820</v>
      </c>
      <c r="C166" s="80" t="s">
        <v>9680</v>
      </c>
      <c r="D166" s="80" t="s">
        <v>84</v>
      </c>
      <c r="E166" s="80" t="s">
        <v>84</v>
      </c>
      <c r="F166" s="80"/>
      <c r="G166" s="80" t="s">
        <v>84</v>
      </c>
      <c r="H166" s="80" t="s">
        <v>84</v>
      </c>
      <c r="I166" s="80" t="s">
        <v>84</v>
      </c>
      <c r="J166" s="80" t="s">
        <v>84</v>
      </c>
      <c r="K166" s="80" t="s">
        <v>84</v>
      </c>
      <c r="L166" s="80" t="s">
        <v>84</v>
      </c>
      <c r="M166" s="80" t="s">
        <v>84</v>
      </c>
      <c r="N166" s="80" t="s">
        <v>84</v>
      </c>
      <c r="O166" s="80" t="s">
        <v>84</v>
      </c>
      <c r="P166" s="80"/>
      <c r="Q166" s="80" t="s">
        <v>84</v>
      </c>
      <c r="R166" s="80" t="s">
        <v>84</v>
      </c>
    </row>
    <row r="167" spans="1:18" ht="20" x14ac:dyDescent="0.2">
      <c r="A167" s="80" t="s">
        <v>1821</v>
      </c>
      <c r="B167" s="80" t="s">
        <v>1822</v>
      </c>
      <c r="C167" s="80" t="s">
        <v>9680</v>
      </c>
      <c r="D167" s="80" t="s">
        <v>84</v>
      </c>
      <c r="E167" s="80" t="s">
        <v>84</v>
      </c>
      <c r="F167" s="80"/>
      <c r="G167" s="80" t="s">
        <v>84</v>
      </c>
      <c r="H167" s="80" t="s">
        <v>84</v>
      </c>
      <c r="I167" s="80" t="s">
        <v>84</v>
      </c>
      <c r="J167" s="80" t="s">
        <v>84</v>
      </c>
      <c r="K167" s="80" t="s">
        <v>84</v>
      </c>
      <c r="L167" s="80" t="s">
        <v>84</v>
      </c>
      <c r="M167" s="80" t="s">
        <v>84</v>
      </c>
      <c r="N167" s="80" t="s">
        <v>84</v>
      </c>
      <c r="O167" s="80" t="s">
        <v>84</v>
      </c>
      <c r="P167" s="80"/>
      <c r="Q167" s="80" t="s">
        <v>84</v>
      </c>
      <c r="R167" s="80" t="s">
        <v>84</v>
      </c>
    </row>
    <row r="168" spans="1:18" ht="20" x14ac:dyDescent="0.2">
      <c r="A168" s="80" t="s">
        <v>1737</v>
      </c>
      <c r="B168" s="80" t="s">
        <v>1738</v>
      </c>
      <c r="C168" s="80" t="s">
        <v>9722</v>
      </c>
      <c r="D168" s="80" t="s">
        <v>84</v>
      </c>
      <c r="E168" s="80" t="s">
        <v>84</v>
      </c>
      <c r="F168" s="80"/>
      <c r="G168" s="80" t="s">
        <v>84</v>
      </c>
      <c r="H168" s="80" t="s">
        <v>84</v>
      </c>
      <c r="I168" s="80" t="s">
        <v>84</v>
      </c>
      <c r="J168" s="80" t="s">
        <v>84</v>
      </c>
      <c r="K168" s="80" t="s">
        <v>84</v>
      </c>
      <c r="L168" s="80" t="s">
        <v>84</v>
      </c>
      <c r="M168" s="80" t="s">
        <v>84</v>
      </c>
      <c r="N168" s="80" t="s">
        <v>84</v>
      </c>
      <c r="O168" s="80" t="s">
        <v>84</v>
      </c>
      <c r="P168" s="80"/>
      <c r="Q168" s="80" t="s">
        <v>84</v>
      </c>
      <c r="R168" s="80" t="s">
        <v>84</v>
      </c>
    </row>
    <row r="169" spans="1:18" ht="20" x14ac:dyDescent="0.2">
      <c r="A169" s="80" t="s">
        <v>1737</v>
      </c>
      <c r="B169" s="80" t="s">
        <v>1847</v>
      </c>
      <c r="C169" s="80" t="s">
        <v>9722</v>
      </c>
      <c r="D169" s="80" t="s">
        <v>84</v>
      </c>
      <c r="E169" s="80" t="s">
        <v>84</v>
      </c>
      <c r="F169" s="80"/>
      <c r="G169" s="80" t="s">
        <v>84</v>
      </c>
      <c r="H169" s="80" t="s">
        <v>84</v>
      </c>
      <c r="I169" s="80" t="s">
        <v>84</v>
      </c>
      <c r="J169" s="80" t="s">
        <v>84</v>
      </c>
      <c r="K169" s="80" t="s">
        <v>84</v>
      </c>
      <c r="L169" s="80" t="s">
        <v>84</v>
      </c>
      <c r="M169" s="80" t="s">
        <v>84</v>
      </c>
      <c r="N169" s="80" t="s">
        <v>84</v>
      </c>
      <c r="O169" s="80" t="s">
        <v>84</v>
      </c>
      <c r="P169" s="80"/>
      <c r="Q169" s="80" t="s">
        <v>84</v>
      </c>
      <c r="R169" s="80" t="s">
        <v>84</v>
      </c>
    </row>
    <row r="170" spans="1:18" ht="20" x14ac:dyDescent="0.2">
      <c r="A170" s="80" t="s">
        <v>1737</v>
      </c>
      <c r="B170" s="80" t="s">
        <v>9744</v>
      </c>
      <c r="C170" s="80" t="s">
        <v>9722</v>
      </c>
      <c r="D170" s="80" t="s">
        <v>84</v>
      </c>
      <c r="E170" s="80" t="s">
        <v>84</v>
      </c>
      <c r="F170" s="80"/>
      <c r="G170" s="80" t="s">
        <v>84</v>
      </c>
      <c r="H170" s="80" t="s">
        <v>84</v>
      </c>
      <c r="I170" s="80" t="s">
        <v>84</v>
      </c>
      <c r="J170" s="80" t="s">
        <v>84</v>
      </c>
      <c r="K170" s="80" t="s">
        <v>84</v>
      </c>
      <c r="L170" s="80" t="s">
        <v>84</v>
      </c>
      <c r="M170" s="80" t="s">
        <v>84</v>
      </c>
      <c r="N170" s="80" t="s">
        <v>84</v>
      </c>
      <c r="O170" s="80" t="s">
        <v>84</v>
      </c>
      <c r="P170" s="80"/>
      <c r="Q170" s="80" t="s">
        <v>84</v>
      </c>
      <c r="R170" s="80" t="s">
        <v>84</v>
      </c>
    </row>
    <row r="171" spans="1:18" ht="20" x14ac:dyDescent="0.2">
      <c r="A171" s="80" t="s">
        <v>2839</v>
      </c>
      <c r="B171" s="80" t="s">
        <v>9745</v>
      </c>
      <c r="C171" s="80" t="s">
        <v>9680</v>
      </c>
      <c r="D171" s="80" t="s">
        <v>9680</v>
      </c>
      <c r="E171" s="80" t="s">
        <v>84</v>
      </c>
      <c r="F171" s="80"/>
      <c r="G171" s="80" t="s">
        <v>9680</v>
      </c>
      <c r="H171" s="80" t="s">
        <v>84</v>
      </c>
      <c r="I171" s="80" t="s">
        <v>9680</v>
      </c>
      <c r="J171" s="80" t="s">
        <v>9680</v>
      </c>
      <c r="K171" s="80" t="s">
        <v>9680</v>
      </c>
      <c r="L171" s="80" t="s">
        <v>9680</v>
      </c>
      <c r="M171" s="80" t="s">
        <v>9680</v>
      </c>
      <c r="N171" s="80" t="s">
        <v>84</v>
      </c>
      <c r="O171" s="80" t="s">
        <v>9680</v>
      </c>
      <c r="P171" s="80"/>
      <c r="Q171" s="80" t="s">
        <v>9680</v>
      </c>
      <c r="R171" s="80" t="s">
        <v>9680</v>
      </c>
    </row>
    <row r="172" spans="1:18" ht="20" x14ac:dyDescent="0.2">
      <c r="A172" s="80" t="s">
        <v>2839</v>
      </c>
      <c r="B172" s="80" t="s">
        <v>2840</v>
      </c>
      <c r="C172" s="80" t="s">
        <v>9680</v>
      </c>
      <c r="D172" s="80" t="s">
        <v>9680</v>
      </c>
      <c r="E172" s="80" t="s">
        <v>84</v>
      </c>
      <c r="F172" s="80"/>
      <c r="G172" s="80" t="s">
        <v>9680</v>
      </c>
      <c r="H172" s="80" t="s">
        <v>84</v>
      </c>
      <c r="I172" s="80" t="s">
        <v>9680</v>
      </c>
      <c r="J172" s="80" t="s">
        <v>9680</v>
      </c>
      <c r="K172" s="80" t="s">
        <v>9680</v>
      </c>
      <c r="L172" s="80" t="s">
        <v>9680</v>
      </c>
      <c r="M172" s="80" t="s">
        <v>9680</v>
      </c>
      <c r="N172" s="80" t="s">
        <v>84</v>
      </c>
      <c r="O172" s="80" t="s">
        <v>9680</v>
      </c>
      <c r="P172" s="80"/>
      <c r="Q172" s="80" t="s">
        <v>9680</v>
      </c>
      <c r="R172" s="80" t="s">
        <v>9680</v>
      </c>
    </row>
    <row r="173" spans="1:18" ht="20" x14ac:dyDescent="0.2">
      <c r="A173" s="80" t="s">
        <v>2855</v>
      </c>
      <c r="B173" s="80" t="s">
        <v>2856</v>
      </c>
      <c r="C173" s="80" t="s">
        <v>9680</v>
      </c>
      <c r="D173" s="80" t="s">
        <v>9680</v>
      </c>
      <c r="E173" s="80" t="s">
        <v>9680</v>
      </c>
      <c r="F173" s="80"/>
      <c r="G173" s="80" t="s">
        <v>9680</v>
      </c>
      <c r="H173" s="80" t="s">
        <v>9680</v>
      </c>
      <c r="I173" s="80" t="s">
        <v>84</v>
      </c>
      <c r="J173" s="80" t="s">
        <v>9680</v>
      </c>
      <c r="K173" s="80" t="s">
        <v>84</v>
      </c>
      <c r="L173" s="80" t="s">
        <v>84</v>
      </c>
      <c r="M173" s="80" t="s">
        <v>9680</v>
      </c>
      <c r="N173" s="80" t="s">
        <v>9680</v>
      </c>
      <c r="O173" s="80" t="s">
        <v>9680</v>
      </c>
      <c r="P173" s="80"/>
      <c r="Q173" s="80" t="s">
        <v>9680</v>
      </c>
      <c r="R173" s="80" t="s">
        <v>9680</v>
      </c>
    </row>
    <row r="174" spans="1:18" ht="20" x14ac:dyDescent="0.2">
      <c r="A174" s="80" t="s">
        <v>3053</v>
      </c>
      <c r="B174" s="80" t="s">
        <v>9746</v>
      </c>
      <c r="C174" s="80" t="s">
        <v>84</v>
      </c>
      <c r="D174" s="80" t="s">
        <v>84</v>
      </c>
      <c r="E174" s="80" t="s">
        <v>84</v>
      </c>
      <c r="F174" s="80"/>
      <c r="G174" s="80" t="s">
        <v>84</v>
      </c>
      <c r="H174" s="80" t="s">
        <v>84</v>
      </c>
      <c r="I174" s="80" t="s">
        <v>84</v>
      </c>
      <c r="J174" s="80" t="s">
        <v>84</v>
      </c>
      <c r="K174" s="80" t="s">
        <v>84</v>
      </c>
      <c r="L174" s="80" t="s">
        <v>84</v>
      </c>
      <c r="M174" s="80" t="s">
        <v>84</v>
      </c>
      <c r="N174" s="80" t="s">
        <v>84</v>
      </c>
      <c r="O174" s="80" t="s">
        <v>84</v>
      </c>
      <c r="P174" s="80"/>
      <c r="Q174" s="80" t="s">
        <v>84</v>
      </c>
      <c r="R174" s="80" t="s">
        <v>84</v>
      </c>
    </row>
    <row r="175" spans="1:18" ht="20" x14ac:dyDescent="0.2">
      <c r="A175" s="80" t="s">
        <v>3053</v>
      </c>
      <c r="B175" s="80" t="s">
        <v>3054</v>
      </c>
      <c r="C175" s="80" t="s">
        <v>84</v>
      </c>
      <c r="D175" s="80" t="s">
        <v>84</v>
      </c>
      <c r="E175" s="80" t="s">
        <v>84</v>
      </c>
      <c r="F175" s="80"/>
      <c r="G175" s="80" t="s">
        <v>84</v>
      </c>
      <c r="H175" s="80" t="s">
        <v>84</v>
      </c>
      <c r="I175" s="80" t="s">
        <v>84</v>
      </c>
      <c r="J175" s="80" t="s">
        <v>84</v>
      </c>
      <c r="K175" s="80" t="s">
        <v>84</v>
      </c>
      <c r="L175" s="80" t="s">
        <v>84</v>
      </c>
      <c r="M175" s="80" t="s">
        <v>84</v>
      </c>
      <c r="N175" s="80" t="s">
        <v>84</v>
      </c>
      <c r="O175" s="80" t="s">
        <v>84</v>
      </c>
      <c r="P175" s="80"/>
      <c r="Q175" s="80" t="s">
        <v>84</v>
      </c>
      <c r="R175" s="80" t="s">
        <v>84</v>
      </c>
    </row>
    <row r="176" spans="1:18" ht="20" x14ac:dyDescent="0.2">
      <c r="A176" s="80" t="s">
        <v>3055</v>
      </c>
      <c r="B176" s="80" t="s">
        <v>9747</v>
      </c>
      <c r="C176" s="80" t="s">
        <v>9680</v>
      </c>
      <c r="D176" s="80" t="s">
        <v>84</v>
      </c>
      <c r="E176" s="80" t="s">
        <v>84</v>
      </c>
      <c r="F176" s="80"/>
      <c r="G176" s="80" t="s">
        <v>84</v>
      </c>
      <c r="H176" s="80" t="s">
        <v>84</v>
      </c>
      <c r="I176" s="80" t="s">
        <v>84</v>
      </c>
      <c r="J176" s="80" t="s">
        <v>9680</v>
      </c>
      <c r="K176" s="80" t="s">
        <v>84</v>
      </c>
      <c r="L176" s="80" t="s">
        <v>84</v>
      </c>
      <c r="M176" s="80" t="s">
        <v>84</v>
      </c>
      <c r="N176" s="80" t="s">
        <v>84</v>
      </c>
      <c r="O176" s="80" t="s">
        <v>84</v>
      </c>
      <c r="P176" s="80"/>
      <c r="Q176" s="80" t="s">
        <v>84</v>
      </c>
      <c r="R176" s="80" t="s">
        <v>84</v>
      </c>
    </row>
    <row r="177" spans="1:18" ht="20" x14ac:dyDescent="0.2">
      <c r="A177" s="80" t="s">
        <v>3055</v>
      </c>
      <c r="B177" s="80" t="s">
        <v>3056</v>
      </c>
      <c r="C177" s="80" t="s">
        <v>9680</v>
      </c>
      <c r="D177" s="80" t="s">
        <v>84</v>
      </c>
      <c r="E177" s="80" t="s">
        <v>84</v>
      </c>
      <c r="F177" s="80"/>
      <c r="G177" s="80" t="s">
        <v>84</v>
      </c>
      <c r="H177" s="80" t="s">
        <v>84</v>
      </c>
      <c r="I177" s="80" t="s">
        <v>84</v>
      </c>
      <c r="J177" s="80" t="s">
        <v>9680</v>
      </c>
      <c r="K177" s="80" t="s">
        <v>84</v>
      </c>
      <c r="L177" s="80" t="s">
        <v>84</v>
      </c>
      <c r="M177" s="80" t="s">
        <v>84</v>
      </c>
      <c r="N177" s="80" t="s">
        <v>84</v>
      </c>
      <c r="O177" s="80" t="s">
        <v>84</v>
      </c>
      <c r="P177" s="80"/>
      <c r="Q177" s="80" t="s">
        <v>84</v>
      </c>
      <c r="R177" s="80" t="s">
        <v>84</v>
      </c>
    </row>
    <row r="178" spans="1:18" ht="20" x14ac:dyDescent="0.2">
      <c r="A178" s="80" t="s">
        <v>3057</v>
      </c>
      <c r="B178" s="80" t="s">
        <v>9748</v>
      </c>
      <c r="C178" s="80" t="s">
        <v>9680</v>
      </c>
      <c r="D178" s="80" t="s">
        <v>9680</v>
      </c>
      <c r="E178" s="80" t="s">
        <v>84</v>
      </c>
      <c r="F178" s="80"/>
      <c r="G178" s="80" t="s">
        <v>9680</v>
      </c>
      <c r="H178" s="80" t="s">
        <v>84</v>
      </c>
      <c r="I178" s="80" t="s">
        <v>9680</v>
      </c>
      <c r="J178" s="80" t="s">
        <v>9680</v>
      </c>
      <c r="K178" s="80" t="s">
        <v>9680</v>
      </c>
      <c r="L178" s="80" t="s">
        <v>9680</v>
      </c>
      <c r="M178" s="80" t="s">
        <v>9680</v>
      </c>
      <c r="N178" s="80" t="s">
        <v>84</v>
      </c>
      <c r="O178" s="80" t="s">
        <v>9680</v>
      </c>
      <c r="P178" s="80"/>
      <c r="Q178" s="80" t="s">
        <v>9680</v>
      </c>
      <c r="R178" s="80" t="s">
        <v>9680</v>
      </c>
    </row>
    <row r="179" spans="1:18" ht="20" x14ac:dyDescent="0.2">
      <c r="A179" s="80" t="s">
        <v>3057</v>
      </c>
      <c r="B179" s="80" t="s">
        <v>3058</v>
      </c>
      <c r="C179" s="80" t="s">
        <v>9680</v>
      </c>
      <c r="D179" s="80" t="s">
        <v>9680</v>
      </c>
      <c r="E179" s="80" t="s">
        <v>84</v>
      </c>
      <c r="F179" s="80"/>
      <c r="G179" s="80" t="s">
        <v>9680</v>
      </c>
      <c r="H179" s="80" t="s">
        <v>84</v>
      </c>
      <c r="I179" s="80" t="s">
        <v>9680</v>
      </c>
      <c r="J179" s="80" t="s">
        <v>9680</v>
      </c>
      <c r="K179" s="80" t="s">
        <v>9680</v>
      </c>
      <c r="L179" s="80" t="s">
        <v>9680</v>
      </c>
      <c r="M179" s="80" t="s">
        <v>9680</v>
      </c>
      <c r="N179" s="80" t="s">
        <v>84</v>
      </c>
      <c r="O179" s="80" t="s">
        <v>9680</v>
      </c>
      <c r="P179" s="80"/>
      <c r="Q179" s="80" t="s">
        <v>9680</v>
      </c>
      <c r="R179" s="80" t="s">
        <v>9680</v>
      </c>
    </row>
    <row r="180" spans="1:18" ht="20" x14ac:dyDescent="0.2">
      <c r="A180" s="80" t="s">
        <v>2873</v>
      </c>
      <c r="B180" s="80" t="s">
        <v>2874</v>
      </c>
      <c r="C180" s="80" t="s">
        <v>9680</v>
      </c>
      <c r="D180" s="80" t="s">
        <v>9680</v>
      </c>
      <c r="E180" s="80" t="s">
        <v>84</v>
      </c>
      <c r="F180" s="80"/>
      <c r="G180" s="80" t="s">
        <v>9680</v>
      </c>
      <c r="H180" s="80" t="s">
        <v>84</v>
      </c>
      <c r="I180" s="80" t="s">
        <v>9680</v>
      </c>
      <c r="J180" s="80" t="s">
        <v>84</v>
      </c>
      <c r="K180" s="80" t="s">
        <v>9680</v>
      </c>
      <c r="L180" s="80" t="s">
        <v>9680</v>
      </c>
      <c r="M180" s="80" t="s">
        <v>9680</v>
      </c>
      <c r="N180" s="80" t="s">
        <v>84</v>
      </c>
      <c r="O180" s="80" t="s">
        <v>9680</v>
      </c>
      <c r="P180" s="80"/>
      <c r="Q180" s="80" t="s">
        <v>9680</v>
      </c>
      <c r="R180" s="80" t="s">
        <v>9680</v>
      </c>
    </row>
    <row r="181" spans="1:18" ht="20" x14ac:dyDescent="0.2">
      <c r="A181" s="80" t="s">
        <v>2896</v>
      </c>
      <c r="B181" s="80" t="s">
        <v>2897</v>
      </c>
      <c r="C181" s="80" t="s">
        <v>9722</v>
      </c>
      <c r="D181" s="80" t="s">
        <v>9722</v>
      </c>
      <c r="E181" s="80" t="s">
        <v>84</v>
      </c>
      <c r="F181" s="80"/>
      <c r="G181" s="80" t="s">
        <v>9722</v>
      </c>
      <c r="H181" s="80" t="s">
        <v>84</v>
      </c>
      <c r="I181" s="80" t="s">
        <v>9722</v>
      </c>
      <c r="J181" s="80" t="s">
        <v>84</v>
      </c>
      <c r="K181" s="80" t="s">
        <v>9722</v>
      </c>
      <c r="L181" s="80" t="s">
        <v>9722</v>
      </c>
      <c r="M181" s="80" t="s">
        <v>9722</v>
      </c>
      <c r="N181" s="80" t="s">
        <v>84</v>
      </c>
      <c r="O181" s="80" t="s">
        <v>9722</v>
      </c>
      <c r="P181" s="80"/>
      <c r="Q181" s="80" t="s">
        <v>9722</v>
      </c>
      <c r="R181" s="80" t="s">
        <v>9722</v>
      </c>
    </row>
    <row r="182" spans="1:18" ht="20" x14ac:dyDescent="0.2">
      <c r="A182" s="80" t="s">
        <v>3059</v>
      </c>
      <c r="B182" s="80" t="s">
        <v>3060</v>
      </c>
      <c r="C182" s="80" t="s">
        <v>9722</v>
      </c>
      <c r="D182" s="80" t="s">
        <v>84</v>
      </c>
      <c r="E182" s="80" t="s">
        <v>84</v>
      </c>
      <c r="F182" s="80"/>
      <c r="G182" s="80" t="s">
        <v>84</v>
      </c>
      <c r="H182" s="80" t="s">
        <v>84</v>
      </c>
      <c r="I182" s="80" t="s">
        <v>84</v>
      </c>
      <c r="J182" s="80" t="s">
        <v>84</v>
      </c>
      <c r="K182" s="80" t="s">
        <v>84</v>
      </c>
      <c r="L182" s="80" t="s">
        <v>84</v>
      </c>
      <c r="M182" s="80" t="s">
        <v>84</v>
      </c>
      <c r="N182" s="80" t="s">
        <v>84</v>
      </c>
      <c r="O182" s="80" t="s">
        <v>84</v>
      </c>
      <c r="P182" s="80"/>
      <c r="Q182" s="80" t="s">
        <v>84</v>
      </c>
      <c r="R182" s="80" t="s">
        <v>84</v>
      </c>
    </row>
    <row r="183" spans="1:18" ht="20" x14ac:dyDescent="0.2">
      <c r="A183" s="80" t="s">
        <v>3061</v>
      </c>
      <c r="B183" s="80" t="s">
        <v>3062</v>
      </c>
      <c r="C183" s="80" t="s">
        <v>9680</v>
      </c>
      <c r="D183" s="80" t="s">
        <v>9680</v>
      </c>
      <c r="E183" s="80" t="s">
        <v>84</v>
      </c>
      <c r="F183" s="80"/>
      <c r="G183" s="80" t="s">
        <v>9680</v>
      </c>
      <c r="H183" s="80" t="s">
        <v>84</v>
      </c>
      <c r="I183" s="80" t="s">
        <v>84</v>
      </c>
      <c r="J183" s="80" t="s">
        <v>84</v>
      </c>
      <c r="K183" s="80" t="s">
        <v>84</v>
      </c>
      <c r="L183" s="80" t="s">
        <v>84</v>
      </c>
      <c r="M183" s="80" t="s">
        <v>9680</v>
      </c>
      <c r="N183" s="80" t="s">
        <v>84</v>
      </c>
      <c r="O183" s="80" t="s">
        <v>9680</v>
      </c>
      <c r="P183" s="80"/>
      <c r="Q183" s="80" t="s">
        <v>9680</v>
      </c>
      <c r="R183" s="80" t="s">
        <v>9680</v>
      </c>
    </row>
    <row r="184" spans="1:18" ht="20" x14ac:dyDescent="0.2">
      <c r="A184" s="80" t="s">
        <v>3063</v>
      </c>
      <c r="B184" s="80" t="s">
        <v>3064</v>
      </c>
      <c r="C184" s="80" t="s">
        <v>9680</v>
      </c>
      <c r="D184" s="80" t="s">
        <v>9680</v>
      </c>
      <c r="E184" s="80" t="s">
        <v>84</v>
      </c>
      <c r="F184" s="80"/>
      <c r="G184" s="80" t="s">
        <v>9680</v>
      </c>
      <c r="H184" s="80" t="s">
        <v>84</v>
      </c>
      <c r="I184" s="80" t="s">
        <v>9680</v>
      </c>
      <c r="J184" s="80" t="s">
        <v>84</v>
      </c>
      <c r="K184" s="80" t="s">
        <v>9680</v>
      </c>
      <c r="L184" s="80" t="s">
        <v>9680</v>
      </c>
      <c r="M184" s="80" t="s">
        <v>9680</v>
      </c>
      <c r="N184" s="80" t="s">
        <v>84</v>
      </c>
      <c r="O184" s="80" t="s">
        <v>9680</v>
      </c>
      <c r="P184" s="80"/>
      <c r="Q184" s="80" t="s">
        <v>9680</v>
      </c>
      <c r="R184" s="80" t="s">
        <v>9680</v>
      </c>
    </row>
    <row r="185" spans="1:18" ht="20" x14ac:dyDescent="0.2">
      <c r="A185" s="80" t="s">
        <v>3065</v>
      </c>
      <c r="B185" s="80" t="s">
        <v>3066</v>
      </c>
      <c r="C185" s="80" t="s">
        <v>9680</v>
      </c>
      <c r="D185" s="80" t="s">
        <v>9680</v>
      </c>
      <c r="E185" s="80" t="s">
        <v>84</v>
      </c>
      <c r="F185" s="80"/>
      <c r="G185" s="80" t="s">
        <v>84</v>
      </c>
      <c r="H185" s="80" t="s">
        <v>9680</v>
      </c>
      <c r="I185" s="80" t="s">
        <v>9680</v>
      </c>
      <c r="J185" s="80" t="s">
        <v>84</v>
      </c>
      <c r="K185" s="80" t="s">
        <v>9680</v>
      </c>
      <c r="L185" s="80" t="s">
        <v>9680</v>
      </c>
      <c r="M185" s="80" t="s">
        <v>9680</v>
      </c>
      <c r="N185" s="80" t="s">
        <v>84</v>
      </c>
      <c r="O185" s="80" t="s">
        <v>9680</v>
      </c>
      <c r="P185" s="80"/>
      <c r="Q185" s="80" t="s">
        <v>9680</v>
      </c>
      <c r="R185" s="80" t="s">
        <v>9680</v>
      </c>
    </row>
    <row r="186" spans="1:18" ht="20" x14ac:dyDescent="0.2">
      <c r="A186" s="80" t="s">
        <v>2940</v>
      </c>
      <c r="B186" s="80" t="s">
        <v>2941</v>
      </c>
      <c r="C186" s="80" t="s">
        <v>9680</v>
      </c>
      <c r="D186" s="80" t="s">
        <v>9680</v>
      </c>
      <c r="E186" s="80" t="s">
        <v>84</v>
      </c>
      <c r="F186" s="80"/>
      <c r="G186" s="80" t="s">
        <v>84</v>
      </c>
      <c r="H186" s="80" t="s">
        <v>9680</v>
      </c>
      <c r="I186" s="80" t="s">
        <v>9680</v>
      </c>
      <c r="J186" s="80" t="s">
        <v>84</v>
      </c>
      <c r="K186" s="80" t="s">
        <v>9680</v>
      </c>
      <c r="L186" s="80" t="s">
        <v>9680</v>
      </c>
      <c r="M186" s="80" t="s">
        <v>9680</v>
      </c>
      <c r="N186" s="80" t="s">
        <v>84</v>
      </c>
      <c r="O186" s="80" t="s">
        <v>9680</v>
      </c>
      <c r="P186" s="80"/>
      <c r="Q186" s="80" t="s">
        <v>9680</v>
      </c>
      <c r="R186" s="80" t="s">
        <v>9680</v>
      </c>
    </row>
    <row r="187" spans="1:18" ht="20" x14ac:dyDescent="0.2">
      <c r="A187" s="80" t="s">
        <v>2890</v>
      </c>
      <c r="B187" s="80" t="s">
        <v>2891</v>
      </c>
      <c r="C187" s="80" t="s">
        <v>9680</v>
      </c>
      <c r="D187" s="80" t="s">
        <v>84</v>
      </c>
      <c r="E187" s="80" t="s">
        <v>84</v>
      </c>
      <c r="F187" s="80"/>
      <c r="G187" s="80" t="s">
        <v>84</v>
      </c>
      <c r="H187" s="80" t="s">
        <v>84</v>
      </c>
      <c r="I187" s="80" t="s">
        <v>84</v>
      </c>
      <c r="J187" s="80" t="s">
        <v>84</v>
      </c>
      <c r="K187" s="80" t="s">
        <v>84</v>
      </c>
      <c r="L187" s="80" t="s">
        <v>84</v>
      </c>
      <c r="M187" s="80" t="s">
        <v>84</v>
      </c>
      <c r="N187" s="80" t="s">
        <v>84</v>
      </c>
      <c r="O187" s="80" t="s">
        <v>84</v>
      </c>
      <c r="P187" s="80"/>
      <c r="Q187" s="80" t="s">
        <v>84</v>
      </c>
      <c r="R187" s="80" t="s">
        <v>84</v>
      </c>
    </row>
    <row r="188" spans="1:18" ht="20" x14ac:dyDescent="0.2">
      <c r="A188" s="80" t="s">
        <v>3067</v>
      </c>
      <c r="B188" s="80" t="s">
        <v>3068</v>
      </c>
      <c r="C188" s="80" t="s">
        <v>9680</v>
      </c>
      <c r="D188" s="80" t="s">
        <v>84</v>
      </c>
      <c r="E188" s="80" t="s">
        <v>84</v>
      </c>
      <c r="F188" s="80"/>
      <c r="G188" s="80" t="s">
        <v>84</v>
      </c>
      <c r="H188" s="80" t="s">
        <v>84</v>
      </c>
      <c r="I188" s="80" t="s">
        <v>84</v>
      </c>
      <c r="J188" s="80" t="s">
        <v>84</v>
      </c>
      <c r="K188" s="80" t="s">
        <v>84</v>
      </c>
      <c r="L188" s="80" t="s">
        <v>84</v>
      </c>
      <c r="M188" s="80" t="s">
        <v>84</v>
      </c>
      <c r="N188" s="80" t="s">
        <v>84</v>
      </c>
      <c r="O188" s="80" t="s">
        <v>84</v>
      </c>
      <c r="P188" s="80"/>
      <c r="Q188" s="80" t="s">
        <v>84</v>
      </c>
      <c r="R188" s="80" t="s">
        <v>84</v>
      </c>
    </row>
    <row r="189" spans="1:18" ht="20" x14ac:dyDescent="0.2">
      <c r="A189" s="80" t="s">
        <v>3069</v>
      </c>
      <c r="B189" s="80" t="s">
        <v>3070</v>
      </c>
      <c r="C189" s="80" t="s">
        <v>9680</v>
      </c>
      <c r="D189" s="80" t="s">
        <v>84</v>
      </c>
      <c r="E189" s="80" t="s">
        <v>84</v>
      </c>
      <c r="F189" s="80"/>
      <c r="G189" s="80" t="s">
        <v>84</v>
      </c>
      <c r="H189" s="80" t="s">
        <v>84</v>
      </c>
      <c r="I189" s="80" t="s">
        <v>84</v>
      </c>
      <c r="J189" s="80" t="s">
        <v>84</v>
      </c>
      <c r="K189" s="80" t="s">
        <v>84</v>
      </c>
      <c r="L189" s="80" t="s">
        <v>84</v>
      </c>
      <c r="M189" s="80" t="s">
        <v>84</v>
      </c>
      <c r="N189" s="80" t="s">
        <v>84</v>
      </c>
      <c r="O189" s="80" t="s">
        <v>84</v>
      </c>
      <c r="P189" s="80"/>
      <c r="Q189" s="80" t="s">
        <v>84</v>
      </c>
      <c r="R189" s="80" t="s">
        <v>84</v>
      </c>
    </row>
    <row r="190" spans="1:18" ht="20" x14ac:dyDescent="0.2">
      <c r="A190" s="80" t="s">
        <v>2538</v>
      </c>
      <c r="B190" s="80" t="s">
        <v>2539</v>
      </c>
      <c r="C190" s="80" t="s">
        <v>9680</v>
      </c>
      <c r="D190" s="80" t="s">
        <v>84</v>
      </c>
      <c r="E190" s="80" t="s">
        <v>84</v>
      </c>
      <c r="F190" s="80"/>
      <c r="G190" s="80" t="s">
        <v>84</v>
      </c>
      <c r="H190" s="80" t="s">
        <v>84</v>
      </c>
      <c r="I190" s="80" t="s">
        <v>84</v>
      </c>
      <c r="J190" s="80" t="s">
        <v>84</v>
      </c>
      <c r="K190" s="80" t="s">
        <v>84</v>
      </c>
      <c r="L190" s="80" t="s">
        <v>84</v>
      </c>
      <c r="M190" s="80" t="s">
        <v>84</v>
      </c>
      <c r="N190" s="80" t="s">
        <v>84</v>
      </c>
      <c r="O190" s="80" t="s">
        <v>84</v>
      </c>
      <c r="P190" s="80"/>
      <c r="Q190" s="80" t="s">
        <v>84</v>
      </c>
      <c r="R190" s="80" t="s">
        <v>84</v>
      </c>
    </row>
    <row r="191" spans="1:18" ht="20" x14ac:dyDescent="0.2">
      <c r="A191" s="80" t="s">
        <v>2538</v>
      </c>
      <c r="B191" s="80" t="s">
        <v>2924</v>
      </c>
      <c r="C191" s="80" t="s">
        <v>9680</v>
      </c>
      <c r="D191" s="80" t="s">
        <v>84</v>
      </c>
      <c r="E191" s="80" t="s">
        <v>84</v>
      </c>
      <c r="F191" s="80"/>
      <c r="G191" s="80" t="s">
        <v>84</v>
      </c>
      <c r="H191" s="80" t="s">
        <v>84</v>
      </c>
      <c r="I191" s="80" t="s">
        <v>84</v>
      </c>
      <c r="J191" s="80" t="s">
        <v>84</v>
      </c>
      <c r="K191" s="80" t="s">
        <v>84</v>
      </c>
      <c r="L191" s="80" t="s">
        <v>84</v>
      </c>
      <c r="M191" s="80" t="s">
        <v>84</v>
      </c>
      <c r="N191" s="80" t="s">
        <v>84</v>
      </c>
      <c r="O191" s="80" t="s">
        <v>84</v>
      </c>
      <c r="P191" s="80"/>
      <c r="Q191" s="80" t="s">
        <v>84</v>
      </c>
      <c r="R191" s="80" t="s">
        <v>84</v>
      </c>
    </row>
    <row r="192" spans="1:18" ht="20" x14ac:dyDescent="0.2">
      <c r="A192" s="80" t="s">
        <v>2538</v>
      </c>
      <c r="B192" s="80" t="s">
        <v>9749</v>
      </c>
      <c r="C192" s="80" t="s">
        <v>9680</v>
      </c>
      <c r="D192" s="80" t="s">
        <v>84</v>
      </c>
      <c r="E192" s="80" t="s">
        <v>84</v>
      </c>
      <c r="F192" s="80"/>
      <c r="G192" s="80" t="s">
        <v>84</v>
      </c>
      <c r="H192" s="80" t="s">
        <v>84</v>
      </c>
      <c r="I192" s="80" t="s">
        <v>84</v>
      </c>
      <c r="J192" s="80" t="s">
        <v>84</v>
      </c>
      <c r="K192" s="80" t="s">
        <v>84</v>
      </c>
      <c r="L192" s="80" t="s">
        <v>84</v>
      </c>
      <c r="M192" s="80" t="s">
        <v>84</v>
      </c>
      <c r="N192" s="80" t="s">
        <v>84</v>
      </c>
      <c r="O192" s="80" t="s">
        <v>84</v>
      </c>
      <c r="P192" s="80"/>
      <c r="Q192" s="80" t="s">
        <v>84</v>
      </c>
      <c r="R192" s="80" t="s">
        <v>84</v>
      </c>
    </row>
    <row r="193" spans="1:18" ht="20" x14ac:dyDescent="0.2">
      <c r="A193" s="80" t="s">
        <v>2925</v>
      </c>
      <c r="B193" s="80" t="s">
        <v>2926</v>
      </c>
      <c r="C193" s="80" t="s">
        <v>9680</v>
      </c>
      <c r="D193" s="80" t="s">
        <v>84</v>
      </c>
      <c r="E193" s="80" t="s">
        <v>84</v>
      </c>
      <c r="F193" s="80"/>
      <c r="G193" s="80" t="s">
        <v>84</v>
      </c>
      <c r="H193" s="80" t="s">
        <v>84</v>
      </c>
      <c r="I193" s="80" t="s">
        <v>84</v>
      </c>
      <c r="J193" s="80" t="s">
        <v>84</v>
      </c>
      <c r="K193" s="80" t="s">
        <v>84</v>
      </c>
      <c r="L193" s="80" t="s">
        <v>84</v>
      </c>
      <c r="M193" s="80" t="s">
        <v>84</v>
      </c>
      <c r="N193" s="80" t="s">
        <v>84</v>
      </c>
      <c r="O193" s="80" t="s">
        <v>84</v>
      </c>
      <c r="P193" s="80"/>
      <c r="Q193" s="80" t="s">
        <v>84</v>
      </c>
      <c r="R193" s="80" t="s">
        <v>84</v>
      </c>
    </row>
    <row r="194" spans="1:18" ht="20" x14ac:dyDescent="0.2">
      <c r="A194" s="80" t="s">
        <v>2925</v>
      </c>
      <c r="B194" s="80" t="s">
        <v>9750</v>
      </c>
      <c r="C194" s="80" t="s">
        <v>9680</v>
      </c>
      <c r="D194" s="80" t="s">
        <v>84</v>
      </c>
      <c r="E194" s="80" t="s">
        <v>84</v>
      </c>
      <c r="F194" s="80"/>
      <c r="G194" s="80" t="s">
        <v>84</v>
      </c>
      <c r="H194" s="80" t="s">
        <v>84</v>
      </c>
      <c r="I194" s="80" t="s">
        <v>84</v>
      </c>
      <c r="J194" s="80" t="s">
        <v>84</v>
      </c>
      <c r="K194" s="80" t="s">
        <v>84</v>
      </c>
      <c r="L194" s="80" t="s">
        <v>84</v>
      </c>
      <c r="M194" s="80" t="s">
        <v>84</v>
      </c>
      <c r="N194" s="80" t="s">
        <v>84</v>
      </c>
      <c r="O194" s="80" t="s">
        <v>84</v>
      </c>
      <c r="P194" s="80"/>
      <c r="Q194" s="80" t="s">
        <v>84</v>
      </c>
      <c r="R194" s="80" t="s">
        <v>84</v>
      </c>
    </row>
    <row r="195" spans="1:18" ht="20" x14ac:dyDescent="0.2">
      <c r="A195" s="80" t="s">
        <v>3071</v>
      </c>
      <c r="B195" s="80" t="s">
        <v>3072</v>
      </c>
      <c r="C195" s="80" t="s">
        <v>9680</v>
      </c>
      <c r="D195" s="80" t="s">
        <v>84</v>
      </c>
      <c r="E195" s="80" t="s">
        <v>84</v>
      </c>
      <c r="F195" s="80"/>
      <c r="G195" s="80" t="s">
        <v>84</v>
      </c>
      <c r="H195" s="80" t="s">
        <v>84</v>
      </c>
      <c r="I195" s="80" t="s">
        <v>84</v>
      </c>
      <c r="J195" s="80" t="s">
        <v>84</v>
      </c>
      <c r="K195" s="80" t="s">
        <v>84</v>
      </c>
      <c r="L195" s="80" t="s">
        <v>84</v>
      </c>
      <c r="M195" s="80" t="s">
        <v>84</v>
      </c>
      <c r="N195" s="80" t="s">
        <v>84</v>
      </c>
      <c r="O195" s="80" t="s">
        <v>84</v>
      </c>
      <c r="P195" s="80"/>
      <c r="Q195" s="80" t="s">
        <v>84</v>
      </c>
      <c r="R195" s="80" t="s">
        <v>84</v>
      </c>
    </row>
    <row r="196" spans="1:18" ht="20" x14ac:dyDescent="0.2">
      <c r="A196" s="80" t="s">
        <v>3073</v>
      </c>
      <c r="B196" s="80" t="s">
        <v>3074</v>
      </c>
      <c r="C196" s="80" t="s">
        <v>9680</v>
      </c>
      <c r="D196" s="80" t="s">
        <v>84</v>
      </c>
      <c r="E196" s="80" t="s">
        <v>84</v>
      </c>
      <c r="F196" s="80"/>
      <c r="G196" s="80" t="s">
        <v>84</v>
      </c>
      <c r="H196" s="80" t="s">
        <v>84</v>
      </c>
      <c r="I196" s="80" t="s">
        <v>84</v>
      </c>
      <c r="J196" s="80" t="s">
        <v>84</v>
      </c>
      <c r="K196" s="80" t="s">
        <v>84</v>
      </c>
      <c r="L196" s="80" t="s">
        <v>84</v>
      </c>
      <c r="M196" s="80" t="s">
        <v>84</v>
      </c>
      <c r="N196" s="80" t="s">
        <v>84</v>
      </c>
      <c r="O196" s="80" t="s">
        <v>84</v>
      </c>
      <c r="P196" s="80"/>
      <c r="Q196" s="80" t="s">
        <v>84</v>
      </c>
      <c r="R196" s="80" t="s">
        <v>84</v>
      </c>
    </row>
    <row r="197" spans="1:18" ht="20" x14ac:dyDescent="0.2">
      <c r="A197" s="80" t="s">
        <v>3075</v>
      </c>
      <c r="B197" s="80" t="s">
        <v>3076</v>
      </c>
      <c r="C197" s="80" t="s">
        <v>9680</v>
      </c>
      <c r="D197" s="80" t="s">
        <v>84</v>
      </c>
      <c r="E197" s="80" t="s">
        <v>84</v>
      </c>
      <c r="F197" s="80"/>
      <c r="G197" s="80" t="s">
        <v>84</v>
      </c>
      <c r="H197" s="80" t="s">
        <v>84</v>
      </c>
      <c r="I197" s="80" t="s">
        <v>84</v>
      </c>
      <c r="J197" s="80" t="s">
        <v>84</v>
      </c>
      <c r="K197" s="80" t="s">
        <v>84</v>
      </c>
      <c r="L197" s="80" t="s">
        <v>84</v>
      </c>
      <c r="M197" s="80" t="s">
        <v>84</v>
      </c>
      <c r="N197" s="80" t="s">
        <v>84</v>
      </c>
      <c r="O197" s="80" t="s">
        <v>84</v>
      </c>
      <c r="P197" s="80"/>
      <c r="Q197" s="80" t="s">
        <v>84</v>
      </c>
      <c r="R197" s="80" t="s">
        <v>84</v>
      </c>
    </row>
    <row r="198" spans="1:18" ht="20" x14ac:dyDescent="0.2">
      <c r="A198" s="80" t="s">
        <v>3077</v>
      </c>
      <c r="B198" s="80" t="s">
        <v>3078</v>
      </c>
      <c r="C198" s="80" t="s">
        <v>9722</v>
      </c>
      <c r="D198" s="80" t="s">
        <v>84</v>
      </c>
      <c r="E198" s="80" t="s">
        <v>84</v>
      </c>
      <c r="F198" s="80"/>
      <c r="G198" s="80" t="s">
        <v>84</v>
      </c>
      <c r="H198" s="80" t="s">
        <v>84</v>
      </c>
      <c r="I198" s="80" t="s">
        <v>84</v>
      </c>
      <c r="J198" s="80" t="s">
        <v>84</v>
      </c>
      <c r="K198" s="80" t="s">
        <v>84</v>
      </c>
      <c r="L198" s="80" t="s">
        <v>84</v>
      </c>
      <c r="M198" s="80" t="s">
        <v>84</v>
      </c>
      <c r="N198" s="80" t="s">
        <v>84</v>
      </c>
      <c r="O198" s="80" t="s">
        <v>84</v>
      </c>
      <c r="P198" s="80"/>
      <c r="Q198" s="80" t="s">
        <v>84</v>
      </c>
      <c r="R198" s="80" t="s">
        <v>84</v>
      </c>
    </row>
    <row r="199" spans="1:18" ht="20" x14ac:dyDescent="0.2">
      <c r="A199" s="80" t="s">
        <v>3079</v>
      </c>
      <c r="B199" s="80" t="s">
        <v>3080</v>
      </c>
      <c r="C199" s="80" t="s">
        <v>9680</v>
      </c>
      <c r="D199" s="80" t="s">
        <v>84</v>
      </c>
      <c r="E199" s="80" t="s">
        <v>84</v>
      </c>
      <c r="F199" s="80"/>
      <c r="G199" s="80" t="s">
        <v>84</v>
      </c>
      <c r="H199" s="80" t="s">
        <v>84</v>
      </c>
      <c r="I199" s="80" t="s">
        <v>84</v>
      </c>
      <c r="J199" s="80" t="s">
        <v>84</v>
      </c>
      <c r="K199" s="80" t="s">
        <v>84</v>
      </c>
      <c r="L199" s="80" t="s">
        <v>84</v>
      </c>
      <c r="M199" s="80" t="s">
        <v>84</v>
      </c>
      <c r="N199" s="80" t="s">
        <v>84</v>
      </c>
      <c r="O199" s="80" t="s">
        <v>84</v>
      </c>
      <c r="P199" s="80"/>
      <c r="Q199" s="80" t="s">
        <v>84</v>
      </c>
      <c r="R199" s="80" t="s">
        <v>84</v>
      </c>
    </row>
    <row r="200" spans="1:18" ht="20" x14ac:dyDescent="0.2">
      <c r="A200" s="80" t="s">
        <v>3081</v>
      </c>
      <c r="B200" s="80" t="s">
        <v>3082</v>
      </c>
      <c r="C200" s="80" t="s">
        <v>9680</v>
      </c>
      <c r="D200" s="80" t="s">
        <v>84</v>
      </c>
      <c r="E200" s="80" t="s">
        <v>84</v>
      </c>
      <c r="F200" s="80"/>
      <c r="G200" s="80" t="s">
        <v>84</v>
      </c>
      <c r="H200" s="80" t="s">
        <v>84</v>
      </c>
      <c r="I200" s="80" t="s">
        <v>84</v>
      </c>
      <c r="J200" s="80" t="s">
        <v>84</v>
      </c>
      <c r="K200" s="80" t="s">
        <v>84</v>
      </c>
      <c r="L200" s="80" t="s">
        <v>84</v>
      </c>
      <c r="M200" s="80" t="s">
        <v>84</v>
      </c>
      <c r="N200" s="80" t="s">
        <v>84</v>
      </c>
      <c r="O200" s="80" t="s">
        <v>84</v>
      </c>
      <c r="P200" s="80"/>
      <c r="Q200" s="80" t="s">
        <v>84</v>
      </c>
      <c r="R200" s="80" t="s">
        <v>84</v>
      </c>
    </row>
    <row r="201" spans="1:18" ht="20" x14ac:dyDescent="0.2">
      <c r="A201" s="80" t="s">
        <v>3083</v>
      </c>
      <c r="B201" s="80" t="s">
        <v>3084</v>
      </c>
      <c r="C201" s="80" t="s">
        <v>9680</v>
      </c>
      <c r="D201" s="80" t="s">
        <v>84</v>
      </c>
      <c r="E201" s="80" t="s">
        <v>84</v>
      </c>
      <c r="F201" s="80"/>
      <c r="G201" s="80" t="s">
        <v>84</v>
      </c>
      <c r="H201" s="80" t="s">
        <v>84</v>
      </c>
      <c r="I201" s="80" t="s">
        <v>84</v>
      </c>
      <c r="J201" s="80" t="s">
        <v>84</v>
      </c>
      <c r="K201" s="80" t="s">
        <v>84</v>
      </c>
      <c r="L201" s="80" t="s">
        <v>84</v>
      </c>
      <c r="M201" s="80" t="s">
        <v>84</v>
      </c>
      <c r="N201" s="80" t="s">
        <v>84</v>
      </c>
      <c r="O201" s="80" t="s">
        <v>84</v>
      </c>
      <c r="P201" s="80"/>
      <c r="Q201" s="80" t="s">
        <v>84</v>
      </c>
      <c r="R201" s="80" t="s">
        <v>84</v>
      </c>
    </row>
    <row r="202" spans="1:18" x14ac:dyDescent="0.2">
      <c r="A202" s="80" t="s">
        <v>3085</v>
      </c>
      <c r="B202" s="80" t="s">
        <v>9751</v>
      </c>
      <c r="C202" s="80" t="s">
        <v>9722</v>
      </c>
      <c r="D202" s="80" t="s">
        <v>84</v>
      </c>
      <c r="E202" s="80" t="s">
        <v>84</v>
      </c>
      <c r="F202" s="80"/>
      <c r="G202" s="80" t="s">
        <v>84</v>
      </c>
      <c r="H202" s="80" t="s">
        <v>9722</v>
      </c>
      <c r="I202" s="80" t="s">
        <v>84</v>
      </c>
      <c r="J202" s="80" t="s">
        <v>84</v>
      </c>
      <c r="K202" s="80" t="s">
        <v>84</v>
      </c>
      <c r="L202" s="80" t="s">
        <v>84</v>
      </c>
      <c r="M202" s="80" t="s">
        <v>84</v>
      </c>
      <c r="N202" s="80" t="s">
        <v>84</v>
      </c>
      <c r="O202" s="80" t="s">
        <v>84</v>
      </c>
      <c r="P202" s="80"/>
      <c r="Q202" s="80" t="s">
        <v>84</v>
      </c>
      <c r="R202" s="80" t="s">
        <v>84</v>
      </c>
    </row>
    <row r="203" spans="1:18" x14ac:dyDescent="0.2">
      <c r="A203" s="80" t="s">
        <v>3085</v>
      </c>
      <c r="B203" s="80" t="s">
        <v>3086</v>
      </c>
      <c r="C203" s="80" t="s">
        <v>9722</v>
      </c>
      <c r="D203" s="80" t="s">
        <v>84</v>
      </c>
      <c r="E203" s="80" t="s">
        <v>84</v>
      </c>
      <c r="F203" s="80"/>
      <c r="G203" s="80" t="s">
        <v>84</v>
      </c>
      <c r="H203" s="80" t="s">
        <v>9722</v>
      </c>
      <c r="I203" s="80" t="s">
        <v>84</v>
      </c>
      <c r="J203" s="80" t="s">
        <v>84</v>
      </c>
      <c r="K203" s="80" t="s">
        <v>84</v>
      </c>
      <c r="L203" s="80" t="s">
        <v>84</v>
      </c>
      <c r="M203" s="80" t="s">
        <v>84</v>
      </c>
      <c r="N203" s="80" t="s">
        <v>84</v>
      </c>
      <c r="O203" s="80" t="s">
        <v>84</v>
      </c>
      <c r="P203" s="80"/>
      <c r="Q203" s="80" t="s">
        <v>84</v>
      </c>
      <c r="R203" s="80" t="s">
        <v>84</v>
      </c>
    </row>
    <row r="204" spans="1:18" x14ac:dyDescent="0.2">
      <c r="A204" s="80" t="s">
        <v>3091</v>
      </c>
      <c r="B204" s="80" t="s">
        <v>9752</v>
      </c>
      <c r="C204" s="80" t="s">
        <v>9722</v>
      </c>
      <c r="D204" s="80" t="s">
        <v>84</v>
      </c>
      <c r="E204" s="80" t="s">
        <v>84</v>
      </c>
      <c r="F204" s="80"/>
      <c r="G204" s="80" t="s">
        <v>84</v>
      </c>
      <c r="H204" s="80" t="s">
        <v>9722</v>
      </c>
      <c r="I204" s="80" t="s">
        <v>84</v>
      </c>
      <c r="J204" s="80" t="s">
        <v>84</v>
      </c>
      <c r="K204" s="80" t="s">
        <v>84</v>
      </c>
      <c r="L204" s="80" t="s">
        <v>84</v>
      </c>
      <c r="M204" s="80" t="s">
        <v>84</v>
      </c>
      <c r="N204" s="80" t="s">
        <v>84</v>
      </c>
      <c r="O204" s="80" t="s">
        <v>84</v>
      </c>
      <c r="P204" s="80"/>
      <c r="Q204" s="80" t="s">
        <v>84</v>
      </c>
      <c r="R204" s="80" t="s">
        <v>84</v>
      </c>
    </row>
    <row r="205" spans="1:18" x14ac:dyDescent="0.2">
      <c r="A205" s="80" t="s">
        <v>3091</v>
      </c>
      <c r="B205" s="80" t="s">
        <v>3092</v>
      </c>
      <c r="C205" s="80" t="s">
        <v>9722</v>
      </c>
      <c r="D205" s="80" t="s">
        <v>84</v>
      </c>
      <c r="E205" s="80" t="s">
        <v>84</v>
      </c>
      <c r="F205" s="80"/>
      <c r="G205" s="80" t="s">
        <v>84</v>
      </c>
      <c r="H205" s="80" t="s">
        <v>9722</v>
      </c>
      <c r="I205" s="80" t="s">
        <v>84</v>
      </c>
      <c r="J205" s="80" t="s">
        <v>84</v>
      </c>
      <c r="K205" s="80" t="s">
        <v>84</v>
      </c>
      <c r="L205" s="80" t="s">
        <v>84</v>
      </c>
      <c r="M205" s="80" t="s">
        <v>84</v>
      </c>
      <c r="N205" s="80" t="s">
        <v>84</v>
      </c>
      <c r="O205" s="80" t="s">
        <v>84</v>
      </c>
      <c r="P205" s="80"/>
      <c r="Q205" s="80" t="s">
        <v>84</v>
      </c>
      <c r="R205" s="80" t="s">
        <v>84</v>
      </c>
    </row>
    <row r="206" spans="1:18" ht="20" x14ac:dyDescent="0.2">
      <c r="A206" s="80" t="s">
        <v>5656</v>
      </c>
      <c r="B206" s="80" t="s">
        <v>9753</v>
      </c>
      <c r="C206" s="80" t="s">
        <v>9722</v>
      </c>
      <c r="D206" s="80" t="s">
        <v>9722</v>
      </c>
      <c r="E206" s="80" t="s">
        <v>84</v>
      </c>
      <c r="F206" s="80"/>
      <c r="G206" s="80" t="s">
        <v>9722</v>
      </c>
      <c r="H206" s="80" t="s">
        <v>84</v>
      </c>
      <c r="I206" s="80" t="s">
        <v>9722</v>
      </c>
      <c r="J206" s="80" t="s">
        <v>9722</v>
      </c>
      <c r="K206" s="80" t="s">
        <v>9722</v>
      </c>
      <c r="L206" s="80" t="s">
        <v>84</v>
      </c>
      <c r="M206" s="80" t="s">
        <v>9722</v>
      </c>
      <c r="N206" s="80" t="s">
        <v>84</v>
      </c>
      <c r="O206" s="80" t="s">
        <v>9722</v>
      </c>
      <c r="P206" s="80"/>
      <c r="Q206" s="80" t="s">
        <v>9722</v>
      </c>
      <c r="R206" s="80" t="s">
        <v>9722</v>
      </c>
    </row>
    <row r="207" spans="1:18" ht="20" x14ac:dyDescent="0.2">
      <c r="A207" s="80" t="s">
        <v>5656</v>
      </c>
      <c r="B207" s="80" t="s">
        <v>9754</v>
      </c>
      <c r="C207" s="80" t="s">
        <v>9722</v>
      </c>
      <c r="D207" s="80" t="s">
        <v>9722</v>
      </c>
      <c r="E207" s="80" t="s">
        <v>84</v>
      </c>
      <c r="F207" s="80"/>
      <c r="G207" s="80" t="s">
        <v>9722</v>
      </c>
      <c r="H207" s="80" t="s">
        <v>84</v>
      </c>
      <c r="I207" s="80" t="s">
        <v>9722</v>
      </c>
      <c r="J207" s="80" t="s">
        <v>9722</v>
      </c>
      <c r="K207" s="80" t="s">
        <v>9722</v>
      </c>
      <c r="L207" s="80" t="s">
        <v>84</v>
      </c>
      <c r="M207" s="80" t="s">
        <v>9722</v>
      </c>
      <c r="N207" s="80" t="s">
        <v>84</v>
      </c>
      <c r="O207" s="80" t="s">
        <v>9722</v>
      </c>
      <c r="P207" s="80"/>
      <c r="Q207" s="80" t="s">
        <v>9722</v>
      </c>
      <c r="R207" s="80" t="s">
        <v>9722</v>
      </c>
    </row>
    <row r="208" spans="1:18" ht="20" x14ac:dyDescent="0.2">
      <c r="A208" s="80" t="s">
        <v>5656</v>
      </c>
      <c r="B208" s="80" t="s">
        <v>5657</v>
      </c>
      <c r="C208" s="80" t="s">
        <v>9722</v>
      </c>
      <c r="D208" s="80" t="s">
        <v>9722</v>
      </c>
      <c r="E208" s="80" t="s">
        <v>84</v>
      </c>
      <c r="F208" s="80"/>
      <c r="G208" s="80" t="s">
        <v>9722</v>
      </c>
      <c r="H208" s="80" t="s">
        <v>84</v>
      </c>
      <c r="I208" s="80" t="s">
        <v>9722</v>
      </c>
      <c r="J208" s="80" t="s">
        <v>9722</v>
      </c>
      <c r="K208" s="80" t="s">
        <v>9722</v>
      </c>
      <c r="L208" s="80" t="s">
        <v>84</v>
      </c>
      <c r="M208" s="80" t="s">
        <v>9722</v>
      </c>
      <c r="N208" s="80" t="s">
        <v>84</v>
      </c>
      <c r="O208" s="80" t="s">
        <v>9722</v>
      </c>
      <c r="P208" s="80"/>
      <c r="Q208" s="80" t="s">
        <v>9722</v>
      </c>
      <c r="R208" s="80" t="s">
        <v>9722</v>
      </c>
    </row>
    <row r="209" spans="1:18" ht="20" x14ac:dyDescent="0.2">
      <c r="A209" s="80" t="s">
        <v>3093</v>
      </c>
      <c r="B209" s="80" t="s">
        <v>3094</v>
      </c>
      <c r="C209" s="80" t="s">
        <v>9722</v>
      </c>
      <c r="D209" s="80" t="s">
        <v>9722</v>
      </c>
      <c r="E209" s="80" t="s">
        <v>84</v>
      </c>
      <c r="F209" s="80"/>
      <c r="G209" s="80" t="s">
        <v>9722</v>
      </c>
      <c r="H209" s="80" t="s">
        <v>9722</v>
      </c>
      <c r="I209" s="80" t="s">
        <v>9722</v>
      </c>
      <c r="J209" s="80" t="s">
        <v>84</v>
      </c>
      <c r="K209" s="80" t="s">
        <v>9722</v>
      </c>
      <c r="L209" s="80" t="s">
        <v>9722</v>
      </c>
      <c r="M209" s="80" t="s">
        <v>9722</v>
      </c>
      <c r="N209" s="80" t="s">
        <v>84</v>
      </c>
      <c r="O209" s="80" t="s">
        <v>9722</v>
      </c>
      <c r="P209" s="80"/>
      <c r="Q209" s="80" t="s">
        <v>9722</v>
      </c>
      <c r="R209" s="80" t="s">
        <v>9722</v>
      </c>
    </row>
    <row r="210" spans="1:18" ht="20" x14ac:dyDescent="0.2">
      <c r="A210" s="80" t="s">
        <v>3095</v>
      </c>
      <c r="B210" s="80" t="s">
        <v>3096</v>
      </c>
      <c r="C210" s="80" t="s">
        <v>9680</v>
      </c>
      <c r="D210" s="80" t="s">
        <v>9680</v>
      </c>
      <c r="E210" s="80" t="s">
        <v>9680</v>
      </c>
      <c r="F210" s="80"/>
      <c r="G210" s="80" t="s">
        <v>9680</v>
      </c>
      <c r="H210" s="80" t="s">
        <v>9680</v>
      </c>
      <c r="I210" s="80" t="s">
        <v>9680</v>
      </c>
      <c r="J210" s="80" t="s">
        <v>84</v>
      </c>
      <c r="K210" s="80" t="s">
        <v>9680</v>
      </c>
      <c r="L210" s="80" t="s">
        <v>9680</v>
      </c>
      <c r="M210" s="80" t="s">
        <v>9680</v>
      </c>
      <c r="N210" s="80" t="s">
        <v>9680</v>
      </c>
      <c r="O210" s="80" t="s">
        <v>9680</v>
      </c>
      <c r="P210" s="80"/>
      <c r="Q210" s="80" t="s">
        <v>9680</v>
      </c>
      <c r="R210" s="80" t="s">
        <v>9680</v>
      </c>
    </row>
    <row r="211" spans="1:18" ht="20" x14ac:dyDescent="0.2">
      <c r="A211" s="80" t="s">
        <v>3095</v>
      </c>
      <c r="B211" s="80" t="s">
        <v>9755</v>
      </c>
      <c r="C211" s="80" t="s">
        <v>9680</v>
      </c>
      <c r="D211" s="80" t="s">
        <v>9680</v>
      </c>
      <c r="E211" s="80" t="s">
        <v>9680</v>
      </c>
      <c r="F211" s="80"/>
      <c r="G211" s="80" t="s">
        <v>9680</v>
      </c>
      <c r="H211" s="80" t="s">
        <v>9680</v>
      </c>
      <c r="I211" s="80" t="s">
        <v>9680</v>
      </c>
      <c r="J211" s="80" t="s">
        <v>84</v>
      </c>
      <c r="K211" s="80" t="s">
        <v>9680</v>
      </c>
      <c r="L211" s="80" t="s">
        <v>9680</v>
      </c>
      <c r="M211" s="80" t="s">
        <v>9680</v>
      </c>
      <c r="N211" s="80" t="s">
        <v>9680</v>
      </c>
      <c r="O211" s="80" t="s">
        <v>9680</v>
      </c>
      <c r="P211" s="80"/>
      <c r="Q211" s="80" t="s">
        <v>9680</v>
      </c>
      <c r="R211" s="80" t="s">
        <v>9680</v>
      </c>
    </row>
    <row r="212" spans="1:18" ht="20" x14ac:dyDescent="0.2">
      <c r="A212" s="80" t="s">
        <v>3102</v>
      </c>
      <c r="B212" s="80" t="s">
        <v>3103</v>
      </c>
      <c r="C212" s="80" t="s">
        <v>9680</v>
      </c>
      <c r="D212" s="80" t="s">
        <v>9680</v>
      </c>
      <c r="E212" s="80" t="s">
        <v>84</v>
      </c>
      <c r="F212" s="80"/>
      <c r="G212" s="80" t="s">
        <v>84</v>
      </c>
      <c r="H212" s="80" t="s">
        <v>84</v>
      </c>
      <c r="I212" s="80" t="s">
        <v>9680</v>
      </c>
      <c r="J212" s="80" t="s">
        <v>84</v>
      </c>
      <c r="K212" s="80" t="s">
        <v>9680</v>
      </c>
      <c r="L212" s="80" t="s">
        <v>9680</v>
      </c>
      <c r="M212" s="80" t="s">
        <v>9680</v>
      </c>
      <c r="N212" s="80" t="s">
        <v>84</v>
      </c>
      <c r="O212" s="80" t="s">
        <v>9680</v>
      </c>
      <c r="P212" s="80"/>
      <c r="Q212" s="80" t="s">
        <v>9680</v>
      </c>
      <c r="R212" s="80" t="s">
        <v>9680</v>
      </c>
    </row>
    <row r="213" spans="1:18" ht="20" x14ac:dyDescent="0.2">
      <c r="A213" s="80" t="s">
        <v>2679</v>
      </c>
      <c r="B213" s="80" t="s">
        <v>2680</v>
      </c>
      <c r="C213" s="80" t="s">
        <v>9680</v>
      </c>
      <c r="D213" s="80" t="s">
        <v>9680</v>
      </c>
      <c r="E213" s="80" t="s">
        <v>84</v>
      </c>
      <c r="F213" s="80"/>
      <c r="G213" s="80" t="s">
        <v>84</v>
      </c>
      <c r="H213" s="80" t="s">
        <v>84</v>
      </c>
      <c r="I213" s="80" t="s">
        <v>9680</v>
      </c>
      <c r="J213" s="80" t="s">
        <v>84</v>
      </c>
      <c r="K213" s="80" t="s">
        <v>9680</v>
      </c>
      <c r="L213" s="80" t="s">
        <v>9680</v>
      </c>
      <c r="M213" s="80" t="s">
        <v>9680</v>
      </c>
      <c r="N213" s="80" t="s">
        <v>84</v>
      </c>
      <c r="O213" s="80" t="s">
        <v>9680</v>
      </c>
      <c r="P213" s="80"/>
      <c r="Q213" s="80" t="s">
        <v>9680</v>
      </c>
      <c r="R213" s="80" t="s">
        <v>9680</v>
      </c>
    </row>
    <row r="214" spans="1:18" ht="20" x14ac:dyDescent="0.2">
      <c r="A214" s="80" t="s">
        <v>2679</v>
      </c>
      <c r="B214" s="80" t="s">
        <v>3122</v>
      </c>
      <c r="C214" s="80" t="s">
        <v>9680</v>
      </c>
      <c r="D214" s="80" t="s">
        <v>9680</v>
      </c>
      <c r="E214" s="80" t="s">
        <v>84</v>
      </c>
      <c r="F214" s="80"/>
      <c r="G214" s="80" t="s">
        <v>84</v>
      </c>
      <c r="H214" s="80" t="s">
        <v>84</v>
      </c>
      <c r="I214" s="80" t="s">
        <v>9680</v>
      </c>
      <c r="J214" s="80" t="s">
        <v>84</v>
      </c>
      <c r="K214" s="80" t="s">
        <v>9680</v>
      </c>
      <c r="L214" s="80" t="s">
        <v>9680</v>
      </c>
      <c r="M214" s="80" t="s">
        <v>9680</v>
      </c>
      <c r="N214" s="80" t="s">
        <v>84</v>
      </c>
      <c r="O214" s="80" t="s">
        <v>9680</v>
      </c>
      <c r="P214" s="80"/>
      <c r="Q214" s="80" t="s">
        <v>9680</v>
      </c>
      <c r="R214" s="80" t="s">
        <v>9680</v>
      </c>
    </row>
    <row r="215" spans="1:18" ht="20" x14ac:dyDescent="0.2">
      <c r="A215" s="80" t="s">
        <v>3141</v>
      </c>
      <c r="B215" s="80" t="s">
        <v>3142</v>
      </c>
      <c r="C215" s="80" t="s">
        <v>9680</v>
      </c>
      <c r="D215" s="80" t="s">
        <v>9680</v>
      </c>
      <c r="E215" s="80" t="s">
        <v>84</v>
      </c>
      <c r="F215" s="80"/>
      <c r="G215" s="80" t="s">
        <v>84</v>
      </c>
      <c r="H215" s="80" t="s">
        <v>84</v>
      </c>
      <c r="I215" s="80" t="s">
        <v>9680</v>
      </c>
      <c r="J215" s="80" t="s">
        <v>84</v>
      </c>
      <c r="K215" s="80" t="s">
        <v>9680</v>
      </c>
      <c r="L215" s="80" t="s">
        <v>9680</v>
      </c>
      <c r="M215" s="80" t="s">
        <v>9680</v>
      </c>
      <c r="N215" s="80" t="s">
        <v>84</v>
      </c>
      <c r="O215" s="80" t="s">
        <v>9680</v>
      </c>
      <c r="P215" s="80"/>
      <c r="Q215" s="80" t="s">
        <v>9680</v>
      </c>
      <c r="R215" s="80" t="s">
        <v>9680</v>
      </c>
    </row>
    <row r="216" spans="1:18" ht="20" x14ac:dyDescent="0.2">
      <c r="A216" s="80" t="s">
        <v>3155</v>
      </c>
      <c r="B216" s="80" t="s">
        <v>3156</v>
      </c>
      <c r="C216" s="80" t="s">
        <v>9680</v>
      </c>
      <c r="D216" s="80" t="s">
        <v>84</v>
      </c>
      <c r="E216" s="80" t="s">
        <v>84</v>
      </c>
      <c r="F216" s="80"/>
      <c r="G216" s="80" t="s">
        <v>84</v>
      </c>
      <c r="H216" s="80" t="s">
        <v>84</v>
      </c>
      <c r="I216" s="80" t="s">
        <v>84</v>
      </c>
      <c r="J216" s="80" t="s">
        <v>84</v>
      </c>
      <c r="K216" s="80" t="s">
        <v>84</v>
      </c>
      <c r="L216" s="80" t="s">
        <v>84</v>
      </c>
      <c r="M216" s="80" t="s">
        <v>84</v>
      </c>
      <c r="N216" s="80" t="s">
        <v>84</v>
      </c>
      <c r="O216" s="80" t="s">
        <v>84</v>
      </c>
      <c r="P216" s="80"/>
      <c r="Q216" s="80" t="s">
        <v>84</v>
      </c>
      <c r="R216" s="80" t="s">
        <v>84</v>
      </c>
    </row>
    <row r="217" spans="1:18" ht="20" x14ac:dyDescent="0.2">
      <c r="A217" s="80" t="s">
        <v>3177</v>
      </c>
      <c r="B217" s="80" t="s">
        <v>3178</v>
      </c>
      <c r="C217" s="80" t="s">
        <v>9722</v>
      </c>
      <c r="D217" s="80" t="s">
        <v>84</v>
      </c>
      <c r="E217" s="80" t="s">
        <v>84</v>
      </c>
      <c r="F217" s="80"/>
      <c r="G217" s="80" t="s">
        <v>84</v>
      </c>
      <c r="H217" s="80" t="s">
        <v>84</v>
      </c>
      <c r="I217" s="80" t="s">
        <v>84</v>
      </c>
      <c r="J217" s="80" t="s">
        <v>84</v>
      </c>
      <c r="K217" s="80" t="s">
        <v>84</v>
      </c>
      <c r="L217" s="80" t="s">
        <v>84</v>
      </c>
      <c r="M217" s="80" t="s">
        <v>84</v>
      </c>
      <c r="N217" s="80" t="s">
        <v>84</v>
      </c>
      <c r="O217" s="80" t="s">
        <v>84</v>
      </c>
      <c r="P217" s="80"/>
      <c r="Q217" s="80" t="s">
        <v>84</v>
      </c>
      <c r="R217" s="80" t="s">
        <v>84</v>
      </c>
    </row>
    <row r="218" spans="1:18" ht="20" x14ac:dyDescent="0.2">
      <c r="A218" s="80" t="s">
        <v>2713</v>
      </c>
      <c r="B218" s="80" t="s">
        <v>2714</v>
      </c>
      <c r="C218" s="80" t="s">
        <v>9680</v>
      </c>
      <c r="D218" s="80" t="s">
        <v>84</v>
      </c>
      <c r="E218" s="80" t="s">
        <v>84</v>
      </c>
      <c r="F218" s="80"/>
      <c r="G218" s="80" t="s">
        <v>84</v>
      </c>
      <c r="H218" s="80" t="s">
        <v>84</v>
      </c>
      <c r="I218" s="80" t="s">
        <v>84</v>
      </c>
      <c r="J218" s="80" t="s">
        <v>84</v>
      </c>
      <c r="K218" s="80" t="s">
        <v>84</v>
      </c>
      <c r="L218" s="80" t="s">
        <v>84</v>
      </c>
      <c r="M218" s="80" t="s">
        <v>84</v>
      </c>
      <c r="N218" s="80" t="s">
        <v>84</v>
      </c>
      <c r="O218" s="80" t="s">
        <v>84</v>
      </c>
      <c r="P218" s="80"/>
      <c r="Q218" s="80" t="s">
        <v>84</v>
      </c>
      <c r="R218" s="80" t="s">
        <v>84</v>
      </c>
    </row>
    <row r="219" spans="1:18" ht="20" x14ac:dyDescent="0.2">
      <c r="A219" s="80" t="s">
        <v>2927</v>
      </c>
      <c r="B219" s="80" t="s">
        <v>2928</v>
      </c>
      <c r="C219" s="80" t="s">
        <v>9680</v>
      </c>
      <c r="D219" s="80" t="s">
        <v>84</v>
      </c>
      <c r="E219" s="80" t="s">
        <v>84</v>
      </c>
      <c r="F219" s="80"/>
      <c r="G219" s="80" t="s">
        <v>84</v>
      </c>
      <c r="H219" s="80" t="s">
        <v>84</v>
      </c>
      <c r="I219" s="80" t="s">
        <v>84</v>
      </c>
      <c r="J219" s="80" t="s">
        <v>84</v>
      </c>
      <c r="K219" s="80" t="s">
        <v>84</v>
      </c>
      <c r="L219" s="80" t="s">
        <v>84</v>
      </c>
      <c r="M219" s="80" t="s">
        <v>84</v>
      </c>
      <c r="N219" s="80" t="s">
        <v>84</v>
      </c>
      <c r="O219" s="80" t="s">
        <v>84</v>
      </c>
      <c r="P219" s="80"/>
      <c r="Q219" s="80" t="s">
        <v>84</v>
      </c>
      <c r="R219" s="80" t="s">
        <v>84</v>
      </c>
    </row>
    <row r="220" spans="1:18" ht="20" x14ac:dyDescent="0.2">
      <c r="A220" s="80" t="s">
        <v>9756</v>
      </c>
      <c r="B220" s="80" t="s">
        <v>9757</v>
      </c>
      <c r="C220" s="80" t="s">
        <v>9680</v>
      </c>
      <c r="D220" s="80" t="s">
        <v>84</v>
      </c>
      <c r="E220" s="80" t="s">
        <v>84</v>
      </c>
      <c r="F220" s="80"/>
      <c r="G220" s="80" t="s">
        <v>84</v>
      </c>
      <c r="H220" s="80" t="s">
        <v>84</v>
      </c>
      <c r="I220" s="80" t="s">
        <v>84</v>
      </c>
      <c r="J220" s="80" t="s">
        <v>84</v>
      </c>
      <c r="K220" s="80" t="s">
        <v>84</v>
      </c>
      <c r="L220" s="80" t="s">
        <v>84</v>
      </c>
      <c r="M220" s="80" t="s">
        <v>84</v>
      </c>
      <c r="N220" s="80" t="s">
        <v>84</v>
      </c>
      <c r="O220" s="80" t="s">
        <v>84</v>
      </c>
      <c r="P220" s="80"/>
      <c r="Q220" s="80" t="s">
        <v>84</v>
      </c>
      <c r="R220" s="80" t="s">
        <v>84</v>
      </c>
    </row>
    <row r="221" spans="1:18" ht="20" x14ac:dyDescent="0.2">
      <c r="A221" s="80" t="s">
        <v>2685</v>
      </c>
      <c r="B221" s="80" t="s">
        <v>2686</v>
      </c>
      <c r="C221" s="80" t="s">
        <v>9680</v>
      </c>
      <c r="D221" s="80" t="s">
        <v>84</v>
      </c>
      <c r="E221" s="80" t="s">
        <v>84</v>
      </c>
      <c r="F221" s="80"/>
      <c r="G221" s="80" t="s">
        <v>84</v>
      </c>
      <c r="H221" s="80" t="s">
        <v>84</v>
      </c>
      <c r="I221" s="80" t="s">
        <v>84</v>
      </c>
      <c r="J221" s="80" t="s">
        <v>84</v>
      </c>
      <c r="K221" s="80" t="s">
        <v>84</v>
      </c>
      <c r="L221" s="80" t="s">
        <v>84</v>
      </c>
      <c r="M221" s="80" t="s">
        <v>84</v>
      </c>
      <c r="N221" s="80" t="s">
        <v>84</v>
      </c>
      <c r="O221" s="80" t="s">
        <v>84</v>
      </c>
      <c r="P221" s="80"/>
      <c r="Q221" s="80" t="s">
        <v>84</v>
      </c>
      <c r="R221" s="80" t="s">
        <v>84</v>
      </c>
    </row>
    <row r="222" spans="1:18" ht="20" x14ac:dyDescent="0.2">
      <c r="A222" s="80" t="s">
        <v>2685</v>
      </c>
      <c r="B222" s="80" t="s">
        <v>2929</v>
      </c>
      <c r="C222" s="80" t="s">
        <v>9680</v>
      </c>
      <c r="D222" s="80" t="s">
        <v>84</v>
      </c>
      <c r="E222" s="80" t="s">
        <v>84</v>
      </c>
      <c r="F222" s="80"/>
      <c r="G222" s="80" t="s">
        <v>84</v>
      </c>
      <c r="H222" s="80" t="s">
        <v>84</v>
      </c>
      <c r="I222" s="80" t="s">
        <v>84</v>
      </c>
      <c r="J222" s="80" t="s">
        <v>84</v>
      </c>
      <c r="K222" s="80" t="s">
        <v>84</v>
      </c>
      <c r="L222" s="80" t="s">
        <v>84</v>
      </c>
      <c r="M222" s="80" t="s">
        <v>84</v>
      </c>
      <c r="N222" s="80" t="s">
        <v>84</v>
      </c>
      <c r="O222" s="80" t="s">
        <v>84</v>
      </c>
      <c r="P222" s="80"/>
      <c r="Q222" s="80" t="s">
        <v>84</v>
      </c>
      <c r="R222" s="80" t="s">
        <v>84</v>
      </c>
    </row>
    <row r="223" spans="1:18" ht="20" x14ac:dyDescent="0.2">
      <c r="A223" s="80" t="s">
        <v>2677</v>
      </c>
      <c r="B223" s="80" t="s">
        <v>2678</v>
      </c>
      <c r="C223" s="80" t="s">
        <v>9680</v>
      </c>
      <c r="D223" s="80" t="s">
        <v>84</v>
      </c>
      <c r="E223" s="80" t="s">
        <v>84</v>
      </c>
      <c r="F223" s="80"/>
      <c r="G223" s="80" t="s">
        <v>84</v>
      </c>
      <c r="H223" s="80" t="s">
        <v>84</v>
      </c>
      <c r="I223" s="80" t="s">
        <v>84</v>
      </c>
      <c r="J223" s="80" t="s">
        <v>84</v>
      </c>
      <c r="K223" s="80" t="s">
        <v>84</v>
      </c>
      <c r="L223" s="80" t="s">
        <v>84</v>
      </c>
      <c r="M223" s="80" t="s">
        <v>84</v>
      </c>
      <c r="N223" s="80" t="s">
        <v>84</v>
      </c>
      <c r="O223" s="80" t="s">
        <v>84</v>
      </c>
      <c r="P223" s="80"/>
      <c r="Q223" s="80" t="s">
        <v>84</v>
      </c>
      <c r="R223" s="80" t="s">
        <v>84</v>
      </c>
    </row>
    <row r="224" spans="1:18" ht="20" x14ac:dyDescent="0.2">
      <c r="A224" s="80" t="s">
        <v>2677</v>
      </c>
      <c r="B224" s="80" t="s">
        <v>2947</v>
      </c>
      <c r="C224" s="80" t="s">
        <v>9680</v>
      </c>
      <c r="D224" s="80" t="s">
        <v>84</v>
      </c>
      <c r="E224" s="80" t="s">
        <v>84</v>
      </c>
      <c r="F224" s="80"/>
      <c r="G224" s="80" t="s">
        <v>84</v>
      </c>
      <c r="H224" s="80" t="s">
        <v>84</v>
      </c>
      <c r="I224" s="80" t="s">
        <v>84</v>
      </c>
      <c r="J224" s="80" t="s">
        <v>84</v>
      </c>
      <c r="K224" s="80" t="s">
        <v>84</v>
      </c>
      <c r="L224" s="80" t="s">
        <v>84</v>
      </c>
      <c r="M224" s="80" t="s">
        <v>84</v>
      </c>
      <c r="N224" s="80" t="s">
        <v>84</v>
      </c>
      <c r="O224" s="80" t="s">
        <v>84</v>
      </c>
      <c r="P224" s="80"/>
      <c r="Q224" s="80" t="s">
        <v>84</v>
      </c>
      <c r="R224" s="80" t="s">
        <v>84</v>
      </c>
    </row>
    <row r="225" spans="1:18" ht="20" x14ac:dyDescent="0.2">
      <c r="A225" s="80" t="s">
        <v>2715</v>
      </c>
      <c r="B225" s="80" t="s">
        <v>2716</v>
      </c>
      <c r="C225" s="80" t="s">
        <v>84</v>
      </c>
      <c r="D225" s="80" t="s">
        <v>84</v>
      </c>
      <c r="E225" s="80" t="s">
        <v>84</v>
      </c>
      <c r="F225" s="80"/>
      <c r="G225" s="80" t="s">
        <v>84</v>
      </c>
      <c r="H225" s="80" t="s">
        <v>84</v>
      </c>
      <c r="I225" s="80" t="s">
        <v>84</v>
      </c>
      <c r="J225" s="80" t="s">
        <v>84</v>
      </c>
      <c r="K225" s="80" t="s">
        <v>84</v>
      </c>
      <c r="L225" s="80" t="s">
        <v>84</v>
      </c>
      <c r="M225" s="80" t="s">
        <v>84</v>
      </c>
      <c r="N225" s="80" t="s">
        <v>84</v>
      </c>
      <c r="O225" s="80" t="s">
        <v>84</v>
      </c>
      <c r="P225" s="80"/>
      <c r="Q225" s="80" t="s">
        <v>84</v>
      </c>
      <c r="R225" s="80" t="s">
        <v>84</v>
      </c>
    </row>
    <row r="226" spans="1:18" ht="20" x14ac:dyDescent="0.2">
      <c r="A226" s="80" t="s">
        <v>1823</v>
      </c>
      <c r="B226" s="80" t="s">
        <v>1824</v>
      </c>
      <c r="C226" s="80" t="s">
        <v>9680</v>
      </c>
      <c r="D226" s="80" t="s">
        <v>9680</v>
      </c>
      <c r="E226" s="80" t="s">
        <v>9680</v>
      </c>
      <c r="F226" s="80"/>
      <c r="G226" s="80" t="s">
        <v>9680</v>
      </c>
      <c r="H226" s="80" t="s">
        <v>9680</v>
      </c>
      <c r="I226" s="80" t="s">
        <v>9680</v>
      </c>
      <c r="J226" s="80" t="s">
        <v>9680</v>
      </c>
      <c r="K226" s="80" t="s">
        <v>9680</v>
      </c>
      <c r="L226" s="80" t="s">
        <v>9680</v>
      </c>
      <c r="M226" s="80" t="s">
        <v>9680</v>
      </c>
      <c r="N226" s="80" t="s">
        <v>9680</v>
      </c>
      <c r="O226" s="80" t="s">
        <v>9680</v>
      </c>
      <c r="P226" s="80"/>
      <c r="Q226" s="80" t="s">
        <v>9680</v>
      </c>
      <c r="R226" s="80" t="s">
        <v>9680</v>
      </c>
    </row>
    <row r="227" spans="1:18" ht="20" x14ac:dyDescent="0.2">
      <c r="A227" s="80" t="s">
        <v>1825</v>
      </c>
      <c r="B227" s="80" t="s">
        <v>1826</v>
      </c>
      <c r="C227" s="80" t="s">
        <v>9680</v>
      </c>
      <c r="D227" s="80" t="s">
        <v>9680</v>
      </c>
      <c r="E227" s="80" t="s">
        <v>84</v>
      </c>
      <c r="F227" s="80"/>
      <c r="G227" s="80" t="s">
        <v>9680</v>
      </c>
      <c r="H227" s="80" t="s">
        <v>9680</v>
      </c>
      <c r="I227" s="80" t="s">
        <v>9680</v>
      </c>
      <c r="J227" s="80" t="s">
        <v>9680</v>
      </c>
      <c r="K227" s="80" t="s">
        <v>9680</v>
      </c>
      <c r="L227" s="80" t="s">
        <v>9680</v>
      </c>
      <c r="M227" s="80" t="s">
        <v>9680</v>
      </c>
      <c r="N227" s="80" t="s">
        <v>84</v>
      </c>
      <c r="O227" s="80" t="s">
        <v>9680</v>
      </c>
      <c r="P227" s="80"/>
      <c r="Q227" s="80" t="s">
        <v>9680</v>
      </c>
      <c r="R227" s="80" t="s">
        <v>9680</v>
      </c>
    </row>
    <row r="228" spans="1:18" ht="20" x14ac:dyDescent="0.2">
      <c r="A228" s="80" t="s">
        <v>2022</v>
      </c>
      <c r="B228" s="80" t="s">
        <v>2023</v>
      </c>
      <c r="C228" s="80" t="s">
        <v>9680</v>
      </c>
      <c r="D228" s="80" t="s">
        <v>9680</v>
      </c>
      <c r="E228" s="80" t="s">
        <v>84</v>
      </c>
      <c r="F228" s="80"/>
      <c r="G228" s="80" t="s">
        <v>9680</v>
      </c>
      <c r="H228" s="80" t="s">
        <v>9680</v>
      </c>
      <c r="I228" s="80" t="s">
        <v>9680</v>
      </c>
      <c r="J228" s="80" t="s">
        <v>9680</v>
      </c>
      <c r="K228" s="80" t="s">
        <v>9680</v>
      </c>
      <c r="L228" s="80" t="s">
        <v>9680</v>
      </c>
      <c r="M228" s="80" t="s">
        <v>9680</v>
      </c>
      <c r="N228" s="80" t="s">
        <v>84</v>
      </c>
      <c r="O228" s="80" t="s">
        <v>9680</v>
      </c>
      <c r="P228" s="80"/>
      <c r="Q228" s="80" t="s">
        <v>9680</v>
      </c>
      <c r="R228" s="80" t="s">
        <v>9680</v>
      </c>
    </row>
    <row r="229" spans="1:18" ht="20" x14ac:dyDescent="0.2">
      <c r="A229" s="80" t="s">
        <v>2015</v>
      </c>
      <c r="B229" s="80" t="s">
        <v>9758</v>
      </c>
      <c r="C229" s="80" t="s">
        <v>9680</v>
      </c>
      <c r="D229" s="80" t="s">
        <v>84</v>
      </c>
      <c r="E229" s="80" t="s">
        <v>84</v>
      </c>
      <c r="F229" s="80"/>
      <c r="G229" s="80" t="s">
        <v>84</v>
      </c>
      <c r="H229" s="80" t="s">
        <v>84</v>
      </c>
      <c r="I229" s="80" t="s">
        <v>84</v>
      </c>
      <c r="J229" s="80" t="s">
        <v>84</v>
      </c>
      <c r="K229" s="80" t="s">
        <v>84</v>
      </c>
      <c r="L229" s="80" t="s">
        <v>84</v>
      </c>
      <c r="M229" s="80" t="s">
        <v>84</v>
      </c>
      <c r="N229" s="80" t="s">
        <v>84</v>
      </c>
      <c r="O229" s="80" t="s">
        <v>84</v>
      </c>
      <c r="P229" s="80"/>
      <c r="Q229" s="80" t="s">
        <v>84</v>
      </c>
      <c r="R229" s="80" t="s">
        <v>84</v>
      </c>
    </row>
    <row r="230" spans="1:18" ht="20" x14ac:dyDescent="0.2">
      <c r="A230" s="80" t="s">
        <v>2015</v>
      </c>
      <c r="B230" s="80" t="s">
        <v>2016</v>
      </c>
      <c r="C230" s="80" t="s">
        <v>9680</v>
      </c>
      <c r="D230" s="80" t="s">
        <v>84</v>
      </c>
      <c r="E230" s="80" t="s">
        <v>84</v>
      </c>
      <c r="F230" s="80"/>
      <c r="G230" s="80" t="s">
        <v>84</v>
      </c>
      <c r="H230" s="80" t="s">
        <v>84</v>
      </c>
      <c r="I230" s="80" t="s">
        <v>84</v>
      </c>
      <c r="J230" s="80" t="s">
        <v>84</v>
      </c>
      <c r="K230" s="80" t="s">
        <v>84</v>
      </c>
      <c r="L230" s="80" t="s">
        <v>84</v>
      </c>
      <c r="M230" s="80" t="s">
        <v>84</v>
      </c>
      <c r="N230" s="80" t="s">
        <v>84</v>
      </c>
      <c r="O230" s="80" t="s">
        <v>84</v>
      </c>
      <c r="P230" s="80"/>
      <c r="Q230" s="80" t="s">
        <v>84</v>
      </c>
      <c r="R230" s="80" t="s">
        <v>84</v>
      </c>
    </row>
    <row r="231" spans="1:18" ht="20" x14ac:dyDescent="0.2">
      <c r="A231" s="80" t="s">
        <v>9759</v>
      </c>
      <c r="B231" s="80" t="s">
        <v>9760</v>
      </c>
      <c r="C231" s="80" t="s">
        <v>9680</v>
      </c>
      <c r="D231" s="80" t="s">
        <v>84</v>
      </c>
      <c r="E231" s="80" t="s">
        <v>84</v>
      </c>
      <c r="F231" s="80"/>
      <c r="G231" s="80" t="s">
        <v>84</v>
      </c>
      <c r="H231" s="80" t="s">
        <v>84</v>
      </c>
      <c r="I231" s="80" t="s">
        <v>84</v>
      </c>
      <c r="J231" s="80" t="s">
        <v>84</v>
      </c>
      <c r="K231" s="80" t="s">
        <v>84</v>
      </c>
      <c r="L231" s="80" t="s">
        <v>84</v>
      </c>
      <c r="M231" s="80" t="s">
        <v>84</v>
      </c>
      <c r="N231" s="80" t="s">
        <v>84</v>
      </c>
      <c r="O231" s="80" t="s">
        <v>84</v>
      </c>
      <c r="P231" s="80"/>
      <c r="Q231" s="80" t="s">
        <v>84</v>
      </c>
      <c r="R231" s="80" t="s">
        <v>84</v>
      </c>
    </row>
    <row r="232" spans="1:18" ht="20" x14ac:dyDescent="0.2">
      <c r="A232" s="80" t="s">
        <v>2026</v>
      </c>
      <c r="B232" s="80" t="s">
        <v>9761</v>
      </c>
      <c r="C232" s="80" t="s">
        <v>9680</v>
      </c>
      <c r="D232" s="80" t="s">
        <v>84</v>
      </c>
      <c r="E232" s="80" t="s">
        <v>84</v>
      </c>
      <c r="F232" s="80"/>
      <c r="G232" s="80" t="s">
        <v>84</v>
      </c>
      <c r="H232" s="80" t="s">
        <v>84</v>
      </c>
      <c r="I232" s="80" t="s">
        <v>84</v>
      </c>
      <c r="J232" s="80" t="s">
        <v>84</v>
      </c>
      <c r="K232" s="80" t="s">
        <v>84</v>
      </c>
      <c r="L232" s="80" t="s">
        <v>84</v>
      </c>
      <c r="M232" s="80" t="s">
        <v>84</v>
      </c>
      <c r="N232" s="80" t="s">
        <v>84</v>
      </c>
      <c r="O232" s="80" t="s">
        <v>84</v>
      </c>
      <c r="P232" s="80"/>
      <c r="Q232" s="80" t="s">
        <v>84</v>
      </c>
      <c r="R232" s="80" t="s">
        <v>84</v>
      </c>
    </row>
    <row r="233" spans="1:18" ht="20" x14ac:dyDescent="0.2">
      <c r="A233" s="80" t="s">
        <v>2026</v>
      </c>
      <c r="B233" s="80" t="s">
        <v>2027</v>
      </c>
      <c r="C233" s="80" t="s">
        <v>9680</v>
      </c>
      <c r="D233" s="80" t="s">
        <v>84</v>
      </c>
      <c r="E233" s="80" t="s">
        <v>84</v>
      </c>
      <c r="F233" s="80"/>
      <c r="G233" s="80" t="s">
        <v>84</v>
      </c>
      <c r="H233" s="80" t="s">
        <v>84</v>
      </c>
      <c r="I233" s="80" t="s">
        <v>84</v>
      </c>
      <c r="J233" s="80" t="s">
        <v>84</v>
      </c>
      <c r="K233" s="80" t="s">
        <v>84</v>
      </c>
      <c r="L233" s="80" t="s">
        <v>84</v>
      </c>
      <c r="M233" s="80" t="s">
        <v>84</v>
      </c>
      <c r="N233" s="80" t="s">
        <v>84</v>
      </c>
      <c r="O233" s="80" t="s">
        <v>84</v>
      </c>
      <c r="P233" s="80"/>
      <c r="Q233" s="80" t="s">
        <v>84</v>
      </c>
      <c r="R233" s="80" t="s">
        <v>84</v>
      </c>
    </row>
    <row r="234" spans="1:18" ht="20" x14ac:dyDescent="0.2">
      <c r="A234" s="80" t="s">
        <v>1745</v>
      </c>
      <c r="B234" s="80" t="s">
        <v>1746</v>
      </c>
      <c r="C234" s="80" t="s">
        <v>9680</v>
      </c>
      <c r="D234" s="80" t="s">
        <v>84</v>
      </c>
      <c r="E234" s="80" t="s">
        <v>84</v>
      </c>
      <c r="F234" s="80"/>
      <c r="G234" s="80" t="s">
        <v>84</v>
      </c>
      <c r="H234" s="80" t="s">
        <v>84</v>
      </c>
      <c r="I234" s="80" t="s">
        <v>84</v>
      </c>
      <c r="J234" s="80" t="s">
        <v>84</v>
      </c>
      <c r="K234" s="80" t="s">
        <v>84</v>
      </c>
      <c r="L234" s="80" t="s">
        <v>84</v>
      </c>
      <c r="M234" s="80" t="s">
        <v>84</v>
      </c>
      <c r="N234" s="80" t="s">
        <v>84</v>
      </c>
      <c r="O234" s="80" t="s">
        <v>84</v>
      </c>
      <c r="P234" s="80"/>
      <c r="Q234" s="80" t="s">
        <v>84</v>
      </c>
      <c r="R234" s="80" t="s">
        <v>84</v>
      </c>
    </row>
    <row r="235" spans="1:18" ht="20" x14ac:dyDescent="0.2">
      <c r="A235" s="80" t="s">
        <v>1745</v>
      </c>
      <c r="B235" s="80" t="s">
        <v>9762</v>
      </c>
      <c r="C235" s="80" t="s">
        <v>9680</v>
      </c>
      <c r="D235" s="80" t="s">
        <v>84</v>
      </c>
      <c r="E235" s="80" t="s">
        <v>84</v>
      </c>
      <c r="F235" s="80"/>
      <c r="G235" s="80" t="s">
        <v>84</v>
      </c>
      <c r="H235" s="80" t="s">
        <v>84</v>
      </c>
      <c r="I235" s="80" t="s">
        <v>84</v>
      </c>
      <c r="J235" s="80" t="s">
        <v>84</v>
      </c>
      <c r="K235" s="80" t="s">
        <v>84</v>
      </c>
      <c r="L235" s="80" t="s">
        <v>84</v>
      </c>
      <c r="M235" s="80" t="s">
        <v>84</v>
      </c>
      <c r="N235" s="80" t="s">
        <v>84</v>
      </c>
      <c r="O235" s="80" t="s">
        <v>84</v>
      </c>
      <c r="P235" s="80"/>
      <c r="Q235" s="80" t="s">
        <v>84</v>
      </c>
      <c r="R235" s="80" t="s">
        <v>84</v>
      </c>
    </row>
    <row r="236" spans="1:18" ht="20" x14ac:dyDescent="0.2">
      <c r="A236" s="80" t="s">
        <v>1745</v>
      </c>
      <c r="B236" s="80" t="s">
        <v>2040</v>
      </c>
      <c r="C236" s="80" t="s">
        <v>9680</v>
      </c>
      <c r="D236" s="80" t="s">
        <v>84</v>
      </c>
      <c r="E236" s="80" t="s">
        <v>84</v>
      </c>
      <c r="F236" s="80"/>
      <c r="G236" s="80" t="s">
        <v>84</v>
      </c>
      <c r="H236" s="80" t="s">
        <v>84</v>
      </c>
      <c r="I236" s="80" t="s">
        <v>84</v>
      </c>
      <c r="J236" s="80" t="s">
        <v>84</v>
      </c>
      <c r="K236" s="80" t="s">
        <v>84</v>
      </c>
      <c r="L236" s="80" t="s">
        <v>84</v>
      </c>
      <c r="M236" s="80" t="s">
        <v>84</v>
      </c>
      <c r="N236" s="80" t="s">
        <v>84</v>
      </c>
      <c r="O236" s="80" t="s">
        <v>84</v>
      </c>
      <c r="P236" s="80"/>
      <c r="Q236" s="80" t="s">
        <v>84</v>
      </c>
      <c r="R236" s="80" t="s">
        <v>84</v>
      </c>
    </row>
    <row r="237" spans="1:18" ht="20" x14ac:dyDescent="0.2">
      <c r="A237" s="80" t="s">
        <v>2043</v>
      </c>
      <c r="B237" s="80" t="s">
        <v>9763</v>
      </c>
      <c r="C237" s="80" t="s">
        <v>9680</v>
      </c>
      <c r="D237" s="80" t="s">
        <v>84</v>
      </c>
      <c r="E237" s="80" t="s">
        <v>84</v>
      </c>
      <c r="F237" s="80"/>
      <c r="G237" s="80" t="s">
        <v>84</v>
      </c>
      <c r="H237" s="80" t="s">
        <v>84</v>
      </c>
      <c r="I237" s="80" t="s">
        <v>84</v>
      </c>
      <c r="J237" s="80" t="s">
        <v>84</v>
      </c>
      <c r="K237" s="80" t="s">
        <v>84</v>
      </c>
      <c r="L237" s="80" t="s">
        <v>84</v>
      </c>
      <c r="M237" s="80" t="s">
        <v>84</v>
      </c>
      <c r="N237" s="80" t="s">
        <v>84</v>
      </c>
      <c r="O237" s="80" t="s">
        <v>84</v>
      </c>
      <c r="P237" s="80"/>
      <c r="Q237" s="80" t="s">
        <v>84</v>
      </c>
      <c r="R237" s="80" t="s">
        <v>84</v>
      </c>
    </row>
    <row r="238" spans="1:18" ht="20" x14ac:dyDescent="0.2">
      <c r="A238" s="80" t="s">
        <v>2043</v>
      </c>
      <c r="B238" s="80" t="s">
        <v>2044</v>
      </c>
      <c r="C238" s="80" t="s">
        <v>9680</v>
      </c>
      <c r="D238" s="80" t="s">
        <v>84</v>
      </c>
      <c r="E238" s="80" t="s">
        <v>84</v>
      </c>
      <c r="F238" s="80"/>
      <c r="G238" s="80" t="s">
        <v>84</v>
      </c>
      <c r="H238" s="80" t="s">
        <v>84</v>
      </c>
      <c r="I238" s="80" t="s">
        <v>84</v>
      </c>
      <c r="J238" s="80" t="s">
        <v>84</v>
      </c>
      <c r="K238" s="80" t="s">
        <v>84</v>
      </c>
      <c r="L238" s="80" t="s">
        <v>84</v>
      </c>
      <c r="M238" s="80" t="s">
        <v>84</v>
      </c>
      <c r="N238" s="80" t="s">
        <v>84</v>
      </c>
      <c r="O238" s="80" t="s">
        <v>84</v>
      </c>
      <c r="P238" s="80"/>
      <c r="Q238" s="80" t="s">
        <v>84</v>
      </c>
      <c r="R238" s="80" t="s">
        <v>84</v>
      </c>
    </row>
    <row r="239" spans="1:18" ht="20" x14ac:dyDescent="0.2">
      <c r="A239" s="80" t="s">
        <v>9764</v>
      </c>
      <c r="B239" s="80" t="s">
        <v>9765</v>
      </c>
      <c r="C239" s="80" t="s">
        <v>9680</v>
      </c>
      <c r="D239" s="80" t="s">
        <v>84</v>
      </c>
      <c r="E239" s="80" t="s">
        <v>84</v>
      </c>
      <c r="F239" s="80"/>
      <c r="G239" s="80" t="s">
        <v>84</v>
      </c>
      <c r="H239" s="80" t="s">
        <v>84</v>
      </c>
      <c r="I239" s="80" t="s">
        <v>84</v>
      </c>
      <c r="J239" s="80" t="s">
        <v>84</v>
      </c>
      <c r="K239" s="80" t="s">
        <v>84</v>
      </c>
      <c r="L239" s="80" t="s">
        <v>84</v>
      </c>
      <c r="M239" s="80" t="s">
        <v>84</v>
      </c>
      <c r="N239" s="80" t="s">
        <v>84</v>
      </c>
      <c r="O239" s="80" t="s">
        <v>84</v>
      </c>
      <c r="P239" s="80"/>
      <c r="Q239" s="80" t="s">
        <v>84</v>
      </c>
      <c r="R239" s="80" t="s">
        <v>84</v>
      </c>
    </row>
    <row r="240" spans="1:18" ht="20" x14ac:dyDescent="0.2">
      <c r="A240" s="80" t="s">
        <v>1827</v>
      </c>
      <c r="B240" s="80" t="s">
        <v>1828</v>
      </c>
      <c r="C240" s="80" t="s">
        <v>9722</v>
      </c>
      <c r="D240" s="80" t="s">
        <v>84</v>
      </c>
      <c r="E240" s="80" t="s">
        <v>84</v>
      </c>
      <c r="F240" s="80"/>
      <c r="G240" s="80" t="s">
        <v>84</v>
      </c>
      <c r="H240" s="80" t="s">
        <v>84</v>
      </c>
      <c r="I240" s="80" t="s">
        <v>84</v>
      </c>
      <c r="J240" s="80" t="s">
        <v>84</v>
      </c>
      <c r="K240" s="80" t="s">
        <v>84</v>
      </c>
      <c r="L240" s="80" t="s">
        <v>84</v>
      </c>
      <c r="M240" s="80" t="s">
        <v>84</v>
      </c>
      <c r="N240" s="80" t="s">
        <v>84</v>
      </c>
      <c r="O240" s="80" t="s">
        <v>84</v>
      </c>
      <c r="P240" s="80"/>
      <c r="Q240" s="80" t="s">
        <v>84</v>
      </c>
      <c r="R240" s="80" t="s">
        <v>84</v>
      </c>
    </row>
    <row r="241" spans="1:18" ht="20" x14ac:dyDescent="0.2">
      <c r="A241" s="80" t="s">
        <v>9766</v>
      </c>
      <c r="B241" s="80" t="s">
        <v>9767</v>
      </c>
      <c r="C241" s="80" t="s">
        <v>84</v>
      </c>
      <c r="D241" s="80" t="s">
        <v>84</v>
      </c>
      <c r="E241" s="80" t="s">
        <v>84</v>
      </c>
      <c r="F241" s="80"/>
      <c r="G241" s="80" t="s">
        <v>84</v>
      </c>
      <c r="H241" s="80" t="s">
        <v>84</v>
      </c>
      <c r="I241" s="80" t="s">
        <v>84</v>
      </c>
      <c r="J241" s="80" t="s">
        <v>84</v>
      </c>
      <c r="K241" s="80" t="s">
        <v>84</v>
      </c>
      <c r="L241" s="80" t="s">
        <v>84</v>
      </c>
      <c r="M241" s="80" t="s">
        <v>84</v>
      </c>
      <c r="N241" s="80" t="s">
        <v>84</v>
      </c>
      <c r="O241" s="80" t="s">
        <v>84</v>
      </c>
      <c r="P241" s="80"/>
      <c r="Q241" s="80" t="s">
        <v>84</v>
      </c>
      <c r="R241" s="80" t="s">
        <v>84</v>
      </c>
    </row>
    <row r="242" spans="1:18" ht="20" x14ac:dyDescent="0.2">
      <c r="A242" s="80" t="s">
        <v>9768</v>
      </c>
      <c r="B242" s="80" t="s">
        <v>9769</v>
      </c>
      <c r="C242" s="80" t="s">
        <v>9680</v>
      </c>
      <c r="D242" s="80" t="s">
        <v>84</v>
      </c>
      <c r="E242" s="80" t="s">
        <v>84</v>
      </c>
      <c r="F242" s="80"/>
      <c r="G242" s="80" t="s">
        <v>84</v>
      </c>
      <c r="H242" s="80" t="s">
        <v>84</v>
      </c>
      <c r="I242" s="80" t="s">
        <v>84</v>
      </c>
      <c r="J242" s="80" t="s">
        <v>84</v>
      </c>
      <c r="K242" s="80" t="s">
        <v>84</v>
      </c>
      <c r="L242" s="80" t="s">
        <v>84</v>
      </c>
      <c r="M242" s="80" t="s">
        <v>84</v>
      </c>
      <c r="N242" s="80" t="s">
        <v>84</v>
      </c>
      <c r="O242" s="80" t="s">
        <v>84</v>
      </c>
      <c r="P242" s="80"/>
      <c r="Q242" s="80" t="s">
        <v>84</v>
      </c>
      <c r="R242" s="80" t="s">
        <v>84</v>
      </c>
    </row>
    <row r="243" spans="1:18" ht="20" x14ac:dyDescent="0.2">
      <c r="A243" s="80" t="s">
        <v>9770</v>
      </c>
      <c r="B243" s="80" t="s">
        <v>9771</v>
      </c>
      <c r="C243" s="80" t="s">
        <v>9680</v>
      </c>
      <c r="D243" s="80" t="s">
        <v>84</v>
      </c>
      <c r="E243" s="80" t="s">
        <v>84</v>
      </c>
      <c r="F243" s="80"/>
      <c r="G243" s="80" t="s">
        <v>84</v>
      </c>
      <c r="H243" s="80" t="s">
        <v>84</v>
      </c>
      <c r="I243" s="80" t="s">
        <v>84</v>
      </c>
      <c r="J243" s="80" t="s">
        <v>84</v>
      </c>
      <c r="K243" s="80" t="s">
        <v>84</v>
      </c>
      <c r="L243" s="80" t="s">
        <v>84</v>
      </c>
      <c r="M243" s="80" t="s">
        <v>84</v>
      </c>
      <c r="N243" s="80" t="s">
        <v>84</v>
      </c>
      <c r="O243" s="80" t="s">
        <v>84</v>
      </c>
      <c r="P243" s="80"/>
      <c r="Q243" s="80" t="s">
        <v>84</v>
      </c>
      <c r="R243" s="80" t="s">
        <v>84</v>
      </c>
    </row>
    <row r="244" spans="1:18" ht="20" x14ac:dyDescent="0.2">
      <c r="A244" s="80" t="s">
        <v>9772</v>
      </c>
      <c r="B244" s="80" t="s">
        <v>9773</v>
      </c>
      <c r="C244" s="80" t="s">
        <v>9680</v>
      </c>
      <c r="D244" s="80" t="s">
        <v>84</v>
      </c>
      <c r="E244" s="80" t="s">
        <v>84</v>
      </c>
      <c r="F244" s="80"/>
      <c r="G244" s="80" t="s">
        <v>84</v>
      </c>
      <c r="H244" s="80" t="s">
        <v>84</v>
      </c>
      <c r="I244" s="80" t="s">
        <v>84</v>
      </c>
      <c r="J244" s="80" t="s">
        <v>84</v>
      </c>
      <c r="K244" s="80" t="s">
        <v>84</v>
      </c>
      <c r="L244" s="80" t="s">
        <v>84</v>
      </c>
      <c r="M244" s="80" t="s">
        <v>84</v>
      </c>
      <c r="N244" s="80" t="s">
        <v>84</v>
      </c>
      <c r="O244" s="80" t="s">
        <v>84</v>
      </c>
      <c r="P244" s="80"/>
      <c r="Q244" s="80" t="s">
        <v>84</v>
      </c>
      <c r="R244" s="80" t="s">
        <v>84</v>
      </c>
    </row>
    <row r="245" spans="1:18" ht="20" x14ac:dyDescent="0.2">
      <c r="A245" s="80" t="s">
        <v>9774</v>
      </c>
      <c r="B245" s="80" t="s">
        <v>9775</v>
      </c>
      <c r="C245" s="80" t="s">
        <v>84</v>
      </c>
      <c r="D245" s="80" t="s">
        <v>84</v>
      </c>
      <c r="E245" s="80" t="s">
        <v>84</v>
      </c>
      <c r="F245" s="80"/>
      <c r="G245" s="80" t="s">
        <v>84</v>
      </c>
      <c r="H245" s="80" t="s">
        <v>84</v>
      </c>
      <c r="I245" s="80" t="s">
        <v>84</v>
      </c>
      <c r="J245" s="80" t="s">
        <v>84</v>
      </c>
      <c r="K245" s="80" t="s">
        <v>84</v>
      </c>
      <c r="L245" s="80" t="s">
        <v>84</v>
      </c>
      <c r="M245" s="80" t="s">
        <v>84</v>
      </c>
      <c r="N245" s="80" t="s">
        <v>84</v>
      </c>
      <c r="O245" s="80" t="s">
        <v>84</v>
      </c>
      <c r="P245" s="80"/>
      <c r="Q245" s="80" t="s">
        <v>84</v>
      </c>
      <c r="R245" s="80" t="s">
        <v>84</v>
      </c>
    </row>
    <row r="246" spans="1:18" ht="20" x14ac:dyDescent="0.2">
      <c r="A246" s="80" t="s">
        <v>1940</v>
      </c>
      <c r="B246" s="80" t="s">
        <v>1941</v>
      </c>
      <c r="C246" s="80" t="s">
        <v>9722</v>
      </c>
      <c r="D246" s="80" t="s">
        <v>84</v>
      </c>
      <c r="E246" s="80" t="s">
        <v>84</v>
      </c>
      <c r="F246" s="80"/>
      <c r="G246" s="80" t="s">
        <v>84</v>
      </c>
      <c r="H246" s="80" t="s">
        <v>84</v>
      </c>
      <c r="I246" s="80" t="s">
        <v>84</v>
      </c>
      <c r="J246" s="80" t="s">
        <v>84</v>
      </c>
      <c r="K246" s="80" t="s">
        <v>84</v>
      </c>
      <c r="L246" s="80" t="s">
        <v>84</v>
      </c>
      <c r="M246" s="80" t="s">
        <v>84</v>
      </c>
      <c r="N246" s="80" t="s">
        <v>84</v>
      </c>
      <c r="O246" s="80" t="s">
        <v>84</v>
      </c>
      <c r="P246" s="80"/>
      <c r="Q246" s="80" t="s">
        <v>84</v>
      </c>
      <c r="R246" s="80" t="s">
        <v>84</v>
      </c>
    </row>
    <row r="247" spans="1:18" ht="20" x14ac:dyDescent="0.2">
      <c r="A247" s="80" t="s">
        <v>1942</v>
      </c>
      <c r="B247" s="80" t="s">
        <v>1943</v>
      </c>
      <c r="C247" s="80" t="s">
        <v>9722</v>
      </c>
      <c r="D247" s="80" t="s">
        <v>84</v>
      </c>
      <c r="E247" s="80" t="s">
        <v>84</v>
      </c>
      <c r="F247" s="80"/>
      <c r="G247" s="80" t="s">
        <v>84</v>
      </c>
      <c r="H247" s="80" t="s">
        <v>84</v>
      </c>
      <c r="I247" s="80" t="s">
        <v>84</v>
      </c>
      <c r="J247" s="80" t="s">
        <v>84</v>
      </c>
      <c r="K247" s="80" t="s">
        <v>84</v>
      </c>
      <c r="L247" s="80" t="s">
        <v>84</v>
      </c>
      <c r="M247" s="80" t="s">
        <v>84</v>
      </c>
      <c r="N247" s="80" t="s">
        <v>84</v>
      </c>
      <c r="O247" s="80" t="s">
        <v>84</v>
      </c>
      <c r="P247" s="80"/>
      <c r="Q247" s="80" t="s">
        <v>84</v>
      </c>
      <c r="R247" s="80" t="s">
        <v>84</v>
      </c>
    </row>
    <row r="248" spans="1:18" ht="20" x14ac:dyDescent="0.2">
      <c r="A248" s="80" t="s">
        <v>1867</v>
      </c>
      <c r="B248" s="80" t="s">
        <v>1868</v>
      </c>
      <c r="C248" s="80" t="s">
        <v>9680</v>
      </c>
      <c r="D248" s="80" t="s">
        <v>9680</v>
      </c>
      <c r="E248" s="80" t="s">
        <v>9680</v>
      </c>
      <c r="F248" s="80"/>
      <c r="G248" s="80" t="s">
        <v>9680</v>
      </c>
      <c r="H248" s="80" t="s">
        <v>9680</v>
      </c>
      <c r="I248" s="80" t="s">
        <v>9680</v>
      </c>
      <c r="J248" s="80" t="s">
        <v>9680</v>
      </c>
      <c r="K248" s="80" t="s">
        <v>9680</v>
      </c>
      <c r="L248" s="80" t="s">
        <v>9680</v>
      </c>
      <c r="M248" s="80" t="s">
        <v>9680</v>
      </c>
      <c r="N248" s="80" t="s">
        <v>9680</v>
      </c>
      <c r="O248" s="80" t="s">
        <v>9680</v>
      </c>
      <c r="P248" s="80"/>
      <c r="Q248" s="80" t="s">
        <v>9680</v>
      </c>
      <c r="R248" s="80" t="s">
        <v>9680</v>
      </c>
    </row>
    <row r="249" spans="1:18" ht="20" x14ac:dyDescent="0.2">
      <c r="A249" s="80" t="s">
        <v>1831</v>
      </c>
      <c r="B249" s="80" t="s">
        <v>1832</v>
      </c>
      <c r="C249" s="80" t="s">
        <v>9680</v>
      </c>
      <c r="D249" s="80" t="s">
        <v>9680</v>
      </c>
      <c r="E249" s="80" t="s">
        <v>84</v>
      </c>
      <c r="F249" s="80"/>
      <c r="G249" s="80" t="s">
        <v>9680</v>
      </c>
      <c r="H249" s="80" t="s">
        <v>9680</v>
      </c>
      <c r="I249" s="80" t="s">
        <v>9680</v>
      </c>
      <c r="J249" s="80" t="s">
        <v>84</v>
      </c>
      <c r="K249" s="80" t="s">
        <v>9680</v>
      </c>
      <c r="L249" s="80" t="s">
        <v>9680</v>
      </c>
      <c r="M249" s="80" t="s">
        <v>9680</v>
      </c>
      <c r="N249" s="80" t="s">
        <v>84</v>
      </c>
      <c r="O249" s="80" t="s">
        <v>9680</v>
      </c>
      <c r="P249" s="80"/>
      <c r="Q249" s="80" t="s">
        <v>9680</v>
      </c>
      <c r="R249" s="80" t="s">
        <v>9680</v>
      </c>
    </row>
    <row r="250" spans="1:18" ht="20" x14ac:dyDescent="0.2">
      <c r="A250" s="80" t="s">
        <v>1833</v>
      </c>
      <c r="B250" s="80" t="s">
        <v>1834</v>
      </c>
      <c r="C250" s="80" t="s">
        <v>9680</v>
      </c>
      <c r="D250" s="80" t="s">
        <v>9680</v>
      </c>
      <c r="E250" s="80" t="s">
        <v>84</v>
      </c>
      <c r="F250" s="80"/>
      <c r="G250" s="80" t="s">
        <v>9680</v>
      </c>
      <c r="H250" s="80" t="s">
        <v>9680</v>
      </c>
      <c r="I250" s="80" t="s">
        <v>9680</v>
      </c>
      <c r="J250" s="80" t="s">
        <v>84</v>
      </c>
      <c r="K250" s="80" t="s">
        <v>9680</v>
      </c>
      <c r="L250" s="80" t="s">
        <v>9680</v>
      </c>
      <c r="M250" s="80" t="s">
        <v>9680</v>
      </c>
      <c r="N250" s="80" t="s">
        <v>84</v>
      </c>
      <c r="O250" s="80" t="s">
        <v>9680</v>
      </c>
      <c r="P250" s="80"/>
      <c r="Q250" s="80" t="s">
        <v>9680</v>
      </c>
      <c r="R250" s="80" t="s">
        <v>9680</v>
      </c>
    </row>
    <row r="251" spans="1:18" ht="20" x14ac:dyDescent="0.2">
      <c r="A251" s="80" t="s">
        <v>1852</v>
      </c>
      <c r="B251" s="80" t="s">
        <v>1853</v>
      </c>
      <c r="C251" s="80" t="s">
        <v>9680</v>
      </c>
      <c r="D251" s="80" t="s">
        <v>9680</v>
      </c>
      <c r="E251" s="80" t="s">
        <v>84</v>
      </c>
      <c r="F251" s="80"/>
      <c r="G251" s="80" t="s">
        <v>9680</v>
      </c>
      <c r="H251" s="80" t="s">
        <v>9680</v>
      </c>
      <c r="I251" s="80" t="s">
        <v>9680</v>
      </c>
      <c r="J251" s="80" t="s">
        <v>84</v>
      </c>
      <c r="K251" s="80" t="s">
        <v>9680</v>
      </c>
      <c r="L251" s="80" t="s">
        <v>9680</v>
      </c>
      <c r="M251" s="80" t="s">
        <v>9680</v>
      </c>
      <c r="N251" s="80" t="s">
        <v>84</v>
      </c>
      <c r="O251" s="80" t="s">
        <v>9680</v>
      </c>
      <c r="P251" s="80"/>
      <c r="Q251" s="80" t="s">
        <v>9680</v>
      </c>
      <c r="R251" s="80" t="s">
        <v>9680</v>
      </c>
    </row>
    <row r="252" spans="1:18" ht="20" x14ac:dyDescent="0.2">
      <c r="A252" s="80" t="s">
        <v>1865</v>
      </c>
      <c r="B252" s="80" t="s">
        <v>1866</v>
      </c>
      <c r="C252" s="80" t="s">
        <v>9680</v>
      </c>
      <c r="D252" s="80" t="s">
        <v>9680</v>
      </c>
      <c r="E252" s="80" t="s">
        <v>84</v>
      </c>
      <c r="F252" s="80"/>
      <c r="G252" s="80" t="s">
        <v>9680</v>
      </c>
      <c r="H252" s="80" t="s">
        <v>9680</v>
      </c>
      <c r="I252" s="80" t="s">
        <v>9680</v>
      </c>
      <c r="J252" s="80" t="s">
        <v>84</v>
      </c>
      <c r="K252" s="80" t="s">
        <v>9680</v>
      </c>
      <c r="L252" s="80" t="s">
        <v>9680</v>
      </c>
      <c r="M252" s="80" t="s">
        <v>9680</v>
      </c>
      <c r="N252" s="80" t="s">
        <v>84</v>
      </c>
      <c r="O252" s="80" t="s">
        <v>9680</v>
      </c>
      <c r="P252" s="80"/>
      <c r="Q252" s="80" t="s">
        <v>9680</v>
      </c>
      <c r="R252" s="80" t="s">
        <v>9680</v>
      </c>
    </row>
    <row r="253" spans="1:18" ht="20" x14ac:dyDescent="0.2">
      <c r="A253" s="80" t="s">
        <v>1944</v>
      </c>
      <c r="B253" s="80" t="s">
        <v>1945</v>
      </c>
      <c r="C253" s="80" t="s">
        <v>9680</v>
      </c>
      <c r="D253" s="80" t="s">
        <v>84</v>
      </c>
      <c r="E253" s="80" t="s">
        <v>84</v>
      </c>
      <c r="F253" s="80"/>
      <c r="G253" s="80" t="s">
        <v>84</v>
      </c>
      <c r="H253" s="80" t="s">
        <v>84</v>
      </c>
      <c r="I253" s="80" t="s">
        <v>84</v>
      </c>
      <c r="J253" s="80" t="s">
        <v>84</v>
      </c>
      <c r="K253" s="80" t="s">
        <v>84</v>
      </c>
      <c r="L253" s="80" t="s">
        <v>84</v>
      </c>
      <c r="M253" s="80" t="s">
        <v>84</v>
      </c>
      <c r="N253" s="80" t="s">
        <v>84</v>
      </c>
      <c r="O253" s="80" t="s">
        <v>84</v>
      </c>
      <c r="P253" s="80"/>
      <c r="Q253" s="80" t="s">
        <v>84</v>
      </c>
      <c r="R253" s="80" t="s">
        <v>84</v>
      </c>
    </row>
    <row r="254" spans="1:18" ht="20" x14ac:dyDescent="0.2">
      <c r="A254" s="80" t="s">
        <v>1848</v>
      </c>
      <c r="B254" s="80" t="s">
        <v>1849</v>
      </c>
      <c r="C254" s="80" t="s">
        <v>9680</v>
      </c>
      <c r="D254" s="80" t="s">
        <v>84</v>
      </c>
      <c r="E254" s="80" t="s">
        <v>84</v>
      </c>
      <c r="F254" s="80"/>
      <c r="G254" s="80" t="s">
        <v>84</v>
      </c>
      <c r="H254" s="80" t="s">
        <v>84</v>
      </c>
      <c r="I254" s="80" t="s">
        <v>84</v>
      </c>
      <c r="J254" s="80" t="s">
        <v>84</v>
      </c>
      <c r="K254" s="80" t="s">
        <v>84</v>
      </c>
      <c r="L254" s="80" t="s">
        <v>84</v>
      </c>
      <c r="M254" s="80" t="s">
        <v>84</v>
      </c>
      <c r="N254" s="80" t="s">
        <v>84</v>
      </c>
      <c r="O254" s="80" t="s">
        <v>84</v>
      </c>
      <c r="P254" s="80"/>
      <c r="Q254" s="80" t="s">
        <v>84</v>
      </c>
      <c r="R254" s="80" t="s">
        <v>84</v>
      </c>
    </row>
    <row r="255" spans="1:18" ht="20" x14ac:dyDescent="0.2">
      <c r="A255" s="80" t="s">
        <v>1848</v>
      </c>
      <c r="B255" s="80" t="s">
        <v>9776</v>
      </c>
      <c r="C255" s="80" t="s">
        <v>9680</v>
      </c>
      <c r="D255" s="80" t="s">
        <v>84</v>
      </c>
      <c r="E255" s="80" t="s">
        <v>84</v>
      </c>
      <c r="F255" s="80"/>
      <c r="G255" s="80" t="s">
        <v>84</v>
      </c>
      <c r="H255" s="80" t="s">
        <v>84</v>
      </c>
      <c r="I255" s="80" t="s">
        <v>84</v>
      </c>
      <c r="J255" s="80" t="s">
        <v>84</v>
      </c>
      <c r="K255" s="80" t="s">
        <v>84</v>
      </c>
      <c r="L255" s="80" t="s">
        <v>84</v>
      </c>
      <c r="M255" s="80" t="s">
        <v>84</v>
      </c>
      <c r="N255" s="80" t="s">
        <v>84</v>
      </c>
      <c r="O255" s="80" t="s">
        <v>84</v>
      </c>
      <c r="P255" s="80"/>
      <c r="Q255" s="80" t="s">
        <v>84</v>
      </c>
      <c r="R255" s="80" t="s">
        <v>84</v>
      </c>
    </row>
    <row r="256" spans="1:18" ht="20" x14ac:dyDescent="0.2">
      <c r="A256" s="80" t="s">
        <v>9777</v>
      </c>
      <c r="B256" s="80" t="s">
        <v>9778</v>
      </c>
      <c r="C256" s="80" t="s">
        <v>9680</v>
      </c>
      <c r="D256" s="80" t="s">
        <v>84</v>
      </c>
      <c r="E256" s="80" t="s">
        <v>84</v>
      </c>
      <c r="F256" s="80"/>
      <c r="G256" s="80" t="s">
        <v>84</v>
      </c>
      <c r="H256" s="80" t="s">
        <v>84</v>
      </c>
      <c r="I256" s="80" t="s">
        <v>84</v>
      </c>
      <c r="J256" s="80" t="s">
        <v>84</v>
      </c>
      <c r="K256" s="80" t="s">
        <v>84</v>
      </c>
      <c r="L256" s="80" t="s">
        <v>84</v>
      </c>
      <c r="M256" s="80" t="s">
        <v>84</v>
      </c>
      <c r="N256" s="80" t="s">
        <v>84</v>
      </c>
      <c r="O256" s="80" t="s">
        <v>84</v>
      </c>
      <c r="P256" s="80"/>
      <c r="Q256" s="80" t="s">
        <v>84</v>
      </c>
      <c r="R256" s="80" t="s">
        <v>84</v>
      </c>
    </row>
    <row r="257" spans="1:18" ht="20" x14ac:dyDescent="0.2">
      <c r="A257" s="80" t="s">
        <v>1946</v>
      </c>
      <c r="B257" s="80" t="s">
        <v>1947</v>
      </c>
      <c r="C257" s="80" t="s">
        <v>9680</v>
      </c>
      <c r="D257" s="80" t="s">
        <v>84</v>
      </c>
      <c r="E257" s="80" t="s">
        <v>84</v>
      </c>
      <c r="F257" s="80"/>
      <c r="G257" s="80" t="s">
        <v>84</v>
      </c>
      <c r="H257" s="80" t="s">
        <v>84</v>
      </c>
      <c r="I257" s="80" t="s">
        <v>84</v>
      </c>
      <c r="J257" s="80" t="s">
        <v>84</v>
      </c>
      <c r="K257" s="80" t="s">
        <v>84</v>
      </c>
      <c r="L257" s="80" t="s">
        <v>84</v>
      </c>
      <c r="M257" s="80" t="s">
        <v>84</v>
      </c>
      <c r="N257" s="80" t="s">
        <v>84</v>
      </c>
      <c r="O257" s="80" t="s">
        <v>84</v>
      </c>
      <c r="P257" s="80"/>
      <c r="Q257" s="80" t="s">
        <v>84</v>
      </c>
      <c r="R257" s="80" t="s">
        <v>84</v>
      </c>
    </row>
    <row r="258" spans="1:18" ht="20" x14ac:dyDescent="0.2">
      <c r="A258" s="80" t="s">
        <v>9779</v>
      </c>
      <c r="B258" s="80" t="s">
        <v>9780</v>
      </c>
      <c r="C258" s="80" t="s">
        <v>9680</v>
      </c>
      <c r="D258" s="80" t="s">
        <v>84</v>
      </c>
      <c r="E258" s="80" t="s">
        <v>84</v>
      </c>
      <c r="F258" s="80"/>
      <c r="G258" s="80" t="s">
        <v>84</v>
      </c>
      <c r="H258" s="80" t="s">
        <v>84</v>
      </c>
      <c r="I258" s="80" t="s">
        <v>84</v>
      </c>
      <c r="J258" s="80" t="s">
        <v>84</v>
      </c>
      <c r="K258" s="80" t="s">
        <v>84</v>
      </c>
      <c r="L258" s="80" t="s">
        <v>84</v>
      </c>
      <c r="M258" s="80" t="s">
        <v>84</v>
      </c>
      <c r="N258" s="80" t="s">
        <v>84</v>
      </c>
      <c r="O258" s="80" t="s">
        <v>84</v>
      </c>
      <c r="P258" s="80"/>
      <c r="Q258" s="80" t="s">
        <v>84</v>
      </c>
      <c r="R258" s="80" t="s">
        <v>84</v>
      </c>
    </row>
    <row r="259" spans="1:18" ht="20" x14ac:dyDescent="0.2">
      <c r="A259" s="80" t="s">
        <v>1841</v>
      </c>
      <c r="B259" s="80" t="s">
        <v>1842</v>
      </c>
      <c r="C259" s="80" t="s">
        <v>9680</v>
      </c>
      <c r="D259" s="80" t="s">
        <v>84</v>
      </c>
      <c r="E259" s="80" t="s">
        <v>84</v>
      </c>
      <c r="F259" s="80"/>
      <c r="G259" s="80" t="s">
        <v>84</v>
      </c>
      <c r="H259" s="80" t="s">
        <v>84</v>
      </c>
      <c r="I259" s="80" t="s">
        <v>84</v>
      </c>
      <c r="J259" s="80" t="s">
        <v>84</v>
      </c>
      <c r="K259" s="80" t="s">
        <v>84</v>
      </c>
      <c r="L259" s="80" t="s">
        <v>84</v>
      </c>
      <c r="M259" s="80" t="s">
        <v>84</v>
      </c>
      <c r="N259" s="80" t="s">
        <v>84</v>
      </c>
      <c r="O259" s="80" t="s">
        <v>84</v>
      </c>
      <c r="P259" s="80"/>
      <c r="Q259" s="80" t="s">
        <v>84</v>
      </c>
      <c r="R259" s="80" t="s">
        <v>84</v>
      </c>
    </row>
    <row r="260" spans="1:18" ht="20" x14ac:dyDescent="0.2">
      <c r="A260" s="80" t="s">
        <v>1841</v>
      </c>
      <c r="B260" s="80" t="s">
        <v>9781</v>
      </c>
      <c r="C260" s="80" t="s">
        <v>9680</v>
      </c>
      <c r="D260" s="80" t="s">
        <v>84</v>
      </c>
      <c r="E260" s="80" t="s">
        <v>84</v>
      </c>
      <c r="F260" s="80"/>
      <c r="G260" s="80" t="s">
        <v>84</v>
      </c>
      <c r="H260" s="80" t="s">
        <v>84</v>
      </c>
      <c r="I260" s="80" t="s">
        <v>84</v>
      </c>
      <c r="J260" s="80" t="s">
        <v>84</v>
      </c>
      <c r="K260" s="80" t="s">
        <v>84</v>
      </c>
      <c r="L260" s="80" t="s">
        <v>84</v>
      </c>
      <c r="M260" s="80" t="s">
        <v>84</v>
      </c>
      <c r="N260" s="80" t="s">
        <v>84</v>
      </c>
      <c r="O260" s="80" t="s">
        <v>84</v>
      </c>
      <c r="P260" s="80"/>
      <c r="Q260" s="80" t="s">
        <v>84</v>
      </c>
      <c r="R260" s="80" t="s">
        <v>84</v>
      </c>
    </row>
    <row r="261" spans="1:18" ht="20" x14ac:dyDescent="0.2">
      <c r="A261" s="80" t="s">
        <v>9782</v>
      </c>
      <c r="B261" s="80" t="s">
        <v>9783</v>
      </c>
      <c r="C261" s="80" t="s">
        <v>9680</v>
      </c>
      <c r="D261" s="80" t="s">
        <v>9680</v>
      </c>
      <c r="E261" s="80" t="s">
        <v>9680</v>
      </c>
      <c r="F261" s="80"/>
      <c r="G261" s="80" t="s">
        <v>9680</v>
      </c>
      <c r="H261" s="80" t="s">
        <v>9680</v>
      </c>
      <c r="I261" s="80" t="s">
        <v>9680</v>
      </c>
      <c r="J261" s="80" t="s">
        <v>9680</v>
      </c>
      <c r="K261" s="80" t="s">
        <v>9680</v>
      </c>
      <c r="L261" s="80" t="s">
        <v>9680</v>
      </c>
      <c r="M261" s="80" t="s">
        <v>9680</v>
      </c>
      <c r="N261" s="80" t="s">
        <v>9680</v>
      </c>
      <c r="O261" s="80" t="s">
        <v>9680</v>
      </c>
      <c r="P261" s="80"/>
      <c r="Q261" s="80" t="s">
        <v>9680</v>
      </c>
      <c r="R261" s="80" t="s">
        <v>9680</v>
      </c>
    </row>
    <row r="262" spans="1:18" ht="20" x14ac:dyDescent="0.2">
      <c r="A262" s="80" t="s">
        <v>1869</v>
      </c>
      <c r="B262" s="80" t="s">
        <v>1870</v>
      </c>
      <c r="C262" s="80" t="s">
        <v>9680</v>
      </c>
      <c r="D262" s="80" t="s">
        <v>9680</v>
      </c>
      <c r="E262" s="80" t="s">
        <v>9680</v>
      </c>
      <c r="F262" s="80"/>
      <c r="G262" s="80" t="s">
        <v>9680</v>
      </c>
      <c r="H262" s="80" t="s">
        <v>9680</v>
      </c>
      <c r="I262" s="80" t="s">
        <v>9680</v>
      </c>
      <c r="J262" s="80" t="s">
        <v>84</v>
      </c>
      <c r="K262" s="80" t="s">
        <v>9680</v>
      </c>
      <c r="L262" s="80" t="s">
        <v>9680</v>
      </c>
      <c r="M262" s="80" t="s">
        <v>9680</v>
      </c>
      <c r="N262" s="80" t="s">
        <v>9680</v>
      </c>
      <c r="O262" s="80" t="s">
        <v>9680</v>
      </c>
      <c r="P262" s="80"/>
      <c r="Q262" s="80" t="s">
        <v>9680</v>
      </c>
      <c r="R262" s="80" t="s">
        <v>9680</v>
      </c>
    </row>
    <row r="263" spans="1:18" ht="20" x14ac:dyDescent="0.2">
      <c r="A263" s="80" t="s">
        <v>1869</v>
      </c>
      <c r="B263" s="80" t="s">
        <v>9784</v>
      </c>
      <c r="C263" s="80" t="s">
        <v>9680</v>
      </c>
      <c r="D263" s="80" t="s">
        <v>9680</v>
      </c>
      <c r="E263" s="80" t="s">
        <v>9680</v>
      </c>
      <c r="F263" s="80"/>
      <c r="G263" s="80" t="s">
        <v>9680</v>
      </c>
      <c r="H263" s="80" t="s">
        <v>9680</v>
      </c>
      <c r="I263" s="80" t="s">
        <v>9680</v>
      </c>
      <c r="J263" s="80" t="s">
        <v>84</v>
      </c>
      <c r="K263" s="80" t="s">
        <v>9680</v>
      </c>
      <c r="L263" s="80" t="s">
        <v>9680</v>
      </c>
      <c r="M263" s="80" t="s">
        <v>9680</v>
      </c>
      <c r="N263" s="80" t="s">
        <v>9680</v>
      </c>
      <c r="O263" s="80" t="s">
        <v>9680</v>
      </c>
      <c r="P263" s="80"/>
      <c r="Q263" s="80" t="s">
        <v>9680</v>
      </c>
      <c r="R263" s="80" t="s">
        <v>9680</v>
      </c>
    </row>
    <row r="264" spans="1:18" ht="20" x14ac:dyDescent="0.2">
      <c r="A264" s="80" t="s">
        <v>9785</v>
      </c>
      <c r="B264" s="80" t="s">
        <v>9786</v>
      </c>
      <c r="C264" s="80" t="s">
        <v>9680</v>
      </c>
      <c r="D264" s="80" t="s">
        <v>84</v>
      </c>
      <c r="E264" s="80" t="s">
        <v>84</v>
      </c>
      <c r="F264" s="80"/>
      <c r="G264" s="80" t="s">
        <v>84</v>
      </c>
      <c r="H264" s="80" t="s">
        <v>84</v>
      </c>
      <c r="I264" s="80" t="s">
        <v>84</v>
      </c>
      <c r="J264" s="80" t="s">
        <v>84</v>
      </c>
      <c r="K264" s="80" t="s">
        <v>84</v>
      </c>
      <c r="L264" s="80" t="s">
        <v>84</v>
      </c>
      <c r="M264" s="80" t="s">
        <v>84</v>
      </c>
      <c r="N264" s="80" t="s">
        <v>84</v>
      </c>
      <c r="O264" s="80" t="s">
        <v>84</v>
      </c>
      <c r="P264" s="80"/>
      <c r="Q264" s="80" t="s">
        <v>84</v>
      </c>
      <c r="R264" s="80" t="s">
        <v>84</v>
      </c>
    </row>
    <row r="265" spans="1:18" ht="20" x14ac:dyDescent="0.2">
      <c r="A265" s="80" t="s">
        <v>9787</v>
      </c>
      <c r="B265" s="80" t="s">
        <v>9788</v>
      </c>
      <c r="C265" s="80" t="s">
        <v>9680</v>
      </c>
      <c r="D265" s="80" t="s">
        <v>84</v>
      </c>
      <c r="E265" s="80" t="s">
        <v>84</v>
      </c>
      <c r="F265" s="80"/>
      <c r="G265" s="80" t="s">
        <v>84</v>
      </c>
      <c r="H265" s="80" t="s">
        <v>84</v>
      </c>
      <c r="I265" s="80" t="s">
        <v>84</v>
      </c>
      <c r="J265" s="80" t="s">
        <v>84</v>
      </c>
      <c r="K265" s="80" t="s">
        <v>84</v>
      </c>
      <c r="L265" s="80" t="s">
        <v>84</v>
      </c>
      <c r="M265" s="80" t="s">
        <v>84</v>
      </c>
      <c r="N265" s="80" t="s">
        <v>84</v>
      </c>
      <c r="O265" s="80" t="s">
        <v>84</v>
      </c>
      <c r="P265" s="80"/>
      <c r="Q265" s="80" t="s">
        <v>84</v>
      </c>
      <c r="R265" s="80" t="s">
        <v>84</v>
      </c>
    </row>
    <row r="266" spans="1:18" ht="20" x14ac:dyDescent="0.2">
      <c r="A266" s="80" t="s">
        <v>2720</v>
      </c>
      <c r="B266" s="80" t="s">
        <v>9789</v>
      </c>
      <c r="C266" s="80" t="s">
        <v>9680</v>
      </c>
      <c r="D266" s="80" t="s">
        <v>84</v>
      </c>
      <c r="E266" s="80" t="s">
        <v>84</v>
      </c>
      <c r="F266" s="80"/>
      <c r="G266" s="80" t="s">
        <v>84</v>
      </c>
      <c r="H266" s="80" t="s">
        <v>84</v>
      </c>
      <c r="I266" s="80" t="s">
        <v>84</v>
      </c>
      <c r="J266" s="80" t="s">
        <v>84</v>
      </c>
      <c r="K266" s="80" t="s">
        <v>84</v>
      </c>
      <c r="L266" s="80" t="s">
        <v>84</v>
      </c>
      <c r="M266" s="80" t="s">
        <v>84</v>
      </c>
      <c r="N266" s="80" t="s">
        <v>84</v>
      </c>
      <c r="O266" s="80" t="s">
        <v>84</v>
      </c>
      <c r="P266" s="80"/>
      <c r="Q266" s="80" t="s">
        <v>84</v>
      </c>
      <c r="R266" s="80" t="s">
        <v>84</v>
      </c>
    </row>
    <row r="267" spans="1:18" ht="20" x14ac:dyDescent="0.2">
      <c r="A267" s="80" t="s">
        <v>2720</v>
      </c>
      <c r="B267" s="80" t="s">
        <v>2721</v>
      </c>
      <c r="C267" s="80" t="s">
        <v>9680</v>
      </c>
      <c r="D267" s="80" t="s">
        <v>84</v>
      </c>
      <c r="E267" s="80" t="s">
        <v>84</v>
      </c>
      <c r="F267" s="80"/>
      <c r="G267" s="80" t="s">
        <v>84</v>
      </c>
      <c r="H267" s="80" t="s">
        <v>84</v>
      </c>
      <c r="I267" s="80" t="s">
        <v>84</v>
      </c>
      <c r="J267" s="80" t="s">
        <v>84</v>
      </c>
      <c r="K267" s="80" t="s">
        <v>84</v>
      </c>
      <c r="L267" s="80" t="s">
        <v>84</v>
      </c>
      <c r="M267" s="80" t="s">
        <v>84</v>
      </c>
      <c r="N267" s="80" t="s">
        <v>84</v>
      </c>
      <c r="O267" s="80" t="s">
        <v>84</v>
      </c>
      <c r="P267" s="80"/>
      <c r="Q267" s="80" t="s">
        <v>84</v>
      </c>
      <c r="R267" s="80" t="s">
        <v>84</v>
      </c>
    </row>
    <row r="268" spans="1:18" ht="20" x14ac:dyDescent="0.2">
      <c r="A268" s="80" t="s">
        <v>2722</v>
      </c>
      <c r="B268" s="80" t="s">
        <v>9790</v>
      </c>
      <c r="C268" s="80" t="s">
        <v>9680</v>
      </c>
      <c r="D268" s="80" t="s">
        <v>84</v>
      </c>
      <c r="E268" s="80" t="s">
        <v>84</v>
      </c>
      <c r="F268" s="80"/>
      <c r="G268" s="80" t="s">
        <v>84</v>
      </c>
      <c r="H268" s="80" t="s">
        <v>84</v>
      </c>
      <c r="I268" s="80" t="s">
        <v>84</v>
      </c>
      <c r="J268" s="80" t="s">
        <v>84</v>
      </c>
      <c r="K268" s="80" t="s">
        <v>84</v>
      </c>
      <c r="L268" s="80" t="s">
        <v>84</v>
      </c>
      <c r="M268" s="80" t="s">
        <v>84</v>
      </c>
      <c r="N268" s="80" t="s">
        <v>84</v>
      </c>
      <c r="O268" s="80" t="s">
        <v>84</v>
      </c>
      <c r="P268" s="80"/>
      <c r="Q268" s="80" t="s">
        <v>84</v>
      </c>
      <c r="R268" s="80" t="s">
        <v>84</v>
      </c>
    </row>
    <row r="269" spans="1:18" ht="20" x14ac:dyDescent="0.2">
      <c r="A269" s="80" t="s">
        <v>2722</v>
      </c>
      <c r="B269" s="80" t="s">
        <v>2723</v>
      </c>
      <c r="C269" s="80" t="s">
        <v>9680</v>
      </c>
      <c r="D269" s="80" t="s">
        <v>84</v>
      </c>
      <c r="E269" s="80" t="s">
        <v>84</v>
      </c>
      <c r="F269" s="80"/>
      <c r="G269" s="80" t="s">
        <v>84</v>
      </c>
      <c r="H269" s="80" t="s">
        <v>84</v>
      </c>
      <c r="I269" s="80" t="s">
        <v>84</v>
      </c>
      <c r="J269" s="80" t="s">
        <v>84</v>
      </c>
      <c r="K269" s="80" t="s">
        <v>84</v>
      </c>
      <c r="L269" s="80" t="s">
        <v>84</v>
      </c>
      <c r="M269" s="80" t="s">
        <v>84</v>
      </c>
      <c r="N269" s="80" t="s">
        <v>84</v>
      </c>
      <c r="O269" s="80" t="s">
        <v>84</v>
      </c>
      <c r="P269" s="80"/>
      <c r="Q269" s="80" t="s">
        <v>84</v>
      </c>
      <c r="R269" s="80" t="s">
        <v>84</v>
      </c>
    </row>
    <row r="270" spans="1:18" ht="20" x14ac:dyDescent="0.2">
      <c r="A270" s="80" t="s">
        <v>2724</v>
      </c>
      <c r="B270" s="80" t="s">
        <v>9791</v>
      </c>
      <c r="C270" s="80" t="s">
        <v>9680</v>
      </c>
      <c r="D270" s="80" t="s">
        <v>84</v>
      </c>
      <c r="E270" s="80" t="s">
        <v>84</v>
      </c>
      <c r="F270" s="80"/>
      <c r="G270" s="80" t="s">
        <v>84</v>
      </c>
      <c r="H270" s="80" t="s">
        <v>9680</v>
      </c>
      <c r="I270" s="80" t="s">
        <v>84</v>
      </c>
      <c r="J270" s="80" t="s">
        <v>84</v>
      </c>
      <c r="K270" s="80" t="s">
        <v>84</v>
      </c>
      <c r="L270" s="80" t="s">
        <v>84</v>
      </c>
      <c r="M270" s="80" t="s">
        <v>84</v>
      </c>
      <c r="N270" s="80" t="s">
        <v>84</v>
      </c>
      <c r="O270" s="80" t="s">
        <v>84</v>
      </c>
      <c r="P270" s="80"/>
      <c r="Q270" s="80" t="s">
        <v>84</v>
      </c>
      <c r="R270" s="80" t="s">
        <v>84</v>
      </c>
    </row>
    <row r="271" spans="1:18" ht="20" x14ac:dyDescent="0.2">
      <c r="A271" s="80" t="s">
        <v>2724</v>
      </c>
      <c r="B271" s="80" t="s">
        <v>2725</v>
      </c>
      <c r="C271" s="80" t="s">
        <v>9680</v>
      </c>
      <c r="D271" s="80" t="s">
        <v>84</v>
      </c>
      <c r="E271" s="80" t="s">
        <v>84</v>
      </c>
      <c r="F271" s="80"/>
      <c r="G271" s="80" t="s">
        <v>84</v>
      </c>
      <c r="H271" s="80" t="s">
        <v>9680</v>
      </c>
      <c r="I271" s="80" t="s">
        <v>84</v>
      </c>
      <c r="J271" s="80" t="s">
        <v>84</v>
      </c>
      <c r="K271" s="80" t="s">
        <v>84</v>
      </c>
      <c r="L271" s="80" t="s">
        <v>84</v>
      </c>
      <c r="M271" s="80" t="s">
        <v>84</v>
      </c>
      <c r="N271" s="80" t="s">
        <v>84</v>
      </c>
      <c r="O271" s="80" t="s">
        <v>84</v>
      </c>
      <c r="P271" s="80"/>
      <c r="Q271" s="80" t="s">
        <v>84</v>
      </c>
      <c r="R271" s="80" t="s">
        <v>84</v>
      </c>
    </row>
    <row r="272" spans="1:18" x14ac:dyDescent="0.2">
      <c r="A272" s="80" t="s">
        <v>3615</v>
      </c>
      <c r="B272" s="80" t="s">
        <v>3616</v>
      </c>
      <c r="C272" s="80" t="s">
        <v>84</v>
      </c>
      <c r="D272" s="80" t="s">
        <v>84</v>
      </c>
      <c r="E272" s="80" t="s">
        <v>84</v>
      </c>
      <c r="F272" s="80"/>
      <c r="G272" s="80" t="s">
        <v>84</v>
      </c>
      <c r="H272" s="80" t="s">
        <v>84</v>
      </c>
      <c r="I272" s="80" t="s">
        <v>84</v>
      </c>
      <c r="J272" s="80" t="s">
        <v>84</v>
      </c>
      <c r="K272" s="80" t="s">
        <v>84</v>
      </c>
      <c r="L272" s="80" t="s">
        <v>84</v>
      </c>
      <c r="M272" s="80" t="s">
        <v>84</v>
      </c>
      <c r="N272" s="80" t="s">
        <v>84</v>
      </c>
      <c r="O272" s="80" t="s">
        <v>84</v>
      </c>
      <c r="P272" s="80"/>
      <c r="Q272" s="80" t="s">
        <v>84</v>
      </c>
      <c r="R272" s="80" t="s">
        <v>84</v>
      </c>
    </row>
    <row r="273" spans="1:18" ht="20" x14ac:dyDescent="0.2">
      <c r="A273" s="80" t="s">
        <v>3615</v>
      </c>
      <c r="B273" s="80" t="s">
        <v>9792</v>
      </c>
      <c r="C273" s="80" t="s">
        <v>84</v>
      </c>
      <c r="D273" s="80" t="s">
        <v>84</v>
      </c>
      <c r="E273" s="80" t="s">
        <v>84</v>
      </c>
      <c r="F273" s="80"/>
      <c r="G273" s="80" t="s">
        <v>84</v>
      </c>
      <c r="H273" s="80" t="s">
        <v>84</v>
      </c>
      <c r="I273" s="80" t="s">
        <v>84</v>
      </c>
      <c r="J273" s="80" t="s">
        <v>84</v>
      </c>
      <c r="K273" s="80" t="s">
        <v>84</v>
      </c>
      <c r="L273" s="80" t="s">
        <v>84</v>
      </c>
      <c r="M273" s="80" t="s">
        <v>84</v>
      </c>
      <c r="N273" s="80" t="s">
        <v>84</v>
      </c>
      <c r="O273" s="80" t="s">
        <v>84</v>
      </c>
      <c r="P273" s="80"/>
      <c r="Q273" s="80" t="s">
        <v>84</v>
      </c>
      <c r="R273" s="80" t="s">
        <v>84</v>
      </c>
    </row>
    <row r="274" spans="1:18" x14ac:dyDescent="0.2">
      <c r="A274" s="80" t="s">
        <v>3615</v>
      </c>
      <c r="B274" s="80" t="s">
        <v>3735</v>
      </c>
      <c r="C274" s="80" t="s">
        <v>84</v>
      </c>
      <c r="D274" s="80" t="s">
        <v>84</v>
      </c>
      <c r="E274" s="80" t="s">
        <v>84</v>
      </c>
      <c r="F274" s="80"/>
      <c r="G274" s="80" t="s">
        <v>84</v>
      </c>
      <c r="H274" s="80" t="s">
        <v>84</v>
      </c>
      <c r="I274" s="80" t="s">
        <v>84</v>
      </c>
      <c r="J274" s="80" t="s">
        <v>84</v>
      </c>
      <c r="K274" s="80" t="s">
        <v>84</v>
      </c>
      <c r="L274" s="80" t="s">
        <v>84</v>
      </c>
      <c r="M274" s="80" t="s">
        <v>84</v>
      </c>
      <c r="N274" s="80" t="s">
        <v>84</v>
      </c>
      <c r="O274" s="80" t="s">
        <v>84</v>
      </c>
      <c r="P274" s="80"/>
      <c r="Q274" s="80" t="s">
        <v>84</v>
      </c>
      <c r="R274" s="80" t="s">
        <v>84</v>
      </c>
    </row>
    <row r="275" spans="1:18" ht="20" x14ac:dyDescent="0.2">
      <c r="A275" s="80" t="s">
        <v>2726</v>
      </c>
      <c r="B275" s="80" t="s">
        <v>9793</v>
      </c>
      <c r="C275" s="80" t="s">
        <v>9680</v>
      </c>
      <c r="D275" s="80" t="s">
        <v>84</v>
      </c>
      <c r="E275" s="80" t="s">
        <v>84</v>
      </c>
      <c r="F275" s="80"/>
      <c r="G275" s="80" t="s">
        <v>84</v>
      </c>
      <c r="H275" s="80" t="s">
        <v>84</v>
      </c>
      <c r="I275" s="80" t="s">
        <v>84</v>
      </c>
      <c r="J275" s="80" t="s">
        <v>84</v>
      </c>
      <c r="K275" s="80" t="s">
        <v>84</v>
      </c>
      <c r="L275" s="80" t="s">
        <v>84</v>
      </c>
      <c r="M275" s="80" t="s">
        <v>84</v>
      </c>
      <c r="N275" s="80" t="s">
        <v>84</v>
      </c>
      <c r="O275" s="80" t="s">
        <v>84</v>
      </c>
      <c r="P275" s="80"/>
      <c r="Q275" s="80" t="s">
        <v>84</v>
      </c>
      <c r="R275" s="80" t="s">
        <v>84</v>
      </c>
    </row>
    <row r="276" spans="1:18" ht="20" x14ac:dyDescent="0.2">
      <c r="A276" s="80" t="s">
        <v>2726</v>
      </c>
      <c r="B276" s="80" t="s">
        <v>2727</v>
      </c>
      <c r="C276" s="80" t="s">
        <v>9680</v>
      </c>
      <c r="D276" s="80" t="s">
        <v>84</v>
      </c>
      <c r="E276" s="80" t="s">
        <v>84</v>
      </c>
      <c r="F276" s="80"/>
      <c r="G276" s="80" t="s">
        <v>84</v>
      </c>
      <c r="H276" s="80" t="s">
        <v>84</v>
      </c>
      <c r="I276" s="80" t="s">
        <v>84</v>
      </c>
      <c r="J276" s="80" t="s">
        <v>84</v>
      </c>
      <c r="K276" s="80" t="s">
        <v>84</v>
      </c>
      <c r="L276" s="80" t="s">
        <v>84</v>
      </c>
      <c r="M276" s="80" t="s">
        <v>84</v>
      </c>
      <c r="N276" s="80" t="s">
        <v>84</v>
      </c>
      <c r="O276" s="80" t="s">
        <v>84</v>
      </c>
      <c r="P276" s="80"/>
      <c r="Q276" s="80" t="s">
        <v>84</v>
      </c>
      <c r="R276" s="80" t="s">
        <v>84</v>
      </c>
    </row>
    <row r="277" spans="1:18" ht="20" x14ac:dyDescent="0.2">
      <c r="A277" s="80" t="s">
        <v>9794</v>
      </c>
      <c r="B277" s="80" t="s">
        <v>9795</v>
      </c>
      <c r="C277" s="80" t="s">
        <v>9680</v>
      </c>
      <c r="D277" s="80" t="s">
        <v>84</v>
      </c>
      <c r="E277" s="80" t="s">
        <v>84</v>
      </c>
      <c r="F277" s="80"/>
      <c r="G277" s="80" t="s">
        <v>84</v>
      </c>
      <c r="H277" s="80" t="s">
        <v>84</v>
      </c>
      <c r="I277" s="80" t="s">
        <v>84</v>
      </c>
      <c r="J277" s="80" t="s">
        <v>84</v>
      </c>
      <c r="K277" s="80" t="s">
        <v>84</v>
      </c>
      <c r="L277" s="80" t="s">
        <v>84</v>
      </c>
      <c r="M277" s="80" t="s">
        <v>84</v>
      </c>
      <c r="N277" s="80" t="s">
        <v>84</v>
      </c>
      <c r="O277" s="80" t="s">
        <v>84</v>
      </c>
      <c r="P277" s="80"/>
      <c r="Q277" s="80" t="s">
        <v>84</v>
      </c>
      <c r="R277" s="80" t="s">
        <v>84</v>
      </c>
    </row>
    <row r="278" spans="1:18" ht="20" x14ac:dyDescent="0.2">
      <c r="A278" s="80" t="s">
        <v>2728</v>
      </c>
      <c r="B278" s="80" t="s">
        <v>2729</v>
      </c>
      <c r="C278" s="80" t="s">
        <v>9680</v>
      </c>
      <c r="D278" s="80" t="s">
        <v>84</v>
      </c>
      <c r="E278" s="80" t="s">
        <v>84</v>
      </c>
      <c r="F278" s="80"/>
      <c r="G278" s="80" t="s">
        <v>84</v>
      </c>
      <c r="H278" s="80" t="s">
        <v>84</v>
      </c>
      <c r="I278" s="80" t="s">
        <v>84</v>
      </c>
      <c r="J278" s="80" t="s">
        <v>84</v>
      </c>
      <c r="K278" s="80" t="s">
        <v>84</v>
      </c>
      <c r="L278" s="80" t="s">
        <v>84</v>
      </c>
      <c r="M278" s="80" t="s">
        <v>84</v>
      </c>
      <c r="N278" s="80" t="s">
        <v>84</v>
      </c>
      <c r="O278" s="80" t="s">
        <v>84</v>
      </c>
      <c r="P278" s="80"/>
      <c r="Q278" s="80" t="s">
        <v>84</v>
      </c>
      <c r="R278" s="80" t="s">
        <v>84</v>
      </c>
    </row>
    <row r="279" spans="1:18" ht="20" x14ac:dyDescent="0.2">
      <c r="A279" s="80" t="s">
        <v>2930</v>
      </c>
      <c r="B279" s="80" t="s">
        <v>2931</v>
      </c>
      <c r="C279" s="80" t="s">
        <v>9680</v>
      </c>
      <c r="D279" s="80" t="s">
        <v>84</v>
      </c>
      <c r="E279" s="80" t="s">
        <v>84</v>
      </c>
      <c r="F279" s="80"/>
      <c r="G279" s="80" t="s">
        <v>84</v>
      </c>
      <c r="H279" s="80" t="s">
        <v>84</v>
      </c>
      <c r="I279" s="80" t="s">
        <v>84</v>
      </c>
      <c r="J279" s="80" t="s">
        <v>84</v>
      </c>
      <c r="K279" s="80" t="s">
        <v>84</v>
      </c>
      <c r="L279" s="80" t="s">
        <v>84</v>
      </c>
      <c r="M279" s="80" t="s">
        <v>84</v>
      </c>
      <c r="N279" s="80" t="s">
        <v>84</v>
      </c>
      <c r="O279" s="80" t="s">
        <v>84</v>
      </c>
      <c r="P279" s="80"/>
      <c r="Q279" s="80" t="s">
        <v>84</v>
      </c>
      <c r="R279" s="80" t="s">
        <v>84</v>
      </c>
    </row>
    <row r="280" spans="1:18" ht="20" x14ac:dyDescent="0.2">
      <c r="A280" s="80" t="s">
        <v>9796</v>
      </c>
      <c r="B280" s="80" t="s">
        <v>9797</v>
      </c>
      <c r="C280" s="80" t="s">
        <v>9680</v>
      </c>
      <c r="D280" s="80" t="s">
        <v>84</v>
      </c>
      <c r="E280" s="80" t="s">
        <v>84</v>
      </c>
      <c r="F280" s="80"/>
      <c r="G280" s="80" t="s">
        <v>84</v>
      </c>
      <c r="H280" s="80" t="s">
        <v>84</v>
      </c>
      <c r="I280" s="80" t="s">
        <v>84</v>
      </c>
      <c r="J280" s="80" t="s">
        <v>84</v>
      </c>
      <c r="K280" s="80" t="s">
        <v>84</v>
      </c>
      <c r="L280" s="80" t="s">
        <v>84</v>
      </c>
      <c r="M280" s="80" t="s">
        <v>84</v>
      </c>
      <c r="N280" s="80" t="s">
        <v>84</v>
      </c>
      <c r="O280" s="80" t="s">
        <v>84</v>
      </c>
      <c r="P280" s="80"/>
      <c r="Q280" s="80" t="s">
        <v>84</v>
      </c>
      <c r="R280" s="80" t="s">
        <v>84</v>
      </c>
    </row>
    <row r="281" spans="1:18" ht="20" x14ac:dyDescent="0.2">
      <c r="A281" s="80" t="s">
        <v>9796</v>
      </c>
      <c r="B281" s="80" t="s">
        <v>9798</v>
      </c>
      <c r="C281" s="80" t="s">
        <v>9680</v>
      </c>
      <c r="D281" s="80" t="s">
        <v>84</v>
      </c>
      <c r="E281" s="80" t="s">
        <v>84</v>
      </c>
      <c r="F281" s="80"/>
      <c r="G281" s="80" t="s">
        <v>84</v>
      </c>
      <c r="H281" s="80" t="s">
        <v>84</v>
      </c>
      <c r="I281" s="80" t="s">
        <v>84</v>
      </c>
      <c r="J281" s="80" t="s">
        <v>84</v>
      </c>
      <c r="K281" s="80" t="s">
        <v>84</v>
      </c>
      <c r="L281" s="80" t="s">
        <v>84</v>
      </c>
      <c r="M281" s="80" t="s">
        <v>84</v>
      </c>
      <c r="N281" s="80" t="s">
        <v>84</v>
      </c>
      <c r="O281" s="80" t="s">
        <v>84</v>
      </c>
      <c r="P281" s="80"/>
      <c r="Q281" s="80" t="s">
        <v>84</v>
      </c>
      <c r="R281" s="80" t="s">
        <v>84</v>
      </c>
    </row>
    <row r="282" spans="1:18" ht="20" x14ac:dyDescent="0.2">
      <c r="A282" s="80" t="s">
        <v>9799</v>
      </c>
      <c r="B282" s="80" t="s">
        <v>9800</v>
      </c>
      <c r="C282" s="80" t="s">
        <v>9680</v>
      </c>
      <c r="D282" s="80" t="s">
        <v>84</v>
      </c>
      <c r="E282" s="80" t="s">
        <v>84</v>
      </c>
      <c r="F282" s="80"/>
      <c r="G282" s="80" t="s">
        <v>84</v>
      </c>
      <c r="H282" s="80" t="s">
        <v>84</v>
      </c>
      <c r="I282" s="80" t="s">
        <v>84</v>
      </c>
      <c r="J282" s="80" t="s">
        <v>9680</v>
      </c>
      <c r="K282" s="80" t="s">
        <v>84</v>
      </c>
      <c r="L282" s="80" t="s">
        <v>84</v>
      </c>
      <c r="M282" s="80" t="s">
        <v>9680</v>
      </c>
      <c r="N282" s="80" t="s">
        <v>84</v>
      </c>
      <c r="O282" s="80" t="s">
        <v>9680</v>
      </c>
      <c r="P282" s="80"/>
      <c r="Q282" s="80" t="s">
        <v>9680</v>
      </c>
      <c r="R282" s="80" t="s">
        <v>9680</v>
      </c>
    </row>
    <row r="283" spans="1:18" ht="20" x14ac:dyDescent="0.2">
      <c r="A283" s="80" t="s">
        <v>9801</v>
      </c>
      <c r="B283" s="80" t="s">
        <v>2966</v>
      </c>
      <c r="C283" s="80" t="s">
        <v>9680</v>
      </c>
      <c r="D283" s="80" t="s">
        <v>9680</v>
      </c>
      <c r="E283" s="80" t="s">
        <v>9680</v>
      </c>
      <c r="F283" s="80"/>
      <c r="G283" s="80" t="s">
        <v>9680</v>
      </c>
      <c r="H283" s="80" t="s">
        <v>9680</v>
      </c>
      <c r="I283" s="80" t="s">
        <v>9680</v>
      </c>
      <c r="J283" s="80" t="s">
        <v>9680</v>
      </c>
      <c r="K283" s="80" t="s">
        <v>9680</v>
      </c>
      <c r="L283" s="80" t="s">
        <v>9680</v>
      </c>
      <c r="M283" s="80" t="s">
        <v>9680</v>
      </c>
      <c r="N283" s="80" t="s">
        <v>9680</v>
      </c>
      <c r="O283" s="80" t="s">
        <v>9680</v>
      </c>
      <c r="P283" s="80"/>
      <c r="Q283" s="80" t="s">
        <v>9680</v>
      </c>
      <c r="R283" s="80" t="s">
        <v>9680</v>
      </c>
    </row>
    <row r="284" spans="1:18" ht="20" x14ac:dyDescent="0.2">
      <c r="A284" s="80" t="s">
        <v>2965</v>
      </c>
      <c r="B284" s="80" t="s">
        <v>2966</v>
      </c>
      <c r="C284" s="80" t="s">
        <v>9680</v>
      </c>
      <c r="D284" s="80" t="s">
        <v>9680</v>
      </c>
      <c r="E284" s="80" t="s">
        <v>9680</v>
      </c>
      <c r="F284" s="80"/>
      <c r="G284" s="80" t="s">
        <v>9680</v>
      </c>
      <c r="H284" s="80" t="s">
        <v>9680</v>
      </c>
      <c r="I284" s="80" t="s">
        <v>9680</v>
      </c>
      <c r="J284" s="80" t="s">
        <v>9680</v>
      </c>
      <c r="K284" s="80" t="s">
        <v>9680</v>
      </c>
      <c r="L284" s="80" t="s">
        <v>9680</v>
      </c>
      <c r="M284" s="80" t="s">
        <v>9680</v>
      </c>
      <c r="N284" s="80" t="s">
        <v>9680</v>
      </c>
      <c r="O284" s="80" t="s">
        <v>9680</v>
      </c>
      <c r="P284" s="80"/>
      <c r="Q284" s="80" t="s">
        <v>9680</v>
      </c>
      <c r="R284" s="80" t="s">
        <v>9680</v>
      </c>
    </row>
    <row r="285" spans="1:18" ht="20" x14ac:dyDescent="0.2">
      <c r="A285" s="80" t="s">
        <v>2969</v>
      </c>
      <c r="B285" s="80" t="s">
        <v>9802</v>
      </c>
      <c r="C285" s="80" t="s">
        <v>9680</v>
      </c>
      <c r="D285" s="80" t="s">
        <v>9680</v>
      </c>
      <c r="E285" s="80" t="s">
        <v>9680</v>
      </c>
      <c r="F285" s="80"/>
      <c r="G285" s="80" t="s">
        <v>9680</v>
      </c>
      <c r="H285" s="80" t="s">
        <v>9680</v>
      </c>
      <c r="I285" s="80" t="s">
        <v>9680</v>
      </c>
      <c r="J285" s="80" t="s">
        <v>9680</v>
      </c>
      <c r="K285" s="80" t="s">
        <v>9680</v>
      </c>
      <c r="L285" s="80" t="s">
        <v>9680</v>
      </c>
      <c r="M285" s="80" t="s">
        <v>9680</v>
      </c>
      <c r="N285" s="80" t="s">
        <v>9680</v>
      </c>
      <c r="O285" s="80" t="s">
        <v>9680</v>
      </c>
      <c r="P285" s="80"/>
      <c r="Q285" s="80" t="s">
        <v>9680</v>
      </c>
      <c r="R285" s="80" t="s">
        <v>9680</v>
      </c>
    </row>
    <row r="286" spans="1:18" ht="20" x14ac:dyDescent="0.2">
      <c r="A286" s="80" t="s">
        <v>2969</v>
      </c>
      <c r="B286" s="80" t="s">
        <v>2970</v>
      </c>
      <c r="C286" s="80" t="s">
        <v>9680</v>
      </c>
      <c r="D286" s="80" t="s">
        <v>9680</v>
      </c>
      <c r="E286" s="80" t="s">
        <v>9680</v>
      </c>
      <c r="F286" s="80"/>
      <c r="G286" s="80" t="s">
        <v>9680</v>
      </c>
      <c r="H286" s="80" t="s">
        <v>9680</v>
      </c>
      <c r="I286" s="80" t="s">
        <v>9680</v>
      </c>
      <c r="J286" s="80" t="s">
        <v>9680</v>
      </c>
      <c r="K286" s="80" t="s">
        <v>9680</v>
      </c>
      <c r="L286" s="80" t="s">
        <v>9680</v>
      </c>
      <c r="M286" s="80" t="s">
        <v>9680</v>
      </c>
      <c r="N286" s="80" t="s">
        <v>9680</v>
      </c>
      <c r="O286" s="80" t="s">
        <v>9680</v>
      </c>
      <c r="P286" s="80"/>
      <c r="Q286" s="80" t="s">
        <v>9680</v>
      </c>
      <c r="R286" s="80" t="s">
        <v>9680</v>
      </c>
    </row>
    <row r="287" spans="1:18" ht="20" x14ac:dyDescent="0.2">
      <c r="A287" s="80" t="s">
        <v>2732</v>
      </c>
      <c r="B287" s="80" t="s">
        <v>9803</v>
      </c>
      <c r="C287" s="80" t="s">
        <v>9680</v>
      </c>
      <c r="D287" s="80" t="s">
        <v>9680</v>
      </c>
      <c r="E287" s="80" t="s">
        <v>9680</v>
      </c>
      <c r="F287" s="80"/>
      <c r="G287" s="80" t="s">
        <v>9680</v>
      </c>
      <c r="H287" s="80" t="s">
        <v>9680</v>
      </c>
      <c r="I287" s="80" t="s">
        <v>9680</v>
      </c>
      <c r="J287" s="80" t="s">
        <v>9680</v>
      </c>
      <c r="K287" s="80" t="s">
        <v>9680</v>
      </c>
      <c r="L287" s="80" t="s">
        <v>9680</v>
      </c>
      <c r="M287" s="80" t="s">
        <v>9680</v>
      </c>
      <c r="N287" s="80" t="s">
        <v>9680</v>
      </c>
      <c r="O287" s="80" t="s">
        <v>9680</v>
      </c>
      <c r="P287" s="80"/>
      <c r="Q287" s="80" t="s">
        <v>9680</v>
      </c>
      <c r="R287" s="80" t="s">
        <v>9680</v>
      </c>
    </row>
    <row r="288" spans="1:18" ht="20" x14ac:dyDescent="0.2">
      <c r="A288" s="80" t="s">
        <v>2732</v>
      </c>
      <c r="B288" s="80" t="s">
        <v>2733</v>
      </c>
      <c r="C288" s="80" t="s">
        <v>9680</v>
      </c>
      <c r="D288" s="80" t="s">
        <v>9680</v>
      </c>
      <c r="E288" s="80" t="s">
        <v>9680</v>
      </c>
      <c r="F288" s="80"/>
      <c r="G288" s="80" t="s">
        <v>9680</v>
      </c>
      <c r="H288" s="80" t="s">
        <v>9680</v>
      </c>
      <c r="I288" s="80" t="s">
        <v>9680</v>
      </c>
      <c r="J288" s="80" t="s">
        <v>9680</v>
      </c>
      <c r="K288" s="80" t="s">
        <v>9680</v>
      </c>
      <c r="L288" s="80" t="s">
        <v>9680</v>
      </c>
      <c r="M288" s="80" t="s">
        <v>9680</v>
      </c>
      <c r="N288" s="80" t="s">
        <v>9680</v>
      </c>
      <c r="O288" s="80" t="s">
        <v>9680</v>
      </c>
      <c r="P288" s="80"/>
      <c r="Q288" s="80" t="s">
        <v>9680</v>
      </c>
      <c r="R288" s="80" t="s">
        <v>9680</v>
      </c>
    </row>
    <row r="289" spans="1:18" ht="20" x14ac:dyDescent="0.2">
      <c r="A289" s="80" t="s">
        <v>2736</v>
      </c>
      <c r="B289" s="80" t="s">
        <v>9804</v>
      </c>
      <c r="C289" s="80" t="s">
        <v>9680</v>
      </c>
      <c r="D289" s="80" t="s">
        <v>9680</v>
      </c>
      <c r="E289" s="80" t="s">
        <v>9680</v>
      </c>
      <c r="F289" s="80"/>
      <c r="G289" s="80" t="s">
        <v>9680</v>
      </c>
      <c r="H289" s="80" t="s">
        <v>9680</v>
      </c>
      <c r="I289" s="80" t="s">
        <v>84</v>
      </c>
      <c r="J289" s="80" t="s">
        <v>9680</v>
      </c>
      <c r="K289" s="80" t="s">
        <v>84</v>
      </c>
      <c r="L289" s="80" t="s">
        <v>84</v>
      </c>
      <c r="M289" s="80" t="s">
        <v>9680</v>
      </c>
      <c r="N289" s="80" t="s">
        <v>9680</v>
      </c>
      <c r="O289" s="80" t="s">
        <v>9680</v>
      </c>
      <c r="P289" s="80"/>
      <c r="Q289" s="80" t="s">
        <v>9680</v>
      </c>
      <c r="R289" s="80" t="s">
        <v>9680</v>
      </c>
    </row>
    <row r="290" spans="1:18" ht="20" x14ac:dyDescent="0.2">
      <c r="A290" s="80" t="s">
        <v>2736</v>
      </c>
      <c r="B290" s="80" t="s">
        <v>2737</v>
      </c>
      <c r="C290" s="80" t="s">
        <v>9680</v>
      </c>
      <c r="D290" s="80" t="s">
        <v>9680</v>
      </c>
      <c r="E290" s="80" t="s">
        <v>9680</v>
      </c>
      <c r="F290" s="80"/>
      <c r="G290" s="80" t="s">
        <v>9680</v>
      </c>
      <c r="H290" s="80" t="s">
        <v>9680</v>
      </c>
      <c r="I290" s="80" t="s">
        <v>84</v>
      </c>
      <c r="J290" s="80" t="s">
        <v>9680</v>
      </c>
      <c r="K290" s="80" t="s">
        <v>84</v>
      </c>
      <c r="L290" s="80" t="s">
        <v>84</v>
      </c>
      <c r="M290" s="80" t="s">
        <v>9680</v>
      </c>
      <c r="N290" s="80" t="s">
        <v>9680</v>
      </c>
      <c r="O290" s="80" t="s">
        <v>9680</v>
      </c>
      <c r="P290" s="80"/>
      <c r="Q290" s="80" t="s">
        <v>9680</v>
      </c>
      <c r="R290" s="80" t="s">
        <v>9680</v>
      </c>
    </row>
    <row r="291" spans="1:18" ht="20" x14ac:dyDescent="0.2">
      <c r="A291" s="80" t="s">
        <v>2934</v>
      </c>
      <c r="B291" s="80" t="s">
        <v>9805</v>
      </c>
      <c r="C291" s="80" t="s">
        <v>84</v>
      </c>
      <c r="D291" s="80" t="s">
        <v>84</v>
      </c>
      <c r="E291" s="80" t="s">
        <v>84</v>
      </c>
      <c r="F291" s="80"/>
      <c r="G291" s="80" t="s">
        <v>84</v>
      </c>
      <c r="H291" s="80" t="s">
        <v>84</v>
      </c>
      <c r="I291" s="80" t="s">
        <v>84</v>
      </c>
      <c r="J291" s="80" t="s">
        <v>84</v>
      </c>
      <c r="K291" s="80" t="s">
        <v>84</v>
      </c>
      <c r="L291" s="80" t="s">
        <v>84</v>
      </c>
      <c r="M291" s="80" t="s">
        <v>84</v>
      </c>
      <c r="N291" s="80" t="s">
        <v>84</v>
      </c>
      <c r="O291" s="80" t="s">
        <v>84</v>
      </c>
      <c r="P291" s="80"/>
      <c r="Q291" s="80" t="s">
        <v>84</v>
      </c>
      <c r="R291" s="80" t="s">
        <v>84</v>
      </c>
    </row>
    <row r="292" spans="1:18" x14ac:dyDescent="0.2">
      <c r="A292" s="80" t="s">
        <v>2934</v>
      </c>
      <c r="B292" s="80" t="s">
        <v>2935</v>
      </c>
      <c r="C292" s="80" t="s">
        <v>84</v>
      </c>
      <c r="D292" s="80" t="s">
        <v>84</v>
      </c>
      <c r="E292" s="80" t="s">
        <v>84</v>
      </c>
      <c r="F292" s="80"/>
      <c r="G292" s="80" t="s">
        <v>84</v>
      </c>
      <c r="H292" s="80" t="s">
        <v>84</v>
      </c>
      <c r="I292" s="80" t="s">
        <v>84</v>
      </c>
      <c r="J292" s="80" t="s">
        <v>84</v>
      </c>
      <c r="K292" s="80" t="s">
        <v>84</v>
      </c>
      <c r="L292" s="80" t="s">
        <v>84</v>
      </c>
      <c r="M292" s="80" t="s">
        <v>84</v>
      </c>
      <c r="N292" s="80" t="s">
        <v>84</v>
      </c>
      <c r="O292" s="80" t="s">
        <v>84</v>
      </c>
      <c r="P292" s="80"/>
      <c r="Q292" s="80" t="s">
        <v>84</v>
      </c>
      <c r="R292" s="80" t="s">
        <v>84</v>
      </c>
    </row>
    <row r="293" spans="1:18" ht="20" x14ac:dyDescent="0.2">
      <c r="A293" s="80" t="s">
        <v>2971</v>
      </c>
      <c r="B293" s="80" t="s">
        <v>2972</v>
      </c>
      <c r="C293" s="80" t="s">
        <v>9680</v>
      </c>
      <c r="D293" s="80" t="s">
        <v>9680</v>
      </c>
      <c r="E293" s="80" t="s">
        <v>9680</v>
      </c>
      <c r="F293" s="80"/>
      <c r="G293" s="80" t="s">
        <v>9680</v>
      </c>
      <c r="H293" s="80" t="s">
        <v>9680</v>
      </c>
      <c r="I293" s="80" t="s">
        <v>9680</v>
      </c>
      <c r="J293" s="80" t="s">
        <v>9680</v>
      </c>
      <c r="K293" s="80" t="s">
        <v>9680</v>
      </c>
      <c r="L293" s="80" t="s">
        <v>9680</v>
      </c>
      <c r="M293" s="80" t="s">
        <v>9680</v>
      </c>
      <c r="N293" s="80" t="s">
        <v>9680</v>
      </c>
      <c r="O293" s="80" t="s">
        <v>9680</v>
      </c>
      <c r="P293" s="80"/>
      <c r="Q293" s="80" t="s">
        <v>9680</v>
      </c>
      <c r="R293" s="80" t="s">
        <v>9680</v>
      </c>
    </row>
    <row r="294" spans="1:18" ht="20" x14ac:dyDescent="0.2">
      <c r="A294" s="80" t="s">
        <v>2975</v>
      </c>
      <c r="B294" s="80" t="s">
        <v>2976</v>
      </c>
      <c r="C294" s="80" t="s">
        <v>9680</v>
      </c>
      <c r="D294" s="80" t="s">
        <v>9680</v>
      </c>
      <c r="E294" s="80" t="s">
        <v>9680</v>
      </c>
      <c r="F294" s="80"/>
      <c r="G294" s="80" t="s">
        <v>84</v>
      </c>
      <c r="H294" s="80" t="s">
        <v>84</v>
      </c>
      <c r="I294" s="80" t="s">
        <v>9680</v>
      </c>
      <c r="J294" s="80" t="s">
        <v>9680</v>
      </c>
      <c r="K294" s="80" t="s">
        <v>9680</v>
      </c>
      <c r="L294" s="80" t="s">
        <v>9680</v>
      </c>
      <c r="M294" s="80" t="s">
        <v>84</v>
      </c>
      <c r="N294" s="80" t="s">
        <v>84</v>
      </c>
      <c r="O294" s="80" t="s">
        <v>9680</v>
      </c>
      <c r="P294" s="80"/>
      <c r="Q294" s="80" t="s">
        <v>9680</v>
      </c>
      <c r="R294" s="80" t="s">
        <v>84</v>
      </c>
    </row>
    <row r="295" spans="1:18" ht="20" x14ac:dyDescent="0.2">
      <c r="A295" s="80" t="s">
        <v>2738</v>
      </c>
      <c r="B295" s="80" t="s">
        <v>2739</v>
      </c>
      <c r="C295" s="80" t="s">
        <v>9680</v>
      </c>
      <c r="D295" s="80" t="s">
        <v>9680</v>
      </c>
      <c r="E295" s="80" t="s">
        <v>9680</v>
      </c>
      <c r="F295" s="80"/>
      <c r="G295" s="80" t="s">
        <v>9680</v>
      </c>
      <c r="H295" s="80" t="s">
        <v>9680</v>
      </c>
      <c r="I295" s="80" t="s">
        <v>9680</v>
      </c>
      <c r="J295" s="80" t="s">
        <v>9680</v>
      </c>
      <c r="K295" s="80" t="s">
        <v>9680</v>
      </c>
      <c r="L295" s="80" t="s">
        <v>9680</v>
      </c>
      <c r="M295" s="80" t="s">
        <v>9680</v>
      </c>
      <c r="N295" s="80" t="s">
        <v>9680</v>
      </c>
      <c r="O295" s="80" t="s">
        <v>9680</v>
      </c>
      <c r="P295" s="80"/>
      <c r="Q295" s="80" t="s">
        <v>9680</v>
      </c>
      <c r="R295" s="80" t="s">
        <v>9680</v>
      </c>
    </row>
    <row r="296" spans="1:18" x14ac:dyDescent="0.2">
      <c r="A296" s="80" t="s">
        <v>2977</v>
      </c>
      <c r="B296" s="80" t="s">
        <v>2978</v>
      </c>
      <c r="C296" s="80" t="s">
        <v>84</v>
      </c>
      <c r="D296" s="80" t="s">
        <v>84</v>
      </c>
      <c r="E296" s="80" t="s">
        <v>84</v>
      </c>
      <c r="F296" s="80"/>
      <c r="G296" s="80" t="s">
        <v>84</v>
      </c>
      <c r="H296" s="80" t="s">
        <v>84</v>
      </c>
      <c r="I296" s="80" t="s">
        <v>84</v>
      </c>
      <c r="J296" s="80" t="s">
        <v>84</v>
      </c>
      <c r="K296" s="80" t="s">
        <v>84</v>
      </c>
      <c r="L296" s="80" t="s">
        <v>84</v>
      </c>
      <c r="M296" s="80" t="s">
        <v>84</v>
      </c>
      <c r="N296" s="80" t="s">
        <v>84</v>
      </c>
      <c r="O296" s="80" t="s">
        <v>84</v>
      </c>
      <c r="P296" s="80"/>
      <c r="Q296" s="80" t="s">
        <v>84</v>
      </c>
      <c r="R296" s="80" t="s">
        <v>84</v>
      </c>
    </row>
    <row r="297" spans="1:18" ht="20" x14ac:dyDescent="0.2">
      <c r="A297" s="80" t="s">
        <v>2740</v>
      </c>
      <c r="B297" s="80" t="s">
        <v>9806</v>
      </c>
      <c r="C297" s="80" t="s">
        <v>9680</v>
      </c>
      <c r="D297" s="80" t="s">
        <v>9680</v>
      </c>
      <c r="E297" s="80" t="s">
        <v>9680</v>
      </c>
      <c r="F297" s="80"/>
      <c r="G297" s="80" t="s">
        <v>9680</v>
      </c>
      <c r="H297" s="80" t="s">
        <v>9680</v>
      </c>
      <c r="I297" s="80" t="s">
        <v>9680</v>
      </c>
      <c r="J297" s="80" t="s">
        <v>9680</v>
      </c>
      <c r="K297" s="80" t="s">
        <v>9680</v>
      </c>
      <c r="L297" s="80" t="s">
        <v>9680</v>
      </c>
      <c r="M297" s="80" t="s">
        <v>9680</v>
      </c>
      <c r="N297" s="80" t="s">
        <v>9680</v>
      </c>
      <c r="O297" s="80" t="s">
        <v>9680</v>
      </c>
      <c r="P297" s="80"/>
      <c r="Q297" s="80" t="s">
        <v>9680</v>
      </c>
      <c r="R297" s="80" t="s">
        <v>9680</v>
      </c>
    </row>
    <row r="298" spans="1:18" ht="20" x14ac:dyDescent="0.2">
      <c r="A298" s="80" t="s">
        <v>2740</v>
      </c>
      <c r="B298" s="80" t="s">
        <v>2741</v>
      </c>
      <c r="C298" s="80" t="s">
        <v>9680</v>
      </c>
      <c r="D298" s="80" t="s">
        <v>9680</v>
      </c>
      <c r="E298" s="80" t="s">
        <v>9680</v>
      </c>
      <c r="F298" s="80"/>
      <c r="G298" s="80" t="s">
        <v>9680</v>
      </c>
      <c r="H298" s="80" t="s">
        <v>9680</v>
      </c>
      <c r="I298" s="80" t="s">
        <v>9680</v>
      </c>
      <c r="J298" s="80" t="s">
        <v>9680</v>
      </c>
      <c r="K298" s="80" t="s">
        <v>9680</v>
      </c>
      <c r="L298" s="80" t="s">
        <v>9680</v>
      </c>
      <c r="M298" s="80" t="s">
        <v>9680</v>
      </c>
      <c r="N298" s="80" t="s">
        <v>9680</v>
      </c>
      <c r="O298" s="80" t="s">
        <v>9680</v>
      </c>
      <c r="P298" s="80"/>
      <c r="Q298" s="80" t="s">
        <v>9680</v>
      </c>
      <c r="R298" s="80" t="s">
        <v>9680</v>
      </c>
    </row>
    <row r="299" spans="1:18" ht="20" x14ac:dyDescent="0.2">
      <c r="A299" s="80" t="s">
        <v>2938</v>
      </c>
      <c r="B299" s="80" t="s">
        <v>9807</v>
      </c>
      <c r="C299" s="80" t="s">
        <v>84</v>
      </c>
      <c r="D299" s="80" t="s">
        <v>84</v>
      </c>
      <c r="E299" s="80" t="s">
        <v>84</v>
      </c>
      <c r="F299" s="80"/>
      <c r="G299" s="80" t="s">
        <v>84</v>
      </c>
      <c r="H299" s="80" t="s">
        <v>84</v>
      </c>
      <c r="I299" s="80" t="s">
        <v>84</v>
      </c>
      <c r="J299" s="80" t="s">
        <v>84</v>
      </c>
      <c r="K299" s="80" t="s">
        <v>84</v>
      </c>
      <c r="L299" s="80" t="s">
        <v>84</v>
      </c>
      <c r="M299" s="80" t="s">
        <v>84</v>
      </c>
      <c r="N299" s="80" t="s">
        <v>84</v>
      </c>
      <c r="O299" s="80" t="s">
        <v>84</v>
      </c>
      <c r="P299" s="80"/>
      <c r="Q299" s="80" t="s">
        <v>84</v>
      </c>
      <c r="R299" s="80" t="s">
        <v>84</v>
      </c>
    </row>
    <row r="300" spans="1:18" x14ac:dyDescent="0.2">
      <c r="A300" s="80" t="s">
        <v>2938</v>
      </c>
      <c r="B300" s="80" t="s">
        <v>2939</v>
      </c>
      <c r="C300" s="80" t="s">
        <v>84</v>
      </c>
      <c r="D300" s="80" t="s">
        <v>84</v>
      </c>
      <c r="E300" s="80" t="s">
        <v>84</v>
      </c>
      <c r="F300" s="80"/>
      <c r="G300" s="80" t="s">
        <v>84</v>
      </c>
      <c r="H300" s="80" t="s">
        <v>84</v>
      </c>
      <c r="I300" s="80" t="s">
        <v>84</v>
      </c>
      <c r="J300" s="80" t="s">
        <v>84</v>
      </c>
      <c r="K300" s="80" t="s">
        <v>84</v>
      </c>
      <c r="L300" s="80" t="s">
        <v>84</v>
      </c>
      <c r="M300" s="80" t="s">
        <v>84</v>
      </c>
      <c r="N300" s="80" t="s">
        <v>84</v>
      </c>
      <c r="O300" s="80" t="s">
        <v>84</v>
      </c>
      <c r="P300" s="80"/>
      <c r="Q300" s="80" t="s">
        <v>84</v>
      </c>
      <c r="R300" s="80" t="s">
        <v>84</v>
      </c>
    </row>
    <row r="301" spans="1:18" ht="20" x14ac:dyDescent="0.2">
      <c r="A301" s="80" t="s">
        <v>2942</v>
      </c>
      <c r="B301" s="80" t="s">
        <v>9808</v>
      </c>
      <c r="C301" s="80" t="s">
        <v>84</v>
      </c>
      <c r="D301" s="80" t="s">
        <v>84</v>
      </c>
      <c r="E301" s="80" t="s">
        <v>84</v>
      </c>
      <c r="F301" s="80"/>
      <c r="G301" s="80" t="s">
        <v>84</v>
      </c>
      <c r="H301" s="80" t="s">
        <v>84</v>
      </c>
      <c r="I301" s="80" t="s">
        <v>84</v>
      </c>
      <c r="J301" s="80" t="s">
        <v>84</v>
      </c>
      <c r="K301" s="80" t="s">
        <v>84</v>
      </c>
      <c r="L301" s="80" t="s">
        <v>84</v>
      </c>
      <c r="M301" s="80" t="s">
        <v>84</v>
      </c>
      <c r="N301" s="80" t="s">
        <v>84</v>
      </c>
      <c r="O301" s="80" t="s">
        <v>84</v>
      </c>
      <c r="P301" s="80"/>
      <c r="Q301" s="80" t="s">
        <v>84</v>
      </c>
      <c r="R301" s="80" t="s">
        <v>84</v>
      </c>
    </row>
    <row r="302" spans="1:18" x14ac:dyDescent="0.2">
      <c r="A302" s="80" t="s">
        <v>2942</v>
      </c>
      <c r="B302" s="80" t="s">
        <v>2943</v>
      </c>
      <c r="C302" s="80" t="s">
        <v>84</v>
      </c>
      <c r="D302" s="80" t="s">
        <v>84</v>
      </c>
      <c r="E302" s="80" t="s">
        <v>84</v>
      </c>
      <c r="F302" s="80"/>
      <c r="G302" s="80" t="s">
        <v>84</v>
      </c>
      <c r="H302" s="80" t="s">
        <v>84</v>
      </c>
      <c r="I302" s="80" t="s">
        <v>84</v>
      </c>
      <c r="J302" s="80" t="s">
        <v>84</v>
      </c>
      <c r="K302" s="80" t="s">
        <v>84</v>
      </c>
      <c r="L302" s="80" t="s">
        <v>84</v>
      </c>
      <c r="M302" s="80" t="s">
        <v>84</v>
      </c>
      <c r="N302" s="80" t="s">
        <v>84</v>
      </c>
      <c r="O302" s="80" t="s">
        <v>84</v>
      </c>
      <c r="P302" s="80"/>
      <c r="Q302" s="80" t="s">
        <v>84</v>
      </c>
      <c r="R302" s="80" t="s">
        <v>84</v>
      </c>
    </row>
    <row r="303" spans="1:18" ht="20" x14ac:dyDescent="0.2">
      <c r="A303" s="80" t="s">
        <v>2944</v>
      </c>
      <c r="B303" s="80" t="s">
        <v>9809</v>
      </c>
      <c r="C303" s="80" t="s">
        <v>84</v>
      </c>
      <c r="D303" s="80" t="s">
        <v>84</v>
      </c>
      <c r="E303" s="80" t="s">
        <v>84</v>
      </c>
      <c r="F303" s="80"/>
      <c r="G303" s="80" t="s">
        <v>84</v>
      </c>
      <c r="H303" s="80" t="s">
        <v>84</v>
      </c>
      <c r="I303" s="80" t="s">
        <v>84</v>
      </c>
      <c r="J303" s="80" t="s">
        <v>84</v>
      </c>
      <c r="K303" s="80" t="s">
        <v>84</v>
      </c>
      <c r="L303" s="80" t="s">
        <v>84</v>
      </c>
      <c r="M303" s="80" t="s">
        <v>84</v>
      </c>
      <c r="N303" s="80" t="s">
        <v>84</v>
      </c>
      <c r="O303" s="80" t="s">
        <v>84</v>
      </c>
      <c r="P303" s="80"/>
      <c r="Q303" s="80" t="s">
        <v>84</v>
      </c>
      <c r="R303" s="80" t="s">
        <v>84</v>
      </c>
    </row>
    <row r="304" spans="1:18" x14ac:dyDescent="0.2">
      <c r="A304" s="80" t="s">
        <v>2944</v>
      </c>
      <c r="B304" s="80" t="s">
        <v>2945</v>
      </c>
      <c r="C304" s="80" t="s">
        <v>84</v>
      </c>
      <c r="D304" s="80" t="s">
        <v>84</v>
      </c>
      <c r="E304" s="80" t="s">
        <v>84</v>
      </c>
      <c r="F304" s="80"/>
      <c r="G304" s="80" t="s">
        <v>84</v>
      </c>
      <c r="H304" s="80" t="s">
        <v>84</v>
      </c>
      <c r="I304" s="80" t="s">
        <v>84</v>
      </c>
      <c r="J304" s="80" t="s">
        <v>84</v>
      </c>
      <c r="K304" s="80" t="s">
        <v>84</v>
      </c>
      <c r="L304" s="80" t="s">
        <v>84</v>
      </c>
      <c r="M304" s="80" t="s">
        <v>84</v>
      </c>
      <c r="N304" s="80" t="s">
        <v>84</v>
      </c>
      <c r="O304" s="80" t="s">
        <v>84</v>
      </c>
      <c r="P304" s="80"/>
      <c r="Q304" s="80" t="s">
        <v>84</v>
      </c>
      <c r="R304" s="80" t="s">
        <v>84</v>
      </c>
    </row>
    <row r="305" spans="1:18" ht="20" x14ac:dyDescent="0.2">
      <c r="A305" s="80" t="s">
        <v>2742</v>
      </c>
      <c r="B305" s="80" t="s">
        <v>9810</v>
      </c>
      <c r="C305" s="80" t="s">
        <v>9680</v>
      </c>
      <c r="D305" s="80" t="s">
        <v>9680</v>
      </c>
      <c r="E305" s="80" t="s">
        <v>9680</v>
      </c>
      <c r="F305" s="80"/>
      <c r="G305" s="80" t="s">
        <v>84</v>
      </c>
      <c r="H305" s="80" t="s">
        <v>9680</v>
      </c>
      <c r="I305" s="80" t="s">
        <v>9680</v>
      </c>
      <c r="J305" s="80" t="s">
        <v>84</v>
      </c>
      <c r="K305" s="80" t="s">
        <v>9680</v>
      </c>
      <c r="L305" s="80" t="s">
        <v>9680</v>
      </c>
      <c r="M305" s="80" t="s">
        <v>84</v>
      </c>
      <c r="N305" s="80" t="s">
        <v>84</v>
      </c>
      <c r="O305" s="80" t="s">
        <v>84</v>
      </c>
      <c r="P305" s="80"/>
      <c r="Q305" s="80" t="s">
        <v>84</v>
      </c>
      <c r="R305" s="80" t="s">
        <v>84</v>
      </c>
    </row>
    <row r="306" spans="1:18" ht="20" x14ac:dyDescent="0.2">
      <c r="A306" s="80" t="s">
        <v>2742</v>
      </c>
      <c r="B306" s="80" t="s">
        <v>2743</v>
      </c>
      <c r="C306" s="80" t="s">
        <v>9680</v>
      </c>
      <c r="D306" s="80" t="s">
        <v>9680</v>
      </c>
      <c r="E306" s="80" t="s">
        <v>9680</v>
      </c>
      <c r="F306" s="80"/>
      <c r="G306" s="80" t="s">
        <v>84</v>
      </c>
      <c r="H306" s="80" t="s">
        <v>9680</v>
      </c>
      <c r="I306" s="80" t="s">
        <v>9680</v>
      </c>
      <c r="J306" s="80" t="s">
        <v>84</v>
      </c>
      <c r="K306" s="80" t="s">
        <v>9680</v>
      </c>
      <c r="L306" s="80" t="s">
        <v>9680</v>
      </c>
      <c r="M306" s="80" t="s">
        <v>84</v>
      </c>
      <c r="N306" s="80" t="s">
        <v>84</v>
      </c>
      <c r="O306" s="80" t="s">
        <v>84</v>
      </c>
      <c r="P306" s="80"/>
      <c r="Q306" s="80" t="s">
        <v>84</v>
      </c>
      <c r="R306" s="80" t="s">
        <v>84</v>
      </c>
    </row>
    <row r="307" spans="1:18" ht="20" x14ac:dyDescent="0.2">
      <c r="A307" s="80" t="s">
        <v>9811</v>
      </c>
      <c r="B307" s="80" t="s">
        <v>9812</v>
      </c>
      <c r="C307" s="80" t="s">
        <v>9680</v>
      </c>
      <c r="D307" s="80" t="s">
        <v>84</v>
      </c>
      <c r="E307" s="80" t="s">
        <v>84</v>
      </c>
      <c r="F307" s="80"/>
      <c r="G307" s="80" t="s">
        <v>84</v>
      </c>
      <c r="H307" s="80" t="s">
        <v>84</v>
      </c>
      <c r="I307" s="80" t="s">
        <v>84</v>
      </c>
      <c r="J307" s="80" t="s">
        <v>84</v>
      </c>
      <c r="K307" s="80" t="s">
        <v>84</v>
      </c>
      <c r="L307" s="80" t="s">
        <v>84</v>
      </c>
      <c r="M307" s="80" t="s">
        <v>84</v>
      </c>
      <c r="N307" s="80" t="s">
        <v>84</v>
      </c>
      <c r="O307" s="80" t="s">
        <v>84</v>
      </c>
      <c r="P307" s="80"/>
      <c r="Q307" s="80" t="s">
        <v>84</v>
      </c>
      <c r="R307" s="80" t="s">
        <v>84</v>
      </c>
    </row>
    <row r="308" spans="1:18" ht="20" x14ac:dyDescent="0.2">
      <c r="A308" s="80" t="s">
        <v>2894</v>
      </c>
      <c r="B308" s="80" t="s">
        <v>9813</v>
      </c>
      <c r="C308" s="80" t="s">
        <v>9680</v>
      </c>
      <c r="D308" s="80" t="s">
        <v>84</v>
      </c>
      <c r="E308" s="80" t="s">
        <v>84</v>
      </c>
      <c r="F308" s="80"/>
      <c r="G308" s="80" t="s">
        <v>84</v>
      </c>
      <c r="H308" s="80" t="s">
        <v>84</v>
      </c>
      <c r="I308" s="80" t="s">
        <v>84</v>
      </c>
      <c r="J308" s="80" t="s">
        <v>84</v>
      </c>
      <c r="K308" s="80" t="s">
        <v>84</v>
      </c>
      <c r="L308" s="80" t="s">
        <v>84</v>
      </c>
      <c r="M308" s="80" t="s">
        <v>84</v>
      </c>
      <c r="N308" s="80" t="s">
        <v>84</v>
      </c>
      <c r="O308" s="80" t="s">
        <v>84</v>
      </c>
      <c r="P308" s="80"/>
      <c r="Q308" s="80" t="s">
        <v>84</v>
      </c>
      <c r="R308" s="80" t="s">
        <v>84</v>
      </c>
    </row>
    <row r="309" spans="1:18" ht="20" x14ac:dyDescent="0.2">
      <c r="A309" s="80" t="s">
        <v>2894</v>
      </c>
      <c r="B309" s="80" t="s">
        <v>9814</v>
      </c>
      <c r="C309" s="80" t="s">
        <v>9680</v>
      </c>
      <c r="D309" s="80" t="s">
        <v>84</v>
      </c>
      <c r="E309" s="80" t="s">
        <v>84</v>
      </c>
      <c r="F309" s="80"/>
      <c r="G309" s="80" t="s">
        <v>84</v>
      </c>
      <c r="H309" s="80" t="s">
        <v>84</v>
      </c>
      <c r="I309" s="80" t="s">
        <v>84</v>
      </c>
      <c r="J309" s="80" t="s">
        <v>84</v>
      </c>
      <c r="K309" s="80" t="s">
        <v>84</v>
      </c>
      <c r="L309" s="80" t="s">
        <v>84</v>
      </c>
      <c r="M309" s="80" t="s">
        <v>84</v>
      </c>
      <c r="N309" s="80" t="s">
        <v>84</v>
      </c>
      <c r="O309" s="80" t="s">
        <v>84</v>
      </c>
      <c r="P309" s="80"/>
      <c r="Q309" s="80" t="s">
        <v>84</v>
      </c>
      <c r="R309" s="80" t="s">
        <v>84</v>
      </c>
    </row>
    <row r="310" spans="1:18" ht="20" x14ac:dyDescent="0.2">
      <c r="A310" s="80" t="s">
        <v>2894</v>
      </c>
      <c r="B310" s="80" t="s">
        <v>2895</v>
      </c>
      <c r="C310" s="80" t="s">
        <v>9680</v>
      </c>
      <c r="D310" s="80" t="s">
        <v>84</v>
      </c>
      <c r="E310" s="80" t="s">
        <v>84</v>
      </c>
      <c r="F310" s="80"/>
      <c r="G310" s="80" t="s">
        <v>84</v>
      </c>
      <c r="H310" s="80" t="s">
        <v>84</v>
      </c>
      <c r="I310" s="80" t="s">
        <v>84</v>
      </c>
      <c r="J310" s="80" t="s">
        <v>84</v>
      </c>
      <c r="K310" s="80" t="s">
        <v>84</v>
      </c>
      <c r="L310" s="80" t="s">
        <v>84</v>
      </c>
      <c r="M310" s="80" t="s">
        <v>84</v>
      </c>
      <c r="N310" s="80" t="s">
        <v>84</v>
      </c>
      <c r="O310" s="80" t="s">
        <v>84</v>
      </c>
      <c r="P310" s="80"/>
      <c r="Q310" s="80" t="s">
        <v>84</v>
      </c>
      <c r="R310" s="80" t="s">
        <v>84</v>
      </c>
    </row>
    <row r="311" spans="1:18" ht="20" x14ac:dyDescent="0.2">
      <c r="A311" s="80" t="s">
        <v>2744</v>
      </c>
      <c r="B311" s="80" t="s">
        <v>9815</v>
      </c>
      <c r="C311" s="80" t="s">
        <v>9680</v>
      </c>
      <c r="D311" s="80" t="s">
        <v>84</v>
      </c>
      <c r="E311" s="80" t="s">
        <v>84</v>
      </c>
      <c r="F311" s="80"/>
      <c r="G311" s="80" t="s">
        <v>84</v>
      </c>
      <c r="H311" s="80" t="s">
        <v>84</v>
      </c>
      <c r="I311" s="80" t="s">
        <v>84</v>
      </c>
      <c r="J311" s="80" t="s">
        <v>84</v>
      </c>
      <c r="K311" s="80" t="s">
        <v>84</v>
      </c>
      <c r="L311" s="80" t="s">
        <v>84</v>
      </c>
      <c r="M311" s="80" t="s">
        <v>84</v>
      </c>
      <c r="N311" s="80" t="s">
        <v>84</v>
      </c>
      <c r="O311" s="80" t="s">
        <v>84</v>
      </c>
      <c r="P311" s="80"/>
      <c r="Q311" s="80" t="s">
        <v>84</v>
      </c>
      <c r="R311" s="80" t="s">
        <v>84</v>
      </c>
    </row>
    <row r="312" spans="1:18" ht="20" x14ac:dyDescent="0.2">
      <c r="A312" s="80" t="s">
        <v>2744</v>
      </c>
      <c r="B312" s="80" t="s">
        <v>2745</v>
      </c>
      <c r="C312" s="80" t="s">
        <v>9680</v>
      </c>
      <c r="D312" s="80" t="s">
        <v>84</v>
      </c>
      <c r="E312" s="80" t="s">
        <v>84</v>
      </c>
      <c r="F312" s="80"/>
      <c r="G312" s="80" t="s">
        <v>84</v>
      </c>
      <c r="H312" s="80" t="s">
        <v>84</v>
      </c>
      <c r="I312" s="80" t="s">
        <v>84</v>
      </c>
      <c r="J312" s="80" t="s">
        <v>84</v>
      </c>
      <c r="K312" s="80" t="s">
        <v>84</v>
      </c>
      <c r="L312" s="80" t="s">
        <v>84</v>
      </c>
      <c r="M312" s="80" t="s">
        <v>84</v>
      </c>
      <c r="N312" s="80" t="s">
        <v>84</v>
      </c>
      <c r="O312" s="80" t="s">
        <v>84</v>
      </c>
      <c r="P312" s="80"/>
      <c r="Q312" s="80" t="s">
        <v>84</v>
      </c>
      <c r="R312" s="80" t="s">
        <v>84</v>
      </c>
    </row>
    <row r="313" spans="1:18" ht="20" x14ac:dyDescent="0.2">
      <c r="A313" s="80" t="s">
        <v>2746</v>
      </c>
      <c r="B313" s="80" t="s">
        <v>9816</v>
      </c>
      <c r="C313" s="80" t="s">
        <v>84</v>
      </c>
      <c r="D313" s="80" t="s">
        <v>84</v>
      </c>
      <c r="E313" s="80" t="s">
        <v>84</v>
      </c>
      <c r="F313" s="80"/>
      <c r="G313" s="80" t="s">
        <v>84</v>
      </c>
      <c r="H313" s="80" t="s">
        <v>84</v>
      </c>
      <c r="I313" s="80" t="s">
        <v>84</v>
      </c>
      <c r="J313" s="80" t="s">
        <v>84</v>
      </c>
      <c r="K313" s="80" t="s">
        <v>84</v>
      </c>
      <c r="L313" s="80" t="s">
        <v>84</v>
      </c>
      <c r="M313" s="80" t="s">
        <v>84</v>
      </c>
      <c r="N313" s="80" t="s">
        <v>84</v>
      </c>
      <c r="O313" s="80" t="s">
        <v>84</v>
      </c>
      <c r="P313" s="80"/>
      <c r="Q313" s="80" t="s">
        <v>84</v>
      </c>
      <c r="R313" s="80" t="s">
        <v>84</v>
      </c>
    </row>
    <row r="314" spans="1:18" ht="20" x14ac:dyDescent="0.2">
      <c r="A314" s="80" t="s">
        <v>2746</v>
      </c>
      <c r="B314" s="80" t="s">
        <v>2747</v>
      </c>
      <c r="C314" s="80" t="s">
        <v>84</v>
      </c>
      <c r="D314" s="80" t="s">
        <v>84</v>
      </c>
      <c r="E314" s="80" t="s">
        <v>84</v>
      </c>
      <c r="F314" s="80"/>
      <c r="G314" s="80" t="s">
        <v>84</v>
      </c>
      <c r="H314" s="80" t="s">
        <v>84</v>
      </c>
      <c r="I314" s="80" t="s">
        <v>84</v>
      </c>
      <c r="J314" s="80" t="s">
        <v>84</v>
      </c>
      <c r="K314" s="80" t="s">
        <v>84</v>
      </c>
      <c r="L314" s="80" t="s">
        <v>84</v>
      </c>
      <c r="M314" s="80" t="s">
        <v>84</v>
      </c>
      <c r="N314" s="80" t="s">
        <v>84</v>
      </c>
      <c r="O314" s="80" t="s">
        <v>84</v>
      </c>
      <c r="P314" s="80"/>
      <c r="Q314" s="80" t="s">
        <v>84</v>
      </c>
      <c r="R314" s="80" t="s">
        <v>84</v>
      </c>
    </row>
    <row r="315" spans="1:18" ht="20" x14ac:dyDescent="0.2">
      <c r="A315" s="80" t="s">
        <v>2748</v>
      </c>
      <c r="B315" s="80" t="s">
        <v>9817</v>
      </c>
      <c r="C315" s="80" t="s">
        <v>9680</v>
      </c>
      <c r="D315" s="80" t="s">
        <v>84</v>
      </c>
      <c r="E315" s="80" t="s">
        <v>84</v>
      </c>
      <c r="F315" s="80"/>
      <c r="G315" s="80" t="s">
        <v>84</v>
      </c>
      <c r="H315" s="80" t="s">
        <v>84</v>
      </c>
      <c r="I315" s="80" t="s">
        <v>84</v>
      </c>
      <c r="J315" s="80" t="s">
        <v>84</v>
      </c>
      <c r="K315" s="80" t="s">
        <v>84</v>
      </c>
      <c r="L315" s="80" t="s">
        <v>84</v>
      </c>
      <c r="M315" s="80" t="s">
        <v>84</v>
      </c>
      <c r="N315" s="80" t="s">
        <v>84</v>
      </c>
      <c r="O315" s="80" t="s">
        <v>84</v>
      </c>
      <c r="P315" s="80"/>
      <c r="Q315" s="80" t="s">
        <v>84</v>
      </c>
      <c r="R315" s="80" t="s">
        <v>84</v>
      </c>
    </row>
    <row r="316" spans="1:18" ht="20" x14ac:dyDescent="0.2">
      <c r="A316" s="80" t="s">
        <v>2748</v>
      </c>
      <c r="B316" s="80" t="s">
        <v>2749</v>
      </c>
      <c r="C316" s="80" t="s">
        <v>9680</v>
      </c>
      <c r="D316" s="80" t="s">
        <v>84</v>
      </c>
      <c r="E316" s="80" t="s">
        <v>84</v>
      </c>
      <c r="F316" s="80"/>
      <c r="G316" s="80" t="s">
        <v>84</v>
      </c>
      <c r="H316" s="80" t="s">
        <v>84</v>
      </c>
      <c r="I316" s="80" t="s">
        <v>84</v>
      </c>
      <c r="J316" s="80" t="s">
        <v>84</v>
      </c>
      <c r="K316" s="80" t="s">
        <v>84</v>
      </c>
      <c r="L316" s="80" t="s">
        <v>84</v>
      </c>
      <c r="M316" s="80" t="s">
        <v>84</v>
      </c>
      <c r="N316" s="80" t="s">
        <v>84</v>
      </c>
      <c r="O316" s="80" t="s">
        <v>84</v>
      </c>
      <c r="P316" s="80"/>
      <c r="Q316" s="80" t="s">
        <v>84</v>
      </c>
      <c r="R316" s="80" t="s">
        <v>84</v>
      </c>
    </row>
    <row r="317" spans="1:18" ht="20" x14ac:dyDescent="0.2">
      <c r="A317" s="80" t="s">
        <v>2932</v>
      </c>
      <c r="B317" s="80" t="s">
        <v>9818</v>
      </c>
      <c r="C317" s="80" t="s">
        <v>9680</v>
      </c>
      <c r="D317" s="80" t="s">
        <v>84</v>
      </c>
      <c r="E317" s="80" t="s">
        <v>84</v>
      </c>
      <c r="F317" s="80"/>
      <c r="G317" s="80" t="s">
        <v>84</v>
      </c>
      <c r="H317" s="80" t="s">
        <v>84</v>
      </c>
      <c r="I317" s="80" t="s">
        <v>84</v>
      </c>
      <c r="J317" s="80" t="s">
        <v>84</v>
      </c>
      <c r="K317" s="80" t="s">
        <v>84</v>
      </c>
      <c r="L317" s="80" t="s">
        <v>84</v>
      </c>
      <c r="M317" s="80" t="s">
        <v>84</v>
      </c>
      <c r="N317" s="80" t="s">
        <v>84</v>
      </c>
      <c r="O317" s="80" t="s">
        <v>84</v>
      </c>
      <c r="P317" s="80"/>
      <c r="Q317" s="80" t="s">
        <v>84</v>
      </c>
      <c r="R317" s="80" t="s">
        <v>84</v>
      </c>
    </row>
    <row r="318" spans="1:18" ht="20" x14ac:dyDescent="0.2">
      <c r="A318" s="80" t="s">
        <v>2932</v>
      </c>
      <c r="B318" s="80" t="s">
        <v>2933</v>
      </c>
      <c r="C318" s="80" t="s">
        <v>9680</v>
      </c>
      <c r="D318" s="80" t="s">
        <v>84</v>
      </c>
      <c r="E318" s="80" t="s">
        <v>84</v>
      </c>
      <c r="F318" s="80"/>
      <c r="G318" s="80" t="s">
        <v>84</v>
      </c>
      <c r="H318" s="80" t="s">
        <v>84</v>
      </c>
      <c r="I318" s="80" t="s">
        <v>84</v>
      </c>
      <c r="J318" s="80" t="s">
        <v>84</v>
      </c>
      <c r="K318" s="80" t="s">
        <v>84</v>
      </c>
      <c r="L318" s="80" t="s">
        <v>84</v>
      </c>
      <c r="M318" s="80" t="s">
        <v>84</v>
      </c>
      <c r="N318" s="80" t="s">
        <v>84</v>
      </c>
      <c r="O318" s="80" t="s">
        <v>84</v>
      </c>
      <c r="P318" s="80"/>
      <c r="Q318" s="80" t="s">
        <v>84</v>
      </c>
      <c r="R318" s="80" t="s">
        <v>84</v>
      </c>
    </row>
    <row r="319" spans="1:18" ht="20" x14ac:dyDescent="0.2">
      <c r="A319" s="80" t="s">
        <v>2615</v>
      </c>
      <c r="B319" s="80" t="s">
        <v>2616</v>
      </c>
      <c r="C319" s="80" t="s">
        <v>84</v>
      </c>
      <c r="D319" s="80" t="s">
        <v>84</v>
      </c>
      <c r="E319" s="80" t="s">
        <v>84</v>
      </c>
      <c r="F319" s="80"/>
      <c r="G319" s="80" t="s">
        <v>84</v>
      </c>
      <c r="H319" s="80" t="s">
        <v>84</v>
      </c>
      <c r="I319" s="80" t="s">
        <v>84</v>
      </c>
      <c r="J319" s="80" t="s">
        <v>84</v>
      </c>
      <c r="K319" s="80" t="s">
        <v>84</v>
      </c>
      <c r="L319" s="80" t="s">
        <v>84</v>
      </c>
      <c r="M319" s="80" t="s">
        <v>84</v>
      </c>
      <c r="N319" s="80" t="s">
        <v>84</v>
      </c>
      <c r="O319" s="80" t="s">
        <v>84</v>
      </c>
      <c r="P319" s="80"/>
      <c r="Q319" s="80" t="s">
        <v>84</v>
      </c>
      <c r="R319" s="80" t="s">
        <v>84</v>
      </c>
    </row>
    <row r="320" spans="1:18" ht="20" x14ac:dyDescent="0.2">
      <c r="A320" s="80" t="s">
        <v>2615</v>
      </c>
      <c r="B320" s="80" t="s">
        <v>9819</v>
      </c>
      <c r="C320" s="80" t="s">
        <v>84</v>
      </c>
      <c r="D320" s="80" t="s">
        <v>84</v>
      </c>
      <c r="E320" s="80" t="s">
        <v>84</v>
      </c>
      <c r="F320" s="80"/>
      <c r="G320" s="80" t="s">
        <v>84</v>
      </c>
      <c r="H320" s="80" t="s">
        <v>84</v>
      </c>
      <c r="I320" s="80" t="s">
        <v>84</v>
      </c>
      <c r="J320" s="80" t="s">
        <v>84</v>
      </c>
      <c r="K320" s="80" t="s">
        <v>84</v>
      </c>
      <c r="L320" s="80" t="s">
        <v>84</v>
      </c>
      <c r="M320" s="80" t="s">
        <v>84</v>
      </c>
      <c r="N320" s="80" t="s">
        <v>84</v>
      </c>
      <c r="O320" s="80" t="s">
        <v>84</v>
      </c>
      <c r="P320" s="80"/>
      <c r="Q320" s="80" t="s">
        <v>84</v>
      </c>
      <c r="R320" s="80" t="s">
        <v>84</v>
      </c>
    </row>
    <row r="321" spans="1:18" ht="20" x14ac:dyDescent="0.2">
      <c r="A321" s="80" t="s">
        <v>2615</v>
      </c>
      <c r="B321" s="80" t="s">
        <v>2962</v>
      </c>
      <c r="C321" s="80" t="s">
        <v>84</v>
      </c>
      <c r="D321" s="80" t="s">
        <v>84</v>
      </c>
      <c r="E321" s="80" t="s">
        <v>84</v>
      </c>
      <c r="F321" s="80"/>
      <c r="G321" s="80" t="s">
        <v>84</v>
      </c>
      <c r="H321" s="80" t="s">
        <v>84</v>
      </c>
      <c r="I321" s="80" t="s">
        <v>84</v>
      </c>
      <c r="J321" s="80" t="s">
        <v>84</v>
      </c>
      <c r="K321" s="80" t="s">
        <v>84</v>
      </c>
      <c r="L321" s="80" t="s">
        <v>84</v>
      </c>
      <c r="M321" s="80" t="s">
        <v>84</v>
      </c>
      <c r="N321" s="80" t="s">
        <v>84</v>
      </c>
      <c r="O321" s="80" t="s">
        <v>84</v>
      </c>
      <c r="P321" s="80"/>
      <c r="Q321" s="80" t="s">
        <v>84</v>
      </c>
      <c r="R321" s="80" t="s">
        <v>84</v>
      </c>
    </row>
    <row r="322" spans="1:18" ht="20" x14ac:dyDescent="0.2">
      <c r="A322" s="80" t="s">
        <v>9820</v>
      </c>
      <c r="B322" s="80" t="s">
        <v>9821</v>
      </c>
      <c r="C322" s="80" t="s">
        <v>9680</v>
      </c>
      <c r="D322" s="80" t="s">
        <v>84</v>
      </c>
      <c r="E322" s="80" t="s">
        <v>84</v>
      </c>
      <c r="F322" s="80"/>
      <c r="G322" s="80" t="s">
        <v>84</v>
      </c>
      <c r="H322" s="80" t="s">
        <v>84</v>
      </c>
      <c r="I322" s="80" t="s">
        <v>84</v>
      </c>
      <c r="J322" s="80" t="s">
        <v>84</v>
      </c>
      <c r="K322" s="80" t="s">
        <v>84</v>
      </c>
      <c r="L322" s="80" t="s">
        <v>84</v>
      </c>
      <c r="M322" s="80" t="s">
        <v>84</v>
      </c>
      <c r="N322" s="80" t="s">
        <v>84</v>
      </c>
      <c r="O322" s="80" t="s">
        <v>84</v>
      </c>
      <c r="P322" s="80"/>
      <c r="Q322" s="80" t="s">
        <v>84</v>
      </c>
      <c r="R322" s="80" t="s">
        <v>84</v>
      </c>
    </row>
    <row r="323" spans="1:18" ht="20" x14ac:dyDescent="0.2">
      <c r="A323" s="80" t="s">
        <v>9820</v>
      </c>
      <c r="B323" s="80" t="s">
        <v>9822</v>
      </c>
      <c r="C323" s="80" t="s">
        <v>9680</v>
      </c>
      <c r="D323" s="80" t="s">
        <v>84</v>
      </c>
      <c r="E323" s="80" t="s">
        <v>84</v>
      </c>
      <c r="F323" s="80"/>
      <c r="G323" s="80" t="s">
        <v>84</v>
      </c>
      <c r="H323" s="80" t="s">
        <v>84</v>
      </c>
      <c r="I323" s="80" t="s">
        <v>84</v>
      </c>
      <c r="J323" s="80" t="s">
        <v>84</v>
      </c>
      <c r="K323" s="80" t="s">
        <v>84</v>
      </c>
      <c r="L323" s="80" t="s">
        <v>84</v>
      </c>
      <c r="M323" s="80" t="s">
        <v>84</v>
      </c>
      <c r="N323" s="80" t="s">
        <v>84</v>
      </c>
      <c r="O323" s="80" t="s">
        <v>84</v>
      </c>
      <c r="P323" s="80"/>
      <c r="Q323" s="80" t="s">
        <v>84</v>
      </c>
      <c r="R323" s="80" t="s">
        <v>84</v>
      </c>
    </row>
    <row r="324" spans="1:18" ht="20" x14ac:dyDescent="0.2">
      <c r="A324" s="80" t="s">
        <v>9823</v>
      </c>
      <c r="B324" s="80" t="s">
        <v>9824</v>
      </c>
      <c r="C324" s="80" t="s">
        <v>9680</v>
      </c>
      <c r="D324" s="80" t="s">
        <v>84</v>
      </c>
      <c r="E324" s="80" t="s">
        <v>84</v>
      </c>
      <c r="F324" s="80"/>
      <c r="G324" s="80" t="s">
        <v>84</v>
      </c>
      <c r="H324" s="80" t="s">
        <v>84</v>
      </c>
      <c r="I324" s="80" t="s">
        <v>84</v>
      </c>
      <c r="J324" s="80" t="s">
        <v>84</v>
      </c>
      <c r="K324" s="80" t="s">
        <v>84</v>
      </c>
      <c r="L324" s="80" t="s">
        <v>84</v>
      </c>
      <c r="M324" s="80" t="s">
        <v>84</v>
      </c>
      <c r="N324" s="80" t="s">
        <v>84</v>
      </c>
      <c r="O324" s="80" t="s">
        <v>84</v>
      </c>
      <c r="P324" s="80"/>
      <c r="Q324" s="80" t="s">
        <v>84</v>
      </c>
      <c r="R324" s="80" t="s">
        <v>84</v>
      </c>
    </row>
    <row r="325" spans="1:18" ht="20" x14ac:dyDescent="0.2">
      <c r="A325" s="80" t="s">
        <v>9823</v>
      </c>
      <c r="B325" s="80" t="s">
        <v>9825</v>
      </c>
      <c r="C325" s="80" t="s">
        <v>9680</v>
      </c>
      <c r="D325" s="80" t="s">
        <v>84</v>
      </c>
      <c r="E325" s="80" t="s">
        <v>84</v>
      </c>
      <c r="F325" s="80"/>
      <c r="G325" s="80" t="s">
        <v>84</v>
      </c>
      <c r="H325" s="80" t="s">
        <v>84</v>
      </c>
      <c r="I325" s="80" t="s">
        <v>84</v>
      </c>
      <c r="J325" s="80" t="s">
        <v>84</v>
      </c>
      <c r="K325" s="80" t="s">
        <v>84</v>
      </c>
      <c r="L325" s="80" t="s">
        <v>84</v>
      </c>
      <c r="M325" s="80" t="s">
        <v>84</v>
      </c>
      <c r="N325" s="80" t="s">
        <v>84</v>
      </c>
      <c r="O325" s="80" t="s">
        <v>84</v>
      </c>
      <c r="P325" s="80"/>
      <c r="Q325" s="80" t="s">
        <v>84</v>
      </c>
      <c r="R325" s="80" t="s">
        <v>84</v>
      </c>
    </row>
    <row r="326" spans="1:18" ht="20" x14ac:dyDescent="0.2">
      <c r="A326" s="80" t="s">
        <v>9826</v>
      </c>
      <c r="B326" s="80" t="s">
        <v>9827</v>
      </c>
      <c r="C326" s="80" t="s">
        <v>9680</v>
      </c>
      <c r="D326" s="80" t="s">
        <v>84</v>
      </c>
      <c r="E326" s="80" t="s">
        <v>84</v>
      </c>
      <c r="F326" s="80"/>
      <c r="G326" s="80" t="s">
        <v>84</v>
      </c>
      <c r="H326" s="80" t="s">
        <v>84</v>
      </c>
      <c r="I326" s="80" t="s">
        <v>84</v>
      </c>
      <c r="J326" s="80" t="s">
        <v>84</v>
      </c>
      <c r="K326" s="80" t="s">
        <v>84</v>
      </c>
      <c r="L326" s="80" t="s">
        <v>84</v>
      </c>
      <c r="M326" s="80" t="s">
        <v>84</v>
      </c>
      <c r="N326" s="80" t="s">
        <v>84</v>
      </c>
      <c r="O326" s="80" t="s">
        <v>84</v>
      </c>
      <c r="P326" s="80"/>
      <c r="Q326" s="80" t="s">
        <v>84</v>
      </c>
      <c r="R326" s="80" t="s">
        <v>84</v>
      </c>
    </row>
    <row r="327" spans="1:18" ht="20" x14ac:dyDescent="0.2">
      <c r="A327" s="80" t="s">
        <v>9826</v>
      </c>
      <c r="B327" s="80" t="s">
        <v>9828</v>
      </c>
      <c r="C327" s="80" t="s">
        <v>9680</v>
      </c>
      <c r="D327" s="80" t="s">
        <v>84</v>
      </c>
      <c r="E327" s="80" t="s">
        <v>84</v>
      </c>
      <c r="F327" s="80"/>
      <c r="G327" s="80" t="s">
        <v>84</v>
      </c>
      <c r="H327" s="80" t="s">
        <v>84</v>
      </c>
      <c r="I327" s="80" t="s">
        <v>84</v>
      </c>
      <c r="J327" s="80" t="s">
        <v>84</v>
      </c>
      <c r="K327" s="80" t="s">
        <v>84</v>
      </c>
      <c r="L327" s="80" t="s">
        <v>84</v>
      </c>
      <c r="M327" s="80" t="s">
        <v>84</v>
      </c>
      <c r="N327" s="80" t="s">
        <v>84</v>
      </c>
      <c r="O327" s="80" t="s">
        <v>84</v>
      </c>
      <c r="P327" s="80"/>
      <c r="Q327" s="80" t="s">
        <v>84</v>
      </c>
      <c r="R327" s="80" t="s">
        <v>84</v>
      </c>
    </row>
    <row r="328" spans="1:18" ht="20" x14ac:dyDescent="0.2">
      <c r="A328" s="80" t="s">
        <v>9829</v>
      </c>
      <c r="B328" s="80" t="s">
        <v>9830</v>
      </c>
      <c r="C328" s="80" t="s">
        <v>9680</v>
      </c>
      <c r="D328" s="80" t="s">
        <v>84</v>
      </c>
      <c r="E328" s="80" t="s">
        <v>84</v>
      </c>
      <c r="F328" s="80"/>
      <c r="G328" s="80" t="s">
        <v>84</v>
      </c>
      <c r="H328" s="80" t="s">
        <v>84</v>
      </c>
      <c r="I328" s="80" t="s">
        <v>84</v>
      </c>
      <c r="J328" s="80" t="s">
        <v>84</v>
      </c>
      <c r="K328" s="80" t="s">
        <v>84</v>
      </c>
      <c r="L328" s="80" t="s">
        <v>84</v>
      </c>
      <c r="M328" s="80" t="s">
        <v>84</v>
      </c>
      <c r="N328" s="80" t="s">
        <v>84</v>
      </c>
      <c r="O328" s="80" t="s">
        <v>84</v>
      </c>
      <c r="P328" s="80"/>
      <c r="Q328" s="80" t="s">
        <v>84</v>
      </c>
      <c r="R328" s="80" t="s">
        <v>84</v>
      </c>
    </row>
    <row r="329" spans="1:18" ht="20" x14ac:dyDescent="0.2">
      <c r="A329" s="80" t="s">
        <v>9829</v>
      </c>
      <c r="B329" s="80" t="s">
        <v>9831</v>
      </c>
      <c r="C329" s="80" t="s">
        <v>9680</v>
      </c>
      <c r="D329" s="80" t="s">
        <v>84</v>
      </c>
      <c r="E329" s="80" t="s">
        <v>84</v>
      </c>
      <c r="F329" s="80"/>
      <c r="G329" s="80" t="s">
        <v>84</v>
      </c>
      <c r="H329" s="80" t="s">
        <v>84</v>
      </c>
      <c r="I329" s="80" t="s">
        <v>84</v>
      </c>
      <c r="J329" s="80" t="s">
        <v>84</v>
      </c>
      <c r="K329" s="80" t="s">
        <v>84</v>
      </c>
      <c r="L329" s="80" t="s">
        <v>84</v>
      </c>
      <c r="M329" s="80" t="s">
        <v>84</v>
      </c>
      <c r="N329" s="80" t="s">
        <v>84</v>
      </c>
      <c r="O329" s="80" t="s">
        <v>84</v>
      </c>
      <c r="P329" s="80"/>
      <c r="Q329" s="80" t="s">
        <v>84</v>
      </c>
      <c r="R329" s="80" t="s">
        <v>84</v>
      </c>
    </row>
    <row r="330" spans="1:18" ht="20" x14ac:dyDescent="0.2">
      <c r="A330" s="80" t="s">
        <v>2906</v>
      </c>
      <c r="B330" s="80" t="s">
        <v>2907</v>
      </c>
      <c r="C330" s="80" t="s">
        <v>9680</v>
      </c>
      <c r="D330" s="80" t="s">
        <v>84</v>
      </c>
      <c r="E330" s="80" t="s">
        <v>84</v>
      </c>
      <c r="F330" s="80"/>
      <c r="G330" s="80" t="s">
        <v>84</v>
      </c>
      <c r="H330" s="80" t="s">
        <v>84</v>
      </c>
      <c r="I330" s="80" t="s">
        <v>84</v>
      </c>
      <c r="J330" s="80" t="s">
        <v>84</v>
      </c>
      <c r="K330" s="80" t="s">
        <v>84</v>
      </c>
      <c r="L330" s="80" t="s">
        <v>84</v>
      </c>
      <c r="M330" s="80" t="s">
        <v>84</v>
      </c>
      <c r="N330" s="80" t="s">
        <v>84</v>
      </c>
      <c r="O330" s="80" t="s">
        <v>84</v>
      </c>
      <c r="P330" s="80"/>
      <c r="Q330" s="80" t="s">
        <v>84</v>
      </c>
      <c r="R330" s="80" t="s">
        <v>84</v>
      </c>
    </row>
    <row r="331" spans="1:18" ht="20" x14ac:dyDescent="0.2">
      <c r="A331" s="80" t="s">
        <v>2751</v>
      </c>
      <c r="B331" s="80" t="s">
        <v>9832</v>
      </c>
      <c r="C331" s="80" t="s">
        <v>9680</v>
      </c>
      <c r="D331" s="80" t="s">
        <v>84</v>
      </c>
      <c r="E331" s="80" t="s">
        <v>84</v>
      </c>
      <c r="F331" s="80"/>
      <c r="G331" s="80" t="s">
        <v>84</v>
      </c>
      <c r="H331" s="80" t="s">
        <v>84</v>
      </c>
      <c r="I331" s="80" t="s">
        <v>84</v>
      </c>
      <c r="J331" s="80" t="s">
        <v>84</v>
      </c>
      <c r="K331" s="80" t="s">
        <v>84</v>
      </c>
      <c r="L331" s="80" t="s">
        <v>84</v>
      </c>
      <c r="M331" s="80" t="s">
        <v>84</v>
      </c>
      <c r="N331" s="80" t="s">
        <v>84</v>
      </c>
      <c r="O331" s="80" t="s">
        <v>84</v>
      </c>
      <c r="P331" s="80"/>
      <c r="Q331" s="80" t="s">
        <v>84</v>
      </c>
      <c r="R331" s="80" t="s">
        <v>84</v>
      </c>
    </row>
    <row r="332" spans="1:18" ht="20" x14ac:dyDescent="0.2">
      <c r="A332" s="80" t="s">
        <v>2751</v>
      </c>
      <c r="B332" s="80" t="s">
        <v>2752</v>
      </c>
      <c r="C332" s="80" t="s">
        <v>9680</v>
      </c>
      <c r="D332" s="80" t="s">
        <v>84</v>
      </c>
      <c r="E332" s="80" t="s">
        <v>84</v>
      </c>
      <c r="F332" s="80"/>
      <c r="G332" s="80" t="s">
        <v>84</v>
      </c>
      <c r="H332" s="80" t="s">
        <v>84</v>
      </c>
      <c r="I332" s="80" t="s">
        <v>84</v>
      </c>
      <c r="J332" s="80" t="s">
        <v>84</v>
      </c>
      <c r="K332" s="80" t="s">
        <v>84</v>
      </c>
      <c r="L332" s="80" t="s">
        <v>84</v>
      </c>
      <c r="M332" s="80" t="s">
        <v>84</v>
      </c>
      <c r="N332" s="80" t="s">
        <v>84</v>
      </c>
      <c r="O332" s="80" t="s">
        <v>84</v>
      </c>
      <c r="P332" s="80"/>
      <c r="Q332" s="80" t="s">
        <v>84</v>
      </c>
      <c r="R332" s="80" t="s">
        <v>84</v>
      </c>
    </row>
    <row r="333" spans="1:18" ht="20" x14ac:dyDescent="0.2">
      <c r="A333" s="80" t="s">
        <v>2753</v>
      </c>
      <c r="B333" s="80" t="s">
        <v>9833</v>
      </c>
      <c r="C333" s="80" t="s">
        <v>9680</v>
      </c>
      <c r="D333" s="80" t="s">
        <v>84</v>
      </c>
      <c r="E333" s="80" t="s">
        <v>84</v>
      </c>
      <c r="F333" s="80"/>
      <c r="G333" s="80" t="s">
        <v>84</v>
      </c>
      <c r="H333" s="80" t="s">
        <v>84</v>
      </c>
      <c r="I333" s="80" t="s">
        <v>84</v>
      </c>
      <c r="J333" s="80" t="s">
        <v>84</v>
      </c>
      <c r="K333" s="80" t="s">
        <v>84</v>
      </c>
      <c r="L333" s="80" t="s">
        <v>84</v>
      </c>
      <c r="M333" s="80" t="s">
        <v>84</v>
      </c>
      <c r="N333" s="80" t="s">
        <v>84</v>
      </c>
      <c r="O333" s="80" t="s">
        <v>84</v>
      </c>
      <c r="P333" s="80"/>
      <c r="Q333" s="80" t="s">
        <v>84</v>
      </c>
      <c r="R333" s="80" t="s">
        <v>84</v>
      </c>
    </row>
    <row r="334" spans="1:18" ht="20" x14ac:dyDescent="0.2">
      <c r="A334" s="80" t="s">
        <v>2753</v>
      </c>
      <c r="B334" s="80" t="s">
        <v>2754</v>
      </c>
      <c r="C334" s="80" t="s">
        <v>9680</v>
      </c>
      <c r="D334" s="80" t="s">
        <v>84</v>
      </c>
      <c r="E334" s="80" t="s">
        <v>84</v>
      </c>
      <c r="F334" s="80"/>
      <c r="G334" s="80" t="s">
        <v>84</v>
      </c>
      <c r="H334" s="80" t="s">
        <v>84</v>
      </c>
      <c r="I334" s="80" t="s">
        <v>84</v>
      </c>
      <c r="J334" s="80" t="s">
        <v>84</v>
      </c>
      <c r="K334" s="80" t="s">
        <v>84</v>
      </c>
      <c r="L334" s="80" t="s">
        <v>84</v>
      </c>
      <c r="M334" s="80" t="s">
        <v>84</v>
      </c>
      <c r="N334" s="80" t="s">
        <v>84</v>
      </c>
      <c r="O334" s="80" t="s">
        <v>84</v>
      </c>
      <c r="P334" s="80"/>
      <c r="Q334" s="80" t="s">
        <v>84</v>
      </c>
      <c r="R334" s="80" t="s">
        <v>84</v>
      </c>
    </row>
    <row r="335" spans="1:18" ht="20" x14ac:dyDescent="0.2">
      <c r="A335" s="80" t="s">
        <v>2755</v>
      </c>
      <c r="B335" s="80" t="s">
        <v>9834</v>
      </c>
      <c r="C335" s="80" t="s">
        <v>9722</v>
      </c>
      <c r="D335" s="80" t="s">
        <v>84</v>
      </c>
      <c r="E335" s="80" t="s">
        <v>84</v>
      </c>
      <c r="F335" s="80"/>
      <c r="G335" s="80" t="s">
        <v>84</v>
      </c>
      <c r="H335" s="80" t="s">
        <v>84</v>
      </c>
      <c r="I335" s="80" t="s">
        <v>84</v>
      </c>
      <c r="J335" s="80" t="s">
        <v>84</v>
      </c>
      <c r="K335" s="80" t="s">
        <v>84</v>
      </c>
      <c r="L335" s="80" t="s">
        <v>84</v>
      </c>
      <c r="M335" s="80" t="s">
        <v>84</v>
      </c>
      <c r="N335" s="80" t="s">
        <v>84</v>
      </c>
      <c r="O335" s="80" t="s">
        <v>84</v>
      </c>
      <c r="P335" s="80"/>
      <c r="Q335" s="80" t="s">
        <v>84</v>
      </c>
      <c r="R335" s="80" t="s">
        <v>84</v>
      </c>
    </row>
    <row r="336" spans="1:18" ht="20" x14ac:dyDescent="0.2">
      <c r="A336" s="80" t="s">
        <v>2755</v>
      </c>
      <c r="B336" s="80" t="s">
        <v>2756</v>
      </c>
      <c r="C336" s="80" t="s">
        <v>9722</v>
      </c>
      <c r="D336" s="80" t="s">
        <v>84</v>
      </c>
      <c r="E336" s="80" t="s">
        <v>84</v>
      </c>
      <c r="F336" s="80"/>
      <c r="G336" s="80" t="s">
        <v>84</v>
      </c>
      <c r="H336" s="80" t="s">
        <v>84</v>
      </c>
      <c r="I336" s="80" t="s">
        <v>84</v>
      </c>
      <c r="J336" s="80" t="s">
        <v>84</v>
      </c>
      <c r="K336" s="80" t="s">
        <v>84</v>
      </c>
      <c r="L336" s="80" t="s">
        <v>84</v>
      </c>
      <c r="M336" s="80" t="s">
        <v>84</v>
      </c>
      <c r="N336" s="80" t="s">
        <v>84</v>
      </c>
      <c r="O336" s="80" t="s">
        <v>84</v>
      </c>
      <c r="P336" s="80"/>
      <c r="Q336" s="80" t="s">
        <v>84</v>
      </c>
      <c r="R336" s="80" t="s">
        <v>84</v>
      </c>
    </row>
    <row r="337" spans="1:18" ht="20" x14ac:dyDescent="0.2">
      <c r="A337" s="80" t="s">
        <v>2973</v>
      </c>
      <c r="B337" s="80" t="s">
        <v>9835</v>
      </c>
      <c r="C337" s="80" t="s">
        <v>9680</v>
      </c>
      <c r="D337" s="80" t="s">
        <v>84</v>
      </c>
      <c r="E337" s="80" t="s">
        <v>84</v>
      </c>
      <c r="F337" s="80"/>
      <c r="G337" s="80" t="s">
        <v>84</v>
      </c>
      <c r="H337" s="80" t="s">
        <v>84</v>
      </c>
      <c r="I337" s="80" t="s">
        <v>84</v>
      </c>
      <c r="J337" s="80" t="s">
        <v>84</v>
      </c>
      <c r="K337" s="80" t="s">
        <v>84</v>
      </c>
      <c r="L337" s="80" t="s">
        <v>84</v>
      </c>
      <c r="M337" s="80" t="s">
        <v>84</v>
      </c>
      <c r="N337" s="80" t="s">
        <v>84</v>
      </c>
      <c r="O337" s="80" t="s">
        <v>84</v>
      </c>
      <c r="P337" s="80"/>
      <c r="Q337" s="80" t="s">
        <v>84</v>
      </c>
      <c r="R337" s="80" t="s">
        <v>84</v>
      </c>
    </row>
    <row r="338" spans="1:18" ht="20" x14ac:dyDescent="0.2">
      <c r="A338" s="80" t="s">
        <v>2973</v>
      </c>
      <c r="B338" s="80" t="s">
        <v>2974</v>
      </c>
      <c r="C338" s="80" t="s">
        <v>9680</v>
      </c>
      <c r="D338" s="80" t="s">
        <v>84</v>
      </c>
      <c r="E338" s="80" t="s">
        <v>84</v>
      </c>
      <c r="F338" s="80"/>
      <c r="G338" s="80" t="s">
        <v>84</v>
      </c>
      <c r="H338" s="80" t="s">
        <v>84</v>
      </c>
      <c r="I338" s="80" t="s">
        <v>84</v>
      </c>
      <c r="J338" s="80" t="s">
        <v>84</v>
      </c>
      <c r="K338" s="80" t="s">
        <v>84</v>
      </c>
      <c r="L338" s="80" t="s">
        <v>84</v>
      </c>
      <c r="M338" s="80" t="s">
        <v>84</v>
      </c>
      <c r="N338" s="80" t="s">
        <v>84</v>
      </c>
      <c r="O338" s="80" t="s">
        <v>84</v>
      </c>
      <c r="P338" s="80"/>
      <c r="Q338" s="80" t="s">
        <v>84</v>
      </c>
      <c r="R338" s="80" t="s">
        <v>84</v>
      </c>
    </row>
    <row r="339" spans="1:18" ht="20" x14ac:dyDescent="0.2">
      <c r="A339" s="80" t="s">
        <v>2352</v>
      </c>
      <c r="B339" s="80" t="s">
        <v>9836</v>
      </c>
      <c r="C339" s="80" t="s">
        <v>9680</v>
      </c>
      <c r="D339" s="80" t="s">
        <v>84</v>
      </c>
      <c r="E339" s="80" t="s">
        <v>9680</v>
      </c>
      <c r="F339" s="80"/>
      <c r="G339" s="80" t="s">
        <v>9680</v>
      </c>
      <c r="H339" s="80" t="s">
        <v>9680</v>
      </c>
      <c r="I339" s="80" t="s">
        <v>9680</v>
      </c>
      <c r="J339" s="80" t="s">
        <v>84</v>
      </c>
      <c r="K339" s="80" t="s">
        <v>84</v>
      </c>
      <c r="L339" s="80" t="s">
        <v>9680</v>
      </c>
      <c r="M339" s="80" t="s">
        <v>9680</v>
      </c>
      <c r="N339" s="80" t="s">
        <v>9680</v>
      </c>
      <c r="O339" s="80" t="s">
        <v>9680</v>
      </c>
      <c r="P339" s="80"/>
      <c r="Q339" s="80" t="s">
        <v>84</v>
      </c>
      <c r="R339" s="80" t="s">
        <v>9680</v>
      </c>
    </row>
    <row r="340" spans="1:18" ht="20" x14ac:dyDescent="0.2">
      <c r="A340" s="80" t="s">
        <v>2352</v>
      </c>
      <c r="B340" s="80" t="s">
        <v>2353</v>
      </c>
      <c r="C340" s="80" t="s">
        <v>9680</v>
      </c>
      <c r="D340" s="80" t="s">
        <v>84</v>
      </c>
      <c r="E340" s="80" t="s">
        <v>9680</v>
      </c>
      <c r="F340" s="80"/>
      <c r="G340" s="80" t="s">
        <v>9680</v>
      </c>
      <c r="H340" s="80" t="s">
        <v>9680</v>
      </c>
      <c r="I340" s="80" t="s">
        <v>9680</v>
      </c>
      <c r="J340" s="80" t="s">
        <v>84</v>
      </c>
      <c r="K340" s="80" t="s">
        <v>84</v>
      </c>
      <c r="L340" s="80" t="s">
        <v>9680</v>
      </c>
      <c r="M340" s="80" t="s">
        <v>9680</v>
      </c>
      <c r="N340" s="80" t="s">
        <v>9680</v>
      </c>
      <c r="O340" s="80" t="s">
        <v>9680</v>
      </c>
      <c r="P340" s="80"/>
      <c r="Q340" s="80" t="s">
        <v>84</v>
      </c>
      <c r="R340" s="80" t="s">
        <v>9680</v>
      </c>
    </row>
    <row r="341" spans="1:18" ht="20" x14ac:dyDescent="0.2">
      <c r="A341" s="80" t="s">
        <v>2355</v>
      </c>
      <c r="B341" s="80" t="s">
        <v>2356</v>
      </c>
      <c r="C341" s="80" t="s">
        <v>9680</v>
      </c>
      <c r="D341" s="80" t="s">
        <v>9680</v>
      </c>
      <c r="E341" s="80" t="s">
        <v>9680</v>
      </c>
      <c r="F341" s="80"/>
      <c r="G341" s="80" t="s">
        <v>9680</v>
      </c>
      <c r="H341" s="80" t="s">
        <v>9680</v>
      </c>
      <c r="I341" s="80" t="s">
        <v>9680</v>
      </c>
      <c r="J341" s="80" t="s">
        <v>84</v>
      </c>
      <c r="K341" s="80" t="s">
        <v>9680</v>
      </c>
      <c r="L341" s="80" t="s">
        <v>9680</v>
      </c>
      <c r="M341" s="80" t="s">
        <v>84</v>
      </c>
      <c r="N341" s="80" t="s">
        <v>9680</v>
      </c>
      <c r="O341" s="80" t="s">
        <v>9680</v>
      </c>
      <c r="P341" s="80"/>
      <c r="Q341" s="80" t="s">
        <v>84</v>
      </c>
      <c r="R341" s="80" t="s">
        <v>9680</v>
      </c>
    </row>
    <row r="342" spans="1:18" ht="20" x14ac:dyDescent="0.2">
      <c r="A342" s="80" t="s">
        <v>2355</v>
      </c>
      <c r="B342" s="80" t="s">
        <v>9837</v>
      </c>
      <c r="C342" s="80" t="s">
        <v>9680</v>
      </c>
      <c r="D342" s="80" t="s">
        <v>9680</v>
      </c>
      <c r="E342" s="80" t="s">
        <v>9680</v>
      </c>
      <c r="F342" s="80"/>
      <c r="G342" s="80" t="s">
        <v>9680</v>
      </c>
      <c r="H342" s="80" t="s">
        <v>9680</v>
      </c>
      <c r="I342" s="80" t="s">
        <v>9680</v>
      </c>
      <c r="J342" s="80" t="s">
        <v>84</v>
      </c>
      <c r="K342" s="80" t="s">
        <v>9680</v>
      </c>
      <c r="L342" s="80" t="s">
        <v>9680</v>
      </c>
      <c r="M342" s="80" t="s">
        <v>84</v>
      </c>
      <c r="N342" s="80" t="s">
        <v>9680</v>
      </c>
      <c r="O342" s="80" t="s">
        <v>9680</v>
      </c>
      <c r="P342" s="80"/>
      <c r="Q342" s="80" t="s">
        <v>84</v>
      </c>
      <c r="R342" s="80" t="s">
        <v>9680</v>
      </c>
    </row>
    <row r="343" spans="1:18" ht="20" x14ac:dyDescent="0.2">
      <c r="A343" s="80" t="s">
        <v>2374</v>
      </c>
      <c r="B343" s="80" t="s">
        <v>9838</v>
      </c>
      <c r="C343" s="80" t="s">
        <v>9680</v>
      </c>
      <c r="D343" s="80" t="s">
        <v>84</v>
      </c>
      <c r="E343" s="80" t="s">
        <v>84</v>
      </c>
      <c r="F343" s="80"/>
      <c r="G343" s="80" t="s">
        <v>84</v>
      </c>
      <c r="H343" s="80" t="s">
        <v>84</v>
      </c>
      <c r="I343" s="80" t="s">
        <v>84</v>
      </c>
      <c r="J343" s="80" t="s">
        <v>84</v>
      </c>
      <c r="K343" s="80" t="s">
        <v>84</v>
      </c>
      <c r="L343" s="80" t="s">
        <v>84</v>
      </c>
      <c r="M343" s="80" t="s">
        <v>84</v>
      </c>
      <c r="N343" s="80" t="s">
        <v>84</v>
      </c>
      <c r="O343" s="80" t="s">
        <v>84</v>
      </c>
      <c r="P343" s="80"/>
      <c r="Q343" s="80" t="s">
        <v>84</v>
      </c>
      <c r="R343" s="80" t="s">
        <v>84</v>
      </c>
    </row>
    <row r="344" spans="1:18" ht="20" x14ac:dyDescent="0.2">
      <c r="A344" s="80" t="s">
        <v>2374</v>
      </c>
      <c r="B344" s="80" t="s">
        <v>2375</v>
      </c>
      <c r="C344" s="80" t="s">
        <v>9680</v>
      </c>
      <c r="D344" s="80" t="s">
        <v>84</v>
      </c>
      <c r="E344" s="80" t="s">
        <v>84</v>
      </c>
      <c r="F344" s="80"/>
      <c r="G344" s="80" t="s">
        <v>84</v>
      </c>
      <c r="H344" s="80" t="s">
        <v>84</v>
      </c>
      <c r="I344" s="80" t="s">
        <v>84</v>
      </c>
      <c r="J344" s="80" t="s">
        <v>84</v>
      </c>
      <c r="K344" s="80" t="s">
        <v>84</v>
      </c>
      <c r="L344" s="80" t="s">
        <v>84</v>
      </c>
      <c r="M344" s="80" t="s">
        <v>84</v>
      </c>
      <c r="N344" s="80" t="s">
        <v>84</v>
      </c>
      <c r="O344" s="80" t="s">
        <v>84</v>
      </c>
      <c r="P344" s="80"/>
      <c r="Q344" s="80" t="s">
        <v>84</v>
      </c>
      <c r="R344" s="80" t="s">
        <v>84</v>
      </c>
    </row>
    <row r="345" spans="1:18" ht="20" x14ac:dyDescent="0.2">
      <c r="A345" s="80" t="s">
        <v>2757</v>
      </c>
      <c r="B345" s="80" t="s">
        <v>9839</v>
      </c>
      <c r="C345" s="80" t="s">
        <v>9680</v>
      </c>
      <c r="D345" s="80" t="s">
        <v>9680</v>
      </c>
      <c r="E345" s="80" t="s">
        <v>9680</v>
      </c>
      <c r="F345" s="80"/>
      <c r="G345" s="80" t="s">
        <v>9680</v>
      </c>
      <c r="H345" s="80" t="s">
        <v>9680</v>
      </c>
      <c r="I345" s="80" t="s">
        <v>9680</v>
      </c>
      <c r="J345" s="80" t="s">
        <v>84</v>
      </c>
      <c r="K345" s="80" t="s">
        <v>9680</v>
      </c>
      <c r="L345" s="80" t="s">
        <v>9680</v>
      </c>
      <c r="M345" s="80" t="s">
        <v>84</v>
      </c>
      <c r="N345" s="80" t="s">
        <v>9680</v>
      </c>
      <c r="O345" s="80" t="s">
        <v>84</v>
      </c>
      <c r="P345" s="80"/>
      <c r="Q345" s="80" t="s">
        <v>84</v>
      </c>
      <c r="R345" s="80" t="s">
        <v>84</v>
      </c>
    </row>
    <row r="346" spans="1:18" ht="20" x14ac:dyDescent="0.2">
      <c r="A346" s="80" t="s">
        <v>2757</v>
      </c>
      <c r="B346" s="80" t="s">
        <v>2758</v>
      </c>
      <c r="C346" s="80" t="s">
        <v>9680</v>
      </c>
      <c r="D346" s="80" t="s">
        <v>9680</v>
      </c>
      <c r="E346" s="80" t="s">
        <v>9680</v>
      </c>
      <c r="F346" s="80"/>
      <c r="G346" s="80" t="s">
        <v>9680</v>
      </c>
      <c r="H346" s="80" t="s">
        <v>9680</v>
      </c>
      <c r="I346" s="80" t="s">
        <v>9680</v>
      </c>
      <c r="J346" s="80" t="s">
        <v>84</v>
      </c>
      <c r="K346" s="80" t="s">
        <v>9680</v>
      </c>
      <c r="L346" s="80" t="s">
        <v>9680</v>
      </c>
      <c r="M346" s="80" t="s">
        <v>84</v>
      </c>
      <c r="N346" s="80" t="s">
        <v>9680</v>
      </c>
      <c r="O346" s="80" t="s">
        <v>84</v>
      </c>
      <c r="P346" s="80"/>
      <c r="Q346" s="80" t="s">
        <v>84</v>
      </c>
      <c r="R346" s="80" t="s">
        <v>84</v>
      </c>
    </row>
    <row r="347" spans="1:18" ht="20" x14ac:dyDescent="0.2">
      <c r="A347" s="80" t="s">
        <v>2763</v>
      </c>
      <c r="B347" s="80" t="s">
        <v>9840</v>
      </c>
      <c r="C347" s="80" t="s">
        <v>9680</v>
      </c>
      <c r="D347" s="80" t="s">
        <v>84</v>
      </c>
      <c r="E347" s="80" t="s">
        <v>84</v>
      </c>
      <c r="F347" s="80"/>
      <c r="G347" s="80" t="s">
        <v>84</v>
      </c>
      <c r="H347" s="80" t="s">
        <v>9680</v>
      </c>
      <c r="I347" s="80" t="s">
        <v>84</v>
      </c>
      <c r="J347" s="80" t="s">
        <v>84</v>
      </c>
      <c r="K347" s="80" t="s">
        <v>84</v>
      </c>
      <c r="L347" s="80" t="s">
        <v>84</v>
      </c>
      <c r="M347" s="80" t="s">
        <v>84</v>
      </c>
      <c r="N347" s="80" t="s">
        <v>84</v>
      </c>
      <c r="O347" s="80" t="s">
        <v>84</v>
      </c>
      <c r="P347" s="80"/>
      <c r="Q347" s="80" t="s">
        <v>84</v>
      </c>
      <c r="R347" s="80" t="s">
        <v>84</v>
      </c>
    </row>
    <row r="348" spans="1:18" ht="20" x14ac:dyDescent="0.2">
      <c r="A348" s="80" t="s">
        <v>2763</v>
      </c>
      <c r="B348" s="80" t="s">
        <v>2764</v>
      </c>
      <c r="C348" s="80" t="s">
        <v>9680</v>
      </c>
      <c r="D348" s="80" t="s">
        <v>84</v>
      </c>
      <c r="E348" s="80" t="s">
        <v>84</v>
      </c>
      <c r="F348" s="80"/>
      <c r="G348" s="80" t="s">
        <v>84</v>
      </c>
      <c r="H348" s="80" t="s">
        <v>9680</v>
      </c>
      <c r="I348" s="80" t="s">
        <v>84</v>
      </c>
      <c r="J348" s="80" t="s">
        <v>84</v>
      </c>
      <c r="K348" s="80" t="s">
        <v>84</v>
      </c>
      <c r="L348" s="80" t="s">
        <v>84</v>
      </c>
      <c r="M348" s="80" t="s">
        <v>84</v>
      </c>
      <c r="N348" s="80" t="s">
        <v>84</v>
      </c>
      <c r="O348" s="80" t="s">
        <v>84</v>
      </c>
      <c r="P348" s="80"/>
      <c r="Q348" s="80" t="s">
        <v>84</v>
      </c>
      <c r="R348" s="80" t="s">
        <v>84</v>
      </c>
    </row>
    <row r="349" spans="1:18" ht="20" x14ac:dyDescent="0.2">
      <c r="A349" s="80" t="s">
        <v>2765</v>
      </c>
      <c r="B349" s="80" t="s">
        <v>9841</v>
      </c>
      <c r="C349" s="80" t="s">
        <v>9680</v>
      </c>
      <c r="D349" s="80" t="s">
        <v>9680</v>
      </c>
      <c r="E349" s="80" t="s">
        <v>9680</v>
      </c>
      <c r="F349" s="80"/>
      <c r="G349" s="80" t="s">
        <v>9680</v>
      </c>
      <c r="H349" s="80" t="s">
        <v>9680</v>
      </c>
      <c r="I349" s="80" t="s">
        <v>9680</v>
      </c>
      <c r="J349" s="80" t="s">
        <v>9680</v>
      </c>
      <c r="K349" s="80" t="s">
        <v>9680</v>
      </c>
      <c r="L349" s="80" t="s">
        <v>9680</v>
      </c>
      <c r="M349" s="80" t="s">
        <v>9680</v>
      </c>
      <c r="N349" s="80" t="s">
        <v>9680</v>
      </c>
      <c r="O349" s="80" t="s">
        <v>9680</v>
      </c>
      <c r="P349" s="80"/>
      <c r="Q349" s="80" t="s">
        <v>9680</v>
      </c>
      <c r="R349" s="80" t="s">
        <v>9680</v>
      </c>
    </row>
    <row r="350" spans="1:18" ht="20" x14ac:dyDescent="0.2">
      <c r="A350" s="80" t="s">
        <v>2765</v>
      </c>
      <c r="B350" s="80" t="s">
        <v>2766</v>
      </c>
      <c r="C350" s="80" t="s">
        <v>9680</v>
      </c>
      <c r="D350" s="80" t="s">
        <v>9680</v>
      </c>
      <c r="E350" s="80" t="s">
        <v>9680</v>
      </c>
      <c r="F350" s="80"/>
      <c r="G350" s="80" t="s">
        <v>9680</v>
      </c>
      <c r="H350" s="80" t="s">
        <v>9680</v>
      </c>
      <c r="I350" s="80" t="s">
        <v>9680</v>
      </c>
      <c r="J350" s="80" t="s">
        <v>9680</v>
      </c>
      <c r="K350" s="80" t="s">
        <v>9680</v>
      </c>
      <c r="L350" s="80" t="s">
        <v>9680</v>
      </c>
      <c r="M350" s="80" t="s">
        <v>9680</v>
      </c>
      <c r="N350" s="80" t="s">
        <v>9680</v>
      </c>
      <c r="O350" s="80" t="s">
        <v>9680</v>
      </c>
      <c r="P350" s="80"/>
      <c r="Q350" s="80" t="s">
        <v>9680</v>
      </c>
      <c r="R350" s="80" t="s">
        <v>9680</v>
      </c>
    </row>
    <row r="351" spans="1:18" ht="20" x14ac:dyDescent="0.2">
      <c r="A351" s="80" t="s">
        <v>2898</v>
      </c>
      <c r="B351" s="80" t="s">
        <v>9842</v>
      </c>
      <c r="C351" s="80" t="s">
        <v>9680</v>
      </c>
      <c r="D351" s="80" t="s">
        <v>9680</v>
      </c>
      <c r="E351" s="80" t="s">
        <v>9680</v>
      </c>
      <c r="F351" s="80"/>
      <c r="G351" s="80" t="s">
        <v>9680</v>
      </c>
      <c r="H351" s="80" t="s">
        <v>9680</v>
      </c>
      <c r="I351" s="80" t="s">
        <v>9680</v>
      </c>
      <c r="J351" s="80" t="s">
        <v>9680</v>
      </c>
      <c r="K351" s="80" t="s">
        <v>9680</v>
      </c>
      <c r="L351" s="80" t="s">
        <v>9680</v>
      </c>
      <c r="M351" s="80" t="s">
        <v>9680</v>
      </c>
      <c r="N351" s="80" t="s">
        <v>9680</v>
      </c>
      <c r="O351" s="80" t="s">
        <v>9680</v>
      </c>
      <c r="P351" s="80"/>
      <c r="Q351" s="80" t="s">
        <v>9680</v>
      </c>
      <c r="R351" s="80" t="s">
        <v>9680</v>
      </c>
    </row>
    <row r="352" spans="1:18" ht="20" x14ac:dyDescent="0.2">
      <c r="A352" s="80" t="s">
        <v>2898</v>
      </c>
      <c r="B352" s="80" t="s">
        <v>2899</v>
      </c>
      <c r="C352" s="80" t="s">
        <v>9680</v>
      </c>
      <c r="D352" s="80" t="s">
        <v>9680</v>
      </c>
      <c r="E352" s="80" t="s">
        <v>9680</v>
      </c>
      <c r="F352" s="80"/>
      <c r="G352" s="80" t="s">
        <v>9680</v>
      </c>
      <c r="H352" s="80" t="s">
        <v>9680</v>
      </c>
      <c r="I352" s="80" t="s">
        <v>9680</v>
      </c>
      <c r="J352" s="80" t="s">
        <v>9680</v>
      </c>
      <c r="K352" s="80" t="s">
        <v>9680</v>
      </c>
      <c r="L352" s="80" t="s">
        <v>9680</v>
      </c>
      <c r="M352" s="80" t="s">
        <v>9680</v>
      </c>
      <c r="N352" s="80" t="s">
        <v>9680</v>
      </c>
      <c r="O352" s="80" t="s">
        <v>9680</v>
      </c>
      <c r="P352" s="80"/>
      <c r="Q352" s="80" t="s">
        <v>9680</v>
      </c>
      <c r="R352" s="80" t="s">
        <v>9680</v>
      </c>
    </row>
    <row r="353" spans="1:18" ht="20" x14ac:dyDescent="0.2">
      <c r="A353" s="80" t="s">
        <v>2625</v>
      </c>
      <c r="B353" s="80" t="s">
        <v>2626</v>
      </c>
      <c r="C353" s="80" t="s">
        <v>9680</v>
      </c>
      <c r="D353" s="80" t="s">
        <v>84</v>
      </c>
      <c r="E353" s="80" t="s">
        <v>84</v>
      </c>
      <c r="F353" s="80"/>
      <c r="G353" s="80" t="s">
        <v>84</v>
      </c>
      <c r="H353" s="80" t="s">
        <v>84</v>
      </c>
      <c r="I353" s="80" t="s">
        <v>84</v>
      </c>
      <c r="J353" s="80" t="s">
        <v>84</v>
      </c>
      <c r="K353" s="80" t="s">
        <v>84</v>
      </c>
      <c r="L353" s="80" t="s">
        <v>84</v>
      </c>
      <c r="M353" s="80" t="s">
        <v>9680</v>
      </c>
      <c r="N353" s="80" t="s">
        <v>84</v>
      </c>
      <c r="O353" s="80" t="s">
        <v>84</v>
      </c>
      <c r="P353" s="80"/>
      <c r="Q353" s="80" t="s">
        <v>84</v>
      </c>
      <c r="R353" s="80" t="s">
        <v>84</v>
      </c>
    </row>
    <row r="354" spans="1:18" ht="20" x14ac:dyDescent="0.2">
      <c r="A354" s="80" t="s">
        <v>2625</v>
      </c>
      <c r="B354" s="80" t="s">
        <v>9843</v>
      </c>
      <c r="C354" s="80" t="s">
        <v>9680</v>
      </c>
      <c r="D354" s="80" t="s">
        <v>84</v>
      </c>
      <c r="E354" s="80" t="s">
        <v>84</v>
      </c>
      <c r="F354" s="80"/>
      <c r="G354" s="80" t="s">
        <v>84</v>
      </c>
      <c r="H354" s="80" t="s">
        <v>84</v>
      </c>
      <c r="I354" s="80" t="s">
        <v>84</v>
      </c>
      <c r="J354" s="80" t="s">
        <v>84</v>
      </c>
      <c r="K354" s="80" t="s">
        <v>84</v>
      </c>
      <c r="L354" s="80" t="s">
        <v>84</v>
      </c>
      <c r="M354" s="80" t="s">
        <v>9680</v>
      </c>
      <c r="N354" s="80" t="s">
        <v>84</v>
      </c>
      <c r="O354" s="80" t="s">
        <v>84</v>
      </c>
      <c r="P354" s="80"/>
      <c r="Q354" s="80" t="s">
        <v>84</v>
      </c>
      <c r="R354" s="80" t="s">
        <v>84</v>
      </c>
    </row>
    <row r="355" spans="1:18" ht="20" x14ac:dyDescent="0.2">
      <c r="A355" s="80" t="s">
        <v>2625</v>
      </c>
      <c r="B355" s="80" t="s">
        <v>2767</v>
      </c>
      <c r="C355" s="80" t="s">
        <v>9680</v>
      </c>
      <c r="D355" s="80" t="s">
        <v>84</v>
      </c>
      <c r="E355" s="80" t="s">
        <v>84</v>
      </c>
      <c r="F355" s="80"/>
      <c r="G355" s="80" t="s">
        <v>84</v>
      </c>
      <c r="H355" s="80" t="s">
        <v>84</v>
      </c>
      <c r="I355" s="80" t="s">
        <v>84</v>
      </c>
      <c r="J355" s="80" t="s">
        <v>84</v>
      </c>
      <c r="K355" s="80" t="s">
        <v>84</v>
      </c>
      <c r="L355" s="80" t="s">
        <v>84</v>
      </c>
      <c r="M355" s="80" t="s">
        <v>9680</v>
      </c>
      <c r="N355" s="80" t="s">
        <v>84</v>
      </c>
      <c r="O355" s="80" t="s">
        <v>84</v>
      </c>
      <c r="P355" s="80"/>
      <c r="Q355" s="80" t="s">
        <v>84</v>
      </c>
      <c r="R355" s="80" t="s">
        <v>84</v>
      </c>
    </row>
    <row r="356" spans="1:18" ht="20" x14ac:dyDescent="0.2">
      <c r="A356" s="80" t="s">
        <v>2768</v>
      </c>
      <c r="B356" s="80" t="s">
        <v>2769</v>
      </c>
      <c r="C356" s="80" t="s">
        <v>9680</v>
      </c>
      <c r="D356" s="80" t="s">
        <v>84</v>
      </c>
      <c r="E356" s="80" t="s">
        <v>84</v>
      </c>
      <c r="F356" s="80"/>
      <c r="G356" s="80" t="s">
        <v>84</v>
      </c>
      <c r="H356" s="80" t="s">
        <v>84</v>
      </c>
      <c r="I356" s="80" t="s">
        <v>84</v>
      </c>
      <c r="J356" s="80" t="s">
        <v>84</v>
      </c>
      <c r="K356" s="80" t="s">
        <v>84</v>
      </c>
      <c r="L356" s="80" t="s">
        <v>84</v>
      </c>
      <c r="M356" s="80" t="s">
        <v>84</v>
      </c>
      <c r="N356" s="80" t="s">
        <v>84</v>
      </c>
      <c r="O356" s="80" t="s">
        <v>84</v>
      </c>
      <c r="P356" s="80"/>
      <c r="Q356" s="80" t="s">
        <v>84</v>
      </c>
      <c r="R356" s="80" t="s">
        <v>84</v>
      </c>
    </row>
    <row r="357" spans="1:18" ht="20" x14ac:dyDescent="0.2">
      <c r="A357" s="80" t="s">
        <v>2633</v>
      </c>
      <c r="B357" s="80" t="s">
        <v>2634</v>
      </c>
      <c r="C357" s="80" t="s">
        <v>9680</v>
      </c>
      <c r="D357" s="80" t="s">
        <v>84</v>
      </c>
      <c r="E357" s="80" t="s">
        <v>84</v>
      </c>
      <c r="F357" s="80"/>
      <c r="G357" s="80" t="s">
        <v>84</v>
      </c>
      <c r="H357" s="80" t="s">
        <v>84</v>
      </c>
      <c r="I357" s="80" t="s">
        <v>84</v>
      </c>
      <c r="J357" s="80" t="s">
        <v>84</v>
      </c>
      <c r="K357" s="80" t="s">
        <v>84</v>
      </c>
      <c r="L357" s="80" t="s">
        <v>84</v>
      </c>
      <c r="M357" s="80" t="s">
        <v>84</v>
      </c>
      <c r="N357" s="80" t="s">
        <v>84</v>
      </c>
      <c r="O357" s="80" t="s">
        <v>84</v>
      </c>
      <c r="P357" s="80"/>
      <c r="Q357" s="80" t="s">
        <v>84</v>
      </c>
      <c r="R357" s="80" t="s">
        <v>84</v>
      </c>
    </row>
    <row r="358" spans="1:18" ht="20" x14ac:dyDescent="0.2">
      <c r="A358" s="80" t="s">
        <v>2633</v>
      </c>
      <c r="B358" s="80" t="s">
        <v>9844</v>
      </c>
      <c r="C358" s="80" t="s">
        <v>9680</v>
      </c>
      <c r="D358" s="80" t="s">
        <v>84</v>
      </c>
      <c r="E358" s="80" t="s">
        <v>84</v>
      </c>
      <c r="F358" s="80"/>
      <c r="G358" s="80" t="s">
        <v>84</v>
      </c>
      <c r="H358" s="80" t="s">
        <v>84</v>
      </c>
      <c r="I358" s="80" t="s">
        <v>84</v>
      </c>
      <c r="J358" s="80" t="s">
        <v>84</v>
      </c>
      <c r="K358" s="80" t="s">
        <v>84</v>
      </c>
      <c r="L358" s="80" t="s">
        <v>84</v>
      </c>
      <c r="M358" s="80" t="s">
        <v>84</v>
      </c>
      <c r="N358" s="80" t="s">
        <v>84</v>
      </c>
      <c r="O358" s="80" t="s">
        <v>84</v>
      </c>
      <c r="P358" s="80"/>
      <c r="Q358" s="80" t="s">
        <v>84</v>
      </c>
      <c r="R358" s="80" t="s">
        <v>84</v>
      </c>
    </row>
    <row r="359" spans="1:18" ht="20" x14ac:dyDescent="0.2">
      <c r="A359" s="80" t="s">
        <v>2633</v>
      </c>
      <c r="B359" s="80" t="s">
        <v>2775</v>
      </c>
      <c r="C359" s="80" t="s">
        <v>9680</v>
      </c>
      <c r="D359" s="80" t="s">
        <v>84</v>
      </c>
      <c r="E359" s="80" t="s">
        <v>84</v>
      </c>
      <c r="F359" s="80"/>
      <c r="G359" s="80" t="s">
        <v>84</v>
      </c>
      <c r="H359" s="80" t="s">
        <v>84</v>
      </c>
      <c r="I359" s="80" t="s">
        <v>84</v>
      </c>
      <c r="J359" s="80" t="s">
        <v>84</v>
      </c>
      <c r="K359" s="80" t="s">
        <v>84</v>
      </c>
      <c r="L359" s="80" t="s">
        <v>84</v>
      </c>
      <c r="M359" s="80" t="s">
        <v>84</v>
      </c>
      <c r="N359" s="80" t="s">
        <v>84</v>
      </c>
      <c r="O359" s="80" t="s">
        <v>84</v>
      </c>
      <c r="P359" s="80"/>
      <c r="Q359" s="80" t="s">
        <v>84</v>
      </c>
      <c r="R359" s="80" t="s">
        <v>84</v>
      </c>
    </row>
    <row r="360" spans="1:18" ht="20" x14ac:dyDescent="0.2">
      <c r="A360" s="80" t="s">
        <v>2778</v>
      </c>
      <c r="B360" s="80" t="s">
        <v>9845</v>
      </c>
      <c r="C360" s="80" t="s">
        <v>9680</v>
      </c>
      <c r="D360" s="80" t="s">
        <v>84</v>
      </c>
      <c r="E360" s="80" t="s">
        <v>84</v>
      </c>
      <c r="F360" s="80"/>
      <c r="G360" s="80" t="s">
        <v>84</v>
      </c>
      <c r="H360" s="80" t="s">
        <v>84</v>
      </c>
      <c r="I360" s="80" t="s">
        <v>84</v>
      </c>
      <c r="J360" s="80" t="s">
        <v>84</v>
      </c>
      <c r="K360" s="80" t="s">
        <v>84</v>
      </c>
      <c r="L360" s="80" t="s">
        <v>84</v>
      </c>
      <c r="M360" s="80" t="s">
        <v>84</v>
      </c>
      <c r="N360" s="80" t="s">
        <v>84</v>
      </c>
      <c r="O360" s="80" t="s">
        <v>84</v>
      </c>
      <c r="P360" s="80"/>
      <c r="Q360" s="80" t="s">
        <v>84</v>
      </c>
      <c r="R360" s="80" t="s">
        <v>84</v>
      </c>
    </row>
    <row r="361" spans="1:18" ht="20" x14ac:dyDescent="0.2">
      <c r="A361" s="80" t="s">
        <v>2778</v>
      </c>
      <c r="B361" s="80" t="s">
        <v>2779</v>
      </c>
      <c r="C361" s="80" t="s">
        <v>9680</v>
      </c>
      <c r="D361" s="80" t="s">
        <v>84</v>
      </c>
      <c r="E361" s="80" t="s">
        <v>84</v>
      </c>
      <c r="F361" s="80"/>
      <c r="G361" s="80" t="s">
        <v>84</v>
      </c>
      <c r="H361" s="80" t="s">
        <v>84</v>
      </c>
      <c r="I361" s="80" t="s">
        <v>84</v>
      </c>
      <c r="J361" s="80" t="s">
        <v>84</v>
      </c>
      <c r="K361" s="80" t="s">
        <v>84</v>
      </c>
      <c r="L361" s="80" t="s">
        <v>84</v>
      </c>
      <c r="M361" s="80" t="s">
        <v>84</v>
      </c>
      <c r="N361" s="80" t="s">
        <v>84</v>
      </c>
      <c r="O361" s="80" t="s">
        <v>84</v>
      </c>
      <c r="P361" s="80"/>
      <c r="Q361" s="80" t="s">
        <v>84</v>
      </c>
      <c r="R361" s="80" t="s">
        <v>84</v>
      </c>
    </row>
    <row r="362" spans="1:18" ht="20" x14ac:dyDescent="0.2">
      <c r="A362" s="80" t="s">
        <v>2780</v>
      </c>
      <c r="B362" s="80" t="s">
        <v>9846</v>
      </c>
      <c r="C362" s="80" t="s">
        <v>9680</v>
      </c>
      <c r="D362" s="80" t="s">
        <v>9680</v>
      </c>
      <c r="E362" s="80" t="s">
        <v>9680</v>
      </c>
      <c r="F362" s="80"/>
      <c r="G362" s="80" t="s">
        <v>9680</v>
      </c>
      <c r="H362" s="80" t="s">
        <v>9680</v>
      </c>
      <c r="I362" s="80" t="s">
        <v>9680</v>
      </c>
      <c r="J362" s="80" t="s">
        <v>84</v>
      </c>
      <c r="K362" s="80" t="s">
        <v>9680</v>
      </c>
      <c r="L362" s="80" t="s">
        <v>9680</v>
      </c>
      <c r="M362" s="80" t="s">
        <v>84</v>
      </c>
      <c r="N362" s="80" t="s">
        <v>9680</v>
      </c>
      <c r="O362" s="80" t="s">
        <v>84</v>
      </c>
      <c r="P362" s="80"/>
      <c r="Q362" s="80" t="s">
        <v>84</v>
      </c>
      <c r="R362" s="80" t="s">
        <v>84</v>
      </c>
    </row>
    <row r="363" spans="1:18" ht="20" x14ac:dyDescent="0.2">
      <c r="A363" s="80" t="s">
        <v>2780</v>
      </c>
      <c r="B363" s="80" t="s">
        <v>2781</v>
      </c>
      <c r="C363" s="80" t="s">
        <v>9680</v>
      </c>
      <c r="D363" s="80" t="s">
        <v>9680</v>
      </c>
      <c r="E363" s="80" t="s">
        <v>9680</v>
      </c>
      <c r="F363" s="80"/>
      <c r="G363" s="80" t="s">
        <v>9680</v>
      </c>
      <c r="H363" s="80" t="s">
        <v>9680</v>
      </c>
      <c r="I363" s="80" t="s">
        <v>9680</v>
      </c>
      <c r="J363" s="80" t="s">
        <v>84</v>
      </c>
      <c r="K363" s="80" t="s">
        <v>9680</v>
      </c>
      <c r="L363" s="80" t="s">
        <v>9680</v>
      </c>
      <c r="M363" s="80" t="s">
        <v>84</v>
      </c>
      <c r="N363" s="80" t="s">
        <v>9680</v>
      </c>
      <c r="O363" s="80" t="s">
        <v>84</v>
      </c>
      <c r="P363" s="80"/>
      <c r="Q363" s="80" t="s">
        <v>84</v>
      </c>
      <c r="R363" s="80" t="s">
        <v>84</v>
      </c>
    </row>
    <row r="364" spans="1:18" x14ac:dyDescent="0.2">
      <c r="A364" s="80" t="s">
        <v>1874</v>
      </c>
      <c r="B364" s="80" t="s">
        <v>1875</v>
      </c>
      <c r="C364" s="80" t="s">
        <v>84</v>
      </c>
      <c r="D364" s="80" t="s">
        <v>84</v>
      </c>
      <c r="E364" s="80" t="s">
        <v>84</v>
      </c>
      <c r="F364" s="80"/>
      <c r="G364" s="80" t="s">
        <v>84</v>
      </c>
      <c r="H364" s="80" t="s">
        <v>84</v>
      </c>
      <c r="I364" s="80" t="s">
        <v>84</v>
      </c>
      <c r="J364" s="80" t="s">
        <v>84</v>
      </c>
      <c r="K364" s="80" t="s">
        <v>84</v>
      </c>
      <c r="L364" s="80" t="s">
        <v>84</v>
      </c>
      <c r="M364" s="80" t="s">
        <v>84</v>
      </c>
      <c r="N364" s="80" t="s">
        <v>84</v>
      </c>
      <c r="O364" s="80" t="s">
        <v>84</v>
      </c>
      <c r="P364" s="80"/>
      <c r="Q364" s="80" t="s">
        <v>84</v>
      </c>
      <c r="R364" s="80" t="s">
        <v>84</v>
      </c>
    </row>
    <row r="365" spans="1:18" ht="20" x14ac:dyDescent="0.2">
      <c r="A365" s="80" t="s">
        <v>1877</v>
      </c>
      <c r="B365" s="80" t="s">
        <v>1878</v>
      </c>
      <c r="C365" s="80" t="s">
        <v>9680</v>
      </c>
      <c r="D365" s="80" t="s">
        <v>9680</v>
      </c>
      <c r="E365" s="80" t="s">
        <v>84</v>
      </c>
      <c r="F365" s="80"/>
      <c r="G365" s="80" t="s">
        <v>84</v>
      </c>
      <c r="H365" s="80" t="s">
        <v>84</v>
      </c>
      <c r="I365" s="80" t="s">
        <v>9680</v>
      </c>
      <c r="J365" s="80" t="s">
        <v>84</v>
      </c>
      <c r="K365" s="80" t="s">
        <v>9680</v>
      </c>
      <c r="L365" s="80" t="s">
        <v>9680</v>
      </c>
      <c r="M365" s="80" t="s">
        <v>9680</v>
      </c>
      <c r="N365" s="80" t="s">
        <v>84</v>
      </c>
      <c r="O365" s="80" t="s">
        <v>9680</v>
      </c>
      <c r="P365" s="80"/>
      <c r="Q365" s="80" t="s">
        <v>9680</v>
      </c>
      <c r="R365" s="80" t="s">
        <v>9680</v>
      </c>
    </row>
    <row r="366" spans="1:18" ht="20" x14ac:dyDescent="0.2">
      <c r="A366" s="80" t="s">
        <v>1886</v>
      </c>
      <c r="B366" s="80" t="s">
        <v>1887</v>
      </c>
      <c r="C366" s="80" t="s">
        <v>9680</v>
      </c>
      <c r="D366" s="80" t="s">
        <v>9680</v>
      </c>
      <c r="E366" s="80" t="s">
        <v>84</v>
      </c>
      <c r="F366" s="80"/>
      <c r="G366" s="80" t="s">
        <v>84</v>
      </c>
      <c r="H366" s="80" t="s">
        <v>84</v>
      </c>
      <c r="I366" s="80" t="s">
        <v>9680</v>
      </c>
      <c r="J366" s="80" t="s">
        <v>84</v>
      </c>
      <c r="K366" s="80" t="s">
        <v>9680</v>
      </c>
      <c r="L366" s="80" t="s">
        <v>9680</v>
      </c>
      <c r="M366" s="80" t="s">
        <v>84</v>
      </c>
      <c r="N366" s="80" t="s">
        <v>84</v>
      </c>
      <c r="O366" s="80" t="s">
        <v>9680</v>
      </c>
      <c r="P366" s="80"/>
      <c r="Q366" s="80" t="s">
        <v>9680</v>
      </c>
      <c r="R366" s="80" t="s">
        <v>9680</v>
      </c>
    </row>
    <row r="367" spans="1:18" ht="20" x14ac:dyDescent="0.2">
      <c r="A367" s="80" t="s">
        <v>1950</v>
      </c>
      <c r="B367" s="80" t="s">
        <v>9847</v>
      </c>
      <c r="C367" s="80" t="s">
        <v>9680</v>
      </c>
      <c r="D367" s="80" t="s">
        <v>84</v>
      </c>
      <c r="E367" s="80" t="s">
        <v>84</v>
      </c>
      <c r="F367" s="80"/>
      <c r="G367" s="80" t="s">
        <v>84</v>
      </c>
      <c r="H367" s="80" t="s">
        <v>84</v>
      </c>
      <c r="I367" s="80" t="s">
        <v>84</v>
      </c>
      <c r="J367" s="80" t="s">
        <v>84</v>
      </c>
      <c r="K367" s="80" t="s">
        <v>84</v>
      </c>
      <c r="L367" s="80" t="s">
        <v>84</v>
      </c>
      <c r="M367" s="80" t="s">
        <v>84</v>
      </c>
      <c r="N367" s="80" t="s">
        <v>84</v>
      </c>
      <c r="O367" s="80" t="s">
        <v>84</v>
      </c>
      <c r="P367" s="80"/>
      <c r="Q367" s="80" t="s">
        <v>84</v>
      </c>
      <c r="R367" s="80" t="s">
        <v>84</v>
      </c>
    </row>
    <row r="368" spans="1:18" ht="20" x14ac:dyDescent="0.2">
      <c r="A368" s="80" t="s">
        <v>1950</v>
      </c>
      <c r="B368" s="80" t="s">
        <v>1951</v>
      </c>
      <c r="C368" s="80" t="s">
        <v>9680</v>
      </c>
      <c r="D368" s="80" t="s">
        <v>84</v>
      </c>
      <c r="E368" s="80" t="s">
        <v>84</v>
      </c>
      <c r="F368" s="80"/>
      <c r="G368" s="80" t="s">
        <v>84</v>
      </c>
      <c r="H368" s="80" t="s">
        <v>84</v>
      </c>
      <c r="I368" s="80" t="s">
        <v>84</v>
      </c>
      <c r="J368" s="80" t="s">
        <v>84</v>
      </c>
      <c r="K368" s="80" t="s">
        <v>84</v>
      </c>
      <c r="L368" s="80" t="s">
        <v>84</v>
      </c>
      <c r="M368" s="80" t="s">
        <v>84</v>
      </c>
      <c r="N368" s="80" t="s">
        <v>84</v>
      </c>
      <c r="O368" s="80" t="s">
        <v>84</v>
      </c>
      <c r="P368" s="80"/>
      <c r="Q368" s="80" t="s">
        <v>84</v>
      </c>
      <c r="R368" s="80" t="s">
        <v>84</v>
      </c>
    </row>
    <row r="369" spans="1:18" ht="20" x14ac:dyDescent="0.2">
      <c r="A369" s="80" t="s">
        <v>1952</v>
      </c>
      <c r="B369" s="80" t="s">
        <v>9848</v>
      </c>
      <c r="C369" s="80" t="s">
        <v>9680</v>
      </c>
      <c r="D369" s="80" t="s">
        <v>84</v>
      </c>
      <c r="E369" s="80" t="s">
        <v>84</v>
      </c>
      <c r="F369" s="80"/>
      <c r="G369" s="80" t="s">
        <v>84</v>
      </c>
      <c r="H369" s="80" t="s">
        <v>84</v>
      </c>
      <c r="I369" s="80" t="s">
        <v>84</v>
      </c>
      <c r="J369" s="80" t="s">
        <v>84</v>
      </c>
      <c r="K369" s="80" t="s">
        <v>84</v>
      </c>
      <c r="L369" s="80" t="s">
        <v>84</v>
      </c>
      <c r="M369" s="80" t="s">
        <v>84</v>
      </c>
      <c r="N369" s="80" t="s">
        <v>84</v>
      </c>
      <c r="O369" s="80" t="s">
        <v>84</v>
      </c>
      <c r="P369" s="80"/>
      <c r="Q369" s="80" t="s">
        <v>84</v>
      </c>
      <c r="R369" s="80" t="s">
        <v>84</v>
      </c>
    </row>
    <row r="370" spans="1:18" ht="20" x14ac:dyDescent="0.2">
      <c r="A370" s="80" t="s">
        <v>1952</v>
      </c>
      <c r="B370" s="80" t="s">
        <v>1953</v>
      </c>
      <c r="C370" s="80" t="s">
        <v>9680</v>
      </c>
      <c r="D370" s="80" t="s">
        <v>84</v>
      </c>
      <c r="E370" s="80" t="s">
        <v>84</v>
      </c>
      <c r="F370" s="80"/>
      <c r="G370" s="80" t="s">
        <v>84</v>
      </c>
      <c r="H370" s="80" t="s">
        <v>84</v>
      </c>
      <c r="I370" s="80" t="s">
        <v>84</v>
      </c>
      <c r="J370" s="80" t="s">
        <v>84</v>
      </c>
      <c r="K370" s="80" t="s">
        <v>84</v>
      </c>
      <c r="L370" s="80" t="s">
        <v>84</v>
      </c>
      <c r="M370" s="80" t="s">
        <v>84</v>
      </c>
      <c r="N370" s="80" t="s">
        <v>84</v>
      </c>
      <c r="O370" s="80" t="s">
        <v>84</v>
      </c>
      <c r="P370" s="80"/>
      <c r="Q370" s="80" t="s">
        <v>84</v>
      </c>
      <c r="R370" s="80" t="s">
        <v>84</v>
      </c>
    </row>
    <row r="371" spans="1:18" ht="20" x14ac:dyDescent="0.2">
      <c r="A371" s="80" t="s">
        <v>1929</v>
      </c>
      <c r="B371" s="80" t="s">
        <v>9849</v>
      </c>
      <c r="C371" s="80" t="s">
        <v>84</v>
      </c>
      <c r="D371" s="80" t="s">
        <v>84</v>
      </c>
      <c r="E371" s="80" t="s">
        <v>84</v>
      </c>
      <c r="F371" s="80"/>
      <c r="G371" s="80" t="s">
        <v>84</v>
      </c>
      <c r="H371" s="80" t="s">
        <v>84</v>
      </c>
      <c r="I371" s="80" t="s">
        <v>84</v>
      </c>
      <c r="J371" s="80" t="s">
        <v>84</v>
      </c>
      <c r="K371" s="80" t="s">
        <v>84</v>
      </c>
      <c r="L371" s="80" t="s">
        <v>84</v>
      </c>
      <c r="M371" s="80" t="s">
        <v>84</v>
      </c>
      <c r="N371" s="80" t="s">
        <v>84</v>
      </c>
      <c r="O371" s="80" t="s">
        <v>84</v>
      </c>
      <c r="P371" s="80"/>
      <c r="Q371" s="80" t="s">
        <v>84</v>
      </c>
      <c r="R371" s="80" t="s">
        <v>84</v>
      </c>
    </row>
    <row r="372" spans="1:18" ht="20" x14ac:dyDescent="0.2">
      <c r="A372" s="80" t="s">
        <v>1929</v>
      </c>
      <c r="B372" s="80" t="s">
        <v>9850</v>
      </c>
      <c r="C372" s="80" t="s">
        <v>84</v>
      </c>
      <c r="D372" s="80" t="s">
        <v>84</v>
      </c>
      <c r="E372" s="80" t="s">
        <v>84</v>
      </c>
      <c r="F372" s="80"/>
      <c r="G372" s="80" t="s">
        <v>84</v>
      </c>
      <c r="H372" s="80" t="s">
        <v>84</v>
      </c>
      <c r="I372" s="80" t="s">
        <v>84</v>
      </c>
      <c r="J372" s="80" t="s">
        <v>84</v>
      </c>
      <c r="K372" s="80" t="s">
        <v>84</v>
      </c>
      <c r="L372" s="80" t="s">
        <v>84</v>
      </c>
      <c r="M372" s="80" t="s">
        <v>84</v>
      </c>
      <c r="N372" s="80" t="s">
        <v>84</v>
      </c>
      <c r="O372" s="80" t="s">
        <v>84</v>
      </c>
      <c r="P372" s="80"/>
      <c r="Q372" s="80" t="s">
        <v>84</v>
      </c>
      <c r="R372" s="80" t="s">
        <v>84</v>
      </c>
    </row>
    <row r="373" spans="1:18" x14ac:dyDescent="0.2">
      <c r="A373" s="80" t="s">
        <v>1929</v>
      </c>
      <c r="B373" s="80" t="s">
        <v>1930</v>
      </c>
      <c r="C373" s="80" t="s">
        <v>84</v>
      </c>
      <c r="D373" s="80" t="s">
        <v>84</v>
      </c>
      <c r="E373" s="80" t="s">
        <v>84</v>
      </c>
      <c r="F373" s="80"/>
      <c r="G373" s="80" t="s">
        <v>84</v>
      </c>
      <c r="H373" s="80" t="s">
        <v>84</v>
      </c>
      <c r="I373" s="80" t="s">
        <v>84</v>
      </c>
      <c r="J373" s="80" t="s">
        <v>84</v>
      </c>
      <c r="K373" s="80" t="s">
        <v>84</v>
      </c>
      <c r="L373" s="80" t="s">
        <v>84</v>
      </c>
      <c r="M373" s="80" t="s">
        <v>84</v>
      </c>
      <c r="N373" s="80" t="s">
        <v>84</v>
      </c>
      <c r="O373" s="80" t="s">
        <v>84</v>
      </c>
      <c r="P373" s="80"/>
      <c r="Q373" s="80" t="s">
        <v>84</v>
      </c>
      <c r="R373" s="80" t="s">
        <v>84</v>
      </c>
    </row>
    <row r="374" spans="1:18" ht="20" x14ac:dyDescent="0.2">
      <c r="A374" s="80" t="s">
        <v>1931</v>
      </c>
      <c r="B374" s="80" t="s">
        <v>9851</v>
      </c>
      <c r="C374" s="80" t="s">
        <v>84</v>
      </c>
      <c r="D374" s="80" t="s">
        <v>84</v>
      </c>
      <c r="E374" s="80" t="s">
        <v>84</v>
      </c>
      <c r="F374" s="80"/>
      <c r="G374" s="80" t="s">
        <v>84</v>
      </c>
      <c r="H374" s="80" t="s">
        <v>84</v>
      </c>
      <c r="I374" s="80" t="s">
        <v>84</v>
      </c>
      <c r="J374" s="80" t="s">
        <v>84</v>
      </c>
      <c r="K374" s="80" t="s">
        <v>84</v>
      </c>
      <c r="L374" s="80" t="s">
        <v>84</v>
      </c>
      <c r="M374" s="80" t="s">
        <v>84</v>
      </c>
      <c r="N374" s="80" t="s">
        <v>84</v>
      </c>
      <c r="O374" s="80" t="s">
        <v>84</v>
      </c>
      <c r="P374" s="80"/>
      <c r="Q374" s="80" t="s">
        <v>84</v>
      </c>
      <c r="R374" s="80" t="s">
        <v>84</v>
      </c>
    </row>
    <row r="375" spans="1:18" ht="20" x14ac:dyDescent="0.2">
      <c r="A375" s="80" t="s">
        <v>1931</v>
      </c>
      <c r="B375" s="80" t="s">
        <v>9852</v>
      </c>
      <c r="C375" s="80" t="s">
        <v>84</v>
      </c>
      <c r="D375" s="80" t="s">
        <v>84</v>
      </c>
      <c r="E375" s="80" t="s">
        <v>84</v>
      </c>
      <c r="F375" s="80"/>
      <c r="G375" s="80" t="s">
        <v>84</v>
      </c>
      <c r="H375" s="80" t="s">
        <v>84</v>
      </c>
      <c r="I375" s="80" t="s">
        <v>84</v>
      </c>
      <c r="J375" s="80" t="s">
        <v>84</v>
      </c>
      <c r="K375" s="80" t="s">
        <v>84</v>
      </c>
      <c r="L375" s="80" t="s">
        <v>84</v>
      </c>
      <c r="M375" s="80" t="s">
        <v>84</v>
      </c>
      <c r="N375" s="80" t="s">
        <v>84</v>
      </c>
      <c r="O375" s="80" t="s">
        <v>84</v>
      </c>
      <c r="P375" s="80"/>
      <c r="Q375" s="80" t="s">
        <v>84</v>
      </c>
      <c r="R375" s="80" t="s">
        <v>84</v>
      </c>
    </row>
    <row r="376" spans="1:18" x14ac:dyDescent="0.2">
      <c r="A376" s="80" t="s">
        <v>1931</v>
      </c>
      <c r="B376" s="80" t="s">
        <v>1932</v>
      </c>
      <c r="C376" s="80" t="s">
        <v>84</v>
      </c>
      <c r="D376" s="80" t="s">
        <v>84</v>
      </c>
      <c r="E376" s="80" t="s">
        <v>84</v>
      </c>
      <c r="F376" s="80"/>
      <c r="G376" s="80" t="s">
        <v>84</v>
      </c>
      <c r="H376" s="80" t="s">
        <v>84</v>
      </c>
      <c r="I376" s="80" t="s">
        <v>84</v>
      </c>
      <c r="J376" s="80" t="s">
        <v>84</v>
      </c>
      <c r="K376" s="80" t="s">
        <v>84</v>
      </c>
      <c r="L376" s="80" t="s">
        <v>84</v>
      </c>
      <c r="M376" s="80" t="s">
        <v>84</v>
      </c>
      <c r="N376" s="80" t="s">
        <v>84</v>
      </c>
      <c r="O376" s="80" t="s">
        <v>84</v>
      </c>
      <c r="P376" s="80"/>
      <c r="Q376" s="80" t="s">
        <v>84</v>
      </c>
      <c r="R376" s="80" t="s">
        <v>84</v>
      </c>
    </row>
    <row r="377" spans="1:18" ht="20" x14ac:dyDescent="0.2">
      <c r="A377" s="80" t="s">
        <v>1954</v>
      </c>
      <c r="B377" s="80" t="s">
        <v>9853</v>
      </c>
      <c r="C377" s="80" t="s">
        <v>9680</v>
      </c>
      <c r="D377" s="80" t="s">
        <v>84</v>
      </c>
      <c r="E377" s="80" t="s">
        <v>84</v>
      </c>
      <c r="F377" s="80"/>
      <c r="G377" s="80" t="s">
        <v>84</v>
      </c>
      <c r="H377" s="80" t="s">
        <v>84</v>
      </c>
      <c r="I377" s="80" t="s">
        <v>84</v>
      </c>
      <c r="J377" s="80" t="s">
        <v>84</v>
      </c>
      <c r="K377" s="80" t="s">
        <v>84</v>
      </c>
      <c r="L377" s="80" t="s">
        <v>84</v>
      </c>
      <c r="M377" s="80" t="s">
        <v>84</v>
      </c>
      <c r="N377" s="80" t="s">
        <v>84</v>
      </c>
      <c r="O377" s="80" t="s">
        <v>84</v>
      </c>
      <c r="P377" s="80"/>
      <c r="Q377" s="80" t="s">
        <v>84</v>
      </c>
      <c r="R377" s="80" t="s">
        <v>84</v>
      </c>
    </row>
    <row r="378" spans="1:18" ht="20" x14ac:dyDescent="0.2">
      <c r="A378" s="80" t="s">
        <v>1954</v>
      </c>
      <c r="B378" s="80" t="s">
        <v>1955</v>
      </c>
      <c r="C378" s="80" t="s">
        <v>9680</v>
      </c>
      <c r="D378" s="80" t="s">
        <v>84</v>
      </c>
      <c r="E378" s="80" t="s">
        <v>84</v>
      </c>
      <c r="F378" s="80"/>
      <c r="G378" s="80" t="s">
        <v>84</v>
      </c>
      <c r="H378" s="80" t="s">
        <v>84</v>
      </c>
      <c r="I378" s="80" t="s">
        <v>84</v>
      </c>
      <c r="J378" s="80" t="s">
        <v>84</v>
      </c>
      <c r="K378" s="80" t="s">
        <v>84</v>
      </c>
      <c r="L378" s="80" t="s">
        <v>84</v>
      </c>
      <c r="M378" s="80" t="s">
        <v>84</v>
      </c>
      <c r="N378" s="80" t="s">
        <v>84</v>
      </c>
      <c r="O378" s="80" t="s">
        <v>84</v>
      </c>
      <c r="P378" s="80"/>
      <c r="Q378" s="80" t="s">
        <v>84</v>
      </c>
      <c r="R378" s="80" t="s">
        <v>84</v>
      </c>
    </row>
    <row r="379" spans="1:18" ht="20" x14ac:dyDescent="0.2">
      <c r="A379" s="80" t="s">
        <v>1956</v>
      </c>
      <c r="B379" s="80" t="s">
        <v>9854</v>
      </c>
      <c r="C379" s="80" t="s">
        <v>9680</v>
      </c>
      <c r="D379" s="80" t="s">
        <v>84</v>
      </c>
      <c r="E379" s="80" t="s">
        <v>84</v>
      </c>
      <c r="F379" s="80"/>
      <c r="G379" s="80" t="s">
        <v>84</v>
      </c>
      <c r="H379" s="80" t="s">
        <v>84</v>
      </c>
      <c r="I379" s="80" t="s">
        <v>84</v>
      </c>
      <c r="J379" s="80" t="s">
        <v>84</v>
      </c>
      <c r="K379" s="80" t="s">
        <v>84</v>
      </c>
      <c r="L379" s="80" t="s">
        <v>84</v>
      </c>
      <c r="M379" s="80" t="s">
        <v>84</v>
      </c>
      <c r="N379" s="80" t="s">
        <v>84</v>
      </c>
      <c r="O379" s="80" t="s">
        <v>84</v>
      </c>
      <c r="P379" s="80"/>
      <c r="Q379" s="80" t="s">
        <v>84</v>
      </c>
      <c r="R379" s="80" t="s">
        <v>84</v>
      </c>
    </row>
    <row r="380" spans="1:18" ht="20" x14ac:dyDescent="0.2">
      <c r="A380" s="80" t="s">
        <v>1956</v>
      </c>
      <c r="B380" s="80" t="s">
        <v>1957</v>
      </c>
      <c r="C380" s="80" t="s">
        <v>9680</v>
      </c>
      <c r="D380" s="80" t="s">
        <v>84</v>
      </c>
      <c r="E380" s="80" t="s">
        <v>84</v>
      </c>
      <c r="F380" s="80"/>
      <c r="G380" s="80" t="s">
        <v>84</v>
      </c>
      <c r="H380" s="80" t="s">
        <v>84</v>
      </c>
      <c r="I380" s="80" t="s">
        <v>84</v>
      </c>
      <c r="J380" s="80" t="s">
        <v>84</v>
      </c>
      <c r="K380" s="80" t="s">
        <v>84</v>
      </c>
      <c r="L380" s="80" t="s">
        <v>84</v>
      </c>
      <c r="M380" s="80" t="s">
        <v>84</v>
      </c>
      <c r="N380" s="80" t="s">
        <v>84</v>
      </c>
      <c r="O380" s="80" t="s">
        <v>84</v>
      </c>
      <c r="P380" s="80"/>
      <c r="Q380" s="80" t="s">
        <v>84</v>
      </c>
      <c r="R380" s="80" t="s">
        <v>84</v>
      </c>
    </row>
    <row r="381" spans="1:18" ht="20" x14ac:dyDescent="0.2">
      <c r="A381" s="80" t="s">
        <v>2979</v>
      </c>
      <c r="B381" s="80" t="s">
        <v>2980</v>
      </c>
      <c r="C381" s="80" t="s">
        <v>9680</v>
      </c>
      <c r="D381" s="80" t="s">
        <v>9680</v>
      </c>
      <c r="E381" s="80" t="s">
        <v>9680</v>
      </c>
      <c r="F381" s="80"/>
      <c r="G381" s="80" t="s">
        <v>9680</v>
      </c>
      <c r="H381" s="80" t="s">
        <v>9680</v>
      </c>
      <c r="I381" s="80" t="s">
        <v>9680</v>
      </c>
      <c r="J381" s="80" t="s">
        <v>9680</v>
      </c>
      <c r="K381" s="80" t="s">
        <v>9680</v>
      </c>
      <c r="L381" s="80" t="s">
        <v>9680</v>
      </c>
      <c r="M381" s="80" t="s">
        <v>9680</v>
      </c>
      <c r="N381" s="80" t="s">
        <v>9680</v>
      </c>
      <c r="O381" s="80" t="s">
        <v>9680</v>
      </c>
      <c r="P381" s="80"/>
      <c r="Q381" s="80" t="s">
        <v>9680</v>
      </c>
      <c r="R381" s="80" t="s">
        <v>9680</v>
      </c>
    </row>
    <row r="382" spans="1:18" ht="20" x14ac:dyDescent="0.2">
      <c r="A382" s="80" t="s">
        <v>2985</v>
      </c>
      <c r="B382" s="80" t="s">
        <v>2986</v>
      </c>
      <c r="C382" s="80" t="s">
        <v>9680</v>
      </c>
      <c r="D382" s="80" t="s">
        <v>9680</v>
      </c>
      <c r="E382" s="80" t="s">
        <v>9680</v>
      </c>
      <c r="F382" s="80"/>
      <c r="G382" s="80" t="s">
        <v>9680</v>
      </c>
      <c r="H382" s="80" t="s">
        <v>9680</v>
      </c>
      <c r="I382" s="80" t="s">
        <v>9680</v>
      </c>
      <c r="J382" s="80" t="s">
        <v>9680</v>
      </c>
      <c r="K382" s="80" t="s">
        <v>9680</v>
      </c>
      <c r="L382" s="80" t="s">
        <v>9680</v>
      </c>
      <c r="M382" s="80" t="s">
        <v>9680</v>
      </c>
      <c r="N382" s="80" t="s">
        <v>9680</v>
      </c>
      <c r="O382" s="80" t="s">
        <v>9680</v>
      </c>
      <c r="P382" s="80"/>
      <c r="Q382" s="80" t="s">
        <v>9680</v>
      </c>
      <c r="R382" s="80" t="s">
        <v>9680</v>
      </c>
    </row>
    <row r="383" spans="1:18" ht="20" x14ac:dyDescent="0.2">
      <c r="A383" s="80" t="s">
        <v>2987</v>
      </c>
      <c r="B383" s="80" t="s">
        <v>2988</v>
      </c>
      <c r="C383" s="80" t="s">
        <v>9680</v>
      </c>
      <c r="D383" s="80" t="s">
        <v>9680</v>
      </c>
      <c r="E383" s="80" t="s">
        <v>9680</v>
      </c>
      <c r="F383" s="80"/>
      <c r="G383" s="80" t="s">
        <v>9680</v>
      </c>
      <c r="H383" s="80" t="s">
        <v>9680</v>
      </c>
      <c r="I383" s="80" t="s">
        <v>9680</v>
      </c>
      <c r="J383" s="80" t="s">
        <v>9680</v>
      </c>
      <c r="K383" s="80" t="s">
        <v>9680</v>
      </c>
      <c r="L383" s="80" t="s">
        <v>9680</v>
      </c>
      <c r="M383" s="80" t="s">
        <v>9680</v>
      </c>
      <c r="N383" s="80" t="s">
        <v>9680</v>
      </c>
      <c r="O383" s="80" t="s">
        <v>9680</v>
      </c>
      <c r="P383" s="80"/>
      <c r="Q383" s="80" t="s">
        <v>9680</v>
      </c>
      <c r="R383" s="80" t="s">
        <v>9680</v>
      </c>
    </row>
    <row r="384" spans="1:18" ht="20" x14ac:dyDescent="0.2">
      <c r="A384" s="80" t="s">
        <v>2989</v>
      </c>
      <c r="B384" s="80" t="s">
        <v>2990</v>
      </c>
      <c r="C384" s="80" t="s">
        <v>9680</v>
      </c>
      <c r="D384" s="80" t="s">
        <v>9680</v>
      </c>
      <c r="E384" s="80" t="s">
        <v>9680</v>
      </c>
      <c r="F384" s="80"/>
      <c r="G384" s="80" t="s">
        <v>9680</v>
      </c>
      <c r="H384" s="80" t="s">
        <v>9680</v>
      </c>
      <c r="I384" s="80" t="s">
        <v>9680</v>
      </c>
      <c r="J384" s="80" t="s">
        <v>9680</v>
      </c>
      <c r="K384" s="80" t="s">
        <v>9680</v>
      </c>
      <c r="L384" s="80" t="s">
        <v>9680</v>
      </c>
      <c r="M384" s="80" t="s">
        <v>9680</v>
      </c>
      <c r="N384" s="80" t="s">
        <v>9680</v>
      </c>
      <c r="O384" s="80" t="s">
        <v>9680</v>
      </c>
      <c r="P384" s="80"/>
      <c r="Q384" s="80" t="s">
        <v>9680</v>
      </c>
      <c r="R384" s="80" t="s">
        <v>9680</v>
      </c>
    </row>
    <row r="385" spans="1:18" ht="20" x14ac:dyDescent="0.2">
      <c r="A385" s="80" t="s">
        <v>2991</v>
      </c>
      <c r="B385" s="80" t="s">
        <v>2992</v>
      </c>
      <c r="C385" s="80" t="s">
        <v>9680</v>
      </c>
      <c r="D385" s="80" t="s">
        <v>9680</v>
      </c>
      <c r="E385" s="80" t="s">
        <v>9680</v>
      </c>
      <c r="F385" s="80"/>
      <c r="G385" s="80" t="s">
        <v>9680</v>
      </c>
      <c r="H385" s="80" t="s">
        <v>9680</v>
      </c>
      <c r="I385" s="80" t="s">
        <v>9680</v>
      </c>
      <c r="J385" s="80" t="s">
        <v>9680</v>
      </c>
      <c r="K385" s="80" t="s">
        <v>9680</v>
      </c>
      <c r="L385" s="80" t="s">
        <v>9680</v>
      </c>
      <c r="M385" s="80" t="s">
        <v>9680</v>
      </c>
      <c r="N385" s="80" t="s">
        <v>9680</v>
      </c>
      <c r="O385" s="80" t="s">
        <v>9680</v>
      </c>
      <c r="P385" s="80"/>
      <c r="Q385" s="80" t="s">
        <v>9680</v>
      </c>
      <c r="R385" s="80" t="s">
        <v>9680</v>
      </c>
    </row>
    <row r="386" spans="1:18" ht="20" x14ac:dyDescent="0.2">
      <c r="A386" s="80" t="s">
        <v>2993</v>
      </c>
      <c r="B386" s="80" t="s">
        <v>2994</v>
      </c>
      <c r="C386" s="80" t="s">
        <v>9680</v>
      </c>
      <c r="D386" s="80" t="s">
        <v>9680</v>
      </c>
      <c r="E386" s="80" t="s">
        <v>9680</v>
      </c>
      <c r="F386" s="80"/>
      <c r="G386" s="80" t="s">
        <v>9680</v>
      </c>
      <c r="H386" s="80" t="s">
        <v>9680</v>
      </c>
      <c r="I386" s="80" t="s">
        <v>9680</v>
      </c>
      <c r="J386" s="80" t="s">
        <v>9680</v>
      </c>
      <c r="K386" s="80" t="s">
        <v>9680</v>
      </c>
      <c r="L386" s="80" t="s">
        <v>9680</v>
      </c>
      <c r="M386" s="80" t="s">
        <v>9680</v>
      </c>
      <c r="N386" s="80" t="s">
        <v>9680</v>
      </c>
      <c r="O386" s="80" t="s">
        <v>9680</v>
      </c>
      <c r="P386" s="80"/>
      <c r="Q386" s="80" t="s">
        <v>9680</v>
      </c>
      <c r="R386" s="80" t="s">
        <v>9680</v>
      </c>
    </row>
    <row r="387" spans="1:18" ht="20" x14ac:dyDescent="0.2">
      <c r="A387" s="80" t="s">
        <v>2785</v>
      </c>
      <c r="B387" s="80" t="s">
        <v>9855</v>
      </c>
      <c r="C387" s="80" t="s">
        <v>9680</v>
      </c>
      <c r="D387" s="80" t="s">
        <v>84</v>
      </c>
      <c r="E387" s="80" t="s">
        <v>84</v>
      </c>
      <c r="F387" s="80"/>
      <c r="G387" s="80" t="s">
        <v>84</v>
      </c>
      <c r="H387" s="80" t="s">
        <v>84</v>
      </c>
      <c r="I387" s="80" t="s">
        <v>84</v>
      </c>
      <c r="J387" s="80" t="s">
        <v>84</v>
      </c>
      <c r="K387" s="80" t="s">
        <v>84</v>
      </c>
      <c r="L387" s="80" t="s">
        <v>84</v>
      </c>
      <c r="M387" s="80" t="s">
        <v>84</v>
      </c>
      <c r="N387" s="80" t="s">
        <v>84</v>
      </c>
      <c r="O387" s="80" t="s">
        <v>84</v>
      </c>
      <c r="P387" s="80"/>
      <c r="Q387" s="80" t="s">
        <v>84</v>
      </c>
      <c r="R387" s="80" t="s">
        <v>84</v>
      </c>
    </row>
    <row r="388" spans="1:18" ht="20" x14ac:dyDescent="0.2">
      <c r="A388" s="80" t="s">
        <v>2785</v>
      </c>
      <c r="B388" s="80" t="s">
        <v>2786</v>
      </c>
      <c r="C388" s="80" t="s">
        <v>9680</v>
      </c>
      <c r="D388" s="80" t="s">
        <v>84</v>
      </c>
      <c r="E388" s="80" t="s">
        <v>84</v>
      </c>
      <c r="F388" s="80"/>
      <c r="G388" s="80" t="s">
        <v>84</v>
      </c>
      <c r="H388" s="80" t="s">
        <v>84</v>
      </c>
      <c r="I388" s="80" t="s">
        <v>84</v>
      </c>
      <c r="J388" s="80" t="s">
        <v>84</v>
      </c>
      <c r="K388" s="80" t="s">
        <v>84</v>
      </c>
      <c r="L388" s="80" t="s">
        <v>84</v>
      </c>
      <c r="M388" s="80" t="s">
        <v>84</v>
      </c>
      <c r="N388" s="80" t="s">
        <v>84</v>
      </c>
      <c r="O388" s="80" t="s">
        <v>84</v>
      </c>
      <c r="P388" s="80"/>
      <c r="Q388" s="80" t="s">
        <v>84</v>
      </c>
      <c r="R388" s="80" t="s">
        <v>84</v>
      </c>
    </row>
    <row r="389" spans="1:18" ht="20" x14ac:dyDescent="0.2">
      <c r="A389" s="80" t="s">
        <v>2787</v>
      </c>
      <c r="B389" s="80" t="s">
        <v>9856</v>
      </c>
      <c r="C389" s="80" t="s">
        <v>9680</v>
      </c>
      <c r="D389" s="80" t="s">
        <v>84</v>
      </c>
      <c r="E389" s="80" t="s">
        <v>84</v>
      </c>
      <c r="F389" s="80"/>
      <c r="G389" s="80" t="s">
        <v>84</v>
      </c>
      <c r="H389" s="80" t="s">
        <v>84</v>
      </c>
      <c r="I389" s="80" t="s">
        <v>84</v>
      </c>
      <c r="J389" s="80" t="s">
        <v>84</v>
      </c>
      <c r="K389" s="80" t="s">
        <v>84</v>
      </c>
      <c r="L389" s="80" t="s">
        <v>84</v>
      </c>
      <c r="M389" s="80" t="s">
        <v>84</v>
      </c>
      <c r="N389" s="80" t="s">
        <v>84</v>
      </c>
      <c r="O389" s="80" t="s">
        <v>84</v>
      </c>
      <c r="P389" s="80"/>
      <c r="Q389" s="80" t="s">
        <v>84</v>
      </c>
      <c r="R389" s="80" t="s">
        <v>84</v>
      </c>
    </row>
    <row r="390" spans="1:18" ht="20" x14ac:dyDescent="0.2">
      <c r="A390" s="80" t="s">
        <v>2787</v>
      </c>
      <c r="B390" s="80" t="s">
        <v>2788</v>
      </c>
      <c r="C390" s="80" t="s">
        <v>9680</v>
      </c>
      <c r="D390" s="80" t="s">
        <v>84</v>
      </c>
      <c r="E390" s="80" t="s">
        <v>84</v>
      </c>
      <c r="F390" s="80"/>
      <c r="G390" s="80" t="s">
        <v>84</v>
      </c>
      <c r="H390" s="80" t="s">
        <v>84</v>
      </c>
      <c r="I390" s="80" t="s">
        <v>84</v>
      </c>
      <c r="J390" s="80" t="s">
        <v>84</v>
      </c>
      <c r="K390" s="80" t="s">
        <v>84</v>
      </c>
      <c r="L390" s="80" t="s">
        <v>84</v>
      </c>
      <c r="M390" s="80" t="s">
        <v>84</v>
      </c>
      <c r="N390" s="80" t="s">
        <v>84</v>
      </c>
      <c r="O390" s="80" t="s">
        <v>84</v>
      </c>
      <c r="P390" s="80"/>
      <c r="Q390" s="80" t="s">
        <v>84</v>
      </c>
      <c r="R390" s="80" t="s">
        <v>84</v>
      </c>
    </row>
    <row r="391" spans="1:18" ht="20" x14ac:dyDescent="0.2">
      <c r="A391" s="80" t="s">
        <v>9857</v>
      </c>
      <c r="B391" s="80" t="s">
        <v>9858</v>
      </c>
      <c r="C391" s="80" t="s">
        <v>9680</v>
      </c>
      <c r="D391" s="80" t="s">
        <v>84</v>
      </c>
      <c r="E391" s="80" t="s">
        <v>84</v>
      </c>
      <c r="F391" s="80"/>
      <c r="G391" s="80" t="s">
        <v>84</v>
      </c>
      <c r="H391" s="80" t="s">
        <v>84</v>
      </c>
      <c r="I391" s="80" t="s">
        <v>84</v>
      </c>
      <c r="J391" s="80" t="s">
        <v>84</v>
      </c>
      <c r="K391" s="80" t="s">
        <v>84</v>
      </c>
      <c r="L391" s="80" t="s">
        <v>84</v>
      </c>
      <c r="M391" s="80" t="s">
        <v>84</v>
      </c>
      <c r="N391" s="80" t="s">
        <v>84</v>
      </c>
      <c r="O391" s="80" t="s">
        <v>84</v>
      </c>
      <c r="P391" s="80"/>
      <c r="Q391" s="80" t="s">
        <v>84</v>
      </c>
      <c r="R391" s="80" t="s">
        <v>84</v>
      </c>
    </row>
    <row r="392" spans="1:18" ht="20" x14ac:dyDescent="0.2">
      <c r="A392" s="80" t="s">
        <v>9857</v>
      </c>
      <c r="B392" s="80" t="s">
        <v>9859</v>
      </c>
      <c r="C392" s="80" t="s">
        <v>9680</v>
      </c>
      <c r="D392" s="80" t="s">
        <v>84</v>
      </c>
      <c r="E392" s="80" t="s">
        <v>84</v>
      </c>
      <c r="F392" s="80"/>
      <c r="G392" s="80" t="s">
        <v>84</v>
      </c>
      <c r="H392" s="80" t="s">
        <v>84</v>
      </c>
      <c r="I392" s="80" t="s">
        <v>84</v>
      </c>
      <c r="J392" s="80" t="s">
        <v>84</v>
      </c>
      <c r="K392" s="80" t="s">
        <v>84</v>
      </c>
      <c r="L392" s="80" t="s">
        <v>84</v>
      </c>
      <c r="M392" s="80" t="s">
        <v>84</v>
      </c>
      <c r="N392" s="80" t="s">
        <v>84</v>
      </c>
      <c r="O392" s="80" t="s">
        <v>84</v>
      </c>
      <c r="P392" s="80"/>
      <c r="Q392" s="80" t="s">
        <v>84</v>
      </c>
      <c r="R392" s="80" t="s">
        <v>84</v>
      </c>
    </row>
    <row r="393" spans="1:18" ht="20" x14ac:dyDescent="0.2">
      <c r="A393" s="80" t="s">
        <v>2789</v>
      </c>
      <c r="B393" s="80" t="s">
        <v>9860</v>
      </c>
      <c r="C393" s="80" t="s">
        <v>9680</v>
      </c>
      <c r="D393" s="80" t="s">
        <v>84</v>
      </c>
      <c r="E393" s="80" t="s">
        <v>84</v>
      </c>
      <c r="F393" s="80"/>
      <c r="G393" s="80" t="s">
        <v>84</v>
      </c>
      <c r="H393" s="80" t="s">
        <v>84</v>
      </c>
      <c r="I393" s="80" t="s">
        <v>84</v>
      </c>
      <c r="J393" s="80" t="s">
        <v>84</v>
      </c>
      <c r="K393" s="80" t="s">
        <v>84</v>
      </c>
      <c r="L393" s="80" t="s">
        <v>84</v>
      </c>
      <c r="M393" s="80" t="s">
        <v>84</v>
      </c>
      <c r="N393" s="80" t="s">
        <v>84</v>
      </c>
      <c r="O393" s="80" t="s">
        <v>84</v>
      </c>
      <c r="P393" s="80"/>
      <c r="Q393" s="80" t="s">
        <v>84</v>
      </c>
      <c r="R393" s="80" t="s">
        <v>84</v>
      </c>
    </row>
    <row r="394" spans="1:18" ht="20" x14ac:dyDescent="0.2">
      <c r="A394" s="80" t="s">
        <v>2789</v>
      </c>
      <c r="B394" s="80" t="s">
        <v>2790</v>
      </c>
      <c r="C394" s="80" t="s">
        <v>9680</v>
      </c>
      <c r="D394" s="80" t="s">
        <v>84</v>
      </c>
      <c r="E394" s="80" t="s">
        <v>84</v>
      </c>
      <c r="F394" s="80"/>
      <c r="G394" s="80" t="s">
        <v>84</v>
      </c>
      <c r="H394" s="80" t="s">
        <v>84</v>
      </c>
      <c r="I394" s="80" t="s">
        <v>84</v>
      </c>
      <c r="J394" s="80" t="s">
        <v>84</v>
      </c>
      <c r="K394" s="80" t="s">
        <v>84</v>
      </c>
      <c r="L394" s="80" t="s">
        <v>84</v>
      </c>
      <c r="M394" s="80" t="s">
        <v>84</v>
      </c>
      <c r="N394" s="80" t="s">
        <v>84</v>
      </c>
      <c r="O394" s="80" t="s">
        <v>84</v>
      </c>
      <c r="P394" s="80"/>
      <c r="Q394" s="80" t="s">
        <v>84</v>
      </c>
      <c r="R394" s="80" t="s">
        <v>84</v>
      </c>
    </row>
    <row r="395" spans="1:18" ht="20" x14ac:dyDescent="0.2">
      <c r="A395" s="80" t="s">
        <v>9861</v>
      </c>
      <c r="B395" s="80" t="s">
        <v>9862</v>
      </c>
      <c r="C395" s="80" t="s">
        <v>9680</v>
      </c>
      <c r="D395" s="80" t="s">
        <v>84</v>
      </c>
      <c r="E395" s="80" t="s">
        <v>84</v>
      </c>
      <c r="F395" s="80"/>
      <c r="G395" s="80" t="s">
        <v>84</v>
      </c>
      <c r="H395" s="80" t="s">
        <v>84</v>
      </c>
      <c r="I395" s="80" t="s">
        <v>84</v>
      </c>
      <c r="J395" s="80" t="s">
        <v>84</v>
      </c>
      <c r="K395" s="80" t="s">
        <v>84</v>
      </c>
      <c r="L395" s="80" t="s">
        <v>84</v>
      </c>
      <c r="M395" s="80" t="s">
        <v>84</v>
      </c>
      <c r="N395" s="80" t="s">
        <v>84</v>
      </c>
      <c r="O395" s="80" t="s">
        <v>84</v>
      </c>
      <c r="P395" s="80"/>
      <c r="Q395" s="80" t="s">
        <v>84</v>
      </c>
      <c r="R395" s="80" t="s">
        <v>84</v>
      </c>
    </row>
    <row r="396" spans="1:18" ht="20" x14ac:dyDescent="0.2">
      <c r="A396" s="80" t="s">
        <v>9861</v>
      </c>
      <c r="B396" s="80" t="s">
        <v>9863</v>
      </c>
      <c r="C396" s="80" t="s">
        <v>9680</v>
      </c>
      <c r="D396" s="80" t="s">
        <v>84</v>
      </c>
      <c r="E396" s="80" t="s">
        <v>84</v>
      </c>
      <c r="F396" s="80"/>
      <c r="G396" s="80" t="s">
        <v>84</v>
      </c>
      <c r="H396" s="80" t="s">
        <v>84</v>
      </c>
      <c r="I396" s="80" t="s">
        <v>84</v>
      </c>
      <c r="J396" s="80" t="s">
        <v>84</v>
      </c>
      <c r="K396" s="80" t="s">
        <v>84</v>
      </c>
      <c r="L396" s="80" t="s">
        <v>84</v>
      </c>
      <c r="M396" s="80" t="s">
        <v>84</v>
      </c>
      <c r="N396" s="80" t="s">
        <v>84</v>
      </c>
      <c r="O396" s="80" t="s">
        <v>84</v>
      </c>
      <c r="P396" s="80"/>
      <c r="Q396" s="80" t="s">
        <v>84</v>
      </c>
      <c r="R396" s="80" t="s">
        <v>84</v>
      </c>
    </row>
    <row r="397" spans="1:18" ht="20" x14ac:dyDescent="0.2">
      <c r="A397" s="80" t="s">
        <v>2794</v>
      </c>
      <c r="B397" s="80" t="s">
        <v>9864</v>
      </c>
      <c r="C397" s="80" t="s">
        <v>9680</v>
      </c>
      <c r="D397" s="80" t="s">
        <v>84</v>
      </c>
      <c r="E397" s="80" t="s">
        <v>84</v>
      </c>
      <c r="F397" s="80"/>
      <c r="G397" s="80" t="s">
        <v>84</v>
      </c>
      <c r="H397" s="80" t="s">
        <v>84</v>
      </c>
      <c r="I397" s="80" t="s">
        <v>84</v>
      </c>
      <c r="J397" s="80" t="s">
        <v>84</v>
      </c>
      <c r="K397" s="80" t="s">
        <v>84</v>
      </c>
      <c r="L397" s="80" t="s">
        <v>84</v>
      </c>
      <c r="M397" s="80" t="s">
        <v>84</v>
      </c>
      <c r="N397" s="80" t="s">
        <v>84</v>
      </c>
      <c r="O397" s="80" t="s">
        <v>84</v>
      </c>
      <c r="P397" s="80"/>
      <c r="Q397" s="80" t="s">
        <v>84</v>
      </c>
      <c r="R397" s="80" t="s">
        <v>84</v>
      </c>
    </row>
    <row r="398" spans="1:18" ht="20" x14ac:dyDescent="0.2">
      <c r="A398" s="80" t="s">
        <v>2794</v>
      </c>
      <c r="B398" s="80" t="s">
        <v>2795</v>
      </c>
      <c r="C398" s="80" t="s">
        <v>9680</v>
      </c>
      <c r="D398" s="80" t="s">
        <v>84</v>
      </c>
      <c r="E398" s="80" t="s">
        <v>84</v>
      </c>
      <c r="F398" s="80"/>
      <c r="G398" s="80" t="s">
        <v>84</v>
      </c>
      <c r="H398" s="80" t="s">
        <v>84</v>
      </c>
      <c r="I398" s="80" t="s">
        <v>84</v>
      </c>
      <c r="J398" s="80" t="s">
        <v>84</v>
      </c>
      <c r="K398" s="80" t="s">
        <v>84</v>
      </c>
      <c r="L398" s="80" t="s">
        <v>84</v>
      </c>
      <c r="M398" s="80" t="s">
        <v>84</v>
      </c>
      <c r="N398" s="80" t="s">
        <v>84</v>
      </c>
      <c r="O398" s="80" t="s">
        <v>84</v>
      </c>
      <c r="P398" s="80"/>
      <c r="Q398" s="80" t="s">
        <v>84</v>
      </c>
      <c r="R398" s="80" t="s">
        <v>84</v>
      </c>
    </row>
    <row r="399" spans="1:18" ht="20" x14ac:dyDescent="0.2">
      <c r="A399" s="80" t="s">
        <v>2796</v>
      </c>
      <c r="B399" s="80" t="s">
        <v>9865</v>
      </c>
      <c r="C399" s="80" t="s">
        <v>9680</v>
      </c>
      <c r="D399" s="80" t="s">
        <v>84</v>
      </c>
      <c r="E399" s="80" t="s">
        <v>84</v>
      </c>
      <c r="F399" s="80"/>
      <c r="G399" s="80" t="s">
        <v>84</v>
      </c>
      <c r="H399" s="80" t="s">
        <v>84</v>
      </c>
      <c r="I399" s="80" t="s">
        <v>84</v>
      </c>
      <c r="J399" s="80" t="s">
        <v>84</v>
      </c>
      <c r="K399" s="80" t="s">
        <v>84</v>
      </c>
      <c r="L399" s="80" t="s">
        <v>84</v>
      </c>
      <c r="M399" s="80" t="s">
        <v>84</v>
      </c>
      <c r="N399" s="80" t="s">
        <v>84</v>
      </c>
      <c r="O399" s="80" t="s">
        <v>84</v>
      </c>
      <c r="P399" s="80"/>
      <c r="Q399" s="80" t="s">
        <v>84</v>
      </c>
      <c r="R399" s="80" t="s">
        <v>84</v>
      </c>
    </row>
    <row r="400" spans="1:18" ht="20" x14ac:dyDescent="0.2">
      <c r="A400" s="80" t="s">
        <v>2796</v>
      </c>
      <c r="B400" s="80" t="s">
        <v>2797</v>
      </c>
      <c r="C400" s="80" t="s">
        <v>9680</v>
      </c>
      <c r="D400" s="80" t="s">
        <v>84</v>
      </c>
      <c r="E400" s="80" t="s">
        <v>84</v>
      </c>
      <c r="F400" s="80"/>
      <c r="G400" s="80" t="s">
        <v>84</v>
      </c>
      <c r="H400" s="80" t="s">
        <v>84</v>
      </c>
      <c r="I400" s="80" t="s">
        <v>84</v>
      </c>
      <c r="J400" s="80" t="s">
        <v>84</v>
      </c>
      <c r="K400" s="80" t="s">
        <v>84</v>
      </c>
      <c r="L400" s="80" t="s">
        <v>84</v>
      </c>
      <c r="M400" s="80" t="s">
        <v>84</v>
      </c>
      <c r="N400" s="80" t="s">
        <v>84</v>
      </c>
      <c r="O400" s="80" t="s">
        <v>84</v>
      </c>
      <c r="P400" s="80"/>
      <c r="Q400" s="80" t="s">
        <v>84</v>
      </c>
      <c r="R400" s="80" t="s">
        <v>84</v>
      </c>
    </row>
    <row r="401" spans="1:18" ht="20" x14ac:dyDescent="0.2">
      <c r="A401" s="80" t="s">
        <v>2798</v>
      </c>
      <c r="B401" s="80" t="s">
        <v>9866</v>
      </c>
      <c r="C401" s="80" t="s">
        <v>9680</v>
      </c>
      <c r="D401" s="80" t="s">
        <v>84</v>
      </c>
      <c r="E401" s="80" t="s">
        <v>84</v>
      </c>
      <c r="F401" s="80"/>
      <c r="G401" s="80" t="s">
        <v>84</v>
      </c>
      <c r="H401" s="80" t="s">
        <v>84</v>
      </c>
      <c r="I401" s="80" t="s">
        <v>84</v>
      </c>
      <c r="J401" s="80" t="s">
        <v>84</v>
      </c>
      <c r="K401" s="80" t="s">
        <v>84</v>
      </c>
      <c r="L401" s="80" t="s">
        <v>84</v>
      </c>
      <c r="M401" s="80" t="s">
        <v>84</v>
      </c>
      <c r="N401" s="80" t="s">
        <v>84</v>
      </c>
      <c r="O401" s="80" t="s">
        <v>84</v>
      </c>
      <c r="P401" s="80"/>
      <c r="Q401" s="80" t="s">
        <v>84</v>
      </c>
      <c r="R401" s="80" t="s">
        <v>84</v>
      </c>
    </row>
    <row r="402" spans="1:18" ht="20" x14ac:dyDescent="0.2">
      <c r="A402" s="80" t="s">
        <v>2798</v>
      </c>
      <c r="B402" s="80" t="s">
        <v>2799</v>
      </c>
      <c r="C402" s="80" t="s">
        <v>9680</v>
      </c>
      <c r="D402" s="80" t="s">
        <v>84</v>
      </c>
      <c r="E402" s="80" t="s">
        <v>84</v>
      </c>
      <c r="F402" s="80"/>
      <c r="G402" s="80" t="s">
        <v>84</v>
      </c>
      <c r="H402" s="80" t="s">
        <v>84</v>
      </c>
      <c r="I402" s="80" t="s">
        <v>84</v>
      </c>
      <c r="J402" s="80" t="s">
        <v>84</v>
      </c>
      <c r="K402" s="80" t="s">
        <v>84</v>
      </c>
      <c r="L402" s="80" t="s">
        <v>84</v>
      </c>
      <c r="M402" s="80" t="s">
        <v>84</v>
      </c>
      <c r="N402" s="80" t="s">
        <v>84</v>
      </c>
      <c r="O402" s="80" t="s">
        <v>84</v>
      </c>
      <c r="P402" s="80"/>
      <c r="Q402" s="80" t="s">
        <v>84</v>
      </c>
      <c r="R402" s="80" t="s">
        <v>84</v>
      </c>
    </row>
    <row r="403" spans="1:18" ht="20" x14ac:dyDescent="0.2">
      <c r="A403" s="80" t="s">
        <v>868</v>
      </c>
      <c r="B403" s="80" t="s">
        <v>9867</v>
      </c>
      <c r="C403" s="80" t="s">
        <v>9680</v>
      </c>
      <c r="D403" s="80" t="s">
        <v>9680</v>
      </c>
      <c r="E403" s="80" t="s">
        <v>84</v>
      </c>
      <c r="F403" s="80"/>
      <c r="G403" s="80" t="s">
        <v>9680</v>
      </c>
      <c r="H403" s="80" t="s">
        <v>9680</v>
      </c>
      <c r="I403" s="80" t="s">
        <v>9680</v>
      </c>
      <c r="J403" s="80" t="s">
        <v>9680</v>
      </c>
      <c r="K403" s="80" t="s">
        <v>9680</v>
      </c>
      <c r="L403" s="80" t="s">
        <v>9680</v>
      </c>
      <c r="M403" s="80" t="s">
        <v>9680</v>
      </c>
      <c r="N403" s="80" t="s">
        <v>84</v>
      </c>
      <c r="O403" s="80" t="s">
        <v>9680</v>
      </c>
      <c r="P403" s="80"/>
      <c r="Q403" s="80" t="s">
        <v>9680</v>
      </c>
      <c r="R403" s="80" t="s">
        <v>9680</v>
      </c>
    </row>
    <row r="404" spans="1:18" ht="20" x14ac:dyDescent="0.2">
      <c r="A404" s="80" t="s">
        <v>868</v>
      </c>
      <c r="B404" s="80" t="s">
        <v>869</v>
      </c>
      <c r="C404" s="80" t="s">
        <v>9680</v>
      </c>
      <c r="D404" s="80" t="s">
        <v>9680</v>
      </c>
      <c r="E404" s="80" t="s">
        <v>84</v>
      </c>
      <c r="F404" s="80"/>
      <c r="G404" s="80" t="s">
        <v>9680</v>
      </c>
      <c r="H404" s="80" t="s">
        <v>9680</v>
      </c>
      <c r="I404" s="80" t="s">
        <v>9680</v>
      </c>
      <c r="J404" s="80" t="s">
        <v>9680</v>
      </c>
      <c r="K404" s="80" t="s">
        <v>9680</v>
      </c>
      <c r="L404" s="80" t="s">
        <v>9680</v>
      </c>
      <c r="M404" s="80" t="s">
        <v>9680</v>
      </c>
      <c r="N404" s="80" t="s">
        <v>84</v>
      </c>
      <c r="O404" s="80" t="s">
        <v>9680</v>
      </c>
      <c r="P404" s="80"/>
      <c r="Q404" s="80" t="s">
        <v>9680</v>
      </c>
      <c r="R404" s="80" t="s">
        <v>9680</v>
      </c>
    </row>
    <row r="405" spans="1:18" x14ac:dyDescent="0.2">
      <c r="A405" s="80" t="s">
        <v>3718</v>
      </c>
      <c r="B405" s="80" t="s">
        <v>9868</v>
      </c>
      <c r="C405" s="80" t="s">
        <v>84</v>
      </c>
      <c r="D405" s="80" t="s">
        <v>84</v>
      </c>
      <c r="E405" s="80" t="s">
        <v>84</v>
      </c>
      <c r="F405" s="80"/>
      <c r="G405" s="80" t="s">
        <v>84</v>
      </c>
      <c r="H405" s="80" t="s">
        <v>84</v>
      </c>
      <c r="I405" s="80" t="s">
        <v>84</v>
      </c>
      <c r="J405" s="80" t="s">
        <v>84</v>
      </c>
      <c r="K405" s="80" t="s">
        <v>84</v>
      </c>
      <c r="L405" s="80" t="s">
        <v>84</v>
      </c>
      <c r="M405" s="80" t="s">
        <v>84</v>
      </c>
      <c r="N405" s="80" t="s">
        <v>84</v>
      </c>
      <c r="O405" s="80" t="s">
        <v>84</v>
      </c>
      <c r="P405" s="80"/>
      <c r="Q405" s="80" t="s">
        <v>84</v>
      </c>
      <c r="R405" s="80" t="s">
        <v>84</v>
      </c>
    </row>
    <row r="406" spans="1:18" ht="20" x14ac:dyDescent="0.2">
      <c r="A406" s="80" t="s">
        <v>3718</v>
      </c>
      <c r="B406" s="80" t="s">
        <v>3719</v>
      </c>
      <c r="C406" s="80" t="s">
        <v>84</v>
      </c>
      <c r="D406" s="80" t="s">
        <v>84</v>
      </c>
      <c r="E406" s="80" t="s">
        <v>84</v>
      </c>
      <c r="F406" s="80"/>
      <c r="G406" s="80" t="s">
        <v>84</v>
      </c>
      <c r="H406" s="80" t="s">
        <v>84</v>
      </c>
      <c r="I406" s="80" t="s">
        <v>84</v>
      </c>
      <c r="J406" s="80" t="s">
        <v>84</v>
      </c>
      <c r="K406" s="80" t="s">
        <v>84</v>
      </c>
      <c r="L406" s="80" t="s">
        <v>84</v>
      </c>
      <c r="M406" s="80" t="s">
        <v>84</v>
      </c>
      <c r="N406" s="80" t="s">
        <v>84</v>
      </c>
      <c r="O406" s="80" t="s">
        <v>84</v>
      </c>
      <c r="P406" s="80"/>
      <c r="Q406" s="80" t="s">
        <v>84</v>
      </c>
      <c r="R406" s="80" t="s">
        <v>84</v>
      </c>
    </row>
    <row r="407" spans="1:18" ht="20" x14ac:dyDescent="0.2">
      <c r="A407" s="80" t="s">
        <v>870</v>
      </c>
      <c r="B407" s="80" t="s">
        <v>871</v>
      </c>
      <c r="C407" s="80" t="s">
        <v>9680</v>
      </c>
      <c r="D407" s="80" t="s">
        <v>9680</v>
      </c>
      <c r="E407" s="80" t="s">
        <v>9680</v>
      </c>
      <c r="F407" s="80"/>
      <c r="G407" s="80" t="s">
        <v>9680</v>
      </c>
      <c r="H407" s="80" t="s">
        <v>9680</v>
      </c>
      <c r="I407" s="80" t="s">
        <v>9680</v>
      </c>
      <c r="J407" s="80" t="s">
        <v>9680</v>
      </c>
      <c r="K407" s="80" t="s">
        <v>9680</v>
      </c>
      <c r="L407" s="80" t="s">
        <v>9680</v>
      </c>
      <c r="M407" s="80" t="s">
        <v>9680</v>
      </c>
      <c r="N407" s="80" t="s">
        <v>9680</v>
      </c>
      <c r="O407" s="80" t="s">
        <v>9680</v>
      </c>
      <c r="P407" s="80"/>
      <c r="Q407" s="80" t="s">
        <v>9680</v>
      </c>
      <c r="R407" s="80" t="s">
        <v>9680</v>
      </c>
    </row>
    <row r="408" spans="1:18" ht="20" x14ac:dyDescent="0.2">
      <c r="A408" s="80" t="s">
        <v>870</v>
      </c>
      <c r="B408" s="80" t="s">
        <v>9869</v>
      </c>
      <c r="C408" s="80" t="s">
        <v>9680</v>
      </c>
      <c r="D408" s="80" t="s">
        <v>9680</v>
      </c>
      <c r="E408" s="80" t="s">
        <v>9680</v>
      </c>
      <c r="F408" s="80"/>
      <c r="G408" s="80" t="s">
        <v>9680</v>
      </c>
      <c r="H408" s="80" t="s">
        <v>9680</v>
      </c>
      <c r="I408" s="80" t="s">
        <v>9680</v>
      </c>
      <c r="J408" s="80" t="s">
        <v>9680</v>
      </c>
      <c r="K408" s="80" t="s">
        <v>9680</v>
      </c>
      <c r="L408" s="80" t="s">
        <v>9680</v>
      </c>
      <c r="M408" s="80" t="s">
        <v>9680</v>
      </c>
      <c r="N408" s="80" t="s">
        <v>9680</v>
      </c>
      <c r="O408" s="80" t="s">
        <v>9680</v>
      </c>
      <c r="P408" s="80"/>
      <c r="Q408" s="80" t="s">
        <v>9680</v>
      </c>
      <c r="R408" s="80" t="s">
        <v>9680</v>
      </c>
    </row>
    <row r="409" spans="1:18" ht="20" x14ac:dyDescent="0.2">
      <c r="A409" s="80" t="s">
        <v>872</v>
      </c>
      <c r="B409" s="80" t="s">
        <v>873</v>
      </c>
      <c r="C409" s="80" t="s">
        <v>9680</v>
      </c>
      <c r="D409" s="80" t="s">
        <v>84</v>
      </c>
      <c r="E409" s="80" t="s">
        <v>84</v>
      </c>
      <c r="F409" s="80"/>
      <c r="G409" s="80" t="s">
        <v>84</v>
      </c>
      <c r="H409" s="80" t="s">
        <v>84</v>
      </c>
      <c r="I409" s="80" t="s">
        <v>9680</v>
      </c>
      <c r="J409" s="80" t="s">
        <v>84</v>
      </c>
      <c r="K409" s="80" t="s">
        <v>84</v>
      </c>
      <c r="L409" s="80" t="s">
        <v>84</v>
      </c>
      <c r="M409" s="80" t="s">
        <v>84</v>
      </c>
      <c r="N409" s="80" t="s">
        <v>84</v>
      </c>
      <c r="O409" s="80" t="s">
        <v>84</v>
      </c>
      <c r="P409" s="80"/>
      <c r="Q409" s="80" t="s">
        <v>84</v>
      </c>
      <c r="R409" s="80" t="s">
        <v>84</v>
      </c>
    </row>
    <row r="410" spans="1:18" ht="20" x14ac:dyDescent="0.2">
      <c r="A410" s="80" t="s">
        <v>872</v>
      </c>
      <c r="B410" s="80" t="s">
        <v>9870</v>
      </c>
      <c r="C410" s="80" t="s">
        <v>9680</v>
      </c>
      <c r="D410" s="80" t="s">
        <v>84</v>
      </c>
      <c r="E410" s="80" t="s">
        <v>84</v>
      </c>
      <c r="F410" s="80"/>
      <c r="G410" s="80" t="s">
        <v>84</v>
      </c>
      <c r="H410" s="80" t="s">
        <v>84</v>
      </c>
      <c r="I410" s="80" t="s">
        <v>9680</v>
      </c>
      <c r="J410" s="80" t="s">
        <v>84</v>
      </c>
      <c r="K410" s="80" t="s">
        <v>84</v>
      </c>
      <c r="L410" s="80" t="s">
        <v>84</v>
      </c>
      <c r="M410" s="80" t="s">
        <v>84</v>
      </c>
      <c r="N410" s="80" t="s">
        <v>84</v>
      </c>
      <c r="O410" s="80" t="s">
        <v>84</v>
      </c>
      <c r="P410" s="80"/>
      <c r="Q410" s="80" t="s">
        <v>84</v>
      </c>
      <c r="R410" s="80" t="s">
        <v>84</v>
      </c>
    </row>
    <row r="411" spans="1:18" x14ac:dyDescent="0.2">
      <c r="A411" s="80" t="s">
        <v>886</v>
      </c>
      <c r="B411" s="80" t="s">
        <v>9871</v>
      </c>
      <c r="C411" s="80" t="s">
        <v>84</v>
      </c>
      <c r="D411" s="80" t="s">
        <v>84</v>
      </c>
      <c r="E411" s="80" t="s">
        <v>84</v>
      </c>
      <c r="F411" s="80"/>
      <c r="G411" s="80" t="s">
        <v>84</v>
      </c>
      <c r="H411" s="80" t="s">
        <v>84</v>
      </c>
      <c r="I411" s="80" t="s">
        <v>84</v>
      </c>
      <c r="J411" s="80" t="s">
        <v>84</v>
      </c>
      <c r="K411" s="80" t="s">
        <v>84</v>
      </c>
      <c r="L411" s="80" t="s">
        <v>84</v>
      </c>
      <c r="M411" s="80" t="s">
        <v>84</v>
      </c>
      <c r="N411" s="80" t="s">
        <v>84</v>
      </c>
      <c r="O411" s="80" t="s">
        <v>84</v>
      </c>
      <c r="P411" s="80"/>
      <c r="Q411" s="80" t="s">
        <v>84</v>
      </c>
      <c r="R411" s="80" t="s">
        <v>84</v>
      </c>
    </row>
    <row r="412" spans="1:18" ht="20" x14ac:dyDescent="0.2">
      <c r="A412" s="80" t="s">
        <v>886</v>
      </c>
      <c r="B412" s="80" t="s">
        <v>887</v>
      </c>
      <c r="C412" s="80" t="s">
        <v>84</v>
      </c>
      <c r="D412" s="80" t="s">
        <v>84</v>
      </c>
      <c r="E412" s="80" t="s">
        <v>84</v>
      </c>
      <c r="F412" s="80"/>
      <c r="G412" s="80" t="s">
        <v>84</v>
      </c>
      <c r="H412" s="80" t="s">
        <v>84</v>
      </c>
      <c r="I412" s="80" t="s">
        <v>84</v>
      </c>
      <c r="J412" s="80" t="s">
        <v>84</v>
      </c>
      <c r="K412" s="80" t="s">
        <v>84</v>
      </c>
      <c r="L412" s="80" t="s">
        <v>84</v>
      </c>
      <c r="M412" s="80" t="s">
        <v>84</v>
      </c>
      <c r="N412" s="80" t="s">
        <v>84</v>
      </c>
      <c r="O412" s="80" t="s">
        <v>84</v>
      </c>
      <c r="P412" s="80"/>
      <c r="Q412" s="80" t="s">
        <v>84</v>
      </c>
      <c r="R412" s="80" t="s">
        <v>84</v>
      </c>
    </row>
    <row r="413" spans="1:18" ht="20" x14ac:dyDescent="0.2">
      <c r="A413" s="80" t="s">
        <v>915</v>
      </c>
      <c r="B413" s="80" t="s">
        <v>9872</v>
      </c>
      <c r="C413" s="80" t="s">
        <v>9680</v>
      </c>
      <c r="D413" s="80" t="s">
        <v>9680</v>
      </c>
      <c r="E413" s="80" t="s">
        <v>84</v>
      </c>
      <c r="F413" s="80"/>
      <c r="G413" s="80" t="s">
        <v>9680</v>
      </c>
      <c r="H413" s="80" t="s">
        <v>9680</v>
      </c>
      <c r="I413" s="80" t="s">
        <v>9680</v>
      </c>
      <c r="J413" s="80" t="s">
        <v>9680</v>
      </c>
      <c r="K413" s="80" t="s">
        <v>9680</v>
      </c>
      <c r="L413" s="80" t="s">
        <v>9680</v>
      </c>
      <c r="M413" s="80" t="s">
        <v>9680</v>
      </c>
      <c r="N413" s="80" t="s">
        <v>84</v>
      </c>
      <c r="O413" s="80" t="s">
        <v>9680</v>
      </c>
      <c r="P413" s="80"/>
      <c r="Q413" s="80" t="s">
        <v>9680</v>
      </c>
      <c r="R413" s="80" t="s">
        <v>9680</v>
      </c>
    </row>
    <row r="414" spans="1:18" ht="20" x14ac:dyDescent="0.2">
      <c r="A414" s="80" t="s">
        <v>915</v>
      </c>
      <c r="B414" s="80" t="s">
        <v>916</v>
      </c>
      <c r="C414" s="80" t="s">
        <v>9680</v>
      </c>
      <c r="D414" s="80" t="s">
        <v>9680</v>
      </c>
      <c r="E414" s="80" t="s">
        <v>84</v>
      </c>
      <c r="F414" s="80"/>
      <c r="G414" s="80" t="s">
        <v>9680</v>
      </c>
      <c r="H414" s="80" t="s">
        <v>9680</v>
      </c>
      <c r="I414" s="80" t="s">
        <v>9680</v>
      </c>
      <c r="J414" s="80" t="s">
        <v>9680</v>
      </c>
      <c r="K414" s="80" t="s">
        <v>9680</v>
      </c>
      <c r="L414" s="80" t="s">
        <v>9680</v>
      </c>
      <c r="M414" s="80" t="s">
        <v>9680</v>
      </c>
      <c r="N414" s="80" t="s">
        <v>84</v>
      </c>
      <c r="O414" s="80" t="s">
        <v>9680</v>
      </c>
      <c r="P414" s="80"/>
      <c r="Q414" s="80" t="s">
        <v>9680</v>
      </c>
      <c r="R414" s="80" t="s">
        <v>9680</v>
      </c>
    </row>
    <row r="415" spans="1:18" ht="20" x14ac:dyDescent="0.2">
      <c r="A415" s="80" t="s">
        <v>923</v>
      </c>
      <c r="B415" s="80" t="s">
        <v>924</v>
      </c>
      <c r="C415" s="80" t="s">
        <v>9680</v>
      </c>
      <c r="D415" s="80" t="s">
        <v>9680</v>
      </c>
      <c r="E415" s="80" t="s">
        <v>9680</v>
      </c>
      <c r="F415" s="80"/>
      <c r="G415" s="80" t="s">
        <v>9680</v>
      </c>
      <c r="H415" s="80" t="s">
        <v>9680</v>
      </c>
      <c r="I415" s="80" t="s">
        <v>9680</v>
      </c>
      <c r="J415" s="80" t="s">
        <v>9680</v>
      </c>
      <c r="K415" s="80" t="s">
        <v>9680</v>
      </c>
      <c r="L415" s="80" t="s">
        <v>9680</v>
      </c>
      <c r="M415" s="80" t="s">
        <v>9680</v>
      </c>
      <c r="N415" s="80" t="s">
        <v>9680</v>
      </c>
      <c r="O415" s="80" t="s">
        <v>9680</v>
      </c>
      <c r="P415" s="80"/>
      <c r="Q415" s="80" t="s">
        <v>9680</v>
      </c>
      <c r="R415" s="80" t="s">
        <v>9680</v>
      </c>
    </row>
    <row r="416" spans="1:18" ht="20" x14ac:dyDescent="0.2">
      <c r="A416" s="80" t="s">
        <v>923</v>
      </c>
      <c r="B416" s="80" t="s">
        <v>9873</v>
      </c>
      <c r="C416" s="80" t="s">
        <v>9680</v>
      </c>
      <c r="D416" s="80" t="s">
        <v>9680</v>
      </c>
      <c r="E416" s="80" t="s">
        <v>9680</v>
      </c>
      <c r="F416" s="80"/>
      <c r="G416" s="80" t="s">
        <v>9680</v>
      </c>
      <c r="H416" s="80" t="s">
        <v>9680</v>
      </c>
      <c r="I416" s="80" t="s">
        <v>9680</v>
      </c>
      <c r="J416" s="80" t="s">
        <v>9680</v>
      </c>
      <c r="K416" s="80" t="s">
        <v>9680</v>
      </c>
      <c r="L416" s="80" t="s">
        <v>9680</v>
      </c>
      <c r="M416" s="80" t="s">
        <v>9680</v>
      </c>
      <c r="N416" s="80" t="s">
        <v>9680</v>
      </c>
      <c r="O416" s="80" t="s">
        <v>9680</v>
      </c>
      <c r="P416" s="80"/>
      <c r="Q416" s="80" t="s">
        <v>9680</v>
      </c>
      <c r="R416" s="80" t="s">
        <v>9680</v>
      </c>
    </row>
    <row r="417" spans="1:18" ht="20" x14ac:dyDescent="0.2">
      <c r="A417" s="80" t="s">
        <v>917</v>
      </c>
      <c r="B417" s="80" t="s">
        <v>918</v>
      </c>
      <c r="C417" s="80" t="s">
        <v>9680</v>
      </c>
      <c r="D417" s="80" t="s">
        <v>9680</v>
      </c>
      <c r="E417" s="80" t="s">
        <v>84</v>
      </c>
      <c r="F417" s="80"/>
      <c r="G417" s="80" t="s">
        <v>9680</v>
      </c>
      <c r="H417" s="80" t="s">
        <v>84</v>
      </c>
      <c r="I417" s="80" t="s">
        <v>9680</v>
      </c>
      <c r="J417" s="80" t="s">
        <v>84</v>
      </c>
      <c r="K417" s="80" t="s">
        <v>9680</v>
      </c>
      <c r="L417" s="80" t="s">
        <v>9680</v>
      </c>
      <c r="M417" s="80" t="s">
        <v>9680</v>
      </c>
      <c r="N417" s="80" t="s">
        <v>84</v>
      </c>
      <c r="O417" s="80" t="s">
        <v>9680</v>
      </c>
      <c r="P417" s="80"/>
      <c r="Q417" s="80" t="s">
        <v>9680</v>
      </c>
      <c r="R417" s="80" t="s">
        <v>9680</v>
      </c>
    </row>
    <row r="418" spans="1:18" ht="20" x14ac:dyDescent="0.2">
      <c r="A418" s="80" t="s">
        <v>917</v>
      </c>
      <c r="B418" s="80" t="s">
        <v>9874</v>
      </c>
      <c r="C418" s="80" t="s">
        <v>9680</v>
      </c>
      <c r="D418" s="80" t="s">
        <v>9680</v>
      </c>
      <c r="E418" s="80" t="s">
        <v>84</v>
      </c>
      <c r="F418" s="80"/>
      <c r="G418" s="80" t="s">
        <v>9680</v>
      </c>
      <c r="H418" s="80" t="s">
        <v>84</v>
      </c>
      <c r="I418" s="80" t="s">
        <v>9680</v>
      </c>
      <c r="J418" s="80" t="s">
        <v>84</v>
      </c>
      <c r="K418" s="80" t="s">
        <v>9680</v>
      </c>
      <c r="L418" s="80" t="s">
        <v>9680</v>
      </c>
      <c r="M418" s="80" t="s">
        <v>9680</v>
      </c>
      <c r="N418" s="80" t="s">
        <v>84</v>
      </c>
      <c r="O418" s="80" t="s">
        <v>9680</v>
      </c>
      <c r="P418" s="80"/>
      <c r="Q418" s="80" t="s">
        <v>9680</v>
      </c>
      <c r="R418" s="80" t="s">
        <v>9680</v>
      </c>
    </row>
    <row r="419" spans="1:18" ht="20" x14ac:dyDescent="0.2">
      <c r="A419" s="80" t="s">
        <v>919</v>
      </c>
      <c r="B419" s="80" t="s">
        <v>920</v>
      </c>
      <c r="C419" s="80" t="s">
        <v>9680</v>
      </c>
      <c r="D419" s="80" t="s">
        <v>9680</v>
      </c>
      <c r="E419" s="80" t="s">
        <v>84</v>
      </c>
      <c r="F419" s="80"/>
      <c r="G419" s="80" t="s">
        <v>9680</v>
      </c>
      <c r="H419" s="80" t="s">
        <v>84</v>
      </c>
      <c r="I419" s="80" t="s">
        <v>9680</v>
      </c>
      <c r="J419" s="80" t="s">
        <v>84</v>
      </c>
      <c r="K419" s="80" t="s">
        <v>9680</v>
      </c>
      <c r="L419" s="80" t="s">
        <v>9680</v>
      </c>
      <c r="M419" s="80" t="s">
        <v>9680</v>
      </c>
      <c r="N419" s="80" t="s">
        <v>84</v>
      </c>
      <c r="O419" s="80" t="s">
        <v>9680</v>
      </c>
      <c r="P419" s="80"/>
      <c r="Q419" s="80" t="s">
        <v>9680</v>
      </c>
      <c r="R419" s="80" t="s">
        <v>9680</v>
      </c>
    </row>
    <row r="420" spans="1:18" ht="20" x14ac:dyDescent="0.2">
      <c r="A420" s="80" t="s">
        <v>919</v>
      </c>
      <c r="B420" s="80" t="s">
        <v>9875</v>
      </c>
      <c r="C420" s="80" t="s">
        <v>9680</v>
      </c>
      <c r="D420" s="80" t="s">
        <v>9680</v>
      </c>
      <c r="E420" s="80" t="s">
        <v>84</v>
      </c>
      <c r="F420" s="80"/>
      <c r="G420" s="80" t="s">
        <v>9680</v>
      </c>
      <c r="H420" s="80" t="s">
        <v>84</v>
      </c>
      <c r="I420" s="80" t="s">
        <v>9680</v>
      </c>
      <c r="J420" s="80" t="s">
        <v>84</v>
      </c>
      <c r="K420" s="80" t="s">
        <v>9680</v>
      </c>
      <c r="L420" s="80" t="s">
        <v>9680</v>
      </c>
      <c r="M420" s="80" t="s">
        <v>9680</v>
      </c>
      <c r="N420" s="80" t="s">
        <v>84</v>
      </c>
      <c r="O420" s="80" t="s">
        <v>9680</v>
      </c>
      <c r="P420" s="80"/>
      <c r="Q420" s="80" t="s">
        <v>9680</v>
      </c>
      <c r="R420" s="80" t="s">
        <v>9680</v>
      </c>
    </row>
    <row r="421" spans="1:18" ht="20" x14ac:dyDescent="0.2">
      <c r="A421" s="80" t="s">
        <v>921</v>
      </c>
      <c r="B421" s="80" t="s">
        <v>922</v>
      </c>
      <c r="C421" s="80" t="s">
        <v>9680</v>
      </c>
      <c r="D421" s="80" t="s">
        <v>9680</v>
      </c>
      <c r="E421" s="80" t="s">
        <v>84</v>
      </c>
      <c r="F421" s="80"/>
      <c r="G421" s="80" t="s">
        <v>9680</v>
      </c>
      <c r="H421" s="80" t="s">
        <v>84</v>
      </c>
      <c r="I421" s="80" t="s">
        <v>9680</v>
      </c>
      <c r="J421" s="80" t="s">
        <v>84</v>
      </c>
      <c r="K421" s="80" t="s">
        <v>9680</v>
      </c>
      <c r="L421" s="80" t="s">
        <v>9680</v>
      </c>
      <c r="M421" s="80" t="s">
        <v>9680</v>
      </c>
      <c r="N421" s="80" t="s">
        <v>84</v>
      </c>
      <c r="O421" s="80" t="s">
        <v>9680</v>
      </c>
      <c r="P421" s="80"/>
      <c r="Q421" s="80" t="s">
        <v>9680</v>
      </c>
      <c r="R421" s="80" t="s">
        <v>9680</v>
      </c>
    </row>
    <row r="422" spans="1:18" ht="20" x14ac:dyDescent="0.2">
      <c r="A422" s="80" t="s">
        <v>921</v>
      </c>
      <c r="B422" s="80" t="s">
        <v>9876</v>
      </c>
      <c r="C422" s="80" t="s">
        <v>9680</v>
      </c>
      <c r="D422" s="80" t="s">
        <v>9680</v>
      </c>
      <c r="E422" s="80" t="s">
        <v>84</v>
      </c>
      <c r="F422" s="80"/>
      <c r="G422" s="80" t="s">
        <v>9680</v>
      </c>
      <c r="H422" s="80" t="s">
        <v>84</v>
      </c>
      <c r="I422" s="80" t="s">
        <v>9680</v>
      </c>
      <c r="J422" s="80" t="s">
        <v>84</v>
      </c>
      <c r="K422" s="80" t="s">
        <v>9680</v>
      </c>
      <c r="L422" s="80" t="s">
        <v>9680</v>
      </c>
      <c r="M422" s="80" t="s">
        <v>9680</v>
      </c>
      <c r="N422" s="80" t="s">
        <v>84</v>
      </c>
      <c r="O422" s="80" t="s">
        <v>9680</v>
      </c>
      <c r="P422" s="80"/>
      <c r="Q422" s="80" t="s">
        <v>9680</v>
      </c>
      <c r="R422" s="80" t="s">
        <v>9680</v>
      </c>
    </row>
    <row r="423" spans="1:18" ht="20" x14ac:dyDescent="0.2">
      <c r="A423" s="80" t="s">
        <v>888</v>
      </c>
      <c r="B423" s="80" t="s">
        <v>889</v>
      </c>
      <c r="C423" s="80" t="s">
        <v>9680</v>
      </c>
      <c r="D423" s="80" t="s">
        <v>84</v>
      </c>
      <c r="E423" s="80" t="s">
        <v>84</v>
      </c>
      <c r="F423" s="80"/>
      <c r="G423" s="80" t="s">
        <v>84</v>
      </c>
      <c r="H423" s="80" t="s">
        <v>84</v>
      </c>
      <c r="I423" s="80" t="s">
        <v>84</v>
      </c>
      <c r="J423" s="80" t="s">
        <v>84</v>
      </c>
      <c r="K423" s="80" t="s">
        <v>84</v>
      </c>
      <c r="L423" s="80" t="s">
        <v>84</v>
      </c>
      <c r="M423" s="80" t="s">
        <v>84</v>
      </c>
      <c r="N423" s="80" t="s">
        <v>84</v>
      </c>
      <c r="O423" s="80" t="s">
        <v>84</v>
      </c>
      <c r="P423" s="80"/>
      <c r="Q423" s="80" t="s">
        <v>84</v>
      </c>
      <c r="R423" s="80" t="s">
        <v>84</v>
      </c>
    </row>
    <row r="424" spans="1:18" ht="20" x14ac:dyDescent="0.2">
      <c r="A424" s="80" t="s">
        <v>888</v>
      </c>
      <c r="B424" s="80" t="s">
        <v>9877</v>
      </c>
      <c r="C424" s="80" t="s">
        <v>9680</v>
      </c>
      <c r="D424" s="80" t="s">
        <v>84</v>
      </c>
      <c r="E424" s="80" t="s">
        <v>84</v>
      </c>
      <c r="F424" s="80"/>
      <c r="G424" s="80" t="s">
        <v>84</v>
      </c>
      <c r="H424" s="80" t="s">
        <v>84</v>
      </c>
      <c r="I424" s="80" t="s">
        <v>84</v>
      </c>
      <c r="J424" s="80" t="s">
        <v>84</v>
      </c>
      <c r="K424" s="80" t="s">
        <v>84</v>
      </c>
      <c r="L424" s="80" t="s">
        <v>84</v>
      </c>
      <c r="M424" s="80" t="s">
        <v>84</v>
      </c>
      <c r="N424" s="80" t="s">
        <v>84</v>
      </c>
      <c r="O424" s="80" t="s">
        <v>84</v>
      </c>
      <c r="P424" s="80"/>
      <c r="Q424" s="80" t="s">
        <v>84</v>
      </c>
      <c r="R424" s="80" t="s">
        <v>84</v>
      </c>
    </row>
    <row r="425" spans="1:18" ht="20" x14ac:dyDescent="0.2">
      <c r="A425" s="80" t="s">
        <v>866</v>
      </c>
      <c r="B425" s="80" t="s">
        <v>867</v>
      </c>
      <c r="C425" s="80" t="s">
        <v>9680</v>
      </c>
      <c r="D425" s="80" t="s">
        <v>84</v>
      </c>
      <c r="E425" s="80" t="s">
        <v>84</v>
      </c>
      <c r="F425" s="80"/>
      <c r="G425" s="80" t="s">
        <v>84</v>
      </c>
      <c r="H425" s="80" t="s">
        <v>84</v>
      </c>
      <c r="I425" s="80" t="s">
        <v>84</v>
      </c>
      <c r="J425" s="80" t="s">
        <v>84</v>
      </c>
      <c r="K425" s="80" t="s">
        <v>84</v>
      </c>
      <c r="L425" s="80" t="s">
        <v>84</v>
      </c>
      <c r="M425" s="80" t="s">
        <v>84</v>
      </c>
      <c r="N425" s="80" t="s">
        <v>84</v>
      </c>
      <c r="O425" s="80" t="s">
        <v>84</v>
      </c>
      <c r="P425" s="80"/>
      <c r="Q425" s="80" t="s">
        <v>84</v>
      </c>
      <c r="R425" s="80" t="s">
        <v>84</v>
      </c>
    </row>
    <row r="426" spans="1:18" ht="20" x14ac:dyDescent="0.2">
      <c r="A426" s="80" t="s">
        <v>866</v>
      </c>
      <c r="B426" s="80" t="s">
        <v>890</v>
      </c>
      <c r="C426" s="80" t="s">
        <v>9680</v>
      </c>
      <c r="D426" s="80" t="s">
        <v>84</v>
      </c>
      <c r="E426" s="80" t="s">
        <v>84</v>
      </c>
      <c r="F426" s="80"/>
      <c r="G426" s="80" t="s">
        <v>84</v>
      </c>
      <c r="H426" s="80" t="s">
        <v>84</v>
      </c>
      <c r="I426" s="80" t="s">
        <v>84</v>
      </c>
      <c r="J426" s="80" t="s">
        <v>84</v>
      </c>
      <c r="K426" s="80" t="s">
        <v>84</v>
      </c>
      <c r="L426" s="80" t="s">
        <v>84</v>
      </c>
      <c r="M426" s="80" t="s">
        <v>84</v>
      </c>
      <c r="N426" s="80" t="s">
        <v>84</v>
      </c>
      <c r="O426" s="80" t="s">
        <v>84</v>
      </c>
      <c r="P426" s="80"/>
      <c r="Q426" s="80" t="s">
        <v>84</v>
      </c>
      <c r="R426" s="80" t="s">
        <v>84</v>
      </c>
    </row>
    <row r="427" spans="1:18" ht="20" x14ac:dyDescent="0.2">
      <c r="A427" s="80" t="s">
        <v>891</v>
      </c>
      <c r="B427" s="80" t="s">
        <v>892</v>
      </c>
      <c r="C427" s="80" t="s">
        <v>9680</v>
      </c>
      <c r="D427" s="80" t="s">
        <v>84</v>
      </c>
      <c r="E427" s="80" t="s">
        <v>84</v>
      </c>
      <c r="F427" s="80"/>
      <c r="G427" s="80" t="s">
        <v>84</v>
      </c>
      <c r="H427" s="80" t="s">
        <v>84</v>
      </c>
      <c r="I427" s="80" t="s">
        <v>84</v>
      </c>
      <c r="J427" s="80" t="s">
        <v>84</v>
      </c>
      <c r="K427" s="80" t="s">
        <v>84</v>
      </c>
      <c r="L427" s="80" t="s">
        <v>84</v>
      </c>
      <c r="M427" s="80" t="s">
        <v>84</v>
      </c>
      <c r="N427" s="80" t="s">
        <v>84</v>
      </c>
      <c r="O427" s="80" t="s">
        <v>84</v>
      </c>
      <c r="P427" s="80"/>
      <c r="Q427" s="80" t="s">
        <v>84</v>
      </c>
      <c r="R427" s="80" t="s">
        <v>84</v>
      </c>
    </row>
    <row r="428" spans="1:18" ht="20" x14ac:dyDescent="0.2">
      <c r="A428" s="80" t="s">
        <v>893</v>
      </c>
      <c r="B428" s="80" t="s">
        <v>894</v>
      </c>
      <c r="C428" s="80" t="s">
        <v>9680</v>
      </c>
      <c r="D428" s="80" t="s">
        <v>84</v>
      </c>
      <c r="E428" s="80" t="s">
        <v>84</v>
      </c>
      <c r="F428" s="80"/>
      <c r="G428" s="80" t="s">
        <v>84</v>
      </c>
      <c r="H428" s="80" t="s">
        <v>84</v>
      </c>
      <c r="I428" s="80" t="s">
        <v>84</v>
      </c>
      <c r="J428" s="80" t="s">
        <v>84</v>
      </c>
      <c r="K428" s="80" t="s">
        <v>84</v>
      </c>
      <c r="L428" s="80" t="s">
        <v>84</v>
      </c>
      <c r="M428" s="80" t="s">
        <v>84</v>
      </c>
      <c r="N428" s="80" t="s">
        <v>84</v>
      </c>
      <c r="O428" s="80" t="s">
        <v>84</v>
      </c>
      <c r="P428" s="80"/>
      <c r="Q428" s="80" t="s">
        <v>84</v>
      </c>
      <c r="R428" s="80" t="s">
        <v>84</v>
      </c>
    </row>
    <row r="429" spans="1:18" ht="20" x14ac:dyDescent="0.2">
      <c r="A429" s="80" t="s">
        <v>925</v>
      </c>
      <c r="B429" s="80" t="s">
        <v>926</v>
      </c>
      <c r="C429" s="80" t="s">
        <v>9680</v>
      </c>
      <c r="D429" s="80" t="s">
        <v>84</v>
      </c>
      <c r="E429" s="80" t="s">
        <v>84</v>
      </c>
      <c r="F429" s="80"/>
      <c r="G429" s="80" t="s">
        <v>84</v>
      </c>
      <c r="H429" s="80" t="s">
        <v>84</v>
      </c>
      <c r="I429" s="80" t="s">
        <v>84</v>
      </c>
      <c r="J429" s="80" t="s">
        <v>84</v>
      </c>
      <c r="K429" s="80" t="s">
        <v>84</v>
      </c>
      <c r="L429" s="80" t="s">
        <v>84</v>
      </c>
      <c r="M429" s="80" t="s">
        <v>84</v>
      </c>
      <c r="N429" s="80" t="s">
        <v>84</v>
      </c>
      <c r="O429" s="80" t="s">
        <v>84</v>
      </c>
      <c r="P429" s="80"/>
      <c r="Q429" s="80" t="s">
        <v>84</v>
      </c>
      <c r="R429" s="80" t="s">
        <v>84</v>
      </c>
    </row>
    <row r="430" spans="1:18" ht="20" x14ac:dyDescent="0.2">
      <c r="A430" s="80" t="s">
        <v>874</v>
      </c>
      <c r="B430" s="80" t="s">
        <v>9878</v>
      </c>
      <c r="C430" s="80" t="s">
        <v>84</v>
      </c>
      <c r="D430" s="80" t="s">
        <v>84</v>
      </c>
      <c r="E430" s="80" t="s">
        <v>84</v>
      </c>
      <c r="F430" s="80"/>
      <c r="G430" s="80" t="s">
        <v>84</v>
      </c>
      <c r="H430" s="80" t="s">
        <v>84</v>
      </c>
      <c r="I430" s="80" t="s">
        <v>84</v>
      </c>
      <c r="J430" s="80" t="s">
        <v>84</v>
      </c>
      <c r="K430" s="80" t="s">
        <v>84</v>
      </c>
      <c r="L430" s="80" t="s">
        <v>84</v>
      </c>
      <c r="M430" s="80" t="s">
        <v>84</v>
      </c>
      <c r="N430" s="80" t="s">
        <v>84</v>
      </c>
      <c r="O430" s="80" t="s">
        <v>84</v>
      </c>
      <c r="P430" s="80"/>
      <c r="Q430" s="80" t="s">
        <v>84</v>
      </c>
      <c r="R430" s="80" t="s">
        <v>84</v>
      </c>
    </row>
    <row r="431" spans="1:18" ht="20" x14ac:dyDescent="0.2">
      <c r="A431" s="80" t="s">
        <v>874</v>
      </c>
      <c r="B431" s="80" t="s">
        <v>875</v>
      </c>
      <c r="C431" s="80" t="s">
        <v>84</v>
      </c>
      <c r="D431" s="80" t="s">
        <v>84</v>
      </c>
      <c r="E431" s="80" t="s">
        <v>84</v>
      </c>
      <c r="F431" s="80"/>
      <c r="G431" s="80" t="s">
        <v>84</v>
      </c>
      <c r="H431" s="80" t="s">
        <v>84</v>
      </c>
      <c r="I431" s="80" t="s">
        <v>84</v>
      </c>
      <c r="J431" s="80" t="s">
        <v>84</v>
      </c>
      <c r="K431" s="80" t="s">
        <v>84</v>
      </c>
      <c r="L431" s="80" t="s">
        <v>84</v>
      </c>
      <c r="M431" s="80" t="s">
        <v>84</v>
      </c>
      <c r="N431" s="80" t="s">
        <v>84</v>
      </c>
      <c r="O431" s="80" t="s">
        <v>84</v>
      </c>
      <c r="P431" s="80"/>
      <c r="Q431" s="80" t="s">
        <v>84</v>
      </c>
      <c r="R431" s="80" t="s">
        <v>84</v>
      </c>
    </row>
    <row r="432" spans="1:18" ht="20" x14ac:dyDescent="0.2">
      <c r="A432" s="80" t="s">
        <v>3720</v>
      </c>
      <c r="B432" s="80" t="s">
        <v>9879</v>
      </c>
      <c r="C432" s="80" t="s">
        <v>84</v>
      </c>
      <c r="D432" s="80" t="s">
        <v>84</v>
      </c>
      <c r="E432" s="80" t="s">
        <v>84</v>
      </c>
      <c r="F432" s="80"/>
      <c r="G432" s="80" t="s">
        <v>84</v>
      </c>
      <c r="H432" s="80" t="s">
        <v>84</v>
      </c>
      <c r="I432" s="80" t="s">
        <v>84</v>
      </c>
      <c r="J432" s="80" t="s">
        <v>84</v>
      </c>
      <c r="K432" s="80" t="s">
        <v>84</v>
      </c>
      <c r="L432" s="80" t="s">
        <v>84</v>
      </c>
      <c r="M432" s="80" t="s">
        <v>84</v>
      </c>
      <c r="N432" s="80" t="s">
        <v>84</v>
      </c>
      <c r="O432" s="80" t="s">
        <v>84</v>
      </c>
      <c r="P432" s="80"/>
      <c r="Q432" s="80" t="s">
        <v>84</v>
      </c>
      <c r="R432" s="80" t="s">
        <v>84</v>
      </c>
    </row>
    <row r="433" spans="1:18" ht="20" x14ac:dyDescent="0.2">
      <c r="A433" s="80" t="s">
        <v>3720</v>
      </c>
      <c r="B433" s="80" t="s">
        <v>3721</v>
      </c>
      <c r="C433" s="80" t="s">
        <v>84</v>
      </c>
      <c r="D433" s="80" t="s">
        <v>84</v>
      </c>
      <c r="E433" s="80" t="s">
        <v>84</v>
      </c>
      <c r="F433" s="80"/>
      <c r="G433" s="80" t="s">
        <v>84</v>
      </c>
      <c r="H433" s="80" t="s">
        <v>84</v>
      </c>
      <c r="I433" s="80" t="s">
        <v>84</v>
      </c>
      <c r="J433" s="80" t="s">
        <v>84</v>
      </c>
      <c r="K433" s="80" t="s">
        <v>84</v>
      </c>
      <c r="L433" s="80" t="s">
        <v>84</v>
      </c>
      <c r="M433" s="80" t="s">
        <v>84</v>
      </c>
      <c r="N433" s="80" t="s">
        <v>84</v>
      </c>
      <c r="O433" s="80" t="s">
        <v>84</v>
      </c>
      <c r="P433" s="80"/>
      <c r="Q433" s="80" t="s">
        <v>84</v>
      </c>
      <c r="R433" s="80" t="s">
        <v>84</v>
      </c>
    </row>
    <row r="434" spans="1:18" ht="20" x14ac:dyDescent="0.2">
      <c r="A434" s="80" t="s">
        <v>895</v>
      </c>
      <c r="B434" s="80" t="s">
        <v>896</v>
      </c>
      <c r="C434" s="80" t="s">
        <v>84</v>
      </c>
      <c r="D434" s="80" t="s">
        <v>84</v>
      </c>
      <c r="E434" s="80" t="s">
        <v>84</v>
      </c>
      <c r="F434" s="80"/>
      <c r="G434" s="80" t="s">
        <v>84</v>
      </c>
      <c r="H434" s="80" t="s">
        <v>84</v>
      </c>
      <c r="I434" s="80" t="s">
        <v>84</v>
      </c>
      <c r="J434" s="80" t="s">
        <v>84</v>
      </c>
      <c r="K434" s="80" t="s">
        <v>84</v>
      </c>
      <c r="L434" s="80" t="s">
        <v>84</v>
      </c>
      <c r="M434" s="80" t="s">
        <v>84</v>
      </c>
      <c r="N434" s="80" t="s">
        <v>84</v>
      </c>
      <c r="O434" s="80" t="s">
        <v>84</v>
      </c>
      <c r="P434" s="80"/>
      <c r="Q434" s="80" t="s">
        <v>84</v>
      </c>
      <c r="R434" s="80" t="s">
        <v>84</v>
      </c>
    </row>
    <row r="435" spans="1:18" ht="20" x14ac:dyDescent="0.2">
      <c r="A435" s="80" t="s">
        <v>877</v>
      </c>
      <c r="B435" s="80" t="s">
        <v>878</v>
      </c>
      <c r="C435" s="80" t="s">
        <v>84</v>
      </c>
      <c r="D435" s="80" t="s">
        <v>84</v>
      </c>
      <c r="E435" s="80" t="s">
        <v>84</v>
      </c>
      <c r="F435" s="80"/>
      <c r="G435" s="80" t="s">
        <v>84</v>
      </c>
      <c r="H435" s="80" t="s">
        <v>84</v>
      </c>
      <c r="I435" s="80" t="s">
        <v>84</v>
      </c>
      <c r="J435" s="80" t="s">
        <v>84</v>
      </c>
      <c r="K435" s="80" t="s">
        <v>84</v>
      </c>
      <c r="L435" s="80" t="s">
        <v>84</v>
      </c>
      <c r="M435" s="80" t="s">
        <v>84</v>
      </c>
      <c r="N435" s="80" t="s">
        <v>84</v>
      </c>
      <c r="O435" s="80" t="s">
        <v>84</v>
      </c>
      <c r="P435" s="80"/>
      <c r="Q435" s="80" t="s">
        <v>84</v>
      </c>
      <c r="R435" s="80" t="s">
        <v>84</v>
      </c>
    </row>
    <row r="436" spans="1:18" ht="20" x14ac:dyDescent="0.2">
      <c r="A436" s="80" t="s">
        <v>877</v>
      </c>
      <c r="B436" s="80" t="s">
        <v>9880</v>
      </c>
      <c r="C436" s="80" t="s">
        <v>84</v>
      </c>
      <c r="D436" s="80" t="s">
        <v>84</v>
      </c>
      <c r="E436" s="80" t="s">
        <v>84</v>
      </c>
      <c r="F436" s="80"/>
      <c r="G436" s="80" t="s">
        <v>84</v>
      </c>
      <c r="H436" s="80" t="s">
        <v>84</v>
      </c>
      <c r="I436" s="80" t="s">
        <v>84</v>
      </c>
      <c r="J436" s="80" t="s">
        <v>84</v>
      </c>
      <c r="K436" s="80" t="s">
        <v>84</v>
      </c>
      <c r="L436" s="80" t="s">
        <v>84</v>
      </c>
      <c r="M436" s="80" t="s">
        <v>84</v>
      </c>
      <c r="N436" s="80" t="s">
        <v>84</v>
      </c>
      <c r="O436" s="80" t="s">
        <v>84</v>
      </c>
      <c r="P436" s="80"/>
      <c r="Q436" s="80" t="s">
        <v>84</v>
      </c>
      <c r="R436" s="80" t="s">
        <v>84</v>
      </c>
    </row>
    <row r="437" spans="1:18" ht="20" x14ac:dyDescent="0.2">
      <c r="A437" s="80" t="s">
        <v>882</v>
      </c>
      <c r="B437" s="80" t="s">
        <v>883</v>
      </c>
      <c r="C437" s="80" t="s">
        <v>84</v>
      </c>
      <c r="D437" s="80" t="s">
        <v>84</v>
      </c>
      <c r="E437" s="80" t="s">
        <v>84</v>
      </c>
      <c r="F437" s="80"/>
      <c r="G437" s="80" t="s">
        <v>84</v>
      </c>
      <c r="H437" s="80" t="s">
        <v>84</v>
      </c>
      <c r="I437" s="80" t="s">
        <v>84</v>
      </c>
      <c r="J437" s="80" t="s">
        <v>84</v>
      </c>
      <c r="K437" s="80" t="s">
        <v>84</v>
      </c>
      <c r="L437" s="80" t="s">
        <v>84</v>
      </c>
      <c r="M437" s="80" t="s">
        <v>84</v>
      </c>
      <c r="N437" s="80" t="s">
        <v>84</v>
      </c>
      <c r="O437" s="80" t="s">
        <v>84</v>
      </c>
      <c r="P437" s="80"/>
      <c r="Q437" s="80" t="s">
        <v>84</v>
      </c>
      <c r="R437" s="80" t="s">
        <v>84</v>
      </c>
    </row>
    <row r="438" spans="1:18" ht="20" x14ac:dyDescent="0.2">
      <c r="A438" s="80" t="s">
        <v>884</v>
      </c>
      <c r="B438" s="80" t="s">
        <v>885</v>
      </c>
      <c r="C438" s="80" t="s">
        <v>84</v>
      </c>
      <c r="D438" s="80" t="s">
        <v>84</v>
      </c>
      <c r="E438" s="80" t="s">
        <v>84</v>
      </c>
      <c r="F438" s="80"/>
      <c r="G438" s="80" t="s">
        <v>84</v>
      </c>
      <c r="H438" s="80" t="s">
        <v>84</v>
      </c>
      <c r="I438" s="80" t="s">
        <v>84</v>
      </c>
      <c r="J438" s="80" t="s">
        <v>84</v>
      </c>
      <c r="K438" s="80" t="s">
        <v>84</v>
      </c>
      <c r="L438" s="80" t="s">
        <v>84</v>
      </c>
      <c r="M438" s="80" t="s">
        <v>84</v>
      </c>
      <c r="N438" s="80" t="s">
        <v>84</v>
      </c>
      <c r="O438" s="80" t="s">
        <v>84</v>
      </c>
      <c r="P438" s="80"/>
      <c r="Q438" s="80" t="s">
        <v>84</v>
      </c>
      <c r="R438" s="80" t="s">
        <v>84</v>
      </c>
    </row>
    <row r="439" spans="1:18" ht="20" x14ac:dyDescent="0.2">
      <c r="A439" s="80" t="s">
        <v>897</v>
      </c>
      <c r="B439" s="80" t="s">
        <v>898</v>
      </c>
      <c r="C439" s="80" t="s">
        <v>84</v>
      </c>
      <c r="D439" s="80" t="s">
        <v>84</v>
      </c>
      <c r="E439" s="80" t="s">
        <v>84</v>
      </c>
      <c r="F439" s="80"/>
      <c r="G439" s="80" t="s">
        <v>84</v>
      </c>
      <c r="H439" s="80" t="s">
        <v>84</v>
      </c>
      <c r="I439" s="80" t="s">
        <v>84</v>
      </c>
      <c r="J439" s="80" t="s">
        <v>84</v>
      </c>
      <c r="K439" s="80" t="s">
        <v>84</v>
      </c>
      <c r="L439" s="80" t="s">
        <v>84</v>
      </c>
      <c r="M439" s="80" t="s">
        <v>84</v>
      </c>
      <c r="N439" s="80" t="s">
        <v>84</v>
      </c>
      <c r="O439" s="80" t="s">
        <v>84</v>
      </c>
      <c r="P439" s="80"/>
      <c r="Q439" s="80" t="s">
        <v>84</v>
      </c>
      <c r="R439" s="80" t="s">
        <v>84</v>
      </c>
    </row>
    <row r="440" spans="1:18" ht="20" x14ac:dyDescent="0.2">
      <c r="A440" s="80" t="s">
        <v>899</v>
      </c>
      <c r="B440" s="80" t="s">
        <v>900</v>
      </c>
      <c r="C440" s="80" t="s">
        <v>9680</v>
      </c>
      <c r="D440" s="80" t="s">
        <v>9680</v>
      </c>
      <c r="E440" s="80" t="s">
        <v>84</v>
      </c>
      <c r="F440" s="80"/>
      <c r="G440" s="80" t="s">
        <v>84</v>
      </c>
      <c r="H440" s="80" t="s">
        <v>84</v>
      </c>
      <c r="I440" s="80" t="s">
        <v>9680</v>
      </c>
      <c r="J440" s="80" t="s">
        <v>84</v>
      </c>
      <c r="K440" s="80" t="s">
        <v>9680</v>
      </c>
      <c r="L440" s="80" t="s">
        <v>9680</v>
      </c>
      <c r="M440" s="80" t="s">
        <v>9680</v>
      </c>
      <c r="N440" s="80" t="s">
        <v>84</v>
      </c>
      <c r="O440" s="80" t="s">
        <v>9680</v>
      </c>
      <c r="P440" s="80"/>
      <c r="Q440" s="80" t="s">
        <v>9680</v>
      </c>
      <c r="R440" s="80" t="s">
        <v>9680</v>
      </c>
    </row>
    <row r="441" spans="1:18" ht="20" x14ac:dyDescent="0.2">
      <c r="A441" s="80" t="s">
        <v>901</v>
      </c>
      <c r="B441" s="80" t="s">
        <v>902</v>
      </c>
      <c r="C441" s="80" t="s">
        <v>84</v>
      </c>
      <c r="D441" s="80" t="s">
        <v>84</v>
      </c>
      <c r="E441" s="80" t="s">
        <v>84</v>
      </c>
      <c r="F441" s="80"/>
      <c r="G441" s="80" t="s">
        <v>84</v>
      </c>
      <c r="H441" s="80" t="s">
        <v>84</v>
      </c>
      <c r="I441" s="80" t="s">
        <v>84</v>
      </c>
      <c r="J441" s="80" t="s">
        <v>84</v>
      </c>
      <c r="K441" s="80" t="s">
        <v>84</v>
      </c>
      <c r="L441" s="80" t="s">
        <v>84</v>
      </c>
      <c r="M441" s="80" t="s">
        <v>84</v>
      </c>
      <c r="N441" s="80" t="s">
        <v>84</v>
      </c>
      <c r="O441" s="80" t="s">
        <v>84</v>
      </c>
      <c r="P441" s="80"/>
      <c r="Q441" s="80" t="s">
        <v>84</v>
      </c>
      <c r="R441" s="80" t="s">
        <v>84</v>
      </c>
    </row>
    <row r="442" spans="1:18" ht="20" x14ac:dyDescent="0.2">
      <c r="A442" s="80" t="s">
        <v>903</v>
      </c>
      <c r="B442" s="80" t="s">
        <v>904</v>
      </c>
      <c r="C442" s="80" t="s">
        <v>84</v>
      </c>
      <c r="D442" s="80" t="s">
        <v>84</v>
      </c>
      <c r="E442" s="80" t="s">
        <v>84</v>
      </c>
      <c r="F442" s="80"/>
      <c r="G442" s="80" t="s">
        <v>84</v>
      </c>
      <c r="H442" s="80" t="s">
        <v>84</v>
      </c>
      <c r="I442" s="80" t="s">
        <v>84</v>
      </c>
      <c r="J442" s="80" t="s">
        <v>84</v>
      </c>
      <c r="K442" s="80" t="s">
        <v>84</v>
      </c>
      <c r="L442" s="80" t="s">
        <v>84</v>
      </c>
      <c r="M442" s="80" t="s">
        <v>84</v>
      </c>
      <c r="N442" s="80" t="s">
        <v>84</v>
      </c>
      <c r="O442" s="80" t="s">
        <v>84</v>
      </c>
      <c r="P442" s="80"/>
      <c r="Q442" s="80" t="s">
        <v>84</v>
      </c>
      <c r="R442" s="80" t="s">
        <v>84</v>
      </c>
    </row>
    <row r="443" spans="1:18" ht="20" x14ac:dyDescent="0.2">
      <c r="A443" s="80" t="s">
        <v>905</v>
      </c>
      <c r="B443" s="80" t="s">
        <v>906</v>
      </c>
      <c r="C443" s="80" t="s">
        <v>84</v>
      </c>
      <c r="D443" s="80" t="s">
        <v>84</v>
      </c>
      <c r="E443" s="80" t="s">
        <v>84</v>
      </c>
      <c r="F443" s="80"/>
      <c r="G443" s="80" t="s">
        <v>84</v>
      </c>
      <c r="H443" s="80" t="s">
        <v>84</v>
      </c>
      <c r="I443" s="80" t="s">
        <v>84</v>
      </c>
      <c r="J443" s="80" t="s">
        <v>84</v>
      </c>
      <c r="K443" s="80" t="s">
        <v>84</v>
      </c>
      <c r="L443" s="80" t="s">
        <v>84</v>
      </c>
      <c r="M443" s="80" t="s">
        <v>84</v>
      </c>
      <c r="N443" s="80" t="s">
        <v>84</v>
      </c>
      <c r="O443" s="80" t="s">
        <v>84</v>
      </c>
      <c r="P443" s="80"/>
      <c r="Q443" s="80" t="s">
        <v>84</v>
      </c>
      <c r="R443" s="80" t="s">
        <v>84</v>
      </c>
    </row>
    <row r="444" spans="1:18" ht="20" x14ac:dyDescent="0.2">
      <c r="A444" s="80" t="s">
        <v>907</v>
      </c>
      <c r="B444" s="80" t="s">
        <v>908</v>
      </c>
      <c r="C444" s="80" t="s">
        <v>84</v>
      </c>
      <c r="D444" s="80" t="s">
        <v>84</v>
      </c>
      <c r="E444" s="80" t="s">
        <v>84</v>
      </c>
      <c r="F444" s="80"/>
      <c r="G444" s="80" t="s">
        <v>84</v>
      </c>
      <c r="H444" s="80" t="s">
        <v>84</v>
      </c>
      <c r="I444" s="80" t="s">
        <v>84</v>
      </c>
      <c r="J444" s="80" t="s">
        <v>84</v>
      </c>
      <c r="K444" s="80" t="s">
        <v>84</v>
      </c>
      <c r="L444" s="80" t="s">
        <v>84</v>
      </c>
      <c r="M444" s="80" t="s">
        <v>84</v>
      </c>
      <c r="N444" s="80" t="s">
        <v>84</v>
      </c>
      <c r="O444" s="80" t="s">
        <v>84</v>
      </c>
      <c r="P444" s="80"/>
      <c r="Q444" s="80" t="s">
        <v>84</v>
      </c>
      <c r="R444" s="80" t="s">
        <v>84</v>
      </c>
    </row>
    <row r="445" spans="1:18" ht="20" x14ac:dyDescent="0.2">
      <c r="A445" s="80" t="s">
        <v>909</v>
      </c>
      <c r="B445" s="80" t="s">
        <v>910</v>
      </c>
      <c r="C445" s="80" t="s">
        <v>84</v>
      </c>
      <c r="D445" s="80" t="s">
        <v>84</v>
      </c>
      <c r="E445" s="80" t="s">
        <v>84</v>
      </c>
      <c r="F445" s="80"/>
      <c r="G445" s="80" t="s">
        <v>84</v>
      </c>
      <c r="H445" s="80" t="s">
        <v>84</v>
      </c>
      <c r="I445" s="80" t="s">
        <v>84</v>
      </c>
      <c r="J445" s="80" t="s">
        <v>84</v>
      </c>
      <c r="K445" s="80" t="s">
        <v>84</v>
      </c>
      <c r="L445" s="80" t="s">
        <v>84</v>
      </c>
      <c r="M445" s="80" t="s">
        <v>84</v>
      </c>
      <c r="N445" s="80" t="s">
        <v>84</v>
      </c>
      <c r="O445" s="80" t="s">
        <v>84</v>
      </c>
      <c r="P445" s="80"/>
      <c r="Q445" s="80" t="s">
        <v>84</v>
      </c>
      <c r="R445" s="80" t="s">
        <v>84</v>
      </c>
    </row>
    <row r="446" spans="1:18" ht="20" x14ac:dyDescent="0.2">
      <c r="A446" s="80" t="s">
        <v>911</v>
      </c>
      <c r="B446" s="80" t="s">
        <v>912</v>
      </c>
      <c r="C446" s="80" t="s">
        <v>9680</v>
      </c>
      <c r="D446" s="80" t="s">
        <v>84</v>
      </c>
      <c r="E446" s="80" t="s">
        <v>84</v>
      </c>
      <c r="F446" s="80"/>
      <c r="G446" s="80" t="s">
        <v>84</v>
      </c>
      <c r="H446" s="80" t="s">
        <v>84</v>
      </c>
      <c r="I446" s="80" t="s">
        <v>84</v>
      </c>
      <c r="J446" s="80" t="s">
        <v>84</v>
      </c>
      <c r="K446" s="80" t="s">
        <v>84</v>
      </c>
      <c r="L446" s="80" t="s">
        <v>84</v>
      </c>
      <c r="M446" s="80" t="s">
        <v>84</v>
      </c>
      <c r="N446" s="80" t="s">
        <v>84</v>
      </c>
      <c r="O446" s="80" t="s">
        <v>84</v>
      </c>
      <c r="P446" s="80"/>
      <c r="Q446" s="80" t="s">
        <v>84</v>
      </c>
      <c r="R446" s="80" t="s">
        <v>84</v>
      </c>
    </row>
    <row r="447" spans="1:18" ht="20" x14ac:dyDescent="0.2">
      <c r="A447" s="80" t="s">
        <v>913</v>
      </c>
      <c r="B447" s="80" t="s">
        <v>914</v>
      </c>
      <c r="C447" s="80" t="s">
        <v>9680</v>
      </c>
      <c r="D447" s="80" t="s">
        <v>84</v>
      </c>
      <c r="E447" s="80" t="s">
        <v>84</v>
      </c>
      <c r="F447" s="80"/>
      <c r="G447" s="80" t="s">
        <v>84</v>
      </c>
      <c r="H447" s="80" t="s">
        <v>84</v>
      </c>
      <c r="I447" s="80" t="s">
        <v>84</v>
      </c>
      <c r="J447" s="80" t="s">
        <v>84</v>
      </c>
      <c r="K447" s="80" t="s">
        <v>84</v>
      </c>
      <c r="L447" s="80" t="s">
        <v>84</v>
      </c>
      <c r="M447" s="80" t="s">
        <v>84</v>
      </c>
      <c r="N447" s="80" t="s">
        <v>84</v>
      </c>
      <c r="O447" s="80" t="s">
        <v>84</v>
      </c>
      <c r="P447" s="80"/>
      <c r="Q447" s="80" t="s">
        <v>84</v>
      </c>
      <c r="R447" s="80" t="s">
        <v>84</v>
      </c>
    </row>
    <row r="448" spans="1:18" ht="20" x14ac:dyDescent="0.2">
      <c r="A448" s="80" t="s">
        <v>302</v>
      </c>
      <c r="B448" s="80" t="s">
        <v>303</v>
      </c>
      <c r="C448" s="80" t="s">
        <v>84</v>
      </c>
      <c r="D448" s="80" t="s">
        <v>84</v>
      </c>
      <c r="E448" s="80" t="s">
        <v>84</v>
      </c>
      <c r="F448" s="80"/>
      <c r="G448" s="80" t="s">
        <v>84</v>
      </c>
      <c r="H448" s="80" t="s">
        <v>84</v>
      </c>
      <c r="I448" s="80" t="s">
        <v>84</v>
      </c>
      <c r="J448" s="80" t="s">
        <v>84</v>
      </c>
      <c r="K448" s="80" t="s">
        <v>84</v>
      </c>
      <c r="L448" s="80" t="s">
        <v>84</v>
      </c>
      <c r="M448" s="80" t="s">
        <v>84</v>
      </c>
      <c r="N448" s="80" t="s">
        <v>84</v>
      </c>
      <c r="O448" s="80" t="s">
        <v>84</v>
      </c>
      <c r="P448" s="80"/>
      <c r="Q448" s="80" t="s">
        <v>84</v>
      </c>
      <c r="R448" s="80" t="s">
        <v>84</v>
      </c>
    </row>
    <row r="449" spans="1:18" ht="20" x14ac:dyDescent="0.2">
      <c r="A449" s="80" t="s">
        <v>256</v>
      </c>
      <c r="B449" s="80" t="s">
        <v>257</v>
      </c>
      <c r="C449" s="80" t="s">
        <v>84</v>
      </c>
      <c r="D449" s="80" t="s">
        <v>84</v>
      </c>
      <c r="E449" s="80" t="s">
        <v>84</v>
      </c>
      <c r="F449" s="80"/>
      <c r="G449" s="80" t="s">
        <v>84</v>
      </c>
      <c r="H449" s="80" t="s">
        <v>84</v>
      </c>
      <c r="I449" s="80" t="s">
        <v>84</v>
      </c>
      <c r="J449" s="80" t="s">
        <v>84</v>
      </c>
      <c r="K449" s="80" t="s">
        <v>84</v>
      </c>
      <c r="L449" s="80" t="s">
        <v>84</v>
      </c>
      <c r="M449" s="80" t="s">
        <v>84</v>
      </c>
      <c r="N449" s="80" t="s">
        <v>84</v>
      </c>
      <c r="O449" s="80" t="s">
        <v>84</v>
      </c>
      <c r="P449" s="80"/>
      <c r="Q449" s="80" t="s">
        <v>84</v>
      </c>
      <c r="R449" s="80" t="s">
        <v>84</v>
      </c>
    </row>
    <row r="450" spans="1:18" ht="20" x14ac:dyDescent="0.2">
      <c r="A450" s="80" t="s">
        <v>256</v>
      </c>
      <c r="B450" s="80" t="s">
        <v>9881</v>
      </c>
      <c r="C450" s="80" t="s">
        <v>84</v>
      </c>
      <c r="D450" s="80" t="s">
        <v>84</v>
      </c>
      <c r="E450" s="80" t="s">
        <v>84</v>
      </c>
      <c r="F450" s="80"/>
      <c r="G450" s="80" t="s">
        <v>84</v>
      </c>
      <c r="H450" s="80" t="s">
        <v>84</v>
      </c>
      <c r="I450" s="80" t="s">
        <v>84</v>
      </c>
      <c r="J450" s="80" t="s">
        <v>84</v>
      </c>
      <c r="K450" s="80" t="s">
        <v>84</v>
      </c>
      <c r="L450" s="80" t="s">
        <v>84</v>
      </c>
      <c r="M450" s="80" t="s">
        <v>84</v>
      </c>
      <c r="N450" s="80" t="s">
        <v>84</v>
      </c>
      <c r="O450" s="80" t="s">
        <v>84</v>
      </c>
      <c r="P450" s="80"/>
      <c r="Q450" s="80" t="s">
        <v>84</v>
      </c>
      <c r="R450" s="80" t="s">
        <v>84</v>
      </c>
    </row>
    <row r="451" spans="1:18" ht="20" x14ac:dyDescent="0.2">
      <c r="A451" s="80" t="s">
        <v>256</v>
      </c>
      <c r="B451" s="80" t="s">
        <v>488</v>
      </c>
      <c r="C451" s="80" t="s">
        <v>84</v>
      </c>
      <c r="D451" s="80" t="s">
        <v>84</v>
      </c>
      <c r="E451" s="80" t="s">
        <v>84</v>
      </c>
      <c r="F451" s="80"/>
      <c r="G451" s="80" t="s">
        <v>84</v>
      </c>
      <c r="H451" s="80" t="s">
        <v>84</v>
      </c>
      <c r="I451" s="80" t="s">
        <v>84</v>
      </c>
      <c r="J451" s="80" t="s">
        <v>84</v>
      </c>
      <c r="K451" s="80" t="s">
        <v>84</v>
      </c>
      <c r="L451" s="80" t="s">
        <v>84</v>
      </c>
      <c r="M451" s="80" t="s">
        <v>84</v>
      </c>
      <c r="N451" s="80" t="s">
        <v>84</v>
      </c>
      <c r="O451" s="80" t="s">
        <v>84</v>
      </c>
      <c r="P451" s="80"/>
      <c r="Q451" s="80" t="s">
        <v>84</v>
      </c>
      <c r="R451" s="80" t="s">
        <v>84</v>
      </c>
    </row>
    <row r="452" spans="1:18" ht="20" x14ac:dyDescent="0.2">
      <c r="A452" s="80" t="s">
        <v>304</v>
      </c>
      <c r="B452" s="80" t="s">
        <v>305</v>
      </c>
      <c r="C452" s="80" t="s">
        <v>84</v>
      </c>
      <c r="D452" s="80" t="s">
        <v>84</v>
      </c>
      <c r="E452" s="80" t="s">
        <v>84</v>
      </c>
      <c r="F452" s="80"/>
      <c r="G452" s="80" t="s">
        <v>84</v>
      </c>
      <c r="H452" s="80" t="s">
        <v>84</v>
      </c>
      <c r="I452" s="80" t="s">
        <v>84</v>
      </c>
      <c r="J452" s="80" t="s">
        <v>84</v>
      </c>
      <c r="K452" s="80" t="s">
        <v>84</v>
      </c>
      <c r="L452" s="80" t="s">
        <v>84</v>
      </c>
      <c r="M452" s="80" t="s">
        <v>84</v>
      </c>
      <c r="N452" s="80" t="s">
        <v>84</v>
      </c>
      <c r="O452" s="80" t="s">
        <v>84</v>
      </c>
      <c r="P452" s="80"/>
      <c r="Q452" s="80" t="s">
        <v>84</v>
      </c>
      <c r="R452" s="80" t="s">
        <v>84</v>
      </c>
    </row>
    <row r="453" spans="1:18" ht="20" x14ac:dyDescent="0.2">
      <c r="A453" s="80" t="s">
        <v>306</v>
      </c>
      <c r="B453" s="80" t="s">
        <v>307</v>
      </c>
      <c r="C453" s="80" t="s">
        <v>84</v>
      </c>
      <c r="D453" s="80" t="s">
        <v>84</v>
      </c>
      <c r="E453" s="80" t="s">
        <v>84</v>
      </c>
      <c r="F453" s="80"/>
      <c r="G453" s="80" t="s">
        <v>84</v>
      </c>
      <c r="H453" s="80" t="s">
        <v>84</v>
      </c>
      <c r="I453" s="80" t="s">
        <v>84</v>
      </c>
      <c r="J453" s="80" t="s">
        <v>84</v>
      </c>
      <c r="K453" s="80" t="s">
        <v>84</v>
      </c>
      <c r="L453" s="80" t="s">
        <v>84</v>
      </c>
      <c r="M453" s="80" t="s">
        <v>84</v>
      </c>
      <c r="N453" s="80" t="s">
        <v>84</v>
      </c>
      <c r="O453" s="80" t="s">
        <v>84</v>
      </c>
      <c r="P453" s="80"/>
      <c r="Q453" s="80" t="s">
        <v>84</v>
      </c>
      <c r="R453" s="80" t="s">
        <v>84</v>
      </c>
    </row>
    <row r="454" spans="1:18" ht="20" x14ac:dyDescent="0.2">
      <c r="A454" s="80" t="s">
        <v>489</v>
      </c>
      <c r="B454" s="80" t="s">
        <v>9882</v>
      </c>
      <c r="C454" s="80" t="s">
        <v>84</v>
      </c>
      <c r="D454" s="80" t="s">
        <v>84</v>
      </c>
      <c r="E454" s="80" t="s">
        <v>84</v>
      </c>
      <c r="F454" s="80"/>
      <c r="G454" s="80" t="s">
        <v>84</v>
      </c>
      <c r="H454" s="80" t="s">
        <v>84</v>
      </c>
      <c r="I454" s="80" t="s">
        <v>84</v>
      </c>
      <c r="J454" s="80" t="s">
        <v>84</v>
      </c>
      <c r="K454" s="80" t="s">
        <v>84</v>
      </c>
      <c r="L454" s="80" t="s">
        <v>84</v>
      </c>
      <c r="M454" s="80" t="s">
        <v>84</v>
      </c>
      <c r="N454" s="80" t="s">
        <v>84</v>
      </c>
      <c r="O454" s="80" t="s">
        <v>84</v>
      </c>
      <c r="P454" s="80"/>
      <c r="Q454" s="80" t="s">
        <v>84</v>
      </c>
      <c r="R454" s="80" t="s">
        <v>84</v>
      </c>
    </row>
    <row r="455" spans="1:18" ht="20" x14ac:dyDescent="0.2">
      <c r="A455" s="80" t="s">
        <v>489</v>
      </c>
      <c r="B455" s="80" t="s">
        <v>490</v>
      </c>
      <c r="C455" s="80" t="s">
        <v>84</v>
      </c>
      <c r="D455" s="80" t="s">
        <v>84</v>
      </c>
      <c r="E455" s="80" t="s">
        <v>84</v>
      </c>
      <c r="F455" s="80"/>
      <c r="G455" s="80" t="s">
        <v>84</v>
      </c>
      <c r="H455" s="80" t="s">
        <v>84</v>
      </c>
      <c r="I455" s="80" t="s">
        <v>84</v>
      </c>
      <c r="J455" s="80" t="s">
        <v>84</v>
      </c>
      <c r="K455" s="80" t="s">
        <v>84</v>
      </c>
      <c r="L455" s="80" t="s">
        <v>84</v>
      </c>
      <c r="M455" s="80" t="s">
        <v>84</v>
      </c>
      <c r="N455" s="80" t="s">
        <v>84</v>
      </c>
      <c r="O455" s="80" t="s">
        <v>84</v>
      </c>
      <c r="P455" s="80"/>
      <c r="Q455" s="80" t="s">
        <v>84</v>
      </c>
      <c r="R455" s="80" t="s">
        <v>84</v>
      </c>
    </row>
    <row r="456" spans="1:18" ht="20" x14ac:dyDescent="0.2">
      <c r="A456" s="80" t="s">
        <v>491</v>
      </c>
      <c r="B456" s="80" t="s">
        <v>9883</v>
      </c>
      <c r="C456" s="80" t="s">
        <v>84</v>
      </c>
      <c r="D456" s="80" t="s">
        <v>84</v>
      </c>
      <c r="E456" s="80" t="s">
        <v>84</v>
      </c>
      <c r="F456" s="80"/>
      <c r="G456" s="80" t="s">
        <v>84</v>
      </c>
      <c r="H456" s="80" t="s">
        <v>84</v>
      </c>
      <c r="I456" s="80" t="s">
        <v>84</v>
      </c>
      <c r="J456" s="80" t="s">
        <v>84</v>
      </c>
      <c r="K456" s="80" t="s">
        <v>84</v>
      </c>
      <c r="L456" s="80" t="s">
        <v>84</v>
      </c>
      <c r="M456" s="80" t="s">
        <v>84</v>
      </c>
      <c r="N456" s="80" t="s">
        <v>84</v>
      </c>
      <c r="O456" s="80" t="s">
        <v>84</v>
      </c>
      <c r="P456" s="80"/>
      <c r="Q456" s="80" t="s">
        <v>84</v>
      </c>
      <c r="R456" s="80" t="s">
        <v>84</v>
      </c>
    </row>
    <row r="457" spans="1:18" ht="20" x14ac:dyDescent="0.2">
      <c r="A457" s="80" t="s">
        <v>491</v>
      </c>
      <c r="B457" s="80" t="s">
        <v>492</v>
      </c>
      <c r="C457" s="80" t="s">
        <v>84</v>
      </c>
      <c r="D457" s="80" t="s">
        <v>84</v>
      </c>
      <c r="E457" s="80" t="s">
        <v>84</v>
      </c>
      <c r="F457" s="80"/>
      <c r="G457" s="80" t="s">
        <v>84</v>
      </c>
      <c r="H457" s="80" t="s">
        <v>84</v>
      </c>
      <c r="I457" s="80" t="s">
        <v>84</v>
      </c>
      <c r="J457" s="80" t="s">
        <v>84</v>
      </c>
      <c r="K457" s="80" t="s">
        <v>84</v>
      </c>
      <c r="L457" s="80" t="s">
        <v>84</v>
      </c>
      <c r="M457" s="80" t="s">
        <v>84</v>
      </c>
      <c r="N457" s="80" t="s">
        <v>84</v>
      </c>
      <c r="O457" s="80" t="s">
        <v>84</v>
      </c>
      <c r="P457" s="80"/>
      <c r="Q457" s="80" t="s">
        <v>84</v>
      </c>
      <c r="R457" s="80" t="s">
        <v>84</v>
      </c>
    </row>
    <row r="458" spans="1:18" ht="20" x14ac:dyDescent="0.2">
      <c r="A458" s="80" t="s">
        <v>493</v>
      </c>
      <c r="B458" s="80" t="s">
        <v>9884</v>
      </c>
      <c r="C458" s="80" t="s">
        <v>84</v>
      </c>
      <c r="D458" s="80" t="s">
        <v>84</v>
      </c>
      <c r="E458" s="80" t="s">
        <v>84</v>
      </c>
      <c r="F458" s="80"/>
      <c r="G458" s="80" t="s">
        <v>84</v>
      </c>
      <c r="H458" s="80" t="s">
        <v>84</v>
      </c>
      <c r="I458" s="80" t="s">
        <v>84</v>
      </c>
      <c r="J458" s="80" t="s">
        <v>84</v>
      </c>
      <c r="K458" s="80" t="s">
        <v>84</v>
      </c>
      <c r="L458" s="80" t="s">
        <v>84</v>
      </c>
      <c r="M458" s="80" t="s">
        <v>84</v>
      </c>
      <c r="N458" s="80" t="s">
        <v>84</v>
      </c>
      <c r="O458" s="80" t="s">
        <v>84</v>
      </c>
      <c r="P458" s="80"/>
      <c r="Q458" s="80" t="s">
        <v>84</v>
      </c>
      <c r="R458" s="80" t="s">
        <v>84</v>
      </c>
    </row>
    <row r="459" spans="1:18" ht="20" x14ac:dyDescent="0.2">
      <c r="A459" s="80" t="s">
        <v>493</v>
      </c>
      <c r="B459" s="80" t="s">
        <v>494</v>
      </c>
      <c r="C459" s="80" t="s">
        <v>84</v>
      </c>
      <c r="D459" s="80" t="s">
        <v>84</v>
      </c>
      <c r="E459" s="80" t="s">
        <v>84</v>
      </c>
      <c r="F459" s="80"/>
      <c r="G459" s="80" t="s">
        <v>84</v>
      </c>
      <c r="H459" s="80" t="s">
        <v>84</v>
      </c>
      <c r="I459" s="80" t="s">
        <v>84</v>
      </c>
      <c r="J459" s="80" t="s">
        <v>84</v>
      </c>
      <c r="K459" s="80" t="s">
        <v>84</v>
      </c>
      <c r="L459" s="80" t="s">
        <v>84</v>
      </c>
      <c r="M459" s="80" t="s">
        <v>84</v>
      </c>
      <c r="N459" s="80" t="s">
        <v>84</v>
      </c>
      <c r="O459" s="80" t="s">
        <v>84</v>
      </c>
      <c r="P459" s="80"/>
      <c r="Q459" s="80" t="s">
        <v>84</v>
      </c>
      <c r="R459" s="80" t="s">
        <v>84</v>
      </c>
    </row>
    <row r="460" spans="1:18" ht="20" x14ac:dyDescent="0.2">
      <c r="A460" s="80" t="s">
        <v>495</v>
      </c>
      <c r="B460" s="80" t="s">
        <v>9885</v>
      </c>
      <c r="C460" s="80" t="s">
        <v>84</v>
      </c>
      <c r="D460" s="80" t="s">
        <v>84</v>
      </c>
      <c r="E460" s="80" t="s">
        <v>84</v>
      </c>
      <c r="F460" s="80"/>
      <c r="G460" s="80" t="s">
        <v>84</v>
      </c>
      <c r="H460" s="80" t="s">
        <v>84</v>
      </c>
      <c r="I460" s="80" t="s">
        <v>84</v>
      </c>
      <c r="J460" s="80" t="s">
        <v>84</v>
      </c>
      <c r="K460" s="80" t="s">
        <v>84</v>
      </c>
      <c r="L460" s="80" t="s">
        <v>84</v>
      </c>
      <c r="M460" s="80" t="s">
        <v>84</v>
      </c>
      <c r="N460" s="80" t="s">
        <v>84</v>
      </c>
      <c r="O460" s="80" t="s">
        <v>84</v>
      </c>
      <c r="P460" s="80"/>
      <c r="Q460" s="80" t="s">
        <v>84</v>
      </c>
      <c r="R460" s="80" t="s">
        <v>84</v>
      </c>
    </row>
    <row r="461" spans="1:18" ht="20" x14ac:dyDescent="0.2">
      <c r="A461" s="80" t="s">
        <v>495</v>
      </c>
      <c r="B461" s="80" t="s">
        <v>496</v>
      </c>
      <c r="C461" s="80" t="s">
        <v>84</v>
      </c>
      <c r="D461" s="80" t="s">
        <v>84</v>
      </c>
      <c r="E461" s="80" t="s">
        <v>84</v>
      </c>
      <c r="F461" s="80"/>
      <c r="G461" s="80" t="s">
        <v>84</v>
      </c>
      <c r="H461" s="80" t="s">
        <v>84</v>
      </c>
      <c r="I461" s="80" t="s">
        <v>84</v>
      </c>
      <c r="J461" s="80" t="s">
        <v>84</v>
      </c>
      <c r="K461" s="80" t="s">
        <v>84</v>
      </c>
      <c r="L461" s="80" t="s">
        <v>84</v>
      </c>
      <c r="M461" s="80" t="s">
        <v>84</v>
      </c>
      <c r="N461" s="80" t="s">
        <v>84</v>
      </c>
      <c r="O461" s="80" t="s">
        <v>84</v>
      </c>
      <c r="P461" s="80"/>
      <c r="Q461" s="80" t="s">
        <v>84</v>
      </c>
      <c r="R461" s="80" t="s">
        <v>84</v>
      </c>
    </row>
    <row r="462" spans="1:18" ht="20" x14ac:dyDescent="0.2">
      <c r="A462" s="80" t="s">
        <v>332</v>
      </c>
      <c r="B462" s="80" t="s">
        <v>333</v>
      </c>
      <c r="C462" s="80" t="s">
        <v>84</v>
      </c>
      <c r="D462" s="80" t="s">
        <v>84</v>
      </c>
      <c r="E462" s="80" t="s">
        <v>84</v>
      </c>
      <c r="F462" s="80"/>
      <c r="G462" s="80" t="s">
        <v>84</v>
      </c>
      <c r="H462" s="80" t="s">
        <v>84</v>
      </c>
      <c r="I462" s="80" t="s">
        <v>84</v>
      </c>
      <c r="J462" s="80" t="s">
        <v>84</v>
      </c>
      <c r="K462" s="80" t="s">
        <v>84</v>
      </c>
      <c r="L462" s="80" t="s">
        <v>84</v>
      </c>
      <c r="M462" s="80" t="s">
        <v>84</v>
      </c>
      <c r="N462" s="80" t="s">
        <v>84</v>
      </c>
      <c r="O462" s="80" t="s">
        <v>84</v>
      </c>
      <c r="P462" s="80"/>
      <c r="Q462" s="80" t="s">
        <v>84</v>
      </c>
      <c r="R462" s="80" t="s">
        <v>84</v>
      </c>
    </row>
    <row r="463" spans="1:18" ht="20" x14ac:dyDescent="0.2">
      <c r="A463" s="80" t="s">
        <v>497</v>
      </c>
      <c r="B463" s="80" t="s">
        <v>498</v>
      </c>
      <c r="C463" s="80" t="s">
        <v>84</v>
      </c>
      <c r="D463" s="80" t="s">
        <v>84</v>
      </c>
      <c r="E463" s="80" t="s">
        <v>84</v>
      </c>
      <c r="F463" s="80"/>
      <c r="G463" s="80" t="s">
        <v>84</v>
      </c>
      <c r="H463" s="80" t="s">
        <v>84</v>
      </c>
      <c r="I463" s="80" t="s">
        <v>84</v>
      </c>
      <c r="J463" s="80" t="s">
        <v>84</v>
      </c>
      <c r="K463" s="80" t="s">
        <v>84</v>
      </c>
      <c r="L463" s="80" t="s">
        <v>84</v>
      </c>
      <c r="M463" s="80" t="s">
        <v>84</v>
      </c>
      <c r="N463" s="80" t="s">
        <v>84</v>
      </c>
      <c r="O463" s="80" t="s">
        <v>84</v>
      </c>
      <c r="P463" s="80"/>
      <c r="Q463" s="80" t="s">
        <v>84</v>
      </c>
      <c r="R463" s="80" t="s">
        <v>84</v>
      </c>
    </row>
    <row r="464" spans="1:18" ht="20" x14ac:dyDescent="0.2">
      <c r="A464" s="80" t="s">
        <v>499</v>
      </c>
      <c r="B464" s="80" t="s">
        <v>500</v>
      </c>
      <c r="C464" s="80" t="s">
        <v>84</v>
      </c>
      <c r="D464" s="80" t="s">
        <v>84</v>
      </c>
      <c r="E464" s="80" t="s">
        <v>84</v>
      </c>
      <c r="F464" s="80"/>
      <c r="G464" s="80" t="s">
        <v>84</v>
      </c>
      <c r="H464" s="80" t="s">
        <v>84</v>
      </c>
      <c r="I464" s="80" t="s">
        <v>84</v>
      </c>
      <c r="J464" s="80" t="s">
        <v>84</v>
      </c>
      <c r="K464" s="80" t="s">
        <v>84</v>
      </c>
      <c r="L464" s="80" t="s">
        <v>84</v>
      </c>
      <c r="M464" s="80" t="s">
        <v>84</v>
      </c>
      <c r="N464" s="80" t="s">
        <v>84</v>
      </c>
      <c r="O464" s="80" t="s">
        <v>84</v>
      </c>
      <c r="P464" s="80"/>
      <c r="Q464" s="80" t="s">
        <v>84</v>
      </c>
      <c r="R464" s="80" t="s">
        <v>84</v>
      </c>
    </row>
    <row r="465" spans="1:18" ht="20" x14ac:dyDescent="0.2">
      <c r="A465" s="80" t="s">
        <v>501</v>
      </c>
      <c r="B465" s="80" t="s">
        <v>502</v>
      </c>
      <c r="C465" s="80" t="s">
        <v>84</v>
      </c>
      <c r="D465" s="80" t="s">
        <v>84</v>
      </c>
      <c r="E465" s="80" t="s">
        <v>84</v>
      </c>
      <c r="F465" s="80"/>
      <c r="G465" s="80" t="s">
        <v>84</v>
      </c>
      <c r="H465" s="80" t="s">
        <v>84</v>
      </c>
      <c r="I465" s="80" t="s">
        <v>84</v>
      </c>
      <c r="J465" s="80" t="s">
        <v>84</v>
      </c>
      <c r="K465" s="80" t="s">
        <v>84</v>
      </c>
      <c r="L465" s="80" t="s">
        <v>84</v>
      </c>
      <c r="M465" s="80" t="s">
        <v>84</v>
      </c>
      <c r="N465" s="80" t="s">
        <v>84</v>
      </c>
      <c r="O465" s="80" t="s">
        <v>84</v>
      </c>
      <c r="P465" s="80"/>
      <c r="Q465" s="80" t="s">
        <v>84</v>
      </c>
      <c r="R465" s="80" t="s">
        <v>84</v>
      </c>
    </row>
    <row r="466" spans="1:18" ht="20" x14ac:dyDescent="0.2">
      <c r="A466" s="80" t="s">
        <v>503</v>
      </c>
      <c r="B466" s="80" t="s">
        <v>504</v>
      </c>
      <c r="C466" s="80" t="s">
        <v>84</v>
      </c>
      <c r="D466" s="80" t="s">
        <v>84</v>
      </c>
      <c r="E466" s="80" t="s">
        <v>84</v>
      </c>
      <c r="F466" s="80"/>
      <c r="G466" s="80" t="s">
        <v>84</v>
      </c>
      <c r="H466" s="80" t="s">
        <v>84</v>
      </c>
      <c r="I466" s="80" t="s">
        <v>84</v>
      </c>
      <c r="J466" s="80" t="s">
        <v>84</v>
      </c>
      <c r="K466" s="80" t="s">
        <v>84</v>
      </c>
      <c r="L466" s="80" t="s">
        <v>84</v>
      </c>
      <c r="M466" s="80" t="s">
        <v>84</v>
      </c>
      <c r="N466" s="80" t="s">
        <v>84</v>
      </c>
      <c r="O466" s="80" t="s">
        <v>84</v>
      </c>
      <c r="P466" s="80"/>
      <c r="Q466" s="80" t="s">
        <v>84</v>
      </c>
      <c r="R466" s="80" t="s">
        <v>84</v>
      </c>
    </row>
    <row r="467" spans="1:18" ht="20" x14ac:dyDescent="0.2">
      <c r="A467" s="80" t="s">
        <v>196</v>
      </c>
      <c r="B467" s="80" t="s">
        <v>197</v>
      </c>
      <c r="C467" s="80" t="s">
        <v>84</v>
      </c>
      <c r="D467" s="80" t="s">
        <v>84</v>
      </c>
      <c r="E467" s="80" t="s">
        <v>84</v>
      </c>
      <c r="F467" s="80"/>
      <c r="G467" s="80" t="s">
        <v>84</v>
      </c>
      <c r="H467" s="80" t="s">
        <v>84</v>
      </c>
      <c r="I467" s="80" t="s">
        <v>84</v>
      </c>
      <c r="J467" s="80" t="s">
        <v>84</v>
      </c>
      <c r="K467" s="80" t="s">
        <v>84</v>
      </c>
      <c r="L467" s="80" t="s">
        <v>84</v>
      </c>
      <c r="M467" s="80" t="s">
        <v>84</v>
      </c>
      <c r="N467" s="80" t="s">
        <v>84</v>
      </c>
      <c r="O467" s="80" t="s">
        <v>84</v>
      </c>
      <c r="P467" s="80"/>
      <c r="Q467" s="80" t="s">
        <v>84</v>
      </c>
      <c r="R467" s="80" t="s">
        <v>84</v>
      </c>
    </row>
    <row r="468" spans="1:18" ht="20" x14ac:dyDescent="0.2">
      <c r="A468" s="80" t="s">
        <v>196</v>
      </c>
      <c r="B468" s="80" t="s">
        <v>505</v>
      </c>
      <c r="C468" s="80" t="s">
        <v>84</v>
      </c>
      <c r="D468" s="80" t="s">
        <v>84</v>
      </c>
      <c r="E468" s="80" t="s">
        <v>84</v>
      </c>
      <c r="F468" s="80"/>
      <c r="G468" s="80" t="s">
        <v>84</v>
      </c>
      <c r="H468" s="80" t="s">
        <v>84</v>
      </c>
      <c r="I468" s="80" t="s">
        <v>84</v>
      </c>
      <c r="J468" s="80" t="s">
        <v>84</v>
      </c>
      <c r="K468" s="80" t="s">
        <v>84</v>
      </c>
      <c r="L468" s="80" t="s">
        <v>84</v>
      </c>
      <c r="M468" s="80" t="s">
        <v>84</v>
      </c>
      <c r="N468" s="80" t="s">
        <v>84</v>
      </c>
      <c r="O468" s="80" t="s">
        <v>84</v>
      </c>
      <c r="P468" s="80"/>
      <c r="Q468" s="80" t="s">
        <v>84</v>
      </c>
      <c r="R468" s="80" t="s">
        <v>84</v>
      </c>
    </row>
    <row r="469" spans="1:18" ht="20" x14ac:dyDescent="0.2">
      <c r="A469" s="80" t="s">
        <v>506</v>
      </c>
      <c r="B469" s="80" t="s">
        <v>507</v>
      </c>
      <c r="C469" s="80" t="s">
        <v>84</v>
      </c>
      <c r="D469" s="80" t="s">
        <v>84</v>
      </c>
      <c r="E469" s="80" t="s">
        <v>84</v>
      </c>
      <c r="F469" s="80"/>
      <c r="G469" s="80" t="s">
        <v>84</v>
      </c>
      <c r="H469" s="80" t="s">
        <v>84</v>
      </c>
      <c r="I469" s="80" t="s">
        <v>84</v>
      </c>
      <c r="J469" s="80" t="s">
        <v>84</v>
      </c>
      <c r="K469" s="80" t="s">
        <v>84</v>
      </c>
      <c r="L469" s="80" t="s">
        <v>84</v>
      </c>
      <c r="M469" s="80" t="s">
        <v>84</v>
      </c>
      <c r="N469" s="80" t="s">
        <v>84</v>
      </c>
      <c r="O469" s="80" t="s">
        <v>84</v>
      </c>
      <c r="P469" s="80"/>
      <c r="Q469" s="80" t="s">
        <v>84</v>
      </c>
      <c r="R469" s="80" t="s">
        <v>84</v>
      </c>
    </row>
    <row r="470" spans="1:18" ht="20" x14ac:dyDescent="0.2">
      <c r="A470" s="80" t="s">
        <v>508</v>
      </c>
      <c r="B470" s="80" t="s">
        <v>509</v>
      </c>
      <c r="C470" s="80" t="s">
        <v>84</v>
      </c>
      <c r="D470" s="80" t="s">
        <v>84</v>
      </c>
      <c r="E470" s="80" t="s">
        <v>84</v>
      </c>
      <c r="F470" s="80"/>
      <c r="G470" s="80" t="s">
        <v>84</v>
      </c>
      <c r="H470" s="80" t="s">
        <v>84</v>
      </c>
      <c r="I470" s="80" t="s">
        <v>84</v>
      </c>
      <c r="J470" s="80" t="s">
        <v>84</v>
      </c>
      <c r="K470" s="80" t="s">
        <v>84</v>
      </c>
      <c r="L470" s="80" t="s">
        <v>84</v>
      </c>
      <c r="M470" s="80" t="s">
        <v>84</v>
      </c>
      <c r="N470" s="80" t="s">
        <v>84</v>
      </c>
      <c r="O470" s="80" t="s">
        <v>84</v>
      </c>
      <c r="P470" s="80"/>
      <c r="Q470" s="80" t="s">
        <v>84</v>
      </c>
      <c r="R470" s="80" t="s">
        <v>84</v>
      </c>
    </row>
    <row r="471" spans="1:18" ht="20" x14ac:dyDescent="0.2">
      <c r="A471" s="80" t="s">
        <v>321</v>
      </c>
      <c r="B471" s="80" t="s">
        <v>322</v>
      </c>
      <c r="C471" s="80" t="s">
        <v>84</v>
      </c>
      <c r="D471" s="80" t="s">
        <v>84</v>
      </c>
      <c r="E471" s="80" t="s">
        <v>84</v>
      </c>
      <c r="F471" s="80"/>
      <c r="G471" s="80" t="s">
        <v>84</v>
      </c>
      <c r="H471" s="80" t="s">
        <v>84</v>
      </c>
      <c r="I471" s="80" t="s">
        <v>84</v>
      </c>
      <c r="J471" s="80" t="s">
        <v>84</v>
      </c>
      <c r="K471" s="80" t="s">
        <v>84</v>
      </c>
      <c r="L471" s="80" t="s">
        <v>84</v>
      </c>
      <c r="M471" s="80" t="s">
        <v>84</v>
      </c>
      <c r="N471" s="80" t="s">
        <v>84</v>
      </c>
      <c r="O471" s="80" t="s">
        <v>84</v>
      </c>
      <c r="P471" s="80"/>
      <c r="Q471" s="80" t="s">
        <v>84</v>
      </c>
      <c r="R471" s="80" t="s">
        <v>84</v>
      </c>
    </row>
    <row r="472" spans="1:18" ht="20" x14ac:dyDescent="0.2">
      <c r="A472" s="80" t="s">
        <v>9886</v>
      </c>
      <c r="B472" s="80" t="s">
        <v>9887</v>
      </c>
      <c r="C472" s="80" t="s">
        <v>84</v>
      </c>
      <c r="D472" s="80" t="s">
        <v>84</v>
      </c>
      <c r="E472" s="80" t="s">
        <v>84</v>
      </c>
      <c r="F472" s="80"/>
      <c r="G472" s="80" t="s">
        <v>84</v>
      </c>
      <c r="H472" s="80" t="s">
        <v>84</v>
      </c>
      <c r="I472" s="80" t="s">
        <v>84</v>
      </c>
      <c r="J472" s="80" t="s">
        <v>84</v>
      </c>
      <c r="K472" s="80" t="s">
        <v>84</v>
      </c>
      <c r="L472" s="80" t="s">
        <v>84</v>
      </c>
      <c r="M472" s="80" t="s">
        <v>84</v>
      </c>
      <c r="N472" s="80" t="s">
        <v>84</v>
      </c>
      <c r="O472" s="80" t="s">
        <v>84</v>
      </c>
      <c r="P472" s="80"/>
      <c r="Q472" s="80" t="s">
        <v>84</v>
      </c>
      <c r="R472" s="80" t="s">
        <v>84</v>
      </c>
    </row>
    <row r="473" spans="1:18" ht="20" x14ac:dyDescent="0.2">
      <c r="A473" s="80" t="s">
        <v>510</v>
      </c>
      <c r="B473" s="80" t="s">
        <v>511</v>
      </c>
      <c r="C473" s="80" t="s">
        <v>84</v>
      </c>
      <c r="D473" s="80" t="s">
        <v>84</v>
      </c>
      <c r="E473" s="80" t="s">
        <v>84</v>
      </c>
      <c r="F473" s="80"/>
      <c r="G473" s="80" t="s">
        <v>84</v>
      </c>
      <c r="H473" s="80" t="s">
        <v>84</v>
      </c>
      <c r="I473" s="80" t="s">
        <v>84</v>
      </c>
      <c r="J473" s="80" t="s">
        <v>84</v>
      </c>
      <c r="K473" s="80" t="s">
        <v>84</v>
      </c>
      <c r="L473" s="80" t="s">
        <v>84</v>
      </c>
      <c r="M473" s="80" t="s">
        <v>84</v>
      </c>
      <c r="N473" s="80" t="s">
        <v>84</v>
      </c>
      <c r="O473" s="80" t="s">
        <v>84</v>
      </c>
      <c r="P473" s="80"/>
      <c r="Q473" s="80" t="s">
        <v>84</v>
      </c>
      <c r="R473" s="80" t="s">
        <v>84</v>
      </c>
    </row>
    <row r="474" spans="1:18" ht="20" x14ac:dyDescent="0.2">
      <c r="A474" s="80" t="s">
        <v>512</v>
      </c>
      <c r="B474" s="80" t="s">
        <v>9888</v>
      </c>
      <c r="C474" s="80" t="s">
        <v>84</v>
      </c>
      <c r="D474" s="80" t="s">
        <v>84</v>
      </c>
      <c r="E474" s="80" t="s">
        <v>84</v>
      </c>
      <c r="F474" s="80"/>
      <c r="G474" s="80" t="s">
        <v>84</v>
      </c>
      <c r="H474" s="80" t="s">
        <v>84</v>
      </c>
      <c r="I474" s="80" t="s">
        <v>84</v>
      </c>
      <c r="J474" s="80" t="s">
        <v>84</v>
      </c>
      <c r="K474" s="80" t="s">
        <v>84</v>
      </c>
      <c r="L474" s="80" t="s">
        <v>84</v>
      </c>
      <c r="M474" s="80" t="s">
        <v>84</v>
      </c>
      <c r="N474" s="80" t="s">
        <v>84</v>
      </c>
      <c r="O474" s="80" t="s">
        <v>84</v>
      </c>
      <c r="P474" s="80"/>
      <c r="Q474" s="80" t="s">
        <v>84</v>
      </c>
      <c r="R474" s="80" t="s">
        <v>84</v>
      </c>
    </row>
    <row r="475" spans="1:18" ht="20" x14ac:dyDescent="0.2">
      <c r="A475" s="80" t="s">
        <v>512</v>
      </c>
      <c r="B475" s="80" t="s">
        <v>513</v>
      </c>
      <c r="C475" s="80" t="s">
        <v>84</v>
      </c>
      <c r="D475" s="80" t="s">
        <v>84</v>
      </c>
      <c r="E475" s="80" t="s">
        <v>84</v>
      </c>
      <c r="F475" s="80"/>
      <c r="G475" s="80" t="s">
        <v>84</v>
      </c>
      <c r="H475" s="80" t="s">
        <v>84</v>
      </c>
      <c r="I475" s="80" t="s">
        <v>84</v>
      </c>
      <c r="J475" s="80" t="s">
        <v>84</v>
      </c>
      <c r="K475" s="80" t="s">
        <v>84</v>
      </c>
      <c r="L475" s="80" t="s">
        <v>84</v>
      </c>
      <c r="M475" s="80" t="s">
        <v>84</v>
      </c>
      <c r="N475" s="80" t="s">
        <v>84</v>
      </c>
      <c r="O475" s="80" t="s">
        <v>84</v>
      </c>
      <c r="P475" s="80"/>
      <c r="Q475" s="80" t="s">
        <v>84</v>
      </c>
      <c r="R475" s="80" t="s">
        <v>84</v>
      </c>
    </row>
    <row r="476" spans="1:18" ht="20" x14ac:dyDescent="0.2">
      <c r="A476" s="80" t="s">
        <v>514</v>
      </c>
      <c r="B476" s="80" t="s">
        <v>515</v>
      </c>
      <c r="C476" s="80" t="s">
        <v>84</v>
      </c>
      <c r="D476" s="80" t="s">
        <v>84</v>
      </c>
      <c r="E476" s="80" t="s">
        <v>84</v>
      </c>
      <c r="F476" s="80"/>
      <c r="G476" s="80" t="s">
        <v>84</v>
      </c>
      <c r="H476" s="80" t="s">
        <v>84</v>
      </c>
      <c r="I476" s="80" t="s">
        <v>84</v>
      </c>
      <c r="J476" s="80" t="s">
        <v>84</v>
      </c>
      <c r="K476" s="80" t="s">
        <v>84</v>
      </c>
      <c r="L476" s="80" t="s">
        <v>84</v>
      </c>
      <c r="M476" s="80" t="s">
        <v>84</v>
      </c>
      <c r="N476" s="80" t="s">
        <v>84</v>
      </c>
      <c r="O476" s="80" t="s">
        <v>84</v>
      </c>
      <c r="P476" s="80"/>
      <c r="Q476" s="80" t="s">
        <v>84</v>
      </c>
      <c r="R476" s="80" t="s">
        <v>84</v>
      </c>
    </row>
    <row r="477" spans="1:18" ht="20" x14ac:dyDescent="0.2">
      <c r="A477" s="80" t="s">
        <v>519</v>
      </c>
      <c r="B477" s="80" t="s">
        <v>520</v>
      </c>
      <c r="C477" s="80" t="s">
        <v>84</v>
      </c>
      <c r="D477" s="80" t="s">
        <v>84</v>
      </c>
      <c r="E477" s="80" t="s">
        <v>84</v>
      </c>
      <c r="F477" s="80"/>
      <c r="G477" s="80" t="s">
        <v>84</v>
      </c>
      <c r="H477" s="80" t="s">
        <v>84</v>
      </c>
      <c r="I477" s="80" t="s">
        <v>84</v>
      </c>
      <c r="J477" s="80" t="s">
        <v>84</v>
      </c>
      <c r="K477" s="80" t="s">
        <v>84</v>
      </c>
      <c r="L477" s="80" t="s">
        <v>84</v>
      </c>
      <c r="M477" s="80" t="s">
        <v>84</v>
      </c>
      <c r="N477" s="80" t="s">
        <v>84</v>
      </c>
      <c r="O477" s="80" t="s">
        <v>84</v>
      </c>
      <c r="P477" s="80"/>
      <c r="Q477" s="80" t="s">
        <v>84</v>
      </c>
      <c r="R477" s="80" t="s">
        <v>84</v>
      </c>
    </row>
    <row r="478" spans="1:18" ht="20" x14ac:dyDescent="0.2">
      <c r="A478" s="80" t="s">
        <v>521</v>
      </c>
      <c r="B478" s="80" t="s">
        <v>522</v>
      </c>
      <c r="C478" s="80" t="s">
        <v>84</v>
      </c>
      <c r="D478" s="80" t="s">
        <v>84</v>
      </c>
      <c r="E478" s="80" t="s">
        <v>84</v>
      </c>
      <c r="F478" s="80"/>
      <c r="G478" s="80" t="s">
        <v>84</v>
      </c>
      <c r="H478" s="80" t="s">
        <v>84</v>
      </c>
      <c r="I478" s="80" t="s">
        <v>84</v>
      </c>
      <c r="J478" s="80" t="s">
        <v>84</v>
      </c>
      <c r="K478" s="80" t="s">
        <v>84</v>
      </c>
      <c r="L478" s="80" t="s">
        <v>84</v>
      </c>
      <c r="M478" s="80" t="s">
        <v>84</v>
      </c>
      <c r="N478" s="80" t="s">
        <v>84</v>
      </c>
      <c r="O478" s="80" t="s">
        <v>84</v>
      </c>
      <c r="P478" s="80"/>
      <c r="Q478" s="80" t="s">
        <v>84</v>
      </c>
      <c r="R478" s="80" t="s">
        <v>84</v>
      </c>
    </row>
    <row r="479" spans="1:18" ht="20" x14ac:dyDescent="0.2">
      <c r="A479" s="80" t="s">
        <v>523</v>
      </c>
      <c r="B479" s="80" t="s">
        <v>9889</v>
      </c>
      <c r="C479" s="80" t="s">
        <v>84</v>
      </c>
      <c r="D479" s="80" t="s">
        <v>84</v>
      </c>
      <c r="E479" s="80" t="s">
        <v>84</v>
      </c>
      <c r="F479" s="80"/>
      <c r="G479" s="80" t="s">
        <v>84</v>
      </c>
      <c r="H479" s="80" t="s">
        <v>84</v>
      </c>
      <c r="I479" s="80" t="s">
        <v>84</v>
      </c>
      <c r="J479" s="80" t="s">
        <v>84</v>
      </c>
      <c r="K479" s="80" t="s">
        <v>84</v>
      </c>
      <c r="L479" s="80" t="s">
        <v>84</v>
      </c>
      <c r="M479" s="80" t="s">
        <v>84</v>
      </c>
      <c r="N479" s="80" t="s">
        <v>84</v>
      </c>
      <c r="O479" s="80" t="s">
        <v>84</v>
      </c>
      <c r="P479" s="80"/>
      <c r="Q479" s="80" t="s">
        <v>84</v>
      </c>
      <c r="R479" s="80" t="s">
        <v>84</v>
      </c>
    </row>
    <row r="480" spans="1:18" ht="20" x14ac:dyDescent="0.2">
      <c r="A480" s="80" t="s">
        <v>523</v>
      </c>
      <c r="B480" s="80" t="s">
        <v>524</v>
      </c>
      <c r="C480" s="80" t="s">
        <v>84</v>
      </c>
      <c r="D480" s="80" t="s">
        <v>84</v>
      </c>
      <c r="E480" s="80" t="s">
        <v>84</v>
      </c>
      <c r="F480" s="80"/>
      <c r="G480" s="80" t="s">
        <v>84</v>
      </c>
      <c r="H480" s="80" t="s">
        <v>84</v>
      </c>
      <c r="I480" s="80" t="s">
        <v>84</v>
      </c>
      <c r="J480" s="80" t="s">
        <v>84</v>
      </c>
      <c r="K480" s="80" t="s">
        <v>84</v>
      </c>
      <c r="L480" s="80" t="s">
        <v>84</v>
      </c>
      <c r="M480" s="80" t="s">
        <v>84</v>
      </c>
      <c r="N480" s="80" t="s">
        <v>84</v>
      </c>
      <c r="O480" s="80" t="s">
        <v>84</v>
      </c>
      <c r="P480" s="80"/>
      <c r="Q480" s="80" t="s">
        <v>84</v>
      </c>
      <c r="R480" s="80" t="s">
        <v>84</v>
      </c>
    </row>
    <row r="481" spans="1:18" ht="20" x14ac:dyDescent="0.2">
      <c r="A481" s="80" t="s">
        <v>525</v>
      </c>
      <c r="B481" s="80" t="s">
        <v>526</v>
      </c>
      <c r="C481" s="80" t="s">
        <v>84</v>
      </c>
      <c r="D481" s="80" t="s">
        <v>84</v>
      </c>
      <c r="E481" s="80" t="s">
        <v>84</v>
      </c>
      <c r="F481" s="80"/>
      <c r="G481" s="80" t="s">
        <v>84</v>
      </c>
      <c r="H481" s="80" t="s">
        <v>84</v>
      </c>
      <c r="I481" s="80" t="s">
        <v>84</v>
      </c>
      <c r="J481" s="80" t="s">
        <v>84</v>
      </c>
      <c r="K481" s="80" t="s">
        <v>84</v>
      </c>
      <c r="L481" s="80" t="s">
        <v>84</v>
      </c>
      <c r="M481" s="80" t="s">
        <v>84</v>
      </c>
      <c r="N481" s="80" t="s">
        <v>84</v>
      </c>
      <c r="O481" s="80" t="s">
        <v>84</v>
      </c>
      <c r="P481" s="80"/>
      <c r="Q481" s="80" t="s">
        <v>84</v>
      </c>
      <c r="R481" s="80" t="s">
        <v>84</v>
      </c>
    </row>
    <row r="482" spans="1:18" ht="20" x14ac:dyDescent="0.2">
      <c r="A482" s="80" t="s">
        <v>9890</v>
      </c>
      <c r="B482" s="80" t="s">
        <v>528</v>
      </c>
      <c r="C482" s="80" t="s">
        <v>9680</v>
      </c>
      <c r="D482" s="80" t="s">
        <v>84</v>
      </c>
      <c r="E482" s="80" t="s">
        <v>84</v>
      </c>
      <c r="F482" s="80"/>
      <c r="G482" s="80" t="s">
        <v>84</v>
      </c>
      <c r="H482" s="80" t="s">
        <v>84</v>
      </c>
      <c r="I482" s="80" t="s">
        <v>84</v>
      </c>
      <c r="J482" s="80" t="s">
        <v>84</v>
      </c>
      <c r="K482" s="80" t="s">
        <v>84</v>
      </c>
      <c r="L482" s="80" t="s">
        <v>84</v>
      </c>
      <c r="M482" s="80" t="s">
        <v>84</v>
      </c>
      <c r="N482" s="80" t="s">
        <v>84</v>
      </c>
      <c r="O482" s="80" t="s">
        <v>84</v>
      </c>
      <c r="P482" s="80"/>
      <c r="Q482" s="80" t="s">
        <v>84</v>
      </c>
      <c r="R482" s="80" t="s">
        <v>84</v>
      </c>
    </row>
    <row r="483" spans="1:18" ht="20" x14ac:dyDescent="0.2">
      <c r="A483" s="80" t="s">
        <v>323</v>
      </c>
      <c r="B483" s="80" t="s">
        <v>324</v>
      </c>
      <c r="C483" s="80" t="s">
        <v>9680</v>
      </c>
      <c r="D483" s="80" t="s">
        <v>84</v>
      </c>
      <c r="E483" s="80" t="s">
        <v>84</v>
      </c>
      <c r="F483" s="80"/>
      <c r="G483" s="80" t="s">
        <v>84</v>
      </c>
      <c r="H483" s="80" t="s">
        <v>84</v>
      </c>
      <c r="I483" s="80" t="s">
        <v>84</v>
      </c>
      <c r="J483" s="80" t="s">
        <v>84</v>
      </c>
      <c r="K483" s="80" t="s">
        <v>84</v>
      </c>
      <c r="L483" s="80" t="s">
        <v>84</v>
      </c>
      <c r="M483" s="80" t="s">
        <v>84</v>
      </c>
      <c r="N483" s="80" t="s">
        <v>84</v>
      </c>
      <c r="O483" s="80" t="s">
        <v>84</v>
      </c>
      <c r="P483" s="80"/>
      <c r="Q483" s="80" t="s">
        <v>84</v>
      </c>
      <c r="R483" s="80" t="s">
        <v>84</v>
      </c>
    </row>
    <row r="484" spans="1:18" ht="20" x14ac:dyDescent="0.2">
      <c r="A484" s="80" t="s">
        <v>206</v>
      </c>
      <c r="B484" s="80" t="s">
        <v>207</v>
      </c>
      <c r="C484" s="80" t="s">
        <v>9680</v>
      </c>
      <c r="D484" s="80" t="s">
        <v>84</v>
      </c>
      <c r="E484" s="80" t="s">
        <v>84</v>
      </c>
      <c r="F484" s="80"/>
      <c r="G484" s="80" t="s">
        <v>84</v>
      </c>
      <c r="H484" s="80" t="s">
        <v>84</v>
      </c>
      <c r="I484" s="80" t="s">
        <v>84</v>
      </c>
      <c r="J484" s="80" t="s">
        <v>84</v>
      </c>
      <c r="K484" s="80" t="s">
        <v>84</v>
      </c>
      <c r="L484" s="80" t="s">
        <v>84</v>
      </c>
      <c r="M484" s="80" t="s">
        <v>84</v>
      </c>
      <c r="N484" s="80" t="s">
        <v>84</v>
      </c>
      <c r="O484" s="80" t="s">
        <v>84</v>
      </c>
      <c r="P484" s="80"/>
      <c r="Q484" s="80" t="s">
        <v>84</v>
      </c>
      <c r="R484" s="80" t="s">
        <v>84</v>
      </c>
    </row>
    <row r="485" spans="1:18" ht="20" x14ac:dyDescent="0.2">
      <c r="A485" s="80" t="s">
        <v>206</v>
      </c>
      <c r="B485" s="80" t="s">
        <v>325</v>
      </c>
      <c r="C485" s="80" t="s">
        <v>9680</v>
      </c>
      <c r="D485" s="80" t="s">
        <v>84</v>
      </c>
      <c r="E485" s="80" t="s">
        <v>84</v>
      </c>
      <c r="F485" s="80"/>
      <c r="G485" s="80" t="s">
        <v>84</v>
      </c>
      <c r="H485" s="80" t="s">
        <v>84</v>
      </c>
      <c r="I485" s="80" t="s">
        <v>84</v>
      </c>
      <c r="J485" s="80" t="s">
        <v>84</v>
      </c>
      <c r="K485" s="80" t="s">
        <v>84</v>
      </c>
      <c r="L485" s="80" t="s">
        <v>84</v>
      </c>
      <c r="M485" s="80" t="s">
        <v>84</v>
      </c>
      <c r="N485" s="80" t="s">
        <v>84</v>
      </c>
      <c r="O485" s="80" t="s">
        <v>84</v>
      </c>
      <c r="P485" s="80"/>
      <c r="Q485" s="80" t="s">
        <v>84</v>
      </c>
      <c r="R485" s="80" t="s">
        <v>84</v>
      </c>
    </row>
    <row r="486" spans="1:18" ht="20" x14ac:dyDescent="0.2">
      <c r="A486" s="80" t="s">
        <v>326</v>
      </c>
      <c r="B486" s="80" t="s">
        <v>327</v>
      </c>
      <c r="C486" s="80" t="s">
        <v>9722</v>
      </c>
      <c r="D486" s="80" t="s">
        <v>84</v>
      </c>
      <c r="E486" s="80" t="s">
        <v>84</v>
      </c>
      <c r="F486" s="80"/>
      <c r="G486" s="80" t="s">
        <v>84</v>
      </c>
      <c r="H486" s="80" t="s">
        <v>84</v>
      </c>
      <c r="I486" s="80" t="s">
        <v>84</v>
      </c>
      <c r="J486" s="80" t="s">
        <v>84</v>
      </c>
      <c r="K486" s="80" t="s">
        <v>84</v>
      </c>
      <c r="L486" s="80" t="s">
        <v>84</v>
      </c>
      <c r="M486" s="80" t="s">
        <v>84</v>
      </c>
      <c r="N486" s="80" t="s">
        <v>84</v>
      </c>
      <c r="O486" s="80" t="s">
        <v>84</v>
      </c>
      <c r="P486" s="80"/>
      <c r="Q486" s="80" t="s">
        <v>84</v>
      </c>
      <c r="R486" s="80" t="s">
        <v>84</v>
      </c>
    </row>
    <row r="487" spans="1:18" ht="20" x14ac:dyDescent="0.2">
      <c r="A487" s="80" t="s">
        <v>529</v>
      </c>
      <c r="B487" s="80" t="s">
        <v>530</v>
      </c>
      <c r="C487" s="80" t="s">
        <v>9680</v>
      </c>
      <c r="D487" s="80" t="s">
        <v>84</v>
      </c>
      <c r="E487" s="80" t="s">
        <v>84</v>
      </c>
      <c r="F487" s="80"/>
      <c r="G487" s="80" t="s">
        <v>84</v>
      </c>
      <c r="H487" s="80" t="s">
        <v>84</v>
      </c>
      <c r="I487" s="80" t="s">
        <v>84</v>
      </c>
      <c r="J487" s="80" t="s">
        <v>84</v>
      </c>
      <c r="K487" s="80" t="s">
        <v>84</v>
      </c>
      <c r="L487" s="80" t="s">
        <v>84</v>
      </c>
      <c r="M487" s="80" t="s">
        <v>84</v>
      </c>
      <c r="N487" s="80" t="s">
        <v>84</v>
      </c>
      <c r="O487" s="80" t="s">
        <v>84</v>
      </c>
      <c r="P487" s="80"/>
      <c r="Q487" s="80" t="s">
        <v>84</v>
      </c>
      <c r="R487" s="80" t="s">
        <v>84</v>
      </c>
    </row>
    <row r="488" spans="1:18" ht="20" x14ac:dyDescent="0.2">
      <c r="A488" s="80" t="s">
        <v>308</v>
      </c>
      <c r="B488" s="80" t="s">
        <v>9891</v>
      </c>
      <c r="C488" s="80" t="s">
        <v>84</v>
      </c>
      <c r="D488" s="80" t="s">
        <v>84</v>
      </c>
      <c r="E488" s="80" t="s">
        <v>84</v>
      </c>
      <c r="F488" s="80"/>
      <c r="G488" s="80" t="s">
        <v>84</v>
      </c>
      <c r="H488" s="80" t="s">
        <v>84</v>
      </c>
      <c r="I488" s="80" t="s">
        <v>84</v>
      </c>
      <c r="J488" s="80" t="s">
        <v>84</v>
      </c>
      <c r="K488" s="80" t="s">
        <v>84</v>
      </c>
      <c r="L488" s="80" t="s">
        <v>84</v>
      </c>
      <c r="M488" s="80" t="s">
        <v>84</v>
      </c>
      <c r="N488" s="80" t="s">
        <v>84</v>
      </c>
      <c r="O488" s="80" t="s">
        <v>84</v>
      </c>
      <c r="P488" s="80"/>
      <c r="Q488" s="80" t="s">
        <v>84</v>
      </c>
      <c r="R488" s="80" t="s">
        <v>84</v>
      </c>
    </row>
    <row r="489" spans="1:18" ht="20" x14ac:dyDescent="0.2">
      <c r="A489" s="80" t="s">
        <v>308</v>
      </c>
      <c r="B489" s="80" t="s">
        <v>309</v>
      </c>
      <c r="C489" s="80" t="s">
        <v>84</v>
      </c>
      <c r="D489" s="80" t="s">
        <v>84</v>
      </c>
      <c r="E489" s="80" t="s">
        <v>84</v>
      </c>
      <c r="F489" s="80"/>
      <c r="G489" s="80" t="s">
        <v>84</v>
      </c>
      <c r="H489" s="80" t="s">
        <v>84</v>
      </c>
      <c r="I489" s="80" t="s">
        <v>84</v>
      </c>
      <c r="J489" s="80" t="s">
        <v>84</v>
      </c>
      <c r="K489" s="80" t="s">
        <v>84</v>
      </c>
      <c r="L489" s="80" t="s">
        <v>84</v>
      </c>
      <c r="M489" s="80" t="s">
        <v>84</v>
      </c>
      <c r="N489" s="80" t="s">
        <v>84</v>
      </c>
      <c r="O489" s="80" t="s">
        <v>84</v>
      </c>
      <c r="P489" s="80"/>
      <c r="Q489" s="80" t="s">
        <v>84</v>
      </c>
      <c r="R489" s="80" t="s">
        <v>84</v>
      </c>
    </row>
    <row r="490" spans="1:18" ht="20" x14ac:dyDescent="0.2">
      <c r="A490" s="80" t="s">
        <v>310</v>
      </c>
      <c r="B490" s="80" t="s">
        <v>9892</v>
      </c>
      <c r="C490" s="80" t="s">
        <v>9680</v>
      </c>
      <c r="D490" s="80" t="s">
        <v>9680</v>
      </c>
      <c r="E490" s="80" t="s">
        <v>84</v>
      </c>
      <c r="F490" s="80"/>
      <c r="G490" s="80" t="s">
        <v>9680</v>
      </c>
      <c r="H490" s="80" t="s">
        <v>84</v>
      </c>
      <c r="I490" s="80" t="s">
        <v>9680</v>
      </c>
      <c r="J490" s="80" t="s">
        <v>9680</v>
      </c>
      <c r="K490" s="80" t="s">
        <v>9680</v>
      </c>
      <c r="L490" s="80" t="s">
        <v>9680</v>
      </c>
      <c r="M490" s="80" t="s">
        <v>9680</v>
      </c>
      <c r="N490" s="80" t="s">
        <v>84</v>
      </c>
      <c r="O490" s="80" t="s">
        <v>9680</v>
      </c>
      <c r="P490" s="80"/>
      <c r="Q490" s="80" t="s">
        <v>9680</v>
      </c>
      <c r="R490" s="80" t="s">
        <v>9680</v>
      </c>
    </row>
    <row r="491" spans="1:18" ht="20" x14ac:dyDescent="0.2">
      <c r="A491" s="80" t="s">
        <v>310</v>
      </c>
      <c r="B491" s="80" t="s">
        <v>311</v>
      </c>
      <c r="C491" s="80" t="s">
        <v>9680</v>
      </c>
      <c r="D491" s="80" t="s">
        <v>9680</v>
      </c>
      <c r="E491" s="80" t="s">
        <v>84</v>
      </c>
      <c r="F491" s="80"/>
      <c r="G491" s="80" t="s">
        <v>9680</v>
      </c>
      <c r="H491" s="80" t="s">
        <v>84</v>
      </c>
      <c r="I491" s="80" t="s">
        <v>9680</v>
      </c>
      <c r="J491" s="80" t="s">
        <v>9680</v>
      </c>
      <c r="K491" s="80" t="s">
        <v>9680</v>
      </c>
      <c r="L491" s="80" t="s">
        <v>9680</v>
      </c>
      <c r="M491" s="80" t="s">
        <v>9680</v>
      </c>
      <c r="N491" s="80" t="s">
        <v>84</v>
      </c>
      <c r="O491" s="80" t="s">
        <v>9680</v>
      </c>
      <c r="P491" s="80"/>
      <c r="Q491" s="80" t="s">
        <v>9680</v>
      </c>
      <c r="R491" s="80" t="s">
        <v>9680</v>
      </c>
    </row>
    <row r="492" spans="1:18" ht="20" x14ac:dyDescent="0.2">
      <c r="A492" s="80" t="s">
        <v>312</v>
      </c>
      <c r="B492" s="80" t="s">
        <v>313</v>
      </c>
      <c r="C492" s="80" t="s">
        <v>84</v>
      </c>
      <c r="D492" s="80" t="s">
        <v>84</v>
      </c>
      <c r="E492" s="80" t="s">
        <v>84</v>
      </c>
      <c r="F492" s="80"/>
      <c r="G492" s="80" t="s">
        <v>84</v>
      </c>
      <c r="H492" s="80" t="s">
        <v>84</v>
      </c>
      <c r="I492" s="80" t="s">
        <v>84</v>
      </c>
      <c r="J492" s="80" t="s">
        <v>84</v>
      </c>
      <c r="K492" s="80" t="s">
        <v>84</v>
      </c>
      <c r="L492" s="80" t="s">
        <v>84</v>
      </c>
      <c r="M492" s="80" t="s">
        <v>84</v>
      </c>
      <c r="N492" s="80" t="s">
        <v>84</v>
      </c>
      <c r="O492" s="80" t="s">
        <v>84</v>
      </c>
      <c r="P492" s="80"/>
      <c r="Q492" s="80" t="s">
        <v>84</v>
      </c>
      <c r="R492" s="80" t="s">
        <v>84</v>
      </c>
    </row>
    <row r="493" spans="1:18" ht="20" x14ac:dyDescent="0.2">
      <c r="A493" s="80" t="s">
        <v>315</v>
      </c>
      <c r="B493" s="80" t="s">
        <v>316</v>
      </c>
      <c r="C493" s="80" t="s">
        <v>84</v>
      </c>
      <c r="D493" s="80" t="s">
        <v>84</v>
      </c>
      <c r="E493" s="80" t="s">
        <v>84</v>
      </c>
      <c r="F493" s="80"/>
      <c r="G493" s="80" t="s">
        <v>84</v>
      </c>
      <c r="H493" s="80" t="s">
        <v>84</v>
      </c>
      <c r="I493" s="80" t="s">
        <v>84</v>
      </c>
      <c r="J493" s="80" t="s">
        <v>84</v>
      </c>
      <c r="K493" s="80" t="s">
        <v>84</v>
      </c>
      <c r="L493" s="80" t="s">
        <v>84</v>
      </c>
      <c r="M493" s="80" t="s">
        <v>84</v>
      </c>
      <c r="N493" s="80" t="s">
        <v>84</v>
      </c>
      <c r="O493" s="80" t="s">
        <v>84</v>
      </c>
      <c r="P493" s="80"/>
      <c r="Q493" s="80" t="s">
        <v>84</v>
      </c>
      <c r="R493" s="80" t="s">
        <v>84</v>
      </c>
    </row>
    <row r="494" spans="1:18" ht="20" x14ac:dyDescent="0.2">
      <c r="A494" s="80" t="s">
        <v>336</v>
      </c>
      <c r="B494" s="80" t="s">
        <v>337</v>
      </c>
      <c r="C494" s="80" t="s">
        <v>84</v>
      </c>
      <c r="D494" s="80" t="s">
        <v>84</v>
      </c>
      <c r="E494" s="80" t="s">
        <v>84</v>
      </c>
      <c r="F494" s="80"/>
      <c r="G494" s="80" t="s">
        <v>84</v>
      </c>
      <c r="H494" s="80" t="s">
        <v>84</v>
      </c>
      <c r="I494" s="80" t="s">
        <v>84</v>
      </c>
      <c r="J494" s="80" t="s">
        <v>84</v>
      </c>
      <c r="K494" s="80" t="s">
        <v>84</v>
      </c>
      <c r="L494" s="80" t="s">
        <v>84</v>
      </c>
      <c r="M494" s="80" t="s">
        <v>84</v>
      </c>
      <c r="N494" s="80" t="s">
        <v>84</v>
      </c>
      <c r="O494" s="80" t="s">
        <v>84</v>
      </c>
      <c r="P494" s="80"/>
      <c r="Q494" s="80" t="s">
        <v>84</v>
      </c>
      <c r="R494" s="80" t="s">
        <v>84</v>
      </c>
    </row>
    <row r="495" spans="1:18" ht="20" x14ac:dyDescent="0.2">
      <c r="A495" s="80" t="s">
        <v>370</v>
      </c>
      <c r="B495" s="80" t="s">
        <v>371</v>
      </c>
      <c r="C495" s="80" t="s">
        <v>9680</v>
      </c>
      <c r="D495" s="80" t="s">
        <v>9680</v>
      </c>
      <c r="E495" s="80" t="s">
        <v>84</v>
      </c>
      <c r="F495" s="80"/>
      <c r="G495" s="80" t="s">
        <v>9680</v>
      </c>
      <c r="H495" s="80" t="s">
        <v>9680</v>
      </c>
      <c r="I495" s="80" t="s">
        <v>9680</v>
      </c>
      <c r="J495" s="80" t="s">
        <v>84</v>
      </c>
      <c r="K495" s="80" t="s">
        <v>9680</v>
      </c>
      <c r="L495" s="80" t="s">
        <v>9680</v>
      </c>
      <c r="M495" s="80" t="s">
        <v>9680</v>
      </c>
      <c r="N495" s="80" t="s">
        <v>84</v>
      </c>
      <c r="O495" s="80" t="s">
        <v>9680</v>
      </c>
      <c r="P495" s="80"/>
      <c r="Q495" s="80" t="s">
        <v>9680</v>
      </c>
      <c r="R495" s="80" t="s">
        <v>9680</v>
      </c>
    </row>
    <row r="496" spans="1:18" ht="20" x14ac:dyDescent="0.2">
      <c r="A496" s="80" t="s">
        <v>628</v>
      </c>
      <c r="B496" s="80" t="s">
        <v>629</v>
      </c>
      <c r="C496" s="80" t="s">
        <v>9680</v>
      </c>
      <c r="D496" s="80" t="s">
        <v>84</v>
      </c>
      <c r="E496" s="80" t="s">
        <v>84</v>
      </c>
      <c r="F496" s="80"/>
      <c r="G496" s="80" t="s">
        <v>84</v>
      </c>
      <c r="H496" s="80" t="s">
        <v>84</v>
      </c>
      <c r="I496" s="80" t="s">
        <v>84</v>
      </c>
      <c r="J496" s="80" t="s">
        <v>84</v>
      </c>
      <c r="K496" s="80" t="s">
        <v>84</v>
      </c>
      <c r="L496" s="80" t="s">
        <v>84</v>
      </c>
      <c r="M496" s="80" t="s">
        <v>84</v>
      </c>
      <c r="N496" s="80" t="s">
        <v>84</v>
      </c>
      <c r="O496" s="80" t="s">
        <v>84</v>
      </c>
      <c r="P496" s="80"/>
      <c r="Q496" s="80" t="s">
        <v>84</v>
      </c>
      <c r="R496" s="80" t="s">
        <v>84</v>
      </c>
    </row>
    <row r="497" spans="1:18" ht="20" x14ac:dyDescent="0.2">
      <c r="A497" s="80" t="s">
        <v>3697</v>
      </c>
      <c r="B497" s="80" t="s">
        <v>9893</v>
      </c>
      <c r="C497" s="80" t="s">
        <v>84</v>
      </c>
      <c r="D497" s="80" t="s">
        <v>84</v>
      </c>
      <c r="E497" s="80" t="s">
        <v>84</v>
      </c>
      <c r="F497" s="80"/>
      <c r="G497" s="80" t="s">
        <v>84</v>
      </c>
      <c r="H497" s="80" t="s">
        <v>84</v>
      </c>
      <c r="I497" s="80" t="s">
        <v>84</v>
      </c>
      <c r="J497" s="80" t="s">
        <v>84</v>
      </c>
      <c r="K497" s="80" t="s">
        <v>84</v>
      </c>
      <c r="L497" s="80" t="s">
        <v>84</v>
      </c>
      <c r="M497" s="80" t="s">
        <v>84</v>
      </c>
      <c r="N497" s="80" t="s">
        <v>84</v>
      </c>
      <c r="O497" s="80" t="s">
        <v>84</v>
      </c>
      <c r="P497" s="80"/>
      <c r="Q497" s="80" t="s">
        <v>84</v>
      </c>
      <c r="R497" s="80" t="s">
        <v>84</v>
      </c>
    </row>
    <row r="498" spans="1:18" ht="20" x14ac:dyDescent="0.2">
      <c r="A498" s="80" t="s">
        <v>3697</v>
      </c>
      <c r="B498" s="80" t="s">
        <v>3698</v>
      </c>
      <c r="C498" s="80" t="s">
        <v>84</v>
      </c>
      <c r="D498" s="80" t="s">
        <v>84</v>
      </c>
      <c r="E498" s="80" t="s">
        <v>84</v>
      </c>
      <c r="F498" s="80"/>
      <c r="G498" s="80" t="s">
        <v>84</v>
      </c>
      <c r="H498" s="80" t="s">
        <v>84</v>
      </c>
      <c r="I498" s="80" t="s">
        <v>84</v>
      </c>
      <c r="J498" s="80" t="s">
        <v>84</v>
      </c>
      <c r="K498" s="80" t="s">
        <v>84</v>
      </c>
      <c r="L498" s="80" t="s">
        <v>84</v>
      </c>
      <c r="M498" s="80" t="s">
        <v>84</v>
      </c>
      <c r="N498" s="80" t="s">
        <v>84</v>
      </c>
      <c r="O498" s="80" t="s">
        <v>84</v>
      </c>
      <c r="P498" s="80"/>
      <c r="Q498" s="80" t="s">
        <v>84</v>
      </c>
      <c r="R498" s="80" t="s">
        <v>84</v>
      </c>
    </row>
    <row r="499" spans="1:18" ht="20" x14ac:dyDescent="0.2">
      <c r="A499" s="80" t="s">
        <v>3736</v>
      </c>
      <c r="B499" s="80" t="s">
        <v>9894</v>
      </c>
      <c r="C499" s="80" t="s">
        <v>84</v>
      </c>
      <c r="D499" s="80" t="s">
        <v>84</v>
      </c>
      <c r="E499" s="80" t="s">
        <v>84</v>
      </c>
      <c r="F499" s="80"/>
      <c r="G499" s="80" t="s">
        <v>84</v>
      </c>
      <c r="H499" s="80" t="s">
        <v>84</v>
      </c>
      <c r="I499" s="80" t="s">
        <v>84</v>
      </c>
      <c r="J499" s="80" t="s">
        <v>84</v>
      </c>
      <c r="K499" s="80" t="s">
        <v>84</v>
      </c>
      <c r="L499" s="80" t="s">
        <v>84</v>
      </c>
      <c r="M499" s="80" t="s">
        <v>84</v>
      </c>
      <c r="N499" s="80" t="s">
        <v>84</v>
      </c>
      <c r="O499" s="80" t="s">
        <v>84</v>
      </c>
      <c r="P499" s="80"/>
      <c r="Q499" s="80" t="s">
        <v>84</v>
      </c>
      <c r="R499" s="80" t="s">
        <v>84</v>
      </c>
    </row>
    <row r="500" spans="1:18" ht="20" x14ac:dyDescent="0.2">
      <c r="A500" s="80" t="s">
        <v>3736</v>
      </c>
      <c r="B500" s="80" t="s">
        <v>3737</v>
      </c>
      <c r="C500" s="80" t="s">
        <v>84</v>
      </c>
      <c r="D500" s="80" t="s">
        <v>84</v>
      </c>
      <c r="E500" s="80" t="s">
        <v>84</v>
      </c>
      <c r="F500" s="80"/>
      <c r="G500" s="80" t="s">
        <v>84</v>
      </c>
      <c r="H500" s="80" t="s">
        <v>84</v>
      </c>
      <c r="I500" s="80" t="s">
        <v>84</v>
      </c>
      <c r="J500" s="80" t="s">
        <v>84</v>
      </c>
      <c r="K500" s="80" t="s">
        <v>84</v>
      </c>
      <c r="L500" s="80" t="s">
        <v>84</v>
      </c>
      <c r="M500" s="80" t="s">
        <v>84</v>
      </c>
      <c r="N500" s="80" t="s">
        <v>84</v>
      </c>
      <c r="O500" s="80" t="s">
        <v>84</v>
      </c>
      <c r="P500" s="80"/>
      <c r="Q500" s="80" t="s">
        <v>84</v>
      </c>
      <c r="R500" s="80" t="s">
        <v>84</v>
      </c>
    </row>
    <row r="501" spans="1:18" ht="20" x14ac:dyDescent="0.2">
      <c r="A501" s="80" t="s">
        <v>3759</v>
      </c>
      <c r="B501" s="80" t="s">
        <v>9895</v>
      </c>
      <c r="C501" s="80" t="s">
        <v>84</v>
      </c>
      <c r="D501" s="80" t="s">
        <v>84</v>
      </c>
      <c r="E501" s="80" t="s">
        <v>84</v>
      </c>
      <c r="F501" s="80"/>
      <c r="G501" s="80" t="s">
        <v>84</v>
      </c>
      <c r="H501" s="80" t="s">
        <v>84</v>
      </c>
      <c r="I501" s="80" t="s">
        <v>84</v>
      </c>
      <c r="J501" s="80" t="s">
        <v>84</v>
      </c>
      <c r="K501" s="80" t="s">
        <v>84</v>
      </c>
      <c r="L501" s="80" t="s">
        <v>84</v>
      </c>
      <c r="M501" s="80" t="s">
        <v>84</v>
      </c>
      <c r="N501" s="80" t="s">
        <v>84</v>
      </c>
      <c r="O501" s="80" t="s">
        <v>84</v>
      </c>
      <c r="P501" s="80"/>
      <c r="Q501" s="80" t="s">
        <v>84</v>
      </c>
      <c r="R501" s="80" t="s">
        <v>84</v>
      </c>
    </row>
    <row r="502" spans="1:18" ht="20" x14ac:dyDescent="0.2">
      <c r="A502" s="80" t="s">
        <v>3759</v>
      </c>
      <c r="B502" s="80" t="s">
        <v>3760</v>
      </c>
      <c r="C502" s="80" t="s">
        <v>84</v>
      </c>
      <c r="D502" s="80" t="s">
        <v>84</v>
      </c>
      <c r="E502" s="80" t="s">
        <v>84</v>
      </c>
      <c r="F502" s="80"/>
      <c r="G502" s="80" t="s">
        <v>84</v>
      </c>
      <c r="H502" s="80" t="s">
        <v>84</v>
      </c>
      <c r="I502" s="80" t="s">
        <v>84</v>
      </c>
      <c r="J502" s="80" t="s">
        <v>84</v>
      </c>
      <c r="K502" s="80" t="s">
        <v>84</v>
      </c>
      <c r="L502" s="80" t="s">
        <v>84</v>
      </c>
      <c r="M502" s="80" t="s">
        <v>84</v>
      </c>
      <c r="N502" s="80" t="s">
        <v>84</v>
      </c>
      <c r="O502" s="80" t="s">
        <v>84</v>
      </c>
      <c r="P502" s="80"/>
      <c r="Q502" s="80" t="s">
        <v>84</v>
      </c>
      <c r="R502" s="80" t="s">
        <v>84</v>
      </c>
    </row>
    <row r="503" spans="1:18" ht="20" x14ac:dyDescent="0.2">
      <c r="A503" s="80" t="s">
        <v>3776</v>
      </c>
      <c r="B503" s="80" t="s">
        <v>9896</v>
      </c>
      <c r="C503" s="80" t="s">
        <v>84</v>
      </c>
      <c r="D503" s="80" t="s">
        <v>84</v>
      </c>
      <c r="E503" s="80" t="s">
        <v>84</v>
      </c>
      <c r="F503" s="80"/>
      <c r="G503" s="80" t="s">
        <v>84</v>
      </c>
      <c r="H503" s="80" t="s">
        <v>84</v>
      </c>
      <c r="I503" s="80" t="s">
        <v>84</v>
      </c>
      <c r="J503" s="80" t="s">
        <v>84</v>
      </c>
      <c r="K503" s="80" t="s">
        <v>84</v>
      </c>
      <c r="L503" s="80" t="s">
        <v>84</v>
      </c>
      <c r="M503" s="80" t="s">
        <v>84</v>
      </c>
      <c r="N503" s="80" t="s">
        <v>84</v>
      </c>
      <c r="O503" s="80" t="s">
        <v>84</v>
      </c>
      <c r="P503" s="80"/>
      <c r="Q503" s="80" t="s">
        <v>84</v>
      </c>
      <c r="R503" s="80" t="s">
        <v>84</v>
      </c>
    </row>
    <row r="504" spans="1:18" ht="20" x14ac:dyDescent="0.2">
      <c r="A504" s="80" t="s">
        <v>3776</v>
      </c>
      <c r="B504" s="80" t="s">
        <v>3777</v>
      </c>
      <c r="C504" s="80" t="s">
        <v>84</v>
      </c>
      <c r="D504" s="80" t="s">
        <v>84</v>
      </c>
      <c r="E504" s="80" t="s">
        <v>84</v>
      </c>
      <c r="F504" s="80"/>
      <c r="G504" s="80" t="s">
        <v>84</v>
      </c>
      <c r="H504" s="80" t="s">
        <v>84</v>
      </c>
      <c r="I504" s="80" t="s">
        <v>84</v>
      </c>
      <c r="J504" s="80" t="s">
        <v>84</v>
      </c>
      <c r="K504" s="80" t="s">
        <v>84</v>
      </c>
      <c r="L504" s="80" t="s">
        <v>84</v>
      </c>
      <c r="M504" s="80" t="s">
        <v>84</v>
      </c>
      <c r="N504" s="80" t="s">
        <v>84</v>
      </c>
      <c r="O504" s="80" t="s">
        <v>84</v>
      </c>
      <c r="P504" s="80"/>
      <c r="Q504" s="80" t="s">
        <v>84</v>
      </c>
      <c r="R504" s="80" t="s">
        <v>84</v>
      </c>
    </row>
    <row r="505" spans="1:18" ht="20" x14ac:dyDescent="0.2">
      <c r="A505" s="80" t="s">
        <v>3670</v>
      </c>
      <c r="B505" s="80" t="s">
        <v>3671</v>
      </c>
      <c r="C505" s="80" t="s">
        <v>84</v>
      </c>
      <c r="D505" s="80" t="s">
        <v>84</v>
      </c>
      <c r="E505" s="80" t="s">
        <v>84</v>
      </c>
      <c r="F505" s="80"/>
      <c r="G505" s="80" t="s">
        <v>84</v>
      </c>
      <c r="H505" s="80" t="s">
        <v>84</v>
      </c>
      <c r="I505" s="80" t="s">
        <v>84</v>
      </c>
      <c r="J505" s="80" t="s">
        <v>84</v>
      </c>
      <c r="K505" s="80" t="s">
        <v>84</v>
      </c>
      <c r="L505" s="80" t="s">
        <v>84</v>
      </c>
      <c r="M505" s="80" t="s">
        <v>84</v>
      </c>
      <c r="N505" s="80" t="s">
        <v>84</v>
      </c>
      <c r="O505" s="80" t="s">
        <v>84</v>
      </c>
      <c r="P505" s="80"/>
      <c r="Q505" s="80" t="s">
        <v>84</v>
      </c>
      <c r="R505" s="80" t="s">
        <v>84</v>
      </c>
    </row>
    <row r="506" spans="1:18" ht="20" x14ac:dyDescent="0.2">
      <c r="A506" s="80" t="s">
        <v>3670</v>
      </c>
      <c r="B506" s="80" t="s">
        <v>3699</v>
      </c>
      <c r="C506" s="80" t="s">
        <v>84</v>
      </c>
      <c r="D506" s="80" t="s">
        <v>84</v>
      </c>
      <c r="E506" s="80" t="s">
        <v>84</v>
      </c>
      <c r="F506" s="80"/>
      <c r="G506" s="80" t="s">
        <v>84</v>
      </c>
      <c r="H506" s="80" t="s">
        <v>84</v>
      </c>
      <c r="I506" s="80" t="s">
        <v>84</v>
      </c>
      <c r="J506" s="80" t="s">
        <v>84</v>
      </c>
      <c r="K506" s="80" t="s">
        <v>84</v>
      </c>
      <c r="L506" s="80" t="s">
        <v>84</v>
      </c>
      <c r="M506" s="80" t="s">
        <v>84</v>
      </c>
      <c r="N506" s="80" t="s">
        <v>84</v>
      </c>
      <c r="O506" s="80" t="s">
        <v>84</v>
      </c>
      <c r="P506" s="80"/>
      <c r="Q506" s="80" t="s">
        <v>84</v>
      </c>
      <c r="R506" s="80" t="s">
        <v>84</v>
      </c>
    </row>
    <row r="507" spans="1:18" ht="20" x14ac:dyDescent="0.2">
      <c r="A507" s="80" t="s">
        <v>3700</v>
      </c>
      <c r="B507" s="80" t="s">
        <v>3701</v>
      </c>
      <c r="C507" s="80" t="s">
        <v>84</v>
      </c>
      <c r="D507" s="80" t="s">
        <v>84</v>
      </c>
      <c r="E507" s="80" t="s">
        <v>84</v>
      </c>
      <c r="F507" s="80"/>
      <c r="G507" s="80" t="s">
        <v>84</v>
      </c>
      <c r="H507" s="80" t="s">
        <v>84</v>
      </c>
      <c r="I507" s="80" t="s">
        <v>84</v>
      </c>
      <c r="J507" s="80" t="s">
        <v>84</v>
      </c>
      <c r="K507" s="80" t="s">
        <v>84</v>
      </c>
      <c r="L507" s="80" t="s">
        <v>84</v>
      </c>
      <c r="M507" s="80" t="s">
        <v>84</v>
      </c>
      <c r="N507" s="80" t="s">
        <v>84</v>
      </c>
      <c r="O507" s="80" t="s">
        <v>84</v>
      </c>
      <c r="P507" s="80"/>
      <c r="Q507" s="80" t="s">
        <v>84</v>
      </c>
      <c r="R507" s="80" t="s">
        <v>84</v>
      </c>
    </row>
    <row r="508" spans="1:18" ht="20" x14ac:dyDescent="0.2">
      <c r="A508" s="80" t="s">
        <v>3738</v>
      </c>
      <c r="B508" s="80" t="s">
        <v>3739</v>
      </c>
      <c r="C508" s="80" t="s">
        <v>84</v>
      </c>
      <c r="D508" s="80" t="s">
        <v>84</v>
      </c>
      <c r="E508" s="80" t="s">
        <v>84</v>
      </c>
      <c r="F508" s="80"/>
      <c r="G508" s="80" t="s">
        <v>84</v>
      </c>
      <c r="H508" s="80" t="s">
        <v>84</v>
      </c>
      <c r="I508" s="80" t="s">
        <v>84</v>
      </c>
      <c r="J508" s="80" t="s">
        <v>84</v>
      </c>
      <c r="K508" s="80" t="s">
        <v>84</v>
      </c>
      <c r="L508" s="80" t="s">
        <v>84</v>
      </c>
      <c r="M508" s="80" t="s">
        <v>84</v>
      </c>
      <c r="N508" s="80" t="s">
        <v>84</v>
      </c>
      <c r="O508" s="80" t="s">
        <v>84</v>
      </c>
      <c r="P508" s="80"/>
      <c r="Q508" s="80" t="s">
        <v>84</v>
      </c>
      <c r="R508" s="80" t="s">
        <v>84</v>
      </c>
    </row>
    <row r="509" spans="1:18" ht="20" x14ac:dyDescent="0.2">
      <c r="A509" s="80" t="s">
        <v>3740</v>
      </c>
      <c r="B509" s="80" t="s">
        <v>3741</v>
      </c>
      <c r="C509" s="80" t="s">
        <v>84</v>
      </c>
      <c r="D509" s="80" t="s">
        <v>84</v>
      </c>
      <c r="E509" s="80" t="s">
        <v>84</v>
      </c>
      <c r="F509" s="80"/>
      <c r="G509" s="80" t="s">
        <v>84</v>
      </c>
      <c r="H509" s="80" t="s">
        <v>84</v>
      </c>
      <c r="I509" s="80" t="s">
        <v>84</v>
      </c>
      <c r="J509" s="80" t="s">
        <v>84</v>
      </c>
      <c r="K509" s="80" t="s">
        <v>84</v>
      </c>
      <c r="L509" s="80" t="s">
        <v>84</v>
      </c>
      <c r="M509" s="80" t="s">
        <v>84</v>
      </c>
      <c r="N509" s="80" t="s">
        <v>84</v>
      </c>
      <c r="O509" s="80" t="s">
        <v>84</v>
      </c>
      <c r="P509" s="80"/>
      <c r="Q509" s="80" t="s">
        <v>84</v>
      </c>
      <c r="R509" s="80" t="s">
        <v>84</v>
      </c>
    </row>
    <row r="510" spans="1:18" ht="20" x14ac:dyDescent="0.2">
      <c r="A510" s="80" t="s">
        <v>3761</v>
      </c>
      <c r="B510" s="80" t="s">
        <v>3762</v>
      </c>
      <c r="C510" s="80" t="s">
        <v>84</v>
      </c>
      <c r="D510" s="80" t="s">
        <v>84</v>
      </c>
      <c r="E510" s="80" t="s">
        <v>84</v>
      </c>
      <c r="F510" s="80"/>
      <c r="G510" s="80" t="s">
        <v>84</v>
      </c>
      <c r="H510" s="80" t="s">
        <v>84</v>
      </c>
      <c r="I510" s="80" t="s">
        <v>84</v>
      </c>
      <c r="J510" s="80" t="s">
        <v>84</v>
      </c>
      <c r="K510" s="80" t="s">
        <v>84</v>
      </c>
      <c r="L510" s="80" t="s">
        <v>84</v>
      </c>
      <c r="M510" s="80" t="s">
        <v>84</v>
      </c>
      <c r="N510" s="80" t="s">
        <v>84</v>
      </c>
      <c r="O510" s="80" t="s">
        <v>84</v>
      </c>
      <c r="P510" s="80"/>
      <c r="Q510" s="80" t="s">
        <v>84</v>
      </c>
      <c r="R510" s="80" t="s">
        <v>84</v>
      </c>
    </row>
    <row r="511" spans="1:18" ht="20" x14ac:dyDescent="0.2">
      <c r="A511" s="80" t="s">
        <v>3672</v>
      </c>
      <c r="B511" s="80" t="s">
        <v>3673</v>
      </c>
      <c r="C511" s="80" t="s">
        <v>84</v>
      </c>
      <c r="D511" s="80" t="s">
        <v>84</v>
      </c>
      <c r="E511" s="80" t="s">
        <v>84</v>
      </c>
      <c r="F511" s="80"/>
      <c r="G511" s="80" t="s">
        <v>84</v>
      </c>
      <c r="H511" s="80" t="s">
        <v>84</v>
      </c>
      <c r="I511" s="80" t="s">
        <v>84</v>
      </c>
      <c r="J511" s="80" t="s">
        <v>84</v>
      </c>
      <c r="K511" s="80" t="s">
        <v>84</v>
      </c>
      <c r="L511" s="80" t="s">
        <v>84</v>
      </c>
      <c r="M511" s="80" t="s">
        <v>84</v>
      </c>
      <c r="N511" s="80" t="s">
        <v>84</v>
      </c>
      <c r="O511" s="80" t="s">
        <v>84</v>
      </c>
      <c r="P511" s="80"/>
      <c r="Q511" s="80" t="s">
        <v>84</v>
      </c>
      <c r="R511" s="80" t="s">
        <v>84</v>
      </c>
    </row>
    <row r="512" spans="1:18" ht="20" x14ac:dyDescent="0.2">
      <c r="A512" s="80" t="s">
        <v>3672</v>
      </c>
      <c r="B512" s="80" t="s">
        <v>3773</v>
      </c>
      <c r="C512" s="80" t="s">
        <v>84</v>
      </c>
      <c r="D512" s="80" t="s">
        <v>84</v>
      </c>
      <c r="E512" s="80" t="s">
        <v>84</v>
      </c>
      <c r="F512" s="80"/>
      <c r="G512" s="80" t="s">
        <v>84</v>
      </c>
      <c r="H512" s="80" t="s">
        <v>84</v>
      </c>
      <c r="I512" s="80" t="s">
        <v>84</v>
      </c>
      <c r="J512" s="80" t="s">
        <v>84</v>
      </c>
      <c r="K512" s="80" t="s">
        <v>84</v>
      </c>
      <c r="L512" s="80" t="s">
        <v>84</v>
      </c>
      <c r="M512" s="80" t="s">
        <v>84</v>
      </c>
      <c r="N512" s="80" t="s">
        <v>84</v>
      </c>
      <c r="O512" s="80" t="s">
        <v>84</v>
      </c>
      <c r="P512" s="80"/>
      <c r="Q512" s="80" t="s">
        <v>84</v>
      </c>
      <c r="R512" s="80" t="s">
        <v>84</v>
      </c>
    </row>
    <row r="513" spans="1:18" ht="20" x14ac:dyDescent="0.2">
      <c r="A513" s="80" t="s">
        <v>3702</v>
      </c>
      <c r="B513" s="80" t="s">
        <v>3703</v>
      </c>
      <c r="C513" s="80" t="s">
        <v>84</v>
      </c>
      <c r="D513" s="80" t="s">
        <v>84</v>
      </c>
      <c r="E513" s="80" t="s">
        <v>84</v>
      </c>
      <c r="F513" s="80"/>
      <c r="G513" s="80" t="s">
        <v>84</v>
      </c>
      <c r="H513" s="80" t="s">
        <v>84</v>
      </c>
      <c r="I513" s="80" t="s">
        <v>84</v>
      </c>
      <c r="J513" s="80" t="s">
        <v>84</v>
      </c>
      <c r="K513" s="80" t="s">
        <v>84</v>
      </c>
      <c r="L513" s="80" t="s">
        <v>84</v>
      </c>
      <c r="M513" s="80" t="s">
        <v>84</v>
      </c>
      <c r="N513" s="80" t="s">
        <v>84</v>
      </c>
      <c r="O513" s="80" t="s">
        <v>84</v>
      </c>
      <c r="P513" s="80"/>
      <c r="Q513" s="80" t="s">
        <v>84</v>
      </c>
      <c r="R513" s="80" t="s">
        <v>84</v>
      </c>
    </row>
    <row r="514" spans="1:18" ht="20" x14ac:dyDescent="0.2">
      <c r="A514" s="80" t="s">
        <v>3702</v>
      </c>
      <c r="B514" s="80" t="s">
        <v>9897</v>
      </c>
      <c r="C514" s="80" t="s">
        <v>84</v>
      </c>
      <c r="D514" s="80" t="s">
        <v>84</v>
      </c>
      <c r="E514" s="80" t="s">
        <v>84</v>
      </c>
      <c r="F514" s="80"/>
      <c r="G514" s="80" t="s">
        <v>84</v>
      </c>
      <c r="H514" s="80" t="s">
        <v>84</v>
      </c>
      <c r="I514" s="80" t="s">
        <v>84</v>
      </c>
      <c r="J514" s="80" t="s">
        <v>84</v>
      </c>
      <c r="K514" s="80" t="s">
        <v>84</v>
      </c>
      <c r="L514" s="80" t="s">
        <v>84</v>
      </c>
      <c r="M514" s="80" t="s">
        <v>84</v>
      </c>
      <c r="N514" s="80" t="s">
        <v>84</v>
      </c>
      <c r="O514" s="80" t="s">
        <v>84</v>
      </c>
      <c r="P514" s="80"/>
      <c r="Q514" s="80" t="s">
        <v>84</v>
      </c>
      <c r="R514" s="80" t="s">
        <v>84</v>
      </c>
    </row>
    <row r="515" spans="1:18" ht="20" x14ac:dyDescent="0.2">
      <c r="A515" s="80" t="s">
        <v>3707</v>
      </c>
      <c r="B515" s="80" t="s">
        <v>3708</v>
      </c>
      <c r="C515" s="80" t="s">
        <v>84</v>
      </c>
      <c r="D515" s="80" t="s">
        <v>84</v>
      </c>
      <c r="E515" s="80" t="s">
        <v>84</v>
      </c>
      <c r="F515" s="80"/>
      <c r="G515" s="80" t="s">
        <v>84</v>
      </c>
      <c r="H515" s="80" t="s">
        <v>84</v>
      </c>
      <c r="I515" s="80" t="s">
        <v>84</v>
      </c>
      <c r="J515" s="80" t="s">
        <v>84</v>
      </c>
      <c r="K515" s="80" t="s">
        <v>84</v>
      </c>
      <c r="L515" s="80" t="s">
        <v>84</v>
      </c>
      <c r="M515" s="80" t="s">
        <v>84</v>
      </c>
      <c r="N515" s="80" t="s">
        <v>84</v>
      </c>
      <c r="O515" s="80" t="s">
        <v>84</v>
      </c>
      <c r="P515" s="80"/>
      <c r="Q515" s="80" t="s">
        <v>84</v>
      </c>
      <c r="R515" s="80" t="s">
        <v>84</v>
      </c>
    </row>
    <row r="516" spans="1:18" ht="20" x14ac:dyDescent="0.2">
      <c r="A516" s="80" t="s">
        <v>3768</v>
      </c>
      <c r="B516" s="80" t="s">
        <v>3769</v>
      </c>
      <c r="C516" s="80" t="s">
        <v>9722</v>
      </c>
      <c r="D516" s="80" t="s">
        <v>9722</v>
      </c>
      <c r="E516" s="80" t="s">
        <v>84</v>
      </c>
      <c r="F516" s="80"/>
      <c r="G516" s="80" t="s">
        <v>84</v>
      </c>
      <c r="H516" s="80" t="s">
        <v>9722</v>
      </c>
      <c r="I516" s="80" t="s">
        <v>9722</v>
      </c>
      <c r="J516" s="80" t="s">
        <v>84</v>
      </c>
      <c r="K516" s="80" t="s">
        <v>9722</v>
      </c>
      <c r="L516" s="80" t="s">
        <v>9722</v>
      </c>
      <c r="M516" s="80" t="s">
        <v>9722</v>
      </c>
      <c r="N516" s="80" t="s">
        <v>84</v>
      </c>
      <c r="O516" s="80" t="s">
        <v>9722</v>
      </c>
      <c r="P516" s="80"/>
      <c r="Q516" s="80" t="s">
        <v>9722</v>
      </c>
      <c r="R516" s="80" t="s">
        <v>9722</v>
      </c>
    </row>
    <row r="517" spans="1:18" ht="20" x14ac:dyDescent="0.2">
      <c r="A517" s="80" t="s">
        <v>3774</v>
      </c>
      <c r="B517" s="80" t="s">
        <v>9898</v>
      </c>
      <c r="C517" s="80" t="s">
        <v>84</v>
      </c>
      <c r="D517" s="80" t="s">
        <v>84</v>
      </c>
      <c r="E517" s="80" t="s">
        <v>84</v>
      </c>
      <c r="F517" s="80"/>
      <c r="G517" s="80" t="s">
        <v>84</v>
      </c>
      <c r="H517" s="80" t="s">
        <v>84</v>
      </c>
      <c r="I517" s="80" t="s">
        <v>84</v>
      </c>
      <c r="J517" s="80" t="s">
        <v>84</v>
      </c>
      <c r="K517" s="80" t="s">
        <v>84</v>
      </c>
      <c r="L517" s="80" t="s">
        <v>84</v>
      </c>
      <c r="M517" s="80" t="s">
        <v>84</v>
      </c>
      <c r="N517" s="80" t="s">
        <v>84</v>
      </c>
      <c r="O517" s="80" t="s">
        <v>84</v>
      </c>
      <c r="P517" s="80"/>
      <c r="Q517" s="80" t="s">
        <v>84</v>
      </c>
      <c r="R517" s="80" t="s">
        <v>84</v>
      </c>
    </row>
    <row r="518" spans="1:18" ht="20" x14ac:dyDescent="0.2">
      <c r="A518" s="80" t="s">
        <v>3774</v>
      </c>
      <c r="B518" s="80" t="s">
        <v>3775</v>
      </c>
      <c r="C518" s="80" t="s">
        <v>84</v>
      </c>
      <c r="D518" s="80" t="s">
        <v>84</v>
      </c>
      <c r="E518" s="80" t="s">
        <v>84</v>
      </c>
      <c r="F518" s="80"/>
      <c r="G518" s="80" t="s">
        <v>84</v>
      </c>
      <c r="H518" s="80" t="s">
        <v>84</v>
      </c>
      <c r="I518" s="80" t="s">
        <v>84</v>
      </c>
      <c r="J518" s="80" t="s">
        <v>84</v>
      </c>
      <c r="K518" s="80" t="s">
        <v>84</v>
      </c>
      <c r="L518" s="80" t="s">
        <v>84</v>
      </c>
      <c r="M518" s="80" t="s">
        <v>84</v>
      </c>
      <c r="N518" s="80" t="s">
        <v>84</v>
      </c>
      <c r="O518" s="80" t="s">
        <v>84</v>
      </c>
      <c r="P518" s="80"/>
      <c r="Q518" s="80" t="s">
        <v>84</v>
      </c>
      <c r="R518" s="80" t="s">
        <v>84</v>
      </c>
    </row>
    <row r="519" spans="1:18" ht="20" x14ac:dyDescent="0.2">
      <c r="A519" s="80" t="s">
        <v>3662</v>
      </c>
      <c r="B519" s="80" t="s">
        <v>3663</v>
      </c>
      <c r="C519" s="80" t="s">
        <v>84</v>
      </c>
      <c r="D519" s="80" t="s">
        <v>84</v>
      </c>
      <c r="E519" s="80" t="s">
        <v>84</v>
      </c>
      <c r="F519" s="80"/>
      <c r="G519" s="80" t="s">
        <v>84</v>
      </c>
      <c r="H519" s="80" t="s">
        <v>84</v>
      </c>
      <c r="I519" s="80" t="s">
        <v>84</v>
      </c>
      <c r="J519" s="80" t="s">
        <v>84</v>
      </c>
      <c r="K519" s="80" t="s">
        <v>84</v>
      </c>
      <c r="L519" s="80" t="s">
        <v>84</v>
      </c>
      <c r="M519" s="80" t="s">
        <v>84</v>
      </c>
      <c r="N519" s="80" t="s">
        <v>84</v>
      </c>
      <c r="O519" s="80" t="s">
        <v>84</v>
      </c>
      <c r="P519" s="80"/>
      <c r="Q519" s="80" t="s">
        <v>84</v>
      </c>
      <c r="R519" s="80" t="s">
        <v>84</v>
      </c>
    </row>
    <row r="520" spans="1:18" ht="20" x14ac:dyDescent="0.2">
      <c r="A520" s="80" t="s">
        <v>3662</v>
      </c>
      <c r="B520" s="80" t="s">
        <v>9899</v>
      </c>
      <c r="C520" s="80" t="s">
        <v>84</v>
      </c>
      <c r="D520" s="80" t="s">
        <v>84</v>
      </c>
      <c r="E520" s="80" t="s">
        <v>84</v>
      </c>
      <c r="F520" s="80"/>
      <c r="G520" s="80" t="s">
        <v>84</v>
      </c>
      <c r="H520" s="80" t="s">
        <v>84</v>
      </c>
      <c r="I520" s="80" t="s">
        <v>84</v>
      </c>
      <c r="J520" s="80" t="s">
        <v>84</v>
      </c>
      <c r="K520" s="80" t="s">
        <v>84</v>
      </c>
      <c r="L520" s="80" t="s">
        <v>84</v>
      </c>
      <c r="M520" s="80" t="s">
        <v>84</v>
      </c>
      <c r="N520" s="80" t="s">
        <v>84</v>
      </c>
      <c r="O520" s="80" t="s">
        <v>84</v>
      </c>
      <c r="P520" s="80"/>
      <c r="Q520" s="80" t="s">
        <v>84</v>
      </c>
      <c r="R520" s="80" t="s">
        <v>84</v>
      </c>
    </row>
    <row r="521" spans="1:18" ht="20" x14ac:dyDescent="0.2">
      <c r="A521" s="80" t="s">
        <v>3662</v>
      </c>
      <c r="B521" s="80" t="s">
        <v>3763</v>
      </c>
      <c r="C521" s="80" t="s">
        <v>84</v>
      </c>
      <c r="D521" s="80" t="s">
        <v>84</v>
      </c>
      <c r="E521" s="80" t="s">
        <v>84</v>
      </c>
      <c r="F521" s="80"/>
      <c r="G521" s="80" t="s">
        <v>84</v>
      </c>
      <c r="H521" s="80" t="s">
        <v>84</v>
      </c>
      <c r="I521" s="80" t="s">
        <v>84</v>
      </c>
      <c r="J521" s="80" t="s">
        <v>84</v>
      </c>
      <c r="K521" s="80" t="s">
        <v>84</v>
      </c>
      <c r="L521" s="80" t="s">
        <v>84</v>
      </c>
      <c r="M521" s="80" t="s">
        <v>84</v>
      </c>
      <c r="N521" s="80" t="s">
        <v>84</v>
      </c>
      <c r="O521" s="80" t="s">
        <v>84</v>
      </c>
      <c r="P521" s="80"/>
      <c r="Q521" s="80" t="s">
        <v>84</v>
      </c>
      <c r="R521" s="80" t="s">
        <v>84</v>
      </c>
    </row>
    <row r="522" spans="1:18" ht="20" x14ac:dyDescent="0.2">
      <c r="A522" s="80" t="s">
        <v>9900</v>
      </c>
      <c r="B522" s="80" t="s">
        <v>9901</v>
      </c>
      <c r="C522" s="80" t="s">
        <v>84</v>
      </c>
      <c r="D522" s="80" t="s">
        <v>84</v>
      </c>
      <c r="E522" s="80" t="s">
        <v>84</v>
      </c>
      <c r="F522" s="80"/>
      <c r="G522" s="80" t="s">
        <v>84</v>
      </c>
      <c r="H522" s="80" t="s">
        <v>84</v>
      </c>
      <c r="I522" s="80" t="s">
        <v>84</v>
      </c>
      <c r="J522" s="80" t="s">
        <v>84</v>
      </c>
      <c r="K522" s="80" t="s">
        <v>84</v>
      </c>
      <c r="L522" s="80" t="s">
        <v>84</v>
      </c>
      <c r="M522" s="80" t="s">
        <v>84</v>
      </c>
      <c r="N522" s="80" t="s">
        <v>84</v>
      </c>
      <c r="O522" s="80" t="s">
        <v>84</v>
      </c>
      <c r="P522" s="80"/>
      <c r="Q522" s="80" t="s">
        <v>84</v>
      </c>
      <c r="R522" s="80" t="s">
        <v>84</v>
      </c>
    </row>
    <row r="523" spans="1:18" ht="20" x14ac:dyDescent="0.2">
      <c r="A523" s="80" t="s">
        <v>9902</v>
      </c>
      <c r="B523" s="80" t="s">
        <v>9903</v>
      </c>
      <c r="C523" s="80" t="s">
        <v>84</v>
      </c>
      <c r="D523" s="80" t="s">
        <v>84</v>
      </c>
      <c r="E523" s="80" t="s">
        <v>84</v>
      </c>
      <c r="F523" s="80"/>
      <c r="G523" s="80" t="s">
        <v>84</v>
      </c>
      <c r="H523" s="80" t="s">
        <v>84</v>
      </c>
      <c r="I523" s="80" t="s">
        <v>84</v>
      </c>
      <c r="J523" s="80" t="s">
        <v>84</v>
      </c>
      <c r="K523" s="80" t="s">
        <v>84</v>
      </c>
      <c r="L523" s="80" t="s">
        <v>84</v>
      </c>
      <c r="M523" s="80" t="s">
        <v>84</v>
      </c>
      <c r="N523" s="80" t="s">
        <v>84</v>
      </c>
      <c r="O523" s="80" t="s">
        <v>84</v>
      </c>
      <c r="P523" s="80"/>
      <c r="Q523" s="80" t="s">
        <v>84</v>
      </c>
      <c r="R523" s="80" t="s">
        <v>84</v>
      </c>
    </row>
    <row r="524" spans="1:18" ht="20" x14ac:dyDescent="0.2">
      <c r="A524" s="80" t="s">
        <v>3742</v>
      </c>
      <c r="B524" s="80" t="s">
        <v>3743</v>
      </c>
      <c r="C524" s="80" t="s">
        <v>84</v>
      </c>
      <c r="D524" s="80" t="s">
        <v>84</v>
      </c>
      <c r="E524" s="80" t="s">
        <v>84</v>
      </c>
      <c r="F524" s="80"/>
      <c r="G524" s="80" t="s">
        <v>84</v>
      </c>
      <c r="H524" s="80" t="s">
        <v>84</v>
      </c>
      <c r="I524" s="80" t="s">
        <v>84</v>
      </c>
      <c r="J524" s="80" t="s">
        <v>84</v>
      </c>
      <c r="K524" s="80" t="s">
        <v>84</v>
      </c>
      <c r="L524" s="80" t="s">
        <v>84</v>
      </c>
      <c r="M524" s="80" t="s">
        <v>84</v>
      </c>
      <c r="N524" s="80" t="s">
        <v>84</v>
      </c>
      <c r="O524" s="80" t="s">
        <v>84</v>
      </c>
      <c r="P524" s="80"/>
      <c r="Q524" s="80" t="s">
        <v>84</v>
      </c>
      <c r="R524" s="80" t="s">
        <v>84</v>
      </c>
    </row>
    <row r="525" spans="1:18" ht="20" x14ac:dyDescent="0.2">
      <c r="A525" s="80" t="s">
        <v>3744</v>
      </c>
      <c r="B525" s="80" t="s">
        <v>3745</v>
      </c>
      <c r="C525" s="80" t="s">
        <v>84</v>
      </c>
      <c r="D525" s="80" t="s">
        <v>84</v>
      </c>
      <c r="E525" s="80" t="s">
        <v>84</v>
      </c>
      <c r="F525" s="80"/>
      <c r="G525" s="80" t="s">
        <v>84</v>
      </c>
      <c r="H525" s="80" t="s">
        <v>84</v>
      </c>
      <c r="I525" s="80" t="s">
        <v>84</v>
      </c>
      <c r="J525" s="80" t="s">
        <v>84</v>
      </c>
      <c r="K525" s="80" t="s">
        <v>84</v>
      </c>
      <c r="L525" s="80" t="s">
        <v>84</v>
      </c>
      <c r="M525" s="80" t="s">
        <v>84</v>
      </c>
      <c r="N525" s="80" t="s">
        <v>84</v>
      </c>
      <c r="O525" s="80" t="s">
        <v>84</v>
      </c>
      <c r="P525" s="80"/>
      <c r="Q525" s="80" t="s">
        <v>84</v>
      </c>
      <c r="R525" s="80" t="s">
        <v>84</v>
      </c>
    </row>
    <row r="526" spans="1:18" ht="20" x14ac:dyDescent="0.2">
      <c r="A526" s="80" t="s">
        <v>3635</v>
      </c>
      <c r="B526" s="80" t="s">
        <v>3636</v>
      </c>
      <c r="C526" s="80" t="s">
        <v>84</v>
      </c>
      <c r="D526" s="80" t="s">
        <v>84</v>
      </c>
      <c r="E526" s="80" t="s">
        <v>84</v>
      </c>
      <c r="F526" s="80"/>
      <c r="G526" s="80" t="s">
        <v>84</v>
      </c>
      <c r="H526" s="80" t="s">
        <v>84</v>
      </c>
      <c r="I526" s="80" t="s">
        <v>84</v>
      </c>
      <c r="J526" s="80" t="s">
        <v>84</v>
      </c>
      <c r="K526" s="80" t="s">
        <v>84</v>
      </c>
      <c r="L526" s="80" t="s">
        <v>84</v>
      </c>
      <c r="M526" s="80" t="s">
        <v>84</v>
      </c>
      <c r="N526" s="80" t="s">
        <v>84</v>
      </c>
      <c r="O526" s="80" t="s">
        <v>84</v>
      </c>
      <c r="P526" s="80"/>
      <c r="Q526" s="80" t="s">
        <v>84</v>
      </c>
      <c r="R526" s="80" t="s">
        <v>84</v>
      </c>
    </row>
    <row r="527" spans="1:18" ht="20" x14ac:dyDescent="0.2">
      <c r="A527" s="80" t="s">
        <v>3635</v>
      </c>
      <c r="B527" s="80" t="s">
        <v>3770</v>
      </c>
      <c r="C527" s="80" t="s">
        <v>84</v>
      </c>
      <c r="D527" s="80" t="s">
        <v>84</v>
      </c>
      <c r="E527" s="80" t="s">
        <v>84</v>
      </c>
      <c r="F527" s="80"/>
      <c r="G527" s="80" t="s">
        <v>84</v>
      </c>
      <c r="H527" s="80" t="s">
        <v>84</v>
      </c>
      <c r="I527" s="80" t="s">
        <v>84</v>
      </c>
      <c r="J527" s="80" t="s">
        <v>84</v>
      </c>
      <c r="K527" s="80" t="s">
        <v>84</v>
      </c>
      <c r="L527" s="80" t="s">
        <v>84</v>
      </c>
      <c r="M527" s="80" t="s">
        <v>84</v>
      </c>
      <c r="N527" s="80" t="s">
        <v>84</v>
      </c>
      <c r="O527" s="80" t="s">
        <v>84</v>
      </c>
      <c r="P527" s="80"/>
      <c r="Q527" s="80" t="s">
        <v>84</v>
      </c>
      <c r="R527" s="80" t="s">
        <v>84</v>
      </c>
    </row>
    <row r="528" spans="1:18" ht="20" x14ac:dyDescent="0.2">
      <c r="A528" s="80" t="s">
        <v>3746</v>
      </c>
      <c r="B528" s="80" t="s">
        <v>3747</v>
      </c>
      <c r="C528" s="80" t="s">
        <v>84</v>
      </c>
      <c r="D528" s="80" t="s">
        <v>84</v>
      </c>
      <c r="E528" s="80" t="s">
        <v>84</v>
      </c>
      <c r="F528" s="80"/>
      <c r="G528" s="80" t="s">
        <v>84</v>
      </c>
      <c r="H528" s="80" t="s">
        <v>84</v>
      </c>
      <c r="I528" s="80" t="s">
        <v>84</v>
      </c>
      <c r="J528" s="80" t="s">
        <v>84</v>
      </c>
      <c r="K528" s="80" t="s">
        <v>84</v>
      </c>
      <c r="L528" s="80" t="s">
        <v>84</v>
      </c>
      <c r="M528" s="80" t="s">
        <v>84</v>
      </c>
      <c r="N528" s="80" t="s">
        <v>84</v>
      </c>
      <c r="O528" s="80" t="s">
        <v>84</v>
      </c>
      <c r="P528" s="80"/>
      <c r="Q528" s="80" t="s">
        <v>84</v>
      </c>
      <c r="R528" s="80" t="s">
        <v>84</v>
      </c>
    </row>
    <row r="529" spans="1:18" ht="20" x14ac:dyDescent="0.2">
      <c r="A529" s="80" t="s">
        <v>3771</v>
      </c>
      <c r="B529" s="80" t="s">
        <v>3772</v>
      </c>
      <c r="C529" s="80" t="s">
        <v>84</v>
      </c>
      <c r="D529" s="80" t="s">
        <v>84</v>
      </c>
      <c r="E529" s="80" t="s">
        <v>84</v>
      </c>
      <c r="F529" s="80"/>
      <c r="G529" s="80" t="s">
        <v>84</v>
      </c>
      <c r="H529" s="80" t="s">
        <v>84</v>
      </c>
      <c r="I529" s="80" t="s">
        <v>84</v>
      </c>
      <c r="J529" s="80" t="s">
        <v>84</v>
      </c>
      <c r="K529" s="80" t="s">
        <v>84</v>
      </c>
      <c r="L529" s="80" t="s">
        <v>84</v>
      </c>
      <c r="M529" s="80" t="s">
        <v>84</v>
      </c>
      <c r="N529" s="80" t="s">
        <v>84</v>
      </c>
      <c r="O529" s="80" t="s">
        <v>84</v>
      </c>
      <c r="P529" s="80"/>
      <c r="Q529" s="80" t="s">
        <v>84</v>
      </c>
      <c r="R529" s="80" t="s">
        <v>84</v>
      </c>
    </row>
    <row r="530" spans="1:18" ht="20" x14ac:dyDescent="0.2">
      <c r="A530" s="80" t="s">
        <v>3748</v>
      </c>
      <c r="B530" s="80" t="s">
        <v>3749</v>
      </c>
      <c r="C530" s="80" t="s">
        <v>84</v>
      </c>
      <c r="D530" s="80" t="s">
        <v>84</v>
      </c>
      <c r="E530" s="80" t="s">
        <v>84</v>
      </c>
      <c r="F530" s="80"/>
      <c r="G530" s="80" t="s">
        <v>84</v>
      </c>
      <c r="H530" s="80" t="s">
        <v>84</v>
      </c>
      <c r="I530" s="80" t="s">
        <v>84</v>
      </c>
      <c r="J530" s="80" t="s">
        <v>84</v>
      </c>
      <c r="K530" s="80" t="s">
        <v>84</v>
      </c>
      <c r="L530" s="80" t="s">
        <v>84</v>
      </c>
      <c r="M530" s="80" t="s">
        <v>84</v>
      </c>
      <c r="N530" s="80" t="s">
        <v>84</v>
      </c>
      <c r="O530" s="80" t="s">
        <v>84</v>
      </c>
      <c r="P530" s="80"/>
      <c r="Q530" s="80" t="s">
        <v>84</v>
      </c>
      <c r="R530" s="80" t="s">
        <v>84</v>
      </c>
    </row>
    <row r="531" spans="1:18" ht="20" x14ac:dyDescent="0.2">
      <c r="A531" s="80" t="s">
        <v>9904</v>
      </c>
      <c r="B531" s="80" t="s">
        <v>9905</v>
      </c>
      <c r="C531" s="80" t="s">
        <v>84</v>
      </c>
      <c r="D531" s="80" t="s">
        <v>84</v>
      </c>
      <c r="E531" s="80" t="s">
        <v>84</v>
      </c>
      <c r="F531" s="80"/>
      <c r="G531" s="80" t="s">
        <v>84</v>
      </c>
      <c r="H531" s="80" t="s">
        <v>84</v>
      </c>
      <c r="I531" s="80" t="s">
        <v>84</v>
      </c>
      <c r="J531" s="80" t="s">
        <v>84</v>
      </c>
      <c r="K531" s="80" t="s">
        <v>84</v>
      </c>
      <c r="L531" s="80" t="s">
        <v>84</v>
      </c>
      <c r="M531" s="80" t="s">
        <v>84</v>
      </c>
      <c r="N531" s="80" t="s">
        <v>84</v>
      </c>
      <c r="O531" s="80" t="s">
        <v>84</v>
      </c>
      <c r="P531" s="80"/>
      <c r="Q531" s="80" t="s">
        <v>84</v>
      </c>
      <c r="R531" s="80" t="s">
        <v>84</v>
      </c>
    </row>
    <row r="532" spans="1:18" ht="20" x14ac:dyDescent="0.2">
      <c r="A532" s="80" t="s">
        <v>3750</v>
      </c>
      <c r="B532" s="80" t="s">
        <v>3751</v>
      </c>
      <c r="C532" s="80" t="s">
        <v>84</v>
      </c>
      <c r="D532" s="80" t="s">
        <v>84</v>
      </c>
      <c r="E532" s="80" t="s">
        <v>84</v>
      </c>
      <c r="F532" s="80"/>
      <c r="G532" s="80" t="s">
        <v>84</v>
      </c>
      <c r="H532" s="80" t="s">
        <v>84</v>
      </c>
      <c r="I532" s="80" t="s">
        <v>84</v>
      </c>
      <c r="J532" s="80" t="s">
        <v>84</v>
      </c>
      <c r="K532" s="80" t="s">
        <v>84</v>
      </c>
      <c r="L532" s="80" t="s">
        <v>84</v>
      </c>
      <c r="M532" s="80" t="s">
        <v>84</v>
      </c>
      <c r="N532" s="80" t="s">
        <v>84</v>
      </c>
      <c r="O532" s="80" t="s">
        <v>84</v>
      </c>
      <c r="P532" s="80"/>
      <c r="Q532" s="80" t="s">
        <v>84</v>
      </c>
      <c r="R532" s="80" t="s">
        <v>84</v>
      </c>
    </row>
    <row r="533" spans="1:18" ht="20" x14ac:dyDescent="0.2">
      <c r="A533" s="80" t="s">
        <v>3752</v>
      </c>
      <c r="B533" s="80" t="s">
        <v>3753</v>
      </c>
      <c r="C533" s="80" t="s">
        <v>84</v>
      </c>
      <c r="D533" s="80" t="s">
        <v>84</v>
      </c>
      <c r="E533" s="80" t="s">
        <v>84</v>
      </c>
      <c r="F533" s="80"/>
      <c r="G533" s="80" t="s">
        <v>84</v>
      </c>
      <c r="H533" s="80" t="s">
        <v>84</v>
      </c>
      <c r="I533" s="80" t="s">
        <v>84</v>
      </c>
      <c r="J533" s="80" t="s">
        <v>84</v>
      </c>
      <c r="K533" s="80" t="s">
        <v>84</v>
      </c>
      <c r="L533" s="80" t="s">
        <v>84</v>
      </c>
      <c r="M533" s="80" t="s">
        <v>84</v>
      </c>
      <c r="N533" s="80" t="s">
        <v>84</v>
      </c>
      <c r="O533" s="80" t="s">
        <v>84</v>
      </c>
      <c r="P533" s="80"/>
      <c r="Q533" s="80" t="s">
        <v>84</v>
      </c>
      <c r="R533" s="80" t="s">
        <v>84</v>
      </c>
    </row>
    <row r="534" spans="1:18" ht="20" x14ac:dyDescent="0.2">
      <c r="A534" s="80" t="s">
        <v>3754</v>
      </c>
      <c r="B534" s="80" t="s">
        <v>3755</v>
      </c>
      <c r="C534" s="80" t="s">
        <v>84</v>
      </c>
      <c r="D534" s="80" t="s">
        <v>84</v>
      </c>
      <c r="E534" s="80" t="s">
        <v>84</v>
      </c>
      <c r="F534" s="80"/>
      <c r="G534" s="80" t="s">
        <v>84</v>
      </c>
      <c r="H534" s="80" t="s">
        <v>84</v>
      </c>
      <c r="I534" s="80" t="s">
        <v>84</v>
      </c>
      <c r="J534" s="80" t="s">
        <v>84</v>
      </c>
      <c r="K534" s="80" t="s">
        <v>84</v>
      </c>
      <c r="L534" s="80" t="s">
        <v>84</v>
      </c>
      <c r="M534" s="80" t="s">
        <v>84</v>
      </c>
      <c r="N534" s="80" t="s">
        <v>84</v>
      </c>
      <c r="O534" s="80" t="s">
        <v>84</v>
      </c>
      <c r="P534" s="80"/>
      <c r="Q534" s="80" t="s">
        <v>84</v>
      </c>
      <c r="R534" s="80" t="s">
        <v>84</v>
      </c>
    </row>
    <row r="535" spans="1:18" ht="20" x14ac:dyDescent="0.2">
      <c r="A535" s="80" t="s">
        <v>4137</v>
      </c>
      <c r="B535" s="80" t="s">
        <v>9906</v>
      </c>
      <c r="C535" s="80" t="s">
        <v>84</v>
      </c>
      <c r="D535" s="80" t="s">
        <v>84</v>
      </c>
      <c r="E535" s="80" t="s">
        <v>84</v>
      </c>
      <c r="F535" s="80"/>
      <c r="G535" s="80" t="s">
        <v>84</v>
      </c>
      <c r="H535" s="80" t="s">
        <v>84</v>
      </c>
      <c r="I535" s="80" t="s">
        <v>84</v>
      </c>
      <c r="J535" s="80" t="s">
        <v>84</v>
      </c>
      <c r="K535" s="80" t="s">
        <v>84</v>
      </c>
      <c r="L535" s="80" t="s">
        <v>84</v>
      </c>
      <c r="M535" s="80" t="s">
        <v>84</v>
      </c>
      <c r="N535" s="80" t="s">
        <v>84</v>
      </c>
      <c r="O535" s="80" t="s">
        <v>84</v>
      </c>
      <c r="P535" s="80"/>
      <c r="Q535" s="80" t="s">
        <v>84</v>
      </c>
      <c r="R535" s="80" t="s">
        <v>84</v>
      </c>
    </row>
    <row r="536" spans="1:18" ht="20" x14ac:dyDescent="0.2">
      <c r="A536" s="80" t="s">
        <v>4137</v>
      </c>
      <c r="B536" s="80" t="s">
        <v>4138</v>
      </c>
      <c r="C536" s="80" t="s">
        <v>84</v>
      </c>
      <c r="D536" s="80" t="s">
        <v>84</v>
      </c>
      <c r="E536" s="80" t="s">
        <v>84</v>
      </c>
      <c r="F536" s="80"/>
      <c r="G536" s="80" t="s">
        <v>84</v>
      </c>
      <c r="H536" s="80" t="s">
        <v>84</v>
      </c>
      <c r="I536" s="80" t="s">
        <v>84</v>
      </c>
      <c r="J536" s="80" t="s">
        <v>84</v>
      </c>
      <c r="K536" s="80" t="s">
        <v>84</v>
      </c>
      <c r="L536" s="80" t="s">
        <v>84</v>
      </c>
      <c r="M536" s="80" t="s">
        <v>84</v>
      </c>
      <c r="N536" s="80" t="s">
        <v>84</v>
      </c>
      <c r="O536" s="80" t="s">
        <v>84</v>
      </c>
      <c r="P536" s="80"/>
      <c r="Q536" s="80" t="s">
        <v>84</v>
      </c>
      <c r="R536" s="80" t="s">
        <v>84</v>
      </c>
    </row>
    <row r="537" spans="1:18" ht="20" x14ac:dyDescent="0.2">
      <c r="A537" s="80" t="s">
        <v>4037</v>
      </c>
      <c r="B537" s="80" t="s">
        <v>4038</v>
      </c>
      <c r="C537" s="80" t="s">
        <v>84</v>
      </c>
      <c r="D537" s="80" t="s">
        <v>84</v>
      </c>
      <c r="E537" s="80" t="s">
        <v>84</v>
      </c>
      <c r="F537" s="80"/>
      <c r="G537" s="80" t="s">
        <v>84</v>
      </c>
      <c r="H537" s="80" t="s">
        <v>84</v>
      </c>
      <c r="I537" s="80" t="s">
        <v>84</v>
      </c>
      <c r="J537" s="80" t="s">
        <v>84</v>
      </c>
      <c r="K537" s="80" t="s">
        <v>84</v>
      </c>
      <c r="L537" s="80" t="s">
        <v>84</v>
      </c>
      <c r="M537" s="80" t="s">
        <v>84</v>
      </c>
      <c r="N537" s="80" t="s">
        <v>84</v>
      </c>
      <c r="O537" s="80" t="s">
        <v>84</v>
      </c>
      <c r="P537" s="80"/>
      <c r="Q537" s="80" t="s">
        <v>84</v>
      </c>
      <c r="R537" s="80" t="s">
        <v>84</v>
      </c>
    </row>
    <row r="538" spans="1:18" ht="20" x14ac:dyDescent="0.2">
      <c r="A538" s="80" t="s">
        <v>4037</v>
      </c>
      <c r="B538" s="80" t="s">
        <v>9907</v>
      </c>
      <c r="C538" s="80" t="s">
        <v>84</v>
      </c>
      <c r="D538" s="80" t="s">
        <v>84</v>
      </c>
      <c r="E538" s="80" t="s">
        <v>84</v>
      </c>
      <c r="F538" s="80"/>
      <c r="G538" s="80" t="s">
        <v>84</v>
      </c>
      <c r="H538" s="80" t="s">
        <v>84</v>
      </c>
      <c r="I538" s="80" t="s">
        <v>84</v>
      </c>
      <c r="J538" s="80" t="s">
        <v>84</v>
      </c>
      <c r="K538" s="80" t="s">
        <v>84</v>
      </c>
      <c r="L538" s="80" t="s">
        <v>84</v>
      </c>
      <c r="M538" s="80" t="s">
        <v>84</v>
      </c>
      <c r="N538" s="80" t="s">
        <v>84</v>
      </c>
      <c r="O538" s="80" t="s">
        <v>84</v>
      </c>
      <c r="P538" s="80"/>
      <c r="Q538" s="80" t="s">
        <v>84</v>
      </c>
      <c r="R538" s="80" t="s">
        <v>84</v>
      </c>
    </row>
    <row r="539" spans="1:18" ht="20" x14ac:dyDescent="0.2">
      <c r="A539" s="80" t="s">
        <v>4037</v>
      </c>
      <c r="B539" s="80" t="s">
        <v>4139</v>
      </c>
      <c r="C539" s="80" t="s">
        <v>84</v>
      </c>
      <c r="D539" s="80" t="s">
        <v>84</v>
      </c>
      <c r="E539" s="80" t="s">
        <v>84</v>
      </c>
      <c r="F539" s="80"/>
      <c r="G539" s="80" t="s">
        <v>84</v>
      </c>
      <c r="H539" s="80" t="s">
        <v>84</v>
      </c>
      <c r="I539" s="80" t="s">
        <v>84</v>
      </c>
      <c r="J539" s="80" t="s">
        <v>84</v>
      </c>
      <c r="K539" s="80" t="s">
        <v>84</v>
      </c>
      <c r="L539" s="80" t="s">
        <v>84</v>
      </c>
      <c r="M539" s="80" t="s">
        <v>84</v>
      </c>
      <c r="N539" s="80" t="s">
        <v>84</v>
      </c>
      <c r="O539" s="80" t="s">
        <v>84</v>
      </c>
      <c r="P539" s="80"/>
      <c r="Q539" s="80" t="s">
        <v>84</v>
      </c>
      <c r="R539" s="80" t="s">
        <v>84</v>
      </c>
    </row>
    <row r="540" spans="1:18" ht="20" x14ac:dyDescent="0.2">
      <c r="A540" s="80" t="s">
        <v>484</v>
      </c>
      <c r="B540" s="80" t="s">
        <v>485</v>
      </c>
      <c r="C540" s="80" t="s">
        <v>84</v>
      </c>
      <c r="D540" s="80" t="s">
        <v>84</v>
      </c>
      <c r="E540" s="80" t="s">
        <v>84</v>
      </c>
      <c r="F540" s="80"/>
      <c r="G540" s="80" t="s">
        <v>84</v>
      </c>
      <c r="H540" s="80" t="s">
        <v>84</v>
      </c>
      <c r="I540" s="80" t="s">
        <v>84</v>
      </c>
      <c r="J540" s="80" t="s">
        <v>84</v>
      </c>
      <c r="K540" s="80" t="s">
        <v>84</v>
      </c>
      <c r="L540" s="80" t="s">
        <v>84</v>
      </c>
      <c r="M540" s="80" t="s">
        <v>84</v>
      </c>
      <c r="N540" s="80" t="s">
        <v>84</v>
      </c>
      <c r="O540" s="80" t="s">
        <v>84</v>
      </c>
      <c r="P540" s="80"/>
      <c r="Q540" s="80" t="s">
        <v>84</v>
      </c>
      <c r="R540" s="80" t="s">
        <v>84</v>
      </c>
    </row>
    <row r="541" spans="1:18" ht="20" x14ac:dyDescent="0.2">
      <c r="A541" s="80" t="s">
        <v>4328</v>
      </c>
      <c r="B541" s="80" t="s">
        <v>9908</v>
      </c>
      <c r="C541" s="80" t="s">
        <v>84</v>
      </c>
      <c r="D541" s="80" t="s">
        <v>84</v>
      </c>
      <c r="E541" s="80" t="s">
        <v>84</v>
      </c>
      <c r="F541" s="80"/>
      <c r="G541" s="80" t="s">
        <v>84</v>
      </c>
      <c r="H541" s="80" t="s">
        <v>84</v>
      </c>
      <c r="I541" s="80" t="s">
        <v>84</v>
      </c>
      <c r="J541" s="80" t="s">
        <v>84</v>
      </c>
      <c r="K541" s="80" t="s">
        <v>84</v>
      </c>
      <c r="L541" s="80" t="s">
        <v>84</v>
      </c>
      <c r="M541" s="80" t="s">
        <v>84</v>
      </c>
      <c r="N541" s="80" t="s">
        <v>84</v>
      </c>
      <c r="O541" s="80" t="s">
        <v>84</v>
      </c>
      <c r="P541" s="80"/>
      <c r="Q541" s="80" t="s">
        <v>84</v>
      </c>
      <c r="R541" s="80" t="s">
        <v>84</v>
      </c>
    </row>
    <row r="542" spans="1:18" ht="20" x14ac:dyDescent="0.2">
      <c r="A542" s="80" t="s">
        <v>4328</v>
      </c>
      <c r="B542" s="80" t="s">
        <v>4329</v>
      </c>
      <c r="C542" s="80" t="s">
        <v>84</v>
      </c>
      <c r="D542" s="80" t="s">
        <v>84</v>
      </c>
      <c r="E542" s="80" t="s">
        <v>84</v>
      </c>
      <c r="F542" s="80"/>
      <c r="G542" s="80" t="s">
        <v>84</v>
      </c>
      <c r="H542" s="80" t="s">
        <v>84</v>
      </c>
      <c r="I542" s="80" t="s">
        <v>84</v>
      </c>
      <c r="J542" s="80" t="s">
        <v>84</v>
      </c>
      <c r="K542" s="80" t="s">
        <v>84</v>
      </c>
      <c r="L542" s="80" t="s">
        <v>84</v>
      </c>
      <c r="M542" s="80" t="s">
        <v>84</v>
      </c>
      <c r="N542" s="80" t="s">
        <v>84</v>
      </c>
      <c r="O542" s="80" t="s">
        <v>84</v>
      </c>
      <c r="P542" s="80"/>
      <c r="Q542" s="80" t="s">
        <v>84</v>
      </c>
      <c r="R542" s="80" t="s">
        <v>84</v>
      </c>
    </row>
    <row r="543" spans="1:18" ht="20" x14ac:dyDescent="0.2">
      <c r="A543" s="80" t="s">
        <v>4140</v>
      </c>
      <c r="B543" s="80" t="s">
        <v>4141</v>
      </c>
      <c r="C543" s="80" t="s">
        <v>84</v>
      </c>
      <c r="D543" s="80" t="s">
        <v>84</v>
      </c>
      <c r="E543" s="80" t="s">
        <v>84</v>
      </c>
      <c r="F543" s="80"/>
      <c r="G543" s="80" t="s">
        <v>84</v>
      </c>
      <c r="H543" s="80" t="s">
        <v>84</v>
      </c>
      <c r="I543" s="80" t="s">
        <v>84</v>
      </c>
      <c r="J543" s="80" t="s">
        <v>84</v>
      </c>
      <c r="K543" s="80" t="s">
        <v>84</v>
      </c>
      <c r="L543" s="80" t="s">
        <v>84</v>
      </c>
      <c r="M543" s="80" t="s">
        <v>84</v>
      </c>
      <c r="N543" s="80" t="s">
        <v>84</v>
      </c>
      <c r="O543" s="80" t="s">
        <v>84</v>
      </c>
      <c r="P543" s="80"/>
      <c r="Q543" s="80" t="s">
        <v>84</v>
      </c>
      <c r="R543" s="80" t="s">
        <v>84</v>
      </c>
    </row>
    <row r="544" spans="1:18" ht="20" x14ac:dyDescent="0.2">
      <c r="A544" s="80" t="s">
        <v>221</v>
      </c>
      <c r="B544" s="80" t="s">
        <v>222</v>
      </c>
      <c r="C544" s="80" t="s">
        <v>84</v>
      </c>
      <c r="D544" s="80" t="s">
        <v>84</v>
      </c>
      <c r="E544" s="80" t="s">
        <v>84</v>
      </c>
      <c r="F544" s="80"/>
      <c r="G544" s="80" t="s">
        <v>84</v>
      </c>
      <c r="H544" s="80" t="s">
        <v>84</v>
      </c>
      <c r="I544" s="80" t="s">
        <v>84</v>
      </c>
      <c r="J544" s="80" t="s">
        <v>84</v>
      </c>
      <c r="K544" s="80" t="s">
        <v>84</v>
      </c>
      <c r="L544" s="80" t="s">
        <v>84</v>
      </c>
      <c r="M544" s="80" t="s">
        <v>84</v>
      </c>
      <c r="N544" s="80" t="s">
        <v>84</v>
      </c>
      <c r="O544" s="80" t="s">
        <v>84</v>
      </c>
      <c r="P544" s="80"/>
      <c r="Q544" s="80" t="s">
        <v>84</v>
      </c>
      <c r="R544" s="80" t="s">
        <v>84</v>
      </c>
    </row>
    <row r="545" spans="1:18" ht="20" x14ac:dyDescent="0.2">
      <c r="A545" s="80" t="s">
        <v>221</v>
      </c>
      <c r="B545" s="80" t="s">
        <v>331</v>
      </c>
      <c r="C545" s="80" t="s">
        <v>84</v>
      </c>
      <c r="D545" s="80" t="s">
        <v>84</v>
      </c>
      <c r="E545" s="80" t="s">
        <v>84</v>
      </c>
      <c r="F545" s="80"/>
      <c r="G545" s="80" t="s">
        <v>84</v>
      </c>
      <c r="H545" s="80" t="s">
        <v>84</v>
      </c>
      <c r="I545" s="80" t="s">
        <v>84</v>
      </c>
      <c r="J545" s="80" t="s">
        <v>84</v>
      </c>
      <c r="K545" s="80" t="s">
        <v>84</v>
      </c>
      <c r="L545" s="80" t="s">
        <v>84</v>
      </c>
      <c r="M545" s="80" t="s">
        <v>84</v>
      </c>
      <c r="N545" s="80" t="s">
        <v>84</v>
      </c>
      <c r="O545" s="80" t="s">
        <v>84</v>
      </c>
      <c r="P545" s="80"/>
      <c r="Q545" s="80" t="s">
        <v>84</v>
      </c>
      <c r="R545" s="80" t="s">
        <v>84</v>
      </c>
    </row>
    <row r="546" spans="1:18" ht="20" x14ac:dyDescent="0.2">
      <c r="A546" s="80" t="s">
        <v>2800</v>
      </c>
      <c r="B546" s="80" t="s">
        <v>9909</v>
      </c>
      <c r="C546" s="80" t="s">
        <v>9680</v>
      </c>
      <c r="D546" s="80" t="s">
        <v>9680</v>
      </c>
      <c r="E546" s="80" t="s">
        <v>9680</v>
      </c>
      <c r="F546" s="80"/>
      <c r="G546" s="80" t="s">
        <v>9680</v>
      </c>
      <c r="H546" s="80" t="s">
        <v>9680</v>
      </c>
      <c r="I546" s="80" t="s">
        <v>9680</v>
      </c>
      <c r="J546" s="80" t="s">
        <v>84</v>
      </c>
      <c r="K546" s="80" t="s">
        <v>9680</v>
      </c>
      <c r="L546" s="80" t="s">
        <v>9680</v>
      </c>
      <c r="M546" s="80" t="s">
        <v>9680</v>
      </c>
      <c r="N546" s="80" t="s">
        <v>9680</v>
      </c>
      <c r="O546" s="80" t="s">
        <v>9680</v>
      </c>
      <c r="P546" s="80"/>
      <c r="Q546" s="80" t="s">
        <v>84</v>
      </c>
      <c r="R546" s="80" t="s">
        <v>9680</v>
      </c>
    </row>
    <row r="547" spans="1:18" ht="20" x14ac:dyDescent="0.2">
      <c r="A547" s="80" t="s">
        <v>2800</v>
      </c>
      <c r="B547" s="80" t="s">
        <v>2801</v>
      </c>
      <c r="C547" s="80" t="s">
        <v>9680</v>
      </c>
      <c r="D547" s="80" t="s">
        <v>9680</v>
      </c>
      <c r="E547" s="80" t="s">
        <v>9680</v>
      </c>
      <c r="F547" s="80"/>
      <c r="G547" s="80" t="s">
        <v>9680</v>
      </c>
      <c r="H547" s="80" t="s">
        <v>9680</v>
      </c>
      <c r="I547" s="80" t="s">
        <v>9680</v>
      </c>
      <c r="J547" s="80" t="s">
        <v>84</v>
      </c>
      <c r="K547" s="80" t="s">
        <v>9680</v>
      </c>
      <c r="L547" s="80" t="s">
        <v>9680</v>
      </c>
      <c r="M547" s="80" t="s">
        <v>9680</v>
      </c>
      <c r="N547" s="80" t="s">
        <v>9680</v>
      </c>
      <c r="O547" s="80" t="s">
        <v>9680</v>
      </c>
      <c r="P547" s="80"/>
      <c r="Q547" s="80" t="s">
        <v>84</v>
      </c>
      <c r="R547" s="80" t="s">
        <v>9680</v>
      </c>
    </row>
    <row r="548" spans="1:18" ht="20" x14ac:dyDescent="0.2">
      <c r="A548" s="80" t="s">
        <v>2648</v>
      </c>
      <c r="B548" s="80" t="s">
        <v>2649</v>
      </c>
      <c r="C548" s="80" t="s">
        <v>9680</v>
      </c>
      <c r="D548" s="80" t="s">
        <v>84</v>
      </c>
      <c r="E548" s="80" t="s">
        <v>84</v>
      </c>
      <c r="F548" s="80"/>
      <c r="G548" s="80" t="s">
        <v>84</v>
      </c>
      <c r="H548" s="80" t="s">
        <v>84</v>
      </c>
      <c r="I548" s="80" t="s">
        <v>84</v>
      </c>
      <c r="J548" s="80" t="s">
        <v>84</v>
      </c>
      <c r="K548" s="80" t="s">
        <v>84</v>
      </c>
      <c r="L548" s="80" t="s">
        <v>84</v>
      </c>
      <c r="M548" s="80" t="s">
        <v>84</v>
      </c>
      <c r="N548" s="80" t="s">
        <v>84</v>
      </c>
      <c r="O548" s="80" t="s">
        <v>84</v>
      </c>
      <c r="P548" s="80"/>
      <c r="Q548" s="80" t="s">
        <v>84</v>
      </c>
      <c r="R548" s="80" t="s">
        <v>84</v>
      </c>
    </row>
    <row r="549" spans="1:18" ht="20" x14ac:dyDescent="0.2">
      <c r="A549" s="80" t="s">
        <v>2648</v>
      </c>
      <c r="B549" s="80" t="s">
        <v>9910</v>
      </c>
      <c r="C549" s="80" t="s">
        <v>9680</v>
      </c>
      <c r="D549" s="80" t="s">
        <v>84</v>
      </c>
      <c r="E549" s="80" t="s">
        <v>84</v>
      </c>
      <c r="F549" s="80"/>
      <c r="G549" s="80" t="s">
        <v>84</v>
      </c>
      <c r="H549" s="80" t="s">
        <v>84</v>
      </c>
      <c r="I549" s="80" t="s">
        <v>84</v>
      </c>
      <c r="J549" s="80" t="s">
        <v>84</v>
      </c>
      <c r="K549" s="80" t="s">
        <v>84</v>
      </c>
      <c r="L549" s="80" t="s">
        <v>84</v>
      </c>
      <c r="M549" s="80" t="s">
        <v>84</v>
      </c>
      <c r="N549" s="80" t="s">
        <v>84</v>
      </c>
      <c r="O549" s="80" t="s">
        <v>84</v>
      </c>
      <c r="P549" s="80"/>
      <c r="Q549" s="80" t="s">
        <v>84</v>
      </c>
      <c r="R549" s="80" t="s">
        <v>84</v>
      </c>
    </row>
    <row r="550" spans="1:18" ht="20" x14ac:dyDescent="0.2">
      <c r="A550" s="80" t="s">
        <v>2648</v>
      </c>
      <c r="B550" s="80" t="s">
        <v>2805</v>
      </c>
      <c r="C550" s="80" t="s">
        <v>9680</v>
      </c>
      <c r="D550" s="80" t="s">
        <v>84</v>
      </c>
      <c r="E550" s="80" t="s">
        <v>84</v>
      </c>
      <c r="F550" s="80"/>
      <c r="G550" s="80" t="s">
        <v>84</v>
      </c>
      <c r="H550" s="80" t="s">
        <v>84</v>
      </c>
      <c r="I550" s="80" t="s">
        <v>84</v>
      </c>
      <c r="J550" s="80" t="s">
        <v>84</v>
      </c>
      <c r="K550" s="80" t="s">
        <v>84</v>
      </c>
      <c r="L550" s="80" t="s">
        <v>84</v>
      </c>
      <c r="M550" s="80" t="s">
        <v>84</v>
      </c>
      <c r="N550" s="80" t="s">
        <v>84</v>
      </c>
      <c r="O550" s="80" t="s">
        <v>84</v>
      </c>
      <c r="P550" s="80"/>
      <c r="Q550" s="80" t="s">
        <v>84</v>
      </c>
      <c r="R550" s="80" t="s">
        <v>84</v>
      </c>
    </row>
    <row r="551" spans="1:18" ht="20" x14ac:dyDescent="0.2">
      <c r="A551" s="80" t="s">
        <v>2807</v>
      </c>
      <c r="B551" s="80" t="s">
        <v>9911</v>
      </c>
      <c r="C551" s="80" t="s">
        <v>9680</v>
      </c>
      <c r="D551" s="80" t="s">
        <v>9680</v>
      </c>
      <c r="E551" s="80" t="s">
        <v>84</v>
      </c>
      <c r="F551" s="80"/>
      <c r="G551" s="80" t="s">
        <v>9680</v>
      </c>
      <c r="H551" s="80" t="s">
        <v>84</v>
      </c>
      <c r="I551" s="80" t="s">
        <v>9680</v>
      </c>
      <c r="J551" s="80" t="s">
        <v>84</v>
      </c>
      <c r="K551" s="80" t="s">
        <v>9680</v>
      </c>
      <c r="L551" s="80" t="s">
        <v>9680</v>
      </c>
      <c r="M551" s="80" t="s">
        <v>84</v>
      </c>
      <c r="N551" s="80" t="s">
        <v>84</v>
      </c>
      <c r="O551" s="80" t="s">
        <v>84</v>
      </c>
      <c r="P551" s="80"/>
      <c r="Q551" s="80" t="s">
        <v>84</v>
      </c>
      <c r="R551" s="80" t="s">
        <v>84</v>
      </c>
    </row>
    <row r="552" spans="1:18" ht="20" x14ac:dyDescent="0.2">
      <c r="A552" s="80" t="s">
        <v>2807</v>
      </c>
      <c r="B552" s="80" t="s">
        <v>2808</v>
      </c>
      <c r="C552" s="80" t="s">
        <v>9680</v>
      </c>
      <c r="D552" s="80" t="s">
        <v>9680</v>
      </c>
      <c r="E552" s="80" t="s">
        <v>84</v>
      </c>
      <c r="F552" s="80"/>
      <c r="G552" s="80" t="s">
        <v>9680</v>
      </c>
      <c r="H552" s="80" t="s">
        <v>84</v>
      </c>
      <c r="I552" s="80" t="s">
        <v>9680</v>
      </c>
      <c r="J552" s="80" t="s">
        <v>84</v>
      </c>
      <c r="K552" s="80" t="s">
        <v>9680</v>
      </c>
      <c r="L552" s="80" t="s">
        <v>9680</v>
      </c>
      <c r="M552" s="80" t="s">
        <v>84</v>
      </c>
      <c r="N552" s="80" t="s">
        <v>84</v>
      </c>
      <c r="O552" s="80" t="s">
        <v>84</v>
      </c>
      <c r="P552" s="80"/>
      <c r="Q552" s="80" t="s">
        <v>84</v>
      </c>
      <c r="R552" s="80" t="s">
        <v>84</v>
      </c>
    </row>
    <row r="553" spans="1:18" ht="20" x14ac:dyDescent="0.2">
      <c r="A553" s="80" t="s">
        <v>2809</v>
      </c>
      <c r="B553" s="80" t="s">
        <v>2810</v>
      </c>
      <c r="C553" s="80" t="s">
        <v>9680</v>
      </c>
      <c r="D553" s="80" t="s">
        <v>84</v>
      </c>
      <c r="E553" s="80" t="s">
        <v>84</v>
      </c>
      <c r="F553" s="80"/>
      <c r="G553" s="80" t="s">
        <v>84</v>
      </c>
      <c r="H553" s="80" t="s">
        <v>9680</v>
      </c>
      <c r="I553" s="80" t="s">
        <v>84</v>
      </c>
      <c r="J553" s="80" t="s">
        <v>84</v>
      </c>
      <c r="K553" s="80" t="s">
        <v>84</v>
      </c>
      <c r="L553" s="80" t="s">
        <v>84</v>
      </c>
      <c r="M553" s="80" t="s">
        <v>84</v>
      </c>
      <c r="N553" s="80" t="s">
        <v>84</v>
      </c>
      <c r="O553" s="80" t="s">
        <v>84</v>
      </c>
      <c r="P553" s="80"/>
      <c r="Q553" s="80" t="s">
        <v>84</v>
      </c>
      <c r="R553" s="80" t="s">
        <v>84</v>
      </c>
    </row>
    <row r="554" spans="1:18" ht="20" x14ac:dyDescent="0.2">
      <c r="A554" s="80" t="s">
        <v>2811</v>
      </c>
      <c r="B554" s="80" t="s">
        <v>2812</v>
      </c>
      <c r="C554" s="80" t="s">
        <v>84</v>
      </c>
      <c r="D554" s="80" t="s">
        <v>84</v>
      </c>
      <c r="E554" s="80" t="s">
        <v>84</v>
      </c>
      <c r="F554" s="80"/>
      <c r="G554" s="80" t="s">
        <v>84</v>
      </c>
      <c r="H554" s="80" t="s">
        <v>84</v>
      </c>
      <c r="I554" s="80" t="s">
        <v>84</v>
      </c>
      <c r="J554" s="80" t="s">
        <v>84</v>
      </c>
      <c r="K554" s="80" t="s">
        <v>84</v>
      </c>
      <c r="L554" s="80" t="s">
        <v>84</v>
      </c>
      <c r="M554" s="80" t="s">
        <v>84</v>
      </c>
      <c r="N554" s="80" t="s">
        <v>84</v>
      </c>
      <c r="O554" s="80" t="s">
        <v>84</v>
      </c>
      <c r="P554" s="80"/>
      <c r="Q554" s="80" t="s">
        <v>84</v>
      </c>
      <c r="R554" s="80" t="s">
        <v>84</v>
      </c>
    </row>
    <row r="555" spans="1:18" ht="20" x14ac:dyDescent="0.2">
      <c r="A555" s="80" t="s">
        <v>2813</v>
      </c>
      <c r="B555" s="80" t="s">
        <v>2814</v>
      </c>
      <c r="C555" s="80" t="s">
        <v>84</v>
      </c>
      <c r="D555" s="80" t="s">
        <v>84</v>
      </c>
      <c r="E555" s="80" t="s">
        <v>84</v>
      </c>
      <c r="F555" s="80"/>
      <c r="G555" s="80" t="s">
        <v>84</v>
      </c>
      <c r="H555" s="80" t="s">
        <v>84</v>
      </c>
      <c r="I555" s="80" t="s">
        <v>84</v>
      </c>
      <c r="J555" s="80" t="s">
        <v>84</v>
      </c>
      <c r="K555" s="80" t="s">
        <v>84</v>
      </c>
      <c r="L555" s="80" t="s">
        <v>84</v>
      </c>
      <c r="M555" s="80" t="s">
        <v>84</v>
      </c>
      <c r="N555" s="80" t="s">
        <v>84</v>
      </c>
      <c r="O555" s="80" t="s">
        <v>84</v>
      </c>
      <c r="P555" s="80"/>
      <c r="Q555" s="80" t="s">
        <v>84</v>
      </c>
      <c r="R555" s="80" t="s">
        <v>84</v>
      </c>
    </row>
    <row r="556" spans="1:18" ht="20" x14ac:dyDescent="0.2">
      <c r="A556" s="80" t="s">
        <v>2815</v>
      </c>
      <c r="B556" s="80" t="s">
        <v>2816</v>
      </c>
      <c r="C556" s="80" t="s">
        <v>84</v>
      </c>
      <c r="D556" s="80" t="s">
        <v>84</v>
      </c>
      <c r="E556" s="80" t="s">
        <v>84</v>
      </c>
      <c r="F556" s="80"/>
      <c r="G556" s="80" t="s">
        <v>84</v>
      </c>
      <c r="H556" s="80" t="s">
        <v>84</v>
      </c>
      <c r="I556" s="80" t="s">
        <v>84</v>
      </c>
      <c r="J556" s="80" t="s">
        <v>84</v>
      </c>
      <c r="K556" s="80" t="s">
        <v>84</v>
      </c>
      <c r="L556" s="80" t="s">
        <v>84</v>
      </c>
      <c r="M556" s="80" t="s">
        <v>84</v>
      </c>
      <c r="N556" s="80" t="s">
        <v>84</v>
      </c>
      <c r="O556" s="80" t="s">
        <v>84</v>
      </c>
      <c r="P556" s="80"/>
      <c r="Q556" s="80" t="s">
        <v>84</v>
      </c>
      <c r="R556" s="80" t="s">
        <v>84</v>
      </c>
    </row>
    <row r="557" spans="1:18" ht="20" x14ac:dyDescent="0.2">
      <c r="A557" s="80" t="s">
        <v>2815</v>
      </c>
      <c r="B557" s="80" t="s">
        <v>9912</v>
      </c>
      <c r="C557" s="80" t="s">
        <v>84</v>
      </c>
      <c r="D557" s="80" t="s">
        <v>84</v>
      </c>
      <c r="E557" s="80" t="s">
        <v>84</v>
      </c>
      <c r="F557" s="80"/>
      <c r="G557" s="80" t="s">
        <v>84</v>
      </c>
      <c r="H557" s="80" t="s">
        <v>84</v>
      </c>
      <c r="I557" s="80" t="s">
        <v>84</v>
      </c>
      <c r="J557" s="80" t="s">
        <v>84</v>
      </c>
      <c r="K557" s="80" t="s">
        <v>84</v>
      </c>
      <c r="L557" s="80" t="s">
        <v>84</v>
      </c>
      <c r="M557" s="80" t="s">
        <v>84</v>
      </c>
      <c r="N557" s="80" t="s">
        <v>84</v>
      </c>
      <c r="O557" s="80" t="s">
        <v>84</v>
      </c>
      <c r="P557" s="80"/>
      <c r="Q557" s="80" t="s">
        <v>84</v>
      </c>
      <c r="R557" s="80" t="s">
        <v>84</v>
      </c>
    </row>
    <row r="558" spans="1:18" ht="20" x14ac:dyDescent="0.2">
      <c r="A558" s="80" t="s">
        <v>2822</v>
      </c>
      <c r="B558" s="80" t="s">
        <v>2823</v>
      </c>
      <c r="C558" s="80" t="s">
        <v>9680</v>
      </c>
      <c r="D558" s="80" t="s">
        <v>84</v>
      </c>
      <c r="E558" s="80" t="s">
        <v>84</v>
      </c>
      <c r="F558" s="80"/>
      <c r="G558" s="80" t="s">
        <v>84</v>
      </c>
      <c r="H558" s="80" t="s">
        <v>84</v>
      </c>
      <c r="I558" s="80" t="s">
        <v>84</v>
      </c>
      <c r="J558" s="80" t="s">
        <v>84</v>
      </c>
      <c r="K558" s="80" t="s">
        <v>84</v>
      </c>
      <c r="L558" s="80" t="s">
        <v>84</v>
      </c>
      <c r="M558" s="80" t="s">
        <v>84</v>
      </c>
      <c r="N558" s="80" t="s">
        <v>84</v>
      </c>
      <c r="O558" s="80" t="s">
        <v>84</v>
      </c>
      <c r="P558" s="80"/>
      <c r="Q558" s="80" t="s">
        <v>84</v>
      </c>
      <c r="R558" s="80" t="s">
        <v>84</v>
      </c>
    </row>
    <row r="559" spans="1:18" ht="20" x14ac:dyDescent="0.2">
      <c r="A559" s="80" t="s">
        <v>2824</v>
      </c>
      <c r="B559" s="80" t="s">
        <v>2825</v>
      </c>
      <c r="C559" s="80" t="s">
        <v>9680</v>
      </c>
      <c r="D559" s="80" t="s">
        <v>84</v>
      </c>
      <c r="E559" s="80" t="s">
        <v>84</v>
      </c>
      <c r="F559" s="80"/>
      <c r="G559" s="80" t="s">
        <v>84</v>
      </c>
      <c r="H559" s="80" t="s">
        <v>84</v>
      </c>
      <c r="I559" s="80" t="s">
        <v>84</v>
      </c>
      <c r="J559" s="80" t="s">
        <v>84</v>
      </c>
      <c r="K559" s="80" t="s">
        <v>84</v>
      </c>
      <c r="L559" s="80" t="s">
        <v>84</v>
      </c>
      <c r="M559" s="80" t="s">
        <v>84</v>
      </c>
      <c r="N559" s="80" t="s">
        <v>84</v>
      </c>
      <c r="O559" s="80" t="s">
        <v>84</v>
      </c>
      <c r="P559" s="80"/>
      <c r="Q559" s="80" t="s">
        <v>84</v>
      </c>
      <c r="R559" s="80" t="s">
        <v>84</v>
      </c>
    </row>
    <row r="560" spans="1:18" ht="20" x14ac:dyDescent="0.2">
      <c r="A560" s="80" t="s">
        <v>2645</v>
      </c>
      <c r="B560" s="80" t="s">
        <v>2646</v>
      </c>
      <c r="C560" s="80" t="s">
        <v>84</v>
      </c>
      <c r="D560" s="80" t="s">
        <v>84</v>
      </c>
      <c r="E560" s="80" t="s">
        <v>84</v>
      </c>
      <c r="F560" s="80"/>
      <c r="G560" s="80" t="s">
        <v>84</v>
      </c>
      <c r="H560" s="80" t="s">
        <v>84</v>
      </c>
      <c r="I560" s="80" t="s">
        <v>84</v>
      </c>
      <c r="J560" s="80" t="s">
        <v>84</v>
      </c>
      <c r="K560" s="80" t="s">
        <v>84</v>
      </c>
      <c r="L560" s="80" t="s">
        <v>84</v>
      </c>
      <c r="M560" s="80" t="s">
        <v>84</v>
      </c>
      <c r="N560" s="80" t="s">
        <v>84</v>
      </c>
      <c r="O560" s="80" t="s">
        <v>84</v>
      </c>
      <c r="P560" s="80"/>
      <c r="Q560" s="80" t="s">
        <v>84</v>
      </c>
      <c r="R560" s="80" t="s">
        <v>84</v>
      </c>
    </row>
    <row r="561" spans="1:18" ht="20" x14ac:dyDescent="0.2">
      <c r="A561" s="80" t="s">
        <v>2645</v>
      </c>
      <c r="B561" s="80" t="s">
        <v>2946</v>
      </c>
      <c r="C561" s="80" t="s">
        <v>84</v>
      </c>
      <c r="D561" s="80" t="s">
        <v>84</v>
      </c>
      <c r="E561" s="80" t="s">
        <v>84</v>
      </c>
      <c r="F561" s="80"/>
      <c r="G561" s="80" t="s">
        <v>84</v>
      </c>
      <c r="H561" s="80" t="s">
        <v>84</v>
      </c>
      <c r="I561" s="80" t="s">
        <v>84</v>
      </c>
      <c r="J561" s="80" t="s">
        <v>84</v>
      </c>
      <c r="K561" s="80" t="s">
        <v>84</v>
      </c>
      <c r="L561" s="80" t="s">
        <v>84</v>
      </c>
      <c r="M561" s="80" t="s">
        <v>84</v>
      </c>
      <c r="N561" s="80" t="s">
        <v>84</v>
      </c>
      <c r="O561" s="80" t="s">
        <v>84</v>
      </c>
      <c r="P561" s="80"/>
      <c r="Q561" s="80" t="s">
        <v>84</v>
      </c>
      <c r="R561" s="80" t="s">
        <v>84</v>
      </c>
    </row>
    <row r="562" spans="1:18" ht="20" x14ac:dyDescent="0.2">
      <c r="A562" s="80" t="s">
        <v>2826</v>
      </c>
      <c r="B562" s="80" t="s">
        <v>2827</v>
      </c>
      <c r="C562" s="80" t="s">
        <v>9680</v>
      </c>
      <c r="D562" s="80" t="s">
        <v>9680</v>
      </c>
      <c r="E562" s="80" t="s">
        <v>9680</v>
      </c>
      <c r="F562" s="80"/>
      <c r="G562" s="80" t="s">
        <v>9680</v>
      </c>
      <c r="H562" s="80" t="s">
        <v>9680</v>
      </c>
      <c r="I562" s="80" t="s">
        <v>9680</v>
      </c>
      <c r="J562" s="80" t="s">
        <v>84</v>
      </c>
      <c r="K562" s="80" t="s">
        <v>9680</v>
      </c>
      <c r="L562" s="80" t="s">
        <v>9680</v>
      </c>
      <c r="M562" s="80" t="s">
        <v>84</v>
      </c>
      <c r="N562" s="80" t="s">
        <v>9680</v>
      </c>
      <c r="O562" s="80" t="s">
        <v>84</v>
      </c>
      <c r="P562" s="80"/>
      <c r="Q562" s="80" t="s">
        <v>84</v>
      </c>
      <c r="R562" s="80" t="s">
        <v>84</v>
      </c>
    </row>
    <row r="563" spans="1:18" ht="20" x14ac:dyDescent="0.2">
      <c r="A563" s="80" t="s">
        <v>6085</v>
      </c>
      <c r="B563" s="80" t="s">
        <v>9913</v>
      </c>
      <c r="C563" s="80" t="s">
        <v>84</v>
      </c>
      <c r="D563" s="80" t="s">
        <v>84</v>
      </c>
      <c r="E563" s="80" t="s">
        <v>84</v>
      </c>
      <c r="F563" s="80"/>
      <c r="G563" s="80" t="s">
        <v>84</v>
      </c>
      <c r="H563" s="80" t="s">
        <v>84</v>
      </c>
      <c r="I563" s="80" t="s">
        <v>84</v>
      </c>
      <c r="J563" s="80" t="s">
        <v>84</v>
      </c>
      <c r="K563" s="80" t="s">
        <v>84</v>
      </c>
      <c r="L563" s="80" t="s">
        <v>84</v>
      </c>
      <c r="M563" s="80" t="s">
        <v>84</v>
      </c>
      <c r="N563" s="80" t="s">
        <v>84</v>
      </c>
      <c r="O563" s="80" t="s">
        <v>84</v>
      </c>
      <c r="P563" s="80"/>
      <c r="Q563" s="80" t="s">
        <v>84</v>
      </c>
      <c r="R563" s="80" t="s">
        <v>84</v>
      </c>
    </row>
    <row r="564" spans="1:18" ht="20" x14ac:dyDescent="0.2">
      <c r="A564" s="80" t="s">
        <v>6085</v>
      </c>
      <c r="B564" s="80" t="s">
        <v>6086</v>
      </c>
      <c r="C564" s="80" t="s">
        <v>84</v>
      </c>
      <c r="D564" s="80" t="s">
        <v>84</v>
      </c>
      <c r="E564" s="80" t="s">
        <v>84</v>
      </c>
      <c r="F564" s="80"/>
      <c r="G564" s="80" t="s">
        <v>84</v>
      </c>
      <c r="H564" s="80" t="s">
        <v>84</v>
      </c>
      <c r="I564" s="80" t="s">
        <v>84</v>
      </c>
      <c r="J564" s="80" t="s">
        <v>84</v>
      </c>
      <c r="K564" s="80" t="s">
        <v>84</v>
      </c>
      <c r="L564" s="80" t="s">
        <v>84</v>
      </c>
      <c r="M564" s="80" t="s">
        <v>84</v>
      </c>
      <c r="N564" s="80" t="s">
        <v>84</v>
      </c>
      <c r="O564" s="80" t="s">
        <v>84</v>
      </c>
      <c r="P564" s="80"/>
      <c r="Q564" s="80" t="s">
        <v>84</v>
      </c>
      <c r="R564" s="80" t="s">
        <v>84</v>
      </c>
    </row>
    <row r="565" spans="1:18" ht="20" x14ac:dyDescent="0.2">
      <c r="A565" s="80" t="s">
        <v>2995</v>
      </c>
      <c r="B565" s="80" t="s">
        <v>9914</v>
      </c>
      <c r="C565" s="80" t="s">
        <v>9680</v>
      </c>
      <c r="D565" s="80" t="s">
        <v>9680</v>
      </c>
      <c r="E565" s="80" t="s">
        <v>84</v>
      </c>
      <c r="F565" s="80"/>
      <c r="G565" s="80" t="s">
        <v>9680</v>
      </c>
      <c r="H565" s="80" t="s">
        <v>9680</v>
      </c>
      <c r="I565" s="80" t="s">
        <v>9680</v>
      </c>
      <c r="J565" s="80" t="s">
        <v>9680</v>
      </c>
      <c r="K565" s="80" t="s">
        <v>9680</v>
      </c>
      <c r="L565" s="80" t="s">
        <v>84</v>
      </c>
      <c r="M565" s="80" t="s">
        <v>9680</v>
      </c>
      <c r="N565" s="80" t="s">
        <v>84</v>
      </c>
      <c r="O565" s="80" t="s">
        <v>9680</v>
      </c>
      <c r="P565" s="80"/>
      <c r="Q565" s="80" t="s">
        <v>9680</v>
      </c>
      <c r="R565" s="80" t="s">
        <v>9680</v>
      </c>
    </row>
    <row r="566" spans="1:18" ht="20" x14ac:dyDescent="0.2">
      <c r="A566" s="80" t="s">
        <v>2995</v>
      </c>
      <c r="B566" s="80" t="s">
        <v>2996</v>
      </c>
      <c r="C566" s="80" t="s">
        <v>9680</v>
      </c>
      <c r="D566" s="80" t="s">
        <v>9680</v>
      </c>
      <c r="E566" s="80" t="s">
        <v>84</v>
      </c>
      <c r="F566" s="80"/>
      <c r="G566" s="80" t="s">
        <v>9680</v>
      </c>
      <c r="H566" s="80" t="s">
        <v>9680</v>
      </c>
      <c r="I566" s="80" t="s">
        <v>9680</v>
      </c>
      <c r="J566" s="80" t="s">
        <v>9680</v>
      </c>
      <c r="K566" s="80" t="s">
        <v>9680</v>
      </c>
      <c r="L566" s="80" t="s">
        <v>84</v>
      </c>
      <c r="M566" s="80" t="s">
        <v>9680</v>
      </c>
      <c r="N566" s="80" t="s">
        <v>84</v>
      </c>
      <c r="O566" s="80" t="s">
        <v>9680</v>
      </c>
      <c r="P566" s="80"/>
      <c r="Q566" s="80" t="s">
        <v>9680</v>
      </c>
      <c r="R566" s="80" t="s">
        <v>9680</v>
      </c>
    </row>
    <row r="567" spans="1:18" ht="20" x14ac:dyDescent="0.2">
      <c r="A567" s="80" t="s">
        <v>2831</v>
      </c>
      <c r="B567" s="80" t="s">
        <v>9915</v>
      </c>
      <c r="C567" s="80" t="s">
        <v>9680</v>
      </c>
      <c r="D567" s="80" t="s">
        <v>9680</v>
      </c>
      <c r="E567" s="80" t="s">
        <v>84</v>
      </c>
      <c r="F567" s="80"/>
      <c r="G567" s="80" t="s">
        <v>9680</v>
      </c>
      <c r="H567" s="80" t="s">
        <v>9680</v>
      </c>
      <c r="I567" s="80" t="s">
        <v>9680</v>
      </c>
      <c r="J567" s="80" t="s">
        <v>9680</v>
      </c>
      <c r="K567" s="80" t="s">
        <v>9680</v>
      </c>
      <c r="L567" s="80" t="s">
        <v>9680</v>
      </c>
      <c r="M567" s="80" t="s">
        <v>9680</v>
      </c>
      <c r="N567" s="80" t="s">
        <v>84</v>
      </c>
      <c r="O567" s="80" t="s">
        <v>9680</v>
      </c>
      <c r="P567" s="80"/>
      <c r="Q567" s="80" t="s">
        <v>9680</v>
      </c>
      <c r="R567" s="80" t="s">
        <v>9680</v>
      </c>
    </row>
    <row r="568" spans="1:18" ht="20" x14ac:dyDescent="0.2">
      <c r="A568" s="80" t="s">
        <v>2831</v>
      </c>
      <c r="B568" s="80" t="s">
        <v>2832</v>
      </c>
      <c r="C568" s="80" t="s">
        <v>9680</v>
      </c>
      <c r="D568" s="80" t="s">
        <v>9680</v>
      </c>
      <c r="E568" s="80" t="s">
        <v>84</v>
      </c>
      <c r="F568" s="80"/>
      <c r="G568" s="80" t="s">
        <v>9680</v>
      </c>
      <c r="H568" s="80" t="s">
        <v>9680</v>
      </c>
      <c r="I568" s="80" t="s">
        <v>9680</v>
      </c>
      <c r="J568" s="80" t="s">
        <v>9680</v>
      </c>
      <c r="K568" s="80" t="s">
        <v>9680</v>
      </c>
      <c r="L568" s="80" t="s">
        <v>9680</v>
      </c>
      <c r="M568" s="80" t="s">
        <v>9680</v>
      </c>
      <c r="N568" s="80" t="s">
        <v>84</v>
      </c>
      <c r="O568" s="80" t="s">
        <v>9680</v>
      </c>
      <c r="P568" s="80"/>
      <c r="Q568" s="80" t="s">
        <v>9680</v>
      </c>
      <c r="R568" s="80" t="s">
        <v>9680</v>
      </c>
    </row>
    <row r="569" spans="1:18" ht="20" x14ac:dyDescent="0.2">
      <c r="A569" s="80" t="s">
        <v>2997</v>
      </c>
      <c r="B569" s="80" t="s">
        <v>2998</v>
      </c>
      <c r="C569" s="80" t="s">
        <v>9680</v>
      </c>
      <c r="D569" s="80" t="s">
        <v>9680</v>
      </c>
      <c r="E569" s="80" t="s">
        <v>84</v>
      </c>
      <c r="F569" s="80"/>
      <c r="G569" s="80" t="s">
        <v>9680</v>
      </c>
      <c r="H569" s="80" t="s">
        <v>84</v>
      </c>
      <c r="I569" s="80" t="s">
        <v>9680</v>
      </c>
      <c r="J569" s="80" t="s">
        <v>84</v>
      </c>
      <c r="K569" s="80" t="s">
        <v>9680</v>
      </c>
      <c r="L569" s="80" t="s">
        <v>9680</v>
      </c>
      <c r="M569" s="80" t="s">
        <v>9680</v>
      </c>
      <c r="N569" s="80" t="s">
        <v>84</v>
      </c>
      <c r="O569" s="80" t="s">
        <v>9680</v>
      </c>
      <c r="P569" s="80"/>
      <c r="Q569" s="80" t="s">
        <v>9680</v>
      </c>
      <c r="R569" s="80" t="s">
        <v>9680</v>
      </c>
    </row>
    <row r="570" spans="1:18" ht="20" x14ac:dyDescent="0.2">
      <c r="A570" s="80" t="s">
        <v>2833</v>
      </c>
      <c r="B570" s="80" t="s">
        <v>2834</v>
      </c>
      <c r="C570" s="80" t="s">
        <v>9680</v>
      </c>
      <c r="D570" s="80" t="s">
        <v>84</v>
      </c>
      <c r="E570" s="80" t="s">
        <v>84</v>
      </c>
      <c r="F570" s="80"/>
      <c r="G570" s="80" t="s">
        <v>84</v>
      </c>
      <c r="H570" s="80" t="s">
        <v>84</v>
      </c>
      <c r="I570" s="80" t="s">
        <v>84</v>
      </c>
      <c r="J570" s="80" t="s">
        <v>84</v>
      </c>
      <c r="K570" s="80" t="s">
        <v>84</v>
      </c>
      <c r="L570" s="80" t="s">
        <v>84</v>
      </c>
      <c r="M570" s="80" t="s">
        <v>9680</v>
      </c>
      <c r="N570" s="80" t="s">
        <v>84</v>
      </c>
      <c r="O570" s="80" t="s">
        <v>9680</v>
      </c>
      <c r="P570" s="80"/>
      <c r="Q570" s="80" t="s">
        <v>9680</v>
      </c>
      <c r="R570" s="80" t="s">
        <v>9680</v>
      </c>
    </row>
    <row r="571" spans="1:18" ht="20" x14ac:dyDescent="0.2">
      <c r="A571" s="80" t="s">
        <v>2833</v>
      </c>
      <c r="B571" s="80" t="s">
        <v>9916</v>
      </c>
      <c r="C571" s="80" t="s">
        <v>9680</v>
      </c>
      <c r="D571" s="80" t="s">
        <v>84</v>
      </c>
      <c r="E571" s="80" t="s">
        <v>84</v>
      </c>
      <c r="F571" s="80"/>
      <c r="G571" s="80" t="s">
        <v>84</v>
      </c>
      <c r="H571" s="80" t="s">
        <v>84</v>
      </c>
      <c r="I571" s="80" t="s">
        <v>84</v>
      </c>
      <c r="J571" s="80" t="s">
        <v>84</v>
      </c>
      <c r="K571" s="80" t="s">
        <v>84</v>
      </c>
      <c r="L571" s="80" t="s">
        <v>84</v>
      </c>
      <c r="M571" s="80" t="s">
        <v>9680</v>
      </c>
      <c r="N571" s="80" t="s">
        <v>84</v>
      </c>
      <c r="O571" s="80" t="s">
        <v>9680</v>
      </c>
      <c r="P571" s="80"/>
      <c r="Q571" s="80" t="s">
        <v>9680</v>
      </c>
      <c r="R571" s="80" t="s">
        <v>9680</v>
      </c>
    </row>
    <row r="572" spans="1:18" ht="20" x14ac:dyDescent="0.2">
      <c r="A572" s="80" t="s">
        <v>2835</v>
      </c>
      <c r="B572" s="80" t="s">
        <v>2836</v>
      </c>
      <c r="C572" s="80" t="s">
        <v>9680</v>
      </c>
      <c r="D572" s="80" t="s">
        <v>84</v>
      </c>
      <c r="E572" s="80" t="s">
        <v>84</v>
      </c>
      <c r="F572" s="80"/>
      <c r="G572" s="80" t="s">
        <v>84</v>
      </c>
      <c r="H572" s="80" t="s">
        <v>84</v>
      </c>
      <c r="I572" s="80" t="s">
        <v>84</v>
      </c>
      <c r="J572" s="80" t="s">
        <v>84</v>
      </c>
      <c r="K572" s="80" t="s">
        <v>84</v>
      </c>
      <c r="L572" s="80" t="s">
        <v>84</v>
      </c>
      <c r="M572" s="80" t="s">
        <v>84</v>
      </c>
      <c r="N572" s="80" t="s">
        <v>84</v>
      </c>
      <c r="O572" s="80" t="s">
        <v>84</v>
      </c>
      <c r="P572" s="80"/>
      <c r="Q572" s="80" t="s">
        <v>84</v>
      </c>
      <c r="R572" s="80" t="s">
        <v>84</v>
      </c>
    </row>
    <row r="573" spans="1:18" ht="20" x14ac:dyDescent="0.2">
      <c r="A573" s="80" t="s">
        <v>4972</v>
      </c>
      <c r="B573" s="80" t="s">
        <v>4973</v>
      </c>
      <c r="C573" s="80" t="s">
        <v>84</v>
      </c>
      <c r="D573" s="80" t="s">
        <v>84</v>
      </c>
      <c r="E573" s="80" t="s">
        <v>84</v>
      </c>
      <c r="F573" s="80"/>
      <c r="G573" s="80" t="s">
        <v>84</v>
      </c>
      <c r="H573" s="80" t="s">
        <v>84</v>
      </c>
      <c r="I573" s="80" t="s">
        <v>84</v>
      </c>
      <c r="J573" s="80" t="s">
        <v>84</v>
      </c>
      <c r="K573" s="80" t="s">
        <v>84</v>
      </c>
      <c r="L573" s="80" t="s">
        <v>84</v>
      </c>
      <c r="M573" s="80" t="s">
        <v>84</v>
      </c>
      <c r="N573" s="80" t="s">
        <v>84</v>
      </c>
      <c r="O573" s="80" t="s">
        <v>84</v>
      </c>
      <c r="P573" s="80"/>
      <c r="Q573" s="80" t="s">
        <v>84</v>
      </c>
      <c r="R573" s="80" t="s">
        <v>84</v>
      </c>
    </row>
    <row r="574" spans="1:18" ht="20" x14ac:dyDescent="0.2">
      <c r="A574" s="80" t="s">
        <v>5002</v>
      </c>
      <c r="B574" s="80" t="s">
        <v>9917</v>
      </c>
      <c r="C574" s="80" t="s">
        <v>84</v>
      </c>
      <c r="D574" s="80" t="s">
        <v>84</v>
      </c>
      <c r="E574" s="80" t="s">
        <v>84</v>
      </c>
      <c r="F574" s="80"/>
      <c r="G574" s="80" t="s">
        <v>84</v>
      </c>
      <c r="H574" s="80" t="s">
        <v>84</v>
      </c>
      <c r="I574" s="80" t="s">
        <v>84</v>
      </c>
      <c r="J574" s="80" t="s">
        <v>84</v>
      </c>
      <c r="K574" s="80" t="s">
        <v>84</v>
      </c>
      <c r="L574" s="80" t="s">
        <v>84</v>
      </c>
      <c r="M574" s="80" t="s">
        <v>84</v>
      </c>
      <c r="N574" s="80" t="s">
        <v>84</v>
      </c>
      <c r="O574" s="80" t="s">
        <v>84</v>
      </c>
      <c r="P574" s="80"/>
      <c r="Q574" s="80" t="s">
        <v>84</v>
      </c>
      <c r="R574" s="80" t="s">
        <v>84</v>
      </c>
    </row>
    <row r="575" spans="1:18" ht="20" x14ac:dyDescent="0.2">
      <c r="A575" s="80" t="s">
        <v>5002</v>
      </c>
      <c r="B575" s="80" t="s">
        <v>5003</v>
      </c>
      <c r="C575" s="80" t="s">
        <v>84</v>
      </c>
      <c r="D575" s="80" t="s">
        <v>84</v>
      </c>
      <c r="E575" s="80" t="s">
        <v>84</v>
      </c>
      <c r="F575" s="80"/>
      <c r="G575" s="80" t="s">
        <v>84</v>
      </c>
      <c r="H575" s="80" t="s">
        <v>84</v>
      </c>
      <c r="I575" s="80" t="s">
        <v>84</v>
      </c>
      <c r="J575" s="80" t="s">
        <v>84</v>
      </c>
      <c r="K575" s="80" t="s">
        <v>84</v>
      </c>
      <c r="L575" s="80" t="s">
        <v>84</v>
      </c>
      <c r="M575" s="80" t="s">
        <v>84</v>
      </c>
      <c r="N575" s="80" t="s">
        <v>84</v>
      </c>
      <c r="O575" s="80" t="s">
        <v>84</v>
      </c>
      <c r="P575" s="80"/>
      <c r="Q575" s="80" t="s">
        <v>84</v>
      </c>
      <c r="R575" s="80" t="s">
        <v>84</v>
      </c>
    </row>
    <row r="576" spans="1:18" ht="20" x14ac:dyDescent="0.2">
      <c r="A576" s="80" t="s">
        <v>4977</v>
      </c>
      <c r="B576" s="80" t="s">
        <v>4978</v>
      </c>
      <c r="C576" s="80" t="s">
        <v>9680</v>
      </c>
      <c r="D576" s="80" t="s">
        <v>84</v>
      </c>
      <c r="E576" s="80" t="s">
        <v>84</v>
      </c>
      <c r="F576" s="80"/>
      <c r="G576" s="80" t="s">
        <v>84</v>
      </c>
      <c r="H576" s="80" t="s">
        <v>84</v>
      </c>
      <c r="I576" s="80" t="s">
        <v>84</v>
      </c>
      <c r="J576" s="80" t="s">
        <v>84</v>
      </c>
      <c r="K576" s="80" t="s">
        <v>84</v>
      </c>
      <c r="L576" s="80" t="s">
        <v>84</v>
      </c>
      <c r="M576" s="80" t="s">
        <v>84</v>
      </c>
      <c r="N576" s="80" t="s">
        <v>84</v>
      </c>
      <c r="O576" s="80" t="s">
        <v>84</v>
      </c>
      <c r="P576" s="80"/>
      <c r="Q576" s="80" t="s">
        <v>84</v>
      </c>
      <c r="R576" s="80" t="s">
        <v>84</v>
      </c>
    </row>
    <row r="577" spans="1:18" ht="20" x14ac:dyDescent="0.2">
      <c r="A577" s="80" t="s">
        <v>4981</v>
      </c>
      <c r="B577" s="80" t="s">
        <v>4982</v>
      </c>
      <c r="C577" s="80" t="s">
        <v>84</v>
      </c>
      <c r="D577" s="80" t="s">
        <v>84</v>
      </c>
      <c r="E577" s="80" t="s">
        <v>84</v>
      </c>
      <c r="F577" s="80"/>
      <c r="G577" s="80" t="s">
        <v>84</v>
      </c>
      <c r="H577" s="80" t="s">
        <v>84</v>
      </c>
      <c r="I577" s="80" t="s">
        <v>84</v>
      </c>
      <c r="J577" s="80" t="s">
        <v>84</v>
      </c>
      <c r="K577" s="80" t="s">
        <v>84</v>
      </c>
      <c r="L577" s="80" t="s">
        <v>84</v>
      </c>
      <c r="M577" s="80" t="s">
        <v>84</v>
      </c>
      <c r="N577" s="80" t="s">
        <v>84</v>
      </c>
      <c r="O577" s="80" t="s">
        <v>84</v>
      </c>
      <c r="P577" s="80"/>
      <c r="Q577" s="80" t="s">
        <v>84</v>
      </c>
      <c r="R577" s="80" t="s">
        <v>84</v>
      </c>
    </row>
    <row r="578" spans="1:18" ht="20" x14ac:dyDescent="0.2">
      <c r="A578" s="80" t="s">
        <v>5031</v>
      </c>
      <c r="B578" s="80" t="s">
        <v>9918</v>
      </c>
      <c r="C578" s="80" t="s">
        <v>84</v>
      </c>
      <c r="D578" s="80" t="s">
        <v>84</v>
      </c>
      <c r="E578" s="80" t="s">
        <v>84</v>
      </c>
      <c r="F578" s="80"/>
      <c r="G578" s="80" t="s">
        <v>84</v>
      </c>
      <c r="H578" s="80" t="s">
        <v>84</v>
      </c>
      <c r="I578" s="80" t="s">
        <v>84</v>
      </c>
      <c r="J578" s="80" t="s">
        <v>84</v>
      </c>
      <c r="K578" s="80" t="s">
        <v>84</v>
      </c>
      <c r="L578" s="80" t="s">
        <v>84</v>
      </c>
      <c r="M578" s="80" t="s">
        <v>84</v>
      </c>
      <c r="N578" s="80" t="s">
        <v>84</v>
      </c>
      <c r="O578" s="80" t="s">
        <v>84</v>
      </c>
      <c r="P578" s="80"/>
      <c r="Q578" s="80" t="s">
        <v>84</v>
      </c>
      <c r="R578" s="80" t="s">
        <v>84</v>
      </c>
    </row>
    <row r="579" spans="1:18" ht="20" x14ac:dyDescent="0.2">
      <c r="A579" s="80" t="s">
        <v>5031</v>
      </c>
      <c r="B579" s="80" t="s">
        <v>5032</v>
      </c>
      <c r="C579" s="80" t="s">
        <v>84</v>
      </c>
      <c r="D579" s="80" t="s">
        <v>84</v>
      </c>
      <c r="E579" s="80" t="s">
        <v>84</v>
      </c>
      <c r="F579" s="80"/>
      <c r="G579" s="80" t="s">
        <v>84</v>
      </c>
      <c r="H579" s="80" t="s">
        <v>84</v>
      </c>
      <c r="I579" s="80" t="s">
        <v>84</v>
      </c>
      <c r="J579" s="80" t="s">
        <v>84</v>
      </c>
      <c r="K579" s="80" t="s">
        <v>84</v>
      </c>
      <c r="L579" s="80" t="s">
        <v>84</v>
      </c>
      <c r="M579" s="80" t="s">
        <v>84</v>
      </c>
      <c r="N579" s="80" t="s">
        <v>84</v>
      </c>
      <c r="O579" s="80" t="s">
        <v>84</v>
      </c>
      <c r="P579" s="80"/>
      <c r="Q579" s="80" t="s">
        <v>84</v>
      </c>
      <c r="R579" s="80" t="s">
        <v>84</v>
      </c>
    </row>
    <row r="580" spans="1:18" ht="20" x14ac:dyDescent="0.2">
      <c r="A580" s="80" t="s">
        <v>5051</v>
      </c>
      <c r="B580" s="80" t="s">
        <v>9919</v>
      </c>
      <c r="C580" s="80" t="s">
        <v>84</v>
      </c>
      <c r="D580" s="80" t="s">
        <v>84</v>
      </c>
      <c r="E580" s="80" t="s">
        <v>84</v>
      </c>
      <c r="F580" s="80"/>
      <c r="G580" s="80" t="s">
        <v>84</v>
      </c>
      <c r="H580" s="80" t="s">
        <v>84</v>
      </c>
      <c r="I580" s="80" t="s">
        <v>84</v>
      </c>
      <c r="J580" s="80" t="s">
        <v>84</v>
      </c>
      <c r="K580" s="80" t="s">
        <v>84</v>
      </c>
      <c r="L580" s="80" t="s">
        <v>84</v>
      </c>
      <c r="M580" s="80" t="s">
        <v>84</v>
      </c>
      <c r="N580" s="80" t="s">
        <v>84</v>
      </c>
      <c r="O580" s="80" t="s">
        <v>84</v>
      </c>
      <c r="P580" s="80"/>
      <c r="Q580" s="80" t="s">
        <v>84</v>
      </c>
      <c r="R580" s="80" t="s">
        <v>84</v>
      </c>
    </row>
    <row r="581" spans="1:18" ht="20" x14ac:dyDescent="0.2">
      <c r="A581" s="80" t="s">
        <v>5051</v>
      </c>
      <c r="B581" s="80" t="s">
        <v>5052</v>
      </c>
      <c r="C581" s="80" t="s">
        <v>84</v>
      </c>
      <c r="D581" s="80" t="s">
        <v>84</v>
      </c>
      <c r="E581" s="80" t="s">
        <v>84</v>
      </c>
      <c r="F581" s="80"/>
      <c r="G581" s="80" t="s">
        <v>84</v>
      </c>
      <c r="H581" s="80" t="s">
        <v>84</v>
      </c>
      <c r="I581" s="80" t="s">
        <v>84</v>
      </c>
      <c r="J581" s="80" t="s">
        <v>84</v>
      </c>
      <c r="K581" s="80" t="s">
        <v>84</v>
      </c>
      <c r="L581" s="80" t="s">
        <v>84</v>
      </c>
      <c r="M581" s="80" t="s">
        <v>84</v>
      </c>
      <c r="N581" s="80" t="s">
        <v>84</v>
      </c>
      <c r="O581" s="80" t="s">
        <v>84</v>
      </c>
      <c r="P581" s="80"/>
      <c r="Q581" s="80" t="s">
        <v>84</v>
      </c>
      <c r="R581" s="80" t="s">
        <v>84</v>
      </c>
    </row>
    <row r="582" spans="1:18" ht="20" x14ac:dyDescent="0.2">
      <c r="A582" s="80" t="s">
        <v>5040</v>
      </c>
      <c r="B582" s="80" t="s">
        <v>5041</v>
      </c>
      <c r="C582" s="80" t="s">
        <v>9722</v>
      </c>
      <c r="D582" s="80" t="s">
        <v>84</v>
      </c>
      <c r="E582" s="80" t="s">
        <v>84</v>
      </c>
      <c r="F582" s="80"/>
      <c r="G582" s="80" t="s">
        <v>84</v>
      </c>
      <c r="H582" s="80" t="s">
        <v>84</v>
      </c>
      <c r="I582" s="80" t="s">
        <v>84</v>
      </c>
      <c r="J582" s="80" t="s">
        <v>84</v>
      </c>
      <c r="K582" s="80" t="s">
        <v>84</v>
      </c>
      <c r="L582" s="80" t="s">
        <v>84</v>
      </c>
      <c r="M582" s="80" t="s">
        <v>84</v>
      </c>
      <c r="N582" s="80" t="s">
        <v>84</v>
      </c>
      <c r="O582" s="80" t="s">
        <v>84</v>
      </c>
      <c r="P582" s="80"/>
      <c r="Q582" s="80" t="s">
        <v>84</v>
      </c>
      <c r="R582" s="80" t="s">
        <v>84</v>
      </c>
    </row>
    <row r="583" spans="1:18" ht="20" x14ac:dyDescent="0.2">
      <c r="A583" s="80" t="s">
        <v>5038</v>
      </c>
      <c r="B583" s="80" t="s">
        <v>5039</v>
      </c>
      <c r="C583" s="80" t="s">
        <v>9680</v>
      </c>
      <c r="D583" s="80" t="s">
        <v>84</v>
      </c>
      <c r="E583" s="80" t="s">
        <v>84</v>
      </c>
      <c r="F583" s="80"/>
      <c r="G583" s="80" t="s">
        <v>84</v>
      </c>
      <c r="H583" s="80" t="s">
        <v>84</v>
      </c>
      <c r="I583" s="80" t="s">
        <v>84</v>
      </c>
      <c r="J583" s="80" t="s">
        <v>84</v>
      </c>
      <c r="K583" s="80" t="s">
        <v>84</v>
      </c>
      <c r="L583" s="80" t="s">
        <v>84</v>
      </c>
      <c r="M583" s="80" t="s">
        <v>84</v>
      </c>
      <c r="N583" s="80" t="s">
        <v>84</v>
      </c>
      <c r="O583" s="80" t="s">
        <v>84</v>
      </c>
      <c r="P583" s="80"/>
      <c r="Q583" s="80" t="s">
        <v>84</v>
      </c>
      <c r="R583" s="80" t="s">
        <v>84</v>
      </c>
    </row>
    <row r="584" spans="1:18" ht="20" x14ac:dyDescent="0.2">
      <c r="A584" s="80" t="s">
        <v>5073</v>
      </c>
      <c r="B584" s="80" t="s">
        <v>5074</v>
      </c>
      <c r="C584" s="80" t="s">
        <v>84</v>
      </c>
      <c r="D584" s="80" t="s">
        <v>84</v>
      </c>
      <c r="E584" s="80" t="s">
        <v>84</v>
      </c>
      <c r="F584" s="80"/>
      <c r="G584" s="80" t="s">
        <v>84</v>
      </c>
      <c r="H584" s="80" t="s">
        <v>84</v>
      </c>
      <c r="I584" s="80" t="s">
        <v>84</v>
      </c>
      <c r="J584" s="80" t="s">
        <v>84</v>
      </c>
      <c r="K584" s="80" t="s">
        <v>84</v>
      </c>
      <c r="L584" s="80" t="s">
        <v>84</v>
      </c>
      <c r="M584" s="80" t="s">
        <v>84</v>
      </c>
      <c r="N584" s="80" t="s">
        <v>84</v>
      </c>
      <c r="O584" s="80" t="s">
        <v>84</v>
      </c>
      <c r="P584" s="80"/>
      <c r="Q584" s="80" t="s">
        <v>84</v>
      </c>
      <c r="R584" s="80" t="s">
        <v>84</v>
      </c>
    </row>
    <row r="585" spans="1:18" ht="20" x14ac:dyDescent="0.2">
      <c r="A585" s="80" t="s">
        <v>5098</v>
      </c>
      <c r="B585" s="80" t="s">
        <v>5099</v>
      </c>
      <c r="C585" s="80" t="s">
        <v>9680</v>
      </c>
      <c r="D585" s="80" t="s">
        <v>84</v>
      </c>
      <c r="E585" s="80" t="s">
        <v>84</v>
      </c>
      <c r="F585" s="80"/>
      <c r="G585" s="80" t="s">
        <v>84</v>
      </c>
      <c r="H585" s="80" t="s">
        <v>84</v>
      </c>
      <c r="I585" s="80" t="s">
        <v>84</v>
      </c>
      <c r="J585" s="80" t="s">
        <v>84</v>
      </c>
      <c r="K585" s="80" t="s">
        <v>84</v>
      </c>
      <c r="L585" s="80" t="s">
        <v>84</v>
      </c>
      <c r="M585" s="80" t="s">
        <v>84</v>
      </c>
      <c r="N585" s="80" t="s">
        <v>84</v>
      </c>
      <c r="O585" s="80" t="s">
        <v>84</v>
      </c>
      <c r="P585" s="80"/>
      <c r="Q585" s="80" t="s">
        <v>84</v>
      </c>
      <c r="R585" s="80" t="s">
        <v>84</v>
      </c>
    </row>
    <row r="586" spans="1:18" ht="20" x14ac:dyDescent="0.2">
      <c r="A586" s="80" t="s">
        <v>4794</v>
      </c>
      <c r="B586" s="80" t="s">
        <v>4795</v>
      </c>
      <c r="C586" s="80" t="s">
        <v>9680</v>
      </c>
      <c r="D586" s="80" t="s">
        <v>84</v>
      </c>
      <c r="E586" s="80" t="s">
        <v>84</v>
      </c>
      <c r="F586" s="80"/>
      <c r="G586" s="80" t="s">
        <v>84</v>
      </c>
      <c r="H586" s="80" t="s">
        <v>84</v>
      </c>
      <c r="I586" s="80" t="s">
        <v>84</v>
      </c>
      <c r="J586" s="80" t="s">
        <v>84</v>
      </c>
      <c r="K586" s="80" t="s">
        <v>84</v>
      </c>
      <c r="L586" s="80" t="s">
        <v>84</v>
      </c>
      <c r="M586" s="80" t="s">
        <v>84</v>
      </c>
      <c r="N586" s="80" t="s">
        <v>84</v>
      </c>
      <c r="O586" s="80" t="s">
        <v>84</v>
      </c>
      <c r="P586" s="80"/>
      <c r="Q586" s="80" t="s">
        <v>84</v>
      </c>
      <c r="R586" s="80" t="s">
        <v>84</v>
      </c>
    </row>
    <row r="587" spans="1:18" ht="20" x14ac:dyDescent="0.2">
      <c r="A587" s="80" t="s">
        <v>4794</v>
      </c>
      <c r="B587" s="80" t="s">
        <v>5087</v>
      </c>
      <c r="C587" s="80" t="s">
        <v>9680</v>
      </c>
      <c r="D587" s="80" t="s">
        <v>84</v>
      </c>
      <c r="E587" s="80" t="s">
        <v>84</v>
      </c>
      <c r="F587" s="80"/>
      <c r="G587" s="80" t="s">
        <v>84</v>
      </c>
      <c r="H587" s="80" t="s">
        <v>84</v>
      </c>
      <c r="I587" s="80" t="s">
        <v>84</v>
      </c>
      <c r="J587" s="80" t="s">
        <v>84</v>
      </c>
      <c r="K587" s="80" t="s">
        <v>84</v>
      </c>
      <c r="L587" s="80" t="s">
        <v>84</v>
      </c>
      <c r="M587" s="80" t="s">
        <v>84</v>
      </c>
      <c r="N587" s="80" t="s">
        <v>84</v>
      </c>
      <c r="O587" s="80" t="s">
        <v>84</v>
      </c>
      <c r="P587" s="80"/>
      <c r="Q587" s="80" t="s">
        <v>84</v>
      </c>
      <c r="R587" s="80" t="s">
        <v>84</v>
      </c>
    </row>
    <row r="588" spans="1:18" ht="20" x14ac:dyDescent="0.2">
      <c r="A588" s="80" t="s">
        <v>4983</v>
      </c>
      <c r="B588" s="80" t="s">
        <v>4984</v>
      </c>
      <c r="C588" s="80" t="s">
        <v>9680</v>
      </c>
      <c r="D588" s="80" t="s">
        <v>9680</v>
      </c>
      <c r="E588" s="80" t="s">
        <v>9680</v>
      </c>
      <c r="F588" s="80"/>
      <c r="G588" s="80" t="s">
        <v>9680</v>
      </c>
      <c r="H588" s="80" t="s">
        <v>9680</v>
      </c>
      <c r="I588" s="80" t="s">
        <v>9680</v>
      </c>
      <c r="J588" s="80" t="s">
        <v>9680</v>
      </c>
      <c r="K588" s="80" t="s">
        <v>9680</v>
      </c>
      <c r="L588" s="80" t="s">
        <v>9680</v>
      </c>
      <c r="M588" s="80" t="s">
        <v>9680</v>
      </c>
      <c r="N588" s="80" t="s">
        <v>9680</v>
      </c>
      <c r="O588" s="80" t="s">
        <v>9680</v>
      </c>
      <c r="P588" s="80"/>
      <c r="Q588" s="80" t="s">
        <v>9680</v>
      </c>
      <c r="R588" s="80" t="s">
        <v>9680</v>
      </c>
    </row>
    <row r="589" spans="1:18" ht="20" x14ac:dyDescent="0.2">
      <c r="A589" s="80" t="s">
        <v>4990</v>
      </c>
      <c r="B589" s="80" t="s">
        <v>9920</v>
      </c>
      <c r="C589" s="80" t="s">
        <v>84</v>
      </c>
      <c r="D589" s="80" t="s">
        <v>84</v>
      </c>
      <c r="E589" s="80" t="s">
        <v>84</v>
      </c>
      <c r="F589" s="80"/>
      <c r="G589" s="80" t="s">
        <v>84</v>
      </c>
      <c r="H589" s="80" t="s">
        <v>84</v>
      </c>
      <c r="I589" s="80" t="s">
        <v>84</v>
      </c>
      <c r="J589" s="80" t="s">
        <v>84</v>
      </c>
      <c r="K589" s="80" t="s">
        <v>84</v>
      </c>
      <c r="L589" s="80" t="s">
        <v>84</v>
      </c>
      <c r="M589" s="80" t="s">
        <v>84</v>
      </c>
      <c r="N589" s="80" t="s">
        <v>84</v>
      </c>
      <c r="O589" s="80" t="s">
        <v>84</v>
      </c>
      <c r="P589" s="80"/>
      <c r="Q589" s="80" t="s">
        <v>84</v>
      </c>
      <c r="R589" s="80" t="s">
        <v>84</v>
      </c>
    </row>
    <row r="590" spans="1:18" ht="20" x14ac:dyDescent="0.2">
      <c r="A590" s="80" t="s">
        <v>4990</v>
      </c>
      <c r="B590" s="80" t="s">
        <v>4991</v>
      </c>
      <c r="C590" s="80" t="s">
        <v>84</v>
      </c>
      <c r="D590" s="80" t="s">
        <v>84</v>
      </c>
      <c r="E590" s="80" t="s">
        <v>84</v>
      </c>
      <c r="F590" s="80"/>
      <c r="G590" s="80" t="s">
        <v>84</v>
      </c>
      <c r="H590" s="80" t="s">
        <v>84</v>
      </c>
      <c r="I590" s="80" t="s">
        <v>84</v>
      </c>
      <c r="J590" s="80" t="s">
        <v>84</v>
      </c>
      <c r="K590" s="80" t="s">
        <v>84</v>
      </c>
      <c r="L590" s="80" t="s">
        <v>84</v>
      </c>
      <c r="M590" s="80" t="s">
        <v>84</v>
      </c>
      <c r="N590" s="80" t="s">
        <v>84</v>
      </c>
      <c r="O590" s="80" t="s">
        <v>84</v>
      </c>
      <c r="P590" s="80"/>
      <c r="Q590" s="80" t="s">
        <v>84</v>
      </c>
      <c r="R590" s="80" t="s">
        <v>84</v>
      </c>
    </row>
    <row r="591" spans="1:18" ht="20" x14ac:dyDescent="0.2">
      <c r="A591" s="80" t="s">
        <v>9921</v>
      </c>
      <c r="B591" s="80" t="s">
        <v>4986</v>
      </c>
      <c r="C591" s="80" t="s">
        <v>84</v>
      </c>
      <c r="D591" s="80" t="s">
        <v>84</v>
      </c>
      <c r="E591" s="80" t="s">
        <v>84</v>
      </c>
      <c r="F591" s="80"/>
      <c r="G591" s="80" t="s">
        <v>84</v>
      </c>
      <c r="H591" s="80" t="s">
        <v>84</v>
      </c>
      <c r="I591" s="80" t="s">
        <v>84</v>
      </c>
      <c r="J591" s="80" t="s">
        <v>84</v>
      </c>
      <c r="K591" s="80" t="s">
        <v>84</v>
      </c>
      <c r="L591" s="80" t="s">
        <v>84</v>
      </c>
      <c r="M591" s="80" t="s">
        <v>84</v>
      </c>
      <c r="N591" s="80" t="s">
        <v>84</v>
      </c>
      <c r="O591" s="80" t="s">
        <v>84</v>
      </c>
      <c r="P591" s="80"/>
      <c r="Q591" s="80" t="s">
        <v>84</v>
      </c>
      <c r="R591" s="80" t="s">
        <v>84</v>
      </c>
    </row>
    <row r="592" spans="1:18" ht="20" x14ac:dyDescent="0.2">
      <c r="A592" s="80" t="s">
        <v>5100</v>
      </c>
      <c r="B592" s="80" t="s">
        <v>5101</v>
      </c>
      <c r="C592" s="80" t="s">
        <v>9680</v>
      </c>
      <c r="D592" s="80" t="s">
        <v>84</v>
      </c>
      <c r="E592" s="80" t="s">
        <v>84</v>
      </c>
      <c r="F592" s="80"/>
      <c r="G592" s="80" t="s">
        <v>84</v>
      </c>
      <c r="H592" s="80" t="s">
        <v>84</v>
      </c>
      <c r="I592" s="80" t="s">
        <v>84</v>
      </c>
      <c r="J592" s="80" t="s">
        <v>84</v>
      </c>
      <c r="K592" s="80" t="s">
        <v>84</v>
      </c>
      <c r="L592" s="80" t="s">
        <v>84</v>
      </c>
      <c r="M592" s="80" t="s">
        <v>84</v>
      </c>
      <c r="N592" s="80" t="s">
        <v>84</v>
      </c>
      <c r="O592" s="80" t="s">
        <v>84</v>
      </c>
      <c r="P592" s="80"/>
      <c r="Q592" s="80" t="s">
        <v>84</v>
      </c>
      <c r="R592" s="80" t="s">
        <v>84</v>
      </c>
    </row>
    <row r="593" spans="1:18" ht="20" x14ac:dyDescent="0.2">
      <c r="A593" s="80" t="s">
        <v>5102</v>
      </c>
      <c r="B593" s="80" t="s">
        <v>5103</v>
      </c>
      <c r="C593" s="80" t="s">
        <v>84</v>
      </c>
      <c r="D593" s="80" t="s">
        <v>84</v>
      </c>
      <c r="E593" s="80" t="s">
        <v>84</v>
      </c>
      <c r="F593" s="80"/>
      <c r="G593" s="80" t="s">
        <v>84</v>
      </c>
      <c r="H593" s="80" t="s">
        <v>84</v>
      </c>
      <c r="I593" s="80" t="s">
        <v>84</v>
      </c>
      <c r="J593" s="80" t="s">
        <v>84</v>
      </c>
      <c r="K593" s="80" t="s">
        <v>84</v>
      </c>
      <c r="L593" s="80" t="s">
        <v>84</v>
      </c>
      <c r="M593" s="80" t="s">
        <v>84</v>
      </c>
      <c r="N593" s="80" t="s">
        <v>84</v>
      </c>
      <c r="O593" s="80" t="s">
        <v>84</v>
      </c>
      <c r="P593" s="80"/>
      <c r="Q593" s="80" t="s">
        <v>84</v>
      </c>
      <c r="R593" s="80" t="s">
        <v>84</v>
      </c>
    </row>
    <row r="594" spans="1:18" ht="20" x14ac:dyDescent="0.2">
      <c r="A594" s="80" t="s">
        <v>5104</v>
      </c>
      <c r="B594" s="80" t="s">
        <v>5105</v>
      </c>
      <c r="C594" s="80" t="s">
        <v>84</v>
      </c>
      <c r="D594" s="80" t="s">
        <v>84</v>
      </c>
      <c r="E594" s="80" t="s">
        <v>84</v>
      </c>
      <c r="F594" s="80"/>
      <c r="G594" s="80" t="s">
        <v>84</v>
      </c>
      <c r="H594" s="80" t="s">
        <v>84</v>
      </c>
      <c r="I594" s="80" t="s">
        <v>84</v>
      </c>
      <c r="J594" s="80" t="s">
        <v>84</v>
      </c>
      <c r="K594" s="80" t="s">
        <v>84</v>
      </c>
      <c r="L594" s="80" t="s">
        <v>84</v>
      </c>
      <c r="M594" s="80" t="s">
        <v>84</v>
      </c>
      <c r="N594" s="80" t="s">
        <v>84</v>
      </c>
      <c r="O594" s="80" t="s">
        <v>84</v>
      </c>
      <c r="P594" s="80"/>
      <c r="Q594" s="80" t="s">
        <v>84</v>
      </c>
      <c r="R594" s="80" t="s">
        <v>84</v>
      </c>
    </row>
    <row r="595" spans="1:18" ht="20" x14ac:dyDescent="0.2">
      <c r="A595" s="80" t="s">
        <v>5108</v>
      </c>
      <c r="B595" s="80" t="s">
        <v>5109</v>
      </c>
      <c r="C595" s="80" t="s">
        <v>84</v>
      </c>
      <c r="D595" s="80" t="s">
        <v>84</v>
      </c>
      <c r="E595" s="80" t="s">
        <v>84</v>
      </c>
      <c r="F595" s="80"/>
      <c r="G595" s="80" t="s">
        <v>84</v>
      </c>
      <c r="H595" s="80" t="s">
        <v>84</v>
      </c>
      <c r="I595" s="80" t="s">
        <v>84</v>
      </c>
      <c r="J595" s="80" t="s">
        <v>84</v>
      </c>
      <c r="K595" s="80" t="s">
        <v>84</v>
      </c>
      <c r="L595" s="80" t="s">
        <v>84</v>
      </c>
      <c r="M595" s="80" t="s">
        <v>84</v>
      </c>
      <c r="N595" s="80" t="s">
        <v>84</v>
      </c>
      <c r="O595" s="80" t="s">
        <v>84</v>
      </c>
      <c r="P595" s="80"/>
      <c r="Q595" s="80" t="s">
        <v>84</v>
      </c>
      <c r="R595" s="80" t="s">
        <v>84</v>
      </c>
    </row>
    <row r="596" spans="1:18" ht="20" x14ac:dyDescent="0.2">
      <c r="A596" s="80" t="s">
        <v>5106</v>
      </c>
      <c r="B596" s="80" t="s">
        <v>5107</v>
      </c>
      <c r="C596" s="80" t="s">
        <v>84</v>
      </c>
      <c r="D596" s="80" t="s">
        <v>84</v>
      </c>
      <c r="E596" s="80" t="s">
        <v>84</v>
      </c>
      <c r="F596" s="80"/>
      <c r="G596" s="80" t="s">
        <v>84</v>
      </c>
      <c r="H596" s="80" t="s">
        <v>84</v>
      </c>
      <c r="I596" s="80" t="s">
        <v>84</v>
      </c>
      <c r="J596" s="80" t="s">
        <v>84</v>
      </c>
      <c r="K596" s="80" t="s">
        <v>84</v>
      </c>
      <c r="L596" s="80" t="s">
        <v>84</v>
      </c>
      <c r="M596" s="80" t="s">
        <v>84</v>
      </c>
      <c r="N596" s="80" t="s">
        <v>84</v>
      </c>
      <c r="O596" s="80" t="s">
        <v>84</v>
      </c>
      <c r="P596" s="80"/>
      <c r="Q596" s="80" t="s">
        <v>84</v>
      </c>
      <c r="R596" s="80" t="s">
        <v>84</v>
      </c>
    </row>
    <row r="597" spans="1:18" ht="20" x14ac:dyDescent="0.2">
      <c r="A597" s="80" t="s">
        <v>5085</v>
      </c>
      <c r="B597" s="80" t="s">
        <v>5086</v>
      </c>
      <c r="C597" s="80" t="s">
        <v>84</v>
      </c>
      <c r="D597" s="80" t="s">
        <v>84</v>
      </c>
      <c r="E597" s="80" t="s">
        <v>84</v>
      </c>
      <c r="F597" s="80"/>
      <c r="G597" s="80" t="s">
        <v>84</v>
      </c>
      <c r="H597" s="80" t="s">
        <v>84</v>
      </c>
      <c r="I597" s="80" t="s">
        <v>84</v>
      </c>
      <c r="J597" s="80" t="s">
        <v>84</v>
      </c>
      <c r="K597" s="80" t="s">
        <v>84</v>
      </c>
      <c r="L597" s="80" t="s">
        <v>84</v>
      </c>
      <c r="M597" s="80" t="s">
        <v>84</v>
      </c>
      <c r="N597" s="80" t="s">
        <v>84</v>
      </c>
      <c r="O597" s="80" t="s">
        <v>84</v>
      </c>
      <c r="P597" s="80"/>
      <c r="Q597" s="80" t="s">
        <v>84</v>
      </c>
      <c r="R597" s="80" t="s">
        <v>84</v>
      </c>
    </row>
    <row r="598" spans="1:18" ht="20" x14ac:dyDescent="0.2">
      <c r="A598" s="80" t="s">
        <v>5061</v>
      </c>
      <c r="B598" s="80" t="s">
        <v>5062</v>
      </c>
      <c r="C598" s="80" t="s">
        <v>84</v>
      </c>
      <c r="D598" s="80" t="s">
        <v>84</v>
      </c>
      <c r="E598" s="80" t="s">
        <v>84</v>
      </c>
      <c r="F598" s="80"/>
      <c r="G598" s="80" t="s">
        <v>84</v>
      </c>
      <c r="H598" s="80" t="s">
        <v>84</v>
      </c>
      <c r="I598" s="80" t="s">
        <v>84</v>
      </c>
      <c r="J598" s="80" t="s">
        <v>84</v>
      </c>
      <c r="K598" s="80" t="s">
        <v>84</v>
      </c>
      <c r="L598" s="80" t="s">
        <v>84</v>
      </c>
      <c r="M598" s="80" t="s">
        <v>84</v>
      </c>
      <c r="N598" s="80" t="s">
        <v>84</v>
      </c>
      <c r="O598" s="80" t="s">
        <v>84</v>
      </c>
      <c r="P598" s="80"/>
      <c r="Q598" s="80" t="s">
        <v>84</v>
      </c>
      <c r="R598" s="80" t="s">
        <v>84</v>
      </c>
    </row>
    <row r="599" spans="1:18" ht="20" x14ac:dyDescent="0.2">
      <c r="A599" s="80" t="s">
        <v>5063</v>
      </c>
      <c r="B599" s="80" t="s">
        <v>5064</v>
      </c>
      <c r="C599" s="80" t="s">
        <v>84</v>
      </c>
      <c r="D599" s="80" t="s">
        <v>84</v>
      </c>
      <c r="E599" s="80" t="s">
        <v>84</v>
      </c>
      <c r="F599" s="80"/>
      <c r="G599" s="80" t="s">
        <v>84</v>
      </c>
      <c r="H599" s="80" t="s">
        <v>84</v>
      </c>
      <c r="I599" s="80" t="s">
        <v>84</v>
      </c>
      <c r="J599" s="80" t="s">
        <v>84</v>
      </c>
      <c r="K599" s="80" t="s">
        <v>84</v>
      </c>
      <c r="L599" s="80" t="s">
        <v>84</v>
      </c>
      <c r="M599" s="80" t="s">
        <v>84</v>
      </c>
      <c r="N599" s="80" t="s">
        <v>84</v>
      </c>
      <c r="O599" s="80" t="s">
        <v>84</v>
      </c>
      <c r="P599" s="80"/>
      <c r="Q599" s="80" t="s">
        <v>84</v>
      </c>
      <c r="R599" s="80" t="s">
        <v>84</v>
      </c>
    </row>
    <row r="600" spans="1:18" ht="20" x14ac:dyDescent="0.2">
      <c r="A600" s="80" t="s">
        <v>9922</v>
      </c>
      <c r="B600" s="80" t="s">
        <v>9923</v>
      </c>
      <c r="C600" s="80" t="s">
        <v>9680</v>
      </c>
      <c r="D600" s="80" t="s">
        <v>84</v>
      </c>
      <c r="E600" s="80" t="s">
        <v>84</v>
      </c>
      <c r="F600" s="80"/>
      <c r="G600" s="80" t="s">
        <v>84</v>
      </c>
      <c r="H600" s="80" t="s">
        <v>84</v>
      </c>
      <c r="I600" s="80" t="s">
        <v>84</v>
      </c>
      <c r="J600" s="80" t="s">
        <v>84</v>
      </c>
      <c r="K600" s="80" t="s">
        <v>84</v>
      </c>
      <c r="L600" s="80" t="s">
        <v>84</v>
      </c>
      <c r="M600" s="80" t="s">
        <v>84</v>
      </c>
      <c r="N600" s="80" t="s">
        <v>84</v>
      </c>
      <c r="O600" s="80" t="s">
        <v>84</v>
      </c>
      <c r="P600" s="80"/>
      <c r="Q600" s="80" t="s">
        <v>84</v>
      </c>
      <c r="R600" s="80" t="s">
        <v>84</v>
      </c>
    </row>
    <row r="601" spans="1:18" ht="20" x14ac:dyDescent="0.2">
      <c r="A601" s="80" t="s">
        <v>5042</v>
      </c>
      <c r="B601" s="80" t="s">
        <v>5043</v>
      </c>
      <c r="C601" s="80" t="s">
        <v>9680</v>
      </c>
      <c r="D601" s="80" t="s">
        <v>84</v>
      </c>
      <c r="E601" s="80" t="s">
        <v>84</v>
      </c>
      <c r="F601" s="80"/>
      <c r="G601" s="80" t="s">
        <v>84</v>
      </c>
      <c r="H601" s="80" t="s">
        <v>84</v>
      </c>
      <c r="I601" s="80" t="s">
        <v>84</v>
      </c>
      <c r="J601" s="80" t="s">
        <v>84</v>
      </c>
      <c r="K601" s="80" t="s">
        <v>84</v>
      </c>
      <c r="L601" s="80" t="s">
        <v>84</v>
      </c>
      <c r="M601" s="80" t="s">
        <v>84</v>
      </c>
      <c r="N601" s="80" t="s">
        <v>84</v>
      </c>
      <c r="O601" s="80" t="s">
        <v>84</v>
      </c>
      <c r="P601" s="80"/>
      <c r="Q601" s="80" t="s">
        <v>84</v>
      </c>
      <c r="R601" s="80" t="s">
        <v>84</v>
      </c>
    </row>
    <row r="602" spans="1:18" ht="20" x14ac:dyDescent="0.2">
      <c r="A602" s="80" t="s">
        <v>5044</v>
      </c>
      <c r="B602" s="80" t="s">
        <v>5045</v>
      </c>
      <c r="C602" s="80" t="s">
        <v>9680</v>
      </c>
      <c r="D602" s="80" t="s">
        <v>84</v>
      </c>
      <c r="E602" s="80" t="s">
        <v>84</v>
      </c>
      <c r="F602" s="80"/>
      <c r="G602" s="80" t="s">
        <v>84</v>
      </c>
      <c r="H602" s="80" t="s">
        <v>84</v>
      </c>
      <c r="I602" s="80" t="s">
        <v>84</v>
      </c>
      <c r="J602" s="80" t="s">
        <v>84</v>
      </c>
      <c r="K602" s="80" t="s">
        <v>84</v>
      </c>
      <c r="L602" s="80" t="s">
        <v>84</v>
      </c>
      <c r="M602" s="80" t="s">
        <v>84</v>
      </c>
      <c r="N602" s="80" t="s">
        <v>84</v>
      </c>
      <c r="O602" s="80" t="s">
        <v>84</v>
      </c>
      <c r="P602" s="80"/>
      <c r="Q602" s="80" t="s">
        <v>84</v>
      </c>
      <c r="R602" s="80" t="s">
        <v>84</v>
      </c>
    </row>
    <row r="603" spans="1:18" ht="20" x14ac:dyDescent="0.2">
      <c r="A603" s="80" t="s">
        <v>5088</v>
      </c>
      <c r="B603" s="80" t="s">
        <v>5089</v>
      </c>
      <c r="C603" s="80" t="s">
        <v>84</v>
      </c>
      <c r="D603" s="80" t="s">
        <v>84</v>
      </c>
      <c r="E603" s="80" t="s">
        <v>84</v>
      </c>
      <c r="F603" s="80"/>
      <c r="G603" s="80" t="s">
        <v>84</v>
      </c>
      <c r="H603" s="80" t="s">
        <v>84</v>
      </c>
      <c r="I603" s="80" t="s">
        <v>84</v>
      </c>
      <c r="J603" s="80" t="s">
        <v>84</v>
      </c>
      <c r="K603" s="80" t="s">
        <v>84</v>
      </c>
      <c r="L603" s="80" t="s">
        <v>84</v>
      </c>
      <c r="M603" s="80" t="s">
        <v>84</v>
      </c>
      <c r="N603" s="80" t="s">
        <v>84</v>
      </c>
      <c r="O603" s="80" t="s">
        <v>84</v>
      </c>
      <c r="P603" s="80"/>
      <c r="Q603" s="80" t="s">
        <v>84</v>
      </c>
      <c r="R603" s="80" t="s">
        <v>84</v>
      </c>
    </row>
    <row r="604" spans="1:18" ht="20" x14ac:dyDescent="0.2">
      <c r="A604" s="80" t="s">
        <v>5090</v>
      </c>
      <c r="B604" s="80" t="s">
        <v>5091</v>
      </c>
      <c r="C604" s="80" t="s">
        <v>84</v>
      </c>
      <c r="D604" s="80" t="s">
        <v>84</v>
      </c>
      <c r="E604" s="80" t="s">
        <v>84</v>
      </c>
      <c r="F604" s="80"/>
      <c r="G604" s="80" t="s">
        <v>84</v>
      </c>
      <c r="H604" s="80" t="s">
        <v>84</v>
      </c>
      <c r="I604" s="80" t="s">
        <v>84</v>
      </c>
      <c r="J604" s="80" t="s">
        <v>84</v>
      </c>
      <c r="K604" s="80" t="s">
        <v>84</v>
      </c>
      <c r="L604" s="80" t="s">
        <v>84</v>
      </c>
      <c r="M604" s="80" t="s">
        <v>84</v>
      </c>
      <c r="N604" s="80" t="s">
        <v>84</v>
      </c>
      <c r="O604" s="80" t="s">
        <v>84</v>
      </c>
      <c r="P604" s="80"/>
      <c r="Q604" s="80" t="s">
        <v>84</v>
      </c>
      <c r="R604" s="80" t="s">
        <v>84</v>
      </c>
    </row>
    <row r="605" spans="1:18" ht="20" x14ac:dyDescent="0.2">
      <c r="A605" s="80" t="s">
        <v>5092</v>
      </c>
      <c r="B605" s="80" t="s">
        <v>5093</v>
      </c>
      <c r="C605" s="80" t="s">
        <v>84</v>
      </c>
      <c r="D605" s="80" t="s">
        <v>84</v>
      </c>
      <c r="E605" s="80" t="s">
        <v>84</v>
      </c>
      <c r="F605" s="80"/>
      <c r="G605" s="80" t="s">
        <v>84</v>
      </c>
      <c r="H605" s="80" t="s">
        <v>84</v>
      </c>
      <c r="I605" s="80" t="s">
        <v>84</v>
      </c>
      <c r="J605" s="80" t="s">
        <v>84</v>
      </c>
      <c r="K605" s="80" t="s">
        <v>84</v>
      </c>
      <c r="L605" s="80" t="s">
        <v>84</v>
      </c>
      <c r="M605" s="80" t="s">
        <v>84</v>
      </c>
      <c r="N605" s="80" t="s">
        <v>84</v>
      </c>
      <c r="O605" s="80" t="s">
        <v>84</v>
      </c>
      <c r="P605" s="80"/>
      <c r="Q605" s="80" t="s">
        <v>84</v>
      </c>
      <c r="R605" s="80" t="s">
        <v>84</v>
      </c>
    </row>
    <row r="606" spans="1:18" ht="20" x14ac:dyDescent="0.2">
      <c r="A606" s="80" t="s">
        <v>5094</v>
      </c>
      <c r="B606" s="80" t="s">
        <v>5095</v>
      </c>
      <c r="C606" s="80" t="s">
        <v>84</v>
      </c>
      <c r="D606" s="80" t="s">
        <v>84</v>
      </c>
      <c r="E606" s="80" t="s">
        <v>84</v>
      </c>
      <c r="F606" s="80"/>
      <c r="G606" s="80" t="s">
        <v>84</v>
      </c>
      <c r="H606" s="80" t="s">
        <v>84</v>
      </c>
      <c r="I606" s="80" t="s">
        <v>84</v>
      </c>
      <c r="J606" s="80" t="s">
        <v>84</v>
      </c>
      <c r="K606" s="80" t="s">
        <v>84</v>
      </c>
      <c r="L606" s="80" t="s">
        <v>84</v>
      </c>
      <c r="M606" s="80" t="s">
        <v>84</v>
      </c>
      <c r="N606" s="80" t="s">
        <v>84</v>
      </c>
      <c r="O606" s="80" t="s">
        <v>84</v>
      </c>
      <c r="P606" s="80"/>
      <c r="Q606" s="80" t="s">
        <v>84</v>
      </c>
      <c r="R606" s="80" t="s">
        <v>84</v>
      </c>
    </row>
    <row r="607" spans="1:18" ht="20" x14ac:dyDescent="0.2">
      <c r="A607" s="80" t="s">
        <v>5096</v>
      </c>
      <c r="B607" s="80" t="s">
        <v>5097</v>
      </c>
      <c r="C607" s="80" t="s">
        <v>84</v>
      </c>
      <c r="D607" s="80" t="s">
        <v>84</v>
      </c>
      <c r="E607" s="80" t="s">
        <v>84</v>
      </c>
      <c r="F607" s="80"/>
      <c r="G607" s="80" t="s">
        <v>84</v>
      </c>
      <c r="H607" s="80" t="s">
        <v>84</v>
      </c>
      <c r="I607" s="80" t="s">
        <v>84</v>
      </c>
      <c r="J607" s="80" t="s">
        <v>84</v>
      </c>
      <c r="K607" s="80" t="s">
        <v>84</v>
      </c>
      <c r="L607" s="80" t="s">
        <v>84</v>
      </c>
      <c r="M607" s="80" t="s">
        <v>84</v>
      </c>
      <c r="N607" s="80" t="s">
        <v>84</v>
      </c>
      <c r="O607" s="80" t="s">
        <v>84</v>
      </c>
      <c r="P607" s="80"/>
      <c r="Q607" s="80" t="s">
        <v>84</v>
      </c>
      <c r="R607" s="80" t="s">
        <v>84</v>
      </c>
    </row>
    <row r="608" spans="1:18" ht="20" x14ac:dyDescent="0.2">
      <c r="A608" s="80" t="s">
        <v>5118</v>
      </c>
      <c r="B608" s="80" t="s">
        <v>5119</v>
      </c>
      <c r="C608" s="80" t="s">
        <v>84</v>
      </c>
      <c r="D608" s="80" t="s">
        <v>84</v>
      </c>
      <c r="E608" s="80" t="s">
        <v>84</v>
      </c>
      <c r="F608" s="80"/>
      <c r="G608" s="80" t="s">
        <v>84</v>
      </c>
      <c r="H608" s="80" t="s">
        <v>84</v>
      </c>
      <c r="I608" s="80" t="s">
        <v>84</v>
      </c>
      <c r="J608" s="80" t="s">
        <v>84</v>
      </c>
      <c r="K608" s="80" t="s">
        <v>84</v>
      </c>
      <c r="L608" s="80" t="s">
        <v>84</v>
      </c>
      <c r="M608" s="80" t="s">
        <v>84</v>
      </c>
      <c r="N608" s="80" t="s">
        <v>84</v>
      </c>
      <c r="O608" s="80" t="s">
        <v>84</v>
      </c>
      <c r="P608" s="80"/>
      <c r="Q608" s="80" t="s">
        <v>84</v>
      </c>
      <c r="R608" s="80" t="s">
        <v>84</v>
      </c>
    </row>
    <row r="609" spans="1:18" ht="20" x14ac:dyDescent="0.2">
      <c r="A609" s="80" t="s">
        <v>5120</v>
      </c>
      <c r="B609" s="80" t="s">
        <v>5121</v>
      </c>
      <c r="C609" s="80" t="s">
        <v>9680</v>
      </c>
      <c r="D609" s="80" t="s">
        <v>84</v>
      </c>
      <c r="E609" s="80" t="s">
        <v>84</v>
      </c>
      <c r="F609" s="80"/>
      <c r="G609" s="80" t="s">
        <v>84</v>
      </c>
      <c r="H609" s="80" t="s">
        <v>84</v>
      </c>
      <c r="I609" s="80" t="s">
        <v>84</v>
      </c>
      <c r="J609" s="80" t="s">
        <v>84</v>
      </c>
      <c r="K609" s="80" t="s">
        <v>84</v>
      </c>
      <c r="L609" s="80" t="s">
        <v>84</v>
      </c>
      <c r="M609" s="80" t="s">
        <v>84</v>
      </c>
      <c r="N609" s="80" t="s">
        <v>84</v>
      </c>
      <c r="O609" s="80" t="s">
        <v>84</v>
      </c>
      <c r="P609" s="80"/>
      <c r="Q609" s="80" t="s">
        <v>84</v>
      </c>
      <c r="R609" s="80" t="s">
        <v>84</v>
      </c>
    </row>
    <row r="610" spans="1:18" ht="20" x14ac:dyDescent="0.2">
      <c r="A610" s="80" t="s">
        <v>5122</v>
      </c>
      <c r="B610" s="80" t="s">
        <v>5123</v>
      </c>
      <c r="C610" s="80" t="s">
        <v>84</v>
      </c>
      <c r="D610" s="80" t="s">
        <v>84</v>
      </c>
      <c r="E610" s="80" t="s">
        <v>84</v>
      </c>
      <c r="F610" s="80"/>
      <c r="G610" s="80" t="s">
        <v>84</v>
      </c>
      <c r="H610" s="80" t="s">
        <v>84</v>
      </c>
      <c r="I610" s="80" t="s">
        <v>84</v>
      </c>
      <c r="J610" s="80" t="s">
        <v>84</v>
      </c>
      <c r="K610" s="80" t="s">
        <v>84</v>
      </c>
      <c r="L610" s="80" t="s">
        <v>84</v>
      </c>
      <c r="M610" s="80" t="s">
        <v>84</v>
      </c>
      <c r="N610" s="80" t="s">
        <v>84</v>
      </c>
      <c r="O610" s="80" t="s">
        <v>84</v>
      </c>
      <c r="P610" s="80"/>
      <c r="Q610" s="80" t="s">
        <v>84</v>
      </c>
      <c r="R610" s="80" t="s">
        <v>84</v>
      </c>
    </row>
    <row r="611" spans="1:18" ht="20" x14ac:dyDescent="0.2">
      <c r="A611" s="80" t="s">
        <v>5124</v>
      </c>
      <c r="B611" s="80" t="s">
        <v>5125</v>
      </c>
      <c r="C611" s="80" t="s">
        <v>9680</v>
      </c>
      <c r="D611" s="80" t="s">
        <v>84</v>
      </c>
      <c r="E611" s="80" t="s">
        <v>84</v>
      </c>
      <c r="F611" s="80"/>
      <c r="G611" s="80" t="s">
        <v>84</v>
      </c>
      <c r="H611" s="80" t="s">
        <v>84</v>
      </c>
      <c r="I611" s="80" t="s">
        <v>84</v>
      </c>
      <c r="J611" s="80" t="s">
        <v>84</v>
      </c>
      <c r="K611" s="80" t="s">
        <v>84</v>
      </c>
      <c r="L611" s="80" t="s">
        <v>84</v>
      </c>
      <c r="M611" s="80" t="s">
        <v>84</v>
      </c>
      <c r="N611" s="80" t="s">
        <v>84</v>
      </c>
      <c r="O611" s="80" t="s">
        <v>84</v>
      </c>
      <c r="P611" s="80"/>
      <c r="Q611" s="80" t="s">
        <v>84</v>
      </c>
      <c r="R611" s="80" t="s">
        <v>84</v>
      </c>
    </row>
    <row r="612" spans="1:18" ht="20" x14ac:dyDescent="0.2">
      <c r="A612" s="80" t="s">
        <v>5126</v>
      </c>
      <c r="B612" s="80" t="s">
        <v>5127</v>
      </c>
      <c r="C612" s="80" t="s">
        <v>9680</v>
      </c>
      <c r="D612" s="80" t="s">
        <v>84</v>
      </c>
      <c r="E612" s="80" t="s">
        <v>84</v>
      </c>
      <c r="F612" s="80"/>
      <c r="G612" s="80" t="s">
        <v>84</v>
      </c>
      <c r="H612" s="80" t="s">
        <v>84</v>
      </c>
      <c r="I612" s="80" t="s">
        <v>84</v>
      </c>
      <c r="J612" s="80" t="s">
        <v>84</v>
      </c>
      <c r="K612" s="80" t="s">
        <v>84</v>
      </c>
      <c r="L612" s="80" t="s">
        <v>84</v>
      </c>
      <c r="M612" s="80" t="s">
        <v>84</v>
      </c>
      <c r="N612" s="80" t="s">
        <v>84</v>
      </c>
      <c r="O612" s="80" t="s">
        <v>84</v>
      </c>
      <c r="P612" s="80"/>
      <c r="Q612" s="80" t="s">
        <v>84</v>
      </c>
      <c r="R612" s="80" t="s">
        <v>84</v>
      </c>
    </row>
    <row r="613" spans="1:18" ht="20" x14ac:dyDescent="0.2">
      <c r="A613" s="80" t="s">
        <v>4992</v>
      </c>
      <c r="B613" s="80" t="s">
        <v>9924</v>
      </c>
      <c r="C613" s="80" t="s">
        <v>84</v>
      </c>
      <c r="D613" s="80" t="s">
        <v>84</v>
      </c>
      <c r="E613" s="80" t="s">
        <v>84</v>
      </c>
      <c r="F613" s="80"/>
      <c r="G613" s="80" t="s">
        <v>84</v>
      </c>
      <c r="H613" s="80" t="s">
        <v>84</v>
      </c>
      <c r="I613" s="80" t="s">
        <v>84</v>
      </c>
      <c r="J613" s="80" t="s">
        <v>84</v>
      </c>
      <c r="K613" s="80" t="s">
        <v>84</v>
      </c>
      <c r="L613" s="80" t="s">
        <v>84</v>
      </c>
      <c r="M613" s="80" t="s">
        <v>84</v>
      </c>
      <c r="N613" s="80" t="s">
        <v>84</v>
      </c>
      <c r="O613" s="80" t="s">
        <v>84</v>
      </c>
      <c r="P613" s="80"/>
      <c r="Q613" s="80" t="s">
        <v>84</v>
      </c>
      <c r="R613" s="80" t="s">
        <v>84</v>
      </c>
    </row>
    <row r="614" spans="1:18" ht="20" x14ac:dyDescent="0.2">
      <c r="A614" s="80" t="s">
        <v>4992</v>
      </c>
      <c r="B614" s="80" t="s">
        <v>4993</v>
      </c>
      <c r="C614" s="80" t="s">
        <v>84</v>
      </c>
      <c r="D614" s="80" t="s">
        <v>84</v>
      </c>
      <c r="E614" s="80" t="s">
        <v>84</v>
      </c>
      <c r="F614" s="80"/>
      <c r="G614" s="80" t="s">
        <v>84</v>
      </c>
      <c r="H614" s="80" t="s">
        <v>84</v>
      </c>
      <c r="I614" s="80" t="s">
        <v>84</v>
      </c>
      <c r="J614" s="80" t="s">
        <v>84</v>
      </c>
      <c r="K614" s="80" t="s">
        <v>84</v>
      </c>
      <c r="L614" s="80" t="s">
        <v>84</v>
      </c>
      <c r="M614" s="80" t="s">
        <v>84</v>
      </c>
      <c r="N614" s="80" t="s">
        <v>84</v>
      </c>
      <c r="O614" s="80" t="s">
        <v>84</v>
      </c>
      <c r="P614" s="80"/>
      <c r="Q614" s="80" t="s">
        <v>84</v>
      </c>
      <c r="R614" s="80" t="s">
        <v>84</v>
      </c>
    </row>
    <row r="615" spans="1:18" ht="20" x14ac:dyDescent="0.2">
      <c r="A615" s="80" t="s">
        <v>5083</v>
      </c>
      <c r="B615" s="80" t="s">
        <v>9925</v>
      </c>
      <c r="C615" s="80" t="s">
        <v>84</v>
      </c>
      <c r="D615" s="80" t="s">
        <v>84</v>
      </c>
      <c r="E615" s="80" t="s">
        <v>84</v>
      </c>
      <c r="F615" s="80"/>
      <c r="G615" s="80" t="s">
        <v>84</v>
      </c>
      <c r="H615" s="80" t="s">
        <v>84</v>
      </c>
      <c r="I615" s="80" t="s">
        <v>84</v>
      </c>
      <c r="J615" s="80" t="s">
        <v>84</v>
      </c>
      <c r="K615" s="80" t="s">
        <v>84</v>
      </c>
      <c r="L615" s="80" t="s">
        <v>84</v>
      </c>
      <c r="M615" s="80" t="s">
        <v>84</v>
      </c>
      <c r="N615" s="80" t="s">
        <v>84</v>
      </c>
      <c r="O615" s="80" t="s">
        <v>84</v>
      </c>
      <c r="P615" s="80"/>
      <c r="Q615" s="80" t="s">
        <v>84</v>
      </c>
      <c r="R615" s="80" t="s">
        <v>84</v>
      </c>
    </row>
    <row r="616" spans="1:18" ht="20" x14ac:dyDescent="0.2">
      <c r="A616" s="80" t="s">
        <v>5083</v>
      </c>
      <c r="B616" s="80" t="s">
        <v>5084</v>
      </c>
      <c r="C616" s="80" t="s">
        <v>84</v>
      </c>
      <c r="D616" s="80" t="s">
        <v>84</v>
      </c>
      <c r="E616" s="80" t="s">
        <v>84</v>
      </c>
      <c r="F616" s="80"/>
      <c r="G616" s="80" t="s">
        <v>84</v>
      </c>
      <c r="H616" s="80" t="s">
        <v>84</v>
      </c>
      <c r="I616" s="80" t="s">
        <v>84</v>
      </c>
      <c r="J616" s="80" t="s">
        <v>84</v>
      </c>
      <c r="K616" s="80" t="s">
        <v>84</v>
      </c>
      <c r="L616" s="80" t="s">
        <v>84</v>
      </c>
      <c r="M616" s="80" t="s">
        <v>84</v>
      </c>
      <c r="N616" s="80" t="s">
        <v>84</v>
      </c>
      <c r="O616" s="80" t="s">
        <v>84</v>
      </c>
      <c r="P616" s="80"/>
      <c r="Q616" s="80" t="s">
        <v>84</v>
      </c>
      <c r="R616" s="80" t="s">
        <v>84</v>
      </c>
    </row>
    <row r="617" spans="1:18" ht="20" x14ac:dyDescent="0.2">
      <c r="A617" s="80" t="s">
        <v>5069</v>
      </c>
      <c r="B617" s="80" t="s">
        <v>5070</v>
      </c>
      <c r="C617" s="80" t="s">
        <v>84</v>
      </c>
      <c r="D617" s="80" t="s">
        <v>84</v>
      </c>
      <c r="E617" s="80" t="s">
        <v>84</v>
      </c>
      <c r="F617" s="80"/>
      <c r="G617" s="80" t="s">
        <v>84</v>
      </c>
      <c r="H617" s="80" t="s">
        <v>84</v>
      </c>
      <c r="I617" s="80" t="s">
        <v>84</v>
      </c>
      <c r="J617" s="80" t="s">
        <v>84</v>
      </c>
      <c r="K617" s="80" t="s">
        <v>84</v>
      </c>
      <c r="L617" s="80" t="s">
        <v>84</v>
      </c>
      <c r="M617" s="80" t="s">
        <v>84</v>
      </c>
      <c r="N617" s="80" t="s">
        <v>84</v>
      </c>
      <c r="O617" s="80" t="s">
        <v>84</v>
      </c>
      <c r="P617" s="80"/>
      <c r="Q617" s="80" t="s">
        <v>84</v>
      </c>
      <c r="R617" s="80" t="s">
        <v>84</v>
      </c>
    </row>
    <row r="618" spans="1:18" x14ac:dyDescent="0.2">
      <c r="A618" s="80" t="s">
        <v>5069</v>
      </c>
      <c r="B618" s="80" t="s">
        <v>9926</v>
      </c>
      <c r="C618" s="80" t="s">
        <v>84</v>
      </c>
      <c r="D618" s="80" t="s">
        <v>84</v>
      </c>
      <c r="E618" s="80" t="s">
        <v>84</v>
      </c>
      <c r="F618" s="80"/>
      <c r="G618" s="80" t="s">
        <v>84</v>
      </c>
      <c r="H618" s="80" t="s">
        <v>84</v>
      </c>
      <c r="I618" s="80" t="s">
        <v>84</v>
      </c>
      <c r="J618" s="80" t="s">
        <v>84</v>
      </c>
      <c r="K618" s="80" t="s">
        <v>84</v>
      </c>
      <c r="L618" s="80" t="s">
        <v>84</v>
      </c>
      <c r="M618" s="80" t="s">
        <v>84</v>
      </c>
      <c r="N618" s="80" t="s">
        <v>84</v>
      </c>
      <c r="O618" s="80" t="s">
        <v>84</v>
      </c>
      <c r="P618" s="80"/>
      <c r="Q618" s="80" t="s">
        <v>84</v>
      </c>
      <c r="R618" s="80" t="s">
        <v>84</v>
      </c>
    </row>
    <row r="619" spans="1:18" ht="20" x14ac:dyDescent="0.2">
      <c r="A619" s="80" t="s">
        <v>4997</v>
      </c>
      <c r="B619" s="80" t="s">
        <v>4998</v>
      </c>
      <c r="C619" s="80" t="s">
        <v>84</v>
      </c>
      <c r="D619" s="80" t="s">
        <v>84</v>
      </c>
      <c r="E619" s="80" t="s">
        <v>84</v>
      </c>
      <c r="F619" s="80"/>
      <c r="G619" s="80" t="s">
        <v>84</v>
      </c>
      <c r="H619" s="80" t="s">
        <v>84</v>
      </c>
      <c r="I619" s="80" t="s">
        <v>84</v>
      </c>
      <c r="J619" s="80" t="s">
        <v>84</v>
      </c>
      <c r="K619" s="80" t="s">
        <v>84</v>
      </c>
      <c r="L619" s="80" t="s">
        <v>84</v>
      </c>
      <c r="M619" s="80" t="s">
        <v>84</v>
      </c>
      <c r="N619" s="80" t="s">
        <v>84</v>
      </c>
      <c r="O619" s="80" t="s">
        <v>84</v>
      </c>
      <c r="P619" s="80"/>
      <c r="Q619" s="80" t="s">
        <v>84</v>
      </c>
      <c r="R619" s="80" t="s">
        <v>84</v>
      </c>
    </row>
    <row r="620" spans="1:18" ht="20" x14ac:dyDescent="0.2">
      <c r="A620" s="80" t="s">
        <v>9927</v>
      </c>
      <c r="B620" s="80" t="s">
        <v>9928</v>
      </c>
      <c r="C620" s="80" t="s">
        <v>9680</v>
      </c>
      <c r="D620" s="80" t="s">
        <v>84</v>
      </c>
      <c r="E620" s="80" t="s">
        <v>84</v>
      </c>
      <c r="F620" s="80"/>
      <c r="G620" s="80" t="s">
        <v>84</v>
      </c>
      <c r="H620" s="80" t="s">
        <v>84</v>
      </c>
      <c r="I620" s="80" t="s">
        <v>84</v>
      </c>
      <c r="J620" s="80" t="s">
        <v>84</v>
      </c>
      <c r="K620" s="80" t="s">
        <v>84</v>
      </c>
      <c r="L620" s="80" t="s">
        <v>84</v>
      </c>
      <c r="M620" s="80" t="s">
        <v>84</v>
      </c>
      <c r="N620" s="80" t="s">
        <v>84</v>
      </c>
      <c r="O620" s="80" t="s">
        <v>84</v>
      </c>
      <c r="P620" s="80"/>
      <c r="Q620" s="80" t="s">
        <v>84</v>
      </c>
      <c r="R620" s="80" t="s">
        <v>84</v>
      </c>
    </row>
    <row r="621" spans="1:18" ht="20" x14ac:dyDescent="0.2">
      <c r="A621" s="80" t="s">
        <v>5132</v>
      </c>
      <c r="B621" s="80" t="s">
        <v>5133</v>
      </c>
      <c r="C621" s="80" t="s">
        <v>84</v>
      </c>
      <c r="D621" s="80" t="s">
        <v>84</v>
      </c>
      <c r="E621" s="80" t="s">
        <v>84</v>
      </c>
      <c r="F621" s="80"/>
      <c r="G621" s="80" t="s">
        <v>84</v>
      </c>
      <c r="H621" s="80" t="s">
        <v>84</v>
      </c>
      <c r="I621" s="80" t="s">
        <v>84</v>
      </c>
      <c r="J621" s="80" t="s">
        <v>84</v>
      </c>
      <c r="K621" s="80" t="s">
        <v>84</v>
      </c>
      <c r="L621" s="80" t="s">
        <v>84</v>
      </c>
      <c r="M621" s="80" t="s">
        <v>84</v>
      </c>
      <c r="N621" s="80" t="s">
        <v>84</v>
      </c>
      <c r="O621" s="80" t="s">
        <v>84</v>
      </c>
      <c r="P621" s="80"/>
      <c r="Q621" s="80" t="s">
        <v>84</v>
      </c>
      <c r="R621" s="80" t="s">
        <v>84</v>
      </c>
    </row>
    <row r="622" spans="1:18" ht="20" x14ac:dyDescent="0.2">
      <c r="A622" s="80" t="s">
        <v>5065</v>
      </c>
      <c r="B622" s="80" t="s">
        <v>5066</v>
      </c>
      <c r="C622" s="80" t="s">
        <v>84</v>
      </c>
      <c r="D622" s="80" t="s">
        <v>84</v>
      </c>
      <c r="E622" s="80" t="s">
        <v>84</v>
      </c>
      <c r="F622" s="80"/>
      <c r="G622" s="80" t="s">
        <v>84</v>
      </c>
      <c r="H622" s="80" t="s">
        <v>84</v>
      </c>
      <c r="I622" s="80" t="s">
        <v>84</v>
      </c>
      <c r="J622" s="80" t="s">
        <v>84</v>
      </c>
      <c r="K622" s="80" t="s">
        <v>84</v>
      </c>
      <c r="L622" s="80" t="s">
        <v>84</v>
      </c>
      <c r="M622" s="80" t="s">
        <v>84</v>
      </c>
      <c r="N622" s="80" t="s">
        <v>84</v>
      </c>
      <c r="O622" s="80" t="s">
        <v>84</v>
      </c>
      <c r="P622" s="80"/>
      <c r="Q622" s="80" t="s">
        <v>84</v>
      </c>
      <c r="R622" s="80" t="s">
        <v>84</v>
      </c>
    </row>
    <row r="623" spans="1:18" ht="20" x14ac:dyDescent="0.2">
      <c r="A623" s="80" t="s">
        <v>5067</v>
      </c>
      <c r="B623" s="80" t="s">
        <v>5068</v>
      </c>
      <c r="C623" s="80" t="s">
        <v>84</v>
      </c>
      <c r="D623" s="80" t="s">
        <v>84</v>
      </c>
      <c r="E623" s="80" t="s">
        <v>84</v>
      </c>
      <c r="F623" s="80"/>
      <c r="G623" s="80" t="s">
        <v>84</v>
      </c>
      <c r="H623" s="80" t="s">
        <v>84</v>
      </c>
      <c r="I623" s="80" t="s">
        <v>84</v>
      </c>
      <c r="J623" s="80" t="s">
        <v>84</v>
      </c>
      <c r="K623" s="80" t="s">
        <v>84</v>
      </c>
      <c r="L623" s="80" t="s">
        <v>84</v>
      </c>
      <c r="M623" s="80" t="s">
        <v>84</v>
      </c>
      <c r="N623" s="80" t="s">
        <v>84</v>
      </c>
      <c r="O623" s="80" t="s">
        <v>84</v>
      </c>
      <c r="P623" s="80"/>
      <c r="Q623" s="80" t="s">
        <v>84</v>
      </c>
      <c r="R623" s="80" t="s">
        <v>84</v>
      </c>
    </row>
    <row r="624" spans="1:18" ht="20" x14ac:dyDescent="0.2">
      <c r="A624" s="80" t="s">
        <v>5136</v>
      </c>
      <c r="B624" s="80" t="s">
        <v>5137</v>
      </c>
      <c r="C624" s="80" t="s">
        <v>84</v>
      </c>
      <c r="D624" s="80" t="s">
        <v>84</v>
      </c>
      <c r="E624" s="80" t="s">
        <v>84</v>
      </c>
      <c r="F624" s="80"/>
      <c r="G624" s="80" t="s">
        <v>84</v>
      </c>
      <c r="H624" s="80" t="s">
        <v>84</v>
      </c>
      <c r="I624" s="80" t="s">
        <v>84</v>
      </c>
      <c r="J624" s="80" t="s">
        <v>84</v>
      </c>
      <c r="K624" s="80" t="s">
        <v>84</v>
      </c>
      <c r="L624" s="80" t="s">
        <v>84</v>
      </c>
      <c r="M624" s="80" t="s">
        <v>84</v>
      </c>
      <c r="N624" s="80" t="s">
        <v>84</v>
      </c>
      <c r="O624" s="80" t="s">
        <v>84</v>
      </c>
      <c r="P624" s="80"/>
      <c r="Q624" s="80" t="s">
        <v>84</v>
      </c>
      <c r="R624" s="80" t="s">
        <v>84</v>
      </c>
    </row>
    <row r="625" spans="1:18" ht="20" x14ac:dyDescent="0.2">
      <c r="A625" s="80" t="s">
        <v>5138</v>
      </c>
      <c r="B625" s="80" t="s">
        <v>5139</v>
      </c>
      <c r="C625" s="80" t="s">
        <v>9680</v>
      </c>
      <c r="D625" s="80" t="s">
        <v>84</v>
      </c>
      <c r="E625" s="80" t="s">
        <v>84</v>
      </c>
      <c r="F625" s="80"/>
      <c r="G625" s="80" t="s">
        <v>84</v>
      </c>
      <c r="H625" s="80" t="s">
        <v>84</v>
      </c>
      <c r="I625" s="80" t="s">
        <v>84</v>
      </c>
      <c r="J625" s="80" t="s">
        <v>84</v>
      </c>
      <c r="K625" s="80" t="s">
        <v>84</v>
      </c>
      <c r="L625" s="80" t="s">
        <v>84</v>
      </c>
      <c r="M625" s="80" t="s">
        <v>84</v>
      </c>
      <c r="N625" s="80" t="s">
        <v>84</v>
      </c>
      <c r="O625" s="80" t="s">
        <v>84</v>
      </c>
      <c r="P625" s="80"/>
      <c r="Q625" s="80" t="s">
        <v>84</v>
      </c>
      <c r="R625" s="80" t="s">
        <v>84</v>
      </c>
    </row>
    <row r="626" spans="1:18" ht="20" x14ac:dyDescent="0.2">
      <c r="A626" s="80" t="s">
        <v>5140</v>
      </c>
      <c r="B626" s="80" t="s">
        <v>9929</v>
      </c>
      <c r="C626" s="80" t="s">
        <v>9680</v>
      </c>
      <c r="D626" s="80" t="s">
        <v>9680</v>
      </c>
      <c r="E626" s="80" t="s">
        <v>84</v>
      </c>
      <c r="F626" s="80"/>
      <c r="G626" s="80" t="s">
        <v>9680</v>
      </c>
      <c r="H626" s="80" t="s">
        <v>84</v>
      </c>
      <c r="I626" s="80" t="s">
        <v>9680</v>
      </c>
      <c r="J626" s="80" t="s">
        <v>9680</v>
      </c>
      <c r="K626" s="80" t="s">
        <v>9680</v>
      </c>
      <c r="L626" s="80" t="s">
        <v>9680</v>
      </c>
      <c r="M626" s="80" t="s">
        <v>9680</v>
      </c>
      <c r="N626" s="80" t="s">
        <v>84</v>
      </c>
      <c r="O626" s="80" t="s">
        <v>9680</v>
      </c>
      <c r="P626" s="80"/>
      <c r="Q626" s="80" t="s">
        <v>9680</v>
      </c>
      <c r="R626" s="80" t="s">
        <v>9680</v>
      </c>
    </row>
    <row r="627" spans="1:18" ht="20" x14ac:dyDescent="0.2">
      <c r="A627" s="80" t="s">
        <v>5140</v>
      </c>
      <c r="B627" s="80" t="s">
        <v>5141</v>
      </c>
      <c r="C627" s="80" t="s">
        <v>9680</v>
      </c>
      <c r="D627" s="80" t="s">
        <v>9680</v>
      </c>
      <c r="E627" s="80" t="s">
        <v>84</v>
      </c>
      <c r="F627" s="80"/>
      <c r="G627" s="80" t="s">
        <v>9680</v>
      </c>
      <c r="H627" s="80" t="s">
        <v>84</v>
      </c>
      <c r="I627" s="80" t="s">
        <v>9680</v>
      </c>
      <c r="J627" s="80" t="s">
        <v>9680</v>
      </c>
      <c r="K627" s="80" t="s">
        <v>9680</v>
      </c>
      <c r="L627" s="80" t="s">
        <v>9680</v>
      </c>
      <c r="M627" s="80" t="s">
        <v>9680</v>
      </c>
      <c r="N627" s="80" t="s">
        <v>84</v>
      </c>
      <c r="O627" s="80" t="s">
        <v>9680</v>
      </c>
      <c r="P627" s="80"/>
      <c r="Q627" s="80" t="s">
        <v>9680</v>
      </c>
      <c r="R627" s="80" t="s">
        <v>9680</v>
      </c>
    </row>
    <row r="628" spans="1:18" ht="20" x14ac:dyDescent="0.2">
      <c r="A628" s="80" t="s">
        <v>5142</v>
      </c>
      <c r="B628" s="80" t="s">
        <v>5143</v>
      </c>
      <c r="C628" s="80" t="s">
        <v>84</v>
      </c>
      <c r="D628" s="80" t="s">
        <v>84</v>
      </c>
      <c r="E628" s="80" t="s">
        <v>84</v>
      </c>
      <c r="F628" s="80"/>
      <c r="G628" s="80" t="s">
        <v>84</v>
      </c>
      <c r="H628" s="80" t="s">
        <v>84</v>
      </c>
      <c r="I628" s="80" t="s">
        <v>84</v>
      </c>
      <c r="J628" s="80" t="s">
        <v>84</v>
      </c>
      <c r="K628" s="80" t="s">
        <v>84</v>
      </c>
      <c r="L628" s="80" t="s">
        <v>84</v>
      </c>
      <c r="M628" s="80" t="s">
        <v>84</v>
      </c>
      <c r="N628" s="80" t="s">
        <v>84</v>
      </c>
      <c r="O628" s="80" t="s">
        <v>84</v>
      </c>
      <c r="P628" s="80"/>
      <c r="Q628" s="80" t="s">
        <v>84</v>
      </c>
      <c r="R628" s="80" t="s">
        <v>84</v>
      </c>
    </row>
    <row r="629" spans="1:18" ht="20" x14ac:dyDescent="0.2">
      <c r="A629" s="80" t="s">
        <v>5142</v>
      </c>
      <c r="B629" s="80" t="s">
        <v>9930</v>
      </c>
      <c r="C629" s="80" t="s">
        <v>84</v>
      </c>
      <c r="D629" s="80" t="s">
        <v>84</v>
      </c>
      <c r="E629" s="80" t="s">
        <v>84</v>
      </c>
      <c r="F629" s="80"/>
      <c r="G629" s="80" t="s">
        <v>84</v>
      </c>
      <c r="H629" s="80" t="s">
        <v>84</v>
      </c>
      <c r="I629" s="80" t="s">
        <v>84</v>
      </c>
      <c r="J629" s="80" t="s">
        <v>84</v>
      </c>
      <c r="K629" s="80" t="s">
        <v>84</v>
      </c>
      <c r="L629" s="80" t="s">
        <v>84</v>
      </c>
      <c r="M629" s="80" t="s">
        <v>84</v>
      </c>
      <c r="N629" s="80" t="s">
        <v>84</v>
      </c>
      <c r="O629" s="80" t="s">
        <v>84</v>
      </c>
      <c r="P629" s="80"/>
      <c r="Q629" s="80" t="s">
        <v>84</v>
      </c>
      <c r="R629" s="80" t="s">
        <v>84</v>
      </c>
    </row>
    <row r="630" spans="1:18" ht="20" x14ac:dyDescent="0.2">
      <c r="A630" s="80" t="s">
        <v>5147</v>
      </c>
      <c r="B630" s="80" t="s">
        <v>5148</v>
      </c>
      <c r="C630" s="80" t="s">
        <v>9680</v>
      </c>
      <c r="D630" s="80" t="s">
        <v>9680</v>
      </c>
      <c r="E630" s="80" t="s">
        <v>84</v>
      </c>
      <c r="F630" s="80"/>
      <c r="G630" s="80" t="s">
        <v>9680</v>
      </c>
      <c r="H630" s="80" t="s">
        <v>9680</v>
      </c>
      <c r="I630" s="80" t="s">
        <v>9680</v>
      </c>
      <c r="J630" s="80" t="s">
        <v>84</v>
      </c>
      <c r="K630" s="80" t="s">
        <v>9680</v>
      </c>
      <c r="L630" s="80" t="s">
        <v>9680</v>
      </c>
      <c r="M630" s="80" t="s">
        <v>9680</v>
      </c>
      <c r="N630" s="80" t="s">
        <v>84</v>
      </c>
      <c r="O630" s="80" t="s">
        <v>9680</v>
      </c>
      <c r="P630" s="80"/>
      <c r="Q630" s="80" t="s">
        <v>9680</v>
      </c>
      <c r="R630" s="80" t="s">
        <v>9680</v>
      </c>
    </row>
    <row r="631" spans="1:18" ht="20" x14ac:dyDescent="0.2">
      <c r="A631" s="80" t="s">
        <v>5149</v>
      </c>
      <c r="B631" s="80" t="s">
        <v>5150</v>
      </c>
      <c r="C631" s="80" t="s">
        <v>84</v>
      </c>
      <c r="D631" s="80" t="s">
        <v>84</v>
      </c>
      <c r="E631" s="80" t="s">
        <v>84</v>
      </c>
      <c r="F631" s="80"/>
      <c r="G631" s="80" t="s">
        <v>84</v>
      </c>
      <c r="H631" s="80" t="s">
        <v>84</v>
      </c>
      <c r="I631" s="80" t="s">
        <v>84</v>
      </c>
      <c r="J631" s="80" t="s">
        <v>84</v>
      </c>
      <c r="K631" s="80" t="s">
        <v>84</v>
      </c>
      <c r="L631" s="80" t="s">
        <v>84</v>
      </c>
      <c r="M631" s="80" t="s">
        <v>84</v>
      </c>
      <c r="N631" s="80" t="s">
        <v>84</v>
      </c>
      <c r="O631" s="80" t="s">
        <v>84</v>
      </c>
      <c r="P631" s="80"/>
      <c r="Q631" s="80" t="s">
        <v>84</v>
      </c>
      <c r="R631" s="80" t="s">
        <v>84</v>
      </c>
    </row>
    <row r="632" spans="1:18" ht="20" x14ac:dyDescent="0.2">
      <c r="A632" s="80" t="s">
        <v>6387</v>
      </c>
      <c r="B632" s="80" t="s">
        <v>9931</v>
      </c>
      <c r="C632" s="80" t="s">
        <v>84</v>
      </c>
      <c r="D632" s="80" t="s">
        <v>84</v>
      </c>
      <c r="E632" s="80" t="s">
        <v>84</v>
      </c>
      <c r="F632" s="80"/>
      <c r="G632" s="80" t="s">
        <v>84</v>
      </c>
      <c r="H632" s="80" t="s">
        <v>84</v>
      </c>
      <c r="I632" s="80" t="s">
        <v>84</v>
      </c>
      <c r="J632" s="80" t="s">
        <v>84</v>
      </c>
      <c r="K632" s="80" t="s">
        <v>84</v>
      </c>
      <c r="L632" s="80" t="s">
        <v>84</v>
      </c>
      <c r="M632" s="80" t="s">
        <v>84</v>
      </c>
      <c r="N632" s="80" t="s">
        <v>84</v>
      </c>
      <c r="O632" s="80" t="s">
        <v>84</v>
      </c>
      <c r="P632" s="80"/>
      <c r="Q632" s="80" t="s">
        <v>84</v>
      </c>
      <c r="R632" s="80" t="s">
        <v>84</v>
      </c>
    </row>
    <row r="633" spans="1:18" ht="20" x14ac:dyDescent="0.2">
      <c r="A633" s="80" t="s">
        <v>6387</v>
      </c>
      <c r="B633" s="80" t="s">
        <v>6388</v>
      </c>
      <c r="C633" s="80" t="s">
        <v>84</v>
      </c>
      <c r="D633" s="80" t="s">
        <v>84</v>
      </c>
      <c r="E633" s="80" t="s">
        <v>84</v>
      </c>
      <c r="F633" s="80"/>
      <c r="G633" s="80" t="s">
        <v>84</v>
      </c>
      <c r="H633" s="80" t="s">
        <v>84</v>
      </c>
      <c r="I633" s="80" t="s">
        <v>84</v>
      </c>
      <c r="J633" s="80" t="s">
        <v>84</v>
      </c>
      <c r="K633" s="80" t="s">
        <v>84</v>
      </c>
      <c r="L633" s="80" t="s">
        <v>84</v>
      </c>
      <c r="M633" s="80" t="s">
        <v>84</v>
      </c>
      <c r="N633" s="80" t="s">
        <v>84</v>
      </c>
      <c r="O633" s="80" t="s">
        <v>84</v>
      </c>
      <c r="P633" s="80"/>
      <c r="Q633" s="80" t="s">
        <v>84</v>
      </c>
      <c r="R633" s="80" t="s">
        <v>84</v>
      </c>
    </row>
    <row r="634" spans="1:18" ht="20" x14ac:dyDescent="0.2">
      <c r="A634" s="80" t="s">
        <v>9932</v>
      </c>
      <c r="B634" s="80" t="s">
        <v>9933</v>
      </c>
      <c r="C634" s="80" t="s">
        <v>84</v>
      </c>
      <c r="D634" s="80" t="s">
        <v>84</v>
      </c>
      <c r="E634" s="80" t="s">
        <v>84</v>
      </c>
      <c r="F634" s="80"/>
      <c r="G634" s="80" t="s">
        <v>84</v>
      </c>
      <c r="H634" s="80" t="s">
        <v>84</v>
      </c>
      <c r="I634" s="80" t="s">
        <v>84</v>
      </c>
      <c r="J634" s="80" t="s">
        <v>84</v>
      </c>
      <c r="K634" s="80" t="s">
        <v>84</v>
      </c>
      <c r="L634" s="80" t="s">
        <v>84</v>
      </c>
      <c r="M634" s="80" t="s">
        <v>84</v>
      </c>
      <c r="N634" s="80" t="s">
        <v>84</v>
      </c>
      <c r="O634" s="80" t="s">
        <v>84</v>
      </c>
      <c r="P634" s="80"/>
      <c r="Q634" s="80" t="s">
        <v>84</v>
      </c>
      <c r="R634" s="80" t="s">
        <v>84</v>
      </c>
    </row>
    <row r="635" spans="1:18" ht="20" x14ac:dyDescent="0.2">
      <c r="A635" s="80" t="s">
        <v>387</v>
      </c>
      <c r="B635" s="80" t="s">
        <v>388</v>
      </c>
      <c r="C635" s="80" t="s">
        <v>84</v>
      </c>
      <c r="D635" s="80" t="s">
        <v>84</v>
      </c>
      <c r="E635" s="80" t="s">
        <v>84</v>
      </c>
      <c r="F635" s="80"/>
      <c r="G635" s="80" t="s">
        <v>84</v>
      </c>
      <c r="H635" s="80" t="s">
        <v>84</v>
      </c>
      <c r="I635" s="80" t="s">
        <v>84</v>
      </c>
      <c r="J635" s="80" t="s">
        <v>84</v>
      </c>
      <c r="K635" s="80" t="s">
        <v>84</v>
      </c>
      <c r="L635" s="80" t="s">
        <v>84</v>
      </c>
      <c r="M635" s="80" t="s">
        <v>84</v>
      </c>
      <c r="N635" s="80" t="s">
        <v>84</v>
      </c>
      <c r="O635" s="80" t="s">
        <v>84</v>
      </c>
      <c r="P635" s="80"/>
      <c r="Q635" s="80" t="s">
        <v>84</v>
      </c>
      <c r="R635" s="80" t="s">
        <v>84</v>
      </c>
    </row>
    <row r="636" spans="1:18" ht="20" x14ac:dyDescent="0.2">
      <c r="A636" s="80" t="s">
        <v>392</v>
      </c>
      <c r="B636" s="80" t="s">
        <v>393</v>
      </c>
      <c r="C636" s="80" t="s">
        <v>84</v>
      </c>
      <c r="D636" s="80" t="s">
        <v>84</v>
      </c>
      <c r="E636" s="80" t="s">
        <v>84</v>
      </c>
      <c r="F636" s="80"/>
      <c r="G636" s="80" t="s">
        <v>84</v>
      </c>
      <c r="H636" s="80" t="s">
        <v>84</v>
      </c>
      <c r="I636" s="80" t="s">
        <v>84</v>
      </c>
      <c r="J636" s="80" t="s">
        <v>84</v>
      </c>
      <c r="K636" s="80" t="s">
        <v>84</v>
      </c>
      <c r="L636" s="80" t="s">
        <v>84</v>
      </c>
      <c r="M636" s="80" t="s">
        <v>84</v>
      </c>
      <c r="N636" s="80" t="s">
        <v>84</v>
      </c>
      <c r="O636" s="80" t="s">
        <v>84</v>
      </c>
      <c r="P636" s="80"/>
      <c r="Q636" s="80" t="s">
        <v>84</v>
      </c>
      <c r="R636" s="80" t="s">
        <v>84</v>
      </c>
    </row>
    <row r="637" spans="1:18" ht="20" x14ac:dyDescent="0.2">
      <c r="A637" s="80" t="s">
        <v>9934</v>
      </c>
      <c r="B637" s="80" t="s">
        <v>9935</v>
      </c>
      <c r="C637" s="80" t="s">
        <v>84</v>
      </c>
      <c r="D637" s="80" t="s">
        <v>84</v>
      </c>
      <c r="E637" s="80" t="s">
        <v>84</v>
      </c>
      <c r="F637" s="80"/>
      <c r="G637" s="80" t="s">
        <v>84</v>
      </c>
      <c r="H637" s="80" t="s">
        <v>84</v>
      </c>
      <c r="I637" s="80" t="s">
        <v>84</v>
      </c>
      <c r="J637" s="80" t="s">
        <v>84</v>
      </c>
      <c r="K637" s="80" t="s">
        <v>84</v>
      </c>
      <c r="L637" s="80" t="s">
        <v>84</v>
      </c>
      <c r="M637" s="80" t="s">
        <v>84</v>
      </c>
      <c r="N637" s="80" t="s">
        <v>84</v>
      </c>
      <c r="O637" s="80" t="s">
        <v>84</v>
      </c>
      <c r="P637" s="80"/>
      <c r="Q637" s="80" t="s">
        <v>84</v>
      </c>
      <c r="R637" s="80" t="s">
        <v>84</v>
      </c>
    </row>
    <row r="638" spans="1:18" ht="20" x14ac:dyDescent="0.2">
      <c r="A638" s="80" t="s">
        <v>9934</v>
      </c>
      <c r="B638" s="80" t="s">
        <v>9936</v>
      </c>
      <c r="C638" s="80" t="s">
        <v>84</v>
      </c>
      <c r="D638" s="80" t="s">
        <v>84</v>
      </c>
      <c r="E638" s="80" t="s">
        <v>84</v>
      </c>
      <c r="F638" s="80"/>
      <c r="G638" s="80" t="s">
        <v>84</v>
      </c>
      <c r="H638" s="80" t="s">
        <v>84</v>
      </c>
      <c r="I638" s="80" t="s">
        <v>84</v>
      </c>
      <c r="J638" s="80" t="s">
        <v>84</v>
      </c>
      <c r="K638" s="80" t="s">
        <v>84</v>
      </c>
      <c r="L638" s="80" t="s">
        <v>84</v>
      </c>
      <c r="M638" s="80" t="s">
        <v>84</v>
      </c>
      <c r="N638" s="80" t="s">
        <v>84</v>
      </c>
      <c r="O638" s="80" t="s">
        <v>84</v>
      </c>
      <c r="P638" s="80"/>
      <c r="Q638" s="80" t="s">
        <v>84</v>
      </c>
      <c r="R638" s="80" t="s">
        <v>84</v>
      </c>
    </row>
    <row r="639" spans="1:18" ht="20" x14ac:dyDescent="0.2">
      <c r="A639" s="80" t="s">
        <v>9937</v>
      </c>
      <c r="B639" s="80" t="s">
        <v>9938</v>
      </c>
      <c r="C639" s="80" t="s">
        <v>84</v>
      </c>
      <c r="D639" s="80" t="s">
        <v>84</v>
      </c>
      <c r="E639" s="80" t="s">
        <v>84</v>
      </c>
      <c r="F639" s="80"/>
      <c r="G639" s="80" t="s">
        <v>84</v>
      </c>
      <c r="H639" s="80" t="s">
        <v>84</v>
      </c>
      <c r="I639" s="80" t="s">
        <v>84</v>
      </c>
      <c r="J639" s="80" t="s">
        <v>84</v>
      </c>
      <c r="K639" s="80" t="s">
        <v>84</v>
      </c>
      <c r="L639" s="80" t="s">
        <v>84</v>
      </c>
      <c r="M639" s="80" t="s">
        <v>84</v>
      </c>
      <c r="N639" s="80" t="s">
        <v>84</v>
      </c>
      <c r="O639" s="80" t="s">
        <v>84</v>
      </c>
      <c r="P639" s="80"/>
      <c r="Q639" s="80" t="s">
        <v>84</v>
      </c>
      <c r="R639" s="80" t="s">
        <v>84</v>
      </c>
    </row>
    <row r="640" spans="1:18" ht="20" x14ac:dyDescent="0.2">
      <c r="A640" s="80" t="s">
        <v>531</v>
      </c>
      <c r="B640" s="80" t="s">
        <v>532</v>
      </c>
      <c r="C640" s="80" t="s">
        <v>9680</v>
      </c>
      <c r="D640" s="80" t="s">
        <v>84</v>
      </c>
      <c r="E640" s="80" t="s">
        <v>84</v>
      </c>
      <c r="F640" s="80"/>
      <c r="G640" s="80" t="s">
        <v>84</v>
      </c>
      <c r="H640" s="80" t="s">
        <v>84</v>
      </c>
      <c r="I640" s="80" t="s">
        <v>84</v>
      </c>
      <c r="J640" s="80" t="s">
        <v>84</v>
      </c>
      <c r="K640" s="80" t="s">
        <v>84</v>
      </c>
      <c r="L640" s="80" t="s">
        <v>84</v>
      </c>
      <c r="M640" s="80" t="s">
        <v>84</v>
      </c>
      <c r="N640" s="80" t="s">
        <v>84</v>
      </c>
      <c r="O640" s="80" t="s">
        <v>84</v>
      </c>
      <c r="P640" s="80"/>
      <c r="Q640" s="80" t="s">
        <v>84</v>
      </c>
      <c r="R640" s="80" t="s">
        <v>84</v>
      </c>
    </row>
    <row r="641" spans="1:18" ht="20" x14ac:dyDescent="0.2">
      <c r="A641" s="80" t="s">
        <v>394</v>
      </c>
      <c r="B641" s="80" t="s">
        <v>395</v>
      </c>
      <c r="C641" s="80" t="s">
        <v>84</v>
      </c>
      <c r="D641" s="80" t="s">
        <v>84</v>
      </c>
      <c r="E641" s="80" t="s">
        <v>84</v>
      </c>
      <c r="F641" s="80"/>
      <c r="G641" s="80" t="s">
        <v>84</v>
      </c>
      <c r="H641" s="80" t="s">
        <v>84</v>
      </c>
      <c r="I641" s="80" t="s">
        <v>84</v>
      </c>
      <c r="J641" s="80" t="s">
        <v>84</v>
      </c>
      <c r="K641" s="80" t="s">
        <v>84</v>
      </c>
      <c r="L641" s="80" t="s">
        <v>84</v>
      </c>
      <c r="M641" s="80" t="s">
        <v>84</v>
      </c>
      <c r="N641" s="80" t="s">
        <v>84</v>
      </c>
      <c r="O641" s="80" t="s">
        <v>84</v>
      </c>
      <c r="P641" s="80"/>
      <c r="Q641" s="80" t="s">
        <v>84</v>
      </c>
      <c r="R641" s="80" t="s">
        <v>84</v>
      </c>
    </row>
    <row r="642" spans="1:18" ht="20" x14ac:dyDescent="0.2">
      <c r="A642" s="80" t="s">
        <v>293</v>
      </c>
      <c r="B642" s="80" t="s">
        <v>294</v>
      </c>
      <c r="C642" s="80" t="s">
        <v>84</v>
      </c>
      <c r="D642" s="80" t="s">
        <v>84</v>
      </c>
      <c r="E642" s="80" t="s">
        <v>84</v>
      </c>
      <c r="F642" s="80"/>
      <c r="G642" s="80" t="s">
        <v>84</v>
      </c>
      <c r="H642" s="80" t="s">
        <v>84</v>
      </c>
      <c r="I642" s="80" t="s">
        <v>84</v>
      </c>
      <c r="J642" s="80" t="s">
        <v>84</v>
      </c>
      <c r="K642" s="80" t="s">
        <v>84</v>
      </c>
      <c r="L642" s="80" t="s">
        <v>84</v>
      </c>
      <c r="M642" s="80" t="s">
        <v>84</v>
      </c>
      <c r="N642" s="80" t="s">
        <v>84</v>
      </c>
      <c r="O642" s="80" t="s">
        <v>84</v>
      </c>
      <c r="P642" s="80"/>
      <c r="Q642" s="80" t="s">
        <v>84</v>
      </c>
      <c r="R642" s="80" t="s">
        <v>84</v>
      </c>
    </row>
    <row r="643" spans="1:18" ht="20" x14ac:dyDescent="0.2">
      <c r="A643" s="80" t="s">
        <v>293</v>
      </c>
      <c r="B643" s="80" t="s">
        <v>9939</v>
      </c>
      <c r="C643" s="80" t="s">
        <v>84</v>
      </c>
      <c r="D643" s="80" t="s">
        <v>84</v>
      </c>
      <c r="E643" s="80" t="s">
        <v>84</v>
      </c>
      <c r="F643" s="80"/>
      <c r="G643" s="80" t="s">
        <v>84</v>
      </c>
      <c r="H643" s="80" t="s">
        <v>84</v>
      </c>
      <c r="I643" s="80" t="s">
        <v>84</v>
      </c>
      <c r="J643" s="80" t="s">
        <v>84</v>
      </c>
      <c r="K643" s="80" t="s">
        <v>84</v>
      </c>
      <c r="L643" s="80" t="s">
        <v>84</v>
      </c>
      <c r="M643" s="80" t="s">
        <v>84</v>
      </c>
      <c r="N643" s="80" t="s">
        <v>84</v>
      </c>
      <c r="O643" s="80" t="s">
        <v>84</v>
      </c>
      <c r="P643" s="80"/>
      <c r="Q643" s="80" t="s">
        <v>84</v>
      </c>
      <c r="R643" s="80" t="s">
        <v>84</v>
      </c>
    </row>
    <row r="644" spans="1:18" ht="20" x14ac:dyDescent="0.2">
      <c r="A644" s="80" t="s">
        <v>293</v>
      </c>
      <c r="B644" s="80" t="s">
        <v>533</v>
      </c>
      <c r="C644" s="80" t="s">
        <v>84</v>
      </c>
      <c r="D644" s="80" t="s">
        <v>84</v>
      </c>
      <c r="E644" s="80" t="s">
        <v>84</v>
      </c>
      <c r="F644" s="80"/>
      <c r="G644" s="80" t="s">
        <v>84</v>
      </c>
      <c r="H644" s="80" t="s">
        <v>84</v>
      </c>
      <c r="I644" s="80" t="s">
        <v>84</v>
      </c>
      <c r="J644" s="80" t="s">
        <v>84</v>
      </c>
      <c r="K644" s="80" t="s">
        <v>84</v>
      </c>
      <c r="L644" s="80" t="s">
        <v>84</v>
      </c>
      <c r="M644" s="80" t="s">
        <v>84</v>
      </c>
      <c r="N644" s="80" t="s">
        <v>84</v>
      </c>
      <c r="O644" s="80" t="s">
        <v>84</v>
      </c>
      <c r="P644" s="80"/>
      <c r="Q644" s="80" t="s">
        <v>84</v>
      </c>
      <c r="R644" s="80" t="s">
        <v>84</v>
      </c>
    </row>
    <row r="645" spans="1:18" ht="20" x14ac:dyDescent="0.2">
      <c r="A645" s="80" t="s">
        <v>397</v>
      </c>
      <c r="B645" s="80" t="s">
        <v>398</v>
      </c>
      <c r="C645" s="80" t="s">
        <v>84</v>
      </c>
      <c r="D645" s="80" t="s">
        <v>84</v>
      </c>
      <c r="E645" s="80" t="s">
        <v>84</v>
      </c>
      <c r="F645" s="80"/>
      <c r="G645" s="80" t="s">
        <v>84</v>
      </c>
      <c r="H645" s="80" t="s">
        <v>84</v>
      </c>
      <c r="I645" s="80" t="s">
        <v>84</v>
      </c>
      <c r="J645" s="80" t="s">
        <v>84</v>
      </c>
      <c r="K645" s="80" t="s">
        <v>84</v>
      </c>
      <c r="L645" s="80" t="s">
        <v>84</v>
      </c>
      <c r="M645" s="80" t="s">
        <v>84</v>
      </c>
      <c r="N645" s="80" t="s">
        <v>84</v>
      </c>
      <c r="O645" s="80" t="s">
        <v>84</v>
      </c>
      <c r="P645" s="80"/>
      <c r="Q645" s="80" t="s">
        <v>84</v>
      </c>
      <c r="R645" s="80" t="s">
        <v>84</v>
      </c>
    </row>
    <row r="646" spans="1:18" ht="20" x14ac:dyDescent="0.2">
      <c r="A646" s="80" t="s">
        <v>399</v>
      </c>
      <c r="B646" s="80" t="s">
        <v>400</v>
      </c>
      <c r="C646" s="80" t="s">
        <v>84</v>
      </c>
      <c r="D646" s="80" t="s">
        <v>84</v>
      </c>
      <c r="E646" s="80" t="s">
        <v>84</v>
      </c>
      <c r="F646" s="80"/>
      <c r="G646" s="80" t="s">
        <v>84</v>
      </c>
      <c r="H646" s="80" t="s">
        <v>84</v>
      </c>
      <c r="I646" s="80" t="s">
        <v>84</v>
      </c>
      <c r="J646" s="80" t="s">
        <v>84</v>
      </c>
      <c r="K646" s="80" t="s">
        <v>84</v>
      </c>
      <c r="L646" s="80" t="s">
        <v>84</v>
      </c>
      <c r="M646" s="80" t="s">
        <v>84</v>
      </c>
      <c r="N646" s="80" t="s">
        <v>84</v>
      </c>
      <c r="O646" s="80" t="s">
        <v>84</v>
      </c>
      <c r="P646" s="80"/>
      <c r="Q646" s="80" t="s">
        <v>84</v>
      </c>
      <c r="R646" s="80" t="s">
        <v>84</v>
      </c>
    </row>
    <row r="647" spans="1:18" ht="20" x14ac:dyDescent="0.2">
      <c r="A647" s="80" t="s">
        <v>9940</v>
      </c>
      <c r="B647" s="80" t="s">
        <v>9941</v>
      </c>
      <c r="C647" s="80" t="s">
        <v>84</v>
      </c>
      <c r="D647" s="80" t="s">
        <v>84</v>
      </c>
      <c r="E647" s="80" t="s">
        <v>84</v>
      </c>
      <c r="F647" s="80"/>
      <c r="G647" s="80" t="s">
        <v>84</v>
      </c>
      <c r="H647" s="80" t="s">
        <v>84</v>
      </c>
      <c r="I647" s="80" t="s">
        <v>84</v>
      </c>
      <c r="J647" s="80" t="s">
        <v>84</v>
      </c>
      <c r="K647" s="80" t="s">
        <v>84</v>
      </c>
      <c r="L647" s="80" t="s">
        <v>84</v>
      </c>
      <c r="M647" s="80" t="s">
        <v>84</v>
      </c>
      <c r="N647" s="80" t="s">
        <v>84</v>
      </c>
      <c r="O647" s="80" t="s">
        <v>84</v>
      </c>
      <c r="P647" s="80"/>
      <c r="Q647" s="80" t="s">
        <v>84</v>
      </c>
      <c r="R647" s="80" t="s">
        <v>84</v>
      </c>
    </row>
    <row r="648" spans="1:18" ht="20" x14ac:dyDescent="0.2">
      <c r="A648" s="80" t="s">
        <v>9940</v>
      </c>
      <c r="B648" s="80" t="s">
        <v>9942</v>
      </c>
      <c r="C648" s="80" t="s">
        <v>84</v>
      </c>
      <c r="D648" s="80" t="s">
        <v>84</v>
      </c>
      <c r="E648" s="80" t="s">
        <v>84</v>
      </c>
      <c r="F648" s="80"/>
      <c r="G648" s="80" t="s">
        <v>84</v>
      </c>
      <c r="H648" s="80" t="s">
        <v>84</v>
      </c>
      <c r="I648" s="80" t="s">
        <v>84</v>
      </c>
      <c r="J648" s="80" t="s">
        <v>84</v>
      </c>
      <c r="K648" s="80" t="s">
        <v>84</v>
      </c>
      <c r="L648" s="80" t="s">
        <v>84</v>
      </c>
      <c r="M648" s="80" t="s">
        <v>84</v>
      </c>
      <c r="N648" s="80" t="s">
        <v>84</v>
      </c>
      <c r="O648" s="80" t="s">
        <v>84</v>
      </c>
      <c r="P648" s="80"/>
      <c r="Q648" s="80" t="s">
        <v>84</v>
      </c>
      <c r="R648" s="80" t="s">
        <v>84</v>
      </c>
    </row>
    <row r="649" spans="1:18" ht="20" x14ac:dyDescent="0.2">
      <c r="A649" s="80" t="s">
        <v>405</v>
      </c>
      <c r="B649" s="80" t="s">
        <v>406</v>
      </c>
      <c r="C649" s="80" t="s">
        <v>84</v>
      </c>
      <c r="D649" s="80" t="s">
        <v>84</v>
      </c>
      <c r="E649" s="80" t="s">
        <v>84</v>
      </c>
      <c r="F649" s="80"/>
      <c r="G649" s="80" t="s">
        <v>84</v>
      </c>
      <c r="H649" s="80" t="s">
        <v>84</v>
      </c>
      <c r="I649" s="80" t="s">
        <v>84</v>
      </c>
      <c r="J649" s="80" t="s">
        <v>84</v>
      </c>
      <c r="K649" s="80" t="s">
        <v>84</v>
      </c>
      <c r="L649" s="80" t="s">
        <v>84</v>
      </c>
      <c r="M649" s="80" t="s">
        <v>84</v>
      </c>
      <c r="N649" s="80" t="s">
        <v>84</v>
      </c>
      <c r="O649" s="80" t="s">
        <v>84</v>
      </c>
      <c r="P649" s="80"/>
      <c r="Q649" s="80" t="s">
        <v>84</v>
      </c>
      <c r="R649" s="80" t="s">
        <v>84</v>
      </c>
    </row>
    <row r="650" spans="1:18" ht="20" x14ac:dyDescent="0.2">
      <c r="A650" s="80" t="s">
        <v>266</v>
      </c>
      <c r="B650" s="80" t="s">
        <v>267</v>
      </c>
      <c r="C650" s="80" t="s">
        <v>84</v>
      </c>
      <c r="D650" s="80" t="s">
        <v>84</v>
      </c>
      <c r="E650" s="80" t="s">
        <v>84</v>
      </c>
      <c r="F650" s="80"/>
      <c r="G650" s="80" t="s">
        <v>84</v>
      </c>
      <c r="H650" s="80" t="s">
        <v>84</v>
      </c>
      <c r="I650" s="80" t="s">
        <v>84</v>
      </c>
      <c r="J650" s="80" t="s">
        <v>84</v>
      </c>
      <c r="K650" s="80" t="s">
        <v>84</v>
      </c>
      <c r="L650" s="80" t="s">
        <v>84</v>
      </c>
      <c r="M650" s="80" t="s">
        <v>84</v>
      </c>
      <c r="N650" s="80" t="s">
        <v>84</v>
      </c>
      <c r="O650" s="80" t="s">
        <v>84</v>
      </c>
      <c r="P650" s="80"/>
      <c r="Q650" s="80" t="s">
        <v>84</v>
      </c>
      <c r="R650" s="80" t="s">
        <v>84</v>
      </c>
    </row>
    <row r="651" spans="1:18" ht="20" x14ac:dyDescent="0.2">
      <c r="A651" s="80" t="s">
        <v>266</v>
      </c>
      <c r="B651" s="80" t="s">
        <v>9943</v>
      </c>
      <c r="C651" s="80" t="s">
        <v>84</v>
      </c>
      <c r="D651" s="80" t="s">
        <v>84</v>
      </c>
      <c r="E651" s="80" t="s">
        <v>84</v>
      </c>
      <c r="F651" s="80"/>
      <c r="G651" s="80" t="s">
        <v>84</v>
      </c>
      <c r="H651" s="80" t="s">
        <v>84</v>
      </c>
      <c r="I651" s="80" t="s">
        <v>84</v>
      </c>
      <c r="J651" s="80" t="s">
        <v>84</v>
      </c>
      <c r="K651" s="80" t="s">
        <v>84</v>
      </c>
      <c r="L651" s="80" t="s">
        <v>84</v>
      </c>
      <c r="M651" s="80" t="s">
        <v>84</v>
      </c>
      <c r="N651" s="80" t="s">
        <v>84</v>
      </c>
      <c r="O651" s="80" t="s">
        <v>84</v>
      </c>
      <c r="P651" s="80"/>
      <c r="Q651" s="80" t="s">
        <v>84</v>
      </c>
      <c r="R651" s="80" t="s">
        <v>84</v>
      </c>
    </row>
    <row r="652" spans="1:18" ht="20" x14ac:dyDescent="0.2">
      <c r="A652" s="80" t="s">
        <v>266</v>
      </c>
      <c r="B652" s="80" t="s">
        <v>407</v>
      </c>
      <c r="C652" s="80" t="s">
        <v>84</v>
      </c>
      <c r="D652" s="80" t="s">
        <v>84</v>
      </c>
      <c r="E652" s="80" t="s">
        <v>84</v>
      </c>
      <c r="F652" s="80"/>
      <c r="G652" s="80" t="s">
        <v>84</v>
      </c>
      <c r="H652" s="80" t="s">
        <v>84</v>
      </c>
      <c r="I652" s="80" t="s">
        <v>84</v>
      </c>
      <c r="J652" s="80" t="s">
        <v>84</v>
      </c>
      <c r="K652" s="80" t="s">
        <v>84</v>
      </c>
      <c r="L652" s="80" t="s">
        <v>84</v>
      </c>
      <c r="M652" s="80" t="s">
        <v>84</v>
      </c>
      <c r="N652" s="80" t="s">
        <v>84</v>
      </c>
      <c r="O652" s="80" t="s">
        <v>84</v>
      </c>
      <c r="P652" s="80"/>
      <c r="Q652" s="80" t="s">
        <v>84</v>
      </c>
      <c r="R652" s="80" t="s">
        <v>84</v>
      </c>
    </row>
    <row r="653" spans="1:18" ht="20" x14ac:dyDescent="0.2">
      <c r="A653" s="80" t="s">
        <v>408</v>
      </c>
      <c r="B653" s="80" t="s">
        <v>9944</v>
      </c>
      <c r="C653" s="80" t="s">
        <v>84</v>
      </c>
      <c r="D653" s="80" t="s">
        <v>84</v>
      </c>
      <c r="E653" s="80" t="s">
        <v>84</v>
      </c>
      <c r="F653" s="80"/>
      <c r="G653" s="80" t="s">
        <v>84</v>
      </c>
      <c r="H653" s="80" t="s">
        <v>84</v>
      </c>
      <c r="I653" s="80" t="s">
        <v>84</v>
      </c>
      <c r="J653" s="80" t="s">
        <v>84</v>
      </c>
      <c r="K653" s="80" t="s">
        <v>84</v>
      </c>
      <c r="L653" s="80" t="s">
        <v>84</v>
      </c>
      <c r="M653" s="80" t="s">
        <v>84</v>
      </c>
      <c r="N653" s="80" t="s">
        <v>84</v>
      </c>
      <c r="O653" s="80" t="s">
        <v>84</v>
      </c>
      <c r="P653" s="80"/>
      <c r="Q653" s="80" t="s">
        <v>84</v>
      </c>
      <c r="R653" s="80" t="s">
        <v>84</v>
      </c>
    </row>
    <row r="654" spans="1:18" ht="20" x14ac:dyDescent="0.2">
      <c r="A654" s="80" t="s">
        <v>408</v>
      </c>
      <c r="B654" s="80" t="s">
        <v>409</v>
      </c>
      <c r="C654" s="80" t="s">
        <v>84</v>
      </c>
      <c r="D654" s="80" t="s">
        <v>84</v>
      </c>
      <c r="E654" s="80" t="s">
        <v>84</v>
      </c>
      <c r="F654" s="80"/>
      <c r="G654" s="80" t="s">
        <v>84</v>
      </c>
      <c r="H654" s="80" t="s">
        <v>84</v>
      </c>
      <c r="I654" s="80" t="s">
        <v>84</v>
      </c>
      <c r="J654" s="80" t="s">
        <v>84</v>
      </c>
      <c r="K654" s="80" t="s">
        <v>84</v>
      </c>
      <c r="L654" s="80" t="s">
        <v>84</v>
      </c>
      <c r="M654" s="80" t="s">
        <v>84</v>
      </c>
      <c r="N654" s="80" t="s">
        <v>84</v>
      </c>
      <c r="O654" s="80" t="s">
        <v>84</v>
      </c>
      <c r="P654" s="80"/>
      <c r="Q654" s="80" t="s">
        <v>84</v>
      </c>
      <c r="R654" s="80" t="s">
        <v>84</v>
      </c>
    </row>
    <row r="655" spans="1:18" ht="20" x14ac:dyDescent="0.2">
      <c r="A655" s="80" t="s">
        <v>410</v>
      </c>
      <c r="B655" s="80" t="s">
        <v>9945</v>
      </c>
      <c r="C655" s="80" t="s">
        <v>84</v>
      </c>
      <c r="D655" s="80" t="s">
        <v>84</v>
      </c>
      <c r="E655" s="80" t="s">
        <v>84</v>
      </c>
      <c r="F655" s="80"/>
      <c r="G655" s="80" t="s">
        <v>84</v>
      </c>
      <c r="H655" s="80" t="s">
        <v>84</v>
      </c>
      <c r="I655" s="80" t="s">
        <v>84</v>
      </c>
      <c r="J655" s="80" t="s">
        <v>84</v>
      </c>
      <c r="K655" s="80" t="s">
        <v>84</v>
      </c>
      <c r="L655" s="80" t="s">
        <v>84</v>
      </c>
      <c r="M655" s="80" t="s">
        <v>84</v>
      </c>
      <c r="N655" s="80" t="s">
        <v>84</v>
      </c>
      <c r="O655" s="80" t="s">
        <v>84</v>
      </c>
      <c r="P655" s="80"/>
      <c r="Q655" s="80" t="s">
        <v>84</v>
      </c>
      <c r="R655" s="80" t="s">
        <v>84</v>
      </c>
    </row>
    <row r="656" spans="1:18" ht="20" x14ac:dyDescent="0.2">
      <c r="A656" s="80" t="s">
        <v>410</v>
      </c>
      <c r="B656" s="80" t="s">
        <v>411</v>
      </c>
      <c r="C656" s="80" t="s">
        <v>84</v>
      </c>
      <c r="D656" s="80" t="s">
        <v>84</v>
      </c>
      <c r="E656" s="80" t="s">
        <v>84</v>
      </c>
      <c r="F656" s="80"/>
      <c r="G656" s="80" t="s">
        <v>84</v>
      </c>
      <c r="H656" s="80" t="s">
        <v>84</v>
      </c>
      <c r="I656" s="80" t="s">
        <v>84</v>
      </c>
      <c r="J656" s="80" t="s">
        <v>84</v>
      </c>
      <c r="K656" s="80" t="s">
        <v>84</v>
      </c>
      <c r="L656" s="80" t="s">
        <v>84</v>
      </c>
      <c r="M656" s="80" t="s">
        <v>84</v>
      </c>
      <c r="N656" s="80" t="s">
        <v>84</v>
      </c>
      <c r="O656" s="80" t="s">
        <v>84</v>
      </c>
      <c r="P656" s="80"/>
      <c r="Q656" s="80" t="s">
        <v>84</v>
      </c>
      <c r="R656" s="80" t="s">
        <v>84</v>
      </c>
    </row>
    <row r="657" spans="1:18" ht="20" x14ac:dyDescent="0.2">
      <c r="A657" s="80" t="s">
        <v>338</v>
      </c>
      <c r="B657" s="80" t="s">
        <v>9946</v>
      </c>
      <c r="C657" s="80" t="s">
        <v>84</v>
      </c>
      <c r="D657" s="80" t="s">
        <v>84</v>
      </c>
      <c r="E657" s="80" t="s">
        <v>84</v>
      </c>
      <c r="F657" s="80"/>
      <c r="G657" s="80" t="s">
        <v>84</v>
      </c>
      <c r="H657" s="80" t="s">
        <v>84</v>
      </c>
      <c r="I657" s="80" t="s">
        <v>84</v>
      </c>
      <c r="J657" s="80" t="s">
        <v>84</v>
      </c>
      <c r="K657" s="80" t="s">
        <v>84</v>
      </c>
      <c r="L657" s="80" t="s">
        <v>84</v>
      </c>
      <c r="M657" s="80" t="s">
        <v>84</v>
      </c>
      <c r="N657" s="80" t="s">
        <v>84</v>
      </c>
      <c r="O657" s="80" t="s">
        <v>84</v>
      </c>
      <c r="P657" s="80"/>
      <c r="Q657" s="80" t="s">
        <v>84</v>
      </c>
      <c r="R657" s="80" t="s">
        <v>84</v>
      </c>
    </row>
    <row r="658" spans="1:18" ht="20" x14ac:dyDescent="0.2">
      <c r="A658" s="80" t="s">
        <v>338</v>
      </c>
      <c r="B658" s="80" t="s">
        <v>339</v>
      </c>
      <c r="C658" s="80" t="s">
        <v>84</v>
      </c>
      <c r="D658" s="80" t="s">
        <v>84</v>
      </c>
      <c r="E658" s="80" t="s">
        <v>84</v>
      </c>
      <c r="F658" s="80"/>
      <c r="G658" s="80" t="s">
        <v>84</v>
      </c>
      <c r="H658" s="80" t="s">
        <v>84</v>
      </c>
      <c r="I658" s="80" t="s">
        <v>84</v>
      </c>
      <c r="J658" s="80" t="s">
        <v>84</v>
      </c>
      <c r="K658" s="80" t="s">
        <v>84</v>
      </c>
      <c r="L658" s="80" t="s">
        <v>84</v>
      </c>
      <c r="M658" s="80" t="s">
        <v>84</v>
      </c>
      <c r="N658" s="80" t="s">
        <v>84</v>
      </c>
      <c r="O658" s="80" t="s">
        <v>84</v>
      </c>
      <c r="P658" s="80"/>
      <c r="Q658" s="80" t="s">
        <v>84</v>
      </c>
      <c r="R658" s="80" t="s">
        <v>84</v>
      </c>
    </row>
    <row r="659" spans="1:18" ht="20" x14ac:dyDescent="0.2">
      <c r="A659" s="80" t="s">
        <v>412</v>
      </c>
      <c r="B659" s="80" t="s">
        <v>413</v>
      </c>
      <c r="C659" s="80" t="s">
        <v>84</v>
      </c>
      <c r="D659" s="80" t="s">
        <v>84</v>
      </c>
      <c r="E659" s="80" t="s">
        <v>84</v>
      </c>
      <c r="F659" s="80"/>
      <c r="G659" s="80" t="s">
        <v>84</v>
      </c>
      <c r="H659" s="80" t="s">
        <v>84</v>
      </c>
      <c r="I659" s="80" t="s">
        <v>84</v>
      </c>
      <c r="J659" s="80" t="s">
        <v>84</v>
      </c>
      <c r="K659" s="80" t="s">
        <v>84</v>
      </c>
      <c r="L659" s="80" t="s">
        <v>84</v>
      </c>
      <c r="M659" s="80" t="s">
        <v>84</v>
      </c>
      <c r="N659" s="80" t="s">
        <v>84</v>
      </c>
      <c r="O659" s="80" t="s">
        <v>84</v>
      </c>
      <c r="P659" s="80"/>
      <c r="Q659" s="80" t="s">
        <v>84</v>
      </c>
      <c r="R659" s="80" t="s">
        <v>84</v>
      </c>
    </row>
    <row r="660" spans="1:18" ht="20" x14ac:dyDescent="0.2">
      <c r="A660" s="80" t="s">
        <v>417</v>
      </c>
      <c r="B660" s="80" t="s">
        <v>418</v>
      </c>
      <c r="C660" s="80" t="s">
        <v>84</v>
      </c>
      <c r="D660" s="80" t="s">
        <v>84</v>
      </c>
      <c r="E660" s="80" t="s">
        <v>84</v>
      </c>
      <c r="F660" s="80"/>
      <c r="G660" s="80" t="s">
        <v>84</v>
      </c>
      <c r="H660" s="80" t="s">
        <v>84</v>
      </c>
      <c r="I660" s="80" t="s">
        <v>84</v>
      </c>
      <c r="J660" s="80" t="s">
        <v>84</v>
      </c>
      <c r="K660" s="80" t="s">
        <v>84</v>
      </c>
      <c r="L660" s="80" t="s">
        <v>84</v>
      </c>
      <c r="M660" s="80" t="s">
        <v>84</v>
      </c>
      <c r="N660" s="80" t="s">
        <v>84</v>
      </c>
      <c r="O660" s="80" t="s">
        <v>84</v>
      </c>
      <c r="P660" s="80"/>
      <c r="Q660" s="80" t="s">
        <v>84</v>
      </c>
      <c r="R660" s="80" t="s">
        <v>84</v>
      </c>
    </row>
    <row r="661" spans="1:18" ht="20" x14ac:dyDescent="0.2">
      <c r="A661" s="80" t="s">
        <v>263</v>
      </c>
      <c r="B661" s="80" t="s">
        <v>264</v>
      </c>
      <c r="C661" s="80" t="s">
        <v>84</v>
      </c>
      <c r="D661" s="80" t="s">
        <v>84</v>
      </c>
      <c r="E661" s="80" t="s">
        <v>84</v>
      </c>
      <c r="F661" s="80"/>
      <c r="G661" s="80" t="s">
        <v>84</v>
      </c>
      <c r="H661" s="80" t="s">
        <v>84</v>
      </c>
      <c r="I661" s="80" t="s">
        <v>84</v>
      </c>
      <c r="J661" s="80" t="s">
        <v>84</v>
      </c>
      <c r="K661" s="80" t="s">
        <v>84</v>
      </c>
      <c r="L661" s="80" t="s">
        <v>84</v>
      </c>
      <c r="M661" s="80" t="s">
        <v>84</v>
      </c>
      <c r="N661" s="80" t="s">
        <v>84</v>
      </c>
      <c r="O661" s="80" t="s">
        <v>84</v>
      </c>
      <c r="P661" s="80"/>
      <c r="Q661" s="80" t="s">
        <v>84</v>
      </c>
      <c r="R661" s="80" t="s">
        <v>84</v>
      </c>
    </row>
    <row r="662" spans="1:18" ht="20" x14ac:dyDescent="0.2">
      <c r="A662" s="80" t="s">
        <v>263</v>
      </c>
      <c r="B662" s="80" t="s">
        <v>419</v>
      </c>
      <c r="C662" s="80" t="s">
        <v>84</v>
      </c>
      <c r="D662" s="80" t="s">
        <v>84</v>
      </c>
      <c r="E662" s="80" t="s">
        <v>84</v>
      </c>
      <c r="F662" s="80"/>
      <c r="G662" s="80" t="s">
        <v>84</v>
      </c>
      <c r="H662" s="80" t="s">
        <v>84</v>
      </c>
      <c r="I662" s="80" t="s">
        <v>84</v>
      </c>
      <c r="J662" s="80" t="s">
        <v>84</v>
      </c>
      <c r="K662" s="80" t="s">
        <v>84</v>
      </c>
      <c r="L662" s="80" t="s">
        <v>84</v>
      </c>
      <c r="M662" s="80" t="s">
        <v>84</v>
      </c>
      <c r="N662" s="80" t="s">
        <v>84</v>
      </c>
      <c r="O662" s="80" t="s">
        <v>84</v>
      </c>
      <c r="P662" s="80"/>
      <c r="Q662" s="80" t="s">
        <v>84</v>
      </c>
      <c r="R662" s="80" t="s">
        <v>84</v>
      </c>
    </row>
    <row r="663" spans="1:18" ht="20" x14ac:dyDescent="0.2">
      <c r="A663" s="80" t="s">
        <v>340</v>
      </c>
      <c r="B663" s="80" t="s">
        <v>341</v>
      </c>
      <c r="C663" s="80" t="s">
        <v>84</v>
      </c>
      <c r="D663" s="80" t="s">
        <v>84</v>
      </c>
      <c r="E663" s="80" t="s">
        <v>84</v>
      </c>
      <c r="F663" s="80"/>
      <c r="G663" s="80" t="s">
        <v>84</v>
      </c>
      <c r="H663" s="80" t="s">
        <v>84</v>
      </c>
      <c r="I663" s="80" t="s">
        <v>84</v>
      </c>
      <c r="J663" s="80" t="s">
        <v>84</v>
      </c>
      <c r="K663" s="80" t="s">
        <v>84</v>
      </c>
      <c r="L663" s="80" t="s">
        <v>84</v>
      </c>
      <c r="M663" s="80" t="s">
        <v>84</v>
      </c>
      <c r="N663" s="80" t="s">
        <v>84</v>
      </c>
      <c r="O663" s="80" t="s">
        <v>84</v>
      </c>
      <c r="P663" s="80"/>
      <c r="Q663" s="80" t="s">
        <v>84</v>
      </c>
      <c r="R663" s="80" t="s">
        <v>84</v>
      </c>
    </row>
    <row r="664" spans="1:18" ht="20" x14ac:dyDescent="0.2">
      <c r="A664" s="80" t="s">
        <v>420</v>
      </c>
      <c r="B664" s="80" t="s">
        <v>421</v>
      </c>
      <c r="C664" s="80" t="s">
        <v>84</v>
      </c>
      <c r="D664" s="80" t="s">
        <v>84</v>
      </c>
      <c r="E664" s="80" t="s">
        <v>84</v>
      </c>
      <c r="F664" s="80"/>
      <c r="G664" s="80" t="s">
        <v>84</v>
      </c>
      <c r="H664" s="80" t="s">
        <v>84</v>
      </c>
      <c r="I664" s="80" t="s">
        <v>84</v>
      </c>
      <c r="J664" s="80" t="s">
        <v>84</v>
      </c>
      <c r="K664" s="80" t="s">
        <v>84</v>
      </c>
      <c r="L664" s="80" t="s">
        <v>84</v>
      </c>
      <c r="M664" s="80" t="s">
        <v>84</v>
      </c>
      <c r="N664" s="80" t="s">
        <v>84</v>
      </c>
      <c r="O664" s="80" t="s">
        <v>84</v>
      </c>
      <c r="P664" s="80"/>
      <c r="Q664" s="80" t="s">
        <v>84</v>
      </c>
      <c r="R664" s="80" t="s">
        <v>84</v>
      </c>
    </row>
    <row r="665" spans="1:18" ht="20" x14ac:dyDescent="0.2">
      <c r="A665" s="80" t="s">
        <v>422</v>
      </c>
      <c r="B665" s="80" t="s">
        <v>423</v>
      </c>
      <c r="C665" s="80" t="s">
        <v>84</v>
      </c>
      <c r="D665" s="80" t="s">
        <v>84</v>
      </c>
      <c r="E665" s="80" t="s">
        <v>84</v>
      </c>
      <c r="F665" s="80"/>
      <c r="G665" s="80" t="s">
        <v>84</v>
      </c>
      <c r="H665" s="80" t="s">
        <v>84</v>
      </c>
      <c r="I665" s="80" t="s">
        <v>84</v>
      </c>
      <c r="J665" s="80" t="s">
        <v>84</v>
      </c>
      <c r="K665" s="80" t="s">
        <v>84</v>
      </c>
      <c r="L665" s="80" t="s">
        <v>84</v>
      </c>
      <c r="M665" s="80" t="s">
        <v>84</v>
      </c>
      <c r="N665" s="80" t="s">
        <v>84</v>
      </c>
      <c r="O665" s="80" t="s">
        <v>84</v>
      </c>
      <c r="P665" s="80"/>
      <c r="Q665" s="80" t="s">
        <v>84</v>
      </c>
      <c r="R665" s="80" t="s">
        <v>84</v>
      </c>
    </row>
    <row r="666" spans="1:18" ht="20" x14ac:dyDescent="0.2">
      <c r="A666" s="80" t="s">
        <v>534</v>
      </c>
      <c r="B666" s="80" t="s">
        <v>535</v>
      </c>
      <c r="C666" s="80" t="s">
        <v>84</v>
      </c>
      <c r="D666" s="80" t="s">
        <v>84</v>
      </c>
      <c r="E666" s="80" t="s">
        <v>84</v>
      </c>
      <c r="F666" s="80"/>
      <c r="G666" s="80" t="s">
        <v>84</v>
      </c>
      <c r="H666" s="80" t="s">
        <v>84</v>
      </c>
      <c r="I666" s="80" t="s">
        <v>84</v>
      </c>
      <c r="J666" s="80" t="s">
        <v>84</v>
      </c>
      <c r="K666" s="80" t="s">
        <v>84</v>
      </c>
      <c r="L666" s="80" t="s">
        <v>84</v>
      </c>
      <c r="M666" s="80" t="s">
        <v>84</v>
      </c>
      <c r="N666" s="80" t="s">
        <v>84</v>
      </c>
      <c r="O666" s="80" t="s">
        <v>84</v>
      </c>
      <c r="P666" s="80"/>
      <c r="Q666" s="80" t="s">
        <v>84</v>
      </c>
      <c r="R666" s="80" t="s">
        <v>84</v>
      </c>
    </row>
    <row r="667" spans="1:18" ht="20" x14ac:dyDescent="0.2">
      <c r="A667" s="80" t="s">
        <v>317</v>
      </c>
      <c r="B667" s="80" t="s">
        <v>318</v>
      </c>
      <c r="C667" s="80" t="s">
        <v>9722</v>
      </c>
      <c r="D667" s="80" t="s">
        <v>84</v>
      </c>
      <c r="E667" s="80" t="s">
        <v>84</v>
      </c>
      <c r="F667" s="80"/>
      <c r="G667" s="80" t="s">
        <v>84</v>
      </c>
      <c r="H667" s="80" t="s">
        <v>84</v>
      </c>
      <c r="I667" s="80" t="s">
        <v>84</v>
      </c>
      <c r="J667" s="80" t="s">
        <v>84</v>
      </c>
      <c r="K667" s="80" t="s">
        <v>84</v>
      </c>
      <c r="L667" s="80" t="s">
        <v>84</v>
      </c>
      <c r="M667" s="80" t="s">
        <v>84</v>
      </c>
      <c r="N667" s="80" t="s">
        <v>84</v>
      </c>
      <c r="O667" s="80" t="s">
        <v>84</v>
      </c>
      <c r="P667" s="80"/>
      <c r="Q667" s="80" t="s">
        <v>84</v>
      </c>
      <c r="R667" s="80" t="s">
        <v>84</v>
      </c>
    </row>
    <row r="668" spans="1:18" ht="20" x14ac:dyDescent="0.2">
      <c r="A668" s="80" t="s">
        <v>424</v>
      </c>
      <c r="B668" s="80" t="s">
        <v>425</v>
      </c>
      <c r="C668" s="80" t="s">
        <v>84</v>
      </c>
      <c r="D668" s="80" t="s">
        <v>84</v>
      </c>
      <c r="E668" s="80" t="s">
        <v>84</v>
      </c>
      <c r="F668" s="80"/>
      <c r="G668" s="80" t="s">
        <v>84</v>
      </c>
      <c r="H668" s="80" t="s">
        <v>84</v>
      </c>
      <c r="I668" s="80" t="s">
        <v>84</v>
      </c>
      <c r="J668" s="80" t="s">
        <v>84</v>
      </c>
      <c r="K668" s="80" t="s">
        <v>84</v>
      </c>
      <c r="L668" s="80" t="s">
        <v>84</v>
      </c>
      <c r="M668" s="80" t="s">
        <v>84</v>
      </c>
      <c r="N668" s="80" t="s">
        <v>84</v>
      </c>
      <c r="O668" s="80" t="s">
        <v>84</v>
      </c>
      <c r="P668" s="80"/>
      <c r="Q668" s="80" t="s">
        <v>84</v>
      </c>
      <c r="R668" s="80" t="s">
        <v>84</v>
      </c>
    </row>
    <row r="669" spans="1:18" ht="20" x14ac:dyDescent="0.2">
      <c r="A669" s="80" t="s">
        <v>428</v>
      </c>
      <c r="B669" s="80" t="s">
        <v>9947</v>
      </c>
      <c r="C669" s="80" t="s">
        <v>84</v>
      </c>
      <c r="D669" s="80" t="s">
        <v>84</v>
      </c>
      <c r="E669" s="80" t="s">
        <v>84</v>
      </c>
      <c r="F669" s="80"/>
      <c r="G669" s="80" t="s">
        <v>84</v>
      </c>
      <c r="H669" s="80" t="s">
        <v>84</v>
      </c>
      <c r="I669" s="80" t="s">
        <v>84</v>
      </c>
      <c r="J669" s="80" t="s">
        <v>84</v>
      </c>
      <c r="K669" s="80" t="s">
        <v>84</v>
      </c>
      <c r="L669" s="80" t="s">
        <v>84</v>
      </c>
      <c r="M669" s="80" t="s">
        <v>84</v>
      </c>
      <c r="N669" s="80" t="s">
        <v>84</v>
      </c>
      <c r="O669" s="80" t="s">
        <v>84</v>
      </c>
      <c r="P669" s="80"/>
      <c r="Q669" s="80" t="s">
        <v>84</v>
      </c>
      <c r="R669" s="80" t="s">
        <v>84</v>
      </c>
    </row>
    <row r="670" spans="1:18" ht="20" x14ac:dyDescent="0.2">
      <c r="A670" s="80" t="s">
        <v>428</v>
      </c>
      <c r="B670" s="80" t="s">
        <v>429</v>
      </c>
      <c r="C670" s="80" t="s">
        <v>84</v>
      </c>
      <c r="D670" s="80" t="s">
        <v>84</v>
      </c>
      <c r="E670" s="80" t="s">
        <v>84</v>
      </c>
      <c r="F670" s="80"/>
      <c r="G670" s="80" t="s">
        <v>84</v>
      </c>
      <c r="H670" s="80" t="s">
        <v>84</v>
      </c>
      <c r="I670" s="80" t="s">
        <v>84</v>
      </c>
      <c r="J670" s="80" t="s">
        <v>84</v>
      </c>
      <c r="K670" s="80" t="s">
        <v>84</v>
      </c>
      <c r="L670" s="80" t="s">
        <v>84</v>
      </c>
      <c r="M670" s="80" t="s">
        <v>84</v>
      </c>
      <c r="N670" s="80" t="s">
        <v>84</v>
      </c>
      <c r="O670" s="80" t="s">
        <v>84</v>
      </c>
      <c r="P670" s="80"/>
      <c r="Q670" s="80" t="s">
        <v>84</v>
      </c>
      <c r="R670" s="80" t="s">
        <v>84</v>
      </c>
    </row>
    <row r="671" spans="1:18" ht="20" x14ac:dyDescent="0.2">
      <c r="A671" s="80" t="s">
        <v>536</v>
      </c>
      <c r="B671" s="80" t="s">
        <v>9948</v>
      </c>
      <c r="C671" s="80" t="s">
        <v>9680</v>
      </c>
      <c r="D671" s="80" t="s">
        <v>84</v>
      </c>
      <c r="E671" s="80" t="s">
        <v>84</v>
      </c>
      <c r="F671" s="80"/>
      <c r="G671" s="80" t="s">
        <v>84</v>
      </c>
      <c r="H671" s="80" t="s">
        <v>84</v>
      </c>
      <c r="I671" s="80" t="s">
        <v>84</v>
      </c>
      <c r="J671" s="80" t="s">
        <v>84</v>
      </c>
      <c r="K671" s="80" t="s">
        <v>84</v>
      </c>
      <c r="L671" s="80" t="s">
        <v>84</v>
      </c>
      <c r="M671" s="80" t="s">
        <v>84</v>
      </c>
      <c r="N671" s="80" t="s">
        <v>84</v>
      </c>
      <c r="O671" s="80" t="s">
        <v>84</v>
      </c>
      <c r="P671" s="80"/>
      <c r="Q671" s="80" t="s">
        <v>84</v>
      </c>
      <c r="R671" s="80" t="s">
        <v>84</v>
      </c>
    </row>
    <row r="672" spans="1:18" ht="20" x14ac:dyDescent="0.2">
      <c r="A672" s="80" t="s">
        <v>536</v>
      </c>
      <c r="B672" s="80" t="s">
        <v>537</v>
      </c>
      <c r="C672" s="80" t="s">
        <v>9680</v>
      </c>
      <c r="D672" s="80" t="s">
        <v>84</v>
      </c>
      <c r="E672" s="80" t="s">
        <v>84</v>
      </c>
      <c r="F672" s="80"/>
      <c r="G672" s="80" t="s">
        <v>84</v>
      </c>
      <c r="H672" s="80" t="s">
        <v>84</v>
      </c>
      <c r="I672" s="80" t="s">
        <v>84</v>
      </c>
      <c r="J672" s="80" t="s">
        <v>84</v>
      </c>
      <c r="K672" s="80" t="s">
        <v>84</v>
      </c>
      <c r="L672" s="80" t="s">
        <v>84</v>
      </c>
      <c r="M672" s="80" t="s">
        <v>84</v>
      </c>
      <c r="N672" s="80" t="s">
        <v>84</v>
      </c>
      <c r="O672" s="80" t="s">
        <v>84</v>
      </c>
      <c r="P672" s="80"/>
      <c r="Q672" s="80" t="s">
        <v>84</v>
      </c>
      <c r="R672" s="80" t="s">
        <v>84</v>
      </c>
    </row>
    <row r="673" spans="1:18" ht="20" x14ac:dyDescent="0.2">
      <c r="A673" s="80" t="s">
        <v>442</v>
      </c>
      <c r="B673" s="80" t="s">
        <v>443</v>
      </c>
      <c r="C673" s="80" t="s">
        <v>84</v>
      </c>
      <c r="D673" s="80" t="s">
        <v>84</v>
      </c>
      <c r="E673" s="80" t="s">
        <v>84</v>
      </c>
      <c r="F673" s="80"/>
      <c r="G673" s="80" t="s">
        <v>84</v>
      </c>
      <c r="H673" s="80" t="s">
        <v>84</v>
      </c>
      <c r="I673" s="80" t="s">
        <v>84</v>
      </c>
      <c r="J673" s="80" t="s">
        <v>84</v>
      </c>
      <c r="K673" s="80" t="s">
        <v>84</v>
      </c>
      <c r="L673" s="80" t="s">
        <v>84</v>
      </c>
      <c r="M673" s="80" t="s">
        <v>84</v>
      </c>
      <c r="N673" s="80" t="s">
        <v>84</v>
      </c>
      <c r="O673" s="80" t="s">
        <v>84</v>
      </c>
      <c r="P673" s="80"/>
      <c r="Q673" s="80" t="s">
        <v>84</v>
      </c>
      <c r="R673" s="80" t="s">
        <v>84</v>
      </c>
    </row>
    <row r="674" spans="1:18" ht="20" x14ac:dyDescent="0.2">
      <c r="A674" s="80" t="s">
        <v>459</v>
      </c>
      <c r="B674" s="80" t="s">
        <v>460</v>
      </c>
      <c r="C674" s="80" t="s">
        <v>9680</v>
      </c>
      <c r="D674" s="80" t="s">
        <v>84</v>
      </c>
      <c r="E674" s="80" t="s">
        <v>84</v>
      </c>
      <c r="F674" s="80"/>
      <c r="G674" s="80" t="s">
        <v>84</v>
      </c>
      <c r="H674" s="80" t="s">
        <v>9680</v>
      </c>
      <c r="I674" s="80" t="s">
        <v>84</v>
      </c>
      <c r="J674" s="80" t="s">
        <v>84</v>
      </c>
      <c r="K674" s="80" t="s">
        <v>84</v>
      </c>
      <c r="L674" s="80" t="s">
        <v>84</v>
      </c>
      <c r="M674" s="80" t="s">
        <v>84</v>
      </c>
      <c r="N674" s="80" t="s">
        <v>84</v>
      </c>
      <c r="O674" s="80" t="s">
        <v>84</v>
      </c>
      <c r="P674" s="80"/>
      <c r="Q674" s="80" t="s">
        <v>84</v>
      </c>
      <c r="R674" s="80" t="s">
        <v>84</v>
      </c>
    </row>
    <row r="675" spans="1:18" ht="20" x14ac:dyDescent="0.2">
      <c r="A675" s="80" t="s">
        <v>538</v>
      </c>
      <c r="B675" s="80" t="s">
        <v>539</v>
      </c>
      <c r="C675" s="80" t="s">
        <v>84</v>
      </c>
      <c r="D675" s="80" t="s">
        <v>84</v>
      </c>
      <c r="E675" s="80" t="s">
        <v>84</v>
      </c>
      <c r="F675" s="80"/>
      <c r="G675" s="80" t="s">
        <v>84</v>
      </c>
      <c r="H675" s="80" t="s">
        <v>84</v>
      </c>
      <c r="I675" s="80" t="s">
        <v>84</v>
      </c>
      <c r="J675" s="80" t="s">
        <v>84</v>
      </c>
      <c r="K675" s="80" t="s">
        <v>84</v>
      </c>
      <c r="L675" s="80" t="s">
        <v>84</v>
      </c>
      <c r="M675" s="80" t="s">
        <v>84</v>
      </c>
      <c r="N675" s="80" t="s">
        <v>84</v>
      </c>
      <c r="O675" s="80" t="s">
        <v>84</v>
      </c>
      <c r="P675" s="80"/>
      <c r="Q675" s="80" t="s">
        <v>84</v>
      </c>
      <c r="R675" s="80" t="s">
        <v>84</v>
      </c>
    </row>
    <row r="676" spans="1:18" ht="20" x14ac:dyDescent="0.2">
      <c r="A676" s="80" t="s">
        <v>540</v>
      </c>
      <c r="B676" s="80" t="s">
        <v>541</v>
      </c>
      <c r="C676" s="80" t="s">
        <v>9680</v>
      </c>
      <c r="D676" s="80" t="s">
        <v>84</v>
      </c>
      <c r="E676" s="80" t="s">
        <v>9680</v>
      </c>
      <c r="F676" s="80"/>
      <c r="G676" s="80" t="s">
        <v>9680</v>
      </c>
      <c r="H676" s="80" t="s">
        <v>9680</v>
      </c>
      <c r="I676" s="80" t="s">
        <v>9680</v>
      </c>
      <c r="J676" s="80" t="s">
        <v>84</v>
      </c>
      <c r="K676" s="80" t="s">
        <v>84</v>
      </c>
      <c r="L676" s="80" t="s">
        <v>9680</v>
      </c>
      <c r="M676" s="80" t="s">
        <v>9680</v>
      </c>
      <c r="N676" s="80" t="s">
        <v>9680</v>
      </c>
      <c r="O676" s="80" t="s">
        <v>9680</v>
      </c>
      <c r="P676" s="80"/>
      <c r="Q676" s="80" t="s">
        <v>84</v>
      </c>
      <c r="R676" s="80" t="s">
        <v>9680</v>
      </c>
    </row>
    <row r="677" spans="1:18" ht="20" x14ac:dyDescent="0.2">
      <c r="A677" s="80" t="s">
        <v>465</v>
      </c>
      <c r="B677" s="80" t="s">
        <v>466</v>
      </c>
      <c r="C677" s="80" t="s">
        <v>84</v>
      </c>
      <c r="D677" s="80" t="s">
        <v>84</v>
      </c>
      <c r="E677" s="80" t="s">
        <v>84</v>
      </c>
      <c r="F677" s="80"/>
      <c r="G677" s="80" t="s">
        <v>84</v>
      </c>
      <c r="H677" s="80" t="s">
        <v>84</v>
      </c>
      <c r="I677" s="80" t="s">
        <v>84</v>
      </c>
      <c r="J677" s="80" t="s">
        <v>84</v>
      </c>
      <c r="K677" s="80" t="s">
        <v>84</v>
      </c>
      <c r="L677" s="80" t="s">
        <v>84</v>
      </c>
      <c r="M677" s="80" t="s">
        <v>84</v>
      </c>
      <c r="N677" s="80" t="s">
        <v>84</v>
      </c>
      <c r="O677" s="80" t="s">
        <v>84</v>
      </c>
      <c r="P677" s="80"/>
      <c r="Q677" s="80" t="s">
        <v>84</v>
      </c>
      <c r="R677" s="80" t="s">
        <v>84</v>
      </c>
    </row>
    <row r="678" spans="1:18" ht="20" x14ac:dyDescent="0.2">
      <c r="A678" s="80" t="s">
        <v>542</v>
      </c>
      <c r="B678" s="80" t="s">
        <v>543</v>
      </c>
      <c r="C678" s="80" t="s">
        <v>84</v>
      </c>
      <c r="D678" s="80" t="s">
        <v>84</v>
      </c>
      <c r="E678" s="80" t="s">
        <v>84</v>
      </c>
      <c r="F678" s="80"/>
      <c r="G678" s="80" t="s">
        <v>84</v>
      </c>
      <c r="H678" s="80" t="s">
        <v>84</v>
      </c>
      <c r="I678" s="80" t="s">
        <v>84</v>
      </c>
      <c r="J678" s="80" t="s">
        <v>84</v>
      </c>
      <c r="K678" s="80" t="s">
        <v>84</v>
      </c>
      <c r="L678" s="80" t="s">
        <v>84</v>
      </c>
      <c r="M678" s="80" t="s">
        <v>84</v>
      </c>
      <c r="N678" s="80" t="s">
        <v>84</v>
      </c>
      <c r="O678" s="80" t="s">
        <v>84</v>
      </c>
      <c r="P678" s="80"/>
      <c r="Q678" s="80" t="s">
        <v>84</v>
      </c>
      <c r="R678" s="80" t="s">
        <v>84</v>
      </c>
    </row>
    <row r="679" spans="1:18" ht="20" x14ac:dyDescent="0.2">
      <c r="A679" s="80" t="s">
        <v>544</v>
      </c>
      <c r="B679" s="80" t="s">
        <v>545</v>
      </c>
      <c r="C679" s="80" t="s">
        <v>9680</v>
      </c>
      <c r="D679" s="80" t="s">
        <v>84</v>
      </c>
      <c r="E679" s="80" t="s">
        <v>84</v>
      </c>
      <c r="F679" s="80"/>
      <c r="G679" s="80" t="s">
        <v>84</v>
      </c>
      <c r="H679" s="80" t="s">
        <v>84</v>
      </c>
      <c r="I679" s="80" t="s">
        <v>84</v>
      </c>
      <c r="J679" s="80" t="s">
        <v>84</v>
      </c>
      <c r="K679" s="80" t="s">
        <v>84</v>
      </c>
      <c r="L679" s="80" t="s">
        <v>84</v>
      </c>
      <c r="M679" s="80" t="s">
        <v>84</v>
      </c>
      <c r="N679" s="80" t="s">
        <v>84</v>
      </c>
      <c r="O679" s="80" t="s">
        <v>84</v>
      </c>
      <c r="P679" s="80"/>
      <c r="Q679" s="80" t="s">
        <v>84</v>
      </c>
      <c r="R679" s="80" t="s">
        <v>84</v>
      </c>
    </row>
    <row r="680" spans="1:18" ht="20" x14ac:dyDescent="0.2">
      <c r="A680" s="80" t="s">
        <v>275</v>
      </c>
      <c r="B680" s="80" t="s">
        <v>276</v>
      </c>
      <c r="C680" s="80" t="s">
        <v>9680</v>
      </c>
      <c r="D680" s="80" t="s">
        <v>84</v>
      </c>
      <c r="E680" s="80" t="s">
        <v>84</v>
      </c>
      <c r="F680" s="80"/>
      <c r="G680" s="80" t="s">
        <v>84</v>
      </c>
      <c r="H680" s="80" t="s">
        <v>84</v>
      </c>
      <c r="I680" s="80" t="s">
        <v>84</v>
      </c>
      <c r="J680" s="80" t="s">
        <v>84</v>
      </c>
      <c r="K680" s="80" t="s">
        <v>84</v>
      </c>
      <c r="L680" s="80" t="s">
        <v>84</v>
      </c>
      <c r="M680" s="80" t="s">
        <v>84</v>
      </c>
      <c r="N680" s="80" t="s">
        <v>84</v>
      </c>
      <c r="O680" s="80" t="s">
        <v>84</v>
      </c>
      <c r="P680" s="80"/>
      <c r="Q680" s="80" t="s">
        <v>84</v>
      </c>
      <c r="R680" s="80" t="s">
        <v>84</v>
      </c>
    </row>
    <row r="681" spans="1:18" ht="20" x14ac:dyDescent="0.2">
      <c r="A681" s="80" t="s">
        <v>275</v>
      </c>
      <c r="B681" s="80" t="s">
        <v>328</v>
      </c>
      <c r="C681" s="80" t="s">
        <v>9680</v>
      </c>
      <c r="D681" s="80" t="s">
        <v>84</v>
      </c>
      <c r="E681" s="80" t="s">
        <v>84</v>
      </c>
      <c r="F681" s="80"/>
      <c r="G681" s="80" t="s">
        <v>84</v>
      </c>
      <c r="H681" s="80" t="s">
        <v>84</v>
      </c>
      <c r="I681" s="80" t="s">
        <v>84</v>
      </c>
      <c r="J681" s="80" t="s">
        <v>84</v>
      </c>
      <c r="K681" s="80" t="s">
        <v>84</v>
      </c>
      <c r="L681" s="80" t="s">
        <v>84</v>
      </c>
      <c r="M681" s="80" t="s">
        <v>84</v>
      </c>
      <c r="N681" s="80" t="s">
        <v>84</v>
      </c>
      <c r="O681" s="80" t="s">
        <v>84</v>
      </c>
      <c r="P681" s="80"/>
      <c r="Q681" s="80" t="s">
        <v>84</v>
      </c>
      <c r="R681" s="80" t="s">
        <v>84</v>
      </c>
    </row>
    <row r="682" spans="1:18" ht="20" x14ac:dyDescent="0.2">
      <c r="A682" s="80" t="s">
        <v>9949</v>
      </c>
      <c r="B682" s="80" t="s">
        <v>9950</v>
      </c>
      <c r="C682" s="80" t="s">
        <v>84</v>
      </c>
      <c r="D682" s="80" t="s">
        <v>84</v>
      </c>
      <c r="E682" s="80" t="s">
        <v>84</v>
      </c>
      <c r="F682" s="80"/>
      <c r="G682" s="80" t="s">
        <v>84</v>
      </c>
      <c r="H682" s="80" t="s">
        <v>84</v>
      </c>
      <c r="I682" s="80" t="s">
        <v>84</v>
      </c>
      <c r="J682" s="80" t="s">
        <v>84</v>
      </c>
      <c r="K682" s="80" t="s">
        <v>84</v>
      </c>
      <c r="L682" s="80" t="s">
        <v>84</v>
      </c>
      <c r="M682" s="80" t="s">
        <v>84</v>
      </c>
      <c r="N682" s="80" t="s">
        <v>84</v>
      </c>
      <c r="O682" s="80" t="s">
        <v>84</v>
      </c>
      <c r="P682" s="80"/>
      <c r="Q682" s="80" t="s">
        <v>84</v>
      </c>
      <c r="R682" s="80" t="s">
        <v>84</v>
      </c>
    </row>
    <row r="683" spans="1:18" ht="20" x14ac:dyDescent="0.2">
      <c r="A683" s="80" t="s">
        <v>9949</v>
      </c>
      <c r="B683" s="80" t="s">
        <v>9951</v>
      </c>
      <c r="C683" s="80" t="s">
        <v>84</v>
      </c>
      <c r="D683" s="80" t="s">
        <v>84</v>
      </c>
      <c r="E683" s="80" t="s">
        <v>84</v>
      </c>
      <c r="F683" s="80"/>
      <c r="G683" s="80" t="s">
        <v>84</v>
      </c>
      <c r="H683" s="80" t="s">
        <v>84</v>
      </c>
      <c r="I683" s="80" t="s">
        <v>84</v>
      </c>
      <c r="J683" s="80" t="s">
        <v>84</v>
      </c>
      <c r="K683" s="80" t="s">
        <v>84</v>
      </c>
      <c r="L683" s="80" t="s">
        <v>84</v>
      </c>
      <c r="M683" s="80" t="s">
        <v>84</v>
      </c>
      <c r="N683" s="80" t="s">
        <v>84</v>
      </c>
      <c r="O683" s="80" t="s">
        <v>84</v>
      </c>
      <c r="P683" s="80"/>
      <c r="Q683" s="80" t="s">
        <v>84</v>
      </c>
      <c r="R683" s="80" t="s">
        <v>84</v>
      </c>
    </row>
    <row r="684" spans="1:18" ht="20" x14ac:dyDescent="0.2">
      <c r="A684" s="80" t="s">
        <v>482</v>
      </c>
      <c r="B684" s="80" t="s">
        <v>9952</v>
      </c>
      <c r="C684" s="80" t="s">
        <v>84</v>
      </c>
      <c r="D684" s="80" t="s">
        <v>84</v>
      </c>
      <c r="E684" s="80" t="s">
        <v>84</v>
      </c>
      <c r="F684" s="80"/>
      <c r="G684" s="80" t="s">
        <v>84</v>
      </c>
      <c r="H684" s="80" t="s">
        <v>84</v>
      </c>
      <c r="I684" s="80" t="s">
        <v>84</v>
      </c>
      <c r="J684" s="80" t="s">
        <v>84</v>
      </c>
      <c r="K684" s="80" t="s">
        <v>84</v>
      </c>
      <c r="L684" s="80" t="s">
        <v>84</v>
      </c>
      <c r="M684" s="80" t="s">
        <v>84</v>
      </c>
      <c r="N684" s="80" t="s">
        <v>84</v>
      </c>
      <c r="O684" s="80" t="s">
        <v>84</v>
      </c>
      <c r="P684" s="80"/>
      <c r="Q684" s="80" t="s">
        <v>84</v>
      </c>
      <c r="R684" s="80" t="s">
        <v>84</v>
      </c>
    </row>
    <row r="685" spans="1:18" ht="20" x14ac:dyDescent="0.2">
      <c r="A685" s="80" t="s">
        <v>482</v>
      </c>
      <c r="B685" s="80" t="s">
        <v>483</v>
      </c>
      <c r="C685" s="80" t="s">
        <v>84</v>
      </c>
      <c r="D685" s="80" t="s">
        <v>84</v>
      </c>
      <c r="E685" s="80" t="s">
        <v>84</v>
      </c>
      <c r="F685" s="80"/>
      <c r="G685" s="80" t="s">
        <v>84</v>
      </c>
      <c r="H685" s="80" t="s">
        <v>84</v>
      </c>
      <c r="I685" s="80" t="s">
        <v>84</v>
      </c>
      <c r="J685" s="80" t="s">
        <v>84</v>
      </c>
      <c r="K685" s="80" t="s">
        <v>84</v>
      </c>
      <c r="L685" s="80" t="s">
        <v>84</v>
      </c>
      <c r="M685" s="80" t="s">
        <v>84</v>
      </c>
      <c r="N685" s="80" t="s">
        <v>84</v>
      </c>
      <c r="O685" s="80" t="s">
        <v>84</v>
      </c>
      <c r="P685" s="80"/>
      <c r="Q685" s="80" t="s">
        <v>84</v>
      </c>
      <c r="R685" s="80" t="s">
        <v>84</v>
      </c>
    </row>
    <row r="686" spans="1:18" ht="20" x14ac:dyDescent="0.2">
      <c r="A686" s="80" t="s">
        <v>546</v>
      </c>
      <c r="B686" s="80" t="s">
        <v>547</v>
      </c>
      <c r="C686" s="80" t="s">
        <v>84</v>
      </c>
      <c r="D686" s="80" t="s">
        <v>84</v>
      </c>
      <c r="E686" s="80" t="s">
        <v>84</v>
      </c>
      <c r="F686" s="80"/>
      <c r="G686" s="80" t="s">
        <v>84</v>
      </c>
      <c r="H686" s="80" t="s">
        <v>84</v>
      </c>
      <c r="I686" s="80" t="s">
        <v>84</v>
      </c>
      <c r="J686" s="80" t="s">
        <v>84</v>
      </c>
      <c r="K686" s="80" t="s">
        <v>84</v>
      </c>
      <c r="L686" s="80" t="s">
        <v>84</v>
      </c>
      <c r="M686" s="80" t="s">
        <v>84</v>
      </c>
      <c r="N686" s="80" t="s">
        <v>84</v>
      </c>
      <c r="O686" s="80" t="s">
        <v>84</v>
      </c>
      <c r="P686" s="80"/>
      <c r="Q686" s="80" t="s">
        <v>84</v>
      </c>
      <c r="R686" s="80" t="s">
        <v>84</v>
      </c>
    </row>
    <row r="687" spans="1:18" ht="20" x14ac:dyDescent="0.2">
      <c r="A687" s="80" t="s">
        <v>548</v>
      </c>
      <c r="B687" s="80" t="s">
        <v>9953</v>
      </c>
      <c r="C687" s="80" t="s">
        <v>84</v>
      </c>
      <c r="D687" s="80" t="s">
        <v>84</v>
      </c>
      <c r="E687" s="80" t="s">
        <v>84</v>
      </c>
      <c r="F687" s="80"/>
      <c r="G687" s="80" t="s">
        <v>84</v>
      </c>
      <c r="H687" s="80" t="s">
        <v>84</v>
      </c>
      <c r="I687" s="80" t="s">
        <v>84</v>
      </c>
      <c r="J687" s="80" t="s">
        <v>84</v>
      </c>
      <c r="K687" s="80" t="s">
        <v>84</v>
      </c>
      <c r="L687" s="80" t="s">
        <v>84</v>
      </c>
      <c r="M687" s="80" t="s">
        <v>84</v>
      </c>
      <c r="N687" s="80" t="s">
        <v>84</v>
      </c>
      <c r="O687" s="80" t="s">
        <v>84</v>
      </c>
      <c r="P687" s="80"/>
      <c r="Q687" s="80" t="s">
        <v>84</v>
      </c>
      <c r="R687" s="80" t="s">
        <v>84</v>
      </c>
    </row>
    <row r="688" spans="1:18" ht="20" x14ac:dyDescent="0.2">
      <c r="A688" s="80" t="s">
        <v>548</v>
      </c>
      <c r="B688" s="80" t="s">
        <v>549</v>
      </c>
      <c r="C688" s="80" t="s">
        <v>84</v>
      </c>
      <c r="D688" s="80" t="s">
        <v>84</v>
      </c>
      <c r="E688" s="80" t="s">
        <v>84</v>
      </c>
      <c r="F688" s="80"/>
      <c r="G688" s="80" t="s">
        <v>84</v>
      </c>
      <c r="H688" s="80" t="s">
        <v>84</v>
      </c>
      <c r="I688" s="80" t="s">
        <v>84</v>
      </c>
      <c r="J688" s="80" t="s">
        <v>84</v>
      </c>
      <c r="K688" s="80" t="s">
        <v>84</v>
      </c>
      <c r="L688" s="80" t="s">
        <v>84</v>
      </c>
      <c r="M688" s="80" t="s">
        <v>84</v>
      </c>
      <c r="N688" s="80" t="s">
        <v>84</v>
      </c>
      <c r="O688" s="80" t="s">
        <v>84</v>
      </c>
      <c r="P688" s="80"/>
      <c r="Q688" s="80" t="s">
        <v>84</v>
      </c>
      <c r="R688" s="80" t="s">
        <v>84</v>
      </c>
    </row>
    <row r="689" spans="1:18" ht="20" x14ac:dyDescent="0.2">
      <c r="A689" s="80" t="s">
        <v>550</v>
      </c>
      <c r="B689" s="80" t="s">
        <v>551</v>
      </c>
      <c r="C689" s="80" t="s">
        <v>84</v>
      </c>
      <c r="D689" s="80" t="s">
        <v>84</v>
      </c>
      <c r="E689" s="80" t="s">
        <v>84</v>
      </c>
      <c r="F689" s="80"/>
      <c r="G689" s="80" t="s">
        <v>84</v>
      </c>
      <c r="H689" s="80" t="s">
        <v>84</v>
      </c>
      <c r="I689" s="80" t="s">
        <v>84</v>
      </c>
      <c r="J689" s="80" t="s">
        <v>84</v>
      </c>
      <c r="K689" s="80" t="s">
        <v>84</v>
      </c>
      <c r="L689" s="80" t="s">
        <v>84</v>
      </c>
      <c r="M689" s="80" t="s">
        <v>84</v>
      </c>
      <c r="N689" s="80" t="s">
        <v>84</v>
      </c>
      <c r="O689" s="80" t="s">
        <v>84</v>
      </c>
      <c r="P689" s="80"/>
      <c r="Q689" s="80" t="s">
        <v>84</v>
      </c>
      <c r="R689" s="80" t="s">
        <v>84</v>
      </c>
    </row>
    <row r="690" spans="1:18" ht="20" x14ac:dyDescent="0.2">
      <c r="A690" s="80" t="s">
        <v>554</v>
      </c>
      <c r="B690" s="80" t="s">
        <v>555</v>
      </c>
      <c r="C690" s="80" t="s">
        <v>84</v>
      </c>
      <c r="D690" s="80" t="s">
        <v>84</v>
      </c>
      <c r="E690" s="80" t="s">
        <v>84</v>
      </c>
      <c r="F690" s="80"/>
      <c r="G690" s="80" t="s">
        <v>84</v>
      </c>
      <c r="H690" s="80" t="s">
        <v>84</v>
      </c>
      <c r="I690" s="80" t="s">
        <v>84</v>
      </c>
      <c r="J690" s="80" t="s">
        <v>84</v>
      </c>
      <c r="K690" s="80" t="s">
        <v>84</v>
      </c>
      <c r="L690" s="80" t="s">
        <v>84</v>
      </c>
      <c r="M690" s="80" t="s">
        <v>84</v>
      </c>
      <c r="N690" s="80" t="s">
        <v>84</v>
      </c>
      <c r="O690" s="80" t="s">
        <v>84</v>
      </c>
      <c r="P690" s="80"/>
      <c r="Q690" s="80" t="s">
        <v>84</v>
      </c>
      <c r="R690" s="80" t="s">
        <v>84</v>
      </c>
    </row>
    <row r="691" spans="1:18" ht="20" x14ac:dyDescent="0.2">
      <c r="A691" s="80" t="s">
        <v>556</v>
      </c>
      <c r="B691" s="80" t="s">
        <v>557</v>
      </c>
      <c r="C691" s="80" t="s">
        <v>84</v>
      </c>
      <c r="D691" s="80" t="s">
        <v>84</v>
      </c>
      <c r="E691" s="80" t="s">
        <v>84</v>
      </c>
      <c r="F691" s="80"/>
      <c r="G691" s="80" t="s">
        <v>84</v>
      </c>
      <c r="H691" s="80" t="s">
        <v>84</v>
      </c>
      <c r="I691" s="80" t="s">
        <v>84</v>
      </c>
      <c r="J691" s="80" t="s">
        <v>84</v>
      </c>
      <c r="K691" s="80" t="s">
        <v>84</v>
      </c>
      <c r="L691" s="80" t="s">
        <v>84</v>
      </c>
      <c r="M691" s="80" t="s">
        <v>84</v>
      </c>
      <c r="N691" s="80" t="s">
        <v>84</v>
      </c>
      <c r="O691" s="80" t="s">
        <v>84</v>
      </c>
      <c r="P691" s="80"/>
      <c r="Q691" s="80" t="s">
        <v>84</v>
      </c>
      <c r="R691" s="80" t="s">
        <v>84</v>
      </c>
    </row>
    <row r="692" spans="1:18" ht="20" x14ac:dyDescent="0.2">
      <c r="A692" s="80" t="s">
        <v>558</v>
      </c>
      <c r="B692" s="80" t="s">
        <v>559</v>
      </c>
      <c r="C692" s="80" t="s">
        <v>84</v>
      </c>
      <c r="D692" s="80" t="s">
        <v>84</v>
      </c>
      <c r="E692" s="80" t="s">
        <v>84</v>
      </c>
      <c r="F692" s="80"/>
      <c r="G692" s="80" t="s">
        <v>84</v>
      </c>
      <c r="H692" s="80" t="s">
        <v>84</v>
      </c>
      <c r="I692" s="80" t="s">
        <v>84</v>
      </c>
      <c r="J692" s="80" t="s">
        <v>84</v>
      </c>
      <c r="K692" s="80" t="s">
        <v>84</v>
      </c>
      <c r="L692" s="80" t="s">
        <v>84</v>
      </c>
      <c r="M692" s="80" t="s">
        <v>84</v>
      </c>
      <c r="N692" s="80" t="s">
        <v>84</v>
      </c>
      <c r="O692" s="80" t="s">
        <v>84</v>
      </c>
      <c r="P692" s="80"/>
      <c r="Q692" s="80" t="s">
        <v>84</v>
      </c>
      <c r="R692" s="80" t="s">
        <v>84</v>
      </c>
    </row>
    <row r="693" spans="1:18" ht="20" x14ac:dyDescent="0.2">
      <c r="A693" s="80" t="s">
        <v>5151</v>
      </c>
      <c r="B693" s="80" t="s">
        <v>9954</v>
      </c>
      <c r="C693" s="80" t="s">
        <v>9680</v>
      </c>
      <c r="D693" s="80" t="s">
        <v>84</v>
      </c>
      <c r="E693" s="80" t="s">
        <v>84</v>
      </c>
      <c r="F693" s="80"/>
      <c r="G693" s="80" t="s">
        <v>84</v>
      </c>
      <c r="H693" s="80" t="s">
        <v>84</v>
      </c>
      <c r="I693" s="80" t="s">
        <v>84</v>
      </c>
      <c r="J693" s="80" t="s">
        <v>84</v>
      </c>
      <c r="K693" s="80" t="s">
        <v>84</v>
      </c>
      <c r="L693" s="80" t="s">
        <v>84</v>
      </c>
      <c r="M693" s="80" t="s">
        <v>84</v>
      </c>
      <c r="N693" s="80" t="s">
        <v>84</v>
      </c>
      <c r="O693" s="80" t="s">
        <v>84</v>
      </c>
      <c r="P693" s="80"/>
      <c r="Q693" s="80" t="s">
        <v>84</v>
      </c>
      <c r="R693" s="80" t="s">
        <v>84</v>
      </c>
    </row>
    <row r="694" spans="1:18" ht="20" x14ac:dyDescent="0.2">
      <c r="A694" s="80" t="s">
        <v>5151</v>
      </c>
      <c r="B694" s="80" t="s">
        <v>5152</v>
      </c>
      <c r="C694" s="80" t="s">
        <v>9680</v>
      </c>
      <c r="D694" s="80" t="s">
        <v>84</v>
      </c>
      <c r="E694" s="80" t="s">
        <v>84</v>
      </c>
      <c r="F694" s="80"/>
      <c r="G694" s="80" t="s">
        <v>84</v>
      </c>
      <c r="H694" s="80" t="s">
        <v>84</v>
      </c>
      <c r="I694" s="80" t="s">
        <v>84</v>
      </c>
      <c r="J694" s="80" t="s">
        <v>84</v>
      </c>
      <c r="K694" s="80" t="s">
        <v>84</v>
      </c>
      <c r="L694" s="80" t="s">
        <v>84</v>
      </c>
      <c r="M694" s="80" t="s">
        <v>84</v>
      </c>
      <c r="N694" s="80" t="s">
        <v>84</v>
      </c>
      <c r="O694" s="80" t="s">
        <v>84</v>
      </c>
      <c r="P694" s="80"/>
      <c r="Q694" s="80" t="s">
        <v>84</v>
      </c>
      <c r="R694" s="80" t="s">
        <v>84</v>
      </c>
    </row>
    <row r="695" spans="1:18" ht="20" x14ac:dyDescent="0.2">
      <c r="A695" s="80" t="s">
        <v>5153</v>
      </c>
      <c r="B695" s="80" t="s">
        <v>5154</v>
      </c>
      <c r="C695" s="80" t="s">
        <v>9680</v>
      </c>
      <c r="D695" s="80" t="s">
        <v>9680</v>
      </c>
      <c r="E695" s="80" t="s">
        <v>9680</v>
      </c>
      <c r="F695" s="80"/>
      <c r="G695" s="80" t="s">
        <v>9680</v>
      </c>
      <c r="H695" s="80" t="s">
        <v>9680</v>
      </c>
      <c r="I695" s="80" t="s">
        <v>9680</v>
      </c>
      <c r="J695" s="80" t="s">
        <v>84</v>
      </c>
      <c r="K695" s="80" t="s">
        <v>9680</v>
      </c>
      <c r="L695" s="80" t="s">
        <v>9680</v>
      </c>
      <c r="M695" s="80" t="s">
        <v>84</v>
      </c>
      <c r="N695" s="80" t="s">
        <v>9680</v>
      </c>
      <c r="O695" s="80" t="s">
        <v>84</v>
      </c>
      <c r="P695" s="80"/>
      <c r="Q695" s="80" t="s">
        <v>84</v>
      </c>
      <c r="R695" s="80" t="s">
        <v>84</v>
      </c>
    </row>
    <row r="696" spans="1:18" ht="20" x14ac:dyDescent="0.2">
      <c r="A696" s="80" t="s">
        <v>5153</v>
      </c>
      <c r="B696" s="80" t="s">
        <v>9955</v>
      </c>
      <c r="C696" s="80" t="s">
        <v>9680</v>
      </c>
      <c r="D696" s="80" t="s">
        <v>9680</v>
      </c>
      <c r="E696" s="80" t="s">
        <v>9680</v>
      </c>
      <c r="F696" s="80"/>
      <c r="G696" s="80" t="s">
        <v>9680</v>
      </c>
      <c r="H696" s="80" t="s">
        <v>9680</v>
      </c>
      <c r="I696" s="80" t="s">
        <v>9680</v>
      </c>
      <c r="J696" s="80" t="s">
        <v>84</v>
      </c>
      <c r="K696" s="80" t="s">
        <v>9680</v>
      </c>
      <c r="L696" s="80" t="s">
        <v>9680</v>
      </c>
      <c r="M696" s="80" t="s">
        <v>84</v>
      </c>
      <c r="N696" s="80" t="s">
        <v>9680</v>
      </c>
      <c r="O696" s="80" t="s">
        <v>84</v>
      </c>
      <c r="P696" s="80"/>
      <c r="Q696" s="80" t="s">
        <v>84</v>
      </c>
      <c r="R696" s="80" t="s">
        <v>84</v>
      </c>
    </row>
    <row r="697" spans="1:18" ht="20" x14ac:dyDescent="0.2">
      <c r="A697" s="80" t="s">
        <v>5158</v>
      </c>
      <c r="B697" s="80" t="s">
        <v>5159</v>
      </c>
      <c r="C697" s="80" t="s">
        <v>9722</v>
      </c>
      <c r="D697" s="80" t="s">
        <v>84</v>
      </c>
      <c r="E697" s="80" t="s">
        <v>84</v>
      </c>
      <c r="F697" s="80"/>
      <c r="G697" s="80" t="s">
        <v>84</v>
      </c>
      <c r="H697" s="80" t="s">
        <v>84</v>
      </c>
      <c r="I697" s="80" t="s">
        <v>84</v>
      </c>
      <c r="J697" s="80" t="s">
        <v>84</v>
      </c>
      <c r="K697" s="80" t="s">
        <v>84</v>
      </c>
      <c r="L697" s="80" t="s">
        <v>84</v>
      </c>
      <c r="M697" s="80" t="s">
        <v>84</v>
      </c>
      <c r="N697" s="80" t="s">
        <v>84</v>
      </c>
      <c r="O697" s="80" t="s">
        <v>84</v>
      </c>
      <c r="P697" s="80"/>
      <c r="Q697" s="80" t="s">
        <v>84</v>
      </c>
      <c r="R697" s="80" t="s">
        <v>84</v>
      </c>
    </row>
    <row r="698" spans="1:18" ht="20" x14ac:dyDescent="0.2">
      <c r="A698" s="80" t="s">
        <v>5160</v>
      </c>
      <c r="B698" s="80" t="s">
        <v>5161</v>
      </c>
      <c r="C698" s="80" t="s">
        <v>84</v>
      </c>
      <c r="D698" s="80" t="s">
        <v>84</v>
      </c>
      <c r="E698" s="80" t="s">
        <v>84</v>
      </c>
      <c r="F698" s="80"/>
      <c r="G698" s="80" t="s">
        <v>84</v>
      </c>
      <c r="H698" s="80" t="s">
        <v>84</v>
      </c>
      <c r="I698" s="80" t="s">
        <v>84</v>
      </c>
      <c r="J698" s="80" t="s">
        <v>84</v>
      </c>
      <c r="K698" s="80" t="s">
        <v>84</v>
      </c>
      <c r="L698" s="80" t="s">
        <v>84</v>
      </c>
      <c r="M698" s="80" t="s">
        <v>84</v>
      </c>
      <c r="N698" s="80" t="s">
        <v>84</v>
      </c>
      <c r="O698" s="80" t="s">
        <v>84</v>
      </c>
      <c r="P698" s="80"/>
      <c r="Q698" s="80" t="s">
        <v>84</v>
      </c>
      <c r="R698" s="80" t="s">
        <v>84</v>
      </c>
    </row>
    <row r="699" spans="1:18" ht="20" x14ac:dyDescent="0.2">
      <c r="A699" s="80" t="s">
        <v>9956</v>
      </c>
      <c r="B699" s="80" t="s">
        <v>9957</v>
      </c>
      <c r="C699" s="80" t="s">
        <v>9680</v>
      </c>
      <c r="D699" s="80" t="s">
        <v>84</v>
      </c>
      <c r="E699" s="80" t="s">
        <v>84</v>
      </c>
      <c r="F699" s="80"/>
      <c r="G699" s="80" t="s">
        <v>84</v>
      </c>
      <c r="H699" s="80" t="s">
        <v>84</v>
      </c>
      <c r="I699" s="80" t="s">
        <v>84</v>
      </c>
      <c r="J699" s="80" t="s">
        <v>84</v>
      </c>
      <c r="K699" s="80" t="s">
        <v>84</v>
      </c>
      <c r="L699" s="80" t="s">
        <v>84</v>
      </c>
      <c r="M699" s="80" t="s">
        <v>84</v>
      </c>
      <c r="N699" s="80" t="s">
        <v>84</v>
      </c>
      <c r="O699" s="80" t="s">
        <v>84</v>
      </c>
      <c r="P699" s="80"/>
      <c r="Q699" s="80" t="s">
        <v>84</v>
      </c>
      <c r="R699" s="80" t="s">
        <v>84</v>
      </c>
    </row>
    <row r="700" spans="1:18" ht="20" x14ac:dyDescent="0.2">
      <c r="A700" s="80" t="s">
        <v>5046</v>
      </c>
      <c r="B700" s="80" t="s">
        <v>5047</v>
      </c>
      <c r="C700" s="80" t="s">
        <v>9680</v>
      </c>
      <c r="D700" s="80" t="s">
        <v>84</v>
      </c>
      <c r="E700" s="80" t="s">
        <v>84</v>
      </c>
      <c r="F700" s="80"/>
      <c r="G700" s="80" t="s">
        <v>84</v>
      </c>
      <c r="H700" s="80" t="s">
        <v>84</v>
      </c>
      <c r="I700" s="80" t="s">
        <v>84</v>
      </c>
      <c r="J700" s="80" t="s">
        <v>84</v>
      </c>
      <c r="K700" s="80" t="s">
        <v>84</v>
      </c>
      <c r="L700" s="80" t="s">
        <v>84</v>
      </c>
      <c r="M700" s="80" t="s">
        <v>84</v>
      </c>
      <c r="N700" s="80" t="s">
        <v>84</v>
      </c>
      <c r="O700" s="80" t="s">
        <v>84</v>
      </c>
      <c r="P700" s="80"/>
      <c r="Q700" s="80" t="s">
        <v>84</v>
      </c>
      <c r="R700" s="80" t="s">
        <v>84</v>
      </c>
    </row>
    <row r="701" spans="1:18" ht="20" x14ac:dyDescent="0.2">
      <c r="A701" s="80" t="s">
        <v>6014</v>
      </c>
      <c r="B701" s="80" t="s">
        <v>9958</v>
      </c>
      <c r="C701" s="80" t="s">
        <v>84</v>
      </c>
      <c r="D701" s="80" t="s">
        <v>84</v>
      </c>
      <c r="E701" s="80" t="s">
        <v>84</v>
      </c>
      <c r="F701" s="80"/>
      <c r="G701" s="80" t="s">
        <v>84</v>
      </c>
      <c r="H701" s="80" t="s">
        <v>84</v>
      </c>
      <c r="I701" s="80" t="s">
        <v>84</v>
      </c>
      <c r="J701" s="80" t="s">
        <v>84</v>
      </c>
      <c r="K701" s="80" t="s">
        <v>84</v>
      </c>
      <c r="L701" s="80" t="s">
        <v>84</v>
      </c>
      <c r="M701" s="80" t="s">
        <v>84</v>
      </c>
      <c r="N701" s="80" t="s">
        <v>84</v>
      </c>
      <c r="O701" s="80" t="s">
        <v>84</v>
      </c>
      <c r="P701" s="80"/>
      <c r="Q701" s="80" t="s">
        <v>84</v>
      </c>
      <c r="R701" s="80" t="s">
        <v>84</v>
      </c>
    </row>
    <row r="702" spans="1:18" ht="20" x14ac:dyDescent="0.2">
      <c r="A702" s="80" t="s">
        <v>6014</v>
      </c>
      <c r="B702" s="80" t="s">
        <v>6015</v>
      </c>
      <c r="C702" s="80" t="s">
        <v>84</v>
      </c>
      <c r="D702" s="80" t="s">
        <v>84</v>
      </c>
      <c r="E702" s="80" t="s">
        <v>84</v>
      </c>
      <c r="F702" s="80"/>
      <c r="G702" s="80" t="s">
        <v>84</v>
      </c>
      <c r="H702" s="80" t="s">
        <v>84</v>
      </c>
      <c r="I702" s="80" t="s">
        <v>84</v>
      </c>
      <c r="J702" s="80" t="s">
        <v>84</v>
      </c>
      <c r="K702" s="80" t="s">
        <v>84</v>
      </c>
      <c r="L702" s="80" t="s">
        <v>84</v>
      </c>
      <c r="M702" s="80" t="s">
        <v>84</v>
      </c>
      <c r="N702" s="80" t="s">
        <v>84</v>
      </c>
      <c r="O702" s="80" t="s">
        <v>84</v>
      </c>
      <c r="P702" s="80"/>
      <c r="Q702" s="80" t="s">
        <v>84</v>
      </c>
      <c r="R702" s="80" t="s">
        <v>84</v>
      </c>
    </row>
    <row r="703" spans="1:18" ht="20" x14ac:dyDescent="0.2">
      <c r="A703" s="80" t="s">
        <v>6019</v>
      </c>
      <c r="B703" s="80" t="s">
        <v>6020</v>
      </c>
      <c r="C703" s="80" t="s">
        <v>84</v>
      </c>
      <c r="D703" s="80" t="s">
        <v>84</v>
      </c>
      <c r="E703" s="80" t="s">
        <v>84</v>
      </c>
      <c r="F703" s="80"/>
      <c r="G703" s="80" t="s">
        <v>84</v>
      </c>
      <c r="H703" s="80" t="s">
        <v>84</v>
      </c>
      <c r="I703" s="80" t="s">
        <v>84</v>
      </c>
      <c r="J703" s="80" t="s">
        <v>84</v>
      </c>
      <c r="K703" s="80" t="s">
        <v>84</v>
      </c>
      <c r="L703" s="80" t="s">
        <v>84</v>
      </c>
      <c r="M703" s="80" t="s">
        <v>84</v>
      </c>
      <c r="N703" s="80" t="s">
        <v>84</v>
      </c>
      <c r="O703" s="80" t="s">
        <v>84</v>
      </c>
      <c r="P703" s="80"/>
      <c r="Q703" s="80" t="s">
        <v>84</v>
      </c>
      <c r="R703" s="80" t="s">
        <v>84</v>
      </c>
    </row>
    <row r="704" spans="1:18" ht="20" x14ac:dyDescent="0.2">
      <c r="A704" s="80" t="s">
        <v>6026</v>
      </c>
      <c r="B704" s="80" t="s">
        <v>6027</v>
      </c>
      <c r="C704" s="80" t="s">
        <v>84</v>
      </c>
      <c r="D704" s="80" t="s">
        <v>84</v>
      </c>
      <c r="E704" s="80" t="s">
        <v>84</v>
      </c>
      <c r="F704" s="80"/>
      <c r="G704" s="80" t="s">
        <v>84</v>
      </c>
      <c r="H704" s="80" t="s">
        <v>84</v>
      </c>
      <c r="I704" s="80" t="s">
        <v>84</v>
      </c>
      <c r="J704" s="80" t="s">
        <v>84</v>
      </c>
      <c r="K704" s="80" t="s">
        <v>84</v>
      </c>
      <c r="L704" s="80" t="s">
        <v>84</v>
      </c>
      <c r="M704" s="80" t="s">
        <v>84</v>
      </c>
      <c r="N704" s="80" t="s">
        <v>84</v>
      </c>
      <c r="O704" s="80" t="s">
        <v>84</v>
      </c>
      <c r="P704" s="80"/>
      <c r="Q704" s="80" t="s">
        <v>84</v>
      </c>
      <c r="R704" s="80" t="s">
        <v>84</v>
      </c>
    </row>
    <row r="705" spans="1:18" ht="20" x14ac:dyDescent="0.2">
      <c r="A705" s="80" t="s">
        <v>6030</v>
      </c>
      <c r="B705" s="80" t="s">
        <v>6031</v>
      </c>
      <c r="C705" s="80" t="s">
        <v>84</v>
      </c>
      <c r="D705" s="80" t="s">
        <v>84</v>
      </c>
      <c r="E705" s="80" t="s">
        <v>84</v>
      </c>
      <c r="F705" s="80"/>
      <c r="G705" s="80" t="s">
        <v>84</v>
      </c>
      <c r="H705" s="80" t="s">
        <v>84</v>
      </c>
      <c r="I705" s="80" t="s">
        <v>84</v>
      </c>
      <c r="J705" s="80" t="s">
        <v>84</v>
      </c>
      <c r="K705" s="80" t="s">
        <v>84</v>
      </c>
      <c r="L705" s="80" t="s">
        <v>84</v>
      </c>
      <c r="M705" s="80" t="s">
        <v>84</v>
      </c>
      <c r="N705" s="80" t="s">
        <v>84</v>
      </c>
      <c r="O705" s="80" t="s">
        <v>84</v>
      </c>
      <c r="P705" s="80"/>
      <c r="Q705" s="80" t="s">
        <v>84</v>
      </c>
      <c r="R705" s="80" t="s">
        <v>84</v>
      </c>
    </row>
    <row r="706" spans="1:18" ht="20" x14ac:dyDescent="0.2">
      <c r="A706" s="80" t="s">
        <v>4923</v>
      </c>
      <c r="B706" s="80" t="s">
        <v>4924</v>
      </c>
      <c r="C706" s="80" t="s">
        <v>84</v>
      </c>
      <c r="D706" s="80" t="s">
        <v>84</v>
      </c>
      <c r="E706" s="80" t="s">
        <v>84</v>
      </c>
      <c r="F706" s="80"/>
      <c r="G706" s="80" t="s">
        <v>84</v>
      </c>
      <c r="H706" s="80" t="s">
        <v>84</v>
      </c>
      <c r="I706" s="80" t="s">
        <v>84</v>
      </c>
      <c r="J706" s="80" t="s">
        <v>84</v>
      </c>
      <c r="K706" s="80" t="s">
        <v>84</v>
      </c>
      <c r="L706" s="80" t="s">
        <v>84</v>
      </c>
      <c r="M706" s="80" t="s">
        <v>84</v>
      </c>
      <c r="N706" s="80" t="s">
        <v>84</v>
      </c>
      <c r="O706" s="80" t="s">
        <v>84</v>
      </c>
      <c r="P706" s="80"/>
      <c r="Q706" s="80" t="s">
        <v>84</v>
      </c>
      <c r="R706" s="80" t="s">
        <v>84</v>
      </c>
    </row>
    <row r="707" spans="1:18" ht="20" x14ac:dyDescent="0.2">
      <c r="A707" s="80" t="s">
        <v>4923</v>
      </c>
      <c r="B707" s="80" t="s">
        <v>9959</v>
      </c>
      <c r="C707" s="80" t="s">
        <v>84</v>
      </c>
      <c r="D707" s="80" t="s">
        <v>84</v>
      </c>
      <c r="E707" s="80" t="s">
        <v>84</v>
      </c>
      <c r="F707" s="80"/>
      <c r="G707" s="80" t="s">
        <v>84</v>
      </c>
      <c r="H707" s="80" t="s">
        <v>84</v>
      </c>
      <c r="I707" s="80" t="s">
        <v>84</v>
      </c>
      <c r="J707" s="80" t="s">
        <v>84</v>
      </c>
      <c r="K707" s="80" t="s">
        <v>84</v>
      </c>
      <c r="L707" s="80" t="s">
        <v>84</v>
      </c>
      <c r="M707" s="80" t="s">
        <v>84</v>
      </c>
      <c r="N707" s="80" t="s">
        <v>84</v>
      </c>
      <c r="O707" s="80" t="s">
        <v>84</v>
      </c>
      <c r="P707" s="80"/>
      <c r="Q707" s="80" t="s">
        <v>84</v>
      </c>
      <c r="R707" s="80" t="s">
        <v>84</v>
      </c>
    </row>
    <row r="708" spans="1:18" ht="20" x14ac:dyDescent="0.2">
      <c r="A708" s="80" t="s">
        <v>4923</v>
      </c>
      <c r="B708" s="80" t="s">
        <v>5162</v>
      </c>
      <c r="C708" s="80" t="s">
        <v>84</v>
      </c>
      <c r="D708" s="80" t="s">
        <v>84</v>
      </c>
      <c r="E708" s="80" t="s">
        <v>84</v>
      </c>
      <c r="F708" s="80"/>
      <c r="G708" s="80" t="s">
        <v>84</v>
      </c>
      <c r="H708" s="80" t="s">
        <v>84</v>
      </c>
      <c r="I708" s="80" t="s">
        <v>84</v>
      </c>
      <c r="J708" s="80" t="s">
        <v>84</v>
      </c>
      <c r="K708" s="80" t="s">
        <v>84</v>
      </c>
      <c r="L708" s="80" t="s">
        <v>84</v>
      </c>
      <c r="M708" s="80" t="s">
        <v>84</v>
      </c>
      <c r="N708" s="80" t="s">
        <v>84</v>
      </c>
      <c r="O708" s="80" t="s">
        <v>84</v>
      </c>
      <c r="P708" s="80"/>
      <c r="Q708" s="80" t="s">
        <v>84</v>
      </c>
      <c r="R708" s="80" t="s">
        <v>84</v>
      </c>
    </row>
    <row r="709" spans="1:18" ht="20" x14ac:dyDescent="0.2">
      <c r="A709" s="80" t="s">
        <v>5163</v>
      </c>
      <c r="B709" s="80" t="s">
        <v>5164</v>
      </c>
      <c r="C709" s="80" t="s">
        <v>84</v>
      </c>
      <c r="D709" s="80" t="s">
        <v>84</v>
      </c>
      <c r="E709" s="80" t="s">
        <v>84</v>
      </c>
      <c r="F709" s="80"/>
      <c r="G709" s="80" t="s">
        <v>84</v>
      </c>
      <c r="H709" s="80" t="s">
        <v>84</v>
      </c>
      <c r="I709" s="80" t="s">
        <v>84</v>
      </c>
      <c r="J709" s="80" t="s">
        <v>84</v>
      </c>
      <c r="K709" s="80" t="s">
        <v>84</v>
      </c>
      <c r="L709" s="80" t="s">
        <v>84</v>
      </c>
      <c r="M709" s="80" t="s">
        <v>84</v>
      </c>
      <c r="N709" s="80" t="s">
        <v>84</v>
      </c>
      <c r="O709" s="80" t="s">
        <v>84</v>
      </c>
      <c r="P709" s="80"/>
      <c r="Q709" s="80" t="s">
        <v>84</v>
      </c>
      <c r="R709" s="80" t="s">
        <v>84</v>
      </c>
    </row>
    <row r="710" spans="1:18" ht="20" x14ac:dyDescent="0.2">
      <c r="A710" s="80" t="s">
        <v>9960</v>
      </c>
      <c r="B710" s="80" t="s">
        <v>9961</v>
      </c>
      <c r="C710" s="80" t="s">
        <v>9680</v>
      </c>
      <c r="D710" s="80" t="s">
        <v>84</v>
      </c>
      <c r="E710" s="80" t="s">
        <v>84</v>
      </c>
      <c r="F710" s="80"/>
      <c r="G710" s="80" t="s">
        <v>84</v>
      </c>
      <c r="H710" s="80" t="s">
        <v>84</v>
      </c>
      <c r="I710" s="80" t="s">
        <v>84</v>
      </c>
      <c r="J710" s="80" t="s">
        <v>84</v>
      </c>
      <c r="K710" s="80" t="s">
        <v>84</v>
      </c>
      <c r="L710" s="80" t="s">
        <v>84</v>
      </c>
      <c r="M710" s="80" t="s">
        <v>84</v>
      </c>
      <c r="N710" s="80" t="s">
        <v>84</v>
      </c>
      <c r="O710" s="80" t="s">
        <v>84</v>
      </c>
      <c r="P710" s="80"/>
      <c r="Q710" s="80" t="s">
        <v>84</v>
      </c>
      <c r="R710" s="80" t="s">
        <v>84</v>
      </c>
    </row>
    <row r="711" spans="1:18" ht="20" x14ac:dyDescent="0.2">
      <c r="A711" s="80" t="s">
        <v>5168</v>
      </c>
      <c r="B711" s="80" t="s">
        <v>5169</v>
      </c>
      <c r="C711" s="80" t="s">
        <v>84</v>
      </c>
      <c r="D711" s="80" t="s">
        <v>84</v>
      </c>
      <c r="E711" s="80" t="s">
        <v>84</v>
      </c>
      <c r="F711" s="80"/>
      <c r="G711" s="80" t="s">
        <v>84</v>
      </c>
      <c r="H711" s="80" t="s">
        <v>84</v>
      </c>
      <c r="I711" s="80" t="s">
        <v>84</v>
      </c>
      <c r="J711" s="80" t="s">
        <v>84</v>
      </c>
      <c r="K711" s="80" t="s">
        <v>84</v>
      </c>
      <c r="L711" s="80" t="s">
        <v>84</v>
      </c>
      <c r="M711" s="80" t="s">
        <v>84</v>
      </c>
      <c r="N711" s="80" t="s">
        <v>84</v>
      </c>
      <c r="O711" s="80" t="s">
        <v>84</v>
      </c>
      <c r="P711" s="80"/>
      <c r="Q711" s="80" t="s">
        <v>84</v>
      </c>
      <c r="R711" s="80" t="s">
        <v>84</v>
      </c>
    </row>
    <row r="712" spans="1:18" ht="20" x14ac:dyDescent="0.2">
      <c r="A712" s="80" t="s">
        <v>5170</v>
      </c>
      <c r="B712" s="80" t="s">
        <v>9962</v>
      </c>
      <c r="C712" s="80" t="s">
        <v>84</v>
      </c>
      <c r="D712" s="80" t="s">
        <v>84</v>
      </c>
      <c r="E712" s="80" t="s">
        <v>84</v>
      </c>
      <c r="F712" s="80"/>
      <c r="G712" s="80" t="s">
        <v>84</v>
      </c>
      <c r="H712" s="80" t="s">
        <v>84</v>
      </c>
      <c r="I712" s="80" t="s">
        <v>84</v>
      </c>
      <c r="J712" s="80" t="s">
        <v>84</v>
      </c>
      <c r="K712" s="80" t="s">
        <v>84</v>
      </c>
      <c r="L712" s="80" t="s">
        <v>84</v>
      </c>
      <c r="M712" s="80" t="s">
        <v>84</v>
      </c>
      <c r="N712" s="80" t="s">
        <v>84</v>
      </c>
      <c r="O712" s="80" t="s">
        <v>84</v>
      </c>
      <c r="P712" s="80"/>
      <c r="Q712" s="80" t="s">
        <v>84</v>
      </c>
      <c r="R712" s="80" t="s">
        <v>84</v>
      </c>
    </row>
    <row r="713" spans="1:18" ht="20" x14ac:dyDescent="0.2">
      <c r="A713" s="80" t="s">
        <v>5170</v>
      </c>
      <c r="B713" s="80" t="s">
        <v>5171</v>
      </c>
      <c r="C713" s="80" t="s">
        <v>84</v>
      </c>
      <c r="D713" s="80" t="s">
        <v>84</v>
      </c>
      <c r="E713" s="80" t="s">
        <v>84</v>
      </c>
      <c r="F713" s="80"/>
      <c r="G713" s="80" t="s">
        <v>84</v>
      </c>
      <c r="H713" s="80" t="s">
        <v>84</v>
      </c>
      <c r="I713" s="80" t="s">
        <v>84</v>
      </c>
      <c r="J713" s="80" t="s">
        <v>84</v>
      </c>
      <c r="K713" s="80" t="s">
        <v>84</v>
      </c>
      <c r="L713" s="80" t="s">
        <v>84</v>
      </c>
      <c r="M713" s="80" t="s">
        <v>84</v>
      </c>
      <c r="N713" s="80" t="s">
        <v>84</v>
      </c>
      <c r="O713" s="80" t="s">
        <v>84</v>
      </c>
      <c r="P713" s="80"/>
      <c r="Q713" s="80" t="s">
        <v>84</v>
      </c>
      <c r="R713" s="80" t="s">
        <v>84</v>
      </c>
    </row>
    <row r="714" spans="1:18" ht="20" x14ac:dyDescent="0.2">
      <c r="A714" s="80" t="s">
        <v>5172</v>
      </c>
      <c r="B714" s="80" t="s">
        <v>5173</v>
      </c>
      <c r="C714" s="80" t="s">
        <v>84</v>
      </c>
      <c r="D714" s="80" t="s">
        <v>84</v>
      </c>
      <c r="E714" s="80" t="s">
        <v>84</v>
      </c>
      <c r="F714" s="80"/>
      <c r="G714" s="80" t="s">
        <v>84</v>
      </c>
      <c r="H714" s="80" t="s">
        <v>84</v>
      </c>
      <c r="I714" s="80" t="s">
        <v>84</v>
      </c>
      <c r="J714" s="80" t="s">
        <v>84</v>
      </c>
      <c r="K714" s="80" t="s">
        <v>84</v>
      </c>
      <c r="L714" s="80" t="s">
        <v>84</v>
      </c>
      <c r="M714" s="80" t="s">
        <v>84</v>
      </c>
      <c r="N714" s="80" t="s">
        <v>84</v>
      </c>
      <c r="O714" s="80" t="s">
        <v>84</v>
      </c>
      <c r="P714" s="80"/>
      <c r="Q714" s="80" t="s">
        <v>84</v>
      </c>
      <c r="R714" s="80" t="s">
        <v>84</v>
      </c>
    </row>
    <row r="715" spans="1:18" ht="20" x14ac:dyDescent="0.2">
      <c r="A715" s="80" t="s">
        <v>5174</v>
      </c>
      <c r="B715" s="80" t="s">
        <v>5175</v>
      </c>
      <c r="C715" s="80" t="s">
        <v>84</v>
      </c>
      <c r="D715" s="80" t="s">
        <v>84</v>
      </c>
      <c r="E715" s="80" t="s">
        <v>84</v>
      </c>
      <c r="F715" s="80"/>
      <c r="G715" s="80" t="s">
        <v>84</v>
      </c>
      <c r="H715" s="80" t="s">
        <v>84</v>
      </c>
      <c r="I715" s="80" t="s">
        <v>84</v>
      </c>
      <c r="J715" s="80" t="s">
        <v>84</v>
      </c>
      <c r="K715" s="80" t="s">
        <v>84</v>
      </c>
      <c r="L715" s="80" t="s">
        <v>84</v>
      </c>
      <c r="M715" s="80" t="s">
        <v>84</v>
      </c>
      <c r="N715" s="80" t="s">
        <v>84</v>
      </c>
      <c r="O715" s="80" t="s">
        <v>84</v>
      </c>
      <c r="P715" s="80"/>
      <c r="Q715" s="80" t="s">
        <v>84</v>
      </c>
      <c r="R715" s="80" t="s">
        <v>84</v>
      </c>
    </row>
    <row r="716" spans="1:18" ht="20" x14ac:dyDescent="0.2">
      <c r="A716" s="80" t="s">
        <v>5179</v>
      </c>
      <c r="B716" s="80" t="s">
        <v>5180</v>
      </c>
      <c r="C716" s="80" t="s">
        <v>84</v>
      </c>
      <c r="D716" s="80" t="s">
        <v>84</v>
      </c>
      <c r="E716" s="80" t="s">
        <v>84</v>
      </c>
      <c r="F716" s="80"/>
      <c r="G716" s="80" t="s">
        <v>84</v>
      </c>
      <c r="H716" s="80" t="s">
        <v>84</v>
      </c>
      <c r="I716" s="80" t="s">
        <v>84</v>
      </c>
      <c r="J716" s="80" t="s">
        <v>84</v>
      </c>
      <c r="K716" s="80" t="s">
        <v>84</v>
      </c>
      <c r="L716" s="80" t="s">
        <v>84</v>
      </c>
      <c r="M716" s="80" t="s">
        <v>84</v>
      </c>
      <c r="N716" s="80" t="s">
        <v>84</v>
      </c>
      <c r="O716" s="80" t="s">
        <v>84</v>
      </c>
      <c r="P716" s="80"/>
      <c r="Q716" s="80" t="s">
        <v>84</v>
      </c>
      <c r="R716" s="80" t="s">
        <v>84</v>
      </c>
    </row>
    <row r="717" spans="1:18" ht="20" x14ac:dyDescent="0.2">
      <c r="A717" s="80" t="s">
        <v>5181</v>
      </c>
      <c r="B717" s="80" t="s">
        <v>5182</v>
      </c>
      <c r="C717" s="80" t="s">
        <v>9680</v>
      </c>
      <c r="D717" s="80" t="s">
        <v>84</v>
      </c>
      <c r="E717" s="80" t="s">
        <v>84</v>
      </c>
      <c r="F717" s="80"/>
      <c r="G717" s="80" t="s">
        <v>84</v>
      </c>
      <c r="H717" s="80" t="s">
        <v>9680</v>
      </c>
      <c r="I717" s="80" t="s">
        <v>84</v>
      </c>
      <c r="J717" s="80" t="s">
        <v>84</v>
      </c>
      <c r="K717" s="80" t="s">
        <v>84</v>
      </c>
      <c r="L717" s="80" t="s">
        <v>84</v>
      </c>
      <c r="M717" s="80" t="s">
        <v>9680</v>
      </c>
      <c r="N717" s="80" t="s">
        <v>84</v>
      </c>
      <c r="O717" s="80" t="s">
        <v>84</v>
      </c>
      <c r="P717" s="80"/>
      <c r="Q717" s="80" t="s">
        <v>84</v>
      </c>
      <c r="R717" s="80" t="s">
        <v>84</v>
      </c>
    </row>
    <row r="718" spans="1:18" ht="20" x14ac:dyDescent="0.2">
      <c r="A718" s="80" t="s">
        <v>5183</v>
      </c>
      <c r="B718" s="80" t="s">
        <v>5184</v>
      </c>
      <c r="C718" s="80" t="s">
        <v>9680</v>
      </c>
      <c r="D718" s="80" t="s">
        <v>84</v>
      </c>
      <c r="E718" s="80" t="s">
        <v>9680</v>
      </c>
      <c r="F718" s="80"/>
      <c r="G718" s="80" t="s">
        <v>9680</v>
      </c>
      <c r="H718" s="80" t="s">
        <v>9680</v>
      </c>
      <c r="I718" s="80" t="s">
        <v>9680</v>
      </c>
      <c r="J718" s="80" t="s">
        <v>84</v>
      </c>
      <c r="K718" s="80" t="s">
        <v>84</v>
      </c>
      <c r="L718" s="80" t="s">
        <v>9680</v>
      </c>
      <c r="M718" s="80" t="s">
        <v>84</v>
      </c>
      <c r="N718" s="80" t="s">
        <v>9680</v>
      </c>
      <c r="O718" s="80" t="s">
        <v>9680</v>
      </c>
      <c r="P718" s="80"/>
      <c r="Q718" s="80" t="s">
        <v>84</v>
      </c>
      <c r="R718" s="80" t="s">
        <v>9680</v>
      </c>
    </row>
    <row r="719" spans="1:18" ht="20" x14ac:dyDescent="0.2">
      <c r="A719" s="80" t="s">
        <v>5185</v>
      </c>
      <c r="B719" s="80" t="s">
        <v>5186</v>
      </c>
      <c r="C719" s="80" t="s">
        <v>84</v>
      </c>
      <c r="D719" s="80" t="s">
        <v>84</v>
      </c>
      <c r="E719" s="80" t="s">
        <v>84</v>
      </c>
      <c r="F719" s="80"/>
      <c r="G719" s="80" t="s">
        <v>84</v>
      </c>
      <c r="H719" s="80" t="s">
        <v>84</v>
      </c>
      <c r="I719" s="80" t="s">
        <v>84</v>
      </c>
      <c r="J719" s="80" t="s">
        <v>84</v>
      </c>
      <c r="K719" s="80" t="s">
        <v>84</v>
      </c>
      <c r="L719" s="80" t="s">
        <v>84</v>
      </c>
      <c r="M719" s="80" t="s">
        <v>84</v>
      </c>
      <c r="N719" s="80" t="s">
        <v>84</v>
      </c>
      <c r="O719" s="80" t="s">
        <v>84</v>
      </c>
      <c r="P719" s="80"/>
      <c r="Q719" s="80" t="s">
        <v>84</v>
      </c>
      <c r="R719" s="80" t="s">
        <v>84</v>
      </c>
    </row>
    <row r="720" spans="1:18" ht="20" x14ac:dyDescent="0.2">
      <c r="A720" s="80" t="s">
        <v>5079</v>
      </c>
      <c r="B720" s="80" t="s">
        <v>5080</v>
      </c>
      <c r="C720" s="80" t="s">
        <v>84</v>
      </c>
      <c r="D720" s="80" t="s">
        <v>84</v>
      </c>
      <c r="E720" s="80" t="s">
        <v>84</v>
      </c>
      <c r="F720" s="80"/>
      <c r="G720" s="80" t="s">
        <v>84</v>
      </c>
      <c r="H720" s="80" t="s">
        <v>84</v>
      </c>
      <c r="I720" s="80" t="s">
        <v>84</v>
      </c>
      <c r="J720" s="80" t="s">
        <v>84</v>
      </c>
      <c r="K720" s="80" t="s">
        <v>84</v>
      </c>
      <c r="L720" s="80" t="s">
        <v>84</v>
      </c>
      <c r="M720" s="80" t="s">
        <v>84</v>
      </c>
      <c r="N720" s="80" t="s">
        <v>84</v>
      </c>
      <c r="O720" s="80" t="s">
        <v>84</v>
      </c>
      <c r="P720" s="80"/>
      <c r="Q720" s="80" t="s">
        <v>84</v>
      </c>
      <c r="R720" s="80" t="s">
        <v>84</v>
      </c>
    </row>
    <row r="721" spans="1:18" ht="20" x14ac:dyDescent="0.2">
      <c r="A721" s="80" t="s">
        <v>5081</v>
      </c>
      <c r="B721" s="80" t="s">
        <v>5082</v>
      </c>
      <c r="C721" s="80" t="s">
        <v>84</v>
      </c>
      <c r="D721" s="80" t="s">
        <v>84</v>
      </c>
      <c r="E721" s="80" t="s">
        <v>84</v>
      </c>
      <c r="F721" s="80"/>
      <c r="G721" s="80" t="s">
        <v>84</v>
      </c>
      <c r="H721" s="80" t="s">
        <v>84</v>
      </c>
      <c r="I721" s="80" t="s">
        <v>84</v>
      </c>
      <c r="J721" s="80" t="s">
        <v>84</v>
      </c>
      <c r="K721" s="80" t="s">
        <v>84</v>
      </c>
      <c r="L721" s="80" t="s">
        <v>84</v>
      </c>
      <c r="M721" s="80" t="s">
        <v>84</v>
      </c>
      <c r="N721" s="80" t="s">
        <v>84</v>
      </c>
      <c r="O721" s="80" t="s">
        <v>84</v>
      </c>
      <c r="P721" s="80"/>
      <c r="Q721" s="80" t="s">
        <v>84</v>
      </c>
      <c r="R721" s="80" t="s">
        <v>84</v>
      </c>
    </row>
    <row r="722" spans="1:18" ht="20" x14ac:dyDescent="0.2">
      <c r="A722" s="80" t="s">
        <v>5048</v>
      </c>
      <c r="B722" s="80" t="s">
        <v>5049</v>
      </c>
      <c r="C722" s="80" t="s">
        <v>84</v>
      </c>
      <c r="D722" s="80" t="s">
        <v>84</v>
      </c>
      <c r="E722" s="80" t="s">
        <v>84</v>
      </c>
      <c r="F722" s="80"/>
      <c r="G722" s="80" t="s">
        <v>84</v>
      </c>
      <c r="H722" s="80" t="s">
        <v>84</v>
      </c>
      <c r="I722" s="80" t="s">
        <v>84</v>
      </c>
      <c r="J722" s="80" t="s">
        <v>84</v>
      </c>
      <c r="K722" s="80" t="s">
        <v>84</v>
      </c>
      <c r="L722" s="80" t="s">
        <v>84</v>
      </c>
      <c r="M722" s="80" t="s">
        <v>84</v>
      </c>
      <c r="N722" s="80" t="s">
        <v>84</v>
      </c>
      <c r="O722" s="80" t="s">
        <v>84</v>
      </c>
      <c r="P722" s="80"/>
      <c r="Q722" s="80" t="s">
        <v>84</v>
      </c>
      <c r="R722" s="80" t="s">
        <v>84</v>
      </c>
    </row>
    <row r="723" spans="1:18" ht="20" x14ac:dyDescent="0.2">
      <c r="A723" s="80" t="s">
        <v>560</v>
      </c>
      <c r="B723" s="80" t="s">
        <v>9963</v>
      </c>
      <c r="C723" s="80" t="s">
        <v>84</v>
      </c>
      <c r="D723" s="80" t="s">
        <v>84</v>
      </c>
      <c r="E723" s="80" t="s">
        <v>84</v>
      </c>
      <c r="F723" s="80"/>
      <c r="G723" s="80" t="s">
        <v>84</v>
      </c>
      <c r="H723" s="80" t="s">
        <v>84</v>
      </c>
      <c r="I723" s="80" t="s">
        <v>84</v>
      </c>
      <c r="J723" s="80" t="s">
        <v>84</v>
      </c>
      <c r="K723" s="80" t="s">
        <v>84</v>
      </c>
      <c r="L723" s="80" t="s">
        <v>84</v>
      </c>
      <c r="M723" s="80" t="s">
        <v>84</v>
      </c>
      <c r="N723" s="80" t="s">
        <v>84</v>
      </c>
      <c r="O723" s="80" t="s">
        <v>84</v>
      </c>
      <c r="P723" s="80"/>
      <c r="Q723" s="80" t="s">
        <v>84</v>
      </c>
      <c r="R723" s="80" t="s">
        <v>84</v>
      </c>
    </row>
    <row r="724" spans="1:18" ht="20" x14ac:dyDescent="0.2">
      <c r="A724" s="80" t="s">
        <v>560</v>
      </c>
      <c r="B724" s="80" t="s">
        <v>561</v>
      </c>
      <c r="C724" s="80" t="s">
        <v>84</v>
      </c>
      <c r="D724" s="80" t="s">
        <v>84</v>
      </c>
      <c r="E724" s="80" t="s">
        <v>84</v>
      </c>
      <c r="F724" s="80"/>
      <c r="G724" s="80" t="s">
        <v>84</v>
      </c>
      <c r="H724" s="80" t="s">
        <v>84</v>
      </c>
      <c r="I724" s="80" t="s">
        <v>84</v>
      </c>
      <c r="J724" s="80" t="s">
        <v>84</v>
      </c>
      <c r="K724" s="80" t="s">
        <v>84</v>
      </c>
      <c r="L724" s="80" t="s">
        <v>84</v>
      </c>
      <c r="M724" s="80" t="s">
        <v>84</v>
      </c>
      <c r="N724" s="80" t="s">
        <v>84</v>
      </c>
      <c r="O724" s="80" t="s">
        <v>84</v>
      </c>
      <c r="P724" s="80"/>
      <c r="Q724" s="80" t="s">
        <v>84</v>
      </c>
      <c r="R724" s="80" t="s">
        <v>84</v>
      </c>
    </row>
    <row r="725" spans="1:18" ht="20" x14ac:dyDescent="0.2">
      <c r="A725" s="80" t="s">
        <v>562</v>
      </c>
      <c r="B725" s="80" t="s">
        <v>9964</v>
      </c>
      <c r="C725" s="80" t="s">
        <v>84</v>
      </c>
      <c r="D725" s="80" t="s">
        <v>84</v>
      </c>
      <c r="E725" s="80" t="s">
        <v>84</v>
      </c>
      <c r="F725" s="80"/>
      <c r="G725" s="80" t="s">
        <v>84</v>
      </c>
      <c r="H725" s="80" t="s">
        <v>84</v>
      </c>
      <c r="I725" s="80" t="s">
        <v>84</v>
      </c>
      <c r="J725" s="80" t="s">
        <v>84</v>
      </c>
      <c r="K725" s="80" t="s">
        <v>84</v>
      </c>
      <c r="L725" s="80" t="s">
        <v>84</v>
      </c>
      <c r="M725" s="80" t="s">
        <v>84</v>
      </c>
      <c r="N725" s="80" t="s">
        <v>84</v>
      </c>
      <c r="O725" s="80" t="s">
        <v>84</v>
      </c>
      <c r="P725" s="80"/>
      <c r="Q725" s="80" t="s">
        <v>84</v>
      </c>
      <c r="R725" s="80" t="s">
        <v>84</v>
      </c>
    </row>
    <row r="726" spans="1:18" ht="20" x14ac:dyDescent="0.2">
      <c r="A726" s="80" t="s">
        <v>562</v>
      </c>
      <c r="B726" s="80" t="s">
        <v>563</v>
      </c>
      <c r="C726" s="80" t="s">
        <v>84</v>
      </c>
      <c r="D726" s="80" t="s">
        <v>84</v>
      </c>
      <c r="E726" s="80" t="s">
        <v>84</v>
      </c>
      <c r="F726" s="80"/>
      <c r="G726" s="80" t="s">
        <v>84</v>
      </c>
      <c r="H726" s="80" t="s">
        <v>84</v>
      </c>
      <c r="I726" s="80" t="s">
        <v>84</v>
      </c>
      <c r="J726" s="80" t="s">
        <v>84</v>
      </c>
      <c r="K726" s="80" t="s">
        <v>84</v>
      </c>
      <c r="L726" s="80" t="s">
        <v>84</v>
      </c>
      <c r="M726" s="80" t="s">
        <v>84</v>
      </c>
      <c r="N726" s="80" t="s">
        <v>84</v>
      </c>
      <c r="O726" s="80" t="s">
        <v>84</v>
      </c>
      <c r="P726" s="80"/>
      <c r="Q726" s="80" t="s">
        <v>84</v>
      </c>
      <c r="R726" s="80" t="s">
        <v>84</v>
      </c>
    </row>
    <row r="727" spans="1:18" ht="20" x14ac:dyDescent="0.2">
      <c r="A727" s="80" t="s">
        <v>564</v>
      </c>
      <c r="B727" s="80" t="s">
        <v>9965</v>
      </c>
      <c r="C727" s="80" t="s">
        <v>84</v>
      </c>
      <c r="D727" s="80" t="s">
        <v>84</v>
      </c>
      <c r="E727" s="80" t="s">
        <v>84</v>
      </c>
      <c r="F727" s="80"/>
      <c r="G727" s="80" t="s">
        <v>84</v>
      </c>
      <c r="H727" s="80" t="s">
        <v>84</v>
      </c>
      <c r="I727" s="80" t="s">
        <v>84</v>
      </c>
      <c r="J727" s="80" t="s">
        <v>84</v>
      </c>
      <c r="K727" s="80" t="s">
        <v>84</v>
      </c>
      <c r="L727" s="80" t="s">
        <v>84</v>
      </c>
      <c r="M727" s="80" t="s">
        <v>84</v>
      </c>
      <c r="N727" s="80" t="s">
        <v>84</v>
      </c>
      <c r="O727" s="80" t="s">
        <v>84</v>
      </c>
      <c r="P727" s="80"/>
      <c r="Q727" s="80" t="s">
        <v>84</v>
      </c>
      <c r="R727" s="80" t="s">
        <v>84</v>
      </c>
    </row>
    <row r="728" spans="1:18" ht="20" x14ac:dyDescent="0.2">
      <c r="A728" s="80" t="s">
        <v>564</v>
      </c>
      <c r="B728" s="80" t="s">
        <v>565</v>
      </c>
      <c r="C728" s="80" t="s">
        <v>84</v>
      </c>
      <c r="D728" s="80" t="s">
        <v>84</v>
      </c>
      <c r="E728" s="80" t="s">
        <v>84</v>
      </c>
      <c r="F728" s="80"/>
      <c r="G728" s="80" t="s">
        <v>84</v>
      </c>
      <c r="H728" s="80" t="s">
        <v>84</v>
      </c>
      <c r="I728" s="80" t="s">
        <v>84</v>
      </c>
      <c r="J728" s="80" t="s">
        <v>84</v>
      </c>
      <c r="K728" s="80" t="s">
        <v>84</v>
      </c>
      <c r="L728" s="80" t="s">
        <v>84</v>
      </c>
      <c r="M728" s="80" t="s">
        <v>84</v>
      </c>
      <c r="N728" s="80" t="s">
        <v>84</v>
      </c>
      <c r="O728" s="80" t="s">
        <v>84</v>
      </c>
      <c r="P728" s="80"/>
      <c r="Q728" s="80" t="s">
        <v>84</v>
      </c>
      <c r="R728" s="80" t="s">
        <v>84</v>
      </c>
    </row>
    <row r="729" spans="1:18" ht="20" x14ac:dyDescent="0.2">
      <c r="A729" s="80" t="s">
        <v>566</v>
      </c>
      <c r="B729" s="80" t="s">
        <v>567</v>
      </c>
      <c r="C729" s="80" t="s">
        <v>84</v>
      </c>
      <c r="D729" s="80" t="s">
        <v>84</v>
      </c>
      <c r="E729" s="80" t="s">
        <v>84</v>
      </c>
      <c r="F729" s="80"/>
      <c r="G729" s="80" t="s">
        <v>84</v>
      </c>
      <c r="H729" s="80" t="s">
        <v>84</v>
      </c>
      <c r="I729" s="80" t="s">
        <v>84</v>
      </c>
      <c r="J729" s="80" t="s">
        <v>84</v>
      </c>
      <c r="K729" s="80" t="s">
        <v>84</v>
      </c>
      <c r="L729" s="80" t="s">
        <v>84</v>
      </c>
      <c r="M729" s="80" t="s">
        <v>84</v>
      </c>
      <c r="N729" s="80" t="s">
        <v>84</v>
      </c>
      <c r="O729" s="80" t="s">
        <v>84</v>
      </c>
      <c r="P729" s="80"/>
      <c r="Q729" s="80" t="s">
        <v>84</v>
      </c>
      <c r="R729" s="80" t="s">
        <v>84</v>
      </c>
    </row>
    <row r="730" spans="1:18" ht="20" x14ac:dyDescent="0.2">
      <c r="A730" s="80" t="s">
        <v>566</v>
      </c>
      <c r="B730" s="80" t="s">
        <v>9966</v>
      </c>
      <c r="C730" s="80" t="s">
        <v>84</v>
      </c>
      <c r="D730" s="80" t="s">
        <v>84</v>
      </c>
      <c r="E730" s="80" t="s">
        <v>84</v>
      </c>
      <c r="F730" s="80"/>
      <c r="G730" s="80" t="s">
        <v>84</v>
      </c>
      <c r="H730" s="80" t="s">
        <v>84</v>
      </c>
      <c r="I730" s="80" t="s">
        <v>84</v>
      </c>
      <c r="J730" s="80" t="s">
        <v>84</v>
      </c>
      <c r="K730" s="80" t="s">
        <v>84</v>
      </c>
      <c r="L730" s="80" t="s">
        <v>84</v>
      </c>
      <c r="M730" s="80" t="s">
        <v>84</v>
      </c>
      <c r="N730" s="80" t="s">
        <v>84</v>
      </c>
      <c r="O730" s="80" t="s">
        <v>84</v>
      </c>
      <c r="P730" s="80"/>
      <c r="Q730" s="80" t="s">
        <v>84</v>
      </c>
      <c r="R730" s="80" t="s">
        <v>84</v>
      </c>
    </row>
    <row r="731" spans="1:18" ht="20" x14ac:dyDescent="0.2">
      <c r="A731" s="80" t="s">
        <v>3869</v>
      </c>
      <c r="B731" s="80" t="s">
        <v>9967</v>
      </c>
      <c r="C731" s="80" t="s">
        <v>9680</v>
      </c>
      <c r="D731" s="80" t="s">
        <v>9680</v>
      </c>
      <c r="E731" s="80" t="s">
        <v>84</v>
      </c>
      <c r="F731" s="80"/>
      <c r="G731" s="80" t="s">
        <v>9680</v>
      </c>
      <c r="H731" s="80" t="s">
        <v>9680</v>
      </c>
      <c r="I731" s="80" t="s">
        <v>84</v>
      </c>
      <c r="J731" s="80" t="s">
        <v>9680</v>
      </c>
      <c r="K731" s="80" t="s">
        <v>84</v>
      </c>
      <c r="L731" s="80" t="s">
        <v>84</v>
      </c>
      <c r="M731" s="80" t="s">
        <v>9680</v>
      </c>
      <c r="N731" s="80" t="s">
        <v>84</v>
      </c>
      <c r="O731" s="80" t="s">
        <v>9680</v>
      </c>
      <c r="P731" s="80"/>
      <c r="Q731" s="80" t="s">
        <v>9680</v>
      </c>
      <c r="R731" s="80" t="s">
        <v>9680</v>
      </c>
    </row>
    <row r="732" spans="1:18" ht="20" x14ac:dyDescent="0.2">
      <c r="A732" s="80" t="s">
        <v>3869</v>
      </c>
      <c r="B732" s="80" t="s">
        <v>3870</v>
      </c>
      <c r="C732" s="80" t="s">
        <v>9680</v>
      </c>
      <c r="D732" s="80" t="s">
        <v>9680</v>
      </c>
      <c r="E732" s="80" t="s">
        <v>84</v>
      </c>
      <c r="F732" s="80"/>
      <c r="G732" s="80" t="s">
        <v>9680</v>
      </c>
      <c r="H732" s="80" t="s">
        <v>9680</v>
      </c>
      <c r="I732" s="80" t="s">
        <v>84</v>
      </c>
      <c r="J732" s="80" t="s">
        <v>9680</v>
      </c>
      <c r="K732" s="80" t="s">
        <v>84</v>
      </c>
      <c r="L732" s="80" t="s">
        <v>84</v>
      </c>
      <c r="M732" s="80" t="s">
        <v>9680</v>
      </c>
      <c r="N732" s="80" t="s">
        <v>84</v>
      </c>
      <c r="O732" s="80" t="s">
        <v>9680</v>
      </c>
      <c r="P732" s="80"/>
      <c r="Q732" s="80" t="s">
        <v>9680</v>
      </c>
      <c r="R732" s="80" t="s">
        <v>9680</v>
      </c>
    </row>
    <row r="733" spans="1:18" ht="20" x14ac:dyDescent="0.2">
      <c r="A733" s="80" t="s">
        <v>3871</v>
      </c>
      <c r="B733" s="80" t="s">
        <v>9968</v>
      </c>
      <c r="C733" s="80" t="s">
        <v>9680</v>
      </c>
      <c r="D733" s="80" t="s">
        <v>9680</v>
      </c>
      <c r="E733" s="80" t="s">
        <v>84</v>
      </c>
      <c r="F733" s="80"/>
      <c r="G733" s="80" t="s">
        <v>9680</v>
      </c>
      <c r="H733" s="80" t="s">
        <v>9680</v>
      </c>
      <c r="I733" s="80" t="s">
        <v>84</v>
      </c>
      <c r="J733" s="80" t="s">
        <v>9680</v>
      </c>
      <c r="K733" s="80" t="s">
        <v>84</v>
      </c>
      <c r="L733" s="80" t="s">
        <v>84</v>
      </c>
      <c r="M733" s="80" t="s">
        <v>9680</v>
      </c>
      <c r="N733" s="80" t="s">
        <v>84</v>
      </c>
      <c r="O733" s="80" t="s">
        <v>9680</v>
      </c>
      <c r="P733" s="80"/>
      <c r="Q733" s="80" t="s">
        <v>9680</v>
      </c>
      <c r="R733" s="80" t="s">
        <v>9680</v>
      </c>
    </row>
    <row r="734" spans="1:18" ht="20" x14ac:dyDescent="0.2">
      <c r="A734" s="80" t="s">
        <v>3871</v>
      </c>
      <c r="B734" s="80" t="s">
        <v>3872</v>
      </c>
      <c r="C734" s="80" t="s">
        <v>9680</v>
      </c>
      <c r="D734" s="80" t="s">
        <v>9680</v>
      </c>
      <c r="E734" s="80" t="s">
        <v>84</v>
      </c>
      <c r="F734" s="80"/>
      <c r="G734" s="80" t="s">
        <v>9680</v>
      </c>
      <c r="H734" s="80" t="s">
        <v>9680</v>
      </c>
      <c r="I734" s="80" t="s">
        <v>84</v>
      </c>
      <c r="J734" s="80" t="s">
        <v>9680</v>
      </c>
      <c r="K734" s="80" t="s">
        <v>84</v>
      </c>
      <c r="L734" s="80" t="s">
        <v>84</v>
      </c>
      <c r="M734" s="80" t="s">
        <v>9680</v>
      </c>
      <c r="N734" s="80" t="s">
        <v>84</v>
      </c>
      <c r="O734" s="80" t="s">
        <v>9680</v>
      </c>
      <c r="P734" s="80"/>
      <c r="Q734" s="80" t="s">
        <v>9680</v>
      </c>
      <c r="R734" s="80" t="s">
        <v>9680</v>
      </c>
    </row>
    <row r="735" spans="1:18" ht="20" x14ac:dyDescent="0.2">
      <c r="A735" s="80" t="s">
        <v>3873</v>
      </c>
      <c r="B735" s="80" t="s">
        <v>3874</v>
      </c>
      <c r="C735" s="80" t="s">
        <v>9680</v>
      </c>
      <c r="D735" s="80" t="s">
        <v>9680</v>
      </c>
      <c r="E735" s="80" t="s">
        <v>9680</v>
      </c>
      <c r="F735" s="80"/>
      <c r="G735" s="80" t="s">
        <v>9680</v>
      </c>
      <c r="H735" s="80" t="s">
        <v>9680</v>
      </c>
      <c r="I735" s="80" t="s">
        <v>84</v>
      </c>
      <c r="J735" s="80" t="s">
        <v>9680</v>
      </c>
      <c r="K735" s="80" t="s">
        <v>84</v>
      </c>
      <c r="L735" s="80" t="s">
        <v>84</v>
      </c>
      <c r="M735" s="80" t="s">
        <v>9680</v>
      </c>
      <c r="N735" s="80" t="s">
        <v>9680</v>
      </c>
      <c r="O735" s="80" t="s">
        <v>9680</v>
      </c>
      <c r="P735" s="80"/>
      <c r="Q735" s="80" t="s">
        <v>9680</v>
      </c>
      <c r="R735" s="80" t="s">
        <v>9680</v>
      </c>
    </row>
    <row r="736" spans="1:18" ht="20" x14ac:dyDescent="0.2">
      <c r="A736" s="80" t="s">
        <v>3908</v>
      </c>
      <c r="B736" s="80" t="s">
        <v>9969</v>
      </c>
      <c r="C736" s="80" t="s">
        <v>84</v>
      </c>
      <c r="D736" s="80" t="s">
        <v>84</v>
      </c>
      <c r="E736" s="80" t="s">
        <v>84</v>
      </c>
      <c r="F736" s="80"/>
      <c r="G736" s="80" t="s">
        <v>84</v>
      </c>
      <c r="H736" s="80" t="s">
        <v>84</v>
      </c>
      <c r="I736" s="80" t="s">
        <v>84</v>
      </c>
      <c r="J736" s="80" t="s">
        <v>84</v>
      </c>
      <c r="K736" s="80" t="s">
        <v>84</v>
      </c>
      <c r="L736" s="80" t="s">
        <v>84</v>
      </c>
      <c r="M736" s="80" t="s">
        <v>84</v>
      </c>
      <c r="N736" s="80" t="s">
        <v>84</v>
      </c>
      <c r="O736" s="80" t="s">
        <v>84</v>
      </c>
      <c r="P736" s="80"/>
      <c r="Q736" s="80" t="s">
        <v>84</v>
      </c>
      <c r="R736" s="80" t="s">
        <v>84</v>
      </c>
    </row>
    <row r="737" spans="1:18" ht="20" x14ac:dyDescent="0.2">
      <c r="A737" s="80" t="s">
        <v>3908</v>
      </c>
      <c r="B737" s="80" t="s">
        <v>3909</v>
      </c>
      <c r="C737" s="80" t="s">
        <v>84</v>
      </c>
      <c r="D737" s="80" t="s">
        <v>84</v>
      </c>
      <c r="E737" s="80" t="s">
        <v>84</v>
      </c>
      <c r="F737" s="80"/>
      <c r="G737" s="80" t="s">
        <v>84</v>
      </c>
      <c r="H737" s="80" t="s">
        <v>84</v>
      </c>
      <c r="I737" s="80" t="s">
        <v>84</v>
      </c>
      <c r="J737" s="80" t="s">
        <v>84</v>
      </c>
      <c r="K737" s="80" t="s">
        <v>84</v>
      </c>
      <c r="L737" s="80" t="s">
        <v>84</v>
      </c>
      <c r="M737" s="80" t="s">
        <v>84</v>
      </c>
      <c r="N737" s="80" t="s">
        <v>84</v>
      </c>
      <c r="O737" s="80" t="s">
        <v>84</v>
      </c>
      <c r="P737" s="80"/>
      <c r="Q737" s="80" t="s">
        <v>84</v>
      </c>
      <c r="R737" s="80" t="s">
        <v>84</v>
      </c>
    </row>
    <row r="738" spans="1:18" ht="20" x14ac:dyDescent="0.2">
      <c r="A738" s="80" t="s">
        <v>3875</v>
      </c>
      <c r="B738" s="80" t="s">
        <v>9970</v>
      </c>
      <c r="C738" s="80" t="s">
        <v>9680</v>
      </c>
      <c r="D738" s="80" t="s">
        <v>9680</v>
      </c>
      <c r="E738" s="80" t="s">
        <v>84</v>
      </c>
      <c r="F738" s="80"/>
      <c r="G738" s="80" t="s">
        <v>84</v>
      </c>
      <c r="H738" s="80" t="s">
        <v>84</v>
      </c>
      <c r="I738" s="80" t="s">
        <v>9680</v>
      </c>
      <c r="J738" s="80" t="s">
        <v>84</v>
      </c>
      <c r="K738" s="80" t="s">
        <v>9680</v>
      </c>
      <c r="L738" s="80" t="s">
        <v>9680</v>
      </c>
      <c r="M738" s="80" t="s">
        <v>9680</v>
      </c>
      <c r="N738" s="80" t="s">
        <v>84</v>
      </c>
      <c r="O738" s="80" t="s">
        <v>9680</v>
      </c>
      <c r="P738" s="80"/>
      <c r="Q738" s="80" t="s">
        <v>9680</v>
      </c>
      <c r="R738" s="80" t="s">
        <v>9680</v>
      </c>
    </row>
    <row r="739" spans="1:18" ht="20" x14ac:dyDescent="0.2">
      <c r="A739" s="80" t="s">
        <v>3875</v>
      </c>
      <c r="B739" s="80" t="s">
        <v>3876</v>
      </c>
      <c r="C739" s="80" t="s">
        <v>9680</v>
      </c>
      <c r="D739" s="80" t="s">
        <v>9680</v>
      </c>
      <c r="E739" s="80" t="s">
        <v>84</v>
      </c>
      <c r="F739" s="80"/>
      <c r="G739" s="80" t="s">
        <v>84</v>
      </c>
      <c r="H739" s="80" t="s">
        <v>84</v>
      </c>
      <c r="I739" s="80" t="s">
        <v>9680</v>
      </c>
      <c r="J739" s="80" t="s">
        <v>84</v>
      </c>
      <c r="K739" s="80" t="s">
        <v>9680</v>
      </c>
      <c r="L739" s="80" t="s">
        <v>9680</v>
      </c>
      <c r="M739" s="80" t="s">
        <v>9680</v>
      </c>
      <c r="N739" s="80" t="s">
        <v>84</v>
      </c>
      <c r="O739" s="80" t="s">
        <v>9680</v>
      </c>
      <c r="P739" s="80"/>
      <c r="Q739" s="80" t="s">
        <v>9680</v>
      </c>
      <c r="R739" s="80" t="s">
        <v>9680</v>
      </c>
    </row>
    <row r="740" spans="1:18" ht="20" x14ac:dyDescent="0.2">
      <c r="A740" s="80" t="s">
        <v>3977</v>
      </c>
      <c r="B740" s="80" t="s">
        <v>3978</v>
      </c>
      <c r="C740" s="80" t="s">
        <v>9680</v>
      </c>
      <c r="D740" s="80" t="s">
        <v>9680</v>
      </c>
      <c r="E740" s="80" t="s">
        <v>84</v>
      </c>
      <c r="F740" s="80"/>
      <c r="G740" s="80" t="s">
        <v>9680</v>
      </c>
      <c r="H740" s="80" t="s">
        <v>84</v>
      </c>
      <c r="I740" s="80" t="s">
        <v>9680</v>
      </c>
      <c r="J740" s="80" t="s">
        <v>84</v>
      </c>
      <c r="K740" s="80" t="s">
        <v>9680</v>
      </c>
      <c r="L740" s="80" t="s">
        <v>9680</v>
      </c>
      <c r="M740" s="80" t="s">
        <v>9680</v>
      </c>
      <c r="N740" s="80" t="s">
        <v>84</v>
      </c>
      <c r="O740" s="80" t="s">
        <v>9680</v>
      </c>
      <c r="P740" s="80"/>
      <c r="Q740" s="80" t="s">
        <v>9680</v>
      </c>
      <c r="R740" s="80" t="s">
        <v>9680</v>
      </c>
    </row>
    <row r="741" spans="1:18" ht="20" x14ac:dyDescent="0.2">
      <c r="A741" s="80" t="s">
        <v>3979</v>
      </c>
      <c r="B741" s="80" t="s">
        <v>3980</v>
      </c>
      <c r="C741" s="80" t="s">
        <v>9722</v>
      </c>
      <c r="D741" s="80" t="s">
        <v>9722</v>
      </c>
      <c r="E741" s="80" t="s">
        <v>9722</v>
      </c>
      <c r="F741" s="80"/>
      <c r="G741" s="80" t="s">
        <v>84</v>
      </c>
      <c r="H741" s="80" t="s">
        <v>9722</v>
      </c>
      <c r="I741" s="80" t="s">
        <v>9722</v>
      </c>
      <c r="J741" s="80" t="s">
        <v>9722</v>
      </c>
      <c r="K741" s="80" t="s">
        <v>9722</v>
      </c>
      <c r="L741" s="80" t="s">
        <v>84</v>
      </c>
      <c r="M741" s="80" t="s">
        <v>84</v>
      </c>
      <c r="N741" s="80" t="s">
        <v>9722</v>
      </c>
      <c r="O741" s="80" t="s">
        <v>9722</v>
      </c>
      <c r="P741" s="80"/>
      <c r="Q741" s="80" t="s">
        <v>84</v>
      </c>
      <c r="R741" s="80" t="s">
        <v>9722</v>
      </c>
    </row>
    <row r="742" spans="1:18" ht="20" x14ac:dyDescent="0.2">
      <c r="A742" s="80" t="s">
        <v>3800</v>
      </c>
      <c r="B742" s="80" t="s">
        <v>3801</v>
      </c>
      <c r="C742" s="80" t="s">
        <v>84</v>
      </c>
      <c r="D742" s="80" t="s">
        <v>84</v>
      </c>
      <c r="E742" s="80" t="s">
        <v>84</v>
      </c>
      <c r="F742" s="80"/>
      <c r="G742" s="80" t="s">
        <v>84</v>
      </c>
      <c r="H742" s="80" t="s">
        <v>84</v>
      </c>
      <c r="I742" s="80" t="s">
        <v>84</v>
      </c>
      <c r="J742" s="80" t="s">
        <v>84</v>
      </c>
      <c r="K742" s="80" t="s">
        <v>84</v>
      </c>
      <c r="L742" s="80" t="s">
        <v>84</v>
      </c>
      <c r="M742" s="80" t="s">
        <v>84</v>
      </c>
      <c r="N742" s="80" t="s">
        <v>84</v>
      </c>
      <c r="O742" s="80" t="s">
        <v>84</v>
      </c>
      <c r="P742" s="80"/>
      <c r="Q742" s="80" t="s">
        <v>84</v>
      </c>
      <c r="R742" s="80" t="s">
        <v>84</v>
      </c>
    </row>
    <row r="743" spans="1:18" ht="20" x14ac:dyDescent="0.2">
      <c r="A743" s="80" t="s">
        <v>3800</v>
      </c>
      <c r="B743" s="80" t="s">
        <v>4007</v>
      </c>
      <c r="C743" s="80" t="s">
        <v>84</v>
      </c>
      <c r="D743" s="80" t="s">
        <v>84</v>
      </c>
      <c r="E743" s="80" t="s">
        <v>84</v>
      </c>
      <c r="F743" s="80"/>
      <c r="G743" s="80" t="s">
        <v>84</v>
      </c>
      <c r="H743" s="80" t="s">
        <v>84</v>
      </c>
      <c r="I743" s="80" t="s">
        <v>84</v>
      </c>
      <c r="J743" s="80" t="s">
        <v>84</v>
      </c>
      <c r="K743" s="80" t="s">
        <v>84</v>
      </c>
      <c r="L743" s="80" t="s">
        <v>84</v>
      </c>
      <c r="M743" s="80" t="s">
        <v>84</v>
      </c>
      <c r="N743" s="80" t="s">
        <v>84</v>
      </c>
      <c r="O743" s="80" t="s">
        <v>84</v>
      </c>
      <c r="P743" s="80"/>
      <c r="Q743" s="80" t="s">
        <v>84</v>
      </c>
      <c r="R743" s="80" t="s">
        <v>84</v>
      </c>
    </row>
    <row r="744" spans="1:18" ht="20" x14ac:dyDescent="0.2">
      <c r="A744" s="80" t="s">
        <v>3993</v>
      </c>
      <c r="B744" s="80" t="s">
        <v>3994</v>
      </c>
      <c r="C744" s="80" t="s">
        <v>9680</v>
      </c>
      <c r="D744" s="80" t="s">
        <v>84</v>
      </c>
      <c r="E744" s="80" t="s">
        <v>84</v>
      </c>
      <c r="F744" s="80"/>
      <c r="G744" s="80" t="s">
        <v>84</v>
      </c>
      <c r="H744" s="80" t="s">
        <v>84</v>
      </c>
      <c r="I744" s="80" t="s">
        <v>84</v>
      </c>
      <c r="J744" s="80" t="s">
        <v>84</v>
      </c>
      <c r="K744" s="80" t="s">
        <v>84</v>
      </c>
      <c r="L744" s="80" t="s">
        <v>84</v>
      </c>
      <c r="M744" s="80" t="s">
        <v>84</v>
      </c>
      <c r="N744" s="80" t="s">
        <v>84</v>
      </c>
      <c r="O744" s="80" t="s">
        <v>84</v>
      </c>
      <c r="P744" s="80"/>
      <c r="Q744" s="80" t="s">
        <v>84</v>
      </c>
      <c r="R744" s="80" t="s">
        <v>84</v>
      </c>
    </row>
    <row r="745" spans="1:18" ht="20" x14ac:dyDescent="0.2">
      <c r="A745" s="80" t="s">
        <v>3995</v>
      </c>
      <c r="B745" s="80" t="s">
        <v>3996</v>
      </c>
      <c r="C745" s="80" t="s">
        <v>84</v>
      </c>
      <c r="D745" s="80" t="s">
        <v>84</v>
      </c>
      <c r="E745" s="80" t="s">
        <v>84</v>
      </c>
      <c r="F745" s="80"/>
      <c r="G745" s="80" t="s">
        <v>84</v>
      </c>
      <c r="H745" s="80" t="s">
        <v>84</v>
      </c>
      <c r="I745" s="80" t="s">
        <v>84</v>
      </c>
      <c r="J745" s="80" t="s">
        <v>84</v>
      </c>
      <c r="K745" s="80" t="s">
        <v>84</v>
      </c>
      <c r="L745" s="80" t="s">
        <v>84</v>
      </c>
      <c r="M745" s="80" t="s">
        <v>84</v>
      </c>
      <c r="N745" s="80" t="s">
        <v>84</v>
      </c>
      <c r="O745" s="80" t="s">
        <v>84</v>
      </c>
      <c r="P745" s="80"/>
      <c r="Q745" s="80" t="s">
        <v>84</v>
      </c>
      <c r="R745" s="80" t="s">
        <v>84</v>
      </c>
    </row>
    <row r="746" spans="1:18" ht="20" x14ac:dyDescent="0.2">
      <c r="A746" s="80" t="s">
        <v>3997</v>
      </c>
      <c r="B746" s="80" t="s">
        <v>3998</v>
      </c>
      <c r="C746" s="80" t="s">
        <v>84</v>
      </c>
      <c r="D746" s="80" t="s">
        <v>84</v>
      </c>
      <c r="E746" s="80" t="s">
        <v>84</v>
      </c>
      <c r="F746" s="80"/>
      <c r="G746" s="80" t="s">
        <v>84</v>
      </c>
      <c r="H746" s="80" t="s">
        <v>84</v>
      </c>
      <c r="I746" s="80" t="s">
        <v>84</v>
      </c>
      <c r="J746" s="80" t="s">
        <v>84</v>
      </c>
      <c r="K746" s="80" t="s">
        <v>84</v>
      </c>
      <c r="L746" s="80" t="s">
        <v>84</v>
      </c>
      <c r="M746" s="80" t="s">
        <v>84</v>
      </c>
      <c r="N746" s="80" t="s">
        <v>84</v>
      </c>
      <c r="O746" s="80" t="s">
        <v>84</v>
      </c>
      <c r="P746" s="80"/>
      <c r="Q746" s="80" t="s">
        <v>84</v>
      </c>
      <c r="R746" s="80" t="s">
        <v>84</v>
      </c>
    </row>
    <row r="747" spans="1:18" ht="20" x14ac:dyDescent="0.2">
      <c r="A747" s="80" t="s">
        <v>9971</v>
      </c>
      <c r="B747" s="80" t="s">
        <v>3913</v>
      </c>
      <c r="C747" s="80" t="s">
        <v>84</v>
      </c>
      <c r="D747" s="80" t="s">
        <v>84</v>
      </c>
      <c r="E747" s="80" t="s">
        <v>84</v>
      </c>
      <c r="F747" s="80"/>
      <c r="G747" s="80" t="s">
        <v>84</v>
      </c>
      <c r="H747" s="80" t="s">
        <v>84</v>
      </c>
      <c r="I747" s="80" t="s">
        <v>84</v>
      </c>
      <c r="J747" s="80" t="s">
        <v>84</v>
      </c>
      <c r="K747" s="80" t="s">
        <v>84</v>
      </c>
      <c r="L747" s="80" t="s">
        <v>84</v>
      </c>
      <c r="M747" s="80" t="s">
        <v>84</v>
      </c>
      <c r="N747" s="80" t="s">
        <v>84</v>
      </c>
      <c r="O747" s="80" t="s">
        <v>84</v>
      </c>
      <c r="P747" s="80"/>
      <c r="Q747" s="80" t="s">
        <v>84</v>
      </c>
      <c r="R747" s="80" t="s">
        <v>84</v>
      </c>
    </row>
    <row r="748" spans="1:18" ht="20" x14ac:dyDescent="0.2">
      <c r="A748" s="80" t="s">
        <v>3917</v>
      </c>
      <c r="B748" s="80" t="s">
        <v>9972</v>
      </c>
      <c r="C748" s="80" t="s">
        <v>84</v>
      </c>
      <c r="D748" s="80" t="s">
        <v>84</v>
      </c>
      <c r="E748" s="80" t="s">
        <v>84</v>
      </c>
      <c r="F748" s="80"/>
      <c r="G748" s="80" t="s">
        <v>84</v>
      </c>
      <c r="H748" s="80" t="s">
        <v>84</v>
      </c>
      <c r="I748" s="80" t="s">
        <v>84</v>
      </c>
      <c r="J748" s="80" t="s">
        <v>84</v>
      </c>
      <c r="K748" s="80" t="s">
        <v>84</v>
      </c>
      <c r="L748" s="80" t="s">
        <v>84</v>
      </c>
      <c r="M748" s="80" t="s">
        <v>84</v>
      </c>
      <c r="N748" s="80" t="s">
        <v>84</v>
      </c>
      <c r="O748" s="80" t="s">
        <v>84</v>
      </c>
      <c r="P748" s="80"/>
      <c r="Q748" s="80" t="s">
        <v>84</v>
      </c>
      <c r="R748" s="80" t="s">
        <v>84</v>
      </c>
    </row>
    <row r="749" spans="1:18" ht="20" x14ac:dyDescent="0.2">
      <c r="A749" s="80" t="s">
        <v>3917</v>
      </c>
      <c r="B749" s="80" t="s">
        <v>3918</v>
      </c>
      <c r="C749" s="80" t="s">
        <v>84</v>
      </c>
      <c r="D749" s="80" t="s">
        <v>84</v>
      </c>
      <c r="E749" s="80" t="s">
        <v>84</v>
      </c>
      <c r="F749" s="80"/>
      <c r="G749" s="80" t="s">
        <v>84</v>
      </c>
      <c r="H749" s="80" t="s">
        <v>84</v>
      </c>
      <c r="I749" s="80" t="s">
        <v>84</v>
      </c>
      <c r="J749" s="80" t="s">
        <v>84</v>
      </c>
      <c r="K749" s="80" t="s">
        <v>84</v>
      </c>
      <c r="L749" s="80" t="s">
        <v>84</v>
      </c>
      <c r="M749" s="80" t="s">
        <v>84</v>
      </c>
      <c r="N749" s="80" t="s">
        <v>84</v>
      </c>
      <c r="O749" s="80" t="s">
        <v>84</v>
      </c>
      <c r="P749" s="80"/>
      <c r="Q749" s="80" t="s">
        <v>84</v>
      </c>
      <c r="R749" s="80" t="s">
        <v>84</v>
      </c>
    </row>
    <row r="750" spans="1:18" ht="20" x14ac:dyDescent="0.2">
      <c r="A750" s="80" t="s">
        <v>5763</v>
      </c>
      <c r="B750" s="80" t="s">
        <v>5764</v>
      </c>
      <c r="C750" s="80" t="s">
        <v>84</v>
      </c>
      <c r="D750" s="80" t="s">
        <v>84</v>
      </c>
      <c r="E750" s="80" t="s">
        <v>84</v>
      </c>
      <c r="F750" s="80"/>
      <c r="G750" s="80" t="s">
        <v>84</v>
      </c>
      <c r="H750" s="80" t="s">
        <v>84</v>
      </c>
      <c r="I750" s="80" t="s">
        <v>84</v>
      </c>
      <c r="J750" s="80" t="s">
        <v>84</v>
      </c>
      <c r="K750" s="80" t="s">
        <v>84</v>
      </c>
      <c r="L750" s="80" t="s">
        <v>84</v>
      </c>
      <c r="M750" s="80" t="s">
        <v>84</v>
      </c>
      <c r="N750" s="80" t="s">
        <v>84</v>
      </c>
      <c r="O750" s="80" t="s">
        <v>84</v>
      </c>
      <c r="P750" s="80"/>
      <c r="Q750" s="80" t="s">
        <v>84</v>
      </c>
      <c r="R750" s="80" t="s">
        <v>84</v>
      </c>
    </row>
    <row r="751" spans="1:18" ht="20" x14ac:dyDescent="0.2">
      <c r="A751" s="80" t="s">
        <v>5763</v>
      </c>
      <c r="B751" s="80" t="s">
        <v>9973</v>
      </c>
      <c r="C751" s="80" t="s">
        <v>84</v>
      </c>
      <c r="D751" s="80" t="s">
        <v>84</v>
      </c>
      <c r="E751" s="80" t="s">
        <v>84</v>
      </c>
      <c r="F751" s="80"/>
      <c r="G751" s="80" t="s">
        <v>84</v>
      </c>
      <c r="H751" s="80" t="s">
        <v>84</v>
      </c>
      <c r="I751" s="80" t="s">
        <v>84</v>
      </c>
      <c r="J751" s="80" t="s">
        <v>84</v>
      </c>
      <c r="K751" s="80" t="s">
        <v>84</v>
      </c>
      <c r="L751" s="80" t="s">
        <v>84</v>
      </c>
      <c r="M751" s="80" t="s">
        <v>84</v>
      </c>
      <c r="N751" s="80" t="s">
        <v>84</v>
      </c>
      <c r="O751" s="80" t="s">
        <v>84</v>
      </c>
      <c r="P751" s="80"/>
      <c r="Q751" s="80" t="s">
        <v>84</v>
      </c>
      <c r="R751" s="80" t="s">
        <v>84</v>
      </c>
    </row>
    <row r="752" spans="1:18" ht="20" x14ac:dyDescent="0.2">
      <c r="A752" s="80" t="s">
        <v>5763</v>
      </c>
      <c r="B752" s="80" t="s">
        <v>6034</v>
      </c>
      <c r="C752" s="80" t="s">
        <v>84</v>
      </c>
      <c r="D752" s="80" t="s">
        <v>84</v>
      </c>
      <c r="E752" s="80" t="s">
        <v>84</v>
      </c>
      <c r="F752" s="80"/>
      <c r="G752" s="80" t="s">
        <v>84</v>
      </c>
      <c r="H752" s="80" t="s">
        <v>84</v>
      </c>
      <c r="I752" s="80" t="s">
        <v>84</v>
      </c>
      <c r="J752" s="80" t="s">
        <v>84</v>
      </c>
      <c r="K752" s="80" t="s">
        <v>84</v>
      </c>
      <c r="L752" s="80" t="s">
        <v>84</v>
      </c>
      <c r="M752" s="80" t="s">
        <v>84</v>
      </c>
      <c r="N752" s="80" t="s">
        <v>84</v>
      </c>
      <c r="O752" s="80" t="s">
        <v>84</v>
      </c>
      <c r="P752" s="80"/>
      <c r="Q752" s="80" t="s">
        <v>84</v>
      </c>
      <c r="R752" s="80" t="s">
        <v>84</v>
      </c>
    </row>
    <row r="753" spans="1:18" ht="20" x14ac:dyDescent="0.2">
      <c r="A753" s="80" t="s">
        <v>3919</v>
      </c>
      <c r="B753" s="80" t="s">
        <v>3920</v>
      </c>
      <c r="C753" s="80" t="s">
        <v>9680</v>
      </c>
      <c r="D753" s="80" t="s">
        <v>9680</v>
      </c>
      <c r="E753" s="80" t="s">
        <v>84</v>
      </c>
      <c r="F753" s="80"/>
      <c r="G753" s="80" t="s">
        <v>9680</v>
      </c>
      <c r="H753" s="80" t="s">
        <v>84</v>
      </c>
      <c r="I753" s="80" t="s">
        <v>9680</v>
      </c>
      <c r="J753" s="80" t="s">
        <v>84</v>
      </c>
      <c r="K753" s="80" t="s">
        <v>9680</v>
      </c>
      <c r="L753" s="80" t="s">
        <v>9680</v>
      </c>
      <c r="M753" s="80" t="s">
        <v>9680</v>
      </c>
      <c r="N753" s="80" t="s">
        <v>84</v>
      </c>
      <c r="O753" s="80" t="s">
        <v>9680</v>
      </c>
      <c r="P753" s="80"/>
      <c r="Q753" s="80" t="s">
        <v>9680</v>
      </c>
      <c r="R753" s="80" t="s">
        <v>9680</v>
      </c>
    </row>
    <row r="754" spans="1:18" ht="20" x14ac:dyDescent="0.2">
      <c r="A754" s="80" t="s">
        <v>3925</v>
      </c>
      <c r="B754" s="80" t="s">
        <v>3926</v>
      </c>
      <c r="C754" s="80" t="s">
        <v>9680</v>
      </c>
      <c r="D754" s="80" t="s">
        <v>9680</v>
      </c>
      <c r="E754" s="80" t="s">
        <v>84</v>
      </c>
      <c r="F754" s="80"/>
      <c r="G754" s="80" t="s">
        <v>9680</v>
      </c>
      <c r="H754" s="80" t="s">
        <v>84</v>
      </c>
      <c r="I754" s="80" t="s">
        <v>9680</v>
      </c>
      <c r="J754" s="80" t="s">
        <v>84</v>
      </c>
      <c r="K754" s="80" t="s">
        <v>9680</v>
      </c>
      <c r="L754" s="80" t="s">
        <v>9680</v>
      </c>
      <c r="M754" s="80" t="s">
        <v>9680</v>
      </c>
      <c r="N754" s="80" t="s">
        <v>84</v>
      </c>
      <c r="O754" s="80" t="s">
        <v>9680</v>
      </c>
      <c r="P754" s="80"/>
      <c r="Q754" s="80" t="s">
        <v>9680</v>
      </c>
      <c r="R754" s="80" t="s">
        <v>9680</v>
      </c>
    </row>
    <row r="755" spans="1:18" ht="20" x14ac:dyDescent="0.2">
      <c r="A755" s="80" t="s">
        <v>3931</v>
      </c>
      <c r="B755" s="80" t="s">
        <v>3932</v>
      </c>
      <c r="C755" s="80" t="s">
        <v>84</v>
      </c>
      <c r="D755" s="80" t="s">
        <v>84</v>
      </c>
      <c r="E755" s="80" t="s">
        <v>84</v>
      </c>
      <c r="F755" s="80"/>
      <c r="G755" s="80" t="s">
        <v>84</v>
      </c>
      <c r="H755" s="80" t="s">
        <v>84</v>
      </c>
      <c r="I755" s="80" t="s">
        <v>84</v>
      </c>
      <c r="J755" s="80" t="s">
        <v>84</v>
      </c>
      <c r="K755" s="80" t="s">
        <v>84</v>
      </c>
      <c r="L755" s="80" t="s">
        <v>84</v>
      </c>
      <c r="M755" s="80" t="s">
        <v>84</v>
      </c>
      <c r="N755" s="80" t="s">
        <v>84</v>
      </c>
      <c r="O755" s="80" t="s">
        <v>84</v>
      </c>
      <c r="P755" s="80"/>
      <c r="Q755" s="80" t="s">
        <v>84</v>
      </c>
      <c r="R755" s="80" t="s">
        <v>84</v>
      </c>
    </row>
    <row r="756" spans="1:18" ht="20" x14ac:dyDescent="0.2">
      <c r="A756" s="80" t="s">
        <v>3933</v>
      </c>
      <c r="B756" s="80" t="s">
        <v>3934</v>
      </c>
      <c r="C756" s="80" t="s">
        <v>9680</v>
      </c>
      <c r="D756" s="80" t="s">
        <v>9680</v>
      </c>
      <c r="E756" s="80" t="s">
        <v>84</v>
      </c>
      <c r="F756" s="80"/>
      <c r="G756" s="80" t="s">
        <v>9680</v>
      </c>
      <c r="H756" s="80" t="s">
        <v>84</v>
      </c>
      <c r="I756" s="80" t="s">
        <v>9680</v>
      </c>
      <c r="J756" s="80" t="s">
        <v>84</v>
      </c>
      <c r="K756" s="80" t="s">
        <v>9680</v>
      </c>
      <c r="L756" s="80" t="s">
        <v>9680</v>
      </c>
      <c r="M756" s="80" t="s">
        <v>9680</v>
      </c>
      <c r="N756" s="80" t="s">
        <v>84</v>
      </c>
      <c r="O756" s="80" t="s">
        <v>9680</v>
      </c>
      <c r="P756" s="80"/>
      <c r="Q756" s="80" t="s">
        <v>9680</v>
      </c>
      <c r="R756" s="80" t="s">
        <v>9680</v>
      </c>
    </row>
    <row r="757" spans="1:18" ht="20" x14ac:dyDescent="0.2">
      <c r="A757" s="80" t="s">
        <v>3999</v>
      </c>
      <c r="B757" s="80" t="s">
        <v>4000</v>
      </c>
      <c r="C757" s="80" t="s">
        <v>9680</v>
      </c>
      <c r="D757" s="80" t="s">
        <v>84</v>
      </c>
      <c r="E757" s="80" t="s">
        <v>84</v>
      </c>
      <c r="F757" s="80"/>
      <c r="G757" s="80" t="s">
        <v>84</v>
      </c>
      <c r="H757" s="80" t="s">
        <v>84</v>
      </c>
      <c r="I757" s="80" t="s">
        <v>84</v>
      </c>
      <c r="J757" s="80" t="s">
        <v>84</v>
      </c>
      <c r="K757" s="80" t="s">
        <v>84</v>
      </c>
      <c r="L757" s="80" t="s">
        <v>84</v>
      </c>
      <c r="M757" s="80" t="s">
        <v>84</v>
      </c>
      <c r="N757" s="80" t="s">
        <v>84</v>
      </c>
      <c r="O757" s="80" t="s">
        <v>84</v>
      </c>
      <c r="P757" s="80"/>
      <c r="Q757" s="80" t="s">
        <v>84</v>
      </c>
      <c r="R757" s="80" t="s">
        <v>84</v>
      </c>
    </row>
    <row r="758" spans="1:18" ht="20" x14ac:dyDescent="0.2">
      <c r="A758" s="80" t="s">
        <v>4001</v>
      </c>
      <c r="B758" s="80" t="s">
        <v>4002</v>
      </c>
      <c r="C758" s="80" t="s">
        <v>84</v>
      </c>
      <c r="D758" s="80" t="s">
        <v>84</v>
      </c>
      <c r="E758" s="80" t="s">
        <v>84</v>
      </c>
      <c r="F758" s="80"/>
      <c r="G758" s="80" t="s">
        <v>84</v>
      </c>
      <c r="H758" s="80" t="s">
        <v>84</v>
      </c>
      <c r="I758" s="80" t="s">
        <v>84</v>
      </c>
      <c r="J758" s="80" t="s">
        <v>84</v>
      </c>
      <c r="K758" s="80" t="s">
        <v>84</v>
      </c>
      <c r="L758" s="80" t="s">
        <v>84</v>
      </c>
      <c r="M758" s="80" t="s">
        <v>84</v>
      </c>
      <c r="N758" s="80" t="s">
        <v>84</v>
      </c>
      <c r="O758" s="80" t="s">
        <v>84</v>
      </c>
      <c r="P758" s="80"/>
      <c r="Q758" s="80" t="s">
        <v>84</v>
      </c>
      <c r="R758" s="80" t="s">
        <v>84</v>
      </c>
    </row>
    <row r="759" spans="1:18" ht="20" x14ac:dyDescent="0.2">
      <c r="A759" s="80" t="s">
        <v>9974</v>
      </c>
      <c r="B759" s="80" t="s">
        <v>9975</v>
      </c>
      <c r="C759" s="80" t="s">
        <v>84</v>
      </c>
      <c r="D759" s="80" t="s">
        <v>84</v>
      </c>
      <c r="E759" s="80" t="s">
        <v>84</v>
      </c>
      <c r="F759" s="80"/>
      <c r="G759" s="80" t="s">
        <v>84</v>
      </c>
      <c r="H759" s="80" t="s">
        <v>84</v>
      </c>
      <c r="I759" s="80" t="s">
        <v>84</v>
      </c>
      <c r="J759" s="80" t="s">
        <v>84</v>
      </c>
      <c r="K759" s="80" t="s">
        <v>84</v>
      </c>
      <c r="L759" s="80" t="s">
        <v>84</v>
      </c>
      <c r="M759" s="80" t="s">
        <v>84</v>
      </c>
      <c r="N759" s="80" t="s">
        <v>84</v>
      </c>
      <c r="O759" s="80" t="s">
        <v>84</v>
      </c>
      <c r="P759" s="80"/>
      <c r="Q759" s="80" t="s">
        <v>84</v>
      </c>
      <c r="R759" s="80" t="s">
        <v>84</v>
      </c>
    </row>
    <row r="760" spans="1:18" ht="20" x14ac:dyDescent="0.2">
      <c r="A760" s="80" t="s">
        <v>9976</v>
      </c>
      <c r="B760" s="80" t="s">
        <v>9977</v>
      </c>
      <c r="C760" s="80" t="s">
        <v>84</v>
      </c>
      <c r="D760" s="80" t="s">
        <v>84</v>
      </c>
      <c r="E760" s="80" t="s">
        <v>84</v>
      </c>
      <c r="F760" s="80"/>
      <c r="G760" s="80" t="s">
        <v>84</v>
      </c>
      <c r="H760" s="80" t="s">
        <v>84</v>
      </c>
      <c r="I760" s="80" t="s">
        <v>84</v>
      </c>
      <c r="J760" s="80" t="s">
        <v>84</v>
      </c>
      <c r="K760" s="80" t="s">
        <v>84</v>
      </c>
      <c r="L760" s="80" t="s">
        <v>84</v>
      </c>
      <c r="M760" s="80" t="s">
        <v>84</v>
      </c>
      <c r="N760" s="80" t="s">
        <v>84</v>
      </c>
      <c r="O760" s="80" t="s">
        <v>84</v>
      </c>
      <c r="P760" s="80"/>
      <c r="Q760" s="80" t="s">
        <v>84</v>
      </c>
      <c r="R760" s="80" t="s">
        <v>84</v>
      </c>
    </row>
    <row r="761" spans="1:18" ht="20" x14ac:dyDescent="0.2">
      <c r="A761" s="80" t="s">
        <v>9978</v>
      </c>
      <c r="B761" s="80" t="s">
        <v>9979</v>
      </c>
      <c r="C761" s="80" t="s">
        <v>9680</v>
      </c>
      <c r="D761" s="80" t="s">
        <v>84</v>
      </c>
      <c r="E761" s="80" t="s">
        <v>84</v>
      </c>
      <c r="F761" s="80"/>
      <c r="G761" s="80" t="s">
        <v>84</v>
      </c>
      <c r="H761" s="80" t="s">
        <v>84</v>
      </c>
      <c r="I761" s="80" t="s">
        <v>84</v>
      </c>
      <c r="J761" s="80" t="s">
        <v>84</v>
      </c>
      <c r="K761" s="80" t="s">
        <v>84</v>
      </c>
      <c r="L761" s="80" t="s">
        <v>84</v>
      </c>
      <c r="M761" s="80" t="s">
        <v>84</v>
      </c>
      <c r="N761" s="80" t="s">
        <v>84</v>
      </c>
      <c r="O761" s="80" t="s">
        <v>84</v>
      </c>
      <c r="P761" s="80"/>
      <c r="Q761" s="80" t="s">
        <v>84</v>
      </c>
      <c r="R761" s="80" t="s">
        <v>84</v>
      </c>
    </row>
    <row r="762" spans="1:18" ht="20" x14ac:dyDescent="0.2">
      <c r="A762" s="80" t="s">
        <v>9980</v>
      </c>
      <c r="B762" s="80" t="s">
        <v>9981</v>
      </c>
      <c r="C762" s="80" t="s">
        <v>9680</v>
      </c>
      <c r="D762" s="80" t="s">
        <v>84</v>
      </c>
      <c r="E762" s="80" t="s">
        <v>84</v>
      </c>
      <c r="F762" s="80"/>
      <c r="G762" s="80" t="s">
        <v>84</v>
      </c>
      <c r="H762" s="80" t="s">
        <v>84</v>
      </c>
      <c r="I762" s="80" t="s">
        <v>84</v>
      </c>
      <c r="J762" s="80" t="s">
        <v>9680</v>
      </c>
      <c r="K762" s="80" t="s">
        <v>84</v>
      </c>
      <c r="L762" s="80" t="s">
        <v>84</v>
      </c>
      <c r="M762" s="80" t="s">
        <v>9680</v>
      </c>
      <c r="N762" s="80" t="s">
        <v>84</v>
      </c>
      <c r="O762" s="80" t="s">
        <v>9680</v>
      </c>
      <c r="P762" s="80"/>
      <c r="Q762" s="80" t="s">
        <v>9680</v>
      </c>
      <c r="R762" s="80" t="s">
        <v>9680</v>
      </c>
    </row>
    <row r="763" spans="1:18" ht="20" x14ac:dyDescent="0.2">
      <c r="A763" s="80" t="s">
        <v>3877</v>
      </c>
      <c r="B763" s="80" t="s">
        <v>3878</v>
      </c>
      <c r="C763" s="80" t="s">
        <v>9680</v>
      </c>
      <c r="D763" s="80" t="s">
        <v>9680</v>
      </c>
      <c r="E763" s="80" t="s">
        <v>9680</v>
      </c>
      <c r="F763" s="80"/>
      <c r="G763" s="80" t="s">
        <v>9680</v>
      </c>
      <c r="H763" s="80" t="s">
        <v>9680</v>
      </c>
      <c r="I763" s="80" t="s">
        <v>9680</v>
      </c>
      <c r="J763" s="80" t="s">
        <v>9680</v>
      </c>
      <c r="K763" s="80" t="s">
        <v>9680</v>
      </c>
      <c r="L763" s="80" t="s">
        <v>9680</v>
      </c>
      <c r="M763" s="80" t="s">
        <v>9680</v>
      </c>
      <c r="N763" s="80" t="s">
        <v>9680</v>
      </c>
      <c r="O763" s="80" t="s">
        <v>9680</v>
      </c>
      <c r="P763" s="80"/>
      <c r="Q763" s="80" t="s">
        <v>9680</v>
      </c>
      <c r="R763" s="80" t="s">
        <v>9680</v>
      </c>
    </row>
    <row r="764" spans="1:18" ht="20" x14ac:dyDescent="0.2">
      <c r="A764" s="80" t="s">
        <v>3879</v>
      </c>
      <c r="B764" s="80" t="s">
        <v>3880</v>
      </c>
      <c r="C764" s="80" t="s">
        <v>9680</v>
      </c>
      <c r="D764" s="80" t="s">
        <v>9680</v>
      </c>
      <c r="E764" s="80" t="s">
        <v>9680</v>
      </c>
      <c r="F764" s="80"/>
      <c r="G764" s="80" t="s">
        <v>9680</v>
      </c>
      <c r="H764" s="80" t="s">
        <v>9680</v>
      </c>
      <c r="I764" s="80" t="s">
        <v>9680</v>
      </c>
      <c r="J764" s="80" t="s">
        <v>9680</v>
      </c>
      <c r="K764" s="80" t="s">
        <v>9680</v>
      </c>
      <c r="L764" s="80" t="s">
        <v>9680</v>
      </c>
      <c r="M764" s="80" t="s">
        <v>9680</v>
      </c>
      <c r="N764" s="80" t="s">
        <v>9680</v>
      </c>
      <c r="O764" s="80" t="s">
        <v>9680</v>
      </c>
      <c r="P764" s="80"/>
      <c r="Q764" s="80" t="s">
        <v>9680</v>
      </c>
      <c r="R764" s="80" t="s">
        <v>9680</v>
      </c>
    </row>
    <row r="765" spans="1:18" ht="20" x14ac:dyDescent="0.2">
      <c r="A765" s="80" t="s">
        <v>3938</v>
      </c>
      <c r="B765" s="80" t="s">
        <v>3939</v>
      </c>
      <c r="C765" s="80" t="s">
        <v>9680</v>
      </c>
      <c r="D765" s="80" t="s">
        <v>9680</v>
      </c>
      <c r="E765" s="80" t="s">
        <v>9680</v>
      </c>
      <c r="F765" s="80"/>
      <c r="G765" s="80" t="s">
        <v>9680</v>
      </c>
      <c r="H765" s="80" t="s">
        <v>9680</v>
      </c>
      <c r="I765" s="80" t="s">
        <v>84</v>
      </c>
      <c r="J765" s="80" t="s">
        <v>9680</v>
      </c>
      <c r="K765" s="80" t="s">
        <v>84</v>
      </c>
      <c r="L765" s="80" t="s">
        <v>84</v>
      </c>
      <c r="M765" s="80" t="s">
        <v>9680</v>
      </c>
      <c r="N765" s="80" t="s">
        <v>9680</v>
      </c>
      <c r="O765" s="80" t="s">
        <v>9680</v>
      </c>
      <c r="P765" s="80"/>
      <c r="Q765" s="80" t="s">
        <v>9680</v>
      </c>
      <c r="R765" s="80" t="s">
        <v>9680</v>
      </c>
    </row>
    <row r="766" spans="1:18" ht="20" x14ac:dyDescent="0.2">
      <c r="A766" s="80" t="s">
        <v>3940</v>
      </c>
      <c r="B766" s="80" t="s">
        <v>9982</v>
      </c>
      <c r="C766" s="80" t="s">
        <v>9680</v>
      </c>
      <c r="D766" s="80" t="s">
        <v>9680</v>
      </c>
      <c r="E766" s="80" t="s">
        <v>84</v>
      </c>
      <c r="F766" s="80"/>
      <c r="G766" s="80" t="s">
        <v>9680</v>
      </c>
      <c r="H766" s="80" t="s">
        <v>9680</v>
      </c>
      <c r="I766" s="80" t="s">
        <v>9680</v>
      </c>
      <c r="J766" s="80" t="s">
        <v>9680</v>
      </c>
      <c r="K766" s="80" t="s">
        <v>9680</v>
      </c>
      <c r="L766" s="80" t="s">
        <v>9680</v>
      </c>
      <c r="M766" s="80" t="s">
        <v>9680</v>
      </c>
      <c r="N766" s="80" t="s">
        <v>84</v>
      </c>
      <c r="O766" s="80" t="s">
        <v>9680</v>
      </c>
      <c r="P766" s="80"/>
      <c r="Q766" s="80" t="s">
        <v>9680</v>
      </c>
      <c r="R766" s="80" t="s">
        <v>9680</v>
      </c>
    </row>
    <row r="767" spans="1:18" ht="20" x14ac:dyDescent="0.2">
      <c r="A767" s="80" t="s">
        <v>3940</v>
      </c>
      <c r="B767" s="80" t="s">
        <v>3941</v>
      </c>
      <c r="C767" s="80" t="s">
        <v>9680</v>
      </c>
      <c r="D767" s="80" t="s">
        <v>9680</v>
      </c>
      <c r="E767" s="80" t="s">
        <v>84</v>
      </c>
      <c r="F767" s="80"/>
      <c r="G767" s="80" t="s">
        <v>9680</v>
      </c>
      <c r="H767" s="80" t="s">
        <v>9680</v>
      </c>
      <c r="I767" s="80" t="s">
        <v>9680</v>
      </c>
      <c r="J767" s="80" t="s">
        <v>9680</v>
      </c>
      <c r="K767" s="80" t="s">
        <v>9680</v>
      </c>
      <c r="L767" s="80" t="s">
        <v>9680</v>
      </c>
      <c r="M767" s="80" t="s">
        <v>9680</v>
      </c>
      <c r="N767" s="80" t="s">
        <v>84</v>
      </c>
      <c r="O767" s="80" t="s">
        <v>9680</v>
      </c>
      <c r="P767" s="80"/>
      <c r="Q767" s="80" t="s">
        <v>9680</v>
      </c>
      <c r="R767" s="80" t="s">
        <v>9680</v>
      </c>
    </row>
    <row r="768" spans="1:18" ht="20" x14ac:dyDescent="0.2">
      <c r="A768" s="80" t="s">
        <v>3942</v>
      </c>
      <c r="B768" s="80" t="s">
        <v>9983</v>
      </c>
      <c r="C768" s="80" t="s">
        <v>9680</v>
      </c>
      <c r="D768" s="80" t="s">
        <v>9680</v>
      </c>
      <c r="E768" s="80" t="s">
        <v>84</v>
      </c>
      <c r="F768" s="80"/>
      <c r="G768" s="80" t="s">
        <v>9680</v>
      </c>
      <c r="H768" s="80" t="s">
        <v>9680</v>
      </c>
      <c r="I768" s="80" t="s">
        <v>9680</v>
      </c>
      <c r="J768" s="80" t="s">
        <v>9680</v>
      </c>
      <c r="K768" s="80" t="s">
        <v>9680</v>
      </c>
      <c r="L768" s="80" t="s">
        <v>9680</v>
      </c>
      <c r="M768" s="80" t="s">
        <v>9680</v>
      </c>
      <c r="N768" s="80" t="s">
        <v>84</v>
      </c>
      <c r="O768" s="80" t="s">
        <v>9680</v>
      </c>
      <c r="P768" s="80"/>
      <c r="Q768" s="80" t="s">
        <v>9680</v>
      </c>
      <c r="R768" s="80" t="s">
        <v>9680</v>
      </c>
    </row>
    <row r="769" spans="1:18" ht="20" x14ac:dyDescent="0.2">
      <c r="A769" s="80" t="s">
        <v>3942</v>
      </c>
      <c r="B769" s="80" t="s">
        <v>3943</v>
      </c>
      <c r="C769" s="80" t="s">
        <v>9680</v>
      </c>
      <c r="D769" s="80" t="s">
        <v>9680</v>
      </c>
      <c r="E769" s="80" t="s">
        <v>84</v>
      </c>
      <c r="F769" s="80"/>
      <c r="G769" s="80" t="s">
        <v>9680</v>
      </c>
      <c r="H769" s="80" t="s">
        <v>9680</v>
      </c>
      <c r="I769" s="80" t="s">
        <v>9680</v>
      </c>
      <c r="J769" s="80" t="s">
        <v>9680</v>
      </c>
      <c r="K769" s="80" t="s">
        <v>9680</v>
      </c>
      <c r="L769" s="80" t="s">
        <v>9680</v>
      </c>
      <c r="M769" s="80" t="s">
        <v>9680</v>
      </c>
      <c r="N769" s="80" t="s">
        <v>84</v>
      </c>
      <c r="O769" s="80" t="s">
        <v>9680</v>
      </c>
      <c r="P769" s="80"/>
      <c r="Q769" s="80" t="s">
        <v>9680</v>
      </c>
      <c r="R769" s="80" t="s">
        <v>9680</v>
      </c>
    </row>
    <row r="770" spans="1:18" ht="20" x14ac:dyDescent="0.2">
      <c r="A770" s="80" t="s">
        <v>3944</v>
      </c>
      <c r="B770" s="80" t="s">
        <v>9984</v>
      </c>
      <c r="C770" s="80" t="s">
        <v>9680</v>
      </c>
      <c r="D770" s="80" t="s">
        <v>9680</v>
      </c>
      <c r="E770" s="80" t="s">
        <v>84</v>
      </c>
      <c r="F770" s="80"/>
      <c r="G770" s="80" t="s">
        <v>9680</v>
      </c>
      <c r="H770" s="80" t="s">
        <v>9680</v>
      </c>
      <c r="I770" s="80" t="s">
        <v>9680</v>
      </c>
      <c r="J770" s="80" t="s">
        <v>9680</v>
      </c>
      <c r="K770" s="80" t="s">
        <v>9680</v>
      </c>
      <c r="L770" s="80" t="s">
        <v>9680</v>
      </c>
      <c r="M770" s="80" t="s">
        <v>9680</v>
      </c>
      <c r="N770" s="80" t="s">
        <v>84</v>
      </c>
      <c r="O770" s="80" t="s">
        <v>9680</v>
      </c>
      <c r="P770" s="80"/>
      <c r="Q770" s="80" t="s">
        <v>9680</v>
      </c>
      <c r="R770" s="80" t="s">
        <v>9680</v>
      </c>
    </row>
    <row r="771" spans="1:18" ht="20" x14ac:dyDescent="0.2">
      <c r="A771" s="80" t="s">
        <v>3944</v>
      </c>
      <c r="B771" s="80" t="s">
        <v>3945</v>
      </c>
      <c r="C771" s="80" t="s">
        <v>9680</v>
      </c>
      <c r="D771" s="80" t="s">
        <v>9680</v>
      </c>
      <c r="E771" s="80" t="s">
        <v>84</v>
      </c>
      <c r="F771" s="80"/>
      <c r="G771" s="80" t="s">
        <v>9680</v>
      </c>
      <c r="H771" s="80" t="s">
        <v>9680</v>
      </c>
      <c r="I771" s="80" t="s">
        <v>9680</v>
      </c>
      <c r="J771" s="80" t="s">
        <v>9680</v>
      </c>
      <c r="K771" s="80" t="s">
        <v>9680</v>
      </c>
      <c r="L771" s="80" t="s">
        <v>9680</v>
      </c>
      <c r="M771" s="80" t="s">
        <v>9680</v>
      </c>
      <c r="N771" s="80" t="s">
        <v>84</v>
      </c>
      <c r="O771" s="80" t="s">
        <v>9680</v>
      </c>
      <c r="P771" s="80"/>
      <c r="Q771" s="80" t="s">
        <v>9680</v>
      </c>
      <c r="R771" s="80" t="s">
        <v>9680</v>
      </c>
    </row>
    <row r="772" spans="1:18" ht="20" x14ac:dyDescent="0.2">
      <c r="A772" s="80" t="s">
        <v>3946</v>
      </c>
      <c r="B772" s="80" t="s">
        <v>9985</v>
      </c>
      <c r="C772" s="80" t="s">
        <v>9680</v>
      </c>
      <c r="D772" s="80" t="s">
        <v>9680</v>
      </c>
      <c r="E772" s="80" t="s">
        <v>84</v>
      </c>
      <c r="F772" s="80"/>
      <c r="G772" s="80" t="s">
        <v>9680</v>
      </c>
      <c r="H772" s="80" t="s">
        <v>9680</v>
      </c>
      <c r="I772" s="80" t="s">
        <v>9680</v>
      </c>
      <c r="J772" s="80" t="s">
        <v>9680</v>
      </c>
      <c r="K772" s="80" t="s">
        <v>9680</v>
      </c>
      <c r="L772" s="80" t="s">
        <v>9680</v>
      </c>
      <c r="M772" s="80" t="s">
        <v>9680</v>
      </c>
      <c r="N772" s="80" t="s">
        <v>84</v>
      </c>
      <c r="O772" s="80" t="s">
        <v>9680</v>
      </c>
      <c r="P772" s="80"/>
      <c r="Q772" s="80" t="s">
        <v>9680</v>
      </c>
      <c r="R772" s="80" t="s">
        <v>9680</v>
      </c>
    </row>
    <row r="773" spans="1:18" ht="20" x14ac:dyDescent="0.2">
      <c r="A773" s="80" t="s">
        <v>3946</v>
      </c>
      <c r="B773" s="80" t="s">
        <v>3947</v>
      </c>
      <c r="C773" s="80" t="s">
        <v>9680</v>
      </c>
      <c r="D773" s="80" t="s">
        <v>9680</v>
      </c>
      <c r="E773" s="80" t="s">
        <v>84</v>
      </c>
      <c r="F773" s="80"/>
      <c r="G773" s="80" t="s">
        <v>9680</v>
      </c>
      <c r="H773" s="80" t="s">
        <v>9680</v>
      </c>
      <c r="I773" s="80" t="s">
        <v>9680</v>
      </c>
      <c r="J773" s="80" t="s">
        <v>9680</v>
      </c>
      <c r="K773" s="80" t="s">
        <v>9680</v>
      </c>
      <c r="L773" s="80" t="s">
        <v>9680</v>
      </c>
      <c r="M773" s="80" t="s">
        <v>9680</v>
      </c>
      <c r="N773" s="80" t="s">
        <v>84</v>
      </c>
      <c r="O773" s="80" t="s">
        <v>9680</v>
      </c>
      <c r="P773" s="80"/>
      <c r="Q773" s="80" t="s">
        <v>9680</v>
      </c>
      <c r="R773" s="80" t="s">
        <v>9680</v>
      </c>
    </row>
    <row r="774" spans="1:18" ht="20" x14ac:dyDescent="0.2">
      <c r="A774" s="80" t="s">
        <v>3881</v>
      </c>
      <c r="B774" s="80" t="s">
        <v>3882</v>
      </c>
      <c r="C774" s="80" t="s">
        <v>9680</v>
      </c>
      <c r="D774" s="80" t="s">
        <v>9680</v>
      </c>
      <c r="E774" s="80" t="s">
        <v>84</v>
      </c>
      <c r="F774" s="80"/>
      <c r="G774" s="80" t="s">
        <v>9680</v>
      </c>
      <c r="H774" s="80" t="s">
        <v>84</v>
      </c>
      <c r="I774" s="80" t="s">
        <v>9680</v>
      </c>
      <c r="J774" s="80" t="s">
        <v>84</v>
      </c>
      <c r="K774" s="80" t="s">
        <v>9680</v>
      </c>
      <c r="L774" s="80" t="s">
        <v>9680</v>
      </c>
      <c r="M774" s="80" t="s">
        <v>9680</v>
      </c>
      <c r="N774" s="80" t="s">
        <v>84</v>
      </c>
      <c r="O774" s="80" t="s">
        <v>9680</v>
      </c>
      <c r="P774" s="80"/>
      <c r="Q774" s="80" t="s">
        <v>9680</v>
      </c>
      <c r="R774" s="80" t="s">
        <v>9680</v>
      </c>
    </row>
    <row r="775" spans="1:18" ht="20" x14ac:dyDescent="0.2">
      <c r="A775" s="80" t="s">
        <v>3981</v>
      </c>
      <c r="B775" s="80" t="s">
        <v>3982</v>
      </c>
      <c r="C775" s="80" t="s">
        <v>9680</v>
      </c>
      <c r="D775" s="80" t="s">
        <v>9680</v>
      </c>
      <c r="E775" s="80" t="s">
        <v>9680</v>
      </c>
      <c r="F775" s="80"/>
      <c r="G775" s="80" t="s">
        <v>84</v>
      </c>
      <c r="H775" s="80" t="s">
        <v>9680</v>
      </c>
      <c r="I775" s="80" t="s">
        <v>9680</v>
      </c>
      <c r="J775" s="80" t="s">
        <v>9680</v>
      </c>
      <c r="K775" s="80" t="s">
        <v>9680</v>
      </c>
      <c r="L775" s="80" t="s">
        <v>84</v>
      </c>
      <c r="M775" s="80" t="s">
        <v>84</v>
      </c>
      <c r="N775" s="80" t="s">
        <v>9680</v>
      </c>
      <c r="O775" s="80" t="s">
        <v>9680</v>
      </c>
      <c r="P775" s="80"/>
      <c r="Q775" s="80" t="s">
        <v>84</v>
      </c>
      <c r="R775" s="80" t="s">
        <v>9680</v>
      </c>
    </row>
    <row r="776" spans="1:18" ht="20" x14ac:dyDescent="0.2">
      <c r="A776" s="80" t="s">
        <v>3983</v>
      </c>
      <c r="B776" s="80" t="s">
        <v>3984</v>
      </c>
      <c r="C776" s="80" t="s">
        <v>9680</v>
      </c>
      <c r="D776" s="80" t="s">
        <v>9680</v>
      </c>
      <c r="E776" s="80" t="s">
        <v>9680</v>
      </c>
      <c r="F776" s="80"/>
      <c r="G776" s="80" t="s">
        <v>84</v>
      </c>
      <c r="H776" s="80" t="s">
        <v>9680</v>
      </c>
      <c r="I776" s="80" t="s">
        <v>9680</v>
      </c>
      <c r="J776" s="80" t="s">
        <v>9680</v>
      </c>
      <c r="K776" s="80" t="s">
        <v>9680</v>
      </c>
      <c r="L776" s="80" t="s">
        <v>84</v>
      </c>
      <c r="M776" s="80" t="s">
        <v>84</v>
      </c>
      <c r="N776" s="80" t="s">
        <v>9680</v>
      </c>
      <c r="O776" s="80" t="s">
        <v>9680</v>
      </c>
      <c r="P776" s="80"/>
      <c r="Q776" s="80" t="s">
        <v>84</v>
      </c>
      <c r="R776" s="80" t="s">
        <v>9680</v>
      </c>
    </row>
    <row r="777" spans="1:18" ht="20" x14ac:dyDescent="0.2">
      <c r="A777" s="80" t="s">
        <v>3985</v>
      </c>
      <c r="B777" s="80" t="s">
        <v>3986</v>
      </c>
      <c r="C777" s="80" t="s">
        <v>9680</v>
      </c>
      <c r="D777" s="80" t="s">
        <v>9680</v>
      </c>
      <c r="E777" s="80" t="s">
        <v>9680</v>
      </c>
      <c r="F777" s="80"/>
      <c r="G777" s="80" t="s">
        <v>84</v>
      </c>
      <c r="H777" s="80" t="s">
        <v>9680</v>
      </c>
      <c r="I777" s="80" t="s">
        <v>9680</v>
      </c>
      <c r="J777" s="80" t="s">
        <v>9680</v>
      </c>
      <c r="K777" s="80" t="s">
        <v>9680</v>
      </c>
      <c r="L777" s="80" t="s">
        <v>84</v>
      </c>
      <c r="M777" s="80" t="s">
        <v>84</v>
      </c>
      <c r="N777" s="80" t="s">
        <v>9680</v>
      </c>
      <c r="O777" s="80" t="s">
        <v>9680</v>
      </c>
      <c r="P777" s="80"/>
      <c r="Q777" s="80" t="s">
        <v>84</v>
      </c>
      <c r="R777" s="80" t="s">
        <v>9680</v>
      </c>
    </row>
    <row r="778" spans="1:18" ht="20" x14ac:dyDescent="0.2">
      <c r="A778" s="80" t="s">
        <v>3987</v>
      </c>
      <c r="B778" s="80" t="s">
        <v>3988</v>
      </c>
      <c r="C778" s="80" t="s">
        <v>9680</v>
      </c>
      <c r="D778" s="80" t="s">
        <v>9680</v>
      </c>
      <c r="E778" s="80" t="s">
        <v>9680</v>
      </c>
      <c r="F778" s="80"/>
      <c r="G778" s="80" t="s">
        <v>84</v>
      </c>
      <c r="H778" s="80" t="s">
        <v>9680</v>
      </c>
      <c r="I778" s="80" t="s">
        <v>9680</v>
      </c>
      <c r="J778" s="80" t="s">
        <v>9680</v>
      </c>
      <c r="K778" s="80" t="s">
        <v>9680</v>
      </c>
      <c r="L778" s="80" t="s">
        <v>84</v>
      </c>
      <c r="M778" s="80" t="s">
        <v>84</v>
      </c>
      <c r="N778" s="80" t="s">
        <v>9680</v>
      </c>
      <c r="O778" s="80" t="s">
        <v>9680</v>
      </c>
      <c r="P778" s="80"/>
      <c r="Q778" s="80" t="s">
        <v>84</v>
      </c>
      <c r="R778" s="80" t="s">
        <v>9680</v>
      </c>
    </row>
    <row r="779" spans="1:18" ht="20" x14ac:dyDescent="0.2">
      <c r="A779" s="80" t="s">
        <v>9986</v>
      </c>
      <c r="B779" s="80" t="s">
        <v>9987</v>
      </c>
      <c r="C779" s="80" t="s">
        <v>9680</v>
      </c>
      <c r="D779" s="80" t="s">
        <v>84</v>
      </c>
      <c r="E779" s="80" t="s">
        <v>84</v>
      </c>
      <c r="F779" s="80"/>
      <c r="G779" s="80" t="s">
        <v>84</v>
      </c>
      <c r="H779" s="80" t="s">
        <v>84</v>
      </c>
      <c r="I779" s="80" t="s">
        <v>84</v>
      </c>
      <c r="J779" s="80" t="s">
        <v>84</v>
      </c>
      <c r="K779" s="80" t="s">
        <v>84</v>
      </c>
      <c r="L779" s="80" t="s">
        <v>84</v>
      </c>
      <c r="M779" s="80" t="s">
        <v>84</v>
      </c>
      <c r="N779" s="80" t="s">
        <v>84</v>
      </c>
      <c r="O779" s="80" t="s">
        <v>84</v>
      </c>
      <c r="P779" s="80"/>
      <c r="Q779" s="80" t="s">
        <v>84</v>
      </c>
      <c r="R779" s="80" t="s">
        <v>84</v>
      </c>
    </row>
    <row r="780" spans="1:18" ht="20" x14ac:dyDescent="0.2">
      <c r="A780" s="80" t="s">
        <v>3948</v>
      </c>
      <c r="B780" s="80" t="s">
        <v>3949</v>
      </c>
      <c r="C780" s="80" t="s">
        <v>9680</v>
      </c>
      <c r="D780" s="80" t="s">
        <v>84</v>
      </c>
      <c r="E780" s="80" t="s">
        <v>84</v>
      </c>
      <c r="F780" s="80"/>
      <c r="G780" s="80" t="s">
        <v>84</v>
      </c>
      <c r="H780" s="80" t="s">
        <v>84</v>
      </c>
      <c r="I780" s="80" t="s">
        <v>84</v>
      </c>
      <c r="J780" s="80" t="s">
        <v>84</v>
      </c>
      <c r="K780" s="80" t="s">
        <v>84</v>
      </c>
      <c r="L780" s="80" t="s">
        <v>84</v>
      </c>
      <c r="M780" s="80" t="s">
        <v>84</v>
      </c>
      <c r="N780" s="80" t="s">
        <v>84</v>
      </c>
      <c r="O780" s="80" t="s">
        <v>84</v>
      </c>
      <c r="P780" s="80"/>
      <c r="Q780" s="80" t="s">
        <v>84</v>
      </c>
      <c r="R780" s="80" t="s">
        <v>84</v>
      </c>
    </row>
    <row r="781" spans="1:18" ht="20" x14ac:dyDescent="0.2">
      <c r="A781" s="80" t="s">
        <v>3950</v>
      </c>
      <c r="B781" s="80" t="s">
        <v>3951</v>
      </c>
      <c r="C781" s="80" t="s">
        <v>9680</v>
      </c>
      <c r="D781" s="80" t="s">
        <v>84</v>
      </c>
      <c r="E781" s="80" t="s">
        <v>84</v>
      </c>
      <c r="F781" s="80"/>
      <c r="G781" s="80" t="s">
        <v>84</v>
      </c>
      <c r="H781" s="80" t="s">
        <v>84</v>
      </c>
      <c r="I781" s="80" t="s">
        <v>84</v>
      </c>
      <c r="J781" s="80" t="s">
        <v>84</v>
      </c>
      <c r="K781" s="80" t="s">
        <v>84</v>
      </c>
      <c r="L781" s="80" t="s">
        <v>84</v>
      </c>
      <c r="M781" s="80" t="s">
        <v>84</v>
      </c>
      <c r="N781" s="80" t="s">
        <v>84</v>
      </c>
      <c r="O781" s="80" t="s">
        <v>84</v>
      </c>
      <c r="P781" s="80"/>
      <c r="Q781" s="80" t="s">
        <v>84</v>
      </c>
      <c r="R781" s="80" t="s">
        <v>84</v>
      </c>
    </row>
    <row r="782" spans="1:18" ht="20" x14ac:dyDescent="0.2">
      <c r="A782" s="80" t="s">
        <v>4003</v>
      </c>
      <c r="B782" s="80" t="s">
        <v>4004</v>
      </c>
      <c r="C782" s="80" t="s">
        <v>84</v>
      </c>
      <c r="D782" s="80" t="s">
        <v>84</v>
      </c>
      <c r="E782" s="80" t="s">
        <v>84</v>
      </c>
      <c r="F782" s="80"/>
      <c r="G782" s="80" t="s">
        <v>84</v>
      </c>
      <c r="H782" s="80" t="s">
        <v>84</v>
      </c>
      <c r="I782" s="80" t="s">
        <v>84</v>
      </c>
      <c r="J782" s="80" t="s">
        <v>84</v>
      </c>
      <c r="K782" s="80" t="s">
        <v>84</v>
      </c>
      <c r="L782" s="80" t="s">
        <v>84</v>
      </c>
      <c r="M782" s="80" t="s">
        <v>84</v>
      </c>
      <c r="N782" s="80" t="s">
        <v>84</v>
      </c>
      <c r="O782" s="80" t="s">
        <v>84</v>
      </c>
      <c r="P782" s="80"/>
      <c r="Q782" s="80" t="s">
        <v>84</v>
      </c>
      <c r="R782" s="80" t="s">
        <v>84</v>
      </c>
    </row>
    <row r="783" spans="1:18" ht="20" x14ac:dyDescent="0.2">
      <c r="A783" s="80" t="s">
        <v>4008</v>
      </c>
      <c r="B783" s="80" t="s">
        <v>4009</v>
      </c>
      <c r="C783" s="80" t="s">
        <v>9722</v>
      </c>
      <c r="D783" s="80" t="s">
        <v>84</v>
      </c>
      <c r="E783" s="80" t="s">
        <v>84</v>
      </c>
      <c r="F783" s="80"/>
      <c r="G783" s="80" t="s">
        <v>9722</v>
      </c>
      <c r="H783" s="80" t="s">
        <v>84</v>
      </c>
      <c r="I783" s="80" t="s">
        <v>84</v>
      </c>
      <c r="J783" s="80" t="s">
        <v>84</v>
      </c>
      <c r="K783" s="80" t="s">
        <v>84</v>
      </c>
      <c r="L783" s="80" t="s">
        <v>84</v>
      </c>
      <c r="M783" s="80" t="s">
        <v>84</v>
      </c>
      <c r="N783" s="80" t="s">
        <v>84</v>
      </c>
      <c r="O783" s="80" t="s">
        <v>84</v>
      </c>
      <c r="P783" s="80"/>
      <c r="Q783" s="80" t="s">
        <v>84</v>
      </c>
      <c r="R783" s="80" t="s">
        <v>84</v>
      </c>
    </row>
    <row r="784" spans="1:18" ht="20" x14ac:dyDescent="0.2">
      <c r="A784" s="80" t="s">
        <v>4010</v>
      </c>
      <c r="B784" s="80" t="s">
        <v>4011</v>
      </c>
      <c r="C784" s="80" t="s">
        <v>9680</v>
      </c>
      <c r="D784" s="80" t="s">
        <v>84</v>
      </c>
      <c r="E784" s="80" t="s">
        <v>84</v>
      </c>
      <c r="F784" s="80"/>
      <c r="G784" s="80" t="s">
        <v>9680</v>
      </c>
      <c r="H784" s="80" t="s">
        <v>84</v>
      </c>
      <c r="I784" s="80" t="s">
        <v>84</v>
      </c>
      <c r="J784" s="80" t="s">
        <v>84</v>
      </c>
      <c r="K784" s="80" t="s">
        <v>84</v>
      </c>
      <c r="L784" s="80" t="s">
        <v>84</v>
      </c>
      <c r="M784" s="80" t="s">
        <v>84</v>
      </c>
      <c r="N784" s="80" t="s">
        <v>84</v>
      </c>
      <c r="O784" s="80" t="s">
        <v>84</v>
      </c>
      <c r="P784" s="80"/>
      <c r="Q784" s="80" t="s">
        <v>84</v>
      </c>
      <c r="R784" s="80" t="s">
        <v>84</v>
      </c>
    </row>
    <row r="785" spans="1:18" ht="20" x14ac:dyDescent="0.2">
      <c r="A785" s="80" t="s">
        <v>4012</v>
      </c>
      <c r="B785" s="80" t="s">
        <v>4013</v>
      </c>
      <c r="C785" s="80" t="s">
        <v>9722</v>
      </c>
      <c r="D785" s="80" t="s">
        <v>84</v>
      </c>
      <c r="E785" s="80" t="s">
        <v>84</v>
      </c>
      <c r="F785" s="80"/>
      <c r="G785" s="80" t="s">
        <v>9722</v>
      </c>
      <c r="H785" s="80" t="s">
        <v>84</v>
      </c>
      <c r="I785" s="80" t="s">
        <v>84</v>
      </c>
      <c r="J785" s="80" t="s">
        <v>84</v>
      </c>
      <c r="K785" s="80" t="s">
        <v>84</v>
      </c>
      <c r="L785" s="80" t="s">
        <v>84</v>
      </c>
      <c r="M785" s="80" t="s">
        <v>84</v>
      </c>
      <c r="N785" s="80" t="s">
        <v>84</v>
      </c>
      <c r="O785" s="80" t="s">
        <v>84</v>
      </c>
      <c r="P785" s="80"/>
      <c r="Q785" s="80" t="s">
        <v>84</v>
      </c>
      <c r="R785" s="80" t="s">
        <v>84</v>
      </c>
    </row>
    <row r="786" spans="1:18" ht="20" x14ac:dyDescent="0.2">
      <c r="A786" s="80" t="s">
        <v>4014</v>
      </c>
      <c r="B786" s="80" t="s">
        <v>4015</v>
      </c>
      <c r="C786" s="80" t="s">
        <v>9680</v>
      </c>
      <c r="D786" s="80" t="s">
        <v>84</v>
      </c>
      <c r="E786" s="80" t="s">
        <v>84</v>
      </c>
      <c r="F786" s="80"/>
      <c r="G786" s="80" t="s">
        <v>9680</v>
      </c>
      <c r="H786" s="80" t="s">
        <v>84</v>
      </c>
      <c r="I786" s="80" t="s">
        <v>84</v>
      </c>
      <c r="J786" s="80" t="s">
        <v>84</v>
      </c>
      <c r="K786" s="80" t="s">
        <v>84</v>
      </c>
      <c r="L786" s="80" t="s">
        <v>84</v>
      </c>
      <c r="M786" s="80" t="s">
        <v>84</v>
      </c>
      <c r="N786" s="80" t="s">
        <v>84</v>
      </c>
      <c r="O786" s="80" t="s">
        <v>84</v>
      </c>
      <c r="P786" s="80"/>
      <c r="Q786" s="80" t="s">
        <v>84</v>
      </c>
      <c r="R786" s="80" t="s">
        <v>84</v>
      </c>
    </row>
    <row r="787" spans="1:18" ht="20" x14ac:dyDescent="0.2">
      <c r="A787" s="80" t="s">
        <v>3952</v>
      </c>
      <c r="B787" s="80" t="s">
        <v>3953</v>
      </c>
      <c r="C787" s="80" t="s">
        <v>84</v>
      </c>
      <c r="D787" s="80" t="s">
        <v>84</v>
      </c>
      <c r="E787" s="80" t="s">
        <v>84</v>
      </c>
      <c r="F787" s="80"/>
      <c r="G787" s="80" t="s">
        <v>84</v>
      </c>
      <c r="H787" s="80" t="s">
        <v>84</v>
      </c>
      <c r="I787" s="80" t="s">
        <v>84</v>
      </c>
      <c r="J787" s="80" t="s">
        <v>84</v>
      </c>
      <c r="K787" s="80" t="s">
        <v>84</v>
      </c>
      <c r="L787" s="80" t="s">
        <v>84</v>
      </c>
      <c r="M787" s="80" t="s">
        <v>84</v>
      </c>
      <c r="N787" s="80" t="s">
        <v>84</v>
      </c>
      <c r="O787" s="80" t="s">
        <v>84</v>
      </c>
      <c r="P787" s="80"/>
      <c r="Q787" s="80" t="s">
        <v>84</v>
      </c>
      <c r="R787" s="80" t="s">
        <v>84</v>
      </c>
    </row>
    <row r="788" spans="1:18" ht="20" x14ac:dyDescent="0.2">
      <c r="A788" s="80" t="s">
        <v>3954</v>
      </c>
      <c r="B788" s="80" t="s">
        <v>3955</v>
      </c>
      <c r="C788" s="80" t="s">
        <v>9680</v>
      </c>
      <c r="D788" s="80" t="s">
        <v>84</v>
      </c>
      <c r="E788" s="80" t="s">
        <v>84</v>
      </c>
      <c r="F788" s="80"/>
      <c r="G788" s="80" t="s">
        <v>84</v>
      </c>
      <c r="H788" s="80" t="s">
        <v>84</v>
      </c>
      <c r="I788" s="80" t="s">
        <v>84</v>
      </c>
      <c r="J788" s="80" t="s">
        <v>84</v>
      </c>
      <c r="K788" s="80" t="s">
        <v>84</v>
      </c>
      <c r="L788" s="80" t="s">
        <v>84</v>
      </c>
      <c r="M788" s="80" t="s">
        <v>84</v>
      </c>
      <c r="N788" s="80" t="s">
        <v>84</v>
      </c>
      <c r="O788" s="80" t="s">
        <v>84</v>
      </c>
      <c r="P788" s="80"/>
      <c r="Q788" s="80" t="s">
        <v>84</v>
      </c>
      <c r="R788" s="80" t="s">
        <v>84</v>
      </c>
    </row>
    <row r="789" spans="1:18" ht="20" x14ac:dyDescent="0.2">
      <c r="A789" s="80" t="s">
        <v>3956</v>
      </c>
      <c r="B789" s="80" t="s">
        <v>3957</v>
      </c>
      <c r="C789" s="80" t="s">
        <v>84</v>
      </c>
      <c r="D789" s="80" t="s">
        <v>84</v>
      </c>
      <c r="E789" s="80" t="s">
        <v>84</v>
      </c>
      <c r="F789" s="80"/>
      <c r="G789" s="80" t="s">
        <v>84</v>
      </c>
      <c r="H789" s="80" t="s">
        <v>84</v>
      </c>
      <c r="I789" s="80" t="s">
        <v>84</v>
      </c>
      <c r="J789" s="80" t="s">
        <v>84</v>
      </c>
      <c r="K789" s="80" t="s">
        <v>84</v>
      </c>
      <c r="L789" s="80" t="s">
        <v>84</v>
      </c>
      <c r="M789" s="80" t="s">
        <v>84</v>
      </c>
      <c r="N789" s="80" t="s">
        <v>84</v>
      </c>
      <c r="O789" s="80" t="s">
        <v>84</v>
      </c>
      <c r="P789" s="80"/>
      <c r="Q789" s="80" t="s">
        <v>84</v>
      </c>
      <c r="R789" s="80" t="s">
        <v>84</v>
      </c>
    </row>
    <row r="790" spans="1:18" ht="20" x14ac:dyDescent="0.2">
      <c r="A790" s="80" t="s">
        <v>571</v>
      </c>
      <c r="B790" s="80" t="s">
        <v>572</v>
      </c>
      <c r="C790" s="80" t="s">
        <v>84</v>
      </c>
      <c r="D790" s="80" t="s">
        <v>84</v>
      </c>
      <c r="E790" s="80" t="s">
        <v>84</v>
      </c>
      <c r="F790" s="80"/>
      <c r="G790" s="80" t="s">
        <v>84</v>
      </c>
      <c r="H790" s="80" t="s">
        <v>84</v>
      </c>
      <c r="I790" s="80" t="s">
        <v>84</v>
      </c>
      <c r="J790" s="80" t="s">
        <v>84</v>
      </c>
      <c r="K790" s="80" t="s">
        <v>84</v>
      </c>
      <c r="L790" s="80" t="s">
        <v>84</v>
      </c>
      <c r="M790" s="80" t="s">
        <v>84</v>
      </c>
      <c r="N790" s="80" t="s">
        <v>84</v>
      </c>
      <c r="O790" s="80" t="s">
        <v>84</v>
      </c>
      <c r="P790" s="80"/>
      <c r="Q790" s="80" t="s">
        <v>84</v>
      </c>
      <c r="R790" s="80" t="s">
        <v>84</v>
      </c>
    </row>
    <row r="791" spans="1:18" ht="20" x14ac:dyDescent="0.2">
      <c r="A791" s="80" t="s">
        <v>577</v>
      </c>
      <c r="B791" s="80" t="s">
        <v>578</v>
      </c>
      <c r="C791" s="80" t="s">
        <v>84</v>
      </c>
      <c r="D791" s="80" t="s">
        <v>84</v>
      </c>
      <c r="E791" s="80" t="s">
        <v>84</v>
      </c>
      <c r="F791" s="80"/>
      <c r="G791" s="80" t="s">
        <v>84</v>
      </c>
      <c r="H791" s="80" t="s">
        <v>84</v>
      </c>
      <c r="I791" s="80" t="s">
        <v>84</v>
      </c>
      <c r="J791" s="80" t="s">
        <v>84</v>
      </c>
      <c r="K791" s="80" t="s">
        <v>84</v>
      </c>
      <c r="L791" s="80" t="s">
        <v>84</v>
      </c>
      <c r="M791" s="80" t="s">
        <v>84</v>
      </c>
      <c r="N791" s="80" t="s">
        <v>84</v>
      </c>
      <c r="O791" s="80" t="s">
        <v>84</v>
      </c>
      <c r="P791" s="80"/>
      <c r="Q791" s="80" t="s">
        <v>84</v>
      </c>
      <c r="R791" s="80" t="s">
        <v>84</v>
      </c>
    </row>
    <row r="792" spans="1:18" ht="20" x14ac:dyDescent="0.2">
      <c r="A792" s="80" t="s">
        <v>6037</v>
      </c>
      <c r="B792" s="80" t="s">
        <v>9988</v>
      </c>
      <c r="C792" s="80" t="s">
        <v>84</v>
      </c>
      <c r="D792" s="80" t="s">
        <v>84</v>
      </c>
      <c r="E792" s="80" t="s">
        <v>84</v>
      </c>
      <c r="F792" s="80"/>
      <c r="G792" s="80" t="s">
        <v>84</v>
      </c>
      <c r="H792" s="80" t="s">
        <v>84</v>
      </c>
      <c r="I792" s="80" t="s">
        <v>84</v>
      </c>
      <c r="J792" s="80" t="s">
        <v>84</v>
      </c>
      <c r="K792" s="80" t="s">
        <v>84</v>
      </c>
      <c r="L792" s="80" t="s">
        <v>84</v>
      </c>
      <c r="M792" s="80" t="s">
        <v>84</v>
      </c>
      <c r="N792" s="80" t="s">
        <v>84</v>
      </c>
      <c r="O792" s="80" t="s">
        <v>84</v>
      </c>
      <c r="P792" s="80"/>
      <c r="Q792" s="80" t="s">
        <v>84</v>
      </c>
      <c r="R792" s="80" t="s">
        <v>84</v>
      </c>
    </row>
    <row r="793" spans="1:18" ht="20" x14ac:dyDescent="0.2">
      <c r="A793" s="80" t="s">
        <v>6037</v>
      </c>
      <c r="B793" s="80" t="s">
        <v>6038</v>
      </c>
      <c r="C793" s="80" t="s">
        <v>84</v>
      </c>
      <c r="D793" s="80" t="s">
        <v>84</v>
      </c>
      <c r="E793" s="80" t="s">
        <v>84</v>
      </c>
      <c r="F793" s="80"/>
      <c r="G793" s="80" t="s">
        <v>84</v>
      </c>
      <c r="H793" s="80" t="s">
        <v>84</v>
      </c>
      <c r="I793" s="80" t="s">
        <v>84</v>
      </c>
      <c r="J793" s="80" t="s">
        <v>84</v>
      </c>
      <c r="K793" s="80" t="s">
        <v>84</v>
      </c>
      <c r="L793" s="80" t="s">
        <v>84</v>
      </c>
      <c r="M793" s="80" t="s">
        <v>84</v>
      </c>
      <c r="N793" s="80" t="s">
        <v>84</v>
      </c>
      <c r="O793" s="80" t="s">
        <v>84</v>
      </c>
      <c r="P793" s="80"/>
      <c r="Q793" s="80" t="s">
        <v>84</v>
      </c>
      <c r="R793" s="80" t="s">
        <v>84</v>
      </c>
    </row>
    <row r="794" spans="1:18" ht="20" x14ac:dyDescent="0.2">
      <c r="A794" s="80" t="s">
        <v>6041</v>
      </c>
      <c r="B794" s="80" t="s">
        <v>6042</v>
      </c>
      <c r="C794" s="80" t="s">
        <v>84</v>
      </c>
      <c r="D794" s="80" t="s">
        <v>84</v>
      </c>
      <c r="E794" s="80" t="s">
        <v>84</v>
      </c>
      <c r="F794" s="80"/>
      <c r="G794" s="80" t="s">
        <v>84</v>
      </c>
      <c r="H794" s="80" t="s">
        <v>84</v>
      </c>
      <c r="I794" s="80" t="s">
        <v>84</v>
      </c>
      <c r="J794" s="80" t="s">
        <v>84</v>
      </c>
      <c r="K794" s="80" t="s">
        <v>84</v>
      </c>
      <c r="L794" s="80" t="s">
        <v>84</v>
      </c>
      <c r="M794" s="80" t="s">
        <v>84</v>
      </c>
      <c r="N794" s="80" t="s">
        <v>84</v>
      </c>
      <c r="O794" s="80" t="s">
        <v>84</v>
      </c>
      <c r="P794" s="80"/>
      <c r="Q794" s="80" t="s">
        <v>84</v>
      </c>
      <c r="R794" s="80" t="s">
        <v>84</v>
      </c>
    </row>
    <row r="795" spans="1:18" ht="20" x14ac:dyDescent="0.2">
      <c r="A795" s="80" t="s">
        <v>6045</v>
      </c>
      <c r="B795" s="80" t="s">
        <v>6046</v>
      </c>
      <c r="C795" s="80" t="s">
        <v>84</v>
      </c>
      <c r="D795" s="80" t="s">
        <v>84</v>
      </c>
      <c r="E795" s="80" t="s">
        <v>84</v>
      </c>
      <c r="F795" s="80"/>
      <c r="G795" s="80" t="s">
        <v>84</v>
      </c>
      <c r="H795" s="80" t="s">
        <v>84</v>
      </c>
      <c r="I795" s="80" t="s">
        <v>84</v>
      </c>
      <c r="J795" s="80" t="s">
        <v>84</v>
      </c>
      <c r="K795" s="80" t="s">
        <v>84</v>
      </c>
      <c r="L795" s="80" t="s">
        <v>84</v>
      </c>
      <c r="M795" s="80" t="s">
        <v>84</v>
      </c>
      <c r="N795" s="80" t="s">
        <v>84</v>
      </c>
      <c r="O795" s="80" t="s">
        <v>84</v>
      </c>
      <c r="P795" s="80"/>
      <c r="Q795" s="80" t="s">
        <v>84</v>
      </c>
      <c r="R795" s="80" t="s">
        <v>84</v>
      </c>
    </row>
    <row r="796" spans="1:18" ht="20" x14ac:dyDescent="0.2">
      <c r="A796" s="80" t="s">
        <v>6049</v>
      </c>
      <c r="B796" s="80" t="s">
        <v>6050</v>
      </c>
      <c r="C796" s="80" t="s">
        <v>84</v>
      </c>
      <c r="D796" s="80" t="s">
        <v>84</v>
      </c>
      <c r="E796" s="80" t="s">
        <v>84</v>
      </c>
      <c r="F796" s="80"/>
      <c r="G796" s="80" t="s">
        <v>84</v>
      </c>
      <c r="H796" s="80" t="s">
        <v>84</v>
      </c>
      <c r="I796" s="80" t="s">
        <v>84</v>
      </c>
      <c r="J796" s="80" t="s">
        <v>84</v>
      </c>
      <c r="K796" s="80" t="s">
        <v>84</v>
      </c>
      <c r="L796" s="80" t="s">
        <v>84</v>
      </c>
      <c r="M796" s="80" t="s">
        <v>84</v>
      </c>
      <c r="N796" s="80" t="s">
        <v>84</v>
      </c>
      <c r="O796" s="80" t="s">
        <v>84</v>
      </c>
      <c r="P796" s="80"/>
      <c r="Q796" s="80" t="s">
        <v>84</v>
      </c>
      <c r="R796" s="80" t="s">
        <v>84</v>
      </c>
    </row>
    <row r="797" spans="1:18" ht="20" x14ac:dyDescent="0.2">
      <c r="A797" s="80" t="s">
        <v>6200</v>
      </c>
      <c r="B797" s="80" t="s">
        <v>6201</v>
      </c>
      <c r="C797" s="80" t="s">
        <v>9680</v>
      </c>
      <c r="D797" s="80" t="s">
        <v>9680</v>
      </c>
      <c r="E797" s="80" t="s">
        <v>9680</v>
      </c>
      <c r="F797" s="80"/>
      <c r="G797" s="80" t="s">
        <v>9680</v>
      </c>
      <c r="H797" s="80" t="s">
        <v>9680</v>
      </c>
      <c r="I797" s="80" t="s">
        <v>9680</v>
      </c>
      <c r="J797" s="80" t="s">
        <v>84</v>
      </c>
      <c r="K797" s="80" t="s">
        <v>9680</v>
      </c>
      <c r="L797" s="80" t="s">
        <v>9680</v>
      </c>
      <c r="M797" s="80" t="s">
        <v>84</v>
      </c>
      <c r="N797" s="80" t="s">
        <v>9680</v>
      </c>
      <c r="O797" s="80" t="s">
        <v>84</v>
      </c>
      <c r="P797" s="80"/>
      <c r="Q797" s="80" t="s">
        <v>84</v>
      </c>
      <c r="R797" s="80" t="s">
        <v>84</v>
      </c>
    </row>
    <row r="798" spans="1:18" ht="20" x14ac:dyDescent="0.2">
      <c r="A798" s="80" t="s">
        <v>6200</v>
      </c>
      <c r="B798" s="80" t="s">
        <v>9989</v>
      </c>
      <c r="C798" s="80" t="s">
        <v>9680</v>
      </c>
      <c r="D798" s="80" t="s">
        <v>9680</v>
      </c>
      <c r="E798" s="80" t="s">
        <v>9680</v>
      </c>
      <c r="F798" s="80"/>
      <c r="G798" s="80" t="s">
        <v>9680</v>
      </c>
      <c r="H798" s="80" t="s">
        <v>9680</v>
      </c>
      <c r="I798" s="80" t="s">
        <v>9680</v>
      </c>
      <c r="J798" s="80" t="s">
        <v>84</v>
      </c>
      <c r="K798" s="80" t="s">
        <v>9680</v>
      </c>
      <c r="L798" s="80" t="s">
        <v>9680</v>
      </c>
      <c r="M798" s="80" t="s">
        <v>84</v>
      </c>
      <c r="N798" s="80" t="s">
        <v>9680</v>
      </c>
      <c r="O798" s="80" t="s">
        <v>84</v>
      </c>
      <c r="P798" s="80"/>
      <c r="Q798" s="80" t="s">
        <v>84</v>
      </c>
      <c r="R798" s="80" t="s">
        <v>84</v>
      </c>
    </row>
    <row r="799" spans="1:18" ht="20" x14ac:dyDescent="0.2">
      <c r="A799" s="80" t="s">
        <v>6053</v>
      </c>
      <c r="B799" s="80" t="s">
        <v>6054</v>
      </c>
      <c r="C799" s="80" t="s">
        <v>9680</v>
      </c>
      <c r="D799" s="80" t="s">
        <v>84</v>
      </c>
      <c r="E799" s="80" t="s">
        <v>84</v>
      </c>
      <c r="F799" s="80"/>
      <c r="G799" s="80" t="s">
        <v>84</v>
      </c>
      <c r="H799" s="80" t="s">
        <v>84</v>
      </c>
      <c r="I799" s="80" t="s">
        <v>84</v>
      </c>
      <c r="J799" s="80" t="s">
        <v>84</v>
      </c>
      <c r="K799" s="80" t="s">
        <v>84</v>
      </c>
      <c r="L799" s="80" t="s">
        <v>84</v>
      </c>
      <c r="M799" s="80" t="s">
        <v>84</v>
      </c>
      <c r="N799" s="80" t="s">
        <v>84</v>
      </c>
      <c r="O799" s="80" t="s">
        <v>84</v>
      </c>
      <c r="P799" s="80"/>
      <c r="Q799" s="80" t="s">
        <v>84</v>
      </c>
      <c r="R799" s="80" t="s">
        <v>84</v>
      </c>
    </row>
    <row r="800" spans="1:18" ht="20" x14ac:dyDescent="0.2">
      <c r="A800" s="80" t="s">
        <v>6057</v>
      </c>
      <c r="B800" s="80" t="s">
        <v>9990</v>
      </c>
      <c r="C800" s="80" t="s">
        <v>84</v>
      </c>
      <c r="D800" s="80" t="s">
        <v>84</v>
      </c>
      <c r="E800" s="80" t="s">
        <v>84</v>
      </c>
      <c r="F800" s="80"/>
      <c r="G800" s="80" t="s">
        <v>84</v>
      </c>
      <c r="H800" s="80" t="s">
        <v>84</v>
      </c>
      <c r="I800" s="80" t="s">
        <v>84</v>
      </c>
      <c r="J800" s="80" t="s">
        <v>84</v>
      </c>
      <c r="K800" s="80" t="s">
        <v>84</v>
      </c>
      <c r="L800" s="80" t="s">
        <v>84</v>
      </c>
      <c r="M800" s="80" t="s">
        <v>84</v>
      </c>
      <c r="N800" s="80" t="s">
        <v>84</v>
      </c>
      <c r="O800" s="80" t="s">
        <v>84</v>
      </c>
      <c r="P800" s="80"/>
      <c r="Q800" s="80" t="s">
        <v>84</v>
      </c>
      <c r="R800" s="80" t="s">
        <v>84</v>
      </c>
    </row>
    <row r="801" spans="1:18" ht="20" x14ac:dyDescent="0.2">
      <c r="A801" s="80" t="s">
        <v>6057</v>
      </c>
      <c r="B801" s="80" t="s">
        <v>6058</v>
      </c>
      <c r="C801" s="80" t="s">
        <v>84</v>
      </c>
      <c r="D801" s="80" t="s">
        <v>84</v>
      </c>
      <c r="E801" s="80" t="s">
        <v>84</v>
      </c>
      <c r="F801" s="80"/>
      <c r="G801" s="80" t="s">
        <v>84</v>
      </c>
      <c r="H801" s="80" t="s">
        <v>84</v>
      </c>
      <c r="I801" s="80" t="s">
        <v>84</v>
      </c>
      <c r="J801" s="80" t="s">
        <v>84</v>
      </c>
      <c r="K801" s="80" t="s">
        <v>84</v>
      </c>
      <c r="L801" s="80" t="s">
        <v>84</v>
      </c>
      <c r="M801" s="80" t="s">
        <v>84</v>
      </c>
      <c r="N801" s="80" t="s">
        <v>84</v>
      </c>
      <c r="O801" s="80" t="s">
        <v>84</v>
      </c>
      <c r="P801" s="80"/>
      <c r="Q801" s="80" t="s">
        <v>84</v>
      </c>
      <c r="R801" s="80" t="s">
        <v>84</v>
      </c>
    </row>
    <row r="802" spans="1:18" ht="20" x14ac:dyDescent="0.2">
      <c r="A802" s="80" t="s">
        <v>5967</v>
      </c>
      <c r="B802" s="80" t="s">
        <v>9991</v>
      </c>
      <c r="C802" s="80" t="s">
        <v>84</v>
      </c>
      <c r="D802" s="80" t="s">
        <v>84</v>
      </c>
      <c r="E802" s="80" t="s">
        <v>84</v>
      </c>
      <c r="F802" s="80"/>
      <c r="G802" s="80" t="s">
        <v>84</v>
      </c>
      <c r="H802" s="80" t="s">
        <v>84</v>
      </c>
      <c r="I802" s="80" t="s">
        <v>84</v>
      </c>
      <c r="J802" s="80" t="s">
        <v>84</v>
      </c>
      <c r="K802" s="80" t="s">
        <v>84</v>
      </c>
      <c r="L802" s="80" t="s">
        <v>84</v>
      </c>
      <c r="M802" s="80" t="s">
        <v>84</v>
      </c>
      <c r="N802" s="80" t="s">
        <v>84</v>
      </c>
      <c r="O802" s="80" t="s">
        <v>84</v>
      </c>
      <c r="P802" s="80"/>
      <c r="Q802" s="80" t="s">
        <v>84</v>
      </c>
      <c r="R802" s="80" t="s">
        <v>84</v>
      </c>
    </row>
    <row r="803" spans="1:18" ht="20" x14ac:dyDescent="0.2">
      <c r="A803" s="80" t="s">
        <v>5967</v>
      </c>
      <c r="B803" s="80" t="s">
        <v>9992</v>
      </c>
      <c r="C803" s="80" t="s">
        <v>84</v>
      </c>
      <c r="D803" s="80" t="s">
        <v>84</v>
      </c>
      <c r="E803" s="80" t="s">
        <v>84</v>
      </c>
      <c r="F803" s="80"/>
      <c r="G803" s="80" t="s">
        <v>84</v>
      </c>
      <c r="H803" s="80" t="s">
        <v>84</v>
      </c>
      <c r="I803" s="80" t="s">
        <v>84</v>
      </c>
      <c r="J803" s="80" t="s">
        <v>84</v>
      </c>
      <c r="K803" s="80" t="s">
        <v>84</v>
      </c>
      <c r="L803" s="80" t="s">
        <v>84</v>
      </c>
      <c r="M803" s="80" t="s">
        <v>84</v>
      </c>
      <c r="N803" s="80" t="s">
        <v>84</v>
      </c>
      <c r="O803" s="80" t="s">
        <v>84</v>
      </c>
      <c r="P803" s="80"/>
      <c r="Q803" s="80" t="s">
        <v>84</v>
      </c>
      <c r="R803" s="80" t="s">
        <v>84</v>
      </c>
    </row>
    <row r="804" spans="1:18" ht="20" x14ac:dyDescent="0.2">
      <c r="A804" s="80" t="s">
        <v>5967</v>
      </c>
      <c r="B804" s="80" t="s">
        <v>5968</v>
      </c>
      <c r="C804" s="80" t="s">
        <v>84</v>
      </c>
      <c r="D804" s="80" t="s">
        <v>84</v>
      </c>
      <c r="E804" s="80" t="s">
        <v>84</v>
      </c>
      <c r="F804" s="80"/>
      <c r="G804" s="80" t="s">
        <v>84</v>
      </c>
      <c r="H804" s="80" t="s">
        <v>84</v>
      </c>
      <c r="I804" s="80" t="s">
        <v>84</v>
      </c>
      <c r="J804" s="80" t="s">
        <v>84</v>
      </c>
      <c r="K804" s="80" t="s">
        <v>84</v>
      </c>
      <c r="L804" s="80" t="s">
        <v>84</v>
      </c>
      <c r="M804" s="80" t="s">
        <v>84</v>
      </c>
      <c r="N804" s="80" t="s">
        <v>84</v>
      </c>
      <c r="O804" s="80" t="s">
        <v>84</v>
      </c>
      <c r="P804" s="80"/>
      <c r="Q804" s="80" t="s">
        <v>84</v>
      </c>
      <c r="R804" s="80" t="s">
        <v>84</v>
      </c>
    </row>
    <row r="805" spans="1:18" ht="20" x14ac:dyDescent="0.2">
      <c r="A805" s="80" t="s">
        <v>5969</v>
      </c>
      <c r="B805" s="80" t="s">
        <v>9993</v>
      </c>
      <c r="C805" s="80" t="s">
        <v>84</v>
      </c>
      <c r="D805" s="80" t="s">
        <v>84</v>
      </c>
      <c r="E805" s="80" t="s">
        <v>84</v>
      </c>
      <c r="F805" s="80"/>
      <c r="G805" s="80" t="s">
        <v>84</v>
      </c>
      <c r="H805" s="80" t="s">
        <v>84</v>
      </c>
      <c r="I805" s="80" t="s">
        <v>84</v>
      </c>
      <c r="J805" s="80" t="s">
        <v>84</v>
      </c>
      <c r="K805" s="80" t="s">
        <v>84</v>
      </c>
      <c r="L805" s="80" t="s">
        <v>84</v>
      </c>
      <c r="M805" s="80" t="s">
        <v>84</v>
      </c>
      <c r="N805" s="80" t="s">
        <v>84</v>
      </c>
      <c r="O805" s="80" t="s">
        <v>84</v>
      </c>
      <c r="P805" s="80"/>
      <c r="Q805" s="80" t="s">
        <v>84</v>
      </c>
      <c r="R805" s="80" t="s">
        <v>84</v>
      </c>
    </row>
    <row r="806" spans="1:18" ht="20" x14ac:dyDescent="0.2">
      <c r="A806" s="80" t="s">
        <v>5969</v>
      </c>
      <c r="B806" s="80" t="s">
        <v>9994</v>
      </c>
      <c r="C806" s="80" t="s">
        <v>84</v>
      </c>
      <c r="D806" s="80" t="s">
        <v>84</v>
      </c>
      <c r="E806" s="80" t="s">
        <v>84</v>
      </c>
      <c r="F806" s="80"/>
      <c r="G806" s="80" t="s">
        <v>84</v>
      </c>
      <c r="H806" s="80" t="s">
        <v>84</v>
      </c>
      <c r="I806" s="80" t="s">
        <v>84</v>
      </c>
      <c r="J806" s="80" t="s">
        <v>84</v>
      </c>
      <c r="K806" s="80" t="s">
        <v>84</v>
      </c>
      <c r="L806" s="80" t="s">
        <v>84</v>
      </c>
      <c r="M806" s="80" t="s">
        <v>84</v>
      </c>
      <c r="N806" s="80" t="s">
        <v>84</v>
      </c>
      <c r="O806" s="80" t="s">
        <v>84</v>
      </c>
      <c r="P806" s="80"/>
      <c r="Q806" s="80" t="s">
        <v>84</v>
      </c>
      <c r="R806" s="80" t="s">
        <v>84</v>
      </c>
    </row>
    <row r="807" spans="1:18" ht="20" x14ac:dyDescent="0.2">
      <c r="A807" s="80" t="s">
        <v>5969</v>
      </c>
      <c r="B807" s="80" t="s">
        <v>5970</v>
      </c>
      <c r="C807" s="80" t="s">
        <v>84</v>
      </c>
      <c r="D807" s="80" t="s">
        <v>84</v>
      </c>
      <c r="E807" s="80" t="s">
        <v>84</v>
      </c>
      <c r="F807" s="80"/>
      <c r="G807" s="80" t="s">
        <v>84</v>
      </c>
      <c r="H807" s="80" t="s">
        <v>84</v>
      </c>
      <c r="I807" s="80" t="s">
        <v>84</v>
      </c>
      <c r="J807" s="80" t="s">
        <v>84</v>
      </c>
      <c r="K807" s="80" t="s">
        <v>84</v>
      </c>
      <c r="L807" s="80" t="s">
        <v>84</v>
      </c>
      <c r="M807" s="80" t="s">
        <v>84</v>
      </c>
      <c r="N807" s="80" t="s">
        <v>84</v>
      </c>
      <c r="O807" s="80" t="s">
        <v>84</v>
      </c>
      <c r="P807" s="80"/>
      <c r="Q807" s="80" t="s">
        <v>84</v>
      </c>
      <c r="R807" s="80" t="s">
        <v>84</v>
      </c>
    </row>
    <row r="808" spans="1:18" ht="20" x14ac:dyDescent="0.2">
      <c r="A808" s="80" t="s">
        <v>5971</v>
      </c>
      <c r="B808" s="80" t="s">
        <v>9995</v>
      </c>
      <c r="C808" s="80" t="s">
        <v>84</v>
      </c>
      <c r="D808" s="80" t="s">
        <v>84</v>
      </c>
      <c r="E808" s="80" t="s">
        <v>84</v>
      </c>
      <c r="F808" s="80"/>
      <c r="G808" s="80" t="s">
        <v>84</v>
      </c>
      <c r="H808" s="80" t="s">
        <v>84</v>
      </c>
      <c r="I808" s="80" t="s">
        <v>84</v>
      </c>
      <c r="J808" s="80" t="s">
        <v>84</v>
      </c>
      <c r="K808" s="80" t="s">
        <v>84</v>
      </c>
      <c r="L808" s="80" t="s">
        <v>84</v>
      </c>
      <c r="M808" s="80" t="s">
        <v>84</v>
      </c>
      <c r="N808" s="80" t="s">
        <v>84</v>
      </c>
      <c r="O808" s="80" t="s">
        <v>84</v>
      </c>
      <c r="P808" s="80"/>
      <c r="Q808" s="80" t="s">
        <v>84</v>
      </c>
      <c r="R808" s="80" t="s">
        <v>84</v>
      </c>
    </row>
    <row r="809" spans="1:18" ht="20" x14ac:dyDescent="0.2">
      <c r="A809" s="80" t="s">
        <v>5971</v>
      </c>
      <c r="B809" s="80" t="s">
        <v>9996</v>
      </c>
      <c r="C809" s="80" t="s">
        <v>84</v>
      </c>
      <c r="D809" s="80" t="s">
        <v>84</v>
      </c>
      <c r="E809" s="80" t="s">
        <v>84</v>
      </c>
      <c r="F809" s="80"/>
      <c r="G809" s="80" t="s">
        <v>84</v>
      </c>
      <c r="H809" s="80" t="s">
        <v>84</v>
      </c>
      <c r="I809" s="80" t="s">
        <v>84</v>
      </c>
      <c r="J809" s="80" t="s">
        <v>84</v>
      </c>
      <c r="K809" s="80" t="s">
        <v>84</v>
      </c>
      <c r="L809" s="80" t="s">
        <v>84</v>
      </c>
      <c r="M809" s="80" t="s">
        <v>84</v>
      </c>
      <c r="N809" s="80" t="s">
        <v>84</v>
      </c>
      <c r="O809" s="80" t="s">
        <v>84</v>
      </c>
      <c r="P809" s="80"/>
      <c r="Q809" s="80" t="s">
        <v>84</v>
      </c>
      <c r="R809" s="80" t="s">
        <v>84</v>
      </c>
    </row>
    <row r="810" spans="1:18" ht="20" x14ac:dyDescent="0.2">
      <c r="A810" s="80" t="s">
        <v>5971</v>
      </c>
      <c r="B810" s="80" t="s">
        <v>5972</v>
      </c>
      <c r="C810" s="80" t="s">
        <v>84</v>
      </c>
      <c r="D810" s="80" t="s">
        <v>84</v>
      </c>
      <c r="E810" s="80" t="s">
        <v>84</v>
      </c>
      <c r="F810" s="80"/>
      <c r="G810" s="80" t="s">
        <v>84</v>
      </c>
      <c r="H810" s="80" t="s">
        <v>84</v>
      </c>
      <c r="I810" s="80" t="s">
        <v>84</v>
      </c>
      <c r="J810" s="80" t="s">
        <v>84</v>
      </c>
      <c r="K810" s="80" t="s">
        <v>84</v>
      </c>
      <c r="L810" s="80" t="s">
        <v>84</v>
      </c>
      <c r="M810" s="80" t="s">
        <v>84</v>
      </c>
      <c r="N810" s="80" t="s">
        <v>84</v>
      </c>
      <c r="O810" s="80" t="s">
        <v>84</v>
      </c>
      <c r="P810" s="80"/>
      <c r="Q810" s="80" t="s">
        <v>84</v>
      </c>
      <c r="R810" s="80" t="s">
        <v>84</v>
      </c>
    </row>
    <row r="811" spans="1:18" ht="20" x14ac:dyDescent="0.2">
      <c r="A811" s="80" t="s">
        <v>5699</v>
      </c>
      <c r="B811" s="80" t="s">
        <v>5700</v>
      </c>
      <c r="C811" s="80" t="s">
        <v>84</v>
      </c>
      <c r="D811" s="80" t="s">
        <v>84</v>
      </c>
      <c r="E811" s="80" t="s">
        <v>84</v>
      </c>
      <c r="F811" s="80"/>
      <c r="G811" s="80" t="s">
        <v>84</v>
      </c>
      <c r="H811" s="80" t="s">
        <v>84</v>
      </c>
      <c r="I811" s="80" t="s">
        <v>84</v>
      </c>
      <c r="J811" s="80" t="s">
        <v>84</v>
      </c>
      <c r="K811" s="80" t="s">
        <v>84</v>
      </c>
      <c r="L811" s="80" t="s">
        <v>84</v>
      </c>
      <c r="M811" s="80" t="s">
        <v>84</v>
      </c>
      <c r="N811" s="80" t="s">
        <v>84</v>
      </c>
      <c r="O811" s="80" t="s">
        <v>84</v>
      </c>
      <c r="P811" s="80"/>
      <c r="Q811" s="80" t="s">
        <v>84</v>
      </c>
      <c r="R811" s="80" t="s">
        <v>84</v>
      </c>
    </row>
    <row r="812" spans="1:18" ht="20" x14ac:dyDescent="0.2">
      <c r="A812" s="80" t="s">
        <v>5699</v>
      </c>
      <c r="B812" s="80" t="s">
        <v>9997</v>
      </c>
      <c r="C812" s="80" t="s">
        <v>84</v>
      </c>
      <c r="D812" s="80" t="s">
        <v>84</v>
      </c>
      <c r="E812" s="80" t="s">
        <v>84</v>
      </c>
      <c r="F812" s="80"/>
      <c r="G812" s="80" t="s">
        <v>84</v>
      </c>
      <c r="H812" s="80" t="s">
        <v>84</v>
      </c>
      <c r="I812" s="80" t="s">
        <v>84</v>
      </c>
      <c r="J812" s="80" t="s">
        <v>84</v>
      </c>
      <c r="K812" s="80" t="s">
        <v>84</v>
      </c>
      <c r="L812" s="80" t="s">
        <v>84</v>
      </c>
      <c r="M812" s="80" t="s">
        <v>84</v>
      </c>
      <c r="N812" s="80" t="s">
        <v>84</v>
      </c>
      <c r="O812" s="80" t="s">
        <v>84</v>
      </c>
      <c r="P812" s="80"/>
      <c r="Q812" s="80" t="s">
        <v>84</v>
      </c>
      <c r="R812" s="80" t="s">
        <v>84</v>
      </c>
    </row>
    <row r="813" spans="1:18" ht="20" x14ac:dyDescent="0.2">
      <c r="A813" s="80" t="s">
        <v>5699</v>
      </c>
      <c r="B813" s="80" t="s">
        <v>9998</v>
      </c>
      <c r="C813" s="80" t="s">
        <v>84</v>
      </c>
      <c r="D813" s="80" t="s">
        <v>84</v>
      </c>
      <c r="E813" s="80" t="s">
        <v>84</v>
      </c>
      <c r="F813" s="80"/>
      <c r="G813" s="80" t="s">
        <v>84</v>
      </c>
      <c r="H813" s="80" t="s">
        <v>84</v>
      </c>
      <c r="I813" s="80" t="s">
        <v>84</v>
      </c>
      <c r="J813" s="80" t="s">
        <v>84</v>
      </c>
      <c r="K813" s="80" t="s">
        <v>84</v>
      </c>
      <c r="L813" s="80" t="s">
        <v>84</v>
      </c>
      <c r="M813" s="80" t="s">
        <v>84</v>
      </c>
      <c r="N813" s="80" t="s">
        <v>84</v>
      </c>
      <c r="O813" s="80" t="s">
        <v>84</v>
      </c>
      <c r="P813" s="80"/>
      <c r="Q813" s="80" t="s">
        <v>84</v>
      </c>
      <c r="R813" s="80" t="s">
        <v>84</v>
      </c>
    </row>
    <row r="814" spans="1:18" ht="20" x14ac:dyDescent="0.2">
      <c r="A814" s="80" t="s">
        <v>5699</v>
      </c>
      <c r="B814" s="80" t="s">
        <v>5975</v>
      </c>
      <c r="C814" s="80" t="s">
        <v>84</v>
      </c>
      <c r="D814" s="80" t="s">
        <v>84</v>
      </c>
      <c r="E814" s="80" t="s">
        <v>84</v>
      </c>
      <c r="F814" s="80"/>
      <c r="G814" s="80" t="s">
        <v>84</v>
      </c>
      <c r="H814" s="80" t="s">
        <v>84</v>
      </c>
      <c r="I814" s="80" t="s">
        <v>84</v>
      </c>
      <c r="J814" s="80" t="s">
        <v>84</v>
      </c>
      <c r="K814" s="80" t="s">
        <v>84</v>
      </c>
      <c r="L814" s="80" t="s">
        <v>84</v>
      </c>
      <c r="M814" s="80" t="s">
        <v>84</v>
      </c>
      <c r="N814" s="80" t="s">
        <v>84</v>
      </c>
      <c r="O814" s="80" t="s">
        <v>84</v>
      </c>
      <c r="P814" s="80"/>
      <c r="Q814" s="80" t="s">
        <v>84</v>
      </c>
      <c r="R814" s="80" t="s">
        <v>84</v>
      </c>
    </row>
    <row r="815" spans="1:18" ht="20" x14ac:dyDescent="0.2">
      <c r="A815" s="80" t="s">
        <v>5965</v>
      </c>
      <c r="B815" s="80" t="s">
        <v>9999</v>
      </c>
      <c r="C815" s="80" t="s">
        <v>84</v>
      </c>
      <c r="D815" s="80" t="s">
        <v>84</v>
      </c>
      <c r="E815" s="80" t="s">
        <v>84</v>
      </c>
      <c r="F815" s="80"/>
      <c r="G815" s="80" t="s">
        <v>84</v>
      </c>
      <c r="H815" s="80" t="s">
        <v>84</v>
      </c>
      <c r="I815" s="80" t="s">
        <v>84</v>
      </c>
      <c r="J815" s="80" t="s">
        <v>84</v>
      </c>
      <c r="K815" s="80" t="s">
        <v>84</v>
      </c>
      <c r="L815" s="80" t="s">
        <v>84</v>
      </c>
      <c r="M815" s="80" t="s">
        <v>84</v>
      </c>
      <c r="N815" s="80" t="s">
        <v>84</v>
      </c>
      <c r="O815" s="80" t="s">
        <v>84</v>
      </c>
      <c r="P815" s="80"/>
      <c r="Q815" s="80" t="s">
        <v>84</v>
      </c>
      <c r="R815" s="80" t="s">
        <v>84</v>
      </c>
    </row>
    <row r="816" spans="1:18" ht="20" x14ac:dyDescent="0.2">
      <c r="A816" s="80" t="s">
        <v>5965</v>
      </c>
      <c r="B816" s="80" t="s">
        <v>10000</v>
      </c>
      <c r="C816" s="80" t="s">
        <v>84</v>
      </c>
      <c r="D816" s="80" t="s">
        <v>84</v>
      </c>
      <c r="E816" s="80" t="s">
        <v>84</v>
      </c>
      <c r="F816" s="80"/>
      <c r="G816" s="80" t="s">
        <v>84</v>
      </c>
      <c r="H816" s="80" t="s">
        <v>84</v>
      </c>
      <c r="I816" s="80" t="s">
        <v>84</v>
      </c>
      <c r="J816" s="80" t="s">
        <v>84</v>
      </c>
      <c r="K816" s="80" t="s">
        <v>84</v>
      </c>
      <c r="L816" s="80" t="s">
        <v>84</v>
      </c>
      <c r="M816" s="80" t="s">
        <v>84</v>
      </c>
      <c r="N816" s="80" t="s">
        <v>84</v>
      </c>
      <c r="O816" s="80" t="s">
        <v>84</v>
      </c>
      <c r="P816" s="80"/>
      <c r="Q816" s="80" t="s">
        <v>84</v>
      </c>
      <c r="R816" s="80" t="s">
        <v>84</v>
      </c>
    </row>
    <row r="817" spans="1:18" ht="20" x14ac:dyDescent="0.2">
      <c r="A817" s="80" t="s">
        <v>5965</v>
      </c>
      <c r="B817" s="80" t="s">
        <v>5966</v>
      </c>
      <c r="C817" s="80" t="s">
        <v>84</v>
      </c>
      <c r="D817" s="80" t="s">
        <v>84</v>
      </c>
      <c r="E817" s="80" t="s">
        <v>84</v>
      </c>
      <c r="F817" s="80"/>
      <c r="G817" s="80" t="s">
        <v>84</v>
      </c>
      <c r="H817" s="80" t="s">
        <v>84</v>
      </c>
      <c r="I817" s="80" t="s">
        <v>84</v>
      </c>
      <c r="J817" s="80" t="s">
        <v>84</v>
      </c>
      <c r="K817" s="80" t="s">
        <v>84</v>
      </c>
      <c r="L817" s="80" t="s">
        <v>84</v>
      </c>
      <c r="M817" s="80" t="s">
        <v>84</v>
      </c>
      <c r="N817" s="80" t="s">
        <v>84</v>
      </c>
      <c r="O817" s="80" t="s">
        <v>84</v>
      </c>
      <c r="P817" s="80"/>
      <c r="Q817" s="80" t="s">
        <v>84</v>
      </c>
      <c r="R817" s="80" t="s">
        <v>84</v>
      </c>
    </row>
    <row r="818" spans="1:18" ht="20" x14ac:dyDescent="0.2">
      <c r="A818" s="80" t="s">
        <v>6061</v>
      </c>
      <c r="B818" s="80" t="s">
        <v>10001</v>
      </c>
      <c r="C818" s="80" t="s">
        <v>9680</v>
      </c>
      <c r="D818" s="80" t="s">
        <v>9680</v>
      </c>
      <c r="E818" s="80" t="s">
        <v>84</v>
      </c>
      <c r="F818" s="80"/>
      <c r="G818" s="80" t="s">
        <v>9680</v>
      </c>
      <c r="H818" s="80" t="s">
        <v>84</v>
      </c>
      <c r="I818" s="80" t="s">
        <v>9680</v>
      </c>
      <c r="J818" s="80" t="s">
        <v>9680</v>
      </c>
      <c r="K818" s="80" t="s">
        <v>9680</v>
      </c>
      <c r="L818" s="80" t="s">
        <v>9680</v>
      </c>
      <c r="M818" s="80" t="s">
        <v>9680</v>
      </c>
      <c r="N818" s="80" t="s">
        <v>84</v>
      </c>
      <c r="O818" s="80" t="s">
        <v>9680</v>
      </c>
      <c r="P818" s="80"/>
      <c r="Q818" s="80" t="s">
        <v>9680</v>
      </c>
      <c r="R818" s="80" t="s">
        <v>9680</v>
      </c>
    </row>
    <row r="819" spans="1:18" ht="20" x14ac:dyDescent="0.2">
      <c r="A819" s="80" t="s">
        <v>6061</v>
      </c>
      <c r="B819" s="80" t="s">
        <v>6062</v>
      </c>
      <c r="C819" s="80" t="s">
        <v>9680</v>
      </c>
      <c r="D819" s="80" t="s">
        <v>9680</v>
      </c>
      <c r="E819" s="80" t="s">
        <v>84</v>
      </c>
      <c r="F819" s="80"/>
      <c r="G819" s="80" t="s">
        <v>9680</v>
      </c>
      <c r="H819" s="80" t="s">
        <v>84</v>
      </c>
      <c r="I819" s="80" t="s">
        <v>9680</v>
      </c>
      <c r="J819" s="80" t="s">
        <v>9680</v>
      </c>
      <c r="K819" s="80" t="s">
        <v>9680</v>
      </c>
      <c r="L819" s="80" t="s">
        <v>9680</v>
      </c>
      <c r="M819" s="80" t="s">
        <v>9680</v>
      </c>
      <c r="N819" s="80" t="s">
        <v>84</v>
      </c>
      <c r="O819" s="80" t="s">
        <v>9680</v>
      </c>
      <c r="P819" s="80"/>
      <c r="Q819" s="80" t="s">
        <v>9680</v>
      </c>
      <c r="R819" s="80" t="s">
        <v>9680</v>
      </c>
    </row>
    <row r="820" spans="1:18" ht="20" x14ac:dyDescent="0.2">
      <c r="A820" s="80" t="s">
        <v>6065</v>
      </c>
      <c r="B820" s="80" t="s">
        <v>6066</v>
      </c>
      <c r="C820" s="80" t="s">
        <v>84</v>
      </c>
      <c r="D820" s="80" t="s">
        <v>84</v>
      </c>
      <c r="E820" s="80" t="s">
        <v>84</v>
      </c>
      <c r="F820" s="80"/>
      <c r="G820" s="80" t="s">
        <v>84</v>
      </c>
      <c r="H820" s="80" t="s">
        <v>84</v>
      </c>
      <c r="I820" s="80" t="s">
        <v>84</v>
      </c>
      <c r="J820" s="80" t="s">
        <v>84</v>
      </c>
      <c r="K820" s="80" t="s">
        <v>84</v>
      </c>
      <c r="L820" s="80" t="s">
        <v>84</v>
      </c>
      <c r="M820" s="80" t="s">
        <v>84</v>
      </c>
      <c r="N820" s="80" t="s">
        <v>84</v>
      </c>
      <c r="O820" s="80" t="s">
        <v>84</v>
      </c>
      <c r="P820" s="80"/>
      <c r="Q820" s="80" t="s">
        <v>84</v>
      </c>
      <c r="R820" s="80" t="s">
        <v>84</v>
      </c>
    </row>
    <row r="821" spans="1:18" ht="20" x14ac:dyDescent="0.2">
      <c r="A821" s="80" t="s">
        <v>6069</v>
      </c>
      <c r="B821" s="80" t="s">
        <v>10002</v>
      </c>
      <c r="C821" s="80" t="s">
        <v>84</v>
      </c>
      <c r="D821" s="80" t="s">
        <v>84</v>
      </c>
      <c r="E821" s="80" t="s">
        <v>84</v>
      </c>
      <c r="F821" s="80"/>
      <c r="G821" s="80" t="s">
        <v>84</v>
      </c>
      <c r="H821" s="80" t="s">
        <v>84</v>
      </c>
      <c r="I821" s="80" t="s">
        <v>84</v>
      </c>
      <c r="J821" s="80" t="s">
        <v>84</v>
      </c>
      <c r="K821" s="80" t="s">
        <v>84</v>
      </c>
      <c r="L821" s="80" t="s">
        <v>84</v>
      </c>
      <c r="M821" s="80" t="s">
        <v>84</v>
      </c>
      <c r="N821" s="80" t="s">
        <v>84</v>
      </c>
      <c r="O821" s="80" t="s">
        <v>84</v>
      </c>
      <c r="P821" s="80"/>
      <c r="Q821" s="80" t="s">
        <v>84</v>
      </c>
      <c r="R821" s="80" t="s">
        <v>84</v>
      </c>
    </row>
    <row r="822" spans="1:18" ht="20" x14ac:dyDescent="0.2">
      <c r="A822" s="80" t="s">
        <v>6069</v>
      </c>
      <c r="B822" s="80" t="s">
        <v>6070</v>
      </c>
      <c r="C822" s="80" t="s">
        <v>84</v>
      </c>
      <c r="D822" s="80" t="s">
        <v>84</v>
      </c>
      <c r="E822" s="80" t="s">
        <v>84</v>
      </c>
      <c r="F822" s="80"/>
      <c r="G822" s="80" t="s">
        <v>84</v>
      </c>
      <c r="H822" s="80" t="s">
        <v>84</v>
      </c>
      <c r="I822" s="80" t="s">
        <v>84</v>
      </c>
      <c r="J822" s="80" t="s">
        <v>84</v>
      </c>
      <c r="K822" s="80" t="s">
        <v>84</v>
      </c>
      <c r="L822" s="80" t="s">
        <v>84</v>
      </c>
      <c r="M822" s="80" t="s">
        <v>84</v>
      </c>
      <c r="N822" s="80" t="s">
        <v>84</v>
      </c>
      <c r="O822" s="80" t="s">
        <v>84</v>
      </c>
      <c r="P822" s="80"/>
      <c r="Q822" s="80" t="s">
        <v>84</v>
      </c>
      <c r="R822" s="80" t="s">
        <v>84</v>
      </c>
    </row>
    <row r="823" spans="1:18" ht="20" x14ac:dyDescent="0.2">
      <c r="A823" s="80" t="s">
        <v>6073</v>
      </c>
      <c r="B823" s="80" t="s">
        <v>6074</v>
      </c>
      <c r="C823" s="80" t="s">
        <v>84</v>
      </c>
      <c r="D823" s="80" t="s">
        <v>84</v>
      </c>
      <c r="E823" s="80" t="s">
        <v>84</v>
      </c>
      <c r="F823" s="80"/>
      <c r="G823" s="80" t="s">
        <v>84</v>
      </c>
      <c r="H823" s="80" t="s">
        <v>84</v>
      </c>
      <c r="I823" s="80" t="s">
        <v>84</v>
      </c>
      <c r="J823" s="80" t="s">
        <v>84</v>
      </c>
      <c r="K823" s="80" t="s">
        <v>84</v>
      </c>
      <c r="L823" s="80" t="s">
        <v>84</v>
      </c>
      <c r="M823" s="80" t="s">
        <v>84</v>
      </c>
      <c r="N823" s="80" t="s">
        <v>84</v>
      </c>
      <c r="O823" s="80" t="s">
        <v>84</v>
      </c>
      <c r="P823" s="80"/>
      <c r="Q823" s="80" t="s">
        <v>84</v>
      </c>
      <c r="R823" s="80" t="s">
        <v>84</v>
      </c>
    </row>
    <row r="824" spans="1:18" ht="20" x14ac:dyDescent="0.2">
      <c r="A824" s="80" t="s">
        <v>10003</v>
      </c>
      <c r="B824" s="80" t="s">
        <v>6076</v>
      </c>
      <c r="C824" s="80" t="s">
        <v>9680</v>
      </c>
      <c r="D824" s="80" t="s">
        <v>9680</v>
      </c>
      <c r="E824" s="80" t="s">
        <v>9680</v>
      </c>
      <c r="F824" s="80"/>
      <c r="G824" s="80" t="s">
        <v>9680</v>
      </c>
      <c r="H824" s="80" t="s">
        <v>9680</v>
      </c>
      <c r="I824" s="80" t="s">
        <v>9680</v>
      </c>
      <c r="J824" s="80" t="s">
        <v>84</v>
      </c>
      <c r="K824" s="80" t="s">
        <v>9680</v>
      </c>
      <c r="L824" s="80" t="s">
        <v>9680</v>
      </c>
      <c r="M824" s="80" t="s">
        <v>9680</v>
      </c>
      <c r="N824" s="80" t="s">
        <v>9680</v>
      </c>
      <c r="O824" s="80" t="s">
        <v>9680</v>
      </c>
      <c r="P824" s="80"/>
      <c r="Q824" s="80" t="s">
        <v>9680</v>
      </c>
      <c r="R824" s="80" t="s">
        <v>9680</v>
      </c>
    </row>
    <row r="825" spans="1:18" ht="20" x14ac:dyDescent="0.2">
      <c r="A825" s="80" t="s">
        <v>6075</v>
      </c>
      <c r="B825" s="80" t="s">
        <v>6076</v>
      </c>
      <c r="C825" s="80" t="s">
        <v>9680</v>
      </c>
      <c r="D825" s="80" t="s">
        <v>9680</v>
      </c>
      <c r="E825" s="80" t="s">
        <v>9680</v>
      </c>
      <c r="F825" s="80"/>
      <c r="G825" s="80" t="s">
        <v>9680</v>
      </c>
      <c r="H825" s="80" t="s">
        <v>9680</v>
      </c>
      <c r="I825" s="80" t="s">
        <v>9680</v>
      </c>
      <c r="J825" s="80" t="s">
        <v>84</v>
      </c>
      <c r="K825" s="80" t="s">
        <v>9680</v>
      </c>
      <c r="L825" s="80" t="s">
        <v>9680</v>
      </c>
      <c r="M825" s="80" t="s">
        <v>9680</v>
      </c>
      <c r="N825" s="80" t="s">
        <v>9680</v>
      </c>
      <c r="O825" s="80" t="s">
        <v>9680</v>
      </c>
      <c r="P825" s="80"/>
      <c r="Q825" s="80" t="s">
        <v>9680</v>
      </c>
      <c r="R825" s="80" t="s">
        <v>9680</v>
      </c>
    </row>
    <row r="826" spans="1:18" ht="20" x14ac:dyDescent="0.2">
      <c r="A826" s="80" t="s">
        <v>6077</v>
      </c>
      <c r="B826" s="80" t="s">
        <v>6078</v>
      </c>
      <c r="C826" s="80" t="s">
        <v>9680</v>
      </c>
      <c r="D826" s="80" t="s">
        <v>84</v>
      </c>
      <c r="E826" s="80" t="s">
        <v>84</v>
      </c>
      <c r="F826" s="80"/>
      <c r="G826" s="80" t="s">
        <v>84</v>
      </c>
      <c r="H826" s="80" t="s">
        <v>84</v>
      </c>
      <c r="I826" s="80" t="s">
        <v>84</v>
      </c>
      <c r="J826" s="80" t="s">
        <v>84</v>
      </c>
      <c r="K826" s="80" t="s">
        <v>84</v>
      </c>
      <c r="L826" s="80" t="s">
        <v>84</v>
      </c>
      <c r="M826" s="80" t="s">
        <v>84</v>
      </c>
      <c r="N826" s="80" t="s">
        <v>84</v>
      </c>
      <c r="O826" s="80" t="s">
        <v>84</v>
      </c>
      <c r="P826" s="80"/>
      <c r="Q826" s="80" t="s">
        <v>84</v>
      </c>
      <c r="R826" s="80" t="s">
        <v>84</v>
      </c>
    </row>
    <row r="827" spans="1:18" ht="20" x14ac:dyDescent="0.2">
      <c r="A827" s="80" t="s">
        <v>3497</v>
      </c>
      <c r="B827" s="80" t="s">
        <v>3498</v>
      </c>
      <c r="C827" s="80" t="s">
        <v>9680</v>
      </c>
      <c r="D827" s="80" t="s">
        <v>84</v>
      </c>
      <c r="E827" s="80" t="s">
        <v>84</v>
      </c>
      <c r="F827" s="80"/>
      <c r="G827" s="80" t="s">
        <v>84</v>
      </c>
      <c r="H827" s="80" t="s">
        <v>84</v>
      </c>
      <c r="I827" s="80" t="s">
        <v>84</v>
      </c>
      <c r="J827" s="80" t="s">
        <v>84</v>
      </c>
      <c r="K827" s="80" t="s">
        <v>84</v>
      </c>
      <c r="L827" s="80" t="s">
        <v>84</v>
      </c>
      <c r="M827" s="80" t="s">
        <v>84</v>
      </c>
      <c r="N827" s="80" t="s">
        <v>84</v>
      </c>
      <c r="O827" s="80" t="s">
        <v>84</v>
      </c>
      <c r="P827" s="80"/>
      <c r="Q827" s="80" t="s">
        <v>84</v>
      </c>
      <c r="R827" s="80" t="s">
        <v>84</v>
      </c>
    </row>
    <row r="828" spans="1:18" ht="20" x14ac:dyDescent="0.2">
      <c r="A828" s="80" t="s">
        <v>10004</v>
      </c>
      <c r="B828" s="80" t="s">
        <v>10005</v>
      </c>
      <c r="C828" s="80" t="s">
        <v>84</v>
      </c>
      <c r="D828" s="80" t="s">
        <v>84</v>
      </c>
      <c r="E828" s="80" t="s">
        <v>84</v>
      </c>
      <c r="F828" s="80"/>
      <c r="G828" s="80" t="s">
        <v>84</v>
      </c>
      <c r="H828" s="80" t="s">
        <v>84</v>
      </c>
      <c r="I828" s="80" t="s">
        <v>84</v>
      </c>
      <c r="J828" s="80" t="s">
        <v>84</v>
      </c>
      <c r="K828" s="80" t="s">
        <v>84</v>
      </c>
      <c r="L828" s="80" t="s">
        <v>84</v>
      </c>
      <c r="M828" s="80" t="s">
        <v>84</v>
      </c>
      <c r="N828" s="80" t="s">
        <v>84</v>
      </c>
      <c r="O828" s="80" t="s">
        <v>84</v>
      </c>
      <c r="P828" s="80"/>
      <c r="Q828" s="80" t="s">
        <v>84</v>
      </c>
      <c r="R828" s="80" t="s">
        <v>84</v>
      </c>
    </row>
    <row r="829" spans="1:18" ht="20" x14ac:dyDescent="0.2">
      <c r="A829" s="80" t="s">
        <v>6079</v>
      </c>
      <c r="B829" s="80" t="s">
        <v>6080</v>
      </c>
      <c r="C829" s="80" t="s">
        <v>9680</v>
      </c>
      <c r="D829" s="80" t="s">
        <v>84</v>
      </c>
      <c r="E829" s="80" t="s">
        <v>84</v>
      </c>
      <c r="F829" s="80"/>
      <c r="G829" s="80" t="s">
        <v>84</v>
      </c>
      <c r="H829" s="80" t="s">
        <v>84</v>
      </c>
      <c r="I829" s="80" t="s">
        <v>84</v>
      </c>
      <c r="J829" s="80" t="s">
        <v>84</v>
      </c>
      <c r="K829" s="80" t="s">
        <v>84</v>
      </c>
      <c r="L829" s="80" t="s">
        <v>84</v>
      </c>
      <c r="M829" s="80" t="s">
        <v>84</v>
      </c>
      <c r="N829" s="80" t="s">
        <v>84</v>
      </c>
      <c r="O829" s="80" t="s">
        <v>84</v>
      </c>
      <c r="P829" s="80"/>
      <c r="Q829" s="80" t="s">
        <v>84</v>
      </c>
      <c r="R829" s="80" t="s">
        <v>84</v>
      </c>
    </row>
    <row r="830" spans="1:18" ht="20" x14ac:dyDescent="0.2">
      <c r="A830" s="80" t="s">
        <v>6081</v>
      </c>
      <c r="B830" s="80" t="s">
        <v>6082</v>
      </c>
      <c r="C830" s="80" t="s">
        <v>9680</v>
      </c>
      <c r="D830" s="80" t="s">
        <v>84</v>
      </c>
      <c r="E830" s="80" t="s">
        <v>84</v>
      </c>
      <c r="F830" s="80"/>
      <c r="G830" s="80" t="s">
        <v>84</v>
      </c>
      <c r="H830" s="80" t="s">
        <v>84</v>
      </c>
      <c r="I830" s="80" t="s">
        <v>84</v>
      </c>
      <c r="J830" s="80" t="s">
        <v>84</v>
      </c>
      <c r="K830" s="80" t="s">
        <v>84</v>
      </c>
      <c r="L830" s="80" t="s">
        <v>84</v>
      </c>
      <c r="M830" s="80" t="s">
        <v>84</v>
      </c>
      <c r="N830" s="80" t="s">
        <v>84</v>
      </c>
      <c r="O830" s="80" t="s">
        <v>84</v>
      </c>
      <c r="P830" s="80"/>
      <c r="Q830" s="80" t="s">
        <v>84</v>
      </c>
      <c r="R830" s="80" t="s">
        <v>84</v>
      </c>
    </row>
    <row r="831" spans="1:18" ht="20" x14ac:dyDescent="0.2">
      <c r="A831" s="80" t="s">
        <v>5958</v>
      </c>
      <c r="B831" s="80" t="s">
        <v>10006</v>
      </c>
      <c r="C831" s="80" t="s">
        <v>84</v>
      </c>
      <c r="D831" s="80" t="s">
        <v>84</v>
      </c>
      <c r="E831" s="80" t="s">
        <v>84</v>
      </c>
      <c r="F831" s="80"/>
      <c r="G831" s="80" t="s">
        <v>84</v>
      </c>
      <c r="H831" s="80" t="s">
        <v>84</v>
      </c>
      <c r="I831" s="80" t="s">
        <v>84</v>
      </c>
      <c r="J831" s="80" t="s">
        <v>84</v>
      </c>
      <c r="K831" s="80" t="s">
        <v>84</v>
      </c>
      <c r="L831" s="80" t="s">
        <v>84</v>
      </c>
      <c r="M831" s="80" t="s">
        <v>84</v>
      </c>
      <c r="N831" s="80" t="s">
        <v>84</v>
      </c>
      <c r="O831" s="80" t="s">
        <v>84</v>
      </c>
      <c r="P831" s="80"/>
      <c r="Q831" s="80" t="s">
        <v>84</v>
      </c>
      <c r="R831" s="80" t="s">
        <v>84</v>
      </c>
    </row>
    <row r="832" spans="1:18" ht="20" x14ac:dyDescent="0.2">
      <c r="A832" s="80" t="s">
        <v>5958</v>
      </c>
      <c r="B832" s="80" t="s">
        <v>5959</v>
      </c>
      <c r="C832" s="80" t="s">
        <v>84</v>
      </c>
      <c r="D832" s="80" t="s">
        <v>84</v>
      </c>
      <c r="E832" s="80" t="s">
        <v>84</v>
      </c>
      <c r="F832" s="80"/>
      <c r="G832" s="80" t="s">
        <v>84</v>
      </c>
      <c r="H832" s="80" t="s">
        <v>84</v>
      </c>
      <c r="I832" s="80" t="s">
        <v>84</v>
      </c>
      <c r="J832" s="80" t="s">
        <v>84</v>
      </c>
      <c r="K832" s="80" t="s">
        <v>84</v>
      </c>
      <c r="L832" s="80" t="s">
        <v>84</v>
      </c>
      <c r="M832" s="80" t="s">
        <v>84</v>
      </c>
      <c r="N832" s="80" t="s">
        <v>84</v>
      </c>
      <c r="O832" s="80" t="s">
        <v>84</v>
      </c>
      <c r="P832" s="80"/>
      <c r="Q832" s="80" t="s">
        <v>84</v>
      </c>
      <c r="R832" s="80" t="s">
        <v>84</v>
      </c>
    </row>
    <row r="833" spans="1:18" ht="20" x14ac:dyDescent="0.2">
      <c r="A833" s="80" t="s">
        <v>5773</v>
      </c>
      <c r="B833" s="80" t="s">
        <v>5774</v>
      </c>
      <c r="C833" s="80" t="s">
        <v>84</v>
      </c>
      <c r="D833" s="80" t="s">
        <v>84</v>
      </c>
      <c r="E833" s="80" t="s">
        <v>84</v>
      </c>
      <c r="F833" s="80"/>
      <c r="G833" s="80" t="s">
        <v>84</v>
      </c>
      <c r="H833" s="80" t="s">
        <v>84</v>
      </c>
      <c r="I833" s="80" t="s">
        <v>84</v>
      </c>
      <c r="J833" s="80" t="s">
        <v>84</v>
      </c>
      <c r="K833" s="80" t="s">
        <v>84</v>
      </c>
      <c r="L833" s="80" t="s">
        <v>84</v>
      </c>
      <c r="M833" s="80" t="s">
        <v>84</v>
      </c>
      <c r="N833" s="80" t="s">
        <v>84</v>
      </c>
      <c r="O833" s="80" t="s">
        <v>84</v>
      </c>
      <c r="P833" s="80"/>
      <c r="Q833" s="80" t="s">
        <v>84</v>
      </c>
      <c r="R833" s="80" t="s">
        <v>84</v>
      </c>
    </row>
    <row r="834" spans="1:18" ht="20" x14ac:dyDescent="0.2">
      <c r="A834" s="80" t="s">
        <v>5773</v>
      </c>
      <c r="B834" s="80" t="s">
        <v>10007</v>
      </c>
      <c r="C834" s="80" t="s">
        <v>84</v>
      </c>
      <c r="D834" s="80" t="s">
        <v>84</v>
      </c>
      <c r="E834" s="80" t="s">
        <v>84</v>
      </c>
      <c r="F834" s="80"/>
      <c r="G834" s="80" t="s">
        <v>84</v>
      </c>
      <c r="H834" s="80" t="s">
        <v>84</v>
      </c>
      <c r="I834" s="80" t="s">
        <v>84</v>
      </c>
      <c r="J834" s="80" t="s">
        <v>84</v>
      </c>
      <c r="K834" s="80" t="s">
        <v>84</v>
      </c>
      <c r="L834" s="80" t="s">
        <v>84</v>
      </c>
      <c r="M834" s="80" t="s">
        <v>84</v>
      </c>
      <c r="N834" s="80" t="s">
        <v>84</v>
      </c>
      <c r="O834" s="80" t="s">
        <v>84</v>
      </c>
      <c r="P834" s="80"/>
      <c r="Q834" s="80" t="s">
        <v>84</v>
      </c>
      <c r="R834" s="80" t="s">
        <v>84</v>
      </c>
    </row>
    <row r="835" spans="1:18" ht="20" x14ac:dyDescent="0.2">
      <c r="A835" s="80" t="s">
        <v>5773</v>
      </c>
      <c r="B835" s="80" t="s">
        <v>5960</v>
      </c>
      <c r="C835" s="80" t="s">
        <v>84</v>
      </c>
      <c r="D835" s="80" t="s">
        <v>84</v>
      </c>
      <c r="E835" s="80" t="s">
        <v>84</v>
      </c>
      <c r="F835" s="80"/>
      <c r="G835" s="80" t="s">
        <v>84</v>
      </c>
      <c r="H835" s="80" t="s">
        <v>84</v>
      </c>
      <c r="I835" s="80" t="s">
        <v>84</v>
      </c>
      <c r="J835" s="80" t="s">
        <v>84</v>
      </c>
      <c r="K835" s="80" t="s">
        <v>84</v>
      </c>
      <c r="L835" s="80" t="s">
        <v>84</v>
      </c>
      <c r="M835" s="80" t="s">
        <v>84</v>
      </c>
      <c r="N835" s="80" t="s">
        <v>84</v>
      </c>
      <c r="O835" s="80" t="s">
        <v>84</v>
      </c>
      <c r="P835" s="80"/>
      <c r="Q835" s="80" t="s">
        <v>84</v>
      </c>
      <c r="R835" s="80" t="s">
        <v>84</v>
      </c>
    </row>
    <row r="836" spans="1:18" ht="20" x14ac:dyDescent="0.2">
      <c r="A836" s="80" t="s">
        <v>5961</v>
      </c>
      <c r="B836" s="80" t="s">
        <v>5962</v>
      </c>
      <c r="C836" s="80" t="s">
        <v>9680</v>
      </c>
      <c r="D836" s="80" t="s">
        <v>9680</v>
      </c>
      <c r="E836" s="80" t="s">
        <v>9680</v>
      </c>
      <c r="F836" s="80"/>
      <c r="G836" s="80" t="s">
        <v>9680</v>
      </c>
      <c r="H836" s="80" t="s">
        <v>9680</v>
      </c>
      <c r="I836" s="80" t="s">
        <v>9680</v>
      </c>
      <c r="J836" s="80" t="s">
        <v>9680</v>
      </c>
      <c r="K836" s="80" t="s">
        <v>9680</v>
      </c>
      <c r="L836" s="80" t="s">
        <v>9680</v>
      </c>
      <c r="M836" s="80" t="s">
        <v>9680</v>
      </c>
      <c r="N836" s="80" t="s">
        <v>9680</v>
      </c>
      <c r="O836" s="80" t="s">
        <v>9680</v>
      </c>
      <c r="P836" s="80"/>
      <c r="Q836" s="80" t="s">
        <v>9680</v>
      </c>
      <c r="R836" s="80" t="s">
        <v>9680</v>
      </c>
    </row>
    <row r="837" spans="1:18" ht="20" x14ac:dyDescent="0.2">
      <c r="A837" s="80" t="s">
        <v>6004</v>
      </c>
      <c r="B837" s="80" t="s">
        <v>10008</v>
      </c>
      <c r="C837" s="80" t="s">
        <v>84</v>
      </c>
      <c r="D837" s="80" t="s">
        <v>84</v>
      </c>
      <c r="E837" s="80" t="s">
        <v>84</v>
      </c>
      <c r="F837" s="80"/>
      <c r="G837" s="80" t="s">
        <v>84</v>
      </c>
      <c r="H837" s="80" t="s">
        <v>84</v>
      </c>
      <c r="I837" s="80" t="s">
        <v>84</v>
      </c>
      <c r="J837" s="80" t="s">
        <v>84</v>
      </c>
      <c r="K837" s="80" t="s">
        <v>84</v>
      </c>
      <c r="L837" s="80" t="s">
        <v>84</v>
      </c>
      <c r="M837" s="80" t="s">
        <v>84</v>
      </c>
      <c r="N837" s="80" t="s">
        <v>84</v>
      </c>
      <c r="O837" s="80" t="s">
        <v>84</v>
      </c>
      <c r="P837" s="80"/>
      <c r="Q837" s="80" t="s">
        <v>84</v>
      </c>
      <c r="R837" s="80" t="s">
        <v>84</v>
      </c>
    </row>
    <row r="838" spans="1:18" ht="20" x14ac:dyDescent="0.2">
      <c r="A838" s="80" t="s">
        <v>6004</v>
      </c>
      <c r="B838" s="80" t="s">
        <v>6005</v>
      </c>
      <c r="C838" s="80" t="s">
        <v>84</v>
      </c>
      <c r="D838" s="80" t="s">
        <v>84</v>
      </c>
      <c r="E838" s="80" t="s">
        <v>84</v>
      </c>
      <c r="F838" s="80"/>
      <c r="G838" s="80" t="s">
        <v>84</v>
      </c>
      <c r="H838" s="80" t="s">
        <v>84</v>
      </c>
      <c r="I838" s="80" t="s">
        <v>84</v>
      </c>
      <c r="J838" s="80" t="s">
        <v>84</v>
      </c>
      <c r="K838" s="80" t="s">
        <v>84</v>
      </c>
      <c r="L838" s="80" t="s">
        <v>84</v>
      </c>
      <c r="M838" s="80" t="s">
        <v>84</v>
      </c>
      <c r="N838" s="80" t="s">
        <v>84</v>
      </c>
      <c r="O838" s="80" t="s">
        <v>84</v>
      </c>
      <c r="P838" s="80"/>
      <c r="Q838" s="80" t="s">
        <v>84</v>
      </c>
      <c r="R838" s="80" t="s">
        <v>84</v>
      </c>
    </row>
    <row r="839" spans="1:18" ht="20" x14ac:dyDescent="0.2">
      <c r="A839" s="80" t="s">
        <v>10009</v>
      </c>
      <c r="B839" s="80" t="s">
        <v>10010</v>
      </c>
      <c r="C839" s="80" t="s">
        <v>84</v>
      </c>
      <c r="D839" s="80" t="s">
        <v>84</v>
      </c>
      <c r="E839" s="80" t="s">
        <v>84</v>
      </c>
      <c r="F839" s="80"/>
      <c r="G839" s="80" t="s">
        <v>84</v>
      </c>
      <c r="H839" s="80" t="s">
        <v>84</v>
      </c>
      <c r="I839" s="80" t="s">
        <v>84</v>
      </c>
      <c r="J839" s="80" t="s">
        <v>84</v>
      </c>
      <c r="K839" s="80" t="s">
        <v>84</v>
      </c>
      <c r="L839" s="80" t="s">
        <v>84</v>
      </c>
      <c r="M839" s="80" t="s">
        <v>84</v>
      </c>
      <c r="N839" s="80" t="s">
        <v>84</v>
      </c>
      <c r="O839" s="80" t="s">
        <v>84</v>
      </c>
      <c r="P839" s="80"/>
      <c r="Q839" s="80" t="s">
        <v>84</v>
      </c>
      <c r="R839" s="80" t="s">
        <v>84</v>
      </c>
    </row>
    <row r="840" spans="1:18" ht="20" x14ac:dyDescent="0.2">
      <c r="A840" s="80" t="s">
        <v>10011</v>
      </c>
      <c r="B840" s="80" t="s">
        <v>10012</v>
      </c>
      <c r="C840" s="80" t="s">
        <v>9680</v>
      </c>
      <c r="D840" s="80" t="s">
        <v>9680</v>
      </c>
      <c r="E840" s="80" t="s">
        <v>84</v>
      </c>
      <c r="F840" s="80"/>
      <c r="G840" s="80" t="s">
        <v>9680</v>
      </c>
      <c r="H840" s="80" t="s">
        <v>9680</v>
      </c>
      <c r="I840" s="80" t="s">
        <v>9680</v>
      </c>
      <c r="J840" s="80" t="s">
        <v>9680</v>
      </c>
      <c r="K840" s="80" t="s">
        <v>9680</v>
      </c>
      <c r="L840" s="80" t="s">
        <v>9680</v>
      </c>
      <c r="M840" s="80" t="s">
        <v>9680</v>
      </c>
      <c r="N840" s="80" t="s">
        <v>84</v>
      </c>
      <c r="O840" s="80" t="s">
        <v>9680</v>
      </c>
      <c r="P840" s="80"/>
      <c r="Q840" s="80" t="s">
        <v>9680</v>
      </c>
      <c r="R840" s="80" t="s">
        <v>9680</v>
      </c>
    </row>
    <row r="841" spans="1:18" ht="20" x14ac:dyDescent="0.2">
      <c r="A841" s="80" t="s">
        <v>5963</v>
      </c>
      <c r="B841" s="80" t="s">
        <v>10013</v>
      </c>
      <c r="C841" s="80" t="s">
        <v>84</v>
      </c>
      <c r="D841" s="80" t="s">
        <v>84</v>
      </c>
      <c r="E841" s="80" t="s">
        <v>84</v>
      </c>
      <c r="F841" s="80"/>
      <c r="G841" s="80" t="s">
        <v>84</v>
      </c>
      <c r="H841" s="80" t="s">
        <v>84</v>
      </c>
      <c r="I841" s="80" t="s">
        <v>84</v>
      </c>
      <c r="J841" s="80" t="s">
        <v>84</v>
      </c>
      <c r="K841" s="80" t="s">
        <v>84</v>
      </c>
      <c r="L841" s="80" t="s">
        <v>84</v>
      </c>
      <c r="M841" s="80" t="s">
        <v>84</v>
      </c>
      <c r="N841" s="80" t="s">
        <v>84</v>
      </c>
      <c r="O841" s="80" t="s">
        <v>84</v>
      </c>
      <c r="P841" s="80"/>
      <c r="Q841" s="80" t="s">
        <v>84</v>
      </c>
      <c r="R841" s="80" t="s">
        <v>84</v>
      </c>
    </row>
    <row r="842" spans="1:18" ht="20" x14ac:dyDescent="0.2">
      <c r="A842" s="80" t="s">
        <v>5963</v>
      </c>
      <c r="B842" s="80" t="s">
        <v>5964</v>
      </c>
      <c r="C842" s="80" t="s">
        <v>84</v>
      </c>
      <c r="D842" s="80" t="s">
        <v>84</v>
      </c>
      <c r="E842" s="80" t="s">
        <v>84</v>
      </c>
      <c r="F842" s="80"/>
      <c r="G842" s="80" t="s">
        <v>84</v>
      </c>
      <c r="H842" s="80" t="s">
        <v>84</v>
      </c>
      <c r="I842" s="80" t="s">
        <v>84</v>
      </c>
      <c r="J842" s="80" t="s">
        <v>84</v>
      </c>
      <c r="K842" s="80" t="s">
        <v>84</v>
      </c>
      <c r="L842" s="80" t="s">
        <v>84</v>
      </c>
      <c r="M842" s="80" t="s">
        <v>84</v>
      </c>
      <c r="N842" s="80" t="s">
        <v>84</v>
      </c>
      <c r="O842" s="80" t="s">
        <v>84</v>
      </c>
      <c r="P842" s="80"/>
      <c r="Q842" s="80" t="s">
        <v>84</v>
      </c>
      <c r="R842" s="80" t="s">
        <v>84</v>
      </c>
    </row>
    <row r="843" spans="1:18" ht="20" x14ac:dyDescent="0.2">
      <c r="A843" s="80" t="s">
        <v>6196</v>
      </c>
      <c r="B843" s="80" t="s">
        <v>6197</v>
      </c>
      <c r="C843" s="80" t="s">
        <v>9680</v>
      </c>
      <c r="D843" s="80" t="s">
        <v>9680</v>
      </c>
      <c r="E843" s="80" t="s">
        <v>84</v>
      </c>
      <c r="F843" s="80"/>
      <c r="G843" s="80" t="s">
        <v>9680</v>
      </c>
      <c r="H843" s="80" t="s">
        <v>9680</v>
      </c>
      <c r="I843" s="80" t="s">
        <v>9680</v>
      </c>
      <c r="J843" s="80" t="s">
        <v>9680</v>
      </c>
      <c r="K843" s="80" t="s">
        <v>9680</v>
      </c>
      <c r="L843" s="80" t="s">
        <v>9680</v>
      </c>
      <c r="M843" s="80" t="s">
        <v>9680</v>
      </c>
      <c r="N843" s="80" t="s">
        <v>84</v>
      </c>
      <c r="O843" s="80" t="s">
        <v>9680</v>
      </c>
      <c r="P843" s="80"/>
      <c r="Q843" s="80" t="s">
        <v>9680</v>
      </c>
      <c r="R843" s="80" t="s">
        <v>9680</v>
      </c>
    </row>
    <row r="844" spans="1:18" ht="20" x14ac:dyDescent="0.2">
      <c r="A844" s="80" t="s">
        <v>6194</v>
      </c>
      <c r="B844" s="80" t="s">
        <v>10014</v>
      </c>
      <c r="C844" s="80" t="s">
        <v>9680</v>
      </c>
      <c r="D844" s="80" t="s">
        <v>84</v>
      </c>
      <c r="E844" s="80" t="s">
        <v>84</v>
      </c>
      <c r="F844" s="80"/>
      <c r="G844" s="80" t="s">
        <v>84</v>
      </c>
      <c r="H844" s="80" t="s">
        <v>84</v>
      </c>
      <c r="I844" s="80" t="s">
        <v>84</v>
      </c>
      <c r="J844" s="80" t="s">
        <v>84</v>
      </c>
      <c r="K844" s="80" t="s">
        <v>84</v>
      </c>
      <c r="L844" s="80" t="s">
        <v>84</v>
      </c>
      <c r="M844" s="80" t="s">
        <v>84</v>
      </c>
      <c r="N844" s="80" t="s">
        <v>84</v>
      </c>
      <c r="O844" s="80" t="s">
        <v>84</v>
      </c>
      <c r="P844" s="80"/>
      <c r="Q844" s="80" t="s">
        <v>84</v>
      </c>
      <c r="R844" s="80" t="s">
        <v>84</v>
      </c>
    </row>
    <row r="845" spans="1:18" ht="20" x14ac:dyDescent="0.2">
      <c r="A845" s="80" t="s">
        <v>6194</v>
      </c>
      <c r="B845" s="80" t="s">
        <v>6195</v>
      </c>
      <c r="C845" s="80" t="s">
        <v>9680</v>
      </c>
      <c r="D845" s="80" t="s">
        <v>84</v>
      </c>
      <c r="E845" s="80" t="s">
        <v>84</v>
      </c>
      <c r="F845" s="80"/>
      <c r="G845" s="80" t="s">
        <v>84</v>
      </c>
      <c r="H845" s="80" t="s">
        <v>84</v>
      </c>
      <c r="I845" s="80" t="s">
        <v>84</v>
      </c>
      <c r="J845" s="80" t="s">
        <v>84</v>
      </c>
      <c r="K845" s="80" t="s">
        <v>84</v>
      </c>
      <c r="L845" s="80" t="s">
        <v>84</v>
      </c>
      <c r="M845" s="80" t="s">
        <v>84</v>
      </c>
      <c r="N845" s="80" t="s">
        <v>84</v>
      </c>
      <c r="O845" s="80" t="s">
        <v>84</v>
      </c>
      <c r="P845" s="80"/>
      <c r="Q845" s="80" t="s">
        <v>84</v>
      </c>
      <c r="R845" s="80" t="s">
        <v>84</v>
      </c>
    </row>
    <row r="846" spans="1:18" ht="20" x14ac:dyDescent="0.2">
      <c r="A846" s="80" t="s">
        <v>6198</v>
      </c>
      <c r="B846" s="80" t="s">
        <v>6199</v>
      </c>
      <c r="C846" s="80" t="s">
        <v>9680</v>
      </c>
      <c r="D846" s="80" t="s">
        <v>84</v>
      </c>
      <c r="E846" s="80" t="s">
        <v>84</v>
      </c>
      <c r="F846" s="80"/>
      <c r="G846" s="80" t="s">
        <v>84</v>
      </c>
      <c r="H846" s="80" t="s">
        <v>84</v>
      </c>
      <c r="I846" s="80" t="s">
        <v>84</v>
      </c>
      <c r="J846" s="80" t="s">
        <v>84</v>
      </c>
      <c r="K846" s="80" t="s">
        <v>84</v>
      </c>
      <c r="L846" s="80" t="s">
        <v>84</v>
      </c>
      <c r="M846" s="80" t="s">
        <v>84</v>
      </c>
      <c r="N846" s="80" t="s">
        <v>84</v>
      </c>
      <c r="O846" s="80" t="s">
        <v>84</v>
      </c>
      <c r="P846" s="80"/>
      <c r="Q846" s="80" t="s">
        <v>84</v>
      </c>
      <c r="R846" s="80" t="s">
        <v>84</v>
      </c>
    </row>
    <row r="847" spans="1:18" ht="20" x14ac:dyDescent="0.2">
      <c r="A847" s="80" t="s">
        <v>6083</v>
      </c>
      <c r="B847" s="80" t="s">
        <v>6084</v>
      </c>
      <c r="C847" s="80" t="s">
        <v>84</v>
      </c>
      <c r="D847" s="80" t="s">
        <v>84</v>
      </c>
      <c r="E847" s="80" t="s">
        <v>84</v>
      </c>
      <c r="F847" s="80"/>
      <c r="G847" s="80" t="s">
        <v>84</v>
      </c>
      <c r="H847" s="80" t="s">
        <v>84</v>
      </c>
      <c r="I847" s="80" t="s">
        <v>84</v>
      </c>
      <c r="J847" s="80" t="s">
        <v>84</v>
      </c>
      <c r="K847" s="80" t="s">
        <v>84</v>
      </c>
      <c r="L847" s="80" t="s">
        <v>84</v>
      </c>
      <c r="M847" s="80" t="s">
        <v>84</v>
      </c>
      <c r="N847" s="80" t="s">
        <v>84</v>
      </c>
      <c r="O847" s="80" t="s">
        <v>84</v>
      </c>
      <c r="P847" s="80"/>
      <c r="Q847" s="80" t="s">
        <v>84</v>
      </c>
      <c r="R847" s="80" t="s">
        <v>84</v>
      </c>
    </row>
    <row r="848" spans="1:18" ht="20" x14ac:dyDescent="0.2">
      <c r="A848" s="80" t="s">
        <v>6087</v>
      </c>
      <c r="B848" s="80" t="s">
        <v>6088</v>
      </c>
      <c r="C848" s="80" t="s">
        <v>9680</v>
      </c>
      <c r="D848" s="80" t="s">
        <v>84</v>
      </c>
      <c r="E848" s="80" t="s">
        <v>84</v>
      </c>
      <c r="F848" s="80"/>
      <c r="G848" s="80" t="s">
        <v>84</v>
      </c>
      <c r="H848" s="80" t="s">
        <v>84</v>
      </c>
      <c r="I848" s="80" t="s">
        <v>84</v>
      </c>
      <c r="J848" s="80" t="s">
        <v>84</v>
      </c>
      <c r="K848" s="80" t="s">
        <v>84</v>
      </c>
      <c r="L848" s="80" t="s">
        <v>84</v>
      </c>
      <c r="M848" s="80" t="s">
        <v>84</v>
      </c>
      <c r="N848" s="80" t="s">
        <v>84</v>
      </c>
      <c r="O848" s="80" t="s">
        <v>84</v>
      </c>
      <c r="P848" s="80"/>
      <c r="Q848" s="80" t="s">
        <v>84</v>
      </c>
      <c r="R848" s="80" t="s">
        <v>84</v>
      </c>
    </row>
    <row r="849" spans="1:18" ht="20" x14ac:dyDescent="0.2">
      <c r="A849" s="80" t="s">
        <v>6211</v>
      </c>
      <c r="B849" s="80" t="s">
        <v>6212</v>
      </c>
      <c r="C849" s="80" t="s">
        <v>9680</v>
      </c>
      <c r="D849" s="80" t="s">
        <v>84</v>
      </c>
      <c r="E849" s="80" t="s">
        <v>84</v>
      </c>
      <c r="F849" s="80"/>
      <c r="G849" s="80" t="s">
        <v>9680</v>
      </c>
      <c r="H849" s="80" t="s">
        <v>84</v>
      </c>
      <c r="I849" s="80" t="s">
        <v>84</v>
      </c>
      <c r="J849" s="80" t="s">
        <v>84</v>
      </c>
      <c r="K849" s="80" t="s">
        <v>84</v>
      </c>
      <c r="L849" s="80" t="s">
        <v>84</v>
      </c>
      <c r="M849" s="80" t="s">
        <v>84</v>
      </c>
      <c r="N849" s="80" t="s">
        <v>84</v>
      </c>
      <c r="O849" s="80" t="s">
        <v>84</v>
      </c>
      <c r="P849" s="80"/>
      <c r="Q849" s="80" t="s">
        <v>84</v>
      </c>
      <c r="R849" s="80" t="s">
        <v>84</v>
      </c>
    </row>
    <row r="850" spans="1:18" ht="20" x14ac:dyDescent="0.2">
      <c r="A850" s="80" t="s">
        <v>6213</v>
      </c>
      <c r="B850" s="80" t="s">
        <v>6214</v>
      </c>
      <c r="C850" s="80" t="s">
        <v>9680</v>
      </c>
      <c r="D850" s="80" t="s">
        <v>84</v>
      </c>
      <c r="E850" s="80" t="s">
        <v>84</v>
      </c>
      <c r="F850" s="80"/>
      <c r="G850" s="80" t="s">
        <v>84</v>
      </c>
      <c r="H850" s="80" t="s">
        <v>84</v>
      </c>
      <c r="I850" s="80" t="s">
        <v>84</v>
      </c>
      <c r="J850" s="80" t="s">
        <v>84</v>
      </c>
      <c r="K850" s="80" t="s">
        <v>84</v>
      </c>
      <c r="L850" s="80" t="s">
        <v>84</v>
      </c>
      <c r="M850" s="80" t="s">
        <v>84</v>
      </c>
      <c r="N850" s="80" t="s">
        <v>84</v>
      </c>
      <c r="O850" s="80" t="s">
        <v>84</v>
      </c>
      <c r="P850" s="80"/>
      <c r="Q850" s="80" t="s">
        <v>84</v>
      </c>
      <c r="R850" s="80" t="s">
        <v>84</v>
      </c>
    </row>
    <row r="851" spans="1:18" ht="20" x14ac:dyDescent="0.2">
      <c r="A851" s="80" t="s">
        <v>6215</v>
      </c>
      <c r="B851" s="80" t="s">
        <v>6216</v>
      </c>
      <c r="C851" s="80" t="s">
        <v>9680</v>
      </c>
      <c r="D851" s="80" t="s">
        <v>84</v>
      </c>
      <c r="E851" s="80" t="s">
        <v>84</v>
      </c>
      <c r="F851" s="80"/>
      <c r="G851" s="80" t="s">
        <v>9680</v>
      </c>
      <c r="H851" s="80" t="s">
        <v>84</v>
      </c>
      <c r="I851" s="80" t="s">
        <v>84</v>
      </c>
      <c r="J851" s="80" t="s">
        <v>84</v>
      </c>
      <c r="K851" s="80" t="s">
        <v>84</v>
      </c>
      <c r="L851" s="80" t="s">
        <v>84</v>
      </c>
      <c r="M851" s="80" t="s">
        <v>84</v>
      </c>
      <c r="N851" s="80" t="s">
        <v>84</v>
      </c>
      <c r="O851" s="80" t="s">
        <v>84</v>
      </c>
      <c r="P851" s="80"/>
      <c r="Q851" s="80" t="s">
        <v>84</v>
      </c>
      <c r="R851" s="80" t="s">
        <v>84</v>
      </c>
    </row>
    <row r="852" spans="1:18" ht="20" x14ac:dyDescent="0.2">
      <c r="A852" s="80" t="s">
        <v>6217</v>
      </c>
      <c r="B852" s="80" t="s">
        <v>6218</v>
      </c>
      <c r="C852" s="80" t="s">
        <v>9680</v>
      </c>
      <c r="D852" s="80" t="s">
        <v>84</v>
      </c>
      <c r="E852" s="80" t="s">
        <v>84</v>
      </c>
      <c r="F852" s="80"/>
      <c r="G852" s="80" t="s">
        <v>9680</v>
      </c>
      <c r="H852" s="80" t="s">
        <v>84</v>
      </c>
      <c r="I852" s="80" t="s">
        <v>84</v>
      </c>
      <c r="J852" s="80" t="s">
        <v>84</v>
      </c>
      <c r="K852" s="80" t="s">
        <v>84</v>
      </c>
      <c r="L852" s="80" t="s">
        <v>84</v>
      </c>
      <c r="M852" s="80" t="s">
        <v>84</v>
      </c>
      <c r="N852" s="80" t="s">
        <v>84</v>
      </c>
      <c r="O852" s="80" t="s">
        <v>84</v>
      </c>
      <c r="P852" s="80"/>
      <c r="Q852" s="80" t="s">
        <v>84</v>
      </c>
      <c r="R852" s="80" t="s">
        <v>84</v>
      </c>
    </row>
    <row r="853" spans="1:18" ht="20" x14ac:dyDescent="0.2">
      <c r="A853" s="80" t="s">
        <v>6089</v>
      </c>
      <c r="B853" s="80" t="s">
        <v>6090</v>
      </c>
      <c r="C853" s="80" t="s">
        <v>9680</v>
      </c>
      <c r="D853" s="80" t="s">
        <v>84</v>
      </c>
      <c r="E853" s="80" t="s">
        <v>84</v>
      </c>
      <c r="F853" s="80"/>
      <c r="G853" s="80" t="s">
        <v>84</v>
      </c>
      <c r="H853" s="80" t="s">
        <v>84</v>
      </c>
      <c r="I853" s="80" t="s">
        <v>84</v>
      </c>
      <c r="J853" s="80" t="s">
        <v>84</v>
      </c>
      <c r="K853" s="80" t="s">
        <v>84</v>
      </c>
      <c r="L853" s="80" t="s">
        <v>84</v>
      </c>
      <c r="M853" s="80" t="s">
        <v>84</v>
      </c>
      <c r="N853" s="80" t="s">
        <v>84</v>
      </c>
      <c r="O853" s="80" t="s">
        <v>84</v>
      </c>
      <c r="P853" s="80"/>
      <c r="Q853" s="80" t="s">
        <v>84</v>
      </c>
      <c r="R853" s="80" t="s">
        <v>84</v>
      </c>
    </row>
    <row r="854" spans="1:18" ht="20" x14ac:dyDescent="0.2">
      <c r="A854" s="80" t="s">
        <v>6091</v>
      </c>
      <c r="B854" s="80" t="s">
        <v>6092</v>
      </c>
      <c r="C854" s="80" t="s">
        <v>9680</v>
      </c>
      <c r="D854" s="80" t="s">
        <v>84</v>
      </c>
      <c r="E854" s="80" t="s">
        <v>84</v>
      </c>
      <c r="F854" s="80"/>
      <c r="G854" s="80" t="s">
        <v>84</v>
      </c>
      <c r="H854" s="80" t="s">
        <v>84</v>
      </c>
      <c r="I854" s="80" t="s">
        <v>84</v>
      </c>
      <c r="J854" s="80" t="s">
        <v>84</v>
      </c>
      <c r="K854" s="80" t="s">
        <v>84</v>
      </c>
      <c r="L854" s="80" t="s">
        <v>84</v>
      </c>
      <c r="M854" s="80" t="s">
        <v>84</v>
      </c>
      <c r="N854" s="80" t="s">
        <v>84</v>
      </c>
      <c r="O854" s="80" t="s">
        <v>84</v>
      </c>
      <c r="P854" s="80"/>
      <c r="Q854" s="80" t="s">
        <v>84</v>
      </c>
      <c r="R854" s="80" t="s">
        <v>84</v>
      </c>
    </row>
    <row r="855" spans="1:18" ht="20" x14ac:dyDescent="0.2">
      <c r="A855" s="80" t="s">
        <v>2999</v>
      </c>
      <c r="B855" s="80" t="s">
        <v>10015</v>
      </c>
      <c r="C855" s="80" t="s">
        <v>84</v>
      </c>
      <c r="D855" s="80" t="s">
        <v>84</v>
      </c>
      <c r="E855" s="80" t="s">
        <v>84</v>
      </c>
      <c r="F855" s="80"/>
      <c r="G855" s="80" t="s">
        <v>84</v>
      </c>
      <c r="H855" s="80" t="s">
        <v>84</v>
      </c>
      <c r="I855" s="80" t="s">
        <v>84</v>
      </c>
      <c r="J855" s="80" t="s">
        <v>84</v>
      </c>
      <c r="K855" s="80" t="s">
        <v>84</v>
      </c>
      <c r="L855" s="80" t="s">
        <v>84</v>
      </c>
      <c r="M855" s="80" t="s">
        <v>84</v>
      </c>
      <c r="N855" s="80" t="s">
        <v>84</v>
      </c>
      <c r="O855" s="80" t="s">
        <v>84</v>
      </c>
      <c r="P855" s="80"/>
      <c r="Q855" s="80" t="s">
        <v>84</v>
      </c>
      <c r="R855" s="80" t="s">
        <v>84</v>
      </c>
    </row>
    <row r="856" spans="1:18" ht="20" x14ac:dyDescent="0.2">
      <c r="A856" s="80" t="s">
        <v>2999</v>
      </c>
      <c r="B856" s="80" t="s">
        <v>3000</v>
      </c>
      <c r="C856" s="80" t="s">
        <v>84</v>
      </c>
      <c r="D856" s="80" t="s">
        <v>84</v>
      </c>
      <c r="E856" s="80" t="s">
        <v>84</v>
      </c>
      <c r="F856" s="80"/>
      <c r="G856" s="80" t="s">
        <v>84</v>
      </c>
      <c r="H856" s="80" t="s">
        <v>84</v>
      </c>
      <c r="I856" s="80" t="s">
        <v>84</v>
      </c>
      <c r="J856" s="80" t="s">
        <v>84</v>
      </c>
      <c r="K856" s="80" t="s">
        <v>84</v>
      </c>
      <c r="L856" s="80" t="s">
        <v>84</v>
      </c>
      <c r="M856" s="80" t="s">
        <v>84</v>
      </c>
      <c r="N856" s="80" t="s">
        <v>84</v>
      </c>
      <c r="O856" s="80" t="s">
        <v>84</v>
      </c>
      <c r="P856" s="80"/>
      <c r="Q856" s="80" t="s">
        <v>84</v>
      </c>
      <c r="R856" s="80" t="s">
        <v>84</v>
      </c>
    </row>
    <row r="857" spans="1:18" ht="20" x14ac:dyDescent="0.2">
      <c r="A857" s="80" t="s">
        <v>3358</v>
      </c>
      <c r="B857" s="80" t="s">
        <v>10016</v>
      </c>
      <c r="C857" s="80" t="s">
        <v>84</v>
      </c>
      <c r="D857" s="80" t="s">
        <v>84</v>
      </c>
      <c r="E857" s="80" t="s">
        <v>84</v>
      </c>
      <c r="F857" s="80"/>
      <c r="G857" s="80" t="s">
        <v>84</v>
      </c>
      <c r="H857" s="80" t="s">
        <v>84</v>
      </c>
      <c r="I857" s="80" t="s">
        <v>84</v>
      </c>
      <c r="J857" s="80" t="s">
        <v>84</v>
      </c>
      <c r="K857" s="80" t="s">
        <v>84</v>
      </c>
      <c r="L857" s="80" t="s">
        <v>84</v>
      </c>
      <c r="M857" s="80" t="s">
        <v>84</v>
      </c>
      <c r="N857" s="80" t="s">
        <v>84</v>
      </c>
      <c r="O857" s="80" t="s">
        <v>84</v>
      </c>
      <c r="P857" s="80"/>
      <c r="Q857" s="80" t="s">
        <v>84</v>
      </c>
      <c r="R857" s="80" t="s">
        <v>84</v>
      </c>
    </row>
    <row r="858" spans="1:18" ht="20" x14ac:dyDescent="0.2">
      <c r="A858" s="80" t="s">
        <v>3358</v>
      </c>
      <c r="B858" s="80" t="s">
        <v>3359</v>
      </c>
      <c r="C858" s="80" t="s">
        <v>84</v>
      </c>
      <c r="D858" s="80" t="s">
        <v>84</v>
      </c>
      <c r="E858" s="80" t="s">
        <v>84</v>
      </c>
      <c r="F858" s="80"/>
      <c r="G858" s="80" t="s">
        <v>84</v>
      </c>
      <c r="H858" s="80" t="s">
        <v>84</v>
      </c>
      <c r="I858" s="80" t="s">
        <v>84</v>
      </c>
      <c r="J858" s="80" t="s">
        <v>84</v>
      </c>
      <c r="K858" s="80" t="s">
        <v>84</v>
      </c>
      <c r="L858" s="80" t="s">
        <v>84</v>
      </c>
      <c r="M858" s="80" t="s">
        <v>84</v>
      </c>
      <c r="N858" s="80" t="s">
        <v>84</v>
      </c>
      <c r="O858" s="80" t="s">
        <v>84</v>
      </c>
      <c r="P858" s="80"/>
      <c r="Q858" s="80" t="s">
        <v>84</v>
      </c>
      <c r="R858" s="80" t="s">
        <v>84</v>
      </c>
    </row>
    <row r="859" spans="1:18" ht="20" x14ac:dyDescent="0.2">
      <c r="A859" s="80" t="s">
        <v>4143</v>
      </c>
      <c r="B859" s="80" t="s">
        <v>10017</v>
      </c>
      <c r="C859" s="80" t="s">
        <v>9680</v>
      </c>
      <c r="D859" s="80" t="s">
        <v>9680</v>
      </c>
      <c r="E859" s="80" t="s">
        <v>9680</v>
      </c>
      <c r="F859" s="80"/>
      <c r="G859" s="80" t="s">
        <v>9680</v>
      </c>
      <c r="H859" s="80" t="s">
        <v>9680</v>
      </c>
      <c r="I859" s="80" t="s">
        <v>9680</v>
      </c>
      <c r="J859" s="80" t="s">
        <v>9680</v>
      </c>
      <c r="K859" s="80" t="s">
        <v>9680</v>
      </c>
      <c r="L859" s="80" t="s">
        <v>9680</v>
      </c>
      <c r="M859" s="80" t="s">
        <v>9680</v>
      </c>
      <c r="N859" s="80" t="s">
        <v>9680</v>
      </c>
      <c r="O859" s="80" t="s">
        <v>9680</v>
      </c>
      <c r="P859" s="80"/>
      <c r="Q859" s="80" t="s">
        <v>9680</v>
      </c>
      <c r="R859" s="80" t="s">
        <v>9680</v>
      </c>
    </row>
    <row r="860" spans="1:18" ht="20" x14ac:dyDescent="0.2">
      <c r="A860" s="80" t="s">
        <v>4143</v>
      </c>
      <c r="B860" s="80" t="s">
        <v>4144</v>
      </c>
      <c r="C860" s="80" t="s">
        <v>9680</v>
      </c>
      <c r="D860" s="80" t="s">
        <v>9680</v>
      </c>
      <c r="E860" s="80" t="s">
        <v>9680</v>
      </c>
      <c r="F860" s="80"/>
      <c r="G860" s="80" t="s">
        <v>9680</v>
      </c>
      <c r="H860" s="80" t="s">
        <v>9680</v>
      </c>
      <c r="I860" s="80" t="s">
        <v>9680</v>
      </c>
      <c r="J860" s="80" t="s">
        <v>9680</v>
      </c>
      <c r="K860" s="80" t="s">
        <v>9680</v>
      </c>
      <c r="L860" s="80" t="s">
        <v>9680</v>
      </c>
      <c r="M860" s="80" t="s">
        <v>9680</v>
      </c>
      <c r="N860" s="80" t="s">
        <v>9680</v>
      </c>
      <c r="O860" s="80" t="s">
        <v>9680</v>
      </c>
      <c r="P860" s="80"/>
      <c r="Q860" s="80" t="s">
        <v>9680</v>
      </c>
      <c r="R860" s="80" t="s">
        <v>9680</v>
      </c>
    </row>
    <row r="861" spans="1:18" ht="20" x14ac:dyDescent="0.2">
      <c r="A861" s="80" t="s">
        <v>3709</v>
      </c>
      <c r="B861" s="80" t="s">
        <v>3710</v>
      </c>
      <c r="C861" s="80" t="s">
        <v>84</v>
      </c>
      <c r="D861" s="80" t="s">
        <v>84</v>
      </c>
      <c r="E861" s="80" t="s">
        <v>84</v>
      </c>
      <c r="F861" s="80"/>
      <c r="G861" s="80" t="s">
        <v>84</v>
      </c>
      <c r="H861" s="80" t="s">
        <v>84</v>
      </c>
      <c r="I861" s="80" t="s">
        <v>84</v>
      </c>
      <c r="J861" s="80" t="s">
        <v>84</v>
      </c>
      <c r="K861" s="80" t="s">
        <v>84</v>
      </c>
      <c r="L861" s="80" t="s">
        <v>84</v>
      </c>
      <c r="M861" s="80" t="s">
        <v>84</v>
      </c>
      <c r="N861" s="80" t="s">
        <v>84</v>
      </c>
      <c r="O861" s="80" t="s">
        <v>84</v>
      </c>
      <c r="P861" s="80"/>
      <c r="Q861" s="80" t="s">
        <v>84</v>
      </c>
      <c r="R861" s="80" t="s">
        <v>84</v>
      </c>
    </row>
    <row r="862" spans="1:18" ht="20" x14ac:dyDescent="0.2">
      <c r="A862" s="80" t="s">
        <v>3001</v>
      </c>
      <c r="B862" s="80" t="s">
        <v>3002</v>
      </c>
      <c r="C862" s="80" t="s">
        <v>9680</v>
      </c>
      <c r="D862" s="80" t="s">
        <v>9680</v>
      </c>
      <c r="E862" s="80" t="s">
        <v>84</v>
      </c>
      <c r="F862" s="80"/>
      <c r="G862" s="80" t="s">
        <v>9680</v>
      </c>
      <c r="H862" s="80" t="s">
        <v>9680</v>
      </c>
      <c r="I862" s="80" t="s">
        <v>9680</v>
      </c>
      <c r="J862" s="80" t="s">
        <v>84</v>
      </c>
      <c r="K862" s="80" t="s">
        <v>9680</v>
      </c>
      <c r="L862" s="80" t="s">
        <v>9680</v>
      </c>
      <c r="M862" s="80" t="s">
        <v>9680</v>
      </c>
      <c r="N862" s="80" t="s">
        <v>84</v>
      </c>
      <c r="O862" s="80" t="s">
        <v>9680</v>
      </c>
      <c r="P862" s="80"/>
      <c r="Q862" s="80" t="s">
        <v>9680</v>
      </c>
      <c r="R862" s="80" t="s">
        <v>9680</v>
      </c>
    </row>
    <row r="863" spans="1:18" ht="20" x14ac:dyDescent="0.2">
      <c r="A863" s="80" t="s">
        <v>6093</v>
      </c>
      <c r="B863" s="80" t="s">
        <v>6094</v>
      </c>
      <c r="C863" s="80" t="s">
        <v>9680</v>
      </c>
      <c r="D863" s="80" t="s">
        <v>84</v>
      </c>
      <c r="E863" s="80" t="s">
        <v>84</v>
      </c>
      <c r="F863" s="80"/>
      <c r="G863" s="80" t="s">
        <v>84</v>
      </c>
      <c r="H863" s="80" t="s">
        <v>84</v>
      </c>
      <c r="I863" s="80" t="s">
        <v>84</v>
      </c>
      <c r="J863" s="80" t="s">
        <v>84</v>
      </c>
      <c r="K863" s="80" t="s">
        <v>84</v>
      </c>
      <c r="L863" s="80" t="s">
        <v>84</v>
      </c>
      <c r="M863" s="80" t="s">
        <v>84</v>
      </c>
      <c r="N863" s="80" t="s">
        <v>84</v>
      </c>
      <c r="O863" s="80" t="s">
        <v>84</v>
      </c>
      <c r="P863" s="80"/>
      <c r="Q863" s="80" t="s">
        <v>84</v>
      </c>
      <c r="R863" s="80" t="s">
        <v>84</v>
      </c>
    </row>
    <row r="864" spans="1:18" ht="20" x14ac:dyDescent="0.2">
      <c r="A864" s="80" t="s">
        <v>6095</v>
      </c>
      <c r="B864" s="80" t="s">
        <v>6096</v>
      </c>
      <c r="C864" s="80" t="s">
        <v>9680</v>
      </c>
      <c r="D864" s="80" t="s">
        <v>84</v>
      </c>
      <c r="E864" s="80" t="s">
        <v>84</v>
      </c>
      <c r="F864" s="80"/>
      <c r="G864" s="80" t="s">
        <v>84</v>
      </c>
      <c r="H864" s="80" t="s">
        <v>84</v>
      </c>
      <c r="I864" s="80" t="s">
        <v>84</v>
      </c>
      <c r="J864" s="80" t="s">
        <v>84</v>
      </c>
      <c r="K864" s="80" t="s">
        <v>84</v>
      </c>
      <c r="L864" s="80" t="s">
        <v>84</v>
      </c>
      <c r="M864" s="80" t="s">
        <v>84</v>
      </c>
      <c r="N864" s="80" t="s">
        <v>84</v>
      </c>
      <c r="O864" s="80" t="s">
        <v>84</v>
      </c>
      <c r="P864" s="80"/>
      <c r="Q864" s="80" t="s">
        <v>84</v>
      </c>
      <c r="R864" s="80" t="s">
        <v>84</v>
      </c>
    </row>
    <row r="865" spans="1:18" ht="20" x14ac:dyDescent="0.2">
      <c r="A865" s="80" t="s">
        <v>6205</v>
      </c>
      <c r="B865" s="80" t="s">
        <v>6206</v>
      </c>
      <c r="C865" s="80" t="s">
        <v>9722</v>
      </c>
      <c r="D865" s="80" t="s">
        <v>84</v>
      </c>
      <c r="E865" s="80" t="s">
        <v>84</v>
      </c>
      <c r="F865" s="80"/>
      <c r="G865" s="80" t="s">
        <v>84</v>
      </c>
      <c r="H865" s="80" t="s">
        <v>84</v>
      </c>
      <c r="I865" s="80" t="s">
        <v>84</v>
      </c>
      <c r="J865" s="80" t="s">
        <v>84</v>
      </c>
      <c r="K865" s="80" t="s">
        <v>84</v>
      </c>
      <c r="L865" s="80" t="s">
        <v>84</v>
      </c>
      <c r="M865" s="80" t="s">
        <v>84</v>
      </c>
      <c r="N865" s="80" t="s">
        <v>84</v>
      </c>
      <c r="O865" s="80" t="s">
        <v>84</v>
      </c>
      <c r="P865" s="80"/>
      <c r="Q865" s="80" t="s">
        <v>84</v>
      </c>
      <c r="R865" s="80" t="s">
        <v>84</v>
      </c>
    </row>
    <row r="866" spans="1:18" ht="20" x14ac:dyDescent="0.2">
      <c r="A866" s="80" t="s">
        <v>6207</v>
      </c>
      <c r="B866" s="80" t="s">
        <v>6208</v>
      </c>
      <c r="C866" s="80" t="s">
        <v>9722</v>
      </c>
      <c r="D866" s="80" t="s">
        <v>84</v>
      </c>
      <c r="E866" s="80" t="s">
        <v>84</v>
      </c>
      <c r="F866" s="80"/>
      <c r="G866" s="80" t="s">
        <v>84</v>
      </c>
      <c r="H866" s="80" t="s">
        <v>84</v>
      </c>
      <c r="I866" s="80" t="s">
        <v>84</v>
      </c>
      <c r="J866" s="80" t="s">
        <v>84</v>
      </c>
      <c r="K866" s="80" t="s">
        <v>84</v>
      </c>
      <c r="L866" s="80" t="s">
        <v>84</v>
      </c>
      <c r="M866" s="80" t="s">
        <v>84</v>
      </c>
      <c r="N866" s="80" t="s">
        <v>84</v>
      </c>
      <c r="O866" s="80" t="s">
        <v>84</v>
      </c>
      <c r="P866" s="80"/>
      <c r="Q866" s="80" t="s">
        <v>84</v>
      </c>
      <c r="R866" s="80" t="s">
        <v>84</v>
      </c>
    </row>
    <row r="867" spans="1:18" ht="20" x14ac:dyDescent="0.2">
      <c r="A867" s="80" t="s">
        <v>10018</v>
      </c>
      <c r="B867" s="80" t="s">
        <v>10019</v>
      </c>
      <c r="C867" s="80" t="s">
        <v>9680</v>
      </c>
      <c r="D867" s="80" t="s">
        <v>84</v>
      </c>
      <c r="E867" s="80" t="s">
        <v>84</v>
      </c>
      <c r="F867" s="80"/>
      <c r="G867" s="80" t="s">
        <v>84</v>
      </c>
      <c r="H867" s="80" t="s">
        <v>84</v>
      </c>
      <c r="I867" s="80" t="s">
        <v>84</v>
      </c>
      <c r="J867" s="80" t="s">
        <v>84</v>
      </c>
      <c r="K867" s="80" t="s">
        <v>84</v>
      </c>
      <c r="L867" s="80" t="s">
        <v>84</v>
      </c>
      <c r="M867" s="80" t="s">
        <v>84</v>
      </c>
      <c r="N867" s="80" t="s">
        <v>84</v>
      </c>
      <c r="O867" s="80" t="s">
        <v>84</v>
      </c>
      <c r="P867" s="80"/>
      <c r="Q867" s="80" t="s">
        <v>84</v>
      </c>
      <c r="R867" s="80" t="s">
        <v>84</v>
      </c>
    </row>
    <row r="868" spans="1:18" ht="20" x14ac:dyDescent="0.2">
      <c r="A868" s="80" t="s">
        <v>10020</v>
      </c>
      <c r="B868" s="80" t="s">
        <v>10021</v>
      </c>
      <c r="C868" s="80" t="s">
        <v>9680</v>
      </c>
      <c r="D868" s="80" t="s">
        <v>84</v>
      </c>
      <c r="E868" s="80" t="s">
        <v>84</v>
      </c>
      <c r="F868" s="80"/>
      <c r="G868" s="80" t="s">
        <v>84</v>
      </c>
      <c r="H868" s="80" t="s">
        <v>84</v>
      </c>
      <c r="I868" s="80" t="s">
        <v>84</v>
      </c>
      <c r="J868" s="80" t="s">
        <v>84</v>
      </c>
      <c r="K868" s="80" t="s">
        <v>84</v>
      </c>
      <c r="L868" s="80" t="s">
        <v>84</v>
      </c>
      <c r="M868" s="80" t="s">
        <v>84</v>
      </c>
      <c r="N868" s="80" t="s">
        <v>84</v>
      </c>
      <c r="O868" s="80" t="s">
        <v>84</v>
      </c>
      <c r="P868" s="80"/>
      <c r="Q868" s="80" t="s">
        <v>84</v>
      </c>
      <c r="R868" s="80" t="s">
        <v>84</v>
      </c>
    </row>
    <row r="869" spans="1:18" ht="20" x14ac:dyDescent="0.2">
      <c r="A869" s="80" t="s">
        <v>6097</v>
      </c>
      <c r="B869" s="80" t="s">
        <v>6098</v>
      </c>
      <c r="C869" s="80" t="s">
        <v>9680</v>
      </c>
      <c r="D869" s="80" t="s">
        <v>84</v>
      </c>
      <c r="E869" s="80" t="s">
        <v>84</v>
      </c>
      <c r="F869" s="80"/>
      <c r="G869" s="80" t="s">
        <v>84</v>
      </c>
      <c r="H869" s="80" t="s">
        <v>84</v>
      </c>
      <c r="I869" s="80" t="s">
        <v>84</v>
      </c>
      <c r="J869" s="80" t="s">
        <v>84</v>
      </c>
      <c r="K869" s="80" t="s">
        <v>84</v>
      </c>
      <c r="L869" s="80" t="s">
        <v>84</v>
      </c>
      <c r="M869" s="80" t="s">
        <v>84</v>
      </c>
      <c r="N869" s="80" t="s">
        <v>84</v>
      </c>
      <c r="O869" s="80" t="s">
        <v>84</v>
      </c>
      <c r="P869" s="80"/>
      <c r="Q869" s="80" t="s">
        <v>84</v>
      </c>
      <c r="R869" s="80" t="s">
        <v>84</v>
      </c>
    </row>
    <row r="870" spans="1:18" ht="20" x14ac:dyDescent="0.2">
      <c r="A870" s="80" t="s">
        <v>6099</v>
      </c>
      <c r="B870" s="80" t="s">
        <v>10022</v>
      </c>
      <c r="C870" s="80" t="s">
        <v>84</v>
      </c>
      <c r="D870" s="80" t="s">
        <v>84</v>
      </c>
      <c r="E870" s="80" t="s">
        <v>84</v>
      </c>
      <c r="F870" s="80"/>
      <c r="G870" s="80" t="s">
        <v>84</v>
      </c>
      <c r="H870" s="80" t="s">
        <v>84</v>
      </c>
      <c r="I870" s="80" t="s">
        <v>84</v>
      </c>
      <c r="J870" s="80" t="s">
        <v>84</v>
      </c>
      <c r="K870" s="80" t="s">
        <v>84</v>
      </c>
      <c r="L870" s="80" t="s">
        <v>84</v>
      </c>
      <c r="M870" s="80" t="s">
        <v>84</v>
      </c>
      <c r="N870" s="80" t="s">
        <v>84</v>
      </c>
      <c r="O870" s="80" t="s">
        <v>84</v>
      </c>
      <c r="P870" s="80"/>
      <c r="Q870" s="80" t="s">
        <v>84</v>
      </c>
      <c r="R870" s="80" t="s">
        <v>84</v>
      </c>
    </row>
    <row r="871" spans="1:18" ht="20" x14ac:dyDescent="0.2">
      <c r="A871" s="80" t="s">
        <v>6099</v>
      </c>
      <c r="B871" s="80" t="s">
        <v>6100</v>
      </c>
      <c r="C871" s="80" t="s">
        <v>84</v>
      </c>
      <c r="D871" s="80" t="s">
        <v>84</v>
      </c>
      <c r="E871" s="80" t="s">
        <v>84</v>
      </c>
      <c r="F871" s="80"/>
      <c r="G871" s="80" t="s">
        <v>84</v>
      </c>
      <c r="H871" s="80" t="s">
        <v>84</v>
      </c>
      <c r="I871" s="80" t="s">
        <v>84</v>
      </c>
      <c r="J871" s="80" t="s">
        <v>84</v>
      </c>
      <c r="K871" s="80" t="s">
        <v>84</v>
      </c>
      <c r="L871" s="80" t="s">
        <v>84</v>
      </c>
      <c r="M871" s="80" t="s">
        <v>84</v>
      </c>
      <c r="N871" s="80" t="s">
        <v>84</v>
      </c>
      <c r="O871" s="80" t="s">
        <v>84</v>
      </c>
      <c r="P871" s="80"/>
      <c r="Q871" s="80" t="s">
        <v>84</v>
      </c>
      <c r="R871" s="80" t="s">
        <v>84</v>
      </c>
    </row>
    <row r="872" spans="1:18" ht="20" x14ac:dyDescent="0.2">
      <c r="A872" s="80" t="s">
        <v>6101</v>
      </c>
      <c r="B872" s="80" t="s">
        <v>6102</v>
      </c>
      <c r="C872" s="80" t="s">
        <v>84</v>
      </c>
      <c r="D872" s="80" t="s">
        <v>84</v>
      </c>
      <c r="E872" s="80" t="s">
        <v>84</v>
      </c>
      <c r="F872" s="80"/>
      <c r="G872" s="80" t="s">
        <v>84</v>
      </c>
      <c r="H872" s="80" t="s">
        <v>84</v>
      </c>
      <c r="I872" s="80" t="s">
        <v>84</v>
      </c>
      <c r="J872" s="80" t="s">
        <v>84</v>
      </c>
      <c r="K872" s="80" t="s">
        <v>84</v>
      </c>
      <c r="L872" s="80" t="s">
        <v>84</v>
      </c>
      <c r="M872" s="80" t="s">
        <v>84</v>
      </c>
      <c r="N872" s="80" t="s">
        <v>84</v>
      </c>
      <c r="O872" s="80" t="s">
        <v>84</v>
      </c>
      <c r="P872" s="80"/>
      <c r="Q872" s="80" t="s">
        <v>84</v>
      </c>
      <c r="R872" s="80" t="s">
        <v>84</v>
      </c>
    </row>
    <row r="873" spans="1:18" ht="20" x14ac:dyDescent="0.2">
      <c r="A873" s="80" t="s">
        <v>6103</v>
      </c>
      <c r="B873" s="80" t="s">
        <v>6104</v>
      </c>
      <c r="C873" s="80" t="s">
        <v>9680</v>
      </c>
      <c r="D873" s="80" t="s">
        <v>84</v>
      </c>
      <c r="E873" s="80" t="s">
        <v>84</v>
      </c>
      <c r="F873" s="80"/>
      <c r="G873" s="80" t="s">
        <v>84</v>
      </c>
      <c r="H873" s="80" t="s">
        <v>84</v>
      </c>
      <c r="I873" s="80" t="s">
        <v>84</v>
      </c>
      <c r="J873" s="80" t="s">
        <v>84</v>
      </c>
      <c r="K873" s="80" t="s">
        <v>84</v>
      </c>
      <c r="L873" s="80" t="s">
        <v>84</v>
      </c>
      <c r="M873" s="80" t="s">
        <v>84</v>
      </c>
      <c r="N873" s="80" t="s">
        <v>84</v>
      </c>
      <c r="O873" s="80" t="s">
        <v>84</v>
      </c>
      <c r="P873" s="80"/>
      <c r="Q873" s="80" t="s">
        <v>84</v>
      </c>
      <c r="R873" s="80" t="s">
        <v>84</v>
      </c>
    </row>
    <row r="874" spans="1:18" ht="20" x14ac:dyDescent="0.2">
      <c r="A874" s="80" t="s">
        <v>1085</v>
      </c>
      <c r="B874" s="80" t="s">
        <v>1086</v>
      </c>
      <c r="C874" s="80" t="s">
        <v>9680</v>
      </c>
      <c r="D874" s="80" t="s">
        <v>9680</v>
      </c>
      <c r="E874" s="80" t="s">
        <v>9680</v>
      </c>
      <c r="F874" s="80"/>
      <c r="G874" s="80" t="s">
        <v>9680</v>
      </c>
      <c r="H874" s="80" t="s">
        <v>9680</v>
      </c>
      <c r="I874" s="80" t="s">
        <v>9680</v>
      </c>
      <c r="J874" s="80" t="s">
        <v>9680</v>
      </c>
      <c r="K874" s="80" t="s">
        <v>9680</v>
      </c>
      <c r="L874" s="80" t="s">
        <v>9680</v>
      </c>
      <c r="M874" s="80" t="s">
        <v>9680</v>
      </c>
      <c r="N874" s="80" t="s">
        <v>9680</v>
      </c>
      <c r="O874" s="80" t="s">
        <v>9680</v>
      </c>
      <c r="P874" s="80"/>
      <c r="Q874" s="80" t="s">
        <v>9680</v>
      </c>
      <c r="R874" s="80" t="s">
        <v>9680</v>
      </c>
    </row>
    <row r="875" spans="1:18" ht="20" x14ac:dyDescent="0.2">
      <c r="A875" s="80" t="s">
        <v>1087</v>
      </c>
      <c r="B875" s="80" t="s">
        <v>10023</v>
      </c>
      <c r="C875" s="80" t="s">
        <v>84</v>
      </c>
      <c r="D875" s="80" t="s">
        <v>84</v>
      </c>
      <c r="E875" s="80" t="s">
        <v>84</v>
      </c>
      <c r="F875" s="80"/>
      <c r="G875" s="80" t="s">
        <v>84</v>
      </c>
      <c r="H875" s="80" t="s">
        <v>84</v>
      </c>
      <c r="I875" s="80" t="s">
        <v>84</v>
      </c>
      <c r="J875" s="80" t="s">
        <v>84</v>
      </c>
      <c r="K875" s="80" t="s">
        <v>84</v>
      </c>
      <c r="L875" s="80" t="s">
        <v>84</v>
      </c>
      <c r="M875" s="80" t="s">
        <v>84</v>
      </c>
      <c r="N875" s="80" t="s">
        <v>84</v>
      </c>
      <c r="O875" s="80" t="s">
        <v>84</v>
      </c>
      <c r="P875" s="80"/>
      <c r="Q875" s="80" t="s">
        <v>84</v>
      </c>
      <c r="R875" s="80" t="s">
        <v>84</v>
      </c>
    </row>
    <row r="876" spans="1:18" ht="20" x14ac:dyDescent="0.2">
      <c r="A876" s="80" t="s">
        <v>1087</v>
      </c>
      <c r="B876" s="80" t="s">
        <v>1088</v>
      </c>
      <c r="C876" s="80" t="s">
        <v>84</v>
      </c>
      <c r="D876" s="80" t="s">
        <v>84</v>
      </c>
      <c r="E876" s="80" t="s">
        <v>84</v>
      </c>
      <c r="F876" s="80"/>
      <c r="G876" s="80" t="s">
        <v>84</v>
      </c>
      <c r="H876" s="80" t="s">
        <v>84</v>
      </c>
      <c r="I876" s="80" t="s">
        <v>84</v>
      </c>
      <c r="J876" s="80" t="s">
        <v>84</v>
      </c>
      <c r="K876" s="80" t="s">
        <v>84</v>
      </c>
      <c r="L876" s="80" t="s">
        <v>84</v>
      </c>
      <c r="M876" s="80" t="s">
        <v>84</v>
      </c>
      <c r="N876" s="80" t="s">
        <v>84</v>
      </c>
      <c r="O876" s="80" t="s">
        <v>84</v>
      </c>
      <c r="P876" s="80"/>
      <c r="Q876" s="80" t="s">
        <v>84</v>
      </c>
      <c r="R876" s="80" t="s">
        <v>84</v>
      </c>
    </row>
    <row r="877" spans="1:18" ht="20" x14ac:dyDescent="0.2">
      <c r="A877" s="80" t="s">
        <v>1089</v>
      </c>
      <c r="B877" s="80" t="s">
        <v>1090</v>
      </c>
      <c r="C877" s="80" t="s">
        <v>9680</v>
      </c>
      <c r="D877" s="80" t="s">
        <v>9680</v>
      </c>
      <c r="E877" s="80" t="s">
        <v>84</v>
      </c>
      <c r="F877" s="80"/>
      <c r="G877" s="80" t="s">
        <v>9680</v>
      </c>
      <c r="H877" s="80" t="s">
        <v>9680</v>
      </c>
      <c r="I877" s="80" t="s">
        <v>9680</v>
      </c>
      <c r="J877" s="80" t="s">
        <v>84</v>
      </c>
      <c r="K877" s="80" t="s">
        <v>9680</v>
      </c>
      <c r="L877" s="80" t="s">
        <v>9680</v>
      </c>
      <c r="M877" s="80" t="s">
        <v>9680</v>
      </c>
      <c r="N877" s="80" t="s">
        <v>84</v>
      </c>
      <c r="O877" s="80" t="s">
        <v>9680</v>
      </c>
      <c r="P877" s="80"/>
      <c r="Q877" s="80" t="s">
        <v>9680</v>
      </c>
      <c r="R877" s="80" t="s">
        <v>9680</v>
      </c>
    </row>
    <row r="878" spans="1:18" ht="20" x14ac:dyDescent="0.2">
      <c r="A878" s="80" t="s">
        <v>1091</v>
      </c>
      <c r="B878" s="80" t="s">
        <v>1092</v>
      </c>
      <c r="C878" s="80" t="s">
        <v>84</v>
      </c>
      <c r="D878" s="80" t="s">
        <v>84</v>
      </c>
      <c r="E878" s="80" t="s">
        <v>84</v>
      </c>
      <c r="F878" s="80"/>
      <c r="G878" s="80" t="s">
        <v>84</v>
      </c>
      <c r="H878" s="80" t="s">
        <v>84</v>
      </c>
      <c r="I878" s="80" t="s">
        <v>84</v>
      </c>
      <c r="J878" s="80" t="s">
        <v>84</v>
      </c>
      <c r="K878" s="80" t="s">
        <v>84</v>
      </c>
      <c r="L878" s="80" t="s">
        <v>84</v>
      </c>
      <c r="M878" s="80" t="s">
        <v>84</v>
      </c>
      <c r="N878" s="80" t="s">
        <v>84</v>
      </c>
      <c r="O878" s="80" t="s">
        <v>84</v>
      </c>
      <c r="P878" s="80"/>
      <c r="Q878" s="80" t="s">
        <v>84</v>
      </c>
      <c r="R878" s="80" t="s">
        <v>84</v>
      </c>
    </row>
    <row r="879" spans="1:18" ht="20" x14ac:dyDescent="0.2">
      <c r="A879" s="80" t="s">
        <v>1282</v>
      </c>
      <c r="B879" s="80" t="s">
        <v>1283</v>
      </c>
      <c r="C879" s="80" t="s">
        <v>84</v>
      </c>
      <c r="D879" s="80" t="s">
        <v>84</v>
      </c>
      <c r="E879" s="80" t="s">
        <v>84</v>
      </c>
      <c r="F879" s="80"/>
      <c r="G879" s="80" t="s">
        <v>84</v>
      </c>
      <c r="H879" s="80" t="s">
        <v>84</v>
      </c>
      <c r="I879" s="80" t="s">
        <v>84</v>
      </c>
      <c r="J879" s="80" t="s">
        <v>84</v>
      </c>
      <c r="K879" s="80" t="s">
        <v>84</v>
      </c>
      <c r="L879" s="80" t="s">
        <v>84</v>
      </c>
      <c r="M879" s="80" t="s">
        <v>84</v>
      </c>
      <c r="N879" s="80" t="s">
        <v>84</v>
      </c>
      <c r="O879" s="80" t="s">
        <v>84</v>
      </c>
      <c r="P879" s="80"/>
      <c r="Q879" s="80" t="s">
        <v>84</v>
      </c>
      <c r="R879" s="80" t="s">
        <v>84</v>
      </c>
    </row>
    <row r="880" spans="1:18" ht="20" x14ac:dyDescent="0.2">
      <c r="A880" s="80" t="s">
        <v>1286</v>
      </c>
      <c r="B880" s="80" t="s">
        <v>1287</v>
      </c>
      <c r="C880" s="80" t="s">
        <v>84</v>
      </c>
      <c r="D880" s="80" t="s">
        <v>84</v>
      </c>
      <c r="E880" s="80" t="s">
        <v>84</v>
      </c>
      <c r="F880" s="80"/>
      <c r="G880" s="80" t="s">
        <v>84</v>
      </c>
      <c r="H880" s="80" t="s">
        <v>84</v>
      </c>
      <c r="I880" s="80" t="s">
        <v>84</v>
      </c>
      <c r="J880" s="80" t="s">
        <v>84</v>
      </c>
      <c r="K880" s="80" t="s">
        <v>84</v>
      </c>
      <c r="L880" s="80" t="s">
        <v>84</v>
      </c>
      <c r="M880" s="80" t="s">
        <v>84</v>
      </c>
      <c r="N880" s="80" t="s">
        <v>84</v>
      </c>
      <c r="O880" s="80" t="s">
        <v>84</v>
      </c>
      <c r="P880" s="80"/>
      <c r="Q880" s="80" t="s">
        <v>84</v>
      </c>
      <c r="R880" s="80" t="s">
        <v>84</v>
      </c>
    </row>
    <row r="881" spans="1:18" ht="20" x14ac:dyDescent="0.2">
      <c r="A881" s="80" t="s">
        <v>1099</v>
      </c>
      <c r="B881" s="80" t="s">
        <v>1100</v>
      </c>
      <c r="C881" s="80" t="s">
        <v>84</v>
      </c>
      <c r="D881" s="80" t="s">
        <v>84</v>
      </c>
      <c r="E881" s="80" t="s">
        <v>84</v>
      </c>
      <c r="F881" s="80"/>
      <c r="G881" s="80" t="s">
        <v>84</v>
      </c>
      <c r="H881" s="80" t="s">
        <v>84</v>
      </c>
      <c r="I881" s="80" t="s">
        <v>84</v>
      </c>
      <c r="J881" s="80" t="s">
        <v>84</v>
      </c>
      <c r="K881" s="80" t="s">
        <v>84</v>
      </c>
      <c r="L881" s="80" t="s">
        <v>84</v>
      </c>
      <c r="M881" s="80" t="s">
        <v>84</v>
      </c>
      <c r="N881" s="80" t="s">
        <v>84</v>
      </c>
      <c r="O881" s="80" t="s">
        <v>84</v>
      </c>
      <c r="P881" s="80"/>
      <c r="Q881" s="80" t="s">
        <v>84</v>
      </c>
      <c r="R881" s="80" t="s">
        <v>84</v>
      </c>
    </row>
    <row r="882" spans="1:18" ht="20" x14ac:dyDescent="0.2">
      <c r="A882" s="80" t="s">
        <v>10024</v>
      </c>
      <c r="B882" s="80" t="s">
        <v>10025</v>
      </c>
      <c r="C882" s="80" t="s">
        <v>9680</v>
      </c>
      <c r="D882" s="80" t="s">
        <v>84</v>
      </c>
      <c r="E882" s="80" t="s">
        <v>84</v>
      </c>
      <c r="F882" s="80"/>
      <c r="G882" s="80" t="s">
        <v>84</v>
      </c>
      <c r="H882" s="80" t="s">
        <v>84</v>
      </c>
      <c r="I882" s="80" t="s">
        <v>84</v>
      </c>
      <c r="J882" s="80" t="s">
        <v>84</v>
      </c>
      <c r="K882" s="80" t="s">
        <v>84</v>
      </c>
      <c r="L882" s="80" t="s">
        <v>84</v>
      </c>
      <c r="M882" s="80" t="s">
        <v>84</v>
      </c>
      <c r="N882" s="80" t="s">
        <v>84</v>
      </c>
      <c r="O882" s="80" t="s">
        <v>84</v>
      </c>
      <c r="P882" s="80"/>
      <c r="Q882" s="80" t="s">
        <v>84</v>
      </c>
      <c r="R882" s="80" t="s">
        <v>84</v>
      </c>
    </row>
    <row r="883" spans="1:18" ht="20" x14ac:dyDescent="0.2">
      <c r="A883" s="80" t="s">
        <v>1101</v>
      </c>
      <c r="B883" s="80" t="s">
        <v>1102</v>
      </c>
      <c r="C883" s="80" t="s">
        <v>84</v>
      </c>
      <c r="D883" s="80" t="s">
        <v>84</v>
      </c>
      <c r="E883" s="80" t="s">
        <v>84</v>
      </c>
      <c r="F883" s="80"/>
      <c r="G883" s="80" t="s">
        <v>84</v>
      </c>
      <c r="H883" s="80" t="s">
        <v>84</v>
      </c>
      <c r="I883" s="80" t="s">
        <v>84</v>
      </c>
      <c r="J883" s="80" t="s">
        <v>84</v>
      </c>
      <c r="K883" s="80" t="s">
        <v>84</v>
      </c>
      <c r="L883" s="80" t="s">
        <v>84</v>
      </c>
      <c r="M883" s="80" t="s">
        <v>84</v>
      </c>
      <c r="N883" s="80" t="s">
        <v>84</v>
      </c>
      <c r="O883" s="80" t="s">
        <v>84</v>
      </c>
      <c r="P883" s="80"/>
      <c r="Q883" s="80" t="s">
        <v>84</v>
      </c>
      <c r="R883" s="80" t="s">
        <v>84</v>
      </c>
    </row>
    <row r="884" spans="1:18" ht="20" x14ac:dyDescent="0.2">
      <c r="A884" s="80" t="s">
        <v>1231</v>
      </c>
      <c r="B884" s="80" t="s">
        <v>1232</v>
      </c>
      <c r="C884" s="80" t="s">
        <v>9722</v>
      </c>
      <c r="D884" s="80" t="s">
        <v>84</v>
      </c>
      <c r="E884" s="80" t="s">
        <v>84</v>
      </c>
      <c r="F884" s="80"/>
      <c r="G884" s="80" t="s">
        <v>84</v>
      </c>
      <c r="H884" s="80" t="s">
        <v>84</v>
      </c>
      <c r="I884" s="80" t="s">
        <v>84</v>
      </c>
      <c r="J884" s="80" t="s">
        <v>84</v>
      </c>
      <c r="K884" s="80" t="s">
        <v>84</v>
      </c>
      <c r="L884" s="80" t="s">
        <v>84</v>
      </c>
      <c r="M884" s="80" t="s">
        <v>84</v>
      </c>
      <c r="N884" s="80" t="s">
        <v>84</v>
      </c>
      <c r="O884" s="80" t="s">
        <v>84</v>
      </c>
      <c r="P884" s="80"/>
      <c r="Q884" s="80" t="s">
        <v>84</v>
      </c>
      <c r="R884" s="80" t="s">
        <v>84</v>
      </c>
    </row>
    <row r="885" spans="1:18" ht="20" x14ac:dyDescent="0.2">
      <c r="A885" s="80" t="s">
        <v>1237</v>
      </c>
      <c r="B885" s="80" t="s">
        <v>1238</v>
      </c>
      <c r="C885" s="80" t="s">
        <v>9722</v>
      </c>
      <c r="D885" s="80" t="s">
        <v>84</v>
      </c>
      <c r="E885" s="80" t="s">
        <v>84</v>
      </c>
      <c r="F885" s="80"/>
      <c r="G885" s="80" t="s">
        <v>84</v>
      </c>
      <c r="H885" s="80" t="s">
        <v>84</v>
      </c>
      <c r="I885" s="80" t="s">
        <v>84</v>
      </c>
      <c r="J885" s="80" t="s">
        <v>84</v>
      </c>
      <c r="K885" s="80" t="s">
        <v>84</v>
      </c>
      <c r="L885" s="80" t="s">
        <v>84</v>
      </c>
      <c r="M885" s="80" t="s">
        <v>84</v>
      </c>
      <c r="N885" s="80" t="s">
        <v>84</v>
      </c>
      <c r="O885" s="80" t="s">
        <v>84</v>
      </c>
      <c r="P885" s="80"/>
      <c r="Q885" s="80" t="s">
        <v>84</v>
      </c>
      <c r="R885" s="80" t="s">
        <v>84</v>
      </c>
    </row>
    <row r="886" spans="1:18" ht="20" x14ac:dyDescent="0.2">
      <c r="A886" s="80" t="s">
        <v>1103</v>
      </c>
      <c r="B886" s="80" t="s">
        <v>1104</v>
      </c>
      <c r="C886" s="80" t="s">
        <v>9680</v>
      </c>
      <c r="D886" s="80" t="s">
        <v>9680</v>
      </c>
      <c r="E886" s="80" t="s">
        <v>9680</v>
      </c>
      <c r="F886" s="80"/>
      <c r="G886" s="80" t="s">
        <v>9680</v>
      </c>
      <c r="H886" s="80" t="s">
        <v>9680</v>
      </c>
      <c r="I886" s="80" t="s">
        <v>9680</v>
      </c>
      <c r="J886" s="80" t="s">
        <v>9680</v>
      </c>
      <c r="K886" s="80" t="s">
        <v>9680</v>
      </c>
      <c r="L886" s="80" t="s">
        <v>9680</v>
      </c>
      <c r="M886" s="80" t="s">
        <v>9680</v>
      </c>
      <c r="N886" s="80" t="s">
        <v>9680</v>
      </c>
      <c r="O886" s="80" t="s">
        <v>9680</v>
      </c>
      <c r="P886" s="80"/>
      <c r="Q886" s="80" t="s">
        <v>9680</v>
      </c>
      <c r="R886" s="80" t="s">
        <v>9680</v>
      </c>
    </row>
    <row r="887" spans="1:18" ht="20" x14ac:dyDescent="0.2">
      <c r="A887" s="80" t="s">
        <v>1105</v>
      </c>
      <c r="B887" s="80" t="s">
        <v>1106</v>
      </c>
      <c r="C887" s="80" t="s">
        <v>9680</v>
      </c>
      <c r="D887" s="80" t="s">
        <v>9680</v>
      </c>
      <c r="E887" s="80" t="s">
        <v>84</v>
      </c>
      <c r="F887" s="80"/>
      <c r="G887" s="80" t="s">
        <v>9680</v>
      </c>
      <c r="H887" s="80" t="s">
        <v>9680</v>
      </c>
      <c r="I887" s="80" t="s">
        <v>9680</v>
      </c>
      <c r="J887" s="80" t="s">
        <v>84</v>
      </c>
      <c r="K887" s="80" t="s">
        <v>9680</v>
      </c>
      <c r="L887" s="80" t="s">
        <v>9680</v>
      </c>
      <c r="M887" s="80" t="s">
        <v>9680</v>
      </c>
      <c r="N887" s="80" t="s">
        <v>84</v>
      </c>
      <c r="O887" s="80" t="s">
        <v>9680</v>
      </c>
      <c r="P887" s="80"/>
      <c r="Q887" s="80" t="s">
        <v>9680</v>
      </c>
      <c r="R887" s="80" t="s">
        <v>9680</v>
      </c>
    </row>
    <row r="888" spans="1:18" ht="20" x14ac:dyDescent="0.2">
      <c r="A888" s="80" t="s">
        <v>1113</v>
      </c>
      <c r="B888" s="80" t="s">
        <v>1114</v>
      </c>
      <c r="C888" s="80" t="s">
        <v>9680</v>
      </c>
      <c r="D888" s="80" t="s">
        <v>9680</v>
      </c>
      <c r="E888" s="80" t="s">
        <v>84</v>
      </c>
      <c r="F888" s="80"/>
      <c r="G888" s="80" t="s">
        <v>9680</v>
      </c>
      <c r="H888" s="80" t="s">
        <v>9680</v>
      </c>
      <c r="I888" s="80" t="s">
        <v>9680</v>
      </c>
      <c r="J888" s="80" t="s">
        <v>84</v>
      </c>
      <c r="K888" s="80" t="s">
        <v>9680</v>
      </c>
      <c r="L888" s="80" t="s">
        <v>9680</v>
      </c>
      <c r="M888" s="80" t="s">
        <v>9680</v>
      </c>
      <c r="N888" s="80" t="s">
        <v>84</v>
      </c>
      <c r="O888" s="80" t="s">
        <v>9680</v>
      </c>
      <c r="P888" s="80"/>
      <c r="Q888" s="80" t="s">
        <v>9680</v>
      </c>
      <c r="R888" s="80" t="s">
        <v>9680</v>
      </c>
    </row>
    <row r="889" spans="1:18" ht="20" x14ac:dyDescent="0.2">
      <c r="A889" s="80" t="s">
        <v>10026</v>
      </c>
      <c r="B889" s="80" t="s">
        <v>10027</v>
      </c>
      <c r="C889" s="80" t="s">
        <v>9680</v>
      </c>
      <c r="D889" s="80" t="s">
        <v>84</v>
      </c>
      <c r="E889" s="80" t="s">
        <v>84</v>
      </c>
      <c r="F889" s="80"/>
      <c r="G889" s="80" t="s">
        <v>84</v>
      </c>
      <c r="H889" s="80" t="s">
        <v>84</v>
      </c>
      <c r="I889" s="80" t="s">
        <v>84</v>
      </c>
      <c r="J889" s="80" t="s">
        <v>84</v>
      </c>
      <c r="K889" s="80" t="s">
        <v>84</v>
      </c>
      <c r="L889" s="80" t="s">
        <v>84</v>
      </c>
      <c r="M889" s="80" t="s">
        <v>84</v>
      </c>
      <c r="N889" s="80" t="s">
        <v>84</v>
      </c>
      <c r="O889" s="80" t="s">
        <v>84</v>
      </c>
      <c r="P889" s="80"/>
      <c r="Q889" s="80" t="s">
        <v>84</v>
      </c>
      <c r="R889" s="80" t="s">
        <v>84</v>
      </c>
    </row>
    <row r="890" spans="1:18" ht="20" x14ac:dyDescent="0.2">
      <c r="A890" s="80" t="s">
        <v>10028</v>
      </c>
      <c r="B890" s="80" t="s">
        <v>10029</v>
      </c>
      <c r="C890" s="80" t="s">
        <v>9680</v>
      </c>
      <c r="D890" s="80" t="s">
        <v>84</v>
      </c>
      <c r="E890" s="80" t="s">
        <v>84</v>
      </c>
      <c r="F890" s="80"/>
      <c r="G890" s="80" t="s">
        <v>84</v>
      </c>
      <c r="H890" s="80" t="s">
        <v>84</v>
      </c>
      <c r="I890" s="80" t="s">
        <v>84</v>
      </c>
      <c r="J890" s="80" t="s">
        <v>84</v>
      </c>
      <c r="K890" s="80" t="s">
        <v>84</v>
      </c>
      <c r="L890" s="80" t="s">
        <v>84</v>
      </c>
      <c r="M890" s="80" t="s">
        <v>84</v>
      </c>
      <c r="N890" s="80" t="s">
        <v>84</v>
      </c>
      <c r="O890" s="80" t="s">
        <v>84</v>
      </c>
      <c r="P890" s="80"/>
      <c r="Q890" s="80" t="s">
        <v>84</v>
      </c>
      <c r="R890" s="80" t="s">
        <v>84</v>
      </c>
    </row>
    <row r="891" spans="1:18" ht="20" x14ac:dyDescent="0.2">
      <c r="A891" s="80" t="s">
        <v>10030</v>
      </c>
      <c r="B891" s="80" t="s">
        <v>10031</v>
      </c>
      <c r="C891" s="80" t="s">
        <v>9680</v>
      </c>
      <c r="D891" s="80" t="s">
        <v>84</v>
      </c>
      <c r="E891" s="80" t="s">
        <v>84</v>
      </c>
      <c r="F891" s="80"/>
      <c r="G891" s="80" t="s">
        <v>84</v>
      </c>
      <c r="H891" s="80" t="s">
        <v>84</v>
      </c>
      <c r="I891" s="80" t="s">
        <v>84</v>
      </c>
      <c r="J891" s="80" t="s">
        <v>84</v>
      </c>
      <c r="K891" s="80" t="s">
        <v>84</v>
      </c>
      <c r="L891" s="80" t="s">
        <v>84</v>
      </c>
      <c r="M891" s="80" t="s">
        <v>84</v>
      </c>
      <c r="N891" s="80" t="s">
        <v>84</v>
      </c>
      <c r="O891" s="80" t="s">
        <v>84</v>
      </c>
      <c r="P891" s="80"/>
      <c r="Q891" s="80" t="s">
        <v>84</v>
      </c>
      <c r="R891" s="80" t="s">
        <v>84</v>
      </c>
    </row>
    <row r="892" spans="1:18" ht="20" x14ac:dyDescent="0.2">
      <c r="A892" s="80" t="s">
        <v>978</v>
      </c>
      <c r="B892" s="80" t="s">
        <v>979</v>
      </c>
      <c r="C892" s="80" t="s">
        <v>9680</v>
      </c>
      <c r="D892" s="80" t="s">
        <v>84</v>
      </c>
      <c r="E892" s="80" t="s">
        <v>84</v>
      </c>
      <c r="F892" s="80"/>
      <c r="G892" s="80" t="s">
        <v>84</v>
      </c>
      <c r="H892" s="80" t="s">
        <v>84</v>
      </c>
      <c r="I892" s="80" t="s">
        <v>84</v>
      </c>
      <c r="J892" s="80" t="s">
        <v>84</v>
      </c>
      <c r="K892" s="80" t="s">
        <v>84</v>
      </c>
      <c r="L892" s="80" t="s">
        <v>84</v>
      </c>
      <c r="M892" s="80" t="s">
        <v>84</v>
      </c>
      <c r="N892" s="80" t="s">
        <v>84</v>
      </c>
      <c r="O892" s="80" t="s">
        <v>84</v>
      </c>
      <c r="P892" s="80"/>
      <c r="Q892" s="80" t="s">
        <v>84</v>
      </c>
      <c r="R892" s="80" t="s">
        <v>84</v>
      </c>
    </row>
    <row r="893" spans="1:18" ht="20" x14ac:dyDescent="0.2">
      <c r="A893" s="80" t="s">
        <v>978</v>
      </c>
      <c r="B893" s="80" t="s">
        <v>10032</v>
      </c>
      <c r="C893" s="80" t="s">
        <v>9680</v>
      </c>
      <c r="D893" s="80" t="s">
        <v>84</v>
      </c>
      <c r="E893" s="80" t="s">
        <v>84</v>
      </c>
      <c r="F893" s="80"/>
      <c r="G893" s="80" t="s">
        <v>84</v>
      </c>
      <c r="H893" s="80" t="s">
        <v>84</v>
      </c>
      <c r="I893" s="80" t="s">
        <v>84</v>
      </c>
      <c r="J893" s="80" t="s">
        <v>84</v>
      </c>
      <c r="K893" s="80" t="s">
        <v>84</v>
      </c>
      <c r="L893" s="80" t="s">
        <v>84</v>
      </c>
      <c r="M893" s="80" t="s">
        <v>84</v>
      </c>
      <c r="N893" s="80" t="s">
        <v>84</v>
      </c>
      <c r="O893" s="80" t="s">
        <v>84</v>
      </c>
      <c r="P893" s="80"/>
      <c r="Q893" s="80" t="s">
        <v>84</v>
      </c>
      <c r="R893" s="80" t="s">
        <v>84</v>
      </c>
    </row>
    <row r="894" spans="1:18" ht="20" x14ac:dyDescent="0.2">
      <c r="A894" s="80" t="s">
        <v>978</v>
      </c>
      <c r="B894" s="80" t="s">
        <v>1227</v>
      </c>
      <c r="C894" s="80" t="s">
        <v>9680</v>
      </c>
      <c r="D894" s="80" t="s">
        <v>84</v>
      </c>
      <c r="E894" s="80" t="s">
        <v>84</v>
      </c>
      <c r="F894" s="80"/>
      <c r="G894" s="80" t="s">
        <v>84</v>
      </c>
      <c r="H894" s="80" t="s">
        <v>84</v>
      </c>
      <c r="I894" s="80" t="s">
        <v>84</v>
      </c>
      <c r="J894" s="80" t="s">
        <v>84</v>
      </c>
      <c r="K894" s="80" t="s">
        <v>84</v>
      </c>
      <c r="L894" s="80" t="s">
        <v>84</v>
      </c>
      <c r="M894" s="80" t="s">
        <v>84</v>
      </c>
      <c r="N894" s="80" t="s">
        <v>84</v>
      </c>
      <c r="O894" s="80" t="s">
        <v>84</v>
      </c>
      <c r="P894" s="80"/>
      <c r="Q894" s="80" t="s">
        <v>84</v>
      </c>
      <c r="R894" s="80" t="s">
        <v>84</v>
      </c>
    </row>
    <row r="895" spans="1:18" ht="20" x14ac:dyDescent="0.2">
      <c r="A895" s="80" t="s">
        <v>1115</v>
      </c>
      <c r="B895" s="80" t="s">
        <v>1116</v>
      </c>
      <c r="C895" s="80" t="s">
        <v>9680</v>
      </c>
      <c r="D895" s="80" t="s">
        <v>84</v>
      </c>
      <c r="E895" s="80" t="s">
        <v>84</v>
      </c>
      <c r="F895" s="80"/>
      <c r="G895" s="80" t="s">
        <v>84</v>
      </c>
      <c r="H895" s="80" t="s">
        <v>84</v>
      </c>
      <c r="I895" s="80" t="s">
        <v>84</v>
      </c>
      <c r="J895" s="80" t="s">
        <v>84</v>
      </c>
      <c r="K895" s="80" t="s">
        <v>84</v>
      </c>
      <c r="L895" s="80" t="s">
        <v>84</v>
      </c>
      <c r="M895" s="80" t="s">
        <v>84</v>
      </c>
      <c r="N895" s="80" t="s">
        <v>84</v>
      </c>
      <c r="O895" s="80" t="s">
        <v>84</v>
      </c>
      <c r="P895" s="80"/>
      <c r="Q895" s="80" t="s">
        <v>84</v>
      </c>
      <c r="R895" s="80" t="s">
        <v>84</v>
      </c>
    </row>
    <row r="896" spans="1:18" ht="20" x14ac:dyDescent="0.2">
      <c r="A896" s="80" t="s">
        <v>1271</v>
      </c>
      <c r="B896" s="80" t="s">
        <v>1272</v>
      </c>
      <c r="C896" s="80" t="s">
        <v>9680</v>
      </c>
      <c r="D896" s="80" t="s">
        <v>84</v>
      </c>
      <c r="E896" s="80" t="s">
        <v>84</v>
      </c>
      <c r="F896" s="80"/>
      <c r="G896" s="80" t="s">
        <v>84</v>
      </c>
      <c r="H896" s="80" t="s">
        <v>84</v>
      </c>
      <c r="I896" s="80" t="s">
        <v>84</v>
      </c>
      <c r="J896" s="80" t="s">
        <v>84</v>
      </c>
      <c r="K896" s="80" t="s">
        <v>84</v>
      </c>
      <c r="L896" s="80" t="s">
        <v>84</v>
      </c>
      <c r="M896" s="80" t="s">
        <v>84</v>
      </c>
      <c r="N896" s="80" t="s">
        <v>84</v>
      </c>
      <c r="O896" s="80" t="s">
        <v>84</v>
      </c>
      <c r="P896" s="80"/>
      <c r="Q896" s="80" t="s">
        <v>84</v>
      </c>
      <c r="R896" s="80" t="s">
        <v>84</v>
      </c>
    </row>
    <row r="897" spans="1:18" ht="20" x14ac:dyDescent="0.2">
      <c r="A897" s="80" t="s">
        <v>10033</v>
      </c>
      <c r="B897" s="80" t="s">
        <v>10034</v>
      </c>
      <c r="C897" s="80" t="s">
        <v>84</v>
      </c>
      <c r="D897" s="80" t="s">
        <v>84</v>
      </c>
      <c r="E897" s="80" t="s">
        <v>84</v>
      </c>
      <c r="F897" s="80"/>
      <c r="G897" s="80" t="s">
        <v>84</v>
      </c>
      <c r="H897" s="80" t="s">
        <v>84</v>
      </c>
      <c r="I897" s="80" t="s">
        <v>84</v>
      </c>
      <c r="J897" s="80" t="s">
        <v>84</v>
      </c>
      <c r="K897" s="80" t="s">
        <v>84</v>
      </c>
      <c r="L897" s="80" t="s">
        <v>84</v>
      </c>
      <c r="M897" s="80" t="s">
        <v>84</v>
      </c>
      <c r="N897" s="80" t="s">
        <v>84</v>
      </c>
      <c r="O897" s="80" t="s">
        <v>84</v>
      </c>
      <c r="P897" s="80"/>
      <c r="Q897" s="80" t="s">
        <v>84</v>
      </c>
      <c r="R897" s="80" t="s">
        <v>84</v>
      </c>
    </row>
    <row r="898" spans="1:18" ht="20" x14ac:dyDescent="0.2">
      <c r="A898" s="80" t="s">
        <v>5187</v>
      </c>
      <c r="B898" s="80" t="s">
        <v>5188</v>
      </c>
      <c r="C898" s="80" t="s">
        <v>84</v>
      </c>
      <c r="D898" s="80" t="s">
        <v>84</v>
      </c>
      <c r="E898" s="80" t="s">
        <v>84</v>
      </c>
      <c r="F898" s="80"/>
      <c r="G898" s="80" t="s">
        <v>84</v>
      </c>
      <c r="H898" s="80" t="s">
        <v>84</v>
      </c>
      <c r="I898" s="80" t="s">
        <v>84</v>
      </c>
      <c r="J898" s="80" t="s">
        <v>84</v>
      </c>
      <c r="K898" s="80" t="s">
        <v>84</v>
      </c>
      <c r="L898" s="80" t="s">
        <v>84</v>
      </c>
      <c r="M898" s="80" t="s">
        <v>84</v>
      </c>
      <c r="N898" s="80" t="s">
        <v>84</v>
      </c>
      <c r="O898" s="80" t="s">
        <v>84</v>
      </c>
      <c r="P898" s="80"/>
      <c r="Q898" s="80" t="s">
        <v>84</v>
      </c>
      <c r="R898" s="80" t="s">
        <v>84</v>
      </c>
    </row>
    <row r="899" spans="1:18" ht="20" x14ac:dyDescent="0.2">
      <c r="A899" s="80" t="s">
        <v>5189</v>
      </c>
      <c r="B899" s="80" t="s">
        <v>5190</v>
      </c>
      <c r="C899" s="80" t="s">
        <v>84</v>
      </c>
      <c r="D899" s="80" t="s">
        <v>84</v>
      </c>
      <c r="E899" s="80" t="s">
        <v>84</v>
      </c>
      <c r="F899" s="80"/>
      <c r="G899" s="80" t="s">
        <v>84</v>
      </c>
      <c r="H899" s="80" t="s">
        <v>84</v>
      </c>
      <c r="I899" s="80" t="s">
        <v>84</v>
      </c>
      <c r="J899" s="80" t="s">
        <v>84</v>
      </c>
      <c r="K899" s="80" t="s">
        <v>84</v>
      </c>
      <c r="L899" s="80" t="s">
        <v>84</v>
      </c>
      <c r="M899" s="80" t="s">
        <v>84</v>
      </c>
      <c r="N899" s="80" t="s">
        <v>84</v>
      </c>
      <c r="O899" s="80" t="s">
        <v>84</v>
      </c>
      <c r="P899" s="80"/>
      <c r="Q899" s="80" t="s">
        <v>84</v>
      </c>
      <c r="R899" s="80" t="s">
        <v>84</v>
      </c>
    </row>
    <row r="900" spans="1:18" ht="20" x14ac:dyDescent="0.2">
      <c r="A900" s="80" t="s">
        <v>5191</v>
      </c>
      <c r="B900" s="80" t="s">
        <v>5192</v>
      </c>
      <c r="C900" s="80" t="s">
        <v>9680</v>
      </c>
      <c r="D900" s="80" t="s">
        <v>9680</v>
      </c>
      <c r="E900" s="80" t="s">
        <v>84</v>
      </c>
      <c r="F900" s="80"/>
      <c r="G900" s="80" t="s">
        <v>9680</v>
      </c>
      <c r="H900" s="80" t="s">
        <v>9680</v>
      </c>
      <c r="I900" s="80" t="s">
        <v>9680</v>
      </c>
      <c r="J900" s="80" t="s">
        <v>84</v>
      </c>
      <c r="K900" s="80" t="s">
        <v>9680</v>
      </c>
      <c r="L900" s="80" t="s">
        <v>9680</v>
      </c>
      <c r="M900" s="80" t="s">
        <v>84</v>
      </c>
      <c r="N900" s="80" t="s">
        <v>84</v>
      </c>
      <c r="O900" s="80" t="s">
        <v>84</v>
      </c>
      <c r="P900" s="80"/>
      <c r="Q900" s="80" t="s">
        <v>84</v>
      </c>
      <c r="R900" s="80" t="s">
        <v>84</v>
      </c>
    </row>
    <row r="901" spans="1:18" ht="20" x14ac:dyDescent="0.2">
      <c r="A901" s="80" t="s">
        <v>5191</v>
      </c>
      <c r="B901" s="80" t="s">
        <v>10035</v>
      </c>
      <c r="C901" s="80" t="s">
        <v>9680</v>
      </c>
      <c r="D901" s="80" t="s">
        <v>9680</v>
      </c>
      <c r="E901" s="80" t="s">
        <v>84</v>
      </c>
      <c r="F901" s="80"/>
      <c r="G901" s="80" t="s">
        <v>9680</v>
      </c>
      <c r="H901" s="80" t="s">
        <v>9680</v>
      </c>
      <c r="I901" s="80" t="s">
        <v>9680</v>
      </c>
      <c r="J901" s="80" t="s">
        <v>84</v>
      </c>
      <c r="K901" s="80" t="s">
        <v>9680</v>
      </c>
      <c r="L901" s="80" t="s">
        <v>9680</v>
      </c>
      <c r="M901" s="80" t="s">
        <v>84</v>
      </c>
      <c r="N901" s="80" t="s">
        <v>84</v>
      </c>
      <c r="O901" s="80" t="s">
        <v>84</v>
      </c>
      <c r="P901" s="80"/>
      <c r="Q901" s="80" t="s">
        <v>84</v>
      </c>
      <c r="R901" s="80" t="s">
        <v>84</v>
      </c>
    </row>
    <row r="902" spans="1:18" ht="20" x14ac:dyDescent="0.2">
      <c r="A902" s="80" t="s">
        <v>3500</v>
      </c>
      <c r="B902" s="80" t="s">
        <v>3501</v>
      </c>
      <c r="C902" s="80" t="s">
        <v>9680</v>
      </c>
      <c r="D902" s="80" t="s">
        <v>9680</v>
      </c>
      <c r="E902" s="80" t="s">
        <v>9680</v>
      </c>
      <c r="F902" s="80"/>
      <c r="G902" s="80" t="s">
        <v>9680</v>
      </c>
      <c r="H902" s="80" t="s">
        <v>9680</v>
      </c>
      <c r="I902" s="80" t="s">
        <v>9680</v>
      </c>
      <c r="J902" s="80" t="s">
        <v>84</v>
      </c>
      <c r="K902" s="80" t="s">
        <v>9680</v>
      </c>
      <c r="L902" s="80" t="s">
        <v>9680</v>
      </c>
      <c r="M902" s="80" t="s">
        <v>84</v>
      </c>
      <c r="N902" s="80" t="s">
        <v>9680</v>
      </c>
      <c r="O902" s="80" t="s">
        <v>84</v>
      </c>
      <c r="P902" s="80"/>
      <c r="Q902" s="80" t="s">
        <v>84</v>
      </c>
      <c r="R902" s="80" t="s">
        <v>84</v>
      </c>
    </row>
    <row r="903" spans="1:18" ht="20" x14ac:dyDescent="0.2">
      <c r="A903" s="80" t="s">
        <v>3502</v>
      </c>
      <c r="B903" s="80" t="s">
        <v>10036</v>
      </c>
      <c r="C903" s="80" t="s">
        <v>9680</v>
      </c>
      <c r="D903" s="80" t="s">
        <v>84</v>
      </c>
      <c r="E903" s="80" t="s">
        <v>84</v>
      </c>
      <c r="F903" s="80"/>
      <c r="G903" s="80" t="s">
        <v>84</v>
      </c>
      <c r="H903" s="80" t="s">
        <v>9680</v>
      </c>
      <c r="I903" s="80" t="s">
        <v>84</v>
      </c>
      <c r="J903" s="80" t="s">
        <v>84</v>
      </c>
      <c r="K903" s="80" t="s">
        <v>84</v>
      </c>
      <c r="L903" s="80" t="s">
        <v>84</v>
      </c>
      <c r="M903" s="80" t="s">
        <v>84</v>
      </c>
      <c r="N903" s="80" t="s">
        <v>84</v>
      </c>
      <c r="O903" s="80" t="s">
        <v>84</v>
      </c>
      <c r="P903" s="80"/>
      <c r="Q903" s="80" t="s">
        <v>84</v>
      </c>
      <c r="R903" s="80" t="s">
        <v>84</v>
      </c>
    </row>
    <row r="904" spans="1:18" ht="20" x14ac:dyDescent="0.2">
      <c r="A904" s="80" t="s">
        <v>3502</v>
      </c>
      <c r="B904" s="80" t="s">
        <v>3503</v>
      </c>
      <c r="C904" s="80" t="s">
        <v>9680</v>
      </c>
      <c r="D904" s="80" t="s">
        <v>84</v>
      </c>
      <c r="E904" s="80" t="s">
        <v>84</v>
      </c>
      <c r="F904" s="80"/>
      <c r="G904" s="80" t="s">
        <v>84</v>
      </c>
      <c r="H904" s="80" t="s">
        <v>9680</v>
      </c>
      <c r="I904" s="80" t="s">
        <v>84</v>
      </c>
      <c r="J904" s="80" t="s">
        <v>84</v>
      </c>
      <c r="K904" s="80" t="s">
        <v>84</v>
      </c>
      <c r="L904" s="80" t="s">
        <v>84</v>
      </c>
      <c r="M904" s="80" t="s">
        <v>84</v>
      </c>
      <c r="N904" s="80" t="s">
        <v>84</v>
      </c>
      <c r="O904" s="80" t="s">
        <v>84</v>
      </c>
      <c r="P904" s="80"/>
      <c r="Q904" s="80" t="s">
        <v>84</v>
      </c>
      <c r="R904" s="80" t="s">
        <v>84</v>
      </c>
    </row>
    <row r="905" spans="1:18" ht="20" x14ac:dyDescent="0.2">
      <c r="A905" s="80" t="s">
        <v>3504</v>
      </c>
      <c r="B905" s="80" t="s">
        <v>3505</v>
      </c>
      <c r="C905" s="80" t="s">
        <v>9680</v>
      </c>
      <c r="D905" s="80" t="s">
        <v>84</v>
      </c>
      <c r="E905" s="80" t="s">
        <v>84</v>
      </c>
      <c r="F905" s="80"/>
      <c r="G905" s="80" t="s">
        <v>84</v>
      </c>
      <c r="H905" s="80" t="s">
        <v>9680</v>
      </c>
      <c r="I905" s="80" t="s">
        <v>84</v>
      </c>
      <c r="J905" s="80" t="s">
        <v>84</v>
      </c>
      <c r="K905" s="80" t="s">
        <v>84</v>
      </c>
      <c r="L905" s="80" t="s">
        <v>84</v>
      </c>
      <c r="M905" s="80" t="s">
        <v>84</v>
      </c>
      <c r="N905" s="80" t="s">
        <v>84</v>
      </c>
      <c r="O905" s="80" t="s">
        <v>84</v>
      </c>
      <c r="P905" s="80"/>
      <c r="Q905" s="80" t="s">
        <v>84</v>
      </c>
      <c r="R905" s="80" t="s">
        <v>84</v>
      </c>
    </row>
    <row r="906" spans="1:18" ht="20" x14ac:dyDescent="0.2">
      <c r="A906" s="80" t="s">
        <v>3506</v>
      </c>
      <c r="B906" s="80" t="s">
        <v>3507</v>
      </c>
      <c r="C906" s="80" t="s">
        <v>9680</v>
      </c>
      <c r="D906" s="80" t="s">
        <v>84</v>
      </c>
      <c r="E906" s="80" t="s">
        <v>84</v>
      </c>
      <c r="F906" s="80"/>
      <c r="G906" s="80" t="s">
        <v>84</v>
      </c>
      <c r="H906" s="80" t="s">
        <v>9680</v>
      </c>
      <c r="I906" s="80" t="s">
        <v>84</v>
      </c>
      <c r="J906" s="80" t="s">
        <v>84</v>
      </c>
      <c r="K906" s="80" t="s">
        <v>84</v>
      </c>
      <c r="L906" s="80" t="s">
        <v>84</v>
      </c>
      <c r="M906" s="80" t="s">
        <v>84</v>
      </c>
      <c r="N906" s="80" t="s">
        <v>84</v>
      </c>
      <c r="O906" s="80" t="s">
        <v>84</v>
      </c>
      <c r="P906" s="80"/>
      <c r="Q906" s="80" t="s">
        <v>84</v>
      </c>
      <c r="R906" s="80" t="s">
        <v>84</v>
      </c>
    </row>
    <row r="907" spans="1:18" ht="20" x14ac:dyDescent="0.2">
      <c r="A907" s="80" t="s">
        <v>10037</v>
      </c>
      <c r="B907" s="80" t="s">
        <v>10038</v>
      </c>
      <c r="C907" s="80" t="s">
        <v>9680</v>
      </c>
      <c r="D907" s="80" t="s">
        <v>84</v>
      </c>
      <c r="E907" s="80" t="s">
        <v>84</v>
      </c>
      <c r="F907" s="80"/>
      <c r="G907" s="80" t="s">
        <v>84</v>
      </c>
      <c r="H907" s="80" t="s">
        <v>84</v>
      </c>
      <c r="I907" s="80" t="s">
        <v>84</v>
      </c>
      <c r="J907" s="80" t="s">
        <v>9680</v>
      </c>
      <c r="K907" s="80" t="s">
        <v>84</v>
      </c>
      <c r="L907" s="80" t="s">
        <v>84</v>
      </c>
      <c r="M907" s="80" t="s">
        <v>9680</v>
      </c>
      <c r="N907" s="80" t="s">
        <v>84</v>
      </c>
      <c r="O907" s="80" t="s">
        <v>9680</v>
      </c>
      <c r="P907" s="80"/>
      <c r="Q907" s="80" t="s">
        <v>9680</v>
      </c>
      <c r="R907" s="80" t="s">
        <v>9680</v>
      </c>
    </row>
    <row r="908" spans="1:18" ht="20" x14ac:dyDescent="0.2">
      <c r="A908" s="80" t="s">
        <v>1519</v>
      </c>
      <c r="B908" s="80" t="s">
        <v>1520</v>
      </c>
      <c r="C908" s="80" t="s">
        <v>9680</v>
      </c>
      <c r="D908" s="80" t="s">
        <v>9680</v>
      </c>
      <c r="E908" s="80" t="s">
        <v>9680</v>
      </c>
      <c r="F908" s="80"/>
      <c r="G908" s="80" t="s">
        <v>9680</v>
      </c>
      <c r="H908" s="80" t="s">
        <v>9680</v>
      </c>
      <c r="I908" s="80" t="s">
        <v>9680</v>
      </c>
      <c r="J908" s="80" t="s">
        <v>9680</v>
      </c>
      <c r="K908" s="80" t="s">
        <v>9680</v>
      </c>
      <c r="L908" s="80" t="s">
        <v>9680</v>
      </c>
      <c r="M908" s="80" t="s">
        <v>9680</v>
      </c>
      <c r="N908" s="80" t="s">
        <v>9680</v>
      </c>
      <c r="O908" s="80" t="s">
        <v>9680</v>
      </c>
      <c r="P908" s="80"/>
      <c r="Q908" s="80" t="s">
        <v>9680</v>
      </c>
      <c r="R908" s="80" t="s">
        <v>9680</v>
      </c>
    </row>
    <row r="909" spans="1:18" ht="20" x14ac:dyDescent="0.2">
      <c r="A909" s="80" t="s">
        <v>1524</v>
      </c>
      <c r="B909" s="80" t="s">
        <v>1525</v>
      </c>
      <c r="C909" s="80" t="s">
        <v>9680</v>
      </c>
      <c r="D909" s="80" t="s">
        <v>9680</v>
      </c>
      <c r="E909" s="80" t="s">
        <v>9680</v>
      </c>
      <c r="F909" s="80"/>
      <c r="G909" s="80" t="s">
        <v>9680</v>
      </c>
      <c r="H909" s="80" t="s">
        <v>9680</v>
      </c>
      <c r="I909" s="80" t="s">
        <v>9680</v>
      </c>
      <c r="J909" s="80" t="s">
        <v>9680</v>
      </c>
      <c r="K909" s="80" t="s">
        <v>9680</v>
      </c>
      <c r="L909" s="80" t="s">
        <v>9680</v>
      </c>
      <c r="M909" s="80" t="s">
        <v>9680</v>
      </c>
      <c r="N909" s="80" t="s">
        <v>9680</v>
      </c>
      <c r="O909" s="80" t="s">
        <v>9680</v>
      </c>
      <c r="P909" s="80"/>
      <c r="Q909" s="80" t="s">
        <v>9680</v>
      </c>
      <c r="R909" s="80" t="s">
        <v>9680</v>
      </c>
    </row>
    <row r="910" spans="1:18" ht="20" x14ac:dyDescent="0.2">
      <c r="A910" s="80" t="s">
        <v>1527</v>
      </c>
      <c r="B910" s="80" t="s">
        <v>10039</v>
      </c>
      <c r="C910" s="80" t="s">
        <v>9680</v>
      </c>
      <c r="D910" s="80" t="s">
        <v>9680</v>
      </c>
      <c r="E910" s="80" t="s">
        <v>84</v>
      </c>
      <c r="F910" s="80"/>
      <c r="G910" s="80" t="s">
        <v>9680</v>
      </c>
      <c r="H910" s="80" t="s">
        <v>84</v>
      </c>
      <c r="I910" s="80" t="s">
        <v>9680</v>
      </c>
      <c r="J910" s="80" t="s">
        <v>9680</v>
      </c>
      <c r="K910" s="80" t="s">
        <v>9680</v>
      </c>
      <c r="L910" s="80" t="s">
        <v>9680</v>
      </c>
      <c r="M910" s="80" t="s">
        <v>9680</v>
      </c>
      <c r="N910" s="80" t="s">
        <v>84</v>
      </c>
      <c r="O910" s="80" t="s">
        <v>9680</v>
      </c>
      <c r="P910" s="80"/>
      <c r="Q910" s="80" t="s">
        <v>9680</v>
      </c>
      <c r="R910" s="80" t="s">
        <v>9680</v>
      </c>
    </row>
    <row r="911" spans="1:18" ht="20" x14ac:dyDescent="0.2">
      <c r="A911" s="80" t="s">
        <v>1527</v>
      </c>
      <c r="B911" s="80" t="s">
        <v>1528</v>
      </c>
      <c r="C911" s="80" t="s">
        <v>9680</v>
      </c>
      <c r="D911" s="80" t="s">
        <v>9680</v>
      </c>
      <c r="E911" s="80" t="s">
        <v>84</v>
      </c>
      <c r="F911" s="80"/>
      <c r="G911" s="80" t="s">
        <v>9680</v>
      </c>
      <c r="H911" s="80" t="s">
        <v>84</v>
      </c>
      <c r="I911" s="80" t="s">
        <v>9680</v>
      </c>
      <c r="J911" s="80" t="s">
        <v>9680</v>
      </c>
      <c r="K911" s="80" t="s">
        <v>9680</v>
      </c>
      <c r="L911" s="80" t="s">
        <v>9680</v>
      </c>
      <c r="M911" s="80" t="s">
        <v>9680</v>
      </c>
      <c r="N911" s="80" t="s">
        <v>84</v>
      </c>
      <c r="O911" s="80" t="s">
        <v>9680</v>
      </c>
      <c r="P911" s="80"/>
      <c r="Q911" s="80" t="s">
        <v>9680</v>
      </c>
      <c r="R911" s="80" t="s">
        <v>9680</v>
      </c>
    </row>
    <row r="912" spans="1:18" ht="20" x14ac:dyDescent="0.2">
      <c r="A912" s="80" t="s">
        <v>1578</v>
      </c>
      <c r="B912" s="80" t="s">
        <v>10040</v>
      </c>
      <c r="C912" s="80" t="s">
        <v>9680</v>
      </c>
      <c r="D912" s="80" t="s">
        <v>9680</v>
      </c>
      <c r="E912" s="80" t="s">
        <v>84</v>
      </c>
      <c r="F912" s="80"/>
      <c r="G912" s="80" t="s">
        <v>9680</v>
      </c>
      <c r="H912" s="80" t="s">
        <v>84</v>
      </c>
      <c r="I912" s="80" t="s">
        <v>9680</v>
      </c>
      <c r="J912" s="80" t="s">
        <v>9680</v>
      </c>
      <c r="K912" s="80" t="s">
        <v>9680</v>
      </c>
      <c r="L912" s="80" t="s">
        <v>84</v>
      </c>
      <c r="M912" s="80" t="s">
        <v>9680</v>
      </c>
      <c r="N912" s="80" t="s">
        <v>84</v>
      </c>
      <c r="O912" s="80" t="s">
        <v>9680</v>
      </c>
      <c r="P912" s="80"/>
      <c r="Q912" s="80" t="s">
        <v>9680</v>
      </c>
      <c r="R912" s="80" t="s">
        <v>9680</v>
      </c>
    </row>
    <row r="913" spans="1:18" ht="20" x14ac:dyDescent="0.2">
      <c r="A913" s="80" t="s">
        <v>1578</v>
      </c>
      <c r="B913" s="80" t="s">
        <v>1579</v>
      </c>
      <c r="C913" s="80" t="s">
        <v>9680</v>
      </c>
      <c r="D913" s="80" t="s">
        <v>9680</v>
      </c>
      <c r="E913" s="80" t="s">
        <v>84</v>
      </c>
      <c r="F913" s="80"/>
      <c r="G913" s="80" t="s">
        <v>9680</v>
      </c>
      <c r="H913" s="80" t="s">
        <v>84</v>
      </c>
      <c r="I913" s="80" t="s">
        <v>9680</v>
      </c>
      <c r="J913" s="80" t="s">
        <v>9680</v>
      </c>
      <c r="K913" s="80" t="s">
        <v>9680</v>
      </c>
      <c r="L913" s="80" t="s">
        <v>84</v>
      </c>
      <c r="M913" s="80" t="s">
        <v>9680</v>
      </c>
      <c r="N913" s="80" t="s">
        <v>84</v>
      </c>
      <c r="O913" s="80" t="s">
        <v>9680</v>
      </c>
      <c r="P913" s="80"/>
      <c r="Q913" s="80" t="s">
        <v>9680</v>
      </c>
      <c r="R913" s="80" t="s">
        <v>9680</v>
      </c>
    </row>
    <row r="914" spans="1:18" ht="20" x14ac:dyDescent="0.2">
      <c r="A914" s="80" t="s">
        <v>1580</v>
      </c>
      <c r="B914" s="80" t="s">
        <v>10041</v>
      </c>
      <c r="C914" s="80" t="s">
        <v>9722</v>
      </c>
      <c r="D914" s="80" t="s">
        <v>84</v>
      </c>
      <c r="E914" s="80" t="s">
        <v>84</v>
      </c>
      <c r="F914" s="80"/>
      <c r="G914" s="80" t="s">
        <v>84</v>
      </c>
      <c r="H914" s="80" t="s">
        <v>84</v>
      </c>
      <c r="I914" s="80" t="s">
        <v>84</v>
      </c>
      <c r="J914" s="80" t="s">
        <v>9722</v>
      </c>
      <c r="K914" s="80" t="s">
        <v>84</v>
      </c>
      <c r="L914" s="80" t="s">
        <v>84</v>
      </c>
      <c r="M914" s="80" t="s">
        <v>84</v>
      </c>
      <c r="N914" s="80" t="s">
        <v>84</v>
      </c>
      <c r="O914" s="80" t="s">
        <v>84</v>
      </c>
      <c r="P914" s="80"/>
      <c r="Q914" s="80" t="s">
        <v>84</v>
      </c>
      <c r="R914" s="80" t="s">
        <v>84</v>
      </c>
    </row>
    <row r="915" spans="1:18" ht="20" x14ac:dyDescent="0.2">
      <c r="A915" s="80" t="s">
        <v>1580</v>
      </c>
      <c r="B915" s="80" t="s">
        <v>1581</v>
      </c>
      <c r="C915" s="80" t="s">
        <v>9722</v>
      </c>
      <c r="D915" s="80" t="s">
        <v>84</v>
      </c>
      <c r="E915" s="80" t="s">
        <v>84</v>
      </c>
      <c r="F915" s="80"/>
      <c r="G915" s="80" t="s">
        <v>84</v>
      </c>
      <c r="H915" s="80" t="s">
        <v>84</v>
      </c>
      <c r="I915" s="80" t="s">
        <v>84</v>
      </c>
      <c r="J915" s="80" t="s">
        <v>9722</v>
      </c>
      <c r="K915" s="80" t="s">
        <v>84</v>
      </c>
      <c r="L915" s="80" t="s">
        <v>84</v>
      </c>
      <c r="M915" s="80" t="s">
        <v>84</v>
      </c>
      <c r="N915" s="80" t="s">
        <v>84</v>
      </c>
      <c r="O915" s="80" t="s">
        <v>84</v>
      </c>
      <c r="P915" s="80"/>
      <c r="Q915" s="80" t="s">
        <v>84</v>
      </c>
      <c r="R915" s="80" t="s">
        <v>84</v>
      </c>
    </row>
    <row r="916" spans="1:18" ht="20" x14ac:dyDescent="0.2">
      <c r="A916" s="80" t="s">
        <v>1582</v>
      </c>
      <c r="B916" s="80" t="s">
        <v>10042</v>
      </c>
      <c r="C916" s="80" t="s">
        <v>84</v>
      </c>
      <c r="D916" s="80" t="s">
        <v>84</v>
      </c>
      <c r="E916" s="80" t="s">
        <v>84</v>
      </c>
      <c r="F916" s="80"/>
      <c r="G916" s="80" t="s">
        <v>84</v>
      </c>
      <c r="H916" s="80" t="s">
        <v>84</v>
      </c>
      <c r="I916" s="80" t="s">
        <v>84</v>
      </c>
      <c r="J916" s="80" t="s">
        <v>84</v>
      </c>
      <c r="K916" s="80" t="s">
        <v>84</v>
      </c>
      <c r="L916" s="80" t="s">
        <v>84</v>
      </c>
      <c r="M916" s="80" t="s">
        <v>84</v>
      </c>
      <c r="N916" s="80" t="s">
        <v>84</v>
      </c>
      <c r="O916" s="80" t="s">
        <v>84</v>
      </c>
      <c r="P916" s="80"/>
      <c r="Q916" s="80" t="s">
        <v>84</v>
      </c>
      <c r="R916" s="80" t="s">
        <v>84</v>
      </c>
    </row>
    <row r="917" spans="1:18" ht="20" x14ac:dyDescent="0.2">
      <c r="A917" s="80" t="s">
        <v>1582</v>
      </c>
      <c r="B917" s="80" t="s">
        <v>1583</v>
      </c>
      <c r="C917" s="80" t="s">
        <v>84</v>
      </c>
      <c r="D917" s="80" t="s">
        <v>84</v>
      </c>
      <c r="E917" s="80" t="s">
        <v>84</v>
      </c>
      <c r="F917" s="80"/>
      <c r="G917" s="80" t="s">
        <v>84</v>
      </c>
      <c r="H917" s="80" t="s">
        <v>84</v>
      </c>
      <c r="I917" s="80" t="s">
        <v>84</v>
      </c>
      <c r="J917" s="80" t="s">
        <v>84</v>
      </c>
      <c r="K917" s="80" t="s">
        <v>84</v>
      </c>
      <c r="L917" s="80" t="s">
        <v>84</v>
      </c>
      <c r="M917" s="80" t="s">
        <v>84</v>
      </c>
      <c r="N917" s="80" t="s">
        <v>84</v>
      </c>
      <c r="O917" s="80" t="s">
        <v>84</v>
      </c>
      <c r="P917" s="80"/>
      <c r="Q917" s="80" t="s">
        <v>84</v>
      </c>
      <c r="R917" s="80" t="s">
        <v>84</v>
      </c>
    </row>
    <row r="918" spans="1:18" ht="20" x14ac:dyDescent="0.2">
      <c r="A918" s="80" t="s">
        <v>1584</v>
      </c>
      <c r="B918" s="80" t="s">
        <v>10043</v>
      </c>
      <c r="C918" s="80" t="s">
        <v>9722</v>
      </c>
      <c r="D918" s="80" t="s">
        <v>9722</v>
      </c>
      <c r="E918" s="80" t="s">
        <v>84</v>
      </c>
      <c r="F918" s="80"/>
      <c r="G918" s="80" t="s">
        <v>9722</v>
      </c>
      <c r="H918" s="80" t="s">
        <v>84</v>
      </c>
      <c r="I918" s="80" t="s">
        <v>9722</v>
      </c>
      <c r="J918" s="80" t="s">
        <v>9722</v>
      </c>
      <c r="K918" s="80" t="s">
        <v>9722</v>
      </c>
      <c r="L918" s="80" t="s">
        <v>9722</v>
      </c>
      <c r="M918" s="80" t="s">
        <v>9722</v>
      </c>
      <c r="N918" s="80" t="s">
        <v>84</v>
      </c>
      <c r="O918" s="80" t="s">
        <v>9722</v>
      </c>
      <c r="P918" s="80"/>
      <c r="Q918" s="80" t="s">
        <v>9722</v>
      </c>
      <c r="R918" s="80" t="s">
        <v>9722</v>
      </c>
    </row>
    <row r="919" spans="1:18" ht="20" x14ac:dyDescent="0.2">
      <c r="A919" s="80" t="s">
        <v>1584</v>
      </c>
      <c r="B919" s="80" t="s">
        <v>1585</v>
      </c>
      <c r="C919" s="80" t="s">
        <v>9722</v>
      </c>
      <c r="D919" s="80" t="s">
        <v>9722</v>
      </c>
      <c r="E919" s="80" t="s">
        <v>84</v>
      </c>
      <c r="F919" s="80"/>
      <c r="G919" s="80" t="s">
        <v>9722</v>
      </c>
      <c r="H919" s="80" t="s">
        <v>84</v>
      </c>
      <c r="I919" s="80" t="s">
        <v>9722</v>
      </c>
      <c r="J919" s="80" t="s">
        <v>9722</v>
      </c>
      <c r="K919" s="80" t="s">
        <v>9722</v>
      </c>
      <c r="L919" s="80" t="s">
        <v>9722</v>
      </c>
      <c r="M919" s="80" t="s">
        <v>9722</v>
      </c>
      <c r="N919" s="80" t="s">
        <v>84</v>
      </c>
      <c r="O919" s="80" t="s">
        <v>9722</v>
      </c>
      <c r="P919" s="80"/>
      <c r="Q919" s="80" t="s">
        <v>9722</v>
      </c>
      <c r="R919" s="80" t="s">
        <v>9722</v>
      </c>
    </row>
    <row r="920" spans="1:18" ht="20" x14ac:dyDescent="0.2">
      <c r="A920" s="80" t="s">
        <v>1529</v>
      </c>
      <c r="B920" s="80" t="s">
        <v>1530</v>
      </c>
      <c r="C920" s="80" t="s">
        <v>9680</v>
      </c>
      <c r="D920" s="80" t="s">
        <v>9680</v>
      </c>
      <c r="E920" s="80" t="s">
        <v>9680</v>
      </c>
      <c r="F920" s="80"/>
      <c r="G920" s="80" t="s">
        <v>9680</v>
      </c>
      <c r="H920" s="80" t="s">
        <v>9680</v>
      </c>
      <c r="I920" s="80" t="s">
        <v>9680</v>
      </c>
      <c r="J920" s="80" t="s">
        <v>84</v>
      </c>
      <c r="K920" s="80" t="s">
        <v>9680</v>
      </c>
      <c r="L920" s="80" t="s">
        <v>9680</v>
      </c>
      <c r="M920" s="80" t="s">
        <v>9680</v>
      </c>
      <c r="N920" s="80" t="s">
        <v>9680</v>
      </c>
      <c r="O920" s="80" t="s">
        <v>9680</v>
      </c>
      <c r="P920" s="80"/>
      <c r="Q920" s="80" t="s">
        <v>9680</v>
      </c>
      <c r="R920" s="80" t="s">
        <v>9680</v>
      </c>
    </row>
    <row r="921" spans="1:18" ht="20" x14ac:dyDescent="0.2">
      <c r="A921" s="80" t="s">
        <v>10044</v>
      </c>
      <c r="B921" s="80" t="s">
        <v>10045</v>
      </c>
      <c r="C921" s="80" t="s">
        <v>9680</v>
      </c>
      <c r="D921" s="80" t="s">
        <v>84</v>
      </c>
      <c r="E921" s="80" t="s">
        <v>84</v>
      </c>
      <c r="F921" s="80"/>
      <c r="G921" s="80" t="s">
        <v>84</v>
      </c>
      <c r="H921" s="80" t="s">
        <v>84</v>
      </c>
      <c r="I921" s="80" t="s">
        <v>84</v>
      </c>
      <c r="J921" s="80" t="s">
        <v>84</v>
      </c>
      <c r="K921" s="80" t="s">
        <v>84</v>
      </c>
      <c r="L921" s="80" t="s">
        <v>84</v>
      </c>
      <c r="M921" s="80" t="s">
        <v>9680</v>
      </c>
      <c r="N921" s="80" t="s">
        <v>84</v>
      </c>
      <c r="O921" s="80" t="s">
        <v>9680</v>
      </c>
      <c r="P921" s="80"/>
      <c r="Q921" s="80" t="s">
        <v>9680</v>
      </c>
      <c r="R921" s="80" t="s">
        <v>9680</v>
      </c>
    </row>
    <row r="922" spans="1:18" ht="20" x14ac:dyDescent="0.2">
      <c r="A922" s="80" t="s">
        <v>1532</v>
      </c>
      <c r="B922" s="80" t="s">
        <v>1533</v>
      </c>
      <c r="C922" s="80" t="s">
        <v>9680</v>
      </c>
      <c r="D922" s="80" t="s">
        <v>9680</v>
      </c>
      <c r="E922" s="80" t="s">
        <v>9680</v>
      </c>
      <c r="F922" s="80"/>
      <c r="G922" s="80" t="s">
        <v>9680</v>
      </c>
      <c r="H922" s="80" t="s">
        <v>9680</v>
      </c>
      <c r="I922" s="80" t="s">
        <v>9680</v>
      </c>
      <c r="J922" s="80" t="s">
        <v>84</v>
      </c>
      <c r="K922" s="80" t="s">
        <v>9680</v>
      </c>
      <c r="L922" s="80" t="s">
        <v>9680</v>
      </c>
      <c r="M922" s="80" t="s">
        <v>9680</v>
      </c>
      <c r="N922" s="80" t="s">
        <v>9680</v>
      </c>
      <c r="O922" s="80" t="s">
        <v>9680</v>
      </c>
      <c r="P922" s="80"/>
      <c r="Q922" s="80" t="s">
        <v>9680</v>
      </c>
      <c r="R922" s="80" t="s">
        <v>9680</v>
      </c>
    </row>
    <row r="923" spans="1:18" ht="20" x14ac:dyDescent="0.2">
      <c r="A923" s="80" t="s">
        <v>1537</v>
      </c>
      <c r="B923" s="80" t="s">
        <v>1538</v>
      </c>
      <c r="C923" s="80" t="s">
        <v>9680</v>
      </c>
      <c r="D923" s="80" t="s">
        <v>9680</v>
      </c>
      <c r="E923" s="80" t="s">
        <v>9680</v>
      </c>
      <c r="F923" s="80"/>
      <c r="G923" s="80" t="s">
        <v>9680</v>
      </c>
      <c r="H923" s="80" t="s">
        <v>9680</v>
      </c>
      <c r="I923" s="80" t="s">
        <v>9680</v>
      </c>
      <c r="J923" s="80" t="s">
        <v>84</v>
      </c>
      <c r="K923" s="80" t="s">
        <v>9680</v>
      </c>
      <c r="L923" s="80" t="s">
        <v>9680</v>
      </c>
      <c r="M923" s="80" t="s">
        <v>9680</v>
      </c>
      <c r="N923" s="80" t="s">
        <v>9680</v>
      </c>
      <c r="O923" s="80" t="s">
        <v>9680</v>
      </c>
      <c r="P923" s="80"/>
      <c r="Q923" s="80" t="s">
        <v>9680</v>
      </c>
      <c r="R923" s="80" t="s">
        <v>9680</v>
      </c>
    </row>
    <row r="924" spans="1:18" ht="20" x14ac:dyDescent="0.2">
      <c r="A924" s="80" t="s">
        <v>1541</v>
      </c>
      <c r="B924" s="80" t="s">
        <v>1542</v>
      </c>
      <c r="C924" s="80" t="s">
        <v>84</v>
      </c>
      <c r="D924" s="80" t="s">
        <v>84</v>
      </c>
      <c r="E924" s="80" t="s">
        <v>84</v>
      </c>
      <c r="F924" s="80"/>
      <c r="G924" s="80" t="s">
        <v>84</v>
      </c>
      <c r="H924" s="80" t="s">
        <v>84</v>
      </c>
      <c r="I924" s="80" t="s">
        <v>84</v>
      </c>
      <c r="J924" s="80" t="s">
        <v>84</v>
      </c>
      <c r="K924" s="80" t="s">
        <v>84</v>
      </c>
      <c r="L924" s="80" t="s">
        <v>84</v>
      </c>
      <c r="M924" s="80" t="s">
        <v>84</v>
      </c>
      <c r="N924" s="80" t="s">
        <v>84</v>
      </c>
      <c r="O924" s="80" t="s">
        <v>84</v>
      </c>
      <c r="P924" s="80"/>
      <c r="Q924" s="80" t="s">
        <v>84</v>
      </c>
      <c r="R924" s="80" t="s">
        <v>84</v>
      </c>
    </row>
    <row r="925" spans="1:18" ht="20" x14ac:dyDescent="0.2">
      <c r="A925" s="80" t="s">
        <v>1335</v>
      </c>
      <c r="B925" s="80" t="s">
        <v>1336</v>
      </c>
      <c r="C925" s="80" t="s">
        <v>9680</v>
      </c>
      <c r="D925" s="80" t="s">
        <v>9680</v>
      </c>
      <c r="E925" s="80" t="s">
        <v>84</v>
      </c>
      <c r="F925" s="80"/>
      <c r="G925" s="80" t="s">
        <v>84</v>
      </c>
      <c r="H925" s="80" t="s">
        <v>9680</v>
      </c>
      <c r="I925" s="80" t="s">
        <v>9680</v>
      </c>
      <c r="J925" s="80" t="s">
        <v>84</v>
      </c>
      <c r="K925" s="80" t="s">
        <v>9680</v>
      </c>
      <c r="L925" s="80" t="s">
        <v>9680</v>
      </c>
      <c r="M925" s="80" t="s">
        <v>9680</v>
      </c>
      <c r="N925" s="80" t="s">
        <v>84</v>
      </c>
      <c r="O925" s="80" t="s">
        <v>9680</v>
      </c>
      <c r="P925" s="80"/>
      <c r="Q925" s="80" t="s">
        <v>9680</v>
      </c>
      <c r="R925" s="80" t="s">
        <v>9680</v>
      </c>
    </row>
    <row r="926" spans="1:18" ht="20" x14ac:dyDescent="0.2">
      <c r="A926" s="80" t="s">
        <v>1335</v>
      </c>
      <c r="B926" s="80" t="s">
        <v>1598</v>
      </c>
      <c r="C926" s="80" t="s">
        <v>9680</v>
      </c>
      <c r="D926" s="80" t="s">
        <v>9680</v>
      </c>
      <c r="E926" s="80" t="s">
        <v>84</v>
      </c>
      <c r="F926" s="80"/>
      <c r="G926" s="80" t="s">
        <v>84</v>
      </c>
      <c r="H926" s="80" t="s">
        <v>9680</v>
      </c>
      <c r="I926" s="80" t="s">
        <v>9680</v>
      </c>
      <c r="J926" s="80" t="s">
        <v>84</v>
      </c>
      <c r="K926" s="80" t="s">
        <v>9680</v>
      </c>
      <c r="L926" s="80" t="s">
        <v>9680</v>
      </c>
      <c r="M926" s="80" t="s">
        <v>9680</v>
      </c>
      <c r="N926" s="80" t="s">
        <v>84</v>
      </c>
      <c r="O926" s="80" t="s">
        <v>9680</v>
      </c>
      <c r="P926" s="80"/>
      <c r="Q926" s="80" t="s">
        <v>9680</v>
      </c>
      <c r="R926" s="80" t="s">
        <v>9680</v>
      </c>
    </row>
    <row r="927" spans="1:18" ht="20" x14ac:dyDescent="0.2">
      <c r="A927" s="80" t="s">
        <v>1603</v>
      </c>
      <c r="B927" s="80" t="s">
        <v>1604</v>
      </c>
      <c r="C927" s="80" t="s">
        <v>84</v>
      </c>
      <c r="D927" s="80" t="s">
        <v>84</v>
      </c>
      <c r="E927" s="80" t="s">
        <v>84</v>
      </c>
      <c r="F927" s="80"/>
      <c r="G927" s="80" t="s">
        <v>84</v>
      </c>
      <c r="H927" s="80" t="s">
        <v>84</v>
      </c>
      <c r="I927" s="80" t="s">
        <v>84</v>
      </c>
      <c r="J927" s="80" t="s">
        <v>84</v>
      </c>
      <c r="K927" s="80" t="s">
        <v>84</v>
      </c>
      <c r="L927" s="80" t="s">
        <v>84</v>
      </c>
      <c r="M927" s="80" t="s">
        <v>84</v>
      </c>
      <c r="N927" s="80" t="s">
        <v>84</v>
      </c>
      <c r="O927" s="80" t="s">
        <v>84</v>
      </c>
      <c r="P927" s="80"/>
      <c r="Q927" s="80" t="s">
        <v>84</v>
      </c>
      <c r="R927" s="80" t="s">
        <v>84</v>
      </c>
    </row>
    <row r="928" spans="1:18" ht="20" x14ac:dyDescent="0.2">
      <c r="A928" s="80" t="s">
        <v>1665</v>
      </c>
      <c r="B928" s="80" t="s">
        <v>10046</v>
      </c>
      <c r="C928" s="80" t="s">
        <v>9680</v>
      </c>
      <c r="D928" s="80" t="s">
        <v>84</v>
      </c>
      <c r="E928" s="80" t="s">
        <v>84</v>
      </c>
      <c r="F928" s="80"/>
      <c r="G928" s="80" t="s">
        <v>84</v>
      </c>
      <c r="H928" s="80" t="s">
        <v>84</v>
      </c>
      <c r="I928" s="80" t="s">
        <v>84</v>
      </c>
      <c r="J928" s="80" t="s">
        <v>84</v>
      </c>
      <c r="K928" s="80" t="s">
        <v>84</v>
      </c>
      <c r="L928" s="80" t="s">
        <v>84</v>
      </c>
      <c r="M928" s="80" t="s">
        <v>84</v>
      </c>
      <c r="N928" s="80" t="s">
        <v>84</v>
      </c>
      <c r="O928" s="80" t="s">
        <v>84</v>
      </c>
      <c r="P928" s="80"/>
      <c r="Q928" s="80" t="s">
        <v>84</v>
      </c>
      <c r="R928" s="80" t="s">
        <v>84</v>
      </c>
    </row>
    <row r="929" spans="1:18" ht="20" x14ac:dyDescent="0.2">
      <c r="A929" s="80" t="s">
        <v>1665</v>
      </c>
      <c r="B929" s="80" t="s">
        <v>1666</v>
      </c>
      <c r="C929" s="80" t="s">
        <v>9680</v>
      </c>
      <c r="D929" s="80" t="s">
        <v>84</v>
      </c>
      <c r="E929" s="80" t="s">
        <v>84</v>
      </c>
      <c r="F929" s="80"/>
      <c r="G929" s="80" t="s">
        <v>84</v>
      </c>
      <c r="H929" s="80" t="s">
        <v>84</v>
      </c>
      <c r="I929" s="80" t="s">
        <v>84</v>
      </c>
      <c r="J929" s="80" t="s">
        <v>84</v>
      </c>
      <c r="K929" s="80" t="s">
        <v>84</v>
      </c>
      <c r="L929" s="80" t="s">
        <v>84</v>
      </c>
      <c r="M929" s="80" t="s">
        <v>84</v>
      </c>
      <c r="N929" s="80" t="s">
        <v>84</v>
      </c>
      <c r="O929" s="80" t="s">
        <v>84</v>
      </c>
      <c r="P929" s="80"/>
      <c r="Q929" s="80" t="s">
        <v>84</v>
      </c>
      <c r="R929" s="80" t="s">
        <v>84</v>
      </c>
    </row>
    <row r="930" spans="1:18" ht="20" x14ac:dyDescent="0.2">
      <c r="A930" s="80" t="s">
        <v>1667</v>
      </c>
      <c r="B930" s="80" t="s">
        <v>10047</v>
      </c>
      <c r="C930" s="80" t="s">
        <v>9680</v>
      </c>
      <c r="D930" s="80" t="s">
        <v>84</v>
      </c>
      <c r="E930" s="80" t="s">
        <v>84</v>
      </c>
      <c r="F930" s="80"/>
      <c r="G930" s="80" t="s">
        <v>84</v>
      </c>
      <c r="H930" s="80" t="s">
        <v>84</v>
      </c>
      <c r="I930" s="80" t="s">
        <v>84</v>
      </c>
      <c r="J930" s="80" t="s">
        <v>84</v>
      </c>
      <c r="K930" s="80" t="s">
        <v>84</v>
      </c>
      <c r="L930" s="80" t="s">
        <v>84</v>
      </c>
      <c r="M930" s="80" t="s">
        <v>84</v>
      </c>
      <c r="N930" s="80" t="s">
        <v>84</v>
      </c>
      <c r="O930" s="80" t="s">
        <v>84</v>
      </c>
      <c r="P930" s="80"/>
      <c r="Q930" s="80" t="s">
        <v>84</v>
      </c>
      <c r="R930" s="80" t="s">
        <v>84</v>
      </c>
    </row>
    <row r="931" spans="1:18" ht="20" x14ac:dyDescent="0.2">
      <c r="A931" s="80" t="s">
        <v>1667</v>
      </c>
      <c r="B931" s="80" t="s">
        <v>1668</v>
      </c>
      <c r="C931" s="80" t="s">
        <v>9680</v>
      </c>
      <c r="D931" s="80" t="s">
        <v>84</v>
      </c>
      <c r="E931" s="80" t="s">
        <v>84</v>
      </c>
      <c r="F931" s="80"/>
      <c r="G931" s="80" t="s">
        <v>84</v>
      </c>
      <c r="H931" s="80" t="s">
        <v>84</v>
      </c>
      <c r="I931" s="80" t="s">
        <v>84</v>
      </c>
      <c r="J931" s="80" t="s">
        <v>84</v>
      </c>
      <c r="K931" s="80" t="s">
        <v>84</v>
      </c>
      <c r="L931" s="80" t="s">
        <v>84</v>
      </c>
      <c r="M931" s="80" t="s">
        <v>84</v>
      </c>
      <c r="N931" s="80" t="s">
        <v>84</v>
      </c>
      <c r="O931" s="80" t="s">
        <v>84</v>
      </c>
      <c r="P931" s="80"/>
      <c r="Q931" s="80" t="s">
        <v>84</v>
      </c>
      <c r="R931" s="80" t="s">
        <v>84</v>
      </c>
    </row>
    <row r="932" spans="1:18" ht="20" x14ac:dyDescent="0.2">
      <c r="A932" s="80" t="s">
        <v>10048</v>
      </c>
      <c r="B932" s="80" t="s">
        <v>10049</v>
      </c>
      <c r="C932" s="80" t="s">
        <v>9680</v>
      </c>
      <c r="D932" s="80" t="s">
        <v>84</v>
      </c>
      <c r="E932" s="80" t="s">
        <v>84</v>
      </c>
      <c r="F932" s="80"/>
      <c r="G932" s="80" t="s">
        <v>84</v>
      </c>
      <c r="H932" s="80" t="s">
        <v>84</v>
      </c>
      <c r="I932" s="80" t="s">
        <v>84</v>
      </c>
      <c r="J932" s="80" t="s">
        <v>84</v>
      </c>
      <c r="K932" s="80" t="s">
        <v>84</v>
      </c>
      <c r="L932" s="80" t="s">
        <v>84</v>
      </c>
      <c r="M932" s="80" t="s">
        <v>84</v>
      </c>
      <c r="N932" s="80" t="s">
        <v>84</v>
      </c>
      <c r="O932" s="80" t="s">
        <v>84</v>
      </c>
      <c r="P932" s="80"/>
      <c r="Q932" s="80" t="s">
        <v>84</v>
      </c>
      <c r="R932" s="80" t="s">
        <v>84</v>
      </c>
    </row>
    <row r="933" spans="1:18" ht="20" x14ac:dyDescent="0.2">
      <c r="A933" s="80" t="s">
        <v>1663</v>
      </c>
      <c r="B933" s="80" t="s">
        <v>10050</v>
      </c>
      <c r="C933" s="80" t="s">
        <v>9680</v>
      </c>
      <c r="D933" s="80" t="s">
        <v>84</v>
      </c>
      <c r="E933" s="80" t="s">
        <v>84</v>
      </c>
      <c r="F933" s="80"/>
      <c r="G933" s="80" t="s">
        <v>84</v>
      </c>
      <c r="H933" s="80" t="s">
        <v>84</v>
      </c>
      <c r="I933" s="80" t="s">
        <v>84</v>
      </c>
      <c r="J933" s="80" t="s">
        <v>84</v>
      </c>
      <c r="K933" s="80" t="s">
        <v>84</v>
      </c>
      <c r="L933" s="80" t="s">
        <v>84</v>
      </c>
      <c r="M933" s="80" t="s">
        <v>84</v>
      </c>
      <c r="N933" s="80" t="s">
        <v>84</v>
      </c>
      <c r="O933" s="80" t="s">
        <v>84</v>
      </c>
      <c r="P933" s="80"/>
      <c r="Q933" s="80" t="s">
        <v>84</v>
      </c>
      <c r="R933" s="80" t="s">
        <v>84</v>
      </c>
    </row>
    <row r="934" spans="1:18" ht="20" x14ac:dyDescent="0.2">
      <c r="A934" s="80" t="s">
        <v>1663</v>
      </c>
      <c r="B934" s="80" t="s">
        <v>1664</v>
      </c>
      <c r="C934" s="80" t="s">
        <v>9680</v>
      </c>
      <c r="D934" s="80" t="s">
        <v>84</v>
      </c>
      <c r="E934" s="80" t="s">
        <v>84</v>
      </c>
      <c r="F934" s="80"/>
      <c r="G934" s="80" t="s">
        <v>84</v>
      </c>
      <c r="H934" s="80" t="s">
        <v>84</v>
      </c>
      <c r="I934" s="80" t="s">
        <v>84</v>
      </c>
      <c r="J934" s="80" t="s">
        <v>84</v>
      </c>
      <c r="K934" s="80" t="s">
        <v>84</v>
      </c>
      <c r="L934" s="80" t="s">
        <v>84</v>
      </c>
      <c r="M934" s="80" t="s">
        <v>84</v>
      </c>
      <c r="N934" s="80" t="s">
        <v>84</v>
      </c>
      <c r="O934" s="80" t="s">
        <v>84</v>
      </c>
      <c r="P934" s="80"/>
      <c r="Q934" s="80" t="s">
        <v>84</v>
      </c>
      <c r="R934" s="80" t="s">
        <v>84</v>
      </c>
    </row>
    <row r="935" spans="1:18" ht="20" x14ac:dyDescent="0.2">
      <c r="A935" s="80" t="s">
        <v>1605</v>
      </c>
      <c r="B935" s="80" t="s">
        <v>1606</v>
      </c>
      <c r="C935" s="80" t="s">
        <v>9680</v>
      </c>
      <c r="D935" s="80" t="s">
        <v>84</v>
      </c>
      <c r="E935" s="80" t="s">
        <v>84</v>
      </c>
      <c r="F935" s="80"/>
      <c r="G935" s="80" t="s">
        <v>84</v>
      </c>
      <c r="H935" s="80" t="s">
        <v>84</v>
      </c>
      <c r="I935" s="80" t="s">
        <v>84</v>
      </c>
      <c r="J935" s="80" t="s">
        <v>84</v>
      </c>
      <c r="K935" s="80" t="s">
        <v>84</v>
      </c>
      <c r="L935" s="80" t="s">
        <v>84</v>
      </c>
      <c r="M935" s="80" t="s">
        <v>84</v>
      </c>
      <c r="N935" s="80" t="s">
        <v>84</v>
      </c>
      <c r="O935" s="80" t="s">
        <v>84</v>
      </c>
      <c r="P935" s="80"/>
      <c r="Q935" s="80" t="s">
        <v>84</v>
      </c>
      <c r="R935" s="80" t="s">
        <v>84</v>
      </c>
    </row>
    <row r="936" spans="1:18" ht="20" x14ac:dyDescent="0.2">
      <c r="A936" s="80" t="s">
        <v>1607</v>
      </c>
      <c r="B936" s="80" t="s">
        <v>1608</v>
      </c>
      <c r="C936" s="80" t="s">
        <v>84</v>
      </c>
      <c r="D936" s="80" t="s">
        <v>84</v>
      </c>
      <c r="E936" s="80" t="s">
        <v>84</v>
      </c>
      <c r="F936" s="80"/>
      <c r="G936" s="80" t="s">
        <v>84</v>
      </c>
      <c r="H936" s="80" t="s">
        <v>84</v>
      </c>
      <c r="I936" s="80" t="s">
        <v>84</v>
      </c>
      <c r="J936" s="80" t="s">
        <v>84</v>
      </c>
      <c r="K936" s="80" t="s">
        <v>84</v>
      </c>
      <c r="L936" s="80" t="s">
        <v>84</v>
      </c>
      <c r="M936" s="80" t="s">
        <v>84</v>
      </c>
      <c r="N936" s="80" t="s">
        <v>84</v>
      </c>
      <c r="O936" s="80" t="s">
        <v>84</v>
      </c>
      <c r="P936" s="80"/>
      <c r="Q936" s="80" t="s">
        <v>84</v>
      </c>
      <c r="R936" s="80" t="s">
        <v>84</v>
      </c>
    </row>
    <row r="937" spans="1:18" ht="20" x14ac:dyDescent="0.2">
      <c r="A937" s="80" t="s">
        <v>1609</v>
      </c>
      <c r="B937" s="80" t="s">
        <v>1610</v>
      </c>
      <c r="C937" s="80" t="s">
        <v>9680</v>
      </c>
      <c r="D937" s="80" t="s">
        <v>84</v>
      </c>
      <c r="E937" s="80" t="s">
        <v>84</v>
      </c>
      <c r="F937" s="80"/>
      <c r="G937" s="80" t="s">
        <v>84</v>
      </c>
      <c r="H937" s="80" t="s">
        <v>84</v>
      </c>
      <c r="I937" s="80" t="s">
        <v>84</v>
      </c>
      <c r="J937" s="80" t="s">
        <v>84</v>
      </c>
      <c r="K937" s="80" t="s">
        <v>84</v>
      </c>
      <c r="L937" s="80" t="s">
        <v>84</v>
      </c>
      <c r="M937" s="80" t="s">
        <v>84</v>
      </c>
      <c r="N937" s="80" t="s">
        <v>84</v>
      </c>
      <c r="O937" s="80" t="s">
        <v>84</v>
      </c>
      <c r="P937" s="80"/>
      <c r="Q937" s="80" t="s">
        <v>84</v>
      </c>
      <c r="R937" s="80" t="s">
        <v>84</v>
      </c>
    </row>
    <row r="938" spans="1:18" ht="20" x14ac:dyDescent="0.2">
      <c r="A938" s="80" t="s">
        <v>1611</v>
      </c>
      <c r="B938" s="80" t="s">
        <v>1612</v>
      </c>
      <c r="C938" s="80" t="s">
        <v>84</v>
      </c>
      <c r="D938" s="80" t="s">
        <v>84</v>
      </c>
      <c r="E938" s="80" t="s">
        <v>84</v>
      </c>
      <c r="F938" s="80"/>
      <c r="G938" s="80" t="s">
        <v>84</v>
      </c>
      <c r="H938" s="80" t="s">
        <v>84</v>
      </c>
      <c r="I938" s="80" t="s">
        <v>84</v>
      </c>
      <c r="J938" s="80" t="s">
        <v>84</v>
      </c>
      <c r="K938" s="80" t="s">
        <v>84</v>
      </c>
      <c r="L938" s="80" t="s">
        <v>84</v>
      </c>
      <c r="M938" s="80" t="s">
        <v>84</v>
      </c>
      <c r="N938" s="80" t="s">
        <v>84</v>
      </c>
      <c r="O938" s="80" t="s">
        <v>84</v>
      </c>
      <c r="P938" s="80"/>
      <c r="Q938" s="80" t="s">
        <v>84</v>
      </c>
      <c r="R938" s="80" t="s">
        <v>84</v>
      </c>
    </row>
    <row r="939" spans="1:18" ht="20" x14ac:dyDescent="0.2">
      <c r="A939" s="80" t="s">
        <v>579</v>
      </c>
      <c r="B939" s="80" t="s">
        <v>580</v>
      </c>
      <c r="C939" s="80" t="s">
        <v>9680</v>
      </c>
      <c r="D939" s="80" t="s">
        <v>9680</v>
      </c>
      <c r="E939" s="80" t="s">
        <v>9680</v>
      </c>
      <c r="F939" s="80"/>
      <c r="G939" s="80" t="s">
        <v>9680</v>
      </c>
      <c r="H939" s="80" t="s">
        <v>9680</v>
      </c>
      <c r="I939" s="80" t="s">
        <v>9680</v>
      </c>
      <c r="J939" s="80" t="s">
        <v>84</v>
      </c>
      <c r="K939" s="80" t="s">
        <v>9680</v>
      </c>
      <c r="L939" s="80" t="s">
        <v>9680</v>
      </c>
      <c r="M939" s="80" t="s">
        <v>84</v>
      </c>
      <c r="N939" s="80" t="s">
        <v>9680</v>
      </c>
      <c r="O939" s="80" t="s">
        <v>84</v>
      </c>
      <c r="P939" s="80"/>
      <c r="Q939" s="80" t="s">
        <v>84</v>
      </c>
      <c r="R939" s="80" t="s">
        <v>84</v>
      </c>
    </row>
    <row r="940" spans="1:18" ht="20" x14ac:dyDescent="0.2">
      <c r="A940" s="80" t="s">
        <v>584</v>
      </c>
      <c r="B940" s="80" t="s">
        <v>585</v>
      </c>
      <c r="C940" s="80" t="s">
        <v>9680</v>
      </c>
      <c r="D940" s="80" t="s">
        <v>84</v>
      </c>
      <c r="E940" s="80" t="s">
        <v>84</v>
      </c>
      <c r="F940" s="80"/>
      <c r="G940" s="80" t="s">
        <v>84</v>
      </c>
      <c r="H940" s="80" t="s">
        <v>9680</v>
      </c>
      <c r="I940" s="80" t="s">
        <v>84</v>
      </c>
      <c r="J940" s="80" t="s">
        <v>84</v>
      </c>
      <c r="K940" s="80" t="s">
        <v>84</v>
      </c>
      <c r="L940" s="80" t="s">
        <v>84</v>
      </c>
      <c r="M940" s="80" t="s">
        <v>84</v>
      </c>
      <c r="N940" s="80" t="s">
        <v>84</v>
      </c>
      <c r="O940" s="80" t="s">
        <v>84</v>
      </c>
      <c r="P940" s="80"/>
      <c r="Q940" s="80" t="s">
        <v>84</v>
      </c>
      <c r="R940" s="80" t="s">
        <v>84</v>
      </c>
    </row>
    <row r="941" spans="1:18" ht="20" x14ac:dyDescent="0.2">
      <c r="A941" s="80" t="s">
        <v>586</v>
      </c>
      <c r="B941" s="80" t="s">
        <v>587</v>
      </c>
      <c r="C941" s="80" t="s">
        <v>9680</v>
      </c>
      <c r="D941" s="80" t="s">
        <v>84</v>
      </c>
      <c r="E941" s="80" t="s">
        <v>84</v>
      </c>
      <c r="F941" s="80"/>
      <c r="G941" s="80" t="s">
        <v>84</v>
      </c>
      <c r="H941" s="80" t="s">
        <v>9680</v>
      </c>
      <c r="I941" s="80" t="s">
        <v>84</v>
      </c>
      <c r="J941" s="80" t="s">
        <v>84</v>
      </c>
      <c r="K941" s="80" t="s">
        <v>84</v>
      </c>
      <c r="L941" s="80" t="s">
        <v>84</v>
      </c>
      <c r="M941" s="80" t="s">
        <v>84</v>
      </c>
      <c r="N941" s="80" t="s">
        <v>84</v>
      </c>
      <c r="O941" s="80" t="s">
        <v>84</v>
      </c>
      <c r="P941" s="80"/>
      <c r="Q941" s="80" t="s">
        <v>84</v>
      </c>
      <c r="R941" s="80" t="s">
        <v>84</v>
      </c>
    </row>
    <row r="942" spans="1:18" ht="20" x14ac:dyDescent="0.2">
      <c r="A942" s="80" t="s">
        <v>588</v>
      </c>
      <c r="B942" s="80" t="s">
        <v>589</v>
      </c>
      <c r="C942" s="80" t="s">
        <v>84</v>
      </c>
      <c r="D942" s="80" t="s">
        <v>84</v>
      </c>
      <c r="E942" s="80" t="s">
        <v>84</v>
      </c>
      <c r="F942" s="80"/>
      <c r="G942" s="80" t="s">
        <v>84</v>
      </c>
      <c r="H942" s="80" t="s">
        <v>84</v>
      </c>
      <c r="I942" s="80" t="s">
        <v>84</v>
      </c>
      <c r="J942" s="80" t="s">
        <v>84</v>
      </c>
      <c r="K942" s="80" t="s">
        <v>84</v>
      </c>
      <c r="L942" s="80" t="s">
        <v>84</v>
      </c>
      <c r="M942" s="80" t="s">
        <v>84</v>
      </c>
      <c r="N942" s="80" t="s">
        <v>84</v>
      </c>
      <c r="O942" s="80" t="s">
        <v>84</v>
      </c>
      <c r="P942" s="80"/>
      <c r="Q942" s="80" t="s">
        <v>84</v>
      </c>
      <c r="R942" s="80" t="s">
        <v>84</v>
      </c>
    </row>
    <row r="943" spans="1:18" ht="20" x14ac:dyDescent="0.2">
      <c r="A943" s="80" t="s">
        <v>590</v>
      </c>
      <c r="B943" s="80" t="s">
        <v>591</v>
      </c>
      <c r="C943" s="80" t="s">
        <v>84</v>
      </c>
      <c r="D943" s="80" t="s">
        <v>84</v>
      </c>
      <c r="E943" s="80" t="s">
        <v>84</v>
      </c>
      <c r="F943" s="80"/>
      <c r="G943" s="80" t="s">
        <v>84</v>
      </c>
      <c r="H943" s="80" t="s">
        <v>84</v>
      </c>
      <c r="I943" s="80" t="s">
        <v>84</v>
      </c>
      <c r="J943" s="80" t="s">
        <v>84</v>
      </c>
      <c r="K943" s="80" t="s">
        <v>84</v>
      </c>
      <c r="L943" s="80" t="s">
        <v>84</v>
      </c>
      <c r="M943" s="80" t="s">
        <v>84</v>
      </c>
      <c r="N943" s="80" t="s">
        <v>84</v>
      </c>
      <c r="O943" s="80" t="s">
        <v>84</v>
      </c>
      <c r="P943" s="80"/>
      <c r="Q943" s="80" t="s">
        <v>84</v>
      </c>
      <c r="R943" s="80" t="s">
        <v>84</v>
      </c>
    </row>
    <row r="944" spans="1:18" ht="20" x14ac:dyDescent="0.2">
      <c r="A944" s="80" t="s">
        <v>592</v>
      </c>
      <c r="B944" s="80" t="s">
        <v>593</v>
      </c>
      <c r="C944" s="80" t="s">
        <v>84</v>
      </c>
      <c r="D944" s="80" t="s">
        <v>84</v>
      </c>
      <c r="E944" s="80" t="s">
        <v>84</v>
      </c>
      <c r="F944" s="80"/>
      <c r="G944" s="80" t="s">
        <v>84</v>
      </c>
      <c r="H944" s="80" t="s">
        <v>84</v>
      </c>
      <c r="I944" s="80" t="s">
        <v>84</v>
      </c>
      <c r="J944" s="80" t="s">
        <v>84</v>
      </c>
      <c r="K944" s="80" t="s">
        <v>84</v>
      </c>
      <c r="L944" s="80" t="s">
        <v>84</v>
      </c>
      <c r="M944" s="80" t="s">
        <v>84</v>
      </c>
      <c r="N944" s="80" t="s">
        <v>84</v>
      </c>
      <c r="O944" s="80" t="s">
        <v>84</v>
      </c>
      <c r="P944" s="80"/>
      <c r="Q944" s="80" t="s">
        <v>84</v>
      </c>
      <c r="R944" s="80" t="s">
        <v>84</v>
      </c>
    </row>
    <row r="945" spans="1:18" ht="20" x14ac:dyDescent="0.2">
      <c r="A945" s="80" t="s">
        <v>594</v>
      </c>
      <c r="B945" s="80" t="s">
        <v>595</v>
      </c>
      <c r="C945" s="80" t="s">
        <v>84</v>
      </c>
      <c r="D945" s="80" t="s">
        <v>84</v>
      </c>
      <c r="E945" s="80" t="s">
        <v>84</v>
      </c>
      <c r="F945" s="80"/>
      <c r="G945" s="80" t="s">
        <v>84</v>
      </c>
      <c r="H945" s="80" t="s">
        <v>84</v>
      </c>
      <c r="I945" s="80" t="s">
        <v>84</v>
      </c>
      <c r="J945" s="80" t="s">
        <v>84</v>
      </c>
      <c r="K945" s="80" t="s">
        <v>84</v>
      </c>
      <c r="L945" s="80" t="s">
        <v>84</v>
      </c>
      <c r="M945" s="80" t="s">
        <v>84</v>
      </c>
      <c r="N945" s="80" t="s">
        <v>84</v>
      </c>
      <c r="O945" s="80" t="s">
        <v>84</v>
      </c>
      <c r="P945" s="80"/>
      <c r="Q945" s="80" t="s">
        <v>84</v>
      </c>
      <c r="R945" s="80" t="s">
        <v>84</v>
      </c>
    </row>
    <row r="946" spans="1:18" ht="20" x14ac:dyDescent="0.2">
      <c r="A946" s="80" t="s">
        <v>10051</v>
      </c>
      <c r="B946" s="80" t="s">
        <v>10052</v>
      </c>
      <c r="C946" s="80" t="s">
        <v>9680</v>
      </c>
      <c r="D946" s="80" t="s">
        <v>84</v>
      </c>
      <c r="E946" s="80" t="s">
        <v>84</v>
      </c>
      <c r="F946" s="80"/>
      <c r="G946" s="80" t="s">
        <v>84</v>
      </c>
      <c r="H946" s="80" t="s">
        <v>84</v>
      </c>
      <c r="I946" s="80" t="s">
        <v>84</v>
      </c>
      <c r="J946" s="80" t="s">
        <v>84</v>
      </c>
      <c r="K946" s="80" t="s">
        <v>84</v>
      </c>
      <c r="L946" s="80" t="s">
        <v>84</v>
      </c>
      <c r="M946" s="80" t="s">
        <v>84</v>
      </c>
      <c r="N946" s="80" t="s">
        <v>84</v>
      </c>
      <c r="O946" s="80" t="s">
        <v>84</v>
      </c>
      <c r="P946" s="80"/>
      <c r="Q946" s="80" t="s">
        <v>84</v>
      </c>
      <c r="R946" s="80" t="s">
        <v>84</v>
      </c>
    </row>
    <row r="947" spans="1:18" ht="20" x14ac:dyDescent="0.2">
      <c r="A947" s="80" t="s">
        <v>3711</v>
      </c>
      <c r="B947" s="80" t="s">
        <v>3712</v>
      </c>
      <c r="C947" s="80" t="s">
        <v>9680</v>
      </c>
      <c r="D947" s="80" t="s">
        <v>9680</v>
      </c>
      <c r="E947" s="80" t="s">
        <v>9680</v>
      </c>
      <c r="F947" s="80"/>
      <c r="G947" s="80" t="s">
        <v>9680</v>
      </c>
      <c r="H947" s="80" t="s">
        <v>9680</v>
      </c>
      <c r="I947" s="80" t="s">
        <v>9680</v>
      </c>
      <c r="J947" s="80" t="s">
        <v>9680</v>
      </c>
      <c r="K947" s="80" t="s">
        <v>9680</v>
      </c>
      <c r="L947" s="80" t="s">
        <v>9680</v>
      </c>
      <c r="M947" s="80" t="s">
        <v>9680</v>
      </c>
      <c r="N947" s="80" t="s">
        <v>9680</v>
      </c>
      <c r="O947" s="80" t="s">
        <v>9680</v>
      </c>
      <c r="P947" s="80"/>
      <c r="Q947" s="80" t="s">
        <v>9680</v>
      </c>
      <c r="R947" s="80" t="s">
        <v>9680</v>
      </c>
    </row>
    <row r="948" spans="1:18" ht="20" x14ac:dyDescent="0.2">
      <c r="A948" s="80" t="s">
        <v>3687</v>
      </c>
      <c r="B948" s="80" t="s">
        <v>3688</v>
      </c>
      <c r="C948" s="80" t="s">
        <v>84</v>
      </c>
      <c r="D948" s="80" t="s">
        <v>84</v>
      </c>
      <c r="E948" s="80" t="s">
        <v>84</v>
      </c>
      <c r="F948" s="80"/>
      <c r="G948" s="80" t="s">
        <v>84</v>
      </c>
      <c r="H948" s="80" t="s">
        <v>84</v>
      </c>
      <c r="I948" s="80" t="s">
        <v>84</v>
      </c>
      <c r="J948" s="80" t="s">
        <v>84</v>
      </c>
      <c r="K948" s="80" t="s">
        <v>84</v>
      </c>
      <c r="L948" s="80" t="s">
        <v>84</v>
      </c>
      <c r="M948" s="80" t="s">
        <v>84</v>
      </c>
      <c r="N948" s="80" t="s">
        <v>84</v>
      </c>
      <c r="O948" s="80" t="s">
        <v>84</v>
      </c>
      <c r="P948" s="80"/>
      <c r="Q948" s="80" t="s">
        <v>84</v>
      </c>
      <c r="R948" s="80" t="s">
        <v>84</v>
      </c>
    </row>
    <row r="949" spans="1:18" ht="20" x14ac:dyDescent="0.2">
      <c r="A949" s="80" t="s">
        <v>3687</v>
      </c>
      <c r="B949" s="80" t="s">
        <v>10053</v>
      </c>
      <c r="C949" s="80" t="s">
        <v>84</v>
      </c>
      <c r="D949" s="80" t="s">
        <v>84</v>
      </c>
      <c r="E949" s="80" t="s">
        <v>84</v>
      </c>
      <c r="F949" s="80"/>
      <c r="G949" s="80" t="s">
        <v>84</v>
      </c>
      <c r="H949" s="80" t="s">
        <v>84</v>
      </c>
      <c r="I949" s="80" t="s">
        <v>84</v>
      </c>
      <c r="J949" s="80" t="s">
        <v>84</v>
      </c>
      <c r="K949" s="80" t="s">
        <v>84</v>
      </c>
      <c r="L949" s="80" t="s">
        <v>84</v>
      </c>
      <c r="M949" s="80" t="s">
        <v>84</v>
      </c>
      <c r="N949" s="80" t="s">
        <v>84</v>
      </c>
      <c r="O949" s="80" t="s">
        <v>84</v>
      </c>
      <c r="P949" s="80"/>
      <c r="Q949" s="80" t="s">
        <v>84</v>
      </c>
      <c r="R949" s="80" t="s">
        <v>84</v>
      </c>
    </row>
    <row r="950" spans="1:18" ht="20" x14ac:dyDescent="0.2">
      <c r="A950" s="80" t="s">
        <v>3687</v>
      </c>
      <c r="B950" s="80" t="s">
        <v>3756</v>
      </c>
      <c r="C950" s="80" t="s">
        <v>84</v>
      </c>
      <c r="D950" s="80" t="s">
        <v>84</v>
      </c>
      <c r="E950" s="80" t="s">
        <v>84</v>
      </c>
      <c r="F950" s="80"/>
      <c r="G950" s="80" t="s">
        <v>84</v>
      </c>
      <c r="H950" s="80" t="s">
        <v>84</v>
      </c>
      <c r="I950" s="80" t="s">
        <v>84</v>
      </c>
      <c r="J950" s="80" t="s">
        <v>84</v>
      </c>
      <c r="K950" s="80" t="s">
        <v>84</v>
      </c>
      <c r="L950" s="80" t="s">
        <v>84</v>
      </c>
      <c r="M950" s="80" t="s">
        <v>84</v>
      </c>
      <c r="N950" s="80" t="s">
        <v>84</v>
      </c>
      <c r="O950" s="80" t="s">
        <v>84</v>
      </c>
      <c r="P950" s="80"/>
      <c r="Q950" s="80" t="s">
        <v>84</v>
      </c>
      <c r="R950" s="80" t="s">
        <v>84</v>
      </c>
    </row>
    <row r="951" spans="1:18" ht="20" x14ac:dyDescent="0.2">
      <c r="A951" s="80" t="s">
        <v>5193</v>
      </c>
      <c r="B951" s="80" t="s">
        <v>10054</v>
      </c>
      <c r="C951" s="80" t="s">
        <v>84</v>
      </c>
      <c r="D951" s="80" t="s">
        <v>84</v>
      </c>
      <c r="E951" s="80" t="s">
        <v>84</v>
      </c>
      <c r="F951" s="80"/>
      <c r="G951" s="80" t="s">
        <v>84</v>
      </c>
      <c r="H951" s="80" t="s">
        <v>84</v>
      </c>
      <c r="I951" s="80" t="s">
        <v>84</v>
      </c>
      <c r="J951" s="80" t="s">
        <v>84</v>
      </c>
      <c r="K951" s="80" t="s">
        <v>84</v>
      </c>
      <c r="L951" s="80" t="s">
        <v>84</v>
      </c>
      <c r="M951" s="80" t="s">
        <v>84</v>
      </c>
      <c r="N951" s="80" t="s">
        <v>84</v>
      </c>
      <c r="O951" s="80" t="s">
        <v>84</v>
      </c>
      <c r="P951" s="80"/>
      <c r="Q951" s="80" t="s">
        <v>84</v>
      </c>
      <c r="R951" s="80" t="s">
        <v>84</v>
      </c>
    </row>
    <row r="952" spans="1:18" ht="20" x14ac:dyDescent="0.2">
      <c r="A952" s="80" t="s">
        <v>5193</v>
      </c>
      <c r="B952" s="80" t="s">
        <v>5194</v>
      </c>
      <c r="C952" s="80" t="s">
        <v>84</v>
      </c>
      <c r="D952" s="80" t="s">
        <v>84</v>
      </c>
      <c r="E952" s="80" t="s">
        <v>84</v>
      </c>
      <c r="F952" s="80"/>
      <c r="G952" s="80" t="s">
        <v>84</v>
      </c>
      <c r="H952" s="80" t="s">
        <v>84</v>
      </c>
      <c r="I952" s="80" t="s">
        <v>84</v>
      </c>
      <c r="J952" s="80" t="s">
        <v>84</v>
      </c>
      <c r="K952" s="80" t="s">
        <v>84</v>
      </c>
      <c r="L952" s="80" t="s">
        <v>84</v>
      </c>
      <c r="M952" s="80" t="s">
        <v>84</v>
      </c>
      <c r="N952" s="80" t="s">
        <v>84</v>
      </c>
      <c r="O952" s="80" t="s">
        <v>84</v>
      </c>
      <c r="P952" s="80"/>
      <c r="Q952" s="80" t="s">
        <v>84</v>
      </c>
      <c r="R952" s="80" t="s">
        <v>84</v>
      </c>
    </row>
    <row r="953" spans="1:18" ht="20" x14ac:dyDescent="0.2">
      <c r="A953" s="80" t="s">
        <v>5195</v>
      </c>
      <c r="B953" s="80" t="s">
        <v>5196</v>
      </c>
      <c r="C953" s="80" t="s">
        <v>84</v>
      </c>
      <c r="D953" s="80" t="s">
        <v>84</v>
      </c>
      <c r="E953" s="80" t="s">
        <v>84</v>
      </c>
      <c r="F953" s="80"/>
      <c r="G953" s="80" t="s">
        <v>84</v>
      </c>
      <c r="H953" s="80" t="s">
        <v>84</v>
      </c>
      <c r="I953" s="80" t="s">
        <v>84</v>
      </c>
      <c r="J953" s="80" t="s">
        <v>84</v>
      </c>
      <c r="K953" s="80" t="s">
        <v>84</v>
      </c>
      <c r="L953" s="80" t="s">
        <v>84</v>
      </c>
      <c r="M953" s="80" t="s">
        <v>84</v>
      </c>
      <c r="N953" s="80" t="s">
        <v>84</v>
      </c>
      <c r="O953" s="80" t="s">
        <v>84</v>
      </c>
      <c r="P953" s="80"/>
      <c r="Q953" s="80" t="s">
        <v>84</v>
      </c>
      <c r="R953" s="80" t="s">
        <v>84</v>
      </c>
    </row>
    <row r="954" spans="1:18" ht="20" x14ac:dyDescent="0.2">
      <c r="A954" s="80" t="s">
        <v>4935</v>
      </c>
      <c r="B954" s="80" t="s">
        <v>4936</v>
      </c>
      <c r="C954" s="80" t="s">
        <v>84</v>
      </c>
      <c r="D954" s="80" t="s">
        <v>84</v>
      </c>
      <c r="E954" s="80" t="s">
        <v>84</v>
      </c>
      <c r="F954" s="80"/>
      <c r="G954" s="80" t="s">
        <v>84</v>
      </c>
      <c r="H954" s="80" t="s">
        <v>84</v>
      </c>
      <c r="I954" s="80" t="s">
        <v>84</v>
      </c>
      <c r="J954" s="80" t="s">
        <v>84</v>
      </c>
      <c r="K954" s="80" t="s">
        <v>84</v>
      </c>
      <c r="L954" s="80" t="s">
        <v>84</v>
      </c>
      <c r="M954" s="80" t="s">
        <v>84</v>
      </c>
      <c r="N954" s="80" t="s">
        <v>84</v>
      </c>
      <c r="O954" s="80" t="s">
        <v>84</v>
      </c>
      <c r="P954" s="80"/>
      <c r="Q954" s="80" t="s">
        <v>84</v>
      </c>
      <c r="R954" s="80" t="s">
        <v>84</v>
      </c>
    </row>
    <row r="955" spans="1:18" ht="20" x14ac:dyDescent="0.2">
      <c r="A955" s="80" t="s">
        <v>4935</v>
      </c>
      <c r="B955" s="80" t="s">
        <v>5197</v>
      </c>
      <c r="C955" s="80" t="s">
        <v>84</v>
      </c>
      <c r="D955" s="80" t="s">
        <v>84</v>
      </c>
      <c r="E955" s="80" t="s">
        <v>84</v>
      </c>
      <c r="F955" s="80"/>
      <c r="G955" s="80" t="s">
        <v>84</v>
      </c>
      <c r="H955" s="80" t="s">
        <v>84</v>
      </c>
      <c r="I955" s="80" t="s">
        <v>84</v>
      </c>
      <c r="J955" s="80" t="s">
        <v>84</v>
      </c>
      <c r="K955" s="80" t="s">
        <v>84</v>
      </c>
      <c r="L955" s="80" t="s">
        <v>84</v>
      </c>
      <c r="M955" s="80" t="s">
        <v>84</v>
      </c>
      <c r="N955" s="80" t="s">
        <v>84</v>
      </c>
      <c r="O955" s="80" t="s">
        <v>84</v>
      </c>
      <c r="P955" s="80"/>
      <c r="Q955" s="80" t="s">
        <v>84</v>
      </c>
      <c r="R955" s="80" t="s">
        <v>84</v>
      </c>
    </row>
    <row r="956" spans="1:18" ht="20" x14ac:dyDescent="0.2">
      <c r="A956" s="80" t="s">
        <v>5198</v>
      </c>
      <c r="B956" s="80" t="s">
        <v>5199</v>
      </c>
      <c r="C956" s="80" t="s">
        <v>9680</v>
      </c>
      <c r="D956" s="80" t="s">
        <v>84</v>
      </c>
      <c r="E956" s="80" t="s">
        <v>84</v>
      </c>
      <c r="F956" s="80"/>
      <c r="G956" s="80" t="s">
        <v>84</v>
      </c>
      <c r="H956" s="80" t="s">
        <v>84</v>
      </c>
      <c r="I956" s="80" t="s">
        <v>84</v>
      </c>
      <c r="J956" s="80" t="s">
        <v>84</v>
      </c>
      <c r="K956" s="80" t="s">
        <v>84</v>
      </c>
      <c r="L956" s="80" t="s">
        <v>84</v>
      </c>
      <c r="M956" s="80" t="s">
        <v>84</v>
      </c>
      <c r="N956" s="80" t="s">
        <v>84</v>
      </c>
      <c r="O956" s="80" t="s">
        <v>84</v>
      </c>
      <c r="P956" s="80"/>
      <c r="Q956" s="80" t="s">
        <v>84</v>
      </c>
      <c r="R956" s="80" t="s">
        <v>84</v>
      </c>
    </row>
    <row r="957" spans="1:18" ht="20" x14ac:dyDescent="0.2">
      <c r="A957" s="80" t="s">
        <v>5200</v>
      </c>
      <c r="B957" s="80" t="s">
        <v>5201</v>
      </c>
      <c r="C957" s="80" t="s">
        <v>84</v>
      </c>
      <c r="D957" s="80" t="s">
        <v>84</v>
      </c>
      <c r="E957" s="80" t="s">
        <v>84</v>
      </c>
      <c r="F957" s="80"/>
      <c r="G957" s="80" t="s">
        <v>84</v>
      </c>
      <c r="H957" s="80" t="s">
        <v>84</v>
      </c>
      <c r="I957" s="80" t="s">
        <v>84</v>
      </c>
      <c r="J957" s="80" t="s">
        <v>84</v>
      </c>
      <c r="K957" s="80" t="s">
        <v>84</v>
      </c>
      <c r="L957" s="80" t="s">
        <v>84</v>
      </c>
      <c r="M957" s="80" t="s">
        <v>84</v>
      </c>
      <c r="N957" s="80" t="s">
        <v>84</v>
      </c>
      <c r="O957" s="80" t="s">
        <v>84</v>
      </c>
      <c r="P957" s="80"/>
      <c r="Q957" s="80" t="s">
        <v>84</v>
      </c>
      <c r="R957" s="80" t="s">
        <v>84</v>
      </c>
    </row>
    <row r="958" spans="1:18" ht="20" x14ac:dyDescent="0.2">
      <c r="A958" s="80" t="s">
        <v>5202</v>
      </c>
      <c r="B958" s="80" t="s">
        <v>5203</v>
      </c>
      <c r="C958" s="80" t="s">
        <v>9680</v>
      </c>
      <c r="D958" s="80" t="s">
        <v>84</v>
      </c>
      <c r="E958" s="80" t="s">
        <v>84</v>
      </c>
      <c r="F958" s="80"/>
      <c r="G958" s="80" t="s">
        <v>84</v>
      </c>
      <c r="H958" s="80" t="s">
        <v>84</v>
      </c>
      <c r="I958" s="80" t="s">
        <v>84</v>
      </c>
      <c r="J958" s="80" t="s">
        <v>84</v>
      </c>
      <c r="K958" s="80" t="s">
        <v>84</v>
      </c>
      <c r="L958" s="80" t="s">
        <v>84</v>
      </c>
      <c r="M958" s="80" t="s">
        <v>84</v>
      </c>
      <c r="N958" s="80" t="s">
        <v>84</v>
      </c>
      <c r="O958" s="80" t="s">
        <v>84</v>
      </c>
      <c r="P958" s="80"/>
      <c r="Q958" s="80" t="s">
        <v>84</v>
      </c>
      <c r="R958" s="80" t="s">
        <v>84</v>
      </c>
    </row>
    <row r="959" spans="1:18" ht="20" x14ac:dyDescent="0.2">
      <c r="A959" s="80" t="s">
        <v>5204</v>
      </c>
      <c r="B959" s="80" t="s">
        <v>5205</v>
      </c>
      <c r="C959" s="80" t="s">
        <v>84</v>
      </c>
      <c r="D959" s="80" t="s">
        <v>84</v>
      </c>
      <c r="E959" s="80" t="s">
        <v>84</v>
      </c>
      <c r="F959" s="80"/>
      <c r="G959" s="80" t="s">
        <v>84</v>
      </c>
      <c r="H959" s="80" t="s">
        <v>84</v>
      </c>
      <c r="I959" s="80" t="s">
        <v>84</v>
      </c>
      <c r="J959" s="80" t="s">
        <v>84</v>
      </c>
      <c r="K959" s="80" t="s">
        <v>84</v>
      </c>
      <c r="L959" s="80" t="s">
        <v>84</v>
      </c>
      <c r="M959" s="80" t="s">
        <v>84</v>
      </c>
      <c r="N959" s="80" t="s">
        <v>84</v>
      </c>
      <c r="O959" s="80" t="s">
        <v>84</v>
      </c>
      <c r="P959" s="80"/>
      <c r="Q959" s="80" t="s">
        <v>84</v>
      </c>
      <c r="R959" s="80" t="s">
        <v>84</v>
      </c>
    </row>
    <row r="960" spans="1:18" ht="20" x14ac:dyDescent="0.2">
      <c r="A960" s="80" t="s">
        <v>4926</v>
      </c>
      <c r="B960" s="80" t="s">
        <v>4927</v>
      </c>
      <c r="C960" s="80" t="s">
        <v>9722</v>
      </c>
      <c r="D960" s="80" t="s">
        <v>84</v>
      </c>
      <c r="E960" s="80" t="s">
        <v>84</v>
      </c>
      <c r="F960" s="80"/>
      <c r="G960" s="80" t="s">
        <v>84</v>
      </c>
      <c r="H960" s="80" t="s">
        <v>84</v>
      </c>
      <c r="I960" s="80" t="s">
        <v>84</v>
      </c>
      <c r="J960" s="80" t="s">
        <v>84</v>
      </c>
      <c r="K960" s="80" t="s">
        <v>84</v>
      </c>
      <c r="L960" s="80" t="s">
        <v>84</v>
      </c>
      <c r="M960" s="80" t="s">
        <v>84</v>
      </c>
      <c r="N960" s="80" t="s">
        <v>84</v>
      </c>
      <c r="O960" s="80" t="s">
        <v>84</v>
      </c>
      <c r="P960" s="80"/>
      <c r="Q960" s="80" t="s">
        <v>84</v>
      </c>
      <c r="R960" s="80" t="s">
        <v>84</v>
      </c>
    </row>
    <row r="961" spans="1:18" ht="20" x14ac:dyDescent="0.2">
      <c r="A961" s="80" t="s">
        <v>4926</v>
      </c>
      <c r="B961" s="80" t="s">
        <v>5206</v>
      </c>
      <c r="C961" s="80" t="s">
        <v>9722</v>
      </c>
      <c r="D961" s="80" t="s">
        <v>84</v>
      </c>
      <c r="E961" s="80" t="s">
        <v>84</v>
      </c>
      <c r="F961" s="80"/>
      <c r="G961" s="80" t="s">
        <v>84</v>
      </c>
      <c r="H961" s="80" t="s">
        <v>84</v>
      </c>
      <c r="I961" s="80" t="s">
        <v>84</v>
      </c>
      <c r="J961" s="80" t="s">
        <v>84</v>
      </c>
      <c r="K961" s="80" t="s">
        <v>84</v>
      </c>
      <c r="L961" s="80" t="s">
        <v>84</v>
      </c>
      <c r="M961" s="80" t="s">
        <v>84</v>
      </c>
      <c r="N961" s="80" t="s">
        <v>84</v>
      </c>
      <c r="O961" s="80" t="s">
        <v>84</v>
      </c>
      <c r="P961" s="80"/>
      <c r="Q961" s="80" t="s">
        <v>84</v>
      </c>
      <c r="R961" s="80" t="s">
        <v>84</v>
      </c>
    </row>
    <row r="962" spans="1:18" ht="20" x14ac:dyDescent="0.2">
      <c r="A962" s="80" t="s">
        <v>4933</v>
      </c>
      <c r="B962" s="80" t="s">
        <v>4934</v>
      </c>
      <c r="C962" s="80" t="s">
        <v>84</v>
      </c>
      <c r="D962" s="80" t="s">
        <v>84</v>
      </c>
      <c r="E962" s="80" t="s">
        <v>84</v>
      </c>
      <c r="F962" s="80"/>
      <c r="G962" s="80" t="s">
        <v>84</v>
      </c>
      <c r="H962" s="80" t="s">
        <v>84</v>
      </c>
      <c r="I962" s="80" t="s">
        <v>84</v>
      </c>
      <c r="J962" s="80" t="s">
        <v>84</v>
      </c>
      <c r="K962" s="80" t="s">
        <v>84</v>
      </c>
      <c r="L962" s="80" t="s">
        <v>84</v>
      </c>
      <c r="M962" s="80" t="s">
        <v>84</v>
      </c>
      <c r="N962" s="80" t="s">
        <v>84</v>
      </c>
      <c r="O962" s="80" t="s">
        <v>84</v>
      </c>
      <c r="P962" s="80"/>
      <c r="Q962" s="80" t="s">
        <v>84</v>
      </c>
      <c r="R962" s="80" t="s">
        <v>84</v>
      </c>
    </row>
    <row r="963" spans="1:18" ht="20" x14ac:dyDescent="0.2">
      <c r="A963" s="80" t="s">
        <v>4933</v>
      </c>
      <c r="B963" s="80" t="s">
        <v>5207</v>
      </c>
      <c r="C963" s="80" t="s">
        <v>84</v>
      </c>
      <c r="D963" s="80" t="s">
        <v>84</v>
      </c>
      <c r="E963" s="80" t="s">
        <v>84</v>
      </c>
      <c r="F963" s="80"/>
      <c r="G963" s="80" t="s">
        <v>84</v>
      </c>
      <c r="H963" s="80" t="s">
        <v>84</v>
      </c>
      <c r="I963" s="80" t="s">
        <v>84</v>
      </c>
      <c r="J963" s="80" t="s">
        <v>84</v>
      </c>
      <c r="K963" s="80" t="s">
        <v>84</v>
      </c>
      <c r="L963" s="80" t="s">
        <v>84</v>
      </c>
      <c r="M963" s="80" t="s">
        <v>84</v>
      </c>
      <c r="N963" s="80" t="s">
        <v>84</v>
      </c>
      <c r="O963" s="80" t="s">
        <v>84</v>
      </c>
      <c r="P963" s="80"/>
      <c r="Q963" s="80" t="s">
        <v>84</v>
      </c>
      <c r="R963" s="80" t="s">
        <v>84</v>
      </c>
    </row>
    <row r="964" spans="1:18" ht="20" x14ac:dyDescent="0.2">
      <c r="A964" s="80" t="s">
        <v>5208</v>
      </c>
      <c r="B964" s="80" t="s">
        <v>5209</v>
      </c>
      <c r="C964" s="80" t="s">
        <v>9680</v>
      </c>
      <c r="D964" s="80" t="s">
        <v>84</v>
      </c>
      <c r="E964" s="80" t="s">
        <v>84</v>
      </c>
      <c r="F964" s="80"/>
      <c r="G964" s="80" t="s">
        <v>84</v>
      </c>
      <c r="H964" s="80" t="s">
        <v>84</v>
      </c>
      <c r="I964" s="80" t="s">
        <v>84</v>
      </c>
      <c r="J964" s="80" t="s">
        <v>84</v>
      </c>
      <c r="K964" s="80" t="s">
        <v>84</v>
      </c>
      <c r="L964" s="80" t="s">
        <v>84</v>
      </c>
      <c r="M964" s="80" t="s">
        <v>84</v>
      </c>
      <c r="N964" s="80" t="s">
        <v>84</v>
      </c>
      <c r="O964" s="80" t="s">
        <v>84</v>
      </c>
      <c r="P964" s="80"/>
      <c r="Q964" s="80" t="s">
        <v>84</v>
      </c>
      <c r="R964" s="80" t="s">
        <v>84</v>
      </c>
    </row>
    <row r="965" spans="1:18" ht="20" x14ac:dyDescent="0.2">
      <c r="A965" s="80" t="s">
        <v>5210</v>
      </c>
      <c r="B965" s="80" t="s">
        <v>5211</v>
      </c>
      <c r="C965" s="80" t="s">
        <v>84</v>
      </c>
      <c r="D965" s="80" t="s">
        <v>84</v>
      </c>
      <c r="E965" s="80" t="s">
        <v>84</v>
      </c>
      <c r="F965" s="80"/>
      <c r="G965" s="80" t="s">
        <v>84</v>
      </c>
      <c r="H965" s="80" t="s">
        <v>84</v>
      </c>
      <c r="I965" s="80" t="s">
        <v>84</v>
      </c>
      <c r="J965" s="80" t="s">
        <v>84</v>
      </c>
      <c r="K965" s="80" t="s">
        <v>84</v>
      </c>
      <c r="L965" s="80" t="s">
        <v>84</v>
      </c>
      <c r="M965" s="80" t="s">
        <v>84</v>
      </c>
      <c r="N965" s="80" t="s">
        <v>84</v>
      </c>
      <c r="O965" s="80" t="s">
        <v>84</v>
      </c>
      <c r="P965" s="80"/>
      <c r="Q965" s="80" t="s">
        <v>84</v>
      </c>
      <c r="R965" s="80" t="s">
        <v>84</v>
      </c>
    </row>
    <row r="966" spans="1:18" ht="20" x14ac:dyDescent="0.2">
      <c r="A966" s="80" t="s">
        <v>5210</v>
      </c>
      <c r="B966" s="80" t="s">
        <v>10055</v>
      </c>
      <c r="C966" s="80" t="s">
        <v>84</v>
      </c>
      <c r="D966" s="80" t="s">
        <v>84</v>
      </c>
      <c r="E966" s="80" t="s">
        <v>84</v>
      </c>
      <c r="F966" s="80"/>
      <c r="G966" s="80" t="s">
        <v>84</v>
      </c>
      <c r="H966" s="80" t="s">
        <v>84</v>
      </c>
      <c r="I966" s="80" t="s">
        <v>84</v>
      </c>
      <c r="J966" s="80" t="s">
        <v>84</v>
      </c>
      <c r="K966" s="80" t="s">
        <v>84</v>
      </c>
      <c r="L966" s="80" t="s">
        <v>84</v>
      </c>
      <c r="M966" s="80" t="s">
        <v>84</v>
      </c>
      <c r="N966" s="80" t="s">
        <v>84</v>
      </c>
      <c r="O966" s="80" t="s">
        <v>84</v>
      </c>
      <c r="P966" s="80"/>
      <c r="Q966" s="80" t="s">
        <v>84</v>
      </c>
      <c r="R966" s="80" t="s">
        <v>84</v>
      </c>
    </row>
    <row r="967" spans="1:18" ht="20" x14ac:dyDescent="0.2">
      <c r="A967" s="80" t="s">
        <v>10056</v>
      </c>
      <c r="B967" s="80" t="s">
        <v>10057</v>
      </c>
      <c r="C967" s="80" t="s">
        <v>9680</v>
      </c>
      <c r="D967" s="80" t="s">
        <v>84</v>
      </c>
      <c r="E967" s="80" t="s">
        <v>84</v>
      </c>
      <c r="F967" s="80"/>
      <c r="G967" s="80" t="s">
        <v>84</v>
      </c>
      <c r="H967" s="80" t="s">
        <v>84</v>
      </c>
      <c r="I967" s="80" t="s">
        <v>84</v>
      </c>
      <c r="J967" s="80" t="s">
        <v>84</v>
      </c>
      <c r="K967" s="80" t="s">
        <v>84</v>
      </c>
      <c r="L967" s="80" t="s">
        <v>84</v>
      </c>
      <c r="M967" s="80" t="s">
        <v>84</v>
      </c>
      <c r="N967" s="80" t="s">
        <v>84</v>
      </c>
      <c r="O967" s="80" t="s">
        <v>84</v>
      </c>
      <c r="P967" s="80"/>
      <c r="Q967" s="80" t="s">
        <v>84</v>
      </c>
      <c r="R967" s="80" t="s">
        <v>84</v>
      </c>
    </row>
    <row r="968" spans="1:18" ht="20" x14ac:dyDescent="0.2">
      <c r="A968" s="80" t="s">
        <v>6105</v>
      </c>
      <c r="B968" s="80" t="s">
        <v>6106</v>
      </c>
      <c r="C968" s="80" t="s">
        <v>9680</v>
      </c>
      <c r="D968" s="80" t="s">
        <v>9680</v>
      </c>
      <c r="E968" s="80" t="s">
        <v>9680</v>
      </c>
      <c r="F968" s="80"/>
      <c r="G968" s="80" t="s">
        <v>9680</v>
      </c>
      <c r="H968" s="80" t="s">
        <v>9680</v>
      </c>
      <c r="I968" s="80" t="s">
        <v>9680</v>
      </c>
      <c r="J968" s="80" t="s">
        <v>84</v>
      </c>
      <c r="K968" s="80" t="s">
        <v>9680</v>
      </c>
      <c r="L968" s="80" t="s">
        <v>9680</v>
      </c>
      <c r="M968" s="80" t="s">
        <v>9680</v>
      </c>
      <c r="N968" s="80" t="s">
        <v>9680</v>
      </c>
      <c r="O968" s="80" t="s">
        <v>84</v>
      </c>
      <c r="P968" s="80"/>
      <c r="Q968" s="80" t="s">
        <v>84</v>
      </c>
      <c r="R968" s="80" t="s">
        <v>84</v>
      </c>
    </row>
    <row r="969" spans="1:18" ht="20" x14ac:dyDescent="0.2">
      <c r="A969" s="80" t="s">
        <v>6006</v>
      </c>
      <c r="B969" s="80" t="s">
        <v>10058</v>
      </c>
      <c r="C969" s="80" t="s">
        <v>84</v>
      </c>
      <c r="D969" s="80" t="s">
        <v>84</v>
      </c>
      <c r="E969" s="80" t="s">
        <v>84</v>
      </c>
      <c r="F969" s="80"/>
      <c r="G969" s="80" t="s">
        <v>84</v>
      </c>
      <c r="H969" s="80" t="s">
        <v>84</v>
      </c>
      <c r="I969" s="80" t="s">
        <v>84</v>
      </c>
      <c r="J969" s="80" t="s">
        <v>84</v>
      </c>
      <c r="K969" s="80" t="s">
        <v>84</v>
      </c>
      <c r="L969" s="80" t="s">
        <v>84</v>
      </c>
      <c r="M969" s="80" t="s">
        <v>84</v>
      </c>
      <c r="N969" s="80" t="s">
        <v>84</v>
      </c>
      <c r="O969" s="80" t="s">
        <v>84</v>
      </c>
      <c r="P969" s="80"/>
      <c r="Q969" s="80" t="s">
        <v>84</v>
      </c>
      <c r="R969" s="80" t="s">
        <v>84</v>
      </c>
    </row>
    <row r="970" spans="1:18" ht="20" x14ac:dyDescent="0.2">
      <c r="A970" s="80" t="s">
        <v>6006</v>
      </c>
      <c r="B970" s="80" t="s">
        <v>10059</v>
      </c>
      <c r="C970" s="80" t="s">
        <v>84</v>
      </c>
      <c r="D970" s="80" t="s">
        <v>84</v>
      </c>
      <c r="E970" s="80" t="s">
        <v>84</v>
      </c>
      <c r="F970" s="80"/>
      <c r="G970" s="80" t="s">
        <v>84</v>
      </c>
      <c r="H970" s="80" t="s">
        <v>84</v>
      </c>
      <c r="I970" s="80" t="s">
        <v>84</v>
      </c>
      <c r="J970" s="80" t="s">
        <v>84</v>
      </c>
      <c r="K970" s="80" t="s">
        <v>84</v>
      </c>
      <c r="L970" s="80" t="s">
        <v>84</v>
      </c>
      <c r="M970" s="80" t="s">
        <v>84</v>
      </c>
      <c r="N970" s="80" t="s">
        <v>84</v>
      </c>
      <c r="O970" s="80" t="s">
        <v>84</v>
      </c>
      <c r="P970" s="80"/>
      <c r="Q970" s="80" t="s">
        <v>84</v>
      </c>
      <c r="R970" s="80" t="s">
        <v>84</v>
      </c>
    </row>
    <row r="971" spans="1:18" ht="20" x14ac:dyDescent="0.2">
      <c r="A971" s="80" t="s">
        <v>6006</v>
      </c>
      <c r="B971" s="80" t="s">
        <v>6007</v>
      </c>
      <c r="C971" s="80" t="s">
        <v>84</v>
      </c>
      <c r="D971" s="80" t="s">
        <v>84</v>
      </c>
      <c r="E971" s="80" t="s">
        <v>84</v>
      </c>
      <c r="F971" s="80"/>
      <c r="G971" s="80" t="s">
        <v>84</v>
      </c>
      <c r="H971" s="80" t="s">
        <v>84</v>
      </c>
      <c r="I971" s="80" t="s">
        <v>84</v>
      </c>
      <c r="J971" s="80" t="s">
        <v>84</v>
      </c>
      <c r="K971" s="80" t="s">
        <v>84</v>
      </c>
      <c r="L971" s="80" t="s">
        <v>84</v>
      </c>
      <c r="M971" s="80" t="s">
        <v>84</v>
      </c>
      <c r="N971" s="80" t="s">
        <v>84</v>
      </c>
      <c r="O971" s="80" t="s">
        <v>84</v>
      </c>
      <c r="P971" s="80"/>
      <c r="Q971" s="80" t="s">
        <v>84</v>
      </c>
      <c r="R971" s="80" t="s">
        <v>84</v>
      </c>
    </row>
    <row r="972" spans="1:18" ht="20" x14ac:dyDescent="0.2">
      <c r="A972" s="80" t="s">
        <v>6112</v>
      </c>
      <c r="B972" s="80" t="s">
        <v>10060</v>
      </c>
      <c r="C972" s="80" t="s">
        <v>84</v>
      </c>
      <c r="D972" s="80" t="s">
        <v>84</v>
      </c>
      <c r="E972" s="80" t="s">
        <v>84</v>
      </c>
      <c r="F972" s="80"/>
      <c r="G972" s="80" t="s">
        <v>84</v>
      </c>
      <c r="H972" s="80" t="s">
        <v>84</v>
      </c>
      <c r="I972" s="80" t="s">
        <v>84</v>
      </c>
      <c r="J972" s="80" t="s">
        <v>84</v>
      </c>
      <c r="K972" s="80" t="s">
        <v>84</v>
      </c>
      <c r="L972" s="80" t="s">
        <v>84</v>
      </c>
      <c r="M972" s="80" t="s">
        <v>84</v>
      </c>
      <c r="N972" s="80" t="s">
        <v>84</v>
      </c>
      <c r="O972" s="80" t="s">
        <v>84</v>
      </c>
      <c r="P972" s="80"/>
      <c r="Q972" s="80" t="s">
        <v>84</v>
      </c>
      <c r="R972" s="80" t="s">
        <v>84</v>
      </c>
    </row>
    <row r="973" spans="1:18" ht="20" x14ac:dyDescent="0.2">
      <c r="A973" s="80" t="s">
        <v>6112</v>
      </c>
      <c r="B973" s="80" t="s">
        <v>10061</v>
      </c>
      <c r="C973" s="80" t="s">
        <v>84</v>
      </c>
      <c r="D973" s="80" t="s">
        <v>84</v>
      </c>
      <c r="E973" s="80" t="s">
        <v>84</v>
      </c>
      <c r="F973" s="80"/>
      <c r="G973" s="80" t="s">
        <v>84</v>
      </c>
      <c r="H973" s="80" t="s">
        <v>84</v>
      </c>
      <c r="I973" s="80" t="s">
        <v>84</v>
      </c>
      <c r="J973" s="80" t="s">
        <v>84</v>
      </c>
      <c r="K973" s="80" t="s">
        <v>84</v>
      </c>
      <c r="L973" s="80" t="s">
        <v>84</v>
      </c>
      <c r="M973" s="80" t="s">
        <v>84</v>
      </c>
      <c r="N973" s="80" t="s">
        <v>84</v>
      </c>
      <c r="O973" s="80" t="s">
        <v>84</v>
      </c>
      <c r="P973" s="80"/>
      <c r="Q973" s="80" t="s">
        <v>84</v>
      </c>
      <c r="R973" s="80" t="s">
        <v>84</v>
      </c>
    </row>
    <row r="974" spans="1:18" ht="20" x14ac:dyDescent="0.2">
      <c r="A974" s="80" t="s">
        <v>6112</v>
      </c>
      <c r="B974" s="80" t="s">
        <v>6113</v>
      </c>
      <c r="C974" s="80" t="s">
        <v>84</v>
      </c>
      <c r="D974" s="80" t="s">
        <v>84</v>
      </c>
      <c r="E974" s="80" t="s">
        <v>84</v>
      </c>
      <c r="F974" s="80"/>
      <c r="G974" s="80" t="s">
        <v>84</v>
      </c>
      <c r="H974" s="80" t="s">
        <v>84</v>
      </c>
      <c r="I974" s="80" t="s">
        <v>84</v>
      </c>
      <c r="J974" s="80" t="s">
        <v>84</v>
      </c>
      <c r="K974" s="80" t="s">
        <v>84</v>
      </c>
      <c r="L974" s="80" t="s">
        <v>84</v>
      </c>
      <c r="M974" s="80" t="s">
        <v>84</v>
      </c>
      <c r="N974" s="80" t="s">
        <v>84</v>
      </c>
      <c r="O974" s="80" t="s">
        <v>84</v>
      </c>
      <c r="P974" s="80"/>
      <c r="Q974" s="80" t="s">
        <v>84</v>
      </c>
      <c r="R974" s="80" t="s">
        <v>84</v>
      </c>
    </row>
    <row r="975" spans="1:18" ht="20" x14ac:dyDescent="0.2">
      <c r="A975" s="80" t="s">
        <v>801</v>
      </c>
      <c r="B975" s="80" t="s">
        <v>10062</v>
      </c>
      <c r="C975" s="80" t="s">
        <v>9722</v>
      </c>
      <c r="D975" s="80" t="s">
        <v>84</v>
      </c>
      <c r="E975" s="80" t="s">
        <v>84</v>
      </c>
      <c r="F975" s="80"/>
      <c r="G975" s="80" t="s">
        <v>84</v>
      </c>
      <c r="H975" s="80" t="s">
        <v>84</v>
      </c>
      <c r="I975" s="80" t="s">
        <v>84</v>
      </c>
      <c r="J975" s="80" t="s">
        <v>84</v>
      </c>
      <c r="K975" s="80" t="s">
        <v>84</v>
      </c>
      <c r="L975" s="80" t="s">
        <v>84</v>
      </c>
      <c r="M975" s="80" t="s">
        <v>84</v>
      </c>
      <c r="N975" s="80" t="s">
        <v>84</v>
      </c>
      <c r="O975" s="80" t="s">
        <v>84</v>
      </c>
      <c r="P975" s="80"/>
      <c r="Q975" s="80" t="s">
        <v>84</v>
      </c>
      <c r="R975" s="80" t="s">
        <v>84</v>
      </c>
    </row>
    <row r="976" spans="1:18" ht="20" x14ac:dyDescent="0.2">
      <c r="A976" s="80" t="s">
        <v>801</v>
      </c>
      <c r="B976" s="80" t="s">
        <v>802</v>
      </c>
      <c r="C976" s="80" t="s">
        <v>9722</v>
      </c>
      <c r="D976" s="80" t="s">
        <v>84</v>
      </c>
      <c r="E976" s="80" t="s">
        <v>84</v>
      </c>
      <c r="F976" s="80"/>
      <c r="G976" s="80" t="s">
        <v>84</v>
      </c>
      <c r="H976" s="80" t="s">
        <v>84</v>
      </c>
      <c r="I976" s="80" t="s">
        <v>84</v>
      </c>
      <c r="J976" s="80" t="s">
        <v>84</v>
      </c>
      <c r="K976" s="80" t="s">
        <v>84</v>
      </c>
      <c r="L976" s="80" t="s">
        <v>84</v>
      </c>
      <c r="M976" s="80" t="s">
        <v>84</v>
      </c>
      <c r="N976" s="80" t="s">
        <v>84</v>
      </c>
      <c r="O976" s="80" t="s">
        <v>84</v>
      </c>
      <c r="P976" s="80"/>
      <c r="Q976" s="80" t="s">
        <v>84</v>
      </c>
      <c r="R976" s="80" t="s">
        <v>84</v>
      </c>
    </row>
    <row r="977" spans="1:18" ht="20" x14ac:dyDescent="0.2">
      <c r="A977" s="80" t="s">
        <v>6114</v>
      </c>
      <c r="B977" s="80" t="s">
        <v>6115</v>
      </c>
      <c r="C977" s="80" t="s">
        <v>9680</v>
      </c>
      <c r="D977" s="80" t="s">
        <v>84</v>
      </c>
      <c r="E977" s="80" t="s">
        <v>84</v>
      </c>
      <c r="F977" s="80"/>
      <c r="G977" s="80" t="s">
        <v>84</v>
      </c>
      <c r="H977" s="80" t="s">
        <v>9680</v>
      </c>
      <c r="I977" s="80" t="s">
        <v>84</v>
      </c>
      <c r="J977" s="80" t="s">
        <v>84</v>
      </c>
      <c r="K977" s="80" t="s">
        <v>84</v>
      </c>
      <c r="L977" s="80" t="s">
        <v>84</v>
      </c>
      <c r="M977" s="80" t="s">
        <v>84</v>
      </c>
      <c r="N977" s="80" t="s">
        <v>84</v>
      </c>
      <c r="O977" s="80" t="s">
        <v>84</v>
      </c>
      <c r="P977" s="80"/>
      <c r="Q977" s="80" t="s">
        <v>84</v>
      </c>
      <c r="R977" s="80" t="s">
        <v>84</v>
      </c>
    </row>
    <row r="978" spans="1:18" ht="20" x14ac:dyDescent="0.2">
      <c r="A978" s="80" t="s">
        <v>6116</v>
      </c>
      <c r="B978" s="80" t="s">
        <v>6117</v>
      </c>
      <c r="C978" s="80" t="s">
        <v>9680</v>
      </c>
      <c r="D978" s="80" t="s">
        <v>84</v>
      </c>
      <c r="E978" s="80" t="s">
        <v>84</v>
      </c>
      <c r="F978" s="80"/>
      <c r="G978" s="80" t="s">
        <v>84</v>
      </c>
      <c r="H978" s="80" t="s">
        <v>9680</v>
      </c>
      <c r="I978" s="80" t="s">
        <v>84</v>
      </c>
      <c r="J978" s="80" t="s">
        <v>84</v>
      </c>
      <c r="K978" s="80" t="s">
        <v>84</v>
      </c>
      <c r="L978" s="80" t="s">
        <v>84</v>
      </c>
      <c r="M978" s="80" t="s">
        <v>84</v>
      </c>
      <c r="N978" s="80" t="s">
        <v>84</v>
      </c>
      <c r="O978" s="80" t="s">
        <v>84</v>
      </c>
      <c r="P978" s="80"/>
      <c r="Q978" s="80" t="s">
        <v>84</v>
      </c>
      <c r="R978" s="80" t="s">
        <v>84</v>
      </c>
    </row>
    <row r="979" spans="1:18" ht="20" x14ac:dyDescent="0.2">
      <c r="A979" s="80" t="s">
        <v>6118</v>
      </c>
      <c r="B979" s="80" t="s">
        <v>6119</v>
      </c>
      <c r="C979" s="80" t="s">
        <v>9680</v>
      </c>
      <c r="D979" s="80" t="s">
        <v>84</v>
      </c>
      <c r="E979" s="80" t="s">
        <v>84</v>
      </c>
      <c r="F979" s="80"/>
      <c r="G979" s="80" t="s">
        <v>9680</v>
      </c>
      <c r="H979" s="80" t="s">
        <v>9680</v>
      </c>
      <c r="I979" s="80" t="s">
        <v>84</v>
      </c>
      <c r="J979" s="80" t="s">
        <v>84</v>
      </c>
      <c r="K979" s="80" t="s">
        <v>84</v>
      </c>
      <c r="L979" s="80" t="s">
        <v>84</v>
      </c>
      <c r="M979" s="80" t="s">
        <v>84</v>
      </c>
      <c r="N979" s="80" t="s">
        <v>84</v>
      </c>
      <c r="O979" s="80" t="s">
        <v>84</v>
      </c>
      <c r="P979" s="80"/>
      <c r="Q979" s="80" t="s">
        <v>84</v>
      </c>
      <c r="R979" s="80" t="s">
        <v>84</v>
      </c>
    </row>
    <row r="980" spans="1:18" ht="20" x14ac:dyDescent="0.2">
      <c r="A980" s="80" t="s">
        <v>6120</v>
      </c>
      <c r="B980" s="80" t="s">
        <v>6121</v>
      </c>
      <c r="C980" s="80" t="s">
        <v>84</v>
      </c>
      <c r="D980" s="80" t="s">
        <v>84</v>
      </c>
      <c r="E980" s="80" t="s">
        <v>84</v>
      </c>
      <c r="F980" s="80"/>
      <c r="G980" s="80" t="s">
        <v>84</v>
      </c>
      <c r="H980" s="80" t="s">
        <v>84</v>
      </c>
      <c r="I980" s="80" t="s">
        <v>84</v>
      </c>
      <c r="J980" s="80" t="s">
        <v>84</v>
      </c>
      <c r="K980" s="80" t="s">
        <v>84</v>
      </c>
      <c r="L980" s="80" t="s">
        <v>84</v>
      </c>
      <c r="M980" s="80" t="s">
        <v>84</v>
      </c>
      <c r="N980" s="80" t="s">
        <v>84</v>
      </c>
      <c r="O980" s="80" t="s">
        <v>84</v>
      </c>
      <c r="P980" s="80"/>
      <c r="Q980" s="80" t="s">
        <v>84</v>
      </c>
      <c r="R980" s="80" t="s">
        <v>84</v>
      </c>
    </row>
    <row r="981" spans="1:18" ht="20" x14ac:dyDescent="0.2">
      <c r="A981" s="80" t="s">
        <v>6122</v>
      </c>
      <c r="B981" s="80" t="s">
        <v>6123</v>
      </c>
      <c r="C981" s="80" t="s">
        <v>84</v>
      </c>
      <c r="D981" s="80" t="s">
        <v>84</v>
      </c>
      <c r="E981" s="80" t="s">
        <v>84</v>
      </c>
      <c r="F981" s="80"/>
      <c r="G981" s="80" t="s">
        <v>84</v>
      </c>
      <c r="H981" s="80" t="s">
        <v>84</v>
      </c>
      <c r="I981" s="80" t="s">
        <v>84</v>
      </c>
      <c r="J981" s="80" t="s">
        <v>84</v>
      </c>
      <c r="K981" s="80" t="s">
        <v>84</v>
      </c>
      <c r="L981" s="80" t="s">
        <v>84</v>
      </c>
      <c r="M981" s="80" t="s">
        <v>84</v>
      </c>
      <c r="N981" s="80" t="s">
        <v>84</v>
      </c>
      <c r="O981" s="80" t="s">
        <v>84</v>
      </c>
      <c r="P981" s="80"/>
      <c r="Q981" s="80" t="s">
        <v>84</v>
      </c>
      <c r="R981" s="80" t="s">
        <v>84</v>
      </c>
    </row>
    <row r="982" spans="1:18" ht="20" x14ac:dyDescent="0.2">
      <c r="A982" s="80" t="s">
        <v>6124</v>
      </c>
      <c r="B982" s="80" t="s">
        <v>6125</v>
      </c>
      <c r="C982" s="80" t="s">
        <v>9680</v>
      </c>
      <c r="D982" s="80" t="s">
        <v>84</v>
      </c>
      <c r="E982" s="80" t="s">
        <v>84</v>
      </c>
      <c r="F982" s="80"/>
      <c r="G982" s="80" t="s">
        <v>84</v>
      </c>
      <c r="H982" s="80" t="s">
        <v>84</v>
      </c>
      <c r="I982" s="80" t="s">
        <v>84</v>
      </c>
      <c r="J982" s="80" t="s">
        <v>84</v>
      </c>
      <c r="K982" s="80" t="s">
        <v>84</v>
      </c>
      <c r="L982" s="80" t="s">
        <v>84</v>
      </c>
      <c r="M982" s="80" t="s">
        <v>84</v>
      </c>
      <c r="N982" s="80" t="s">
        <v>84</v>
      </c>
      <c r="O982" s="80" t="s">
        <v>84</v>
      </c>
      <c r="P982" s="80"/>
      <c r="Q982" s="80" t="s">
        <v>84</v>
      </c>
      <c r="R982" s="80" t="s">
        <v>84</v>
      </c>
    </row>
    <row r="983" spans="1:18" ht="20" x14ac:dyDescent="0.2">
      <c r="A983" s="80" t="s">
        <v>6126</v>
      </c>
      <c r="B983" s="80" t="s">
        <v>6127</v>
      </c>
      <c r="C983" s="80" t="s">
        <v>9680</v>
      </c>
      <c r="D983" s="80" t="s">
        <v>84</v>
      </c>
      <c r="E983" s="80" t="s">
        <v>84</v>
      </c>
      <c r="F983" s="80"/>
      <c r="G983" s="80" t="s">
        <v>84</v>
      </c>
      <c r="H983" s="80" t="s">
        <v>84</v>
      </c>
      <c r="I983" s="80" t="s">
        <v>84</v>
      </c>
      <c r="J983" s="80" t="s">
        <v>84</v>
      </c>
      <c r="K983" s="80" t="s">
        <v>84</v>
      </c>
      <c r="L983" s="80" t="s">
        <v>84</v>
      </c>
      <c r="M983" s="80" t="s">
        <v>84</v>
      </c>
      <c r="N983" s="80" t="s">
        <v>84</v>
      </c>
      <c r="O983" s="80" t="s">
        <v>84</v>
      </c>
      <c r="P983" s="80"/>
      <c r="Q983" s="80" t="s">
        <v>84</v>
      </c>
      <c r="R983" s="80" t="s">
        <v>84</v>
      </c>
    </row>
    <row r="984" spans="1:18" ht="20" x14ac:dyDescent="0.2">
      <c r="A984" s="80" t="s">
        <v>6128</v>
      </c>
      <c r="B984" s="80" t="s">
        <v>6129</v>
      </c>
      <c r="C984" s="80" t="s">
        <v>9680</v>
      </c>
      <c r="D984" s="80" t="s">
        <v>84</v>
      </c>
      <c r="E984" s="80" t="s">
        <v>84</v>
      </c>
      <c r="F984" s="80"/>
      <c r="G984" s="80" t="s">
        <v>84</v>
      </c>
      <c r="H984" s="80" t="s">
        <v>84</v>
      </c>
      <c r="I984" s="80" t="s">
        <v>84</v>
      </c>
      <c r="J984" s="80" t="s">
        <v>84</v>
      </c>
      <c r="K984" s="80" t="s">
        <v>84</v>
      </c>
      <c r="L984" s="80" t="s">
        <v>84</v>
      </c>
      <c r="M984" s="80" t="s">
        <v>84</v>
      </c>
      <c r="N984" s="80" t="s">
        <v>84</v>
      </c>
      <c r="O984" s="80" t="s">
        <v>84</v>
      </c>
      <c r="P984" s="80"/>
      <c r="Q984" s="80" t="s">
        <v>84</v>
      </c>
      <c r="R984" s="80" t="s">
        <v>84</v>
      </c>
    </row>
    <row r="985" spans="1:18" ht="20" x14ac:dyDescent="0.2">
      <c r="A985" s="80" t="s">
        <v>6130</v>
      </c>
      <c r="B985" s="80" t="s">
        <v>6131</v>
      </c>
      <c r="C985" s="80" t="s">
        <v>84</v>
      </c>
      <c r="D985" s="80" t="s">
        <v>84</v>
      </c>
      <c r="E985" s="80" t="s">
        <v>84</v>
      </c>
      <c r="F985" s="80"/>
      <c r="G985" s="80" t="s">
        <v>84</v>
      </c>
      <c r="H985" s="80" t="s">
        <v>84</v>
      </c>
      <c r="I985" s="80" t="s">
        <v>84</v>
      </c>
      <c r="J985" s="80" t="s">
        <v>84</v>
      </c>
      <c r="K985" s="80" t="s">
        <v>84</v>
      </c>
      <c r="L985" s="80" t="s">
        <v>84</v>
      </c>
      <c r="M985" s="80" t="s">
        <v>84</v>
      </c>
      <c r="N985" s="80" t="s">
        <v>84</v>
      </c>
      <c r="O985" s="80" t="s">
        <v>84</v>
      </c>
      <c r="P985" s="80"/>
      <c r="Q985" s="80" t="s">
        <v>84</v>
      </c>
      <c r="R985" s="80" t="s">
        <v>84</v>
      </c>
    </row>
    <row r="986" spans="1:18" ht="20" x14ac:dyDescent="0.2">
      <c r="A986" s="80" t="s">
        <v>6132</v>
      </c>
      <c r="B986" s="80" t="s">
        <v>6133</v>
      </c>
      <c r="C986" s="80" t="s">
        <v>84</v>
      </c>
      <c r="D986" s="80" t="s">
        <v>84</v>
      </c>
      <c r="E986" s="80" t="s">
        <v>84</v>
      </c>
      <c r="F986" s="80"/>
      <c r="G986" s="80" t="s">
        <v>84</v>
      </c>
      <c r="H986" s="80" t="s">
        <v>84</v>
      </c>
      <c r="I986" s="80" t="s">
        <v>84</v>
      </c>
      <c r="J986" s="80" t="s">
        <v>84</v>
      </c>
      <c r="K986" s="80" t="s">
        <v>84</v>
      </c>
      <c r="L986" s="80" t="s">
        <v>84</v>
      </c>
      <c r="M986" s="80" t="s">
        <v>84</v>
      </c>
      <c r="N986" s="80" t="s">
        <v>84</v>
      </c>
      <c r="O986" s="80" t="s">
        <v>84</v>
      </c>
      <c r="P986" s="80"/>
      <c r="Q986" s="80" t="s">
        <v>84</v>
      </c>
      <c r="R986" s="80" t="s">
        <v>84</v>
      </c>
    </row>
    <row r="987" spans="1:18" ht="20" x14ac:dyDescent="0.2">
      <c r="A987" s="80" t="s">
        <v>6012</v>
      </c>
      <c r="B987" s="80" t="s">
        <v>6013</v>
      </c>
      <c r="C987" s="80" t="s">
        <v>84</v>
      </c>
      <c r="D987" s="80" t="s">
        <v>84</v>
      </c>
      <c r="E987" s="80" t="s">
        <v>84</v>
      </c>
      <c r="F987" s="80"/>
      <c r="G987" s="80" t="s">
        <v>84</v>
      </c>
      <c r="H987" s="80" t="s">
        <v>84</v>
      </c>
      <c r="I987" s="80" t="s">
        <v>84</v>
      </c>
      <c r="J987" s="80" t="s">
        <v>84</v>
      </c>
      <c r="K987" s="80" t="s">
        <v>84</v>
      </c>
      <c r="L987" s="80" t="s">
        <v>84</v>
      </c>
      <c r="M987" s="80" t="s">
        <v>84</v>
      </c>
      <c r="N987" s="80" t="s">
        <v>84</v>
      </c>
      <c r="O987" s="80" t="s">
        <v>84</v>
      </c>
      <c r="P987" s="80"/>
      <c r="Q987" s="80" t="s">
        <v>84</v>
      </c>
      <c r="R987" s="80" t="s">
        <v>84</v>
      </c>
    </row>
    <row r="988" spans="1:18" ht="20" x14ac:dyDescent="0.2">
      <c r="A988" s="80" t="s">
        <v>5509</v>
      </c>
      <c r="B988" s="80" t="s">
        <v>5510</v>
      </c>
      <c r="C988" s="80" t="s">
        <v>9722</v>
      </c>
      <c r="D988" s="80" t="s">
        <v>9722</v>
      </c>
      <c r="E988" s="80" t="s">
        <v>9722</v>
      </c>
      <c r="F988" s="80"/>
      <c r="G988" s="80" t="s">
        <v>9722</v>
      </c>
      <c r="H988" s="80" t="s">
        <v>9722</v>
      </c>
      <c r="I988" s="80" t="s">
        <v>9722</v>
      </c>
      <c r="J988" s="80" t="s">
        <v>84</v>
      </c>
      <c r="K988" s="80" t="s">
        <v>9722</v>
      </c>
      <c r="L988" s="80" t="s">
        <v>9722</v>
      </c>
      <c r="M988" s="80" t="s">
        <v>9722</v>
      </c>
      <c r="N988" s="80" t="s">
        <v>9722</v>
      </c>
      <c r="O988" s="80" t="s">
        <v>9722</v>
      </c>
      <c r="P988" s="80"/>
      <c r="Q988" s="80" t="s">
        <v>84</v>
      </c>
      <c r="R988" s="80" t="s">
        <v>9722</v>
      </c>
    </row>
    <row r="989" spans="1:18" ht="20" x14ac:dyDescent="0.2">
      <c r="A989" s="80" t="s">
        <v>5514</v>
      </c>
      <c r="B989" s="80" t="s">
        <v>10063</v>
      </c>
      <c r="C989" s="80" t="s">
        <v>9722</v>
      </c>
      <c r="D989" s="80" t="s">
        <v>84</v>
      </c>
      <c r="E989" s="80" t="s">
        <v>84</v>
      </c>
      <c r="F989" s="80"/>
      <c r="G989" s="80" t="s">
        <v>84</v>
      </c>
      <c r="H989" s="80" t="s">
        <v>84</v>
      </c>
      <c r="I989" s="80" t="s">
        <v>84</v>
      </c>
      <c r="J989" s="80" t="s">
        <v>84</v>
      </c>
      <c r="K989" s="80" t="s">
        <v>84</v>
      </c>
      <c r="L989" s="80" t="s">
        <v>84</v>
      </c>
      <c r="M989" s="80" t="s">
        <v>84</v>
      </c>
      <c r="N989" s="80" t="s">
        <v>84</v>
      </c>
      <c r="O989" s="80" t="s">
        <v>84</v>
      </c>
      <c r="P989" s="80"/>
      <c r="Q989" s="80" t="s">
        <v>84</v>
      </c>
      <c r="R989" s="80" t="s">
        <v>84</v>
      </c>
    </row>
    <row r="990" spans="1:18" ht="20" x14ac:dyDescent="0.2">
      <c r="A990" s="80" t="s">
        <v>5514</v>
      </c>
      <c r="B990" s="80" t="s">
        <v>5515</v>
      </c>
      <c r="C990" s="80" t="s">
        <v>9722</v>
      </c>
      <c r="D990" s="80" t="s">
        <v>84</v>
      </c>
      <c r="E990" s="80" t="s">
        <v>84</v>
      </c>
      <c r="F990" s="80"/>
      <c r="G990" s="80" t="s">
        <v>84</v>
      </c>
      <c r="H990" s="80" t="s">
        <v>84</v>
      </c>
      <c r="I990" s="80" t="s">
        <v>84</v>
      </c>
      <c r="J990" s="80" t="s">
        <v>84</v>
      </c>
      <c r="K990" s="80" t="s">
        <v>84</v>
      </c>
      <c r="L990" s="80" t="s">
        <v>84</v>
      </c>
      <c r="M990" s="80" t="s">
        <v>84</v>
      </c>
      <c r="N990" s="80" t="s">
        <v>84</v>
      </c>
      <c r="O990" s="80" t="s">
        <v>84</v>
      </c>
      <c r="P990" s="80"/>
      <c r="Q990" s="80" t="s">
        <v>84</v>
      </c>
      <c r="R990" s="80" t="s">
        <v>84</v>
      </c>
    </row>
    <row r="991" spans="1:18" ht="20" x14ac:dyDescent="0.2">
      <c r="A991" s="80" t="s">
        <v>5526</v>
      </c>
      <c r="B991" s="80" t="s">
        <v>10064</v>
      </c>
      <c r="C991" s="80" t="s">
        <v>9722</v>
      </c>
      <c r="D991" s="80" t="s">
        <v>9722</v>
      </c>
      <c r="E991" s="80" t="s">
        <v>9722</v>
      </c>
      <c r="F991" s="80"/>
      <c r="G991" s="80" t="s">
        <v>9722</v>
      </c>
      <c r="H991" s="80" t="s">
        <v>9722</v>
      </c>
      <c r="I991" s="80" t="s">
        <v>9722</v>
      </c>
      <c r="J991" s="80" t="s">
        <v>9722</v>
      </c>
      <c r="K991" s="80" t="s">
        <v>9722</v>
      </c>
      <c r="L991" s="80" t="s">
        <v>9722</v>
      </c>
      <c r="M991" s="80" t="s">
        <v>9722</v>
      </c>
      <c r="N991" s="80" t="s">
        <v>9722</v>
      </c>
      <c r="O991" s="80" t="s">
        <v>9722</v>
      </c>
      <c r="P991" s="80"/>
      <c r="Q991" s="80" t="s">
        <v>9722</v>
      </c>
      <c r="R991" s="80" t="s">
        <v>9722</v>
      </c>
    </row>
    <row r="992" spans="1:18" ht="20" x14ac:dyDescent="0.2">
      <c r="A992" s="80" t="s">
        <v>5526</v>
      </c>
      <c r="B992" s="80" t="s">
        <v>5527</v>
      </c>
      <c r="C992" s="80" t="s">
        <v>9722</v>
      </c>
      <c r="D992" s="80" t="s">
        <v>9722</v>
      </c>
      <c r="E992" s="80" t="s">
        <v>9722</v>
      </c>
      <c r="F992" s="80"/>
      <c r="G992" s="80" t="s">
        <v>9722</v>
      </c>
      <c r="H992" s="80" t="s">
        <v>9722</v>
      </c>
      <c r="I992" s="80" t="s">
        <v>9722</v>
      </c>
      <c r="J992" s="80" t="s">
        <v>9722</v>
      </c>
      <c r="K992" s="80" t="s">
        <v>9722</v>
      </c>
      <c r="L992" s="80" t="s">
        <v>9722</v>
      </c>
      <c r="M992" s="80" t="s">
        <v>9722</v>
      </c>
      <c r="N992" s="80" t="s">
        <v>9722</v>
      </c>
      <c r="O992" s="80" t="s">
        <v>9722</v>
      </c>
      <c r="P992" s="80"/>
      <c r="Q992" s="80" t="s">
        <v>9722</v>
      </c>
      <c r="R992" s="80" t="s">
        <v>9722</v>
      </c>
    </row>
    <row r="993" spans="1:18" ht="20" x14ac:dyDescent="0.2">
      <c r="A993" s="80" t="s">
        <v>5516</v>
      </c>
      <c r="B993" s="80" t="s">
        <v>5517</v>
      </c>
      <c r="C993" s="80" t="s">
        <v>9722</v>
      </c>
      <c r="D993" s="80" t="s">
        <v>84</v>
      </c>
      <c r="E993" s="80" t="s">
        <v>9722</v>
      </c>
      <c r="F993" s="80"/>
      <c r="G993" s="80" t="s">
        <v>9722</v>
      </c>
      <c r="H993" s="80" t="s">
        <v>9722</v>
      </c>
      <c r="I993" s="80" t="s">
        <v>9722</v>
      </c>
      <c r="J993" s="80" t="s">
        <v>84</v>
      </c>
      <c r="K993" s="80" t="s">
        <v>84</v>
      </c>
      <c r="L993" s="80" t="s">
        <v>9722</v>
      </c>
      <c r="M993" s="80" t="s">
        <v>9722</v>
      </c>
      <c r="N993" s="80" t="s">
        <v>9722</v>
      </c>
      <c r="O993" s="80" t="s">
        <v>9722</v>
      </c>
      <c r="P993" s="80"/>
      <c r="Q993" s="80" t="s">
        <v>84</v>
      </c>
      <c r="R993" s="80" t="s">
        <v>9722</v>
      </c>
    </row>
    <row r="994" spans="1:18" ht="20" x14ac:dyDescent="0.2">
      <c r="A994" s="80" t="s">
        <v>5520</v>
      </c>
      <c r="B994" s="80" t="s">
        <v>5521</v>
      </c>
      <c r="C994" s="80" t="s">
        <v>9722</v>
      </c>
      <c r="D994" s="80" t="s">
        <v>84</v>
      </c>
      <c r="E994" s="80" t="s">
        <v>84</v>
      </c>
      <c r="F994" s="80"/>
      <c r="G994" s="80" t="s">
        <v>84</v>
      </c>
      <c r="H994" s="80" t="s">
        <v>84</v>
      </c>
      <c r="I994" s="80" t="s">
        <v>84</v>
      </c>
      <c r="J994" s="80" t="s">
        <v>84</v>
      </c>
      <c r="K994" s="80" t="s">
        <v>84</v>
      </c>
      <c r="L994" s="80" t="s">
        <v>84</v>
      </c>
      <c r="M994" s="80" t="s">
        <v>84</v>
      </c>
      <c r="N994" s="80" t="s">
        <v>84</v>
      </c>
      <c r="O994" s="80" t="s">
        <v>84</v>
      </c>
      <c r="P994" s="80"/>
      <c r="Q994" s="80" t="s">
        <v>84</v>
      </c>
      <c r="R994" s="80" t="s">
        <v>84</v>
      </c>
    </row>
    <row r="995" spans="1:18" ht="20" x14ac:dyDescent="0.2">
      <c r="A995" s="80" t="s">
        <v>5522</v>
      </c>
      <c r="B995" s="80" t="s">
        <v>5523</v>
      </c>
      <c r="C995" s="80" t="s">
        <v>9722</v>
      </c>
      <c r="D995" s="80" t="s">
        <v>84</v>
      </c>
      <c r="E995" s="80" t="s">
        <v>84</v>
      </c>
      <c r="F995" s="80"/>
      <c r="G995" s="80" t="s">
        <v>84</v>
      </c>
      <c r="H995" s="80" t="s">
        <v>84</v>
      </c>
      <c r="I995" s="80" t="s">
        <v>84</v>
      </c>
      <c r="J995" s="80" t="s">
        <v>84</v>
      </c>
      <c r="K995" s="80" t="s">
        <v>84</v>
      </c>
      <c r="L995" s="80" t="s">
        <v>84</v>
      </c>
      <c r="M995" s="80" t="s">
        <v>84</v>
      </c>
      <c r="N995" s="80" t="s">
        <v>84</v>
      </c>
      <c r="O995" s="80" t="s">
        <v>84</v>
      </c>
      <c r="P995" s="80"/>
      <c r="Q995" s="80" t="s">
        <v>84</v>
      </c>
      <c r="R995" s="80" t="s">
        <v>84</v>
      </c>
    </row>
    <row r="996" spans="1:18" ht="20" x14ac:dyDescent="0.2">
      <c r="A996" s="80" t="s">
        <v>5524</v>
      </c>
      <c r="B996" s="80" t="s">
        <v>5525</v>
      </c>
      <c r="C996" s="80" t="s">
        <v>9722</v>
      </c>
      <c r="D996" s="80" t="s">
        <v>84</v>
      </c>
      <c r="E996" s="80" t="s">
        <v>84</v>
      </c>
      <c r="F996" s="80"/>
      <c r="G996" s="80" t="s">
        <v>84</v>
      </c>
      <c r="H996" s="80" t="s">
        <v>84</v>
      </c>
      <c r="I996" s="80" t="s">
        <v>84</v>
      </c>
      <c r="J996" s="80" t="s">
        <v>84</v>
      </c>
      <c r="K996" s="80" t="s">
        <v>84</v>
      </c>
      <c r="L996" s="80" t="s">
        <v>84</v>
      </c>
      <c r="M996" s="80" t="s">
        <v>84</v>
      </c>
      <c r="N996" s="80" t="s">
        <v>84</v>
      </c>
      <c r="O996" s="80" t="s">
        <v>84</v>
      </c>
      <c r="P996" s="80"/>
      <c r="Q996" s="80" t="s">
        <v>84</v>
      </c>
      <c r="R996" s="80" t="s">
        <v>84</v>
      </c>
    </row>
    <row r="997" spans="1:18" ht="20" x14ac:dyDescent="0.2">
      <c r="A997" s="80" t="s">
        <v>5528</v>
      </c>
      <c r="B997" s="80" t="s">
        <v>5529</v>
      </c>
      <c r="C997" s="80" t="s">
        <v>9722</v>
      </c>
      <c r="D997" s="80" t="s">
        <v>84</v>
      </c>
      <c r="E997" s="80" t="s">
        <v>84</v>
      </c>
      <c r="F997" s="80"/>
      <c r="G997" s="80" t="s">
        <v>84</v>
      </c>
      <c r="H997" s="80" t="s">
        <v>84</v>
      </c>
      <c r="I997" s="80" t="s">
        <v>84</v>
      </c>
      <c r="J997" s="80" t="s">
        <v>84</v>
      </c>
      <c r="K997" s="80" t="s">
        <v>84</v>
      </c>
      <c r="L997" s="80" t="s">
        <v>84</v>
      </c>
      <c r="M997" s="80" t="s">
        <v>84</v>
      </c>
      <c r="N997" s="80" t="s">
        <v>84</v>
      </c>
      <c r="O997" s="80" t="s">
        <v>84</v>
      </c>
      <c r="P997" s="80"/>
      <c r="Q997" s="80" t="s">
        <v>84</v>
      </c>
      <c r="R997" s="80" t="s">
        <v>84</v>
      </c>
    </row>
    <row r="998" spans="1:18" ht="20" x14ac:dyDescent="0.2">
      <c r="A998" s="80" t="s">
        <v>5530</v>
      </c>
      <c r="B998" s="80" t="s">
        <v>5531</v>
      </c>
      <c r="C998" s="80" t="s">
        <v>9722</v>
      </c>
      <c r="D998" s="80" t="s">
        <v>84</v>
      </c>
      <c r="E998" s="80" t="s">
        <v>84</v>
      </c>
      <c r="F998" s="80"/>
      <c r="G998" s="80" t="s">
        <v>84</v>
      </c>
      <c r="H998" s="80" t="s">
        <v>9722</v>
      </c>
      <c r="I998" s="80" t="s">
        <v>84</v>
      </c>
      <c r="J998" s="80" t="s">
        <v>84</v>
      </c>
      <c r="K998" s="80" t="s">
        <v>84</v>
      </c>
      <c r="L998" s="80" t="s">
        <v>84</v>
      </c>
      <c r="M998" s="80" t="s">
        <v>84</v>
      </c>
      <c r="N998" s="80" t="s">
        <v>84</v>
      </c>
      <c r="O998" s="80" t="s">
        <v>84</v>
      </c>
      <c r="P998" s="80"/>
      <c r="Q998" s="80" t="s">
        <v>84</v>
      </c>
      <c r="R998" s="80" t="s">
        <v>84</v>
      </c>
    </row>
    <row r="999" spans="1:18" ht="20" x14ac:dyDescent="0.2">
      <c r="A999" s="80" t="s">
        <v>5532</v>
      </c>
      <c r="B999" s="80" t="s">
        <v>5533</v>
      </c>
      <c r="C999" s="80" t="s">
        <v>9722</v>
      </c>
      <c r="D999" s="80" t="s">
        <v>84</v>
      </c>
      <c r="E999" s="80" t="s">
        <v>84</v>
      </c>
      <c r="F999" s="80"/>
      <c r="G999" s="80" t="s">
        <v>84</v>
      </c>
      <c r="H999" s="80" t="s">
        <v>9722</v>
      </c>
      <c r="I999" s="80" t="s">
        <v>84</v>
      </c>
      <c r="J999" s="80" t="s">
        <v>84</v>
      </c>
      <c r="K999" s="80" t="s">
        <v>84</v>
      </c>
      <c r="L999" s="80" t="s">
        <v>84</v>
      </c>
      <c r="M999" s="80" t="s">
        <v>9722</v>
      </c>
      <c r="N999" s="80" t="s">
        <v>84</v>
      </c>
      <c r="O999" s="80" t="s">
        <v>84</v>
      </c>
      <c r="P999" s="80"/>
      <c r="Q999" s="80" t="s">
        <v>84</v>
      </c>
      <c r="R999" s="80" t="s">
        <v>84</v>
      </c>
    </row>
    <row r="1000" spans="1:18" ht="20" x14ac:dyDescent="0.2">
      <c r="A1000" s="80" t="s">
        <v>5534</v>
      </c>
      <c r="B1000" s="80" t="s">
        <v>5535</v>
      </c>
      <c r="C1000" s="80" t="s">
        <v>9722</v>
      </c>
      <c r="D1000" s="80" t="s">
        <v>84</v>
      </c>
      <c r="E1000" s="80" t="s">
        <v>84</v>
      </c>
      <c r="F1000" s="80"/>
      <c r="G1000" s="80" t="s">
        <v>84</v>
      </c>
      <c r="H1000" s="80" t="s">
        <v>9722</v>
      </c>
      <c r="I1000" s="80" t="s">
        <v>84</v>
      </c>
      <c r="J1000" s="80" t="s">
        <v>84</v>
      </c>
      <c r="K1000" s="80" t="s">
        <v>84</v>
      </c>
      <c r="L1000" s="80" t="s">
        <v>84</v>
      </c>
      <c r="M1000" s="80" t="s">
        <v>84</v>
      </c>
      <c r="N1000" s="80" t="s">
        <v>84</v>
      </c>
      <c r="O1000" s="80" t="s">
        <v>84</v>
      </c>
      <c r="P1000" s="80"/>
      <c r="Q1000" s="80" t="s">
        <v>84</v>
      </c>
      <c r="R1000" s="80" t="s">
        <v>84</v>
      </c>
    </row>
    <row r="1001" spans="1:18" ht="20" x14ac:dyDescent="0.2">
      <c r="A1001" s="80" t="s">
        <v>5536</v>
      </c>
      <c r="B1001" s="80" t="s">
        <v>5537</v>
      </c>
      <c r="C1001" s="80" t="s">
        <v>9722</v>
      </c>
      <c r="D1001" s="80" t="s">
        <v>84</v>
      </c>
      <c r="E1001" s="80" t="s">
        <v>84</v>
      </c>
      <c r="F1001" s="80"/>
      <c r="G1001" s="80" t="s">
        <v>84</v>
      </c>
      <c r="H1001" s="80" t="s">
        <v>84</v>
      </c>
      <c r="I1001" s="80" t="s">
        <v>84</v>
      </c>
      <c r="J1001" s="80" t="s">
        <v>84</v>
      </c>
      <c r="K1001" s="80" t="s">
        <v>84</v>
      </c>
      <c r="L1001" s="80" t="s">
        <v>84</v>
      </c>
      <c r="M1001" s="80" t="s">
        <v>84</v>
      </c>
      <c r="N1001" s="80" t="s">
        <v>84</v>
      </c>
      <c r="O1001" s="80" t="s">
        <v>84</v>
      </c>
      <c r="P1001" s="80"/>
      <c r="Q1001" s="80" t="s">
        <v>84</v>
      </c>
      <c r="R1001" s="80" t="s">
        <v>84</v>
      </c>
    </row>
    <row r="1002" spans="1:18" ht="20" x14ac:dyDescent="0.2">
      <c r="A1002" s="80" t="s">
        <v>5287</v>
      </c>
      <c r="B1002" s="80" t="s">
        <v>5288</v>
      </c>
      <c r="C1002" s="80" t="s">
        <v>9722</v>
      </c>
      <c r="D1002" s="80" t="s">
        <v>84</v>
      </c>
      <c r="E1002" s="80" t="s">
        <v>84</v>
      </c>
      <c r="F1002" s="80"/>
      <c r="G1002" s="80" t="s">
        <v>84</v>
      </c>
      <c r="H1002" s="80" t="s">
        <v>84</v>
      </c>
      <c r="I1002" s="80" t="s">
        <v>84</v>
      </c>
      <c r="J1002" s="80" t="s">
        <v>84</v>
      </c>
      <c r="K1002" s="80" t="s">
        <v>84</v>
      </c>
      <c r="L1002" s="80" t="s">
        <v>84</v>
      </c>
      <c r="M1002" s="80" t="s">
        <v>84</v>
      </c>
      <c r="N1002" s="80" t="s">
        <v>84</v>
      </c>
      <c r="O1002" s="80" t="s">
        <v>84</v>
      </c>
      <c r="P1002" s="80"/>
      <c r="Q1002" s="80" t="s">
        <v>84</v>
      </c>
      <c r="R1002" s="80" t="s">
        <v>84</v>
      </c>
    </row>
    <row r="1003" spans="1:18" ht="20" x14ac:dyDescent="0.2">
      <c r="A1003" s="80" t="s">
        <v>5287</v>
      </c>
      <c r="B1003" s="80" t="s">
        <v>5538</v>
      </c>
      <c r="C1003" s="80" t="s">
        <v>9722</v>
      </c>
      <c r="D1003" s="80" t="s">
        <v>84</v>
      </c>
      <c r="E1003" s="80" t="s">
        <v>84</v>
      </c>
      <c r="F1003" s="80"/>
      <c r="G1003" s="80" t="s">
        <v>84</v>
      </c>
      <c r="H1003" s="80" t="s">
        <v>84</v>
      </c>
      <c r="I1003" s="80" t="s">
        <v>84</v>
      </c>
      <c r="J1003" s="80" t="s">
        <v>84</v>
      </c>
      <c r="K1003" s="80" t="s">
        <v>84</v>
      </c>
      <c r="L1003" s="80" t="s">
        <v>84</v>
      </c>
      <c r="M1003" s="80" t="s">
        <v>84</v>
      </c>
      <c r="N1003" s="80" t="s">
        <v>84</v>
      </c>
      <c r="O1003" s="80" t="s">
        <v>84</v>
      </c>
      <c r="P1003" s="80"/>
      <c r="Q1003" s="80" t="s">
        <v>84</v>
      </c>
      <c r="R1003" s="80" t="s">
        <v>84</v>
      </c>
    </row>
    <row r="1004" spans="1:18" ht="20" x14ac:dyDescent="0.2">
      <c r="A1004" s="80" t="s">
        <v>5541</v>
      </c>
      <c r="B1004" s="80" t="s">
        <v>5542</v>
      </c>
      <c r="C1004" s="80" t="s">
        <v>9722</v>
      </c>
      <c r="D1004" s="80" t="s">
        <v>84</v>
      </c>
      <c r="E1004" s="80" t="s">
        <v>84</v>
      </c>
      <c r="F1004" s="80"/>
      <c r="G1004" s="80" t="s">
        <v>84</v>
      </c>
      <c r="H1004" s="80" t="s">
        <v>84</v>
      </c>
      <c r="I1004" s="80" t="s">
        <v>84</v>
      </c>
      <c r="J1004" s="80" t="s">
        <v>84</v>
      </c>
      <c r="K1004" s="80" t="s">
        <v>84</v>
      </c>
      <c r="L1004" s="80" t="s">
        <v>84</v>
      </c>
      <c r="M1004" s="80" t="s">
        <v>84</v>
      </c>
      <c r="N1004" s="80" t="s">
        <v>84</v>
      </c>
      <c r="O1004" s="80" t="s">
        <v>84</v>
      </c>
      <c r="P1004" s="80"/>
      <c r="Q1004" s="80" t="s">
        <v>84</v>
      </c>
      <c r="R1004" s="80" t="s">
        <v>84</v>
      </c>
    </row>
    <row r="1005" spans="1:18" ht="20" x14ac:dyDescent="0.2">
      <c r="A1005" s="80" t="s">
        <v>5543</v>
      </c>
      <c r="B1005" s="80" t="s">
        <v>5544</v>
      </c>
      <c r="C1005" s="80" t="s">
        <v>9722</v>
      </c>
      <c r="D1005" s="80" t="s">
        <v>84</v>
      </c>
      <c r="E1005" s="80" t="s">
        <v>84</v>
      </c>
      <c r="F1005" s="80"/>
      <c r="G1005" s="80" t="s">
        <v>84</v>
      </c>
      <c r="H1005" s="80" t="s">
        <v>84</v>
      </c>
      <c r="I1005" s="80" t="s">
        <v>84</v>
      </c>
      <c r="J1005" s="80" t="s">
        <v>84</v>
      </c>
      <c r="K1005" s="80" t="s">
        <v>84</v>
      </c>
      <c r="L1005" s="80" t="s">
        <v>84</v>
      </c>
      <c r="M1005" s="80" t="s">
        <v>84</v>
      </c>
      <c r="N1005" s="80" t="s">
        <v>84</v>
      </c>
      <c r="O1005" s="80" t="s">
        <v>84</v>
      </c>
      <c r="P1005" s="80"/>
      <c r="Q1005" s="80" t="s">
        <v>84</v>
      </c>
      <c r="R1005" s="80" t="s">
        <v>84</v>
      </c>
    </row>
    <row r="1006" spans="1:18" ht="20" x14ac:dyDescent="0.2">
      <c r="A1006" s="80" t="s">
        <v>5539</v>
      </c>
      <c r="B1006" s="80" t="s">
        <v>5540</v>
      </c>
      <c r="C1006" s="80" t="s">
        <v>9722</v>
      </c>
      <c r="D1006" s="80" t="s">
        <v>84</v>
      </c>
      <c r="E1006" s="80" t="s">
        <v>84</v>
      </c>
      <c r="F1006" s="80"/>
      <c r="G1006" s="80" t="s">
        <v>84</v>
      </c>
      <c r="H1006" s="80" t="s">
        <v>84</v>
      </c>
      <c r="I1006" s="80" t="s">
        <v>84</v>
      </c>
      <c r="J1006" s="80" t="s">
        <v>84</v>
      </c>
      <c r="K1006" s="80" t="s">
        <v>84</v>
      </c>
      <c r="L1006" s="80" t="s">
        <v>84</v>
      </c>
      <c r="M1006" s="80" t="s">
        <v>84</v>
      </c>
      <c r="N1006" s="80" t="s">
        <v>84</v>
      </c>
      <c r="O1006" s="80" t="s">
        <v>84</v>
      </c>
      <c r="P1006" s="80"/>
      <c r="Q1006" s="80" t="s">
        <v>84</v>
      </c>
      <c r="R1006" s="80" t="s">
        <v>84</v>
      </c>
    </row>
    <row r="1007" spans="1:18" ht="20" x14ac:dyDescent="0.2">
      <c r="A1007" s="80" t="s">
        <v>5344</v>
      </c>
      <c r="B1007" s="80" t="s">
        <v>10065</v>
      </c>
      <c r="C1007" s="80" t="s">
        <v>9722</v>
      </c>
      <c r="D1007" s="80" t="s">
        <v>9722</v>
      </c>
      <c r="E1007" s="80" t="s">
        <v>84</v>
      </c>
      <c r="F1007" s="80"/>
      <c r="G1007" s="80" t="s">
        <v>9722</v>
      </c>
      <c r="H1007" s="80" t="s">
        <v>84</v>
      </c>
      <c r="I1007" s="80" t="s">
        <v>9722</v>
      </c>
      <c r="J1007" s="80" t="s">
        <v>9722</v>
      </c>
      <c r="K1007" s="80" t="s">
        <v>9722</v>
      </c>
      <c r="L1007" s="80" t="s">
        <v>9722</v>
      </c>
      <c r="M1007" s="80" t="s">
        <v>9722</v>
      </c>
      <c r="N1007" s="80" t="s">
        <v>84</v>
      </c>
      <c r="O1007" s="80" t="s">
        <v>9722</v>
      </c>
      <c r="P1007" s="80"/>
      <c r="Q1007" s="80" t="s">
        <v>9722</v>
      </c>
      <c r="R1007" s="80" t="s">
        <v>9722</v>
      </c>
    </row>
    <row r="1008" spans="1:18" ht="20" x14ac:dyDescent="0.2">
      <c r="A1008" s="80" t="s">
        <v>5344</v>
      </c>
      <c r="B1008" s="80" t="s">
        <v>5345</v>
      </c>
      <c r="C1008" s="80" t="s">
        <v>9722</v>
      </c>
      <c r="D1008" s="80" t="s">
        <v>9722</v>
      </c>
      <c r="E1008" s="80" t="s">
        <v>84</v>
      </c>
      <c r="F1008" s="80"/>
      <c r="G1008" s="80" t="s">
        <v>9722</v>
      </c>
      <c r="H1008" s="80" t="s">
        <v>84</v>
      </c>
      <c r="I1008" s="80" t="s">
        <v>9722</v>
      </c>
      <c r="J1008" s="80" t="s">
        <v>9722</v>
      </c>
      <c r="K1008" s="80" t="s">
        <v>9722</v>
      </c>
      <c r="L1008" s="80" t="s">
        <v>9722</v>
      </c>
      <c r="M1008" s="80" t="s">
        <v>9722</v>
      </c>
      <c r="N1008" s="80" t="s">
        <v>84</v>
      </c>
      <c r="O1008" s="80" t="s">
        <v>9722</v>
      </c>
      <c r="P1008" s="80"/>
      <c r="Q1008" s="80" t="s">
        <v>9722</v>
      </c>
      <c r="R1008" s="80" t="s">
        <v>9722</v>
      </c>
    </row>
    <row r="1009" spans="1:18" ht="20" x14ac:dyDescent="0.2">
      <c r="A1009" s="80" t="s">
        <v>5346</v>
      </c>
      <c r="B1009" s="80" t="s">
        <v>5347</v>
      </c>
      <c r="C1009" s="80" t="s">
        <v>9722</v>
      </c>
      <c r="D1009" s="80" t="s">
        <v>9722</v>
      </c>
      <c r="E1009" s="80" t="s">
        <v>9722</v>
      </c>
      <c r="F1009" s="80"/>
      <c r="G1009" s="80" t="s">
        <v>9722</v>
      </c>
      <c r="H1009" s="80" t="s">
        <v>9722</v>
      </c>
      <c r="I1009" s="80" t="s">
        <v>9722</v>
      </c>
      <c r="J1009" s="80" t="s">
        <v>9722</v>
      </c>
      <c r="K1009" s="80" t="s">
        <v>9722</v>
      </c>
      <c r="L1009" s="80" t="s">
        <v>9722</v>
      </c>
      <c r="M1009" s="80" t="s">
        <v>9722</v>
      </c>
      <c r="N1009" s="80" t="s">
        <v>9722</v>
      </c>
      <c r="O1009" s="80" t="s">
        <v>9722</v>
      </c>
      <c r="P1009" s="80"/>
      <c r="Q1009" s="80" t="s">
        <v>9722</v>
      </c>
      <c r="R1009" s="80" t="s">
        <v>9722</v>
      </c>
    </row>
    <row r="1010" spans="1:18" ht="20" x14ac:dyDescent="0.2">
      <c r="A1010" s="80" t="s">
        <v>5348</v>
      </c>
      <c r="B1010" s="80" t="s">
        <v>10066</v>
      </c>
      <c r="C1010" s="80" t="s">
        <v>9722</v>
      </c>
      <c r="D1010" s="80" t="s">
        <v>9722</v>
      </c>
      <c r="E1010" s="80" t="s">
        <v>9722</v>
      </c>
      <c r="F1010" s="80"/>
      <c r="G1010" s="80" t="s">
        <v>9722</v>
      </c>
      <c r="H1010" s="80" t="s">
        <v>9722</v>
      </c>
      <c r="I1010" s="80" t="s">
        <v>9722</v>
      </c>
      <c r="J1010" s="80" t="s">
        <v>9722</v>
      </c>
      <c r="K1010" s="80" t="s">
        <v>9722</v>
      </c>
      <c r="L1010" s="80" t="s">
        <v>9722</v>
      </c>
      <c r="M1010" s="80" t="s">
        <v>9722</v>
      </c>
      <c r="N1010" s="80" t="s">
        <v>9722</v>
      </c>
      <c r="O1010" s="80" t="s">
        <v>9722</v>
      </c>
      <c r="P1010" s="80"/>
      <c r="Q1010" s="80" t="s">
        <v>9722</v>
      </c>
      <c r="R1010" s="80" t="s">
        <v>9722</v>
      </c>
    </row>
    <row r="1011" spans="1:18" ht="20" x14ac:dyDescent="0.2">
      <c r="A1011" s="80" t="s">
        <v>5348</v>
      </c>
      <c r="B1011" s="80" t="s">
        <v>5349</v>
      </c>
      <c r="C1011" s="80" t="s">
        <v>9722</v>
      </c>
      <c r="D1011" s="80" t="s">
        <v>9722</v>
      </c>
      <c r="E1011" s="80" t="s">
        <v>9722</v>
      </c>
      <c r="F1011" s="80"/>
      <c r="G1011" s="80" t="s">
        <v>9722</v>
      </c>
      <c r="H1011" s="80" t="s">
        <v>9722</v>
      </c>
      <c r="I1011" s="80" t="s">
        <v>9722</v>
      </c>
      <c r="J1011" s="80" t="s">
        <v>9722</v>
      </c>
      <c r="K1011" s="80" t="s">
        <v>9722</v>
      </c>
      <c r="L1011" s="80" t="s">
        <v>9722</v>
      </c>
      <c r="M1011" s="80" t="s">
        <v>9722</v>
      </c>
      <c r="N1011" s="80" t="s">
        <v>9722</v>
      </c>
      <c r="O1011" s="80" t="s">
        <v>9722</v>
      </c>
      <c r="P1011" s="80"/>
      <c r="Q1011" s="80" t="s">
        <v>9722</v>
      </c>
      <c r="R1011" s="80" t="s">
        <v>9722</v>
      </c>
    </row>
    <row r="1012" spans="1:18" ht="20" x14ac:dyDescent="0.2">
      <c r="A1012" s="80" t="s">
        <v>5545</v>
      </c>
      <c r="B1012" s="80" t="s">
        <v>10067</v>
      </c>
      <c r="C1012" s="80" t="s">
        <v>9722</v>
      </c>
      <c r="D1012" s="80" t="s">
        <v>9722</v>
      </c>
      <c r="E1012" s="80" t="s">
        <v>84</v>
      </c>
      <c r="F1012" s="80"/>
      <c r="G1012" s="80" t="s">
        <v>9722</v>
      </c>
      <c r="H1012" s="80" t="s">
        <v>84</v>
      </c>
      <c r="I1012" s="80" t="s">
        <v>9722</v>
      </c>
      <c r="J1012" s="80" t="s">
        <v>9722</v>
      </c>
      <c r="K1012" s="80" t="s">
        <v>9722</v>
      </c>
      <c r="L1012" s="80" t="s">
        <v>9722</v>
      </c>
      <c r="M1012" s="80" t="s">
        <v>9722</v>
      </c>
      <c r="N1012" s="80" t="s">
        <v>84</v>
      </c>
      <c r="O1012" s="80" t="s">
        <v>9722</v>
      </c>
      <c r="P1012" s="80"/>
      <c r="Q1012" s="80" t="s">
        <v>9722</v>
      </c>
      <c r="R1012" s="80" t="s">
        <v>9722</v>
      </c>
    </row>
    <row r="1013" spans="1:18" ht="20" x14ac:dyDescent="0.2">
      <c r="A1013" s="80" t="s">
        <v>5545</v>
      </c>
      <c r="B1013" s="80" t="s">
        <v>5546</v>
      </c>
      <c r="C1013" s="80" t="s">
        <v>9722</v>
      </c>
      <c r="D1013" s="80" t="s">
        <v>9722</v>
      </c>
      <c r="E1013" s="80" t="s">
        <v>84</v>
      </c>
      <c r="F1013" s="80"/>
      <c r="G1013" s="80" t="s">
        <v>9722</v>
      </c>
      <c r="H1013" s="80" t="s">
        <v>84</v>
      </c>
      <c r="I1013" s="80" t="s">
        <v>9722</v>
      </c>
      <c r="J1013" s="80" t="s">
        <v>9722</v>
      </c>
      <c r="K1013" s="80" t="s">
        <v>9722</v>
      </c>
      <c r="L1013" s="80" t="s">
        <v>9722</v>
      </c>
      <c r="M1013" s="80" t="s">
        <v>9722</v>
      </c>
      <c r="N1013" s="80" t="s">
        <v>84</v>
      </c>
      <c r="O1013" s="80" t="s">
        <v>9722</v>
      </c>
      <c r="P1013" s="80"/>
      <c r="Q1013" s="80" t="s">
        <v>9722</v>
      </c>
      <c r="R1013" s="80" t="s">
        <v>9722</v>
      </c>
    </row>
    <row r="1014" spans="1:18" ht="20" x14ac:dyDescent="0.2">
      <c r="A1014" s="80" t="s">
        <v>5547</v>
      </c>
      <c r="B1014" s="80" t="s">
        <v>5548</v>
      </c>
      <c r="C1014" s="80" t="s">
        <v>9722</v>
      </c>
      <c r="D1014" s="80" t="s">
        <v>9722</v>
      </c>
      <c r="E1014" s="80" t="s">
        <v>9722</v>
      </c>
      <c r="F1014" s="80"/>
      <c r="G1014" s="80" t="s">
        <v>9722</v>
      </c>
      <c r="H1014" s="80" t="s">
        <v>9722</v>
      </c>
      <c r="I1014" s="80" t="s">
        <v>9722</v>
      </c>
      <c r="J1014" s="80" t="s">
        <v>9722</v>
      </c>
      <c r="K1014" s="80" t="s">
        <v>9722</v>
      </c>
      <c r="L1014" s="80" t="s">
        <v>9722</v>
      </c>
      <c r="M1014" s="80" t="s">
        <v>9722</v>
      </c>
      <c r="N1014" s="80" t="s">
        <v>9722</v>
      </c>
      <c r="O1014" s="80" t="s">
        <v>9722</v>
      </c>
      <c r="P1014" s="80"/>
      <c r="Q1014" s="80" t="s">
        <v>9722</v>
      </c>
      <c r="R1014" s="80" t="s">
        <v>9722</v>
      </c>
    </row>
    <row r="1015" spans="1:18" ht="20" x14ac:dyDescent="0.2">
      <c r="A1015" s="80" t="s">
        <v>5299</v>
      </c>
      <c r="B1015" s="80" t="s">
        <v>5300</v>
      </c>
      <c r="C1015" s="80" t="s">
        <v>9722</v>
      </c>
      <c r="D1015" s="80" t="s">
        <v>9722</v>
      </c>
      <c r="E1015" s="80" t="s">
        <v>84</v>
      </c>
      <c r="F1015" s="80"/>
      <c r="G1015" s="80" t="s">
        <v>9722</v>
      </c>
      <c r="H1015" s="80" t="s">
        <v>84</v>
      </c>
      <c r="I1015" s="80" t="s">
        <v>9722</v>
      </c>
      <c r="J1015" s="80" t="s">
        <v>9722</v>
      </c>
      <c r="K1015" s="80" t="s">
        <v>9722</v>
      </c>
      <c r="L1015" s="80" t="s">
        <v>9722</v>
      </c>
      <c r="M1015" s="80" t="s">
        <v>9722</v>
      </c>
      <c r="N1015" s="80" t="s">
        <v>84</v>
      </c>
      <c r="O1015" s="80" t="s">
        <v>9722</v>
      </c>
      <c r="P1015" s="80"/>
      <c r="Q1015" s="80" t="s">
        <v>9722</v>
      </c>
      <c r="R1015" s="80" t="s">
        <v>9722</v>
      </c>
    </row>
    <row r="1016" spans="1:18" ht="20" x14ac:dyDescent="0.2">
      <c r="A1016" s="80" t="s">
        <v>5299</v>
      </c>
      <c r="B1016" s="80" t="s">
        <v>5350</v>
      </c>
      <c r="C1016" s="80" t="s">
        <v>9722</v>
      </c>
      <c r="D1016" s="80" t="s">
        <v>9722</v>
      </c>
      <c r="E1016" s="80" t="s">
        <v>84</v>
      </c>
      <c r="F1016" s="80"/>
      <c r="G1016" s="80" t="s">
        <v>9722</v>
      </c>
      <c r="H1016" s="80" t="s">
        <v>84</v>
      </c>
      <c r="I1016" s="80" t="s">
        <v>9722</v>
      </c>
      <c r="J1016" s="80" t="s">
        <v>9722</v>
      </c>
      <c r="K1016" s="80" t="s">
        <v>9722</v>
      </c>
      <c r="L1016" s="80" t="s">
        <v>9722</v>
      </c>
      <c r="M1016" s="80" t="s">
        <v>9722</v>
      </c>
      <c r="N1016" s="80" t="s">
        <v>84</v>
      </c>
      <c r="O1016" s="80" t="s">
        <v>9722</v>
      </c>
      <c r="P1016" s="80"/>
      <c r="Q1016" s="80" t="s">
        <v>9722</v>
      </c>
      <c r="R1016" s="80" t="s">
        <v>9722</v>
      </c>
    </row>
    <row r="1017" spans="1:18" ht="20" x14ac:dyDescent="0.2">
      <c r="A1017" s="80" t="s">
        <v>5351</v>
      </c>
      <c r="B1017" s="80" t="s">
        <v>5352</v>
      </c>
      <c r="C1017" s="80" t="s">
        <v>9722</v>
      </c>
      <c r="D1017" s="80" t="s">
        <v>9722</v>
      </c>
      <c r="E1017" s="80" t="s">
        <v>84</v>
      </c>
      <c r="F1017" s="80"/>
      <c r="G1017" s="80" t="s">
        <v>9722</v>
      </c>
      <c r="H1017" s="80" t="s">
        <v>84</v>
      </c>
      <c r="I1017" s="80" t="s">
        <v>9722</v>
      </c>
      <c r="J1017" s="80" t="s">
        <v>84</v>
      </c>
      <c r="K1017" s="80" t="s">
        <v>9722</v>
      </c>
      <c r="L1017" s="80" t="s">
        <v>9722</v>
      </c>
      <c r="M1017" s="80" t="s">
        <v>9722</v>
      </c>
      <c r="N1017" s="80" t="s">
        <v>84</v>
      </c>
      <c r="O1017" s="80" t="s">
        <v>9722</v>
      </c>
      <c r="P1017" s="80"/>
      <c r="Q1017" s="80" t="s">
        <v>9722</v>
      </c>
      <c r="R1017" s="80" t="s">
        <v>9722</v>
      </c>
    </row>
    <row r="1018" spans="1:18" ht="20" x14ac:dyDescent="0.2">
      <c r="A1018" s="80" t="s">
        <v>5353</v>
      </c>
      <c r="B1018" s="80" t="s">
        <v>5354</v>
      </c>
      <c r="C1018" s="80" t="s">
        <v>9722</v>
      </c>
      <c r="D1018" s="80" t="s">
        <v>9722</v>
      </c>
      <c r="E1018" s="80" t="s">
        <v>84</v>
      </c>
      <c r="F1018" s="80"/>
      <c r="G1018" s="80" t="s">
        <v>9722</v>
      </c>
      <c r="H1018" s="80" t="s">
        <v>84</v>
      </c>
      <c r="I1018" s="80" t="s">
        <v>9722</v>
      </c>
      <c r="J1018" s="80" t="s">
        <v>84</v>
      </c>
      <c r="K1018" s="80" t="s">
        <v>9722</v>
      </c>
      <c r="L1018" s="80" t="s">
        <v>9722</v>
      </c>
      <c r="M1018" s="80" t="s">
        <v>9722</v>
      </c>
      <c r="N1018" s="80" t="s">
        <v>84</v>
      </c>
      <c r="O1018" s="80" t="s">
        <v>9722</v>
      </c>
      <c r="P1018" s="80"/>
      <c r="Q1018" s="80" t="s">
        <v>9722</v>
      </c>
      <c r="R1018" s="80" t="s">
        <v>9722</v>
      </c>
    </row>
    <row r="1019" spans="1:18" ht="20" x14ac:dyDescent="0.2">
      <c r="A1019" s="80" t="s">
        <v>5355</v>
      </c>
      <c r="B1019" s="80" t="s">
        <v>5356</v>
      </c>
      <c r="C1019" s="80" t="s">
        <v>9722</v>
      </c>
      <c r="D1019" s="80" t="s">
        <v>9722</v>
      </c>
      <c r="E1019" s="80" t="s">
        <v>84</v>
      </c>
      <c r="F1019" s="80"/>
      <c r="G1019" s="80" t="s">
        <v>9722</v>
      </c>
      <c r="H1019" s="80" t="s">
        <v>84</v>
      </c>
      <c r="I1019" s="80" t="s">
        <v>9722</v>
      </c>
      <c r="J1019" s="80" t="s">
        <v>84</v>
      </c>
      <c r="K1019" s="80" t="s">
        <v>9722</v>
      </c>
      <c r="L1019" s="80" t="s">
        <v>9722</v>
      </c>
      <c r="M1019" s="80" t="s">
        <v>9722</v>
      </c>
      <c r="N1019" s="80" t="s">
        <v>84</v>
      </c>
      <c r="O1019" s="80" t="s">
        <v>9722</v>
      </c>
      <c r="P1019" s="80"/>
      <c r="Q1019" s="80" t="s">
        <v>9722</v>
      </c>
      <c r="R1019" s="80" t="s">
        <v>9722</v>
      </c>
    </row>
    <row r="1020" spans="1:18" ht="20" x14ac:dyDescent="0.2">
      <c r="A1020" s="80" t="s">
        <v>5357</v>
      </c>
      <c r="B1020" s="80" t="s">
        <v>5358</v>
      </c>
      <c r="C1020" s="80" t="s">
        <v>9722</v>
      </c>
      <c r="D1020" s="80" t="s">
        <v>9722</v>
      </c>
      <c r="E1020" s="80" t="s">
        <v>84</v>
      </c>
      <c r="F1020" s="80"/>
      <c r="G1020" s="80" t="s">
        <v>9722</v>
      </c>
      <c r="H1020" s="80" t="s">
        <v>84</v>
      </c>
      <c r="I1020" s="80" t="s">
        <v>9722</v>
      </c>
      <c r="J1020" s="80" t="s">
        <v>9722</v>
      </c>
      <c r="K1020" s="80" t="s">
        <v>9722</v>
      </c>
      <c r="L1020" s="80" t="s">
        <v>9722</v>
      </c>
      <c r="M1020" s="80" t="s">
        <v>9722</v>
      </c>
      <c r="N1020" s="80" t="s">
        <v>84</v>
      </c>
      <c r="O1020" s="80" t="s">
        <v>9722</v>
      </c>
      <c r="P1020" s="80"/>
      <c r="Q1020" s="80" t="s">
        <v>9722</v>
      </c>
      <c r="R1020" s="80" t="s">
        <v>9722</v>
      </c>
    </row>
    <row r="1021" spans="1:18" ht="20" x14ac:dyDescent="0.2">
      <c r="A1021" s="80" t="s">
        <v>5549</v>
      </c>
      <c r="B1021" s="80" t="s">
        <v>5550</v>
      </c>
      <c r="C1021" s="80" t="s">
        <v>9722</v>
      </c>
      <c r="D1021" s="80" t="s">
        <v>9722</v>
      </c>
      <c r="E1021" s="80" t="s">
        <v>84</v>
      </c>
      <c r="F1021" s="80"/>
      <c r="G1021" s="80" t="s">
        <v>9722</v>
      </c>
      <c r="H1021" s="80" t="s">
        <v>84</v>
      </c>
      <c r="I1021" s="80" t="s">
        <v>9722</v>
      </c>
      <c r="J1021" s="80" t="s">
        <v>84</v>
      </c>
      <c r="K1021" s="80" t="s">
        <v>9722</v>
      </c>
      <c r="L1021" s="80" t="s">
        <v>9722</v>
      </c>
      <c r="M1021" s="80" t="s">
        <v>9722</v>
      </c>
      <c r="N1021" s="80" t="s">
        <v>84</v>
      </c>
      <c r="O1021" s="80" t="s">
        <v>9722</v>
      </c>
      <c r="P1021" s="80"/>
      <c r="Q1021" s="80" t="s">
        <v>9722</v>
      </c>
      <c r="R1021" s="80" t="s">
        <v>9722</v>
      </c>
    </row>
    <row r="1022" spans="1:18" ht="20" x14ac:dyDescent="0.2">
      <c r="A1022" s="80" t="s">
        <v>5551</v>
      </c>
      <c r="B1022" s="80" t="s">
        <v>5552</v>
      </c>
      <c r="C1022" s="80" t="s">
        <v>9722</v>
      </c>
      <c r="D1022" s="80" t="s">
        <v>9722</v>
      </c>
      <c r="E1022" s="80" t="s">
        <v>9722</v>
      </c>
      <c r="F1022" s="80"/>
      <c r="G1022" s="80" t="s">
        <v>9722</v>
      </c>
      <c r="H1022" s="80" t="s">
        <v>9722</v>
      </c>
      <c r="I1022" s="80" t="s">
        <v>9722</v>
      </c>
      <c r="J1022" s="80" t="s">
        <v>84</v>
      </c>
      <c r="K1022" s="80" t="s">
        <v>9722</v>
      </c>
      <c r="L1022" s="80" t="s">
        <v>9722</v>
      </c>
      <c r="M1022" s="80" t="s">
        <v>9722</v>
      </c>
      <c r="N1022" s="80" t="s">
        <v>9722</v>
      </c>
      <c r="O1022" s="80" t="s">
        <v>9722</v>
      </c>
      <c r="P1022" s="80"/>
      <c r="Q1022" s="80" t="s">
        <v>9722</v>
      </c>
      <c r="R1022" s="80" t="s">
        <v>9722</v>
      </c>
    </row>
    <row r="1023" spans="1:18" ht="20" x14ac:dyDescent="0.2">
      <c r="A1023" s="80" t="s">
        <v>5307</v>
      </c>
      <c r="B1023" s="80" t="s">
        <v>5308</v>
      </c>
      <c r="C1023" s="80" t="s">
        <v>9722</v>
      </c>
      <c r="D1023" s="80" t="s">
        <v>9722</v>
      </c>
      <c r="E1023" s="80" t="s">
        <v>9722</v>
      </c>
      <c r="F1023" s="80"/>
      <c r="G1023" s="80" t="s">
        <v>9722</v>
      </c>
      <c r="H1023" s="80" t="s">
        <v>9722</v>
      </c>
      <c r="I1023" s="80" t="s">
        <v>9722</v>
      </c>
      <c r="J1023" s="80" t="s">
        <v>9722</v>
      </c>
      <c r="K1023" s="80" t="s">
        <v>9722</v>
      </c>
      <c r="L1023" s="80" t="s">
        <v>9722</v>
      </c>
      <c r="M1023" s="80" t="s">
        <v>9722</v>
      </c>
      <c r="N1023" s="80" t="s">
        <v>9722</v>
      </c>
      <c r="O1023" s="80" t="s">
        <v>9722</v>
      </c>
      <c r="P1023" s="80"/>
      <c r="Q1023" s="80" t="s">
        <v>9722</v>
      </c>
      <c r="R1023" s="80" t="s">
        <v>9722</v>
      </c>
    </row>
    <row r="1024" spans="1:18" ht="20" x14ac:dyDescent="0.2">
      <c r="A1024" s="80" t="s">
        <v>5307</v>
      </c>
      <c r="B1024" s="80" t="s">
        <v>5553</v>
      </c>
      <c r="C1024" s="80" t="s">
        <v>9722</v>
      </c>
      <c r="D1024" s="80" t="s">
        <v>9722</v>
      </c>
      <c r="E1024" s="80" t="s">
        <v>9722</v>
      </c>
      <c r="F1024" s="80"/>
      <c r="G1024" s="80" t="s">
        <v>9722</v>
      </c>
      <c r="H1024" s="80" t="s">
        <v>9722</v>
      </c>
      <c r="I1024" s="80" t="s">
        <v>9722</v>
      </c>
      <c r="J1024" s="80" t="s">
        <v>9722</v>
      </c>
      <c r="K1024" s="80" t="s">
        <v>9722</v>
      </c>
      <c r="L1024" s="80" t="s">
        <v>9722</v>
      </c>
      <c r="M1024" s="80" t="s">
        <v>9722</v>
      </c>
      <c r="N1024" s="80" t="s">
        <v>9722</v>
      </c>
      <c r="O1024" s="80" t="s">
        <v>9722</v>
      </c>
      <c r="P1024" s="80"/>
      <c r="Q1024" s="80" t="s">
        <v>9722</v>
      </c>
      <c r="R1024" s="80" t="s">
        <v>9722</v>
      </c>
    </row>
    <row r="1025" spans="1:18" ht="20" x14ac:dyDescent="0.2">
      <c r="A1025" s="80" t="s">
        <v>5359</v>
      </c>
      <c r="B1025" s="80" t="s">
        <v>5360</v>
      </c>
      <c r="C1025" s="80" t="s">
        <v>9722</v>
      </c>
      <c r="D1025" s="80" t="s">
        <v>9722</v>
      </c>
      <c r="E1025" s="80" t="s">
        <v>84</v>
      </c>
      <c r="F1025" s="80"/>
      <c r="G1025" s="80" t="s">
        <v>84</v>
      </c>
      <c r="H1025" s="80" t="s">
        <v>9722</v>
      </c>
      <c r="I1025" s="80" t="s">
        <v>9722</v>
      </c>
      <c r="J1025" s="80" t="s">
        <v>84</v>
      </c>
      <c r="K1025" s="80" t="s">
        <v>9722</v>
      </c>
      <c r="L1025" s="80" t="s">
        <v>9722</v>
      </c>
      <c r="M1025" s="80" t="s">
        <v>9722</v>
      </c>
      <c r="N1025" s="80" t="s">
        <v>84</v>
      </c>
      <c r="O1025" s="80" t="s">
        <v>9722</v>
      </c>
      <c r="P1025" s="80"/>
      <c r="Q1025" s="80" t="s">
        <v>9722</v>
      </c>
      <c r="R1025" s="80" t="s">
        <v>9722</v>
      </c>
    </row>
    <row r="1026" spans="1:18" ht="20" x14ac:dyDescent="0.2">
      <c r="A1026" s="80" t="s">
        <v>5361</v>
      </c>
      <c r="B1026" s="80" t="s">
        <v>5362</v>
      </c>
      <c r="C1026" s="80" t="s">
        <v>9722</v>
      </c>
      <c r="D1026" s="80" t="s">
        <v>9722</v>
      </c>
      <c r="E1026" s="80" t="s">
        <v>84</v>
      </c>
      <c r="F1026" s="80"/>
      <c r="G1026" s="80" t="s">
        <v>84</v>
      </c>
      <c r="H1026" s="80" t="s">
        <v>9722</v>
      </c>
      <c r="I1026" s="80" t="s">
        <v>9722</v>
      </c>
      <c r="J1026" s="80" t="s">
        <v>84</v>
      </c>
      <c r="K1026" s="80" t="s">
        <v>9722</v>
      </c>
      <c r="L1026" s="80" t="s">
        <v>9722</v>
      </c>
      <c r="M1026" s="80" t="s">
        <v>9722</v>
      </c>
      <c r="N1026" s="80" t="s">
        <v>84</v>
      </c>
      <c r="O1026" s="80" t="s">
        <v>9722</v>
      </c>
      <c r="P1026" s="80"/>
      <c r="Q1026" s="80" t="s">
        <v>9722</v>
      </c>
      <c r="R1026" s="80" t="s">
        <v>9722</v>
      </c>
    </row>
    <row r="1027" spans="1:18" ht="20" x14ac:dyDescent="0.2">
      <c r="A1027" s="80" t="s">
        <v>5384</v>
      </c>
      <c r="B1027" s="80" t="s">
        <v>5385</v>
      </c>
      <c r="C1027" s="80" t="s">
        <v>9722</v>
      </c>
      <c r="D1027" s="80" t="s">
        <v>9722</v>
      </c>
      <c r="E1027" s="80" t="s">
        <v>84</v>
      </c>
      <c r="F1027" s="80"/>
      <c r="G1027" s="80" t="s">
        <v>84</v>
      </c>
      <c r="H1027" s="80" t="s">
        <v>9722</v>
      </c>
      <c r="I1027" s="80" t="s">
        <v>9722</v>
      </c>
      <c r="J1027" s="80" t="s">
        <v>84</v>
      </c>
      <c r="K1027" s="80" t="s">
        <v>9722</v>
      </c>
      <c r="L1027" s="80" t="s">
        <v>9722</v>
      </c>
      <c r="M1027" s="80" t="s">
        <v>9722</v>
      </c>
      <c r="N1027" s="80" t="s">
        <v>84</v>
      </c>
      <c r="O1027" s="80" t="s">
        <v>9722</v>
      </c>
      <c r="P1027" s="80"/>
      <c r="Q1027" s="80" t="s">
        <v>9722</v>
      </c>
      <c r="R1027" s="80" t="s">
        <v>9722</v>
      </c>
    </row>
    <row r="1028" spans="1:18" ht="20" x14ac:dyDescent="0.2">
      <c r="A1028" s="80" t="s">
        <v>5406</v>
      </c>
      <c r="B1028" s="80" t="s">
        <v>5407</v>
      </c>
      <c r="C1028" s="80" t="s">
        <v>9722</v>
      </c>
      <c r="D1028" s="80" t="s">
        <v>9722</v>
      </c>
      <c r="E1028" s="80" t="s">
        <v>84</v>
      </c>
      <c r="F1028" s="80"/>
      <c r="G1028" s="80" t="s">
        <v>84</v>
      </c>
      <c r="H1028" s="80" t="s">
        <v>9722</v>
      </c>
      <c r="I1028" s="80" t="s">
        <v>9722</v>
      </c>
      <c r="J1028" s="80" t="s">
        <v>84</v>
      </c>
      <c r="K1028" s="80" t="s">
        <v>9722</v>
      </c>
      <c r="L1028" s="80" t="s">
        <v>9722</v>
      </c>
      <c r="M1028" s="80" t="s">
        <v>9722</v>
      </c>
      <c r="N1028" s="80" t="s">
        <v>84</v>
      </c>
      <c r="O1028" s="80" t="s">
        <v>9722</v>
      </c>
      <c r="P1028" s="80"/>
      <c r="Q1028" s="80" t="s">
        <v>9722</v>
      </c>
      <c r="R1028" s="80" t="s">
        <v>9722</v>
      </c>
    </row>
    <row r="1029" spans="1:18" ht="20" x14ac:dyDescent="0.2">
      <c r="A1029" s="80" t="s">
        <v>5437</v>
      </c>
      <c r="B1029" s="80" t="s">
        <v>5438</v>
      </c>
      <c r="C1029" s="80" t="s">
        <v>9722</v>
      </c>
      <c r="D1029" s="80" t="s">
        <v>9722</v>
      </c>
      <c r="E1029" s="80" t="s">
        <v>84</v>
      </c>
      <c r="F1029" s="80"/>
      <c r="G1029" s="80" t="s">
        <v>84</v>
      </c>
      <c r="H1029" s="80" t="s">
        <v>9722</v>
      </c>
      <c r="I1029" s="80" t="s">
        <v>9722</v>
      </c>
      <c r="J1029" s="80" t="s">
        <v>84</v>
      </c>
      <c r="K1029" s="80" t="s">
        <v>9722</v>
      </c>
      <c r="L1029" s="80" t="s">
        <v>9722</v>
      </c>
      <c r="M1029" s="80" t="s">
        <v>9722</v>
      </c>
      <c r="N1029" s="80" t="s">
        <v>84</v>
      </c>
      <c r="O1029" s="80" t="s">
        <v>9722</v>
      </c>
      <c r="P1029" s="80"/>
      <c r="Q1029" s="80" t="s">
        <v>9722</v>
      </c>
      <c r="R1029" s="80" t="s">
        <v>9722</v>
      </c>
    </row>
    <row r="1030" spans="1:18" ht="20" x14ac:dyDescent="0.2">
      <c r="A1030" s="80" t="s">
        <v>5301</v>
      </c>
      <c r="B1030" s="80" t="s">
        <v>5302</v>
      </c>
      <c r="C1030" s="80" t="s">
        <v>9722</v>
      </c>
      <c r="D1030" s="80" t="s">
        <v>9722</v>
      </c>
      <c r="E1030" s="80" t="s">
        <v>84</v>
      </c>
      <c r="F1030" s="80"/>
      <c r="G1030" s="80" t="s">
        <v>84</v>
      </c>
      <c r="H1030" s="80" t="s">
        <v>9722</v>
      </c>
      <c r="I1030" s="80" t="s">
        <v>9722</v>
      </c>
      <c r="J1030" s="80" t="s">
        <v>84</v>
      </c>
      <c r="K1030" s="80" t="s">
        <v>9722</v>
      </c>
      <c r="L1030" s="80" t="s">
        <v>9722</v>
      </c>
      <c r="M1030" s="80" t="s">
        <v>9722</v>
      </c>
      <c r="N1030" s="80" t="s">
        <v>84</v>
      </c>
      <c r="O1030" s="80" t="s">
        <v>9722</v>
      </c>
      <c r="P1030" s="80"/>
      <c r="Q1030" s="80" t="s">
        <v>9722</v>
      </c>
      <c r="R1030" s="80" t="s">
        <v>9722</v>
      </c>
    </row>
    <row r="1031" spans="1:18" ht="20" x14ac:dyDescent="0.2">
      <c r="A1031" s="80" t="s">
        <v>5301</v>
      </c>
      <c r="B1031" s="80" t="s">
        <v>5459</v>
      </c>
      <c r="C1031" s="80" t="s">
        <v>9722</v>
      </c>
      <c r="D1031" s="80" t="s">
        <v>9722</v>
      </c>
      <c r="E1031" s="80" t="s">
        <v>84</v>
      </c>
      <c r="F1031" s="80"/>
      <c r="G1031" s="80" t="s">
        <v>84</v>
      </c>
      <c r="H1031" s="80" t="s">
        <v>9722</v>
      </c>
      <c r="I1031" s="80" t="s">
        <v>9722</v>
      </c>
      <c r="J1031" s="80" t="s">
        <v>84</v>
      </c>
      <c r="K1031" s="80" t="s">
        <v>9722</v>
      </c>
      <c r="L1031" s="80" t="s">
        <v>9722</v>
      </c>
      <c r="M1031" s="80" t="s">
        <v>9722</v>
      </c>
      <c r="N1031" s="80" t="s">
        <v>84</v>
      </c>
      <c r="O1031" s="80" t="s">
        <v>9722</v>
      </c>
      <c r="P1031" s="80"/>
      <c r="Q1031" s="80" t="s">
        <v>9722</v>
      </c>
      <c r="R1031" s="80" t="s">
        <v>9722</v>
      </c>
    </row>
    <row r="1032" spans="1:18" ht="20" x14ac:dyDescent="0.2">
      <c r="A1032" s="80" t="s">
        <v>5303</v>
      </c>
      <c r="B1032" s="80" t="s">
        <v>5304</v>
      </c>
      <c r="C1032" s="80" t="s">
        <v>9722</v>
      </c>
      <c r="D1032" s="80" t="s">
        <v>9722</v>
      </c>
      <c r="E1032" s="80" t="s">
        <v>84</v>
      </c>
      <c r="F1032" s="80"/>
      <c r="G1032" s="80" t="s">
        <v>84</v>
      </c>
      <c r="H1032" s="80" t="s">
        <v>9722</v>
      </c>
      <c r="I1032" s="80" t="s">
        <v>9722</v>
      </c>
      <c r="J1032" s="80" t="s">
        <v>84</v>
      </c>
      <c r="K1032" s="80" t="s">
        <v>9722</v>
      </c>
      <c r="L1032" s="80" t="s">
        <v>9722</v>
      </c>
      <c r="M1032" s="80" t="s">
        <v>9722</v>
      </c>
      <c r="N1032" s="80" t="s">
        <v>84</v>
      </c>
      <c r="O1032" s="80" t="s">
        <v>9722</v>
      </c>
      <c r="P1032" s="80"/>
      <c r="Q1032" s="80" t="s">
        <v>9722</v>
      </c>
      <c r="R1032" s="80" t="s">
        <v>9722</v>
      </c>
    </row>
    <row r="1033" spans="1:18" ht="20" x14ac:dyDescent="0.2">
      <c r="A1033" s="80" t="s">
        <v>5303</v>
      </c>
      <c r="B1033" s="80" t="s">
        <v>5460</v>
      </c>
      <c r="C1033" s="80" t="s">
        <v>9722</v>
      </c>
      <c r="D1033" s="80" t="s">
        <v>9722</v>
      </c>
      <c r="E1033" s="80" t="s">
        <v>84</v>
      </c>
      <c r="F1033" s="80"/>
      <c r="G1033" s="80" t="s">
        <v>84</v>
      </c>
      <c r="H1033" s="80" t="s">
        <v>9722</v>
      </c>
      <c r="I1033" s="80" t="s">
        <v>9722</v>
      </c>
      <c r="J1033" s="80" t="s">
        <v>84</v>
      </c>
      <c r="K1033" s="80" t="s">
        <v>9722</v>
      </c>
      <c r="L1033" s="80" t="s">
        <v>9722</v>
      </c>
      <c r="M1033" s="80" t="s">
        <v>9722</v>
      </c>
      <c r="N1033" s="80" t="s">
        <v>84</v>
      </c>
      <c r="O1033" s="80" t="s">
        <v>9722</v>
      </c>
      <c r="P1033" s="80"/>
      <c r="Q1033" s="80" t="s">
        <v>9722</v>
      </c>
      <c r="R1033" s="80" t="s">
        <v>9722</v>
      </c>
    </row>
    <row r="1034" spans="1:18" ht="20" x14ac:dyDescent="0.2">
      <c r="A1034" s="80" t="s">
        <v>5554</v>
      </c>
      <c r="B1034" s="80" t="s">
        <v>5555</v>
      </c>
      <c r="C1034" s="80" t="s">
        <v>9722</v>
      </c>
      <c r="D1034" s="80" t="s">
        <v>84</v>
      </c>
      <c r="E1034" s="80" t="s">
        <v>84</v>
      </c>
      <c r="F1034" s="80"/>
      <c r="G1034" s="80" t="s">
        <v>84</v>
      </c>
      <c r="H1034" s="80" t="s">
        <v>84</v>
      </c>
      <c r="I1034" s="80" t="s">
        <v>84</v>
      </c>
      <c r="J1034" s="80" t="s">
        <v>84</v>
      </c>
      <c r="K1034" s="80" t="s">
        <v>84</v>
      </c>
      <c r="L1034" s="80" t="s">
        <v>84</v>
      </c>
      <c r="M1034" s="80" t="s">
        <v>84</v>
      </c>
      <c r="N1034" s="80" t="s">
        <v>84</v>
      </c>
      <c r="O1034" s="80" t="s">
        <v>84</v>
      </c>
      <c r="P1034" s="80"/>
      <c r="Q1034" s="80" t="s">
        <v>84</v>
      </c>
      <c r="R1034" s="80" t="s">
        <v>84</v>
      </c>
    </row>
    <row r="1035" spans="1:18" ht="20" x14ac:dyDescent="0.2">
      <c r="A1035" s="80" t="s">
        <v>5556</v>
      </c>
      <c r="B1035" s="80" t="s">
        <v>5557</v>
      </c>
      <c r="C1035" s="80" t="s">
        <v>9722</v>
      </c>
      <c r="D1035" s="80" t="s">
        <v>84</v>
      </c>
      <c r="E1035" s="80" t="s">
        <v>84</v>
      </c>
      <c r="F1035" s="80"/>
      <c r="G1035" s="80" t="s">
        <v>84</v>
      </c>
      <c r="H1035" s="80" t="s">
        <v>84</v>
      </c>
      <c r="I1035" s="80" t="s">
        <v>84</v>
      </c>
      <c r="J1035" s="80" t="s">
        <v>84</v>
      </c>
      <c r="K1035" s="80" t="s">
        <v>84</v>
      </c>
      <c r="L1035" s="80" t="s">
        <v>84</v>
      </c>
      <c r="M1035" s="80" t="s">
        <v>84</v>
      </c>
      <c r="N1035" s="80" t="s">
        <v>84</v>
      </c>
      <c r="O1035" s="80" t="s">
        <v>84</v>
      </c>
      <c r="P1035" s="80"/>
      <c r="Q1035" s="80" t="s">
        <v>84</v>
      </c>
      <c r="R1035" s="80" t="s">
        <v>84</v>
      </c>
    </row>
    <row r="1036" spans="1:18" ht="20" x14ac:dyDescent="0.2">
      <c r="A1036" s="80" t="s">
        <v>10068</v>
      </c>
      <c r="B1036" s="80" t="s">
        <v>10069</v>
      </c>
      <c r="C1036" s="80" t="s">
        <v>9722</v>
      </c>
      <c r="D1036" s="80" t="s">
        <v>84</v>
      </c>
      <c r="E1036" s="80" t="s">
        <v>84</v>
      </c>
      <c r="F1036" s="80"/>
      <c r="G1036" s="80" t="s">
        <v>84</v>
      </c>
      <c r="H1036" s="80" t="s">
        <v>84</v>
      </c>
      <c r="I1036" s="80" t="s">
        <v>84</v>
      </c>
      <c r="J1036" s="80" t="s">
        <v>84</v>
      </c>
      <c r="K1036" s="80" t="s">
        <v>84</v>
      </c>
      <c r="L1036" s="80" t="s">
        <v>84</v>
      </c>
      <c r="M1036" s="80" t="s">
        <v>84</v>
      </c>
      <c r="N1036" s="80" t="s">
        <v>84</v>
      </c>
      <c r="O1036" s="80" t="s">
        <v>84</v>
      </c>
      <c r="P1036" s="80"/>
      <c r="Q1036" s="80" t="s">
        <v>84</v>
      </c>
      <c r="R1036" s="80" t="s">
        <v>84</v>
      </c>
    </row>
    <row r="1037" spans="1:18" ht="20" x14ac:dyDescent="0.2">
      <c r="A1037" s="80" t="s">
        <v>5558</v>
      </c>
      <c r="B1037" s="80" t="s">
        <v>5559</v>
      </c>
      <c r="C1037" s="80" t="s">
        <v>9722</v>
      </c>
      <c r="D1037" s="80" t="s">
        <v>84</v>
      </c>
      <c r="E1037" s="80" t="s">
        <v>84</v>
      </c>
      <c r="F1037" s="80"/>
      <c r="G1037" s="80" t="s">
        <v>84</v>
      </c>
      <c r="H1037" s="80" t="s">
        <v>84</v>
      </c>
      <c r="I1037" s="80" t="s">
        <v>84</v>
      </c>
      <c r="J1037" s="80" t="s">
        <v>84</v>
      </c>
      <c r="K1037" s="80" t="s">
        <v>84</v>
      </c>
      <c r="L1037" s="80" t="s">
        <v>84</v>
      </c>
      <c r="M1037" s="80" t="s">
        <v>84</v>
      </c>
      <c r="N1037" s="80" t="s">
        <v>84</v>
      </c>
      <c r="O1037" s="80" t="s">
        <v>84</v>
      </c>
      <c r="P1037" s="80"/>
      <c r="Q1037" s="80" t="s">
        <v>84</v>
      </c>
      <c r="R1037" s="80" t="s">
        <v>84</v>
      </c>
    </row>
    <row r="1038" spans="1:18" ht="20" x14ac:dyDescent="0.2">
      <c r="A1038" s="80" t="s">
        <v>5560</v>
      </c>
      <c r="B1038" s="80" t="s">
        <v>5561</v>
      </c>
      <c r="C1038" s="80" t="s">
        <v>9722</v>
      </c>
      <c r="D1038" s="80" t="s">
        <v>84</v>
      </c>
      <c r="E1038" s="80" t="s">
        <v>84</v>
      </c>
      <c r="F1038" s="80"/>
      <c r="G1038" s="80" t="s">
        <v>84</v>
      </c>
      <c r="H1038" s="80" t="s">
        <v>84</v>
      </c>
      <c r="I1038" s="80" t="s">
        <v>84</v>
      </c>
      <c r="J1038" s="80" t="s">
        <v>84</v>
      </c>
      <c r="K1038" s="80" t="s">
        <v>84</v>
      </c>
      <c r="L1038" s="80" t="s">
        <v>84</v>
      </c>
      <c r="M1038" s="80" t="s">
        <v>84</v>
      </c>
      <c r="N1038" s="80" t="s">
        <v>84</v>
      </c>
      <c r="O1038" s="80" t="s">
        <v>84</v>
      </c>
      <c r="P1038" s="80"/>
      <c r="Q1038" s="80" t="s">
        <v>84</v>
      </c>
      <c r="R1038" s="80" t="s">
        <v>84</v>
      </c>
    </row>
    <row r="1039" spans="1:18" ht="20" x14ac:dyDescent="0.2">
      <c r="A1039" s="80" t="s">
        <v>5562</v>
      </c>
      <c r="B1039" s="80" t="s">
        <v>5563</v>
      </c>
      <c r="C1039" s="80" t="s">
        <v>9722</v>
      </c>
      <c r="D1039" s="80" t="s">
        <v>84</v>
      </c>
      <c r="E1039" s="80" t="s">
        <v>84</v>
      </c>
      <c r="F1039" s="80"/>
      <c r="G1039" s="80" t="s">
        <v>84</v>
      </c>
      <c r="H1039" s="80" t="s">
        <v>84</v>
      </c>
      <c r="I1039" s="80" t="s">
        <v>84</v>
      </c>
      <c r="J1039" s="80" t="s">
        <v>84</v>
      </c>
      <c r="K1039" s="80" t="s">
        <v>84</v>
      </c>
      <c r="L1039" s="80" t="s">
        <v>84</v>
      </c>
      <c r="M1039" s="80" t="s">
        <v>84</v>
      </c>
      <c r="N1039" s="80" t="s">
        <v>84</v>
      </c>
      <c r="O1039" s="80" t="s">
        <v>84</v>
      </c>
      <c r="P1039" s="80"/>
      <c r="Q1039" s="80" t="s">
        <v>84</v>
      </c>
      <c r="R1039" s="80" t="s">
        <v>84</v>
      </c>
    </row>
    <row r="1040" spans="1:18" ht="20" x14ac:dyDescent="0.2">
      <c r="A1040" s="80" t="s">
        <v>5564</v>
      </c>
      <c r="B1040" s="80" t="s">
        <v>5565</v>
      </c>
      <c r="C1040" s="80" t="s">
        <v>9722</v>
      </c>
      <c r="D1040" s="80" t="s">
        <v>84</v>
      </c>
      <c r="E1040" s="80" t="s">
        <v>84</v>
      </c>
      <c r="F1040" s="80"/>
      <c r="G1040" s="80" t="s">
        <v>84</v>
      </c>
      <c r="H1040" s="80" t="s">
        <v>84</v>
      </c>
      <c r="I1040" s="80" t="s">
        <v>84</v>
      </c>
      <c r="J1040" s="80" t="s">
        <v>84</v>
      </c>
      <c r="K1040" s="80" t="s">
        <v>84</v>
      </c>
      <c r="L1040" s="80" t="s">
        <v>84</v>
      </c>
      <c r="M1040" s="80" t="s">
        <v>84</v>
      </c>
      <c r="N1040" s="80" t="s">
        <v>84</v>
      </c>
      <c r="O1040" s="80" t="s">
        <v>84</v>
      </c>
      <c r="P1040" s="80"/>
      <c r="Q1040" s="80" t="s">
        <v>84</v>
      </c>
      <c r="R1040" s="80" t="s">
        <v>84</v>
      </c>
    </row>
    <row r="1041" spans="1:18" ht="20" x14ac:dyDescent="0.2">
      <c r="A1041" s="80" t="s">
        <v>5566</v>
      </c>
      <c r="B1041" s="80" t="s">
        <v>5567</v>
      </c>
      <c r="C1041" s="80" t="s">
        <v>9722</v>
      </c>
      <c r="D1041" s="80" t="s">
        <v>84</v>
      </c>
      <c r="E1041" s="80" t="s">
        <v>84</v>
      </c>
      <c r="F1041" s="80"/>
      <c r="G1041" s="80" t="s">
        <v>84</v>
      </c>
      <c r="H1041" s="80" t="s">
        <v>84</v>
      </c>
      <c r="I1041" s="80" t="s">
        <v>84</v>
      </c>
      <c r="J1041" s="80" t="s">
        <v>84</v>
      </c>
      <c r="K1041" s="80" t="s">
        <v>84</v>
      </c>
      <c r="L1041" s="80" t="s">
        <v>84</v>
      </c>
      <c r="M1041" s="80" t="s">
        <v>84</v>
      </c>
      <c r="N1041" s="80" t="s">
        <v>84</v>
      </c>
      <c r="O1041" s="80" t="s">
        <v>84</v>
      </c>
      <c r="P1041" s="80"/>
      <c r="Q1041" s="80" t="s">
        <v>84</v>
      </c>
      <c r="R1041" s="80" t="s">
        <v>84</v>
      </c>
    </row>
    <row r="1042" spans="1:18" ht="20" x14ac:dyDescent="0.2">
      <c r="A1042" s="80" t="s">
        <v>5372</v>
      </c>
      <c r="B1042" s="80" t="s">
        <v>10070</v>
      </c>
      <c r="C1042" s="80" t="s">
        <v>9722</v>
      </c>
      <c r="D1042" s="80" t="s">
        <v>84</v>
      </c>
      <c r="E1042" s="80" t="s">
        <v>84</v>
      </c>
      <c r="F1042" s="80"/>
      <c r="G1042" s="80" t="s">
        <v>84</v>
      </c>
      <c r="H1042" s="80" t="s">
        <v>84</v>
      </c>
      <c r="I1042" s="80" t="s">
        <v>84</v>
      </c>
      <c r="J1042" s="80" t="s">
        <v>84</v>
      </c>
      <c r="K1042" s="80" t="s">
        <v>84</v>
      </c>
      <c r="L1042" s="80" t="s">
        <v>84</v>
      </c>
      <c r="M1042" s="80" t="s">
        <v>84</v>
      </c>
      <c r="N1042" s="80" t="s">
        <v>84</v>
      </c>
      <c r="O1042" s="80" t="s">
        <v>84</v>
      </c>
      <c r="P1042" s="80"/>
      <c r="Q1042" s="80" t="s">
        <v>84</v>
      </c>
      <c r="R1042" s="80" t="s">
        <v>84</v>
      </c>
    </row>
    <row r="1043" spans="1:18" ht="20" x14ac:dyDescent="0.2">
      <c r="A1043" s="80" t="s">
        <v>5372</v>
      </c>
      <c r="B1043" s="80" t="s">
        <v>5373</v>
      </c>
      <c r="C1043" s="80" t="s">
        <v>9722</v>
      </c>
      <c r="D1043" s="80" t="s">
        <v>84</v>
      </c>
      <c r="E1043" s="80" t="s">
        <v>84</v>
      </c>
      <c r="F1043" s="80"/>
      <c r="G1043" s="80" t="s">
        <v>84</v>
      </c>
      <c r="H1043" s="80" t="s">
        <v>84</v>
      </c>
      <c r="I1043" s="80" t="s">
        <v>84</v>
      </c>
      <c r="J1043" s="80" t="s">
        <v>84</v>
      </c>
      <c r="K1043" s="80" t="s">
        <v>84</v>
      </c>
      <c r="L1043" s="80" t="s">
        <v>84</v>
      </c>
      <c r="M1043" s="80" t="s">
        <v>84</v>
      </c>
      <c r="N1043" s="80" t="s">
        <v>84</v>
      </c>
      <c r="O1043" s="80" t="s">
        <v>84</v>
      </c>
      <c r="P1043" s="80"/>
      <c r="Q1043" s="80" t="s">
        <v>84</v>
      </c>
      <c r="R1043" s="80" t="s">
        <v>84</v>
      </c>
    </row>
    <row r="1044" spans="1:18" ht="20" x14ac:dyDescent="0.2">
      <c r="A1044" s="80" t="s">
        <v>5568</v>
      </c>
      <c r="B1044" s="80" t="s">
        <v>5569</v>
      </c>
      <c r="C1044" s="80" t="s">
        <v>9722</v>
      </c>
      <c r="D1044" s="80" t="s">
        <v>84</v>
      </c>
      <c r="E1044" s="80" t="s">
        <v>84</v>
      </c>
      <c r="F1044" s="80"/>
      <c r="G1044" s="80" t="s">
        <v>84</v>
      </c>
      <c r="H1044" s="80" t="s">
        <v>84</v>
      </c>
      <c r="I1044" s="80" t="s">
        <v>84</v>
      </c>
      <c r="J1044" s="80" t="s">
        <v>84</v>
      </c>
      <c r="K1044" s="80" t="s">
        <v>84</v>
      </c>
      <c r="L1044" s="80" t="s">
        <v>84</v>
      </c>
      <c r="M1044" s="80" t="s">
        <v>84</v>
      </c>
      <c r="N1044" s="80" t="s">
        <v>84</v>
      </c>
      <c r="O1044" s="80" t="s">
        <v>84</v>
      </c>
      <c r="P1044" s="80"/>
      <c r="Q1044" s="80" t="s">
        <v>84</v>
      </c>
      <c r="R1044" s="80" t="s">
        <v>84</v>
      </c>
    </row>
    <row r="1045" spans="1:18" ht="20" x14ac:dyDescent="0.2">
      <c r="A1045" s="80" t="s">
        <v>5570</v>
      </c>
      <c r="B1045" s="80" t="s">
        <v>5571</v>
      </c>
      <c r="C1045" s="80" t="s">
        <v>9722</v>
      </c>
      <c r="D1045" s="80" t="s">
        <v>9722</v>
      </c>
      <c r="E1045" s="80" t="s">
        <v>9722</v>
      </c>
      <c r="F1045" s="80"/>
      <c r="G1045" s="80" t="s">
        <v>9722</v>
      </c>
      <c r="H1045" s="80" t="s">
        <v>9722</v>
      </c>
      <c r="I1045" s="80" t="s">
        <v>9722</v>
      </c>
      <c r="J1045" s="80" t="s">
        <v>84</v>
      </c>
      <c r="K1045" s="80" t="s">
        <v>9722</v>
      </c>
      <c r="L1045" s="80" t="s">
        <v>9722</v>
      </c>
      <c r="M1045" s="80" t="s">
        <v>84</v>
      </c>
      <c r="N1045" s="80" t="s">
        <v>9722</v>
      </c>
      <c r="O1045" s="80" t="s">
        <v>84</v>
      </c>
      <c r="P1045" s="80"/>
      <c r="Q1045" s="80" t="s">
        <v>84</v>
      </c>
      <c r="R1045" s="80" t="s">
        <v>84</v>
      </c>
    </row>
    <row r="1046" spans="1:18" ht="20" x14ac:dyDescent="0.2">
      <c r="A1046" s="80" t="s">
        <v>5576</v>
      </c>
      <c r="B1046" s="80" t="s">
        <v>5577</v>
      </c>
      <c r="C1046" s="80" t="s">
        <v>9722</v>
      </c>
      <c r="D1046" s="80" t="s">
        <v>84</v>
      </c>
      <c r="E1046" s="80" t="s">
        <v>84</v>
      </c>
      <c r="F1046" s="80"/>
      <c r="G1046" s="80" t="s">
        <v>84</v>
      </c>
      <c r="H1046" s="80" t="s">
        <v>84</v>
      </c>
      <c r="I1046" s="80" t="s">
        <v>84</v>
      </c>
      <c r="J1046" s="80" t="s">
        <v>84</v>
      </c>
      <c r="K1046" s="80" t="s">
        <v>84</v>
      </c>
      <c r="L1046" s="80" t="s">
        <v>84</v>
      </c>
      <c r="M1046" s="80" t="s">
        <v>84</v>
      </c>
      <c r="N1046" s="80" t="s">
        <v>84</v>
      </c>
      <c r="O1046" s="80" t="s">
        <v>84</v>
      </c>
      <c r="P1046" s="80"/>
      <c r="Q1046" s="80" t="s">
        <v>84</v>
      </c>
      <c r="R1046" s="80" t="s">
        <v>84</v>
      </c>
    </row>
    <row r="1047" spans="1:18" ht="20" x14ac:dyDescent="0.2">
      <c r="A1047" s="80" t="s">
        <v>5578</v>
      </c>
      <c r="B1047" s="80" t="s">
        <v>5579</v>
      </c>
      <c r="C1047" s="80" t="s">
        <v>84</v>
      </c>
      <c r="D1047" s="80" t="s">
        <v>84</v>
      </c>
      <c r="E1047" s="80" t="s">
        <v>84</v>
      </c>
      <c r="F1047" s="80"/>
      <c r="G1047" s="80" t="s">
        <v>84</v>
      </c>
      <c r="H1047" s="80" t="s">
        <v>84</v>
      </c>
      <c r="I1047" s="80" t="s">
        <v>84</v>
      </c>
      <c r="J1047" s="80" t="s">
        <v>84</v>
      </c>
      <c r="K1047" s="80" t="s">
        <v>84</v>
      </c>
      <c r="L1047" s="80" t="s">
        <v>84</v>
      </c>
      <c r="M1047" s="80" t="s">
        <v>84</v>
      </c>
      <c r="N1047" s="80" t="s">
        <v>84</v>
      </c>
      <c r="O1047" s="80" t="s">
        <v>84</v>
      </c>
      <c r="P1047" s="80"/>
      <c r="Q1047" s="80" t="s">
        <v>84</v>
      </c>
      <c r="R1047" s="80" t="s">
        <v>84</v>
      </c>
    </row>
    <row r="1048" spans="1:18" ht="20" x14ac:dyDescent="0.2">
      <c r="A1048" s="80" t="s">
        <v>5580</v>
      </c>
      <c r="B1048" s="80" t="s">
        <v>5581</v>
      </c>
      <c r="C1048" s="80" t="s">
        <v>9722</v>
      </c>
      <c r="D1048" s="80" t="s">
        <v>84</v>
      </c>
      <c r="E1048" s="80" t="s">
        <v>84</v>
      </c>
      <c r="F1048" s="80"/>
      <c r="G1048" s="80" t="s">
        <v>84</v>
      </c>
      <c r="H1048" s="80" t="s">
        <v>84</v>
      </c>
      <c r="I1048" s="80" t="s">
        <v>84</v>
      </c>
      <c r="J1048" s="80" t="s">
        <v>84</v>
      </c>
      <c r="K1048" s="80" t="s">
        <v>84</v>
      </c>
      <c r="L1048" s="80" t="s">
        <v>84</v>
      </c>
      <c r="M1048" s="80" t="s">
        <v>84</v>
      </c>
      <c r="N1048" s="80" t="s">
        <v>84</v>
      </c>
      <c r="O1048" s="80" t="s">
        <v>84</v>
      </c>
      <c r="P1048" s="80"/>
      <c r="Q1048" s="80" t="s">
        <v>84</v>
      </c>
      <c r="R1048" s="80" t="s">
        <v>84</v>
      </c>
    </row>
    <row r="1049" spans="1:18" ht="20" x14ac:dyDescent="0.2">
      <c r="A1049" s="80" t="s">
        <v>5582</v>
      </c>
      <c r="B1049" s="80" t="s">
        <v>5583</v>
      </c>
      <c r="C1049" s="80" t="s">
        <v>9722</v>
      </c>
      <c r="D1049" s="80" t="s">
        <v>84</v>
      </c>
      <c r="E1049" s="80" t="s">
        <v>84</v>
      </c>
      <c r="F1049" s="80"/>
      <c r="G1049" s="80" t="s">
        <v>84</v>
      </c>
      <c r="H1049" s="80" t="s">
        <v>84</v>
      </c>
      <c r="I1049" s="80" t="s">
        <v>84</v>
      </c>
      <c r="J1049" s="80" t="s">
        <v>84</v>
      </c>
      <c r="K1049" s="80" t="s">
        <v>84</v>
      </c>
      <c r="L1049" s="80" t="s">
        <v>84</v>
      </c>
      <c r="M1049" s="80" t="s">
        <v>84</v>
      </c>
      <c r="N1049" s="80" t="s">
        <v>84</v>
      </c>
      <c r="O1049" s="80" t="s">
        <v>84</v>
      </c>
      <c r="P1049" s="80"/>
      <c r="Q1049" s="80" t="s">
        <v>84</v>
      </c>
      <c r="R1049" s="80" t="s">
        <v>84</v>
      </c>
    </row>
    <row r="1050" spans="1:18" ht="20" x14ac:dyDescent="0.2">
      <c r="A1050" s="80" t="s">
        <v>5453</v>
      </c>
      <c r="B1050" s="80" t="s">
        <v>10071</v>
      </c>
      <c r="C1050" s="80" t="s">
        <v>9722</v>
      </c>
      <c r="D1050" s="80" t="s">
        <v>9722</v>
      </c>
      <c r="E1050" s="80" t="s">
        <v>84</v>
      </c>
      <c r="F1050" s="80"/>
      <c r="G1050" s="80" t="s">
        <v>9722</v>
      </c>
      <c r="H1050" s="80" t="s">
        <v>84</v>
      </c>
      <c r="I1050" s="80" t="s">
        <v>9722</v>
      </c>
      <c r="J1050" s="80" t="s">
        <v>9722</v>
      </c>
      <c r="K1050" s="80" t="s">
        <v>9722</v>
      </c>
      <c r="L1050" s="80" t="s">
        <v>9722</v>
      </c>
      <c r="M1050" s="80" t="s">
        <v>9722</v>
      </c>
      <c r="N1050" s="80" t="s">
        <v>84</v>
      </c>
      <c r="O1050" s="80" t="s">
        <v>9722</v>
      </c>
      <c r="P1050" s="80"/>
      <c r="Q1050" s="80" t="s">
        <v>9722</v>
      </c>
      <c r="R1050" s="80" t="s">
        <v>9722</v>
      </c>
    </row>
    <row r="1051" spans="1:18" ht="20" x14ac:dyDescent="0.2">
      <c r="A1051" s="80" t="s">
        <v>5453</v>
      </c>
      <c r="B1051" s="80" t="s">
        <v>5454</v>
      </c>
      <c r="C1051" s="80" t="s">
        <v>9722</v>
      </c>
      <c r="D1051" s="80" t="s">
        <v>9722</v>
      </c>
      <c r="E1051" s="80" t="s">
        <v>84</v>
      </c>
      <c r="F1051" s="80"/>
      <c r="G1051" s="80" t="s">
        <v>9722</v>
      </c>
      <c r="H1051" s="80" t="s">
        <v>84</v>
      </c>
      <c r="I1051" s="80" t="s">
        <v>9722</v>
      </c>
      <c r="J1051" s="80" t="s">
        <v>9722</v>
      </c>
      <c r="K1051" s="80" t="s">
        <v>9722</v>
      </c>
      <c r="L1051" s="80" t="s">
        <v>9722</v>
      </c>
      <c r="M1051" s="80" t="s">
        <v>9722</v>
      </c>
      <c r="N1051" s="80" t="s">
        <v>84</v>
      </c>
      <c r="O1051" s="80" t="s">
        <v>9722</v>
      </c>
      <c r="P1051" s="80"/>
      <c r="Q1051" s="80" t="s">
        <v>9722</v>
      </c>
      <c r="R1051" s="80" t="s">
        <v>9722</v>
      </c>
    </row>
    <row r="1052" spans="1:18" ht="20" x14ac:dyDescent="0.2">
      <c r="A1052" s="80" t="s">
        <v>5584</v>
      </c>
      <c r="B1052" s="80" t="s">
        <v>10072</v>
      </c>
      <c r="C1052" s="80" t="s">
        <v>9722</v>
      </c>
      <c r="D1052" s="80" t="s">
        <v>9722</v>
      </c>
      <c r="E1052" s="80" t="s">
        <v>84</v>
      </c>
      <c r="F1052" s="80"/>
      <c r="G1052" s="80" t="s">
        <v>9722</v>
      </c>
      <c r="H1052" s="80" t="s">
        <v>9722</v>
      </c>
      <c r="I1052" s="80" t="s">
        <v>9722</v>
      </c>
      <c r="J1052" s="80" t="s">
        <v>9722</v>
      </c>
      <c r="K1052" s="80" t="s">
        <v>9722</v>
      </c>
      <c r="L1052" s="80" t="s">
        <v>9722</v>
      </c>
      <c r="M1052" s="80" t="s">
        <v>9722</v>
      </c>
      <c r="N1052" s="80" t="s">
        <v>84</v>
      </c>
      <c r="O1052" s="80" t="s">
        <v>9722</v>
      </c>
      <c r="P1052" s="80"/>
      <c r="Q1052" s="80" t="s">
        <v>9722</v>
      </c>
      <c r="R1052" s="80" t="s">
        <v>9722</v>
      </c>
    </row>
    <row r="1053" spans="1:18" ht="20" x14ac:dyDescent="0.2">
      <c r="A1053" s="80" t="s">
        <v>5584</v>
      </c>
      <c r="B1053" s="80" t="s">
        <v>5585</v>
      </c>
      <c r="C1053" s="80" t="s">
        <v>9722</v>
      </c>
      <c r="D1053" s="80" t="s">
        <v>9722</v>
      </c>
      <c r="E1053" s="80" t="s">
        <v>84</v>
      </c>
      <c r="F1053" s="80"/>
      <c r="G1053" s="80" t="s">
        <v>9722</v>
      </c>
      <c r="H1053" s="80" t="s">
        <v>9722</v>
      </c>
      <c r="I1053" s="80" t="s">
        <v>9722</v>
      </c>
      <c r="J1053" s="80" t="s">
        <v>9722</v>
      </c>
      <c r="K1053" s="80" t="s">
        <v>9722</v>
      </c>
      <c r="L1053" s="80" t="s">
        <v>9722</v>
      </c>
      <c r="M1053" s="80" t="s">
        <v>9722</v>
      </c>
      <c r="N1053" s="80" t="s">
        <v>84</v>
      </c>
      <c r="O1053" s="80" t="s">
        <v>9722</v>
      </c>
      <c r="P1053" s="80"/>
      <c r="Q1053" s="80" t="s">
        <v>9722</v>
      </c>
      <c r="R1053" s="80" t="s">
        <v>9722</v>
      </c>
    </row>
    <row r="1054" spans="1:18" ht="20" x14ac:dyDescent="0.2">
      <c r="A1054" s="80" t="s">
        <v>5586</v>
      </c>
      <c r="B1054" s="80" t="s">
        <v>5587</v>
      </c>
      <c r="C1054" s="80" t="s">
        <v>9722</v>
      </c>
      <c r="D1054" s="80" t="s">
        <v>9722</v>
      </c>
      <c r="E1054" s="80" t="s">
        <v>9722</v>
      </c>
      <c r="F1054" s="80"/>
      <c r="G1054" s="80" t="s">
        <v>9722</v>
      </c>
      <c r="H1054" s="80" t="s">
        <v>9722</v>
      </c>
      <c r="I1054" s="80" t="s">
        <v>9722</v>
      </c>
      <c r="J1054" s="80" t="s">
        <v>9722</v>
      </c>
      <c r="K1054" s="80" t="s">
        <v>9722</v>
      </c>
      <c r="L1054" s="80" t="s">
        <v>9722</v>
      </c>
      <c r="M1054" s="80" t="s">
        <v>9722</v>
      </c>
      <c r="N1054" s="80" t="s">
        <v>9722</v>
      </c>
      <c r="O1054" s="80" t="s">
        <v>9722</v>
      </c>
      <c r="P1054" s="80"/>
      <c r="Q1054" s="80" t="s">
        <v>9722</v>
      </c>
      <c r="R1054" s="80" t="s">
        <v>9722</v>
      </c>
    </row>
    <row r="1055" spans="1:18" ht="20" x14ac:dyDescent="0.2">
      <c r="A1055" s="80" t="s">
        <v>5466</v>
      </c>
      <c r="B1055" s="80" t="s">
        <v>5467</v>
      </c>
      <c r="C1055" s="80" t="s">
        <v>9722</v>
      </c>
      <c r="D1055" s="80" t="s">
        <v>9722</v>
      </c>
      <c r="E1055" s="80" t="s">
        <v>84</v>
      </c>
      <c r="F1055" s="80"/>
      <c r="G1055" s="80" t="s">
        <v>9722</v>
      </c>
      <c r="H1055" s="80" t="s">
        <v>84</v>
      </c>
      <c r="I1055" s="80" t="s">
        <v>9722</v>
      </c>
      <c r="J1055" s="80" t="s">
        <v>84</v>
      </c>
      <c r="K1055" s="80" t="s">
        <v>9722</v>
      </c>
      <c r="L1055" s="80" t="s">
        <v>9722</v>
      </c>
      <c r="M1055" s="80" t="s">
        <v>9722</v>
      </c>
      <c r="N1055" s="80" t="s">
        <v>84</v>
      </c>
      <c r="O1055" s="80" t="s">
        <v>9722</v>
      </c>
      <c r="P1055" s="80"/>
      <c r="Q1055" s="80" t="s">
        <v>9722</v>
      </c>
      <c r="R1055" s="80" t="s">
        <v>9722</v>
      </c>
    </row>
    <row r="1056" spans="1:18" ht="20" x14ac:dyDescent="0.2">
      <c r="A1056" s="80" t="s">
        <v>5469</v>
      </c>
      <c r="B1056" s="80" t="s">
        <v>5470</v>
      </c>
      <c r="C1056" s="80" t="s">
        <v>9722</v>
      </c>
      <c r="D1056" s="80" t="s">
        <v>9722</v>
      </c>
      <c r="E1056" s="80" t="s">
        <v>84</v>
      </c>
      <c r="F1056" s="80"/>
      <c r="G1056" s="80" t="s">
        <v>9722</v>
      </c>
      <c r="H1056" s="80" t="s">
        <v>84</v>
      </c>
      <c r="I1056" s="80" t="s">
        <v>9722</v>
      </c>
      <c r="J1056" s="80" t="s">
        <v>84</v>
      </c>
      <c r="K1056" s="80" t="s">
        <v>9722</v>
      </c>
      <c r="L1056" s="80" t="s">
        <v>9722</v>
      </c>
      <c r="M1056" s="80" t="s">
        <v>9722</v>
      </c>
      <c r="N1056" s="80" t="s">
        <v>84</v>
      </c>
      <c r="O1056" s="80" t="s">
        <v>9722</v>
      </c>
      <c r="P1056" s="80"/>
      <c r="Q1056" s="80" t="s">
        <v>9722</v>
      </c>
      <c r="R1056" s="80" t="s">
        <v>9722</v>
      </c>
    </row>
    <row r="1057" spans="1:18" ht="20" x14ac:dyDescent="0.2">
      <c r="A1057" s="80" t="s">
        <v>5477</v>
      </c>
      <c r="B1057" s="80" t="s">
        <v>5478</v>
      </c>
      <c r="C1057" s="80" t="s">
        <v>9722</v>
      </c>
      <c r="D1057" s="80" t="s">
        <v>9722</v>
      </c>
      <c r="E1057" s="80" t="s">
        <v>84</v>
      </c>
      <c r="F1057" s="80"/>
      <c r="G1057" s="80" t="s">
        <v>84</v>
      </c>
      <c r="H1057" s="80" t="s">
        <v>9722</v>
      </c>
      <c r="I1057" s="80" t="s">
        <v>9722</v>
      </c>
      <c r="J1057" s="80" t="s">
        <v>84</v>
      </c>
      <c r="K1057" s="80" t="s">
        <v>9722</v>
      </c>
      <c r="L1057" s="80" t="s">
        <v>9722</v>
      </c>
      <c r="M1057" s="80" t="s">
        <v>9722</v>
      </c>
      <c r="N1057" s="80" t="s">
        <v>84</v>
      </c>
      <c r="O1057" s="80" t="s">
        <v>9722</v>
      </c>
      <c r="P1057" s="80"/>
      <c r="Q1057" s="80" t="s">
        <v>9722</v>
      </c>
      <c r="R1057" s="80" t="s">
        <v>9722</v>
      </c>
    </row>
    <row r="1058" spans="1:18" ht="20" x14ac:dyDescent="0.2">
      <c r="A1058" s="80" t="s">
        <v>5485</v>
      </c>
      <c r="B1058" s="80" t="s">
        <v>5486</v>
      </c>
      <c r="C1058" s="80" t="s">
        <v>9722</v>
      </c>
      <c r="D1058" s="80" t="s">
        <v>9722</v>
      </c>
      <c r="E1058" s="80" t="s">
        <v>84</v>
      </c>
      <c r="F1058" s="80"/>
      <c r="G1058" s="80" t="s">
        <v>84</v>
      </c>
      <c r="H1058" s="80" t="s">
        <v>9722</v>
      </c>
      <c r="I1058" s="80" t="s">
        <v>9722</v>
      </c>
      <c r="J1058" s="80" t="s">
        <v>84</v>
      </c>
      <c r="K1058" s="80" t="s">
        <v>9722</v>
      </c>
      <c r="L1058" s="80" t="s">
        <v>9722</v>
      </c>
      <c r="M1058" s="80" t="s">
        <v>9722</v>
      </c>
      <c r="N1058" s="80" t="s">
        <v>84</v>
      </c>
      <c r="O1058" s="80" t="s">
        <v>9722</v>
      </c>
      <c r="P1058" s="80"/>
      <c r="Q1058" s="80" t="s">
        <v>9722</v>
      </c>
      <c r="R1058" s="80" t="s">
        <v>9722</v>
      </c>
    </row>
    <row r="1059" spans="1:18" ht="20" x14ac:dyDescent="0.2">
      <c r="A1059" s="80" t="s">
        <v>5588</v>
      </c>
      <c r="B1059" s="80" t="s">
        <v>5589</v>
      </c>
      <c r="C1059" s="80" t="s">
        <v>9722</v>
      </c>
      <c r="D1059" s="80" t="s">
        <v>84</v>
      </c>
      <c r="E1059" s="80" t="s">
        <v>84</v>
      </c>
      <c r="F1059" s="80"/>
      <c r="G1059" s="80" t="s">
        <v>84</v>
      </c>
      <c r="H1059" s="80" t="s">
        <v>84</v>
      </c>
      <c r="I1059" s="80" t="s">
        <v>84</v>
      </c>
      <c r="J1059" s="80" t="s">
        <v>84</v>
      </c>
      <c r="K1059" s="80" t="s">
        <v>84</v>
      </c>
      <c r="L1059" s="80" t="s">
        <v>84</v>
      </c>
      <c r="M1059" s="80" t="s">
        <v>84</v>
      </c>
      <c r="N1059" s="80" t="s">
        <v>84</v>
      </c>
      <c r="O1059" s="80" t="s">
        <v>84</v>
      </c>
      <c r="P1059" s="80"/>
      <c r="Q1059" s="80" t="s">
        <v>84</v>
      </c>
      <c r="R1059" s="80" t="s">
        <v>84</v>
      </c>
    </row>
    <row r="1060" spans="1:18" ht="20" x14ac:dyDescent="0.2">
      <c r="A1060" s="80" t="s">
        <v>5590</v>
      </c>
      <c r="B1060" s="80" t="s">
        <v>5591</v>
      </c>
      <c r="C1060" s="80" t="s">
        <v>9722</v>
      </c>
      <c r="D1060" s="80" t="s">
        <v>84</v>
      </c>
      <c r="E1060" s="80" t="s">
        <v>84</v>
      </c>
      <c r="F1060" s="80"/>
      <c r="G1060" s="80" t="s">
        <v>84</v>
      </c>
      <c r="H1060" s="80" t="s">
        <v>84</v>
      </c>
      <c r="I1060" s="80" t="s">
        <v>84</v>
      </c>
      <c r="J1060" s="80" t="s">
        <v>84</v>
      </c>
      <c r="K1060" s="80" t="s">
        <v>84</v>
      </c>
      <c r="L1060" s="80" t="s">
        <v>84</v>
      </c>
      <c r="M1060" s="80" t="s">
        <v>84</v>
      </c>
      <c r="N1060" s="80" t="s">
        <v>84</v>
      </c>
      <c r="O1060" s="80" t="s">
        <v>84</v>
      </c>
      <c r="P1060" s="80"/>
      <c r="Q1060" s="80" t="s">
        <v>84</v>
      </c>
      <c r="R1060" s="80" t="s">
        <v>84</v>
      </c>
    </row>
    <row r="1061" spans="1:18" ht="20" x14ac:dyDescent="0.2">
      <c r="A1061" s="80" t="s">
        <v>5592</v>
      </c>
      <c r="B1061" s="80" t="s">
        <v>5593</v>
      </c>
      <c r="C1061" s="80" t="s">
        <v>9722</v>
      </c>
      <c r="D1061" s="80" t="s">
        <v>84</v>
      </c>
      <c r="E1061" s="80" t="s">
        <v>84</v>
      </c>
      <c r="F1061" s="80"/>
      <c r="G1061" s="80" t="s">
        <v>84</v>
      </c>
      <c r="H1061" s="80" t="s">
        <v>84</v>
      </c>
      <c r="I1061" s="80" t="s">
        <v>84</v>
      </c>
      <c r="J1061" s="80" t="s">
        <v>84</v>
      </c>
      <c r="K1061" s="80" t="s">
        <v>84</v>
      </c>
      <c r="L1061" s="80" t="s">
        <v>84</v>
      </c>
      <c r="M1061" s="80" t="s">
        <v>84</v>
      </c>
      <c r="N1061" s="80" t="s">
        <v>84</v>
      </c>
      <c r="O1061" s="80" t="s">
        <v>84</v>
      </c>
      <c r="P1061" s="80"/>
      <c r="Q1061" s="80" t="s">
        <v>84</v>
      </c>
      <c r="R1061" s="80" t="s">
        <v>84</v>
      </c>
    </row>
    <row r="1062" spans="1:18" ht="20" x14ac:dyDescent="0.2">
      <c r="A1062" s="80" t="s">
        <v>5594</v>
      </c>
      <c r="B1062" s="80" t="s">
        <v>5595</v>
      </c>
      <c r="C1062" s="80" t="s">
        <v>9722</v>
      </c>
      <c r="D1062" s="80" t="s">
        <v>9722</v>
      </c>
      <c r="E1062" s="80" t="s">
        <v>9722</v>
      </c>
      <c r="F1062" s="80"/>
      <c r="G1062" s="80" t="s">
        <v>9722</v>
      </c>
      <c r="H1062" s="80" t="s">
        <v>9722</v>
      </c>
      <c r="I1062" s="80" t="s">
        <v>9722</v>
      </c>
      <c r="J1062" s="80" t="s">
        <v>84</v>
      </c>
      <c r="K1062" s="80" t="s">
        <v>9722</v>
      </c>
      <c r="L1062" s="80" t="s">
        <v>9722</v>
      </c>
      <c r="M1062" s="80" t="s">
        <v>84</v>
      </c>
      <c r="N1062" s="80" t="s">
        <v>9722</v>
      </c>
      <c r="O1062" s="80" t="s">
        <v>84</v>
      </c>
      <c r="P1062" s="80"/>
      <c r="Q1062" s="80" t="s">
        <v>84</v>
      </c>
      <c r="R1062" s="80" t="s">
        <v>84</v>
      </c>
    </row>
    <row r="1063" spans="1:18" ht="20" x14ac:dyDescent="0.2">
      <c r="A1063" s="80" t="s">
        <v>5600</v>
      </c>
      <c r="B1063" s="80" t="s">
        <v>10073</v>
      </c>
      <c r="C1063" s="80" t="s">
        <v>9722</v>
      </c>
      <c r="D1063" s="80" t="s">
        <v>84</v>
      </c>
      <c r="E1063" s="80" t="s">
        <v>84</v>
      </c>
      <c r="F1063" s="80"/>
      <c r="G1063" s="80" t="s">
        <v>84</v>
      </c>
      <c r="H1063" s="80" t="s">
        <v>84</v>
      </c>
      <c r="I1063" s="80" t="s">
        <v>84</v>
      </c>
      <c r="J1063" s="80" t="s">
        <v>84</v>
      </c>
      <c r="K1063" s="80" t="s">
        <v>84</v>
      </c>
      <c r="L1063" s="80" t="s">
        <v>84</v>
      </c>
      <c r="M1063" s="80" t="s">
        <v>9722</v>
      </c>
      <c r="N1063" s="80" t="s">
        <v>84</v>
      </c>
      <c r="O1063" s="80" t="s">
        <v>84</v>
      </c>
      <c r="P1063" s="80"/>
      <c r="Q1063" s="80" t="s">
        <v>84</v>
      </c>
      <c r="R1063" s="80" t="s">
        <v>84</v>
      </c>
    </row>
    <row r="1064" spans="1:18" ht="20" x14ac:dyDescent="0.2">
      <c r="A1064" s="80" t="s">
        <v>5600</v>
      </c>
      <c r="B1064" s="80" t="s">
        <v>5601</v>
      </c>
      <c r="C1064" s="80" t="s">
        <v>9722</v>
      </c>
      <c r="D1064" s="80" t="s">
        <v>84</v>
      </c>
      <c r="E1064" s="80" t="s">
        <v>84</v>
      </c>
      <c r="F1064" s="80"/>
      <c r="G1064" s="80" t="s">
        <v>84</v>
      </c>
      <c r="H1064" s="80" t="s">
        <v>84</v>
      </c>
      <c r="I1064" s="80" t="s">
        <v>84</v>
      </c>
      <c r="J1064" s="80" t="s">
        <v>84</v>
      </c>
      <c r="K1064" s="80" t="s">
        <v>84</v>
      </c>
      <c r="L1064" s="80" t="s">
        <v>84</v>
      </c>
      <c r="M1064" s="80" t="s">
        <v>9722</v>
      </c>
      <c r="N1064" s="80" t="s">
        <v>84</v>
      </c>
      <c r="O1064" s="80" t="s">
        <v>84</v>
      </c>
      <c r="P1064" s="80"/>
      <c r="Q1064" s="80" t="s">
        <v>84</v>
      </c>
      <c r="R1064" s="80" t="s">
        <v>84</v>
      </c>
    </row>
    <row r="1065" spans="1:18" ht="20" x14ac:dyDescent="0.2">
      <c r="A1065" s="80" t="s">
        <v>5602</v>
      </c>
      <c r="B1065" s="80" t="s">
        <v>10074</v>
      </c>
      <c r="C1065" s="80" t="s">
        <v>9722</v>
      </c>
      <c r="D1065" s="80" t="s">
        <v>84</v>
      </c>
      <c r="E1065" s="80" t="s">
        <v>84</v>
      </c>
      <c r="F1065" s="80"/>
      <c r="G1065" s="80" t="s">
        <v>84</v>
      </c>
      <c r="H1065" s="80" t="s">
        <v>84</v>
      </c>
      <c r="I1065" s="80" t="s">
        <v>84</v>
      </c>
      <c r="J1065" s="80" t="s">
        <v>84</v>
      </c>
      <c r="K1065" s="80" t="s">
        <v>84</v>
      </c>
      <c r="L1065" s="80" t="s">
        <v>84</v>
      </c>
      <c r="M1065" s="80" t="s">
        <v>84</v>
      </c>
      <c r="N1065" s="80" t="s">
        <v>84</v>
      </c>
      <c r="O1065" s="80" t="s">
        <v>84</v>
      </c>
      <c r="P1065" s="80"/>
      <c r="Q1065" s="80" t="s">
        <v>84</v>
      </c>
      <c r="R1065" s="80" t="s">
        <v>84</v>
      </c>
    </row>
    <row r="1066" spans="1:18" ht="20" x14ac:dyDescent="0.2">
      <c r="A1066" s="80" t="s">
        <v>5602</v>
      </c>
      <c r="B1066" s="80" t="s">
        <v>5603</v>
      </c>
      <c r="C1066" s="80" t="s">
        <v>9722</v>
      </c>
      <c r="D1066" s="80" t="s">
        <v>84</v>
      </c>
      <c r="E1066" s="80" t="s">
        <v>84</v>
      </c>
      <c r="F1066" s="80"/>
      <c r="G1066" s="80" t="s">
        <v>84</v>
      </c>
      <c r="H1066" s="80" t="s">
        <v>84</v>
      </c>
      <c r="I1066" s="80" t="s">
        <v>84</v>
      </c>
      <c r="J1066" s="80" t="s">
        <v>84</v>
      </c>
      <c r="K1066" s="80" t="s">
        <v>84</v>
      </c>
      <c r="L1066" s="80" t="s">
        <v>84</v>
      </c>
      <c r="M1066" s="80" t="s">
        <v>84</v>
      </c>
      <c r="N1066" s="80" t="s">
        <v>84</v>
      </c>
      <c r="O1066" s="80" t="s">
        <v>84</v>
      </c>
      <c r="P1066" s="80"/>
      <c r="Q1066" s="80" t="s">
        <v>84</v>
      </c>
      <c r="R1066" s="80" t="s">
        <v>84</v>
      </c>
    </row>
    <row r="1067" spans="1:18" ht="20" x14ac:dyDescent="0.2">
      <c r="A1067" s="80" t="s">
        <v>5604</v>
      </c>
      <c r="B1067" s="80" t="s">
        <v>5605</v>
      </c>
      <c r="C1067" s="80" t="s">
        <v>9722</v>
      </c>
      <c r="D1067" s="80" t="s">
        <v>84</v>
      </c>
      <c r="E1067" s="80" t="s">
        <v>84</v>
      </c>
      <c r="F1067" s="80"/>
      <c r="G1067" s="80" t="s">
        <v>84</v>
      </c>
      <c r="H1067" s="80" t="s">
        <v>84</v>
      </c>
      <c r="I1067" s="80" t="s">
        <v>84</v>
      </c>
      <c r="J1067" s="80" t="s">
        <v>84</v>
      </c>
      <c r="K1067" s="80" t="s">
        <v>84</v>
      </c>
      <c r="L1067" s="80" t="s">
        <v>84</v>
      </c>
      <c r="M1067" s="80" t="s">
        <v>84</v>
      </c>
      <c r="N1067" s="80" t="s">
        <v>84</v>
      </c>
      <c r="O1067" s="80" t="s">
        <v>84</v>
      </c>
      <c r="P1067" s="80"/>
      <c r="Q1067" s="80" t="s">
        <v>84</v>
      </c>
      <c r="R1067" s="80" t="s">
        <v>84</v>
      </c>
    </row>
    <row r="1068" spans="1:18" ht="20" x14ac:dyDescent="0.2">
      <c r="A1068" s="80" t="s">
        <v>5606</v>
      </c>
      <c r="B1068" s="80" t="s">
        <v>5607</v>
      </c>
      <c r="C1068" s="80" t="s">
        <v>9722</v>
      </c>
      <c r="D1068" s="80" t="s">
        <v>9722</v>
      </c>
      <c r="E1068" s="80" t="s">
        <v>9722</v>
      </c>
      <c r="F1068" s="80"/>
      <c r="G1068" s="80" t="s">
        <v>9722</v>
      </c>
      <c r="H1068" s="80" t="s">
        <v>9722</v>
      </c>
      <c r="I1068" s="80" t="s">
        <v>9722</v>
      </c>
      <c r="J1068" s="80" t="s">
        <v>84</v>
      </c>
      <c r="K1068" s="80" t="s">
        <v>9722</v>
      </c>
      <c r="L1068" s="80" t="s">
        <v>9722</v>
      </c>
      <c r="M1068" s="80" t="s">
        <v>84</v>
      </c>
      <c r="N1068" s="80" t="s">
        <v>9722</v>
      </c>
      <c r="O1068" s="80" t="s">
        <v>84</v>
      </c>
      <c r="P1068" s="80"/>
      <c r="Q1068" s="80" t="s">
        <v>84</v>
      </c>
      <c r="R1068" s="80" t="s">
        <v>84</v>
      </c>
    </row>
    <row r="1069" spans="1:18" ht="20" x14ac:dyDescent="0.2">
      <c r="A1069" s="80" t="s">
        <v>5612</v>
      </c>
      <c r="B1069" s="80" t="s">
        <v>10075</v>
      </c>
      <c r="C1069" s="80" t="s">
        <v>9722</v>
      </c>
      <c r="D1069" s="80" t="s">
        <v>84</v>
      </c>
      <c r="E1069" s="80" t="s">
        <v>84</v>
      </c>
      <c r="F1069" s="80"/>
      <c r="G1069" s="80" t="s">
        <v>84</v>
      </c>
      <c r="H1069" s="80" t="s">
        <v>9722</v>
      </c>
      <c r="I1069" s="80" t="s">
        <v>84</v>
      </c>
      <c r="J1069" s="80" t="s">
        <v>84</v>
      </c>
      <c r="K1069" s="80" t="s">
        <v>84</v>
      </c>
      <c r="L1069" s="80" t="s">
        <v>84</v>
      </c>
      <c r="M1069" s="80" t="s">
        <v>84</v>
      </c>
      <c r="N1069" s="80" t="s">
        <v>84</v>
      </c>
      <c r="O1069" s="80" t="s">
        <v>84</v>
      </c>
      <c r="P1069" s="80"/>
      <c r="Q1069" s="80" t="s">
        <v>84</v>
      </c>
      <c r="R1069" s="80" t="s">
        <v>84</v>
      </c>
    </row>
    <row r="1070" spans="1:18" ht="20" x14ac:dyDescent="0.2">
      <c r="A1070" s="80" t="s">
        <v>5612</v>
      </c>
      <c r="B1070" s="80" t="s">
        <v>5613</v>
      </c>
      <c r="C1070" s="80" t="s">
        <v>9722</v>
      </c>
      <c r="D1070" s="80" t="s">
        <v>84</v>
      </c>
      <c r="E1070" s="80" t="s">
        <v>84</v>
      </c>
      <c r="F1070" s="80"/>
      <c r="G1070" s="80" t="s">
        <v>84</v>
      </c>
      <c r="H1070" s="80" t="s">
        <v>9722</v>
      </c>
      <c r="I1070" s="80" t="s">
        <v>84</v>
      </c>
      <c r="J1070" s="80" t="s">
        <v>84</v>
      </c>
      <c r="K1070" s="80" t="s">
        <v>84</v>
      </c>
      <c r="L1070" s="80" t="s">
        <v>84</v>
      </c>
      <c r="M1070" s="80" t="s">
        <v>84</v>
      </c>
      <c r="N1070" s="80" t="s">
        <v>84</v>
      </c>
      <c r="O1070" s="80" t="s">
        <v>84</v>
      </c>
      <c r="P1070" s="80"/>
      <c r="Q1070" s="80" t="s">
        <v>84</v>
      </c>
      <c r="R1070" s="80" t="s">
        <v>84</v>
      </c>
    </row>
    <row r="1071" spans="1:18" ht="20" x14ac:dyDescent="0.2">
      <c r="A1071" s="80" t="s">
        <v>5614</v>
      </c>
      <c r="B1071" s="80" t="s">
        <v>10076</v>
      </c>
      <c r="C1071" s="80" t="s">
        <v>9722</v>
      </c>
      <c r="D1071" s="80" t="s">
        <v>84</v>
      </c>
      <c r="E1071" s="80" t="s">
        <v>84</v>
      </c>
      <c r="F1071" s="80"/>
      <c r="G1071" s="80" t="s">
        <v>84</v>
      </c>
      <c r="H1071" s="80" t="s">
        <v>9722</v>
      </c>
      <c r="I1071" s="80" t="s">
        <v>84</v>
      </c>
      <c r="J1071" s="80" t="s">
        <v>84</v>
      </c>
      <c r="K1071" s="80" t="s">
        <v>84</v>
      </c>
      <c r="L1071" s="80" t="s">
        <v>84</v>
      </c>
      <c r="M1071" s="80" t="s">
        <v>84</v>
      </c>
      <c r="N1071" s="80" t="s">
        <v>84</v>
      </c>
      <c r="O1071" s="80" t="s">
        <v>84</v>
      </c>
      <c r="P1071" s="80"/>
      <c r="Q1071" s="80" t="s">
        <v>84</v>
      </c>
      <c r="R1071" s="80" t="s">
        <v>84</v>
      </c>
    </row>
    <row r="1072" spans="1:18" ht="20" x14ac:dyDescent="0.2">
      <c r="A1072" s="80" t="s">
        <v>5614</v>
      </c>
      <c r="B1072" s="80" t="s">
        <v>5615</v>
      </c>
      <c r="C1072" s="80" t="s">
        <v>9722</v>
      </c>
      <c r="D1072" s="80" t="s">
        <v>84</v>
      </c>
      <c r="E1072" s="80" t="s">
        <v>84</v>
      </c>
      <c r="F1072" s="80"/>
      <c r="G1072" s="80" t="s">
        <v>84</v>
      </c>
      <c r="H1072" s="80" t="s">
        <v>9722</v>
      </c>
      <c r="I1072" s="80" t="s">
        <v>84</v>
      </c>
      <c r="J1072" s="80" t="s">
        <v>84</v>
      </c>
      <c r="K1072" s="80" t="s">
        <v>84</v>
      </c>
      <c r="L1072" s="80" t="s">
        <v>84</v>
      </c>
      <c r="M1072" s="80" t="s">
        <v>84</v>
      </c>
      <c r="N1072" s="80" t="s">
        <v>84</v>
      </c>
      <c r="O1072" s="80" t="s">
        <v>84</v>
      </c>
      <c r="P1072" s="80"/>
      <c r="Q1072" s="80" t="s">
        <v>84</v>
      </c>
      <c r="R1072" s="80" t="s">
        <v>84</v>
      </c>
    </row>
    <row r="1073" spans="1:18" ht="20" x14ac:dyDescent="0.2">
      <c r="A1073" s="80" t="s">
        <v>5616</v>
      </c>
      <c r="B1073" s="80" t="s">
        <v>5617</v>
      </c>
      <c r="C1073" s="80" t="s">
        <v>9722</v>
      </c>
      <c r="D1073" s="80" t="s">
        <v>84</v>
      </c>
      <c r="E1073" s="80" t="s">
        <v>84</v>
      </c>
      <c r="F1073" s="80"/>
      <c r="G1073" s="80" t="s">
        <v>84</v>
      </c>
      <c r="H1073" s="80" t="s">
        <v>84</v>
      </c>
      <c r="I1073" s="80" t="s">
        <v>84</v>
      </c>
      <c r="J1073" s="80" t="s">
        <v>84</v>
      </c>
      <c r="K1073" s="80" t="s">
        <v>84</v>
      </c>
      <c r="L1073" s="80" t="s">
        <v>84</v>
      </c>
      <c r="M1073" s="80" t="s">
        <v>84</v>
      </c>
      <c r="N1073" s="80" t="s">
        <v>84</v>
      </c>
      <c r="O1073" s="80" t="s">
        <v>84</v>
      </c>
      <c r="P1073" s="80"/>
      <c r="Q1073" s="80" t="s">
        <v>84</v>
      </c>
      <c r="R1073" s="80" t="s">
        <v>84</v>
      </c>
    </row>
    <row r="1074" spans="1:18" ht="20" x14ac:dyDescent="0.2">
      <c r="A1074" s="80" t="s">
        <v>5618</v>
      </c>
      <c r="B1074" s="80" t="s">
        <v>10077</v>
      </c>
      <c r="C1074" s="80" t="s">
        <v>9722</v>
      </c>
      <c r="D1074" s="80" t="s">
        <v>84</v>
      </c>
      <c r="E1074" s="80" t="s">
        <v>84</v>
      </c>
      <c r="F1074" s="80"/>
      <c r="G1074" s="80" t="s">
        <v>84</v>
      </c>
      <c r="H1074" s="80" t="s">
        <v>9722</v>
      </c>
      <c r="I1074" s="80" t="s">
        <v>84</v>
      </c>
      <c r="J1074" s="80" t="s">
        <v>84</v>
      </c>
      <c r="K1074" s="80" t="s">
        <v>84</v>
      </c>
      <c r="L1074" s="80" t="s">
        <v>84</v>
      </c>
      <c r="M1074" s="80" t="s">
        <v>84</v>
      </c>
      <c r="N1074" s="80" t="s">
        <v>84</v>
      </c>
      <c r="O1074" s="80" t="s">
        <v>84</v>
      </c>
      <c r="P1074" s="80"/>
      <c r="Q1074" s="80" t="s">
        <v>84</v>
      </c>
      <c r="R1074" s="80" t="s">
        <v>84</v>
      </c>
    </row>
    <row r="1075" spans="1:18" ht="20" x14ac:dyDescent="0.2">
      <c r="A1075" s="80" t="s">
        <v>5618</v>
      </c>
      <c r="B1075" s="80" t="s">
        <v>5619</v>
      </c>
      <c r="C1075" s="80" t="s">
        <v>9722</v>
      </c>
      <c r="D1075" s="80" t="s">
        <v>84</v>
      </c>
      <c r="E1075" s="80" t="s">
        <v>84</v>
      </c>
      <c r="F1075" s="80"/>
      <c r="G1075" s="80" t="s">
        <v>84</v>
      </c>
      <c r="H1075" s="80" t="s">
        <v>9722</v>
      </c>
      <c r="I1075" s="80" t="s">
        <v>84</v>
      </c>
      <c r="J1075" s="80" t="s">
        <v>84</v>
      </c>
      <c r="K1075" s="80" t="s">
        <v>84</v>
      </c>
      <c r="L1075" s="80" t="s">
        <v>84</v>
      </c>
      <c r="M1075" s="80" t="s">
        <v>84</v>
      </c>
      <c r="N1075" s="80" t="s">
        <v>84</v>
      </c>
      <c r="O1075" s="80" t="s">
        <v>84</v>
      </c>
      <c r="P1075" s="80"/>
      <c r="Q1075" s="80" t="s">
        <v>84</v>
      </c>
      <c r="R1075" s="80" t="s">
        <v>84</v>
      </c>
    </row>
    <row r="1076" spans="1:18" ht="20" x14ac:dyDescent="0.2">
      <c r="A1076" s="80" t="s">
        <v>5620</v>
      </c>
      <c r="B1076" s="80" t="s">
        <v>10078</v>
      </c>
      <c r="C1076" s="80" t="s">
        <v>9722</v>
      </c>
      <c r="D1076" s="80" t="s">
        <v>84</v>
      </c>
      <c r="E1076" s="80" t="s">
        <v>84</v>
      </c>
      <c r="F1076" s="80"/>
      <c r="G1076" s="80" t="s">
        <v>84</v>
      </c>
      <c r="H1076" s="80" t="s">
        <v>9722</v>
      </c>
      <c r="I1076" s="80" t="s">
        <v>84</v>
      </c>
      <c r="J1076" s="80" t="s">
        <v>84</v>
      </c>
      <c r="K1076" s="80" t="s">
        <v>84</v>
      </c>
      <c r="L1076" s="80" t="s">
        <v>84</v>
      </c>
      <c r="M1076" s="80" t="s">
        <v>84</v>
      </c>
      <c r="N1076" s="80" t="s">
        <v>84</v>
      </c>
      <c r="O1076" s="80" t="s">
        <v>84</v>
      </c>
      <c r="P1076" s="80"/>
      <c r="Q1076" s="80" t="s">
        <v>84</v>
      </c>
      <c r="R1076" s="80" t="s">
        <v>84</v>
      </c>
    </row>
    <row r="1077" spans="1:18" ht="20" x14ac:dyDescent="0.2">
      <c r="A1077" s="80" t="s">
        <v>5620</v>
      </c>
      <c r="B1077" s="80" t="s">
        <v>5621</v>
      </c>
      <c r="C1077" s="80" t="s">
        <v>9722</v>
      </c>
      <c r="D1077" s="80" t="s">
        <v>84</v>
      </c>
      <c r="E1077" s="80" t="s">
        <v>84</v>
      </c>
      <c r="F1077" s="80"/>
      <c r="G1077" s="80" t="s">
        <v>84</v>
      </c>
      <c r="H1077" s="80" t="s">
        <v>9722</v>
      </c>
      <c r="I1077" s="80" t="s">
        <v>84</v>
      </c>
      <c r="J1077" s="80" t="s">
        <v>84</v>
      </c>
      <c r="K1077" s="80" t="s">
        <v>84</v>
      </c>
      <c r="L1077" s="80" t="s">
        <v>84</v>
      </c>
      <c r="M1077" s="80" t="s">
        <v>84</v>
      </c>
      <c r="N1077" s="80" t="s">
        <v>84</v>
      </c>
      <c r="O1077" s="80" t="s">
        <v>84</v>
      </c>
      <c r="P1077" s="80"/>
      <c r="Q1077" s="80" t="s">
        <v>84</v>
      </c>
      <c r="R1077" s="80" t="s">
        <v>84</v>
      </c>
    </row>
    <row r="1078" spans="1:18" ht="20" x14ac:dyDescent="0.2">
      <c r="A1078" s="80" t="s">
        <v>5622</v>
      </c>
      <c r="B1078" s="80" t="s">
        <v>10079</v>
      </c>
      <c r="C1078" s="80" t="s">
        <v>9722</v>
      </c>
      <c r="D1078" s="80" t="s">
        <v>84</v>
      </c>
      <c r="E1078" s="80" t="s">
        <v>84</v>
      </c>
      <c r="F1078" s="80"/>
      <c r="G1078" s="80" t="s">
        <v>84</v>
      </c>
      <c r="H1078" s="80" t="s">
        <v>9722</v>
      </c>
      <c r="I1078" s="80" t="s">
        <v>84</v>
      </c>
      <c r="J1078" s="80" t="s">
        <v>84</v>
      </c>
      <c r="K1078" s="80" t="s">
        <v>84</v>
      </c>
      <c r="L1078" s="80" t="s">
        <v>84</v>
      </c>
      <c r="M1078" s="80" t="s">
        <v>84</v>
      </c>
      <c r="N1078" s="80" t="s">
        <v>84</v>
      </c>
      <c r="O1078" s="80" t="s">
        <v>84</v>
      </c>
      <c r="P1078" s="80"/>
      <c r="Q1078" s="80" t="s">
        <v>84</v>
      </c>
      <c r="R1078" s="80" t="s">
        <v>84</v>
      </c>
    </row>
    <row r="1079" spans="1:18" ht="20" x14ac:dyDescent="0.2">
      <c r="A1079" s="80" t="s">
        <v>5622</v>
      </c>
      <c r="B1079" s="80" t="s">
        <v>5623</v>
      </c>
      <c r="C1079" s="80" t="s">
        <v>9722</v>
      </c>
      <c r="D1079" s="80" t="s">
        <v>84</v>
      </c>
      <c r="E1079" s="80" t="s">
        <v>84</v>
      </c>
      <c r="F1079" s="80"/>
      <c r="G1079" s="80" t="s">
        <v>84</v>
      </c>
      <c r="H1079" s="80" t="s">
        <v>9722</v>
      </c>
      <c r="I1079" s="80" t="s">
        <v>84</v>
      </c>
      <c r="J1079" s="80" t="s">
        <v>84</v>
      </c>
      <c r="K1079" s="80" t="s">
        <v>84</v>
      </c>
      <c r="L1079" s="80" t="s">
        <v>84</v>
      </c>
      <c r="M1079" s="80" t="s">
        <v>84</v>
      </c>
      <c r="N1079" s="80" t="s">
        <v>84</v>
      </c>
      <c r="O1079" s="80" t="s">
        <v>84</v>
      </c>
      <c r="P1079" s="80"/>
      <c r="Q1079" s="80" t="s">
        <v>84</v>
      </c>
      <c r="R1079" s="80" t="s">
        <v>84</v>
      </c>
    </row>
    <row r="1080" spans="1:18" ht="20" x14ac:dyDescent="0.2">
      <c r="A1080" s="80" t="s">
        <v>5624</v>
      </c>
      <c r="B1080" s="80" t="s">
        <v>10080</v>
      </c>
      <c r="C1080" s="80" t="s">
        <v>9722</v>
      </c>
      <c r="D1080" s="80" t="s">
        <v>84</v>
      </c>
      <c r="E1080" s="80" t="s">
        <v>84</v>
      </c>
      <c r="F1080" s="80"/>
      <c r="G1080" s="80" t="s">
        <v>84</v>
      </c>
      <c r="H1080" s="80" t="s">
        <v>9722</v>
      </c>
      <c r="I1080" s="80" t="s">
        <v>84</v>
      </c>
      <c r="J1080" s="80" t="s">
        <v>84</v>
      </c>
      <c r="K1080" s="80" t="s">
        <v>84</v>
      </c>
      <c r="L1080" s="80" t="s">
        <v>84</v>
      </c>
      <c r="M1080" s="80" t="s">
        <v>84</v>
      </c>
      <c r="N1080" s="80" t="s">
        <v>84</v>
      </c>
      <c r="O1080" s="80" t="s">
        <v>84</v>
      </c>
      <c r="P1080" s="80"/>
      <c r="Q1080" s="80" t="s">
        <v>84</v>
      </c>
      <c r="R1080" s="80" t="s">
        <v>84</v>
      </c>
    </row>
    <row r="1081" spans="1:18" ht="20" x14ac:dyDescent="0.2">
      <c r="A1081" s="80" t="s">
        <v>5624</v>
      </c>
      <c r="B1081" s="80" t="s">
        <v>5625</v>
      </c>
      <c r="C1081" s="80" t="s">
        <v>9722</v>
      </c>
      <c r="D1081" s="80" t="s">
        <v>84</v>
      </c>
      <c r="E1081" s="80" t="s">
        <v>84</v>
      </c>
      <c r="F1081" s="80"/>
      <c r="G1081" s="80" t="s">
        <v>84</v>
      </c>
      <c r="H1081" s="80" t="s">
        <v>9722</v>
      </c>
      <c r="I1081" s="80" t="s">
        <v>84</v>
      </c>
      <c r="J1081" s="80" t="s">
        <v>84</v>
      </c>
      <c r="K1081" s="80" t="s">
        <v>84</v>
      </c>
      <c r="L1081" s="80" t="s">
        <v>84</v>
      </c>
      <c r="M1081" s="80" t="s">
        <v>84</v>
      </c>
      <c r="N1081" s="80" t="s">
        <v>84</v>
      </c>
      <c r="O1081" s="80" t="s">
        <v>84</v>
      </c>
      <c r="P1081" s="80"/>
      <c r="Q1081" s="80" t="s">
        <v>84</v>
      </c>
      <c r="R1081" s="80" t="s">
        <v>84</v>
      </c>
    </row>
    <row r="1082" spans="1:18" ht="20" x14ac:dyDescent="0.2">
      <c r="A1082" s="80" t="s">
        <v>5626</v>
      </c>
      <c r="B1082" s="80" t="s">
        <v>10081</v>
      </c>
      <c r="C1082" s="80" t="s">
        <v>9722</v>
      </c>
      <c r="D1082" s="80" t="s">
        <v>84</v>
      </c>
      <c r="E1082" s="80" t="s">
        <v>84</v>
      </c>
      <c r="F1082" s="80"/>
      <c r="G1082" s="80" t="s">
        <v>84</v>
      </c>
      <c r="H1082" s="80" t="s">
        <v>9722</v>
      </c>
      <c r="I1082" s="80" t="s">
        <v>84</v>
      </c>
      <c r="J1082" s="80" t="s">
        <v>84</v>
      </c>
      <c r="K1082" s="80" t="s">
        <v>84</v>
      </c>
      <c r="L1082" s="80" t="s">
        <v>84</v>
      </c>
      <c r="M1082" s="80" t="s">
        <v>84</v>
      </c>
      <c r="N1082" s="80" t="s">
        <v>84</v>
      </c>
      <c r="O1082" s="80" t="s">
        <v>84</v>
      </c>
      <c r="P1082" s="80"/>
      <c r="Q1082" s="80" t="s">
        <v>84</v>
      </c>
      <c r="R1082" s="80" t="s">
        <v>84</v>
      </c>
    </row>
    <row r="1083" spans="1:18" ht="20" x14ac:dyDescent="0.2">
      <c r="A1083" s="80" t="s">
        <v>5626</v>
      </c>
      <c r="B1083" s="80" t="s">
        <v>5627</v>
      </c>
      <c r="C1083" s="80" t="s">
        <v>9722</v>
      </c>
      <c r="D1083" s="80" t="s">
        <v>84</v>
      </c>
      <c r="E1083" s="80" t="s">
        <v>84</v>
      </c>
      <c r="F1083" s="80"/>
      <c r="G1083" s="80" t="s">
        <v>84</v>
      </c>
      <c r="H1083" s="80" t="s">
        <v>9722</v>
      </c>
      <c r="I1083" s="80" t="s">
        <v>84</v>
      </c>
      <c r="J1083" s="80" t="s">
        <v>84</v>
      </c>
      <c r="K1083" s="80" t="s">
        <v>84</v>
      </c>
      <c r="L1083" s="80" t="s">
        <v>84</v>
      </c>
      <c r="M1083" s="80" t="s">
        <v>84</v>
      </c>
      <c r="N1083" s="80" t="s">
        <v>84</v>
      </c>
      <c r="O1083" s="80" t="s">
        <v>84</v>
      </c>
      <c r="P1083" s="80"/>
      <c r="Q1083" s="80" t="s">
        <v>84</v>
      </c>
      <c r="R1083" s="80" t="s">
        <v>84</v>
      </c>
    </row>
    <row r="1084" spans="1:18" ht="20" x14ac:dyDescent="0.2">
      <c r="A1084" s="80" t="s">
        <v>5628</v>
      </c>
      <c r="B1084" s="80" t="s">
        <v>5629</v>
      </c>
      <c r="C1084" s="80" t="s">
        <v>9722</v>
      </c>
      <c r="D1084" s="80" t="s">
        <v>9722</v>
      </c>
      <c r="E1084" s="80" t="s">
        <v>9722</v>
      </c>
      <c r="F1084" s="80"/>
      <c r="G1084" s="80" t="s">
        <v>9722</v>
      </c>
      <c r="H1084" s="80" t="s">
        <v>9722</v>
      </c>
      <c r="I1084" s="80" t="s">
        <v>9722</v>
      </c>
      <c r="J1084" s="80" t="s">
        <v>84</v>
      </c>
      <c r="K1084" s="80" t="s">
        <v>9722</v>
      </c>
      <c r="L1084" s="80" t="s">
        <v>9722</v>
      </c>
      <c r="M1084" s="80" t="s">
        <v>84</v>
      </c>
      <c r="N1084" s="80" t="s">
        <v>9722</v>
      </c>
      <c r="O1084" s="80" t="s">
        <v>84</v>
      </c>
      <c r="P1084" s="80"/>
      <c r="Q1084" s="80" t="s">
        <v>84</v>
      </c>
      <c r="R1084" s="80" t="s">
        <v>84</v>
      </c>
    </row>
    <row r="1085" spans="1:18" ht="20" x14ac:dyDescent="0.2">
      <c r="A1085" s="80" t="s">
        <v>5633</v>
      </c>
      <c r="B1085" s="80" t="s">
        <v>10082</v>
      </c>
      <c r="C1085" s="80" t="s">
        <v>9722</v>
      </c>
      <c r="D1085" s="80" t="s">
        <v>84</v>
      </c>
      <c r="E1085" s="80" t="s">
        <v>84</v>
      </c>
      <c r="F1085" s="80"/>
      <c r="G1085" s="80" t="s">
        <v>84</v>
      </c>
      <c r="H1085" s="80" t="s">
        <v>9722</v>
      </c>
      <c r="I1085" s="80" t="s">
        <v>84</v>
      </c>
      <c r="J1085" s="80" t="s">
        <v>84</v>
      </c>
      <c r="K1085" s="80" t="s">
        <v>84</v>
      </c>
      <c r="L1085" s="80" t="s">
        <v>84</v>
      </c>
      <c r="M1085" s="80" t="s">
        <v>84</v>
      </c>
      <c r="N1085" s="80" t="s">
        <v>84</v>
      </c>
      <c r="O1085" s="80" t="s">
        <v>84</v>
      </c>
      <c r="P1085" s="80"/>
      <c r="Q1085" s="80" t="s">
        <v>84</v>
      </c>
      <c r="R1085" s="80" t="s">
        <v>84</v>
      </c>
    </row>
    <row r="1086" spans="1:18" ht="20" x14ac:dyDescent="0.2">
      <c r="A1086" s="80" t="s">
        <v>5633</v>
      </c>
      <c r="B1086" s="80" t="s">
        <v>5634</v>
      </c>
      <c r="C1086" s="80" t="s">
        <v>9722</v>
      </c>
      <c r="D1086" s="80" t="s">
        <v>84</v>
      </c>
      <c r="E1086" s="80" t="s">
        <v>84</v>
      </c>
      <c r="F1086" s="80"/>
      <c r="G1086" s="80" t="s">
        <v>84</v>
      </c>
      <c r="H1086" s="80" t="s">
        <v>9722</v>
      </c>
      <c r="I1086" s="80" t="s">
        <v>84</v>
      </c>
      <c r="J1086" s="80" t="s">
        <v>84</v>
      </c>
      <c r="K1086" s="80" t="s">
        <v>84</v>
      </c>
      <c r="L1086" s="80" t="s">
        <v>84</v>
      </c>
      <c r="M1086" s="80" t="s">
        <v>84</v>
      </c>
      <c r="N1086" s="80" t="s">
        <v>84</v>
      </c>
      <c r="O1086" s="80" t="s">
        <v>84</v>
      </c>
      <c r="P1086" s="80"/>
      <c r="Q1086" s="80" t="s">
        <v>84</v>
      </c>
      <c r="R1086" s="80" t="s">
        <v>84</v>
      </c>
    </row>
    <row r="1087" spans="1:18" ht="20" x14ac:dyDescent="0.2">
      <c r="A1087" s="80" t="s">
        <v>5635</v>
      </c>
      <c r="B1087" s="80" t="s">
        <v>5636</v>
      </c>
      <c r="C1087" s="80" t="s">
        <v>9722</v>
      </c>
      <c r="D1087" s="80" t="s">
        <v>84</v>
      </c>
      <c r="E1087" s="80" t="s">
        <v>84</v>
      </c>
      <c r="F1087" s="80"/>
      <c r="G1087" s="80" t="s">
        <v>84</v>
      </c>
      <c r="H1087" s="80" t="s">
        <v>84</v>
      </c>
      <c r="I1087" s="80" t="s">
        <v>84</v>
      </c>
      <c r="J1087" s="80" t="s">
        <v>84</v>
      </c>
      <c r="K1087" s="80" t="s">
        <v>84</v>
      </c>
      <c r="L1087" s="80" t="s">
        <v>84</v>
      </c>
      <c r="M1087" s="80" t="s">
        <v>84</v>
      </c>
      <c r="N1087" s="80" t="s">
        <v>84</v>
      </c>
      <c r="O1087" s="80" t="s">
        <v>84</v>
      </c>
      <c r="P1087" s="80"/>
      <c r="Q1087" s="80" t="s">
        <v>84</v>
      </c>
      <c r="R1087" s="80" t="s">
        <v>84</v>
      </c>
    </row>
    <row r="1088" spans="1:18" ht="20" x14ac:dyDescent="0.2">
      <c r="A1088" s="80" t="s">
        <v>5637</v>
      </c>
      <c r="B1088" s="80" t="s">
        <v>5638</v>
      </c>
      <c r="C1088" s="80" t="s">
        <v>9722</v>
      </c>
      <c r="D1088" s="80" t="s">
        <v>84</v>
      </c>
      <c r="E1088" s="80" t="s">
        <v>84</v>
      </c>
      <c r="F1088" s="80"/>
      <c r="G1088" s="80" t="s">
        <v>84</v>
      </c>
      <c r="H1088" s="80" t="s">
        <v>84</v>
      </c>
      <c r="I1088" s="80" t="s">
        <v>84</v>
      </c>
      <c r="J1088" s="80" t="s">
        <v>84</v>
      </c>
      <c r="K1088" s="80" t="s">
        <v>84</v>
      </c>
      <c r="L1088" s="80" t="s">
        <v>84</v>
      </c>
      <c r="M1088" s="80" t="s">
        <v>84</v>
      </c>
      <c r="N1088" s="80" t="s">
        <v>84</v>
      </c>
      <c r="O1088" s="80" t="s">
        <v>84</v>
      </c>
      <c r="P1088" s="80"/>
      <c r="Q1088" s="80" t="s">
        <v>84</v>
      </c>
      <c r="R1088" s="80" t="s">
        <v>84</v>
      </c>
    </row>
    <row r="1089" spans="1:18" ht="20" x14ac:dyDescent="0.2">
      <c r="A1089" s="80" t="s">
        <v>5314</v>
      </c>
      <c r="B1089" s="80" t="s">
        <v>5315</v>
      </c>
      <c r="C1089" s="80" t="s">
        <v>9722</v>
      </c>
      <c r="D1089" s="80" t="s">
        <v>84</v>
      </c>
      <c r="E1089" s="80" t="s">
        <v>84</v>
      </c>
      <c r="F1089" s="80"/>
      <c r="G1089" s="80" t="s">
        <v>84</v>
      </c>
      <c r="H1089" s="80" t="s">
        <v>84</v>
      </c>
      <c r="I1089" s="80" t="s">
        <v>84</v>
      </c>
      <c r="J1089" s="80" t="s">
        <v>84</v>
      </c>
      <c r="K1089" s="80" t="s">
        <v>84</v>
      </c>
      <c r="L1089" s="80" t="s">
        <v>84</v>
      </c>
      <c r="M1089" s="80" t="s">
        <v>84</v>
      </c>
      <c r="N1089" s="80" t="s">
        <v>84</v>
      </c>
      <c r="O1089" s="80" t="s">
        <v>84</v>
      </c>
      <c r="P1089" s="80"/>
      <c r="Q1089" s="80" t="s">
        <v>84</v>
      </c>
      <c r="R1089" s="80" t="s">
        <v>84</v>
      </c>
    </row>
    <row r="1090" spans="1:18" ht="20" x14ac:dyDescent="0.2">
      <c r="A1090" s="80" t="s">
        <v>5314</v>
      </c>
      <c r="B1090" s="80" t="s">
        <v>5463</v>
      </c>
      <c r="C1090" s="80" t="s">
        <v>9722</v>
      </c>
      <c r="D1090" s="80" t="s">
        <v>84</v>
      </c>
      <c r="E1090" s="80" t="s">
        <v>84</v>
      </c>
      <c r="F1090" s="80"/>
      <c r="G1090" s="80" t="s">
        <v>84</v>
      </c>
      <c r="H1090" s="80" t="s">
        <v>84</v>
      </c>
      <c r="I1090" s="80" t="s">
        <v>84</v>
      </c>
      <c r="J1090" s="80" t="s">
        <v>84</v>
      </c>
      <c r="K1090" s="80" t="s">
        <v>84</v>
      </c>
      <c r="L1090" s="80" t="s">
        <v>84</v>
      </c>
      <c r="M1090" s="80" t="s">
        <v>84</v>
      </c>
      <c r="N1090" s="80" t="s">
        <v>84</v>
      </c>
      <c r="O1090" s="80" t="s">
        <v>84</v>
      </c>
      <c r="P1090" s="80"/>
      <c r="Q1090" s="80" t="s">
        <v>84</v>
      </c>
      <c r="R1090" s="80" t="s">
        <v>84</v>
      </c>
    </row>
    <row r="1091" spans="1:18" ht="20" x14ac:dyDescent="0.2">
      <c r="A1091" s="80" t="s">
        <v>5639</v>
      </c>
      <c r="B1091" s="80" t="s">
        <v>5640</v>
      </c>
      <c r="C1091" s="80" t="s">
        <v>84</v>
      </c>
      <c r="D1091" s="80" t="s">
        <v>84</v>
      </c>
      <c r="E1091" s="80" t="s">
        <v>84</v>
      </c>
      <c r="F1091" s="80"/>
      <c r="G1091" s="80" t="s">
        <v>84</v>
      </c>
      <c r="H1091" s="80" t="s">
        <v>84</v>
      </c>
      <c r="I1091" s="80" t="s">
        <v>84</v>
      </c>
      <c r="J1091" s="80" t="s">
        <v>84</v>
      </c>
      <c r="K1091" s="80" t="s">
        <v>84</v>
      </c>
      <c r="L1091" s="80" t="s">
        <v>84</v>
      </c>
      <c r="M1091" s="80" t="s">
        <v>84</v>
      </c>
      <c r="N1091" s="80" t="s">
        <v>84</v>
      </c>
      <c r="O1091" s="80" t="s">
        <v>84</v>
      </c>
      <c r="P1091" s="80"/>
      <c r="Q1091" s="80" t="s">
        <v>84</v>
      </c>
      <c r="R1091" s="80" t="s">
        <v>84</v>
      </c>
    </row>
    <row r="1092" spans="1:18" ht="20" x14ac:dyDescent="0.2">
      <c r="A1092" s="80" t="s">
        <v>5641</v>
      </c>
      <c r="B1092" s="80" t="s">
        <v>5642</v>
      </c>
      <c r="C1092" s="80" t="s">
        <v>84</v>
      </c>
      <c r="D1092" s="80" t="s">
        <v>84</v>
      </c>
      <c r="E1092" s="80" t="s">
        <v>84</v>
      </c>
      <c r="F1092" s="80"/>
      <c r="G1092" s="80" t="s">
        <v>84</v>
      </c>
      <c r="H1092" s="80" t="s">
        <v>84</v>
      </c>
      <c r="I1092" s="80" t="s">
        <v>84</v>
      </c>
      <c r="J1092" s="80" t="s">
        <v>84</v>
      </c>
      <c r="K1092" s="80" t="s">
        <v>84</v>
      </c>
      <c r="L1092" s="80" t="s">
        <v>84</v>
      </c>
      <c r="M1092" s="80" t="s">
        <v>84</v>
      </c>
      <c r="N1092" s="80" t="s">
        <v>84</v>
      </c>
      <c r="O1092" s="80" t="s">
        <v>84</v>
      </c>
      <c r="P1092" s="80"/>
      <c r="Q1092" s="80" t="s">
        <v>84</v>
      </c>
      <c r="R1092" s="80" t="s">
        <v>84</v>
      </c>
    </row>
    <row r="1093" spans="1:18" ht="20" x14ac:dyDescent="0.2">
      <c r="A1093" s="80" t="s">
        <v>5643</v>
      </c>
      <c r="B1093" s="80" t="s">
        <v>10083</v>
      </c>
      <c r="C1093" s="80" t="s">
        <v>9722</v>
      </c>
      <c r="D1093" s="80" t="s">
        <v>84</v>
      </c>
      <c r="E1093" s="80" t="s">
        <v>84</v>
      </c>
      <c r="F1093" s="80"/>
      <c r="G1093" s="80" t="s">
        <v>84</v>
      </c>
      <c r="H1093" s="80" t="s">
        <v>84</v>
      </c>
      <c r="I1093" s="80" t="s">
        <v>84</v>
      </c>
      <c r="J1093" s="80" t="s">
        <v>84</v>
      </c>
      <c r="K1093" s="80" t="s">
        <v>84</v>
      </c>
      <c r="L1093" s="80" t="s">
        <v>84</v>
      </c>
      <c r="M1093" s="80" t="s">
        <v>84</v>
      </c>
      <c r="N1093" s="80" t="s">
        <v>84</v>
      </c>
      <c r="O1093" s="80" t="s">
        <v>84</v>
      </c>
      <c r="P1093" s="80"/>
      <c r="Q1093" s="80" t="s">
        <v>84</v>
      </c>
      <c r="R1093" s="80" t="s">
        <v>84</v>
      </c>
    </row>
    <row r="1094" spans="1:18" ht="20" x14ac:dyDescent="0.2">
      <c r="A1094" s="80" t="s">
        <v>5643</v>
      </c>
      <c r="B1094" s="80" t="s">
        <v>5644</v>
      </c>
      <c r="C1094" s="80" t="s">
        <v>9722</v>
      </c>
      <c r="D1094" s="80" t="s">
        <v>84</v>
      </c>
      <c r="E1094" s="80" t="s">
        <v>84</v>
      </c>
      <c r="F1094" s="80"/>
      <c r="G1094" s="80" t="s">
        <v>84</v>
      </c>
      <c r="H1094" s="80" t="s">
        <v>84</v>
      </c>
      <c r="I1094" s="80" t="s">
        <v>84</v>
      </c>
      <c r="J1094" s="80" t="s">
        <v>84</v>
      </c>
      <c r="K1094" s="80" t="s">
        <v>84</v>
      </c>
      <c r="L1094" s="80" t="s">
        <v>84</v>
      </c>
      <c r="M1094" s="80" t="s">
        <v>84</v>
      </c>
      <c r="N1094" s="80" t="s">
        <v>84</v>
      </c>
      <c r="O1094" s="80" t="s">
        <v>84</v>
      </c>
      <c r="P1094" s="80"/>
      <c r="Q1094" s="80" t="s">
        <v>84</v>
      </c>
      <c r="R1094" s="80" t="s">
        <v>84</v>
      </c>
    </row>
    <row r="1095" spans="1:18" ht="20" x14ac:dyDescent="0.2">
      <c r="A1095" s="80" t="s">
        <v>5645</v>
      </c>
      <c r="B1095" s="80" t="s">
        <v>10084</v>
      </c>
      <c r="C1095" s="80" t="s">
        <v>9722</v>
      </c>
      <c r="D1095" s="80" t="s">
        <v>84</v>
      </c>
      <c r="E1095" s="80" t="s">
        <v>84</v>
      </c>
      <c r="F1095" s="80"/>
      <c r="G1095" s="80" t="s">
        <v>84</v>
      </c>
      <c r="H1095" s="80" t="s">
        <v>84</v>
      </c>
      <c r="I1095" s="80" t="s">
        <v>84</v>
      </c>
      <c r="J1095" s="80" t="s">
        <v>84</v>
      </c>
      <c r="K1095" s="80" t="s">
        <v>84</v>
      </c>
      <c r="L1095" s="80" t="s">
        <v>84</v>
      </c>
      <c r="M1095" s="80" t="s">
        <v>84</v>
      </c>
      <c r="N1095" s="80" t="s">
        <v>84</v>
      </c>
      <c r="O1095" s="80" t="s">
        <v>84</v>
      </c>
      <c r="P1095" s="80"/>
      <c r="Q1095" s="80" t="s">
        <v>84</v>
      </c>
      <c r="R1095" s="80" t="s">
        <v>84</v>
      </c>
    </row>
    <row r="1096" spans="1:18" ht="20" x14ac:dyDescent="0.2">
      <c r="A1096" s="80" t="s">
        <v>5645</v>
      </c>
      <c r="B1096" s="80" t="s">
        <v>5646</v>
      </c>
      <c r="C1096" s="80" t="s">
        <v>9722</v>
      </c>
      <c r="D1096" s="80" t="s">
        <v>84</v>
      </c>
      <c r="E1096" s="80" t="s">
        <v>84</v>
      </c>
      <c r="F1096" s="80"/>
      <c r="G1096" s="80" t="s">
        <v>84</v>
      </c>
      <c r="H1096" s="80" t="s">
        <v>84</v>
      </c>
      <c r="I1096" s="80" t="s">
        <v>84</v>
      </c>
      <c r="J1096" s="80" t="s">
        <v>84</v>
      </c>
      <c r="K1096" s="80" t="s">
        <v>84</v>
      </c>
      <c r="L1096" s="80" t="s">
        <v>84</v>
      </c>
      <c r="M1096" s="80" t="s">
        <v>84</v>
      </c>
      <c r="N1096" s="80" t="s">
        <v>84</v>
      </c>
      <c r="O1096" s="80" t="s">
        <v>84</v>
      </c>
      <c r="P1096" s="80"/>
      <c r="Q1096" s="80" t="s">
        <v>84</v>
      </c>
      <c r="R1096" s="80" t="s">
        <v>84</v>
      </c>
    </row>
    <row r="1097" spans="1:18" ht="20" x14ac:dyDescent="0.2">
      <c r="A1097" s="80" t="s">
        <v>5647</v>
      </c>
      <c r="B1097" s="80" t="s">
        <v>5648</v>
      </c>
      <c r="C1097" s="80" t="s">
        <v>9722</v>
      </c>
      <c r="D1097" s="80" t="s">
        <v>9722</v>
      </c>
      <c r="E1097" s="80" t="s">
        <v>9722</v>
      </c>
      <c r="F1097" s="80"/>
      <c r="G1097" s="80" t="s">
        <v>9722</v>
      </c>
      <c r="H1097" s="80" t="s">
        <v>9722</v>
      </c>
      <c r="I1097" s="80" t="s">
        <v>9722</v>
      </c>
      <c r="J1097" s="80" t="s">
        <v>84</v>
      </c>
      <c r="K1097" s="80" t="s">
        <v>9722</v>
      </c>
      <c r="L1097" s="80" t="s">
        <v>9722</v>
      </c>
      <c r="M1097" s="80" t="s">
        <v>84</v>
      </c>
      <c r="N1097" s="80" t="s">
        <v>9722</v>
      </c>
      <c r="O1097" s="80" t="s">
        <v>84</v>
      </c>
      <c r="P1097" s="80"/>
      <c r="Q1097" s="80" t="s">
        <v>84</v>
      </c>
      <c r="R1097" s="80" t="s">
        <v>84</v>
      </c>
    </row>
    <row r="1098" spans="1:18" ht="20" x14ac:dyDescent="0.2">
      <c r="A1098" s="80" t="s">
        <v>10085</v>
      </c>
      <c r="B1098" s="80" t="s">
        <v>10086</v>
      </c>
      <c r="C1098" s="80" t="s">
        <v>9722</v>
      </c>
      <c r="D1098" s="80" t="s">
        <v>84</v>
      </c>
      <c r="E1098" s="80" t="s">
        <v>84</v>
      </c>
      <c r="F1098" s="80"/>
      <c r="G1098" s="80" t="s">
        <v>84</v>
      </c>
      <c r="H1098" s="80" t="s">
        <v>84</v>
      </c>
      <c r="I1098" s="80" t="s">
        <v>84</v>
      </c>
      <c r="J1098" s="80" t="s">
        <v>84</v>
      </c>
      <c r="K1098" s="80" t="s">
        <v>84</v>
      </c>
      <c r="L1098" s="80" t="s">
        <v>84</v>
      </c>
      <c r="M1098" s="80" t="s">
        <v>84</v>
      </c>
      <c r="N1098" s="80" t="s">
        <v>84</v>
      </c>
      <c r="O1098" s="80" t="s">
        <v>84</v>
      </c>
      <c r="P1098" s="80"/>
      <c r="Q1098" s="80" t="s">
        <v>84</v>
      </c>
      <c r="R1098" s="80" t="s">
        <v>84</v>
      </c>
    </row>
    <row r="1099" spans="1:18" ht="20" x14ac:dyDescent="0.2">
      <c r="A1099" s="80" t="s">
        <v>5652</v>
      </c>
      <c r="B1099" s="80" t="s">
        <v>5653</v>
      </c>
      <c r="C1099" s="80" t="s">
        <v>9722</v>
      </c>
      <c r="D1099" s="80" t="s">
        <v>84</v>
      </c>
      <c r="E1099" s="80" t="s">
        <v>84</v>
      </c>
      <c r="F1099" s="80"/>
      <c r="G1099" s="80" t="s">
        <v>84</v>
      </c>
      <c r="H1099" s="80" t="s">
        <v>9722</v>
      </c>
      <c r="I1099" s="80" t="s">
        <v>84</v>
      </c>
      <c r="J1099" s="80" t="s">
        <v>84</v>
      </c>
      <c r="K1099" s="80" t="s">
        <v>84</v>
      </c>
      <c r="L1099" s="80" t="s">
        <v>84</v>
      </c>
      <c r="M1099" s="80" t="s">
        <v>84</v>
      </c>
      <c r="N1099" s="80" t="s">
        <v>84</v>
      </c>
      <c r="O1099" s="80" t="s">
        <v>84</v>
      </c>
      <c r="P1099" s="80"/>
      <c r="Q1099" s="80" t="s">
        <v>84</v>
      </c>
      <c r="R1099" s="80" t="s">
        <v>84</v>
      </c>
    </row>
    <row r="1100" spans="1:18" ht="20" x14ac:dyDescent="0.2">
      <c r="A1100" s="80" t="s">
        <v>5654</v>
      </c>
      <c r="B1100" s="80" t="s">
        <v>5655</v>
      </c>
      <c r="C1100" s="80" t="s">
        <v>9722</v>
      </c>
      <c r="D1100" s="80" t="s">
        <v>84</v>
      </c>
      <c r="E1100" s="80" t="s">
        <v>84</v>
      </c>
      <c r="F1100" s="80"/>
      <c r="G1100" s="80" t="s">
        <v>84</v>
      </c>
      <c r="H1100" s="80" t="s">
        <v>9722</v>
      </c>
      <c r="I1100" s="80" t="s">
        <v>84</v>
      </c>
      <c r="J1100" s="80" t="s">
        <v>84</v>
      </c>
      <c r="K1100" s="80" t="s">
        <v>84</v>
      </c>
      <c r="L1100" s="80" t="s">
        <v>84</v>
      </c>
      <c r="M1100" s="80" t="s">
        <v>84</v>
      </c>
      <c r="N1100" s="80" t="s">
        <v>84</v>
      </c>
      <c r="O1100" s="80" t="s">
        <v>84</v>
      </c>
      <c r="P1100" s="80"/>
      <c r="Q1100" s="80" t="s">
        <v>84</v>
      </c>
      <c r="R1100" s="80" t="s">
        <v>84</v>
      </c>
    </row>
    <row r="1101" spans="1:18" ht="20" x14ac:dyDescent="0.2">
      <c r="A1101" s="80" t="s">
        <v>5658</v>
      </c>
      <c r="B1101" s="80" t="s">
        <v>5659</v>
      </c>
      <c r="C1101" s="80" t="s">
        <v>9722</v>
      </c>
      <c r="D1101" s="80" t="s">
        <v>84</v>
      </c>
      <c r="E1101" s="80" t="s">
        <v>84</v>
      </c>
      <c r="F1101" s="80"/>
      <c r="G1101" s="80" t="s">
        <v>84</v>
      </c>
      <c r="H1101" s="80" t="s">
        <v>9722</v>
      </c>
      <c r="I1101" s="80" t="s">
        <v>84</v>
      </c>
      <c r="J1101" s="80" t="s">
        <v>84</v>
      </c>
      <c r="K1101" s="80" t="s">
        <v>84</v>
      </c>
      <c r="L1101" s="80" t="s">
        <v>84</v>
      </c>
      <c r="M1101" s="80" t="s">
        <v>84</v>
      </c>
      <c r="N1101" s="80" t="s">
        <v>84</v>
      </c>
      <c r="O1101" s="80" t="s">
        <v>84</v>
      </c>
      <c r="P1101" s="80"/>
      <c r="Q1101" s="80" t="s">
        <v>84</v>
      </c>
      <c r="R1101" s="80" t="s">
        <v>84</v>
      </c>
    </row>
    <row r="1102" spans="1:18" ht="20" x14ac:dyDescent="0.2">
      <c r="A1102" s="80" t="s">
        <v>5660</v>
      </c>
      <c r="B1102" s="80" t="s">
        <v>5661</v>
      </c>
      <c r="C1102" s="80" t="s">
        <v>9722</v>
      </c>
      <c r="D1102" s="80" t="s">
        <v>84</v>
      </c>
      <c r="E1102" s="80" t="s">
        <v>84</v>
      </c>
      <c r="F1102" s="80"/>
      <c r="G1102" s="80" t="s">
        <v>84</v>
      </c>
      <c r="H1102" s="80" t="s">
        <v>9722</v>
      </c>
      <c r="I1102" s="80" t="s">
        <v>84</v>
      </c>
      <c r="J1102" s="80" t="s">
        <v>84</v>
      </c>
      <c r="K1102" s="80" t="s">
        <v>84</v>
      </c>
      <c r="L1102" s="80" t="s">
        <v>84</v>
      </c>
      <c r="M1102" s="80" t="s">
        <v>84</v>
      </c>
      <c r="N1102" s="80" t="s">
        <v>84</v>
      </c>
      <c r="O1102" s="80" t="s">
        <v>84</v>
      </c>
      <c r="P1102" s="80"/>
      <c r="Q1102" s="80" t="s">
        <v>84</v>
      </c>
      <c r="R1102" s="80" t="s">
        <v>84</v>
      </c>
    </row>
    <row r="1103" spans="1:18" ht="20" x14ac:dyDescent="0.2">
      <c r="A1103" s="80" t="s">
        <v>5662</v>
      </c>
      <c r="B1103" s="80" t="s">
        <v>5663</v>
      </c>
      <c r="C1103" s="80" t="s">
        <v>9722</v>
      </c>
      <c r="D1103" s="80" t="s">
        <v>84</v>
      </c>
      <c r="E1103" s="80" t="s">
        <v>84</v>
      </c>
      <c r="F1103" s="80"/>
      <c r="G1103" s="80" t="s">
        <v>84</v>
      </c>
      <c r="H1103" s="80" t="s">
        <v>9722</v>
      </c>
      <c r="I1103" s="80" t="s">
        <v>84</v>
      </c>
      <c r="J1103" s="80" t="s">
        <v>84</v>
      </c>
      <c r="K1103" s="80" t="s">
        <v>84</v>
      </c>
      <c r="L1103" s="80" t="s">
        <v>84</v>
      </c>
      <c r="M1103" s="80" t="s">
        <v>84</v>
      </c>
      <c r="N1103" s="80" t="s">
        <v>84</v>
      </c>
      <c r="O1103" s="80" t="s">
        <v>84</v>
      </c>
      <c r="P1103" s="80"/>
      <c r="Q1103" s="80" t="s">
        <v>84</v>
      </c>
      <c r="R1103" s="80" t="s">
        <v>84</v>
      </c>
    </row>
    <row r="1104" spans="1:18" ht="20" x14ac:dyDescent="0.2">
      <c r="A1104" s="80" t="s">
        <v>5664</v>
      </c>
      <c r="B1104" s="80" t="s">
        <v>5665</v>
      </c>
      <c r="C1104" s="80" t="s">
        <v>9722</v>
      </c>
      <c r="D1104" s="80" t="s">
        <v>84</v>
      </c>
      <c r="E1104" s="80" t="s">
        <v>84</v>
      </c>
      <c r="F1104" s="80"/>
      <c r="G1104" s="80" t="s">
        <v>84</v>
      </c>
      <c r="H1104" s="80" t="s">
        <v>9722</v>
      </c>
      <c r="I1104" s="80" t="s">
        <v>84</v>
      </c>
      <c r="J1104" s="80" t="s">
        <v>84</v>
      </c>
      <c r="K1104" s="80" t="s">
        <v>84</v>
      </c>
      <c r="L1104" s="80" t="s">
        <v>84</v>
      </c>
      <c r="M1104" s="80" t="s">
        <v>84</v>
      </c>
      <c r="N1104" s="80" t="s">
        <v>84</v>
      </c>
      <c r="O1104" s="80" t="s">
        <v>84</v>
      </c>
      <c r="P1104" s="80"/>
      <c r="Q1104" s="80" t="s">
        <v>84</v>
      </c>
      <c r="R1104" s="80" t="s">
        <v>84</v>
      </c>
    </row>
    <row r="1105" spans="1:18" ht="20" x14ac:dyDescent="0.2">
      <c r="A1105" s="80" t="s">
        <v>5666</v>
      </c>
      <c r="B1105" s="80" t="s">
        <v>5667</v>
      </c>
      <c r="C1105" s="80" t="s">
        <v>84</v>
      </c>
      <c r="D1105" s="80" t="s">
        <v>84</v>
      </c>
      <c r="E1105" s="80" t="s">
        <v>84</v>
      </c>
      <c r="F1105" s="80"/>
      <c r="G1105" s="80" t="s">
        <v>84</v>
      </c>
      <c r="H1105" s="80" t="s">
        <v>84</v>
      </c>
      <c r="I1105" s="80" t="s">
        <v>84</v>
      </c>
      <c r="J1105" s="80" t="s">
        <v>84</v>
      </c>
      <c r="K1105" s="80" t="s">
        <v>84</v>
      </c>
      <c r="L1105" s="80" t="s">
        <v>84</v>
      </c>
      <c r="M1105" s="80" t="s">
        <v>84</v>
      </c>
      <c r="N1105" s="80" t="s">
        <v>84</v>
      </c>
      <c r="O1105" s="80" t="s">
        <v>84</v>
      </c>
      <c r="P1105" s="80"/>
      <c r="Q1105" s="80" t="s">
        <v>84</v>
      </c>
      <c r="R1105" s="80" t="s">
        <v>84</v>
      </c>
    </row>
    <row r="1106" spans="1:18" ht="20" x14ac:dyDescent="0.2">
      <c r="A1106" s="80" t="s">
        <v>5668</v>
      </c>
      <c r="B1106" s="80" t="s">
        <v>5669</v>
      </c>
      <c r="C1106" s="80" t="s">
        <v>9722</v>
      </c>
      <c r="D1106" s="80" t="s">
        <v>84</v>
      </c>
      <c r="E1106" s="80" t="s">
        <v>84</v>
      </c>
      <c r="F1106" s="80"/>
      <c r="G1106" s="80" t="s">
        <v>84</v>
      </c>
      <c r="H1106" s="80" t="s">
        <v>84</v>
      </c>
      <c r="I1106" s="80" t="s">
        <v>84</v>
      </c>
      <c r="J1106" s="80" t="s">
        <v>84</v>
      </c>
      <c r="K1106" s="80" t="s">
        <v>84</v>
      </c>
      <c r="L1106" s="80" t="s">
        <v>84</v>
      </c>
      <c r="M1106" s="80" t="s">
        <v>84</v>
      </c>
      <c r="N1106" s="80" t="s">
        <v>84</v>
      </c>
      <c r="O1106" s="80" t="s">
        <v>84</v>
      </c>
      <c r="P1106" s="80"/>
      <c r="Q1106" s="80" t="s">
        <v>84</v>
      </c>
      <c r="R1106" s="80" t="s">
        <v>84</v>
      </c>
    </row>
    <row r="1107" spans="1:18" ht="20" x14ac:dyDescent="0.2">
      <c r="A1107" s="80" t="s">
        <v>5670</v>
      </c>
      <c r="B1107" s="80" t="s">
        <v>5671</v>
      </c>
      <c r="C1107" s="80" t="s">
        <v>9722</v>
      </c>
      <c r="D1107" s="80" t="s">
        <v>84</v>
      </c>
      <c r="E1107" s="80" t="s">
        <v>84</v>
      </c>
      <c r="F1107" s="80"/>
      <c r="G1107" s="80" t="s">
        <v>84</v>
      </c>
      <c r="H1107" s="80" t="s">
        <v>84</v>
      </c>
      <c r="I1107" s="80" t="s">
        <v>84</v>
      </c>
      <c r="J1107" s="80" t="s">
        <v>84</v>
      </c>
      <c r="K1107" s="80" t="s">
        <v>84</v>
      </c>
      <c r="L1107" s="80" t="s">
        <v>84</v>
      </c>
      <c r="M1107" s="80" t="s">
        <v>84</v>
      </c>
      <c r="N1107" s="80" t="s">
        <v>84</v>
      </c>
      <c r="O1107" s="80" t="s">
        <v>84</v>
      </c>
      <c r="P1107" s="80"/>
      <c r="Q1107" s="80" t="s">
        <v>84</v>
      </c>
      <c r="R1107" s="80" t="s">
        <v>84</v>
      </c>
    </row>
    <row r="1108" spans="1:18" ht="20" x14ac:dyDescent="0.2">
      <c r="A1108" s="80" t="s">
        <v>5672</v>
      </c>
      <c r="B1108" s="80" t="s">
        <v>5673</v>
      </c>
      <c r="C1108" s="80" t="s">
        <v>9722</v>
      </c>
      <c r="D1108" s="80" t="s">
        <v>9722</v>
      </c>
      <c r="E1108" s="80" t="s">
        <v>9722</v>
      </c>
      <c r="F1108" s="80"/>
      <c r="G1108" s="80" t="s">
        <v>9722</v>
      </c>
      <c r="H1108" s="80" t="s">
        <v>9722</v>
      </c>
      <c r="I1108" s="80" t="s">
        <v>9722</v>
      </c>
      <c r="J1108" s="80" t="s">
        <v>84</v>
      </c>
      <c r="K1108" s="80" t="s">
        <v>9722</v>
      </c>
      <c r="L1108" s="80" t="s">
        <v>9722</v>
      </c>
      <c r="M1108" s="80" t="s">
        <v>84</v>
      </c>
      <c r="N1108" s="80" t="s">
        <v>9722</v>
      </c>
      <c r="O1108" s="80" t="s">
        <v>84</v>
      </c>
      <c r="P1108" s="80"/>
      <c r="Q1108" s="80" t="s">
        <v>84</v>
      </c>
      <c r="R1108" s="80" t="s">
        <v>84</v>
      </c>
    </row>
    <row r="1109" spans="1:18" ht="20" x14ac:dyDescent="0.2">
      <c r="A1109" s="80" t="s">
        <v>5363</v>
      </c>
      <c r="B1109" s="80" t="s">
        <v>10087</v>
      </c>
      <c r="C1109" s="80" t="s">
        <v>9722</v>
      </c>
      <c r="D1109" s="80" t="s">
        <v>84</v>
      </c>
      <c r="E1109" s="80" t="s">
        <v>84</v>
      </c>
      <c r="F1109" s="80"/>
      <c r="G1109" s="80" t="s">
        <v>84</v>
      </c>
      <c r="H1109" s="80" t="s">
        <v>84</v>
      </c>
      <c r="I1109" s="80" t="s">
        <v>84</v>
      </c>
      <c r="J1109" s="80" t="s">
        <v>84</v>
      </c>
      <c r="K1109" s="80" t="s">
        <v>84</v>
      </c>
      <c r="L1109" s="80" t="s">
        <v>84</v>
      </c>
      <c r="M1109" s="80" t="s">
        <v>84</v>
      </c>
      <c r="N1109" s="80" t="s">
        <v>84</v>
      </c>
      <c r="O1109" s="80" t="s">
        <v>84</v>
      </c>
      <c r="P1109" s="80"/>
      <c r="Q1109" s="80" t="s">
        <v>84</v>
      </c>
      <c r="R1109" s="80" t="s">
        <v>84</v>
      </c>
    </row>
    <row r="1110" spans="1:18" ht="20" x14ac:dyDescent="0.2">
      <c r="A1110" s="80" t="s">
        <v>5363</v>
      </c>
      <c r="B1110" s="80" t="s">
        <v>5364</v>
      </c>
      <c r="C1110" s="80" t="s">
        <v>9722</v>
      </c>
      <c r="D1110" s="80" t="s">
        <v>84</v>
      </c>
      <c r="E1110" s="80" t="s">
        <v>84</v>
      </c>
      <c r="F1110" s="80"/>
      <c r="G1110" s="80" t="s">
        <v>84</v>
      </c>
      <c r="H1110" s="80" t="s">
        <v>84</v>
      </c>
      <c r="I1110" s="80" t="s">
        <v>84</v>
      </c>
      <c r="J1110" s="80" t="s">
        <v>84</v>
      </c>
      <c r="K1110" s="80" t="s">
        <v>84</v>
      </c>
      <c r="L1110" s="80" t="s">
        <v>84</v>
      </c>
      <c r="M1110" s="80" t="s">
        <v>84</v>
      </c>
      <c r="N1110" s="80" t="s">
        <v>84</v>
      </c>
      <c r="O1110" s="80" t="s">
        <v>84</v>
      </c>
      <c r="P1110" s="80"/>
      <c r="Q1110" s="80" t="s">
        <v>84</v>
      </c>
      <c r="R1110" s="80" t="s">
        <v>84</v>
      </c>
    </row>
    <row r="1111" spans="1:18" ht="20" x14ac:dyDescent="0.2">
      <c r="A1111" s="80" t="s">
        <v>5366</v>
      </c>
      <c r="B1111" s="80" t="s">
        <v>5367</v>
      </c>
      <c r="C1111" s="80" t="s">
        <v>9722</v>
      </c>
      <c r="D1111" s="80" t="s">
        <v>84</v>
      </c>
      <c r="E1111" s="80" t="s">
        <v>84</v>
      </c>
      <c r="F1111" s="80"/>
      <c r="G1111" s="80" t="s">
        <v>84</v>
      </c>
      <c r="H1111" s="80" t="s">
        <v>9722</v>
      </c>
      <c r="I1111" s="80" t="s">
        <v>84</v>
      </c>
      <c r="J1111" s="80" t="s">
        <v>84</v>
      </c>
      <c r="K1111" s="80" t="s">
        <v>84</v>
      </c>
      <c r="L1111" s="80" t="s">
        <v>84</v>
      </c>
      <c r="M1111" s="80" t="s">
        <v>84</v>
      </c>
      <c r="N1111" s="80" t="s">
        <v>84</v>
      </c>
      <c r="O1111" s="80" t="s">
        <v>84</v>
      </c>
      <c r="P1111" s="80"/>
      <c r="Q1111" s="80" t="s">
        <v>84</v>
      </c>
      <c r="R1111" s="80" t="s">
        <v>84</v>
      </c>
    </row>
    <row r="1112" spans="1:18" ht="20" x14ac:dyDescent="0.2">
      <c r="A1112" s="80" t="s">
        <v>5368</v>
      </c>
      <c r="B1112" s="80" t="s">
        <v>5369</v>
      </c>
      <c r="C1112" s="80" t="s">
        <v>9722</v>
      </c>
      <c r="D1112" s="80" t="s">
        <v>84</v>
      </c>
      <c r="E1112" s="80" t="s">
        <v>84</v>
      </c>
      <c r="F1112" s="80"/>
      <c r="G1112" s="80" t="s">
        <v>84</v>
      </c>
      <c r="H1112" s="80" t="s">
        <v>9722</v>
      </c>
      <c r="I1112" s="80" t="s">
        <v>84</v>
      </c>
      <c r="J1112" s="80" t="s">
        <v>84</v>
      </c>
      <c r="K1112" s="80" t="s">
        <v>84</v>
      </c>
      <c r="L1112" s="80" t="s">
        <v>84</v>
      </c>
      <c r="M1112" s="80" t="s">
        <v>84</v>
      </c>
      <c r="N1112" s="80" t="s">
        <v>84</v>
      </c>
      <c r="O1112" s="80" t="s">
        <v>84</v>
      </c>
      <c r="P1112" s="80"/>
      <c r="Q1112" s="80" t="s">
        <v>84</v>
      </c>
      <c r="R1112" s="80" t="s">
        <v>84</v>
      </c>
    </row>
    <row r="1113" spans="1:18" ht="20" x14ac:dyDescent="0.2">
      <c r="A1113" s="80" t="s">
        <v>5370</v>
      </c>
      <c r="B1113" s="80" t="s">
        <v>5371</v>
      </c>
      <c r="C1113" s="80" t="s">
        <v>9722</v>
      </c>
      <c r="D1113" s="80" t="s">
        <v>84</v>
      </c>
      <c r="E1113" s="80" t="s">
        <v>84</v>
      </c>
      <c r="F1113" s="80"/>
      <c r="G1113" s="80" t="s">
        <v>84</v>
      </c>
      <c r="H1113" s="80" t="s">
        <v>9722</v>
      </c>
      <c r="I1113" s="80" t="s">
        <v>84</v>
      </c>
      <c r="J1113" s="80" t="s">
        <v>84</v>
      </c>
      <c r="K1113" s="80" t="s">
        <v>84</v>
      </c>
      <c r="L1113" s="80" t="s">
        <v>84</v>
      </c>
      <c r="M1113" s="80" t="s">
        <v>84</v>
      </c>
      <c r="N1113" s="80" t="s">
        <v>84</v>
      </c>
      <c r="O1113" s="80" t="s">
        <v>84</v>
      </c>
      <c r="P1113" s="80"/>
      <c r="Q1113" s="80" t="s">
        <v>84</v>
      </c>
      <c r="R1113" s="80" t="s">
        <v>84</v>
      </c>
    </row>
    <row r="1114" spans="1:18" ht="20" x14ac:dyDescent="0.2">
      <c r="A1114" s="80" t="s">
        <v>5374</v>
      </c>
      <c r="B1114" s="80" t="s">
        <v>5375</v>
      </c>
      <c r="C1114" s="80" t="s">
        <v>9722</v>
      </c>
      <c r="D1114" s="80" t="s">
        <v>84</v>
      </c>
      <c r="E1114" s="80" t="s">
        <v>84</v>
      </c>
      <c r="F1114" s="80"/>
      <c r="G1114" s="80" t="s">
        <v>84</v>
      </c>
      <c r="H1114" s="80" t="s">
        <v>9722</v>
      </c>
      <c r="I1114" s="80" t="s">
        <v>84</v>
      </c>
      <c r="J1114" s="80" t="s">
        <v>84</v>
      </c>
      <c r="K1114" s="80" t="s">
        <v>84</v>
      </c>
      <c r="L1114" s="80" t="s">
        <v>84</v>
      </c>
      <c r="M1114" s="80" t="s">
        <v>84</v>
      </c>
      <c r="N1114" s="80" t="s">
        <v>84</v>
      </c>
      <c r="O1114" s="80" t="s">
        <v>84</v>
      </c>
      <c r="P1114" s="80"/>
      <c r="Q1114" s="80" t="s">
        <v>84</v>
      </c>
      <c r="R1114" s="80" t="s">
        <v>84</v>
      </c>
    </row>
    <row r="1115" spans="1:18" ht="20" x14ac:dyDescent="0.2">
      <c r="A1115" s="80" t="s">
        <v>5376</v>
      </c>
      <c r="B1115" s="80" t="s">
        <v>5377</v>
      </c>
      <c r="C1115" s="80" t="s">
        <v>9722</v>
      </c>
      <c r="D1115" s="80" t="s">
        <v>84</v>
      </c>
      <c r="E1115" s="80" t="s">
        <v>84</v>
      </c>
      <c r="F1115" s="80"/>
      <c r="G1115" s="80" t="s">
        <v>84</v>
      </c>
      <c r="H1115" s="80" t="s">
        <v>9722</v>
      </c>
      <c r="I1115" s="80" t="s">
        <v>84</v>
      </c>
      <c r="J1115" s="80" t="s">
        <v>84</v>
      </c>
      <c r="K1115" s="80" t="s">
        <v>84</v>
      </c>
      <c r="L1115" s="80" t="s">
        <v>84</v>
      </c>
      <c r="M1115" s="80" t="s">
        <v>84</v>
      </c>
      <c r="N1115" s="80" t="s">
        <v>84</v>
      </c>
      <c r="O1115" s="80" t="s">
        <v>84</v>
      </c>
      <c r="P1115" s="80"/>
      <c r="Q1115" s="80" t="s">
        <v>84</v>
      </c>
      <c r="R1115" s="80" t="s">
        <v>84</v>
      </c>
    </row>
    <row r="1116" spans="1:18" ht="20" x14ac:dyDescent="0.2">
      <c r="A1116" s="80" t="s">
        <v>5378</v>
      </c>
      <c r="B1116" s="80" t="s">
        <v>5379</v>
      </c>
      <c r="C1116" s="80" t="s">
        <v>9722</v>
      </c>
      <c r="D1116" s="80" t="s">
        <v>84</v>
      </c>
      <c r="E1116" s="80" t="s">
        <v>84</v>
      </c>
      <c r="F1116" s="80"/>
      <c r="G1116" s="80" t="s">
        <v>84</v>
      </c>
      <c r="H1116" s="80" t="s">
        <v>84</v>
      </c>
      <c r="I1116" s="80" t="s">
        <v>84</v>
      </c>
      <c r="J1116" s="80" t="s">
        <v>84</v>
      </c>
      <c r="K1116" s="80" t="s">
        <v>84</v>
      </c>
      <c r="L1116" s="80" t="s">
        <v>84</v>
      </c>
      <c r="M1116" s="80" t="s">
        <v>84</v>
      </c>
      <c r="N1116" s="80" t="s">
        <v>84</v>
      </c>
      <c r="O1116" s="80" t="s">
        <v>84</v>
      </c>
      <c r="P1116" s="80"/>
      <c r="Q1116" s="80" t="s">
        <v>84</v>
      </c>
      <c r="R1116" s="80" t="s">
        <v>84</v>
      </c>
    </row>
    <row r="1117" spans="1:18" ht="20" x14ac:dyDescent="0.2">
      <c r="A1117" s="80" t="s">
        <v>10088</v>
      </c>
      <c r="B1117" s="80" t="s">
        <v>10089</v>
      </c>
      <c r="C1117" s="80" t="s">
        <v>9680</v>
      </c>
      <c r="D1117" s="80" t="s">
        <v>84</v>
      </c>
      <c r="E1117" s="80" t="s">
        <v>84</v>
      </c>
      <c r="F1117" s="80"/>
      <c r="G1117" s="80" t="s">
        <v>84</v>
      </c>
      <c r="H1117" s="80" t="s">
        <v>84</v>
      </c>
      <c r="I1117" s="80" t="s">
        <v>84</v>
      </c>
      <c r="J1117" s="80" t="s">
        <v>84</v>
      </c>
      <c r="K1117" s="80" t="s">
        <v>84</v>
      </c>
      <c r="L1117" s="80" t="s">
        <v>84</v>
      </c>
      <c r="M1117" s="80" t="s">
        <v>84</v>
      </c>
      <c r="N1117" s="80" t="s">
        <v>84</v>
      </c>
      <c r="O1117" s="80" t="s">
        <v>84</v>
      </c>
      <c r="P1117" s="80"/>
      <c r="Q1117" s="80" t="s">
        <v>84</v>
      </c>
      <c r="R1117" s="80" t="s">
        <v>84</v>
      </c>
    </row>
    <row r="1118" spans="1:18" ht="20" x14ac:dyDescent="0.2">
      <c r="A1118" s="80" t="s">
        <v>5380</v>
      </c>
      <c r="B1118" s="80" t="s">
        <v>5381</v>
      </c>
      <c r="C1118" s="80" t="s">
        <v>9722</v>
      </c>
      <c r="D1118" s="80" t="s">
        <v>9722</v>
      </c>
      <c r="E1118" s="80" t="s">
        <v>9722</v>
      </c>
      <c r="F1118" s="80"/>
      <c r="G1118" s="80" t="s">
        <v>9722</v>
      </c>
      <c r="H1118" s="80" t="s">
        <v>9722</v>
      </c>
      <c r="I1118" s="80" t="s">
        <v>9722</v>
      </c>
      <c r="J1118" s="80" t="s">
        <v>9722</v>
      </c>
      <c r="K1118" s="80" t="s">
        <v>9722</v>
      </c>
      <c r="L1118" s="80" t="s">
        <v>9722</v>
      </c>
      <c r="M1118" s="80" t="s">
        <v>9722</v>
      </c>
      <c r="N1118" s="80" t="s">
        <v>9722</v>
      </c>
      <c r="O1118" s="80" t="s">
        <v>9722</v>
      </c>
      <c r="P1118" s="80"/>
      <c r="Q1118" s="80" t="s">
        <v>9722</v>
      </c>
      <c r="R1118" s="80" t="s">
        <v>9722</v>
      </c>
    </row>
    <row r="1119" spans="1:18" ht="20" x14ac:dyDescent="0.2">
      <c r="A1119" s="80" t="s">
        <v>5487</v>
      </c>
      <c r="B1119" s="80" t="s">
        <v>10090</v>
      </c>
      <c r="C1119" s="80" t="s">
        <v>9722</v>
      </c>
      <c r="D1119" s="80" t="s">
        <v>9722</v>
      </c>
      <c r="E1119" s="80" t="s">
        <v>84</v>
      </c>
      <c r="F1119" s="80"/>
      <c r="G1119" s="80" t="s">
        <v>9722</v>
      </c>
      <c r="H1119" s="80" t="s">
        <v>84</v>
      </c>
      <c r="I1119" s="80" t="s">
        <v>9722</v>
      </c>
      <c r="J1119" s="80" t="s">
        <v>9722</v>
      </c>
      <c r="K1119" s="80" t="s">
        <v>9722</v>
      </c>
      <c r="L1119" s="80" t="s">
        <v>9722</v>
      </c>
      <c r="M1119" s="80" t="s">
        <v>9722</v>
      </c>
      <c r="N1119" s="80" t="s">
        <v>84</v>
      </c>
      <c r="O1119" s="80" t="s">
        <v>9722</v>
      </c>
      <c r="P1119" s="80"/>
      <c r="Q1119" s="80" t="s">
        <v>9722</v>
      </c>
      <c r="R1119" s="80" t="s">
        <v>9722</v>
      </c>
    </row>
    <row r="1120" spans="1:18" ht="20" x14ac:dyDescent="0.2">
      <c r="A1120" s="80" t="s">
        <v>5487</v>
      </c>
      <c r="B1120" s="80" t="s">
        <v>5488</v>
      </c>
      <c r="C1120" s="80" t="s">
        <v>9722</v>
      </c>
      <c r="D1120" s="80" t="s">
        <v>9722</v>
      </c>
      <c r="E1120" s="80" t="s">
        <v>84</v>
      </c>
      <c r="F1120" s="80"/>
      <c r="G1120" s="80" t="s">
        <v>9722</v>
      </c>
      <c r="H1120" s="80" t="s">
        <v>84</v>
      </c>
      <c r="I1120" s="80" t="s">
        <v>9722</v>
      </c>
      <c r="J1120" s="80" t="s">
        <v>9722</v>
      </c>
      <c r="K1120" s="80" t="s">
        <v>9722</v>
      </c>
      <c r="L1120" s="80" t="s">
        <v>9722</v>
      </c>
      <c r="M1120" s="80" t="s">
        <v>9722</v>
      </c>
      <c r="N1120" s="80" t="s">
        <v>84</v>
      </c>
      <c r="O1120" s="80" t="s">
        <v>9722</v>
      </c>
      <c r="P1120" s="80"/>
      <c r="Q1120" s="80" t="s">
        <v>9722</v>
      </c>
      <c r="R1120" s="80" t="s">
        <v>9722</v>
      </c>
    </row>
    <row r="1121" spans="1:18" ht="20" x14ac:dyDescent="0.2">
      <c r="A1121" s="80" t="s">
        <v>5382</v>
      </c>
      <c r="B1121" s="80" t="s">
        <v>10091</v>
      </c>
      <c r="C1121" s="80" t="s">
        <v>9722</v>
      </c>
      <c r="D1121" s="80" t="s">
        <v>9722</v>
      </c>
      <c r="E1121" s="80" t="s">
        <v>84</v>
      </c>
      <c r="F1121" s="80"/>
      <c r="G1121" s="80" t="s">
        <v>9722</v>
      </c>
      <c r="H1121" s="80" t="s">
        <v>84</v>
      </c>
      <c r="I1121" s="80" t="s">
        <v>9722</v>
      </c>
      <c r="J1121" s="80" t="s">
        <v>9722</v>
      </c>
      <c r="K1121" s="80" t="s">
        <v>9722</v>
      </c>
      <c r="L1121" s="80" t="s">
        <v>9722</v>
      </c>
      <c r="M1121" s="80" t="s">
        <v>9722</v>
      </c>
      <c r="N1121" s="80" t="s">
        <v>84</v>
      </c>
      <c r="O1121" s="80" t="s">
        <v>9722</v>
      </c>
      <c r="P1121" s="80"/>
      <c r="Q1121" s="80" t="s">
        <v>9722</v>
      </c>
      <c r="R1121" s="80" t="s">
        <v>9722</v>
      </c>
    </row>
    <row r="1122" spans="1:18" ht="20" x14ac:dyDescent="0.2">
      <c r="A1122" s="80" t="s">
        <v>5382</v>
      </c>
      <c r="B1122" s="80" t="s">
        <v>5383</v>
      </c>
      <c r="C1122" s="80" t="s">
        <v>9722</v>
      </c>
      <c r="D1122" s="80" t="s">
        <v>9722</v>
      </c>
      <c r="E1122" s="80" t="s">
        <v>84</v>
      </c>
      <c r="F1122" s="80"/>
      <c r="G1122" s="80" t="s">
        <v>9722</v>
      </c>
      <c r="H1122" s="80" t="s">
        <v>84</v>
      </c>
      <c r="I1122" s="80" t="s">
        <v>9722</v>
      </c>
      <c r="J1122" s="80" t="s">
        <v>9722</v>
      </c>
      <c r="K1122" s="80" t="s">
        <v>9722</v>
      </c>
      <c r="L1122" s="80" t="s">
        <v>9722</v>
      </c>
      <c r="M1122" s="80" t="s">
        <v>9722</v>
      </c>
      <c r="N1122" s="80" t="s">
        <v>84</v>
      </c>
      <c r="O1122" s="80" t="s">
        <v>9722</v>
      </c>
      <c r="P1122" s="80"/>
      <c r="Q1122" s="80" t="s">
        <v>9722</v>
      </c>
      <c r="R1122" s="80" t="s">
        <v>9722</v>
      </c>
    </row>
    <row r="1123" spans="1:18" ht="20" x14ac:dyDescent="0.2">
      <c r="A1123" s="80" t="s">
        <v>5386</v>
      </c>
      <c r="B1123" s="80" t="s">
        <v>10092</v>
      </c>
      <c r="C1123" s="80" t="s">
        <v>9722</v>
      </c>
      <c r="D1123" s="80" t="s">
        <v>9722</v>
      </c>
      <c r="E1123" s="80" t="s">
        <v>84</v>
      </c>
      <c r="F1123" s="80"/>
      <c r="G1123" s="80" t="s">
        <v>9722</v>
      </c>
      <c r="H1123" s="80" t="s">
        <v>84</v>
      </c>
      <c r="I1123" s="80" t="s">
        <v>9722</v>
      </c>
      <c r="J1123" s="80" t="s">
        <v>9722</v>
      </c>
      <c r="K1123" s="80" t="s">
        <v>9722</v>
      </c>
      <c r="L1123" s="80" t="s">
        <v>9722</v>
      </c>
      <c r="M1123" s="80" t="s">
        <v>9722</v>
      </c>
      <c r="N1123" s="80" t="s">
        <v>84</v>
      </c>
      <c r="O1123" s="80" t="s">
        <v>9722</v>
      </c>
      <c r="P1123" s="80"/>
      <c r="Q1123" s="80" t="s">
        <v>9722</v>
      </c>
      <c r="R1123" s="80" t="s">
        <v>9722</v>
      </c>
    </row>
    <row r="1124" spans="1:18" ht="20" x14ac:dyDescent="0.2">
      <c r="A1124" s="80" t="s">
        <v>5386</v>
      </c>
      <c r="B1124" s="80" t="s">
        <v>5387</v>
      </c>
      <c r="C1124" s="80" t="s">
        <v>9722</v>
      </c>
      <c r="D1124" s="80" t="s">
        <v>9722</v>
      </c>
      <c r="E1124" s="80" t="s">
        <v>84</v>
      </c>
      <c r="F1124" s="80"/>
      <c r="G1124" s="80" t="s">
        <v>9722</v>
      </c>
      <c r="H1124" s="80" t="s">
        <v>84</v>
      </c>
      <c r="I1124" s="80" t="s">
        <v>9722</v>
      </c>
      <c r="J1124" s="80" t="s">
        <v>9722</v>
      </c>
      <c r="K1124" s="80" t="s">
        <v>9722</v>
      </c>
      <c r="L1124" s="80" t="s">
        <v>9722</v>
      </c>
      <c r="M1124" s="80" t="s">
        <v>9722</v>
      </c>
      <c r="N1124" s="80" t="s">
        <v>84</v>
      </c>
      <c r="O1124" s="80" t="s">
        <v>9722</v>
      </c>
      <c r="P1124" s="80"/>
      <c r="Q1124" s="80" t="s">
        <v>9722</v>
      </c>
      <c r="R1124" s="80" t="s">
        <v>9722</v>
      </c>
    </row>
    <row r="1125" spans="1:18" ht="20" x14ac:dyDescent="0.2">
      <c r="A1125" s="80" t="s">
        <v>5388</v>
      </c>
      <c r="B1125" s="80" t="s">
        <v>10093</v>
      </c>
      <c r="C1125" s="80" t="s">
        <v>9722</v>
      </c>
      <c r="D1125" s="80" t="s">
        <v>9722</v>
      </c>
      <c r="E1125" s="80" t="s">
        <v>84</v>
      </c>
      <c r="F1125" s="80"/>
      <c r="G1125" s="80" t="s">
        <v>9722</v>
      </c>
      <c r="H1125" s="80" t="s">
        <v>84</v>
      </c>
      <c r="I1125" s="80" t="s">
        <v>9722</v>
      </c>
      <c r="J1125" s="80" t="s">
        <v>9722</v>
      </c>
      <c r="K1125" s="80" t="s">
        <v>9722</v>
      </c>
      <c r="L1125" s="80" t="s">
        <v>9722</v>
      </c>
      <c r="M1125" s="80" t="s">
        <v>9722</v>
      </c>
      <c r="N1125" s="80" t="s">
        <v>84</v>
      </c>
      <c r="O1125" s="80" t="s">
        <v>9722</v>
      </c>
      <c r="P1125" s="80"/>
      <c r="Q1125" s="80" t="s">
        <v>9722</v>
      </c>
      <c r="R1125" s="80" t="s">
        <v>9722</v>
      </c>
    </row>
    <row r="1126" spans="1:18" ht="20" x14ac:dyDescent="0.2">
      <c r="A1126" s="80" t="s">
        <v>5388</v>
      </c>
      <c r="B1126" s="80" t="s">
        <v>5389</v>
      </c>
      <c r="C1126" s="80" t="s">
        <v>9722</v>
      </c>
      <c r="D1126" s="80" t="s">
        <v>9722</v>
      </c>
      <c r="E1126" s="80" t="s">
        <v>84</v>
      </c>
      <c r="F1126" s="80"/>
      <c r="G1126" s="80" t="s">
        <v>9722</v>
      </c>
      <c r="H1126" s="80" t="s">
        <v>84</v>
      </c>
      <c r="I1126" s="80" t="s">
        <v>9722</v>
      </c>
      <c r="J1126" s="80" t="s">
        <v>9722</v>
      </c>
      <c r="K1126" s="80" t="s">
        <v>9722</v>
      </c>
      <c r="L1126" s="80" t="s">
        <v>9722</v>
      </c>
      <c r="M1126" s="80" t="s">
        <v>9722</v>
      </c>
      <c r="N1126" s="80" t="s">
        <v>84</v>
      </c>
      <c r="O1126" s="80" t="s">
        <v>9722</v>
      </c>
      <c r="P1126" s="80"/>
      <c r="Q1126" s="80" t="s">
        <v>9722</v>
      </c>
      <c r="R1126" s="80" t="s">
        <v>9722</v>
      </c>
    </row>
    <row r="1127" spans="1:18" ht="20" x14ac:dyDescent="0.2">
      <c r="A1127" s="80" t="s">
        <v>5489</v>
      </c>
      <c r="B1127" s="80" t="s">
        <v>5490</v>
      </c>
      <c r="C1127" s="80" t="s">
        <v>9722</v>
      </c>
      <c r="D1127" s="80" t="s">
        <v>9722</v>
      </c>
      <c r="E1127" s="80" t="s">
        <v>84</v>
      </c>
      <c r="F1127" s="80"/>
      <c r="G1127" s="80" t="s">
        <v>9722</v>
      </c>
      <c r="H1127" s="80" t="s">
        <v>84</v>
      </c>
      <c r="I1127" s="80" t="s">
        <v>9722</v>
      </c>
      <c r="J1127" s="80" t="s">
        <v>84</v>
      </c>
      <c r="K1127" s="80" t="s">
        <v>9722</v>
      </c>
      <c r="L1127" s="80" t="s">
        <v>9722</v>
      </c>
      <c r="M1127" s="80" t="s">
        <v>9722</v>
      </c>
      <c r="N1127" s="80" t="s">
        <v>84</v>
      </c>
      <c r="O1127" s="80" t="s">
        <v>9722</v>
      </c>
      <c r="P1127" s="80"/>
      <c r="Q1127" s="80" t="s">
        <v>9722</v>
      </c>
      <c r="R1127" s="80" t="s">
        <v>9722</v>
      </c>
    </row>
    <row r="1128" spans="1:18" ht="20" x14ac:dyDescent="0.2">
      <c r="A1128" s="80" t="s">
        <v>5495</v>
      </c>
      <c r="B1128" s="80" t="s">
        <v>5496</v>
      </c>
      <c r="C1128" s="80" t="s">
        <v>9722</v>
      </c>
      <c r="D1128" s="80" t="s">
        <v>9722</v>
      </c>
      <c r="E1128" s="80" t="s">
        <v>84</v>
      </c>
      <c r="F1128" s="80"/>
      <c r="G1128" s="80" t="s">
        <v>9722</v>
      </c>
      <c r="H1128" s="80" t="s">
        <v>84</v>
      </c>
      <c r="I1128" s="80" t="s">
        <v>9722</v>
      </c>
      <c r="J1128" s="80" t="s">
        <v>84</v>
      </c>
      <c r="K1128" s="80" t="s">
        <v>9722</v>
      </c>
      <c r="L1128" s="80" t="s">
        <v>9722</v>
      </c>
      <c r="M1128" s="80" t="s">
        <v>9722</v>
      </c>
      <c r="N1128" s="80" t="s">
        <v>84</v>
      </c>
      <c r="O1128" s="80" t="s">
        <v>9722</v>
      </c>
      <c r="P1128" s="80"/>
      <c r="Q1128" s="80" t="s">
        <v>9722</v>
      </c>
      <c r="R1128" s="80" t="s">
        <v>9722</v>
      </c>
    </row>
    <row r="1129" spans="1:18" ht="20" x14ac:dyDescent="0.2">
      <c r="A1129" s="80" t="s">
        <v>5493</v>
      </c>
      <c r="B1129" s="80" t="s">
        <v>5494</v>
      </c>
      <c r="C1129" s="80" t="s">
        <v>9722</v>
      </c>
      <c r="D1129" s="80" t="s">
        <v>9722</v>
      </c>
      <c r="E1129" s="80" t="s">
        <v>84</v>
      </c>
      <c r="F1129" s="80"/>
      <c r="G1129" s="80" t="s">
        <v>9722</v>
      </c>
      <c r="H1129" s="80" t="s">
        <v>84</v>
      </c>
      <c r="I1129" s="80" t="s">
        <v>9722</v>
      </c>
      <c r="J1129" s="80" t="s">
        <v>84</v>
      </c>
      <c r="K1129" s="80" t="s">
        <v>9722</v>
      </c>
      <c r="L1129" s="80" t="s">
        <v>9722</v>
      </c>
      <c r="M1129" s="80" t="s">
        <v>9722</v>
      </c>
      <c r="N1129" s="80" t="s">
        <v>84</v>
      </c>
      <c r="O1129" s="80" t="s">
        <v>9722</v>
      </c>
      <c r="P1129" s="80"/>
      <c r="Q1129" s="80" t="s">
        <v>9722</v>
      </c>
      <c r="R1129" s="80" t="s">
        <v>9722</v>
      </c>
    </row>
    <row r="1130" spans="1:18" ht="20" x14ac:dyDescent="0.2">
      <c r="A1130" s="80" t="s">
        <v>5497</v>
      </c>
      <c r="B1130" s="80" t="s">
        <v>5498</v>
      </c>
      <c r="C1130" s="80" t="s">
        <v>9722</v>
      </c>
      <c r="D1130" s="80" t="s">
        <v>9722</v>
      </c>
      <c r="E1130" s="80" t="s">
        <v>84</v>
      </c>
      <c r="F1130" s="80"/>
      <c r="G1130" s="80" t="s">
        <v>84</v>
      </c>
      <c r="H1130" s="80" t="s">
        <v>9722</v>
      </c>
      <c r="I1130" s="80" t="s">
        <v>9722</v>
      </c>
      <c r="J1130" s="80" t="s">
        <v>84</v>
      </c>
      <c r="K1130" s="80" t="s">
        <v>9722</v>
      </c>
      <c r="L1130" s="80" t="s">
        <v>9722</v>
      </c>
      <c r="M1130" s="80" t="s">
        <v>9722</v>
      </c>
      <c r="N1130" s="80" t="s">
        <v>84</v>
      </c>
      <c r="O1130" s="80" t="s">
        <v>9722</v>
      </c>
      <c r="P1130" s="80"/>
      <c r="Q1130" s="80" t="s">
        <v>9722</v>
      </c>
      <c r="R1130" s="80" t="s">
        <v>9722</v>
      </c>
    </row>
    <row r="1131" spans="1:18" ht="20" x14ac:dyDescent="0.2">
      <c r="A1131" s="80" t="s">
        <v>5499</v>
      </c>
      <c r="B1131" s="80" t="s">
        <v>5500</v>
      </c>
      <c r="C1131" s="80" t="s">
        <v>9680</v>
      </c>
      <c r="D1131" s="80" t="s">
        <v>9680</v>
      </c>
      <c r="E1131" s="80" t="s">
        <v>84</v>
      </c>
      <c r="F1131" s="80"/>
      <c r="G1131" s="80" t="s">
        <v>84</v>
      </c>
      <c r="H1131" s="80" t="s">
        <v>9680</v>
      </c>
      <c r="I1131" s="80" t="s">
        <v>9680</v>
      </c>
      <c r="J1131" s="80" t="s">
        <v>84</v>
      </c>
      <c r="K1131" s="80" t="s">
        <v>9680</v>
      </c>
      <c r="L1131" s="80" t="s">
        <v>9680</v>
      </c>
      <c r="M1131" s="80" t="s">
        <v>9680</v>
      </c>
      <c r="N1131" s="80" t="s">
        <v>84</v>
      </c>
      <c r="O1131" s="80" t="s">
        <v>9680</v>
      </c>
      <c r="P1131" s="80"/>
      <c r="Q1131" s="80" t="s">
        <v>9680</v>
      </c>
      <c r="R1131" s="80" t="s">
        <v>9680</v>
      </c>
    </row>
    <row r="1132" spans="1:18" ht="20" x14ac:dyDescent="0.2">
      <c r="A1132" s="80" t="s">
        <v>5390</v>
      </c>
      <c r="B1132" s="80" t="s">
        <v>5391</v>
      </c>
      <c r="C1132" s="80" t="s">
        <v>9722</v>
      </c>
      <c r="D1132" s="80" t="s">
        <v>9722</v>
      </c>
      <c r="E1132" s="80" t="s">
        <v>84</v>
      </c>
      <c r="F1132" s="80"/>
      <c r="G1132" s="80" t="s">
        <v>84</v>
      </c>
      <c r="H1132" s="80" t="s">
        <v>9722</v>
      </c>
      <c r="I1132" s="80" t="s">
        <v>9722</v>
      </c>
      <c r="J1132" s="80" t="s">
        <v>84</v>
      </c>
      <c r="K1132" s="80" t="s">
        <v>9722</v>
      </c>
      <c r="L1132" s="80" t="s">
        <v>9722</v>
      </c>
      <c r="M1132" s="80" t="s">
        <v>9722</v>
      </c>
      <c r="N1132" s="80" t="s">
        <v>84</v>
      </c>
      <c r="O1132" s="80" t="s">
        <v>9722</v>
      </c>
      <c r="P1132" s="80"/>
      <c r="Q1132" s="80" t="s">
        <v>9722</v>
      </c>
      <c r="R1132" s="80" t="s">
        <v>9722</v>
      </c>
    </row>
    <row r="1133" spans="1:18" ht="20" x14ac:dyDescent="0.2">
      <c r="A1133" s="80" t="s">
        <v>5392</v>
      </c>
      <c r="B1133" s="80" t="s">
        <v>5393</v>
      </c>
      <c r="C1133" s="80" t="s">
        <v>9722</v>
      </c>
      <c r="D1133" s="80" t="s">
        <v>84</v>
      </c>
      <c r="E1133" s="80" t="s">
        <v>84</v>
      </c>
      <c r="F1133" s="80"/>
      <c r="G1133" s="80" t="s">
        <v>84</v>
      </c>
      <c r="H1133" s="80" t="s">
        <v>84</v>
      </c>
      <c r="I1133" s="80" t="s">
        <v>84</v>
      </c>
      <c r="J1133" s="80" t="s">
        <v>84</v>
      </c>
      <c r="K1133" s="80" t="s">
        <v>84</v>
      </c>
      <c r="L1133" s="80" t="s">
        <v>84</v>
      </c>
      <c r="M1133" s="80" t="s">
        <v>84</v>
      </c>
      <c r="N1133" s="80" t="s">
        <v>84</v>
      </c>
      <c r="O1133" s="80" t="s">
        <v>84</v>
      </c>
      <c r="P1133" s="80"/>
      <c r="Q1133" s="80" t="s">
        <v>84</v>
      </c>
      <c r="R1133" s="80" t="s">
        <v>84</v>
      </c>
    </row>
    <row r="1134" spans="1:18" ht="20" x14ac:dyDescent="0.2">
      <c r="A1134" s="80" t="s">
        <v>5394</v>
      </c>
      <c r="B1134" s="80" t="s">
        <v>5395</v>
      </c>
      <c r="C1134" s="80" t="s">
        <v>9722</v>
      </c>
      <c r="D1134" s="80" t="s">
        <v>84</v>
      </c>
      <c r="E1134" s="80" t="s">
        <v>84</v>
      </c>
      <c r="F1134" s="80"/>
      <c r="G1134" s="80" t="s">
        <v>84</v>
      </c>
      <c r="H1134" s="80" t="s">
        <v>84</v>
      </c>
      <c r="I1134" s="80" t="s">
        <v>84</v>
      </c>
      <c r="J1134" s="80" t="s">
        <v>84</v>
      </c>
      <c r="K1134" s="80" t="s">
        <v>84</v>
      </c>
      <c r="L1134" s="80" t="s">
        <v>84</v>
      </c>
      <c r="M1134" s="80" t="s">
        <v>84</v>
      </c>
      <c r="N1134" s="80" t="s">
        <v>84</v>
      </c>
      <c r="O1134" s="80" t="s">
        <v>84</v>
      </c>
      <c r="P1134" s="80"/>
      <c r="Q1134" s="80" t="s">
        <v>84</v>
      </c>
      <c r="R1134" s="80" t="s">
        <v>84</v>
      </c>
    </row>
    <row r="1135" spans="1:18" ht="20" x14ac:dyDescent="0.2">
      <c r="A1135" s="80" t="s">
        <v>5396</v>
      </c>
      <c r="B1135" s="80" t="s">
        <v>5397</v>
      </c>
      <c r="C1135" s="80" t="s">
        <v>9722</v>
      </c>
      <c r="D1135" s="80" t="s">
        <v>84</v>
      </c>
      <c r="E1135" s="80" t="s">
        <v>84</v>
      </c>
      <c r="F1135" s="80"/>
      <c r="G1135" s="80" t="s">
        <v>84</v>
      </c>
      <c r="H1135" s="80" t="s">
        <v>84</v>
      </c>
      <c r="I1135" s="80" t="s">
        <v>84</v>
      </c>
      <c r="J1135" s="80" t="s">
        <v>84</v>
      </c>
      <c r="K1135" s="80" t="s">
        <v>84</v>
      </c>
      <c r="L1135" s="80" t="s">
        <v>84</v>
      </c>
      <c r="M1135" s="80" t="s">
        <v>84</v>
      </c>
      <c r="N1135" s="80" t="s">
        <v>84</v>
      </c>
      <c r="O1135" s="80" t="s">
        <v>84</v>
      </c>
      <c r="P1135" s="80"/>
      <c r="Q1135" s="80" t="s">
        <v>84</v>
      </c>
      <c r="R1135" s="80" t="s">
        <v>84</v>
      </c>
    </row>
    <row r="1136" spans="1:18" ht="20" x14ac:dyDescent="0.2">
      <c r="A1136" s="80" t="s">
        <v>5398</v>
      </c>
      <c r="B1136" s="80" t="s">
        <v>5399</v>
      </c>
      <c r="C1136" s="80" t="s">
        <v>9722</v>
      </c>
      <c r="D1136" s="80" t="s">
        <v>84</v>
      </c>
      <c r="E1136" s="80" t="s">
        <v>84</v>
      </c>
      <c r="F1136" s="80"/>
      <c r="G1136" s="80" t="s">
        <v>84</v>
      </c>
      <c r="H1136" s="80" t="s">
        <v>84</v>
      </c>
      <c r="I1136" s="80" t="s">
        <v>84</v>
      </c>
      <c r="J1136" s="80" t="s">
        <v>84</v>
      </c>
      <c r="K1136" s="80" t="s">
        <v>84</v>
      </c>
      <c r="L1136" s="80" t="s">
        <v>84</v>
      </c>
      <c r="M1136" s="80" t="s">
        <v>84</v>
      </c>
      <c r="N1136" s="80" t="s">
        <v>84</v>
      </c>
      <c r="O1136" s="80" t="s">
        <v>84</v>
      </c>
      <c r="P1136" s="80"/>
      <c r="Q1136" s="80" t="s">
        <v>84</v>
      </c>
      <c r="R1136" s="80" t="s">
        <v>84</v>
      </c>
    </row>
    <row r="1137" spans="1:18" ht="20" x14ac:dyDescent="0.2">
      <c r="A1137" s="80" t="s">
        <v>5400</v>
      </c>
      <c r="B1137" s="80" t="s">
        <v>5401</v>
      </c>
      <c r="C1137" s="80" t="s">
        <v>9722</v>
      </c>
      <c r="D1137" s="80" t="s">
        <v>84</v>
      </c>
      <c r="E1137" s="80" t="s">
        <v>84</v>
      </c>
      <c r="F1137" s="80"/>
      <c r="G1137" s="80" t="s">
        <v>84</v>
      </c>
      <c r="H1137" s="80" t="s">
        <v>84</v>
      </c>
      <c r="I1137" s="80" t="s">
        <v>84</v>
      </c>
      <c r="J1137" s="80" t="s">
        <v>84</v>
      </c>
      <c r="K1137" s="80" t="s">
        <v>84</v>
      </c>
      <c r="L1137" s="80" t="s">
        <v>84</v>
      </c>
      <c r="M1137" s="80" t="s">
        <v>84</v>
      </c>
      <c r="N1137" s="80" t="s">
        <v>84</v>
      </c>
      <c r="O1137" s="80" t="s">
        <v>84</v>
      </c>
      <c r="P1137" s="80"/>
      <c r="Q1137" s="80" t="s">
        <v>84</v>
      </c>
      <c r="R1137" s="80" t="s">
        <v>84</v>
      </c>
    </row>
    <row r="1138" spans="1:18" ht="20" x14ac:dyDescent="0.2">
      <c r="A1138" s="80" t="s">
        <v>5402</v>
      </c>
      <c r="B1138" s="80" t="s">
        <v>5403</v>
      </c>
      <c r="C1138" s="80" t="s">
        <v>9722</v>
      </c>
      <c r="D1138" s="80" t="s">
        <v>84</v>
      </c>
      <c r="E1138" s="80" t="s">
        <v>84</v>
      </c>
      <c r="F1138" s="80"/>
      <c r="G1138" s="80" t="s">
        <v>84</v>
      </c>
      <c r="H1138" s="80" t="s">
        <v>84</v>
      </c>
      <c r="I1138" s="80" t="s">
        <v>84</v>
      </c>
      <c r="J1138" s="80" t="s">
        <v>84</v>
      </c>
      <c r="K1138" s="80" t="s">
        <v>84</v>
      </c>
      <c r="L1138" s="80" t="s">
        <v>84</v>
      </c>
      <c r="M1138" s="80" t="s">
        <v>84</v>
      </c>
      <c r="N1138" s="80" t="s">
        <v>84</v>
      </c>
      <c r="O1138" s="80" t="s">
        <v>84</v>
      </c>
      <c r="P1138" s="80"/>
      <c r="Q1138" s="80" t="s">
        <v>84</v>
      </c>
      <c r="R1138" s="80" t="s">
        <v>84</v>
      </c>
    </row>
    <row r="1139" spans="1:18" ht="20" x14ac:dyDescent="0.2">
      <c r="A1139" s="80" t="s">
        <v>5404</v>
      </c>
      <c r="B1139" s="80" t="s">
        <v>5405</v>
      </c>
      <c r="C1139" s="80" t="s">
        <v>9722</v>
      </c>
      <c r="D1139" s="80" t="s">
        <v>84</v>
      </c>
      <c r="E1139" s="80" t="s">
        <v>84</v>
      </c>
      <c r="F1139" s="80"/>
      <c r="G1139" s="80" t="s">
        <v>84</v>
      </c>
      <c r="H1139" s="80" t="s">
        <v>84</v>
      </c>
      <c r="I1139" s="80" t="s">
        <v>84</v>
      </c>
      <c r="J1139" s="80" t="s">
        <v>84</v>
      </c>
      <c r="K1139" s="80" t="s">
        <v>84</v>
      </c>
      <c r="L1139" s="80" t="s">
        <v>84</v>
      </c>
      <c r="M1139" s="80" t="s">
        <v>84</v>
      </c>
      <c r="N1139" s="80" t="s">
        <v>84</v>
      </c>
      <c r="O1139" s="80" t="s">
        <v>84</v>
      </c>
      <c r="P1139" s="80"/>
      <c r="Q1139" s="80" t="s">
        <v>84</v>
      </c>
      <c r="R1139" s="80" t="s">
        <v>84</v>
      </c>
    </row>
    <row r="1140" spans="1:18" ht="20" x14ac:dyDescent="0.2">
      <c r="A1140" s="80" t="s">
        <v>5408</v>
      </c>
      <c r="B1140" s="80" t="s">
        <v>5409</v>
      </c>
      <c r="C1140" s="80" t="s">
        <v>9722</v>
      </c>
      <c r="D1140" s="80" t="s">
        <v>84</v>
      </c>
      <c r="E1140" s="80" t="s">
        <v>84</v>
      </c>
      <c r="F1140" s="80"/>
      <c r="G1140" s="80" t="s">
        <v>84</v>
      </c>
      <c r="H1140" s="80" t="s">
        <v>84</v>
      </c>
      <c r="I1140" s="80" t="s">
        <v>84</v>
      </c>
      <c r="J1140" s="80" t="s">
        <v>84</v>
      </c>
      <c r="K1140" s="80" t="s">
        <v>84</v>
      </c>
      <c r="L1140" s="80" t="s">
        <v>84</v>
      </c>
      <c r="M1140" s="80" t="s">
        <v>84</v>
      </c>
      <c r="N1140" s="80" t="s">
        <v>84</v>
      </c>
      <c r="O1140" s="80" t="s">
        <v>84</v>
      </c>
      <c r="P1140" s="80"/>
      <c r="Q1140" s="80" t="s">
        <v>84</v>
      </c>
      <c r="R1140" s="80" t="s">
        <v>84</v>
      </c>
    </row>
    <row r="1141" spans="1:18" ht="20" x14ac:dyDescent="0.2">
      <c r="A1141" s="80" t="s">
        <v>5410</v>
      </c>
      <c r="B1141" s="80" t="s">
        <v>5411</v>
      </c>
      <c r="C1141" s="80" t="s">
        <v>9722</v>
      </c>
      <c r="D1141" s="80" t="s">
        <v>84</v>
      </c>
      <c r="E1141" s="80" t="s">
        <v>84</v>
      </c>
      <c r="F1141" s="80"/>
      <c r="G1141" s="80" t="s">
        <v>84</v>
      </c>
      <c r="H1141" s="80" t="s">
        <v>84</v>
      </c>
      <c r="I1141" s="80" t="s">
        <v>84</v>
      </c>
      <c r="J1141" s="80" t="s">
        <v>84</v>
      </c>
      <c r="K1141" s="80" t="s">
        <v>84</v>
      </c>
      <c r="L1141" s="80" t="s">
        <v>84</v>
      </c>
      <c r="M1141" s="80" t="s">
        <v>84</v>
      </c>
      <c r="N1141" s="80" t="s">
        <v>84</v>
      </c>
      <c r="O1141" s="80" t="s">
        <v>84</v>
      </c>
      <c r="P1141" s="80"/>
      <c r="Q1141" s="80" t="s">
        <v>84</v>
      </c>
      <c r="R1141" s="80" t="s">
        <v>84</v>
      </c>
    </row>
    <row r="1142" spans="1:18" ht="20" x14ac:dyDescent="0.2">
      <c r="A1142" s="80" t="s">
        <v>5464</v>
      </c>
      <c r="B1142" s="80" t="s">
        <v>5465</v>
      </c>
      <c r="C1142" s="80" t="s">
        <v>9722</v>
      </c>
      <c r="D1142" s="80" t="s">
        <v>84</v>
      </c>
      <c r="E1142" s="80" t="s">
        <v>84</v>
      </c>
      <c r="F1142" s="80"/>
      <c r="G1142" s="80" t="s">
        <v>84</v>
      </c>
      <c r="H1142" s="80" t="s">
        <v>84</v>
      </c>
      <c r="I1142" s="80" t="s">
        <v>84</v>
      </c>
      <c r="J1142" s="80" t="s">
        <v>84</v>
      </c>
      <c r="K1142" s="80" t="s">
        <v>84</v>
      </c>
      <c r="L1142" s="80" t="s">
        <v>84</v>
      </c>
      <c r="M1142" s="80" t="s">
        <v>84</v>
      </c>
      <c r="N1142" s="80" t="s">
        <v>84</v>
      </c>
      <c r="O1142" s="80" t="s">
        <v>84</v>
      </c>
      <c r="P1142" s="80"/>
      <c r="Q1142" s="80" t="s">
        <v>84</v>
      </c>
      <c r="R1142" s="80" t="s">
        <v>84</v>
      </c>
    </row>
    <row r="1143" spans="1:18" ht="20" x14ac:dyDescent="0.2">
      <c r="A1143" s="80" t="s">
        <v>5461</v>
      </c>
      <c r="B1143" s="80" t="s">
        <v>5462</v>
      </c>
      <c r="C1143" s="80" t="s">
        <v>9722</v>
      </c>
      <c r="D1143" s="80" t="s">
        <v>84</v>
      </c>
      <c r="E1143" s="80" t="s">
        <v>84</v>
      </c>
      <c r="F1143" s="80"/>
      <c r="G1143" s="80" t="s">
        <v>84</v>
      </c>
      <c r="H1143" s="80" t="s">
        <v>84</v>
      </c>
      <c r="I1143" s="80" t="s">
        <v>84</v>
      </c>
      <c r="J1143" s="80" t="s">
        <v>84</v>
      </c>
      <c r="K1143" s="80" t="s">
        <v>84</v>
      </c>
      <c r="L1143" s="80" t="s">
        <v>84</v>
      </c>
      <c r="M1143" s="80" t="s">
        <v>84</v>
      </c>
      <c r="N1143" s="80" t="s">
        <v>84</v>
      </c>
      <c r="O1143" s="80" t="s">
        <v>84</v>
      </c>
      <c r="P1143" s="80"/>
      <c r="Q1143" s="80" t="s">
        <v>84</v>
      </c>
      <c r="R1143" s="80" t="s">
        <v>84</v>
      </c>
    </row>
    <row r="1144" spans="1:18" ht="20" x14ac:dyDescent="0.2">
      <c r="A1144" s="80" t="s">
        <v>5412</v>
      </c>
      <c r="B1144" s="80" t="s">
        <v>5413</v>
      </c>
      <c r="C1144" s="80" t="s">
        <v>9722</v>
      </c>
      <c r="D1144" s="80" t="s">
        <v>9722</v>
      </c>
      <c r="E1144" s="80" t="s">
        <v>9722</v>
      </c>
      <c r="F1144" s="80"/>
      <c r="G1144" s="80" t="s">
        <v>9722</v>
      </c>
      <c r="H1144" s="80" t="s">
        <v>9722</v>
      </c>
      <c r="I1144" s="80" t="s">
        <v>9722</v>
      </c>
      <c r="J1144" s="80" t="s">
        <v>84</v>
      </c>
      <c r="K1144" s="80" t="s">
        <v>9722</v>
      </c>
      <c r="L1144" s="80" t="s">
        <v>9722</v>
      </c>
      <c r="M1144" s="80" t="s">
        <v>84</v>
      </c>
      <c r="N1144" s="80" t="s">
        <v>9722</v>
      </c>
      <c r="O1144" s="80" t="s">
        <v>84</v>
      </c>
      <c r="P1144" s="80"/>
      <c r="Q1144" s="80" t="s">
        <v>84</v>
      </c>
      <c r="R1144" s="80" t="s">
        <v>84</v>
      </c>
    </row>
    <row r="1145" spans="1:18" ht="20" x14ac:dyDescent="0.2">
      <c r="A1145" s="80" t="s">
        <v>5418</v>
      </c>
      <c r="B1145" s="80" t="s">
        <v>10094</v>
      </c>
      <c r="C1145" s="80" t="s">
        <v>9680</v>
      </c>
      <c r="D1145" s="80" t="s">
        <v>84</v>
      </c>
      <c r="E1145" s="80" t="s">
        <v>84</v>
      </c>
      <c r="F1145" s="80"/>
      <c r="G1145" s="80" t="s">
        <v>84</v>
      </c>
      <c r="H1145" s="80" t="s">
        <v>9680</v>
      </c>
      <c r="I1145" s="80" t="s">
        <v>84</v>
      </c>
      <c r="J1145" s="80" t="s">
        <v>84</v>
      </c>
      <c r="K1145" s="80" t="s">
        <v>84</v>
      </c>
      <c r="L1145" s="80" t="s">
        <v>84</v>
      </c>
      <c r="M1145" s="80" t="s">
        <v>84</v>
      </c>
      <c r="N1145" s="80" t="s">
        <v>84</v>
      </c>
      <c r="O1145" s="80" t="s">
        <v>84</v>
      </c>
      <c r="P1145" s="80"/>
      <c r="Q1145" s="80" t="s">
        <v>84</v>
      </c>
      <c r="R1145" s="80" t="s">
        <v>84</v>
      </c>
    </row>
    <row r="1146" spans="1:18" ht="20" x14ac:dyDescent="0.2">
      <c r="A1146" s="80" t="s">
        <v>5418</v>
      </c>
      <c r="B1146" s="80" t="s">
        <v>5419</v>
      </c>
      <c r="C1146" s="80" t="s">
        <v>9680</v>
      </c>
      <c r="D1146" s="80" t="s">
        <v>84</v>
      </c>
      <c r="E1146" s="80" t="s">
        <v>84</v>
      </c>
      <c r="F1146" s="80"/>
      <c r="G1146" s="80" t="s">
        <v>84</v>
      </c>
      <c r="H1146" s="80" t="s">
        <v>9680</v>
      </c>
      <c r="I1146" s="80" t="s">
        <v>84</v>
      </c>
      <c r="J1146" s="80" t="s">
        <v>84</v>
      </c>
      <c r="K1146" s="80" t="s">
        <v>84</v>
      </c>
      <c r="L1146" s="80" t="s">
        <v>84</v>
      </c>
      <c r="M1146" s="80" t="s">
        <v>84</v>
      </c>
      <c r="N1146" s="80" t="s">
        <v>84</v>
      </c>
      <c r="O1146" s="80" t="s">
        <v>84</v>
      </c>
      <c r="P1146" s="80"/>
      <c r="Q1146" s="80" t="s">
        <v>84</v>
      </c>
      <c r="R1146" s="80" t="s">
        <v>84</v>
      </c>
    </row>
    <row r="1147" spans="1:18" ht="20" x14ac:dyDescent="0.2">
      <c r="A1147" s="80" t="s">
        <v>5420</v>
      </c>
      <c r="B1147" s="80" t="s">
        <v>10095</v>
      </c>
      <c r="C1147" s="80" t="s">
        <v>84</v>
      </c>
      <c r="D1147" s="80" t="s">
        <v>84</v>
      </c>
      <c r="E1147" s="80" t="s">
        <v>84</v>
      </c>
      <c r="F1147" s="80"/>
      <c r="G1147" s="80" t="s">
        <v>84</v>
      </c>
      <c r="H1147" s="80" t="s">
        <v>84</v>
      </c>
      <c r="I1147" s="80" t="s">
        <v>84</v>
      </c>
      <c r="J1147" s="80" t="s">
        <v>84</v>
      </c>
      <c r="K1147" s="80" t="s">
        <v>84</v>
      </c>
      <c r="L1147" s="80" t="s">
        <v>84</v>
      </c>
      <c r="M1147" s="80" t="s">
        <v>84</v>
      </c>
      <c r="N1147" s="80" t="s">
        <v>84</v>
      </c>
      <c r="O1147" s="80" t="s">
        <v>84</v>
      </c>
      <c r="P1147" s="80"/>
      <c r="Q1147" s="80" t="s">
        <v>84</v>
      </c>
      <c r="R1147" s="80" t="s">
        <v>84</v>
      </c>
    </row>
    <row r="1148" spans="1:18" ht="20" x14ac:dyDescent="0.2">
      <c r="A1148" s="80" t="s">
        <v>5420</v>
      </c>
      <c r="B1148" s="80" t="s">
        <v>5421</v>
      </c>
      <c r="C1148" s="80" t="s">
        <v>84</v>
      </c>
      <c r="D1148" s="80" t="s">
        <v>84</v>
      </c>
      <c r="E1148" s="80" t="s">
        <v>84</v>
      </c>
      <c r="F1148" s="80"/>
      <c r="G1148" s="80" t="s">
        <v>84</v>
      </c>
      <c r="H1148" s="80" t="s">
        <v>84</v>
      </c>
      <c r="I1148" s="80" t="s">
        <v>84</v>
      </c>
      <c r="J1148" s="80" t="s">
        <v>84</v>
      </c>
      <c r="K1148" s="80" t="s">
        <v>84</v>
      </c>
      <c r="L1148" s="80" t="s">
        <v>84</v>
      </c>
      <c r="M1148" s="80" t="s">
        <v>84</v>
      </c>
      <c r="N1148" s="80" t="s">
        <v>84</v>
      </c>
      <c r="O1148" s="80" t="s">
        <v>84</v>
      </c>
      <c r="P1148" s="80"/>
      <c r="Q1148" s="80" t="s">
        <v>84</v>
      </c>
      <c r="R1148" s="80" t="s">
        <v>84</v>
      </c>
    </row>
    <row r="1149" spans="1:18" ht="20" x14ac:dyDescent="0.2">
      <c r="A1149" s="80" t="s">
        <v>5422</v>
      </c>
      <c r="B1149" s="80" t="s">
        <v>10096</v>
      </c>
      <c r="C1149" s="80" t="s">
        <v>9722</v>
      </c>
      <c r="D1149" s="80" t="s">
        <v>84</v>
      </c>
      <c r="E1149" s="80" t="s">
        <v>84</v>
      </c>
      <c r="F1149" s="80"/>
      <c r="G1149" s="80" t="s">
        <v>84</v>
      </c>
      <c r="H1149" s="80" t="s">
        <v>9722</v>
      </c>
      <c r="I1149" s="80" t="s">
        <v>84</v>
      </c>
      <c r="J1149" s="80" t="s">
        <v>84</v>
      </c>
      <c r="K1149" s="80" t="s">
        <v>84</v>
      </c>
      <c r="L1149" s="80" t="s">
        <v>84</v>
      </c>
      <c r="M1149" s="80" t="s">
        <v>84</v>
      </c>
      <c r="N1149" s="80" t="s">
        <v>84</v>
      </c>
      <c r="O1149" s="80" t="s">
        <v>84</v>
      </c>
      <c r="P1149" s="80"/>
      <c r="Q1149" s="80" t="s">
        <v>84</v>
      </c>
      <c r="R1149" s="80" t="s">
        <v>84</v>
      </c>
    </row>
    <row r="1150" spans="1:18" ht="20" x14ac:dyDescent="0.2">
      <c r="A1150" s="80" t="s">
        <v>5422</v>
      </c>
      <c r="B1150" s="80" t="s">
        <v>5423</v>
      </c>
      <c r="C1150" s="80" t="s">
        <v>9722</v>
      </c>
      <c r="D1150" s="80" t="s">
        <v>84</v>
      </c>
      <c r="E1150" s="80" t="s">
        <v>84</v>
      </c>
      <c r="F1150" s="80"/>
      <c r="G1150" s="80" t="s">
        <v>84</v>
      </c>
      <c r="H1150" s="80" t="s">
        <v>9722</v>
      </c>
      <c r="I1150" s="80" t="s">
        <v>84</v>
      </c>
      <c r="J1150" s="80" t="s">
        <v>84</v>
      </c>
      <c r="K1150" s="80" t="s">
        <v>84</v>
      </c>
      <c r="L1150" s="80" t="s">
        <v>84</v>
      </c>
      <c r="M1150" s="80" t="s">
        <v>84</v>
      </c>
      <c r="N1150" s="80" t="s">
        <v>84</v>
      </c>
      <c r="O1150" s="80" t="s">
        <v>84</v>
      </c>
      <c r="P1150" s="80"/>
      <c r="Q1150" s="80" t="s">
        <v>84</v>
      </c>
      <c r="R1150" s="80" t="s">
        <v>84</v>
      </c>
    </row>
    <row r="1151" spans="1:18" ht="20" x14ac:dyDescent="0.2">
      <c r="A1151" s="80" t="s">
        <v>5424</v>
      </c>
      <c r="B1151" s="80" t="s">
        <v>10097</v>
      </c>
      <c r="C1151" s="80" t="s">
        <v>9722</v>
      </c>
      <c r="D1151" s="80" t="s">
        <v>84</v>
      </c>
      <c r="E1151" s="80" t="s">
        <v>84</v>
      </c>
      <c r="F1151" s="80"/>
      <c r="G1151" s="80" t="s">
        <v>84</v>
      </c>
      <c r="H1151" s="80" t="s">
        <v>9722</v>
      </c>
      <c r="I1151" s="80" t="s">
        <v>84</v>
      </c>
      <c r="J1151" s="80" t="s">
        <v>84</v>
      </c>
      <c r="K1151" s="80" t="s">
        <v>84</v>
      </c>
      <c r="L1151" s="80" t="s">
        <v>84</v>
      </c>
      <c r="M1151" s="80" t="s">
        <v>84</v>
      </c>
      <c r="N1151" s="80" t="s">
        <v>84</v>
      </c>
      <c r="O1151" s="80" t="s">
        <v>84</v>
      </c>
      <c r="P1151" s="80"/>
      <c r="Q1151" s="80" t="s">
        <v>84</v>
      </c>
      <c r="R1151" s="80" t="s">
        <v>84</v>
      </c>
    </row>
    <row r="1152" spans="1:18" ht="20" x14ac:dyDescent="0.2">
      <c r="A1152" s="80" t="s">
        <v>5424</v>
      </c>
      <c r="B1152" s="80" t="s">
        <v>5425</v>
      </c>
      <c r="C1152" s="80" t="s">
        <v>9722</v>
      </c>
      <c r="D1152" s="80" t="s">
        <v>84</v>
      </c>
      <c r="E1152" s="80" t="s">
        <v>84</v>
      </c>
      <c r="F1152" s="80"/>
      <c r="G1152" s="80" t="s">
        <v>84</v>
      </c>
      <c r="H1152" s="80" t="s">
        <v>9722</v>
      </c>
      <c r="I1152" s="80" t="s">
        <v>84</v>
      </c>
      <c r="J1152" s="80" t="s">
        <v>84</v>
      </c>
      <c r="K1152" s="80" t="s">
        <v>84</v>
      </c>
      <c r="L1152" s="80" t="s">
        <v>84</v>
      </c>
      <c r="M1152" s="80" t="s">
        <v>84</v>
      </c>
      <c r="N1152" s="80" t="s">
        <v>84</v>
      </c>
      <c r="O1152" s="80" t="s">
        <v>84</v>
      </c>
      <c r="P1152" s="80"/>
      <c r="Q1152" s="80" t="s">
        <v>84</v>
      </c>
      <c r="R1152" s="80" t="s">
        <v>84</v>
      </c>
    </row>
    <row r="1153" spans="1:18" ht="20" x14ac:dyDescent="0.2">
      <c r="A1153" s="80" t="s">
        <v>5501</v>
      </c>
      <c r="B1153" s="80" t="s">
        <v>10098</v>
      </c>
      <c r="C1153" s="80" t="s">
        <v>9680</v>
      </c>
      <c r="D1153" s="80" t="s">
        <v>9680</v>
      </c>
      <c r="E1153" s="80" t="s">
        <v>9680</v>
      </c>
      <c r="F1153" s="80"/>
      <c r="G1153" s="80" t="s">
        <v>9680</v>
      </c>
      <c r="H1153" s="80" t="s">
        <v>9680</v>
      </c>
      <c r="I1153" s="80" t="s">
        <v>9680</v>
      </c>
      <c r="J1153" s="80" t="s">
        <v>9680</v>
      </c>
      <c r="K1153" s="80" t="s">
        <v>9680</v>
      </c>
      <c r="L1153" s="80" t="s">
        <v>9680</v>
      </c>
      <c r="M1153" s="80" t="s">
        <v>9680</v>
      </c>
      <c r="N1153" s="80" t="s">
        <v>9680</v>
      </c>
      <c r="O1153" s="80" t="s">
        <v>9680</v>
      </c>
      <c r="P1153" s="80"/>
      <c r="Q1153" s="80" t="s">
        <v>9680</v>
      </c>
      <c r="R1153" s="80" t="s">
        <v>9680</v>
      </c>
    </row>
    <row r="1154" spans="1:18" ht="20" x14ac:dyDescent="0.2">
      <c r="A1154" s="80" t="s">
        <v>5501</v>
      </c>
      <c r="B1154" s="80" t="s">
        <v>5502</v>
      </c>
      <c r="C1154" s="80" t="s">
        <v>9680</v>
      </c>
      <c r="D1154" s="80" t="s">
        <v>9680</v>
      </c>
      <c r="E1154" s="80" t="s">
        <v>9680</v>
      </c>
      <c r="F1154" s="80"/>
      <c r="G1154" s="80" t="s">
        <v>9680</v>
      </c>
      <c r="H1154" s="80" t="s">
        <v>9680</v>
      </c>
      <c r="I1154" s="80" t="s">
        <v>9680</v>
      </c>
      <c r="J1154" s="80" t="s">
        <v>9680</v>
      </c>
      <c r="K1154" s="80" t="s">
        <v>9680</v>
      </c>
      <c r="L1154" s="80" t="s">
        <v>9680</v>
      </c>
      <c r="M1154" s="80" t="s">
        <v>9680</v>
      </c>
      <c r="N1154" s="80" t="s">
        <v>9680</v>
      </c>
      <c r="O1154" s="80" t="s">
        <v>9680</v>
      </c>
      <c r="P1154" s="80"/>
      <c r="Q1154" s="80" t="s">
        <v>9680</v>
      </c>
      <c r="R1154" s="80" t="s">
        <v>9680</v>
      </c>
    </row>
    <row r="1155" spans="1:18" ht="20" x14ac:dyDescent="0.2">
      <c r="A1155" s="80" t="s">
        <v>5426</v>
      </c>
      <c r="B1155" s="80" t="s">
        <v>5427</v>
      </c>
      <c r="C1155" s="80" t="s">
        <v>9722</v>
      </c>
      <c r="D1155" s="80" t="s">
        <v>9722</v>
      </c>
      <c r="E1155" s="80" t="s">
        <v>9722</v>
      </c>
      <c r="F1155" s="80"/>
      <c r="G1155" s="80" t="s">
        <v>9722</v>
      </c>
      <c r="H1155" s="80" t="s">
        <v>9722</v>
      </c>
      <c r="I1155" s="80" t="s">
        <v>9722</v>
      </c>
      <c r="J1155" s="80" t="s">
        <v>9722</v>
      </c>
      <c r="K1155" s="80" t="s">
        <v>9722</v>
      </c>
      <c r="L1155" s="80" t="s">
        <v>9722</v>
      </c>
      <c r="M1155" s="80" t="s">
        <v>9722</v>
      </c>
      <c r="N1155" s="80" t="s">
        <v>9722</v>
      </c>
      <c r="O1155" s="80" t="s">
        <v>9722</v>
      </c>
      <c r="P1155" s="80"/>
      <c r="Q1155" s="80" t="s">
        <v>9722</v>
      </c>
      <c r="R1155" s="80" t="s">
        <v>9722</v>
      </c>
    </row>
    <row r="1156" spans="1:18" ht="20" x14ac:dyDescent="0.2">
      <c r="A1156" s="80" t="s">
        <v>5429</v>
      </c>
      <c r="B1156" s="80" t="s">
        <v>5430</v>
      </c>
      <c r="C1156" s="80" t="s">
        <v>9722</v>
      </c>
      <c r="D1156" s="80" t="s">
        <v>9722</v>
      </c>
      <c r="E1156" s="80" t="s">
        <v>9722</v>
      </c>
      <c r="F1156" s="80"/>
      <c r="G1156" s="80" t="s">
        <v>9722</v>
      </c>
      <c r="H1156" s="80" t="s">
        <v>9722</v>
      </c>
      <c r="I1156" s="80" t="s">
        <v>9722</v>
      </c>
      <c r="J1156" s="80" t="s">
        <v>84</v>
      </c>
      <c r="K1156" s="80" t="s">
        <v>9722</v>
      </c>
      <c r="L1156" s="80" t="s">
        <v>9722</v>
      </c>
      <c r="M1156" s="80" t="s">
        <v>9722</v>
      </c>
      <c r="N1156" s="80" t="s">
        <v>9722</v>
      </c>
      <c r="O1156" s="80" t="s">
        <v>84</v>
      </c>
      <c r="P1156" s="80"/>
      <c r="Q1156" s="80" t="s">
        <v>84</v>
      </c>
      <c r="R1156" s="80" t="s">
        <v>84</v>
      </c>
    </row>
    <row r="1157" spans="1:18" ht="20" x14ac:dyDescent="0.2">
      <c r="A1157" s="80" t="s">
        <v>5435</v>
      </c>
      <c r="B1157" s="80" t="s">
        <v>10099</v>
      </c>
      <c r="C1157" s="80" t="s">
        <v>9722</v>
      </c>
      <c r="D1157" s="80" t="s">
        <v>84</v>
      </c>
      <c r="E1157" s="80" t="s">
        <v>84</v>
      </c>
      <c r="F1157" s="80"/>
      <c r="G1157" s="80" t="s">
        <v>84</v>
      </c>
      <c r="H1157" s="80" t="s">
        <v>9722</v>
      </c>
      <c r="I1157" s="80" t="s">
        <v>84</v>
      </c>
      <c r="J1157" s="80" t="s">
        <v>84</v>
      </c>
      <c r="K1157" s="80" t="s">
        <v>84</v>
      </c>
      <c r="L1157" s="80" t="s">
        <v>84</v>
      </c>
      <c r="M1157" s="80" t="s">
        <v>84</v>
      </c>
      <c r="N1157" s="80" t="s">
        <v>84</v>
      </c>
      <c r="O1157" s="80" t="s">
        <v>84</v>
      </c>
      <c r="P1157" s="80"/>
      <c r="Q1157" s="80" t="s">
        <v>84</v>
      </c>
      <c r="R1157" s="80" t="s">
        <v>84</v>
      </c>
    </row>
    <row r="1158" spans="1:18" ht="20" x14ac:dyDescent="0.2">
      <c r="A1158" s="80" t="s">
        <v>5435</v>
      </c>
      <c r="B1158" s="80" t="s">
        <v>5436</v>
      </c>
      <c r="C1158" s="80" t="s">
        <v>9722</v>
      </c>
      <c r="D1158" s="80" t="s">
        <v>84</v>
      </c>
      <c r="E1158" s="80" t="s">
        <v>84</v>
      </c>
      <c r="F1158" s="80"/>
      <c r="G1158" s="80" t="s">
        <v>84</v>
      </c>
      <c r="H1158" s="80" t="s">
        <v>9722</v>
      </c>
      <c r="I1158" s="80" t="s">
        <v>84</v>
      </c>
      <c r="J1158" s="80" t="s">
        <v>84</v>
      </c>
      <c r="K1158" s="80" t="s">
        <v>84</v>
      </c>
      <c r="L1158" s="80" t="s">
        <v>84</v>
      </c>
      <c r="M1158" s="80" t="s">
        <v>84</v>
      </c>
      <c r="N1158" s="80" t="s">
        <v>84</v>
      </c>
      <c r="O1158" s="80" t="s">
        <v>84</v>
      </c>
      <c r="P1158" s="80"/>
      <c r="Q1158" s="80" t="s">
        <v>84</v>
      </c>
      <c r="R1158" s="80" t="s">
        <v>84</v>
      </c>
    </row>
    <row r="1159" spans="1:18" ht="20" x14ac:dyDescent="0.2">
      <c r="A1159" s="80" t="s">
        <v>596</v>
      </c>
      <c r="B1159" s="80" t="s">
        <v>10100</v>
      </c>
      <c r="C1159" s="80" t="s">
        <v>9680</v>
      </c>
      <c r="D1159" s="80" t="s">
        <v>84</v>
      </c>
      <c r="E1159" s="80" t="s">
        <v>84</v>
      </c>
      <c r="F1159" s="80"/>
      <c r="G1159" s="80" t="s">
        <v>84</v>
      </c>
      <c r="H1159" s="80" t="s">
        <v>9680</v>
      </c>
      <c r="I1159" s="80" t="s">
        <v>84</v>
      </c>
      <c r="J1159" s="80" t="s">
        <v>84</v>
      </c>
      <c r="K1159" s="80" t="s">
        <v>84</v>
      </c>
      <c r="L1159" s="80" t="s">
        <v>84</v>
      </c>
      <c r="M1159" s="80" t="s">
        <v>84</v>
      </c>
      <c r="N1159" s="80" t="s">
        <v>84</v>
      </c>
      <c r="O1159" s="80" t="s">
        <v>84</v>
      </c>
      <c r="P1159" s="80"/>
      <c r="Q1159" s="80" t="s">
        <v>84</v>
      </c>
      <c r="R1159" s="80" t="s">
        <v>84</v>
      </c>
    </row>
    <row r="1160" spans="1:18" ht="20" x14ac:dyDescent="0.2">
      <c r="A1160" s="80" t="s">
        <v>596</v>
      </c>
      <c r="B1160" s="80" t="s">
        <v>597</v>
      </c>
      <c r="C1160" s="80" t="s">
        <v>9680</v>
      </c>
      <c r="D1160" s="80" t="s">
        <v>84</v>
      </c>
      <c r="E1160" s="80" t="s">
        <v>84</v>
      </c>
      <c r="F1160" s="80"/>
      <c r="G1160" s="80" t="s">
        <v>84</v>
      </c>
      <c r="H1160" s="80" t="s">
        <v>9680</v>
      </c>
      <c r="I1160" s="80" t="s">
        <v>84</v>
      </c>
      <c r="J1160" s="80" t="s">
        <v>84</v>
      </c>
      <c r="K1160" s="80" t="s">
        <v>84</v>
      </c>
      <c r="L1160" s="80" t="s">
        <v>84</v>
      </c>
      <c r="M1160" s="80" t="s">
        <v>84</v>
      </c>
      <c r="N1160" s="80" t="s">
        <v>84</v>
      </c>
      <c r="O1160" s="80" t="s">
        <v>84</v>
      </c>
      <c r="P1160" s="80"/>
      <c r="Q1160" s="80" t="s">
        <v>84</v>
      </c>
      <c r="R1160" s="80" t="s">
        <v>84</v>
      </c>
    </row>
    <row r="1161" spans="1:18" ht="20" x14ac:dyDescent="0.2">
      <c r="A1161" s="80" t="s">
        <v>599</v>
      </c>
      <c r="B1161" s="80" t="s">
        <v>10101</v>
      </c>
      <c r="C1161" s="80" t="s">
        <v>9680</v>
      </c>
      <c r="D1161" s="80" t="s">
        <v>84</v>
      </c>
      <c r="E1161" s="80" t="s">
        <v>84</v>
      </c>
      <c r="F1161" s="80"/>
      <c r="G1161" s="80" t="s">
        <v>84</v>
      </c>
      <c r="H1161" s="80" t="s">
        <v>9680</v>
      </c>
      <c r="I1161" s="80" t="s">
        <v>84</v>
      </c>
      <c r="J1161" s="80" t="s">
        <v>84</v>
      </c>
      <c r="K1161" s="80" t="s">
        <v>84</v>
      </c>
      <c r="L1161" s="80" t="s">
        <v>84</v>
      </c>
      <c r="M1161" s="80" t="s">
        <v>84</v>
      </c>
      <c r="N1161" s="80" t="s">
        <v>84</v>
      </c>
      <c r="O1161" s="80" t="s">
        <v>84</v>
      </c>
      <c r="P1161" s="80"/>
      <c r="Q1161" s="80" t="s">
        <v>84</v>
      </c>
      <c r="R1161" s="80" t="s">
        <v>84</v>
      </c>
    </row>
    <row r="1162" spans="1:18" ht="20" x14ac:dyDescent="0.2">
      <c r="A1162" s="80" t="s">
        <v>599</v>
      </c>
      <c r="B1162" s="80" t="s">
        <v>600</v>
      </c>
      <c r="C1162" s="80" t="s">
        <v>9680</v>
      </c>
      <c r="D1162" s="80" t="s">
        <v>84</v>
      </c>
      <c r="E1162" s="80" t="s">
        <v>84</v>
      </c>
      <c r="F1162" s="80"/>
      <c r="G1162" s="80" t="s">
        <v>84</v>
      </c>
      <c r="H1162" s="80" t="s">
        <v>9680</v>
      </c>
      <c r="I1162" s="80" t="s">
        <v>84</v>
      </c>
      <c r="J1162" s="80" t="s">
        <v>84</v>
      </c>
      <c r="K1162" s="80" t="s">
        <v>84</v>
      </c>
      <c r="L1162" s="80" t="s">
        <v>84</v>
      </c>
      <c r="M1162" s="80" t="s">
        <v>84</v>
      </c>
      <c r="N1162" s="80" t="s">
        <v>84</v>
      </c>
      <c r="O1162" s="80" t="s">
        <v>84</v>
      </c>
      <c r="P1162" s="80"/>
      <c r="Q1162" s="80" t="s">
        <v>84</v>
      </c>
      <c r="R1162" s="80" t="s">
        <v>84</v>
      </c>
    </row>
    <row r="1163" spans="1:18" x14ac:dyDescent="0.2">
      <c r="A1163" s="80" t="s">
        <v>607</v>
      </c>
      <c r="B1163" s="80" t="s">
        <v>608</v>
      </c>
      <c r="C1163" s="80" t="s">
        <v>84</v>
      </c>
      <c r="D1163" s="80" t="s">
        <v>84</v>
      </c>
      <c r="E1163" s="80" t="s">
        <v>84</v>
      </c>
      <c r="F1163" s="80"/>
      <c r="G1163" s="80" t="s">
        <v>84</v>
      </c>
      <c r="H1163" s="80" t="s">
        <v>84</v>
      </c>
      <c r="I1163" s="80" t="s">
        <v>84</v>
      </c>
      <c r="J1163" s="80" t="s">
        <v>84</v>
      </c>
      <c r="K1163" s="80" t="s">
        <v>84</v>
      </c>
      <c r="L1163" s="80" t="s">
        <v>84</v>
      </c>
      <c r="M1163" s="80" t="s">
        <v>84</v>
      </c>
      <c r="N1163" s="80" t="s">
        <v>84</v>
      </c>
      <c r="O1163" s="80" t="s">
        <v>84</v>
      </c>
      <c r="P1163" s="80"/>
      <c r="Q1163" s="80" t="s">
        <v>84</v>
      </c>
      <c r="R1163" s="80" t="s">
        <v>84</v>
      </c>
    </row>
    <row r="1164" spans="1:18" ht="20" x14ac:dyDescent="0.2">
      <c r="A1164" s="80" t="s">
        <v>10102</v>
      </c>
      <c r="B1164" s="80" t="s">
        <v>10103</v>
      </c>
      <c r="C1164" s="80" t="s">
        <v>9680</v>
      </c>
      <c r="D1164" s="80" t="s">
        <v>84</v>
      </c>
      <c r="E1164" s="80" t="s">
        <v>84</v>
      </c>
      <c r="F1164" s="80"/>
      <c r="G1164" s="80" t="s">
        <v>84</v>
      </c>
      <c r="H1164" s="80" t="s">
        <v>84</v>
      </c>
      <c r="I1164" s="80" t="s">
        <v>84</v>
      </c>
      <c r="J1164" s="80" t="s">
        <v>84</v>
      </c>
      <c r="K1164" s="80" t="s">
        <v>84</v>
      </c>
      <c r="L1164" s="80" t="s">
        <v>84</v>
      </c>
      <c r="M1164" s="80" t="s">
        <v>84</v>
      </c>
      <c r="N1164" s="80" t="s">
        <v>84</v>
      </c>
      <c r="O1164" s="80" t="s">
        <v>84</v>
      </c>
      <c r="P1164" s="80"/>
      <c r="Q1164" s="80" t="s">
        <v>84</v>
      </c>
      <c r="R1164" s="80" t="s">
        <v>84</v>
      </c>
    </row>
    <row r="1165" spans="1:18" ht="20" x14ac:dyDescent="0.2">
      <c r="A1165" s="80" t="s">
        <v>622</v>
      </c>
      <c r="B1165" s="80" t="s">
        <v>623</v>
      </c>
      <c r="C1165" s="80" t="s">
        <v>9680</v>
      </c>
      <c r="D1165" s="80" t="s">
        <v>84</v>
      </c>
      <c r="E1165" s="80" t="s">
        <v>84</v>
      </c>
      <c r="F1165" s="80"/>
      <c r="G1165" s="80" t="s">
        <v>84</v>
      </c>
      <c r="H1165" s="80" t="s">
        <v>84</v>
      </c>
      <c r="I1165" s="80" t="s">
        <v>84</v>
      </c>
      <c r="J1165" s="80" t="s">
        <v>84</v>
      </c>
      <c r="K1165" s="80" t="s">
        <v>84</v>
      </c>
      <c r="L1165" s="80" t="s">
        <v>84</v>
      </c>
      <c r="M1165" s="80" t="s">
        <v>84</v>
      </c>
      <c r="N1165" s="80" t="s">
        <v>84</v>
      </c>
      <c r="O1165" s="80" t="s">
        <v>84</v>
      </c>
      <c r="P1165" s="80"/>
      <c r="Q1165" s="80" t="s">
        <v>84</v>
      </c>
      <c r="R1165" s="80" t="s">
        <v>84</v>
      </c>
    </row>
    <row r="1166" spans="1:18" ht="20" x14ac:dyDescent="0.2">
      <c r="A1166" s="80" t="s">
        <v>998</v>
      </c>
      <c r="B1166" s="80" t="s">
        <v>999</v>
      </c>
      <c r="C1166" s="80" t="s">
        <v>9680</v>
      </c>
      <c r="D1166" s="80" t="s">
        <v>9680</v>
      </c>
      <c r="E1166" s="80" t="s">
        <v>9680</v>
      </c>
      <c r="F1166" s="80"/>
      <c r="G1166" s="80" t="s">
        <v>9680</v>
      </c>
      <c r="H1166" s="80" t="s">
        <v>9680</v>
      </c>
      <c r="I1166" s="80" t="s">
        <v>9680</v>
      </c>
      <c r="J1166" s="80" t="s">
        <v>9680</v>
      </c>
      <c r="K1166" s="80" t="s">
        <v>9680</v>
      </c>
      <c r="L1166" s="80" t="s">
        <v>9680</v>
      </c>
      <c r="M1166" s="80" t="s">
        <v>9680</v>
      </c>
      <c r="N1166" s="80" t="s">
        <v>9680</v>
      </c>
      <c r="O1166" s="80" t="s">
        <v>9680</v>
      </c>
      <c r="P1166" s="80"/>
      <c r="Q1166" s="80" t="s">
        <v>9680</v>
      </c>
      <c r="R1166" s="80" t="s">
        <v>9680</v>
      </c>
    </row>
    <row r="1167" spans="1:18" ht="20" x14ac:dyDescent="0.2">
      <c r="A1167" s="80" t="s">
        <v>998</v>
      </c>
      <c r="B1167" s="80" t="s">
        <v>10104</v>
      </c>
      <c r="C1167" s="80" t="s">
        <v>9680</v>
      </c>
      <c r="D1167" s="80" t="s">
        <v>9680</v>
      </c>
      <c r="E1167" s="80" t="s">
        <v>9680</v>
      </c>
      <c r="F1167" s="80"/>
      <c r="G1167" s="80" t="s">
        <v>9680</v>
      </c>
      <c r="H1167" s="80" t="s">
        <v>9680</v>
      </c>
      <c r="I1167" s="80" t="s">
        <v>9680</v>
      </c>
      <c r="J1167" s="80" t="s">
        <v>9680</v>
      </c>
      <c r="K1167" s="80" t="s">
        <v>9680</v>
      </c>
      <c r="L1167" s="80" t="s">
        <v>9680</v>
      </c>
      <c r="M1167" s="80" t="s">
        <v>9680</v>
      </c>
      <c r="N1167" s="80" t="s">
        <v>9680</v>
      </c>
      <c r="O1167" s="80" t="s">
        <v>9680</v>
      </c>
      <c r="P1167" s="80"/>
      <c r="Q1167" s="80" t="s">
        <v>9680</v>
      </c>
      <c r="R1167" s="80" t="s">
        <v>9680</v>
      </c>
    </row>
    <row r="1168" spans="1:18" ht="20" x14ac:dyDescent="0.2">
      <c r="A1168" s="80" t="s">
        <v>998</v>
      </c>
      <c r="B1168" s="80" t="s">
        <v>1117</v>
      </c>
      <c r="C1168" s="80" t="s">
        <v>9680</v>
      </c>
      <c r="D1168" s="80" t="s">
        <v>9680</v>
      </c>
      <c r="E1168" s="80" t="s">
        <v>9680</v>
      </c>
      <c r="F1168" s="80"/>
      <c r="G1168" s="80" t="s">
        <v>9680</v>
      </c>
      <c r="H1168" s="80" t="s">
        <v>9680</v>
      </c>
      <c r="I1168" s="80" t="s">
        <v>9680</v>
      </c>
      <c r="J1168" s="80" t="s">
        <v>9680</v>
      </c>
      <c r="K1168" s="80" t="s">
        <v>9680</v>
      </c>
      <c r="L1168" s="80" t="s">
        <v>9680</v>
      </c>
      <c r="M1168" s="80" t="s">
        <v>9680</v>
      </c>
      <c r="N1168" s="80" t="s">
        <v>9680</v>
      </c>
      <c r="O1168" s="80" t="s">
        <v>9680</v>
      </c>
      <c r="P1168" s="80"/>
      <c r="Q1168" s="80" t="s">
        <v>9680</v>
      </c>
      <c r="R1168" s="80" t="s">
        <v>9680</v>
      </c>
    </row>
    <row r="1169" spans="1:18" ht="20" x14ac:dyDescent="0.2">
      <c r="A1169" s="80" t="s">
        <v>1136</v>
      </c>
      <c r="B1169" s="80" t="s">
        <v>1137</v>
      </c>
      <c r="C1169" s="80" t="s">
        <v>9680</v>
      </c>
      <c r="D1169" s="80" t="s">
        <v>9680</v>
      </c>
      <c r="E1169" s="80" t="s">
        <v>84</v>
      </c>
      <c r="F1169" s="80"/>
      <c r="G1169" s="80" t="s">
        <v>9680</v>
      </c>
      <c r="H1169" s="80" t="s">
        <v>9680</v>
      </c>
      <c r="I1169" s="80" t="s">
        <v>9680</v>
      </c>
      <c r="J1169" s="80" t="s">
        <v>84</v>
      </c>
      <c r="K1169" s="80" t="s">
        <v>9680</v>
      </c>
      <c r="L1169" s="80" t="s">
        <v>9680</v>
      </c>
      <c r="M1169" s="80" t="s">
        <v>9680</v>
      </c>
      <c r="N1169" s="80" t="s">
        <v>84</v>
      </c>
      <c r="O1169" s="80" t="s">
        <v>84</v>
      </c>
      <c r="P1169" s="80"/>
      <c r="Q1169" s="80" t="s">
        <v>84</v>
      </c>
      <c r="R1169" s="80" t="s">
        <v>84</v>
      </c>
    </row>
    <row r="1170" spans="1:18" ht="20" x14ac:dyDescent="0.2">
      <c r="A1170" s="80" t="s">
        <v>1138</v>
      </c>
      <c r="B1170" s="80" t="s">
        <v>1139</v>
      </c>
      <c r="C1170" s="80" t="s">
        <v>9680</v>
      </c>
      <c r="D1170" s="80" t="s">
        <v>9680</v>
      </c>
      <c r="E1170" s="80" t="s">
        <v>84</v>
      </c>
      <c r="F1170" s="80"/>
      <c r="G1170" s="80" t="s">
        <v>9680</v>
      </c>
      <c r="H1170" s="80" t="s">
        <v>9680</v>
      </c>
      <c r="I1170" s="80" t="s">
        <v>9680</v>
      </c>
      <c r="J1170" s="80" t="s">
        <v>84</v>
      </c>
      <c r="K1170" s="80" t="s">
        <v>9680</v>
      </c>
      <c r="L1170" s="80" t="s">
        <v>9680</v>
      </c>
      <c r="M1170" s="80" t="s">
        <v>9680</v>
      </c>
      <c r="N1170" s="80" t="s">
        <v>84</v>
      </c>
      <c r="O1170" s="80" t="s">
        <v>84</v>
      </c>
      <c r="P1170" s="80"/>
      <c r="Q1170" s="80" t="s">
        <v>84</v>
      </c>
      <c r="R1170" s="80" t="s">
        <v>84</v>
      </c>
    </row>
    <row r="1171" spans="1:18" ht="20" x14ac:dyDescent="0.2">
      <c r="A1171" s="80" t="s">
        <v>3485</v>
      </c>
      <c r="B1171" s="80" t="s">
        <v>10105</v>
      </c>
      <c r="C1171" s="80" t="s">
        <v>9680</v>
      </c>
      <c r="D1171" s="80" t="s">
        <v>9680</v>
      </c>
      <c r="E1171" s="80" t="s">
        <v>84</v>
      </c>
      <c r="F1171" s="80"/>
      <c r="G1171" s="80" t="s">
        <v>9680</v>
      </c>
      <c r="H1171" s="80" t="s">
        <v>84</v>
      </c>
      <c r="I1171" s="80" t="s">
        <v>9680</v>
      </c>
      <c r="J1171" s="80" t="s">
        <v>9680</v>
      </c>
      <c r="K1171" s="80" t="s">
        <v>9680</v>
      </c>
      <c r="L1171" s="80" t="s">
        <v>9680</v>
      </c>
      <c r="M1171" s="80" t="s">
        <v>9680</v>
      </c>
      <c r="N1171" s="80" t="s">
        <v>84</v>
      </c>
      <c r="O1171" s="80" t="s">
        <v>9680</v>
      </c>
      <c r="P1171" s="80"/>
      <c r="Q1171" s="80" t="s">
        <v>9680</v>
      </c>
      <c r="R1171" s="80" t="s">
        <v>9680</v>
      </c>
    </row>
    <row r="1172" spans="1:18" ht="20" x14ac:dyDescent="0.2">
      <c r="A1172" s="80" t="s">
        <v>3485</v>
      </c>
      <c r="B1172" s="80" t="s">
        <v>3486</v>
      </c>
      <c r="C1172" s="80" t="s">
        <v>9680</v>
      </c>
      <c r="D1172" s="80" t="s">
        <v>9680</v>
      </c>
      <c r="E1172" s="80" t="s">
        <v>84</v>
      </c>
      <c r="F1172" s="80"/>
      <c r="G1172" s="80" t="s">
        <v>9680</v>
      </c>
      <c r="H1172" s="80" t="s">
        <v>84</v>
      </c>
      <c r="I1172" s="80" t="s">
        <v>9680</v>
      </c>
      <c r="J1172" s="80" t="s">
        <v>9680</v>
      </c>
      <c r="K1172" s="80" t="s">
        <v>9680</v>
      </c>
      <c r="L1172" s="80" t="s">
        <v>9680</v>
      </c>
      <c r="M1172" s="80" t="s">
        <v>9680</v>
      </c>
      <c r="N1172" s="80" t="s">
        <v>84</v>
      </c>
      <c r="O1172" s="80" t="s">
        <v>9680</v>
      </c>
      <c r="P1172" s="80"/>
      <c r="Q1172" s="80" t="s">
        <v>9680</v>
      </c>
      <c r="R1172" s="80" t="s">
        <v>9680</v>
      </c>
    </row>
    <row r="1173" spans="1:18" ht="20" x14ac:dyDescent="0.2">
      <c r="A1173" s="80" t="s">
        <v>3489</v>
      </c>
      <c r="B1173" s="80" t="s">
        <v>10106</v>
      </c>
      <c r="C1173" s="80" t="s">
        <v>9680</v>
      </c>
      <c r="D1173" s="80" t="s">
        <v>9680</v>
      </c>
      <c r="E1173" s="80" t="s">
        <v>84</v>
      </c>
      <c r="F1173" s="80"/>
      <c r="G1173" s="80" t="s">
        <v>9680</v>
      </c>
      <c r="H1173" s="80" t="s">
        <v>9680</v>
      </c>
      <c r="I1173" s="80" t="s">
        <v>9680</v>
      </c>
      <c r="J1173" s="80" t="s">
        <v>84</v>
      </c>
      <c r="K1173" s="80" t="s">
        <v>9680</v>
      </c>
      <c r="L1173" s="80" t="s">
        <v>9680</v>
      </c>
      <c r="M1173" s="80" t="s">
        <v>9680</v>
      </c>
      <c r="N1173" s="80" t="s">
        <v>84</v>
      </c>
      <c r="O1173" s="80" t="s">
        <v>9680</v>
      </c>
      <c r="P1173" s="80"/>
      <c r="Q1173" s="80" t="s">
        <v>9680</v>
      </c>
      <c r="R1173" s="80" t="s">
        <v>9680</v>
      </c>
    </row>
    <row r="1174" spans="1:18" ht="20" x14ac:dyDescent="0.2">
      <c r="A1174" s="80" t="s">
        <v>3489</v>
      </c>
      <c r="B1174" s="80" t="s">
        <v>3490</v>
      </c>
      <c r="C1174" s="80" t="s">
        <v>9680</v>
      </c>
      <c r="D1174" s="80" t="s">
        <v>9680</v>
      </c>
      <c r="E1174" s="80" t="s">
        <v>84</v>
      </c>
      <c r="F1174" s="80"/>
      <c r="G1174" s="80" t="s">
        <v>9680</v>
      </c>
      <c r="H1174" s="80" t="s">
        <v>9680</v>
      </c>
      <c r="I1174" s="80" t="s">
        <v>9680</v>
      </c>
      <c r="J1174" s="80" t="s">
        <v>84</v>
      </c>
      <c r="K1174" s="80" t="s">
        <v>9680</v>
      </c>
      <c r="L1174" s="80" t="s">
        <v>9680</v>
      </c>
      <c r="M1174" s="80" t="s">
        <v>9680</v>
      </c>
      <c r="N1174" s="80" t="s">
        <v>84</v>
      </c>
      <c r="O1174" s="80" t="s">
        <v>9680</v>
      </c>
      <c r="P1174" s="80"/>
      <c r="Q1174" s="80" t="s">
        <v>9680</v>
      </c>
      <c r="R1174" s="80" t="s">
        <v>9680</v>
      </c>
    </row>
    <row r="1175" spans="1:18" ht="20" x14ac:dyDescent="0.2">
      <c r="A1175" s="80" t="s">
        <v>3491</v>
      </c>
      <c r="B1175" s="80" t="s">
        <v>3492</v>
      </c>
      <c r="C1175" s="80" t="s">
        <v>84</v>
      </c>
      <c r="D1175" s="80" t="s">
        <v>84</v>
      </c>
      <c r="E1175" s="80" t="s">
        <v>84</v>
      </c>
      <c r="F1175" s="80"/>
      <c r="G1175" s="80" t="s">
        <v>84</v>
      </c>
      <c r="H1175" s="80" t="s">
        <v>84</v>
      </c>
      <c r="I1175" s="80" t="s">
        <v>84</v>
      </c>
      <c r="J1175" s="80" t="s">
        <v>84</v>
      </c>
      <c r="K1175" s="80" t="s">
        <v>84</v>
      </c>
      <c r="L1175" s="80" t="s">
        <v>84</v>
      </c>
      <c r="M1175" s="80" t="s">
        <v>84</v>
      </c>
      <c r="N1175" s="80" t="s">
        <v>84</v>
      </c>
      <c r="O1175" s="80" t="s">
        <v>84</v>
      </c>
      <c r="P1175" s="80"/>
      <c r="Q1175" s="80" t="s">
        <v>84</v>
      </c>
      <c r="R1175" s="80" t="s">
        <v>84</v>
      </c>
    </row>
    <row r="1176" spans="1:18" ht="20" x14ac:dyDescent="0.2">
      <c r="A1176" s="80" t="s">
        <v>3571</v>
      </c>
      <c r="B1176" s="80" t="s">
        <v>3572</v>
      </c>
      <c r="C1176" s="80" t="s">
        <v>84</v>
      </c>
      <c r="D1176" s="80" t="s">
        <v>84</v>
      </c>
      <c r="E1176" s="80" t="s">
        <v>84</v>
      </c>
      <c r="F1176" s="80"/>
      <c r="G1176" s="80" t="s">
        <v>84</v>
      </c>
      <c r="H1176" s="80" t="s">
        <v>84</v>
      </c>
      <c r="I1176" s="80" t="s">
        <v>84</v>
      </c>
      <c r="J1176" s="80" t="s">
        <v>84</v>
      </c>
      <c r="K1176" s="80" t="s">
        <v>84</v>
      </c>
      <c r="L1176" s="80" t="s">
        <v>84</v>
      </c>
      <c r="M1176" s="80" t="s">
        <v>84</v>
      </c>
      <c r="N1176" s="80" t="s">
        <v>84</v>
      </c>
      <c r="O1176" s="80" t="s">
        <v>84</v>
      </c>
      <c r="P1176" s="80"/>
      <c r="Q1176" s="80" t="s">
        <v>84</v>
      </c>
      <c r="R1176" s="80" t="s">
        <v>84</v>
      </c>
    </row>
    <row r="1177" spans="1:18" ht="20" x14ac:dyDescent="0.2">
      <c r="A1177" s="80" t="s">
        <v>3573</v>
      </c>
      <c r="B1177" s="80" t="s">
        <v>10107</v>
      </c>
      <c r="C1177" s="80" t="s">
        <v>9680</v>
      </c>
      <c r="D1177" s="80" t="s">
        <v>9680</v>
      </c>
      <c r="E1177" s="80" t="s">
        <v>84</v>
      </c>
      <c r="F1177" s="80"/>
      <c r="G1177" s="80" t="s">
        <v>9680</v>
      </c>
      <c r="H1177" s="80" t="s">
        <v>9680</v>
      </c>
      <c r="I1177" s="80" t="s">
        <v>9680</v>
      </c>
      <c r="J1177" s="80" t="s">
        <v>84</v>
      </c>
      <c r="K1177" s="80" t="s">
        <v>9680</v>
      </c>
      <c r="L1177" s="80" t="s">
        <v>9680</v>
      </c>
      <c r="M1177" s="80" t="s">
        <v>9680</v>
      </c>
      <c r="N1177" s="80" t="s">
        <v>84</v>
      </c>
      <c r="O1177" s="80" t="s">
        <v>9680</v>
      </c>
      <c r="P1177" s="80"/>
      <c r="Q1177" s="80" t="s">
        <v>9680</v>
      </c>
      <c r="R1177" s="80" t="s">
        <v>9680</v>
      </c>
    </row>
    <row r="1178" spans="1:18" ht="20" x14ac:dyDescent="0.2">
      <c r="A1178" s="80" t="s">
        <v>3573</v>
      </c>
      <c r="B1178" s="80" t="s">
        <v>3574</v>
      </c>
      <c r="C1178" s="80" t="s">
        <v>9680</v>
      </c>
      <c r="D1178" s="80" t="s">
        <v>9680</v>
      </c>
      <c r="E1178" s="80" t="s">
        <v>84</v>
      </c>
      <c r="F1178" s="80"/>
      <c r="G1178" s="80" t="s">
        <v>9680</v>
      </c>
      <c r="H1178" s="80" t="s">
        <v>9680</v>
      </c>
      <c r="I1178" s="80" t="s">
        <v>9680</v>
      </c>
      <c r="J1178" s="80" t="s">
        <v>84</v>
      </c>
      <c r="K1178" s="80" t="s">
        <v>9680</v>
      </c>
      <c r="L1178" s="80" t="s">
        <v>9680</v>
      </c>
      <c r="M1178" s="80" t="s">
        <v>9680</v>
      </c>
      <c r="N1178" s="80" t="s">
        <v>84</v>
      </c>
      <c r="O1178" s="80" t="s">
        <v>9680</v>
      </c>
      <c r="P1178" s="80"/>
      <c r="Q1178" s="80" t="s">
        <v>9680</v>
      </c>
      <c r="R1178" s="80" t="s">
        <v>9680</v>
      </c>
    </row>
    <row r="1179" spans="1:18" ht="20" x14ac:dyDescent="0.2">
      <c r="A1179" s="80" t="s">
        <v>3575</v>
      </c>
      <c r="B1179" s="80" t="s">
        <v>3576</v>
      </c>
      <c r="C1179" s="80" t="s">
        <v>84</v>
      </c>
      <c r="D1179" s="80" t="s">
        <v>84</v>
      </c>
      <c r="E1179" s="80" t="s">
        <v>84</v>
      </c>
      <c r="F1179" s="80"/>
      <c r="G1179" s="80" t="s">
        <v>84</v>
      </c>
      <c r="H1179" s="80" t="s">
        <v>84</v>
      </c>
      <c r="I1179" s="80" t="s">
        <v>84</v>
      </c>
      <c r="J1179" s="80" t="s">
        <v>84</v>
      </c>
      <c r="K1179" s="80" t="s">
        <v>84</v>
      </c>
      <c r="L1179" s="80" t="s">
        <v>84</v>
      </c>
      <c r="M1179" s="80" t="s">
        <v>84</v>
      </c>
      <c r="N1179" s="80" t="s">
        <v>84</v>
      </c>
      <c r="O1179" s="80" t="s">
        <v>84</v>
      </c>
      <c r="P1179" s="80"/>
      <c r="Q1179" s="80" t="s">
        <v>84</v>
      </c>
      <c r="R1179" s="80" t="s">
        <v>84</v>
      </c>
    </row>
    <row r="1180" spans="1:18" ht="20" x14ac:dyDescent="0.2">
      <c r="A1180" s="80" t="s">
        <v>3493</v>
      </c>
      <c r="B1180" s="80" t="s">
        <v>3494</v>
      </c>
      <c r="C1180" s="80" t="s">
        <v>9680</v>
      </c>
      <c r="D1180" s="80" t="s">
        <v>9680</v>
      </c>
      <c r="E1180" s="80" t="s">
        <v>84</v>
      </c>
      <c r="F1180" s="80"/>
      <c r="G1180" s="80" t="s">
        <v>84</v>
      </c>
      <c r="H1180" s="80" t="s">
        <v>84</v>
      </c>
      <c r="I1180" s="80" t="s">
        <v>9680</v>
      </c>
      <c r="J1180" s="80" t="s">
        <v>84</v>
      </c>
      <c r="K1180" s="80" t="s">
        <v>9680</v>
      </c>
      <c r="L1180" s="80" t="s">
        <v>9680</v>
      </c>
      <c r="M1180" s="80" t="s">
        <v>9680</v>
      </c>
      <c r="N1180" s="80" t="s">
        <v>84</v>
      </c>
      <c r="O1180" s="80" t="s">
        <v>9680</v>
      </c>
      <c r="P1180" s="80"/>
      <c r="Q1180" s="80" t="s">
        <v>9680</v>
      </c>
      <c r="R1180" s="80" t="s">
        <v>9680</v>
      </c>
    </row>
    <row r="1181" spans="1:18" ht="20" x14ac:dyDescent="0.2">
      <c r="A1181" s="80" t="s">
        <v>3495</v>
      </c>
      <c r="B1181" s="80" t="s">
        <v>3496</v>
      </c>
      <c r="C1181" s="80" t="s">
        <v>9680</v>
      </c>
      <c r="D1181" s="80" t="s">
        <v>9680</v>
      </c>
      <c r="E1181" s="80" t="s">
        <v>84</v>
      </c>
      <c r="F1181" s="80"/>
      <c r="G1181" s="80" t="s">
        <v>84</v>
      </c>
      <c r="H1181" s="80" t="s">
        <v>84</v>
      </c>
      <c r="I1181" s="80" t="s">
        <v>9680</v>
      </c>
      <c r="J1181" s="80" t="s">
        <v>84</v>
      </c>
      <c r="K1181" s="80" t="s">
        <v>9680</v>
      </c>
      <c r="L1181" s="80" t="s">
        <v>9680</v>
      </c>
      <c r="M1181" s="80" t="s">
        <v>9680</v>
      </c>
      <c r="N1181" s="80" t="s">
        <v>84</v>
      </c>
      <c r="O1181" s="80" t="s">
        <v>9680</v>
      </c>
      <c r="P1181" s="80"/>
      <c r="Q1181" s="80" t="s">
        <v>9680</v>
      </c>
      <c r="R1181" s="80" t="s">
        <v>9680</v>
      </c>
    </row>
    <row r="1182" spans="1:18" ht="20" x14ac:dyDescent="0.2">
      <c r="A1182" s="80" t="s">
        <v>3577</v>
      </c>
      <c r="B1182" s="80" t="s">
        <v>3578</v>
      </c>
      <c r="C1182" s="80" t="s">
        <v>84</v>
      </c>
      <c r="D1182" s="80" t="s">
        <v>84</v>
      </c>
      <c r="E1182" s="80" t="s">
        <v>84</v>
      </c>
      <c r="F1182" s="80"/>
      <c r="G1182" s="80" t="s">
        <v>84</v>
      </c>
      <c r="H1182" s="80" t="s">
        <v>84</v>
      </c>
      <c r="I1182" s="80" t="s">
        <v>84</v>
      </c>
      <c r="J1182" s="80" t="s">
        <v>84</v>
      </c>
      <c r="K1182" s="80" t="s">
        <v>84</v>
      </c>
      <c r="L1182" s="80" t="s">
        <v>84</v>
      </c>
      <c r="M1182" s="80" t="s">
        <v>84</v>
      </c>
      <c r="N1182" s="80" t="s">
        <v>84</v>
      </c>
      <c r="O1182" s="80" t="s">
        <v>84</v>
      </c>
      <c r="P1182" s="80"/>
      <c r="Q1182" s="80" t="s">
        <v>84</v>
      </c>
      <c r="R1182" s="80" t="s">
        <v>84</v>
      </c>
    </row>
    <row r="1183" spans="1:18" ht="20" x14ac:dyDescent="0.2">
      <c r="A1183" s="80" t="s">
        <v>10108</v>
      </c>
      <c r="B1183" s="80" t="s">
        <v>10109</v>
      </c>
      <c r="C1183" s="80" t="s">
        <v>84</v>
      </c>
      <c r="D1183" s="80" t="s">
        <v>84</v>
      </c>
      <c r="E1183" s="80" t="s">
        <v>84</v>
      </c>
      <c r="F1183" s="80"/>
      <c r="G1183" s="80" t="s">
        <v>84</v>
      </c>
      <c r="H1183" s="80" t="s">
        <v>84</v>
      </c>
      <c r="I1183" s="80" t="s">
        <v>84</v>
      </c>
      <c r="J1183" s="80" t="s">
        <v>84</v>
      </c>
      <c r="K1183" s="80" t="s">
        <v>84</v>
      </c>
      <c r="L1183" s="80" t="s">
        <v>84</v>
      </c>
      <c r="M1183" s="80" t="s">
        <v>84</v>
      </c>
      <c r="N1183" s="80" t="s">
        <v>84</v>
      </c>
      <c r="O1183" s="80" t="s">
        <v>84</v>
      </c>
      <c r="P1183" s="80"/>
      <c r="Q1183" s="80" t="s">
        <v>84</v>
      </c>
      <c r="R1183" s="80" t="s">
        <v>84</v>
      </c>
    </row>
    <row r="1184" spans="1:18" ht="20" x14ac:dyDescent="0.2">
      <c r="A1184" s="80" t="s">
        <v>1140</v>
      </c>
      <c r="B1184" s="80" t="s">
        <v>10110</v>
      </c>
      <c r="C1184" s="80" t="s">
        <v>9680</v>
      </c>
      <c r="D1184" s="80" t="s">
        <v>84</v>
      </c>
      <c r="E1184" s="80" t="s">
        <v>84</v>
      </c>
      <c r="F1184" s="80"/>
      <c r="G1184" s="80" t="s">
        <v>84</v>
      </c>
      <c r="H1184" s="80" t="s">
        <v>84</v>
      </c>
      <c r="I1184" s="80" t="s">
        <v>84</v>
      </c>
      <c r="J1184" s="80" t="s">
        <v>84</v>
      </c>
      <c r="K1184" s="80" t="s">
        <v>84</v>
      </c>
      <c r="L1184" s="80" t="s">
        <v>84</v>
      </c>
      <c r="M1184" s="80" t="s">
        <v>84</v>
      </c>
      <c r="N1184" s="80" t="s">
        <v>84</v>
      </c>
      <c r="O1184" s="80" t="s">
        <v>84</v>
      </c>
      <c r="P1184" s="80"/>
      <c r="Q1184" s="80" t="s">
        <v>84</v>
      </c>
      <c r="R1184" s="80" t="s">
        <v>84</v>
      </c>
    </row>
    <row r="1185" spans="1:18" ht="20" x14ac:dyDescent="0.2">
      <c r="A1185" s="80" t="s">
        <v>1140</v>
      </c>
      <c r="B1185" s="80" t="s">
        <v>1141</v>
      </c>
      <c r="C1185" s="80" t="s">
        <v>9680</v>
      </c>
      <c r="D1185" s="80" t="s">
        <v>84</v>
      </c>
      <c r="E1185" s="80" t="s">
        <v>84</v>
      </c>
      <c r="F1185" s="80"/>
      <c r="G1185" s="80" t="s">
        <v>84</v>
      </c>
      <c r="H1185" s="80" t="s">
        <v>84</v>
      </c>
      <c r="I1185" s="80" t="s">
        <v>84</v>
      </c>
      <c r="J1185" s="80" t="s">
        <v>84</v>
      </c>
      <c r="K1185" s="80" t="s">
        <v>84</v>
      </c>
      <c r="L1185" s="80" t="s">
        <v>84</v>
      </c>
      <c r="M1185" s="80" t="s">
        <v>84</v>
      </c>
      <c r="N1185" s="80" t="s">
        <v>84</v>
      </c>
      <c r="O1185" s="80" t="s">
        <v>84</v>
      </c>
      <c r="P1185" s="80"/>
      <c r="Q1185" s="80" t="s">
        <v>84</v>
      </c>
      <c r="R1185" s="80" t="s">
        <v>84</v>
      </c>
    </row>
    <row r="1186" spans="1:18" ht="20" x14ac:dyDescent="0.2">
      <c r="A1186" s="80" t="s">
        <v>1142</v>
      </c>
      <c r="B1186" s="80" t="s">
        <v>1143</v>
      </c>
      <c r="C1186" s="80" t="s">
        <v>9680</v>
      </c>
      <c r="D1186" s="80" t="s">
        <v>84</v>
      </c>
      <c r="E1186" s="80" t="s">
        <v>84</v>
      </c>
      <c r="F1186" s="80"/>
      <c r="G1186" s="80" t="s">
        <v>84</v>
      </c>
      <c r="H1186" s="80" t="s">
        <v>9680</v>
      </c>
      <c r="I1186" s="80" t="s">
        <v>84</v>
      </c>
      <c r="J1186" s="80" t="s">
        <v>84</v>
      </c>
      <c r="K1186" s="80" t="s">
        <v>84</v>
      </c>
      <c r="L1186" s="80" t="s">
        <v>84</v>
      </c>
      <c r="M1186" s="80" t="s">
        <v>84</v>
      </c>
      <c r="N1186" s="80" t="s">
        <v>84</v>
      </c>
      <c r="O1186" s="80" t="s">
        <v>84</v>
      </c>
      <c r="P1186" s="80"/>
      <c r="Q1186" s="80" t="s">
        <v>84</v>
      </c>
      <c r="R1186" s="80" t="s">
        <v>84</v>
      </c>
    </row>
    <row r="1187" spans="1:18" ht="20" x14ac:dyDescent="0.2">
      <c r="A1187" s="80" t="s">
        <v>1148</v>
      </c>
      <c r="B1187" s="80" t="s">
        <v>1149</v>
      </c>
      <c r="C1187" s="80" t="s">
        <v>9680</v>
      </c>
      <c r="D1187" s="80" t="s">
        <v>84</v>
      </c>
      <c r="E1187" s="80" t="s">
        <v>84</v>
      </c>
      <c r="F1187" s="80"/>
      <c r="G1187" s="80" t="s">
        <v>84</v>
      </c>
      <c r="H1187" s="80" t="s">
        <v>84</v>
      </c>
      <c r="I1187" s="80" t="s">
        <v>84</v>
      </c>
      <c r="J1187" s="80" t="s">
        <v>84</v>
      </c>
      <c r="K1187" s="80" t="s">
        <v>84</v>
      </c>
      <c r="L1187" s="80" t="s">
        <v>84</v>
      </c>
      <c r="M1187" s="80" t="s">
        <v>84</v>
      </c>
      <c r="N1187" s="80" t="s">
        <v>84</v>
      </c>
      <c r="O1187" s="80" t="s">
        <v>84</v>
      </c>
      <c r="P1187" s="80"/>
      <c r="Q1187" s="80" t="s">
        <v>84</v>
      </c>
      <c r="R1187" s="80" t="s">
        <v>84</v>
      </c>
    </row>
    <row r="1188" spans="1:18" ht="20" x14ac:dyDescent="0.2">
      <c r="A1188" s="80" t="s">
        <v>10111</v>
      </c>
      <c r="B1188" s="80" t="s">
        <v>10112</v>
      </c>
      <c r="C1188" s="80" t="s">
        <v>9680</v>
      </c>
      <c r="D1188" s="80" t="s">
        <v>84</v>
      </c>
      <c r="E1188" s="80" t="s">
        <v>84</v>
      </c>
      <c r="F1188" s="80"/>
      <c r="G1188" s="80" t="s">
        <v>84</v>
      </c>
      <c r="H1188" s="80" t="s">
        <v>84</v>
      </c>
      <c r="I1188" s="80" t="s">
        <v>84</v>
      </c>
      <c r="J1188" s="80" t="s">
        <v>84</v>
      </c>
      <c r="K1188" s="80" t="s">
        <v>84</v>
      </c>
      <c r="L1188" s="80" t="s">
        <v>84</v>
      </c>
      <c r="M1188" s="80" t="s">
        <v>84</v>
      </c>
      <c r="N1188" s="80" t="s">
        <v>84</v>
      </c>
      <c r="O1188" s="80" t="s">
        <v>84</v>
      </c>
      <c r="P1188" s="80"/>
      <c r="Q1188" s="80" t="s">
        <v>84</v>
      </c>
      <c r="R1188" s="80" t="s">
        <v>84</v>
      </c>
    </row>
    <row r="1189" spans="1:18" ht="20" x14ac:dyDescent="0.2">
      <c r="A1189" s="80" t="s">
        <v>1243</v>
      </c>
      <c r="B1189" s="80" t="s">
        <v>1244</v>
      </c>
      <c r="C1189" s="80" t="s">
        <v>9680</v>
      </c>
      <c r="D1189" s="80" t="s">
        <v>84</v>
      </c>
      <c r="E1189" s="80" t="s">
        <v>84</v>
      </c>
      <c r="F1189" s="80"/>
      <c r="G1189" s="80" t="s">
        <v>84</v>
      </c>
      <c r="H1189" s="80" t="s">
        <v>84</v>
      </c>
      <c r="I1189" s="80" t="s">
        <v>84</v>
      </c>
      <c r="J1189" s="80" t="s">
        <v>84</v>
      </c>
      <c r="K1189" s="80" t="s">
        <v>84</v>
      </c>
      <c r="L1189" s="80" t="s">
        <v>84</v>
      </c>
      <c r="M1189" s="80" t="s">
        <v>84</v>
      </c>
      <c r="N1189" s="80" t="s">
        <v>84</v>
      </c>
      <c r="O1189" s="80" t="s">
        <v>84</v>
      </c>
      <c r="P1189" s="80"/>
      <c r="Q1189" s="80" t="s">
        <v>84</v>
      </c>
      <c r="R1189" s="80" t="s">
        <v>84</v>
      </c>
    </row>
    <row r="1190" spans="1:18" ht="20" x14ac:dyDescent="0.2">
      <c r="A1190" s="80" t="s">
        <v>3883</v>
      </c>
      <c r="B1190" s="80" t="s">
        <v>3884</v>
      </c>
      <c r="C1190" s="80" t="s">
        <v>9680</v>
      </c>
      <c r="D1190" s="80" t="s">
        <v>9680</v>
      </c>
      <c r="E1190" s="80" t="s">
        <v>9680</v>
      </c>
      <c r="F1190" s="80"/>
      <c r="G1190" s="80" t="s">
        <v>9680</v>
      </c>
      <c r="H1190" s="80" t="s">
        <v>9680</v>
      </c>
      <c r="I1190" s="80" t="s">
        <v>9680</v>
      </c>
      <c r="J1190" s="80" t="s">
        <v>9680</v>
      </c>
      <c r="K1190" s="80" t="s">
        <v>9680</v>
      </c>
      <c r="L1190" s="80" t="s">
        <v>9680</v>
      </c>
      <c r="M1190" s="80" t="s">
        <v>9680</v>
      </c>
      <c r="N1190" s="80" t="s">
        <v>9680</v>
      </c>
      <c r="O1190" s="80" t="s">
        <v>9680</v>
      </c>
      <c r="P1190" s="80"/>
      <c r="Q1190" s="80" t="s">
        <v>9680</v>
      </c>
      <c r="R1190" s="80" t="s">
        <v>9680</v>
      </c>
    </row>
    <row r="1191" spans="1:18" x14ac:dyDescent="0.2">
      <c r="A1191" s="80" t="s">
        <v>3885</v>
      </c>
      <c r="B1191" s="80" t="s">
        <v>3886</v>
      </c>
      <c r="C1191" s="80" t="s">
        <v>84</v>
      </c>
      <c r="D1191" s="80" t="s">
        <v>84</v>
      </c>
      <c r="E1191" s="80" t="s">
        <v>84</v>
      </c>
      <c r="F1191" s="80"/>
      <c r="G1191" s="80" t="s">
        <v>84</v>
      </c>
      <c r="H1191" s="80" t="s">
        <v>84</v>
      </c>
      <c r="I1191" s="80" t="s">
        <v>84</v>
      </c>
      <c r="J1191" s="80" t="s">
        <v>84</v>
      </c>
      <c r="K1191" s="80" t="s">
        <v>84</v>
      </c>
      <c r="L1191" s="80" t="s">
        <v>84</v>
      </c>
      <c r="M1191" s="80" t="s">
        <v>84</v>
      </c>
      <c r="N1191" s="80" t="s">
        <v>84</v>
      </c>
      <c r="O1191" s="80" t="s">
        <v>84</v>
      </c>
      <c r="P1191" s="80"/>
      <c r="Q1191" s="80" t="s">
        <v>84</v>
      </c>
      <c r="R1191" s="80" t="s">
        <v>84</v>
      </c>
    </row>
    <row r="1192" spans="1:18" ht="20" x14ac:dyDescent="0.2">
      <c r="A1192" s="80" t="s">
        <v>3887</v>
      </c>
      <c r="B1192" s="80" t="s">
        <v>3888</v>
      </c>
      <c r="C1192" s="80" t="s">
        <v>9680</v>
      </c>
      <c r="D1192" s="80" t="s">
        <v>9680</v>
      </c>
      <c r="E1192" s="80" t="s">
        <v>84</v>
      </c>
      <c r="F1192" s="80"/>
      <c r="G1192" s="80" t="s">
        <v>9680</v>
      </c>
      <c r="H1192" s="80" t="s">
        <v>9680</v>
      </c>
      <c r="I1192" s="80" t="s">
        <v>9680</v>
      </c>
      <c r="J1192" s="80" t="s">
        <v>9680</v>
      </c>
      <c r="K1192" s="80" t="s">
        <v>9680</v>
      </c>
      <c r="L1192" s="80" t="s">
        <v>9680</v>
      </c>
      <c r="M1192" s="80" t="s">
        <v>9680</v>
      </c>
      <c r="N1192" s="80" t="s">
        <v>84</v>
      </c>
      <c r="O1192" s="80" t="s">
        <v>84</v>
      </c>
      <c r="P1192" s="80"/>
      <c r="Q1192" s="80" t="s">
        <v>84</v>
      </c>
      <c r="R1192" s="80" t="s">
        <v>84</v>
      </c>
    </row>
    <row r="1193" spans="1:18" x14ac:dyDescent="0.2">
      <c r="A1193" s="80" t="s">
        <v>3958</v>
      </c>
      <c r="B1193" s="80" t="s">
        <v>3959</v>
      </c>
      <c r="C1193" s="80" t="s">
        <v>9722</v>
      </c>
      <c r="D1193" s="80" t="s">
        <v>9722</v>
      </c>
      <c r="E1193" s="80" t="s">
        <v>84</v>
      </c>
      <c r="F1193" s="80"/>
      <c r="G1193" s="80" t="s">
        <v>9722</v>
      </c>
      <c r="H1193" s="80" t="s">
        <v>9722</v>
      </c>
      <c r="I1193" s="80" t="s">
        <v>9722</v>
      </c>
      <c r="J1193" s="80" t="s">
        <v>9722</v>
      </c>
      <c r="K1193" s="80" t="s">
        <v>9722</v>
      </c>
      <c r="L1193" s="80" t="s">
        <v>9722</v>
      </c>
      <c r="M1193" s="80" t="s">
        <v>9722</v>
      </c>
      <c r="N1193" s="80" t="s">
        <v>84</v>
      </c>
      <c r="O1193" s="80" t="s">
        <v>84</v>
      </c>
      <c r="P1193" s="80"/>
      <c r="Q1193" s="80" t="s">
        <v>84</v>
      </c>
      <c r="R1193" s="80" t="s">
        <v>84</v>
      </c>
    </row>
    <row r="1194" spans="1:18" ht="20" x14ac:dyDescent="0.2">
      <c r="A1194" s="80" t="s">
        <v>4005</v>
      </c>
      <c r="B1194" s="80" t="s">
        <v>10113</v>
      </c>
      <c r="C1194" s="80" t="s">
        <v>84</v>
      </c>
      <c r="D1194" s="80" t="s">
        <v>84</v>
      </c>
      <c r="E1194" s="80" t="s">
        <v>84</v>
      </c>
      <c r="F1194" s="80"/>
      <c r="G1194" s="80" t="s">
        <v>84</v>
      </c>
      <c r="H1194" s="80" t="s">
        <v>84</v>
      </c>
      <c r="I1194" s="80" t="s">
        <v>84</v>
      </c>
      <c r="J1194" s="80" t="s">
        <v>84</v>
      </c>
      <c r="K1194" s="80" t="s">
        <v>84</v>
      </c>
      <c r="L1194" s="80" t="s">
        <v>84</v>
      </c>
      <c r="M1194" s="80" t="s">
        <v>84</v>
      </c>
      <c r="N1194" s="80" t="s">
        <v>84</v>
      </c>
      <c r="O1194" s="80" t="s">
        <v>84</v>
      </c>
      <c r="P1194" s="80"/>
      <c r="Q1194" s="80" t="s">
        <v>84</v>
      </c>
      <c r="R1194" s="80" t="s">
        <v>84</v>
      </c>
    </row>
    <row r="1195" spans="1:18" x14ac:dyDescent="0.2">
      <c r="A1195" s="80" t="s">
        <v>4005</v>
      </c>
      <c r="B1195" s="80" t="s">
        <v>4006</v>
      </c>
      <c r="C1195" s="80" t="s">
        <v>84</v>
      </c>
      <c r="D1195" s="80" t="s">
        <v>84</v>
      </c>
      <c r="E1195" s="80" t="s">
        <v>84</v>
      </c>
      <c r="F1195" s="80"/>
      <c r="G1195" s="80" t="s">
        <v>84</v>
      </c>
      <c r="H1195" s="80" t="s">
        <v>84</v>
      </c>
      <c r="I1195" s="80" t="s">
        <v>84</v>
      </c>
      <c r="J1195" s="80" t="s">
        <v>84</v>
      </c>
      <c r="K1195" s="80" t="s">
        <v>84</v>
      </c>
      <c r="L1195" s="80" t="s">
        <v>84</v>
      </c>
      <c r="M1195" s="80" t="s">
        <v>84</v>
      </c>
      <c r="N1195" s="80" t="s">
        <v>84</v>
      </c>
      <c r="O1195" s="80" t="s">
        <v>84</v>
      </c>
      <c r="P1195" s="80"/>
      <c r="Q1195" s="80" t="s">
        <v>84</v>
      </c>
      <c r="R1195" s="80" t="s">
        <v>84</v>
      </c>
    </row>
    <row r="1196" spans="1:18" ht="20" x14ac:dyDescent="0.2">
      <c r="A1196" s="80" t="s">
        <v>3989</v>
      </c>
      <c r="B1196" s="80" t="s">
        <v>3990</v>
      </c>
      <c r="C1196" s="80" t="s">
        <v>9680</v>
      </c>
      <c r="D1196" s="80" t="s">
        <v>84</v>
      </c>
      <c r="E1196" s="80" t="s">
        <v>84</v>
      </c>
      <c r="F1196" s="80"/>
      <c r="G1196" s="80" t="s">
        <v>84</v>
      </c>
      <c r="H1196" s="80" t="s">
        <v>84</v>
      </c>
      <c r="I1196" s="80" t="s">
        <v>84</v>
      </c>
      <c r="J1196" s="80" t="s">
        <v>84</v>
      </c>
      <c r="K1196" s="80" t="s">
        <v>84</v>
      </c>
      <c r="L1196" s="80" t="s">
        <v>84</v>
      </c>
      <c r="M1196" s="80" t="s">
        <v>84</v>
      </c>
      <c r="N1196" s="80" t="s">
        <v>84</v>
      </c>
      <c r="O1196" s="80" t="s">
        <v>84</v>
      </c>
      <c r="P1196" s="80"/>
      <c r="Q1196" s="80" t="s">
        <v>84</v>
      </c>
      <c r="R1196" s="80" t="s">
        <v>84</v>
      </c>
    </row>
    <row r="1197" spans="1:18" ht="20" x14ac:dyDescent="0.2">
      <c r="A1197" s="80" t="s">
        <v>10114</v>
      </c>
      <c r="B1197" s="80" t="s">
        <v>10115</v>
      </c>
      <c r="C1197" s="80" t="s">
        <v>9680</v>
      </c>
      <c r="D1197" s="80" t="s">
        <v>84</v>
      </c>
      <c r="E1197" s="80" t="s">
        <v>84</v>
      </c>
      <c r="F1197" s="80"/>
      <c r="G1197" s="80" t="s">
        <v>84</v>
      </c>
      <c r="H1197" s="80" t="s">
        <v>84</v>
      </c>
      <c r="I1197" s="80" t="s">
        <v>84</v>
      </c>
      <c r="J1197" s="80" t="s">
        <v>84</v>
      </c>
      <c r="K1197" s="80" t="s">
        <v>84</v>
      </c>
      <c r="L1197" s="80" t="s">
        <v>84</v>
      </c>
      <c r="M1197" s="80" t="s">
        <v>84</v>
      </c>
      <c r="N1197" s="80" t="s">
        <v>84</v>
      </c>
      <c r="O1197" s="80" t="s">
        <v>84</v>
      </c>
      <c r="P1197" s="80"/>
      <c r="Q1197" s="80" t="s">
        <v>84</v>
      </c>
      <c r="R1197" s="80" t="s">
        <v>84</v>
      </c>
    </row>
    <row r="1198" spans="1:18" x14ac:dyDescent="0.2">
      <c r="A1198" s="80" t="s">
        <v>3960</v>
      </c>
      <c r="B1198" s="80" t="s">
        <v>3961</v>
      </c>
      <c r="C1198" s="80" t="s">
        <v>84</v>
      </c>
      <c r="D1198" s="80" t="s">
        <v>84</v>
      </c>
      <c r="E1198" s="80" t="s">
        <v>84</v>
      </c>
      <c r="F1198" s="80"/>
      <c r="G1198" s="80" t="s">
        <v>84</v>
      </c>
      <c r="H1198" s="80" t="s">
        <v>84</v>
      </c>
      <c r="I1198" s="80" t="s">
        <v>84</v>
      </c>
      <c r="J1198" s="80" t="s">
        <v>84</v>
      </c>
      <c r="K1198" s="80" t="s">
        <v>84</v>
      </c>
      <c r="L1198" s="80" t="s">
        <v>84</v>
      </c>
      <c r="M1198" s="80" t="s">
        <v>84</v>
      </c>
      <c r="N1198" s="80" t="s">
        <v>84</v>
      </c>
      <c r="O1198" s="80" t="s">
        <v>84</v>
      </c>
      <c r="P1198" s="80"/>
      <c r="Q1198" s="80" t="s">
        <v>84</v>
      </c>
      <c r="R1198" s="80" t="s">
        <v>84</v>
      </c>
    </row>
    <row r="1199" spans="1:18" ht="20" x14ac:dyDescent="0.2">
      <c r="A1199" s="80" t="s">
        <v>3962</v>
      </c>
      <c r="B1199" s="80" t="s">
        <v>3963</v>
      </c>
      <c r="C1199" s="80" t="s">
        <v>9680</v>
      </c>
      <c r="D1199" s="80" t="s">
        <v>84</v>
      </c>
      <c r="E1199" s="80" t="s">
        <v>84</v>
      </c>
      <c r="F1199" s="80"/>
      <c r="G1199" s="80" t="s">
        <v>84</v>
      </c>
      <c r="H1199" s="80" t="s">
        <v>84</v>
      </c>
      <c r="I1199" s="80" t="s">
        <v>84</v>
      </c>
      <c r="J1199" s="80" t="s">
        <v>84</v>
      </c>
      <c r="K1199" s="80" t="s">
        <v>84</v>
      </c>
      <c r="L1199" s="80" t="s">
        <v>84</v>
      </c>
      <c r="M1199" s="80" t="s">
        <v>84</v>
      </c>
      <c r="N1199" s="80" t="s">
        <v>84</v>
      </c>
      <c r="O1199" s="80" t="s">
        <v>84</v>
      </c>
      <c r="P1199" s="80"/>
      <c r="Q1199" s="80" t="s">
        <v>84</v>
      </c>
      <c r="R1199" s="80" t="s">
        <v>84</v>
      </c>
    </row>
    <row r="1200" spans="1:18" ht="20" x14ac:dyDescent="0.2">
      <c r="A1200" s="80" t="s">
        <v>3964</v>
      </c>
      <c r="B1200" s="80" t="s">
        <v>3965</v>
      </c>
      <c r="C1200" s="80" t="s">
        <v>9680</v>
      </c>
      <c r="D1200" s="80" t="s">
        <v>84</v>
      </c>
      <c r="E1200" s="80" t="s">
        <v>84</v>
      </c>
      <c r="F1200" s="80"/>
      <c r="G1200" s="80" t="s">
        <v>84</v>
      </c>
      <c r="H1200" s="80" t="s">
        <v>84</v>
      </c>
      <c r="I1200" s="80" t="s">
        <v>84</v>
      </c>
      <c r="J1200" s="80" t="s">
        <v>84</v>
      </c>
      <c r="K1200" s="80" t="s">
        <v>84</v>
      </c>
      <c r="L1200" s="80" t="s">
        <v>84</v>
      </c>
      <c r="M1200" s="80" t="s">
        <v>84</v>
      </c>
      <c r="N1200" s="80" t="s">
        <v>84</v>
      </c>
      <c r="O1200" s="80" t="s">
        <v>84</v>
      </c>
      <c r="P1200" s="80"/>
      <c r="Q1200" s="80" t="s">
        <v>84</v>
      </c>
      <c r="R1200" s="80" t="s">
        <v>84</v>
      </c>
    </row>
    <row r="1201" spans="1:18" ht="20" x14ac:dyDescent="0.2">
      <c r="A1201" s="80" t="s">
        <v>3991</v>
      </c>
      <c r="B1201" s="80" t="s">
        <v>3992</v>
      </c>
      <c r="C1201" s="80" t="s">
        <v>9680</v>
      </c>
      <c r="D1201" s="80" t="s">
        <v>84</v>
      </c>
      <c r="E1201" s="80" t="s">
        <v>84</v>
      </c>
      <c r="F1201" s="80"/>
      <c r="G1201" s="80" t="s">
        <v>84</v>
      </c>
      <c r="H1201" s="80" t="s">
        <v>84</v>
      </c>
      <c r="I1201" s="80" t="s">
        <v>84</v>
      </c>
      <c r="J1201" s="80" t="s">
        <v>84</v>
      </c>
      <c r="K1201" s="80" t="s">
        <v>84</v>
      </c>
      <c r="L1201" s="80" t="s">
        <v>84</v>
      </c>
      <c r="M1201" s="80" t="s">
        <v>84</v>
      </c>
      <c r="N1201" s="80" t="s">
        <v>84</v>
      </c>
      <c r="O1201" s="80" t="s">
        <v>84</v>
      </c>
      <c r="P1201" s="80"/>
      <c r="Q1201" s="80" t="s">
        <v>84</v>
      </c>
      <c r="R1201" s="80" t="s">
        <v>84</v>
      </c>
    </row>
    <row r="1202" spans="1:18" ht="20" x14ac:dyDescent="0.2">
      <c r="A1202" s="80" t="s">
        <v>3889</v>
      </c>
      <c r="B1202" s="80" t="s">
        <v>3890</v>
      </c>
      <c r="C1202" s="80" t="s">
        <v>9680</v>
      </c>
      <c r="D1202" s="80" t="s">
        <v>9680</v>
      </c>
      <c r="E1202" s="80" t="s">
        <v>9680</v>
      </c>
      <c r="F1202" s="80"/>
      <c r="G1202" s="80" t="s">
        <v>9680</v>
      </c>
      <c r="H1202" s="80" t="s">
        <v>9680</v>
      </c>
      <c r="I1202" s="80" t="s">
        <v>9680</v>
      </c>
      <c r="J1202" s="80" t="s">
        <v>9680</v>
      </c>
      <c r="K1202" s="80" t="s">
        <v>9680</v>
      </c>
      <c r="L1202" s="80" t="s">
        <v>9680</v>
      </c>
      <c r="M1202" s="80" t="s">
        <v>9680</v>
      </c>
      <c r="N1202" s="80" t="s">
        <v>9680</v>
      </c>
      <c r="O1202" s="80" t="s">
        <v>9680</v>
      </c>
      <c r="P1202" s="80"/>
      <c r="Q1202" s="80" t="s">
        <v>9680</v>
      </c>
      <c r="R1202" s="80" t="s">
        <v>9680</v>
      </c>
    </row>
    <row r="1203" spans="1:18" ht="20" x14ac:dyDescent="0.2">
      <c r="A1203" s="80" t="s">
        <v>3891</v>
      </c>
      <c r="B1203" s="80" t="s">
        <v>10116</v>
      </c>
      <c r="C1203" s="80" t="s">
        <v>9680</v>
      </c>
      <c r="D1203" s="80" t="s">
        <v>9680</v>
      </c>
      <c r="E1203" s="80" t="s">
        <v>84</v>
      </c>
      <c r="F1203" s="80"/>
      <c r="G1203" s="80" t="s">
        <v>84</v>
      </c>
      <c r="H1203" s="80" t="s">
        <v>9680</v>
      </c>
      <c r="I1203" s="80" t="s">
        <v>9680</v>
      </c>
      <c r="J1203" s="80" t="s">
        <v>9680</v>
      </c>
      <c r="K1203" s="80" t="s">
        <v>9680</v>
      </c>
      <c r="L1203" s="80" t="s">
        <v>9680</v>
      </c>
      <c r="M1203" s="80" t="s">
        <v>9680</v>
      </c>
      <c r="N1203" s="80" t="s">
        <v>84</v>
      </c>
      <c r="O1203" s="80" t="s">
        <v>84</v>
      </c>
      <c r="P1203" s="80"/>
      <c r="Q1203" s="80" t="s">
        <v>84</v>
      </c>
      <c r="R1203" s="80" t="s">
        <v>84</v>
      </c>
    </row>
    <row r="1204" spans="1:18" ht="20" x14ac:dyDescent="0.2">
      <c r="A1204" s="80" t="s">
        <v>3891</v>
      </c>
      <c r="B1204" s="80" t="s">
        <v>3892</v>
      </c>
      <c r="C1204" s="80" t="s">
        <v>9680</v>
      </c>
      <c r="D1204" s="80" t="s">
        <v>9680</v>
      </c>
      <c r="E1204" s="80" t="s">
        <v>84</v>
      </c>
      <c r="F1204" s="80"/>
      <c r="G1204" s="80" t="s">
        <v>84</v>
      </c>
      <c r="H1204" s="80" t="s">
        <v>9680</v>
      </c>
      <c r="I1204" s="80" t="s">
        <v>9680</v>
      </c>
      <c r="J1204" s="80" t="s">
        <v>9680</v>
      </c>
      <c r="K1204" s="80" t="s">
        <v>9680</v>
      </c>
      <c r="L1204" s="80" t="s">
        <v>9680</v>
      </c>
      <c r="M1204" s="80" t="s">
        <v>9680</v>
      </c>
      <c r="N1204" s="80" t="s">
        <v>84</v>
      </c>
      <c r="O1204" s="80" t="s">
        <v>84</v>
      </c>
      <c r="P1204" s="80"/>
      <c r="Q1204" s="80" t="s">
        <v>84</v>
      </c>
      <c r="R1204" s="80" t="s">
        <v>84</v>
      </c>
    </row>
    <row r="1205" spans="1:18" ht="20" x14ac:dyDescent="0.2">
      <c r="A1205" s="80" t="s">
        <v>3893</v>
      </c>
      <c r="B1205" s="80" t="s">
        <v>3894</v>
      </c>
      <c r="C1205" s="80" t="s">
        <v>9680</v>
      </c>
      <c r="D1205" s="80" t="s">
        <v>9680</v>
      </c>
      <c r="E1205" s="80" t="s">
        <v>84</v>
      </c>
      <c r="F1205" s="80"/>
      <c r="G1205" s="80" t="s">
        <v>9680</v>
      </c>
      <c r="H1205" s="80" t="s">
        <v>9680</v>
      </c>
      <c r="I1205" s="80" t="s">
        <v>9680</v>
      </c>
      <c r="J1205" s="80" t="s">
        <v>9680</v>
      </c>
      <c r="K1205" s="80" t="s">
        <v>9680</v>
      </c>
      <c r="L1205" s="80" t="s">
        <v>9680</v>
      </c>
      <c r="M1205" s="80" t="s">
        <v>9680</v>
      </c>
      <c r="N1205" s="80" t="s">
        <v>84</v>
      </c>
      <c r="O1205" s="80" t="s">
        <v>84</v>
      </c>
      <c r="P1205" s="80"/>
      <c r="Q1205" s="80" t="s">
        <v>84</v>
      </c>
      <c r="R1205" s="80" t="s">
        <v>84</v>
      </c>
    </row>
    <row r="1206" spans="1:18" ht="20" x14ac:dyDescent="0.2">
      <c r="A1206" s="80" t="s">
        <v>3966</v>
      </c>
      <c r="B1206" s="80" t="s">
        <v>3967</v>
      </c>
      <c r="C1206" s="80" t="s">
        <v>9680</v>
      </c>
      <c r="D1206" s="80" t="s">
        <v>9680</v>
      </c>
      <c r="E1206" s="80" t="s">
        <v>84</v>
      </c>
      <c r="F1206" s="80"/>
      <c r="G1206" s="80" t="s">
        <v>9680</v>
      </c>
      <c r="H1206" s="80" t="s">
        <v>9680</v>
      </c>
      <c r="I1206" s="80" t="s">
        <v>9680</v>
      </c>
      <c r="J1206" s="80" t="s">
        <v>9680</v>
      </c>
      <c r="K1206" s="80" t="s">
        <v>9680</v>
      </c>
      <c r="L1206" s="80" t="s">
        <v>9680</v>
      </c>
      <c r="M1206" s="80" t="s">
        <v>9680</v>
      </c>
      <c r="N1206" s="80" t="s">
        <v>84</v>
      </c>
      <c r="O1206" s="80" t="s">
        <v>84</v>
      </c>
      <c r="P1206" s="80"/>
      <c r="Q1206" s="80" t="s">
        <v>84</v>
      </c>
      <c r="R1206" s="80" t="s">
        <v>84</v>
      </c>
    </row>
    <row r="1207" spans="1:18" ht="20" x14ac:dyDescent="0.2">
      <c r="A1207" s="80" t="s">
        <v>3968</v>
      </c>
      <c r="B1207" s="80" t="s">
        <v>3969</v>
      </c>
      <c r="C1207" s="80" t="s">
        <v>9680</v>
      </c>
      <c r="D1207" s="80" t="s">
        <v>84</v>
      </c>
      <c r="E1207" s="80" t="s">
        <v>84</v>
      </c>
      <c r="F1207" s="80"/>
      <c r="G1207" s="80" t="s">
        <v>84</v>
      </c>
      <c r="H1207" s="80" t="s">
        <v>84</v>
      </c>
      <c r="I1207" s="80" t="s">
        <v>84</v>
      </c>
      <c r="J1207" s="80" t="s">
        <v>84</v>
      </c>
      <c r="K1207" s="80" t="s">
        <v>84</v>
      </c>
      <c r="L1207" s="80" t="s">
        <v>84</v>
      </c>
      <c r="M1207" s="80" t="s">
        <v>84</v>
      </c>
      <c r="N1207" s="80" t="s">
        <v>84</v>
      </c>
      <c r="O1207" s="80" t="s">
        <v>84</v>
      </c>
      <c r="P1207" s="80"/>
      <c r="Q1207" s="80" t="s">
        <v>84</v>
      </c>
      <c r="R1207" s="80" t="s">
        <v>84</v>
      </c>
    </row>
    <row r="1208" spans="1:18" x14ac:dyDescent="0.2">
      <c r="A1208" s="80" t="s">
        <v>3895</v>
      </c>
      <c r="B1208" s="80" t="s">
        <v>3896</v>
      </c>
      <c r="C1208" s="80" t="s">
        <v>9722</v>
      </c>
      <c r="D1208" s="80" t="s">
        <v>9722</v>
      </c>
      <c r="E1208" s="80" t="s">
        <v>9722</v>
      </c>
      <c r="F1208" s="80"/>
      <c r="G1208" s="80" t="s">
        <v>9722</v>
      </c>
      <c r="H1208" s="80" t="s">
        <v>9722</v>
      </c>
      <c r="I1208" s="80" t="s">
        <v>9722</v>
      </c>
      <c r="J1208" s="80" t="s">
        <v>84</v>
      </c>
      <c r="K1208" s="80" t="s">
        <v>9722</v>
      </c>
      <c r="L1208" s="80" t="s">
        <v>9722</v>
      </c>
      <c r="M1208" s="80" t="s">
        <v>84</v>
      </c>
      <c r="N1208" s="80" t="s">
        <v>9722</v>
      </c>
      <c r="O1208" s="80" t="s">
        <v>84</v>
      </c>
      <c r="P1208" s="80"/>
      <c r="Q1208" s="80" t="s">
        <v>84</v>
      </c>
      <c r="R1208" s="80" t="s">
        <v>84</v>
      </c>
    </row>
    <row r="1209" spans="1:18" ht="20" x14ac:dyDescent="0.2">
      <c r="A1209" s="80" t="s">
        <v>3901</v>
      </c>
      <c r="B1209" s="80" t="s">
        <v>3902</v>
      </c>
      <c r="C1209" s="80" t="s">
        <v>9680</v>
      </c>
      <c r="D1209" s="80" t="s">
        <v>84</v>
      </c>
      <c r="E1209" s="80" t="s">
        <v>84</v>
      </c>
      <c r="F1209" s="80"/>
      <c r="G1209" s="80" t="s">
        <v>84</v>
      </c>
      <c r="H1209" s="80" t="s">
        <v>84</v>
      </c>
      <c r="I1209" s="80" t="s">
        <v>84</v>
      </c>
      <c r="J1209" s="80" t="s">
        <v>84</v>
      </c>
      <c r="K1209" s="80" t="s">
        <v>84</v>
      </c>
      <c r="L1209" s="80" t="s">
        <v>84</v>
      </c>
      <c r="M1209" s="80" t="s">
        <v>84</v>
      </c>
      <c r="N1209" s="80" t="s">
        <v>84</v>
      </c>
      <c r="O1209" s="80" t="s">
        <v>84</v>
      </c>
      <c r="P1209" s="80"/>
      <c r="Q1209" s="80" t="s">
        <v>84</v>
      </c>
      <c r="R1209" s="80" t="s">
        <v>84</v>
      </c>
    </row>
    <row r="1210" spans="1:18" ht="20" x14ac:dyDescent="0.2">
      <c r="A1210" s="80" t="s">
        <v>4389</v>
      </c>
      <c r="B1210" s="80" t="s">
        <v>4390</v>
      </c>
      <c r="C1210" s="80" t="s">
        <v>9680</v>
      </c>
      <c r="D1210" s="80" t="s">
        <v>84</v>
      </c>
      <c r="E1210" s="80" t="s">
        <v>84</v>
      </c>
      <c r="F1210" s="80"/>
      <c r="G1210" s="80" t="s">
        <v>84</v>
      </c>
      <c r="H1210" s="80" t="s">
        <v>9680</v>
      </c>
      <c r="I1210" s="80" t="s">
        <v>84</v>
      </c>
      <c r="J1210" s="80" t="s">
        <v>84</v>
      </c>
      <c r="K1210" s="80" t="s">
        <v>84</v>
      </c>
      <c r="L1210" s="80" t="s">
        <v>84</v>
      </c>
      <c r="M1210" s="80" t="s">
        <v>84</v>
      </c>
      <c r="N1210" s="80" t="s">
        <v>84</v>
      </c>
      <c r="O1210" s="80" t="s">
        <v>84</v>
      </c>
      <c r="P1210" s="80"/>
      <c r="Q1210" s="80" t="s">
        <v>84</v>
      </c>
      <c r="R1210" s="80" t="s">
        <v>84</v>
      </c>
    </row>
    <row r="1211" spans="1:18" ht="20" x14ac:dyDescent="0.2">
      <c r="A1211" s="80" t="s">
        <v>4389</v>
      </c>
      <c r="B1211" s="80" t="s">
        <v>10117</v>
      </c>
      <c r="C1211" s="80" t="s">
        <v>9680</v>
      </c>
      <c r="D1211" s="80" t="s">
        <v>84</v>
      </c>
      <c r="E1211" s="80" t="s">
        <v>84</v>
      </c>
      <c r="F1211" s="80"/>
      <c r="G1211" s="80" t="s">
        <v>84</v>
      </c>
      <c r="H1211" s="80" t="s">
        <v>9680</v>
      </c>
      <c r="I1211" s="80" t="s">
        <v>84</v>
      </c>
      <c r="J1211" s="80" t="s">
        <v>84</v>
      </c>
      <c r="K1211" s="80" t="s">
        <v>84</v>
      </c>
      <c r="L1211" s="80" t="s">
        <v>84</v>
      </c>
      <c r="M1211" s="80" t="s">
        <v>84</v>
      </c>
      <c r="N1211" s="80" t="s">
        <v>84</v>
      </c>
      <c r="O1211" s="80" t="s">
        <v>84</v>
      </c>
      <c r="P1211" s="80"/>
      <c r="Q1211" s="80" t="s">
        <v>84</v>
      </c>
      <c r="R1211" s="80" t="s">
        <v>84</v>
      </c>
    </row>
    <row r="1212" spans="1:18" ht="20" x14ac:dyDescent="0.2">
      <c r="A1212" s="80" t="s">
        <v>4389</v>
      </c>
      <c r="B1212" s="80" t="s">
        <v>4471</v>
      </c>
      <c r="C1212" s="80" t="s">
        <v>9680</v>
      </c>
      <c r="D1212" s="80" t="s">
        <v>84</v>
      </c>
      <c r="E1212" s="80" t="s">
        <v>84</v>
      </c>
      <c r="F1212" s="80"/>
      <c r="G1212" s="80" t="s">
        <v>84</v>
      </c>
      <c r="H1212" s="80" t="s">
        <v>9680</v>
      </c>
      <c r="I1212" s="80" t="s">
        <v>84</v>
      </c>
      <c r="J1212" s="80" t="s">
        <v>84</v>
      </c>
      <c r="K1212" s="80" t="s">
        <v>84</v>
      </c>
      <c r="L1212" s="80" t="s">
        <v>84</v>
      </c>
      <c r="M1212" s="80" t="s">
        <v>84</v>
      </c>
      <c r="N1212" s="80" t="s">
        <v>84</v>
      </c>
      <c r="O1212" s="80" t="s">
        <v>84</v>
      </c>
      <c r="P1212" s="80"/>
      <c r="Q1212" s="80" t="s">
        <v>84</v>
      </c>
      <c r="R1212" s="80" t="s">
        <v>84</v>
      </c>
    </row>
    <row r="1213" spans="1:18" ht="20" x14ac:dyDescent="0.2">
      <c r="A1213" s="80" t="s">
        <v>4474</v>
      </c>
      <c r="B1213" s="80" t="s">
        <v>4475</v>
      </c>
      <c r="C1213" s="80" t="s">
        <v>9680</v>
      </c>
      <c r="D1213" s="80" t="s">
        <v>9680</v>
      </c>
      <c r="E1213" s="80" t="s">
        <v>9680</v>
      </c>
      <c r="F1213" s="80"/>
      <c r="G1213" s="80" t="s">
        <v>9680</v>
      </c>
      <c r="H1213" s="80" t="s">
        <v>9680</v>
      </c>
      <c r="I1213" s="80" t="s">
        <v>9680</v>
      </c>
      <c r="J1213" s="80" t="s">
        <v>84</v>
      </c>
      <c r="K1213" s="80" t="s">
        <v>9680</v>
      </c>
      <c r="L1213" s="80" t="s">
        <v>9680</v>
      </c>
      <c r="M1213" s="80" t="s">
        <v>84</v>
      </c>
      <c r="N1213" s="80" t="s">
        <v>9680</v>
      </c>
      <c r="O1213" s="80" t="s">
        <v>84</v>
      </c>
      <c r="P1213" s="80"/>
      <c r="Q1213" s="80" t="s">
        <v>84</v>
      </c>
      <c r="R1213" s="80" t="s">
        <v>84</v>
      </c>
    </row>
    <row r="1214" spans="1:18" ht="20" x14ac:dyDescent="0.2">
      <c r="A1214" s="80" t="s">
        <v>4478</v>
      </c>
      <c r="B1214" s="80" t="s">
        <v>4479</v>
      </c>
      <c r="C1214" s="80" t="s">
        <v>9680</v>
      </c>
      <c r="D1214" s="80" t="s">
        <v>84</v>
      </c>
      <c r="E1214" s="80" t="s">
        <v>84</v>
      </c>
      <c r="F1214" s="80"/>
      <c r="G1214" s="80" t="s">
        <v>84</v>
      </c>
      <c r="H1214" s="80" t="s">
        <v>9680</v>
      </c>
      <c r="I1214" s="80" t="s">
        <v>84</v>
      </c>
      <c r="J1214" s="80" t="s">
        <v>84</v>
      </c>
      <c r="K1214" s="80" t="s">
        <v>84</v>
      </c>
      <c r="L1214" s="80" t="s">
        <v>84</v>
      </c>
      <c r="M1214" s="80" t="s">
        <v>84</v>
      </c>
      <c r="N1214" s="80" t="s">
        <v>84</v>
      </c>
      <c r="O1214" s="80" t="s">
        <v>84</v>
      </c>
      <c r="P1214" s="80"/>
      <c r="Q1214" s="80" t="s">
        <v>84</v>
      </c>
      <c r="R1214" s="80" t="s">
        <v>84</v>
      </c>
    </row>
    <row r="1215" spans="1:18" ht="20" x14ac:dyDescent="0.2">
      <c r="A1215" s="80" t="s">
        <v>4480</v>
      </c>
      <c r="B1215" s="80" t="s">
        <v>4481</v>
      </c>
      <c r="C1215" s="80" t="s">
        <v>9680</v>
      </c>
      <c r="D1215" s="80" t="s">
        <v>84</v>
      </c>
      <c r="E1215" s="80" t="s">
        <v>84</v>
      </c>
      <c r="F1215" s="80"/>
      <c r="G1215" s="80" t="s">
        <v>84</v>
      </c>
      <c r="H1215" s="80" t="s">
        <v>9680</v>
      </c>
      <c r="I1215" s="80" t="s">
        <v>84</v>
      </c>
      <c r="J1215" s="80" t="s">
        <v>84</v>
      </c>
      <c r="K1215" s="80" t="s">
        <v>84</v>
      </c>
      <c r="L1215" s="80" t="s">
        <v>84</v>
      </c>
      <c r="M1215" s="80" t="s">
        <v>84</v>
      </c>
      <c r="N1215" s="80" t="s">
        <v>84</v>
      </c>
      <c r="O1215" s="80" t="s">
        <v>84</v>
      </c>
      <c r="P1215" s="80"/>
      <c r="Q1215" s="80" t="s">
        <v>84</v>
      </c>
      <c r="R1215" s="80" t="s">
        <v>84</v>
      </c>
    </row>
    <row r="1216" spans="1:18" ht="20" x14ac:dyDescent="0.2">
      <c r="A1216" s="80" t="s">
        <v>4482</v>
      </c>
      <c r="B1216" s="80" t="s">
        <v>4483</v>
      </c>
      <c r="C1216" s="80" t="s">
        <v>9680</v>
      </c>
      <c r="D1216" s="80" t="s">
        <v>84</v>
      </c>
      <c r="E1216" s="80" t="s">
        <v>84</v>
      </c>
      <c r="F1216" s="80"/>
      <c r="G1216" s="80" t="s">
        <v>84</v>
      </c>
      <c r="H1216" s="80" t="s">
        <v>9680</v>
      </c>
      <c r="I1216" s="80" t="s">
        <v>84</v>
      </c>
      <c r="J1216" s="80" t="s">
        <v>84</v>
      </c>
      <c r="K1216" s="80" t="s">
        <v>84</v>
      </c>
      <c r="L1216" s="80" t="s">
        <v>84</v>
      </c>
      <c r="M1216" s="80" t="s">
        <v>84</v>
      </c>
      <c r="N1216" s="80" t="s">
        <v>84</v>
      </c>
      <c r="O1216" s="80" t="s">
        <v>84</v>
      </c>
      <c r="P1216" s="80"/>
      <c r="Q1216" s="80" t="s">
        <v>84</v>
      </c>
      <c r="R1216" s="80" t="s">
        <v>84</v>
      </c>
    </row>
    <row r="1217" spans="1:18" ht="20" x14ac:dyDescent="0.2">
      <c r="A1217" s="80" t="s">
        <v>4391</v>
      </c>
      <c r="B1217" s="80" t="s">
        <v>4392</v>
      </c>
      <c r="C1217" s="80" t="s">
        <v>9680</v>
      </c>
      <c r="D1217" s="80" t="s">
        <v>84</v>
      </c>
      <c r="E1217" s="80" t="s">
        <v>84</v>
      </c>
      <c r="F1217" s="80"/>
      <c r="G1217" s="80" t="s">
        <v>84</v>
      </c>
      <c r="H1217" s="80" t="s">
        <v>84</v>
      </c>
      <c r="I1217" s="80" t="s">
        <v>84</v>
      </c>
      <c r="J1217" s="80" t="s">
        <v>84</v>
      </c>
      <c r="K1217" s="80" t="s">
        <v>84</v>
      </c>
      <c r="L1217" s="80" t="s">
        <v>84</v>
      </c>
      <c r="M1217" s="80" t="s">
        <v>84</v>
      </c>
      <c r="N1217" s="80" t="s">
        <v>84</v>
      </c>
      <c r="O1217" s="80" t="s">
        <v>84</v>
      </c>
      <c r="P1217" s="80"/>
      <c r="Q1217" s="80" t="s">
        <v>84</v>
      </c>
      <c r="R1217" s="80" t="s">
        <v>84</v>
      </c>
    </row>
    <row r="1218" spans="1:18" ht="20" x14ac:dyDescent="0.2">
      <c r="A1218" s="80" t="s">
        <v>4391</v>
      </c>
      <c r="B1218" s="80" t="s">
        <v>4648</v>
      </c>
      <c r="C1218" s="80" t="s">
        <v>9680</v>
      </c>
      <c r="D1218" s="80" t="s">
        <v>84</v>
      </c>
      <c r="E1218" s="80" t="s">
        <v>84</v>
      </c>
      <c r="F1218" s="80"/>
      <c r="G1218" s="80" t="s">
        <v>84</v>
      </c>
      <c r="H1218" s="80" t="s">
        <v>84</v>
      </c>
      <c r="I1218" s="80" t="s">
        <v>84</v>
      </c>
      <c r="J1218" s="80" t="s">
        <v>84</v>
      </c>
      <c r="K1218" s="80" t="s">
        <v>84</v>
      </c>
      <c r="L1218" s="80" t="s">
        <v>84</v>
      </c>
      <c r="M1218" s="80" t="s">
        <v>84</v>
      </c>
      <c r="N1218" s="80" t="s">
        <v>84</v>
      </c>
      <c r="O1218" s="80" t="s">
        <v>84</v>
      </c>
      <c r="P1218" s="80"/>
      <c r="Q1218" s="80" t="s">
        <v>84</v>
      </c>
      <c r="R1218" s="80" t="s">
        <v>84</v>
      </c>
    </row>
    <row r="1219" spans="1:18" ht="20" x14ac:dyDescent="0.2">
      <c r="A1219" s="80" t="s">
        <v>4484</v>
      </c>
      <c r="B1219" s="80" t="s">
        <v>4485</v>
      </c>
      <c r="C1219" s="80" t="s">
        <v>9680</v>
      </c>
      <c r="D1219" s="80" t="s">
        <v>84</v>
      </c>
      <c r="E1219" s="80" t="s">
        <v>84</v>
      </c>
      <c r="F1219" s="80"/>
      <c r="G1219" s="80" t="s">
        <v>84</v>
      </c>
      <c r="H1219" s="80" t="s">
        <v>84</v>
      </c>
      <c r="I1219" s="80" t="s">
        <v>84</v>
      </c>
      <c r="J1219" s="80" t="s">
        <v>84</v>
      </c>
      <c r="K1219" s="80" t="s">
        <v>84</v>
      </c>
      <c r="L1219" s="80" t="s">
        <v>84</v>
      </c>
      <c r="M1219" s="80" t="s">
        <v>84</v>
      </c>
      <c r="N1219" s="80" t="s">
        <v>84</v>
      </c>
      <c r="O1219" s="80" t="s">
        <v>84</v>
      </c>
      <c r="P1219" s="80"/>
      <c r="Q1219" s="80" t="s">
        <v>84</v>
      </c>
      <c r="R1219" s="80" t="s">
        <v>84</v>
      </c>
    </row>
    <row r="1220" spans="1:18" ht="20" x14ac:dyDescent="0.2">
      <c r="A1220" s="80" t="s">
        <v>5215</v>
      </c>
      <c r="B1220" s="80" t="s">
        <v>5216</v>
      </c>
      <c r="C1220" s="80" t="s">
        <v>9680</v>
      </c>
      <c r="D1220" s="80" t="s">
        <v>9680</v>
      </c>
      <c r="E1220" s="80" t="s">
        <v>9680</v>
      </c>
      <c r="F1220" s="80"/>
      <c r="G1220" s="80" t="s">
        <v>9680</v>
      </c>
      <c r="H1220" s="80" t="s">
        <v>9680</v>
      </c>
      <c r="I1220" s="80" t="s">
        <v>9680</v>
      </c>
      <c r="J1220" s="80" t="s">
        <v>84</v>
      </c>
      <c r="K1220" s="80" t="s">
        <v>9680</v>
      </c>
      <c r="L1220" s="80" t="s">
        <v>9680</v>
      </c>
      <c r="M1220" s="80" t="s">
        <v>84</v>
      </c>
      <c r="N1220" s="80" t="s">
        <v>9680</v>
      </c>
      <c r="O1220" s="80" t="s">
        <v>84</v>
      </c>
      <c r="P1220" s="80"/>
      <c r="Q1220" s="80" t="s">
        <v>84</v>
      </c>
      <c r="R1220" s="80" t="s">
        <v>84</v>
      </c>
    </row>
    <row r="1221" spans="1:18" ht="20" x14ac:dyDescent="0.2">
      <c r="A1221" s="80" t="s">
        <v>5221</v>
      </c>
      <c r="B1221" s="80" t="s">
        <v>5222</v>
      </c>
      <c r="C1221" s="80" t="s">
        <v>9680</v>
      </c>
      <c r="D1221" s="80" t="s">
        <v>84</v>
      </c>
      <c r="E1221" s="80" t="s">
        <v>84</v>
      </c>
      <c r="F1221" s="80"/>
      <c r="G1221" s="80" t="s">
        <v>84</v>
      </c>
      <c r="H1221" s="80" t="s">
        <v>84</v>
      </c>
      <c r="I1221" s="80" t="s">
        <v>84</v>
      </c>
      <c r="J1221" s="80" t="s">
        <v>84</v>
      </c>
      <c r="K1221" s="80" t="s">
        <v>84</v>
      </c>
      <c r="L1221" s="80" t="s">
        <v>84</v>
      </c>
      <c r="M1221" s="80" t="s">
        <v>84</v>
      </c>
      <c r="N1221" s="80" t="s">
        <v>84</v>
      </c>
      <c r="O1221" s="80" t="s">
        <v>84</v>
      </c>
      <c r="P1221" s="80"/>
      <c r="Q1221" s="80" t="s">
        <v>84</v>
      </c>
      <c r="R1221" s="80" t="s">
        <v>84</v>
      </c>
    </row>
    <row r="1222" spans="1:18" ht="20" x14ac:dyDescent="0.2">
      <c r="A1222" s="80" t="s">
        <v>5223</v>
      </c>
      <c r="B1222" s="80" t="s">
        <v>5224</v>
      </c>
      <c r="C1222" s="80" t="s">
        <v>9680</v>
      </c>
      <c r="D1222" s="80" t="s">
        <v>84</v>
      </c>
      <c r="E1222" s="80" t="s">
        <v>84</v>
      </c>
      <c r="F1222" s="80"/>
      <c r="G1222" s="80" t="s">
        <v>84</v>
      </c>
      <c r="H1222" s="80" t="s">
        <v>9680</v>
      </c>
      <c r="I1222" s="80" t="s">
        <v>84</v>
      </c>
      <c r="J1222" s="80" t="s">
        <v>84</v>
      </c>
      <c r="K1222" s="80" t="s">
        <v>84</v>
      </c>
      <c r="L1222" s="80" t="s">
        <v>84</v>
      </c>
      <c r="M1222" s="80" t="s">
        <v>84</v>
      </c>
      <c r="N1222" s="80" t="s">
        <v>84</v>
      </c>
      <c r="O1222" s="80" t="s">
        <v>84</v>
      </c>
      <c r="P1222" s="80"/>
      <c r="Q1222" s="80" t="s">
        <v>84</v>
      </c>
      <c r="R1222" s="80" t="s">
        <v>84</v>
      </c>
    </row>
    <row r="1223" spans="1:18" ht="20" x14ac:dyDescent="0.2">
      <c r="A1223" s="80" t="s">
        <v>5225</v>
      </c>
      <c r="B1223" s="80" t="s">
        <v>5226</v>
      </c>
      <c r="C1223" s="80" t="s">
        <v>9680</v>
      </c>
      <c r="D1223" s="80" t="s">
        <v>84</v>
      </c>
      <c r="E1223" s="80" t="s">
        <v>84</v>
      </c>
      <c r="F1223" s="80"/>
      <c r="G1223" s="80" t="s">
        <v>84</v>
      </c>
      <c r="H1223" s="80" t="s">
        <v>9680</v>
      </c>
      <c r="I1223" s="80" t="s">
        <v>84</v>
      </c>
      <c r="J1223" s="80" t="s">
        <v>84</v>
      </c>
      <c r="K1223" s="80" t="s">
        <v>84</v>
      </c>
      <c r="L1223" s="80" t="s">
        <v>84</v>
      </c>
      <c r="M1223" s="80" t="s">
        <v>84</v>
      </c>
      <c r="N1223" s="80" t="s">
        <v>84</v>
      </c>
      <c r="O1223" s="80" t="s">
        <v>84</v>
      </c>
      <c r="P1223" s="80"/>
      <c r="Q1223" s="80" t="s">
        <v>84</v>
      </c>
      <c r="R1223" s="80" t="s">
        <v>84</v>
      </c>
    </row>
    <row r="1224" spans="1:18" ht="20" x14ac:dyDescent="0.2">
      <c r="A1224" s="80" t="s">
        <v>5227</v>
      </c>
      <c r="B1224" s="80" t="s">
        <v>5228</v>
      </c>
      <c r="C1224" s="80" t="s">
        <v>9680</v>
      </c>
      <c r="D1224" s="80" t="s">
        <v>84</v>
      </c>
      <c r="E1224" s="80" t="s">
        <v>84</v>
      </c>
      <c r="F1224" s="80"/>
      <c r="G1224" s="80" t="s">
        <v>84</v>
      </c>
      <c r="H1224" s="80" t="s">
        <v>9680</v>
      </c>
      <c r="I1224" s="80" t="s">
        <v>84</v>
      </c>
      <c r="J1224" s="80" t="s">
        <v>84</v>
      </c>
      <c r="K1224" s="80" t="s">
        <v>84</v>
      </c>
      <c r="L1224" s="80" t="s">
        <v>84</v>
      </c>
      <c r="M1224" s="80" t="s">
        <v>84</v>
      </c>
      <c r="N1224" s="80" t="s">
        <v>84</v>
      </c>
      <c r="O1224" s="80" t="s">
        <v>84</v>
      </c>
      <c r="P1224" s="80"/>
      <c r="Q1224" s="80" t="s">
        <v>84</v>
      </c>
      <c r="R1224" s="80" t="s">
        <v>84</v>
      </c>
    </row>
    <row r="1225" spans="1:18" ht="20" x14ac:dyDescent="0.2">
      <c r="A1225" s="80" t="s">
        <v>5229</v>
      </c>
      <c r="B1225" s="80" t="s">
        <v>5230</v>
      </c>
      <c r="C1225" s="80" t="s">
        <v>9680</v>
      </c>
      <c r="D1225" s="80" t="s">
        <v>84</v>
      </c>
      <c r="E1225" s="80" t="s">
        <v>84</v>
      </c>
      <c r="F1225" s="80"/>
      <c r="G1225" s="80" t="s">
        <v>84</v>
      </c>
      <c r="H1225" s="80" t="s">
        <v>84</v>
      </c>
      <c r="I1225" s="80" t="s">
        <v>84</v>
      </c>
      <c r="J1225" s="80" t="s">
        <v>84</v>
      </c>
      <c r="K1225" s="80" t="s">
        <v>84</v>
      </c>
      <c r="L1225" s="80" t="s">
        <v>84</v>
      </c>
      <c r="M1225" s="80" t="s">
        <v>84</v>
      </c>
      <c r="N1225" s="80" t="s">
        <v>84</v>
      </c>
      <c r="O1225" s="80" t="s">
        <v>84</v>
      </c>
      <c r="P1225" s="80"/>
      <c r="Q1225" s="80" t="s">
        <v>84</v>
      </c>
      <c r="R1225" s="80" t="s">
        <v>84</v>
      </c>
    </row>
    <row r="1226" spans="1:18" ht="20" x14ac:dyDescent="0.2">
      <c r="A1226" s="80" t="s">
        <v>5231</v>
      </c>
      <c r="B1226" s="80" t="s">
        <v>5232</v>
      </c>
      <c r="C1226" s="80" t="s">
        <v>9680</v>
      </c>
      <c r="D1226" s="80" t="s">
        <v>84</v>
      </c>
      <c r="E1226" s="80" t="s">
        <v>84</v>
      </c>
      <c r="F1226" s="80"/>
      <c r="G1226" s="80" t="s">
        <v>84</v>
      </c>
      <c r="H1226" s="80" t="s">
        <v>84</v>
      </c>
      <c r="I1226" s="80" t="s">
        <v>84</v>
      </c>
      <c r="J1226" s="80" t="s">
        <v>84</v>
      </c>
      <c r="K1226" s="80" t="s">
        <v>84</v>
      </c>
      <c r="L1226" s="80" t="s">
        <v>84</v>
      </c>
      <c r="M1226" s="80" t="s">
        <v>84</v>
      </c>
      <c r="N1226" s="80" t="s">
        <v>84</v>
      </c>
      <c r="O1226" s="80" t="s">
        <v>84</v>
      </c>
      <c r="P1226" s="80"/>
      <c r="Q1226" s="80" t="s">
        <v>84</v>
      </c>
      <c r="R1226" s="80" t="s">
        <v>84</v>
      </c>
    </row>
    <row r="1227" spans="1:18" ht="20" x14ac:dyDescent="0.2">
      <c r="A1227" s="80" t="s">
        <v>5233</v>
      </c>
      <c r="B1227" s="80" t="s">
        <v>5234</v>
      </c>
      <c r="C1227" s="80" t="s">
        <v>9680</v>
      </c>
      <c r="D1227" s="80" t="s">
        <v>84</v>
      </c>
      <c r="E1227" s="80" t="s">
        <v>84</v>
      </c>
      <c r="F1227" s="80"/>
      <c r="G1227" s="80" t="s">
        <v>84</v>
      </c>
      <c r="H1227" s="80" t="s">
        <v>84</v>
      </c>
      <c r="I1227" s="80" t="s">
        <v>84</v>
      </c>
      <c r="J1227" s="80" t="s">
        <v>84</v>
      </c>
      <c r="K1227" s="80" t="s">
        <v>84</v>
      </c>
      <c r="L1227" s="80" t="s">
        <v>84</v>
      </c>
      <c r="M1227" s="80" t="s">
        <v>84</v>
      </c>
      <c r="N1227" s="80" t="s">
        <v>84</v>
      </c>
      <c r="O1227" s="80" t="s">
        <v>84</v>
      </c>
      <c r="P1227" s="80"/>
      <c r="Q1227" s="80" t="s">
        <v>84</v>
      </c>
      <c r="R1227" s="80" t="s">
        <v>84</v>
      </c>
    </row>
    <row r="1228" spans="1:18" x14ac:dyDescent="0.2">
      <c r="A1228" s="80" t="s">
        <v>10118</v>
      </c>
      <c r="B1228" s="80" t="s">
        <v>10119</v>
      </c>
      <c r="C1228" s="80" t="s">
        <v>84</v>
      </c>
      <c r="D1228" s="80" t="s">
        <v>84</v>
      </c>
      <c r="E1228" s="80" t="s">
        <v>84</v>
      </c>
      <c r="F1228" s="80"/>
      <c r="G1228" s="80" t="s">
        <v>84</v>
      </c>
      <c r="H1228" s="80" t="s">
        <v>84</v>
      </c>
      <c r="I1228" s="80" t="s">
        <v>84</v>
      </c>
      <c r="J1228" s="80" t="s">
        <v>84</v>
      </c>
      <c r="K1228" s="80" t="s">
        <v>84</v>
      </c>
      <c r="L1228" s="80" t="s">
        <v>84</v>
      </c>
      <c r="M1228" s="80" t="s">
        <v>84</v>
      </c>
      <c r="N1228" s="80" t="s">
        <v>84</v>
      </c>
      <c r="O1228" s="80" t="s">
        <v>84</v>
      </c>
      <c r="P1228" s="80"/>
      <c r="Q1228" s="80" t="s">
        <v>84</v>
      </c>
      <c r="R1228" s="80" t="s">
        <v>84</v>
      </c>
    </row>
    <row r="1229" spans="1:18" x14ac:dyDescent="0.2">
      <c r="A1229" s="80" t="s">
        <v>10120</v>
      </c>
      <c r="B1229" s="80" t="s">
        <v>10121</v>
      </c>
      <c r="C1229" s="80" t="s">
        <v>84</v>
      </c>
      <c r="D1229" s="80" t="s">
        <v>84</v>
      </c>
      <c r="E1229" s="80" t="s">
        <v>84</v>
      </c>
      <c r="F1229" s="80"/>
      <c r="G1229" s="80" t="s">
        <v>84</v>
      </c>
      <c r="H1229" s="80" t="s">
        <v>84</v>
      </c>
      <c r="I1229" s="80" t="s">
        <v>84</v>
      </c>
      <c r="J1229" s="80" t="s">
        <v>84</v>
      </c>
      <c r="K1229" s="80" t="s">
        <v>84</v>
      </c>
      <c r="L1229" s="80" t="s">
        <v>84</v>
      </c>
      <c r="M1229" s="80" t="s">
        <v>84</v>
      </c>
      <c r="N1229" s="80" t="s">
        <v>84</v>
      </c>
      <c r="O1229" s="80" t="s">
        <v>84</v>
      </c>
      <c r="P1229" s="80"/>
      <c r="Q1229" s="80" t="s">
        <v>84</v>
      </c>
      <c r="R1229" s="80" t="s">
        <v>84</v>
      </c>
    </row>
    <row r="1230" spans="1:18" ht="20" x14ac:dyDescent="0.2">
      <c r="A1230" s="80" t="s">
        <v>5235</v>
      </c>
      <c r="B1230" s="80" t="s">
        <v>5236</v>
      </c>
      <c r="C1230" s="80" t="s">
        <v>9680</v>
      </c>
      <c r="D1230" s="80" t="s">
        <v>84</v>
      </c>
      <c r="E1230" s="80" t="s">
        <v>84</v>
      </c>
      <c r="F1230" s="80"/>
      <c r="G1230" s="80" t="s">
        <v>84</v>
      </c>
      <c r="H1230" s="80" t="s">
        <v>84</v>
      </c>
      <c r="I1230" s="80" t="s">
        <v>84</v>
      </c>
      <c r="J1230" s="80" t="s">
        <v>84</v>
      </c>
      <c r="K1230" s="80" t="s">
        <v>84</v>
      </c>
      <c r="L1230" s="80" t="s">
        <v>84</v>
      </c>
      <c r="M1230" s="80" t="s">
        <v>84</v>
      </c>
      <c r="N1230" s="80" t="s">
        <v>84</v>
      </c>
      <c r="O1230" s="80" t="s">
        <v>84</v>
      </c>
      <c r="P1230" s="80"/>
      <c r="Q1230" s="80" t="s">
        <v>84</v>
      </c>
      <c r="R1230" s="80" t="s">
        <v>84</v>
      </c>
    </row>
    <row r="1231" spans="1:18" ht="20" x14ac:dyDescent="0.2">
      <c r="A1231" s="80" t="s">
        <v>5237</v>
      </c>
      <c r="B1231" s="80" t="s">
        <v>5238</v>
      </c>
      <c r="C1231" s="80" t="s">
        <v>9680</v>
      </c>
      <c r="D1231" s="80" t="s">
        <v>84</v>
      </c>
      <c r="E1231" s="80" t="s">
        <v>84</v>
      </c>
      <c r="F1231" s="80"/>
      <c r="G1231" s="80" t="s">
        <v>84</v>
      </c>
      <c r="H1231" s="80" t="s">
        <v>84</v>
      </c>
      <c r="I1231" s="80" t="s">
        <v>84</v>
      </c>
      <c r="J1231" s="80" t="s">
        <v>84</v>
      </c>
      <c r="K1231" s="80" t="s">
        <v>84</v>
      </c>
      <c r="L1231" s="80" t="s">
        <v>84</v>
      </c>
      <c r="M1231" s="80" t="s">
        <v>84</v>
      </c>
      <c r="N1231" s="80" t="s">
        <v>84</v>
      </c>
      <c r="O1231" s="80" t="s">
        <v>84</v>
      </c>
      <c r="P1231" s="80"/>
      <c r="Q1231" s="80" t="s">
        <v>84</v>
      </c>
      <c r="R1231" s="80" t="s">
        <v>84</v>
      </c>
    </row>
    <row r="1232" spans="1:18" ht="20" x14ac:dyDescent="0.2">
      <c r="A1232" s="80" t="s">
        <v>673</v>
      </c>
      <c r="B1232" s="80" t="s">
        <v>674</v>
      </c>
      <c r="C1232" s="80" t="s">
        <v>9680</v>
      </c>
      <c r="D1232" s="80" t="s">
        <v>9680</v>
      </c>
      <c r="E1232" s="80" t="s">
        <v>9680</v>
      </c>
      <c r="F1232" s="80"/>
      <c r="G1232" s="80" t="s">
        <v>9680</v>
      </c>
      <c r="H1232" s="80" t="s">
        <v>9680</v>
      </c>
      <c r="I1232" s="80" t="s">
        <v>9680</v>
      </c>
      <c r="J1232" s="80" t="s">
        <v>9680</v>
      </c>
      <c r="K1232" s="80" t="s">
        <v>9680</v>
      </c>
      <c r="L1232" s="80" t="s">
        <v>9680</v>
      </c>
      <c r="M1232" s="80" t="s">
        <v>9680</v>
      </c>
      <c r="N1232" s="80" t="s">
        <v>9680</v>
      </c>
      <c r="O1232" s="80" t="s">
        <v>9680</v>
      </c>
      <c r="P1232" s="80"/>
      <c r="Q1232" s="80" t="s">
        <v>9680</v>
      </c>
      <c r="R1232" s="80" t="s">
        <v>9680</v>
      </c>
    </row>
    <row r="1233" spans="1:18" ht="20" x14ac:dyDescent="0.2">
      <c r="A1233" s="80" t="s">
        <v>675</v>
      </c>
      <c r="B1233" s="80" t="s">
        <v>10122</v>
      </c>
      <c r="C1233" s="80" t="s">
        <v>9680</v>
      </c>
      <c r="D1233" s="80" t="s">
        <v>9680</v>
      </c>
      <c r="E1233" s="80" t="s">
        <v>84</v>
      </c>
      <c r="F1233" s="80"/>
      <c r="G1233" s="80" t="s">
        <v>9680</v>
      </c>
      <c r="H1233" s="80" t="s">
        <v>84</v>
      </c>
      <c r="I1233" s="80" t="s">
        <v>9680</v>
      </c>
      <c r="J1233" s="80" t="s">
        <v>9680</v>
      </c>
      <c r="K1233" s="80" t="s">
        <v>9680</v>
      </c>
      <c r="L1233" s="80" t="s">
        <v>9680</v>
      </c>
      <c r="M1233" s="80" t="s">
        <v>9680</v>
      </c>
      <c r="N1233" s="80" t="s">
        <v>84</v>
      </c>
      <c r="O1233" s="80" t="s">
        <v>9680</v>
      </c>
      <c r="P1233" s="80"/>
      <c r="Q1233" s="80" t="s">
        <v>9680</v>
      </c>
      <c r="R1233" s="80" t="s">
        <v>9680</v>
      </c>
    </row>
    <row r="1234" spans="1:18" ht="20" x14ac:dyDescent="0.2">
      <c r="A1234" s="80" t="s">
        <v>675</v>
      </c>
      <c r="B1234" s="80" t="s">
        <v>676</v>
      </c>
      <c r="C1234" s="80" t="s">
        <v>9680</v>
      </c>
      <c r="D1234" s="80" t="s">
        <v>9680</v>
      </c>
      <c r="E1234" s="80" t="s">
        <v>84</v>
      </c>
      <c r="F1234" s="80"/>
      <c r="G1234" s="80" t="s">
        <v>9680</v>
      </c>
      <c r="H1234" s="80" t="s">
        <v>84</v>
      </c>
      <c r="I1234" s="80" t="s">
        <v>9680</v>
      </c>
      <c r="J1234" s="80" t="s">
        <v>9680</v>
      </c>
      <c r="K1234" s="80" t="s">
        <v>9680</v>
      </c>
      <c r="L1234" s="80" t="s">
        <v>9680</v>
      </c>
      <c r="M1234" s="80" t="s">
        <v>9680</v>
      </c>
      <c r="N1234" s="80" t="s">
        <v>84</v>
      </c>
      <c r="O1234" s="80" t="s">
        <v>9680</v>
      </c>
      <c r="P1234" s="80"/>
      <c r="Q1234" s="80" t="s">
        <v>9680</v>
      </c>
      <c r="R1234" s="80" t="s">
        <v>9680</v>
      </c>
    </row>
    <row r="1235" spans="1:18" ht="20" x14ac:dyDescent="0.2">
      <c r="A1235" s="80" t="s">
        <v>10123</v>
      </c>
      <c r="B1235" s="80" t="s">
        <v>3714</v>
      </c>
      <c r="C1235" s="80" t="s">
        <v>9680</v>
      </c>
      <c r="D1235" s="80" t="s">
        <v>9680</v>
      </c>
      <c r="E1235" s="80" t="s">
        <v>9680</v>
      </c>
      <c r="F1235" s="80"/>
      <c r="G1235" s="80" t="s">
        <v>9680</v>
      </c>
      <c r="H1235" s="80" t="s">
        <v>9680</v>
      </c>
      <c r="I1235" s="80" t="s">
        <v>9680</v>
      </c>
      <c r="J1235" s="80" t="s">
        <v>9680</v>
      </c>
      <c r="K1235" s="80" t="s">
        <v>9680</v>
      </c>
      <c r="L1235" s="80" t="s">
        <v>9680</v>
      </c>
      <c r="M1235" s="80" t="s">
        <v>9680</v>
      </c>
      <c r="N1235" s="80" t="s">
        <v>9680</v>
      </c>
      <c r="O1235" s="80" t="s">
        <v>9680</v>
      </c>
      <c r="P1235" s="80"/>
      <c r="Q1235" s="80" t="s">
        <v>9680</v>
      </c>
      <c r="R1235" s="80" t="s">
        <v>9680</v>
      </c>
    </row>
    <row r="1236" spans="1:18" ht="20" x14ac:dyDescent="0.2">
      <c r="A1236" s="80" t="s">
        <v>3713</v>
      </c>
      <c r="B1236" s="80" t="s">
        <v>3714</v>
      </c>
      <c r="C1236" s="80" t="s">
        <v>9680</v>
      </c>
      <c r="D1236" s="80" t="s">
        <v>9680</v>
      </c>
      <c r="E1236" s="80" t="s">
        <v>9680</v>
      </c>
      <c r="F1236" s="80"/>
      <c r="G1236" s="80" t="s">
        <v>9680</v>
      </c>
      <c r="H1236" s="80" t="s">
        <v>9680</v>
      </c>
      <c r="I1236" s="80" t="s">
        <v>9680</v>
      </c>
      <c r="J1236" s="80" t="s">
        <v>9680</v>
      </c>
      <c r="K1236" s="80" t="s">
        <v>9680</v>
      </c>
      <c r="L1236" s="80" t="s">
        <v>9680</v>
      </c>
      <c r="M1236" s="80" t="s">
        <v>9680</v>
      </c>
      <c r="N1236" s="80" t="s">
        <v>9680</v>
      </c>
      <c r="O1236" s="80" t="s">
        <v>9680</v>
      </c>
      <c r="P1236" s="80"/>
      <c r="Q1236" s="80" t="s">
        <v>9680</v>
      </c>
      <c r="R1236" s="80" t="s">
        <v>9680</v>
      </c>
    </row>
    <row r="1237" spans="1:18" ht="20" x14ac:dyDescent="0.2">
      <c r="A1237" s="80" t="s">
        <v>654</v>
      </c>
      <c r="B1237" s="80" t="s">
        <v>655</v>
      </c>
      <c r="C1237" s="80" t="s">
        <v>9680</v>
      </c>
      <c r="D1237" s="80" t="s">
        <v>9680</v>
      </c>
      <c r="E1237" s="80" t="s">
        <v>9680</v>
      </c>
      <c r="F1237" s="80"/>
      <c r="G1237" s="80" t="s">
        <v>9680</v>
      </c>
      <c r="H1237" s="80" t="s">
        <v>9680</v>
      </c>
      <c r="I1237" s="80" t="s">
        <v>9680</v>
      </c>
      <c r="J1237" s="80" t="s">
        <v>9680</v>
      </c>
      <c r="K1237" s="80" t="s">
        <v>9680</v>
      </c>
      <c r="L1237" s="80" t="s">
        <v>9680</v>
      </c>
      <c r="M1237" s="80" t="s">
        <v>9680</v>
      </c>
      <c r="N1237" s="80" t="s">
        <v>9680</v>
      </c>
      <c r="O1237" s="80" t="s">
        <v>9680</v>
      </c>
      <c r="P1237" s="80"/>
      <c r="Q1237" s="80" t="s">
        <v>9680</v>
      </c>
      <c r="R1237" s="80" t="s">
        <v>9680</v>
      </c>
    </row>
    <row r="1238" spans="1:18" ht="20" x14ac:dyDescent="0.2">
      <c r="A1238" s="80" t="s">
        <v>654</v>
      </c>
      <c r="B1238" s="80" t="s">
        <v>10124</v>
      </c>
      <c r="C1238" s="80" t="s">
        <v>9680</v>
      </c>
      <c r="D1238" s="80" t="s">
        <v>9680</v>
      </c>
      <c r="E1238" s="80" t="s">
        <v>9680</v>
      </c>
      <c r="F1238" s="80"/>
      <c r="G1238" s="80" t="s">
        <v>9680</v>
      </c>
      <c r="H1238" s="80" t="s">
        <v>9680</v>
      </c>
      <c r="I1238" s="80" t="s">
        <v>9680</v>
      </c>
      <c r="J1238" s="80" t="s">
        <v>9680</v>
      </c>
      <c r="K1238" s="80" t="s">
        <v>9680</v>
      </c>
      <c r="L1238" s="80" t="s">
        <v>9680</v>
      </c>
      <c r="M1238" s="80" t="s">
        <v>9680</v>
      </c>
      <c r="N1238" s="80" t="s">
        <v>9680</v>
      </c>
      <c r="O1238" s="80" t="s">
        <v>9680</v>
      </c>
      <c r="P1238" s="80"/>
      <c r="Q1238" s="80" t="s">
        <v>9680</v>
      </c>
      <c r="R1238" s="80" t="s">
        <v>9680</v>
      </c>
    </row>
    <row r="1239" spans="1:18" ht="20" x14ac:dyDescent="0.2">
      <c r="A1239" s="80" t="s">
        <v>654</v>
      </c>
      <c r="B1239" s="80" t="s">
        <v>701</v>
      </c>
      <c r="C1239" s="80" t="s">
        <v>9680</v>
      </c>
      <c r="D1239" s="80" t="s">
        <v>9680</v>
      </c>
      <c r="E1239" s="80" t="s">
        <v>9680</v>
      </c>
      <c r="F1239" s="80"/>
      <c r="G1239" s="80" t="s">
        <v>9680</v>
      </c>
      <c r="H1239" s="80" t="s">
        <v>9680</v>
      </c>
      <c r="I1239" s="80" t="s">
        <v>9680</v>
      </c>
      <c r="J1239" s="80" t="s">
        <v>9680</v>
      </c>
      <c r="K1239" s="80" t="s">
        <v>9680</v>
      </c>
      <c r="L1239" s="80" t="s">
        <v>9680</v>
      </c>
      <c r="M1239" s="80" t="s">
        <v>9680</v>
      </c>
      <c r="N1239" s="80" t="s">
        <v>9680</v>
      </c>
      <c r="O1239" s="80" t="s">
        <v>9680</v>
      </c>
      <c r="P1239" s="80"/>
      <c r="Q1239" s="80" t="s">
        <v>9680</v>
      </c>
      <c r="R1239" s="80" t="s">
        <v>9680</v>
      </c>
    </row>
    <row r="1240" spans="1:18" ht="20" x14ac:dyDescent="0.2">
      <c r="A1240" s="80" t="s">
        <v>678</v>
      </c>
      <c r="B1240" s="80" t="s">
        <v>679</v>
      </c>
      <c r="C1240" s="80" t="s">
        <v>9680</v>
      </c>
      <c r="D1240" s="80" t="s">
        <v>9680</v>
      </c>
      <c r="E1240" s="80" t="s">
        <v>84</v>
      </c>
      <c r="F1240" s="80"/>
      <c r="G1240" s="80" t="s">
        <v>9680</v>
      </c>
      <c r="H1240" s="80" t="s">
        <v>9680</v>
      </c>
      <c r="I1240" s="80" t="s">
        <v>9680</v>
      </c>
      <c r="J1240" s="80" t="s">
        <v>84</v>
      </c>
      <c r="K1240" s="80" t="s">
        <v>9680</v>
      </c>
      <c r="L1240" s="80" t="s">
        <v>9680</v>
      </c>
      <c r="M1240" s="80" t="s">
        <v>9680</v>
      </c>
      <c r="N1240" s="80" t="s">
        <v>84</v>
      </c>
      <c r="O1240" s="80" t="s">
        <v>9680</v>
      </c>
      <c r="P1240" s="80"/>
      <c r="Q1240" s="80" t="s">
        <v>9680</v>
      </c>
      <c r="R1240" s="80" t="s">
        <v>9680</v>
      </c>
    </row>
    <row r="1241" spans="1:18" ht="20" x14ac:dyDescent="0.2">
      <c r="A1241" s="80" t="s">
        <v>658</v>
      </c>
      <c r="B1241" s="80" t="s">
        <v>659</v>
      </c>
      <c r="C1241" s="80" t="s">
        <v>9680</v>
      </c>
      <c r="D1241" s="80" t="s">
        <v>9680</v>
      </c>
      <c r="E1241" s="80" t="s">
        <v>9680</v>
      </c>
      <c r="F1241" s="80"/>
      <c r="G1241" s="80" t="s">
        <v>9680</v>
      </c>
      <c r="H1241" s="80" t="s">
        <v>9680</v>
      </c>
      <c r="I1241" s="80" t="s">
        <v>9680</v>
      </c>
      <c r="J1241" s="80" t="s">
        <v>84</v>
      </c>
      <c r="K1241" s="80" t="s">
        <v>9680</v>
      </c>
      <c r="L1241" s="80" t="s">
        <v>9680</v>
      </c>
      <c r="M1241" s="80" t="s">
        <v>9680</v>
      </c>
      <c r="N1241" s="80" t="s">
        <v>9680</v>
      </c>
      <c r="O1241" s="80" t="s">
        <v>9680</v>
      </c>
      <c r="P1241" s="80"/>
      <c r="Q1241" s="80" t="s">
        <v>9680</v>
      </c>
      <c r="R1241" s="80" t="s">
        <v>9680</v>
      </c>
    </row>
    <row r="1242" spans="1:18" ht="20" x14ac:dyDescent="0.2">
      <c r="A1242" s="80" t="s">
        <v>658</v>
      </c>
      <c r="B1242" s="80" t="s">
        <v>680</v>
      </c>
      <c r="C1242" s="80" t="s">
        <v>9680</v>
      </c>
      <c r="D1242" s="80" t="s">
        <v>9680</v>
      </c>
      <c r="E1242" s="80" t="s">
        <v>9680</v>
      </c>
      <c r="F1242" s="80"/>
      <c r="G1242" s="80" t="s">
        <v>9680</v>
      </c>
      <c r="H1242" s="80" t="s">
        <v>9680</v>
      </c>
      <c r="I1242" s="80" t="s">
        <v>9680</v>
      </c>
      <c r="J1242" s="80" t="s">
        <v>84</v>
      </c>
      <c r="K1242" s="80" t="s">
        <v>9680</v>
      </c>
      <c r="L1242" s="80" t="s">
        <v>9680</v>
      </c>
      <c r="M1242" s="80" t="s">
        <v>9680</v>
      </c>
      <c r="N1242" s="80" t="s">
        <v>9680</v>
      </c>
      <c r="O1242" s="80" t="s">
        <v>9680</v>
      </c>
      <c r="P1242" s="80"/>
      <c r="Q1242" s="80" t="s">
        <v>9680</v>
      </c>
      <c r="R1242" s="80" t="s">
        <v>9680</v>
      </c>
    </row>
    <row r="1243" spans="1:18" ht="20" x14ac:dyDescent="0.2">
      <c r="A1243" s="80" t="s">
        <v>681</v>
      </c>
      <c r="B1243" s="80" t="s">
        <v>682</v>
      </c>
      <c r="C1243" s="80" t="s">
        <v>9680</v>
      </c>
      <c r="D1243" s="80" t="s">
        <v>9680</v>
      </c>
      <c r="E1243" s="80" t="s">
        <v>84</v>
      </c>
      <c r="F1243" s="80"/>
      <c r="G1243" s="80" t="s">
        <v>9680</v>
      </c>
      <c r="H1243" s="80" t="s">
        <v>9680</v>
      </c>
      <c r="I1243" s="80" t="s">
        <v>9680</v>
      </c>
      <c r="J1243" s="80" t="s">
        <v>84</v>
      </c>
      <c r="K1243" s="80" t="s">
        <v>9680</v>
      </c>
      <c r="L1243" s="80" t="s">
        <v>9680</v>
      </c>
      <c r="M1243" s="80" t="s">
        <v>9680</v>
      </c>
      <c r="N1243" s="80" t="s">
        <v>84</v>
      </c>
      <c r="O1243" s="80" t="s">
        <v>9680</v>
      </c>
      <c r="P1243" s="80"/>
      <c r="Q1243" s="80" t="s">
        <v>9680</v>
      </c>
      <c r="R1243" s="80" t="s">
        <v>9680</v>
      </c>
    </row>
    <row r="1244" spans="1:18" ht="20" x14ac:dyDescent="0.2">
      <c r="A1244" s="80" t="s">
        <v>683</v>
      </c>
      <c r="B1244" s="80" t="s">
        <v>684</v>
      </c>
      <c r="C1244" s="80" t="s">
        <v>9680</v>
      </c>
      <c r="D1244" s="80" t="s">
        <v>9680</v>
      </c>
      <c r="E1244" s="80" t="s">
        <v>9680</v>
      </c>
      <c r="F1244" s="80"/>
      <c r="G1244" s="80" t="s">
        <v>9680</v>
      </c>
      <c r="H1244" s="80" t="s">
        <v>9680</v>
      </c>
      <c r="I1244" s="80" t="s">
        <v>9680</v>
      </c>
      <c r="J1244" s="80" t="s">
        <v>84</v>
      </c>
      <c r="K1244" s="80" t="s">
        <v>9680</v>
      </c>
      <c r="L1244" s="80" t="s">
        <v>9680</v>
      </c>
      <c r="M1244" s="80" t="s">
        <v>9680</v>
      </c>
      <c r="N1244" s="80" t="s">
        <v>9680</v>
      </c>
      <c r="O1244" s="80" t="s">
        <v>9680</v>
      </c>
      <c r="P1244" s="80"/>
      <c r="Q1244" s="80" t="s">
        <v>9680</v>
      </c>
      <c r="R1244" s="80" t="s">
        <v>9680</v>
      </c>
    </row>
    <row r="1245" spans="1:18" ht="20" x14ac:dyDescent="0.2">
      <c r="A1245" s="80" t="s">
        <v>683</v>
      </c>
      <c r="B1245" s="80" t="s">
        <v>10125</v>
      </c>
      <c r="C1245" s="80" t="s">
        <v>9680</v>
      </c>
      <c r="D1245" s="80" t="s">
        <v>9680</v>
      </c>
      <c r="E1245" s="80" t="s">
        <v>9680</v>
      </c>
      <c r="F1245" s="80"/>
      <c r="G1245" s="80" t="s">
        <v>9680</v>
      </c>
      <c r="H1245" s="80" t="s">
        <v>9680</v>
      </c>
      <c r="I1245" s="80" t="s">
        <v>9680</v>
      </c>
      <c r="J1245" s="80" t="s">
        <v>84</v>
      </c>
      <c r="K1245" s="80" t="s">
        <v>9680</v>
      </c>
      <c r="L1245" s="80" t="s">
        <v>9680</v>
      </c>
      <c r="M1245" s="80" t="s">
        <v>9680</v>
      </c>
      <c r="N1245" s="80" t="s">
        <v>9680</v>
      </c>
      <c r="O1245" s="80" t="s">
        <v>9680</v>
      </c>
      <c r="P1245" s="80"/>
      <c r="Q1245" s="80" t="s">
        <v>9680</v>
      </c>
      <c r="R1245" s="80" t="s">
        <v>9680</v>
      </c>
    </row>
    <row r="1246" spans="1:18" ht="20" x14ac:dyDescent="0.2">
      <c r="A1246" s="80" t="s">
        <v>687</v>
      </c>
      <c r="B1246" s="80" t="s">
        <v>688</v>
      </c>
      <c r="C1246" s="80" t="s">
        <v>9680</v>
      </c>
      <c r="D1246" s="80" t="s">
        <v>9680</v>
      </c>
      <c r="E1246" s="80" t="s">
        <v>84</v>
      </c>
      <c r="F1246" s="80"/>
      <c r="G1246" s="80" t="s">
        <v>9680</v>
      </c>
      <c r="H1246" s="80" t="s">
        <v>9680</v>
      </c>
      <c r="I1246" s="80" t="s">
        <v>9680</v>
      </c>
      <c r="J1246" s="80" t="s">
        <v>84</v>
      </c>
      <c r="K1246" s="80" t="s">
        <v>9680</v>
      </c>
      <c r="L1246" s="80" t="s">
        <v>9680</v>
      </c>
      <c r="M1246" s="80" t="s">
        <v>9680</v>
      </c>
      <c r="N1246" s="80" t="s">
        <v>84</v>
      </c>
      <c r="O1246" s="80" t="s">
        <v>9680</v>
      </c>
      <c r="P1246" s="80"/>
      <c r="Q1246" s="80" t="s">
        <v>9680</v>
      </c>
      <c r="R1246" s="80" t="s">
        <v>9680</v>
      </c>
    </row>
    <row r="1247" spans="1:18" ht="20" x14ac:dyDescent="0.2">
      <c r="A1247" s="80" t="s">
        <v>702</v>
      </c>
      <c r="B1247" s="80" t="s">
        <v>703</v>
      </c>
      <c r="C1247" s="80" t="s">
        <v>9680</v>
      </c>
      <c r="D1247" s="80" t="s">
        <v>9680</v>
      </c>
      <c r="E1247" s="80" t="s">
        <v>84</v>
      </c>
      <c r="F1247" s="80"/>
      <c r="G1247" s="80" t="s">
        <v>9680</v>
      </c>
      <c r="H1247" s="80" t="s">
        <v>9680</v>
      </c>
      <c r="I1247" s="80" t="s">
        <v>9680</v>
      </c>
      <c r="J1247" s="80" t="s">
        <v>84</v>
      </c>
      <c r="K1247" s="80" t="s">
        <v>9680</v>
      </c>
      <c r="L1247" s="80" t="s">
        <v>9680</v>
      </c>
      <c r="M1247" s="80" t="s">
        <v>9680</v>
      </c>
      <c r="N1247" s="80" t="s">
        <v>84</v>
      </c>
      <c r="O1247" s="80" t="s">
        <v>9680</v>
      </c>
      <c r="P1247" s="80"/>
      <c r="Q1247" s="80" t="s">
        <v>9680</v>
      </c>
      <c r="R1247" s="80" t="s">
        <v>9680</v>
      </c>
    </row>
    <row r="1248" spans="1:18" ht="20" x14ac:dyDescent="0.2">
      <c r="A1248" s="80" t="s">
        <v>704</v>
      </c>
      <c r="B1248" s="80" t="s">
        <v>705</v>
      </c>
      <c r="C1248" s="80" t="s">
        <v>9680</v>
      </c>
      <c r="D1248" s="80" t="s">
        <v>9680</v>
      </c>
      <c r="E1248" s="80" t="s">
        <v>84</v>
      </c>
      <c r="F1248" s="80"/>
      <c r="G1248" s="80" t="s">
        <v>9680</v>
      </c>
      <c r="H1248" s="80" t="s">
        <v>9680</v>
      </c>
      <c r="I1248" s="80" t="s">
        <v>9680</v>
      </c>
      <c r="J1248" s="80" t="s">
        <v>84</v>
      </c>
      <c r="K1248" s="80" t="s">
        <v>9680</v>
      </c>
      <c r="L1248" s="80" t="s">
        <v>9680</v>
      </c>
      <c r="M1248" s="80" t="s">
        <v>9680</v>
      </c>
      <c r="N1248" s="80" t="s">
        <v>84</v>
      </c>
      <c r="O1248" s="80" t="s">
        <v>9680</v>
      </c>
      <c r="P1248" s="80"/>
      <c r="Q1248" s="80" t="s">
        <v>9680</v>
      </c>
      <c r="R1248" s="80" t="s">
        <v>9680</v>
      </c>
    </row>
    <row r="1249" spans="1:18" ht="20" x14ac:dyDescent="0.2">
      <c r="A1249" s="80" t="s">
        <v>706</v>
      </c>
      <c r="B1249" s="80" t="s">
        <v>707</v>
      </c>
      <c r="C1249" s="80" t="s">
        <v>9680</v>
      </c>
      <c r="D1249" s="80" t="s">
        <v>9680</v>
      </c>
      <c r="E1249" s="80" t="s">
        <v>9680</v>
      </c>
      <c r="F1249" s="80"/>
      <c r="G1249" s="80" t="s">
        <v>9680</v>
      </c>
      <c r="H1249" s="80" t="s">
        <v>9680</v>
      </c>
      <c r="I1249" s="80" t="s">
        <v>9680</v>
      </c>
      <c r="J1249" s="80" t="s">
        <v>84</v>
      </c>
      <c r="K1249" s="80" t="s">
        <v>9680</v>
      </c>
      <c r="L1249" s="80" t="s">
        <v>9680</v>
      </c>
      <c r="M1249" s="80" t="s">
        <v>9680</v>
      </c>
      <c r="N1249" s="80" t="s">
        <v>9680</v>
      </c>
      <c r="O1249" s="80" t="s">
        <v>9680</v>
      </c>
      <c r="P1249" s="80"/>
      <c r="Q1249" s="80" t="s">
        <v>9680</v>
      </c>
      <c r="R1249" s="80" t="s">
        <v>9680</v>
      </c>
    </row>
    <row r="1250" spans="1:18" ht="20" x14ac:dyDescent="0.2">
      <c r="A1250" s="80" t="s">
        <v>706</v>
      </c>
      <c r="B1250" s="80" t="s">
        <v>10126</v>
      </c>
      <c r="C1250" s="80" t="s">
        <v>9680</v>
      </c>
      <c r="D1250" s="80" t="s">
        <v>9680</v>
      </c>
      <c r="E1250" s="80" t="s">
        <v>9680</v>
      </c>
      <c r="F1250" s="80"/>
      <c r="G1250" s="80" t="s">
        <v>9680</v>
      </c>
      <c r="H1250" s="80" t="s">
        <v>9680</v>
      </c>
      <c r="I1250" s="80" t="s">
        <v>9680</v>
      </c>
      <c r="J1250" s="80" t="s">
        <v>84</v>
      </c>
      <c r="K1250" s="80" t="s">
        <v>9680</v>
      </c>
      <c r="L1250" s="80" t="s">
        <v>9680</v>
      </c>
      <c r="M1250" s="80" t="s">
        <v>9680</v>
      </c>
      <c r="N1250" s="80" t="s">
        <v>9680</v>
      </c>
      <c r="O1250" s="80" t="s">
        <v>9680</v>
      </c>
      <c r="P1250" s="80"/>
      <c r="Q1250" s="80" t="s">
        <v>9680</v>
      </c>
      <c r="R1250" s="80" t="s">
        <v>9680</v>
      </c>
    </row>
    <row r="1251" spans="1:18" ht="20" x14ac:dyDescent="0.2">
      <c r="A1251" s="80" t="s">
        <v>711</v>
      </c>
      <c r="B1251" s="80" t="s">
        <v>712</v>
      </c>
      <c r="C1251" s="80" t="s">
        <v>9680</v>
      </c>
      <c r="D1251" s="80" t="s">
        <v>9680</v>
      </c>
      <c r="E1251" s="80" t="s">
        <v>84</v>
      </c>
      <c r="F1251" s="80"/>
      <c r="G1251" s="80" t="s">
        <v>9680</v>
      </c>
      <c r="H1251" s="80" t="s">
        <v>9680</v>
      </c>
      <c r="I1251" s="80" t="s">
        <v>9680</v>
      </c>
      <c r="J1251" s="80" t="s">
        <v>84</v>
      </c>
      <c r="K1251" s="80" t="s">
        <v>9680</v>
      </c>
      <c r="L1251" s="80" t="s">
        <v>9680</v>
      </c>
      <c r="M1251" s="80" t="s">
        <v>9680</v>
      </c>
      <c r="N1251" s="80" t="s">
        <v>84</v>
      </c>
      <c r="O1251" s="80" t="s">
        <v>9680</v>
      </c>
      <c r="P1251" s="80"/>
      <c r="Q1251" s="80" t="s">
        <v>9680</v>
      </c>
      <c r="R1251" s="80" t="s">
        <v>9680</v>
      </c>
    </row>
    <row r="1252" spans="1:18" ht="20" x14ac:dyDescent="0.2">
      <c r="A1252" s="80" t="s">
        <v>10127</v>
      </c>
      <c r="B1252" s="80" t="s">
        <v>10128</v>
      </c>
      <c r="C1252" s="80" t="s">
        <v>84</v>
      </c>
      <c r="D1252" s="80" t="s">
        <v>84</v>
      </c>
      <c r="E1252" s="80" t="s">
        <v>84</v>
      </c>
      <c r="F1252" s="80"/>
      <c r="G1252" s="80" t="s">
        <v>84</v>
      </c>
      <c r="H1252" s="80" t="s">
        <v>84</v>
      </c>
      <c r="I1252" s="80" t="s">
        <v>84</v>
      </c>
      <c r="J1252" s="80" t="s">
        <v>84</v>
      </c>
      <c r="K1252" s="80" t="s">
        <v>84</v>
      </c>
      <c r="L1252" s="80" t="s">
        <v>84</v>
      </c>
      <c r="M1252" s="80" t="s">
        <v>84</v>
      </c>
      <c r="N1252" s="80" t="s">
        <v>84</v>
      </c>
      <c r="O1252" s="80" t="s">
        <v>84</v>
      </c>
      <c r="P1252" s="80"/>
      <c r="Q1252" s="80" t="s">
        <v>84</v>
      </c>
      <c r="R1252" s="80" t="s">
        <v>84</v>
      </c>
    </row>
    <row r="1253" spans="1:18" ht="20" x14ac:dyDescent="0.2">
      <c r="A1253" s="80" t="s">
        <v>10127</v>
      </c>
      <c r="B1253" s="80" t="s">
        <v>10129</v>
      </c>
      <c r="C1253" s="80" t="s">
        <v>84</v>
      </c>
      <c r="D1253" s="80" t="s">
        <v>84</v>
      </c>
      <c r="E1253" s="80" t="s">
        <v>84</v>
      </c>
      <c r="F1253" s="80"/>
      <c r="G1253" s="80" t="s">
        <v>84</v>
      </c>
      <c r="H1253" s="80" t="s">
        <v>84</v>
      </c>
      <c r="I1253" s="80" t="s">
        <v>84</v>
      </c>
      <c r="J1253" s="80" t="s">
        <v>84</v>
      </c>
      <c r="K1253" s="80" t="s">
        <v>84</v>
      </c>
      <c r="L1253" s="80" t="s">
        <v>84</v>
      </c>
      <c r="M1253" s="80" t="s">
        <v>84</v>
      </c>
      <c r="N1253" s="80" t="s">
        <v>84</v>
      </c>
      <c r="O1253" s="80" t="s">
        <v>84</v>
      </c>
      <c r="P1253" s="80"/>
      <c r="Q1253" s="80" t="s">
        <v>84</v>
      </c>
      <c r="R1253" s="80" t="s">
        <v>84</v>
      </c>
    </row>
    <row r="1254" spans="1:18" ht="20" x14ac:dyDescent="0.2">
      <c r="A1254" s="80" t="s">
        <v>2213</v>
      </c>
      <c r="B1254" s="80" t="s">
        <v>2214</v>
      </c>
      <c r="C1254" s="80" t="s">
        <v>84</v>
      </c>
      <c r="D1254" s="80" t="s">
        <v>84</v>
      </c>
      <c r="E1254" s="80" t="s">
        <v>84</v>
      </c>
      <c r="F1254" s="80"/>
      <c r="G1254" s="80" t="s">
        <v>84</v>
      </c>
      <c r="H1254" s="80" t="s">
        <v>84</v>
      </c>
      <c r="I1254" s="80" t="s">
        <v>84</v>
      </c>
      <c r="J1254" s="80" t="s">
        <v>84</v>
      </c>
      <c r="K1254" s="80" t="s">
        <v>84</v>
      </c>
      <c r="L1254" s="80" t="s">
        <v>84</v>
      </c>
      <c r="M1254" s="80" t="s">
        <v>84</v>
      </c>
      <c r="N1254" s="80" t="s">
        <v>84</v>
      </c>
      <c r="O1254" s="80" t="s">
        <v>84</v>
      </c>
      <c r="P1254" s="80"/>
      <c r="Q1254" s="80" t="s">
        <v>84</v>
      </c>
      <c r="R1254" s="80" t="s">
        <v>84</v>
      </c>
    </row>
    <row r="1255" spans="1:18" ht="20" x14ac:dyDescent="0.2">
      <c r="A1255" s="80" t="s">
        <v>737</v>
      </c>
      <c r="B1255" s="80" t="s">
        <v>10130</v>
      </c>
      <c r="C1255" s="80" t="s">
        <v>9680</v>
      </c>
      <c r="D1255" s="80" t="s">
        <v>84</v>
      </c>
      <c r="E1255" s="80" t="s">
        <v>84</v>
      </c>
      <c r="F1255" s="80"/>
      <c r="G1255" s="80" t="s">
        <v>84</v>
      </c>
      <c r="H1255" s="80" t="s">
        <v>84</v>
      </c>
      <c r="I1255" s="80" t="s">
        <v>84</v>
      </c>
      <c r="J1255" s="80" t="s">
        <v>84</v>
      </c>
      <c r="K1255" s="80" t="s">
        <v>84</v>
      </c>
      <c r="L1255" s="80" t="s">
        <v>84</v>
      </c>
      <c r="M1255" s="80" t="s">
        <v>84</v>
      </c>
      <c r="N1255" s="80" t="s">
        <v>84</v>
      </c>
      <c r="O1255" s="80" t="s">
        <v>84</v>
      </c>
      <c r="P1255" s="80"/>
      <c r="Q1255" s="80" t="s">
        <v>84</v>
      </c>
      <c r="R1255" s="80" t="s">
        <v>84</v>
      </c>
    </row>
    <row r="1256" spans="1:18" ht="20" x14ac:dyDescent="0.2">
      <c r="A1256" s="80" t="s">
        <v>737</v>
      </c>
      <c r="B1256" s="80" t="s">
        <v>738</v>
      </c>
      <c r="C1256" s="80" t="s">
        <v>9680</v>
      </c>
      <c r="D1256" s="80" t="s">
        <v>84</v>
      </c>
      <c r="E1256" s="80" t="s">
        <v>84</v>
      </c>
      <c r="F1256" s="80"/>
      <c r="G1256" s="80" t="s">
        <v>84</v>
      </c>
      <c r="H1256" s="80" t="s">
        <v>84</v>
      </c>
      <c r="I1256" s="80" t="s">
        <v>84</v>
      </c>
      <c r="J1256" s="80" t="s">
        <v>84</v>
      </c>
      <c r="K1256" s="80" t="s">
        <v>84</v>
      </c>
      <c r="L1256" s="80" t="s">
        <v>84</v>
      </c>
      <c r="M1256" s="80" t="s">
        <v>84</v>
      </c>
      <c r="N1256" s="80" t="s">
        <v>84</v>
      </c>
      <c r="O1256" s="80" t="s">
        <v>84</v>
      </c>
      <c r="P1256" s="80"/>
      <c r="Q1256" s="80" t="s">
        <v>84</v>
      </c>
      <c r="R1256" s="80" t="s">
        <v>84</v>
      </c>
    </row>
    <row r="1257" spans="1:18" ht="20" x14ac:dyDescent="0.2">
      <c r="A1257" s="80" t="s">
        <v>10131</v>
      </c>
      <c r="B1257" s="80" t="s">
        <v>10132</v>
      </c>
      <c r="C1257" s="80" t="s">
        <v>9680</v>
      </c>
      <c r="D1257" s="80" t="s">
        <v>84</v>
      </c>
      <c r="E1257" s="80" t="s">
        <v>84</v>
      </c>
      <c r="F1257" s="80"/>
      <c r="G1257" s="80" t="s">
        <v>84</v>
      </c>
      <c r="H1257" s="80" t="s">
        <v>84</v>
      </c>
      <c r="I1257" s="80" t="s">
        <v>84</v>
      </c>
      <c r="J1257" s="80" t="s">
        <v>84</v>
      </c>
      <c r="K1257" s="80" t="s">
        <v>84</v>
      </c>
      <c r="L1257" s="80" t="s">
        <v>84</v>
      </c>
      <c r="M1257" s="80" t="s">
        <v>84</v>
      </c>
      <c r="N1257" s="80" t="s">
        <v>84</v>
      </c>
      <c r="O1257" s="80" t="s">
        <v>84</v>
      </c>
      <c r="P1257" s="80"/>
      <c r="Q1257" s="80" t="s">
        <v>84</v>
      </c>
      <c r="R1257" s="80" t="s">
        <v>84</v>
      </c>
    </row>
    <row r="1258" spans="1:18" ht="20" x14ac:dyDescent="0.2">
      <c r="A1258" s="80" t="s">
        <v>720</v>
      </c>
      <c r="B1258" s="80" t="s">
        <v>721</v>
      </c>
      <c r="C1258" s="80" t="s">
        <v>9680</v>
      </c>
      <c r="D1258" s="80" t="s">
        <v>84</v>
      </c>
      <c r="E1258" s="80" t="s">
        <v>84</v>
      </c>
      <c r="F1258" s="80"/>
      <c r="G1258" s="80" t="s">
        <v>84</v>
      </c>
      <c r="H1258" s="80" t="s">
        <v>84</v>
      </c>
      <c r="I1258" s="80" t="s">
        <v>84</v>
      </c>
      <c r="J1258" s="80" t="s">
        <v>84</v>
      </c>
      <c r="K1258" s="80" t="s">
        <v>84</v>
      </c>
      <c r="L1258" s="80" t="s">
        <v>84</v>
      </c>
      <c r="M1258" s="80" t="s">
        <v>84</v>
      </c>
      <c r="N1258" s="80" t="s">
        <v>84</v>
      </c>
      <c r="O1258" s="80" t="s">
        <v>84</v>
      </c>
      <c r="P1258" s="80"/>
      <c r="Q1258" s="80" t="s">
        <v>84</v>
      </c>
      <c r="R1258" s="80" t="s">
        <v>84</v>
      </c>
    </row>
    <row r="1259" spans="1:18" ht="20" x14ac:dyDescent="0.2">
      <c r="A1259" s="80" t="s">
        <v>739</v>
      </c>
      <c r="B1259" s="80" t="s">
        <v>740</v>
      </c>
      <c r="C1259" s="80" t="s">
        <v>9680</v>
      </c>
      <c r="D1259" s="80" t="s">
        <v>84</v>
      </c>
      <c r="E1259" s="80" t="s">
        <v>84</v>
      </c>
      <c r="F1259" s="80"/>
      <c r="G1259" s="80" t="s">
        <v>84</v>
      </c>
      <c r="H1259" s="80" t="s">
        <v>84</v>
      </c>
      <c r="I1259" s="80" t="s">
        <v>84</v>
      </c>
      <c r="J1259" s="80" t="s">
        <v>84</v>
      </c>
      <c r="K1259" s="80" t="s">
        <v>84</v>
      </c>
      <c r="L1259" s="80" t="s">
        <v>84</v>
      </c>
      <c r="M1259" s="80" t="s">
        <v>84</v>
      </c>
      <c r="N1259" s="80" t="s">
        <v>84</v>
      </c>
      <c r="O1259" s="80" t="s">
        <v>84</v>
      </c>
      <c r="P1259" s="80"/>
      <c r="Q1259" s="80" t="s">
        <v>84</v>
      </c>
      <c r="R1259" s="80" t="s">
        <v>84</v>
      </c>
    </row>
    <row r="1260" spans="1:18" ht="20" x14ac:dyDescent="0.2">
      <c r="A1260" s="80" t="s">
        <v>722</v>
      </c>
      <c r="B1260" s="80" t="s">
        <v>723</v>
      </c>
      <c r="C1260" s="80" t="s">
        <v>9680</v>
      </c>
      <c r="D1260" s="80" t="s">
        <v>84</v>
      </c>
      <c r="E1260" s="80" t="s">
        <v>84</v>
      </c>
      <c r="F1260" s="80"/>
      <c r="G1260" s="80" t="s">
        <v>84</v>
      </c>
      <c r="H1260" s="80" t="s">
        <v>84</v>
      </c>
      <c r="I1260" s="80" t="s">
        <v>84</v>
      </c>
      <c r="J1260" s="80" t="s">
        <v>84</v>
      </c>
      <c r="K1260" s="80" t="s">
        <v>84</v>
      </c>
      <c r="L1260" s="80" t="s">
        <v>84</v>
      </c>
      <c r="M1260" s="80" t="s">
        <v>84</v>
      </c>
      <c r="N1260" s="80" t="s">
        <v>84</v>
      </c>
      <c r="O1260" s="80" t="s">
        <v>84</v>
      </c>
      <c r="P1260" s="80"/>
      <c r="Q1260" s="80" t="s">
        <v>84</v>
      </c>
      <c r="R1260" s="80" t="s">
        <v>84</v>
      </c>
    </row>
    <row r="1261" spans="1:18" ht="20" x14ac:dyDescent="0.2">
      <c r="A1261" s="80" t="s">
        <v>724</v>
      </c>
      <c r="B1261" s="80" t="s">
        <v>725</v>
      </c>
      <c r="C1261" s="80" t="s">
        <v>9680</v>
      </c>
      <c r="D1261" s="80" t="s">
        <v>84</v>
      </c>
      <c r="E1261" s="80" t="s">
        <v>84</v>
      </c>
      <c r="F1261" s="80"/>
      <c r="G1261" s="80" t="s">
        <v>84</v>
      </c>
      <c r="H1261" s="80" t="s">
        <v>84</v>
      </c>
      <c r="I1261" s="80" t="s">
        <v>84</v>
      </c>
      <c r="J1261" s="80" t="s">
        <v>84</v>
      </c>
      <c r="K1261" s="80" t="s">
        <v>84</v>
      </c>
      <c r="L1261" s="80" t="s">
        <v>84</v>
      </c>
      <c r="M1261" s="80" t="s">
        <v>84</v>
      </c>
      <c r="N1261" s="80" t="s">
        <v>84</v>
      </c>
      <c r="O1261" s="80" t="s">
        <v>84</v>
      </c>
      <c r="P1261" s="80"/>
      <c r="Q1261" s="80" t="s">
        <v>84</v>
      </c>
      <c r="R1261" s="80" t="s">
        <v>84</v>
      </c>
    </row>
    <row r="1262" spans="1:18" ht="20" x14ac:dyDescent="0.2">
      <c r="A1262" s="80" t="s">
        <v>656</v>
      </c>
      <c r="B1262" s="80" t="s">
        <v>657</v>
      </c>
      <c r="C1262" s="80" t="s">
        <v>9680</v>
      </c>
      <c r="D1262" s="80" t="s">
        <v>84</v>
      </c>
      <c r="E1262" s="80" t="s">
        <v>84</v>
      </c>
      <c r="F1262" s="80"/>
      <c r="G1262" s="80" t="s">
        <v>84</v>
      </c>
      <c r="H1262" s="80" t="s">
        <v>84</v>
      </c>
      <c r="I1262" s="80" t="s">
        <v>84</v>
      </c>
      <c r="J1262" s="80" t="s">
        <v>84</v>
      </c>
      <c r="K1262" s="80" t="s">
        <v>84</v>
      </c>
      <c r="L1262" s="80" t="s">
        <v>84</v>
      </c>
      <c r="M1262" s="80" t="s">
        <v>84</v>
      </c>
      <c r="N1262" s="80" t="s">
        <v>84</v>
      </c>
      <c r="O1262" s="80" t="s">
        <v>84</v>
      </c>
      <c r="P1262" s="80"/>
      <c r="Q1262" s="80" t="s">
        <v>84</v>
      </c>
      <c r="R1262" s="80" t="s">
        <v>84</v>
      </c>
    </row>
    <row r="1263" spans="1:18" ht="20" x14ac:dyDescent="0.2">
      <c r="A1263" s="80" t="s">
        <v>656</v>
      </c>
      <c r="B1263" s="80" t="s">
        <v>726</v>
      </c>
      <c r="C1263" s="80" t="s">
        <v>9680</v>
      </c>
      <c r="D1263" s="80" t="s">
        <v>84</v>
      </c>
      <c r="E1263" s="80" t="s">
        <v>84</v>
      </c>
      <c r="F1263" s="80"/>
      <c r="G1263" s="80" t="s">
        <v>84</v>
      </c>
      <c r="H1263" s="80" t="s">
        <v>84</v>
      </c>
      <c r="I1263" s="80" t="s">
        <v>84</v>
      </c>
      <c r="J1263" s="80" t="s">
        <v>84</v>
      </c>
      <c r="K1263" s="80" t="s">
        <v>84</v>
      </c>
      <c r="L1263" s="80" t="s">
        <v>84</v>
      </c>
      <c r="M1263" s="80" t="s">
        <v>84</v>
      </c>
      <c r="N1263" s="80" t="s">
        <v>84</v>
      </c>
      <c r="O1263" s="80" t="s">
        <v>84</v>
      </c>
      <c r="P1263" s="80"/>
      <c r="Q1263" s="80" t="s">
        <v>84</v>
      </c>
      <c r="R1263" s="80" t="s">
        <v>84</v>
      </c>
    </row>
    <row r="1264" spans="1:18" ht="20" x14ac:dyDescent="0.2">
      <c r="A1264" s="80" t="s">
        <v>727</v>
      </c>
      <c r="B1264" s="80" t="s">
        <v>728</v>
      </c>
      <c r="C1264" s="80" t="s">
        <v>9680</v>
      </c>
      <c r="D1264" s="80" t="s">
        <v>84</v>
      </c>
      <c r="E1264" s="80" t="s">
        <v>84</v>
      </c>
      <c r="F1264" s="80"/>
      <c r="G1264" s="80" t="s">
        <v>84</v>
      </c>
      <c r="H1264" s="80" t="s">
        <v>84</v>
      </c>
      <c r="I1264" s="80" t="s">
        <v>84</v>
      </c>
      <c r="J1264" s="80" t="s">
        <v>84</v>
      </c>
      <c r="K1264" s="80" t="s">
        <v>84</v>
      </c>
      <c r="L1264" s="80" t="s">
        <v>84</v>
      </c>
      <c r="M1264" s="80" t="s">
        <v>84</v>
      </c>
      <c r="N1264" s="80" t="s">
        <v>84</v>
      </c>
      <c r="O1264" s="80" t="s">
        <v>84</v>
      </c>
      <c r="P1264" s="80"/>
      <c r="Q1264" s="80" t="s">
        <v>84</v>
      </c>
      <c r="R1264" s="80" t="s">
        <v>84</v>
      </c>
    </row>
    <row r="1265" spans="1:18" ht="20" x14ac:dyDescent="0.2">
      <c r="A1265" s="80" t="s">
        <v>729</v>
      </c>
      <c r="B1265" s="80" t="s">
        <v>10133</v>
      </c>
      <c r="C1265" s="80" t="s">
        <v>9680</v>
      </c>
      <c r="D1265" s="80" t="s">
        <v>9680</v>
      </c>
      <c r="E1265" s="80" t="s">
        <v>84</v>
      </c>
      <c r="F1265" s="80"/>
      <c r="G1265" s="80" t="s">
        <v>9680</v>
      </c>
      <c r="H1265" s="80" t="s">
        <v>84</v>
      </c>
      <c r="I1265" s="80" t="s">
        <v>9680</v>
      </c>
      <c r="J1265" s="80" t="s">
        <v>9680</v>
      </c>
      <c r="K1265" s="80" t="s">
        <v>9680</v>
      </c>
      <c r="L1265" s="80" t="s">
        <v>9680</v>
      </c>
      <c r="M1265" s="80" t="s">
        <v>9680</v>
      </c>
      <c r="N1265" s="80" t="s">
        <v>84</v>
      </c>
      <c r="O1265" s="80" t="s">
        <v>9680</v>
      </c>
      <c r="P1265" s="80"/>
      <c r="Q1265" s="80" t="s">
        <v>9680</v>
      </c>
      <c r="R1265" s="80" t="s">
        <v>9680</v>
      </c>
    </row>
    <row r="1266" spans="1:18" ht="20" x14ac:dyDescent="0.2">
      <c r="A1266" s="80" t="s">
        <v>729</v>
      </c>
      <c r="B1266" s="80" t="s">
        <v>730</v>
      </c>
      <c r="C1266" s="80" t="s">
        <v>9680</v>
      </c>
      <c r="D1266" s="80" t="s">
        <v>9680</v>
      </c>
      <c r="E1266" s="80" t="s">
        <v>84</v>
      </c>
      <c r="F1266" s="80"/>
      <c r="G1266" s="80" t="s">
        <v>9680</v>
      </c>
      <c r="H1266" s="80" t="s">
        <v>84</v>
      </c>
      <c r="I1266" s="80" t="s">
        <v>9680</v>
      </c>
      <c r="J1266" s="80" t="s">
        <v>9680</v>
      </c>
      <c r="K1266" s="80" t="s">
        <v>9680</v>
      </c>
      <c r="L1266" s="80" t="s">
        <v>9680</v>
      </c>
      <c r="M1266" s="80" t="s">
        <v>9680</v>
      </c>
      <c r="N1266" s="80" t="s">
        <v>84</v>
      </c>
      <c r="O1266" s="80" t="s">
        <v>9680</v>
      </c>
      <c r="P1266" s="80"/>
      <c r="Q1266" s="80" t="s">
        <v>9680</v>
      </c>
      <c r="R1266" s="80" t="s">
        <v>9680</v>
      </c>
    </row>
    <row r="1267" spans="1:18" ht="20" x14ac:dyDescent="0.2">
      <c r="A1267" s="80" t="s">
        <v>731</v>
      </c>
      <c r="B1267" s="80" t="s">
        <v>732</v>
      </c>
      <c r="C1267" s="80" t="s">
        <v>9680</v>
      </c>
      <c r="D1267" s="80" t="s">
        <v>9680</v>
      </c>
      <c r="E1267" s="80" t="s">
        <v>9680</v>
      </c>
      <c r="F1267" s="80"/>
      <c r="G1267" s="80" t="s">
        <v>9680</v>
      </c>
      <c r="H1267" s="80" t="s">
        <v>9680</v>
      </c>
      <c r="I1267" s="80" t="s">
        <v>9680</v>
      </c>
      <c r="J1267" s="80" t="s">
        <v>9680</v>
      </c>
      <c r="K1267" s="80" t="s">
        <v>9680</v>
      </c>
      <c r="L1267" s="80" t="s">
        <v>9680</v>
      </c>
      <c r="M1267" s="80" t="s">
        <v>9680</v>
      </c>
      <c r="N1267" s="80" t="s">
        <v>9680</v>
      </c>
      <c r="O1267" s="80" t="s">
        <v>9680</v>
      </c>
      <c r="P1267" s="80"/>
      <c r="Q1267" s="80" t="s">
        <v>9680</v>
      </c>
      <c r="R1267" s="80" t="s">
        <v>9680</v>
      </c>
    </row>
    <row r="1268" spans="1:18" ht="20" x14ac:dyDescent="0.2">
      <c r="A1268" s="80" t="s">
        <v>733</v>
      </c>
      <c r="B1268" s="80" t="s">
        <v>734</v>
      </c>
      <c r="C1268" s="80" t="s">
        <v>9680</v>
      </c>
      <c r="D1268" s="80" t="s">
        <v>9680</v>
      </c>
      <c r="E1268" s="80" t="s">
        <v>84</v>
      </c>
      <c r="F1268" s="80"/>
      <c r="G1268" s="80" t="s">
        <v>9680</v>
      </c>
      <c r="H1268" s="80" t="s">
        <v>9680</v>
      </c>
      <c r="I1268" s="80" t="s">
        <v>9680</v>
      </c>
      <c r="J1268" s="80" t="s">
        <v>84</v>
      </c>
      <c r="K1268" s="80" t="s">
        <v>9680</v>
      </c>
      <c r="L1268" s="80" t="s">
        <v>9680</v>
      </c>
      <c r="M1268" s="80" t="s">
        <v>9680</v>
      </c>
      <c r="N1268" s="80" t="s">
        <v>84</v>
      </c>
      <c r="O1268" s="80" t="s">
        <v>9680</v>
      </c>
      <c r="P1268" s="80"/>
      <c r="Q1268" s="80" t="s">
        <v>9680</v>
      </c>
      <c r="R1268" s="80" t="s">
        <v>9680</v>
      </c>
    </row>
    <row r="1269" spans="1:18" ht="20" x14ac:dyDescent="0.2">
      <c r="A1269" s="80" t="s">
        <v>735</v>
      </c>
      <c r="B1269" s="80" t="s">
        <v>736</v>
      </c>
      <c r="C1269" s="80" t="s">
        <v>9680</v>
      </c>
      <c r="D1269" s="80" t="s">
        <v>9680</v>
      </c>
      <c r="E1269" s="80" t="s">
        <v>84</v>
      </c>
      <c r="F1269" s="80"/>
      <c r="G1269" s="80" t="s">
        <v>9680</v>
      </c>
      <c r="H1269" s="80" t="s">
        <v>9680</v>
      </c>
      <c r="I1269" s="80" t="s">
        <v>9680</v>
      </c>
      <c r="J1269" s="80" t="s">
        <v>84</v>
      </c>
      <c r="K1269" s="80" t="s">
        <v>9680</v>
      </c>
      <c r="L1269" s="80" t="s">
        <v>9680</v>
      </c>
      <c r="M1269" s="80" t="s">
        <v>9680</v>
      </c>
      <c r="N1269" s="80" t="s">
        <v>84</v>
      </c>
      <c r="O1269" s="80" t="s">
        <v>9680</v>
      </c>
      <c r="P1269" s="80"/>
      <c r="Q1269" s="80" t="s">
        <v>9680</v>
      </c>
      <c r="R1269" s="80" t="s">
        <v>9680</v>
      </c>
    </row>
    <row r="1270" spans="1:18" ht="20" x14ac:dyDescent="0.2">
      <c r="A1270" s="80" t="s">
        <v>10134</v>
      </c>
      <c r="B1270" s="80" t="s">
        <v>10135</v>
      </c>
      <c r="C1270" s="80" t="s">
        <v>9680</v>
      </c>
      <c r="D1270" s="80" t="s">
        <v>84</v>
      </c>
      <c r="E1270" s="80" t="s">
        <v>84</v>
      </c>
      <c r="F1270" s="80"/>
      <c r="G1270" s="80" t="s">
        <v>84</v>
      </c>
      <c r="H1270" s="80" t="s">
        <v>84</v>
      </c>
      <c r="I1270" s="80" t="s">
        <v>84</v>
      </c>
      <c r="J1270" s="80" t="s">
        <v>84</v>
      </c>
      <c r="K1270" s="80" t="s">
        <v>84</v>
      </c>
      <c r="L1270" s="80" t="s">
        <v>84</v>
      </c>
      <c r="M1270" s="80" t="s">
        <v>84</v>
      </c>
      <c r="N1270" s="80" t="s">
        <v>84</v>
      </c>
      <c r="O1270" s="80" t="s">
        <v>84</v>
      </c>
      <c r="P1270" s="80"/>
      <c r="Q1270" s="80" t="s">
        <v>84</v>
      </c>
      <c r="R1270" s="80" t="s">
        <v>84</v>
      </c>
    </row>
    <row r="1271" spans="1:18" ht="20" x14ac:dyDescent="0.2">
      <c r="A1271" s="80" t="s">
        <v>10136</v>
      </c>
      <c r="B1271" s="80" t="s">
        <v>10137</v>
      </c>
      <c r="C1271" s="80" t="s">
        <v>9680</v>
      </c>
      <c r="D1271" s="80" t="s">
        <v>84</v>
      </c>
      <c r="E1271" s="80" t="s">
        <v>84</v>
      </c>
      <c r="F1271" s="80"/>
      <c r="G1271" s="80" t="s">
        <v>84</v>
      </c>
      <c r="H1271" s="80" t="s">
        <v>84</v>
      </c>
      <c r="I1271" s="80" t="s">
        <v>84</v>
      </c>
      <c r="J1271" s="80" t="s">
        <v>84</v>
      </c>
      <c r="K1271" s="80" t="s">
        <v>84</v>
      </c>
      <c r="L1271" s="80" t="s">
        <v>84</v>
      </c>
      <c r="M1271" s="80" t="s">
        <v>84</v>
      </c>
      <c r="N1271" s="80" t="s">
        <v>84</v>
      </c>
      <c r="O1271" s="80" t="s">
        <v>84</v>
      </c>
      <c r="P1271" s="80"/>
      <c r="Q1271" s="80" t="s">
        <v>84</v>
      </c>
      <c r="R1271" s="80" t="s">
        <v>84</v>
      </c>
    </row>
    <row r="1272" spans="1:18" ht="20" x14ac:dyDescent="0.2">
      <c r="A1272" s="80" t="s">
        <v>4486</v>
      </c>
      <c r="B1272" s="80" t="s">
        <v>4487</v>
      </c>
      <c r="C1272" s="80" t="s">
        <v>9680</v>
      </c>
      <c r="D1272" s="80" t="s">
        <v>9680</v>
      </c>
      <c r="E1272" s="80" t="s">
        <v>9680</v>
      </c>
      <c r="F1272" s="80"/>
      <c r="G1272" s="80" t="s">
        <v>9680</v>
      </c>
      <c r="H1272" s="80" t="s">
        <v>9680</v>
      </c>
      <c r="I1272" s="80" t="s">
        <v>9680</v>
      </c>
      <c r="J1272" s="80" t="s">
        <v>9680</v>
      </c>
      <c r="K1272" s="80" t="s">
        <v>9680</v>
      </c>
      <c r="L1272" s="80" t="s">
        <v>9680</v>
      </c>
      <c r="M1272" s="80" t="s">
        <v>9680</v>
      </c>
      <c r="N1272" s="80" t="s">
        <v>9680</v>
      </c>
      <c r="O1272" s="80" t="s">
        <v>9680</v>
      </c>
      <c r="P1272" s="80"/>
      <c r="Q1272" s="80" t="s">
        <v>9680</v>
      </c>
      <c r="R1272" s="80" t="s">
        <v>9680</v>
      </c>
    </row>
    <row r="1273" spans="1:18" ht="20" x14ac:dyDescent="0.2">
      <c r="A1273" s="80" t="s">
        <v>4488</v>
      </c>
      <c r="B1273" s="80" t="s">
        <v>4489</v>
      </c>
      <c r="C1273" s="80" t="s">
        <v>84</v>
      </c>
      <c r="D1273" s="80" t="s">
        <v>84</v>
      </c>
      <c r="E1273" s="80" t="s">
        <v>84</v>
      </c>
      <c r="F1273" s="80"/>
      <c r="G1273" s="80" t="s">
        <v>84</v>
      </c>
      <c r="H1273" s="80" t="s">
        <v>84</v>
      </c>
      <c r="I1273" s="80" t="s">
        <v>84</v>
      </c>
      <c r="J1273" s="80" t="s">
        <v>84</v>
      </c>
      <c r="K1273" s="80" t="s">
        <v>84</v>
      </c>
      <c r="L1273" s="80" t="s">
        <v>84</v>
      </c>
      <c r="M1273" s="80" t="s">
        <v>84</v>
      </c>
      <c r="N1273" s="80" t="s">
        <v>84</v>
      </c>
      <c r="O1273" s="80" t="s">
        <v>84</v>
      </c>
      <c r="P1273" s="80"/>
      <c r="Q1273" s="80" t="s">
        <v>84</v>
      </c>
      <c r="R1273" s="80" t="s">
        <v>84</v>
      </c>
    </row>
    <row r="1274" spans="1:18" ht="20" x14ac:dyDescent="0.2">
      <c r="A1274" s="80" t="s">
        <v>4490</v>
      </c>
      <c r="B1274" s="80" t="s">
        <v>4491</v>
      </c>
      <c r="C1274" s="80" t="s">
        <v>9722</v>
      </c>
      <c r="D1274" s="80" t="s">
        <v>9722</v>
      </c>
      <c r="E1274" s="80" t="s">
        <v>9722</v>
      </c>
      <c r="F1274" s="80"/>
      <c r="G1274" s="80" t="s">
        <v>9722</v>
      </c>
      <c r="H1274" s="80" t="s">
        <v>9722</v>
      </c>
      <c r="I1274" s="80" t="s">
        <v>9722</v>
      </c>
      <c r="J1274" s="80" t="s">
        <v>9722</v>
      </c>
      <c r="K1274" s="80" t="s">
        <v>9722</v>
      </c>
      <c r="L1274" s="80" t="s">
        <v>9722</v>
      </c>
      <c r="M1274" s="80" t="s">
        <v>9722</v>
      </c>
      <c r="N1274" s="80" t="s">
        <v>9722</v>
      </c>
      <c r="O1274" s="80" t="s">
        <v>9722</v>
      </c>
      <c r="P1274" s="80"/>
      <c r="Q1274" s="80" t="s">
        <v>9722</v>
      </c>
      <c r="R1274" s="80" t="s">
        <v>9722</v>
      </c>
    </row>
    <row r="1275" spans="1:18" ht="20" x14ac:dyDescent="0.2">
      <c r="A1275" s="80" t="s">
        <v>4492</v>
      </c>
      <c r="B1275" s="80" t="s">
        <v>10138</v>
      </c>
      <c r="C1275" s="80" t="s">
        <v>9680</v>
      </c>
      <c r="D1275" s="80" t="s">
        <v>9680</v>
      </c>
      <c r="E1275" s="80" t="s">
        <v>84</v>
      </c>
      <c r="F1275" s="80"/>
      <c r="G1275" s="80" t="s">
        <v>9680</v>
      </c>
      <c r="H1275" s="80" t="s">
        <v>84</v>
      </c>
      <c r="I1275" s="80" t="s">
        <v>9680</v>
      </c>
      <c r="J1275" s="80" t="s">
        <v>9680</v>
      </c>
      <c r="K1275" s="80" t="s">
        <v>9680</v>
      </c>
      <c r="L1275" s="80" t="s">
        <v>9680</v>
      </c>
      <c r="M1275" s="80" t="s">
        <v>9680</v>
      </c>
      <c r="N1275" s="80" t="s">
        <v>84</v>
      </c>
      <c r="O1275" s="80" t="s">
        <v>9680</v>
      </c>
      <c r="P1275" s="80"/>
      <c r="Q1275" s="80" t="s">
        <v>9680</v>
      </c>
      <c r="R1275" s="80" t="s">
        <v>9680</v>
      </c>
    </row>
    <row r="1276" spans="1:18" ht="20" x14ac:dyDescent="0.2">
      <c r="A1276" s="80" t="s">
        <v>4492</v>
      </c>
      <c r="B1276" s="80" t="s">
        <v>4493</v>
      </c>
      <c r="C1276" s="80" t="s">
        <v>9680</v>
      </c>
      <c r="D1276" s="80" t="s">
        <v>9680</v>
      </c>
      <c r="E1276" s="80" t="s">
        <v>84</v>
      </c>
      <c r="F1276" s="80"/>
      <c r="G1276" s="80" t="s">
        <v>9680</v>
      </c>
      <c r="H1276" s="80" t="s">
        <v>84</v>
      </c>
      <c r="I1276" s="80" t="s">
        <v>9680</v>
      </c>
      <c r="J1276" s="80" t="s">
        <v>9680</v>
      </c>
      <c r="K1276" s="80" t="s">
        <v>9680</v>
      </c>
      <c r="L1276" s="80" t="s">
        <v>9680</v>
      </c>
      <c r="M1276" s="80" t="s">
        <v>9680</v>
      </c>
      <c r="N1276" s="80" t="s">
        <v>84</v>
      </c>
      <c r="O1276" s="80" t="s">
        <v>9680</v>
      </c>
      <c r="P1276" s="80"/>
      <c r="Q1276" s="80" t="s">
        <v>9680</v>
      </c>
      <c r="R1276" s="80" t="s">
        <v>9680</v>
      </c>
    </row>
    <row r="1277" spans="1:18" ht="20" x14ac:dyDescent="0.2">
      <c r="A1277" s="80" t="s">
        <v>4496</v>
      </c>
      <c r="B1277" s="80" t="s">
        <v>10139</v>
      </c>
      <c r="C1277" s="80" t="s">
        <v>9680</v>
      </c>
      <c r="D1277" s="80" t="s">
        <v>9680</v>
      </c>
      <c r="E1277" s="80" t="s">
        <v>84</v>
      </c>
      <c r="F1277" s="80"/>
      <c r="G1277" s="80" t="s">
        <v>9680</v>
      </c>
      <c r="H1277" s="80" t="s">
        <v>84</v>
      </c>
      <c r="I1277" s="80" t="s">
        <v>9680</v>
      </c>
      <c r="J1277" s="80" t="s">
        <v>9680</v>
      </c>
      <c r="K1277" s="80" t="s">
        <v>9680</v>
      </c>
      <c r="L1277" s="80" t="s">
        <v>9680</v>
      </c>
      <c r="M1277" s="80" t="s">
        <v>9680</v>
      </c>
      <c r="N1277" s="80" t="s">
        <v>84</v>
      </c>
      <c r="O1277" s="80" t="s">
        <v>9680</v>
      </c>
      <c r="P1277" s="80"/>
      <c r="Q1277" s="80" t="s">
        <v>9680</v>
      </c>
      <c r="R1277" s="80" t="s">
        <v>9680</v>
      </c>
    </row>
    <row r="1278" spans="1:18" ht="20" x14ac:dyDescent="0.2">
      <c r="A1278" s="80" t="s">
        <v>4496</v>
      </c>
      <c r="B1278" s="80" t="s">
        <v>4497</v>
      </c>
      <c r="C1278" s="80" t="s">
        <v>9680</v>
      </c>
      <c r="D1278" s="80" t="s">
        <v>9680</v>
      </c>
      <c r="E1278" s="80" t="s">
        <v>84</v>
      </c>
      <c r="F1278" s="80"/>
      <c r="G1278" s="80" t="s">
        <v>9680</v>
      </c>
      <c r="H1278" s="80" t="s">
        <v>84</v>
      </c>
      <c r="I1278" s="80" t="s">
        <v>9680</v>
      </c>
      <c r="J1278" s="80" t="s">
        <v>9680</v>
      </c>
      <c r="K1278" s="80" t="s">
        <v>9680</v>
      </c>
      <c r="L1278" s="80" t="s">
        <v>9680</v>
      </c>
      <c r="M1278" s="80" t="s">
        <v>9680</v>
      </c>
      <c r="N1278" s="80" t="s">
        <v>84</v>
      </c>
      <c r="O1278" s="80" t="s">
        <v>9680</v>
      </c>
      <c r="P1278" s="80"/>
      <c r="Q1278" s="80" t="s">
        <v>9680</v>
      </c>
      <c r="R1278" s="80" t="s">
        <v>9680</v>
      </c>
    </row>
    <row r="1279" spans="1:18" ht="20" x14ac:dyDescent="0.2">
      <c r="A1279" s="80" t="s">
        <v>4662</v>
      </c>
      <c r="B1279" s="80" t="s">
        <v>10140</v>
      </c>
      <c r="C1279" s="80" t="s">
        <v>9680</v>
      </c>
      <c r="D1279" s="80" t="s">
        <v>84</v>
      </c>
      <c r="E1279" s="80" t="s">
        <v>84</v>
      </c>
      <c r="F1279" s="80"/>
      <c r="G1279" s="80" t="s">
        <v>84</v>
      </c>
      <c r="H1279" s="80" t="s">
        <v>84</v>
      </c>
      <c r="I1279" s="80" t="s">
        <v>84</v>
      </c>
      <c r="J1279" s="80" t="s">
        <v>9680</v>
      </c>
      <c r="K1279" s="80" t="s">
        <v>84</v>
      </c>
      <c r="L1279" s="80" t="s">
        <v>84</v>
      </c>
      <c r="M1279" s="80" t="s">
        <v>84</v>
      </c>
      <c r="N1279" s="80" t="s">
        <v>84</v>
      </c>
      <c r="O1279" s="80" t="s">
        <v>84</v>
      </c>
      <c r="P1279" s="80"/>
      <c r="Q1279" s="80" t="s">
        <v>84</v>
      </c>
      <c r="R1279" s="80" t="s">
        <v>84</v>
      </c>
    </row>
    <row r="1280" spans="1:18" ht="20" x14ac:dyDescent="0.2">
      <c r="A1280" s="80" t="s">
        <v>4662</v>
      </c>
      <c r="B1280" s="80" t="s">
        <v>4663</v>
      </c>
      <c r="C1280" s="80" t="s">
        <v>9680</v>
      </c>
      <c r="D1280" s="80" t="s">
        <v>84</v>
      </c>
      <c r="E1280" s="80" t="s">
        <v>84</v>
      </c>
      <c r="F1280" s="80"/>
      <c r="G1280" s="80" t="s">
        <v>84</v>
      </c>
      <c r="H1280" s="80" t="s">
        <v>84</v>
      </c>
      <c r="I1280" s="80" t="s">
        <v>84</v>
      </c>
      <c r="J1280" s="80" t="s">
        <v>9680</v>
      </c>
      <c r="K1280" s="80" t="s">
        <v>84</v>
      </c>
      <c r="L1280" s="80" t="s">
        <v>84</v>
      </c>
      <c r="M1280" s="80" t="s">
        <v>84</v>
      </c>
      <c r="N1280" s="80" t="s">
        <v>84</v>
      </c>
      <c r="O1280" s="80" t="s">
        <v>84</v>
      </c>
      <c r="P1280" s="80"/>
      <c r="Q1280" s="80" t="s">
        <v>84</v>
      </c>
      <c r="R1280" s="80" t="s">
        <v>84</v>
      </c>
    </row>
    <row r="1281" spans="1:18" ht="20" x14ac:dyDescent="0.2">
      <c r="A1281" s="80" t="s">
        <v>4498</v>
      </c>
      <c r="B1281" s="80" t="s">
        <v>4499</v>
      </c>
      <c r="C1281" s="80" t="s">
        <v>9680</v>
      </c>
      <c r="D1281" s="80" t="s">
        <v>9680</v>
      </c>
      <c r="E1281" s="80" t="s">
        <v>84</v>
      </c>
      <c r="F1281" s="80"/>
      <c r="G1281" s="80" t="s">
        <v>9680</v>
      </c>
      <c r="H1281" s="80" t="s">
        <v>84</v>
      </c>
      <c r="I1281" s="80" t="s">
        <v>9680</v>
      </c>
      <c r="J1281" s="80" t="s">
        <v>84</v>
      </c>
      <c r="K1281" s="80" t="s">
        <v>9680</v>
      </c>
      <c r="L1281" s="80" t="s">
        <v>9680</v>
      </c>
      <c r="M1281" s="80" t="s">
        <v>9680</v>
      </c>
      <c r="N1281" s="80" t="s">
        <v>84</v>
      </c>
      <c r="O1281" s="80" t="s">
        <v>9680</v>
      </c>
      <c r="P1281" s="80"/>
      <c r="Q1281" s="80" t="s">
        <v>9680</v>
      </c>
      <c r="R1281" s="80" t="s">
        <v>9680</v>
      </c>
    </row>
    <row r="1282" spans="1:18" ht="20" x14ac:dyDescent="0.2">
      <c r="A1282" s="80" t="s">
        <v>4500</v>
      </c>
      <c r="B1282" s="80" t="s">
        <v>4501</v>
      </c>
      <c r="C1282" s="80" t="s">
        <v>9680</v>
      </c>
      <c r="D1282" s="80" t="s">
        <v>9680</v>
      </c>
      <c r="E1282" s="80" t="s">
        <v>84</v>
      </c>
      <c r="F1282" s="80"/>
      <c r="G1282" s="80" t="s">
        <v>9680</v>
      </c>
      <c r="H1282" s="80" t="s">
        <v>84</v>
      </c>
      <c r="I1282" s="80" t="s">
        <v>9680</v>
      </c>
      <c r="J1282" s="80" t="s">
        <v>84</v>
      </c>
      <c r="K1282" s="80" t="s">
        <v>9680</v>
      </c>
      <c r="L1282" s="80" t="s">
        <v>9680</v>
      </c>
      <c r="M1282" s="80" t="s">
        <v>9680</v>
      </c>
      <c r="N1282" s="80" t="s">
        <v>84</v>
      </c>
      <c r="O1282" s="80" t="s">
        <v>9680</v>
      </c>
      <c r="P1282" s="80"/>
      <c r="Q1282" s="80" t="s">
        <v>9680</v>
      </c>
      <c r="R1282" s="80" t="s">
        <v>9680</v>
      </c>
    </row>
    <row r="1283" spans="1:18" ht="20" x14ac:dyDescent="0.2">
      <c r="A1283" s="80" t="s">
        <v>4502</v>
      </c>
      <c r="B1283" s="80" t="s">
        <v>4503</v>
      </c>
      <c r="C1283" s="80" t="s">
        <v>9680</v>
      </c>
      <c r="D1283" s="80" t="s">
        <v>9680</v>
      </c>
      <c r="E1283" s="80" t="s">
        <v>84</v>
      </c>
      <c r="F1283" s="80"/>
      <c r="G1283" s="80" t="s">
        <v>9680</v>
      </c>
      <c r="H1283" s="80" t="s">
        <v>84</v>
      </c>
      <c r="I1283" s="80" t="s">
        <v>9680</v>
      </c>
      <c r="J1283" s="80" t="s">
        <v>84</v>
      </c>
      <c r="K1283" s="80" t="s">
        <v>9680</v>
      </c>
      <c r="L1283" s="80" t="s">
        <v>9680</v>
      </c>
      <c r="M1283" s="80" t="s">
        <v>9680</v>
      </c>
      <c r="N1283" s="80" t="s">
        <v>84</v>
      </c>
      <c r="O1283" s="80" t="s">
        <v>9680</v>
      </c>
      <c r="P1283" s="80"/>
      <c r="Q1283" s="80" t="s">
        <v>9680</v>
      </c>
      <c r="R1283" s="80" t="s">
        <v>9680</v>
      </c>
    </row>
    <row r="1284" spans="1:18" ht="20" x14ac:dyDescent="0.2">
      <c r="A1284" s="80" t="s">
        <v>4504</v>
      </c>
      <c r="B1284" s="80" t="s">
        <v>4505</v>
      </c>
      <c r="C1284" s="80" t="s">
        <v>9680</v>
      </c>
      <c r="D1284" s="80" t="s">
        <v>9680</v>
      </c>
      <c r="E1284" s="80" t="s">
        <v>84</v>
      </c>
      <c r="F1284" s="80"/>
      <c r="G1284" s="80" t="s">
        <v>84</v>
      </c>
      <c r="H1284" s="80" t="s">
        <v>9680</v>
      </c>
      <c r="I1284" s="80" t="s">
        <v>9680</v>
      </c>
      <c r="J1284" s="80" t="s">
        <v>84</v>
      </c>
      <c r="K1284" s="80" t="s">
        <v>9680</v>
      </c>
      <c r="L1284" s="80" t="s">
        <v>9680</v>
      </c>
      <c r="M1284" s="80" t="s">
        <v>9680</v>
      </c>
      <c r="N1284" s="80" t="s">
        <v>84</v>
      </c>
      <c r="O1284" s="80" t="s">
        <v>9680</v>
      </c>
      <c r="P1284" s="80"/>
      <c r="Q1284" s="80" t="s">
        <v>9680</v>
      </c>
      <c r="R1284" s="80" t="s">
        <v>9680</v>
      </c>
    </row>
    <row r="1285" spans="1:18" ht="20" x14ac:dyDescent="0.2">
      <c r="A1285" s="80" t="s">
        <v>4506</v>
      </c>
      <c r="B1285" s="80" t="s">
        <v>4507</v>
      </c>
      <c r="C1285" s="80" t="s">
        <v>9680</v>
      </c>
      <c r="D1285" s="80" t="s">
        <v>9680</v>
      </c>
      <c r="E1285" s="80" t="s">
        <v>84</v>
      </c>
      <c r="F1285" s="80"/>
      <c r="G1285" s="80" t="s">
        <v>84</v>
      </c>
      <c r="H1285" s="80" t="s">
        <v>9680</v>
      </c>
      <c r="I1285" s="80" t="s">
        <v>9680</v>
      </c>
      <c r="J1285" s="80" t="s">
        <v>84</v>
      </c>
      <c r="K1285" s="80" t="s">
        <v>9680</v>
      </c>
      <c r="L1285" s="80" t="s">
        <v>9680</v>
      </c>
      <c r="M1285" s="80" t="s">
        <v>9680</v>
      </c>
      <c r="N1285" s="80" t="s">
        <v>84</v>
      </c>
      <c r="O1285" s="80" t="s">
        <v>9680</v>
      </c>
      <c r="P1285" s="80"/>
      <c r="Q1285" s="80" t="s">
        <v>9680</v>
      </c>
      <c r="R1285" s="80" t="s">
        <v>9680</v>
      </c>
    </row>
    <row r="1286" spans="1:18" ht="20" x14ac:dyDescent="0.2">
      <c r="A1286" s="80" t="s">
        <v>4522</v>
      </c>
      <c r="B1286" s="80" t="s">
        <v>4523</v>
      </c>
      <c r="C1286" s="80" t="s">
        <v>9680</v>
      </c>
      <c r="D1286" s="80" t="s">
        <v>9680</v>
      </c>
      <c r="E1286" s="80" t="s">
        <v>9680</v>
      </c>
      <c r="F1286" s="80"/>
      <c r="G1286" s="80" t="s">
        <v>9680</v>
      </c>
      <c r="H1286" s="80" t="s">
        <v>9680</v>
      </c>
      <c r="I1286" s="80" t="s">
        <v>9680</v>
      </c>
      <c r="J1286" s="80" t="s">
        <v>84</v>
      </c>
      <c r="K1286" s="80" t="s">
        <v>9680</v>
      </c>
      <c r="L1286" s="80" t="s">
        <v>9680</v>
      </c>
      <c r="M1286" s="80" t="s">
        <v>9680</v>
      </c>
      <c r="N1286" s="80" t="s">
        <v>9680</v>
      </c>
      <c r="O1286" s="80" t="s">
        <v>9680</v>
      </c>
      <c r="P1286" s="80"/>
      <c r="Q1286" s="80" t="s">
        <v>9680</v>
      </c>
      <c r="R1286" s="80" t="s">
        <v>9680</v>
      </c>
    </row>
    <row r="1287" spans="1:18" ht="20" x14ac:dyDescent="0.2">
      <c r="A1287" s="80" t="s">
        <v>4532</v>
      </c>
      <c r="B1287" s="80" t="s">
        <v>4533</v>
      </c>
      <c r="C1287" s="80" t="s">
        <v>9680</v>
      </c>
      <c r="D1287" s="80" t="s">
        <v>9680</v>
      </c>
      <c r="E1287" s="80" t="s">
        <v>84</v>
      </c>
      <c r="F1287" s="80"/>
      <c r="G1287" s="80" t="s">
        <v>9680</v>
      </c>
      <c r="H1287" s="80" t="s">
        <v>9680</v>
      </c>
      <c r="I1287" s="80" t="s">
        <v>9680</v>
      </c>
      <c r="J1287" s="80" t="s">
        <v>84</v>
      </c>
      <c r="K1287" s="80" t="s">
        <v>9680</v>
      </c>
      <c r="L1287" s="80" t="s">
        <v>9680</v>
      </c>
      <c r="M1287" s="80" t="s">
        <v>9680</v>
      </c>
      <c r="N1287" s="80" t="s">
        <v>84</v>
      </c>
      <c r="O1287" s="80" t="s">
        <v>9680</v>
      </c>
      <c r="P1287" s="80"/>
      <c r="Q1287" s="80" t="s">
        <v>9680</v>
      </c>
      <c r="R1287" s="80" t="s">
        <v>9680</v>
      </c>
    </row>
    <row r="1288" spans="1:18" ht="20" x14ac:dyDescent="0.2">
      <c r="A1288" s="80" t="s">
        <v>4640</v>
      </c>
      <c r="B1288" s="80" t="s">
        <v>10141</v>
      </c>
      <c r="C1288" s="80" t="s">
        <v>9680</v>
      </c>
      <c r="D1288" s="80" t="s">
        <v>84</v>
      </c>
      <c r="E1288" s="80" t="s">
        <v>84</v>
      </c>
      <c r="F1288" s="80"/>
      <c r="G1288" s="80" t="s">
        <v>84</v>
      </c>
      <c r="H1288" s="80" t="s">
        <v>84</v>
      </c>
      <c r="I1288" s="80" t="s">
        <v>84</v>
      </c>
      <c r="J1288" s="80" t="s">
        <v>84</v>
      </c>
      <c r="K1288" s="80" t="s">
        <v>84</v>
      </c>
      <c r="L1288" s="80" t="s">
        <v>84</v>
      </c>
      <c r="M1288" s="80" t="s">
        <v>84</v>
      </c>
      <c r="N1288" s="80" t="s">
        <v>84</v>
      </c>
      <c r="O1288" s="80" t="s">
        <v>84</v>
      </c>
      <c r="P1288" s="80"/>
      <c r="Q1288" s="80" t="s">
        <v>84</v>
      </c>
      <c r="R1288" s="80" t="s">
        <v>84</v>
      </c>
    </row>
    <row r="1289" spans="1:18" ht="20" x14ac:dyDescent="0.2">
      <c r="A1289" s="80" t="s">
        <v>4640</v>
      </c>
      <c r="B1289" s="80" t="s">
        <v>10142</v>
      </c>
      <c r="C1289" s="80" t="s">
        <v>9680</v>
      </c>
      <c r="D1289" s="80" t="s">
        <v>84</v>
      </c>
      <c r="E1289" s="80" t="s">
        <v>84</v>
      </c>
      <c r="F1289" s="80"/>
      <c r="G1289" s="80" t="s">
        <v>84</v>
      </c>
      <c r="H1289" s="80" t="s">
        <v>84</v>
      </c>
      <c r="I1289" s="80" t="s">
        <v>84</v>
      </c>
      <c r="J1289" s="80" t="s">
        <v>84</v>
      </c>
      <c r="K1289" s="80" t="s">
        <v>84</v>
      </c>
      <c r="L1289" s="80" t="s">
        <v>84</v>
      </c>
      <c r="M1289" s="80" t="s">
        <v>84</v>
      </c>
      <c r="N1289" s="80" t="s">
        <v>84</v>
      </c>
      <c r="O1289" s="80" t="s">
        <v>84</v>
      </c>
      <c r="P1289" s="80"/>
      <c r="Q1289" s="80" t="s">
        <v>84</v>
      </c>
      <c r="R1289" s="80" t="s">
        <v>84</v>
      </c>
    </row>
    <row r="1290" spans="1:18" ht="20" x14ac:dyDescent="0.2">
      <c r="A1290" s="80" t="s">
        <v>4640</v>
      </c>
      <c r="B1290" s="80" t="s">
        <v>4641</v>
      </c>
      <c r="C1290" s="80" t="s">
        <v>9680</v>
      </c>
      <c r="D1290" s="80" t="s">
        <v>84</v>
      </c>
      <c r="E1290" s="80" t="s">
        <v>84</v>
      </c>
      <c r="F1290" s="80"/>
      <c r="G1290" s="80" t="s">
        <v>84</v>
      </c>
      <c r="H1290" s="80" t="s">
        <v>84</v>
      </c>
      <c r="I1290" s="80" t="s">
        <v>84</v>
      </c>
      <c r="J1290" s="80" t="s">
        <v>84</v>
      </c>
      <c r="K1290" s="80" t="s">
        <v>84</v>
      </c>
      <c r="L1290" s="80" t="s">
        <v>84</v>
      </c>
      <c r="M1290" s="80" t="s">
        <v>84</v>
      </c>
      <c r="N1290" s="80" t="s">
        <v>84</v>
      </c>
      <c r="O1290" s="80" t="s">
        <v>84</v>
      </c>
      <c r="P1290" s="80"/>
      <c r="Q1290" s="80" t="s">
        <v>84</v>
      </c>
      <c r="R1290" s="80" t="s">
        <v>84</v>
      </c>
    </row>
    <row r="1291" spans="1:18" ht="20" x14ac:dyDescent="0.2">
      <c r="A1291" s="80" t="s">
        <v>10143</v>
      </c>
      <c r="B1291" s="80" t="s">
        <v>10144</v>
      </c>
      <c r="C1291" s="80" t="s">
        <v>9680</v>
      </c>
      <c r="D1291" s="80" t="s">
        <v>84</v>
      </c>
      <c r="E1291" s="80" t="s">
        <v>84</v>
      </c>
      <c r="F1291" s="80"/>
      <c r="G1291" s="80" t="s">
        <v>84</v>
      </c>
      <c r="H1291" s="80" t="s">
        <v>84</v>
      </c>
      <c r="I1291" s="80" t="s">
        <v>84</v>
      </c>
      <c r="J1291" s="80" t="s">
        <v>84</v>
      </c>
      <c r="K1291" s="80" t="s">
        <v>84</v>
      </c>
      <c r="L1291" s="80" t="s">
        <v>84</v>
      </c>
      <c r="M1291" s="80" t="s">
        <v>84</v>
      </c>
      <c r="N1291" s="80" t="s">
        <v>84</v>
      </c>
      <c r="O1291" s="80" t="s">
        <v>84</v>
      </c>
      <c r="P1291" s="80"/>
      <c r="Q1291" s="80" t="s">
        <v>84</v>
      </c>
      <c r="R1291" s="80" t="s">
        <v>84</v>
      </c>
    </row>
    <row r="1292" spans="1:18" ht="20" x14ac:dyDescent="0.2">
      <c r="A1292" s="80" t="s">
        <v>4534</v>
      </c>
      <c r="B1292" s="80" t="s">
        <v>4535</v>
      </c>
      <c r="C1292" s="80" t="s">
        <v>9680</v>
      </c>
      <c r="D1292" s="80" t="s">
        <v>84</v>
      </c>
      <c r="E1292" s="80" t="s">
        <v>84</v>
      </c>
      <c r="F1292" s="80"/>
      <c r="G1292" s="80" t="s">
        <v>84</v>
      </c>
      <c r="H1292" s="80" t="s">
        <v>84</v>
      </c>
      <c r="I1292" s="80" t="s">
        <v>84</v>
      </c>
      <c r="J1292" s="80" t="s">
        <v>84</v>
      </c>
      <c r="K1292" s="80" t="s">
        <v>84</v>
      </c>
      <c r="L1292" s="80" t="s">
        <v>84</v>
      </c>
      <c r="M1292" s="80" t="s">
        <v>84</v>
      </c>
      <c r="N1292" s="80" t="s">
        <v>84</v>
      </c>
      <c r="O1292" s="80" t="s">
        <v>84</v>
      </c>
      <c r="P1292" s="80"/>
      <c r="Q1292" s="80" t="s">
        <v>84</v>
      </c>
      <c r="R1292" s="80" t="s">
        <v>84</v>
      </c>
    </row>
    <row r="1293" spans="1:18" ht="20" x14ac:dyDescent="0.2">
      <c r="A1293" s="80" t="s">
        <v>4536</v>
      </c>
      <c r="B1293" s="80" t="s">
        <v>4537</v>
      </c>
      <c r="C1293" s="80" t="s">
        <v>9680</v>
      </c>
      <c r="D1293" s="80" t="s">
        <v>84</v>
      </c>
      <c r="E1293" s="80" t="s">
        <v>84</v>
      </c>
      <c r="F1293" s="80"/>
      <c r="G1293" s="80" t="s">
        <v>84</v>
      </c>
      <c r="H1293" s="80" t="s">
        <v>84</v>
      </c>
      <c r="I1293" s="80" t="s">
        <v>84</v>
      </c>
      <c r="J1293" s="80" t="s">
        <v>84</v>
      </c>
      <c r="K1293" s="80" t="s">
        <v>84</v>
      </c>
      <c r="L1293" s="80" t="s">
        <v>84</v>
      </c>
      <c r="M1293" s="80" t="s">
        <v>84</v>
      </c>
      <c r="N1293" s="80" t="s">
        <v>84</v>
      </c>
      <c r="O1293" s="80" t="s">
        <v>84</v>
      </c>
      <c r="P1293" s="80"/>
      <c r="Q1293" s="80" t="s">
        <v>84</v>
      </c>
      <c r="R1293" s="80" t="s">
        <v>84</v>
      </c>
    </row>
    <row r="1294" spans="1:18" ht="20" x14ac:dyDescent="0.2">
      <c r="A1294" s="80" t="s">
        <v>4649</v>
      </c>
      <c r="B1294" s="80" t="s">
        <v>4650</v>
      </c>
      <c r="C1294" s="80" t="s">
        <v>9722</v>
      </c>
      <c r="D1294" s="80" t="s">
        <v>84</v>
      </c>
      <c r="E1294" s="80" t="s">
        <v>84</v>
      </c>
      <c r="F1294" s="80"/>
      <c r="G1294" s="80" t="s">
        <v>84</v>
      </c>
      <c r="H1294" s="80" t="s">
        <v>84</v>
      </c>
      <c r="I1294" s="80" t="s">
        <v>84</v>
      </c>
      <c r="J1294" s="80" t="s">
        <v>84</v>
      </c>
      <c r="K1294" s="80" t="s">
        <v>84</v>
      </c>
      <c r="L1294" s="80" t="s">
        <v>84</v>
      </c>
      <c r="M1294" s="80" t="s">
        <v>84</v>
      </c>
      <c r="N1294" s="80" t="s">
        <v>84</v>
      </c>
      <c r="O1294" s="80" t="s">
        <v>84</v>
      </c>
      <c r="P1294" s="80"/>
      <c r="Q1294" s="80" t="s">
        <v>84</v>
      </c>
      <c r="R1294" s="80" t="s">
        <v>84</v>
      </c>
    </row>
    <row r="1295" spans="1:18" ht="20" x14ac:dyDescent="0.2">
      <c r="A1295" s="80" t="s">
        <v>4404</v>
      </c>
      <c r="B1295" s="80" t="s">
        <v>4405</v>
      </c>
      <c r="C1295" s="80" t="s">
        <v>9722</v>
      </c>
      <c r="D1295" s="80" t="s">
        <v>84</v>
      </c>
      <c r="E1295" s="80" t="s">
        <v>84</v>
      </c>
      <c r="F1295" s="80"/>
      <c r="G1295" s="80" t="s">
        <v>84</v>
      </c>
      <c r="H1295" s="80" t="s">
        <v>84</v>
      </c>
      <c r="I1295" s="80" t="s">
        <v>84</v>
      </c>
      <c r="J1295" s="80" t="s">
        <v>84</v>
      </c>
      <c r="K1295" s="80" t="s">
        <v>84</v>
      </c>
      <c r="L1295" s="80" t="s">
        <v>84</v>
      </c>
      <c r="M1295" s="80" t="s">
        <v>84</v>
      </c>
      <c r="N1295" s="80" t="s">
        <v>84</v>
      </c>
      <c r="O1295" s="80" t="s">
        <v>84</v>
      </c>
      <c r="P1295" s="80"/>
      <c r="Q1295" s="80" t="s">
        <v>84</v>
      </c>
      <c r="R1295" s="80" t="s">
        <v>84</v>
      </c>
    </row>
    <row r="1296" spans="1:18" ht="20" x14ac:dyDescent="0.2">
      <c r="A1296" s="80" t="s">
        <v>4404</v>
      </c>
      <c r="B1296" s="80" t="s">
        <v>4651</v>
      </c>
      <c r="C1296" s="80" t="s">
        <v>9722</v>
      </c>
      <c r="D1296" s="80" t="s">
        <v>84</v>
      </c>
      <c r="E1296" s="80" t="s">
        <v>84</v>
      </c>
      <c r="F1296" s="80"/>
      <c r="G1296" s="80" t="s">
        <v>84</v>
      </c>
      <c r="H1296" s="80" t="s">
        <v>84</v>
      </c>
      <c r="I1296" s="80" t="s">
        <v>84</v>
      </c>
      <c r="J1296" s="80" t="s">
        <v>84</v>
      </c>
      <c r="K1296" s="80" t="s">
        <v>84</v>
      </c>
      <c r="L1296" s="80" t="s">
        <v>84</v>
      </c>
      <c r="M1296" s="80" t="s">
        <v>84</v>
      </c>
      <c r="N1296" s="80" t="s">
        <v>84</v>
      </c>
      <c r="O1296" s="80" t="s">
        <v>84</v>
      </c>
      <c r="P1296" s="80"/>
      <c r="Q1296" s="80" t="s">
        <v>84</v>
      </c>
      <c r="R1296" s="80" t="s">
        <v>84</v>
      </c>
    </row>
    <row r="1297" spans="1:18" ht="20" x14ac:dyDescent="0.2">
      <c r="A1297" s="80" t="s">
        <v>4652</v>
      </c>
      <c r="B1297" s="80" t="s">
        <v>4653</v>
      </c>
      <c r="C1297" s="80" t="s">
        <v>9680</v>
      </c>
      <c r="D1297" s="80" t="s">
        <v>84</v>
      </c>
      <c r="E1297" s="80" t="s">
        <v>84</v>
      </c>
      <c r="F1297" s="80"/>
      <c r="G1297" s="80" t="s">
        <v>84</v>
      </c>
      <c r="H1297" s="80" t="s">
        <v>84</v>
      </c>
      <c r="I1297" s="80" t="s">
        <v>84</v>
      </c>
      <c r="J1297" s="80" t="s">
        <v>84</v>
      </c>
      <c r="K1297" s="80" t="s">
        <v>84</v>
      </c>
      <c r="L1297" s="80" t="s">
        <v>84</v>
      </c>
      <c r="M1297" s="80" t="s">
        <v>84</v>
      </c>
      <c r="N1297" s="80" t="s">
        <v>84</v>
      </c>
      <c r="O1297" s="80" t="s">
        <v>84</v>
      </c>
      <c r="P1297" s="80"/>
      <c r="Q1297" s="80" t="s">
        <v>84</v>
      </c>
      <c r="R1297" s="80" t="s">
        <v>84</v>
      </c>
    </row>
    <row r="1298" spans="1:18" ht="20" x14ac:dyDescent="0.2">
      <c r="A1298" s="80" t="s">
        <v>10145</v>
      </c>
      <c r="B1298" s="80" t="s">
        <v>10146</v>
      </c>
      <c r="C1298" s="80" t="s">
        <v>9722</v>
      </c>
      <c r="D1298" s="80" t="s">
        <v>84</v>
      </c>
      <c r="E1298" s="80" t="s">
        <v>84</v>
      </c>
      <c r="F1298" s="80"/>
      <c r="G1298" s="80" t="s">
        <v>84</v>
      </c>
      <c r="H1298" s="80" t="s">
        <v>84</v>
      </c>
      <c r="I1298" s="80" t="s">
        <v>84</v>
      </c>
      <c r="J1298" s="80" t="s">
        <v>84</v>
      </c>
      <c r="K1298" s="80" t="s">
        <v>84</v>
      </c>
      <c r="L1298" s="80" t="s">
        <v>84</v>
      </c>
      <c r="M1298" s="80" t="s">
        <v>84</v>
      </c>
      <c r="N1298" s="80" t="s">
        <v>84</v>
      </c>
      <c r="O1298" s="80" t="s">
        <v>84</v>
      </c>
      <c r="P1298" s="80"/>
      <c r="Q1298" s="80" t="s">
        <v>84</v>
      </c>
      <c r="R1298" s="80" t="s">
        <v>84</v>
      </c>
    </row>
    <row r="1299" spans="1:18" ht="20" x14ac:dyDescent="0.2">
      <c r="A1299" s="80" t="s">
        <v>4540</v>
      </c>
      <c r="B1299" s="80" t="s">
        <v>4541</v>
      </c>
      <c r="C1299" s="80" t="s">
        <v>9680</v>
      </c>
      <c r="D1299" s="80" t="s">
        <v>84</v>
      </c>
      <c r="E1299" s="80" t="s">
        <v>84</v>
      </c>
      <c r="F1299" s="80"/>
      <c r="G1299" s="80" t="s">
        <v>84</v>
      </c>
      <c r="H1299" s="80" t="s">
        <v>84</v>
      </c>
      <c r="I1299" s="80" t="s">
        <v>84</v>
      </c>
      <c r="J1299" s="80" t="s">
        <v>84</v>
      </c>
      <c r="K1299" s="80" t="s">
        <v>84</v>
      </c>
      <c r="L1299" s="80" t="s">
        <v>84</v>
      </c>
      <c r="M1299" s="80" t="s">
        <v>84</v>
      </c>
      <c r="N1299" s="80" t="s">
        <v>84</v>
      </c>
      <c r="O1299" s="80" t="s">
        <v>84</v>
      </c>
      <c r="P1299" s="80"/>
      <c r="Q1299" s="80" t="s">
        <v>84</v>
      </c>
      <c r="R1299" s="80" t="s">
        <v>84</v>
      </c>
    </row>
    <row r="1300" spans="1:18" ht="20" x14ac:dyDescent="0.2">
      <c r="A1300" s="80" t="s">
        <v>4642</v>
      </c>
      <c r="B1300" s="80" t="s">
        <v>4643</v>
      </c>
      <c r="C1300" s="80" t="s">
        <v>9680</v>
      </c>
      <c r="D1300" s="80" t="s">
        <v>84</v>
      </c>
      <c r="E1300" s="80" t="s">
        <v>84</v>
      </c>
      <c r="F1300" s="80"/>
      <c r="G1300" s="80" t="s">
        <v>84</v>
      </c>
      <c r="H1300" s="80" t="s">
        <v>84</v>
      </c>
      <c r="I1300" s="80" t="s">
        <v>84</v>
      </c>
      <c r="J1300" s="80" t="s">
        <v>84</v>
      </c>
      <c r="K1300" s="80" t="s">
        <v>84</v>
      </c>
      <c r="L1300" s="80" t="s">
        <v>84</v>
      </c>
      <c r="M1300" s="80" t="s">
        <v>84</v>
      </c>
      <c r="N1300" s="80" t="s">
        <v>84</v>
      </c>
      <c r="O1300" s="80" t="s">
        <v>84</v>
      </c>
      <c r="P1300" s="80"/>
      <c r="Q1300" s="80" t="s">
        <v>84</v>
      </c>
      <c r="R1300" s="80" t="s">
        <v>84</v>
      </c>
    </row>
    <row r="1301" spans="1:18" ht="20" x14ac:dyDescent="0.2">
      <c r="A1301" s="80" t="s">
        <v>4644</v>
      </c>
      <c r="B1301" s="80" t="s">
        <v>4645</v>
      </c>
      <c r="C1301" s="80" t="s">
        <v>9680</v>
      </c>
      <c r="D1301" s="80" t="s">
        <v>84</v>
      </c>
      <c r="E1301" s="80" t="s">
        <v>84</v>
      </c>
      <c r="F1301" s="80"/>
      <c r="G1301" s="80" t="s">
        <v>84</v>
      </c>
      <c r="H1301" s="80" t="s">
        <v>84</v>
      </c>
      <c r="I1301" s="80" t="s">
        <v>84</v>
      </c>
      <c r="J1301" s="80" t="s">
        <v>84</v>
      </c>
      <c r="K1301" s="80" t="s">
        <v>84</v>
      </c>
      <c r="L1301" s="80" t="s">
        <v>84</v>
      </c>
      <c r="M1301" s="80" t="s">
        <v>84</v>
      </c>
      <c r="N1301" s="80" t="s">
        <v>84</v>
      </c>
      <c r="O1301" s="80" t="s">
        <v>84</v>
      </c>
      <c r="P1301" s="80"/>
      <c r="Q1301" s="80" t="s">
        <v>84</v>
      </c>
      <c r="R1301" s="80" t="s">
        <v>84</v>
      </c>
    </row>
    <row r="1302" spans="1:18" ht="20" x14ac:dyDescent="0.2">
      <c r="A1302" s="80" t="s">
        <v>4664</v>
      </c>
      <c r="B1302" s="80" t="s">
        <v>10147</v>
      </c>
      <c r="C1302" s="80" t="s">
        <v>9680</v>
      </c>
      <c r="D1302" s="80" t="s">
        <v>84</v>
      </c>
      <c r="E1302" s="80" t="s">
        <v>84</v>
      </c>
      <c r="F1302" s="80"/>
      <c r="G1302" s="80" t="s">
        <v>9680</v>
      </c>
      <c r="H1302" s="80" t="s">
        <v>84</v>
      </c>
      <c r="I1302" s="80" t="s">
        <v>84</v>
      </c>
      <c r="J1302" s="80" t="s">
        <v>84</v>
      </c>
      <c r="K1302" s="80" t="s">
        <v>84</v>
      </c>
      <c r="L1302" s="80" t="s">
        <v>84</v>
      </c>
      <c r="M1302" s="80" t="s">
        <v>84</v>
      </c>
      <c r="N1302" s="80" t="s">
        <v>84</v>
      </c>
      <c r="O1302" s="80" t="s">
        <v>84</v>
      </c>
      <c r="P1302" s="80"/>
      <c r="Q1302" s="80" t="s">
        <v>84</v>
      </c>
      <c r="R1302" s="80" t="s">
        <v>84</v>
      </c>
    </row>
    <row r="1303" spans="1:18" ht="20" x14ac:dyDescent="0.2">
      <c r="A1303" s="80" t="s">
        <v>4664</v>
      </c>
      <c r="B1303" s="80" t="s">
        <v>4665</v>
      </c>
      <c r="C1303" s="80" t="s">
        <v>9680</v>
      </c>
      <c r="D1303" s="80" t="s">
        <v>84</v>
      </c>
      <c r="E1303" s="80" t="s">
        <v>84</v>
      </c>
      <c r="F1303" s="80"/>
      <c r="G1303" s="80" t="s">
        <v>9680</v>
      </c>
      <c r="H1303" s="80" t="s">
        <v>84</v>
      </c>
      <c r="I1303" s="80" t="s">
        <v>84</v>
      </c>
      <c r="J1303" s="80" t="s">
        <v>84</v>
      </c>
      <c r="K1303" s="80" t="s">
        <v>84</v>
      </c>
      <c r="L1303" s="80" t="s">
        <v>84</v>
      </c>
      <c r="M1303" s="80" t="s">
        <v>84</v>
      </c>
      <c r="N1303" s="80" t="s">
        <v>84</v>
      </c>
      <c r="O1303" s="80" t="s">
        <v>84</v>
      </c>
      <c r="P1303" s="80"/>
      <c r="Q1303" s="80" t="s">
        <v>84</v>
      </c>
      <c r="R1303" s="80" t="s">
        <v>84</v>
      </c>
    </row>
    <row r="1304" spans="1:18" ht="20" x14ac:dyDescent="0.2">
      <c r="A1304" s="80" t="s">
        <v>10148</v>
      </c>
      <c r="B1304" s="80" t="s">
        <v>10149</v>
      </c>
      <c r="C1304" s="80" t="s">
        <v>9722</v>
      </c>
      <c r="D1304" s="80" t="s">
        <v>84</v>
      </c>
      <c r="E1304" s="80" t="s">
        <v>84</v>
      </c>
      <c r="F1304" s="80"/>
      <c r="G1304" s="80" t="s">
        <v>84</v>
      </c>
      <c r="H1304" s="80" t="s">
        <v>84</v>
      </c>
      <c r="I1304" s="80" t="s">
        <v>84</v>
      </c>
      <c r="J1304" s="80" t="s">
        <v>9722</v>
      </c>
      <c r="K1304" s="80" t="s">
        <v>84</v>
      </c>
      <c r="L1304" s="80" t="s">
        <v>84</v>
      </c>
      <c r="M1304" s="80" t="s">
        <v>84</v>
      </c>
      <c r="N1304" s="80" t="s">
        <v>84</v>
      </c>
      <c r="O1304" s="80" t="s">
        <v>84</v>
      </c>
      <c r="P1304" s="80"/>
      <c r="Q1304" s="80" t="s">
        <v>84</v>
      </c>
      <c r="R1304" s="80" t="s">
        <v>84</v>
      </c>
    </row>
    <row r="1305" spans="1:18" ht="20" x14ac:dyDescent="0.2">
      <c r="A1305" s="80" t="s">
        <v>932</v>
      </c>
      <c r="B1305" s="80" t="s">
        <v>933</v>
      </c>
      <c r="C1305" s="80" t="s">
        <v>9722</v>
      </c>
      <c r="D1305" s="80" t="s">
        <v>84</v>
      </c>
      <c r="E1305" s="80" t="s">
        <v>84</v>
      </c>
      <c r="F1305" s="80"/>
      <c r="G1305" s="80" t="s">
        <v>84</v>
      </c>
      <c r="H1305" s="80" t="s">
        <v>84</v>
      </c>
      <c r="I1305" s="80" t="s">
        <v>84</v>
      </c>
      <c r="J1305" s="80" t="s">
        <v>9722</v>
      </c>
      <c r="K1305" s="80" t="s">
        <v>84</v>
      </c>
      <c r="L1305" s="80" t="s">
        <v>84</v>
      </c>
      <c r="M1305" s="80" t="s">
        <v>84</v>
      </c>
      <c r="N1305" s="80" t="s">
        <v>84</v>
      </c>
      <c r="O1305" s="80" t="s">
        <v>84</v>
      </c>
      <c r="P1305" s="80"/>
      <c r="Q1305" s="80" t="s">
        <v>84</v>
      </c>
      <c r="R1305" s="80" t="s">
        <v>84</v>
      </c>
    </row>
    <row r="1306" spans="1:18" ht="20" x14ac:dyDescent="0.2">
      <c r="A1306" s="80" t="s">
        <v>934</v>
      </c>
      <c r="B1306" s="80" t="s">
        <v>935</v>
      </c>
      <c r="C1306" s="80" t="s">
        <v>9722</v>
      </c>
      <c r="D1306" s="80" t="s">
        <v>84</v>
      </c>
      <c r="E1306" s="80" t="s">
        <v>84</v>
      </c>
      <c r="F1306" s="80"/>
      <c r="G1306" s="80" t="s">
        <v>84</v>
      </c>
      <c r="H1306" s="80" t="s">
        <v>84</v>
      </c>
      <c r="I1306" s="80" t="s">
        <v>84</v>
      </c>
      <c r="J1306" s="80" t="s">
        <v>9722</v>
      </c>
      <c r="K1306" s="80" t="s">
        <v>84</v>
      </c>
      <c r="L1306" s="80" t="s">
        <v>84</v>
      </c>
      <c r="M1306" s="80" t="s">
        <v>84</v>
      </c>
      <c r="N1306" s="80" t="s">
        <v>84</v>
      </c>
      <c r="O1306" s="80" t="s">
        <v>84</v>
      </c>
      <c r="P1306" s="80"/>
      <c r="Q1306" s="80" t="s">
        <v>84</v>
      </c>
      <c r="R1306" s="80" t="s">
        <v>84</v>
      </c>
    </row>
    <row r="1307" spans="1:18" ht="20" x14ac:dyDescent="0.2">
      <c r="A1307" s="80" t="s">
        <v>1888</v>
      </c>
      <c r="B1307" s="80" t="s">
        <v>10150</v>
      </c>
      <c r="C1307" s="80" t="s">
        <v>84</v>
      </c>
      <c r="D1307" s="80" t="s">
        <v>84</v>
      </c>
      <c r="E1307" s="80" t="s">
        <v>84</v>
      </c>
      <c r="F1307" s="80"/>
      <c r="G1307" s="80" t="s">
        <v>84</v>
      </c>
      <c r="H1307" s="80" t="s">
        <v>84</v>
      </c>
      <c r="I1307" s="80" t="s">
        <v>84</v>
      </c>
      <c r="J1307" s="80" t="s">
        <v>84</v>
      </c>
      <c r="K1307" s="80" t="s">
        <v>84</v>
      </c>
      <c r="L1307" s="80" t="s">
        <v>84</v>
      </c>
      <c r="M1307" s="80" t="s">
        <v>84</v>
      </c>
      <c r="N1307" s="80" t="s">
        <v>84</v>
      </c>
      <c r="O1307" s="80" t="s">
        <v>84</v>
      </c>
      <c r="P1307" s="80"/>
      <c r="Q1307" s="80" t="s">
        <v>84</v>
      </c>
      <c r="R1307" s="80" t="s">
        <v>84</v>
      </c>
    </row>
    <row r="1308" spans="1:18" ht="20" x14ac:dyDescent="0.2">
      <c r="A1308" s="80" t="s">
        <v>1888</v>
      </c>
      <c r="B1308" s="80" t="s">
        <v>1889</v>
      </c>
      <c r="C1308" s="80" t="s">
        <v>84</v>
      </c>
      <c r="D1308" s="80" t="s">
        <v>84</v>
      </c>
      <c r="E1308" s="80" t="s">
        <v>84</v>
      </c>
      <c r="F1308" s="80"/>
      <c r="G1308" s="80" t="s">
        <v>84</v>
      </c>
      <c r="H1308" s="80" t="s">
        <v>84</v>
      </c>
      <c r="I1308" s="80" t="s">
        <v>84</v>
      </c>
      <c r="J1308" s="80" t="s">
        <v>84</v>
      </c>
      <c r="K1308" s="80" t="s">
        <v>84</v>
      </c>
      <c r="L1308" s="80" t="s">
        <v>84</v>
      </c>
      <c r="M1308" s="80" t="s">
        <v>84</v>
      </c>
      <c r="N1308" s="80" t="s">
        <v>84</v>
      </c>
      <c r="O1308" s="80" t="s">
        <v>84</v>
      </c>
      <c r="P1308" s="80"/>
      <c r="Q1308" s="80" t="s">
        <v>84</v>
      </c>
      <c r="R1308" s="80" t="s">
        <v>84</v>
      </c>
    </row>
    <row r="1309" spans="1:18" ht="20" x14ac:dyDescent="0.2">
      <c r="A1309" s="80" t="s">
        <v>1890</v>
      </c>
      <c r="B1309" s="80" t="s">
        <v>1891</v>
      </c>
      <c r="C1309" s="80" t="s">
        <v>84</v>
      </c>
      <c r="D1309" s="80" t="s">
        <v>84</v>
      </c>
      <c r="E1309" s="80" t="s">
        <v>84</v>
      </c>
      <c r="F1309" s="80"/>
      <c r="G1309" s="80" t="s">
        <v>84</v>
      </c>
      <c r="H1309" s="80" t="s">
        <v>84</v>
      </c>
      <c r="I1309" s="80" t="s">
        <v>84</v>
      </c>
      <c r="J1309" s="80" t="s">
        <v>84</v>
      </c>
      <c r="K1309" s="80" t="s">
        <v>84</v>
      </c>
      <c r="L1309" s="80" t="s">
        <v>84</v>
      </c>
      <c r="M1309" s="80" t="s">
        <v>84</v>
      </c>
      <c r="N1309" s="80" t="s">
        <v>84</v>
      </c>
      <c r="O1309" s="80" t="s">
        <v>84</v>
      </c>
      <c r="P1309" s="80"/>
      <c r="Q1309" s="80" t="s">
        <v>84</v>
      </c>
      <c r="R1309" s="80" t="s">
        <v>84</v>
      </c>
    </row>
    <row r="1310" spans="1:18" ht="20" x14ac:dyDescent="0.2">
      <c r="A1310" s="80" t="s">
        <v>1783</v>
      </c>
      <c r="B1310" s="80" t="s">
        <v>1784</v>
      </c>
      <c r="C1310" s="80" t="s">
        <v>9680</v>
      </c>
      <c r="D1310" s="80" t="s">
        <v>9680</v>
      </c>
      <c r="E1310" s="80" t="s">
        <v>9680</v>
      </c>
      <c r="F1310" s="80"/>
      <c r="G1310" s="80" t="s">
        <v>9680</v>
      </c>
      <c r="H1310" s="80" t="s">
        <v>9680</v>
      </c>
      <c r="I1310" s="80" t="s">
        <v>9680</v>
      </c>
      <c r="J1310" s="80" t="s">
        <v>9680</v>
      </c>
      <c r="K1310" s="80" t="s">
        <v>9680</v>
      </c>
      <c r="L1310" s="80" t="s">
        <v>9680</v>
      </c>
      <c r="M1310" s="80" t="s">
        <v>9680</v>
      </c>
      <c r="N1310" s="80" t="s">
        <v>9680</v>
      </c>
      <c r="O1310" s="80" t="s">
        <v>9680</v>
      </c>
      <c r="P1310" s="80"/>
      <c r="Q1310" s="80" t="s">
        <v>9680</v>
      </c>
      <c r="R1310" s="80" t="s">
        <v>9680</v>
      </c>
    </row>
    <row r="1311" spans="1:18" ht="20" x14ac:dyDescent="0.2">
      <c r="A1311" s="80" t="s">
        <v>1783</v>
      </c>
      <c r="B1311" s="80" t="s">
        <v>10151</v>
      </c>
      <c r="C1311" s="80" t="s">
        <v>9680</v>
      </c>
      <c r="D1311" s="80" t="s">
        <v>9680</v>
      </c>
      <c r="E1311" s="80" t="s">
        <v>9680</v>
      </c>
      <c r="F1311" s="80"/>
      <c r="G1311" s="80" t="s">
        <v>9680</v>
      </c>
      <c r="H1311" s="80" t="s">
        <v>9680</v>
      </c>
      <c r="I1311" s="80" t="s">
        <v>9680</v>
      </c>
      <c r="J1311" s="80" t="s">
        <v>9680</v>
      </c>
      <c r="K1311" s="80" t="s">
        <v>9680</v>
      </c>
      <c r="L1311" s="80" t="s">
        <v>9680</v>
      </c>
      <c r="M1311" s="80" t="s">
        <v>9680</v>
      </c>
      <c r="N1311" s="80" t="s">
        <v>9680</v>
      </c>
      <c r="O1311" s="80" t="s">
        <v>9680</v>
      </c>
      <c r="P1311" s="80"/>
      <c r="Q1311" s="80" t="s">
        <v>9680</v>
      </c>
      <c r="R1311" s="80" t="s">
        <v>9680</v>
      </c>
    </row>
    <row r="1312" spans="1:18" ht="20" x14ac:dyDescent="0.2">
      <c r="A1312" s="80" t="s">
        <v>1783</v>
      </c>
      <c r="B1312" s="80" t="s">
        <v>1958</v>
      </c>
      <c r="C1312" s="80" t="s">
        <v>9680</v>
      </c>
      <c r="D1312" s="80" t="s">
        <v>9680</v>
      </c>
      <c r="E1312" s="80" t="s">
        <v>9680</v>
      </c>
      <c r="F1312" s="80"/>
      <c r="G1312" s="80" t="s">
        <v>9680</v>
      </c>
      <c r="H1312" s="80" t="s">
        <v>9680</v>
      </c>
      <c r="I1312" s="80" t="s">
        <v>9680</v>
      </c>
      <c r="J1312" s="80" t="s">
        <v>9680</v>
      </c>
      <c r="K1312" s="80" t="s">
        <v>9680</v>
      </c>
      <c r="L1312" s="80" t="s">
        <v>9680</v>
      </c>
      <c r="M1312" s="80" t="s">
        <v>9680</v>
      </c>
      <c r="N1312" s="80" t="s">
        <v>9680</v>
      </c>
      <c r="O1312" s="80" t="s">
        <v>9680</v>
      </c>
      <c r="P1312" s="80"/>
      <c r="Q1312" s="80" t="s">
        <v>9680</v>
      </c>
      <c r="R1312" s="80" t="s">
        <v>9680</v>
      </c>
    </row>
    <row r="1313" spans="1:18" ht="20" x14ac:dyDescent="0.2">
      <c r="A1313" s="80" t="s">
        <v>936</v>
      </c>
      <c r="B1313" s="80" t="s">
        <v>937</v>
      </c>
      <c r="C1313" s="80" t="s">
        <v>9680</v>
      </c>
      <c r="D1313" s="80" t="s">
        <v>84</v>
      </c>
      <c r="E1313" s="80" t="s">
        <v>84</v>
      </c>
      <c r="F1313" s="80"/>
      <c r="G1313" s="80" t="s">
        <v>84</v>
      </c>
      <c r="H1313" s="80" t="s">
        <v>84</v>
      </c>
      <c r="I1313" s="80" t="s">
        <v>84</v>
      </c>
      <c r="J1313" s="80" t="s">
        <v>9680</v>
      </c>
      <c r="K1313" s="80" t="s">
        <v>84</v>
      </c>
      <c r="L1313" s="80" t="s">
        <v>84</v>
      </c>
      <c r="M1313" s="80" t="s">
        <v>84</v>
      </c>
      <c r="N1313" s="80" t="s">
        <v>84</v>
      </c>
      <c r="O1313" s="80" t="s">
        <v>84</v>
      </c>
      <c r="P1313" s="80"/>
      <c r="Q1313" s="80" t="s">
        <v>84</v>
      </c>
      <c r="R1313" s="80" t="s">
        <v>84</v>
      </c>
    </row>
    <row r="1314" spans="1:18" ht="20" x14ac:dyDescent="0.2">
      <c r="A1314" s="80" t="s">
        <v>938</v>
      </c>
      <c r="B1314" s="80" t="s">
        <v>939</v>
      </c>
      <c r="C1314" s="80" t="s">
        <v>9722</v>
      </c>
      <c r="D1314" s="80" t="s">
        <v>84</v>
      </c>
      <c r="E1314" s="80" t="s">
        <v>84</v>
      </c>
      <c r="F1314" s="80"/>
      <c r="G1314" s="80" t="s">
        <v>84</v>
      </c>
      <c r="H1314" s="80" t="s">
        <v>84</v>
      </c>
      <c r="I1314" s="80" t="s">
        <v>84</v>
      </c>
      <c r="J1314" s="80" t="s">
        <v>9722</v>
      </c>
      <c r="K1314" s="80" t="s">
        <v>84</v>
      </c>
      <c r="L1314" s="80" t="s">
        <v>84</v>
      </c>
      <c r="M1314" s="80" t="s">
        <v>84</v>
      </c>
      <c r="N1314" s="80" t="s">
        <v>84</v>
      </c>
      <c r="O1314" s="80" t="s">
        <v>84</v>
      </c>
      <c r="P1314" s="80"/>
      <c r="Q1314" s="80" t="s">
        <v>84</v>
      </c>
      <c r="R1314" s="80" t="s">
        <v>84</v>
      </c>
    </row>
    <row r="1315" spans="1:18" ht="20" x14ac:dyDescent="0.2">
      <c r="A1315" s="80" t="s">
        <v>1959</v>
      </c>
      <c r="B1315" s="80" t="s">
        <v>10152</v>
      </c>
      <c r="C1315" s="80" t="s">
        <v>9680</v>
      </c>
      <c r="D1315" s="80" t="s">
        <v>9680</v>
      </c>
      <c r="E1315" s="80" t="s">
        <v>84</v>
      </c>
      <c r="F1315" s="80"/>
      <c r="G1315" s="80" t="s">
        <v>9680</v>
      </c>
      <c r="H1315" s="80" t="s">
        <v>84</v>
      </c>
      <c r="I1315" s="80" t="s">
        <v>9680</v>
      </c>
      <c r="J1315" s="80" t="s">
        <v>9680</v>
      </c>
      <c r="K1315" s="80" t="s">
        <v>9680</v>
      </c>
      <c r="L1315" s="80" t="s">
        <v>9680</v>
      </c>
      <c r="M1315" s="80" t="s">
        <v>9680</v>
      </c>
      <c r="N1315" s="80" t="s">
        <v>84</v>
      </c>
      <c r="O1315" s="80" t="s">
        <v>9680</v>
      </c>
      <c r="P1315" s="80"/>
      <c r="Q1315" s="80" t="s">
        <v>9680</v>
      </c>
      <c r="R1315" s="80" t="s">
        <v>9680</v>
      </c>
    </row>
    <row r="1316" spans="1:18" ht="20" x14ac:dyDescent="0.2">
      <c r="A1316" s="80" t="s">
        <v>1959</v>
      </c>
      <c r="B1316" s="80" t="s">
        <v>1960</v>
      </c>
      <c r="C1316" s="80" t="s">
        <v>9680</v>
      </c>
      <c r="D1316" s="80" t="s">
        <v>9680</v>
      </c>
      <c r="E1316" s="80" t="s">
        <v>84</v>
      </c>
      <c r="F1316" s="80"/>
      <c r="G1316" s="80" t="s">
        <v>9680</v>
      </c>
      <c r="H1316" s="80" t="s">
        <v>84</v>
      </c>
      <c r="I1316" s="80" t="s">
        <v>9680</v>
      </c>
      <c r="J1316" s="80" t="s">
        <v>9680</v>
      </c>
      <c r="K1316" s="80" t="s">
        <v>9680</v>
      </c>
      <c r="L1316" s="80" t="s">
        <v>9680</v>
      </c>
      <c r="M1316" s="80" t="s">
        <v>9680</v>
      </c>
      <c r="N1316" s="80" t="s">
        <v>84</v>
      </c>
      <c r="O1316" s="80" t="s">
        <v>9680</v>
      </c>
      <c r="P1316" s="80"/>
      <c r="Q1316" s="80" t="s">
        <v>9680</v>
      </c>
      <c r="R1316" s="80" t="s">
        <v>9680</v>
      </c>
    </row>
    <row r="1317" spans="1:18" ht="20" x14ac:dyDescent="0.2">
      <c r="A1317" s="80" t="s">
        <v>1961</v>
      </c>
      <c r="B1317" s="80" t="s">
        <v>10153</v>
      </c>
      <c r="C1317" s="80" t="s">
        <v>9722</v>
      </c>
      <c r="D1317" s="80" t="s">
        <v>9722</v>
      </c>
      <c r="E1317" s="80" t="s">
        <v>84</v>
      </c>
      <c r="F1317" s="80"/>
      <c r="G1317" s="80" t="s">
        <v>9722</v>
      </c>
      <c r="H1317" s="80" t="s">
        <v>84</v>
      </c>
      <c r="I1317" s="80" t="s">
        <v>9722</v>
      </c>
      <c r="J1317" s="80" t="s">
        <v>9722</v>
      </c>
      <c r="K1317" s="80" t="s">
        <v>9722</v>
      </c>
      <c r="L1317" s="80" t="s">
        <v>9722</v>
      </c>
      <c r="M1317" s="80" t="s">
        <v>9722</v>
      </c>
      <c r="N1317" s="80" t="s">
        <v>84</v>
      </c>
      <c r="O1317" s="80" t="s">
        <v>9722</v>
      </c>
      <c r="P1317" s="80"/>
      <c r="Q1317" s="80" t="s">
        <v>9722</v>
      </c>
      <c r="R1317" s="80" t="s">
        <v>9722</v>
      </c>
    </row>
    <row r="1318" spans="1:18" ht="20" x14ac:dyDescent="0.2">
      <c r="A1318" s="80" t="s">
        <v>1961</v>
      </c>
      <c r="B1318" s="80" t="s">
        <v>1962</v>
      </c>
      <c r="C1318" s="80" t="s">
        <v>9722</v>
      </c>
      <c r="D1318" s="80" t="s">
        <v>9722</v>
      </c>
      <c r="E1318" s="80" t="s">
        <v>84</v>
      </c>
      <c r="F1318" s="80"/>
      <c r="G1318" s="80" t="s">
        <v>9722</v>
      </c>
      <c r="H1318" s="80" t="s">
        <v>84</v>
      </c>
      <c r="I1318" s="80" t="s">
        <v>9722</v>
      </c>
      <c r="J1318" s="80" t="s">
        <v>9722</v>
      </c>
      <c r="K1318" s="80" t="s">
        <v>9722</v>
      </c>
      <c r="L1318" s="80" t="s">
        <v>9722</v>
      </c>
      <c r="M1318" s="80" t="s">
        <v>9722</v>
      </c>
      <c r="N1318" s="80" t="s">
        <v>84</v>
      </c>
      <c r="O1318" s="80" t="s">
        <v>9722</v>
      </c>
      <c r="P1318" s="80"/>
      <c r="Q1318" s="80" t="s">
        <v>9722</v>
      </c>
      <c r="R1318" s="80" t="s">
        <v>9722</v>
      </c>
    </row>
    <row r="1319" spans="1:18" ht="20" x14ac:dyDescent="0.2">
      <c r="A1319" s="80" t="s">
        <v>1896</v>
      </c>
      <c r="B1319" s="80" t="s">
        <v>1897</v>
      </c>
      <c r="C1319" s="80" t="s">
        <v>9680</v>
      </c>
      <c r="D1319" s="80" t="s">
        <v>9680</v>
      </c>
      <c r="E1319" s="80" t="s">
        <v>9680</v>
      </c>
      <c r="F1319" s="80"/>
      <c r="G1319" s="80" t="s">
        <v>9680</v>
      </c>
      <c r="H1319" s="80" t="s">
        <v>9680</v>
      </c>
      <c r="I1319" s="80" t="s">
        <v>9680</v>
      </c>
      <c r="J1319" s="80" t="s">
        <v>84</v>
      </c>
      <c r="K1319" s="80" t="s">
        <v>9680</v>
      </c>
      <c r="L1319" s="80" t="s">
        <v>9680</v>
      </c>
      <c r="M1319" s="80" t="s">
        <v>9680</v>
      </c>
      <c r="N1319" s="80" t="s">
        <v>9680</v>
      </c>
      <c r="O1319" s="80" t="s">
        <v>9680</v>
      </c>
      <c r="P1319" s="80"/>
      <c r="Q1319" s="80" t="s">
        <v>9680</v>
      </c>
      <c r="R1319" s="80" t="s">
        <v>9680</v>
      </c>
    </row>
    <row r="1320" spans="1:18" ht="20" x14ac:dyDescent="0.2">
      <c r="A1320" s="80" t="s">
        <v>1896</v>
      </c>
      <c r="B1320" s="80" t="s">
        <v>10154</v>
      </c>
      <c r="C1320" s="80" t="s">
        <v>9680</v>
      </c>
      <c r="D1320" s="80" t="s">
        <v>9680</v>
      </c>
      <c r="E1320" s="80" t="s">
        <v>9680</v>
      </c>
      <c r="F1320" s="80"/>
      <c r="G1320" s="80" t="s">
        <v>9680</v>
      </c>
      <c r="H1320" s="80" t="s">
        <v>9680</v>
      </c>
      <c r="I1320" s="80" t="s">
        <v>9680</v>
      </c>
      <c r="J1320" s="80" t="s">
        <v>84</v>
      </c>
      <c r="K1320" s="80" t="s">
        <v>9680</v>
      </c>
      <c r="L1320" s="80" t="s">
        <v>9680</v>
      </c>
      <c r="M1320" s="80" t="s">
        <v>9680</v>
      </c>
      <c r="N1320" s="80" t="s">
        <v>9680</v>
      </c>
      <c r="O1320" s="80" t="s">
        <v>9680</v>
      </c>
      <c r="P1320" s="80"/>
      <c r="Q1320" s="80" t="s">
        <v>9680</v>
      </c>
      <c r="R1320" s="80" t="s">
        <v>9680</v>
      </c>
    </row>
    <row r="1321" spans="1:18" ht="20" x14ac:dyDescent="0.2">
      <c r="A1321" s="80" t="s">
        <v>1902</v>
      </c>
      <c r="B1321" s="80" t="s">
        <v>1903</v>
      </c>
      <c r="C1321" s="80" t="s">
        <v>9680</v>
      </c>
      <c r="D1321" s="80" t="s">
        <v>9680</v>
      </c>
      <c r="E1321" s="80" t="s">
        <v>84</v>
      </c>
      <c r="F1321" s="80"/>
      <c r="G1321" s="80" t="s">
        <v>9680</v>
      </c>
      <c r="H1321" s="80" t="s">
        <v>84</v>
      </c>
      <c r="I1321" s="80" t="s">
        <v>9680</v>
      </c>
      <c r="J1321" s="80" t="s">
        <v>84</v>
      </c>
      <c r="K1321" s="80" t="s">
        <v>9680</v>
      </c>
      <c r="L1321" s="80" t="s">
        <v>9680</v>
      </c>
      <c r="M1321" s="80" t="s">
        <v>9680</v>
      </c>
      <c r="N1321" s="80" t="s">
        <v>84</v>
      </c>
      <c r="O1321" s="80" t="s">
        <v>9680</v>
      </c>
      <c r="P1321" s="80"/>
      <c r="Q1321" s="80" t="s">
        <v>9680</v>
      </c>
      <c r="R1321" s="80" t="s">
        <v>9680</v>
      </c>
    </row>
    <row r="1322" spans="1:18" ht="20" x14ac:dyDescent="0.2">
      <c r="A1322" s="80" t="s">
        <v>942</v>
      </c>
      <c r="B1322" s="80" t="s">
        <v>943</v>
      </c>
      <c r="C1322" s="80" t="s">
        <v>9680</v>
      </c>
      <c r="D1322" s="80" t="s">
        <v>9680</v>
      </c>
      <c r="E1322" s="80" t="s">
        <v>9680</v>
      </c>
      <c r="F1322" s="80"/>
      <c r="G1322" s="80" t="s">
        <v>9680</v>
      </c>
      <c r="H1322" s="80" t="s">
        <v>9680</v>
      </c>
      <c r="I1322" s="80" t="s">
        <v>9680</v>
      </c>
      <c r="J1322" s="80" t="s">
        <v>84</v>
      </c>
      <c r="K1322" s="80" t="s">
        <v>9680</v>
      </c>
      <c r="L1322" s="80" t="s">
        <v>9680</v>
      </c>
      <c r="M1322" s="80" t="s">
        <v>9680</v>
      </c>
      <c r="N1322" s="80" t="s">
        <v>9680</v>
      </c>
      <c r="O1322" s="80" t="s">
        <v>9680</v>
      </c>
      <c r="P1322" s="80"/>
      <c r="Q1322" s="80" t="s">
        <v>9680</v>
      </c>
      <c r="R1322" s="80" t="s">
        <v>9680</v>
      </c>
    </row>
    <row r="1323" spans="1:18" ht="20" x14ac:dyDescent="0.2">
      <c r="A1323" s="80" t="s">
        <v>942</v>
      </c>
      <c r="B1323" s="80" t="s">
        <v>10155</v>
      </c>
      <c r="C1323" s="80" t="s">
        <v>9680</v>
      </c>
      <c r="D1323" s="80" t="s">
        <v>9680</v>
      </c>
      <c r="E1323" s="80" t="s">
        <v>9680</v>
      </c>
      <c r="F1323" s="80"/>
      <c r="G1323" s="80" t="s">
        <v>9680</v>
      </c>
      <c r="H1323" s="80" t="s">
        <v>9680</v>
      </c>
      <c r="I1323" s="80" t="s">
        <v>9680</v>
      </c>
      <c r="J1323" s="80" t="s">
        <v>84</v>
      </c>
      <c r="K1323" s="80" t="s">
        <v>9680</v>
      </c>
      <c r="L1323" s="80" t="s">
        <v>9680</v>
      </c>
      <c r="M1323" s="80" t="s">
        <v>9680</v>
      </c>
      <c r="N1323" s="80" t="s">
        <v>9680</v>
      </c>
      <c r="O1323" s="80" t="s">
        <v>9680</v>
      </c>
      <c r="P1323" s="80"/>
      <c r="Q1323" s="80" t="s">
        <v>9680</v>
      </c>
      <c r="R1323" s="80" t="s">
        <v>9680</v>
      </c>
    </row>
    <row r="1324" spans="1:18" ht="20" x14ac:dyDescent="0.2">
      <c r="A1324" s="80" t="s">
        <v>1904</v>
      </c>
      <c r="B1324" s="80" t="s">
        <v>1905</v>
      </c>
      <c r="C1324" s="80" t="s">
        <v>9680</v>
      </c>
      <c r="D1324" s="80" t="s">
        <v>9680</v>
      </c>
      <c r="E1324" s="80" t="s">
        <v>84</v>
      </c>
      <c r="F1324" s="80"/>
      <c r="G1324" s="80" t="s">
        <v>9680</v>
      </c>
      <c r="H1324" s="80" t="s">
        <v>9680</v>
      </c>
      <c r="I1324" s="80" t="s">
        <v>9680</v>
      </c>
      <c r="J1324" s="80" t="s">
        <v>84</v>
      </c>
      <c r="K1324" s="80" t="s">
        <v>9680</v>
      </c>
      <c r="L1324" s="80" t="s">
        <v>9680</v>
      </c>
      <c r="M1324" s="80" t="s">
        <v>9680</v>
      </c>
      <c r="N1324" s="80" t="s">
        <v>84</v>
      </c>
      <c r="O1324" s="80" t="s">
        <v>9680</v>
      </c>
      <c r="P1324" s="80"/>
      <c r="Q1324" s="80" t="s">
        <v>9680</v>
      </c>
      <c r="R1324" s="80" t="s">
        <v>9680</v>
      </c>
    </row>
    <row r="1325" spans="1:18" ht="20" x14ac:dyDescent="0.2">
      <c r="A1325" s="80" t="s">
        <v>940</v>
      </c>
      <c r="B1325" s="80" t="s">
        <v>941</v>
      </c>
      <c r="C1325" s="80" t="s">
        <v>9680</v>
      </c>
      <c r="D1325" s="80" t="s">
        <v>9680</v>
      </c>
      <c r="E1325" s="80" t="s">
        <v>9680</v>
      </c>
      <c r="F1325" s="80"/>
      <c r="G1325" s="80" t="s">
        <v>84</v>
      </c>
      <c r="H1325" s="80" t="s">
        <v>9680</v>
      </c>
      <c r="I1325" s="80" t="s">
        <v>9680</v>
      </c>
      <c r="J1325" s="80" t="s">
        <v>84</v>
      </c>
      <c r="K1325" s="80" t="s">
        <v>9680</v>
      </c>
      <c r="L1325" s="80" t="s">
        <v>9680</v>
      </c>
      <c r="M1325" s="80" t="s">
        <v>9680</v>
      </c>
      <c r="N1325" s="80" t="s">
        <v>84</v>
      </c>
      <c r="O1325" s="80" t="s">
        <v>9680</v>
      </c>
      <c r="P1325" s="80"/>
      <c r="Q1325" s="80" t="s">
        <v>9680</v>
      </c>
      <c r="R1325" s="80" t="s">
        <v>9680</v>
      </c>
    </row>
    <row r="1326" spans="1:18" ht="20" x14ac:dyDescent="0.2">
      <c r="A1326" s="80" t="s">
        <v>940</v>
      </c>
      <c r="B1326" s="80" t="s">
        <v>10156</v>
      </c>
      <c r="C1326" s="80" t="s">
        <v>9680</v>
      </c>
      <c r="D1326" s="80" t="s">
        <v>9680</v>
      </c>
      <c r="E1326" s="80" t="s">
        <v>9680</v>
      </c>
      <c r="F1326" s="80"/>
      <c r="G1326" s="80" t="s">
        <v>84</v>
      </c>
      <c r="H1326" s="80" t="s">
        <v>9680</v>
      </c>
      <c r="I1326" s="80" t="s">
        <v>9680</v>
      </c>
      <c r="J1326" s="80" t="s">
        <v>84</v>
      </c>
      <c r="K1326" s="80" t="s">
        <v>9680</v>
      </c>
      <c r="L1326" s="80" t="s">
        <v>9680</v>
      </c>
      <c r="M1326" s="80" t="s">
        <v>9680</v>
      </c>
      <c r="N1326" s="80" t="s">
        <v>84</v>
      </c>
      <c r="O1326" s="80" t="s">
        <v>9680</v>
      </c>
      <c r="P1326" s="80"/>
      <c r="Q1326" s="80" t="s">
        <v>9680</v>
      </c>
      <c r="R1326" s="80" t="s">
        <v>9680</v>
      </c>
    </row>
    <row r="1327" spans="1:18" ht="20" x14ac:dyDescent="0.2">
      <c r="A1327" s="80" t="s">
        <v>1963</v>
      </c>
      <c r="B1327" s="80" t="s">
        <v>1964</v>
      </c>
      <c r="C1327" s="80" t="s">
        <v>9680</v>
      </c>
      <c r="D1327" s="80" t="s">
        <v>9680</v>
      </c>
      <c r="E1327" s="80" t="s">
        <v>84</v>
      </c>
      <c r="F1327" s="80"/>
      <c r="G1327" s="80" t="s">
        <v>9680</v>
      </c>
      <c r="H1327" s="80" t="s">
        <v>84</v>
      </c>
      <c r="I1327" s="80" t="s">
        <v>9680</v>
      </c>
      <c r="J1327" s="80" t="s">
        <v>84</v>
      </c>
      <c r="K1327" s="80" t="s">
        <v>9680</v>
      </c>
      <c r="L1327" s="80" t="s">
        <v>9680</v>
      </c>
      <c r="M1327" s="80" t="s">
        <v>9680</v>
      </c>
      <c r="N1327" s="80" t="s">
        <v>84</v>
      </c>
      <c r="O1327" s="80" t="s">
        <v>9680</v>
      </c>
      <c r="P1327" s="80"/>
      <c r="Q1327" s="80" t="s">
        <v>9680</v>
      </c>
      <c r="R1327" s="80" t="s">
        <v>9680</v>
      </c>
    </row>
    <row r="1328" spans="1:18" ht="20" x14ac:dyDescent="0.2">
      <c r="A1328" s="80" t="s">
        <v>1965</v>
      </c>
      <c r="B1328" s="80" t="s">
        <v>1966</v>
      </c>
      <c r="C1328" s="80" t="s">
        <v>9680</v>
      </c>
      <c r="D1328" s="80" t="s">
        <v>9680</v>
      </c>
      <c r="E1328" s="80" t="s">
        <v>9680</v>
      </c>
      <c r="F1328" s="80"/>
      <c r="G1328" s="80" t="s">
        <v>9680</v>
      </c>
      <c r="H1328" s="80" t="s">
        <v>9680</v>
      </c>
      <c r="I1328" s="80" t="s">
        <v>9680</v>
      </c>
      <c r="J1328" s="80" t="s">
        <v>84</v>
      </c>
      <c r="K1328" s="80" t="s">
        <v>9680</v>
      </c>
      <c r="L1328" s="80" t="s">
        <v>9680</v>
      </c>
      <c r="M1328" s="80" t="s">
        <v>9680</v>
      </c>
      <c r="N1328" s="80" t="s">
        <v>9680</v>
      </c>
      <c r="O1328" s="80" t="s">
        <v>9680</v>
      </c>
      <c r="P1328" s="80"/>
      <c r="Q1328" s="80" t="s">
        <v>9680</v>
      </c>
      <c r="R1328" s="80" t="s">
        <v>9680</v>
      </c>
    </row>
    <row r="1329" spans="1:18" ht="20" x14ac:dyDescent="0.2">
      <c r="A1329" s="80" t="s">
        <v>1795</v>
      </c>
      <c r="B1329" s="80" t="s">
        <v>1796</v>
      </c>
      <c r="C1329" s="80" t="s">
        <v>9680</v>
      </c>
      <c r="D1329" s="80" t="s">
        <v>9680</v>
      </c>
      <c r="E1329" s="80" t="s">
        <v>9680</v>
      </c>
      <c r="F1329" s="80"/>
      <c r="G1329" s="80" t="s">
        <v>9680</v>
      </c>
      <c r="H1329" s="80" t="s">
        <v>9680</v>
      </c>
      <c r="I1329" s="80" t="s">
        <v>9680</v>
      </c>
      <c r="J1329" s="80" t="s">
        <v>9680</v>
      </c>
      <c r="K1329" s="80" t="s">
        <v>9680</v>
      </c>
      <c r="L1329" s="80" t="s">
        <v>9680</v>
      </c>
      <c r="M1329" s="80" t="s">
        <v>9680</v>
      </c>
      <c r="N1329" s="80" t="s">
        <v>9680</v>
      </c>
      <c r="O1329" s="80" t="s">
        <v>9680</v>
      </c>
      <c r="P1329" s="80"/>
      <c r="Q1329" s="80" t="s">
        <v>9680</v>
      </c>
      <c r="R1329" s="80" t="s">
        <v>9680</v>
      </c>
    </row>
    <row r="1330" spans="1:18" ht="20" x14ac:dyDescent="0.2">
      <c r="A1330" s="80" t="s">
        <v>1795</v>
      </c>
      <c r="B1330" s="80" t="s">
        <v>1967</v>
      </c>
      <c r="C1330" s="80" t="s">
        <v>9680</v>
      </c>
      <c r="D1330" s="80" t="s">
        <v>9680</v>
      </c>
      <c r="E1330" s="80" t="s">
        <v>9680</v>
      </c>
      <c r="F1330" s="80"/>
      <c r="G1330" s="80" t="s">
        <v>9680</v>
      </c>
      <c r="H1330" s="80" t="s">
        <v>9680</v>
      </c>
      <c r="I1330" s="80" t="s">
        <v>9680</v>
      </c>
      <c r="J1330" s="80" t="s">
        <v>9680</v>
      </c>
      <c r="K1330" s="80" t="s">
        <v>9680</v>
      </c>
      <c r="L1330" s="80" t="s">
        <v>9680</v>
      </c>
      <c r="M1330" s="80" t="s">
        <v>9680</v>
      </c>
      <c r="N1330" s="80" t="s">
        <v>9680</v>
      </c>
      <c r="O1330" s="80" t="s">
        <v>9680</v>
      </c>
      <c r="P1330" s="80"/>
      <c r="Q1330" s="80" t="s">
        <v>9680</v>
      </c>
      <c r="R1330" s="80" t="s">
        <v>9680</v>
      </c>
    </row>
    <row r="1331" spans="1:18" ht="20" x14ac:dyDescent="0.2">
      <c r="A1331" s="80" t="s">
        <v>2062</v>
      </c>
      <c r="B1331" s="80" t="s">
        <v>2063</v>
      </c>
      <c r="C1331" s="80" t="s">
        <v>9680</v>
      </c>
      <c r="D1331" s="80" t="s">
        <v>9680</v>
      </c>
      <c r="E1331" s="80" t="s">
        <v>9680</v>
      </c>
      <c r="F1331" s="80"/>
      <c r="G1331" s="80" t="s">
        <v>9680</v>
      </c>
      <c r="H1331" s="80" t="s">
        <v>9680</v>
      </c>
      <c r="I1331" s="80" t="s">
        <v>9680</v>
      </c>
      <c r="J1331" s="80" t="s">
        <v>84</v>
      </c>
      <c r="K1331" s="80" t="s">
        <v>9680</v>
      </c>
      <c r="L1331" s="80" t="s">
        <v>9680</v>
      </c>
      <c r="M1331" s="80" t="s">
        <v>9680</v>
      </c>
      <c r="N1331" s="80" t="s">
        <v>9680</v>
      </c>
      <c r="O1331" s="80" t="s">
        <v>9680</v>
      </c>
      <c r="P1331" s="80"/>
      <c r="Q1331" s="80" t="s">
        <v>9680</v>
      </c>
      <c r="R1331" s="80" t="s">
        <v>9680</v>
      </c>
    </row>
    <row r="1332" spans="1:18" ht="20" x14ac:dyDescent="0.2">
      <c r="A1332" s="80" t="s">
        <v>2062</v>
      </c>
      <c r="B1332" s="80" t="s">
        <v>2285</v>
      </c>
      <c r="C1332" s="80" t="s">
        <v>9680</v>
      </c>
      <c r="D1332" s="80" t="s">
        <v>9680</v>
      </c>
      <c r="E1332" s="80" t="s">
        <v>9680</v>
      </c>
      <c r="F1332" s="80"/>
      <c r="G1332" s="80" t="s">
        <v>9680</v>
      </c>
      <c r="H1332" s="80" t="s">
        <v>9680</v>
      </c>
      <c r="I1332" s="80" t="s">
        <v>9680</v>
      </c>
      <c r="J1332" s="80" t="s">
        <v>84</v>
      </c>
      <c r="K1332" s="80" t="s">
        <v>9680</v>
      </c>
      <c r="L1332" s="80" t="s">
        <v>9680</v>
      </c>
      <c r="M1332" s="80" t="s">
        <v>9680</v>
      </c>
      <c r="N1332" s="80" t="s">
        <v>9680</v>
      </c>
      <c r="O1332" s="80" t="s">
        <v>9680</v>
      </c>
      <c r="P1332" s="80"/>
      <c r="Q1332" s="80" t="s">
        <v>9680</v>
      </c>
      <c r="R1332" s="80" t="s">
        <v>9680</v>
      </c>
    </row>
    <row r="1333" spans="1:18" ht="20" x14ac:dyDescent="0.2">
      <c r="A1333" s="80" t="s">
        <v>1968</v>
      </c>
      <c r="B1333" s="80" t="s">
        <v>1969</v>
      </c>
      <c r="C1333" s="80" t="s">
        <v>84</v>
      </c>
      <c r="D1333" s="80" t="s">
        <v>84</v>
      </c>
      <c r="E1333" s="80" t="s">
        <v>84</v>
      </c>
      <c r="F1333" s="80"/>
      <c r="G1333" s="80" t="s">
        <v>84</v>
      </c>
      <c r="H1333" s="80" t="s">
        <v>84</v>
      </c>
      <c r="I1333" s="80" t="s">
        <v>84</v>
      </c>
      <c r="J1333" s="80" t="s">
        <v>84</v>
      </c>
      <c r="K1333" s="80" t="s">
        <v>84</v>
      </c>
      <c r="L1333" s="80" t="s">
        <v>84</v>
      </c>
      <c r="M1333" s="80" t="s">
        <v>84</v>
      </c>
      <c r="N1333" s="80" t="s">
        <v>84</v>
      </c>
      <c r="O1333" s="80" t="s">
        <v>84</v>
      </c>
      <c r="P1333" s="80"/>
      <c r="Q1333" s="80" t="s">
        <v>84</v>
      </c>
      <c r="R1333" s="80" t="s">
        <v>84</v>
      </c>
    </row>
    <row r="1334" spans="1:18" ht="20" x14ac:dyDescent="0.2">
      <c r="A1334" s="80" t="s">
        <v>10157</v>
      </c>
      <c r="B1334" s="80" t="s">
        <v>10158</v>
      </c>
      <c r="C1334" s="80" t="s">
        <v>9680</v>
      </c>
      <c r="D1334" s="80" t="s">
        <v>84</v>
      </c>
      <c r="E1334" s="80" t="s">
        <v>84</v>
      </c>
      <c r="F1334" s="80"/>
      <c r="G1334" s="80" t="s">
        <v>84</v>
      </c>
      <c r="H1334" s="80" t="s">
        <v>84</v>
      </c>
      <c r="I1334" s="80" t="s">
        <v>84</v>
      </c>
      <c r="J1334" s="80" t="s">
        <v>84</v>
      </c>
      <c r="K1334" s="80" t="s">
        <v>84</v>
      </c>
      <c r="L1334" s="80" t="s">
        <v>84</v>
      </c>
      <c r="M1334" s="80" t="s">
        <v>9680</v>
      </c>
      <c r="N1334" s="80" t="s">
        <v>84</v>
      </c>
      <c r="O1334" s="80" t="s">
        <v>9680</v>
      </c>
      <c r="P1334" s="80"/>
      <c r="Q1334" s="80" t="s">
        <v>9680</v>
      </c>
      <c r="R1334" s="80" t="s">
        <v>9680</v>
      </c>
    </row>
    <row r="1335" spans="1:18" ht="20" x14ac:dyDescent="0.2">
      <c r="A1335" s="80" t="s">
        <v>1797</v>
      </c>
      <c r="B1335" s="80" t="s">
        <v>1798</v>
      </c>
      <c r="C1335" s="80" t="s">
        <v>9680</v>
      </c>
      <c r="D1335" s="80" t="s">
        <v>9680</v>
      </c>
      <c r="E1335" s="80" t="s">
        <v>84</v>
      </c>
      <c r="F1335" s="80"/>
      <c r="G1335" s="80" t="s">
        <v>9680</v>
      </c>
      <c r="H1335" s="80" t="s">
        <v>84</v>
      </c>
      <c r="I1335" s="80" t="s">
        <v>9680</v>
      </c>
      <c r="J1335" s="80" t="s">
        <v>84</v>
      </c>
      <c r="K1335" s="80" t="s">
        <v>9680</v>
      </c>
      <c r="L1335" s="80" t="s">
        <v>9680</v>
      </c>
      <c r="M1335" s="80" t="s">
        <v>9680</v>
      </c>
      <c r="N1335" s="80" t="s">
        <v>84</v>
      </c>
      <c r="O1335" s="80" t="s">
        <v>9680</v>
      </c>
      <c r="P1335" s="80"/>
      <c r="Q1335" s="80" t="s">
        <v>9680</v>
      </c>
      <c r="R1335" s="80" t="s">
        <v>9680</v>
      </c>
    </row>
    <row r="1336" spans="1:18" ht="20" x14ac:dyDescent="0.2">
      <c r="A1336" s="80" t="s">
        <v>1797</v>
      </c>
      <c r="B1336" s="80" t="s">
        <v>1970</v>
      </c>
      <c r="C1336" s="80" t="s">
        <v>9680</v>
      </c>
      <c r="D1336" s="80" t="s">
        <v>9680</v>
      </c>
      <c r="E1336" s="80" t="s">
        <v>84</v>
      </c>
      <c r="F1336" s="80"/>
      <c r="G1336" s="80" t="s">
        <v>9680</v>
      </c>
      <c r="H1336" s="80" t="s">
        <v>84</v>
      </c>
      <c r="I1336" s="80" t="s">
        <v>9680</v>
      </c>
      <c r="J1336" s="80" t="s">
        <v>84</v>
      </c>
      <c r="K1336" s="80" t="s">
        <v>9680</v>
      </c>
      <c r="L1336" s="80" t="s">
        <v>9680</v>
      </c>
      <c r="M1336" s="80" t="s">
        <v>9680</v>
      </c>
      <c r="N1336" s="80" t="s">
        <v>84</v>
      </c>
      <c r="O1336" s="80" t="s">
        <v>9680</v>
      </c>
      <c r="P1336" s="80"/>
      <c r="Q1336" s="80" t="s">
        <v>9680</v>
      </c>
      <c r="R1336" s="80" t="s">
        <v>9680</v>
      </c>
    </row>
    <row r="1337" spans="1:18" ht="20" x14ac:dyDescent="0.2">
      <c r="A1337" s="80" t="s">
        <v>741</v>
      </c>
      <c r="B1337" s="80" t="s">
        <v>742</v>
      </c>
      <c r="C1337" s="80" t="s">
        <v>9680</v>
      </c>
      <c r="D1337" s="80" t="s">
        <v>9680</v>
      </c>
      <c r="E1337" s="80" t="s">
        <v>9680</v>
      </c>
      <c r="F1337" s="80"/>
      <c r="G1337" s="80" t="s">
        <v>9680</v>
      </c>
      <c r="H1337" s="80" t="s">
        <v>9680</v>
      </c>
      <c r="I1337" s="80" t="s">
        <v>9680</v>
      </c>
      <c r="J1337" s="80" t="s">
        <v>84</v>
      </c>
      <c r="K1337" s="80" t="s">
        <v>9680</v>
      </c>
      <c r="L1337" s="80" t="s">
        <v>9680</v>
      </c>
      <c r="M1337" s="80" t="s">
        <v>9680</v>
      </c>
      <c r="N1337" s="80" t="s">
        <v>9680</v>
      </c>
      <c r="O1337" s="80" t="s">
        <v>9680</v>
      </c>
      <c r="P1337" s="80"/>
      <c r="Q1337" s="80" t="s">
        <v>9680</v>
      </c>
      <c r="R1337" s="80" t="s">
        <v>9680</v>
      </c>
    </row>
    <row r="1338" spans="1:18" ht="20" x14ac:dyDescent="0.2">
      <c r="A1338" s="80" t="s">
        <v>1835</v>
      </c>
      <c r="B1338" s="80" t="s">
        <v>1836</v>
      </c>
      <c r="C1338" s="80" t="s">
        <v>9680</v>
      </c>
      <c r="D1338" s="80" t="s">
        <v>9680</v>
      </c>
      <c r="E1338" s="80" t="s">
        <v>84</v>
      </c>
      <c r="F1338" s="80"/>
      <c r="G1338" s="80" t="s">
        <v>9680</v>
      </c>
      <c r="H1338" s="80" t="s">
        <v>84</v>
      </c>
      <c r="I1338" s="80" t="s">
        <v>9680</v>
      </c>
      <c r="J1338" s="80" t="s">
        <v>84</v>
      </c>
      <c r="K1338" s="80" t="s">
        <v>9680</v>
      </c>
      <c r="L1338" s="80" t="s">
        <v>9680</v>
      </c>
      <c r="M1338" s="80" t="s">
        <v>9680</v>
      </c>
      <c r="N1338" s="80" t="s">
        <v>84</v>
      </c>
      <c r="O1338" s="80" t="s">
        <v>9680</v>
      </c>
      <c r="P1338" s="80"/>
      <c r="Q1338" s="80" t="s">
        <v>9680</v>
      </c>
      <c r="R1338" s="80" t="s">
        <v>9680</v>
      </c>
    </row>
    <row r="1339" spans="1:18" ht="20" x14ac:dyDescent="0.2">
      <c r="A1339" s="80" t="s">
        <v>1908</v>
      </c>
      <c r="B1339" s="80" t="s">
        <v>1909</v>
      </c>
      <c r="C1339" s="80" t="s">
        <v>9680</v>
      </c>
      <c r="D1339" s="80" t="s">
        <v>9680</v>
      </c>
      <c r="E1339" s="80" t="s">
        <v>84</v>
      </c>
      <c r="F1339" s="80"/>
      <c r="G1339" s="80" t="s">
        <v>84</v>
      </c>
      <c r="H1339" s="80" t="s">
        <v>9680</v>
      </c>
      <c r="I1339" s="80" t="s">
        <v>9680</v>
      </c>
      <c r="J1339" s="80" t="s">
        <v>84</v>
      </c>
      <c r="K1339" s="80" t="s">
        <v>9680</v>
      </c>
      <c r="L1339" s="80" t="s">
        <v>9680</v>
      </c>
      <c r="M1339" s="80" t="s">
        <v>9680</v>
      </c>
      <c r="N1339" s="80" t="s">
        <v>84</v>
      </c>
      <c r="O1339" s="80" t="s">
        <v>9680</v>
      </c>
      <c r="P1339" s="80"/>
      <c r="Q1339" s="80" t="s">
        <v>9680</v>
      </c>
      <c r="R1339" s="80" t="s">
        <v>9680</v>
      </c>
    </row>
    <row r="1340" spans="1:18" ht="20" x14ac:dyDescent="0.2">
      <c r="A1340" s="80" t="s">
        <v>1910</v>
      </c>
      <c r="B1340" s="80" t="s">
        <v>1911</v>
      </c>
      <c r="C1340" s="80" t="s">
        <v>9680</v>
      </c>
      <c r="D1340" s="80" t="s">
        <v>9680</v>
      </c>
      <c r="E1340" s="80" t="s">
        <v>9680</v>
      </c>
      <c r="F1340" s="80"/>
      <c r="G1340" s="80" t="s">
        <v>9680</v>
      </c>
      <c r="H1340" s="80" t="s">
        <v>9680</v>
      </c>
      <c r="I1340" s="80" t="s">
        <v>9680</v>
      </c>
      <c r="J1340" s="80" t="s">
        <v>84</v>
      </c>
      <c r="K1340" s="80" t="s">
        <v>9680</v>
      </c>
      <c r="L1340" s="80" t="s">
        <v>9680</v>
      </c>
      <c r="M1340" s="80" t="s">
        <v>9680</v>
      </c>
      <c r="N1340" s="80" t="s">
        <v>9680</v>
      </c>
      <c r="O1340" s="80" t="s">
        <v>9680</v>
      </c>
      <c r="P1340" s="80"/>
      <c r="Q1340" s="80" t="s">
        <v>9680</v>
      </c>
      <c r="R1340" s="80" t="s">
        <v>9680</v>
      </c>
    </row>
    <row r="1341" spans="1:18" ht="20" x14ac:dyDescent="0.2">
      <c r="A1341" s="80" t="s">
        <v>1910</v>
      </c>
      <c r="B1341" s="80" t="s">
        <v>10159</v>
      </c>
      <c r="C1341" s="80" t="s">
        <v>9680</v>
      </c>
      <c r="D1341" s="80" t="s">
        <v>9680</v>
      </c>
      <c r="E1341" s="80" t="s">
        <v>9680</v>
      </c>
      <c r="F1341" s="80"/>
      <c r="G1341" s="80" t="s">
        <v>9680</v>
      </c>
      <c r="H1341" s="80" t="s">
        <v>9680</v>
      </c>
      <c r="I1341" s="80" t="s">
        <v>9680</v>
      </c>
      <c r="J1341" s="80" t="s">
        <v>84</v>
      </c>
      <c r="K1341" s="80" t="s">
        <v>9680</v>
      </c>
      <c r="L1341" s="80" t="s">
        <v>9680</v>
      </c>
      <c r="M1341" s="80" t="s">
        <v>9680</v>
      </c>
      <c r="N1341" s="80" t="s">
        <v>9680</v>
      </c>
      <c r="O1341" s="80" t="s">
        <v>9680</v>
      </c>
      <c r="P1341" s="80"/>
      <c r="Q1341" s="80" t="s">
        <v>9680</v>
      </c>
      <c r="R1341" s="80" t="s">
        <v>9680</v>
      </c>
    </row>
    <row r="1342" spans="1:18" ht="20" x14ac:dyDescent="0.2">
      <c r="A1342" s="80" t="s">
        <v>1915</v>
      </c>
      <c r="B1342" s="80" t="s">
        <v>1916</v>
      </c>
      <c r="C1342" s="80" t="s">
        <v>9680</v>
      </c>
      <c r="D1342" s="80" t="s">
        <v>9680</v>
      </c>
      <c r="E1342" s="80" t="s">
        <v>84</v>
      </c>
      <c r="F1342" s="80"/>
      <c r="G1342" s="80" t="s">
        <v>84</v>
      </c>
      <c r="H1342" s="80" t="s">
        <v>9680</v>
      </c>
      <c r="I1342" s="80" t="s">
        <v>9680</v>
      </c>
      <c r="J1342" s="80" t="s">
        <v>84</v>
      </c>
      <c r="K1342" s="80" t="s">
        <v>9680</v>
      </c>
      <c r="L1342" s="80" t="s">
        <v>9680</v>
      </c>
      <c r="M1342" s="80" t="s">
        <v>9680</v>
      </c>
      <c r="N1342" s="80" t="s">
        <v>84</v>
      </c>
      <c r="O1342" s="80" t="s">
        <v>9680</v>
      </c>
      <c r="P1342" s="80"/>
      <c r="Q1342" s="80" t="s">
        <v>9680</v>
      </c>
      <c r="R1342" s="80" t="s">
        <v>9680</v>
      </c>
    </row>
    <row r="1343" spans="1:18" ht="20" x14ac:dyDescent="0.2">
      <c r="A1343" s="80" t="s">
        <v>1917</v>
      </c>
      <c r="B1343" s="80" t="s">
        <v>1918</v>
      </c>
      <c r="C1343" s="80" t="s">
        <v>9722</v>
      </c>
      <c r="D1343" s="80" t="s">
        <v>9722</v>
      </c>
      <c r="E1343" s="80" t="s">
        <v>84</v>
      </c>
      <c r="F1343" s="80"/>
      <c r="G1343" s="80" t="s">
        <v>84</v>
      </c>
      <c r="H1343" s="80" t="s">
        <v>9722</v>
      </c>
      <c r="I1343" s="80" t="s">
        <v>9722</v>
      </c>
      <c r="J1343" s="80" t="s">
        <v>84</v>
      </c>
      <c r="K1343" s="80" t="s">
        <v>9722</v>
      </c>
      <c r="L1343" s="80" t="s">
        <v>9722</v>
      </c>
      <c r="M1343" s="80" t="s">
        <v>9722</v>
      </c>
      <c r="N1343" s="80" t="s">
        <v>84</v>
      </c>
      <c r="O1343" s="80" t="s">
        <v>9722</v>
      </c>
      <c r="P1343" s="80"/>
      <c r="Q1343" s="80" t="s">
        <v>9722</v>
      </c>
      <c r="R1343" s="80" t="s">
        <v>9722</v>
      </c>
    </row>
    <row r="1344" spans="1:18" ht="20" x14ac:dyDescent="0.2">
      <c r="A1344" s="80" t="s">
        <v>689</v>
      </c>
      <c r="B1344" s="80" t="s">
        <v>690</v>
      </c>
      <c r="C1344" s="80" t="s">
        <v>9680</v>
      </c>
      <c r="D1344" s="80" t="s">
        <v>9680</v>
      </c>
      <c r="E1344" s="80" t="s">
        <v>84</v>
      </c>
      <c r="F1344" s="80"/>
      <c r="G1344" s="80" t="s">
        <v>84</v>
      </c>
      <c r="H1344" s="80" t="s">
        <v>9680</v>
      </c>
      <c r="I1344" s="80" t="s">
        <v>9680</v>
      </c>
      <c r="J1344" s="80" t="s">
        <v>84</v>
      </c>
      <c r="K1344" s="80" t="s">
        <v>9680</v>
      </c>
      <c r="L1344" s="80" t="s">
        <v>9680</v>
      </c>
      <c r="M1344" s="80" t="s">
        <v>9680</v>
      </c>
      <c r="N1344" s="80" t="s">
        <v>84</v>
      </c>
      <c r="O1344" s="80" t="s">
        <v>9680</v>
      </c>
      <c r="P1344" s="80"/>
      <c r="Q1344" s="80" t="s">
        <v>9680</v>
      </c>
      <c r="R1344" s="80" t="s">
        <v>9680</v>
      </c>
    </row>
    <row r="1345" spans="1:18" ht="20" x14ac:dyDescent="0.2">
      <c r="A1345" s="80" t="s">
        <v>1919</v>
      </c>
      <c r="B1345" s="80" t="s">
        <v>1920</v>
      </c>
      <c r="C1345" s="80" t="s">
        <v>9680</v>
      </c>
      <c r="D1345" s="80" t="s">
        <v>9680</v>
      </c>
      <c r="E1345" s="80" t="s">
        <v>84</v>
      </c>
      <c r="F1345" s="80"/>
      <c r="G1345" s="80" t="s">
        <v>9680</v>
      </c>
      <c r="H1345" s="80" t="s">
        <v>9680</v>
      </c>
      <c r="I1345" s="80" t="s">
        <v>9680</v>
      </c>
      <c r="J1345" s="80" t="s">
        <v>84</v>
      </c>
      <c r="K1345" s="80" t="s">
        <v>9680</v>
      </c>
      <c r="L1345" s="80" t="s">
        <v>9680</v>
      </c>
      <c r="M1345" s="80" t="s">
        <v>9680</v>
      </c>
      <c r="N1345" s="80" t="s">
        <v>84</v>
      </c>
      <c r="O1345" s="80" t="s">
        <v>9680</v>
      </c>
      <c r="P1345" s="80"/>
      <c r="Q1345" s="80" t="s">
        <v>9680</v>
      </c>
      <c r="R1345" s="80" t="s">
        <v>9680</v>
      </c>
    </row>
    <row r="1346" spans="1:18" ht="20" x14ac:dyDescent="0.2">
      <c r="A1346" s="80" t="s">
        <v>1919</v>
      </c>
      <c r="B1346" s="80" t="s">
        <v>10160</v>
      </c>
      <c r="C1346" s="80" t="s">
        <v>9680</v>
      </c>
      <c r="D1346" s="80" t="s">
        <v>9680</v>
      </c>
      <c r="E1346" s="80" t="s">
        <v>84</v>
      </c>
      <c r="F1346" s="80"/>
      <c r="G1346" s="80" t="s">
        <v>9680</v>
      </c>
      <c r="H1346" s="80" t="s">
        <v>9680</v>
      </c>
      <c r="I1346" s="80" t="s">
        <v>9680</v>
      </c>
      <c r="J1346" s="80" t="s">
        <v>84</v>
      </c>
      <c r="K1346" s="80" t="s">
        <v>9680</v>
      </c>
      <c r="L1346" s="80" t="s">
        <v>9680</v>
      </c>
      <c r="M1346" s="80" t="s">
        <v>9680</v>
      </c>
      <c r="N1346" s="80" t="s">
        <v>84</v>
      </c>
      <c r="O1346" s="80" t="s">
        <v>9680</v>
      </c>
      <c r="P1346" s="80"/>
      <c r="Q1346" s="80" t="s">
        <v>9680</v>
      </c>
      <c r="R1346" s="80" t="s">
        <v>9680</v>
      </c>
    </row>
    <row r="1347" spans="1:18" ht="20" x14ac:dyDescent="0.2">
      <c r="A1347" s="80" t="s">
        <v>1921</v>
      </c>
      <c r="B1347" s="80" t="s">
        <v>1922</v>
      </c>
      <c r="C1347" s="80" t="s">
        <v>9680</v>
      </c>
      <c r="D1347" s="80" t="s">
        <v>9680</v>
      </c>
      <c r="E1347" s="80" t="s">
        <v>84</v>
      </c>
      <c r="F1347" s="80"/>
      <c r="G1347" s="80" t="s">
        <v>84</v>
      </c>
      <c r="H1347" s="80" t="s">
        <v>9680</v>
      </c>
      <c r="I1347" s="80" t="s">
        <v>9680</v>
      </c>
      <c r="J1347" s="80" t="s">
        <v>84</v>
      </c>
      <c r="K1347" s="80" t="s">
        <v>9680</v>
      </c>
      <c r="L1347" s="80" t="s">
        <v>9680</v>
      </c>
      <c r="M1347" s="80" t="s">
        <v>9680</v>
      </c>
      <c r="N1347" s="80" t="s">
        <v>84</v>
      </c>
      <c r="O1347" s="80" t="s">
        <v>9680</v>
      </c>
      <c r="P1347" s="80"/>
      <c r="Q1347" s="80" t="s">
        <v>9680</v>
      </c>
      <c r="R1347" s="80" t="s">
        <v>9680</v>
      </c>
    </row>
    <row r="1348" spans="1:18" ht="20" x14ac:dyDescent="0.2">
      <c r="A1348" s="80" t="s">
        <v>1923</v>
      </c>
      <c r="B1348" s="80" t="s">
        <v>1924</v>
      </c>
      <c r="C1348" s="80" t="s">
        <v>9680</v>
      </c>
      <c r="D1348" s="80" t="s">
        <v>9680</v>
      </c>
      <c r="E1348" s="80" t="s">
        <v>84</v>
      </c>
      <c r="F1348" s="80"/>
      <c r="G1348" s="80" t="s">
        <v>84</v>
      </c>
      <c r="H1348" s="80" t="s">
        <v>9680</v>
      </c>
      <c r="I1348" s="80" t="s">
        <v>9680</v>
      </c>
      <c r="J1348" s="80" t="s">
        <v>84</v>
      </c>
      <c r="K1348" s="80" t="s">
        <v>9680</v>
      </c>
      <c r="L1348" s="80" t="s">
        <v>9680</v>
      </c>
      <c r="M1348" s="80" t="s">
        <v>9680</v>
      </c>
      <c r="N1348" s="80" t="s">
        <v>84</v>
      </c>
      <c r="O1348" s="80" t="s">
        <v>9680</v>
      </c>
      <c r="P1348" s="80"/>
      <c r="Q1348" s="80" t="s">
        <v>9680</v>
      </c>
      <c r="R1348" s="80" t="s">
        <v>9680</v>
      </c>
    </row>
    <row r="1349" spans="1:18" ht="20" x14ac:dyDescent="0.2">
      <c r="A1349" s="80" t="s">
        <v>1927</v>
      </c>
      <c r="B1349" s="80" t="s">
        <v>1928</v>
      </c>
      <c r="C1349" s="80" t="s">
        <v>9680</v>
      </c>
      <c r="D1349" s="80" t="s">
        <v>9680</v>
      </c>
      <c r="E1349" s="80" t="s">
        <v>84</v>
      </c>
      <c r="F1349" s="80"/>
      <c r="G1349" s="80" t="s">
        <v>84</v>
      </c>
      <c r="H1349" s="80" t="s">
        <v>9680</v>
      </c>
      <c r="I1349" s="80" t="s">
        <v>9680</v>
      </c>
      <c r="J1349" s="80" t="s">
        <v>84</v>
      </c>
      <c r="K1349" s="80" t="s">
        <v>9680</v>
      </c>
      <c r="L1349" s="80" t="s">
        <v>9680</v>
      </c>
      <c r="M1349" s="80" t="s">
        <v>9680</v>
      </c>
      <c r="N1349" s="80" t="s">
        <v>84</v>
      </c>
      <c r="O1349" s="80" t="s">
        <v>9680</v>
      </c>
      <c r="P1349" s="80"/>
      <c r="Q1349" s="80" t="s">
        <v>9680</v>
      </c>
      <c r="R1349" s="80" t="s">
        <v>9680</v>
      </c>
    </row>
    <row r="1350" spans="1:18" ht="20" x14ac:dyDescent="0.2">
      <c r="A1350" s="80" t="s">
        <v>1971</v>
      </c>
      <c r="B1350" s="80" t="s">
        <v>1972</v>
      </c>
      <c r="C1350" s="80" t="s">
        <v>9680</v>
      </c>
      <c r="D1350" s="80" t="s">
        <v>9680</v>
      </c>
      <c r="E1350" s="80" t="s">
        <v>84</v>
      </c>
      <c r="F1350" s="80"/>
      <c r="G1350" s="80" t="s">
        <v>84</v>
      </c>
      <c r="H1350" s="80" t="s">
        <v>9680</v>
      </c>
      <c r="I1350" s="80" t="s">
        <v>9680</v>
      </c>
      <c r="J1350" s="80" t="s">
        <v>84</v>
      </c>
      <c r="K1350" s="80" t="s">
        <v>9680</v>
      </c>
      <c r="L1350" s="80" t="s">
        <v>9680</v>
      </c>
      <c r="M1350" s="80" t="s">
        <v>9680</v>
      </c>
      <c r="N1350" s="80" t="s">
        <v>84</v>
      </c>
      <c r="O1350" s="80" t="s">
        <v>9680</v>
      </c>
      <c r="P1350" s="80"/>
      <c r="Q1350" s="80" t="s">
        <v>9680</v>
      </c>
      <c r="R1350" s="80" t="s">
        <v>9680</v>
      </c>
    </row>
    <row r="1351" spans="1:18" ht="20" x14ac:dyDescent="0.2">
      <c r="A1351" s="80" t="s">
        <v>1973</v>
      </c>
      <c r="B1351" s="80" t="s">
        <v>1974</v>
      </c>
      <c r="C1351" s="80" t="s">
        <v>9722</v>
      </c>
      <c r="D1351" s="80" t="s">
        <v>84</v>
      </c>
      <c r="E1351" s="80" t="s">
        <v>84</v>
      </c>
      <c r="F1351" s="80"/>
      <c r="G1351" s="80" t="s">
        <v>84</v>
      </c>
      <c r="H1351" s="80" t="s">
        <v>84</v>
      </c>
      <c r="I1351" s="80" t="s">
        <v>84</v>
      </c>
      <c r="J1351" s="80" t="s">
        <v>84</v>
      </c>
      <c r="K1351" s="80" t="s">
        <v>84</v>
      </c>
      <c r="L1351" s="80" t="s">
        <v>84</v>
      </c>
      <c r="M1351" s="80" t="s">
        <v>84</v>
      </c>
      <c r="N1351" s="80" t="s">
        <v>84</v>
      </c>
      <c r="O1351" s="80" t="s">
        <v>84</v>
      </c>
      <c r="P1351" s="80"/>
      <c r="Q1351" s="80" t="s">
        <v>84</v>
      </c>
      <c r="R1351" s="80" t="s">
        <v>84</v>
      </c>
    </row>
    <row r="1352" spans="1:18" ht="20" x14ac:dyDescent="0.2">
      <c r="A1352" s="80" t="s">
        <v>1975</v>
      </c>
      <c r="B1352" s="80" t="s">
        <v>1976</v>
      </c>
      <c r="C1352" s="80" t="s">
        <v>9680</v>
      </c>
      <c r="D1352" s="80" t="s">
        <v>84</v>
      </c>
      <c r="E1352" s="80" t="s">
        <v>84</v>
      </c>
      <c r="F1352" s="80"/>
      <c r="G1352" s="80" t="s">
        <v>84</v>
      </c>
      <c r="H1352" s="80" t="s">
        <v>84</v>
      </c>
      <c r="I1352" s="80" t="s">
        <v>9680</v>
      </c>
      <c r="J1352" s="80" t="s">
        <v>84</v>
      </c>
      <c r="K1352" s="80" t="s">
        <v>9680</v>
      </c>
      <c r="L1352" s="80" t="s">
        <v>84</v>
      </c>
      <c r="M1352" s="80" t="s">
        <v>9680</v>
      </c>
      <c r="N1352" s="80" t="s">
        <v>84</v>
      </c>
      <c r="O1352" s="80" t="s">
        <v>9680</v>
      </c>
      <c r="P1352" s="80"/>
      <c r="Q1352" s="80" t="s">
        <v>9680</v>
      </c>
      <c r="R1352" s="80" t="s">
        <v>9680</v>
      </c>
    </row>
    <row r="1353" spans="1:18" ht="20" x14ac:dyDescent="0.2">
      <c r="A1353" s="80" t="s">
        <v>1977</v>
      </c>
      <c r="B1353" s="80" t="s">
        <v>1978</v>
      </c>
      <c r="C1353" s="80" t="s">
        <v>9680</v>
      </c>
      <c r="D1353" s="80" t="s">
        <v>9680</v>
      </c>
      <c r="E1353" s="80" t="s">
        <v>84</v>
      </c>
      <c r="F1353" s="80"/>
      <c r="G1353" s="80" t="s">
        <v>84</v>
      </c>
      <c r="H1353" s="80" t="s">
        <v>9680</v>
      </c>
      <c r="I1353" s="80" t="s">
        <v>9680</v>
      </c>
      <c r="J1353" s="80" t="s">
        <v>84</v>
      </c>
      <c r="K1353" s="80" t="s">
        <v>9680</v>
      </c>
      <c r="L1353" s="80" t="s">
        <v>9680</v>
      </c>
      <c r="M1353" s="80" t="s">
        <v>9680</v>
      </c>
      <c r="N1353" s="80" t="s">
        <v>84</v>
      </c>
      <c r="O1353" s="80" t="s">
        <v>9680</v>
      </c>
      <c r="P1353" s="80"/>
      <c r="Q1353" s="80" t="s">
        <v>9680</v>
      </c>
      <c r="R1353" s="80" t="s">
        <v>9680</v>
      </c>
    </row>
    <row r="1354" spans="1:18" ht="20" x14ac:dyDescent="0.2">
      <c r="A1354" s="80" t="s">
        <v>1979</v>
      </c>
      <c r="B1354" s="80" t="s">
        <v>1980</v>
      </c>
      <c r="C1354" s="80" t="s">
        <v>9680</v>
      </c>
      <c r="D1354" s="80" t="s">
        <v>9680</v>
      </c>
      <c r="E1354" s="80" t="s">
        <v>84</v>
      </c>
      <c r="F1354" s="80"/>
      <c r="G1354" s="80" t="s">
        <v>84</v>
      </c>
      <c r="H1354" s="80" t="s">
        <v>9680</v>
      </c>
      <c r="I1354" s="80" t="s">
        <v>9680</v>
      </c>
      <c r="J1354" s="80" t="s">
        <v>84</v>
      </c>
      <c r="K1354" s="80" t="s">
        <v>9680</v>
      </c>
      <c r="L1354" s="80" t="s">
        <v>9680</v>
      </c>
      <c r="M1354" s="80" t="s">
        <v>9680</v>
      </c>
      <c r="N1354" s="80" t="s">
        <v>84</v>
      </c>
      <c r="O1354" s="80" t="s">
        <v>9680</v>
      </c>
      <c r="P1354" s="80"/>
      <c r="Q1354" s="80" t="s">
        <v>9680</v>
      </c>
      <c r="R1354" s="80" t="s">
        <v>9680</v>
      </c>
    </row>
    <row r="1355" spans="1:18" ht="20" x14ac:dyDescent="0.2">
      <c r="A1355" s="80" t="s">
        <v>1981</v>
      </c>
      <c r="B1355" s="80" t="s">
        <v>1982</v>
      </c>
      <c r="C1355" s="80" t="s">
        <v>9680</v>
      </c>
      <c r="D1355" s="80" t="s">
        <v>9680</v>
      </c>
      <c r="E1355" s="80" t="s">
        <v>84</v>
      </c>
      <c r="F1355" s="80"/>
      <c r="G1355" s="80" t="s">
        <v>84</v>
      </c>
      <c r="H1355" s="80" t="s">
        <v>9680</v>
      </c>
      <c r="I1355" s="80" t="s">
        <v>9680</v>
      </c>
      <c r="J1355" s="80" t="s">
        <v>84</v>
      </c>
      <c r="K1355" s="80" t="s">
        <v>9680</v>
      </c>
      <c r="L1355" s="80" t="s">
        <v>9680</v>
      </c>
      <c r="M1355" s="80" t="s">
        <v>9680</v>
      </c>
      <c r="N1355" s="80" t="s">
        <v>84</v>
      </c>
      <c r="O1355" s="80" t="s">
        <v>9680</v>
      </c>
      <c r="P1355" s="80"/>
      <c r="Q1355" s="80" t="s">
        <v>9680</v>
      </c>
      <c r="R1355" s="80" t="s">
        <v>9680</v>
      </c>
    </row>
    <row r="1356" spans="1:18" ht="20" x14ac:dyDescent="0.2">
      <c r="A1356" s="80" t="s">
        <v>949</v>
      </c>
      <c r="B1356" s="80" t="s">
        <v>10161</v>
      </c>
      <c r="C1356" s="80" t="s">
        <v>9680</v>
      </c>
      <c r="D1356" s="80" t="s">
        <v>9680</v>
      </c>
      <c r="E1356" s="80" t="s">
        <v>9680</v>
      </c>
      <c r="F1356" s="80"/>
      <c r="G1356" s="80" t="s">
        <v>9680</v>
      </c>
      <c r="H1356" s="80" t="s">
        <v>9680</v>
      </c>
      <c r="I1356" s="80" t="s">
        <v>84</v>
      </c>
      <c r="J1356" s="80" t="s">
        <v>84</v>
      </c>
      <c r="K1356" s="80" t="s">
        <v>84</v>
      </c>
      <c r="L1356" s="80" t="s">
        <v>9680</v>
      </c>
      <c r="M1356" s="80" t="s">
        <v>84</v>
      </c>
      <c r="N1356" s="80" t="s">
        <v>9680</v>
      </c>
      <c r="O1356" s="80" t="s">
        <v>84</v>
      </c>
      <c r="P1356" s="80"/>
      <c r="Q1356" s="80" t="s">
        <v>84</v>
      </c>
      <c r="R1356" s="80" t="s">
        <v>84</v>
      </c>
    </row>
    <row r="1357" spans="1:18" ht="20" x14ac:dyDescent="0.2">
      <c r="A1357" s="80" t="s">
        <v>949</v>
      </c>
      <c r="B1357" s="80" t="s">
        <v>950</v>
      </c>
      <c r="C1357" s="80" t="s">
        <v>9680</v>
      </c>
      <c r="D1357" s="80" t="s">
        <v>9680</v>
      </c>
      <c r="E1357" s="80" t="s">
        <v>9680</v>
      </c>
      <c r="F1357" s="80"/>
      <c r="G1357" s="80" t="s">
        <v>9680</v>
      </c>
      <c r="H1357" s="80" t="s">
        <v>9680</v>
      </c>
      <c r="I1357" s="80" t="s">
        <v>84</v>
      </c>
      <c r="J1357" s="80" t="s">
        <v>84</v>
      </c>
      <c r="K1357" s="80" t="s">
        <v>84</v>
      </c>
      <c r="L1357" s="80" t="s">
        <v>9680</v>
      </c>
      <c r="M1357" s="80" t="s">
        <v>84</v>
      </c>
      <c r="N1357" s="80" t="s">
        <v>9680</v>
      </c>
      <c r="O1357" s="80" t="s">
        <v>84</v>
      </c>
      <c r="P1357" s="80"/>
      <c r="Q1357" s="80" t="s">
        <v>84</v>
      </c>
      <c r="R1357" s="80" t="s">
        <v>84</v>
      </c>
    </row>
    <row r="1358" spans="1:18" ht="20" x14ac:dyDescent="0.2">
      <c r="A1358" s="80" t="s">
        <v>949</v>
      </c>
      <c r="B1358" s="80" t="s">
        <v>10162</v>
      </c>
      <c r="C1358" s="80" t="s">
        <v>9680</v>
      </c>
      <c r="D1358" s="80" t="s">
        <v>9680</v>
      </c>
      <c r="E1358" s="80" t="s">
        <v>9680</v>
      </c>
      <c r="F1358" s="80"/>
      <c r="G1358" s="80" t="s">
        <v>9680</v>
      </c>
      <c r="H1358" s="80" t="s">
        <v>9680</v>
      </c>
      <c r="I1358" s="80" t="s">
        <v>84</v>
      </c>
      <c r="J1358" s="80" t="s">
        <v>84</v>
      </c>
      <c r="K1358" s="80" t="s">
        <v>84</v>
      </c>
      <c r="L1358" s="80" t="s">
        <v>9680</v>
      </c>
      <c r="M1358" s="80" t="s">
        <v>84</v>
      </c>
      <c r="N1358" s="80" t="s">
        <v>9680</v>
      </c>
      <c r="O1358" s="80" t="s">
        <v>84</v>
      </c>
      <c r="P1358" s="80"/>
      <c r="Q1358" s="80" t="s">
        <v>84</v>
      </c>
      <c r="R1358" s="80" t="s">
        <v>84</v>
      </c>
    </row>
    <row r="1359" spans="1:18" ht="20" x14ac:dyDescent="0.2">
      <c r="A1359" s="80" t="s">
        <v>944</v>
      </c>
      <c r="B1359" s="80" t="s">
        <v>945</v>
      </c>
      <c r="C1359" s="80" t="s">
        <v>9680</v>
      </c>
      <c r="D1359" s="80" t="s">
        <v>9680</v>
      </c>
      <c r="E1359" s="80" t="s">
        <v>9680</v>
      </c>
      <c r="F1359" s="80"/>
      <c r="G1359" s="80" t="s">
        <v>9680</v>
      </c>
      <c r="H1359" s="80" t="s">
        <v>9680</v>
      </c>
      <c r="I1359" s="80" t="s">
        <v>84</v>
      </c>
      <c r="J1359" s="80" t="s">
        <v>84</v>
      </c>
      <c r="K1359" s="80" t="s">
        <v>84</v>
      </c>
      <c r="L1359" s="80" t="s">
        <v>9680</v>
      </c>
      <c r="M1359" s="80" t="s">
        <v>84</v>
      </c>
      <c r="N1359" s="80" t="s">
        <v>9680</v>
      </c>
      <c r="O1359" s="80" t="s">
        <v>84</v>
      </c>
      <c r="P1359" s="80"/>
      <c r="Q1359" s="80" t="s">
        <v>84</v>
      </c>
      <c r="R1359" s="80" t="s">
        <v>84</v>
      </c>
    </row>
    <row r="1360" spans="1:18" ht="20" x14ac:dyDescent="0.2">
      <c r="A1360" s="80" t="s">
        <v>2064</v>
      </c>
      <c r="B1360" s="80" t="s">
        <v>2065</v>
      </c>
      <c r="C1360" s="80" t="s">
        <v>9680</v>
      </c>
      <c r="D1360" s="80" t="s">
        <v>84</v>
      </c>
      <c r="E1360" s="80" t="s">
        <v>84</v>
      </c>
      <c r="F1360" s="80"/>
      <c r="G1360" s="80" t="s">
        <v>84</v>
      </c>
      <c r="H1360" s="80" t="s">
        <v>84</v>
      </c>
      <c r="I1360" s="80" t="s">
        <v>84</v>
      </c>
      <c r="J1360" s="80" t="s">
        <v>84</v>
      </c>
      <c r="K1360" s="80" t="s">
        <v>84</v>
      </c>
      <c r="L1360" s="80" t="s">
        <v>84</v>
      </c>
      <c r="M1360" s="80" t="s">
        <v>84</v>
      </c>
      <c r="N1360" s="80" t="s">
        <v>84</v>
      </c>
      <c r="O1360" s="80" t="s">
        <v>84</v>
      </c>
      <c r="P1360" s="80"/>
      <c r="Q1360" s="80" t="s">
        <v>84</v>
      </c>
      <c r="R1360" s="80" t="s">
        <v>84</v>
      </c>
    </row>
    <row r="1361" spans="1:18" ht="20" x14ac:dyDescent="0.2">
      <c r="A1361" s="80" t="s">
        <v>2064</v>
      </c>
      <c r="B1361" s="80" t="s">
        <v>10163</v>
      </c>
      <c r="C1361" s="80" t="s">
        <v>9680</v>
      </c>
      <c r="D1361" s="80" t="s">
        <v>84</v>
      </c>
      <c r="E1361" s="80" t="s">
        <v>84</v>
      </c>
      <c r="F1361" s="80"/>
      <c r="G1361" s="80" t="s">
        <v>84</v>
      </c>
      <c r="H1361" s="80" t="s">
        <v>84</v>
      </c>
      <c r="I1361" s="80" t="s">
        <v>84</v>
      </c>
      <c r="J1361" s="80" t="s">
        <v>84</v>
      </c>
      <c r="K1361" s="80" t="s">
        <v>84</v>
      </c>
      <c r="L1361" s="80" t="s">
        <v>84</v>
      </c>
      <c r="M1361" s="80" t="s">
        <v>84</v>
      </c>
      <c r="N1361" s="80" t="s">
        <v>84</v>
      </c>
      <c r="O1361" s="80" t="s">
        <v>84</v>
      </c>
      <c r="P1361" s="80"/>
      <c r="Q1361" s="80" t="s">
        <v>84</v>
      </c>
      <c r="R1361" s="80" t="s">
        <v>84</v>
      </c>
    </row>
    <row r="1362" spans="1:18" ht="20" x14ac:dyDescent="0.2">
      <c r="A1362" s="80" t="s">
        <v>2064</v>
      </c>
      <c r="B1362" s="80" t="s">
        <v>2266</v>
      </c>
      <c r="C1362" s="80" t="s">
        <v>9680</v>
      </c>
      <c r="D1362" s="80" t="s">
        <v>84</v>
      </c>
      <c r="E1362" s="80" t="s">
        <v>84</v>
      </c>
      <c r="F1362" s="80"/>
      <c r="G1362" s="80" t="s">
        <v>84</v>
      </c>
      <c r="H1362" s="80" t="s">
        <v>84</v>
      </c>
      <c r="I1362" s="80" t="s">
        <v>84</v>
      </c>
      <c r="J1362" s="80" t="s">
        <v>84</v>
      </c>
      <c r="K1362" s="80" t="s">
        <v>84</v>
      </c>
      <c r="L1362" s="80" t="s">
        <v>84</v>
      </c>
      <c r="M1362" s="80" t="s">
        <v>84</v>
      </c>
      <c r="N1362" s="80" t="s">
        <v>84</v>
      </c>
      <c r="O1362" s="80" t="s">
        <v>84</v>
      </c>
      <c r="P1362" s="80"/>
      <c r="Q1362" s="80" t="s">
        <v>84</v>
      </c>
      <c r="R1362" s="80" t="s">
        <v>84</v>
      </c>
    </row>
    <row r="1363" spans="1:18" ht="20" x14ac:dyDescent="0.2">
      <c r="A1363" s="80" t="s">
        <v>10164</v>
      </c>
      <c r="B1363" s="80" t="s">
        <v>10165</v>
      </c>
      <c r="C1363" s="80" t="s">
        <v>9680</v>
      </c>
      <c r="D1363" s="80" t="s">
        <v>84</v>
      </c>
      <c r="E1363" s="80" t="s">
        <v>84</v>
      </c>
      <c r="F1363" s="80"/>
      <c r="G1363" s="80" t="s">
        <v>84</v>
      </c>
      <c r="H1363" s="80" t="s">
        <v>84</v>
      </c>
      <c r="I1363" s="80" t="s">
        <v>84</v>
      </c>
      <c r="J1363" s="80" t="s">
        <v>84</v>
      </c>
      <c r="K1363" s="80" t="s">
        <v>84</v>
      </c>
      <c r="L1363" s="80" t="s">
        <v>84</v>
      </c>
      <c r="M1363" s="80" t="s">
        <v>84</v>
      </c>
      <c r="N1363" s="80" t="s">
        <v>84</v>
      </c>
      <c r="O1363" s="80" t="s">
        <v>84</v>
      </c>
      <c r="P1363" s="80"/>
      <c r="Q1363" s="80" t="s">
        <v>84</v>
      </c>
      <c r="R1363" s="80" t="s">
        <v>84</v>
      </c>
    </row>
    <row r="1364" spans="1:18" ht="20" x14ac:dyDescent="0.2">
      <c r="A1364" s="80" t="s">
        <v>2268</v>
      </c>
      <c r="B1364" s="80" t="s">
        <v>10166</v>
      </c>
      <c r="C1364" s="80" t="s">
        <v>9680</v>
      </c>
      <c r="D1364" s="80" t="s">
        <v>84</v>
      </c>
      <c r="E1364" s="80" t="s">
        <v>84</v>
      </c>
      <c r="F1364" s="80"/>
      <c r="G1364" s="80" t="s">
        <v>84</v>
      </c>
      <c r="H1364" s="80" t="s">
        <v>84</v>
      </c>
      <c r="I1364" s="80" t="s">
        <v>84</v>
      </c>
      <c r="J1364" s="80" t="s">
        <v>84</v>
      </c>
      <c r="K1364" s="80" t="s">
        <v>84</v>
      </c>
      <c r="L1364" s="80" t="s">
        <v>84</v>
      </c>
      <c r="M1364" s="80" t="s">
        <v>84</v>
      </c>
      <c r="N1364" s="80" t="s">
        <v>84</v>
      </c>
      <c r="O1364" s="80" t="s">
        <v>84</v>
      </c>
      <c r="P1364" s="80"/>
      <c r="Q1364" s="80" t="s">
        <v>84</v>
      </c>
      <c r="R1364" s="80" t="s">
        <v>84</v>
      </c>
    </row>
    <row r="1365" spans="1:18" ht="20" x14ac:dyDescent="0.2">
      <c r="A1365" s="80" t="s">
        <v>2268</v>
      </c>
      <c r="B1365" s="80" t="s">
        <v>2269</v>
      </c>
      <c r="C1365" s="80" t="s">
        <v>9680</v>
      </c>
      <c r="D1365" s="80" t="s">
        <v>84</v>
      </c>
      <c r="E1365" s="80" t="s">
        <v>84</v>
      </c>
      <c r="F1365" s="80"/>
      <c r="G1365" s="80" t="s">
        <v>84</v>
      </c>
      <c r="H1365" s="80" t="s">
        <v>84</v>
      </c>
      <c r="I1365" s="80" t="s">
        <v>84</v>
      </c>
      <c r="J1365" s="80" t="s">
        <v>84</v>
      </c>
      <c r="K1365" s="80" t="s">
        <v>84</v>
      </c>
      <c r="L1365" s="80" t="s">
        <v>84</v>
      </c>
      <c r="M1365" s="80" t="s">
        <v>84</v>
      </c>
      <c r="N1365" s="80" t="s">
        <v>84</v>
      </c>
      <c r="O1365" s="80" t="s">
        <v>84</v>
      </c>
      <c r="P1365" s="80"/>
      <c r="Q1365" s="80" t="s">
        <v>84</v>
      </c>
      <c r="R1365" s="80" t="s">
        <v>84</v>
      </c>
    </row>
    <row r="1366" spans="1:18" ht="20" x14ac:dyDescent="0.2">
      <c r="A1366" s="80" t="s">
        <v>1837</v>
      </c>
      <c r="B1366" s="80" t="s">
        <v>10167</v>
      </c>
      <c r="C1366" s="80" t="s">
        <v>9680</v>
      </c>
      <c r="D1366" s="80" t="s">
        <v>84</v>
      </c>
      <c r="E1366" s="80" t="s">
        <v>84</v>
      </c>
      <c r="F1366" s="80"/>
      <c r="G1366" s="80" t="s">
        <v>84</v>
      </c>
      <c r="H1366" s="80" t="s">
        <v>84</v>
      </c>
      <c r="I1366" s="80" t="s">
        <v>84</v>
      </c>
      <c r="J1366" s="80" t="s">
        <v>84</v>
      </c>
      <c r="K1366" s="80" t="s">
        <v>84</v>
      </c>
      <c r="L1366" s="80" t="s">
        <v>84</v>
      </c>
      <c r="M1366" s="80" t="s">
        <v>84</v>
      </c>
      <c r="N1366" s="80" t="s">
        <v>84</v>
      </c>
      <c r="O1366" s="80" t="s">
        <v>84</v>
      </c>
      <c r="P1366" s="80"/>
      <c r="Q1366" s="80" t="s">
        <v>84</v>
      </c>
      <c r="R1366" s="80" t="s">
        <v>84</v>
      </c>
    </row>
    <row r="1367" spans="1:18" ht="20" x14ac:dyDescent="0.2">
      <c r="A1367" s="80" t="s">
        <v>1837</v>
      </c>
      <c r="B1367" s="80" t="s">
        <v>1838</v>
      </c>
      <c r="C1367" s="80" t="s">
        <v>9680</v>
      </c>
      <c r="D1367" s="80" t="s">
        <v>84</v>
      </c>
      <c r="E1367" s="80" t="s">
        <v>84</v>
      </c>
      <c r="F1367" s="80"/>
      <c r="G1367" s="80" t="s">
        <v>84</v>
      </c>
      <c r="H1367" s="80" t="s">
        <v>84</v>
      </c>
      <c r="I1367" s="80" t="s">
        <v>84</v>
      </c>
      <c r="J1367" s="80" t="s">
        <v>84</v>
      </c>
      <c r="K1367" s="80" t="s">
        <v>84</v>
      </c>
      <c r="L1367" s="80" t="s">
        <v>84</v>
      </c>
      <c r="M1367" s="80" t="s">
        <v>84</v>
      </c>
      <c r="N1367" s="80" t="s">
        <v>84</v>
      </c>
      <c r="O1367" s="80" t="s">
        <v>84</v>
      </c>
      <c r="P1367" s="80"/>
      <c r="Q1367" s="80" t="s">
        <v>84</v>
      </c>
      <c r="R1367" s="80" t="s">
        <v>84</v>
      </c>
    </row>
    <row r="1368" spans="1:18" ht="20" x14ac:dyDescent="0.2">
      <c r="A1368" s="80" t="s">
        <v>10168</v>
      </c>
      <c r="B1368" s="80" t="s">
        <v>10169</v>
      </c>
      <c r="C1368" s="80" t="s">
        <v>9680</v>
      </c>
      <c r="D1368" s="80" t="s">
        <v>84</v>
      </c>
      <c r="E1368" s="80" t="s">
        <v>84</v>
      </c>
      <c r="F1368" s="80"/>
      <c r="G1368" s="80" t="s">
        <v>84</v>
      </c>
      <c r="H1368" s="80" t="s">
        <v>84</v>
      </c>
      <c r="I1368" s="80" t="s">
        <v>84</v>
      </c>
      <c r="J1368" s="80" t="s">
        <v>84</v>
      </c>
      <c r="K1368" s="80" t="s">
        <v>84</v>
      </c>
      <c r="L1368" s="80" t="s">
        <v>84</v>
      </c>
      <c r="M1368" s="80" t="s">
        <v>84</v>
      </c>
      <c r="N1368" s="80" t="s">
        <v>84</v>
      </c>
      <c r="O1368" s="80" t="s">
        <v>84</v>
      </c>
      <c r="P1368" s="80"/>
      <c r="Q1368" s="80" t="s">
        <v>84</v>
      </c>
      <c r="R1368" s="80" t="s">
        <v>84</v>
      </c>
    </row>
    <row r="1369" spans="1:18" ht="20" x14ac:dyDescent="0.2">
      <c r="A1369" s="80" t="s">
        <v>1983</v>
      </c>
      <c r="B1369" s="80" t="s">
        <v>1984</v>
      </c>
      <c r="C1369" s="80" t="s">
        <v>9722</v>
      </c>
      <c r="D1369" s="80" t="s">
        <v>84</v>
      </c>
      <c r="E1369" s="80" t="s">
        <v>84</v>
      </c>
      <c r="F1369" s="80"/>
      <c r="G1369" s="80" t="s">
        <v>84</v>
      </c>
      <c r="H1369" s="80" t="s">
        <v>84</v>
      </c>
      <c r="I1369" s="80" t="s">
        <v>84</v>
      </c>
      <c r="J1369" s="80" t="s">
        <v>84</v>
      </c>
      <c r="K1369" s="80" t="s">
        <v>84</v>
      </c>
      <c r="L1369" s="80" t="s">
        <v>84</v>
      </c>
      <c r="M1369" s="80" t="s">
        <v>84</v>
      </c>
      <c r="N1369" s="80" t="s">
        <v>84</v>
      </c>
      <c r="O1369" s="80" t="s">
        <v>84</v>
      </c>
      <c r="P1369" s="80"/>
      <c r="Q1369" s="80" t="s">
        <v>84</v>
      </c>
      <c r="R1369" s="80" t="s">
        <v>84</v>
      </c>
    </row>
    <row r="1370" spans="1:18" ht="20" x14ac:dyDescent="0.2">
      <c r="A1370" s="80" t="s">
        <v>1985</v>
      </c>
      <c r="B1370" s="80" t="s">
        <v>1986</v>
      </c>
      <c r="C1370" s="80" t="s">
        <v>9722</v>
      </c>
      <c r="D1370" s="80" t="s">
        <v>84</v>
      </c>
      <c r="E1370" s="80" t="s">
        <v>84</v>
      </c>
      <c r="F1370" s="80"/>
      <c r="G1370" s="80" t="s">
        <v>84</v>
      </c>
      <c r="H1370" s="80" t="s">
        <v>84</v>
      </c>
      <c r="I1370" s="80" t="s">
        <v>84</v>
      </c>
      <c r="J1370" s="80" t="s">
        <v>84</v>
      </c>
      <c r="K1370" s="80" t="s">
        <v>84</v>
      </c>
      <c r="L1370" s="80" t="s">
        <v>84</v>
      </c>
      <c r="M1370" s="80" t="s">
        <v>84</v>
      </c>
      <c r="N1370" s="80" t="s">
        <v>84</v>
      </c>
      <c r="O1370" s="80" t="s">
        <v>84</v>
      </c>
      <c r="P1370" s="80"/>
      <c r="Q1370" s="80" t="s">
        <v>84</v>
      </c>
      <c r="R1370" s="80" t="s">
        <v>84</v>
      </c>
    </row>
    <row r="1371" spans="1:18" ht="20" x14ac:dyDescent="0.2">
      <c r="A1371" s="80" t="s">
        <v>1987</v>
      </c>
      <c r="B1371" s="80" t="s">
        <v>1988</v>
      </c>
      <c r="C1371" s="80" t="s">
        <v>84</v>
      </c>
      <c r="D1371" s="80" t="s">
        <v>84</v>
      </c>
      <c r="E1371" s="80" t="s">
        <v>84</v>
      </c>
      <c r="F1371" s="80"/>
      <c r="G1371" s="80" t="s">
        <v>84</v>
      </c>
      <c r="H1371" s="80" t="s">
        <v>84</v>
      </c>
      <c r="I1371" s="80" t="s">
        <v>84</v>
      </c>
      <c r="J1371" s="80" t="s">
        <v>84</v>
      </c>
      <c r="K1371" s="80" t="s">
        <v>84</v>
      </c>
      <c r="L1371" s="80" t="s">
        <v>84</v>
      </c>
      <c r="M1371" s="80" t="s">
        <v>84</v>
      </c>
      <c r="N1371" s="80" t="s">
        <v>84</v>
      </c>
      <c r="O1371" s="80" t="s">
        <v>84</v>
      </c>
      <c r="P1371" s="80"/>
      <c r="Q1371" s="80" t="s">
        <v>84</v>
      </c>
      <c r="R1371" s="80" t="s">
        <v>84</v>
      </c>
    </row>
    <row r="1372" spans="1:18" ht="20" x14ac:dyDescent="0.2">
      <c r="A1372" s="80" t="s">
        <v>1989</v>
      </c>
      <c r="B1372" s="80" t="s">
        <v>1990</v>
      </c>
      <c r="C1372" s="80" t="s">
        <v>84</v>
      </c>
      <c r="D1372" s="80" t="s">
        <v>84</v>
      </c>
      <c r="E1372" s="80" t="s">
        <v>84</v>
      </c>
      <c r="F1372" s="80"/>
      <c r="G1372" s="80" t="s">
        <v>84</v>
      </c>
      <c r="H1372" s="80" t="s">
        <v>84</v>
      </c>
      <c r="I1372" s="80" t="s">
        <v>84</v>
      </c>
      <c r="J1372" s="80" t="s">
        <v>84</v>
      </c>
      <c r="K1372" s="80" t="s">
        <v>84</v>
      </c>
      <c r="L1372" s="80" t="s">
        <v>84</v>
      </c>
      <c r="M1372" s="80" t="s">
        <v>84</v>
      </c>
      <c r="N1372" s="80" t="s">
        <v>84</v>
      </c>
      <c r="O1372" s="80" t="s">
        <v>84</v>
      </c>
      <c r="P1372" s="80"/>
      <c r="Q1372" s="80" t="s">
        <v>84</v>
      </c>
      <c r="R1372" s="80" t="s">
        <v>84</v>
      </c>
    </row>
    <row r="1373" spans="1:18" ht="20" x14ac:dyDescent="0.2">
      <c r="A1373" s="80" t="s">
        <v>1991</v>
      </c>
      <c r="B1373" s="80" t="s">
        <v>1992</v>
      </c>
      <c r="C1373" s="80" t="s">
        <v>9680</v>
      </c>
      <c r="D1373" s="80" t="s">
        <v>84</v>
      </c>
      <c r="E1373" s="80" t="s">
        <v>84</v>
      </c>
      <c r="F1373" s="80"/>
      <c r="G1373" s="80" t="s">
        <v>84</v>
      </c>
      <c r="H1373" s="80" t="s">
        <v>84</v>
      </c>
      <c r="I1373" s="80" t="s">
        <v>84</v>
      </c>
      <c r="J1373" s="80" t="s">
        <v>84</v>
      </c>
      <c r="K1373" s="80" t="s">
        <v>84</v>
      </c>
      <c r="L1373" s="80" t="s">
        <v>84</v>
      </c>
      <c r="M1373" s="80" t="s">
        <v>84</v>
      </c>
      <c r="N1373" s="80" t="s">
        <v>84</v>
      </c>
      <c r="O1373" s="80" t="s">
        <v>84</v>
      </c>
      <c r="P1373" s="80"/>
      <c r="Q1373" s="80" t="s">
        <v>84</v>
      </c>
      <c r="R1373" s="80" t="s">
        <v>84</v>
      </c>
    </row>
    <row r="1374" spans="1:18" ht="20" x14ac:dyDescent="0.2">
      <c r="A1374" s="80" t="s">
        <v>1906</v>
      </c>
      <c r="B1374" s="80" t="s">
        <v>1907</v>
      </c>
      <c r="C1374" s="80" t="s">
        <v>9680</v>
      </c>
      <c r="D1374" s="80" t="s">
        <v>84</v>
      </c>
      <c r="E1374" s="80" t="s">
        <v>84</v>
      </c>
      <c r="F1374" s="80"/>
      <c r="G1374" s="80" t="s">
        <v>84</v>
      </c>
      <c r="H1374" s="80" t="s">
        <v>84</v>
      </c>
      <c r="I1374" s="80" t="s">
        <v>84</v>
      </c>
      <c r="J1374" s="80" t="s">
        <v>84</v>
      </c>
      <c r="K1374" s="80" t="s">
        <v>84</v>
      </c>
      <c r="L1374" s="80" t="s">
        <v>84</v>
      </c>
      <c r="M1374" s="80" t="s">
        <v>84</v>
      </c>
      <c r="N1374" s="80" t="s">
        <v>84</v>
      </c>
      <c r="O1374" s="80" t="s">
        <v>84</v>
      </c>
      <c r="P1374" s="80"/>
      <c r="Q1374" s="80" t="s">
        <v>84</v>
      </c>
      <c r="R1374" s="80" t="s">
        <v>84</v>
      </c>
    </row>
    <row r="1375" spans="1:18" ht="20" x14ac:dyDescent="0.2">
      <c r="A1375" s="80" t="s">
        <v>1850</v>
      </c>
      <c r="B1375" s="80" t="s">
        <v>1851</v>
      </c>
      <c r="C1375" s="80" t="s">
        <v>9680</v>
      </c>
      <c r="D1375" s="80" t="s">
        <v>84</v>
      </c>
      <c r="E1375" s="80" t="s">
        <v>84</v>
      </c>
      <c r="F1375" s="80"/>
      <c r="G1375" s="80" t="s">
        <v>84</v>
      </c>
      <c r="H1375" s="80" t="s">
        <v>84</v>
      </c>
      <c r="I1375" s="80" t="s">
        <v>84</v>
      </c>
      <c r="J1375" s="80" t="s">
        <v>84</v>
      </c>
      <c r="K1375" s="80" t="s">
        <v>84</v>
      </c>
      <c r="L1375" s="80" t="s">
        <v>84</v>
      </c>
      <c r="M1375" s="80" t="s">
        <v>84</v>
      </c>
      <c r="N1375" s="80" t="s">
        <v>84</v>
      </c>
      <c r="O1375" s="80" t="s">
        <v>84</v>
      </c>
      <c r="P1375" s="80"/>
      <c r="Q1375" s="80" t="s">
        <v>84</v>
      </c>
      <c r="R1375" s="80" t="s">
        <v>84</v>
      </c>
    </row>
    <row r="1376" spans="1:18" ht="20" x14ac:dyDescent="0.2">
      <c r="A1376" s="80" t="s">
        <v>1854</v>
      </c>
      <c r="B1376" s="80" t="s">
        <v>1855</v>
      </c>
      <c r="C1376" s="80" t="s">
        <v>9680</v>
      </c>
      <c r="D1376" s="80" t="s">
        <v>84</v>
      </c>
      <c r="E1376" s="80" t="s">
        <v>84</v>
      </c>
      <c r="F1376" s="80"/>
      <c r="G1376" s="80" t="s">
        <v>84</v>
      </c>
      <c r="H1376" s="80" t="s">
        <v>84</v>
      </c>
      <c r="I1376" s="80" t="s">
        <v>84</v>
      </c>
      <c r="J1376" s="80" t="s">
        <v>84</v>
      </c>
      <c r="K1376" s="80" t="s">
        <v>84</v>
      </c>
      <c r="L1376" s="80" t="s">
        <v>84</v>
      </c>
      <c r="M1376" s="80" t="s">
        <v>84</v>
      </c>
      <c r="N1376" s="80" t="s">
        <v>84</v>
      </c>
      <c r="O1376" s="80" t="s">
        <v>84</v>
      </c>
      <c r="P1376" s="80"/>
      <c r="Q1376" s="80" t="s">
        <v>84</v>
      </c>
      <c r="R1376" s="80" t="s">
        <v>84</v>
      </c>
    </row>
    <row r="1377" spans="1:18" ht="20" x14ac:dyDescent="0.2">
      <c r="A1377" s="80" t="s">
        <v>1856</v>
      </c>
      <c r="B1377" s="80" t="s">
        <v>1857</v>
      </c>
      <c r="C1377" s="80" t="s">
        <v>9680</v>
      </c>
      <c r="D1377" s="80" t="s">
        <v>84</v>
      </c>
      <c r="E1377" s="80" t="s">
        <v>84</v>
      </c>
      <c r="F1377" s="80"/>
      <c r="G1377" s="80" t="s">
        <v>84</v>
      </c>
      <c r="H1377" s="80" t="s">
        <v>84</v>
      </c>
      <c r="I1377" s="80" t="s">
        <v>84</v>
      </c>
      <c r="J1377" s="80" t="s">
        <v>84</v>
      </c>
      <c r="K1377" s="80" t="s">
        <v>84</v>
      </c>
      <c r="L1377" s="80" t="s">
        <v>84</v>
      </c>
      <c r="M1377" s="80" t="s">
        <v>84</v>
      </c>
      <c r="N1377" s="80" t="s">
        <v>84</v>
      </c>
      <c r="O1377" s="80" t="s">
        <v>84</v>
      </c>
      <c r="P1377" s="80"/>
      <c r="Q1377" s="80" t="s">
        <v>84</v>
      </c>
      <c r="R1377" s="80" t="s">
        <v>84</v>
      </c>
    </row>
    <row r="1378" spans="1:18" ht="20" x14ac:dyDescent="0.2">
      <c r="A1378" s="80" t="s">
        <v>1858</v>
      </c>
      <c r="B1378" s="80" t="s">
        <v>1859</v>
      </c>
      <c r="C1378" s="80" t="s">
        <v>9680</v>
      </c>
      <c r="D1378" s="80" t="s">
        <v>84</v>
      </c>
      <c r="E1378" s="80" t="s">
        <v>84</v>
      </c>
      <c r="F1378" s="80"/>
      <c r="G1378" s="80" t="s">
        <v>84</v>
      </c>
      <c r="H1378" s="80" t="s">
        <v>84</v>
      </c>
      <c r="I1378" s="80" t="s">
        <v>84</v>
      </c>
      <c r="J1378" s="80" t="s">
        <v>84</v>
      </c>
      <c r="K1378" s="80" t="s">
        <v>84</v>
      </c>
      <c r="L1378" s="80" t="s">
        <v>84</v>
      </c>
      <c r="M1378" s="80" t="s">
        <v>84</v>
      </c>
      <c r="N1378" s="80" t="s">
        <v>84</v>
      </c>
      <c r="O1378" s="80" t="s">
        <v>84</v>
      </c>
      <c r="P1378" s="80"/>
      <c r="Q1378" s="80" t="s">
        <v>84</v>
      </c>
      <c r="R1378" s="80" t="s">
        <v>84</v>
      </c>
    </row>
    <row r="1379" spans="1:18" ht="20" x14ac:dyDescent="0.2">
      <c r="A1379" s="80" t="s">
        <v>10170</v>
      </c>
      <c r="B1379" s="80" t="s">
        <v>10171</v>
      </c>
      <c r="C1379" s="80" t="s">
        <v>9680</v>
      </c>
      <c r="D1379" s="80" t="s">
        <v>84</v>
      </c>
      <c r="E1379" s="80" t="s">
        <v>84</v>
      </c>
      <c r="F1379" s="80"/>
      <c r="G1379" s="80" t="s">
        <v>84</v>
      </c>
      <c r="H1379" s="80" t="s">
        <v>84</v>
      </c>
      <c r="I1379" s="80" t="s">
        <v>84</v>
      </c>
      <c r="J1379" s="80" t="s">
        <v>84</v>
      </c>
      <c r="K1379" s="80" t="s">
        <v>84</v>
      </c>
      <c r="L1379" s="80" t="s">
        <v>84</v>
      </c>
      <c r="M1379" s="80" t="s">
        <v>84</v>
      </c>
      <c r="N1379" s="80" t="s">
        <v>84</v>
      </c>
      <c r="O1379" s="80" t="s">
        <v>84</v>
      </c>
      <c r="P1379" s="80"/>
      <c r="Q1379" s="80" t="s">
        <v>84</v>
      </c>
      <c r="R1379" s="80" t="s">
        <v>84</v>
      </c>
    </row>
    <row r="1380" spans="1:18" ht="20" x14ac:dyDescent="0.2">
      <c r="A1380" s="80" t="s">
        <v>1993</v>
      </c>
      <c r="B1380" s="80" t="s">
        <v>1994</v>
      </c>
      <c r="C1380" s="80" t="s">
        <v>84</v>
      </c>
      <c r="D1380" s="80" t="s">
        <v>84</v>
      </c>
      <c r="E1380" s="80" t="s">
        <v>84</v>
      </c>
      <c r="F1380" s="80"/>
      <c r="G1380" s="80" t="s">
        <v>84</v>
      </c>
      <c r="H1380" s="80" t="s">
        <v>84</v>
      </c>
      <c r="I1380" s="80" t="s">
        <v>84</v>
      </c>
      <c r="J1380" s="80" t="s">
        <v>84</v>
      </c>
      <c r="K1380" s="80" t="s">
        <v>84</v>
      </c>
      <c r="L1380" s="80" t="s">
        <v>84</v>
      </c>
      <c r="M1380" s="80" t="s">
        <v>84</v>
      </c>
      <c r="N1380" s="80" t="s">
        <v>84</v>
      </c>
      <c r="O1380" s="80" t="s">
        <v>84</v>
      </c>
      <c r="P1380" s="80"/>
      <c r="Q1380" s="80" t="s">
        <v>84</v>
      </c>
      <c r="R1380" s="80" t="s">
        <v>84</v>
      </c>
    </row>
    <row r="1381" spans="1:18" ht="20" x14ac:dyDescent="0.2">
      <c r="A1381" s="80" t="s">
        <v>1995</v>
      </c>
      <c r="B1381" s="80" t="s">
        <v>1996</v>
      </c>
      <c r="C1381" s="80" t="s">
        <v>84</v>
      </c>
      <c r="D1381" s="80" t="s">
        <v>84</v>
      </c>
      <c r="E1381" s="80" t="s">
        <v>84</v>
      </c>
      <c r="F1381" s="80"/>
      <c r="G1381" s="80" t="s">
        <v>84</v>
      </c>
      <c r="H1381" s="80" t="s">
        <v>84</v>
      </c>
      <c r="I1381" s="80" t="s">
        <v>84</v>
      </c>
      <c r="J1381" s="80" t="s">
        <v>84</v>
      </c>
      <c r="K1381" s="80" t="s">
        <v>84</v>
      </c>
      <c r="L1381" s="80" t="s">
        <v>84</v>
      </c>
      <c r="M1381" s="80" t="s">
        <v>84</v>
      </c>
      <c r="N1381" s="80" t="s">
        <v>84</v>
      </c>
      <c r="O1381" s="80" t="s">
        <v>84</v>
      </c>
      <c r="P1381" s="80"/>
      <c r="Q1381" s="80" t="s">
        <v>84</v>
      </c>
      <c r="R1381" s="80" t="s">
        <v>84</v>
      </c>
    </row>
    <row r="1382" spans="1:18" ht="20" x14ac:dyDescent="0.2">
      <c r="A1382" s="80" t="s">
        <v>10172</v>
      </c>
      <c r="B1382" s="80" t="s">
        <v>10173</v>
      </c>
      <c r="C1382" s="80" t="s">
        <v>9680</v>
      </c>
      <c r="D1382" s="80" t="s">
        <v>84</v>
      </c>
      <c r="E1382" s="80" t="s">
        <v>84</v>
      </c>
      <c r="F1382" s="80"/>
      <c r="G1382" s="80" t="s">
        <v>84</v>
      </c>
      <c r="H1382" s="80" t="s">
        <v>84</v>
      </c>
      <c r="I1382" s="80" t="s">
        <v>84</v>
      </c>
      <c r="J1382" s="80" t="s">
        <v>84</v>
      </c>
      <c r="K1382" s="80" t="s">
        <v>84</v>
      </c>
      <c r="L1382" s="80" t="s">
        <v>84</v>
      </c>
      <c r="M1382" s="80" t="s">
        <v>84</v>
      </c>
      <c r="N1382" s="80" t="s">
        <v>84</v>
      </c>
      <c r="O1382" s="80" t="s">
        <v>84</v>
      </c>
      <c r="P1382" s="80"/>
      <c r="Q1382" s="80" t="s">
        <v>84</v>
      </c>
      <c r="R1382" s="80" t="s">
        <v>84</v>
      </c>
    </row>
    <row r="1383" spans="1:18" ht="20" x14ac:dyDescent="0.2">
      <c r="A1383" s="80" t="s">
        <v>10174</v>
      </c>
      <c r="B1383" s="80" t="s">
        <v>10175</v>
      </c>
      <c r="C1383" s="80" t="s">
        <v>9680</v>
      </c>
      <c r="D1383" s="80" t="s">
        <v>84</v>
      </c>
      <c r="E1383" s="80" t="s">
        <v>84</v>
      </c>
      <c r="F1383" s="80"/>
      <c r="G1383" s="80" t="s">
        <v>84</v>
      </c>
      <c r="H1383" s="80" t="s">
        <v>84</v>
      </c>
      <c r="I1383" s="80" t="s">
        <v>84</v>
      </c>
      <c r="J1383" s="80" t="s">
        <v>84</v>
      </c>
      <c r="K1383" s="80" t="s">
        <v>84</v>
      </c>
      <c r="L1383" s="80" t="s">
        <v>84</v>
      </c>
      <c r="M1383" s="80" t="s">
        <v>84</v>
      </c>
      <c r="N1383" s="80" t="s">
        <v>84</v>
      </c>
      <c r="O1383" s="80" t="s">
        <v>84</v>
      </c>
      <c r="P1383" s="80"/>
      <c r="Q1383" s="80" t="s">
        <v>84</v>
      </c>
      <c r="R1383" s="80" t="s">
        <v>84</v>
      </c>
    </row>
    <row r="1384" spans="1:18" ht="20" x14ac:dyDescent="0.2">
      <c r="A1384" s="80" t="s">
        <v>10176</v>
      </c>
      <c r="B1384" s="80" t="s">
        <v>10177</v>
      </c>
      <c r="C1384" s="80" t="s">
        <v>9680</v>
      </c>
      <c r="D1384" s="80" t="s">
        <v>84</v>
      </c>
      <c r="E1384" s="80" t="s">
        <v>84</v>
      </c>
      <c r="F1384" s="80"/>
      <c r="G1384" s="80" t="s">
        <v>84</v>
      </c>
      <c r="H1384" s="80" t="s">
        <v>84</v>
      </c>
      <c r="I1384" s="80" t="s">
        <v>84</v>
      </c>
      <c r="J1384" s="80" t="s">
        <v>84</v>
      </c>
      <c r="K1384" s="80" t="s">
        <v>84</v>
      </c>
      <c r="L1384" s="80" t="s">
        <v>84</v>
      </c>
      <c r="M1384" s="80" t="s">
        <v>84</v>
      </c>
      <c r="N1384" s="80" t="s">
        <v>84</v>
      </c>
      <c r="O1384" s="80" t="s">
        <v>84</v>
      </c>
      <c r="P1384" s="80"/>
      <c r="Q1384" s="80" t="s">
        <v>84</v>
      </c>
      <c r="R1384" s="80" t="s">
        <v>84</v>
      </c>
    </row>
    <row r="1385" spans="1:18" ht="20" x14ac:dyDescent="0.2">
      <c r="A1385" s="80" t="s">
        <v>1843</v>
      </c>
      <c r="B1385" s="80" t="s">
        <v>1844</v>
      </c>
      <c r="C1385" s="80" t="s">
        <v>9680</v>
      </c>
      <c r="D1385" s="80" t="s">
        <v>84</v>
      </c>
      <c r="E1385" s="80" t="s">
        <v>84</v>
      </c>
      <c r="F1385" s="80"/>
      <c r="G1385" s="80" t="s">
        <v>84</v>
      </c>
      <c r="H1385" s="80" t="s">
        <v>84</v>
      </c>
      <c r="I1385" s="80" t="s">
        <v>84</v>
      </c>
      <c r="J1385" s="80" t="s">
        <v>84</v>
      </c>
      <c r="K1385" s="80" t="s">
        <v>84</v>
      </c>
      <c r="L1385" s="80" t="s">
        <v>84</v>
      </c>
      <c r="M1385" s="80" t="s">
        <v>84</v>
      </c>
      <c r="N1385" s="80" t="s">
        <v>84</v>
      </c>
      <c r="O1385" s="80" t="s">
        <v>84</v>
      </c>
      <c r="P1385" s="80"/>
      <c r="Q1385" s="80" t="s">
        <v>84</v>
      </c>
      <c r="R1385" s="80" t="s">
        <v>84</v>
      </c>
    </row>
    <row r="1386" spans="1:18" ht="20" x14ac:dyDescent="0.2">
      <c r="A1386" s="80" t="s">
        <v>1997</v>
      </c>
      <c r="B1386" s="80" t="s">
        <v>1998</v>
      </c>
      <c r="C1386" s="80" t="s">
        <v>9680</v>
      </c>
      <c r="D1386" s="80" t="s">
        <v>84</v>
      </c>
      <c r="E1386" s="80" t="s">
        <v>84</v>
      </c>
      <c r="F1386" s="80"/>
      <c r="G1386" s="80" t="s">
        <v>84</v>
      </c>
      <c r="H1386" s="80" t="s">
        <v>84</v>
      </c>
      <c r="I1386" s="80" t="s">
        <v>84</v>
      </c>
      <c r="J1386" s="80" t="s">
        <v>84</v>
      </c>
      <c r="K1386" s="80" t="s">
        <v>84</v>
      </c>
      <c r="L1386" s="80" t="s">
        <v>84</v>
      </c>
      <c r="M1386" s="80" t="s">
        <v>84</v>
      </c>
      <c r="N1386" s="80" t="s">
        <v>84</v>
      </c>
      <c r="O1386" s="80" t="s">
        <v>84</v>
      </c>
      <c r="P1386" s="80"/>
      <c r="Q1386" s="80" t="s">
        <v>84</v>
      </c>
      <c r="R1386" s="80" t="s">
        <v>84</v>
      </c>
    </row>
    <row r="1387" spans="1:18" ht="20" x14ac:dyDescent="0.2">
      <c r="A1387" s="80" t="s">
        <v>1999</v>
      </c>
      <c r="B1387" s="80" t="s">
        <v>2000</v>
      </c>
      <c r="C1387" s="80" t="s">
        <v>9680</v>
      </c>
      <c r="D1387" s="80" t="s">
        <v>84</v>
      </c>
      <c r="E1387" s="80" t="s">
        <v>84</v>
      </c>
      <c r="F1387" s="80"/>
      <c r="G1387" s="80" t="s">
        <v>84</v>
      </c>
      <c r="H1387" s="80" t="s">
        <v>84</v>
      </c>
      <c r="I1387" s="80" t="s">
        <v>84</v>
      </c>
      <c r="J1387" s="80" t="s">
        <v>84</v>
      </c>
      <c r="K1387" s="80" t="s">
        <v>84</v>
      </c>
      <c r="L1387" s="80" t="s">
        <v>84</v>
      </c>
      <c r="M1387" s="80" t="s">
        <v>84</v>
      </c>
      <c r="N1387" s="80" t="s">
        <v>84</v>
      </c>
      <c r="O1387" s="80" t="s">
        <v>84</v>
      </c>
      <c r="P1387" s="80"/>
      <c r="Q1387" s="80" t="s">
        <v>84</v>
      </c>
      <c r="R1387" s="80" t="s">
        <v>84</v>
      </c>
    </row>
    <row r="1388" spans="1:18" ht="20" x14ac:dyDescent="0.2">
      <c r="A1388" s="80" t="s">
        <v>1933</v>
      </c>
      <c r="B1388" s="80" t="s">
        <v>1934</v>
      </c>
      <c r="C1388" s="80" t="s">
        <v>9680</v>
      </c>
      <c r="D1388" s="80" t="s">
        <v>9680</v>
      </c>
      <c r="E1388" s="80" t="s">
        <v>9680</v>
      </c>
      <c r="F1388" s="80"/>
      <c r="G1388" s="80" t="s">
        <v>9680</v>
      </c>
      <c r="H1388" s="80" t="s">
        <v>9680</v>
      </c>
      <c r="I1388" s="80" t="s">
        <v>9680</v>
      </c>
      <c r="J1388" s="80" t="s">
        <v>9680</v>
      </c>
      <c r="K1388" s="80" t="s">
        <v>9680</v>
      </c>
      <c r="L1388" s="80" t="s">
        <v>9680</v>
      </c>
      <c r="M1388" s="80" t="s">
        <v>9680</v>
      </c>
      <c r="N1388" s="80" t="s">
        <v>9680</v>
      </c>
      <c r="O1388" s="80" t="s">
        <v>9680</v>
      </c>
      <c r="P1388" s="80"/>
      <c r="Q1388" s="80" t="s">
        <v>9680</v>
      </c>
      <c r="R1388" s="80" t="s">
        <v>9680</v>
      </c>
    </row>
    <row r="1389" spans="1:18" ht="20" x14ac:dyDescent="0.2">
      <c r="A1389" s="80" t="s">
        <v>1935</v>
      </c>
      <c r="B1389" s="80" t="s">
        <v>10178</v>
      </c>
      <c r="C1389" s="80" t="s">
        <v>9680</v>
      </c>
      <c r="D1389" s="80" t="s">
        <v>9680</v>
      </c>
      <c r="E1389" s="80" t="s">
        <v>84</v>
      </c>
      <c r="F1389" s="80"/>
      <c r="G1389" s="80" t="s">
        <v>9680</v>
      </c>
      <c r="H1389" s="80" t="s">
        <v>9680</v>
      </c>
      <c r="I1389" s="80" t="s">
        <v>9680</v>
      </c>
      <c r="J1389" s="80" t="s">
        <v>84</v>
      </c>
      <c r="K1389" s="80" t="s">
        <v>9680</v>
      </c>
      <c r="L1389" s="80" t="s">
        <v>9680</v>
      </c>
      <c r="M1389" s="80" t="s">
        <v>9680</v>
      </c>
      <c r="N1389" s="80" t="s">
        <v>84</v>
      </c>
      <c r="O1389" s="80" t="s">
        <v>9680</v>
      </c>
      <c r="P1389" s="80"/>
      <c r="Q1389" s="80" t="s">
        <v>9680</v>
      </c>
      <c r="R1389" s="80" t="s">
        <v>9680</v>
      </c>
    </row>
    <row r="1390" spans="1:18" ht="20" x14ac:dyDescent="0.2">
      <c r="A1390" s="80" t="s">
        <v>1935</v>
      </c>
      <c r="B1390" s="80" t="s">
        <v>1936</v>
      </c>
      <c r="C1390" s="80" t="s">
        <v>9680</v>
      </c>
      <c r="D1390" s="80" t="s">
        <v>9680</v>
      </c>
      <c r="E1390" s="80" t="s">
        <v>84</v>
      </c>
      <c r="F1390" s="80"/>
      <c r="G1390" s="80" t="s">
        <v>9680</v>
      </c>
      <c r="H1390" s="80" t="s">
        <v>9680</v>
      </c>
      <c r="I1390" s="80" t="s">
        <v>9680</v>
      </c>
      <c r="J1390" s="80" t="s">
        <v>84</v>
      </c>
      <c r="K1390" s="80" t="s">
        <v>9680</v>
      </c>
      <c r="L1390" s="80" t="s">
        <v>9680</v>
      </c>
      <c r="M1390" s="80" t="s">
        <v>9680</v>
      </c>
      <c r="N1390" s="80" t="s">
        <v>84</v>
      </c>
      <c r="O1390" s="80" t="s">
        <v>9680</v>
      </c>
      <c r="P1390" s="80"/>
      <c r="Q1390" s="80" t="s">
        <v>9680</v>
      </c>
      <c r="R1390" s="80" t="s">
        <v>9680</v>
      </c>
    </row>
    <row r="1391" spans="1:18" ht="20" x14ac:dyDescent="0.2">
      <c r="A1391" s="80" t="s">
        <v>1937</v>
      </c>
      <c r="B1391" s="80" t="s">
        <v>10179</v>
      </c>
      <c r="C1391" s="80" t="s">
        <v>9680</v>
      </c>
      <c r="D1391" s="80" t="s">
        <v>9680</v>
      </c>
      <c r="E1391" s="80" t="s">
        <v>84</v>
      </c>
      <c r="F1391" s="80"/>
      <c r="G1391" s="80" t="s">
        <v>9680</v>
      </c>
      <c r="H1391" s="80" t="s">
        <v>9680</v>
      </c>
      <c r="I1391" s="80" t="s">
        <v>9680</v>
      </c>
      <c r="J1391" s="80" t="s">
        <v>84</v>
      </c>
      <c r="K1391" s="80" t="s">
        <v>9680</v>
      </c>
      <c r="L1391" s="80" t="s">
        <v>9680</v>
      </c>
      <c r="M1391" s="80" t="s">
        <v>9680</v>
      </c>
      <c r="N1391" s="80" t="s">
        <v>84</v>
      </c>
      <c r="O1391" s="80" t="s">
        <v>9680</v>
      </c>
      <c r="P1391" s="80"/>
      <c r="Q1391" s="80" t="s">
        <v>9680</v>
      </c>
      <c r="R1391" s="80" t="s">
        <v>9680</v>
      </c>
    </row>
    <row r="1392" spans="1:18" ht="20" x14ac:dyDescent="0.2">
      <c r="A1392" s="80" t="s">
        <v>1937</v>
      </c>
      <c r="B1392" s="80" t="s">
        <v>1938</v>
      </c>
      <c r="C1392" s="80" t="s">
        <v>9680</v>
      </c>
      <c r="D1392" s="80" t="s">
        <v>9680</v>
      </c>
      <c r="E1392" s="80" t="s">
        <v>84</v>
      </c>
      <c r="F1392" s="80"/>
      <c r="G1392" s="80" t="s">
        <v>9680</v>
      </c>
      <c r="H1392" s="80" t="s">
        <v>9680</v>
      </c>
      <c r="I1392" s="80" t="s">
        <v>9680</v>
      </c>
      <c r="J1392" s="80" t="s">
        <v>84</v>
      </c>
      <c r="K1392" s="80" t="s">
        <v>9680</v>
      </c>
      <c r="L1392" s="80" t="s">
        <v>9680</v>
      </c>
      <c r="M1392" s="80" t="s">
        <v>9680</v>
      </c>
      <c r="N1392" s="80" t="s">
        <v>84</v>
      </c>
      <c r="O1392" s="80" t="s">
        <v>9680</v>
      </c>
      <c r="P1392" s="80"/>
      <c r="Q1392" s="80" t="s">
        <v>9680</v>
      </c>
      <c r="R1392" s="80" t="s">
        <v>9680</v>
      </c>
    </row>
    <row r="1393" spans="1:18" ht="20" x14ac:dyDescent="0.2">
      <c r="A1393" s="80" t="s">
        <v>2001</v>
      </c>
      <c r="B1393" s="80" t="s">
        <v>2002</v>
      </c>
      <c r="C1393" s="80" t="s">
        <v>9680</v>
      </c>
      <c r="D1393" s="80" t="s">
        <v>9680</v>
      </c>
      <c r="E1393" s="80" t="s">
        <v>84</v>
      </c>
      <c r="F1393" s="80"/>
      <c r="G1393" s="80" t="s">
        <v>9680</v>
      </c>
      <c r="H1393" s="80" t="s">
        <v>9680</v>
      </c>
      <c r="I1393" s="80" t="s">
        <v>9680</v>
      </c>
      <c r="J1393" s="80" t="s">
        <v>84</v>
      </c>
      <c r="K1393" s="80" t="s">
        <v>9680</v>
      </c>
      <c r="L1393" s="80" t="s">
        <v>9680</v>
      </c>
      <c r="M1393" s="80" t="s">
        <v>9680</v>
      </c>
      <c r="N1393" s="80" t="s">
        <v>84</v>
      </c>
      <c r="O1393" s="80" t="s">
        <v>9680</v>
      </c>
      <c r="P1393" s="80"/>
      <c r="Q1393" s="80" t="s">
        <v>9680</v>
      </c>
      <c r="R1393" s="80" t="s">
        <v>9680</v>
      </c>
    </row>
    <row r="1394" spans="1:18" ht="20" x14ac:dyDescent="0.2">
      <c r="A1394" s="80" t="s">
        <v>2003</v>
      </c>
      <c r="B1394" s="80" t="s">
        <v>2004</v>
      </c>
      <c r="C1394" s="80" t="s">
        <v>9680</v>
      </c>
      <c r="D1394" s="80" t="s">
        <v>9680</v>
      </c>
      <c r="E1394" s="80" t="s">
        <v>84</v>
      </c>
      <c r="F1394" s="80"/>
      <c r="G1394" s="80" t="s">
        <v>9680</v>
      </c>
      <c r="H1394" s="80" t="s">
        <v>9680</v>
      </c>
      <c r="I1394" s="80" t="s">
        <v>9680</v>
      </c>
      <c r="J1394" s="80" t="s">
        <v>84</v>
      </c>
      <c r="K1394" s="80" t="s">
        <v>9680</v>
      </c>
      <c r="L1394" s="80" t="s">
        <v>9680</v>
      </c>
      <c r="M1394" s="80" t="s">
        <v>9680</v>
      </c>
      <c r="N1394" s="80" t="s">
        <v>84</v>
      </c>
      <c r="O1394" s="80" t="s">
        <v>9680</v>
      </c>
      <c r="P1394" s="80"/>
      <c r="Q1394" s="80" t="s">
        <v>9680</v>
      </c>
      <c r="R1394" s="80" t="s">
        <v>9680</v>
      </c>
    </row>
    <row r="1395" spans="1:18" ht="20" x14ac:dyDescent="0.2">
      <c r="A1395" s="80" t="s">
        <v>2005</v>
      </c>
      <c r="B1395" s="80" t="s">
        <v>2006</v>
      </c>
      <c r="C1395" s="80" t="s">
        <v>9722</v>
      </c>
      <c r="D1395" s="80" t="s">
        <v>9722</v>
      </c>
      <c r="E1395" s="80" t="s">
        <v>84</v>
      </c>
      <c r="F1395" s="80"/>
      <c r="G1395" s="80" t="s">
        <v>9722</v>
      </c>
      <c r="H1395" s="80" t="s">
        <v>9722</v>
      </c>
      <c r="I1395" s="80" t="s">
        <v>9722</v>
      </c>
      <c r="J1395" s="80" t="s">
        <v>84</v>
      </c>
      <c r="K1395" s="80" t="s">
        <v>9722</v>
      </c>
      <c r="L1395" s="80" t="s">
        <v>9722</v>
      </c>
      <c r="M1395" s="80" t="s">
        <v>9722</v>
      </c>
      <c r="N1395" s="80" t="s">
        <v>84</v>
      </c>
      <c r="O1395" s="80" t="s">
        <v>9722</v>
      </c>
      <c r="P1395" s="80"/>
      <c r="Q1395" s="80" t="s">
        <v>9722</v>
      </c>
      <c r="R1395" s="80" t="s">
        <v>9722</v>
      </c>
    </row>
    <row r="1396" spans="1:18" ht="20" x14ac:dyDescent="0.2">
      <c r="A1396" s="80" t="s">
        <v>2007</v>
      </c>
      <c r="B1396" s="80" t="s">
        <v>2008</v>
      </c>
      <c r="C1396" s="80" t="s">
        <v>9680</v>
      </c>
      <c r="D1396" s="80" t="s">
        <v>9680</v>
      </c>
      <c r="E1396" s="80" t="s">
        <v>84</v>
      </c>
      <c r="F1396" s="80"/>
      <c r="G1396" s="80" t="s">
        <v>9680</v>
      </c>
      <c r="H1396" s="80" t="s">
        <v>9680</v>
      </c>
      <c r="I1396" s="80" t="s">
        <v>9680</v>
      </c>
      <c r="J1396" s="80" t="s">
        <v>84</v>
      </c>
      <c r="K1396" s="80" t="s">
        <v>9680</v>
      </c>
      <c r="L1396" s="80" t="s">
        <v>9680</v>
      </c>
      <c r="M1396" s="80" t="s">
        <v>9680</v>
      </c>
      <c r="N1396" s="80" t="s">
        <v>84</v>
      </c>
      <c r="O1396" s="80" t="s">
        <v>9680</v>
      </c>
      <c r="P1396" s="80"/>
      <c r="Q1396" s="80" t="s">
        <v>9680</v>
      </c>
      <c r="R1396" s="80" t="s">
        <v>9680</v>
      </c>
    </row>
    <row r="1397" spans="1:18" ht="20" x14ac:dyDescent="0.2">
      <c r="A1397" s="80" t="s">
        <v>2009</v>
      </c>
      <c r="B1397" s="80" t="s">
        <v>2010</v>
      </c>
      <c r="C1397" s="80" t="s">
        <v>9680</v>
      </c>
      <c r="D1397" s="80" t="s">
        <v>84</v>
      </c>
      <c r="E1397" s="80" t="s">
        <v>84</v>
      </c>
      <c r="F1397" s="80"/>
      <c r="G1397" s="80" t="s">
        <v>84</v>
      </c>
      <c r="H1397" s="80" t="s">
        <v>84</v>
      </c>
      <c r="I1397" s="80" t="s">
        <v>84</v>
      </c>
      <c r="J1397" s="80" t="s">
        <v>84</v>
      </c>
      <c r="K1397" s="80" t="s">
        <v>84</v>
      </c>
      <c r="L1397" s="80" t="s">
        <v>84</v>
      </c>
      <c r="M1397" s="80" t="s">
        <v>84</v>
      </c>
      <c r="N1397" s="80" t="s">
        <v>84</v>
      </c>
      <c r="O1397" s="80" t="s">
        <v>84</v>
      </c>
      <c r="P1397" s="80"/>
      <c r="Q1397" s="80" t="s">
        <v>84</v>
      </c>
      <c r="R1397" s="80" t="s">
        <v>84</v>
      </c>
    </row>
    <row r="1398" spans="1:18" ht="20" x14ac:dyDescent="0.2">
      <c r="A1398" s="80" t="s">
        <v>2011</v>
      </c>
      <c r="B1398" s="80" t="s">
        <v>2012</v>
      </c>
      <c r="C1398" s="80" t="s">
        <v>9680</v>
      </c>
      <c r="D1398" s="80" t="s">
        <v>84</v>
      </c>
      <c r="E1398" s="80" t="s">
        <v>84</v>
      </c>
      <c r="F1398" s="80"/>
      <c r="G1398" s="80" t="s">
        <v>84</v>
      </c>
      <c r="H1398" s="80" t="s">
        <v>84</v>
      </c>
      <c r="I1398" s="80" t="s">
        <v>84</v>
      </c>
      <c r="J1398" s="80" t="s">
        <v>84</v>
      </c>
      <c r="K1398" s="80" t="s">
        <v>84</v>
      </c>
      <c r="L1398" s="80" t="s">
        <v>84</v>
      </c>
      <c r="M1398" s="80" t="s">
        <v>84</v>
      </c>
      <c r="N1398" s="80" t="s">
        <v>84</v>
      </c>
      <c r="O1398" s="80" t="s">
        <v>84</v>
      </c>
      <c r="P1398" s="80"/>
      <c r="Q1398" s="80" t="s">
        <v>84</v>
      </c>
      <c r="R1398" s="80" t="s">
        <v>84</v>
      </c>
    </row>
    <row r="1399" spans="1:18" ht="20" x14ac:dyDescent="0.2">
      <c r="A1399" s="80" t="s">
        <v>1839</v>
      </c>
      <c r="B1399" s="80" t="s">
        <v>1840</v>
      </c>
      <c r="C1399" s="80" t="s">
        <v>9680</v>
      </c>
      <c r="D1399" s="80" t="s">
        <v>9680</v>
      </c>
      <c r="E1399" s="80" t="s">
        <v>9680</v>
      </c>
      <c r="F1399" s="80"/>
      <c r="G1399" s="80" t="s">
        <v>84</v>
      </c>
      <c r="H1399" s="80" t="s">
        <v>9680</v>
      </c>
      <c r="I1399" s="80" t="s">
        <v>9680</v>
      </c>
      <c r="J1399" s="80" t="s">
        <v>9680</v>
      </c>
      <c r="K1399" s="80" t="s">
        <v>9680</v>
      </c>
      <c r="L1399" s="80" t="s">
        <v>84</v>
      </c>
      <c r="M1399" s="80" t="s">
        <v>84</v>
      </c>
      <c r="N1399" s="80" t="s">
        <v>9680</v>
      </c>
      <c r="O1399" s="80" t="s">
        <v>9680</v>
      </c>
      <c r="P1399" s="80"/>
      <c r="Q1399" s="80" t="s">
        <v>84</v>
      </c>
      <c r="R1399" s="80" t="s">
        <v>9680</v>
      </c>
    </row>
    <row r="1400" spans="1:18" ht="20" x14ac:dyDescent="0.2">
      <c r="A1400" s="80" t="s">
        <v>1860</v>
      </c>
      <c r="B1400" s="80" t="s">
        <v>1861</v>
      </c>
      <c r="C1400" s="80" t="s">
        <v>9722</v>
      </c>
      <c r="D1400" s="80" t="s">
        <v>84</v>
      </c>
      <c r="E1400" s="80" t="s">
        <v>84</v>
      </c>
      <c r="F1400" s="80"/>
      <c r="G1400" s="80" t="s">
        <v>84</v>
      </c>
      <c r="H1400" s="80" t="s">
        <v>84</v>
      </c>
      <c r="I1400" s="80" t="s">
        <v>84</v>
      </c>
      <c r="J1400" s="80" t="s">
        <v>84</v>
      </c>
      <c r="K1400" s="80" t="s">
        <v>84</v>
      </c>
      <c r="L1400" s="80" t="s">
        <v>84</v>
      </c>
      <c r="M1400" s="80" t="s">
        <v>84</v>
      </c>
      <c r="N1400" s="80" t="s">
        <v>84</v>
      </c>
      <c r="O1400" s="80" t="s">
        <v>84</v>
      </c>
      <c r="P1400" s="80"/>
      <c r="Q1400" s="80" t="s">
        <v>84</v>
      </c>
      <c r="R1400" s="80" t="s">
        <v>84</v>
      </c>
    </row>
    <row r="1401" spans="1:18" ht="20" x14ac:dyDescent="0.2">
      <c r="A1401" s="80" t="s">
        <v>1804</v>
      </c>
      <c r="B1401" s="80" t="s">
        <v>1805</v>
      </c>
      <c r="C1401" s="80" t="s">
        <v>9680</v>
      </c>
      <c r="D1401" s="80" t="s">
        <v>84</v>
      </c>
      <c r="E1401" s="80" t="s">
        <v>84</v>
      </c>
      <c r="F1401" s="80"/>
      <c r="G1401" s="80" t="s">
        <v>84</v>
      </c>
      <c r="H1401" s="80" t="s">
        <v>84</v>
      </c>
      <c r="I1401" s="80" t="s">
        <v>84</v>
      </c>
      <c r="J1401" s="80" t="s">
        <v>84</v>
      </c>
      <c r="K1401" s="80" t="s">
        <v>84</v>
      </c>
      <c r="L1401" s="80" t="s">
        <v>84</v>
      </c>
      <c r="M1401" s="80" t="s">
        <v>84</v>
      </c>
      <c r="N1401" s="80" t="s">
        <v>84</v>
      </c>
      <c r="O1401" s="80" t="s">
        <v>84</v>
      </c>
      <c r="P1401" s="80"/>
      <c r="Q1401" s="80" t="s">
        <v>84</v>
      </c>
      <c r="R1401" s="80" t="s">
        <v>84</v>
      </c>
    </row>
    <row r="1402" spans="1:18" ht="20" x14ac:dyDescent="0.2">
      <c r="A1402" s="80" t="s">
        <v>1804</v>
      </c>
      <c r="B1402" s="80" t="s">
        <v>1864</v>
      </c>
      <c r="C1402" s="80" t="s">
        <v>9680</v>
      </c>
      <c r="D1402" s="80" t="s">
        <v>84</v>
      </c>
      <c r="E1402" s="80" t="s">
        <v>84</v>
      </c>
      <c r="F1402" s="80"/>
      <c r="G1402" s="80" t="s">
        <v>84</v>
      </c>
      <c r="H1402" s="80" t="s">
        <v>84</v>
      </c>
      <c r="I1402" s="80" t="s">
        <v>84</v>
      </c>
      <c r="J1402" s="80" t="s">
        <v>84</v>
      </c>
      <c r="K1402" s="80" t="s">
        <v>84</v>
      </c>
      <c r="L1402" s="80" t="s">
        <v>84</v>
      </c>
      <c r="M1402" s="80" t="s">
        <v>84</v>
      </c>
      <c r="N1402" s="80" t="s">
        <v>84</v>
      </c>
      <c r="O1402" s="80" t="s">
        <v>84</v>
      </c>
      <c r="P1402" s="80"/>
      <c r="Q1402" s="80" t="s">
        <v>84</v>
      </c>
      <c r="R1402" s="80" t="s">
        <v>84</v>
      </c>
    </row>
    <row r="1403" spans="1:18" ht="20" x14ac:dyDescent="0.2">
      <c r="A1403" s="80" t="s">
        <v>2013</v>
      </c>
      <c r="B1403" s="80" t="s">
        <v>2014</v>
      </c>
      <c r="C1403" s="80" t="s">
        <v>9680</v>
      </c>
      <c r="D1403" s="80" t="s">
        <v>84</v>
      </c>
      <c r="E1403" s="80" t="s">
        <v>84</v>
      </c>
      <c r="F1403" s="80"/>
      <c r="G1403" s="80" t="s">
        <v>84</v>
      </c>
      <c r="H1403" s="80" t="s">
        <v>84</v>
      </c>
      <c r="I1403" s="80" t="s">
        <v>84</v>
      </c>
      <c r="J1403" s="80" t="s">
        <v>84</v>
      </c>
      <c r="K1403" s="80" t="s">
        <v>84</v>
      </c>
      <c r="L1403" s="80" t="s">
        <v>84</v>
      </c>
      <c r="M1403" s="80" t="s">
        <v>84</v>
      </c>
      <c r="N1403" s="80" t="s">
        <v>84</v>
      </c>
      <c r="O1403" s="80" t="s">
        <v>84</v>
      </c>
      <c r="P1403" s="80"/>
      <c r="Q1403" s="80" t="s">
        <v>84</v>
      </c>
      <c r="R1403" s="80" t="s">
        <v>84</v>
      </c>
    </row>
    <row r="1404" spans="1:18" ht="20" x14ac:dyDescent="0.2">
      <c r="A1404" s="80" t="s">
        <v>1845</v>
      </c>
      <c r="B1404" s="80" t="s">
        <v>1846</v>
      </c>
      <c r="C1404" s="80" t="s">
        <v>9680</v>
      </c>
      <c r="D1404" s="80" t="s">
        <v>84</v>
      </c>
      <c r="E1404" s="80" t="s">
        <v>84</v>
      </c>
      <c r="F1404" s="80"/>
      <c r="G1404" s="80" t="s">
        <v>84</v>
      </c>
      <c r="H1404" s="80" t="s">
        <v>84</v>
      </c>
      <c r="I1404" s="80" t="s">
        <v>84</v>
      </c>
      <c r="J1404" s="80" t="s">
        <v>84</v>
      </c>
      <c r="K1404" s="80" t="s">
        <v>84</v>
      </c>
      <c r="L1404" s="80" t="s">
        <v>84</v>
      </c>
      <c r="M1404" s="80" t="s">
        <v>84</v>
      </c>
      <c r="N1404" s="80" t="s">
        <v>84</v>
      </c>
      <c r="O1404" s="80" t="s">
        <v>84</v>
      </c>
      <c r="P1404" s="80"/>
      <c r="Q1404" s="80" t="s">
        <v>84</v>
      </c>
      <c r="R1404" s="80" t="s">
        <v>84</v>
      </c>
    </row>
    <row r="1405" spans="1:18" ht="20" x14ac:dyDescent="0.2">
      <c r="A1405" s="80" t="s">
        <v>756</v>
      </c>
      <c r="B1405" s="80" t="s">
        <v>757</v>
      </c>
      <c r="C1405" s="80" t="s">
        <v>9680</v>
      </c>
      <c r="D1405" s="80" t="s">
        <v>9680</v>
      </c>
      <c r="E1405" s="80" t="s">
        <v>84</v>
      </c>
      <c r="F1405" s="80"/>
      <c r="G1405" s="80" t="s">
        <v>9680</v>
      </c>
      <c r="H1405" s="80" t="s">
        <v>84</v>
      </c>
      <c r="I1405" s="80" t="s">
        <v>9680</v>
      </c>
      <c r="J1405" s="80" t="s">
        <v>9680</v>
      </c>
      <c r="K1405" s="80" t="s">
        <v>9680</v>
      </c>
      <c r="L1405" s="80" t="s">
        <v>9680</v>
      </c>
      <c r="M1405" s="80" t="s">
        <v>9680</v>
      </c>
      <c r="N1405" s="80" t="s">
        <v>84</v>
      </c>
      <c r="O1405" s="80" t="s">
        <v>9680</v>
      </c>
      <c r="P1405" s="80"/>
      <c r="Q1405" s="80" t="s">
        <v>9680</v>
      </c>
      <c r="R1405" s="80" t="s">
        <v>9680</v>
      </c>
    </row>
    <row r="1406" spans="1:18" ht="20" x14ac:dyDescent="0.2">
      <c r="A1406" s="80" t="s">
        <v>756</v>
      </c>
      <c r="B1406" s="80" t="s">
        <v>10180</v>
      </c>
      <c r="C1406" s="80" t="s">
        <v>9680</v>
      </c>
      <c r="D1406" s="80" t="s">
        <v>9680</v>
      </c>
      <c r="E1406" s="80" t="s">
        <v>84</v>
      </c>
      <c r="F1406" s="80"/>
      <c r="G1406" s="80" t="s">
        <v>9680</v>
      </c>
      <c r="H1406" s="80" t="s">
        <v>84</v>
      </c>
      <c r="I1406" s="80" t="s">
        <v>9680</v>
      </c>
      <c r="J1406" s="80" t="s">
        <v>9680</v>
      </c>
      <c r="K1406" s="80" t="s">
        <v>9680</v>
      </c>
      <c r="L1406" s="80" t="s">
        <v>9680</v>
      </c>
      <c r="M1406" s="80" t="s">
        <v>9680</v>
      </c>
      <c r="N1406" s="80" t="s">
        <v>84</v>
      </c>
      <c r="O1406" s="80" t="s">
        <v>9680</v>
      </c>
      <c r="P1406" s="80"/>
      <c r="Q1406" s="80" t="s">
        <v>9680</v>
      </c>
      <c r="R1406" s="80" t="s">
        <v>9680</v>
      </c>
    </row>
    <row r="1407" spans="1:18" ht="20" x14ac:dyDescent="0.2">
      <c r="A1407" s="80" t="s">
        <v>756</v>
      </c>
      <c r="B1407" s="80" t="s">
        <v>774</v>
      </c>
      <c r="C1407" s="80" t="s">
        <v>9680</v>
      </c>
      <c r="D1407" s="80" t="s">
        <v>9680</v>
      </c>
      <c r="E1407" s="80" t="s">
        <v>84</v>
      </c>
      <c r="F1407" s="80"/>
      <c r="G1407" s="80" t="s">
        <v>9680</v>
      </c>
      <c r="H1407" s="80" t="s">
        <v>84</v>
      </c>
      <c r="I1407" s="80" t="s">
        <v>9680</v>
      </c>
      <c r="J1407" s="80" t="s">
        <v>9680</v>
      </c>
      <c r="K1407" s="80" t="s">
        <v>9680</v>
      </c>
      <c r="L1407" s="80" t="s">
        <v>9680</v>
      </c>
      <c r="M1407" s="80" t="s">
        <v>9680</v>
      </c>
      <c r="N1407" s="80" t="s">
        <v>84</v>
      </c>
      <c r="O1407" s="80" t="s">
        <v>9680</v>
      </c>
      <c r="P1407" s="80"/>
      <c r="Q1407" s="80" t="s">
        <v>9680</v>
      </c>
      <c r="R1407" s="80" t="s">
        <v>9680</v>
      </c>
    </row>
    <row r="1408" spans="1:18" ht="20" x14ac:dyDescent="0.2">
      <c r="A1408" s="80" t="s">
        <v>775</v>
      </c>
      <c r="B1408" s="80" t="s">
        <v>776</v>
      </c>
      <c r="C1408" s="80" t="s">
        <v>9722</v>
      </c>
      <c r="D1408" s="80" t="s">
        <v>9722</v>
      </c>
      <c r="E1408" s="80" t="s">
        <v>9722</v>
      </c>
      <c r="F1408" s="80"/>
      <c r="G1408" s="80" t="s">
        <v>9722</v>
      </c>
      <c r="H1408" s="80" t="s">
        <v>9722</v>
      </c>
      <c r="I1408" s="80" t="s">
        <v>9722</v>
      </c>
      <c r="J1408" s="80" t="s">
        <v>84</v>
      </c>
      <c r="K1408" s="80" t="s">
        <v>9722</v>
      </c>
      <c r="L1408" s="80" t="s">
        <v>9722</v>
      </c>
      <c r="M1408" s="80" t="s">
        <v>9722</v>
      </c>
      <c r="N1408" s="80" t="s">
        <v>9722</v>
      </c>
      <c r="O1408" s="80" t="s">
        <v>9722</v>
      </c>
      <c r="P1408" s="80"/>
      <c r="Q1408" s="80" t="s">
        <v>9722</v>
      </c>
      <c r="R1408" s="80" t="s">
        <v>9722</v>
      </c>
    </row>
    <row r="1409" spans="1:18" ht="20" x14ac:dyDescent="0.2">
      <c r="A1409" s="80" t="s">
        <v>775</v>
      </c>
      <c r="B1409" s="80" t="s">
        <v>10181</v>
      </c>
      <c r="C1409" s="80" t="s">
        <v>9722</v>
      </c>
      <c r="D1409" s="80" t="s">
        <v>9722</v>
      </c>
      <c r="E1409" s="80" t="s">
        <v>9722</v>
      </c>
      <c r="F1409" s="80"/>
      <c r="G1409" s="80" t="s">
        <v>9722</v>
      </c>
      <c r="H1409" s="80" t="s">
        <v>9722</v>
      </c>
      <c r="I1409" s="80" t="s">
        <v>9722</v>
      </c>
      <c r="J1409" s="80" t="s">
        <v>84</v>
      </c>
      <c r="K1409" s="80" t="s">
        <v>9722</v>
      </c>
      <c r="L1409" s="80" t="s">
        <v>9722</v>
      </c>
      <c r="M1409" s="80" t="s">
        <v>9722</v>
      </c>
      <c r="N1409" s="80" t="s">
        <v>9722</v>
      </c>
      <c r="O1409" s="80" t="s">
        <v>9722</v>
      </c>
      <c r="P1409" s="80"/>
      <c r="Q1409" s="80" t="s">
        <v>9722</v>
      </c>
      <c r="R1409" s="80" t="s">
        <v>9722</v>
      </c>
    </row>
    <row r="1410" spans="1:18" ht="20" x14ac:dyDescent="0.2">
      <c r="A1410" s="80" t="s">
        <v>780</v>
      </c>
      <c r="B1410" s="80" t="s">
        <v>781</v>
      </c>
      <c r="C1410" s="80" t="s">
        <v>9680</v>
      </c>
      <c r="D1410" s="80" t="s">
        <v>9680</v>
      </c>
      <c r="E1410" s="80" t="s">
        <v>84</v>
      </c>
      <c r="F1410" s="80"/>
      <c r="G1410" s="80" t="s">
        <v>9680</v>
      </c>
      <c r="H1410" s="80" t="s">
        <v>84</v>
      </c>
      <c r="I1410" s="80" t="s">
        <v>9680</v>
      </c>
      <c r="J1410" s="80" t="s">
        <v>84</v>
      </c>
      <c r="K1410" s="80" t="s">
        <v>9680</v>
      </c>
      <c r="L1410" s="80" t="s">
        <v>9680</v>
      </c>
      <c r="M1410" s="80" t="s">
        <v>9680</v>
      </c>
      <c r="N1410" s="80" t="s">
        <v>84</v>
      </c>
      <c r="O1410" s="80" t="s">
        <v>9680</v>
      </c>
      <c r="P1410" s="80"/>
      <c r="Q1410" s="80" t="s">
        <v>9680</v>
      </c>
      <c r="R1410" s="80" t="s">
        <v>9680</v>
      </c>
    </row>
    <row r="1411" spans="1:18" ht="20" x14ac:dyDescent="0.2">
      <c r="A1411" s="80" t="s">
        <v>782</v>
      </c>
      <c r="B1411" s="80" t="s">
        <v>783</v>
      </c>
      <c r="C1411" s="80" t="s">
        <v>9680</v>
      </c>
      <c r="D1411" s="80" t="s">
        <v>9680</v>
      </c>
      <c r="E1411" s="80" t="s">
        <v>9680</v>
      </c>
      <c r="F1411" s="80"/>
      <c r="G1411" s="80" t="s">
        <v>9680</v>
      </c>
      <c r="H1411" s="80" t="s">
        <v>9680</v>
      </c>
      <c r="I1411" s="80" t="s">
        <v>9680</v>
      </c>
      <c r="J1411" s="80" t="s">
        <v>84</v>
      </c>
      <c r="K1411" s="80" t="s">
        <v>9680</v>
      </c>
      <c r="L1411" s="80" t="s">
        <v>9680</v>
      </c>
      <c r="M1411" s="80" t="s">
        <v>9680</v>
      </c>
      <c r="N1411" s="80" t="s">
        <v>9680</v>
      </c>
      <c r="O1411" s="80" t="s">
        <v>9680</v>
      </c>
      <c r="P1411" s="80"/>
      <c r="Q1411" s="80" t="s">
        <v>9680</v>
      </c>
      <c r="R1411" s="80" t="s">
        <v>9680</v>
      </c>
    </row>
    <row r="1412" spans="1:18" ht="20" x14ac:dyDescent="0.2">
      <c r="A1412" s="80" t="s">
        <v>782</v>
      </c>
      <c r="B1412" s="80" t="s">
        <v>10182</v>
      </c>
      <c r="C1412" s="80" t="s">
        <v>9680</v>
      </c>
      <c r="D1412" s="80" t="s">
        <v>9680</v>
      </c>
      <c r="E1412" s="80" t="s">
        <v>9680</v>
      </c>
      <c r="F1412" s="80"/>
      <c r="G1412" s="80" t="s">
        <v>9680</v>
      </c>
      <c r="H1412" s="80" t="s">
        <v>9680</v>
      </c>
      <c r="I1412" s="80" t="s">
        <v>9680</v>
      </c>
      <c r="J1412" s="80" t="s">
        <v>84</v>
      </c>
      <c r="K1412" s="80" t="s">
        <v>9680</v>
      </c>
      <c r="L1412" s="80" t="s">
        <v>9680</v>
      </c>
      <c r="M1412" s="80" t="s">
        <v>9680</v>
      </c>
      <c r="N1412" s="80" t="s">
        <v>9680</v>
      </c>
      <c r="O1412" s="80" t="s">
        <v>9680</v>
      </c>
      <c r="P1412" s="80"/>
      <c r="Q1412" s="80" t="s">
        <v>9680</v>
      </c>
      <c r="R1412" s="80" t="s">
        <v>9680</v>
      </c>
    </row>
    <row r="1413" spans="1:18" ht="20" x14ac:dyDescent="0.2">
      <c r="A1413" s="80" t="s">
        <v>10183</v>
      </c>
      <c r="B1413" s="80" t="s">
        <v>10184</v>
      </c>
      <c r="C1413" s="80" t="s">
        <v>9680</v>
      </c>
      <c r="D1413" s="80" t="s">
        <v>84</v>
      </c>
      <c r="E1413" s="80" t="s">
        <v>84</v>
      </c>
      <c r="F1413" s="80"/>
      <c r="G1413" s="80" t="s">
        <v>84</v>
      </c>
      <c r="H1413" s="80" t="s">
        <v>84</v>
      </c>
      <c r="I1413" s="80" t="s">
        <v>84</v>
      </c>
      <c r="J1413" s="80" t="s">
        <v>84</v>
      </c>
      <c r="K1413" s="80" t="s">
        <v>84</v>
      </c>
      <c r="L1413" s="80" t="s">
        <v>84</v>
      </c>
      <c r="M1413" s="80" t="s">
        <v>84</v>
      </c>
      <c r="N1413" s="80" t="s">
        <v>84</v>
      </c>
      <c r="O1413" s="80" t="s">
        <v>84</v>
      </c>
      <c r="P1413" s="80"/>
      <c r="Q1413" s="80" t="s">
        <v>84</v>
      </c>
      <c r="R1413" s="80" t="s">
        <v>84</v>
      </c>
    </row>
    <row r="1414" spans="1:18" ht="20" x14ac:dyDescent="0.2">
      <c r="A1414" s="80" t="s">
        <v>10185</v>
      </c>
      <c r="B1414" s="80" t="s">
        <v>10186</v>
      </c>
      <c r="C1414" s="80" t="s">
        <v>9722</v>
      </c>
      <c r="D1414" s="80" t="s">
        <v>84</v>
      </c>
      <c r="E1414" s="80" t="s">
        <v>84</v>
      </c>
      <c r="F1414" s="80"/>
      <c r="G1414" s="80" t="s">
        <v>84</v>
      </c>
      <c r="H1414" s="80" t="s">
        <v>84</v>
      </c>
      <c r="I1414" s="80" t="s">
        <v>84</v>
      </c>
      <c r="J1414" s="80" t="s">
        <v>84</v>
      </c>
      <c r="K1414" s="80" t="s">
        <v>84</v>
      </c>
      <c r="L1414" s="80" t="s">
        <v>84</v>
      </c>
      <c r="M1414" s="80" t="s">
        <v>84</v>
      </c>
      <c r="N1414" s="80" t="s">
        <v>84</v>
      </c>
      <c r="O1414" s="80" t="s">
        <v>84</v>
      </c>
      <c r="P1414" s="80"/>
      <c r="Q1414" s="80" t="s">
        <v>84</v>
      </c>
      <c r="R1414" s="80" t="s">
        <v>84</v>
      </c>
    </row>
    <row r="1415" spans="1:18" ht="20" x14ac:dyDescent="0.2">
      <c r="A1415" s="80" t="s">
        <v>795</v>
      </c>
      <c r="B1415" s="80" t="s">
        <v>796</v>
      </c>
      <c r="C1415" s="80" t="s">
        <v>9680</v>
      </c>
      <c r="D1415" s="80" t="s">
        <v>9680</v>
      </c>
      <c r="E1415" s="80" t="s">
        <v>9680</v>
      </c>
      <c r="F1415" s="80"/>
      <c r="G1415" s="80" t="s">
        <v>9680</v>
      </c>
      <c r="H1415" s="80" t="s">
        <v>9680</v>
      </c>
      <c r="I1415" s="80" t="s">
        <v>9680</v>
      </c>
      <c r="J1415" s="80" t="s">
        <v>84</v>
      </c>
      <c r="K1415" s="80" t="s">
        <v>9680</v>
      </c>
      <c r="L1415" s="80" t="s">
        <v>9680</v>
      </c>
      <c r="M1415" s="80" t="s">
        <v>84</v>
      </c>
      <c r="N1415" s="80" t="s">
        <v>9680</v>
      </c>
      <c r="O1415" s="80" t="s">
        <v>84</v>
      </c>
      <c r="P1415" s="80"/>
      <c r="Q1415" s="80" t="s">
        <v>84</v>
      </c>
      <c r="R1415" s="80" t="s">
        <v>84</v>
      </c>
    </row>
    <row r="1416" spans="1:18" ht="20" x14ac:dyDescent="0.2">
      <c r="A1416" s="80" t="s">
        <v>795</v>
      </c>
      <c r="B1416" s="80" t="s">
        <v>10187</v>
      </c>
      <c r="C1416" s="80" t="s">
        <v>9680</v>
      </c>
      <c r="D1416" s="80" t="s">
        <v>9680</v>
      </c>
      <c r="E1416" s="80" t="s">
        <v>9680</v>
      </c>
      <c r="F1416" s="80"/>
      <c r="G1416" s="80" t="s">
        <v>9680</v>
      </c>
      <c r="H1416" s="80" t="s">
        <v>9680</v>
      </c>
      <c r="I1416" s="80" t="s">
        <v>9680</v>
      </c>
      <c r="J1416" s="80" t="s">
        <v>84</v>
      </c>
      <c r="K1416" s="80" t="s">
        <v>9680</v>
      </c>
      <c r="L1416" s="80" t="s">
        <v>9680</v>
      </c>
      <c r="M1416" s="80" t="s">
        <v>84</v>
      </c>
      <c r="N1416" s="80" t="s">
        <v>9680</v>
      </c>
      <c r="O1416" s="80" t="s">
        <v>84</v>
      </c>
      <c r="P1416" s="80"/>
      <c r="Q1416" s="80" t="s">
        <v>84</v>
      </c>
      <c r="R1416" s="80" t="s">
        <v>84</v>
      </c>
    </row>
    <row r="1417" spans="1:18" ht="20" x14ac:dyDescent="0.2">
      <c r="A1417" s="80" t="s">
        <v>763</v>
      </c>
      <c r="B1417" s="80" t="s">
        <v>764</v>
      </c>
      <c r="C1417" s="80" t="s">
        <v>9722</v>
      </c>
      <c r="D1417" s="80" t="s">
        <v>84</v>
      </c>
      <c r="E1417" s="80" t="s">
        <v>84</v>
      </c>
      <c r="F1417" s="80"/>
      <c r="G1417" s="80" t="s">
        <v>84</v>
      </c>
      <c r="H1417" s="80" t="s">
        <v>84</v>
      </c>
      <c r="I1417" s="80" t="s">
        <v>84</v>
      </c>
      <c r="J1417" s="80" t="s">
        <v>84</v>
      </c>
      <c r="K1417" s="80" t="s">
        <v>84</v>
      </c>
      <c r="L1417" s="80" t="s">
        <v>84</v>
      </c>
      <c r="M1417" s="80" t="s">
        <v>84</v>
      </c>
      <c r="N1417" s="80" t="s">
        <v>84</v>
      </c>
      <c r="O1417" s="80" t="s">
        <v>84</v>
      </c>
      <c r="P1417" s="80"/>
      <c r="Q1417" s="80" t="s">
        <v>84</v>
      </c>
      <c r="R1417" s="80" t="s">
        <v>84</v>
      </c>
    </row>
    <row r="1418" spans="1:18" ht="20" x14ac:dyDescent="0.2">
      <c r="A1418" s="80" t="s">
        <v>763</v>
      </c>
      <c r="B1418" s="80" t="s">
        <v>800</v>
      </c>
      <c r="C1418" s="80" t="s">
        <v>9722</v>
      </c>
      <c r="D1418" s="80" t="s">
        <v>84</v>
      </c>
      <c r="E1418" s="80" t="s">
        <v>84</v>
      </c>
      <c r="F1418" s="80"/>
      <c r="G1418" s="80" t="s">
        <v>84</v>
      </c>
      <c r="H1418" s="80" t="s">
        <v>84</v>
      </c>
      <c r="I1418" s="80" t="s">
        <v>84</v>
      </c>
      <c r="J1418" s="80" t="s">
        <v>84</v>
      </c>
      <c r="K1418" s="80" t="s">
        <v>84</v>
      </c>
      <c r="L1418" s="80" t="s">
        <v>84</v>
      </c>
      <c r="M1418" s="80" t="s">
        <v>84</v>
      </c>
      <c r="N1418" s="80" t="s">
        <v>84</v>
      </c>
      <c r="O1418" s="80" t="s">
        <v>84</v>
      </c>
      <c r="P1418" s="80"/>
      <c r="Q1418" s="80" t="s">
        <v>84</v>
      </c>
      <c r="R1418" s="80" t="s">
        <v>84</v>
      </c>
    </row>
    <row r="1419" spans="1:18" ht="20" x14ac:dyDescent="0.2">
      <c r="A1419" s="80" t="s">
        <v>6134</v>
      </c>
      <c r="B1419" s="80" t="s">
        <v>6135</v>
      </c>
      <c r="C1419" s="80" t="s">
        <v>9680</v>
      </c>
      <c r="D1419" s="80" t="s">
        <v>84</v>
      </c>
      <c r="E1419" s="80" t="s">
        <v>84</v>
      </c>
      <c r="F1419" s="80"/>
      <c r="G1419" s="80" t="s">
        <v>84</v>
      </c>
      <c r="H1419" s="80" t="s">
        <v>84</v>
      </c>
      <c r="I1419" s="80" t="s">
        <v>84</v>
      </c>
      <c r="J1419" s="80" t="s">
        <v>84</v>
      </c>
      <c r="K1419" s="80" t="s">
        <v>84</v>
      </c>
      <c r="L1419" s="80" t="s">
        <v>84</v>
      </c>
      <c r="M1419" s="80" t="s">
        <v>84</v>
      </c>
      <c r="N1419" s="80" t="s">
        <v>84</v>
      </c>
      <c r="O1419" s="80" t="s">
        <v>84</v>
      </c>
      <c r="P1419" s="80"/>
      <c r="Q1419" s="80" t="s">
        <v>84</v>
      </c>
      <c r="R1419" s="80" t="s">
        <v>84</v>
      </c>
    </row>
    <row r="1420" spans="1:18" ht="20" x14ac:dyDescent="0.2">
      <c r="A1420" s="80" t="s">
        <v>5503</v>
      </c>
      <c r="B1420" s="80" t="s">
        <v>5504</v>
      </c>
      <c r="C1420" s="80" t="s">
        <v>9722</v>
      </c>
      <c r="D1420" s="80" t="s">
        <v>9722</v>
      </c>
      <c r="E1420" s="80" t="s">
        <v>9722</v>
      </c>
      <c r="F1420" s="80"/>
      <c r="G1420" s="80" t="s">
        <v>9722</v>
      </c>
      <c r="H1420" s="80" t="s">
        <v>9722</v>
      </c>
      <c r="I1420" s="80" t="s">
        <v>9722</v>
      </c>
      <c r="J1420" s="80" t="s">
        <v>9722</v>
      </c>
      <c r="K1420" s="80" t="s">
        <v>9722</v>
      </c>
      <c r="L1420" s="80" t="s">
        <v>9722</v>
      </c>
      <c r="M1420" s="80" t="s">
        <v>9722</v>
      </c>
      <c r="N1420" s="80" t="s">
        <v>9722</v>
      </c>
      <c r="O1420" s="80" t="s">
        <v>9722</v>
      </c>
      <c r="P1420" s="80"/>
      <c r="Q1420" s="80" t="s">
        <v>9722</v>
      </c>
      <c r="R1420" s="80" t="s">
        <v>9722</v>
      </c>
    </row>
    <row r="1421" spans="1:18" ht="20" x14ac:dyDescent="0.2">
      <c r="A1421" s="80" t="s">
        <v>5439</v>
      </c>
      <c r="B1421" s="80" t="s">
        <v>10188</v>
      </c>
      <c r="C1421" s="80" t="s">
        <v>9722</v>
      </c>
      <c r="D1421" s="80" t="s">
        <v>9722</v>
      </c>
      <c r="E1421" s="80" t="s">
        <v>84</v>
      </c>
      <c r="F1421" s="80"/>
      <c r="G1421" s="80" t="s">
        <v>9722</v>
      </c>
      <c r="H1421" s="80" t="s">
        <v>84</v>
      </c>
      <c r="I1421" s="80" t="s">
        <v>9722</v>
      </c>
      <c r="J1421" s="80" t="s">
        <v>9722</v>
      </c>
      <c r="K1421" s="80" t="s">
        <v>9722</v>
      </c>
      <c r="L1421" s="80" t="s">
        <v>9722</v>
      </c>
      <c r="M1421" s="80" t="s">
        <v>9722</v>
      </c>
      <c r="N1421" s="80" t="s">
        <v>84</v>
      </c>
      <c r="O1421" s="80" t="s">
        <v>9722</v>
      </c>
      <c r="P1421" s="80"/>
      <c r="Q1421" s="80" t="s">
        <v>9722</v>
      </c>
      <c r="R1421" s="80" t="s">
        <v>9722</v>
      </c>
    </row>
    <row r="1422" spans="1:18" ht="20" x14ac:dyDescent="0.2">
      <c r="A1422" s="80" t="s">
        <v>5439</v>
      </c>
      <c r="B1422" s="80" t="s">
        <v>5440</v>
      </c>
      <c r="C1422" s="80" t="s">
        <v>9722</v>
      </c>
      <c r="D1422" s="80" t="s">
        <v>9722</v>
      </c>
      <c r="E1422" s="80" t="s">
        <v>84</v>
      </c>
      <c r="F1422" s="80"/>
      <c r="G1422" s="80" t="s">
        <v>9722</v>
      </c>
      <c r="H1422" s="80" t="s">
        <v>84</v>
      </c>
      <c r="I1422" s="80" t="s">
        <v>9722</v>
      </c>
      <c r="J1422" s="80" t="s">
        <v>9722</v>
      </c>
      <c r="K1422" s="80" t="s">
        <v>9722</v>
      </c>
      <c r="L1422" s="80" t="s">
        <v>9722</v>
      </c>
      <c r="M1422" s="80" t="s">
        <v>9722</v>
      </c>
      <c r="N1422" s="80" t="s">
        <v>84</v>
      </c>
      <c r="O1422" s="80" t="s">
        <v>9722</v>
      </c>
      <c r="P1422" s="80"/>
      <c r="Q1422" s="80" t="s">
        <v>9722</v>
      </c>
      <c r="R1422" s="80" t="s">
        <v>9722</v>
      </c>
    </row>
    <row r="1423" spans="1:18" ht="20" x14ac:dyDescent="0.2">
      <c r="A1423" s="80" t="s">
        <v>5441</v>
      </c>
      <c r="B1423" s="80" t="s">
        <v>10189</v>
      </c>
      <c r="C1423" s="80" t="s">
        <v>9722</v>
      </c>
      <c r="D1423" s="80" t="s">
        <v>9722</v>
      </c>
      <c r="E1423" s="80" t="s">
        <v>9722</v>
      </c>
      <c r="F1423" s="80"/>
      <c r="G1423" s="80" t="s">
        <v>9722</v>
      </c>
      <c r="H1423" s="80" t="s">
        <v>9722</v>
      </c>
      <c r="I1423" s="80" t="s">
        <v>9722</v>
      </c>
      <c r="J1423" s="80" t="s">
        <v>9722</v>
      </c>
      <c r="K1423" s="80" t="s">
        <v>9722</v>
      </c>
      <c r="L1423" s="80" t="s">
        <v>9722</v>
      </c>
      <c r="M1423" s="80" t="s">
        <v>9722</v>
      </c>
      <c r="N1423" s="80" t="s">
        <v>9722</v>
      </c>
      <c r="O1423" s="80" t="s">
        <v>9722</v>
      </c>
      <c r="P1423" s="80"/>
      <c r="Q1423" s="80" t="s">
        <v>9722</v>
      </c>
      <c r="R1423" s="80" t="s">
        <v>9722</v>
      </c>
    </row>
    <row r="1424" spans="1:18" ht="20" x14ac:dyDescent="0.2">
      <c r="A1424" s="80" t="s">
        <v>5441</v>
      </c>
      <c r="B1424" s="80" t="s">
        <v>5442</v>
      </c>
      <c r="C1424" s="80" t="s">
        <v>9722</v>
      </c>
      <c r="D1424" s="80" t="s">
        <v>9722</v>
      </c>
      <c r="E1424" s="80" t="s">
        <v>9722</v>
      </c>
      <c r="F1424" s="80"/>
      <c r="G1424" s="80" t="s">
        <v>9722</v>
      </c>
      <c r="H1424" s="80" t="s">
        <v>9722</v>
      </c>
      <c r="I1424" s="80" t="s">
        <v>9722</v>
      </c>
      <c r="J1424" s="80" t="s">
        <v>9722</v>
      </c>
      <c r="K1424" s="80" t="s">
        <v>9722</v>
      </c>
      <c r="L1424" s="80" t="s">
        <v>9722</v>
      </c>
      <c r="M1424" s="80" t="s">
        <v>9722</v>
      </c>
      <c r="N1424" s="80" t="s">
        <v>9722</v>
      </c>
      <c r="O1424" s="80" t="s">
        <v>9722</v>
      </c>
      <c r="P1424" s="80"/>
      <c r="Q1424" s="80" t="s">
        <v>9722</v>
      </c>
      <c r="R1424" s="80" t="s">
        <v>9722</v>
      </c>
    </row>
    <row r="1425" spans="1:18" ht="20" x14ac:dyDescent="0.2">
      <c r="A1425" s="80" t="s">
        <v>5505</v>
      </c>
      <c r="B1425" s="80" t="s">
        <v>5506</v>
      </c>
      <c r="C1425" s="80" t="s">
        <v>9722</v>
      </c>
      <c r="D1425" s="80" t="s">
        <v>9722</v>
      </c>
      <c r="E1425" s="80" t="s">
        <v>84</v>
      </c>
      <c r="F1425" s="80"/>
      <c r="G1425" s="80" t="s">
        <v>9722</v>
      </c>
      <c r="H1425" s="80" t="s">
        <v>9722</v>
      </c>
      <c r="I1425" s="80" t="s">
        <v>9722</v>
      </c>
      <c r="J1425" s="80" t="s">
        <v>84</v>
      </c>
      <c r="K1425" s="80" t="s">
        <v>9722</v>
      </c>
      <c r="L1425" s="80" t="s">
        <v>9722</v>
      </c>
      <c r="M1425" s="80" t="s">
        <v>9722</v>
      </c>
      <c r="N1425" s="80" t="s">
        <v>84</v>
      </c>
      <c r="O1425" s="80" t="s">
        <v>9722</v>
      </c>
      <c r="P1425" s="80"/>
      <c r="Q1425" s="80" t="s">
        <v>9722</v>
      </c>
      <c r="R1425" s="80" t="s">
        <v>9722</v>
      </c>
    </row>
    <row r="1426" spans="1:18" ht="20" x14ac:dyDescent="0.2">
      <c r="A1426" s="80" t="s">
        <v>5443</v>
      </c>
      <c r="B1426" s="80" t="s">
        <v>5444</v>
      </c>
      <c r="C1426" s="80" t="s">
        <v>9722</v>
      </c>
      <c r="D1426" s="80" t="s">
        <v>84</v>
      </c>
      <c r="E1426" s="80" t="s">
        <v>84</v>
      </c>
      <c r="F1426" s="80"/>
      <c r="G1426" s="80" t="s">
        <v>84</v>
      </c>
      <c r="H1426" s="80" t="s">
        <v>84</v>
      </c>
      <c r="I1426" s="80" t="s">
        <v>84</v>
      </c>
      <c r="J1426" s="80" t="s">
        <v>84</v>
      </c>
      <c r="K1426" s="80" t="s">
        <v>84</v>
      </c>
      <c r="L1426" s="80" t="s">
        <v>84</v>
      </c>
      <c r="M1426" s="80" t="s">
        <v>84</v>
      </c>
      <c r="N1426" s="80" t="s">
        <v>84</v>
      </c>
      <c r="O1426" s="80" t="s">
        <v>84</v>
      </c>
      <c r="P1426" s="80"/>
      <c r="Q1426" s="80" t="s">
        <v>84</v>
      </c>
      <c r="R1426" s="80" t="s">
        <v>84</v>
      </c>
    </row>
    <row r="1427" spans="1:18" ht="20" x14ac:dyDescent="0.2">
      <c r="A1427" s="80" t="s">
        <v>5443</v>
      </c>
      <c r="B1427" s="80" t="s">
        <v>10190</v>
      </c>
      <c r="C1427" s="80" t="s">
        <v>9722</v>
      </c>
      <c r="D1427" s="80" t="s">
        <v>84</v>
      </c>
      <c r="E1427" s="80" t="s">
        <v>84</v>
      </c>
      <c r="F1427" s="80"/>
      <c r="G1427" s="80" t="s">
        <v>84</v>
      </c>
      <c r="H1427" s="80" t="s">
        <v>84</v>
      </c>
      <c r="I1427" s="80" t="s">
        <v>84</v>
      </c>
      <c r="J1427" s="80" t="s">
        <v>84</v>
      </c>
      <c r="K1427" s="80" t="s">
        <v>84</v>
      </c>
      <c r="L1427" s="80" t="s">
        <v>84</v>
      </c>
      <c r="M1427" s="80" t="s">
        <v>84</v>
      </c>
      <c r="N1427" s="80" t="s">
        <v>84</v>
      </c>
      <c r="O1427" s="80" t="s">
        <v>84</v>
      </c>
      <c r="P1427" s="80"/>
      <c r="Q1427" s="80" t="s">
        <v>84</v>
      </c>
      <c r="R1427" s="80" t="s">
        <v>84</v>
      </c>
    </row>
    <row r="1428" spans="1:18" ht="20" x14ac:dyDescent="0.2">
      <c r="A1428" s="80" t="s">
        <v>5342</v>
      </c>
      <c r="B1428" s="80" t="s">
        <v>5343</v>
      </c>
      <c r="C1428" s="80" t="s">
        <v>9722</v>
      </c>
      <c r="D1428" s="80" t="s">
        <v>84</v>
      </c>
      <c r="E1428" s="80" t="s">
        <v>84</v>
      </c>
      <c r="F1428" s="80"/>
      <c r="G1428" s="80" t="s">
        <v>84</v>
      </c>
      <c r="H1428" s="80" t="s">
        <v>84</v>
      </c>
      <c r="I1428" s="80" t="s">
        <v>84</v>
      </c>
      <c r="J1428" s="80" t="s">
        <v>84</v>
      </c>
      <c r="K1428" s="80" t="s">
        <v>84</v>
      </c>
      <c r="L1428" s="80" t="s">
        <v>84</v>
      </c>
      <c r="M1428" s="80" t="s">
        <v>84</v>
      </c>
      <c r="N1428" s="80" t="s">
        <v>84</v>
      </c>
      <c r="O1428" s="80" t="s">
        <v>84</v>
      </c>
      <c r="P1428" s="80"/>
      <c r="Q1428" s="80" t="s">
        <v>84</v>
      </c>
      <c r="R1428" s="80" t="s">
        <v>84</v>
      </c>
    </row>
    <row r="1429" spans="1:18" ht="20" x14ac:dyDescent="0.2">
      <c r="A1429" s="80" t="s">
        <v>5342</v>
      </c>
      <c r="B1429" s="80" t="s">
        <v>5468</v>
      </c>
      <c r="C1429" s="80" t="s">
        <v>9722</v>
      </c>
      <c r="D1429" s="80" t="s">
        <v>84</v>
      </c>
      <c r="E1429" s="80" t="s">
        <v>84</v>
      </c>
      <c r="F1429" s="80"/>
      <c r="G1429" s="80" t="s">
        <v>84</v>
      </c>
      <c r="H1429" s="80" t="s">
        <v>84</v>
      </c>
      <c r="I1429" s="80" t="s">
        <v>84</v>
      </c>
      <c r="J1429" s="80" t="s">
        <v>84</v>
      </c>
      <c r="K1429" s="80" t="s">
        <v>84</v>
      </c>
      <c r="L1429" s="80" t="s">
        <v>84</v>
      </c>
      <c r="M1429" s="80" t="s">
        <v>84</v>
      </c>
      <c r="N1429" s="80" t="s">
        <v>84</v>
      </c>
      <c r="O1429" s="80" t="s">
        <v>84</v>
      </c>
      <c r="P1429" s="80"/>
      <c r="Q1429" s="80" t="s">
        <v>84</v>
      </c>
      <c r="R1429" s="80" t="s">
        <v>84</v>
      </c>
    </row>
    <row r="1430" spans="1:18" ht="20" x14ac:dyDescent="0.2">
      <c r="A1430" s="80" t="s">
        <v>5445</v>
      </c>
      <c r="B1430" s="80" t="s">
        <v>5446</v>
      </c>
      <c r="C1430" s="80" t="s">
        <v>9722</v>
      </c>
      <c r="D1430" s="80" t="s">
        <v>84</v>
      </c>
      <c r="E1430" s="80" t="s">
        <v>84</v>
      </c>
      <c r="F1430" s="80"/>
      <c r="G1430" s="80" t="s">
        <v>84</v>
      </c>
      <c r="H1430" s="80" t="s">
        <v>84</v>
      </c>
      <c r="I1430" s="80" t="s">
        <v>84</v>
      </c>
      <c r="J1430" s="80" t="s">
        <v>84</v>
      </c>
      <c r="K1430" s="80" t="s">
        <v>84</v>
      </c>
      <c r="L1430" s="80" t="s">
        <v>84</v>
      </c>
      <c r="M1430" s="80" t="s">
        <v>84</v>
      </c>
      <c r="N1430" s="80" t="s">
        <v>84</v>
      </c>
      <c r="O1430" s="80" t="s">
        <v>84</v>
      </c>
      <c r="P1430" s="80"/>
      <c r="Q1430" s="80" t="s">
        <v>84</v>
      </c>
      <c r="R1430" s="80" t="s">
        <v>84</v>
      </c>
    </row>
    <row r="1431" spans="1:18" ht="20" x14ac:dyDescent="0.2">
      <c r="A1431" s="80" t="s">
        <v>10191</v>
      </c>
      <c r="B1431" s="80" t="s">
        <v>10192</v>
      </c>
      <c r="C1431" s="80" t="s">
        <v>9680</v>
      </c>
      <c r="D1431" s="80" t="s">
        <v>84</v>
      </c>
      <c r="E1431" s="80" t="s">
        <v>84</v>
      </c>
      <c r="F1431" s="80"/>
      <c r="G1431" s="80" t="s">
        <v>84</v>
      </c>
      <c r="H1431" s="80" t="s">
        <v>84</v>
      </c>
      <c r="I1431" s="80" t="s">
        <v>84</v>
      </c>
      <c r="J1431" s="80" t="s">
        <v>84</v>
      </c>
      <c r="K1431" s="80" t="s">
        <v>84</v>
      </c>
      <c r="L1431" s="80" t="s">
        <v>84</v>
      </c>
      <c r="M1431" s="80" t="s">
        <v>84</v>
      </c>
      <c r="N1431" s="80" t="s">
        <v>84</v>
      </c>
      <c r="O1431" s="80" t="s">
        <v>84</v>
      </c>
      <c r="P1431" s="80"/>
      <c r="Q1431" s="80" t="s">
        <v>84</v>
      </c>
      <c r="R1431" s="80" t="s">
        <v>84</v>
      </c>
    </row>
    <row r="1432" spans="1:18" ht="20" x14ac:dyDescent="0.2">
      <c r="A1432" s="80" t="s">
        <v>10193</v>
      </c>
      <c r="B1432" s="80" t="s">
        <v>10194</v>
      </c>
      <c r="C1432" s="80" t="s">
        <v>9722</v>
      </c>
      <c r="D1432" s="80" t="s">
        <v>84</v>
      </c>
      <c r="E1432" s="80" t="s">
        <v>84</v>
      </c>
      <c r="F1432" s="80"/>
      <c r="G1432" s="80" t="s">
        <v>84</v>
      </c>
      <c r="H1432" s="80" t="s">
        <v>84</v>
      </c>
      <c r="I1432" s="80" t="s">
        <v>84</v>
      </c>
      <c r="J1432" s="80" t="s">
        <v>84</v>
      </c>
      <c r="K1432" s="80" t="s">
        <v>84</v>
      </c>
      <c r="L1432" s="80" t="s">
        <v>84</v>
      </c>
      <c r="M1432" s="80" t="s">
        <v>84</v>
      </c>
      <c r="N1432" s="80" t="s">
        <v>84</v>
      </c>
      <c r="O1432" s="80" t="s">
        <v>84</v>
      </c>
      <c r="P1432" s="80"/>
      <c r="Q1432" s="80" t="s">
        <v>84</v>
      </c>
      <c r="R1432" s="80" t="s">
        <v>84</v>
      </c>
    </row>
    <row r="1433" spans="1:18" ht="20" x14ac:dyDescent="0.2">
      <c r="A1433" s="80" t="s">
        <v>10195</v>
      </c>
      <c r="B1433" s="80" t="s">
        <v>10196</v>
      </c>
      <c r="C1433" s="80" t="s">
        <v>9680</v>
      </c>
      <c r="D1433" s="80" t="s">
        <v>84</v>
      </c>
      <c r="E1433" s="80" t="s">
        <v>84</v>
      </c>
      <c r="F1433" s="80"/>
      <c r="G1433" s="80" t="s">
        <v>84</v>
      </c>
      <c r="H1433" s="80" t="s">
        <v>84</v>
      </c>
      <c r="I1433" s="80" t="s">
        <v>84</v>
      </c>
      <c r="J1433" s="80" t="s">
        <v>84</v>
      </c>
      <c r="K1433" s="80" t="s">
        <v>84</v>
      </c>
      <c r="L1433" s="80" t="s">
        <v>84</v>
      </c>
      <c r="M1433" s="80" t="s">
        <v>84</v>
      </c>
      <c r="N1433" s="80" t="s">
        <v>84</v>
      </c>
      <c r="O1433" s="80" t="s">
        <v>84</v>
      </c>
      <c r="P1433" s="80"/>
      <c r="Q1433" s="80" t="s">
        <v>84</v>
      </c>
      <c r="R1433" s="80" t="s">
        <v>84</v>
      </c>
    </row>
    <row r="1434" spans="1:18" ht="20" x14ac:dyDescent="0.2">
      <c r="A1434" s="80" t="s">
        <v>5447</v>
      </c>
      <c r="B1434" s="80" t="s">
        <v>5448</v>
      </c>
      <c r="C1434" s="80" t="s">
        <v>9680</v>
      </c>
      <c r="D1434" s="80" t="s">
        <v>84</v>
      </c>
      <c r="E1434" s="80" t="s">
        <v>84</v>
      </c>
      <c r="F1434" s="80"/>
      <c r="G1434" s="80" t="s">
        <v>84</v>
      </c>
      <c r="H1434" s="80" t="s">
        <v>84</v>
      </c>
      <c r="I1434" s="80" t="s">
        <v>84</v>
      </c>
      <c r="J1434" s="80" t="s">
        <v>84</v>
      </c>
      <c r="K1434" s="80" t="s">
        <v>84</v>
      </c>
      <c r="L1434" s="80" t="s">
        <v>84</v>
      </c>
      <c r="M1434" s="80" t="s">
        <v>84</v>
      </c>
      <c r="N1434" s="80" t="s">
        <v>84</v>
      </c>
      <c r="O1434" s="80" t="s">
        <v>84</v>
      </c>
      <c r="P1434" s="80"/>
      <c r="Q1434" s="80" t="s">
        <v>84</v>
      </c>
      <c r="R1434" s="80" t="s">
        <v>84</v>
      </c>
    </row>
    <row r="1435" spans="1:18" ht="20" x14ac:dyDescent="0.2">
      <c r="A1435" s="80" t="s">
        <v>10197</v>
      </c>
      <c r="B1435" s="80" t="s">
        <v>10198</v>
      </c>
      <c r="C1435" s="80" t="s">
        <v>84</v>
      </c>
      <c r="D1435" s="80" t="s">
        <v>84</v>
      </c>
      <c r="E1435" s="80" t="s">
        <v>84</v>
      </c>
      <c r="F1435" s="80"/>
      <c r="G1435" s="80" t="s">
        <v>84</v>
      </c>
      <c r="H1435" s="80" t="s">
        <v>84</v>
      </c>
      <c r="I1435" s="80" t="s">
        <v>84</v>
      </c>
      <c r="J1435" s="80" t="s">
        <v>84</v>
      </c>
      <c r="K1435" s="80" t="s">
        <v>84</v>
      </c>
      <c r="L1435" s="80" t="s">
        <v>84</v>
      </c>
      <c r="M1435" s="80" t="s">
        <v>84</v>
      </c>
      <c r="N1435" s="80" t="s">
        <v>84</v>
      </c>
      <c r="O1435" s="80" t="s">
        <v>84</v>
      </c>
      <c r="P1435" s="80"/>
      <c r="Q1435" s="80" t="s">
        <v>84</v>
      </c>
      <c r="R1435" s="80" t="s">
        <v>84</v>
      </c>
    </row>
    <row r="1436" spans="1:18" ht="20" x14ac:dyDescent="0.2">
      <c r="A1436" s="80" t="s">
        <v>5449</v>
      </c>
      <c r="B1436" s="80" t="s">
        <v>5450</v>
      </c>
      <c r="C1436" s="80" t="s">
        <v>84</v>
      </c>
      <c r="D1436" s="80" t="s">
        <v>84</v>
      </c>
      <c r="E1436" s="80" t="s">
        <v>84</v>
      </c>
      <c r="F1436" s="80"/>
      <c r="G1436" s="80" t="s">
        <v>84</v>
      </c>
      <c r="H1436" s="80" t="s">
        <v>84</v>
      </c>
      <c r="I1436" s="80" t="s">
        <v>84</v>
      </c>
      <c r="J1436" s="80" t="s">
        <v>84</v>
      </c>
      <c r="K1436" s="80" t="s">
        <v>84</v>
      </c>
      <c r="L1436" s="80" t="s">
        <v>84</v>
      </c>
      <c r="M1436" s="80" t="s">
        <v>84</v>
      </c>
      <c r="N1436" s="80" t="s">
        <v>84</v>
      </c>
      <c r="O1436" s="80" t="s">
        <v>84</v>
      </c>
      <c r="P1436" s="80"/>
      <c r="Q1436" s="80" t="s">
        <v>84</v>
      </c>
      <c r="R1436" s="80" t="s">
        <v>84</v>
      </c>
    </row>
    <row r="1437" spans="1:18" ht="20" x14ac:dyDescent="0.2">
      <c r="A1437" s="80" t="s">
        <v>5451</v>
      </c>
      <c r="B1437" s="80" t="s">
        <v>5452</v>
      </c>
      <c r="C1437" s="80" t="s">
        <v>84</v>
      </c>
      <c r="D1437" s="80" t="s">
        <v>84</v>
      </c>
      <c r="E1437" s="80" t="s">
        <v>84</v>
      </c>
      <c r="F1437" s="80"/>
      <c r="G1437" s="80" t="s">
        <v>84</v>
      </c>
      <c r="H1437" s="80" t="s">
        <v>84</v>
      </c>
      <c r="I1437" s="80" t="s">
        <v>84</v>
      </c>
      <c r="J1437" s="80" t="s">
        <v>84</v>
      </c>
      <c r="K1437" s="80" t="s">
        <v>84</v>
      </c>
      <c r="L1437" s="80" t="s">
        <v>84</v>
      </c>
      <c r="M1437" s="80" t="s">
        <v>84</v>
      </c>
      <c r="N1437" s="80" t="s">
        <v>84</v>
      </c>
      <c r="O1437" s="80" t="s">
        <v>84</v>
      </c>
      <c r="P1437" s="80"/>
      <c r="Q1437" s="80" t="s">
        <v>84</v>
      </c>
      <c r="R1437" s="80" t="s">
        <v>84</v>
      </c>
    </row>
    <row r="1438" spans="1:18" ht="20" x14ac:dyDescent="0.2">
      <c r="A1438" s="80" t="s">
        <v>5338</v>
      </c>
      <c r="B1438" s="80" t="s">
        <v>5339</v>
      </c>
      <c r="C1438" s="80" t="s">
        <v>9680</v>
      </c>
      <c r="D1438" s="80" t="s">
        <v>84</v>
      </c>
      <c r="E1438" s="80" t="s">
        <v>84</v>
      </c>
      <c r="F1438" s="80"/>
      <c r="G1438" s="80" t="s">
        <v>84</v>
      </c>
      <c r="H1438" s="80" t="s">
        <v>84</v>
      </c>
      <c r="I1438" s="80" t="s">
        <v>84</v>
      </c>
      <c r="J1438" s="80" t="s">
        <v>84</v>
      </c>
      <c r="K1438" s="80" t="s">
        <v>84</v>
      </c>
      <c r="L1438" s="80" t="s">
        <v>84</v>
      </c>
      <c r="M1438" s="80" t="s">
        <v>84</v>
      </c>
      <c r="N1438" s="80" t="s">
        <v>84</v>
      </c>
      <c r="O1438" s="80" t="s">
        <v>84</v>
      </c>
      <c r="P1438" s="80"/>
      <c r="Q1438" s="80" t="s">
        <v>84</v>
      </c>
      <c r="R1438" s="80" t="s">
        <v>84</v>
      </c>
    </row>
    <row r="1439" spans="1:18" ht="20" x14ac:dyDescent="0.2">
      <c r="A1439" s="80" t="s">
        <v>5338</v>
      </c>
      <c r="B1439" s="80" t="s">
        <v>5455</v>
      </c>
      <c r="C1439" s="80" t="s">
        <v>9680</v>
      </c>
      <c r="D1439" s="80" t="s">
        <v>84</v>
      </c>
      <c r="E1439" s="80" t="s">
        <v>84</v>
      </c>
      <c r="F1439" s="80"/>
      <c r="G1439" s="80" t="s">
        <v>84</v>
      </c>
      <c r="H1439" s="80" t="s">
        <v>84</v>
      </c>
      <c r="I1439" s="80" t="s">
        <v>84</v>
      </c>
      <c r="J1439" s="80" t="s">
        <v>84</v>
      </c>
      <c r="K1439" s="80" t="s">
        <v>84</v>
      </c>
      <c r="L1439" s="80" t="s">
        <v>84</v>
      </c>
      <c r="M1439" s="80" t="s">
        <v>84</v>
      </c>
      <c r="N1439" s="80" t="s">
        <v>84</v>
      </c>
      <c r="O1439" s="80" t="s">
        <v>84</v>
      </c>
      <c r="P1439" s="80"/>
      <c r="Q1439" s="80" t="s">
        <v>84</v>
      </c>
      <c r="R1439" s="80" t="s">
        <v>84</v>
      </c>
    </row>
    <row r="1440" spans="1:18" ht="20" x14ac:dyDescent="0.2">
      <c r="A1440" s="80" t="s">
        <v>5340</v>
      </c>
      <c r="B1440" s="80" t="s">
        <v>5341</v>
      </c>
      <c r="C1440" s="80" t="s">
        <v>9722</v>
      </c>
      <c r="D1440" s="80" t="s">
        <v>84</v>
      </c>
      <c r="E1440" s="80" t="s">
        <v>84</v>
      </c>
      <c r="F1440" s="80"/>
      <c r="G1440" s="80" t="s">
        <v>84</v>
      </c>
      <c r="H1440" s="80" t="s">
        <v>84</v>
      </c>
      <c r="I1440" s="80" t="s">
        <v>84</v>
      </c>
      <c r="J1440" s="80" t="s">
        <v>84</v>
      </c>
      <c r="K1440" s="80" t="s">
        <v>84</v>
      </c>
      <c r="L1440" s="80" t="s">
        <v>84</v>
      </c>
      <c r="M1440" s="80" t="s">
        <v>84</v>
      </c>
      <c r="N1440" s="80" t="s">
        <v>84</v>
      </c>
      <c r="O1440" s="80" t="s">
        <v>84</v>
      </c>
      <c r="P1440" s="80"/>
      <c r="Q1440" s="80" t="s">
        <v>84</v>
      </c>
      <c r="R1440" s="80" t="s">
        <v>84</v>
      </c>
    </row>
    <row r="1441" spans="1:18" ht="20" x14ac:dyDescent="0.2">
      <c r="A1441" s="80" t="s">
        <v>5340</v>
      </c>
      <c r="B1441" s="80" t="s">
        <v>5456</v>
      </c>
      <c r="C1441" s="80" t="s">
        <v>9722</v>
      </c>
      <c r="D1441" s="80" t="s">
        <v>84</v>
      </c>
      <c r="E1441" s="80" t="s">
        <v>84</v>
      </c>
      <c r="F1441" s="80"/>
      <c r="G1441" s="80" t="s">
        <v>84</v>
      </c>
      <c r="H1441" s="80" t="s">
        <v>84</v>
      </c>
      <c r="I1441" s="80" t="s">
        <v>84</v>
      </c>
      <c r="J1441" s="80" t="s">
        <v>84</v>
      </c>
      <c r="K1441" s="80" t="s">
        <v>84</v>
      </c>
      <c r="L1441" s="80" t="s">
        <v>84</v>
      </c>
      <c r="M1441" s="80" t="s">
        <v>84</v>
      </c>
      <c r="N1441" s="80" t="s">
        <v>84</v>
      </c>
      <c r="O1441" s="80" t="s">
        <v>84</v>
      </c>
      <c r="P1441" s="80"/>
      <c r="Q1441" s="80" t="s">
        <v>84</v>
      </c>
      <c r="R1441" s="80" t="s">
        <v>84</v>
      </c>
    </row>
    <row r="1442" spans="1:18" ht="20" x14ac:dyDescent="0.2">
      <c r="A1442" s="80" t="s">
        <v>5457</v>
      </c>
      <c r="B1442" s="80" t="s">
        <v>5458</v>
      </c>
      <c r="C1442" s="80" t="s">
        <v>9722</v>
      </c>
      <c r="D1442" s="80" t="s">
        <v>84</v>
      </c>
      <c r="E1442" s="80" t="s">
        <v>84</v>
      </c>
      <c r="F1442" s="80"/>
      <c r="G1442" s="80" t="s">
        <v>84</v>
      </c>
      <c r="H1442" s="80" t="s">
        <v>84</v>
      </c>
      <c r="I1442" s="80" t="s">
        <v>84</v>
      </c>
      <c r="J1442" s="80" t="s">
        <v>84</v>
      </c>
      <c r="K1442" s="80" t="s">
        <v>84</v>
      </c>
      <c r="L1442" s="80" t="s">
        <v>84</v>
      </c>
      <c r="M1442" s="80" t="s">
        <v>84</v>
      </c>
      <c r="N1442" s="80" t="s">
        <v>84</v>
      </c>
      <c r="O1442" s="80" t="s">
        <v>84</v>
      </c>
      <c r="P1442" s="80"/>
      <c r="Q1442" s="80" t="s">
        <v>84</v>
      </c>
      <c r="R1442" s="80" t="s">
        <v>84</v>
      </c>
    </row>
    <row r="1443" spans="1:18" ht="20" x14ac:dyDescent="0.2">
      <c r="A1443" s="80" t="s">
        <v>787</v>
      </c>
      <c r="B1443" s="80" t="s">
        <v>788</v>
      </c>
      <c r="C1443" s="80" t="s">
        <v>9680</v>
      </c>
      <c r="D1443" s="80" t="s">
        <v>9680</v>
      </c>
      <c r="E1443" s="80" t="s">
        <v>9680</v>
      </c>
      <c r="F1443" s="80"/>
      <c r="G1443" s="80" t="s">
        <v>9680</v>
      </c>
      <c r="H1443" s="80" t="s">
        <v>9680</v>
      </c>
      <c r="I1443" s="80" t="s">
        <v>9680</v>
      </c>
      <c r="J1443" s="80" t="s">
        <v>9680</v>
      </c>
      <c r="K1443" s="80" t="s">
        <v>9680</v>
      </c>
      <c r="L1443" s="80" t="s">
        <v>9680</v>
      </c>
      <c r="M1443" s="80" t="s">
        <v>9680</v>
      </c>
      <c r="N1443" s="80" t="s">
        <v>9680</v>
      </c>
      <c r="O1443" s="80" t="s">
        <v>9680</v>
      </c>
      <c r="P1443" s="80"/>
      <c r="Q1443" s="80" t="s">
        <v>9680</v>
      </c>
      <c r="R1443" s="80" t="s">
        <v>9680</v>
      </c>
    </row>
    <row r="1444" spans="1:18" ht="20" x14ac:dyDescent="0.2">
      <c r="A1444" s="80" t="s">
        <v>789</v>
      </c>
      <c r="B1444" s="80" t="s">
        <v>10199</v>
      </c>
      <c r="C1444" s="80" t="s">
        <v>9680</v>
      </c>
      <c r="D1444" s="80" t="s">
        <v>9680</v>
      </c>
      <c r="E1444" s="80" t="s">
        <v>84</v>
      </c>
      <c r="F1444" s="80"/>
      <c r="G1444" s="80" t="s">
        <v>9680</v>
      </c>
      <c r="H1444" s="80" t="s">
        <v>84</v>
      </c>
      <c r="I1444" s="80" t="s">
        <v>9680</v>
      </c>
      <c r="J1444" s="80" t="s">
        <v>9680</v>
      </c>
      <c r="K1444" s="80" t="s">
        <v>9680</v>
      </c>
      <c r="L1444" s="80" t="s">
        <v>9680</v>
      </c>
      <c r="M1444" s="80" t="s">
        <v>9680</v>
      </c>
      <c r="N1444" s="80" t="s">
        <v>84</v>
      </c>
      <c r="O1444" s="80" t="s">
        <v>9680</v>
      </c>
      <c r="P1444" s="80"/>
      <c r="Q1444" s="80" t="s">
        <v>9680</v>
      </c>
      <c r="R1444" s="80" t="s">
        <v>9680</v>
      </c>
    </row>
    <row r="1445" spans="1:18" ht="20" x14ac:dyDescent="0.2">
      <c r="A1445" s="80" t="s">
        <v>789</v>
      </c>
      <c r="B1445" s="80" t="s">
        <v>790</v>
      </c>
      <c r="C1445" s="80" t="s">
        <v>9680</v>
      </c>
      <c r="D1445" s="80" t="s">
        <v>9680</v>
      </c>
      <c r="E1445" s="80" t="s">
        <v>84</v>
      </c>
      <c r="F1445" s="80"/>
      <c r="G1445" s="80" t="s">
        <v>9680</v>
      </c>
      <c r="H1445" s="80" t="s">
        <v>84</v>
      </c>
      <c r="I1445" s="80" t="s">
        <v>9680</v>
      </c>
      <c r="J1445" s="80" t="s">
        <v>9680</v>
      </c>
      <c r="K1445" s="80" t="s">
        <v>9680</v>
      </c>
      <c r="L1445" s="80" t="s">
        <v>9680</v>
      </c>
      <c r="M1445" s="80" t="s">
        <v>9680</v>
      </c>
      <c r="N1445" s="80" t="s">
        <v>84</v>
      </c>
      <c r="O1445" s="80" t="s">
        <v>9680</v>
      </c>
      <c r="P1445" s="80"/>
      <c r="Q1445" s="80" t="s">
        <v>9680</v>
      </c>
      <c r="R1445" s="80" t="s">
        <v>9680</v>
      </c>
    </row>
    <row r="1446" spans="1:18" ht="20" x14ac:dyDescent="0.2">
      <c r="A1446" s="80" t="s">
        <v>791</v>
      </c>
      <c r="B1446" s="80" t="s">
        <v>792</v>
      </c>
      <c r="C1446" s="80" t="s">
        <v>9722</v>
      </c>
      <c r="D1446" s="80" t="s">
        <v>9722</v>
      </c>
      <c r="E1446" s="80" t="s">
        <v>84</v>
      </c>
      <c r="F1446" s="80"/>
      <c r="G1446" s="80" t="s">
        <v>9722</v>
      </c>
      <c r="H1446" s="80" t="s">
        <v>9722</v>
      </c>
      <c r="I1446" s="80" t="s">
        <v>9722</v>
      </c>
      <c r="J1446" s="80" t="s">
        <v>84</v>
      </c>
      <c r="K1446" s="80" t="s">
        <v>9722</v>
      </c>
      <c r="L1446" s="80" t="s">
        <v>9722</v>
      </c>
      <c r="M1446" s="80" t="s">
        <v>9722</v>
      </c>
      <c r="N1446" s="80" t="s">
        <v>84</v>
      </c>
      <c r="O1446" s="80" t="s">
        <v>9722</v>
      </c>
      <c r="P1446" s="80"/>
      <c r="Q1446" s="80" t="s">
        <v>9722</v>
      </c>
      <c r="R1446" s="80" t="s">
        <v>9722</v>
      </c>
    </row>
    <row r="1447" spans="1:18" ht="20" x14ac:dyDescent="0.2">
      <c r="A1447" s="80" t="s">
        <v>793</v>
      </c>
      <c r="B1447" s="80" t="s">
        <v>794</v>
      </c>
      <c r="C1447" s="80" t="s">
        <v>9680</v>
      </c>
      <c r="D1447" s="80" t="s">
        <v>9680</v>
      </c>
      <c r="E1447" s="80" t="s">
        <v>84</v>
      </c>
      <c r="F1447" s="80"/>
      <c r="G1447" s="80" t="s">
        <v>84</v>
      </c>
      <c r="H1447" s="80" t="s">
        <v>84</v>
      </c>
      <c r="I1447" s="80" t="s">
        <v>9680</v>
      </c>
      <c r="J1447" s="80" t="s">
        <v>84</v>
      </c>
      <c r="K1447" s="80" t="s">
        <v>9680</v>
      </c>
      <c r="L1447" s="80" t="s">
        <v>9680</v>
      </c>
      <c r="M1447" s="80" t="s">
        <v>9680</v>
      </c>
      <c r="N1447" s="80" t="s">
        <v>84</v>
      </c>
      <c r="O1447" s="80" t="s">
        <v>9680</v>
      </c>
      <c r="P1447" s="80"/>
      <c r="Q1447" s="80" t="s">
        <v>9680</v>
      </c>
      <c r="R1447" s="80" t="s">
        <v>9680</v>
      </c>
    </row>
    <row r="1448" spans="1:18" ht="20" x14ac:dyDescent="0.2">
      <c r="A1448" s="80" t="s">
        <v>803</v>
      </c>
      <c r="B1448" s="80" t="s">
        <v>804</v>
      </c>
      <c r="C1448" s="80" t="s">
        <v>9722</v>
      </c>
      <c r="D1448" s="80" t="s">
        <v>9722</v>
      </c>
      <c r="E1448" s="80" t="s">
        <v>84</v>
      </c>
      <c r="F1448" s="80"/>
      <c r="G1448" s="80" t="s">
        <v>84</v>
      </c>
      <c r="H1448" s="80" t="s">
        <v>9722</v>
      </c>
      <c r="I1448" s="80" t="s">
        <v>9722</v>
      </c>
      <c r="J1448" s="80" t="s">
        <v>84</v>
      </c>
      <c r="K1448" s="80" t="s">
        <v>9722</v>
      </c>
      <c r="L1448" s="80" t="s">
        <v>9722</v>
      </c>
      <c r="M1448" s="80" t="s">
        <v>9722</v>
      </c>
      <c r="N1448" s="80" t="s">
        <v>84</v>
      </c>
      <c r="O1448" s="80" t="s">
        <v>9722</v>
      </c>
      <c r="P1448" s="80"/>
      <c r="Q1448" s="80" t="s">
        <v>9722</v>
      </c>
      <c r="R1448" s="80" t="s">
        <v>9722</v>
      </c>
    </row>
    <row r="1449" spans="1:18" ht="20" x14ac:dyDescent="0.2">
      <c r="A1449" s="80" t="s">
        <v>806</v>
      </c>
      <c r="B1449" s="80" t="s">
        <v>807</v>
      </c>
      <c r="C1449" s="80" t="s">
        <v>9680</v>
      </c>
      <c r="D1449" s="80" t="s">
        <v>84</v>
      </c>
      <c r="E1449" s="80" t="s">
        <v>84</v>
      </c>
      <c r="F1449" s="80"/>
      <c r="G1449" s="80" t="s">
        <v>84</v>
      </c>
      <c r="H1449" s="80" t="s">
        <v>84</v>
      </c>
      <c r="I1449" s="80" t="s">
        <v>84</v>
      </c>
      <c r="J1449" s="80" t="s">
        <v>84</v>
      </c>
      <c r="K1449" s="80" t="s">
        <v>84</v>
      </c>
      <c r="L1449" s="80" t="s">
        <v>84</v>
      </c>
      <c r="M1449" s="80" t="s">
        <v>84</v>
      </c>
      <c r="N1449" s="80" t="s">
        <v>84</v>
      </c>
      <c r="O1449" s="80" t="s">
        <v>84</v>
      </c>
      <c r="P1449" s="80"/>
      <c r="Q1449" s="80" t="s">
        <v>84</v>
      </c>
      <c r="R1449" s="80" t="s">
        <v>84</v>
      </c>
    </row>
    <row r="1450" spans="1:18" ht="20" x14ac:dyDescent="0.2">
      <c r="A1450" s="80" t="s">
        <v>808</v>
      </c>
      <c r="B1450" s="80" t="s">
        <v>809</v>
      </c>
      <c r="C1450" s="80" t="s">
        <v>9680</v>
      </c>
      <c r="D1450" s="80" t="s">
        <v>84</v>
      </c>
      <c r="E1450" s="80" t="s">
        <v>84</v>
      </c>
      <c r="F1450" s="80"/>
      <c r="G1450" s="80" t="s">
        <v>84</v>
      </c>
      <c r="H1450" s="80" t="s">
        <v>84</v>
      </c>
      <c r="I1450" s="80" t="s">
        <v>84</v>
      </c>
      <c r="J1450" s="80" t="s">
        <v>84</v>
      </c>
      <c r="K1450" s="80" t="s">
        <v>84</v>
      </c>
      <c r="L1450" s="80" t="s">
        <v>84</v>
      </c>
      <c r="M1450" s="80" t="s">
        <v>84</v>
      </c>
      <c r="N1450" s="80" t="s">
        <v>84</v>
      </c>
      <c r="O1450" s="80" t="s">
        <v>84</v>
      </c>
      <c r="P1450" s="80"/>
      <c r="Q1450" s="80" t="s">
        <v>84</v>
      </c>
      <c r="R1450" s="80" t="s">
        <v>84</v>
      </c>
    </row>
    <row r="1451" spans="1:18" ht="20" x14ac:dyDescent="0.2">
      <c r="A1451" s="80" t="s">
        <v>810</v>
      </c>
      <c r="B1451" s="80" t="s">
        <v>811</v>
      </c>
      <c r="C1451" s="80" t="s">
        <v>9680</v>
      </c>
      <c r="D1451" s="80" t="s">
        <v>84</v>
      </c>
      <c r="E1451" s="80" t="s">
        <v>84</v>
      </c>
      <c r="F1451" s="80"/>
      <c r="G1451" s="80" t="s">
        <v>84</v>
      </c>
      <c r="H1451" s="80" t="s">
        <v>84</v>
      </c>
      <c r="I1451" s="80" t="s">
        <v>84</v>
      </c>
      <c r="J1451" s="80" t="s">
        <v>84</v>
      </c>
      <c r="K1451" s="80" t="s">
        <v>84</v>
      </c>
      <c r="L1451" s="80" t="s">
        <v>84</v>
      </c>
      <c r="M1451" s="80" t="s">
        <v>84</v>
      </c>
      <c r="N1451" s="80" t="s">
        <v>84</v>
      </c>
      <c r="O1451" s="80" t="s">
        <v>84</v>
      </c>
      <c r="P1451" s="80"/>
      <c r="Q1451" s="80" t="s">
        <v>84</v>
      </c>
      <c r="R1451" s="80" t="s">
        <v>84</v>
      </c>
    </row>
    <row r="1452" spans="1:18" ht="20" x14ac:dyDescent="0.2">
      <c r="A1452" s="80" t="s">
        <v>810</v>
      </c>
      <c r="B1452" s="80" t="s">
        <v>5726</v>
      </c>
      <c r="C1452" s="80" t="s">
        <v>9680</v>
      </c>
      <c r="D1452" s="80" t="s">
        <v>84</v>
      </c>
      <c r="E1452" s="80" t="s">
        <v>84</v>
      </c>
      <c r="F1452" s="80"/>
      <c r="G1452" s="80" t="s">
        <v>84</v>
      </c>
      <c r="H1452" s="80" t="s">
        <v>84</v>
      </c>
      <c r="I1452" s="80" t="s">
        <v>84</v>
      </c>
      <c r="J1452" s="80" t="s">
        <v>84</v>
      </c>
      <c r="K1452" s="80" t="s">
        <v>84</v>
      </c>
      <c r="L1452" s="80" t="s">
        <v>84</v>
      </c>
      <c r="M1452" s="80" t="s">
        <v>84</v>
      </c>
      <c r="N1452" s="80" t="s">
        <v>84</v>
      </c>
      <c r="O1452" s="80" t="s">
        <v>84</v>
      </c>
      <c r="P1452" s="80"/>
      <c r="Q1452" s="80" t="s">
        <v>84</v>
      </c>
      <c r="R1452" s="80" t="s">
        <v>84</v>
      </c>
    </row>
    <row r="1453" spans="1:18" ht="20" x14ac:dyDescent="0.2">
      <c r="A1453" s="80" t="s">
        <v>812</v>
      </c>
      <c r="B1453" s="80" t="s">
        <v>813</v>
      </c>
      <c r="C1453" s="80" t="s">
        <v>9680</v>
      </c>
      <c r="D1453" s="80" t="s">
        <v>84</v>
      </c>
      <c r="E1453" s="80" t="s">
        <v>84</v>
      </c>
      <c r="F1453" s="80"/>
      <c r="G1453" s="80" t="s">
        <v>84</v>
      </c>
      <c r="H1453" s="80" t="s">
        <v>84</v>
      </c>
      <c r="I1453" s="80" t="s">
        <v>84</v>
      </c>
      <c r="J1453" s="80" t="s">
        <v>84</v>
      </c>
      <c r="K1453" s="80" t="s">
        <v>84</v>
      </c>
      <c r="L1453" s="80" t="s">
        <v>84</v>
      </c>
      <c r="M1453" s="80" t="s">
        <v>84</v>
      </c>
      <c r="N1453" s="80" t="s">
        <v>84</v>
      </c>
      <c r="O1453" s="80" t="s">
        <v>84</v>
      </c>
      <c r="P1453" s="80"/>
      <c r="Q1453" s="80" t="s">
        <v>84</v>
      </c>
      <c r="R1453" s="80" t="s">
        <v>84</v>
      </c>
    </row>
    <row r="1454" spans="1:18" ht="20" x14ac:dyDescent="0.2">
      <c r="A1454" s="80" t="s">
        <v>812</v>
      </c>
      <c r="B1454" s="80" t="s">
        <v>5727</v>
      </c>
      <c r="C1454" s="80" t="s">
        <v>9680</v>
      </c>
      <c r="D1454" s="80" t="s">
        <v>84</v>
      </c>
      <c r="E1454" s="80" t="s">
        <v>84</v>
      </c>
      <c r="F1454" s="80"/>
      <c r="G1454" s="80" t="s">
        <v>84</v>
      </c>
      <c r="H1454" s="80" t="s">
        <v>84</v>
      </c>
      <c r="I1454" s="80" t="s">
        <v>84</v>
      </c>
      <c r="J1454" s="80" t="s">
        <v>84</v>
      </c>
      <c r="K1454" s="80" t="s">
        <v>84</v>
      </c>
      <c r="L1454" s="80" t="s">
        <v>84</v>
      </c>
      <c r="M1454" s="80" t="s">
        <v>84</v>
      </c>
      <c r="N1454" s="80" t="s">
        <v>84</v>
      </c>
      <c r="O1454" s="80" t="s">
        <v>84</v>
      </c>
      <c r="P1454" s="80"/>
      <c r="Q1454" s="80" t="s">
        <v>84</v>
      </c>
      <c r="R1454" s="80" t="s">
        <v>84</v>
      </c>
    </row>
    <row r="1455" spans="1:18" ht="20" x14ac:dyDescent="0.2">
      <c r="A1455" s="80" t="s">
        <v>814</v>
      </c>
      <c r="B1455" s="80" t="s">
        <v>815</v>
      </c>
      <c r="C1455" s="80" t="s">
        <v>9680</v>
      </c>
      <c r="D1455" s="80" t="s">
        <v>84</v>
      </c>
      <c r="E1455" s="80" t="s">
        <v>84</v>
      </c>
      <c r="F1455" s="80"/>
      <c r="G1455" s="80" t="s">
        <v>84</v>
      </c>
      <c r="H1455" s="80" t="s">
        <v>84</v>
      </c>
      <c r="I1455" s="80" t="s">
        <v>84</v>
      </c>
      <c r="J1455" s="80" t="s">
        <v>84</v>
      </c>
      <c r="K1455" s="80" t="s">
        <v>84</v>
      </c>
      <c r="L1455" s="80" t="s">
        <v>84</v>
      </c>
      <c r="M1455" s="80" t="s">
        <v>84</v>
      </c>
      <c r="N1455" s="80" t="s">
        <v>84</v>
      </c>
      <c r="O1455" s="80" t="s">
        <v>84</v>
      </c>
      <c r="P1455" s="80"/>
      <c r="Q1455" s="80" t="s">
        <v>84</v>
      </c>
      <c r="R1455" s="80" t="s">
        <v>84</v>
      </c>
    </row>
    <row r="1456" spans="1:18" ht="20" x14ac:dyDescent="0.2">
      <c r="A1456" s="80" t="s">
        <v>814</v>
      </c>
      <c r="B1456" s="80" t="s">
        <v>5728</v>
      </c>
      <c r="C1456" s="80" t="s">
        <v>9680</v>
      </c>
      <c r="D1456" s="80" t="s">
        <v>84</v>
      </c>
      <c r="E1456" s="80" t="s">
        <v>84</v>
      </c>
      <c r="F1456" s="80"/>
      <c r="G1456" s="80" t="s">
        <v>84</v>
      </c>
      <c r="H1456" s="80" t="s">
        <v>84</v>
      </c>
      <c r="I1456" s="80" t="s">
        <v>84</v>
      </c>
      <c r="J1456" s="80" t="s">
        <v>84</v>
      </c>
      <c r="K1456" s="80" t="s">
        <v>84</v>
      </c>
      <c r="L1456" s="80" t="s">
        <v>84</v>
      </c>
      <c r="M1456" s="80" t="s">
        <v>84</v>
      </c>
      <c r="N1456" s="80" t="s">
        <v>84</v>
      </c>
      <c r="O1456" s="80" t="s">
        <v>84</v>
      </c>
      <c r="P1456" s="80"/>
      <c r="Q1456" s="80" t="s">
        <v>84</v>
      </c>
      <c r="R1456" s="80" t="s">
        <v>84</v>
      </c>
    </row>
    <row r="1457" spans="1:18" ht="20" x14ac:dyDescent="0.2">
      <c r="A1457" s="80" t="s">
        <v>1613</v>
      </c>
      <c r="B1457" s="80" t="s">
        <v>10200</v>
      </c>
      <c r="C1457" s="80" t="s">
        <v>84</v>
      </c>
      <c r="D1457" s="80" t="s">
        <v>84</v>
      </c>
      <c r="E1457" s="80" t="s">
        <v>84</v>
      </c>
      <c r="F1457" s="80"/>
      <c r="G1457" s="80" t="s">
        <v>84</v>
      </c>
      <c r="H1457" s="80" t="s">
        <v>84</v>
      </c>
      <c r="I1457" s="80" t="s">
        <v>84</v>
      </c>
      <c r="J1457" s="80" t="s">
        <v>84</v>
      </c>
      <c r="K1457" s="80" t="s">
        <v>84</v>
      </c>
      <c r="L1457" s="80" t="s">
        <v>84</v>
      </c>
      <c r="M1457" s="80" t="s">
        <v>84</v>
      </c>
      <c r="N1457" s="80" t="s">
        <v>84</v>
      </c>
      <c r="O1457" s="80" t="s">
        <v>84</v>
      </c>
      <c r="P1457" s="80"/>
      <c r="Q1457" s="80" t="s">
        <v>84</v>
      </c>
      <c r="R1457" s="80" t="s">
        <v>84</v>
      </c>
    </row>
    <row r="1458" spans="1:18" ht="20" x14ac:dyDescent="0.2">
      <c r="A1458" s="80" t="s">
        <v>1613</v>
      </c>
      <c r="B1458" s="80" t="s">
        <v>1614</v>
      </c>
      <c r="C1458" s="80" t="s">
        <v>84</v>
      </c>
      <c r="D1458" s="80" t="s">
        <v>84</v>
      </c>
      <c r="E1458" s="80" t="s">
        <v>84</v>
      </c>
      <c r="F1458" s="80"/>
      <c r="G1458" s="80" t="s">
        <v>84</v>
      </c>
      <c r="H1458" s="80" t="s">
        <v>84</v>
      </c>
      <c r="I1458" s="80" t="s">
        <v>84</v>
      </c>
      <c r="J1458" s="80" t="s">
        <v>84</v>
      </c>
      <c r="K1458" s="80" t="s">
        <v>84</v>
      </c>
      <c r="L1458" s="80" t="s">
        <v>84</v>
      </c>
      <c r="M1458" s="80" t="s">
        <v>84</v>
      </c>
      <c r="N1458" s="80" t="s">
        <v>84</v>
      </c>
      <c r="O1458" s="80" t="s">
        <v>84</v>
      </c>
      <c r="P1458" s="80"/>
      <c r="Q1458" s="80" t="s">
        <v>84</v>
      </c>
      <c r="R1458" s="80" t="s">
        <v>84</v>
      </c>
    </row>
    <row r="1459" spans="1:18" ht="20" x14ac:dyDescent="0.2">
      <c r="A1459" s="80" t="s">
        <v>1615</v>
      </c>
      <c r="B1459" s="80" t="s">
        <v>1616</v>
      </c>
      <c r="C1459" s="80" t="s">
        <v>84</v>
      </c>
      <c r="D1459" s="80" t="s">
        <v>84</v>
      </c>
      <c r="E1459" s="80" t="s">
        <v>84</v>
      </c>
      <c r="F1459" s="80"/>
      <c r="G1459" s="80" t="s">
        <v>84</v>
      </c>
      <c r="H1459" s="80" t="s">
        <v>84</v>
      </c>
      <c r="I1459" s="80" t="s">
        <v>84</v>
      </c>
      <c r="J1459" s="80" t="s">
        <v>84</v>
      </c>
      <c r="K1459" s="80" t="s">
        <v>84</v>
      </c>
      <c r="L1459" s="80" t="s">
        <v>84</v>
      </c>
      <c r="M1459" s="80" t="s">
        <v>84</v>
      </c>
      <c r="N1459" s="80" t="s">
        <v>84</v>
      </c>
      <c r="O1459" s="80" t="s">
        <v>84</v>
      </c>
      <c r="P1459" s="80"/>
      <c r="Q1459" s="80" t="s">
        <v>84</v>
      </c>
      <c r="R1459" s="80" t="s">
        <v>84</v>
      </c>
    </row>
    <row r="1460" spans="1:18" ht="20" x14ac:dyDescent="0.2">
      <c r="A1460" s="80" t="s">
        <v>1617</v>
      </c>
      <c r="B1460" s="80" t="s">
        <v>10201</v>
      </c>
      <c r="C1460" s="80" t="s">
        <v>84</v>
      </c>
      <c r="D1460" s="80" t="s">
        <v>84</v>
      </c>
      <c r="E1460" s="80" t="s">
        <v>84</v>
      </c>
      <c r="F1460" s="80"/>
      <c r="G1460" s="80" t="s">
        <v>84</v>
      </c>
      <c r="H1460" s="80" t="s">
        <v>84</v>
      </c>
      <c r="I1460" s="80" t="s">
        <v>84</v>
      </c>
      <c r="J1460" s="80" t="s">
        <v>84</v>
      </c>
      <c r="K1460" s="80" t="s">
        <v>84</v>
      </c>
      <c r="L1460" s="80" t="s">
        <v>84</v>
      </c>
      <c r="M1460" s="80" t="s">
        <v>84</v>
      </c>
      <c r="N1460" s="80" t="s">
        <v>84</v>
      </c>
      <c r="O1460" s="80" t="s">
        <v>84</v>
      </c>
      <c r="P1460" s="80"/>
      <c r="Q1460" s="80" t="s">
        <v>84</v>
      </c>
      <c r="R1460" s="80" t="s">
        <v>84</v>
      </c>
    </row>
    <row r="1461" spans="1:18" ht="20" x14ac:dyDescent="0.2">
      <c r="A1461" s="80" t="s">
        <v>1617</v>
      </c>
      <c r="B1461" s="80" t="s">
        <v>1618</v>
      </c>
      <c r="C1461" s="80" t="s">
        <v>84</v>
      </c>
      <c r="D1461" s="80" t="s">
        <v>84</v>
      </c>
      <c r="E1461" s="80" t="s">
        <v>84</v>
      </c>
      <c r="F1461" s="80"/>
      <c r="G1461" s="80" t="s">
        <v>84</v>
      </c>
      <c r="H1461" s="80" t="s">
        <v>84</v>
      </c>
      <c r="I1461" s="80" t="s">
        <v>84</v>
      </c>
      <c r="J1461" s="80" t="s">
        <v>84</v>
      </c>
      <c r="K1461" s="80" t="s">
        <v>84</v>
      </c>
      <c r="L1461" s="80" t="s">
        <v>84</v>
      </c>
      <c r="M1461" s="80" t="s">
        <v>84</v>
      </c>
      <c r="N1461" s="80" t="s">
        <v>84</v>
      </c>
      <c r="O1461" s="80" t="s">
        <v>84</v>
      </c>
      <c r="P1461" s="80"/>
      <c r="Q1461" s="80" t="s">
        <v>84</v>
      </c>
      <c r="R1461" s="80" t="s">
        <v>84</v>
      </c>
    </row>
    <row r="1462" spans="1:18" ht="20" x14ac:dyDescent="0.2">
      <c r="A1462" s="80" t="s">
        <v>1621</v>
      </c>
      <c r="B1462" s="80" t="s">
        <v>1622</v>
      </c>
      <c r="C1462" s="80" t="s">
        <v>84</v>
      </c>
      <c r="D1462" s="80" t="s">
        <v>84</v>
      </c>
      <c r="E1462" s="80" t="s">
        <v>84</v>
      </c>
      <c r="F1462" s="80"/>
      <c r="G1462" s="80" t="s">
        <v>84</v>
      </c>
      <c r="H1462" s="80" t="s">
        <v>84</v>
      </c>
      <c r="I1462" s="80" t="s">
        <v>84</v>
      </c>
      <c r="J1462" s="80" t="s">
        <v>84</v>
      </c>
      <c r="K1462" s="80" t="s">
        <v>84</v>
      </c>
      <c r="L1462" s="80" t="s">
        <v>84</v>
      </c>
      <c r="M1462" s="80" t="s">
        <v>84</v>
      </c>
      <c r="N1462" s="80" t="s">
        <v>84</v>
      </c>
      <c r="O1462" s="80" t="s">
        <v>84</v>
      </c>
      <c r="P1462" s="80"/>
      <c r="Q1462" s="80" t="s">
        <v>84</v>
      </c>
      <c r="R1462" s="80" t="s">
        <v>84</v>
      </c>
    </row>
    <row r="1463" spans="1:18" ht="20" x14ac:dyDescent="0.2">
      <c r="A1463" s="80" t="s">
        <v>2201</v>
      </c>
      <c r="B1463" s="80" t="s">
        <v>10202</v>
      </c>
      <c r="C1463" s="80" t="s">
        <v>84</v>
      </c>
      <c r="D1463" s="80" t="s">
        <v>84</v>
      </c>
      <c r="E1463" s="80" t="s">
        <v>84</v>
      </c>
      <c r="F1463" s="80"/>
      <c r="G1463" s="80" t="s">
        <v>84</v>
      </c>
      <c r="H1463" s="80" t="s">
        <v>84</v>
      </c>
      <c r="I1463" s="80" t="s">
        <v>84</v>
      </c>
      <c r="J1463" s="80" t="s">
        <v>84</v>
      </c>
      <c r="K1463" s="80" t="s">
        <v>84</v>
      </c>
      <c r="L1463" s="80" t="s">
        <v>84</v>
      </c>
      <c r="M1463" s="80" t="s">
        <v>84</v>
      </c>
      <c r="N1463" s="80" t="s">
        <v>84</v>
      </c>
      <c r="O1463" s="80" t="s">
        <v>84</v>
      </c>
      <c r="P1463" s="80"/>
      <c r="Q1463" s="80" t="s">
        <v>84</v>
      </c>
      <c r="R1463" s="80" t="s">
        <v>84</v>
      </c>
    </row>
    <row r="1464" spans="1:18" ht="20" x14ac:dyDescent="0.2">
      <c r="A1464" s="80" t="s">
        <v>2201</v>
      </c>
      <c r="B1464" s="80" t="s">
        <v>2202</v>
      </c>
      <c r="C1464" s="80" t="s">
        <v>84</v>
      </c>
      <c r="D1464" s="80" t="s">
        <v>84</v>
      </c>
      <c r="E1464" s="80" t="s">
        <v>84</v>
      </c>
      <c r="F1464" s="80"/>
      <c r="G1464" s="80" t="s">
        <v>84</v>
      </c>
      <c r="H1464" s="80" t="s">
        <v>84</v>
      </c>
      <c r="I1464" s="80" t="s">
        <v>84</v>
      </c>
      <c r="J1464" s="80" t="s">
        <v>84</v>
      </c>
      <c r="K1464" s="80" t="s">
        <v>84</v>
      </c>
      <c r="L1464" s="80" t="s">
        <v>84</v>
      </c>
      <c r="M1464" s="80" t="s">
        <v>84</v>
      </c>
      <c r="N1464" s="80" t="s">
        <v>84</v>
      </c>
      <c r="O1464" s="80" t="s">
        <v>84</v>
      </c>
      <c r="P1464" s="80"/>
      <c r="Q1464" s="80" t="s">
        <v>84</v>
      </c>
      <c r="R1464" s="80" t="s">
        <v>84</v>
      </c>
    </row>
    <row r="1465" spans="1:18" ht="20" x14ac:dyDescent="0.2">
      <c r="A1465" s="80" t="s">
        <v>2203</v>
      </c>
      <c r="B1465" s="80" t="s">
        <v>10203</v>
      </c>
      <c r="C1465" s="80" t="s">
        <v>84</v>
      </c>
      <c r="D1465" s="80" t="s">
        <v>84</v>
      </c>
      <c r="E1465" s="80" t="s">
        <v>84</v>
      </c>
      <c r="F1465" s="80"/>
      <c r="G1465" s="80" t="s">
        <v>84</v>
      </c>
      <c r="H1465" s="80" t="s">
        <v>84</v>
      </c>
      <c r="I1465" s="80" t="s">
        <v>84</v>
      </c>
      <c r="J1465" s="80" t="s">
        <v>84</v>
      </c>
      <c r="K1465" s="80" t="s">
        <v>84</v>
      </c>
      <c r="L1465" s="80" t="s">
        <v>84</v>
      </c>
      <c r="M1465" s="80" t="s">
        <v>84</v>
      </c>
      <c r="N1465" s="80" t="s">
        <v>84</v>
      </c>
      <c r="O1465" s="80" t="s">
        <v>84</v>
      </c>
      <c r="P1465" s="80"/>
      <c r="Q1465" s="80" t="s">
        <v>84</v>
      </c>
      <c r="R1465" s="80" t="s">
        <v>84</v>
      </c>
    </row>
    <row r="1466" spans="1:18" ht="20" x14ac:dyDescent="0.2">
      <c r="A1466" s="80" t="s">
        <v>2203</v>
      </c>
      <c r="B1466" s="80" t="s">
        <v>2204</v>
      </c>
      <c r="C1466" s="80" t="s">
        <v>84</v>
      </c>
      <c r="D1466" s="80" t="s">
        <v>84</v>
      </c>
      <c r="E1466" s="80" t="s">
        <v>84</v>
      </c>
      <c r="F1466" s="80"/>
      <c r="G1466" s="80" t="s">
        <v>84</v>
      </c>
      <c r="H1466" s="80" t="s">
        <v>84</v>
      </c>
      <c r="I1466" s="80" t="s">
        <v>84</v>
      </c>
      <c r="J1466" s="80" t="s">
        <v>84</v>
      </c>
      <c r="K1466" s="80" t="s">
        <v>84</v>
      </c>
      <c r="L1466" s="80" t="s">
        <v>84</v>
      </c>
      <c r="M1466" s="80" t="s">
        <v>84</v>
      </c>
      <c r="N1466" s="80" t="s">
        <v>84</v>
      </c>
      <c r="O1466" s="80" t="s">
        <v>84</v>
      </c>
      <c r="P1466" s="80"/>
      <c r="Q1466" s="80" t="s">
        <v>84</v>
      </c>
      <c r="R1466" s="80" t="s">
        <v>84</v>
      </c>
    </row>
    <row r="1467" spans="1:18" ht="20" x14ac:dyDescent="0.2">
      <c r="A1467" s="80" t="s">
        <v>2205</v>
      </c>
      <c r="B1467" s="80" t="s">
        <v>10204</v>
      </c>
      <c r="C1467" s="80" t="s">
        <v>9680</v>
      </c>
      <c r="D1467" s="80" t="s">
        <v>9680</v>
      </c>
      <c r="E1467" s="80" t="s">
        <v>84</v>
      </c>
      <c r="F1467" s="80"/>
      <c r="G1467" s="80" t="s">
        <v>9680</v>
      </c>
      <c r="H1467" s="80" t="s">
        <v>9680</v>
      </c>
      <c r="I1467" s="80" t="s">
        <v>9680</v>
      </c>
      <c r="J1467" s="80" t="s">
        <v>9680</v>
      </c>
      <c r="K1467" s="80" t="s">
        <v>9680</v>
      </c>
      <c r="L1467" s="80" t="s">
        <v>84</v>
      </c>
      <c r="M1467" s="80" t="s">
        <v>9680</v>
      </c>
      <c r="N1467" s="80" t="s">
        <v>84</v>
      </c>
      <c r="O1467" s="80" t="s">
        <v>9680</v>
      </c>
      <c r="P1467" s="80"/>
      <c r="Q1467" s="80" t="s">
        <v>9680</v>
      </c>
      <c r="R1467" s="80" t="s">
        <v>9680</v>
      </c>
    </row>
    <row r="1468" spans="1:18" ht="20" x14ac:dyDescent="0.2">
      <c r="A1468" s="80" t="s">
        <v>2205</v>
      </c>
      <c r="B1468" s="80" t="s">
        <v>2206</v>
      </c>
      <c r="C1468" s="80" t="s">
        <v>9680</v>
      </c>
      <c r="D1468" s="80" t="s">
        <v>9680</v>
      </c>
      <c r="E1468" s="80" t="s">
        <v>84</v>
      </c>
      <c r="F1468" s="80"/>
      <c r="G1468" s="80" t="s">
        <v>9680</v>
      </c>
      <c r="H1468" s="80" t="s">
        <v>9680</v>
      </c>
      <c r="I1468" s="80" t="s">
        <v>9680</v>
      </c>
      <c r="J1468" s="80" t="s">
        <v>9680</v>
      </c>
      <c r="K1468" s="80" t="s">
        <v>9680</v>
      </c>
      <c r="L1468" s="80" t="s">
        <v>84</v>
      </c>
      <c r="M1468" s="80" t="s">
        <v>9680</v>
      </c>
      <c r="N1468" s="80" t="s">
        <v>84</v>
      </c>
      <c r="O1468" s="80" t="s">
        <v>9680</v>
      </c>
      <c r="P1468" s="80"/>
      <c r="Q1468" s="80" t="s">
        <v>9680</v>
      </c>
      <c r="R1468" s="80" t="s">
        <v>9680</v>
      </c>
    </row>
    <row r="1469" spans="1:18" ht="20" x14ac:dyDescent="0.2">
      <c r="A1469" s="80" t="s">
        <v>2207</v>
      </c>
      <c r="B1469" s="80" t="s">
        <v>10205</v>
      </c>
      <c r="C1469" s="80" t="s">
        <v>84</v>
      </c>
      <c r="D1469" s="80" t="s">
        <v>84</v>
      </c>
      <c r="E1469" s="80" t="s">
        <v>84</v>
      </c>
      <c r="F1469" s="80"/>
      <c r="G1469" s="80" t="s">
        <v>84</v>
      </c>
      <c r="H1469" s="80" t="s">
        <v>84</v>
      </c>
      <c r="I1469" s="80" t="s">
        <v>84</v>
      </c>
      <c r="J1469" s="80" t="s">
        <v>84</v>
      </c>
      <c r="K1469" s="80" t="s">
        <v>84</v>
      </c>
      <c r="L1469" s="80" t="s">
        <v>84</v>
      </c>
      <c r="M1469" s="80" t="s">
        <v>84</v>
      </c>
      <c r="N1469" s="80" t="s">
        <v>84</v>
      </c>
      <c r="O1469" s="80" t="s">
        <v>84</v>
      </c>
      <c r="P1469" s="80"/>
      <c r="Q1469" s="80" t="s">
        <v>84</v>
      </c>
      <c r="R1469" s="80" t="s">
        <v>84</v>
      </c>
    </row>
    <row r="1470" spans="1:18" ht="20" x14ac:dyDescent="0.2">
      <c r="A1470" s="80" t="s">
        <v>2207</v>
      </c>
      <c r="B1470" s="80" t="s">
        <v>2208</v>
      </c>
      <c r="C1470" s="80" t="s">
        <v>84</v>
      </c>
      <c r="D1470" s="80" t="s">
        <v>84</v>
      </c>
      <c r="E1470" s="80" t="s">
        <v>84</v>
      </c>
      <c r="F1470" s="80"/>
      <c r="G1470" s="80" t="s">
        <v>84</v>
      </c>
      <c r="H1470" s="80" t="s">
        <v>84</v>
      </c>
      <c r="I1470" s="80" t="s">
        <v>84</v>
      </c>
      <c r="J1470" s="80" t="s">
        <v>84</v>
      </c>
      <c r="K1470" s="80" t="s">
        <v>84</v>
      </c>
      <c r="L1470" s="80" t="s">
        <v>84</v>
      </c>
      <c r="M1470" s="80" t="s">
        <v>84</v>
      </c>
      <c r="N1470" s="80" t="s">
        <v>84</v>
      </c>
      <c r="O1470" s="80" t="s">
        <v>84</v>
      </c>
      <c r="P1470" s="80"/>
      <c r="Q1470" s="80" t="s">
        <v>84</v>
      </c>
      <c r="R1470" s="80" t="s">
        <v>84</v>
      </c>
    </row>
    <row r="1471" spans="1:18" ht="20" x14ac:dyDescent="0.2">
      <c r="A1471" s="80" t="s">
        <v>2209</v>
      </c>
      <c r="B1471" s="80" t="s">
        <v>10206</v>
      </c>
      <c r="C1471" s="80" t="s">
        <v>84</v>
      </c>
      <c r="D1471" s="80" t="s">
        <v>84</v>
      </c>
      <c r="E1471" s="80" t="s">
        <v>84</v>
      </c>
      <c r="F1471" s="80"/>
      <c r="G1471" s="80" t="s">
        <v>84</v>
      </c>
      <c r="H1471" s="80" t="s">
        <v>84</v>
      </c>
      <c r="I1471" s="80" t="s">
        <v>84</v>
      </c>
      <c r="J1471" s="80" t="s">
        <v>84</v>
      </c>
      <c r="K1471" s="80" t="s">
        <v>84</v>
      </c>
      <c r="L1471" s="80" t="s">
        <v>84</v>
      </c>
      <c r="M1471" s="80" t="s">
        <v>84</v>
      </c>
      <c r="N1471" s="80" t="s">
        <v>84</v>
      </c>
      <c r="O1471" s="80" t="s">
        <v>84</v>
      </c>
      <c r="P1471" s="80"/>
      <c r="Q1471" s="80" t="s">
        <v>84</v>
      </c>
      <c r="R1471" s="80" t="s">
        <v>84</v>
      </c>
    </row>
    <row r="1472" spans="1:18" ht="20" x14ac:dyDescent="0.2">
      <c r="A1472" s="80" t="s">
        <v>2209</v>
      </c>
      <c r="B1472" s="80" t="s">
        <v>2210</v>
      </c>
      <c r="C1472" s="80" t="s">
        <v>84</v>
      </c>
      <c r="D1472" s="80" t="s">
        <v>84</v>
      </c>
      <c r="E1472" s="80" t="s">
        <v>84</v>
      </c>
      <c r="F1472" s="80"/>
      <c r="G1472" s="80" t="s">
        <v>84</v>
      </c>
      <c r="H1472" s="80" t="s">
        <v>84</v>
      </c>
      <c r="I1472" s="80" t="s">
        <v>84</v>
      </c>
      <c r="J1472" s="80" t="s">
        <v>84</v>
      </c>
      <c r="K1472" s="80" t="s">
        <v>84</v>
      </c>
      <c r="L1472" s="80" t="s">
        <v>84</v>
      </c>
      <c r="M1472" s="80" t="s">
        <v>84</v>
      </c>
      <c r="N1472" s="80" t="s">
        <v>84</v>
      </c>
      <c r="O1472" s="80" t="s">
        <v>84</v>
      </c>
      <c r="P1472" s="80"/>
      <c r="Q1472" s="80" t="s">
        <v>84</v>
      </c>
      <c r="R1472" s="80" t="s">
        <v>84</v>
      </c>
    </row>
    <row r="1473" spans="1:18" ht="20" x14ac:dyDescent="0.2">
      <c r="A1473" s="80" t="s">
        <v>2272</v>
      </c>
      <c r="B1473" s="80" t="s">
        <v>10207</v>
      </c>
      <c r="C1473" s="80" t="s">
        <v>84</v>
      </c>
      <c r="D1473" s="80" t="s">
        <v>84</v>
      </c>
      <c r="E1473" s="80" t="s">
        <v>84</v>
      </c>
      <c r="F1473" s="80"/>
      <c r="G1473" s="80" t="s">
        <v>84</v>
      </c>
      <c r="H1473" s="80" t="s">
        <v>84</v>
      </c>
      <c r="I1473" s="80" t="s">
        <v>84</v>
      </c>
      <c r="J1473" s="80" t="s">
        <v>84</v>
      </c>
      <c r="K1473" s="80" t="s">
        <v>84</v>
      </c>
      <c r="L1473" s="80" t="s">
        <v>84</v>
      </c>
      <c r="M1473" s="80" t="s">
        <v>84</v>
      </c>
      <c r="N1473" s="80" t="s">
        <v>84</v>
      </c>
      <c r="O1473" s="80" t="s">
        <v>84</v>
      </c>
      <c r="P1473" s="80"/>
      <c r="Q1473" s="80" t="s">
        <v>84</v>
      </c>
      <c r="R1473" s="80" t="s">
        <v>84</v>
      </c>
    </row>
    <row r="1474" spans="1:18" ht="20" x14ac:dyDescent="0.2">
      <c r="A1474" s="80" t="s">
        <v>2272</v>
      </c>
      <c r="B1474" s="80" t="s">
        <v>2273</v>
      </c>
      <c r="C1474" s="80" t="s">
        <v>84</v>
      </c>
      <c r="D1474" s="80" t="s">
        <v>84</v>
      </c>
      <c r="E1474" s="80" t="s">
        <v>84</v>
      </c>
      <c r="F1474" s="80"/>
      <c r="G1474" s="80" t="s">
        <v>84</v>
      </c>
      <c r="H1474" s="80" t="s">
        <v>84</v>
      </c>
      <c r="I1474" s="80" t="s">
        <v>84</v>
      </c>
      <c r="J1474" s="80" t="s">
        <v>84</v>
      </c>
      <c r="K1474" s="80" t="s">
        <v>84</v>
      </c>
      <c r="L1474" s="80" t="s">
        <v>84</v>
      </c>
      <c r="M1474" s="80" t="s">
        <v>84</v>
      </c>
      <c r="N1474" s="80" t="s">
        <v>84</v>
      </c>
      <c r="O1474" s="80" t="s">
        <v>84</v>
      </c>
      <c r="P1474" s="80"/>
      <c r="Q1474" s="80" t="s">
        <v>84</v>
      </c>
      <c r="R1474" s="80" t="s">
        <v>84</v>
      </c>
    </row>
    <row r="1475" spans="1:18" ht="20" x14ac:dyDescent="0.2">
      <c r="A1475" s="80" t="s">
        <v>2211</v>
      </c>
      <c r="B1475" s="80" t="s">
        <v>2212</v>
      </c>
      <c r="C1475" s="80" t="s">
        <v>84</v>
      </c>
      <c r="D1475" s="80" t="s">
        <v>84</v>
      </c>
      <c r="E1475" s="80" t="s">
        <v>84</v>
      </c>
      <c r="F1475" s="80"/>
      <c r="G1475" s="80" t="s">
        <v>84</v>
      </c>
      <c r="H1475" s="80" t="s">
        <v>84</v>
      </c>
      <c r="I1475" s="80" t="s">
        <v>84</v>
      </c>
      <c r="J1475" s="80" t="s">
        <v>84</v>
      </c>
      <c r="K1475" s="80" t="s">
        <v>84</v>
      </c>
      <c r="L1475" s="80" t="s">
        <v>84</v>
      </c>
      <c r="M1475" s="80" t="s">
        <v>84</v>
      </c>
      <c r="N1475" s="80" t="s">
        <v>84</v>
      </c>
      <c r="O1475" s="80" t="s">
        <v>84</v>
      </c>
      <c r="P1475" s="80"/>
      <c r="Q1475" s="80" t="s">
        <v>84</v>
      </c>
      <c r="R1475" s="80" t="s">
        <v>84</v>
      </c>
    </row>
    <row r="1476" spans="1:18" ht="20" x14ac:dyDescent="0.2">
      <c r="A1476" s="80" t="s">
        <v>2218</v>
      </c>
      <c r="B1476" s="80" t="s">
        <v>2219</v>
      </c>
      <c r="C1476" s="80" t="s">
        <v>84</v>
      </c>
      <c r="D1476" s="80" t="s">
        <v>84</v>
      </c>
      <c r="E1476" s="80" t="s">
        <v>84</v>
      </c>
      <c r="F1476" s="80"/>
      <c r="G1476" s="80" t="s">
        <v>84</v>
      </c>
      <c r="H1476" s="80" t="s">
        <v>84</v>
      </c>
      <c r="I1476" s="80" t="s">
        <v>84</v>
      </c>
      <c r="J1476" s="80" t="s">
        <v>84</v>
      </c>
      <c r="K1476" s="80" t="s">
        <v>84</v>
      </c>
      <c r="L1476" s="80" t="s">
        <v>84</v>
      </c>
      <c r="M1476" s="80" t="s">
        <v>84</v>
      </c>
      <c r="N1476" s="80" t="s">
        <v>84</v>
      </c>
      <c r="O1476" s="80" t="s">
        <v>84</v>
      </c>
      <c r="P1476" s="80"/>
      <c r="Q1476" s="80" t="s">
        <v>84</v>
      </c>
      <c r="R1476" s="80" t="s">
        <v>84</v>
      </c>
    </row>
    <row r="1477" spans="1:18" ht="20" x14ac:dyDescent="0.2">
      <c r="A1477" s="80" t="s">
        <v>2220</v>
      </c>
      <c r="B1477" s="80" t="s">
        <v>2221</v>
      </c>
      <c r="C1477" s="80" t="s">
        <v>84</v>
      </c>
      <c r="D1477" s="80" t="s">
        <v>84</v>
      </c>
      <c r="E1477" s="80" t="s">
        <v>84</v>
      </c>
      <c r="F1477" s="80"/>
      <c r="G1477" s="80" t="s">
        <v>84</v>
      </c>
      <c r="H1477" s="80" t="s">
        <v>84</v>
      </c>
      <c r="I1477" s="80" t="s">
        <v>84</v>
      </c>
      <c r="J1477" s="80" t="s">
        <v>84</v>
      </c>
      <c r="K1477" s="80" t="s">
        <v>84</v>
      </c>
      <c r="L1477" s="80" t="s">
        <v>84</v>
      </c>
      <c r="M1477" s="80" t="s">
        <v>84</v>
      </c>
      <c r="N1477" s="80" t="s">
        <v>84</v>
      </c>
      <c r="O1477" s="80" t="s">
        <v>84</v>
      </c>
      <c r="P1477" s="80"/>
      <c r="Q1477" s="80" t="s">
        <v>84</v>
      </c>
      <c r="R1477" s="80" t="s">
        <v>84</v>
      </c>
    </row>
    <row r="1478" spans="1:18" ht="20" x14ac:dyDescent="0.2">
      <c r="A1478" s="80" t="s">
        <v>10208</v>
      </c>
      <c r="B1478" s="80" t="s">
        <v>10209</v>
      </c>
      <c r="C1478" s="80" t="s">
        <v>9680</v>
      </c>
      <c r="D1478" s="80" t="s">
        <v>84</v>
      </c>
      <c r="E1478" s="80" t="s">
        <v>84</v>
      </c>
      <c r="F1478" s="80"/>
      <c r="G1478" s="80" t="s">
        <v>84</v>
      </c>
      <c r="H1478" s="80" t="s">
        <v>84</v>
      </c>
      <c r="I1478" s="80" t="s">
        <v>84</v>
      </c>
      <c r="J1478" s="80" t="s">
        <v>84</v>
      </c>
      <c r="K1478" s="80" t="s">
        <v>84</v>
      </c>
      <c r="L1478" s="80" t="s">
        <v>84</v>
      </c>
      <c r="M1478" s="80" t="s">
        <v>84</v>
      </c>
      <c r="N1478" s="80" t="s">
        <v>84</v>
      </c>
      <c r="O1478" s="80" t="s">
        <v>84</v>
      </c>
      <c r="P1478" s="80"/>
      <c r="Q1478" s="80" t="s">
        <v>84</v>
      </c>
      <c r="R1478" s="80" t="s">
        <v>84</v>
      </c>
    </row>
    <row r="1479" spans="1:18" ht="20" x14ac:dyDescent="0.2">
      <c r="A1479" s="80" t="s">
        <v>2222</v>
      </c>
      <c r="B1479" s="80" t="s">
        <v>2223</v>
      </c>
      <c r="C1479" s="80" t="s">
        <v>9680</v>
      </c>
      <c r="D1479" s="80" t="s">
        <v>84</v>
      </c>
      <c r="E1479" s="80" t="s">
        <v>84</v>
      </c>
      <c r="F1479" s="80"/>
      <c r="G1479" s="80" t="s">
        <v>84</v>
      </c>
      <c r="H1479" s="80" t="s">
        <v>9680</v>
      </c>
      <c r="I1479" s="80" t="s">
        <v>84</v>
      </c>
      <c r="J1479" s="80" t="s">
        <v>84</v>
      </c>
      <c r="K1479" s="80" t="s">
        <v>84</v>
      </c>
      <c r="L1479" s="80" t="s">
        <v>84</v>
      </c>
      <c r="M1479" s="80" t="s">
        <v>84</v>
      </c>
      <c r="N1479" s="80" t="s">
        <v>84</v>
      </c>
      <c r="O1479" s="80" t="s">
        <v>84</v>
      </c>
      <c r="P1479" s="80"/>
      <c r="Q1479" s="80" t="s">
        <v>84</v>
      </c>
      <c r="R1479" s="80" t="s">
        <v>84</v>
      </c>
    </row>
    <row r="1480" spans="1:18" ht="20" x14ac:dyDescent="0.2">
      <c r="A1480" s="80" t="s">
        <v>2224</v>
      </c>
      <c r="B1480" s="80" t="s">
        <v>2225</v>
      </c>
      <c r="C1480" s="80" t="s">
        <v>9680</v>
      </c>
      <c r="D1480" s="80" t="s">
        <v>84</v>
      </c>
      <c r="E1480" s="80" t="s">
        <v>84</v>
      </c>
      <c r="F1480" s="80"/>
      <c r="G1480" s="80" t="s">
        <v>84</v>
      </c>
      <c r="H1480" s="80" t="s">
        <v>9680</v>
      </c>
      <c r="I1480" s="80" t="s">
        <v>84</v>
      </c>
      <c r="J1480" s="80" t="s">
        <v>84</v>
      </c>
      <c r="K1480" s="80" t="s">
        <v>84</v>
      </c>
      <c r="L1480" s="80" t="s">
        <v>84</v>
      </c>
      <c r="M1480" s="80" t="s">
        <v>84</v>
      </c>
      <c r="N1480" s="80" t="s">
        <v>84</v>
      </c>
      <c r="O1480" s="80" t="s">
        <v>84</v>
      </c>
      <c r="P1480" s="80"/>
      <c r="Q1480" s="80" t="s">
        <v>84</v>
      </c>
      <c r="R1480" s="80" t="s">
        <v>84</v>
      </c>
    </row>
    <row r="1481" spans="1:18" ht="20" x14ac:dyDescent="0.2">
      <c r="A1481" s="80" t="s">
        <v>10210</v>
      </c>
      <c r="B1481" s="80" t="s">
        <v>10211</v>
      </c>
      <c r="C1481" s="80" t="s">
        <v>9680</v>
      </c>
      <c r="D1481" s="80" t="s">
        <v>9680</v>
      </c>
      <c r="E1481" s="80" t="s">
        <v>9680</v>
      </c>
      <c r="F1481" s="80"/>
      <c r="G1481" s="80" t="s">
        <v>9680</v>
      </c>
      <c r="H1481" s="80" t="s">
        <v>9680</v>
      </c>
      <c r="I1481" s="80" t="s">
        <v>9680</v>
      </c>
      <c r="J1481" s="80" t="s">
        <v>84</v>
      </c>
      <c r="K1481" s="80" t="s">
        <v>9680</v>
      </c>
      <c r="L1481" s="80" t="s">
        <v>9680</v>
      </c>
      <c r="M1481" s="80" t="s">
        <v>84</v>
      </c>
      <c r="N1481" s="80" t="s">
        <v>9680</v>
      </c>
      <c r="O1481" s="80" t="s">
        <v>84</v>
      </c>
      <c r="P1481" s="80"/>
      <c r="Q1481" s="80" t="s">
        <v>84</v>
      </c>
      <c r="R1481" s="80" t="s">
        <v>84</v>
      </c>
    </row>
    <row r="1482" spans="1:18" ht="20" x14ac:dyDescent="0.2">
      <c r="A1482" s="80" t="s">
        <v>2226</v>
      </c>
      <c r="B1482" s="80" t="s">
        <v>2227</v>
      </c>
      <c r="C1482" s="80" t="s">
        <v>9680</v>
      </c>
      <c r="D1482" s="80" t="s">
        <v>9680</v>
      </c>
      <c r="E1482" s="80" t="s">
        <v>9680</v>
      </c>
      <c r="F1482" s="80"/>
      <c r="G1482" s="80" t="s">
        <v>9680</v>
      </c>
      <c r="H1482" s="80" t="s">
        <v>9680</v>
      </c>
      <c r="I1482" s="80" t="s">
        <v>9680</v>
      </c>
      <c r="J1482" s="80" t="s">
        <v>84</v>
      </c>
      <c r="K1482" s="80" t="s">
        <v>9680</v>
      </c>
      <c r="L1482" s="80" t="s">
        <v>9680</v>
      </c>
      <c r="M1482" s="80" t="s">
        <v>84</v>
      </c>
      <c r="N1482" s="80" t="s">
        <v>9680</v>
      </c>
      <c r="O1482" s="80" t="s">
        <v>84</v>
      </c>
      <c r="P1482" s="80"/>
      <c r="Q1482" s="80" t="s">
        <v>84</v>
      </c>
      <c r="R1482" s="80" t="s">
        <v>84</v>
      </c>
    </row>
    <row r="1483" spans="1:18" ht="20" x14ac:dyDescent="0.2">
      <c r="A1483" s="80" t="s">
        <v>2231</v>
      </c>
      <c r="B1483" s="80" t="s">
        <v>2232</v>
      </c>
      <c r="C1483" s="80" t="s">
        <v>9680</v>
      </c>
      <c r="D1483" s="80" t="s">
        <v>84</v>
      </c>
      <c r="E1483" s="80" t="s">
        <v>84</v>
      </c>
      <c r="F1483" s="80"/>
      <c r="G1483" s="80" t="s">
        <v>84</v>
      </c>
      <c r="H1483" s="80" t="s">
        <v>9680</v>
      </c>
      <c r="I1483" s="80" t="s">
        <v>84</v>
      </c>
      <c r="J1483" s="80" t="s">
        <v>84</v>
      </c>
      <c r="K1483" s="80" t="s">
        <v>84</v>
      </c>
      <c r="L1483" s="80" t="s">
        <v>84</v>
      </c>
      <c r="M1483" s="80" t="s">
        <v>84</v>
      </c>
      <c r="N1483" s="80" t="s">
        <v>84</v>
      </c>
      <c r="O1483" s="80" t="s">
        <v>84</v>
      </c>
      <c r="P1483" s="80"/>
      <c r="Q1483" s="80" t="s">
        <v>84</v>
      </c>
      <c r="R1483" s="80" t="s">
        <v>84</v>
      </c>
    </row>
    <row r="1484" spans="1:18" ht="20" x14ac:dyDescent="0.2">
      <c r="A1484" s="80" t="s">
        <v>2079</v>
      </c>
      <c r="B1484" s="80" t="s">
        <v>2080</v>
      </c>
      <c r="C1484" s="80" t="s">
        <v>9680</v>
      </c>
      <c r="D1484" s="80" t="s">
        <v>9680</v>
      </c>
      <c r="E1484" s="80" t="s">
        <v>84</v>
      </c>
      <c r="F1484" s="80"/>
      <c r="G1484" s="80" t="s">
        <v>9680</v>
      </c>
      <c r="H1484" s="80" t="s">
        <v>9680</v>
      </c>
      <c r="I1484" s="80" t="s">
        <v>9680</v>
      </c>
      <c r="J1484" s="80" t="s">
        <v>9680</v>
      </c>
      <c r="K1484" s="80" t="s">
        <v>9680</v>
      </c>
      <c r="L1484" s="80" t="s">
        <v>9680</v>
      </c>
      <c r="M1484" s="80" t="s">
        <v>9680</v>
      </c>
      <c r="N1484" s="80" t="s">
        <v>84</v>
      </c>
      <c r="O1484" s="80" t="s">
        <v>9680</v>
      </c>
      <c r="P1484" s="80"/>
      <c r="Q1484" s="80" t="s">
        <v>9680</v>
      </c>
      <c r="R1484" s="80" t="s">
        <v>9680</v>
      </c>
    </row>
    <row r="1485" spans="1:18" ht="20" x14ac:dyDescent="0.2">
      <c r="A1485" s="80" t="s">
        <v>2079</v>
      </c>
      <c r="B1485" s="80" t="s">
        <v>10212</v>
      </c>
      <c r="C1485" s="80" t="s">
        <v>9680</v>
      </c>
      <c r="D1485" s="80" t="s">
        <v>9680</v>
      </c>
      <c r="E1485" s="80" t="s">
        <v>84</v>
      </c>
      <c r="F1485" s="80"/>
      <c r="G1485" s="80" t="s">
        <v>9680</v>
      </c>
      <c r="H1485" s="80" t="s">
        <v>9680</v>
      </c>
      <c r="I1485" s="80" t="s">
        <v>9680</v>
      </c>
      <c r="J1485" s="80" t="s">
        <v>9680</v>
      </c>
      <c r="K1485" s="80" t="s">
        <v>9680</v>
      </c>
      <c r="L1485" s="80" t="s">
        <v>9680</v>
      </c>
      <c r="M1485" s="80" t="s">
        <v>9680</v>
      </c>
      <c r="N1485" s="80" t="s">
        <v>84</v>
      </c>
      <c r="O1485" s="80" t="s">
        <v>9680</v>
      </c>
      <c r="P1485" s="80"/>
      <c r="Q1485" s="80" t="s">
        <v>9680</v>
      </c>
      <c r="R1485" s="80" t="s">
        <v>9680</v>
      </c>
    </row>
    <row r="1486" spans="1:18" ht="20" x14ac:dyDescent="0.2">
      <c r="A1486" s="80" t="s">
        <v>2079</v>
      </c>
      <c r="B1486" s="80" t="s">
        <v>2134</v>
      </c>
      <c r="C1486" s="80" t="s">
        <v>9680</v>
      </c>
      <c r="D1486" s="80" t="s">
        <v>9680</v>
      </c>
      <c r="E1486" s="80" t="s">
        <v>84</v>
      </c>
      <c r="F1486" s="80"/>
      <c r="G1486" s="80" t="s">
        <v>9680</v>
      </c>
      <c r="H1486" s="80" t="s">
        <v>9680</v>
      </c>
      <c r="I1486" s="80" t="s">
        <v>9680</v>
      </c>
      <c r="J1486" s="80" t="s">
        <v>9680</v>
      </c>
      <c r="K1486" s="80" t="s">
        <v>9680</v>
      </c>
      <c r="L1486" s="80" t="s">
        <v>9680</v>
      </c>
      <c r="M1486" s="80" t="s">
        <v>9680</v>
      </c>
      <c r="N1486" s="80" t="s">
        <v>84</v>
      </c>
      <c r="O1486" s="80" t="s">
        <v>9680</v>
      </c>
      <c r="P1486" s="80"/>
      <c r="Q1486" s="80" t="s">
        <v>9680</v>
      </c>
      <c r="R1486" s="80" t="s">
        <v>9680</v>
      </c>
    </row>
    <row r="1487" spans="1:18" ht="20" x14ac:dyDescent="0.2">
      <c r="A1487" s="80" t="s">
        <v>2152</v>
      </c>
      <c r="B1487" s="80" t="s">
        <v>10213</v>
      </c>
      <c r="C1487" s="80" t="s">
        <v>9680</v>
      </c>
      <c r="D1487" s="80" t="s">
        <v>9680</v>
      </c>
      <c r="E1487" s="80" t="s">
        <v>84</v>
      </c>
      <c r="F1487" s="80"/>
      <c r="G1487" s="80" t="s">
        <v>9680</v>
      </c>
      <c r="H1487" s="80" t="s">
        <v>9680</v>
      </c>
      <c r="I1487" s="80" t="s">
        <v>84</v>
      </c>
      <c r="J1487" s="80" t="s">
        <v>9680</v>
      </c>
      <c r="K1487" s="80" t="s">
        <v>84</v>
      </c>
      <c r="L1487" s="80" t="s">
        <v>84</v>
      </c>
      <c r="M1487" s="80" t="s">
        <v>9680</v>
      </c>
      <c r="N1487" s="80" t="s">
        <v>84</v>
      </c>
      <c r="O1487" s="80" t="s">
        <v>9680</v>
      </c>
      <c r="P1487" s="80"/>
      <c r="Q1487" s="80" t="s">
        <v>9680</v>
      </c>
      <c r="R1487" s="80" t="s">
        <v>9680</v>
      </c>
    </row>
    <row r="1488" spans="1:18" ht="20" x14ac:dyDescent="0.2">
      <c r="A1488" s="80" t="s">
        <v>2152</v>
      </c>
      <c r="B1488" s="80" t="s">
        <v>2153</v>
      </c>
      <c r="C1488" s="80" t="s">
        <v>9680</v>
      </c>
      <c r="D1488" s="80" t="s">
        <v>9680</v>
      </c>
      <c r="E1488" s="80" t="s">
        <v>84</v>
      </c>
      <c r="F1488" s="80"/>
      <c r="G1488" s="80" t="s">
        <v>9680</v>
      </c>
      <c r="H1488" s="80" t="s">
        <v>9680</v>
      </c>
      <c r="I1488" s="80" t="s">
        <v>84</v>
      </c>
      <c r="J1488" s="80" t="s">
        <v>9680</v>
      </c>
      <c r="K1488" s="80" t="s">
        <v>84</v>
      </c>
      <c r="L1488" s="80" t="s">
        <v>84</v>
      </c>
      <c r="M1488" s="80" t="s">
        <v>9680</v>
      </c>
      <c r="N1488" s="80" t="s">
        <v>84</v>
      </c>
      <c r="O1488" s="80" t="s">
        <v>9680</v>
      </c>
      <c r="P1488" s="80"/>
      <c r="Q1488" s="80" t="s">
        <v>9680</v>
      </c>
      <c r="R1488" s="80" t="s">
        <v>9680</v>
      </c>
    </row>
    <row r="1489" spans="1:18" ht="20" x14ac:dyDescent="0.2">
      <c r="A1489" s="80" t="s">
        <v>3757</v>
      </c>
      <c r="B1489" s="80" t="s">
        <v>10214</v>
      </c>
      <c r="C1489" s="80" t="s">
        <v>84</v>
      </c>
      <c r="D1489" s="80" t="s">
        <v>84</v>
      </c>
      <c r="E1489" s="80" t="s">
        <v>84</v>
      </c>
      <c r="F1489" s="80"/>
      <c r="G1489" s="80" t="s">
        <v>84</v>
      </c>
      <c r="H1489" s="80" t="s">
        <v>84</v>
      </c>
      <c r="I1489" s="80" t="s">
        <v>84</v>
      </c>
      <c r="J1489" s="80" t="s">
        <v>84</v>
      </c>
      <c r="K1489" s="80" t="s">
        <v>84</v>
      </c>
      <c r="L1489" s="80" t="s">
        <v>84</v>
      </c>
      <c r="M1489" s="80" t="s">
        <v>84</v>
      </c>
      <c r="N1489" s="80" t="s">
        <v>84</v>
      </c>
      <c r="O1489" s="80" t="s">
        <v>84</v>
      </c>
      <c r="P1489" s="80"/>
      <c r="Q1489" s="80" t="s">
        <v>84</v>
      </c>
      <c r="R1489" s="80" t="s">
        <v>84</v>
      </c>
    </row>
    <row r="1490" spans="1:18" ht="20" x14ac:dyDescent="0.2">
      <c r="A1490" s="80" t="s">
        <v>3757</v>
      </c>
      <c r="B1490" s="80" t="s">
        <v>3758</v>
      </c>
      <c r="C1490" s="80" t="s">
        <v>84</v>
      </c>
      <c r="D1490" s="80" t="s">
        <v>84</v>
      </c>
      <c r="E1490" s="80" t="s">
        <v>84</v>
      </c>
      <c r="F1490" s="80"/>
      <c r="G1490" s="80" t="s">
        <v>84</v>
      </c>
      <c r="H1490" s="80" t="s">
        <v>84</v>
      </c>
      <c r="I1490" s="80" t="s">
        <v>84</v>
      </c>
      <c r="J1490" s="80" t="s">
        <v>84</v>
      </c>
      <c r="K1490" s="80" t="s">
        <v>84</v>
      </c>
      <c r="L1490" s="80" t="s">
        <v>84</v>
      </c>
      <c r="M1490" s="80" t="s">
        <v>84</v>
      </c>
      <c r="N1490" s="80" t="s">
        <v>84</v>
      </c>
      <c r="O1490" s="80" t="s">
        <v>84</v>
      </c>
      <c r="P1490" s="80"/>
      <c r="Q1490" s="80" t="s">
        <v>84</v>
      </c>
      <c r="R1490" s="80" t="s">
        <v>84</v>
      </c>
    </row>
    <row r="1491" spans="1:18" ht="20" x14ac:dyDescent="0.2">
      <c r="A1491" s="80" t="s">
        <v>2077</v>
      </c>
      <c r="B1491" s="80" t="s">
        <v>2078</v>
      </c>
      <c r="C1491" s="80" t="s">
        <v>9680</v>
      </c>
      <c r="D1491" s="80" t="s">
        <v>9680</v>
      </c>
      <c r="E1491" s="80" t="s">
        <v>9680</v>
      </c>
      <c r="F1491" s="80"/>
      <c r="G1491" s="80" t="s">
        <v>9680</v>
      </c>
      <c r="H1491" s="80" t="s">
        <v>9680</v>
      </c>
      <c r="I1491" s="80" t="s">
        <v>9680</v>
      </c>
      <c r="J1491" s="80" t="s">
        <v>9680</v>
      </c>
      <c r="K1491" s="80" t="s">
        <v>9680</v>
      </c>
      <c r="L1491" s="80" t="s">
        <v>9680</v>
      </c>
      <c r="M1491" s="80" t="s">
        <v>9680</v>
      </c>
      <c r="N1491" s="80" t="s">
        <v>9680</v>
      </c>
      <c r="O1491" s="80" t="s">
        <v>9680</v>
      </c>
      <c r="P1491" s="80"/>
      <c r="Q1491" s="80" t="s">
        <v>9680</v>
      </c>
      <c r="R1491" s="80" t="s">
        <v>9680</v>
      </c>
    </row>
    <row r="1492" spans="1:18" ht="20" x14ac:dyDescent="0.2">
      <c r="A1492" s="80" t="s">
        <v>2077</v>
      </c>
      <c r="B1492" s="80" t="s">
        <v>10215</v>
      </c>
      <c r="C1492" s="80" t="s">
        <v>9680</v>
      </c>
      <c r="D1492" s="80" t="s">
        <v>9680</v>
      </c>
      <c r="E1492" s="80" t="s">
        <v>9680</v>
      </c>
      <c r="F1492" s="80"/>
      <c r="G1492" s="80" t="s">
        <v>9680</v>
      </c>
      <c r="H1492" s="80" t="s">
        <v>9680</v>
      </c>
      <c r="I1492" s="80" t="s">
        <v>9680</v>
      </c>
      <c r="J1492" s="80" t="s">
        <v>9680</v>
      </c>
      <c r="K1492" s="80" t="s">
        <v>9680</v>
      </c>
      <c r="L1492" s="80" t="s">
        <v>9680</v>
      </c>
      <c r="M1492" s="80" t="s">
        <v>9680</v>
      </c>
      <c r="N1492" s="80" t="s">
        <v>9680</v>
      </c>
      <c r="O1492" s="80" t="s">
        <v>9680</v>
      </c>
      <c r="P1492" s="80"/>
      <c r="Q1492" s="80" t="s">
        <v>9680</v>
      </c>
      <c r="R1492" s="80" t="s">
        <v>9680</v>
      </c>
    </row>
    <row r="1493" spans="1:18" ht="20" x14ac:dyDescent="0.2">
      <c r="A1493" s="80" t="s">
        <v>2077</v>
      </c>
      <c r="B1493" s="80" t="s">
        <v>2154</v>
      </c>
      <c r="C1493" s="80" t="s">
        <v>9680</v>
      </c>
      <c r="D1493" s="80" t="s">
        <v>9680</v>
      </c>
      <c r="E1493" s="80" t="s">
        <v>9680</v>
      </c>
      <c r="F1493" s="80"/>
      <c r="G1493" s="80" t="s">
        <v>9680</v>
      </c>
      <c r="H1493" s="80" t="s">
        <v>9680</v>
      </c>
      <c r="I1493" s="80" t="s">
        <v>9680</v>
      </c>
      <c r="J1493" s="80" t="s">
        <v>9680</v>
      </c>
      <c r="K1493" s="80" t="s">
        <v>9680</v>
      </c>
      <c r="L1493" s="80" t="s">
        <v>9680</v>
      </c>
      <c r="M1493" s="80" t="s">
        <v>9680</v>
      </c>
      <c r="N1493" s="80" t="s">
        <v>9680</v>
      </c>
      <c r="O1493" s="80" t="s">
        <v>9680</v>
      </c>
      <c r="P1493" s="80"/>
      <c r="Q1493" s="80" t="s">
        <v>9680</v>
      </c>
      <c r="R1493" s="80" t="s">
        <v>9680</v>
      </c>
    </row>
    <row r="1494" spans="1:18" ht="20" x14ac:dyDescent="0.2">
      <c r="A1494" s="80" t="s">
        <v>2155</v>
      </c>
      <c r="B1494" s="80" t="s">
        <v>2156</v>
      </c>
      <c r="C1494" s="80" t="s">
        <v>9680</v>
      </c>
      <c r="D1494" s="80" t="s">
        <v>9680</v>
      </c>
      <c r="E1494" s="80" t="s">
        <v>9680</v>
      </c>
      <c r="F1494" s="80"/>
      <c r="G1494" s="80" t="s">
        <v>9680</v>
      </c>
      <c r="H1494" s="80" t="s">
        <v>9680</v>
      </c>
      <c r="I1494" s="80" t="s">
        <v>9680</v>
      </c>
      <c r="J1494" s="80" t="s">
        <v>9680</v>
      </c>
      <c r="K1494" s="80" t="s">
        <v>9680</v>
      </c>
      <c r="L1494" s="80" t="s">
        <v>9680</v>
      </c>
      <c r="M1494" s="80" t="s">
        <v>9680</v>
      </c>
      <c r="N1494" s="80" t="s">
        <v>9680</v>
      </c>
      <c r="O1494" s="80" t="s">
        <v>9680</v>
      </c>
      <c r="P1494" s="80"/>
      <c r="Q1494" s="80" t="s">
        <v>9680</v>
      </c>
      <c r="R1494" s="80" t="s">
        <v>9680</v>
      </c>
    </row>
    <row r="1495" spans="1:18" ht="20" x14ac:dyDescent="0.2">
      <c r="A1495" s="80" t="s">
        <v>2157</v>
      </c>
      <c r="B1495" s="80" t="s">
        <v>10216</v>
      </c>
      <c r="C1495" s="80" t="s">
        <v>9680</v>
      </c>
      <c r="D1495" s="80" t="s">
        <v>9680</v>
      </c>
      <c r="E1495" s="80" t="s">
        <v>84</v>
      </c>
      <c r="F1495" s="80"/>
      <c r="G1495" s="80" t="s">
        <v>9680</v>
      </c>
      <c r="H1495" s="80" t="s">
        <v>9680</v>
      </c>
      <c r="I1495" s="80" t="s">
        <v>9680</v>
      </c>
      <c r="J1495" s="80" t="s">
        <v>9680</v>
      </c>
      <c r="K1495" s="80" t="s">
        <v>9680</v>
      </c>
      <c r="L1495" s="80" t="s">
        <v>9680</v>
      </c>
      <c r="M1495" s="80" t="s">
        <v>9680</v>
      </c>
      <c r="N1495" s="80" t="s">
        <v>84</v>
      </c>
      <c r="O1495" s="80" t="s">
        <v>9680</v>
      </c>
      <c r="P1495" s="80"/>
      <c r="Q1495" s="80" t="s">
        <v>9680</v>
      </c>
      <c r="R1495" s="80" t="s">
        <v>9680</v>
      </c>
    </row>
    <row r="1496" spans="1:18" ht="20" x14ac:dyDescent="0.2">
      <c r="A1496" s="80" t="s">
        <v>2157</v>
      </c>
      <c r="B1496" s="80" t="s">
        <v>2158</v>
      </c>
      <c r="C1496" s="80" t="s">
        <v>9680</v>
      </c>
      <c r="D1496" s="80" t="s">
        <v>9680</v>
      </c>
      <c r="E1496" s="80" t="s">
        <v>84</v>
      </c>
      <c r="F1496" s="80"/>
      <c r="G1496" s="80" t="s">
        <v>9680</v>
      </c>
      <c r="H1496" s="80" t="s">
        <v>9680</v>
      </c>
      <c r="I1496" s="80" t="s">
        <v>9680</v>
      </c>
      <c r="J1496" s="80" t="s">
        <v>9680</v>
      </c>
      <c r="K1496" s="80" t="s">
        <v>9680</v>
      </c>
      <c r="L1496" s="80" t="s">
        <v>9680</v>
      </c>
      <c r="M1496" s="80" t="s">
        <v>9680</v>
      </c>
      <c r="N1496" s="80" t="s">
        <v>84</v>
      </c>
      <c r="O1496" s="80" t="s">
        <v>9680</v>
      </c>
      <c r="P1496" s="80"/>
      <c r="Q1496" s="80" t="s">
        <v>9680</v>
      </c>
      <c r="R1496" s="80" t="s">
        <v>9680</v>
      </c>
    </row>
    <row r="1497" spans="1:18" ht="20" x14ac:dyDescent="0.2">
      <c r="A1497" s="80" t="s">
        <v>2135</v>
      </c>
      <c r="B1497" s="80" t="s">
        <v>2136</v>
      </c>
      <c r="C1497" s="80" t="s">
        <v>9680</v>
      </c>
      <c r="D1497" s="80" t="s">
        <v>9680</v>
      </c>
      <c r="E1497" s="80" t="s">
        <v>84</v>
      </c>
      <c r="F1497" s="80"/>
      <c r="G1497" s="80" t="s">
        <v>9680</v>
      </c>
      <c r="H1497" s="80" t="s">
        <v>84</v>
      </c>
      <c r="I1497" s="80" t="s">
        <v>9680</v>
      </c>
      <c r="J1497" s="80" t="s">
        <v>84</v>
      </c>
      <c r="K1497" s="80" t="s">
        <v>9680</v>
      </c>
      <c r="L1497" s="80" t="s">
        <v>9680</v>
      </c>
      <c r="M1497" s="80" t="s">
        <v>9680</v>
      </c>
      <c r="N1497" s="80" t="s">
        <v>84</v>
      </c>
      <c r="O1497" s="80" t="s">
        <v>9680</v>
      </c>
      <c r="P1497" s="80"/>
      <c r="Q1497" s="80" t="s">
        <v>9680</v>
      </c>
      <c r="R1497" s="80" t="s">
        <v>9680</v>
      </c>
    </row>
    <row r="1498" spans="1:18" ht="20" x14ac:dyDescent="0.2">
      <c r="A1498" s="80" t="s">
        <v>2068</v>
      </c>
      <c r="B1498" s="80" t="s">
        <v>2069</v>
      </c>
      <c r="C1498" s="80" t="s">
        <v>9680</v>
      </c>
      <c r="D1498" s="80" t="s">
        <v>9680</v>
      </c>
      <c r="E1498" s="80" t="s">
        <v>84</v>
      </c>
      <c r="F1498" s="80"/>
      <c r="G1498" s="80" t="s">
        <v>9680</v>
      </c>
      <c r="H1498" s="80" t="s">
        <v>84</v>
      </c>
      <c r="I1498" s="80" t="s">
        <v>9680</v>
      </c>
      <c r="J1498" s="80" t="s">
        <v>84</v>
      </c>
      <c r="K1498" s="80" t="s">
        <v>9680</v>
      </c>
      <c r="L1498" s="80" t="s">
        <v>9680</v>
      </c>
      <c r="M1498" s="80" t="s">
        <v>9680</v>
      </c>
      <c r="N1498" s="80" t="s">
        <v>84</v>
      </c>
      <c r="O1498" s="80" t="s">
        <v>9680</v>
      </c>
      <c r="P1498" s="80"/>
      <c r="Q1498" s="80" t="s">
        <v>9680</v>
      </c>
      <c r="R1498" s="80" t="s">
        <v>9680</v>
      </c>
    </row>
    <row r="1499" spans="1:18" ht="20" x14ac:dyDescent="0.2">
      <c r="A1499" s="80" t="s">
        <v>2068</v>
      </c>
      <c r="B1499" s="80" t="s">
        <v>2159</v>
      </c>
      <c r="C1499" s="80" t="s">
        <v>9680</v>
      </c>
      <c r="D1499" s="80" t="s">
        <v>9680</v>
      </c>
      <c r="E1499" s="80" t="s">
        <v>84</v>
      </c>
      <c r="F1499" s="80"/>
      <c r="G1499" s="80" t="s">
        <v>9680</v>
      </c>
      <c r="H1499" s="80" t="s">
        <v>84</v>
      </c>
      <c r="I1499" s="80" t="s">
        <v>9680</v>
      </c>
      <c r="J1499" s="80" t="s">
        <v>84</v>
      </c>
      <c r="K1499" s="80" t="s">
        <v>9680</v>
      </c>
      <c r="L1499" s="80" t="s">
        <v>9680</v>
      </c>
      <c r="M1499" s="80" t="s">
        <v>9680</v>
      </c>
      <c r="N1499" s="80" t="s">
        <v>84</v>
      </c>
      <c r="O1499" s="80" t="s">
        <v>9680</v>
      </c>
      <c r="P1499" s="80"/>
      <c r="Q1499" s="80" t="s">
        <v>9680</v>
      </c>
      <c r="R1499" s="80" t="s">
        <v>9680</v>
      </c>
    </row>
    <row r="1500" spans="1:18" ht="20" x14ac:dyDescent="0.2">
      <c r="A1500" s="80" t="s">
        <v>2160</v>
      </c>
      <c r="B1500" s="80" t="s">
        <v>2161</v>
      </c>
      <c r="C1500" s="80" t="s">
        <v>9680</v>
      </c>
      <c r="D1500" s="80" t="s">
        <v>9680</v>
      </c>
      <c r="E1500" s="80" t="s">
        <v>84</v>
      </c>
      <c r="F1500" s="80"/>
      <c r="G1500" s="80" t="s">
        <v>9680</v>
      </c>
      <c r="H1500" s="80" t="s">
        <v>84</v>
      </c>
      <c r="I1500" s="80" t="s">
        <v>9680</v>
      </c>
      <c r="J1500" s="80" t="s">
        <v>84</v>
      </c>
      <c r="K1500" s="80" t="s">
        <v>9680</v>
      </c>
      <c r="L1500" s="80" t="s">
        <v>9680</v>
      </c>
      <c r="M1500" s="80" t="s">
        <v>9680</v>
      </c>
      <c r="N1500" s="80" t="s">
        <v>84</v>
      </c>
      <c r="O1500" s="80" t="s">
        <v>9680</v>
      </c>
      <c r="P1500" s="80"/>
      <c r="Q1500" s="80" t="s">
        <v>9680</v>
      </c>
      <c r="R1500" s="80" t="s">
        <v>9680</v>
      </c>
    </row>
    <row r="1501" spans="1:18" ht="20" x14ac:dyDescent="0.2">
      <c r="A1501" s="80" t="s">
        <v>2162</v>
      </c>
      <c r="B1501" s="80" t="s">
        <v>2163</v>
      </c>
      <c r="C1501" s="80" t="s">
        <v>9680</v>
      </c>
      <c r="D1501" s="80" t="s">
        <v>84</v>
      </c>
      <c r="E1501" s="80" t="s">
        <v>84</v>
      </c>
      <c r="F1501" s="80"/>
      <c r="G1501" s="80" t="s">
        <v>84</v>
      </c>
      <c r="H1501" s="80" t="s">
        <v>84</v>
      </c>
      <c r="I1501" s="80" t="s">
        <v>84</v>
      </c>
      <c r="J1501" s="80" t="s">
        <v>84</v>
      </c>
      <c r="K1501" s="80" t="s">
        <v>84</v>
      </c>
      <c r="L1501" s="80" t="s">
        <v>84</v>
      </c>
      <c r="M1501" s="80" t="s">
        <v>84</v>
      </c>
      <c r="N1501" s="80" t="s">
        <v>84</v>
      </c>
      <c r="O1501" s="80" t="s">
        <v>84</v>
      </c>
      <c r="P1501" s="80"/>
      <c r="Q1501" s="80" t="s">
        <v>84</v>
      </c>
      <c r="R1501" s="80" t="s">
        <v>84</v>
      </c>
    </row>
    <row r="1502" spans="1:18" ht="20" x14ac:dyDescent="0.2">
      <c r="A1502" s="80" t="s">
        <v>2164</v>
      </c>
      <c r="B1502" s="80" t="s">
        <v>2165</v>
      </c>
      <c r="C1502" s="80" t="s">
        <v>9680</v>
      </c>
      <c r="D1502" s="80" t="s">
        <v>84</v>
      </c>
      <c r="E1502" s="80" t="s">
        <v>84</v>
      </c>
      <c r="F1502" s="80"/>
      <c r="G1502" s="80" t="s">
        <v>84</v>
      </c>
      <c r="H1502" s="80" t="s">
        <v>84</v>
      </c>
      <c r="I1502" s="80" t="s">
        <v>84</v>
      </c>
      <c r="J1502" s="80" t="s">
        <v>84</v>
      </c>
      <c r="K1502" s="80" t="s">
        <v>84</v>
      </c>
      <c r="L1502" s="80" t="s">
        <v>84</v>
      </c>
      <c r="M1502" s="80" t="s">
        <v>84</v>
      </c>
      <c r="N1502" s="80" t="s">
        <v>84</v>
      </c>
      <c r="O1502" s="80" t="s">
        <v>84</v>
      </c>
      <c r="P1502" s="80"/>
      <c r="Q1502" s="80" t="s">
        <v>84</v>
      </c>
      <c r="R1502" s="80" t="s">
        <v>84</v>
      </c>
    </row>
    <row r="1503" spans="1:18" ht="20" x14ac:dyDescent="0.2">
      <c r="A1503" s="80" t="s">
        <v>2166</v>
      </c>
      <c r="B1503" s="80" t="s">
        <v>2167</v>
      </c>
      <c r="C1503" s="80" t="s">
        <v>84</v>
      </c>
      <c r="D1503" s="80" t="s">
        <v>84</v>
      </c>
      <c r="E1503" s="80" t="s">
        <v>84</v>
      </c>
      <c r="F1503" s="80"/>
      <c r="G1503" s="80" t="s">
        <v>84</v>
      </c>
      <c r="H1503" s="80" t="s">
        <v>84</v>
      </c>
      <c r="I1503" s="80" t="s">
        <v>84</v>
      </c>
      <c r="J1503" s="80" t="s">
        <v>84</v>
      </c>
      <c r="K1503" s="80" t="s">
        <v>84</v>
      </c>
      <c r="L1503" s="80" t="s">
        <v>84</v>
      </c>
      <c r="M1503" s="80" t="s">
        <v>84</v>
      </c>
      <c r="N1503" s="80" t="s">
        <v>84</v>
      </c>
      <c r="O1503" s="80" t="s">
        <v>84</v>
      </c>
      <c r="P1503" s="80"/>
      <c r="Q1503" s="80" t="s">
        <v>84</v>
      </c>
      <c r="R1503" s="80" t="s">
        <v>84</v>
      </c>
    </row>
    <row r="1504" spans="1:18" ht="20" x14ac:dyDescent="0.2">
      <c r="A1504" s="80" t="s">
        <v>2270</v>
      </c>
      <c r="B1504" s="80" t="s">
        <v>2271</v>
      </c>
      <c r="C1504" s="80" t="s">
        <v>9722</v>
      </c>
      <c r="D1504" s="80" t="s">
        <v>9722</v>
      </c>
      <c r="E1504" s="80" t="s">
        <v>9722</v>
      </c>
      <c r="F1504" s="80"/>
      <c r="G1504" s="80" t="s">
        <v>84</v>
      </c>
      <c r="H1504" s="80" t="s">
        <v>9722</v>
      </c>
      <c r="I1504" s="80" t="s">
        <v>9722</v>
      </c>
      <c r="J1504" s="80" t="s">
        <v>9722</v>
      </c>
      <c r="K1504" s="80" t="s">
        <v>9722</v>
      </c>
      <c r="L1504" s="80" t="s">
        <v>84</v>
      </c>
      <c r="M1504" s="80" t="s">
        <v>84</v>
      </c>
      <c r="N1504" s="80" t="s">
        <v>9722</v>
      </c>
      <c r="O1504" s="80" t="s">
        <v>9722</v>
      </c>
      <c r="P1504" s="80"/>
      <c r="Q1504" s="80" t="s">
        <v>84</v>
      </c>
      <c r="R1504" s="80" t="s">
        <v>9722</v>
      </c>
    </row>
    <row r="1505" spans="1:18" ht="20" x14ac:dyDescent="0.2">
      <c r="A1505" s="80" t="s">
        <v>1228</v>
      </c>
      <c r="B1505" s="80" t="s">
        <v>1229</v>
      </c>
      <c r="C1505" s="80" t="s">
        <v>9722</v>
      </c>
      <c r="D1505" s="80" t="s">
        <v>9722</v>
      </c>
      <c r="E1505" s="80" t="s">
        <v>9722</v>
      </c>
      <c r="F1505" s="80"/>
      <c r="G1505" s="80" t="s">
        <v>84</v>
      </c>
      <c r="H1505" s="80" t="s">
        <v>9722</v>
      </c>
      <c r="I1505" s="80" t="s">
        <v>9722</v>
      </c>
      <c r="J1505" s="80" t="s">
        <v>9722</v>
      </c>
      <c r="K1505" s="80" t="s">
        <v>9722</v>
      </c>
      <c r="L1505" s="80" t="s">
        <v>84</v>
      </c>
      <c r="M1505" s="80" t="s">
        <v>84</v>
      </c>
      <c r="N1505" s="80" t="s">
        <v>9722</v>
      </c>
      <c r="O1505" s="80" t="s">
        <v>9722</v>
      </c>
      <c r="P1505" s="80"/>
      <c r="Q1505" s="80" t="s">
        <v>84</v>
      </c>
      <c r="R1505" s="80" t="s">
        <v>9722</v>
      </c>
    </row>
    <row r="1506" spans="1:18" ht="20" x14ac:dyDescent="0.2">
      <c r="A1506" s="80" t="s">
        <v>2172</v>
      </c>
      <c r="B1506" s="80" t="s">
        <v>2173</v>
      </c>
      <c r="C1506" s="80" t="s">
        <v>9680</v>
      </c>
      <c r="D1506" s="80" t="s">
        <v>84</v>
      </c>
      <c r="E1506" s="80" t="s">
        <v>84</v>
      </c>
      <c r="F1506" s="80"/>
      <c r="G1506" s="80" t="s">
        <v>84</v>
      </c>
      <c r="H1506" s="80" t="s">
        <v>84</v>
      </c>
      <c r="I1506" s="80" t="s">
        <v>84</v>
      </c>
      <c r="J1506" s="80" t="s">
        <v>84</v>
      </c>
      <c r="K1506" s="80" t="s">
        <v>84</v>
      </c>
      <c r="L1506" s="80" t="s">
        <v>84</v>
      </c>
      <c r="M1506" s="80" t="s">
        <v>84</v>
      </c>
      <c r="N1506" s="80" t="s">
        <v>84</v>
      </c>
      <c r="O1506" s="80" t="s">
        <v>84</v>
      </c>
      <c r="P1506" s="80"/>
      <c r="Q1506" s="80" t="s">
        <v>84</v>
      </c>
      <c r="R1506" s="80" t="s">
        <v>84</v>
      </c>
    </row>
    <row r="1507" spans="1:18" ht="20" x14ac:dyDescent="0.2">
      <c r="A1507" s="80" t="s">
        <v>2178</v>
      </c>
      <c r="B1507" s="80" t="s">
        <v>2179</v>
      </c>
      <c r="C1507" s="80" t="s">
        <v>84</v>
      </c>
      <c r="D1507" s="80" t="s">
        <v>84</v>
      </c>
      <c r="E1507" s="80" t="s">
        <v>84</v>
      </c>
      <c r="F1507" s="80"/>
      <c r="G1507" s="80" t="s">
        <v>84</v>
      </c>
      <c r="H1507" s="80" t="s">
        <v>84</v>
      </c>
      <c r="I1507" s="80" t="s">
        <v>84</v>
      </c>
      <c r="J1507" s="80" t="s">
        <v>84</v>
      </c>
      <c r="K1507" s="80" t="s">
        <v>84</v>
      </c>
      <c r="L1507" s="80" t="s">
        <v>84</v>
      </c>
      <c r="M1507" s="80" t="s">
        <v>84</v>
      </c>
      <c r="N1507" s="80" t="s">
        <v>84</v>
      </c>
      <c r="O1507" s="80" t="s">
        <v>84</v>
      </c>
      <c r="P1507" s="80"/>
      <c r="Q1507" s="80" t="s">
        <v>84</v>
      </c>
      <c r="R1507" s="80" t="s">
        <v>84</v>
      </c>
    </row>
    <row r="1508" spans="1:18" ht="20" x14ac:dyDescent="0.2">
      <c r="A1508" s="80" t="s">
        <v>2193</v>
      </c>
      <c r="B1508" s="80" t="s">
        <v>2194</v>
      </c>
      <c r="C1508" s="80" t="s">
        <v>84</v>
      </c>
      <c r="D1508" s="80" t="s">
        <v>84</v>
      </c>
      <c r="E1508" s="80" t="s">
        <v>84</v>
      </c>
      <c r="F1508" s="80"/>
      <c r="G1508" s="80" t="s">
        <v>84</v>
      </c>
      <c r="H1508" s="80" t="s">
        <v>84</v>
      </c>
      <c r="I1508" s="80" t="s">
        <v>84</v>
      </c>
      <c r="J1508" s="80" t="s">
        <v>84</v>
      </c>
      <c r="K1508" s="80" t="s">
        <v>84</v>
      </c>
      <c r="L1508" s="80" t="s">
        <v>84</v>
      </c>
      <c r="M1508" s="80" t="s">
        <v>84</v>
      </c>
      <c r="N1508" s="80" t="s">
        <v>84</v>
      </c>
      <c r="O1508" s="80" t="s">
        <v>84</v>
      </c>
      <c r="P1508" s="80"/>
      <c r="Q1508" s="80" t="s">
        <v>84</v>
      </c>
      <c r="R1508" s="80" t="s">
        <v>84</v>
      </c>
    </row>
    <row r="1509" spans="1:18" ht="20" x14ac:dyDescent="0.2">
      <c r="A1509" s="80" t="s">
        <v>2281</v>
      </c>
      <c r="B1509" s="80" t="s">
        <v>2282</v>
      </c>
      <c r="C1509" s="80" t="s">
        <v>84</v>
      </c>
      <c r="D1509" s="80" t="s">
        <v>84</v>
      </c>
      <c r="E1509" s="80" t="s">
        <v>84</v>
      </c>
      <c r="F1509" s="80"/>
      <c r="G1509" s="80" t="s">
        <v>84</v>
      </c>
      <c r="H1509" s="80" t="s">
        <v>84</v>
      </c>
      <c r="I1509" s="80" t="s">
        <v>84</v>
      </c>
      <c r="J1509" s="80" t="s">
        <v>84</v>
      </c>
      <c r="K1509" s="80" t="s">
        <v>84</v>
      </c>
      <c r="L1509" s="80" t="s">
        <v>84</v>
      </c>
      <c r="M1509" s="80" t="s">
        <v>84</v>
      </c>
      <c r="N1509" s="80" t="s">
        <v>84</v>
      </c>
      <c r="O1509" s="80" t="s">
        <v>84</v>
      </c>
      <c r="P1509" s="80"/>
      <c r="Q1509" s="80" t="s">
        <v>84</v>
      </c>
      <c r="R1509" s="80" t="s">
        <v>84</v>
      </c>
    </row>
    <row r="1510" spans="1:18" ht="20" x14ac:dyDescent="0.2">
      <c r="A1510" s="80" t="s">
        <v>2283</v>
      </c>
      <c r="B1510" s="80" t="s">
        <v>2284</v>
      </c>
      <c r="C1510" s="80" t="s">
        <v>9680</v>
      </c>
      <c r="D1510" s="80" t="s">
        <v>84</v>
      </c>
      <c r="E1510" s="80" t="s">
        <v>84</v>
      </c>
      <c r="F1510" s="80"/>
      <c r="G1510" s="80" t="s">
        <v>84</v>
      </c>
      <c r="H1510" s="80" t="s">
        <v>84</v>
      </c>
      <c r="I1510" s="80" t="s">
        <v>84</v>
      </c>
      <c r="J1510" s="80" t="s">
        <v>84</v>
      </c>
      <c r="K1510" s="80" t="s">
        <v>84</v>
      </c>
      <c r="L1510" s="80" t="s">
        <v>84</v>
      </c>
      <c r="M1510" s="80" t="s">
        <v>84</v>
      </c>
      <c r="N1510" s="80" t="s">
        <v>84</v>
      </c>
      <c r="O1510" s="80" t="s">
        <v>84</v>
      </c>
      <c r="P1510" s="80"/>
      <c r="Q1510" s="80" t="s">
        <v>84</v>
      </c>
      <c r="R1510" s="80" t="s">
        <v>84</v>
      </c>
    </row>
    <row r="1511" spans="1:18" ht="20" x14ac:dyDescent="0.2">
      <c r="A1511" s="80" t="s">
        <v>2197</v>
      </c>
      <c r="B1511" s="80" t="s">
        <v>2198</v>
      </c>
      <c r="C1511" s="80" t="s">
        <v>9680</v>
      </c>
      <c r="D1511" s="80" t="s">
        <v>84</v>
      </c>
      <c r="E1511" s="80" t="s">
        <v>84</v>
      </c>
      <c r="F1511" s="80"/>
      <c r="G1511" s="80" t="s">
        <v>84</v>
      </c>
      <c r="H1511" s="80" t="s">
        <v>84</v>
      </c>
      <c r="I1511" s="80" t="s">
        <v>84</v>
      </c>
      <c r="J1511" s="80" t="s">
        <v>84</v>
      </c>
      <c r="K1511" s="80" t="s">
        <v>84</v>
      </c>
      <c r="L1511" s="80" t="s">
        <v>84</v>
      </c>
      <c r="M1511" s="80" t="s">
        <v>84</v>
      </c>
      <c r="N1511" s="80" t="s">
        <v>84</v>
      </c>
      <c r="O1511" s="80" t="s">
        <v>84</v>
      </c>
      <c r="P1511" s="80"/>
      <c r="Q1511" s="80" t="s">
        <v>84</v>
      </c>
      <c r="R1511" s="80" t="s">
        <v>84</v>
      </c>
    </row>
    <row r="1512" spans="1:18" ht="20" x14ac:dyDescent="0.2">
      <c r="A1512" s="80" t="s">
        <v>2199</v>
      </c>
      <c r="B1512" s="80" t="s">
        <v>2200</v>
      </c>
      <c r="C1512" s="80" t="s">
        <v>84</v>
      </c>
      <c r="D1512" s="80" t="s">
        <v>84</v>
      </c>
      <c r="E1512" s="80" t="s">
        <v>84</v>
      </c>
      <c r="F1512" s="80"/>
      <c r="G1512" s="80" t="s">
        <v>84</v>
      </c>
      <c r="H1512" s="80" t="s">
        <v>84</v>
      </c>
      <c r="I1512" s="80" t="s">
        <v>84</v>
      </c>
      <c r="J1512" s="80" t="s">
        <v>84</v>
      </c>
      <c r="K1512" s="80" t="s">
        <v>84</v>
      </c>
      <c r="L1512" s="80" t="s">
        <v>84</v>
      </c>
      <c r="M1512" s="80" t="s">
        <v>84</v>
      </c>
      <c r="N1512" s="80" t="s">
        <v>84</v>
      </c>
      <c r="O1512" s="80" t="s">
        <v>84</v>
      </c>
      <c r="P1512" s="80"/>
      <c r="Q1512" s="80" t="s">
        <v>84</v>
      </c>
      <c r="R1512" s="80" t="s">
        <v>84</v>
      </c>
    </row>
    <row r="1513" spans="1:18" ht="20" x14ac:dyDescent="0.2">
      <c r="A1513" s="80" t="s">
        <v>3970</v>
      </c>
      <c r="B1513" s="80" t="s">
        <v>3971</v>
      </c>
      <c r="C1513" s="80" t="s">
        <v>9680</v>
      </c>
      <c r="D1513" s="80" t="s">
        <v>9680</v>
      </c>
      <c r="E1513" s="80" t="s">
        <v>9680</v>
      </c>
      <c r="F1513" s="80"/>
      <c r="G1513" s="80" t="s">
        <v>9680</v>
      </c>
      <c r="H1513" s="80" t="s">
        <v>9680</v>
      </c>
      <c r="I1513" s="80" t="s">
        <v>9680</v>
      </c>
      <c r="J1513" s="80" t="s">
        <v>84</v>
      </c>
      <c r="K1513" s="80" t="s">
        <v>9680</v>
      </c>
      <c r="L1513" s="80" t="s">
        <v>9680</v>
      </c>
      <c r="M1513" s="80" t="s">
        <v>84</v>
      </c>
      <c r="N1513" s="80" t="s">
        <v>9680</v>
      </c>
      <c r="O1513" s="80" t="s">
        <v>84</v>
      </c>
      <c r="P1513" s="80"/>
      <c r="Q1513" s="80" t="s">
        <v>84</v>
      </c>
      <c r="R1513" s="80" t="s">
        <v>84</v>
      </c>
    </row>
    <row r="1514" spans="1:18" ht="20" x14ac:dyDescent="0.2">
      <c r="A1514" s="80" t="s">
        <v>3861</v>
      </c>
      <c r="B1514" s="80" t="s">
        <v>3862</v>
      </c>
      <c r="C1514" s="80" t="s">
        <v>9722</v>
      </c>
      <c r="D1514" s="80" t="s">
        <v>9722</v>
      </c>
      <c r="E1514" s="80" t="s">
        <v>9722</v>
      </c>
      <c r="F1514" s="80"/>
      <c r="G1514" s="80" t="s">
        <v>9722</v>
      </c>
      <c r="H1514" s="80" t="s">
        <v>9722</v>
      </c>
      <c r="I1514" s="80" t="s">
        <v>9722</v>
      </c>
      <c r="J1514" s="80" t="s">
        <v>84</v>
      </c>
      <c r="K1514" s="80" t="s">
        <v>9722</v>
      </c>
      <c r="L1514" s="80" t="s">
        <v>9722</v>
      </c>
      <c r="M1514" s="80" t="s">
        <v>84</v>
      </c>
      <c r="N1514" s="80" t="s">
        <v>9722</v>
      </c>
      <c r="O1514" s="80" t="s">
        <v>84</v>
      </c>
      <c r="P1514" s="80"/>
      <c r="Q1514" s="80" t="s">
        <v>84</v>
      </c>
      <c r="R1514" s="80" t="s">
        <v>84</v>
      </c>
    </row>
    <row r="1515" spans="1:18" ht="20" x14ac:dyDescent="0.2">
      <c r="A1515" s="80" t="s">
        <v>3861</v>
      </c>
      <c r="B1515" s="80" t="s">
        <v>10217</v>
      </c>
      <c r="C1515" s="80" t="s">
        <v>9722</v>
      </c>
      <c r="D1515" s="80" t="s">
        <v>9722</v>
      </c>
      <c r="E1515" s="80" t="s">
        <v>9722</v>
      </c>
      <c r="F1515" s="80"/>
      <c r="G1515" s="80" t="s">
        <v>9722</v>
      </c>
      <c r="H1515" s="80" t="s">
        <v>9722</v>
      </c>
      <c r="I1515" s="80" t="s">
        <v>9722</v>
      </c>
      <c r="J1515" s="80" t="s">
        <v>84</v>
      </c>
      <c r="K1515" s="80" t="s">
        <v>9722</v>
      </c>
      <c r="L1515" s="80" t="s">
        <v>9722</v>
      </c>
      <c r="M1515" s="80" t="s">
        <v>84</v>
      </c>
      <c r="N1515" s="80" t="s">
        <v>9722</v>
      </c>
      <c r="O1515" s="80" t="s">
        <v>84</v>
      </c>
      <c r="P1515" s="80"/>
      <c r="Q1515" s="80" t="s">
        <v>84</v>
      </c>
      <c r="R1515" s="80" t="s">
        <v>84</v>
      </c>
    </row>
    <row r="1516" spans="1:18" ht="20" x14ac:dyDescent="0.2">
      <c r="A1516" s="80" t="s">
        <v>3861</v>
      </c>
      <c r="B1516" s="80" t="s">
        <v>3974</v>
      </c>
      <c r="C1516" s="80" t="s">
        <v>9722</v>
      </c>
      <c r="D1516" s="80" t="s">
        <v>9722</v>
      </c>
      <c r="E1516" s="80" t="s">
        <v>9722</v>
      </c>
      <c r="F1516" s="80"/>
      <c r="G1516" s="80" t="s">
        <v>9722</v>
      </c>
      <c r="H1516" s="80" t="s">
        <v>9722</v>
      </c>
      <c r="I1516" s="80" t="s">
        <v>9722</v>
      </c>
      <c r="J1516" s="80" t="s">
        <v>84</v>
      </c>
      <c r="K1516" s="80" t="s">
        <v>9722</v>
      </c>
      <c r="L1516" s="80" t="s">
        <v>9722</v>
      </c>
      <c r="M1516" s="80" t="s">
        <v>84</v>
      </c>
      <c r="N1516" s="80" t="s">
        <v>9722</v>
      </c>
      <c r="O1516" s="80" t="s">
        <v>84</v>
      </c>
      <c r="P1516" s="80"/>
      <c r="Q1516" s="80" t="s">
        <v>84</v>
      </c>
      <c r="R1516" s="80" t="s">
        <v>84</v>
      </c>
    </row>
    <row r="1517" spans="1:18" ht="20" x14ac:dyDescent="0.2">
      <c r="A1517" s="80" t="s">
        <v>816</v>
      </c>
      <c r="B1517" s="80" t="s">
        <v>10218</v>
      </c>
      <c r="C1517" s="80" t="s">
        <v>9722</v>
      </c>
      <c r="D1517" s="80" t="s">
        <v>84</v>
      </c>
      <c r="E1517" s="80" t="s">
        <v>84</v>
      </c>
      <c r="F1517" s="80"/>
      <c r="G1517" s="80" t="s">
        <v>84</v>
      </c>
      <c r="H1517" s="80" t="s">
        <v>84</v>
      </c>
      <c r="I1517" s="80" t="s">
        <v>84</v>
      </c>
      <c r="J1517" s="80" t="s">
        <v>84</v>
      </c>
      <c r="K1517" s="80" t="s">
        <v>84</v>
      </c>
      <c r="L1517" s="80" t="s">
        <v>84</v>
      </c>
      <c r="M1517" s="80" t="s">
        <v>84</v>
      </c>
      <c r="N1517" s="80" t="s">
        <v>84</v>
      </c>
      <c r="O1517" s="80" t="s">
        <v>84</v>
      </c>
      <c r="P1517" s="80"/>
      <c r="Q1517" s="80" t="s">
        <v>84</v>
      </c>
      <c r="R1517" s="80" t="s">
        <v>84</v>
      </c>
    </row>
    <row r="1518" spans="1:18" ht="20" x14ac:dyDescent="0.2">
      <c r="A1518" s="80" t="s">
        <v>816</v>
      </c>
      <c r="B1518" s="80" t="s">
        <v>817</v>
      </c>
      <c r="C1518" s="80" t="s">
        <v>9722</v>
      </c>
      <c r="D1518" s="80" t="s">
        <v>84</v>
      </c>
      <c r="E1518" s="80" t="s">
        <v>84</v>
      </c>
      <c r="F1518" s="80"/>
      <c r="G1518" s="80" t="s">
        <v>84</v>
      </c>
      <c r="H1518" s="80" t="s">
        <v>84</v>
      </c>
      <c r="I1518" s="80" t="s">
        <v>84</v>
      </c>
      <c r="J1518" s="80" t="s">
        <v>84</v>
      </c>
      <c r="K1518" s="80" t="s">
        <v>84</v>
      </c>
      <c r="L1518" s="80" t="s">
        <v>84</v>
      </c>
      <c r="M1518" s="80" t="s">
        <v>84</v>
      </c>
      <c r="N1518" s="80" t="s">
        <v>84</v>
      </c>
      <c r="O1518" s="80" t="s">
        <v>84</v>
      </c>
      <c r="P1518" s="80"/>
      <c r="Q1518" s="80" t="s">
        <v>84</v>
      </c>
      <c r="R1518" s="80" t="s">
        <v>84</v>
      </c>
    </row>
    <row r="1519" spans="1:18" ht="20" x14ac:dyDescent="0.2">
      <c r="A1519" s="80" t="s">
        <v>826</v>
      </c>
      <c r="B1519" s="80" t="s">
        <v>827</v>
      </c>
      <c r="C1519" s="80" t="s">
        <v>9722</v>
      </c>
      <c r="D1519" s="80" t="s">
        <v>9722</v>
      </c>
      <c r="E1519" s="80" t="s">
        <v>9722</v>
      </c>
      <c r="F1519" s="80"/>
      <c r="G1519" s="80" t="s">
        <v>9722</v>
      </c>
      <c r="H1519" s="80" t="s">
        <v>9722</v>
      </c>
      <c r="I1519" s="80" t="s">
        <v>9722</v>
      </c>
      <c r="J1519" s="80" t="s">
        <v>84</v>
      </c>
      <c r="K1519" s="80" t="s">
        <v>9722</v>
      </c>
      <c r="L1519" s="80" t="s">
        <v>9722</v>
      </c>
      <c r="M1519" s="80" t="s">
        <v>84</v>
      </c>
      <c r="N1519" s="80" t="s">
        <v>9722</v>
      </c>
      <c r="O1519" s="80" t="s">
        <v>84</v>
      </c>
      <c r="P1519" s="80"/>
      <c r="Q1519" s="80" t="s">
        <v>84</v>
      </c>
      <c r="R1519" s="80" t="s">
        <v>84</v>
      </c>
    </row>
    <row r="1520" spans="1:18" ht="20" x14ac:dyDescent="0.2">
      <c r="A1520" s="80" t="s">
        <v>830</v>
      </c>
      <c r="B1520" s="80" t="s">
        <v>831</v>
      </c>
      <c r="C1520" s="80" t="s">
        <v>9722</v>
      </c>
      <c r="D1520" s="80" t="s">
        <v>84</v>
      </c>
      <c r="E1520" s="80" t="s">
        <v>84</v>
      </c>
      <c r="F1520" s="80"/>
      <c r="G1520" s="80" t="s">
        <v>84</v>
      </c>
      <c r="H1520" s="80" t="s">
        <v>9722</v>
      </c>
      <c r="I1520" s="80" t="s">
        <v>84</v>
      </c>
      <c r="J1520" s="80" t="s">
        <v>84</v>
      </c>
      <c r="K1520" s="80" t="s">
        <v>84</v>
      </c>
      <c r="L1520" s="80" t="s">
        <v>84</v>
      </c>
      <c r="M1520" s="80" t="s">
        <v>84</v>
      </c>
      <c r="N1520" s="80" t="s">
        <v>84</v>
      </c>
      <c r="O1520" s="80" t="s">
        <v>84</v>
      </c>
      <c r="P1520" s="80"/>
      <c r="Q1520" s="80" t="s">
        <v>84</v>
      </c>
      <c r="R1520" s="80" t="s">
        <v>84</v>
      </c>
    </row>
    <row r="1521" spans="1:18" ht="20" x14ac:dyDescent="0.2">
      <c r="A1521" s="80" t="s">
        <v>771</v>
      </c>
      <c r="B1521" s="80" t="s">
        <v>772</v>
      </c>
      <c r="C1521" s="80" t="s">
        <v>9722</v>
      </c>
      <c r="D1521" s="80" t="s">
        <v>9722</v>
      </c>
      <c r="E1521" s="80" t="s">
        <v>84</v>
      </c>
      <c r="F1521" s="80"/>
      <c r="G1521" s="80" t="s">
        <v>84</v>
      </c>
      <c r="H1521" s="80" t="s">
        <v>9722</v>
      </c>
      <c r="I1521" s="80" t="s">
        <v>9722</v>
      </c>
      <c r="J1521" s="80" t="s">
        <v>84</v>
      </c>
      <c r="K1521" s="80" t="s">
        <v>9722</v>
      </c>
      <c r="L1521" s="80" t="s">
        <v>9722</v>
      </c>
      <c r="M1521" s="80" t="s">
        <v>9722</v>
      </c>
      <c r="N1521" s="80" t="s">
        <v>84</v>
      </c>
      <c r="O1521" s="80" t="s">
        <v>9722</v>
      </c>
      <c r="P1521" s="80"/>
      <c r="Q1521" s="80" t="s">
        <v>9722</v>
      </c>
      <c r="R1521" s="80" t="s">
        <v>9722</v>
      </c>
    </row>
    <row r="1522" spans="1:18" ht="20" x14ac:dyDescent="0.2">
      <c r="A1522" s="80" t="s">
        <v>771</v>
      </c>
      <c r="B1522" s="80" t="s">
        <v>835</v>
      </c>
      <c r="C1522" s="80" t="s">
        <v>9722</v>
      </c>
      <c r="D1522" s="80" t="s">
        <v>9722</v>
      </c>
      <c r="E1522" s="80" t="s">
        <v>84</v>
      </c>
      <c r="F1522" s="80"/>
      <c r="G1522" s="80" t="s">
        <v>84</v>
      </c>
      <c r="H1522" s="80" t="s">
        <v>9722</v>
      </c>
      <c r="I1522" s="80" t="s">
        <v>9722</v>
      </c>
      <c r="J1522" s="80" t="s">
        <v>84</v>
      </c>
      <c r="K1522" s="80" t="s">
        <v>9722</v>
      </c>
      <c r="L1522" s="80" t="s">
        <v>9722</v>
      </c>
      <c r="M1522" s="80" t="s">
        <v>9722</v>
      </c>
      <c r="N1522" s="80" t="s">
        <v>84</v>
      </c>
      <c r="O1522" s="80" t="s">
        <v>9722</v>
      </c>
      <c r="P1522" s="80"/>
      <c r="Q1522" s="80" t="s">
        <v>9722</v>
      </c>
      <c r="R1522" s="80" t="s">
        <v>9722</v>
      </c>
    </row>
    <row r="1523" spans="1:18" ht="20" x14ac:dyDescent="0.2">
      <c r="A1523" s="80" t="s">
        <v>836</v>
      </c>
      <c r="B1523" s="80" t="s">
        <v>837</v>
      </c>
      <c r="C1523" s="80" t="s">
        <v>9722</v>
      </c>
      <c r="D1523" s="80" t="s">
        <v>84</v>
      </c>
      <c r="E1523" s="80" t="s">
        <v>84</v>
      </c>
      <c r="F1523" s="80"/>
      <c r="G1523" s="80" t="s">
        <v>84</v>
      </c>
      <c r="H1523" s="80" t="s">
        <v>84</v>
      </c>
      <c r="I1523" s="80" t="s">
        <v>84</v>
      </c>
      <c r="J1523" s="80" t="s">
        <v>84</v>
      </c>
      <c r="K1523" s="80" t="s">
        <v>84</v>
      </c>
      <c r="L1523" s="80" t="s">
        <v>84</v>
      </c>
      <c r="M1523" s="80" t="s">
        <v>84</v>
      </c>
      <c r="N1523" s="80" t="s">
        <v>84</v>
      </c>
      <c r="O1523" s="80" t="s">
        <v>84</v>
      </c>
      <c r="P1523" s="80"/>
      <c r="Q1523" s="80" t="s">
        <v>84</v>
      </c>
      <c r="R1523" s="80" t="s">
        <v>84</v>
      </c>
    </row>
    <row r="1524" spans="1:18" ht="20" x14ac:dyDescent="0.2">
      <c r="A1524" s="80" t="s">
        <v>765</v>
      </c>
      <c r="B1524" s="80" t="s">
        <v>766</v>
      </c>
      <c r="C1524" s="80" t="s">
        <v>9722</v>
      </c>
      <c r="D1524" s="80" t="s">
        <v>84</v>
      </c>
      <c r="E1524" s="80" t="s">
        <v>84</v>
      </c>
      <c r="F1524" s="80"/>
      <c r="G1524" s="80" t="s">
        <v>84</v>
      </c>
      <c r="H1524" s="80" t="s">
        <v>84</v>
      </c>
      <c r="I1524" s="80" t="s">
        <v>84</v>
      </c>
      <c r="J1524" s="80" t="s">
        <v>84</v>
      </c>
      <c r="K1524" s="80" t="s">
        <v>84</v>
      </c>
      <c r="L1524" s="80" t="s">
        <v>84</v>
      </c>
      <c r="M1524" s="80" t="s">
        <v>84</v>
      </c>
      <c r="N1524" s="80" t="s">
        <v>84</v>
      </c>
      <c r="O1524" s="80" t="s">
        <v>84</v>
      </c>
      <c r="P1524" s="80"/>
      <c r="Q1524" s="80" t="s">
        <v>84</v>
      </c>
      <c r="R1524" s="80" t="s">
        <v>84</v>
      </c>
    </row>
    <row r="1525" spans="1:18" ht="20" x14ac:dyDescent="0.2">
      <c r="A1525" s="80" t="s">
        <v>765</v>
      </c>
      <c r="B1525" s="80" t="s">
        <v>838</v>
      </c>
      <c r="C1525" s="80" t="s">
        <v>9722</v>
      </c>
      <c r="D1525" s="80" t="s">
        <v>84</v>
      </c>
      <c r="E1525" s="80" t="s">
        <v>84</v>
      </c>
      <c r="F1525" s="80"/>
      <c r="G1525" s="80" t="s">
        <v>84</v>
      </c>
      <c r="H1525" s="80" t="s">
        <v>84</v>
      </c>
      <c r="I1525" s="80" t="s">
        <v>84</v>
      </c>
      <c r="J1525" s="80" t="s">
        <v>84</v>
      </c>
      <c r="K1525" s="80" t="s">
        <v>84</v>
      </c>
      <c r="L1525" s="80" t="s">
        <v>84</v>
      </c>
      <c r="M1525" s="80" t="s">
        <v>84</v>
      </c>
      <c r="N1525" s="80" t="s">
        <v>84</v>
      </c>
      <c r="O1525" s="80" t="s">
        <v>84</v>
      </c>
      <c r="P1525" s="80"/>
      <c r="Q1525" s="80" t="s">
        <v>84</v>
      </c>
      <c r="R1525" s="80" t="s">
        <v>84</v>
      </c>
    </row>
    <row r="1526" spans="1:18" ht="20" x14ac:dyDescent="0.2">
      <c r="A1526" s="80" t="s">
        <v>839</v>
      </c>
      <c r="B1526" s="80" t="s">
        <v>840</v>
      </c>
      <c r="C1526" s="80" t="s">
        <v>9722</v>
      </c>
      <c r="D1526" s="80" t="s">
        <v>84</v>
      </c>
      <c r="E1526" s="80" t="s">
        <v>84</v>
      </c>
      <c r="F1526" s="80"/>
      <c r="G1526" s="80" t="s">
        <v>84</v>
      </c>
      <c r="H1526" s="80" t="s">
        <v>84</v>
      </c>
      <c r="I1526" s="80" t="s">
        <v>84</v>
      </c>
      <c r="J1526" s="80" t="s">
        <v>84</v>
      </c>
      <c r="K1526" s="80" t="s">
        <v>84</v>
      </c>
      <c r="L1526" s="80" t="s">
        <v>84</v>
      </c>
      <c r="M1526" s="80" t="s">
        <v>84</v>
      </c>
      <c r="N1526" s="80" t="s">
        <v>84</v>
      </c>
      <c r="O1526" s="80" t="s">
        <v>84</v>
      </c>
      <c r="P1526" s="80"/>
      <c r="Q1526" s="80" t="s">
        <v>84</v>
      </c>
      <c r="R1526" s="80" t="s">
        <v>84</v>
      </c>
    </row>
    <row r="1527" spans="1:18" ht="20" x14ac:dyDescent="0.2">
      <c r="A1527" s="80" t="s">
        <v>10219</v>
      </c>
      <c r="B1527" s="80" t="s">
        <v>10220</v>
      </c>
      <c r="C1527" s="80" t="s">
        <v>9722</v>
      </c>
      <c r="D1527" s="80" t="s">
        <v>84</v>
      </c>
      <c r="E1527" s="80" t="s">
        <v>84</v>
      </c>
      <c r="F1527" s="80"/>
      <c r="G1527" s="80" t="s">
        <v>84</v>
      </c>
      <c r="H1527" s="80" t="s">
        <v>84</v>
      </c>
      <c r="I1527" s="80" t="s">
        <v>84</v>
      </c>
      <c r="J1527" s="80" t="s">
        <v>84</v>
      </c>
      <c r="K1527" s="80" t="s">
        <v>84</v>
      </c>
      <c r="L1527" s="80" t="s">
        <v>84</v>
      </c>
      <c r="M1527" s="80" t="s">
        <v>84</v>
      </c>
      <c r="N1527" s="80" t="s">
        <v>84</v>
      </c>
      <c r="O1527" s="80" t="s">
        <v>84</v>
      </c>
      <c r="P1527" s="80"/>
      <c r="Q1527" s="80" t="s">
        <v>84</v>
      </c>
      <c r="R1527" s="80" t="s">
        <v>84</v>
      </c>
    </row>
    <row r="1528" spans="1:18" ht="20" x14ac:dyDescent="0.2">
      <c r="A1528" s="80" t="s">
        <v>841</v>
      </c>
      <c r="B1528" s="80" t="s">
        <v>842</v>
      </c>
      <c r="C1528" s="80" t="s">
        <v>9722</v>
      </c>
      <c r="D1528" s="80" t="s">
        <v>84</v>
      </c>
      <c r="E1528" s="80" t="s">
        <v>84</v>
      </c>
      <c r="F1528" s="80"/>
      <c r="G1528" s="80" t="s">
        <v>84</v>
      </c>
      <c r="H1528" s="80" t="s">
        <v>84</v>
      </c>
      <c r="I1528" s="80" t="s">
        <v>84</v>
      </c>
      <c r="J1528" s="80" t="s">
        <v>84</v>
      </c>
      <c r="K1528" s="80" t="s">
        <v>84</v>
      </c>
      <c r="L1528" s="80" t="s">
        <v>84</v>
      </c>
      <c r="M1528" s="80" t="s">
        <v>84</v>
      </c>
      <c r="N1528" s="80" t="s">
        <v>84</v>
      </c>
      <c r="O1528" s="80" t="s">
        <v>84</v>
      </c>
      <c r="P1528" s="80"/>
      <c r="Q1528" s="80" t="s">
        <v>84</v>
      </c>
      <c r="R1528" s="80" t="s">
        <v>84</v>
      </c>
    </row>
    <row r="1529" spans="1:18" ht="20" x14ac:dyDescent="0.2">
      <c r="A1529" s="80" t="s">
        <v>10221</v>
      </c>
      <c r="B1529" s="80" t="s">
        <v>10222</v>
      </c>
      <c r="C1529" s="80" t="s">
        <v>9722</v>
      </c>
      <c r="D1529" s="80" t="s">
        <v>84</v>
      </c>
      <c r="E1529" s="80" t="s">
        <v>84</v>
      </c>
      <c r="F1529" s="80"/>
      <c r="G1529" s="80" t="s">
        <v>84</v>
      </c>
      <c r="H1529" s="80" t="s">
        <v>84</v>
      </c>
      <c r="I1529" s="80" t="s">
        <v>84</v>
      </c>
      <c r="J1529" s="80" t="s">
        <v>84</v>
      </c>
      <c r="K1529" s="80" t="s">
        <v>84</v>
      </c>
      <c r="L1529" s="80" t="s">
        <v>84</v>
      </c>
      <c r="M1529" s="80" t="s">
        <v>84</v>
      </c>
      <c r="N1529" s="80" t="s">
        <v>84</v>
      </c>
      <c r="O1529" s="80" t="s">
        <v>84</v>
      </c>
      <c r="P1529" s="80"/>
      <c r="Q1529" s="80" t="s">
        <v>84</v>
      </c>
      <c r="R1529" s="80" t="s">
        <v>84</v>
      </c>
    </row>
    <row r="1530" spans="1:18" ht="20" x14ac:dyDescent="0.2">
      <c r="A1530" s="80" t="s">
        <v>843</v>
      </c>
      <c r="B1530" s="80" t="s">
        <v>844</v>
      </c>
      <c r="C1530" s="80" t="s">
        <v>9722</v>
      </c>
      <c r="D1530" s="80" t="s">
        <v>84</v>
      </c>
      <c r="E1530" s="80" t="s">
        <v>84</v>
      </c>
      <c r="F1530" s="80"/>
      <c r="G1530" s="80" t="s">
        <v>84</v>
      </c>
      <c r="H1530" s="80" t="s">
        <v>84</v>
      </c>
      <c r="I1530" s="80" t="s">
        <v>84</v>
      </c>
      <c r="J1530" s="80" t="s">
        <v>84</v>
      </c>
      <c r="K1530" s="80" t="s">
        <v>84</v>
      </c>
      <c r="L1530" s="80" t="s">
        <v>84</v>
      </c>
      <c r="M1530" s="80" t="s">
        <v>84</v>
      </c>
      <c r="N1530" s="80" t="s">
        <v>84</v>
      </c>
      <c r="O1530" s="80" t="s">
        <v>84</v>
      </c>
      <c r="P1530" s="80"/>
      <c r="Q1530" s="80" t="s">
        <v>84</v>
      </c>
      <c r="R1530" s="80" t="s">
        <v>84</v>
      </c>
    </row>
    <row r="1531" spans="1:18" ht="20" x14ac:dyDescent="0.2">
      <c r="A1531" s="80" t="s">
        <v>2096</v>
      </c>
      <c r="B1531" s="80" t="s">
        <v>2097</v>
      </c>
      <c r="C1531" s="80" t="s">
        <v>9680</v>
      </c>
      <c r="D1531" s="80" t="s">
        <v>84</v>
      </c>
      <c r="E1531" s="80" t="s">
        <v>84</v>
      </c>
      <c r="F1531" s="80"/>
      <c r="G1531" s="80" t="s">
        <v>84</v>
      </c>
      <c r="H1531" s="80" t="s">
        <v>84</v>
      </c>
      <c r="I1531" s="80" t="s">
        <v>84</v>
      </c>
      <c r="J1531" s="80" t="s">
        <v>84</v>
      </c>
      <c r="K1531" s="80" t="s">
        <v>84</v>
      </c>
      <c r="L1531" s="80" t="s">
        <v>84</v>
      </c>
      <c r="M1531" s="80" t="s">
        <v>84</v>
      </c>
      <c r="N1531" s="80" t="s">
        <v>84</v>
      </c>
      <c r="O1531" s="80" t="s">
        <v>84</v>
      </c>
      <c r="P1531" s="80"/>
      <c r="Q1531" s="80" t="s">
        <v>84</v>
      </c>
      <c r="R1531" s="80" t="s">
        <v>84</v>
      </c>
    </row>
    <row r="1532" spans="1:18" ht="20" x14ac:dyDescent="0.2">
      <c r="A1532" s="80" t="s">
        <v>2096</v>
      </c>
      <c r="B1532" s="80" t="s">
        <v>10223</v>
      </c>
      <c r="C1532" s="80" t="s">
        <v>9680</v>
      </c>
      <c r="D1532" s="80" t="s">
        <v>84</v>
      </c>
      <c r="E1532" s="80" t="s">
        <v>84</v>
      </c>
      <c r="F1532" s="80"/>
      <c r="G1532" s="80" t="s">
        <v>84</v>
      </c>
      <c r="H1532" s="80" t="s">
        <v>84</v>
      </c>
      <c r="I1532" s="80" t="s">
        <v>84</v>
      </c>
      <c r="J1532" s="80" t="s">
        <v>84</v>
      </c>
      <c r="K1532" s="80" t="s">
        <v>84</v>
      </c>
      <c r="L1532" s="80" t="s">
        <v>84</v>
      </c>
      <c r="M1532" s="80" t="s">
        <v>84</v>
      </c>
      <c r="N1532" s="80" t="s">
        <v>84</v>
      </c>
      <c r="O1532" s="80" t="s">
        <v>84</v>
      </c>
      <c r="P1532" s="80"/>
      <c r="Q1532" s="80" t="s">
        <v>84</v>
      </c>
      <c r="R1532" s="80" t="s">
        <v>84</v>
      </c>
    </row>
    <row r="1533" spans="1:18" ht="20" x14ac:dyDescent="0.2">
      <c r="A1533" s="80" t="s">
        <v>2096</v>
      </c>
      <c r="B1533" s="80" t="s">
        <v>2233</v>
      </c>
      <c r="C1533" s="80" t="s">
        <v>9680</v>
      </c>
      <c r="D1533" s="80" t="s">
        <v>84</v>
      </c>
      <c r="E1533" s="80" t="s">
        <v>84</v>
      </c>
      <c r="F1533" s="80"/>
      <c r="G1533" s="80" t="s">
        <v>84</v>
      </c>
      <c r="H1533" s="80" t="s">
        <v>84</v>
      </c>
      <c r="I1533" s="80" t="s">
        <v>84</v>
      </c>
      <c r="J1533" s="80" t="s">
        <v>84</v>
      </c>
      <c r="K1533" s="80" t="s">
        <v>84</v>
      </c>
      <c r="L1533" s="80" t="s">
        <v>84</v>
      </c>
      <c r="M1533" s="80" t="s">
        <v>84</v>
      </c>
      <c r="N1533" s="80" t="s">
        <v>84</v>
      </c>
      <c r="O1533" s="80" t="s">
        <v>84</v>
      </c>
      <c r="P1533" s="80"/>
      <c r="Q1533" s="80" t="s">
        <v>84</v>
      </c>
      <c r="R1533" s="80" t="s">
        <v>84</v>
      </c>
    </row>
    <row r="1534" spans="1:18" ht="20" x14ac:dyDescent="0.2">
      <c r="A1534" s="80" t="s">
        <v>2234</v>
      </c>
      <c r="B1534" s="80" t="s">
        <v>2235</v>
      </c>
      <c r="C1534" s="80" t="s">
        <v>9680</v>
      </c>
      <c r="D1534" s="80" t="s">
        <v>84</v>
      </c>
      <c r="E1534" s="80" t="s">
        <v>84</v>
      </c>
      <c r="F1534" s="80"/>
      <c r="G1534" s="80" t="s">
        <v>84</v>
      </c>
      <c r="H1534" s="80" t="s">
        <v>84</v>
      </c>
      <c r="I1534" s="80" t="s">
        <v>84</v>
      </c>
      <c r="J1534" s="80" t="s">
        <v>84</v>
      </c>
      <c r="K1534" s="80" t="s">
        <v>84</v>
      </c>
      <c r="L1534" s="80" t="s">
        <v>84</v>
      </c>
      <c r="M1534" s="80" t="s">
        <v>84</v>
      </c>
      <c r="N1534" s="80" t="s">
        <v>84</v>
      </c>
      <c r="O1534" s="80" t="s">
        <v>84</v>
      </c>
      <c r="P1534" s="80"/>
      <c r="Q1534" s="80" t="s">
        <v>84</v>
      </c>
      <c r="R1534" s="80" t="s">
        <v>84</v>
      </c>
    </row>
    <row r="1535" spans="1:18" ht="20" x14ac:dyDescent="0.2">
      <c r="A1535" s="80" t="s">
        <v>2234</v>
      </c>
      <c r="B1535" s="80" t="s">
        <v>10224</v>
      </c>
      <c r="C1535" s="80" t="s">
        <v>9680</v>
      </c>
      <c r="D1535" s="80" t="s">
        <v>84</v>
      </c>
      <c r="E1535" s="80" t="s">
        <v>84</v>
      </c>
      <c r="F1535" s="80"/>
      <c r="G1535" s="80" t="s">
        <v>84</v>
      </c>
      <c r="H1535" s="80" t="s">
        <v>84</v>
      </c>
      <c r="I1535" s="80" t="s">
        <v>84</v>
      </c>
      <c r="J1535" s="80" t="s">
        <v>84</v>
      </c>
      <c r="K1535" s="80" t="s">
        <v>84</v>
      </c>
      <c r="L1535" s="80" t="s">
        <v>84</v>
      </c>
      <c r="M1535" s="80" t="s">
        <v>84</v>
      </c>
      <c r="N1535" s="80" t="s">
        <v>84</v>
      </c>
      <c r="O1535" s="80" t="s">
        <v>84</v>
      </c>
      <c r="P1535" s="80"/>
      <c r="Q1535" s="80" t="s">
        <v>84</v>
      </c>
      <c r="R1535" s="80" t="s">
        <v>84</v>
      </c>
    </row>
    <row r="1536" spans="1:18" ht="20" x14ac:dyDescent="0.2">
      <c r="A1536" s="80" t="s">
        <v>2236</v>
      </c>
      <c r="B1536" s="80" t="s">
        <v>2237</v>
      </c>
      <c r="C1536" s="80" t="s">
        <v>9680</v>
      </c>
      <c r="D1536" s="80" t="s">
        <v>84</v>
      </c>
      <c r="E1536" s="80" t="s">
        <v>84</v>
      </c>
      <c r="F1536" s="80"/>
      <c r="G1536" s="80" t="s">
        <v>84</v>
      </c>
      <c r="H1536" s="80" t="s">
        <v>84</v>
      </c>
      <c r="I1536" s="80" t="s">
        <v>84</v>
      </c>
      <c r="J1536" s="80" t="s">
        <v>84</v>
      </c>
      <c r="K1536" s="80" t="s">
        <v>84</v>
      </c>
      <c r="L1536" s="80" t="s">
        <v>84</v>
      </c>
      <c r="M1536" s="80" t="s">
        <v>84</v>
      </c>
      <c r="N1536" s="80" t="s">
        <v>84</v>
      </c>
      <c r="O1536" s="80" t="s">
        <v>84</v>
      </c>
      <c r="P1536" s="80"/>
      <c r="Q1536" s="80" t="s">
        <v>84</v>
      </c>
      <c r="R1536" s="80" t="s">
        <v>84</v>
      </c>
    </row>
    <row r="1537" spans="1:18" ht="20" x14ac:dyDescent="0.2">
      <c r="A1537" s="80" t="s">
        <v>2238</v>
      </c>
      <c r="B1537" s="80" t="s">
        <v>2239</v>
      </c>
      <c r="C1537" s="80" t="s">
        <v>9680</v>
      </c>
      <c r="D1537" s="80" t="s">
        <v>84</v>
      </c>
      <c r="E1537" s="80" t="s">
        <v>84</v>
      </c>
      <c r="F1537" s="80"/>
      <c r="G1537" s="80" t="s">
        <v>84</v>
      </c>
      <c r="H1537" s="80" t="s">
        <v>84</v>
      </c>
      <c r="I1537" s="80" t="s">
        <v>84</v>
      </c>
      <c r="J1537" s="80" t="s">
        <v>84</v>
      </c>
      <c r="K1537" s="80" t="s">
        <v>84</v>
      </c>
      <c r="L1537" s="80" t="s">
        <v>84</v>
      </c>
      <c r="M1537" s="80" t="s">
        <v>84</v>
      </c>
      <c r="N1537" s="80" t="s">
        <v>84</v>
      </c>
      <c r="O1537" s="80" t="s">
        <v>84</v>
      </c>
      <c r="P1537" s="80"/>
      <c r="Q1537" s="80" t="s">
        <v>84</v>
      </c>
      <c r="R1537" s="80" t="s">
        <v>84</v>
      </c>
    </row>
    <row r="1538" spans="1:18" ht="20" x14ac:dyDescent="0.2">
      <c r="A1538" s="80" t="s">
        <v>2240</v>
      </c>
      <c r="B1538" s="80" t="s">
        <v>2241</v>
      </c>
      <c r="C1538" s="80" t="s">
        <v>9680</v>
      </c>
      <c r="D1538" s="80" t="s">
        <v>84</v>
      </c>
      <c r="E1538" s="80" t="s">
        <v>84</v>
      </c>
      <c r="F1538" s="80"/>
      <c r="G1538" s="80" t="s">
        <v>84</v>
      </c>
      <c r="H1538" s="80" t="s">
        <v>84</v>
      </c>
      <c r="I1538" s="80" t="s">
        <v>84</v>
      </c>
      <c r="J1538" s="80" t="s">
        <v>84</v>
      </c>
      <c r="K1538" s="80" t="s">
        <v>84</v>
      </c>
      <c r="L1538" s="80" t="s">
        <v>84</v>
      </c>
      <c r="M1538" s="80" t="s">
        <v>84</v>
      </c>
      <c r="N1538" s="80" t="s">
        <v>84</v>
      </c>
      <c r="O1538" s="80" t="s">
        <v>84</v>
      </c>
      <c r="P1538" s="80"/>
      <c r="Q1538" s="80" t="s">
        <v>84</v>
      </c>
      <c r="R1538" s="80" t="s">
        <v>84</v>
      </c>
    </row>
    <row r="1539" spans="1:18" ht="20" x14ac:dyDescent="0.2">
      <c r="A1539" s="80" t="s">
        <v>3466</v>
      </c>
      <c r="B1539" s="80" t="s">
        <v>3467</v>
      </c>
      <c r="C1539" s="80" t="s">
        <v>9680</v>
      </c>
      <c r="D1539" s="80" t="s">
        <v>84</v>
      </c>
      <c r="E1539" s="80" t="s">
        <v>84</v>
      </c>
      <c r="F1539" s="80"/>
      <c r="G1539" s="80" t="s">
        <v>84</v>
      </c>
      <c r="H1539" s="80" t="s">
        <v>84</v>
      </c>
      <c r="I1539" s="80" t="s">
        <v>84</v>
      </c>
      <c r="J1539" s="80" t="s">
        <v>84</v>
      </c>
      <c r="K1539" s="80" t="s">
        <v>84</v>
      </c>
      <c r="L1539" s="80" t="s">
        <v>84</v>
      </c>
      <c r="M1539" s="80" t="s">
        <v>84</v>
      </c>
      <c r="N1539" s="80" t="s">
        <v>84</v>
      </c>
      <c r="O1539" s="80" t="s">
        <v>84</v>
      </c>
      <c r="P1539" s="80"/>
      <c r="Q1539" s="80" t="s">
        <v>84</v>
      </c>
      <c r="R1539" s="80" t="s">
        <v>84</v>
      </c>
    </row>
    <row r="1540" spans="1:18" ht="20" x14ac:dyDescent="0.2">
      <c r="A1540" s="80" t="s">
        <v>3466</v>
      </c>
      <c r="B1540" s="80" t="s">
        <v>10225</v>
      </c>
      <c r="C1540" s="80" t="s">
        <v>9680</v>
      </c>
      <c r="D1540" s="80" t="s">
        <v>84</v>
      </c>
      <c r="E1540" s="80" t="s">
        <v>84</v>
      </c>
      <c r="F1540" s="80"/>
      <c r="G1540" s="80" t="s">
        <v>84</v>
      </c>
      <c r="H1540" s="80" t="s">
        <v>84</v>
      </c>
      <c r="I1540" s="80" t="s">
        <v>84</v>
      </c>
      <c r="J1540" s="80" t="s">
        <v>84</v>
      </c>
      <c r="K1540" s="80" t="s">
        <v>84</v>
      </c>
      <c r="L1540" s="80" t="s">
        <v>84</v>
      </c>
      <c r="M1540" s="80" t="s">
        <v>84</v>
      </c>
      <c r="N1540" s="80" t="s">
        <v>84</v>
      </c>
      <c r="O1540" s="80" t="s">
        <v>84</v>
      </c>
      <c r="P1540" s="80"/>
      <c r="Q1540" s="80" t="s">
        <v>84</v>
      </c>
      <c r="R1540" s="80" t="s">
        <v>84</v>
      </c>
    </row>
    <row r="1541" spans="1:18" ht="20" x14ac:dyDescent="0.2">
      <c r="A1541" s="80" t="s">
        <v>2242</v>
      </c>
      <c r="B1541" s="80" t="s">
        <v>10226</v>
      </c>
      <c r="C1541" s="80" t="s">
        <v>9680</v>
      </c>
      <c r="D1541" s="80" t="s">
        <v>9680</v>
      </c>
      <c r="E1541" s="80" t="s">
        <v>84</v>
      </c>
      <c r="F1541" s="80"/>
      <c r="G1541" s="80" t="s">
        <v>9680</v>
      </c>
      <c r="H1541" s="80" t="s">
        <v>84</v>
      </c>
      <c r="I1541" s="80" t="s">
        <v>9680</v>
      </c>
      <c r="J1541" s="80" t="s">
        <v>9680</v>
      </c>
      <c r="K1541" s="80" t="s">
        <v>9680</v>
      </c>
      <c r="L1541" s="80" t="s">
        <v>9680</v>
      </c>
      <c r="M1541" s="80" t="s">
        <v>9680</v>
      </c>
      <c r="N1541" s="80" t="s">
        <v>84</v>
      </c>
      <c r="O1541" s="80" t="s">
        <v>9680</v>
      </c>
      <c r="P1541" s="80"/>
      <c r="Q1541" s="80" t="s">
        <v>9680</v>
      </c>
      <c r="R1541" s="80" t="s">
        <v>9680</v>
      </c>
    </row>
    <row r="1542" spans="1:18" ht="20" x14ac:dyDescent="0.2">
      <c r="A1542" s="80" t="s">
        <v>2242</v>
      </c>
      <c r="B1542" s="80" t="s">
        <v>2243</v>
      </c>
      <c r="C1542" s="80" t="s">
        <v>9680</v>
      </c>
      <c r="D1542" s="80" t="s">
        <v>9680</v>
      </c>
      <c r="E1542" s="80" t="s">
        <v>84</v>
      </c>
      <c r="F1542" s="80"/>
      <c r="G1542" s="80" t="s">
        <v>9680</v>
      </c>
      <c r="H1542" s="80" t="s">
        <v>84</v>
      </c>
      <c r="I1542" s="80" t="s">
        <v>9680</v>
      </c>
      <c r="J1542" s="80" t="s">
        <v>9680</v>
      </c>
      <c r="K1542" s="80" t="s">
        <v>9680</v>
      </c>
      <c r="L1542" s="80" t="s">
        <v>9680</v>
      </c>
      <c r="M1542" s="80" t="s">
        <v>9680</v>
      </c>
      <c r="N1542" s="80" t="s">
        <v>84</v>
      </c>
      <c r="O1542" s="80" t="s">
        <v>9680</v>
      </c>
      <c r="P1542" s="80"/>
      <c r="Q1542" s="80" t="s">
        <v>9680</v>
      </c>
      <c r="R1542" s="80" t="s">
        <v>9680</v>
      </c>
    </row>
    <row r="1543" spans="1:18" ht="20" x14ac:dyDescent="0.2">
      <c r="A1543" s="80" t="s">
        <v>2244</v>
      </c>
      <c r="B1543" s="80" t="s">
        <v>10227</v>
      </c>
      <c r="C1543" s="80" t="s">
        <v>9680</v>
      </c>
      <c r="D1543" s="80" t="s">
        <v>9680</v>
      </c>
      <c r="E1543" s="80" t="s">
        <v>84</v>
      </c>
      <c r="F1543" s="80"/>
      <c r="G1543" s="80" t="s">
        <v>9680</v>
      </c>
      <c r="H1543" s="80" t="s">
        <v>84</v>
      </c>
      <c r="I1543" s="80" t="s">
        <v>9680</v>
      </c>
      <c r="J1543" s="80" t="s">
        <v>9680</v>
      </c>
      <c r="K1543" s="80" t="s">
        <v>9680</v>
      </c>
      <c r="L1543" s="80" t="s">
        <v>9680</v>
      </c>
      <c r="M1543" s="80" t="s">
        <v>9680</v>
      </c>
      <c r="N1543" s="80" t="s">
        <v>84</v>
      </c>
      <c r="O1543" s="80" t="s">
        <v>9680</v>
      </c>
      <c r="P1543" s="80"/>
      <c r="Q1543" s="80" t="s">
        <v>9680</v>
      </c>
      <c r="R1543" s="80" t="s">
        <v>9680</v>
      </c>
    </row>
    <row r="1544" spans="1:18" ht="20" x14ac:dyDescent="0.2">
      <c r="A1544" s="80" t="s">
        <v>2244</v>
      </c>
      <c r="B1544" s="80" t="s">
        <v>2245</v>
      </c>
      <c r="C1544" s="80" t="s">
        <v>9680</v>
      </c>
      <c r="D1544" s="80" t="s">
        <v>9680</v>
      </c>
      <c r="E1544" s="80" t="s">
        <v>84</v>
      </c>
      <c r="F1544" s="80"/>
      <c r="G1544" s="80" t="s">
        <v>9680</v>
      </c>
      <c r="H1544" s="80" t="s">
        <v>84</v>
      </c>
      <c r="I1544" s="80" t="s">
        <v>9680</v>
      </c>
      <c r="J1544" s="80" t="s">
        <v>9680</v>
      </c>
      <c r="K1544" s="80" t="s">
        <v>9680</v>
      </c>
      <c r="L1544" s="80" t="s">
        <v>9680</v>
      </c>
      <c r="M1544" s="80" t="s">
        <v>9680</v>
      </c>
      <c r="N1544" s="80" t="s">
        <v>84</v>
      </c>
      <c r="O1544" s="80" t="s">
        <v>9680</v>
      </c>
      <c r="P1544" s="80"/>
      <c r="Q1544" s="80" t="s">
        <v>9680</v>
      </c>
      <c r="R1544" s="80" t="s">
        <v>9680</v>
      </c>
    </row>
    <row r="1545" spans="1:18" ht="20" x14ac:dyDescent="0.2">
      <c r="A1545" s="80" t="s">
        <v>2246</v>
      </c>
      <c r="B1545" s="80" t="s">
        <v>2247</v>
      </c>
      <c r="C1545" s="80" t="s">
        <v>9680</v>
      </c>
      <c r="D1545" s="80" t="s">
        <v>9680</v>
      </c>
      <c r="E1545" s="80" t="s">
        <v>9680</v>
      </c>
      <c r="F1545" s="80"/>
      <c r="G1545" s="80" t="s">
        <v>9680</v>
      </c>
      <c r="H1545" s="80" t="s">
        <v>9680</v>
      </c>
      <c r="I1545" s="80" t="s">
        <v>9680</v>
      </c>
      <c r="J1545" s="80" t="s">
        <v>9680</v>
      </c>
      <c r="K1545" s="80" t="s">
        <v>9680</v>
      </c>
      <c r="L1545" s="80" t="s">
        <v>9680</v>
      </c>
      <c r="M1545" s="80" t="s">
        <v>9680</v>
      </c>
      <c r="N1545" s="80" t="s">
        <v>9680</v>
      </c>
      <c r="O1545" s="80" t="s">
        <v>9680</v>
      </c>
      <c r="P1545" s="80"/>
      <c r="Q1545" s="80" t="s">
        <v>9680</v>
      </c>
      <c r="R1545" s="80" t="s">
        <v>9680</v>
      </c>
    </row>
    <row r="1546" spans="1:18" ht="20" x14ac:dyDescent="0.2">
      <c r="A1546" s="80" t="s">
        <v>2249</v>
      </c>
      <c r="B1546" s="80" t="s">
        <v>2250</v>
      </c>
      <c r="C1546" s="80" t="s">
        <v>84</v>
      </c>
      <c r="D1546" s="80" t="s">
        <v>84</v>
      </c>
      <c r="E1546" s="80" t="s">
        <v>84</v>
      </c>
      <c r="F1546" s="80"/>
      <c r="G1546" s="80" t="s">
        <v>84</v>
      </c>
      <c r="H1546" s="80" t="s">
        <v>84</v>
      </c>
      <c r="I1546" s="80" t="s">
        <v>84</v>
      </c>
      <c r="J1546" s="80" t="s">
        <v>84</v>
      </c>
      <c r="K1546" s="80" t="s">
        <v>84</v>
      </c>
      <c r="L1546" s="80" t="s">
        <v>84</v>
      </c>
      <c r="M1546" s="80" t="s">
        <v>84</v>
      </c>
      <c r="N1546" s="80" t="s">
        <v>84</v>
      </c>
      <c r="O1546" s="80" t="s">
        <v>84</v>
      </c>
      <c r="P1546" s="80"/>
      <c r="Q1546" s="80" t="s">
        <v>84</v>
      </c>
      <c r="R1546" s="80" t="s">
        <v>84</v>
      </c>
    </row>
    <row r="1547" spans="1:18" ht="20" x14ac:dyDescent="0.2">
      <c r="A1547" s="80" t="s">
        <v>2251</v>
      </c>
      <c r="B1547" s="80" t="s">
        <v>2252</v>
      </c>
      <c r="C1547" s="80" t="s">
        <v>9680</v>
      </c>
      <c r="D1547" s="80" t="s">
        <v>9680</v>
      </c>
      <c r="E1547" s="80" t="s">
        <v>84</v>
      </c>
      <c r="F1547" s="80"/>
      <c r="G1547" s="80" t="s">
        <v>9680</v>
      </c>
      <c r="H1547" s="80" t="s">
        <v>84</v>
      </c>
      <c r="I1547" s="80" t="s">
        <v>9680</v>
      </c>
      <c r="J1547" s="80" t="s">
        <v>84</v>
      </c>
      <c r="K1547" s="80" t="s">
        <v>9680</v>
      </c>
      <c r="L1547" s="80" t="s">
        <v>9680</v>
      </c>
      <c r="M1547" s="80" t="s">
        <v>9680</v>
      </c>
      <c r="N1547" s="80" t="s">
        <v>84</v>
      </c>
      <c r="O1547" s="80" t="s">
        <v>9680</v>
      </c>
      <c r="P1547" s="80"/>
      <c r="Q1547" s="80" t="s">
        <v>9680</v>
      </c>
      <c r="R1547" s="80" t="s">
        <v>9680</v>
      </c>
    </row>
    <row r="1548" spans="1:18" ht="20" x14ac:dyDescent="0.2">
      <c r="A1548" s="80" t="s">
        <v>2253</v>
      </c>
      <c r="B1548" s="80" t="s">
        <v>2254</v>
      </c>
      <c r="C1548" s="80" t="s">
        <v>84</v>
      </c>
      <c r="D1548" s="80" t="s">
        <v>84</v>
      </c>
      <c r="E1548" s="80" t="s">
        <v>84</v>
      </c>
      <c r="F1548" s="80"/>
      <c r="G1548" s="80" t="s">
        <v>84</v>
      </c>
      <c r="H1548" s="80" t="s">
        <v>84</v>
      </c>
      <c r="I1548" s="80" t="s">
        <v>84</v>
      </c>
      <c r="J1548" s="80" t="s">
        <v>84</v>
      </c>
      <c r="K1548" s="80" t="s">
        <v>84</v>
      </c>
      <c r="L1548" s="80" t="s">
        <v>84</v>
      </c>
      <c r="M1548" s="80" t="s">
        <v>84</v>
      </c>
      <c r="N1548" s="80" t="s">
        <v>84</v>
      </c>
      <c r="O1548" s="80" t="s">
        <v>84</v>
      </c>
      <c r="P1548" s="80"/>
      <c r="Q1548" s="80" t="s">
        <v>84</v>
      </c>
      <c r="R1548" s="80" t="s">
        <v>84</v>
      </c>
    </row>
    <row r="1549" spans="1:18" ht="20" x14ac:dyDescent="0.2">
      <c r="A1549" s="80" t="s">
        <v>2255</v>
      </c>
      <c r="B1549" s="80" t="s">
        <v>10228</v>
      </c>
      <c r="C1549" s="80" t="s">
        <v>9680</v>
      </c>
      <c r="D1549" s="80" t="s">
        <v>9680</v>
      </c>
      <c r="E1549" s="80" t="s">
        <v>84</v>
      </c>
      <c r="F1549" s="80"/>
      <c r="G1549" s="80" t="s">
        <v>84</v>
      </c>
      <c r="H1549" s="80" t="s">
        <v>84</v>
      </c>
      <c r="I1549" s="80" t="s">
        <v>9680</v>
      </c>
      <c r="J1549" s="80" t="s">
        <v>84</v>
      </c>
      <c r="K1549" s="80" t="s">
        <v>9680</v>
      </c>
      <c r="L1549" s="80" t="s">
        <v>9680</v>
      </c>
      <c r="M1549" s="80" t="s">
        <v>9680</v>
      </c>
      <c r="N1549" s="80" t="s">
        <v>84</v>
      </c>
      <c r="O1549" s="80" t="s">
        <v>9680</v>
      </c>
      <c r="P1549" s="80"/>
      <c r="Q1549" s="80" t="s">
        <v>9680</v>
      </c>
      <c r="R1549" s="80" t="s">
        <v>9680</v>
      </c>
    </row>
    <row r="1550" spans="1:18" ht="20" x14ac:dyDescent="0.2">
      <c r="A1550" s="80" t="s">
        <v>2255</v>
      </c>
      <c r="B1550" s="80" t="s">
        <v>2256</v>
      </c>
      <c r="C1550" s="80" t="s">
        <v>9680</v>
      </c>
      <c r="D1550" s="80" t="s">
        <v>9680</v>
      </c>
      <c r="E1550" s="80" t="s">
        <v>84</v>
      </c>
      <c r="F1550" s="80"/>
      <c r="G1550" s="80" t="s">
        <v>84</v>
      </c>
      <c r="H1550" s="80" t="s">
        <v>84</v>
      </c>
      <c r="I1550" s="80" t="s">
        <v>9680</v>
      </c>
      <c r="J1550" s="80" t="s">
        <v>84</v>
      </c>
      <c r="K1550" s="80" t="s">
        <v>9680</v>
      </c>
      <c r="L1550" s="80" t="s">
        <v>9680</v>
      </c>
      <c r="M1550" s="80" t="s">
        <v>9680</v>
      </c>
      <c r="N1550" s="80" t="s">
        <v>84</v>
      </c>
      <c r="O1550" s="80" t="s">
        <v>9680</v>
      </c>
      <c r="P1550" s="80"/>
      <c r="Q1550" s="80" t="s">
        <v>9680</v>
      </c>
      <c r="R1550" s="80" t="s">
        <v>9680</v>
      </c>
    </row>
    <row r="1551" spans="1:18" ht="20" x14ac:dyDescent="0.2">
      <c r="A1551" s="80" t="s">
        <v>2257</v>
      </c>
      <c r="B1551" s="80" t="s">
        <v>2258</v>
      </c>
      <c r="C1551" s="80" t="s">
        <v>9680</v>
      </c>
      <c r="D1551" s="80" t="s">
        <v>84</v>
      </c>
      <c r="E1551" s="80" t="s">
        <v>84</v>
      </c>
      <c r="F1551" s="80"/>
      <c r="G1551" s="80" t="s">
        <v>84</v>
      </c>
      <c r="H1551" s="80" t="s">
        <v>84</v>
      </c>
      <c r="I1551" s="80" t="s">
        <v>84</v>
      </c>
      <c r="J1551" s="80" t="s">
        <v>84</v>
      </c>
      <c r="K1551" s="80" t="s">
        <v>84</v>
      </c>
      <c r="L1551" s="80" t="s">
        <v>84</v>
      </c>
      <c r="M1551" s="80" t="s">
        <v>84</v>
      </c>
      <c r="N1551" s="80" t="s">
        <v>84</v>
      </c>
      <c r="O1551" s="80" t="s">
        <v>84</v>
      </c>
      <c r="P1551" s="80"/>
      <c r="Q1551" s="80" t="s">
        <v>84</v>
      </c>
      <c r="R1551" s="80" t="s">
        <v>84</v>
      </c>
    </row>
    <row r="1552" spans="1:18" ht="20" x14ac:dyDescent="0.2">
      <c r="A1552" s="80" t="s">
        <v>10229</v>
      </c>
      <c r="B1552" s="80" t="s">
        <v>10230</v>
      </c>
      <c r="C1552" s="80" t="s">
        <v>9680</v>
      </c>
      <c r="D1552" s="80" t="s">
        <v>84</v>
      </c>
      <c r="E1552" s="80" t="s">
        <v>84</v>
      </c>
      <c r="F1552" s="80"/>
      <c r="G1552" s="80" t="s">
        <v>84</v>
      </c>
      <c r="H1552" s="80" t="s">
        <v>84</v>
      </c>
      <c r="I1552" s="80" t="s">
        <v>84</v>
      </c>
      <c r="J1552" s="80" t="s">
        <v>84</v>
      </c>
      <c r="K1552" s="80" t="s">
        <v>84</v>
      </c>
      <c r="L1552" s="80" t="s">
        <v>84</v>
      </c>
      <c r="M1552" s="80" t="s">
        <v>84</v>
      </c>
      <c r="N1552" s="80" t="s">
        <v>84</v>
      </c>
      <c r="O1552" s="80" t="s">
        <v>84</v>
      </c>
      <c r="P1552" s="80"/>
      <c r="Q1552" s="80" t="s">
        <v>84</v>
      </c>
      <c r="R1552" s="80" t="s">
        <v>84</v>
      </c>
    </row>
    <row r="1553" spans="1:18" ht="20" x14ac:dyDescent="0.2">
      <c r="A1553" s="80" t="s">
        <v>10231</v>
      </c>
      <c r="B1553" s="80" t="s">
        <v>10232</v>
      </c>
      <c r="C1553" s="80" t="s">
        <v>9680</v>
      </c>
      <c r="D1553" s="80" t="s">
        <v>84</v>
      </c>
      <c r="E1553" s="80" t="s">
        <v>84</v>
      </c>
      <c r="F1553" s="80"/>
      <c r="G1553" s="80" t="s">
        <v>84</v>
      </c>
      <c r="H1553" s="80" t="s">
        <v>84</v>
      </c>
      <c r="I1553" s="80" t="s">
        <v>84</v>
      </c>
      <c r="J1553" s="80" t="s">
        <v>84</v>
      </c>
      <c r="K1553" s="80" t="s">
        <v>84</v>
      </c>
      <c r="L1553" s="80" t="s">
        <v>84</v>
      </c>
      <c r="M1553" s="80" t="s">
        <v>84</v>
      </c>
      <c r="N1553" s="80" t="s">
        <v>84</v>
      </c>
      <c r="O1553" s="80" t="s">
        <v>84</v>
      </c>
      <c r="P1553" s="80"/>
      <c r="Q1553" s="80" t="s">
        <v>84</v>
      </c>
      <c r="R1553" s="80" t="s">
        <v>84</v>
      </c>
    </row>
    <row r="1554" spans="1:18" ht="20" x14ac:dyDescent="0.2">
      <c r="A1554" s="80" t="s">
        <v>2104</v>
      </c>
      <c r="B1554" s="80" t="s">
        <v>2105</v>
      </c>
      <c r="C1554" s="80" t="s">
        <v>9680</v>
      </c>
      <c r="D1554" s="80" t="s">
        <v>84</v>
      </c>
      <c r="E1554" s="80" t="s">
        <v>84</v>
      </c>
      <c r="F1554" s="80"/>
      <c r="G1554" s="80" t="s">
        <v>84</v>
      </c>
      <c r="H1554" s="80" t="s">
        <v>84</v>
      </c>
      <c r="I1554" s="80" t="s">
        <v>84</v>
      </c>
      <c r="J1554" s="80" t="s">
        <v>84</v>
      </c>
      <c r="K1554" s="80" t="s">
        <v>84</v>
      </c>
      <c r="L1554" s="80" t="s">
        <v>84</v>
      </c>
      <c r="M1554" s="80" t="s">
        <v>84</v>
      </c>
      <c r="N1554" s="80" t="s">
        <v>84</v>
      </c>
      <c r="O1554" s="80" t="s">
        <v>84</v>
      </c>
      <c r="P1554" s="80"/>
      <c r="Q1554" s="80" t="s">
        <v>84</v>
      </c>
      <c r="R1554" s="80" t="s">
        <v>84</v>
      </c>
    </row>
    <row r="1555" spans="1:18" ht="20" x14ac:dyDescent="0.2">
      <c r="A1555" s="80" t="s">
        <v>2104</v>
      </c>
      <c r="B1555" s="80" t="s">
        <v>2259</v>
      </c>
      <c r="C1555" s="80" t="s">
        <v>9680</v>
      </c>
      <c r="D1555" s="80" t="s">
        <v>84</v>
      </c>
      <c r="E1555" s="80" t="s">
        <v>84</v>
      </c>
      <c r="F1555" s="80"/>
      <c r="G1555" s="80" t="s">
        <v>84</v>
      </c>
      <c r="H1555" s="80" t="s">
        <v>84</v>
      </c>
      <c r="I1555" s="80" t="s">
        <v>84</v>
      </c>
      <c r="J1555" s="80" t="s">
        <v>84</v>
      </c>
      <c r="K1555" s="80" t="s">
        <v>84</v>
      </c>
      <c r="L1555" s="80" t="s">
        <v>84</v>
      </c>
      <c r="M1555" s="80" t="s">
        <v>84</v>
      </c>
      <c r="N1555" s="80" t="s">
        <v>84</v>
      </c>
      <c r="O1555" s="80" t="s">
        <v>84</v>
      </c>
      <c r="P1555" s="80"/>
      <c r="Q1555" s="80" t="s">
        <v>84</v>
      </c>
      <c r="R1555" s="80" t="s">
        <v>84</v>
      </c>
    </row>
    <row r="1556" spans="1:18" ht="20" x14ac:dyDescent="0.2">
      <c r="A1556" s="80" t="s">
        <v>10233</v>
      </c>
      <c r="B1556" s="80" t="s">
        <v>10234</v>
      </c>
      <c r="C1556" s="80" t="s">
        <v>9680</v>
      </c>
      <c r="D1556" s="80" t="s">
        <v>84</v>
      </c>
      <c r="E1556" s="80" t="s">
        <v>84</v>
      </c>
      <c r="F1556" s="80"/>
      <c r="G1556" s="80" t="s">
        <v>84</v>
      </c>
      <c r="H1556" s="80" t="s">
        <v>84</v>
      </c>
      <c r="I1556" s="80" t="s">
        <v>84</v>
      </c>
      <c r="J1556" s="80" t="s">
        <v>84</v>
      </c>
      <c r="K1556" s="80" t="s">
        <v>84</v>
      </c>
      <c r="L1556" s="80" t="s">
        <v>84</v>
      </c>
      <c r="M1556" s="80" t="s">
        <v>84</v>
      </c>
      <c r="N1556" s="80" t="s">
        <v>84</v>
      </c>
      <c r="O1556" s="80" t="s">
        <v>84</v>
      </c>
      <c r="P1556" s="80"/>
      <c r="Q1556" s="80" t="s">
        <v>84</v>
      </c>
      <c r="R1556" s="80" t="s">
        <v>84</v>
      </c>
    </row>
    <row r="1557" spans="1:18" ht="20" x14ac:dyDescent="0.2">
      <c r="A1557" s="80" t="s">
        <v>6136</v>
      </c>
      <c r="B1557" s="80" t="s">
        <v>10235</v>
      </c>
      <c r="C1557" s="80" t="s">
        <v>9680</v>
      </c>
      <c r="D1557" s="80" t="s">
        <v>84</v>
      </c>
      <c r="E1557" s="80" t="s">
        <v>84</v>
      </c>
      <c r="F1557" s="80"/>
      <c r="G1557" s="80" t="s">
        <v>84</v>
      </c>
      <c r="H1557" s="80" t="s">
        <v>84</v>
      </c>
      <c r="I1557" s="80" t="s">
        <v>84</v>
      </c>
      <c r="J1557" s="80" t="s">
        <v>84</v>
      </c>
      <c r="K1557" s="80" t="s">
        <v>84</v>
      </c>
      <c r="L1557" s="80" t="s">
        <v>84</v>
      </c>
      <c r="M1557" s="80" t="s">
        <v>84</v>
      </c>
      <c r="N1557" s="80" t="s">
        <v>84</v>
      </c>
      <c r="O1557" s="80" t="s">
        <v>84</v>
      </c>
      <c r="P1557" s="80"/>
      <c r="Q1557" s="80" t="s">
        <v>84</v>
      </c>
      <c r="R1557" s="80" t="s">
        <v>84</v>
      </c>
    </row>
    <row r="1558" spans="1:18" ht="20" x14ac:dyDescent="0.2">
      <c r="A1558" s="80" t="s">
        <v>6136</v>
      </c>
      <c r="B1558" s="80" t="s">
        <v>6137</v>
      </c>
      <c r="C1558" s="80" t="s">
        <v>9680</v>
      </c>
      <c r="D1558" s="80" t="s">
        <v>84</v>
      </c>
      <c r="E1558" s="80" t="s">
        <v>84</v>
      </c>
      <c r="F1558" s="80"/>
      <c r="G1558" s="80" t="s">
        <v>84</v>
      </c>
      <c r="H1558" s="80" t="s">
        <v>84</v>
      </c>
      <c r="I1558" s="80" t="s">
        <v>84</v>
      </c>
      <c r="J1558" s="80" t="s">
        <v>84</v>
      </c>
      <c r="K1558" s="80" t="s">
        <v>84</v>
      </c>
      <c r="L1558" s="80" t="s">
        <v>84</v>
      </c>
      <c r="M1558" s="80" t="s">
        <v>84</v>
      </c>
      <c r="N1558" s="80" t="s">
        <v>84</v>
      </c>
      <c r="O1558" s="80" t="s">
        <v>84</v>
      </c>
      <c r="P1558" s="80"/>
      <c r="Q1558" s="80" t="s">
        <v>84</v>
      </c>
      <c r="R1558" s="80" t="s">
        <v>84</v>
      </c>
    </row>
    <row r="1559" spans="1:18" ht="20" x14ac:dyDescent="0.2">
      <c r="A1559" s="80" t="s">
        <v>6138</v>
      </c>
      <c r="B1559" s="80" t="s">
        <v>6139</v>
      </c>
      <c r="C1559" s="80" t="s">
        <v>84</v>
      </c>
      <c r="D1559" s="80" t="s">
        <v>84</v>
      </c>
      <c r="E1559" s="80" t="s">
        <v>84</v>
      </c>
      <c r="F1559" s="80"/>
      <c r="G1559" s="80" t="s">
        <v>84</v>
      </c>
      <c r="H1559" s="80" t="s">
        <v>84</v>
      </c>
      <c r="I1559" s="80" t="s">
        <v>84</v>
      </c>
      <c r="J1559" s="80" t="s">
        <v>84</v>
      </c>
      <c r="K1559" s="80" t="s">
        <v>84</v>
      </c>
      <c r="L1559" s="80" t="s">
        <v>84</v>
      </c>
      <c r="M1559" s="80" t="s">
        <v>84</v>
      </c>
      <c r="N1559" s="80" t="s">
        <v>84</v>
      </c>
      <c r="O1559" s="80" t="s">
        <v>84</v>
      </c>
      <c r="P1559" s="80"/>
      <c r="Q1559" s="80" t="s">
        <v>84</v>
      </c>
      <c r="R1559" s="80" t="s">
        <v>84</v>
      </c>
    </row>
    <row r="1560" spans="1:18" ht="20" x14ac:dyDescent="0.2">
      <c r="A1560" s="80" t="s">
        <v>6138</v>
      </c>
      <c r="B1560" s="80" t="s">
        <v>10236</v>
      </c>
      <c r="C1560" s="80" t="s">
        <v>84</v>
      </c>
      <c r="D1560" s="80" t="s">
        <v>84</v>
      </c>
      <c r="E1560" s="80" t="s">
        <v>84</v>
      </c>
      <c r="F1560" s="80"/>
      <c r="G1560" s="80" t="s">
        <v>84</v>
      </c>
      <c r="H1560" s="80" t="s">
        <v>84</v>
      </c>
      <c r="I1560" s="80" t="s">
        <v>84</v>
      </c>
      <c r="J1560" s="80" t="s">
        <v>84</v>
      </c>
      <c r="K1560" s="80" t="s">
        <v>84</v>
      </c>
      <c r="L1560" s="80" t="s">
        <v>84</v>
      </c>
      <c r="M1560" s="80" t="s">
        <v>84</v>
      </c>
      <c r="N1560" s="80" t="s">
        <v>84</v>
      </c>
      <c r="O1560" s="80" t="s">
        <v>84</v>
      </c>
      <c r="P1560" s="80"/>
      <c r="Q1560" s="80" t="s">
        <v>84</v>
      </c>
      <c r="R1560" s="80" t="s">
        <v>84</v>
      </c>
    </row>
    <row r="1561" spans="1:18" ht="20" x14ac:dyDescent="0.2">
      <c r="A1561" s="80" t="s">
        <v>6143</v>
      </c>
      <c r="B1561" s="80" t="s">
        <v>6144</v>
      </c>
      <c r="C1561" s="80" t="s">
        <v>84</v>
      </c>
      <c r="D1561" s="80" t="s">
        <v>84</v>
      </c>
      <c r="E1561" s="80" t="s">
        <v>84</v>
      </c>
      <c r="F1561" s="80"/>
      <c r="G1561" s="80" t="s">
        <v>84</v>
      </c>
      <c r="H1561" s="80" t="s">
        <v>84</v>
      </c>
      <c r="I1561" s="80" t="s">
        <v>84</v>
      </c>
      <c r="J1561" s="80" t="s">
        <v>84</v>
      </c>
      <c r="K1561" s="80" t="s">
        <v>84</v>
      </c>
      <c r="L1561" s="80" t="s">
        <v>84</v>
      </c>
      <c r="M1561" s="80" t="s">
        <v>84</v>
      </c>
      <c r="N1561" s="80" t="s">
        <v>84</v>
      </c>
      <c r="O1561" s="80" t="s">
        <v>84</v>
      </c>
      <c r="P1561" s="80"/>
      <c r="Q1561" s="80" t="s">
        <v>84</v>
      </c>
      <c r="R1561" s="80" t="s">
        <v>84</v>
      </c>
    </row>
    <row r="1562" spans="1:18" ht="20" x14ac:dyDescent="0.2">
      <c r="A1562" s="80" t="s">
        <v>6143</v>
      </c>
      <c r="B1562" s="80" t="s">
        <v>10237</v>
      </c>
      <c r="C1562" s="80" t="s">
        <v>84</v>
      </c>
      <c r="D1562" s="80" t="s">
        <v>84</v>
      </c>
      <c r="E1562" s="80" t="s">
        <v>84</v>
      </c>
      <c r="F1562" s="80"/>
      <c r="G1562" s="80" t="s">
        <v>84</v>
      </c>
      <c r="H1562" s="80" t="s">
        <v>84</v>
      </c>
      <c r="I1562" s="80" t="s">
        <v>84</v>
      </c>
      <c r="J1562" s="80" t="s">
        <v>84</v>
      </c>
      <c r="K1562" s="80" t="s">
        <v>84</v>
      </c>
      <c r="L1562" s="80" t="s">
        <v>84</v>
      </c>
      <c r="M1562" s="80" t="s">
        <v>84</v>
      </c>
      <c r="N1562" s="80" t="s">
        <v>84</v>
      </c>
      <c r="O1562" s="80" t="s">
        <v>84</v>
      </c>
      <c r="P1562" s="80"/>
      <c r="Q1562" s="80" t="s">
        <v>84</v>
      </c>
      <c r="R1562" s="80" t="s">
        <v>84</v>
      </c>
    </row>
    <row r="1563" spans="1:18" ht="20" x14ac:dyDescent="0.2">
      <c r="A1563" s="80" t="s">
        <v>6145</v>
      </c>
      <c r="B1563" s="80" t="s">
        <v>6146</v>
      </c>
      <c r="C1563" s="80" t="s">
        <v>9680</v>
      </c>
      <c r="D1563" s="80" t="s">
        <v>84</v>
      </c>
      <c r="E1563" s="80" t="s">
        <v>84</v>
      </c>
      <c r="F1563" s="80"/>
      <c r="G1563" s="80" t="s">
        <v>84</v>
      </c>
      <c r="H1563" s="80" t="s">
        <v>9680</v>
      </c>
      <c r="I1563" s="80" t="s">
        <v>84</v>
      </c>
      <c r="J1563" s="80" t="s">
        <v>84</v>
      </c>
      <c r="K1563" s="80" t="s">
        <v>84</v>
      </c>
      <c r="L1563" s="80" t="s">
        <v>84</v>
      </c>
      <c r="M1563" s="80" t="s">
        <v>84</v>
      </c>
      <c r="N1563" s="80" t="s">
        <v>84</v>
      </c>
      <c r="O1563" s="80" t="s">
        <v>84</v>
      </c>
      <c r="P1563" s="80"/>
      <c r="Q1563" s="80" t="s">
        <v>84</v>
      </c>
      <c r="R1563" s="80" t="s">
        <v>84</v>
      </c>
    </row>
    <row r="1564" spans="1:18" ht="20" x14ac:dyDescent="0.2">
      <c r="A1564" s="80" t="s">
        <v>6147</v>
      </c>
      <c r="B1564" s="80" t="s">
        <v>6148</v>
      </c>
      <c r="C1564" s="80" t="s">
        <v>84</v>
      </c>
      <c r="D1564" s="80" t="s">
        <v>84</v>
      </c>
      <c r="E1564" s="80" t="s">
        <v>84</v>
      </c>
      <c r="F1564" s="80"/>
      <c r="G1564" s="80" t="s">
        <v>84</v>
      </c>
      <c r="H1564" s="80" t="s">
        <v>84</v>
      </c>
      <c r="I1564" s="80" t="s">
        <v>84</v>
      </c>
      <c r="J1564" s="80" t="s">
        <v>84</v>
      </c>
      <c r="K1564" s="80" t="s">
        <v>84</v>
      </c>
      <c r="L1564" s="80" t="s">
        <v>84</v>
      </c>
      <c r="M1564" s="80" t="s">
        <v>84</v>
      </c>
      <c r="N1564" s="80" t="s">
        <v>84</v>
      </c>
      <c r="O1564" s="80" t="s">
        <v>84</v>
      </c>
      <c r="P1564" s="80"/>
      <c r="Q1564" s="80" t="s">
        <v>84</v>
      </c>
      <c r="R1564" s="80" t="s">
        <v>84</v>
      </c>
    </row>
    <row r="1565" spans="1:18" ht="20" x14ac:dyDescent="0.2">
      <c r="A1565" s="80" t="s">
        <v>6149</v>
      </c>
      <c r="B1565" s="80" t="s">
        <v>6150</v>
      </c>
      <c r="C1565" s="80" t="s">
        <v>9680</v>
      </c>
      <c r="D1565" s="80" t="s">
        <v>84</v>
      </c>
      <c r="E1565" s="80" t="s">
        <v>84</v>
      </c>
      <c r="F1565" s="80"/>
      <c r="G1565" s="80" t="s">
        <v>84</v>
      </c>
      <c r="H1565" s="80" t="s">
        <v>9680</v>
      </c>
      <c r="I1565" s="80" t="s">
        <v>84</v>
      </c>
      <c r="J1565" s="80" t="s">
        <v>84</v>
      </c>
      <c r="K1565" s="80" t="s">
        <v>84</v>
      </c>
      <c r="L1565" s="80" t="s">
        <v>84</v>
      </c>
      <c r="M1565" s="80" t="s">
        <v>84</v>
      </c>
      <c r="N1565" s="80" t="s">
        <v>84</v>
      </c>
      <c r="O1565" s="80" t="s">
        <v>84</v>
      </c>
      <c r="P1565" s="80"/>
      <c r="Q1565" s="80" t="s">
        <v>84</v>
      </c>
      <c r="R1565" s="80" t="s">
        <v>84</v>
      </c>
    </row>
    <row r="1566" spans="1:18" ht="20" x14ac:dyDescent="0.2">
      <c r="A1566" s="80" t="s">
        <v>6151</v>
      </c>
      <c r="B1566" s="80" t="s">
        <v>6152</v>
      </c>
      <c r="C1566" s="80" t="s">
        <v>9680</v>
      </c>
      <c r="D1566" s="80" t="s">
        <v>84</v>
      </c>
      <c r="E1566" s="80" t="s">
        <v>84</v>
      </c>
      <c r="F1566" s="80"/>
      <c r="G1566" s="80" t="s">
        <v>84</v>
      </c>
      <c r="H1566" s="80" t="s">
        <v>84</v>
      </c>
      <c r="I1566" s="80" t="s">
        <v>84</v>
      </c>
      <c r="J1566" s="80" t="s">
        <v>84</v>
      </c>
      <c r="K1566" s="80" t="s">
        <v>84</v>
      </c>
      <c r="L1566" s="80" t="s">
        <v>84</v>
      </c>
      <c r="M1566" s="80" t="s">
        <v>84</v>
      </c>
      <c r="N1566" s="80" t="s">
        <v>84</v>
      </c>
      <c r="O1566" s="80" t="s">
        <v>84</v>
      </c>
      <c r="P1566" s="80"/>
      <c r="Q1566" s="80" t="s">
        <v>84</v>
      </c>
      <c r="R1566" s="80" t="s">
        <v>84</v>
      </c>
    </row>
    <row r="1567" spans="1:18" ht="20" x14ac:dyDescent="0.2">
      <c r="A1567" s="80" t="s">
        <v>6153</v>
      </c>
      <c r="B1567" s="80" t="s">
        <v>6154</v>
      </c>
      <c r="C1567" s="80" t="s">
        <v>84</v>
      </c>
      <c r="D1567" s="80" t="s">
        <v>84</v>
      </c>
      <c r="E1567" s="80" t="s">
        <v>84</v>
      </c>
      <c r="F1567" s="80"/>
      <c r="G1567" s="80" t="s">
        <v>84</v>
      </c>
      <c r="H1567" s="80" t="s">
        <v>84</v>
      </c>
      <c r="I1567" s="80" t="s">
        <v>84</v>
      </c>
      <c r="J1567" s="80" t="s">
        <v>84</v>
      </c>
      <c r="K1567" s="80" t="s">
        <v>84</v>
      </c>
      <c r="L1567" s="80" t="s">
        <v>84</v>
      </c>
      <c r="M1567" s="80" t="s">
        <v>84</v>
      </c>
      <c r="N1567" s="80" t="s">
        <v>84</v>
      </c>
      <c r="O1567" s="80" t="s">
        <v>84</v>
      </c>
      <c r="P1567" s="80"/>
      <c r="Q1567" s="80" t="s">
        <v>84</v>
      </c>
      <c r="R1567" s="80" t="s">
        <v>84</v>
      </c>
    </row>
    <row r="1568" spans="1:18" ht="20" x14ac:dyDescent="0.2">
      <c r="A1568" s="80" t="s">
        <v>3360</v>
      </c>
      <c r="B1568" s="80" t="s">
        <v>10238</v>
      </c>
      <c r="C1568" s="80" t="s">
        <v>9680</v>
      </c>
      <c r="D1568" s="80" t="s">
        <v>9680</v>
      </c>
      <c r="E1568" s="80" t="s">
        <v>9680</v>
      </c>
      <c r="F1568" s="80"/>
      <c r="G1568" s="80" t="s">
        <v>9680</v>
      </c>
      <c r="H1568" s="80" t="s">
        <v>9680</v>
      </c>
      <c r="I1568" s="80" t="s">
        <v>9680</v>
      </c>
      <c r="J1568" s="80" t="s">
        <v>9680</v>
      </c>
      <c r="K1568" s="80" t="s">
        <v>9680</v>
      </c>
      <c r="L1568" s="80" t="s">
        <v>9680</v>
      </c>
      <c r="M1568" s="80" t="s">
        <v>9680</v>
      </c>
      <c r="N1568" s="80" t="s">
        <v>9680</v>
      </c>
      <c r="O1568" s="80" t="s">
        <v>9680</v>
      </c>
      <c r="P1568" s="80"/>
      <c r="Q1568" s="80" t="s">
        <v>9680</v>
      </c>
      <c r="R1568" s="80" t="s">
        <v>9680</v>
      </c>
    </row>
    <row r="1569" spans="1:18" ht="20" x14ac:dyDescent="0.2">
      <c r="A1569" s="80" t="s">
        <v>3360</v>
      </c>
      <c r="B1569" s="80" t="s">
        <v>3361</v>
      </c>
      <c r="C1569" s="80" t="s">
        <v>9680</v>
      </c>
      <c r="D1569" s="80" t="s">
        <v>9680</v>
      </c>
      <c r="E1569" s="80" t="s">
        <v>9680</v>
      </c>
      <c r="F1569" s="80"/>
      <c r="G1569" s="80" t="s">
        <v>9680</v>
      </c>
      <c r="H1569" s="80" t="s">
        <v>9680</v>
      </c>
      <c r="I1569" s="80" t="s">
        <v>9680</v>
      </c>
      <c r="J1569" s="80" t="s">
        <v>9680</v>
      </c>
      <c r="K1569" s="80" t="s">
        <v>9680</v>
      </c>
      <c r="L1569" s="80" t="s">
        <v>9680</v>
      </c>
      <c r="M1569" s="80" t="s">
        <v>9680</v>
      </c>
      <c r="N1569" s="80" t="s">
        <v>9680</v>
      </c>
      <c r="O1569" s="80" t="s">
        <v>9680</v>
      </c>
      <c r="P1569" s="80"/>
      <c r="Q1569" s="80" t="s">
        <v>9680</v>
      </c>
      <c r="R1569" s="80" t="s">
        <v>9680</v>
      </c>
    </row>
    <row r="1570" spans="1:18" ht="20" x14ac:dyDescent="0.2">
      <c r="A1570" s="80" t="s">
        <v>3362</v>
      </c>
      <c r="B1570" s="80" t="s">
        <v>3363</v>
      </c>
      <c r="C1570" s="80" t="s">
        <v>9680</v>
      </c>
      <c r="D1570" s="80" t="s">
        <v>9680</v>
      </c>
      <c r="E1570" s="80" t="s">
        <v>9680</v>
      </c>
      <c r="F1570" s="80"/>
      <c r="G1570" s="80" t="s">
        <v>9680</v>
      </c>
      <c r="H1570" s="80" t="s">
        <v>9680</v>
      </c>
      <c r="I1570" s="80" t="s">
        <v>9680</v>
      </c>
      <c r="J1570" s="80" t="s">
        <v>9680</v>
      </c>
      <c r="K1570" s="80" t="s">
        <v>9680</v>
      </c>
      <c r="L1570" s="80" t="s">
        <v>9680</v>
      </c>
      <c r="M1570" s="80" t="s">
        <v>9680</v>
      </c>
      <c r="N1570" s="80" t="s">
        <v>9680</v>
      </c>
      <c r="O1570" s="80" t="s">
        <v>9680</v>
      </c>
      <c r="P1570" s="80"/>
      <c r="Q1570" s="80" t="s">
        <v>9680</v>
      </c>
      <c r="R1570" s="80" t="s">
        <v>9680</v>
      </c>
    </row>
    <row r="1571" spans="1:18" ht="20" x14ac:dyDescent="0.2">
      <c r="A1571" s="80" t="s">
        <v>3364</v>
      </c>
      <c r="B1571" s="80" t="s">
        <v>10239</v>
      </c>
      <c r="C1571" s="80" t="s">
        <v>9680</v>
      </c>
      <c r="D1571" s="80" t="s">
        <v>9680</v>
      </c>
      <c r="E1571" s="80" t="s">
        <v>84</v>
      </c>
      <c r="F1571" s="80"/>
      <c r="G1571" s="80" t="s">
        <v>9680</v>
      </c>
      <c r="H1571" s="80" t="s">
        <v>84</v>
      </c>
      <c r="I1571" s="80" t="s">
        <v>9680</v>
      </c>
      <c r="J1571" s="80" t="s">
        <v>9680</v>
      </c>
      <c r="K1571" s="80" t="s">
        <v>9680</v>
      </c>
      <c r="L1571" s="80" t="s">
        <v>9680</v>
      </c>
      <c r="M1571" s="80" t="s">
        <v>9680</v>
      </c>
      <c r="N1571" s="80" t="s">
        <v>84</v>
      </c>
      <c r="O1571" s="80" t="s">
        <v>9680</v>
      </c>
      <c r="P1571" s="80"/>
      <c r="Q1571" s="80" t="s">
        <v>9680</v>
      </c>
      <c r="R1571" s="80" t="s">
        <v>9680</v>
      </c>
    </row>
    <row r="1572" spans="1:18" ht="20" x14ac:dyDescent="0.2">
      <c r="A1572" s="80" t="s">
        <v>3364</v>
      </c>
      <c r="B1572" s="80" t="s">
        <v>3365</v>
      </c>
      <c r="C1572" s="80" t="s">
        <v>9680</v>
      </c>
      <c r="D1572" s="80" t="s">
        <v>9680</v>
      </c>
      <c r="E1572" s="80" t="s">
        <v>84</v>
      </c>
      <c r="F1572" s="80"/>
      <c r="G1572" s="80" t="s">
        <v>9680</v>
      </c>
      <c r="H1572" s="80" t="s">
        <v>84</v>
      </c>
      <c r="I1572" s="80" t="s">
        <v>9680</v>
      </c>
      <c r="J1572" s="80" t="s">
        <v>9680</v>
      </c>
      <c r="K1572" s="80" t="s">
        <v>9680</v>
      </c>
      <c r="L1572" s="80" t="s">
        <v>9680</v>
      </c>
      <c r="M1572" s="80" t="s">
        <v>9680</v>
      </c>
      <c r="N1572" s="80" t="s">
        <v>84</v>
      </c>
      <c r="O1572" s="80" t="s">
        <v>9680</v>
      </c>
      <c r="P1572" s="80"/>
      <c r="Q1572" s="80" t="s">
        <v>9680</v>
      </c>
      <c r="R1572" s="80" t="s">
        <v>9680</v>
      </c>
    </row>
    <row r="1573" spans="1:18" ht="20" x14ac:dyDescent="0.2">
      <c r="A1573" s="80" t="s">
        <v>3367</v>
      </c>
      <c r="B1573" s="80" t="s">
        <v>3368</v>
      </c>
      <c r="C1573" s="80" t="s">
        <v>9680</v>
      </c>
      <c r="D1573" s="80" t="s">
        <v>9680</v>
      </c>
      <c r="E1573" s="80" t="s">
        <v>84</v>
      </c>
      <c r="F1573" s="80"/>
      <c r="G1573" s="80" t="s">
        <v>9680</v>
      </c>
      <c r="H1573" s="80" t="s">
        <v>84</v>
      </c>
      <c r="I1573" s="80" t="s">
        <v>9680</v>
      </c>
      <c r="J1573" s="80" t="s">
        <v>84</v>
      </c>
      <c r="K1573" s="80" t="s">
        <v>9680</v>
      </c>
      <c r="L1573" s="80" t="s">
        <v>9680</v>
      </c>
      <c r="M1573" s="80" t="s">
        <v>9680</v>
      </c>
      <c r="N1573" s="80" t="s">
        <v>84</v>
      </c>
      <c r="O1573" s="80" t="s">
        <v>9680</v>
      </c>
      <c r="P1573" s="80"/>
      <c r="Q1573" s="80" t="s">
        <v>9680</v>
      </c>
      <c r="R1573" s="80" t="s">
        <v>9680</v>
      </c>
    </row>
    <row r="1574" spans="1:18" ht="20" x14ac:dyDescent="0.2">
      <c r="A1574" s="80" t="s">
        <v>3369</v>
      </c>
      <c r="B1574" s="80" t="s">
        <v>3370</v>
      </c>
      <c r="C1574" s="80" t="s">
        <v>9680</v>
      </c>
      <c r="D1574" s="80" t="s">
        <v>9680</v>
      </c>
      <c r="E1574" s="80" t="s">
        <v>84</v>
      </c>
      <c r="F1574" s="80"/>
      <c r="G1574" s="80" t="s">
        <v>9680</v>
      </c>
      <c r="H1574" s="80" t="s">
        <v>84</v>
      </c>
      <c r="I1574" s="80" t="s">
        <v>9680</v>
      </c>
      <c r="J1574" s="80" t="s">
        <v>84</v>
      </c>
      <c r="K1574" s="80" t="s">
        <v>9680</v>
      </c>
      <c r="L1574" s="80" t="s">
        <v>9680</v>
      </c>
      <c r="M1574" s="80" t="s">
        <v>9680</v>
      </c>
      <c r="N1574" s="80" t="s">
        <v>84</v>
      </c>
      <c r="O1574" s="80" t="s">
        <v>9680</v>
      </c>
      <c r="P1574" s="80"/>
      <c r="Q1574" s="80" t="s">
        <v>9680</v>
      </c>
      <c r="R1574" s="80" t="s">
        <v>9680</v>
      </c>
    </row>
    <row r="1575" spans="1:18" ht="20" x14ac:dyDescent="0.2">
      <c r="A1575" s="80" t="s">
        <v>3371</v>
      </c>
      <c r="B1575" s="80" t="s">
        <v>3372</v>
      </c>
      <c r="C1575" s="80" t="s">
        <v>9680</v>
      </c>
      <c r="D1575" s="80" t="s">
        <v>9680</v>
      </c>
      <c r="E1575" s="80" t="s">
        <v>84</v>
      </c>
      <c r="F1575" s="80"/>
      <c r="G1575" s="80" t="s">
        <v>9680</v>
      </c>
      <c r="H1575" s="80" t="s">
        <v>84</v>
      </c>
      <c r="I1575" s="80" t="s">
        <v>9680</v>
      </c>
      <c r="J1575" s="80" t="s">
        <v>84</v>
      </c>
      <c r="K1575" s="80" t="s">
        <v>9680</v>
      </c>
      <c r="L1575" s="80" t="s">
        <v>9680</v>
      </c>
      <c r="M1575" s="80" t="s">
        <v>9680</v>
      </c>
      <c r="N1575" s="80" t="s">
        <v>84</v>
      </c>
      <c r="O1575" s="80" t="s">
        <v>9680</v>
      </c>
      <c r="P1575" s="80"/>
      <c r="Q1575" s="80" t="s">
        <v>9680</v>
      </c>
      <c r="R1575" s="80" t="s">
        <v>9680</v>
      </c>
    </row>
    <row r="1576" spans="1:18" ht="20" x14ac:dyDescent="0.2">
      <c r="A1576" s="80" t="s">
        <v>3373</v>
      </c>
      <c r="B1576" s="80" t="s">
        <v>3374</v>
      </c>
      <c r="C1576" s="80" t="s">
        <v>9680</v>
      </c>
      <c r="D1576" s="80" t="s">
        <v>9680</v>
      </c>
      <c r="E1576" s="80" t="s">
        <v>84</v>
      </c>
      <c r="F1576" s="80"/>
      <c r="G1576" s="80" t="s">
        <v>84</v>
      </c>
      <c r="H1576" s="80" t="s">
        <v>9680</v>
      </c>
      <c r="I1576" s="80" t="s">
        <v>9680</v>
      </c>
      <c r="J1576" s="80" t="s">
        <v>84</v>
      </c>
      <c r="K1576" s="80" t="s">
        <v>9680</v>
      </c>
      <c r="L1576" s="80" t="s">
        <v>9680</v>
      </c>
      <c r="M1576" s="80" t="s">
        <v>84</v>
      </c>
      <c r="N1576" s="80" t="s">
        <v>84</v>
      </c>
      <c r="O1576" s="80" t="s">
        <v>9680</v>
      </c>
      <c r="P1576" s="80"/>
      <c r="Q1576" s="80" t="s">
        <v>9680</v>
      </c>
      <c r="R1576" s="80" t="s">
        <v>9680</v>
      </c>
    </row>
    <row r="1577" spans="1:18" ht="20" x14ac:dyDescent="0.2">
      <c r="A1577" s="80" t="s">
        <v>3375</v>
      </c>
      <c r="B1577" s="80" t="s">
        <v>3376</v>
      </c>
      <c r="C1577" s="80" t="s">
        <v>9680</v>
      </c>
      <c r="D1577" s="80" t="s">
        <v>9680</v>
      </c>
      <c r="E1577" s="80" t="s">
        <v>84</v>
      </c>
      <c r="F1577" s="80"/>
      <c r="G1577" s="80" t="s">
        <v>84</v>
      </c>
      <c r="H1577" s="80" t="s">
        <v>9680</v>
      </c>
      <c r="I1577" s="80" t="s">
        <v>9680</v>
      </c>
      <c r="J1577" s="80" t="s">
        <v>84</v>
      </c>
      <c r="K1577" s="80" t="s">
        <v>9680</v>
      </c>
      <c r="L1577" s="80" t="s">
        <v>9680</v>
      </c>
      <c r="M1577" s="80" t="s">
        <v>84</v>
      </c>
      <c r="N1577" s="80" t="s">
        <v>84</v>
      </c>
      <c r="O1577" s="80" t="s">
        <v>9680</v>
      </c>
      <c r="P1577" s="80"/>
      <c r="Q1577" s="80" t="s">
        <v>9680</v>
      </c>
      <c r="R1577" s="80" t="s">
        <v>9680</v>
      </c>
    </row>
    <row r="1578" spans="1:18" ht="20" x14ac:dyDescent="0.2">
      <c r="A1578" s="80" t="s">
        <v>3352</v>
      </c>
      <c r="B1578" s="80" t="s">
        <v>3353</v>
      </c>
      <c r="C1578" s="80" t="s">
        <v>84</v>
      </c>
      <c r="D1578" s="80" t="s">
        <v>84</v>
      </c>
      <c r="E1578" s="80" t="s">
        <v>84</v>
      </c>
      <c r="F1578" s="80"/>
      <c r="G1578" s="80" t="s">
        <v>84</v>
      </c>
      <c r="H1578" s="80" t="s">
        <v>84</v>
      </c>
      <c r="I1578" s="80" t="s">
        <v>84</v>
      </c>
      <c r="J1578" s="80" t="s">
        <v>84</v>
      </c>
      <c r="K1578" s="80" t="s">
        <v>84</v>
      </c>
      <c r="L1578" s="80" t="s">
        <v>84</v>
      </c>
      <c r="M1578" s="80" t="s">
        <v>84</v>
      </c>
      <c r="N1578" s="80" t="s">
        <v>84</v>
      </c>
      <c r="O1578" s="80" t="s">
        <v>84</v>
      </c>
      <c r="P1578" s="80"/>
      <c r="Q1578" s="80" t="s">
        <v>84</v>
      </c>
      <c r="R1578" s="80" t="s">
        <v>84</v>
      </c>
    </row>
    <row r="1579" spans="1:18" x14ac:dyDescent="0.2">
      <c r="A1579" s="80" t="s">
        <v>3352</v>
      </c>
      <c r="B1579" s="80" t="s">
        <v>3377</v>
      </c>
      <c r="C1579" s="80" t="s">
        <v>84</v>
      </c>
      <c r="D1579" s="80" t="s">
        <v>84</v>
      </c>
      <c r="E1579" s="80" t="s">
        <v>84</v>
      </c>
      <c r="F1579" s="80"/>
      <c r="G1579" s="80" t="s">
        <v>84</v>
      </c>
      <c r="H1579" s="80" t="s">
        <v>84</v>
      </c>
      <c r="I1579" s="80" t="s">
        <v>84</v>
      </c>
      <c r="J1579" s="80" t="s">
        <v>84</v>
      </c>
      <c r="K1579" s="80" t="s">
        <v>84</v>
      </c>
      <c r="L1579" s="80" t="s">
        <v>84</v>
      </c>
      <c r="M1579" s="80" t="s">
        <v>84</v>
      </c>
      <c r="N1579" s="80" t="s">
        <v>84</v>
      </c>
      <c r="O1579" s="80" t="s">
        <v>84</v>
      </c>
      <c r="P1579" s="80"/>
      <c r="Q1579" s="80" t="s">
        <v>84</v>
      </c>
      <c r="R1579" s="80" t="s">
        <v>84</v>
      </c>
    </row>
    <row r="1580" spans="1:18" ht="20" x14ac:dyDescent="0.2">
      <c r="A1580" s="80" t="s">
        <v>3355</v>
      </c>
      <c r="B1580" s="80" t="s">
        <v>3356</v>
      </c>
      <c r="C1580" s="80" t="s">
        <v>9680</v>
      </c>
      <c r="D1580" s="80" t="s">
        <v>9680</v>
      </c>
      <c r="E1580" s="80" t="s">
        <v>84</v>
      </c>
      <c r="F1580" s="80"/>
      <c r="G1580" s="80" t="s">
        <v>84</v>
      </c>
      <c r="H1580" s="80" t="s">
        <v>9680</v>
      </c>
      <c r="I1580" s="80" t="s">
        <v>9680</v>
      </c>
      <c r="J1580" s="80" t="s">
        <v>84</v>
      </c>
      <c r="K1580" s="80" t="s">
        <v>9680</v>
      </c>
      <c r="L1580" s="80" t="s">
        <v>9680</v>
      </c>
      <c r="M1580" s="80" t="s">
        <v>84</v>
      </c>
      <c r="N1580" s="80" t="s">
        <v>84</v>
      </c>
      <c r="O1580" s="80" t="s">
        <v>9680</v>
      </c>
      <c r="P1580" s="80"/>
      <c r="Q1580" s="80" t="s">
        <v>9680</v>
      </c>
      <c r="R1580" s="80" t="s">
        <v>9680</v>
      </c>
    </row>
    <row r="1581" spans="1:18" ht="20" x14ac:dyDescent="0.2">
      <c r="A1581" s="80" t="s">
        <v>3355</v>
      </c>
      <c r="B1581" s="80" t="s">
        <v>3404</v>
      </c>
      <c r="C1581" s="80" t="s">
        <v>9680</v>
      </c>
      <c r="D1581" s="80" t="s">
        <v>9680</v>
      </c>
      <c r="E1581" s="80" t="s">
        <v>84</v>
      </c>
      <c r="F1581" s="80"/>
      <c r="G1581" s="80" t="s">
        <v>84</v>
      </c>
      <c r="H1581" s="80" t="s">
        <v>9680</v>
      </c>
      <c r="I1581" s="80" t="s">
        <v>9680</v>
      </c>
      <c r="J1581" s="80" t="s">
        <v>84</v>
      </c>
      <c r="K1581" s="80" t="s">
        <v>9680</v>
      </c>
      <c r="L1581" s="80" t="s">
        <v>9680</v>
      </c>
      <c r="M1581" s="80" t="s">
        <v>84</v>
      </c>
      <c r="N1581" s="80" t="s">
        <v>84</v>
      </c>
      <c r="O1581" s="80" t="s">
        <v>9680</v>
      </c>
      <c r="P1581" s="80"/>
      <c r="Q1581" s="80" t="s">
        <v>9680</v>
      </c>
      <c r="R1581" s="80" t="s">
        <v>9680</v>
      </c>
    </row>
    <row r="1582" spans="1:18" ht="20" x14ac:dyDescent="0.2">
      <c r="A1582" s="80" t="s">
        <v>10240</v>
      </c>
      <c r="B1582" s="80" t="s">
        <v>10241</v>
      </c>
      <c r="C1582" s="80" t="s">
        <v>9680</v>
      </c>
      <c r="D1582" s="80" t="s">
        <v>84</v>
      </c>
      <c r="E1582" s="80" t="s">
        <v>84</v>
      </c>
      <c r="F1582" s="80"/>
      <c r="G1582" s="80" t="s">
        <v>84</v>
      </c>
      <c r="H1582" s="80" t="s">
        <v>84</v>
      </c>
      <c r="I1582" s="80" t="s">
        <v>84</v>
      </c>
      <c r="J1582" s="80" t="s">
        <v>84</v>
      </c>
      <c r="K1582" s="80" t="s">
        <v>84</v>
      </c>
      <c r="L1582" s="80" t="s">
        <v>84</v>
      </c>
      <c r="M1582" s="80" t="s">
        <v>84</v>
      </c>
      <c r="N1582" s="80" t="s">
        <v>84</v>
      </c>
      <c r="O1582" s="80" t="s">
        <v>84</v>
      </c>
      <c r="P1582" s="80"/>
      <c r="Q1582" s="80" t="s">
        <v>84</v>
      </c>
      <c r="R1582" s="80" t="s">
        <v>84</v>
      </c>
    </row>
    <row r="1583" spans="1:18" ht="20" x14ac:dyDescent="0.2">
      <c r="A1583" s="80" t="s">
        <v>3581</v>
      </c>
      <c r="B1583" s="80" t="s">
        <v>10242</v>
      </c>
      <c r="C1583" s="80" t="s">
        <v>9680</v>
      </c>
      <c r="D1583" s="80" t="s">
        <v>84</v>
      </c>
      <c r="E1583" s="80" t="s">
        <v>84</v>
      </c>
      <c r="F1583" s="80"/>
      <c r="G1583" s="80" t="s">
        <v>84</v>
      </c>
      <c r="H1583" s="80" t="s">
        <v>84</v>
      </c>
      <c r="I1583" s="80" t="s">
        <v>84</v>
      </c>
      <c r="J1583" s="80" t="s">
        <v>84</v>
      </c>
      <c r="K1583" s="80" t="s">
        <v>84</v>
      </c>
      <c r="L1583" s="80" t="s">
        <v>84</v>
      </c>
      <c r="M1583" s="80" t="s">
        <v>84</v>
      </c>
      <c r="N1583" s="80" t="s">
        <v>84</v>
      </c>
      <c r="O1583" s="80" t="s">
        <v>84</v>
      </c>
      <c r="P1583" s="80"/>
      <c r="Q1583" s="80" t="s">
        <v>84</v>
      </c>
      <c r="R1583" s="80" t="s">
        <v>84</v>
      </c>
    </row>
    <row r="1584" spans="1:18" ht="20" x14ac:dyDescent="0.2">
      <c r="A1584" s="80" t="s">
        <v>3581</v>
      </c>
      <c r="B1584" s="80" t="s">
        <v>3582</v>
      </c>
      <c r="C1584" s="80" t="s">
        <v>9680</v>
      </c>
      <c r="D1584" s="80" t="s">
        <v>84</v>
      </c>
      <c r="E1584" s="80" t="s">
        <v>84</v>
      </c>
      <c r="F1584" s="80"/>
      <c r="G1584" s="80" t="s">
        <v>84</v>
      </c>
      <c r="H1584" s="80" t="s">
        <v>84</v>
      </c>
      <c r="I1584" s="80" t="s">
        <v>84</v>
      </c>
      <c r="J1584" s="80" t="s">
        <v>84</v>
      </c>
      <c r="K1584" s="80" t="s">
        <v>84</v>
      </c>
      <c r="L1584" s="80" t="s">
        <v>84</v>
      </c>
      <c r="M1584" s="80" t="s">
        <v>84</v>
      </c>
      <c r="N1584" s="80" t="s">
        <v>84</v>
      </c>
      <c r="O1584" s="80" t="s">
        <v>84</v>
      </c>
      <c r="P1584" s="80"/>
      <c r="Q1584" s="80" t="s">
        <v>84</v>
      </c>
      <c r="R1584" s="80" t="s">
        <v>84</v>
      </c>
    </row>
    <row r="1585" spans="1:18" ht="20" x14ac:dyDescent="0.2">
      <c r="A1585" s="80" t="s">
        <v>3514</v>
      </c>
      <c r="B1585" s="80" t="s">
        <v>3515</v>
      </c>
      <c r="C1585" s="80" t="s">
        <v>84</v>
      </c>
      <c r="D1585" s="80" t="s">
        <v>84</v>
      </c>
      <c r="E1585" s="80" t="s">
        <v>84</v>
      </c>
      <c r="F1585" s="80"/>
      <c r="G1585" s="80" t="s">
        <v>84</v>
      </c>
      <c r="H1585" s="80" t="s">
        <v>84</v>
      </c>
      <c r="I1585" s="80" t="s">
        <v>84</v>
      </c>
      <c r="J1585" s="80" t="s">
        <v>84</v>
      </c>
      <c r="K1585" s="80" t="s">
        <v>84</v>
      </c>
      <c r="L1585" s="80" t="s">
        <v>84</v>
      </c>
      <c r="M1585" s="80" t="s">
        <v>84</v>
      </c>
      <c r="N1585" s="80" t="s">
        <v>84</v>
      </c>
      <c r="O1585" s="80" t="s">
        <v>84</v>
      </c>
      <c r="P1585" s="80"/>
      <c r="Q1585" s="80" t="s">
        <v>84</v>
      </c>
      <c r="R1585" s="80" t="s">
        <v>84</v>
      </c>
    </row>
    <row r="1586" spans="1:18" ht="20" x14ac:dyDescent="0.2">
      <c r="A1586" s="80" t="s">
        <v>3516</v>
      </c>
      <c r="B1586" s="80" t="s">
        <v>3517</v>
      </c>
      <c r="C1586" s="80" t="s">
        <v>9680</v>
      </c>
      <c r="D1586" s="80" t="s">
        <v>84</v>
      </c>
      <c r="E1586" s="80" t="s">
        <v>84</v>
      </c>
      <c r="F1586" s="80"/>
      <c r="G1586" s="80" t="s">
        <v>84</v>
      </c>
      <c r="H1586" s="80" t="s">
        <v>84</v>
      </c>
      <c r="I1586" s="80" t="s">
        <v>84</v>
      </c>
      <c r="J1586" s="80" t="s">
        <v>84</v>
      </c>
      <c r="K1586" s="80" t="s">
        <v>84</v>
      </c>
      <c r="L1586" s="80" t="s">
        <v>84</v>
      </c>
      <c r="M1586" s="80" t="s">
        <v>84</v>
      </c>
      <c r="N1586" s="80" t="s">
        <v>84</v>
      </c>
      <c r="O1586" s="80" t="s">
        <v>84</v>
      </c>
      <c r="P1586" s="80"/>
      <c r="Q1586" s="80" t="s">
        <v>84</v>
      </c>
      <c r="R1586" s="80" t="s">
        <v>84</v>
      </c>
    </row>
    <row r="1587" spans="1:18" ht="20" x14ac:dyDescent="0.2">
      <c r="A1587" s="80" t="s">
        <v>3518</v>
      </c>
      <c r="B1587" s="80" t="s">
        <v>3519</v>
      </c>
      <c r="C1587" s="80" t="s">
        <v>9680</v>
      </c>
      <c r="D1587" s="80" t="s">
        <v>84</v>
      </c>
      <c r="E1587" s="80" t="s">
        <v>84</v>
      </c>
      <c r="F1587" s="80"/>
      <c r="G1587" s="80" t="s">
        <v>9680</v>
      </c>
      <c r="H1587" s="80" t="s">
        <v>84</v>
      </c>
      <c r="I1587" s="80" t="s">
        <v>84</v>
      </c>
      <c r="J1587" s="80" t="s">
        <v>84</v>
      </c>
      <c r="K1587" s="80" t="s">
        <v>84</v>
      </c>
      <c r="L1587" s="80" t="s">
        <v>84</v>
      </c>
      <c r="M1587" s="80" t="s">
        <v>84</v>
      </c>
      <c r="N1587" s="80" t="s">
        <v>84</v>
      </c>
      <c r="O1587" s="80" t="s">
        <v>84</v>
      </c>
      <c r="P1587" s="80"/>
      <c r="Q1587" s="80" t="s">
        <v>84</v>
      </c>
      <c r="R1587" s="80" t="s">
        <v>84</v>
      </c>
    </row>
    <row r="1588" spans="1:18" ht="20" x14ac:dyDescent="0.2">
      <c r="A1588" s="80" t="s">
        <v>3520</v>
      </c>
      <c r="B1588" s="80" t="s">
        <v>3521</v>
      </c>
      <c r="C1588" s="80" t="s">
        <v>9680</v>
      </c>
      <c r="D1588" s="80" t="s">
        <v>84</v>
      </c>
      <c r="E1588" s="80" t="s">
        <v>84</v>
      </c>
      <c r="F1588" s="80"/>
      <c r="G1588" s="80" t="s">
        <v>84</v>
      </c>
      <c r="H1588" s="80" t="s">
        <v>84</v>
      </c>
      <c r="I1588" s="80" t="s">
        <v>84</v>
      </c>
      <c r="J1588" s="80" t="s">
        <v>84</v>
      </c>
      <c r="K1588" s="80" t="s">
        <v>84</v>
      </c>
      <c r="L1588" s="80" t="s">
        <v>84</v>
      </c>
      <c r="M1588" s="80" t="s">
        <v>84</v>
      </c>
      <c r="N1588" s="80" t="s">
        <v>84</v>
      </c>
      <c r="O1588" s="80" t="s">
        <v>84</v>
      </c>
      <c r="P1588" s="80"/>
      <c r="Q1588" s="80" t="s">
        <v>84</v>
      </c>
      <c r="R1588" s="80" t="s">
        <v>84</v>
      </c>
    </row>
    <row r="1589" spans="1:18" ht="20" x14ac:dyDescent="0.2">
      <c r="A1589" s="80" t="s">
        <v>3522</v>
      </c>
      <c r="B1589" s="80" t="s">
        <v>3523</v>
      </c>
      <c r="C1589" s="80" t="s">
        <v>9680</v>
      </c>
      <c r="D1589" s="80" t="s">
        <v>84</v>
      </c>
      <c r="E1589" s="80" t="s">
        <v>84</v>
      </c>
      <c r="F1589" s="80"/>
      <c r="G1589" s="80" t="s">
        <v>84</v>
      </c>
      <c r="H1589" s="80" t="s">
        <v>84</v>
      </c>
      <c r="I1589" s="80" t="s">
        <v>84</v>
      </c>
      <c r="J1589" s="80" t="s">
        <v>84</v>
      </c>
      <c r="K1589" s="80" t="s">
        <v>84</v>
      </c>
      <c r="L1589" s="80" t="s">
        <v>84</v>
      </c>
      <c r="M1589" s="80" t="s">
        <v>84</v>
      </c>
      <c r="N1589" s="80" t="s">
        <v>84</v>
      </c>
      <c r="O1589" s="80" t="s">
        <v>84</v>
      </c>
      <c r="P1589" s="80"/>
      <c r="Q1589" s="80" t="s">
        <v>84</v>
      </c>
      <c r="R1589" s="80" t="s">
        <v>84</v>
      </c>
    </row>
    <row r="1590" spans="1:18" ht="20" x14ac:dyDescent="0.2">
      <c r="A1590" s="80" t="s">
        <v>3209</v>
      </c>
      <c r="B1590" s="80" t="s">
        <v>3210</v>
      </c>
      <c r="C1590" s="80" t="s">
        <v>9722</v>
      </c>
      <c r="D1590" s="80" t="s">
        <v>84</v>
      </c>
      <c r="E1590" s="80" t="s">
        <v>84</v>
      </c>
      <c r="F1590" s="80"/>
      <c r="G1590" s="80" t="s">
        <v>84</v>
      </c>
      <c r="H1590" s="80" t="s">
        <v>84</v>
      </c>
      <c r="I1590" s="80" t="s">
        <v>84</v>
      </c>
      <c r="J1590" s="80" t="s">
        <v>84</v>
      </c>
      <c r="K1590" s="80" t="s">
        <v>84</v>
      </c>
      <c r="L1590" s="80" t="s">
        <v>84</v>
      </c>
      <c r="M1590" s="80" t="s">
        <v>84</v>
      </c>
      <c r="N1590" s="80" t="s">
        <v>84</v>
      </c>
      <c r="O1590" s="80" t="s">
        <v>84</v>
      </c>
      <c r="P1590" s="80"/>
      <c r="Q1590" s="80" t="s">
        <v>84</v>
      </c>
      <c r="R1590" s="80" t="s">
        <v>84</v>
      </c>
    </row>
    <row r="1591" spans="1:18" ht="20" x14ac:dyDescent="0.2">
      <c r="A1591" s="80" t="s">
        <v>3209</v>
      </c>
      <c r="B1591" s="80" t="s">
        <v>10243</v>
      </c>
      <c r="C1591" s="80" t="s">
        <v>9722</v>
      </c>
      <c r="D1591" s="80" t="s">
        <v>84</v>
      </c>
      <c r="E1591" s="80" t="s">
        <v>84</v>
      </c>
      <c r="F1591" s="80"/>
      <c r="G1591" s="80" t="s">
        <v>84</v>
      </c>
      <c r="H1591" s="80" t="s">
        <v>84</v>
      </c>
      <c r="I1591" s="80" t="s">
        <v>84</v>
      </c>
      <c r="J1591" s="80" t="s">
        <v>84</v>
      </c>
      <c r="K1591" s="80" t="s">
        <v>84</v>
      </c>
      <c r="L1591" s="80" t="s">
        <v>84</v>
      </c>
      <c r="M1591" s="80" t="s">
        <v>84</v>
      </c>
      <c r="N1591" s="80" t="s">
        <v>84</v>
      </c>
      <c r="O1591" s="80" t="s">
        <v>84</v>
      </c>
      <c r="P1591" s="80"/>
      <c r="Q1591" s="80" t="s">
        <v>84</v>
      </c>
      <c r="R1591" s="80" t="s">
        <v>84</v>
      </c>
    </row>
    <row r="1592" spans="1:18" ht="20" x14ac:dyDescent="0.2">
      <c r="A1592" s="80" t="s">
        <v>3209</v>
      </c>
      <c r="B1592" s="80" t="s">
        <v>3387</v>
      </c>
      <c r="C1592" s="80" t="s">
        <v>9722</v>
      </c>
      <c r="D1592" s="80" t="s">
        <v>84</v>
      </c>
      <c r="E1592" s="80" t="s">
        <v>84</v>
      </c>
      <c r="F1592" s="80"/>
      <c r="G1592" s="80" t="s">
        <v>84</v>
      </c>
      <c r="H1592" s="80" t="s">
        <v>84</v>
      </c>
      <c r="I1592" s="80" t="s">
        <v>84</v>
      </c>
      <c r="J1592" s="80" t="s">
        <v>84</v>
      </c>
      <c r="K1592" s="80" t="s">
        <v>84</v>
      </c>
      <c r="L1592" s="80" t="s">
        <v>84</v>
      </c>
      <c r="M1592" s="80" t="s">
        <v>84</v>
      </c>
      <c r="N1592" s="80" t="s">
        <v>84</v>
      </c>
      <c r="O1592" s="80" t="s">
        <v>84</v>
      </c>
      <c r="P1592" s="80"/>
      <c r="Q1592" s="80" t="s">
        <v>84</v>
      </c>
      <c r="R1592" s="80" t="s">
        <v>84</v>
      </c>
    </row>
    <row r="1593" spans="1:18" ht="20" x14ac:dyDescent="0.2">
      <c r="A1593" s="80" t="s">
        <v>3390</v>
      </c>
      <c r="B1593" s="80" t="s">
        <v>10244</v>
      </c>
      <c r="C1593" s="80" t="s">
        <v>9680</v>
      </c>
      <c r="D1593" s="80" t="s">
        <v>84</v>
      </c>
      <c r="E1593" s="80" t="s">
        <v>84</v>
      </c>
      <c r="F1593" s="80"/>
      <c r="G1593" s="80" t="s">
        <v>84</v>
      </c>
      <c r="H1593" s="80" t="s">
        <v>84</v>
      </c>
      <c r="I1593" s="80" t="s">
        <v>84</v>
      </c>
      <c r="J1593" s="80" t="s">
        <v>84</v>
      </c>
      <c r="K1593" s="80" t="s">
        <v>84</v>
      </c>
      <c r="L1593" s="80" t="s">
        <v>84</v>
      </c>
      <c r="M1593" s="80" t="s">
        <v>84</v>
      </c>
      <c r="N1593" s="80" t="s">
        <v>84</v>
      </c>
      <c r="O1593" s="80" t="s">
        <v>84</v>
      </c>
      <c r="P1593" s="80"/>
      <c r="Q1593" s="80" t="s">
        <v>84</v>
      </c>
      <c r="R1593" s="80" t="s">
        <v>84</v>
      </c>
    </row>
    <row r="1594" spans="1:18" ht="20" x14ac:dyDescent="0.2">
      <c r="A1594" s="80" t="s">
        <v>3390</v>
      </c>
      <c r="B1594" s="80" t="s">
        <v>3391</v>
      </c>
      <c r="C1594" s="80" t="s">
        <v>9680</v>
      </c>
      <c r="D1594" s="80" t="s">
        <v>84</v>
      </c>
      <c r="E1594" s="80" t="s">
        <v>84</v>
      </c>
      <c r="F1594" s="80"/>
      <c r="G1594" s="80" t="s">
        <v>84</v>
      </c>
      <c r="H1594" s="80" t="s">
        <v>84</v>
      </c>
      <c r="I1594" s="80" t="s">
        <v>84</v>
      </c>
      <c r="J1594" s="80" t="s">
        <v>84</v>
      </c>
      <c r="K1594" s="80" t="s">
        <v>84</v>
      </c>
      <c r="L1594" s="80" t="s">
        <v>84</v>
      </c>
      <c r="M1594" s="80" t="s">
        <v>84</v>
      </c>
      <c r="N1594" s="80" t="s">
        <v>84</v>
      </c>
      <c r="O1594" s="80" t="s">
        <v>84</v>
      </c>
      <c r="P1594" s="80"/>
      <c r="Q1594" s="80" t="s">
        <v>84</v>
      </c>
      <c r="R1594" s="80" t="s">
        <v>84</v>
      </c>
    </row>
    <row r="1595" spans="1:18" ht="20" x14ac:dyDescent="0.2">
      <c r="A1595" s="80" t="s">
        <v>3394</v>
      </c>
      <c r="B1595" s="80" t="s">
        <v>10245</v>
      </c>
      <c r="C1595" s="80" t="s">
        <v>9680</v>
      </c>
      <c r="D1595" s="80" t="s">
        <v>84</v>
      </c>
      <c r="E1595" s="80" t="s">
        <v>84</v>
      </c>
      <c r="F1595" s="80"/>
      <c r="G1595" s="80" t="s">
        <v>84</v>
      </c>
      <c r="H1595" s="80" t="s">
        <v>84</v>
      </c>
      <c r="I1595" s="80" t="s">
        <v>84</v>
      </c>
      <c r="J1595" s="80" t="s">
        <v>84</v>
      </c>
      <c r="K1595" s="80" t="s">
        <v>84</v>
      </c>
      <c r="L1595" s="80" t="s">
        <v>84</v>
      </c>
      <c r="M1595" s="80" t="s">
        <v>84</v>
      </c>
      <c r="N1595" s="80" t="s">
        <v>84</v>
      </c>
      <c r="O1595" s="80" t="s">
        <v>84</v>
      </c>
      <c r="P1595" s="80"/>
      <c r="Q1595" s="80" t="s">
        <v>84</v>
      </c>
      <c r="R1595" s="80" t="s">
        <v>84</v>
      </c>
    </row>
    <row r="1596" spans="1:18" ht="20" x14ac:dyDescent="0.2">
      <c r="A1596" s="80" t="s">
        <v>3394</v>
      </c>
      <c r="B1596" s="80" t="s">
        <v>3395</v>
      </c>
      <c r="C1596" s="80" t="s">
        <v>9680</v>
      </c>
      <c r="D1596" s="80" t="s">
        <v>84</v>
      </c>
      <c r="E1596" s="80" t="s">
        <v>84</v>
      </c>
      <c r="F1596" s="80"/>
      <c r="G1596" s="80" t="s">
        <v>84</v>
      </c>
      <c r="H1596" s="80" t="s">
        <v>84</v>
      </c>
      <c r="I1596" s="80" t="s">
        <v>84</v>
      </c>
      <c r="J1596" s="80" t="s">
        <v>84</v>
      </c>
      <c r="K1596" s="80" t="s">
        <v>84</v>
      </c>
      <c r="L1596" s="80" t="s">
        <v>84</v>
      </c>
      <c r="M1596" s="80" t="s">
        <v>84</v>
      </c>
      <c r="N1596" s="80" t="s">
        <v>84</v>
      </c>
      <c r="O1596" s="80" t="s">
        <v>84</v>
      </c>
      <c r="P1596" s="80"/>
      <c r="Q1596" s="80" t="s">
        <v>84</v>
      </c>
      <c r="R1596" s="80" t="s">
        <v>84</v>
      </c>
    </row>
    <row r="1597" spans="1:18" ht="20" x14ac:dyDescent="0.2">
      <c r="A1597" s="80" t="s">
        <v>3243</v>
      </c>
      <c r="B1597" s="80" t="s">
        <v>3244</v>
      </c>
      <c r="C1597" s="80" t="s">
        <v>9680</v>
      </c>
      <c r="D1597" s="80" t="s">
        <v>84</v>
      </c>
      <c r="E1597" s="80" t="s">
        <v>84</v>
      </c>
      <c r="F1597" s="80"/>
      <c r="G1597" s="80" t="s">
        <v>84</v>
      </c>
      <c r="H1597" s="80" t="s">
        <v>84</v>
      </c>
      <c r="I1597" s="80" t="s">
        <v>84</v>
      </c>
      <c r="J1597" s="80" t="s">
        <v>84</v>
      </c>
      <c r="K1597" s="80" t="s">
        <v>84</v>
      </c>
      <c r="L1597" s="80" t="s">
        <v>84</v>
      </c>
      <c r="M1597" s="80" t="s">
        <v>84</v>
      </c>
      <c r="N1597" s="80" t="s">
        <v>84</v>
      </c>
      <c r="O1597" s="80" t="s">
        <v>84</v>
      </c>
      <c r="P1597" s="80"/>
      <c r="Q1597" s="80" t="s">
        <v>84</v>
      </c>
      <c r="R1597" s="80" t="s">
        <v>84</v>
      </c>
    </row>
    <row r="1598" spans="1:18" ht="20" x14ac:dyDescent="0.2">
      <c r="A1598" s="80" t="s">
        <v>3243</v>
      </c>
      <c r="B1598" s="80" t="s">
        <v>10246</v>
      </c>
      <c r="C1598" s="80" t="s">
        <v>9680</v>
      </c>
      <c r="D1598" s="80" t="s">
        <v>84</v>
      </c>
      <c r="E1598" s="80" t="s">
        <v>84</v>
      </c>
      <c r="F1598" s="80"/>
      <c r="G1598" s="80" t="s">
        <v>84</v>
      </c>
      <c r="H1598" s="80" t="s">
        <v>84</v>
      </c>
      <c r="I1598" s="80" t="s">
        <v>84</v>
      </c>
      <c r="J1598" s="80" t="s">
        <v>84</v>
      </c>
      <c r="K1598" s="80" t="s">
        <v>84</v>
      </c>
      <c r="L1598" s="80" t="s">
        <v>84</v>
      </c>
      <c r="M1598" s="80" t="s">
        <v>84</v>
      </c>
      <c r="N1598" s="80" t="s">
        <v>84</v>
      </c>
      <c r="O1598" s="80" t="s">
        <v>84</v>
      </c>
      <c r="P1598" s="80"/>
      <c r="Q1598" s="80" t="s">
        <v>84</v>
      </c>
      <c r="R1598" s="80" t="s">
        <v>84</v>
      </c>
    </row>
    <row r="1599" spans="1:18" ht="20" x14ac:dyDescent="0.2">
      <c r="A1599" s="80" t="s">
        <v>3243</v>
      </c>
      <c r="B1599" s="80" t="s">
        <v>3396</v>
      </c>
      <c r="C1599" s="80" t="s">
        <v>9680</v>
      </c>
      <c r="D1599" s="80" t="s">
        <v>84</v>
      </c>
      <c r="E1599" s="80" t="s">
        <v>84</v>
      </c>
      <c r="F1599" s="80"/>
      <c r="G1599" s="80" t="s">
        <v>84</v>
      </c>
      <c r="H1599" s="80" t="s">
        <v>84</v>
      </c>
      <c r="I1599" s="80" t="s">
        <v>84</v>
      </c>
      <c r="J1599" s="80" t="s">
        <v>84</v>
      </c>
      <c r="K1599" s="80" t="s">
        <v>84</v>
      </c>
      <c r="L1599" s="80" t="s">
        <v>84</v>
      </c>
      <c r="M1599" s="80" t="s">
        <v>84</v>
      </c>
      <c r="N1599" s="80" t="s">
        <v>84</v>
      </c>
      <c r="O1599" s="80" t="s">
        <v>84</v>
      </c>
      <c r="P1599" s="80"/>
      <c r="Q1599" s="80" t="s">
        <v>84</v>
      </c>
      <c r="R1599" s="80" t="s">
        <v>84</v>
      </c>
    </row>
    <row r="1600" spans="1:18" ht="20" x14ac:dyDescent="0.2">
      <c r="A1600" s="80" t="s">
        <v>3397</v>
      </c>
      <c r="B1600" s="80" t="s">
        <v>10247</v>
      </c>
      <c r="C1600" s="80" t="s">
        <v>9722</v>
      </c>
      <c r="D1600" s="80" t="s">
        <v>84</v>
      </c>
      <c r="E1600" s="80" t="s">
        <v>84</v>
      </c>
      <c r="F1600" s="80"/>
      <c r="G1600" s="80" t="s">
        <v>84</v>
      </c>
      <c r="H1600" s="80" t="s">
        <v>84</v>
      </c>
      <c r="I1600" s="80" t="s">
        <v>84</v>
      </c>
      <c r="J1600" s="80" t="s">
        <v>84</v>
      </c>
      <c r="K1600" s="80" t="s">
        <v>84</v>
      </c>
      <c r="L1600" s="80" t="s">
        <v>84</v>
      </c>
      <c r="M1600" s="80" t="s">
        <v>84</v>
      </c>
      <c r="N1600" s="80" t="s">
        <v>84</v>
      </c>
      <c r="O1600" s="80" t="s">
        <v>84</v>
      </c>
      <c r="P1600" s="80"/>
      <c r="Q1600" s="80" t="s">
        <v>84</v>
      </c>
      <c r="R1600" s="80" t="s">
        <v>84</v>
      </c>
    </row>
    <row r="1601" spans="1:18" ht="20" x14ac:dyDescent="0.2">
      <c r="A1601" s="80" t="s">
        <v>3397</v>
      </c>
      <c r="B1601" s="80" t="s">
        <v>3398</v>
      </c>
      <c r="C1601" s="80" t="s">
        <v>9722</v>
      </c>
      <c r="D1601" s="80" t="s">
        <v>84</v>
      </c>
      <c r="E1601" s="80" t="s">
        <v>84</v>
      </c>
      <c r="F1601" s="80"/>
      <c r="G1601" s="80" t="s">
        <v>84</v>
      </c>
      <c r="H1601" s="80" t="s">
        <v>84</v>
      </c>
      <c r="I1601" s="80" t="s">
        <v>84</v>
      </c>
      <c r="J1601" s="80" t="s">
        <v>84</v>
      </c>
      <c r="K1601" s="80" t="s">
        <v>84</v>
      </c>
      <c r="L1601" s="80" t="s">
        <v>84</v>
      </c>
      <c r="M1601" s="80" t="s">
        <v>84</v>
      </c>
      <c r="N1601" s="80" t="s">
        <v>84</v>
      </c>
      <c r="O1601" s="80" t="s">
        <v>84</v>
      </c>
      <c r="P1601" s="80"/>
      <c r="Q1601" s="80" t="s">
        <v>84</v>
      </c>
      <c r="R1601" s="80" t="s">
        <v>84</v>
      </c>
    </row>
    <row r="1602" spans="1:18" ht="20" x14ac:dyDescent="0.2">
      <c r="A1602" s="80" t="s">
        <v>3207</v>
      </c>
      <c r="B1602" s="80" t="s">
        <v>3208</v>
      </c>
      <c r="C1602" s="80" t="s">
        <v>9680</v>
      </c>
      <c r="D1602" s="80" t="s">
        <v>84</v>
      </c>
      <c r="E1602" s="80" t="s">
        <v>84</v>
      </c>
      <c r="F1602" s="80"/>
      <c r="G1602" s="80" t="s">
        <v>84</v>
      </c>
      <c r="H1602" s="80" t="s">
        <v>84</v>
      </c>
      <c r="I1602" s="80" t="s">
        <v>84</v>
      </c>
      <c r="J1602" s="80" t="s">
        <v>84</v>
      </c>
      <c r="K1602" s="80" t="s">
        <v>84</v>
      </c>
      <c r="L1602" s="80" t="s">
        <v>84</v>
      </c>
      <c r="M1602" s="80" t="s">
        <v>84</v>
      </c>
      <c r="N1602" s="80" t="s">
        <v>84</v>
      </c>
      <c r="O1602" s="80" t="s">
        <v>84</v>
      </c>
      <c r="P1602" s="80"/>
      <c r="Q1602" s="80" t="s">
        <v>84</v>
      </c>
      <c r="R1602" s="80" t="s">
        <v>84</v>
      </c>
    </row>
    <row r="1603" spans="1:18" ht="20" x14ac:dyDescent="0.2">
      <c r="A1603" s="80" t="s">
        <v>3207</v>
      </c>
      <c r="B1603" s="80" t="s">
        <v>10248</v>
      </c>
      <c r="C1603" s="80" t="s">
        <v>9680</v>
      </c>
      <c r="D1603" s="80" t="s">
        <v>84</v>
      </c>
      <c r="E1603" s="80" t="s">
        <v>84</v>
      </c>
      <c r="F1603" s="80"/>
      <c r="G1603" s="80" t="s">
        <v>84</v>
      </c>
      <c r="H1603" s="80" t="s">
        <v>84</v>
      </c>
      <c r="I1603" s="80" t="s">
        <v>84</v>
      </c>
      <c r="J1603" s="80" t="s">
        <v>84</v>
      </c>
      <c r="K1603" s="80" t="s">
        <v>84</v>
      </c>
      <c r="L1603" s="80" t="s">
        <v>84</v>
      </c>
      <c r="M1603" s="80" t="s">
        <v>84</v>
      </c>
      <c r="N1603" s="80" t="s">
        <v>84</v>
      </c>
      <c r="O1603" s="80" t="s">
        <v>84</v>
      </c>
      <c r="P1603" s="80"/>
      <c r="Q1603" s="80" t="s">
        <v>84</v>
      </c>
      <c r="R1603" s="80" t="s">
        <v>84</v>
      </c>
    </row>
    <row r="1604" spans="1:18" ht="20" x14ac:dyDescent="0.2">
      <c r="A1604" s="80" t="s">
        <v>3207</v>
      </c>
      <c r="B1604" s="80" t="s">
        <v>3399</v>
      </c>
      <c r="C1604" s="80" t="s">
        <v>9680</v>
      </c>
      <c r="D1604" s="80" t="s">
        <v>84</v>
      </c>
      <c r="E1604" s="80" t="s">
        <v>84</v>
      </c>
      <c r="F1604" s="80"/>
      <c r="G1604" s="80" t="s">
        <v>84</v>
      </c>
      <c r="H1604" s="80" t="s">
        <v>84</v>
      </c>
      <c r="I1604" s="80" t="s">
        <v>84</v>
      </c>
      <c r="J1604" s="80" t="s">
        <v>84</v>
      </c>
      <c r="K1604" s="80" t="s">
        <v>84</v>
      </c>
      <c r="L1604" s="80" t="s">
        <v>84</v>
      </c>
      <c r="M1604" s="80" t="s">
        <v>84</v>
      </c>
      <c r="N1604" s="80" t="s">
        <v>84</v>
      </c>
      <c r="O1604" s="80" t="s">
        <v>84</v>
      </c>
      <c r="P1604" s="80"/>
      <c r="Q1604" s="80" t="s">
        <v>84</v>
      </c>
      <c r="R1604" s="80" t="s">
        <v>84</v>
      </c>
    </row>
    <row r="1605" spans="1:18" ht="20" x14ac:dyDescent="0.2">
      <c r="A1605" s="80" t="s">
        <v>10249</v>
      </c>
      <c r="B1605" s="80" t="s">
        <v>3529</v>
      </c>
      <c r="C1605" s="80" t="s">
        <v>9680</v>
      </c>
      <c r="D1605" s="80" t="s">
        <v>84</v>
      </c>
      <c r="E1605" s="80" t="s">
        <v>84</v>
      </c>
      <c r="F1605" s="80"/>
      <c r="G1605" s="80" t="s">
        <v>84</v>
      </c>
      <c r="H1605" s="80" t="s">
        <v>84</v>
      </c>
      <c r="I1605" s="80" t="s">
        <v>84</v>
      </c>
      <c r="J1605" s="80" t="s">
        <v>84</v>
      </c>
      <c r="K1605" s="80" t="s">
        <v>84</v>
      </c>
      <c r="L1605" s="80" t="s">
        <v>84</v>
      </c>
      <c r="M1605" s="80" t="s">
        <v>84</v>
      </c>
      <c r="N1605" s="80" t="s">
        <v>84</v>
      </c>
      <c r="O1605" s="80" t="s">
        <v>84</v>
      </c>
      <c r="P1605" s="80"/>
      <c r="Q1605" s="80" t="s">
        <v>84</v>
      </c>
      <c r="R1605" s="80" t="s">
        <v>84</v>
      </c>
    </row>
    <row r="1606" spans="1:18" ht="20" x14ac:dyDescent="0.2">
      <c r="A1606" s="80" t="s">
        <v>3526</v>
      </c>
      <c r="B1606" s="80" t="s">
        <v>3527</v>
      </c>
      <c r="C1606" s="80" t="s">
        <v>9680</v>
      </c>
      <c r="D1606" s="80" t="s">
        <v>84</v>
      </c>
      <c r="E1606" s="80" t="s">
        <v>84</v>
      </c>
      <c r="F1606" s="80"/>
      <c r="G1606" s="80" t="s">
        <v>84</v>
      </c>
      <c r="H1606" s="80" t="s">
        <v>84</v>
      </c>
      <c r="I1606" s="80" t="s">
        <v>84</v>
      </c>
      <c r="J1606" s="80" t="s">
        <v>84</v>
      </c>
      <c r="K1606" s="80" t="s">
        <v>84</v>
      </c>
      <c r="L1606" s="80" t="s">
        <v>84</v>
      </c>
      <c r="M1606" s="80" t="s">
        <v>84</v>
      </c>
      <c r="N1606" s="80" t="s">
        <v>84</v>
      </c>
      <c r="O1606" s="80" t="s">
        <v>84</v>
      </c>
      <c r="P1606" s="80"/>
      <c r="Q1606" s="80" t="s">
        <v>84</v>
      </c>
      <c r="R1606" s="80" t="s">
        <v>84</v>
      </c>
    </row>
    <row r="1607" spans="1:18" ht="20" x14ac:dyDescent="0.2">
      <c r="A1607" s="80" t="s">
        <v>3524</v>
      </c>
      <c r="B1607" s="80" t="s">
        <v>3525</v>
      </c>
      <c r="C1607" s="80" t="s">
        <v>9680</v>
      </c>
      <c r="D1607" s="80" t="s">
        <v>84</v>
      </c>
      <c r="E1607" s="80" t="s">
        <v>84</v>
      </c>
      <c r="F1607" s="80"/>
      <c r="G1607" s="80" t="s">
        <v>84</v>
      </c>
      <c r="H1607" s="80" t="s">
        <v>84</v>
      </c>
      <c r="I1607" s="80" t="s">
        <v>84</v>
      </c>
      <c r="J1607" s="80" t="s">
        <v>84</v>
      </c>
      <c r="K1607" s="80" t="s">
        <v>84</v>
      </c>
      <c r="L1607" s="80" t="s">
        <v>84</v>
      </c>
      <c r="M1607" s="80" t="s">
        <v>84</v>
      </c>
      <c r="N1607" s="80" t="s">
        <v>84</v>
      </c>
      <c r="O1607" s="80" t="s">
        <v>84</v>
      </c>
      <c r="P1607" s="80"/>
      <c r="Q1607" s="80" t="s">
        <v>84</v>
      </c>
      <c r="R1607" s="80" t="s">
        <v>84</v>
      </c>
    </row>
    <row r="1608" spans="1:18" ht="20" x14ac:dyDescent="0.2">
      <c r="A1608" s="80" t="s">
        <v>3528</v>
      </c>
      <c r="B1608" s="80" t="s">
        <v>3529</v>
      </c>
      <c r="C1608" s="80" t="s">
        <v>9680</v>
      </c>
      <c r="D1608" s="80" t="s">
        <v>84</v>
      </c>
      <c r="E1608" s="80" t="s">
        <v>84</v>
      </c>
      <c r="F1608" s="80"/>
      <c r="G1608" s="80" t="s">
        <v>84</v>
      </c>
      <c r="H1608" s="80" t="s">
        <v>84</v>
      </c>
      <c r="I1608" s="80" t="s">
        <v>84</v>
      </c>
      <c r="J1608" s="80" t="s">
        <v>84</v>
      </c>
      <c r="K1608" s="80" t="s">
        <v>84</v>
      </c>
      <c r="L1608" s="80" t="s">
        <v>84</v>
      </c>
      <c r="M1608" s="80" t="s">
        <v>84</v>
      </c>
      <c r="N1608" s="80" t="s">
        <v>84</v>
      </c>
      <c r="O1608" s="80" t="s">
        <v>84</v>
      </c>
      <c r="P1608" s="80"/>
      <c r="Q1608" s="80" t="s">
        <v>84</v>
      </c>
      <c r="R1608" s="80" t="s">
        <v>84</v>
      </c>
    </row>
    <row r="1609" spans="1:18" ht="20" x14ac:dyDescent="0.2">
      <c r="A1609" s="80" t="s">
        <v>3530</v>
      </c>
      <c r="B1609" s="80" t="s">
        <v>3531</v>
      </c>
      <c r="C1609" s="80" t="s">
        <v>9680</v>
      </c>
      <c r="D1609" s="80" t="s">
        <v>84</v>
      </c>
      <c r="E1609" s="80" t="s">
        <v>84</v>
      </c>
      <c r="F1609" s="80"/>
      <c r="G1609" s="80" t="s">
        <v>84</v>
      </c>
      <c r="H1609" s="80" t="s">
        <v>84</v>
      </c>
      <c r="I1609" s="80" t="s">
        <v>84</v>
      </c>
      <c r="J1609" s="80" t="s">
        <v>84</v>
      </c>
      <c r="K1609" s="80" t="s">
        <v>84</v>
      </c>
      <c r="L1609" s="80" t="s">
        <v>84</v>
      </c>
      <c r="M1609" s="80" t="s">
        <v>84</v>
      </c>
      <c r="N1609" s="80" t="s">
        <v>84</v>
      </c>
      <c r="O1609" s="80" t="s">
        <v>84</v>
      </c>
      <c r="P1609" s="80"/>
      <c r="Q1609" s="80" t="s">
        <v>84</v>
      </c>
      <c r="R1609" s="80" t="s">
        <v>84</v>
      </c>
    </row>
    <row r="1610" spans="1:18" ht="20" x14ac:dyDescent="0.2">
      <c r="A1610" s="80" t="s">
        <v>3532</v>
      </c>
      <c r="B1610" s="80" t="s">
        <v>3533</v>
      </c>
      <c r="C1610" s="80" t="s">
        <v>9680</v>
      </c>
      <c r="D1610" s="80" t="s">
        <v>84</v>
      </c>
      <c r="E1610" s="80" t="s">
        <v>84</v>
      </c>
      <c r="F1610" s="80"/>
      <c r="G1610" s="80" t="s">
        <v>84</v>
      </c>
      <c r="H1610" s="80" t="s">
        <v>84</v>
      </c>
      <c r="I1610" s="80" t="s">
        <v>84</v>
      </c>
      <c r="J1610" s="80" t="s">
        <v>84</v>
      </c>
      <c r="K1610" s="80" t="s">
        <v>84</v>
      </c>
      <c r="L1610" s="80" t="s">
        <v>84</v>
      </c>
      <c r="M1610" s="80" t="s">
        <v>84</v>
      </c>
      <c r="N1610" s="80" t="s">
        <v>84</v>
      </c>
      <c r="O1610" s="80" t="s">
        <v>84</v>
      </c>
      <c r="P1610" s="80"/>
      <c r="Q1610" s="80" t="s">
        <v>84</v>
      </c>
      <c r="R1610" s="80" t="s">
        <v>84</v>
      </c>
    </row>
    <row r="1611" spans="1:18" ht="20" x14ac:dyDescent="0.2">
      <c r="A1611" s="80" t="s">
        <v>3534</v>
      </c>
      <c r="B1611" s="80" t="s">
        <v>3535</v>
      </c>
      <c r="C1611" s="80" t="s">
        <v>9680</v>
      </c>
      <c r="D1611" s="80" t="s">
        <v>84</v>
      </c>
      <c r="E1611" s="80" t="s">
        <v>84</v>
      </c>
      <c r="F1611" s="80"/>
      <c r="G1611" s="80" t="s">
        <v>84</v>
      </c>
      <c r="H1611" s="80" t="s">
        <v>84</v>
      </c>
      <c r="I1611" s="80" t="s">
        <v>84</v>
      </c>
      <c r="J1611" s="80" t="s">
        <v>84</v>
      </c>
      <c r="K1611" s="80" t="s">
        <v>84</v>
      </c>
      <c r="L1611" s="80" t="s">
        <v>84</v>
      </c>
      <c r="M1611" s="80" t="s">
        <v>84</v>
      </c>
      <c r="N1611" s="80" t="s">
        <v>84</v>
      </c>
      <c r="O1611" s="80" t="s">
        <v>84</v>
      </c>
      <c r="P1611" s="80"/>
      <c r="Q1611" s="80" t="s">
        <v>84</v>
      </c>
      <c r="R1611" s="80" t="s">
        <v>84</v>
      </c>
    </row>
    <row r="1612" spans="1:18" ht="20" x14ac:dyDescent="0.2">
      <c r="A1612" s="80" t="s">
        <v>3536</v>
      </c>
      <c r="B1612" s="80" t="s">
        <v>3537</v>
      </c>
      <c r="C1612" s="80" t="s">
        <v>9680</v>
      </c>
      <c r="D1612" s="80" t="s">
        <v>84</v>
      </c>
      <c r="E1612" s="80" t="s">
        <v>84</v>
      </c>
      <c r="F1612" s="80"/>
      <c r="G1612" s="80" t="s">
        <v>84</v>
      </c>
      <c r="H1612" s="80" t="s">
        <v>84</v>
      </c>
      <c r="I1612" s="80" t="s">
        <v>84</v>
      </c>
      <c r="J1612" s="80" t="s">
        <v>84</v>
      </c>
      <c r="K1612" s="80" t="s">
        <v>84</v>
      </c>
      <c r="L1612" s="80" t="s">
        <v>84</v>
      </c>
      <c r="M1612" s="80" t="s">
        <v>84</v>
      </c>
      <c r="N1612" s="80" t="s">
        <v>84</v>
      </c>
      <c r="O1612" s="80" t="s">
        <v>84</v>
      </c>
      <c r="P1612" s="80"/>
      <c r="Q1612" s="80" t="s">
        <v>84</v>
      </c>
      <c r="R1612" s="80" t="s">
        <v>84</v>
      </c>
    </row>
    <row r="1613" spans="1:18" ht="20" x14ac:dyDescent="0.2">
      <c r="A1613" s="80" t="s">
        <v>3538</v>
      </c>
      <c r="B1613" s="80" t="s">
        <v>3539</v>
      </c>
      <c r="C1613" s="80" t="s">
        <v>84</v>
      </c>
      <c r="D1613" s="80" t="s">
        <v>84</v>
      </c>
      <c r="E1613" s="80" t="s">
        <v>84</v>
      </c>
      <c r="F1613" s="80"/>
      <c r="G1613" s="80" t="s">
        <v>84</v>
      </c>
      <c r="H1613" s="80" t="s">
        <v>84</v>
      </c>
      <c r="I1613" s="80" t="s">
        <v>84</v>
      </c>
      <c r="J1613" s="80" t="s">
        <v>84</v>
      </c>
      <c r="K1613" s="80" t="s">
        <v>84</v>
      </c>
      <c r="L1613" s="80" t="s">
        <v>84</v>
      </c>
      <c r="M1613" s="80" t="s">
        <v>84</v>
      </c>
      <c r="N1613" s="80" t="s">
        <v>84</v>
      </c>
      <c r="O1613" s="80" t="s">
        <v>84</v>
      </c>
      <c r="P1613" s="80"/>
      <c r="Q1613" s="80" t="s">
        <v>84</v>
      </c>
      <c r="R1613" s="80" t="s">
        <v>84</v>
      </c>
    </row>
    <row r="1614" spans="1:18" ht="20" x14ac:dyDescent="0.2">
      <c r="A1614" s="80" t="s">
        <v>10250</v>
      </c>
      <c r="B1614" s="80" t="s">
        <v>10251</v>
      </c>
      <c r="C1614" s="80" t="s">
        <v>9680</v>
      </c>
      <c r="D1614" s="80" t="s">
        <v>84</v>
      </c>
      <c r="E1614" s="80" t="s">
        <v>84</v>
      </c>
      <c r="F1614" s="80"/>
      <c r="G1614" s="80" t="s">
        <v>84</v>
      </c>
      <c r="H1614" s="80" t="s">
        <v>84</v>
      </c>
      <c r="I1614" s="80" t="s">
        <v>84</v>
      </c>
      <c r="J1614" s="80" t="s">
        <v>84</v>
      </c>
      <c r="K1614" s="80" t="s">
        <v>84</v>
      </c>
      <c r="L1614" s="80" t="s">
        <v>84</v>
      </c>
      <c r="M1614" s="80" t="s">
        <v>84</v>
      </c>
      <c r="N1614" s="80" t="s">
        <v>84</v>
      </c>
      <c r="O1614" s="80" t="s">
        <v>84</v>
      </c>
      <c r="P1614" s="80"/>
      <c r="Q1614" s="80" t="s">
        <v>84</v>
      </c>
      <c r="R1614" s="80" t="s">
        <v>84</v>
      </c>
    </row>
    <row r="1615" spans="1:18" ht="20" x14ac:dyDescent="0.2">
      <c r="A1615" s="80" t="s">
        <v>3540</v>
      </c>
      <c r="B1615" s="80" t="s">
        <v>3541</v>
      </c>
      <c r="C1615" s="80" t="s">
        <v>9722</v>
      </c>
      <c r="D1615" s="80" t="s">
        <v>84</v>
      </c>
      <c r="E1615" s="80" t="s">
        <v>84</v>
      </c>
      <c r="F1615" s="80"/>
      <c r="G1615" s="80" t="s">
        <v>84</v>
      </c>
      <c r="H1615" s="80" t="s">
        <v>84</v>
      </c>
      <c r="I1615" s="80" t="s">
        <v>84</v>
      </c>
      <c r="J1615" s="80" t="s">
        <v>84</v>
      </c>
      <c r="K1615" s="80" t="s">
        <v>84</v>
      </c>
      <c r="L1615" s="80" t="s">
        <v>84</v>
      </c>
      <c r="M1615" s="80" t="s">
        <v>84</v>
      </c>
      <c r="N1615" s="80" t="s">
        <v>84</v>
      </c>
      <c r="O1615" s="80" t="s">
        <v>84</v>
      </c>
      <c r="P1615" s="80"/>
      <c r="Q1615" s="80" t="s">
        <v>84</v>
      </c>
      <c r="R1615" s="80" t="s">
        <v>84</v>
      </c>
    </row>
    <row r="1616" spans="1:18" ht="20" x14ac:dyDescent="0.2">
      <c r="A1616" s="80" t="s">
        <v>3601</v>
      </c>
      <c r="B1616" s="80" t="s">
        <v>3602</v>
      </c>
      <c r="C1616" s="80" t="s">
        <v>9680</v>
      </c>
      <c r="D1616" s="80" t="s">
        <v>84</v>
      </c>
      <c r="E1616" s="80" t="s">
        <v>84</v>
      </c>
      <c r="F1616" s="80"/>
      <c r="G1616" s="80" t="s">
        <v>84</v>
      </c>
      <c r="H1616" s="80" t="s">
        <v>84</v>
      </c>
      <c r="I1616" s="80" t="s">
        <v>84</v>
      </c>
      <c r="J1616" s="80" t="s">
        <v>84</v>
      </c>
      <c r="K1616" s="80" t="s">
        <v>84</v>
      </c>
      <c r="L1616" s="80" t="s">
        <v>84</v>
      </c>
      <c r="M1616" s="80" t="s">
        <v>84</v>
      </c>
      <c r="N1616" s="80" t="s">
        <v>84</v>
      </c>
      <c r="O1616" s="80" t="s">
        <v>84</v>
      </c>
      <c r="P1616" s="80"/>
      <c r="Q1616" s="80" t="s">
        <v>84</v>
      </c>
      <c r="R1616" s="80" t="s">
        <v>84</v>
      </c>
    </row>
    <row r="1617" spans="1:18" ht="20" x14ac:dyDescent="0.2">
      <c r="A1617" s="80" t="s">
        <v>3603</v>
      </c>
      <c r="B1617" s="80" t="s">
        <v>3604</v>
      </c>
      <c r="C1617" s="80" t="s">
        <v>9680</v>
      </c>
      <c r="D1617" s="80" t="s">
        <v>84</v>
      </c>
      <c r="E1617" s="80" t="s">
        <v>84</v>
      </c>
      <c r="F1617" s="80"/>
      <c r="G1617" s="80" t="s">
        <v>84</v>
      </c>
      <c r="H1617" s="80" t="s">
        <v>84</v>
      </c>
      <c r="I1617" s="80" t="s">
        <v>84</v>
      </c>
      <c r="J1617" s="80" t="s">
        <v>84</v>
      </c>
      <c r="K1617" s="80" t="s">
        <v>84</v>
      </c>
      <c r="L1617" s="80" t="s">
        <v>84</v>
      </c>
      <c r="M1617" s="80" t="s">
        <v>84</v>
      </c>
      <c r="N1617" s="80" t="s">
        <v>84</v>
      </c>
      <c r="O1617" s="80" t="s">
        <v>84</v>
      </c>
      <c r="P1617" s="80"/>
      <c r="Q1617" s="80" t="s">
        <v>84</v>
      </c>
      <c r="R1617" s="80" t="s">
        <v>84</v>
      </c>
    </row>
    <row r="1618" spans="1:18" ht="20" x14ac:dyDescent="0.2">
      <c r="A1618" s="80" t="s">
        <v>3607</v>
      </c>
      <c r="B1618" s="80" t="s">
        <v>3608</v>
      </c>
      <c r="C1618" s="80" t="s">
        <v>9680</v>
      </c>
      <c r="D1618" s="80" t="s">
        <v>84</v>
      </c>
      <c r="E1618" s="80" t="s">
        <v>84</v>
      </c>
      <c r="F1618" s="80"/>
      <c r="G1618" s="80" t="s">
        <v>84</v>
      </c>
      <c r="H1618" s="80" t="s">
        <v>84</v>
      </c>
      <c r="I1618" s="80" t="s">
        <v>84</v>
      </c>
      <c r="J1618" s="80" t="s">
        <v>84</v>
      </c>
      <c r="K1618" s="80" t="s">
        <v>84</v>
      </c>
      <c r="L1618" s="80" t="s">
        <v>84</v>
      </c>
      <c r="M1618" s="80" t="s">
        <v>84</v>
      </c>
      <c r="N1618" s="80" t="s">
        <v>84</v>
      </c>
      <c r="O1618" s="80" t="s">
        <v>84</v>
      </c>
      <c r="P1618" s="80"/>
      <c r="Q1618" s="80" t="s">
        <v>84</v>
      </c>
      <c r="R1618" s="80" t="s">
        <v>84</v>
      </c>
    </row>
    <row r="1619" spans="1:18" ht="20" x14ac:dyDescent="0.2">
      <c r="A1619" s="80" t="s">
        <v>3609</v>
      </c>
      <c r="B1619" s="80" t="s">
        <v>3610</v>
      </c>
      <c r="C1619" s="80" t="s">
        <v>9680</v>
      </c>
      <c r="D1619" s="80" t="s">
        <v>84</v>
      </c>
      <c r="E1619" s="80" t="s">
        <v>84</v>
      </c>
      <c r="F1619" s="80"/>
      <c r="G1619" s="80" t="s">
        <v>84</v>
      </c>
      <c r="H1619" s="80" t="s">
        <v>84</v>
      </c>
      <c r="I1619" s="80" t="s">
        <v>84</v>
      </c>
      <c r="J1619" s="80" t="s">
        <v>84</v>
      </c>
      <c r="K1619" s="80" t="s">
        <v>84</v>
      </c>
      <c r="L1619" s="80" t="s">
        <v>84</v>
      </c>
      <c r="M1619" s="80" t="s">
        <v>84</v>
      </c>
      <c r="N1619" s="80" t="s">
        <v>84</v>
      </c>
      <c r="O1619" s="80" t="s">
        <v>84</v>
      </c>
      <c r="P1619" s="80"/>
      <c r="Q1619" s="80" t="s">
        <v>84</v>
      </c>
      <c r="R1619" s="80" t="s">
        <v>84</v>
      </c>
    </row>
    <row r="1620" spans="1:18" ht="20" x14ac:dyDescent="0.2">
      <c r="A1620" s="80" t="s">
        <v>3381</v>
      </c>
      <c r="B1620" s="80" t="s">
        <v>10252</v>
      </c>
      <c r="C1620" s="80" t="s">
        <v>9680</v>
      </c>
      <c r="D1620" s="80" t="s">
        <v>84</v>
      </c>
      <c r="E1620" s="80" t="s">
        <v>84</v>
      </c>
      <c r="F1620" s="80"/>
      <c r="G1620" s="80" t="s">
        <v>9680</v>
      </c>
      <c r="H1620" s="80" t="s">
        <v>84</v>
      </c>
      <c r="I1620" s="80" t="s">
        <v>84</v>
      </c>
      <c r="J1620" s="80" t="s">
        <v>84</v>
      </c>
      <c r="K1620" s="80" t="s">
        <v>84</v>
      </c>
      <c r="L1620" s="80" t="s">
        <v>84</v>
      </c>
      <c r="M1620" s="80" t="s">
        <v>84</v>
      </c>
      <c r="N1620" s="80" t="s">
        <v>84</v>
      </c>
      <c r="O1620" s="80" t="s">
        <v>84</v>
      </c>
      <c r="P1620" s="80"/>
      <c r="Q1620" s="80" t="s">
        <v>84</v>
      </c>
      <c r="R1620" s="80" t="s">
        <v>84</v>
      </c>
    </row>
    <row r="1621" spans="1:18" ht="20" x14ac:dyDescent="0.2">
      <c r="A1621" s="80" t="s">
        <v>3381</v>
      </c>
      <c r="B1621" s="80" t="s">
        <v>3382</v>
      </c>
      <c r="C1621" s="80" t="s">
        <v>9680</v>
      </c>
      <c r="D1621" s="80" t="s">
        <v>84</v>
      </c>
      <c r="E1621" s="80" t="s">
        <v>84</v>
      </c>
      <c r="F1621" s="80"/>
      <c r="G1621" s="80" t="s">
        <v>9680</v>
      </c>
      <c r="H1621" s="80" t="s">
        <v>84</v>
      </c>
      <c r="I1621" s="80" t="s">
        <v>84</v>
      </c>
      <c r="J1621" s="80" t="s">
        <v>84</v>
      </c>
      <c r="K1621" s="80" t="s">
        <v>84</v>
      </c>
      <c r="L1621" s="80" t="s">
        <v>84</v>
      </c>
      <c r="M1621" s="80" t="s">
        <v>84</v>
      </c>
      <c r="N1621" s="80" t="s">
        <v>84</v>
      </c>
      <c r="O1621" s="80" t="s">
        <v>84</v>
      </c>
      <c r="P1621" s="80"/>
      <c r="Q1621" s="80" t="s">
        <v>84</v>
      </c>
      <c r="R1621" s="80" t="s">
        <v>84</v>
      </c>
    </row>
    <row r="1622" spans="1:18" ht="20" x14ac:dyDescent="0.2">
      <c r="A1622" s="80" t="s">
        <v>3542</v>
      </c>
      <c r="B1622" s="80" t="s">
        <v>3543</v>
      </c>
      <c r="C1622" s="80" t="s">
        <v>9722</v>
      </c>
      <c r="D1622" s="80" t="s">
        <v>84</v>
      </c>
      <c r="E1622" s="80" t="s">
        <v>84</v>
      </c>
      <c r="F1622" s="80"/>
      <c r="G1622" s="80" t="s">
        <v>84</v>
      </c>
      <c r="H1622" s="80" t="s">
        <v>84</v>
      </c>
      <c r="I1622" s="80" t="s">
        <v>84</v>
      </c>
      <c r="J1622" s="80" t="s">
        <v>84</v>
      </c>
      <c r="K1622" s="80" t="s">
        <v>84</v>
      </c>
      <c r="L1622" s="80" t="s">
        <v>84</v>
      </c>
      <c r="M1622" s="80" t="s">
        <v>84</v>
      </c>
      <c r="N1622" s="80" t="s">
        <v>84</v>
      </c>
      <c r="O1622" s="80" t="s">
        <v>84</v>
      </c>
      <c r="P1622" s="80"/>
      <c r="Q1622" s="80" t="s">
        <v>84</v>
      </c>
      <c r="R1622" s="80" t="s">
        <v>84</v>
      </c>
    </row>
    <row r="1623" spans="1:18" ht="20" x14ac:dyDescent="0.2">
      <c r="A1623" s="80" t="s">
        <v>3405</v>
      </c>
      <c r="B1623" s="80" t="s">
        <v>10253</v>
      </c>
      <c r="C1623" s="80" t="s">
        <v>9680</v>
      </c>
      <c r="D1623" s="80" t="s">
        <v>9680</v>
      </c>
      <c r="E1623" s="80" t="s">
        <v>84</v>
      </c>
      <c r="F1623" s="80"/>
      <c r="G1623" s="80" t="s">
        <v>9680</v>
      </c>
      <c r="H1623" s="80" t="s">
        <v>84</v>
      </c>
      <c r="I1623" s="80" t="s">
        <v>9680</v>
      </c>
      <c r="J1623" s="80" t="s">
        <v>9680</v>
      </c>
      <c r="K1623" s="80" t="s">
        <v>9680</v>
      </c>
      <c r="L1623" s="80" t="s">
        <v>9680</v>
      </c>
      <c r="M1623" s="80" t="s">
        <v>9680</v>
      </c>
      <c r="N1623" s="80" t="s">
        <v>84</v>
      </c>
      <c r="O1623" s="80" t="s">
        <v>9680</v>
      </c>
      <c r="P1623" s="80"/>
      <c r="Q1623" s="80" t="s">
        <v>9680</v>
      </c>
      <c r="R1623" s="80" t="s">
        <v>9680</v>
      </c>
    </row>
    <row r="1624" spans="1:18" ht="20" x14ac:dyDescent="0.2">
      <c r="A1624" s="80" t="s">
        <v>3405</v>
      </c>
      <c r="B1624" s="80" t="s">
        <v>3406</v>
      </c>
      <c r="C1624" s="80" t="s">
        <v>9680</v>
      </c>
      <c r="D1624" s="80" t="s">
        <v>9680</v>
      </c>
      <c r="E1624" s="80" t="s">
        <v>84</v>
      </c>
      <c r="F1624" s="80"/>
      <c r="G1624" s="80" t="s">
        <v>9680</v>
      </c>
      <c r="H1624" s="80" t="s">
        <v>84</v>
      </c>
      <c r="I1624" s="80" t="s">
        <v>9680</v>
      </c>
      <c r="J1624" s="80" t="s">
        <v>9680</v>
      </c>
      <c r="K1624" s="80" t="s">
        <v>9680</v>
      </c>
      <c r="L1624" s="80" t="s">
        <v>9680</v>
      </c>
      <c r="M1624" s="80" t="s">
        <v>9680</v>
      </c>
      <c r="N1624" s="80" t="s">
        <v>84</v>
      </c>
      <c r="O1624" s="80" t="s">
        <v>9680</v>
      </c>
      <c r="P1624" s="80"/>
      <c r="Q1624" s="80" t="s">
        <v>9680</v>
      </c>
      <c r="R1624" s="80" t="s">
        <v>9680</v>
      </c>
    </row>
    <row r="1625" spans="1:18" ht="20" x14ac:dyDescent="0.2">
      <c r="A1625" s="80" t="s">
        <v>3383</v>
      </c>
      <c r="B1625" s="80" t="s">
        <v>10254</v>
      </c>
      <c r="C1625" s="80" t="s">
        <v>84</v>
      </c>
      <c r="D1625" s="80" t="s">
        <v>84</v>
      </c>
      <c r="E1625" s="80" t="s">
        <v>84</v>
      </c>
      <c r="F1625" s="80"/>
      <c r="G1625" s="80" t="s">
        <v>84</v>
      </c>
      <c r="H1625" s="80" t="s">
        <v>84</v>
      </c>
      <c r="I1625" s="80" t="s">
        <v>84</v>
      </c>
      <c r="J1625" s="80" t="s">
        <v>84</v>
      </c>
      <c r="K1625" s="80" t="s">
        <v>84</v>
      </c>
      <c r="L1625" s="80" t="s">
        <v>84</v>
      </c>
      <c r="M1625" s="80" t="s">
        <v>84</v>
      </c>
      <c r="N1625" s="80" t="s">
        <v>84</v>
      </c>
      <c r="O1625" s="80" t="s">
        <v>84</v>
      </c>
      <c r="P1625" s="80"/>
      <c r="Q1625" s="80" t="s">
        <v>84</v>
      </c>
      <c r="R1625" s="80" t="s">
        <v>84</v>
      </c>
    </row>
    <row r="1626" spans="1:18" x14ac:dyDescent="0.2">
      <c r="A1626" s="80" t="s">
        <v>3383</v>
      </c>
      <c r="B1626" s="80" t="s">
        <v>3384</v>
      </c>
      <c r="C1626" s="80" t="s">
        <v>84</v>
      </c>
      <c r="D1626" s="80" t="s">
        <v>84</v>
      </c>
      <c r="E1626" s="80" t="s">
        <v>84</v>
      </c>
      <c r="F1626" s="80"/>
      <c r="G1626" s="80" t="s">
        <v>84</v>
      </c>
      <c r="H1626" s="80" t="s">
        <v>84</v>
      </c>
      <c r="I1626" s="80" t="s">
        <v>84</v>
      </c>
      <c r="J1626" s="80" t="s">
        <v>84</v>
      </c>
      <c r="K1626" s="80" t="s">
        <v>84</v>
      </c>
      <c r="L1626" s="80" t="s">
        <v>84</v>
      </c>
      <c r="M1626" s="80" t="s">
        <v>84</v>
      </c>
      <c r="N1626" s="80" t="s">
        <v>84</v>
      </c>
      <c r="O1626" s="80" t="s">
        <v>84</v>
      </c>
      <c r="P1626" s="80"/>
      <c r="Q1626" s="80" t="s">
        <v>84</v>
      </c>
      <c r="R1626" s="80" t="s">
        <v>84</v>
      </c>
    </row>
    <row r="1627" spans="1:18" ht="20" x14ac:dyDescent="0.2">
      <c r="A1627" s="80" t="s">
        <v>3388</v>
      </c>
      <c r="B1627" s="80" t="s">
        <v>10255</v>
      </c>
      <c r="C1627" s="80" t="s">
        <v>9680</v>
      </c>
      <c r="D1627" s="80" t="s">
        <v>9680</v>
      </c>
      <c r="E1627" s="80" t="s">
        <v>84</v>
      </c>
      <c r="F1627" s="80"/>
      <c r="G1627" s="80" t="s">
        <v>9680</v>
      </c>
      <c r="H1627" s="80" t="s">
        <v>84</v>
      </c>
      <c r="I1627" s="80" t="s">
        <v>9680</v>
      </c>
      <c r="J1627" s="80" t="s">
        <v>9680</v>
      </c>
      <c r="K1627" s="80" t="s">
        <v>9680</v>
      </c>
      <c r="L1627" s="80" t="s">
        <v>84</v>
      </c>
      <c r="M1627" s="80" t="s">
        <v>9680</v>
      </c>
      <c r="N1627" s="80" t="s">
        <v>84</v>
      </c>
      <c r="O1627" s="80" t="s">
        <v>9680</v>
      </c>
      <c r="P1627" s="80"/>
      <c r="Q1627" s="80" t="s">
        <v>9680</v>
      </c>
      <c r="R1627" s="80" t="s">
        <v>9680</v>
      </c>
    </row>
    <row r="1628" spans="1:18" ht="20" x14ac:dyDescent="0.2">
      <c r="A1628" s="80" t="s">
        <v>3388</v>
      </c>
      <c r="B1628" s="80" t="s">
        <v>3389</v>
      </c>
      <c r="C1628" s="80" t="s">
        <v>9680</v>
      </c>
      <c r="D1628" s="80" t="s">
        <v>9680</v>
      </c>
      <c r="E1628" s="80" t="s">
        <v>84</v>
      </c>
      <c r="F1628" s="80"/>
      <c r="G1628" s="80" t="s">
        <v>9680</v>
      </c>
      <c r="H1628" s="80" t="s">
        <v>84</v>
      </c>
      <c r="I1628" s="80" t="s">
        <v>9680</v>
      </c>
      <c r="J1628" s="80" t="s">
        <v>9680</v>
      </c>
      <c r="K1628" s="80" t="s">
        <v>9680</v>
      </c>
      <c r="L1628" s="80" t="s">
        <v>84</v>
      </c>
      <c r="M1628" s="80" t="s">
        <v>9680</v>
      </c>
      <c r="N1628" s="80" t="s">
        <v>84</v>
      </c>
      <c r="O1628" s="80" t="s">
        <v>9680</v>
      </c>
      <c r="P1628" s="80"/>
      <c r="Q1628" s="80" t="s">
        <v>9680</v>
      </c>
      <c r="R1628" s="80" t="s">
        <v>9680</v>
      </c>
    </row>
    <row r="1629" spans="1:18" ht="20" x14ac:dyDescent="0.2">
      <c r="A1629" s="80" t="s">
        <v>3392</v>
      </c>
      <c r="B1629" s="80" t="s">
        <v>10256</v>
      </c>
      <c r="C1629" s="80" t="s">
        <v>9680</v>
      </c>
      <c r="D1629" s="80" t="s">
        <v>9680</v>
      </c>
      <c r="E1629" s="80" t="s">
        <v>84</v>
      </c>
      <c r="F1629" s="80"/>
      <c r="G1629" s="80" t="s">
        <v>9680</v>
      </c>
      <c r="H1629" s="80" t="s">
        <v>84</v>
      </c>
      <c r="I1629" s="80" t="s">
        <v>9680</v>
      </c>
      <c r="J1629" s="80" t="s">
        <v>9680</v>
      </c>
      <c r="K1629" s="80" t="s">
        <v>9680</v>
      </c>
      <c r="L1629" s="80" t="s">
        <v>84</v>
      </c>
      <c r="M1629" s="80" t="s">
        <v>9680</v>
      </c>
      <c r="N1629" s="80" t="s">
        <v>84</v>
      </c>
      <c r="O1629" s="80" t="s">
        <v>9680</v>
      </c>
      <c r="P1629" s="80"/>
      <c r="Q1629" s="80" t="s">
        <v>9680</v>
      </c>
      <c r="R1629" s="80" t="s">
        <v>9680</v>
      </c>
    </row>
    <row r="1630" spans="1:18" ht="20" x14ac:dyDescent="0.2">
      <c r="A1630" s="80" t="s">
        <v>3392</v>
      </c>
      <c r="B1630" s="80" t="s">
        <v>3393</v>
      </c>
      <c r="C1630" s="80" t="s">
        <v>9680</v>
      </c>
      <c r="D1630" s="80" t="s">
        <v>9680</v>
      </c>
      <c r="E1630" s="80" t="s">
        <v>84</v>
      </c>
      <c r="F1630" s="80"/>
      <c r="G1630" s="80" t="s">
        <v>9680</v>
      </c>
      <c r="H1630" s="80" t="s">
        <v>84</v>
      </c>
      <c r="I1630" s="80" t="s">
        <v>9680</v>
      </c>
      <c r="J1630" s="80" t="s">
        <v>9680</v>
      </c>
      <c r="K1630" s="80" t="s">
        <v>9680</v>
      </c>
      <c r="L1630" s="80" t="s">
        <v>84</v>
      </c>
      <c r="M1630" s="80" t="s">
        <v>9680</v>
      </c>
      <c r="N1630" s="80" t="s">
        <v>84</v>
      </c>
      <c r="O1630" s="80" t="s">
        <v>9680</v>
      </c>
      <c r="P1630" s="80"/>
      <c r="Q1630" s="80" t="s">
        <v>9680</v>
      </c>
      <c r="R1630" s="80" t="s">
        <v>9680</v>
      </c>
    </row>
    <row r="1631" spans="1:18" ht="20" x14ac:dyDescent="0.2">
      <c r="A1631" s="80" t="s">
        <v>3409</v>
      </c>
      <c r="B1631" s="80" t="s">
        <v>10257</v>
      </c>
      <c r="C1631" s="80" t="s">
        <v>9680</v>
      </c>
      <c r="D1631" s="80" t="s">
        <v>9680</v>
      </c>
      <c r="E1631" s="80" t="s">
        <v>9680</v>
      </c>
      <c r="F1631" s="80"/>
      <c r="G1631" s="80" t="s">
        <v>9680</v>
      </c>
      <c r="H1631" s="80" t="s">
        <v>9680</v>
      </c>
      <c r="I1631" s="80" t="s">
        <v>9680</v>
      </c>
      <c r="J1631" s="80" t="s">
        <v>84</v>
      </c>
      <c r="K1631" s="80" t="s">
        <v>9680</v>
      </c>
      <c r="L1631" s="80" t="s">
        <v>9680</v>
      </c>
      <c r="M1631" s="80" t="s">
        <v>9680</v>
      </c>
      <c r="N1631" s="80" t="s">
        <v>9680</v>
      </c>
      <c r="O1631" s="80" t="s">
        <v>9680</v>
      </c>
      <c r="P1631" s="80"/>
      <c r="Q1631" s="80" t="s">
        <v>9680</v>
      </c>
      <c r="R1631" s="80" t="s">
        <v>9680</v>
      </c>
    </row>
    <row r="1632" spans="1:18" ht="20" x14ac:dyDescent="0.2">
      <c r="A1632" s="80" t="s">
        <v>3409</v>
      </c>
      <c r="B1632" s="80" t="s">
        <v>3410</v>
      </c>
      <c r="C1632" s="80" t="s">
        <v>9680</v>
      </c>
      <c r="D1632" s="80" t="s">
        <v>9680</v>
      </c>
      <c r="E1632" s="80" t="s">
        <v>9680</v>
      </c>
      <c r="F1632" s="80"/>
      <c r="G1632" s="80" t="s">
        <v>9680</v>
      </c>
      <c r="H1632" s="80" t="s">
        <v>9680</v>
      </c>
      <c r="I1632" s="80" t="s">
        <v>9680</v>
      </c>
      <c r="J1632" s="80" t="s">
        <v>84</v>
      </c>
      <c r="K1632" s="80" t="s">
        <v>9680</v>
      </c>
      <c r="L1632" s="80" t="s">
        <v>9680</v>
      </c>
      <c r="M1632" s="80" t="s">
        <v>9680</v>
      </c>
      <c r="N1632" s="80" t="s">
        <v>9680</v>
      </c>
      <c r="O1632" s="80" t="s">
        <v>9680</v>
      </c>
      <c r="P1632" s="80"/>
      <c r="Q1632" s="80" t="s">
        <v>9680</v>
      </c>
      <c r="R1632" s="80" t="s">
        <v>9680</v>
      </c>
    </row>
    <row r="1633" spans="1:18" ht="20" x14ac:dyDescent="0.2">
      <c r="A1633" s="80" t="s">
        <v>3378</v>
      </c>
      <c r="B1633" s="80" t="s">
        <v>3379</v>
      </c>
      <c r="C1633" s="80" t="s">
        <v>9680</v>
      </c>
      <c r="D1633" s="80" t="s">
        <v>9680</v>
      </c>
      <c r="E1633" s="80" t="s">
        <v>84</v>
      </c>
      <c r="F1633" s="80"/>
      <c r="G1633" s="80" t="s">
        <v>9680</v>
      </c>
      <c r="H1633" s="80" t="s">
        <v>84</v>
      </c>
      <c r="I1633" s="80" t="s">
        <v>9680</v>
      </c>
      <c r="J1633" s="80" t="s">
        <v>84</v>
      </c>
      <c r="K1633" s="80" t="s">
        <v>9680</v>
      </c>
      <c r="L1633" s="80" t="s">
        <v>9680</v>
      </c>
      <c r="M1633" s="80" t="s">
        <v>9680</v>
      </c>
      <c r="N1633" s="80" t="s">
        <v>84</v>
      </c>
      <c r="O1633" s="80" t="s">
        <v>9680</v>
      </c>
      <c r="P1633" s="80"/>
      <c r="Q1633" s="80" t="s">
        <v>9680</v>
      </c>
      <c r="R1633" s="80" t="s">
        <v>9680</v>
      </c>
    </row>
    <row r="1634" spans="1:18" ht="20" x14ac:dyDescent="0.2">
      <c r="A1634" s="80" t="s">
        <v>3411</v>
      </c>
      <c r="B1634" s="80" t="s">
        <v>3412</v>
      </c>
      <c r="C1634" s="80" t="s">
        <v>9680</v>
      </c>
      <c r="D1634" s="80" t="s">
        <v>9680</v>
      </c>
      <c r="E1634" s="80" t="s">
        <v>9680</v>
      </c>
      <c r="F1634" s="80"/>
      <c r="G1634" s="80" t="s">
        <v>9680</v>
      </c>
      <c r="H1634" s="80" t="s">
        <v>9680</v>
      </c>
      <c r="I1634" s="80" t="s">
        <v>9680</v>
      </c>
      <c r="J1634" s="80" t="s">
        <v>84</v>
      </c>
      <c r="K1634" s="80" t="s">
        <v>9680</v>
      </c>
      <c r="L1634" s="80" t="s">
        <v>9680</v>
      </c>
      <c r="M1634" s="80" t="s">
        <v>9680</v>
      </c>
      <c r="N1634" s="80" t="s">
        <v>9680</v>
      </c>
      <c r="O1634" s="80" t="s">
        <v>9680</v>
      </c>
      <c r="P1634" s="80"/>
      <c r="Q1634" s="80" t="s">
        <v>9680</v>
      </c>
      <c r="R1634" s="80" t="s">
        <v>9680</v>
      </c>
    </row>
    <row r="1635" spans="1:18" ht="20" x14ac:dyDescent="0.2">
      <c r="A1635" s="80" t="s">
        <v>3422</v>
      </c>
      <c r="B1635" s="80" t="s">
        <v>3423</v>
      </c>
      <c r="C1635" s="80" t="s">
        <v>9680</v>
      </c>
      <c r="D1635" s="80" t="s">
        <v>9680</v>
      </c>
      <c r="E1635" s="80" t="s">
        <v>84</v>
      </c>
      <c r="F1635" s="80"/>
      <c r="G1635" s="80" t="s">
        <v>9680</v>
      </c>
      <c r="H1635" s="80" t="s">
        <v>84</v>
      </c>
      <c r="I1635" s="80" t="s">
        <v>9680</v>
      </c>
      <c r="J1635" s="80" t="s">
        <v>84</v>
      </c>
      <c r="K1635" s="80" t="s">
        <v>9680</v>
      </c>
      <c r="L1635" s="80" t="s">
        <v>9680</v>
      </c>
      <c r="M1635" s="80" t="s">
        <v>9680</v>
      </c>
      <c r="N1635" s="80" t="s">
        <v>84</v>
      </c>
      <c r="O1635" s="80" t="s">
        <v>9680</v>
      </c>
      <c r="P1635" s="80"/>
      <c r="Q1635" s="80" t="s">
        <v>9680</v>
      </c>
      <c r="R1635" s="80" t="s">
        <v>9680</v>
      </c>
    </row>
    <row r="1636" spans="1:18" ht="20" x14ac:dyDescent="0.2">
      <c r="A1636" s="80" t="s">
        <v>3444</v>
      </c>
      <c r="B1636" s="80" t="s">
        <v>3445</v>
      </c>
      <c r="C1636" s="80" t="s">
        <v>9680</v>
      </c>
      <c r="D1636" s="80" t="s">
        <v>9680</v>
      </c>
      <c r="E1636" s="80" t="s">
        <v>84</v>
      </c>
      <c r="F1636" s="80"/>
      <c r="G1636" s="80" t="s">
        <v>84</v>
      </c>
      <c r="H1636" s="80" t="s">
        <v>9680</v>
      </c>
      <c r="I1636" s="80" t="s">
        <v>9680</v>
      </c>
      <c r="J1636" s="80" t="s">
        <v>84</v>
      </c>
      <c r="K1636" s="80" t="s">
        <v>9680</v>
      </c>
      <c r="L1636" s="80" t="s">
        <v>9680</v>
      </c>
      <c r="M1636" s="80" t="s">
        <v>84</v>
      </c>
      <c r="N1636" s="80" t="s">
        <v>84</v>
      </c>
      <c r="O1636" s="80" t="s">
        <v>9680</v>
      </c>
      <c r="P1636" s="80"/>
      <c r="Q1636" s="80" t="s">
        <v>9680</v>
      </c>
      <c r="R1636" s="80" t="s">
        <v>9680</v>
      </c>
    </row>
    <row r="1637" spans="1:18" ht="20" x14ac:dyDescent="0.2">
      <c r="A1637" s="80" t="s">
        <v>3450</v>
      </c>
      <c r="B1637" s="80" t="s">
        <v>3451</v>
      </c>
      <c r="C1637" s="80" t="s">
        <v>9680</v>
      </c>
      <c r="D1637" s="80" t="s">
        <v>9680</v>
      </c>
      <c r="E1637" s="80" t="s">
        <v>84</v>
      </c>
      <c r="F1637" s="80"/>
      <c r="G1637" s="80" t="s">
        <v>84</v>
      </c>
      <c r="H1637" s="80" t="s">
        <v>9680</v>
      </c>
      <c r="I1637" s="80" t="s">
        <v>9680</v>
      </c>
      <c r="J1637" s="80" t="s">
        <v>84</v>
      </c>
      <c r="K1637" s="80" t="s">
        <v>9680</v>
      </c>
      <c r="L1637" s="80" t="s">
        <v>9680</v>
      </c>
      <c r="M1637" s="80" t="s">
        <v>84</v>
      </c>
      <c r="N1637" s="80" t="s">
        <v>84</v>
      </c>
      <c r="O1637" s="80" t="s">
        <v>9680</v>
      </c>
      <c r="P1637" s="80"/>
      <c r="Q1637" s="80" t="s">
        <v>9680</v>
      </c>
      <c r="R1637" s="80" t="s">
        <v>9680</v>
      </c>
    </row>
    <row r="1638" spans="1:18" ht="20" x14ac:dyDescent="0.2">
      <c r="A1638" s="80" t="s">
        <v>3460</v>
      </c>
      <c r="B1638" s="80" t="s">
        <v>3461</v>
      </c>
      <c r="C1638" s="80" t="s">
        <v>9680</v>
      </c>
      <c r="D1638" s="80" t="s">
        <v>9680</v>
      </c>
      <c r="E1638" s="80" t="s">
        <v>84</v>
      </c>
      <c r="F1638" s="80"/>
      <c r="G1638" s="80" t="s">
        <v>84</v>
      </c>
      <c r="H1638" s="80" t="s">
        <v>9680</v>
      </c>
      <c r="I1638" s="80" t="s">
        <v>9680</v>
      </c>
      <c r="J1638" s="80" t="s">
        <v>84</v>
      </c>
      <c r="K1638" s="80" t="s">
        <v>9680</v>
      </c>
      <c r="L1638" s="80" t="s">
        <v>9680</v>
      </c>
      <c r="M1638" s="80" t="s">
        <v>84</v>
      </c>
      <c r="N1638" s="80" t="s">
        <v>84</v>
      </c>
      <c r="O1638" s="80" t="s">
        <v>9680</v>
      </c>
      <c r="P1638" s="80"/>
      <c r="Q1638" s="80" t="s">
        <v>9680</v>
      </c>
      <c r="R1638" s="80" t="s">
        <v>9680</v>
      </c>
    </row>
    <row r="1639" spans="1:18" ht="20" x14ac:dyDescent="0.2">
      <c r="A1639" s="80" t="s">
        <v>3464</v>
      </c>
      <c r="B1639" s="80" t="s">
        <v>3465</v>
      </c>
      <c r="C1639" s="80" t="s">
        <v>9680</v>
      </c>
      <c r="D1639" s="80" t="s">
        <v>9680</v>
      </c>
      <c r="E1639" s="80" t="s">
        <v>84</v>
      </c>
      <c r="F1639" s="80"/>
      <c r="G1639" s="80" t="s">
        <v>84</v>
      </c>
      <c r="H1639" s="80" t="s">
        <v>9680</v>
      </c>
      <c r="I1639" s="80" t="s">
        <v>9680</v>
      </c>
      <c r="J1639" s="80" t="s">
        <v>84</v>
      </c>
      <c r="K1639" s="80" t="s">
        <v>9680</v>
      </c>
      <c r="L1639" s="80" t="s">
        <v>9680</v>
      </c>
      <c r="M1639" s="80" t="s">
        <v>84</v>
      </c>
      <c r="N1639" s="80" t="s">
        <v>84</v>
      </c>
      <c r="O1639" s="80" t="s">
        <v>9680</v>
      </c>
      <c r="P1639" s="80"/>
      <c r="Q1639" s="80" t="s">
        <v>9680</v>
      </c>
      <c r="R1639" s="80" t="s">
        <v>9680</v>
      </c>
    </row>
    <row r="1640" spans="1:18" ht="20" x14ac:dyDescent="0.2">
      <c r="A1640" s="80" t="s">
        <v>3468</v>
      </c>
      <c r="B1640" s="80" t="s">
        <v>3469</v>
      </c>
      <c r="C1640" s="80" t="s">
        <v>9680</v>
      </c>
      <c r="D1640" s="80" t="s">
        <v>9680</v>
      </c>
      <c r="E1640" s="80" t="s">
        <v>84</v>
      </c>
      <c r="F1640" s="80"/>
      <c r="G1640" s="80" t="s">
        <v>84</v>
      </c>
      <c r="H1640" s="80" t="s">
        <v>9680</v>
      </c>
      <c r="I1640" s="80" t="s">
        <v>9680</v>
      </c>
      <c r="J1640" s="80" t="s">
        <v>84</v>
      </c>
      <c r="K1640" s="80" t="s">
        <v>9680</v>
      </c>
      <c r="L1640" s="80" t="s">
        <v>9680</v>
      </c>
      <c r="M1640" s="80" t="s">
        <v>84</v>
      </c>
      <c r="N1640" s="80" t="s">
        <v>84</v>
      </c>
      <c r="O1640" s="80" t="s">
        <v>9680</v>
      </c>
      <c r="P1640" s="80"/>
      <c r="Q1640" s="80" t="s">
        <v>9680</v>
      </c>
      <c r="R1640" s="80" t="s">
        <v>9680</v>
      </c>
    </row>
    <row r="1641" spans="1:18" ht="20" x14ac:dyDescent="0.2">
      <c r="A1641" s="80" t="s">
        <v>2918</v>
      </c>
      <c r="B1641" s="80" t="s">
        <v>2919</v>
      </c>
      <c r="C1641" s="80" t="s">
        <v>9680</v>
      </c>
      <c r="D1641" s="80" t="s">
        <v>9680</v>
      </c>
      <c r="E1641" s="80" t="s">
        <v>84</v>
      </c>
      <c r="F1641" s="80"/>
      <c r="G1641" s="80" t="s">
        <v>84</v>
      </c>
      <c r="H1641" s="80" t="s">
        <v>9680</v>
      </c>
      <c r="I1641" s="80" t="s">
        <v>9680</v>
      </c>
      <c r="J1641" s="80" t="s">
        <v>84</v>
      </c>
      <c r="K1641" s="80" t="s">
        <v>9680</v>
      </c>
      <c r="L1641" s="80" t="s">
        <v>9680</v>
      </c>
      <c r="M1641" s="80" t="s">
        <v>84</v>
      </c>
      <c r="N1641" s="80" t="s">
        <v>84</v>
      </c>
      <c r="O1641" s="80" t="s">
        <v>9680</v>
      </c>
      <c r="P1641" s="80"/>
      <c r="Q1641" s="80" t="s">
        <v>9680</v>
      </c>
      <c r="R1641" s="80" t="s">
        <v>9680</v>
      </c>
    </row>
    <row r="1642" spans="1:18" ht="20" x14ac:dyDescent="0.2">
      <c r="A1642" s="80" t="s">
        <v>3462</v>
      </c>
      <c r="B1642" s="80" t="s">
        <v>3463</v>
      </c>
      <c r="C1642" s="80" t="s">
        <v>9680</v>
      </c>
      <c r="D1642" s="80" t="s">
        <v>9680</v>
      </c>
      <c r="E1642" s="80" t="s">
        <v>84</v>
      </c>
      <c r="F1642" s="80"/>
      <c r="G1642" s="80" t="s">
        <v>84</v>
      </c>
      <c r="H1642" s="80" t="s">
        <v>9680</v>
      </c>
      <c r="I1642" s="80" t="s">
        <v>9680</v>
      </c>
      <c r="J1642" s="80" t="s">
        <v>84</v>
      </c>
      <c r="K1642" s="80" t="s">
        <v>9680</v>
      </c>
      <c r="L1642" s="80" t="s">
        <v>9680</v>
      </c>
      <c r="M1642" s="80" t="s">
        <v>84</v>
      </c>
      <c r="N1642" s="80" t="s">
        <v>84</v>
      </c>
      <c r="O1642" s="80" t="s">
        <v>9680</v>
      </c>
      <c r="P1642" s="80"/>
      <c r="Q1642" s="80" t="s">
        <v>9680</v>
      </c>
      <c r="R1642" s="80" t="s">
        <v>9680</v>
      </c>
    </row>
    <row r="1643" spans="1:18" ht="20" x14ac:dyDescent="0.2">
      <c r="A1643" s="80" t="s">
        <v>3305</v>
      </c>
      <c r="B1643" s="80" t="s">
        <v>3306</v>
      </c>
      <c r="C1643" s="80" t="s">
        <v>9680</v>
      </c>
      <c r="D1643" s="80" t="s">
        <v>84</v>
      </c>
      <c r="E1643" s="80" t="s">
        <v>84</v>
      </c>
      <c r="F1643" s="80"/>
      <c r="G1643" s="80" t="s">
        <v>84</v>
      </c>
      <c r="H1643" s="80" t="s">
        <v>84</v>
      </c>
      <c r="I1643" s="80" t="s">
        <v>84</v>
      </c>
      <c r="J1643" s="80" t="s">
        <v>84</v>
      </c>
      <c r="K1643" s="80" t="s">
        <v>84</v>
      </c>
      <c r="L1643" s="80" t="s">
        <v>84</v>
      </c>
      <c r="M1643" s="80" t="s">
        <v>84</v>
      </c>
      <c r="N1643" s="80" t="s">
        <v>84</v>
      </c>
      <c r="O1643" s="80" t="s">
        <v>84</v>
      </c>
      <c r="P1643" s="80"/>
      <c r="Q1643" s="80" t="s">
        <v>84</v>
      </c>
      <c r="R1643" s="80" t="s">
        <v>84</v>
      </c>
    </row>
    <row r="1644" spans="1:18" ht="20" x14ac:dyDescent="0.2">
      <c r="A1644" s="80" t="s">
        <v>3305</v>
      </c>
      <c r="B1644" s="80" t="s">
        <v>10258</v>
      </c>
      <c r="C1644" s="80" t="s">
        <v>9680</v>
      </c>
      <c r="D1644" s="80" t="s">
        <v>84</v>
      </c>
      <c r="E1644" s="80" t="s">
        <v>84</v>
      </c>
      <c r="F1644" s="80"/>
      <c r="G1644" s="80" t="s">
        <v>84</v>
      </c>
      <c r="H1644" s="80" t="s">
        <v>84</v>
      </c>
      <c r="I1644" s="80" t="s">
        <v>84</v>
      </c>
      <c r="J1644" s="80" t="s">
        <v>84</v>
      </c>
      <c r="K1644" s="80" t="s">
        <v>84</v>
      </c>
      <c r="L1644" s="80" t="s">
        <v>84</v>
      </c>
      <c r="M1644" s="80" t="s">
        <v>84</v>
      </c>
      <c r="N1644" s="80" t="s">
        <v>84</v>
      </c>
      <c r="O1644" s="80" t="s">
        <v>84</v>
      </c>
      <c r="P1644" s="80"/>
      <c r="Q1644" s="80" t="s">
        <v>84</v>
      </c>
      <c r="R1644" s="80" t="s">
        <v>84</v>
      </c>
    </row>
    <row r="1645" spans="1:18" ht="20" x14ac:dyDescent="0.2">
      <c r="A1645" s="80" t="s">
        <v>3305</v>
      </c>
      <c r="B1645" s="80" t="s">
        <v>3588</v>
      </c>
      <c r="C1645" s="80" t="s">
        <v>9680</v>
      </c>
      <c r="D1645" s="80" t="s">
        <v>84</v>
      </c>
      <c r="E1645" s="80" t="s">
        <v>84</v>
      </c>
      <c r="F1645" s="80"/>
      <c r="G1645" s="80" t="s">
        <v>84</v>
      </c>
      <c r="H1645" s="80" t="s">
        <v>84</v>
      </c>
      <c r="I1645" s="80" t="s">
        <v>84</v>
      </c>
      <c r="J1645" s="80" t="s">
        <v>84</v>
      </c>
      <c r="K1645" s="80" t="s">
        <v>84</v>
      </c>
      <c r="L1645" s="80" t="s">
        <v>84</v>
      </c>
      <c r="M1645" s="80" t="s">
        <v>84</v>
      </c>
      <c r="N1645" s="80" t="s">
        <v>84</v>
      </c>
      <c r="O1645" s="80" t="s">
        <v>84</v>
      </c>
      <c r="P1645" s="80"/>
      <c r="Q1645" s="80" t="s">
        <v>84</v>
      </c>
      <c r="R1645" s="80" t="s">
        <v>84</v>
      </c>
    </row>
    <row r="1646" spans="1:18" ht="20" x14ac:dyDescent="0.2">
      <c r="A1646" s="80" t="s">
        <v>3309</v>
      </c>
      <c r="B1646" s="80" t="s">
        <v>3310</v>
      </c>
      <c r="C1646" s="80" t="s">
        <v>9680</v>
      </c>
      <c r="D1646" s="80" t="s">
        <v>84</v>
      </c>
      <c r="E1646" s="80" t="s">
        <v>84</v>
      </c>
      <c r="F1646" s="80"/>
      <c r="G1646" s="80" t="s">
        <v>84</v>
      </c>
      <c r="H1646" s="80" t="s">
        <v>84</v>
      </c>
      <c r="I1646" s="80" t="s">
        <v>84</v>
      </c>
      <c r="J1646" s="80" t="s">
        <v>84</v>
      </c>
      <c r="K1646" s="80" t="s">
        <v>84</v>
      </c>
      <c r="L1646" s="80" t="s">
        <v>84</v>
      </c>
      <c r="M1646" s="80" t="s">
        <v>84</v>
      </c>
      <c r="N1646" s="80" t="s">
        <v>84</v>
      </c>
      <c r="O1646" s="80" t="s">
        <v>84</v>
      </c>
      <c r="P1646" s="80"/>
      <c r="Q1646" s="80" t="s">
        <v>84</v>
      </c>
      <c r="R1646" s="80" t="s">
        <v>84</v>
      </c>
    </row>
    <row r="1647" spans="1:18" ht="20" x14ac:dyDescent="0.2">
      <c r="A1647" s="80" t="s">
        <v>3309</v>
      </c>
      <c r="B1647" s="80" t="s">
        <v>10259</v>
      </c>
      <c r="C1647" s="80" t="s">
        <v>9680</v>
      </c>
      <c r="D1647" s="80" t="s">
        <v>84</v>
      </c>
      <c r="E1647" s="80" t="s">
        <v>84</v>
      </c>
      <c r="F1647" s="80"/>
      <c r="G1647" s="80" t="s">
        <v>84</v>
      </c>
      <c r="H1647" s="80" t="s">
        <v>84</v>
      </c>
      <c r="I1647" s="80" t="s">
        <v>84</v>
      </c>
      <c r="J1647" s="80" t="s">
        <v>84</v>
      </c>
      <c r="K1647" s="80" t="s">
        <v>84</v>
      </c>
      <c r="L1647" s="80" t="s">
        <v>84</v>
      </c>
      <c r="M1647" s="80" t="s">
        <v>84</v>
      </c>
      <c r="N1647" s="80" t="s">
        <v>84</v>
      </c>
      <c r="O1647" s="80" t="s">
        <v>84</v>
      </c>
      <c r="P1647" s="80"/>
      <c r="Q1647" s="80" t="s">
        <v>84</v>
      </c>
      <c r="R1647" s="80" t="s">
        <v>84</v>
      </c>
    </row>
    <row r="1648" spans="1:18" ht="20" x14ac:dyDescent="0.2">
      <c r="A1648" s="80" t="s">
        <v>3309</v>
      </c>
      <c r="B1648" s="80" t="s">
        <v>3589</v>
      </c>
      <c r="C1648" s="80" t="s">
        <v>9680</v>
      </c>
      <c r="D1648" s="80" t="s">
        <v>84</v>
      </c>
      <c r="E1648" s="80" t="s">
        <v>84</v>
      </c>
      <c r="F1648" s="80"/>
      <c r="G1648" s="80" t="s">
        <v>84</v>
      </c>
      <c r="H1648" s="80" t="s">
        <v>84</v>
      </c>
      <c r="I1648" s="80" t="s">
        <v>84</v>
      </c>
      <c r="J1648" s="80" t="s">
        <v>84</v>
      </c>
      <c r="K1648" s="80" t="s">
        <v>84</v>
      </c>
      <c r="L1648" s="80" t="s">
        <v>84</v>
      </c>
      <c r="M1648" s="80" t="s">
        <v>84</v>
      </c>
      <c r="N1648" s="80" t="s">
        <v>84</v>
      </c>
      <c r="O1648" s="80" t="s">
        <v>84</v>
      </c>
      <c r="P1648" s="80"/>
      <c r="Q1648" s="80" t="s">
        <v>84</v>
      </c>
      <c r="R1648" s="80" t="s">
        <v>84</v>
      </c>
    </row>
    <row r="1649" spans="1:18" ht="20" x14ac:dyDescent="0.2">
      <c r="A1649" s="80" t="s">
        <v>10260</v>
      </c>
      <c r="B1649" s="80" t="s">
        <v>10261</v>
      </c>
      <c r="C1649" s="80" t="s">
        <v>9680</v>
      </c>
      <c r="D1649" s="80" t="s">
        <v>84</v>
      </c>
      <c r="E1649" s="80" t="s">
        <v>84</v>
      </c>
      <c r="F1649" s="80"/>
      <c r="G1649" s="80" t="s">
        <v>84</v>
      </c>
      <c r="H1649" s="80" t="s">
        <v>84</v>
      </c>
      <c r="I1649" s="80" t="s">
        <v>84</v>
      </c>
      <c r="J1649" s="80" t="s">
        <v>84</v>
      </c>
      <c r="K1649" s="80" t="s">
        <v>84</v>
      </c>
      <c r="L1649" s="80" t="s">
        <v>84</v>
      </c>
      <c r="M1649" s="80" t="s">
        <v>84</v>
      </c>
      <c r="N1649" s="80" t="s">
        <v>84</v>
      </c>
      <c r="O1649" s="80" t="s">
        <v>84</v>
      </c>
      <c r="P1649" s="80"/>
      <c r="Q1649" s="80" t="s">
        <v>84</v>
      </c>
      <c r="R1649" s="80" t="s">
        <v>84</v>
      </c>
    </row>
    <row r="1650" spans="1:18" ht="20" x14ac:dyDescent="0.2">
      <c r="A1650" s="80" t="s">
        <v>3307</v>
      </c>
      <c r="B1650" s="80" t="s">
        <v>3308</v>
      </c>
      <c r="C1650" s="80" t="s">
        <v>9680</v>
      </c>
      <c r="D1650" s="80" t="s">
        <v>84</v>
      </c>
      <c r="E1650" s="80" t="s">
        <v>84</v>
      </c>
      <c r="F1650" s="80"/>
      <c r="G1650" s="80" t="s">
        <v>84</v>
      </c>
      <c r="H1650" s="80" t="s">
        <v>84</v>
      </c>
      <c r="I1650" s="80" t="s">
        <v>84</v>
      </c>
      <c r="J1650" s="80" t="s">
        <v>84</v>
      </c>
      <c r="K1650" s="80" t="s">
        <v>84</v>
      </c>
      <c r="L1650" s="80" t="s">
        <v>84</v>
      </c>
      <c r="M1650" s="80" t="s">
        <v>84</v>
      </c>
      <c r="N1650" s="80" t="s">
        <v>84</v>
      </c>
      <c r="O1650" s="80" t="s">
        <v>84</v>
      </c>
      <c r="P1650" s="80"/>
      <c r="Q1650" s="80" t="s">
        <v>84</v>
      </c>
      <c r="R1650" s="80" t="s">
        <v>84</v>
      </c>
    </row>
    <row r="1651" spans="1:18" ht="20" x14ac:dyDescent="0.2">
      <c r="A1651" s="80" t="s">
        <v>3307</v>
      </c>
      <c r="B1651" s="80" t="s">
        <v>10262</v>
      </c>
      <c r="C1651" s="80" t="s">
        <v>9680</v>
      </c>
      <c r="D1651" s="80" t="s">
        <v>84</v>
      </c>
      <c r="E1651" s="80" t="s">
        <v>84</v>
      </c>
      <c r="F1651" s="80"/>
      <c r="G1651" s="80" t="s">
        <v>84</v>
      </c>
      <c r="H1651" s="80" t="s">
        <v>84</v>
      </c>
      <c r="I1651" s="80" t="s">
        <v>84</v>
      </c>
      <c r="J1651" s="80" t="s">
        <v>84</v>
      </c>
      <c r="K1651" s="80" t="s">
        <v>84</v>
      </c>
      <c r="L1651" s="80" t="s">
        <v>84</v>
      </c>
      <c r="M1651" s="80" t="s">
        <v>84</v>
      </c>
      <c r="N1651" s="80" t="s">
        <v>84</v>
      </c>
      <c r="O1651" s="80" t="s">
        <v>84</v>
      </c>
      <c r="P1651" s="80"/>
      <c r="Q1651" s="80" t="s">
        <v>84</v>
      </c>
      <c r="R1651" s="80" t="s">
        <v>84</v>
      </c>
    </row>
    <row r="1652" spans="1:18" ht="20" x14ac:dyDescent="0.2">
      <c r="A1652" s="80" t="s">
        <v>3307</v>
      </c>
      <c r="B1652" s="80" t="s">
        <v>3584</v>
      </c>
      <c r="C1652" s="80" t="s">
        <v>9680</v>
      </c>
      <c r="D1652" s="80" t="s">
        <v>84</v>
      </c>
      <c r="E1652" s="80" t="s">
        <v>84</v>
      </c>
      <c r="F1652" s="80"/>
      <c r="G1652" s="80" t="s">
        <v>84</v>
      </c>
      <c r="H1652" s="80" t="s">
        <v>84</v>
      </c>
      <c r="I1652" s="80" t="s">
        <v>84</v>
      </c>
      <c r="J1652" s="80" t="s">
        <v>84</v>
      </c>
      <c r="K1652" s="80" t="s">
        <v>84</v>
      </c>
      <c r="L1652" s="80" t="s">
        <v>84</v>
      </c>
      <c r="M1652" s="80" t="s">
        <v>84</v>
      </c>
      <c r="N1652" s="80" t="s">
        <v>84</v>
      </c>
      <c r="O1652" s="80" t="s">
        <v>84</v>
      </c>
      <c r="P1652" s="80"/>
      <c r="Q1652" s="80" t="s">
        <v>84</v>
      </c>
      <c r="R1652" s="80" t="s">
        <v>84</v>
      </c>
    </row>
    <row r="1653" spans="1:18" ht="20" x14ac:dyDescent="0.2">
      <c r="A1653" s="80" t="s">
        <v>3297</v>
      </c>
      <c r="B1653" s="80" t="s">
        <v>3298</v>
      </c>
      <c r="C1653" s="80" t="s">
        <v>9680</v>
      </c>
      <c r="D1653" s="80" t="s">
        <v>84</v>
      </c>
      <c r="E1653" s="80" t="s">
        <v>84</v>
      </c>
      <c r="F1653" s="80"/>
      <c r="G1653" s="80" t="s">
        <v>84</v>
      </c>
      <c r="H1653" s="80" t="s">
        <v>84</v>
      </c>
      <c r="I1653" s="80" t="s">
        <v>84</v>
      </c>
      <c r="J1653" s="80" t="s">
        <v>84</v>
      </c>
      <c r="K1653" s="80" t="s">
        <v>84</v>
      </c>
      <c r="L1653" s="80" t="s">
        <v>84</v>
      </c>
      <c r="M1653" s="80" t="s">
        <v>84</v>
      </c>
      <c r="N1653" s="80" t="s">
        <v>84</v>
      </c>
      <c r="O1653" s="80" t="s">
        <v>84</v>
      </c>
      <c r="P1653" s="80"/>
      <c r="Q1653" s="80" t="s">
        <v>84</v>
      </c>
      <c r="R1653" s="80" t="s">
        <v>84</v>
      </c>
    </row>
    <row r="1654" spans="1:18" ht="20" x14ac:dyDescent="0.2">
      <c r="A1654" s="80" t="s">
        <v>3297</v>
      </c>
      <c r="B1654" s="80" t="s">
        <v>10263</v>
      </c>
      <c r="C1654" s="80" t="s">
        <v>9680</v>
      </c>
      <c r="D1654" s="80" t="s">
        <v>84</v>
      </c>
      <c r="E1654" s="80" t="s">
        <v>84</v>
      </c>
      <c r="F1654" s="80"/>
      <c r="G1654" s="80" t="s">
        <v>84</v>
      </c>
      <c r="H1654" s="80" t="s">
        <v>84</v>
      </c>
      <c r="I1654" s="80" t="s">
        <v>84</v>
      </c>
      <c r="J1654" s="80" t="s">
        <v>84</v>
      </c>
      <c r="K1654" s="80" t="s">
        <v>84</v>
      </c>
      <c r="L1654" s="80" t="s">
        <v>84</v>
      </c>
      <c r="M1654" s="80" t="s">
        <v>84</v>
      </c>
      <c r="N1654" s="80" t="s">
        <v>84</v>
      </c>
      <c r="O1654" s="80" t="s">
        <v>84</v>
      </c>
      <c r="P1654" s="80"/>
      <c r="Q1654" s="80" t="s">
        <v>84</v>
      </c>
      <c r="R1654" s="80" t="s">
        <v>84</v>
      </c>
    </row>
    <row r="1655" spans="1:18" ht="20" x14ac:dyDescent="0.2">
      <c r="A1655" s="80" t="s">
        <v>3297</v>
      </c>
      <c r="B1655" s="80" t="s">
        <v>3585</v>
      </c>
      <c r="C1655" s="80" t="s">
        <v>9680</v>
      </c>
      <c r="D1655" s="80" t="s">
        <v>84</v>
      </c>
      <c r="E1655" s="80" t="s">
        <v>84</v>
      </c>
      <c r="F1655" s="80"/>
      <c r="G1655" s="80" t="s">
        <v>84</v>
      </c>
      <c r="H1655" s="80" t="s">
        <v>84</v>
      </c>
      <c r="I1655" s="80" t="s">
        <v>84</v>
      </c>
      <c r="J1655" s="80" t="s">
        <v>84</v>
      </c>
      <c r="K1655" s="80" t="s">
        <v>84</v>
      </c>
      <c r="L1655" s="80" t="s">
        <v>84</v>
      </c>
      <c r="M1655" s="80" t="s">
        <v>84</v>
      </c>
      <c r="N1655" s="80" t="s">
        <v>84</v>
      </c>
      <c r="O1655" s="80" t="s">
        <v>84</v>
      </c>
      <c r="P1655" s="80"/>
      <c r="Q1655" s="80" t="s">
        <v>84</v>
      </c>
      <c r="R1655" s="80" t="s">
        <v>84</v>
      </c>
    </row>
    <row r="1656" spans="1:18" ht="20" x14ac:dyDescent="0.2">
      <c r="A1656" s="80" t="s">
        <v>3586</v>
      </c>
      <c r="B1656" s="80" t="s">
        <v>10264</v>
      </c>
      <c r="C1656" s="80" t="s">
        <v>9680</v>
      </c>
      <c r="D1656" s="80" t="s">
        <v>84</v>
      </c>
      <c r="E1656" s="80" t="s">
        <v>84</v>
      </c>
      <c r="F1656" s="80"/>
      <c r="G1656" s="80" t="s">
        <v>84</v>
      </c>
      <c r="H1656" s="80" t="s">
        <v>84</v>
      </c>
      <c r="I1656" s="80" t="s">
        <v>84</v>
      </c>
      <c r="J1656" s="80" t="s">
        <v>84</v>
      </c>
      <c r="K1656" s="80" t="s">
        <v>84</v>
      </c>
      <c r="L1656" s="80" t="s">
        <v>84</v>
      </c>
      <c r="M1656" s="80" t="s">
        <v>84</v>
      </c>
      <c r="N1656" s="80" t="s">
        <v>84</v>
      </c>
      <c r="O1656" s="80" t="s">
        <v>84</v>
      </c>
      <c r="P1656" s="80"/>
      <c r="Q1656" s="80" t="s">
        <v>84</v>
      </c>
      <c r="R1656" s="80" t="s">
        <v>84</v>
      </c>
    </row>
    <row r="1657" spans="1:18" ht="20" x14ac:dyDescent="0.2">
      <c r="A1657" s="80" t="s">
        <v>3586</v>
      </c>
      <c r="B1657" s="80" t="s">
        <v>3587</v>
      </c>
      <c r="C1657" s="80" t="s">
        <v>9680</v>
      </c>
      <c r="D1657" s="80" t="s">
        <v>84</v>
      </c>
      <c r="E1657" s="80" t="s">
        <v>84</v>
      </c>
      <c r="F1657" s="80"/>
      <c r="G1657" s="80" t="s">
        <v>84</v>
      </c>
      <c r="H1657" s="80" t="s">
        <v>84</v>
      </c>
      <c r="I1657" s="80" t="s">
        <v>84</v>
      </c>
      <c r="J1657" s="80" t="s">
        <v>84</v>
      </c>
      <c r="K1657" s="80" t="s">
        <v>84</v>
      </c>
      <c r="L1657" s="80" t="s">
        <v>84</v>
      </c>
      <c r="M1657" s="80" t="s">
        <v>84</v>
      </c>
      <c r="N1657" s="80" t="s">
        <v>84</v>
      </c>
      <c r="O1657" s="80" t="s">
        <v>84</v>
      </c>
      <c r="P1657" s="80"/>
      <c r="Q1657" s="80" t="s">
        <v>84</v>
      </c>
      <c r="R1657" s="80" t="s">
        <v>84</v>
      </c>
    </row>
    <row r="1658" spans="1:18" ht="20" x14ac:dyDescent="0.2">
      <c r="A1658" s="80" t="s">
        <v>10265</v>
      </c>
      <c r="B1658" s="80" t="s">
        <v>10266</v>
      </c>
      <c r="C1658" s="80" t="s">
        <v>9680</v>
      </c>
      <c r="D1658" s="80" t="s">
        <v>84</v>
      </c>
      <c r="E1658" s="80" t="s">
        <v>84</v>
      </c>
      <c r="F1658" s="80"/>
      <c r="G1658" s="80" t="s">
        <v>84</v>
      </c>
      <c r="H1658" s="80" t="s">
        <v>84</v>
      </c>
      <c r="I1658" s="80" t="s">
        <v>84</v>
      </c>
      <c r="J1658" s="80" t="s">
        <v>84</v>
      </c>
      <c r="K1658" s="80" t="s">
        <v>84</v>
      </c>
      <c r="L1658" s="80" t="s">
        <v>84</v>
      </c>
      <c r="M1658" s="80" t="s">
        <v>84</v>
      </c>
      <c r="N1658" s="80" t="s">
        <v>84</v>
      </c>
      <c r="O1658" s="80" t="s">
        <v>84</v>
      </c>
      <c r="P1658" s="80"/>
      <c r="Q1658" s="80" t="s">
        <v>84</v>
      </c>
      <c r="R1658" s="80" t="s">
        <v>84</v>
      </c>
    </row>
    <row r="1659" spans="1:18" ht="20" x14ac:dyDescent="0.2">
      <c r="A1659" s="80" t="s">
        <v>3311</v>
      </c>
      <c r="B1659" s="80" t="s">
        <v>3312</v>
      </c>
      <c r="C1659" s="80" t="s">
        <v>9680</v>
      </c>
      <c r="D1659" s="80" t="s">
        <v>84</v>
      </c>
      <c r="E1659" s="80" t="s">
        <v>84</v>
      </c>
      <c r="F1659" s="80"/>
      <c r="G1659" s="80" t="s">
        <v>84</v>
      </c>
      <c r="H1659" s="80" t="s">
        <v>84</v>
      </c>
      <c r="I1659" s="80" t="s">
        <v>84</v>
      </c>
      <c r="J1659" s="80" t="s">
        <v>84</v>
      </c>
      <c r="K1659" s="80" t="s">
        <v>84</v>
      </c>
      <c r="L1659" s="80" t="s">
        <v>84</v>
      </c>
      <c r="M1659" s="80" t="s">
        <v>84</v>
      </c>
      <c r="N1659" s="80" t="s">
        <v>84</v>
      </c>
      <c r="O1659" s="80" t="s">
        <v>84</v>
      </c>
      <c r="P1659" s="80"/>
      <c r="Q1659" s="80" t="s">
        <v>84</v>
      </c>
      <c r="R1659" s="80" t="s">
        <v>84</v>
      </c>
    </row>
    <row r="1660" spans="1:18" ht="20" x14ac:dyDescent="0.2">
      <c r="A1660" s="80" t="s">
        <v>3311</v>
      </c>
      <c r="B1660" s="80" t="s">
        <v>10267</v>
      </c>
      <c r="C1660" s="80" t="s">
        <v>9680</v>
      </c>
      <c r="D1660" s="80" t="s">
        <v>84</v>
      </c>
      <c r="E1660" s="80" t="s">
        <v>84</v>
      </c>
      <c r="F1660" s="80"/>
      <c r="G1660" s="80" t="s">
        <v>84</v>
      </c>
      <c r="H1660" s="80" t="s">
        <v>84</v>
      </c>
      <c r="I1660" s="80" t="s">
        <v>84</v>
      </c>
      <c r="J1660" s="80" t="s">
        <v>84</v>
      </c>
      <c r="K1660" s="80" t="s">
        <v>84</v>
      </c>
      <c r="L1660" s="80" t="s">
        <v>84</v>
      </c>
      <c r="M1660" s="80" t="s">
        <v>84</v>
      </c>
      <c r="N1660" s="80" t="s">
        <v>84</v>
      </c>
      <c r="O1660" s="80" t="s">
        <v>84</v>
      </c>
      <c r="P1660" s="80"/>
      <c r="Q1660" s="80" t="s">
        <v>84</v>
      </c>
      <c r="R1660" s="80" t="s">
        <v>84</v>
      </c>
    </row>
    <row r="1661" spans="1:18" ht="20" x14ac:dyDescent="0.2">
      <c r="A1661" s="80" t="s">
        <v>3311</v>
      </c>
      <c r="B1661" s="80" t="s">
        <v>3590</v>
      </c>
      <c r="C1661" s="80" t="s">
        <v>9680</v>
      </c>
      <c r="D1661" s="80" t="s">
        <v>84</v>
      </c>
      <c r="E1661" s="80" t="s">
        <v>84</v>
      </c>
      <c r="F1661" s="80"/>
      <c r="G1661" s="80" t="s">
        <v>84</v>
      </c>
      <c r="H1661" s="80" t="s">
        <v>84</v>
      </c>
      <c r="I1661" s="80" t="s">
        <v>84</v>
      </c>
      <c r="J1661" s="80" t="s">
        <v>84</v>
      </c>
      <c r="K1661" s="80" t="s">
        <v>84</v>
      </c>
      <c r="L1661" s="80" t="s">
        <v>84</v>
      </c>
      <c r="M1661" s="80" t="s">
        <v>84</v>
      </c>
      <c r="N1661" s="80" t="s">
        <v>84</v>
      </c>
      <c r="O1661" s="80" t="s">
        <v>84</v>
      </c>
      <c r="P1661" s="80"/>
      <c r="Q1661" s="80" t="s">
        <v>84</v>
      </c>
      <c r="R1661" s="80" t="s">
        <v>84</v>
      </c>
    </row>
    <row r="1662" spans="1:18" ht="20" x14ac:dyDescent="0.2">
      <c r="A1662" s="80" t="s">
        <v>3313</v>
      </c>
      <c r="B1662" s="80" t="s">
        <v>3314</v>
      </c>
      <c r="C1662" s="80" t="s">
        <v>9680</v>
      </c>
      <c r="D1662" s="80" t="s">
        <v>84</v>
      </c>
      <c r="E1662" s="80" t="s">
        <v>84</v>
      </c>
      <c r="F1662" s="80"/>
      <c r="G1662" s="80" t="s">
        <v>84</v>
      </c>
      <c r="H1662" s="80" t="s">
        <v>84</v>
      </c>
      <c r="I1662" s="80" t="s">
        <v>84</v>
      </c>
      <c r="J1662" s="80" t="s">
        <v>84</v>
      </c>
      <c r="K1662" s="80" t="s">
        <v>84</v>
      </c>
      <c r="L1662" s="80" t="s">
        <v>84</v>
      </c>
      <c r="M1662" s="80" t="s">
        <v>84</v>
      </c>
      <c r="N1662" s="80" t="s">
        <v>84</v>
      </c>
      <c r="O1662" s="80" t="s">
        <v>84</v>
      </c>
      <c r="P1662" s="80"/>
      <c r="Q1662" s="80" t="s">
        <v>84</v>
      </c>
      <c r="R1662" s="80" t="s">
        <v>84</v>
      </c>
    </row>
    <row r="1663" spans="1:18" ht="20" x14ac:dyDescent="0.2">
      <c r="A1663" s="80" t="s">
        <v>3313</v>
      </c>
      <c r="B1663" s="80" t="s">
        <v>10268</v>
      </c>
      <c r="C1663" s="80" t="s">
        <v>9680</v>
      </c>
      <c r="D1663" s="80" t="s">
        <v>84</v>
      </c>
      <c r="E1663" s="80" t="s">
        <v>84</v>
      </c>
      <c r="F1663" s="80"/>
      <c r="G1663" s="80" t="s">
        <v>84</v>
      </c>
      <c r="H1663" s="80" t="s">
        <v>84</v>
      </c>
      <c r="I1663" s="80" t="s">
        <v>84</v>
      </c>
      <c r="J1663" s="80" t="s">
        <v>84</v>
      </c>
      <c r="K1663" s="80" t="s">
        <v>84</v>
      </c>
      <c r="L1663" s="80" t="s">
        <v>84</v>
      </c>
      <c r="M1663" s="80" t="s">
        <v>84</v>
      </c>
      <c r="N1663" s="80" t="s">
        <v>84</v>
      </c>
      <c r="O1663" s="80" t="s">
        <v>84</v>
      </c>
      <c r="P1663" s="80"/>
      <c r="Q1663" s="80" t="s">
        <v>84</v>
      </c>
      <c r="R1663" s="80" t="s">
        <v>84</v>
      </c>
    </row>
    <row r="1664" spans="1:18" ht="20" x14ac:dyDescent="0.2">
      <c r="A1664" s="80" t="s">
        <v>3313</v>
      </c>
      <c r="B1664" s="80" t="s">
        <v>3591</v>
      </c>
      <c r="C1664" s="80" t="s">
        <v>9680</v>
      </c>
      <c r="D1664" s="80" t="s">
        <v>84</v>
      </c>
      <c r="E1664" s="80" t="s">
        <v>84</v>
      </c>
      <c r="F1664" s="80"/>
      <c r="G1664" s="80" t="s">
        <v>84</v>
      </c>
      <c r="H1664" s="80" t="s">
        <v>84</v>
      </c>
      <c r="I1664" s="80" t="s">
        <v>84</v>
      </c>
      <c r="J1664" s="80" t="s">
        <v>84</v>
      </c>
      <c r="K1664" s="80" t="s">
        <v>84</v>
      </c>
      <c r="L1664" s="80" t="s">
        <v>84</v>
      </c>
      <c r="M1664" s="80" t="s">
        <v>84</v>
      </c>
      <c r="N1664" s="80" t="s">
        <v>84</v>
      </c>
      <c r="O1664" s="80" t="s">
        <v>84</v>
      </c>
      <c r="P1664" s="80"/>
      <c r="Q1664" s="80" t="s">
        <v>84</v>
      </c>
      <c r="R1664" s="80" t="s">
        <v>84</v>
      </c>
    </row>
    <row r="1665" spans="1:18" ht="20" x14ac:dyDescent="0.2">
      <c r="A1665" s="80" t="s">
        <v>3592</v>
      </c>
      <c r="B1665" s="80" t="s">
        <v>10269</v>
      </c>
      <c r="C1665" s="80" t="s">
        <v>9680</v>
      </c>
      <c r="D1665" s="80" t="s">
        <v>84</v>
      </c>
      <c r="E1665" s="80" t="s">
        <v>84</v>
      </c>
      <c r="F1665" s="80"/>
      <c r="G1665" s="80" t="s">
        <v>84</v>
      </c>
      <c r="H1665" s="80" t="s">
        <v>84</v>
      </c>
      <c r="I1665" s="80" t="s">
        <v>84</v>
      </c>
      <c r="J1665" s="80" t="s">
        <v>84</v>
      </c>
      <c r="K1665" s="80" t="s">
        <v>84</v>
      </c>
      <c r="L1665" s="80" t="s">
        <v>84</v>
      </c>
      <c r="M1665" s="80" t="s">
        <v>84</v>
      </c>
      <c r="N1665" s="80" t="s">
        <v>84</v>
      </c>
      <c r="O1665" s="80" t="s">
        <v>84</v>
      </c>
      <c r="P1665" s="80"/>
      <c r="Q1665" s="80" t="s">
        <v>84</v>
      </c>
      <c r="R1665" s="80" t="s">
        <v>84</v>
      </c>
    </row>
    <row r="1666" spans="1:18" ht="20" x14ac:dyDescent="0.2">
      <c r="A1666" s="80" t="s">
        <v>3592</v>
      </c>
      <c r="B1666" s="80" t="s">
        <v>3593</v>
      </c>
      <c r="C1666" s="80" t="s">
        <v>9680</v>
      </c>
      <c r="D1666" s="80" t="s">
        <v>84</v>
      </c>
      <c r="E1666" s="80" t="s">
        <v>84</v>
      </c>
      <c r="F1666" s="80"/>
      <c r="G1666" s="80" t="s">
        <v>84</v>
      </c>
      <c r="H1666" s="80" t="s">
        <v>84</v>
      </c>
      <c r="I1666" s="80" t="s">
        <v>84</v>
      </c>
      <c r="J1666" s="80" t="s">
        <v>84</v>
      </c>
      <c r="K1666" s="80" t="s">
        <v>84</v>
      </c>
      <c r="L1666" s="80" t="s">
        <v>84</v>
      </c>
      <c r="M1666" s="80" t="s">
        <v>84</v>
      </c>
      <c r="N1666" s="80" t="s">
        <v>84</v>
      </c>
      <c r="O1666" s="80" t="s">
        <v>84</v>
      </c>
      <c r="P1666" s="80"/>
      <c r="Q1666" s="80" t="s">
        <v>84</v>
      </c>
      <c r="R1666" s="80" t="s">
        <v>84</v>
      </c>
    </row>
    <row r="1667" spans="1:18" ht="20" x14ac:dyDescent="0.2">
      <c r="A1667" s="80" t="s">
        <v>2837</v>
      </c>
      <c r="B1667" s="80" t="s">
        <v>2838</v>
      </c>
      <c r="C1667" s="80" t="s">
        <v>9680</v>
      </c>
      <c r="D1667" s="80" t="s">
        <v>84</v>
      </c>
      <c r="E1667" s="80" t="s">
        <v>84</v>
      </c>
      <c r="F1667" s="80"/>
      <c r="G1667" s="80" t="s">
        <v>84</v>
      </c>
      <c r="H1667" s="80" t="s">
        <v>84</v>
      </c>
      <c r="I1667" s="80" t="s">
        <v>84</v>
      </c>
      <c r="J1667" s="80" t="s">
        <v>84</v>
      </c>
      <c r="K1667" s="80" t="s">
        <v>84</v>
      </c>
      <c r="L1667" s="80" t="s">
        <v>84</v>
      </c>
      <c r="M1667" s="80" t="s">
        <v>84</v>
      </c>
      <c r="N1667" s="80" t="s">
        <v>84</v>
      </c>
      <c r="O1667" s="80" t="s">
        <v>84</v>
      </c>
      <c r="P1667" s="80"/>
      <c r="Q1667" s="80" t="s">
        <v>84</v>
      </c>
      <c r="R1667" s="80" t="s">
        <v>84</v>
      </c>
    </row>
    <row r="1668" spans="1:18" ht="20" x14ac:dyDescent="0.2">
      <c r="A1668" s="80" t="s">
        <v>2841</v>
      </c>
      <c r="B1668" s="80" t="s">
        <v>2842</v>
      </c>
      <c r="C1668" s="80" t="s">
        <v>9680</v>
      </c>
      <c r="D1668" s="80" t="s">
        <v>84</v>
      </c>
      <c r="E1668" s="80" t="s">
        <v>84</v>
      </c>
      <c r="F1668" s="80"/>
      <c r="G1668" s="80" t="s">
        <v>84</v>
      </c>
      <c r="H1668" s="80" t="s">
        <v>84</v>
      </c>
      <c r="I1668" s="80" t="s">
        <v>84</v>
      </c>
      <c r="J1668" s="80" t="s">
        <v>84</v>
      </c>
      <c r="K1668" s="80" t="s">
        <v>84</v>
      </c>
      <c r="L1668" s="80" t="s">
        <v>84</v>
      </c>
      <c r="M1668" s="80" t="s">
        <v>84</v>
      </c>
      <c r="N1668" s="80" t="s">
        <v>84</v>
      </c>
      <c r="O1668" s="80" t="s">
        <v>84</v>
      </c>
      <c r="P1668" s="80"/>
      <c r="Q1668" s="80" t="s">
        <v>84</v>
      </c>
      <c r="R1668" s="80" t="s">
        <v>84</v>
      </c>
    </row>
    <row r="1669" spans="1:18" ht="20" x14ac:dyDescent="0.2">
      <c r="A1669" s="80" t="s">
        <v>10270</v>
      </c>
      <c r="B1669" s="80" t="s">
        <v>10271</v>
      </c>
      <c r="C1669" s="80" t="s">
        <v>9680</v>
      </c>
      <c r="D1669" s="80" t="s">
        <v>84</v>
      </c>
      <c r="E1669" s="80" t="s">
        <v>84</v>
      </c>
      <c r="F1669" s="80"/>
      <c r="G1669" s="80" t="s">
        <v>84</v>
      </c>
      <c r="H1669" s="80" t="s">
        <v>84</v>
      </c>
      <c r="I1669" s="80" t="s">
        <v>84</v>
      </c>
      <c r="J1669" s="80" t="s">
        <v>84</v>
      </c>
      <c r="K1669" s="80" t="s">
        <v>84</v>
      </c>
      <c r="L1669" s="80" t="s">
        <v>84</v>
      </c>
      <c r="M1669" s="80" t="s">
        <v>84</v>
      </c>
      <c r="N1669" s="80" t="s">
        <v>84</v>
      </c>
      <c r="O1669" s="80" t="s">
        <v>84</v>
      </c>
      <c r="P1669" s="80"/>
      <c r="Q1669" s="80" t="s">
        <v>84</v>
      </c>
      <c r="R1669" s="80" t="s">
        <v>84</v>
      </c>
    </row>
    <row r="1670" spans="1:18" ht="20" x14ac:dyDescent="0.2">
      <c r="A1670" s="80" t="s">
        <v>2843</v>
      </c>
      <c r="B1670" s="80" t="s">
        <v>2844</v>
      </c>
      <c r="C1670" s="80" t="s">
        <v>9722</v>
      </c>
      <c r="D1670" s="80" t="s">
        <v>84</v>
      </c>
      <c r="E1670" s="80" t="s">
        <v>84</v>
      </c>
      <c r="F1670" s="80"/>
      <c r="G1670" s="80" t="s">
        <v>84</v>
      </c>
      <c r="H1670" s="80" t="s">
        <v>84</v>
      </c>
      <c r="I1670" s="80" t="s">
        <v>84</v>
      </c>
      <c r="J1670" s="80" t="s">
        <v>84</v>
      </c>
      <c r="K1670" s="80" t="s">
        <v>84</v>
      </c>
      <c r="L1670" s="80" t="s">
        <v>84</v>
      </c>
      <c r="M1670" s="80" t="s">
        <v>84</v>
      </c>
      <c r="N1670" s="80" t="s">
        <v>84</v>
      </c>
      <c r="O1670" s="80" t="s">
        <v>84</v>
      </c>
      <c r="P1670" s="80"/>
      <c r="Q1670" s="80" t="s">
        <v>84</v>
      </c>
      <c r="R1670" s="80" t="s">
        <v>84</v>
      </c>
    </row>
    <row r="1671" spans="1:18" ht="20" x14ac:dyDescent="0.2">
      <c r="A1671" s="80" t="s">
        <v>2845</v>
      </c>
      <c r="B1671" s="80" t="s">
        <v>2846</v>
      </c>
      <c r="C1671" s="80" t="s">
        <v>9680</v>
      </c>
      <c r="D1671" s="80" t="s">
        <v>84</v>
      </c>
      <c r="E1671" s="80" t="s">
        <v>84</v>
      </c>
      <c r="F1671" s="80"/>
      <c r="G1671" s="80" t="s">
        <v>84</v>
      </c>
      <c r="H1671" s="80" t="s">
        <v>84</v>
      </c>
      <c r="I1671" s="80" t="s">
        <v>84</v>
      </c>
      <c r="J1671" s="80" t="s">
        <v>84</v>
      </c>
      <c r="K1671" s="80" t="s">
        <v>84</v>
      </c>
      <c r="L1671" s="80" t="s">
        <v>84</v>
      </c>
      <c r="M1671" s="80" t="s">
        <v>84</v>
      </c>
      <c r="N1671" s="80" t="s">
        <v>84</v>
      </c>
      <c r="O1671" s="80" t="s">
        <v>84</v>
      </c>
      <c r="P1671" s="80"/>
      <c r="Q1671" s="80" t="s">
        <v>84</v>
      </c>
      <c r="R1671" s="80" t="s">
        <v>84</v>
      </c>
    </row>
    <row r="1672" spans="1:18" ht="20" x14ac:dyDescent="0.2">
      <c r="A1672" s="80" t="s">
        <v>2847</v>
      </c>
      <c r="B1672" s="80" t="s">
        <v>2848</v>
      </c>
      <c r="C1672" s="80" t="s">
        <v>9680</v>
      </c>
      <c r="D1672" s="80" t="s">
        <v>84</v>
      </c>
      <c r="E1672" s="80" t="s">
        <v>84</v>
      </c>
      <c r="F1672" s="80"/>
      <c r="G1672" s="80" t="s">
        <v>84</v>
      </c>
      <c r="H1672" s="80" t="s">
        <v>84</v>
      </c>
      <c r="I1672" s="80" t="s">
        <v>84</v>
      </c>
      <c r="J1672" s="80" t="s">
        <v>84</v>
      </c>
      <c r="K1672" s="80" t="s">
        <v>84</v>
      </c>
      <c r="L1672" s="80" t="s">
        <v>84</v>
      </c>
      <c r="M1672" s="80" t="s">
        <v>84</v>
      </c>
      <c r="N1672" s="80" t="s">
        <v>84</v>
      </c>
      <c r="O1672" s="80" t="s">
        <v>84</v>
      </c>
      <c r="P1672" s="80"/>
      <c r="Q1672" s="80" t="s">
        <v>84</v>
      </c>
      <c r="R1672" s="80" t="s">
        <v>84</v>
      </c>
    </row>
    <row r="1673" spans="1:18" ht="20" x14ac:dyDescent="0.2">
      <c r="A1673" s="80" t="s">
        <v>2948</v>
      </c>
      <c r="B1673" s="80" t="s">
        <v>2949</v>
      </c>
      <c r="C1673" s="80" t="s">
        <v>9680</v>
      </c>
      <c r="D1673" s="80" t="s">
        <v>84</v>
      </c>
      <c r="E1673" s="80" t="s">
        <v>84</v>
      </c>
      <c r="F1673" s="80"/>
      <c r="G1673" s="80" t="s">
        <v>84</v>
      </c>
      <c r="H1673" s="80" t="s">
        <v>84</v>
      </c>
      <c r="I1673" s="80" t="s">
        <v>84</v>
      </c>
      <c r="J1673" s="80" t="s">
        <v>84</v>
      </c>
      <c r="K1673" s="80" t="s">
        <v>84</v>
      </c>
      <c r="L1673" s="80" t="s">
        <v>84</v>
      </c>
      <c r="M1673" s="80" t="s">
        <v>84</v>
      </c>
      <c r="N1673" s="80" t="s">
        <v>84</v>
      </c>
      <c r="O1673" s="80" t="s">
        <v>84</v>
      </c>
      <c r="P1673" s="80"/>
      <c r="Q1673" s="80" t="s">
        <v>84</v>
      </c>
      <c r="R1673" s="80" t="s">
        <v>84</v>
      </c>
    </row>
    <row r="1674" spans="1:18" ht="20" x14ac:dyDescent="0.2">
      <c r="A1674" s="80" t="s">
        <v>3400</v>
      </c>
      <c r="B1674" s="80" t="s">
        <v>10272</v>
      </c>
      <c r="C1674" s="80" t="s">
        <v>9722</v>
      </c>
      <c r="D1674" s="80" t="s">
        <v>84</v>
      </c>
      <c r="E1674" s="80" t="s">
        <v>84</v>
      </c>
      <c r="F1674" s="80"/>
      <c r="G1674" s="80" t="s">
        <v>84</v>
      </c>
      <c r="H1674" s="80" t="s">
        <v>84</v>
      </c>
      <c r="I1674" s="80" t="s">
        <v>84</v>
      </c>
      <c r="J1674" s="80" t="s">
        <v>84</v>
      </c>
      <c r="K1674" s="80" t="s">
        <v>84</v>
      </c>
      <c r="L1674" s="80" t="s">
        <v>84</v>
      </c>
      <c r="M1674" s="80" t="s">
        <v>84</v>
      </c>
      <c r="N1674" s="80" t="s">
        <v>84</v>
      </c>
      <c r="O1674" s="80" t="s">
        <v>84</v>
      </c>
      <c r="P1674" s="80"/>
      <c r="Q1674" s="80" t="s">
        <v>84</v>
      </c>
      <c r="R1674" s="80" t="s">
        <v>84</v>
      </c>
    </row>
    <row r="1675" spans="1:18" ht="20" x14ac:dyDescent="0.2">
      <c r="A1675" s="80" t="s">
        <v>3400</v>
      </c>
      <c r="B1675" s="80" t="s">
        <v>3401</v>
      </c>
      <c r="C1675" s="80" t="s">
        <v>9722</v>
      </c>
      <c r="D1675" s="80" t="s">
        <v>84</v>
      </c>
      <c r="E1675" s="80" t="s">
        <v>84</v>
      </c>
      <c r="F1675" s="80"/>
      <c r="G1675" s="80" t="s">
        <v>84</v>
      </c>
      <c r="H1675" s="80" t="s">
        <v>84</v>
      </c>
      <c r="I1675" s="80" t="s">
        <v>84</v>
      </c>
      <c r="J1675" s="80" t="s">
        <v>84</v>
      </c>
      <c r="K1675" s="80" t="s">
        <v>84</v>
      </c>
      <c r="L1675" s="80" t="s">
        <v>84</v>
      </c>
      <c r="M1675" s="80" t="s">
        <v>84</v>
      </c>
      <c r="N1675" s="80" t="s">
        <v>84</v>
      </c>
      <c r="O1675" s="80" t="s">
        <v>84</v>
      </c>
      <c r="P1675" s="80"/>
      <c r="Q1675" s="80" t="s">
        <v>84</v>
      </c>
      <c r="R1675" s="80" t="s">
        <v>84</v>
      </c>
    </row>
    <row r="1676" spans="1:18" ht="20" x14ac:dyDescent="0.2">
      <c r="A1676" s="80" t="s">
        <v>2663</v>
      </c>
      <c r="B1676" s="80" t="s">
        <v>2664</v>
      </c>
      <c r="C1676" s="80" t="s">
        <v>9680</v>
      </c>
      <c r="D1676" s="80" t="s">
        <v>84</v>
      </c>
      <c r="E1676" s="80" t="s">
        <v>84</v>
      </c>
      <c r="F1676" s="80"/>
      <c r="G1676" s="80" t="s">
        <v>84</v>
      </c>
      <c r="H1676" s="80" t="s">
        <v>84</v>
      </c>
      <c r="I1676" s="80" t="s">
        <v>84</v>
      </c>
      <c r="J1676" s="80" t="s">
        <v>84</v>
      </c>
      <c r="K1676" s="80" t="s">
        <v>84</v>
      </c>
      <c r="L1676" s="80" t="s">
        <v>84</v>
      </c>
      <c r="M1676" s="80" t="s">
        <v>84</v>
      </c>
      <c r="N1676" s="80" t="s">
        <v>84</v>
      </c>
      <c r="O1676" s="80" t="s">
        <v>84</v>
      </c>
      <c r="P1676" s="80"/>
      <c r="Q1676" s="80" t="s">
        <v>84</v>
      </c>
      <c r="R1676" s="80" t="s">
        <v>84</v>
      </c>
    </row>
    <row r="1677" spans="1:18" ht="20" x14ac:dyDescent="0.2">
      <c r="A1677" s="80" t="s">
        <v>2663</v>
      </c>
      <c r="B1677" s="80" t="s">
        <v>2950</v>
      </c>
      <c r="C1677" s="80" t="s">
        <v>9680</v>
      </c>
      <c r="D1677" s="80" t="s">
        <v>84</v>
      </c>
      <c r="E1677" s="80" t="s">
        <v>84</v>
      </c>
      <c r="F1677" s="80"/>
      <c r="G1677" s="80" t="s">
        <v>84</v>
      </c>
      <c r="H1677" s="80" t="s">
        <v>84</v>
      </c>
      <c r="I1677" s="80" t="s">
        <v>84</v>
      </c>
      <c r="J1677" s="80" t="s">
        <v>84</v>
      </c>
      <c r="K1677" s="80" t="s">
        <v>84</v>
      </c>
      <c r="L1677" s="80" t="s">
        <v>84</v>
      </c>
      <c r="M1677" s="80" t="s">
        <v>84</v>
      </c>
      <c r="N1677" s="80" t="s">
        <v>84</v>
      </c>
      <c r="O1677" s="80" t="s">
        <v>84</v>
      </c>
      <c r="P1677" s="80"/>
      <c r="Q1677" s="80" t="s">
        <v>84</v>
      </c>
      <c r="R1677" s="80" t="s">
        <v>84</v>
      </c>
    </row>
    <row r="1678" spans="1:18" ht="20" x14ac:dyDescent="0.2">
      <c r="A1678" s="80" t="s">
        <v>2675</v>
      </c>
      <c r="B1678" s="80" t="s">
        <v>2676</v>
      </c>
      <c r="C1678" s="80" t="s">
        <v>9680</v>
      </c>
      <c r="D1678" s="80" t="s">
        <v>84</v>
      </c>
      <c r="E1678" s="80" t="s">
        <v>84</v>
      </c>
      <c r="F1678" s="80"/>
      <c r="G1678" s="80" t="s">
        <v>84</v>
      </c>
      <c r="H1678" s="80" t="s">
        <v>84</v>
      </c>
      <c r="I1678" s="80" t="s">
        <v>84</v>
      </c>
      <c r="J1678" s="80" t="s">
        <v>84</v>
      </c>
      <c r="K1678" s="80" t="s">
        <v>84</v>
      </c>
      <c r="L1678" s="80" t="s">
        <v>84</v>
      </c>
      <c r="M1678" s="80" t="s">
        <v>84</v>
      </c>
      <c r="N1678" s="80" t="s">
        <v>84</v>
      </c>
      <c r="O1678" s="80" t="s">
        <v>84</v>
      </c>
      <c r="P1678" s="80"/>
      <c r="Q1678" s="80" t="s">
        <v>84</v>
      </c>
      <c r="R1678" s="80" t="s">
        <v>84</v>
      </c>
    </row>
    <row r="1679" spans="1:18" ht="20" x14ac:dyDescent="0.2">
      <c r="A1679" s="80" t="s">
        <v>2675</v>
      </c>
      <c r="B1679" s="80" t="s">
        <v>2951</v>
      </c>
      <c r="C1679" s="80" t="s">
        <v>9680</v>
      </c>
      <c r="D1679" s="80" t="s">
        <v>84</v>
      </c>
      <c r="E1679" s="80" t="s">
        <v>84</v>
      </c>
      <c r="F1679" s="80"/>
      <c r="G1679" s="80" t="s">
        <v>84</v>
      </c>
      <c r="H1679" s="80" t="s">
        <v>84</v>
      </c>
      <c r="I1679" s="80" t="s">
        <v>84</v>
      </c>
      <c r="J1679" s="80" t="s">
        <v>84</v>
      </c>
      <c r="K1679" s="80" t="s">
        <v>84</v>
      </c>
      <c r="L1679" s="80" t="s">
        <v>84</v>
      </c>
      <c r="M1679" s="80" t="s">
        <v>84</v>
      </c>
      <c r="N1679" s="80" t="s">
        <v>84</v>
      </c>
      <c r="O1679" s="80" t="s">
        <v>84</v>
      </c>
      <c r="P1679" s="80"/>
      <c r="Q1679" s="80" t="s">
        <v>84</v>
      </c>
      <c r="R1679" s="80" t="s">
        <v>84</v>
      </c>
    </row>
    <row r="1680" spans="1:18" ht="20" x14ac:dyDescent="0.2">
      <c r="A1680" s="80" t="s">
        <v>2952</v>
      </c>
      <c r="B1680" s="80" t="s">
        <v>2953</v>
      </c>
      <c r="C1680" s="80" t="s">
        <v>9680</v>
      </c>
      <c r="D1680" s="80" t="s">
        <v>84</v>
      </c>
      <c r="E1680" s="80" t="s">
        <v>84</v>
      </c>
      <c r="F1680" s="80"/>
      <c r="G1680" s="80" t="s">
        <v>84</v>
      </c>
      <c r="H1680" s="80" t="s">
        <v>84</v>
      </c>
      <c r="I1680" s="80" t="s">
        <v>84</v>
      </c>
      <c r="J1680" s="80" t="s">
        <v>84</v>
      </c>
      <c r="K1680" s="80" t="s">
        <v>84</v>
      </c>
      <c r="L1680" s="80" t="s">
        <v>84</v>
      </c>
      <c r="M1680" s="80" t="s">
        <v>84</v>
      </c>
      <c r="N1680" s="80" t="s">
        <v>84</v>
      </c>
      <c r="O1680" s="80" t="s">
        <v>84</v>
      </c>
      <c r="P1680" s="80"/>
      <c r="Q1680" s="80" t="s">
        <v>84</v>
      </c>
      <c r="R1680" s="80" t="s">
        <v>84</v>
      </c>
    </row>
    <row r="1681" spans="1:18" ht="20" x14ac:dyDescent="0.2">
      <c r="A1681" s="80" t="s">
        <v>2849</v>
      </c>
      <c r="B1681" s="80" t="s">
        <v>2850</v>
      </c>
      <c r="C1681" s="80" t="s">
        <v>84</v>
      </c>
      <c r="D1681" s="80" t="s">
        <v>84</v>
      </c>
      <c r="E1681" s="80" t="s">
        <v>84</v>
      </c>
      <c r="F1681" s="80"/>
      <c r="G1681" s="80" t="s">
        <v>84</v>
      </c>
      <c r="H1681" s="80" t="s">
        <v>84</v>
      </c>
      <c r="I1681" s="80" t="s">
        <v>84</v>
      </c>
      <c r="J1681" s="80" t="s">
        <v>84</v>
      </c>
      <c r="K1681" s="80" t="s">
        <v>84</v>
      </c>
      <c r="L1681" s="80" t="s">
        <v>84</v>
      </c>
      <c r="M1681" s="80" t="s">
        <v>84</v>
      </c>
      <c r="N1681" s="80" t="s">
        <v>84</v>
      </c>
      <c r="O1681" s="80" t="s">
        <v>84</v>
      </c>
      <c r="P1681" s="80"/>
      <c r="Q1681" s="80" t="s">
        <v>84</v>
      </c>
      <c r="R1681" s="80" t="s">
        <v>84</v>
      </c>
    </row>
    <row r="1682" spans="1:18" ht="20" x14ac:dyDescent="0.2">
      <c r="A1682" s="80" t="s">
        <v>2851</v>
      </c>
      <c r="B1682" s="80" t="s">
        <v>2852</v>
      </c>
      <c r="C1682" s="80" t="s">
        <v>9680</v>
      </c>
      <c r="D1682" s="80" t="s">
        <v>84</v>
      </c>
      <c r="E1682" s="80" t="s">
        <v>84</v>
      </c>
      <c r="F1682" s="80"/>
      <c r="G1682" s="80" t="s">
        <v>84</v>
      </c>
      <c r="H1682" s="80" t="s">
        <v>84</v>
      </c>
      <c r="I1682" s="80" t="s">
        <v>84</v>
      </c>
      <c r="J1682" s="80" t="s">
        <v>84</v>
      </c>
      <c r="K1682" s="80" t="s">
        <v>84</v>
      </c>
      <c r="L1682" s="80" t="s">
        <v>84</v>
      </c>
      <c r="M1682" s="80" t="s">
        <v>84</v>
      </c>
      <c r="N1682" s="80" t="s">
        <v>84</v>
      </c>
      <c r="O1682" s="80" t="s">
        <v>84</v>
      </c>
      <c r="P1682" s="80"/>
      <c r="Q1682" s="80" t="s">
        <v>84</v>
      </c>
      <c r="R1682" s="80" t="s">
        <v>84</v>
      </c>
    </row>
    <row r="1683" spans="1:18" ht="20" x14ac:dyDescent="0.2">
      <c r="A1683" s="80" t="s">
        <v>10273</v>
      </c>
      <c r="B1683" s="80" t="s">
        <v>10274</v>
      </c>
      <c r="C1683" s="80" t="s">
        <v>9680</v>
      </c>
      <c r="D1683" s="80" t="s">
        <v>84</v>
      </c>
      <c r="E1683" s="80" t="s">
        <v>84</v>
      </c>
      <c r="F1683" s="80"/>
      <c r="G1683" s="80" t="s">
        <v>84</v>
      </c>
      <c r="H1683" s="80" t="s">
        <v>84</v>
      </c>
      <c r="I1683" s="80" t="s">
        <v>84</v>
      </c>
      <c r="J1683" s="80" t="s">
        <v>84</v>
      </c>
      <c r="K1683" s="80" t="s">
        <v>84</v>
      </c>
      <c r="L1683" s="80" t="s">
        <v>84</v>
      </c>
      <c r="M1683" s="80" t="s">
        <v>84</v>
      </c>
      <c r="N1683" s="80" t="s">
        <v>84</v>
      </c>
      <c r="O1683" s="80" t="s">
        <v>84</v>
      </c>
      <c r="P1683" s="80"/>
      <c r="Q1683" s="80" t="s">
        <v>84</v>
      </c>
      <c r="R1683" s="80" t="s">
        <v>84</v>
      </c>
    </row>
    <row r="1684" spans="1:18" ht="20" x14ac:dyDescent="0.2">
      <c r="A1684" s="80" t="s">
        <v>2853</v>
      </c>
      <c r="B1684" s="80" t="s">
        <v>2854</v>
      </c>
      <c r="C1684" s="80" t="s">
        <v>9680</v>
      </c>
      <c r="D1684" s="80" t="s">
        <v>84</v>
      </c>
      <c r="E1684" s="80" t="s">
        <v>84</v>
      </c>
      <c r="F1684" s="80"/>
      <c r="G1684" s="80" t="s">
        <v>84</v>
      </c>
      <c r="H1684" s="80" t="s">
        <v>84</v>
      </c>
      <c r="I1684" s="80" t="s">
        <v>84</v>
      </c>
      <c r="J1684" s="80" t="s">
        <v>84</v>
      </c>
      <c r="K1684" s="80" t="s">
        <v>84</v>
      </c>
      <c r="L1684" s="80" t="s">
        <v>84</v>
      </c>
      <c r="M1684" s="80" t="s">
        <v>84</v>
      </c>
      <c r="N1684" s="80" t="s">
        <v>84</v>
      </c>
      <c r="O1684" s="80" t="s">
        <v>84</v>
      </c>
      <c r="P1684" s="80"/>
      <c r="Q1684" s="80" t="s">
        <v>84</v>
      </c>
      <c r="R1684" s="80" t="s">
        <v>84</v>
      </c>
    </row>
    <row r="1685" spans="1:18" ht="20" x14ac:dyDescent="0.2">
      <c r="A1685" s="80" t="s">
        <v>10275</v>
      </c>
      <c r="B1685" s="80" t="s">
        <v>10276</v>
      </c>
      <c r="C1685" s="80" t="s">
        <v>84</v>
      </c>
      <c r="D1685" s="80" t="s">
        <v>84</v>
      </c>
      <c r="E1685" s="80" t="s">
        <v>84</v>
      </c>
      <c r="F1685" s="80"/>
      <c r="G1685" s="80" t="s">
        <v>84</v>
      </c>
      <c r="H1685" s="80" t="s">
        <v>84</v>
      </c>
      <c r="I1685" s="80" t="s">
        <v>84</v>
      </c>
      <c r="J1685" s="80" t="s">
        <v>84</v>
      </c>
      <c r="K1685" s="80" t="s">
        <v>84</v>
      </c>
      <c r="L1685" s="80" t="s">
        <v>84</v>
      </c>
      <c r="M1685" s="80" t="s">
        <v>84</v>
      </c>
      <c r="N1685" s="80" t="s">
        <v>84</v>
      </c>
      <c r="O1685" s="80" t="s">
        <v>84</v>
      </c>
      <c r="P1685" s="80"/>
      <c r="Q1685" s="80" t="s">
        <v>84</v>
      </c>
      <c r="R1685" s="80" t="s">
        <v>84</v>
      </c>
    </row>
    <row r="1686" spans="1:18" ht="20" x14ac:dyDescent="0.2">
      <c r="A1686" s="80" t="s">
        <v>2857</v>
      </c>
      <c r="B1686" s="80" t="s">
        <v>2858</v>
      </c>
      <c r="C1686" s="80" t="s">
        <v>9680</v>
      </c>
      <c r="D1686" s="80" t="s">
        <v>84</v>
      </c>
      <c r="E1686" s="80" t="s">
        <v>84</v>
      </c>
      <c r="F1686" s="80"/>
      <c r="G1686" s="80" t="s">
        <v>84</v>
      </c>
      <c r="H1686" s="80" t="s">
        <v>84</v>
      </c>
      <c r="I1686" s="80" t="s">
        <v>84</v>
      </c>
      <c r="J1686" s="80" t="s">
        <v>84</v>
      </c>
      <c r="K1686" s="80" t="s">
        <v>84</v>
      </c>
      <c r="L1686" s="80" t="s">
        <v>84</v>
      </c>
      <c r="M1686" s="80" t="s">
        <v>84</v>
      </c>
      <c r="N1686" s="80" t="s">
        <v>84</v>
      </c>
      <c r="O1686" s="80" t="s">
        <v>84</v>
      </c>
      <c r="P1686" s="80"/>
      <c r="Q1686" s="80" t="s">
        <v>84</v>
      </c>
      <c r="R1686" s="80" t="s">
        <v>84</v>
      </c>
    </row>
    <row r="1687" spans="1:18" ht="20" x14ac:dyDescent="0.2">
      <c r="A1687" s="80" t="s">
        <v>10277</v>
      </c>
      <c r="B1687" s="80" t="s">
        <v>10278</v>
      </c>
      <c r="C1687" s="80" t="s">
        <v>9680</v>
      </c>
      <c r="D1687" s="80" t="s">
        <v>84</v>
      </c>
      <c r="E1687" s="80" t="s">
        <v>84</v>
      </c>
      <c r="F1687" s="80"/>
      <c r="G1687" s="80" t="s">
        <v>84</v>
      </c>
      <c r="H1687" s="80" t="s">
        <v>84</v>
      </c>
      <c r="I1687" s="80" t="s">
        <v>84</v>
      </c>
      <c r="J1687" s="80" t="s">
        <v>84</v>
      </c>
      <c r="K1687" s="80" t="s">
        <v>84</v>
      </c>
      <c r="L1687" s="80" t="s">
        <v>84</v>
      </c>
      <c r="M1687" s="80" t="s">
        <v>84</v>
      </c>
      <c r="N1687" s="80" t="s">
        <v>84</v>
      </c>
      <c r="O1687" s="80" t="s">
        <v>84</v>
      </c>
      <c r="P1687" s="80"/>
      <c r="Q1687" s="80" t="s">
        <v>84</v>
      </c>
      <c r="R1687" s="80" t="s">
        <v>84</v>
      </c>
    </row>
    <row r="1688" spans="1:18" ht="20" x14ac:dyDescent="0.2">
      <c r="A1688" s="80" t="s">
        <v>10279</v>
      </c>
      <c r="B1688" s="80" t="s">
        <v>10280</v>
      </c>
      <c r="C1688" s="80" t="s">
        <v>84</v>
      </c>
      <c r="D1688" s="80" t="s">
        <v>84</v>
      </c>
      <c r="E1688" s="80" t="s">
        <v>84</v>
      </c>
      <c r="F1688" s="80"/>
      <c r="G1688" s="80" t="s">
        <v>84</v>
      </c>
      <c r="H1688" s="80" t="s">
        <v>84</v>
      </c>
      <c r="I1688" s="80" t="s">
        <v>84</v>
      </c>
      <c r="J1688" s="80" t="s">
        <v>84</v>
      </c>
      <c r="K1688" s="80" t="s">
        <v>84</v>
      </c>
      <c r="L1688" s="80" t="s">
        <v>84</v>
      </c>
      <c r="M1688" s="80" t="s">
        <v>84</v>
      </c>
      <c r="N1688" s="80" t="s">
        <v>84</v>
      </c>
      <c r="O1688" s="80" t="s">
        <v>84</v>
      </c>
      <c r="P1688" s="80"/>
      <c r="Q1688" s="80" t="s">
        <v>84</v>
      </c>
      <c r="R1688" s="80" t="s">
        <v>84</v>
      </c>
    </row>
    <row r="1689" spans="1:18" ht="20" x14ac:dyDescent="0.2">
      <c r="A1689" s="80" t="s">
        <v>2859</v>
      </c>
      <c r="B1689" s="80" t="s">
        <v>2860</v>
      </c>
      <c r="C1689" s="80" t="s">
        <v>9680</v>
      </c>
      <c r="D1689" s="80" t="s">
        <v>84</v>
      </c>
      <c r="E1689" s="80" t="s">
        <v>84</v>
      </c>
      <c r="F1689" s="80"/>
      <c r="G1689" s="80" t="s">
        <v>84</v>
      </c>
      <c r="H1689" s="80" t="s">
        <v>84</v>
      </c>
      <c r="I1689" s="80" t="s">
        <v>84</v>
      </c>
      <c r="J1689" s="80" t="s">
        <v>84</v>
      </c>
      <c r="K1689" s="80" t="s">
        <v>84</v>
      </c>
      <c r="L1689" s="80" t="s">
        <v>84</v>
      </c>
      <c r="M1689" s="80" t="s">
        <v>84</v>
      </c>
      <c r="N1689" s="80" t="s">
        <v>84</v>
      </c>
      <c r="O1689" s="80" t="s">
        <v>84</v>
      </c>
      <c r="P1689" s="80"/>
      <c r="Q1689" s="80" t="s">
        <v>84</v>
      </c>
      <c r="R1689" s="80" t="s">
        <v>84</v>
      </c>
    </row>
    <row r="1690" spans="1:18" ht="20" x14ac:dyDescent="0.2">
      <c r="A1690" s="80" t="s">
        <v>2861</v>
      </c>
      <c r="B1690" s="80" t="s">
        <v>2862</v>
      </c>
      <c r="C1690" s="80" t="s">
        <v>9680</v>
      </c>
      <c r="D1690" s="80" t="s">
        <v>84</v>
      </c>
      <c r="E1690" s="80" t="s">
        <v>84</v>
      </c>
      <c r="F1690" s="80"/>
      <c r="G1690" s="80" t="s">
        <v>84</v>
      </c>
      <c r="H1690" s="80" t="s">
        <v>84</v>
      </c>
      <c r="I1690" s="80" t="s">
        <v>84</v>
      </c>
      <c r="J1690" s="80" t="s">
        <v>84</v>
      </c>
      <c r="K1690" s="80" t="s">
        <v>84</v>
      </c>
      <c r="L1690" s="80" t="s">
        <v>84</v>
      </c>
      <c r="M1690" s="80" t="s">
        <v>84</v>
      </c>
      <c r="N1690" s="80" t="s">
        <v>84</v>
      </c>
      <c r="O1690" s="80" t="s">
        <v>84</v>
      </c>
      <c r="P1690" s="80"/>
      <c r="Q1690" s="80" t="s">
        <v>84</v>
      </c>
      <c r="R1690" s="80" t="s">
        <v>84</v>
      </c>
    </row>
    <row r="1691" spans="1:18" ht="20" x14ac:dyDescent="0.2">
      <c r="A1691" s="80" t="s">
        <v>2863</v>
      </c>
      <c r="B1691" s="80" t="s">
        <v>2864</v>
      </c>
      <c r="C1691" s="80" t="s">
        <v>9680</v>
      </c>
      <c r="D1691" s="80" t="s">
        <v>84</v>
      </c>
      <c r="E1691" s="80" t="s">
        <v>84</v>
      </c>
      <c r="F1691" s="80"/>
      <c r="G1691" s="80" t="s">
        <v>84</v>
      </c>
      <c r="H1691" s="80" t="s">
        <v>84</v>
      </c>
      <c r="I1691" s="80" t="s">
        <v>84</v>
      </c>
      <c r="J1691" s="80" t="s">
        <v>84</v>
      </c>
      <c r="K1691" s="80" t="s">
        <v>84</v>
      </c>
      <c r="L1691" s="80" t="s">
        <v>84</v>
      </c>
      <c r="M1691" s="80" t="s">
        <v>84</v>
      </c>
      <c r="N1691" s="80" t="s">
        <v>84</v>
      </c>
      <c r="O1691" s="80" t="s">
        <v>84</v>
      </c>
      <c r="P1691" s="80"/>
      <c r="Q1691" s="80" t="s">
        <v>84</v>
      </c>
      <c r="R1691" s="80" t="s">
        <v>84</v>
      </c>
    </row>
    <row r="1692" spans="1:18" ht="20" x14ac:dyDescent="0.2">
      <c r="A1692" s="80" t="s">
        <v>2865</v>
      </c>
      <c r="B1692" s="80" t="s">
        <v>2866</v>
      </c>
      <c r="C1692" s="80" t="s">
        <v>9680</v>
      </c>
      <c r="D1692" s="80" t="s">
        <v>84</v>
      </c>
      <c r="E1692" s="80" t="s">
        <v>84</v>
      </c>
      <c r="F1692" s="80"/>
      <c r="G1692" s="80" t="s">
        <v>84</v>
      </c>
      <c r="H1692" s="80" t="s">
        <v>84</v>
      </c>
      <c r="I1692" s="80" t="s">
        <v>84</v>
      </c>
      <c r="J1692" s="80" t="s">
        <v>84</v>
      </c>
      <c r="K1692" s="80" t="s">
        <v>84</v>
      </c>
      <c r="L1692" s="80" t="s">
        <v>84</v>
      </c>
      <c r="M1692" s="80" t="s">
        <v>84</v>
      </c>
      <c r="N1692" s="80" t="s">
        <v>84</v>
      </c>
      <c r="O1692" s="80" t="s">
        <v>84</v>
      </c>
      <c r="P1692" s="80"/>
      <c r="Q1692" s="80" t="s">
        <v>84</v>
      </c>
      <c r="R1692" s="80" t="s">
        <v>84</v>
      </c>
    </row>
    <row r="1693" spans="1:18" ht="20" x14ac:dyDescent="0.2">
      <c r="A1693" s="80" t="s">
        <v>2867</v>
      </c>
      <c r="B1693" s="80" t="s">
        <v>2868</v>
      </c>
      <c r="C1693" s="80" t="s">
        <v>9680</v>
      </c>
      <c r="D1693" s="80" t="s">
        <v>84</v>
      </c>
      <c r="E1693" s="80" t="s">
        <v>84</v>
      </c>
      <c r="F1693" s="80"/>
      <c r="G1693" s="80" t="s">
        <v>84</v>
      </c>
      <c r="H1693" s="80" t="s">
        <v>84</v>
      </c>
      <c r="I1693" s="80" t="s">
        <v>84</v>
      </c>
      <c r="J1693" s="80" t="s">
        <v>84</v>
      </c>
      <c r="K1693" s="80" t="s">
        <v>84</v>
      </c>
      <c r="L1693" s="80" t="s">
        <v>84</v>
      </c>
      <c r="M1693" s="80" t="s">
        <v>84</v>
      </c>
      <c r="N1693" s="80" t="s">
        <v>84</v>
      </c>
      <c r="O1693" s="80" t="s">
        <v>84</v>
      </c>
      <c r="P1693" s="80"/>
      <c r="Q1693" s="80" t="s">
        <v>84</v>
      </c>
      <c r="R1693" s="80" t="s">
        <v>84</v>
      </c>
    </row>
    <row r="1694" spans="1:18" ht="20" x14ac:dyDescent="0.2">
      <c r="A1694" s="80" t="s">
        <v>2869</v>
      </c>
      <c r="B1694" s="80" t="s">
        <v>2870</v>
      </c>
      <c r="C1694" s="80" t="s">
        <v>9680</v>
      </c>
      <c r="D1694" s="80" t="s">
        <v>84</v>
      </c>
      <c r="E1694" s="80" t="s">
        <v>84</v>
      </c>
      <c r="F1694" s="80"/>
      <c r="G1694" s="80" t="s">
        <v>84</v>
      </c>
      <c r="H1694" s="80" t="s">
        <v>84</v>
      </c>
      <c r="I1694" s="80" t="s">
        <v>84</v>
      </c>
      <c r="J1694" s="80" t="s">
        <v>84</v>
      </c>
      <c r="K1694" s="80" t="s">
        <v>84</v>
      </c>
      <c r="L1694" s="80" t="s">
        <v>84</v>
      </c>
      <c r="M1694" s="80" t="s">
        <v>84</v>
      </c>
      <c r="N1694" s="80" t="s">
        <v>84</v>
      </c>
      <c r="O1694" s="80" t="s">
        <v>84</v>
      </c>
      <c r="P1694" s="80"/>
      <c r="Q1694" s="80" t="s">
        <v>84</v>
      </c>
      <c r="R1694" s="80" t="s">
        <v>84</v>
      </c>
    </row>
    <row r="1695" spans="1:18" ht="20" x14ac:dyDescent="0.2">
      <c r="A1695" s="80" t="s">
        <v>2908</v>
      </c>
      <c r="B1695" s="80" t="s">
        <v>2909</v>
      </c>
      <c r="C1695" s="80" t="s">
        <v>84</v>
      </c>
      <c r="D1695" s="80" t="s">
        <v>84</v>
      </c>
      <c r="E1695" s="80" t="s">
        <v>84</v>
      </c>
      <c r="F1695" s="80"/>
      <c r="G1695" s="80" t="s">
        <v>84</v>
      </c>
      <c r="H1695" s="80" t="s">
        <v>84</v>
      </c>
      <c r="I1695" s="80" t="s">
        <v>84</v>
      </c>
      <c r="J1695" s="80" t="s">
        <v>84</v>
      </c>
      <c r="K1695" s="80" t="s">
        <v>84</v>
      </c>
      <c r="L1695" s="80" t="s">
        <v>84</v>
      </c>
      <c r="M1695" s="80" t="s">
        <v>84</v>
      </c>
      <c r="N1695" s="80" t="s">
        <v>84</v>
      </c>
      <c r="O1695" s="80" t="s">
        <v>84</v>
      </c>
      <c r="P1695" s="80"/>
      <c r="Q1695" s="80" t="s">
        <v>84</v>
      </c>
      <c r="R1695" s="80" t="s">
        <v>84</v>
      </c>
    </row>
    <row r="1696" spans="1:18" ht="20" x14ac:dyDescent="0.2">
      <c r="A1696" s="80" t="s">
        <v>2910</v>
      </c>
      <c r="B1696" s="80" t="s">
        <v>2911</v>
      </c>
      <c r="C1696" s="80" t="s">
        <v>9722</v>
      </c>
      <c r="D1696" s="80" t="s">
        <v>84</v>
      </c>
      <c r="E1696" s="80" t="s">
        <v>84</v>
      </c>
      <c r="F1696" s="80"/>
      <c r="G1696" s="80" t="s">
        <v>84</v>
      </c>
      <c r="H1696" s="80" t="s">
        <v>84</v>
      </c>
      <c r="I1696" s="80" t="s">
        <v>84</v>
      </c>
      <c r="J1696" s="80" t="s">
        <v>84</v>
      </c>
      <c r="K1696" s="80" t="s">
        <v>84</v>
      </c>
      <c r="L1696" s="80" t="s">
        <v>84</v>
      </c>
      <c r="M1696" s="80" t="s">
        <v>84</v>
      </c>
      <c r="N1696" s="80" t="s">
        <v>84</v>
      </c>
      <c r="O1696" s="80" t="s">
        <v>84</v>
      </c>
      <c r="P1696" s="80"/>
      <c r="Q1696" s="80" t="s">
        <v>84</v>
      </c>
      <c r="R1696" s="80" t="s">
        <v>84</v>
      </c>
    </row>
    <row r="1697" spans="1:18" ht="20" x14ac:dyDescent="0.2">
      <c r="A1697" s="80" t="s">
        <v>2912</v>
      </c>
      <c r="B1697" s="80" t="s">
        <v>2913</v>
      </c>
      <c r="C1697" s="80" t="s">
        <v>9680</v>
      </c>
      <c r="D1697" s="80" t="s">
        <v>84</v>
      </c>
      <c r="E1697" s="80" t="s">
        <v>84</v>
      </c>
      <c r="F1697" s="80"/>
      <c r="G1697" s="80" t="s">
        <v>84</v>
      </c>
      <c r="H1697" s="80" t="s">
        <v>84</v>
      </c>
      <c r="I1697" s="80" t="s">
        <v>84</v>
      </c>
      <c r="J1697" s="80" t="s">
        <v>84</v>
      </c>
      <c r="K1697" s="80" t="s">
        <v>84</v>
      </c>
      <c r="L1697" s="80" t="s">
        <v>84</v>
      </c>
      <c r="M1697" s="80" t="s">
        <v>84</v>
      </c>
      <c r="N1697" s="80" t="s">
        <v>84</v>
      </c>
      <c r="O1697" s="80" t="s">
        <v>84</v>
      </c>
      <c r="P1697" s="80"/>
      <c r="Q1697" s="80" t="s">
        <v>84</v>
      </c>
      <c r="R1697" s="80" t="s">
        <v>84</v>
      </c>
    </row>
    <row r="1698" spans="1:18" ht="20" x14ac:dyDescent="0.2">
      <c r="A1698" s="80" t="s">
        <v>2871</v>
      </c>
      <c r="B1698" s="80" t="s">
        <v>2872</v>
      </c>
      <c r="C1698" s="80" t="s">
        <v>9680</v>
      </c>
      <c r="D1698" s="80" t="s">
        <v>84</v>
      </c>
      <c r="E1698" s="80" t="s">
        <v>84</v>
      </c>
      <c r="F1698" s="80"/>
      <c r="G1698" s="80" t="s">
        <v>84</v>
      </c>
      <c r="H1698" s="80" t="s">
        <v>84</v>
      </c>
      <c r="I1698" s="80" t="s">
        <v>84</v>
      </c>
      <c r="J1698" s="80" t="s">
        <v>84</v>
      </c>
      <c r="K1698" s="80" t="s">
        <v>84</v>
      </c>
      <c r="L1698" s="80" t="s">
        <v>84</v>
      </c>
      <c r="M1698" s="80" t="s">
        <v>84</v>
      </c>
      <c r="N1698" s="80" t="s">
        <v>84</v>
      </c>
      <c r="O1698" s="80" t="s">
        <v>84</v>
      </c>
      <c r="P1698" s="80"/>
      <c r="Q1698" s="80" t="s">
        <v>84</v>
      </c>
      <c r="R1698" s="80" t="s">
        <v>84</v>
      </c>
    </row>
    <row r="1699" spans="1:18" ht="20" x14ac:dyDescent="0.2">
      <c r="A1699" s="80" t="s">
        <v>2914</v>
      </c>
      <c r="B1699" s="80" t="s">
        <v>2915</v>
      </c>
      <c r="C1699" s="80" t="s">
        <v>9722</v>
      </c>
      <c r="D1699" s="80" t="s">
        <v>84</v>
      </c>
      <c r="E1699" s="80" t="s">
        <v>84</v>
      </c>
      <c r="F1699" s="80"/>
      <c r="G1699" s="80" t="s">
        <v>84</v>
      </c>
      <c r="H1699" s="80" t="s">
        <v>84</v>
      </c>
      <c r="I1699" s="80" t="s">
        <v>84</v>
      </c>
      <c r="J1699" s="80" t="s">
        <v>84</v>
      </c>
      <c r="K1699" s="80" t="s">
        <v>84</v>
      </c>
      <c r="L1699" s="80" t="s">
        <v>84</v>
      </c>
      <c r="M1699" s="80" t="s">
        <v>84</v>
      </c>
      <c r="N1699" s="80" t="s">
        <v>84</v>
      </c>
      <c r="O1699" s="80" t="s">
        <v>84</v>
      </c>
      <c r="P1699" s="80"/>
      <c r="Q1699" s="80" t="s">
        <v>84</v>
      </c>
      <c r="R1699" s="80" t="s">
        <v>84</v>
      </c>
    </row>
    <row r="1700" spans="1:18" ht="20" x14ac:dyDescent="0.2">
      <c r="A1700" s="80" t="s">
        <v>2916</v>
      </c>
      <c r="B1700" s="80" t="s">
        <v>2917</v>
      </c>
      <c r="C1700" s="80" t="s">
        <v>9722</v>
      </c>
      <c r="D1700" s="80" t="s">
        <v>84</v>
      </c>
      <c r="E1700" s="80" t="s">
        <v>84</v>
      </c>
      <c r="F1700" s="80"/>
      <c r="G1700" s="80" t="s">
        <v>84</v>
      </c>
      <c r="H1700" s="80" t="s">
        <v>84</v>
      </c>
      <c r="I1700" s="80" t="s">
        <v>84</v>
      </c>
      <c r="J1700" s="80" t="s">
        <v>84</v>
      </c>
      <c r="K1700" s="80" t="s">
        <v>84</v>
      </c>
      <c r="L1700" s="80" t="s">
        <v>84</v>
      </c>
      <c r="M1700" s="80" t="s">
        <v>84</v>
      </c>
      <c r="N1700" s="80" t="s">
        <v>84</v>
      </c>
      <c r="O1700" s="80" t="s">
        <v>84</v>
      </c>
      <c r="P1700" s="80"/>
      <c r="Q1700" s="80" t="s">
        <v>84</v>
      </c>
      <c r="R1700" s="80" t="s">
        <v>84</v>
      </c>
    </row>
    <row r="1701" spans="1:18" ht="20" x14ac:dyDescent="0.2">
      <c r="A1701" s="80" t="s">
        <v>10281</v>
      </c>
      <c r="B1701" s="80" t="s">
        <v>3471</v>
      </c>
      <c r="C1701" s="80" t="s">
        <v>9680</v>
      </c>
      <c r="D1701" s="80" t="s">
        <v>9680</v>
      </c>
      <c r="E1701" s="80" t="s">
        <v>9680</v>
      </c>
      <c r="F1701" s="80"/>
      <c r="G1701" s="80" t="s">
        <v>9680</v>
      </c>
      <c r="H1701" s="80" t="s">
        <v>9680</v>
      </c>
      <c r="I1701" s="80" t="s">
        <v>9680</v>
      </c>
      <c r="J1701" s="80" t="s">
        <v>84</v>
      </c>
      <c r="K1701" s="80" t="s">
        <v>9680</v>
      </c>
      <c r="L1701" s="80" t="s">
        <v>9680</v>
      </c>
      <c r="M1701" s="80" t="s">
        <v>84</v>
      </c>
      <c r="N1701" s="80" t="s">
        <v>9680</v>
      </c>
      <c r="O1701" s="80" t="s">
        <v>84</v>
      </c>
      <c r="P1701" s="80"/>
      <c r="Q1701" s="80" t="s">
        <v>84</v>
      </c>
      <c r="R1701" s="80" t="s">
        <v>84</v>
      </c>
    </row>
    <row r="1702" spans="1:18" ht="20" x14ac:dyDescent="0.2">
      <c r="A1702" s="80" t="s">
        <v>3470</v>
      </c>
      <c r="B1702" s="80" t="s">
        <v>3471</v>
      </c>
      <c r="C1702" s="80" t="s">
        <v>9680</v>
      </c>
      <c r="D1702" s="80" t="s">
        <v>9680</v>
      </c>
      <c r="E1702" s="80" t="s">
        <v>9680</v>
      </c>
      <c r="F1702" s="80"/>
      <c r="G1702" s="80" t="s">
        <v>9680</v>
      </c>
      <c r="H1702" s="80" t="s">
        <v>9680</v>
      </c>
      <c r="I1702" s="80" t="s">
        <v>9680</v>
      </c>
      <c r="J1702" s="80" t="s">
        <v>84</v>
      </c>
      <c r="K1702" s="80" t="s">
        <v>9680</v>
      </c>
      <c r="L1702" s="80" t="s">
        <v>9680</v>
      </c>
      <c r="M1702" s="80" t="s">
        <v>84</v>
      </c>
      <c r="N1702" s="80" t="s">
        <v>9680</v>
      </c>
      <c r="O1702" s="80" t="s">
        <v>84</v>
      </c>
      <c r="P1702" s="80"/>
      <c r="Q1702" s="80" t="s">
        <v>84</v>
      </c>
      <c r="R1702" s="80" t="s">
        <v>84</v>
      </c>
    </row>
    <row r="1703" spans="1:18" ht="20" x14ac:dyDescent="0.2">
      <c r="A1703" s="80" t="s">
        <v>3475</v>
      </c>
      <c r="B1703" s="80" t="s">
        <v>3476</v>
      </c>
      <c r="C1703" s="80" t="s">
        <v>9680</v>
      </c>
      <c r="D1703" s="80" t="s">
        <v>84</v>
      </c>
      <c r="E1703" s="80" t="s">
        <v>84</v>
      </c>
      <c r="F1703" s="80"/>
      <c r="G1703" s="80" t="s">
        <v>84</v>
      </c>
      <c r="H1703" s="80" t="s">
        <v>84</v>
      </c>
      <c r="I1703" s="80" t="s">
        <v>84</v>
      </c>
      <c r="J1703" s="80" t="s">
        <v>84</v>
      </c>
      <c r="K1703" s="80" t="s">
        <v>84</v>
      </c>
      <c r="L1703" s="80" t="s">
        <v>84</v>
      </c>
      <c r="M1703" s="80" t="s">
        <v>84</v>
      </c>
      <c r="N1703" s="80" t="s">
        <v>84</v>
      </c>
      <c r="O1703" s="80" t="s">
        <v>84</v>
      </c>
      <c r="P1703" s="80"/>
      <c r="Q1703" s="80" t="s">
        <v>84</v>
      </c>
      <c r="R1703" s="80" t="s">
        <v>84</v>
      </c>
    </row>
    <row r="1704" spans="1:18" ht="20" x14ac:dyDescent="0.2">
      <c r="A1704" s="80" t="s">
        <v>3477</v>
      </c>
      <c r="B1704" s="80" t="s">
        <v>3478</v>
      </c>
      <c r="C1704" s="80" t="s">
        <v>9680</v>
      </c>
      <c r="D1704" s="80" t="s">
        <v>84</v>
      </c>
      <c r="E1704" s="80" t="s">
        <v>84</v>
      </c>
      <c r="F1704" s="80"/>
      <c r="G1704" s="80" t="s">
        <v>84</v>
      </c>
      <c r="H1704" s="80" t="s">
        <v>9680</v>
      </c>
      <c r="I1704" s="80" t="s">
        <v>84</v>
      </c>
      <c r="J1704" s="80" t="s">
        <v>84</v>
      </c>
      <c r="K1704" s="80" t="s">
        <v>84</v>
      </c>
      <c r="L1704" s="80" t="s">
        <v>84</v>
      </c>
      <c r="M1704" s="80" t="s">
        <v>84</v>
      </c>
      <c r="N1704" s="80" t="s">
        <v>84</v>
      </c>
      <c r="O1704" s="80" t="s">
        <v>84</v>
      </c>
      <c r="P1704" s="80"/>
      <c r="Q1704" s="80" t="s">
        <v>84</v>
      </c>
      <c r="R1704" s="80" t="s">
        <v>84</v>
      </c>
    </row>
    <row r="1705" spans="1:18" ht="20" x14ac:dyDescent="0.2">
      <c r="A1705" s="80" t="s">
        <v>3483</v>
      </c>
      <c r="B1705" s="80" t="s">
        <v>3484</v>
      </c>
      <c r="C1705" s="80" t="s">
        <v>9680</v>
      </c>
      <c r="D1705" s="80" t="s">
        <v>84</v>
      </c>
      <c r="E1705" s="80" t="s">
        <v>84</v>
      </c>
      <c r="F1705" s="80"/>
      <c r="G1705" s="80" t="s">
        <v>84</v>
      </c>
      <c r="H1705" s="80" t="s">
        <v>9680</v>
      </c>
      <c r="I1705" s="80" t="s">
        <v>84</v>
      </c>
      <c r="J1705" s="80" t="s">
        <v>84</v>
      </c>
      <c r="K1705" s="80" t="s">
        <v>84</v>
      </c>
      <c r="L1705" s="80" t="s">
        <v>84</v>
      </c>
      <c r="M1705" s="80" t="s">
        <v>84</v>
      </c>
      <c r="N1705" s="80" t="s">
        <v>84</v>
      </c>
      <c r="O1705" s="80" t="s">
        <v>84</v>
      </c>
      <c r="P1705" s="80"/>
      <c r="Q1705" s="80" t="s">
        <v>84</v>
      </c>
      <c r="R1705" s="80" t="s">
        <v>84</v>
      </c>
    </row>
    <row r="1706" spans="1:18" ht="20" x14ac:dyDescent="0.2">
      <c r="A1706" s="80" t="s">
        <v>10282</v>
      </c>
      <c r="B1706" s="80" t="s">
        <v>10283</v>
      </c>
      <c r="C1706" s="80" t="s">
        <v>9680</v>
      </c>
      <c r="D1706" s="80" t="s">
        <v>84</v>
      </c>
      <c r="E1706" s="80" t="s">
        <v>84</v>
      </c>
      <c r="F1706" s="80"/>
      <c r="G1706" s="80" t="s">
        <v>84</v>
      </c>
      <c r="H1706" s="80" t="s">
        <v>84</v>
      </c>
      <c r="I1706" s="80" t="s">
        <v>84</v>
      </c>
      <c r="J1706" s="80" t="s">
        <v>84</v>
      </c>
      <c r="K1706" s="80" t="s">
        <v>84</v>
      </c>
      <c r="L1706" s="80" t="s">
        <v>84</v>
      </c>
      <c r="M1706" s="80" t="s">
        <v>84</v>
      </c>
      <c r="N1706" s="80" t="s">
        <v>84</v>
      </c>
      <c r="O1706" s="80" t="s">
        <v>84</v>
      </c>
      <c r="P1706" s="80"/>
      <c r="Q1706" s="80" t="s">
        <v>84</v>
      </c>
      <c r="R1706" s="80" t="s">
        <v>84</v>
      </c>
    </row>
    <row r="1707" spans="1:18" ht="20" x14ac:dyDescent="0.2">
      <c r="A1707" s="80" t="s">
        <v>3547</v>
      </c>
      <c r="B1707" s="80" t="s">
        <v>10284</v>
      </c>
      <c r="C1707" s="80" t="s">
        <v>9680</v>
      </c>
      <c r="D1707" s="80" t="s">
        <v>84</v>
      </c>
      <c r="E1707" s="80" t="s">
        <v>84</v>
      </c>
      <c r="F1707" s="80"/>
      <c r="G1707" s="80" t="s">
        <v>84</v>
      </c>
      <c r="H1707" s="80" t="s">
        <v>84</v>
      </c>
      <c r="I1707" s="80" t="s">
        <v>84</v>
      </c>
      <c r="J1707" s="80" t="s">
        <v>84</v>
      </c>
      <c r="K1707" s="80" t="s">
        <v>84</v>
      </c>
      <c r="L1707" s="80" t="s">
        <v>84</v>
      </c>
      <c r="M1707" s="80" t="s">
        <v>84</v>
      </c>
      <c r="N1707" s="80" t="s">
        <v>84</v>
      </c>
      <c r="O1707" s="80" t="s">
        <v>84</v>
      </c>
      <c r="P1707" s="80"/>
      <c r="Q1707" s="80" t="s">
        <v>84</v>
      </c>
      <c r="R1707" s="80" t="s">
        <v>84</v>
      </c>
    </row>
    <row r="1708" spans="1:18" ht="20" x14ac:dyDescent="0.2">
      <c r="A1708" s="80" t="s">
        <v>3547</v>
      </c>
      <c r="B1708" s="80" t="s">
        <v>3548</v>
      </c>
      <c r="C1708" s="80" t="s">
        <v>9680</v>
      </c>
      <c r="D1708" s="80" t="s">
        <v>84</v>
      </c>
      <c r="E1708" s="80" t="s">
        <v>84</v>
      </c>
      <c r="F1708" s="80"/>
      <c r="G1708" s="80" t="s">
        <v>84</v>
      </c>
      <c r="H1708" s="80" t="s">
        <v>84</v>
      </c>
      <c r="I1708" s="80" t="s">
        <v>84</v>
      </c>
      <c r="J1708" s="80" t="s">
        <v>84</v>
      </c>
      <c r="K1708" s="80" t="s">
        <v>84</v>
      </c>
      <c r="L1708" s="80" t="s">
        <v>84</v>
      </c>
      <c r="M1708" s="80" t="s">
        <v>84</v>
      </c>
      <c r="N1708" s="80" t="s">
        <v>84</v>
      </c>
      <c r="O1708" s="80" t="s">
        <v>84</v>
      </c>
      <c r="P1708" s="80"/>
      <c r="Q1708" s="80" t="s">
        <v>84</v>
      </c>
      <c r="R1708" s="80" t="s">
        <v>84</v>
      </c>
    </row>
    <row r="1709" spans="1:18" ht="20" x14ac:dyDescent="0.2">
      <c r="A1709" s="80" t="s">
        <v>3549</v>
      </c>
      <c r="B1709" s="80" t="s">
        <v>3550</v>
      </c>
      <c r="C1709" s="80" t="s">
        <v>9680</v>
      </c>
      <c r="D1709" s="80" t="s">
        <v>84</v>
      </c>
      <c r="E1709" s="80" t="s">
        <v>84</v>
      </c>
      <c r="F1709" s="80"/>
      <c r="G1709" s="80" t="s">
        <v>84</v>
      </c>
      <c r="H1709" s="80" t="s">
        <v>84</v>
      </c>
      <c r="I1709" s="80" t="s">
        <v>84</v>
      </c>
      <c r="J1709" s="80" t="s">
        <v>84</v>
      </c>
      <c r="K1709" s="80" t="s">
        <v>84</v>
      </c>
      <c r="L1709" s="80" t="s">
        <v>84</v>
      </c>
      <c r="M1709" s="80" t="s">
        <v>84</v>
      </c>
      <c r="N1709" s="80" t="s">
        <v>84</v>
      </c>
      <c r="O1709" s="80" t="s">
        <v>84</v>
      </c>
      <c r="P1709" s="80"/>
      <c r="Q1709" s="80" t="s">
        <v>84</v>
      </c>
      <c r="R1709" s="80" t="s">
        <v>84</v>
      </c>
    </row>
    <row r="1710" spans="1:18" ht="20" x14ac:dyDescent="0.2">
      <c r="A1710" s="80" t="s">
        <v>3551</v>
      </c>
      <c r="B1710" s="80" t="s">
        <v>3552</v>
      </c>
      <c r="C1710" s="80" t="s">
        <v>9680</v>
      </c>
      <c r="D1710" s="80" t="s">
        <v>84</v>
      </c>
      <c r="E1710" s="80" t="s">
        <v>84</v>
      </c>
      <c r="F1710" s="80"/>
      <c r="G1710" s="80" t="s">
        <v>84</v>
      </c>
      <c r="H1710" s="80" t="s">
        <v>84</v>
      </c>
      <c r="I1710" s="80" t="s">
        <v>84</v>
      </c>
      <c r="J1710" s="80" t="s">
        <v>84</v>
      </c>
      <c r="K1710" s="80" t="s">
        <v>84</v>
      </c>
      <c r="L1710" s="80" t="s">
        <v>84</v>
      </c>
      <c r="M1710" s="80" t="s">
        <v>84</v>
      </c>
      <c r="N1710" s="80" t="s">
        <v>84</v>
      </c>
      <c r="O1710" s="80" t="s">
        <v>84</v>
      </c>
      <c r="P1710" s="80"/>
      <c r="Q1710" s="80" t="s">
        <v>84</v>
      </c>
      <c r="R1710" s="80" t="s">
        <v>84</v>
      </c>
    </row>
    <row r="1711" spans="1:18" ht="20" x14ac:dyDescent="0.2">
      <c r="A1711" s="80" t="s">
        <v>3402</v>
      </c>
      <c r="B1711" s="80" t="s">
        <v>3403</v>
      </c>
      <c r="C1711" s="80" t="s">
        <v>9680</v>
      </c>
      <c r="D1711" s="80" t="s">
        <v>84</v>
      </c>
      <c r="E1711" s="80" t="s">
        <v>84</v>
      </c>
      <c r="F1711" s="80"/>
      <c r="G1711" s="80" t="s">
        <v>84</v>
      </c>
      <c r="H1711" s="80" t="s">
        <v>84</v>
      </c>
      <c r="I1711" s="80" t="s">
        <v>84</v>
      </c>
      <c r="J1711" s="80" t="s">
        <v>84</v>
      </c>
      <c r="K1711" s="80" t="s">
        <v>84</v>
      </c>
      <c r="L1711" s="80" t="s">
        <v>84</v>
      </c>
      <c r="M1711" s="80" t="s">
        <v>84</v>
      </c>
      <c r="N1711" s="80" t="s">
        <v>84</v>
      </c>
      <c r="O1711" s="80" t="s">
        <v>84</v>
      </c>
      <c r="P1711" s="80"/>
      <c r="Q1711" s="80" t="s">
        <v>84</v>
      </c>
      <c r="R1711" s="80" t="s">
        <v>84</v>
      </c>
    </row>
    <row r="1712" spans="1:18" ht="20" x14ac:dyDescent="0.2">
      <c r="A1712" s="80" t="s">
        <v>3326</v>
      </c>
      <c r="B1712" s="80" t="s">
        <v>3327</v>
      </c>
      <c r="C1712" s="80" t="s">
        <v>9680</v>
      </c>
      <c r="D1712" s="80" t="s">
        <v>84</v>
      </c>
      <c r="E1712" s="80" t="s">
        <v>84</v>
      </c>
      <c r="F1712" s="80"/>
      <c r="G1712" s="80" t="s">
        <v>84</v>
      </c>
      <c r="H1712" s="80" t="s">
        <v>84</v>
      </c>
      <c r="I1712" s="80" t="s">
        <v>84</v>
      </c>
      <c r="J1712" s="80" t="s">
        <v>84</v>
      </c>
      <c r="K1712" s="80" t="s">
        <v>84</v>
      </c>
      <c r="L1712" s="80" t="s">
        <v>84</v>
      </c>
      <c r="M1712" s="80" t="s">
        <v>84</v>
      </c>
      <c r="N1712" s="80" t="s">
        <v>84</v>
      </c>
      <c r="O1712" s="80" t="s">
        <v>84</v>
      </c>
      <c r="P1712" s="80"/>
      <c r="Q1712" s="80" t="s">
        <v>84</v>
      </c>
      <c r="R1712" s="80" t="s">
        <v>84</v>
      </c>
    </row>
    <row r="1713" spans="1:18" ht="20" x14ac:dyDescent="0.2">
      <c r="A1713" s="80" t="s">
        <v>3326</v>
      </c>
      <c r="B1713" s="80" t="s">
        <v>10285</v>
      </c>
      <c r="C1713" s="80" t="s">
        <v>9680</v>
      </c>
      <c r="D1713" s="80" t="s">
        <v>84</v>
      </c>
      <c r="E1713" s="80" t="s">
        <v>84</v>
      </c>
      <c r="F1713" s="80"/>
      <c r="G1713" s="80" t="s">
        <v>84</v>
      </c>
      <c r="H1713" s="80" t="s">
        <v>84</v>
      </c>
      <c r="I1713" s="80" t="s">
        <v>84</v>
      </c>
      <c r="J1713" s="80" t="s">
        <v>84</v>
      </c>
      <c r="K1713" s="80" t="s">
        <v>84</v>
      </c>
      <c r="L1713" s="80" t="s">
        <v>84</v>
      </c>
      <c r="M1713" s="80" t="s">
        <v>84</v>
      </c>
      <c r="N1713" s="80" t="s">
        <v>84</v>
      </c>
      <c r="O1713" s="80" t="s">
        <v>84</v>
      </c>
      <c r="P1713" s="80"/>
      <c r="Q1713" s="80" t="s">
        <v>84</v>
      </c>
      <c r="R1713" s="80" t="s">
        <v>84</v>
      </c>
    </row>
    <row r="1714" spans="1:18" ht="20" x14ac:dyDescent="0.2">
      <c r="A1714" s="80" t="s">
        <v>3326</v>
      </c>
      <c r="B1714" s="80" t="s">
        <v>3553</v>
      </c>
      <c r="C1714" s="80" t="s">
        <v>9680</v>
      </c>
      <c r="D1714" s="80" t="s">
        <v>84</v>
      </c>
      <c r="E1714" s="80" t="s">
        <v>84</v>
      </c>
      <c r="F1714" s="80"/>
      <c r="G1714" s="80" t="s">
        <v>84</v>
      </c>
      <c r="H1714" s="80" t="s">
        <v>84</v>
      </c>
      <c r="I1714" s="80" t="s">
        <v>84</v>
      </c>
      <c r="J1714" s="80" t="s">
        <v>84</v>
      </c>
      <c r="K1714" s="80" t="s">
        <v>84</v>
      </c>
      <c r="L1714" s="80" t="s">
        <v>84</v>
      </c>
      <c r="M1714" s="80" t="s">
        <v>84</v>
      </c>
      <c r="N1714" s="80" t="s">
        <v>84</v>
      </c>
      <c r="O1714" s="80" t="s">
        <v>84</v>
      </c>
      <c r="P1714" s="80"/>
      <c r="Q1714" s="80" t="s">
        <v>84</v>
      </c>
      <c r="R1714" s="80" t="s">
        <v>84</v>
      </c>
    </row>
    <row r="1715" spans="1:18" ht="20" x14ac:dyDescent="0.2">
      <c r="A1715" s="80" t="s">
        <v>10286</v>
      </c>
      <c r="B1715" s="80" t="s">
        <v>10287</v>
      </c>
      <c r="C1715" s="80" t="s">
        <v>9680</v>
      </c>
      <c r="D1715" s="80" t="s">
        <v>84</v>
      </c>
      <c r="E1715" s="80" t="s">
        <v>84</v>
      </c>
      <c r="F1715" s="80"/>
      <c r="G1715" s="80" t="s">
        <v>84</v>
      </c>
      <c r="H1715" s="80" t="s">
        <v>84</v>
      </c>
      <c r="I1715" s="80" t="s">
        <v>84</v>
      </c>
      <c r="J1715" s="80" t="s">
        <v>84</v>
      </c>
      <c r="K1715" s="80" t="s">
        <v>84</v>
      </c>
      <c r="L1715" s="80" t="s">
        <v>84</v>
      </c>
      <c r="M1715" s="80" t="s">
        <v>84</v>
      </c>
      <c r="N1715" s="80" t="s">
        <v>84</v>
      </c>
      <c r="O1715" s="80" t="s">
        <v>84</v>
      </c>
      <c r="P1715" s="80"/>
      <c r="Q1715" s="80" t="s">
        <v>84</v>
      </c>
      <c r="R1715" s="80" t="s">
        <v>84</v>
      </c>
    </row>
    <row r="1716" spans="1:18" ht="20" x14ac:dyDescent="0.2">
      <c r="A1716" s="80" t="s">
        <v>3554</v>
      </c>
      <c r="B1716" s="80" t="s">
        <v>3555</v>
      </c>
      <c r="C1716" s="80" t="s">
        <v>9680</v>
      </c>
      <c r="D1716" s="80" t="s">
        <v>84</v>
      </c>
      <c r="E1716" s="80" t="s">
        <v>84</v>
      </c>
      <c r="F1716" s="80"/>
      <c r="G1716" s="80" t="s">
        <v>84</v>
      </c>
      <c r="H1716" s="80" t="s">
        <v>84</v>
      </c>
      <c r="I1716" s="80" t="s">
        <v>84</v>
      </c>
      <c r="J1716" s="80" t="s">
        <v>84</v>
      </c>
      <c r="K1716" s="80" t="s">
        <v>84</v>
      </c>
      <c r="L1716" s="80" t="s">
        <v>84</v>
      </c>
      <c r="M1716" s="80" t="s">
        <v>84</v>
      </c>
      <c r="N1716" s="80" t="s">
        <v>84</v>
      </c>
      <c r="O1716" s="80" t="s">
        <v>84</v>
      </c>
      <c r="P1716" s="80"/>
      <c r="Q1716" s="80" t="s">
        <v>84</v>
      </c>
      <c r="R1716" s="80" t="s">
        <v>84</v>
      </c>
    </row>
    <row r="1717" spans="1:18" ht="20" x14ac:dyDescent="0.2">
      <c r="A1717" s="80" t="s">
        <v>3385</v>
      </c>
      <c r="B1717" s="80" t="s">
        <v>10288</v>
      </c>
      <c r="C1717" s="80" t="s">
        <v>9680</v>
      </c>
      <c r="D1717" s="80" t="s">
        <v>84</v>
      </c>
      <c r="E1717" s="80" t="s">
        <v>84</v>
      </c>
      <c r="F1717" s="80"/>
      <c r="G1717" s="80" t="s">
        <v>84</v>
      </c>
      <c r="H1717" s="80" t="s">
        <v>84</v>
      </c>
      <c r="I1717" s="80" t="s">
        <v>84</v>
      </c>
      <c r="J1717" s="80" t="s">
        <v>84</v>
      </c>
      <c r="K1717" s="80" t="s">
        <v>84</v>
      </c>
      <c r="L1717" s="80" t="s">
        <v>84</v>
      </c>
      <c r="M1717" s="80" t="s">
        <v>84</v>
      </c>
      <c r="N1717" s="80" t="s">
        <v>84</v>
      </c>
      <c r="O1717" s="80" t="s">
        <v>84</v>
      </c>
      <c r="P1717" s="80"/>
      <c r="Q1717" s="80" t="s">
        <v>84</v>
      </c>
      <c r="R1717" s="80" t="s">
        <v>84</v>
      </c>
    </row>
    <row r="1718" spans="1:18" ht="20" x14ac:dyDescent="0.2">
      <c r="A1718" s="80" t="s">
        <v>3385</v>
      </c>
      <c r="B1718" s="80" t="s">
        <v>3386</v>
      </c>
      <c r="C1718" s="80" t="s">
        <v>9680</v>
      </c>
      <c r="D1718" s="80" t="s">
        <v>84</v>
      </c>
      <c r="E1718" s="80" t="s">
        <v>84</v>
      </c>
      <c r="F1718" s="80"/>
      <c r="G1718" s="80" t="s">
        <v>84</v>
      </c>
      <c r="H1718" s="80" t="s">
        <v>84</v>
      </c>
      <c r="I1718" s="80" t="s">
        <v>84</v>
      </c>
      <c r="J1718" s="80" t="s">
        <v>84</v>
      </c>
      <c r="K1718" s="80" t="s">
        <v>84</v>
      </c>
      <c r="L1718" s="80" t="s">
        <v>84</v>
      </c>
      <c r="M1718" s="80" t="s">
        <v>84</v>
      </c>
      <c r="N1718" s="80" t="s">
        <v>84</v>
      </c>
      <c r="O1718" s="80" t="s">
        <v>84</v>
      </c>
      <c r="P1718" s="80"/>
      <c r="Q1718" s="80" t="s">
        <v>84</v>
      </c>
      <c r="R1718" s="80" t="s">
        <v>84</v>
      </c>
    </row>
    <row r="1719" spans="1:18" ht="20" x14ac:dyDescent="0.2">
      <c r="A1719" s="80" t="s">
        <v>3556</v>
      </c>
      <c r="B1719" s="80" t="s">
        <v>3557</v>
      </c>
      <c r="C1719" s="80" t="s">
        <v>9680</v>
      </c>
      <c r="D1719" s="80" t="s">
        <v>9680</v>
      </c>
      <c r="E1719" s="80" t="s">
        <v>9680</v>
      </c>
      <c r="F1719" s="80"/>
      <c r="G1719" s="80" t="s">
        <v>9680</v>
      </c>
      <c r="H1719" s="80" t="s">
        <v>9680</v>
      </c>
      <c r="I1719" s="80" t="s">
        <v>9680</v>
      </c>
      <c r="J1719" s="80" t="s">
        <v>9680</v>
      </c>
      <c r="K1719" s="80" t="s">
        <v>9680</v>
      </c>
      <c r="L1719" s="80" t="s">
        <v>9680</v>
      </c>
      <c r="M1719" s="80" t="s">
        <v>9680</v>
      </c>
      <c r="N1719" s="80" t="s">
        <v>9680</v>
      </c>
      <c r="O1719" s="80" t="s">
        <v>9680</v>
      </c>
      <c r="P1719" s="80"/>
      <c r="Q1719" s="80" t="s">
        <v>9680</v>
      </c>
      <c r="R1719" s="80" t="s">
        <v>9680</v>
      </c>
    </row>
    <row r="1720" spans="1:18" ht="20" x14ac:dyDescent="0.2">
      <c r="A1720" s="80" t="s">
        <v>3559</v>
      </c>
      <c r="B1720" s="80" t="s">
        <v>10289</v>
      </c>
      <c r="C1720" s="80" t="s">
        <v>9680</v>
      </c>
      <c r="D1720" s="80" t="s">
        <v>9680</v>
      </c>
      <c r="E1720" s="80" t="s">
        <v>84</v>
      </c>
      <c r="F1720" s="80"/>
      <c r="G1720" s="80" t="s">
        <v>9680</v>
      </c>
      <c r="H1720" s="80" t="s">
        <v>84</v>
      </c>
      <c r="I1720" s="80" t="s">
        <v>9680</v>
      </c>
      <c r="J1720" s="80" t="s">
        <v>9680</v>
      </c>
      <c r="K1720" s="80" t="s">
        <v>9680</v>
      </c>
      <c r="L1720" s="80" t="s">
        <v>9680</v>
      </c>
      <c r="M1720" s="80" t="s">
        <v>84</v>
      </c>
      <c r="N1720" s="80" t="s">
        <v>84</v>
      </c>
      <c r="O1720" s="80" t="s">
        <v>9680</v>
      </c>
      <c r="P1720" s="80"/>
      <c r="Q1720" s="80" t="s">
        <v>9680</v>
      </c>
      <c r="R1720" s="80" t="s">
        <v>9680</v>
      </c>
    </row>
    <row r="1721" spans="1:18" ht="20" x14ac:dyDescent="0.2">
      <c r="A1721" s="80" t="s">
        <v>3559</v>
      </c>
      <c r="B1721" s="80" t="s">
        <v>3560</v>
      </c>
      <c r="C1721" s="80" t="s">
        <v>9680</v>
      </c>
      <c r="D1721" s="80" t="s">
        <v>9680</v>
      </c>
      <c r="E1721" s="80" t="s">
        <v>84</v>
      </c>
      <c r="F1721" s="80"/>
      <c r="G1721" s="80" t="s">
        <v>9680</v>
      </c>
      <c r="H1721" s="80" t="s">
        <v>84</v>
      </c>
      <c r="I1721" s="80" t="s">
        <v>9680</v>
      </c>
      <c r="J1721" s="80" t="s">
        <v>9680</v>
      </c>
      <c r="K1721" s="80" t="s">
        <v>9680</v>
      </c>
      <c r="L1721" s="80" t="s">
        <v>9680</v>
      </c>
      <c r="M1721" s="80" t="s">
        <v>84</v>
      </c>
      <c r="N1721" s="80" t="s">
        <v>84</v>
      </c>
      <c r="O1721" s="80" t="s">
        <v>9680</v>
      </c>
      <c r="P1721" s="80"/>
      <c r="Q1721" s="80" t="s">
        <v>9680</v>
      </c>
      <c r="R1721" s="80" t="s">
        <v>9680</v>
      </c>
    </row>
    <row r="1722" spans="1:18" ht="20" x14ac:dyDescent="0.2">
      <c r="A1722" s="80" t="s">
        <v>3561</v>
      </c>
      <c r="B1722" s="80" t="s">
        <v>3562</v>
      </c>
      <c r="C1722" s="80" t="s">
        <v>9680</v>
      </c>
      <c r="D1722" s="80" t="s">
        <v>9680</v>
      </c>
      <c r="E1722" s="80" t="s">
        <v>9680</v>
      </c>
      <c r="F1722" s="80"/>
      <c r="G1722" s="80" t="s">
        <v>9680</v>
      </c>
      <c r="H1722" s="80" t="s">
        <v>9680</v>
      </c>
      <c r="I1722" s="80" t="s">
        <v>9680</v>
      </c>
      <c r="J1722" s="80" t="s">
        <v>84</v>
      </c>
      <c r="K1722" s="80" t="s">
        <v>9680</v>
      </c>
      <c r="L1722" s="80" t="s">
        <v>9680</v>
      </c>
      <c r="M1722" s="80" t="s">
        <v>84</v>
      </c>
      <c r="N1722" s="80" t="s">
        <v>9680</v>
      </c>
      <c r="O1722" s="80" t="s">
        <v>84</v>
      </c>
      <c r="P1722" s="80"/>
      <c r="Q1722" s="80" t="s">
        <v>84</v>
      </c>
      <c r="R1722" s="80" t="s">
        <v>84</v>
      </c>
    </row>
    <row r="1723" spans="1:18" x14ac:dyDescent="0.2">
      <c r="A1723" s="80" t="s">
        <v>3565</v>
      </c>
      <c r="B1723" s="80" t="s">
        <v>10290</v>
      </c>
      <c r="C1723" s="80" t="s">
        <v>84</v>
      </c>
      <c r="D1723" s="80" t="s">
        <v>84</v>
      </c>
      <c r="E1723" s="80" t="s">
        <v>84</v>
      </c>
      <c r="F1723" s="80"/>
      <c r="G1723" s="80" t="s">
        <v>84</v>
      </c>
      <c r="H1723" s="80" t="s">
        <v>84</v>
      </c>
      <c r="I1723" s="80" t="s">
        <v>84</v>
      </c>
      <c r="J1723" s="80" t="s">
        <v>84</v>
      </c>
      <c r="K1723" s="80" t="s">
        <v>84</v>
      </c>
      <c r="L1723" s="80" t="s">
        <v>84</v>
      </c>
      <c r="M1723" s="80" t="s">
        <v>84</v>
      </c>
      <c r="N1723" s="80" t="s">
        <v>84</v>
      </c>
      <c r="O1723" s="80" t="s">
        <v>84</v>
      </c>
      <c r="P1723" s="80"/>
      <c r="Q1723" s="80" t="s">
        <v>84</v>
      </c>
      <c r="R1723" s="80" t="s">
        <v>84</v>
      </c>
    </row>
    <row r="1724" spans="1:18" x14ac:dyDescent="0.2">
      <c r="A1724" s="80" t="s">
        <v>3565</v>
      </c>
      <c r="B1724" s="80" t="s">
        <v>3566</v>
      </c>
      <c r="C1724" s="80" t="s">
        <v>84</v>
      </c>
      <c r="D1724" s="80" t="s">
        <v>84</v>
      </c>
      <c r="E1724" s="80" t="s">
        <v>84</v>
      </c>
      <c r="F1724" s="80"/>
      <c r="G1724" s="80" t="s">
        <v>84</v>
      </c>
      <c r="H1724" s="80" t="s">
        <v>84</v>
      </c>
      <c r="I1724" s="80" t="s">
        <v>84</v>
      </c>
      <c r="J1724" s="80" t="s">
        <v>84</v>
      </c>
      <c r="K1724" s="80" t="s">
        <v>84</v>
      </c>
      <c r="L1724" s="80" t="s">
        <v>84</v>
      </c>
      <c r="M1724" s="80" t="s">
        <v>84</v>
      </c>
      <c r="N1724" s="80" t="s">
        <v>84</v>
      </c>
      <c r="O1724" s="80" t="s">
        <v>84</v>
      </c>
      <c r="P1724" s="80"/>
      <c r="Q1724" s="80" t="s">
        <v>84</v>
      </c>
      <c r="R1724" s="80" t="s">
        <v>84</v>
      </c>
    </row>
    <row r="1725" spans="1:18" ht="20" x14ac:dyDescent="0.2">
      <c r="A1725" s="80" t="s">
        <v>3567</v>
      </c>
      <c r="B1725" s="80" t="s">
        <v>3568</v>
      </c>
      <c r="C1725" s="80" t="s">
        <v>9680</v>
      </c>
      <c r="D1725" s="80" t="s">
        <v>84</v>
      </c>
      <c r="E1725" s="80" t="s">
        <v>84</v>
      </c>
      <c r="F1725" s="80"/>
      <c r="G1725" s="80" t="s">
        <v>84</v>
      </c>
      <c r="H1725" s="80" t="s">
        <v>9680</v>
      </c>
      <c r="I1725" s="80" t="s">
        <v>84</v>
      </c>
      <c r="J1725" s="80" t="s">
        <v>84</v>
      </c>
      <c r="K1725" s="80" t="s">
        <v>84</v>
      </c>
      <c r="L1725" s="80" t="s">
        <v>84</v>
      </c>
      <c r="M1725" s="80" t="s">
        <v>84</v>
      </c>
      <c r="N1725" s="80" t="s">
        <v>84</v>
      </c>
      <c r="O1725" s="80" t="s">
        <v>84</v>
      </c>
      <c r="P1725" s="80"/>
      <c r="Q1725" s="80" t="s">
        <v>84</v>
      </c>
      <c r="R1725" s="80" t="s">
        <v>84</v>
      </c>
    </row>
    <row r="1726" spans="1:18" ht="20" x14ac:dyDescent="0.2">
      <c r="A1726" s="80" t="s">
        <v>3569</v>
      </c>
      <c r="B1726" s="80" t="s">
        <v>3570</v>
      </c>
      <c r="C1726" s="80" t="s">
        <v>9680</v>
      </c>
      <c r="D1726" s="80" t="s">
        <v>84</v>
      </c>
      <c r="E1726" s="80" t="s">
        <v>84</v>
      </c>
      <c r="F1726" s="80"/>
      <c r="G1726" s="80" t="s">
        <v>84</v>
      </c>
      <c r="H1726" s="80" t="s">
        <v>9680</v>
      </c>
      <c r="I1726" s="80" t="s">
        <v>84</v>
      </c>
      <c r="J1726" s="80" t="s">
        <v>84</v>
      </c>
      <c r="K1726" s="80" t="s">
        <v>84</v>
      </c>
      <c r="L1726" s="80" t="s">
        <v>84</v>
      </c>
      <c r="M1726" s="80" t="s">
        <v>84</v>
      </c>
      <c r="N1726" s="80" t="s">
        <v>84</v>
      </c>
      <c r="O1726" s="80" t="s">
        <v>84</v>
      </c>
      <c r="P1726" s="80"/>
      <c r="Q1726" s="80" t="s">
        <v>84</v>
      </c>
      <c r="R1726" s="80" t="s">
        <v>84</v>
      </c>
    </row>
    <row r="1727" spans="1:18" ht="20" x14ac:dyDescent="0.2">
      <c r="A1727" s="80" t="s">
        <v>3479</v>
      </c>
      <c r="B1727" s="80" t="s">
        <v>10291</v>
      </c>
      <c r="C1727" s="80" t="s">
        <v>9680</v>
      </c>
      <c r="D1727" s="80" t="s">
        <v>84</v>
      </c>
      <c r="E1727" s="80" t="s">
        <v>84</v>
      </c>
      <c r="F1727" s="80"/>
      <c r="G1727" s="80" t="s">
        <v>84</v>
      </c>
      <c r="H1727" s="80" t="s">
        <v>9680</v>
      </c>
      <c r="I1727" s="80" t="s">
        <v>84</v>
      </c>
      <c r="J1727" s="80" t="s">
        <v>84</v>
      </c>
      <c r="K1727" s="80" t="s">
        <v>84</v>
      </c>
      <c r="L1727" s="80" t="s">
        <v>84</v>
      </c>
      <c r="M1727" s="80" t="s">
        <v>84</v>
      </c>
      <c r="N1727" s="80" t="s">
        <v>84</v>
      </c>
      <c r="O1727" s="80" t="s">
        <v>84</v>
      </c>
      <c r="P1727" s="80"/>
      <c r="Q1727" s="80" t="s">
        <v>84</v>
      </c>
      <c r="R1727" s="80" t="s">
        <v>84</v>
      </c>
    </row>
    <row r="1728" spans="1:18" ht="20" x14ac:dyDescent="0.2">
      <c r="A1728" s="80" t="s">
        <v>3479</v>
      </c>
      <c r="B1728" s="80" t="s">
        <v>3480</v>
      </c>
      <c r="C1728" s="80" t="s">
        <v>9680</v>
      </c>
      <c r="D1728" s="80" t="s">
        <v>84</v>
      </c>
      <c r="E1728" s="80" t="s">
        <v>84</v>
      </c>
      <c r="F1728" s="80"/>
      <c r="G1728" s="80" t="s">
        <v>84</v>
      </c>
      <c r="H1728" s="80" t="s">
        <v>9680</v>
      </c>
      <c r="I1728" s="80" t="s">
        <v>84</v>
      </c>
      <c r="J1728" s="80" t="s">
        <v>84</v>
      </c>
      <c r="K1728" s="80" t="s">
        <v>84</v>
      </c>
      <c r="L1728" s="80" t="s">
        <v>84</v>
      </c>
      <c r="M1728" s="80" t="s">
        <v>84</v>
      </c>
      <c r="N1728" s="80" t="s">
        <v>84</v>
      </c>
      <c r="O1728" s="80" t="s">
        <v>84</v>
      </c>
      <c r="P1728" s="80"/>
      <c r="Q1728" s="80" t="s">
        <v>84</v>
      </c>
      <c r="R1728" s="80" t="s">
        <v>84</v>
      </c>
    </row>
    <row r="1729" spans="1:18" ht="20" x14ac:dyDescent="0.2">
      <c r="A1729" s="80" t="s">
        <v>3481</v>
      </c>
      <c r="B1729" s="80" t="s">
        <v>3482</v>
      </c>
      <c r="C1729" s="80" t="s">
        <v>9680</v>
      </c>
      <c r="D1729" s="80" t="s">
        <v>84</v>
      </c>
      <c r="E1729" s="80" t="s">
        <v>84</v>
      </c>
      <c r="F1729" s="80"/>
      <c r="G1729" s="80" t="s">
        <v>84</v>
      </c>
      <c r="H1729" s="80" t="s">
        <v>84</v>
      </c>
      <c r="I1729" s="80" t="s">
        <v>84</v>
      </c>
      <c r="J1729" s="80" t="s">
        <v>84</v>
      </c>
      <c r="K1729" s="80" t="s">
        <v>84</v>
      </c>
      <c r="L1729" s="80" t="s">
        <v>84</v>
      </c>
      <c r="M1729" s="80" t="s">
        <v>84</v>
      </c>
      <c r="N1729" s="80" t="s">
        <v>84</v>
      </c>
      <c r="O1729" s="80" t="s">
        <v>84</v>
      </c>
      <c r="P1729" s="80"/>
      <c r="Q1729" s="80" t="s">
        <v>84</v>
      </c>
      <c r="R1729" s="80" t="s">
        <v>84</v>
      </c>
    </row>
    <row r="1730" spans="1:18" ht="20" x14ac:dyDescent="0.2">
      <c r="A1730" s="80" t="s">
        <v>3596</v>
      </c>
      <c r="B1730" s="80" t="s">
        <v>3597</v>
      </c>
      <c r="C1730" s="80" t="s">
        <v>9680</v>
      </c>
      <c r="D1730" s="80" t="s">
        <v>9680</v>
      </c>
      <c r="E1730" s="80" t="s">
        <v>9680</v>
      </c>
      <c r="F1730" s="80"/>
      <c r="G1730" s="80" t="s">
        <v>9680</v>
      </c>
      <c r="H1730" s="80" t="s">
        <v>9680</v>
      </c>
      <c r="I1730" s="80" t="s">
        <v>9680</v>
      </c>
      <c r="J1730" s="80" t="s">
        <v>84</v>
      </c>
      <c r="K1730" s="80" t="s">
        <v>9680</v>
      </c>
      <c r="L1730" s="80" t="s">
        <v>9680</v>
      </c>
      <c r="M1730" s="80" t="s">
        <v>84</v>
      </c>
      <c r="N1730" s="80" t="s">
        <v>9680</v>
      </c>
      <c r="O1730" s="80" t="s">
        <v>84</v>
      </c>
      <c r="P1730" s="80"/>
      <c r="Q1730" s="80" t="s">
        <v>84</v>
      </c>
      <c r="R1730" s="80" t="s">
        <v>84</v>
      </c>
    </row>
    <row r="1731" spans="1:18" ht="20" x14ac:dyDescent="0.2">
      <c r="A1731" s="80" t="s">
        <v>3596</v>
      </c>
      <c r="B1731" s="80" t="s">
        <v>10292</v>
      </c>
      <c r="C1731" s="80" t="s">
        <v>9680</v>
      </c>
      <c r="D1731" s="80" t="s">
        <v>9680</v>
      </c>
      <c r="E1731" s="80" t="s">
        <v>9680</v>
      </c>
      <c r="F1731" s="80"/>
      <c r="G1731" s="80" t="s">
        <v>9680</v>
      </c>
      <c r="H1731" s="80" t="s">
        <v>9680</v>
      </c>
      <c r="I1731" s="80" t="s">
        <v>9680</v>
      </c>
      <c r="J1731" s="80" t="s">
        <v>84</v>
      </c>
      <c r="K1731" s="80" t="s">
        <v>9680</v>
      </c>
      <c r="L1731" s="80" t="s">
        <v>9680</v>
      </c>
      <c r="M1731" s="80" t="s">
        <v>84</v>
      </c>
      <c r="N1731" s="80" t="s">
        <v>9680</v>
      </c>
      <c r="O1731" s="80" t="s">
        <v>84</v>
      </c>
      <c r="P1731" s="80"/>
      <c r="Q1731" s="80" t="s">
        <v>84</v>
      </c>
      <c r="R1731" s="80" t="s">
        <v>84</v>
      </c>
    </row>
    <row r="1732" spans="1:18" ht="20" x14ac:dyDescent="0.2">
      <c r="A1732" s="80" t="s">
        <v>3596</v>
      </c>
      <c r="B1732" s="80" t="s">
        <v>10293</v>
      </c>
      <c r="C1732" s="80" t="s">
        <v>9680</v>
      </c>
      <c r="D1732" s="80" t="s">
        <v>9680</v>
      </c>
      <c r="E1732" s="80" t="s">
        <v>9680</v>
      </c>
      <c r="F1732" s="80"/>
      <c r="G1732" s="80" t="s">
        <v>9680</v>
      </c>
      <c r="H1732" s="80" t="s">
        <v>9680</v>
      </c>
      <c r="I1732" s="80" t="s">
        <v>9680</v>
      </c>
      <c r="J1732" s="80" t="s">
        <v>84</v>
      </c>
      <c r="K1732" s="80" t="s">
        <v>9680</v>
      </c>
      <c r="L1732" s="80" t="s">
        <v>9680</v>
      </c>
      <c r="M1732" s="80" t="s">
        <v>84</v>
      </c>
      <c r="N1732" s="80" t="s">
        <v>9680</v>
      </c>
      <c r="O1732" s="80" t="s">
        <v>84</v>
      </c>
      <c r="P1732" s="80"/>
      <c r="Q1732" s="80" t="s">
        <v>84</v>
      </c>
      <c r="R1732" s="80" t="s">
        <v>84</v>
      </c>
    </row>
    <row r="1733" spans="1:18" ht="20" x14ac:dyDescent="0.2">
      <c r="A1733" s="80" t="s">
        <v>3339</v>
      </c>
      <c r="B1733" s="80" t="s">
        <v>3340</v>
      </c>
      <c r="C1733" s="80" t="s">
        <v>9722</v>
      </c>
      <c r="D1733" s="80" t="s">
        <v>84</v>
      </c>
      <c r="E1733" s="80" t="s">
        <v>84</v>
      </c>
      <c r="F1733" s="80"/>
      <c r="G1733" s="80" t="s">
        <v>84</v>
      </c>
      <c r="H1733" s="80" t="s">
        <v>84</v>
      </c>
      <c r="I1733" s="80" t="s">
        <v>84</v>
      </c>
      <c r="J1733" s="80" t="s">
        <v>84</v>
      </c>
      <c r="K1733" s="80" t="s">
        <v>84</v>
      </c>
      <c r="L1733" s="80" t="s">
        <v>84</v>
      </c>
      <c r="M1733" s="80" t="s">
        <v>84</v>
      </c>
      <c r="N1733" s="80" t="s">
        <v>84</v>
      </c>
      <c r="O1733" s="80" t="s">
        <v>84</v>
      </c>
      <c r="P1733" s="80"/>
      <c r="Q1733" s="80" t="s">
        <v>84</v>
      </c>
      <c r="R1733" s="80" t="s">
        <v>84</v>
      </c>
    </row>
    <row r="1734" spans="1:18" ht="20" x14ac:dyDescent="0.2">
      <c r="A1734" s="80" t="s">
        <v>3339</v>
      </c>
      <c r="B1734" s="80" t="s">
        <v>3380</v>
      </c>
      <c r="C1734" s="80" t="s">
        <v>9722</v>
      </c>
      <c r="D1734" s="80" t="s">
        <v>84</v>
      </c>
      <c r="E1734" s="80" t="s">
        <v>84</v>
      </c>
      <c r="F1734" s="80"/>
      <c r="G1734" s="80" t="s">
        <v>84</v>
      </c>
      <c r="H1734" s="80" t="s">
        <v>84</v>
      </c>
      <c r="I1734" s="80" t="s">
        <v>84</v>
      </c>
      <c r="J1734" s="80" t="s">
        <v>84</v>
      </c>
      <c r="K1734" s="80" t="s">
        <v>84</v>
      </c>
      <c r="L1734" s="80" t="s">
        <v>84</v>
      </c>
      <c r="M1734" s="80" t="s">
        <v>84</v>
      </c>
      <c r="N1734" s="80" t="s">
        <v>84</v>
      </c>
      <c r="O1734" s="80" t="s">
        <v>84</v>
      </c>
      <c r="P1734" s="80"/>
      <c r="Q1734" s="80" t="s">
        <v>84</v>
      </c>
      <c r="R1734" s="80" t="s">
        <v>84</v>
      </c>
    </row>
    <row r="1735" spans="1:18" ht="20" x14ac:dyDescent="0.2">
      <c r="A1735" s="80" t="s">
        <v>5239</v>
      </c>
      <c r="B1735" s="80" t="s">
        <v>10294</v>
      </c>
      <c r="C1735" s="80" t="s">
        <v>9680</v>
      </c>
      <c r="D1735" s="80" t="s">
        <v>9680</v>
      </c>
      <c r="E1735" s="80" t="s">
        <v>84</v>
      </c>
      <c r="F1735" s="80"/>
      <c r="G1735" s="80" t="s">
        <v>9680</v>
      </c>
      <c r="H1735" s="80" t="s">
        <v>84</v>
      </c>
      <c r="I1735" s="80" t="s">
        <v>9680</v>
      </c>
      <c r="J1735" s="80" t="s">
        <v>9680</v>
      </c>
      <c r="K1735" s="80" t="s">
        <v>9680</v>
      </c>
      <c r="L1735" s="80" t="s">
        <v>9680</v>
      </c>
      <c r="M1735" s="80" t="s">
        <v>9680</v>
      </c>
      <c r="N1735" s="80" t="s">
        <v>84</v>
      </c>
      <c r="O1735" s="80" t="s">
        <v>9680</v>
      </c>
      <c r="P1735" s="80"/>
      <c r="Q1735" s="80" t="s">
        <v>9680</v>
      </c>
      <c r="R1735" s="80" t="s">
        <v>9680</v>
      </c>
    </row>
    <row r="1736" spans="1:18" ht="20" x14ac:dyDescent="0.2">
      <c r="A1736" s="80" t="s">
        <v>5239</v>
      </c>
      <c r="B1736" s="80" t="s">
        <v>5240</v>
      </c>
      <c r="C1736" s="80" t="s">
        <v>9680</v>
      </c>
      <c r="D1736" s="80" t="s">
        <v>9680</v>
      </c>
      <c r="E1736" s="80" t="s">
        <v>84</v>
      </c>
      <c r="F1736" s="80"/>
      <c r="G1736" s="80" t="s">
        <v>9680</v>
      </c>
      <c r="H1736" s="80" t="s">
        <v>84</v>
      </c>
      <c r="I1736" s="80" t="s">
        <v>9680</v>
      </c>
      <c r="J1736" s="80" t="s">
        <v>9680</v>
      </c>
      <c r="K1736" s="80" t="s">
        <v>9680</v>
      </c>
      <c r="L1736" s="80" t="s">
        <v>9680</v>
      </c>
      <c r="M1736" s="80" t="s">
        <v>9680</v>
      </c>
      <c r="N1736" s="80" t="s">
        <v>84</v>
      </c>
      <c r="O1736" s="80" t="s">
        <v>9680</v>
      </c>
      <c r="P1736" s="80"/>
      <c r="Q1736" s="80" t="s">
        <v>9680</v>
      </c>
      <c r="R1736" s="80" t="s">
        <v>9680</v>
      </c>
    </row>
    <row r="1737" spans="1:18" ht="20" x14ac:dyDescent="0.2">
      <c r="A1737" s="80" t="s">
        <v>5241</v>
      </c>
      <c r="B1737" s="80" t="s">
        <v>5242</v>
      </c>
      <c r="C1737" s="80" t="s">
        <v>9680</v>
      </c>
      <c r="D1737" s="80" t="s">
        <v>9680</v>
      </c>
      <c r="E1737" s="80" t="s">
        <v>9680</v>
      </c>
      <c r="F1737" s="80"/>
      <c r="G1737" s="80" t="s">
        <v>9680</v>
      </c>
      <c r="H1737" s="80" t="s">
        <v>9680</v>
      </c>
      <c r="I1737" s="80" t="s">
        <v>9680</v>
      </c>
      <c r="J1737" s="80" t="s">
        <v>9680</v>
      </c>
      <c r="K1737" s="80" t="s">
        <v>9680</v>
      </c>
      <c r="L1737" s="80" t="s">
        <v>9680</v>
      </c>
      <c r="M1737" s="80" t="s">
        <v>9680</v>
      </c>
      <c r="N1737" s="80" t="s">
        <v>9680</v>
      </c>
      <c r="O1737" s="80" t="s">
        <v>9680</v>
      </c>
      <c r="P1737" s="80"/>
      <c r="Q1737" s="80" t="s">
        <v>9680</v>
      </c>
      <c r="R1737" s="80" t="s">
        <v>9680</v>
      </c>
    </row>
    <row r="1738" spans="1:18" ht="20" x14ac:dyDescent="0.2">
      <c r="A1738" s="80" t="s">
        <v>5243</v>
      </c>
      <c r="B1738" s="80" t="s">
        <v>10295</v>
      </c>
      <c r="C1738" s="80" t="s">
        <v>84</v>
      </c>
      <c r="D1738" s="80" t="s">
        <v>84</v>
      </c>
      <c r="E1738" s="80" t="s">
        <v>84</v>
      </c>
      <c r="F1738" s="80"/>
      <c r="G1738" s="80" t="s">
        <v>84</v>
      </c>
      <c r="H1738" s="80" t="s">
        <v>84</v>
      </c>
      <c r="I1738" s="80" t="s">
        <v>84</v>
      </c>
      <c r="J1738" s="80" t="s">
        <v>84</v>
      </c>
      <c r="K1738" s="80" t="s">
        <v>84</v>
      </c>
      <c r="L1738" s="80" t="s">
        <v>84</v>
      </c>
      <c r="M1738" s="80" t="s">
        <v>84</v>
      </c>
      <c r="N1738" s="80" t="s">
        <v>84</v>
      </c>
      <c r="O1738" s="80" t="s">
        <v>84</v>
      </c>
      <c r="P1738" s="80"/>
      <c r="Q1738" s="80" t="s">
        <v>84</v>
      </c>
      <c r="R1738" s="80" t="s">
        <v>84</v>
      </c>
    </row>
    <row r="1739" spans="1:18" ht="20" x14ac:dyDescent="0.2">
      <c r="A1739" s="80" t="s">
        <v>5243</v>
      </c>
      <c r="B1739" s="80" t="s">
        <v>5244</v>
      </c>
      <c r="C1739" s="80" t="s">
        <v>84</v>
      </c>
      <c r="D1739" s="80" t="s">
        <v>84</v>
      </c>
      <c r="E1739" s="80" t="s">
        <v>84</v>
      </c>
      <c r="F1739" s="80"/>
      <c r="G1739" s="80" t="s">
        <v>84</v>
      </c>
      <c r="H1739" s="80" t="s">
        <v>84</v>
      </c>
      <c r="I1739" s="80" t="s">
        <v>84</v>
      </c>
      <c r="J1739" s="80" t="s">
        <v>84</v>
      </c>
      <c r="K1739" s="80" t="s">
        <v>84</v>
      </c>
      <c r="L1739" s="80" t="s">
        <v>84</v>
      </c>
      <c r="M1739" s="80" t="s">
        <v>84</v>
      </c>
      <c r="N1739" s="80" t="s">
        <v>84</v>
      </c>
      <c r="O1739" s="80" t="s">
        <v>84</v>
      </c>
      <c r="P1739" s="80"/>
      <c r="Q1739" s="80" t="s">
        <v>84</v>
      </c>
      <c r="R1739" s="80" t="s">
        <v>84</v>
      </c>
    </row>
    <row r="1740" spans="1:18" ht="20" x14ac:dyDescent="0.2">
      <c r="A1740" s="80" t="s">
        <v>5245</v>
      </c>
      <c r="B1740" s="80" t="s">
        <v>10296</v>
      </c>
      <c r="C1740" s="80" t="s">
        <v>9680</v>
      </c>
      <c r="D1740" s="80" t="s">
        <v>9680</v>
      </c>
      <c r="E1740" s="80" t="s">
        <v>84</v>
      </c>
      <c r="F1740" s="80"/>
      <c r="G1740" s="80" t="s">
        <v>9680</v>
      </c>
      <c r="H1740" s="80" t="s">
        <v>84</v>
      </c>
      <c r="I1740" s="80" t="s">
        <v>9680</v>
      </c>
      <c r="J1740" s="80" t="s">
        <v>9680</v>
      </c>
      <c r="K1740" s="80" t="s">
        <v>9680</v>
      </c>
      <c r="L1740" s="80" t="s">
        <v>9680</v>
      </c>
      <c r="M1740" s="80" t="s">
        <v>9680</v>
      </c>
      <c r="N1740" s="80" t="s">
        <v>84</v>
      </c>
      <c r="O1740" s="80" t="s">
        <v>9680</v>
      </c>
      <c r="P1740" s="80"/>
      <c r="Q1740" s="80" t="s">
        <v>9680</v>
      </c>
      <c r="R1740" s="80" t="s">
        <v>9680</v>
      </c>
    </row>
    <row r="1741" spans="1:18" ht="20" x14ac:dyDescent="0.2">
      <c r="A1741" s="80" t="s">
        <v>5245</v>
      </c>
      <c r="B1741" s="80" t="s">
        <v>5246</v>
      </c>
      <c r="C1741" s="80" t="s">
        <v>9680</v>
      </c>
      <c r="D1741" s="80" t="s">
        <v>9680</v>
      </c>
      <c r="E1741" s="80" t="s">
        <v>84</v>
      </c>
      <c r="F1741" s="80"/>
      <c r="G1741" s="80" t="s">
        <v>9680</v>
      </c>
      <c r="H1741" s="80" t="s">
        <v>84</v>
      </c>
      <c r="I1741" s="80" t="s">
        <v>9680</v>
      </c>
      <c r="J1741" s="80" t="s">
        <v>9680</v>
      </c>
      <c r="K1741" s="80" t="s">
        <v>9680</v>
      </c>
      <c r="L1741" s="80" t="s">
        <v>9680</v>
      </c>
      <c r="M1741" s="80" t="s">
        <v>9680</v>
      </c>
      <c r="N1741" s="80" t="s">
        <v>84</v>
      </c>
      <c r="O1741" s="80" t="s">
        <v>9680</v>
      </c>
      <c r="P1741" s="80"/>
      <c r="Q1741" s="80" t="s">
        <v>9680</v>
      </c>
      <c r="R1741" s="80" t="s">
        <v>9680</v>
      </c>
    </row>
    <row r="1742" spans="1:18" ht="20" x14ac:dyDescent="0.2">
      <c r="A1742" s="80" t="s">
        <v>5247</v>
      </c>
      <c r="B1742" s="80" t="s">
        <v>10297</v>
      </c>
      <c r="C1742" s="80" t="s">
        <v>84</v>
      </c>
      <c r="D1742" s="80" t="s">
        <v>84</v>
      </c>
      <c r="E1742" s="80" t="s">
        <v>84</v>
      </c>
      <c r="F1742" s="80"/>
      <c r="G1742" s="80" t="s">
        <v>84</v>
      </c>
      <c r="H1742" s="80" t="s">
        <v>84</v>
      </c>
      <c r="I1742" s="80" t="s">
        <v>84</v>
      </c>
      <c r="J1742" s="80" t="s">
        <v>84</v>
      </c>
      <c r="K1742" s="80" t="s">
        <v>84</v>
      </c>
      <c r="L1742" s="80" t="s">
        <v>84</v>
      </c>
      <c r="M1742" s="80" t="s">
        <v>84</v>
      </c>
      <c r="N1742" s="80" t="s">
        <v>84</v>
      </c>
      <c r="O1742" s="80" t="s">
        <v>84</v>
      </c>
      <c r="P1742" s="80"/>
      <c r="Q1742" s="80" t="s">
        <v>84</v>
      </c>
      <c r="R1742" s="80" t="s">
        <v>84</v>
      </c>
    </row>
    <row r="1743" spans="1:18" ht="20" x14ac:dyDescent="0.2">
      <c r="A1743" s="80" t="s">
        <v>5247</v>
      </c>
      <c r="B1743" s="80" t="s">
        <v>5248</v>
      </c>
      <c r="C1743" s="80" t="s">
        <v>84</v>
      </c>
      <c r="D1743" s="80" t="s">
        <v>84</v>
      </c>
      <c r="E1743" s="80" t="s">
        <v>84</v>
      </c>
      <c r="F1743" s="80"/>
      <c r="G1743" s="80" t="s">
        <v>84</v>
      </c>
      <c r="H1743" s="80" t="s">
        <v>84</v>
      </c>
      <c r="I1743" s="80" t="s">
        <v>84</v>
      </c>
      <c r="J1743" s="80" t="s">
        <v>84</v>
      </c>
      <c r="K1743" s="80" t="s">
        <v>84</v>
      </c>
      <c r="L1743" s="80" t="s">
        <v>84</v>
      </c>
      <c r="M1743" s="80" t="s">
        <v>84</v>
      </c>
      <c r="N1743" s="80" t="s">
        <v>84</v>
      </c>
      <c r="O1743" s="80" t="s">
        <v>84</v>
      </c>
      <c r="P1743" s="80"/>
      <c r="Q1743" s="80" t="s">
        <v>84</v>
      </c>
      <c r="R1743" s="80" t="s">
        <v>84</v>
      </c>
    </row>
    <row r="1744" spans="1:18" ht="20" x14ac:dyDescent="0.2">
      <c r="A1744" s="80" t="s">
        <v>5249</v>
      </c>
      <c r="B1744" s="80" t="s">
        <v>10298</v>
      </c>
      <c r="C1744" s="80" t="s">
        <v>9680</v>
      </c>
      <c r="D1744" s="80" t="s">
        <v>9680</v>
      </c>
      <c r="E1744" s="80" t="s">
        <v>84</v>
      </c>
      <c r="F1744" s="80"/>
      <c r="G1744" s="80" t="s">
        <v>9680</v>
      </c>
      <c r="H1744" s="80" t="s">
        <v>84</v>
      </c>
      <c r="I1744" s="80" t="s">
        <v>9680</v>
      </c>
      <c r="J1744" s="80" t="s">
        <v>9680</v>
      </c>
      <c r="K1744" s="80" t="s">
        <v>9680</v>
      </c>
      <c r="L1744" s="80" t="s">
        <v>9680</v>
      </c>
      <c r="M1744" s="80" t="s">
        <v>9680</v>
      </c>
      <c r="N1744" s="80" t="s">
        <v>84</v>
      </c>
      <c r="O1744" s="80" t="s">
        <v>9680</v>
      </c>
      <c r="P1744" s="80"/>
      <c r="Q1744" s="80" t="s">
        <v>9680</v>
      </c>
      <c r="R1744" s="80" t="s">
        <v>9680</v>
      </c>
    </row>
    <row r="1745" spans="1:18" ht="20" x14ac:dyDescent="0.2">
      <c r="A1745" s="80" t="s">
        <v>5249</v>
      </c>
      <c r="B1745" s="80" t="s">
        <v>5250</v>
      </c>
      <c r="C1745" s="80" t="s">
        <v>9680</v>
      </c>
      <c r="D1745" s="80" t="s">
        <v>9680</v>
      </c>
      <c r="E1745" s="80" t="s">
        <v>84</v>
      </c>
      <c r="F1745" s="80"/>
      <c r="G1745" s="80" t="s">
        <v>9680</v>
      </c>
      <c r="H1745" s="80" t="s">
        <v>84</v>
      </c>
      <c r="I1745" s="80" t="s">
        <v>9680</v>
      </c>
      <c r="J1745" s="80" t="s">
        <v>9680</v>
      </c>
      <c r="K1745" s="80" t="s">
        <v>9680</v>
      </c>
      <c r="L1745" s="80" t="s">
        <v>9680</v>
      </c>
      <c r="M1745" s="80" t="s">
        <v>9680</v>
      </c>
      <c r="N1745" s="80" t="s">
        <v>84</v>
      </c>
      <c r="O1745" s="80" t="s">
        <v>9680</v>
      </c>
      <c r="P1745" s="80"/>
      <c r="Q1745" s="80" t="s">
        <v>9680</v>
      </c>
      <c r="R1745" s="80" t="s">
        <v>9680</v>
      </c>
    </row>
    <row r="1746" spans="1:18" ht="20" x14ac:dyDescent="0.2">
      <c r="A1746" s="80" t="s">
        <v>5251</v>
      </c>
      <c r="B1746" s="80" t="s">
        <v>10299</v>
      </c>
      <c r="C1746" s="80" t="s">
        <v>9680</v>
      </c>
      <c r="D1746" s="80" t="s">
        <v>9680</v>
      </c>
      <c r="E1746" s="80" t="s">
        <v>84</v>
      </c>
      <c r="F1746" s="80"/>
      <c r="G1746" s="80" t="s">
        <v>9680</v>
      </c>
      <c r="H1746" s="80" t="s">
        <v>84</v>
      </c>
      <c r="I1746" s="80" t="s">
        <v>9680</v>
      </c>
      <c r="J1746" s="80" t="s">
        <v>84</v>
      </c>
      <c r="K1746" s="80" t="s">
        <v>9680</v>
      </c>
      <c r="L1746" s="80" t="s">
        <v>9680</v>
      </c>
      <c r="M1746" s="80" t="s">
        <v>9680</v>
      </c>
      <c r="N1746" s="80" t="s">
        <v>84</v>
      </c>
      <c r="O1746" s="80" t="s">
        <v>9680</v>
      </c>
      <c r="P1746" s="80"/>
      <c r="Q1746" s="80" t="s">
        <v>9680</v>
      </c>
      <c r="R1746" s="80" t="s">
        <v>9680</v>
      </c>
    </row>
    <row r="1747" spans="1:18" ht="20" x14ac:dyDescent="0.2">
      <c r="A1747" s="80" t="s">
        <v>5251</v>
      </c>
      <c r="B1747" s="80" t="s">
        <v>5252</v>
      </c>
      <c r="C1747" s="80" t="s">
        <v>9680</v>
      </c>
      <c r="D1747" s="80" t="s">
        <v>9680</v>
      </c>
      <c r="E1747" s="80" t="s">
        <v>84</v>
      </c>
      <c r="F1747" s="80"/>
      <c r="G1747" s="80" t="s">
        <v>9680</v>
      </c>
      <c r="H1747" s="80" t="s">
        <v>84</v>
      </c>
      <c r="I1747" s="80" t="s">
        <v>9680</v>
      </c>
      <c r="J1747" s="80" t="s">
        <v>84</v>
      </c>
      <c r="K1747" s="80" t="s">
        <v>9680</v>
      </c>
      <c r="L1747" s="80" t="s">
        <v>9680</v>
      </c>
      <c r="M1747" s="80" t="s">
        <v>9680</v>
      </c>
      <c r="N1747" s="80" t="s">
        <v>84</v>
      </c>
      <c r="O1747" s="80" t="s">
        <v>9680</v>
      </c>
      <c r="P1747" s="80"/>
      <c r="Q1747" s="80" t="s">
        <v>9680</v>
      </c>
      <c r="R1747" s="80" t="s">
        <v>9680</v>
      </c>
    </row>
    <row r="1748" spans="1:18" ht="20" x14ac:dyDescent="0.2">
      <c r="A1748" s="80" t="s">
        <v>5253</v>
      </c>
      <c r="B1748" s="80" t="s">
        <v>5254</v>
      </c>
      <c r="C1748" s="80" t="s">
        <v>9680</v>
      </c>
      <c r="D1748" s="80" t="s">
        <v>9680</v>
      </c>
      <c r="E1748" s="80" t="s">
        <v>84</v>
      </c>
      <c r="F1748" s="80"/>
      <c r="G1748" s="80" t="s">
        <v>9680</v>
      </c>
      <c r="H1748" s="80" t="s">
        <v>84</v>
      </c>
      <c r="I1748" s="80" t="s">
        <v>9680</v>
      </c>
      <c r="J1748" s="80" t="s">
        <v>84</v>
      </c>
      <c r="K1748" s="80" t="s">
        <v>9680</v>
      </c>
      <c r="L1748" s="80" t="s">
        <v>9680</v>
      </c>
      <c r="M1748" s="80" t="s">
        <v>9680</v>
      </c>
      <c r="N1748" s="80" t="s">
        <v>84</v>
      </c>
      <c r="O1748" s="80" t="s">
        <v>9680</v>
      </c>
      <c r="P1748" s="80"/>
      <c r="Q1748" s="80" t="s">
        <v>9680</v>
      </c>
      <c r="R1748" s="80" t="s">
        <v>9680</v>
      </c>
    </row>
    <row r="1749" spans="1:18" ht="20" x14ac:dyDescent="0.2">
      <c r="A1749" s="80" t="s">
        <v>5255</v>
      </c>
      <c r="B1749" s="80" t="s">
        <v>5256</v>
      </c>
      <c r="C1749" s="80" t="s">
        <v>9680</v>
      </c>
      <c r="D1749" s="80" t="s">
        <v>9680</v>
      </c>
      <c r="E1749" s="80" t="s">
        <v>84</v>
      </c>
      <c r="F1749" s="80"/>
      <c r="G1749" s="80" t="s">
        <v>9680</v>
      </c>
      <c r="H1749" s="80" t="s">
        <v>84</v>
      </c>
      <c r="I1749" s="80" t="s">
        <v>9680</v>
      </c>
      <c r="J1749" s="80" t="s">
        <v>84</v>
      </c>
      <c r="K1749" s="80" t="s">
        <v>9680</v>
      </c>
      <c r="L1749" s="80" t="s">
        <v>9680</v>
      </c>
      <c r="M1749" s="80" t="s">
        <v>9680</v>
      </c>
      <c r="N1749" s="80" t="s">
        <v>84</v>
      </c>
      <c r="O1749" s="80" t="s">
        <v>9680</v>
      </c>
      <c r="P1749" s="80"/>
      <c r="Q1749" s="80" t="s">
        <v>9680</v>
      </c>
      <c r="R1749" s="80" t="s">
        <v>9680</v>
      </c>
    </row>
    <row r="1750" spans="1:18" ht="20" x14ac:dyDescent="0.2">
      <c r="A1750" s="80" t="s">
        <v>5257</v>
      </c>
      <c r="B1750" s="80" t="s">
        <v>5258</v>
      </c>
      <c r="C1750" s="80" t="s">
        <v>9680</v>
      </c>
      <c r="D1750" s="80" t="s">
        <v>9680</v>
      </c>
      <c r="E1750" s="80" t="s">
        <v>84</v>
      </c>
      <c r="F1750" s="80"/>
      <c r="G1750" s="80" t="s">
        <v>9680</v>
      </c>
      <c r="H1750" s="80" t="s">
        <v>84</v>
      </c>
      <c r="I1750" s="80" t="s">
        <v>9680</v>
      </c>
      <c r="J1750" s="80" t="s">
        <v>84</v>
      </c>
      <c r="K1750" s="80" t="s">
        <v>9680</v>
      </c>
      <c r="L1750" s="80" t="s">
        <v>9680</v>
      </c>
      <c r="M1750" s="80" t="s">
        <v>9680</v>
      </c>
      <c r="N1750" s="80" t="s">
        <v>84</v>
      </c>
      <c r="O1750" s="80" t="s">
        <v>9680</v>
      </c>
      <c r="P1750" s="80"/>
      <c r="Q1750" s="80" t="s">
        <v>9680</v>
      </c>
      <c r="R1750" s="80" t="s">
        <v>9680</v>
      </c>
    </row>
    <row r="1751" spans="1:18" ht="20" x14ac:dyDescent="0.2">
      <c r="A1751" s="80" t="s">
        <v>5259</v>
      </c>
      <c r="B1751" s="80" t="s">
        <v>5260</v>
      </c>
      <c r="C1751" s="80" t="s">
        <v>9680</v>
      </c>
      <c r="D1751" s="80" t="s">
        <v>9680</v>
      </c>
      <c r="E1751" s="80" t="s">
        <v>84</v>
      </c>
      <c r="F1751" s="80"/>
      <c r="G1751" s="80" t="s">
        <v>9680</v>
      </c>
      <c r="H1751" s="80" t="s">
        <v>84</v>
      </c>
      <c r="I1751" s="80" t="s">
        <v>9680</v>
      </c>
      <c r="J1751" s="80" t="s">
        <v>84</v>
      </c>
      <c r="K1751" s="80" t="s">
        <v>9680</v>
      </c>
      <c r="L1751" s="80" t="s">
        <v>9680</v>
      </c>
      <c r="M1751" s="80" t="s">
        <v>9680</v>
      </c>
      <c r="N1751" s="80" t="s">
        <v>84</v>
      </c>
      <c r="O1751" s="80" t="s">
        <v>9680</v>
      </c>
      <c r="P1751" s="80"/>
      <c r="Q1751" s="80" t="s">
        <v>9680</v>
      </c>
      <c r="R1751" s="80" t="s">
        <v>9680</v>
      </c>
    </row>
    <row r="1752" spans="1:18" ht="20" x14ac:dyDescent="0.2">
      <c r="A1752" s="80" t="s">
        <v>5261</v>
      </c>
      <c r="B1752" s="80" t="s">
        <v>10300</v>
      </c>
      <c r="C1752" s="80" t="s">
        <v>9680</v>
      </c>
      <c r="D1752" s="80" t="s">
        <v>9680</v>
      </c>
      <c r="E1752" s="80" t="s">
        <v>9680</v>
      </c>
      <c r="F1752" s="80"/>
      <c r="G1752" s="80" t="s">
        <v>9680</v>
      </c>
      <c r="H1752" s="80" t="s">
        <v>9680</v>
      </c>
      <c r="I1752" s="80" t="s">
        <v>9680</v>
      </c>
      <c r="J1752" s="80" t="s">
        <v>9680</v>
      </c>
      <c r="K1752" s="80" t="s">
        <v>9680</v>
      </c>
      <c r="L1752" s="80" t="s">
        <v>9680</v>
      </c>
      <c r="M1752" s="80" t="s">
        <v>9680</v>
      </c>
      <c r="N1752" s="80" t="s">
        <v>9680</v>
      </c>
      <c r="O1752" s="80" t="s">
        <v>9680</v>
      </c>
      <c r="P1752" s="80"/>
      <c r="Q1752" s="80" t="s">
        <v>9680</v>
      </c>
      <c r="R1752" s="80" t="s">
        <v>9680</v>
      </c>
    </row>
    <row r="1753" spans="1:18" ht="20" x14ac:dyDescent="0.2">
      <c r="A1753" s="80" t="s">
        <v>5261</v>
      </c>
      <c r="B1753" s="80" t="s">
        <v>5262</v>
      </c>
      <c r="C1753" s="80" t="s">
        <v>9680</v>
      </c>
      <c r="D1753" s="80" t="s">
        <v>9680</v>
      </c>
      <c r="E1753" s="80" t="s">
        <v>9680</v>
      </c>
      <c r="F1753" s="80"/>
      <c r="G1753" s="80" t="s">
        <v>9680</v>
      </c>
      <c r="H1753" s="80" t="s">
        <v>9680</v>
      </c>
      <c r="I1753" s="80" t="s">
        <v>9680</v>
      </c>
      <c r="J1753" s="80" t="s">
        <v>9680</v>
      </c>
      <c r="K1753" s="80" t="s">
        <v>9680</v>
      </c>
      <c r="L1753" s="80" t="s">
        <v>9680</v>
      </c>
      <c r="M1753" s="80" t="s">
        <v>9680</v>
      </c>
      <c r="N1753" s="80" t="s">
        <v>9680</v>
      </c>
      <c r="O1753" s="80" t="s">
        <v>9680</v>
      </c>
      <c r="P1753" s="80"/>
      <c r="Q1753" s="80" t="s">
        <v>9680</v>
      </c>
      <c r="R1753" s="80" t="s">
        <v>9680</v>
      </c>
    </row>
    <row r="1754" spans="1:18" ht="20" x14ac:dyDescent="0.2">
      <c r="A1754" s="80" t="s">
        <v>5263</v>
      </c>
      <c r="B1754" s="80" t="s">
        <v>5264</v>
      </c>
      <c r="C1754" s="80" t="s">
        <v>9680</v>
      </c>
      <c r="D1754" s="80" t="s">
        <v>9680</v>
      </c>
      <c r="E1754" s="80" t="s">
        <v>84</v>
      </c>
      <c r="F1754" s="80"/>
      <c r="G1754" s="80" t="s">
        <v>9680</v>
      </c>
      <c r="H1754" s="80" t="s">
        <v>84</v>
      </c>
      <c r="I1754" s="80" t="s">
        <v>9680</v>
      </c>
      <c r="J1754" s="80" t="s">
        <v>84</v>
      </c>
      <c r="K1754" s="80" t="s">
        <v>9680</v>
      </c>
      <c r="L1754" s="80" t="s">
        <v>9680</v>
      </c>
      <c r="M1754" s="80" t="s">
        <v>9680</v>
      </c>
      <c r="N1754" s="80" t="s">
        <v>84</v>
      </c>
      <c r="O1754" s="80" t="s">
        <v>9680</v>
      </c>
      <c r="P1754" s="80"/>
      <c r="Q1754" s="80" t="s">
        <v>9680</v>
      </c>
      <c r="R1754" s="80" t="s">
        <v>9680</v>
      </c>
    </row>
    <row r="1755" spans="1:18" ht="20" x14ac:dyDescent="0.2">
      <c r="A1755" s="80" t="s">
        <v>5265</v>
      </c>
      <c r="B1755" s="80" t="s">
        <v>5266</v>
      </c>
      <c r="C1755" s="80" t="s">
        <v>9680</v>
      </c>
      <c r="D1755" s="80" t="s">
        <v>9680</v>
      </c>
      <c r="E1755" s="80" t="s">
        <v>84</v>
      </c>
      <c r="F1755" s="80"/>
      <c r="G1755" s="80" t="s">
        <v>9680</v>
      </c>
      <c r="H1755" s="80" t="s">
        <v>84</v>
      </c>
      <c r="I1755" s="80" t="s">
        <v>9680</v>
      </c>
      <c r="J1755" s="80" t="s">
        <v>84</v>
      </c>
      <c r="K1755" s="80" t="s">
        <v>9680</v>
      </c>
      <c r="L1755" s="80" t="s">
        <v>9680</v>
      </c>
      <c r="M1755" s="80" t="s">
        <v>9680</v>
      </c>
      <c r="N1755" s="80" t="s">
        <v>84</v>
      </c>
      <c r="O1755" s="80" t="s">
        <v>9680</v>
      </c>
      <c r="P1755" s="80"/>
      <c r="Q1755" s="80" t="s">
        <v>9680</v>
      </c>
      <c r="R1755" s="80" t="s">
        <v>9680</v>
      </c>
    </row>
    <row r="1756" spans="1:18" ht="20" x14ac:dyDescent="0.2">
      <c r="A1756" s="80" t="s">
        <v>4966</v>
      </c>
      <c r="B1756" s="80" t="s">
        <v>4967</v>
      </c>
      <c r="C1756" s="80" t="s">
        <v>9680</v>
      </c>
      <c r="D1756" s="80" t="s">
        <v>9680</v>
      </c>
      <c r="E1756" s="80" t="s">
        <v>84</v>
      </c>
      <c r="F1756" s="80"/>
      <c r="G1756" s="80" t="s">
        <v>9680</v>
      </c>
      <c r="H1756" s="80" t="s">
        <v>84</v>
      </c>
      <c r="I1756" s="80" t="s">
        <v>9680</v>
      </c>
      <c r="J1756" s="80" t="s">
        <v>9680</v>
      </c>
      <c r="K1756" s="80" t="s">
        <v>9680</v>
      </c>
      <c r="L1756" s="80" t="s">
        <v>9680</v>
      </c>
      <c r="M1756" s="80" t="s">
        <v>9680</v>
      </c>
      <c r="N1756" s="80" t="s">
        <v>84</v>
      </c>
      <c r="O1756" s="80" t="s">
        <v>9680</v>
      </c>
      <c r="P1756" s="80"/>
      <c r="Q1756" s="80" t="s">
        <v>9680</v>
      </c>
      <c r="R1756" s="80" t="s">
        <v>9680</v>
      </c>
    </row>
    <row r="1757" spans="1:18" ht="20" x14ac:dyDescent="0.2">
      <c r="A1757" s="80" t="s">
        <v>4966</v>
      </c>
      <c r="B1757" s="80" t="s">
        <v>5267</v>
      </c>
      <c r="C1757" s="80" t="s">
        <v>9680</v>
      </c>
      <c r="D1757" s="80" t="s">
        <v>9680</v>
      </c>
      <c r="E1757" s="80" t="s">
        <v>84</v>
      </c>
      <c r="F1757" s="80"/>
      <c r="G1757" s="80" t="s">
        <v>9680</v>
      </c>
      <c r="H1757" s="80" t="s">
        <v>84</v>
      </c>
      <c r="I1757" s="80" t="s">
        <v>9680</v>
      </c>
      <c r="J1757" s="80" t="s">
        <v>9680</v>
      </c>
      <c r="K1757" s="80" t="s">
        <v>9680</v>
      </c>
      <c r="L1757" s="80" t="s">
        <v>9680</v>
      </c>
      <c r="M1757" s="80" t="s">
        <v>9680</v>
      </c>
      <c r="N1757" s="80" t="s">
        <v>84</v>
      </c>
      <c r="O1757" s="80" t="s">
        <v>9680</v>
      </c>
      <c r="P1757" s="80"/>
      <c r="Q1757" s="80" t="s">
        <v>9680</v>
      </c>
      <c r="R1757" s="80" t="s">
        <v>9680</v>
      </c>
    </row>
    <row r="1758" spans="1:18" ht="20" x14ac:dyDescent="0.2">
      <c r="A1758" s="80" t="s">
        <v>4964</v>
      </c>
      <c r="B1758" s="80" t="s">
        <v>4965</v>
      </c>
      <c r="C1758" s="80" t="s">
        <v>9680</v>
      </c>
      <c r="D1758" s="80" t="s">
        <v>9680</v>
      </c>
      <c r="E1758" s="80" t="s">
        <v>84</v>
      </c>
      <c r="F1758" s="80"/>
      <c r="G1758" s="80" t="s">
        <v>9680</v>
      </c>
      <c r="H1758" s="80" t="s">
        <v>84</v>
      </c>
      <c r="I1758" s="80" t="s">
        <v>9680</v>
      </c>
      <c r="J1758" s="80" t="s">
        <v>84</v>
      </c>
      <c r="K1758" s="80" t="s">
        <v>9680</v>
      </c>
      <c r="L1758" s="80" t="s">
        <v>9680</v>
      </c>
      <c r="M1758" s="80" t="s">
        <v>9680</v>
      </c>
      <c r="N1758" s="80" t="s">
        <v>84</v>
      </c>
      <c r="O1758" s="80" t="s">
        <v>9680</v>
      </c>
      <c r="P1758" s="80"/>
      <c r="Q1758" s="80" t="s">
        <v>9680</v>
      </c>
      <c r="R1758" s="80" t="s">
        <v>9680</v>
      </c>
    </row>
    <row r="1759" spans="1:18" ht="20" x14ac:dyDescent="0.2">
      <c r="A1759" s="80" t="s">
        <v>4964</v>
      </c>
      <c r="B1759" s="80" t="s">
        <v>5271</v>
      </c>
      <c r="C1759" s="80" t="s">
        <v>9680</v>
      </c>
      <c r="D1759" s="80" t="s">
        <v>9680</v>
      </c>
      <c r="E1759" s="80" t="s">
        <v>84</v>
      </c>
      <c r="F1759" s="80"/>
      <c r="G1759" s="80" t="s">
        <v>9680</v>
      </c>
      <c r="H1759" s="80" t="s">
        <v>84</v>
      </c>
      <c r="I1759" s="80" t="s">
        <v>9680</v>
      </c>
      <c r="J1759" s="80" t="s">
        <v>84</v>
      </c>
      <c r="K1759" s="80" t="s">
        <v>9680</v>
      </c>
      <c r="L1759" s="80" t="s">
        <v>9680</v>
      </c>
      <c r="M1759" s="80" t="s">
        <v>9680</v>
      </c>
      <c r="N1759" s="80" t="s">
        <v>84</v>
      </c>
      <c r="O1759" s="80" t="s">
        <v>9680</v>
      </c>
      <c r="P1759" s="80"/>
      <c r="Q1759" s="80" t="s">
        <v>9680</v>
      </c>
      <c r="R1759" s="80" t="s">
        <v>9680</v>
      </c>
    </row>
    <row r="1760" spans="1:18" ht="20" x14ac:dyDescent="0.2">
      <c r="A1760" s="80" t="s">
        <v>5272</v>
      </c>
      <c r="B1760" s="80" t="s">
        <v>5273</v>
      </c>
      <c r="C1760" s="80" t="s">
        <v>84</v>
      </c>
      <c r="D1760" s="80" t="s">
        <v>84</v>
      </c>
      <c r="E1760" s="80" t="s">
        <v>84</v>
      </c>
      <c r="F1760" s="80"/>
      <c r="G1760" s="80" t="s">
        <v>84</v>
      </c>
      <c r="H1760" s="80" t="s">
        <v>84</v>
      </c>
      <c r="I1760" s="80" t="s">
        <v>84</v>
      </c>
      <c r="J1760" s="80" t="s">
        <v>84</v>
      </c>
      <c r="K1760" s="80" t="s">
        <v>84</v>
      </c>
      <c r="L1760" s="80" t="s">
        <v>84</v>
      </c>
      <c r="M1760" s="80" t="s">
        <v>84</v>
      </c>
      <c r="N1760" s="80" t="s">
        <v>84</v>
      </c>
      <c r="O1760" s="80" t="s">
        <v>84</v>
      </c>
      <c r="P1760" s="80"/>
      <c r="Q1760" s="80" t="s">
        <v>84</v>
      </c>
      <c r="R1760" s="80" t="s">
        <v>84</v>
      </c>
    </row>
    <row r="1761" spans="1:18" ht="20" x14ac:dyDescent="0.2">
      <c r="A1761" s="80" t="s">
        <v>5274</v>
      </c>
      <c r="B1761" s="80" t="s">
        <v>5275</v>
      </c>
      <c r="C1761" s="80" t="s">
        <v>9680</v>
      </c>
      <c r="D1761" s="80" t="s">
        <v>9680</v>
      </c>
      <c r="E1761" s="80" t="s">
        <v>84</v>
      </c>
      <c r="F1761" s="80"/>
      <c r="G1761" s="80" t="s">
        <v>84</v>
      </c>
      <c r="H1761" s="80" t="s">
        <v>9680</v>
      </c>
      <c r="I1761" s="80" t="s">
        <v>9680</v>
      </c>
      <c r="J1761" s="80" t="s">
        <v>84</v>
      </c>
      <c r="K1761" s="80" t="s">
        <v>9680</v>
      </c>
      <c r="L1761" s="80" t="s">
        <v>9680</v>
      </c>
      <c r="M1761" s="80" t="s">
        <v>9680</v>
      </c>
      <c r="N1761" s="80" t="s">
        <v>84</v>
      </c>
      <c r="O1761" s="80" t="s">
        <v>9680</v>
      </c>
      <c r="P1761" s="80"/>
      <c r="Q1761" s="80" t="s">
        <v>9680</v>
      </c>
      <c r="R1761" s="80" t="s">
        <v>9680</v>
      </c>
    </row>
    <row r="1762" spans="1:18" ht="20" x14ac:dyDescent="0.2">
      <c r="A1762" s="80" t="s">
        <v>5276</v>
      </c>
      <c r="B1762" s="80" t="s">
        <v>5277</v>
      </c>
      <c r="C1762" s="80" t="s">
        <v>9680</v>
      </c>
      <c r="D1762" s="80" t="s">
        <v>9680</v>
      </c>
      <c r="E1762" s="80" t="s">
        <v>84</v>
      </c>
      <c r="F1762" s="80"/>
      <c r="G1762" s="80" t="s">
        <v>84</v>
      </c>
      <c r="H1762" s="80" t="s">
        <v>9680</v>
      </c>
      <c r="I1762" s="80" t="s">
        <v>9680</v>
      </c>
      <c r="J1762" s="80" t="s">
        <v>84</v>
      </c>
      <c r="K1762" s="80" t="s">
        <v>9680</v>
      </c>
      <c r="L1762" s="80" t="s">
        <v>9680</v>
      </c>
      <c r="M1762" s="80" t="s">
        <v>9680</v>
      </c>
      <c r="N1762" s="80" t="s">
        <v>84</v>
      </c>
      <c r="O1762" s="80" t="s">
        <v>9680</v>
      </c>
      <c r="P1762" s="80"/>
      <c r="Q1762" s="80" t="s">
        <v>9680</v>
      </c>
      <c r="R1762" s="80" t="s">
        <v>9680</v>
      </c>
    </row>
    <row r="1763" spans="1:18" ht="20" x14ac:dyDescent="0.2">
      <c r="A1763" s="80" t="s">
        <v>5278</v>
      </c>
      <c r="B1763" s="80" t="s">
        <v>5279</v>
      </c>
      <c r="C1763" s="80" t="s">
        <v>9680</v>
      </c>
      <c r="D1763" s="80" t="s">
        <v>9680</v>
      </c>
      <c r="E1763" s="80" t="s">
        <v>84</v>
      </c>
      <c r="F1763" s="80"/>
      <c r="G1763" s="80" t="s">
        <v>84</v>
      </c>
      <c r="H1763" s="80" t="s">
        <v>9680</v>
      </c>
      <c r="I1763" s="80" t="s">
        <v>9680</v>
      </c>
      <c r="J1763" s="80" t="s">
        <v>84</v>
      </c>
      <c r="K1763" s="80" t="s">
        <v>9680</v>
      </c>
      <c r="L1763" s="80" t="s">
        <v>9680</v>
      </c>
      <c r="M1763" s="80" t="s">
        <v>9680</v>
      </c>
      <c r="N1763" s="80" t="s">
        <v>84</v>
      </c>
      <c r="O1763" s="80" t="s">
        <v>9680</v>
      </c>
      <c r="P1763" s="80"/>
      <c r="Q1763" s="80" t="s">
        <v>9680</v>
      </c>
      <c r="R1763" s="80" t="s">
        <v>9680</v>
      </c>
    </row>
    <row r="1764" spans="1:18" ht="20" x14ac:dyDescent="0.2">
      <c r="A1764" s="80" t="s">
        <v>5004</v>
      </c>
      <c r="B1764" s="80" t="s">
        <v>5005</v>
      </c>
      <c r="C1764" s="80" t="s">
        <v>84</v>
      </c>
      <c r="D1764" s="80" t="s">
        <v>84</v>
      </c>
      <c r="E1764" s="80" t="s">
        <v>84</v>
      </c>
      <c r="F1764" s="80"/>
      <c r="G1764" s="80" t="s">
        <v>84</v>
      </c>
      <c r="H1764" s="80" t="s">
        <v>84</v>
      </c>
      <c r="I1764" s="80" t="s">
        <v>84</v>
      </c>
      <c r="J1764" s="80" t="s">
        <v>84</v>
      </c>
      <c r="K1764" s="80" t="s">
        <v>84</v>
      </c>
      <c r="L1764" s="80" t="s">
        <v>84</v>
      </c>
      <c r="M1764" s="80" t="s">
        <v>84</v>
      </c>
      <c r="N1764" s="80" t="s">
        <v>84</v>
      </c>
      <c r="O1764" s="80" t="s">
        <v>84</v>
      </c>
      <c r="P1764" s="80"/>
      <c r="Q1764" s="80" t="s">
        <v>84</v>
      </c>
      <c r="R1764" s="80" t="s">
        <v>84</v>
      </c>
    </row>
    <row r="1765" spans="1:18" ht="20" x14ac:dyDescent="0.2">
      <c r="A1765" s="80" t="s">
        <v>5053</v>
      </c>
      <c r="B1765" s="80" t="s">
        <v>5054</v>
      </c>
      <c r="C1765" s="80" t="s">
        <v>84</v>
      </c>
      <c r="D1765" s="80" t="s">
        <v>84</v>
      </c>
      <c r="E1765" s="80" t="s">
        <v>84</v>
      </c>
      <c r="F1765" s="80"/>
      <c r="G1765" s="80" t="s">
        <v>84</v>
      </c>
      <c r="H1765" s="80" t="s">
        <v>84</v>
      </c>
      <c r="I1765" s="80" t="s">
        <v>84</v>
      </c>
      <c r="J1765" s="80" t="s">
        <v>84</v>
      </c>
      <c r="K1765" s="80" t="s">
        <v>84</v>
      </c>
      <c r="L1765" s="80" t="s">
        <v>84</v>
      </c>
      <c r="M1765" s="80" t="s">
        <v>84</v>
      </c>
      <c r="N1765" s="80" t="s">
        <v>84</v>
      </c>
      <c r="O1765" s="80" t="s">
        <v>84</v>
      </c>
      <c r="P1765" s="80"/>
      <c r="Q1765" s="80" t="s">
        <v>84</v>
      </c>
      <c r="R1765" s="80" t="s">
        <v>84</v>
      </c>
    </row>
    <row r="1766" spans="1:18" ht="20" x14ac:dyDescent="0.2">
      <c r="A1766" s="80" t="s">
        <v>5006</v>
      </c>
      <c r="B1766" s="80" t="s">
        <v>5007</v>
      </c>
      <c r="C1766" s="80" t="s">
        <v>9680</v>
      </c>
      <c r="D1766" s="80" t="s">
        <v>9680</v>
      </c>
      <c r="E1766" s="80" t="s">
        <v>84</v>
      </c>
      <c r="F1766" s="80"/>
      <c r="G1766" s="80" t="s">
        <v>84</v>
      </c>
      <c r="H1766" s="80" t="s">
        <v>9680</v>
      </c>
      <c r="I1766" s="80" t="s">
        <v>9680</v>
      </c>
      <c r="J1766" s="80" t="s">
        <v>84</v>
      </c>
      <c r="K1766" s="80" t="s">
        <v>9680</v>
      </c>
      <c r="L1766" s="80" t="s">
        <v>9680</v>
      </c>
      <c r="M1766" s="80" t="s">
        <v>9680</v>
      </c>
      <c r="N1766" s="80" t="s">
        <v>84</v>
      </c>
      <c r="O1766" s="80" t="s">
        <v>9680</v>
      </c>
      <c r="P1766" s="80"/>
      <c r="Q1766" s="80" t="s">
        <v>9680</v>
      </c>
      <c r="R1766" s="80" t="s">
        <v>9680</v>
      </c>
    </row>
    <row r="1767" spans="1:18" ht="20" x14ac:dyDescent="0.2">
      <c r="A1767" s="80" t="s">
        <v>5008</v>
      </c>
      <c r="B1767" s="80" t="s">
        <v>5009</v>
      </c>
      <c r="C1767" s="80" t="s">
        <v>9680</v>
      </c>
      <c r="D1767" s="80" t="s">
        <v>84</v>
      </c>
      <c r="E1767" s="80" t="s">
        <v>84</v>
      </c>
      <c r="F1767" s="80"/>
      <c r="G1767" s="80" t="s">
        <v>84</v>
      </c>
      <c r="H1767" s="80" t="s">
        <v>84</v>
      </c>
      <c r="I1767" s="80" t="s">
        <v>84</v>
      </c>
      <c r="J1767" s="80" t="s">
        <v>84</v>
      </c>
      <c r="K1767" s="80" t="s">
        <v>84</v>
      </c>
      <c r="L1767" s="80" t="s">
        <v>84</v>
      </c>
      <c r="M1767" s="80" t="s">
        <v>84</v>
      </c>
      <c r="N1767" s="80" t="s">
        <v>84</v>
      </c>
      <c r="O1767" s="80" t="s">
        <v>84</v>
      </c>
      <c r="P1767" s="80"/>
      <c r="Q1767" s="80" t="s">
        <v>84</v>
      </c>
      <c r="R1767" s="80" t="s">
        <v>84</v>
      </c>
    </row>
    <row r="1768" spans="1:18" ht="20" x14ac:dyDescent="0.2">
      <c r="A1768" s="80" t="s">
        <v>5010</v>
      </c>
      <c r="B1768" s="80" t="s">
        <v>5011</v>
      </c>
      <c r="C1768" s="80" t="s">
        <v>84</v>
      </c>
      <c r="D1768" s="80" t="s">
        <v>84</v>
      </c>
      <c r="E1768" s="80" t="s">
        <v>84</v>
      </c>
      <c r="F1768" s="80"/>
      <c r="G1768" s="80" t="s">
        <v>84</v>
      </c>
      <c r="H1768" s="80" t="s">
        <v>84</v>
      </c>
      <c r="I1768" s="80" t="s">
        <v>84</v>
      </c>
      <c r="J1768" s="80" t="s">
        <v>84</v>
      </c>
      <c r="K1768" s="80" t="s">
        <v>84</v>
      </c>
      <c r="L1768" s="80" t="s">
        <v>84</v>
      </c>
      <c r="M1768" s="80" t="s">
        <v>84</v>
      </c>
      <c r="N1768" s="80" t="s">
        <v>84</v>
      </c>
      <c r="O1768" s="80" t="s">
        <v>84</v>
      </c>
      <c r="P1768" s="80"/>
      <c r="Q1768" s="80" t="s">
        <v>84</v>
      </c>
      <c r="R1768" s="80" t="s">
        <v>84</v>
      </c>
    </row>
    <row r="1769" spans="1:18" ht="20" x14ac:dyDescent="0.2">
      <c r="A1769" s="80" t="s">
        <v>5012</v>
      </c>
      <c r="B1769" s="80" t="s">
        <v>5013</v>
      </c>
      <c r="C1769" s="80" t="s">
        <v>84</v>
      </c>
      <c r="D1769" s="80" t="s">
        <v>84</v>
      </c>
      <c r="E1769" s="80" t="s">
        <v>84</v>
      </c>
      <c r="F1769" s="80"/>
      <c r="G1769" s="80" t="s">
        <v>84</v>
      </c>
      <c r="H1769" s="80" t="s">
        <v>84</v>
      </c>
      <c r="I1769" s="80" t="s">
        <v>84</v>
      </c>
      <c r="J1769" s="80" t="s">
        <v>84</v>
      </c>
      <c r="K1769" s="80" t="s">
        <v>84</v>
      </c>
      <c r="L1769" s="80" t="s">
        <v>84</v>
      </c>
      <c r="M1769" s="80" t="s">
        <v>84</v>
      </c>
      <c r="N1769" s="80" t="s">
        <v>84</v>
      </c>
      <c r="O1769" s="80" t="s">
        <v>84</v>
      </c>
      <c r="P1769" s="80"/>
      <c r="Q1769" s="80" t="s">
        <v>84</v>
      </c>
      <c r="R1769" s="80" t="s">
        <v>84</v>
      </c>
    </row>
    <row r="1770" spans="1:18" ht="20" x14ac:dyDescent="0.2">
      <c r="A1770" s="80" t="s">
        <v>5014</v>
      </c>
      <c r="B1770" s="80" t="s">
        <v>5015</v>
      </c>
      <c r="C1770" s="80" t="s">
        <v>9680</v>
      </c>
      <c r="D1770" s="80" t="s">
        <v>84</v>
      </c>
      <c r="E1770" s="80" t="s">
        <v>84</v>
      </c>
      <c r="F1770" s="80"/>
      <c r="G1770" s="80" t="s">
        <v>84</v>
      </c>
      <c r="H1770" s="80" t="s">
        <v>84</v>
      </c>
      <c r="I1770" s="80" t="s">
        <v>84</v>
      </c>
      <c r="J1770" s="80" t="s">
        <v>84</v>
      </c>
      <c r="K1770" s="80" t="s">
        <v>84</v>
      </c>
      <c r="L1770" s="80" t="s">
        <v>84</v>
      </c>
      <c r="M1770" s="80" t="s">
        <v>84</v>
      </c>
      <c r="N1770" s="80" t="s">
        <v>84</v>
      </c>
      <c r="O1770" s="80" t="s">
        <v>84</v>
      </c>
      <c r="P1770" s="80"/>
      <c r="Q1770" s="80" t="s">
        <v>84</v>
      </c>
      <c r="R1770" s="80" t="s">
        <v>84</v>
      </c>
    </row>
    <row r="1771" spans="1:18" ht="20" x14ac:dyDescent="0.2">
      <c r="A1771" s="80" t="s">
        <v>5018</v>
      </c>
      <c r="B1771" s="80" t="s">
        <v>5019</v>
      </c>
      <c r="C1771" s="80" t="s">
        <v>9680</v>
      </c>
      <c r="D1771" s="80" t="s">
        <v>84</v>
      </c>
      <c r="E1771" s="80" t="s">
        <v>84</v>
      </c>
      <c r="F1771" s="80"/>
      <c r="G1771" s="80" t="s">
        <v>84</v>
      </c>
      <c r="H1771" s="80" t="s">
        <v>84</v>
      </c>
      <c r="I1771" s="80" t="s">
        <v>84</v>
      </c>
      <c r="J1771" s="80" t="s">
        <v>84</v>
      </c>
      <c r="K1771" s="80" t="s">
        <v>84</v>
      </c>
      <c r="L1771" s="80" t="s">
        <v>84</v>
      </c>
      <c r="M1771" s="80" t="s">
        <v>84</v>
      </c>
      <c r="N1771" s="80" t="s">
        <v>84</v>
      </c>
      <c r="O1771" s="80" t="s">
        <v>84</v>
      </c>
      <c r="P1771" s="80"/>
      <c r="Q1771" s="80" t="s">
        <v>84</v>
      </c>
      <c r="R1771" s="80" t="s">
        <v>84</v>
      </c>
    </row>
    <row r="1772" spans="1:18" ht="20" x14ac:dyDescent="0.2">
      <c r="A1772" s="80" t="s">
        <v>5075</v>
      </c>
      <c r="B1772" s="80" t="s">
        <v>5076</v>
      </c>
      <c r="C1772" s="80" t="s">
        <v>9680</v>
      </c>
      <c r="D1772" s="80" t="s">
        <v>84</v>
      </c>
      <c r="E1772" s="80" t="s">
        <v>84</v>
      </c>
      <c r="F1772" s="80"/>
      <c r="G1772" s="80" t="s">
        <v>84</v>
      </c>
      <c r="H1772" s="80" t="s">
        <v>84</v>
      </c>
      <c r="I1772" s="80" t="s">
        <v>84</v>
      </c>
      <c r="J1772" s="80" t="s">
        <v>84</v>
      </c>
      <c r="K1772" s="80" t="s">
        <v>84</v>
      </c>
      <c r="L1772" s="80" t="s">
        <v>84</v>
      </c>
      <c r="M1772" s="80" t="s">
        <v>84</v>
      </c>
      <c r="N1772" s="80" t="s">
        <v>84</v>
      </c>
      <c r="O1772" s="80" t="s">
        <v>84</v>
      </c>
      <c r="P1772" s="80"/>
      <c r="Q1772" s="80" t="s">
        <v>84</v>
      </c>
      <c r="R1772" s="80" t="s">
        <v>84</v>
      </c>
    </row>
    <row r="1773" spans="1:18" ht="20" x14ac:dyDescent="0.2">
      <c r="A1773" s="80" t="s">
        <v>5077</v>
      </c>
      <c r="B1773" s="80" t="s">
        <v>5078</v>
      </c>
      <c r="C1773" s="80" t="s">
        <v>9680</v>
      </c>
      <c r="D1773" s="80" t="s">
        <v>84</v>
      </c>
      <c r="E1773" s="80" t="s">
        <v>84</v>
      </c>
      <c r="F1773" s="80"/>
      <c r="G1773" s="80" t="s">
        <v>84</v>
      </c>
      <c r="H1773" s="80" t="s">
        <v>84</v>
      </c>
      <c r="I1773" s="80" t="s">
        <v>84</v>
      </c>
      <c r="J1773" s="80" t="s">
        <v>84</v>
      </c>
      <c r="K1773" s="80" t="s">
        <v>84</v>
      </c>
      <c r="L1773" s="80" t="s">
        <v>84</v>
      </c>
      <c r="M1773" s="80" t="s">
        <v>84</v>
      </c>
      <c r="N1773" s="80" t="s">
        <v>84</v>
      </c>
      <c r="O1773" s="80" t="s">
        <v>84</v>
      </c>
      <c r="P1773" s="80"/>
      <c r="Q1773" s="80" t="s">
        <v>84</v>
      </c>
      <c r="R1773" s="80" t="s">
        <v>84</v>
      </c>
    </row>
    <row r="1774" spans="1:18" ht="20" x14ac:dyDescent="0.2">
      <c r="A1774" s="80" t="s">
        <v>5022</v>
      </c>
      <c r="B1774" s="80" t="s">
        <v>5023</v>
      </c>
      <c r="C1774" s="80" t="s">
        <v>9680</v>
      </c>
      <c r="D1774" s="80" t="s">
        <v>84</v>
      </c>
      <c r="E1774" s="80" t="s">
        <v>84</v>
      </c>
      <c r="F1774" s="80"/>
      <c r="G1774" s="80" t="s">
        <v>84</v>
      </c>
      <c r="H1774" s="80" t="s">
        <v>84</v>
      </c>
      <c r="I1774" s="80" t="s">
        <v>84</v>
      </c>
      <c r="J1774" s="80" t="s">
        <v>84</v>
      </c>
      <c r="K1774" s="80" t="s">
        <v>84</v>
      </c>
      <c r="L1774" s="80" t="s">
        <v>84</v>
      </c>
      <c r="M1774" s="80" t="s">
        <v>84</v>
      </c>
      <c r="N1774" s="80" t="s">
        <v>84</v>
      </c>
      <c r="O1774" s="80" t="s">
        <v>84</v>
      </c>
      <c r="P1774" s="80"/>
      <c r="Q1774" s="80" t="s">
        <v>84</v>
      </c>
      <c r="R1774" s="80" t="s">
        <v>84</v>
      </c>
    </row>
    <row r="1775" spans="1:18" ht="20" x14ac:dyDescent="0.2">
      <c r="A1775" s="80" t="s">
        <v>5026</v>
      </c>
      <c r="B1775" s="80" t="s">
        <v>5027</v>
      </c>
      <c r="C1775" s="80" t="s">
        <v>84</v>
      </c>
      <c r="D1775" s="80" t="s">
        <v>84</v>
      </c>
      <c r="E1775" s="80" t="s">
        <v>84</v>
      </c>
      <c r="F1775" s="80"/>
      <c r="G1775" s="80" t="s">
        <v>84</v>
      </c>
      <c r="H1775" s="80" t="s">
        <v>84</v>
      </c>
      <c r="I1775" s="80" t="s">
        <v>84</v>
      </c>
      <c r="J1775" s="80" t="s">
        <v>84</v>
      </c>
      <c r="K1775" s="80" t="s">
        <v>84</v>
      </c>
      <c r="L1775" s="80" t="s">
        <v>84</v>
      </c>
      <c r="M1775" s="80" t="s">
        <v>84</v>
      </c>
      <c r="N1775" s="80" t="s">
        <v>84</v>
      </c>
      <c r="O1775" s="80" t="s">
        <v>84</v>
      </c>
      <c r="P1775" s="80"/>
      <c r="Q1775" s="80" t="s">
        <v>84</v>
      </c>
      <c r="R1775" s="80" t="s">
        <v>84</v>
      </c>
    </row>
    <row r="1776" spans="1:18" ht="20" x14ac:dyDescent="0.2">
      <c r="A1776" s="80" t="s">
        <v>5029</v>
      </c>
      <c r="B1776" s="80" t="s">
        <v>5030</v>
      </c>
      <c r="C1776" s="80" t="s">
        <v>9722</v>
      </c>
      <c r="D1776" s="80" t="s">
        <v>84</v>
      </c>
      <c r="E1776" s="80" t="s">
        <v>84</v>
      </c>
      <c r="F1776" s="80"/>
      <c r="G1776" s="80" t="s">
        <v>84</v>
      </c>
      <c r="H1776" s="80" t="s">
        <v>84</v>
      </c>
      <c r="I1776" s="80" t="s">
        <v>84</v>
      </c>
      <c r="J1776" s="80" t="s">
        <v>84</v>
      </c>
      <c r="K1776" s="80" t="s">
        <v>84</v>
      </c>
      <c r="L1776" s="80" t="s">
        <v>84</v>
      </c>
      <c r="M1776" s="80" t="s">
        <v>84</v>
      </c>
      <c r="N1776" s="80" t="s">
        <v>84</v>
      </c>
      <c r="O1776" s="80" t="s">
        <v>84</v>
      </c>
      <c r="P1776" s="80"/>
      <c r="Q1776" s="80" t="s">
        <v>84</v>
      </c>
      <c r="R1776" s="80" t="s">
        <v>84</v>
      </c>
    </row>
    <row r="1777" spans="1:18" ht="20" x14ac:dyDescent="0.2">
      <c r="A1777" s="80" t="s">
        <v>10301</v>
      </c>
      <c r="B1777" s="80" t="s">
        <v>10302</v>
      </c>
      <c r="C1777" s="80" t="s">
        <v>9680</v>
      </c>
      <c r="D1777" s="80" t="s">
        <v>84</v>
      </c>
      <c r="E1777" s="80" t="s">
        <v>84</v>
      </c>
      <c r="F1777" s="80"/>
      <c r="G1777" s="80" t="s">
        <v>84</v>
      </c>
      <c r="H1777" s="80" t="s">
        <v>84</v>
      </c>
      <c r="I1777" s="80" t="s">
        <v>84</v>
      </c>
      <c r="J1777" s="80" t="s">
        <v>84</v>
      </c>
      <c r="K1777" s="80" t="s">
        <v>84</v>
      </c>
      <c r="L1777" s="80" t="s">
        <v>84</v>
      </c>
      <c r="M1777" s="80" t="s">
        <v>84</v>
      </c>
      <c r="N1777" s="80" t="s">
        <v>84</v>
      </c>
      <c r="O1777" s="80" t="s">
        <v>84</v>
      </c>
      <c r="P1777" s="80"/>
      <c r="Q1777" s="80" t="s">
        <v>84</v>
      </c>
      <c r="R1777" s="80" t="s">
        <v>84</v>
      </c>
    </row>
    <row r="1778" spans="1:18" ht="20" x14ac:dyDescent="0.2">
      <c r="A1778" s="80" t="s">
        <v>4960</v>
      </c>
      <c r="B1778" s="80" t="s">
        <v>4961</v>
      </c>
      <c r="C1778" s="80" t="s">
        <v>9680</v>
      </c>
      <c r="D1778" s="80" t="s">
        <v>84</v>
      </c>
      <c r="E1778" s="80" t="s">
        <v>84</v>
      </c>
      <c r="F1778" s="80"/>
      <c r="G1778" s="80" t="s">
        <v>84</v>
      </c>
      <c r="H1778" s="80" t="s">
        <v>84</v>
      </c>
      <c r="I1778" s="80" t="s">
        <v>84</v>
      </c>
      <c r="J1778" s="80" t="s">
        <v>84</v>
      </c>
      <c r="K1778" s="80" t="s">
        <v>84</v>
      </c>
      <c r="L1778" s="80" t="s">
        <v>84</v>
      </c>
      <c r="M1778" s="80" t="s">
        <v>84</v>
      </c>
      <c r="N1778" s="80" t="s">
        <v>84</v>
      </c>
      <c r="O1778" s="80" t="s">
        <v>84</v>
      </c>
      <c r="P1778" s="80"/>
      <c r="Q1778" s="80" t="s">
        <v>84</v>
      </c>
      <c r="R1778" s="80" t="s">
        <v>84</v>
      </c>
    </row>
    <row r="1779" spans="1:18" ht="20" x14ac:dyDescent="0.2">
      <c r="A1779" s="80" t="s">
        <v>4960</v>
      </c>
      <c r="B1779" s="80" t="s">
        <v>5035</v>
      </c>
      <c r="C1779" s="80" t="s">
        <v>9680</v>
      </c>
      <c r="D1779" s="80" t="s">
        <v>84</v>
      </c>
      <c r="E1779" s="80" t="s">
        <v>84</v>
      </c>
      <c r="F1779" s="80"/>
      <c r="G1779" s="80" t="s">
        <v>84</v>
      </c>
      <c r="H1779" s="80" t="s">
        <v>84</v>
      </c>
      <c r="I1779" s="80" t="s">
        <v>84</v>
      </c>
      <c r="J1779" s="80" t="s">
        <v>84</v>
      </c>
      <c r="K1779" s="80" t="s">
        <v>84</v>
      </c>
      <c r="L1779" s="80" t="s">
        <v>84</v>
      </c>
      <c r="M1779" s="80" t="s">
        <v>84</v>
      </c>
      <c r="N1779" s="80" t="s">
        <v>84</v>
      </c>
      <c r="O1779" s="80" t="s">
        <v>84</v>
      </c>
      <c r="P1779" s="80"/>
      <c r="Q1779" s="80" t="s">
        <v>84</v>
      </c>
      <c r="R1779" s="80" t="s">
        <v>84</v>
      </c>
    </row>
    <row r="1780" spans="1:18" ht="20" x14ac:dyDescent="0.2">
      <c r="A1780" s="80" t="s">
        <v>5036</v>
      </c>
      <c r="B1780" s="80" t="s">
        <v>5037</v>
      </c>
      <c r="C1780" s="80" t="s">
        <v>84</v>
      </c>
      <c r="D1780" s="80" t="s">
        <v>84</v>
      </c>
      <c r="E1780" s="80" t="s">
        <v>84</v>
      </c>
      <c r="F1780" s="80"/>
      <c r="G1780" s="80" t="s">
        <v>84</v>
      </c>
      <c r="H1780" s="80" t="s">
        <v>84</v>
      </c>
      <c r="I1780" s="80" t="s">
        <v>84</v>
      </c>
      <c r="J1780" s="80" t="s">
        <v>84</v>
      </c>
      <c r="K1780" s="80" t="s">
        <v>84</v>
      </c>
      <c r="L1780" s="80" t="s">
        <v>84</v>
      </c>
      <c r="M1780" s="80" t="s">
        <v>84</v>
      </c>
      <c r="N1780" s="80" t="s">
        <v>84</v>
      </c>
      <c r="O1780" s="80" t="s">
        <v>84</v>
      </c>
      <c r="P1780" s="80"/>
      <c r="Q1780" s="80" t="s">
        <v>84</v>
      </c>
      <c r="R1780" s="80" t="s">
        <v>84</v>
      </c>
    </row>
    <row r="1781" spans="1:18" ht="20" x14ac:dyDescent="0.2">
      <c r="A1781" s="80" t="s">
        <v>5059</v>
      </c>
      <c r="B1781" s="80" t="s">
        <v>5060</v>
      </c>
      <c r="C1781" s="80" t="s">
        <v>9680</v>
      </c>
      <c r="D1781" s="80" t="s">
        <v>84</v>
      </c>
      <c r="E1781" s="80" t="s">
        <v>84</v>
      </c>
      <c r="F1781" s="80"/>
      <c r="G1781" s="80" t="s">
        <v>84</v>
      </c>
      <c r="H1781" s="80" t="s">
        <v>84</v>
      </c>
      <c r="I1781" s="80" t="s">
        <v>84</v>
      </c>
      <c r="J1781" s="80" t="s">
        <v>84</v>
      </c>
      <c r="K1781" s="80" t="s">
        <v>84</v>
      </c>
      <c r="L1781" s="80" t="s">
        <v>84</v>
      </c>
      <c r="M1781" s="80" t="s">
        <v>84</v>
      </c>
      <c r="N1781" s="80" t="s">
        <v>84</v>
      </c>
      <c r="O1781" s="80" t="s">
        <v>84</v>
      </c>
      <c r="P1781" s="80"/>
      <c r="Q1781" s="80" t="s">
        <v>84</v>
      </c>
      <c r="R1781" s="80" t="s">
        <v>84</v>
      </c>
    </row>
    <row r="1782" spans="1:18" ht="20" x14ac:dyDescent="0.2">
      <c r="A1782" s="80" t="s">
        <v>10303</v>
      </c>
      <c r="B1782" s="80" t="s">
        <v>10304</v>
      </c>
      <c r="C1782" s="80" t="s">
        <v>9680</v>
      </c>
      <c r="D1782" s="80" t="s">
        <v>84</v>
      </c>
      <c r="E1782" s="80" t="s">
        <v>84</v>
      </c>
      <c r="F1782" s="80"/>
      <c r="G1782" s="80" t="s">
        <v>84</v>
      </c>
      <c r="H1782" s="80" t="s">
        <v>84</v>
      </c>
      <c r="I1782" s="80" t="s">
        <v>84</v>
      </c>
      <c r="J1782" s="80" t="s">
        <v>84</v>
      </c>
      <c r="K1782" s="80" t="s">
        <v>84</v>
      </c>
      <c r="L1782" s="80" t="s">
        <v>84</v>
      </c>
      <c r="M1782" s="80" t="s">
        <v>9680</v>
      </c>
      <c r="N1782" s="80" t="s">
        <v>84</v>
      </c>
      <c r="O1782" s="80" t="s">
        <v>9680</v>
      </c>
      <c r="P1782" s="80"/>
      <c r="Q1782" s="80" t="s">
        <v>9680</v>
      </c>
      <c r="R1782" s="80" t="s">
        <v>9680</v>
      </c>
    </row>
    <row r="1783" spans="1:18" ht="20" x14ac:dyDescent="0.2">
      <c r="A1783" s="80" t="s">
        <v>1543</v>
      </c>
      <c r="B1783" s="80" t="s">
        <v>1544</v>
      </c>
      <c r="C1783" s="80" t="s">
        <v>9680</v>
      </c>
      <c r="D1783" s="80" t="s">
        <v>9680</v>
      </c>
      <c r="E1783" s="80" t="s">
        <v>9680</v>
      </c>
      <c r="F1783" s="80"/>
      <c r="G1783" s="80" t="s">
        <v>9680</v>
      </c>
      <c r="H1783" s="80" t="s">
        <v>9680</v>
      </c>
      <c r="I1783" s="80" t="s">
        <v>9680</v>
      </c>
      <c r="J1783" s="80" t="s">
        <v>84</v>
      </c>
      <c r="K1783" s="80" t="s">
        <v>9680</v>
      </c>
      <c r="L1783" s="80" t="s">
        <v>9680</v>
      </c>
      <c r="M1783" s="80" t="s">
        <v>9680</v>
      </c>
      <c r="N1783" s="80" t="s">
        <v>9680</v>
      </c>
      <c r="O1783" s="80" t="s">
        <v>9680</v>
      </c>
      <c r="P1783" s="80"/>
      <c r="Q1783" s="80" t="s">
        <v>9680</v>
      </c>
      <c r="R1783" s="80" t="s">
        <v>9680</v>
      </c>
    </row>
    <row r="1784" spans="1:18" ht="20" x14ac:dyDescent="0.2">
      <c r="A1784" s="80" t="s">
        <v>1545</v>
      </c>
      <c r="B1784" s="80" t="s">
        <v>1546</v>
      </c>
      <c r="C1784" s="80" t="s">
        <v>9680</v>
      </c>
      <c r="D1784" s="80" t="s">
        <v>84</v>
      </c>
      <c r="E1784" s="80" t="s">
        <v>84</v>
      </c>
      <c r="F1784" s="80"/>
      <c r="G1784" s="80" t="s">
        <v>84</v>
      </c>
      <c r="H1784" s="80" t="s">
        <v>9680</v>
      </c>
      <c r="I1784" s="80" t="s">
        <v>84</v>
      </c>
      <c r="J1784" s="80" t="s">
        <v>84</v>
      </c>
      <c r="K1784" s="80" t="s">
        <v>84</v>
      </c>
      <c r="L1784" s="80" t="s">
        <v>84</v>
      </c>
      <c r="M1784" s="80" t="s">
        <v>9680</v>
      </c>
      <c r="N1784" s="80" t="s">
        <v>84</v>
      </c>
      <c r="O1784" s="80" t="s">
        <v>9680</v>
      </c>
      <c r="P1784" s="80"/>
      <c r="Q1784" s="80" t="s">
        <v>9680</v>
      </c>
      <c r="R1784" s="80" t="s">
        <v>9680</v>
      </c>
    </row>
    <row r="1785" spans="1:18" ht="20" x14ac:dyDescent="0.2">
      <c r="A1785" s="80" t="s">
        <v>1547</v>
      </c>
      <c r="B1785" s="80" t="s">
        <v>1548</v>
      </c>
      <c r="C1785" s="80" t="s">
        <v>9680</v>
      </c>
      <c r="D1785" s="80" t="s">
        <v>9680</v>
      </c>
      <c r="E1785" s="80" t="s">
        <v>9680</v>
      </c>
      <c r="F1785" s="80"/>
      <c r="G1785" s="80" t="s">
        <v>9680</v>
      </c>
      <c r="H1785" s="80" t="s">
        <v>9680</v>
      </c>
      <c r="I1785" s="80" t="s">
        <v>9680</v>
      </c>
      <c r="J1785" s="80" t="s">
        <v>9680</v>
      </c>
      <c r="K1785" s="80" t="s">
        <v>9680</v>
      </c>
      <c r="L1785" s="80" t="s">
        <v>9680</v>
      </c>
      <c r="M1785" s="80" t="s">
        <v>9680</v>
      </c>
      <c r="N1785" s="80" t="s">
        <v>9680</v>
      </c>
      <c r="O1785" s="80" t="s">
        <v>9680</v>
      </c>
      <c r="P1785" s="80"/>
      <c r="Q1785" s="80" t="s">
        <v>9680</v>
      </c>
      <c r="R1785" s="80" t="s">
        <v>9680</v>
      </c>
    </row>
    <row r="1786" spans="1:18" x14ac:dyDescent="0.2">
      <c r="A1786" s="80" t="s">
        <v>5973</v>
      </c>
      <c r="B1786" s="80" t="s">
        <v>10305</v>
      </c>
      <c r="C1786" s="80" t="s">
        <v>84</v>
      </c>
      <c r="D1786" s="80" t="s">
        <v>84</v>
      </c>
      <c r="E1786" s="80" t="s">
        <v>84</v>
      </c>
      <c r="F1786" s="80"/>
      <c r="G1786" s="80" t="s">
        <v>84</v>
      </c>
      <c r="H1786" s="80" t="s">
        <v>84</v>
      </c>
      <c r="I1786" s="80" t="s">
        <v>84</v>
      </c>
      <c r="J1786" s="80" t="s">
        <v>84</v>
      </c>
      <c r="K1786" s="80" t="s">
        <v>84</v>
      </c>
      <c r="L1786" s="80" t="s">
        <v>84</v>
      </c>
      <c r="M1786" s="80" t="s">
        <v>84</v>
      </c>
      <c r="N1786" s="80" t="s">
        <v>84</v>
      </c>
      <c r="O1786" s="80" t="s">
        <v>84</v>
      </c>
      <c r="P1786" s="80"/>
      <c r="Q1786" s="80" t="s">
        <v>84</v>
      </c>
      <c r="R1786" s="80" t="s">
        <v>84</v>
      </c>
    </row>
    <row r="1787" spans="1:18" x14ac:dyDescent="0.2">
      <c r="A1787" s="80" t="s">
        <v>5973</v>
      </c>
      <c r="B1787" s="80" t="s">
        <v>5974</v>
      </c>
      <c r="C1787" s="80" t="s">
        <v>84</v>
      </c>
      <c r="D1787" s="80" t="s">
        <v>84</v>
      </c>
      <c r="E1787" s="80" t="s">
        <v>84</v>
      </c>
      <c r="F1787" s="80"/>
      <c r="G1787" s="80" t="s">
        <v>84</v>
      </c>
      <c r="H1787" s="80" t="s">
        <v>84</v>
      </c>
      <c r="I1787" s="80" t="s">
        <v>84</v>
      </c>
      <c r="J1787" s="80" t="s">
        <v>84</v>
      </c>
      <c r="K1787" s="80" t="s">
        <v>84</v>
      </c>
      <c r="L1787" s="80" t="s">
        <v>84</v>
      </c>
      <c r="M1787" s="80" t="s">
        <v>84</v>
      </c>
      <c r="N1787" s="80" t="s">
        <v>84</v>
      </c>
      <c r="O1787" s="80" t="s">
        <v>84</v>
      </c>
      <c r="P1787" s="80"/>
      <c r="Q1787" s="80" t="s">
        <v>84</v>
      </c>
      <c r="R1787" s="80" t="s">
        <v>84</v>
      </c>
    </row>
    <row r="1788" spans="1:18" ht="20" x14ac:dyDescent="0.2">
      <c r="A1788" s="80" t="s">
        <v>1829</v>
      </c>
      <c r="B1788" s="80" t="s">
        <v>1830</v>
      </c>
      <c r="C1788" s="80" t="s">
        <v>9680</v>
      </c>
      <c r="D1788" s="80" t="s">
        <v>9680</v>
      </c>
      <c r="E1788" s="80" t="s">
        <v>9680</v>
      </c>
      <c r="F1788" s="80"/>
      <c r="G1788" s="80" t="s">
        <v>9680</v>
      </c>
      <c r="H1788" s="80" t="s">
        <v>9680</v>
      </c>
      <c r="I1788" s="80" t="s">
        <v>9680</v>
      </c>
      <c r="J1788" s="80" t="s">
        <v>9680</v>
      </c>
      <c r="K1788" s="80" t="s">
        <v>9680</v>
      </c>
      <c r="L1788" s="80" t="s">
        <v>9680</v>
      </c>
      <c r="M1788" s="80" t="s">
        <v>9680</v>
      </c>
      <c r="N1788" s="80" t="s">
        <v>9680</v>
      </c>
      <c r="O1788" s="80" t="s">
        <v>9680</v>
      </c>
      <c r="P1788" s="80"/>
      <c r="Q1788" s="80" t="s">
        <v>9680</v>
      </c>
      <c r="R1788" s="80" t="s">
        <v>9680</v>
      </c>
    </row>
    <row r="1789" spans="1:18" ht="20" x14ac:dyDescent="0.2">
      <c r="A1789" s="80" t="s">
        <v>1626</v>
      </c>
      <c r="B1789" s="80" t="s">
        <v>1627</v>
      </c>
      <c r="C1789" s="80" t="s">
        <v>9680</v>
      </c>
      <c r="D1789" s="80" t="s">
        <v>9680</v>
      </c>
      <c r="E1789" s="80" t="s">
        <v>9680</v>
      </c>
      <c r="F1789" s="80"/>
      <c r="G1789" s="80" t="s">
        <v>9680</v>
      </c>
      <c r="H1789" s="80" t="s">
        <v>9680</v>
      </c>
      <c r="I1789" s="80" t="s">
        <v>9680</v>
      </c>
      <c r="J1789" s="80" t="s">
        <v>9680</v>
      </c>
      <c r="K1789" s="80" t="s">
        <v>9680</v>
      </c>
      <c r="L1789" s="80" t="s">
        <v>9680</v>
      </c>
      <c r="M1789" s="80" t="s">
        <v>9680</v>
      </c>
      <c r="N1789" s="80" t="s">
        <v>9680</v>
      </c>
      <c r="O1789" s="80" t="s">
        <v>9680</v>
      </c>
      <c r="P1789" s="80"/>
      <c r="Q1789" s="80" t="s">
        <v>9680</v>
      </c>
      <c r="R1789" s="80" t="s">
        <v>9680</v>
      </c>
    </row>
    <row r="1790" spans="1:18" ht="20" x14ac:dyDescent="0.2">
      <c r="A1790" s="80" t="s">
        <v>1729</v>
      </c>
      <c r="B1790" s="80" t="s">
        <v>10306</v>
      </c>
      <c r="C1790" s="80" t="s">
        <v>9680</v>
      </c>
      <c r="D1790" s="80" t="s">
        <v>9680</v>
      </c>
      <c r="E1790" s="80" t="s">
        <v>9680</v>
      </c>
      <c r="F1790" s="80"/>
      <c r="G1790" s="80" t="s">
        <v>9680</v>
      </c>
      <c r="H1790" s="80" t="s">
        <v>9680</v>
      </c>
      <c r="I1790" s="80" t="s">
        <v>9680</v>
      </c>
      <c r="J1790" s="80" t="s">
        <v>84</v>
      </c>
      <c r="K1790" s="80" t="s">
        <v>9680</v>
      </c>
      <c r="L1790" s="80" t="s">
        <v>9680</v>
      </c>
      <c r="M1790" s="80" t="s">
        <v>9680</v>
      </c>
      <c r="N1790" s="80" t="s">
        <v>9680</v>
      </c>
      <c r="O1790" s="80" t="s">
        <v>9680</v>
      </c>
      <c r="P1790" s="80"/>
      <c r="Q1790" s="80" t="s">
        <v>9680</v>
      </c>
      <c r="R1790" s="80" t="s">
        <v>9680</v>
      </c>
    </row>
    <row r="1791" spans="1:18" ht="20" x14ac:dyDescent="0.2">
      <c r="A1791" s="80" t="s">
        <v>1729</v>
      </c>
      <c r="B1791" s="80" t="s">
        <v>1730</v>
      </c>
      <c r="C1791" s="80" t="s">
        <v>9680</v>
      </c>
      <c r="D1791" s="80" t="s">
        <v>9680</v>
      </c>
      <c r="E1791" s="80" t="s">
        <v>9680</v>
      </c>
      <c r="F1791" s="80"/>
      <c r="G1791" s="80" t="s">
        <v>9680</v>
      </c>
      <c r="H1791" s="80" t="s">
        <v>9680</v>
      </c>
      <c r="I1791" s="80" t="s">
        <v>9680</v>
      </c>
      <c r="J1791" s="80" t="s">
        <v>84</v>
      </c>
      <c r="K1791" s="80" t="s">
        <v>9680</v>
      </c>
      <c r="L1791" s="80" t="s">
        <v>9680</v>
      </c>
      <c r="M1791" s="80" t="s">
        <v>9680</v>
      </c>
      <c r="N1791" s="80" t="s">
        <v>9680</v>
      </c>
      <c r="O1791" s="80" t="s">
        <v>9680</v>
      </c>
      <c r="P1791" s="80"/>
      <c r="Q1791" s="80" t="s">
        <v>9680</v>
      </c>
      <c r="R1791" s="80" t="s">
        <v>9680</v>
      </c>
    </row>
    <row r="1792" spans="1:18" ht="20" x14ac:dyDescent="0.2">
      <c r="A1792" s="80" t="s">
        <v>10307</v>
      </c>
      <c r="B1792" s="80" t="s">
        <v>10308</v>
      </c>
      <c r="C1792" s="80" t="s">
        <v>9680</v>
      </c>
      <c r="D1792" s="80" t="s">
        <v>84</v>
      </c>
      <c r="E1792" s="80" t="s">
        <v>84</v>
      </c>
      <c r="F1792" s="80"/>
      <c r="G1792" s="80" t="s">
        <v>84</v>
      </c>
      <c r="H1792" s="80" t="s">
        <v>84</v>
      </c>
      <c r="I1792" s="80" t="s">
        <v>84</v>
      </c>
      <c r="J1792" s="80" t="s">
        <v>84</v>
      </c>
      <c r="K1792" s="80" t="s">
        <v>84</v>
      </c>
      <c r="L1792" s="80" t="s">
        <v>84</v>
      </c>
      <c r="M1792" s="80" t="s">
        <v>84</v>
      </c>
      <c r="N1792" s="80" t="s">
        <v>84</v>
      </c>
      <c r="O1792" s="80" t="s">
        <v>84</v>
      </c>
      <c r="P1792" s="80"/>
      <c r="Q1792" s="80" t="s">
        <v>84</v>
      </c>
      <c r="R1792" s="80" t="s">
        <v>84</v>
      </c>
    </row>
    <row r="1793" spans="1:18" ht="20" x14ac:dyDescent="0.2">
      <c r="A1793" s="80" t="s">
        <v>1359</v>
      </c>
      <c r="B1793" s="80" t="s">
        <v>1360</v>
      </c>
      <c r="C1793" s="80" t="s">
        <v>9680</v>
      </c>
      <c r="D1793" s="80" t="s">
        <v>84</v>
      </c>
      <c r="E1793" s="80" t="s">
        <v>84</v>
      </c>
      <c r="F1793" s="80"/>
      <c r="G1793" s="80" t="s">
        <v>84</v>
      </c>
      <c r="H1793" s="80" t="s">
        <v>84</v>
      </c>
      <c r="I1793" s="80" t="s">
        <v>84</v>
      </c>
      <c r="J1793" s="80" t="s">
        <v>84</v>
      </c>
      <c r="K1793" s="80" t="s">
        <v>84</v>
      </c>
      <c r="L1793" s="80" t="s">
        <v>84</v>
      </c>
      <c r="M1793" s="80" t="s">
        <v>84</v>
      </c>
      <c r="N1793" s="80" t="s">
        <v>84</v>
      </c>
      <c r="O1793" s="80" t="s">
        <v>84</v>
      </c>
      <c r="P1793" s="80"/>
      <c r="Q1793" s="80" t="s">
        <v>84</v>
      </c>
      <c r="R1793" s="80" t="s">
        <v>84</v>
      </c>
    </row>
    <row r="1794" spans="1:18" ht="20" x14ac:dyDescent="0.2">
      <c r="A1794" s="80" t="s">
        <v>1359</v>
      </c>
      <c r="B1794" s="80" t="s">
        <v>10309</v>
      </c>
      <c r="C1794" s="80" t="s">
        <v>9680</v>
      </c>
      <c r="D1794" s="80" t="s">
        <v>84</v>
      </c>
      <c r="E1794" s="80" t="s">
        <v>84</v>
      </c>
      <c r="F1794" s="80"/>
      <c r="G1794" s="80" t="s">
        <v>84</v>
      </c>
      <c r="H1794" s="80" t="s">
        <v>84</v>
      </c>
      <c r="I1794" s="80" t="s">
        <v>84</v>
      </c>
      <c r="J1794" s="80" t="s">
        <v>84</v>
      </c>
      <c r="K1794" s="80" t="s">
        <v>84</v>
      </c>
      <c r="L1794" s="80" t="s">
        <v>84</v>
      </c>
      <c r="M1794" s="80" t="s">
        <v>84</v>
      </c>
      <c r="N1794" s="80" t="s">
        <v>84</v>
      </c>
      <c r="O1794" s="80" t="s">
        <v>84</v>
      </c>
      <c r="P1794" s="80"/>
      <c r="Q1794" s="80" t="s">
        <v>84</v>
      </c>
      <c r="R1794" s="80" t="s">
        <v>84</v>
      </c>
    </row>
    <row r="1795" spans="1:18" ht="20" x14ac:dyDescent="0.2">
      <c r="A1795" s="80" t="s">
        <v>1359</v>
      </c>
      <c r="B1795" s="80" t="s">
        <v>1671</v>
      </c>
      <c r="C1795" s="80" t="s">
        <v>9680</v>
      </c>
      <c r="D1795" s="80" t="s">
        <v>84</v>
      </c>
      <c r="E1795" s="80" t="s">
        <v>84</v>
      </c>
      <c r="F1795" s="80"/>
      <c r="G1795" s="80" t="s">
        <v>84</v>
      </c>
      <c r="H1795" s="80" t="s">
        <v>84</v>
      </c>
      <c r="I1795" s="80" t="s">
        <v>84</v>
      </c>
      <c r="J1795" s="80" t="s">
        <v>84</v>
      </c>
      <c r="K1795" s="80" t="s">
        <v>84</v>
      </c>
      <c r="L1795" s="80" t="s">
        <v>84</v>
      </c>
      <c r="M1795" s="80" t="s">
        <v>84</v>
      </c>
      <c r="N1795" s="80" t="s">
        <v>84</v>
      </c>
      <c r="O1795" s="80" t="s">
        <v>84</v>
      </c>
      <c r="P1795" s="80"/>
      <c r="Q1795" s="80" t="s">
        <v>84</v>
      </c>
      <c r="R1795" s="80" t="s">
        <v>84</v>
      </c>
    </row>
    <row r="1796" spans="1:18" ht="20" x14ac:dyDescent="0.2">
      <c r="A1796" s="80" t="s">
        <v>1357</v>
      </c>
      <c r="B1796" s="80" t="s">
        <v>1358</v>
      </c>
      <c r="C1796" s="80" t="s">
        <v>9680</v>
      </c>
      <c r="D1796" s="80" t="s">
        <v>84</v>
      </c>
      <c r="E1796" s="80" t="s">
        <v>84</v>
      </c>
      <c r="F1796" s="80"/>
      <c r="G1796" s="80" t="s">
        <v>84</v>
      </c>
      <c r="H1796" s="80" t="s">
        <v>84</v>
      </c>
      <c r="I1796" s="80" t="s">
        <v>84</v>
      </c>
      <c r="J1796" s="80" t="s">
        <v>84</v>
      </c>
      <c r="K1796" s="80" t="s">
        <v>84</v>
      </c>
      <c r="L1796" s="80" t="s">
        <v>84</v>
      </c>
      <c r="M1796" s="80" t="s">
        <v>84</v>
      </c>
      <c r="N1796" s="80" t="s">
        <v>84</v>
      </c>
      <c r="O1796" s="80" t="s">
        <v>84</v>
      </c>
      <c r="P1796" s="80"/>
      <c r="Q1796" s="80" t="s">
        <v>84</v>
      </c>
      <c r="R1796" s="80" t="s">
        <v>84</v>
      </c>
    </row>
    <row r="1797" spans="1:18" ht="20" x14ac:dyDescent="0.2">
      <c r="A1797" s="80" t="s">
        <v>1357</v>
      </c>
      <c r="B1797" s="80" t="s">
        <v>1628</v>
      </c>
      <c r="C1797" s="80" t="s">
        <v>9680</v>
      </c>
      <c r="D1797" s="80" t="s">
        <v>84</v>
      </c>
      <c r="E1797" s="80" t="s">
        <v>84</v>
      </c>
      <c r="F1797" s="80"/>
      <c r="G1797" s="80" t="s">
        <v>84</v>
      </c>
      <c r="H1797" s="80" t="s">
        <v>84</v>
      </c>
      <c r="I1797" s="80" t="s">
        <v>84</v>
      </c>
      <c r="J1797" s="80" t="s">
        <v>84</v>
      </c>
      <c r="K1797" s="80" t="s">
        <v>84</v>
      </c>
      <c r="L1797" s="80" t="s">
        <v>84</v>
      </c>
      <c r="M1797" s="80" t="s">
        <v>84</v>
      </c>
      <c r="N1797" s="80" t="s">
        <v>84</v>
      </c>
      <c r="O1797" s="80" t="s">
        <v>84</v>
      </c>
      <c r="P1797" s="80"/>
      <c r="Q1797" s="80" t="s">
        <v>84</v>
      </c>
      <c r="R1797" s="80" t="s">
        <v>84</v>
      </c>
    </row>
    <row r="1798" spans="1:18" ht="20" x14ac:dyDescent="0.2">
      <c r="A1798" s="80" t="s">
        <v>5743</v>
      </c>
      <c r="B1798" s="80" t="s">
        <v>5744</v>
      </c>
      <c r="C1798" s="80" t="s">
        <v>9680</v>
      </c>
      <c r="D1798" s="80" t="s">
        <v>9680</v>
      </c>
      <c r="E1798" s="80" t="s">
        <v>84</v>
      </c>
      <c r="F1798" s="80"/>
      <c r="G1798" s="80" t="s">
        <v>9680</v>
      </c>
      <c r="H1798" s="80" t="s">
        <v>84</v>
      </c>
      <c r="I1798" s="80" t="s">
        <v>9680</v>
      </c>
      <c r="J1798" s="80" t="s">
        <v>9680</v>
      </c>
      <c r="K1798" s="80" t="s">
        <v>9680</v>
      </c>
      <c r="L1798" s="80" t="s">
        <v>9680</v>
      </c>
      <c r="M1798" s="80" t="s">
        <v>9680</v>
      </c>
      <c r="N1798" s="80" t="s">
        <v>84</v>
      </c>
      <c r="O1798" s="80" t="s">
        <v>9680</v>
      </c>
      <c r="P1798" s="80"/>
      <c r="Q1798" s="80" t="s">
        <v>9680</v>
      </c>
      <c r="R1798" s="80" t="s">
        <v>9680</v>
      </c>
    </row>
    <row r="1799" spans="1:18" ht="20" x14ac:dyDescent="0.2">
      <c r="A1799" s="80" t="s">
        <v>5743</v>
      </c>
      <c r="B1799" s="80" t="s">
        <v>10310</v>
      </c>
      <c r="C1799" s="80" t="s">
        <v>9680</v>
      </c>
      <c r="D1799" s="80" t="s">
        <v>9680</v>
      </c>
      <c r="E1799" s="80" t="s">
        <v>84</v>
      </c>
      <c r="F1799" s="80"/>
      <c r="G1799" s="80" t="s">
        <v>9680</v>
      </c>
      <c r="H1799" s="80" t="s">
        <v>84</v>
      </c>
      <c r="I1799" s="80" t="s">
        <v>9680</v>
      </c>
      <c r="J1799" s="80" t="s">
        <v>9680</v>
      </c>
      <c r="K1799" s="80" t="s">
        <v>9680</v>
      </c>
      <c r="L1799" s="80" t="s">
        <v>9680</v>
      </c>
      <c r="M1799" s="80" t="s">
        <v>9680</v>
      </c>
      <c r="N1799" s="80" t="s">
        <v>84</v>
      </c>
      <c r="O1799" s="80" t="s">
        <v>9680</v>
      </c>
      <c r="P1799" s="80"/>
      <c r="Q1799" s="80" t="s">
        <v>9680</v>
      </c>
      <c r="R1799" s="80" t="s">
        <v>9680</v>
      </c>
    </row>
    <row r="1800" spans="1:18" ht="20" x14ac:dyDescent="0.2">
      <c r="A1800" s="80" t="s">
        <v>5743</v>
      </c>
      <c r="B1800" s="80" t="s">
        <v>6155</v>
      </c>
      <c r="C1800" s="80" t="s">
        <v>9680</v>
      </c>
      <c r="D1800" s="80" t="s">
        <v>9680</v>
      </c>
      <c r="E1800" s="80" t="s">
        <v>84</v>
      </c>
      <c r="F1800" s="80"/>
      <c r="G1800" s="80" t="s">
        <v>9680</v>
      </c>
      <c r="H1800" s="80" t="s">
        <v>84</v>
      </c>
      <c r="I1800" s="80" t="s">
        <v>9680</v>
      </c>
      <c r="J1800" s="80" t="s">
        <v>9680</v>
      </c>
      <c r="K1800" s="80" t="s">
        <v>9680</v>
      </c>
      <c r="L1800" s="80" t="s">
        <v>9680</v>
      </c>
      <c r="M1800" s="80" t="s">
        <v>9680</v>
      </c>
      <c r="N1800" s="80" t="s">
        <v>84</v>
      </c>
      <c r="O1800" s="80" t="s">
        <v>9680</v>
      </c>
      <c r="P1800" s="80"/>
      <c r="Q1800" s="80" t="s">
        <v>9680</v>
      </c>
      <c r="R1800" s="80" t="s">
        <v>9680</v>
      </c>
    </row>
    <row r="1801" spans="1:18" ht="20" x14ac:dyDescent="0.2">
      <c r="A1801" s="80" t="s">
        <v>6156</v>
      </c>
      <c r="B1801" s="80" t="s">
        <v>10311</v>
      </c>
      <c r="C1801" s="80" t="s">
        <v>9680</v>
      </c>
      <c r="D1801" s="80" t="s">
        <v>84</v>
      </c>
      <c r="E1801" s="80" t="s">
        <v>84</v>
      </c>
      <c r="F1801" s="80"/>
      <c r="G1801" s="80" t="s">
        <v>84</v>
      </c>
      <c r="H1801" s="80" t="s">
        <v>84</v>
      </c>
      <c r="I1801" s="80" t="s">
        <v>84</v>
      </c>
      <c r="J1801" s="80" t="s">
        <v>84</v>
      </c>
      <c r="K1801" s="80" t="s">
        <v>84</v>
      </c>
      <c r="L1801" s="80" t="s">
        <v>84</v>
      </c>
      <c r="M1801" s="80" t="s">
        <v>84</v>
      </c>
      <c r="N1801" s="80" t="s">
        <v>84</v>
      </c>
      <c r="O1801" s="80" t="s">
        <v>84</v>
      </c>
      <c r="P1801" s="80"/>
      <c r="Q1801" s="80" t="s">
        <v>84</v>
      </c>
      <c r="R1801" s="80" t="s">
        <v>84</v>
      </c>
    </row>
    <row r="1802" spans="1:18" ht="20" x14ac:dyDescent="0.2">
      <c r="A1802" s="80" t="s">
        <v>6156</v>
      </c>
      <c r="B1802" s="80" t="s">
        <v>6157</v>
      </c>
      <c r="C1802" s="80" t="s">
        <v>9680</v>
      </c>
      <c r="D1802" s="80" t="s">
        <v>84</v>
      </c>
      <c r="E1802" s="80" t="s">
        <v>84</v>
      </c>
      <c r="F1802" s="80"/>
      <c r="G1802" s="80" t="s">
        <v>84</v>
      </c>
      <c r="H1802" s="80" t="s">
        <v>84</v>
      </c>
      <c r="I1802" s="80" t="s">
        <v>84</v>
      </c>
      <c r="J1802" s="80" t="s">
        <v>84</v>
      </c>
      <c r="K1802" s="80" t="s">
        <v>84</v>
      </c>
      <c r="L1802" s="80" t="s">
        <v>84</v>
      </c>
      <c r="M1802" s="80" t="s">
        <v>84</v>
      </c>
      <c r="N1802" s="80" t="s">
        <v>84</v>
      </c>
      <c r="O1802" s="80" t="s">
        <v>84</v>
      </c>
      <c r="P1802" s="80"/>
      <c r="Q1802" s="80" t="s">
        <v>84</v>
      </c>
      <c r="R1802" s="80" t="s">
        <v>84</v>
      </c>
    </row>
    <row r="1803" spans="1:18" ht="20" x14ac:dyDescent="0.2">
      <c r="A1803" s="80" t="s">
        <v>6158</v>
      </c>
      <c r="B1803" s="80" t="s">
        <v>10312</v>
      </c>
      <c r="C1803" s="80" t="s">
        <v>9680</v>
      </c>
      <c r="D1803" s="80" t="s">
        <v>84</v>
      </c>
      <c r="E1803" s="80" t="s">
        <v>84</v>
      </c>
      <c r="F1803" s="80"/>
      <c r="G1803" s="80" t="s">
        <v>84</v>
      </c>
      <c r="H1803" s="80" t="s">
        <v>84</v>
      </c>
      <c r="I1803" s="80" t="s">
        <v>84</v>
      </c>
      <c r="J1803" s="80" t="s">
        <v>84</v>
      </c>
      <c r="K1803" s="80" t="s">
        <v>84</v>
      </c>
      <c r="L1803" s="80" t="s">
        <v>84</v>
      </c>
      <c r="M1803" s="80" t="s">
        <v>84</v>
      </c>
      <c r="N1803" s="80" t="s">
        <v>84</v>
      </c>
      <c r="O1803" s="80" t="s">
        <v>84</v>
      </c>
      <c r="P1803" s="80"/>
      <c r="Q1803" s="80" t="s">
        <v>84</v>
      </c>
      <c r="R1803" s="80" t="s">
        <v>84</v>
      </c>
    </row>
    <row r="1804" spans="1:18" ht="20" x14ac:dyDescent="0.2">
      <c r="A1804" s="80" t="s">
        <v>6158</v>
      </c>
      <c r="B1804" s="80" t="s">
        <v>6159</v>
      </c>
      <c r="C1804" s="80" t="s">
        <v>9680</v>
      </c>
      <c r="D1804" s="80" t="s">
        <v>84</v>
      </c>
      <c r="E1804" s="80" t="s">
        <v>84</v>
      </c>
      <c r="F1804" s="80"/>
      <c r="G1804" s="80" t="s">
        <v>84</v>
      </c>
      <c r="H1804" s="80" t="s">
        <v>84</v>
      </c>
      <c r="I1804" s="80" t="s">
        <v>84</v>
      </c>
      <c r="J1804" s="80" t="s">
        <v>84</v>
      </c>
      <c r="K1804" s="80" t="s">
        <v>84</v>
      </c>
      <c r="L1804" s="80" t="s">
        <v>84</v>
      </c>
      <c r="M1804" s="80" t="s">
        <v>84</v>
      </c>
      <c r="N1804" s="80" t="s">
        <v>84</v>
      </c>
      <c r="O1804" s="80" t="s">
        <v>84</v>
      </c>
      <c r="P1804" s="80"/>
      <c r="Q1804" s="80" t="s">
        <v>84</v>
      </c>
      <c r="R1804" s="80" t="s">
        <v>84</v>
      </c>
    </row>
    <row r="1805" spans="1:18" ht="20" x14ac:dyDescent="0.2">
      <c r="A1805" s="80" t="s">
        <v>6160</v>
      </c>
      <c r="B1805" s="80" t="s">
        <v>6161</v>
      </c>
      <c r="C1805" s="80" t="s">
        <v>9680</v>
      </c>
      <c r="D1805" s="80" t="s">
        <v>84</v>
      </c>
      <c r="E1805" s="80" t="s">
        <v>84</v>
      </c>
      <c r="F1805" s="80"/>
      <c r="G1805" s="80" t="s">
        <v>84</v>
      </c>
      <c r="H1805" s="80" t="s">
        <v>9680</v>
      </c>
      <c r="I1805" s="80" t="s">
        <v>84</v>
      </c>
      <c r="J1805" s="80" t="s">
        <v>84</v>
      </c>
      <c r="K1805" s="80" t="s">
        <v>84</v>
      </c>
      <c r="L1805" s="80" t="s">
        <v>84</v>
      </c>
      <c r="M1805" s="80" t="s">
        <v>84</v>
      </c>
      <c r="N1805" s="80" t="s">
        <v>84</v>
      </c>
      <c r="O1805" s="80" t="s">
        <v>84</v>
      </c>
      <c r="P1805" s="80"/>
      <c r="Q1805" s="80" t="s">
        <v>84</v>
      </c>
      <c r="R1805" s="80" t="s">
        <v>84</v>
      </c>
    </row>
    <row r="1806" spans="1:18" ht="20" x14ac:dyDescent="0.2">
      <c r="A1806" s="80" t="s">
        <v>6162</v>
      </c>
      <c r="B1806" s="80" t="s">
        <v>6163</v>
      </c>
      <c r="C1806" s="80" t="s">
        <v>9680</v>
      </c>
      <c r="D1806" s="80" t="s">
        <v>84</v>
      </c>
      <c r="E1806" s="80" t="s">
        <v>84</v>
      </c>
      <c r="F1806" s="80"/>
      <c r="G1806" s="80" t="s">
        <v>84</v>
      </c>
      <c r="H1806" s="80" t="s">
        <v>9680</v>
      </c>
      <c r="I1806" s="80" t="s">
        <v>84</v>
      </c>
      <c r="J1806" s="80" t="s">
        <v>84</v>
      </c>
      <c r="K1806" s="80" t="s">
        <v>84</v>
      </c>
      <c r="L1806" s="80" t="s">
        <v>84</v>
      </c>
      <c r="M1806" s="80" t="s">
        <v>84</v>
      </c>
      <c r="N1806" s="80" t="s">
        <v>84</v>
      </c>
      <c r="O1806" s="80" t="s">
        <v>84</v>
      </c>
      <c r="P1806" s="80"/>
      <c r="Q1806" s="80" t="s">
        <v>84</v>
      </c>
      <c r="R1806" s="80" t="s">
        <v>84</v>
      </c>
    </row>
    <row r="1807" spans="1:18" ht="20" x14ac:dyDescent="0.2">
      <c r="A1807" s="80" t="s">
        <v>4048</v>
      </c>
      <c r="B1807" s="80" t="s">
        <v>4049</v>
      </c>
      <c r="C1807" s="80" t="s">
        <v>9680</v>
      </c>
      <c r="D1807" s="80" t="s">
        <v>84</v>
      </c>
      <c r="E1807" s="80" t="s">
        <v>84</v>
      </c>
      <c r="F1807" s="80"/>
      <c r="G1807" s="80" t="s">
        <v>9680</v>
      </c>
      <c r="H1807" s="80" t="s">
        <v>9680</v>
      </c>
      <c r="I1807" s="80" t="s">
        <v>84</v>
      </c>
      <c r="J1807" s="80" t="s">
        <v>84</v>
      </c>
      <c r="K1807" s="80" t="s">
        <v>84</v>
      </c>
      <c r="L1807" s="80" t="s">
        <v>84</v>
      </c>
      <c r="M1807" s="80" t="s">
        <v>84</v>
      </c>
      <c r="N1807" s="80" t="s">
        <v>84</v>
      </c>
      <c r="O1807" s="80" t="s">
        <v>84</v>
      </c>
      <c r="P1807" s="80"/>
      <c r="Q1807" s="80" t="s">
        <v>84</v>
      </c>
      <c r="R1807" s="80" t="s">
        <v>84</v>
      </c>
    </row>
    <row r="1808" spans="1:18" ht="20" x14ac:dyDescent="0.2">
      <c r="A1808" s="80" t="s">
        <v>4048</v>
      </c>
      <c r="B1808" s="80" t="s">
        <v>4240</v>
      </c>
      <c r="C1808" s="80" t="s">
        <v>9680</v>
      </c>
      <c r="D1808" s="80" t="s">
        <v>84</v>
      </c>
      <c r="E1808" s="80" t="s">
        <v>84</v>
      </c>
      <c r="F1808" s="80"/>
      <c r="G1808" s="80" t="s">
        <v>9680</v>
      </c>
      <c r="H1808" s="80" t="s">
        <v>9680</v>
      </c>
      <c r="I1808" s="80" t="s">
        <v>84</v>
      </c>
      <c r="J1808" s="80" t="s">
        <v>84</v>
      </c>
      <c r="K1808" s="80" t="s">
        <v>84</v>
      </c>
      <c r="L1808" s="80" t="s">
        <v>84</v>
      </c>
      <c r="M1808" s="80" t="s">
        <v>84</v>
      </c>
      <c r="N1808" s="80" t="s">
        <v>84</v>
      </c>
      <c r="O1808" s="80" t="s">
        <v>84</v>
      </c>
      <c r="P1808" s="80"/>
      <c r="Q1808" s="80" t="s">
        <v>84</v>
      </c>
      <c r="R1808" s="80" t="s">
        <v>84</v>
      </c>
    </row>
    <row r="1809" spans="1:18" ht="20" x14ac:dyDescent="0.2">
      <c r="A1809" s="80" t="s">
        <v>6164</v>
      </c>
      <c r="B1809" s="80" t="s">
        <v>6165</v>
      </c>
      <c r="C1809" s="80" t="s">
        <v>9680</v>
      </c>
      <c r="D1809" s="80" t="s">
        <v>84</v>
      </c>
      <c r="E1809" s="80" t="s">
        <v>84</v>
      </c>
      <c r="F1809" s="80"/>
      <c r="G1809" s="80" t="s">
        <v>84</v>
      </c>
      <c r="H1809" s="80" t="s">
        <v>9680</v>
      </c>
      <c r="I1809" s="80" t="s">
        <v>84</v>
      </c>
      <c r="J1809" s="80" t="s">
        <v>84</v>
      </c>
      <c r="K1809" s="80" t="s">
        <v>84</v>
      </c>
      <c r="L1809" s="80" t="s">
        <v>84</v>
      </c>
      <c r="M1809" s="80" t="s">
        <v>84</v>
      </c>
      <c r="N1809" s="80" t="s">
        <v>84</v>
      </c>
      <c r="O1809" s="80" t="s">
        <v>84</v>
      </c>
      <c r="P1809" s="80"/>
      <c r="Q1809" s="80" t="s">
        <v>84</v>
      </c>
      <c r="R1809" s="80" t="s">
        <v>84</v>
      </c>
    </row>
    <row r="1810" spans="1:18" ht="20" x14ac:dyDescent="0.2">
      <c r="A1810" s="80" t="s">
        <v>1156</v>
      </c>
      <c r="B1810" s="80" t="s">
        <v>1157</v>
      </c>
      <c r="C1810" s="80" t="s">
        <v>9680</v>
      </c>
      <c r="D1810" s="80" t="s">
        <v>84</v>
      </c>
      <c r="E1810" s="80" t="s">
        <v>9680</v>
      </c>
      <c r="F1810" s="80"/>
      <c r="G1810" s="80" t="s">
        <v>9680</v>
      </c>
      <c r="H1810" s="80" t="s">
        <v>9680</v>
      </c>
      <c r="I1810" s="80" t="s">
        <v>9680</v>
      </c>
      <c r="J1810" s="80" t="s">
        <v>84</v>
      </c>
      <c r="K1810" s="80" t="s">
        <v>84</v>
      </c>
      <c r="L1810" s="80" t="s">
        <v>9680</v>
      </c>
      <c r="M1810" s="80" t="s">
        <v>84</v>
      </c>
      <c r="N1810" s="80" t="s">
        <v>9680</v>
      </c>
      <c r="O1810" s="80" t="s">
        <v>9680</v>
      </c>
      <c r="P1810" s="80"/>
      <c r="Q1810" s="80" t="s">
        <v>84</v>
      </c>
      <c r="R1810" s="80" t="s">
        <v>9680</v>
      </c>
    </row>
    <row r="1811" spans="1:18" ht="20" x14ac:dyDescent="0.2">
      <c r="A1811" s="80" t="s">
        <v>6166</v>
      </c>
      <c r="B1811" s="80" t="s">
        <v>6167</v>
      </c>
      <c r="C1811" s="80" t="s">
        <v>9680</v>
      </c>
      <c r="D1811" s="80" t="s">
        <v>84</v>
      </c>
      <c r="E1811" s="80" t="s">
        <v>84</v>
      </c>
      <c r="F1811" s="80"/>
      <c r="G1811" s="80" t="s">
        <v>84</v>
      </c>
      <c r="H1811" s="80" t="s">
        <v>84</v>
      </c>
      <c r="I1811" s="80" t="s">
        <v>84</v>
      </c>
      <c r="J1811" s="80" t="s">
        <v>84</v>
      </c>
      <c r="K1811" s="80" t="s">
        <v>84</v>
      </c>
      <c r="L1811" s="80" t="s">
        <v>84</v>
      </c>
      <c r="M1811" s="80" t="s">
        <v>84</v>
      </c>
      <c r="N1811" s="80" t="s">
        <v>84</v>
      </c>
      <c r="O1811" s="80" t="s">
        <v>84</v>
      </c>
      <c r="P1811" s="80"/>
      <c r="Q1811" s="80" t="s">
        <v>84</v>
      </c>
      <c r="R1811" s="80" t="s">
        <v>84</v>
      </c>
    </row>
    <row r="1812" spans="1:18" ht="20" x14ac:dyDescent="0.2">
      <c r="A1812" s="80" t="s">
        <v>10313</v>
      </c>
      <c r="B1812" s="80" t="s">
        <v>6169</v>
      </c>
      <c r="C1812" s="80" t="s">
        <v>9680</v>
      </c>
      <c r="D1812" s="80" t="s">
        <v>84</v>
      </c>
      <c r="E1812" s="80" t="s">
        <v>84</v>
      </c>
      <c r="F1812" s="80"/>
      <c r="G1812" s="80" t="s">
        <v>84</v>
      </c>
      <c r="H1812" s="80" t="s">
        <v>84</v>
      </c>
      <c r="I1812" s="80" t="s">
        <v>84</v>
      </c>
      <c r="J1812" s="80" t="s">
        <v>84</v>
      </c>
      <c r="K1812" s="80" t="s">
        <v>84</v>
      </c>
      <c r="L1812" s="80" t="s">
        <v>84</v>
      </c>
      <c r="M1812" s="80" t="s">
        <v>84</v>
      </c>
      <c r="N1812" s="80" t="s">
        <v>84</v>
      </c>
      <c r="O1812" s="80" t="s">
        <v>84</v>
      </c>
      <c r="P1812" s="80"/>
      <c r="Q1812" s="80" t="s">
        <v>84</v>
      </c>
      <c r="R1812" s="80" t="s">
        <v>84</v>
      </c>
    </row>
    <row r="1813" spans="1:18" ht="20" x14ac:dyDescent="0.2">
      <c r="A1813" s="80" t="s">
        <v>6170</v>
      </c>
      <c r="B1813" s="80" t="s">
        <v>6171</v>
      </c>
      <c r="C1813" s="80" t="s">
        <v>9680</v>
      </c>
      <c r="D1813" s="80" t="s">
        <v>84</v>
      </c>
      <c r="E1813" s="80" t="s">
        <v>84</v>
      </c>
      <c r="F1813" s="80"/>
      <c r="G1813" s="80" t="s">
        <v>84</v>
      </c>
      <c r="H1813" s="80" t="s">
        <v>84</v>
      </c>
      <c r="I1813" s="80" t="s">
        <v>84</v>
      </c>
      <c r="J1813" s="80" t="s">
        <v>84</v>
      </c>
      <c r="K1813" s="80" t="s">
        <v>84</v>
      </c>
      <c r="L1813" s="80" t="s">
        <v>84</v>
      </c>
      <c r="M1813" s="80" t="s">
        <v>84</v>
      </c>
      <c r="N1813" s="80" t="s">
        <v>84</v>
      </c>
      <c r="O1813" s="80" t="s">
        <v>84</v>
      </c>
      <c r="P1813" s="80"/>
      <c r="Q1813" s="80" t="s">
        <v>84</v>
      </c>
      <c r="R1813" s="80" t="s">
        <v>84</v>
      </c>
    </row>
    <row r="1814" spans="1:18" ht="20" x14ac:dyDescent="0.2">
      <c r="A1814" s="80" t="s">
        <v>6209</v>
      </c>
      <c r="B1814" s="80" t="s">
        <v>6210</v>
      </c>
      <c r="C1814" s="80" t="s">
        <v>9680</v>
      </c>
      <c r="D1814" s="80" t="s">
        <v>84</v>
      </c>
      <c r="E1814" s="80" t="s">
        <v>84</v>
      </c>
      <c r="F1814" s="80"/>
      <c r="G1814" s="80" t="s">
        <v>84</v>
      </c>
      <c r="H1814" s="80" t="s">
        <v>84</v>
      </c>
      <c r="I1814" s="80" t="s">
        <v>84</v>
      </c>
      <c r="J1814" s="80" t="s">
        <v>84</v>
      </c>
      <c r="K1814" s="80" t="s">
        <v>84</v>
      </c>
      <c r="L1814" s="80" t="s">
        <v>84</v>
      </c>
      <c r="M1814" s="80" t="s">
        <v>84</v>
      </c>
      <c r="N1814" s="80" t="s">
        <v>84</v>
      </c>
      <c r="O1814" s="80" t="s">
        <v>84</v>
      </c>
      <c r="P1814" s="80"/>
      <c r="Q1814" s="80" t="s">
        <v>84</v>
      </c>
      <c r="R1814" s="80" t="s">
        <v>84</v>
      </c>
    </row>
    <row r="1815" spans="1:18" ht="20" x14ac:dyDescent="0.2">
      <c r="A1815" s="80" t="s">
        <v>6172</v>
      </c>
      <c r="B1815" s="80" t="s">
        <v>6173</v>
      </c>
      <c r="C1815" s="80" t="s">
        <v>84</v>
      </c>
      <c r="D1815" s="80" t="s">
        <v>84</v>
      </c>
      <c r="E1815" s="80" t="s">
        <v>84</v>
      </c>
      <c r="F1815" s="80"/>
      <c r="G1815" s="80" t="s">
        <v>84</v>
      </c>
      <c r="H1815" s="80" t="s">
        <v>84</v>
      </c>
      <c r="I1815" s="80" t="s">
        <v>84</v>
      </c>
      <c r="J1815" s="80" t="s">
        <v>84</v>
      </c>
      <c r="K1815" s="80" t="s">
        <v>84</v>
      </c>
      <c r="L1815" s="80" t="s">
        <v>84</v>
      </c>
      <c r="M1815" s="80" t="s">
        <v>84</v>
      </c>
      <c r="N1815" s="80" t="s">
        <v>84</v>
      </c>
      <c r="O1815" s="80" t="s">
        <v>84</v>
      </c>
      <c r="P1815" s="80"/>
      <c r="Q1815" s="80" t="s">
        <v>84</v>
      </c>
      <c r="R1815" s="80" t="s">
        <v>84</v>
      </c>
    </row>
    <row r="1816" spans="1:18" ht="20" x14ac:dyDescent="0.2">
      <c r="A1816" s="80" t="s">
        <v>2260</v>
      </c>
      <c r="B1816" s="80" t="s">
        <v>2261</v>
      </c>
      <c r="C1816" s="80" t="s">
        <v>9680</v>
      </c>
      <c r="D1816" s="80" t="s">
        <v>9680</v>
      </c>
      <c r="E1816" s="80" t="s">
        <v>9680</v>
      </c>
      <c r="F1816" s="80"/>
      <c r="G1816" s="80" t="s">
        <v>9680</v>
      </c>
      <c r="H1816" s="80" t="s">
        <v>9680</v>
      </c>
      <c r="I1816" s="80" t="s">
        <v>9680</v>
      </c>
      <c r="J1816" s="80" t="s">
        <v>84</v>
      </c>
      <c r="K1816" s="80" t="s">
        <v>9680</v>
      </c>
      <c r="L1816" s="80" t="s">
        <v>9680</v>
      </c>
      <c r="M1816" s="80" t="s">
        <v>84</v>
      </c>
      <c r="N1816" s="80" t="s">
        <v>9680</v>
      </c>
      <c r="O1816" s="80" t="s">
        <v>84</v>
      </c>
      <c r="P1816" s="80"/>
      <c r="Q1816" s="80" t="s">
        <v>84</v>
      </c>
      <c r="R1816" s="80" t="s">
        <v>84</v>
      </c>
    </row>
    <row r="1817" spans="1:18" ht="20" x14ac:dyDescent="0.2">
      <c r="A1817" s="80" t="s">
        <v>2264</v>
      </c>
      <c r="B1817" s="80" t="s">
        <v>10314</v>
      </c>
      <c r="C1817" s="80" t="s">
        <v>9680</v>
      </c>
      <c r="D1817" s="80" t="s">
        <v>84</v>
      </c>
      <c r="E1817" s="80" t="s">
        <v>84</v>
      </c>
      <c r="F1817" s="80"/>
      <c r="G1817" s="80" t="s">
        <v>84</v>
      </c>
      <c r="H1817" s="80" t="s">
        <v>9680</v>
      </c>
      <c r="I1817" s="80" t="s">
        <v>84</v>
      </c>
      <c r="J1817" s="80" t="s">
        <v>84</v>
      </c>
      <c r="K1817" s="80" t="s">
        <v>84</v>
      </c>
      <c r="L1817" s="80" t="s">
        <v>84</v>
      </c>
      <c r="M1817" s="80" t="s">
        <v>84</v>
      </c>
      <c r="N1817" s="80" t="s">
        <v>84</v>
      </c>
      <c r="O1817" s="80" t="s">
        <v>84</v>
      </c>
      <c r="P1817" s="80"/>
      <c r="Q1817" s="80" t="s">
        <v>84</v>
      </c>
      <c r="R1817" s="80" t="s">
        <v>84</v>
      </c>
    </row>
    <row r="1818" spans="1:18" ht="20" x14ac:dyDescent="0.2">
      <c r="A1818" s="80" t="s">
        <v>2264</v>
      </c>
      <c r="B1818" s="80" t="s">
        <v>2265</v>
      </c>
      <c r="C1818" s="80" t="s">
        <v>9680</v>
      </c>
      <c r="D1818" s="80" t="s">
        <v>84</v>
      </c>
      <c r="E1818" s="80" t="s">
        <v>84</v>
      </c>
      <c r="F1818" s="80"/>
      <c r="G1818" s="80" t="s">
        <v>84</v>
      </c>
      <c r="H1818" s="80" t="s">
        <v>9680</v>
      </c>
      <c r="I1818" s="80" t="s">
        <v>84</v>
      </c>
      <c r="J1818" s="80" t="s">
        <v>84</v>
      </c>
      <c r="K1818" s="80" t="s">
        <v>84</v>
      </c>
      <c r="L1818" s="80" t="s">
        <v>84</v>
      </c>
      <c r="M1818" s="80" t="s">
        <v>84</v>
      </c>
      <c r="N1818" s="80" t="s">
        <v>84</v>
      </c>
      <c r="O1818" s="80" t="s">
        <v>84</v>
      </c>
      <c r="P1818" s="80"/>
      <c r="Q1818" s="80" t="s">
        <v>84</v>
      </c>
      <c r="R1818" s="80" t="s">
        <v>84</v>
      </c>
    </row>
    <row r="1819" spans="1:18" ht="20" x14ac:dyDescent="0.2">
      <c r="A1819" s="80" t="s">
        <v>6174</v>
      </c>
      <c r="B1819" s="80" t="s">
        <v>6175</v>
      </c>
      <c r="C1819" s="80" t="s">
        <v>9680</v>
      </c>
      <c r="D1819" s="80" t="s">
        <v>9680</v>
      </c>
      <c r="E1819" s="80" t="s">
        <v>9680</v>
      </c>
      <c r="F1819" s="80"/>
      <c r="G1819" s="80" t="s">
        <v>9680</v>
      </c>
      <c r="H1819" s="80" t="s">
        <v>9680</v>
      </c>
      <c r="I1819" s="80" t="s">
        <v>9680</v>
      </c>
      <c r="J1819" s="80" t="s">
        <v>84</v>
      </c>
      <c r="K1819" s="80" t="s">
        <v>9680</v>
      </c>
      <c r="L1819" s="80" t="s">
        <v>9680</v>
      </c>
      <c r="M1819" s="80" t="s">
        <v>84</v>
      </c>
      <c r="N1819" s="80" t="s">
        <v>9680</v>
      </c>
      <c r="O1819" s="80" t="s">
        <v>84</v>
      </c>
      <c r="P1819" s="80"/>
      <c r="Q1819" s="80" t="s">
        <v>84</v>
      </c>
      <c r="R1819" s="80" t="s">
        <v>84</v>
      </c>
    </row>
    <row r="1820" spans="1:18" ht="20" x14ac:dyDescent="0.2">
      <c r="A1820" s="80" t="s">
        <v>5747</v>
      </c>
      <c r="B1820" s="80" t="s">
        <v>5748</v>
      </c>
      <c r="C1820" s="80" t="s">
        <v>9680</v>
      </c>
      <c r="D1820" s="80" t="s">
        <v>9680</v>
      </c>
      <c r="E1820" s="80" t="s">
        <v>9680</v>
      </c>
      <c r="F1820" s="80"/>
      <c r="G1820" s="80" t="s">
        <v>9680</v>
      </c>
      <c r="H1820" s="80" t="s">
        <v>9680</v>
      </c>
      <c r="I1820" s="80" t="s">
        <v>9680</v>
      </c>
      <c r="J1820" s="80" t="s">
        <v>84</v>
      </c>
      <c r="K1820" s="80" t="s">
        <v>9680</v>
      </c>
      <c r="L1820" s="80" t="s">
        <v>9680</v>
      </c>
      <c r="M1820" s="80" t="s">
        <v>84</v>
      </c>
      <c r="N1820" s="80" t="s">
        <v>9680</v>
      </c>
      <c r="O1820" s="80" t="s">
        <v>84</v>
      </c>
      <c r="P1820" s="80"/>
      <c r="Q1820" s="80" t="s">
        <v>84</v>
      </c>
      <c r="R1820" s="80" t="s">
        <v>84</v>
      </c>
    </row>
    <row r="1821" spans="1:18" ht="20" x14ac:dyDescent="0.2">
      <c r="A1821" s="80" t="s">
        <v>5747</v>
      </c>
      <c r="B1821" s="80" t="s">
        <v>6176</v>
      </c>
      <c r="C1821" s="80" t="s">
        <v>9680</v>
      </c>
      <c r="D1821" s="80" t="s">
        <v>9680</v>
      </c>
      <c r="E1821" s="80" t="s">
        <v>9680</v>
      </c>
      <c r="F1821" s="80"/>
      <c r="G1821" s="80" t="s">
        <v>9680</v>
      </c>
      <c r="H1821" s="80" t="s">
        <v>9680</v>
      </c>
      <c r="I1821" s="80" t="s">
        <v>9680</v>
      </c>
      <c r="J1821" s="80" t="s">
        <v>84</v>
      </c>
      <c r="K1821" s="80" t="s">
        <v>9680</v>
      </c>
      <c r="L1821" s="80" t="s">
        <v>9680</v>
      </c>
      <c r="M1821" s="80" t="s">
        <v>84</v>
      </c>
      <c r="N1821" s="80" t="s">
        <v>9680</v>
      </c>
      <c r="O1821" s="80" t="s">
        <v>84</v>
      </c>
      <c r="P1821" s="80"/>
      <c r="Q1821" s="80" t="s">
        <v>84</v>
      </c>
      <c r="R1821" s="80" t="s">
        <v>84</v>
      </c>
    </row>
    <row r="1822" spans="1:18" ht="20" x14ac:dyDescent="0.2">
      <c r="A1822" s="80" t="s">
        <v>2137</v>
      </c>
      <c r="B1822" s="80" t="s">
        <v>2138</v>
      </c>
      <c r="C1822" s="80" t="s">
        <v>9680</v>
      </c>
      <c r="D1822" s="80" t="s">
        <v>9680</v>
      </c>
      <c r="E1822" s="80" t="s">
        <v>9680</v>
      </c>
      <c r="F1822" s="80"/>
      <c r="G1822" s="80" t="s">
        <v>9680</v>
      </c>
      <c r="H1822" s="80" t="s">
        <v>9680</v>
      </c>
      <c r="I1822" s="80" t="s">
        <v>9680</v>
      </c>
      <c r="J1822" s="80" t="s">
        <v>9680</v>
      </c>
      <c r="K1822" s="80" t="s">
        <v>9680</v>
      </c>
      <c r="L1822" s="80" t="s">
        <v>9680</v>
      </c>
      <c r="M1822" s="80" t="s">
        <v>9680</v>
      </c>
      <c r="N1822" s="80" t="s">
        <v>9680</v>
      </c>
      <c r="O1822" s="80" t="s">
        <v>9680</v>
      </c>
      <c r="P1822" s="80"/>
      <c r="Q1822" s="80" t="s">
        <v>9680</v>
      </c>
      <c r="R1822" s="80" t="s">
        <v>9680</v>
      </c>
    </row>
    <row r="1823" spans="1:18" ht="20" x14ac:dyDescent="0.2">
      <c r="A1823" s="80" t="s">
        <v>2139</v>
      </c>
      <c r="B1823" s="80" t="s">
        <v>2140</v>
      </c>
      <c r="C1823" s="80" t="s">
        <v>9680</v>
      </c>
      <c r="D1823" s="80" t="s">
        <v>9680</v>
      </c>
      <c r="E1823" s="80" t="s">
        <v>84</v>
      </c>
      <c r="F1823" s="80"/>
      <c r="G1823" s="80" t="s">
        <v>9680</v>
      </c>
      <c r="H1823" s="80" t="s">
        <v>84</v>
      </c>
      <c r="I1823" s="80" t="s">
        <v>9680</v>
      </c>
      <c r="J1823" s="80" t="s">
        <v>84</v>
      </c>
      <c r="K1823" s="80" t="s">
        <v>9680</v>
      </c>
      <c r="L1823" s="80" t="s">
        <v>9680</v>
      </c>
      <c r="M1823" s="80" t="s">
        <v>9680</v>
      </c>
      <c r="N1823" s="80" t="s">
        <v>84</v>
      </c>
      <c r="O1823" s="80" t="s">
        <v>9680</v>
      </c>
      <c r="P1823" s="80"/>
      <c r="Q1823" s="80" t="s">
        <v>9680</v>
      </c>
      <c r="R1823" s="80" t="s">
        <v>9680</v>
      </c>
    </row>
    <row r="1824" spans="1:18" ht="20" x14ac:dyDescent="0.2">
      <c r="A1824" s="80" t="s">
        <v>2278</v>
      </c>
      <c r="B1824" s="80" t="s">
        <v>10315</v>
      </c>
      <c r="C1824" s="80" t="s">
        <v>84</v>
      </c>
      <c r="D1824" s="80" t="s">
        <v>84</v>
      </c>
      <c r="E1824" s="80" t="s">
        <v>84</v>
      </c>
      <c r="F1824" s="80"/>
      <c r="G1824" s="80" t="s">
        <v>84</v>
      </c>
      <c r="H1824" s="80" t="s">
        <v>84</v>
      </c>
      <c r="I1824" s="80" t="s">
        <v>84</v>
      </c>
      <c r="J1824" s="80" t="s">
        <v>84</v>
      </c>
      <c r="K1824" s="80" t="s">
        <v>84</v>
      </c>
      <c r="L1824" s="80" t="s">
        <v>84</v>
      </c>
      <c r="M1824" s="80" t="s">
        <v>84</v>
      </c>
      <c r="N1824" s="80" t="s">
        <v>84</v>
      </c>
      <c r="O1824" s="80" t="s">
        <v>84</v>
      </c>
      <c r="P1824" s="80"/>
      <c r="Q1824" s="80" t="s">
        <v>84</v>
      </c>
      <c r="R1824" s="80" t="s">
        <v>84</v>
      </c>
    </row>
    <row r="1825" spans="1:18" ht="20" x14ac:dyDescent="0.2">
      <c r="A1825" s="80" t="s">
        <v>2278</v>
      </c>
      <c r="B1825" s="80" t="s">
        <v>2279</v>
      </c>
      <c r="C1825" s="80" t="s">
        <v>84</v>
      </c>
      <c r="D1825" s="80" t="s">
        <v>84</v>
      </c>
      <c r="E1825" s="80" t="s">
        <v>84</v>
      </c>
      <c r="F1825" s="80"/>
      <c r="G1825" s="80" t="s">
        <v>84</v>
      </c>
      <c r="H1825" s="80" t="s">
        <v>84</v>
      </c>
      <c r="I1825" s="80" t="s">
        <v>84</v>
      </c>
      <c r="J1825" s="80" t="s">
        <v>84</v>
      </c>
      <c r="K1825" s="80" t="s">
        <v>84</v>
      </c>
      <c r="L1825" s="80" t="s">
        <v>84</v>
      </c>
      <c r="M1825" s="80" t="s">
        <v>84</v>
      </c>
      <c r="N1825" s="80" t="s">
        <v>84</v>
      </c>
      <c r="O1825" s="80" t="s">
        <v>84</v>
      </c>
      <c r="P1825" s="80"/>
      <c r="Q1825" s="80" t="s">
        <v>84</v>
      </c>
      <c r="R1825" s="80" t="s">
        <v>84</v>
      </c>
    </row>
    <row r="1826" spans="1:18" ht="20" x14ac:dyDescent="0.2">
      <c r="A1826" s="80" t="s">
        <v>2276</v>
      </c>
      <c r="B1826" s="80" t="s">
        <v>2277</v>
      </c>
      <c r="C1826" s="80" t="s">
        <v>84</v>
      </c>
      <c r="D1826" s="80" t="s">
        <v>84</v>
      </c>
      <c r="E1826" s="80" t="s">
        <v>84</v>
      </c>
      <c r="F1826" s="80"/>
      <c r="G1826" s="80" t="s">
        <v>84</v>
      </c>
      <c r="H1826" s="80" t="s">
        <v>84</v>
      </c>
      <c r="I1826" s="80" t="s">
        <v>84</v>
      </c>
      <c r="J1826" s="80" t="s">
        <v>84</v>
      </c>
      <c r="K1826" s="80" t="s">
        <v>84</v>
      </c>
      <c r="L1826" s="80" t="s">
        <v>84</v>
      </c>
      <c r="M1826" s="80" t="s">
        <v>84</v>
      </c>
      <c r="N1826" s="80" t="s">
        <v>84</v>
      </c>
      <c r="O1826" s="80" t="s">
        <v>84</v>
      </c>
      <c r="P1826" s="80"/>
      <c r="Q1826" s="80" t="s">
        <v>84</v>
      </c>
      <c r="R1826" s="80" t="s">
        <v>84</v>
      </c>
    </row>
    <row r="1827" spans="1:18" ht="20" x14ac:dyDescent="0.2">
      <c r="A1827" s="80" t="s">
        <v>2141</v>
      </c>
      <c r="B1827" s="80" t="s">
        <v>2142</v>
      </c>
      <c r="C1827" s="80" t="s">
        <v>9680</v>
      </c>
      <c r="D1827" s="80" t="s">
        <v>9680</v>
      </c>
      <c r="E1827" s="80" t="s">
        <v>9680</v>
      </c>
      <c r="F1827" s="80"/>
      <c r="G1827" s="80" t="s">
        <v>9680</v>
      </c>
      <c r="H1827" s="80" t="s">
        <v>9680</v>
      </c>
      <c r="I1827" s="80" t="s">
        <v>9680</v>
      </c>
      <c r="J1827" s="80" t="s">
        <v>84</v>
      </c>
      <c r="K1827" s="80" t="s">
        <v>9680</v>
      </c>
      <c r="L1827" s="80" t="s">
        <v>9680</v>
      </c>
      <c r="M1827" s="80" t="s">
        <v>84</v>
      </c>
      <c r="N1827" s="80" t="s">
        <v>9680</v>
      </c>
      <c r="O1827" s="80" t="s">
        <v>84</v>
      </c>
      <c r="P1827" s="80"/>
      <c r="Q1827" s="80" t="s">
        <v>84</v>
      </c>
      <c r="R1827" s="80" t="s">
        <v>84</v>
      </c>
    </row>
    <row r="1828" spans="1:18" ht="20" x14ac:dyDescent="0.2">
      <c r="A1828" s="80" t="s">
        <v>2274</v>
      </c>
      <c r="B1828" s="80" t="s">
        <v>10316</v>
      </c>
      <c r="C1828" s="80" t="s">
        <v>9680</v>
      </c>
      <c r="D1828" s="80" t="s">
        <v>84</v>
      </c>
      <c r="E1828" s="80" t="s">
        <v>84</v>
      </c>
      <c r="F1828" s="80"/>
      <c r="G1828" s="80" t="s">
        <v>84</v>
      </c>
      <c r="H1828" s="80" t="s">
        <v>84</v>
      </c>
      <c r="I1828" s="80" t="s">
        <v>84</v>
      </c>
      <c r="J1828" s="80" t="s">
        <v>84</v>
      </c>
      <c r="K1828" s="80" t="s">
        <v>84</v>
      </c>
      <c r="L1828" s="80" t="s">
        <v>84</v>
      </c>
      <c r="M1828" s="80" t="s">
        <v>84</v>
      </c>
      <c r="N1828" s="80" t="s">
        <v>84</v>
      </c>
      <c r="O1828" s="80" t="s">
        <v>84</v>
      </c>
      <c r="P1828" s="80"/>
      <c r="Q1828" s="80" t="s">
        <v>84</v>
      </c>
      <c r="R1828" s="80" t="s">
        <v>84</v>
      </c>
    </row>
    <row r="1829" spans="1:18" ht="20" x14ac:dyDescent="0.2">
      <c r="A1829" s="80" t="s">
        <v>2274</v>
      </c>
      <c r="B1829" s="80" t="s">
        <v>2275</v>
      </c>
      <c r="C1829" s="80" t="s">
        <v>9680</v>
      </c>
      <c r="D1829" s="80" t="s">
        <v>84</v>
      </c>
      <c r="E1829" s="80" t="s">
        <v>84</v>
      </c>
      <c r="F1829" s="80"/>
      <c r="G1829" s="80" t="s">
        <v>84</v>
      </c>
      <c r="H1829" s="80" t="s">
        <v>84</v>
      </c>
      <c r="I1829" s="80" t="s">
        <v>84</v>
      </c>
      <c r="J1829" s="80" t="s">
        <v>84</v>
      </c>
      <c r="K1829" s="80" t="s">
        <v>84</v>
      </c>
      <c r="L1829" s="80" t="s">
        <v>84</v>
      </c>
      <c r="M1829" s="80" t="s">
        <v>84</v>
      </c>
      <c r="N1829" s="80" t="s">
        <v>84</v>
      </c>
      <c r="O1829" s="80" t="s">
        <v>84</v>
      </c>
      <c r="P1829" s="80"/>
      <c r="Q1829" s="80" t="s">
        <v>84</v>
      </c>
      <c r="R1829" s="80" t="s">
        <v>84</v>
      </c>
    </row>
    <row r="1830" spans="1:18" ht="20" x14ac:dyDescent="0.2">
      <c r="A1830" s="80" t="s">
        <v>2146</v>
      </c>
      <c r="B1830" s="80" t="s">
        <v>2147</v>
      </c>
      <c r="C1830" s="80" t="s">
        <v>9680</v>
      </c>
      <c r="D1830" s="80" t="s">
        <v>84</v>
      </c>
      <c r="E1830" s="80" t="s">
        <v>84</v>
      </c>
      <c r="F1830" s="80"/>
      <c r="G1830" s="80" t="s">
        <v>84</v>
      </c>
      <c r="H1830" s="80" t="s">
        <v>9680</v>
      </c>
      <c r="I1830" s="80" t="s">
        <v>84</v>
      </c>
      <c r="J1830" s="80" t="s">
        <v>84</v>
      </c>
      <c r="K1830" s="80" t="s">
        <v>84</v>
      </c>
      <c r="L1830" s="80" t="s">
        <v>84</v>
      </c>
      <c r="M1830" s="80" t="s">
        <v>84</v>
      </c>
      <c r="N1830" s="80" t="s">
        <v>84</v>
      </c>
      <c r="O1830" s="80" t="s">
        <v>84</v>
      </c>
      <c r="P1830" s="80"/>
      <c r="Q1830" s="80" t="s">
        <v>84</v>
      </c>
      <c r="R1830" s="80" t="s">
        <v>84</v>
      </c>
    </row>
    <row r="1831" spans="1:18" ht="20" x14ac:dyDescent="0.2">
      <c r="A1831" s="80" t="s">
        <v>2148</v>
      </c>
      <c r="B1831" s="80" t="s">
        <v>2149</v>
      </c>
      <c r="C1831" s="80" t="s">
        <v>9680</v>
      </c>
      <c r="D1831" s="80" t="s">
        <v>84</v>
      </c>
      <c r="E1831" s="80" t="s">
        <v>84</v>
      </c>
      <c r="F1831" s="80"/>
      <c r="G1831" s="80" t="s">
        <v>84</v>
      </c>
      <c r="H1831" s="80" t="s">
        <v>9680</v>
      </c>
      <c r="I1831" s="80" t="s">
        <v>84</v>
      </c>
      <c r="J1831" s="80" t="s">
        <v>84</v>
      </c>
      <c r="K1831" s="80" t="s">
        <v>84</v>
      </c>
      <c r="L1831" s="80" t="s">
        <v>84</v>
      </c>
      <c r="M1831" s="80" t="s">
        <v>84</v>
      </c>
      <c r="N1831" s="80" t="s">
        <v>84</v>
      </c>
      <c r="O1831" s="80" t="s">
        <v>84</v>
      </c>
      <c r="P1831" s="80"/>
      <c r="Q1831" s="80" t="s">
        <v>84</v>
      </c>
      <c r="R1831" s="80" t="s">
        <v>84</v>
      </c>
    </row>
    <row r="1832" spans="1:18" ht="20" x14ac:dyDescent="0.2">
      <c r="A1832" s="80" t="s">
        <v>2150</v>
      </c>
      <c r="B1832" s="80" t="s">
        <v>2151</v>
      </c>
      <c r="C1832" s="80" t="s">
        <v>9680</v>
      </c>
      <c r="D1832" s="80" t="s">
        <v>84</v>
      </c>
      <c r="E1832" s="80" t="s">
        <v>84</v>
      </c>
      <c r="F1832" s="80"/>
      <c r="G1832" s="80" t="s">
        <v>84</v>
      </c>
      <c r="H1832" s="80" t="s">
        <v>9680</v>
      </c>
      <c r="I1832" s="80" t="s">
        <v>84</v>
      </c>
      <c r="J1832" s="80" t="s">
        <v>84</v>
      </c>
      <c r="K1832" s="80" t="s">
        <v>84</v>
      </c>
      <c r="L1832" s="80" t="s">
        <v>84</v>
      </c>
      <c r="M1832" s="80" t="s">
        <v>84</v>
      </c>
      <c r="N1832" s="80" t="s">
        <v>84</v>
      </c>
      <c r="O1832" s="80" t="s">
        <v>84</v>
      </c>
      <c r="P1832" s="80"/>
      <c r="Q1832" s="80" t="s">
        <v>84</v>
      </c>
      <c r="R1832" s="80" t="s">
        <v>84</v>
      </c>
    </row>
    <row r="1833" spans="1:18" ht="20" x14ac:dyDescent="0.2">
      <c r="A1833" s="80" t="s">
        <v>6177</v>
      </c>
      <c r="B1833" s="80" t="s">
        <v>6178</v>
      </c>
      <c r="C1833" s="80" t="s">
        <v>9680</v>
      </c>
      <c r="D1833" s="80" t="s">
        <v>84</v>
      </c>
      <c r="E1833" s="80" t="s">
        <v>84</v>
      </c>
      <c r="F1833" s="80"/>
      <c r="G1833" s="80" t="s">
        <v>84</v>
      </c>
      <c r="H1833" s="80" t="s">
        <v>9680</v>
      </c>
      <c r="I1833" s="80" t="s">
        <v>84</v>
      </c>
      <c r="J1833" s="80" t="s">
        <v>84</v>
      </c>
      <c r="K1833" s="80" t="s">
        <v>84</v>
      </c>
      <c r="L1833" s="80" t="s">
        <v>84</v>
      </c>
      <c r="M1833" s="80" t="s">
        <v>84</v>
      </c>
      <c r="N1833" s="80" t="s">
        <v>84</v>
      </c>
      <c r="O1833" s="80" t="s">
        <v>84</v>
      </c>
      <c r="P1833" s="80"/>
      <c r="Q1833" s="80" t="s">
        <v>84</v>
      </c>
      <c r="R1833" s="80" t="s">
        <v>84</v>
      </c>
    </row>
    <row r="1834" spans="1:18" ht="20" x14ac:dyDescent="0.2">
      <c r="A1834" s="80" t="s">
        <v>2128</v>
      </c>
      <c r="B1834" s="80" t="s">
        <v>2129</v>
      </c>
      <c r="C1834" s="80" t="s">
        <v>9680</v>
      </c>
      <c r="D1834" s="80" t="s">
        <v>84</v>
      </c>
      <c r="E1834" s="80" t="s">
        <v>84</v>
      </c>
      <c r="F1834" s="80"/>
      <c r="G1834" s="80" t="s">
        <v>84</v>
      </c>
      <c r="H1834" s="80" t="s">
        <v>84</v>
      </c>
      <c r="I1834" s="80" t="s">
        <v>84</v>
      </c>
      <c r="J1834" s="80" t="s">
        <v>84</v>
      </c>
      <c r="K1834" s="80" t="s">
        <v>84</v>
      </c>
      <c r="L1834" s="80" t="s">
        <v>84</v>
      </c>
      <c r="M1834" s="80" t="s">
        <v>84</v>
      </c>
      <c r="N1834" s="80" t="s">
        <v>84</v>
      </c>
      <c r="O1834" s="80" t="s">
        <v>84</v>
      </c>
      <c r="P1834" s="80"/>
      <c r="Q1834" s="80" t="s">
        <v>84</v>
      </c>
      <c r="R1834" s="80" t="s">
        <v>84</v>
      </c>
    </row>
    <row r="1835" spans="1:18" ht="20" x14ac:dyDescent="0.2">
      <c r="A1835" s="80" t="s">
        <v>2128</v>
      </c>
      <c r="B1835" s="80" t="s">
        <v>2280</v>
      </c>
      <c r="C1835" s="80" t="s">
        <v>9680</v>
      </c>
      <c r="D1835" s="80" t="s">
        <v>84</v>
      </c>
      <c r="E1835" s="80" t="s">
        <v>84</v>
      </c>
      <c r="F1835" s="80"/>
      <c r="G1835" s="80" t="s">
        <v>84</v>
      </c>
      <c r="H1835" s="80" t="s">
        <v>84</v>
      </c>
      <c r="I1835" s="80" t="s">
        <v>84</v>
      </c>
      <c r="J1835" s="80" t="s">
        <v>84</v>
      </c>
      <c r="K1835" s="80" t="s">
        <v>84</v>
      </c>
      <c r="L1835" s="80" t="s">
        <v>84</v>
      </c>
      <c r="M1835" s="80" t="s">
        <v>84</v>
      </c>
      <c r="N1835" s="80" t="s">
        <v>84</v>
      </c>
      <c r="O1835" s="80" t="s">
        <v>84</v>
      </c>
      <c r="P1835" s="80"/>
      <c r="Q1835" s="80" t="s">
        <v>84</v>
      </c>
      <c r="R1835" s="80" t="s">
        <v>84</v>
      </c>
    </row>
    <row r="1836" spans="1:18" ht="20" x14ac:dyDescent="0.2">
      <c r="A1836" s="80" t="s">
        <v>6179</v>
      </c>
      <c r="B1836" s="80" t="s">
        <v>6180</v>
      </c>
      <c r="C1836" s="80" t="s">
        <v>9680</v>
      </c>
      <c r="D1836" s="80" t="s">
        <v>84</v>
      </c>
      <c r="E1836" s="80" t="s">
        <v>84</v>
      </c>
      <c r="F1836" s="80"/>
      <c r="G1836" s="80" t="s">
        <v>84</v>
      </c>
      <c r="H1836" s="80" t="s">
        <v>84</v>
      </c>
      <c r="I1836" s="80" t="s">
        <v>84</v>
      </c>
      <c r="J1836" s="80" t="s">
        <v>84</v>
      </c>
      <c r="K1836" s="80" t="s">
        <v>84</v>
      </c>
      <c r="L1836" s="80" t="s">
        <v>84</v>
      </c>
      <c r="M1836" s="80" t="s">
        <v>84</v>
      </c>
      <c r="N1836" s="80" t="s">
        <v>84</v>
      </c>
      <c r="O1836" s="80" t="s">
        <v>84</v>
      </c>
      <c r="P1836" s="80"/>
      <c r="Q1836" s="80" t="s">
        <v>84</v>
      </c>
      <c r="R1836" s="80" t="s">
        <v>84</v>
      </c>
    </row>
    <row r="1837" spans="1:18" ht="20" x14ac:dyDescent="0.2">
      <c r="A1837" s="80" t="s">
        <v>1093</v>
      </c>
      <c r="B1837" s="80" t="s">
        <v>10317</v>
      </c>
      <c r="C1837" s="80" t="s">
        <v>9680</v>
      </c>
      <c r="D1837" s="80" t="s">
        <v>9680</v>
      </c>
      <c r="E1837" s="80" t="s">
        <v>9680</v>
      </c>
      <c r="F1837" s="80"/>
      <c r="G1837" s="80" t="s">
        <v>9680</v>
      </c>
      <c r="H1837" s="80" t="s">
        <v>9680</v>
      </c>
      <c r="I1837" s="80" t="s">
        <v>9680</v>
      </c>
      <c r="J1837" s="80" t="s">
        <v>9680</v>
      </c>
      <c r="K1837" s="80" t="s">
        <v>9680</v>
      </c>
      <c r="L1837" s="80" t="s">
        <v>9680</v>
      </c>
      <c r="M1837" s="80" t="s">
        <v>9680</v>
      </c>
      <c r="N1837" s="80" t="s">
        <v>9680</v>
      </c>
      <c r="O1837" s="80" t="s">
        <v>9680</v>
      </c>
      <c r="P1837" s="80"/>
      <c r="Q1837" s="80" t="s">
        <v>9680</v>
      </c>
      <c r="R1837" s="80" t="s">
        <v>9680</v>
      </c>
    </row>
    <row r="1838" spans="1:18" ht="20" x14ac:dyDescent="0.2">
      <c r="A1838" s="80" t="s">
        <v>1093</v>
      </c>
      <c r="B1838" s="80" t="s">
        <v>1094</v>
      </c>
      <c r="C1838" s="80" t="s">
        <v>9680</v>
      </c>
      <c r="D1838" s="80" t="s">
        <v>9680</v>
      </c>
      <c r="E1838" s="80" t="s">
        <v>9680</v>
      </c>
      <c r="F1838" s="80"/>
      <c r="G1838" s="80" t="s">
        <v>9680</v>
      </c>
      <c r="H1838" s="80" t="s">
        <v>9680</v>
      </c>
      <c r="I1838" s="80" t="s">
        <v>9680</v>
      </c>
      <c r="J1838" s="80" t="s">
        <v>9680</v>
      </c>
      <c r="K1838" s="80" t="s">
        <v>9680</v>
      </c>
      <c r="L1838" s="80" t="s">
        <v>9680</v>
      </c>
      <c r="M1838" s="80" t="s">
        <v>9680</v>
      </c>
      <c r="N1838" s="80" t="s">
        <v>9680</v>
      </c>
      <c r="O1838" s="80" t="s">
        <v>9680</v>
      </c>
      <c r="P1838" s="80"/>
      <c r="Q1838" s="80" t="s">
        <v>9680</v>
      </c>
      <c r="R1838" s="80" t="s">
        <v>9680</v>
      </c>
    </row>
    <row r="1839" spans="1:18" ht="20" x14ac:dyDescent="0.2">
      <c r="A1839" s="80" t="s">
        <v>10318</v>
      </c>
      <c r="B1839" s="80" t="s">
        <v>10319</v>
      </c>
      <c r="C1839" s="80" t="s">
        <v>9680</v>
      </c>
      <c r="D1839" s="80" t="s">
        <v>9680</v>
      </c>
      <c r="E1839" s="80" t="s">
        <v>9680</v>
      </c>
      <c r="F1839" s="80"/>
      <c r="G1839" s="80" t="s">
        <v>9680</v>
      </c>
      <c r="H1839" s="80" t="s">
        <v>9680</v>
      </c>
      <c r="I1839" s="80" t="s">
        <v>9680</v>
      </c>
      <c r="J1839" s="80" t="s">
        <v>9680</v>
      </c>
      <c r="K1839" s="80" t="s">
        <v>9680</v>
      </c>
      <c r="L1839" s="80" t="s">
        <v>9680</v>
      </c>
      <c r="M1839" s="80" t="s">
        <v>9680</v>
      </c>
      <c r="N1839" s="80" t="s">
        <v>9680</v>
      </c>
      <c r="O1839" s="80" t="s">
        <v>9680</v>
      </c>
      <c r="P1839" s="80"/>
      <c r="Q1839" s="80" t="s">
        <v>9680</v>
      </c>
      <c r="R1839" s="80" t="s">
        <v>9680</v>
      </c>
    </row>
    <row r="1840" spans="1:18" ht="20" x14ac:dyDescent="0.2">
      <c r="A1840" s="80" t="s">
        <v>1158</v>
      </c>
      <c r="B1840" s="80" t="s">
        <v>1159</v>
      </c>
      <c r="C1840" s="80" t="s">
        <v>9680</v>
      </c>
      <c r="D1840" s="80" t="s">
        <v>9680</v>
      </c>
      <c r="E1840" s="80" t="s">
        <v>9680</v>
      </c>
      <c r="F1840" s="80"/>
      <c r="G1840" s="80" t="s">
        <v>9680</v>
      </c>
      <c r="H1840" s="80" t="s">
        <v>9680</v>
      </c>
      <c r="I1840" s="80" t="s">
        <v>9680</v>
      </c>
      <c r="J1840" s="80" t="s">
        <v>9680</v>
      </c>
      <c r="K1840" s="80" t="s">
        <v>9680</v>
      </c>
      <c r="L1840" s="80" t="s">
        <v>9680</v>
      </c>
      <c r="M1840" s="80" t="s">
        <v>9680</v>
      </c>
      <c r="N1840" s="80" t="s">
        <v>9680</v>
      </c>
      <c r="O1840" s="80" t="s">
        <v>9680</v>
      </c>
      <c r="P1840" s="80"/>
      <c r="Q1840" s="80" t="s">
        <v>9680</v>
      </c>
      <c r="R1840" s="80" t="s">
        <v>9680</v>
      </c>
    </row>
    <row r="1841" spans="1:18" x14ac:dyDescent="0.2">
      <c r="A1841" s="80" t="s">
        <v>1160</v>
      </c>
      <c r="B1841" s="80" t="s">
        <v>10320</v>
      </c>
      <c r="C1841" s="80" t="s">
        <v>84</v>
      </c>
      <c r="D1841" s="80" t="s">
        <v>84</v>
      </c>
      <c r="E1841" s="80" t="s">
        <v>84</v>
      </c>
      <c r="F1841" s="80"/>
      <c r="G1841" s="80" t="s">
        <v>84</v>
      </c>
      <c r="H1841" s="80" t="s">
        <v>84</v>
      </c>
      <c r="I1841" s="80" t="s">
        <v>84</v>
      </c>
      <c r="J1841" s="80" t="s">
        <v>84</v>
      </c>
      <c r="K1841" s="80" t="s">
        <v>84</v>
      </c>
      <c r="L1841" s="80" t="s">
        <v>84</v>
      </c>
      <c r="M1841" s="80" t="s">
        <v>84</v>
      </c>
      <c r="N1841" s="80" t="s">
        <v>84</v>
      </c>
      <c r="O1841" s="80" t="s">
        <v>84</v>
      </c>
      <c r="P1841" s="80"/>
      <c r="Q1841" s="80" t="s">
        <v>84</v>
      </c>
      <c r="R1841" s="80" t="s">
        <v>84</v>
      </c>
    </row>
    <row r="1842" spans="1:18" x14ac:dyDescent="0.2">
      <c r="A1842" s="80" t="s">
        <v>1160</v>
      </c>
      <c r="B1842" s="80" t="s">
        <v>1161</v>
      </c>
      <c r="C1842" s="80" t="s">
        <v>84</v>
      </c>
      <c r="D1842" s="80" t="s">
        <v>84</v>
      </c>
      <c r="E1842" s="80" t="s">
        <v>84</v>
      </c>
      <c r="F1842" s="80"/>
      <c r="G1842" s="80" t="s">
        <v>84</v>
      </c>
      <c r="H1842" s="80" t="s">
        <v>84</v>
      </c>
      <c r="I1842" s="80" t="s">
        <v>84</v>
      </c>
      <c r="J1842" s="80" t="s">
        <v>84</v>
      </c>
      <c r="K1842" s="80" t="s">
        <v>84</v>
      </c>
      <c r="L1842" s="80" t="s">
        <v>84</v>
      </c>
      <c r="M1842" s="80" t="s">
        <v>84</v>
      </c>
      <c r="N1842" s="80" t="s">
        <v>84</v>
      </c>
      <c r="O1842" s="80" t="s">
        <v>84</v>
      </c>
      <c r="P1842" s="80"/>
      <c r="Q1842" s="80" t="s">
        <v>84</v>
      </c>
      <c r="R1842" s="80" t="s">
        <v>84</v>
      </c>
    </row>
    <row r="1843" spans="1:18" ht="20" x14ac:dyDescent="0.2">
      <c r="A1843" s="80" t="s">
        <v>1235</v>
      </c>
      <c r="B1843" s="80" t="s">
        <v>10321</v>
      </c>
      <c r="C1843" s="80" t="s">
        <v>9680</v>
      </c>
      <c r="D1843" s="80" t="s">
        <v>9680</v>
      </c>
      <c r="E1843" s="80" t="s">
        <v>9680</v>
      </c>
      <c r="F1843" s="80"/>
      <c r="G1843" s="80" t="s">
        <v>9680</v>
      </c>
      <c r="H1843" s="80" t="s">
        <v>9680</v>
      </c>
      <c r="I1843" s="80" t="s">
        <v>9680</v>
      </c>
      <c r="J1843" s="80" t="s">
        <v>9680</v>
      </c>
      <c r="K1843" s="80" t="s">
        <v>9680</v>
      </c>
      <c r="L1843" s="80" t="s">
        <v>9680</v>
      </c>
      <c r="M1843" s="80" t="s">
        <v>9680</v>
      </c>
      <c r="N1843" s="80" t="s">
        <v>9680</v>
      </c>
      <c r="O1843" s="80" t="s">
        <v>9680</v>
      </c>
      <c r="P1843" s="80"/>
      <c r="Q1843" s="80" t="s">
        <v>9680</v>
      </c>
      <c r="R1843" s="80" t="s">
        <v>9680</v>
      </c>
    </row>
    <row r="1844" spans="1:18" ht="20" x14ac:dyDescent="0.2">
      <c r="A1844" s="80" t="s">
        <v>1235</v>
      </c>
      <c r="B1844" s="80" t="s">
        <v>1236</v>
      </c>
      <c r="C1844" s="80" t="s">
        <v>9680</v>
      </c>
      <c r="D1844" s="80" t="s">
        <v>9680</v>
      </c>
      <c r="E1844" s="80" t="s">
        <v>9680</v>
      </c>
      <c r="F1844" s="80"/>
      <c r="G1844" s="80" t="s">
        <v>9680</v>
      </c>
      <c r="H1844" s="80" t="s">
        <v>9680</v>
      </c>
      <c r="I1844" s="80" t="s">
        <v>9680</v>
      </c>
      <c r="J1844" s="80" t="s">
        <v>9680</v>
      </c>
      <c r="K1844" s="80" t="s">
        <v>9680</v>
      </c>
      <c r="L1844" s="80" t="s">
        <v>9680</v>
      </c>
      <c r="M1844" s="80" t="s">
        <v>9680</v>
      </c>
      <c r="N1844" s="80" t="s">
        <v>9680</v>
      </c>
      <c r="O1844" s="80" t="s">
        <v>9680</v>
      </c>
      <c r="P1844" s="80"/>
      <c r="Q1844" s="80" t="s">
        <v>9680</v>
      </c>
      <c r="R1844" s="80" t="s">
        <v>9680</v>
      </c>
    </row>
    <row r="1845" spans="1:18" ht="20" x14ac:dyDescent="0.2">
      <c r="A1845" s="80" t="s">
        <v>1095</v>
      </c>
      <c r="B1845" s="80" t="s">
        <v>1096</v>
      </c>
      <c r="C1845" s="80" t="s">
        <v>9680</v>
      </c>
      <c r="D1845" s="80" t="s">
        <v>9680</v>
      </c>
      <c r="E1845" s="80" t="s">
        <v>9680</v>
      </c>
      <c r="F1845" s="80"/>
      <c r="G1845" s="80" t="s">
        <v>9680</v>
      </c>
      <c r="H1845" s="80" t="s">
        <v>9680</v>
      </c>
      <c r="I1845" s="80" t="s">
        <v>9680</v>
      </c>
      <c r="J1845" s="80" t="s">
        <v>9680</v>
      </c>
      <c r="K1845" s="80" t="s">
        <v>9680</v>
      </c>
      <c r="L1845" s="80" t="s">
        <v>9680</v>
      </c>
      <c r="M1845" s="80" t="s">
        <v>9680</v>
      </c>
      <c r="N1845" s="80" t="s">
        <v>9680</v>
      </c>
      <c r="O1845" s="80" t="s">
        <v>9680</v>
      </c>
      <c r="P1845" s="80"/>
      <c r="Q1845" s="80" t="s">
        <v>9680</v>
      </c>
      <c r="R1845" s="80" t="s">
        <v>9680</v>
      </c>
    </row>
    <row r="1846" spans="1:18" ht="20" x14ac:dyDescent="0.2">
      <c r="A1846" s="80" t="s">
        <v>1097</v>
      </c>
      <c r="B1846" s="80" t="s">
        <v>1098</v>
      </c>
      <c r="C1846" s="80" t="s">
        <v>9680</v>
      </c>
      <c r="D1846" s="80" t="s">
        <v>9680</v>
      </c>
      <c r="E1846" s="80" t="s">
        <v>9680</v>
      </c>
      <c r="F1846" s="80"/>
      <c r="G1846" s="80" t="s">
        <v>9680</v>
      </c>
      <c r="H1846" s="80" t="s">
        <v>9680</v>
      </c>
      <c r="I1846" s="80" t="s">
        <v>9680</v>
      </c>
      <c r="J1846" s="80" t="s">
        <v>9680</v>
      </c>
      <c r="K1846" s="80" t="s">
        <v>9680</v>
      </c>
      <c r="L1846" s="80" t="s">
        <v>9680</v>
      </c>
      <c r="M1846" s="80" t="s">
        <v>9680</v>
      </c>
      <c r="N1846" s="80" t="s">
        <v>9680</v>
      </c>
      <c r="O1846" s="80" t="s">
        <v>9680</v>
      </c>
      <c r="P1846" s="80"/>
      <c r="Q1846" s="80" t="s">
        <v>9680</v>
      </c>
      <c r="R1846" s="80" t="s">
        <v>9680</v>
      </c>
    </row>
    <row r="1847" spans="1:18" ht="20" x14ac:dyDescent="0.2">
      <c r="A1847" s="80" t="s">
        <v>1164</v>
      </c>
      <c r="B1847" s="80" t="s">
        <v>1165</v>
      </c>
      <c r="C1847" s="80" t="s">
        <v>9680</v>
      </c>
      <c r="D1847" s="80" t="s">
        <v>9680</v>
      </c>
      <c r="E1847" s="80" t="s">
        <v>9680</v>
      </c>
      <c r="F1847" s="80"/>
      <c r="G1847" s="80" t="s">
        <v>9680</v>
      </c>
      <c r="H1847" s="80" t="s">
        <v>9680</v>
      </c>
      <c r="I1847" s="80" t="s">
        <v>9680</v>
      </c>
      <c r="J1847" s="80" t="s">
        <v>9680</v>
      </c>
      <c r="K1847" s="80" t="s">
        <v>9680</v>
      </c>
      <c r="L1847" s="80" t="s">
        <v>9680</v>
      </c>
      <c r="M1847" s="80" t="s">
        <v>9680</v>
      </c>
      <c r="N1847" s="80" t="s">
        <v>9680</v>
      </c>
      <c r="O1847" s="80" t="s">
        <v>9680</v>
      </c>
      <c r="P1847" s="80"/>
      <c r="Q1847" s="80" t="s">
        <v>9680</v>
      </c>
      <c r="R1847" s="80" t="s">
        <v>9680</v>
      </c>
    </row>
    <row r="1848" spans="1:18" ht="20" x14ac:dyDescent="0.2">
      <c r="A1848" s="80" t="s">
        <v>1170</v>
      </c>
      <c r="B1848" s="80" t="s">
        <v>1171</v>
      </c>
      <c r="C1848" s="80" t="s">
        <v>9680</v>
      </c>
      <c r="D1848" s="80" t="s">
        <v>9680</v>
      </c>
      <c r="E1848" s="80" t="s">
        <v>9680</v>
      </c>
      <c r="F1848" s="80"/>
      <c r="G1848" s="80" t="s">
        <v>9680</v>
      </c>
      <c r="H1848" s="80" t="s">
        <v>9680</v>
      </c>
      <c r="I1848" s="80" t="s">
        <v>84</v>
      </c>
      <c r="J1848" s="80" t="s">
        <v>9680</v>
      </c>
      <c r="K1848" s="80" t="s">
        <v>84</v>
      </c>
      <c r="L1848" s="80" t="s">
        <v>84</v>
      </c>
      <c r="M1848" s="80" t="s">
        <v>9680</v>
      </c>
      <c r="N1848" s="80" t="s">
        <v>9680</v>
      </c>
      <c r="O1848" s="80" t="s">
        <v>9680</v>
      </c>
      <c r="P1848" s="80"/>
      <c r="Q1848" s="80" t="s">
        <v>9680</v>
      </c>
      <c r="R1848" s="80" t="s">
        <v>9680</v>
      </c>
    </row>
    <row r="1849" spans="1:18" ht="20" x14ac:dyDescent="0.2">
      <c r="A1849" s="80" t="s">
        <v>1233</v>
      </c>
      <c r="B1849" s="80" t="s">
        <v>10322</v>
      </c>
      <c r="C1849" s="80" t="s">
        <v>9680</v>
      </c>
      <c r="D1849" s="80" t="s">
        <v>9680</v>
      </c>
      <c r="E1849" s="80" t="s">
        <v>9680</v>
      </c>
      <c r="F1849" s="80"/>
      <c r="G1849" s="80" t="s">
        <v>9680</v>
      </c>
      <c r="H1849" s="80" t="s">
        <v>9680</v>
      </c>
      <c r="I1849" s="80" t="s">
        <v>9680</v>
      </c>
      <c r="J1849" s="80" t="s">
        <v>9680</v>
      </c>
      <c r="K1849" s="80" t="s">
        <v>9680</v>
      </c>
      <c r="L1849" s="80" t="s">
        <v>9680</v>
      </c>
      <c r="M1849" s="80" t="s">
        <v>9680</v>
      </c>
      <c r="N1849" s="80" t="s">
        <v>9680</v>
      </c>
      <c r="O1849" s="80" t="s">
        <v>9680</v>
      </c>
      <c r="P1849" s="80"/>
      <c r="Q1849" s="80" t="s">
        <v>9680</v>
      </c>
      <c r="R1849" s="80" t="s">
        <v>9680</v>
      </c>
    </row>
    <row r="1850" spans="1:18" ht="20" x14ac:dyDescent="0.2">
      <c r="A1850" s="80" t="s">
        <v>1233</v>
      </c>
      <c r="B1850" s="80" t="s">
        <v>1234</v>
      </c>
      <c r="C1850" s="80" t="s">
        <v>9680</v>
      </c>
      <c r="D1850" s="80" t="s">
        <v>9680</v>
      </c>
      <c r="E1850" s="80" t="s">
        <v>9680</v>
      </c>
      <c r="F1850" s="80"/>
      <c r="G1850" s="80" t="s">
        <v>9680</v>
      </c>
      <c r="H1850" s="80" t="s">
        <v>9680</v>
      </c>
      <c r="I1850" s="80" t="s">
        <v>9680</v>
      </c>
      <c r="J1850" s="80" t="s">
        <v>9680</v>
      </c>
      <c r="K1850" s="80" t="s">
        <v>9680</v>
      </c>
      <c r="L1850" s="80" t="s">
        <v>9680</v>
      </c>
      <c r="M1850" s="80" t="s">
        <v>9680</v>
      </c>
      <c r="N1850" s="80" t="s">
        <v>9680</v>
      </c>
      <c r="O1850" s="80" t="s">
        <v>9680</v>
      </c>
      <c r="P1850" s="80"/>
      <c r="Q1850" s="80" t="s">
        <v>9680</v>
      </c>
      <c r="R1850" s="80" t="s">
        <v>9680</v>
      </c>
    </row>
    <row r="1851" spans="1:18" ht="20" x14ac:dyDescent="0.2">
      <c r="A1851" s="80" t="s">
        <v>1239</v>
      </c>
      <c r="B1851" s="80" t="s">
        <v>10323</v>
      </c>
      <c r="C1851" s="80" t="s">
        <v>9680</v>
      </c>
      <c r="D1851" s="80" t="s">
        <v>9680</v>
      </c>
      <c r="E1851" s="80" t="s">
        <v>9680</v>
      </c>
      <c r="F1851" s="80"/>
      <c r="G1851" s="80" t="s">
        <v>9680</v>
      </c>
      <c r="H1851" s="80" t="s">
        <v>9680</v>
      </c>
      <c r="I1851" s="80" t="s">
        <v>9680</v>
      </c>
      <c r="J1851" s="80" t="s">
        <v>9680</v>
      </c>
      <c r="K1851" s="80" t="s">
        <v>9680</v>
      </c>
      <c r="L1851" s="80" t="s">
        <v>9680</v>
      </c>
      <c r="M1851" s="80" t="s">
        <v>9680</v>
      </c>
      <c r="N1851" s="80" t="s">
        <v>9680</v>
      </c>
      <c r="O1851" s="80" t="s">
        <v>9680</v>
      </c>
      <c r="P1851" s="80"/>
      <c r="Q1851" s="80" t="s">
        <v>9680</v>
      </c>
      <c r="R1851" s="80" t="s">
        <v>9680</v>
      </c>
    </row>
    <row r="1852" spans="1:18" ht="20" x14ac:dyDescent="0.2">
      <c r="A1852" s="80" t="s">
        <v>1239</v>
      </c>
      <c r="B1852" s="80" t="s">
        <v>1240</v>
      </c>
      <c r="C1852" s="80" t="s">
        <v>9680</v>
      </c>
      <c r="D1852" s="80" t="s">
        <v>9680</v>
      </c>
      <c r="E1852" s="80" t="s">
        <v>9680</v>
      </c>
      <c r="F1852" s="80"/>
      <c r="G1852" s="80" t="s">
        <v>9680</v>
      </c>
      <c r="H1852" s="80" t="s">
        <v>9680</v>
      </c>
      <c r="I1852" s="80" t="s">
        <v>9680</v>
      </c>
      <c r="J1852" s="80" t="s">
        <v>9680</v>
      </c>
      <c r="K1852" s="80" t="s">
        <v>9680</v>
      </c>
      <c r="L1852" s="80" t="s">
        <v>9680</v>
      </c>
      <c r="M1852" s="80" t="s">
        <v>9680</v>
      </c>
      <c r="N1852" s="80" t="s">
        <v>9680</v>
      </c>
      <c r="O1852" s="80" t="s">
        <v>9680</v>
      </c>
      <c r="P1852" s="80"/>
      <c r="Q1852" s="80" t="s">
        <v>9680</v>
      </c>
      <c r="R1852" s="80" t="s">
        <v>9680</v>
      </c>
    </row>
    <row r="1853" spans="1:18" ht="20" x14ac:dyDescent="0.2">
      <c r="A1853" s="80" t="s">
        <v>10324</v>
      </c>
      <c r="B1853" s="80" t="s">
        <v>10325</v>
      </c>
      <c r="C1853" s="80" t="s">
        <v>9680</v>
      </c>
      <c r="D1853" s="80" t="s">
        <v>84</v>
      </c>
      <c r="E1853" s="80" t="s">
        <v>84</v>
      </c>
      <c r="F1853" s="80"/>
      <c r="G1853" s="80" t="s">
        <v>84</v>
      </c>
      <c r="H1853" s="80" t="s">
        <v>84</v>
      </c>
      <c r="I1853" s="80" t="s">
        <v>84</v>
      </c>
      <c r="J1853" s="80" t="s">
        <v>84</v>
      </c>
      <c r="K1853" s="80" t="s">
        <v>84</v>
      </c>
      <c r="L1853" s="80" t="s">
        <v>84</v>
      </c>
      <c r="M1853" s="80" t="s">
        <v>84</v>
      </c>
      <c r="N1853" s="80" t="s">
        <v>84</v>
      </c>
      <c r="O1853" s="80" t="s">
        <v>84</v>
      </c>
      <c r="P1853" s="80"/>
      <c r="Q1853" s="80" t="s">
        <v>84</v>
      </c>
      <c r="R1853" s="80" t="s">
        <v>84</v>
      </c>
    </row>
    <row r="1854" spans="1:18" ht="20" x14ac:dyDescent="0.2">
      <c r="A1854" s="80" t="s">
        <v>1254</v>
      </c>
      <c r="B1854" s="80" t="s">
        <v>1255</v>
      </c>
      <c r="C1854" s="80" t="s">
        <v>9680</v>
      </c>
      <c r="D1854" s="80" t="s">
        <v>9680</v>
      </c>
      <c r="E1854" s="80" t="s">
        <v>9680</v>
      </c>
      <c r="F1854" s="80"/>
      <c r="G1854" s="80" t="s">
        <v>9680</v>
      </c>
      <c r="H1854" s="80" t="s">
        <v>9680</v>
      </c>
      <c r="I1854" s="80" t="s">
        <v>9680</v>
      </c>
      <c r="J1854" s="80" t="s">
        <v>84</v>
      </c>
      <c r="K1854" s="80" t="s">
        <v>9680</v>
      </c>
      <c r="L1854" s="80" t="s">
        <v>9680</v>
      </c>
      <c r="M1854" s="80" t="s">
        <v>84</v>
      </c>
      <c r="N1854" s="80" t="s">
        <v>9680</v>
      </c>
      <c r="O1854" s="80" t="s">
        <v>84</v>
      </c>
      <c r="P1854" s="80"/>
      <c r="Q1854" s="80" t="s">
        <v>84</v>
      </c>
      <c r="R1854" s="80" t="s">
        <v>84</v>
      </c>
    </row>
    <row r="1855" spans="1:18" ht="20" x14ac:dyDescent="0.2">
      <c r="A1855" s="80" t="s">
        <v>1254</v>
      </c>
      <c r="B1855" s="80" t="s">
        <v>10326</v>
      </c>
      <c r="C1855" s="80" t="s">
        <v>9680</v>
      </c>
      <c r="D1855" s="80" t="s">
        <v>9680</v>
      </c>
      <c r="E1855" s="80" t="s">
        <v>9680</v>
      </c>
      <c r="F1855" s="80"/>
      <c r="G1855" s="80" t="s">
        <v>9680</v>
      </c>
      <c r="H1855" s="80" t="s">
        <v>9680</v>
      </c>
      <c r="I1855" s="80" t="s">
        <v>9680</v>
      </c>
      <c r="J1855" s="80" t="s">
        <v>84</v>
      </c>
      <c r="K1855" s="80" t="s">
        <v>9680</v>
      </c>
      <c r="L1855" s="80" t="s">
        <v>9680</v>
      </c>
      <c r="M1855" s="80" t="s">
        <v>84</v>
      </c>
      <c r="N1855" s="80" t="s">
        <v>9680</v>
      </c>
      <c r="O1855" s="80" t="s">
        <v>84</v>
      </c>
      <c r="P1855" s="80"/>
      <c r="Q1855" s="80" t="s">
        <v>84</v>
      </c>
      <c r="R1855" s="80" t="s">
        <v>84</v>
      </c>
    </row>
    <row r="1856" spans="1:18" ht="20" x14ac:dyDescent="0.2">
      <c r="A1856" s="80" t="s">
        <v>1254</v>
      </c>
      <c r="B1856" s="80" t="s">
        <v>10327</v>
      </c>
      <c r="C1856" s="80" t="s">
        <v>9680</v>
      </c>
      <c r="D1856" s="80" t="s">
        <v>9680</v>
      </c>
      <c r="E1856" s="80" t="s">
        <v>9680</v>
      </c>
      <c r="F1856" s="80"/>
      <c r="G1856" s="80" t="s">
        <v>9680</v>
      </c>
      <c r="H1856" s="80" t="s">
        <v>9680</v>
      </c>
      <c r="I1856" s="80" t="s">
        <v>9680</v>
      </c>
      <c r="J1856" s="80" t="s">
        <v>84</v>
      </c>
      <c r="K1856" s="80" t="s">
        <v>9680</v>
      </c>
      <c r="L1856" s="80" t="s">
        <v>9680</v>
      </c>
      <c r="M1856" s="80" t="s">
        <v>84</v>
      </c>
      <c r="N1856" s="80" t="s">
        <v>9680</v>
      </c>
      <c r="O1856" s="80" t="s">
        <v>84</v>
      </c>
      <c r="P1856" s="80"/>
      <c r="Q1856" s="80" t="s">
        <v>84</v>
      </c>
      <c r="R1856" s="80" t="s">
        <v>84</v>
      </c>
    </row>
    <row r="1857" spans="1:18" ht="20" x14ac:dyDescent="0.2">
      <c r="A1857" s="80" t="s">
        <v>10328</v>
      </c>
      <c r="B1857" s="80" t="s">
        <v>10329</v>
      </c>
      <c r="C1857" s="80" t="s">
        <v>9680</v>
      </c>
      <c r="D1857" s="80" t="s">
        <v>84</v>
      </c>
      <c r="E1857" s="80" t="s">
        <v>84</v>
      </c>
      <c r="F1857" s="80"/>
      <c r="G1857" s="80" t="s">
        <v>84</v>
      </c>
      <c r="H1857" s="80" t="s">
        <v>84</v>
      </c>
      <c r="I1857" s="80" t="s">
        <v>84</v>
      </c>
      <c r="J1857" s="80" t="s">
        <v>84</v>
      </c>
      <c r="K1857" s="80" t="s">
        <v>84</v>
      </c>
      <c r="L1857" s="80" t="s">
        <v>84</v>
      </c>
      <c r="M1857" s="80" t="s">
        <v>84</v>
      </c>
      <c r="N1857" s="80" t="s">
        <v>84</v>
      </c>
      <c r="O1857" s="80" t="s">
        <v>84</v>
      </c>
      <c r="P1857" s="80"/>
      <c r="Q1857" s="80" t="s">
        <v>84</v>
      </c>
      <c r="R1857" s="80" t="s">
        <v>84</v>
      </c>
    </row>
    <row r="1858" spans="1:18" ht="20" x14ac:dyDescent="0.2">
      <c r="A1858" s="80" t="s">
        <v>1241</v>
      </c>
      <c r="B1858" s="80" t="s">
        <v>10330</v>
      </c>
      <c r="C1858" s="80" t="s">
        <v>9680</v>
      </c>
      <c r="D1858" s="80" t="s">
        <v>84</v>
      </c>
      <c r="E1858" s="80" t="s">
        <v>84</v>
      </c>
      <c r="F1858" s="80"/>
      <c r="G1858" s="80" t="s">
        <v>84</v>
      </c>
      <c r="H1858" s="80" t="s">
        <v>84</v>
      </c>
      <c r="I1858" s="80" t="s">
        <v>84</v>
      </c>
      <c r="J1858" s="80" t="s">
        <v>84</v>
      </c>
      <c r="K1858" s="80" t="s">
        <v>84</v>
      </c>
      <c r="L1858" s="80" t="s">
        <v>84</v>
      </c>
      <c r="M1858" s="80" t="s">
        <v>84</v>
      </c>
      <c r="N1858" s="80" t="s">
        <v>84</v>
      </c>
      <c r="O1858" s="80" t="s">
        <v>84</v>
      </c>
      <c r="P1858" s="80"/>
      <c r="Q1858" s="80" t="s">
        <v>84</v>
      </c>
      <c r="R1858" s="80" t="s">
        <v>84</v>
      </c>
    </row>
    <row r="1859" spans="1:18" ht="20" x14ac:dyDescent="0.2">
      <c r="A1859" s="80" t="s">
        <v>1241</v>
      </c>
      <c r="B1859" s="80" t="s">
        <v>1242</v>
      </c>
      <c r="C1859" s="80" t="s">
        <v>9680</v>
      </c>
      <c r="D1859" s="80" t="s">
        <v>84</v>
      </c>
      <c r="E1859" s="80" t="s">
        <v>84</v>
      </c>
      <c r="F1859" s="80"/>
      <c r="G1859" s="80" t="s">
        <v>84</v>
      </c>
      <c r="H1859" s="80" t="s">
        <v>84</v>
      </c>
      <c r="I1859" s="80" t="s">
        <v>84</v>
      </c>
      <c r="J1859" s="80" t="s">
        <v>84</v>
      </c>
      <c r="K1859" s="80" t="s">
        <v>84</v>
      </c>
      <c r="L1859" s="80" t="s">
        <v>84</v>
      </c>
      <c r="M1859" s="80" t="s">
        <v>84</v>
      </c>
      <c r="N1859" s="80" t="s">
        <v>84</v>
      </c>
      <c r="O1859" s="80" t="s">
        <v>84</v>
      </c>
      <c r="P1859" s="80"/>
      <c r="Q1859" s="80" t="s">
        <v>84</v>
      </c>
      <c r="R1859" s="80" t="s">
        <v>84</v>
      </c>
    </row>
    <row r="1860" spans="1:18" ht="20" x14ac:dyDescent="0.2">
      <c r="A1860" s="80" t="s">
        <v>1245</v>
      </c>
      <c r="B1860" s="80" t="s">
        <v>10331</v>
      </c>
      <c r="C1860" s="80" t="s">
        <v>9680</v>
      </c>
      <c r="D1860" s="80" t="s">
        <v>84</v>
      </c>
      <c r="E1860" s="80" t="s">
        <v>84</v>
      </c>
      <c r="F1860" s="80"/>
      <c r="G1860" s="80" t="s">
        <v>84</v>
      </c>
      <c r="H1860" s="80" t="s">
        <v>84</v>
      </c>
      <c r="I1860" s="80" t="s">
        <v>84</v>
      </c>
      <c r="J1860" s="80" t="s">
        <v>84</v>
      </c>
      <c r="K1860" s="80" t="s">
        <v>84</v>
      </c>
      <c r="L1860" s="80" t="s">
        <v>84</v>
      </c>
      <c r="M1860" s="80" t="s">
        <v>84</v>
      </c>
      <c r="N1860" s="80" t="s">
        <v>84</v>
      </c>
      <c r="O1860" s="80" t="s">
        <v>84</v>
      </c>
      <c r="P1860" s="80"/>
      <c r="Q1860" s="80" t="s">
        <v>84</v>
      </c>
      <c r="R1860" s="80" t="s">
        <v>84</v>
      </c>
    </row>
    <row r="1861" spans="1:18" ht="20" x14ac:dyDescent="0.2">
      <c r="A1861" s="80" t="s">
        <v>1245</v>
      </c>
      <c r="B1861" s="80" t="s">
        <v>1246</v>
      </c>
      <c r="C1861" s="80" t="s">
        <v>9680</v>
      </c>
      <c r="D1861" s="80" t="s">
        <v>84</v>
      </c>
      <c r="E1861" s="80" t="s">
        <v>84</v>
      </c>
      <c r="F1861" s="80"/>
      <c r="G1861" s="80" t="s">
        <v>84</v>
      </c>
      <c r="H1861" s="80" t="s">
        <v>84</v>
      </c>
      <c r="I1861" s="80" t="s">
        <v>84</v>
      </c>
      <c r="J1861" s="80" t="s">
        <v>84</v>
      </c>
      <c r="K1861" s="80" t="s">
        <v>84</v>
      </c>
      <c r="L1861" s="80" t="s">
        <v>84</v>
      </c>
      <c r="M1861" s="80" t="s">
        <v>84</v>
      </c>
      <c r="N1861" s="80" t="s">
        <v>84</v>
      </c>
      <c r="O1861" s="80" t="s">
        <v>84</v>
      </c>
      <c r="P1861" s="80"/>
      <c r="Q1861" s="80" t="s">
        <v>84</v>
      </c>
      <c r="R1861" s="80" t="s">
        <v>84</v>
      </c>
    </row>
    <row r="1862" spans="1:18" ht="20" x14ac:dyDescent="0.2">
      <c r="A1862" s="80" t="s">
        <v>10332</v>
      </c>
      <c r="B1862" s="80" t="s">
        <v>1173</v>
      </c>
      <c r="C1862" s="80" t="s">
        <v>9680</v>
      </c>
      <c r="D1862" s="80" t="s">
        <v>84</v>
      </c>
      <c r="E1862" s="80" t="s">
        <v>84</v>
      </c>
      <c r="F1862" s="80"/>
      <c r="G1862" s="80" t="s">
        <v>84</v>
      </c>
      <c r="H1862" s="80" t="s">
        <v>84</v>
      </c>
      <c r="I1862" s="80" t="s">
        <v>84</v>
      </c>
      <c r="J1862" s="80" t="s">
        <v>84</v>
      </c>
      <c r="K1862" s="80" t="s">
        <v>84</v>
      </c>
      <c r="L1862" s="80" t="s">
        <v>84</v>
      </c>
      <c r="M1862" s="80" t="s">
        <v>84</v>
      </c>
      <c r="N1862" s="80" t="s">
        <v>84</v>
      </c>
      <c r="O1862" s="80" t="s">
        <v>84</v>
      </c>
      <c r="P1862" s="80"/>
      <c r="Q1862" s="80" t="s">
        <v>84</v>
      </c>
      <c r="R1862" s="80" t="s">
        <v>84</v>
      </c>
    </row>
    <row r="1863" spans="1:18" ht="20" x14ac:dyDescent="0.2">
      <c r="A1863" s="80" t="s">
        <v>1260</v>
      </c>
      <c r="B1863" s="80" t="s">
        <v>1261</v>
      </c>
      <c r="C1863" s="80" t="s">
        <v>9722</v>
      </c>
      <c r="D1863" s="80" t="s">
        <v>9722</v>
      </c>
      <c r="E1863" s="80" t="s">
        <v>9722</v>
      </c>
      <c r="F1863" s="80"/>
      <c r="G1863" s="80" t="s">
        <v>84</v>
      </c>
      <c r="H1863" s="80" t="s">
        <v>9722</v>
      </c>
      <c r="I1863" s="80" t="s">
        <v>9722</v>
      </c>
      <c r="J1863" s="80" t="s">
        <v>9722</v>
      </c>
      <c r="K1863" s="80" t="s">
        <v>9722</v>
      </c>
      <c r="L1863" s="80" t="s">
        <v>84</v>
      </c>
      <c r="M1863" s="80" t="s">
        <v>84</v>
      </c>
      <c r="N1863" s="80" t="s">
        <v>9722</v>
      </c>
      <c r="O1863" s="80" t="s">
        <v>9722</v>
      </c>
      <c r="P1863" s="80"/>
      <c r="Q1863" s="80" t="s">
        <v>84</v>
      </c>
      <c r="R1863" s="80" t="s">
        <v>9722</v>
      </c>
    </row>
    <row r="1864" spans="1:18" ht="20" x14ac:dyDescent="0.2">
      <c r="A1864" s="80" t="s">
        <v>1262</v>
      </c>
      <c r="B1864" s="80" t="s">
        <v>1263</v>
      </c>
      <c r="C1864" s="80" t="s">
        <v>9680</v>
      </c>
      <c r="D1864" s="80" t="s">
        <v>9680</v>
      </c>
      <c r="E1864" s="80" t="s">
        <v>9680</v>
      </c>
      <c r="F1864" s="80"/>
      <c r="G1864" s="80" t="s">
        <v>84</v>
      </c>
      <c r="H1864" s="80" t="s">
        <v>9680</v>
      </c>
      <c r="I1864" s="80" t="s">
        <v>9680</v>
      </c>
      <c r="J1864" s="80" t="s">
        <v>9680</v>
      </c>
      <c r="K1864" s="80" t="s">
        <v>9680</v>
      </c>
      <c r="L1864" s="80" t="s">
        <v>84</v>
      </c>
      <c r="M1864" s="80" t="s">
        <v>84</v>
      </c>
      <c r="N1864" s="80" t="s">
        <v>9680</v>
      </c>
      <c r="O1864" s="80" t="s">
        <v>9680</v>
      </c>
      <c r="P1864" s="80"/>
      <c r="Q1864" s="80" t="s">
        <v>84</v>
      </c>
      <c r="R1864" s="80" t="s">
        <v>9680</v>
      </c>
    </row>
    <row r="1865" spans="1:18" ht="20" x14ac:dyDescent="0.2">
      <c r="A1865" s="80" t="s">
        <v>10333</v>
      </c>
      <c r="B1865" s="80" t="s">
        <v>10334</v>
      </c>
      <c r="C1865" s="80" t="s">
        <v>9680</v>
      </c>
      <c r="D1865" s="80" t="s">
        <v>84</v>
      </c>
      <c r="E1865" s="80" t="s">
        <v>84</v>
      </c>
      <c r="F1865" s="80"/>
      <c r="G1865" s="80" t="s">
        <v>84</v>
      </c>
      <c r="H1865" s="80" t="s">
        <v>84</v>
      </c>
      <c r="I1865" s="80" t="s">
        <v>84</v>
      </c>
      <c r="J1865" s="80" t="s">
        <v>84</v>
      </c>
      <c r="K1865" s="80" t="s">
        <v>84</v>
      </c>
      <c r="L1865" s="80" t="s">
        <v>84</v>
      </c>
      <c r="M1865" s="80" t="s">
        <v>84</v>
      </c>
      <c r="N1865" s="80" t="s">
        <v>84</v>
      </c>
      <c r="O1865" s="80" t="s">
        <v>84</v>
      </c>
      <c r="P1865" s="80"/>
      <c r="Q1865" s="80" t="s">
        <v>84</v>
      </c>
      <c r="R1865" s="80" t="s">
        <v>84</v>
      </c>
    </row>
    <row r="1866" spans="1:18" ht="20" x14ac:dyDescent="0.2">
      <c r="A1866" s="80" t="s">
        <v>6181</v>
      </c>
      <c r="B1866" s="80" t="s">
        <v>6182</v>
      </c>
      <c r="C1866" s="80" t="s">
        <v>9680</v>
      </c>
      <c r="D1866" s="80" t="s">
        <v>9680</v>
      </c>
      <c r="E1866" s="80" t="s">
        <v>9680</v>
      </c>
      <c r="F1866" s="80"/>
      <c r="G1866" s="80" t="s">
        <v>9680</v>
      </c>
      <c r="H1866" s="80" t="s">
        <v>9680</v>
      </c>
      <c r="I1866" s="80" t="s">
        <v>9680</v>
      </c>
      <c r="J1866" s="80" t="s">
        <v>84</v>
      </c>
      <c r="K1866" s="80" t="s">
        <v>9680</v>
      </c>
      <c r="L1866" s="80" t="s">
        <v>9680</v>
      </c>
      <c r="M1866" s="80" t="s">
        <v>84</v>
      </c>
      <c r="N1866" s="80" t="s">
        <v>9680</v>
      </c>
      <c r="O1866" s="80" t="s">
        <v>84</v>
      </c>
      <c r="P1866" s="80"/>
      <c r="Q1866" s="80" t="s">
        <v>84</v>
      </c>
      <c r="R1866" s="80" t="s">
        <v>84</v>
      </c>
    </row>
    <row r="1867" spans="1:18" ht="20" x14ac:dyDescent="0.2">
      <c r="A1867" s="80" t="s">
        <v>6186</v>
      </c>
      <c r="B1867" s="80" t="s">
        <v>10335</v>
      </c>
      <c r="C1867" s="80" t="s">
        <v>9680</v>
      </c>
      <c r="D1867" s="80" t="s">
        <v>84</v>
      </c>
      <c r="E1867" s="80" t="s">
        <v>84</v>
      </c>
      <c r="F1867" s="80"/>
      <c r="G1867" s="80" t="s">
        <v>84</v>
      </c>
      <c r="H1867" s="80" t="s">
        <v>84</v>
      </c>
      <c r="I1867" s="80" t="s">
        <v>84</v>
      </c>
      <c r="J1867" s="80" t="s">
        <v>84</v>
      </c>
      <c r="K1867" s="80" t="s">
        <v>84</v>
      </c>
      <c r="L1867" s="80" t="s">
        <v>84</v>
      </c>
      <c r="M1867" s="80" t="s">
        <v>84</v>
      </c>
      <c r="N1867" s="80" t="s">
        <v>84</v>
      </c>
      <c r="O1867" s="80" t="s">
        <v>84</v>
      </c>
      <c r="P1867" s="80"/>
      <c r="Q1867" s="80" t="s">
        <v>84</v>
      </c>
      <c r="R1867" s="80" t="s">
        <v>84</v>
      </c>
    </row>
    <row r="1868" spans="1:18" ht="20" x14ac:dyDescent="0.2">
      <c r="A1868" s="80" t="s">
        <v>6186</v>
      </c>
      <c r="B1868" s="80" t="s">
        <v>6187</v>
      </c>
      <c r="C1868" s="80" t="s">
        <v>9680</v>
      </c>
      <c r="D1868" s="80" t="s">
        <v>84</v>
      </c>
      <c r="E1868" s="80" t="s">
        <v>84</v>
      </c>
      <c r="F1868" s="80"/>
      <c r="G1868" s="80" t="s">
        <v>84</v>
      </c>
      <c r="H1868" s="80" t="s">
        <v>84</v>
      </c>
      <c r="I1868" s="80" t="s">
        <v>84</v>
      </c>
      <c r="J1868" s="80" t="s">
        <v>84</v>
      </c>
      <c r="K1868" s="80" t="s">
        <v>84</v>
      </c>
      <c r="L1868" s="80" t="s">
        <v>84</v>
      </c>
      <c r="M1868" s="80" t="s">
        <v>84</v>
      </c>
      <c r="N1868" s="80" t="s">
        <v>84</v>
      </c>
      <c r="O1868" s="80" t="s">
        <v>84</v>
      </c>
      <c r="P1868" s="80"/>
      <c r="Q1868" s="80" t="s">
        <v>84</v>
      </c>
      <c r="R1868" s="80" t="s">
        <v>84</v>
      </c>
    </row>
    <row r="1869" spans="1:18" ht="20" x14ac:dyDescent="0.2">
      <c r="A1869" s="80" t="s">
        <v>6188</v>
      </c>
      <c r="B1869" s="80" t="s">
        <v>6189</v>
      </c>
      <c r="C1869" s="80" t="s">
        <v>9680</v>
      </c>
      <c r="D1869" s="80" t="s">
        <v>84</v>
      </c>
      <c r="E1869" s="80" t="s">
        <v>84</v>
      </c>
      <c r="F1869" s="80"/>
      <c r="G1869" s="80" t="s">
        <v>84</v>
      </c>
      <c r="H1869" s="80" t="s">
        <v>84</v>
      </c>
      <c r="I1869" s="80" t="s">
        <v>84</v>
      </c>
      <c r="J1869" s="80" t="s">
        <v>84</v>
      </c>
      <c r="K1869" s="80" t="s">
        <v>84</v>
      </c>
      <c r="L1869" s="80" t="s">
        <v>84</v>
      </c>
      <c r="M1869" s="80" t="s">
        <v>84</v>
      </c>
      <c r="N1869" s="80" t="s">
        <v>84</v>
      </c>
      <c r="O1869" s="80" t="s">
        <v>84</v>
      </c>
      <c r="P1869" s="80"/>
      <c r="Q1869" s="80" t="s">
        <v>84</v>
      </c>
      <c r="R1869" s="80" t="s">
        <v>84</v>
      </c>
    </row>
    <row r="1870" spans="1:18" ht="20" x14ac:dyDescent="0.2">
      <c r="A1870" s="80" t="s">
        <v>6190</v>
      </c>
      <c r="B1870" s="80" t="s">
        <v>6191</v>
      </c>
      <c r="C1870" s="80" t="s">
        <v>9680</v>
      </c>
      <c r="D1870" s="80" t="s">
        <v>84</v>
      </c>
      <c r="E1870" s="80" t="s">
        <v>84</v>
      </c>
      <c r="F1870" s="80"/>
      <c r="G1870" s="80" t="s">
        <v>84</v>
      </c>
      <c r="H1870" s="80" t="s">
        <v>84</v>
      </c>
      <c r="I1870" s="80" t="s">
        <v>84</v>
      </c>
      <c r="J1870" s="80" t="s">
        <v>84</v>
      </c>
      <c r="K1870" s="80" t="s">
        <v>84</v>
      </c>
      <c r="L1870" s="80" t="s">
        <v>84</v>
      </c>
      <c r="M1870" s="80" t="s">
        <v>84</v>
      </c>
      <c r="N1870" s="80" t="s">
        <v>84</v>
      </c>
      <c r="O1870" s="80" t="s">
        <v>84</v>
      </c>
      <c r="P1870" s="80"/>
      <c r="Q1870" s="80" t="s">
        <v>84</v>
      </c>
      <c r="R1870" s="80" t="s">
        <v>84</v>
      </c>
    </row>
    <row r="1871" spans="1:18" ht="20" x14ac:dyDescent="0.2">
      <c r="A1871" s="80" t="s">
        <v>10336</v>
      </c>
      <c r="B1871" s="80" t="s">
        <v>10337</v>
      </c>
      <c r="C1871" s="80" t="s">
        <v>9680</v>
      </c>
      <c r="D1871" s="80" t="s">
        <v>84</v>
      </c>
      <c r="E1871" s="80" t="s">
        <v>84</v>
      </c>
      <c r="F1871" s="80"/>
      <c r="G1871" s="80" t="s">
        <v>84</v>
      </c>
      <c r="H1871" s="80" t="s">
        <v>84</v>
      </c>
      <c r="I1871" s="80" t="s">
        <v>84</v>
      </c>
      <c r="J1871" s="80" t="s">
        <v>84</v>
      </c>
      <c r="K1871" s="80" t="s">
        <v>84</v>
      </c>
      <c r="L1871" s="80" t="s">
        <v>84</v>
      </c>
      <c r="M1871" s="80" t="s">
        <v>84</v>
      </c>
      <c r="N1871" s="80" t="s">
        <v>84</v>
      </c>
      <c r="O1871" s="80" t="s">
        <v>84</v>
      </c>
      <c r="P1871" s="80"/>
      <c r="Q1871" s="80" t="s">
        <v>84</v>
      </c>
      <c r="R1871" s="80" t="s">
        <v>84</v>
      </c>
    </row>
    <row r="1872" spans="1:18" ht="20" x14ac:dyDescent="0.2">
      <c r="A1872" s="80" t="s">
        <v>10338</v>
      </c>
      <c r="B1872" s="80" t="s">
        <v>10339</v>
      </c>
      <c r="C1872" s="80" t="s">
        <v>84</v>
      </c>
      <c r="D1872" s="80" t="s">
        <v>84</v>
      </c>
      <c r="E1872" s="80" t="s">
        <v>84</v>
      </c>
      <c r="F1872" s="80"/>
      <c r="G1872" s="80" t="s">
        <v>84</v>
      </c>
      <c r="H1872" s="80" t="s">
        <v>84</v>
      </c>
      <c r="I1872" s="80" t="s">
        <v>84</v>
      </c>
      <c r="J1872" s="80" t="s">
        <v>84</v>
      </c>
      <c r="K1872" s="80" t="s">
        <v>84</v>
      </c>
      <c r="L1872" s="80" t="s">
        <v>84</v>
      </c>
      <c r="M1872" s="80" t="s">
        <v>84</v>
      </c>
      <c r="N1872" s="80" t="s">
        <v>84</v>
      </c>
      <c r="O1872" s="80" t="s">
        <v>84</v>
      </c>
      <c r="P1872" s="80"/>
      <c r="Q1872" s="80" t="s">
        <v>84</v>
      </c>
      <c r="R1872" s="80" t="s">
        <v>84</v>
      </c>
    </row>
    <row r="1873" spans="1:18" ht="20" x14ac:dyDescent="0.2">
      <c r="A1873" s="80" t="s">
        <v>10340</v>
      </c>
      <c r="B1873" s="80" t="s">
        <v>10341</v>
      </c>
      <c r="C1873" s="80" t="s">
        <v>9680</v>
      </c>
      <c r="D1873" s="80" t="s">
        <v>84</v>
      </c>
      <c r="E1873" s="80" t="s">
        <v>84</v>
      </c>
      <c r="F1873" s="80"/>
      <c r="G1873" s="80" t="s">
        <v>84</v>
      </c>
      <c r="H1873" s="80" t="s">
        <v>84</v>
      </c>
      <c r="I1873" s="80" t="s">
        <v>84</v>
      </c>
      <c r="J1873" s="80" t="s">
        <v>84</v>
      </c>
      <c r="K1873" s="80" t="s">
        <v>84</v>
      </c>
      <c r="L1873" s="80" t="s">
        <v>84</v>
      </c>
      <c r="M1873" s="80" t="s">
        <v>84</v>
      </c>
      <c r="N1873" s="80" t="s">
        <v>84</v>
      </c>
      <c r="O1873" s="80" t="s">
        <v>84</v>
      </c>
      <c r="P1873" s="80"/>
      <c r="Q1873" s="80" t="s">
        <v>84</v>
      </c>
      <c r="R1873" s="80" t="s">
        <v>84</v>
      </c>
    </row>
    <row r="1874" spans="1:18" x14ac:dyDescent="0.2">
      <c r="A1874" s="80" t="s">
        <v>10342</v>
      </c>
      <c r="B1874" s="80" t="s">
        <v>10343</v>
      </c>
      <c r="C1874" s="80" t="s">
        <v>84</v>
      </c>
      <c r="D1874" s="80" t="s">
        <v>84</v>
      </c>
      <c r="E1874" s="80" t="s">
        <v>84</v>
      </c>
      <c r="F1874" s="80"/>
      <c r="G1874" s="80" t="s">
        <v>84</v>
      </c>
      <c r="H1874" s="80" t="s">
        <v>84</v>
      </c>
      <c r="I1874" s="80" t="s">
        <v>84</v>
      </c>
      <c r="J1874" s="80" t="s">
        <v>84</v>
      </c>
      <c r="K1874" s="80" t="s">
        <v>84</v>
      </c>
      <c r="L1874" s="80" t="s">
        <v>84</v>
      </c>
      <c r="M1874" s="80" t="s">
        <v>84</v>
      </c>
      <c r="N1874" s="80" t="s">
        <v>84</v>
      </c>
      <c r="O1874" s="80" t="s">
        <v>84</v>
      </c>
      <c r="P1874" s="80"/>
      <c r="Q1874" s="80" t="s">
        <v>84</v>
      </c>
      <c r="R1874" s="80" t="s">
        <v>84</v>
      </c>
    </row>
    <row r="1875" spans="1:18" ht="20" x14ac:dyDescent="0.2">
      <c r="A1875" s="80" t="s">
        <v>1174</v>
      </c>
      <c r="B1875" s="80" t="s">
        <v>1175</v>
      </c>
      <c r="C1875" s="80" t="s">
        <v>9680</v>
      </c>
      <c r="D1875" s="80" t="s">
        <v>9680</v>
      </c>
      <c r="E1875" s="80" t="s">
        <v>9680</v>
      </c>
      <c r="F1875" s="80"/>
      <c r="G1875" s="80" t="s">
        <v>9680</v>
      </c>
      <c r="H1875" s="80" t="s">
        <v>9680</v>
      </c>
      <c r="I1875" s="80" t="s">
        <v>9680</v>
      </c>
      <c r="J1875" s="80" t="s">
        <v>84</v>
      </c>
      <c r="K1875" s="80" t="s">
        <v>9680</v>
      </c>
      <c r="L1875" s="80" t="s">
        <v>9680</v>
      </c>
      <c r="M1875" s="80" t="s">
        <v>84</v>
      </c>
      <c r="N1875" s="80" t="s">
        <v>9680</v>
      </c>
      <c r="O1875" s="80" t="s">
        <v>84</v>
      </c>
      <c r="P1875" s="80"/>
      <c r="Q1875" s="80" t="s">
        <v>84</v>
      </c>
      <c r="R1875" s="80" t="s">
        <v>84</v>
      </c>
    </row>
    <row r="1876" spans="1:18" ht="20" x14ac:dyDescent="0.2">
      <c r="A1876" s="80" t="s">
        <v>1179</v>
      </c>
      <c r="B1876" s="80" t="s">
        <v>1180</v>
      </c>
      <c r="C1876" s="80" t="s">
        <v>9680</v>
      </c>
      <c r="D1876" s="80" t="s">
        <v>84</v>
      </c>
      <c r="E1876" s="80" t="s">
        <v>84</v>
      </c>
      <c r="F1876" s="80"/>
      <c r="G1876" s="80" t="s">
        <v>84</v>
      </c>
      <c r="H1876" s="80" t="s">
        <v>84</v>
      </c>
      <c r="I1876" s="80" t="s">
        <v>84</v>
      </c>
      <c r="J1876" s="80" t="s">
        <v>84</v>
      </c>
      <c r="K1876" s="80" t="s">
        <v>84</v>
      </c>
      <c r="L1876" s="80" t="s">
        <v>84</v>
      </c>
      <c r="M1876" s="80" t="s">
        <v>84</v>
      </c>
      <c r="N1876" s="80" t="s">
        <v>84</v>
      </c>
      <c r="O1876" s="80" t="s">
        <v>84</v>
      </c>
      <c r="P1876" s="80"/>
      <c r="Q1876" s="80" t="s">
        <v>84</v>
      </c>
      <c r="R1876" s="80" t="s">
        <v>84</v>
      </c>
    </row>
    <row r="1877" spans="1:18" ht="20" x14ac:dyDescent="0.2">
      <c r="A1877" s="80" t="s">
        <v>1181</v>
      </c>
      <c r="B1877" s="80" t="s">
        <v>10344</v>
      </c>
      <c r="C1877" s="80" t="s">
        <v>9680</v>
      </c>
      <c r="D1877" s="80" t="s">
        <v>9680</v>
      </c>
      <c r="E1877" s="80" t="s">
        <v>84</v>
      </c>
      <c r="F1877" s="80"/>
      <c r="G1877" s="80" t="s">
        <v>9680</v>
      </c>
      <c r="H1877" s="80" t="s">
        <v>84</v>
      </c>
      <c r="I1877" s="80" t="s">
        <v>9680</v>
      </c>
      <c r="J1877" s="80" t="s">
        <v>9680</v>
      </c>
      <c r="K1877" s="80" t="s">
        <v>9680</v>
      </c>
      <c r="L1877" s="80" t="s">
        <v>9680</v>
      </c>
      <c r="M1877" s="80" t="s">
        <v>9680</v>
      </c>
      <c r="N1877" s="80" t="s">
        <v>84</v>
      </c>
      <c r="O1877" s="80" t="s">
        <v>9680</v>
      </c>
      <c r="P1877" s="80"/>
      <c r="Q1877" s="80" t="s">
        <v>9680</v>
      </c>
      <c r="R1877" s="80" t="s">
        <v>9680</v>
      </c>
    </row>
    <row r="1878" spans="1:18" ht="20" x14ac:dyDescent="0.2">
      <c r="A1878" s="80" t="s">
        <v>1181</v>
      </c>
      <c r="B1878" s="80" t="s">
        <v>1182</v>
      </c>
      <c r="C1878" s="80" t="s">
        <v>9680</v>
      </c>
      <c r="D1878" s="80" t="s">
        <v>9680</v>
      </c>
      <c r="E1878" s="80" t="s">
        <v>84</v>
      </c>
      <c r="F1878" s="80"/>
      <c r="G1878" s="80" t="s">
        <v>9680</v>
      </c>
      <c r="H1878" s="80" t="s">
        <v>84</v>
      </c>
      <c r="I1878" s="80" t="s">
        <v>9680</v>
      </c>
      <c r="J1878" s="80" t="s">
        <v>9680</v>
      </c>
      <c r="K1878" s="80" t="s">
        <v>9680</v>
      </c>
      <c r="L1878" s="80" t="s">
        <v>9680</v>
      </c>
      <c r="M1878" s="80" t="s">
        <v>9680</v>
      </c>
      <c r="N1878" s="80" t="s">
        <v>84</v>
      </c>
      <c r="O1878" s="80" t="s">
        <v>9680</v>
      </c>
      <c r="P1878" s="80"/>
      <c r="Q1878" s="80" t="s">
        <v>9680</v>
      </c>
      <c r="R1878" s="80" t="s">
        <v>9680</v>
      </c>
    </row>
    <row r="1879" spans="1:18" ht="20" x14ac:dyDescent="0.2">
      <c r="A1879" s="80" t="s">
        <v>1264</v>
      </c>
      <c r="B1879" s="80" t="s">
        <v>10345</v>
      </c>
      <c r="C1879" s="80" t="s">
        <v>9680</v>
      </c>
      <c r="D1879" s="80" t="s">
        <v>9680</v>
      </c>
      <c r="E1879" s="80" t="s">
        <v>84</v>
      </c>
      <c r="F1879" s="80"/>
      <c r="G1879" s="80" t="s">
        <v>9680</v>
      </c>
      <c r="H1879" s="80" t="s">
        <v>84</v>
      </c>
      <c r="I1879" s="80" t="s">
        <v>9680</v>
      </c>
      <c r="J1879" s="80" t="s">
        <v>9680</v>
      </c>
      <c r="K1879" s="80" t="s">
        <v>9680</v>
      </c>
      <c r="L1879" s="80" t="s">
        <v>9680</v>
      </c>
      <c r="M1879" s="80" t="s">
        <v>9680</v>
      </c>
      <c r="N1879" s="80" t="s">
        <v>84</v>
      </c>
      <c r="O1879" s="80" t="s">
        <v>9680</v>
      </c>
      <c r="P1879" s="80"/>
      <c r="Q1879" s="80" t="s">
        <v>9680</v>
      </c>
      <c r="R1879" s="80" t="s">
        <v>9680</v>
      </c>
    </row>
    <row r="1880" spans="1:18" ht="20" x14ac:dyDescent="0.2">
      <c r="A1880" s="80" t="s">
        <v>1264</v>
      </c>
      <c r="B1880" s="80" t="s">
        <v>1265</v>
      </c>
      <c r="C1880" s="80" t="s">
        <v>9680</v>
      </c>
      <c r="D1880" s="80" t="s">
        <v>9680</v>
      </c>
      <c r="E1880" s="80" t="s">
        <v>84</v>
      </c>
      <c r="F1880" s="80"/>
      <c r="G1880" s="80" t="s">
        <v>9680</v>
      </c>
      <c r="H1880" s="80" t="s">
        <v>84</v>
      </c>
      <c r="I1880" s="80" t="s">
        <v>9680</v>
      </c>
      <c r="J1880" s="80" t="s">
        <v>9680</v>
      </c>
      <c r="K1880" s="80" t="s">
        <v>9680</v>
      </c>
      <c r="L1880" s="80" t="s">
        <v>9680</v>
      </c>
      <c r="M1880" s="80" t="s">
        <v>9680</v>
      </c>
      <c r="N1880" s="80" t="s">
        <v>84</v>
      </c>
      <c r="O1880" s="80" t="s">
        <v>9680</v>
      </c>
      <c r="P1880" s="80"/>
      <c r="Q1880" s="80" t="s">
        <v>9680</v>
      </c>
      <c r="R1880" s="80" t="s">
        <v>9680</v>
      </c>
    </row>
    <row r="1881" spans="1:18" ht="20" x14ac:dyDescent="0.2">
      <c r="A1881" s="80" t="s">
        <v>1183</v>
      </c>
      <c r="B1881" s="80" t="s">
        <v>1184</v>
      </c>
      <c r="C1881" s="80" t="s">
        <v>84</v>
      </c>
      <c r="D1881" s="80" t="s">
        <v>84</v>
      </c>
      <c r="E1881" s="80" t="s">
        <v>84</v>
      </c>
      <c r="F1881" s="80"/>
      <c r="G1881" s="80" t="s">
        <v>84</v>
      </c>
      <c r="H1881" s="80" t="s">
        <v>84</v>
      </c>
      <c r="I1881" s="80" t="s">
        <v>84</v>
      </c>
      <c r="J1881" s="80" t="s">
        <v>84</v>
      </c>
      <c r="K1881" s="80" t="s">
        <v>84</v>
      </c>
      <c r="L1881" s="80" t="s">
        <v>84</v>
      </c>
      <c r="M1881" s="80" t="s">
        <v>84</v>
      </c>
      <c r="N1881" s="80" t="s">
        <v>84</v>
      </c>
      <c r="O1881" s="80" t="s">
        <v>84</v>
      </c>
      <c r="P1881" s="80"/>
      <c r="Q1881" s="80" t="s">
        <v>84</v>
      </c>
      <c r="R1881" s="80" t="s">
        <v>84</v>
      </c>
    </row>
    <row r="1882" spans="1:18" ht="20" x14ac:dyDescent="0.2">
      <c r="A1882" s="80" t="s">
        <v>1183</v>
      </c>
      <c r="B1882" s="80" t="s">
        <v>10346</v>
      </c>
      <c r="C1882" s="80" t="s">
        <v>84</v>
      </c>
      <c r="D1882" s="80" t="s">
        <v>84</v>
      </c>
      <c r="E1882" s="80" t="s">
        <v>84</v>
      </c>
      <c r="F1882" s="80"/>
      <c r="G1882" s="80" t="s">
        <v>84</v>
      </c>
      <c r="H1882" s="80" t="s">
        <v>84</v>
      </c>
      <c r="I1882" s="80" t="s">
        <v>84</v>
      </c>
      <c r="J1882" s="80" t="s">
        <v>84</v>
      </c>
      <c r="K1882" s="80" t="s">
        <v>84</v>
      </c>
      <c r="L1882" s="80" t="s">
        <v>84</v>
      </c>
      <c r="M1882" s="80" t="s">
        <v>84</v>
      </c>
      <c r="N1882" s="80" t="s">
        <v>84</v>
      </c>
      <c r="O1882" s="80" t="s">
        <v>84</v>
      </c>
      <c r="P1882" s="80"/>
      <c r="Q1882" s="80" t="s">
        <v>84</v>
      </c>
      <c r="R1882" s="80" t="s">
        <v>84</v>
      </c>
    </row>
    <row r="1883" spans="1:18" ht="20" x14ac:dyDescent="0.2">
      <c r="A1883" s="80" t="s">
        <v>1188</v>
      </c>
      <c r="B1883" s="80" t="s">
        <v>1189</v>
      </c>
      <c r="C1883" s="80" t="s">
        <v>9680</v>
      </c>
      <c r="D1883" s="80" t="s">
        <v>9680</v>
      </c>
      <c r="E1883" s="80" t="s">
        <v>84</v>
      </c>
      <c r="F1883" s="80"/>
      <c r="G1883" s="80" t="s">
        <v>9680</v>
      </c>
      <c r="H1883" s="80" t="s">
        <v>84</v>
      </c>
      <c r="I1883" s="80" t="s">
        <v>9680</v>
      </c>
      <c r="J1883" s="80" t="s">
        <v>84</v>
      </c>
      <c r="K1883" s="80" t="s">
        <v>9680</v>
      </c>
      <c r="L1883" s="80" t="s">
        <v>9680</v>
      </c>
      <c r="M1883" s="80" t="s">
        <v>9680</v>
      </c>
      <c r="N1883" s="80" t="s">
        <v>84</v>
      </c>
      <c r="O1883" s="80" t="s">
        <v>9680</v>
      </c>
      <c r="P1883" s="80"/>
      <c r="Q1883" s="80" t="s">
        <v>9680</v>
      </c>
      <c r="R1883" s="80" t="s">
        <v>9680</v>
      </c>
    </row>
    <row r="1884" spans="1:18" ht="20" x14ac:dyDescent="0.2">
      <c r="A1884" s="80" t="s">
        <v>10347</v>
      </c>
      <c r="B1884" s="80" t="s">
        <v>10348</v>
      </c>
      <c r="C1884" s="80" t="s">
        <v>9680</v>
      </c>
      <c r="D1884" s="80" t="s">
        <v>84</v>
      </c>
      <c r="E1884" s="80" t="s">
        <v>84</v>
      </c>
      <c r="F1884" s="80"/>
      <c r="G1884" s="80" t="s">
        <v>84</v>
      </c>
      <c r="H1884" s="80" t="s">
        <v>84</v>
      </c>
      <c r="I1884" s="80" t="s">
        <v>84</v>
      </c>
      <c r="J1884" s="80" t="s">
        <v>84</v>
      </c>
      <c r="K1884" s="80" t="s">
        <v>84</v>
      </c>
      <c r="L1884" s="80" t="s">
        <v>84</v>
      </c>
      <c r="M1884" s="80" t="s">
        <v>9680</v>
      </c>
      <c r="N1884" s="80" t="s">
        <v>84</v>
      </c>
      <c r="O1884" s="80" t="s">
        <v>9680</v>
      </c>
      <c r="P1884" s="80"/>
      <c r="Q1884" s="80" t="s">
        <v>9680</v>
      </c>
      <c r="R1884" s="80" t="s">
        <v>9680</v>
      </c>
    </row>
    <row r="1885" spans="1:18" ht="20" x14ac:dyDescent="0.2">
      <c r="A1885" s="80" t="s">
        <v>1190</v>
      </c>
      <c r="B1885" s="80" t="s">
        <v>1191</v>
      </c>
      <c r="C1885" s="80" t="s">
        <v>9680</v>
      </c>
      <c r="D1885" s="80" t="s">
        <v>9680</v>
      </c>
      <c r="E1885" s="80" t="s">
        <v>84</v>
      </c>
      <c r="F1885" s="80"/>
      <c r="G1885" s="80" t="s">
        <v>9680</v>
      </c>
      <c r="H1885" s="80" t="s">
        <v>84</v>
      </c>
      <c r="I1885" s="80" t="s">
        <v>9680</v>
      </c>
      <c r="J1885" s="80" t="s">
        <v>84</v>
      </c>
      <c r="K1885" s="80" t="s">
        <v>9680</v>
      </c>
      <c r="L1885" s="80" t="s">
        <v>9680</v>
      </c>
      <c r="M1885" s="80" t="s">
        <v>9680</v>
      </c>
      <c r="N1885" s="80" t="s">
        <v>84</v>
      </c>
      <c r="O1885" s="80" t="s">
        <v>9680</v>
      </c>
      <c r="P1885" s="80"/>
      <c r="Q1885" s="80" t="s">
        <v>9680</v>
      </c>
      <c r="R1885" s="80" t="s">
        <v>9680</v>
      </c>
    </row>
    <row r="1886" spans="1:18" ht="20" x14ac:dyDescent="0.2">
      <c r="A1886" s="80" t="s">
        <v>1192</v>
      </c>
      <c r="B1886" s="80" t="s">
        <v>1193</v>
      </c>
      <c r="C1886" s="80" t="s">
        <v>9680</v>
      </c>
      <c r="D1886" s="80" t="s">
        <v>9680</v>
      </c>
      <c r="E1886" s="80" t="s">
        <v>84</v>
      </c>
      <c r="F1886" s="80"/>
      <c r="G1886" s="80" t="s">
        <v>84</v>
      </c>
      <c r="H1886" s="80" t="s">
        <v>84</v>
      </c>
      <c r="I1886" s="80" t="s">
        <v>9680</v>
      </c>
      <c r="J1886" s="80" t="s">
        <v>84</v>
      </c>
      <c r="K1886" s="80" t="s">
        <v>9680</v>
      </c>
      <c r="L1886" s="80" t="s">
        <v>9680</v>
      </c>
      <c r="M1886" s="80" t="s">
        <v>9680</v>
      </c>
      <c r="N1886" s="80" t="s">
        <v>84</v>
      </c>
      <c r="O1886" s="80" t="s">
        <v>9680</v>
      </c>
      <c r="P1886" s="80"/>
      <c r="Q1886" s="80" t="s">
        <v>9680</v>
      </c>
      <c r="R1886" s="80" t="s">
        <v>9680</v>
      </c>
    </row>
    <row r="1887" spans="1:18" ht="20" x14ac:dyDescent="0.2">
      <c r="A1887" s="80" t="s">
        <v>1194</v>
      </c>
      <c r="B1887" s="80" t="s">
        <v>1195</v>
      </c>
      <c r="C1887" s="80" t="s">
        <v>9680</v>
      </c>
      <c r="D1887" s="80" t="s">
        <v>9680</v>
      </c>
      <c r="E1887" s="80" t="s">
        <v>84</v>
      </c>
      <c r="F1887" s="80"/>
      <c r="G1887" s="80" t="s">
        <v>9680</v>
      </c>
      <c r="H1887" s="80" t="s">
        <v>84</v>
      </c>
      <c r="I1887" s="80" t="s">
        <v>9680</v>
      </c>
      <c r="J1887" s="80" t="s">
        <v>84</v>
      </c>
      <c r="K1887" s="80" t="s">
        <v>9680</v>
      </c>
      <c r="L1887" s="80" t="s">
        <v>9680</v>
      </c>
      <c r="M1887" s="80" t="s">
        <v>9680</v>
      </c>
      <c r="N1887" s="80" t="s">
        <v>84</v>
      </c>
      <c r="O1887" s="80" t="s">
        <v>9680</v>
      </c>
      <c r="P1887" s="80"/>
      <c r="Q1887" s="80" t="s">
        <v>9680</v>
      </c>
      <c r="R1887" s="80" t="s">
        <v>9680</v>
      </c>
    </row>
    <row r="1888" spans="1:18" ht="20" x14ac:dyDescent="0.2">
      <c r="A1888" s="80" t="s">
        <v>1196</v>
      </c>
      <c r="B1888" s="80" t="s">
        <v>1197</v>
      </c>
      <c r="C1888" s="80" t="s">
        <v>9680</v>
      </c>
      <c r="D1888" s="80" t="s">
        <v>9680</v>
      </c>
      <c r="E1888" s="80" t="s">
        <v>84</v>
      </c>
      <c r="F1888" s="80"/>
      <c r="G1888" s="80" t="s">
        <v>9680</v>
      </c>
      <c r="H1888" s="80" t="s">
        <v>84</v>
      </c>
      <c r="I1888" s="80" t="s">
        <v>9680</v>
      </c>
      <c r="J1888" s="80" t="s">
        <v>84</v>
      </c>
      <c r="K1888" s="80" t="s">
        <v>9680</v>
      </c>
      <c r="L1888" s="80" t="s">
        <v>9680</v>
      </c>
      <c r="M1888" s="80" t="s">
        <v>9680</v>
      </c>
      <c r="N1888" s="80" t="s">
        <v>84</v>
      </c>
      <c r="O1888" s="80" t="s">
        <v>9680</v>
      </c>
      <c r="P1888" s="80"/>
      <c r="Q1888" s="80" t="s">
        <v>9680</v>
      </c>
      <c r="R1888" s="80" t="s">
        <v>9680</v>
      </c>
    </row>
    <row r="1889" spans="1:18" ht="20" x14ac:dyDescent="0.2">
      <c r="A1889" s="80" t="s">
        <v>1198</v>
      </c>
      <c r="B1889" s="80" t="s">
        <v>1199</v>
      </c>
      <c r="C1889" s="80" t="s">
        <v>9680</v>
      </c>
      <c r="D1889" s="80" t="s">
        <v>9680</v>
      </c>
      <c r="E1889" s="80" t="s">
        <v>84</v>
      </c>
      <c r="F1889" s="80"/>
      <c r="G1889" s="80" t="s">
        <v>9680</v>
      </c>
      <c r="H1889" s="80" t="s">
        <v>84</v>
      </c>
      <c r="I1889" s="80" t="s">
        <v>9680</v>
      </c>
      <c r="J1889" s="80" t="s">
        <v>84</v>
      </c>
      <c r="K1889" s="80" t="s">
        <v>9680</v>
      </c>
      <c r="L1889" s="80" t="s">
        <v>9680</v>
      </c>
      <c r="M1889" s="80" t="s">
        <v>9680</v>
      </c>
      <c r="N1889" s="80" t="s">
        <v>84</v>
      </c>
      <c r="O1889" s="80" t="s">
        <v>9680</v>
      </c>
      <c r="P1889" s="80"/>
      <c r="Q1889" s="80" t="s">
        <v>9680</v>
      </c>
      <c r="R1889" s="80" t="s">
        <v>9680</v>
      </c>
    </row>
    <row r="1890" spans="1:18" ht="20" x14ac:dyDescent="0.2">
      <c r="A1890" s="80" t="s">
        <v>1200</v>
      </c>
      <c r="B1890" s="80" t="s">
        <v>1201</v>
      </c>
      <c r="C1890" s="80" t="s">
        <v>9680</v>
      </c>
      <c r="D1890" s="80" t="s">
        <v>9680</v>
      </c>
      <c r="E1890" s="80" t="s">
        <v>84</v>
      </c>
      <c r="F1890" s="80"/>
      <c r="G1890" s="80" t="s">
        <v>84</v>
      </c>
      <c r="H1890" s="80" t="s">
        <v>9680</v>
      </c>
      <c r="I1890" s="80" t="s">
        <v>9680</v>
      </c>
      <c r="J1890" s="80" t="s">
        <v>84</v>
      </c>
      <c r="K1890" s="80" t="s">
        <v>9680</v>
      </c>
      <c r="L1890" s="80" t="s">
        <v>9680</v>
      </c>
      <c r="M1890" s="80" t="s">
        <v>9680</v>
      </c>
      <c r="N1890" s="80" t="s">
        <v>84</v>
      </c>
      <c r="O1890" s="80" t="s">
        <v>9680</v>
      </c>
      <c r="P1890" s="80"/>
      <c r="Q1890" s="80" t="s">
        <v>9680</v>
      </c>
      <c r="R1890" s="80" t="s">
        <v>9680</v>
      </c>
    </row>
    <row r="1891" spans="1:18" ht="20" x14ac:dyDescent="0.2">
      <c r="A1891" s="80" t="s">
        <v>1202</v>
      </c>
      <c r="B1891" s="80" t="s">
        <v>1203</v>
      </c>
      <c r="C1891" s="80" t="s">
        <v>9680</v>
      </c>
      <c r="D1891" s="80" t="s">
        <v>9680</v>
      </c>
      <c r="E1891" s="80" t="s">
        <v>84</v>
      </c>
      <c r="F1891" s="80"/>
      <c r="G1891" s="80" t="s">
        <v>84</v>
      </c>
      <c r="H1891" s="80" t="s">
        <v>9680</v>
      </c>
      <c r="I1891" s="80" t="s">
        <v>9680</v>
      </c>
      <c r="J1891" s="80" t="s">
        <v>84</v>
      </c>
      <c r="K1891" s="80" t="s">
        <v>9680</v>
      </c>
      <c r="L1891" s="80" t="s">
        <v>9680</v>
      </c>
      <c r="M1891" s="80" t="s">
        <v>9680</v>
      </c>
      <c r="N1891" s="80" t="s">
        <v>84</v>
      </c>
      <c r="O1891" s="80" t="s">
        <v>9680</v>
      </c>
      <c r="P1891" s="80"/>
      <c r="Q1891" s="80" t="s">
        <v>9680</v>
      </c>
      <c r="R1891" s="80" t="s">
        <v>9680</v>
      </c>
    </row>
    <row r="1892" spans="1:18" ht="20" x14ac:dyDescent="0.2">
      <c r="A1892" s="80" t="s">
        <v>1204</v>
      </c>
      <c r="B1892" s="80" t="s">
        <v>1205</v>
      </c>
      <c r="C1892" s="80" t="s">
        <v>9680</v>
      </c>
      <c r="D1892" s="80" t="s">
        <v>9680</v>
      </c>
      <c r="E1892" s="80" t="s">
        <v>84</v>
      </c>
      <c r="F1892" s="80"/>
      <c r="G1892" s="80" t="s">
        <v>84</v>
      </c>
      <c r="H1892" s="80" t="s">
        <v>9680</v>
      </c>
      <c r="I1892" s="80" t="s">
        <v>9680</v>
      </c>
      <c r="J1892" s="80" t="s">
        <v>84</v>
      </c>
      <c r="K1892" s="80" t="s">
        <v>9680</v>
      </c>
      <c r="L1892" s="80" t="s">
        <v>9680</v>
      </c>
      <c r="M1892" s="80" t="s">
        <v>9680</v>
      </c>
      <c r="N1892" s="80" t="s">
        <v>84</v>
      </c>
      <c r="O1892" s="80" t="s">
        <v>9680</v>
      </c>
      <c r="P1892" s="80"/>
      <c r="Q1892" s="80" t="s">
        <v>9680</v>
      </c>
      <c r="R1892" s="80" t="s">
        <v>9680</v>
      </c>
    </row>
    <row r="1893" spans="1:18" ht="20" x14ac:dyDescent="0.2">
      <c r="A1893" s="80" t="s">
        <v>1266</v>
      </c>
      <c r="B1893" s="80" t="s">
        <v>1267</v>
      </c>
      <c r="C1893" s="80" t="s">
        <v>9680</v>
      </c>
      <c r="D1893" s="80" t="s">
        <v>9680</v>
      </c>
      <c r="E1893" s="80" t="s">
        <v>84</v>
      </c>
      <c r="F1893" s="80"/>
      <c r="G1893" s="80" t="s">
        <v>84</v>
      </c>
      <c r="H1893" s="80" t="s">
        <v>9680</v>
      </c>
      <c r="I1893" s="80" t="s">
        <v>9680</v>
      </c>
      <c r="J1893" s="80" t="s">
        <v>84</v>
      </c>
      <c r="K1893" s="80" t="s">
        <v>9680</v>
      </c>
      <c r="L1893" s="80" t="s">
        <v>9680</v>
      </c>
      <c r="M1893" s="80" t="s">
        <v>9680</v>
      </c>
      <c r="N1893" s="80" t="s">
        <v>84</v>
      </c>
      <c r="O1893" s="80" t="s">
        <v>9680</v>
      </c>
      <c r="P1893" s="80"/>
      <c r="Q1893" s="80" t="s">
        <v>9680</v>
      </c>
      <c r="R1893" s="80" t="s">
        <v>9680</v>
      </c>
    </row>
    <row r="1894" spans="1:18" ht="20" x14ac:dyDescent="0.2">
      <c r="A1894" s="80" t="s">
        <v>1266</v>
      </c>
      <c r="B1894" s="80" t="s">
        <v>10349</v>
      </c>
      <c r="C1894" s="80" t="s">
        <v>9680</v>
      </c>
      <c r="D1894" s="80" t="s">
        <v>9680</v>
      </c>
      <c r="E1894" s="80" t="s">
        <v>84</v>
      </c>
      <c r="F1894" s="80"/>
      <c r="G1894" s="80" t="s">
        <v>84</v>
      </c>
      <c r="H1894" s="80" t="s">
        <v>9680</v>
      </c>
      <c r="I1894" s="80" t="s">
        <v>9680</v>
      </c>
      <c r="J1894" s="80" t="s">
        <v>84</v>
      </c>
      <c r="K1894" s="80" t="s">
        <v>9680</v>
      </c>
      <c r="L1894" s="80" t="s">
        <v>9680</v>
      </c>
      <c r="M1894" s="80" t="s">
        <v>9680</v>
      </c>
      <c r="N1894" s="80" t="s">
        <v>84</v>
      </c>
      <c r="O1894" s="80" t="s">
        <v>9680</v>
      </c>
      <c r="P1894" s="80"/>
      <c r="Q1894" s="80" t="s">
        <v>9680</v>
      </c>
      <c r="R1894" s="80" t="s">
        <v>9680</v>
      </c>
    </row>
    <row r="1895" spans="1:18" ht="20" x14ac:dyDescent="0.2">
      <c r="A1895" s="80" t="s">
        <v>1268</v>
      </c>
      <c r="B1895" s="80" t="s">
        <v>1269</v>
      </c>
      <c r="C1895" s="80" t="s">
        <v>9680</v>
      </c>
      <c r="D1895" s="80" t="s">
        <v>84</v>
      </c>
      <c r="E1895" s="80" t="s">
        <v>84</v>
      </c>
      <c r="F1895" s="80"/>
      <c r="G1895" s="80" t="s">
        <v>84</v>
      </c>
      <c r="H1895" s="80" t="s">
        <v>84</v>
      </c>
      <c r="I1895" s="80" t="s">
        <v>84</v>
      </c>
      <c r="J1895" s="80" t="s">
        <v>84</v>
      </c>
      <c r="K1895" s="80" t="s">
        <v>84</v>
      </c>
      <c r="L1895" s="80" t="s">
        <v>84</v>
      </c>
      <c r="M1895" s="80" t="s">
        <v>84</v>
      </c>
      <c r="N1895" s="80" t="s">
        <v>84</v>
      </c>
      <c r="O1895" s="80" t="s">
        <v>84</v>
      </c>
      <c r="P1895" s="80"/>
      <c r="Q1895" s="80" t="s">
        <v>84</v>
      </c>
      <c r="R1895" s="80" t="s">
        <v>84</v>
      </c>
    </row>
    <row r="1896" spans="1:18" ht="20" x14ac:dyDescent="0.2">
      <c r="A1896" s="80" t="s">
        <v>1206</v>
      </c>
      <c r="B1896" s="80" t="s">
        <v>1207</v>
      </c>
      <c r="C1896" s="80" t="s">
        <v>9680</v>
      </c>
      <c r="D1896" s="80" t="s">
        <v>84</v>
      </c>
      <c r="E1896" s="80" t="s">
        <v>84</v>
      </c>
      <c r="F1896" s="80"/>
      <c r="G1896" s="80" t="s">
        <v>84</v>
      </c>
      <c r="H1896" s="80" t="s">
        <v>84</v>
      </c>
      <c r="I1896" s="80" t="s">
        <v>84</v>
      </c>
      <c r="J1896" s="80" t="s">
        <v>84</v>
      </c>
      <c r="K1896" s="80" t="s">
        <v>84</v>
      </c>
      <c r="L1896" s="80" t="s">
        <v>84</v>
      </c>
      <c r="M1896" s="80" t="s">
        <v>84</v>
      </c>
      <c r="N1896" s="80" t="s">
        <v>84</v>
      </c>
      <c r="O1896" s="80" t="s">
        <v>84</v>
      </c>
      <c r="P1896" s="80"/>
      <c r="Q1896" s="80" t="s">
        <v>84</v>
      </c>
      <c r="R1896" s="80" t="s">
        <v>84</v>
      </c>
    </row>
    <row r="1897" spans="1:18" ht="20" x14ac:dyDescent="0.2">
      <c r="A1897" s="80" t="s">
        <v>10350</v>
      </c>
      <c r="B1897" s="80" t="s">
        <v>10351</v>
      </c>
      <c r="C1897" s="80" t="s">
        <v>9680</v>
      </c>
      <c r="D1897" s="80" t="s">
        <v>84</v>
      </c>
      <c r="E1897" s="80" t="s">
        <v>84</v>
      </c>
      <c r="F1897" s="80"/>
      <c r="G1897" s="80" t="s">
        <v>84</v>
      </c>
      <c r="H1897" s="80" t="s">
        <v>84</v>
      </c>
      <c r="I1897" s="80" t="s">
        <v>84</v>
      </c>
      <c r="J1897" s="80" t="s">
        <v>84</v>
      </c>
      <c r="K1897" s="80" t="s">
        <v>84</v>
      </c>
      <c r="L1897" s="80" t="s">
        <v>84</v>
      </c>
      <c r="M1897" s="80" t="s">
        <v>84</v>
      </c>
      <c r="N1897" s="80" t="s">
        <v>84</v>
      </c>
      <c r="O1897" s="80" t="s">
        <v>84</v>
      </c>
      <c r="P1897" s="80"/>
      <c r="Q1897" s="80" t="s">
        <v>84</v>
      </c>
      <c r="R1897" s="80" t="s">
        <v>84</v>
      </c>
    </row>
    <row r="1898" spans="1:18" ht="20" x14ac:dyDescent="0.2">
      <c r="A1898" s="80" t="s">
        <v>1208</v>
      </c>
      <c r="B1898" s="80" t="s">
        <v>1209</v>
      </c>
      <c r="C1898" s="80" t="s">
        <v>9680</v>
      </c>
      <c r="D1898" s="80" t="s">
        <v>84</v>
      </c>
      <c r="E1898" s="80" t="s">
        <v>84</v>
      </c>
      <c r="F1898" s="80"/>
      <c r="G1898" s="80" t="s">
        <v>84</v>
      </c>
      <c r="H1898" s="80" t="s">
        <v>84</v>
      </c>
      <c r="I1898" s="80" t="s">
        <v>84</v>
      </c>
      <c r="J1898" s="80" t="s">
        <v>84</v>
      </c>
      <c r="K1898" s="80" t="s">
        <v>84</v>
      </c>
      <c r="L1898" s="80" t="s">
        <v>84</v>
      </c>
      <c r="M1898" s="80" t="s">
        <v>84</v>
      </c>
      <c r="N1898" s="80" t="s">
        <v>84</v>
      </c>
      <c r="O1898" s="80" t="s">
        <v>84</v>
      </c>
      <c r="P1898" s="80"/>
      <c r="Q1898" s="80" t="s">
        <v>84</v>
      </c>
      <c r="R1898" s="80" t="s">
        <v>84</v>
      </c>
    </row>
    <row r="1899" spans="1:18" ht="20" x14ac:dyDescent="0.2">
      <c r="A1899" s="80" t="s">
        <v>10352</v>
      </c>
      <c r="B1899" s="80" t="s">
        <v>1211</v>
      </c>
      <c r="C1899" s="80" t="s">
        <v>9680</v>
      </c>
      <c r="D1899" s="80" t="s">
        <v>84</v>
      </c>
      <c r="E1899" s="80" t="s">
        <v>84</v>
      </c>
      <c r="F1899" s="80"/>
      <c r="G1899" s="80" t="s">
        <v>84</v>
      </c>
      <c r="H1899" s="80" t="s">
        <v>84</v>
      </c>
      <c r="I1899" s="80" t="s">
        <v>84</v>
      </c>
      <c r="J1899" s="80" t="s">
        <v>84</v>
      </c>
      <c r="K1899" s="80" t="s">
        <v>84</v>
      </c>
      <c r="L1899" s="80" t="s">
        <v>84</v>
      </c>
      <c r="M1899" s="80" t="s">
        <v>84</v>
      </c>
      <c r="N1899" s="80" t="s">
        <v>84</v>
      </c>
      <c r="O1899" s="80" t="s">
        <v>84</v>
      </c>
      <c r="P1899" s="80"/>
      <c r="Q1899" s="80" t="s">
        <v>84</v>
      </c>
      <c r="R1899" s="80" t="s">
        <v>84</v>
      </c>
    </row>
    <row r="1900" spans="1:18" ht="20" x14ac:dyDescent="0.2">
      <c r="A1900" s="80" t="s">
        <v>1212</v>
      </c>
      <c r="B1900" s="80" t="s">
        <v>1213</v>
      </c>
      <c r="C1900" s="80" t="s">
        <v>9680</v>
      </c>
      <c r="D1900" s="80" t="s">
        <v>84</v>
      </c>
      <c r="E1900" s="80" t="s">
        <v>84</v>
      </c>
      <c r="F1900" s="80"/>
      <c r="G1900" s="80" t="s">
        <v>84</v>
      </c>
      <c r="H1900" s="80" t="s">
        <v>84</v>
      </c>
      <c r="I1900" s="80" t="s">
        <v>84</v>
      </c>
      <c r="J1900" s="80" t="s">
        <v>84</v>
      </c>
      <c r="K1900" s="80" t="s">
        <v>84</v>
      </c>
      <c r="L1900" s="80" t="s">
        <v>84</v>
      </c>
      <c r="M1900" s="80" t="s">
        <v>84</v>
      </c>
      <c r="N1900" s="80" t="s">
        <v>84</v>
      </c>
      <c r="O1900" s="80" t="s">
        <v>84</v>
      </c>
      <c r="P1900" s="80"/>
      <c r="Q1900" s="80" t="s">
        <v>84</v>
      </c>
      <c r="R1900" s="80" t="s">
        <v>84</v>
      </c>
    </row>
    <row r="1901" spans="1:18" ht="20" x14ac:dyDescent="0.2">
      <c r="A1901" s="80" t="s">
        <v>1214</v>
      </c>
      <c r="B1901" s="80" t="s">
        <v>1215</v>
      </c>
      <c r="C1901" s="80" t="s">
        <v>9680</v>
      </c>
      <c r="D1901" s="80" t="s">
        <v>84</v>
      </c>
      <c r="E1901" s="80" t="s">
        <v>84</v>
      </c>
      <c r="F1901" s="80"/>
      <c r="G1901" s="80" t="s">
        <v>84</v>
      </c>
      <c r="H1901" s="80" t="s">
        <v>84</v>
      </c>
      <c r="I1901" s="80" t="s">
        <v>84</v>
      </c>
      <c r="J1901" s="80" t="s">
        <v>84</v>
      </c>
      <c r="K1901" s="80" t="s">
        <v>84</v>
      </c>
      <c r="L1901" s="80" t="s">
        <v>84</v>
      </c>
      <c r="M1901" s="80" t="s">
        <v>84</v>
      </c>
      <c r="N1901" s="80" t="s">
        <v>84</v>
      </c>
      <c r="O1901" s="80" t="s">
        <v>84</v>
      </c>
      <c r="P1901" s="80"/>
      <c r="Q1901" s="80" t="s">
        <v>84</v>
      </c>
      <c r="R1901" s="80" t="s">
        <v>84</v>
      </c>
    </row>
    <row r="1902" spans="1:18" ht="20" x14ac:dyDescent="0.2">
      <c r="A1902" s="80" t="s">
        <v>1216</v>
      </c>
      <c r="B1902" s="80" t="s">
        <v>1217</v>
      </c>
      <c r="C1902" s="80" t="s">
        <v>9680</v>
      </c>
      <c r="D1902" s="80" t="s">
        <v>84</v>
      </c>
      <c r="E1902" s="80" t="s">
        <v>84</v>
      </c>
      <c r="F1902" s="80"/>
      <c r="G1902" s="80" t="s">
        <v>84</v>
      </c>
      <c r="H1902" s="80" t="s">
        <v>84</v>
      </c>
      <c r="I1902" s="80" t="s">
        <v>84</v>
      </c>
      <c r="J1902" s="80" t="s">
        <v>84</v>
      </c>
      <c r="K1902" s="80" t="s">
        <v>84</v>
      </c>
      <c r="L1902" s="80" t="s">
        <v>84</v>
      </c>
      <c r="M1902" s="80" t="s">
        <v>84</v>
      </c>
      <c r="N1902" s="80" t="s">
        <v>84</v>
      </c>
      <c r="O1902" s="80" t="s">
        <v>84</v>
      </c>
      <c r="P1902" s="80"/>
      <c r="Q1902" s="80" t="s">
        <v>84</v>
      </c>
      <c r="R1902" s="80" t="s">
        <v>84</v>
      </c>
    </row>
    <row r="1903" spans="1:18" ht="20" x14ac:dyDescent="0.2">
      <c r="A1903" s="80" t="s">
        <v>1218</v>
      </c>
      <c r="B1903" s="80" t="s">
        <v>1219</v>
      </c>
      <c r="C1903" s="80" t="s">
        <v>9680</v>
      </c>
      <c r="D1903" s="80" t="s">
        <v>84</v>
      </c>
      <c r="E1903" s="80" t="s">
        <v>84</v>
      </c>
      <c r="F1903" s="80"/>
      <c r="G1903" s="80" t="s">
        <v>84</v>
      </c>
      <c r="H1903" s="80" t="s">
        <v>84</v>
      </c>
      <c r="I1903" s="80" t="s">
        <v>84</v>
      </c>
      <c r="J1903" s="80" t="s">
        <v>84</v>
      </c>
      <c r="K1903" s="80" t="s">
        <v>84</v>
      </c>
      <c r="L1903" s="80" t="s">
        <v>84</v>
      </c>
      <c r="M1903" s="80" t="s">
        <v>84</v>
      </c>
      <c r="N1903" s="80" t="s">
        <v>84</v>
      </c>
      <c r="O1903" s="80" t="s">
        <v>84</v>
      </c>
      <c r="P1903" s="80"/>
      <c r="Q1903" s="80" t="s">
        <v>84</v>
      </c>
      <c r="R1903" s="80" t="s">
        <v>84</v>
      </c>
    </row>
    <row r="1904" spans="1:18" ht="20" x14ac:dyDescent="0.2">
      <c r="A1904" s="80" t="s">
        <v>1273</v>
      </c>
      <c r="B1904" s="80" t="s">
        <v>1274</v>
      </c>
      <c r="C1904" s="80" t="s">
        <v>9680</v>
      </c>
      <c r="D1904" s="80" t="s">
        <v>84</v>
      </c>
      <c r="E1904" s="80" t="s">
        <v>84</v>
      </c>
      <c r="F1904" s="80"/>
      <c r="G1904" s="80" t="s">
        <v>84</v>
      </c>
      <c r="H1904" s="80" t="s">
        <v>84</v>
      </c>
      <c r="I1904" s="80" t="s">
        <v>84</v>
      </c>
      <c r="J1904" s="80" t="s">
        <v>84</v>
      </c>
      <c r="K1904" s="80" t="s">
        <v>84</v>
      </c>
      <c r="L1904" s="80" t="s">
        <v>84</v>
      </c>
      <c r="M1904" s="80" t="s">
        <v>84</v>
      </c>
      <c r="N1904" s="80" t="s">
        <v>84</v>
      </c>
      <c r="O1904" s="80" t="s">
        <v>84</v>
      </c>
      <c r="P1904" s="80"/>
      <c r="Q1904" s="80" t="s">
        <v>84</v>
      </c>
      <c r="R1904" s="80" t="s">
        <v>84</v>
      </c>
    </row>
    <row r="1905" spans="1:18" ht="20" x14ac:dyDescent="0.2">
      <c r="A1905" s="80" t="s">
        <v>1275</v>
      </c>
      <c r="B1905" s="80" t="s">
        <v>1276</v>
      </c>
      <c r="C1905" s="80" t="s">
        <v>9722</v>
      </c>
      <c r="D1905" s="80" t="s">
        <v>84</v>
      </c>
      <c r="E1905" s="80" t="s">
        <v>84</v>
      </c>
      <c r="F1905" s="80"/>
      <c r="G1905" s="80" t="s">
        <v>84</v>
      </c>
      <c r="H1905" s="80" t="s">
        <v>84</v>
      </c>
      <c r="I1905" s="80" t="s">
        <v>84</v>
      </c>
      <c r="J1905" s="80" t="s">
        <v>84</v>
      </c>
      <c r="K1905" s="80" t="s">
        <v>84</v>
      </c>
      <c r="L1905" s="80" t="s">
        <v>84</v>
      </c>
      <c r="M1905" s="80" t="s">
        <v>84</v>
      </c>
      <c r="N1905" s="80" t="s">
        <v>84</v>
      </c>
      <c r="O1905" s="80" t="s">
        <v>84</v>
      </c>
      <c r="P1905" s="80"/>
      <c r="Q1905" s="80" t="s">
        <v>84</v>
      </c>
      <c r="R1905" s="80" t="s">
        <v>84</v>
      </c>
    </row>
    <row r="1906" spans="1:18" ht="20" x14ac:dyDescent="0.2">
      <c r="A1906" s="80" t="s">
        <v>1277</v>
      </c>
      <c r="B1906" s="80" t="s">
        <v>1278</v>
      </c>
      <c r="C1906" s="80" t="s">
        <v>9680</v>
      </c>
      <c r="D1906" s="80" t="s">
        <v>84</v>
      </c>
      <c r="E1906" s="80" t="s">
        <v>84</v>
      </c>
      <c r="F1906" s="80"/>
      <c r="G1906" s="80" t="s">
        <v>84</v>
      </c>
      <c r="H1906" s="80" t="s">
        <v>84</v>
      </c>
      <c r="I1906" s="80" t="s">
        <v>84</v>
      </c>
      <c r="J1906" s="80" t="s">
        <v>84</v>
      </c>
      <c r="K1906" s="80" t="s">
        <v>84</v>
      </c>
      <c r="L1906" s="80" t="s">
        <v>84</v>
      </c>
      <c r="M1906" s="80" t="s">
        <v>84</v>
      </c>
      <c r="N1906" s="80" t="s">
        <v>84</v>
      </c>
      <c r="O1906" s="80" t="s">
        <v>84</v>
      </c>
      <c r="P1906" s="80"/>
      <c r="Q1906" s="80" t="s">
        <v>84</v>
      </c>
      <c r="R1906" s="80" t="s">
        <v>84</v>
      </c>
    </row>
    <row r="1907" spans="1:18" ht="20" x14ac:dyDescent="0.2">
      <c r="A1907" s="80" t="s">
        <v>1279</v>
      </c>
      <c r="B1907" s="80" t="s">
        <v>1280</v>
      </c>
      <c r="C1907" s="80" t="s">
        <v>9680</v>
      </c>
      <c r="D1907" s="80" t="s">
        <v>84</v>
      </c>
      <c r="E1907" s="80" t="s">
        <v>84</v>
      </c>
      <c r="F1907" s="80"/>
      <c r="G1907" s="80" t="s">
        <v>84</v>
      </c>
      <c r="H1907" s="80" t="s">
        <v>84</v>
      </c>
      <c r="I1907" s="80" t="s">
        <v>84</v>
      </c>
      <c r="J1907" s="80" t="s">
        <v>84</v>
      </c>
      <c r="K1907" s="80" t="s">
        <v>84</v>
      </c>
      <c r="L1907" s="80" t="s">
        <v>84</v>
      </c>
      <c r="M1907" s="80" t="s">
        <v>84</v>
      </c>
      <c r="N1907" s="80" t="s">
        <v>84</v>
      </c>
      <c r="O1907" s="80" t="s">
        <v>84</v>
      </c>
      <c r="P1907" s="80"/>
      <c r="Q1907" s="80" t="s">
        <v>84</v>
      </c>
      <c r="R1907" s="80" t="s">
        <v>84</v>
      </c>
    </row>
    <row r="1908" spans="1:18" ht="20" x14ac:dyDescent="0.2">
      <c r="A1908" s="80" t="s">
        <v>1050</v>
      </c>
      <c r="B1908" s="80" t="s">
        <v>1051</v>
      </c>
      <c r="C1908" s="80" t="s">
        <v>9680</v>
      </c>
      <c r="D1908" s="80" t="s">
        <v>84</v>
      </c>
      <c r="E1908" s="80" t="s">
        <v>84</v>
      </c>
      <c r="F1908" s="80"/>
      <c r="G1908" s="80" t="s">
        <v>84</v>
      </c>
      <c r="H1908" s="80" t="s">
        <v>84</v>
      </c>
      <c r="I1908" s="80" t="s">
        <v>84</v>
      </c>
      <c r="J1908" s="80" t="s">
        <v>84</v>
      </c>
      <c r="K1908" s="80" t="s">
        <v>84</v>
      </c>
      <c r="L1908" s="80" t="s">
        <v>84</v>
      </c>
      <c r="M1908" s="80" t="s">
        <v>84</v>
      </c>
      <c r="N1908" s="80" t="s">
        <v>84</v>
      </c>
      <c r="O1908" s="80" t="s">
        <v>84</v>
      </c>
      <c r="P1908" s="80"/>
      <c r="Q1908" s="80" t="s">
        <v>84</v>
      </c>
      <c r="R1908" s="80" t="s">
        <v>84</v>
      </c>
    </row>
    <row r="1909" spans="1:18" ht="20" x14ac:dyDescent="0.2">
      <c r="A1909" s="80" t="s">
        <v>1050</v>
      </c>
      <c r="B1909" s="80" t="s">
        <v>1281</v>
      </c>
      <c r="C1909" s="80" t="s">
        <v>9680</v>
      </c>
      <c r="D1909" s="80" t="s">
        <v>84</v>
      </c>
      <c r="E1909" s="80" t="s">
        <v>84</v>
      </c>
      <c r="F1909" s="80"/>
      <c r="G1909" s="80" t="s">
        <v>84</v>
      </c>
      <c r="H1909" s="80" t="s">
        <v>84</v>
      </c>
      <c r="I1909" s="80" t="s">
        <v>84</v>
      </c>
      <c r="J1909" s="80" t="s">
        <v>84</v>
      </c>
      <c r="K1909" s="80" t="s">
        <v>84</v>
      </c>
      <c r="L1909" s="80" t="s">
        <v>84</v>
      </c>
      <c r="M1909" s="80" t="s">
        <v>84</v>
      </c>
      <c r="N1909" s="80" t="s">
        <v>84</v>
      </c>
      <c r="O1909" s="80" t="s">
        <v>84</v>
      </c>
      <c r="P1909" s="80"/>
      <c r="Q1909" s="80" t="s">
        <v>84</v>
      </c>
      <c r="R1909" s="80" t="s">
        <v>84</v>
      </c>
    </row>
    <row r="1910" spans="1:18" ht="20" x14ac:dyDescent="0.2">
      <c r="A1910" s="80" t="s">
        <v>1284</v>
      </c>
      <c r="B1910" s="80" t="s">
        <v>1285</v>
      </c>
      <c r="C1910" s="80" t="s">
        <v>9680</v>
      </c>
      <c r="D1910" s="80" t="s">
        <v>84</v>
      </c>
      <c r="E1910" s="80" t="s">
        <v>84</v>
      </c>
      <c r="F1910" s="80"/>
      <c r="G1910" s="80" t="s">
        <v>84</v>
      </c>
      <c r="H1910" s="80" t="s">
        <v>84</v>
      </c>
      <c r="I1910" s="80" t="s">
        <v>84</v>
      </c>
      <c r="J1910" s="80" t="s">
        <v>84</v>
      </c>
      <c r="K1910" s="80" t="s">
        <v>84</v>
      </c>
      <c r="L1910" s="80" t="s">
        <v>84</v>
      </c>
      <c r="M1910" s="80" t="s">
        <v>84</v>
      </c>
      <c r="N1910" s="80" t="s">
        <v>84</v>
      </c>
      <c r="O1910" s="80" t="s">
        <v>84</v>
      </c>
      <c r="P1910" s="80"/>
      <c r="Q1910" s="80" t="s">
        <v>84</v>
      </c>
      <c r="R1910" s="80" t="s">
        <v>84</v>
      </c>
    </row>
    <row r="1911" spans="1:18" ht="20" x14ac:dyDescent="0.2">
      <c r="A1911" s="80" t="s">
        <v>1220</v>
      </c>
      <c r="B1911" s="80" t="s">
        <v>1221</v>
      </c>
      <c r="C1911" s="80" t="s">
        <v>9680</v>
      </c>
      <c r="D1911" s="80" t="s">
        <v>84</v>
      </c>
      <c r="E1911" s="80" t="s">
        <v>84</v>
      </c>
      <c r="F1911" s="80"/>
      <c r="G1911" s="80" t="s">
        <v>84</v>
      </c>
      <c r="H1911" s="80" t="s">
        <v>84</v>
      </c>
      <c r="I1911" s="80" t="s">
        <v>84</v>
      </c>
      <c r="J1911" s="80" t="s">
        <v>84</v>
      </c>
      <c r="K1911" s="80" t="s">
        <v>84</v>
      </c>
      <c r="L1911" s="80" t="s">
        <v>84</v>
      </c>
      <c r="M1911" s="80" t="s">
        <v>84</v>
      </c>
      <c r="N1911" s="80" t="s">
        <v>84</v>
      </c>
      <c r="O1911" s="80" t="s">
        <v>84</v>
      </c>
      <c r="P1911" s="80"/>
      <c r="Q1911" s="80" t="s">
        <v>84</v>
      </c>
      <c r="R1911" s="80" t="s">
        <v>84</v>
      </c>
    </row>
    <row r="1912" spans="1:18" ht="20" x14ac:dyDescent="0.2">
      <c r="A1912" s="80" t="s">
        <v>10353</v>
      </c>
      <c r="B1912" s="80" t="s">
        <v>10354</v>
      </c>
      <c r="C1912" s="80" t="s">
        <v>9680</v>
      </c>
      <c r="D1912" s="80" t="s">
        <v>84</v>
      </c>
      <c r="E1912" s="80" t="s">
        <v>84</v>
      </c>
      <c r="F1912" s="80"/>
      <c r="G1912" s="80" t="s">
        <v>84</v>
      </c>
      <c r="H1912" s="80" t="s">
        <v>84</v>
      </c>
      <c r="I1912" s="80" t="s">
        <v>84</v>
      </c>
      <c r="J1912" s="80" t="s">
        <v>84</v>
      </c>
      <c r="K1912" s="80" t="s">
        <v>84</v>
      </c>
      <c r="L1912" s="80" t="s">
        <v>84</v>
      </c>
      <c r="M1912" s="80" t="s">
        <v>84</v>
      </c>
      <c r="N1912" s="80" t="s">
        <v>84</v>
      </c>
      <c r="O1912" s="80" t="s">
        <v>84</v>
      </c>
      <c r="P1912" s="80"/>
      <c r="Q1912" s="80" t="s">
        <v>84</v>
      </c>
      <c r="R1912" s="80" t="s">
        <v>84</v>
      </c>
    </row>
    <row r="1913" spans="1:18" ht="20" x14ac:dyDescent="0.2">
      <c r="A1913" s="80" t="s">
        <v>10355</v>
      </c>
      <c r="B1913" s="80" t="s">
        <v>10356</v>
      </c>
      <c r="C1913" s="80" t="s">
        <v>9680</v>
      </c>
      <c r="D1913" s="80" t="s">
        <v>84</v>
      </c>
      <c r="E1913" s="80" t="s">
        <v>84</v>
      </c>
      <c r="F1913" s="80"/>
      <c r="G1913" s="80" t="s">
        <v>84</v>
      </c>
      <c r="H1913" s="80" t="s">
        <v>84</v>
      </c>
      <c r="I1913" s="80" t="s">
        <v>84</v>
      </c>
      <c r="J1913" s="80" t="s">
        <v>84</v>
      </c>
      <c r="K1913" s="80" t="s">
        <v>84</v>
      </c>
      <c r="L1913" s="80" t="s">
        <v>84</v>
      </c>
      <c r="M1913" s="80" t="s">
        <v>84</v>
      </c>
      <c r="N1913" s="80" t="s">
        <v>84</v>
      </c>
      <c r="O1913" s="80" t="s">
        <v>84</v>
      </c>
      <c r="P1913" s="80"/>
      <c r="Q1913" s="80" t="s">
        <v>84</v>
      </c>
      <c r="R1913" s="80" t="s">
        <v>84</v>
      </c>
    </row>
    <row r="1914" spans="1:18" ht="20" x14ac:dyDescent="0.2">
      <c r="A1914" s="80" t="s">
        <v>10357</v>
      </c>
      <c r="B1914" s="80" t="s">
        <v>10358</v>
      </c>
      <c r="C1914" s="80" t="s">
        <v>9680</v>
      </c>
      <c r="D1914" s="80" t="s">
        <v>84</v>
      </c>
      <c r="E1914" s="80" t="s">
        <v>84</v>
      </c>
      <c r="F1914" s="80"/>
      <c r="G1914" s="80" t="s">
        <v>84</v>
      </c>
      <c r="H1914" s="80" t="s">
        <v>84</v>
      </c>
      <c r="I1914" s="80" t="s">
        <v>84</v>
      </c>
      <c r="J1914" s="80" t="s">
        <v>84</v>
      </c>
      <c r="K1914" s="80" t="s">
        <v>84</v>
      </c>
      <c r="L1914" s="80" t="s">
        <v>84</v>
      </c>
      <c r="M1914" s="80" t="s">
        <v>84</v>
      </c>
      <c r="N1914" s="80" t="s">
        <v>84</v>
      </c>
      <c r="O1914" s="80" t="s">
        <v>84</v>
      </c>
      <c r="P1914" s="80"/>
      <c r="Q1914" s="80" t="s">
        <v>84</v>
      </c>
      <c r="R1914" s="80" t="s">
        <v>84</v>
      </c>
    </row>
    <row r="1915" spans="1:18" ht="20" x14ac:dyDescent="0.2">
      <c r="A1915" s="80" t="s">
        <v>1222</v>
      </c>
      <c r="B1915" s="80" t="s">
        <v>1223</v>
      </c>
      <c r="C1915" s="80" t="s">
        <v>9680</v>
      </c>
      <c r="D1915" s="80" t="s">
        <v>84</v>
      </c>
      <c r="E1915" s="80" t="s">
        <v>84</v>
      </c>
      <c r="F1915" s="80"/>
      <c r="G1915" s="80" t="s">
        <v>84</v>
      </c>
      <c r="H1915" s="80" t="s">
        <v>84</v>
      </c>
      <c r="I1915" s="80" t="s">
        <v>84</v>
      </c>
      <c r="J1915" s="80" t="s">
        <v>84</v>
      </c>
      <c r="K1915" s="80" t="s">
        <v>84</v>
      </c>
      <c r="L1915" s="80" t="s">
        <v>84</v>
      </c>
      <c r="M1915" s="80" t="s">
        <v>84</v>
      </c>
      <c r="N1915" s="80" t="s">
        <v>84</v>
      </c>
      <c r="O1915" s="80" t="s">
        <v>84</v>
      </c>
      <c r="P1915" s="80"/>
      <c r="Q1915" s="80" t="s">
        <v>84</v>
      </c>
      <c r="R1915" s="80" t="s">
        <v>84</v>
      </c>
    </row>
    <row r="1916" spans="1:18" ht="20" x14ac:dyDescent="0.2">
      <c r="A1916" s="80" t="s">
        <v>1252</v>
      </c>
      <c r="B1916" s="80" t="s">
        <v>1253</v>
      </c>
      <c r="C1916" s="80" t="s">
        <v>9680</v>
      </c>
      <c r="D1916" s="80" t="s">
        <v>84</v>
      </c>
      <c r="E1916" s="80" t="s">
        <v>84</v>
      </c>
      <c r="F1916" s="80"/>
      <c r="G1916" s="80" t="s">
        <v>84</v>
      </c>
      <c r="H1916" s="80" t="s">
        <v>84</v>
      </c>
      <c r="I1916" s="80" t="s">
        <v>84</v>
      </c>
      <c r="J1916" s="80" t="s">
        <v>84</v>
      </c>
      <c r="K1916" s="80" t="s">
        <v>84</v>
      </c>
      <c r="L1916" s="80" t="s">
        <v>84</v>
      </c>
      <c r="M1916" s="80" t="s">
        <v>84</v>
      </c>
      <c r="N1916" s="80" t="s">
        <v>84</v>
      </c>
      <c r="O1916" s="80" t="s">
        <v>84</v>
      </c>
      <c r="P1916" s="80"/>
      <c r="Q1916" s="80" t="s">
        <v>84</v>
      </c>
      <c r="R1916" s="80" t="s">
        <v>84</v>
      </c>
    </row>
    <row r="1917" spans="1:18" ht="20" x14ac:dyDescent="0.2">
      <c r="A1917" s="80" t="s">
        <v>1258</v>
      </c>
      <c r="B1917" s="80" t="s">
        <v>1259</v>
      </c>
      <c r="C1917" s="80" t="s">
        <v>9680</v>
      </c>
      <c r="D1917" s="80" t="s">
        <v>84</v>
      </c>
      <c r="E1917" s="80" t="s">
        <v>84</v>
      </c>
      <c r="F1917" s="80"/>
      <c r="G1917" s="80" t="s">
        <v>84</v>
      </c>
      <c r="H1917" s="80" t="s">
        <v>84</v>
      </c>
      <c r="I1917" s="80" t="s">
        <v>84</v>
      </c>
      <c r="J1917" s="80" t="s">
        <v>84</v>
      </c>
      <c r="K1917" s="80" t="s">
        <v>84</v>
      </c>
      <c r="L1917" s="80" t="s">
        <v>84</v>
      </c>
      <c r="M1917" s="80" t="s">
        <v>84</v>
      </c>
      <c r="N1917" s="80" t="s">
        <v>84</v>
      </c>
      <c r="O1917" s="80" t="s">
        <v>84</v>
      </c>
      <c r="P1917" s="80"/>
      <c r="Q1917" s="80" t="s">
        <v>84</v>
      </c>
      <c r="R1917" s="80" t="s">
        <v>84</v>
      </c>
    </row>
    <row r="1918" spans="1:18" ht="20" x14ac:dyDescent="0.2">
      <c r="A1918" s="80" t="s">
        <v>3903</v>
      </c>
      <c r="B1918" s="80" t="s">
        <v>3904</v>
      </c>
      <c r="C1918" s="80" t="s">
        <v>9680</v>
      </c>
      <c r="D1918" s="80" t="s">
        <v>9680</v>
      </c>
      <c r="E1918" s="80" t="s">
        <v>9680</v>
      </c>
      <c r="F1918" s="80"/>
      <c r="G1918" s="80" t="s">
        <v>9680</v>
      </c>
      <c r="H1918" s="80" t="s">
        <v>9680</v>
      </c>
      <c r="I1918" s="80" t="s">
        <v>9680</v>
      </c>
      <c r="J1918" s="80" t="s">
        <v>84</v>
      </c>
      <c r="K1918" s="80" t="s">
        <v>9680</v>
      </c>
      <c r="L1918" s="80" t="s">
        <v>9680</v>
      </c>
      <c r="M1918" s="80" t="s">
        <v>9680</v>
      </c>
      <c r="N1918" s="80" t="s">
        <v>9680</v>
      </c>
      <c r="O1918" s="80" t="s">
        <v>9680</v>
      </c>
      <c r="P1918" s="80"/>
      <c r="Q1918" s="80" t="s">
        <v>9680</v>
      </c>
      <c r="R1918" s="80" t="s">
        <v>9680</v>
      </c>
    </row>
    <row r="1919" spans="1:18" ht="20" x14ac:dyDescent="0.2">
      <c r="A1919" s="80" t="s">
        <v>3906</v>
      </c>
      <c r="B1919" s="80" t="s">
        <v>3907</v>
      </c>
      <c r="C1919" s="80" t="s">
        <v>9680</v>
      </c>
      <c r="D1919" s="80" t="s">
        <v>9680</v>
      </c>
      <c r="E1919" s="80" t="s">
        <v>84</v>
      </c>
      <c r="F1919" s="80"/>
      <c r="G1919" s="80" t="s">
        <v>9680</v>
      </c>
      <c r="H1919" s="80" t="s">
        <v>9680</v>
      </c>
      <c r="I1919" s="80" t="s">
        <v>9680</v>
      </c>
      <c r="J1919" s="80" t="s">
        <v>84</v>
      </c>
      <c r="K1919" s="80" t="s">
        <v>9680</v>
      </c>
      <c r="L1919" s="80" t="s">
        <v>9680</v>
      </c>
      <c r="M1919" s="80" t="s">
        <v>9680</v>
      </c>
      <c r="N1919" s="80" t="s">
        <v>84</v>
      </c>
      <c r="O1919" s="80" t="s">
        <v>9680</v>
      </c>
      <c r="P1919" s="80"/>
      <c r="Q1919" s="80" t="s">
        <v>9680</v>
      </c>
      <c r="R1919" s="80" t="s">
        <v>9680</v>
      </c>
    </row>
    <row r="1920" spans="1:18" ht="20" x14ac:dyDescent="0.2">
      <c r="A1920" s="80" t="s">
        <v>3975</v>
      </c>
      <c r="B1920" s="80" t="s">
        <v>3976</v>
      </c>
      <c r="C1920" s="80" t="s">
        <v>84</v>
      </c>
      <c r="D1920" s="80" t="s">
        <v>84</v>
      </c>
      <c r="E1920" s="80" t="s">
        <v>84</v>
      </c>
      <c r="F1920" s="80"/>
      <c r="G1920" s="80" t="s">
        <v>84</v>
      </c>
      <c r="H1920" s="80" t="s">
        <v>84</v>
      </c>
      <c r="I1920" s="80" t="s">
        <v>84</v>
      </c>
      <c r="J1920" s="80" t="s">
        <v>84</v>
      </c>
      <c r="K1920" s="80" t="s">
        <v>84</v>
      </c>
      <c r="L1920" s="80" t="s">
        <v>84</v>
      </c>
      <c r="M1920" s="80" t="s">
        <v>84</v>
      </c>
      <c r="N1920" s="80" t="s">
        <v>84</v>
      </c>
      <c r="O1920" s="80" t="s">
        <v>84</v>
      </c>
      <c r="P1920" s="80"/>
      <c r="Q1920" s="80" t="s">
        <v>84</v>
      </c>
      <c r="R1920" s="80" t="s">
        <v>84</v>
      </c>
    </row>
    <row r="1921" spans="1:18" ht="20" x14ac:dyDescent="0.2">
      <c r="A1921" s="80" t="s">
        <v>10359</v>
      </c>
      <c r="B1921" s="80" t="s">
        <v>10360</v>
      </c>
      <c r="C1921" s="80" t="s">
        <v>9680</v>
      </c>
      <c r="D1921" s="80" t="s">
        <v>84</v>
      </c>
      <c r="E1921" s="80" t="s">
        <v>84</v>
      </c>
      <c r="F1921" s="80"/>
      <c r="G1921" s="80" t="s">
        <v>84</v>
      </c>
      <c r="H1921" s="80" t="s">
        <v>84</v>
      </c>
      <c r="I1921" s="80" t="s">
        <v>84</v>
      </c>
      <c r="J1921" s="80" t="s">
        <v>84</v>
      </c>
      <c r="K1921" s="80" t="s">
        <v>84</v>
      </c>
      <c r="L1921" s="80" t="s">
        <v>84</v>
      </c>
      <c r="M1921" s="80" t="s">
        <v>84</v>
      </c>
      <c r="N1921" s="80" t="s">
        <v>84</v>
      </c>
      <c r="O1921" s="80" t="s">
        <v>84</v>
      </c>
      <c r="P1921" s="80"/>
      <c r="Q1921" s="80" t="s">
        <v>84</v>
      </c>
      <c r="R1921" s="80" t="s">
        <v>84</v>
      </c>
    </row>
    <row r="1922" spans="1:18" ht="20" x14ac:dyDescent="0.2">
      <c r="A1922" s="80" t="s">
        <v>1549</v>
      </c>
      <c r="B1922" s="80" t="s">
        <v>1550</v>
      </c>
      <c r="C1922" s="80" t="s">
        <v>9680</v>
      </c>
      <c r="D1922" s="80" t="s">
        <v>9680</v>
      </c>
      <c r="E1922" s="80" t="s">
        <v>9680</v>
      </c>
      <c r="F1922" s="80"/>
      <c r="G1922" s="80" t="s">
        <v>9680</v>
      </c>
      <c r="H1922" s="80" t="s">
        <v>9680</v>
      </c>
      <c r="I1922" s="80" t="s">
        <v>9680</v>
      </c>
      <c r="J1922" s="80" t="s">
        <v>9680</v>
      </c>
      <c r="K1922" s="80" t="s">
        <v>9680</v>
      </c>
      <c r="L1922" s="80" t="s">
        <v>9680</v>
      </c>
      <c r="M1922" s="80" t="s">
        <v>9680</v>
      </c>
      <c r="N1922" s="80" t="s">
        <v>9680</v>
      </c>
      <c r="O1922" s="80" t="s">
        <v>9680</v>
      </c>
      <c r="P1922" s="80"/>
      <c r="Q1922" s="80" t="s">
        <v>9680</v>
      </c>
      <c r="R1922" s="80" t="s">
        <v>9680</v>
      </c>
    </row>
    <row r="1923" spans="1:18" ht="20" x14ac:dyDescent="0.2">
      <c r="A1923" s="80" t="s">
        <v>1551</v>
      </c>
      <c r="B1923" s="80" t="s">
        <v>1552</v>
      </c>
      <c r="C1923" s="80" t="s">
        <v>9680</v>
      </c>
      <c r="D1923" s="80" t="s">
        <v>9680</v>
      </c>
      <c r="E1923" s="80" t="s">
        <v>84</v>
      </c>
      <c r="F1923" s="80"/>
      <c r="G1923" s="80" t="s">
        <v>9680</v>
      </c>
      <c r="H1923" s="80" t="s">
        <v>84</v>
      </c>
      <c r="I1923" s="80" t="s">
        <v>9680</v>
      </c>
      <c r="J1923" s="80" t="s">
        <v>84</v>
      </c>
      <c r="K1923" s="80" t="s">
        <v>9680</v>
      </c>
      <c r="L1923" s="80" t="s">
        <v>9680</v>
      </c>
      <c r="M1923" s="80" t="s">
        <v>9680</v>
      </c>
      <c r="N1923" s="80" t="s">
        <v>84</v>
      </c>
      <c r="O1923" s="80" t="s">
        <v>9680</v>
      </c>
      <c r="P1923" s="80"/>
      <c r="Q1923" s="80" t="s">
        <v>9680</v>
      </c>
      <c r="R1923" s="80" t="s">
        <v>9680</v>
      </c>
    </row>
    <row r="1924" spans="1:18" ht="20" x14ac:dyDescent="0.2">
      <c r="A1924" s="80" t="s">
        <v>1553</v>
      </c>
      <c r="B1924" s="80" t="s">
        <v>1554</v>
      </c>
      <c r="C1924" s="80" t="s">
        <v>9680</v>
      </c>
      <c r="D1924" s="80" t="s">
        <v>9680</v>
      </c>
      <c r="E1924" s="80" t="s">
        <v>84</v>
      </c>
      <c r="F1924" s="80"/>
      <c r="G1924" s="80" t="s">
        <v>9680</v>
      </c>
      <c r="H1924" s="80" t="s">
        <v>84</v>
      </c>
      <c r="I1924" s="80" t="s">
        <v>9680</v>
      </c>
      <c r="J1924" s="80" t="s">
        <v>84</v>
      </c>
      <c r="K1924" s="80" t="s">
        <v>9680</v>
      </c>
      <c r="L1924" s="80" t="s">
        <v>9680</v>
      </c>
      <c r="M1924" s="80" t="s">
        <v>9680</v>
      </c>
      <c r="N1924" s="80" t="s">
        <v>84</v>
      </c>
      <c r="O1924" s="80" t="s">
        <v>9680</v>
      </c>
      <c r="P1924" s="80"/>
      <c r="Q1924" s="80" t="s">
        <v>9680</v>
      </c>
      <c r="R1924" s="80" t="s">
        <v>9680</v>
      </c>
    </row>
    <row r="1925" spans="1:18" ht="20" x14ac:dyDescent="0.2">
      <c r="A1925" s="80" t="s">
        <v>1555</v>
      </c>
      <c r="B1925" s="80" t="s">
        <v>1556</v>
      </c>
      <c r="C1925" s="80" t="s">
        <v>9680</v>
      </c>
      <c r="D1925" s="80" t="s">
        <v>9680</v>
      </c>
      <c r="E1925" s="80" t="s">
        <v>84</v>
      </c>
      <c r="F1925" s="80"/>
      <c r="G1925" s="80" t="s">
        <v>9680</v>
      </c>
      <c r="H1925" s="80" t="s">
        <v>84</v>
      </c>
      <c r="I1925" s="80" t="s">
        <v>9680</v>
      </c>
      <c r="J1925" s="80" t="s">
        <v>84</v>
      </c>
      <c r="K1925" s="80" t="s">
        <v>9680</v>
      </c>
      <c r="L1925" s="80" t="s">
        <v>9680</v>
      </c>
      <c r="M1925" s="80" t="s">
        <v>9680</v>
      </c>
      <c r="N1925" s="80" t="s">
        <v>84</v>
      </c>
      <c r="O1925" s="80" t="s">
        <v>9680</v>
      </c>
      <c r="P1925" s="80"/>
      <c r="Q1925" s="80" t="s">
        <v>9680</v>
      </c>
      <c r="R1925" s="80" t="s">
        <v>9680</v>
      </c>
    </row>
    <row r="1926" spans="1:18" ht="20" x14ac:dyDescent="0.2">
      <c r="A1926" s="80" t="s">
        <v>1557</v>
      </c>
      <c r="B1926" s="80" t="s">
        <v>1558</v>
      </c>
      <c r="C1926" s="80" t="s">
        <v>9680</v>
      </c>
      <c r="D1926" s="80" t="s">
        <v>9680</v>
      </c>
      <c r="E1926" s="80" t="s">
        <v>84</v>
      </c>
      <c r="F1926" s="80"/>
      <c r="G1926" s="80" t="s">
        <v>9680</v>
      </c>
      <c r="H1926" s="80" t="s">
        <v>84</v>
      </c>
      <c r="I1926" s="80" t="s">
        <v>9680</v>
      </c>
      <c r="J1926" s="80" t="s">
        <v>84</v>
      </c>
      <c r="K1926" s="80" t="s">
        <v>9680</v>
      </c>
      <c r="L1926" s="80" t="s">
        <v>9680</v>
      </c>
      <c r="M1926" s="80" t="s">
        <v>9680</v>
      </c>
      <c r="N1926" s="80" t="s">
        <v>84</v>
      </c>
      <c r="O1926" s="80" t="s">
        <v>9680</v>
      </c>
      <c r="P1926" s="80"/>
      <c r="Q1926" s="80" t="s">
        <v>9680</v>
      </c>
      <c r="R1926" s="80" t="s">
        <v>9680</v>
      </c>
    </row>
    <row r="1927" spans="1:18" ht="20" x14ac:dyDescent="0.2">
      <c r="A1927" s="80" t="s">
        <v>1559</v>
      </c>
      <c r="B1927" s="80" t="s">
        <v>1560</v>
      </c>
      <c r="C1927" s="80" t="s">
        <v>9680</v>
      </c>
      <c r="D1927" s="80" t="s">
        <v>9680</v>
      </c>
      <c r="E1927" s="80" t="s">
        <v>84</v>
      </c>
      <c r="F1927" s="80"/>
      <c r="G1927" s="80" t="s">
        <v>9680</v>
      </c>
      <c r="H1927" s="80" t="s">
        <v>84</v>
      </c>
      <c r="I1927" s="80" t="s">
        <v>9680</v>
      </c>
      <c r="J1927" s="80" t="s">
        <v>84</v>
      </c>
      <c r="K1927" s="80" t="s">
        <v>9680</v>
      </c>
      <c r="L1927" s="80" t="s">
        <v>9680</v>
      </c>
      <c r="M1927" s="80" t="s">
        <v>9680</v>
      </c>
      <c r="N1927" s="80" t="s">
        <v>84</v>
      </c>
      <c r="O1927" s="80" t="s">
        <v>9680</v>
      </c>
      <c r="P1927" s="80"/>
      <c r="Q1927" s="80" t="s">
        <v>9680</v>
      </c>
      <c r="R1927" s="80" t="s">
        <v>9680</v>
      </c>
    </row>
    <row r="1928" spans="1:18" ht="20" x14ac:dyDescent="0.2">
      <c r="A1928" s="80" t="s">
        <v>1561</v>
      </c>
      <c r="B1928" s="80" t="s">
        <v>1562</v>
      </c>
      <c r="C1928" s="80" t="s">
        <v>9680</v>
      </c>
      <c r="D1928" s="80" t="s">
        <v>9680</v>
      </c>
      <c r="E1928" s="80" t="s">
        <v>9680</v>
      </c>
      <c r="F1928" s="80"/>
      <c r="G1928" s="80" t="s">
        <v>9680</v>
      </c>
      <c r="H1928" s="80" t="s">
        <v>9680</v>
      </c>
      <c r="I1928" s="80" t="s">
        <v>9680</v>
      </c>
      <c r="J1928" s="80" t="s">
        <v>84</v>
      </c>
      <c r="K1928" s="80" t="s">
        <v>9680</v>
      </c>
      <c r="L1928" s="80" t="s">
        <v>9680</v>
      </c>
      <c r="M1928" s="80" t="s">
        <v>9680</v>
      </c>
      <c r="N1928" s="80" t="s">
        <v>9680</v>
      </c>
      <c r="O1928" s="80" t="s">
        <v>9680</v>
      </c>
      <c r="P1928" s="80"/>
      <c r="Q1928" s="80" t="s">
        <v>9680</v>
      </c>
      <c r="R1928" s="80" t="s">
        <v>9680</v>
      </c>
    </row>
    <row r="1929" spans="1:18" ht="20" x14ac:dyDescent="0.2">
      <c r="A1929" s="80" t="s">
        <v>1561</v>
      </c>
      <c r="B1929" s="80" t="s">
        <v>10361</v>
      </c>
      <c r="C1929" s="80" t="s">
        <v>9680</v>
      </c>
      <c r="D1929" s="80" t="s">
        <v>9680</v>
      </c>
      <c r="E1929" s="80" t="s">
        <v>9680</v>
      </c>
      <c r="F1929" s="80"/>
      <c r="G1929" s="80" t="s">
        <v>9680</v>
      </c>
      <c r="H1929" s="80" t="s">
        <v>9680</v>
      </c>
      <c r="I1929" s="80" t="s">
        <v>9680</v>
      </c>
      <c r="J1929" s="80" t="s">
        <v>84</v>
      </c>
      <c r="K1929" s="80" t="s">
        <v>9680</v>
      </c>
      <c r="L1929" s="80" t="s">
        <v>9680</v>
      </c>
      <c r="M1929" s="80" t="s">
        <v>9680</v>
      </c>
      <c r="N1929" s="80" t="s">
        <v>9680</v>
      </c>
      <c r="O1929" s="80" t="s">
        <v>9680</v>
      </c>
      <c r="P1929" s="80"/>
      <c r="Q1929" s="80" t="s">
        <v>9680</v>
      </c>
      <c r="R1929" s="80" t="s">
        <v>9680</v>
      </c>
    </row>
    <row r="1930" spans="1:18" ht="20" x14ac:dyDescent="0.2">
      <c r="A1930" s="80" t="s">
        <v>1717</v>
      </c>
      <c r="B1930" s="80" t="s">
        <v>1718</v>
      </c>
      <c r="C1930" s="80" t="s">
        <v>9680</v>
      </c>
      <c r="D1930" s="80" t="s">
        <v>9680</v>
      </c>
      <c r="E1930" s="80" t="s">
        <v>84</v>
      </c>
      <c r="F1930" s="80"/>
      <c r="G1930" s="80" t="s">
        <v>9680</v>
      </c>
      <c r="H1930" s="80" t="s">
        <v>84</v>
      </c>
      <c r="I1930" s="80" t="s">
        <v>9680</v>
      </c>
      <c r="J1930" s="80" t="s">
        <v>84</v>
      </c>
      <c r="K1930" s="80" t="s">
        <v>9680</v>
      </c>
      <c r="L1930" s="80" t="s">
        <v>9680</v>
      </c>
      <c r="M1930" s="80" t="s">
        <v>9680</v>
      </c>
      <c r="N1930" s="80" t="s">
        <v>84</v>
      </c>
      <c r="O1930" s="80" t="s">
        <v>9680</v>
      </c>
      <c r="P1930" s="80"/>
      <c r="Q1930" s="80" t="s">
        <v>9680</v>
      </c>
      <c r="R1930" s="80" t="s">
        <v>9680</v>
      </c>
    </row>
    <row r="1931" spans="1:18" ht="20" x14ac:dyDescent="0.2">
      <c r="A1931" s="80" t="s">
        <v>1719</v>
      </c>
      <c r="B1931" s="80" t="s">
        <v>1720</v>
      </c>
      <c r="C1931" s="80" t="s">
        <v>9680</v>
      </c>
      <c r="D1931" s="80" t="s">
        <v>9680</v>
      </c>
      <c r="E1931" s="80" t="s">
        <v>84</v>
      </c>
      <c r="F1931" s="80"/>
      <c r="G1931" s="80" t="s">
        <v>9680</v>
      </c>
      <c r="H1931" s="80" t="s">
        <v>84</v>
      </c>
      <c r="I1931" s="80" t="s">
        <v>9680</v>
      </c>
      <c r="J1931" s="80" t="s">
        <v>84</v>
      </c>
      <c r="K1931" s="80" t="s">
        <v>9680</v>
      </c>
      <c r="L1931" s="80" t="s">
        <v>9680</v>
      </c>
      <c r="M1931" s="80" t="s">
        <v>9680</v>
      </c>
      <c r="N1931" s="80" t="s">
        <v>84</v>
      </c>
      <c r="O1931" s="80" t="s">
        <v>9680</v>
      </c>
      <c r="P1931" s="80"/>
      <c r="Q1931" s="80" t="s">
        <v>9680</v>
      </c>
      <c r="R1931" s="80" t="s">
        <v>9680</v>
      </c>
    </row>
    <row r="1932" spans="1:18" ht="20" x14ac:dyDescent="0.2">
      <c r="A1932" s="80" t="s">
        <v>1566</v>
      </c>
      <c r="B1932" s="80" t="s">
        <v>1567</v>
      </c>
      <c r="C1932" s="80" t="s">
        <v>84</v>
      </c>
      <c r="D1932" s="80" t="s">
        <v>84</v>
      </c>
      <c r="E1932" s="80" t="s">
        <v>84</v>
      </c>
      <c r="F1932" s="80"/>
      <c r="G1932" s="80" t="s">
        <v>84</v>
      </c>
      <c r="H1932" s="80" t="s">
        <v>84</v>
      </c>
      <c r="I1932" s="80" t="s">
        <v>84</v>
      </c>
      <c r="J1932" s="80" t="s">
        <v>84</v>
      </c>
      <c r="K1932" s="80" t="s">
        <v>84</v>
      </c>
      <c r="L1932" s="80" t="s">
        <v>84</v>
      </c>
      <c r="M1932" s="80" t="s">
        <v>84</v>
      </c>
      <c r="N1932" s="80" t="s">
        <v>84</v>
      </c>
      <c r="O1932" s="80" t="s">
        <v>84</v>
      </c>
      <c r="P1932" s="80"/>
      <c r="Q1932" s="80" t="s">
        <v>84</v>
      </c>
      <c r="R1932" s="80" t="s">
        <v>84</v>
      </c>
    </row>
    <row r="1933" spans="1:18" ht="20" x14ac:dyDescent="0.2">
      <c r="A1933" s="80" t="s">
        <v>1570</v>
      </c>
      <c r="B1933" s="80" t="s">
        <v>1571</v>
      </c>
      <c r="C1933" s="80" t="s">
        <v>9680</v>
      </c>
      <c r="D1933" s="80" t="s">
        <v>9680</v>
      </c>
      <c r="E1933" s="80" t="s">
        <v>84</v>
      </c>
      <c r="F1933" s="80"/>
      <c r="G1933" s="80" t="s">
        <v>84</v>
      </c>
      <c r="H1933" s="80" t="s">
        <v>9680</v>
      </c>
      <c r="I1933" s="80" t="s">
        <v>9680</v>
      </c>
      <c r="J1933" s="80" t="s">
        <v>84</v>
      </c>
      <c r="K1933" s="80" t="s">
        <v>9680</v>
      </c>
      <c r="L1933" s="80" t="s">
        <v>9680</v>
      </c>
      <c r="M1933" s="80" t="s">
        <v>9680</v>
      </c>
      <c r="N1933" s="80" t="s">
        <v>84</v>
      </c>
      <c r="O1933" s="80" t="s">
        <v>9680</v>
      </c>
      <c r="P1933" s="80"/>
      <c r="Q1933" s="80" t="s">
        <v>9680</v>
      </c>
      <c r="R1933" s="80" t="s">
        <v>9680</v>
      </c>
    </row>
    <row r="1934" spans="1:18" ht="20" x14ac:dyDescent="0.2">
      <c r="A1934" s="80" t="s">
        <v>1572</v>
      </c>
      <c r="B1934" s="80" t="s">
        <v>1573</v>
      </c>
      <c r="C1934" s="80" t="s">
        <v>9680</v>
      </c>
      <c r="D1934" s="80" t="s">
        <v>9680</v>
      </c>
      <c r="E1934" s="80" t="s">
        <v>84</v>
      </c>
      <c r="F1934" s="80"/>
      <c r="G1934" s="80" t="s">
        <v>9680</v>
      </c>
      <c r="H1934" s="80" t="s">
        <v>9680</v>
      </c>
      <c r="I1934" s="80" t="s">
        <v>9680</v>
      </c>
      <c r="J1934" s="80" t="s">
        <v>84</v>
      </c>
      <c r="K1934" s="80" t="s">
        <v>9680</v>
      </c>
      <c r="L1934" s="80" t="s">
        <v>9680</v>
      </c>
      <c r="M1934" s="80" t="s">
        <v>9680</v>
      </c>
      <c r="N1934" s="80" t="s">
        <v>84</v>
      </c>
      <c r="O1934" s="80" t="s">
        <v>9680</v>
      </c>
      <c r="P1934" s="80"/>
      <c r="Q1934" s="80" t="s">
        <v>9680</v>
      </c>
      <c r="R1934" s="80" t="s">
        <v>9680</v>
      </c>
    </row>
    <row r="1935" spans="1:18" ht="20" x14ac:dyDescent="0.2">
      <c r="A1935" s="80" t="s">
        <v>1574</v>
      </c>
      <c r="B1935" s="80" t="s">
        <v>1575</v>
      </c>
      <c r="C1935" s="80" t="s">
        <v>9680</v>
      </c>
      <c r="D1935" s="80" t="s">
        <v>9680</v>
      </c>
      <c r="E1935" s="80" t="s">
        <v>84</v>
      </c>
      <c r="F1935" s="80"/>
      <c r="G1935" s="80" t="s">
        <v>84</v>
      </c>
      <c r="H1935" s="80" t="s">
        <v>9680</v>
      </c>
      <c r="I1935" s="80" t="s">
        <v>9680</v>
      </c>
      <c r="J1935" s="80" t="s">
        <v>84</v>
      </c>
      <c r="K1935" s="80" t="s">
        <v>9680</v>
      </c>
      <c r="L1935" s="80" t="s">
        <v>9680</v>
      </c>
      <c r="M1935" s="80" t="s">
        <v>9680</v>
      </c>
      <c r="N1935" s="80" t="s">
        <v>84</v>
      </c>
      <c r="O1935" s="80" t="s">
        <v>9680</v>
      </c>
      <c r="P1935" s="80"/>
      <c r="Q1935" s="80" t="s">
        <v>9680</v>
      </c>
      <c r="R1935" s="80" t="s">
        <v>9680</v>
      </c>
    </row>
    <row r="1936" spans="1:18" ht="20" x14ac:dyDescent="0.2">
      <c r="A1936" s="80" t="s">
        <v>1721</v>
      </c>
      <c r="B1936" s="80" t="s">
        <v>1722</v>
      </c>
      <c r="C1936" s="80" t="s">
        <v>9680</v>
      </c>
      <c r="D1936" s="80" t="s">
        <v>9680</v>
      </c>
      <c r="E1936" s="80" t="s">
        <v>84</v>
      </c>
      <c r="F1936" s="80"/>
      <c r="G1936" s="80" t="s">
        <v>84</v>
      </c>
      <c r="H1936" s="80" t="s">
        <v>9680</v>
      </c>
      <c r="I1936" s="80" t="s">
        <v>9680</v>
      </c>
      <c r="J1936" s="80" t="s">
        <v>84</v>
      </c>
      <c r="K1936" s="80" t="s">
        <v>9680</v>
      </c>
      <c r="L1936" s="80" t="s">
        <v>9680</v>
      </c>
      <c r="M1936" s="80" t="s">
        <v>9680</v>
      </c>
      <c r="N1936" s="80" t="s">
        <v>84</v>
      </c>
      <c r="O1936" s="80" t="s">
        <v>9680</v>
      </c>
      <c r="P1936" s="80"/>
      <c r="Q1936" s="80" t="s">
        <v>9680</v>
      </c>
      <c r="R1936" s="80" t="s">
        <v>9680</v>
      </c>
    </row>
    <row r="1937" spans="1:18" ht="20" x14ac:dyDescent="0.2">
      <c r="A1937" s="80" t="s">
        <v>1723</v>
      </c>
      <c r="B1937" s="80" t="s">
        <v>1724</v>
      </c>
      <c r="C1937" s="80" t="s">
        <v>9680</v>
      </c>
      <c r="D1937" s="80" t="s">
        <v>9680</v>
      </c>
      <c r="E1937" s="80" t="s">
        <v>84</v>
      </c>
      <c r="F1937" s="80"/>
      <c r="G1937" s="80" t="s">
        <v>84</v>
      </c>
      <c r="H1937" s="80" t="s">
        <v>9680</v>
      </c>
      <c r="I1937" s="80" t="s">
        <v>9680</v>
      </c>
      <c r="J1937" s="80" t="s">
        <v>84</v>
      </c>
      <c r="K1937" s="80" t="s">
        <v>9680</v>
      </c>
      <c r="L1937" s="80" t="s">
        <v>9680</v>
      </c>
      <c r="M1937" s="80" t="s">
        <v>9680</v>
      </c>
      <c r="N1937" s="80" t="s">
        <v>84</v>
      </c>
      <c r="O1937" s="80" t="s">
        <v>9680</v>
      </c>
      <c r="P1937" s="80"/>
      <c r="Q1937" s="80" t="s">
        <v>9680</v>
      </c>
      <c r="R1937" s="80" t="s">
        <v>9680</v>
      </c>
    </row>
    <row r="1938" spans="1:18" ht="20" x14ac:dyDescent="0.2">
      <c r="A1938" s="80" t="s">
        <v>1725</v>
      </c>
      <c r="B1938" s="80" t="s">
        <v>1726</v>
      </c>
      <c r="C1938" s="80" t="s">
        <v>9680</v>
      </c>
      <c r="D1938" s="80" t="s">
        <v>9680</v>
      </c>
      <c r="E1938" s="80" t="s">
        <v>84</v>
      </c>
      <c r="F1938" s="80"/>
      <c r="G1938" s="80" t="s">
        <v>84</v>
      </c>
      <c r="H1938" s="80" t="s">
        <v>9680</v>
      </c>
      <c r="I1938" s="80" t="s">
        <v>9680</v>
      </c>
      <c r="J1938" s="80" t="s">
        <v>84</v>
      </c>
      <c r="K1938" s="80" t="s">
        <v>9680</v>
      </c>
      <c r="L1938" s="80" t="s">
        <v>9680</v>
      </c>
      <c r="M1938" s="80" t="s">
        <v>9680</v>
      </c>
      <c r="N1938" s="80" t="s">
        <v>84</v>
      </c>
      <c r="O1938" s="80" t="s">
        <v>9680</v>
      </c>
      <c r="P1938" s="80"/>
      <c r="Q1938" s="80" t="s">
        <v>9680</v>
      </c>
      <c r="R1938" s="80" t="s">
        <v>9680</v>
      </c>
    </row>
    <row r="1939" spans="1:18" ht="20" x14ac:dyDescent="0.2">
      <c r="A1939" s="80" t="s">
        <v>1672</v>
      </c>
      <c r="B1939" s="80" t="s">
        <v>10362</v>
      </c>
      <c r="C1939" s="80" t="s">
        <v>9680</v>
      </c>
      <c r="D1939" s="80" t="s">
        <v>84</v>
      </c>
      <c r="E1939" s="80" t="s">
        <v>84</v>
      </c>
      <c r="F1939" s="80"/>
      <c r="G1939" s="80" t="s">
        <v>84</v>
      </c>
      <c r="H1939" s="80" t="s">
        <v>84</v>
      </c>
      <c r="I1939" s="80" t="s">
        <v>84</v>
      </c>
      <c r="J1939" s="80" t="s">
        <v>84</v>
      </c>
      <c r="K1939" s="80" t="s">
        <v>84</v>
      </c>
      <c r="L1939" s="80" t="s">
        <v>84</v>
      </c>
      <c r="M1939" s="80" t="s">
        <v>84</v>
      </c>
      <c r="N1939" s="80" t="s">
        <v>84</v>
      </c>
      <c r="O1939" s="80" t="s">
        <v>84</v>
      </c>
      <c r="P1939" s="80"/>
      <c r="Q1939" s="80" t="s">
        <v>84</v>
      </c>
      <c r="R1939" s="80" t="s">
        <v>84</v>
      </c>
    </row>
    <row r="1940" spans="1:18" ht="20" x14ac:dyDescent="0.2">
      <c r="A1940" s="80" t="s">
        <v>1672</v>
      </c>
      <c r="B1940" s="80" t="s">
        <v>1673</v>
      </c>
      <c r="C1940" s="80" t="s">
        <v>9680</v>
      </c>
      <c r="D1940" s="80" t="s">
        <v>84</v>
      </c>
      <c r="E1940" s="80" t="s">
        <v>84</v>
      </c>
      <c r="F1940" s="80"/>
      <c r="G1940" s="80" t="s">
        <v>84</v>
      </c>
      <c r="H1940" s="80" t="s">
        <v>84</v>
      </c>
      <c r="I1940" s="80" t="s">
        <v>84</v>
      </c>
      <c r="J1940" s="80" t="s">
        <v>84</v>
      </c>
      <c r="K1940" s="80" t="s">
        <v>84</v>
      </c>
      <c r="L1940" s="80" t="s">
        <v>84</v>
      </c>
      <c r="M1940" s="80" t="s">
        <v>84</v>
      </c>
      <c r="N1940" s="80" t="s">
        <v>84</v>
      </c>
      <c r="O1940" s="80" t="s">
        <v>84</v>
      </c>
      <c r="P1940" s="80"/>
      <c r="Q1940" s="80" t="s">
        <v>84</v>
      </c>
      <c r="R1940" s="80" t="s">
        <v>84</v>
      </c>
    </row>
    <row r="1941" spans="1:18" ht="20" x14ac:dyDescent="0.2">
      <c r="A1941" s="80" t="s">
        <v>1672</v>
      </c>
      <c r="B1941" s="80" t="s">
        <v>10363</v>
      </c>
      <c r="C1941" s="80" t="s">
        <v>9680</v>
      </c>
      <c r="D1941" s="80" t="s">
        <v>84</v>
      </c>
      <c r="E1941" s="80" t="s">
        <v>84</v>
      </c>
      <c r="F1941" s="80"/>
      <c r="G1941" s="80" t="s">
        <v>84</v>
      </c>
      <c r="H1941" s="80" t="s">
        <v>84</v>
      </c>
      <c r="I1941" s="80" t="s">
        <v>84</v>
      </c>
      <c r="J1941" s="80" t="s">
        <v>84</v>
      </c>
      <c r="K1941" s="80" t="s">
        <v>84</v>
      </c>
      <c r="L1941" s="80" t="s">
        <v>84</v>
      </c>
      <c r="M1941" s="80" t="s">
        <v>84</v>
      </c>
      <c r="N1941" s="80" t="s">
        <v>84</v>
      </c>
      <c r="O1941" s="80" t="s">
        <v>84</v>
      </c>
      <c r="P1941" s="80"/>
      <c r="Q1941" s="80" t="s">
        <v>84</v>
      </c>
      <c r="R1941" s="80" t="s">
        <v>84</v>
      </c>
    </row>
    <row r="1942" spans="1:18" ht="20" x14ac:dyDescent="0.2">
      <c r="A1942" s="80" t="s">
        <v>10364</v>
      </c>
      <c r="B1942" s="80" t="s">
        <v>10365</v>
      </c>
      <c r="C1942" s="80" t="s">
        <v>9680</v>
      </c>
      <c r="D1942" s="80" t="s">
        <v>84</v>
      </c>
      <c r="E1942" s="80" t="s">
        <v>84</v>
      </c>
      <c r="F1942" s="80"/>
      <c r="G1942" s="80" t="s">
        <v>84</v>
      </c>
      <c r="H1942" s="80" t="s">
        <v>84</v>
      </c>
      <c r="I1942" s="80" t="s">
        <v>84</v>
      </c>
      <c r="J1942" s="80" t="s">
        <v>84</v>
      </c>
      <c r="K1942" s="80" t="s">
        <v>84</v>
      </c>
      <c r="L1942" s="80" t="s">
        <v>84</v>
      </c>
      <c r="M1942" s="80" t="s">
        <v>84</v>
      </c>
      <c r="N1942" s="80" t="s">
        <v>84</v>
      </c>
      <c r="O1942" s="80" t="s">
        <v>84</v>
      </c>
      <c r="P1942" s="80"/>
      <c r="Q1942" s="80" t="s">
        <v>84</v>
      </c>
      <c r="R1942" s="80" t="s">
        <v>84</v>
      </c>
    </row>
    <row r="1943" spans="1:18" ht="20" x14ac:dyDescent="0.2">
      <c r="A1943" s="80" t="s">
        <v>1439</v>
      </c>
      <c r="B1943" s="80" t="s">
        <v>1440</v>
      </c>
      <c r="C1943" s="80" t="s">
        <v>9680</v>
      </c>
      <c r="D1943" s="80" t="s">
        <v>84</v>
      </c>
      <c r="E1943" s="80" t="s">
        <v>84</v>
      </c>
      <c r="F1943" s="80"/>
      <c r="G1943" s="80" t="s">
        <v>84</v>
      </c>
      <c r="H1943" s="80" t="s">
        <v>84</v>
      </c>
      <c r="I1943" s="80" t="s">
        <v>84</v>
      </c>
      <c r="J1943" s="80" t="s">
        <v>84</v>
      </c>
      <c r="K1943" s="80" t="s">
        <v>84</v>
      </c>
      <c r="L1943" s="80" t="s">
        <v>84</v>
      </c>
      <c r="M1943" s="80" t="s">
        <v>84</v>
      </c>
      <c r="N1943" s="80" t="s">
        <v>84</v>
      </c>
      <c r="O1943" s="80" t="s">
        <v>84</v>
      </c>
      <c r="P1943" s="80"/>
      <c r="Q1943" s="80" t="s">
        <v>84</v>
      </c>
      <c r="R1943" s="80" t="s">
        <v>84</v>
      </c>
    </row>
    <row r="1944" spans="1:18" ht="20" x14ac:dyDescent="0.2">
      <c r="A1944" s="80" t="s">
        <v>1439</v>
      </c>
      <c r="B1944" s="80" t="s">
        <v>10366</v>
      </c>
      <c r="C1944" s="80" t="s">
        <v>9680</v>
      </c>
      <c r="D1944" s="80" t="s">
        <v>84</v>
      </c>
      <c r="E1944" s="80" t="s">
        <v>84</v>
      </c>
      <c r="F1944" s="80"/>
      <c r="G1944" s="80" t="s">
        <v>84</v>
      </c>
      <c r="H1944" s="80" t="s">
        <v>84</v>
      </c>
      <c r="I1944" s="80" t="s">
        <v>84</v>
      </c>
      <c r="J1944" s="80" t="s">
        <v>84</v>
      </c>
      <c r="K1944" s="80" t="s">
        <v>84</v>
      </c>
      <c r="L1944" s="80" t="s">
        <v>84</v>
      </c>
      <c r="M1944" s="80" t="s">
        <v>84</v>
      </c>
      <c r="N1944" s="80" t="s">
        <v>84</v>
      </c>
      <c r="O1944" s="80" t="s">
        <v>84</v>
      </c>
      <c r="P1944" s="80"/>
      <c r="Q1944" s="80" t="s">
        <v>84</v>
      </c>
      <c r="R1944" s="80" t="s">
        <v>84</v>
      </c>
    </row>
    <row r="1945" spans="1:18" ht="20" x14ac:dyDescent="0.2">
      <c r="A1945" s="80" t="s">
        <v>1439</v>
      </c>
      <c r="B1945" s="80" t="s">
        <v>1678</v>
      </c>
      <c r="C1945" s="80" t="s">
        <v>9680</v>
      </c>
      <c r="D1945" s="80" t="s">
        <v>84</v>
      </c>
      <c r="E1945" s="80" t="s">
        <v>84</v>
      </c>
      <c r="F1945" s="80"/>
      <c r="G1945" s="80" t="s">
        <v>84</v>
      </c>
      <c r="H1945" s="80" t="s">
        <v>84</v>
      </c>
      <c r="I1945" s="80" t="s">
        <v>84</v>
      </c>
      <c r="J1945" s="80" t="s">
        <v>84</v>
      </c>
      <c r="K1945" s="80" t="s">
        <v>84</v>
      </c>
      <c r="L1945" s="80" t="s">
        <v>84</v>
      </c>
      <c r="M1945" s="80" t="s">
        <v>84</v>
      </c>
      <c r="N1945" s="80" t="s">
        <v>84</v>
      </c>
      <c r="O1945" s="80" t="s">
        <v>84</v>
      </c>
      <c r="P1945" s="80"/>
      <c r="Q1945" s="80" t="s">
        <v>84</v>
      </c>
      <c r="R1945" s="80" t="s">
        <v>84</v>
      </c>
    </row>
    <row r="1946" spans="1:18" ht="20" x14ac:dyDescent="0.2">
      <c r="A1946" s="80" t="s">
        <v>1439</v>
      </c>
      <c r="B1946" s="80" t="s">
        <v>10367</v>
      </c>
      <c r="C1946" s="80" t="s">
        <v>9680</v>
      </c>
      <c r="D1946" s="80" t="s">
        <v>84</v>
      </c>
      <c r="E1946" s="80" t="s">
        <v>84</v>
      </c>
      <c r="F1946" s="80"/>
      <c r="G1946" s="80" t="s">
        <v>84</v>
      </c>
      <c r="H1946" s="80" t="s">
        <v>84</v>
      </c>
      <c r="I1946" s="80" t="s">
        <v>84</v>
      </c>
      <c r="J1946" s="80" t="s">
        <v>84</v>
      </c>
      <c r="K1946" s="80" t="s">
        <v>84</v>
      </c>
      <c r="L1946" s="80" t="s">
        <v>84</v>
      </c>
      <c r="M1946" s="80" t="s">
        <v>84</v>
      </c>
      <c r="N1946" s="80" t="s">
        <v>84</v>
      </c>
      <c r="O1946" s="80" t="s">
        <v>84</v>
      </c>
      <c r="P1946" s="80"/>
      <c r="Q1946" s="80" t="s">
        <v>84</v>
      </c>
      <c r="R1946" s="80" t="s">
        <v>84</v>
      </c>
    </row>
    <row r="1947" spans="1:18" ht="20" x14ac:dyDescent="0.2">
      <c r="A1947" s="80" t="s">
        <v>10368</v>
      </c>
      <c r="B1947" s="80" t="s">
        <v>10369</v>
      </c>
      <c r="C1947" s="80" t="s">
        <v>9680</v>
      </c>
      <c r="D1947" s="80" t="s">
        <v>84</v>
      </c>
      <c r="E1947" s="80" t="s">
        <v>84</v>
      </c>
      <c r="F1947" s="80"/>
      <c r="G1947" s="80" t="s">
        <v>84</v>
      </c>
      <c r="H1947" s="80" t="s">
        <v>84</v>
      </c>
      <c r="I1947" s="80" t="s">
        <v>84</v>
      </c>
      <c r="J1947" s="80" t="s">
        <v>84</v>
      </c>
      <c r="K1947" s="80" t="s">
        <v>84</v>
      </c>
      <c r="L1947" s="80" t="s">
        <v>84</v>
      </c>
      <c r="M1947" s="80" t="s">
        <v>84</v>
      </c>
      <c r="N1947" s="80" t="s">
        <v>84</v>
      </c>
      <c r="O1947" s="80" t="s">
        <v>84</v>
      </c>
      <c r="P1947" s="80"/>
      <c r="Q1947" s="80" t="s">
        <v>84</v>
      </c>
      <c r="R1947" s="80" t="s">
        <v>84</v>
      </c>
    </row>
    <row r="1948" spans="1:18" ht="20" x14ac:dyDescent="0.2">
      <c r="A1948" s="80" t="s">
        <v>1487</v>
      </c>
      <c r="B1948" s="80" t="s">
        <v>1488</v>
      </c>
      <c r="C1948" s="80" t="s">
        <v>9680</v>
      </c>
      <c r="D1948" s="80" t="s">
        <v>84</v>
      </c>
      <c r="E1948" s="80" t="s">
        <v>84</v>
      </c>
      <c r="F1948" s="80"/>
      <c r="G1948" s="80" t="s">
        <v>84</v>
      </c>
      <c r="H1948" s="80" t="s">
        <v>84</v>
      </c>
      <c r="I1948" s="80" t="s">
        <v>84</v>
      </c>
      <c r="J1948" s="80" t="s">
        <v>84</v>
      </c>
      <c r="K1948" s="80" t="s">
        <v>84</v>
      </c>
      <c r="L1948" s="80" t="s">
        <v>84</v>
      </c>
      <c r="M1948" s="80" t="s">
        <v>84</v>
      </c>
      <c r="N1948" s="80" t="s">
        <v>84</v>
      </c>
      <c r="O1948" s="80" t="s">
        <v>84</v>
      </c>
      <c r="P1948" s="80"/>
      <c r="Q1948" s="80" t="s">
        <v>84</v>
      </c>
      <c r="R1948" s="80" t="s">
        <v>84</v>
      </c>
    </row>
    <row r="1949" spans="1:18" ht="20" x14ac:dyDescent="0.2">
      <c r="A1949" s="80" t="s">
        <v>1487</v>
      </c>
      <c r="B1949" s="80" t="s">
        <v>10370</v>
      </c>
      <c r="C1949" s="80" t="s">
        <v>9680</v>
      </c>
      <c r="D1949" s="80" t="s">
        <v>84</v>
      </c>
      <c r="E1949" s="80" t="s">
        <v>84</v>
      </c>
      <c r="F1949" s="80"/>
      <c r="G1949" s="80" t="s">
        <v>84</v>
      </c>
      <c r="H1949" s="80" t="s">
        <v>84</v>
      </c>
      <c r="I1949" s="80" t="s">
        <v>84</v>
      </c>
      <c r="J1949" s="80" t="s">
        <v>84</v>
      </c>
      <c r="K1949" s="80" t="s">
        <v>84</v>
      </c>
      <c r="L1949" s="80" t="s">
        <v>84</v>
      </c>
      <c r="M1949" s="80" t="s">
        <v>84</v>
      </c>
      <c r="N1949" s="80" t="s">
        <v>84</v>
      </c>
      <c r="O1949" s="80" t="s">
        <v>84</v>
      </c>
      <c r="P1949" s="80"/>
      <c r="Q1949" s="80" t="s">
        <v>84</v>
      </c>
      <c r="R1949" s="80" t="s">
        <v>84</v>
      </c>
    </row>
    <row r="1950" spans="1:18" ht="20" x14ac:dyDescent="0.2">
      <c r="A1950" s="80" t="s">
        <v>1487</v>
      </c>
      <c r="B1950" s="80" t="s">
        <v>1685</v>
      </c>
      <c r="C1950" s="80" t="s">
        <v>9680</v>
      </c>
      <c r="D1950" s="80" t="s">
        <v>84</v>
      </c>
      <c r="E1950" s="80" t="s">
        <v>84</v>
      </c>
      <c r="F1950" s="80"/>
      <c r="G1950" s="80" t="s">
        <v>84</v>
      </c>
      <c r="H1950" s="80" t="s">
        <v>84</v>
      </c>
      <c r="I1950" s="80" t="s">
        <v>84</v>
      </c>
      <c r="J1950" s="80" t="s">
        <v>84</v>
      </c>
      <c r="K1950" s="80" t="s">
        <v>84</v>
      </c>
      <c r="L1950" s="80" t="s">
        <v>84</v>
      </c>
      <c r="M1950" s="80" t="s">
        <v>84</v>
      </c>
      <c r="N1950" s="80" t="s">
        <v>84</v>
      </c>
      <c r="O1950" s="80" t="s">
        <v>84</v>
      </c>
      <c r="P1950" s="80"/>
      <c r="Q1950" s="80" t="s">
        <v>84</v>
      </c>
      <c r="R1950" s="80" t="s">
        <v>84</v>
      </c>
    </row>
    <row r="1951" spans="1:18" ht="20" x14ac:dyDescent="0.2">
      <c r="A1951" s="80" t="s">
        <v>1487</v>
      </c>
      <c r="B1951" s="80" t="s">
        <v>10371</v>
      </c>
      <c r="C1951" s="80" t="s">
        <v>9680</v>
      </c>
      <c r="D1951" s="80" t="s">
        <v>84</v>
      </c>
      <c r="E1951" s="80" t="s">
        <v>84</v>
      </c>
      <c r="F1951" s="80"/>
      <c r="G1951" s="80" t="s">
        <v>84</v>
      </c>
      <c r="H1951" s="80" t="s">
        <v>84</v>
      </c>
      <c r="I1951" s="80" t="s">
        <v>84</v>
      </c>
      <c r="J1951" s="80" t="s">
        <v>84</v>
      </c>
      <c r="K1951" s="80" t="s">
        <v>84</v>
      </c>
      <c r="L1951" s="80" t="s">
        <v>84</v>
      </c>
      <c r="M1951" s="80" t="s">
        <v>84</v>
      </c>
      <c r="N1951" s="80" t="s">
        <v>84</v>
      </c>
      <c r="O1951" s="80" t="s">
        <v>84</v>
      </c>
      <c r="P1951" s="80"/>
      <c r="Q1951" s="80" t="s">
        <v>84</v>
      </c>
      <c r="R1951" s="80" t="s">
        <v>84</v>
      </c>
    </row>
    <row r="1952" spans="1:18" ht="20" x14ac:dyDescent="0.2">
      <c r="A1952" s="80" t="s">
        <v>1686</v>
      </c>
      <c r="B1952" s="80" t="s">
        <v>10372</v>
      </c>
      <c r="C1952" s="80" t="s">
        <v>9680</v>
      </c>
      <c r="D1952" s="80" t="s">
        <v>84</v>
      </c>
      <c r="E1952" s="80" t="s">
        <v>84</v>
      </c>
      <c r="F1952" s="80"/>
      <c r="G1952" s="80" t="s">
        <v>84</v>
      </c>
      <c r="H1952" s="80" t="s">
        <v>84</v>
      </c>
      <c r="I1952" s="80" t="s">
        <v>84</v>
      </c>
      <c r="J1952" s="80" t="s">
        <v>84</v>
      </c>
      <c r="K1952" s="80" t="s">
        <v>84</v>
      </c>
      <c r="L1952" s="80" t="s">
        <v>84</v>
      </c>
      <c r="M1952" s="80" t="s">
        <v>84</v>
      </c>
      <c r="N1952" s="80" t="s">
        <v>84</v>
      </c>
      <c r="O1952" s="80" t="s">
        <v>84</v>
      </c>
      <c r="P1952" s="80"/>
      <c r="Q1952" s="80" t="s">
        <v>84</v>
      </c>
      <c r="R1952" s="80" t="s">
        <v>84</v>
      </c>
    </row>
    <row r="1953" spans="1:18" ht="20" x14ac:dyDescent="0.2">
      <c r="A1953" s="80" t="s">
        <v>1686</v>
      </c>
      <c r="B1953" s="80" t="s">
        <v>1687</v>
      </c>
      <c r="C1953" s="80" t="s">
        <v>9680</v>
      </c>
      <c r="D1953" s="80" t="s">
        <v>84</v>
      </c>
      <c r="E1953" s="80" t="s">
        <v>84</v>
      </c>
      <c r="F1953" s="80"/>
      <c r="G1953" s="80" t="s">
        <v>84</v>
      </c>
      <c r="H1953" s="80" t="s">
        <v>84</v>
      </c>
      <c r="I1953" s="80" t="s">
        <v>84</v>
      </c>
      <c r="J1953" s="80" t="s">
        <v>84</v>
      </c>
      <c r="K1953" s="80" t="s">
        <v>84</v>
      </c>
      <c r="L1953" s="80" t="s">
        <v>84</v>
      </c>
      <c r="M1953" s="80" t="s">
        <v>84</v>
      </c>
      <c r="N1953" s="80" t="s">
        <v>84</v>
      </c>
      <c r="O1953" s="80" t="s">
        <v>84</v>
      </c>
      <c r="P1953" s="80"/>
      <c r="Q1953" s="80" t="s">
        <v>84</v>
      </c>
      <c r="R1953" s="80" t="s">
        <v>84</v>
      </c>
    </row>
    <row r="1954" spans="1:18" ht="20" x14ac:dyDescent="0.2">
      <c r="A1954" s="80" t="s">
        <v>1686</v>
      </c>
      <c r="B1954" s="80" t="s">
        <v>10373</v>
      </c>
      <c r="C1954" s="80" t="s">
        <v>9680</v>
      </c>
      <c r="D1954" s="80" t="s">
        <v>84</v>
      </c>
      <c r="E1954" s="80" t="s">
        <v>84</v>
      </c>
      <c r="F1954" s="80"/>
      <c r="G1954" s="80" t="s">
        <v>84</v>
      </c>
      <c r="H1954" s="80" t="s">
        <v>84</v>
      </c>
      <c r="I1954" s="80" t="s">
        <v>84</v>
      </c>
      <c r="J1954" s="80" t="s">
        <v>84</v>
      </c>
      <c r="K1954" s="80" t="s">
        <v>84</v>
      </c>
      <c r="L1954" s="80" t="s">
        <v>84</v>
      </c>
      <c r="M1954" s="80" t="s">
        <v>84</v>
      </c>
      <c r="N1954" s="80" t="s">
        <v>84</v>
      </c>
      <c r="O1954" s="80" t="s">
        <v>84</v>
      </c>
      <c r="P1954" s="80"/>
      <c r="Q1954" s="80" t="s">
        <v>84</v>
      </c>
      <c r="R1954" s="80" t="s">
        <v>84</v>
      </c>
    </row>
    <row r="1955" spans="1:18" ht="20" x14ac:dyDescent="0.2">
      <c r="A1955" s="80" t="s">
        <v>1489</v>
      </c>
      <c r="B1955" s="80" t="s">
        <v>1490</v>
      </c>
      <c r="C1955" s="80" t="s">
        <v>9680</v>
      </c>
      <c r="D1955" s="80" t="s">
        <v>84</v>
      </c>
      <c r="E1955" s="80" t="s">
        <v>84</v>
      </c>
      <c r="F1955" s="80"/>
      <c r="G1955" s="80" t="s">
        <v>84</v>
      </c>
      <c r="H1955" s="80" t="s">
        <v>84</v>
      </c>
      <c r="I1955" s="80" t="s">
        <v>84</v>
      </c>
      <c r="J1955" s="80" t="s">
        <v>84</v>
      </c>
      <c r="K1955" s="80" t="s">
        <v>84</v>
      </c>
      <c r="L1955" s="80" t="s">
        <v>84</v>
      </c>
      <c r="M1955" s="80" t="s">
        <v>84</v>
      </c>
      <c r="N1955" s="80" t="s">
        <v>84</v>
      </c>
      <c r="O1955" s="80" t="s">
        <v>84</v>
      </c>
      <c r="P1955" s="80"/>
      <c r="Q1955" s="80" t="s">
        <v>84</v>
      </c>
      <c r="R1955" s="80" t="s">
        <v>84</v>
      </c>
    </row>
    <row r="1956" spans="1:18" ht="20" x14ac:dyDescent="0.2">
      <c r="A1956" s="80" t="s">
        <v>1489</v>
      </c>
      <c r="B1956" s="80" t="s">
        <v>10374</v>
      </c>
      <c r="C1956" s="80" t="s">
        <v>9680</v>
      </c>
      <c r="D1956" s="80" t="s">
        <v>84</v>
      </c>
      <c r="E1956" s="80" t="s">
        <v>84</v>
      </c>
      <c r="F1956" s="80"/>
      <c r="G1956" s="80" t="s">
        <v>84</v>
      </c>
      <c r="H1956" s="80" t="s">
        <v>84</v>
      </c>
      <c r="I1956" s="80" t="s">
        <v>84</v>
      </c>
      <c r="J1956" s="80" t="s">
        <v>84</v>
      </c>
      <c r="K1956" s="80" t="s">
        <v>84</v>
      </c>
      <c r="L1956" s="80" t="s">
        <v>84</v>
      </c>
      <c r="M1956" s="80" t="s">
        <v>84</v>
      </c>
      <c r="N1956" s="80" t="s">
        <v>84</v>
      </c>
      <c r="O1956" s="80" t="s">
        <v>84</v>
      </c>
      <c r="P1956" s="80"/>
      <c r="Q1956" s="80" t="s">
        <v>84</v>
      </c>
      <c r="R1956" s="80" t="s">
        <v>84</v>
      </c>
    </row>
    <row r="1957" spans="1:18" ht="20" x14ac:dyDescent="0.2">
      <c r="A1957" s="80" t="s">
        <v>1489</v>
      </c>
      <c r="B1957" s="80" t="s">
        <v>1688</v>
      </c>
      <c r="C1957" s="80" t="s">
        <v>9680</v>
      </c>
      <c r="D1957" s="80" t="s">
        <v>84</v>
      </c>
      <c r="E1957" s="80" t="s">
        <v>84</v>
      </c>
      <c r="F1957" s="80"/>
      <c r="G1957" s="80" t="s">
        <v>84</v>
      </c>
      <c r="H1957" s="80" t="s">
        <v>84</v>
      </c>
      <c r="I1957" s="80" t="s">
        <v>84</v>
      </c>
      <c r="J1957" s="80" t="s">
        <v>84</v>
      </c>
      <c r="K1957" s="80" t="s">
        <v>84</v>
      </c>
      <c r="L1957" s="80" t="s">
        <v>84</v>
      </c>
      <c r="M1957" s="80" t="s">
        <v>84</v>
      </c>
      <c r="N1957" s="80" t="s">
        <v>84</v>
      </c>
      <c r="O1957" s="80" t="s">
        <v>84</v>
      </c>
      <c r="P1957" s="80"/>
      <c r="Q1957" s="80" t="s">
        <v>84</v>
      </c>
      <c r="R1957" s="80" t="s">
        <v>84</v>
      </c>
    </row>
    <row r="1958" spans="1:18" ht="20" x14ac:dyDescent="0.2">
      <c r="A1958" s="80" t="s">
        <v>1489</v>
      </c>
      <c r="B1958" s="80" t="s">
        <v>10375</v>
      </c>
      <c r="C1958" s="80" t="s">
        <v>9680</v>
      </c>
      <c r="D1958" s="80" t="s">
        <v>84</v>
      </c>
      <c r="E1958" s="80" t="s">
        <v>84</v>
      </c>
      <c r="F1958" s="80"/>
      <c r="G1958" s="80" t="s">
        <v>84</v>
      </c>
      <c r="H1958" s="80" t="s">
        <v>84</v>
      </c>
      <c r="I1958" s="80" t="s">
        <v>84</v>
      </c>
      <c r="J1958" s="80" t="s">
        <v>84</v>
      </c>
      <c r="K1958" s="80" t="s">
        <v>84</v>
      </c>
      <c r="L1958" s="80" t="s">
        <v>84</v>
      </c>
      <c r="M1958" s="80" t="s">
        <v>84</v>
      </c>
      <c r="N1958" s="80" t="s">
        <v>84</v>
      </c>
      <c r="O1958" s="80" t="s">
        <v>84</v>
      </c>
      <c r="P1958" s="80"/>
      <c r="Q1958" s="80" t="s">
        <v>84</v>
      </c>
      <c r="R1958" s="80" t="s">
        <v>84</v>
      </c>
    </row>
    <row r="1959" spans="1:18" ht="20" x14ac:dyDescent="0.2">
      <c r="A1959" s="80" t="s">
        <v>10376</v>
      </c>
      <c r="B1959" s="80" t="s">
        <v>10377</v>
      </c>
      <c r="C1959" s="80" t="s">
        <v>9680</v>
      </c>
      <c r="D1959" s="80" t="s">
        <v>84</v>
      </c>
      <c r="E1959" s="80" t="s">
        <v>84</v>
      </c>
      <c r="F1959" s="80"/>
      <c r="G1959" s="80" t="s">
        <v>84</v>
      </c>
      <c r="H1959" s="80" t="s">
        <v>84</v>
      </c>
      <c r="I1959" s="80" t="s">
        <v>84</v>
      </c>
      <c r="J1959" s="80" t="s">
        <v>84</v>
      </c>
      <c r="K1959" s="80" t="s">
        <v>84</v>
      </c>
      <c r="L1959" s="80" t="s">
        <v>84</v>
      </c>
      <c r="M1959" s="80" t="s">
        <v>84</v>
      </c>
      <c r="N1959" s="80" t="s">
        <v>84</v>
      </c>
      <c r="O1959" s="80" t="s">
        <v>84</v>
      </c>
      <c r="P1959" s="80"/>
      <c r="Q1959" s="80" t="s">
        <v>84</v>
      </c>
      <c r="R1959" s="80" t="s">
        <v>84</v>
      </c>
    </row>
    <row r="1960" spans="1:18" ht="20" x14ac:dyDescent="0.2">
      <c r="A1960" s="80" t="s">
        <v>10378</v>
      </c>
      <c r="B1960" s="80" t="s">
        <v>10379</v>
      </c>
      <c r="C1960" s="80" t="s">
        <v>9680</v>
      </c>
      <c r="D1960" s="80" t="s">
        <v>84</v>
      </c>
      <c r="E1960" s="80" t="s">
        <v>84</v>
      </c>
      <c r="F1960" s="80"/>
      <c r="G1960" s="80" t="s">
        <v>84</v>
      </c>
      <c r="H1960" s="80" t="s">
        <v>84</v>
      </c>
      <c r="I1960" s="80" t="s">
        <v>84</v>
      </c>
      <c r="J1960" s="80" t="s">
        <v>84</v>
      </c>
      <c r="K1960" s="80" t="s">
        <v>84</v>
      </c>
      <c r="L1960" s="80" t="s">
        <v>84</v>
      </c>
      <c r="M1960" s="80" t="s">
        <v>84</v>
      </c>
      <c r="N1960" s="80" t="s">
        <v>84</v>
      </c>
      <c r="O1960" s="80" t="s">
        <v>84</v>
      </c>
      <c r="P1960" s="80"/>
      <c r="Q1960" s="80" t="s">
        <v>84</v>
      </c>
      <c r="R1960" s="80" t="s">
        <v>84</v>
      </c>
    </row>
    <row r="1961" spans="1:18" ht="20" x14ac:dyDescent="0.2">
      <c r="A1961" s="80" t="s">
        <v>1695</v>
      </c>
      <c r="B1961" s="80" t="s">
        <v>10380</v>
      </c>
      <c r="C1961" s="80" t="s">
        <v>9680</v>
      </c>
      <c r="D1961" s="80" t="s">
        <v>84</v>
      </c>
      <c r="E1961" s="80" t="s">
        <v>84</v>
      </c>
      <c r="F1961" s="80"/>
      <c r="G1961" s="80" t="s">
        <v>84</v>
      </c>
      <c r="H1961" s="80" t="s">
        <v>84</v>
      </c>
      <c r="I1961" s="80" t="s">
        <v>84</v>
      </c>
      <c r="J1961" s="80" t="s">
        <v>84</v>
      </c>
      <c r="K1961" s="80" t="s">
        <v>84</v>
      </c>
      <c r="L1961" s="80" t="s">
        <v>84</v>
      </c>
      <c r="M1961" s="80" t="s">
        <v>84</v>
      </c>
      <c r="N1961" s="80" t="s">
        <v>84</v>
      </c>
      <c r="O1961" s="80" t="s">
        <v>84</v>
      </c>
      <c r="P1961" s="80"/>
      <c r="Q1961" s="80" t="s">
        <v>84</v>
      </c>
      <c r="R1961" s="80" t="s">
        <v>84</v>
      </c>
    </row>
    <row r="1962" spans="1:18" ht="20" x14ac:dyDescent="0.2">
      <c r="A1962" s="80" t="s">
        <v>1695</v>
      </c>
      <c r="B1962" s="80" t="s">
        <v>1696</v>
      </c>
      <c r="C1962" s="80" t="s">
        <v>9680</v>
      </c>
      <c r="D1962" s="80" t="s">
        <v>84</v>
      </c>
      <c r="E1962" s="80" t="s">
        <v>84</v>
      </c>
      <c r="F1962" s="80"/>
      <c r="G1962" s="80" t="s">
        <v>84</v>
      </c>
      <c r="H1962" s="80" t="s">
        <v>84</v>
      </c>
      <c r="I1962" s="80" t="s">
        <v>84</v>
      </c>
      <c r="J1962" s="80" t="s">
        <v>84</v>
      </c>
      <c r="K1962" s="80" t="s">
        <v>84</v>
      </c>
      <c r="L1962" s="80" t="s">
        <v>84</v>
      </c>
      <c r="M1962" s="80" t="s">
        <v>84</v>
      </c>
      <c r="N1962" s="80" t="s">
        <v>84</v>
      </c>
      <c r="O1962" s="80" t="s">
        <v>84</v>
      </c>
      <c r="P1962" s="80"/>
      <c r="Q1962" s="80" t="s">
        <v>84</v>
      </c>
      <c r="R1962" s="80" t="s">
        <v>84</v>
      </c>
    </row>
    <row r="1963" spans="1:18" ht="20" x14ac:dyDescent="0.2">
      <c r="A1963" s="80" t="s">
        <v>1695</v>
      </c>
      <c r="B1963" s="80" t="s">
        <v>10381</v>
      </c>
      <c r="C1963" s="80" t="s">
        <v>9680</v>
      </c>
      <c r="D1963" s="80" t="s">
        <v>84</v>
      </c>
      <c r="E1963" s="80" t="s">
        <v>84</v>
      </c>
      <c r="F1963" s="80"/>
      <c r="G1963" s="80" t="s">
        <v>84</v>
      </c>
      <c r="H1963" s="80" t="s">
        <v>84</v>
      </c>
      <c r="I1963" s="80" t="s">
        <v>84</v>
      </c>
      <c r="J1963" s="80" t="s">
        <v>84</v>
      </c>
      <c r="K1963" s="80" t="s">
        <v>84</v>
      </c>
      <c r="L1963" s="80" t="s">
        <v>84</v>
      </c>
      <c r="M1963" s="80" t="s">
        <v>84</v>
      </c>
      <c r="N1963" s="80" t="s">
        <v>84</v>
      </c>
      <c r="O1963" s="80" t="s">
        <v>84</v>
      </c>
      <c r="P1963" s="80"/>
      <c r="Q1963" s="80" t="s">
        <v>84</v>
      </c>
      <c r="R1963" s="80" t="s">
        <v>84</v>
      </c>
    </row>
    <row r="1964" spans="1:18" ht="20" x14ac:dyDescent="0.2">
      <c r="A1964" s="80" t="s">
        <v>10382</v>
      </c>
      <c r="B1964" s="80" t="s">
        <v>10383</v>
      </c>
      <c r="C1964" s="80" t="s">
        <v>9680</v>
      </c>
      <c r="D1964" s="80" t="s">
        <v>84</v>
      </c>
      <c r="E1964" s="80" t="s">
        <v>84</v>
      </c>
      <c r="F1964" s="80"/>
      <c r="G1964" s="80" t="s">
        <v>84</v>
      </c>
      <c r="H1964" s="80" t="s">
        <v>84</v>
      </c>
      <c r="I1964" s="80" t="s">
        <v>84</v>
      </c>
      <c r="J1964" s="80" t="s">
        <v>84</v>
      </c>
      <c r="K1964" s="80" t="s">
        <v>84</v>
      </c>
      <c r="L1964" s="80" t="s">
        <v>84</v>
      </c>
      <c r="M1964" s="80" t="s">
        <v>84</v>
      </c>
      <c r="N1964" s="80" t="s">
        <v>84</v>
      </c>
      <c r="O1964" s="80" t="s">
        <v>84</v>
      </c>
      <c r="P1964" s="80"/>
      <c r="Q1964" s="80" t="s">
        <v>84</v>
      </c>
      <c r="R1964" s="80" t="s">
        <v>84</v>
      </c>
    </row>
    <row r="1965" spans="1:18" ht="20" x14ac:dyDescent="0.2">
      <c r="A1965" s="80" t="s">
        <v>1491</v>
      </c>
      <c r="B1965" s="80" t="s">
        <v>1492</v>
      </c>
      <c r="C1965" s="80" t="s">
        <v>9680</v>
      </c>
      <c r="D1965" s="80" t="s">
        <v>84</v>
      </c>
      <c r="E1965" s="80" t="s">
        <v>84</v>
      </c>
      <c r="F1965" s="80"/>
      <c r="G1965" s="80" t="s">
        <v>84</v>
      </c>
      <c r="H1965" s="80" t="s">
        <v>84</v>
      </c>
      <c r="I1965" s="80" t="s">
        <v>84</v>
      </c>
      <c r="J1965" s="80" t="s">
        <v>84</v>
      </c>
      <c r="K1965" s="80" t="s">
        <v>84</v>
      </c>
      <c r="L1965" s="80" t="s">
        <v>84</v>
      </c>
      <c r="M1965" s="80" t="s">
        <v>84</v>
      </c>
      <c r="N1965" s="80" t="s">
        <v>84</v>
      </c>
      <c r="O1965" s="80" t="s">
        <v>84</v>
      </c>
      <c r="P1965" s="80"/>
      <c r="Q1965" s="80" t="s">
        <v>84</v>
      </c>
      <c r="R1965" s="80" t="s">
        <v>84</v>
      </c>
    </row>
    <row r="1966" spans="1:18" ht="20" x14ac:dyDescent="0.2">
      <c r="A1966" s="80" t="s">
        <v>1491</v>
      </c>
      <c r="B1966" s="80" t="s">
        <v>10384</v>
      </c>
      <c r="C1966" s="80" t="s">
        <v>9680</v>
      </c>
      <c r="D1966" s="80" t="s">
        <v>84</v>
      </c>
      <c r="E1966" s="80" t="s">
        <v>84</v>
      </c>
      <c r="F1966" s="80"/>
      <c r="G1966" s="80" t="s">
        <v>84</v>
      </c>
      <c r="H1966" s="80" t="s">
        <v>84</v>
      </c>
      <c r="I1966" s="80" t="s">
        <v>84</v>
      </c>
      <c r="J1966" s="80" t="s">
        <v>84</v>
      </c>
      <c r="K1966" s="80" t="s">
        <v>84</v>
      </c>
      <c r="L1966" s="80" t="s">
        <v>84</v>
      </c>
      <c r="M1966" s="80" t="s">
        <v>84</v>
      </c>
      <c r="N1966" s="80" t="s">
        <v>84</v>
      </c>
      <c r="O1966" s="80" t="s">
        <v>84</v>
      </c>
      <c r="P1966" s="80"/>
      <c r="Q1966" s="80" t="s">
        <v>84</v>
      </c>
      <c r="R1966" s="80" t="s">
        <v>84</v>
      </c>
    </row>
    <row r="1967" spans="1:18" ht="20" x14ac:dyDescent="0.2">
      <c r="A1967" s="80" t="s">
        <v>1491</v>
      </c>
      <c r="B1967" s="80" t="s">
        <v>1697</v>
      </c>
      <c r="C1967" s="80" t="s">
        <v>9680</v>
      </c>
      <c r="D1967" s="80" t="s">
        <v>84</v>
      </c>
      <c r="E1967" s="80" t="s">
        <v>84</v>
      </c>
      <c r="F1967" s="80"/>
      <c r="G1967" s="80" t="s">
        <v>84</v>
      </c>
      <c r="H1967" s="80" t="s">
        <v>84</v>
      </c>
      <c r="I1967" s="80" t="s">
        <v>84</v>
      </c>
      <c r="J1967" s="80" t="s">
        <v>84</v>
      </c>
      <c r="K1967" s="80" t="s">
        <v>84</v>
      </c>
      <c r="L1967" s="80" t="s">
        <v>84</v>
      </c>
      <c r="M1967" s="80" t="s">
        <v>84</v>
      </c>
      <c r="N1967" s="80" t="s">
        <v>84</v>
      </c>
      <c r="O1967" s="80" t="s">
        <v>84</v>
      </c>
      <c r="P1967" s="80"/>
      <c r="Q1967" s="80" t="s">
        <v>84</v>
      </c>
      <c r="R1967" s="80" t="s">
        <v>84</v>
      </c>
    </row>
    <row r="1968" spans="1:18" ht="20" x14ac:dyDescent="0.2">
      <c r="A1968" s="80" t="s">
        <v>1491</v>
      </c>
      <c r="B1968" s="80" t="s">
        <v>10385</v>
      </c>
      <c r="C1968" s="80" t="s">
        <v>9680</v>
      </c>
      <c r="D1968" s="80" t="s">
        <v>84</v>
      </c>
      <c r="E1968" s="80" t="s">
        <v>84</v>
      </c>
      <c r="F1968" s="80"/>
      <c r="G1968" s="80" t="s">
        <v>84</v>
      </c>
      <c r="H1968" s="80" t="s">
        <v>84</v>
      </c>
      <c r="I1968" s="80" t="s">
        <v>84</v>
      </c>
      <c r="J1968" s="80" t="s">
        <v>84</v>
      </c>
      <c r="K1968" s="80" t="s">
        <v>84</v>
      </c>
      <c r="L1968" s="80" t="s">
        <v>84</v>
      </c>
      <c r="M1968" s="80" t="s">
        <v>84</v>
      </c>
      <c r="N1968" s="80" t="s">
        <v>84</v>
      </c>
      <c r="O1968" s="80" t="s">
        <v>84</v>
      </c>
      <c r="P1968" s="80"/>
      <c r="Q1968" s="80" t="s">
        <v>84</v>
      </c>
      <c r="R1968" s="80" t="s">
        <v>84</v>
      </c>
    </row>
    <row r="1969" spans="1:18" ht="20" x14ac:dyDescent="0.2">
      <c r="A1969" s="80" t="s">
        <v>10386</v>
      </c>
      <c r="B1969" s="80" t="s">
        <v>10387</v>
      </c>
      <c r="C1969" s="80" t="s">
        <v>9680</v>
      </c>
      <c r="D1969" s="80" t="s">
        <v>84</v>
      </c>
      <c r="E1969" s="80" t="s">
        <v>84</v>
      </c>
      <c r="F1969" s="80"/>
      <c r="G1969" s="80" t="s">
        <v>84</v>
      </c>
      <c r="H1969" s="80" t="s">
        <v>84</v>
      </c>
      <c r="I1969" s="80" t="s">
        <v>84</v>
      </c>
      <c r="J1969" s="80" t="s">
        <v>84</v>
      </c>
      <c r="K1969" s="80" t="s">
        <v>84</v>
      </c>
      <c r="L1969" s="80" t="s">
        <v>84</v>
      </c>
      <c r="M1969" s="80" t="s">
        <v>84</v>
      </c>
      <c r="N1969" s="80" t="s">
        <v>84</v>
      </c>
      <c r="O1969" s="80" t="s">
        <v>84</v>
      </c>
      <c r="P1969" s="80"/>
      <c r="Q1969" s="80" t="s">
        <v>84</v>
      </c>
      <c r="R1969" s="80" t="s">
        <v>84</v>
      </c>
    </row>
    <row r="1970" spans="1:18" ht="20" x14ac:dyDescent="0.2">
      <c r="A1970" s="80" t="s">
        <v>1698</v>
      </c>
      <c r="B1970" s="80" t="s">
        <v>1699</v>
      </c>
      <c r="C1970" s="80" t="s">
        <v>9680</v>
      </c>
      <c r="D1970" s="80" t="s">
        <v>9680</v>
      </c>
      <c r="E1970" s="80" t="s">
        <v>9680</v>
      </c>
      <c r="F1970" s="80"/>
      <c r="G1970" s="80" t="s">
        <v>9680</v>
      </c>
      <c r="H1970" s="80" t="s">
        <v>9680</v>
      </c>
      <c r="I1970" s="80" t="s">
        <v>9680</v>
      </c>
      <c r="J1970" s="80" t="s">
        <v>84</v>
      </c>
      <c r="K1970" s="80" t="s">
        <v>9680</v>
      </c>
      <c r="L1970" s="80" t="s">
        <v>9680</v>
      </c>
      <c r="M1970" s="80" t="s">
        <v>84</v>
      </c>
      <c r="N1970" s="80" t="s">
        <v>9680</v>
      </c>
      <c r="O1970" s="80" t="s">
        <v>84</v>
      </c>
      <c r="P1970" s="80"/>
      <c r="Q1970" s="80" t="s">
        <v>84</v>
      </c>
      <c r="R1970" s="80" t="s">
        <v>84</v>
      </c>
    </row>
    <row r="1971" spans="1:18" ht="20" x14ac:dyDescent="0.2">
      <c r="A1971" s="80" t="s">
        <v>1698</v>
      </c>
      <c r="B1971" s="80" t="s">
        <v>10388</v>
      </c>
      <c r="C1971" s="80" t="s">
        <v>9680</v>
      </c>
      <c r="D1971" s="80" t="s">
        <v>9680</v>
      </c>
      <c r="E1971" s="80" t="s">
        <v>9680</v>
      </c>
      <c r="F1971" s="80"/>
      <c r="G1971" s="80" t="s">
        <v>9680</v>
      </c>
      <c r="H1971" s="80" t="s">
        <v>9680</v>
      </c>
      <c r="I1971" s="80" t="s">
        <v>9680</v>
      </c>
      <c r="J1971" s="80" t="s">
        <v>84</v>
      </c>
      <c r="K1971" s="80" t="s">
        <v>9680</v>
      </c>
      <c r="L1971" s="80" t="s">
        <v>9680</v>
      </c>
      <c r="M1971" s="80" t="s">
        <v>84</v>
      </c>
      <c r="N1971" s="80" t="s">
        <v>9680</v>
      </c>
      <c r="O1971" s="80" t="s">
        <v>84</v>
      </c>
      <c r="P1971" s="80"/>
      <c r="Q1971" s="80" t="s">
        <v>84</v>
      </c>
      <c r="R1971" s="80" t="s">
        <v>84</v>
      </c>
    </row>
    <row r="1972" spans="1:18" ht="20" x14ac:dyDescent="0.2">
      <c r="A1972" s="80" t="s">
        <v>1698</v>
      </c>
      <c r="B1972" s="80" t="s">
        <v>10389</v>
      </c>
      <c r="C1972" s="80" t="s">
        <v>9680</v>
      </c>
      <c r="D1972" s="80" t="s">
        <v>9680</v>
      </c>
      <c r="E1972" s="80" t="s">
        <v>9680</v>
      </c>
      <c r="F1972" s="80"/>
      <c r="G1972" s="80" t="s">
        <v>9680</v>
      </c>
      <c r="H1972" s="80" t="s">
        <v>9680</v>
      </c>
      <c r="I1972" s="80" t="s">
        <v>9680</v>
      </c>
      <c r="J1972" s="80" t="s">
        <v>84</v>
      </c>
      <c r="K1972" s="80" t="s">
        <v>9680</v>
      </c>
      <c r="L1972" s="80" t="s">
        <v>9680</v>
      </c>
      <c r="M1972" s="80" t="s">
        <v>84</v>
      </c>
      <c r="N1972" s="80" t="s">
        <v>9680</v>
      </c>
      <c r="O1972" s="80" t="s">
        <v>84</v>
      </c>
      <c r="P1972" s="80"/>
      <c r="Q1972" s="80" t="s">
        <v>84</v>
      </c>
      <c r="R1972" s="80" t="s">
        <v>84</v>
      </c>
    </row>
    <row r="1973" spans="1:18" ht="20" x14ac:dyDescent="0.2">
      <c r="A1973" s="80" t="s">
        <v>1633</v>
      </c>
      <c r="B1973" s="80" t="s">
        <v>1634</v>
      </c>
      <c r="C1973" s="80" t="s">
        <v>9680</v>
      </c>
      <c r="D1973" s="80" t="s">
        <v>84</v>
      </c>
      <c r="E1973" s="80" t="s">
        <v>84</v>
      </c>
      <c r="F1973" s="80"/>
      <c r="G1973" s="80" t="s">
        <v>84</v>
      </c>
      <c r="H1973" s="80" t="s">
        <v>84</v>
      </c>
      <c r="I1973" s="80" t="s">
        <v>84</v>
      </c>
      <c r="J1973" s="80" t="s">
        <v>84</v>
      </c>
      <c r="K1973" s="80" t="s">
        <v>84</v>
      </c>
      <c r="L1973" s="80" t="s">
        <v>84</v>
      </c>
      <c r="M1973" s="80" t="s">
        <v>84</v>
      </c>
      <c r="N1973" s="80" t="s">
        <v>84</v>
      </c>
      <c r="O1973" s="80" t="s">
        <v>84</v>
      </c>
      <c r="P1973" s="80"/>
      <c r="Q1973" s="80" t="s">
        <v>84</v>
      </c>
      <c r="R1973" s="80" t="s">
        <v>84</v>
      </c>
    </row>
    <row r="1974" spans="1:18" ht="20" x14ac:dyDescent="0.2">
      <c r="A1974" s="80" t="s">
        <v>1635</v>
      </c>
      <c r="B1974" s="80" t="s">
        <v>1636</v>
      </c>
      <c r="C1974" s="80" t="s">
        <v>9680</v>
      </c>
      <c r="D1974" s="80" t="s">
        <v>84</v>
      </c>
      <c r="E1974" s="80" t="s">
        <v>84</v>
      </c>
      <c r="F1974" s="80"/>
      <c r="G1974" s="80" t="s">
        <v>84</v>
      </c>
      <c r="H1974" s="80" t="s">
        <v>84</v>
      </c>
      <c r="I1974" s="80" t="s">
        <v>84</v>
      </c>
      <c r="J1974" s="80" t="s">
        <v>84</v>
      </c>
      <c r="K1974" s="80" t="s">
        <v>84</v>
      </c>
      <c r="L1974" s="80" t="s">
        <v>84</v>
      </c>
      <c r="M1974" s="80" t="s">
        <v>84</v>
      </c>
      <c r="N1974" s="80" t="s">
        <v>84</v>
      </c>
      <c r="O1974" s="80" t="s">
        <v>84</v>
      </c>
      <c r="P1974" s="80"/>
      <c r="Q1974" s="80" t="s">
        <v>84</v>
      </c>
      <c r="R1974" s="80" t="s">
        <v>84</v>
      </c>
    </row>
    <row r="1975" spans="1:18" ht="20" x14ac:dyDescent="0.2">
      <c r="A1975" s="80" t="s">
        <v>1637</v>
      </c>
      <c r="B1975" s="80" t="s">
        <v>1638</v>
      </c>
      <c r="C1975" s="80" t="s">
        <v>9680</v>
      </c>
      <c r="D1975" s="80" t="s">
        <v>84</v>
      </c>
      <c r="E1975" s="80" t="s">
        <v>84</v>
      </c>
      <c r="F1975" s="80"/>
      <c r="G1975" s="80" t="s">
        <v>84</v>
      </c>
      <c r="H1975" s="80" t="s">
        <v>84</v>
      </c>
      <c r="I1975" s="80" t="s">
        <v>84</v>
      </c>
      <c r="J1975" s="80" t="s">
        <v>84</v>
      </c>
      <c r="K1975" s="80" t="s">
        <v>84</v>
      </c>
      <c r="L1975" s="80" t="s">
        <v>84</v>
      </c>
      <c r="M1975" s="80" t="s">
        <v>84</v>
      </c>
      <c r="N1975" s="80" t="s">
        <v>84</v>
      </c>
      <c r="O1975" s="80" t="s">
        <v>84</v>
      </c>
      <c r="P1975" s="80"/>
      <c r="Q1975" s="80" t="s">
        <v>84</v>
      </c>
      <c r="R1975" s="80" t="s">
        <v>84</v>
      </c>
    </row>
    <row r="1976" spans="1:18" ht="20" x14ac:dyDescent="0.2">
      <c r="A1976" s="80" t="s">
        <v>1639</v>
      </c>
      <c r="B1976" s="80" t="s">
        <v>1640</v>
      </c>
      <c r="C1976" s="80" t="s">
        <v>9680</v>
      </c>
      <c r="D1976" s="80" t="s">
        <v>84</v>
      </c>
      <c r="E1976" s="80" t="s">
        <v>84</v>
      </c>
      <c r="F1976" s="80"/>
      <c r="G1976" s="80" t="s">
        <v>84</v>
      </c>
      <c r="H1976" s="80" t="s">
        <v>84</v>
      </c>
      <c r="I1976" s="80" t="s">
        <v>84</v>
      </c>
      <c r="J1976" s="80" t="s">
        <v>84</v>
      </c>
      <c r="K1976" s="80" t="s">
        <v>84</v>
      </c>
      <c r="L1976" s="80" t="s">
        <v>84</v>
      </c>
      <c r="M1976" s="80" t="s">
        <v>84</v>
      </c>
      <c r="N1976" s="80" t="s">
        <v>84</v>
      </c>
      <c r="O1976" s="80" t="s">
        <v>84</v>
      </c>
      <c r="P1976" s="80"/>
      <c r="Q1976" s="80" t="s">
        <v>84</v>
      </c>
      <c r="R1976" s="80" t="s">
        <v>84</v>
      </c>
    </row>
    <row r="1977" spans="1:18" ht="20" x14ac:dyDescent="0.2">
      <c r="A1977" s="80" t="s">
        <v>10390</v>
      </c>
      <c r="B1977" s="80" t="s">
        <v>1642</v>
      </c>
      <c r="C1977" s="80" t="s">
        <v>9680</v>
      </c>
      <c r="D1977" s="80" t="s">
        <v>84</v>
      </c>
      <c r="E1977" s="80" t="s">
        <v>84</v>
      </c>
      <c r="F1977" s="80"/>
      <c r="G1977" s="80" t="s">
        <v>84</v>
      </c>
      <c r="H1977" s="80" t="s">
        <v>84</v>
      </c>
      <c r="I1977" s="80" t="s">
        <v>84</v>
      </c>
      <c r="J1977" s="80" t="s">
        <v>84</v>
      </c>
      <c r="K1977" s="80" t="s">
        <v>84</v>
      </c>
      <c r="L1977" s="80" t="s">
        <v>84</v>
      </c>
      <c r="M1977" s="80" t="s">
        <v>84</v>
      </c>
      <c r="N1977" s="80" t="s">
        <v>84</v>
      </c>
      <c r="O1977" s="80" t="s">
        <v>84</v>
      </c>
      <c r="P1977" s="80"/>
      <c r="Q1977" s="80" t="s">
        <v>84</v>
      </c>
      <c r="R1977" s="80" t="s">
        <v>84</v>
      </c>
    </row>
    <row r="1978" spans="1:18" ht="20" x14ac:dyDescent="0.2">
      <c r="A1978" s="80" t="s">
        <v>1643</v>
      </c>
      <c r="B1978" s="80" t="s">
        <v>1644</v>
      </c>
      <c r="C1978" s="80" t="s">
        <v>9680</v>
      </c>
      <c r="D1978" s="80" t="s">
        <v>84</v>
      </c>
      <c r="E1978" s="80" t="s">
        <v>84</v>
      </c>
      <c r="F1978" s="80"/>
      <c r="G1978" s="80" t="s">
        <v>84</v>
      </c>
      <c r="H1978" s="80" t="s">
        <v>84</v>
      </c>
      <c r="I1978" s="80" t="s">
        <v>84</v>
      </c>
      <c r="J1978" s="80" t="s">
        <v>84</v>
      </c>
      <c r="K1978" s="80" t="s">
        <v>84</v>
      </c>
      <c r="L1978" s="80" t="s">
        <v>84</v>
      </c>
      <c r="M1978" s="80" t="s">
        <v>84</v>
      </c>
      <c r="N1978" s="80" t="s">
        <v>84</v>
      </c>
      <c r="O1978" s="80" t="s">
        <v>84</v>
      </c>
      <c r="P1978" s="80"/>
      <c r="Q1978" s="80" t="s">
        <v>84</v>
      </c>
      <c r="R1978" s="80" t="s">
        <v>84</v>
      </c>
    </row>
    <row r="1979" spans="1:18" ht="20" x14ac:dyDescent="0.2">
      <c r="A1979" s="80" t="s">
        <v>1703</v>
      </c>
      <c r="B1979" s="80" t="s">
        <v>1704</v>
      </c>
      <c r="C1979" s="80" t="s">
        <v>9680</v>
      </c>
      <c r="D1979" s="80" t="s">
        <v>84</v>
      </c>
      <c r="E1979" s="80" t="s">
        <v>84</v>
      </c>
      <c r="F1979" s="80"/>
      <c r="G1979" s="80" t="s">
        <v>84</v>
      </c>
      <c r="H1979" s="80" t="s">
        <v>84</v>
      </c>
      <c r="I1979" s="80" t="s">
        <v>84</v>
      </c>
      <c r="J1979" s="80" t="s">
        <v>84</v>
      </c>
      <c r="K1979" s="80" t="s">
        <v>84</v>
      </c>
      <c r="L1979" s="80" t="s">
        <v>84</v>
      </c>
      <c r="M1979" s="80" t="s">
        <v>84</v>
      </c>
      <c r="N1979" s="80" t="s">
        <v>84</v>
      </c>
      <c r="O1979" s="80" t="s">
        <v>84</v>
      </c>
      <c r="P1979" s="80"/>
      <c r="Q1979" s="80" t="s">
        <v>84</v>
      </c>
      <c r="R1979" s="80" t="s">
        <v>84</v>
      </c>
    </row>
    <row r="1980" spans="1:18" ht="20" x14ac:dyDescent="0.2">
      <c r="A1980" s="80" t="s">
        <v>1705</v>
      </c>
      <c r="B1980" s="80" t="s">
        <v>1706</v>
      </c>
      <c r="C1980" s="80" t="s">
        <v>9680</v>
      </c>
      <c r="D1980" s="80" t="s">
        <v>84</v>
      </c>
      <c r="E1980" s="80" t="s">
        <v>84</v>
      </c>
      <c r="F1980" s="80"/>
      <c r="G1980" s="80" t="s">
        <v>84</v>
      </c>
      <c r="H1980" s="80" t="s">
        <v>84</v>
      </c>
      <c r="I1980" s="80" t="s">
        <v>84</v>
      </c>
      <c r="J1980" s="80" t="s">
        <v>84</v>
      </c>
      <c r="K1980" s="80" t="s">
        <v>84</v>
      </c>
      <c r="L1980" s="80" t="s">
        <v>84</v>
      </c>
      <c r="M1980" s="80" t="s">
        <v>84</v>
      </c>
      <c r="N1980" s="80" t="s">
        <v>84</v>
      </c>
      <c r="O1980" s="80" t="s">
        <v>84</v>
      </c>
      <c r="P1980" s="80"/>
      <c r="Q1980" s="80" t="s">
        <v>84</v>
      </c>
      <c r="R1980" s="80" t="s">
        <v>84</v>
      </c>
    </row>
    <row r="1981" spans="1:18" ht="20" x14ac:dyDescent="0.2">
      <c r="A1981" s="80" t="s">
        <v>1707</v>
      </c>
      <c r="B1981" s="80" t="s">
        <v>1708</v>
      </c>
      <c r="C1981" s="80" t="s">
        <v>9680</v>
      </c>
      <c r="D1981" s="80" t="s">
        <v>84</v>
      </c>
      <c r="E1981" s="80" t="s">
        <v>84</v>
      </c>
      <c r="F1981" s="80"/>
      <c r="G1981" s="80" t="s">
        <v>84</v>
      </c>
      <c r="H1981" s="80" t="s">
        <v>84</v>
      </c>
      <c r="I1981" s="80" t="s">
        <v>84</v>
      </c>
      <c r="J1981" s="80" t="s">
        <v>84</v>
      </c>
      <c r="K1981" s="80" t="s">
        <v>84</v>
      </c>
      <c r="L1981" s="80" t="s">
        <v>84</v>
      </c>
      <c r="M1981" s="80" t="s">
        <v>84</v>
      </c>
      <c r="N1981" s="80" t="s">
        <v>84</v>
      </c>
      <c r="O1981" s="80" t="s">
        <v>84</v>
      </c>
      <c r="P1981" s="80"/>
      <c r="Q1981" s="80" t="s">
        <v>84</v>
      </c>
      <c r="R1981" s="80" t="s">
        <v>84</v>
      </c>
    </row>
    <row r="1982" spans="1:18" ht="20" x14ac:dyDescent="0.2">
      <c r="A1982" s="80" t="s">
        <v>1709</v>
      </c>
      <c r="B1982" s="80" t="s">
        <v>1710</v>
      </c>
      <c r="C1982" s="80" t="s">
        <v>9680</v>
      </c>
      <c r="D1982" s="80" t="s">
        <v>84</v>
      </c>
      <c r="E1982" s="80" t="s">
        <v>84</v>
      </c>
      <c r="F1982" s="80"/>
      <c r="G1982" s="80" t="s">
        <v>84</v>
      </c>
      <c r="H1982" s="80" t="s">
        <v>84</v>
      </c>
      <c r="I1982" s="80" t="s">
        <v>84</v>
      </c>
      <c r="J1982" s="80" t="s">
        <v>84</v>
      </c>
      <c r="K1982" s="80" t="s">
        <v>84</v>
      </c>
      <c r="L1982" s="80" t="s">
        <v>84</v>
      </c>
      <c r="M1982" s="80" t="s">
        <v>84</v>
      </c>
      <c r="N1982" s="80" t="s">
        <v>84</v>
      </c>
      <c r="O1982" s="80" t="s">
        <v>84</v>
      </c>
      <c r="P1982" s="80"/>
      <c r="Q1982" s="80" t="s">
        <v>84</v>
      </c>
      <c r="R1982" s="80" t="s">
        <v>84</v>
      </c>
    </row>
    <row r="1983" spans="1:18" ht="20" x14ac:dyDescent="0.2">
      <c r="A1983" s="80" t="s">
        <v>1711</v>
      </c>
      <c r="B1983" s="80" t="s">
        <v>1712</v>
      </c>
      <c r="C1983" s="80" t="s">
        <v>9680</v>
      </c>
      <c r="D1983" s="80" t="s">
        <v>84</v>
      </c>
      <c r="E1983" s="80" t="s">
        <v>84</v>
      </c>
      <c r="F1983" s="80"/>
      <c r="G1983" s="80" t="s">
        <v>84</v>
      </c>
      <c r="H1983" s="80" t="s">
        <v>84</v>
      </c>
      <c r="I1983" s="80" t="s">
        <v>84</v>
      </c>
      <c r="J1983" s="80" t="s">
        <v>84</v>
      </c>
      <c r="K1983" s="80" t="s">
        <v>84</v>
      </c>
      <c r="L1983" s="80" t="s">
        <v>84</v>
      </c>
      <c r="M1983" s="80" t="s">
        <v>84</v>
      </c>
      <c r="N1983" s="80" t="s">
        <v>84</v>
      </c>
      <c r="O1983" s="80" t="s">
        <v>84</v>
      </c>
      <c r="P1983" s="80"/>
      <c r="Q1983" s="80" t="s">
        <v>84</v>
      </c>
      <c r="R1983" s="80" t="s">
        <v>84</v>
      </c>
    </row>
    <row r="1984" spans="1:18" ht="20" x14ac:dyDescent="0.2">
      <c r="A1984" s="80" t="s">
        <v>1713</v>
      </c>
      <c r="B1984" s="80" t="s">
        <v>1714</v>
      </c>
      <c r="C1984" s="80" t="s">
        <v>9680</v>
      </c>
      <c r="D1984" s="80" t="s">
        <v>84</v>
      </c>
      <c r="E1984" s="80" t="s">
        <v>84</v>
      </c>
      <c r="F1984" s="80"/>
      <c r="G1984" s="80" t="s">
        <v>84</v>
      </c>
      <c r="H1984" s="80" t="s">
        <v>84</v>
      </c>
      <c r="I1984" s="80" t="s">
        <v>84</v>
      </c>
      <c r="J1984" s="80" t="s">
        <v>84</v>
      </c>
      <c r="K1984" s="80" t="s">
        <v>84</v>
      </c>
      <c r="L1984" s="80" t="s">
        <v>84</v>
      </c>
      <c r="M1984" s="80" t="s">
        <v>84</v>
      </c>
      <c r="N1984" s="80" t="s">
        <v>84</v>
      </c>
      <c r="O1984" s="80" t="s">
        <v>84</v>
      </c>
      <c r="P1984" s="80"/>
      <c r="Q1984" s="80" t="s">
        <v>84</v>
      </c>
      <c r="R1984" s="80" t="s">
        <v>84</v>
      </c>
    </row>
    <row r="1985" spans="1:18" ht="20" x14ac:dyDescent="0.2">
      <c r="A1985" s="80" t="s">
        <v>1485</v>
      </c>
      <c r="B1985" s="80" t="s">
        <v>1486</v>
      </c>
      <c r="C1985" s="80" t="s">
        <v>9680</v>
      </c>
      <c r="D1985" s="80" t="s">
        <v>84</v>
      </c>
      <c r="E1985" s="80" t="s">
        <v>84</v>
      </c>
      <c r="F1985" s="80"/>
      <c r="G1985" s="80" t="s">
        <v>84</v>
      </c>
      <c r="H1985" s="80" t="s">
        <v>84</v>
      </c>
      <c r="I1985" s="80" t="s">
        <v>84</v>
      </c>
      <c r="J1985" s="80" t="s">
        <v>84</v>
      </c>
      <c r="K1985" s="80" t="s">
        <v>84</v>
      </c>
      <c r="L1985" s="80" t="s">
        <v>84</v>
      </c>
      <c r="M1985" s="80" t="s">
        <v>84</v>
      </c>
      <c r="N1985" s="80" t="s">
        <v>84</v>
      </c>
      <c r="O1985" s="80" t="s">
        <v>84</v>
      </c>
      <c r="P1985" s="80"/>
      <c r="Q1985" s="80" t="s">
        <v>84</v>
      </c>
      <c r="R1985" s="80" t="s">
        <v>84</v>
      </c>
    </row>
    <row r="1986" spans="1:18" ht="20" x14ac:dyDescent="0.2">
      <c r="A1986" s="80" t="s">
        <v>1485</v>
      </c>
      <c r="B1986" s="80" t="s">
        <v>1731</v>
      </c>
      <c r="C1986" s="80" t="s">
        <v>9680</v>
      </c>
      <c r="D1986" s="80" t="s">
        <v>84</v>
      </c>
      <c r="E1986" s="80" t="s">
        <v>84</v>
      </c>
      <c r="F1986" s="80"/>
      <c r="G1986" s="80" t="s">
        <v>84</v>
      </c>
      <c r="H1986" s="80" t="s">
        <v>84</v>
      </c>
      <c r="I1986" s="80" t="s">
        <v>84</v>
      </c>
      <c r="J1986" s="80" t="s">
        <v>84</v>
      </c>
      <c r="K1986" s="80" t="s">
        <v>84</v>
      </c>
      <c r="L1986" s="80" t="s">
        <v>84</v>
      </c>
      <c r="M1986" s="80" t="s">
        <v>84</v>
      </c>
      <c r="N1986" s="80" t="s">
        <v>84</v>
      </c>
      <c r="O1986" s="80" t="s">
        <v>84</v>
      </c>
      <c r="P1986" s="80"/>
      <c r="Q1986" s="80" t="s">
        <v>84</v>
      </c>
      <c r="R1986" s="80" t="s">
        <v>84</v>
      </c>
    </row>
    <row r="1987" spans="1:18" ht="20" x14ac:dyDescent="0.2">
      <c r="A1987" s="80" t="s">
        <v>1715</v>
      </c>
      <c r="B1987" s="80" t="s">
        <v>1716</v>
      </c>
      <c r="C1987" s="80" t="s">
        <v>9680</v>
      </c>
      <c r="D1987" s="80" t="s">
        <v>84</v>
      </c>
      <c r="E1987" s="80" t="s">
        <v>84</v>
      </c>
      <c r="F1987" s="80"/>
      <c r="G1987" s="80" t="s">
        <v>84</v>
      </c>
      <c r="H1987" s="80" t="s">
        <v>84</v>
      </c>
      <c r="I1987" s="80" t="s">
        <v>84</v>
      </c>
      <c r="J1987" s="80" t="s">
        <v>84</v>
      </c>
      <c r="K1987" s="80" t="s">
        <v>84</v>
      </c>
      <c r="L1987" s="80" t="s">
        <v>84</v>
      </c>
      <c r="M1987" s="80" t="s">
        <v>84</v>
      </c>
      <c r="N1987" s="80" t="s">
        <v>84</v>
      </c>
      <c r="O1987" s="80" t="s">
        <v>84</v>
      </c>
      <c r="P1987" s="80"/>
      <c r="Q1987" s="80" t="s">
        <v>84</v>
      </c>
      <c r="R1987" s="80" t="s">
        <v>84</v>
      </c>
    </row>
    <row r="1988" spans="1:18" ht="20" x14ac:dyDescent="0.2">
      <c r="A1988" s="80" t="s">
        <v>10391</v>
      </c>
      <c r="B1988" s="80" t="s">
        <v>10392</v>
      </c>
      <c r="C1988" s="80" t="s">
        <v>9680</v>
      </c>
      <c r="D1988" s="80" t="s">
        <v>84</v>
      </c>
      <c r="E1988" s="80" t="s">
        <v>84</v>
      </c>
      <c r="F1988" s="80"/>
      <c r="G1988" s="80" t="s">
        <v>84</v>
      </c>
      <c r="H1988" s="80" t="s">
        <v>84</v>
      </c>
      <c r="I1988" s="80" t="s">
        <v>84</v>
      </c>
      <c r="J1988" s="80" t="s">
        <v>84</v>
      </c>
      <c r="K1988" s="80" t="s">
        <v>84</v>
      </c>
      <c r="L1988" s="80" t="s">
        <v>84</v>
      </c>
      <c r="M1988" s="80" t="s">
        <v>84</v>
      </c>
      <c r="N1988" s="80" t="s">
        <v>84</v>
      </c>
      <c r="O1988" s="80" t="s">
        <v>84</v>
      </c>
      <c r="P1988" s="80"/>
      <c r="Q1988" s="80" t="s">
        <v>84</v>
      </c>
      <c r="R1988" s="80" t="s">
        <v>84</v>
      </c>
    </row>
    <row r="1989" spans="1:18" ht="20" x14ac:dyDescent="0.2">
      <c r="A1989" s="80" t="s">
        <v>1645</v>
      </c>
      <c r="B1989" s="80" t="s">
        <v>1646</v>
      </c>
      <c r="C1989" s="80" t="s">
        <v>84</v>
      </c>
      <c r="D1989" s="80" t="s">
        <v>84</v>
      </c>
      <c r="E1989" s="80" t="s">
        <v>84</v>
      </c>
      <c r="F1989" s="80"/>
      <c r="G1989" s="80" t="s">
        <v>84</v>
      </c>
      <c r="H1989" s="80" t="s">
        <v>84</v>
      </c>
      <c r="I1989" s="80" t="s">
        <v>84</v>
      </c>
      <c r="J1989" s="80" t="s">
        <v>84</v>
      </c>
      <c r="K1989" s="80" t="s">
        <v>84</v>
      </c>
      <c r="L1989" s="80" t="s">
        <v>84</v>
      </c>
      <c r="M1989" s="80" t="s">
        <v>84</v>
      </c>
      <c r="N1989" s="80" t="s">
        <v>84</v>
      </c>
      <c r="O1989" s="80" t="s">
        <v>84</v>
      </c>
      <c r="P1989" s="80"/>
      <c r="Q1989" s="80" t="s">
        <v>84</v>
      </c>
      <c r="R1989" s="80" t="s">
        <v>84</v>
      </c>
    </row>
    <row r="1990" spans="1:18" ht="20" x14ac:dyDescent="0.2">
      <c r="A1990" s="80" t="s">
        <v>1647</v>
      </c>
      <c r="B1990" s="80" t="s">
        <v>1648</v>
      </c>
      <c r="C1990" s="80" t="s">
        <v>9680</v>
      </c>
      <c r="D1990" s="80" t="s">
        <v>84</v>
      </c>
      <c r="E1990" s="80" t="s">
        <v>84</v>
      </c>
      <c r="F1990" s="80"/>
      <c r="G1990" s="80" t="s">
        <v>84</v>
      </c>
      <c r="H1990" s="80" t="s">
        <v>84</v>
      </c>
      <c r="I1990" s="80" t="s">
        <v>84</v>
      </c>
      <c r="J1990" s="80" t="s">
        <v>84</v>
      </c>
      <c r="K1990" s="80" t="s">
        <v>84</v>
      </c>
      <c r="L1990" s="80" t="s">
        <v>84</v>
      </c>
      <c r="M1990" s="80" t="s">
        <v>84</v>
      </c>
      <c r="N1990" s="80" t="s">
        <v>84</v>
      </c>
      <c r="O1990" s="80" t="s">
        <v>84</v>
      </c>
      <c r="P1990" s="80"/>
      <c r="Q1990" s="80" t="s">
        <v>84</v>
      </c>
      <c r="R1990" s="80" t="s">
        <v>84</v>
      </c>
    </row>
    <row r="1991" spans="1:18" ht="20" x14ac:dyDescent="0.2">
      <c r="A1991" s="80" t="s">
        <v>10393</v>
      </c>
      <c r="B1991" s="80" t="s">
        <v>10394</v>
      </c>
      <c r="C1991" s="80" t="s">
        <v>84</v>
      </c>
      <c r="D1991" s="80" t="s">
        <v>84</v>
      </c>
      <c r="E1991" s="80" t="s">
        <v>84</v>
      </c>
      <c r="F1991" s="80"/>
      <c r="G1991" s="80" t="s">
        <v>84</v>
      </c>
      <c r="H1991" s="80" t="s">
        <v>84</v>
      </c>
      <c r="I1991" s="80" t="s">
        <v>84</v>
      </c>
      <c r="J1991" s="80" t="s">
        <v>84</v>
      </c>
      <c r="K1991" s="80" t="s">
        <v>84</v>
      </c>
      <c r="L1991" s="80" t="s">
        <v>84</v>
      </c>
      <c r="M1991" s="80" t="s">
        <v>84</v>
      </c>
      <c r="N1991" s="80" t="s">
        <v>84</v>
      </c>
      <c r="O1991" s="80" t="s">
        <v>84</v>
      </c>
      <c r="P1991" s="80"/>
      <c r="Q1991" s="80" t="s">
        <v>84</v>
      </c>
      <c r="R1991" s="80" t="s">
        <v>84</v>
      </c>
    </row>
    <row r="1992" spans="1:18" ht="20" x14ac:dyDescent="0.2">
      <c r="A1992" s="80" t="s">
        <v>1649</v>
      </c>
      <c r="B1992" s="80" t="s">
        <v>1650</v>
      </c>
      <c r="C1992" s="80" t="s">
        <v>9680</v>
      </c>
      <c r="D1992" s="80" t="s">
        <v>84</v>
      </c>
      <c r="E1992" s="80" t="s">
        <v>84</v>
      </c>
      <c r="F1992" s="80"/>
      <c r="G1992" s="80" t="s">
        <v>84</v>
      </c>
      <c r="H1992" s="80" t="s">
        <v>84</v>
      </c>
      <c r="I1992" s="80" t="s">
        <v>84</v>
      </c>
      <c r="J1992" s="80" t="s">
        <v>84</v>
      </c>
      <c r="K1992" s="80" t="s">
        <v>84</v>
      </c>
      <c r="L1992" s="80" t="s">
        <v>84</v>
      </c>
      <c r="M1992" s="80" t="s">
        <v>84</v>
      </c>
      <c r="N1992" s="80" t="s">
        <v>84</v>
      </c>
      <c r="O1992" s="80" t="s">
        <v>84</v>
      </c>
      <c r="P1992" s="80"/>
      <c r="Q1992" s="80" t="s">
        <v>84</v>
      </c>
      <c r="R1992" s="80" t="s">
        <v>84</v>
      </c>
    </row>
    <row r="1993" spans="1:18" ht="20" x14ac:dyDescent="0.2">
      <c r="A1993" s="80" t="s">
        <v>10395</v>
      </c>
      <c r="B1993" s="80" t="s">
        <v>10396</v>
      </c>
      <c r="C1993" s="80" t="s">
        <v>9680</v>
      </c>
      <c r="D1993" s="80" t="s">
        <v>84</v>
      </c>
      <c r="E1993" s="80" t="s">
        <v>84</v>
      </c>
      <c r="F1993" s="80"/>
      <c r="G1993" s="80" t="s">
        <v>84</v>
      </c>
      <c r="H1993" s="80" t="s">
        <v>84</v>
      </c>
      <c r="I1993" s="80" t="s">
        <v>84</v>
      </c>
      <c r="J1993" s="80" t="s">
        <v>84</v>
      </c>
      <c r="K1993" s="80" t="s">
        <v>84</v>
      </c>
      <c r="L1993" s="80" t="s">
        <v>84</v>
      </c>
      <c r="M1993" s="80" t="s">
        <v>84</v>
      </c>
      <c r="N1993" s="80" t="s">
        <v>84</v>
      </c>
      <c r="O1993" s="80" t="s">
        <v>84</v>
      </c>
      <c r="P1993" s="80"/>
      <c r="Q1993" s="80" t="s">
        <v>84</v>
      </c>
      <c r="R1993" s="80" t="s">
        <v>84</v>
      </c>
    </row>
    <row r="1994" spans="1:18" ht="20" x14ac:dyDescent="0.2">
      <c r="A1994" s="80" t="s">
        <v>1651</v>
      </c>
      <c r="B1994" s="80" t="s">
        <v>1652</v>
      </c>
      <c r="C1994" s="80" t="s">
        <v>9722</v>
      </c>
      <c r="D1994" s="80" t="s">
        <v>84</v>
      </c>
      <c r="E1994" s="80" t="s">
        <v>84</v>
      </c>
      <c r="F1994" s="80"/>
      <c r="G1994" s="80" t="s">
        <v>84</v>
      </c>
      <c r="H1994" s="80" t="s">
        <v>84</v>
      </c>
      <c r="I1994" s="80" t="s">
        <v>84</v>
      </c>
      <c r="J1994" s="80" t="s">
        <v>84</v>
      </c>
      <c r="K1994" s="80" t="s">
        <v>84</v>
      </c>
      <c r="L1994" s="80" t="s">
        <v>84</v>
      </c>
      <c r="M1994" s="80" t="s">
        <v>84</v>
      </c>
      <c r="N1994" s="80" t="s">
        <v>84</v>
      </c>
      <c r="O1994" s="80" t="s">
        <v>84</v>
      </c>
      <c r="P1994" s="80"/>
      <c r="Q1994" s="80" t="s">
        <v>84</v>
      </c>
      <c r="R1994" s="80" t="s">
        <v>84</v>
      </c>
    </row>
    <row r="1995" spans="1:18" ht="20" x14ac:dyDescent="0.2">
      <c r="A1995" s="80" t="s">
        <v>1653</v>
      </c>
      <c r="B1995" s="80" t="s">
        <v>1654</v>
      </c>
      <c r="C1995" s="80" t="s">
        <v>9680</v>
      </c>
      <c r="D1995" s="80" t="s">
        <v>84</v>
      </c>
      <c r="E1995" s="80" t="s">
        <v>84</v>
      </c>
      <c r="F1995" s="80"/>
      <c r="G1995" s="80" t="s">
        <v>84</v>
      </c>
      <c r="H1995" s="80" t="s">
        <v>84</v>
      </c>
      <c r="I1995" s="80" t="s">
        <v>84</v>
      </c>
      <c r="J1995" s="80" t="s">
        <v>84</v>
      </c>
      <c r="K1995" s="80" t="s">
        <v>84</v>
      </c>
      <c r="L1995" s="80" t="s">
        <v>84</v>
      </c>
      <c r="M1995" s="80" t="s">
        <v>84</v>
      </c>
      <c r="N1995" s="80" t="s">
        <v>84</v>
      </c>
      <c r="O1995" s="80" t="s">
        <v>84</v>
      </c>
      <c r="P1995" s="80"/>
      <c r="Q1995" s="80" t="s">
        <v>84</v>
      </c>
      <c r="R1995" s="80" t="s">
        <v>84</v>
      </c>
    </row>
    <row r="1996" spans="1:18" ht="20" x14ac:dyDescent="0.2">
      <c r="A1996" s="80" t="s">
        <v>1676</v>
      </c>
      <c r="B1996" s="80" t="s">
        <v>1677</v>
      </c>
      <c r="C1996" s="80" t="s">
        <v>9680</v>
      </c>
      <c r="D1996" s="80" t="s">
        <v>84</v>
      </c>
      <c r="E1996" s="80" t="s">
        <v>84</v>
      </c>
      <c r="F1996" s="80"/>
      <c r="G1996" s="80" t="s">
        <v>84</v>
      </c>
      <c r="H1996" s="80" t="s">
        <v>84</v>
      </c>
      <c r="I1996" s="80" t="s">
        <v>84</v>
      </c>
      <c r="J1996" s="80" t="s">
        <v>84</v>
      </c>
      <c r="K1996" s="80" t="s">
        <v>84</v>
      </c>
      <c r="L1996" s="80" t="s">
        <v>84</v>
      </c>
      <c r="M1996" s="80" t="s">
        <v>84</v>
      </c>
      <c r="N1996" s="80" t="s">
        <v>84</v>
      </c>
      <c r="O1996" s="80" t="s">
        <v>84</v>
      </c>
      <c r="P1996" s="80"/>
      <c r="Q1996" s="80" t="s">
        <v>84</v>
      </c>
      <c r="R1996" s="80" t="s">
        <v>84</v>
      </c>
    </row>
    <row r="1997" spans="1:18" ht="20" x14ac:dyDescent="0.2">
      <c r="A1997" s="80" t="s">
        <v>1679</v>
      </c>
      <c r="B1997" s="80" t="s">
        <v>1680</v>
      </c>
      <c r="C1997" s="80" t="s">
        <v>9680</v>
      </c>
      <c r="D1997" s="80" t="s">
        <v>84</v>
      </c>
      <c r="E1997" s="80" t="s">
        <v>84</v>
      </c>
      <c r="F1997" s="80"/>
      <c r="G1997" s="80" t="s">
        <v>84</v>
      </c>
      <c r="H1997" s="80" t="s">
        <v>84</v>
      </c>
      <c r="I1997" s="80" t="s">
        <v>84</v>
      </c>
      <c r="J1997" s="80" t="s">
        <v>84</v>
      </c>
      <c r="K1997" s="80" t="s">
        <v>84</v>
      </c>
      <c r="L1997" s="80" t="s">
        <v>84</v>
      </c>
      <c r="M1997" s="80" t="s">
        <v>84</v>
      </c>
      <c r="N1997" s="80" t="s">
        <v>84</v>
      </c>
      <c r="O1997" s="80" t="s">
        <v>84</v>
      </c>
      <c r="P1997" s="80"/>
      <c r="Q1997" s="80" t="s">
        <v>84</v>
      </c>
      <c r="R1997" s="80" t="s">
        <v>84</v>
      </c>
    </row>
    <row r="1998" spans="1:18" ht="20" x14ac:dyDescent="0.2">
      <c r="A1998" s="80" t="s">
        <v>1683</v>
      </c>
      <c r="B1998" s="80" t="s">
        <v>1684</v>
      </c>
      <c r="C1998" s="80" t="s">
        <v>9680</v>
      </c>
      <c r="D1998" s="80" t="s">
        <v>84</v>
      </c>
      <c r="E1998" s="80" t="s">
        <v>84</v>
      </c>
      <c r="F1998" s="80"/>
      <c r="G1998" s="80" t="s">
        <v>84</v>
      </c>
      <c r="H1998" s="80" t="s">
        <v>84</v>
      </c>
      <c r="I1998" s="80" t="s">
        <v>84</v>
      </c>
      <c r="J1998" s="80" t="s">
        <v>84</v>
      </c>
      <c r="K1998" s="80" t="s">
        <v>84</v>
      </c>
      <c r="L1998" s="80" t="s">
        <v>84</v>
      </c>
      <c r="M1998" s="80" t="s">
        <v>84</v>
      </c>
      <c r="N1998" s="80" t="s">
        <v>84</v>
      </c>
      <c r="O1998" s="80" t="s">
        <v>84</v>
      </c>
      <c r="P1998" s="80"/>
      <c r="Q1998" s="80" t="s">
        <v>84</v>
      </c>
      <c r="R1998" s="80" t="s">
        <v>84</v>
      </c>
    </row>
    <row r="1999" spans="1:18" ht="20" x14ac:dyDescent="0.2">
      <c r="A1999" s="80" t="s">
        <v>1655</v>
      </c>
      <c r="B1999" s="80" t="s">
        <v>1656</v>
      </c>
      <c r="C1999" s="80" t="s">
        <v>9680</v>
      </c>
      <c r="D1999" s="80" t="s">
        <v>84</v>
      </c>
      <c r="E1999" s="80" t="s">
        <v>84</v>
      </c>
      <c r="F1999" s="80"/>
      <c r="G1999" s="80" t="s">
        <v>84</v>
      </c>
      <c r="H1999" s="80" t="s">
        <v>84</v>
      </c>
      <c r="I1999" s="80" t="s">
        <v>84</v>
      </c>
      <c r="J1999" s="80" t="s">
        <v>84</v>
      </c>
      <c r="K1999" s="80" t="s">
        <v>84</v>
      </c>
      <c r="L1999" s="80" t="s">
        <v>84</v>
      </c>
      <c r="M1999" s="80" t="s">
        <v>84</v>
      </c>
      <c r="N1999" s="80" t="s">
        <v>84</v>
      </c>
      <c r="O1999" s="80" t="s">
        <v>84</v>
      </c>
      <c r="P1999" s="80"/>
      <c r="Q1999" s="80" t="s">
        <v>84</v>
      </c>
      <c r="R1999" s="80" t="s">
        <v>84</v>
      </c>
    </row>
    <row r="2000" spans="1:18" ht="20" x14ac:dyDescent="0.2">
      <c r="A2000" s="80" t="s">
        <v>1657</v>
      </c>
      <c r="B2000" s="80" t="s">
        <v>1658</v>
      </c>
      <c r="C2000" s="80" t="s">
        <v>9680</v>
      </c>
      <c r="D2000" s="80" t="s">
        <v>84</v>
      </c>
      <c r="E2000" s="80" t="s">
        <v>84</v>
      </c>
      <c r="F2000" s="80"/>
      <c r="G2000" s="80" t="s">
        <v>84</v>
      </c>
      <c r="H2000" s="80" t="s">
        <v>84</v>
      </c>
      <c r="I2000" s="80" t="s">
        <v>84</v>
      </c>
      <c r="J2000" s="80" t="s">
        <v>84</v>
      </c>
      <c r="K2000" s="80" t="s">
        <v>84</v>
      </c>
      <c r="L2000" s="80" t="s">
        <v>84</v>
      </c>
      <c r="M2000" s="80" t="s">
        <v>84</v>
      </c>
      <c r="N2000" s="80" t="s">
        <v>84</v>
      </c>
      <c r="O2000" s="80" t="s">
        <v>84</v>
      </c>
      <c r="P2000" s="80"/>
      <c r="Q2000" s="80" t="s">
        <v>84</v>
      </c>
      <c r="R2000" s="80" t="s">
        <v>84</v>
      </c>
    </row>
    <row r="2001" spans="1:18" ht="20" x14ac:dyDescent="0.2">
      <c r="A2001" s="80" t="s">
        <v>1659</v>
      </c>
      <c r="B2001" s="80" t="s">
        <v>1660</v>
      </c>
      <c r="C2001" s="80" t="s">
        <v>9680</v>
      </c>
      <c r="D2001" s="80" t="s">
        <v>84</v>
      </c>
      <c r="E2001" s="80" t="s">
        <v>84</v>
      </c>
      <c r="F2001" s="80"/>
      <c r="G2001" s="80" t="s">
        <v>9680</v>
      </c>
      <c r="H2001" s="80" t="s">
        <v>84</v>
      </c>
      <c r="I2001" s="80" t="s">
        <v>84</v>
      </c>
      <c r="J2001" s="80" t="s">
        <v>84</v>
      </c>
      <c r="K2001" s="80" t="s">
        <v>84</v>
      </c>
      <c r="L2001" s="80" t="s">
        <v>84</v>
      </c>
      <c r="M2001" s="80" t="s">
        <v>84</v>
      </c>
      <c r="N2001" s="80" t="s">
        <v>84</v>
      </c>
      <c r="O2001" s="80" t="s">
        <v>84</v>
      </c>
      <c r="P2001" s="80"/>
      <c r="Q2001" s="80" t="s">
        <v>84</v>
      </c>
      <c r="R2001" s="80" t="s">
        <v>84</v>
      </c>
    </row>
    <row r="2002" spans="1:18" ht="20" x14ac:dyDescent="0.2">
      <c r="A2002" s="80" t="s">
        <v>1661</v>
      </c>
      <c r="B2002" s="80" t="s">
        <v>1662</v>
      </c>
      <c r="C2002" s="80" t="s">
        <v>9680</v>
      </c>
      <c r="D2002" s="80" t="s">
        <v>84</v>
      </c>
      <c r="E2002" s="80" t="s">
        <v>84</v>
      </c>
      <c r="F2002" s="80"/>
      <c r="G2002" s="80" t="s">
        <v>9680</v>
      </c>
      <c r="H2002" s="80" t="s">
        <v>84</v>
      </c>
      <c r="I2002" s="80" t="s">
        <v>84</v>
      </c>
      <c r="J2002" s="80" t="s">
        <v>84</v>
      </c>
      <c r="K2002" s="80" t="s">
        <v>84</v>
      </c>
      <c r="L2002" s="80" t="s">
        <v>84</v>
      </c>
      <c r="M2002" s="80" t="s">
        <v>84</v>
      </c>
      <c r="N2002" s="80" t="s">
        <v>84</v>
      </c>
      <c r="O2002" s="80" t="s">
        <v>84</v>
      </c>
      <c r="P2002" s="80"/>
      <c r="Q2002" s="80" t="s">
        <v>84</v>
      </c>
      <c r="R2002" s="80" t="s">
        <v>84</v>
      </c>
    </row>
    <row r="2003" spans="1:18" ht="20" x14ac:dyDescent="0.2">
      <c r="A2003" s="80" t="s">
        <v>4145</v>
      </c>
      <c r="B2003" s="80" t="s">
        <v>10397</v>
      </c>
      <c r="C2003" s="80" t="s">
        <v>9680</v>
      </c>
      <c r="D2003" s="80" t="s">
        <v>9680</v>
      </c>
      <c r="E2003" s="80" t="s">
        <v>84</v>
      </c>
      <c r="F2003" s="80"/>
      <c r="G2003" s="80" t="s">
        <v>9680</v>
      </c>
      <c r="H2003" s="80" t="s">
        <v>84</v>
      </c>
      <c r="I2003" s="80" t="s">
        <v>9680</v>
      </c>
      <c r="J2003" s="80" t="s">
        <v>9680</v>
      </c>
      <c r="K2003" s="80" t="s">
        <v>9680</v>
      </c>
      <c r="L2003" s="80" t="s">
        <v>9680</v>
      </c>
      <c r="M2003" s="80" t="s">
        <v>9680</v>
      </c>
      <c r="N2003" s="80" t="s">
        <v>84</v>
      </c>
      <c r="O2003" s="80" t="s">
        <v>9680</v>
      </c>
      <c r="P2003" s="80"/>
      <c r="Q2003" s="80" t="s">
        <v>9680</v>
      </c>
      <c r="R2003" s="80" t="s">
        <v>9680</v>
      </c>
    </row>
    <row r="2004" spans="1:18" ht="20" x14ac:dyDescent="0.2">
      <c r="A2004" s="80" t="s">
        <v>4145</v>
      </c>
      <c r="B2004" s="80" t="s">
        <v>4146</v>
      </c>
      <c r="C2004" s="80" t="s">
        <v>9680</v>
      </c>
      <c r="D2004" s="80" t="s">
        <v>9680</v>
      </c>
      <c r="E2004" s="80" t="s">
        <v>84</v>
      </c>
      <c r="F2004" s="80"/>
      <c r="G2004" s="80" t="s">
        <v>9680</v>
      </c>
      <c r="H2004" s="80" t="s">
        <v>84</v>
      </c>
      <c r="I2004" s="80" t="s">
        <v>9680</v>
      </c>
      <c r="J2004" s="80" t="s">
        <v>9680</v>
      </c>
      <c r="K2004" s="80" t="s">
        <v>9680</v>
      </c>
      <c r="L2004" s="80" t="s">
        <v>9680</v>
      </c>
      <c r="M2004" s="80" t="s">
        <v>9680</v>
      </c>
      <c r="N2004" s="80" t="s">
        <v>84</v>
      </c>
      <c r="O2004" s="80" t="s">
        <v>9680</v>
      </c>
      <c r="P2004" s="80"/>
      <c r="Q2004" s="80" t="s">
        <v>9680</v>
      </c>
      <c r="R2004" s="80" t="s">
        <v>9680</v>
      </c>
    </row>
    <row r="2005" spans="1:18" ht="20" x14ac:dyDescent="0.2">
      <c r="A2005" s="80" t="s">
        <v>4147</v>
      </c>
      <c r="B2005" s="80" t="s">
        <v>4148</v>
      </c>
      <c r="C2005" s="80" t="s">
        <v>9680</v>
      </c>
      <c r="D2005" s="80" t="s">
        <v>9680</v>
      </c>
      <c r="E2005" s="80" t="s">
        <v>9680</v>
      </c>
      <c r="F2005" s="80"/>
      <c r="G2005" s="80" t="s">
        <v>9680</v>
      </c>
      <c r="H2005" s="80" t="s">
        <v>9680</v>
      </c>
      <c r="I2005" s="80" t="s">
        <v>9680</v>
      </c>
      <c r="J2005" s="80" t="s">
        <v>9680</v>
      </c>
      <c r="K2005" s="80" t="s">
        <v>9680</v>
      </c>
      <c r="L2005" s="80" t="s">
        <v>9680</v>
      </c>
      <c r="M2005" s="80" t="s">
        <v>9680</v>
      </c>
      <c r="N2005" s="80" t="s">
        <v>9680</v>
      </c>
      <c r="O2005" s="80" t="s">
        <v>9680</v>
      </c>
      <c r="P2005" s="80"/>
      <c r="Q2005" s="80" t="s">
        <v>9680</v>
      </c>
      <c r="R2005" s="80" t="s">
        <v>9680</v>
      </c>
    </row>
    <row r="2006" spans="1:18" ht="20" x14ac:dyDescent="0.2">
      <c r="A2006" s="80" t="s">
        <v>4149</v>
      </c>
      <c r="B2006" s="80" t="s">
        <v>10398</v>
      </c>
      <c r="C2006" s="80" t="s">
        <v>84</v>
      </c>
      <c r="D2006" s="80" t="s">
        <v>84</v>
      </c>
      <c r="E2006" s="80" t="s">
        <v>84</v>
      </c>
      <c r="F2006" s="80"/>
      <c r="G2006" s="80" t="s">
        <v>84</v>
      </c>
      <c r="H2006" s="80" t="s">
        <v>84</v>
      </c>
      <c r="I2006" s="80" t="s">
        <v>84</v>
      </c>
      <c r="J2006" s="80" t="s">
        <v>84</v>
      </c>
      <c r="K2006" s="80" t="s">
        <v>84</v>
      </c>
      <c r="L2006" s="80" t="s">
        <v>84</v>
      </c>
      <c r="M2006" s="80" t="s">
        <v>84</v>
      </c>
      <c r="N2006" s="80" t="s">
        <v>84</v>
      </c>
      <c r="O2006" s="80" t="s">
        <v>84</v>
      </c>
      <c r="P2006" s="80"/>
      <c r="Q2006" s="80" t="s">
        <v>84</v>
      </c>
      <c r="R2006" s="80" t="s">
        <v>84</v>
      </c>
    </row>
    <row r="2007" spans="1:18" ht="20" x14ac:dyDescent="0.2">
      <c r="A2007" s="80" t="s">
        <v>4149</v>
      </c>
      <c r="B2007" s="80" t="s">
        <v>4150</v>
      </c>
      <c r="C2007" s="80" t="s">
        <v>84</v>
      </c>
      <c r="D2007" s="80" t="s">
        <v>84</v>
      </c>
      <c r="E2007" s="80" t="s">
        <v>84</v>
      </c>
      <c r="F2007" s="80"/>
      <c r="G2007" s="80" t="s">
        <v>84</v>
      </c>
      <c r="H2007" s="80" t="s">
        <v>84</v>
      </c>
      <c r="I2007" s="80" t="s">
        <v>84</v>
      </c>
      <c r="J2007" s="80" t="s">
        <v>84</v>
      </c>
      <c r="K2007" s="80" t="s">
        <v>84</v>
      </c>
      <c r="L2007" s="80" t="s">
        <v>84</v>
      </c>
      <c r="M2007" s="80" t="s">
        <v>84</v>
      </c>
      <c r="N2007" s="80" t="s">
        <v>84</v>
      </c>
      <c r="O2007" s="80" t="s">
        <v>84</v>
      </c>
      <c r="P2007" s="80"/>
      <c r="Q2007" s="80" t="s">
        <v>84</v>
      </c>
      <c r="R2007" s="80" t="s">
        <v>84</v>
      </c>
    </row>
    <row r="2008" spans="1:18" ht="20" x14ac:dyDescent="0.2">
      <c r="A2008" s="80" t="s">
        <v>4191</v>
      </c>
      <c r="B2008" s="80" t="s">
        <v>10399</v>
      </c>
      <c r="C2008" s="80" t="s">
        <v>84</v>
      </c>
      <c r="D2008" s="80" t="s">
        <v>84</v>
      </c>
      <c r="E2008" s="80" t="s">
        <v>84</v>
      </c>
      <c r="F2008" s="80"/>
      <c r="G2008" s="80" t="s">
        <v>84</v>
      </c>
      <c r="H2008" s="80" t="s">
        <v>84</v>
      </c>
      <c r="I2008" s="80" t="s">
        <v>84</v>
      </c>
      <c r="J2008" s="80" t="s">
        <v>84</v>
      </c>
      <c r="K2008" s="80" t="s">
        <v>84</v>
      </c>
      <c r="L2008" s="80" t="s">
        <v>84</v>
      </c>
      <c r="M2008" s="80" t="s">
        <v>84</v>
      </c>
      <c r="N2008" s="80" t="s">
        <v>84</v>
      </c>
      <c r="O2008" s="80" t="s">
        <v>84</v>
      </c>
      <c r="P2008" s="80"/>
      <c r="Q2008" s="80" t="s">
        <v>84</v>
      </c>
      <c r="R2008" s="80" t="s">
        <v>84</v>
      </c>
    </row>
    <row r="2009" spans="1:18" ht="20" x14ac:dyDescent="0.2">
      <c r="A2009" s="80" t="s">
        <v>4191</v>
      </c>
      <c r="B2009" s="80" t="s">
        <v>4192</v>
      </c>
      <c r="C2009" s="80" t="s">
        <v>84</v>
      </c>
      <c r="D2009" s="80" t="s">
        <v>84</v>
      </c>
      <c r="E2009" s="80" t="s">
        <v>84</v>
      </c>
      <c r="F2009" s="80"/>
      <c r="G2009" s="80" t="s">
        <v>84</v>
      </c>
      <c r="H2009" s="80" t="s">
        <v>84</v>
      </c>
      <c r="I2009" s="80" t="s">
        <v>84</v>
      </c>
      <c r="J2009" s="80" t="s">
        <v>84</v>
      </c>
      <c r="K2009" s="80" t="s">
        <v>84</v>
      </c>
      <c r="L2009" s="80" t="s">
        <v>84</v>
      </c>
      <c r="M2009" s="80" t="s">
        <v>84</v>
      </c>
      <c r="N2009" s="80" t="s">
        <v>84</v>
      </c>
      <c r="O2009" s="80" t="s">
        <v>84</v>
      </c>
      <c r="P2009" s="80"/>
      <c r="Q2009" s="80" t="s">
        <v>84</v>
      </c>
      <c r="R2009" s="80" t="s">
        <v>84</v>
      </c>
    </row>
    <row r="2010" spans="1:18" ht="20" x14ac:dyDescent="0.2">
      <c r="A2010" s="80" t="s">
        <v>4208</v>
      </c>
      <c r="B2010" s="80" t="s">
        <v>10400</v>
      </c>
      <c r="C2010" s="80" t="s">
        <v>84</v>
      </c>
      <c r="D2010" s="80" t="s">
        <v>84</v>
      </c>
      <c r="E2010" s="80" t="s">
        <v>84</v>
      </c>
      <c r="F2010" s="80"/>
      <c r="G2010" s="80" t="s">
        <v>84</v>
      </c>
      <c r="H2010" s="80" t="s">
        <v>84</v>
      </c>
      <c r="I2010" s="80" t="s">
        <v>84</v>
      </c>
      <c r="J2010" s="80" t="s">
        <v>84</v>
      </c>
      <c r="K2010" s="80" t="s">
        <v>84</v>
      </c>
      <c r="L2010" s="80" t="s">
        <v>84</v>
      </c>
      <c r="M2010" s="80" t="s">
        <v>84</v>
      </c>
      <c r="N2010" s="80" t="s">
        <v>84</v>
      </c>
      <c r="O2010" s="80" t="s">
        <v>84</v>
      </c>
      <c r="P2010" s="80"/>
      <c r="Q2010" s="80" t="s">
        <v>84</v>
      </c>
      <c r="R2010" s="80" t="s">
        <v>84</v>
      </c>
    </row>
    <row r="2011" spans="1:18" ht="20" x14ac:dyDescent="0.2">
      <c r="A2011" s="80" t="s">
        <v>4208</v>
      </c>
      <c r="B2011" s="80" t="s">
        <v>4209</v>
      </c>
      <c r="C2011" s="80" t="s">
        <v>84</v>
      </c>
      <c r="D2011" s="80" t="s">
        <v>84</v>
      </c>
      <c r="E2011" s="80" t="s">
        <v>84</v>
      </c>
      <c r="F2011" s="80"/>
      <c r="G2011" s="80" t="s">
        <v>84</v>
      </c>
      <c r="H2011" s="80" t="s">
        <v>84</v>
      </c>
      <c r="I2011" s="80" t="s">
        <v>84</v>
      </c>
      <c r="J2011" s="80" t="s">
        <v>84</v>
      </c>
      <c r="K2011" s="80" t="s">
        <v>84</v>
      </c>
      <c r="L2011" s="80" t="s">
        <v>84</v>
      </c>
      <c r="M2011" s="80" t="s">
        <v>84</v>
      </c>
      <c r="N2011" s="80" t="s">
        <v>84</v>
      </c>
      <c r="O2011" s="80" t="s">
        <v>84</v>
      </c>
      <c r="P2011" s="80"/>
      <c r="Q2011" s="80" t="s">
        <v>84</v>
      </c>
      <c r="R2011" s="80" t="s">
        <v>84</v>
      </c>
    </row>
    <row r="2012" spans="1:18" ht="20" x14ac:dyDescent="0.2">
      <c r="A2012" s="80" t="s">
        <v>4151</v>
      </c>
      <c r="B2012" s="80" t="s">
        <v>4152</v>
      </c>
      <c r="C2012" s="80" t="s">
        <v>84</v>
      </c>
      <c r="D2012" s="80" t="s">
        <v>84</v>
      </c>
      <c r="E2012" s="80" t="s">
        <v>84</v>
      </c>
      <c r="F2012" s="80"/>
      <c r="G2012" s="80" t="s">
        <v>84</v>
      </c>
      <c r="H2012" s="80" t="s">
        <v>84</v>
      </c>
      <c r="I2012" s="80" t="s">
        <v>84</v>
      </c>
      <c r="J2012" s="80" t="s">
        <v>84</v>
      </c>
      <c r="K2012" s="80" t="s">
        <v>84</v>
      </c>
      <c r="L2012" s="80" t="s">
        <v>84</v>
      </c>
      <c r="M2012" s="80" t="s">
        <v>84</v>
      </c>
      <c r="N2012" s="80" t="s">
        <v>84</v>
      </c>
      <c r="O2012" s="80" t="s">
        <v>84</v>
      </c>
      <c r="P2012" s="80"/>
      <c r="Q2012" s="80" t="s">
        <v>84</v>
      </c>
      <c r="R2012" s="80" t="s">
        <v>84</v>
      </c>
    </row>
    <row r="2013" spans="1:18" ht="20" x14ac:dyDescent="0.2">
      <c r="A2013" s="80" t="s">
        <v>4153</v>
      </c>
      <c r="B2013" s="80" t="s">
        <v>4154</v>
      </c>
      <c r="C2013" s="80" t="s">
        <v>9680</v>
      </c>
      <c r="D2013" s="80" t="s">
        <v>9680</v>
      </c>
      <c r="E2013" s="80" t="s">
        <v>84</v>
      </c>
      <c r="F2013" s="80"/>
      <c r="G2013" s="80" t="s">
        <v>9680</v>
      </c>
      <c r="H2013" s="80" t="s">
        <v>9680</v>
      </c>
      <c r="I2013" s="80" t="s">
        <v>9680</v>
      </c>
      <c r="J2013" s="80" t="s">
        <v>84</v>
      </c>
      <c r="K2013" s="80" t="s">
        <v>9680</v>
      </c>
      <c r="L2013" s="80" t="s">
        <v>9680</v>
      </c>
      <c r="M2013" s="80" t="s">
        <v>9680</v>
      </c>
      <c r="N2013" s="80" t="s">
        <v>84</v>
      </c>
      <c r="O2013" s="80" t="s">
        <v>9680</v>
      </c>
      <c r="P2013" s="80"/>
      <c r="Q2013" s="80" t="s">
        <v>9680</v>
      </c>
      <c r="R2013" s="80" t="s">
        <v>9680</v>
      </c>
    </row>
    <row r="2014" spans="1:18" ht="20" x14ac:dyDescent="0.2">
      <c r="A2014" s="80" t="s">
        <v>4078</v>
      </c>
      <c r="B2014" s="80" t="s">
        <v>4079</v>
      </c>
      <c r="C2014" s="80" t="s">
        <v>9680</v>
      </c>
      <c r="D2014" s="80" t="s">
        <v>9680</v>
      </c>
      <c r="E2014" s="80" t="s">
        <v>9680</v>
      </c>
      <c r="F2014" s="80"/>
      <c r="G2014" s="80" t="s">
        <v>9680</v>
      </c>
      <c r="H2014" s="80" t="s">
        <v>9680</v>
      </c>
      <c r="I2014" s="80" t="s">
        <v>9680</v>
      </c>
      <c r="J2014" s="80" t="s">
        <v>84</v>
      </c>
      <c r="K2014" s="80" t="s">
        <v>9680</v>
      </c>
      <c r="L2014" s="80" t="s">
        <v>9680</v>
      </c>
      <c r="M2014" s="80" t="s">
        <v>9680</v>
      </c>
      <c r="N2014" s="80" t="s">
        <v>84</v>
      </c>
      <c r="O2014" s="80" t="s">
        <v>84</v>
      </c>
      <c r="P2014" s="80"/>
      <c r="Q2014" s="80" t="s">
        <v>84</v>
      </c>
      <c r="R2014" s="80" t="s">
        <v>84</v>
      </c>
    </row>
    <row r="2015" spans="1:18" ht="20" x14ac:dyDescent="0.2">
      <c r="A2015" s="80" t="s">
        <v>4078</v>
      </c>
      <c r="B2015" s="80" t="s">
        <v>4155</v>
      </c>
      <c r="C2015" s="80" t="s">
        <v>9680</v>
      </c>
      <c r="D2015" s="80" t="s">
        <v>9680</v>
      </c>
      <c r="E2015" s="80" t="s">
        <v>9680</v>
      </c>
      <c r="F2015" s="80"/>
      <c r="G2015" s="80" t="s">
        <v>9680</v>
      </c>
      <c r="H2015" s="80" t="s">
        <v>9680</v>
      </c>
      <c r="I2015" s="80" t="s">
        <v>9680</v>
      </c>
      <c r="J2015" s="80" t="s">
        <v>84</v>
      </c>
      <c r="K2015" s="80" t="s">
        <v>9680</v>
      </c>
      <c r="L2015" s="80" t="s">
        <v>9680</v>
      </c>
      <c r="M2015" s="80" t="s">
        <v>9680</v>
      </c>
      <c r="N2015" s="80" t="s">
        <v>84</v>
      </c>
      <c r="O2015" s="80" t="s">
        <v>84</v>
      </c>
      <c r="P2015" s="80"/>
      <c r="Q2015" s="80" t="s">
        <v>84</v>
      </c>
      <c r="R2015" s="80" t="s">
        <v>84</v>
      </c>
    </row>
    <row r="2016" spans="1:18" ht="20" x14ac:dyDescent="0.2">
      <c r="A2016" s="80" t="s">
        <v>4156</v>
      </c>
      <c r="B2016" s="80" t="s">
        <v>4157</v>
      </c>
      <c r="C2016" s="80" t="s">
        <v>9680</v>
      </c>
      <c r="D2016" s="80" t="s">
        <v>9680</v>
      </c>
      <c r="E2016" s="80" t="s">
        <v>84</v>
      </c>
      <c r="F2016" s="80"/>
      <c r="G2016" s="80" t="s">
        <v>9680</v>
      </c>
      <c r="H2016" s="80" t="s">
        <v>9680</v>
      </c>
      <c r="I2016" s="80" t="s">
        <v>9680</v>
      </c>
      <c r="J2016" s="80" t="s">
        <v>84</v>
      </c>
      <c r="K2016" s="80" t="s">
        <v>9680</v>
      </c>
      <c r="L2016" s="80" t="s">
        <v>9680</v>
      </c>
      <c r="M2016" s="80" t="s">
        <v>9680</v>
      </c>
      <c r="N2016" s="80" t="s">
        <v>84</v>
      </c>
      <c r="O2016" s="80" t="s">
        <v>9680</v>
      </c>
      <c r="P2016" s="80"/>
      <c r="Q2016" s="80" t="s">
        <v>9680</v>
      </c>
      <c r="R2016" s="80" t="s">
        <v>9680</v>
      </c>
    </row>
    <row r="2017" spans="1:18" ht="20" x14ac:dyDescent="0.2">
      <c r="A2017" s="80" t="s">
        <v>4076</v>
      </c>
      <c r="B2017" s="80" t="s">
        <v>4077</v>
      </c>
      <c r="C2017" s="80" t="s">
        <v>9680</v>
      </c>
      <c r="D2017" s="80" t="s">
        <v>9680</v>
      </c>
      <c r="E2017" s="80" t="s">
        <v>9680</v>
      </c>
      <c r="F2017" s="80"/>
      <c r="G2017" s="80" t="s">
        <v>9680</v>
      </c>
      <c r="H2017" s="80" t="s">
        <v>9680</v>
      </c>
      <c r="I2017" s="80" t="s">
        <v>9680</v>
      </c>
      <c r="J2017" s="80" t="s">
        <v>84</v>
      </c>
      <c r="K2017" s="80" t="s">
        <v>9680</v>
      </c>
      <c r="L2017" s="80" t="s">
        <v>9680</v>
      </c>
      <c r="M2017" s="80" t="s">
        <v>9680</v>
      </c>
      <c r="N2017" s="80" t="s">
        <v>9680</v>
      </c>
      <c r="O2017" s="80" t="s">
        <v>9680</v>
      </c>
      <c r="P2017" s="80"/>
      <c r="Q2017" s="80" t="s">
        <v>9680</v>
      </c>
      <c r="R2017" s="80" t="s">
        <v>9680</v>
      </c>
    </row>
    <row r="2018" spans="1:18" ht="20" x14ac:dyDescent="0.2">
      <c r="A2018" s="80" t="s">
        <v>4076</v>
      </c>
      <c r="B2018" s="80" t="s">
        <v>4158</v>
      </c>
      <c r="C2018" s="80" t="s">
        <v>9680</v>
      </c>
      <c r="D2018" s="80" t="s">
        <v>9680</v>
      </c>
      <c r="E2018" s="80" t="s">
        <v>9680</v>
      </c>
      <c r="F2018" s="80"/>
      <c r="G2018" s="80" t="s">
        <v>9680</v>
      </c>
      <c r="H2018" s="80" t="s">
        <v>9680</v>
      </c>
      <c r="I2018" s="80" t="s">
        <v>9680</v>
      </c>
      <c r="J2018" s="80" t="s">
        <v>84</v>
      </c>
      <c r="K2018" s="80" t="s">
        <v>9680</v>
      </c>
      <c r="L2018" s="80" t="s">
        <v>9680</v>
      </c>
      <c r="M2018" s="80" t="s">
        <v>9680</v>
      </c>
      <c r="N2018" s="80" t="s">
        <v>9680</v>
      </c>
      <c r="O2018" s="80" t="s">
        <v>9680</v>
      </c>
      <c r="P2018" s="80"/>
      <c r="Q2018" s="80" t="s">
        <v>9680</v>
      </c>
      <c r="R2018" s="80" t="s">
        <v>9680</v>
      </c>
    </row>
    <row r="2019" spans="1:18" ht="20" x14ac:dyDescent="0.2">
      <c r="A2019" s="80" t="s">
        <v>4169</v>
      </c>
      <c r="B2019" s="80" t="s">
        <v>10401</v>
      </c>
      <c r="C2019" s="80" t="s">
        <v>84</v>
      </c>
      <c r="D2019" s="80" t="s">
        <v>84</v>
      </c>
      <c r="E2019" s="80" t="s">
        <v>84</v>
      </c>
      <c r="F2019" s="80"/>
      <c r="G2019" s="80" t="s">
        <v>84</v>
      </c>
      <c r="H2019" s="80" t="s">
        <v>84</v>
      </c>
      <c r="I2019" s="80" t="s">
        <v>84</v>
      </c>
      <c r="J2019" s="80" t="s">
        <v>84</v>
      </c>
      <c r="K2019" s="80" t="s">
        <v>84</v>
      </c>
      <c r="L2019" s="80" t="s">
        <v>84</v>
      </c>
      <c r="M2019" s="80" t="s">
        <v>84</v>
      </c>
      <c r="N2019" s="80" t="s">
        <v>84</v>
      </c>
      <c r="O2019" s="80" t="s">
        <v>84</v>
      </c>
      <c r="P2019" s="80"/>
      <c r="Q2019" s="80" t="s">
        <v>84</v>
      </c>
      <c r="R2019" s="80" t="s">
        <v>84</v>
      </c>
    </row>
    <row r="2020" spans="1:18" ht="20" x14ac:dyDescent="0.2">
      <c r="A2020" s="80" t="s">
        <v>4169</v>
      </c>
      <c r="B2020" s="80" t="s">
        <v>4170</v>
      </c>
      <c r="C2020" s="80" t="s">
        <v>84</v>
      </c>
      <c r="D2020" s="80" t="s">
        <v>84</v>
      </c>
      <c r="E2020" s="80" t="s">
        <v>84</v>
      </c>
      <c r="F2020" s="80"/>
      <c r="G2020" s="80" t="s">
        <v>84</v>
      </c>
      <c r="H2020" s="80" t="s">
        <v>84</v>
      </c>
      <c r="I2020" s="80" t="s">
        <v>84</v>
      </c>
      <c r="J2020" s="80" t="s">
        <v>84</v>
      </c>
      <c r="K2020" s="80" t="s">
        <v>84</v>
      </c>
      <c r="L2020" s="80" t="s">
        <v>84</v>
      </c>
      <c r="M2020" s="80" t="s">
        <v>84</v>
      </c>
      <c r="N2020" s="80" t="s">
        <v>84</v>
      </c>
      <c r="O2020" s="80" t="s">
        <v>84</v>
      </c>
      <c r="P2020" s="80"/>
      <c r="Q2020" s="80" t="s">
        <v>84</v>
      </c>
      <c r="R2020" s="80" t="s">
        <v>84</v>
      </c>
    </row>
    <row r="2021" spans="1:18" ht="20" x14ac:dyDescent="0.2">
      <c r="A2021" s="80" t="s">
        <v>4171</v>
      </c>
      <c r="B2021" s="80" t="s">
        <v>4172</v>
      </c>
      <c r="C2021" s="80" t="s">
        <v>84</v>
      </c>
      <c r="D2021" s="80" t="s">
        <v>84</v>
      </c>
      <c r="E2021" s="80" t="s">
        <v>84</v>
      </c>
      <c r="F2021" s="80"/>
      <c r="G2021" s="80" t="s">
        <v>84</v>
      </c>
      <c r="H2021" s="80" t="s">
        <v>84</v>
      </c>
      <c r="I2021" s="80" t="s">
        <v>84</v>
      </c>
      <c r="J2021" s="80" t="s">
        <v>84</v>
      </c>
      <c r="K2021" s="80" t="s">
        <v>84</v>
      </c>
      <c r="L2021" s="80" t="s">
        <v>84</v>
      </c>
      <c r="M2021" s="80" t="s">
        <v>84</v>
      </c>
      <c r="N2021" s="80" t="s">
        <v>84</v>
      </c>
      <c r="O2021" s="80" t="s">
        <v>84</v>
      </c>
      <c r="P2021" s="80"/>
      <c r="Q2021" s="80" t="s">
        <v>84</v>
      </c>
      <c r="R2021" s="80" t="s">
        <v>84</v>
      </c>
    </row>
    <row r="2022" spans="1:18" ht="20" x14ac:dyDescent="0.2">
      <c r="A2022" s="80" t="s">
        <v>4173</v>
      </c>
      <c r="B2022" s="80" t="s">
        <v>4174</v>
      </c>
      <c r="C2022" s="80" t="s">
        <v>84</v>
      </c>
      <c r="D2022" s="80" t="s">
        <v>84</v>
      </c>
      <c r="E2022" s="80" t="s">
        <v>84</v>
      </c>
      <c r="F2022" s="80"/>
      <c r="G2022" s="80" t="s">
        <v>84</v>
      </c>
      <c r="H2022" s="80" t="s">
        <v>84</v>
      </c>
      <c r="I2022" s="80" t="s">
        <v>84</v>
      </c>
      <c r="J2022" s="80" t="s">
        <v>84</v>
      </c>
      <c r="K2022" s="80" t="s">
        <v>84</v>
      </c>
      <c r="L2022" s="80" t="s">
        <v>84</v>
      </c>
      <c r="M2022" s="80" t="s">
        <v>84</v>
      </c>
      <c r="N2022" s="80" t="s">
        <v>84</v>
      </c>
      <c r="O2022" s="80" t="s">
        <v>84</v>
      </c>
      <c r="P2022" s="80"/>
      <c r="Q2022" s="80" t="s">
        <v>84</v>
      </c>
      <c r="R2022" s="80" t="s">
        <v>84</v>
      </c>
    </row>
    <row r="2023" spans="1:18" ht="20" x14ac:dyDescent="0.2">
      <c r="A2023" s="80" t="s">
        <v>4243</v>
      </c>
      <c r="B2023" s="80" t="s">
        <v>4244</v>
      </c>
      <c r="C2023" s="80" t="s">
        <v>84</v>
      </c>
      <c r="D2023" s="80" t="s">
        <v>84</v>
      </c>
      <c r="E2023" s="80" t="s">
        <v>84</v>
      </c>
      <c r="F2023" s="80"/>
      <c r="G2023" s="80" t="s">
        <v>84</v>
      </c>
      <c r="H2023" s="80" t="s">
        <v>84</v>
      </c>
      <c r="I2023" s="80" t="s">
        <v>84</v>
      </c>
      <c r="J2023" s="80" t="s">
        <v>84</v>
      </c>
      <c r="K2023" s="80" t="s">
        <v>84</v>
      </c>
      <c r="L2023" s="80" t="s">
        <v>84</v>
      </c>
      <c r="M2023" s="80" t="s">
        <v>84</v>
      </c>
      <c r="N2023" s="80" t="s">
        <v>84</v>
      </c>
      <c r="O2023" s="80" t="s">
        <v>84</v>
      </c>
      <c r="P2023" s="80"/>
      <c r="Q2023" s="80" t="s">
        <v>84</v>
      </c>
      <c r="R2023" s="80" t="s">
        <v>84</v>
      </c>
    </row>
    <row r="2024" spans="1:18" ht="20" x14ac:dyDescent="0.2">
      <c r="A2024" s="80" t="s">
        <v>4316</v>
      </c>
      <c r="B2024" s="80" t="s">
        <v>4317</v>
      </c>
      <c r="C2024" s="80" t="s">
        <v>9722</v>
      </c>
      <c r="D2024" s="80" t="s">
        <v>9722</v>
      </c>
      <c r="E2024" s="80" t="s">
        <v>9722</v>
      </c>
      <c r="F2024" s="80"/>
      <c r="G2024" s="80" t="s">
        <v>84</v>
      </c>
      <c r="H2024" s="80" t="s">
        <v>9722</v>
      </c>
      <c r="I2024" s="80" t="s">
        <v>9722</v>
      </c>
      <c r="J2024" s="80" t="s">
        <v>9722</v>
      </c>
      <c r="K2024" s="80" t="s">
        <v>9722</v>
      </c>
      <c r="L2024" s="80" t="s">
        <v>84</v>
      </c>
      <c r="M2024" s="80" t="s">
        <v>84</v>
      </c>
      <c r="N2024" s="80" t="s">
        <v>9722</v>
      </c>
      <c r="O2024" s="80" t="s">
        <v>9722</v>
      </c>
      <c r="P2024" s="80"/>
      <c r="Q2024" s="80" t="s">
        <v>84</v>
      </c>
      <c r="R2024" s="80" t="s">
        <v>9722</v>
      </c>
    </row>
    <row r="2025" spans="1:18" ht="20" x14ac:dyDescent="0.2">
      <c r="A2025" s="80" t="s">
        <v>4320</v>
      </c>
      <c r="B2025" s="80" t="s">
        <v>4321</v>
      </c>
      <c r="C2025" s="80" t="s">
        <v>84</v>
      </c>
      <c r="D2025" s="80" t="s">
        <v>84</v>
      </c>
      <c r="E2025" s="80" t="s">
        <v>84</v>
      </c>
      <c r="F2025" s="80"/>
      <c r="G2025" s="80" t="s">
        <v>84</v>
      </c>
      <c r="H2025" s="80" t="s">
        <v>84</v>
      </c>
      <c r="I2025" s="80" t="s">
        <v>84</v>
      </c>
      <c r="J2025" s="80" t="s">
        <v>84</v>
      </c>
      <c r="K2025" s="80" t="s">
        <v>84</v>
      </c>
      <c r="L2025" s="80" t="s">
        <v>84</v>
      </c>
      <c r="M2025" s="80" t="s">
        <v>84</v>
      </c>
      <c r="N2025" s="80" t="s">
        <v>84</v>
      </c>
      <c r="O2025" s="80" t="s">
        <v>84</v>
      </c>
      <c r="P2025" s="80"/>
      <c r="Q2025" s="80" t="s">
        <v>84</v>
      </c>
      <c r="R2025" s="80" t="s">
        <v>84</v>
      </c>
    </row>
    <row r="2026" spans="1:18" ht="20" x14ac:dyDescent="0.2">
      <c r="A2026" s="80" t="s">
        <v>4324</v>
      </c>
      <c r="B2026" s="80" t="s">
        <v>4325</v>
      </c>
      <c r="C2026" s="80" t="s">
        <v>9722</v>
      </c>
      <c r="D2026" s="80" t="s">
        <v>84</v>
      </c>
      <c r="E2026" s="80" t="s">
        <v>84</v>
      </c>
      <c r="F2026" s="80"/>
      <c r="G2026" s="80" t="s">
        <v>84</v>
      </c>
      <c r="H2026" s="80" t="s">
        <v>84</v>
      </c>
      <c r="I2026" s="80" t="s">
        <v>84</v>
      </c>
      <c r="J2026" s="80" t="s">
        <v>84</v>
      </c>
      <c r="K2026" s="80" t="s">
        <v>84</v>
      </c>
      <c r="L2026" s="80" t="s">
        <v>84</v>
      </c>
      <c r="M2026" s="80" t="s">
        <v>84</v>
      </c>
      <c r="N2026" s="80" t="s">
        <v>84</v>
      </c>
      <c r="O2026" s="80" t="s">
        <v>84</v>
      </c>
      <c r="P2026" s="80"/>
      <c r="Q2026" s="80" t="s">
        <v>84</v>
      </c>
      <c r="R2026" s="80" t="s">
        <v>84</v>
      </c>
    </row>
    <row r="2027" spans="1:18" ht="20" x14ac:dyDescent="0.2">
      <c r="A2027" s="80" t="s">
        <v>4245</v>
      </c>
      <c r="B2027" s="80" t="s">
        <v>4246</v>
      </c>
      <c r="C2027" s="80" t="s">
        <v>9680</v>
      </c>
      <c r="D2027" s="80" t="s">
        <v>84</v>
      </c>
      <c r="E2027" s="80" t="s">
        <v>84</v>
      </c>
      <c r="F2027" s="80"/>
      <c r="G2027" s="80" t="s">
        <v>84</v>
      </c>
      <c r="H2027" s="80" t="s">
        <v>84</v>
      </c>
      <c r="I2027" s="80" t="s">
        <v>84</v>
      </c>
      <c r="J2027" s="80" t="s">
        <v>84</v>
      </c>
      <c r="K2027" s="80" t="s">
        <v>84</v>
      </c>
      <c r="L2027" s="80" t="s">
        <v>84</v>
      </c>
      <c r="M2027" s="80" t="s">
        <v>84</v>
      </c>
      <c r="N2027" s="80" t="s">
        <v>84</v>
      </c>
      <c r="O2027" s="80" t="s">
        <v>84</v>
      </c>
      <c r="P2027" s="80"/>
      <c r="Q2027" s="80" t="s">
        <v>84</v>
      </c>
      <c r="R2027" s="80" t="s">
        <v>84</v>
      </c>
    </row>
    <row r="2028" spans="1:18" ht="20" x14ac:dyDescent="0.2">
      <c r="A2028" s="80" t="s">
        <v>4247</v>
      </c>
      <c r="B2028" s="80" t="s">
        <v>4248</v>
      </c>
      <c r="C2028" s="80" t="s">
        <v>84</v>
      </c>
      <c r="D2028" s="80" t="s">
        <v>84</v>
      </c>
      <c r="E2028" s="80" t="s">
        <v>84</v>
      </c>
      <c r="F2028" s="80"/>
      <c r="G2028" s="80" t="s">
        <v>84</v>
      </c>
      <c r="H2028" s="80" t="s">
        <v>84</v>
      </c>
      <c r="I2028" s="80" t="s">
        <v>84</v>
      </c>
      <c r="J2028" s="80" t="s">
        <v>84</v>
      </c>
      <c r="K2028" s="80" t="s">
        <v>84</v>
      </c>
      <c r="L2028" s="80" t="s">
        <v>84</v>
      </c>
      <c r="M2028" s="80" t="s">
        <v>84</v>
      </c>
      <c r="N2028" s="80" t="s">
        <v>84</v>
      </c>
      <c r="O2028" s="80" t="s">
        <v>84</v>
      </c>
      <c r="P2028" s="80"/>
      <c r="Q2028" s="80" t="s">
        <v>84</v>
      </c>
      <c r="R2028" s="80" t="s">
        <v>84</v>
      </c>
    </row>
    <row r="2029" spans="1:18" ht="20" x14ac:dyDescent="0.2">
      <c r="A2029" s="80" t="s">
        <v>4346</v>
      </c>
      <c r="B2029" s="80" t="s">
        <v>4347</v>
      </c>
      <c r="C2029" s="80" t="s">
        <v>84</v>
      </c>
      <c r="D2029" s="80" t="s">
        <v>84</v>
      </c>
      <c r="E2029" s="80" t="s">
        <v>84</v>
      </c>
      <c r="F2029" s="80"/>
      <c r="G2029" s="80" t="s">
        <v>84</v>
      </c>
      <c r="H2029" s="80" t="s">
        <v>84</v>
      </c>
      <c r="I2029" s="80" t="s">
        <v>84</v>
      </c>
      <c r="J2029" s="80" t="s">
        <v>84</v>
      </c>
      <c r="K2029" s="80" t="s">
        <v>84</v>
      </c>
      <c r="L2029" s="80" t="s">
        <v>84</v>
      </c>
      <c r="M2029" s="80" t="s">
        <v>84</v>
      </c>
      <c r="N2029" s="80" t="s">
        <v>84</v>
      </c>
      <c r="O2029" s="80" t="s">
        <v>84</v>
      </c>
      <c r="P2029" s="80"/>
      <c r="Q2029" s="80" t="s">
        <v>84</v>
      </c>
      <c r="R2029" s="80" t="s">
        <v>84</v>
      </c>
    </row>
    <row r="2030" spans="1:18" ht="20" x14ac:dyDescent="0.2">
      <c r="A2030" s="80" t="s">
        <v>4350</v>
      </c>
      <c r="B2030" s="80" t="s">
        <v>4351</v>
      </c>
      <c r="C2030" s="80" t="s">
        <v>9722</v>
      </c>
      <c r="D2030" s="80" t="s">
        <v>84</v>
      </c>
      <c r="E2030" s="80" t="s">
        <v>84</v>
      </c>
      <c r="F2030" s="80"/>
      <c r="G2030" s="80" t="s">
        <v>9722</v>
      </c>
      <c r="H2030" s="80" t="s">
        <v>84</v>
      </c>
      <c r="I2030" s="80" t="s">
        <v>84</v>
      </c>
      <c r="J2030" s="80" t="s">
        <v>84</v>
      </c>
      <c r="K2030" s="80" t="s">
        <v>84</v>
      </c>
      <c r="L2030" s="80" t="s">
        <v>84</v>
      </c>
      <c r="M2030" s="80" t="s">
        <v>84</v>
      </c>
      <c r="N2030" s="80" t="s">
        <v>84</v>
      </c>
      <c r="O2030" s="80" t="s">
        <v>84</v>
      </c>
      <c r="P2030" s="80"/>
      <c r="Q2030" s="80" t="s">
        <v>84</v>
      </c>
      <c r="R2030" s="80" t="s">
        <v>84</v>
      </c>
    </row>
    <row r="2031" spans="1:18" ht="20" x14ac:dyDescent="0.2">
      <c r="A2031" s="80" t="s">
        <v>4352</v>
      </c>
      <c r="B2031" s="80" t="s">
        <v>4353</v>
      </c>
      <c r="C2031" s="80" t="s">
        <v>84</v>
      </c>
      <c r="D2031" s="80" t="s">
        <v>84</v>
      </c>
      <c r="E2031" s="80" t="s">
        <v>84</v>
      </c>
      <c r="F2031" s="80"/>
      <c r="G2031" s="80" t="s">
        <v>84</v>
      </c>
      <c r="H2031" s="80" t="s">
        <v>84</v>
      </c>
      <c r="I2031" s="80" t="s">
        <v>84</v>
      </c>
      <c r="J2031" s="80" t="s">
        <v>84</v>
      </c>
      <c r="K2031" s="80" t="s">
        <v>84</v>
      </c>
      <c r="L2031" s="80" t="s">
        <v>84</v>
      </c>
      <c r="M2031" s="80" t="s">
        <v>84</v>
      </c>
      <c r="N2031" s="80" t="s">
        <v>84</v>
      </c>
      <c r="O2031" s="80" t="s">
        <v>84</v>
      </c>
      <c r="P2031" s="80"/>
      <c r="Q2031" s="80" t="s">
        <v>84</v>
      </c>
      <c r="R2031" s="80" t="s">
        <v>84</v>
      </c>
    </row>
    <row r="2032" spans="1:18" ht="20" x14ac:dyDescent="0.2">
      <c r="A2032" s="80" t="s">
        <v>4354</v>
      </c>
      <c r="B2032" s="80" t="s">
        <v>4355</v>
      </c>
      <c r="C2032" s="80" t="s">
        <v>84</v>
      </c>
      <c r="D2032" s="80" t="s">
        <v>84</v>
      </c>
      <c r="E2032" s="80" t="s">
        <v>84</v>
      </c>
      <c r="F2032" s="80"/>
      <c r="G2032" s="80" t="s">
        <v>84</v>
      </c>
      <c r="H2032" s="80" t="s">
        <v>84</v>
      </c>
      <c r="I2032" s="80" t="s">
        <v>84</v>
      </c>
      <c r="J2032" s="80" t="s">
        <v>84</v>
      </c>
      <c r="K2032" s="80" t="s">
        <v>84</v>
      </c>
      <c r="L2032" s="80" t="s">
        <v>84</v>
      </c>
      <c r="M2032" s="80" t="s">
        <v>84</v>
      </c>
      <c r="N2032" s="80" t="s">
        <v>84</v>
      </c>
      <c r="O2032" s="80" t="s">
        <v>84</v>
      </c>
      <c r="P2032" s="80"/>
      <c r="Q2032" s="80" t="s">
        <v>84</v>
      </c>
      <c r="R2032" s="80" t="s">
        <v>84</v>
      </c>
    </row>
    <row r="2033" spans="1:18" ht="20" x14ac:dyDescent="0.2">
      <c r="A2033" s="80" t="s">
        <v>4356</v>
      </c>
      <c r="B2033" s="80" t="s">
        <v>4357</v>
      </c>
      <c r="C2033" s="80" t="s">
        <v>84</v>
      </c>
      <c r="D2033" s="80" t="s">
        <v>84</v>
      </c>
      <c r="E2033" s="80" t="s">
        <v>84</v>
      </c>
      <c r="F2033" s="80"/>
      <c r="G2033" s="80" t="s">
        <v>84</v>
      </c>
      <c r="H2033" s="80" t="s">
        <v>84</v>
      </c>
      <c r="I2033" s="80" t="s">
        <v>84</v>
      </c>
      <c r="J2033" s="80" t="s">
        <v>84</v>
      </c>
      <c r="K2033" s="80" t="s">
        <v>84</v>
      </c>
      <c r="L2033" s="80" t="s">
        <v>84</v>
      </c>
      <c r="M2033" s="80" t="s">
        <v>84</v>
      </c>
      <c r="N2033" s="80" t="s">
        <v>84</v>
      </c>
      <c r="O2033" s="80" t="s">
        <v>84</v>
      </c>
      <c r="P2033" s="80"/>
      <c r="Q2033" s="80" t="s">
        <v>84</v>
      </c>
      <c r="R2033" s="80" t="s">
        <v>84</v>
      </c>
    </row>
    <row r="2034" spans="1:18" ht="20" x14ac:dyDescent="0.2">
      <c r="A2034" s="80" t="s">
        <v>4318</v>
      </c>
      <c r="B2034" s="80" t="s">
        <v>4319</v>
      </c>
      <c r="C2034" s="80" t="s">
        <v>84</v>
      </c>
      <c r="D2034" s="80" t="s">
        <v>84</v>
      </c>
      <c r="E2034" s="80" t="s">
        <v>84</v>
      </c>
      <c r="F2034" s="80"/>
      <c r="G2034" s="80" t="s">
        <v>84</v>
      </c>
      <c r="H2034" s="80" t="s">
        <v>84</v>
      </c>
      <c r="I2034" s="80" t="s">
        <v>84</v>
      </c>
      <c r="J2034" s="80" t="s">
        <v>84</v>
      </c>
      <c r="K2034" s="80" t="s">
        <v>84</v>
      </c>
      <c r="L2034" s="80" t="s">
        <v>84</v>
      </c>
      <c r="M2034" s="80" t="s">
        <v>84</v>
      </c>
      <c r="N2034" s="80" t="s">
        <v>84</v>
      </c>
      <c r="O2034" s="80" t="s">
        <v>84</v>
      </c>
      <c r="P2034" s="80"/>
      <c r="Q2034" s="80" t="s">
        <v>84</v>
      </c>
      <c r="R2034" s="80" t="s">
        <v>84</v>
      </c>
    </row>
    <row r="2035" spans="1:18" ht="20" x14ac:dyDescent="0.2">
      <c r="A2035" s="80" t="s">
        <v>4358</v>
      </c>
      <c r="B2035" s="80" t="s">
        <v>10402</v>
      </c>
      <c r="C2035" s="80" t="s">
        <v>84</v>
      </c>
      <c r="D2035" s="80" t="s">
        <v>84</v>
      </c>
      <c r="E2035" s="80" t="s">
        <v>84</v>
      </c>
      <c r="F2035" s="80"/>
      <c r="G2035" s="80" t="s">
        <v>84</v>
      </c>
      <c r="H2035" s="80" t="s">
        <v>84</v>
      </c>
      <c r="I2035" s="80" t="s">
        <v>84</v>
      </c>
      <c r="J2035" s="80" t="s">
        <v>84</v>
      </c>
      <c r="K2035" s="80" t="s">
        <v>84</v>
      </c>
      <c r="L2035" s="80" t="s">
        <v>84</v>
      </c>
      <c r="M2035" s="80" t="s">
        <v>84</v>
      </c>
      <c r="N2035" s="80" t="s">
        <v>84</v>
      </c>
      <c r="O2035" s="80" t="s">
        <v>84</v>
      </c>
      <c r="P2035" s="80"/>
      <c r="Q2035" s="80" t="s">
        <v>84</v>
      </c>
      <c r="R2035" s="80" t="s">
        <v>84</v>
      </c>
    </row>
    <row r="2036" spans="1:18" ht="20" x14ac:dyDescent="0.2">
      <c r="A2036" s="80" t="s">
        <v>4358</v>
      </c>
      <c r="B2036" s="80" t="s">
        <v>4359</v>
      </c>
      <c r="C2036" s="80" t="s">
        <v>84</v>
      </c>
      <c r="D2036" s="80" t="s">
        <v>84</v>
      </c>
      <c r="E2036" s="80" t="s">
        <v>84</v>
      </c>
      <c r="F2036" s="80"/>
      <c r="G2036" s="80" t="s">
        <v>84</v>
      </c>
      <c r="H2036" s="80" t="s">
        <v>84</v>
      </c>
      <c r="I2036" s="80" t="s">
        <v>84</v>
      </c>
      <c r="J2036" s="80" t="s">
        <v>84</v>
      </c>
      <c r="K2036" s="80" t="s">
        <v>84</v>
      </c>
      <c r="L2036" s="80" t="s">
        <v>84</v>
      </c>
      <c r="M2036" s="80" t="s">
        <v>84</v>
      </c>
      <c r="N2036" s="80" t="s">
        <v>84</v>
      </c>
      <c r="O2036" s="80" t="s">
        <v>84</v>
      </c>
      <c r="P2036" s="80"/>
      <c r="Q2036" s="80" t="s">
        <v>84</v>
      </c>
      <c r="R2036" s="80" t="s">
        <v>84</v>
      </c>
    </row>
    <row r="2037" spans="1:18" ht="20" x14ac:dyDescent="0.2">
      <c r="A2037" s="80" t="s">
        <v>4249</v>
      </c>
      <c r="B2037" s="80" t="s">
        <v>4250</v>
      </c>
      <c r="C2037" s="80" t="s">
        <v>84</v>
      </c>
      <c r="D2037" s="80" t="s">
        <v>84</v>
      </c>
      <c r="E2037" s="80" t="s">
        <v>84</v>
      </c>
      <c r="F2037" s="80"/>
      <c r="G2037" s="80" t="s">
        <v>84</v>
      </c>
      <c r="H2037" s="80" t="s">
        <v>84</v>
      </c>
      <c r="I2037" s="80" t="s">
        <v>84</v>
      </c>
      <c r="J2037" s="80" t="s">
        <v>84</v>
      </c>
      <c r="K2037" s="80" t="s">
        <v>84</v>
      </c>
      <c r="L2037" s="80" t="s">
        <v>84</v>
      </c>
      <c r="M2037" s="80" t="s">
        <v>84</v>
      </c>
      <c r="N2037" s="80" t="s">
        <v>84</v>
      </c>
      <c r="O2037" s="80" t="s">
        <v>84</v>
      </c>
      <c r="P2037" s="80"/>
      <c r="Q2037" s="80" t="s">
        <v>84</v>
      </c>
      <c r="R2037" s="80" t="s">
        <v>84</v>
      </c>
    </row>
    <row r="2038" spans="1:18" ht="20" x14ac:dyDescent="0.2">
      <c r="A2038" s="80" t="s">
        <v>4216</v>
      </c>
      <c r="B2038" s="80" t="s">
        <v>4217</v>
      </c>
      <c r="C2038" s="80" t="s">
        <v>84</v>
      </c>
      <c r="D2038" s="80" t="s">
        <v>84</v>
      </c>
      <c r="E2038" s="80" t="s">
        <v>84</v>
      </c>
      <c r="F2038" s="80"/>
      <c r="G2038" s="80" t="s">
        <v>84</v>
      </c>
      <c r="H2038" s="80" t="s">
        <v>84</v>
      </c>
      <c r="I2038" s="80" t="s">
        <v>84</v>
      </c>
      <c r="J2038" s="80" t="s">
        <v>84</v>
      </c>
      <c r="K2038" s="80" t="s">
        <v>84</v>
      </c>
      <c r="L2038" s="80" t="s">
        <v>84</v>
      </c>
      <c r="M2038" s="80" t="s">
        <v>84</v>
      </c>
      <c r="N2038" s="80" t="s">
        <v>84</v>
      </c>
      <c r="O2038" s="80" t="s">
        <v>84</v>
      </c>
      <c r="P2038" s="80"/>
      <c r="Q2038" s="80" t="s">
        <v>84</v>
      </c>
      <c r="R2038" s="80" t="s">
        <v>84</v>
      </c>
    </row>
    <row r="2039" spans="1:18" ht="20" x14ac:dyDescent="0.2">
      <c r="A2039" s="80" t="s">
        <v>4230</v>
      </c>
      <c r="B2039" s="80" t="s">
        <v>4231</v>
      </c>
      <c r="C2039" s="80" t="s">
        <v>84</v>
      </c>
      <c r="D2039" s="80" t="s">
        <v>84</v>
      </c>
      <c r="E2039" s="80" t="s">
        <v>84</v>
      </c>
      <c r="F2039" s="80"/>
      <c r="G2039" s="80" t="s">
        <v>84</v>
      </c>
      <c r="H2039" s="80" t="s">
        <v>84</v>
      </c>
      <c r="I2039" s="80" t="s">
        <v>84</v>
      </c>
      <c r="J2039" s="80" t="s">
        <v>84</v>
      </c>
      <c r="K2039" s="80" t="s">
        <v>84</v>
      </c>
      <c r="L2039" s="80" t="s">
        <v>84</v>
      </c>
      <c r="M2039" s="80" t="s">
        <v>84</v>
      </c>
      <c r="N2039" s="80" t="s">
        <v>84</v>
      </c>
      <c r="O2039" s="80" t="s">
        <v>84</v>
      </c>
      <c r="P2039" s="80"/>
      <c r="Q2039" s="80" t="s">
        <v>84</v>
      </c>
      <c r="R2039" s="80" t="s">
        <v>84</v>
      </c>
    </row>
    <row r="2040" spans="1:18" ht="20" x14ac:dyDescent="0.2">
      <c r="A2040" s="80" t="s">
        <v>4238</v>
      </c>
      <c r="B2040" s="80" t="s">
        <v>4239</v>
      </c>
      <c r="C2040" s="80" t="s">
        <v>84</v>
      </c>
      <c r="D2040" s="80" t="s">
        <v>84</v>
      </c>
      <c r="E2040" s="80" t="s">
        <v>84</v>
      </c>
      <c r="F2040" s="80"/>
      <c r="G2040" s="80" t="s">
        <v>84</v>
      </c>
      <c r="H2040" s="80" t="s">
        <v>84</v>
      </c>
      <c r="I2040" s="80" t="s">
        <v>84</v>
      </c>
      <c r="J2040" s="80" t="s">
        <v>84</v>
      </c>
      <c r="K2040" s="80" t="s">
        <v>84</v>
      </c>
      <c r="L2040" s="80" t="s">
        <v>84</v>
      </c>
      <c r="M2040" s="80" t="s">
        <v>84</v>
      </c>
      <c r="N2040" s="80" t="s">
        <v>84</v>
      </c>
      <c r="O2040" s="80" t="s">
        <v>84</v>
      </c>
      <c r="P2040" s="80"/>
      <c r="Q2040" s="80" t="s">
        <v>84</v>
      </c>
      <c r="R2040" s="80" t="s">
        <v>84</v>
      </c>
    </row>
    <row r="2041" spans="1:18" ht="20" x14ac:dyDescent="0.2">
      <c r="A2041" s="80" t="s">
        <v>4251</v>
      </c>
      <c r="B2041" s="80" t="s">
        <v>4252</v>
      </c>
      <c r="C2041" s="80" t="s">
        <v>9680</v>
      </c>
      <c r="D2041" s="80" t="s">
        <v>9680</v>
      </c>
      <c r="E2041" s="80" t="s">
        <v>9680</v>
      </c>
      <c r="F2041" s="80"/>
      <c r="G2041" s="80" t="s">
        <v>9680</v>
      </c>
      <c r="H2041" s="80" t="s">
        <v>9680</v>
      </c>
      <c r="I2041" s="80" t="s">
        <v>9680</v>
      </c>
      <c r="J2041" s="80" t="s">
        <v>84</v>
      </c>
      <c r="K2041" s="80" t="s">
        <v>9680</v>
      </c>
      <c r="L2041" s="80" t="s">
        <v>9680</v>
      </c>
      <c r="M2041" s="80" t="s">
        <v>84</v>
      </c>
      <c r="N2041" s="80" t="s">
        <v>9680</v>
      </c>
      <c r="O2041" s="80" t="s">
        <v>84</v>
      </c>
      <c r="P2041" s="80"/>
      <c r="Q2041" s="80" t="s">
        <v>84</v>
      </c>
      <c r="R2041" s="80" t="s">
        <v>84</v>
      </c>
    </row>
    <row r="2042" spans="1:18" ht="20" x14ac:dyDescent="0.2">
      <c r="A2042" s="80" t="s">
        <v>4094</v>
      </c>
      <c r="B2042" s="80" t="s">
        <v>4095</v>
      </c>
      <c r="C2042" s="80" t="s">
        <v>9680</v>
      </c>
      <c r="D2042" s="80" t="s">
        <v>9680</v>
      </c>
      <c r="E2042" s="80" t="s">
        <v>9680</v>
      </c>
      <c r="F2042" s="80"/>
      <c r="G2042" s="80" t="s">
        <v>9680</v>
      </c>
      <c r="H2042" s="80" t="s">
        <v>9680</v>
      </c>
      <c r="I2042" s="80" t="s">
        <v>9680</v>
      </c>
      <c r="J2042" s="80" t="s">
        <v>84</v>
      </c>
      <c r="K2042" s="80" t="s">
        <v>9680</v>
      </c>
      <c r="L2042" s="80" t="s">
        <v>9680</v>
      </c>
      <c r="M2042" s="80" t="s">
        <v>84</v>
      </c>
      <c r="N2042" s="80" t="s">
        <v>9680</v>
      </c>
      <c r="O2042" s="80" t="s">
        <v>84</v>
      </c>
      <c r="P2042" s="80"/>
      <c r="Q2042" s="80" t="s">
        <v>84</v>
      </c>
      <c r="R2042" s="80" t="s">
        <v>84</v>
      </c>
    </row>
    <row r="2043" spans="1:18" ht="20" x14ac:dyDescent="0.2">
      <c r="A2043" s="80" t="s">
        <v>4094</v>
      </c>
      <c r="B2043" s="80" t="s">
        <v>10403</v>
      </c>
      <c r="C2043" s="80" t="s">
        <v>9680</v>
      </c>
      <c r="D2043" s="80" t="s">
        <v>9680</v>
      </c>
      <c r="E2043" s="80" t="s">
        <v>9680</v>
      </c>
      <c r="F2043" s="80"/>
      <c r="G2043" s="80" t="s">
        <v>9680</v>
      </c>
      <c r="H2043" s="80" t="s">
        <v>9680</v>
      </c>
      <c r="I2043" s="80" t="s">
        <v>9680</v>
      </c>
      <c r="J2043" s="80" t="s">
        <v>84</v>
      </c>
      <c r="K2043" s="80" t="s">
        <v>9680</v>
      </c>
      <c r="L2043" s="80" t="s">
        <v>9680</v>
      </c>
      <c r="M2043" s="80" t="s">
        <v>84</v>
      </c>
      <c r="N2043" s="80" t="s">
        <v>9680</v>
      </c>
      <c r="O2043" s="80" t="s">
        <v>84</v>
      </c>
      <c r="P2043" s="80"/>
      <c r="Q2043" s="80" t="s">
        <v>84</v>
      </c>
      <c r="R2043" s="80" t="s">
        <v>84</v>
      </c>
    </row>
    <row r="2044" spans="1:18" ht="20" x14ac:dyDescent="0.2">
      <c r="A2044" s="80" t="s">
        <v>4094</v>
      </c>
      <c r="B2044" s="80" t="s">
        <v>4256</v>
      </c>
      <c r="C2044" s="80" t="s">
        <v>9680</v>
      </c>
      <c r="D2044" s="80" t="s">
        <v>9680</v>
      </c>
      <c r="E2044" s="80" t="s">
        <v>9680</v>
      </c>
      <c r="F2044" s="80"/>
      <c r="G2044" s="80" t="s">
        <v>9680</v>
      </c>
      <c r="H2044" s="80" t="s">
        <v>9680</v>
      </c>
      <c r="I2044" s="80" t="s">
        <v>9680</v>
      </c>
      <c r="J2044" s="80" t="s">
        <v>84</v>
      </c>
      <c r="K2044" s="80" t="s">
        <v>9680</v>
      </c>
      <c r="L2044" s="80" t="s">
        <v>9680</v>
      </c>
      <c r="M2044" s="80" t="s">
        <v>84</v>
      </c>
      <c r="N2044" s="80" t="s">
        <v>9680</v>
      </c>
      <c r="O2044" s="80" t="s">
        <v>84</v>
      </c>
      <c r="P2044" s="80"/>
      <c r="Q2044" s="80" t="s">
        <v>84</v>
      </c>
      <c r="R2044" s="80" t="s">
        <v>84</v>
      </c>
    </row>
    <row r="2045" spans="1:18" ht="20" x14ac:dyDescent="0.2">
      <c r="A2045" s="80" t="s">
        <v>4257</v>
      </c>
      <c r="B2045" s="80" t="s">
        <v>4258</v>
      </c>
      <c r="C2045" s="80" t="s">
        <v>9680</v>
      </c>
      <c r="D2045" s="80" t="s">
        <v>84</v>
      </c>
      <c r="E2045" s="80" t="s">
        <v>84</v>
      </c>
      <c r="F2045" s="80"/>
      <c r="G2045" s="80" t="s">
        <v>84</v>
      </c>
      <c r="H2045" s="80" t="s">
        <v>84</v>
      </c>
      <c r="I2045" s="80" t="s">
        <v>84</v>
      </c>
      <c r="J2045" s="80" t="s">
        <v>84</v>
      </c>
      <c r="K2045" s="80" t="s">
        <v>84</v>
      </c>
      <c r="L2045" s="80" t="s">
        <v>84</v>
      </c>
      <c r="M2045" s="80" t="s">
        <v>84</v>
      </c>
      <c r="N2045" s="80" t="s">
        <v>84</v>
      </c>
      <c r="O2045" s="80" t="s">
        <v>84</v>
      </c>
      <c r="P2045" s="80"/>
      <c r="Q2045" s="80" t="s">
        <v>84</v>
      </c>
      <c r="R2045" s="80" t="s">
        <v>84</v>
      </c>
    </row>
    <row r="2046" spans="1:18" ht="20" x14ac:dyDescent="0.2">
      <c r="A2046" s="80" t="s">
        <v>10404</v>
      </c>
      <c r="B2046" s="80" t="s">
        <v>10405</v>
      </c>
      <c r="C2046" s="80" t="s">
        <v>84</v>
      </c>
      <c r="D2046" s="80" t="s">
        <v>84</v>
      </c>
      <c r="E2046" s="80" t="s">
        <v>84</v>
      </c>
      <c r="F2046" s="80"/>
      <c r="G2046" s="80" t="s">
        <v>84</v>
      </c>
      <c r="H2046" s="80" t="s">
        <v>84</v>
      </c>
      <c r="I2046" s="80" t="s">
        <v>84</v>
      </c>
      <c r="J2046" s="80" t="s">
        <v>84</v>
      </c>
      <c r="K2046" s="80" t="s">
        <v>84</v>
      </c>
      <c r="L2046" s="80" t="s">
        <v>84</v>
      </c>
      <c r="M2046" s="80" t="s">
        <v>84</v>
      </c>
      <c r="N2046" s="80" t="s">
        <v>84</v>
      </c>
      <c r="O2046" s="80" t="s">
        <v>84</v>
      </c>
      <c r="P2046" s="80"/>
      <c r="Q2046" s="80" t="s">
        <v>84</v>
      </c>
      <c r="R2046" s="80" t="s">
        <v>84</v>
      </c>
    </row>
    <row r="2047" spans="1:18" ht="20" x14ac:dyDescent="0.2">
      <c r="A2047" s="80" t="s">
        <v>4175</v>
      </c>
      <c r="B2047" s="80" t="s">
        <v>4176</v>
      </c>
      <c r="C2047" s="80" t="s">
        <v>84</v>
      </c>
      <c r="D2047" s="80" t="s">
        <v>84</v>
      </c>
      <c r="E2047" s="80" t="s">
        <v>84</v>
      </c>
      <c r="F2047" s="80"/>
      <c r="G2047" s="80" t="s">
        <v>84</v>
      </c>
      <c r="H2047" s="80" t="s">
        <v>84</v>
      </c>
      <c r="I2047" s="80" t="s">
        <v>84</v>
      </c>
      <c r="J2047" s="80" t="s">
        <v>84</v>
      </c>
      <c r="K2047" s="80" t="s">
        <v>84</v>
      </c>
      <c r="L2047" s="80" t="s">
        <v>84</v>
      </c>
      <c r="M2047" s="80" t="s">
        <v>84</v>
      </c>
      <c r="N2047" s="80" t="s">
        <v>84</v>
      </c>
      <c r="O2047" s="80" t="s">
        <v>84</v>
      </c>
      <c r="P2047" s="80"/>
      <c r="Q2047" s="80" t="s">
        <v>84</v>
      </c>
      <c r="R2047" s="80" t="s">
        <v>84</v>
      </c>
    </row>
    <row r="2048" spans="1:18" ht="20" x14ac:dyDescent="0.2">
      <c r="A2048" s="80" t="s">
        <v>4177</v>
      </c>
      <c r="B2048" s="80" t="s">
        <v>10406</v>
      </c>
      <c r="C2048" s="80" t="s">
        <v>84</v>
      </c>
      <c r="D2048" s="80" t="s">
        <v>84</v>
      </c>
      <c r="E2048" s="80" t="s">
        <v>84</v>
      </c>
      <c r="F2048" s="80"/>
      <c r="G2048" s="80" t="s">
        <v>84</v>
      </c>
      <c r="H2048" s="80" t="s">
        <v>84</v>
      </c>
      <c r="I2048" s="80" t="s">
        <v>84</v>
      </c>
      <c r="J2048" s="80" t="s">
        <v>84</v>
      </c>
      <c r="K2048" s="80" t="s">
        <v>84</v>
      </c>
      <c r="L2048" s="80" t="s">
        <v>84</v>
      </c>
      <c r="M2048" s="80" t="s">
        <v>84</v>
      </c>
      <c r="N2048" s="80" t="s">
        <v>84</v>
      </c>
      <c r="O2048" s="80" t="s">
        <v>84</v>
      </c>
      <c r="P2048" s="80"/>
      <c r="Q2048" s="80" t="s">
        <v>84</v>
      </c>
      <c r="R2048" s="80" t="s">
        <v>84</v>
      </c>
    </row>
    <row r="2049" spans="1:18" ht="20" x14ac:dyDescent="0.2">
      <c r="A2049" s="80" t="s">
        <v>4177</v>
      </c>
      <c r="B2049" s="80" t="s">
        <v>4178</v>
      </c>
      <c r="C2049" s="80" t="s">
        <v>84</v>
      </c>
      <c r="D2049" s="80" t="s">
        <v>84</v>
      </c>
      <c r="E2049" s="80" t="s">
        <v>84</v>
      </c>
      <c r="F2049" s="80"/>
      <c r="G2049" s="80" t="s">
        <v>84</v>
      </c>
      <c r="H2049" s="80" t="s">
        <v>84</v>
      </c>
      <c r="I2049" s="80" t="s">
        <v>84</v>
      </c>
      <c r="J2049" s="80" t="s">
        <v>84</v>
      </c>
      <c r="K2049" s="80" t="s">
        <v>84</v>
      </c>
      <c r="L2049" s="80" t="s">
        <v>84</v>
      </c>
      <c r="M2049" s="80" t="s">
        <v>84</v>
      </c>
      <c r="N2049" s="80" t="s">
        <v>84</v>
      </c>
      <c r="O2049" s="80" t="s">
        <v>84</v>
      </c>
      <c r="P2049" s="80"/>
      <c r="Q2049" s="80" t="s">
        <v>84</v>
      </c>
      <c r="R2049" s="80" t="s">
        <v>84</v>
      </c>
    </row>
    <row r="2050" spans="1:18" ht="20" x14ac:dyDescent="0.2">
      <c r="A2050" s="80" t="s">
        <v>4348</v>
      </c>
      <c r="B2050" s="80" t="s">
        <v>4349</v>
      </c>
      <c r="C2050" s="80" t="s">
        <v>9680</v>
      </c>
      <c r="D2050" s="80" t="s">
        <v>9680</v>
      </c>
      <c r="E2050" s="80" t="s">
        <v>9680</v>
      </c>
      <c r="F2050" s="80"/>
      <c r="G2050" s="80" t="s">
        <v>9680</v>
      </c>
      <c r="H2050" s="80" t="s">
        <v>9680</v>
      </c>
      <c r="I2050" s="80" t="s">
        <v>9680</v>
      </c>
      <c r="J2050" s="80" t="s">
        <v>9680</v>
      </c>
      <c r="K2050" s="80" t="s">
        <v>9680</v>
      </c>
      <c r="L2050" s="80" t="s">
        <v>9680</v>
      </c>
      <c r="M2050" s="80" t="s">
        <v>9680</v>
      </c>
      <c r="N2050" s="80" t="s">
        <v>9680</v>
      </c>
      <c r="O2050" s="80" t="s">
        <v>9680</v>
      </c>
      <c r="P2050" s="80"/>
      <c r="Q2050" s="80" t="s">
        <v>9680</v>
      </c>
      <c r="R2050" s="80" t="s">
        <v>9680</v>
      </c>
    </row>
    <row r="2051" spans="1:18" ht="20" x14ac:dyDescent="0.2">
      <c r="A2051" s="80" t="s">
        <v>4179</v>
      </c>
      <c r="B2051" s="80" t="s">
        <v>4180</v>
      </c>
      <c r="C2051" s="80" t="s">
        <v>9680</v>
      </c>
      <c r="D2051" s="80" t="s">
        <v>9680</v>
      </c>
      <c r="E2051" s="80" t="s">
        <v>84</v>
      </c>
      <c r="F2051" s="80"/>
      <c r="G2051" s="80" t="s">
        <v>9680</v>
      </c>
      <c r="H2051" s="80" t="s">
        <v>84</v>
      </c>
      <c r="I2051" s="80" t="s">
        <v>9680</v>
      </c>
      <c r="J2051" s="80" t="s">
        <v>84</v>
      </c>
      <c r="K2051" s="80" t="s">
        <v>9680</v>
      </c>
      <c r="L2051" s="80" t="s">
        <v>9680</v>
      </c>
      <c r="M2051" s="80" t="s">
        <v>9680</v>
      </c>
      <c r="N2051" s="80" t="s">
        <v>84</v>
      </c>
      <c r="O2051" s="80" t="s">
        <v>9680</v>
      </c>
      <c r="P2051" s="80"/>
      <c r="Q2051" s="80" t="s">
        <v>9680</v>
      </c>
      <c r="R2051" s="80" t="s">
        <v>9680</v>
      </c>
    </row>
    <row r="2052" spans="1:18" ht="20" x14ac:dyDescent="0.2">
      <c r="A2052" s="80" t="s">
        <v>4181</v>
      </c>
      <c r="B2052" s="80" t="s">
        <v>4182</v>
      </c>
      <c r="C2052" s="80" t="s">
        <v>9680</v>
      </c>
      <c r="D2052" s="80" t="s">
        <v>9680</v>
      </c>
      <c r="E2052" s="80" t="s">
        <v>84</v>
      </c>
      <c r="F2052" s="80"/>
      <c r="G2052" s="80" t="s">
        <v>9680</v>
      </c>
      <c r="H2052" s="80" t="s">
        <v>84</v>
      </c>
      <c r="I2052" s="80" t="s">
        <v>9680</v>
      </c>
      <c r="J2052" s="80" t="s">
        <v>84</v>
      </c>
      <c r="K2052" s="80" t="s">
        <v>9680</v>
      </c>
      <c r="L2052" s="80" t="s">
        <v>9680</v>
      </c>
      <c r="M2052" s="80" t="s">
        <v>9680</v>
      </c>
      <c r="N2052" s="80" t="s">
        <v>84</v>
      </c>
      <c r="O2052" s="80" t="s">
        <v>9680</v>
      </c>
      <c r="P2052" s="80"/>
      <c r="Q2052" s="80" t="s">
        <v>9680</v>
      </c>
      <c r="R2052" s="80" t="s">
        <v>9680</v>
      </c>
    </row>
    <row r="2053" spans="1:18" ht="20" x14ac:dyDescent="0.2">
      <c r="A2053" s="80" t="s">
        <v>10407</v>
      </c>
      <c r="B2053" s="80" t="s">
        <v>4184</v>
      </c>
      <c r="C2053" s="80" t="s">
        <v>84</v>
      </c>
      <c r="D2053" s="80" t="s">
        <v>84</v>
      </c>
      <c r="E2053" s="80" t="s">
        <v>84</v>
      </c>
      <c r="F2053" s="80"/>
      <c r="G2053" s="80" t="s">
        <v>84</v>
      </c>
      <c r="H2053" s="80" t="s">
        <v>84</v>
      </c>
      <c r="I2053" s="80" t="s">
        <v>84</v>
      </c>
      <c r="J2053" s="80" t="s">
        <v>84</v>
      </c>
      <c r="K2053" s="80" t="s">
        <v>84</v>
      </c>
      <c r="L2053" s="80" t="s">
        <v>84</v>
      </c>
      <c r="M2053" s="80" t="s">
        <v>84</v>
      </c>
      <c r="N2053" s="80" t="s">
        <v>84</v>
      </c>
      <c r="O2053" s="80" t="s">
        <v>84</v>
      </c>
      <c r="P2053" s="80"/>
      <c r="Q2053" s="80" t="s">
        <v>84</v>
      </c>
      <c r="R2053" s="80" t="s">
        <v>84</v>
      </c>
    </row>
    <row r="2054" spans="1:18" ht="20" x14ac:dyDescent="0.2">
      <c r="A2054" s="80" t="s">
        <v>4183</v>
      </c>
      <c r="B2054" s="80" t="s">
        <v>4184</v>
      </c>
      <c r="C2054" s="80" t="s">
        <v>84</v>
      </c>
      <c r="D2054" s="80" t="s">
        <v>84</v>
      </c>
      <c r="E2054" s="80" t="s">
        <v>84</v>
      </c>
      <c r="F2054" s="80"/>
      <c r="G2054" s="80" t="s">
        <v>84</v>
      </c>
      <c r="H2054" s="80" t="s">
        <v>84</v>
      </c>
      <c r="I2054" s="80" t="s">
        <v>84</v>
      </c>
      <c r="J2054" s="80" t="s">
        <v>84</v>
      </c>
      <c r="K2054" s="80" t="s">
        <v>84</v>
      </c>
      <c r="L2054" s="80" t="s">
        <v>84</v>
      </c>
      <c r="M2054" s="80" t="s">
        <v>84</v>
      </c>
      <c r="N2054" s="80" t="s">
        <v>84</v>
      </c>
      <c r="O2054" s="80" t="s">
        <v>84</v>
      </c>
      <c r="P2054" s="80"/>
      <c r="Q2054" s="80" t="s">
        <v>84</v>
      </c>
      <c r="R2054" s="80" t="s">
        <v>84</v>
      </c>
    </row>
    <row r="2055" spans="1:18" ht="20" x14ac:dyDescent="0.2">
      <c r="A2055" s="80" t="s">
        <v>4185</v>
      </c>
      <c r="B2055" s="80" t="s">
        <v>4186</v>
      </c>
      <c r="C2055" s="80" t="s">
        <v>9680</v>
      </c>
      <c r="D2055" s="80" t="s">
        <v>9680</v>
      </c>
      <c r="E2055" s="80" t="s">
        <v>84</v>
      </c>
      <c r="F2055" s="80"/>
      <c r="G2055" s="80" t="s">
        <v>9680</v>
      </c>
      <c r="H2055" s="80" t="s">
        <v>84</v>
      </c>
      <c r="I2055" s="80" t="s">
        <v>9680</v>
      </c>
      <c r="J2055" s="80" t="s">
        <v>84</v>
      </c>
      <c r="K2055" s="80" t="s">
        <v>9680</v>
      </c>
      <c r="L2055" s="80" t="s">
        <v>9680</v>
      </c>
      <c r="M2055" s="80" t="s">
        <v>9680</v>
      </c>
      <c r="N2055" s="80" t="s">
        <v>84</v>
      </c>
      <c r="O2055" s="80" t="s">
        <v>9680</v>
      </c>
      <c r="P2055" s="80"/>
      <c r="Q2055" s="80" t="s">
        <v>9680</v>
      </c>
      <c r="R2055" s="80" t="s">
        <v>9680</v>
      </c>
    </row>
    <row r="2056" spans="1:18" ht="20" x14ac:dyDescent="0.2">
      <c r="A2056" s="80" t="s">
        <v>4342</v>
      </c>
      <c r="B2056" s="80" t="s">
        <v>4343</v>
      </c>
      <c r="C2056" s="80" t="s">
        <v>84</v>
      </c>
      <c r="D2056" s="80" t="s">
        <v>84</v>
      </c>
      <c r="E2056" s="80" t="s">
        <v>84</v>
      </c>
      <c r="F2056" s="80"/>
      <c r="G2056" s="80" t="s">
        <v>84</v>
      </c>
      <c r="H2056" s="80" t="s">
        <v>84</v>
      </c>
      <c r="I2056" s="80" t="s">
        <v>84</v>
      </c>
      <c r="J2056" s="80" t="s">
        <v>84</v>
      </c>
      <c r="K2056" s="80" t="s">
        <v>84</v>
      </c>
      <c r="L2056" s="80" t="s">
        <v>84</v>
      </c>
      <c r="M2056" s="80" t="s">
        <v>84</v>
      </c>
      <c r="N2056" s="80" t="s">
        <v>84</v>
      </c>
      <c r="O2056" s="80" t="s">
        <v>84</v>
      </c>
      <c r="P2056" s="80"/>
      <c r="Q2056" s="80" t="s">
        <v>84</v>
      </c>
      <c r="R2056" s="80" t="s">
        <v>84</v>
      </c>
    </row>
    <row r="2057" spans="1:18" ht="20" x14ac:dyDescent="0.2">
      <c r="A2057" s="80" t="s">
        <v>4187</v>
      </c>
      <c r="B2057" s="80" t="s">
        <v>4188</v>
      </c>
      <c r="C2057" s="80" t="s">
        <v>9680</v>
      </c>
      <c r="D2057" s="80" t="s">
        <v>9680</v>
      </c>
      <c r="E2057" s="80" t="s">
        <v>84</v>
      </c>
      <c r="F2057" s="80"/>
      <c r="G2057" s="80" t="s">
        <v>84</v>
      </c>
      <c r="H2057" s="80" t="s">
        <v>9680</v>
      </c>
      <c r="I2057" s="80" t="s">
        <v>9680</v>
      </c>
      <c r="J2057" s="80" t="s">
        <v>84</v>
      </c>
      <c r="K2057" s="80" t="s">
        <v>9680</v>
      </c>
      <c r="L2057" s="80" t="s">
        <v>9680</v>
      </c>
      <c r="M2057" s="80" t="s">
        <v>9680</v>
      </c>
      <c r="N2057" s="80" t="s">
        <v>84</v>
      </c>
      <c r="O2057" s="80" t="s">
        <v>9680</v>
      </c>
      <c r="P2057" s="80"/>
      <c r="Q2057" s="80" t="s">
        <v>9680</v>
      </c>
      <c r="R2057" s="80" t="s">
        <v>9680</v>
      </c>
    </row>
    <row r="2058" spans="1:18" ht="20" x14ac:dyDescent="0.2">
      <c r="A2058" s="80" t="s">
        <v>4189</v>
      </c>
      <c r="B2058" s="80" t="s">
        <v>4190</v>
      </c>
      <c r="C2058" s="80" t="s">
        <v>9680</v>
      </c>
      <c r="D2058" s="80" t="s">
        <v>9680</v>
      </c>
      <c r="E2058" s="80" t="s">
        <v>84</v>
      </c>
      <c r="F2058" s="80"/>
      <c r="G2058" s="80" t="s">
        <v>84</v>
      </c>
      <c r="H2058" s="80" t="s">
        <v>9680</v>
      </c>
      <c r="I2058" s="80" t="s">
        <v>9680</v>
      </c>
      <c r="J2058" s="80" t="s">
        <v>84</v>
      </c>
      <c r="K2058" s="80" t="s">
        <v>9680</v>
      </c>
      <c r="L2058" s="80" t="s">
        <v>9680</v>
      </c>
      <c r="M2058" s="80" t="s">
        <v>9680</v>
      </c>
      <c r="N2058" s="80" t="s">
        <v>84</v>
      </c>
      <c r="O2058" s="80" t="s">
        <v>9680</v>
      </c>
      <c r="P2058" s="80"/>
      <c r="Q2058" s="80" t="s">
        <v>9680</v>
      </c>
      <c r="R2058" s="80" t="s">
        <v>9680</v>
      </c>
    </row>
    <row r="2059" spans="1:18" ht="20" x14ac:dyDescent="0.2">
      <c r="A2059" s="80" t="s">
        <v>10408</v>
      </c>
      <c r="B2059" s="80" t="s">
        <v>10409</v>
      </c>
      <c r="C2059" s="80" t="s">
        <v>9680</v>
      </c>
      <c r="D2059" s="80" t="s">
        <v>84</v>
      </c>
      <c r="E2059" s="80" t="s">
        <v>84</v>
      </c>
      <c r="F2059" s="80"/>
      <c r="G2059" s="80" t="s">
        <v>84</v>
      </c>
      <c r="H2059" s="80" t="s">
        <v>84</v>
      </c>
      <c r="I2059" s="80" t="s">
        <v>84</v>
      </c>
      <c r="J2059" s="80" t="s">
        <v>84</v>
      </c>
      <c r="K2059" s="80" t="s">
        <v>84</v>
      </c>
      <c r="L2059" s="80" t="s">
        <v>84</v>
      </c>
      <c r="M2059" s="80" t="s">
        <v>84</v>
      </c>
      <c r="N2059" s="80" t="s">
        <v>84</v>
      </c>
      <c r="O2059" s="80" t="s">
        <v>84</v>
      </c>
      <c r="P2059" s="80"/>
      <c r="Q2059" s="80" t="s">
        <v>84</v>
      </c>
      <c r="R2059" s="80" t="s">
        <v>84</v>
      </c>
    </row>
    <row r="2060" spans="1:18" ht="20" x14ac:dyDescent="0.2">
      <c r="A2060" s="80" t="s">
        <v>4263</v>
      </c>
      <c r="B2060" s="80" t="s">
        <v>4264</v>
      </c>
      <c r="C2060" s="80" t="s">
        <v>9680</v>
      </c>
      <c r="D2060" s="80" t="s">
        <v>84</v>
      </c>
      <c r="E2060" s="80" t="s">
        <v>84</v>
      </c>
      <c r="F2060" s="80"/>
      <c r="G2060" s="80" t="s">
        <v>84</v>
      </c>
      <c r="H2060" s="80" t="s">
        <v>84</v>
      </c>
      <c r="I2060" s="80" t="s">
        <v>84</v>
      </c>
      <c r="J2060" s="80" t="s">
        <v>84</v>
      </c>
      <c r="K2060" s="80" t="s">
        <v>84</v>
      </c>
      <c r="L2060" s="80" t="s">
        <v>84</v>
      </c>
      <c r="M2060" s="80" t="s">
        <v>84</v>
      </c>
      <c r="N2060" s="80" t="s">
        <v>84</v>
      </c>
      <c r="O2060" s="80" t="s">
        <v>84</v>
      </c>
      <c r="P2060" s="80"/>
      <c r="Q2060" s="80" t="s">
        <v>84</v>
      </c>
      <c r="R2060" s="80" t="s">
        <v>84</v>
      </c>
    </row>
    <row r="2061" spans="1:18" ht="20" x14ac:dyDescent="0.2">
      <c r="A2061" s="80" t="s">
        <v>4265</v>
      </c>
      <c r="B2061" s="80" t="s">
        <v>4266</v>
      </c>
      <c r="C2061" s="80" t="s">
        <v>84</v>
      </c>
      <c r="D2061" s="80" t="s">
        <v>84</v>
      </c>
      <c r="E2061" s="80" t="s">
        <v>84</v>
      </c>
      <c r="F2061" s="80"/>
      <c r="G2061" s="80" t="s">
        <v>84</v>
      </c>
      <c r="H2061" s="80" t="s">
        <v>84</v>
      </c>
      <c r="I2061" s="80" t="s">
        <v>84</v>
      </c>
      <c r="J2061" s="80" t="s">
        <v>84</v>
      </c>
      <c r="K2061" s="80" t="s">
        <v>84</v>
      </c>
      <c r="L2061" s="80" t="s">
        <v>84</v>
      </c>
      <c r="M2061" s="80" t="s">
        <v>84</v>
      </c>
      <c r="N2061" s="80" t="s">
        <v>84</v>
      </c>
      <c r="O2061" s="80" t="s">
        <v>84</v>
      </c>
      <c r="P2061" s="80"/>
      <c r="Q2061" s="80" t="s">
        <v>84</v>
      </c>
      <c r="R2061" s="80" t="s">
        <v>84</v>
      </c>
    </row>
    <row r="2062" spans="1:18" ht="20" x14ac:dyDescent="0.2">
      <c r="A2062" s="80" t="s">
        <v>4113</v>
      </c>
      <c r="B2062" s="80" t="s">
        <v>4114</v>
      </c>
      <c r="C2062" s="80" t="s">
        <v>9722</v>
      </c>
      <c r="D2062" s="80" t="s">
        <v>84</v>
      </c>
      <c r="E2062" s="80" t="s">
        <v>84</v>
      </c>
      <c r="F2062" s="80"/>
      <c r="G2062" s="80" t="s">
        <v>84</v>
      </c>
      <c r="H2062" s="80" t="s">
        <v>84</v>
      </c>
      <c r="I2062" s="80" t="s">
        <v>84</v>
      </c>
      <c r="J2062" s="80" t="s">
        <v>84</v>
      </c>
      <c r="K2062" s="80" t="s">
        <v>84</v>
      </c>
      <c r="L2062" s="80" t="s">
        <v>84</v>
      </c>
      <c r="M2062" s="80" t="s">
        <v>84</v>
      </c>
      <c r="N2062" s="80" t="s">
        <v>84</v>
      </c>
      <c r="O2062" s="80" t="s">
        <v>84</v>
      </c>
      <c r="P2062" s="80"/>
      <c r="Q2062" s="80" t="s">
        <v>84</v>
      </c>
      <c r="R2062" s="80" t="s">
        <v>84</v>
      </c>
    </row>
    <row r="2063" spans="1:18" ht="20" x14ac:dyDescent="0.2">
      <c r="A2063" s="80" t="s">
        <v>4113</v>
      </c>
      <c r="B2063" s="80" t="s">
        <v>4330</v>
      </c>
      <c r="C2063" s="80" t="s">
        <v>9722</v>
      </c>
      <c r="D2063" s="80" t="s">
        <v>84</v>
      </c>
      <c r="E2063" s="80" t="s">
        <v>84</v>
      </c>
      <c r="F2063" s="80"/>
      <c r="G2063" s="80" t="s">
        <v>84</v>
      </c>
      <c r="H2063" s="80" t="s">
        <v>84</v>
      </c>
      <c r="I2063" s="80" t="s">
        <v>84</v>
      </c>
      <c r="J2063" s="80" t="s">
        <v>84</v>
      </c>
      <c r="K2063" s="80" t="s">
        <v>84</v>
      </c>
      <c r="L2063" s="80" t="s">
        <v>84</v>
      </c>
      <c r="M2063" s="80" t="s">
        <v>84</v>
      </c>
      <c r="N2063" s="80" t="s">
        <v>84</v>
      </c>
      <c r="O2063" s="80" t="s">
        <v>84</v>
      </c>
      <c r="P2063" s="80"/>
      <c r="Q2063" s="80" t="s">
        <v>84</v>
      </c>
      <c r="R2063" s="80" t="s">
        <v>84</v>
      </c>
    </row>
    <row r="2064" spans="1:18" ht="20" x14ac:dyDescent="0.2">
      <c r="A2064" s="80" t="s">
        <v>4331</v>
      </c>
      <c r="B2064" s="80" t="s">
        <v>4332</v>
      </c>
      <c r="C2064" s="80" t="s">
        <v>9680</v>
      </c>
      <c r="D2064" s="80" t="s">
        <v>84</v>
      </c>
      <c r="E2064" s="80" t="s">
        <v>84</v>
      </c>
      <c r="F2064" s="80"/>
      <c r="G2064" s="80" t="s">
        <v>84</v>
      </c>
      <c r="H2064" s="80" t="s">
        <v>84</v>
      </c>
      <c r="I2064" s="80" t="s">
        <v>84</v>
      </c>
      <c r="J2064" s="80" t="s">
        <v>84</v>
      </c>
      <c r="K2064" s="80" t="s">
        <v>84</v>
      </c>
      <c r="L2064" s="80" t="s">
        <v>84</v>
      </c>
      <c r="M2064" s="80" t="s">
        <v>84</v>
      </c>
      <c r="N2064" s="80" t="s">
        <v>84</v>
      </c>
      <c r="O2064" s="80" t="s">
        <v>84</v>
      </c>
      <c r="P2064" s="80"/>
      <c r="Q2064" s="80" t="s">
        <v>84</v>
      </c>
      <c r="R2064" s="80" t="s">
        <v>84</v>
      </c>
    </row>
    <row r="2065" spans="1:18" ht="20" x14ac:dyDescent="0.2">
      <c r="A2065" s="80" t="s">
        <v>4333</v>
      </c>
      <c r="B2065" s="80" t="s">
        <v>4334</v>
      </c>
      <c r="C2065" s="80" t="s">
        <v>9680</v>
      </c>
      <c r="D2065" s="80" t="s">
        <v>84</v>
      </c>
      <c r="E2065" s="80" t="s">
        <v>84</v>
      </c>
      <c r="F2065" s="80"/>
      <c r="G2065" s="80" t="s">
        <v>84</v>
      </c>
      <c r="H2065" s="80" t="s">
        <v>84</v>
      </c>
      <c r="I2065" s="80" t="s">
        <v>84</v>
      </c>
      <c r="J2065" s="80" t="s">
        <v>84</v>
      </c>
      <c r="K2065" s="80" t="s">
        <v>84</v>
      </c>
      <c r="L2065" s="80" t="s">
        <v>84</v>
      </c>
      <c r="M2065" s="80" t="s">
        <v>84</v>
      </c>
      <c r="N2065" s="80" t="s">
        <v>84</v>
      </c>
      <c r="O2065" s="80" t="s">
        <v>84</v>
      </c>
      <c r="P2065" s="80"/>
      <c r="Q2065" s="80" t="s">
        <v>84</v>
      </c>
      <c r="R2065" s="80" t="s">
        <v>84</v>
      </c>
    </row>
    <row r="2066" spans="1:18" ht="20" x14ac:dyDescent="0.2">
      <c r="A2066" s="80" t="s">
        <v>4335</v>
      </c>
      <c r="B2066" s="80" t="s">
        <v>4336</v>
      </c>
      <c r="C2066" s="80" t="s">
        <v>9680</v>
      </c>
      <c r="D2066" s="80" t="s">
        <v>84</v>
      </c>
      <c r="E2066" s="80" t="s">
        <v>84</v>
      </c>
      <c r="F2066" s="80"/>
      <c r="G2066" s="80" t="s">
        <v>84</v>
      </c>
      <c r="H2066" s="80" t="s">
        <v>84</v>
      </c>
      <c r="I2066" s="80" t="s">
        <v>84</v>
      </c>
      <c r="J2066" s="80" t="s">
        <v>84</v>
      </c>
      <c r="K2066" s="80" t="s">
        <v>84</v>
      </c>
      <c r="L2066" s="80" t="s">
        <v>84</v>
      </c>
      <c r="M2066" s="80" t="s">
        <v>84</v>
      </c>
      <c r="N2066" s="80" t="s">
        <v>84</v>
      </c>
      <c r="O2066" s="80" t="s">
        <v>84</v>
      </c>
      <c r="P2066" s="80"/>
      <c r="Q2066" s="80" t="s">
        <v>84</v>
      </c>
      <c r="R2066" s="80" t="s">
        <v>84</v>
      </c>
    </row>
    <row r="2067" spans="1:18" ht="20" x14ac:dyDescent="0.2">
      <c r="A2067" s="80" t="s">
        <v>4039</v>
      </c>
      <c r="B2067" s="80" t="s">
        <v>4040</v>
      </c>
      <c r="C2067" s="80" t="s">
        <v>9722</v>
      </c>
      <c r="D2067" s="80" t="s">
        <v>84</v>
      </c>
      <c r="E2067" s="80" t="s">
        <v>84</v>
      </c>
      <c r="F2067" s="80"/>
      <c r="G2067" s="80" t="s">
        <v>84</v>
      </c>
      <c r="H2067" s="80" t="s">
        <v>84</v>
      </c>
      <c r="I2067" s="80" t="s">
        <v>84</v>
      </c>
      <c r="J2067" s="80" t="s">
        <v>84</v>
      </c>
      <c r="K2067" s="80" t="s">
        <v>84</v>
      </c>
      <c r="L2067" s="80" t="s">
        <v>84</v>
      </c>
      <c r="M2067" s="80" t="s">
        <v>84</v>
      </c>
      <c r="N2067" s="80" t="s">
        <v>84</v>
      </c>
      <c r="O2067" s="80" t="s">
        <v>84</v>
      </c>
      <c r="P2067" s="80"/>
      <c r="Q2067" s="80" t="s">
        <v>84</v>
      </c>
      <c r="R2067" s="80" t="s">
        <v>84</v>
      </c>
    </row>
    <row r="2068" spans="1:18" ht="20" x14ac:dyDescent="0.2">
      <c r="A2068" s="80" t="s">
        <v>4039</v>
      </c>
      <c r="B2068" s="80" t="s">
        <v>4339</v>
      </c>
      <c r="C2068" s="80" t="s">
        <v>9722</v>
      </c>
      <c r="D2068" s="80" t="s">
        <v>84</v>
      </c>
      <c r="E2068" s="80" t="s">
        <v>84</v>
      </c>
      <c r="F2068" s="80"/>
      <c r="G2068" s="80" t="s">
        <v>84</v>
      </c>
      <c r="H2068" s="80" t="s">
        <v>84</v>
      </c>
      <c r="I2068" s="80" t="s">
        <v>84</v>
      </c>
      <c r="J2068" s="80" t="s">
        <v>84</v>
      </c>
      <c r="K2068" s="80" t="s">
        <v>84</v>
      </c>
      <c r="L2068" s="80" t="s">
        <v>84</v>
      </c>
      <c r="M2068" s="80" t="s">
        <v>84</v>
      </c>
      <c r="N2068" s="80" t="s">
        <v>84</v>
      </c>
      <c r="O2068" s="80" t="s">
        <v>84</v>
      </c>
      <c r="P2068" s="80"/>
      <c r="Q2068" s="80" t="s">
        <v>84</v>
      </c>
      <c r="R2068" s="80" t="s">
        <v>84</v>
      </c>
    </row>
    <row r="2069" spans="1:18" ht="20" x14ac:dyDescent="0.2">
      <c r="A2069" s="80" t="s">
        <v>4340</v>
      </c>
      <c r="B2069" s="80" t="s">
        <v>4341</v>
      </c>
      <c r="C2069" s="80" t="s">
        <v>9680</v>
      </c>
      <c r="D2069" s="80" t="s">
        <v>84</v>
      </c>
      <c r="E2069" s="80" t="s">
        <v>84</v>
      </c>
      <c r="F2069" s="80"/>
      <c r="G2069" s="80" t="s">
        <v>84</v>
      </c>
      <c r="H2069" s="80" t="s">
        <v>84</v>
      </c>
      <c r="I2069" s="80" t="s">
        <v>84</v>
      </c>
      <c r="J2069" s="80" t="s">
        <v>84</v>
      </c>
      <c r="K2069" s="80" t="s">
        <v>84</v>
      </c>
      <c r="L2069" s="80" t="s">
        <v>84</v>
      </c>
      <c r="M2069" s="80" t="s">
        <v>84</v>
      </c>
      <c r="N2069" s="80" t="s">
        <v>84</v>
      </c>
      <c r="O2069" s="80" t="s">
        <v>84</v>
      </c>
      <c r="P2069" s="80"/>
      <c r="Q2069" s="80" t="s">
        <v>84</v>
      </c>
      <c r="R2069" s="80" t="s">
        <v>84</v>
      </c>
    </row>
    <row r="2070" spans="1:18" ht="20" x14ac:dyDescent="0.2">
      <c r="A2070" s="80" t="s">
        <v>4267</v>
      </c>
      <c r="B2070" s="80" t="s">
        <v>4268</v>
      </c>
      <c r="C2070" s="80" t="s">
        <v>9680</v>
      </c>
      <c r="D2070" s="80" t="s">
        <v>84</v>
      </c>
      <c r="E2070" s="80" t="s">
        <v>84</v>
      </c>
      <c r="F2070" s="80"/>
      <c r="G2070" s="80" t="s">
        <v>84</v>
      </c>
      <c r="H2070" s="80" t="s">
        <v>84</v>
      </c>
      <c r="I2070" s="80" t="s">
        <v>84</v>
      </c>
      <c r="J2070" s="80" t="s">
        <v>84</v>
      </c>
      <c r="K2070" s="80" t="s">
        <v>84</v>
      </c>
      <c r="L2070" s="80" t="s">
        <v>84</v>
      </c>
      <c r="M2070" s="80" t="s">
        <v>84</v>
      </c>
      <c r="N2070" s="80" t="s">
        <v>84</v>
      </c>
      <c r="O2070" s="80" t="s">
        <v>84</v>
      </c>
      <c r="P2070" s="80"/>
      <c r="Q2070" s="80" t="s">
        <v>84</v>
      </c>
      <c r="R2070" s="80" t="s">
        <v>84</v>
      </c>
    </row>
    <row r="2071" spans="1:18" ht="20" x14ac:dyDescent="0.2">
      <c r="A2071" s="80" t="s">
        <v>4269</v>
      </c>
      <c r="B2071" s="80" t="s">
        <v>4270</v>
      </c>
      <c r="C2071" s="80" t="s">
        <v>84</v>
      </c>
      <c r="D2071" s="80" t="s">
        <v>84</v>
      </c>
      <c r="E2071" s="80" t="s">
        <v>84</v>
      </c>
      <c r="F2071" s="80"/>
      <c r="G2071" s="80" t="s">
        <v>84</v>
      </c>
      <c r="H2071" s="80" t="s">
        <v>84</v>
      </c>
      <c r="I2071" s="80" t="s">
        <v>84</v>
      </c>
      <c r="J2071" s="80" t="s">
        <v>84</v>
      </c>
      <c r="K2071" s="80" t="s">
        <v>84</v>
      </c>
      <c r="L2071" s="80" t="s">
        <v>84</v>
      </c>
      <c r="M2071" s="80" t="s">
        <v>84</v>
      </c>
      <c r="N2071" s="80" t="s">
        <v>84</v>
      </c>
      <c r="O2071" s="80" t="s">
        <v>84</v>
      </c>
      <c r="P2071" s="80"/>
      <c r="Q2071" s="80" t="s">
        <v>84</v>
      </c>
      <c r="R2071" s="80" t="s">
        <v>84</v>
      </c>
    </row>
    <row r="2072" spans="1:18" ht="20" x14ac:dyDescent="0.2">
      <c r="A2072" s="80" t="s">
        <v>10410</v>
      </c>
      <c r="B2072" s="80" t="s">
        <v>10411</v>
      </c>
      <c r="C2072" s="80" t="s">
        <v>84</v>
      </c>
      <c r="D2072" s="80" t="s">
        <v>84</v>
      </c>
      <c r="E2072" s="80" t="s">
        <v>84</v>
      </c>
      <c r="F2072" s="80"/>
      <c r="G2072" s="80" t="s">
        <v>84</v>
      </c>
      <c r="H2072" s="80" t="s">
        <v>84</v>
      </c>
      <c r="I2072" s="80" t="s">
        <v>84</v>
      </c>
      <c r="J2072" s="80" t="s">
        <v>84</v>
      </c>
      <c r="K2072" s="80" t="s">
        <v>84</v>
      </c>
      <c r="L2072" s="80" t="s">
        <v>84</v>
      </c>
      <c r="M2072" s="80" t="s">
        <v>84</v>
      </c>
      <c r="N2072" s="80" t="s">
        <v>84</v>
      </c>
      <c r="O2072" s="80" t="s">
        <v>84</v>
      </c>
      <c r="P2072" s="80"/>
      <c r="Q2072" s="80" t="s">
        <v>84</v>
      </c>
      <c r="R2072" s="80" t="s">
        <v>84</v>
      </c>
    </row>
    <row r="2073" spans="1:18" ht="20" x14ac:dyDescent="0.2">
      <c r="A2073" s="80" t="s">
        <v>4271</v>
      </c>
      <c r="B2073" s="80" t="s">
        <v>4272</v>
      </c>
      <c r="C2073" s="80" t="s">
        <v>9680</v>
      </c>
      <c r="D2073" s="80" t="s">
        <v>84</v>
      </c>
      <c r="E2073" s="80" t="s">
        <v>84</v>
      </c>
      <c r="F2073" s="80"/>
      <c r="G2073" s="80" t="s">
        <v>84</v>
      </c>
      <c r="H2073" s="80" t="s">
        <v>84</v>
      </c>
      <c r="I2073" s="80" t="s">
        <v>84</v>
      </c>
      <c r="J2073" s="80" t="s">
        <v>84</v>
      </c>
      <c r="K2073" s="80" t="s">
        <v>84</v>
      </c>
      <c r="L2073" s="80" t="s">
        <v>84</v>
      </c>
      <c r="M2073" s="80" t="s">
        <v>84</v>
      </c>
      <c r="N2073" s="80" t="s">
        <v>84</v>
      </c>
      <c r="O2073" s="80" t="s">
        <v>84</v>
      </c>
      <c r="P2073" s="80"/>
      <c r="Q2073" s="80" t="s">
        <v>84</v>
      </c>
      <c r="R2073" s="80" t="s">
        <v>84</v>
      </c>
    </row>
    <row r="2074" spans="1:18" ht="20" x14ac:dyDescent="0.2">
      <c r="A2074" s="80" t="s">
        <v>10412</v>
      </c>
      <c r="B2074" s="80" t="s">
        <v>10413</v>
      </c>
      <c r="C2074" s="80" t="s">
        <v>84</v>
      </c>
      <c r="D2074" s="80" t="s">
        <v>84</v>
      </c>
      <c r="E2074" s="80" t="s">
        <v>84</v>
      </c>
      <c r="F2074" s="80"/>
      <c r="G2074" s="80" t="s">
        <v>84</v>
      </c>
      <c r="H2074" s="80" t="s">
        <v>84</v>
      </c>
      <c r="I2074" s="80" t="s">
        <v>84</v>
      </c>
      <c r="J2074" s="80" t="s">
        <v>84</v>
      </c>
      <c r="K2074" s="80" t="s">
        <v>84</v>
      </c>
      <c r="L2074" s="80" t="s">
        <v>84</v>
      </c>
      <c r="M2074" s="80" t="s">
        <v>84</v>
      </c>
      <c r="N2074" s="80" t="s">
        <v>84</v>
      </c>
      <c r="O2074" s="80" t="s">
        <v>84</v>
      </c>
      <c r="P2074" s="80"/>
      <c r="Q2074" s="80" t="s">
        <v>84</v>
      </c>
      <c r="R2074" s="80" t="s">
        <v>84</v>
      </c>
    </row>
    <row r="2075" spans="1:18" ht="20" x14ac:dyDescent="0.2">
      <c r="A2075" s="80" t="s">
        <v>10414</v>
      </c>
      <c r="B2075" s="80" t="s">
        <v>10415</v>
      </c>
      <c r="C2075" s="80" t="s">
        <v>84</v>
      </c>
      <c r="D2075" s="80" t="s">
        <v>84</v>
      </c>
      <c r="E2075" s="80" t="s">
        <v>84</v>
      </c>
      <c r="F2075" s="80"/>
      <c r="G2075" s="80" t="s">
        <v>84</v>
      </c>
      <c r="H2075" s="80" t="s">
        <v>84</v>
      </c>
      <c r="I2075" s="80" t="s">
        <v>84</v>
      </c>
      <c r="J2075" s="80" t="s">
        <v>84</v>
      </c>
      <c r="K2075" s="80" t="s">
        <v>84</v>
      </c>
      <c r="L2075" s="80" t="s">
        <v>84</v>
      </c>
      <c r="M2075" s="80" t="s">
        <v>84</v>
      </c>
      <c r="N2075" s="80" t="s">
        <v>84</v>
      </c>
      <c r="O2075" s="80" t="s">
        <v>84</v>
      </c>
      <c r="P2075" s="80"/>
      <c r="Q2075" s="80" t="s">
        <v>84</v>
      </c>
      <c r="R2075" s="80" t="s">
        <v>84</v>
      </c>
    </row>
    <row r="2076" spans="1:18" ht="20" x14ac:dyDescent="0.2">
      <c r="A2076" s="80" t="s">
        <v>10416</v>
      </c>
      <c r="B2076" s="80" t="s">
        <v>10417</v>
      </c>
      <c r="C2076" s="80" t="s">
        <v>9680</v>
      </c>
      <c r="D2076" s="80" t="s">
        <v>84</v>
      </c>
      <c r="E2076" s="80" t="s">
        <v>84</v>
      </c>
      <c r="F2076" s="80"/>
      <c r="G2076" s="80" t="s">
        <v>84</v>
      </c>
      <c r="H2076" s="80" t="s">
        <v>84</v>
      </c>
      <c r="I2076" s="80" t="s">
        <v>84</v>
      </c>
      <c r="J2076" s="80" t="s">
        <v>84</v>
      </c>
      <c r="K2076" s="80" t="s">
        <v>84</v>
      </c>
      <c r="L2076" s="80" t="s">
        <v>84</v>
      </c>
      <c r="M2076" s="80" t="s">
        <v>84</v>
      </c>
      <c r="N2076" s="80" t="s">
        <v>84</v>
      </c>
      <c r="O2076" s="80" t="s">
        <v>84</v>
      </c>
      <c r="P2076" s="80"/>
      <c r="Q2076" s="80" t="s">
        <v>84</v>
      </c>
      <c r="R2076" s="80" t="s">
        <v>84</v>
      </c>
    </row>
    <row r="2077" spans="1:18" ht="20" x14ac:dyDescent="0.2">
      <c r="A2077" s="80" t="s">
        <v>4273</v>
      </c>
      <c r="B2077" s="80" t="s">
        <v>4274</v>
      </c>
      <c r="C2077" s="80" t="s">
        <v>9680</v>
      </c>
      <c r="D2077" s="80" t="s">
        <v>84</v>
      </c>
      <c r="E2077" s="80" t="s">
        <v>84</v>
      </c>
      <c r="F2077" s="80"/>
      <c r="G2077" s="80" t="s">
        <v>84</v>
      </c>
      <c r="H2077" s="80" t="s">
        <v>84</v>
      </c>
      <c r="I2077" s="80" t="s">
        <v>84</v>
      </c>
      <c r="J2077" s="80" t="s">
        <v>84</v>
      </c>
      <c r="K2077" s="80" t="s">
        <v>84</v>
      </c>
      <c r="L2077" s="80" t="s">
        <v>84</v>
      </c>
      <c r="M2077" s="80" t="s">
        <v>84</v>
      </c>
      <c r="N2077" s="80" t="s">
        <v>84</v>
      </c>
      <c r="O2077" s="80" t="s">
        <v>84</v>
      </c>
      <c r="P2077" s="80"/>
      <c r="Q2077" s="80" t="s">
        <v>84</v>
      </c>
      <c r="R2077" s="80" t="s">
        <v>84</v>
      </c>
    </row>
    <row r="2078" spans="1:18" ht="20" x14ac:dyDescent="0.2">
      <c r="A2078" s="80" t="s">
        <v>4322</v>
      </c>
      <c r="B2078" s="80" t="s">
        <v>4323</v>
      </c>
      <c r="C2078" s="80" t="s">
        <v>9680</v>
      </c>
      <c r="D2078" s="80" t="s">
        <v>84</v>
      </c>
      <c r="E2078" s="80" t="s">
        <v>84</v>
      </c>
      <c r="F2078" s="80"/>
      <c r="G2078" s="80" t="s">
        <v>84</v>
      </c>
      <c r="H2078" s="80" t="s">
        <v>84</v>
      </c>
      <c r="I2078" s="80" t="s">
        <v>84</v>
      </c>
      <c r="J2078" s="80" t="s">
        <v>84</v>
      </c>
      <c r="K2078" s="80" t="s">
        <v>84</v>
      </c>
      <c r="L2078" s="80" t="s">
        <v>84</v>
      </c>
      <c r="M2078" s="80" t="s">
        <v>84</v>
      </c>
      <c r="N2078" s="80" t="s">
        <v>84</v>
      </c>
      <c r="O2078" s="80" t="s">
        <v>84</v>
      </c>
      <c r="P2078" s="80"/>
      <c r="Q2078" s="80" t="s">
        <v>84</v>
      </c>
      <c r="R2078" s="80" t="s">
        <v>84</v>
      </c>
    </row>
    <row r="2079" spans="1:18" ht="20" x14ac:dyDescent="0.2">
      <c r="A2079" s="80" t="s">
        <v>4275</v>
      </c>
      <c r="B2079" s="80" t="s">
        <v>4276</v>
      </c>
      <c r="C2079" s="80" t="s">
        <v>84</v>
      </c>
      <c r="D2079" s="80" t="s">
        <v>84</v>
      </c>
      <c r="E2079" s="80" t="s">
        <v>84</v>
      </c>
      <c r="F2079" s="80"/>
      <c r="G2079" s="80" t="s">
        <v>84</v>
      </c>
      <c r="H2079" s="80" t="s">
        <v>84</v>
      </c>
      <c r="I2079" s="80" t="s">
        <v>84</v>
      </c>
      <c r="J2079" s="80" t="s">
        <v>84</v>
      </c>
      <c r="K2079" s="80" t="s">
        <v>84</v>
      </c>
      <c r="L2079" s="80" t="s">
        <v>84</v>
      </c>
      <c r="M2079" s="80" t="s">
        <v>84</v>
      </c>
      <c r="N2079" s="80" t="s">
        <v>84</v>
      </c>
      <c r="O2079" s="80" t="s">
        <v>84</v>
      </c>
      <c r="P2079" s="80"/>
      <c r="Q2079" s="80" t="s">
        <v>84</v>
      </c>
      <c r="R2079" s="80" t="s">
        <v>84</v>
      </c>
    </row>
    <row r="2080" spans="1:18" ht="20" x14ac:dyDescent="0.2">
      <c r="A2080" s="80" t="s">
        <v>4277</v>
      </c>
      <c r="B2080" s="80" t="s">
        <v>4278</v>
      </c>
      <c r="C2080" s="80" t="s">
        <v>9680</v>
      </c>
      <c r="D2080" s="80" t="s">
        <v>9680</v>
      </c>
      <c r="E2080" s="80" t="s">
        <v>9680</v>
      </c>
      <c r="F2080" s="80"/>
      <c r="G2080" s="80" t="s">
        <v>9680</v>
      </c>
      <c r="H2080" s="80" t="s">
        <v>9680</v>
      </c>
      <c r="I2080" s="80" t="s">
        <v>9680</v>
      </c>
      <c r="J2080" s="80" t="s">
        <v>84</v>
      </c>
      <c r="K2080" s="80" t="s">
        <v>9680</v>
      </c>
      <c r="L2080" s="80" t="s">
        <v>9680</v>
      </c>
      <c r="M2080" s="80" t="s">
        <v>9680</v>
      </c>
      <c r="N2080" s="80" t="s">
        <v>9680</v>
      </c>
      <c r="O2080" s="80" t="s">
        <v>9680</v>
      </c>
      <c r="P2080" s="80"/>
      <c r="Q2080" s="80" t="s">
        <v>9680</v>
      </c>
      <c r="R2080" s="80" t="s">
        <v>9680</v>
      </c>
    </row>
    <row r="2081" spans="1:18" ht="20" x14ac:dyDescent="0.2">
      <c r="A2081" s="80" t="s">
        <v>4277</v>
      </c>
      <c r="B2081" s="80" t="s">
        <v>10418</v>
      </c>
      <c r="C2081" s="80" t="s">
        <v>9680</v>
      </c>
      <c r="D2081" s="80" t="s">
        <v>9680</v>
      </c>
      <c r="E2081" s="80" t="s">
        <v>9680</v>
      </c>
      <c r="F2081" s="80"/>
      <c r="G2081" s="80" t="s">
        <v>9680</v>
      </c>
      <c r="H2081" s="80" t="s">
        <v>9680</v>
      </c>
      <c r="I2081" s="80" t="s">
        <v>9680</v>
      </c>
      <c r="J2081" s="80" t="s">
        <v>84</v>
      </c>
      <c r="K2081" s="80" t="s">
        <v>9680</v>
      </c>
      <c r="L2081" s="80" t="s">
        <v>9680</v>
      </c>
      <c r="M2081" s="80" t="s">
        <v>9680</v>
      </c>
      <c r="N2081" s="80" t="s">
        <v>9680</v>
      </c>
      <c r="O2081" s="80" t="s">
        <v>9680</v>
      </c>
      <c r="P2081" s="80"/>
      <c r="Q2081" s="80" t="s">
        <v>9680</v>
      </c>
      <c r="R2081" s="80" t="s">
        <v>9680</v>
      </c>
    </row>
    <row r="2082" spans="1:18" ht="20" x14ac:dyDescent="0.2">
      <c r="A2082" s="80" t="s">
        <v>4282</v>
      </c>
      <c r="B2082" s="80" t="s">
        <v>4283</v>
      </c>
      <c r="C2082" s="80" t="s">
        <v>84</v>
      </c>
      <c r="D2082" s="80" t="s">
        <v>84</v>
      </c>
      <c r="E2082" s="80" t="s">
        <v>84</v>
      </c>
      <c r="F2082" s="80"/>
      <c r="G2082" s="80" t="s">
        <v>84</v>
      </c>
      <c r="H2082" s="80" t="s">
        <v>84</v>
      </c>
      <c r="I2082" s="80" t="s">
        <v>84</v>
      </c>
      <c r="J2082" s="80" t="s">
        <v>84</v>
      </c>
      <c r="K2082" s="80" t="s">
        <v>84</v>
      </c>
      <c r="L2082" s="80" t="s">
        <v>84</v>
      </c>
      <c r="M2082" s="80" t="s">
        <v>84</v>
      </c>
      <c r="N2082" s="80" t="s">
        <v>84</v>
      </c>
      <c r="O2082" s="80" t="s">
        <v>84</v>
      </c>
      <c r="P2082" s="80"/>
      <c r="Q2082" s="80" t="s">
        <v>84</v>
      </c>
      <c r="R2082" s="80" t="s">
        <v>84</v>
      </c>
    </row>
    <row r="2083" spans="1:18" ht="20" x14ac:dyDescent="0.2">
      <c r="A2083" s="80" t="s">
        <v>4284</v>
      </c>
      <c r="B2083" s="80" t="s">
        <v>4285</v>
      </c>
      <c r="C2083" s="80" t="s">
        <v>9680</v>
      </c>
      <c r="D2083" s="80" t="s">
        <v>9680</v>
      </c>
      <c r="E2083" s="80" t="s">
        <v>9680</v>
      </c>
      <c r="F2083" s="80"/>
      <c r="G2083" s="80" t="s">
        <v>9680</v>
      </c>
      <c r="H2083" s="80" t="s">
        <v>9680</v>
      </c>
      <c r="I2083" s="80" t="s">
        <v>9680</v>
      </c>
      <c r="J2083" s="80" t="s">
        <v>84</v>
      </c>
      <c r="K2083" s="80" t="s">
        <v>9680</v>
      </c>
      <c r="L2083" s="80" t="s">
        <v>9680</v>
      </c>
      <c r="M2083" s="80" t="s">
        <v>9680</v>
      </c>
      <c r="N2083" s="80" t="s">
        <v>9680</v>
      </c>
      <c r="O2083" s="80" t="s">
        <v>9680</v>
      </c>
      <c r="P2083" s="80"/>
      <c r="Q2083" s="80" t="s">
        <v>9680</v>
      </c>
      <c r="R2083" s="80" t="s">
        <v>9680</v>
      </c>
    </row>
    <row r="2084" spans="1:18" ht="20" x14ac:dyDescent="0.2">
      <c r="A2084" s="80" t="s">
        <v>4284</v>
      </c>
      <c r="B2084" s="80" t="s">
        <v>10419</v>
      </c>
      <c r="C2084" s="80" t="s">
        <v>9680</v>
      </c>
      <c r="D2084" s="80" t="s">
        <v>9680</v>
      </c>
      <c r="E2084" s="80" t="s">
        <v>9680</v>
      </c>
      <c r="F2084" s="80"/>
      <c r="G2084" s="80" t="s">
        <v>9680</v>
      </c>
      <c r="H2084" s="80" t="s">
        <v>9680</v>
      </c>
      <c r="I2084" s="80" t="s">
        <v>9680</v>
      </c>
      <c r="J2084" s="80" t="s">
        <v>84</v>
      </c>
      <c r="K2084" s="80" t="s">
        <v>9680</v>
      </c>
      <c r="L2084" s="80" t="s">
        <v>9680</v>
      </c>
      <c r="M2084" s="80" t="s">
        <v>9680</v>
      </c>
      <c r="N2084" s="80" t="s">
        <v>9680</v>
      </c>
      <c r="O2084" s="80" t="s">
        <v>9680</v>
      </c>
      <c r="P2084" s="80"/>
      <c r="Q2084" s="80" t="s">
        <v>9680</v>
      </c>
      <c r="R2084" s="80" t="s">
        <v>9680</v>
      </c>
    </row>
    <row r="2085" spans="1:18" ht="20" x14ac:dyDescent="0.2">
      <c r="A2085" s="80" t="s">
        <v>4288</v>
      </c>
      <c r="B2085" s="80" t="s">
        <v>4289</v>
      </c>
      <c r="C2085" s="80" t="s">
        <v>9680</v>
      </c>
      <c r="D2085" s="80" t="s">
        <v>84</v>
      </c>
      <c r="E2085" s="80" t="s">
        <v>84</v>
      </c>
      <c r="F2085" s="80"/>
      <c r="G2085" s="80" t="s">
        <v>84</v>
      </c>
      <c r="H2085" s="80" t="s">
        <v>84</v>
      </c>
      <c r="I2085" s="80" t="s">
        <v>84</v>
      </c>
      <c r="J2085" s="80" t="s">
        <v>84</v>
      </c>
      <c r="K2085" s="80" t="s">
        <v>84</v>
      </c>
      <c r="L2085" s="80" t="s">
        <v>84</v>
      </c>
      <c r="M2085" s="80" t="s">
        <v>84</v>
      </c>
      <c r="N2085" s="80" t="s">
        <v>84</v>
      </c>
      <c r="O2085" s="80" t="s">
        <v>84</v>
      </c>
      <c r="P2085" s="80"/>
      <c r="Q2085" s="80" t="s">
        <v>84</v>
      </c>
      <c r="R2085" s="80" t="s">
        <v>84</v>
      </c>
    </row>
    <row r="2086" spans="1:18" ht="20" x14ac:dyDescent="0.2">
      <c r="A2086" s="80" t="s">
        <v>4290</v>
      </c>
      <c r="B2086" s="80" t="s">
        <v>4291</v>
      </c>
      <c r="C2086" s="80" t="s">
        <v>9680</v>
      </c>
      <c r="D2086" s="80" t="s">
        <v>84</v>
      </c>
      <c r="E2086" s="80" t="s">
        <v>84</v>
      </c>
      <c r="F2086" s="80"/>
      <c r="G2086" s="80" t="s">
        <v>84</v>
      </c>
      <c r="H2086" s="80" t="s">
        <v>84</v>
      </c>
      <c r="I2086" s="80" t="s">
        <v>84</v>
      </c>
      <c r="J2086" s="80" t="s">
        <v>84</v>
      </c>
      <c r="K2086" s="80" t="s">
        <v>84</v>
      </c>
      <c r="L2086" s="80" t="s">
        <v>84</v>
      </c>
      <c r="M2086" s="80" t="s">
        <v>84</v>
      </c>
      <c r="N2086" s="80" t="s">
        <v>84</v>
      </c>
      <c r="O2086" s="80" t="s">
        <v>84</v>
      </c>
      <c r="P2086" s="80"/>
      <c r="Q2086" s="80" t="s">
        <v>84</v>
      </c>
      <c r="R2086" s="80" t="s">
        <v>84</v>
      </c>
    </row>
    <row r="2087" spans="1:18" ht="20" x14ac:dyDescent="0.2">
      <c r="A2087" s="80" t="s">
        <v>4292</v>
      </c>
      <c r="B2087" s="80" t="s">
        <v>4293</v>
      </c>
      <c r="C2087" s="80" t="s">
        <v>9680</v>
      </c>
      <c r="D2087" s="80" t="s">
        <v>84</v>
      </c>
      <c r="E2087" s="80" t="s">
        <v>84</v>
      </c>
      <c r="F2087" s="80"/>
      <c r="G2087" s="80" t="s">
        <v>84</v>
      </c>
      <c r="H2087" s="80" t="s">
        <v>84</v>
      </c>
      <c r="I2087" s="80" t="s">
        <v>84</v>
      </c>
      <c r="J2087" s="80" t="s">
        <v>84</v>
      </c>
      <c r="K2087" s="80" t="s">
        <v>84</v>
      </c>
      <c r="L2087" s="80" t="s">
        <v>84</v>
      </c>
      <c r="M2087" s="80" t="s">
        <v>84</v>
      </c>
      <c r="N2087" s="80" t="s">
        <v>84</v>
      </c>
      <c r="O2087" s="80" t="s">
        <v>84</v>
      </c>
      <c r="P2087" s="80"/>
      <c r="Q2087" s="80" t="s">
        <v>84</v>
      </c>
      <c r="R2087" s="80" t="s">
        <v>84</v>
      </c>
    </row>
    <row r="2088" spans="1:18" ht="20" x14ac:dyDescent="0.2">
      <c r="A2088" s="80" t="s">
        <v>4344</v>
      </c>
      <c r="B2088" s="80" t="s">
        <v>4345</v>
      </c>
      <c r="C2088" s="80" t="s">
        <v>9680</v>
      </c>
      <c r="D2088" s="80" t="s">
        <v>84</v>
      </c>
      <c r="E2088" s="80" t="s">
        <v>84</v>
      </c>
      <c r="F2088" s="80"/>
      <c r="G2088" s="80" t="s">
        <v>84</v>
      </c>
      <c r="H2088" s="80" t="s">
        <v>84</v>
      </c>
      <c r="I2088" s="80" t="s">
        <v>84</v>
      </c>
      <c r="J2088" s="80" t="s">
        <v>84</v>
      </c>
      <c r="K2088" s="80" t="s">
        <v>84</v>
      </c>
      <c r="L2088" s="80" t="s">
        <v>84</v>
      </c>
      <c r="M2088" s="80" t="s">
        <v>84</v>
      </c>
      <c r="N2088" s="80" t="s">
        <v>84</v>
      </c>
      <c r="O2088" s="80" t="s">
        <v>84</v>
      </c>
      <c r="P2088" s="80"/>
      <c r="Q2088" s="80" t="s">
        <v>84</v>
      </c>
      <c r="R2088" s="80" t="s">
        <v>84</v>
      </c>
    </row>
    <row r="2089" spans="1:18" ht="20" x14ac:dyDescent="0.2">
      <c r="A2089" s="80" t="s">
        <v>4294</v>
      </c>
      <c r="B2089" s="80" t="s">
        <v>4295</v>
      </c>
      <c r="C2089" s="80" t="s">
        <v>84</v>
      </c>
      <c r="D2089" s="80" t="s">
        <v>84</v>
      </c>
      <c r="E2089" s="80" t="s">
        <v>84</v>
      </c>
      <c r="F2089" s="80"/>
      <c r="G2089" s="80" t="s">
        <v>84</v>
      </c>
      <c r="H2089" s="80" t="s">
        <v>84</v>
      </c>
      <c r="I2089" s="80" t="s">
        <v>84</v>
      </c>
      <c r="J2089" s="80" t="s">
        <v>84</v>
      </c>
      <c r="K2089" s="80" t="s">
        <v>84</v>
      </c>
      <c r="L2089" s="80" t="s">
        <v>84</v>
      </c>
      <c r="M2089" s="80" t="s">
        <v>84</v>
      </c>
      <c r="N2089" s="80" t="s">
        <v>84</v>
      </c>
      <c r="O2089" s="80" t="s">
        <v>84</v>
      </c>
      <c r="P2089" s="80"/>
      <c r="Q2089" s="80" t="s">
        <v>84</v>
      </c>
      <c r="R2089" s="80" t="s">
        <v>84</v>
      </c>
    </row>
    <row r="2090" spans="1:18" ht="20" x14ac:dyDescent="0.2">
      <c r="A2090" s="80" t="s">
        <v>4296</v>
      </c>
      <c r="B2090" s="80" t="s">
        <v>4297</v>
      </c>
      <c r="C2090" s="80" t="s">
        <v>84</v>
      </c>
      <c r="D2090" s="80" t="s">
        <v>84</v>
      </c>
      <c r="E2090" s="80" t="s">
        <v>84</v>
      </c>
      <c r="F2090" s="80"/>
      <c r="G2090" s="80" t="s">
        <v>84</v>
      </c>
      <c r="H2090" s="80" t="s">
        <v>84</v>
      </c>
      <c r="I2090" s="80" t="s">
        <v>84</v>
      </c>
      <c r="J2090" s="80" t="s">
        <v>84</v>
      </c>
      <c r="K2090" s="80" t="s">
        <v>84</v>
      </c>
      <c r="L2090" s="80" t="s">
        <v>84</v>
      </c>
      <c r="M2090" s="80" t="s">
        <v>84</v>
      </c>
      <c r="N2090" s="80" t="s">
        <v>84</v>
      </c>
      <c r="O2090" s="80" t="s">
        <v>84</v>
      </c>
      <c r="P2090" s="80"/>
      <c r="Q2090" s="80" t="s">
        <v>84</v>
      </c>
      <c r="R2090" s="80" t="s">
        <v>84</v>
      </c>
    </row>
    <row r="2091" spans="1:18" ht="20" x14ac:dyDescent="0.2">
      <c r="A2091" s="80" t="s">
        <v>4298</v>
      </c>
      <c r="B2091" s="80" t="s">
        <v>4299</v>
      </c>
      <c r="C2091" s="80" t="s">
        <v>84</v>
      </c>
      <c r="D2091" s="80" t="s">
        <v>84</v>
      </c>
      <c r="E2091" s="80" t="s">
        <v>84</v>
      </c>
      <c r="F2091" s="80"/>
      <c r="G2091" s="80" t="s">
        <v>84</v>
      </c>
      <c r="H2091" s="80" t="s">
        <v>84</v>
      </c>
      <c r="I2091" s="80" t="s">
        <v>84</v>
      </c>
      <c r="J2091" s="80" t="s">
        <v>84</v>
      </c>
      <c r="K2091" s="80" t="s">
        <v>84</v>
      </c>
      <c r="L2091" s="80" t="s">
        <v>84</v>
      </c>
      <c r="M2091" s="80" t="s">
        <v>84</v>
      </c>
      <c r="N2091" s="80" t="s">
        <v>84</v>
      </c>
      <c r="O2091" s="80" t="s">
        <v>84</v>
      </c>
      <c r="P2091" s="80"/>
      <c r="Q2091" s="80" t="s">
        <v>84</v>
      </c>
      <c r="R2091" s="80" t="s">
        <v>84</v>
      </c>
    </row>
    <row r="2092" spans="1:18" ht="20" x14ac:dyDescent="0.2">
      <c r="A2092" s="80" t="s">
        <v>4303</v>
      </c>
      <c r="B2092" s="80" t="s">
        <v>4304</v>
      </c>
      <c r="C2092" s="80" t="s">
        <v>84</v>
      </c>
      <c r="D2092" s="80" t="s">
        <v>84</v>
      </c>
      <c r="E2092" s="80" t="s">
        <v>84</v>
      </c>
      <c r="F2092" s="80"/>
      <c r="G2092" s="80" t="s">
        <v>84</v>
      </c>
      <c r="H2092" s="80" t="s">
        <v>84</v>
      </c>
      <c r="I2092" s="80" t="s">
        <v>84</v>
      </c>
      <c r="J2092" s="80" t="s">
        <v>84</v>
      </c>
      <c r="K2092" s="80" t="s">
        <v>84</v>
      </c>
      <c r="L2092" s="80" t="s">
        <v>84</v>
      </c>
      <c r="M2092" s="80" t="s">
        <v>84</v>
      </c>
      <c r="N2092" s="80" t="s">
        <v>84</v>
      </c>
      <c r="O2092" s="80" t="s">
        <v>84</v>
      </c>
      <c r="P2092" s="80"/>
      <c r="Q2092" s="80" t="s">
        <v>84</v>
      </c>
      <c r="R2092" s="80" t="s">
        <v>84</v>
      </c>
    </row>
    <row r="2093" spans="1:18" ht="20" x14ac:dyDescent="0.2">
      <c r="A2093" s="80" t="s">
        <v>4305</v>
      </c>
      <c r="B2093" s="80" t="s">
        <v>4306</v>
      </c>
      <c r="C2093" s="80" t="s">
        <v>9680</v>
      </c>
      <c r="D2093" s="80" t="s">
        <v>84</v>
      </c>
      <c r="E2093" s="80" t="s">
        <v>84</v>
      </c>
      <c r="F2093" s="80"/>
      <c r="G2093" s="80" t="s">
        <v>84</v>
      </c>
      <c r="H2093" s="80" t="s">
        <v>9680</v>
      </c>
      <c r="I2093" s="80" t="s">
        <v>84</v>
      </c>
      <c r="J2093" s="80" t="s">
        <v>84</v>
      </c>
      <c r="K2093" s="80" t="s">
        <v>84</v>
      </c>
      <c r="L2093" s="80" t="s">
        <v>84</v>
      </c>
      <c r="M2093" s="80" t="s">
        <v>84</v>
      </c>
      <c r="N2093" s="80" t="s">
        <v>84</v>
      </c>
      <c r="O2093" s="80" t="s">
        <v>84</v>
      </c>
      <c r="P2093" s="80"/>
      <c r="Q2093" s="80" t="s">
        <v>84</v>
      </c>
      <c r="R2093" s="80" t="s">
        <v>84</v>
      </c>
    </row>
    <row r="2094" spans="1:18" ht="20" x14ac:dyDescent="0.2">
      <c r="A2094" s="80" t="s">
        <v>4307</v>
      </c>
      <c r="B2094" s="80" t="s">
        <v>4308</v>
      </c>
      <c r="C2094" s="80" t="s">
        <v>9680</v>
      </c>
      <c r="D2094" s="80" t="s">
        <v>84</v>
      </c>
      <c r="E2094" s="80" t="s">
        <v>84</v>
      </c>
      <c r="F2094" s="80"/>
      <c r="G2094" s="80" t="s">
        <v>84</v>
      </c>
      <c r="H2094" s="80" t="s">
        <v>9680</v>
      </c>
      <c r="I2094" s="80" t="s">
        <v>84</v>
      </c>
      <c r="J2094" s="80" t="s">
        <v>84</v>
      </c>
      <c r="K2094" s="80" t="s">
        <v>84</v>
      </c>
      <c r="L2094" s="80" t="s">
        <v>84</v>
      </c>
      <c r="M2094" s="80" t="s">
        <v>84</v>
      </c>
      <c r="N2094" s="80" t="s">
        <v>84</v>
      </c>
      <c r="O2094" s="80" t="s">
        <v>84</v>
      </c>
      <c r="P2094" s="80"/>
      <c r="Q2094" s="80" t="s">
        <v>84</v>
      </c>
      <c r="R2094" s="80" t="s">
        <v>84</v>
      </c>
    </row>
    <row r="2095" spans="1:18" ht="20" x14ac:dyDescent="0.2">
      <c r="A2095" s="80" t="s">
        <v>4309</v>
      </c>
      <c r="B2095" s="80" t="s">
        <v>4310</v>
      </c>
      <c r="C2095" s="80" t="s">
        <v>9680</v>
      </c>
      <c r="D2095" s="80" t="s">
        <v>84</v>
      </c>
      <c r="E2095" s="80" t="s">
        <v>84</v>
      </c>
      <c r="F2095" s="80"/>
      <c r="G2095" s="80" t="s">
        <v>84</v>
      </c>
      <c r="H2095" s="80" t="s">
        <v>9680</v>
      </c>
      <c r="I2095" s="80" t="s">
        <v>84</v>
      </c>
      <c r="J2095" s="80" t="s">
        <v>84</v>
      </c>
      <c r="K2095" s="80" t="s">
        <v>84</v>
      </c>
      <c r="L2095" s="80" t="s">
        <v>84</v>
      </c>
      <c r="M2095" s="80" t="s">
        <v>84</v>
      </c>
      <c r="N2095" s="80" t="s">
        <v>84</v>
      </c>
      <c r="O2095" s="80" t="s">
        <v>84</v>
      </c>
      <c r="P2095" s="80"/>
      <c r="Q2095" s="80" t="s">
        <v>84</v>
      </c>
      <c r="R2095" s="80" t="s">
        <v>84</v>
      </c>
    </row>
    <row r="2096" spans="1:18" ht="20" x14ac:dyDescent="0.2">
      <c r="A2096" s="80" t="s">
        <v>4311</v>
      </c>
      <c r="B2096" s="80" t="s">
        <v>4312</v>
      </c>
      <c r="C2096" s="80" t="s">
        <v>9680</v>
      </c>
      <c r="D2096" s="80" t="s">
        <v>84</v>
      </c>
      <c r="E2096" s="80" t="s">
        <v>84</v>
      </c>
      <c r="F2096" s="80"/>
      <c r="G2096" s="80" t="s">
        <v>84</v>
      </c>
      <c r="H2096" s="80" t="s">
        <v>9680</v>
      </c>
      <c r="I2096" s="80" t="s">
        <v>84</v>
      </c>
      <c r="J2096" s="80" t="s">
        <v>84</v>
      </c>
      <c r="K2096" s="80" t="s">
        <v>84</v>
      </c>
      <c r="L2096" s="80" t="s">
        <v>84</v>
      </c>
      <c r="M2096" s="80" t="s">
        <v>84</v>
      </c>
      <c r="N2096" s="80" t="s">
        <v>84</v>
      </c>
      <c r="O2096" s="80" t="s">
        <v>84</v>
      </c>
      <c r="P2096" s="80"/>
      <c r="Q2096" s="80" t="s">
        <v>84</v>
      </c>
      <c r="R2096" s="80" t="s">
        <v>84</v>
      </c>
    </row>
    <row r="2097" spans="1:18" ht="20" x14ac:dyDescent="0.2">
      <c r="A2097" s="80" t="s">
        <v>4313</v>
      </c>
      <c r="B2097" s="80" t="s">
        <v>4314</v>
      </c>
      <c r="C2097" s="80" t="s">
        <v>84</v>
      </c>
      <c r="D2097" s="80" t="s">
        <v>84</v>
      </c>
      <c r="E2097" s="80" t="s">
        <v>84</v>
      </c>
      <c r="F2097" s="80"/>
      <c r="G2097" s="80" t="s">
        <v>84</v>
      </c>
      <c r="H2097" s="80" t="s">
        <v>84</v>
      </c>
      <c r="I2097" s="80" t="s">
        <v>84</v>
      </c>
      <c r="J2097" s="80" t="s">
        <v>84</v>
      </c>
      <c r="K2097" s="80" t="s">
        <v>84</v>
      </c>
      <c r="L2097" s="80" t="s">
        <v>84</v>
      </c>
      <c r="M2097" s="80" t="s">
        <v>84</v>
      </c>
      <c r="N2097" s="80" t="s">
        <v>84</v>
      </c>
      <c r="O2097" s="80" t="s">
        <v>84</v>
      </c>
      <c r="P2097" s="80"/>
      <c r="Q2097" s="80" t="s">
        <v>84</v>
      </c>
      <c r="R2097" s="80" t="s">
        <v>84</v>
      </c>
    </row>
    <row r="2098" spans="1:18" ht="20" x14ac:dyDescent="0.2">
      <c r="A2098" s="80" t="s">
        <v>4326</v>
      </c>
      <c r="B2098" s="80" t="s">
        <v>4327</v>
      </c>
      <c r="C2098" s="80" t="s">
        <v>9680</v>
      </c>
      <c r="D2098" s="80" t="s">
        <v>84</v>
      </c>
      <c r="E2098" s="80" t="s">
        <v>84</v>
      </c>
      <c r="F2098" s="80"/>
      <c r="G2098" s="80" t="s">
        <v>84</v>
      </c>
      <c r="H2098" s="80" t="s">
        <v>84</v>
      </c>
      <c r="I2098" s="80" t="s">
        <v>84</v>
      </c>
      <c r="J2098" s="80" t="s">
        <v>84</v>
      </c>
      <c r="K2098" s="80" t="s">
        <v>84</v>
      </c>
      <c r="L2098" s="80" t="s">
        <v>84</v>
      </c>
      <c r="M2098" s="80" t="s">
        <v>84</v>
      </c>
      <c r="N2098" s="80" t="s">
        <v>84</v>
      </c>
      <c r="O2098" s="80" t="s">
        <v>84</v>
      </c>
      <c r="P2098" s="80"/>
      <c r="Q2098" s="80" t="s">
        <v>84</v>
      </c>
      <c r="R2098" s="80" t="s">
        <v>84</v>
      </c>
    </row>
    <row r="2099" spans="1:18" ht="20" x14ac:dyDescent="0.2">
      <c r="A2099" s="80" t="s">
        <v>4128</v>
      </c>
      <c r="B2099" s="80" t="s">
        <v>4129</v>
      </c>
      <c r="C2099" s="80" t="s">
        <v>9722</v>
      </c>
      <c r="D2099" s="80" t="s">
        <v>84</v>
      </c>
      <c r="E2099" s="80" t="s">
        <v>84</v>
      </c>
      <c r="F2099" s="80"/>
      <c r="G2099" s="80" t="s">
        <v>84</v>
      </c>
      <c r="H2099" s="80" t="s">
        <v>84</v>
      </c>
      <c r="I2099" s="80" t="s">
        <v>84</v>
      </c>
      <c r="J2099" s="80" t="s">
        <v>84</v>
      </c>
      <c r="K2099" s="80" t="s">
        <v>84</v>
      </c>
      <c r="L2099" s="80" t="s">
        <v>84</v>
      </c>
      <c r="M2099" s="80" t="s">
        <v>84</v>
      </c>
      <c r="N2099" s="80" t="s">
        <v>84</v>
      </c>
      <c r="O2099" s="80" t="s">
        <v>84</v>
      </c>
      <c r="P2099" s="80"/>
      <c r="Q2099" s="80" t="s">
        <v>84</v>
      </c>
      <c r="R2099" s="80" t="s">
        <v>84</v>
      </c>
    </row>
    <row r="2100" spans="1:18" ht="20" x14ac:dyDescent="0.2">
      <c r="A2100" s="80" t="s">
        <v>4128</v>
      </c>
      <c r="B2100" s="80" t="s">
        <v>4315</v>
      </c>
      <c r="C2100" s="80" t="s">
        <v>9722</v>
      </c>
      <c r="D2100" s="80" t="s">
        <v>84</v>
      </c>
      <c r="E2100" s="80" t="s">
        <v>84</v>
      </c>
      <c r="F2100" s="80"/>
      <c r="G2100" s="80" t="s">
        <v>84</v>
      </c>
      <c r="H2100" s="80" t="s">
        <v>84</v>
      </c>
      <c r="I2100" s="80" t="s">
        <v>84</v>
      </c>
      <c r="J2100" s="80" t="s">
        <v>84</v>
      </c>
      <c r="K2100" s="80" t="s">
        <v>84</v>
      </c>
      <c r="L2100" s="80" t="s">
        <v>84</v>
      </c>
      <c r="M2100" s="80" t="s">
        <v>84</v>
      </c>
      <c r="N2100" s="80" t="s">
        <v>84</v>
      </c>
      <c r="O2100" s="80" t="s">
        <v>84</v>
      </c>
      <c r="P2100" s="80"/>
      <c r="Q2100" s="80" t="s">
        <v>84</v>
      </c>
      <c r="R2100" s="80" t="s">
        <v>84</v>
      </c>
    </row>
    <row r="2101" spans="1:18" ht="20" x14ac:dyDescent="0.2">
      <c r="A2101" s="80" t="s">
        <v>4542</v>
      </c>
      <c r="B2101" s="80" t="s">
        <v>4543</v>
      </c>
      <c r="C2101" s="80" t="s">
        <v>9680</v>
      </c>
      <c r="D2101" s="80" t="s">
        <v>9680</v>
      </c>
      <c r="E2101" s="80" t="s">
        <v>9680</v>
      </c>
      <c r="F2101" s="80"/>
      <c r="G2101" s="80" t="s">
        <v>9680</v>
      </c>
      <c r="H2101" s="80" t="s">
        <v>9680</v>
      </c>
      <c r="I2101" s="80" t="s">
        <v>9680</v>
      </c>
      <c r="J2101" s="80" t="s">
        <v>84</v>
      </c>
      <c r="K2101" s="80" t="s">
        <v>9680</v>
      </c>
      <c r="L2101" s="80" t="s">
        <v>9680</v>
      </c>
      <c r="M2101" s="80" t="s">
        <v>84</v>
      </c>
      <c r="N2101" s="80" t="s">
        <v>9680</v>
      </c>
      <c r="O2101" s="80" t="s">
        <v>84</v>
      </c>
      <c r="P2101" s="80"/>
      <c r="Q2101" s="80" t="s">
        <v>84</v>
      </c>
      <c r="R2101" s="80" t="s">
        <v>84</v>
      </c>
    </row>
    <row r="2102" spans="1:18" ht="20" x14ac:dyDescent="0.2">
      <c r="A2102" s="80" t="s">
        <v>4548</v>
      </c>
      <c r="B2102" s="80" t="s">
        <v>4549</v>
      </c>
      <c r="C2102" s="80" t="s">
        <v>9680</v>
      </c>
      <c r="D2102" s="80" t="s">
        <v>84</v>
      </c>
      <c r="E2102" s="80" t="s">
        <v>84</v>
      </c>
      <c r="F2102" s="80"/>
      <c r="G2102" s="80" t="s">
        <v>84</v>
      </c>
      <c r="H2102" s="80" t="s">
        <v>9680</v>
      </c>
      <c r="I2102" s="80" t="s">
        <v>84</v>
      </c>
      <c r="J2102" s="80" t="s">
        <v>84</v>
      </c>
      <c r="K2102" s="80" t="s">
        <v>84</v>
      </c>
      <c r="L2102" s="80" t="s">
        <v>84</v>
      </c>
      <c r="M2102" s="80" t="s">
        <v>84</v>
      </c>
      <c r="N2102" s="80" t="s">
        <v>84</v>
      </c>
      <c r="O2102" s="80" t="s">
        <v>84</v>
      </c>
      <c r="P2102" s="80"/>
      <c r="Q2102" s="80" t="s">
        <v>84</v>
      </c>
      <c r="R2102" s="80" t="s">
        <v>84</v>
      </c>
    </row>
    <row r="2103" spans="1:18" ht="20" x14ac:dyDescent="0.2">
      <c r="A2103" s="80" t="s">
        <v>4550</v>
      </c>
      <c r="B2103" s="80" t="s">
        <v>4551</v>
      </c>
      <c r="C2103" s="80" t="s">
        <v>84</v>
      </c>
      <c r="D2103" s="80" t="s">
        <v>84</v>
      </c>
      <c r="E2103" s="80" t="s">
        <v>84</v>
      </c>
      <c r="F2103" s="80"/>
      <c r="G2103" s="80" t="s">
        <v>84</v>
      </c>
      <c r="H2103" s="80" t="s">
        <v>84</v>
      </c>
      <c r="I2103" s="80" t="s">
        <v>84</v>
      </c>
      <c r="J2103" s="80" t="s">
        <v>84</v>
      </c>
      <c r="K2103" s="80" t="s">
        <v>84</v>
      </c>
      <c r="L2103" s="80" t="s">
        <v>84</v>
      </c>
      <c r="M2103" s="80" t="s">
        <v>84</v>
      </c>
      <c r="N2103" s="80" t="s">
        <v>84</v>
      </c>
      <c r="O2103" s="80" t="s">
        <v>84</v>
      </c>
      <c r="P2103" s="80"/>
      <c r="Q2103" s="80" t="s">
        <v>84</v>
      </c>
      <c r="R2103" s="80" t="s">
        <v>84</v>
      </c>
    </row>
    <row r="2104" spans="1:18" ht="20" x14ac:dyDescent="0.2">
      <c r="A2104" s="80" t="s">
        <v>4552</v>
      </c>
      <c r="B2104" s="80" t="s">
        <v>10420</v>
      </c>
      <c r="C2104" s="80" t="s">
        <v>9680</v>
      </c>
      <c r="D2104" s="80" t="s">
        <v>9680</v>
      </c>
      <c r="E2104" s="80" t="s">
        <v>84</v>
      </c>
      <c r="F2104" s="80"/>
      <c r="G2104" s="80" t="s">
        <v>9680</v>
      </c>
      <c r="H2104" s="80" t="s">
        <v>9680</v>
      </c>
      <c r="I2104" s="80" t="s">
        <v>9680</v>
      </c>
      <c r="J2104" s="80" t="s">
        <v>9680</v>
      </c>
      <c r="K2104" s="80" t="s">
        <v>9680</v>
      </c>
      <c r="L2104" s="80" t="s">
        <v>9680</v>
      </c>
      <c r="M2104" s="80" t="s">
        <v>9680</v>
      </c>
      <c r="N2104" s="80" t="s">
        <v>84</v>
      </c>
      <c r="O2104" s="80" t="s">
        <v>9680</v>
      </c>
      <c r="P2104" s="80"/>
      <c r="Q2104" s="80" t="s">
        <v>9680</v>
      </c>
      <c r="R2104" s="80" t="s">
        <v>9680</v>
      </c>
    </row>
    <row r="2105" spans="1:18" ht="20" x14ac:dyDescent="0.2">
      <c r="A2105" s="80" t="s">
        <v>4552</v>
      </c>
      <c r="B2105" s="80" t="s">
        <v>4553</v>
      </c>
      <c r="C2105" s="80" t="s">
        <v>9680</v>
      </c>
      <c r="D2105" s="80" t="s">
        <v>9680</v>
      </c>
      <c r="E2105" s="80" t="s">
        <v>84</v>
      </c>
      <c r="F2105" s="80"/>
      <c r="G2105" s="80" t="s">
        <v>9680</v>
      </c>
      <c r="H2105" s="80" t="s">
        <v>9680</v>
      </c>
      <c r="I2105" s="80" t="s">
        <v>9680</v>
      </c>
      <c r="J2105" s="80" t="s">
        <v>9680</v>
      </c>
      <c r="K2105" s="80" t="s">
        <v>9680</v>
      </c>
      <c r="L2105" s="80" t="s">
        <v>9680</v>
      </c>
      <c r="M2105" s="80" t="s">
        <v>9680</v>
      </c>
      <c r="N2105" s="80" t="s">
        <v>84</v>
      </c>
      <c r="O2105" s="80" t="s">
        <v>9680</v>
      </c>
      <c r="P2105" s="80"/>
      <c r="Q2105" s="80" t="s">
        <v>9680</v>
      </c>
      <c r="R2105" s="80" t="s">
        <v>9680</v>
      </c>
    </row>
    <row r="2106" spans="1:18" ht="20" x14ac:dyDescent="0.2">
      <c r="A2106" s="80" t="s">
        <v>4554</v>
      </c>
      <c r="B2106" s="80" t="s">
        <v>4555</v>
      </c>
      <c r="C2106" s="80" t="s">
        <v>9680</v>
      </c>
      <c r="D2106" s="80" t="s">
        <v>9680</v>
      </c>
      <c r="E2106" s="80" t="s">
        <v>9680</v>
      </c>
      <c r="F2106" s="80"/>
      <c r="G2106" s="80" t="s">
        <v>9680</v>
      </c>
      <c r="H2106" s="80" t="s">
        <v>9680</v>
      </c>
      <c r="I2106" s="80" t="s">
        <v>9680</v>
      </c>
      <c r="J2106" s="80" t="s">
        <v>84</v>
      </c>
      <c r="K2106" s="80" t="s">
        <v>9680</v>
      </c>
      <c r="L2106" s="80" t="s">
        <v>9680</v>
      </c>
      <c r="M2106" s="80" t="s">
        <v>9680</v>
      </c>
      <c r="N2106" s="80" t="s">
        <v>9680</v>
      </c>
      <c r="O2106" s="80" t="s">
        <v>9680</v>
      </c>
      <c r="P2106" s="80"/>
      <c r="Q2106" s="80" t="s">
        <v>9680</v>
      </c>
      <c r="R2106" s="80" t="s">
        <v>9680</v>
      </c>
    </row>
    <row r="2107" spans="1:18" ht="20" x14ac:dyDescent="0.2">
      <c r="A2107" s="80" t="s">
        <v>4556</v>
      </c>
      <c r="B2107" s="80" t="s">
        <v>4557</v>
      </c>
      <c r="C2107" s="80" t="s">
        <v>9680</v>
      </c>
      <c r="D2107" s="80" t="s">
        <v>9680</v>
      </c>
      <c r="E2107" s="80" t="s">
        <v>9680</v>
      </c>
      <c r="F2107" s="80"/>
      <c r="G2107" s="80" t="s">
        <v>9680</v>
      </c>
      <c r="H2107" s="80" t="s">
        <v>9680</v>
      </c>
      <c r="I2107" s="80" t="s">
        <v>9680</v>
      </c>
      <c r="J2107" s="80" t="s">
        <v>84</v>
      </c>
      <c r="K2107" s="80" t="s">
        <v>9680</v>
      </c>
      <c r="L2107" s="80" t="s">
        <v>9680</v>
      </c>
      <c r="M2107" s="80" t="s">
        <v>9680</v>
      </c>
      <c r="N2107" s="80" t="s">
        <v>9680</v>
      </c>
      <c r="O2107" s="80" t="s">
        <v>9680</v>
      </c>
      <c r="P2107" s="80"/>
      <c r="Q2107" s="80" t="s">
        <v>9680</v>
      </c>
      <c r="R2107" s="80" t="s">
        <v>9680</v>
      </c>
    </row>
    <row r="2108" spans="1:18" ht="20" x14ac:dyDescent="0.2">
      <c r="A2108" s="80" t="s">
        <v>4558</v>
      </c>
      <c r="B2108" s="80" t="s">
        <v>4559</v>
      </c>
      <c r="C2108" s="80" t="s">
        <v>9680</v>
      </c>
      <c r="D2108" s="80" t="s">
        <v>9680</v>
      </c>
      <c r="E2108" s="80" t="s">
        <v>84</v>
      </c>
      <c r="F2108" s="80"/>
      <c r="G2108" s="80" t="s">
        <v>9680</v>
      </c>
      <c r="H2108" s="80" t="s">
        <v>84</v>
      </c>
      <c r="I2108" s="80" t="s">
        <v>9680</v>
      </c>
      <c r="J2108" s="80" t="s">
        <v>84</v>
      </c>
      <c r="K2108" s="80" t="s">
        <v>9680</v>
      </c>
      <c r="L2108" s="80" t="s">
        <v>9680</v>
      </c>
      <c r="M2108" s="80" t="s">
        <v>9680</v>
      </c>
      <c r="N2108" s="80" t="s">
        <v>84</v>
      </c>
      <c r="O2108" s="80" t="s">
        <v>9680</v>
      </c>
      <c r="P2108" s="80"/>
      <c r="Q2108" s="80" t="s">
        <v>9680</v>
      </c>
      <c r="R2108" s="80" t="s">
        <v>9680</v>
      </c>
    </row>
    <row r="2109" spans="1:18" ht="20" x14ac:dyDescent="0.2">
      <c r="A2109" s="80" t="s">
        <v>4457</v>
      </c>
      <c r="B2109" s="80" t="s">
        <v>10421</v>
      </c>
      <c r="C2109" s="80" t="s">
        <v>9680</v>
      </c>
      <c r="D2109" s="80" t="s">
        <v>9680</v>
      </c>
      <c r="E2109" s="80" t="s">
        <v>9680</v>
      </c>
      <c r="F2109" s="80"/>
      <c r="G2109" s="80" t="s">
        <v>9680</v>
      </c>
      <c r="H2109" s="80" t="s">
        <v>9680</v>
      </c>
      <c r="I2109" s="80" t="s">
        <v>9680</v>
      </c>
      <c r="J2109" s="80" t="s">
        <v>9680</v>
      </c>
      <c r="K2109" s="80" t="s">
        <v>9680</v>
      </c>
      <c r="L2109" s="80" t="s">
        <v>9680</v>
      </c>
      <c r="M2109" s="80" t="s">
        <v>9680</v>
      </c>
      <c r="N2109" s="80" t="s">
        <v>9680</v>
      </c>
      <c r="O2109" s="80" t="s">
        <v>9680</v>
      </c>
      <c r="P2109" s="80"/>
      <c r="Q2109" s="80" t="s">
        <v>9680</v>
      </c>
      <c r="R2109" s="80" t="s">
        <v>9680</v>
      </c>
    </row>
    <row r="2110" spans="1:18" ht="20" x14ac:dyDescent="0.2">
      <c r="A2110" s="80" t="s">
        <v>4457</v>
      </c>
      <c r="B2110" s="80" t="s">
        <v>4458</v>
      </c>
      <c r="C2110" s="80" t="s">
        <v>9680</v>
      </c>
      <c r="D2110" s="80" t="s">
        <v>9680</v>
      </c>
      <c r="E2110" s="80" t="s">
        <v>9680</v>
      </c>
      <c r="F2110" s="80"/>
      <c r="G2110" s="80" t="s">
        <v>9680</v>
      </c>
      <c r="H2110" s="80" t="s">
        <v>9680</v>
      </c>
      <c r="I2110" s="80" t="s">
        <v>9680</v>
      </c>
      <c r="J2110" s="80" t="s">
        <v>9680</v>
      </c>
      <c r="K2110" s="80" t="s">
        <v>9680</v>
      </c>
      <c r="L2110" s="80" t="s">
        <v>9680</v>
      </c>
      <c r="M2110" s="80" t="s">
        <v>9680</v>
      </c>
      <c r="N2110" s="80" t="s">
        <v>9680</v>
      </c>
      <c r="O2110" s="80" t="s">
        <v>9680</v>
      </c>
      <c r="P2110" s="80"/>
      <c r="Q2110" s="80" t="s">
        <v>9680</v>
      </c>
      <c r="R2110" s="80" t="s">
        <v>9680</v>
      </c>
    </row>
    <row r="2111" spans="1:18" ht="20" x14ac:dyDescent="0.2">
      <c r="A2111" s="80" t="s">
        <v>4459</v>
      </c>
      <c r="B2111" s="80" t="s">
        <v>4460</v>
      </c>
      <c r="C2111" s="80" t="s">
        <v>9680</v>
      </c>
      <c r="D2111" s="80" t="s">
        <v>9680</v>
      </c>
      <c r="E2111" s="80" t="s">
        <v>9680</v>
      </c>
      <c r="F2111" s="80"/>
      <c r="G2111" s="80" t="s">
        <v>9680</v>
      </c>
      <c r="H2111" s="80" t="s">
        <v>9680</v>
      </c>
      <c r="I2111" s="80" t="s">
        <v>9680</v>
      </c>
      <c r="J2111" s="80" t="s">
        <v>9680</v>
      </c>
      <c r="K2111" s="80" t="s">
        <v>9680</v>
      </c>
      <c r="L2111" s="80" t="s">
        <v>9680</v>
      </c>
      <c r="M2111" s="80" t="s">
        <v>9680</v>
      </c>
      <c r="N2111" s="80" t="s">
        <v>9680</v>
      </c>
      <c r="O2111" s="80" t="s">
        <v>9680</v>
      </c>
      <c r="P2111" s="80"/>
      <c r="Q2111" s="80" t="s">
        <v>9680</v>
      </c>
      <c r="R2111" s="80" t="s">
        <v>9680</v>
      </c>
    </row>
    <row r="2112" spans="1:18" ht="20" x14ac:dyDescent="0.2">
      <c r="A2112" s="80" t="s">
        <v>4433</v>
      </c>
      <c r="B2112" s="80" t="s">
        <v>4434</v>
      </c>
      <c r="C2112" s="80" t="s">
        <v>84</v>
      </c>
      <c r="D2112" s="80" t="s">
        <v>84</v>
      </c>
      <c r="E2112" s="80" t="s">
        <v>84</v>
      </c>
      <c r="F2112" s="80"/>
      <c r="G2112" s="80" t="s">
        <v>84</v>
      </c>
      <c r="H2112" s="80" t="s">
        <v>84</v>
      </c>
      <c r="I2112" s="80" t="s">
        <v>84</v>
      </c>
      <c r="J2112" s="80" t="s">
        <v>84</v>
      </c>
      <c r="K2112" s="80" t="s">
        <v>84</v>
      </c>
      <c r="L2112" s="80" t="s">
        <v>84</v>
      </c>
      <c r="M2112" s="80" t="s">
        <v>84</v>
      </c>
      <c r="N2112" s="80" t="s">
        <v>84</v>
      </c>
      <c r="O2112" s="80" t="s">
        <v>84</v>
      </c>
      <c r="P2112" s="80"/>
      <c r="Q2112" s="80" t="s">
        <v>84</v>
      </c>
      <c r="R2112" s="80" t="s">
        <v>84</v>
      </c>
    </row>
    <row r="2113" spans="1:18" ht="20" x14ac:dyDescent="0.2">
      <c r="A2113" s="80" t="s">
        <v>4433</v>
      </c>
      <c r="B2113" s="80" t="s">
        <v>10422</v>
      </c>
      <c r="C2113" s="80" t="s">
        <v>84</v>
      </c>
      <c r="D2113" s="80" t="s">
        <v>84</v>
      </c>
      <c r="E2113" s="80" t="s">
        <v>84</v>
      </c>
      <c r="F2113" s="80"/>
      <c r="G2113" s="80" t="s">
        <v>84</v>
      </c>
      <c r="H2113" s="80" t="s">
        <v>84</v>
      </c>
      <c r="I2113" s="80" t="s">
        <v>84</v>
      </c>
      <c r="J2113" s="80" t="s">
        <v>84</v>
      </c>
      <c r="K2113" s="80" t="s">
        <v>84</v>
      </c>
      <c r="L2113" s="80" t="s">
        <v>84</v>
      </c>
      <c r="M2113" s="80" t="s">
        <v>84</v>
      </c>
      <c r="N2113" s="80" t="s">
        <v>84</v>
      </c>
      <c r="O2113" s="80" t="s">
        <v>84</v>
      </c>
      <c r="P2113" s="80"/>
      <c r="Q2113" s="80" t="s">
        <v>84</v>
      </c>
      <c r="R2113" s="80" t="s">
        <v>84</v>
      </c>
    </row>
    <row r="2114" spans="1:18" ht="20" x14ac:dyDescent="0.2">
      <c r="A2114" s="80" t="s">
        <v>4433</v>
      </c>
      <c r="B2114" s="80" t="s">
        <v>4461</v>
      </c>
      <c r="C2114" s="80" t="s">
        <v>84</v>
      </c>
      <c r="D2114" s="80" t="s">
        <v>84</v>
      </c>
      <c r="E2114" s="80" t="s">
        <v>84</v>
      </c>
      <c r="F2114" s="80"/>
      <c r="G2114" s="80" t="s">
        <v>84</v>
      </c>
      <c r="H2114" s="80" t="s">
        <v>84</v>
      </c>
      <c r="I2114" s="80" t="s">
        <v>84</v>
      </c>
      <c r="J2114" s="80" t="s">
        <v>84</v>
      </c>
      <c r="K2114" s="80" t="s">
        <v>84</v>
      </c>
      <c r="L2114" s="80" t="s">
        <v>84</v>
      </c>
      <c r="M2114" s="80" t="s">
        <v>84</v>
      </c>
      <c r="N2114" s="80" t="s">
        <v>84</v>
      </c>
      <c r="O2114" s="80" t="s">
        <v>84</v>
      </c>
      <c r="P2114" s="80"/>
      <c r="Q2114" s="80" t="s">
        <v>84</v>
      </c>
      <c r="R2114" s="80" t="s">
        <v>84</v>
      </c>
    </row>
    <row r="2115" spans="1:18" ht="20" x14ac:dyDescent="0.2">
      <c r="A2115" s="80" t="s">
        <v>4462</v>
      </c>
      <c r="B2115" s="80" t="s">
        <v>10423</v>
      </c>
      <c r="C2115" s="80" t="s">
        <v>9680</v>
      </c>
      <c r="D2115" s="80" t="s">
        <v>9680</v>
      </c>
      <c r="E2115" s="80" t="s">
        <v>84</v>
      </c>
      <c r="F2115" s="80"/>
      <c r="G2115" s="80" t="s">
        <v>84</v>
      </c>
      <c r="H2115" s="80" t="s">
        <v>84</v>
      </c>
      <c r="I2115" s="80" t="s">
        <v>9680</v>
      </c>
      <c r="J2115" s="80" t="s">
        <v>84</v>
      </c>
      <c r="K2115" s="80" t="s">
        <v>9680</v>
      </c>
      <c r="L2115" s="80" t="s">
        <v>9680</v>
      </c>
      <c r="M2115" s="80" t="s">
        <v>9680</v>
      </c>
      <c r="N2115" s="80" t="s">
        <v>84</v>
      </c>
      <c r="O2115" s="80" t="s">
        <v>9680</v>
      </c>
      <c r="P2115" s="80"/>
      <c r="Q2115" s="80" t="s">
        <v>9680</v>
      </c>
      <c r="R2115" s="80" t="s">
        <v>9680</v>
      </c>
    </row>
    <row r="2116" spans="1:18" ht="20" x14ac:dyDescent="0.2">
      <c r="A2116" s="80" t="s">
        <v>4462</v>
      </c>
      <c r="B2116" s="80" t="s">
        <v>4463</v>
      </c>
      <c r="C2116" s="80" t="s">
        <v>9680</v>
      </c>
      <c r="D2116" s="80" t="s">
        <v>9680</v>
      </c>
      <c r="E2116" s="80" t="s">
        <v>84</v>
      </c>
      <c r="F2116" s="80"/>
      <c r="G2116" s="80" t="s">
        <v>84</v>
      </c>
      <c r="H2116" s="80" t="s">
        <v>84</v>
      </c>
      <c r="I2116" s="80" t="s">
        <v>9680</v>
      </c>
      <c r="J2116" s="80" t="s">
        <v>84</v>
      </c>
      <c r="K2116" s="80" t="s">
        <v>9680</v>
      </c>
      <c r="L2116" s="80" t="s">
        <v>9680</v>
      </c>
      <c r="M2116" s="80" t="s">
        <v>9680</v>
      </c>
      <c r="N2116" s="80" t="s">
        <v>84</v>
      </c>
      <c r="O2116" s="80" t="s">
        <v>9680</v>
      </c>
      <c r="P2116" s="80"/>
      <c r="Q2116" s="80" t="s">
        <v>9680</v>
      </c>
      <c r="R2116" s="80" t="s">
        <v>9680</v>
      </c>
    </row>
    <row r="2117" spans="1:18" ht="20" x14ac:dyDescent="0.2">
      <c r="A2117" s="80" t="s">
        <v>4464</v>
      </c>
      <c r="B2117" s="80" t="s">
        <v>4465</v>
      </c>
      <c r="C2117" s="80" t="s">
        <v>9722</v>
      </c>
      <c r="D2117" s="80" t="s">
        <v>9722</v>
      </c>
      <c r="E2117" s="80" t="s">
        <v>84</v>
      </c>
      <c r="F2117" s="80"/>
      <c r="G2117" s="80" t="s">
        <v>9722</v>
      </c>
      <c r="H2117" s="80" t="s">
        <v>84</v>
      </c>
      <c r="I2117" s="80" t="s">
        <v>9722</v>
      </c>
      <c r="J2117" s="80" t="s">
        <v>84</v>
      </c>
      <c r="K2117" s="80" t="s">
        <v>9722</v>
      </c>
      <c r="L2117" s="80" t="s">
        <v>9722</v>
      </c>
      <c r="M2117" s="80" t="s">
        <v>9722</v>
      </c>
      <c r="N2117" s="80" t="s">
        <v>84</v>
      </c>
      <c r="O2117" s="80" t="s">
        <v>9722</v>
      </c>
      <c r="P2117" s="80"/>
      <c r="Q2117" s="80" t="s">
        <v>9722</v>
      </c>
      <c r="R2117" s="80" t="s">
        <v>9722</v>
      </c>
    </row>
    <row r="2118" spans="1:18" ht="20" x14ac:dyDescent="0.2">
      <c r="A2118" s="80" t="s">
        <v>3732</v>
      </c>
      <c r="B2118" s="80" t="s">
        <v>3733</v>
      </c>
      <c r="C2118" s="80" t="s">
        <v>84</v>
      </c>
      <c r="D2118" s="80" t="s">
        <v>84</v>
      </c>
      <c r="E2118" s="80" t="s">
        <v>84</v>
      </c>
      <c r="F2118" s="80"/>
      <c r="G2118" s="80" t="s">
        <v>84</v>
      </c>
      <c r="H2118" s="80" t="s">
        <v>84</v>
      </c>
      <c r="I2118" s="80" t="s">
        <v>84</v>
      </c>
      <c r="J2118" s="80" t="s">
        <v>84</v>
      </c>
      <c r="K2118" s="80" t="s">
        <v>84</v>
      </c>
      <c r="L2118" s="80" t="s">
        <v>84</v>
      </c>
      <c r="M2118" s="80" t="s">
        <v>84</v>
      </c>
      <c r="N2118" s="80" t="s">
        <v>84</v>
      </c>
      <c r="O2118" s="80" t="s">
        <v>84</v>
      </c>
      <c r="P2118" s="80"/>
      <c r="Q2118" s="80" t="s">
        <v>84</v>
      </c>
      <c r="R2118" s="80" t="s">
        <v>84</v>
      </c>
    </row>
    <row r="2119" spans="1:18" ht="20" x14ac:dyDescent="0.2">
      <c r="A2119" s="80" t="s">
        <v>4423</v>
      </c>
      <c r="B2119" s="80" t="s">
        <v>4424</v>
      </c>
      <c r="C2119" s="80" t="s">
        <v>9680</v>
      </c>
      <c r="D2119" s="80" t="s">
        <v>9680</v>
      </c>
      <c r="E2119" s="80" t="s">
        <v>9680</v>
      </c>
      <c r="F2119" s="80"/>
      <c r="G2119" s="80" t="s">
        <v>9680</v>
      </c>
      <c r="H2119" s="80" t="s">
        <v>9680</v>
      </c>
      <c r="I2119" s="80" t="s">
        <v>9680</v>
      </c>
      <c r="J2119" s="80" t="s">
        <v>9680</v>
      </c>
      <c r="K2119" s="80" t="s">
        <v>9680</v>
      </c>
      <c r="L2119" s="80" t="s">
        <v>9680</v>
      </c>
      <c r="M2119" s="80" t="s">
        <v>9680</v>
      </c>
      <c r="N2119" s="80" t="s">
        <v>9680</v>
      </c>
      <c r="O2119" s="80" t="s">
        <v>9680</v>
      </c>
      <c r="P2119" s="80"/>
      <c r="Q2119" s="80" t="s">
        <v>9680</v>
      </c>
      <c r="R2119" s="80" t="s">
        <v>9680</v>
      </c>
    </row>
    <row r="2120" spans="1:18" ht="20" x14ac:dyDescent="0.2">
      <c r="A2120" s="80" t="s">
        <v>4423</v>
      </c>
      <c r="B2120" s="80" t="s">
        <v>4466</v>
      </c>
      <c r="C2120" s="80" t="s">
        <v>9680</v>
      </c>
      <c r="D2120" s="80" t="s">
        <v>9680</v>
      </c>
      <c r="E2120" s="80" t="s">
        <v>9680</v>
      </c>
      <c r="F2120" s="80"/>
      <c r="G2120" s="80" t="s">
        <v>9680</v>
      </c>
      <c r="H2120" s="80" t="s">
        <v>9680</v>
      </c>
      <c r="I2120" s="80" t="s">
        <v>9680</v>
      </c>
      <c r="J2120" s="80" t="s">
        <v>9680</v>
      </c>
      <c r="K2120" s="80" t="s">
        <v>9680</v>
      </c>
      <c r="L2120" s="80" t="s">
        <v>9680</v>
      </c>
      <c r="M2120" s="80" t="s">
        <v>9680</v>
      </c>
      <c r="N2120" s="80" t="s">
        <v>9680</v>
      </c>
      <c r="O2120" s="80" t="s">
        <v>9680</v>
      </c>
      <c r="P2120" s="80"/>
      <c r="Q2120" s="80" t="s">
        <v>9680</v>
      </c>
      <c r="R2120" s="80" t="s">
        <v>9680</v>
      </c>
    </row>
    <row r="2121" spans="1:18" ht="20" x14ac:dyDescent="0.2">
      <c r="A2121" s="80" t="s">
        <v>4467</v>
      </c>
      <c r="B2121" s="80" t="s">
        <v>4468</v>
      </c>
      <c r="C2121" s="80" t="s">
        <v>84</v>
      </c>
      <c r="D2121" s="80" t="s">
        <v>84</v>
      </c>
      <c r="E2121" s="80" t="s">
        <v>84</v>
      </c>
      <c r="F2121" s="80"/>
      <c r="G2121" s="80" t="s">
        <v>84</v>
      </c>
      <c r="H2121" s="80" t="s">
        <v>84</v>
      </c>
      <c r="I2121" s="80" t="s">
        <v>84</v>
      </c>
      <c r="J2121" s="80" t="s">
        <v>84</v>
      </c>
      <c r="K2121" s="80" t="s">
        <v>84</v>
      </c>
      <c r="L2121" s="80" t="s">
        <v>84</v>
      </c>
      <c r="M2121" s="80" t="s">
        <v>84</v>
      </c>
      <c r="N2121" s="80" t="s">
        <v>84</v>
      </c>
      <c r="O2121" s="80" t="s">
        <v>84</v>
      </c>
      <c r="P2121" s="80"/>
      <c r="Q2121" s="80" t="s">
        <v>84</v>
      </c>
      <c r="R2121" s="80" t="s">
        <v>84</v>
      </c>
    </row>
    <row r="2122" spans="1:18" ht="20" x14ac:dyDescent="0.2">
      <c r="A2122" s="80" t="s">
        <v>4469</v>
      </c>
      <c r="B2122" s="80" t="s">
        <v>4470</v>
      </c>
      <c r="C2122" s="80" t="s">
        <v>9722</v>
      </c>
      <c r="D2122" s="80" t="s">
        <v>9722</v>
      </c>
      <c r="E2122" s="80" t="s">
        <v>84</v>
      </c>
      <c r="F2122" s="80"/>
      <c r="G2122" s="80" t="s">
        <v>84</v>
      </c>
      <c r="H2122" s="80" t="s">
        <v>9722</v>
      </c>
      <c r="I2122" s="80" t="s">
        <v>9722</v>
      </c>
      <c r="J2122" s="80" t="s">
        <v>84</v>
      </c>
      <c r="K2122" s="80" t="s">
        <v>9722</v>
      </c>
      <c r="L2122" s="80" t="s">
        <v>9722</v>
      </c>
      <c r="M2122" s="80" t="s">
        <v>9722</v>
      </c>
      <c r="N2122" s="80" t="s">
        <v>84</v>
      </c>
      <c r="O2122" s="80" t="s">
        <v>9722</v>
      </c>
      <c r="P2122" s="80"/>
      <c r="Q2122" s="80" t="s">
        <v>9722</v>
      </c>
      <c r="R2122" s="80" t="s">
        <v>9722</v>
      </c>
    </row>
    <row r="2123" spans="1:18" ht="20" x14ac:dyDescent="0.2">
      <c r="A2123" s="80" t="s">
        <v>4566</v>
      </c>
      <c r="B2123" s="80" t="s">
        <v>4567</v>
      </c>
      <c r="C2123" s="80" t="s">
        <v>9680</v>
      </c>
      <c r="D2123" s="80" t="s">
        <v>84</v>
      </c>
      <c r="E2123" s="80" t="s">
        <v>84</v>
      </c>
      <c r="F2123" s="80"/>
      <c r="G2123" s="80" t="s">
        <v>84</v>
      </c>
      <c r="H2123" s="80" t="s">
        <v>84</v>
      </c>
      <c r="I2123" s="80" t="s">
        <v>84</v>
      </c>
      <c r="J2123" s="80" t="s">
        <v>84</v>
      </c>
      <c r="K2123" s="80" t="s">
        <v>84</v>
      </c>
      <c r="L2123" s="80" t="s">
        <v>84</v>
      </c>
      <c r="M2123" s="80" t="s">
        <v>84</v>
      </c>
      <c r="N2123" s="80" t="s">
        <v>84</v>
      </c>
      <c r="O2123" s="80" t="s">
        <v>84</v>
      </c>
      <c r="P2123" s="80"/>
      <c r="Q2123" s="80" t="s">
        <v>84</v>
      </c>
      <c r="R2123" s="80" t="s">
        <v>84</v>
      </c>
    </row>
    <row r="2124" spans="1:18" ht="20" x14ac:dyDescent="0.2">
      <c r="A2124" s="80" t="s">
        <v>4568</v>
      </c>
      <c r="B2124" s="80" t="s">
        <v>4569</v>
      </c>
      <c r="C2124" s="80" t="s">
        <v>9680</v>
      </c>
      <c r="D2124" s="80" t="s">
        <v>84</v>
      </c>
      <c r="E2124" s="80" t="s">
        <v>84</v>
      </c>
      <c r="F2124" s="80"/>
      <c r="G2124" s="80" t="s">
        <v>84</v>
      </c>
      <c r="H2124" s="80" t="s">
        <v>84</v>
      </c>
      <c r="I2124" s="80" t="s">
        <v>84</v>
      </c>
      <c r="J2124" s="80" t="s">
        <v>84</v>
      </c>
      <c r="K2124" s="80" t="s">
        <v>84</v>
      </c>
      <c r="L2124" s="80" t="s">
        <v>84</v>
      </c>
      <c r="M2124" s="80" t="s">
        <v>84</v>
      </c>
      <c r="N2124" s="80" t="s">
        <v>84</v>
      </c>
      <c r="O2124" s="80" t="s">
        <v>84</v>
      </c>
      <c r="P2124" s="80"/>
      <c r="Q2124" s="80" t="s">
        <v>84</v>
      </c>
      <c r="R2124" s="80" t="s">
        <v>84</v>
      </c>
    </row>
    <row r="2125" spans="1:18" ht="20" x14ac:dyDescent="0.2">
      <c r="A2125" s="80" t="s">
        <v>4570</v>
      </c>
      <c r="B2125" s="80" t="s">
        <v>4571</v>
      </c>
      <c r="C2125" s="80" t="s">
        <v>9722</v>
      </c>
      <c r="D2125" s="80" t="s">
        <v>84</v>
      </c>
      <c r="E2125" s="80" t="s">
        <v>84</v>
      </c>
      <c r="F2125" s="80"/>
      <c r="G2125" s="80" t="s">
        <v>84</v>
      </c>
      <c r="H2125" s="80" t="s">
        <v>84</v>
      </c>
      <c r="I2125" s="80" t="s">
        <v>84</v>
      </c>
      <c r="J2125" s="80" t="s">
        <v>84</v>
      </c>
      <c r="K2125" s="80" t="s">
        <v>84</v>
      </c>
      <c r="L2125" s="80" t="s">
        <v>84</v>
      </c>
      <c r="M2125" s="80" t="s">
        <v>84</v>
      </c>
      <c r="N2125" s="80" t="s">
        <v>84</v>
      </c>
      <c r="O2125" s="80" t="s">
        <v>84</v>
      </c>
      <c r="P2125" s="80"/>
      <c r="Q2125" s="80" t="s">
        <v>84</v>
      </c>
      <c r="R2125" s="80" t="s">
        <v>84</v>
      </c>
    </row>
    <row r="2126" spans="1:18" ht="20" x14ac:dyDescent="0.2">
      <c r="A2126" s="80" t="s">
        <v>4572</v>
      </c>
      <c r="B2126" s="80" t="s">
        <v>4573</v>
      </c>
      <c r="C2126" s="80" t="s">
        <v>9680</v>
      </c>
      <c r="D2126" s="80" t="s">
        <v>84</v>
      </c>
      <c r="E2126" s="80" t="s">
        <v>84</v>
      </c>
      <c r="F2126" s="80"/>
      <c r="G2126" s="80" t="s">
        <v>84</v>
      </c>
      <c r="H2126" s="80" t="s">
        <v>84</v>
      </c>
      <c r="I2126" s="80" t="s">
        <v>84</v>
      </c>
      <c r="J2126" s="80" t="s">
        <v>84</v>
      </c>
      <c r="K2126" s="80" t="s">
        <v>84</v>
      </c>
      <c r="L2126" s="80" t="s">
        <v>84</v>
      </c>
      <c r="M2126" s="80" t="s">
        <v>84</v>
      </c>
      <c r="N2126" s="80" t="s">
        <v>84</v>
      </c>
      <c r="O2126" s="80" t="s">
        <v>84</v>
      </c>
      <c r="P2126" s="80"/>
      <c r="Q2126" s="80" t="s">
        <v>84</v>
      </c>
      <c r="R2126" s="80" t="s">
        <v>84</v>
      </c>
    </row>
    <row r="2127" spans="1:18" ht="20" x14ac:dyDescent="0.2">
      <c r="A2127" s="80" t="s">
        <v>4574</v>
      </c>
      <c r="B2127" s="80" t="s">
        <v>4575</v>
      </c>
      <c r="C2127" s="80" t="s">
        <v>9680</v>
      </c>
      <c r="D2127" s="80" t="s">
        <v>84</v>
      </c>
      <c r="E2127" s="80" t="s">
        <v>84</v>
      </c>
      <c r="F2127" s="80"/>
      <c r="G2127" s="80" t="s">
        <v>84</v>
      </c>
      <c r="H2127" s="80" t="s">
        <v>84</v>
      </c>
      <c r="I2127" s="80" t="s">
        <v>84</v>
      </c>
      <c r="J2127" s="80" t="s">
        <v>84</v>
      </c>
      <c r="K2127" s="80" t="s">
        <v>84</v>
      </c>
      <c r="L2127" s="80" t="s">
        <v>84</v>
      </c>
      <c r="M2127" s="80" t="s">
        <v>84</v>
      </c>
      <c r="N2127" s="80" t="s">
        <v>84</v>
      </c>
      <c r="O2127" s="80" t="s">
        <v>84</v>
      </c>
      <c r="P2127" s="80"/>
      <c r="Q2127" s="80" t="s">
        <v>84</v>
      </c>
      <c r="R2127" s="80" t="s">
        <v>84</v>
      </c>
    </row>
    <row r="2128" spans="1:18" ht="20" x14ac:dyDescent="0.2">
      <c r="A2128" s="80" t="s">
        <v>4576</v>
      </c>
      <c r="B2128" s="80" t="s">
        <v>4577</v>
      </c>
      <c r="C2128" s="80" t="s">
        <v>9680</v>
      </c>
      <c r="D2128" s="80" t="s">
        <v>84</v>
      </c>
      <c r="E2128" s="80" t="s">
        <v>84</v>
      </c>
      <c r="F2128" s="80"/>
      <c r="G2128" s="80" t="s">
        <v>84</v>
      </c>
      <c r="H2128" s="80" t="s">
        <v>84</v>
      </c>
      <c r="I2128" s="80" t="s">
        <v>84</v>
      </c>
      <c r="J2128" s="80" t="s">
        <v>84</v>
      </c>
      <c r="K2128" s="80" t="s">
        <v>84</v>
      </c>
      <c r="L2128" s="80" t="s">
        <v>84</v>
      </c>
      <c r="M2128" s="80" t="s">
        <v>84</v>
      </c>
      <c r="N2128" s="80" t="s">
        <v>84</v>
      </c>
      <c r="O2128" s="80" t="s">
        <v>84</v>
      </c>
      <c r="P2128" s="80"/>
      <c r="Q2128" s="80" t="s">
        <v>84</v>
      </c>
      <c r="R2128" s="80" t="s">
        <v>84</v>
      </c>
    </row>
    <row r="2129" spans="1:18" ht="20" x14ac:dyDescent="0.2">
      <c r="A2129" s="80" t="s">
        <v>4578</v>
      </c>
      <c r="B2129" s="80" t="s">
        <v>4579</v>
      </c>
      <c r="C2129" s="80" t="s">
        <v>9680</v>
      </c>
      <c r="D2129" s="80" t="s">
        <v>84</v>
      </c>
      <c r="E2129" s="80" t="s">
        <v>84</v>
      </c>
      <c r="F2129" s="80"/>
      <c r="G2129" s="80" t="s">
        <v>84</v>
      </c>
      <c r="H2129" s="80" t="s">
        <v>84</v>
      </c>
      <c r="I2129" s="80" t="s">
        <v>84</v>
      </c>
      <c r="J2129" s="80" t="s">
        <v>84</v>
      </c>
      <c r="K2129" s="80" t="s">
        <v>84</v>
      </c>
      <c r="L2129" s="80" t="s">
        <v>84</v>
      </c>
      <c r="M2129" s="80" t="s">
        <v>84</v>
      </c>
      <c r="N2129" s="80" t="s">
        <v>84</v>
      </c>
      <c r="O2129" s="80" t="s">
        <v>84</v>
      </c>
      <c r="P2129" s="80"/>
      <c r="Q2129" s="80" t="s">
        <v>84</v>
      </c>
      <c r="R2129" s="80" t="s">
        <v>84</v>
      </c>
    </row>
    <row r="2130" spans="1:18" ht="20" x14ac:dyDescent="0.2">
      <c r="A2130" s="80" t="s">
        <v>4580</v>
      </c>
      <c r="B2130" s="80" t="s">
        <v>4581</v>
      </c>
      <c r="C2130" s="80" t="s">
        <v>9680</v>
      </c>
      <c r="D2130" s="80" t="s">
        <v>84</v>
      </c>
      <c r="E2130" s="80" t="s">
        <v>84</v>
      </c>
      <c r="F2130" s="80"/>
      <c r="G2130" s="80" t="s">
        <v>84</v>
      </c>
      <c r="H2130" s="80" t="s">
        <v>84</v>
      </c>
      <c r="I2130" s="80" t="s">
        <v>84</v>
      </c>
      <c r="J2130" s="80" t="s">
        <v>84</v>
      </c>
      <c r="K2130" s="80" t="s">
        <v>84</v>
      </c>
      <c r="L2130" s="80" t="s">
        <v>84</v>
      </c>
      <c r="M2130" s="80" t="s">
        <v>84</v>
      </c>
      <c r="N2130" s="80" t="s">
        <v>84</v>
      </c>
      <c r="O2130" s="80" t="s">
        <v>84</v>
      </c>
      <c r="P2130" s="80"/>
      <c r="Q2130" s="80" t="s">
        <v>84</v>
      </c>
      <c r="R2130" s="80" t="s">
        <v>84</v>
      </c>
    </row>
    <row r="2131" spans="1:18" ht="20" x14ac:dyDescent="0.2">
      <c r="A2131" s="80" t="s">
        <v>4582</v>
      </c>
      <c r="B2131" s="80" t="s">
        <v>4583</v>
      </c>
      <c r="C2131" s="80" t="s">
        <v>9680</v>
      </c>
      <c r="D2131" s="80" t="s">
        <v>84</v>
      </c>
      <c r="E2131" s="80" t="s">
        <v>84</v>
      </c>
      <c r="F2131" s="80"/>
      <c r="G2131" s="80" t="s">
        <v>84</v>
      </c>
      <c r="H2131" s="80" t="s">
        <v>84</v>
      </c>
      <c r="I2131" s="80" t="s">
        <v>84</v>
      </c>
      <c r="J2131" s="80" t="s">
        <v>84</v>
      </c>
      <c r="K2131" s="80" t="s">
        <v>84</v>
      </c>
      <c r="L2131" s="80" t="s">
        <v>84</v>
      </c>
      <c r="M2131" s="80" t="s">
        <v>84</v>
      </c>
      <c r="N2131" s="80" t="s">
        <v>84</v>
      </c>
      <c r="O2131" s="80" t="s">
        <v>84</v>
      </c>
      <c r="P2131" s="80"/>
      <c r="Q2131" s="80" t="s">
        <v>84</v>
      </c>
      <c r="R2131" s="80" t="s">
        <v>84</v>
      </c>
    </row>
    <row r="2132" spans="1:18" ht="20" x14ac:dyDescent="0.2">
      <c r="A2132" s="80" t="s">
        <v>4584</v>
      </c>
      <c r="B2132" s="80" t="s">
        <v>4585</v>
      </c>
      <c r="C2132" s="80" t="s">
        <v>9722</v>
      </c>
      <c r="D2132" s="80" t="s">
        <v>84</v>
      </c>
      <c r="E2132" s="80" t="s">
        <v>84</v>
      </c>
      <c r="F2132" s="80"/>
      <c r="G2132" s="80" t="s">
        <v>84</v>
      </c>
      <c r="H2132" s="80" t="s">
        <v>84</v>
      </c>
      <c r="I2132" s="80" t="s">
        <v>84</v>
      </c>
      <c r="J2132" s="80" t="s">
        <v>84</v>
      </c>
      <c r="K2132" s="80" t="s">
        <v>84</v>
      </c>
      <c r="L2132" s="80" t="s">
        <v>84</v>
      </c>
      <c r="M2132" s="80" t="s">
        <v>84</v>
      </c>
      <c r="N2132" s="80" t="s">
        <v>84</v>
      </c>
      <c r="O2132" s="80" t="s">
        <v>84</v>
      </c>
      <c r="P2132" s="80"/>
      <c r="Q2132" s="80" t="s">
        <v>84</v>
      </c>
      <c r="R2132" s="80" t="s">
        <v>84</v>
      </c>
    </row>
    <row r="2133" spans="1:18" ht="20" x14ac:dyDescent="0.2">
      <c r="A2133" s="80" t="s">
        <v>4586</v>
      </c>
      <c r="B2133" s="80" t="s">
        <v>4587</v>
      </c>
      <c r="C2133" s="80" t="s">
        <v>9680</v>
      </c>
      <c r="D2133" s="80" t="s">
        <v>84</v>
      </c>
      <c r="E2133" s="80" t="s">
        <v>84</v>
      </c>
      <c r="F2133" s="80"/>
      <c r="G2133" s="80" t="s">
        <v>84</v>
      </c>
      <c r="H2133" s="80" t="s">
        <v>84</v>
      </c>
      <c r="I2133" s="80" t="s">
        <v>84</v>
      </c>
      <c r="J2133" s="80" t="s">
        <v>84</v>
      </c>
      <c r="K2133" s="80" t="s">
        <v>84</v>
      </c>
      <c r="L2133" s="80" t="s">
        <v>84</v>
      </c>
      <c r="M2133" s="80" t="s">
        <v>84</v>
      </c>
      <c r="N2133" s="80" t="s">
        <v>84</v>
      </c>
      <c r="O2133" s="80" t="s">
        <v>84</v>
      </c>
      <c r="P2133" s="80"/>
      <c r="Q2133" s="80" t="s">
        <v>84</v>
      </c>
      <c r="R2133" s="80" t="s">
        <v>84</v>
      </c>
    </row>
    <row r="2134" spans="1:18" ht="20" x14ac:dyDescent="0.2">
      <c r="A2134" s="80" t="s">
        <v>4588</v>
      </c>
      <c r="B2134" s="80" t="s">
        <v>4589</v>
      </c>
      <c r="C2134" s="80" t="s">
        <v>9680</v>
      </c>
      <c r="D2134" s="80" t="s">
        <v>84</v>
      </c>
      <c r="E2134" s="80" t="s">
        <v>84</v>
      </c>
      <c r="F2134" s="80"/>
      <c r="G2134" s="80" t="s">
        <v>84</v>
      </c>
      <c r="H2134" s="80" t="s">
        <v>84</v>
      </c>
      <c r="I2134" s="80" t="s">
        <v>84</v>
      </c>
      <c r="J2134" s="80" t="s">
        <v>84</v>
      </c>
      <c r="K2134" s="80" t="s">
        <v>84</v>
      </c>
      <c r="L2134" s="80" t="s">
        <v>84</v>
      </c>
      <c r="M2134" s="80" t="s">
        <v>84</v>
      </c>
      <c r="N2134" s="80" t="s">
        <v>84</v>
      </c>
      <c r="O2134" s="80" t="s">
        <v>84</v>
      </c>
      <c r="P2134" s="80"/>
      <c r="Q2134" s="80" t="s">
        <v>84</v>
      </c>
      <c r="R2134" s="80" t="s">
        <v>84</v>
      </c>
    </row>
    <row r="2135" spans="1:18" ht="20" x14ac:dyDescent="0.2">
      <c r="A2135" s="80" t="s">
        <v>4654</v>
      </c>
      <c r="B2135" s="80" t="s">
        <v>4655</v>
      </c>
      <c r="C2135" s="80" t="s">
        <v>9680</v>
      </c>
      <c r="D2135" s="80" t="s">
        <v>84</v>
      </c>
      <c r="E2135" s="80" t="s">
        <v>84</v>
      </c>
      <c r="F2135" s="80"/>
      <c r="G2135" s="80" t="s">
        <v>84</v>
      </c>
      <c r="H2135" s="80" t="s">
        <v>84</v>
      </c>
      <c r="I2135" s="80" t="s">
        <v>84</v>
      </c>
      <c r="J2135" s="80" t="s">
        <v>84</v>
      </c>
      <c r="K2135" s="80" t="s">
        <v>84</v>
      </c>
      <c r="L2135" s="80" t="s">
        <v>84</v>
      </c>
      <c r="M2135" s="80" t="s">
        <v>9680</v>
      </c>
      <c r="N2135" s="80" t="s">
        <v>84</v>
      </c>
      <c r="O2135" s="80" t="s">
        <v>84</v>
      </c>
      <c r="P2135" s="80"/>
      <c r="Q2135" s="80" t="s">
        <v>84</v>
      </c>
      <c r="R2135" s="80" t="s">
        <v>84</v>
      </c>
    </row>
    <row r="2136" spans="1:18" ht="20" x14ac:dyDescent="0.2">
      <c r="A2136" s="80" t="s">
        <v>4656</v>
      </c>
      <c r="B2136" s="80" t="s">
        <v>4657</v>
      </c>
      <c r="C2136" s="80" t="s">
        <v>9722</v>
      </c>
      <c r="D2136" s="80" t="s">
        <v>84</v>
      </c>
      <c r="E2136" s="80" t="s">
        <v>84</v>
      </c>
      <c r="F2136" s="80"/>
      <c r="G2136" s="80" t="s">
        <v>84</v>
      </c>
      <c r="H2136" s="80" t="s">
        <v>84</v>
      </c>
      <c r="I2136" s="80" t="s">
        <v>84</v>
      </c>
      <c r="J2136" s="80" t="s">
        <v>84</v>
      </c>
      <c r="K2136" s="80" t="s">
        <v>84</v>
      </c>
      <c r="L2136" s="80" t="s">
        <v>84</v>
      </c>
      <c r="M2136" s="80" t="s">
        <v>84</v>
      </c>
      <c r="N2136" s="80" t="s">
        <v>84</v>
      </c>
      <c r="O2136" s="80" t="s">
        <v>84</v>
      </c>
      <c r="P2136" s="80"/>
      <c r="Q2136" s="80" t="s">
        <v>84</v>
      </c>
      <c r="R2136" s="80" t="s">
        <v>84</v>
      </c>
    </row>
    <row r="2137" spans="1:18" ht="20" x14ac:dyDescent="0.2">
      <c r="A2137" s="80" t="s">
        <v>4435</v>
      </c>
      <c r="B2137" s="80" t="s">
        <v>4436</v>
      </c>
      <c r="C2137" s="80" t="s">
        <v>9722</v>
      </c>
      <c r="D2137" s="80" t="s">
        <v>84</v>
      </c>
      <c r="E2137" s="80" t="s">
        <v>84</v>
      </c>
      <c r="F2137" s="80"/>
      <c r="G2137" s="80" t="s">
        <v>84</v>
      </c>
      <c r="H2137" s="80" t="s">
        <v>84</v>
      </c>
      <c r="I2137" s="80" t="s">
        <v>84</v>
      </c>
      <c r="J2137" s="80" t="s">
        <v>84</v>
      </c>
      <c r="K2137" s="80" t="s">
        <v>84</v>
      </c>
      <c r="L2137" s="80" t="s">
        <v>84</v>
      </c>
      <c r="M2137" s="80" t="s">
        <v>84</v>
      </c>
      <c r="N2137" s="80" t="s">
        <v>84</v>
      </c>
      <c r="O2137" s="80" t="s">
        <v>84</v>
      </c>
      <c r="P2137" s="80"/>
      <c r="Q2137" s="80" t="s">
        <v>84</v>
      </c>
      <c r="R2137" s="80" t="s">
        <v>84</v>
      </c>
    </row>
    <row r="2138" spans="1:18" ht="20" x14ac:dyDescent="0.2">
      <c r="A2138" s="80" t="s">
        <v>4435</v>
      </c>
      <c r="B2138" s="80" t="s">
        <v>4658</v>
      </c>
      <c r="C2138" s="80" t="s">
        <v>9722</v>
      </c>
      <c r="D2138" s="80" t="s">
        <v>84</v>
      </c>
      <c r="E2138" s="80" t="s">
        <v>84</v>
      </c>
      <c r="F2138" s="80"/>
      <c r="G2138" s="80" t="s">
        <v>84</v>
      </c>
      <c r="H2138" s="80" t="s">
        <v>84</v>
      </c>
      <c r="I2138" s="80" t="s">
        <v>84</v>
      </c>
      <c r="J2138" s="80" t="s">
        <v>84</v>
      </c>
      <c r="K2138" s="80" t="s">
        <v>84</v>
      </c>
      <c r="L2138" s="80" t="s">
        <v>84</v>
      </c>
      <c r="M2138" s="80" t="s">
        <v>84</v>
      </c>
      <c r="N2138" s="80" t="s">
        <v>84</v>
      </c>
      <c r="O2138" s="80" t="s">
        <v>84</v>
      </c>
      <c r="P2138" s="80"/>
      <c r="Q2138" s="80" t="s">
        <v>84</v>
      </c>
      <c r="R2138" s="80" t="s">
        <v>84</v>
      </c>
    </row>
    <row r="2139" spans="1:18" ht="20" x14ac:dyDescent="0.2">
      <c r="A2139" s="80" t="s">
        <v>4427</v>
      </c>
      <c r="B2139" s="80" t="s">
        <v>4428</v>
      </c>
      <c r="C2139" s="80" t="s">
        <v>9722</v>
      </c>
      <c r="D2139" s="80" t="s">
        <v>84</v>
      </c>
      <c r="E2139" s="80" t="s">
        <v>84</v>
      </c>
      <c r="F2139" s="80"/>
      <c r="G2139" s="80" t="s">
        <v>84</v>
      </c>
      <c r="H2139" s="80" t="s">
        <v>84</v>
      </c>
      <c r="I2139" s="80" t="s">
        <v>84</v>
      </c>
      <c r="J2139" s="80" t="s">
        <v>84</v>
      </c>
      <c r="K2139" s="80" t="s">
        <v>84</v>
      </c>
      <c r="L2139" s="80" t="s">
        <v>84</v>
      </c>
      <c r="M2139" s="80" t="s">
        <v>84</v>
      </c>
      <c r="N2139" s="80" t="s">
        <v>84</v>
      </c>
      <c r="O2139" s="80" t="s">
        <v>84</v>
      </c>
      <c r="P2139" s="80"/>
      <c r="Q2139" s="80" t="s">
        <v>84</v>
      </c>
      <c r="R2139" s="80" t="s">
        <v>84</v>
      </c>
    </row>
    <row r="2140" spans="1:18" ht="20" x14ac:dyDescent="0.2">
      <c r="A2140" s="80" t="s">
        <v>4427</v>
      </c>
      <c r="B2140" s="80" t="s">
        <v>4659</v>
      </c>
      <c r="C2140" s="80" t="s">
        <v>9722</v>
      </c>
      <c r="D2140" s="80" t="s">
        <v>84</v>
      </c>
      <c r="E2140" s="80" t="s">
        <v>84</v>
      </c>
      <c r="F2140" s="80"/>
      <c r="G2140" s="80" t="s">
        <v>84</v>
      </c>
      <c r="H2140" s="80" t="s">
        <v>84</v>
      </c>
      <c r="I2140" s="80" t="s">
        <v>84</v>
      </c>
      <c r="J2140" s="80" t="s">
        <v>84</v>
      </c>
      <c r="K2140" s="80" t="s">
        <v>84</v>
      </c>
      <c r="L2140" s="80" t="s">
        <v>84</v>
      </c>
      <c r="M2140" s="80" t="s">
        <v>84</v>
      </c>
      <c r="N2140" s="80" t="s">
        <v>84</v>
      </c>
      <c r="O2140" s="80" t="s">
        <v>84</v>
      </c>
      <c r="P2140" s="80"/>
      <c r="Q2140" s="80" t="s">
        <v>84</v>
      </c>
      <c r="R2140" s="80" t="s">
        <v>84</v>
      </c>
    </row>
    <row r="2141" spans="1:18" ht="20" x14ac:dyDescent="0.2">
      <c r="A2141" s="80" t="s">
        <v>4590</v>
      </c>
      <c r="B2141" s="80" t="s">
        <v>4591</v>
      </c>
      <c r="C2141" s="80" t="s">
        <v>9680</v>
      </c>
      <c r="D2141" s="80" t="s">
        <v>84</v>
      </c>
      <c r="E2141" s="80" t="s">
        <v>84</v>
      </c>
      <c r="F2141" s="80"/>
      <c r="G2141" s="80" t="s">
        <v>84</v>
      </c>
      <c r="H2141" s="80" t="s">
        <v>84</v>
      </c>
      <c r="I2141" s="80" t="s">
        <v>84</v>
      </c>
      <c r="J2141" s="80" t="s">
        <v>84</v>
      </c>
      <c r="K2141" s="80" t="s">
        <v>84</v>
      </c>
      <c r="L2141" s="80" t="s">
        <v>84</v>
      </c>
      <c r="M2141" s="80" t="s">
        <v>84</v>
      </c>
      <c r="N2141" s="80" t="s">
        <v>84</v>
      </c>
      <c r="O2141" s="80" t="s">
        <v>84</v>
      </c>
      <c r="P2141" s="80"/>
      <c r="Q2141" s="80" t="s">
        <v>84</v>
      </c>
      <c r="R2141" s="80" t="s">
        <v>84</v>
      </c>
    </row>
    <row r="2142" spans="1:18" ht="20" x14ac:dyDescent="0.2">
      <c r="A2142" s="80" t="s">
        <v>4592</v>
      </c>
      <c r="B2142" s="80" t="s">
        <v>4593</v>
      </c>
      <c r="C2142" s="80" t="s">
        <v>9680</v>
      </c>
      <c r="D2142" s="80" t="s">
        <v>84</v>
      </c>
      <c r="E2142" s="80" t="s">
        <v>84</v>
      </c>
      <c r="F2142" s="80"/>
      <c r="G2142" s="80" t="s">
        <v>84</v>
      </c>
      <c r="H2142" s="80" t="s">
        <v>84</v>
      </c>
      <c r="I2142" s="80" t="s">
        <v>84</v>
      </c>
      <c r="J2142" s="80" t="s">
        <v>84</v>
      </c>
      <c r="K2142" s="80" t="s">
        <v>84</v>
      </c>
      <c r="L2142" s="80" t="s">
        <v>84</v>
      </c>
      <c r="M2142" s="80" t="s">
        <v>84</v>
      </c>
      <c r="N2142" s="80" t="s">
        <v>84</v>
      </c>
      <c r="O2142" s="80" t="s">
        <v>84</v>
      </c>
      <c r="P2142" s="80"/>
      <c r="Q2142" s="80" t="s">
        <v>84</v>
      </c>
      <c r="R2142" s="80" t="s">
        <v>84</v>
      </c>
    </row>
    <row r="2143" spans="1:18" ht="20" x14ac:dyDescent="0.2">
      <c r="A2143" s="80" t="s">
        <v>4594</v>
      </c>
      <c r="B2143" s="80" t="s">
        <v>4595</v>
      </c>
      <c r="C2143" s="80" t="s">
        <v>9722</v>
      </c>
      <c r="D2143" s="80" t="s">
        <v>84</v>
      </c>
      <c r="E2143" s="80" t="s">
        <v>84</v>
      </c>
      <c r="F2143" s="80"/>
      <c r="G2143" s="80" t="s">
        <v>84</v>
      </c>
      <c r="H2143" s="80" t="s">
        <v>84</v>
      </c>
      <c r="I2143" s="80" t="s">
        <v>84</v>
      </c>
      <c r="J2143" s="80" t="s">
        <v>84</v>
      </c>
      <c r="K2143" s="80" t="s">
        <v>84</v>
      </c>
      <c r="L2143" s="80" t="s">
        <v>84</v>
      </c>
      <c r="M2143" s="80" t="s">
        <v>84</v>
      </c>
      <c r="N2143" s="80" t="s">
        <v>84</v>
      </c>
      <c r="O2143" s="80" t="s">
        <v>84</v>
      </c>
      <c r="P2143" s="80"/>
      <c r="Q2143" s="80" t="s">
        <v>84</v>
      </c>
      <c r="R2143" s="80" t="s">
        <v>84</v>
      </c>
    </row>
    <row r="2144" spans="1:18" ht="20" x14ac:dyDescent="0.2">
      <c r="A2144" s="80" t="s">
        <v>4596</v>
      </c>
      <c r="B2144" s="80" t="s">
        <v>4597</v>
      </c>
      <c r="C2144" s="80" t="s">
        <v>9680</v>
      </c>
      <c r="D2144" s="80" t="s">
        <v>84</v>
      </c>
      <c r="E2144" s="80" t="s">
        <v>84</v>
      </c>
      <c r="F2144" s="80"/>
      <c r="G2144" s="80" t="s">
        <v>84</v>
      </c>
      <c r="H2144" s="80" t="s">
        <v>84</v>
      </c>
      <c r="I2144" s="80" t="s">
        <v>84</v>
      </c>
      <c r="J2144" s="80" t="s">
        <v>84</v>
      </c>
      <c r="K2144" s="80" t="s">
        <v>84</v>
      </c>
      <c r="L2144" s="80" t="s">
        <v>84</v>
      </c>
      <c r="M2144" s="80" t="s">
        <v>84</v>
      </c>
      <c r="N2144" s="80" t="s">
        <v>84</v>
      </c>
      <c r="O2144" s="80" t="s">
        <v>84</v>
      </c>
      <c r="P2144" s="80"/>
      <c r="Q2144" s="80" t="s">
        <v>84</v>
      </c>
      <c r="R2144" s="80" t="s">
        <v>84</v>
      </c>
    </row>
    <row r="2145" spans="1:18" ht="20" x14ac:dyDescent="0.2">
      <c r="A2145" s="80" t="s">
        <v>4598</v>
      </c>
      <c r="B2145" s="80" t="s">
        <v>4599</v>
      </c>
      <c r="C2145" s="80" t="s">
        <v>9680</v>
      </c>
      <c r="D2145" s="80" t="s">
        <v>9680</v>
      </c>
      <c r="E2145" s="80" t="s">
        <v>9680</v>
      </c>
      <c r="F2145" s="80"/>
      <c r="G2145" s="80" t="s">
        <v>9680</v>
      </c>
      <c r="H2145" s="80" t="s">
        <v>9680</v>
      </c>
      <c r="I2145" s="80" t="s">
        <v>9680</v>
      </c>
      <c r="J2145" s="80" t="s">
        <v>9680</v>
      </c>
      <c r="K2145" s="80" t="s">
        <v>9680</v>
      </c>
      <c r="L2145" s="80" t="s">
        <v>9680</v>
      </c>
      <c r="M2145" s="80" t="s">
        <v>9680</v>
      </c>
      <c r="N2145" s="80" t="s">
        <v>9680</v>
      </c>
      <c r="O2145" s="80" t="s">
        <v>9680</v>
      </c>
      <c r="P2145" s="80"/>
      <c r="Q2145" s="80" t="s">
        <v>9680</v>
      </c>
      <c r="R2145" s="80" t="s">
        <v>9680</v>
      </c>
    </row>
    <row r="2146" spans="1:18" ht="20" x14ac:dyDescent="0.2">
      <c r="A2146" s="80" t="s">
        <v>4600</v>
      </c>
      <c r="B2146" s="80" t="s">
        <v>10424</v>
      </c>
      <c r="C2146" s="80" t="s">
        <v>9680</v>
      </c>
      <c r="D2146" s="80" t="s">
        <v>9680</v>
      </c>
      <c r="E2146" s="80" t="s">
        <v>84</v>
      </c>
      <c r="F2146" s="80"/>
      <c r="G2146" s="80" t="s">
        <v>9680</v>
      </c>
      <c r="H2146" s="80" t="s">
        <v>9680</v>
      </c>
      <c r="I2146" s="80" t="s">
        <v>9680</v>
      </c>
      <c r="J2146" s="80" t="s">
        <v>9680</v>
      </c>
      <c r="K2146" s="80" t="s">
        <v>9680</v>
      </c>
      <c r="L2146" s="80" t="s">
        <v>9680</v>
      </c>
      <c r="M2146" s="80" t="s">
        <v>9680</v>
      </c>
      <c r="N2146" s="80" t="s">
        <v>84</v>
      </c>
      <c r="O2146" s="80" t="s">
        <v>9680</v>
      </c>
      <c r="P2146" s="80"/>
      <c r="Q2146" s="80" t="s">
        <v>9680</v>
      </c>
      <c r="R2146" s="80" t="s">
        <v>9680</v>
      </c>
    </row>
    <row r="2147" spans="1:18" ht="20" x14ac:dyDescent="0.2">
      <c r="A2147" s="80" t="s">
        <v>4600</v>
      </c>
      <c r="B2147" s="80" t="s">
        <v>4601</v>
      </c>
      <c r="C2147" s="80" t="s">
        <v>9680</v>
      </c>
      <c r="D2147" s="80" t="s">
        <v>9680</v>
      </c>
      <c r="E2147" s="80" t="s">
        <v>84</v>
      </c>
      <c r="F2147" s="80"/>
      <c r="G2147" s="80" t="s">
        <v>9680</v>
      </c>
      <c r="H2147" s="80" t="s">
        <v>9680</v>
      </c>
      <c r="I2147" s="80" t="s">
        <v>9680</v>
      </c>
      <c r="J2147" s="80" t="s">
        <v>9680</v>
      </c>
      <c r="K2147" s="80" t="s">
        <v>9680</v>
      </c>
      <c r="L2147" s="80" t="s">
        <v>9680</v>
      </c>
      <c r="M2147" s="80" t="s">
        <v>9680</v>
      </c>
      <c r="N2147" s="80" t="s">
        <v>84</v>
      </c>
      <c r="O2147" s="80" t="s">
        <v>9680</v>
      </c>
      <c r="P2147" s="80"/>
      <c r="Q2147" s="80" t="s">
        <v>9680</v>
      </c>
      <c r="R2147" s="80" t="s">
        <v>9680</v>
      </c>
    </row>
    <row r="2148" spans="1:18" ht="20" x14ac:dyDescent="0.2">
      <c r="A2148" s="80" t="s">
        <v>4602</v>
      </c>
      <c r="B2148" s="80" t="s">
        <v>10425</v>
      </c>
      <c r="C2148" s="80" t="s">
        <v>9680</v>
      </c>
      <c r="D2148" s="80" t="s">
        <v>9680</v>
      </c>
      <c r="E2148" s="80" t="s">
        <v>84</v>
      </c>
      <c r="F2148" s="80"/>
      <c r="G2148" s="80" t="s">
        <v>9680</v>
      </c>
      <c r="H2148" s="80" t="s">
        <v>9680</v>
      </c>
      <c r="I2148" s="80" t="s">
        <v>9680</v>
      </c>
      <c r="J2148" s="80" t="s">
        <v>9680</v>
      </c>
      <c r="K2148" s="80" t="s">
        <v>9680</v>
      </c>
      <c r="L2148" s="80" t="s">
        <v>9680</v>
      </c>
      <c r="M2148" s="80" t="s">
        <v>9680</v>
      </c>
      <c r="N2148" s="80" t="s">
        <v>84</v>
      </c>
      <c r="O2148" s="80" t="s">
        <v>9680</v>
      </c>
      <c r="P2148" s="80"/>
      <c r="Q2148" s="80" t="s">
        <v>9680</v>
      </c>
      <c r="R2148" s="80" t="s">
        <v>9680</v>
      </c>
    </row>
    <row r="2149" spans="1:18" ht="20" x14ac:dyDescent="0.2">
      <c r="A2149" s="80" t="s">
        <v>4602</v>
      </c>
      <c r="B2149" s="80" t="s">
        <v>4603</v>
      </c>
      <c r="C2149" s="80" t="s">
        <v>9680</v>
      </c>
      <c r="D2149" s="80" t="s">
        <v>9680</v>
      </c>
      <c r="E2149" s="80" t="s">
        <v>84</v>
      </c>
      <c r="F2149" s="80"/>
      <c r="G2149" s="80" t="s">
        <v>9680</v>
      </c>
      <c r="H2149" s="80" t="s">
        <v>9680</v>
      </c>
      <c r="I2149" s="80" t="s">
        <v>9680</v>
      </c>
      <c r="J2149" s="80" t="s">
        <v>9680</v>
      </c>
      <c r="K2149" s="80" t="s">
        <v>9680</v>
      </c>
      <c r="L2149" s="80" t="s">
        <v>9680</v>
      </c>
      <c r="M2149" s="80" t="s">
        <v>9680</v>
      </c>
      <c r="N2149" s="80" t="s">
        <v>84</v>
      </c>
      <c r="O2149" s="80" t="s">
        <v>9680</v>
      </c>
      <c r="P2149" s="80"/>
      <c r="Q2149" s="80" t="s">
        <v>9680</v>
      </c>
      <c r="R2149" s="80" t="s">
        <v>9680</v>
      </c>
    </row>
    <row r="2150" spans="1:18" ht="20" x14ac:dyDescent="0.2">
      <c r="A2150" s="80" t="s">
        <v>4604</v>
      </c>
      <c r="B2150" s="80" t="s">
        <v>10426</v>
      </c>
      <c r="C2150" s="80" t="s">
        <v>9680</v>
      </c>
      <c r="D2150" s="80" t="s">
        <v>9680</v>
      </c>
      <c r="E2150" s="80" t="s">
        <v>84</v>
      </c>
      <c r="F2150" s="80"/>
      <c r="G2150" s="80" t="s">
        <v>9680</v>
      </c>
      <c r="H2150" s="80" t="s">
        <v>9680</v>
      </c>
      <c r="I2150" s="80" t="s">
        <v>9680</v>
      </c>
      <c r="J2150" s="80" t="s">
        <v>9680</v>
      </c>
      <c r="K2150" s="80" t="s">
        <v>9680</v>
      </c>
      <c r="L2150" s="80" t="s">
        <v>9680</v>
      </c>
      <c r="M2150" s="80" t="s">
        <v>9680</v>
      </c>
      <c r="N2150" s="80" t="s">
        <v>84</v>
      </c>
      <c r="O2150" s="80" t="s">
        <v>9680</v>
      </c>
      <c r="P2150" s="80"/>
      <c r="Q2150" s="80" t="s">
        <v>9680</v>
      </c>
      <c r="R2150" s="80" t="s">
        <v>9680</v>
      </c>
    </row>
    <row r="2151" spans="1:18" ht="20" x14ac:dyDescent="0.2">
      <c r="A2151" s="80" t="s">
        <v>4604</v>
      </c>
      <c r="B2151" s="80" t="s">
        <v>4605</v>
      </c>
      <c r="C2151" s="80" t="s">
        <v>9680</v>
      </c>
      <c r="D2151" s="80" t="s">
        <v>9680</v>
      </c>
      <c r="E2151" s="80" t="s">
        <v>84</v>
      </c>
      <c r="F2151" s="80"/>
      <c r="G2151" s="80" t="s">
        <v>9680</v>
      </c>
      <c r="H2151" s="80" t="s">
        <v>9680</v>
      </c>
      <c r="I2151" s="80" t="s">
        <v>9680</v>
      </c>
      <c r="J2151" s="80" t="s">
        <v>9680</v>
      </c>
      <c r="K2151" s="80" t="s">
        <v>9680</v>
      </c>
      <c r="L2151" s="80" t="s">
        <v>9680</v>
      </c>
      <c r="M2151" s="80" t="s">
        <v>9680</v>
      </c>
      <c r="N2151" s="80" t="s">
        <v>84</v>
      </c>
      <c r="O2151" s="80" t="s">
        <v>9680</v>
      </c>
      <c r="P2151" s="80"/>
      <c r="Q2151" s="80" t="s">
        <v>9680</v>
      </c>
      <c r="R2151" s="80" t="s">
        <v>9680</v>
      </c>
    </row>
    <row r="2152" spans="1:18" ht="20" x14ac:dyDescent="0.2">
      <c r="A2152" s="80" t="s">
        <v>4606</v>
      </c>
      <c r="B2152" s="80" t="s">
        <v>4607</v>
      </c>
      <c r="C2152" s="80" t="s">
        <v>84</v>
      </c>
      <c r="D2152" s="80" t="s">
        <v>84</v>
      </c>
      <c r="E2152" s="80" t="s">
        <v>84</v>
      </c>
      <c r="F2152" s="80"/>
      <c r="G2152" s="80" t="s">
        <v>84</v>
      </c>
      <c r="H2152" s="80" t="s">
        <v>84</v>
      </c>
      <c r="I2152" s="80" t="s">
        <v>84</v>
      </c>
      <c r="J2152" s="80" t="s">
        <v>84</v>
      </c>
      <c r="K2152" s="80" t="s">
        <v>84</v>
      </c>
      <c r="L2152" s="80" t="s">
        <v>84</v>
      </c>
      <c r="M2152" s="80" t="s">
        <v>84</v>
      </c>
      <c r="N2152" s="80" t="s">
        <v>84</v>
      </c>
      <c r="O2152" s="80" t="s">
        <v>84</v>
      </c>
      <c r="P2152" s="80"/>
      <c r="Q2152" s="80" t="s">
        <v>84</v>
      </c>
      <c r="R2152" s="80" t="s">
        <v>84</v>
      </c>
    </row>
    <row r="2153" spans="1:18" ht="20" x14ac:dyDescent="0.2">
      <c r="A2153" s="80" t="s">
        <v>4608</v>
      </c>
      <c r="B2153" s="80" t="s">
        <v>4609</v>
      </c>
      <c r="C2153" s="80" t="s">
        <v>9680</v>
      </c>
      <c r="D2153" s="80" t="s">
        <v>9680</v>
      </c>
      <c r="E2153" s="80" t="s">
        <v>84</v>
      </c>
      <c r="F2153" s="80"/>
      <c r="G2153" s="80" t="s">
        <v>9680</v>
      </c>
      <c r="H2153" s="80" t="s">
        <v>84</v>
      </c>
      <c r="I2153" s="80" t="s">
        <v>9680</v>
      </c>
      <c r="J2153" s="80" t="s">
        <v>84</v>
      </c>
      <c r="K2153" s="80" t="s">
        <v>9680</v>
      </c>
      <c r="L2153" s="80" t="s">
        <v>9680</v>
      </c>
      <c r="M2153" s="80" t="s">
        <v>9680</v>
      </c>
      <c r="N2153" s="80" t="s">
        <v>84</v>
      </c>
      <c r="O2153" s="80" t="s">
        <v>9680</v>
      </c>
      <c r="P2153" s="80"/>
      <c r="Q2153" s="80" t="s">
        <v>9680</v>
      </c>
      <c r="R2153" s="80" t="s">
        <v>9680</v>
      </c>
    </row>
    <row r="2154" spans="1:18" ht="20" x14ac:dyDescent="0.2">
      <c r="A2154" s="80" t="s">
        <v>4610</v>
      </c>
      <c r="B2154" s="80" t="s">
        <v>10427</v>
      </c>
      <c r="C2154" s="80" t="s">
        <v>9680</v>
      </c>
      <c r="D2154" s="80" t="s">
        <v>9680</v>
      </c>
      <c r="E2154" s="80" t="s">
        <v>84</v>
      </c>
      <c r="F2154" s="80"/>
      <c r="G2154" s="80" t="s">
        <v>9680</v>
      </c>
      <c r="H2154" s="80" t="s">
        <v>84</v>
      </c>
      <c r="I2154" s="80" t="s">
        <v>9680</v>
      </c>
      <c r="J2154" s="80" t="s">
        <v>84</v>
      </c>
      <c r="K2154" s="80" t="s">
        <v>9680</v>
      </c>
      <c r="L2154" s="80" t="s">
        <v>9680</v>
      </c>
      <c r="M2154" s="80" t="s">
        <v>9680</v>
      </c>
      <c r="N2154" s="80" t="s">
        <v>84</v>
      </c>
      <c r="O2154" s="80" t="s">
        <v>9680</v>
      </c>
      <c r="P2154" s="80"/>
      <c r="Q2154" s="80" t="s">
        <v>9680</v>
      </c>
      <c r="R2154" s="80" t="s">
        <v>9680</v>
      </c>
    </row>
    <row r="2155" spans="1:18" ht="20" x14ac:dyDescent="0.2">
      <c r="A2155" s="80" t="s">
        <v>4610</v>
      </c>
      <c r="B2155" s="80" t="s">
        <v>4611</v>
      </c>
      <c r="C2155" s="80" t="s">
        <v>9680</v>
      </c>
      <c r="D2155" s="80" t="s">
        <v>9680</v>
      </c>
      <c r="E2155" s="80" t="s">
        <v>84</v>
      </c>
      <c r="F2155" s="80"/>
      <c r="G2155" s="80" t="s">
        <v>9680</v>
      </c>
      <c r="H2155" s="80" t="s">
        <v>84</v>
      </c>
      <c r="I2155" s="80" t="s">
        <v>9680</v>
      </c>
      <c r="J2155" s="80" t="s">
        <v>84</v>
      </c>
      <c r="K2155" s="80" t="s">
        <v>9680</v>
      </c>
      <c r="L2155" s="80" t="s">
        <v>9680</v>
      </c>
      <c r="M2155" s="80" t="s">
        <v>9680</v>
      </c>
      <c r="N2155" s="80" t="s">
        <v>84</v>
      </c>
      <c r="O2155" s="80" t="s">
        <v>9680</v>
      </c>
      <c r="P2155" s="80"/>
      <c r="Q2155" s="80" t="s">
        <v>9680</v>
      </c>
      <c r="R2155" s="80" t="s">
        <v>9680</v>
      </c>
    </row>
    <row r="2156" spans="1:18" ht="20" x14ac:dyDescent="0.2">
      <c r="A2156" s="80" t="s">
        <v>4612</v>
      </c>
      <c r="B2156" s="80" t="s">
        <v>10428</v>
      </c>
      <c r="C2156" s="80" t="s">
        <v>84</v>
      </c>
      <c r="D2156" s="80" t="s">
        <v>84</v>
      </c>
      <c r="E2156" s="80" t="s">
        <v>84</v>
      </c>
      <c r="F2156" s="80"/>
      <c r="G2156" s="80" t="s">
        <v>84</v>
      </c>
      <c r="H2156" s="80" t="s">
        <v>84</v>
      </c>
      <c r="I2156" s="80" t="s">
        <v>84</v>
      </c>
      <c r="J2156" s="80" t="s">
        <v>84</v>
      </c>
      <c r="K2156" s="80" t="s">
        <v>84</v>
      </c>
      <c r="L2156" s="80" t="s">
        <v>84</v>
      </c>
      <c r="M2156" s="80" t="s">
        <v>84</v>
      </c>
      <c r="N2156" s="80" t="s">
        <v>84</v>
      </c>
      <c r="O2156" s="80" t="s">
        <v>84</v>
      </c>
      <c r="P2156" s="80"/>
      <c r="Q2156" s="80" t="s">
        <v>84</v>
      </c>
      <c r="R2156" s="80" t="s">
        <v>84</v>
      </c>
    </row>
    <row r="2157" spans="1:18" ht="20" x14ac:dyDescent="0.2">
      <c r="A2157" s="80" t="s">
        <v>4612</v>
      </c>
      <c r="B2157" s="80" t="s">
        <v>4613</v>
      </c>
      <c r="C2157" s="80" t="s">
        <v>84</v>
      </c>
      <c r="D2157" s="80" t="s">
        <v>84</v>
      </c>
      <c r="E2157" s="80" t="s">
        <v>84</v>
      </c>
      <c r="F2157" s="80"/>
      <c r="G2157" s="80" t="s">
        <v>84</v>
      </c>
      <c r="H2157" s="80" t="s">
        <v>84</v>
      </c>
      <c r="I2157" s="80" t="s">
        <v>84</v>
      </c>
      <c r="J2157" s="80" t="s">
        <v>84</v>
      </c>
      <c r="K2157" s="80" t="s">
        <v>84</v>
      </c>
      <c r="L2157" s="80" t="s">
        <v>84</v>
      </c>
      <c r="M2157" s="80" t="s">
        <v>84</v>
      </c>
      <c r="N2157" s="80" t="s">
        <v>84</v>
      </c>
      <c r="O2157" s="80" t="s">
        <v>84</v>
      </c>
      <c r="P2157" s="80"/>
      <c r="Q2157" s="80" t="s">
        <v>84</v>
      </c>
      <c r="R2157" s="80" t="s">
        <v>84</v>
      </c>
    </row>
    <row r="2158" spans="1:18" ht="20" x14ac:dyDescent="0.2">
      <c r="A2158" s="80" t="s">
        <v>4614</v>
      </c>
      <c r="B2158" s="80" t="s">
        <v>10429</v>
      </c>
      <c r="C2158" s="80" t="s">
        <v>84</v>
      </c>
      <c r="D2158" s="80" t="s">
        <v>84</v>
      </c>
      <c r="E2158" s="80" t="s">
        <v>84</v>
      </c>
      <c r="F2158" s="80"/>
      <c r="G2158" s="80" t="s">
        <v>84</v>
      </c>
      <c r="H2158" s="80" t="s">
        <v>84</v>
      </c>
      <c r="I2158" s="80" t="s">
        <v>84</v>
      </c>
      <c r="J2158" s="80" t="s">
        <v>84</v>
      </c>
      <c r="K2158" s="80" t="s">
        <v>84</v>
      </c>
      <c r="L2158" s="80" t="s">
        <v>84</v>
      </c>
      <c r="M2158" s="80" t="s">
        <v>84</v>
      </c>
      <c r="N2158" s="80" t="s">
        <v>84</v>
      </c>
      <c r="O2158" s="80" t="s">
        <v>84</v>
      </c>
      <c r="P2158" s="80"/>
      <c r="Q2158" s="80" t="s">
        <v>84</v>
      </c>
      <c r="R2158" s="80" t="s">
        <v>84</v>
      </c>
    </row>
    <row r="2159" spans="1:18" ht="20" x14ac:dyDescent="0.2">
      <c r="A2159" s="80" t="s">
        <v>4614</v>
      </c>
      <c r="B2159" s="80" t="s">
        <v>4615</v>
      </c>
      <c r="C2159" s="80" t="s">
        <v>84</v>
      </c>
      <c r="D2159" s="80" t="s">
        <v>84</v>
      </c>
      <c r="E2159" s="80" t="s">
        <v>84</v>
      </c>
      <c r="F2159" s="80"/>
      <c r="G2159" s="80" t="s">
        <v>84</v>
      </c>
      <c r="H2159" s="80" t="s">
        <v>84</v>
      </c>
      <c r="I2159" s="80" t="s">
        <v>84</v>
      </c>
      <c r="J2159" s="80" t="s">
        <v>84</v>
      </c>
      <c r="K2159" s="80" t="s">
        <v>84</v>
      </c>
      <c r="L2159" s="80" t="s">
        <v>84</v>
      </c>
      <c r="M2159" s="80" t="s">
        <v>84</v>
      </c>
      <c r="N2159" s="80" t="s">
        <v>84</v>
      </c>
      <c r="O2159" s="80" t="s">
        <v>84</v>
      </c>
      <c r="P2159" s="80"/>
      <c r="Q2159" s="80" t="s">
        <v>84</v>
      </c>
      <c r="R2159" s="80" t="s">
        <v>84</v>
      </c>
    </row>
    <row r="2160" spans="1:18" ht="20" x14ac:dyDescent="0.2">
      <c r="A2160" s="80" t="s">
        <v>4616</v>
      </c>
      <c r="B2160" s="80" t="s">
        <v>10430</v>
      </c>
      <c r="C2160" s="80" t="s">
        <v>9680</v>
      </c>
      <c r="D2160" s="80" t="s">
        <v>84</v>
      </c>
      <c r="E2160" s="80" t="s">
        <v>84</v>
      </c>
      <c r="F2160" s="80"/>
      <c r="G2160" s="80" t="s">
        <v>84</v>
      </c>
      <c r="H2160" s="80" t="s">
        <v>84</v>
      </c>
      <c r="I2160" s="80" t="s">
        <v>84</v>
      </c>
      <c r="J2160" s="80" t="s">
        <v>84</v>
      </c>
      <c r="K2160" s="80" t="s">
        <v>84</v>
      </c>
      <c r="L2160" s="80" t="s">
        <v>84</v>
      </c>
      <c r="M2160" s="80" t="s">
        <v>84</v>
      </c>
      <c r="N2160" s="80" t="s">
        <v>84</v>
      </c>
      <c r="O2160" s="80" t="s">
        <v>84</v>
      </c>
      <c r="P2160" s="80"/>
      <c r="Q2160" s="80" t="s">
        <v>84</v>
      </c>
      <c r="R2160" s="80" t="s">
        <v>84</v>
      </c>
    </row>
    <row r="2161" spans="1:18" ht="20" x14ac:dyDescent="0.2">
      <c r="A2161" s="80" t="s">
        <v>4616</v>
      </c>
      <c r="B2161" s="80" t="s">
        <v>4617</v>
      </c>
      <c r="C2161" s="80" t="s">
        <v>9680</v>
      </c>
      <c r="D2161" s="80" t="s">
        <v>84</v>
      </c>
      <c r="E2161" s="80" t="s">
        <v>84</v>
      </c>
      <c r="F2161" s="80"/>
      <c r="G2161" s="80" t="s">
        <v>84</v>
      </c>
      <c r="H2161" s="80" t="s">
        <v>84</v>
      </c>
      <c r="I2161" s="80" t="s">
        <v>84</v>
      </c>
      <c r="J2161" s="80" t="s">
        <v>84</v>
      </c>
      <c r="K2161" s="80" t="s">
        <v>84</v>
      </c>
      <c r="L2161" s="80" t="s">
        <v>84</v>
      </c>
      <c r="M2161" s="80" t="s">
        <v>84</v>
      </c>
      <c r="N2161" s="80" t="s">
        <v>84</v>
      </c>
      <c r="O2161" s="80" t="s">
        <v>84</v>
      </c>
      <c r="P2161" s="80"/>
      <c r="Q2161" s="80" t="s">
        <v>84</v>
      </c>
      <c r="R2161" s="80" t="s">
        <v>84</v>
      </c>
    </row>
    <row r="2162" spans="1:18" ht="20" x14ac:dyDescent="0.2">
      <c r="A2162" s="80" t="s">
        <v>4619</v>
      </c>
      <c r="B2162" s="80" t="s">
        <v>10431</v>
      </c>
      <c r="C2162" s="80" t="s">
        <v>9680</v>
      </c>
      <c r="D2162" s="80" t="s">
        <v>84</v>
      </c>
      <c r="E2162" s="80" t="s">
        <v>84</v>
      </c>
      <c r="F2162" s="80"/>
      <c r="G2162" s="80" t="s">
        <v>84</v>
      </c>
      <c r="H2162" s="80" t="s">
        <v>84</v>
      </c>
      <c r="I2162" s="80" t="s">
        <v>84</v>
      </c>
      <c r="J2162" s="80" t="s">
        <v>84</v>
      </c>
      <c r="K2162" s="80" t="s">
        <v>84</v>
      </c>
      <c r="L2162" s="80" t="s">
        <v>84</v>
      </c>
      <c r="M2162" s="80" t="s">
        <v>84</v>
      </c>
      <c r="N2162" s="80" t="s">
        <v>84</v>
      </c>
      <c r="O2162" s="80" t="s">
        <v>84</v>
      </c>
      <c r="P2162" s="80"/>
      <c r="Q2162" s="80" t="s">
        <v>84</v>
      </c>
      <c r="R2162" s="80" t="s">
        <v>84</v>
      </c>
    </row>
    <row r="2163" spans="1:18" ht="20" x14ac:dyDescent="0.2">
      <c r="A2163" s="80" t="s">
        <v>4619</v>
      </c>
      <c r="B2163" s="80" t="s">
        <v>4620</v>
      </c>
      <c r="C2163" s="80" t="s">
        <v>9680</v>
      </c>
      <c r="D2163" s="80" t="s">
        <v>84</v>
      </c>
      <c r="E2163" s="80" t="s">
        <v>84</v>
      </c>
      <c r="F2163" s="80"/>
      <c r="G2163" s="80" t="s">
        <v>84</v>
      </c>
      <c r="H2163" s="80" t="s">
        <v>84</v>
      </c>
      <c r="I2163" s="80" t="s">
        <v>84</v>
      </c>
      <c r="J2163" s="80" t="s">
        <v>84</v>
      </c>
      <c r="K2163" s="80" t="s">
        <v>84</v>
      </c>
      <c r="L2163" s="80" t="s">
        <v>84</v>
      </c>
      <c r="M2163" s="80" t="s">
        <v>84</v>
      </c>
      <c r="N2163" s="80" t="s">
        <v>84</v>
      </c>
      <c r="O2163" s="80" t="s">
        <v>84</v>
      </c>
      <c r="P2163" s="80"/>
      <c r="Q2163" s="80" t="s">
        <v>84</v>
      </c>
      <c r="R2163" s="80" t="s">
        <v>84</v>
      </c>
    </row>
    <row r="2164" spans="1:18" ht="20" x14ac:dyDescent="0.2">
      <c r="A2164" s="80" t="s">
        <v>4621</v>
      </c>
      <c r="B2164" s="80" t="s">
        <v>4622</v>
      </c>
      <c r="C2164" s="80" t="s">
        <v>84</v>
      </c>
      <c r="D2164" s="80" t="s">
        <v>84</v>
      </c>
      <c r="E2164" s="80" t="s">
        <v>84</v>
      </c>
      <c r="F2164" s="80"/>
      <c r="G2164" s="80" t="s">
        <v>84</v>
      </c>
      <c r="H2164" s="80" t="s">
        <v>84</v>
      </c>
      <c r="I2164" s="80" t="s">
        <v>84</v>
      </c>
      <c r="J2164" s="80" t="s">
        <v>84</v>
      </c>
      <c r="K2164" s="80" t="s">
        <v>84</v>
      </c>
      <c r="L2164" s="80" t="s">
        <v>84</v>
      </c>
      <c r="M2164" s="80" t="s">
        <v>84</v>
      </c>
      <c r="N2164" s="80" t="s">
        <v>84</v>
      </c>
      <c r="O2164" s="80" t="s">
        <v>84</v>
      </c>
      <c r="P2164" s="80"/>
      <c r="Q2164" s="80" t="s">
        <v>84</v>
      </c>
      <c r="R2164" s="80" t="s">
        <v>84</v>
      </c>
    </row>
    <row r="2165" spans="1:18" ht="20" x14ac:dyDescent="0.2">
      <c r="A2165" s="80" t="s">
        <v>4625</v>
      </c>
      <c r="B2165" s="80" t="s">
        <v>10432</v>
      </c>
      <c r="C2165" s="80" t="s">
        <v>9680</v>
      </c>
      <c r="D2165" s="80" t="s">
        <v>84</v>
      </c>
      <c r="E2165" s="80" t="s">
        <v>84</v>
      </c>
      <c r="F2165" s="80"/>
      <c r="G2165" s="80" t="s">
        <v>84</v>
      </c>
      <c r="H2165" s="80" t="s">
        <v>84</v>
      </c>
      <c r="I2165" s="80" t="s">
        <v>84</v>
      </c>
      <c r="J2165" s="80" t="s">
        <v>84</v>
      </c>
      <c r="K2165" s="80" t="s">
        <v>84</v>
      </c>
      <c r="L2165" s="80" t="s">
        <v>84</v>
      </c>
      <c r="M2165" s="80" t="s">
        <v>84</v>
      </c>
      <c r="N2165" s="80" t="s">
        <v>84</v>
      </c>
      <c r="O2165" s="80" t="s">
        <v>84</v>
      </c>
      <c r="P2165" s="80"/>
      <c r="Q2165" s="80" t="s">
        <v>84</v>
      </c>
      <c r="R2165" s="80" t="s">
        <v>84</v>
      </c>
    </row>
    <row r="2166" spans="1:18" ht="20" x14ac:dyDescent="0.2">
      <c r="A2166" s="80" t="s">
        <v>4625</v>
      </c>
      <c r="B2166" s="80" t="s">
        <v>4626</v>
      </c>
      <c r="C2166" s="80" t="s">
        <v>9680</v>
      </c>
      <c r="D2166" s="80" t="s">
        <v>84</v>
      </c>
      <c r="E2166" s="80" t="s">
        <v>84</v>
      </c>
      <c r="F2166" s="80"/>
      <c r="G2166" s="80" t="s">
        <v>84</v>
      </c>
      <c r="H2166" s="80" t="s">
        <v>84</v>
      </c>
      <c r="I2166" s="80" t="s">
        <v>84</v>
      </c>
      <c r="J2166" s="80" t="s">
        <v>84</v>
      </c>
      <c r="K2166" s="80" t="s">
        <v>84</v>
      </c>
      <c r="L2166" s="80" t="s">
        <v>84</v>
      </c>
      <c r="M2166" s="80" t="s">
        <v>84</v>
      </c>
      <c r="N2166" s="80" t="s">
        <v>84</v>
      </c>
      <c r="O2166" s="80" t="s">
        <v>84</v>
      </c>
      <c r="P2166" s="80"/>
      <c r="Q2166" s="80" t="s">
        <v>84</v>
      </c>
      <c r="R2166" s="80" t="s">
        <v>84</v>
      </c>
    </row>
    <row r="2167" spans="1:18" ht="20" x14ac:dyDescent="0.2">
      <c r="A2167" s="80" t="s">
        <v>4627</v>
      </c>
      <c r="B2167" s="80" t="s">
        <v>4628</v>
      </c>
      <c r="C2167" s="80" t="s">
        <v>9680</v>
      </c>
      <c r="D2167" s="80" t="s">
        <v>84</v>
      </c>
      <c r="E2167" s="80" t="s">
        <v>84</v>
      </c>
      <c r="F2167" s="80"/>
      <c r="G2167" s="80" t="s">
        <v>9680</v>
      </c>
      <c r="H2167" s="80" t="s">
        <v>9680</v>
      </c>
      <c r="I2167" s="80" t="s">
        <v>84</v>
      </c>
      <c r="J2167" s="80" t="s">
        <v>84</v>
      </c>
      <c r="K2167" s="80" t="s">
        <v>84</v>
      </c>
      <c r="L2167" s="80" t="s">
        <v>84</v>
      </c>
      <c r="M2167" s="80" t="s">
        <v>9680</v>
      </c>
      <c r="N2167" s="80" t="s">
        <v>84</v>
      </c>
      <c r="O2167" s="80" t="s">
        <v>84</v>
      </c>
      <c r="P2167" s="80"/>
      <c r="Q2167" s="80" t="s">
        <v>84</v>
      </c>
      <c r="R2167" s="80" t="s">
        <v>84</v>
      </c>
    </row>
    <row r="2168" spans="1:18" ht="20" x14ac:dyDescent="0.2">
      <c r="A2168" s="80" t="s">
        <v>4629</v>
      </c>
      <c r="B2168" s="80" t="s">
        <v>4630</v>
      </c>
      <c r="C2168" s="80" t="s">
        <v>9680</v>
      </c>
      <c r="D2168" s="80" t="s">
        <v>84</v>
      </c>
      <c r="E2168" s="80" t="s">
        <v>9680</v>
      </c>
      <c r="F2168" s="80"/>
      <c r="G2168" s="80" t="s">
        <v>9680</v>
      </c>
      <c r="H2168" s="80" t="s">
        <v>9680</v>
      </c>
      <c r="I2168" s="80" t="s">
        <v>9680</v>
      </c>
      <c r="J2168" s="80" t="s">
        <v>84</v>
      </c>
      <c r="K2168" s="80" t="s">
        <v>84</v>
      </c>
      <c r="L2168" s="80" t="s">
        <v>9680</v>
      </c>
      <c r="M2168" s="80" t="s">
        <v>9680</v>
      </c>
      <c r="N2168" s="80" t="s">
        <v>9680</v>
      </c>
      <c r="O2168" s="80" t="s">
        <v>9680</v>
      </c>
      <c r="P2168" s="80"/>
      <c r="Q2168" s="80" t="s">
        <v>84</v>
      </c>
      <c r="R2168" s="80" t="s">
        <v>9680</v>
      </c>
    </row>
    <row r="2169" spans="1:18" ht="20" x14ac:dyDescent="0.2">
      <c r="A2169" s="80" t="s">
        <v>4631</v>
      </c>
      <c r="B2169" s="80" t="s">
        <v>4632</v>
      </c>
      <c r="C2169" s="80" t="s">
        <v>9680</v>
      </c>
      <c r="D2169" s="80" t="s">
        <v>84</v>
      </c>
      <c r="E2169" s="80" t="s">
        <v>9680</v>
      </c>
      <c r="F2169" s="80"/>
      <c r="G2169" s="80" t="s">
        <v>9680</v>
      </c>
      <c r="H2169" s="80" t="s">
        <v>9680</v>
      </c>
      <c r="I2169" s="80" t="s">
        <v>9680</v>
      </c>
      <c r="J2169" s="80" t="s">
        <v>84</v>
      </c>
      <c r="K2169" s="80" t="s">
        <v>84</v>
      </c>
      <c r="L2169" s="80" t="s">
        <v>9680</v>
      </c>
      <c r="M2169" s="80" t="s">
        <v>9680</v>
      </c>
      <c r="N2169" s="80" t="s">
        <v>9680</v>
      </c>
      <c r="O2169" s="80" t="s">
        <v>9680</v>
      </c>
      <c r="P2169" s="80"/>
      <c r="Q2169" s="80" t="s">
        <v>84</v>
      </c>
      <c r="R2169" s="80" t="s">
        <v>9680</v>
      </c>
    </row>
    <row r="2170" spans="1:18" ht="20" x14ac:dyDescent="0.2">
      <c r="A2170" s="80" t="s">
        <v>4633</v>
      </c>
      <c r="B2170" s="80" t="s">
        <v>10433</v>
      </c>
      <c r="C2170" s="80" t="s">
        <v>9680</v>
      </c>
      <c r="D2170" s="80" t="s">
        <v>84</v>
      </c>
      <c r="E2170" s="80" t="s">
        <v>84</v>
      </c>
      <c r="F2170" s="80"/>
      <c r="G2170" s="80" t="s">
        <v>9680</v>
      </c>
      <c r="H2170" s="80" t="s">
        <v>9680</v>
      </c>
      <c r="I2170" s="80" t="s">
        <v>84</v>
      </c>
      <c r="J2170" s="80" t="s">
        <v>84</v>
      </c>
      <c r="K2170" s="80" t="s">
        <v>84</v>
      </c>
      <c r="L2170" s="80" t="s">
        <v>84</v>
      </c>
      <c r="M2170" s="80" t="s">
        <v>9680</v>
      </c>
      <c r="N2170" s="80" t="s">
        <v>84</v>
      </c>
      <c r="O2170" s="80" t="s">
        <v>84</v>
      </c>
      <c r="P2170" s="80"/>
      <c r="Q2170" s="80" t="s">
        <v>84</v>
      </c>
      <c r="R2170" s="80" t="s">
        <v>84</v>
      </c>
    </row>
    <row r="2171" spans="1:18" ht="20" x14ac:dyDescent="0.2">
      <c r="A2171" s="80" t="s">
        <v>4633</v>
      </c>
      <c r="B2171" s="80" t="s">
        <v>4634</v>
      </c>
      <c r="C2171" s="80" t="s">
        <v>9680</v>
      </c>
      <c r="D2171" s="80" t="s">
        <v>84</v>
      </c>
      <c r="E2171" s="80" t="s">
        <v>84</v>
      </c>
      <c r="F2171" s="80"/>
      <c r="G2171" s="80" t="s">
        <v>9680</v>
      </c>
      <c r="H2171" s="80" t="s">
        <v>9680</v>
      </c>
      <c r="I2171" s="80" t="s">
        <v>84</v>
      </c>
      <c r="J2171" s="80" t="s">
        <v>84</v>
      </c>
      <c r="K2171" s="80" t="s">
        <v>84</v>
      </c>
      <c r="L2171" s="80" t="s">
        <v>84</v>
      </c>
      <c r="M2171" s="80" t="s">
        <v>9680</v>
      </c>
      <c r="N2171" s="80" t="s">
        <v>84</v>
      </c>
      <c r="O2171" s="80" t="s">
        <v>84</v>
      </c>
      <c r="P2171" s="80"/>
      <c r="Q2171" s="80" t="s">
        <v>84</v>
      </c>
      <c r="R2171" s="80" t="s">
        <v>84</v>
      </c>
    </row>
    <row r="2172" spans="1:18" ht="20" x14ac:dyDescent="0.2">
      <c r="A2172" s="80" t="s">
        <v>4635</v>
      </c>
      <c r="B2172" s="80" t="s">
        <v>4636</v>
      </c>
      <c r="C2172" s="80" t="s">
        <v>9680</v>
      </c>
      <c r="D2172" s="80" t="s">
        <v>84</v>
      </c>
      <c r="E2172" s="80" t="s">
        <v>84</v>
      </c>
      <c r="F2172" s="80"/>
      <c r="G2172" s="80" t="s">
        <v>84</v>
      </c>
      <c r="H2172" s="80" t="s">
        <v>9680</v>
      </c>
      <c r="I2172" s="80" t="s">
        <v>84</v>
      </c>
      <c r="J2172" s="80" t="s">
        <v>84</v>
      </c>
      <c r="K2172" s="80" t="s">
        <v>84</v>
      </c>
      <c r="L2172" s="80" t="s">
        <v>84</v>
      </c>
      <c r="M2172" s="80" t="s">
        <v>9680</v>
      </c>
      <c r="N2172" s="80" t="s">
        <v>84</v>
      </c>
      <c r="O2172" s="80" t="s">
        <v>84</v>
      </c>
      <c r="P2172" s="80"/>
      <c r="Q2172" s="80" t="s">
        <v>84</v>
      </c>
      <c r="R2172" s="80" t="s">
        <v>84</v>
      </c>
    </row>
    <row r="2173" spans="1:18" ht="20" x14ac:dyDescent="0.2">
      <c r="A2173" s="80" t="s">
        <v>4637</v>
      </c>
      <c r="B2173" s="80" t="s">
        <v>4638</v>
      </c>
      <c r="C2173" s="80" t="s">
        <v>9680</v>
      </c>
      <c r="D2173" s="80" t="s">
        <v>84</v>
      </c>
      <c r="E2173" s="80" t="s">
        <v>84</v>
      </c>
      <c r="F2173" s="80"/>
      <c r="G2173" s="80" t="s">
        <v>84</v>
      </c>
      <c r="H2173" s="80" t="s">
        <v>84</v>
      </c>
      <c r="I2173" s="80" t="s">
        <v>84</v>
      </c>
      <c r="J2173" s="80" t="s">
        <v>84</v>
      </c>
      <c r="K2173" s="80" t="s">
        <v>84</v>
      </c>
      <c r="L2173" s="80" t="s">
        <v>84</v>
      </c>
      <c r="M2173" s="80" t="s">
        <v>84</v>
      </c>
      <c r="N2173" s="80" t="s">
        <v>84</v>
      </c>
      <c r="O2173" s="80" t="s">
        <v>84</v>
      </c>
      <c r="P2173" s="80"/>
      <c r="Q2173" s="80" t="s">
        <v>84</v>
      </c>
      <c r="R2173" s="80" t="s">
        <v>84</v>
      </c>
    </row>
    <row r="2174" spans="1:18" ht="20" x14ac:dyDescent="0.2">
      <c r="A2174" s="80" t="s">
        <v>10434</v>
      </c>
      <c r="B2174" s="80" t="s">
        <v>10435</v>
      </c>
      <c r="C2174" s="80" t="s">
        <v>9680</v>
      </c>
      <c r="D2174" s="80" t="s">
        <v>84</v>
      </c>
      <c r="E2174" s="80" t="s">
        <v>84</v>
      </c>
      <c r="F2174" s="80"/>
      <c r="G2174" s="80" t="s">
        <v>84</v>
      </c>
      <c r="H2174" s="80" t="s">
        <v>84</v>
      </c>
      <c r="I2174" s="80" t="s">
        <v>84</v>
      </c>
      <c r="J2174" s="80" t="s">
        <v>84</v>
      </c>
      <c r="K2174" s="80" t="s">
        <v>84</v>
      </c>
      <c r="L2174" s="80" t="s">
        <v>84</v>
      </c>
      <c r="M2174" s="80" t="s">
        <v>84</v>
      </c>
      <c r="N2174" s="80" t="s">
        <v>84</v>
      </c>
      <c r="O2174" s="80" t="s">
        <v>84</v>
      </c>
      <c r="P2174" s="80"/>
      <c r="Q2174" s="80" t="s">
        <v>84</v>
      </c>
      <c r="R2174" s="80" t="s">
        <v>84</v>
      </c>
    </row>
    <row r="2175" spans="1:18" ht="20" x14ac:dyDescent="0.2">
      <c r="A2175" s="80" t="s">
        <v>4455</v>
      </c>
      <c r="B2175" s="80" t="s">
        <v>4456</v>
      </c>
      <c r="C2175" s="80" t="s">
        <v>9680</v>
      </c>
      <c r="D2175" s="80" t="s">
        <v>84</v>
      </c>
      <c r="E2175" s="80" t="s">
        <v>84</v>
      </c>
      <c r="F2175" s="80"/>
      <c r="G2175" s="80" t="s">
        <v>84</v>
      </c>
      <c r="H2175" s="80" t="s">
        <v>84</v>
      </c>
      <c r="I2175" s="80" t="s">
        <v>84</v>
      </c>
      <c r="J2175" s="80" t="s">
        <v>84</v>
      </c>
      <c r="K2175" s="80" t="s">
        <v>84</v>
      </c>
      <c r="L2175" s="80" t="s">
        <v>84</v>
      </c>
      <c r="M2175" s="80" t="s">
        <v>84</v>
      </c>
      <c r="N2175" s="80" t="s">
        <v>84</v>
      </c>
      <c r="O2175" s="80" t="s">
        <v>84</v>
      </c>
      <c r="P2175" s="80"/>
      <c r="Q2175" s="80" t="s">
        <v>84</v>
      </c>
      <c r="R2175" s="80" t="s">
        <v>84</v>
      </c>
    </row>
    <row r="2176" spans="1:18" ht="20" x14ac:dyDescent="0.2">
      <c r="A2176" s="80" t="s">
        <v>4455</v>
      </c>
      <c r="B2176" s="80" t="s">
        <v>4639</v>
      </c>
      <c r="C2176" s="80" t="s">
        <v>9680</v>
      </c>
      <c r="D2176" s="80" t="s">
        <v>84</v>
      </c>
      <c r="E2176" s="80" t="s">
        <v>84</v>
      </c>
      <c r="F2176" s="80"/>
      <c r="G2176" s="80" t="s">
        <v>84</v>
      </c>
      <c r="H2176" s="80" t="s">
        <v>84</v>
      </c>
      <c r="I2176" s="80" t="s">
        <v>84</v>
      </c>
      <c r="J2176" s="80" t="s">
        <v>84</v>
      </c>
      <c r="K2176" s="80" t="s">
        <v>84</v>
      </c>
      <c r="L2176" s="80" t="s">
        <v>84</v>
      </c>
      <c r="M2176" s="80" t="s">
        <v>84</v>
      </c>
      <c r="N2176" s="80" t="s">
        <v>84</v>
      </c>
      <c r="O2176" s="80" t="s">
        <v>84</v>
      </c>
      <c r="P2176" s="80"/>
      <c r="Q2176" s="80" t="s">
        <v>84</v>
      </c>
      <c r="R2176" s="80" t="s">
        <v>84</v>
      </c>
    </row>
    <row r="2177" spans="1:18" ht="20" x14ac:dyDescent="0.2">
      <c r="A2177" s="80" t="s">
        <v>10436</v>
      </c>
      <c r="B2177" s="80" t="s">
        <v>10437</v>
      </c>
      <c r="C2177" s="80" t="s">
        <v>84</v>
      </c>
      <c r="D2177" s="80" t="s">
        <v>84</v>
      </c>
      <c r="E2177" s="80" t="s">
        <v>84</v>
      </c>
      <c r="F2177" s="80"/>
      <c r="G2177" s="80" t="s">
        <v>84</v>
      </c>
      <c r="H2177" s="80" t="s">
        <v>84</v>
      </c>
      <c r="I2177" s="80" t="s">
        <v>84</v>
      </c>
      <c r="J2177" s="80" t="s">
        <v>84</v>
      </c>
      <c r="K2177" s="80" t="s">
        <v>84</v>
      </c>
      <c r="L2177" s="80" t="s">
        <v>84</v>
      </c>
      <c r="M2177" s="80" t="s">
        <v>84</v>
      </c>
      <c r="N2177" s="80" t="s">
        <v>84</v>
      </c>
      <c r="O2177" s="80" t="s">
        <v>84</v>
      </c>
      <c r="P2177" s="80"/>
      <c r="Q2177" s="80" t="s">
        <v>84</v>
      </c>
      <c r="R2177" s="80" t="s">
        <v>84</v>
      </c>
    </row>
    <row r="2178" spans="1:18" ht="20" x14ac:dyDescent="0.2">
      <c r="A2178" s="80" t="s">
        <v>6269</v>
      </c>
      <c r="B2178" s="80" t="s">
        <v>10438</v>
      </c>
      <c r="C2178" s="80" t="s">
        <v>84</v>
      </c>
      <c r="D2178" s="80" t="s">
        <v>84</v>
      </c>
      <c r="E2178" s="80" t="s">
        <v>84</v>
      </c>
      <c r="F2178" s="80"/>
      <c r="G2178" s="80" t="s">
        <v>84</v>
      </c>
      <c r="H2178" s="80" t="s">
        <v>84</v>
      </c>
      <c r="I2178" s="80" t="s">
        <v>84</v>
      </c>
      <c r="J2178" s="80" t="s">
        <v>84</v>
      </c>
      <c r="K2178" s="80" t="s">
        <v>84</v>
      </c>
      <c r="L2178" s="80" t="s">
        <v>84</v>
      </c>
      <c r="M2178" s="80" t="s">
        <v>84</v>
      </c>
      <c r="N2178" s="80" t="s">
        <v>84</v>
      </c>
      <c r="O2178" s="80" t="s">
        <v>84</v>
      </c>
      <c r="P2178" s="80"/>
      <c r="Q2178" s="80" t="s">
        <v>84</v>
      </c>
      <c r="R2178" s="80" t="s">
        <v>84</v>
      </c>
    </row>
    <row r="2179" spans="1:18" ht="20" x14ac:dyDescent="0.2">
      <c r="A2179" s="80" t="s">
        <v>6269</v>
      </c>
      <c r="B2179" s="80" t="s">
        <v>6270</v>
      </c>
      <c r="C2179" s="80" t="s">
        <v>84</v>
      </c>
      <c r="D2179" s="80" t="s">
        <v>84</v>
      </c>
      <c r="E2179" s="80" t="s">
        <v>84</v>
      </c>
      <c r="F2179" s="80"/>
      <c r="G2179" s="80" t="s">
        <v>84</v>
      </c>
      <c r="H2179" s="80" t="s">
        <v>84</v>
      </c>
      <c r="I2179" s="80" t="s">
        <v>84</v>
      </c>
      <c r="J2179" s="80" t="s">
        <v>84</v>
      </c>
      <c r="K2179" s="80" t="s">
        <v>84</v>
      </c>
      <c r="L2179" s="80" t="s">
        <v>84</v>
      </c>
      <c r="M2179" s="80" t="s">
        <v>84</v>
      </c>
      <c r="N2179" s="80" t="s">
        <v>84</v>
      </c>
      <c r="O2179" s="80" t="s">
        <v>84</v>
      </c>
      <c r="P2179" s="80"/>
      <c r="Q2179" s="80" t="s">
        <v>84</v>
      </c>
      <c r="R2179" s="80" t="s">
        <v>84</v>
      </c>
    </row>
    <row r="2180" spans="1:18" ht="20" x14ac:dyDescent="0.2">
      <c r="A2180" s="80" t="s">
        <v>6225</v>
      </c>
      <c r="B2180" s="80" t="s">
        <v>10439</v>
      </c>
      <c r="C2180" s="80" t="s">
        <v>84</v>
      </c>
      <c r="D2180" s="80" t="s">
        <v>84</v>
      </c>
      <c r="E2180" s="80" t="s">
        <v>84</v>
      </c>
      <c r="F2180" s="80"/>
      <c r="G2180" s="80" t="s">
        <v>84</v>
      </c>
      <c r="H2180" s="80" t="s">
        <v>84</v>
      </c>
      <c r="I2180" s="80" t="s">
        <v>84</v>
      </c>
      <c r="J2180" s="80" t="s">
        <v>84</v>
      </c>
      <c r="K2180" s="80" t="s">
        <v>84</v>
      </c>
      <c r="L2180" s="80" t="s">
        <v>84</v>
      </c>
      <c r="M2180" s="80" t="s">
        <v>84</v>
      </c>
      <c r="N2180" s="80" t="s">
        <v>84</v>
      </c>
      <c r="O2180" s="80" t="s">
        <v>84</v>
      </c>
      <c r="P2180" s="80"/>
      <c r="Q2180" s="80" t="s">
        <v>84</v>
      </c>
      <c r="R2180" s="80" t="s">
        <v>84</v>
      </c>
    </row>
    <row r="2181" spans="1:18" ht="20" x14ac:dyDescent="0.2">
      <c r="A2181" s="80" t="s">
        <v>6225</v>
      </c>
      <c r="B2181" s="80" t="s">
        <v>6226</v>
      </c>
      <c r="C2181" s="80" t="s">
        <v>84</v>
      </c>
      <c r="D2181" s="80" t="s">
        <v>84</v>
      </c>
      <c r="E2181" s="80" t="s">
        <v>84</v>
      </c>
      <c r="F2181" s="80"/>
      <c r="G2181" s="80" t="s">
        <v>84</v>
      </c>
      <c r="H2181" s="80" t="s">
        <v>84</v>
      </c>
      <c r="I2181" s="80" t="s">
        <v>84</v>
      </c>
      <c r="J2181" s="80" t="s">
        <v>84</v>
      </c>
      <c r="K2181" s="80" t="s">
        <v>84</v>
      </c>
      <c r="L2181" s="80" t="s">
        <v>84</v>
      </c>
      <c r="M2181" s="80" t="s">
        <v>84</v>
      </c>
      <c r="N2181" s="80" t="s">
        <v>84</v>
      </c>
      <c r="O2181" s="80" t="s">
        <v>84</v>
      </c>
      <c r="P2181" s="80"/>
      <c r="Q2181" s="80" t="s">
        <v>84</v>
      </c>
      <c r="R2181" s="80" t="s">
        <v>84</v>
      </c>
    </row>
    <row r="2182" spans="1:18" ht="20" x14ac:dyDescent="0.2">
      <c r="A2182" s="80" t="s">
        <v>6219</v>
      </c>
      <c r="B2182" s="80" t="s">
        <v>10440</v>
      </c>
      <c r="C2182" s="80" t="s">
        <v>84</v>
      </c>
      <c r="D2182" s="80" t="s">
        <v>84</v>
      </c>
      <c r="E2182" s="80" t="s">
        <v>84</v>
      </c>
      <c r="F2182" s="80"/>
      <c r="G2182" s="80" t="s">
        <v>84</v>
      </c>
      <c r="H2182" s="80" t="s">
        <v>84</v>
      </c>
      <c r="I2182" s="80" t="s">
        <v>84</v>
      </c>
      <c r="J2182" s="80" t="s">
        <v>84</v>
      </c>
      <c r="K2182" s="80" t="s">
        <v>84</v>
      </c>
      <c r="L2182" s="80" t="s">
        <v>84</v>
      </c>
      <c r="M2182" s="80" t="s">
        <v>84</v>
      </c>
      <c r="N2182" s="80" t="s">
        <v>84</v>
      </c>
      <c r="O2182" s="80" t="s">
        <v>84</v>
      </c>
      <c r="P2182" s="80"/>
      <c r="Q2182" s="80" t="s">
        <v>84</v>
      </c>
      <c r="R2182" s="80" t="s">
        <v>84</v>
      </c>
    </row>
    <row r="2183" spans="1:18" ht="20" x14ac:dyDescent="0.2">
      <c r="A2183" s="80" t="s">
        <v>6219</v>
      </c>
      <c r="B2183" s="80" t="s">
        <v>6220</v>
      </c>
      <c r="C2183" s="80" t="s">
        <v>84</v>
      </c>
      <c r="D2183" s="80" t="s">
        <v>84</v>
      </c>
      <c r="E2183" s="80" t="s">
        <v>84</v>
      </c>
      <c r="F2183" s="80"/>
      <c r="G2183" s="80" t="s">
        <v>84</v>
      </c>
      <c r="H2183" s="80" t="s">
        <v>84</v>
      </c>
      <c r="I2183" s="80" t="s">
        <v>84</v>
      </c>
      <c r="J2183" s="80" t="s">
        <v>84</v>
      </c>
      <c r="K2183" s="80" t="s">
        <v>84</v>
      </c>
      <c r="L2183" s="80" t="s">
        <v>84</v>
      </c>
      <c r="M2183" s="80" t="s">
        <v>84</v>
      </c>
      <c r="N2183" s="80" t="s">
        <v>84</v>
      </c>
      <c r="O2183" s="80" t="s">
        <v>84</v>
      </c>
      <c r="P2183" s="80"/>
      <c r="Q2183" s="80" t="s">
        <v>84</v>
      </c>
      <c r="R2183" s="80" t="s">
        <v>84</v>
      </c>
    </row>
    <row r="2184" spans="1:18" ht="20" x14ac:dyDescent="0.2">
      <c r="A2184" s="80" t="s">
        <v>6227</v>
      </c>
      <c r="B2184" s="80" t="s">
        <v>10441</v>
      </c>
      <c r="C2184" s="80" t="s">
        <v>84</v>
      </c>
      <c r="D2184" s="80" t="s">
        <v>84</v>
      </c>
      <c r="E2184" s="80" t="s">
        <v>84</v>
      </c>
      <c r="F2184" s="80"/>
      <c r="G2184" s="80" t="s">
        <v>84</v>
      </c>
      <c r="H2184" s="80" t="s">
        <v>84</v>
      </c>
      <c r="I2184" s="80" t="s">
        <v>84</v>
      </c>
      <c r="J2184" s="80" t="s">
        <v>84</v>
      </c>
      <c r="K2184" s="80" t="s">
        <v>84</v>
      </c>
      <c r="L2184" s="80" t="s">
        <v>84</v>
      </c>
      <c r="M2184" s="80" t="s">
        <v>84</v>
      </c>
      <c r="N2184" s="80" t="s">
        <v>84</v>
      </c>
      <c r="O2184" s="80" t="s">
        <v>84</v>
      </c>
      <c r="P2184" s="80"/>
      <c r="Q2184" s="80" t="s">
        <v>84</v>
      </c>
      <c r="R2184" s="80" t="s">
        <v>84</v>
      </c>
    </row>
    <row r="2185" spans="1:18" ht="20" x14ac:dyDescent="0.2">
      <c r="A2185" s="80" t="s">
        <v>6227</v>
      </c>
      <c r="B2185" s="80" t="s">
        <v>6228</v>
      </c>
      <c r="C2185" s="80" t="s">
        <v>84</v>
      </c>
      <c r="D2185" s="80" t="s">
        <v>84</v>
      </c>
      <c r="E2185" s="80" t="s">
        <v>84</v>
      </c>
      <c r="F2185" s="80"/>
      <c r="G2185" s="80" t="s">
        <v>84</v>
      </c>
      <c r="H2185" s="80" t="s">
        <v>84</v>
      </c>
      <c r="I2185" s="80" t="s">
        <v>84</v>
      </c>
      <c r="J2185" s="80" t="s">
        <v>84</v>
      </c>
      <c r="K2185" s="80" t="s">
        <v>84</v>
      </c>
      <c r="L2185" s="80" t="s">
        <v>84</v>
      </c>
      <c r="M2185" s="80" t="s">
        <v>84</v>
      </c>
      <c r="N2185" s="80" t="s">
        <v>84</v>
      </c>
      <c r="O2185" s="80" t="s">
        <v>84</v>
      </c>
      <c r="P2185" s="80"/>
      <c r="Q2185" s="80" t="s">
        <v>84</v>
      </c>
      <c r="R2185" s="80" t="s">
        <v>84</v>
      </c>
    </row>
    <row r="2186" spans="1:18" ht="20" x14ac:dyDescent="0.2">
      <c r="A2186" s="80" t="s">
        <v>6229</v>
      </c>
      <c r="B2186" s="80" t="s">
        <v>10442</v>
      </c>
      <c r="C2186" s="80" t="s">
        <v>84</v>
      </c>
      <c r="D2186" s="80" t="s">
        <v>84</v>
      </c>
      <c r="E2186" s="80" t="s">
        <v>84</v>
      </c>
      <c r="F2186" s="80"/>
      <c r="G2186" s="80" t="s">
        <v>84</v>
      </c>
      <c r="H2186" s="80" t="s">
        <v>84</v>
      </c>
      <c r="I2186" s="80" t="s">
        <v>84</v>
      </c>
      <c r="J2186" s="80" t="s">
        <v>84</v>
      </c>
      <c r="K2186" s="80" t="s">
        <v>84</v>
      </c>
      <c r="L2186" s="80" t="s">
        <v>84</v>
      </c>
      <c r="M2186" s="80" t="s">
        <v>84</v>
      </c>
      <c r="N2186" s="80" t="s">
        <v>84</v>
      </c>
      <c r="O2186" s="80" t="s">
        <v>84</v>
      </c>
      <c r="P2186" s="80"/>
      <c r="Q2186" s="80" t="s">
        <v>84</v>
      </c>
      <c r="R2186" s="80" t="s">
        <v>84</v>
      </c>
    </row>
    <row r="2187" spans="1:18" ht="20" x14ac:dyDescent="0.2">
      <c r="A2187" s="80" t="s">
        <v>6229</v>
      </c>
      <c r="B2187" s="80" t="s">
        <v>6230</v>
      </c>
      <c r="C2187" s="80" t="s">
        <v>84</v>
      </c>
      <c r="D2187" s="80" t="s">
        <v>84</v>
      </c>
      <c r="E2187" s="80" t="s">
        <v>84</v>
      </c>
      <c r="F2187" s="80"/>
      <c r="G2187" s="80" t="s">
        <v>84</v>
      </c>
      <c r="H2187" s="80" t="s">
        <v>84</v>
      </c>
      <c r="I2187" s="80" t="s">
        <v>84</v>
      </c>
      <c r="J2187" s="80" t="s">
        <v>84</v>
      </c>
      <c r="K2187" s="80" t="s">
        <v>84</v>
      </c>
      <c r="L2187" s="80" t="s">
        <v>84</v>
      </c>
      <c r="M2187" s="80" t="s">
        <v>84</v>
      </c>
      <c r="N2187" s="80" t="s">
        <v>84</v>
      </c>
      <c r="O2187" s="80" t="s">
        <v>84</v>
      </c>
      <c r="P2187" s="80"/>
      <c r="Q2187" s="80" t="s">
        <v>84</v>
      </c>
      <c r="R2187" s="80" t="s">
        <v>84</v>
      </c>
    </row>
    <row r="2188" spans="1:18" ht="20" x14ac:dyDescent="0.2">
      <c r="A2188" s="80" t="s">
        <v>6735</v>
      </c>
      <c r="B2188" s="80" t="s">
        <v>10443</v>
      </c>
      <c r="C2188" s="80" t="s">
        <v>84</v>
      </c>
      <c r="D2188" s="80" t="s">
        <v>84</v>
      </c>
      <c r="E2188" s="80" t="s">
        <v>84</v>
      </c>
      <c r="F2188" s="80"/>
      <c r="G2188" s="80" t="s">
        <v>84</v>
      </c>
      <c r="H2188" s="80" t="s">
        <v>84</v>
      </c>
      <c r="I2188" s="80" t="s">
        <v>84</v>
      </c>
      <c r="J2188" s="80" t="s">
        <v>84</v>
      </c>
      <c r="K2188" s="80" t="s">
        <v>84</v>
      </c>
      <c r="L2188" s="80" t="s">
        <v>84</v>
      </c>
      <c r="M2188" s="80" t="s">
        <v>84</v>
      </c>
      <c r="N2188" s="80" t="s">
        <v>84</v>
      </c>
      <c r="O2188" s="80" t="s">
        <v>84</v>
      </c>
      <c r="P2188" s="80"/>
      <c r="Q2188" s="80" t="s">
        <v>84</v>
      </c>
      <c r="R2188" s="80" t="s">
        <v>84</v>
      </c>
    </row>
    <row r="2189" spans="1:18" ht="20" x14ac:dyDescent="0.2">
      <c r="A2189" s="80" t="s">
        <v>6735</v>
      </c>
      <c r="B2189" s="80" t="s">
        <v>6736</v>
      </c>
      <c r="C2189" s="80" t="s">
        <v>84</v>
      </c>
      <c r="D2189" s="80" t="s">
        <v>84</v>
      </c>
      <c r="E2189" s="80" t="s">
        <v>84</v>
      </c>
      <c r="F2189" s="80"/>
      <c r="G2189" s="80" t="s">
        <v>84</v>
      </c>
      <c r="H2189" s="80" t="s">
        <v>84</v>
      </c>
      <c r="I2189" s="80" t="s">
        <v>84</v>
      </c>
      <c r="J2189" s="80" t="s">
        <v>84</v>
      </c>
      <c r="K2189" s="80" t="s">
        <v>84</v>
      </c>
      <c r="L2189" s="80" t="s">
        <v>84</v>
      </c>
      <c r="M2189" s="80" t="s">
        <v>84</v>
      </c>
      <c r="N2189" s="80" t="s">
        <v>84</v>
      </c>
      <c r="O2189" s="80" t="s">
        <v>84</v>
      </c>
      <c r="P2189" s="80"/>
      <c r="Q2189" s="80" t="s">
        <v>84</v>
      </c>
      <c r="R2189" s="80" t="s">
        <v>84</v>
      </c>
    </row>
    <row r="2190" spans="1:18" ht="20" x14ac:dyDescent="0.2">
      <c r="A2190" s="80" t="s">
        <v>6737</v>
      </c>
      <c r="B2190" s="80" t="s">
        <v>10444</v>
      </c>
      <c r="C2190" s="80" t="s">
        <v>84</v>
      </c>
      <c r="D2190" s="80" t="s">
        <v>84</v>
      </c>
      <c r="E2190" s="80" t="s">
        <v>84</v>
      </c>
      <c r="F2190" s="80"/>
      <c r="G2190" s="80" t="s">
        <v>84</v>
      </c>
      <c r="H2190" s="80" t="s">
        <v>84</v>
      </c>
      <c r="I2190" s="80" t="s">
        <v>84</v>
      </c>
      <c r="J2190" s="80" t="s">
        <v>84</v>
      </c>
      <c r="K2190" s="80" t="s">
        <v>84</v>
      </c>
      <c r="L2190" s="80" t="s">
        <v>84</v>
      </c>
      <c r="M2190" s="80" t="s">
        <v>84</v>
      </c>
      <c r="N2190" s="80" t="s">
        <v>84</v>
      </c>
      <c r="O2190" s="80" t="s">
        <v>84</v>
      </c>
      <c r="P2190" s="80"/>
      <c r="Q2190" s="80" t="s">
        <v>84</v>
      </c>
      <c r="R2190" s="80" t="s">
        <v>84</v>
      </c>
    </row>
    <row r="2191" spans="1:18" ht="20" x14ac:dyDescent="0.2">
      <c r="A2191" s="80" t="s">
        <v>6737</v>
      </c>
      <c r="B2191" s="80" t="s">
        <v>6738</v>
      </c>
      <c r="C2191" s="80" t="s">
        <v>84</v>
      </c>
      <c r="D2191" s="80" t="s">
        <v>84</v>
      </c>
      <c r="E2191" s="80" t="s">
        <v>84</v>
      </c>
      <c r="F2191" s="80"/>
      <c r="G2191" s="80" t="s">
        <v>84</v>
      </c>
      <c r="H2191" s="80" t="s">
        <v>84</v>
      </c>
      <c r="I2191" s="80" t="s">
        <v>84</v>
      </c>
      <c r="J2191" s="80" t="s">
        <v>84</v>
      </c>
      <c r="K2191" s="80" t="s">
        <v>84</v>
      </c>
      <c r="L2191" s="80" t="s">
        <v>84</v>
      </c>
      <c r="M2191" s="80" t="s">
        <v>84</v>
      </c>
      <c r="N2191" s="80" t="s">
        <v>84</v>
      </c>
      <c r="O2191" s="80" t="s">
        <v>84</v>
      </c>
      <c r="P2191" s="80"/>
      <c r="Q2191" s="80" t="s">
        <v>84</v>
      </c>
      <c r="R2191" s="80" t="s">
        <v>84</v>
      </c>
    </row>
    <row r="2192" spans="1:18" ht="20" x14ac:dyDescent="0.2">
      <c r="A2192" s="80" t="s">
        <v>6739</v>
      </c>
      <c r="B2192" s="80" t="s">
        <v>10445</v>
      </c>
      <c r="C2192" s="80" t="s">
        <v>84</v>
      </c>
      <c r="D2192" s="80" t="s">
        <v>84</v>
      </c>
      <c r="E2192" s="80" t="s">
        <v>84</v>
      </c>
      <c r="F2192" s="80"/>
      <c r="G2192" s="80" t="s">
        <v>84</v>
      </c>
      <c r="H2192" s="80" t="s">
        <v>84</v>
      </c>
      <c r="I2192" s="80" t="s">
        <v>84</v>
      </c>
      <c r="J2192" s="80" t="s">
        <v>84</v>
      </c>
      <c r="K2192" s="80" t="s">
        <v>84</v>
      </c>
      <c r="L2192" s="80" t="s">
        <v>84</v>
      </c>
      <c r="M2192" s="80" t="s">
        <v>84</v>
      </c>
      <c r="N2192" s="80" t="s">
        <v>84</v>
      </c>
      <c r="O2192" s="80" t="s">
        <v>84</v>
      </c>
      <c r="P2192" s="80"/>
      <c r="Q2192" s="80" t="s">
        <v>84</v>
      </c>
      <c r="R2192" s="80" t="s">
        <v>84</v>
      </c>
    </row>
    <row r="2193" spans="1:18" ht="20" x14ac:dyDescent="0.2">
      <c r="A2193" s="80" t="s">
        <v>6739</v>
      </c>
      <c r="B2193" s="80" t="s">
        <v>6740</v>
      </c>
      <c r="C2193" s="80" t="s">
        <v>84</v>
      </c>
      <c r="D2193" s="80" t="s">
        <v>84</v>
      </c>
      <c r="E2193" s="80" t="s">
        <v>84</v>
      </c>
      <c r="F2193" s="80"/>
      <c r="G2193" s="80" t="s">
        <v>84</v>
      </c>
      <c r="H2193" s="80" t="s">
        <v>84</v>
      </c>
      <c r="I2193" s="80" t="s">
        <v>84</v>
      </c>
      <c r="J2193" s="80" t="s">
        <v>84</v>
      </c>
      <c r="K2193" s="80" t="s">
        <v>84</v>
      </c>
      <c r="L2193" s="80" t="s">
        <v>84</v>
      </c>
      <c r="M2193" s="80" t="s">
        <v>84</v>
      </c>
      <c r="N2193" s="80" t="s">
        <v>84</v>
      </c>
      <c r="O2193" s="80" t="s">
        <v>84</v>
      </c>
      <c r="P2193" s="80"/>
      <c r="Q2193" s="80" t="s">
        <v>84</v>
      </c>
      <c r="R2193" s="80" t="s">
        <v>84</v>
      </c>
    </row>
    <row r="2194" spans="1:18" ht="20" x14ac:dyDescent="0.2">
      <c r="A2194" s="80" t="s">
        <v>10446</v>
      </c>
      <c r="B2194" s="80" t="s">
        <v>10447</v>
      </c>
      <c r="C2194" s="80" t="s">
        <v>84</v>
      </c>
      <c r="D2194" s="80" t="s">
        <v>84</v>
      </c>
      <c r="E2194" s="80" t="s">
        <v>84</v>
      </c>
      <c r="F2194" s="80"/>
      <c r="G2194" s="80" t="s">
        <v>84</v>
      </c>
      <c r="H2194" s="80" t="s">
        <v>84</v>
      </c>
      <c r="I2194" s="80" t="s">
        <v>84</v>
      </c>
      <c r="J2194" s="80" t="s">
        <v>84</v>
      </c>
      <c r="K2194" s="80" t="s">
        <v>84</v>
      </c>
      <c r="L2194" s="80" t="s">
        <v>84</v>
      </c>
      <c r="M2194" s="80" t="s">
        <v>84</v>
      </c>
      <c r="N2194" s="80" t="s">
        <v>84</v>
      </c>
      <c r="O2194" s="80" t="s">
        <v>84</v>
      </c>
      <c r="P2194" s="80"/>
      <c r="Q2194" s="80" t="s">
        <v>84</v>
      </c>
      <c r="R2194" s="80" t="s">
        <v>84</v>
      </c>
    </row>
    <row r="2195" spans="1:18" ht="20" x14ac:dyDescent="0.2">
      <c r="A2195" s="80" t="s">
        <v>10448</v>
      </c>
      <c r="B2195" s="80" t="s">
        <v>10449</v>
      </c>
      <c r="C2195" s="80" t="s">
        <v>84</v>
      </c>
      <c r="D2195" s="80" t="s">
        <v>84</v>
      </c>
      <c r="E2195" s="80" t="s">
        <v>84</v>
      </c>
      <c r="F2195" s="80"/>
      <c r="G2195" s="80" t="s">
        <v>84</v>
      </c>
      <c r="H2195" s="80" t="s">
        <v>84</v>
      </c>
      <c r="I2195" s="80" t="s">
        <v>84</v>
      </c>
      <c r="J2195" s="80" t="s">
        <v>84</v>
      </c>
      <c r="K2195" s="80" t="s">
        <v>84</v>
      </c>
      <c r="L2195" s="80" t="s">
        <v>84</v>
      </c>
      <c r="M2195" s="80" t="s">
        <v>84</v>
      </c>
      <c r="N2195" s="80" t="s">
        <v>84</v>
      </c>
      <c r="O2195" s="80" t="s">
        <v>84</v>
      </c>
      <c r="P2195" s="80"/>
      <c r="Q2195" s="80" t="s">
        <v>84</v>
      </c>
      <c r="R2195" s="80" t="s">
        <v>84</v>
      </c>
    </row>
    <row r="2196" spans="1:18" ht="20" x14ac:dyDescent="0.2">
      <c r="A2196" s="80" t="s">
        <v>10450</v>
      </c>
      <c r="B2196" s="80" t="s">
        <v>10451</v>
      </c>
      <c r="C2196" s="80" t="s">
        <v>84</v>
      </c>
      <c r="D2196" s="80" t="s">
        <v>84</v>
      </c>
      <c r="E2196" s="80" t="s">
        <v>84</v>
      </c>
      <c r="F2196" s="80"/>
      <c r="G2196" s="80" t="s">
        <v>84</v>
      </c>
      <c r="H2196" s="80" t="s">
        <v>84</v>
      </c>
      <c r="I2196" s="80" t="s">
        <v>84</v>
      </c>
      <c r="J2196" s="80" t="s">
        <v>84</v>
      </c>
      <c r="K2196" s="80" t="s">
        <v>84</v>
      </c>
      <c r="L2196" s="80" t="s">
        <v>84</v>
      </c>
      <c r="M2196" s="80" t="s">
        <v>84</v>
      </c>
      <c r="N2196" s="80" t="s">
        <v>84</v>
      </c>
      <c r="O2196" s="80" t="s">
        <v>84</v>
      </c>
      <c r="P2196" s="80"/>
      <c r="Q2196" s="80" t="s">
        <v>84</v>
      </c>
      <c r="R2196" s="80" t="s">
        <v>84</v>
      </c>
    </row>
    <row r="2197" spans="1:18" ht="20" x14ac:dyDescent="0.2">
      <c r="A2197" s="80" t="s">
        <v>10452</v>
      </c>
      <c r="B2197" s="80" t="s">
        <v>10453</v>
      </c>
      <c r="C2197" s="80" t="s">
        <v>84</v>
      </c>
      <c r="D2197" s="80" t="s">
        <v>84</v>
      </c>
      <c r="E2197" s="80" t="s">
        <v>84</v>
      </c>
      <c r="F2197" s="80"/>
      <c r="G2197" s="80" t="s">
        <v>84</v>
      </c>
      <c r="H2197" s="80" t="s">
        <v>84</v>
      </c>
      <c r="I2197" s="80" t="s">
        <v>84</v>
      </c>
      <c r="J2197" s="80" t="s">
        <v>84</v>
      </c>
      <c r="K2197" s="80" t="s">
        <v>84</v>
      </c>
      <c r="L2197" s="80" t="s">
        <v>84</v>
      </c>
      <c r="M2197" s="80" t="s">
        <v>84</v>
      </c>
      <c r="N2197" s="80" t="s">
        <v>84</v>
      </c>
      <c r="O2197" s="80" t="s">
        <v>84</v>
      </c>
      <c r="P2197" s="80"/>
      <c r="Q2197" s="80" t="s">
        <v>84</v>
      </c>
      <c r="R2197" s="80" t="s">
        <v>84</v>
      </c>
    </row>
    <row r="2198" spans="1:18" ht="20" x14ac:dyDescent="0.2">
      <c r="A2198" s="80" t="s">
        <v>10454</v>
      </c>
      <c r="B2198" s="80" t="s">
        <v>10455</v>
      </c>
      <c r="C2198" s="80" t="s">
        <v>84</v>
      </c>
      <c r="D2198" s="80" t="s">
        <v>84</v>
      </c>
      <c r="E2198" s="80" t="s">
        <v>84</v>
      </c>
      <c r="F2198" s="80"/>
      <c r="G2198" s="80" t="s">
        <v>84</v>
      </c>
      <c r="H2198" s="80" t="s">
        <v>84</v>
      </c>
      <c r="I2198" s="80" t="s">
        <v>84</v>
      </c>
      <c r="J2198" s="80" t="s">
        <v>84</v>
      </c>
      <c r="K2198" s="80" t="s">
        <v>84</v>
      </c>
      <c r="L2198" s="80" t="s">
        <v>84</v>
      </c>
      <c r="M2198" s="80" t="s">
        <v>84</v>
      </c>
      <c r="N2198" s="80" t="s">
        <v>84</v>
      </c>
      <c r="O2198" s="80" t="s">
        <v>84</v>
      </c>
      <c r="P2198" s="80"/>
      <c r="Q2198" s="80" t="s">
        <v>84</v>
      </c>
      <c r="R2198" s="80" t="s">
        <v>84</v>
      </c>
    </row>
    <row r="2199" spans="1:18" ht="20" x14ac:dyDescent="0.2">
      <c r="A2199" s="80" t="s">
        <v>6256</v>
      </c>
      <c r="B2199" s="80" t="s">
        <v>10456</v>
      </c>
      <c r="C2199" s="80" t="s">
        <v>84</v>
      </c>
      <c r="D2199" s="80" t="s">
        <v>84</v>
      </c>
      <c r="E2199" s="80" t="s">
        <v>84</v>
      </c>
      <c r="F2199" s="80"/>
      <c r="G2199" s="80" t="s">
        <v>84</v>
      </c>
      <c r="H2199" s="80" t="s">
        <v>84</v>
      </c>
      <c r="I2199" s="80" t="s">
        <v>84</v>
      </c>
      <c r="J2199" s="80" t="s">
        <v>84</v>
      </c>
      <c r="K2199" s="80" t="s">
        <v>84</v>
      </c>
      <c r="L2199" s="80" t="s">
        <v>84</v>
      </c>
      <c r="M2199" s="80" t="s">
        <v>84</v>
      </c>
      <c r="N2199" s="80" t="s">
        <v>84</v>
      </c>
      <c r="O2199" s="80" t="s">
        <v>84</v>
      </c>
      <c r="P2199" s="80"/>
      <c r="Q2199" s="80" t="s">
        <v>84</v>
      </c>
      <c r="R2199" s="80" t="s">
        <v>84</v>
      </c>
    </row>
    <row r="2200" spans="1:18" ht="20" x14ac:dyDescent="0.2">
      <c r="A2200" s="80" t="s">
        <v>6256</v>
      </c>
      <c r="B2200" s="80" t="s">
        <v>6257</v>
      </c>
      <c r="C2200" s="80" t="s">
        <v>84</v>
      </c>
      <c r="D2200" s="80" t="s">
        <v>84</v>
      </c>
      <c r="E2200" s="80" t="s">
        <v>84</v>
      </c>
      <c r="F2200" s="80"/>
      <c r="G2200" s="80" t="s">
        <v>84</v>
      </c>
      <c r="H2200" s="80" t="s">
        <v>84</v>
      </c>
      <c r="I2200" s="80" t="s">
        <v>84</v>
      </c>
      <c r="J2200" s="80" t="s">
        <v>84</v>
      </c>
      <c r="K2200" s="80" t="s">
        <v>84</v>
      </c>
      <c r="L2200" s="80" t="s">
        <v>84</v>
      </c>
      <c r="M2200" s="80" t="s">
        <v>84</v>
      </c>
      <c r="N2200" s="80" t="s">
        <v>84</v>
      </c>
      <c r="O2200" s="80" t="s">
        <v>84</v>
      </c>
      <c r="P2200" s="80"/>
      <c r="Q2200" s="80" t="s">
        <v>84</v>
      </c>
      <c r="R2200" s="80" t="s">
        <v>84</v>
      </c>
    </row>
    <row r="2201" spans="1:18" ht="20" x14ac:dyDescent="0.2">
      <c r="A2201" s="80" t="s">
        <v>6258</v>
      </c>
      <c r="B2201" s="80" t="s">
        <v>10457</v>
      </c>
      <c r="C2201" s="80" t="s">
        <v>84</v>
      </c>
      <c r="D2201" s="80" t="s">
        <v>84</v>
      </c>
      <c r="E2201" s="80" t="s">
        <v>84</v>
      </c>
      <c r="F2201" s="80"/>
      <c r="G2201" s="80" t="s">
        <v>84</v>
      </c>
      <c r="H2201" s="80" t="s">
        <v>84</v>
      </c>
      <c r="I2201" s="80" t="s">
        <v>84</v>
      </c>
      <c r="J2201" s="80" t="s">
        <v>84</v>
      </c>
      <c r="K2201" s="80" t="s">
        <v>84</v>
      </c>
      <c r="L2201" s="80" t="s">
        <v>84</v>
      </c>
      <c r="M2201" s="80" t="s">
        <v>84</v>
      </c>
      <c r="N2201" s="80" t="s">
        <v>84</v>
      </c>
      <c r="O2201" s="80" t="s">
        <v>84</v>
      </c>
      <c r="P2201" s="80"/>
      <c r="Q2201" s="80" t="s">
        <v>84</v>
      </c>
      <c r="R2201" s="80" t="s">
        <v>84</v>
      </c>
    </row>
    <row r="2202" spans="1:18" ht="20" x14ac:dyDescent="0.2">
      <c r="A2202" s="80" t="s">
        <v>6258</v>
      </c>
      <c r="B2202" s="80" t="s">
        <v>6259</v>
      </c>
      <c r="C2202" s="80" t="s">
        <v>84</v>
      </c>
      <c r="D2202" s="80" t="s">
        <v>84</v>
      </c>
      <c r="E2202" s="80" t="s">
        <v>84</v>
      </c>
      <c r="F2202" s="80"/>
      <c r="G2202" s="80" t="s">
        <v>84</v>
      </c>
      <c r="H2202" s="80" t="s">
        <v>84</v>
      </c>
      <c r="I2202" s="80" t="s">
        <v>84</v>
      </c>
      <c r="J2202" s="80" t="s">
        <v>84</v>
      </c>
      <c r="K2202" s="80" t="s">
        <v>84</v>
      </c>
      <c r="L2202" s="80" t="s">
        <v>84</v>
      </c>
      <c r="M2202" s="80" t="s">
        <v>84</v>
      </c>
      <c r="N2202" s="80" t="s">
        <v>84</v>
      </c>
      <c r="O2202" s="80" t="s">
        <v>84</v>
      </c>
      <c r="P2202" s="80"/>
      <c r="Q2202" s="80" t="s">
        <v>84</v>
      </c>
      <c r="R2202" s="80" t="s">
        <v>84</v>
      </c>
    </row>
    <row r="2203" spans="1:18" ht="20" x14ac:dyDescent="0.2">
      <c r="A2203" s="80" t="s">
        <v>6349</v>
      </c>
      <c r="B2203" s="80" t="s">
        <v>10458</v>
      </c>
      <c r="C2203" s="80" t="s">
        <v>84</v>
      </c>
      <c r="D2203" s="80" t="s">
        <v>84</v>
      </c>
      <c r="E2203" s="80" t="s">
        <v>84</v>
      </c>
      <c r="F2203" s="80"/>
      <c r="G2203" s="80" t="s">
        <v>84</v>
      </c>
      <c r="H2203" s="80" t="s">
        <v>84</v>
      </c>
      <c r="I2203" s="80" t="s">
        <v>84</v>
      </c>
      <c r="J2203" s="80" t="s">
        <v>84</v>
      </c>
      <c r="K2203" s="80" t="s">
        <v>84</v>
      </c>
      <c r="L2203" s="80" t="s">
        <v>84</v>
      </c>
      <c r="M2203" s="80" t="s">
        <v>84</v>
      </c>
      <c r="N2203" s="80" t="s">
        <v>84</v>
      </c>
      <c r="O2203" s="80" t="s">
        <v>84</v>
      </c>
      <c r="P2203" s="80"/>
      <c r="Q2203" s="80" t="s">
        <v>84</v>
      </c>
      <c r="R2203" s="80" t="s">
        <v>84</v>
      </c>
    </row>
    <row r="2204" spans="1:18" ht="20" x14ac:dyDescent="0.2">
      <c r="A2204" s="80" t="s">
        <v>6349</v>
      </c>
      <c r="B2204" s="80" t="s">
        <v>6350</v>
      </c>
      <c r="C2204" s="80" t="s">
        <v>84</v>
      </c>
      <c r="D2204" s="80" t="s">
        <v>84</v>
      </c>
      <c r="E2204" s="80" t="s">
        <v>84</v>
      </c>
      <c r="F2204" s="80"/>
      <c r="G2204" s="80" t="s">
        <v>84</v>
      </c>
      <c r="H2204" s="80" t="s">
        <v>84</v>
      </c>
      <c r="I2204" s="80" t="s">
        <v>84</v>
      </c>
      <c r="J2204" s="80" t="s">
        <v>84</v>
      </c>
      <c r="K2204" s="80" t="s">
        <v>84</v>
      </c>
      <c r="L2204" s="80" t="s">
        <v>84</v>
      </c>
      <c r="M2204" s="80" t="s">
        <v>84</v>
      </c>
      <c r="N2204" s="80" t="s">
        <v>84</v>
      </c>
      <c r="O2204" s="80" t="s">
        <v>84</v>
      </c>
      <c r="P2204" s="80"/>
      <c r="Q2204" s="80" t="s">
        <v>84</v>
      </c>
      <c r="R2204" s="80" t="s">
        <v>84</v>
      </c>
    </row>
    <row r="2205" spans="1:18" ht="20" x14ac:dyDescent="0.2">
      <c r="A2205" s="80" t="s">
        <v>6353</v>
      </c>
      <c r="B2205" s="80" t="s">
        <v>10459</v>
      </c>
      <c r="C2205" s="80" t="s">
        <v>84</v>
      </c>
      <c r="D2205" s="80" t="s">
        <v>84</v>
      </c>
      <c r="E2205" s="80" t="s">
        <v>84</v>
      </c>
      <c r="F2205" s="80"/>
      <c r="G2205" s="80" t="s">
        <v>84</v>
      </c>
      <c r="H2205" s="80" t="s">
        <v>84</v>
      </c>
      <c r="I2205" s="80" t="s">
        <v>84</v>
      </c>
      <c r="J2205" s="80" t="s">
        <v>84</v>
      </c>
      <c r="K2205" s="80" t="s">
        <v>84</v>
      </c>
      <c r="L2205" s="80" t="s">
        <v>84</v>
      </c>
      <c r="M2205" s="80" t="s">
        <v>84</v>
      </c>
      <c r="N2205" s="80" t="s">
        <v>84</v>
      </c>
      <c r="O2205" s="80" t="s">
        <v>84</v>
      </c>
      <c r="P2205" s="80"/>
      <c r="Q2205" s="80" t="s">
        <v>84</v>
      </c>
      <c r="R2205" s="80" t="s">
        <v>84</v>
      </c>
    </row>
    <row r="2206" spans="1:18" ht="20" x14ac:dyDescent="0.2">
      <c r="A2206" s="80" t="s">
        <v>6353</v>
      </c>
      <c r="B2206" s="80" t="s">
        <v>6354</v>
      </c>
      <c r="C2206" s="80" t="s">
        <v>84</v>
      </c>
      <c r="D2206" s="80" t="s">
        <v>84</v>
      </c>
      <c r="E2206" s="80" t="s">
        <v>84</v>
      </c>
      <c r="F2206" s="80"/>
      <c r="G2206" s="80" t="s">
        <v>84</v>
      </c>
      <c r="H2206" s="80" t="s">
        <v>84</v>
      </c>
      <c r="I2206" s="80" t="s">
        <v>84</v>
      </c>
      <c r="J2206" s="80" t="s">
        <v>84</v>
      </c>
      <c r="K2206" s="80" t="s">
        <v>84</v>
      </c>
      <c r="L2206" s="80" t="s">
        <v>84</v>
      </c>
      <c r="M2206" s="80" t="s">
        <v>84</v>
      </c>
      <c r="N2206" s="80" t="s">
        <v>84</v>
      </c>
      <c r="O2206" s="80" t="s">
        <v>84</v>
      </c>
      <c r="P2206" s="80"/>
      <c r="Q2206" s="80" t="s">
        <v>84</v>
      </c>
      <c r="R2206" s="80" t="s">
        <v>84</v>
      </c>
    </row>
    <row r="2207" spans="1:18" ht="20" x14ac:dyDescent="0.2">
      <c r="A2207" s="80" t="s">
        <v>6355</v>
      </c>
      <c r="B2207" s="80" t="s">
        <v>10460</v>
      </c>
      <c r="C2207" s="80" t="s">
        <v>84</v>
      </c>
      <c r="D2207" s="80" t="s">
        <v>84</v>
      </c>
      <c r="E2207" s="80" t="s">
        <v>84</v>
      </c>
      <c r="F2207" s="80"/>
      <c r="G2207" s="80" t="s">
        <v>84</v>
      </c>
      <c r="H2207" s="80" t="s">
        <v>84</v>
      </c>
      <c r="I2207" s="80" t="s">
        <v>84</v>
      </c>
      <c r="J2207" s="80" t="s">
        <v>84</v>
      </c>
      <c r="K2207" s="80" t="s">
        <v>84</v>
      </c>
      <c r="L2207" s="80" t="s">
        <v>84</v>
      </c>
      <c r="M2207" s="80" t="s">
        <v>84</v>
      </c>
      <c r="N2207" s="80" t="s">
        <v>84</v>
      </c>
      <c r="O2207" s="80" t="s">
        <v>84</v>
      </c>
      <c r="P2207" s="80"/>
      <c r="Q2207" s="80" t="s">
        <v>84</v>
      </c>
      <c r="R2207" s="80" t="s">
        <v>84</v>
      </c>
    </row>
    <row r="2208" spans="1:18" ht="20" x14ac:dyDescent="0.2">
      <c r="A2208" s="80" t="s">
        <v>6355</v>
      </c>
      <c r="B2208" s="80" t="s">
        <v>6356</v>
      </c>
      <c r="C2208" s="80" t="s">
        <v>84</v>
      </c>
      <c r="D2208" s="80" t="s">
        <v>84</v>
      </c>
      <c r="E2208" s="80" t="s">
        <v>84</v>
      </c>
      <c r="F2208" s="80"/>
      <c r="G2208" s="80" t="s">
        <v>84</v>
      </c>
      <c r="H2208" s="80" t="s">
        <v>84</v>
      </c>
      <c r="I2208" s="80" t="s">
        <v>84</v>
      </c>
      <c r="J2208" s="80" t="s">
        <v>84</v>
      </c>
      <c r="K2208" s="80" t="s">
        <v>84</v>
      </c>
      <c r="L2208" s="80" t="s">
        <v>84</v>
      </c>
      <c r="M2208" s="80" t="s">
        <v>84</v>
      </c>
      <c r="N2208" s="80" t="s">
        <v>84</v>
      </c>
      <c r="O2208" s="80" t="s">
        <v>84</v>
      </c>
      <c r="P2208" s="80"/>
      <c r="Q2208" s="80" t="s">
        <v>84</v>
      </c>
      <c r="R2208" s="80" t="s">
        <v>84</v>
      </c>
    </row>
    <row r="2209" spans="1:18" ht="20" x14ac:dyDescent="0.2">
      <c r="A2209" s="80" t="s">
        <v>10461</v>
      </c>
      <c r="B2209" s="80" t="s">
        <v>10462</v>
      </c>
      <c r="C2209" s="80" t="s">
        <v>84</v>
      </c>
      <c r="D2209" s="80" t="s">
        <v>84</v>
      </c>
      <c r="E2209" s="80" t="s">
        <v>84</v>
      </c>
      <c r="F2209" s="80"/>
      <c r="G2209" s="80" t="s">
        <v>84</v>
      </c>
      <c r="H2209" s="80" t="s">
        <v>84</v>
      </c>
      <c r="I2209" s="80" t="s">
        <v>84</v>
      </c>
      <c r="J2209" s="80" t="s">
        <v>84</v>
      </c>
      <c r="K2209" s="80" t="s">
        <v>84</v>
      </c>
      <c r="L2209" s="80" t="s">
        <v>84</v>
      </c>
      <c r="M2209" s="80" t="s">
        <v>84</v>
      </c>
      <c r="N2209" s="80" t="s">
        <v>84</v>
      </c>
      <c r="O2209" s="80" t="s">
        <v>84</v>
      </c>
      <c r="P2209" s="80"/>
      <c r="Q2209" s="80" t="s">
        <v>84</v>
      </c>
      <c r="R2209" s="80" t="s">
        <v>84</v>
      </c>
    </row>
    <row r="2210" spans="1:18" ht="20" x14ac:dyDescent="0.2">
      <c r="A2210" s="80" t="s">
        <v>6357</v>
      </c>
      <c r="B2210" s="80" t="s">
        <v>10463</v>
      </c>
      <c r="C2210" s="80" t="s">
        <v>84</v>
      </c>
      <c r="D2210" s="80" t="s">
        <v>84</v>
      </c>
      <c r="E2210" s="80" t="s">
        <v>84</v>
      </c>
      <c r="F2210" s="80"/>
      <c r="G2210" s="80" t="s">
        <v>84</v>
      </c>
      <c r="H2210" s="80" t="s">
        <v>84</v>
      </c>
      <c r="I2210" s="80" t="s">
        <v>84</v>
      </c>
      <c r="J2210" s="80" t="s">
        <v>84</v>
      </c>
      <c r="K2210" s="80" t="s">
        <v>84</v>
      </c>
      <c r="L2210" s="80" t="s">
        <v>84</v>
      </c>
      <c r="M2210" s="80" t="s">
        <v>84</v>
      </c>
      <c r="N2210" s="80" t="s">
        <v>84</v>
      </c>
      <c r="O2210" s="80" t="s">
        <v>84</v>
      </c>
      <c r="P2210" s="80"/>
      <c r="Q2210" s="80" t="s">
        <v>84</v>
      </c>
      <c r="R2210" s="80" t="s">
        <v>84</v>
      </c>
    </row>
    <row r="2211" spans="1:18" ht="20" x14ac:dyDescent="0.2">
      <c r="A2211" s="80" t="s">
        <v>6357</v>
      </c>
      <c r="B2211" s="80" t="s">
        <v>6358</v>
      </c>
      <c r="C2211" s="80" t="s">
        <v>84</v>
      </c>
      <c r="D2211" s="80" t="s">
        <v>84</v>
      </c>
      <c r="E2211" s="80" t="s">
        <v>84</v>
      </c>
      <c r="F2211" s="80"/>
      <c r="G2211" s="80" t="s">
        <v>84</v>
      </c>
      <c r="H2211" s="80" t="s">
        <v>84</v>
      </c>
      <c r="I2211" s="80" t="s">
        <v>84</v>
      </c>
      <c r="J2211" s="80" t="s">
        <v>84</v>
      </c>
      <c r="K2211" s="80" t="s">
        <v>84</v>
      </c>
      <c r="L2211" s="80" t="s">
        <v>84</v>
      </c>
      <c r="M2211" s="80" t="s">
        <v>84</v>
      </c>
      <c r="N2211" s="80" t="s">
        <v>84</v>
      </c>
      <c r="O2211" s="80" t="s">
        <v>84</v>
      </c>
      <c r="P2211" s="80"/>
      <c r="Q2211" s="80" t="s">
        <v>84</v>
      </c>
      <c r="R2211" s="80" t="s">
        <v>84</v>
      </c>
    </row>
    <row r="2212" spans="1:18" ht="20" x14ac:dyDescent="0.2">
      <c r="A2212" s="80" t="s">
        <v>10464</v>
      </c>
      <c r="B2212" s="80" t="s">
        <v>10465</v>
      </c>
      <c r="C2212" s="80" t="s">
        <v>84</v>
      </c>
      <c r="D2212" s="80" t="s">
        <v>84</v>
      </c>
      <c r="E2212" s="80" t="s">
        <v>84</v>
      </c>
      <c r="F2212" s="80"/>
      <c r="G2212" s="80" t="s">
        <v>84</v>
      </c>
      <c r="H2212" s="80" t="s">
        <v>84</v>
      </c>
      <c r="I2212" s="80" t="s">
        <v>84</v>
      </c>
      <c r="J2212" s="80" t="s">
        <v>84</v>
      </c>
      <c r="K2212" s="80" t="s">
        <v>84</v>
      </c>
      <c r="L2212" s="80" t="s">
        <v>84</v>
      </c>
      <c r="M2212" s="80" t="s">
        <v>84</v>
      </c>
      <c r="N2212" s="80" t="s">
        <v>84</v>
      </c>
      <c r="O2212" s="80" t="s">
        <v>84</v>
      </c>
      <c r="P2212" s="80"/>
      <c r="Q2212" s="80" t="s">
        <v>84</v>
      </c>
      <c r="R2212" s="80" t="s">
        <v>84</v>
      </c>
    </row>
    <row r="2213" spans="1:18" ht="20" x14ac:dyDescent="0.2">
      <c r="A2213" s="80" t="s">
        <v>10466</v>
      </c>
      <c r="B2213" s="80" t="s">
        <v>10467</v>
      </c>
      <c r="C2213" s="80" t="s">
        <v>84</v>
      </c>
      <c r="D2213" s="80" t="s">
        <v>84</v>
      </c>
      <c r="E2213" s="80" t="s">
        <v>84</v>
      </c>
      <c r="F2213" s="80"/>
      <c r="G2213" s="80" t="s">
        <v>84</v>
      </c>
      <c r="H2213" s="80" t="s">
        <v>84</v>
      </c>
      <c r="I2213" s="80" t="s">
        <v>84</v>
      </c>
      <c r="J2213" s="80" t="s">
        <v>84</v>
      </c>
      <c r="K2213" s="80" t="s">
        <v>84</v>
      </c>
      <c r="L2213" s="80" t="s">
        <v>84</v>
      </c>
      <c r="M2213" s="80" t="s">
        <v>84</v>
      </c>
      <c r="N2213" s="80" t="s">
        <v>84</v>
      </c>
      <c r="O2213" s="80" t="s">
        <v>84</v>
      </c>
      <c r="P2213" s="80"/>
      <c r="Q2213" s="80" t="s">
        <v>84</v>
      </c>
      <c r="R2213" s="80" t="s">
        <v>84</v>
      </c>
    </row>
    <row r="2214" spans="1:18" ht="20" x14ac:dyDescent="0.2">
      <c r="A2214" s="80" t="s">
        <v>6719</v>
      </c>
      <c r="B2214" s="80" t="s">
        <v>10468</v>
      </c>
      <c r="C2214" s="80" t="s">
        <v>9680</v>
      </c>
      <c r="D2214" s="80" t="s">
        <v>84</v>
      </c>
      <c r="E2214" s="80" t="s">
        <v>84</v>
      </c>
      <c r="F2214" s="80"/>
      <c r="G2214" s="80" t="s">
        <v>84</v>
      </c>
      <c r="H2214" s="80" t="s">
        <v>84</v>
      </c>
      <c r="I2214" s="80" t="s">
        <v>84</v>
      </c>
      <c r="J2214" s="80" t="s">
        <v>84</v>
      </c>
      <c r="K2214" s="80" t="s">
        <v>84</v>
      </c>
      <c r="L2214" s="80" t="s">
        <v>84</v>
      </c>
      <c r="M2214" s="80" t="s">
        <v>9680</v>
      </c>
      <c r="N2214" s="80" t="s">
        <v>84</v>
      </c>
      <c r="O2214" s="80" t="s">
        <v>84</v>
      </c>
      <c r="P2214" s="80"/>
      <c r="Q2214" s="80" t="s">
        <v>84</v>
      </c>
      <c r="R2214" s="80" t="s">
        <v>84</v>
      </c>
    </row>
    <row r="2215" spans="1:18" ht="20" x14ac:dyDescent="0.2">
      <c r="A2215" s="80" t="s">
        <v>6719</v>
      </c>
      <c r="B2215" s="80" t="s">
        <v>6720</v>
      </c>
      <c r="C2215" s="80" t="s">
        <v>9680</v>
      </c>
      <c r="D2215" s="80" t="s">
        <v>84</v>
      </c>
      <c r="E2215" s="80" t="s">
        <v>84</v>
      </c>
      <c r="F2215" s="80"/>
      <c r="G2215" s="80" t="s">
        <v>84</v>
      </c>
      <c r="H2215" s="80" t="s">
        <v>84</v>
      </c>
      <c r="I2215" s="80" t="s">
        <v>84</v>
      </c>
      <c r="J2215" s="80" t="s">
        <v>84</v>
      </c>
      <c r="K2215" s="80" t="s">
        <v>84</v>
      </c>
      <c r="L2215" s="80" t="s">
        <v>84</v>
      </c>
      <c r="M2215" s="80" t="s">
        <v>9680</v>
      </c>
      <c r="N2215" s="80" t="s">
        <v>84</v>
      </c>
      <c r="O2215" s="80" t="s">
        <v>84</v>
      </c>
      <c r="P2215" s="80"/>
      <c r="Q2215" s="80" t="s">
        <v>84</v>
      </c>
      <c r="R2215" s="80" t="s">
        <v>84</v>
      </c>
    </row>
    <row r="2216" spans="1:18" ht="20" x14ac:dyDescent="0.2">
      <c r="A2216" s="80" t="s">
        <v>10469</v>
      </c>
      <c r="B2216" s="80" t="s">
        <v>10470</v>
      </c>
      <c r="C2216" s="80" t="s">
        <v>84</v>
      </c>
      <c r="D2216" s="80" t="s">
        <v>84</v>
      </c>
      <c r="E2216" s="80" t="s">
        <v>84</v>
      </c>
      <c r="F2216" s="80"/>
      <c r="G2216" s="80" t="s">
        <v>84</v>
      </c>
      <c r="H2216" s="80" t="s">
        <v>84</v>
      </c>
      <c r="I2216" s="80" t="s">
        <v>84</v>
      </c>
      <c r="J2216" s="80" t="s">
        <v>84</v>
      </c>
      <c r="K2216" s="80" t="s">
        <v>84</v>
      </c>
      <c r="L2216" s="80" t="s">
        <v>84</v>
      </c>
      <c r="M2216" s="80" t="s">
        <v>84</v>
      </c>
      <c r="N2216" s="80" t="s">
        <v>84</v>
      </c>
      <c r="O2216" s="80" t="s">
        <v>84</v>
      </c>
      <c r="P2216" s="80"/>
      <c r="Q2216" s="80" t="s">
        <v>84</v>
      </c>
      <c r="R2216" s="80" t="s">
        <v>84</v>
      </c>
    </row>
    <row r="2217" spans="1:18" ht="20" x14ac:dyDescent="0.2">
      <c r="A2217" s="80" t="s">
        <v>6335</v>
      </c>
      <c r="B2217" s="80" t="s">
        <v>10471</v>
      </c>
      <c r="C2217" s="80" t="s">
        <v>84</v>
      </c>
      <c r="D2217" s="80" t="s">
        <v>84</v>
      </c>
      <c r="E2217" s="80" t="s">
        <v>84</v>
      </c>
      <c r="F2217" s="80"/>
      <c r="G2217" s="80" t="s">
        <v>84</v>
      </c>
      <c r="H2217" s="80" t="s">
        <v>84</v>
      </c>
      <c r="I2217" s="80" t="s">
        <v>84</v>
      </c>
      <c r="J2217" s="80" t="s">
        <v>84</v>
      </c>
      <c r="K2217" s="80" t="s">
        <v>84</v>
      </c>
      <c r="L2217" s="80" t="s">
        <v>84</v>
      </c>
      <c r="M2217" s="80" t="s">
        <v>84</v>
      </c>
      <c r="N2217" s="80" t="s">
        <v>84</v>
      </c>
      <c r="O2217" s="80" t="s">
        <v>84</v>
      </c>
      <c r="P2217" s="80"/>
      <c r="Q2217" s="80" t="s">
        <v>84</v>
      </c>
      <c r="R2217" s="80" t="s">
        <v>84</v>
      </c>
    </row>
    <row r="2218" spans="1:18" ht="20" x14ac:dyDescent="0.2">
      <c r="A2218" s="80" t="s">
        <v>6335</v>
      </c>
      <c r="B2218" s="80" t="s">
        <v>6336</v>
      </c>
      <c r="C2218" s="80" t="s">
        <v>84</v>
      </c>
      <c r="D2218" s="80" t="s">
        <v>84</v>
      </c>
      <c r="E2218" s="80" t="s">
        <v>84</v>
      </c>
      <c r="F2218" s="80"/>
      <c r="G2218" s="80" t="s">
        <v>84</v>
      </c>
      <c r="H2218" s="80" t="s">
        <v>84</v>
      </c>
      <c r="I2218" s="80" t="s">
        <v>84</v>
      </c>
      <c r="J2218" s="80" t="s">
        <v>84</v>
      </c>
      <c r="K2218" s="80" t="s">
        <v>84</v>
      </c>
      <c r="L2218" s="80" t="s">
        <v>84</v>
      </c>
      <c r="M2218" s="80" t="s">
        <v>84</v>
      </c>
      <c r="N2218" s="80" t="s">
        <v>84</v>
      </c>
      <c r="O2218" s="80" t="s">
        <v>84</v>
      </c>
      <c r="P2218" s="80"/>
      <c r="Q2218" s="80" t="s">
        <v>84</v>
      </c>
      <c r="R2218" s="80" t="s">
        <v>84</v>
      </c>
    </row>
    <row r="2219" spans="1:18" ht="20" x14ac:dyDescent="0.2">
      <c r="A2219" s="80" t="s">
        <v>6251</v>
      </c>
      <c r="B2219" s="80" t="s">
        <v>6252</v>
      </c>
      <c r="C2219" s="80" t="s">
        <v>84</v>
      </c>
      <c r="D2219" s="80" t="s">
        <v>84</v>
      </c>
      <c r="E2219" s="80" t="s">
        <v>84</v>
      </c>
      <c r="F2219" s="80"/>
      <c r="G2219" s="80" t="s">
        <v>84</v>
      </c>
      <c r="H2219" s="80" t="s">
        <v>84</v>
      </c>
      <c r="I2219" s="80" t="s">
        <v>84</v>
      </c>
      <c r="J2219" s="80" t="s">
        <v>84</v>
      </c>
      <c r="K2219" s="80" t="s">
        <v>84</v>
      </c>
      <c r="L2219" s="80" t="s">
        <v>84</v>
      </c>
      <c r="M2219" s="80" t="s">
        <v>84</v>
      </c>
      <c r="N2219" s="80" t="s">
        <v>84</v>
      </c>
      <c r="O2219" s="80" t="s">
        <v>84</v>
      </c>
      <c r="P2219" s="80"/>
      <c r="Q2219" s="80" t="s">
        <v>84</v>
      </c>
      <c r="R2219" s="80" t="s">
        <v>84</v>
      </c>
    </row>
    <row r="2220" spans="1:18" ht="20" x14ac:dyDescent="0.2">
      <c r="A2220" s="80" t="s">
        <v>6251</v>
      </c>
      <c r="B2220" s="80" t="s">
        <v>10472</v>
      </c>
      <c r="C2220" s="80" t="s">
        <v>84</v>
      </c>
      <c r="D2220" s="80" t="s">
        <v>84</v>
      </c>
      <c r="E2220" s="80" t="s">
        <v>84</v>
      </c>
      <c r="F2220" s="80"/>
      <c r="G2220" s="80" t="s">
        <v>84</v>
      </c>
      <c r="H2220" s="80" t="s">
        <v>84</v>
      </c>
      <c r="I2220" s="80" t="s">
        <v>84</v>
      </c>
      <c r="J2220" s="80" t="s">
        <v>84</v>
      </c>
      <c r="K2220" s="80" t="s">
        <v>84</v>
      </c>
      <c r="L2220" s="80" t="s">
        <v>84</v>
      </c>
      <c r="M2220" s="80" t="s">
        <v>84</v>
      </c>
      <c r="N2220" s="80" t="s">
        <v>84</v>
      </c>
      <c r="O2220" s="80" t="s">
        <v>84</v>
      </c>
      <c r="P2220" s="80"/>
      <c r="Q2220" s="80" t="s">
        <v>84</v>
      </c>
      <c r="R2220" s="80" t="s">
        <v>84</v>
      </c>
    </row>
    <row r="2221" spans="1:18" ht="20" x14ac:dyDescent="0.2">
      <c r="A2221" s="80" t="s">
        <v>6253</v>
      </c>
      <c r="B2221" s="80" t="s">
        <v>6254</v>
      </c>
      <c r="C2221" s="80" t="s">
        <v>84</v>
      </c>
      <c r="D2221" s="80" t="s">
        <v>84</v>
      </c>
      <c r="E2221" s="80" t="s">
        <v>84</v>
      </c>
      <c r="F2221" s="80"/>
      <c r="G2221" s="80" t="s">
        <v>84</v>
      </c>
      <c r="H2221" s="80" t="s">
        <v>84</v>
      </c>
      <c r="I2221" s="80" t="s">
        <v>84</v>
      </c>
      <c r="J2221" s="80" t="s">
        <v>84</v>
      </c>
      <c r="K2221" s="80" t="s">
        <v>84</v>
      </c>
      <c r="L2221" s="80" t="s">
        <v>84</v>
      </c>
      <c r="M2221" s="80" t="s">
        <v>84</v>
      </c>
      <c r="N2221" s="80" t="s">
        <v>84</v>
      </c>
      <c r="O2221" s="80" t="s">
        <v>84</v>
      </c>
      <c r="P2221" s="80"/>
      <c r="Q2221" s="80" t="s">
        <v>84</v>
      </c>
      <c r="R2221" s="80" t="s">
        <v>84</v>
      </c>
    </row>
    <row r="2222" spans="1:18" ht="20" x14ac:dyDescent="0.2">
      <c r="A2222" s="80" t="s">
        <v>6253</v>
      </c>
      <c r="B2222" s="80" t="s">
        <v>10473</v>
      </c>
      <c r="C2222" s="80" t="s">
        <v>84</v>
      </c>
      <c r="D2222" s="80" t="s">
        <v>84</v>
      </c>
      <c r="E2222" s="80" t="s">
        <v>84</v>
      </c>
      <c r="F2222" s="80"/>
      <c r="G2222" s="80" t="s">
        <v>84</v>
      </c>
      <c r="H2222" s="80" t="s">
        <v>84</v>
      </c>
      <c r="I2222" s="80" t="s">
        <v>84</v>
      </c>
      <c r="J2222" s="80" t="s">
        <v>84</v>
      </c>
      <c r="K2222" s="80" t="s">
        <v>84</v>
      </c>
      <c r="L2222" s="80" t="s">
        <v>84</v>
      </c>
      <c r="M2222" s="80" t="s">
        <v>84</v>
      </c>
      <c r="N2222" s="80" t="s">
        <v>84</v>
      </c>
      <c r="O2222" s="80" t="s">
        <v>84</v>
      </c>
      <c r="P2222" s="80"/>
      <c r="Q2222" s="80" t="s">
        <v>84</v>
      </c>
      <c r="R2222" s="80" t="s">
        <v>84</v>
      </c>
    </row>
    <row r="2223" spans="1:18" ht="20" x14ac:dyDescent="0.2">
      <c r="A2223" s="80" t="s">
        <v>6237</v>
      </c>
      <c r="B2223" s="80" t="s">
        <v>10474</v>
      </c>
      <c r="C2223" s="80" t="s">
        <v>84</v>
      </c>
      <c r="D2223" s="80" t="s">
        <v>84</v>
      </c>
      <c r="E2223" s="80" t="s">
        <v>84</v>
      </c>
      <c r="F2223" s="80"/>
      <c r="G2223" s="80" t="s">
        <v>84</v>
      </c>
      <c r="H2223" s="80" t="s">
        <v>84</v>
      </c>
      <c r="I2223" s="80" t="s">
        <v>84</v>
      </c>
      <c r="J2223" s="80" t="s">
        <v>84</v>
      </c>
      <c r="K2223" s="80" t="s">
        <v>84</v>
      </c>
      <c r="L2223" s="80" t="s">
        <v>84</v>
      </c>
      <c r="M2223" s="80" t="s">
        <v>84</v>
      </c>
      <c r="N2223" s="80" t="s">
        <v>84</v>
      </c>
      <c r="O2223" s="80" t="s">
        <v>84</v>
      </c>
      <c r="P2223" s="80"/>
      <c r="Q2223" s="80" t="s">
        <v>84</v>
      </c>
      <c r="R2223" s="80" t="s">
        <v>84</v>
      </c>
    </row>
    <row r="2224" spans="1:18" ht="20" x14ac:dyDescent="0.2">
      <c r="A2224" s="80" t="s">
        <v>6237</v>
      </c>
      <c r="B2224" s="80" t="s">
        <v>6238</v>
      </c>
      <c r="C2224" s="80" t="s">
        <v>84</v>
      </c>
      <c r="D2224" s="80" t="s">
        <v>84</v>
      </c>
      <c r="E2224" s="80" t="s">
        <v>84</v>
      </c>
      <c r="F2224" s="80"/>
      <c r="G2224" s="80" t="s">
        <v>84</v>
      </c>
      <c r="H2224" s="80" t="s">
        <v>84</v>
      </c>
      <c r="I2224" s="80" t="s">
        <v>84</v>
      </c>
      <c r="J2224" s="80" t="s">
        <v>84</v>
      </c>
      <c r="K2224" s="80" t="s">
        <v>84</v>
      </c>
      <c r="L2224" s="80" t="s">
        <v>84</v>
      </c>
      <c r="M2224" s="80" t="s">
        <v>84</v>
      </c>
      <c r="N2224" s="80" t="s">
        <v>84</v>
      </c>
      <c r="O2224" s="80" t="s">
        <v>84</v>
      </c>
      <c r="P2224" s="80"/>
      <c r="Q2224" s="80" t="s">
        <v>84</v>
      </c>
      <c r="R2224" s="80" t="s">
        <v>84</v>
      </c>
    </row>
    <row r="2225" spans="1:18" ht="20" x14ac:dyDescent="0.2">
      <c r="A2225" s="80" t="s">
        <v>6239</v>
      </c>
      <c r="B2225" s="80" t="s">
        <v>10475</v>
      </c>
      <c r="C2225" s="80" t="s">
        <v>84</v>
      </c>
      <c r="D2225" s="80" t="s">
        <v>84</v>
      </c>
      <c r="E2225" s="80" t="s">
        <v>84</v>
      </c>
      <c r="F2225" s="80"/>
      <c r="G2225" s="80" t="s">
        <v>84</v>
      </c>
      <c r="H2225" s="80" t="s">
        <v>84</v>
      </c>
      <c r="I2225" s="80" t="s">
        <v>84</v>
      </c>
      <c r="J2225" s="80" t="s">
        <v>84</v>
      </c>
      <c r="K2225" s="80" t="s">
        <v>84</v>
      </c>
      <c r="L2225" s="80" t="s">
        <v>84</v>
      </c>
      <c r="M2225" s="80" t="s">
        <v>84</v>
      </c>
      <c r="N2225" s="80" t="s">
        <v>84</v>
      </c>
      <c r="O2225" s="80" t="s">
        <v>84</v>
      </c>
      <c r="P2225" s="80"/>
      <c r="Q2225" s="80" t="s">
        <v>84</v>
      </c>
      <c r="R2225" s="80" t="s">
        <v>84</v>
      </c>
    </row>
    <row r="2226" spans="1:18" ht="20" x14ac:dyDescent="0.2">
      <c r="A2226" s="80" t="s">
        <v>6239</v>
      </c>
      <c r="B2226" s="80" t="s">
        <v>6240</v>
      </c>
      <c r="C2226" s="80" t="s">
        <v>84</v>
      </c>
      <c r="D2226" s="80" t="s">
        <v>84</v>
      </c>
      <c r="E2226" s="80" t="s">
        <v>84</v>
      </c>
      <c r="F2226" s="80"/>
      <c r="G2226" s="80" t="s">
        <v>84</v>
      </c>
      <c r="H2226" s="80" t="s">
        <v>84</v>
      </c>
      <c r="I2226" s="80" t="s">
        <v>84</v>
      </c>
      <c r="J2226" s="80" t="s">
        <v>84</v>
      </c>
      <c r="K2226" s="80" t="s">
        <v>84</v>
      </c>
      <c r="L2226" s="80" t="s">
        <v>84</v>
      </c>
      <c r="M2226" s="80" t="s">
        <v>84</v>
      </c>
      <c r="N2226" s="80" t="s">
        <v>84</v>
      </c>
      <c r="O2226" s="80" t="s">
        <v>84</v>
      </c>
      <c r="P2226" s="80"/>
      <c r="Q2226" s="80" t="s">
        <v>84</v>
      </c>
      <c r="R2226" s="80" t="s">
        <v>84</v>
      </c>
    </row>
    <row r="2227" spans="1:18" ht="20" x14ac:dyDescent="0.2">
      <c r="A2227" s="80" t="s">
        <v>6241</v>
      </c>
      <c r="B2227" s="80" t="s">
        <v>10476</v>
      </c>
      <c r="C2227" s="80" t="s">
        <v>84</v>
      </c>
      <c r="D2227" s="80" t="s">
        <v>84</v>
      </c>
      <c r="E2227" s="80" t="s">
        <v>84</v>
      </c>
      <c r="F2227" s="80"/>
      <c r="G2227" s="80" t="s">
        <v>84</v>
      </c>
      <c r="H2227" s="80" t="s">
        <v>84</v>
      </c>
      <c r="I2227" s="80" t="s">
        <v>84</v>
      </c>
      <c r="J2227" s="80" t="s">
        <v>84</v>
      </c>
      <c r="K2227" s="80" t="s">
        <v>84</v>
      </c>
      <c r="L2227" s="80" t="s">
        <v>84</v>
      </c>
      <c r="M2227" s="80" t="s">
        <v>84</v>
      </c>
      <c r="N2227" s="80" t="s">
        <v>84</v>
      </c>
      <c r="O2227" s="80" t="s">
        <v>84</v>
      </c>
      <c r="P2227" s="80"/>
      <c r="Q2227" s="80" t="s">
        <v>84</v>
      </c>
      <c r="R2227" s="80" t="s">
        <v>84</v>
      </c>
    </row>
    <row r="2228" spans="1:18" ht="20" x14ac:dyDescent="0.2">
      <c r="A2228" s="80" t="s">
        <v>6241</v>
      </c>
      <c r="B2228" s="80" t="s">
        <v>6242</v>
      </c>
      <c r="C2228" s="80" t="s">
        <v>84</v>
      </c>
      <c r="D2228" s="80" t="s">
        <v>84</v>
      </c>
      <c r="E2228" s="80" t="s">
        <v>84</v>
      </c>
      <c r="F2228" s="80"/>
      <c r="G2228" s="80" t="s">
        <v>84</v>
      </c>
      <c r="H2228" s="80" t="s">
        <v>84</v>
      </c>
      <c r="I2228" s="80" t="s">
        <v>84</v>
      </c>
      <c r="J2228" s="80" t="s">
        <v>84</v>
      </c>
      <c r="K2228" s="80" t="s">
        <v>84</v>
      </c>
      <c r="L2228" s="80" t="s">
        <v>84</v>
      </c>
      <c r="M2228" s="80" t="s">
        <v>84</v>
      </c>
      <c r="N2228" s="80" t="s">
        <v>84</v>
      </c>
      <c r="O2228" s="80" t="s">
        <v>84</v>
      </c>
      <c r="P2228" s="80"/>
      <c r="Q2228" s="80" t="s">
        <v>84</v>
      </c>
      <c r="R2228" s="80" t="s">
        <v>84</v>
      </c>
    </row>
    <row r="2229" spans="1:18" ht="20" x14ac:dyDescent="0.2">
      <c r="A2229" s="80" t="s">
        <v>6243</v>
      </c>
      <c r="B2229" s="80" t="s">
        <v>10477</v>
      </c>
      <c r="C2229" s="80" t="s">
        <v>84</v>
      </c>
      <c r="D2229" s="80" t="s">
        <v>84</v>
      </c>
      <c r="E2229" s="80" t="s">
        <v>84</v>
      </c>
      <c r="F2229" s="80"/>
      <c r="G2229" s="80" t="s">
        <v>84</v>
      </c>
      <c r="H2229" s="80" t="s">
        <v>84</v>
      </c>
      <c r="I2229" s="80" t="s">
        <v>84</v>
      </c>
      <c r="J2229" s="80" t="s">
        <v>84</v>
      </c>
      <c r="K2229" s="80" t="s">
        <v>84</v>
      </c>
      <c r="L2229" s="80" t="s">
        <v>84</v>
      </c>
      <c r="M2229" s="80" t="s">
        <v>84</v>
      </c>
      <c r="N2229" s="80" t="s">
        <v>84</v>
      </c>
      <c r="O2229" s="80" t="s">
        <v>84</v>
      </c>
      <c r="P2229" s="80"/>
      <c r="Q2229" s="80" t="s">
        <v>84</v>
      </c>
      <c r="R2229" s="80" t="s">
        <v>84</v>
      </c>
    </row>
    <row r="2230" spans="1:18" ht="20" x14ac:dyDescent="0.2">
      <c r="A2230" s="80" t="s">
        <v>6243</v>
      </c>
      <c r="B2230" s="80" t="s">
        <v>6244</v>
      </c>
      <c r="C2230" s="80" t="s">
        <v>84</v>
      </c>
      <c r="D2230" s="80" t="s">
        <v>84</v>
      </c>
      <c r="E2230" s="80" t="s">
        <v>84</v>
      </c>
      <c r="F2230" s="80"/>
      <c r="G2230" s="80" t="s">
        <v>84</v>
      </c>
      <c r="H2230" s="80" t="s">
        <v>84</v>
      </c>
      <c r="I2230" s="80" t="s">
        <v>84</v>
      </c>
      <c r="J2230" s="80" t="s">
        <v>84</v>
      </c>
      <c r="K2230" s="80" t="s">
        <v>84</v>
      </c>
      <c r="L2230" s="80" t="s">
        <v>84</v>
      </c>
      <c r="M2230" s="80" t="s">
        <v>84</v>
      </c>
      <c r="N2230" s="80" t="s">
        <v>84</v>
      </c>
      <c r="O2230" s="80" t="s">
        <v>84</v>
      </c>
      <c r="P2230" s="80"/>
      <c r="Q2230" s="80" t="s">
        <v>84</v>
      </c>
      <c r="R2230" s="80" t="s">
        <v>84</v>
      </c>
    </row>
    <row r="2231" spans="1:18" ht="20" x14ac:dyDescent="0.2">
      <c r="A2231" s="80" t="s">
        <v>6245</v>
      </c>
      <c r="B2231" s="80" t="s">
        <v>10478</v>
      </c>
      <c r="C2231" s="80" t="s">
        <v>84</v>
      </c>
      <c r="D2231" s="80" t="s">
        <v>84</v>
      </c>
      <c r="E2231" s="80" t="s">
        <v>84</v>
      </c>
      <c r="F2231" s="80"/>
      <c r="G2231" s="80" t="s">
        <v>84</v>
      </c>
      <c r="H2231" s="80" t="s">
        <v>84</v>
      </c>
      <c r="I2231" s="80" t="s">
        <v>84</v>
      </c>
      <c r="J2231" s="80" t="s">
        <v>84</v>
      </c>
      <c r="K2231" s="80" t="s">
        <v>84</v>
      </c>
      <c r="L2231" s="80" t="s">
        <v>84</v>
      </c>
      <c r="M2231" s="80" t="s">
        <v>84</v>
      </c>
      <c r="N2231" s="80" t="s">
        <v>84</v>
      </c>
      <c r="O2231" s="80" t="s">
        <v>84</v>
      </c>
      <c r="P2231" s="80"/>
      <c r="Q2231" s="80" t="s">
        <v>84</v>
      </c>
      <c r="R2231" s="80" t="s">
        <v>84</v>
      </c>
    </row>
    <row r="2232" spans="1:18" ht="20" x14ac:dyDescent="0.2">
      <c r="A2232" s="80" t="s">
        <v>6245</v>
      </c>
      <c r="B2232" s="80" t="s">
        <v>6246</v>
      </c>
      <c r="C2232" s="80" t="s">
        <v>84</v>
      </c>
      <c r="D2232" s="80" t="s">
        <v>84</v>
      </c>
      <c r="E2232" s="80" t="s">
        <v>84</v>
      </c>
      <c r="F2232" s="80"/>
      <c r="G2232" s="80" t="s">
        <v>84</v>
      </c>
      <c r="H2232" s="80" t="s">
        <v>84</v>
      </c>
      <c r="I2232" s="80" t="s">
        <v>84</v>
      </c>
      <c r="J2232" s="80" t="s">
        <v>84</v>
      </c>
      <c r="K2232" s="80" t="s">
        <v>84</v>
      </c>
      <c r="L2232" s="80" t="s">
        <v>84</v>
      </c>
      <c r="M2232" s="80" t="s">
        <v>84</v>
      </c>
      <c r="N2232" s="80" t="s">
        <v>84</v>
      </c>
      <c r="O2232" s="80" t="s">
        <v>84</v>
      </c>
      <c r="P2232" s="80"/>
      <c r="Q2232" s="80" t="s">
        <v>84</v>
      </c>
      <c r="R2232" s="80" t="s">
        <v>84</v>
      </c>
    </row>
    <row r="2233" spans="1:18" ht="20" x14ac:dyDescent="0.2">
      <c r="A2233" s="80" t="s">
        <v>6247</v>
      </c>
      <c r="B2233" s="80" t="s">
        <v>10479</v>
      </c>
      <c r="C2233" s="80" t="s">
        <v>84</v>
      </c>
      <c r="D2233" s="80" t="s">
        <v>84</v>
      </c>
      <c r="E2233" s="80" t="s">
        <v>84</v>
      </c>
      <c r="F2233" s="80"/>
      <c r="G2233" s="80" t="s">
        <v>84</v>
      </c>
      <c r="H2233" s="80" t="s">
        <v>84</v>
      </c>
      <c r="I2233" s="80" t="s">
        <v>84</v>
      </c>
      <c r="J2233" s="80" t="s">
        <v>84</v>
      </c>
      <c r="K2233" s="80" t="s">
        <v>84</v>
      </c>
      <c r="L2233" s="80" t="s">
        <v>84</v>
      </c>
      <c r="M2233" s="80" t="s">
        <v>84</v>
      </c>
      <c r="N2233" s="80" t="s">
        <v>84</v>
      </c>
      <c r="O2233" s="80" t="s">
        <v>84</v>
      </c>
      <c r="P2233" s="80"/>
      <c r="Q2233" s="80" t="s">
        <v>84</v>
      </c>
      <c r="R2233" s="80" t="s">
        <v>84</v>
      </c>
    </row>
    <row r="2234" spans="1:18" ht="20" x14ac:dyDescent="0.2">
      <c r="A2234" s="80" t="s">
        <v>6247</v>
      </c>
      <c r="B2234" s="80" t="s">
        <v>6248</v>
      </c>
      <c r="C2234" s="80" t="s">
        <v>84</v>
      </c>
      <c r="D2234" s="80" t="s">
        <v>84</v>
      </c>
      <c r="E2234" s="80" t="s">
        <v>84</v>
      </c>
      <c r="F2234" s="80"/>
      <c r="G2234" s="80" t="s">
        <v>84</v>
      </c>
      <c r="H2234" s="80" t="s">
        <v>84</v>
      </c>
      <c r="I2234" s="80" t="s">
        <v>84</v>
      </c>
      <c r="J2234" s="80" t="s">
        <v>84</v>
      </c>
      <c r="K2234" s="80" t="s">
        <v>84</v>
      </c>
      <c r="L2234" s="80" t="s">
        <v>84</v>
      </c>
      <c r="M2234" s="80" t="s">
        <v>84</v>
      </c>
      <c r="N2234" s="80" t="s">
        <v>84</v>
      </c>
      <c r="O2234" s="80" t="s">
        <v>84</v>
      </c>
      <c r="P2234" s="80"/>
      <c r="Q2234" s="80" t="s">
        <v>84</v>
      </c>
      <c r="R2234" s="80" t="s">
        <v>84</v>
      </c>
    </row>
    <row r="2235" spans="1:18" ht="20" x14ac:dyDescent="0.2">
      <c r="A2235" s="80" t="s">
        <v>6249</v>
      </c>
      <c r="B2235" s="80" t="s">
        <v>10480</v>
      </c>
      <c r="C2235" s="80" t="s">
        <v>84</v>
      </c>
      <c r="D2235" s="80" t="s">
        <v>84</v>
      </c>
      <c r="E2235" s="80" t="s">
        <v>84</v>
      </c>
      <c r="F2235" s="80"/>
      <c r="G2235" s="80" t="s">
        <v>84</v>
      </c>
      <c r="H2235" s="80" t="s">
        <v>84</v>
      </c>
      <c r="I2235" s="80" t="s">
        <v>84</v>
      </c>
      <c r="J2235" s="80" t="s">
        <v>84</v>
      </c>
      <c r="K2235" s="80" t="s">
        <v>84</v>
      </c>
      <c r="L2235" s="80" t="s">
        <v>84</v>
      </c>
      <c r="M2235" s="80" t="s">
        <v>84</v>
      </c>
      <c r="N2235" s="80" t="s">
        <v>84</v>
      </c>
      <c r="O2235" s="80" t="s">
        <v>84</v>
      </c>
      <c r="P2235" s="80"/>
      <c r="Q2235" s="80" t="s">
        <v>84</v>
      </c>
      <c r="R2235" s="80" t="s">
        <v>84</v>
      </c>
    </row>
    <row r="2236" spans="1:18" ht="20" x14ac:dyDescent="0.2">
      <c r="A2236" s="80" t="s">
        <v>6249</v>
      </c>
      <c r="B2236" s="80" t="s">
        <v>6250</v>
      </c>
      <c r="C2236" s="80" t="s">
        <v>84</v>
      </c>
      <c r="D2236" s="80" t="s">
        <v>84</v>
      </c>
      <c r="E2236" s="80" t="s">
        <v>84</v>
      </c>
      <c r="F2236" s="80"/>
      <c r="G2236" s="80" t="s">
        <v>84</v>
      </c>
      <c r="H2236" s="80" t="s">
        <v>84</v>
      </c>
      <c r="I2236" s="80" t="s">
        <v>84</v>
      </c>
      <c r="J2236" s="80" t="s">
        <v>84</v>
      </c>
      <c r="K2236" s="80" t="s">
        <v>84</v>
      </c>
      <c r="L2236" s="80" t="s">
        <v>84</v>
      </c>
      <c r="M2236" s="80" t="s">
        <v>84</v>
      </c>
      <c r="N2236" s="80" t="s">
        <v>84</v>
      </c>
      <c r="O2236" s="80" t="s">
        <v>84</v>
      </c>
      <c r="P2236" s="80"/>
      <c r="Q2236" s="80" t="s">
        <v>84</v>
      </c>
      <c r="R2236" s="80" t="s">
        <v>84</v>
      </c>
    </row>
    <row r="2237" spans="1:18" ht="20" x14ac:dyDescent="0.2">
      <c r="A2237" s="80" t="s">
        <v>10481</v>
      </c>
      <c r="B2237" s="80" t="s">
        <v>10482</v>
      </c>
      <c r="C2237" s="80" t="s">
        <v>84</v>
      </c>
      <c r="D2237" s="80" t="s">
        <v>84</v>
      </c>
      <c r="E2237" s="80" t="s">
        <v>84</v>
      </c>
      <c r="F2237" s="80"/>
      <c r="G2237" s="80" t="s">
        <v>84</v>
      </c>
      <c r="H2237" s="80" t="s">
        <v>84</v>
      </c>
      <c r="I2237" s="80" t="s">
        <v>84</v>
      </c>
      <c r="J2237" s="80" t="s">
        <v>84</v>
      </c>
      <c r="K2237" s="80" t="s">
        <v>84</v>
      </c>
      <c r="L2237" s="80" t="s">
        <v>84</v>
      </c>
      <c r="M2237" s="80" t="s">
        <v>84</v>
      </c>
      <c r="N2237" s="80" t="s">
        <v>84</v>
      </c>
      <c r="O2237" s="80" t="s">
        <v>84</v>
      </c>
      <c r="P2237" s="80"/>
      <c r="Q2237" s="80" t="s">
        <v>84</v>
      </c>
      <c r="R2237" s="80" t="s">
        <v>84</v>
      </c>
    </row>
    <row r="2238" spans="1:18" ht="20" x14ac:dyDescent="0.2">
      <c r="A2238" s="80" t="s">
        <v>6317</v>
      </c>
      <c r="B2238" s="80" t="s">
        <v>6318</v>
      </c>
      <c r="C2238" s="80" t="s">
        <v>84</v>
      </c>
      <c r="D2238" s="80" t="s">
        <v>84</v>
      </c>
      <c r="E2238" s="80" t="s">
        <v>84</v>
      </c>
      <c r="F2238" s="80"/>
      <c r="G2238" s="80" t="s">
        <v>84</v>
      </c>
      <c r="H2238" s="80" t="s">
        <v>84</v>
      </c>
      <c r="I2238" s="80" t="s">
        <v>84</v>
      </c>
      <c r="J2238" s="80" t="s">
        <v>84</v>
      </c>
      <c r="K2238" s="80" t="s">
        <v>84</v>
      </c>
      <c r="L2238" s="80" t="s">
        <v>84</v>
      </c>
      <c r="M2238" s="80" t="s">
        <v>84</v>
      </c>
      <c r="N2238" s="80" t="s">
        <v>84</v>
      </c>
      <c r="O2238" s="80" t="s">
        <v>84</v>
      </c>
      <c r="P2238" s="80"/>
      <c r="Q2238" s="80" t="s">
        <v>84</v>
      </c>
      <c r="R2238" s="80" t="s">
        <v>84</v>
      </c>
    </row>
    <row r="2239" spans="1:18" ht="20" x14ac:dyDescent="0.2">
      <c r="A2239" s="80" t="s">
        <v>6317</v>
      </c>
      <c r="B2239" s="80" t="s">
        <v>10483</v>
      </c>
      <c r="C2239" s="80" t="s">
        <v>84</v>
      </c>
      <c r="D2239" s="80" t="s">
        <v>84</v>
      </c>
      <c r="E2239" s="80" t="s">
        <v>84</v>
      </c>
      <c r="F2239" s="80"/>
      <c r="G2239" s="80" t="s">
        <v>84</v>
      </c>
      <c r="H2239" s="80" t="s">
        <v>84</v>
      </c>
      <c r="I2239" s="80" t="s">
        <v>84</v>
      </c>
      <c r="J2239" s="80" t="s">
        <v>84</v>
      </c>
      <c r="K2239" s="80" t="s">
        <v>84</v>
      </c>
      <c r="L2239" s="80" t="s">
        <v>84</v>
      </c>
      <c r="M2239" s="80" t="s">
        <v>84</v>
      </c>
      <c r="N2239" s="80" t="s">
        <v>84</v>
      </c>
      <c r="O2239" s="80" t="s">
        <v>84</v>
      </c>
      <c r="P2239" s="80"/>
      <c r="Q2239" s="80" t="s">
        <v>84</v>
      </c>
      <c r="R2239" s="80" t="s">
        <v>84</v>
      </c>
    </row>
    <row r="2240" spans="1:18" ht="20" x14ac:dyDescent="0.2">
      <c r="A2240" s="80" t="s">
        <v>6321</v>
      </c>
      <c r="B2240" s="80" t="s">
        <v>6322</v>
      </c>
      <c r="C2240" s="80" t="s">
        <v>84</v>
      </c>
      <c r="D2240" s="80" t="s">
        <v>84</v>
      </c>
      <c r="E2240" s="80" t="s">
        <v>84</v>
      </c>
      <c r="F2240" s="80"/>
      <c r="G2240" s="80" t="s">
        <v>84</v>
      </c>
      <c r="H2240" s="80" t="s">
        <v>84</v>
      </c>
      <c r="I2240" s="80" t="s">
        <v>84</v>
      </c>
      <c r="J2240" s="80" t="s">
        <v>84</v>
      </c>
      <c r="K2240" s="80" t="s">
        <v>84</v>
      </c>
      <c r="L2240" s="80" t="s">
        <v>84</v>
      </c>
      <c r="M2240" s="80" t="s">
        <v>84</v>
      </c>
      <c r="N2240" s="80" t="s">
        <v>84</v>
      </c>
      <c r="O2240" s="80" t="s">
        <v>84</v>
      </c>
      <c r="P2240" s="80"/>
      <c r="Q2240" s="80" t="s">
        <v>84</v>
      </c>
      <c r="R2240" s="80" t="s">
        <v>84</v>
      </c>
    </row>
    <row r="2241" spans="1:18" ht="20" x14ac:dyDescent="0.2">
      <c r="A2241" s="80" t="s">
        <v>6321</v>
      </c>
      <c r="B2241" s="80" t="s">
        <v>10484</v>
      </c>
      <c r="C2241" s="80" t="s">
        <v>84</v>
      </c>
      <c r="D2241" s="80" t="s">
        <v>84</v>
      </c>
      <c r="E2241" s="80" t="s">
        <v>84</v>
      </c>
      <c r="F2241" s="80"/>
      <c r="G2241" s="80" t="s">
        <v>84</v>
      </c>
      <c r="H2241" s="80" t="s">
        <v>84</v>
      </c>
      <c r="I2241" s="80" t="s">
        <v>84</v>
      </c>
      <c r="J2241" s="80" t="s">
        <v>84</v>
      </c>
      <c r="K2241" s="80" t="s">
        <v>84</v>
      </c>
      <c r="L2241" s="80" t="s">
        <v>84</v>
      </c>
      <c r="M2241" s="80" t="s">
        <v>84</v>
      </c>
      <c r="N2241" s="80" t="s">
        <v>84</v>
      </c>
      <c r="O2241" s="80" t="s">
        <v>84</v>
      </c>
      <c r="P2241" s="80"/>
      <c r="Q2241" s="80" t="s">
        <v>84</v>
      </c>
      <c r="R2241" s="80" t="s">
        <v>84</v>
      </c>
    </row>
    <row r="2242" spans="1:18" ht="20" x14ac:dyDescent="0.2">
      <c r="A2242" s="80" t="s">
        <v>6323</v>
      </c>
      <c r="B2242" s="80" t="s">
        <v>6324</v>
      </c>
      <c r="C2242" s="80" t="s">
        <v>84</v>
      </c>
      <c r="D2242" s="80" t="s">
        <v>84</v>
      </c>
      <c r="E2242" s="80" t="s">
        <v>84</v>
      </c>
      <c r="F2242" s="80"/>
      <c r="G2242" s="80" t="s">
        <v>84</v>
      </c>
      <c r="H2242" s="80" t="s">
        <v>84</v>
      </c>
      <c r="I2242" s="80" t="s">
        <v>84</v>
      </c>
      <c r="J2242" s="80" t="s">
        <v>84</v>
      </c>
      <c r="K2242" s="80" t="s">
        <v>84</v>
      </c>
      <c r="L2242" s="80" t="s">
        <v>84</v>
      </c>
      <c r="M2242" s="80" t="s">
        <v>84</v>
      </c>
      <c r="N2242" s="80" t="s">
        <v>84</v>
      </c>
      <c r="O2242" s="80" t="s">
        <v>84</v>
      </c>
      <c r="P2242" s="80"/>
      <c r="Q2242" s="80" t="s">
        <v>84</v>
      </c>
      <c r="R2242" s="80" t="s">
        <v>84</v>
      </c>
    </row>
    <row r="2243" spans="1:18" ht="20" x14ac:dyDescent="0.2">
      <c r="A2243" s="80" t="s">
        <v>6323</v>
      </c>
      <c r="B2243" s="80" t="s">
        <v>10485</v>
      </c>
      <c r="C2243" s="80" t="s">
        <v>84</v>
      </c>
      <c r="D2243" s="80" t="s">
        <v>84</v>
      </c>
      <c r="E2243" s="80" t="s">
        <v>84</v>
      </c>
      <c r="F2243" s="80"/>
      <c r="G2243" s="80" t="s">
        <v>84</v>
      </c>
      <c r="H2243" s="80" t="s">
        <v>84</v>
      </c>
      <c r="I2243" s="80" t="s">
        <v>84</v>
      </c>
      <c r="J2243" s="80" t="s">
        <v>84</v>
      </c>
      <c r="K2243" s="80" t="s">
        <v>84</v>
      </c>
      <c r="L2243" s="80" t="s">
        <v>84</v>
      </c>
      <c r="M2243" s="80" t="s">
        <v>84</v>
      </c>
      <c r="N2243" s="80" t="s">
        <v>84</v>
      </c>
      <c r="O2243" s="80" t="s">
        <v>84</v>
      </c>
      <c r="P2243" s="80"/>
      <c r="Q2243" s="80" t="s">
        <v>84</v>
      </c>
      <c r="R2243" s="80" t="s">
        <v>84</v>
      </c>
    </row>
    <row r="2244" spans="1:18" ht="20" x14ac:dyDescent="0.2">
      <c r="A2244" s="80" t="s">
        <v>6319</v>
      </c>
      <c r="B2244" s="80" t="s">
        <v>10486</v>
      </c>
      <c r="C2244" s="80" t="s">
        <v>84</v>
      </c>
      <c r="D2244" s="80" t="s">
        <v>84</v>
      </c>
      <c r="E2244" s="80" t="s">
        <v>84</v>
      </c>
      <c r="F2244" s="80"/>
      <c r="G2244" s="80" t="s">
        <v>84</v>
      </c>
      <c r="H2244" s="80" t="s">
        <v>84</v>
      </c>
      <c r="I2244" s="80" t="s">
        <v>84</v>
      </c>
      <c r="J2244" s="80" t="s">
        <v>84</v>
      </c>
      <c r="K2244" s="80" t="s">
        <v>84</v>
      </c>
      <c r="L2244" s="80" t="s">
        <v>84</v>
      </c>
      <c r="M2244" s="80" t="s">
        <v>84</v>
      </c>
      <c r="N2244" s="80" t="s">
        <v>84</v>
      </c>
      <c r="O2244" s="80" t="s">
        <v>84</v>
      </c>
      <c r="P2244" s="80"/>
      <c r="Q2244" s="80" t="s">
        <v>84</v>
      </c>
      <c r="R2244" s="80" t="s">
        <v>84</v>
      </c>
    </row>
    <row r="2245" spans="1:18" ht="20" x14ac:dyDescent="0.2">
      <c r="A2245" s="80" t="s">
        <v>6319</v>
      </c>
      <c r="B2245" s="80" t="s">
        <v>6320</v>
      </c>
      <c r="C2245" s="80" t="s">
        <v>84</v>
      </c>
      <c r="D2245" s="80" t="s">
        <v>84</v>
      </c>
      <c r="E2245" s="80" t="s">
        <v>84</v>
      </c>
      <c r="F2245" s="80"/>
      <c r="G2245" s="80" t="s">
        <v>84</v>
      </c>
      <c r="H2245" s="80" t="s">
        <v>84</v>
      </c>
      <c r="I2245" s="80" t="s">
        <v>84</v>
      </c>
      <c r="J2245" s="80" t="s">
        <v>84</v>
      </c>
      <c r="K2245" s="80" t="s">
        <v>84</v>
      </c>
      <c r="L2245" s="80" t="s">
        <v>84</v>
      </c>
      <c r="M2245" s="80" t="s">
        <v>84</v>
      </c>
      <c r="N2245" s="80" t="s">
        <v>84</v>
      </c>
      <c r="O2245" s="80" t="s">
        <v>84</v>
      </c>
      <c r="P2245" s="80"/>
      <c r="Q2245" s="80" t="s">
        <v>84</v>
      </c>
      <c r="R2245" s="80" t="s">
        <v>84</v>
      </c>
    </row>
    <row r="2246" spans="1:18" ht="20" x14ac:dyDescent="0.2">
      <c r="A2246" s="80" t="s">
        <v>6367</v>
      </c>
      <c r="B2246" s="80" t="s">
        <v>10487</v>
      </c>
      <c r="C2246" s="80" t="s">
        <v>84</v>
      </c>
      <c r="D2246" s="80" t="s">
        <v>84</v>
      </c>
      <c r="E2246" s="80" t="s">
        <v>84</v>
      </c>
      <c r="F2246" s="80"/>
      <c r="G2246" s="80" t="s">
        <v>84</v>
      </c>
      <c r="H2246" s="80" t="s">
        <v>84</v>
      </c>
      <c r="I2246" s="80" t="s">
        <v>84</v>
      </c>
      <c r="J2246" s="80" t="s">
        <v>84</v>
      </c>
      <c r="K2246" s="80" t="s">
        <v>84</v>
      </c>
      <c r="L2246" s="80" t="s">
        <v>84</v>
      </c>
      <c r="M2246" s="80" t="s">
        <v>84</v>
      </c>
      <c r="N2246" s="80" t="s">
        <v>84</v>
      </c>
      <c r="O2246" s="80" t="s">
        <v>84</v>
      </c>
      <c r="P2246" s="80"/>
      <c r="Q2246" s="80" t="s">
        <v>84</v>
      </c>
      <c r="R2246" s="80" t="s">
        <v>84</v>
      </c>
    </row>
    <row r="2247" spans="1:18" ht="20" x14ac:dyDescent="0.2">
      <c r="A2247" s="80" t="s">
        <v>6367</v>
      </c>
      <c r="B2247" s="80" t="s">
        <v>6368</v>
      </c>
      <c r="C2247" s="80" t="s">
        <v>84</v>
      </c>
      <c r="D2247" s="80" t="s">
        <v>84</v>
      </c>
      <c r="E2247" s="80" t="s">
        <v>84</v>
      </c>
      <c r="F2247" s="80"/>
      <c r="G2247" s="80" t="s">
        <v>84</v>
      </c>
      <c r="H2247" s="80" t="s">
        <v>84</v>
      </c>
      <c r="I2247" s="80" t="s">
        <v>84</v>
      </c>
      <c r="J2247" s="80" t="s">
        <v>84</v>
      </c>
      <c r="K2247" s="80" t="s">
        <v>84</v>
      </c>
      <c r="L2247" s="80" t="s">
        <v>84</v>
      </c>
      <c r="M2247" s="80" t="s">
        <v>84</v>
      </c>
      <c r="N2247" s="80" t="s">
        <v>84</v>
      </c>
      <c r="O2247" s="80" t="s">
        <v>84</v>
      </c>
      <c r="P2247" s="80"/>
      <c r="Q2247" s="80" t="s">
        <v>84</v>
      </c>
      <c r="R2247" s="80" t="s">
        <v>84</v>
      </c>
    </row>
    <row r="2248" spans="1:18" ht="20" x14ac:dyDescent="0.2">
      <c r="A2248" s="80" t="s">
        <v>6741</v>
      </c>
      <c r="B2248" s="80" t="s">
        <v>10488</v>
      </c>
      <c r="C2248" s="80" t="s">
        <v>84</v>
      </c>
      <c r="D2248" s="80" t="s">
        <v>84</v>
      </c>
      <c r="E2248" s="80" t="s">
        <v>84</v>
      </c>
      <c r="F2248" s="80"/>
      <c r="G2248" s="80" t="s">
        <v>84</v>
      </c>
      <c r="H2248" s="80" t="s">
        <v>84</v>
      </c>
      <c r="I2248" s="80" t="s">
        <v>84</v>
      </c>
      <c r="J2248" s="80" t="s">
        <v>84</v>
      </c>
      <c r="K2248" s="80" t="s">
        <v>84</v>
      </c>
      <c r="L2248" s="80" t="s">
        <v>84</v>
      </c>
      <c r="M2248" s="80" t="s">
        <v>84</v>
      </c>
      <c r="N2248" s="80" t="s">
        <v>84</v>
      </c>
      <c r="O2248" s="80" t="s">
        <v>84</v>
      </c>
      <c r="P2248" s="80"/>
      <c r="Q2248" s="80" t="s">
        <v>84</v>
      </c>
      <c r="R2248" s="80" t="s">
        <v>84</v>
      </c>
    </row>
    <row r="2249" spans="1:18" ht="20" x14ac:dyDescent="0.2">
      <c r="A2249" s="80" t="s">
        <v>6741</v>
      </c>
      <c r="B2249" s="80" t="s">
        <v>6742</v>
      </c>
      <c r="C2249" s="80" t="s">
        <v>84</v>
      </c>
      <c r="D2249" s="80" t="s">
        <v>84</v>
      </c>
      <c r="E2249" s="80" t="s">
        <v>84</v>
      </c>
      <c r="F2249" s="80"/>
      <c r="G2249" s="80" t="s">
        <v>84</v>
      </c>
      <c r="H2249" s="80" t="s">
        <v>84</v>
      </c>
      <c r="I2249" s="80" t="s">
        <v>84</v>
      </c>
      <c r="J2249" s="80" t="s">
        <v>84</v>
      </c>
      <c r="K2249" s="80" t="s">
        <v>84</v>
      </c>
      <c r="L2249" s="80" t="s">
        <v>84</v>
      </c>
      <c r="M2249" s="80" t="s">
        <v>84</v>
      </c>
      <c r="N2249" s="80" t="s">
        <v>84</v>
      </c>
      <c r="O2249" s="80" t="s">
        <v>84</v>
      </c>
      <c r="P2249" s="80"/>
      <c r="Q2249" s="80" t="s">
        <v>84</v>
      </c>
      <c r="R2249" s="80" t="s">
        <v>84</v>
      </c>
    </row>
    <row r="2250" spans="1:18" ht="20" x14ac:dyDescent="0.2">
      <c r="A2250" s="80" t="s">
        <v>6461</v>
      </c>
      <c r="B2250" s="80" t="s">
        <v>10489</v>
      </c>
      <c r="C2250" s="80" t="s">
        <v>84</v>
      </c>
      <c r="D2250" s="80" t="s">
        <v>84</v>
      </c>
      <c r="E2250" s="80" t="s">
        <v>84</v>
      </c>
      <c r="F2250" s="80"/>
      <c r="G2250" s="80" t="s">
        <v>84</v>
      </c>
      <c r="H2250" s="80" t="s">
        <v>84</v>
      </c>
      <c r="I2250" s="80" t="s">
        <v>84</v>
      </c>
      <c r="J2250" s="80" t="s">
        <v>84</v>
      </c>
      <c r="K2250" s="80" t="s">
        <v>84</v>
      </c>
      <c r="L2250" s="80" t="s">
        <v>84</v>
      </c>
      <c r="M2250" s="80" t="s">
        <v>84</v>
      </c>
      <c r="N2250" s="80" t="s">
        <v>84</v>
      </c>
      <c r="O2250" s="80" t="s">
        <v>84</v>
      </c>
      <c r="P2250" s="80"/>
      <c r="Q2250" s="80" t="s">
        <v>84</v>
      </c>
      <c r="R2250" s="80" t="s">
        <v>84</v>
      </c>
    </row>
    <row r="2251" spans="1:18" ht="20" x14ac:dyDescent="0.2">
      <c r="A2251" s="80" t="s">
        <v>6461</v>
      </c>
      <c r="B2251" s="80" t="s">
        <v>10490</v>
      </c>
      <c r="C2251" s="80" t="s">
        <v>84</v>
      </c>
      <c r="D2251" s="80" t="s">
        <v>84</v>
      </c>
      <c r="E2251" s="80" t="s">
        <v>84</v>
      </c>
      <c r="F2251" s="80"/>
      <c r="G2251" s="80" t="s">
        <v>84</v>
      </c>
      <c r="H2251" s="80" t="s">
        <v>84</v>
      </c>
      <c r="I2251" s="80" t="s">
        <v>84</v>
      </c>
      <c r="J2251" s="80" t="s">
        <v>84</v>
      </c>
      <c r="K2251" s="80" t="s">
        <v>84</v>
      </c>
      <c r="L2251" s="80" t="s">
        <v>84</v>
      </c>
      <c r="M2251" s="80" t="s">
        <v>84</v>
      </c>
      <c r="N2251" s="80" t="s">
        <v>84</v>
      </c>
      <c r="O2251" s="80" t="s">
        <v>84</v>
      </c>
      <c r="P2251" s="80"/>
      <c r="Q2251" s="80" t="s">
        <v>84</v>
      </c>
      <c r="R2251" s="80" t="s">
        <v>84</v>
      </c>
    </row>
    <row r="2252" spans="1:18" ht="20" x14ac:dyDescent="0.2">
      <c r="A2252" s="80" t="s">
        <v>6461</v>
      </c>
      <c r="B2252" s="80" t="s">
        <v>6462</v>
      </c>
      <c r="C2252" s="80" t="s">
        <v>84</v>
      </c>
      <c r="D2252" s="80" t="s">
        <v>84</v>
      </c>
      <c r="E2252" s="80" t="s">
        <v>84</v>
      </c>
      <c r="F2252" s="80"/>
      <c r="G2252" s="80" t="s">
        <v>84</v>
      </c>
      <c r="H2252" s="80" t="s">
        <v>84</v>
      </c>
      <c r="I2252" s="80" t="s">
        <v>84</v>
      </c>
      <c r="J2252" s="80" t="s">
        <v>84</v>
      </c>
      <c r="K2252" s="80" t="s">
        <v>84</v>
      </c>
      <c r="L2252" s="80" t="s">
        <v>84</v>
      </c>
      <c r="M2252" s="80" t="s">
        <v>84</v>
      </c>
      <c r="N2252" s="80" t="s">
        <v>84</v>
      </c>
      <c r="O2252" s="80" t="s">
        <v>84</v>
      </c>
      <c r="P2252" s="80"/>
      <c r="Q2252" s="80" t="s">
        <v>84</v>
      </c>
      <c r="R2252" s="80" t="s">
        <v>84</v>
      </c>
    </row>
    <row r="2253" spans="1:18" ht="20" x14ac:dyDescent="0.2">
      <c r="A2253" s="80" t="s">
        <v>6601</v>
      </c>
      <c r="B2253" s="80" t="s">
        <v>10491</v>
      </c>
      <c r="C2253" s="80" t="s">
        <v>84</v>
      </c>
      <c r="D2253" s="80" t="s">
        <v>84</v>
      </c>
      <c r="E2253" s="80" t="s">
        <v>84</v>
      </c>
      <c r="F2253" s="80"/>
      <c r="G2253" s="80" t="s">
        <v>84</v>
      </c>
      <c r="H2253" s="80" t="s">
        <v>84</v>
      </c>
      <c r="I2253" s="80" t="s">
        <v>84</v>
      </c>
      <c r="J2253" s="80" t="s">
        <v>84</v>
      </c>
      <c r="K2253" s="80" t="s">
        <v>84</v>
      </c>
      <c r="L2253" s="80" t="s">
        <v>84</v>
      </c>
      <c r="M2253" s="80" t="s">
        <v>84</v>
      </c>
      <c r="N2253" s="80" t="s">
        <v>84</v>
      </c>
      <c r="O2253" s="80" t="s">
        <v>84</v>
      </c>
      <c r="P2253" s="80"/>
      <c r="Q2253" s="80" t="s">
        <v>84</v>
      </c>
      <c r="R2253" s="80" t="s">
        <v>84</v>
      </c>
    </row>
    <row r="2254" spans="1:18" ht="20" x14ac:dyDescent="0.2">
      <c r="A2254" s="80" t="s">
        <v>6601</v>
      </c>
      <c r="B2254" s="80" t="s">
        <v>6602</v>
      </c>
      <c r="C2254" s="80" t="s">
        <v>84</v>
      </c>
      <c r="D2254" s="80" t="s">
        <v>84</v>
      </c>
      <c r="E2254" s="80" t="s">
        <v>84</v>
      </c>
      <c r="F2254" s="80"/>
      <c r="G2254" s="80" t="s">
        <v>84</v>
      </c>
      <c r="H2254" s="80" t="s">
        <v>84</v>
      </c>
      <c r="I2254" s="80" t="s">
        <v>84</v>
      </c>
      <c r="J2254" s="80" t="s">
        <v>84</v>
      </c>
      <c r="K2254" s="80" t="s">
        <v>84</v>
      </c>
      <c r="L2254" s="80" t="s">
        <v>84</v>
      </c>
      <c r="M2254" s="80" t="s">
        <v>84</v>
      </c>
      <c r="N2254" s="80" t="s">
        <v>84</v>
      </c>
      <c r="O2254" s="80" t="s">
        <v>84</v>
      </c>
      <c r="P2254" s="80"/>
      <c r="Q2254" s="80" t="s">
        <v>84</v>
      </c>
      <c r="R2254" s="80" t="s">
        <v>84</v>
      </c>
    </row>
    <row r="2255" spans="1:18" ht="20" x14ac:dyDescent="0.2">
      <c r="A2255" s="80" t="s">
        <v>6603</v>
      </c>
      <c r="B2255" s="80" t="s">
        <v>10492</v>
      </c>
      <c r="C2255" s="80" t="s">
        <v>84</v>
      </c>
      <c r="D2255" s="80" t="s">
        <v>84</v>
      </c>
      <c r="E2255" s="80" t="s">
        <v>84</v>
      </c>
      <c r="F2255" s="80"/>
      <c r="G2255" s="80" t="s">
        <v>84</v>
      </c>
      <c r="H2255" s="80" t="s">
        <v>84</v>
      </c>
      <c r="I2255" s="80" t="s">
        <v>84</v>
      </c>
      <c r="J2255" s="80" t="s">
        <v>84</v>
      </c>
      <c r="K2255" s="80" t="s">
        <v>84</v>
      </c>
      <c r="L2255" s="80" t="s">
        <v>84</v>
      </c>
      <c r="M2255" s="80" t="s">
        <v>84</v>
      </c>
      <c r="N2255" s="80" t="s">
        <v>84</v>
      </c>
      <c r="O2255" s="80" t="s">
        <v>84</v>
      </c>
      <c r="P2255" s="80"/>
      <c r="Q2255" s="80" t="s">
        <v>84</v>
      </c>
      <c r="R2255" s="80" t="s">
        <v>84</v>
      </c>
    </row>
    <row r="2256" spans="1:18" ht="20" x14ac:dyDescent="0.2">
      <c r="A2256" s="80" t="s">
        <v>6603</v>
      </c>
      <c r="B2256" s="80" t="s">
        <v>6604</v>
      </c>
      <c r="C2256" s="80" t="s">
        <v>84</v>
      </c>
      <c r="D2256" s="80" t="s">
        <v>84</v>
      </c>
      <c r="E2256" s="80" t="s">
        <v>84</v>
      </c>
      <c r="F2256" s="80"/>
      <c r="G2256" s="80" t="s">
        <v>84</v>
      </c>
      <c r="H2256" s="80" t="s">
        <v>84</v>
      </c>
      <c r="I2256" s="80" t="s">
        <v>84</v>
      </c>
      <c r="J2256" s="80" t="s">
        <v>84</v>
      </c>
      <c r="K2256" s="80" t="s">
        <v>84</v>
      </c>
      <c r="L2256" s="80" t="s">
        <v>84</v>
      </c>
      <c r="M2256" s="80" t="s">
        <v>84</v>
      </c>
      <c r="N2256" s="80" t="s">
        <v>84</v>
      </c>
      <c r="O2256" s="80" t="s">
        <v>84</v>
      </c>
      <c r="P2256" s="80"/>
      <c r="Q2256" s="80" t="s">
        <v>84</v>
      </c>
      <c r="R2256" s="80" t="s">
        <v>84</v>
      </c>
    </row>
    <row r="2257" spans="1:18" ht="20" x14ac:dyDescent="0.2">
      <c r="A2257" s="80" t="s">
        <v>6607</v>
      </c>
      <c r="B2257" s="80" t="s">
        <v>10493</v>
      </c>
      <c r="C2257" s="80" t="s">
        <v>84</v>
      </c>
      <c r="D2257" s="80" t="s">
        <v>84</v>
      </c>
      <c r="E2257" s="80" t="s">
        <v>84</v>
      </c>
      <c r="F2257" s="80"/>
      <c r="G2257" s="80" t="s">
        <v>84</v>
      </c>
      <c r="H2257" s="80" t="s">
        <v>84</v>
      </c>
      <c r="I2257" s="80" t="s">
        <v>84</v>
      </c>
      <c r="J2257" s="80" t="s">
        <v>84</v>
      </c>
      <c r="K2257" s="80" t="s">
        <v>84</v>
      </c>
      <c r="L2257" s="80" t="s">
        <v>84</v>
      </c>
      <c r="M2257" s="80" t="s">
        <v>84</v>
      </c>
      <c r="N2257" s="80" t="s">
        <v>84</v>
      </c>
      <c r="O2257" s="80" t="s">
        <v>84</v>
      </c>
      <c r="P2257" s="80"/>
      <c r="Q2257" s="80" t="s">
        <v>84</v>
      </c>
      <c r="R2257" s="80" t="s">
        <v>84</v>
      </c>
    </row>
    <row r="2258" spans="1:18" ht="20" x14ac:dyDescent="0.2">
      <c r="A2258" s="80" t="s">
        <v>6607</v>
      </c>
      <c r="B2258" s="80" t="s">
        <v>6608</v>
      </c>
      <c r="C2258" s="80" t="s">
        <v>84</v>
      </c>
      <c r="D2258" s="80" t="s">
        <v>84</v>
      </c>
      <c r="E2258" s="80" t="s">
        <v>84</v>
      </c>
      <c r="F2258" s="80"/>
      <c r="G2258" s="80" t="s">
        <v>84</v>
      </c>
      <c r="H2258" s="80" t="s">
        <v>84</v>
      </c>
      <c r="I2258" s="80" t="s">
        <v>84</v>
      </c>
      <c r="J2258" s="80" t="s">
        <v>84</v>
      </c>
      <c r="K2258" s="80" t="s">
        <v>84</v>
      </c>
      <c r="L2258" s="80" t="s">
        <v>84</v>
      </c>
      <c r="M2258" s="80" t="s">
        <v>84</v>
      </c>
      <c r="N2258" s="80" t="s">
        <v>84</v>
      </c>
      <c r="O2258" s="80" t="s">
        <v>84</v>
      </c>
      <c r="P2258" s="80"/>
      <c r="Q2258" s="80" t="s">
        <v>84</v>
      </c>
      <c r="R2258" s="80" t="s">
        <v>84</v>
      </c>
    </row>
    <row r="2259" spans="1:18" ht="20" x14ac:dyDescent="0.2">
      <c r="A2259" s="80" t="s">
        <v>5850</v>
      </c>
      <c r="B2259" s="80" t="s">
        <v>5851</v>
      </c>
      <c r="C2259" s="80" t="s">
        <v>84</v>
      </c>
      <c r="D2259" s="80" t="s">
        <v>84</v>
      </c>
      <c r="E2259" s="80" t="s">
        <v>84</v>
      </c>
      <c r="F2259" s="80"/>
      <c r="G2259" s="80" t="s">
        <v>84</v>
      </c>
      <c r="H2259" s="80" t="s">
        <v>84</v>
      </c>
      <c r="I2259" s="80" t="s">
        <v>84</v>
      </c>
      <c r="J2259" s="80" t="s">
        <v>84</v>
      </c>
      <c r="K2259" s="80" t="s">
        <v>84</v>
      </c>
      <c r="L2259" s="80" t="s">
        <v>84</v>
      </c>
      <c r="M2259" s="80" t="s">
        <v>84</v>
      </c>
      <c r="N2259" s="80" t="s">
        <v>84</v>
      </c>
      <c r="O2259" s="80" t="s">
        <v>84</v>
      </c>
      <c r="P2259" s="80"/>
      <c r="Q2259" s="80" t="s">
        <v>84</v>
      </c>
      <c r="R2259" s="80" t="s">
        <v>84</v>
      </c>
    </row>
    <row r="2260" spans="1:18" ht="20" x14ac:dyDescent="0.2">
      <c r="A2260" s="80" t="s">
        <v>5850</v>
      </c>
      <c r="B2260" s="80" t="s">
        <v>10494</v>
      </c>
      <c r="C2260" s="80" t="s">
        <v>84</v>
      </c>
      <c r="D2260" s="80" t="s">
        <v>84</v>
      </c>
      <c r="E2260" s="80" t="s">
        <v>84</v>
      </c>
      <c r="F2260" s="80"/>
      <c r="G2260" s="80" t="s">
        <v>84</v>
      </c>
      <c r="H2260" s="80" t="s">
        <v>84</v>
      </c>
      <c r="I2260" s="80" t="s">
        <v>84</v>
      </c>
      <c r="J2260" s="80" t="s">
        <v>84</v>
      </c>
      <c r="K2260" s="80" t="s">
        <v>84</v>
      </c>
      <c r="L2260" s="80" t="s">
        <v>84</v>
      </c>
      <c r="M2260" s="80" t="s">
        <v>84</v>
      </c>
      <c r="N2260" s="80" t="s">
        <v>84</v>
      </c>
      <c r="O2260" s="80" t="s">
        <v>84</v>
      </c>
      <c r="P2260" s="80"/>
      <c r="Q2260" s="80" t="s">
        <v>84</v>
      </c>
      <c r="R2260" s="80" t="s">
        <v>84</v>
      </c>
    </row>
    <row r="2261" spans="1:18" ht="20" x14ac:dyDescent="0.2">
      <c r="A2261" s="80" t="s">
        <v>5850</v>
      </c>
      <c r="B2261" s="80" t="s">
        <v>6609</v>
      </c>
      <c r="C2261" s="80" t="s">
        <v>84</v>
      </c>
      <c r="D2261" s="80" t="s">
        <v>84</v>
      </c>
      <c r="E2261" s="80" t="s">
        <v>84</v>
      </c>
      <c r="F2261" s="80"/>
      <c r="G2261" s="80" t="s">
        <v>84</v>
      </c>
      <c r="H2261" s="80" t="s">
        <v>84</v>
      </c>
      <c r="I2261" s="80" t="s">
        <v>84</v>
      </c>
      <c r="J2261" s="80" t="s">
        <v>84</v>
      </c>
      <c r="K2261" s="80" t="s">
        <v>84</v>
      </c>
      <c r="L2261" s="80" t="s">
        <v>84</v>
      </c>
      <c r="M2261" s="80" t="s">
        <v>84</v>
      </c>
      <c r="N2261" s="80" t="s">
        <v>84</v>
      </c>
      <c r="O2261" s="80" t="s">
        <v>84</v>
      </c>
      <c r="P2261" s="80"/>
      <c r="Q2261" s="80" t="s">
        <v>84</v>
      </c>
      <c r="R2261" s="80" t="s">
        <v>84</v>
      </c>
    </row>
    <row r="2262" spans="1:18" ht="20" x14ac:dyDescent="0.2">
      <c r="A2262" s="80" t="s">
        <v>6337</v>
      </c>
      <c r="B2262" s="80" t="s">
        <v>6338</v>
      </c>
      <c r="C2262" s="80" t="s">
        <v>84</v>
      </c>
      <c r="D2262" s="80" t="s">
        <v>84</v>
      </c>
      <c r="E2262" s="80" t="s">
        <v>84</v>
      </c>
      <c r="F2262" s="80"/>
      <c r="G2262" s="80" t="s">
        <v>84</v>
      </c>
      <c r="H2262" s="80" t="s">
        <v>84</v>
      </c>
      <c r="I2262" s="80" t="s">
        <v>84</v>
      </c>
      <c r="J2262" s="80" t="s">
        <v>84</v>
      </c>
      <c r="K2262" s="80" t="s">
        <v>84</v>
      </c>
      <c r="L2262" s="80" t="s">
        <v>84</v>
      </c>
      <c r="M2262" s="80" t="s">
        <v>84</v>
      </c>
      <c r="N2262" s="80" t="s">
        <v>84</v>
      </c>
      <c r="O2262" s="80" t="s">
        <v>84</v>
      </c>
      <c r="P2262" s="80"/>
      <c r="Q2262" s="80" t="s">
        <v>84</v>
      </c>
      <c r="R2262" s="80" t="s">
        <v>84</v>
      </c>
    </row>
    <row r="2263" spans="1:18" ht="20" x14ac:dyDescent="0.2">
      <c r="A2263" s="80" t="s">
        <v>6337</v>
      </c>
      <c r="B2263" s="80" t="s">
        <v>10495</v>
      </c>
      <c r="C2263" s="80" t="s">
        <v>84</v>
      </c>
      <c r="D2263" s="80" t="s">
        <v>84</v>
      </c>
      <c r="E2263" s="80" t="s">
        <v>84</v>
      </c>
      <c r="F2263" s="80"/>
      <c r="G2263" s="80" t="s">
        <v>84</v>
      </c>
      <c r="H2263" s="80" t="s">
        <v>84</v>
      </c>
      <c r="I2263" s="80" t="s">
        <v>84</v>
      </c>
      <c r="J2263" s="80" t="s">
        <v>84</v>
      </c>
      <c r="K2263" s="80" t="s">
        <v>84</v>
      </c>
      <c r="L2263" s="80" t="s">
        <v>84</v>
      </c>
      <c r="M2263" s="80" t="s">
        <v>84</v>
      </c>
      <c r="N2263" s="80" t="s">
        <v>84</v>
      </c>
      <c r="O2263" s="80" t="s">
        <v>84</v>
      </c>
      <c r="P2263" s="80"/>
      <c r="Q2263" s="80" t="s">
        <v>84</v>
      </c>
      <c r="R2263" s="80" t="s">
        <v>84</v>
      </c>
    </row>
    <row r="2264" spans="1:18" ht="20" x14ac:dyDescent="0.2">
      <c r="A2264" s="80" t="s">
        <v>6339</v>
      </c>
      <c r="B2264" s="80" t="s">
        <v>6340</v>
      </c>
      <c r="C2264" s="80" t="s">
        <v>84</v>
      </c>
      <c r="D2264" s="80" t="s">
        <v>84</v>
      </c>
      <c r="E2264" s="80" t="s">
        <v>84</v>
      </c>
      <c r="F2264" s="80"/>
      <c r="G2264" s="80" t="s">
        <v>84</v>
      </c>
      <c r="H2264" s="80" t="s">
        <v>84</v>
      </c>
      <c r="I2264" s="80" t="s">
        <v>84</v>
      </c>
      <c r="J2264" s="80" t="s">
        <v>84</v>
      </c>
      <c r="K2264" s="80" t="s">
        <v>84</v>
      </c>
      <c r="L2264" s="80" t="s">
        <v>84</v>
      </c>
      <c r="M2264" s="80" t="s">
        <v>84</v>
      </c>
      <c r="N2264" s="80" t="s">
        <v>84</v>
      </c>
      <c r="O2264" s="80" t="s">
        <v>84</v>
      </c>
      <c r="P2264" s="80"/>
      <c r="Q2264" s="80" t="s">
        <v>84</v>
      </c>
      <c r="R2264" s="80" t="s">
        <v>84</v>
      </c>
    </row>
    <row r="2265" spans="1:18" ht="20" x14ac:dyDescent="0.2">
      <c r="A2265" s="80" t="s">
        <v>6339</v>
      </c>
      <c r="B2265" s="80" t="s">
        <v>10496</v>
      </c>
      <c r="C2265" s="80" t="s">
        <v>84</v>
      </c>
      <c r="D2265" s="80" t="s">
        <v>84</v>
      </c>
      <c r="E2265" s="80" t="s">
        <v>84</v>
      </c>
      <c r="F2265" s="80"/>
      <c r="G2265" s="80" t="s">
        <v>84</v>
      </c>
      <c r="H2265" s="80" t="s">
        <v>84</v>
      </c>
      <c r="I2265" s="80" t="s">
        <v>84</v>
      </c>
      <c r="J2265" s="80" t="s">
        <v>84</v>
      </c>
      <c r="K2265" s="80" t="s">
        <v>84</v>
      </c>
      <c r="L2265" s="80" t="s">
        <v>84</v>
      </c>
      <c r="M2265" s="80" t="s">
        <v>84</v>
      </c>
      <c r="N2265" s="80" t="s">
        <v>84</v>
      </c>
      <c r="O2265" s="80" t="s">
        <v>84</v>
      </c>
      <c r="P2265" s="80"/>
      <c r="Q2265" s="80" t="s">
        <v>84</v>
      </c>
      <c r="R2265" s="80" t="s">
        <v>84</v>
      </c>
    </row>
    <row r="2266" spans="1:18" ht="20" x14ac:dyDescent="0.2">
      <c r="A2266" s="80" t="s">
        <v>6599</v>
      </c>
      <c r="B2266" s="80" t="s">
        <v>10497</v>
      </c>
      <c r="C2266" s="80" t="s">
        <v>84</v>
      </c>
      <c r="D2266" s="80" t="s">
        <v>84</v>
      </c>
      <c r="E2266" s="80" t="s">
        <v>84</v>
      </c>
      <c r="F2266" s="80"/>
      <c r="G2266" s="80" t="s">
        <v>84</v>
      </c>
      <c r="H2266" s="80" t="s">
        <v>84</v>
      </c>
      <c r="I2266" s="80" t="s">
        <v>84</v>
      </c>
      <c r="J2266" s="80" t="s">
        <v>84</v>
      </c>
      <c r="K2266" s="80" t="s">
        <v>84</v>
      </c>
      <c r="L2266" s="80" t="s">
        <v>84</v>
      </c>
      <c r="M2266" s="80" t="s">
        <v>84</v>
      </c>
      <c r="N2266" s="80" t="s">
        <v>84</v>
      </c>
      <c r="O2266" s="80" t="s">
        <v>84</v>
      </c>
      <c r="P2266" s="80"/>
      <c r="Q2266" s="80" t="s">
        <v>84</v>
      </c>
      <c r="R2266" s="80" t="s">
        <v>84</v>
      </c>
    </row>
    <row r="2267" spans="1:18" ht="20" x14ac:dyDescent="0.2">
      <c r="A2267" s="80" t="s">
        <v>6599</v>
      </c>
      <c r="B2267" s="80" t="s">
        <v>6600</v>
      </c>
      <c r="C2267" s="80" t="s">
        <v>84</v>
      </c>
      <c r="D2267" s="80" t="s">
        <v>84</v>
      </c>
      <c r="E2267" s="80" t="s">
        <v>84</v>
      </c>
      <c r="F2267" s="80"/>
      <c r="G2267" s="80" t="s">
        <v>84</v>
      </c>
      <c r="H2267" s="80" t="s">
        <v>84</v>
      </c>
      <c r="I2267" s="80" t="s">
        <v>84</v>
      </c>
      <c r="J2267" s="80" t="s">
        <v>84</v>
      </c>
      <c r="K2267" s="80" t="s">
        <v>84</v>
      </c>
      <c r="L2267" s="80" t="s">
        <v>84</v>
      </c>
      <c r="M2267" s="80" t="s">
        <v>84</v>
      </c>
      <c r="N2267" s="80" t="s">
        <v>84</v>
      </c>
      <c r="O2267" s="80" t="s">
        <v>84</v>
      </c>
      <c r="P2267" s="80"/>
      <c r="Q2267" s="80" t="s">
        <v>84</v>
      </c>
      <c r="R2267" s="80" t="s">
        <v>84</v>
      </c>
    </row>
    <row r="2268" spans="1:18" ht="20" x14ac:dyDescent="0.2">
      <c r="A2268" s="80" t="s">
        <v>6361</v>
      </c>
      <c r="B2268" s="80" t="s">
        <v>6362</v>
      </c>
      <c r="C2268" s="80" t="s">
        <v>84</v>
      </c>
      <c r="D2268" s="80" t="s">
        <v>84</v>
      </c>
      <c r="E2268" s="80" t="s">
        <v>84</v>
      </c>
      <c r="F2268" s="80"/>
      <c r="G2268" s="80" t="s">
        <v>84</v>
      </c>
      <c r="H2268" s="80" t="s">
        <v>84</v>
      </c>
      <c r="I2268" s="80" t="s">
        <v>84</v>
      </c>
      <c r="J2268" s="80" t="s">
        <v>84</v>
      </c>
      <c r="K2268" s="80" t="s">
        <v>84</v>
      </c>
      <c r="L2268" s="80" t="s">
        <v>84</v>
      </c>
      <c r="M2268" s="80" t="s">
        <v>84</v>
      </c>
      <c r="N2268" s="80" t="s">
        <v>84</v>
      </c>
      <c r="O2268" s="80" t="s">
        <v>84</v>
      </c>
      <c r="P2268" s="80"/>
      <c r="Q2268" s="80" t="s">
        <v>84</v>
      </c>
      <c r="R2268" s="80" t="s">
        <v>84</v>
      </c>
    </row>
    <row r="2269" spans="1:18" ht="20" x14ac:dyDescent="0.2">
      <c r="A2269" s="80" t="s">
        <v>6361</v>
      </c>
      <c r="B2269" s="80" t="s">
        <v>10498</v>
      </c>
      <c r="C2269" s="80" t="s">
        <v>84</v>
      </c>
      <c r="D2269" s="80" t="s">
        <v>84</v>
      </c>
      <c r="E2269" s="80" t="s">
        <v>84</v>
      </c>
      <c r="F2269" s="80"/>
      <c r="G2269" s="80" t="s">
        <v>84</v>
      </c>
      <c r="H2269" s="80" t="s">
        <v>84</v>
      </c>
      <c r="I2269" s="80" t="s">
        <v>84</v>
      </c>
      <c r="J2269" s="80" t="s">
        <v>84</v>
      </c>
      <c r="K2269" s="80" t="s">
        <v>84</v>
      </c>
      <c r="L2269" s="80" t="s">
        <v>84</v>
      </c>
      <c r="M2269" s="80" t="s">
        <v>84</v>
      </c>
      <c r="N2269" s="80" t="s">
        <v>84</v>
      </c>
      <c r="O2269" s="80" t="s">
        <v>84</v>
      </c>
      <c r="P2269" s="80"/>
      <c r="Q2269" s="80" t="s">
        <v>84</v>
      </c>
      <c r="R2269" s="80" t="s">
        <v>84</v>
      </c>
    </row>
    <row r="2270" spans="1:18" ht="20" x14ac:dyDescent="0.2">
      <c r="A2270" s="80" t="s">
        <v>6363</v>
      </c>
      <c r="B2270" s="80" t="s">
        <v>6364</v>
      </c>
      <c r="C2270" s="80" t="s">
        <v>84</v>
      </c>
      <c r="D2270" s="80" t="s">
        <v>84</v>
      </c>
      <c r="E2270" s="80" t="s">
        <v>84</v>
      </c>
      <c r="F2270" s="80"/>
      <c r="G2270" s="80" t="s">
        <v>84</v>
      </c>
      <c r="H2270" s="80" t="s">
        <v>84</v>
      </c>
      <c r="I2270" s="80" t="s">
        <v>84</v>
      </c>
      <c r="J2270" s="80" t="s">
        <v>84</v>
      </c>
      <c r="K2270" s="80" t="s">
        <v>84</v>
      </c>
      <c r="L2270" s="80" t="s">
        <v>84</v>
      </c>
      <c r="M2270" s="80" t="s">
        <v>84</v>
      </c>
      <c r="N2270" s="80" t="s">
        <v>84</v>
      </c>
      <c r="O2270" s="80" t="s">
        <v>84</v>
      </c>
      <c r="P2270" s="80"/>
      <c r="Q2270" s="80" t="s">
        <v>84</v>
      </c>
      <c r="R2270" s="80" t="s">
        <v>84</v>
      </c>
    </row>
    <row r="2271" spans="1:18" ht="20" x14ac:dyDescent="0.2">
      <c r="A2271" s="80" t="s">
        <v>6363</v>
      </c>
      <c r="B2271" s="80" t="s">
        <v>10499</v>
      </c>
      <c r="C2271" s="80" t="s">
        <v>84</v>
      </c>
      <c r="D2271" s="80" t="s">
        <v>84</v>
      </c>
      <c r="E2271" s="80" t="s">
        <v>84</v>
      </c>
      <c r="F2271" s="80"/>
      <c r="G2271" s="80" t="s">
        <v>84</v>
      </c>
      <c r="H2271" s="80" t="s">
        <v>84</v>
      </c>
      <c r="I2271" s="80" t="s">
        <v>84</v>
      </c>
      <c r="J2271" s="80" t="s">
        <v>84</v>
      </c>
      <c r="K2271" s="80" t="s">
        <v>84</v>
      </c>
      <c r="L2271" s="80" t="s">
        <v>84</v>
      </c>
      <c r="M2271" s="80" t="s">
        <v>84</v>
      </c>
      <c r="N2271" s="80" t="s">
        <v>84</v>
      </c>
      <c r="O2271" s="80" t="s">
        <v>84</v>
      </c>
      <c r="P2271" s="80"/>
      <c r="Q2271" s="80" t="s">
        <v>84</v>
      </c>
      <c r="R2271" s="80" t="s">
        <v>84</v>
      </c>
    </row>
    <row r="2272" spans="1:18" ht="20" x14ac:dyDescent="0.2">
      <c r="A2272" s="80" t="s">
        <v>10500</v>
      </c>
      <c r="B2272" s="80" t="s">
        <v>10501</v>
      </c>
      <c r="C2272" s="80" t="s">
        <v>84</v>
      </c>
      <c r="D2272" s="80" t="s">
        <v>84</v>
      </c>
      <c r="E2272" s="80" t="s">
        <v>84</v>
      </c>
      <c r="F2272" s="80"/>
      <c r="G2272" s="80" t="s">
        <v>84</v>
      </c>
      <c r="H2272" s="80" t="s">
        <v>84</v>
      </c>
      <c r="I2272" s="80" t="s">
        <v>84</v>
      </c>
      <c r="J2272" s="80" t="s">
        <v>84</v>
      </c>
      <c r="K2272" s="80" t="s">
        <v>84</v>
      </c>
      <c r="L2272" s="80" t="s">
        <v>84</v>
      </c>
      <c r="M2272" s="80" t="s">
        <v>84</v>
      </c>
      <c r="N2272" s="80" t="s">
        <v>84</v>
      </c>
      <c r="O2272" s="80" t="s">
        <v>84</v>
      </c>
      <c r="P2272" s="80"/>
      <c r="Q2272" s="80" t="s">
        <v>84</v>
      </c>
      <c r="R2272" s="80" t="s">
        <v>84</v>
      </c>
    </row>
    <row r="2273" spans="1:18" ht="20" x14ac:dyDescent="0.2">
      <c r="A2273" s="80" t="s">
        <v>6545</v>
      </c>
      <c r="B2273" s="80" t="s">
        <v>6546</v>
      </c>
      <c r="C2273" s="80" t="s">
        <v>84</v>
      </c>
      <c r="D2273" s="80" t="s">
        <v>84</v>
      </c>
      <c r="E2273" s="80" t="s">
        <v>84</v>
      </c>
      <c r="F2273" s="80"/>
      <c r="G2273" s="80" t="s">
        <v>84</v>
      </c>
      <c r="H2273" s="80" t="s">
        <v>84</v>
      </c>
      <c r="I2273" s="80" t="s">
        <v>84</v>
      </c>
      <c r="J2273" s="80" t="s">
        <v>84</v>
      </c>
      <c r="K2273" s="80" t="s">
        <v>84</v>
      </c>
      <c r="L2273" s="80" t="s">
        <v>84</v>
      </c>
      <c r="M2273" s="80" t="s">
        <v>84</v>
      </c>
      <c r="N2273" s="80" t="s">
        <v>84</v>
      </c>
      <c r="O2273" s="80" t="s">
        <v>84</v>
      </c>
      <c r="P2273" s="80"/>
      <c r="Q2273" s="80" t="s">
        <v>84</v>
      </c>
      <c r="R2273" s="80" t="s">
        <v>84</v>
      </c>
    </row>
    <row r="2274" spans="1:18" ht="20" x14ac:dyDescent="0.2">
      <c r="A2274" s="80" t="s">
        <v>6545</v>
      </c>
      <c r="B2274" s="80" t="s">
        <v>10502</v>
      </c>
      <c r="C2274" s="80" t="s">
        <v>84</v>
      </c>
      <c r="D2274" s="80" t="s">
        <v>84</v>
      </c>
      <c r="E2274" s="80" t="s">
        <v>84</v>
      </c>
      <c r="F2274" s="80"/>
      <c r="G2274" s="80" t="s">
        <v>84</v>
      </c>
      <c r="H2274" s="80" t="s">
        <v>84</v>
      </c>
      <c r="I2274" s="80" t="s">
        <v>84</v>
      </c>
      <c r="J2274" s="80" t="s">
        <v>84</v>
      </c>
      <c r="K2274" s="80" t="s">
        <v>84</v>
      </c>
      <c r="L2274" s="80" t="s">
        <v>84</v>
      </c>
      <c r="M2274" s="80" t="s">
        <v>84</v>
      </c>
      <c r="N2274" s="80" t="s">
        <v>84</v>
      </c>
      <c r="O2274" s="80" t="s">
        <v>84</v>
      </c>
      <c r="P2274" s="80"/>
      <c r="Q2274" s="80" t="s">
        <v>84</v>
      </c>
      <c r="R2274" s="80" t="s">
        <v>84</v>
      </c>
    </row>
    <row r="2275" spans="1:18" ht="20" x14ac:dyDescent="0.2">
      <c r="A2275" s="80" t="s">
        <v>6365</v>
      </c>
      <c r="B2275" s="80" t="s">
        <v>6366</v>
      </c>
      <c r="C2275" s="80" t="s">
        <v>84</v>
      </c>
      <c r="D2275" s="80" t="s">
        <v>84</v>
      </c>
      <c r="E2275" s="80" t="s">
        <v>84</v>
      </c>
      <c r="F2275" s="80"/>
      <c r="G2275" s="80" t="s">
        <v>84</v>
      </c>
      <c r="H2275" s="80" t="s">
        <v>84</v>
      </c>
      <c r="I2275" s="80" t="s">
        <v>84</v>
      </c>
      <c r="J2275" s="80" t="s">
        <v>84</v>
      </c>
      <c r="K2275" s="80" t="s">
        <v>84</v>
      </c>
      <c r="L2275" s="80" t="s">
        <v>84</v>
      </c>
      <c r="M2275" s="80" t="s">
        <v>84</v>
      </c>
      <c r="N2275" s="80" t="s">
        <v>84</v>
      </c>
      <c r="O2275" s="80" t="s">
        <v>84</v>
      </c>
      <c r="P2275" s="80"/>
      <c r="Q2275" s="80" t="s">
        <v>84</v>
      </c>
      <c r="R2275" s="80" t="s">
        <v>84</v>
      </c>
    </row>
    <row r="2276" spans="1:18" ht="20" x14ac:dyDescent="0.2">
      <c r="A2276" s="80" t="s">
        <v>6365</v>
      </c>
      <c r="B2276" s="80" t="s">
        <v>10503</v>
      </c>
      <c r="C2276" s="80" t="s">
        <v>84</v>
      </c>
      <c r="D2276" s="80" t="s">
        <v>84</v>
      </c>
      <c r="E2276" s="80" t="s">
        <v>84</v>
      </c>
      <c r="F2276" s="80"/>
      <c r="G2276" s="80" t="s">
        <v>84</v>
      </c>
      <c r="H2276" s="80" t="s">
        <v>84</v>
      </c>
      <c r="I2276" s="80" t="s">
        <v>84</v>
      </c>
      <c r="J2276" s="80" t="s">
        <v>84</v>
      </c>
      <c r="K2276" s="80" t="s">
        <v>84</v>
      </c>
      <c r="L2276" s="80" t="s">
        <v>84</v>
      </c>
      <c r="M2276" s="80" t="s">
        <v>84</v>
      </c>
      <c r="N2276" s="80" t="s">
        <v>84</v>
      </c>
      <c r="O2276" s="80" t="s">
        <v>84</v>
      </c>
      <c r="P2276" s="80"/>
      <c r="Q2276" s="80" t="s">
        <v>84</v>
      </c>
      <c r="R2276" s="80" t="s">
        <v>84</v>
      </c>
    </row>
    <row r="2277" spans="1:18" ht="20" x14ac:dyDescent="0.2">
      <c r="A2277" s="80" t="s">
        <v>10504</v>
      </c>
      <c r="B2277" s="80" t="s">
        <v>10505</v>
      </c>
      <c r="C2277" s="80" t="s">
        <v>84</v>
      </c>
      <c r="D2277" s="80" t="s">
        <v>84</v>
      </c>
      <c r="E2277" s="80" t="s">
        <v>84</v>
      </c>
      <c r="F2277" s="80"/>
      <c r="G2277" s="80" t="s">
        <v>84</v>
      </c>
      <c r="H2277" s="80" t="s">
        <v>84</v>
      </c>
      <c r="I2277" s="80" t="s">
        <v>84</v>
      </c>
      <c r="J2277" s="80" t="s">
        <v>84</v>
      </c>
      <c r="K2277" s="80" t="s">
        <v>84</v>
      </c>
      <c r="L2277" s="80" t="s">
        <v>84</v>
      </c>
      <c r="M2277" s="80" t="s">
        <v>84</v>
      </c>
      <c r="N2277" s="80" t="s">
        <v>84</v>
      </c>
      <c r="O2277" s="80" t="s">
        <v>84</v>
      </c>
      <c r="P2277" s="80"/>
      <c r="Q2277" s="80" t="s">
        <v>84</v>
      </c>
      <c r="R2277" s="80" t="s">
        <v>84</v>
      </c>
    </row>
    <row r="2278" spans="1:18" ht="20" x14ac:dyDescent="0.2">
      <c r="A2278" s="80" t="s">
        <v>6549</v>
      </c>
      <c r="B2278" s="80" t="s">
        <v>6550</v>
      </c>
      <c r="C2278" s="80" t="s">
        <v>84</v>
      </c>
      <c r="D2278" s="80" t="s">
        <v>84</v>
      </c>
      <c r="E2278" s="80" t="s">
        <v>84</v>
      </c>
      <c r="F2278" s="80"/>
      <c r="G2278" s="80" t="s">
        <v>84</v>
      </c>
      <c r="H2278" s="80" t="s">
        <v>84</v>
      </c>
      <c r="I2278" s="80" t="s">
        <v>84</v>
      </c>
      <c r="J2278" s="80" t="s">
        <v>84</v>
      </c>
      <c r="K2278" s="80" t="s">
        <v>84</v>
      </c>
      <c r="L2278" s="80" t="s">
        <v>84</v>
      </c>
      <c r="M2278" s="80" t="s">
        <v>84</v>
      </c>
      <c r="N2278" s="80" t="s">
        <v>84</v>
      </c>
      <c r="O2278" s="80" t="s">
        <v>84</v>
      </c>
      <c r="P2278" s="80"/>
      <c r="Q2278" s="80" t="s">
        <v>84</v>
      </c>
      <c r="R2278" s="80" t="s">
        <v>84</v>
      </c>
    </row>
    <row r="2279" spans="1:18" ht="20" x14ac:dyDescent="0.2">
      <c r="A2279" s="80" t="s">
        <v>6549</v>
      </c>
      <c r="B2279" s="80" t="s">
        <v>10506</v>
      </c>
      <c r="C2279" s="80" t="s">
        <v>84</v>
      </c>
      <c r="D2279" s="80" t="s">
        <v>84</v>
      </c>
      <c r="E2279" s="80" t="s">
        <v>84</v>
      </c>
      <c r="F2279" s="80"/>
      <c r="G2279" s="80" t="s">
        <v>84</v>
      </c>
      <c r="H2279" s="80" t="s">
        <v>84</v>
      </c>
      <c r="I2279" s="80" t="s">
        <v>84</v>
      </c>
      <c r="J2279" s="80" t="s">
        <v>84</v>
      </c>
      <c r="K2279" s="80" t="s">
        <v>84</v>
      </c>
      <c r="L2279" s="80" t="s">
        <v>84</v>
      </c>
      <c r="M2279" s="80" t="s">
        <v>84</v>
      </c>
      <c r="N2279" s="80" t="s">
        <v>84</v>
      </c>
      <c r="O2279" s="80" t="s">
        <v>84</v>
      </c>
      <c r="P2279" s="80"/>
      <c r="Q2279" s="80" t="s">
        <v>84</v>
      </c>
      <c r="R2279" s="80" t="s">
        <v>84</v>
      </c>
    </row>
    <row r="2280" spans="1:18" ht="20" x14ac:dyDescent="0.2">
      <c r="A2280" s="80" t="s">
        <v>10507</v>
      </c>
      <c r="B2280" s="80" t="s">
        <v>10508</v>
      </c>
      <c r="C2280" s="80" t="s">
        <v>84</v>
      </c>
      <c r="D2280" s="80" t="s">
        <v>84</v>
      </c>
      <c r="E2280" s="80" t="s">
        <v>84</v>
      </c>
      <c r="F2280" s="80"/>
      <c r="G2280" s="80" t="s">
        <v>84</v>
      </c>
      <c r="H2280" s="80" t="s">
        <v>84</v>
      </c>
      <c r="I2280" s="80" t="s">
        <v>84</v>
      </c>
      <c r="J2280" s="80" t="s">
        <v>84</v>
      </c>
      <c r="K2280" s="80" t="s">
        <v>84</v>
      </c>
      <c r="L2280" s="80" t="s">
        <v>84</v>
      </c>
      <c r="M2280" s="80" t="s">
        <v>84</v>
      </c>
      <c r="N2280" s="80" t="s">
        <v>84</v>
      </c>
      <c r="O2280" s="80" t="s">
        <v>84</v>
      </c>
      <c r="P2280" s="80"/>
      <c r="Q2280" s="80" t="s">
        <v>84</v>
      </c>
      <c r="R2280" s="80" t="s">
        <v>84</v>
      </c>
    </row>
    <row r="2281" spans="1:18" ht="20" x14ac:dyDescent="0.2">
      <c r="A2281" s="80" t="s">
        <v>6379</v>
      </c>
      <c r="B2281" s="80" t="s">
        <v>10509</v>
      </c>
      <c r="C2281" s="80" t="s">
        <v>84</v>
      </c>
      <c r="D2281" s="80" t="s">
        <v>84</v>
      </c>
      <c r="E2281" s="80" t="s">
        <v>84</v>
      </c>
      <c r="F2281" s="80"/>
      <c r="G2281" s="80" t="s">
        <v>84</v>
      </c>
      <c r="H2281" s="80" t="s">
        <v>84</v>
      </c>
      <c r="I2281" s="80" t="s">
        <v>84</v>
      </c>
      <c r="J2281" s="80" t="s">
        <v>84</v>
      </c>
      <c r="K2281" s="80" t="s">
        <v>84</v>
      </c>
      <c r="L2281" s="80" t="s">
        <v>84</v>
      </c>
      <c r="M2281" s="80" t="s">
        <v>84</v>
      </c>
      <c r="N2281" s="80" t="s">
        <v>84</v>
      </c>
      <c r="O2281" s="80" t="s">
        <v>84</v>
      </c>
      <c r="P2281" s="80"/>
      <c r="Q2281" s="80" t="s">
        <v>84</v>
      </c>
      <c r="R2281" s="80" t="s">
        <v>84</v>
      </c>
    </row>
    <row r="2282" spans="1:18" ht="20" x14ac:dyDescent="0.2">
      <c r="A2282" s="80" t="s">
        <v>6379</v>
      </c>
      <c r="B2282" s="80" t="s">
        <v>6380</v>
      </c>
      <c r="C2282" s="80" t="s">
        <v>84</v>
      </c>
      <c r="D2282" s="80" t="s">
        <v>84</v>
      </c>
      <c r="E2282" s="80" t="s">
        <v>84</v>
      </c>
      <c r="F2282" s="80"/>
      <c r="G2282" s="80" t="s">
        <v>84</v>
      </c>
      <c r="H2282" s="80" t="s">
        <v>84</v>
      </c>
      <c r="I2282" s="80" t="s">
        <v>84</v>
      </c>
      <c r="J2282" s="80" t="s">
        <v>84</v>
      </c>
      <c r="K2282" s="80" t="s">
        <v>84</v>
      </c>
      <c r="L2282" s="80" t="s">
        <v>84</v>
      </c>
      <c r="M2282" s="80" t="s">
        <v>84</v>
      </c>
      <c r="N2282" s="80" t="s">
        <v>84</v>
      </c>
      <c r="O2282" s="80" t="s">
        <v>84</v>
      </c>
      <c r="P2282" s="80"/>
      <c r="Q2282" s="80" t="s">
        <v>84</v>
      </c>
      <c r="R2282" s="80" t="s">
        <v>84</v>
      </c>
    </row>
    <row r="2283" spans="1:18" ht="20" x14ac:dyDescent="0.2">
      <c r="A2283" s="80" t="s">
        <v>10510</v>
      </c>
      <c r="B2283" s="80" t="s">
        <v>10511</v>
      </c>
      <c r="C2283" s="80" t="s">
        <v>84</v>
      </c>
      <c r="D2283" s="80" t="s">
        <v>84</v>
      </c>
      <c r="E2283" s="80" t="s">
        <v>84</v>
      </c>
      <c r="F2283" s="80"/>
      <c r="G2283" s="80" t="s">
        <v>84</v>
      </c>
      <c r="H2283" s="80" t="s">
        <v>84</v>
      </c>
      <c r="I2283" s="80" t="s">
        <v>84</v>
      </c>
      <c r="J2283" s="80" t="s">
        <v>84</v>
      </c>
      <c r="K2283" s="80" t="s">
        <v>84</v>
      </c>
      <c r="L2283" s="80" t="s">
        <v>84</v>
      </c>
      <c r="M2283" s="80" t="s">
        <v>84</v>
      </c>
      <c r="N2283" s="80" t="s">
        <v>84</v>
      </c>
      <c r="O2283" s="80" t="s">
        <v>84</v>
      </c>
      <c r="P2283" s="80"/>
      <c r="Q2283" s="80" t="s">
        <v>84</v>
      </c>
      <c r="R2283" s="80" t="s">
        <v>84</v>
      </c>
    </row>
    <row r="2284" spans="1:18" ht="20" x14ac:dyDescent="0.2">
      <c r="A2284" s="80" t="s">
        <v>10512</v>
      </c>
      <c r="B2284" s="80" t="s">
        <v>10513</v>
      </c>
      <c r="C2284" s="80" t="s">
        <v>84</v>
      </c>
      <c r="D2284" s="80" t="s">
        <v>84</v>
      </c>
      <c r="E2284" s="80" t="s">
        <v>84</v>
      </c>
      <c r="F2284" s="80"/>
      <c r="G2284" s="80" t="s">
        <v>84</v>
      </c>
      <c r="H2284" s="80" t="s">
        <v>84</v>
      </c>
      <c r="I2284" s="80" t="s">
        <v>84</v>
      </c>
      <c r="J2284" s="80" t="s">
        <v>84</v>
      </c>
      <c r="K2284" s="80" t="s">
        <v>84</v>
      </c>
      <c r="L2284" s="80" t="s">
        <v>84</v>
      </c>
      <c r="M2284" s="80" t="s">
        <v>84</v>
      </c>
      <c r="N2284" s="80" t="s">
        <v>84</v>
      </c>
      <c r="O2284" s="80" t="s">
        <v>84</v>
      </c>
      <c r="P2284" s="80"/>
      <c r="Q2284" s="80" t="s">
        <v>84</v>
      </c>
      <c r="R2284" s="80" t="s">
        <v>84</v>
      </c>
    </row>
    <row r="2285" spans="1:18" ht="20" x14ac:dyDescent="0.2">
      <c r="A2285" s="80" t="s">
        <v>6509</v>
      </c>
      <c r="B2285" s="80" t="s">
        <v>6510</v>
      </c>
      <c r="C2285" s="80" t="s">
        <v>84</v>
      </c>
      <c r="D2285" s="80" t="s">
        <v>84</v>
      </c>
      <c r="E2285" s="80" t="s">
        <v>84</v>
      </c>
      <c r="F2285" s="80"/>
      <c r="G2285" s="80" t="s">
        <v>84</v>
      </c>
      <c r="H2285" s="80" t="s">
        <v>84</v>
      </c>
      <c r="I2285" s="80" t="s">
        <v>84</v>
      </c>
      <c r="J2285" s="80" t="s">
        <v>84</v>
      </c>
      <c r="K2285" s="80" t="s">
        <v>84</v>
      </c>
      <c r="L2285" s="80" t="s">
        <v>84</v>
      </c>
      <c r="M2285" s="80" t="s">
        <v>84</v>
      </c>
      <c r="N2285" s="80" t="s">
        <v>84</v>
      </c>
      <c r="O2285" s="80" t="s">
        <v>84</v>
      </c>
      <c r="P2285" s="80"/>
      <c r="Q2285" s="80" t="s">
        <v>84</v>
      </c>
      <c r="R2285" s="80" t="s">
        <v>84</v>
      </c>
    </row>
    <row r="2286" spans="1:18" ht="20" x14ac:dyDescent="0.2">
      <c r="A2286" s="80" t="s">
        <v>6509</v>
      </c>
      <c r="B2286" s="80" t="s">
        <v>10514</v>
      </c>
      <c r="C2286" s="80" t="s">
        <v>84</v>
      </c>
      <c r="D2286" s="80" t="s">
        <v>84</v>
      </c>
      <c r="E2286" s="80" t="s">
        <v>84</v>
      </c>
      <c r="F2286" s="80"/>
      <c r="G2286" s="80" t="s">
        <v>84</v>
      </c>
      <c r="H2286" s="80" t="s">
        <v>84</v>
      </c>
      <c r="I2286" s="80" t="s">
        <v>84</v>
      </c>
      <c r="J2286" s="80" t="s">
        <v>84</v>
      </c>
      <c r="K2286" s="80" t="s">
        <v>84</v>
      </c>
      <c r="L2286" s="80" t="s">
        <v>84</v>
      </c>
      <c r="M2286" s="80" t="s">
        <v>84</v>
      </c>
      <c r="N2286" s="80" t="s">
        <v>84</v>
      </c>
      <c r="O2286" s="80" t="s">
        <v>84</v>
      </c>
      <c r="P2286" s="80"/>
      <c r="Q2286" s="80" t="s">
        <v>84</v>
      </c>
      <c r="R2286" s="80" t="s">
        <v>84</v>
      </c>
    </row>
    <row r="2287" spans="1:18" ht="20" x14ac:dyDescent="0.2">
      <c r="A2287" s="80" t="s">
        <v>6511</v>
      </c>
      <c r="B2287" s="80" t="s">
        <v>6512</v>
      </c>
      <c r="C2287" s="80" t="s">
        <v>84</v>
      </c>
      <c r="D2287" s="80" t="s">
        <v>84</v>
      </c>
      <c r="E2287" s="80" t="s">
        <v>84</v>
      </c>
      <c r="F2287" s="80"/>
      <c r="G2287" s="80" t="s">
        <v>84</v>
      </c>
      <c r="H2287" s="80" t="s">
        <v>84</v>
      </c>
      <c r="I2287" s="80" t="s">
        <v>84</v>
      </c>
      <c r="J2287" s="80" t="s">
        <v>84</v>
      </c>
      <c r="K2287" s="80" t="s">
        <v>84</v>
      </c>
      <c r="L2287" s="80" t="s">
        <v>84</v>
      </c>
      <c r="M2287" s="80" t="s">
        <v>84</v>
      </c>
      <c r="N2287" s="80" t="s">
        <v>84</v>
      </c>
      <c r="O2287" s="80" t="s">
        <v>84</v>
      </c>
      <c r="P2287" s="80"/>
      <c r="Q2287" s="80" t="s">
        <v>84</v>
      </c>
      <c r="R2287" s="80" t="s">
        <v>84</v>
      </c>
    </row>
    <row r="2288" spans="1:18" ht="20" x14ac:dyDescent="0.2">
      <c r="A2288" s="80" t="s">
        <v>6511</v>
      </c>
      <c r="B2288" s="80" t="s">
        <v>10515</v>
      </c>
      <c r="C2288" s="80" t="s">
        <v>84</v>
      </c>
      <c r="D2288" s="80" t="s">
        <v>84</v>
      </c>
      <c r="E2288" s="80" t="s">
        <v>84</v>
      </c>
      <c r="F2288" s="80"/>
      <c r="G2288" s="80" t="s">
        <v>84</v>
      </c>
      <c r="H2288" s="80" t="s">
        <v>84</v>
      </c>
      <c r="I2288" s="80" t="s">
        <v>84</v>
      </c>
      <c r="J2288" s="80" t="s">
        <v>84</v>
      </c>
      <c r="K2288" s="80" t="s">
        <v>84</v>
      </c>
      <c r="L2288" s="80" t="s">
        <v>84</v>
      </c>
      <c r="M2288" s="80" t="s">
        <v>84</v>
      </c>
      <c r="N2288" s="80" t="s">
        <v>84</v>
      </c>
      <c r="O2288" s="80" t="s">
        <v>84</v>
      </c>
      <c r="P2288" s="80"/>
      <c r="Q2288" s="80" t="s">
        <v>84</v>
      </c>
      <c r="R2288" s="80" t="s">
        <v>84</v>
      </c>
    </row>
    <row r="2289" spans="1:18" ht="20" x14ac:dyDescent="0.2">
      <c r="A2289" s="80" t="s">
        <v>6513</v>
      </c>
      <c r="B2289" s="80" t="s">
        <v>6514</v>
      </c>
      <c r="C2289" s="80" t="s">
        <v>84</v>
      </c>
      <c r="D2289" s="80" t="s">
        <v>84</v>
      </c>
      <c r="E2289" s="80" t="s">
        <v>84</v>
      </c>
      <c r="F2289" s="80"/>
      <c r="G2289" s="80" t="s">
        <v>84</v>
      </c>
      <c r="H2289" s="80" t="s">
        <v>84</v>
      </c>
      <c r="I2289" s="80" t="s">
        <v>84</v>
      </c>
      <c r="J2289" s="80" t="s">
        <v>84</v>
      </c>
      <c r="K2289" s="80" t="s">
        <v>84</v>
      </c>
      <c r="L2289" s="80" t="s">
        <v>84</v>
      </c>
      <c r="M2289" s="80" t="s">
        <v>84</v>
      </c>
      <c r="N2289" s="80" t="s">
        <v>84</v>
      </c>
      <c r="O2289" s="80" t="s">
        <v>84</v>
      </c>
      <c r="P2289" s="80"/>
      <c r="Q2289" s="80" t="s">
        <v>84</v>
      </c>
      <c r="R2289" s="80" t="s">
        <v>84</v>
      </c>
    </row>
    <row r="2290" spans="1:18" ht="20" x14ac:dyDescent="0.2">
      <c r="A2290" s="80" t="s">
        <v>6513</v>
      </c>
      <c r="B2290" s="80" t="s">
        <v>10516</v>
      </c>
      <c r="C2290" s="80" t="s">
        <v>84</v>
      </c>
      <c r="D2290" s="80" t="s">
        <v>84</v>
      </c>
      <c r="E2290" s="80" t="s">
        <v>84</v>
      </c>
      <c r="F2290" s="80"/>
      <c r="G2290" s="80" t="s">
        <v>84</v>
      </c>
      <c r="H2290" s="80" t="s">
        <v>84</v>
      </c>
      <c r="I2290" s="80" t="s">
        <v>84</v>
      </c>
      <c r="J2290" s="80" t="s">
        <v>84</v>
      </c>
      <c r="K2290" s="80" t="s">
        <v>84</v>
      </c>
      <c r="L2290" s="80" t="s">
        <v>84</v>
      </c>
      <c r="M2290" s="80" t="s">
        <v>84</v>
      </c>
      <c r="N2290" s="80" t="s">
        <v>84</v>
      </c>
      <c r="O2290" s="80" t="s">
        <v>84</v>
      </c>
      <c r="P2290" s="80"/>
      <c r="Q2290" s="80" t="s">
        <v>84</v>
      </c>
      <c r="R2290" s="80" t="s">
        <v>84</v>
      </c>
    </row>
    <row r="2291" spans="1:18" ht="20" x14ac:dyDescent="0.2">
      <c r="A2291" s="80" t="s">
        <v>6515</v>
      </c>
      <c r="B2291" s="80" t="s">
        <v>6516</v>
      </c>
      <c r="C2291" s="80" t="s">
        <v>84</v>
      </c>
      <c r="D2291" s="80" t="s">
        <v>84</v>
      </c>
      <c r="E2291" s="80" t="s">
        <v>84</v>
      </c>
      <c r="F2291" s="80"/>
      <c r="G2291" s="80" t="s">
        <v>84</v>
      </c>
      <c r="H2291" s="80" t="s">
        <v>84</v>
      </c>
      <c r="I2291" s="80" t="s">
        <v>84</v>
      </c>
      <c r="J2291" s="80" t="s">
        <v>84</v>
      </c>
      <c r="K2291" s="80" t="s">
        <v>84</v>
      </c>
      <c r="L2291" s="80" t="s">
        <v>84</v>
      </c>
      <c r="M2291" s="80" t="s">
        <v>84</v>
      </c>
      <c r="N2291" s="80" t="s">
        <v>84</v>
      </c>
      <c r="O2291" s="80" t="s">
        <v>84</v>
      </c>
      <c r="P2291" s="80"/>
      <c r="Q2291" s="80" t="s">
        <v>84</v>
      </c>
      <c r="R2291" s="80" t="s">
        <v>84</v>
      </c>
    </row>
    <row r="2292" spans="1:18" ht="20" x14ac:dyDescent="0.2">
      <c r="A2292" s="80" t="s">
        <v>6515</v>
      </c>
      <c r="B2292" s="80" t="s">
        <v>10517</v>
      </c>
      <c r="C2292" s="80" t="s">
        <v>84</v>
      </c>
      <c r="D2292" s="80" t="s">
        <v>84</v>
      </c>
      <c r="E2292" s="80" t="s">
        <v>84</v>
      </c>
      <c r="F2292" s="80"/>
      <c r="G2292" s="80" t="s">
        <v>84</v>
      </c>
      <c r="H2292" s="80" t="s">
        <v>84</v>
      </c>
      <c r="I2292" s="80" t="s">
        <v>84</v>
      </c>
      <c r="J2292" s="80" t="s">
        <v>84</v>
      </c>
      <c r="K2292" s="80" t="s">
        <v>84</v>
      </c>
      <c r="L2292" s="80" t="s">
        <v>84</v>
      </c>
      <c r="M2292" s="80" t="s">
        <v>84</v>
      </c>
      <c r="N2292" s="80" t="s">
        <v>84</v>
      </c>
      <c r="O2292" s="80" t="s">
        <v>84</v>
      </c>
      <c r="P2292" s="80"/>
      <c r="Q2292" s="80" t="s">
        <v>84</v>
      </c>
      <c r="R2292" s="80" t="s">
        <v>84</v>
      </c>
    </row>
    <row r="2293" spans="1:18" ht="20" x14ac:dyDescent="0.2">
      <c r="A2293" s="80" t="s">
        <v>6517</v>
      </c>
      <c r="B2293" s="80" t="s">
        <v>6518</v>
      </c>
      <c r="C2293" s="80" t="s">
        <v>84</v>
      </c>
      <c r="D2293" s="80" t="s">
        <v>84</v>
      </c>
      <c r="E2293" s="80" t="s">
        <v>84</v>
      </c>
      <c r="F2293" s="80"/>
      <c r="G2293" s="80" t="s">
        <v>84</v>
      </c>
      <c r="H2293" s="80" t="s">
        <v>84</v>
      </c>
      <c r="I2293" s="80" t="s">
        <v>84</v>
      </c>
      <c r="J2293" s="80" t="s">
        <v>84</v>
      </c>
      <c r="K2293" s="80" t="s">
        <v>84</v>
      </c>
      <c r="L2293" s="80" t="s">
        <v>84</v>
      </c>
      <c r="M2293" s="80" t="s">
        <v>84</v>
      </c>
      <c r="N2293" s="80" t="s">
        <v>84</v>
      </c>
      <c r="O2293" s="80" t="s">
        <v>84</v>
      </c>
      <c r="P2293" s="80"/>
      <c r="Q2293" s="80" t="s">
        <v>84</v>
      </c>
      <c r="R2293" s="80" t="s">
        <v>84</v>
      </c>
    </row>
    <row r="2294" spans="1:18" ht="20" x14ac:dyDescent="0.2">
      <c r="A2294" s="80" t="s">
        <v>6517</v>
      </c>
      <c r="B2294" s="80" t="s">
        <v>10518</v>
      </c>
      <c r="C2294" s="80" t="s">
        <v>84</v>
      </c>
      <c r="D2294" s="80" t="s">
        <v>84</v>
      </c>
      <c r="E2294" s="80" t="s">
        <v>84</v>
      </c>
      <c r="F2294" s="80"/>
      <c r="G2294" s="80" t="s">
        <v>84</v>
      </c>
      <c r="H2294" s="80" t="s">
        <v>84</v>
      </c>
      <c r="I2294" s="80" t="s">
        <v>84</v>
      </c>
      <c r="J2294" s="80" t="s">
        <v>84</v>
      </c>
      <c r="K2294" s="80" t="s">
        <v>84</v>
      </c>
      <c r="L2294" s="80" t="s">
        <v>84</v>
      </c>
      <c r="M2294" s="80" t="s">
        <v>84</v>
      </c>
      <c r="N2294" s="80" t="s">
        <v>84</v>
      </c>
      <c r="O2294" s="80" t="s">
        <v>84</v>
      </c>
      <c r="P2294" s="80"/>
      <c r="Q2294" s="80" t="s">
        <v>84</v>
      </c>
      <c r="R2294" s="80" t="s">
        <v>84</v>
      </c>
    </row>
    <row r="2295" spans="1:18" ht="20" x14ac:dyDescent="0.2">
      <c r="A2295" s="80" t="s">
        <v>6761</v>
      </c>
      <c r="B2295" s="80" t="s">
        <v>10519</v>
      </c>
      <c r="C2295" s="80" t="s">
        <v>84</v>
      </c>
      <c r="D2295" s="80" t="s">
        <v>84</v>
      </c>
      <c r="E2295" s="80" t="s">
        <v>84</v>
      </c>
      <c r="F2295" s="80"/>
      <c r="G2295" s="80" t="s">
        <v>84</v>
      </c>
      <c r="H2295" s="80" t="s">
        <v>84</v>
      </c>
      <c r="I2295" s="80" t="s">
        <v>84</v>
      </c>
      <c r="J2295" s="80" t="s">
        <v>84</v>
      </c>
      <c r="K2295" s="80" t="s">
        <v>84</v>
      </c>
      <c r="L2295" s="80" t="s">
        <v>84</v>
      </c>
      <c r="M2295" s="80" t="s">
        <v>84</v>
      </c>
      <c r="N2295" s="80" t="s">
        <v>84</v>
      </c>
      <c r="O2295" s="80" t="s">
        <v>84</v>
      </c>
      <c r="P2295" s="80"/>
      <c r="Q2295" s="80" t="s">
        <v>84</v>
      </c>
      <c r="R2295" s="80" t="s">
        <v>84</v>
      </c>
    </row>
    <row r="2296" spans="1:18" ht="20" x14ac:dyDescent="0.2">
      <c r="A2296" s="80" t="s">
        <v>6761</v>
      </c>
      <c r="B2296" s="80" t="s">
        <v>6762</v>
      </c>
      <c r="C2296" s="80" t="s">
        <v>84</v>
      </c>
      <c r="D2296" s="80" t="s">
        <v>84</v>
      </c>
      <c r="E2296" s="80" t="s">
        <v>84</v>
      </c>
      <c r="F2296" s="80"/>
      <c r="G2296" s="80" t="s">
        <v>84</v>
      </c>
      <c r="H2296" s="80" t="s">
        <v>84</v>
      </c>
      <c r="I2296" s="80" t="s">
        <v>84</v>
      </c>
      <c r="J2296" s="80" t="s">
        <v>84</v>
      </c>
      <c r="K2296" s="80" t="s">
        <v>84</v>
      </c>
      <c r="L2296" s="80" t="s">
        <v>84</v>
      </c>
      <c r="M2296" s="80" t="s">
        <v>84</v>
      </c>
      <c r="N2296" s="80" t="s">
        <v>84</v>
      </c>
      <c r="O2296" s="80" t="s">
        <v>84</v>
      </c>
      <c r="P2296" s="80"/>
      <c r="Q2296" s="80" t="s">
        <v>84</v>
      </c>
      <c r="R2296" s="80" t="s">
        <v>84</v>
      </c>
    </row>
    <row r="2297" spans="1:18" ht="20" x14ac:dyDescent="0.2">
      <c r="A2297" s="80" t="s">
        <v>6763</v>
      </c>
      <c r="B2297" s="80" t="s">
        <v>10520</v>
      </c>
      <c r="C2297" s="80" t="s">
        <v>84</v>
      </c>
      <c r="D2297" s="80" t="s">
        <v>84</v>
      </c>
      <c r="E2297" s="80" t="s">
        <v>84</v>
      </c>
      <c r="F2297" s="80"/>
      <c r="G2297" s="80" t="s">
        <v>84</v>
      </c>
      <c r="H2297" s="80" t="s">
        <v>84</v>
      </c>
      <c r="I2297" s="80" t="s">
        <v>84</v>
      </c>
      <c r="J2297" s="80" t="s">
        <v>84</v>
      </c>
      <c r="K2297" s="80" t="s">
        <v>84</v>
      </c>
      <c r="L2297" s="80" t="s">
        <v>84</v>
      </c>
      <c r="M2297" s="80" t="s">
        <v>84</v>
      </c>
      <c r="N2297" s="80" t="s">
        <v>84</v>
      </c>
      <c r="O2297" s="80" t="s">
        <v>84</v>
      </c>
      <c r="P2297" s="80"/>
      <c r="Q2297" s="80" t="s">
        <v>84</v>
      </c>
      <c r="R2297" s="80" t="s">
        <v>84</v>
      </c>
    </row>
    <row r="2298" spans="1:18" ht="20" x14ac:dyDescent="0.2">
      <c r="A2298" s="80" t="s">
        <v>6763</v>
      </c>
      <c r="B2298" s="80" t="s">
        <v>6764</v>
      </c>
      <c r="C2298" s="80" t="s">
        <v>84</v>
      </c>
      <c r="D2298" s="80" t="s">
        <v>84</v>
      </c>
      <c r="E2298" s="80" t="s">
        <v>84</v>
      </c>
      <c r="F2298" s="80"/>
      <c r="G2298" s="80" t="s">
        <v>84</v>
      </c>
      <c r="H2298" s="80" t="s">
        <v>84</v>
      </c>
      <c r="I2298" s="80" t="s">
        <v>84</v>
      </c>
      <c r="J2298" s="80" t="s">
        <v>84</v>
      </c>
      <c r="K2298" s="80" t="s">
        <v>84</v>
      </c>
      <c r="L2298" s="80" t="s">
        <v>84</v>
      </c>
      <c r="M2298" s="80" t="s">
        <v>84</v>
      </c>
      <c r="N2298" s="80" t="s">
        <v>84</v>
      </c>
      <c r="O2298" s="80" t="s">
        <v>84</v>
      </c>
      <c r="P2298" s="80"/>
      <c r="Q2298" s="80" t="s">
        <v>84</v>
      </c>
      <c r="R2298" s="80" t="s">
        <v>84</v>
      </c>
    </row>
    <row r="2299" spans="1:18" ht="20" x14ac:dyDescent="0.2">
      <c r="A2299" s="80" t="s">
        <v>6765</v>
      </c>
      <c r="B2299" s="80" t="s">
        <v>6766</v>
      </c>
      <c r="C2299" s="80" t="s">
        <v>84</v>
      </c>
      <c r="D2299" s="80" t="s">
        <v>84</v>
      </c>
      <c r="E2299" s="80" t="s">
        <v>84</v>
      </c>
      <c r="F2299" s="80"/>
      <c r="G2299" s="80" t="s">
        <v>84</v>
      </c>
      <c r="H2299" s="80" t="s">
        <v>84</v>
      </c>
      <c r="I2299" s="80" t="s">
        <v>84</v>
      </c>
      <c r="J2299" s="80" t="s">
        <v>84</v>
      </c>
      <c r="K2299" s="80" t="s">
        <v>84</v>
      </c>
      <c r="L2299" s="80" t="s">
        <v>84</v>
      </c>
      <c r="M2299" s="80" t="s">
        <v>84</v>
      </c>
      <c r="N2299" s="80" t="s">
        <v>84</v>
      </c>
      <c r="O2299" s="80" t="s">
        <v>84</v>
      </c>
      <c r="P2299" s="80"/>
      <c r="Q2299" s="80" t="s">
        <v>84</v>
      </c>
      <c r="R2299" s="80" t="s">
        <v>84</v>
      </c>
    </row>
    <row r="2300" spans="1:18" ht="20" x14ac:dyDescent="0.2">
      <c r="A2300" s="80" t="s">
        <v>6765</v>
      </c>
      <c r="B2300" s="80" t="s">
        <v>10521</v>
      </c>
      <c r="C2300" s="80" t="s">
        <v>84</v>
      </c>
      <c r="D2300" s="80" t="s">
        <v>84</v>
      </c>
      <c r="E2300" s="80" t="s">
        <v>84</v>
      </c>
      <c r="F2300" s="80"/>
      <c r="G2300" s="80" t="s">
        <v>84</v>
      </c>
      <c r="H2300" s="80" t="s">
        <v>84</v>
      </c>
      <c r="I2300" s="80" t="s">
        <v>84</v>
      </c>
      <c r="J2300" s="80" t="s">
        <v>84</v>
      </c>
      <c r="K2300" s="80" t="s">
        <v>84</v>
      </c>
      <c r="L2300" s="80" t="s">
        <v>84</v>
      </c>
      <c r="M2300" s="80" t="s">
        <v>84</v>
      </c>
      <c r="N2300" s="80" t="s">
        <v>84</v>
      </c>
      <c r="O2300" s="80" t="s">
        <v>84</v>
      </c>
      <c r="P2300" s="80"/>
      <c r="Q2300" s="80" t="s">
        <v>84</v>
      </c>
      <c r="R2300" s="80" t="s">
        <v>84</v>
      </c>
    </row>
    <row r="2301" spans="1:18" ht="20" x14ac:dyDescent="0.2">
      <c r="A2301" s="80" t="s">
        <v>6767</v>
      </c>
      <c r="B2301" s="80" t="s">
        <v>6768</v>
      </c>
      <c r="C2301" s="80" t="s">
        <v>84</v>
      </c>
      <c r="D2301" s="80" t="s">
        <v>84</v>
      </c>
      <c r="E2301" s="80" t="s">
        <v>84</v>
      </c>
      <c r="F2301" s="80"/>
      <c r="G2301" s="80" t="s">
        <v>84</v>
      </c>
      <c r="H2301" s="80" t="s">
        <v>84</v>
      </c>
      <c r="I2301" s="80" t="s">
        <v>84</v>
      </c>
      <c r="J2301" s="80" t="s">
        <v>84</v>
      </c>
      <c r="K2301" s="80" t="s">
        <v>84</v>
      </c>
      <c r="L2301" s="80" t="s">
        <v>84</v>
      </c>
      <c r="M2301" s="80" t="s">
        <v>84</v>
      </c>
      <c r="N2301" s="80" t="s">
        <v>84</v>
      </c>
      <c r="O2301" s="80" t="s">
        <v>84</v>
      </c>
      <c r="P2301" s="80"/>
      <c r="Q2301" s="80" t="s">
        <v>84</v>
      </c>
      <c r="R2301" s="80" t="s">
        <v>84</v>
      </c>
    </row>
    <row r="2302" spans="1:18" ht="20" x14ac:dyDescent="0.2">
      <c r="A2302" s="80" t="s">
        <v>6767</v>
      </c>
      <c r="B2302" s="80" t="s">
        <v>10522</v>
      </c>
      <c r="C2302" s="80" t="s">
        <v>84</v>
      </c>
      <c r="D2302" s="80" t="s">
        <v>84</v>
      </c>
      <c r="E2302" s="80" t="s">
        <v>84</v>
      </c>
      <c r="F2302" s="80"/>
      <c r="G2302" s="80" t="s">
        <v>84</v>
      </c>
      <c r="H2302" s="80" t="s">
        <v>84</v>
      </c>
      <c r="I2302" s="80" t="s">
        <v>84</v>
      </c>
      <c r="J2302" s="80" t="s">
        <v>84</v>
      </c>
      <c r="K2302" s="80" t="s">
        <v>84</v>
      </c>
      <c r="L2302" s="80" t="s">
        <v>84</v>
      </c>
      <c r="M2302" s="80" t="s">
        <v>84</v>
      </c>
      <c r="N2302" s="80" t="s">
        <v>84</v>
      </c>
      <c r="O2302" s="80" t="s">
        <v>84</v>
      </c>
      <c r="P2302" s="80"/>
      <c r="Q2302" s="80" t="s">
        <v>84</v>
      </c>
      <c r="R2302" s="80" t="s">
        <v>84</v>
      </c>
    </row>
    <row r="2303" spans="1:18" ht="20" x14ac:dyDescent="0.2">
      <c r="A2303" s="80" t="s">
        <v>10523</v>
      </c>
      <c r="B2303" s="80" t="s">
        <v>10524</v>
      </c>
      <c r="C2303" s="80" t="s">
        <v>84</v>
      </c>
      <c r="D2303" s="80" t="s">
        <v>84</v>
      </c>
      <c r="E2303" s="80" t="s">
        <v>84</v>
      </c>
      <c r="F2303" s="80"/>
      <c r="G2303" s="80" t="s">
        <v>84</v>
      </c>
      <c r="H2303" s="80" t="s">
        <v>84</v>
      </c>
      <c r="I2303" s="80" t="s">
        <v>84</v>
      </c>
      <c r="J2303" s="80" t="s">
        <v>84</v>
      </c>
      <c r="K2303" s="80" t="s">
        <v>84</v>
      </c>
      <c r="L2303" s="80" t="s">
        <v>84</v>
      </c>
      <c r="M2303" s="80" t="s">
        <v>84</v>
      </c>
      <c r="N2303" s="80" t="s">
        <v>84</v>
      </c>
      <c r="O2303" s="80" t="s">
        <v>84</v>
      </c>
      <c r="P2303" s="80"/>
      <c r="Q2303" s="80" t="s">
        <v>84</v>
      </c>
      <c r="R2303" s="80" t="s">
        <v>84</v>
      </c>
    </row>
    <row r="2304" spans="1:18" ht="20" x14ac:dyDescent="0.2">
      <c r="A2304" s="80" t="s">
        <v>10525</v>
      </c>
      <c r="B2304" s="80" t="s">
        <v>10526</v>
      </c>
      <c r="C2304" s="80" t="s">
        <v>84</v>
      </c>
      <c r="D2304" s="80" t="s">
        <v>84</v>
      </c>
      <c r="E2304" s="80" t="s">
        <v>84</v>
      </c>
      <c r="F2304" s="80"/>
      <c r="G2304" s="80" t="s">
        <v>84</v>
      </c>
      <c r="H2304" s="80" t="s">
        <v>84</v>
      </c>
      <c r="I2304" s="80" t="s">
        <v>84</v>
      </c>
      <c r="J2304" s="80" t="s">
        <v>84</v>
      </c>
      <c r="K2304" s="80" t="s">
        <v>84</v>
      </c>
      <c r="L2304" s="80" t="s">
        <v>84</v>
      </c>
      <c r="M2304" s="80" t="s">
        <v>84</v>
      </c>
      <c r="N2304" s="80" t="s">
        <v>84</v>
      </c>
      <c r="O2304" s="80" t="s">
        <v>84</v>
      </c>
      <c r="P2304" s="80"/>
      <c r="Q2304" s="80" t="s">
        <v>84</v>
      </c>
      <c r="R2304" s="80" t="s">
        <v>84</v>
      </c>
    </row>
    <row r="2305" spans="1:18" ht="20" x14ac:dyDescent="0.2">
      <c r="A2305" s="80" t="s">
        <v>10527</v>
      </c>
      <c r="B2305" s="80" t="s">
        <v>10528</v>
      </c>
      <c r="C2305" s="80" t="s">
        <v>84</v>
      </c>
      <c r="D2305" s="80" t="s">
        <v>84</v>
      </c>
      <c r="E2305" s="80" t="s">
        <v>84</v>
      </c>
      <c r="F2305" s="80"/>
      <c r="G2305" s="80" t="s">
        <v>84</v>
      </c>
      <c r="H2305" s="80" t="s">
        <v>84</v>
      </c>
      <c r="I2305" s="80" t="s">
        <v>84</v>
      </c>
      <c r="J2305" s="80" t="s">
        <v>84</v>
      </c>
      <c r="K2305" s="80" t="s">
        <v>84</v>
      </c>
      <c r="L2305" s="80" t="s">
        <v>84</v>
      </c>
      <c r="M2305" s="80" t="s">
        <v>84</v>
      </c>
      <c r="N2305" s="80" t="s">
        <v>84</v>
      </c>
      <c r="O2305" s="80" t="s">
        <v>84</v>
      </c>
      <c r="P2305" s="80"/>
      <c r="Q2305" s="80" t="s">
        <v>84</v>
      </c>
      <c r="R2305" s="80" t="s">
        <v>84</v>
      </c>
    </row>
    <row r="2306" spans="1:18" ht="20" x14ac:dyDescent="0.2">
      <c r="A2306" s="80" t="s">
        <v>10529</v>
      </c>
      <c r="B2306" s="80" t="s">
        <v>10530</v>
      </c>
      <c r="C2306" s="80" t="s">
        <v>84</v>
      </c>
      <c r="D2306" s="80" t="s">
        <v>84</v>
      </c>
      <c r="E2306" s="80" t="s">
        <v>84</v>
      </c>
      <c r="F2306" s="80"/>
      <c r="G2306" s="80" t="s">
        <v>84</v>
      </c>
      <c r="H2306" s="80" t="s">
        <v>84</v>
      </c>
      <c r="I2306" s="80" t="s">
        <v>84</v>
      </c>
      <c r="J2306" s="80" t="s">
        <v>84</v>
      </c>
      <c r="K2306" s="80" t="s">
        <v>84</v>
      </c>
      <c r="L2306" s="80" t="s">
        <v>84</v>
      </c>
      <c r="M2306" s="80" t="s">
        <v>84</v>
      </c>
      <c r="N2306" s="80" t="s">
        <v>84</v>
      </c>
      <c r="O2306" s="80" t="s">
        <v>84</v>
      </c>
      <c r="P2306" s="80"/>
      <c r="Q2306" s="80" t="s">
        <v>84</v>
      </c>
      <c r="R2306" s="80" t="s">
        <v>84</v>
      </c>
    </row>
    <row r="2307" spans="1:18" ht="20" x14ac:dyDescent="0.2">
      <c r="A2307" s="80" t="s">
        <v>6769</v>
      </c>
      <c r="B2307" s="80" t="s">
        <v>6770</v>
      </c>
      <c r="C2307" s="80" t="s">
        <v>84</v>
      </c>
      <c r="D2307" s="80" t="s">
        <v>84</v>
      </c>
      <c r="E2307" s="80" t="s">
        <v>84</v>
      </c>
      <c r="F2307" s="80"/>
      <c r="G2307" s="80" t="s">
        <v>84</v>
      </c>
      <c r="H2307" s="80" t="s">
        <v>84</v>
      </c>
      <c r="I2307" s="80" t="s">
        <v>84</v>
      </c>
      <c r="J2307" s="80" t="s">
        <v>84</v>
      </c>
      <c r="K2307" s="80" t="s">
        <v>84</v>
      </c>
      <c r="L2307" s="80" t="s">
        <v>84</v>
      </c>
      <c r="M2307" s="80" t="s">
        <v>84</v>
      </c>
      <c r="N2307" s="80" t="s">
        <v>84</v>
      </c>
      <c r="O2307" s="80" t="s">
        <v>84</v>
      </c>
      <c r="P2307" s="80"/>
      <c r="Q2307" s="80" t="s">
        <v>84</v>
      </c>
      <c r="R2307" s="80" t="s">
        <v>84</v>
      </c>
    </row>
    <row r="2308" spans="1:18" ht="20" x14ac:dyDescent="0.2">
      <c r="A2308" s="80" t="s">
        <v>6769</v>
      </c>
      <c r="B2308" s="80" t="s">
        <v>10531</v>
      </c>
      <c r="C2308" s="80" t="s">
        <v>84</v>
      </c>
      <c r="D2308" s="80" t="s">
        <v>84</v>
      </c>
      <c r="E2308" s="80" t="s">
        <v>84</v>
      </c>
      <c r="F2308" s="80"/>
      <c r="G2308" s="80" t="s">
        <v>84</v>
      </c>
      <c r="H2308" s="80" t="s">
        <v>84</v>
      </c>
      <c r="I2308" s="80" t="s">
        <v>84</v>
      </c>
      <c r="J2308" s="80" t="s">
        <v>84</v>
      </c>
      <c r="K2308" s="80" t="s">
        <v>84</v>
      </c>
      <c r="L2308" s="80" t="s">
        <v>84</v>
      </c>
      <c r="M2308" s="80" t="s">
        <v>84</v>
      </c>
      <c r="N2308" s="80" t="s">
        <v>84</v>
      </c>
      <c r="O2308" s="80" t="s">
        <v>84</v>
      </c>
      <c r="P2308" s="80"/>
      <c r="Q2308" s="80" t="s">
        <v>84</v>
      </c>
      <c r="R2308" s="80" t="s">
        <v>84</v>
      </c>
    </row>
    <row r="2309" spans="1:18" ht="20" x14ac:dyDescent="0.2">
      <c r="A2309" s="80" t="s">
        <v>6771</v>
      </c>
      <c r="B2309" s="80" t="s">
        <v>6772</v>
      </c>
      <c r="C2309" s="80" t="s">
        <v>84</v>
      </c>
      <c r="D2309" s="80" t="s">
        <v>84</v>
      </c>
      <c r="E2309" s="80" t="s">
        <v>84</v>
      </c>
      <c r="F2309" s="80"/>
      <c r="G2309" s="80" t="s">
        <v>84</v>
      </c>
      <c r="H2309" s="80" t="s">
        <v>84</v>
      </c>
      <c r="I2309" s="80" t="s">
        <v>84</v>
      </c>
      <c r="J2309" s="80" t="s">
        <v>84</v>
      </c>
      <c r="K2309" s="80" t="s">
        <v>84</v>
      </c>
      <c r="L2309" s="80" t="s">
        <v>84</v>
      </c>
      <c r="M2309" s="80" t="s">
        <v>84</v>
      </c>
      <c r="N2309" s="80" t="s">
        <v>84</v>
      </c>
      <c r="O2309" s="80" t="s">
        <v>84</v>
      </c>
      <c r="P2309" s="80"/>
      <c r="Q2309" s="80" t="s">
        <v>84</v>
      </c>
      <c r="R2309" s="80" t="s">
        <v>84</v>
      </c>
    </row>
    <row r="2310" spans="1:18" ht="20" x14ac:dyDescent="0.2">
      <c r="A2310" s="80" t="s">
        <v>6771</v>
      </c>
      <c r="B2310" s="80" t="s">
        <v>10532</v>
      </c>
      <c r="C2310" s="80" t="s">
        <v>84</v>
      </c>
      <c r="D2310" s="80" t="s">
        <v>84</v>
      </c>
      <c r="E2310" s="80" t="s">
        <v>84</v>
      </c>
      <c r="F2310" s="80"/>
      <c r="G2310" s="80" t="s">
        <v>84</v>
      </c>
      <c r="H2310" s="80" t="s">
        <v>84</v>
      </c>
      <c r="I2310" s="80" t="s">
        <v>84</v>
      </c>
      <c r="J2310" s="80" t="s">
        <v>84</v>
      </c>
      <c r="K2310" s="80" t="s">
        <v>84</v>
      </c>
      <c r="L2310" s="80" t="s">
        <v>84</v>
      </c>
      <c r="M2310" s="80" t="s">
        <v>84</v>
      </c>
      <c r="N2310" s="80" t="s">
        <v>84</v>
      </c>
      <c r="O2310" s="80" t="s">
        <v>84</v>
      </c>
      <c r="P2310" s="80"/>
      <c r="Q2310" s="80" t="s">
        <v>84</v>
      </c>
      <c r="R2310" s="80" t="s">
        <v>84</v>
      </c>
    </row>
    <row r="2311" spans="1:18" ht="20" x14ac:dyDescent="0.2">
      <c r="A2311" s="80" t="s">
        <v>6773</v>
      </c>
      <c r="B2311" s="80" t="s">
        <v>6774</v>
      </c>
      <c r="C2311" s="80" t="s">
        <v>84</v>
      </c>
      <c r="D2311" s="80" t="s">
        <v>84</v>
      </c>
      <c r="E2311" s="80" t="s">
        <v>84</v>
      </c>
      <c r="F2311" s="80"/>
      <c r="G2311" s="80" t="s">
        <v>84</v>
      </c>
      <c r="H2311" s="80" t="s">
        <v>84</v>
      </c>
      <c r="I2311" s="80" t="s">
        <v>84</v>
      </c>
      <c r="J2311" s="80" t="s">
        <v>84</v>
      </c>
      <c r="K2311" s="80" t="s">
        <v>84</v>
      </c>
      <c r="L2311" s="80" t="s">
        <v>84</v>
      </c>
      <c r="M2311" s="80" t="s">
        <v>84</v>
      </c>
      <c r="N2311" s="80" t="s">
        <v>84</v>
      </c>
      <c r="O2311" s="80" t="s">
        <v>84</v>
      </c>
      <c r="P2311" s="80"/>
      <c r="Q2311" s="80" t="s">
        <v>84</v>
      </c>
      <c r="R2311" s="80" t="s">
        <v>84</v>
      </c>
    </row>
    <row r="2312" spans="1:18" ht="20" x14ac:dyDescent="0.2">
      <c r="A2312" s="80" t="s">
        <v>6773</v>
      </c>
      <c r="B2312" s="80" t="s">
        <v>10533</v>
      </c>
      <c r="C2312" s="80" t="s">
        <v>84</v>
      </c>
      <c r="D2312" s="80" t="s">
        <v>84</v>
      </c>
      <c r="E2312" s="80" t="s">
        <v>84</v>
      </c>
      <c r="F2312" s="80"/>
      <c r="G2312" s="80" t="s">
        <v>84</v>
      </c>
      <c r="H2312" s="80" t="s">
        <v>84</v>
      </c>
      <c r="I2312" s="80" t="s">
        <v>84</v>
      </c>
      <c r="J2312" s="80" t="s">
        <v>84</v>
      </c>
      <c r="K2312" s="80" t="s">
        <v>84</v>
      </c>
      <c r="L2312" s="80" t="s">
        <v>84</v>
      </c>
      <c r="M2312" s="80" t="s">
        <v>84</v>
      </c>
      <c r="N2312" s="80" t="s">
        <v>84</v>
      </c>
      <c r="O2312" s="80" t="s">
        <v>84</v>
      </c>
      <c r="P2312" s="80"/>
      <c r="Q2312" s="80" t="s">
        <v>84</v>
      </c>
      <c r="R2312" s="80" t="s">
        <v>84</v>
      </c>
    </row>
    <row r="2313" spans="1:18" ht="20" x14ac:dyDescent="0.2">
      <c r="A2313" s="80" t="s">
        <v>6775</v>
      </c>
      <c r="B2313" s="80" t="s">
        <v>6776</v>
      </c>
      <c r="C2313" s="80" t="s">
        <v>84</v>
      </c>
      <c r="D2313" s="80" t="s">
        <v>84</v>
      </c>
      <c r="E2313" s="80" t="s">
        <v>84</v>
      </c>
      <c r="F2313" s="80"/>
      <c r="G2313" s="80" t="s">
        <v>84</v>
      </c>
      <c r="H2313" s="80" t="s">
        <v>84</v>
      </c>
      <c r="I2313" s="80" t="s">
        <v>84</v>
      </c>
      <c r="J2313" s="80" t="s">
        <v>84</v>
      </c>
      <c r="K2313" s="80" t="s">
        <v>84</v>
      </c>
      <c r="L2313" s="80" t="s">
        <v>84</v>
      </c>
      <c r="M2313" s="80" t="s">
        <v>84</v>
      </c>
      <c r="N2313" s="80" t="s">
        <v>84</v>
      </c>
      <c r="O2313" s="80" t="s">
        <v>84</v>
      </c>
      <c r="P2313" s="80"/>
      <c r="Q2313" s="80" t="s">
        <v>84</v>
      </c>
      <c r="R2313" s="80" t="s">
        <v>84</v>
      </c>
    </row>
    <row r="2314" spans="1:18" ht="20" x14ac:dyDescent="0.2">
      <c r="A2314" s="80" t="s">
        <v>6775</v>
      </c>
      <c r="B2314" s="80" t="s">
        <v>10534</v>
      </c>
      <c r="C2314" s="80" t="s">
        <v>84</v>
      </c>
      <c r="D2314" s="80" t="s">
        <v>84</v>
      </c>
      <c r="E2314" s="80" t="s">
        <v>84</v>
      </c>
      <c r="F2314" s="80"/>
      <c r="G2314" s="80" t="s">
        <v>84</v>
      </c>
      <c r="H2314" s="80" t="s">
        <v>84</v>
      </c>
      <c r="I2314" s="80" t="s">
        <v>84</v>
      </c>
      <c r="J2314" s="80" t="s">
        <v>84</v>
      </c>
      <c r="K2314" s="80" t="s">
        <v>84</v>
      </c>
      <c r="L2314" s="80" t="s">
        <v>84</v>
      </c>
      <c r="M2314" s="80" t="s">
        <v>84</v>
      </c>
      <c r="N2314" s="80" t="s">
        <v>84</v>
      </c>
      <c r="O2314" s="80" t="s">
        <v>84</v>
      </c>
      <c r="P2314" s="80"/>
      <c r="Q2314" s="80" t="s">
        <v>84</v>
      </c>
      <c r="R2314" s="80" t="s">
        <v>84</v>
      </c>
    </row>
    <row r="2315" spans="1:18" ht="20" x14ac:dyDescent="0.2">
      <c r="A2315" s="80" t="s">
        <v>6777</v>
      </c>
      <c r="B2315" s="80" t="s">
        <v>6778</v>
      </c>
      <c r="C2315" s="80" t="s">
        <v>84</v>
      </c>
      <c r="D2315" s="80" t="s">
        <v>84</v>
      </c>
      <c r="E2315" s="80" t="s">
        <v>84</v>
      </c>
      <c r="F2315" s="80"/>
      <c r="G2315" s="80" t="s">
        <v>84</v>
      </c>
      <c r="H2315" s="80" t="s">
        <v>84</v>
      </c>
      <c r="I2315" s="80" t="s">
        <v>84</v>
      </c>
      <c r="J2315" s="80" t="s">
        <v>84</v>
      </c>
      <c r="K2315" s="80" t="s">
        <v>84</v>
      </c>
      <c r="L2315" s="80" t="s">
        <v>84</v>
      </c>
      <c r="M2315" s="80" t="s">
        <v>84</v>
      </c>
      <c r="N2315" s="80" t="s">
        <v>84</v>
      </c>
      <c r="O2315" s="80" t="s">
        <v>84</v>
      </c>
      <c r="P2315" s="80"/>
      <c r="Q2315" s="80" t="s">
        <v>84</v>
      </c>
      <c r="R2315" s="80" t="s">
        <v>84</v>
      </c>
    </row>
    <row r="2316" spans="1:18" ht="20" x14ac:dyDescent="0.2">
      <c r="A2316" s="80" t="s">
        <v>6777</v>
      </c>
      <c r="B2316" s="80" t="s">
        <v>10535</v>
      </c>
      <c r="C2316" s="80" t="s">
        <v>84</v>
      </c>
      <c r="D2316" s="80" t="s">
        <v>84</v>
      </c>
      <c r="E2316" s="80" t="s">
        <v>84</v>
      </c>
      <c r="F2316" s="80"/>
      <c r="G2316" s="80" t="s">
        <v>84</v>
      </c>
      <c r="H2316" s="80" t="s">
        <v>84</v>
      </c>
      <c r="I2316" s="80" t="s">
        <v>84</v>
      </c>
      <c r="J2316" s="80" t="s">
        <v>84</v>
      </c>
      <c r="K2316" s="80" t="s">
        <v>84</v>
      </c>
      <c r="L2316" s="80" t="s">
        <v>84</v>
      </c>
      <c r="M2316" s="80" t="s">
        <v>84</v>
      </c>
      <c r="N2316" s="80" t="s">
        <v>84</v>
      </c>
      <c r="O2316" s="80" t="s">
        <v>84</v>
      </c>
      <c r="P2316" s="80"/>
      <c r="Q2316" s="80" t="s">
        <v>84</v>
      </c>
      <c r="R2316" s="80" t="s">
        <v>84</v>
      </c>
    </row>
    <row r="2317" spans="1:18" ht="20" x14ac:dyDescent="0.2">
      <c r="A2317" s="80" t="s">
        <v>6779</v>
      </c>
      <c r="B2317" s="80" t="s">
        <v>6780</v>
      </c>
      <c r="C2317" s="80" t="s">
        <v>84</v>
      </c>
      <c r="D2317" s="80" t="s">
        <v>84</v>
      </c>
      <c r="E2317" s="80" t="s">
        <v>84</v>
      </c>
      <c r="F2317" s="80"/>
      <c r="G2317" s="80" t="s">
        <v>84</v>
      </c>
      <c r="H2317" s="80" t="s">
        <v>84</v>
      </c>
      <c r="I2317" s="80" t="s">
        <v>84</v>
      </c>
      <c r="J2317" s="80" t="s">
        <v>84</v>
      </c>
      <c r="K2317" s="80" t="s">
        <v>84</v>
      </c>
      <c r="L2317" s="80" t="s">
        <v>84</v>
      </c>
      <c r="M2317" s="80" t="s">
        <v>84</v>
      </c>
      <c r="N2317" s="80" t="s">
        <v>84</v>
      </c>
      <c r="O2317" s="80" t="s">
        <v>84</v>
      </c>
      <c r="P2317" s="80"/>
      <c r="Q2317" s="80" t="s">
        <v>84</v>
      </c>
      <c r="R2317" s="80" t="s">
        <v>84</v>
      </c>
    </row>
    <row r="2318" spans="1:18" ht="20" x14ac:dyDescent="0.2">
      <c r="A2318" s="80" t="s">
        <v>6779</v>
      </c>
      <c r="B2318" s="80" t="s">
        <v>10536</v>
      </c>
      <c r="C2318" s="80" t="s">
        <v>84</v>
      </c>
      <c r="D2318" s="80" t="s">
        <v>84</v>
      </c>
      <c r="E2318" s="80" t="s">
        <v>84</v>
      </c>
      <c r="F2318" s="80"/>
      <c r="G2318" s="80" t="s">
        <v>84</v>
      </c>
      <c r="H2318" s="80" t="s">
        <v>84</v>
      </c>
      <c r="I2318" s="80" t="s">
        <v>84</v>
      </c>
      <c r="J2318" s="80" t="s">
        <v>84</v>
      </c>
      <c r="K2318" s="80" t="s">
        <v>84</v>
      </c>
      <c r="L2318" s="80" t="s">
        <v>84</v>
      </c>
      <c r="M2318" s="80" t="s">
        <v>84</v>
      </c>
      <c r="N2318" s="80" t="s">
        <v>84</v>
      </c>
      <c r="O2318" s="80" t="s">
        <v>84</v>
      </c>
      <c r="P2318" s="80"/>
      <c r="Q2318" s="80" t="s">
        <v>84</v>
      </c>
      <c r="R2318" s="80" t="s">
        <v>84</v>
      </c>
    </row>
    <row r="2319" spans="1:18" ht="20" x14ac:dyDescent="0.2">
      <c r="A2319" s="80" t="s">
        <v>6523</v>
      </c>
      <c r="B2319" s="80" t="s">
        <v>10537</v>
      </c>
      <c r="C2319" s="80" t="s">
        <v>84</v>
      </c>
      <c r="D2319" s="80" t="s">
        <v>84</v>
      </c>
      <c r="E2319" s="80" t="s">
        <v>84</v>
      </c>
      <c r="F2319" s="80"/>
      <c r="G2319" s="80" t="s">
        <v>84</v>
      </c>
      <c r="H2319" s="80" t="s">
        <v>84</v>
      </c>
      <c r="I2319" s="80" t="s">
        <v>84</v>
      </c>
      <c r="J2319" s="80" t="s">
        <v>84</v>
      </c>
      <c r="K2319" s="80" t="s">
        <v>84</v>
      </c>
      <c r="L2319" s="80" t="s">
        <v>84</v>
      </c>
      <c r="M2319" s="80" t="s">
        <v>84</v>
      </c>
      <c r="N2319" s="80" t="s">
        <v>84</v>
      </c>
      <c r="O2319" s="80" t="s">
        <v>84</v>
      </c>
      <c r="P2319" s="80"/>
      <c r="Q2319" s="80" t="s">
        <v>84</v>
      </c>
      <c r="R2319" s="80" t="s">
        <v>84</v>
      </c>
    </row>
    <row r="2320" spans="1:18" ht="20" x14ac:dyDescent="0.2">
      <c r="A2320" s="80" t="s">
        <v>6523</v>
      </c>
      <c r="B2320" s="80" t="s">
        <v>6524</v>
      </c>
      <c r="C2320" s="80" t="s">
        <v>84</v>
      </c>
      <c r="D2320" s="80" t="s">
        <v>84</v>
      </c>
      <c r="E2320" s="80" t="s">
        <v>84</v>
      </c>
      <c r="F2320" s="80"/>
      <c r="G2320" s="80" t="s">
        <v>84</v>
      </c>
      <c r="H2320" s="80" t="s">
        <v>84</v>
      </c>
      <c r="I2320" s="80" t="s">
        <v>84</v>
      </c>
      <c r="J2320" s="80" t="s">
        <v>84</v>
      </c>
      <c r="K2320" s="80" t="s">
        <v>84</v>
      </c>
      <c r="L2320" s="80" t="s">
        <v>84</v>
      </c>
      <c r="M2320" s="80" t="s">
        <v>84</v>
      </c>
      <c r="N2320" s="80" t="s">
        <v>84</v>
      </c>
      <c r="O2320" s="80" t="s">
        <v>84</v>
      </c>
      <c r="P2320" s="80"/>
      <c r="Q2320" s="80" t="s">
        <v>84</v>
      </c>
      <c r="R2320" s="80" t="s">
        <v>84</v>
      </c>
    </row>
    <row r="2321" spans="1:18" ht="20" x14ac:dyDescent="0.2">
      <c r="A2321" s="80" t="s">
        <v>10538</v>
      </c>
      <c r="B2321" s="80" t="s">
        <v>10539</v>
      </c>
      <c r="C2321" s="80" t="s">
        <v>84</v>
      </c>
      <c r="D2321" s="80" t="s">
        <v>84</v>
      </c>
      <c r="E2321" s="80" t="s">
        <v>84</v>
      </c>
      <c r="F2321" s="80"/>
      <c r="G2321" s="80" t="s">
        <v>84</v>
      </c>
      <c r="H2321" s="80" t="s">
        <v>84</v>
      </c>
      <c r="I2321" s="80" t="s">
        <v>84</v>
      </c>
      <c r="J2321" s="80" t="s">
        <v>84</v>
      </c>
      <c r="K2321" s="80" t="s">
        <v>84</v>
      </c>
      <c r="L2321" s="80" t="s">
        <v>84</v>
      </c>
      <c r="M2321" s="80" t="s">
        <v>84</v>
      </c>
      <c r="N2321" s="80" t="s">
        <v>84</v>
      </c>
      <c r="O2321" s="80" t="s">
        <v>84</v>
      </c>
      <c r="P2321" s="80"/>
      <c r="Q2321" s="80" t="s">
        <v>84</v>
      </c>
      <c r="R2321" s="80" t="s">
        <v>84</v>
      </c>
    </row>
    <row r="2322" spans="1:18" ht="20" x14ac:dyDescent="0.2">
      <c r="A2322" s="80" t="s">
        <v>6505</v>
      </c>
      <c r="B2322" s="80" t="s">
        <v>10540</v>
      </c>
      <c r="C2322" s="80" t="s">
        <v>84</v>
      </c>
      <c r="D2322" s="80" t="s">
        <v>84</v>
      </c>
      <c r="E2322" s="80" t="s">
        <v>84</v>
      </c>
      <c r="F2322" s="80"/>
      <c r="G2322" s="80" t="s">
        <v>84</v>
      </c>
      <c r="H2322" s="80" t="s">
        <v>84</v>
      </c>
      <c r="I2322" s="80" t="s">
        <v>84</v>
      </c>
      <c r="J2322" s="80" t="s">
        <v>84</v>
      </c>
      <c r="K2322" s="80" t="s">
        <v>84</v>
      </c>
      <c r="L2322" s="80" t="s">
        <v>84</v>
      </c>
      <c r="M2322" s="80" t="s">
        <v>84</v>
      </c>
      <c r="N2322" s="80" t="s">
        <v>84</v>
      </c>
      <c r="O2322" s="80" t="s">
        <v>84</v>
      </c>
      <c r="P2322" s="80"/>
      <c r="Q2322" s="80" t="s">
        <v>84</v>
      </c>
      <c r="R2322" s="80" t="s">
        <v>84</v>
      </c>
    </row>
    <row r="2323" spans="1:18" ht="20" x14ac:dyDescent="0.2">
      <c r="A2323" s="80" t="s">
        <v>6505</v>
      </c>
      <c r="B2323" s="80" t="s">
        <v>6506</v>
      </c>
      <c r="C2323" s="80" t="s">
        <v>84</v>
      </c>
      <c r="D2323" s="80" t="s">
        <v>84</v>
      </c>
      <c r="E2323" s="80" t="s">
        <v>84</v>
      </c>
      <c r="F2323" s="80"/>
      <c r="G2323" s="80" t="s">
        <v>84</v>
      </c>
      <c r="H2323" s="80" t="s">
        <v>84</v>
      </c>
      <c r="I2323" s="80" t="s">
        <v>84</v>
      </c>
      <c r="J2323" s="80" t="s">
        <v>84</v>
      </c>
      <c r="K2323" s="80" t="s">
        <v>84</v>
      </c>
      <c r="L2323" s="80" t="s">
        <v>84</v>
      </c>
      <c r="M2323" s="80" t="s">
        <v>84</v>
      </c>
      <c r="N2323" s="80" t="s">
        <v>84</v>
      </c>
      <c r="O2323" s="80" t="s">
        <v>84</v>
      </c>
      <c r="P2323" s="80"/>
      <c r="Q2323" s="80" t="s">
        <v>84</v>
      </c>
      <c r="R2323" s="80" t="s">
        <v>84</v>
      </c>
    </row>
    <row r="2324" spans="1:18" ht="20" x14ac:dyDescent="0.2">
      <c r="A2324" s="80" t="s">
        <v>6626</v>
      </c>
      <c r="B2324" s="80" t="s">
        <v>10541</v>
      </c>
      <c r="C2324" s="80" t="s">
        <v>84</v>
      </c>
      <c r="D2324" s="80" t="s">
        <v>84</v>
      </c>
      <c r="E2324" s="80" t="s">
        <v>84</v>
      </c>
      <c r="F2324" s="80"/>
      <c r="G2324" s="80" t="s">
        <v>84</v>
      </c>
      <c r="H2324" s="80" t="s">
        <v>84</v>
      </c>
      <c r="I2324" s="80" t="s">
        <v>84</v>
      </c>
      <c r="J2324" s="80" t="s">
        <v>84</v>
      </c>
      <c r="K2324" s="80" t="s">
        <v>84</v>
      </c>
      <c r="L2324" s="80" t="s">
        <v>84</v>
      </c>
      <c r="M2324" s="80" t="s">
        <v>84</v>
      </c>
      <c r="N2324" s="80" t="s">
        <v>84</v>
      </c>
      <c r="O2324" s="80" t="s">
        <v>84</v>
      </c>
      <c r="P2324" s="80"/>
      <c r="Q2324" s="80" t="s">
        <v>84</v>
      </c>
      <c r="R2324" s="80" t="s">
        <v>84</v>
      </c>
    </row>
    <row r="2325" spans="1:18" ht="20" x14ac:dyDescent="0.2">
      <c r="A2325" s="80" t="s">
        <v>6626</v>
      </c>
      <c r="B2325" s="80" t="s">
        <v>6627</v>
      </c>
      <c r="C2325" s="80" t="s">
        <v>84</v>
      </c>
      <c r="D2325" s="80" t="s">
        <v>84</v>
      </c>
      <c r="E2325" s="80" t="s">
        <v>84</v>
      </c>
      <c r="F2325" s="80"/>
      <c r="G2325" s="80" t="s">
        <v>84</v>
      </c>
      <c r="H2325" s="80" t="s">
        <v>84</v>
      </c>
      <c r="I2325" s="80" t="s">
        <v>84</v>
      </c>
      <c r="J2325" s="80" t="s">
        <v>84</v>
      </c>
      <c r="K2325" s="80" t="s">
        <v>84</v>
      </c>
      <c r="L2325" s="80" t="s">
        <v>84</v>
      </c>
      <c r="M2325" s="80" t="s">
        <v>84</v>
      </c>
      <c r="N2325" s="80" t="s">
        <v>84</v>
      </c>
      <c r="O2325" s="80" t="s">
        <v>84</v>
      </c>
      <c r="P2325" s="80"/>
      <c r="Q2325" s="80" t="s">
        <v>84</v>
      </c>
      <c r="R2325" s="80" t="s">
        <v>84</v>
      </c>
    </row>
    <row r="2326" spans="1:18" ht="20" x14ac:dyDescent="0.2">
      <c r="A2326" s="80" t="s">
        <v>6628</v>
      </c>
      <c r="B2326" s="80" t="s">
        <v>10542</v>
      </c>
      <c r="C2326" s="80" t="s">
        <v>84</v>
      </c>
      <c r="D2326" s="80" t="s">
        <v>84</v>
      </c>
      <c r="E2326" s="80" t="s">
        <v>84</v>
      </c>
      <c r="F2326" s="80"/>
      <c r="G2326" s="80" t="s">
        <v>84</v>
      </c>
      <c r="H2326" s="80" t="s">
        <v>84</v>
      </c>
      <c r="I2326" s="80" t="s">
        <v>84</v>
      </c>
      <c r="J2326" s="80" t="s">
        <v>84</v>
      </c>
      <c r="K2326" s="80" t="s">
        <v>84</v>
      </c>
      <c r="L2326" s="80" t="s">
        <v>84</v>
      </c>
      <c r="M2326" s="80" t="s">
        <v>84</v>
      </c>
      <c r="N2326" s="80" t="s">
        <v>84</v>
      </c>
      <c r="O2326" s="80" t="s">
        <v>84</v>
      </c>
      <c r="P2326" s="80"/>
      <c r="Q2326" s="80" t="s">
        <v>84</v>
      </c>
      <c r="R2326" s="80" t="s">
        <v>84</v>
      </c>
    </row>
    <row r="2327" spans="1:18" ht="20" x14ac:dyDescent="0.2">
      <c r="A2327" s="80" t="s">
        <v>6628</v>
      </c>
      <c r="B2327" s="80" t="s">
        <v>6629</v>
      </c>
      <c r="C2327" s="80" t="s">
        <v>84</v>
      </c>
      <c r="D2327" s="80" t="s">
        <v>84</v>
      </c>
      <c r="E2327" s="80" t="s">
        <v>84</v>
      </c>
      <c r="F2327" s="80"/>
      <c r="G2327" s="80" t="s">
        <v>84</v>
      </c>
      <c r="H2327" s="80" t="s">
        <v>84</v>
      </c>
      <c r="I2327" s="80" t="s">
        <v>84</v>
      </c>
      <c r="J2327" s="80" t="s">
        <v>84</v>
      </c>
      <c r="K2327" s="80" t="s">
        <v>84</v>
      </c>
      <c r="L2327" s="80" t="s">
        <v>84</v>
      </c>
      <c r="M2327" s="80" t="s">
        <v>84</v>
      </c>
      <c r="N2327" s="80" t="s">
        <v>84</v>
      </c>
      <c r="O2327" s="80" t="s">
        <v>84</v>
      </c>
      <c r="P2327" s="80"/>
      <c r="Q2327" s="80" t="s">
        <v>84</v>
      </c>
      <c r="R2327" s="80" t="s">
        <v>84</v>
      </c>
    </row>
    <row r="2328" spans="1:18" ht="20" x14ac:dyDescent="0.2">
      <c r="A2328" s="80" t="s">
        <v>6610</v>
      </c>
      <c r="B2328" s="80" t="s">
        <v>6611</v>
      </c>
      <c r="C2328" s="80" t="s">
        <v>84</v>
      </c>
      <c r="D2328" s="80" t="s">
        <v>84</v>
      </c>
      <c r="E2328" s="80" t="s">
        <v>84</v>
      </c>
      <c r="F2328" s="80"/>
      <c r="G2328" s="80" t="s">
        <v>84</v>
      </c>
      <c r="H2328" s="80" t="s">
        <v>84</v>
      </c>
      <c r="I2328" s="80" t="s">
        <v>84</v>
      </c>
      <c r="J2328" s="80" t="s">
        <v>84</v>
      </c>
      <c r="K2328" s="80" t="s">
        <v>84</v>
      </c>
      <c r="L2328" s="80" t="s">
        <v>84</v>
      </c>
      <c r="M2328" s="80" t="s">
        <v>84</v>
      </c>
      <c r="N2328" s="80" t="s">
        <v>84</v>
      </c>
      <c r="O2328" s="80" t="s">
        <v>84</v>
      </c>
      <c r="P2328" s="80"/>
      <c r="Q2328" s="80" t="s">
        <v>84</v>
      </c>
      <c r="R2328" s="80" t="s">
        <v>84</v>
      </c>
    </row>
    <row r="2329" spans="1:18" ht="20" x14ac:dyDescent="0.2">
      <c r="A2329" s="80" t="s">
        <v>6610</v>
      </c>
      <c r="B2329" s="80" t="s">
        <v>10543</v>
      </c>
      <c r="C2329" s="80" t="s">
        <v>84</v>
      </c>
      <c r="D2329" s="80" t="s">
        <v>84</v>
      </c>
      <c r="E2329" s="80" t="s">
        <v>84</v>
      </c>
      <c r="F2329" s="80"/>
      <c r="G2329" s="80" t="s">
        <v>84</v>
      </c>
      <c r="H2329" s="80" t="s">
        <v>84</v>
      </c>
      <c r="I2329" s="80" t="s">
        <v>84</v>
      </c>
      <c r="J2329" s="80" t="s">
        <v>84</v>
      </c>
      <c r="K2329" s="80" t="s">
        <v>84</v>
      </c>
      <c r="L2329" s="80" t="s">
        <v>84</v>
      </c>
      <c r="M2329" s="80" t="s">
        <v>84</v>
      </c>
      <c r="N2329" s="80" t="s">
        <v>84</v>
      </c>
      <c r="O2329" s="80" t="s">
        <v>84</v>
      </c>
      <c r="P2329" s="80"/>
      <c r="Q2329" s="80" t="s">
        <v>84</v>
      </c>
      <c r="R2329" s="80" t="s">
        <v>84</v>
      </c>
    </row>
    <row r="2330" spans="1:18" ht="20" x14ac:dyDescent="0.2">
      <c r="A2330" s="80" t="s">
        <v>10544</v>
      </c>
      <c r="B2330" s="80" t="s">
        <v>10545</v>
      </c>
      <c r="C2330" s="80" t="s">
        <v>84</v>
      </c>
      <c r="D2330" s="80" t="s">
        <v>84</v>
      </c>
      <c r="E2330" s="80" t="s">
        <v>84</v>
      </c>
      <c r="F2330" s="80"/>
      <c r="G2330" s="80" t="s">
        <v>84</v>
      </c>
      <c r="H2330" s="80" t="s">
        <v>84</v>
      </c>
      <c r="I2330" s="80" t="s">
        <v>84</v>
      </c>
      <c r="J2330" s="80" t="s">
        <v>84</v>
      </c>
      <c r="K2330" s="80" t="s">
        <v>84</v>
      </c>
      <c r="L2330" s="80" t="s">
        <v>84</v>
      </c>
      <c r="M2330" s="80" t="s">
        <v>84</v>
      </c>
      <c r="N2330" s="80" t="s">
        <v>84</v>
      </c>
      <c r="O2330" s="80" t="s">
        <v>84</v>
      </c>
      <c r="P2330" s="80"/>
      <c r="Q2330" s="80" t="s">
        <v>84</v>
      </c>
      <c r="R2330" s="80" t="s">
        <v>84</v>
      </c>
    </row>
    <row r="2331" spans="1:18" ht="20" x14ac:dyDescent="0.2">
      <c r="A2331" s="80" t="s">
        <v>10546</v>
      </c>
      <c r="B2331" s="80" t="s">
        <v>10547</v>
      </c>
      <c r="C2331" s="80" t="s">
        <v>84</v>
      </c>
      <c r="D2331" s="80" t="s">
        <v>84</v>
      </c>
      <c r="E2331" s="80" t="s">
        <v>84</v>
      </c>
      <c r="F2331" s="80"/>
      <c r="G2331" s="80" t="s">
        <v>84</v>
      </c>
      <c r="H2331" s="80" t="s">
        <v>84</v>
      </c>
      <c r="I2331" s="80" t="s">
        <v>84</v>
      </c>
      <c r="J2331" s="80" t="s">
        <v>84</v>
      </c>
      <c r="K2331" s="80" t="s">
        <v>84</v>
      </c>
      <c r="L2331" s="80" t="s">
        <v>84</v>
      </c>
      <c r="M2331" s="80" t="s">
        <v>84</v>
      </c>
      <c r="N2331" s="80" t="s">
        <v>84</v>
      </c>
      <c r="O2331" s="80" t="s">
        <v>84</v>
      </c>
      <c r="P2331" s="80"/>
      <c r="Q2331" s="80" t="s">
        <v>84</v>
      </c>
      <c r="R2331" s="80" t="s">
        <v>84</v>
      </c>
    </row>
    <row r="2332" spans="1:18" ht="20" x14ac:dyDescent="0.2">
      <c r="A2332" s="80" t="s">
        <v>10548</v>
      </c>
      <c r="B2332" s="80" t="s">
        <v>10549</v>
      </c>
      <c r="C2332" s="80" t="s">
        <v>84</v>
      </c>
      <c r="D2332" s="80" t="s">
        <v>84</v>
      </c>
      <c r="E2332" s="80" t="s">
        <v>84</v>
      </c>
      <c r="F2332" s="80"/>
      <c r="G2332" s="80" t="s">
        <v>84</v>
      </c>
      <c r="H2332" s="80" t="s">
        <v>84</v>
      </c>
      <c r="I2332" s="80" t="s">
        <v>84</v>
      </c>
      <c r="J2332" s="80" t="s">
        <v>84</v>
      </c>
      <c r="K2332" s="80" t="s">
        <v>84</v>
      </c>
      <c r="L2332" s="80" t="s">
        <v>84</v>
      </c>
      <c r="M2332" s="80" t="s">
        <v>84</v>
      </c>
      <c r="N2332" s="80" t="s">
        <v>84</v>
      </c>
      <c r="O2332" s="80" t="s">
        <v>84</v>
      </c>
      <c r="P2332" s="80"/>
      <c r="Q2332" s="80" t="s">
        <v>84</v>
      </c>
      <c r="R2332" s="80" t="s">
        <v>84</v>
      </c>
    </row>
    <row r="2333" spans="1:18" ht="20" x14ac:dyDescent="0.2">
      <c r="A2333" s="80" t="s">
        <v>10550</v>
      </c>
      <c r="B2333" s="80" t="s">
        <v>10551</v>
      </c>
      <c r="C2333" s="80" t="s">
        <v>84</v>
      </c>
      <c r="D2333" s="80" t="s">
        <v>84</v>
      </c>
      <c r="E2333" s="80" t="s">
        <v>84</v>
      </c>
      <c r="F2333" s="80"/>
      <c r="G2333" s="80" t="s">
        <v>84</v>
      </c>
      <c r="H2333" s="80" t="s">
        <v>84</v>
      </c>
      <c r="I2333" s="80" t="s">
        <v>84</v>
      </c>
      <c r="J2333" s="80" t="s">
        <v>84</v>
      </c>
      <c r="K2333" s="80" t="s">
        <v>84</v>
      </c>
      <c r="L2333" s="80" t="s">
        <v>84</v>
      </c>
      <c r="M2333" s="80" t="s">
        <v>84</v>
      </c>
      <c r="N2333" s="80" t="s">
        <v>84</v>
      </c>
      <c r="O2333" s="80" t="s">
        <v>84</v>
      </c>
      <c r="P2333" s="80"/>
      <c r="Q2333" s="80" t="s">
        <v>84</v>
      </c>
      <c r="R2333" s="80" t="s">
        <v>84</v>
      </c>
    </row>
    <row r="2334" spans="1:18" ht="20" x14ac:dyDescent="0.2">
      <c r="A2334" s="80" t="s">
        <v>6413</v>
      </c>
      <c r="B2334" s="80" t="s">
        <v>6414</v>
      </c>
      <c r="C2334" s="80" t="s">
        <v>84</v>
      </c>
      <c r="D2334" s="80" t="s">
        <v>84</v>
      </c>
      <c r="E2334" s="80" t="s">
        <v>84</v>
      </c>
      <c r="F2334" s="80"/>
      <c r="G2334" s="80" t="s">
        <v>84</v>
      </c>
      <c r="H2334" s="80" t="s">
        <v>84</v>
      </c>
      <c r="I2334" s="80" t="s">
        <v>84</v>
      </c>
      <c r="J2334" s="80" t="s">
        <v>84</v>
      </c>
      <c r="K2334" s="80" t="s">
        <v>84</v>
      </c>
      <c r="L2334" s="80" t="s">
        <v>84</v>
      </c>
      <c r="M2334" s="80" t="s">
        <v>84</v>
      </c>
      <c r="N2334" s="80" t="s">
        <v>84</v>
      </c>
      <c r="O2334" s="80" t="s">
        <v>84</v>
      </c>
      <c r="P2334" s="80"/>
      <c r="Q2334" s="80" t="s">
        <v>84</v>
      </c>
      <c r="R2334" s="80" t="s">
        <v>84</v>
      </c>
    </row>
    <row r="2335" spans="1:18" ht="20" x14ac:dyDescent="0.2">
      <c r="A2335" s="80" t="s">
        <v>6413</v>
      </c>
      <c r="B2335" s="80" t="s">
        <v>10552</v>
      </c>
      <c r="C2335" s="80" t="s">
        <v>84</v>
      </c>
      <c r="D2335" s="80" t="s">
        <v>84</v>
      </c>
      <c r="E2335" s="80" t="s">
        <v>84</v>
      </c>
      <c r="F2335" s="80"/>
      <c r="G2335" s="80" t="s">
        <v>84</v>
      </c>
      <c r="H2335" s="80" t="s">
        <v>84</v>
      </c>
      <c r="I2335" s="80" t="s">
        <v>84</v>
      </c>
      <c r="J2335" s="80" t="s">
        <v>84</v>
      </c>
      <c r="K2335" s="80" t="s">
        <v>84</v>
      </c>
      <c r="L2335" s="80" t="s">
        <v>84</v>
      </c>
      <c r="M2335" s="80" t="s">
        <v>84</v>
      </c>
      <c r="N2335" s="80" t="s">
        <v>84</v>
      </c>
      <c r="O2335" s="80" t="s">
        <v>84</v>
      </c>
      <c r="P2335" s="80"/>
      <c r="Q2335" s="80" t="s">
        <v>84</v>
      </c>
      <c r="R2335" s="80" t="s">
        <v>84</v>
      </c>
    </row>
    <row r="2336" spans="1:18" ht="20" x14ac:dyDescent="0.2">
      <c r="A2336" s="80" t="s">
        <v>6743</v>
      </c>
      <c r="B2336" s="80" t="s">
        <v>10553</v>
      </c>
      <c r="C2336" s="80" t="s">
        <v>84</v>
      </c>
      <c r="D2336" s="80" t="s">
        <v>84</v>
      </c>
      <c r="E2336" s="80" t="s">
        <v>84</v>
      </c>
      <c r="F2336" s="80"/>
      <c r="G2336" s="80" t="s">
        <v>84</v>
      </c>
      <c r="H2336" s="80" t="s">
        <v>84</v>
      </c>
      <c r="I2336" s="80" t="s">
        <v>84</v>
      </c>
      <c r="J2336" s="80" t="s">
        <v>84</v>
      </c>
      <c r="K2336" s="80" t="s">
        <v>84</v>
      </c>
      <c r="L2336" s="80" t="s">
        <v>84</v>
      </c>
      <c r="M2336" s="80" t="s">
        <v>84</v>
      </c>
      <c r="N2336" s="80" t="s">
        <v>84</v>
      </c>
      <c r="O2336" s="80" t="s">
        <v>84</v>
      </c>
      <c r="P2336" s="80"/>
      <c r="Q2336" s="80" t="s">
        <v>84</v>
      </c>
      <c r="R2336" s="80" t="s">
        <v>84</v>
      </c>
    </row>
    <row r="2337" spans="1:18" ht="20" x14ac:dyDescent="0.2">
      <c r="A2337" s="80" t="s">
        <v>6743</v>
      </c>
      <c r="B2337" s="80" t="s">
        <v>10554</v>
      </c>
      <c r="C2337" s="80" t="s">
        <v>84</v>
      </c>
      <c r="D2337" s="80" t="s">
        <v>84</v>
      </c>
      <c r="E2337" s="80" t="s">
        <v>84</v>
      </c>
      <c r="F2337" s="80"/>
      <c r="G2337" s="80" t="s">
        <v>84</v>
      </c>
      <c r="H2337" s="80" t="s">
        <v>84</v>
      </c>
      <c r="I2337" s="80" t="s">
        <v>84</v>
      </c>
      <c r="J2337" s="80" t="s">
        <v>84</v>
      </c>
      <c r="K2337" s="80" t="s">
        <v>84</v>
      </c>
      <c r="L2337" s="80" t="s">
        <v>84</v>
      </c>
      <c r="M2337" s="80" t="s">
        <v>84</v>
      </c>
      <c r="N2337" s="80" t="s">
        <v>84</v>
      </c>
      <c r="O2337" s="80" t="s">
        <v>84</v>
      </c>
      <c r="P2337" s="80"/>
      <c r="Q2337" s="80" t="s">
        <v>84</v>
      </c>
      <c r="R2337" s="80" t="s">
        <v>84</v>
      </c>
    </row>
    <row r="2338" spans="1:18" ht="20" x14ac:dyDescent="0.2">
      <c r="A2338" s="80" t="s">
        <v>6743</v>
      </c>
      <c r="B2338" s="80" t="s">
        <v>6744</v>
      </c>
      <c r="C2338" s="80" t="s">
        <v>84</v>
      </c>
      <c r="D2338" s="80" t="s">
        <v>84</v>
      </c>
      <c r="E2338" s="80" t="s">
        <v>84</v>
      </c>
      <c r="F2338" s="80"/>
      <c r="G2338" s="80" t="s">
        <v>84</v>
      </c>
      <c r="H2338" s="80" t="s">
        <v>84</v>
      </c>
      <c r="I2338" s="80" t="s">
        <v>84</v>
      </c>
      <c r="J2338" s="80" t="s">
        <v>84</v>
      </c>
      <c r="K2338" s="80" t="s">
        <v>84</v>
      </c>
      <c r="L2338" s="80" t="s">
        <v>84</v>
      </c>
      <c r="M2338" s="80" t="s">
        <v>84</v>
      </c>
      <c r="N2338" s="80" t="s">
        <v>84</v>
      </c>
      <c r="O2338" s="80" t="s">
        <v>84</v>
      </c>
      <c r="P2338" s="80"/>
      <c r="Q2338" s="80" t="s">
        <v>84</v>
      </c>
      <c r="R2338" s="80" t="s">
        <v>84</v>
      </c>
    </row>
    <row r="2339" spans="1:18" ht="20" x14ac:dyDescent="0.2">
      <c r="A2339" s="80" t="s">
        <v>6721</v>
      </c>
      <c r="B2339" s="80" t="s">
        <v>10555</v>
      </c>
      <c r="C2339" s="80" t="s">
        <v>84</v>
      </c>
      <c r="D2339" s="80" t="s">
        <v>84</v>
      </c>
      <c r="E2339" s="80" t="s">
        <v>84</v>
      </c>
      <c r="F2339" s="80"/>
      <c r="G2339" s="80" t="s">
        <v>84</v>
      </c>
      <c r="H2339" s="80" t="s">
        <v>84</v>
      </c>
      <c r="I2339" s="80" t="s">
        <v>84</v>
      </c>
      <c r="J2339" s="80" t="s">
        <v>84</v>
      </c>
      <c r="K2339" s="80" t="s">
        <v>84</v>
      </c>
      <c r="L2339" s="80" t="s">
        <v>84</v>
      </c>
      <c r="M2339" s="80" t="s">
        <v>84</v>
      </c>
      <c r="N2339" s="80" t="s">
        <v>84</v>
      </c>
      <c r="O2339" s="80" t="s">
        <v>84</v>
      </c>
      <c r="P2339" s="80"/>
      <c r="Q2339" s="80" t="s">
        <v>84</v>
      </c>
      <c r="R2339" s="80" t="s">
        <v>84</v>
      </c>
    </row>
    <row r="2340" spans="1:18" ht="20" x14ac:dyDescent="0.2">
      <c r="A2340" s="80" t="s">
        <v>6721</v>
      </c>
      <c r="B2340" s="80" t="s">
        <v>6722</v>
      </c>
      <c r="C2340" s="80" t="s">
        <v>84</v>
      </c>
      <c r="D2340" s="80" t="s">
        <v>84</v>
      </c>
      <c r="E2340" s="80" t="s">
        <v>84</v>
      </c>
      <c r="F2340" s="80"/>
      <c r="G2340" s="80" t="s">
        <v>84</v>
      </c>
      <c r="H2340" s="80" t="s">
        <v>84</v>
      </c>
      <c r="I2340" s="80" t="s">
        <v>84</v>
      </c>
      <c r="J2340" s="80" t="s">
        <v>84</v>
      </c>
      <c r="K2340" s="80" t="s">
        <v>84</v>
      </c>
      <c r="L2340" s="80" t="s">
        <v>84</v>
      </c>
      <c r="M2340" s="80" t="s">
        <v>84</v>
      </c>
      <c r="N2340" s="80" t="s">
        <v>84</v>
      </c>
      <c r="O2340" s="80" t="s">
        <v>84</v>
      </c>
      <c r="P2340" s="80"/>
      <c r="Q2340" s="80" t="s">
        <v>84</v>
      </c>
      <c r="R2340" s="80" t="s">
        <v>84</v>
      </c>
    </row>
    <row r="2341" spans="1:18" ht="20" x14ac:dyDescent="0.2">
      <c r="A2341" s="80" t="s">
        <v>10556</v>
      </c>
      <c r="B2341" s="80" t="s">
        <v>10557</v>
      </c>
      <c r="C2341" s="80" t="s">
        <v>84</v>
      </c>
      <c r="D2341" s="80" t="s">
        <v>84</v>
      </c>
      <c r="E2341" s="80" t="s">
        <v>84</v>
      </c>
      <c r="F2341" s="80"/>
      <c r="G2341" s="80" t="s">
        <v>84</v>
      </c>
      <c r="H2341" s="80" t="s">
        <v>84</v>
      </c>
      <c r="I2341" s="80" t="s">
        <v>84</v>
      </c>
      <c r="J2341" s="80" t="s">
        <v>84</v>
      </c>
      <c r="K2341" s="80" t="s">
        <v>84</v>
      </c>
      <c r="L2341" s="80" t="s">
        <v>84</v>
      </c>
      <c r="M2341" s="80" t="s">
        <v>84</v>
      </c>
      <c r="N2341" s="80" t="s">
        <v>84</v>
      </c>
      <c r="O2341" s="80" t="s">
        <v>84</v>
      </c>
      <c r="P2341" s="80"/>
      <c r="Q2341" s="80" t="s">
        <v>84</v>
      </c>
      <c r="R2341" s="80" t="s">
        <v>84</v>
      </c>
    </row>
    <row r="2342" spans="1:18" ht="20" x14ac:dyDescent="0.2">
      <c r="A2342" s="80" t="s">
        <v>10558</v>
      </c>
      <c r="B2342" s="80" t="s">
        <v>10559</v>
      </c>
      <c r="C2342" s="80" t="s">
        <v>84</v>
      </c>
      <c r="D2342" s="80" t="s">
        <v>84</v>
      </c>
      <c r="E2342" s="80" t="s">
        <v>84</v>
      </c>
      <c r="F2342" s="80"/>
      <c r="G2342" s="80" t="s">
        <v>84</v>
      </c>
      <c r="H2342" s="80" t="s">
        <v>84</v>
      </c>
      <c r="I2342" s="80" t="s">
        <v>84</v>
      </c>
      <c r="J2342" s="80" t="s">
        <v>84</v>
      </c>
      <c r="K2342" s="80" t="s">
        <v>84</v>
      </c>
      <c r="L2342" s="80" t="s">
        <v>84</v>
      </c>
      <c r="M2342" s="80" t="s">
        <v>84</v>
      </c>
      <c r="N2342" s="80" t="s">
        <v>84</v>
      </c>
      <c r="O2342" s="80" t="s">
        <v>84</v>
      </c>
      <c r="P2342" s="80"/>
      <c r="Q2342" s="80" t="s">
        <v>84</v>
      </c>
      <c r="R2342" s="80" t="s">
        <v>84</v>
      </c>
    </row>
    <row r="2343" spans="1:18" ht="20" x14ac:dyDescent="0.2">
      <c r="A2343" s="80" t="s">
        <v>10560</v>
      </c>
      <c r="B2343" s="80" t="s">
        <v>10561</v>
      </c>
      <c r="C2343" s="80" t="s">
        <v>84</v>
      </c>
      <c r="D2343" s="80" t="s">
        <v>84</v>
      </c>
      <c r="E2343" s="80" t="s">
        <v>84</v>
      </c>
      <c r="F2343" s="80"/>
      <c r="G2343" s="80" t="s">
        <v>84</v>
      </c>
      <c r="H2343" s="80" t="s">
        <v>84</v>
      </c>
      <c r="I2343" s="80" t="s">
        <v>84</v>
      </c>
      <c r="J2343" s="80" t="s">
        <v>84</v>
      </c>
      <c r="K2343" s="80" t="s">
        <v>84</v>
      </c>
      <c r="L2343" s="80" t="s">
        <v>84</v>
      </c>
      <c r="M2343" s="80" t="s">
        <v>84</v>
      </c>
      <c r="N2343" s="80" t="s">
        <v>84</v>
      </c>
      <c r="O2343" s="80" t="s">
        <v>84</v>
      </c>
      <c r="P2343" s="80"/>
      <c r="Q2343" s="80" t="s">
        <v>84</v>
      </c>
      <c r="R2343" s="80" t="s">
        <v>84</v>
      </c>
    </row>
    <row r="2344" spans="1:18" ht="20" x14ac:dyDescent="0.2">
      <c r="A2344" s="80" t="s">
        <v>6439</v>
      </c>
      <c r="B2344" s="80" t="s">
        <v>10562</v>
      </c>
      <c r="C2344" s="80" t="s">
        <v>84</v>
      </c>
      <c r="D2344" s="80" t="s">
        <v>84</v>
      </c>
      <c r="E2344" s="80" t="s">
        <v>84</v>
      </c>
      <c r="F2344" s="80"/>
      <c r="G2344" s="80" t="s">
        <v>84</v>
      </c>
      <c r="H2344" s="80" t="s">
        <v>84</v>
      </c>
      <c r="I2344" s="80" t="s">
        <v>84</v>
      </c>
      <c r="J2344" s="80" t="s">
        <v>84</v>
      </c>
      <c r="K2344" s="80" t="s">
        <v>84</v>
      </c>
      <c r="L2344" s="80" t="s">
        <v>84</v>
      </c>
      <c r="M2344" s="80" t="s">
        <v>84</v>
      </c>
      <c r="N2344" s="80" t="s">
        <v>84</v>
      </c>
      <c r="O2344" s="80" t="s">
        <v>84</v>
      </c>
      <c r="P2344" s="80"/>
      <c r="Q2344" s="80" t="s">
        <v>84</v>
      </c>
      <c r="R2344" s="80" t="s">
        <v>84</v>
      </c>
    </row>
    <row r="2345" spans="1:18" ht="20" x14ac:dyDescent="0.2">
      <c r="A2345" s="80" t="s">
        <v>6439</v>
      </c>
      <c r="B2345" s="80" t="s">
        <v>6440</v>
      </c>
      <c r="C2345" s="80" t="s">
        <v>84</v>
      </c>
      <c r="D2345" s="80" t="s">
        <v>84</v>
      </c>
      <c r="E2345" s="80" t="s">
        <v>84</v>
      </c>
      <c r="F2345" s="80"/>
      <c r="G2345" s="80" t="s">
        <v>84</v>
      </c>
      <c r="H2345" s="80" t="s">
        <v>84</v>
      </c>
      <c r="I2345" s="80" t="s">
        <v>84</v>
      </c>
      <c r="J2345" s="80" t="s">
        <v>84</v>
      </c>
      <c r="K2345" s="80" t="s">
        <v>84</v>
      </c>
      <c r="L2345" s="80" t="s">
        <v>84</v>
      </c>
      <c r="M2345" s="80" t="s">
        <v>84</v>
      </c>
      <c r="N2345" s="80" t="s">
        <v>84</v>
      </c>
      <c r="O2345" s="80" t="s">
        <v>84</v>
      </c>
      <c r="P2345" s="80"/>
      <c r="Q2345" s="80" t="s">
        <v>84</v>
      </c>
      <c r="R2345" s="80" t="s">
        <v>84</v>
      </c>
    </row>
    <row r="2346" spans="1:18" ht="20" x14ac:dyDescent="0.2">
      <c r="A2346" s="80" t="s">
        <v>6445</v>
      </c>
      <c r="B2346" s="80" t="s">
        <v>10563</v>
      </c>
      <c r="C2346" s="80" t="s">
        <v>84</v>
      </c>
      <c r="D2346" s="80" t="s">
        <v>84</v>
      </c>
      <c r="E2346" s="80" t="s">
        <v>84</v>
      </c>
      <c r="F2346" s="80"/>
      <c r="G2346" s="80" t="s">
        <v>84</v>
      </c>
      <c r="H2346" s="80" t="s">
        <v>84</v>
      </c>
      <c r="I2346" s="80" t="s">
        <v>84</v>
      </c>
      <c r="J2346" s="80" t="s">
        <v>84</v>
      </c>
      <c r="K2346" s="80" t="s">
        <v>84</v>
      </c>
      <c r="L2346" s="80" t="s">
        <v>84</v>
      </c>
      <c r="M2346" s="80" t="s">
        <v>84</v>
      </c>
      <c r="N2346" s="80" t="s">
        <v>84</v>
      </c>
      <c r="O2346" s="80" t="s">
        <v>84</v>
      </c>
      <c r="P2346" s="80"/>
      <c r="Q2346" s="80" t="s">
        <v>84</v>
      </c>
      <c r="R2346" s="80" t="s">
        <v>84</v>
      </c>
    </row>
    <row r="2347" spans="1:18" ht="20" x14ac:dyDescent="0.2">
      <c r="A2347" s="80" t="s">
        <v>6445</v>
      </c>
      <c r="B2347" s="80" t="s">
        <v>6446</v>
      </c>
      <c r="C2347" s="80" t="s">
        <v>84</v>
      </c>
      <c r="D2347" s="80" t="s">
        <v>84</v>
      </c>
      <c r="E2347" s="80" t="s">
        <v>84</v>
      </c>
      <c r="F2347" s="80"/>
      <c r="G2347" s="80" t="s">
        <v>84</v>
      </c>
      <c r="H2347" s="80" t="s">
        <v>84</v>
      </c>
      <c r="I2347" s="80" t="s">
        <v>84</v>
      </c>
      <c r="J2347" s="80" t="s">
        <v>84</v>
      </c>
      <c r="K2347" s="80" t="s">
        <v>84</v>
      </c>
      <c r="L2347" s="80" t="s">
        <v>84</v>
      </c>
      <c r="M2347" s="80" t="s">
        <v>84</v>
      </c>
      <c r="N2347" s="80" t="s">
        <v>84</v>
      </c>
      <c r="O2347" s="80" t="s">
        <v>84</v>
      </c>
      <c r="P2347" s="80"/>
      <c r="Q2347" s="80" t="s">
        <v>84</v>
      </c>
      <c r="R2347" s="80" t="s">
        <v>84</v>
      </c>
    </row>
    <row r="2348" spans="1:18" ht="20" x14ac:dyDescent="0.2">
      <c r="A2348" s="80" t="s">
        <v>6297</v>
      </c>
      <c r="B2348" s="80" t="s">
        <v>6298</v>
      </c>
      <c r="C2348" s="80" t="s">
        <v>84</v>
      </c>
      <c r="D2348" s="80" t="s">
        <v>84</v>
      </c>
      <c r="E2348" s="80" t="s">
        <v>84</v>
      </c>
      <c r="F2348" s="80"/>
      <c r="G2348" s="80" t="s">
        <v>84</v>
      </c>
      <c r="H2348" s="80" t="s">
        <v>84</v>
      </c>
      <c r="I2348" s="80" t="s">
        <v>84</v>
      </c>
      <c r="J2348" s="80" t="s">
        <v>84</v>
      </c>
      <c r="K2348" s="80" t="s">
        <v>84</v>
      </c>
      <c r="L2348" s="80" t="s">
        <v>84</v>
      </c>
      <c r="M2348" s="80" t="s">
        <v>84</v>
      </c>
      <c r="N2348" s="80" t="s">
        <v>84</v>
      </c>
      <c r="O2348" s="80" t="s">
        <v>84</v>
      </c>
      <c r="P2348" s="80"/>
      <c r="Q2348" s="80" t="s">
        <v>84</v>
      </c>
      <c r="R2348" s="80" t="s">
        <v>84</v>
      </c>
    </row>
    <row r="2349" spans="1:18" ht="20" x14ac:dyDescent="0.2">
      <c r="A2349" s="80" t="s">
        <v>6297</v>
      </c>
      <c r="B2349" s="80" t="s">
        <v>10564</v>
      </c>
      <c r="C2349" s="80" t="s">
        <v>84</v>
      </c>
      <c r="D2349" s="80" t="s">
        <v>84</v>
      </c>
      <c r="E2349" s="80" t="s">
        <v>84</v>
      </c>
      <c r="F2349" s="80"/>
      <c r="G2349" s="80" t="s">
        <v>84</v>
      </c>
      <c r="H2349" s="80" t="s">
        <v>84</v>
      </c>
      <c r="I2349" s="80" t="s">
        <v>84</v>
      </c>
      <c r="J2349" s="80" t="s">
        <v>84</v>
      </c>
      <c r="K2349" s="80" t="s">
        <v>84</v>
      </c>
      <c r="L2349" s="80" t="s">
        <v>84</v>
      </c>
      <c r="M2349" s="80" t="s">
        <v>84</v>
      </c>
      <c r="N2349" s="80" t="s">
        <v>84</v>
      </c>
      <c r="O2349" s="80" t="s">
        <v>84</v>
      </c>
      <c r="P2349" s="80"/>
      <c r="Q2349" s="80" t="s">
        <v>84</v>
      </c>
      <c r="R2349" s="80" t="s">
        <v>84</v>
      </c>
    </row>
    <row r="2350" spans="1:18" ht="20" x14ac:dyDescent="0.2">
      <c r="A2350" s="80" t="s">
        <v>10565</v>
      </c>
      <c r="B2350" s="80" t="s">
        <v>10566</v>
      </c>
      <c r="C2350" s="80" t="s">
        <v>84</v>
      </c>
      <c r="D2350" s="80" t="s">
        <v>84</v>
      </c>
      <c r="E2350" s="80" t="s">
        <v>84</v>
      </c>
      <c r="F2350" s="80"/>
      <c r="G2350" s="80" t="s">
        <v>84</v>
      </c>
      <c r="H2350" s="80" t="s">
        <v>84</v>
      </c>
      <c r="I2350" s="80" t="s">
        <v>84</v>
      </c>
      <c r="J2350" s="80" t="s">
        <v>84</v>
      </c>
      <c r="K2350" s="80" t="s">
        <v>84</v>
      </c>
      <c r="L2350" s="80" t="s">
        <v>84</v>
      </c>
      <c r="M2350" s="80" t="s">
        <v>84</v>
      </c>
      <c r="N2350" s="80" t="s">
        <v>84</v>
      </c>
      <c r="O2350" s="80" t="s">
        <v>84</v>
      </c>
      <c r="P2350" s="80"/>
      <c r="Q2350" s="80" t="s">
        <v>84</v>
      </c>
      <c r="R2350" s="80" t="s">
        <v>84</v>
      </c>
    </row>
    <row r="2351" spans="1:18" ht="20" x14ac:dyDescent="0.2">
      <c r="A2351" s="80" t="s">
        <v>6301</v>
      </c>
      <c r="B2351" s="80" t="s">
        <v>6302</v>
      </c>
      <c r="C2351" s="80" t="s">
        <v>84</v>
      </c>
      <c r="D2351" s="80" t="s">
        <v>84</v>
      </c>
      <c r="E2351" s="80" t="s">
        <v>84</v>
      </c>
      <c r="F2351" s="80"/>
      <c r="G2351" s="80" t="s">
        <v>84</v>
      </c>
      <c r="H2351" s="80" t="s">
        <v>84</v>
      </c>
      <c r="I2351" s="80" t="s">
        <v>84</v>
      </c>
      <c r="J2351" s="80" t="s">
        <v>84</v>
      </c>
      <c r="K2351" s="80" t="s">
        <v>84</v>
      </c>
      <c r="L2351" s="80" t="s">
        <v>84</v>
      </c>
      <c r="M2351" s="80" t="s">
        <v>84</v>
      </c>
      <c r="N2351" s="80" t="s">
        <v>84</v>
      </c>
      <c r="O2351" s="80" t="s">
        <v>84</v>
      </c>
      <c r="P2351" s="80"/>
      <c r="Q2351" s="80" t="s">
        <v>84</v>
      </c>
      <c r="R2351" s="80" t="s">
        <v>84</v>
      </c>
    </row>
    <row r="2352" spans="1:18" ht="20" x14ac:dyDescent="0.2">
      <c r="A2352" s="80" t="s">
        <v>6301</v>
      </c>
      <c r="B2352" s="80" t="s">
        <v>10567</v>
      </c>
      <c r="C2352" s="80" t="s">
        <v>84</v>
      </c>
      <c r="D2352" s="80" t="s">
        <v>84</v>
      </c>
      <c r="E2352" s="80" t="s">
        <v>84</v>
      </c>
      <c r="F2352" s="80"/>
      <c r="G2352" s="80" t="s">
        <v>84</v>
      </c>
      <c r="H2352" s="80" t="s">
        <v>84</v>
      </c>
      <c r="I2352" s="80" t="s">
        <v>84</v>
      </c>
      <c r="J2352" s="80" t="s">
        <v>84</v>
      </c>
      <c r="K2352" s="80" t="s">
        <v>84</v>
      </c>
      <c r="L2352" s="80" t="s">
        <v>84</v>
      </c>
      <c r="M2352" s="80" t="s">
        <v>84</v>
      </c>
      <c r="N2352" s="80" t="s">
        <v>84</v>
      </c>
      <c r="O2352" s="80" t="s">
        <v>84</v>
      </c>
      <c r="P2352" s="80"/>
      <c r="Q2352" s="80" t="s">
        <v>84</v>
      </c>
      <c r="R2352" s="80" t="s">
        <v>84</v>
      </c>
    </row>
    <row r="2353" spans="1:18" ht="20" x14ac:dyDescent="0.2">
      <c r="A2353" s="80" t="s">
        <v>10568</v>
      </c>
      <c r="B2353" s="80" t="s">
        <v>10569</v>
      </c>
      <c r="C2353" s="80" t="s">
        <v>84</v>
      </c>
      <c r="D2353" s="80" t="s">
        <v>84</v>
      </c>
      <c r="E2353" s="80" t="s">
        <v>84</v>
      </c>
      <c r="F2353" s="80"/>
      <c r="G2353" s="80" t="s">
        <v>84</v>
      </c>
      <c r="H2353" s="80" t="s">
        <v>84</v>
      </c>
      <c r="I2353" s="80" t="s">
        <v>84</v>
      </c>
      <c r="J2353" s="80" t="s">
        <v>84</v>
      </c>
      <c r="K2353" s="80" t="s">
        <v>84</v>
      </c>
      <c r="L2353" s="80" t="s">
        <v>84</v>
      </c>
      <c r="M2353" s="80" t="s">
        <v>84</v>
      </c>
      <c r="N2353" s="80" t="s">
        <v>84</v>
      </c>
      <c r="O2353" s="80" t="s">
        <v>84</v>
      </c>
      <c r="P2353" s="80"/>
      <c r="Q2353" s="80" t="s">
        <v>84</v>
      </c>
      <c r="R2353" s="80" t="s">
        <v>84</v>
      </c>
    </row>
    <row r="2354" spans="1:18" ht="20" x14ac:dyDescent="0.2">
      <c r="A2354" s="80" t="s">
        <v>6745</v>
      </c>
      <c r="B2354" s="80" t="s">
        <v>10570</v>
      </c>
      <c r="C2354" s="80" t="s">
        <v>84</v>
      </c>
      <c r="D2354" s="80" t="s">
        <v>84</v>
      </c>
      <c r="E2354" s="80" t="s">
        <v>84</v>
      </c>
      <c r="F2354" s="80"/>
      <c r="G2354" s="80" t="s">
        <v>84</v>
      </c>
      <c r="H2354" s="80" t="s">
        <v>84</v>
      </c>
      <c r="I2354" s="80" t="s">
        <v>84</v>
      </c>
      <c r="J2354" s="80" t="s">
        <v>84</v>
      </c>
      <c r="K2354" s="80" t="s">
        <v>84</v>
      </c>
      <c r="L2354" s="80" t="s">
        <v>84</v>
      </c>
      <c r="M2354" s="80" t="s">
        <v>84</v>
      </c>
      <c r="N2354" s="80" t="s">
        <v>84</v>
      </c>
      <c r="O2354" s="80" t="s">
        <v>84</v>
      </c>
      <c r="P2354" s="80"/>
      <c r="Q2354" s="80" t="s">
        <v>84</v>
      </c>
      <c r="R2354" s="80" t="s">
        <v>84</v>
      </c>
    </row>
    <row r="2355" spans="1:18" ht="20" x14ac:dyDescent="0.2">
      <c r="A2355" s="80" t="s">
        <v>6745</v>
      </c>
      <c r="B2355" s="80" t="s">
        <v>10571</v>
      </c>
      <c r="C2355" s="80" t="s">
        <v>84</v>
      </c>
      <c r="D2355" s="80" t="s">
        <v>84</v>
      </c>
      <c r="E2355" s="80" t="s">
        <v>84</v>
      </c>
      <c r="F2355" s="80"/>
      <c r="G2355" s="80" t="s">
        <v>84</v>
      </c>
      <c r="H2355" s="80" t="s">
        <v>84</v>
      </c>
      <c r="I2355" s="80" t="s">
        <v>84</v>
      </c>
      <c r="J2355" s="80" t="s">
        <v>84</v>
      </c>
      <c r="K2355" s="80" t="s">
        <v>84</v>
      </c>
      <c r="L2355" s="80" t="s">
        <v>84</v>
      </c>
      <c r="M2355" s="80" t="s">
        <v>84</v>
      </c>
      <c r="N2355" s="80" t="s">
        <v>84</v>
      </c>
      <c r="O2355" s="80" t="s">
        <v>84</v>
      </c>
      <c r="P2355" s="80"/>
      <c r="Q2355" s="80" t="s">
        <v>84</v>
      </c>
      <c r="R2355" s="80" t="s">
        <v>84</v>
      </c>
    </row>
    <row r="2356" spans="1:18" ht="20" x14ac:dyDescent="0.2">
      <c r="A2356" s="80" t="s">
        <v>6745</v>
      </c>
      <c r="B2356" s="80" t="s">
        <v>6746</v>
      </c>
      <c r="C2356" s="80" t="s">
        <v>84</v>
      </c>
      <c r="D2356" s="80" t="s">
        <v>84</v>
      </c>
      <c r="E2356" s="80" t="s">
        <v>84</v>
      </c>
      <c r="F2356" s="80"/>
      <c r="G2356" s="80" t="s">
        <v>84</v>
      </c>
      <c r="H2356" s="80" t="s">
        <v>84</v>
      </c>
      <c r="I2356" s="80" t="s">
        <v>84</v>
      </c>
      <c r="J2356" s="80" t="s">
        <v>84</v>
      </c>
      <c r="K2356" s="80" t="s">
        <v>84</v>
      </c>
      <c r="L2356" s="80" t="s">
        <v>84</v>
      </c>
      <c r="M2356" s="80" t="s">
        <v>84</v>
      </c>
      <c r="N2356" s="80" t="s">
        <v>84</v>
      </c>
      <c r="O2356" s="80" t="s">
        <v>84</v>
      </c>
      <c r="P2356" s="80"/>
      <c r="Q2356" s="80" t="s">
        <v>84</v>
      </c>
      <c r="R2356" s="80" t="s">
        <v>84</v>
      </c>
    </row>
    <row r="2357" spans="1:18" ht="20" x14ac:dyDescent="0.2">
      <c r="A2357" s="80" t="s">
        <v>6415</v>
      </c>
      <c r="B2357" s="80" t="s">
        <v>6416</v>
      </c>
      <c r="C2357" s="80" t="s">
        <v>84</v>
      </c>
      <c r="D2357" s="80" t="s">
        <v>84</v>
      </c>
      <c r="E2357" s="80" t="s">
        <v>84</v>
      </c>
      <c r="F2357" s="80"/>
      <c r="G2357" s="80" t="s">
        <v>84</v>
      </c>
      <c r="H2357" s="80" t="s">
        <v>84</v>
      </c>
      <c r="I2357" s="80" t="s">
        <v>84</v>
      </c>
      <c r="J2357" s="80" t="s">
        <v>84</v>
      </c>
      <c r="K2357" s="80" t="s">
        <v>84</v>
      </c>
      <c r="L2357" s="80" t="s">
        <v>84</v>
      </c>
      <c r="M2357" s="80" t="s">
        <v>84</v>
      </c>
      <c r="N2357" s="80" t="s">
        <v>84</v>
      </c>
      <c r="O2357" s="80" t="s">
        <v>84</v>
      </c>
      <c r="P2357" s="80"/>
      <c r="Q2357" s="80" t="s">
        <v>84</v>
      </c>
      <c r="R2357" s="80" t="s">
        <v>84</v>
      </c>
    </row>
    <row r="2358" spans="1:18" ht="20" x14ac:dyDescent="0.2">
      <c r="A2358" s="80" t="s">
        <v>6415</v>
      </c>
      <c r="B2358" s="80" t="s">
        <v>10572</v>
      </c>
      <c r="C2358" s="80" t="s">
        <v>84</v>
      </c>
      <c r="D2358" s="80" t="s">
        <v>84</v>
      </c>
      <c r="E2358" s="80" t="s">
        <v>84</v>
      </c>
      <c r="F2358" s="80"/>
      <c r="G2358" s="80" t="s">
        <v>84</v>
      </c>
      <c r="H2358" s="80" t="s">
        <v>84</v>
      </c>
      <c r="I2358" s="80" t="s">
        <v>84</v>
      </c>
      <c r="J2358" s="80" t="s">
        <v>84</v>
      </c>
      <c r="K2358" s="80" t="s">
        <v>84</v>
      </c>
      <c r="L2358" s="80" t="s">
        <v>84</v>
      </c>
      <c r="M2358" s="80" t="s">
        <v>84</v>
      </c>
      <c r="N2358" s="80" t="s">
        <v>84</v>
      </c>
      <c r="O2358" s="80" t="s">
        <v>84</v>
      </c>
      <c r="P2358" s="80"/>
      <c r="Q2358" s="80" t="s">
        <v>84</v>
      </c>
      <c r="R2358" s="80" t="s">
        <v>84</v>
      </c>
    </row>
    <row r="2359" spans="1:18" ht="20" x14ac:dyDescent="0.2">
      <c r="A2359" s="80" t="s">
        <v>6417</v>
      </c>
      <c r="B2359" s="80" t="s">
        <v>6418</v>
      </c>
      <c r="C2359" s="80" t="s">
        <v>84</v>
      </c>
      <c r="D2359" s="80" t="s">
        <v>84</v>
      </c>
      <c r="E2359" s="80" t="s">
        <v>84</v>
      </c>
      <c r="F2359" s="80"/>
      <c r="G2359" s="80" t="s">
        <v>84</v>
      </c>
      <c r="H2359" s="80" t="s">
        <v>84</v>
      </c>
      <c r="I2359" s="80" t="s">
        <v>84</v>
      </c>
      <c r="J2359" s="80" t="s">
        <v>84</v>
      </c>
      <c r="K2359" s="80" t="s">
        <v>84</v>
      </c>
      <c r="L2359" s="80" t="s">
        <v>84</v>
      </c>
      <c r="M2359" s="80" t="s">
        <v>84</v>
      </c>
      <c r="N2359" s="80" t="s">
        <v>84</v>
      </c>
      <c r="O2359" s="80" t="s">
        <v>84</v>
      </c>
      <c r="P2359" s="80"/>
      <c r="Q2359" s="80" t="s">
        <v>84</v>
      </c>
      <c r="R2359" s="80" t="s">
        <v>84</v>
      </c>
    </row>
    <row r="2360" spans="1:18" ht="20" x14ac:dyDescent="0.2">
      <c r="A2360" s="80" t="s">
        <v>6417</v>
      </c>
      <c r="B2360" s="80" t="s">
        <v>10573</v>
      </c>
      <c r="C2360" s="80" t="s">
        <v>84</v>
      </c>
      <c r="D2360" s="80" t="s">
        <v>84</v>
      </c>
      <c r="E2360" s="80" t="s">
        <v>84</v>
      </c>
      <c r="F2360" s="80"/>
      <c r="G2360" s="80" t="s">
        <v>84</v>
      </c>
      <c r="H2360" s="80" t="s">
        <v>84</v>
      </c>
      <c r="I2360" s="80" t="s">
        <v>84</v>
      </c>
      <c r="J2360" s="80" t="s">
        <v>84</v>
      </c>
      <c r="K2360" s="80" t="s">
        <v>84</v>
      </c>
      <c r="L2360" s="80" t="s">
        <v>84</v>
      </c>
      <c r="M2360" s="80" t="s">
        <v>84</v>
      </c>
      <c r="N2360" s="80" t="s">
        <v>84</v>
      </c>
      <c r="O2360" s="80" t="s">
        <v>84</v>
      </c>
      <c r="P2360" s="80"/>
      <c r="Q2360" s="80" t="s">
        <v>84</v>
      </c>
      <c r="R2360" s="80" t="s">
        <v>84</v>
      </c>
    </row>
    <row r="2361" spans="1:18" ht="20" x14ac:dyDescent="0.2">
      <c r="A2361" s="80" t="s">
        <v>6421</v>
      </c>
      <c r="B2361" s="80" t="s">
        <v>6422</v>
      </c>
      <c r="C2361" s="80" t="s">
        <v>84</v>
      </c>
      <c r="D2361" s="80" t="s">
        <v>84</v>
      </c>
      <c r="E2361" s="80" t="s">
        <v>84</v>
      </c>
      <c r="F2361" s="80"/>
      <c r="G2361" s="80" t="s">
        <v>84</v>
      </c>
      <c r="H2361" s="80" t="s">
        <v>84</v>
      </c>
      <c r="I2361" s="80" t="s">
        <v>84</v>
      </c>
      <c r="J2361" s="80" t="s">
        <v>84</v>
      </c>
      <c r="K2361" s="80" t="s">
        <v>84</v>
      </c>
      <c r="L2361" s="80" t="s">
        <v>84</v>
      </c>
      <c r="M2361" s="80" t="s">
        <v>84</v>
      </c>
      <c r="N2361" s="80" t="s">
        <v>84</v>
      </c>
      <c r="O2361" s="80" t="s">
        <v>84</v>
      </c>
      <c r="P2361" s="80"/>
      <c r="Q2361" s="80" t="s">
        <v>84</v>
      </c>
      <c r="R2361" s="80" t="s">
        <v>84</v>
      </c>
    </row>
    <row r="2362" spans="1:18" ht="20" x14ac:dyDescent="0.2">
      <c r="A2362" s="80" t="s">
        <v>6421</v>
      </c>
      <c r="B2362" s="80" t="s">
        <v>10574</v>
      </c>
      <c r="C2362" s="80" t="s">
        <v>84</v>
      </c>
      <c r="D2362" s="80" t="s">
        <v>84</v>
      </c>
      <c r="E2362" s="80" t="s">
        <v>84</v>
      </c>
      <c r="F2362" s="80"/>
      <c r="G2362" s="80" t="s">
        <v>84</v>
      </c>
      <c r="H2362" s="80" t="s">
        <v>84</v>
      </c>
      <c r="I2362" s="80" t="s">
        <v>84</v>
      </c>
      <c r="J2362" s="80" t="s">
        <v>84</v>
      </c>
      <c r="K2362" s="80" t="s">
        <v>84</v>
      </c>
      <c r="L2362" s="80" t="s">
        <v>84</v>
      </c>
      <c r="M2362" s="80" t="s">
        <v>84</v>
      </c>
      <c r="N2362" s="80" t="s">
        <v>84</v>
      </c>
      <c r="O2362" s="80" t="s">
        <v>84</v>
      </c>
      <c r="P2362" s="80"/>
      <c r="Q2362" s="80" t="s">
        <v>84</v>
      </c>
      <c r="R2362" s="80" t="s">
        <v>84</v>
      </c>
    </row>
    <row r="2363" spans="1:18" ht="20" x14ac:dyDescent="0.2">
      <c r="A2363" s="80" t="s">
        <v>6423</v>
      </c>
      <c r="B2363" s="80" t="s">
        <v>6424</v>
      </c>
      <c r="C2363" s="80" t="s">
        <v>84</v>
      </c>
      <c r="D2363" s="80" t="s">
        <v>84</v>
      </c>
      <c r="E2363" s="80" t="s">
        <v>84</v>
      </c>
      <c r="F2363" s="80"/>
      <c r="G2363" s="80" t="s">
        <v>84</v>
      </c>
      <c r="H2363" s="80" t="s">
        <v>84</v>
      </c>
      <c r="I2363" s="80" t="s">
        <v>84</v>
      </c>
      <c r="J2363" s="80" t="s">
        <v>84</v>
      </c>
      <c r="K2363" s="80" t="s">
        <v>84</v>
      </c>
      <c r="L2363" s="80" t="s">
        <v>84</v>
      </c>
      <c r="M2363" s="80" t="s">
        <v>84</v>
      </c>
      <c r="N2363" s="80" t="s">
        <v>84</v>
      </c>
      <c r="O2363" s="80" t="s">
        <v>84</v>
      </c>
      <c r="P2363" s="80"/>
      <c r="Q2363" s="80" t="s">
        <v>84</v>
      </c>
      <c r="R2363" s="80" t="s">
        <v>84</v>
      </c>
    </row>
    <row r="2364" spans="1:18" ht="20" x14ac:dyDescent="0.2">
      <c r="A2364" s="80" t="s">
        <v>6423</v>
      </c>
      <c r="B2364" s="80" t="s">
        <v>10575</v>
      </c>
      <c r="C2364" s="80" t="s">
        <v>84</v>
      </c>
      <c r="D2364" s="80" t="s">
        <v>84</v>
      </c>
      <c r="E2364" s="80" t="s">
        <v>84</v>
      </c>
      <c r="F2364" s="80"/>
      <c r="G2364" s="80" t="s">
        <v>84</v>
      </c>
      <c r="H2364" s="80" t="s">
        <v>84</v>
      </c>
      <c r="I2364" s="80" t="s">
        <v>84</v>
      </c>
      <c r="J2364" s="80" t="s">
        <v>84</v>
      </c>
      <c r="K2364" s="80" t="s">
        <v>84</v>
      </c>
      <c r="L2364" s="80" t="s">
        <v>84</v>
      </c>
      <c r="M2364" s="80" t="s">
        <v>84</v>
      </c>
      <c r="N2364" s="80" t="s">
        <v>84</v>
      </c>
      <c r="O2364" s="80" t="s">
        <v>84</v>
      </c>
      <c r="P2364" s="80"/>
      <c r="Q2364" s="80" t="s">
        <v>84</v>
      </c>
      <c r="R2364" s="80" t="s">
        <v>84</v>
      </c>
    </row>
    <row r="2365" spans="1:18" ht="20" x14ac:dyDescent="0.2">
      <c r="A2365" s="80" t="s">
        <v>10576</v>
      </c>
      <c r="B2365" s="80" t="s">
        <v>10577</v>
      </c>
      <c r="C2365" s="80" t="s">
        <v>9680</v>
      </c>
      <c r="D2365" s="80" t="s">
        <v>84</v>
      </c>
      <c r="E2365" s="80" t="s">
        <v>84</v>
      </c>
      <c r="F2365" s="80"/>
      <c r="G2365" s="80" t="s">
        <v>84</v>
      </c>
      <c r="H2365" s="80" t="s">
        <v>84</v>
      </c>
      <c r="I2365" s="80" t="s">
        <v>84</v>
      </c>
      <c r="J2365" s="80" t="s">
        <v>84</v>
      </c>
      <c r="K2365" s="80" t="s">
        <v>84</v>
      </c>
      <c r="L2365" s="80" t="s">
        <v>84</v>
      </c>
      <c r="M2365" s="80" t="s">
        <v>84</v>
      </c>
      <c r="N2365" s="80" t="s">
        <v>84</v>
      </c>
      <c r="O2365" s="80" t="s">
        <v>84</v>
      </c>
      <c r="P2365" s="80"/>
      <c r="Q2365" s="80" t="s">
        <v>84</v>
      </c>
      <c r="R2365" s="80" t="s">
        <v>84</v>
      </c>
    </row>
    <row r="2366" spans="1:18" ht="20" x14ac:dyDescent="0.2">
      <c r="A2366" s="80" t="s">
        <v>6747</v>
      </c>
      <c r="B2366" s="80" t="s">
        <v>10578</v>
      </c>
      <c r="C2366" s="80" t="s">
        <v>84</v>
      </c>
      <c r="D2366" s="80" t="s">
        <v>84</v>
      </c>
      <c r="E2366" s="80" t="s">
        <v>84</v>
      </c>
      <c r="F2366" s="80"/>
      <c r="G2366" s="80" t="s">
        <v>84</v>
      </c>
      <c r="H2366" s="80" t="s">
        <v>84</v>
      </c>
      <c r="I2366" s="80" t="s">
        <v>84</v>
      </c>
      <c r="J2366" s="80" t="s">
        <v>84</v>
      </c>
      <c r="K2366" s="80" t="s">
        <v>84</v>
      </c>
      <c r="L2366" s="80" t="s">
        <v>84</v>
      </c>
      <c r="M2366" s="80" t="s">
        <v>84</v>
      </c>
      <c r="N2366" s="80" t="s">
        <v>84</v>
      </c>
      <c r="O2366" s="80" t="s">
        <v>84</v>
      </c>
      <c r="P2366" s="80"/>
      <c r="Q2366" s="80" t="s">
        <v>84</v>
      </c>
      <c r="R2366" s="80" t="s">
        <v>84</v>
      </c>
    </row>
    <row r="2367" spans="1:18" ht="20" x14ac:dyDescent="0.2">
      <c r="A2367" s="80" t="s">
        <v>6747</v>
      </c>
      <c r="B2367" s="80" t="s">
        <v>6748</v>
      </c>
      <c r="C2367" s="80" t="s">
        <v>84</v>
      </c>
      <c r="D2367" s="80" t="s">
        <v>84</v>
      </c>
      <c r="E2367" s="80" t="s">
        <v>84</v>
      </c>
      <c r="F2367" s="80"/>
      <c r="G2367" s="80" t="s">
        <v>84</v>
      </c>
      <c r="H2367" s="80" t="s">
        <v>84</v>
      </c>
      <c r="I2367" s="80" t="s">
        <v>84</v>
      </c>
      <c r="J2367" s="80" t="s">
        <v>84</v>
      </c>
      <c r="K2367" s="80" t="s">
        <v>84</v>
      </c>
      <c r="L2367" s="80" t="s">
        <v>84</v>
      </c>
      <c r="M2367" s="80" t="s">
        <v>84</v>
      </c>
      <c r="N2367" s="80" t="s">
        <v>84</v>
      </c>
      <c r="O2367" s="80" t="s">
        <v>84</v>
      </c>
      <c r="P2367" s="80"/>
      <c r="Q2367" s="80" t="s">
        <v>84</v>
      </c>
      <c r="R2367" s="80" t="s">
        <v>84</v>
      </c>
    </row>
    <row r="2368" spans="1:18" ht="20" x14ac:dyDescent="0.2">
      <c r="A2368" s="80" t="s">
        <v>6749</v>
      </c>
      <c r="B2368" s="80" t="s">
        <v>10579</v>
      </c>
      <c r="C2368" s="80" t="s">
        <v>84</v>
      </c>
      <c r="D2368" s="80" t="s">
        <v>84</v>
      </c>
      <c r="E2368" s="80" t="s">
        <v>84</v>
      </c>
      <c r="F2368" s="80"/>
      <c r="G2368" s="80" t="s">
        <v>84</v>
      </c>
      <c r="H2368" s="80" t="s">
        <v>84</v>
      </c>
      <c r="I2368" s="80" t="s">
        <v>84</v>
      </c>
      <c r="J2368" s="80" t="s">
        <v>84</v>
      </c>
      <c r="K2368" s="80" t="s">
        <v>84</v>
      </c>
      <c r="L2368" s="80" t="s">
        <v>84</v>
      </c>
      <c r="M2368" s="80" t="s">
        <v>84</v>
      </c>
      <c r="N2368" s="80" t="s">
        <v>84</v>
      </c>
      <c r="O2368" s="80" t="s">
        <v>84</v>
      </c>
      <c r="P2368" s="80"/>
      <c r="Q2368" s="80" t="s">
        <v>84</v>
      </c>
      <c r="R2368" s="80" t="s">
        <v>84</v>
      </c>
    </row>
    <row r="2369" spans="1:18" ht="20" x14ac:dyDescent="0.2">
      <c r="A2369" s="80" t="s">
        <v>6749</v>
      </c>
      <c r="B2369" s="80" t="s">
        <v>6750</v>
      </c>
      <c r="C2369" s="80" t="s">
        <v>84</v>
      </c>
      <c r="D2369" s="80" t="s">
        <v>84</v>
      </c>
      <c r="E2369" s="80" t="s">
        <v>84</v>
      </c>
      <c r="F2369" s="80"/>
      <c r="G2369" s="80" t="s">
        <v>84</v>
      </c>
      <c r="H2369" s="80" t="s">
        <v>84</v>
      </c>
      <c r="I2369" s="80" t="s">
        <v>84</v>
      </c>
      <c r="J2369" s="80" t="s">
        <v>84</v>
      </c>
      <c r="K2369" s="80" t="s">
        <v>84</v>
      </c>
      <c r="L2369" s="80" t="s">
        <v>84</v>
      </c>
      <c r="M2369" s="80" t="s">
        <v>84</v>
      </c>
      <c r="N2369" s="80" t="s">
        <v>84</v>
      </c>
      <c r="O2369" s="80" t="s">
        <v>84</v>
      </c>
      <c r="P2369" s="80"/>
      <c r="Q2369" s="80" t="s">
        <v>84</v>
      </c>
      <c r="R2369" s="80" t="s">
        <v>84</v>
      </c>
    </row>
    <row r="2370" spans="1:18" ht="20" x14ac:dyDescent="0.2">
      <c r="A2370" s="80" t="s">
        <v>6753</v>
      </c>
      <c r="B2370" s="80" t="s">
        <v>10580</v>
      </c>
      <c r="C2370" s="80" t="s">
        <v>84</v>
      </c>
      <c r="D2370" s="80" t="s">
        <v>84</v>
      </c>
      <c r="E2370" s="80" t="s">
        <v>84</v>
      </c>
      <c r="F2370" s="80"/>
      <c r="G2370" s="80" t="s">
        <v>84</v>
      </c>
      <c r="H2370" s="80" t="s">
        <v>84</v>
      </c>
      <c r="I2370" s="80" t="s">
        <v>84</v>
      </c>
      <c r="J2370" s="80" t="s">
        <v>84</v>
      </c>
      <c r="K2370" s="80" t="s">
        <v>84</v>
      </c>
      <c r="L2370" s="80" t="s">
        <v>84</v>
      </c>
      <c r="M2370" s="80" t="s">
        <v>84</v>
      </c>
      <c r="N2370" s="80" t="s">
        <v>84</v>
      </c>
      <c r="O2370" s="80" t="s">
        <v>84</v>
      </c>
      <c r="P2370" s="80"/>
      <c r="Q2370" s="80" t="s">
        <v>84</v>
      </c>
      <c r="R2370" s="80" t="s">
        <v>84</v>
      </c>
    </row>
    <row r="2371" spans="1:18" ht="20" x14ac:dyDescent="0.2">
      <c r="A2371" s="80" t="s">
        <v>6753</v>
      </c>
      <c r="B2371" s="80" t="s">
        <v>6754</v>
      </c>
      <c r="C2371" s="80" t="s">
        <v>84</v>
      </c>
      <c r="D2371" s="80" t="s">
        <v>84</v>
      </c>
      <c r="E2371" s="80" t="s">
        <v>84</v>
      </c>
      <c r="F2371" s="80"/>
      <c r="G2371" s="80" t="s">
        <v>84</v>
      </c>
      <c r="H2371" s="80" t="s">
        <v>84</v>
      </c>
      <c r="I2371" s="80" t="s">
        <v>84</v>
      </c>
      <c r="J2371" s="80" t="s">
        <v>84</v>
      </c>
      <c r="K2371" s="80" t="s">
        <v>84</v>
      </c>
      <c r="L2371" s="80" t="s">
        <v>84</v>
      </c>
      <c r="M2371" s="80" t="s">
        <v>84</v>
      </c>
      <c r="N2371" s="80" t="s">
        <v>84</v>
      </c>
      <c r="O2371" s="80" t="s">
        <v>84</v>
      </c>
      <c r="P2371" s="80"/>
      <c r="Q2371" s="80" t="s">
        <v>84</v>
      </c>
      <c r="R2371" s="80" t="s">
        <v>84</v>
      </c>
    </row>
    <row r="2372" spans="1:18" ht="20" x14ac:dyDescent="0.2">
      <c r="A2372" s="80" t="s">
        <v>10581</v>
      </c>
      <c r="B2372" s="80" t="s">
        <v>10582</v>
      </c>
      <c r="C2372" s="80" t="s">
        <v>84</v>
      </c>
      <c r="D2372" s="80" t="s">
        <v>84</v>
      </c>
      <c r="E2372" s="80" t="s">
        <v>84</v>
      </c>
      <c r="F2372" s="80"/>
      <c r="G2372" s="80" t="s">
        <v>84</v>
      </c>
      <c r="H2372" s="80" t="s">
        <v>84</v>
      </c>
      <c r="I2372" s="80" t="s">
        <v>84</v>
      </c>
      <c r="J2372" s="80" t="s">
        <v>84</v>
      </c>
      <c r="K2372" s="80" t="s">
        <v>84</v>
      </c>
      <c r="L2372" s="80" t="s">
        <v>84</v>
      </c>
      <c r="M2372" s="80" t="s">
        <v>84</v>
      </c>
      <c r="N2372" s="80" t="s">
        <v>84</v>
      </c>
      <c r="O2372" s="80" t="s">
        <v>84</v>
      </c>
      <c r="P2372" s="80"/>
      <c r="Q2372" s="80" t="s">
        <v>84</v>
      </c>
      <c r="R2372" s="80" t="s">
        <v>84</v>
      </c>
    </row>
    <row r="2373" spans="1:18" ht="20" x14ac:dyDescent="0.2">
      <c r="A2373" s="80" t="s">
        <v>10583</v>
      </c>
      <c r="B2373" s="80" t="s">
        <v>10584</v>
      </c>
      <c r="C2373" s="80" t="s">
        <v>84</v>
      </c>
      <c r="D2373" s="80" t="s">
        <v>84</v>
      </c>
      <c r="E2373" s="80" t="s">
        <v>84</v>
      </c>
      <c r="F2373" s="80"/>
      <c r="G2373" s="80" t="s">
        <v>84</v>
      </c>
      <c r="H2373" s="80" t="s">
        <v>84</v>
      </c>
      <c r="I2373" s="80" t="s">
        <v>84</v>
      </c>
      <c r="J2373" s="80" t="s">
        <v>84</v>
      </c>
      <c r="K2373" s="80" t="s">
        <v>84</v>
      </c>
      <c r="L2373" s="80" t="s">
        <v>84</v>
      </c>
      <c r="M2373" s="80" t="s">
        <v>84</v>
      </c>
      <c r="N2373" s="80" t="s">
        <v>84</v>
      </c>
      <c r="O2373" s="80" t="s">
        <v>84</v>
      </c>
      <c r="P2373" s="80"/>
      <c r="Q2373" s="80" t="s">
        <v>84</v>
      </c>
      <c r="R2373" s="80" t="s">
        <v>84</v>
      </c>
    </row>
    <row r="2374" spans="1:18" ht="20" x14ac:dyDescent="0.2">
      <c r="A2374" s="80" t="s">
        <v>10585</v>
      </c>
      <c r="B2374" s="80" t="s">
        <v>10586</v>
      </c>
      <c r="C2374" s="80" t="s">
        <v>84</v>
      </c>
      <c r="D2374" s="80" t="s">
        <v>84</v>
      </c>
      <c r="E2374" s="80" t="s">
        <v>84</v>
      </c>
      <c r="F2374" s="80"/>
      <c r="G2374" s="80" t="s">
        <v>84</v>
      </c>
      <c r="H2374" s="80" t="s">
        <v>84</v>
      </c>
      <c r="I2374" s="80" t="s">
        <v>84</v>
      </c>
      <c r="J2374" s="80" t="s">
        <v>84</v>
      </c>
      <c r="K2374" s="80" t="s">
        <v>84</v>
      </c>
      <c r="L2374" s="80" t="s">
        <v>84</v>
      </c>
      <c r="M2374" s="80" t="s">
        <v>84</v>
      </c>
      <c r="N2374" s="80" t="s">
        <v>84</v>
      </c>
      <c r="O2374" s="80" t="s">
        <v>84</v>
      </c>
      <c r="P2374" s="80"/>
      <c r="Q2374" s="80" t="s">
        <v>84</v>
      </c>
      <c r="R2374" s="80" t="s">
        <v>84</v>
      </c>
    </row>
    <row r="2375" spans="1:18" ht="20" x14ac:dyDescent="0.2">
      <c r="A2375" s="80" t="s">
        <v>6646</v>
      </c>
      <c r="B2375" s="80" t="s">
        <v>10587</v>
      </c>
      <c r="C2375" s="80" t="s">
        <v>84</v>
      </c>
      <c r="D2375" s="80" t="s">
        <v>84</v>
      </c>
      <c r="E2375" s="80" t="s">
        <v>84</v>
      </c>
      <c r="F2375" s="80"/>
      <c r="G2375" s="80" t="s">
        <v>84</v>
      </c>
      <c r="H2375" s="80" t="s">
        <v>84</v>
      </c>
      <c r="I2375" s="80" t="s">
        <v>84</v>
      </c>
      <c r="J2375" s="80" t="s">
        <v>84</v>
      </c>
      <c r="K2375" s="80" t="s">
        <v>84</v>
      </c>
      <c r="L2375" s="80" t="s">
        <v>84</v>
      </c>
      <c r="M2375" s="80" t="s">
        <v>84</v>
      </c>
      <c r="N2375" s="80" t="s">
        <v>84</v>
      </c>
      <c r="O2375" s="80" t="s">
        <v>84</v>
      </c>
      <c r="P2375" s="80"/>
      <c r="Q2375" s="80" t="s">
        <v>84</v>
      </c>
      <c r="R2375" s="80" t="s">
        <v>84</v>
      </c>
    </row>
    <row r="2376" spans="1:18" ht="20" x14ac:dyDescent="0.2">
      <c r="A2376" s="80" t="s">
        <v>6646</v>
      </c>
      <c r="B2376" s="80" t="s">
        <v>6647</v>
      </c>
      <c r="C2376" s="80" t="s">
        <v>84</v>
      </c>
      <c r="D2376" s="80" t="s">
        <v>84</v>
      </c>
      <c r="E2376" s="80" t="s">
        <v>84</v>
      </c>
      <c r="F2376" s="80"/>
      <c r="G2376" s="80" t="s">
        <v>84</v>
      </c>
      <c r="H2376" s="80" t="s">
        <v>84</v>
      </c>
      <c r="I2376" s="80" t="s">
        <v>84</v>
      </c>
      <c r="J2376" s="80" t="s">
        <v>84</v>
      </c>
      <c r="K2376" s="80" t="s">
        <v>84</v>
      </c>
      <c r="L2376" s="80" t="s">
        <v>84</v>
      </c>
      <c r="M2376" s="80" t="s">
        <v>84</v>
      </c>
      <c r="N2376" s="80" t="s">
        <v>84</v>
      </c>
      <c r="O2376" s="80" t="s">
        <v>84</v>
      </c>
      <c r="P2376" s="80"/>
      <c r="Q2376" s="80" t="s">
        <v>84</v>
      </c>
      <c r="R2376" s="80" t="s">
        <v>84</v>
      </c>
    </row>
    <row r="2377" spans="1:18" ht="20" x14ac:dyDescent="0.2">
      <c r="A2377" s="80" t="s">
        <v>6650</v>
      </c>
      <c r="B2377" s="80" t="s">
        <v>10588</v>
      </c>
      <c r="C2377" s="80" t="s">
        <v>84</v>
      </c>
      <c r="D2377" s="80" t="s">
        <v>84</v>
      </c>
      <c r="E2377" s="80" t="s">
        <v>84</v>
      </c>
      <c r="F2377" s="80"/>
      <c r="G2377" s="80" t="s">
        <v>84</v>
      </c>
      <c r="H2377" s="80" t="s">
        <v>84</v>
      </c>
      <c r="I2377" s="80" t="s">
        <v>84</v>
      </c>
      <c r="J2377" s="80" t="s">
        <v>84</v>
      </c>
      <c r="K2377" s="80" t="s">
        <v>84</v>
      </c>
      <c r="L2377" s="80" t="s">
        <v>84</v>
      </c>
      <c r="M2377" s="80" t="s">
        <v>84</v>
      </c>
      <c r="N2377" s="80" t="s">
        <v>84</v>
      </c>
      <c r="O2377" s="80" t="s">
        <v>84</v>
      </c>
      <c r="P2377" s="80"/>
      <c r="Q2377" s="80" t="s">
        <v>84</v>
      </c>
      <c r="R2377" s="80" t="s">
        <v>84</v>
      </c>
    </row>
    <row r="2378" spans="1:18" ht="20" x14ac:dyDescent="0.2">
      <c r="A2378" s="80" t="s">
        <v>6650</v>
      </c>
      <c r="B2378" s="80" t="s">
        <v>6651</v>
      </c>
      <c r="C2378" s="80" t="s">
        <v>84</v>
      </c>
      <c r="D2378" s="80" t="s">
        <v>84</v>
      </c>
      <c r="E2378" s="80" t="s">
        <v>84</v>
      </c>
      <c r="F2378" s="80"/>
      <c r="G2378" s="80" t="s">
        <v>84</v>
      </c>
      <c r="H2378" s="80" t="s">
        <v>84</v>
      </c>
      <c r="I2378" s="80" t="s">
        <v>84</v>
      </c>
      <c r="J2378" s="80" t="s">
        <v>84</v>
      </c>
      <c r="K2378" s="80" t="s">
        <v>84</v>
      </c>
      <c r="L2378" s="80" t="s">
        <v>84</v>
      </c>
      <c r="M2378" s="80" t="s">
        <v>84</v>
      </c>
      <c r="N2378" s="80" t="s">
        <v>84</v>
      </c>
      <c r="O2378" s="80" t="s">
        <v>84</v>
      </c>
      <c r="P2378" s="80"/>
      <c r="Q2378" s="80" t="s">
        <v>84</v>
      </c>
      <c r="R2378" s="80" t="s">
        <v>84</v>
      </c>
    </row>
    <row r="2379" spans="1:18" ht="20" x14ac:dyDescent="0.2">
      <c r="A2379" s="80" t="s">
        <v>6634</v>
      </c>
      <c r="B2379" s="80" t="s">
        <v>10589</v>
      </c>
      <c r="C2379" s="80" t="s">
        <v>84</v>
      </c>
      <c r="D2379" s="80" t="s">
        <v>84</v>
      </c>
      <c r="E2379" s="80" t="s">
        <v>84</v>
      </c>
      <c r="F2379" s="80"/>
      <c r="G2379" s="80" t="s">
        <v>84</v>
      </c>
      <c r="H2379" s="80" t="s">
        <v>84</v>
      </c>
      <c r="I2379" s="80" t="s">
        <v>84</v>
      </c>
      <c r="J2379" s="80" t="s">
        <v>84</v>
      </c>
      <c r="K2379" s="80" t="s">
        <v>84</v>
      </c>
      <c r="L2379" s="80" t="s">
        <v>84</v>
      </c>
      <c r="M2379" s="80" t="s">
        <v>84</v>
      </c>
      <c r="N2379" s="80" t="s">
        <v>84</v>
      </c>
      <c r="O2379" s="80" t="s">
        <v>84</v>
      </c>
      <c r="P2379" s="80"/>
      <c r="Q2379" s="80" t="s">
        <v>84</v>
      </c>
      <c r="R2379" s="80" t="s">
        <v>84</v>
      </c>
    </row>
    <row r="2380" spans="1:18" ht="20" x14ac:dyDescent="0.2">
      <c r="A2380" s="80" t="s">
        <v>6634</v>
      </c>
      <c r="B2380" s="80" t="s">
        <v>6635</v>
      </c>
      <c r="C2380" s="80" t="s">
        <v>84</v>
      </c>
      <c r="D2380" s="80" t="s">
        <v>84</v>
      </c>
      <c r="E2380" s="80" t="s">
        <v>84</v>
      </c>
      <c r="F2380" s="80"/>
      <c r="G2380" s="80" t="s">
        <v>84</v>
      </c>
      <c r="H2380" s="80" t="s">
        <v>84</v>
      </c>
      <c r="I2380" s="80" t="s">
        <v>84</v>
      </c>
      <c r="J2380" s="80" t="s">
        <v>84</v>
      </c>
      <c r="K2380" s="80" t="s">
        <v>84</v>
      </c>
      <c r="L2380" s="80" t="s">
        <v>84</v>
      </c>
      <c r="M2380" s="80" t="s">
        <v>84</v>
      </c>
      <c r="N2380" s="80" t="s">
        <v>84</v>
      </c>
      <c r="O2380" s="80" t="s">
        <v>84</v>
      </c>
      <c r="P2380" s="80"/>
      <c r="Q2380" s="80" t="s">
        <v>84</v>
      </c>
      <c r="R2380" s="80" t="s">
        <v>84</v>
      </c>
    </row>
    <row r="2381" spans="1:18" ht="20" x14ac:dyDescent="0.2">
      <c r="A2381" s="80" t="s">
        <v>6759</v>
      </c>
      <c r="B2381" s="80" t="s">
        <v>10590</v>
      </c>
      <c r="C2381" s="80" t="s">
        <v>84</v>
      </c>
      <c r="D2381" s="80" t="s">
        <v>84</v>
      </c>
      <c r="E2381" s="80" t="s">
        <v>84</v>
      </c>
      <c r="F2381" s="80"/>
      <c r="G2381" s="80" t="s">
        <v>84</v>
      </c>
      <c r="H2381" s="80" t="s">
        <v>84</v>
      </c>
      <c r="I2381" s="80" t="s">
        <v>84</v>
      </c>
      <c r="J2381" s="80" t="s">
        <v>84</v>
      </c>
      <c r="K2381" s="80" t="s">
        <v>84</v>
      </c>
      <c r="L2381" s="80" t="s">
        <v>84</v>
      </c>
      <c r="M2381" s="80" t="s">
        <v>84</v>
      </c>
      <c r="N2381" s="80" t="s">
        <v>84</v>
      </c>
      <c r="O2381" s="80" t="s">
        <v>84</v>
      </c>
      <c r="P2381" s="80"/>
      <c r="Q2381" s="80" t="s">
        <v>84</v>
      </c>
      <c r="R2381" s="80" t="s">
        <v>84</v>
      </c>
    </row>
    <row r="2382" spans="1:18" ht="20" x14ac:dyDescent="0.2">
      <c r="A2382" s="80" t="s">
        <v>6759</v>
      </c>
      <c r="B2382" s="80" t="s">
        <v>6760</v>
      </c>
      <c r="C2382" s="80" t="s">
        <v>84</v>
      </c>
      <c r="D2382" s="80" t="s">
        <v>84</v>
      </c>
      <c r="E2382" s="80" t="s">
        <v>84</v>
      </c>
      <c r="F2382" s="80"/>
      <c r="G2382" s="80" t="s">
        <v>84</v>
      </c>
      <c r="H2382" s="80" t="s">
        <v>84</v>
      </c>
      <c r="I2382" s="80" t="s">
        <v>84</v>
      </c>
      <c r="J2382" s="80" t="s">
        <v>84</v>
      </c>
      <c r="K2382" s="80" t="s">
        <v>84</v>
      </c>
      <c r="L2382" s="80" t="s">
        <v>84</v>
      </c>
      <c r="M2382" s="80" t="s">
        <v>84</v>
      </c>
      <c r="N2382" s="80" t="s">
        <v>84</v>
      </c>
      <c r="O2382" s="80" t="s">
        <v>84</v>
      </c>
      <c r="P2382" s="80"/>
      <c r="Q2382" s="80" t="s">
        <v>84</v>
      </c>
      <c r="R2382" s="80" t="s">
        <v>84</v>
      </c>
    </row>
    <row r="2383" spans="1:18" ht="20" x14ac:dyDescent="0.2">
      <c r="A2383" s="80" t="s">
        <v>6525</v>
      </c>
      <c r="B2383" s="80" t="s">
        <v>10591</v>
      </c>
      <c r="C2383" s="80" t="s">
        <v>9680</v>
      </c>
      <c r="D2383" s="80" t="s">
        <v>84</v>
      </c>
      <c r="E2383" s="80" t="s">
        <v>84</v>
      </c>
      <c r="F2383" s="80"/>
      <c r="G2383" s="80" t="s">
        <v>84</v>
      </c>
      <c r="H2383" s="80" t="s">
        <v>84</v>
      </c>
      <c r="I2383" s="80" t="s">
        <v>84</v>
      </c>
      <c r="J2383" s="80" t="s">
        <v>84</v>
      </c>
      <c r="K2383" s="80" t="s">
        <v>84</v>
      </c>
      <c r="L2383" s="80" t="s">
        <v>84</v>
      </c>
      <c r="M2383" s="80" t="s">
        <v>9680</v>
      </c>
      <c r="N2383" s="80" t="s">
        <v>84</v>
      </c>
      <c r="O2383" s="80" t="s">
        <v>84</v>
      </c>
      <c r="P2383" s="80"/>
      <c r="Q2383" s="80" t="s">
        <v>84</v>
      </c>
      <c r="R2383" s="80" t="s">
        <v>84</v>
      </c>
    </row>
    <row r="2384" spans="1:18" ht="20" x14ac:dyDescent="0.2">
      <c r="A2384" s="80" t="s">
        <v>6525</v>
      </c>
      <c r="B2384" s="80" t="s">
        <v>6526</v>
      </c>
      <c r="C2384" s="80" t="s">
        <v>9680</v>
      </c>
      <c r="D2384" s="80" t="s">
        <v>84</v>
      </c>
      <c r="E2384" s="80" t="s">
        <v>84</v>
      </c>
      <c r="F2384" s="80"/>
      <c r="G2384" s="80" t="s">
        <v>84</v>
      </c>
      <c r="H2384" s="80" t="s">
        <v>84</v>
      </c>
      <c r="I2384" s="80" t="s">
        <v>84</v>
      </c>
      <c r="J2384" s="80" t="s">
        <v>84</v>
      </c>
      <c r="K2384" s="80" t="s">
        <v>84</v>
      </c>
      <c r="L2384" s="80" t="s">
        <v>84</v>
      </c>
      <c r="M2384" s="80" t="s">
        <v>9680</v>
      </c>
      <c r="N2384" s="80" t="s">
        <v>84</v>
      </c>
      <c r="O2384" s="80" t="s">
        <v>84</v>
      </c>
      <c r="P2384" s="80"/>
      <c r="Q2384" s="80" t="s">
        <v>84</v>
      </c>
      <c r="R2384" s="80" t="s">
        <v>84</v>
      </c>
    </row>
    <row r="2385" spans="1:18" ht="20" x14ac:dyDescent="0.2">
      <c r="A2385" s="80" t="s">
        <v>10592</v>
      </c>
      <c r="B2385" s="80" t="s">
        <v>10593</v>
      </c>
      <c r="C2385" s="80" t="s">
        <v>84</v>
      </c>
      <c r="D2385" s="80" t="s">
        <v>84</v>
      </c>
      <c r="E2385" s="80" t="s">
        <v>84</v>
      </c>
      <c r="F2385" s="80"/>
      <c r="G2385" s="80" t="s">
        <v>84</v>
      </c>
      <c r="H2385" s="80" t="s">
        <v>84</v>
      </c>
      <c r="I2385" s="80" t="s">
        <v>84</v>
      </c>
      <c r="J2385" s="80" t="s">
        <v>84</v>
      </c>
      <c r="K2385" s="80" t="s">
        <v>84</v>
      </c>
      <c r="L2385" s="80" t="s">
        <v>84</v>
      </c>
      <c r="M2385" s="80" t="s">
        <v>84</v>
      </c>
      <c r="N2385" s="80" t="s">
        <v>84</v>
      </c>
      <c r="O2385" s="80" t="s">
        <v>84</v>
      </c>
      <c r="P2385" s="80"/>
      <c r="Q2385" s="80" t="s">
        <v>84</v>
      </c>
      <c r="R2385" s="80" t="s">
        <v>84</v>
      </c>
    </row>
    <row r="2386" spans="1:18" ht="20" x14ac:dyDescent="0.2">
      <c r="A2386" s="80" t="s">
        <v>6751</v>
      </c>
      <c r="B2386" s="80" t="s">
        <v>10594</v>
      </c>
      <c r="C2386" s="80" t="s">
        <v>84</v>
      </c>
      <c r="D2386" s="80" t="s">
        <v>84</v>
      </c>
      <c r="E2386" s="80" t="s">
        <v>84</v>
      </c>
      <c r="F2386" s="80"/>
      <c r="G2386" s="80" t="s">
        <v>84</v>
      </c>
      <c r="H2386" s="80" t="s">
        <v>84</v>
      </c>
      <c r="I2386" s="80" t="s">
        <v>84</v>
      </c>
      <c r="J2386" s="80" t="s">
        <v>84</v>
      </c>
      <c r="K2386" s="80" t="s">
        <v>84</v>
      </c>
      <c r="L2386" s="80" t="s">
        <v>84</v>
      </c>
      <c r="M2386" s="80" t="s">
        <v>84</v>
      </c>
      <c r="N2386" s="80" t="s">
        <v>84</v>
      </c>
      <c r="O2386" s="80" t="s">
        <v>84</v>
      </c>
      <c r="P2386" s="80"/>
      <c r="Q2386" s="80" t="s">
        <v>84</v>
      </c>
      <c r="R2386" s="80" t="s">
        <v>84</v>
      </c>
    </row>
    <row r="2387" spans="1:18" ht="20" x14ac:dyDescent="0.2">
      <c r="A2387" s="80" t="s">
        <v>6751</v>
      </c>
      <c r="B2387" s="80" t="s">
        <v>6752</v>
      </c>
      <c r="C2387" s="80" t="s">
        <v>84</v>
      </c>
      <c r="D2387" s="80" t="s">
        <v>84</v>
      </c>
      <c r="E2387" s="80" t="s">
        <v>84</v>
      </c>
      <c r="F2387" s="80"/>
      <c r="G2387" s="80" t="s">
        <v>84</v>
      </c>
      <c r="H2387" s="80" t="s">
        <v>84</v>
      </c>
      <c r="I2387" s="80" t="s">
        <v>84</v>
      </c>
      <c r="J2387" s="80" t="s">
        <v>84</v>
      </c>
      <c r="K2387" s="80" t="s">
        <v>84</v>
      </c>
      <c r="L2387" s="80" t="s">
        <v>84</v>
      </c>
      <c r="M2387" s="80" t="s">
        <v>84</v>
      </c>
      <c r="N2387" s="80" t="s">
        <v>84</v>
      </c>
      <c r="O2387" s="80" t="s">
        <v>84</v>
      </c>
      <c r="P2387" s="80"/>
      <c r="Q2387" s="80" t="s">
        <v>84</v>
      </c>
      <c r="R2387" s="80" t="s">
        <v>84</v>
      </c>
    </row>
    <row r="2388" spans="1:18" ht="20" x14ac:dyDescent="0.2">
      <c r="A2388" s="80" t="s">
        <v>6729</v>
      </c>
      <c r="B2388" s="80" t="s">
        <v>10595</v>
      </c>
      <c r="C2388" s="80" t="s">
        <v>84</v>
      </c>
      <c r="D2388" s="80" t="s">
        <v>84</v>
      </c>
      <c r="E2388" s="80" t="s">
        <v>84</v>
      </c>
      <c r="F2388" s="80"/>
      <c r="G2388" s="80" t="s">
        <v>84</v>
      </c>
      <c r="H2388" s="80" t="s">
        <v>84</v>
      </c>
      <c r="I2388" s="80" t="s">
        <v>84</v>
      </c>
      <c r="J2388" s="80" t="s">
        <v>84</v>
      </c>
      <c r="K2388" s="80" t="s">
        <v>84</v>
      </c>
      <c r="L2388" s="80" t="s">
        <v>84</v>
      </c>
      <c r="M2388" s="80" t="s">
        <v>84</v>
      </c>
      <c r="N2388" s="80" t="s">
        <v>84</v>
      </c>
      <c r="O2388" s="80" t="s">
        <v>84</v>
      </c>
      <c r="P2388" s="80"/>
      <c r="Q2388" s="80" t="s">
        <v>84</v>
      </c>
      <c r="R2388" s="80" t="s">
        <v>84</v>
      </c>
    </row>
    <row r="2389" spans="1:18" ht="20" x14ac:dyDescent="0.2">
      <c r="A2389" s="80" t="s">
        <v>6729</v>
      </c>
      <c r="B2389" s="80" t="s">
        <v>6730</v>
      </c>
      <c r="C2389" s="80" t="s">
        <v>84</v>
      </c>
      <c r="D2389" s="80" t="s">
        <v>84</v>
      </c>
      <c r="E2389" s="80" t="s">
        <v>84</v>
      </c>
      <c r="F2389" s="80"/>
      <c r="G2389" s="80" t="s">
        <v>84</v>
      </c>
      <c r="H2389" s="80" t="s">
        <v>84</v>
      </c>
      <c r="I2389" s="80" t="s">
        <v>84</v>
      </c>
      <c r="J2389" s="80" t="s">
        <v>84</v>
      </c>
      <c r="K2389" s="80" t="s">
        <v>84</v>
      </c>
      <c r="L2389" s="80" t="s">
        <v>84</v>
      </c>
      <c r="M2389" s="80" t="s">
        <v>84</v>
      </c>
      <c r="N2389" s="80" t="s">
        <v>84</v>
      </c>
      <c r="O2389" s="80" t="s">
        <v>84</v>
      </c>
      <c r="P2389" s="80"/>
      <c r="Q2389" s="80" t="s">
        <v>84</v>
      </c>
      <c r="R2389" s="80" t="s">
        <v>84</v>
      </c>
    </row>
    <row r="2390" spans="1:18" ht="20" x14ac:dyDescent="0.2">
      <c r="A2390" s="80" t="s">
        <v>6731</v>
      </c>
      <c r="B2390" s="80" t="s">
        <v>10596</v>
      </c>
      <c r="C2390" s="80" t="s">
        <v>9680</v>
      </c>
      <c r="D2390" s="80" t="s">
        <v>84</v>
      </c>
      <c r="E2390" s="80" t="s">
        <v>84</v>
      </c>
      <c r="F2390" s="80"/>
      <c r="G2390" s="80" t="s">
        <v>84</v>
      </c>
      <c r="H2390" s="80" t="s">
        <v>84</v>
      </c>
      <c r="I2390" s="80" t="s">
        <v>84</v>
      </c>
      <c r="J2390" s="80" t="s">
        <v>84</v>
      </c>
      <c r="K2390" s="80" t="s">
        <v>84</v>
      </c>
      <c r="L2390" s="80" t="s">
        <v>84</v>
      </c>
      <c r="M2390" s="80" t="s">
        <v>84</v>
      </c>
      <c r="N2390" s="80" t="s">
        <v>84</v>
      </c>
      <c r="O2390" s="80" t="s">
        <v>84</v>
      </c>
      <c r="P2390" s="80"/>
      <c r="Q2390" s="80" t="s">
        <v>84</v>
      </c>
      <c r="R2390" s="80" t="s">
        <v>84</v>
      </c>
    </row>
    <row r="2391" spans="1:18" ht="20" x14ac:dyDescent="0.2">
      <c r="A2391" s="80" t="s">
        <v>6731</v>
      </c>
      <c r="B2391" s="80" t="s">
        <v>6732</v>
      </c>
      <c r="C2391" s="80" t="s">
        <v>9680</v>
      </c>
      <c r="D2391" s="80" t="s">
        <v>84</v>
      </c>
      <c r="E2391" s="80" t="s">
        <v>84</v>
      </c>
      <c r="F2391" s="80"/>
      <c r="G2391" s="80" t="s">
        <v>84</v>
      </c>
      <c r="H2391" s="80" t="s">
        <v>84</v>
      </c>
      <c r="I2391" s="80" t="s">
        <v>84</v>
      </c>
      <c r="J2391" s="80" t="s">
        <v>84</v>
      </c>
      <c r="K2391" s="80" t="s">
        <v>84</v>
      </c>
      <c r="L2391" s="80" t="s">
        <v>84</v>
      </c>
      <c r="M2391" s="80" t="s">
        <v>84</v>
      </c>
      <c r="N2391" s="80" t="s">
        <v>84</v>
      </c>
      <c r="O2391" s="80" t="s">
        <v>84</v>
      </c>
      <c r="P2391" s="80"/>
      <c r="Q2391" s="80" t="s">
        <v>84</v>
      </c>
      <c r="R2391" s="80" t="s">
        <v>84</v>
      </c>
    </row>
    <row r="2392" spans="1:18" ht="20" x14ac:dyDescent="0.2">
      <c r="A2392" s="80" t="s">
        <v>6723</v>
      </c>
      <c r="B2392" s="80" t="s">
        <v>10597</v>
      </c>
      <c r="C2392" s="80" t="s">
        <v>84</v>
      </c>
      <c r="D2392" s="80" t="s">
        <v>84</v>
      </c>
      <c r="E2392" s="80" t="s">
        <v>84</v>
      </c>
      <c r="F2392" s="80"/>
      <c r="G2392" s="80" t="s">
        <v>84</v>
      </c>
      <c r="H2392" s="80" t="s">
        <v>84</v>
      </c>
      <c r="I2392" s="80" t="s">
        <v>84</v>
      </c>
      <c r="J2392" s="80" t="s">
        <v>84</v>
      </c>
      <c r="K2392" s="80" t="s">
        <v>84</v>
      </c>
      <c r="L2392" s="80" t="s">
        <v>84</v>
      </c>
      <c r="M2392" s="80" t="s">
        <v>84</v>
      </c>
      <c r="N2392" s="80" t="s">
        <v>84</v>
      </c>
      <c r="O2392" s="80" t="s">
        <v>84</v>
      </c>
      <c r="P2392" s="80"/>
      <c r="Q2392" s="80" t="s">
        <v>84</v>
      </c>
      <c r="R2392" s="80" t="s">
        <v>84</v>
      </c>
    </row>
    <row r="2393" spans="1:18" ht="20" x14ac:dyDescent="0.2">
      <c r="A2393" s="80" t="s">
        <v>6723</v>
      </c>
      <c r="B2393" s="80" t="s">
        <v>6724</v>
      </c>
      <c r="C2393" s="80" t="s">
        <v>84</v>
      </c>
      <c r="D2393" s="80" t="s">
        <v>84</v>
      </c>
      <c r="E2393" s="80" t="s">
        <v>84</v>
      </c>
      <c r="F2393" s="80"/>
      <c r="G2393" s="80" t="s">
        <v>84</v>
      </c>
      <c r="H2393" s="80" t="s">
        <v>84</v>
      </c>
      <c r="I2393" s="80" t="s">
        <v>84</v>
      </c>
      <c r="J2393" s="80" t="s">
        <v>84</v>
      </c>
      <c r="K2393" s="80" t="s">
        <v>84</v>
      </c>
      <c r="L2393" s="80" t="s">
        <v>84</v>
      </c>
      <c r="M2393" s="80" t="s">
        <v>84</v>
      </c>
      <c r="N2393" s="80" t="s">
        <v>84</v>
      </c>
      <c r="O2393" s="80" t="s">
        <v>84</v>
      </c>
      <c r="P2393" s="80"/>
      <c r="Q2393" s="80" t="s">
        <v>84</v>
      </c>
      <c r="R2393" s="80" t="s">
        <v>84</v>
      </c>
    </row>
    <row r="2394" spans="1:18" ht="20" x14ac:dyDescent="0.2">
      <c r="A2394" s="80" t="s">
        <v>6612</v>
      </c>
      <c r="B2394" s="80" t="s">
        <v>6613</v>
      </c>
      <c r="C2394" s="80" t="s">
        <v>84</v>
      </c>
      <c r="D2394" s="80" t="s">
        <v>84</v>
      </c>
      <c r="E2394" s="80" t="s">
        <v>84</v>
      </c>
      <c r="F2394" s="80"/>
      <c r="G2394" s="80" t="s">
        <v>84</v>
      </c>
      <c r="H2394" s="80" t="s">
        <v>84</v>
      </c>
      <c r="I2394" s="80" t="s">
        <v>84</v>
      </c>
      <c r="J2394" s="80" t="s">
        <v>84</v>
      </c>
      <c r="K2394" s="80" t="s">
        <v>84</v>
      </c>
      <c r="L2394" s="80" t="s">
        <v>84</v>
      </c>
      <c r="M2394" s="80" t="s">
        <v>84</v>
      </c>
      <c r="N2394" s="80" t="s">
        <v>84</v>
      </c>
      <c r="O2394" s="80" t="s">
        <v>84</v>
      </c>
      <c r="P2394" s="80"/>
      <c r="Q2394" s="80" t="s">
        <v>84</v>
      </c>
      <c r="R2394" s="80" t="s">
        <v>84</v>
      </c>
    </row>
    <row r="2395" spans="1:18" ht="20" x14ac:dyDescent="0.2">
      <c r="A2395" s="80" t="s">
        <v>6612</v>
      </c>
      <c r="B2395" s="80" t="s">
        <v>10598</v>
      </c>
      <c r="C2395" s="80" t="s">
        <v>84</v>
      </c>
      <c r="D2395" s="80" t="s">
        <v>84</v>
      </c>
      <c r="E2395" s="80" t="s">
        <v>84</v>
      </c>
      <c r="F2395" s="80"/>
      <c r="G2395" s="80" t="s">
        <v>84</v>
      </c>
      <c r="H2395" s="80" t="s">
        <v>84</v>
      </c>
      <c r="I2395" s="80" t="s">
        <v>84</v>
      </c>
      <c r="J2395" s="80" t="s">
        <v>84</v>
      </c>
      <c r="K2395" s="80" t="s">
        <v>84</v>
      </c>
      <c r="L2395" s="80" t="s">
        <v>84</v>
      </c>
      <c r="M2395" s="80" t="s">
        <v>84</v>
      </c>
      <c r="N2395" s="80" t="s">
        <v>84</v>
      </c>
      <c r="O2395" s="80" t="s">
        <v>84</v>
      </c>
      <c r="P2395" s="80"/>
      <c r="Q2395" s="80" t="s">
        <v>84</v>
      </c>
      <c r="R2395" s="80" t="s">
        <v>84</v>
      </c>
    </row>
    <row r="2396" spans="1:18" ht="20" x14ac:dyDescent="0.2">
      <c r="A2396" s="80" t="s">
        <v>6614</v>
      </c>
      <c r="B2396" s="80" t="s">
        <v>6615</v>
      </c>
      <c r="C2396" s="80" t="s">
        <v>84</v>
      </c>
      <c r="D2396" s="80" t="s">
        <v>84</v>
      </c>
      <c r="E2396" s="80" t="s">
        <v>84</v>
      </c>
      <c r="F2396" s="80"/>
      <c r="G2396" s="80" t="s">
        <v>84</v>
      </c>
      <c r="H2396" s="80" t="s">
        <v>84</v>
      </c>
      <c r="I2396" s="80" t="s">
        <v>84</v>
      </c>
      <c r="J2396" s="80" t="s">
        <v>84</v>
      </c>
      <c r="K2396" s="80" t="s">
        <v>84</v>
      </c>
      <c r="L2396" s="80" t="s">
        <v>84</v>
      </c>
      <c r="M2396" s="80" t="s">
        <v>84</v>
      </c>
      <c r="N2396" s="80" t="s">
        <v>84</v>
      </c>
      <c r="O2396" s="80" t="s">
        <v>84</v>
      </c>
      <c r="P2396" s="80"/>
      <c r="Q2396" s="80" t="s">
        <v>84</v>
      </c>
      <c r="R2396" s="80" t="s">
        <v>84</v>
      </c>
    </row>
    <row r="2397" spans="1:18" ht="20" x14ac:dyDescent="0.2">
      <c r="A2397" s="80" t="s">
        <v>6614</v>
      </c>
      <c r="B2397" s="80" t="s">
        <v>10599</v>
      </c>
      <c r="C2397" s="80" t="s">
        <v>84</v>
      </c>
      <c r="D2397" s="80" t="s">
        <v>84</v>
      </c>
      <c r="E2397" s="80" t="s">
        <v>84</v>
      </c>
      <c r="F2397" s="80"/>
      <c r="G2397" s="80" t="s">
        <v>84</v>
      </c>
      <c r="H2397" s="80" t="s">
        <v>84</v>
      </c>
      <c r="I2397" s="80" t="s">
        <v>84</v>
      </c>
      <c r="J2397" s="80" t="s">
        <v>84</v>
      </c>
      <c r="K2397" s="80" t="s">
        <v>84</v>
      </c>
      <c r="L2397" s="80" t="s">
        <v>84</v>
      </c>
      <c r="M2397" s="80" t="s">
        <v>84</v>
      </c>
      <c r="N2397" s="80" t="s">
        <v>84</v>
      </c>
      <c r="O2397" s="80" t="s">
        <v>84</v>
      </c>
      <c r="P2397" s="80"/>
      <c r="Q2397" s="80" t="s">
        <v>84</v>
      </c>
      <c r="R2397" s="80" t="s">
        <v>84</v>
      </c>
    </row>
    <row r="2398" spans="1:18" ht="20" x14ac:dyDescent="0.2">
      <c r="A2398" s="80" t="s">
        <v>6616</v>
      </c>
      <c r="B2398" s="80" t="s">
        <v>6617</v>
      </c>
      <c r="C2398" s="80" t="s">
        <v>84</v>
      </c>
      <c r="D2398" s="80" t="s">
        <v>84</v>
      </c>
      <c r="E2398" s="80" t="s">
        <v>84</v>
      </c>
      <c r="F2398" s="80"/>
      <c r="G2398" s="80" t="s">
        <v>84</v>
      </c>
      <c r="H2398" s="80" t="s">
        <v>84</v>
      </c>
      <c r="I2398" s="80" t="s">
        <v>84</v>
      </c>
      <c r="J2398" s="80" t="s">
        <v>84</v>
      </c>
      <c r="K2398" s="80" t="s">
        <v>84</v>
      </c>
      <c r="L2398" s="80" t="s">
        <v>84</v>
      </c>
      <c r="M2398" s="80" t="s">
        <v>84</v>
      </c>
      <c r="N2398" s="80" t="s">
        <v>84</v>
      </c>
      <c r="O2398" s="80" t="s">
        <v>84</v>
      </c>
      <c r="P2398" s="80"/>
      <c r="Q2398" s="80" t="s">
        <v>84</v>
      </c>
      <c r="R2398" s="80" t="s">
        <v>84</v>
      </c>
    </row>
    <row r="2399" spans="1:18" ht="20" x14ac:dyDescent="0.2">
      <c r="A2399" s="80" t="s">
        <v>6616</v>
      </c>
      <c r="B2399" s="80" t="s">
        <v>10600</v>
      </c>
      <c r="C2399" s="80" t="s">
        <v>84</v>
      </c>
      <c r="D2399" s="80" t="s">
        <v>84</v>
      </c>
      <c r="E2399" s="80" t="s">
        <v>84</v>
      </c>
      <c r="F2399" s="80"/>
      <c r="G2399" s="80" t="s">
        <v>84</v>
      </c>
      <c r="H2399" s="80" t="s">
        <v>84</v>
      </c>
      <c r="I2399" s="80" t="s">
        <v>84</v>
      </c>
      <c r="J2399" s="80" t="s">
        <v>84</v>
      </c>
      <c r="K2399" s="80" t="s">
        <v>84</v>
      </c>
      <c r="L2399" s="80" t="s">
        <v>84</v>
      </c>
      <c r="M2399" s="80" t="s">
        <v>84</v>
      </c>
      <c r="N2399" s="80" t="s">
        <v>84</v>
      </c>
      <c r="O2399" s="80" t="s">
        <v>84</v>
      </c>
      <c r="P2399" s="80"/>
      <c r="Q2399" s="80" t="s">
        <v>84</v>
      </c>
      <c r="R2399" s="80" t="s">
        <v>84</v>
      </c>
    </row>
    <row r="2400" spans="1:18" ht="20" x14ac:dyDescent="0.2">
      <c r="A2400" s="80" t="s">
        <v>6605</v>
      </c>
      <c r="B2400" s="80" t="s">
        <v>10601</v>
      </c>
      <c r="C2400" s="80" t="s">
        <v>84</v>
      </c>
      <c r="D2400" s="80" t="s">
        <v>84</v>
      </c>
      <c r="E2400" s="80" t="s">
        <v>84</v>
      </c>
      <c r="F2400" s="80"/>
      <c r="G2400" s="80" t="s">
        <v>84</v>
      </c>
      <c r="H2400" s="80" t="s">
        <v>84</v>
      </c>
      <c r="I2400" s="80" t="s">
        <v>84</v>
      </c>
      <c r="J2400" s="80" t="s">
        <v>84</v>
      </c>
      <c r="K2400" s="80" t="s">
        <v>84</v>
      </c>
      <c r="L2400" s="80" t="s">
        <v>84</v>
      </c>
      <c r="M2400" s="80" t="s">
        <v>84</v>
      </c>
      <c r="N2400" s="80" t="s">
        <v>84</v>
      </c>
      <c r="O2400" s="80" t="s">
        <v>84</v>
      </c>
      <c r="P2400" s="80"/>
      <c r="Q2400" s="80" t="s">
        <v>84</v>
      </c>
      <c r="R2400" s="80" t="s">
        <v>84</v>
      </c>
    </row>
    <row r="2401" spans="1:18" ht="20" x14ac:dyDescent="0.2">
      <c r="A2401" s="80" t="s">
        <v>6605</v>
      </c>
      <c r="B2401" s="80" t="s">
        <v>6606</v>
      </c>
      <c r="C2401" s="80" t="s">
        <v>84</v>
      </c>
      <c r="D2401" s="80" t="s">
        <v>84</v>
      </c>
      <c r="E2401" s="80" t="s">
        <v>84</v>
      </c>
      <c r="F2401" s="80"/>
      <c r="G2401" s="80" t="s">
        <v>84</v>
      </c>
      <c r="H2401" s="80" t="s">
        <v>84</v>
      </c>
      <c r="I2401" s="80" t="s">
        <v>84</v>
      </c>
      <c r="J2401" s="80" t="s">
        <v>84</v>
      </c>
      <c r="K2401" s="80" t="s">
        <v>84</v>
      </c>
      <c r="L2401" s="80" t="s">
        <v>84</v>
      </c>
      <c r="M2401" s="80" t="s">
        <v>84</v>
      </c>
      <c r="N2401" s="80" t="s">
        <v>84</v>
      </c>
      <c r="O2401" s="80" t="s">
        <v>84</v>
      </c>
      <c r="P2401" s="80"/>
      <c r="Q2401" s="80" t="s">
        <v>84</v>
      </c>
      <c r="R2401" s="80" t="s">
        <v>84</v>
      </c>
    </row>
    <row r="2402" spans="1:18" ht="20" x14ac:dyDescent="0.2">
      <c r="A2402" s="80" t="s">
        <v>10602</v>
      </c>
      <c r="B2402" s="80" t="s">
        <v>10603</v>
      </c>
      <c r="C2402" s="80" t="s">
        <v>84</v>
      </c>
      <c r="D2402" s="80" t="s">
        <v>84</v>
      </c>
      <c r="E2402" s="80" t="s">
        <v>84</v>
      </c>
      <c r="F2402" s="80"/>
      <c r="G2402" s="80" t="s">
        <v>84</v>
      </c>
      <c r="H2402" s="80" t="s">
        <v>84</v>
      </c>
      <c r="I2402" s="80" t="s">
        <v>84</v>
      </c>
      <c r="J2402" s="80" t="s">
        <v>84</v>
      </c>
      <c r="K2402" s="80" t="s">
        <v>84</v>
      </c>
      <c r="L2402" s="80" t="s">
        <v>84</v>
      </c>
      <c r="M2402" s="80" t="s">
        <v>84</v>
      </c>
      <c r="N2402" s="80" t="s">
        <v>84</v>
      </c>
      <c r="O2402" s="80" t="s">
        <v>84</v>
      </c>
      <c r="P2402" s="80"/>
      <c r="Q2402" s="80" t="s">
        <v>84</v>
      </c>
      <c r="R2402" s="80" t="s">
        <v>84</v>
      </c>
    </row>
    <row r="2403" spans="1:18" ht="20" x14ac:dyDescent="0.2">
      <c r="A2403" s="80" t="s">
        <v>6533</v>
      </c>
      <c r="B2403" s="80" t="s">
        <v>6534</v>
      </c>
      <c r="C2403" s="80" t="s">
        <v>84</v>
      </c>
      <c r="D2403" s="80" t="s">
        <v>84</v>
      </c>
      <c r="E2403" s="80" t="s">
        <v>84</v>
      </c>
      <c r="F2403" s="80"/>
      <c r="G2403" s="80" t="s">
        <v>84</v>
      </c>
      <c r="H2403" s="80" t="s">
        <v>84</v>
      </c>
      <c r="I2403" s="80" t="s">
        <v>84</v>
      </c>
      <c r="J2403" s="80" t="s">
        <v>84</v>
      </c>
      <c r="K2403" s="80" t="s">
        <v>84</v>
      </c>
      <c r="L2403" s="80" t="s">
        <v>84</v>
      </c>
      <c r="M2403" s="80" t="s">
        <v>84</v>
      </c>
      <c r="N2403" s="80" t="s">
        <v>84</v>
      </c>
      <c r="O2403" s="80" t="s">
        <v>84</v>
      </c>
      <c r="P2403" s="80"/>
      <c r="Q2403" s="80" t="s">
        <v>84</v>
      </c>
      <c r="R2403" s="80" t="s">
        <v>84</v>
      </c>
    </row>
    <row r="2404" spans="1:18" ht="20" x14ac:dyDescent="0.2">
      <c r="A2404" s="80" t="s">
        <v>6533</v>
      </c>
      <c r="B2404" s="80" t="s">
        <v>10604</v>
      </c>
      <c r="C2404" s="80" t="s">
        <v>84</v>
      </c>
      <c r="D2404" s="80" t="s">
        <v>84</v>
      </c>
      <c r="E2404" s="80" t="s">
        <v>84</v>
      </c>
      <c r="F2404" s="80"/>
      <c r="G2404" s="80" t="s">
        <v>84</v>
      </c>
      <c r="H2404" s="80" t="s">
        <v>84</v>
      </c>
      <c r="I2404" s="80" t="s">
        <v>84</v>
      </c>
      <c r="J2404" s="80" t="s">
        <v>84</v>
      </c>
      <c r="K2404" s="80" t="s">
        <v>84</v>
      </c>
      <c r="L2404" s="80" t="s">
        <v>84</v>
      </c>
      <c r="M2404" s="80" t="s">
        <v>84</v>
      </c>
      <c r="N2404" s="80" t="s">
        <v>84</v>
      </c>
      <c r="O2404" s="80" t="s">
        <v>84</v>
      </c>
      <c r="P2404" s="80"/>
      <c r="Q2404" s="80" t="s">
        <v>84</v>
      </c>
      <c r="R2404" s="80" t="s">
        <v>84</v>
      </c>
    </row>
    <row r="2405" spans="1:18" ht="20" x14ac:dyDescent="0.2">
      <c r="A2405" s="80" t="s">
        <v>6535</v>
      </c>
      <c r="B2405" s="80" t="s">
        <v>6536</v>
      </c>
      <c r="C2405" s="80" t="s">
        <v>84</v>
      </c>
      <c r="D2405" s="80" t="s">
        <v>84</v>
      </c>
      <c r="E2405" s="80" t="s">
        <v>84</v>
      </c>
      <c r="F2405" s="80"/>
      <c r="G2405" s="80" t="s">
        <v>84</v>
      </c>
      <c r="H2405" s="80" t="s">
        <v>84</v>
      </c>
      <c r="I2405" s="80" t="s">
        <v>84</v>
      </c>
      <c r="J2405" s="80" t="s">
        <v>84</v>
      </c>
      <c r="K2405" s="80" t="s">
        <v>84</v>
      </c>
      <c r="L2405" s="80" t="s">
        <v>84</v>
      </c>
      <c r="M2405" s="80" t="s">
        <v>84</v>
      </c>
      <c r="N2405" s="80" t="s">
        <v>84</v>
      </c>
      <c r="O2405" s="80" t="s">
        <v>84</v>
      </c>
      <c r="P2405" s="80"/>
      <c r="Q2405" s="80" t="s">
        <v>84</v>
      </c>
      <c r="R2405" s="80" t="s">
        <v>84</v>
      </c>
    </row>
    <row r="2406" spans="1:18" ht="20" x14ac:dyDescent="0.2">
      <c r="A2406" s="80" t="s">
        <v>6535</v>
      </c>
      <c r="B2406" s="80" t="s">
        <v>10605</v>
      </c>
      <c r="C2406" s="80" t="s">
        <v>84</v>
      </c>
      <c r="D2406" s="80" t="s">
        <v>84</v>
      </c>
      <c r="E2406" s="80" t="s">
        <v>84</v>
      </c>
      <c r="F2406" s="80"/>
      <c r="G2406" s="80" t="s">
        <v>84</v>
      </c>
      <c r="H2406" s="80" t="s">
        <v>84</v>
      </c>
      <c r="I2406" s="80" t="s">
        <v>84</v>
      </c>
      <c r="J2406" s="80" t="s">
        <v>84</v>
      </c>
      <c r="K2406" s="80" t="s">
        <v>84</v>
      </c>
      <c r="L2406" s="80" t="s">
        <v>84</v>
      </c>
      <c r="M2406" s="80" t="s">
        <v>84</v>
      </c>
      <c r="N2406" s="80" t="s">
        <v>84</v>
      </c>
      <c r="O2406" s="80" t="s">
        <v>84</v>
      </c>
      <c r="P2406" s="80"/>
      <c r="Q2406" s="80" t="s">
        <v>84</v>
      </c>
      <c r="R2406" s="80" t="s">
        <v>84</v>
      </c>
    </row>
    <row r="2407" spans="1:18" ht="20" x14ac:dyDescent="0.2">
      <c r="A2407" s="80" t="s">
        <v>10606</v>
      </c>
      <c r="B2407" s="80" t="s">
        <v>10607</v>
      </c>
      <c r="C2407" s="80" t="s">
        <v>84</v>
      </c>
      <c r="D2407" s="80" t="s">
        <v>84</v>
      </c>
      <c r="E2407" s="80" t="s">
        <v>84</v>
      </c>
      <c r="F2407" s="80"/>
      <c r="G2407" s="80" t="s">
        <v>84</v>
      </c>
      <c r="H2407" s="80" t="s">
        <v>84</v>
      </c>
      <c r="I2407" s="80" t="s">
        <v>84</v>
      </c>
      <c r="J2407" s="80" t="s">
        <v>84</v>
      </c>
      <c r="K2407" s="80" t="s">
        <v>84</v>
      </c>
      <c r="L2407" s="80" t="s">
        <v>84</v>
      </c>
      <c r="M2407" s="80" t="s">
        <v>84</v>
      </c>
      <c r="N2407" s="80" t="s">
        <v>84</v>
      </c>
      <c r="O2407" s="80" t="s">
        <v>84</v>
      </c>
      <c r="P2407" s="80"/>
      <c r="Q2407" s="80" t="s">
        <v>84</v>
      </c>
      <c r="R2407" s="80" t="s">
        <v>84</v>
      </c>
    </row>
    <row r="2408" spans="1:18" ht="20" x14ac:dyDescent="0.2">
      <c r="A2408" s="80" t="s">
        <v>10608</v>
      </c>
      <c r="B2408" s="80" t="s">
        <v>10609</v>
      </c>
      <c r="C2408" s="80" t="s">
        <v>84</v>
      </c>
      <c r="D2408" s="80" t="s">
        <v>84</v>
      </c>
      <c r="E2408" s="80" t="s">
        <v>84</v>
      </c>
      <c r="F2408" s="80"/>
      <c r="G2408" s="80" t="s">
        <v>84</v>
      </c>
      <c r="H2408" s="80" t="s">
        <v>84</v>
      </c>
      <c r="I2408" s="80" t="s">
        <v>84</v>
      </c>
      <c r="J2408" s="80" t="s">
        <v>84</v>
      </c>
      <c r="K2408" s="80" t="s">
        <v>84</v>
      </c>
      <c r="L2408" s="80" t="s">
        <v>84</v>
      </c>
      <c r="M2408" s="80" t="s">
        <v>84</v>
      </c>
      <c r="N2408" s="80" t="s">
        <v>84</v>
      </c>
      <c r="O2408" s="80" t="s">
        <v>84</v>
      </c>
      <c r="P2408" s="80"/>
      <c r="Q2408" s="80" t="s">
        <v>84</v>
      </c>
      <c r="R2408" s="80" t="s">
        <v>84</v>
      </c>
    </row>
    <row r="2409" spans="1:18" ht="20" x14ac:dyDescent="0.2">
      <c r="A2409" s="80" t="s">
        <v>6537</v>
      </c>
      <c r="B2409" s="80" t="s">
        <v>6538</v>
      </c>
      <c r="C2409" s="80" t="s">
        <v>9680</v>
      </c>
      <c r="D2409" s="80" t="s">
        <v>84</v>
      </c>
      <c r="E2409" s="80" t="s">
        <v>84</v>
      </c>
      <c r="F2409" s="80"/>
      <c r="G2409" s="80" t="s">
        <v>84</v>
      </c>
      <c r="H2409" s="80" t="s">
        <v>84</v>
      </c>
      <c r="I2409" s="80" t="s">
        <v>84</v>
      </c>
      <c r="J2409" s="80" t="s">
        <v>84</v>
      </c>
      <c r="K2409" s="80" t="s">
        <v>84</v>
      </c>
      <c r="L2409" s="80" t="s">
        <v>84</v>
      </c>
      <c r="M2409" s="80" t="s">
        <v>84</v>
      </c>
      <c r="N2409" s="80" t="s">
        <v>84</v>
      </c>
      <c r="O2409" s="80" t="s">
        <v>84</v>
      </c>
      <c r="P2409" s="80"/>
      <c r="Q2409" s="80" t="s">
        <v>84</v>
      </c>
      <c r="R2409" s="80" t="s">
        <v>84</v>
      </c>
    </row>
    <row r="2410" spans="1:18" ht="20" x14ac:dyDescent="0.2">
      <c r="A2410" s="80" t="s">
        <v>6537</v>
      </c>
      <c r="B2410" s="80" t="s">
        <v>10610</v>
      </c>
      <c r="C2410" s="80" t="s">
        <v>9680</v>
      </c>
      <c r="D2410" s="80" t="s">
        <v>84</v>
      </c>
      <c r="E2410" s="80" t="s">
        <v>84</v>
      </c>
      <c r="F2410" s="80"/>
      <c r="G2410" s="80" t="s">
        <v>84</v>
      </c>
      <c r="H2410" s="80" t="s">
        <v>84</v>
      </c>
      <c r="I2410" s="80" t="s">
        <v>84</v>
      </c>
      <c r="J2410" s="80" t="s">
        <v>84</v>
      </c>
      <c r="K2410" s="80" t="s">
        <v>84</v>
      </c>
      <c r="L2410" s="80" t="s">
        <v>84</v>
      </c>
      <c r="M2410" s="80" t="s">
        <v>84</v>
      </c>
      <c r="N2410" s="80" t="s">
        <v>84</v>
      </c>
      <c r="O2410" s="80" t="s">
        <v>84</v>
      </c>
      <c r="P2410" s="80"/>
      <c r="Q2410" s="80" t="s">
        <v>84</v>
      </c>
      <c r="R2410" s="80" t="s">
        <v>84</v>
      </c>
    </row>
    <row r="2411" spans="1:18" ht="20" x14ac:dyDescent="0.2">
      <c r="A2411" s="80" t="s">
        <v>6539</v>
      </c>
      <c r="B2411" s="80" t="s">
        <v>6540</v>
      </c>
      <c r="C2411" s="80" t="s">
        <v>84</v>
      </c>
      <c r="D2411" s="80" t="s">
        <v>84</v>
      </c>
      <c r="E2411" s="80" t="s">
        <v>84</v>
      </c>
      <c r="F2411" s="80"/>
      <c r="G2411" s="80" t="s">
        <v>84</v>
      </c>
      <c r="H2411" s="80" t="s">
        <v>84</v>
      </c>
      <c r="I2411" s="80" t="s">
        <v>84</v>
      </c>
      <c r="J2411" s="80" t="s">
        <v>84</v>
      </c>
      <c r="K2411" s="80" t="s">
        <v>84</v>
      </c>
      <c r="L2411" s="80" t="s">
        <v>84</v>
      </c>
      <c r="M2411" s="80" t="s">
        <v>84</v>
      </c>
      <c r="N2411" s="80" t="s">
        <v>84</v>
      </c>
      <c r="O2411" s="80" t="s">
        <v>84</v>
      </c>
      <c r="P2411" s="80"/>
      <c r="Q2411" s="80" t="s">
        <v>84</v>
      </c>
      <c r="R2411" s="80" t="s">
        <v>84</v>
      </c>
    </row>
    <row r="2412" spans="1:18" ht="20" x14ac:dyDescent="0.2">
      <c r="A2412" s="80" t="s">
        <v>6539</v>
      </c>
      <c r="B2412" s="80" t="s">
        <v>10611</v>
      </c>
      <c r="C2412" s="80" t="s">
        <v>84</v>
      </c>
      <c r="D2412" s="80" t="s">
        <v>84</v>
      </c>
      <c r="E2412" s="80" t="s">
        <v>84</v>
      </c>
      <c r="F2412" s="80"/>
      <c r="G2412" s="80" t="s">
        <v>84</v>
      </c>
      <c r="H2412" s="80" t="s">
        <v>84</v>
      </c>
      <c r="I2412" s="80" t="s">
        <v>84</v>
      </c>
      <c r="J2412" s="80" t="s">
        <v>84</v>
      </c>
      <c r="K2412" s="80" t="s">
        <v>84</v>
      </c>
      <c r="L2412" s="80" t="s">
        <v>84</v>
      </c>
      <c r="M2412" s="80" t="s">
        <v>84</v>
      </c>
      <c r="N2412" s="80" t="s">
        <v>84</v>
      </c>
      <c r="O2412" s="80" t="s">
        <v>84</v>
      </c>
      <c r="P2412" s="80"/>
      <c r="Q2412" s="80" t="s">
        <v>84</v>
      </c>
      <c r="R2412" s="80" t="s">
        <v>84</v>
      </c>
    </row>
    <row r="2413" spans="1:18" ht="20" x14ac:dyDescent="0.2">
      <c r="A2413" s="80" t="s">
        <v>10612</v>
      </c>
      <c r="B2413" s="80" t="s">
        <v>6408</v>
      </c>
      <c r="C2413" s="80" t="s">
        <v>84</v>
      </c>
      <c r="D2413" s="80" t="s">
        <v>84</v>
      </c>
      <c r="E2413" s="80" t="s">
        <v>84</v>
      </c>
      <c r="F2413" s="80"/>
      <c r="G2413" s="80" t="s">
        <v>84</v>
      </c>
      <c r="H2413" s="80" t="s">
        <v>84</v>
      </c>
      <c r="I2413" s="80" t="s">
        <v>84</v>
      </c>
      <c r="J2413" s="80" t="s">
        <v>84</v>
      </c>
      <c r="K2413" s="80" t="s">
        <v>84</v>
      </c>
      <c r="L2413" s="80" t="s">
        <v>84</v>
      </c>
      <c r="M2413" s="80" t="s">
        <v>84</v>
      </c>
      <c r="N2413" s="80" t="s">
        <v>84</v>
      </c>
      <c r="O2413" s="80" t="s">
        <v>84</v>
      </c>
      <c r="P2413" s="80"/>
      <c r="Q2413" s="80" t="s">
        <v>84</v>
      </c>
      <c r="R2413" s="80" t="s">
        <v>84</v>
      </c>
    </row>
    <row r="2414" spans="1:18" ht="20" x14ac:dyDescent="0.2">
      <c r="A2414" s="80" t="s">
        <v>10612</v>
      </c>
      <c r="B2414" s="80" t="s">
        <v>10613</v>
      </c>
      <c r="C2414" s="80" t="s">
        <v>84</v>
      </c>
      <c r="D2414" s="80" t="s">
        <v>84</v>
      </c>
      <c r="E2414" s="80" t="s">
        <v>84</v>
      </c>
      <c r="F2414" s="80"/>
      <c r="G2414" s="80" t="s">
        <v>84</v>
      </c>
      <c r="H2414" s="80" t="s">
        <v>84</v>
      </c>
      <c r="I2414" s="80" t="s">
        <v>84</v>
      </c>
      <c r="J2414" s="80" t="s">
        <v>84</v>
      </c>
      <c r="K2414" s="80" t="s">
        <v>84</v>
      </c>
      <c r="L2414" s="80" t="s">
        <v>84</v>
      </c>
      <c r="M2414" s="80" t="s">
        <v>84</v>
      </c>
      <c r="N2414" s="80" t="s">
        <v>84</v>
      </c>
      <c r="O2414" s="80" t="s">
        <v>84</v>
      </c>
      <c r="P2414" s="80"/>
      <c r="Q2414" s="80" t="s">
        <v>84</v>
      </c>
      <c r="R2414" s="80" t="s">
        <v>84</v>
      </c>
    </row>
    <row r="2415" spans="1:18" ht="20" x14ac:dyDescent="0.2">
      <c r="A2415" s="80" t="s">
        <v>6407</v>
      </c>
      <c r="B2415" s="80" t="s">
        <v>6408</v>
      </c>
      <c r="C2415" s="80" t="s">
        <v>84</v>
      </c>
      <c r="D2415" s="80" t="s">
        <v>84</v>
      </c>
      <c r="E2415" s="80" t="s">
        <v>84</v>
      </c>
      <c r="F2415" s="80"/>
      <c r="G2415" s="80" t="s">
        <v>84</v>
      </c>
      <c r="H2415" s="80" t="s">
        <v>84</v>
      </c>
      <c r="I2415" s="80" t="s">
        <v>84</v>
      </c>
      <c r="J2415" s="80" t="s">
        <v>84</v>
      </c>
      <c r="K2415" s="80" t="s">
        <v>84</v>
      </c>
      <c r="L2415" s="80" t="s">
        <v>84</v>
      </c>
      <c r="M2415" s="80" t="s">
        <v>84</v>
      </c>
      <c r="N2415" s="80" t="s">
        <v>84</v>
      </c>
      <c r="O2415" s="80" t="s">
        <v>84</v>
      </c>
      <c r="P2415" s="80"/>
      <c r="Q2415" s="80" t="s">
        <v>84</v>
      </c>
      <c r="R2415" s="80" t="s">
        <v>84</v>
      </c>
    </row>
    <row r="2416" spans="1:18" ht="20" x14ac:dyDescent="0.2">
      <c r="A2416" s="80" t="s">
        <v>10614</v>
      </c>
      <c r="B2416" s="80" t="s">
        <v>10615</v>
      </c>
      <c r="C2416" s="80" t="s">
        <v>9680</v>
      </c>
      <c r="D2416" s="80" t="s">
        <v>84</v>
      </c>
      <c r="E2416" s="80" t="s">
        <v>84</v>
      </c>
      <c r="F2416" s="80"/>
      <c r="G2416" s="80" t="s">
        <v>84</v>
      </c>
      <c r="H2416" s="80" t="s">
        <v>84</v>
      </c>
      <c r="I2416" s="80" t="s">
        <v>84</v>
      </c>
      <c r="J2416" s="80" t="s">
        <v>84</v>
      </c>
      <c r="K2416" s="80" t="s">
        <v>84</v>
      </c>
      <c r="L2416" s="80" t="s">
        <v>84</v>
      </c>
      <c r="M2416" s="80" t="s">
        <v>9680</v>
      </c>
      <c r="N2416" s="80" t="s">
        <v>84</v>
      </c>
      <c r="O2416" s="80" t="s">
        <v>84</v>
      </c>
      <c r="P2416" s="80"/>
      <c r="Q2416" s="80" t="s">
        <v>84</v>
      </c>
      <c r="R2416" s="80" t="s">
        <v>84</v>
      </c>
    </row>
    <row r="2417" spans="1:18" ht="20" x14ac:dyDescent="0.2">
      <c r="A2417" s="80" t="s">
        <v>10614</v>
      </c>
      <c r="B2417" s="80" t="s">
        <v>10616</v>
      </c>
      <c r="C2417" s="80" t="s">
        <v>9680</v>
      </c>
      <c r="D2417" s="80" t="s">
        <v>84</v>
      </c>
      <c r="E2417" s="80" t="s">
        <v>84</v>
      </c>
      <c r="F2417" s="80"/>
      <c r="G2417" s="80" t="s">
        <v>84</v>
      </c>
      <c r="H2417" s="80" t="s">
        <v>84</v>
      </c>
      <c r="I2417" s="80" t="s">
        <v>84</v>
      </c>
      <c r="J2417" s="80" t="s">
        <v>84</v>
      </c>
      <c r="K2417" s="80" t="s">
        <v>84</v>
      </c>
      <c r="L2417" s="80" t="s">
        <v>84</v>
      </c>
      <c r="M2417" s="80" t="s">
        <v>9680</v>
      </c>
      <c r="N2417" s="80" t="s">
        <v>84</v>
      </c>
      <c r="O2417" s="80" t="s">
        <v>84</v>
      </c>
      <c r="P2417" s="80"/>
      <c r="Q2417" s="80" t="s">
        <v>84</v>
      </c>
      <c r="R2417" s="80" t="s">
        <v>84</v>
      </c>
    </row>
    <row r="2418" spans="1:18" ht="20" x14ac:dyDescent="0.2">
      <c r="A2418" s="80" t="s">
        <v>6725</v>
      </c>
      <c r="B2418" s="80" t="s">
        <v>6726</v>
      </c>
      <c r="C2418" s="80" t="s">
        <v>84</v>
      </c>
      <c r="D2418" s="80" t="s">
        <v>84</v>
      </c>
      <c r="E2418" s="80" t="s">
        <v>84</v>
      </c>
      <c r="F2418" s="80"/>
      <c r="G2418" s="80" t="s">
        <v>84</v>
      </c>
      <c r="H2418" s="80" t="s">
        <v>84</v>
      </c>
      <c r="I2418" s="80" t="s">
        <v>84</v>
      </c>
      <c r="J2418" s="80" t="s">
        <v>84</v>
      </c>
      <c r="K2418" s="80" t="s">
        <v>84</v>
      </c>
      <c r="L2418" s="80" t="s">
        <v>84</v>
      </c>
      <c r="M2418" s="80" t="s">
        <v>84</v>
      </c>
      <c r="N2418" s="80" t="s">
        <v>84</v>
      </c>
      <c r="O2418" s="80" t="s">
        <v>84</v>
      </c>
      <c r="P2418" s="80"/>
      <c r="Q2418" s="80" t="s">
        <v>84</v>
      </c>
      <c r="R2418" s="80" t="s">
        <v>84</v>
      </c>
    </row>
    <row r="2419" spans="1:18" ht="20" x14ac:dyDescent="0.2">
      <c r="A2419" s="80" t="s">
        <v>6727</v>
      </c>
      <c r="B2419" s="80" t="s">
        <v>6728</v>
      </c>
      <c r="C2419" s="80" t="s">
        <v>9680</v>
      </c>
      <c r="D2419" s="80" t="s">
        <v>84</v>
      </c>
      <c r="E2419" s="80" t="s">
        <v>84</v>
      </c>
      <c r="F2419" s="80"/>
      <c r="G2419" s="80" t="s">
        <v>84</v>
      </c>
      <c r="H2419" s="80" t="s">
        <v>84</v>
      </c>
      <c r="I2419" s="80" t="s">
        <v>84</v>
      </c>
      <c r="J2419" s="80" t="s">
        <v>84</v>
      </c>
      <c r="K2419" s="80" t="s">
        <v>84</v>
      </c>
      <c r="L2419" s="80" t="s">
        <v>84</v>
      </c>
      <c r="M2419" s="80" t="s">
        <v>9680</v>
      </c>
      <c r="N2419" s="80" t="s">
        <v>84</v>
      </c>
      <c r="O2419" s="80" t="s">
        <v>84</v>
      </c>
      <c r="P2419" s="80"/>
      <c r="Q2419" s="80" t="s">
        <v>84</v>
      </c>
      <c r="R2419" s="80" t="s">
        <v>84</v>
      </c>
    </row>
    <row r="2420" spans="1:18" ht="20" x14ac:dyDescent="0.2">
      <c r="A2420" s="80" t="s">
        <v>6561</v>
      </c>
      <c r="B2420" s="80" t="s">
        <v>10617</v>
      </c>
      <c r="C2420" s="80" t="s">
        <v>84</v>
      </c>
      <c r="D2420" s="80" t="s">
        <v>84</v>
      </c>
      <c r="E2420" s="80" t="s">
        <v>84</v>
      </c>
      <c r="F2420" s="80"/>
      <c r="G2420" s="80" t="s">
        <v>84</v>
      </c>
      <c r="H2420" s="80" t="s">
        <v>84</v>
      </c>
      <c r="I2420" s="80" t="s">
        <v>84</v>
      </c>
      <c r="J2420" s="80" t="s">
        <v>84</v>
      </c>
      <c r="K2420" s="80" t="s">
        <v>84</v>
      </c>
      <c r="L2420" s="80" t="s">
        <v>84</v>
      </c>
      <c r="M2420" s="80" t="s">
        <v>84</v>
      </c>
      <c r="N2420" s="80" t="s">
        <v>84</v>
      </c>
      <c r="O2420" s="80" t="s">
        <v>84</v>
      </c>
      <c r="P2420" s="80"/>
      <c r="Q2420" s="80" t="s">
        <v>84</v>
      </c>
      <c r="R2420" s="80" t="s">
        <v>84</v>
      </c>
    </row>
    <row r="2421" spans="1:18" ht="20" x14ac:dyDescent="0.2">
      <c r="A2421" s="80" t="s">
        <v>6561</v>
      </c>
      <c r="B2421" s="80" t="s">
        <v>6562</v>
      </c>
      <c r="C2421" s="80" t="s">
        <v>84</v>
      </c>
      <c r="D2421" s="80" t="s">
        <v>84</v>
      </c>
      <c r="E2421" s="80" t="s">
        <v>84</v>
      </c>
      <c r="F2421" s="80"/>
      <c r="G2421" s="80" t="s">
        <v>84</v>
      </c>
      <c r="H2421" s="80" t="s">
        <v>84</v>
      </c>
      <c r="I2421" s="80" t="s">
        <v>84</v>
      </c>
      <c r="J2421" s="80" t="s">
        <v>84</v>
      </c>
      <c r="K2421" s="80" t="s">
        <v>84</v>
      </c>
      <c r="L2421" s="80" t="s">
        <v>84</v>
      </c>
      <c r="M2421" s="80" t="s">
        <v>84</v>
      </c>
      <c r="N2421" s="80" t="s">
        <v>84</v>
      </c>
      <c r="O2421" s="80" t="s">
        <v>84</v>
      </c>
      <c r="P2421" s="80"/>
      <c r="Q2421" s="80" t="s">
        <v>84</v>
      </c>
      <c r="R2421" s="80" t="s">
        <v>84</v>
      </c>
    </row>
    <row r="2422" spans="1:18" ht="20" x14ac:dyDescent="0.2">
      <c r="A2422" s="80" t="s">
        <v>6563</v>
      </c>
      <c r="B2422" s="80" t="s">
        <v>10618</v>
      </c>
      <c r="C2422" s="80" t="s">
        <v>84</v>
      </c>
      <c r="D2422" s="80" t="s">
        <v>84</v>
      </c>
      <c r="E2422" s="80" t="s">
        <v>84</v>
      </c>
      <c r="F2422" s="80"/>
      <c r="G2422" s="80" t="s">
        <v>84</v>
      </c>
      <c r="H2422" s="80" t="s">
        <v>84</v>
      </c>
      <c r="I2422" s="80" t="s">
        <v>84</v>
      </c>
      <c r="J2422" s="80" t="s">
        <v>84</v>
      </c>
      <c r="K2422" s="80" t="s">
        <v>84</v>
      </c>
      <c r="L2422" s="80" t="s">
        <v>84</v>
      </c>
      <c r="M2422" s="80" t="s">
        <v>84</v>
      </c>
      <c r="N2422" s="80" t="s">
        <v>84</v>
      </c>
      <c r="O2422" s="80" t="s">
        <v>84</v>
      </c>
      <c r="P2422" s="80"/>
      <c r="Q2422" s="80" t="s">
        <v>84</v>
      </c>
      <c r="R2422" s="80" t="s">
        <v>84</v>
      </c>
    </row>
    <row r="2423" spans="1:18" ht="20" x14ac:dyDescent="0.2">
      <c r="A2423" s="80" t="s">
        <v>6563</v>
      </c>
      <c r="B2423" s="80" t="s">
        <v>6564</v>
      </c>
      <c r="C2423" s="80" t="s">
        <v>84</v>
      </c>
      <c r="D2423" s="80" t="s">
        <v>84</v>
      </c>
      <c r="E2423" s="80" t="s">
        <v>84</v>
      </c>
      <c r="F2423" s="80"/>
      <c r="G2423" s="80" t="s">
        <v>84</v>
      </c>
      <c r="H2423" s="80" t="s">
        <v>84</v>
      </c>
      <c r="I2423" s="80" t="s">
        <v>84</v>
      </c>
      <c r="J2423" s="80" t="s">
        <v>84</v>
      </c>
      <c r="K2423" s="80" t="s">
        <v>84</v>
      </c>
      <c r="L2423" s="80" t="s">
        <v>84</v>
      </c>
      <c r="M2423" s="80" t="s">
        <v>84</v>
      </c>
      <c r="N2423" s="80" t="s">
        <v>84</v>
      </c>
      <c r="O2423" s="80" t="s">
        <v>84</v>
      </c>
      <c r="P2423" s="80"/>
      <c r="Q2423" s="80" t="s">
        <v>84</v>
      </c>
      <c r="R2423" s="80" t="s">
        <v>84</v>
      </c>
    </row>
    <row r="2424" spans="1:18" ht="20" x14ac:dyDescent="0.2">
      <c r="A2424" s="80" t="s">
        <v>6565</v>
      </c>
      <c r="B2424" s="80" t="s">
        <v>10619</v>
      </c>
      <c r="C2424" s="80" t="s">
        <v>84</v>
      </c>
      <c r="D2424" s="80" t="s">
        <v>84</v>
      </c>
      <c r="E2424" s="80" t="s">
        <v>84</v>
      </c>
      <c r="F2424" s="80"/>
      <c r="G2424" s="80" t="s">
        <v>84</v>
      </c>
      <c r="H2424" s="80" t="s">
        <v>84</v>
      </c>
      <c r="I2424" s="80" t="s">
        <v>84</v>
      </c>
      <c r="J2424" s="80" t="s">
        <v>84</v>
      </c>
      <c r="K2424" s="80" t="s">
        <v>84</v>
      </c>
      <c r="L2424" s="80" t="s">
        <v>84</v>
      </c>
      <c r="M2424" s="80" t="s">
        <v>84</v>
      </c>
      <c r="N2424" s="80" t="s">
        <v>84</v>
      </c>
      <c r="O2424" s="80" t="s">
        <v>84</v>
      </c>
      <c r="P2424" s="80"/>
      <c r="Q2424" s="80" t="s">
        <v>84</v>
      </c>
      <c r="R2424" s="80" t="s">
        <v>84</v>
      </c>
    </row>
    <row r="2425" spans="1:18" ht="20" x14ac:dyDescent="0.2">
      <c r="A2425" s="80" t="s">
        <v>6565</v>
      </c>
      <c r="B2425" s="80" t="s">
        <v>6566</v>
      </c>
      <c r="C2425" s="80" t="s">
        <v>84</v>
      </c>
      <c r="D2425" s="80" t="s">
        <v>84</v>
      </c>
      <c r="E2425" s="80" t="s">
        <v>84</v>
      </c>
      <c r="F2425" s="80"/>
      <c r="G2425" s="80" t="s">
        <v>84</v>
      </c>
      <c r="H2425" s="80" t="s">
        <v>84</v>
      </c>
      <c r="I2425" s="80" t="s">
        <v>84</v>
      </c>
      <c r="J2425" s="80" t="s">
        <v>84</v>
      </c>
      <c r="K2425" s="80" t="s">
        <v>84</v>
      </c>
      <c r="L2425" s="80" t="s">
        <v>84</v>
      </c>
      <c r="M2425" s="80" t="s">
        <v>84</v>
      </c>
      <c r="N2425" s="80" t="s">
        <v>84</v>
      </c>
      <c r="O2425" s="80" t="s">
        <v>84</v>
      </c>
      <c r="P2425" s="80"/>
      <c r="Q2425" s="80" t="s">
        <v>84</v>
      </c>
      <c r="R2425" s="80" t="s">
        <v>84</v>
      </c>
    </row>
    <row r="2426" spans="1:18" ht="20" x14ac:dyDescent="0.2">
      <c r="A2426" s="80" t="s">
        <v>6567</v>
      </c>
      <c r="B2426" s="80" t="s">
        <v>10620</v>
      </c>
      <c r="C2426" s="80" t="s">
        <v>84</v>
      </c>
      <c r="D2426" s="80" t="s">
        <v>84</v>
      </c>
      <c r="E2426" s="80" t="s">
        <v>84</v>
      </c>
      <c r="F2426" s="80"/>
      <c r="G2426" s="80" t="s">
        <v>84</v>
      </c>
      <c r="H2426" s="80" t="s">
        <v>84</v>
      </c>
      <c r="I2426" s="80" t="s">
        <v>84</v>
      </c>
      <c r="J2426" s="80" t="s">
        <v>84</v>
      </c>
      <c r="K2426" s="80" t="s">
        <v>84</v>
      </c>
      <c r="L2426" s="80" t="s">
        <v>84</v>
      </c>
      <c r="M2426" s="80" t="s">
        <v>84</v>
      </c>
      <c r="N2426" s="80" t="s">
        <v>84</v>
      </c>
      <c r="O2426" s="80" t="s">
        <v>84</v>
      </c>
      <c r="P2426" s="80"/>
      <c r="Q2426" s="80" t="s">
        <v>84</v>
      </c>
      <c r="R2426" s="80" t="s">
        <v>84</v>
      </c>
    </row>
    <row r="2427" spans="1:18" ht="20" x14ac:dyDescent="0.2">
      <c r="A2427" s="80" t="s">
        <v>6567</v>
      </c>
      <c r="B2427" s="80" t="s">
        <v>6568</v>
      </c>
      <c r="C2427" s="80" t="s">
        <v>84</v>
      </c>
      <c r="D2427" s="80" t="s">
        <v>84</v>
      </c>
      <c r="E2427" s="80" t="s">
        <v>84</v>
      </c>
      <c r="F2427" s="80"/>
      <c r="G2427" s="80" t="s">
        <v>84</v>
      </c>
      <c r="H2427" s="80" t="s">
        <v>84</v>
      </c>
      <c r="I2427" s="80" t="s">
        <v>84</v>
      </c>
      <c r="J2427" s="80" t="s">
        <v>84</v>
      </c>
      <c r="K2427" s="80" t="s">
        <v>84</v>
      </c>
      <c r="L2427" s="80" t="s">
        <v>84</v>
      </c>
      <c r="M2427" s="80" t="s">
        <v>84</v>
      </c>
      <c r="N2427" s="80" t="s">
        <v>84</v>
      </c>
      <c r="O2427" s="80" t="s">
        <v>84</v>
      </c>
      <c r="P2427" s="80"/>
      <c r="Q2427" s="80" t="s">
        <v>84</v>
      </c>
      <c r="R2427" s="80" t="s">
        <v>84</v>
      </c>
    </row>
    <row r="2428" spans="1:18" ht="20" x14ac:dyDescent="0.2">
      <c r="A2428" s="80" t="s">
        <v>6569</v>
      </c>
      <c r="B2428" s="80" t="s">
        <v>10621</v>
      </c>
      <c r="C2428" s="80" t="s">
        <v>84</v>
      </c>
      <c r="D2428" s="80" t="s">
        <v>84</v>
      </c>
      <c r="E2428" s="80" t="s">
        <v>84</v>
      </c>
      <c r="F2428" s="80"/>
      <c r="G2428" s="80" t="s">
        <v>84</v>
      </c>
      <c r="H2428" s="80" t="s">
        <v>84</v>
      </c>
      <c r="I2428" s="80" t="s">
        <v>84</v>
      </c>
      <c r="J2428" s="80" t="s">
        <v>84</v>
      </c>
      <c r="K2428" s="80" t="s">
        <v>84</v>
      </c>
      <c r="L2428" s="80" t="s">
        <v>84</v>
      </c>
      <c r="M2428" s="80" t="s">
        <v>84</v>
      </c>
      <c r="N2428" s="80" t="s">
        <v>84</v>
      </c>
      <c r="O2428" s="80" t="s">
        <v>84</v>
      </c>
      <c r="P2428" s="80"/>
      <c r="Q2428" s="80" t="s">
        <v>84</v>
      </c>
      <c r="R2428" s="80" t="s">
        <v>84</v>
      </c>
    </row>
    <row r="2429" spans="1:18" ht="20" x14ac:dyDescent="0.2">
      <c r="A2429" s="80" t="s">
        <v>6569</v>
      </c>
      <c r="B2429" s="80" t="s">
        <v>6570</v>
      </c>
      <c r="C2429" s="80" t="s">
        <v>84</v>
      </c>
      <c r="D2429" s="80" t="s">
        <v>84</v>
      </c>
      <c r="E2429" s="80" t="s">
        <v>84</v>
      </c>
      <c r="F2429" s="80"/>
      <c r="G2429" s="80" t="s">
        <v>84</v>
      </c>
      <c r="H2429" s="80" t="s">
        <v>84</v>
      </c>
      <c r="I2429" s="80" t="s">
        <v>84</v>
      </c>
      <c r="J2429" s="80" t="s">
        <v>84</v>
      </c>
      <c r="K2429" s="80" t="s">
        <v>84</v>
      </c>
      <c r="L2429" s="80" t="s">
        <v>84</v>
      </c>
      <c r="M2429" s="80" t="s">
        <v>84</v>
      </c>
      <c r="N2429" s="80" t="s">
        <v>84</v>
      </c>
      <c r="O2429" s="80" t="s">
        <v>84</v>
      </c>
      <c r="P2429" s="80"/>
      <c r="Q2429" s="80" t="s">
        <v>84</v>
      </c>
      <c r="R2429" s="80" t="s">
        <v>84</v>
      </c>
    </row>
    <row r="2430" spans="1:18" ht="20" x14ac:dyDescent="0.2">
      <c r="A2430" s="80" t="s">
        <v>6571</v>
      </c>
      <c r="B2430" s="80" t="s">
        <v>10622</v>
      </c>
      <c r="C2430" s="80" t="s">
        <v>84</v>
      </c>
      <c r="D2430" s="80" t="s">
        <v>84</v>
      </c>
      <c r="E2430" s="80" t="s">
        <v>84</v>
      </c>
      <c r="F2430" s="80"/>
      <c r="G2430" s="80" t="s">
        <v>84</v>
      </c>
      <c r="H2430" s="80" t="s">
        <v>84</v>
      </c>
      <c r="I2430" s="80" t="s">
        <v>84</v>
      </c>
      <c r="J2430" s="80" t="s">
        <v>84</v>
      </c>
      <c r="K2430" s="80" t="s">
        <v>84</v>
      </c>
      <c r="L2430" s="80" t="s">
        <v>84</v>
      </c>
      <c r="M2430" s="80" t="s">
        <v>84</v>
      </c>
      <c r="N2430" s="80" t="s">
        <v>84</v>
      </c>
      <c r="O2430" s="80" t="s">
        <v>84</v>
      </c>
      <c r="P2430" s="80"/>
      <c r="Q2430" s="80" t="s">
        <v>84</v>
      </c>
      <c r="R2430" s="80" t="s">
        <v>84</v>
      </c>
    </row>
    <row r="2431" spans="1:18" ht="20" x14ac:dyDescent="0.2">
      <c r="A2431" s="80" t="s">
        <v>6571</v>
      </c>
      <c r="B2431" s="80" t="s">
        <v>6572</v>
      </c>
      <c r="C2431" s="80" t="s">
        <v>84</v>
      </c>
      <c r="D2431" s="80" t="s">
        <v>84</v>
      </c>
      <c r="E2431" s="80" t="s">
        <v>84</v>
      </c>
      <c r="F2431" s="80"/>
      <c r="G2431" s="80" t="s">
        <v>84</v>
      </c>
      <c r="H2431" s="80" t="s">
        <v>84</v>
      </c>
      <c r="I2431" s="80" t="s">
        <v>84</v>
      </c>
      <c r="J2431" s="80" t="s">
        <v>84</v>
      </c>
      <c r="K2431" s="80" t="s">
        <v>84</v>
      </c>
      <c r="L2431" s="80" t="s">
        <v>84</v>
      </c>
      <c r="M2431" s="80" t="s">
        <v>84</v>
      </c>
      <c r="N2431" s="80" t="s">
        <v>84</v>
      </c>
      <c r="O2431" s="80" t="s">
        <v>84</v>
      </c>
      <c r="P2431" s="80"/>
      <c r="Q2431" s="80" t="s">
        <v>84</v>
      </c>
      <c r="R2431" s="80" t="s">
        <v>84</v>
      </c>
    </row>
    <row r="2432" spans="1:18" ht="20" x14ac:dyDescent="0.2">
      <c r="A2432" s="80" t="s">
        <v>6573</v>
      </c>
      <c r="B2432" s="80" t="s">
        <v>10623</v>
      </c>
      <c r="C2432" s="80" t="s">
        <v>84</v>
      </c>
      <c r="D2432" s="80" t="s">
        <v>84</v>
      </c>
      <c r="E2432" s="80" t="s">
        <v>84</v>
      </c>
      <c r="F2432" s="80"/>
      <c r="G2432" s="80" t="s">
        <v>84</v>
      </c>
      <c r="H2432" s="80" t="s">
        <v>84</v>
      </c>
      <c r="I2432" s="80" t="s">
        <v>84</v>
      </c>
      <c r="J2432" s="80" t="s">
        <v>84</v>
      </c>
      <c r="K2432" s="80" t="s">
        <v>84</v>
      </c>
      <c r="L2432" s="80" t="s">
        <v>84</v>
      </c>
      <c r="M2432" s="80" t="s">
        <v>84</v>
      </c>
      <c r="N2432" s="80" t="s">
        <v>84</v>
      </c>
      <c r="O2432" s="80" t="s">
        <v>84</v>
      </c>
      <c r="P2432" s="80"/>
      <c r="Q2432" s="80" t="s">
        <v>84</v>
      </c>
      <c r="R2432" s="80" t="s">
        <v>84</v>
      </c>
    </row>
    <row r="2433" spans="1:18" ht="20" x14ac:dyDescent="0.2">
      <c r="A2433" s="80" t="s">
        <v>6573</v>
      </c>
      <c r="B2433" s="80" t="s">
        <v>6574</v>
      </c>
      <c r="C2433" s="80" t="s">
        <v>84</v>
      </c>
      <c r="D2433" s="80" t="s">
        <v>84</v>
      </c>
      <c r="E2433" s="80" t="s">
        <v>84</v>
      </c>
      <c r="F2433" s="80"/>
      <c r="G2433" s="80" t="s">
        <v>84</v>
      </c>
      <c r="H2433" s="80" t="s">
        <v>84</v>
      </c>
      <c r="I2433" s="80" t="s">
        <v>84</v>
      </c>
      <c r="J2433" s="80" t="s">
        <v>84</v>
      </c>
      <c r="K2433" s="80" t="s">
        <v>84</v>
      </c>
      <c r="L2433" s="80" t="s">
        <v>84</v>
      </c>
      <c r="M2433" s="80" t="s">
        <v>84</v>
      </c>
      <c r="N2433" s="80" t="s">
        <v>84</v>
      </c>
      <c r="O2433" s="80" t="s">
        <v>84</v>
      </c>
      <c r="P2433" s="80"/>
      <c r="Q2433" s="80" t="s">
        <v>84</v>
      </c>
      <c r="R2433" s="80" t="s">
        <v>84</v>
      </c>
    </row>
    <row r="2434" spans="1:18" ht="20" x14ac:dyDescent="0.2">
      <c r="A2434" s="80" t="s">
        <v>6575</v>
      </c>
      <c r="B2434" s="80" t="s">
        <v>10624</v>
      </c>
      <c r="C2434" s="80" t="s">
        <v>84</v>
      </c>
      <c r="D2434" s="80" t="s">
        <v>84</v>
      </c>
      <c r="E2434" s="80" t="s">
        <v>84</v>
      </c>
      <c r="F2434" s="80"/>
      <c r="G2434" s="80" t="s">
        <v>84</v>
      </c>
      <c r="H2434" s="80" t="s">
        <v>84</v>
      </c>
      <c r="I2434" s="80" t="s">
        <v>84</v>
      </c>
      <c r="J2434" s="80" t="s">
        <v>84</v>
      </c>
      <c r="K2434" s="80" t="s">
        <v>84</v>
      </c>
      <c r="L2434" s="80" t="s">
        <v>84</v>
      </c>
      <c r="M2434" s="80" t="s">
        <v>84</v>
      </c>
      <c r="N2434" s="80" t="s">
        <v>84</v>
      </c>
      <c r="O2434" s="80" t="s">
        <v>84</v>
      </c>
      <c r="P2434" s="80"/>
      <c r="Q2434" s="80" t="s">
        <v>84</v>
      </c>
      <c r="R2434" s="80" t="s">
        <v>84</v>
      </c>
    </row>
    <row r="2435" spans="1:18" ht="20" x14ac:dyDescent="0.2">
      <c r="A2435" s="80" t="s">
        <v>6575</v>
      </c>
      <c r="B2435" s="80" t="s">
        <v>6576</v>
      </c>
      <c r="C2435" s="80" t="s">
        <v>84</v>
      </c>
      <c r="D2435" s="80" t="s">
        <v>84</v>
      </c>
      <c r="E2435" s="80" t="s">
        <v>84</v>
      </c>
      <c r="F2435" s="80"/>
      <c r="G2435" s="80" t="s">
        <v>84</v>
      </c>
      <c r="H2435" s="80" t="s">
        <v>84</v>
      </c>
      <c r="I2435" s="80" t="s">
        <v>84</v>
      </c>
      <c r="J2435" s="80" t="s">
        <v>84</v>
      </c>
      <c r="K2435" s="80" t="s">
        <v>84</v>
      </c>
      <c r="L2435" s="80" t="s">
        <v>84</v>
      </c>
      <c r="M2435" s="80" t="s">
        <v>84</v>
      </c>
      <c r="N2435" s="80" t="s">
        <v>84</v>
      </c>
      <c r="O2435" s="80" t="s">
        <v>84</v>
      </c>
      <c r="P2435" s="80"/>
      <c r="Q2435" s="80" t="s">
        <v>84</v>
      </c>
      <c r="R2435" s="80" t="s">
        <v>84</v>
      </c>
    </row>
    <row r="2436" spans="1:18" ht="20" x14ac:dyDescent="0.2">
      <c r="A2436" s="80" t="s">
        <v>6577</v>
      </c>
      <c r="B2436" s="80" t="s">
        <v>10625</v>
      </c>
      <c r="C2436" s="80" t="s">
        <v>84</v>
      </c>
      <c r="D2436" s="80" t="s">
        <v>84</v>
      </c>
      <c r="E2436" s="80" t="s">
        <v>84</v>
      </c>
      <c r="F2436" s="80"/>
      <c r="G2436" s="80" t="s">
        <v>84</v>
      </c>
      <c r="H2436" s="80" t="s">
        <v>84</v>
      </c>
      <c r="I2436" s="80" t="s">
        <v>84</v>
      </c>
      <c r="J2436" s="80" t="s">
        <v>84</v>
      </c>
      <c r="K2436" s="80" t="s">
        <v>84</v>
      </c>
      <c r="L2436" s="80" t="s">
        <v>84</v>
      </c>
      <c r="M2436" s="80" t="s">
        <v>84</v>
      </c>
      <c r="N2436" s="80" t="s">
        <v>84</v>
      </c>
      <c r="O2436" s="80" t="s">
        <v>84</v>
      </c>
      <c r="P2436" s="80"/>
      <c r="Q2436" s="80" t="s">
        <v>84</v>
      </c>
      <c r="R2436" s="80" t="s">
        <v>84</v>
      </c>
    </row>
    <row r="2437" spans="1:18" ht="20" x14ac:dyDescent="0.2">
      <c r="A2437" s="80" t="s">
        <v>6577</v>
      </c>
      <c r="B2437" s="80" t="s">
        <v>6578</v>
      </c>
      <c r="C2437" s="80" t="s">
        <v>84</v>
      </c>
      <c r="D2437" s="80" t="s">
        <v>84</v>
      </c>
      <c r="E2437" s="80" t="s">
        <v>84</v>
      </c>
      <c r="F2437" s="80"/>
      <c r="G2437" s="80" t="s">
        <v>84</v>
      </c>
      <c r="H2437" s="80" t="s">
        <v>84</v>
      </c>
      <c r="I2437" s="80" t="s">
        <v>84</v>
      </c>
      <c r="J2437" s="80" t="s">
        <v>84</v>
      </c>
      <c r="K2437" s="80" t="s">
        <v>84</v>
      </c>
      <c r="L2437" s="80" t="s">
        <v>84</v>
      </c>
      <c r="M2437" s="80" t="s">
        <v>84</v>
      </c>
      <c r="N2437" s="80" t="s">
        <v>84</v>
      </c>
      <c r="O2437" s="80" t="s">
        <v>84</v>
      </c>
      <c r="P2437" s="80"/>
      <c r="Q2437" s="80" t="s">
        <v>84</v>
      </c>
      <c r="R2437" s="80" t="s">
        <v>84</v>
      </c>
    </row>
    <row r="2438" spans="1:18" ht="20" x14ac:dyDescent="0.2">
      <c r="A2438" s="80" t="s">
        <v>6579</v>
      </c>
      <c r="B2438" s="80" t="s">
        <v>10626</v>
      </c>
      <c r="C2438" s="80" t="s">
        <v>84</v>
      </c>
      <c r="D2438" s="80" t="s">
        <v>84</v>
      </c>
      <c r="E2438" s="80" t="s">
        <v>84</v>
      </c>
      <c r="F2438" s="80"/>
      <c r="G2438" s="80" t="s">
        <v>84</v>
      </c>
      <c r="H2438" s="80" t="s">
        <v>84</v>
      </c>
      <c r="I2438" s="80" t="s">
        <v>84</v>
      </c>
      <c r="J2438" s="80" t="s">
        <v>84</v>
      </c>
      <c r="K2438" s="80" t="s">
        <v>84</v>
      </c>
      <c r="L2438" s="80" t="s">
        <v>84</v>
      </c>
      <c r="M2438" s="80" t="s">
        <v>84</v>
      </c>
      <c r="N2438" s="80" t="s">
        <v>84</v>
      </c>
      <c r="O2438" s="80" t="s">
        <v>84</v>
      </c>
      <c r="P2438" s="80"/>
      <c r="Q2438" s="80" t="s">
        <v>84</v>
      </c>
      <c r="R2438" s="80" t="s">
        <v>84</v>
      </c>
    </row>
    <row r="2439" spans="1:18" ht="20" x14ac:dyDescent="0.2">
      <c r="A2439" s="80" t="s">
        <v>6579</v>
      </c>
      <c r="B2439" s="80" t="s">
        <v>6580</v>
      </c>
      <c r="C2439" s="80" t="s">
        <v>84</v>
      </c>
      <c r="D2439" s="80" t="s">
        <v>84</v>
      </c>
      <c r="E2439" s="80" t="s">
        <v>84</v>
      </c>
      <c r="F2439" s="80"/>
      <c r="G2439" s="80" t="s">
        <v>84</v>
      </c>
      <c r="H2439" s="80" t="s">
        <v>84</v>
      </c>
      <c r="I2439" s="80" t="s">
        <v>84</v>
      </c>
      <c r="J2439" s="80" t="s">
        <v>84</v>
      </c>
      <c r="K2439" s="80" t="s">
        <v>84</v>
      </c>
      <c r="L2439" s="80" t="s">
        <v>84</v>
      </c>
      <c r="M2439" s="80" t="s">
        <v>84</v>
      </c>
      <c r="N2439" s="80" t="s">
        <v>84</v>
      </c>
      <c r="O2439" s="80" t="s">
        <v>84</v>
      </c>
      <c r="P2439" s="80"/>
      <c r="Q2439" s="80" t="s">
        <v>84</v>
      </c>
      <c r="R2439" s="80" t="s">
        <v>84</v>
      </c>
    </row>
    <row r="2440" spans="1:18" ht="20" x14ac:dyDescent="0.2">
      <c r="A2440" s="80" t="s">
        <v>6581</v>
      </c>
      <c r="B2440" s="80" t="s">
        <v>10627</v>
      </c>
      <c r="C2440" s="80" t="s">
        <v>84</v>
      </c>
      <c r="D2440" s="80" t="s">
        <v>84</v>
      </c>
      <c r="E2440" s="80" t="s">
        <v>84</v>
      </c>
      <c r="F2440" s="80"/>
      <c r="G2440" s="80" t="s">
        <v>84</v>
      </c>
      <c r="H2440" s="80" t="s">
        <v>84</v>
      </c>
      <c r="I2440" s="80" t="s">
        <v>84</v>
      </c>
      <c r="J2440" s="80" t="s">
        <v>84</v>
      </c>
      <c r="K2440" s="80" t="s">
        <v>84</v>
      </c>
      <c r="L2440" s="80" t="s">
        <v>84</v>
      </c>
      <c r="M2440" s="80" t="s">
        <v>84</v>
      </c>
      <c r="N2440" s="80" t="s">
        <v>84</v>
      </c>
      <c r="O2440" s="80" t="s">
        <v>84</v>
      </c>
      <c r="P2440" s="80"/>
      <c r="Q2440" s="80" t="s">
        <v>84</v>
      </c>
      <c r="R2440" s="80" t="s">
        <v>84</v>
      </c>
    </row>
    <row r="2441" spans="1:18" ht="20" x14ac:dyDescent="0.2">
      <c r="A2441" s="80" t="s">
        <v>6581</v>
      </c>
      <c r="B2441" s="80" t="s">
        <v>6582</v>
      </c>
      <c r="C2441" s="80" t="s">
        <v>84</v>
      </c>
      <c r="D2441" s="80" t="s">
        <v>84</v>
      </c>
      <c r="E2441" s="80" t="s">
        <v>84</v>
      </c>
      <c r="F2441" s="80"/>
      <c r="G2441" s="80" t="s">
        <v>84</v>
      </c>
      <c r="H2441" s="80" t="s">
        <v>84</v>
      </c>
      <c r="I2441" s="80" t="s">
        <v>84</v>
      </c>
      <c r="J2441" s="80" t="s">
        <v>84</v>
      </c>
      <c r="K2441" s="80" t="s">
        <v>84</v>
      </c>
      <c r="L2441" s="80" t="s">
        <v>84</v>
      </c>
      <c r="M2441" s="80" t="s">
        <v>84</v>
      </c>
      <c r="N2441" s="80" t="s">
        <v>84</v>
      </c>
      <c r="O2441" s="80" t="s">
        <v>84</v>
      </c>
      <c r="P2441" s="80"/>
      <c r="Q2441" s="80" t="s">
        <v>84</v>
      </c>
      <c r="R2441" s="80" t="s">
        <v>84</v>
      </c>
    </row>
    <row r="2442" spans="1:18" ht="20" x14ac:dyDescent="0.2">
      <c r="A2442" s="80" t="s">
        <v>10628</v>
      </c>
      <c r="B2442" s="80" t="s">
        <v>10629</v>
      </c>
      <c r="C2442" s="80" t="s">
        <v>84</v>
      </c>
      <c r="D2442" s="80" t="s">
        <v>84</v>
      </c>
      <c r="E2442" s="80" t="s">
        <v>84</v>
      </c>
      <c r="F2442" s="80"/>
      <c r="G2442" s="80" t="s">
        <v>84</v>
      </c>
      <c r="H2442" s="80" t="s">
        <v>84</v>
      </c>
      <c r="I2442" s="80" t="s">
        <v>84</v>
      </c>
      <c r="J2442" s="80" t="s">
        <v>84</v>
      </c>
      <c r="K2442" s="80" t="s">
        <v>84</v>
      </c>
      <c r="L2442" s="80" t="s">
        <v>84</v>
      </c>
      <c r="M2442" s="80" t="s">
        <v>84</v>
      </c>
      <c r="N2442" s="80" t="s">
        <v>84</v>
      </c>
      <c r="O2442" s="80" t="s">
        <v>84</v>
      </c>
      <c r="P2442" s="80"/>
      <c r="Q2442" s="80" t="s">
        <v>84</v>
      </c>
      <c r="R2442" s="80" t="s">
        <v>84</v>
      </c>
    </row>
    <row r="2443" spans="1:18" ht="20" x14ac:dyDescent="0.2">
      <c r="A2443" s="80" t="s">
        <v>10630</v>
      </c>
      <c r="B2443" s="80" t="s">
        <v>10631</v>
      </c>
      <c r="C2443" s="80" t="s">
        <v>9680</v>
      </c>
      <c r="D2443" s="80" t="s">
        <v>84</v>
      </c>
      <c r="E2443" s="80" t="s">
        <v>84</v>
      </c>
      <c r="F2443" s="80"/>
      <c r="G2443" s="80" t="s">
        <v>84</v>
      </c>
      <c r="H2443" s="80" t="s">
        <v>84</v>
      </c>
      <c r="I2443" s="80" t="s">
        <v>84</v>
      </c>
      <c r="J2443" s="80" t="s">
        <v>84</v>
      </c>
      <c r="K2443" s="80" t="s">
        <v>84</v>
      </c>
      <c r="L2443" s="80" t="s">
        <v>84</v>
      </c>
      <c r="M2443" s="80" t="s">
        <v>9680</v>
      </c>
      <c r="N2443" s="80" t="s">
        <v>84</v>
      </c>
      <c r="O2443" s="80" t="s">
        <v>84</v>
      </c>
      <c r="P2443" s="80"/>
      <c r="Q2443" s="80" t="s">
        <v>84</v>
      </c>
      <c r="R2443" s="80" t="s">
        <v>84</v>
      </c>
    </row>
    <row r="2444" spans="1:18" ht="20" x14ac:dyDescent="0.2">
      <c r="A2444" s="80" t="s">
        <v>6497</v>
      </c>
      <c r="B2444" s="80" t="s">
        <v>10632</v>
      </c>
      <c r="C2444" s="80" t="s">
        <v>84</v>
      </c>
      <c r="D2444" s="80" t="s">
        <v>84</v>
      </c>
      <c r="E2444" s="80" t="s">
        <v>84</v>
      </c>
      <c r="F2444" s="80"/>
      <c r="G2444" s="80" t="s">
        <v>84</v>
      </c>
      <c r="H2444" s="80" t="s">
        <v>84</v>
      </c>
      <c r="I2444" s="80" t="s">
        <v>84</v>
      </c>
      <c r="J2444" s="80" t="s">
        <v>84</v>
      </c>
      <c r="K2444" s="80" t="s">
        <v>84</v>
      </c>
      <c r="L2444" s="80" t="s">
        <v>84</v>
      </c>
      <c r="M2444" s="80" t="s">
        <v>84</v>
      </c>
      <c r="N2444" s="80" t="s">
        <v>84</v>
      </c>
      <c r="O2444" s="80" t="s">
        <v>84</v>
      </c>
      <c r="P2444" s="80"/>
      <c r="Q2444" s="80" t="s">
        <v>84</v>
      </c>
      <c r="R2444" s="80" t="s">
        <v>84</v>
      </c>
    </row>
    <row r="2445" spans="1:18" ht="20" x14ac:dyDescent="0.2">
      <c r="A2445" s="80" t="s">
        <v>6497</v>
      </c>
      <c r="B2445" s="80" t="s">
        <v>6498</v>
      </c>
      <c r="C2445" s="80" t="s">
        <v>84</v>
      </c>
      <c r="D2445" s="80" t="s">
        <v>84</v>
      </c>
      <c r="E2445" s="80" t="s">
        <v>84</v>
      </c>
      <c r="F2445" s="80"/>
      <c r="G2445" s="80" t="s">
        <v>84</v>
      </c>
      <c r="H2445" s="80" t="s">
        <v>84</v>
      </c>
      <c r="I2445" s="80" t="s">
        <v>84</v>
      </c>
      <c r="J2445" s="80" t="s">
        <v>84</v>
      </c>
      <c r="K2445" s="80" t="s">
        <v>84</v>
      </c>
      <c r="L2445" s="80" t="s">
        <v>84</v>
      </c>
      <c r="M2445" s="80" t="s">
        <v>84</v>
      </c>
      <c r="N2445" s="80" t="s">
        <v>84</v>
      </c>
      <c r="O2445" s="80" t="s">
        <v>84</v>
      </c>
      <c r="P2445" s="80"/>
      <c r="Q2445" s="80" t="s">
        <v>84</v>
      </c>
      <c r="R2445" s="80" t="s">
        <v>84</v>
      </c>
    </row>
    <row r="2446" spans="1:18" ht="20" x14ac:dyDescent="0.2">
      <c r="A2446" s="80" t="s">
        <v>6583</v>
      </c>
      <c r="B2446" s="80" t="s">
        <v>10633</v>
      </c>
      <c r="C2446" s="80" t="s">
        <v>84</v>
      </c>
      <c r="D2446" s="80" t="s">
        <v>84</v>
      </c>
      <c r="E2446" s="80" t="s">
        <v>84</v>
      </c>
      <c r="F2446" s="80"/>
      <c r="G2446" s="80" t="s">
        <v>84</v>
      </c>
      <c r="H2446" s="80" t="s">
        <v>84</v>
      </c>
      <c r="I2446" s="80" t="s">
        <v>84</v>
      </c>
      <c r="J2446" s="80" t="s">
        <v>84</v>
      </c>
      <c r="K2446" s="80" t="s">
        <v>84</v>
      </c>
      <c r="L2446" s="80" t="s">
        <v>84</v>
      </c>
      <c r="M2446" s="80" t="s">
        <v>84</v>
      </c>
      <c r="N2446" s="80" t="s">
        <v>84</v>
      </c>
      <c r="O2446" s="80" t="s">
        <v>84</v>
      </c>
      <c r="P2446" s="80"/>
      <c r="Q2446" s="80" t="s">
        <v>84</v>
      </c>
      <c r="R2446" s="80" t="s">
        <v>84</v>
      </c>
    </row>
    <row r="2447" spans="1:18" ht="20" x14ac:dyDescent="0.2">
      <c r="A2447" s="80" t="s">
        <v>6583</v>
      </c>
      <c r="B2447" s="80" t="s">
        <v>6584</v>
      </c>
      <c r="C2447" s="80" t="s">
        <v>84</v>
      </c>
      <c r="D2447" s="80" t="s">
        <v>84</v>
      </c>
      <c r="E2447" s="80" t="s">
        <v>84</v>
      </c>
      <c r="F2447" s="80"/>
      <c r="G2447" s="80" t="s">
        <v>84</v>
      </c>
      <c r="H2447" s="80" t="s">
        <v>84</v>
      </c>
      <c r="I2447" s="80" t="s">
        <v>84</v>
      </c>
      <c r="J2447" s="80" t="s">
        <v>84</v>
      </c>
      <c r="K2447" s="80" t="s">
        <v>84</v>
      </c>
      <c r="L2447" s="80" t="s">
        <v>84</v>
      </c>
      <c r="M2447" s="80" t="s">
        <v>84</v>
      </c>
      <c r="N2447" s="80" t="s">
        <v>84</v>
      </c>
      <c r="O2447" s="80" t="s">
        <v>84</v>
      </c>
      <c r="P2447" s="80"/>
      <c r="Q2447" s="80" t="s">
        <v>84</v>
      </c>
      <c r="R2447" s="80" t="s">
        <v>84</v>
      </c>
    </row>
    <row r="2448" spans="1:18" ht="20" x14ac:dyDescent="0.2">
      <c r="A2448" s="80" t="s">
        <v>6585</v>
      </c>
      <c r="B2448" s="80" t="s">
        <v>10634</v>
      </c>
      <c r="C2448" s="80" t="s">
        <v>84</v>
      </c>
      <c r="D2448" s="80" t="s">
        <v>84</v>
      </c>
      <c r="E2448" s="80" t="s">
        <v>84</v>
      </c>
      <c r="F2448" s="80"/>
      <c r="G2448" s="80" t="s">
        <v>84</v>
      </c>
      <c r="H2448" s="80" t="s">
        <v>84</v>
      </c>
      <c r="I2448" s="80" t="s">
        <v>84</v>
      </c>
      <c r="J2448" s="80" t="s">
        <v>84</v>
      </c>
      <c r="K2448" s="80" t="s">
        <v>84</v>
      </c>
      <c r="L2448" s="80" t="s">
        <v>84</v>
      </c>
      <c r="M2448" s="80" t="s">
        <v>84</v>
      </c>
      <c r="N2448" s="80" t="s">
        <v>84</v>
      </c>
      <c r="O2448" s="80" t="s">
        <v>84</v>
      </c>
      <c r="P2448" s="80"/>
      <c r="Q2448" s="80" t="s">
        <v>84</v>
      </c>
      <c r="R2448" s="80" t="s">
        <v>84</v>
      </c>
    </row>
    <row r="2449" spans="1:18" ht="20" x14ac:dyDescent="0.2">
      <c r="A2449" s="80" t="s">
        <v>6585</v>
      </c>
      <c r="B2449" s="80" t="s">
        <v>6586</v>
      </c>
      <c r="C2449" s="80" t="s">
        <v>84</v>
      </c>
      <c r="D2449" s="80" t="s">
        <v>84</v>
      </c>
      <c r="E2449" s="80" t="s">
        <v>84</v>
      </c>
      <c r="F2449" s="80"/>
      <c r="G2449" s="80" t="s">
        <v>84</v>
      </c>
      <c r="H2449" s="80" t="s">
        <v>84</v>
      </c>
      <c r="I2449" s="80" t="s">
        <v>84</v>
      </c>
      <c r="J2449" s="80" t="s">
        <v>84</v>
      </c>
      <c r="K2449" s="80" t="s">
        <v>84</v>
      </c>
      <c r="L2449" s="80" t="s">
        <v>84</v>
      </c>
      <c r="M2449" s="80" t="s">
        <v>84</v>
      </c>
      <c r="N2449" s="80" t="s">
        <v>84</v>
      </c>
      <c r="O2449" s="80" t="s">
        <v>84</v>
      </c>
      <c r="P2449" s="80"/>
      <c r="Q2449" s="80" t="s">
        <v>84</v>
      </c>
      <c r="R2449" s="80" t="s">
        <v>84</v>
      </c>
    </row>
    <row r="2450" spans="1:18" ht="20" x14ac:dyDescent="0.2">
      <c r="A2450" s="80" t="s">
        <v>6493</v>
      </c>
      <c r="B2450" s="80" t="s">
        <v>10635</v>
      </c>
      <c r="C2450" s="80" t="s">
        <v>84</v>
      </c>
      <c r="D2450" s="80" t="s">
        <v>84</v>
      </c>
      <c r="E2450" s="80" t="s">
        <v>84</v>
      </c>
      <c r="F2450" s="80"/>
      <c r="G2450" s="80" t="s">
        <v>84</v>
      </c>
      <c r="H2450" s="80" t="s">
        <v>84</v>
      </c>
      <c r="I2450" s="80" t="s">
        <v>84</v>
      </c>
      <c r="J2450" s="80" t="s">
        <v>84</v>
      </c>
      <c r="K2450" s="80" t="s">
        <v>84</v>
      </c>
      <c r="L2450" s="80" t="s">
        <v>84</v>
      </c>
      <c r="M2450" s="80" t="s">
        <v>84</v>
      </c>
      <c r="N2450" s="80" t="s">
        <v>84</v>
      </c>
      <c r="O2450" s="80" t="s">
        <v>84</v>
      </c>
      <c r="P2450" s="80"/>
      <c r="Q2450" s="80" t="s">
        <v>84</v>
      </c>
      <c r="R2450" s="80" t="s">
        <v>84</v>
      </c>
    </row>
    <row r="2451" spans="1:18" ht="20" x14ac:dyDescent="0.2">
      <c r="A2451" s="80" t="s">
        <v>6493</v>
      </c>
      <c r="B2451" s="80" t="s">
        <v>6494</v>
      </c>
      <c r="C2451" s="80" t="s">
        <v>84</v>
      </c>
      <c r="D2451" s="80" t="s">
        <v>84</v>
      </c>
      <c r="E2451" s="80" t="s">
        <v>84</v>
      </c>
      <c r="F2451" s="80"/>
      <c r="G2451" s="80" t="s">
        <v>84</v>
      </c>
      <c r="H2451" s="80" t="s">
        <v>84</v>
      </c>
      <c r="I2451" s="80" t="s">
        <v>84</v>
      </c>
      <c r="J2451" s="80" t="s">
        <v>84</v>
      </c>
      <c r="K2451" s="80" t="s">
        <v>84</v>
      </c>
      <c r="L2451" s="80" t="s">
        <v>84</v>
      </c>
      <c r="M2451" s="80" t="s">
        <v>84</v>
      </c>
      <c r="N2451" s="80" t="s">
        <v>84</v>
      </c>
      <c r="O2451" s="80" t="s">
        <v>84</v>
      </c>
      <c r="P2451" s="80"/>
      <c r="Q2451" s="80" t="s">
        <v>84</v>
      </c>
      <c r="R2451" s="80" t="s">
        <v>84</v>
      </c>
    </row>
    <row r="2452" spans="1:18" ht="20" x14ac:dyDescent="0.2">
      <c r="A2452" s="80" t="s">
        <v>10636</v>
      </c>
      <c r="B2452" s="80" t="s">
        <v>10637</v>
      </c>
      <c r="C2452" s="80" t="s">
        <v>84</v>
      </c>
      <c r="D2452" s="80" t="s">
        <v>84</v>
      </c>
      <c r="E2452" s="80" t="s">
        <v>84</v>
      </c>
      <c r="F2452" s="80"/>
      <c r="G2452" s="80" t="s">
        <v>84</v>
      </c>
      <c r="H2452" s="80" t="s">
        <v>84</v>
      </c>
      <c r="I2452" s="80" t="s">
        <v>84</v>
      </c>
      <c r="J2452" s="80" t="s">
        <v>84</v>
      </c>
      <c r="K2452" s="80" t="s">
        <v>84</v>
      </c>
      <c r="L2452" s="80" t="s">
        <v>84</v>
      </c>
      <c r="M2452" s="80" t="s">
        <v>84</v>
      </c>
      <c r="N2452" s="80" t="s">
        <v>84</v>
      </c>
      <c r="O2452" s="80" t="s">
        <v>84</v>
      </c>
      <c r="P2452" s="80"/>
      <c r="Q2452" s="80" t="s">
        <v>84</v>
      </c>
      <c r="R2452" s="80" t="s">
        <v>84</v>
      </c>
    </row>
    <row r="2453" spans="1:18" ht="20" x14ac:dyDescent="0.2">
      <c r="A2453" s="80" t="s">
        <v>6489</v>
      </c>
      <c r="B2453" s="80" t="s">
        <v>6490</v>
      </c>
      <c r="C2453" s="80" t="s">
        <v>84</v>
      </c>
      <c r="D2453" s="80" t="s">
        <v>84</v>
      </c>
      <c r="E2453" s="80" t="s">
        <v>84</v>
      </c>
      <c r="F2453" s="80"/>
      <c r="G2453" s="80" t="s">
        <v>84</v>
      </c>
      <c r="H2453" s="80" t="s">
        <v>84</v>
      </c>
      <c r="I2453" s="80" t="s">
        <v>84</v>
      </c>
      <c r="J2453" s="80" t="s">
        <v>84</v>
      </c>
      <c r="K2453" s="80" t="s">
        <v>84</v>
      </c>
      <c r="L2453" s="80" t="s">
        <v>84</v>
      </c>
      <c r="M2453" s="80" t="s">
        <v>84</v>
      </c>
      <c r="N2453" s="80" t="s">
        <v>84</v>
      </c>
      <c r="O2453" s="80" t="s">
        <v>84</v>
      </c>
      <c r="P2453" s="80"/>
      <c r="Q2453" s="80" t="s">
        <v>84</v>
      </c>
      <c r="R2453" s="80" t="s">
        <v>84</v>
      </c>
    </row>
    <row r="2454" spans="1:18" ht="20" x14ac:dyDescent="0.2">
      <c r="A2454" s="80" t="s">
        <v>6491</v>
      </c>
      <c r="B2454" s="80" t="s">
        <v>6492</v>
      </c>
      <c r="C2454" s="80" t="s">
        <v>84</v>
      </c>
      <c r="D2454" s="80" t="s">
        <v>84</v>
      </c>
      <c r="E2454" s="80" t="s">
        <v>84</v>
      </c>
      <c r="F2454" s="80"/>
      <c r="G2454" s="80" t="s">
        <v>84</v>
      </c>
      <c r="H2454" s="80" t="s">
        <v>84</v>
      </c>
      <c r="I2454" s="80" t="s">
        <v>84</v>
      </c>
      <c r="J2454" s="80" t="s">
        <v>84</v>
      </c>
      <c r="K2454" s="80" t="s">
        <v>84</v>
      </c>
      <c r="L2454" s="80" t="s">
        <v>84</v>
      </c>
      <c r="M2454" s="80" t="s">
        <v>84</v>
      </c>
      <c r="N2454" s="80" t="s">
        <v>84</v>
      </c>
      <c r="O2454" s="80" t="s">
        <v>84</v>
      </c>
      <c r="P2454" s="80"/>
      <c r="Q2454" s="80" t="s">
        <v>84</v>
      </c>
      <c r="R2454" s="80" t="s">
        <v>84</v>
      </c>
    </row>
    <row r="2455" spans="1:18" ht="20" x14ac:dyDescent="0.2">
      <c r="A2455" s="80" t="s">
        <v>6487</v>
      </c>
      <c r="B2455" s="80" t="s">
        <v>10638</v>
      </c>
      <c r="C2455" s="80" t="s">
        <v>9680</v>
      </c>
      <c r="D2455" s="80" t="s">
        <v>84</v>
      </c>
      <c r="E2455" s="80" t="s">
        <v>84</v>
      </c>
      <c r="F2455" s="80"/>
      <c r="G2455" s="80" t="s">
        <v>84</v>
      </c>
      <c r="H2455" s="80" t="s">
        <v>84</v>
      </c>
      <c r="I2455" s="80" t="s">
        <v>84</v>
      </c>
      <c r="J2455" s="80" t="s">
        <v>84</v>
      </c>
      <c r="K2455" s="80" t="s">
        <v>84</v>
      </c>
      <c r="L2455" s="80" t="s">
        <v>84</v>
      </c>
      <c r="M2455" s="80" t="s">
        <v>9680</v>
      </c>
      <c r="N2455" s="80" t="s">
        <v>84</v>
      </c>
      <c r="O2455" s="80" t="s">
        <v>84</v>
      </c>
      <c r="P2455" s="80"/>
      <c r="Q2455" s="80" t="s">
        <v>84</v>
      </c>
      <c r="R2455" s="80" t="s">
        <v>84</v>
      </c>
    </row>
    <row r="2456" spans="1:18" ht="20" x14ac:dyDescent="0.2">
      <c r="A2456" s="80" t="s">
        <v>6487</v>
      </c>
      <c r="B2456" s="80" t="s">
        <v>6488</v>
      </c>
      <c r="C2456" s="80" t="s">
        <v>9680</v>
      </c>
      <c r="D2456" s="80" t="s">
        <v>84</v>
      </c>
      <c r="E2456" s="80" t="s">
        <v>84</v>
      </c>
      <c r="F2456" s="80"/>
      <c r="G2456" s="80" t="s">
        <v>84</v>
      </c>
      <c r="H2456" s="80" t="s">
        <v>84</v>
      </c>
      <c r="I2456" s="80" t="s">
        <v>84</v>
      </c>
      <c r="J2456" s="80" t="s">
        <v>84</v>
      </c>
      <c r="K2456" s="80" t="s">
        <v>84</v>
      </c>
      <c r="L2456" s="80" t="s">
        <v>84</v>
      </c>
      <c r="M2456" s="80" t="s">
        <v>9680</v>
      </c>
      <c r="N2456" s="80" t="s">
        <v>84</v>
      </c>
      <c r="O2456" s="80" t="s">
        <v>84</v>
      </c>
      <c r="P2456" s="80"/>
      <c r="Q2456" s="80" t="s">
        <v>84</v>
      </c>
      <c r="R2456" s="80" t="s">
        <v>84</v>
      </c>
    </row>
    <row r="2457" spans="1:18" ht="20" x14ac:dyDescent="0.2">
      <c r="A2457" s="80" t="s">
        <v>10639</v>
      </c>
      <c r="B2457" s="80" t="s">
        <v>10640</v>
      </c>
      <c r="C2457" s="80" t="s">
        <v>84</v>
      </c>
      <c r="D2457" s="80" t="s">
        <v>84</v>
      </c>
      <c r="E2457" s="80" t="s">
        <v>84</v>
      </c>
      <c r="F2457" s="80"/>
      <c r="G2457" s="80" t="s">
        <v>84</v>
      </c>
      <c r="H2457" s="80" t="s">
        <v>84</v>
      </c>
      <c r="I2457" s="80" t="s">
        <v>84</v>
      </c>
      <c r="J2457" s="80" t="s">
        <v>84</v>
      </c>
      <c r="K2457" s="80" t="s">
        <v>84</v>
      </c>
      <c r="L2457" s="80" t="s">
        <v>84</v>
      </c>
      <c r="M2457" s="80" t="s">
        <v>84</v>
      </c>
      <c r="N2457" s="80" t="s">
        <v>84</v>
      </c>
      <c r="O2457" s="80" t="s">
        <v>84</v>
      </c>
      <c r="P2457" s="80"/>
      <c r="Q2457" s="80" t="s">
        <v>84</v>
      </c>
      <c r="R2457" s="80" t="s">
        <v>84</v>
      </c>
    </row>
    <row r="2458" spans="1:18" ht="20" x14ac:dyDescent="0.2">
      <c r="A2458" s="80" t="s">
        <v>6495</v>
      </c>
      <c r="B2458" s="80" t="s">
        <v>10641</v>
      </c>
      <c r="C2458" s="80" t="s">
        <v>84</v>
      </c>
      <c r="D2458" s="80" t="s">
        <v>84</v>
      </c>
      <c r="E2458" s="80" t="s">
        <v>84</v>
      </c>
      <c r="F2458" s="80"/>
      <c r="G2458" s="80" t="s">
        <v>84</v>
      </c>
      <c r="H2458" s="80" t="s">
        <v>84</v>
      </c>
      <c r="I2458" s="80" t="s">
        <v>84</v>
      </c>
      <c r="J2458" s="80" t="s">
        <v>84</v>
      </c>
      <c r="K2458" s="80" t="s">
        <v>84</v>
      </c>
      <c r="L2458" s="80" t="s">
        <v>84</v>
      </c>
      <c r="M2458" s="80" t="s">
        <v>84</v>
      </c>
      <c r="N2458" s="80" t="s">
        <v>84</v>
      </c>
      <c r="O2458" s="80" t="s">
        <v>84</v>
      </c>
      <c r="P2458" s="80"/>
      <c r="Q2458" s="80" t="s">
        <v>84</v>
      </c>
      <c r="R2458" s="80" t="s">
        <v>84</v>
      </c>
    </row>
    <row r="2459" spans="1:18" ht="20" x14ac:dyDescent="0.2">
      <c r="A2459" s="80" t="s">
        <v>6495</v>
      </c>
      <c r="B2459" s="80" t="s">
        <v>6496</v>
      </c>
      <c r="C2459" s="80" t="s">
        <v>84</v>
      </c>
      <c r="D2459" s="80" t="s">
        <v>84</v>
      </c>
      <c r="E2459" s="80" t="s">
        <v>84</v>
      </c>
      <c r="F2459" s="80"/>
      <c r="G2459" s="80" t="s">
        <v>84</v>
      </c>
      <c r="H2459" s="80" t="s">
        <v>84</v>
      </c>
      <c r="I2459" s="80" t="s">
        <v>84</v>
      </c>
      <c r="J2459" s="80" t="s">
        <v>84</v>
      </c>
      <c r="K2459" s="80" t="s">
        <v>84</v>
      </c>
      <c r="L2459" s="80" t="s">
        <v>84</v>
      </c>
      <c r="M2459" s="80" t="s">
        <v>84</v>
      </c>
      <c r="N2459" s="80" t="s">
        <v>84</v>
      </c>
      <c r="O2459" s="80" t="s">
        <v>84</v>
      </c>
      <c r="P2459" s="80"/>
      <c r="Q2459" s="80" t="s">
        <v>84</v>
      </c>
      <c r="R2459" s="80" t="s">
        <v>84</v>
      </c>
    </row>
    <row r="2460" spans="1:18" ht="20" x14ac:dyDescent="0.2">
      <c r="A2460" s="80" t="s">
        <v>6553</v>
      </c>
      <c r="B2460" s="80" t="s">
        <v>10642</v>
      </c>
      <c r="C2460" s="80" t="s">
        <v>84</v>
      </c>
      <c r="D2460" s="80" t="s">
        <v>84</v>
      </c>
      <c r="E2460" s="80" t="s">
        <v>84</v>
      </c>
      <c r="F2460" s="80"/>
      <c r="G2460" s="80" t="s">
        <v>84</v>
      </c>
      <c r="H2460" s="80" t="s">
        <v>84</v>
      </c>
      <c r="I2460" s="80" t="s">
        <v>84</v>
      </c>
      <c r="J2460" s="80" t="s">
        <v>84</v>
      </c>
      <c r="K2460" s="80" t="s">
        <v>84</v>
      </c>
      <c r="L2460" s="80" t="s">
        <v>84</v>
      </c>
      <c r="M2460" s="80" t="s">
        <v>84</v>
      </c>
      <c r="N2460" s="80" t="s">
        <v>84</v>
      </c>
      <c r="O2460" s="80" t="s">
        <v>84</v>
      </c>
      <c r="P2460" s="80"/>
      <c r="Q2460" s="80" t="s">
        <v>84</v>
      </c>
      <c r="R2460" s="80" t="s">
        <v>84</v>
      </c>
    </row>
    <row r="2461" spans="1:18" ht="20" x14ac:dyDescent="0.2">
      <c r="A2461" s="80" t="s">
        <v>6553</v>
      </c>
      <c r="B2461" s="80" t="s">
        <v>6554</v>
      </c>
      <c r="C2461" s="80" t="s">
        <v>84</v>
      </c>
      <c r="D2461" s="80" t="s">
        <v>84</v>
      </c>
      <c r="E2461" s="80" t="s">
        <v>84</v>
      </c>
      <c r="F2461" s="80"/>
      <c r="G2461" s="80" t="s">
        <v>84</v>
      </c>
      <c r="H2461" s="80" t="s">
        <v>84</v>
      </c>
      <c r="I2461" s="80" t="s">
        <v>84</v>
      </c>
      <c r="J2461" s="80" t="s">
        <v>84</v>
      </c>
      <c r="K2461" s="80" t="s">
        <v>84</v>
      </c>
      <c r="L2461" s="80" t="s">
        <v>84</v>
      </c>
      <c r="M2461" s="80" t="s">
        <v>84</v>
      </c>
      <c r="N2461" s="80" t="s">
        <v>84</v>
      </c>
      <c r="O2461" s="80" t="s">
        <v>84</v>
      </c>
      <c r="P2461" s="80"/>
      <c r="Q2461" s="80" t="s">
        <v>84</v>
      </c>
      <c r="R2461" s="80" t="s">
        <v>84</v>
      </c>
    </row>
    <row r="2462" spans="1:18" ht="20" x14ac:dyDescent="0.2">
      <c r="A2462" s="80" t="s">
        <v>10643</v>
      </c>
      <c r="B2462" s="80" t="s">
        <v>10644</v>
      </c>
      <c r="C2462" s="80" t="s">
        <v>84</v>
      </c>
      <c r="D2462" s="80" t="s">
        <v>84</v>
      </c>
      <c r="E2462" s="80" t="s">
        <v>84</v>
      </c>
      <c r="F2462" s="80"/>
      <c r="G2462" s="80" t="s">
        <v>84</v>
      </c>
      <c r="H2462" s="80" t="s">
        <v>84</v>
      </c>
      <c r="I2462" s="80" t="s">
        <v>84</v>
      </c>
      <c r="J2462" s="80" t="s">
        <v>84</v>
      </c>
      <c r="K2462" s="80" t="s">
        <v>84</v>
      </c>
      <c r="L2462" s="80" t="s">
        <v>84</v>
      </c>
      <c r="M2462" s="80" t="s">
        <v>84</v>
      </c>
      <c r="N2462" s="80" t="s">
        <v>84</v>
      </c>
      <c r="O2462" s="80" t="s">
        <v>84</v>
      </c>
      <c r="P2462" s="80"/>
      <c r="Q2462" s="80" t="s">
        <v>84</v>
      </c>
      <c r="R2462" s="80" t="s">
        <v>84</v>
      </c>
    </row>
    <row r="2463" spans="1:18" ht="20" x14ac:dyDescent="0.2">
      <c r="A2463" s="80" t="s">
        <v>10645</v>
      </c>
      <c r="B2463" s="80" t="s">
        <v>10646</v>
      </c>
      <c r="C2463" s="80" t="s">
        <v>84</v>
      </c>
      <c r="D2463" s="80" t="s">
        <v>84</v>
      </c>
      <c r="E2463" s="80" t="s">
        <v>84</v>
      </c>
      <c r="F2463" s="80"/>
      <c r="G2463" s="80" t="s">
        <v>84</v>
      </c>
      <c r="H2463" s="80" t="s">
        <v>84</v>
      </c>
      <c r="I2463" s="80" t="s">
        <v>84</v>
      </c>
      <c r="J2463" s="80" t="s">
        <v>84</v>
      </c>
      <c r="K2463" s="80" t="s">
        <v>84</v>
      </c>
      <c r="L2463" s="80" t="s">
        <v>84</v>
      </c>
      <c r="M2463" s="80" t="s">
        <v>84</v>
      </c>
      <c r="N2463" s="80" t="s">
        <v>84</v>
      </c>
      <c r="O2463" s="80" t="s">
        <v>84</v>
      </c>
      <c r="P2463" s="80"/>
      <c r="Q2463" s="80" t="s">
        <v>84</v>
      </c>
      <c r="R2463" s="80" t="s">
        <v>84</v>
      </c>
    </row>
    <row r="2464" spans="1:18" ht="20" x14ac:dyDescent="0.2">
      <c r="A2464" s="80" t="s">
        <v>6630</v>
      </c>
      <c r="B2464" s="80" t="s">
        <v>6631</v>
      </c>
      <c r="C2464" s="80" t="s">
        <v>84</v>
      </c>
      <c r="D2464" s="80" t="s">
        <v>84</v>
      </c>
      <c r="E2464" s="80" t="s">
        <v>84</v>
      </c>
      <c r="F2464" s="80"/>
      <c r="G2464" s="80" t="s">
        <v>84</v>
      </c>
      <c r="H2464" s="80" t="s">
        <v>84</v>
      </c>
      <c r="I2464" s="80" t="s">
        <v>84</v>
      </c>
      <c r="J2464" s="80" t="s">
        <v>84</v>
      </c>
      <c r="K2464" s="80" t="s">
        <v>84</v>
      </c>
      <c r="L2464" s="80" t="s">
        <v>84</v>
      </c>
      <c r="M2464" s="80" t="s">
        <v>84</v>
      </c>
      <c r="N2464" s="80" t="s">
        <v>84</v>
      </c>
      <c r="O2464" s="80" t="s">
        <v>84</v>
      </c>
      <c r="P2464" s="80"/>
      <c r="Q2464" s="80" t="s">
        <v>84</v>
      </c>
      <c r="R2464" s="80" t="s">
        <v>84</v>
      </c>
    </row>
    <row r="2465" spans="1:18" ht="20" x14ac:dyDescent="0.2">
      <c r="A2465" s="80" t="s">
        <v>6632</v>
      </c>
      <c r="B2465" s="80" t="s">
        <v>6633</v>
      </c>
      <c r="C2465" s="80" t="s">
        <v>9680</v>
      </c>
      <c r="D2465" s="80" t="s">
        <v>84</v>
      </c>
      <c r="E2465" s="80" t="s">
        <v>9680</v>
      </c>
      <c r="F2465" s="80"/>
      <c r="G2465" s="80" t="s">
        <v>84</v>
      </c>
      <c r="H2465" s="80" t="s">
        <v>84</v>
      </c>
      <c r="I2465" s="80" t="s">
        <v>84</v>
      </c>
      <c r="J2465" s="80" t="s">
        <v>84</v>
      </c>
      <c r="K2465" s="80" t="s">
        <v>84</v>
      </c>
      <c r="L2465" s="80" t="s">
        <v>84</v>
      </c>
      <c r="M2465" s="80" t="s">
        <v>84</v>
      </c>
      <c r="N2465" s="80" t="s">
        <v>84</v>
      </c>
      <c r="O2465" s="80" t="s">
        <v>84</v>
      </c>
      <c r="P2465" s="80"/>
      <c r="Q2465" s="80" t="s">
        <v>84</v>
      </c>
      <c r="R2465" s="80" t="s">
        <v>84</v>
      </c>
    </row>
    <row r="2466" spans="1:18" x14ac:dyDescent="0.2">
      <c r="A2466" s="80" t="s">
        <v>10647</v>
      </c>
      <c r="B2466" s="80" t="s">
        <v>10648</v>
      </c>
      <c r="C2466" s="80" t="s">
        <v>84</v>
      </c>
      <c r="D2466" s="80" t="s">
        <v>84</v>
      </c>
      <c r="E2466" s="80" t="s">
        <v>84</v>
      </c>
      <c r="F2466" s="80"/>
      <c r="G2466" s="80" t="s">
        <v>84</v>
      </c>
      <c r="H2466" s="80" t="s">
        <v>84</v>
      </c>
      <c r="I2466" s="80" t="s">
        <v>84</v>
      </c>
      <c r="J2466" s="80" t="s">
        <v>84</v>
      </c>
      <c r="K2466" s="80" t="s">
        <v>84</v>
      </c>
      <c r="L2466" s="80" t="s">
        <v>84</v>
      </c>
      <c r="M2466" s="80" t="s">
        <v>84</v>
      </c>
      <c r="N2466" s="80" t="s">
        <v>84</v>
      </c>
      <c r="O2466" s="80" t="s">
        <v>84</v>
      </c>
      <c r="P2466" s="80"/>
      <c r="Q2466" s="80" t="s">
        <v>84</v>
      </c>
      <c r="R2466" s="80" t="s">
        <v>84</v>
      </c>
    </row>
    <row r="2467" spans="1:18" ht="20" x14ac:dyDescent="0.2">
      <c r="A2467" s="80" t="s">
        <v>6755</v>
      </c>
      <c r="B2467" s="80" t="s">
        <v>10649</v>
      </c>
      <c r="C2467" s="80" t="s">
        <v>9680</v>
      </c>
      <c r="D2467" s="80" t="s">
        <v>84</v>
      </c>
      <c r="E2467" s="80" t="s">
        <v>84</v>
      </c>
      <c r="F2467" s="80"/>
      <c r="G2467" s="80" t="s">
        <v>84</v>
      </c>
      <c r="H2467" s="80" t="s">
        <v>84</v>
      </c>
      <c r="I2467" s="80" t="s">
        <v>84</v>
      </c>
      <c r="J2467" s="80" t="s">
        <v>84</v>
      </c>
      <c r="K2467" s="80" t="s">
        <v>84</v>
      </c>
      <c r="L2467" s="80" t="s">
        <v>84</v>
      </c>
      <c r="M2467" s="80" t="s">
        <v>9680</v>
      </c>
      <c r="N2467" s="80" t="s">
        <v>84</v>
      </c>
      <c r="O2467" s="80" t="s">
        <v>84</v>
      </c>
      <c r="P2467" s="80"/>
      <c r="Q2467" s="80" t="s">
        <v>84</v>
      </c>
      <c r="R2467" s="80" t="s">
        <v>84</v>
      </c>
    </row>
    <row r="2468" spans="1:18" ht="20" x14ac:dyDescent="0.2">
      <c r="A2468" s="80" t="s">
        <v>6755</v>
      </c>
      <c r="B2468" s="80" t="s">
        <v>10650</v>
      </c>
      <c r="C2468" s="80" t="s">
        <v>9680</v>
      </c>
      <c r="D2468" s="80" t="s">
        <v>84</v>
      </c>
      <c r="E2468" s="80" t="s">
        <v>84</v>
      </c>
      <c r="F2468" s="80"/>
      <c r="G2468" s="80" t="s">
        <v>84</v>
      </c>
      <c r="H2468" s="80" t="s">
        <v>84</v>
      </c>
      <c r="I2468" s="80" t="s">
        <v>84</v>
      </c>
      <c r="J2468" s="80" t="s">
        <v>84</v>
      </c>
      <c r="K2468" s="80" t="s">
        <v>84</v>
      </c>
      <c r="L2468" s="80" t="s">
        <v>84</v>
      </c>
      <c r="M2468" s="80" t="s">
        <v>9680</v>
      </c>
      <c r="N2468" s="80" t="s">
        <v>84</v>
      </c>
      <c r="O2468" s="80" t="s">
        <v>84</v>
      </c>
      <c r="P2468" s="80"/>
      <c r="Q2468" s="80" t="s">
        <v>84</v>
      </c>
      <c r="R2468" s="80" t="s">
        <v>84</v>
      </c>
    </row>
    <row r="2469" spans="1:18" ht="20" x14ac:dyDescent="0.2">
      <c r="A2469" s="80" t="s">
        <v>6755</v>
      </c>
      <c r="B2469" s="80" t="s">
        <v>6756</v>
      </c>
      <c r="C2469" s="80" t="s">
        <v>9680</v>
      </c>
      <c r="D2469" s="80" t="s">
        <v>84</v>
      </c>
      <c r="E2469" s="80" t="s">
        <v>84</v>
      </c>
      <c r="F2469" s="80"/>
      <c r="G2469" s="80" t="s">
        <v>84</v>
      </c>
      <c r="H2469" s="80" t="s">
        <v>84</v>
      </c>
      <c r="I2469" s="80" t="s">
        <v>84</v>
      </c>
      <c r="J2469" s="80" t="s">
        <v>84</v>
      </c>
      <c r="K2469" s="80" t="s">
        <v>84</v>
      </c>
      <c r="L2469" s="80" t="s">
        <v>84</v>
      </c>
      <c r="M2469" s="80" t="s">
        <v>9680</v>
      </c>
      <c r="N2469" s="80" t="s">
        <v>84</v>
      </c>
      <c r="O2469" s="80" t="s">
        <v>84</v>
      </c>
      <c r="P2469" s="80"/>
      <c r="Q2469" s="80" t="s">
        <v>84</v>
      </c>
      <c r="R2469" s="80" t="s">
        <v>84</v>
      </c>
    </row>
    <row r="2470" spans="1:18" ht="20" x14ac:dyDescent="0.2">
      <c r="A2470" s="80" t="s">
        <v>6757</v>
      </c>
      <c r="B2470" s="80" t="s">
        <v>10651</v>
      </c>
      <c r="C2470" s="80" t="s">
        <v>84</v>
      </c>
      <c r="D2470" s="80" t="s">
        <v>84</v>
      </c>
      <c r="E2470" s="80" t="s">
        <v>84</v>
      </c>
      <c r="F2470" s="80"/>
      <c r="G2470" s="80" t="s">
        <v>84</v>
      </c>
      <c r="H2470" s="80" t="s">
        <v>84</v>
      </c>
      <c r="I2470" s="80" t="s">
        <v>84</v>
      </c>
      <c r="J2470" s="80" t="s">
        <v>84</v>
      </c>
      <c r="K2470" s="80" t="s">
        <v>84</v>
      </c>
      <c r="L2470" s="80" t="s">
        <v>84</v>
      </c>
      <c r="M2470" s="80" t="s">
        <v>84</v>
      </c>
      <c r="N2470" s="80" t="s">
        <v>84</v>
      </c>
      <c r="O2470" s="80" t="s">
        <v>84</v>
      </c>
      <c r="P2470" s="80"/>
      <c r="Q2470" s="80" t="s">
        <v>84</v>
      </c>
      <c r="R2470" s="80" t="s">
        <v>84</v>
      </c>
    </row>
    <row r="2471" spans="1:18" ht="20" x14ac:dyDescent="0.2">
      <c r="A2471" s="80" t="s">
        <v>6757</v>
      </c>
      <c r="B2471" s="80" t="s">
        <v>6758</v>
      </c>
      <c r="C2471" s="80" t="s">
        <v>84</v>
      </c>
      <c r="D2471" s="80" t="s">
        <v>84</v>
      </c>
      <c r="E2471" s="80" t="s">
        <v>84</v>
      </c>
      <c r="F2471" s="80"/>
      <c r="G2471" s="80" t="s">
        <v>84</v>
      </c>
      <c r="H2471" s="80" t="s">
        <v>84</v>
      </c>
      <c r="I2471" s="80" t="s">
        <v>84</v>
      </c>
      <c r="J2471" s="80" t="s">
        <v>84</v>
      </c>
      <c r="K2471" s="80" t="s">
        <v>84</v>
      </c>
      <c r="L2471" s="80" t="s">
        <v>84</v>
      </c>
      <c r="M2471" s="80" t="s">
        <v>84</v>
      </c>
      <c r="N2471" s="80" t="s">
        <v>84</v>
      </c>
      <c r="O2471" s="80" t="s">
        <v>84</v>
      </c>
      <c r="P2471" s="80"/>
      <c r="Q2471" s="80" t="s">
        <v>84</v>
      </c>
      <c r="R2471" s="80" t="s">
        <v>84</v>
      </c>
    </row>
    <row r="2472" spans="1:18" ht="20" x14ac:dyDescent="0.2">
      <c r="A2472" s="80" t="s">
        <v>6733</v>
      </c>
      <c r="B2472" s="80" t="s">
        <v>10652</v>
      </c>
      <c r="C2472" s="80" t="s">
        <v>84</v>
      </c>
      <c r="D2472" s="80" t="s">
        <v>84</v>
      </c>
      <c r="E2472" s="80" t="s">
        <v>84</v>
      </c>
      <c r="F2472" s="80"/>
      <c r="G2472" s="80" t="s">
        <v>84</v>
      </c>
      <c r="H2472" s="80" t="s">
        <v>84</v>
      </c>
      <c r="I2472" s="80" t="s">
        <v>84</v>
      </c>
      <c r="J2472" s="80" t="s">
        <v>84</v>
      </c>
      <c r="K2472" s="80" t="s">
        <v>84</v>
      </c>
      <c r="L2472" s="80" t="s">
        <v>84</v>
      </c>
      <c r="M2472" s="80" t="s">
        <v>84</v>
      </c>
      <c r="N2472" s="80" t="s">
        <v>84</v>
      </c>
      <c r="O2472" s="80" t="s">
        <v>84</v>
      </c>
      <c r="P2472" s="80"/>
      <c r="Q2472" s="80" t="s">
        <v>84</v>
      </c>
      <c r="R2472" s="80" t="s">
        <v>84</v>
      </c>
    </row>
    <row r="2473" spans="1:18" ht="20" x14ac:dyDescent="0.2">
      <c r="A2473" s="80" t="s">
        <v>6733</v>
      </c>
      <c r="B2473" s="80" t="s">
        <v>6734</v>
      </c>
      <c r="C2473" s="80" t="s">
        <v>84</v>
      </c>
      <c r="D2473" s="80" t="s">
        <v>84</v>
      </c>
      <c r="E2473" s="80" t="s">
        <v>84</v>
      </c>
      <c r="F2473" s="80"/>
      <c r="G2473" s="80" t="s">
        <v>84</v>
      </c>
      <c r="H2473" s="80" t="s">
        <v>84</v>
      </c>
      <c r="I2473" s="80" t="s">
        <v>84</v>
      </c>
      <c r="J2473" s="80" t="s">
        <v>84</v>
      </c>
      <c r="K2473" s="80" t="s">
        <v>84</v>
      </c>
      <c r="L2473" s="80" t="s">
        <v>84</v>
      </c>
      <c r="M2473" s="80" t="s">
        <v>84</v>
      </c>
      <c r="N2473" s="80" t="s">
        <v>84</v>
      </c>
      <c r="O2473" s="80" t="s">
        <v>84</v>
      </c>
      <c r="P2473" s="80"/>
      <c r="Q2473" s="80" t="s">
        <v>84</v>
      </c>
      <c r="R2473" s="80" t="s">
        <v>84</v>
      </c>
    </row>
    <row r="2474" spans="1:18" ht="20" x14ac:dyDescent="0.2">
      <c r="A2474" s="80" t="s">
        <v>10653</v>
      </c>
      <c r="B2474" s="80" t="s">
        <v>10654</v>
      </c>
      <c r="C2474" s="80" t="s">
        <v>84</v>
      </c>
      <c r="D2474" s="80" t="s">
        <v>84</v>
      </c>
      <c r="E2474" s="80" t="s">
        <v>84</v>
      </c>
      <c r="F2474" s="80"/>
      <c r="G2474" s="80" t="s">
        <v>84</v>
      </c>
      <c r="H2474" s="80" t="s">
        <v>84</v>
      </c>
      <c r="I2474" s="80" t="s">
        <v>84</v>
      </c>
      <c r="J2474" s="80" t="s">
        <v>84</v>
      </c>
      <c r="K2474" s="80" t="s">
        <v>84</v>
      </c>
      <c r="L2474" s="80" t="s">
        <v>84</v>
      </c>
      <c r="M2474" s="80" t="s">
        <v>84</v>
      </c>
      <c r="N2474" s="80" t="s">
        <v>84</v>
      </c>
      <c r="O2474" s="80" t="s">
        <v>84</v>
      </c>
      <c r="P2474" s="80"/>
      <c r="Q2474" s="80" t="s">
        <v>84</v>
      </c>
      <c r="R2474" s="80" t="s">
        <v>84</v>
      </c>
    </row>
    <row r="2475" spans="1:18" ht="20" x14ac:dyDescent="0.2">
      <c r="A2475" s="80" t="s">
        <v>6427</v>
      </c>
      <c r="B2475" s="80" t="s">
        <v>6428</v>
      </c>
      <c r="C2475" s="80" t="s">
        <v>84</v>
      </c>
      <c r="D2475" s="80" t="s">
        <v>84</v>
      </c>
      <c r="E2475" s="80" t="s">
        <v>84</v>
      </c>
      <c r="F2475" s="80"/>
      <c r="G2475" s="80" t="s">
        <v>84</v>
      </c>
      <c r="H2475" s="80" t="s">
        <v>84</v>
      </c>
      <c r="I2475" s="80" t="s">
        <v>84</v>
      </c>
      <c r="J2475" s="80" t="s">
        <v>84</v>
      </c>
      <c r="K2475" s="80" t="s">
        <v>84</v>
      </c>
      <c r="L2475" s="80" t="s">
        <v>84</v>
      </c>
      <c r="M2475" s="80" t="s">
        <v>84</v>
      </c>
      <c r="N2475" s="80" t="s">
        <v>84</v>
      </c>
      <c r="O2475" s="80" t="s">
        <v>84</v>
      </c>
      <c r="P2475" s="80"/>
      <c r="Q2475" s="80" t="s">
        <v>84</v>
      </c>
      <c r="R2475" s="80" t="s">
        <v>84</v>
      </c>
    </row>
    <row r="2476" spans="1:18" ht="20" x14ac:dyDescent="0.2">
      <c r="A2476" s="80" t="s">
        <v>6429</v>
      </c>
      <c r="B2476" s="80" t="s">
        <v>6430</v>
      </c>
      <c r="C2476" s="80" t="s">
        <v>84</v>
      </c>
      <c r="D2476" s="80" t="s">
        <v>84</v>
      </c>
      <c r="E2476" s="80" t="s">
        <v>84</v>
      </c>
      <c r="F2476" s="80"/>
      <c r="G2476" s="80" t="s">
        <v>84</v>
      </c>
      <c r="H2476" s="80" t="s">
        <v>84</v>
      </c>
      <c r="I2476" s="80" t="s">
        <v>84</v>
      </c>
      <c r="J2476" s="80" t="s">
        <v>84</v>
      </c>
      <c r="K2476" s="80" t="s">
        <v>84</v>
      </c>
      <c r="L2476" s="80" t="s">
        <v>84</v>
      </c>
      <c r="M2476" s="80" t="s">
        <v>84</v>
      </c>
      <c r="N2476" s="80" t="s">
        <v>84</v>
      </c>
      <c r="O2476" s="80" t="s">
        <v>84</v>
      </c>
      <c r="P2476" s="80"/>
      <c r="Q2476" s="80" t="s">
        <v>84</v>
      </c>
      <c r="R2476" s="80" t="s">
        <v>84</v>
      </c>
    </row>
    <row r="2477" spans="1:18" ht="20" x14ac:dyDescent="0.2">
      <c r="A2477" s="80" t="s">
        <v>10655</v>
      </c>
      <c r="B2477" s="80" t="s">
        <v>10656</v>
      </c>
      <c r="C2477" s="80" t="s">
        <v>84</v>
      </c>
      <c r="D2477" s="80" t="s">
        <v>84</v>
      </c>
      <c r="E2477" s="80" t="s">
        <v>84</v>
      </c>
      <c r="F2477" s="80"/>
      <c r="G2477" s="80" t="s">
        <v>84</v>
      </c>
      <c r="H2477" s="80" t="s">
        <v>84</v>
      </c>
      <c r="I2477" s="80" t="s">
        <v>84</v>
      </c>
      <c r="J2477" s="80" t="s">
        <v>84</v>
      </c>
      <c r="K2477" s="80" t="s">
        <v>84</v>
      </c>
      <c r="L2477" s="80" t="s">
        <v>84</v>
      </c>
      <c r="M2477" s="80" t="s">
        <v>84</v>
      </c>
      <c r="N2477" s="80" t="s">
        <v>84</v>
      </c>
      <c r="O2477" s="80" t="s">
        <v>84</v>
      </c>
      <c r="P2477" s="80"/>
      <c r="Q2477" s="80" t="s">
        <v>84</v>
      </c>
      <c r="R2477" s="80" t="s">
        <v>84</v>
      </c>
    </row>
    <row r="2478" spans="1:18" ht="20" x14ac:dyDescent="0.2">
      <c r="A2478" s="80" t="s">
        <v>10657</v>
      </c>
      <c r="B2478" s="80" t="s">
        <v>10658</v>
      </c>
      <c r="C2478" s="80" t="s">
        <v>84</v>
      </c>
      <c r="D2478" s="80" t="s">
        <v>84</v>
      </c>
      <c r="E2478" s="80" t="s">
        <v>84</v>
      </c>
      <c r="F2478" s="80"/>
      <c r="G2478" s="80" t="s">
        <v>84</v>
      </c>
      <c r="H2478" s="80" t="s">
        <v>84</v>
      </c>
      <c r="I2478" s="80" t="s">
        <v>84</v>
      </c>
      <c r="J2478" s="80" t="s">
        <v>84</v>
      </c>
      <c r="K2478" s="80" t="s">
        <v>84</v>
      </c>
      <c r="L2478" s="80" t="s">
        <v>84</v>
      </c>
      <c r="M2478" s="80" t="s">
        <v>84</v>
      </c>
      <c r="N2478" s="80" t="s">
        <v>84</v>
      </c>
      <c r="O2478" s="80" t="s">
        <v>84</v>
      </c>
      <c r="P2478" s="80"/>
      <c r="Q2478" s="80" t="s">
        <v>84</v>
      </c>
      <c r="R2478" s="80" t="s">
        <v>84</v>
      </c>
    </row>
    <row r="2479" spans="1:18" ht="20" x14ac:dyDescent="0.2">
      <c r="A2479" s="80" t="s">
        <v>10659</v>
      </c>
      <c r="B2479" s="80" t="s">
        <v>10660</v>
      </c>
      <c r="C2479" s="80" t="s">
        <v>84</v>
      </c>
      <c r="D2479" s="80" t="s">
        <v>84</v>
      </c>
      <c r="E2479" s="80" t="s">
        <v>84</v>
      </c>
      <c r="F2479" s="80"/>
      <c r="G2479" s="80" t="s">
        <v>84</v>
      </c>
      <c r="H2479" s="80" t="s">
        <v>84</v>
      </c>
      <c r="I2479" s="80" t="s">
        <v>84</v>
      </c>
      <c r="J2479" s="80" t="s">
        <v>84</v>
      </c>
      <c r="K2479" s="80" t="s">
        <v>84</v>
      </c>
      <c r="L2479" s="80" t="s">
        <v>84</v>
      </c>
      <c r="M2479" s="80" t="s">
        <v>84</v>
      </c>
      <c r="N2479" s="80" t="s">
        <v>84</v>
      </c>
      <c r="O2479" s="80" t="s">
        <v>84</v>
      </c>
      <c r="P2479" s="80"/>
      <c r="Q2479" s="80" t="s">
        <v>84</v>
      </c>
      <c r="R2479" s="80" t="s">
        <v>84</v>
      </c>
    </row>
    <row r="2480" spans="1:18" ht="20" x14ac:dyDescent="0.2">
      <c r="A2480" s="80" t="s">
        <v>6597</v>
      </c>
      <c r="B2480" s="80" t="s">
        <v>10661</v>
      </c>
      <c r="C2480" s="80" t="s">
        <v>84</v>
      </c>
      <c r="D2480" s="80" t="s">
        <v>84</v>
      </c>
      <c r="E2480" s="80" t="s">
        <v>84</v>
      </c>
      <c r="F2480" s="80"/>
      <c r="G2480" s="80" t="s">
        <v>84</v>
      </c>
      <c r="H2480" s="80" t="s">
        <v>84</v>
      </c>
      <c r="I2480" s="80" t="s">
        <v>84</v>
      </c>
      <c r="J2480" s="80" t="s">
        <v>84</v>
      </c>
      <c r="K2480" s="80" t="s">
        <v>84</v>
      </c>
      <c r="L2480" s="80" t="s">
        <v>84</v>
      </c>
      <c r="M2480" s="80" t="s">
        <v>84</v>
      </c>
      <c r="N2480" s="80" t="s">
        <v>84</v>
      </c>
      <c r="O2480" s="80" t="s">
        <v>84</v>
      </c>
      <c r="P2480" s="80"/>
      <c r="Q2480" s="80" t="s">
        <v>84</v>
      </c>
      <c r="R2480" s="80" t="s">
        <v>84</v>
      </c>
    </row>
    <row r="2481" spans="1:18" ht="20" x14ac:dyDescent="0.2">
      <c r="A2481" s="80" t="s">
        <v>6597</v>
      </c>
      <c r="B2481" s="80" t="s">
        <v>6598</v>
      </c>
      <c r="C2481" s="80" t="s">
        <v>84</v>
      </c>
      <c r="D2481" s="80" t="s">
        <v>84</v>
      </c>
      <c r="E2481" s="80" t="s">
        <v>84</v>
      </c>
      <c r="F2481" s="80"/>
      <c r="G2481" s="80" t="s">
        <v>84</v>
      </c>
      <c r="H2481" s="80" t="s">
        <v>84</v>
      </c>
      <c r="I2481" s="80" t="s">
        <v>84</v>
      </c>
      <c r="J2481" s="80" t="s">
        <v>84</v>
      </c>
      <c r="K2481" s="80" t="s">
        <v>84</v>
      </c>
      <c r="L2481" s="80" t="s">
        <v>84</v>
      </c>
      <c r="M2481" s="80" t="s">
        <v>84</v>
      </c>
      <c r="N2481" s="80" t="s">
        <v>84</v>
      </c>
      <c r="O2481" s="80" t="s">
        <v>84</v>
      </c>
      <c r="P2481" s="80"/>
      <c r="Q2481" s="80" t="s">
        <v>84</v>
      </c>
      <c r="R2481" s="80" t="s">
        <v>84</v>
      </c>
    </row>
    <row r="2482" spans="1:18" ht="20" x14ac:dyDescent="0.2">
      <c r="A2482" s="80" t="s">
        <v>6589</v>
      </c>
      <c r="B2482" s="80" t="s">
        <v>10662</v>
      </c>
      <c r="C2482" s="80" t="s">
        <v>84</v>
      </c>
      <c r="D2482" s="80" t="s">
        <v>84</v>
      </c>
      <c r="E2482" s="80" t="s">
        <v>84</v>
      </c>
      <c r="F2482" s="80"/>
      <c r="G2482" s="80" t="s">
        <v>84</v>
      </c>
      <c r="H2482" s="80" t="s">
        <v>84</v>
      </c>
      <c r="I2482" s="80" t="s">
        <v>84</v>
      </c>
      <c r="J2482" s="80" t="s">
        <v>84</v>
      </c>
      <c r="K2482" s="80" t="s">
        <v>84</v>
      </c>
      <c r="L2482" s="80" t="s">
        <v>84</v>
      </c>
      <c r="M2482" s="80" t="s">
        <v>84</v>
      </c>
      <c r="N2482" s="80" t="s">
        <v>84</v>
      </c>
      <c r="O2482" s="80" t="s">
        <v>84</v>
      </c>
      <c r="P2482" s="80"/>
      <c r="Q2482" s="80" t="s">
        <v>84</v>
      </c>
      <c r="R2482" s="80" t="s">
        <v>84</v>
      </c>
    </row>
    <row r="2483" spans="1:18" ht="20" x14ac:dyDescent="0.2">
      <c r="A2483" s="80" t="s">
        <v>6589</v>
      </c>
      <c r="B2483" s="80" t="s">
        <v>6590</v>
      </c>
      <c r="C2483" s="80" t="s">
        <v>84</v>
      </c>
      <c r="D2483" s="80" t="s">
        <v>84</v>
      </c>
      <c r="E2483" s="80" t="s">
        <v>84</v>
      </c>
      <c r="F2483" s="80"/>
      <c r="G2483" s="80" t="s">
        <v>84</v>
      </c>
      <c r="H2483" s="80" t="s">
        <v>84</v>
      </c>
      <c r="I2483" s="80" t="s">
        <v>84</v>
      </c>
      <c r="J2483" s="80" t="s">
        <v>84</v>
      </c>
      <c r="K2483" s="80" t="s">
        <v>84</v>
      </c>
      <c r="L2483" s="80" t="s">
        <v>84</v>
      </c>
      <c r="M2483" s="80" t="s">
        <v>84</v>
      </c>
      <c r="N2483" s="80" t="s">
        <v>84</v>
      </c>
      <c r="O2483" s="80" t="s">
        <v>84</v>
      </c>
      <c r="P2483" s="80"/>
      <c r="Q2483" s="80" t="s">
        <v>84</v>
      </c>
      <c r="R2483" s="80" t="s">
        <v>84</v>
      </c>
    </row>
    <row r="2484" spans="1:18" ht="20" x14ac:dyDescent="0.2">
      <c r="A2484" s="80" t="s">
        <v>6591</v>
      </c>
      <c r="B2484" s="80" t="s">
        <v>10663</v>
      </c>
      <c r="C2484" s="80" t="s">
        <v>84</v>
      </c>
      <c r="D2484" s="80" t="s">
        <v>84</v>
      </c>
      <c r="E2484" s="80" t="s">
        <v>84</v>
      </c>
      <c r="F2484" s="80"/>
      <c r="G2484" s="80" t="s">
        <v>84</v>
      </c>
      <c r="H2484" s="80" t="s">
        <v>84</v>
      </c>
      <c r="I2484" s="80" t="s">
        <v>84</v>
      </c>
      <c r="J2484" s="80" t="s">
        <v>84</v>
      </c>
      <c r="K2484" s="80" t="s">
        <v>84</v>
      </c>
      <c r="L2484" s="80" t="s">
        <v>84</v>
      </c>
      <c r="M2484" s="80" t="s">
        <v>84</v>
      </c>
      <c r="N2484" s="80" t="s">
        <v>84</v>
      </c>
      <c r="O2484" s="80" t="s">
        <v>84</v>
      </c>
      <c r="P2484" s="80"/>
      <c r="Q2484" s="80" t="s">
        <v>84</v>
      </c>
      <c r="R2484" s="80" t="s">
        <v>84</v>
      </c>
    </row>
    <row r="2485" spans="1:18" ht="20" x14ac:dyDescent="0.2">
      <c r="A2485" s="80" t="s">
        <v>6591</v>
      </c>
      <c r="B2485" s="80" t="s">
        <v>6592</v>
      </c>
      <c r="C2485" s="80" t="s">
        <v>84</v>
      </c>
      <c r="D2485" s="80" t="s">
        <v>84</v>
      </c>
      <c r="E2485" s="80" t="s">
        <v>84</v>
      </c>
      <c r="F2485" s="80"/>
      <c r="G2485" s="80" t="s">
        <v>84</v>
      </c>
      <c r="H2485" s="80" t="s">
        <v>84</v>
      </c>
      <c r="I2485" s="80" t="s">
        <v>84</v>
      </c>
      <c r="J2485" s="80" t="s">
        <v>84</v>
      </c>
      <c r="K2485" s="80" t="s">
        <v>84</v>
      </c>
      <c r="L2485" s="80" t="s">
        <v>84</v>
      </c>
      <c r="M2485" s="80" t="s">
        <v>84</v>
      </c>
      <c r="N2485" s="80" t="s">
        <v>84</v>
      </c>
      <c r="O2485" s="80" t="s">
        <v>84</v>
      </c>
      <c r="P2485" s="80"/>
      <c r="Q2485" s="80" t="s">
        <v>84</v>
      </c>
      <c r="R2485" s="80" t="s">
        <v>84</v>
      </c>
    </row>
    <row r="2486" spans="1:18" ht="20" x14ac:dyDescent="0.2">
      <c r="A2486" s="80" t="s">
        <v>6593</v>
      </c>
      <c r="B2486" s="80" t="s">
        <v>10664</v>
      </c>
      <c r="C2486" s="80" t="s">
        <v>84</v>
      </c>
      <c r="D2486" s="80" t="s">
        <v>84</v>
      </c>
      <c r="E2486" s="80" t="s">
        <v>84</v>
      </c>
      <c r="F2486" s="80"/>
      <c r="G2486" s="80" t="s">
        <v>84</v>
      </c>
      <c r="H2486" s="80" t="s">
        <v>84</v>
      </c>
      <c r="I2486" s="80" t="s">
        <v>84</v>
      </c>
      <c r="J2486" s="80" t="s">
        <v>84</v>
      </c>
      <c r="K2486" s="80" t="s">
        <v>84</v>
      </c>
      <c r="L2486" s="80" t="s">
        <v>84</v>
      </c>
      <c r="M2486" s="80" t="s">
        <v>84</v>
      </c>
      <c r="N2486" s="80" t="s">
        <v>84</v>
      </c>
      <c r="O2486" s="80" t="s">
        <v>84</v>
      </c>
      <c r="P2486" s="80"/>
      <c r="Q2486" s="80" t="s">
        <v>84</v>
      </c>
      <c r="R2486" s="80" t="s">
        <v>84</v>
      </c>
    </row>
    <row r="2487" spans="1:18" ht="20" x14ac:dyDescent="0.2">
      <c r="A2487" s="80" t="s">
        <v>6593</v>
      </c>
      <c r="B2487" s="80" t="s">
        <v>6594</v>
      </c>
      <c r="C2487" s="80" t="s">
        <v>84</v>
      </c>
      <c r="D2487" s="80" t="s">
        <v>84</v>
      </c>
      <c r="E2487" s="80" t="s">
        <v>84</v>
      </c>
      <c r="F2487" s="80"/>
      <c r="G2487" s="80" t="s">
        <v>84</v>
      </c>
      <c r="H2487" s="80" t="s">
        <v>84</v>
      </c>
      <c r="I2487" s="80" t="s">
        <v>84</v>
      </c>
      <c r="J2487" s="80" t="s">
        <v>84</v>
      </c>
      <c r="K2487" s="80" t="s">
        <v>84</v>
      </c>
      <c r="L2487" s="80" t="s">
        <v>84</v>
      </c>
      <c r="M2487" s="80" t="s">
        <v>84</v>
      </c>
      <c r="N2487" s="80" t="s">
        <v>84</v>
      </c>
      <c r="O2487" s="80" t="s">
        <v>84</v>
      </c>
      <c r="P2487" s="80"/>
      <c r="Q2487" s="80" t="s">
        <v>84</v>
      </c>
      <c r="R2487" s="80" t="s">
        <v>84</v>
      </c>
    </row>
    <row r="2488" spans="1:18" ht="20" x14ac:dyDescent="0.2">
      <c r="A2488" s="80" t="s">
        <v>6595</v>
      </c>
      <c r="B2488" s="80" t="s">
        <v>10665</v>
      </c>
      <c r="C2488" s="80" t="s">
        <v>84</v>
      </c>
      <c r="D2488" s="80" t="s">
        <v>84</v>
      </c>
      <c r="E2488" s="80" t="s">
        <v>84</v>
      </c>
      <c r="F2488" s="80"/>
      <c r="G2488" s="80" t="s">
        <v>84</v>
      </c>
      <c r="H2488" s="80" t="s">
        <v>84</v>
      </c>
      <c r="I2488" s="80" t="s">
        <v>84</v>
      </c>
      <c r="J2488" s="80" t="s">
        <v>84</v>
      </c>
      <c r="K2488" s="80" t="s">
        <v>84</v>
      </c>
      <c r="L2488" s="80" t="s">
        <v>84</v>
      </c>
      <c r="M2488" s="80" t="s">
        <v>84</v>
      </c>
      <c r="N2488" s="80" t="s">
        <v>84</v>
      </c>
      <c r="O2488" s="80" t="s">
        <v>84</v>
      </c>
      <c r="P2488" s="80"/>
      <c r="Q2488" s="80" t="s">
        <v>84</v>
      </c>
      <c r="R2488" s="80" t="s">
        <v>84</v>
      </c>
    </row>
    <row r="2489" spans="1:18" ht="20" x14ac:dyDescent="0.2">
      <c r="A2489" s="80" t="s">
        <v>6595</v>
      </c>
      <c r="B2489" s="80" t="s">
        <v>6596</v>
      </c>
      <c r="C2489" s="80" t="s">
        <v>84</v>
      </c>
      <c r="D2489" s="80" t="s">
        <v>84</v>
      </c>
      <c r="E2489" s="80" t="s">
        <v>84</v>
      </c>
      <c r="F2489" s="80"/>
      <c r="G2489" s="80" t="s">
        <v>84</v>
      </c>
      <c r="H2489" s="80" t="s">
        <v>84</v>
      </c>
      <c r="I2489" s="80" t="s">
        <v>84</v>
      </c>
      <c r="J2489" s="80" t="s">
        <v>84</v>
      </c>
      <c r="K2489" s="80" t="s">
        <v>84</v>
      </c>
      <c r="L2489" s="80" t="s">
        <v>84</v>
      </c>
      <c r="M2489" s="80" t="s">
        <v>84</v>
      </c>
      <c r="N2489" s="80" t="s">
        <v>84</v>
      </c>
      <c r="O2489" s="80" t="s">
        <v>84</v>
      </c>
      <c r="P2489" s="80"/>
      <c r="Q2489" s="80" t="s">
        <v>84</v>
      </c>
      <c r="R2489" s="80" t="s">
        <v>84</v>
      </c>
    </row>
    <row r="2490" spans="1:18" ht="20" x14ac:dyDescent="0.2">
      <c r="A2490" s="80" t="s">
        <v>6587</v>
      </c>
      <c r="B2490" s="80" t="s">
        <v>10666</v>
      </c>
      <c r="C2490" s="80" t="s">
        <v>84</v>
      </c>
      <c r="D2490" s="80" t="s">
        <v>84</v>
      </c>
      <c r="E2490" s="80" t="s">
        <v>84</v>
      </c>
      <c r="F2490" s="80"/>
      <c r="G2490" s="80" t="s">
        <v>84</v>
      </c>
      <c r="H2490" s="80" t="s">
        <v>84</v>
      </c>
      <c r="I2490" s="80" t="s">
        <v>84</v>
      </c>
      <c r="J2490" s="80" t="s">
        <v>84</v>
      </c>
      <c r="K2490" s="80" t="s">
        <v>84</v>
      </c>
      <c r="L2490" s="80" t="s">
        <v>84</v>
      </c>
      <c r="M2490" s="80" t="s">
        <v>84</v>
      </c>
      <c r="N2490" s="80" t="s">
        <v>84</v>
      </c>
      <c r="O2490" s="80" t="s">
        <v>84</v>
      </c>
      <c r="P2490" s="80"/>
      <c r="Q2490" s="80" t="s">
        <v>84</v>
      </c>
      <c r="R2490" s="80" t="s">
        <v>84</v>
      </c>
    </row>
    <row r="2491" spans="1:18" ht="20" x14ac:dyDescent="0.2">
      <c r="A2491" s="80" t="s">
        <v>6587</v>
      </c>
      <c r="B2491" s="80" t="s">
        <v>6588</v>
      </c>
      <c r="C2491" s="80" t="s">
        <v>84</v>
      </c>
      <c r="D2491" s="80" t="s">
        <v>84</v>
      </c>
      <c r="E2491" s="80" t="s">
        <v>84</v>
      </c>
      <c r="F2491" s="80"/>
      <c r="G2491" s="80" t="s">
        <v>84</v>
      </c>
      <c r="H2491" s="80" t="s">
        <v>84</v>
      </c>
      <c r="I2491" s="80" t="s">
        <v>84</v>
      </c>
      <c r="J2491" s="80" t="s">
        <v>84</v>
      </c>
      <c r="K2491" s="80" t="s">
        <v>84</v>
      </c>
      <c r="L2491" s="80" t="s">
        <v>84</v>
      </c>
      <c r="M2491" s="80" t="s">
        <v>84</v>
      </c>
      <c r="N2491" s="80" t="s">
        <v>84</v>
      </c>
      <c r="O2491" s="80" t="s">
        <v>84</v>
      </c>
      <c r="P2491" s="80"/>
      <c r="Q2491" s="80" t="s">
        <v>84</v>
      </c>
      <c r="R2491" s="80" t="s">
        <v>84</v>
      </c>
    </row>
    <row r="2492" spans="1:18" ht="20" x14ac:dyDescent="0.2">
      <c r="A2492" s="80" t="s">
        <v>6543</v>
      </c>
      <c r="B2492" s="80" t="s">
        <v>10667</v>
      </c>
      <c r="C2492" s="80" t="s">
        <v>84</v>
      </c>
      <c r="D2492" s="80" t="s">
        <v>84</v>
      </c>
      <c r="E2492" s="80" t="s">
        <v>84</v>
      </c>
      <c r="F2492" s="80"/>
      <c r="G2492" s="80" t="s">
        <v>84</v>
      </c>
      <c r="H2492" s="80" t="s">
        <v>84</v>
      </c>
      <c r="I2492" s="80" t="s">
        <v>84</v>
      </c>
      <c r="J2492" s="80" t="s">
        <v>84</v>
      </c>
      <c r="K2492" s="80" t="s">
        <v>84</v>
      </c>
      <c r="L2492" s="80" t="s">
        <v>84</v>
      </c>
      <c r="M2492" s="80" t="s">
        <v>84</v>
      </c>
      <c r="N2492" s="80" t="s">
        <v>84</v>
      </c>
      <c r="O2492" s="80" t="s">
        <v>84</v>
      </c>
      <c r="P2492" s="80"/>
      <c r="Q2492" s="80" t="s">
        <v>84</v>
      </c>
      <c r="R2492" s="80" t="s">
        <v>84</v>
      </c>
    </row>
    <row r="2493" spans="1:18" ht="20" x14ac:dyDescent="0.2">
      <c r="A2493" s="80" t="s">
        <v>6543</v>
      </c>
      <c r="B2493" s="80" t="s">
        <v>6544</v>
      </c>
      <c r="C2493" s="80" t="s">
        <v>84</v>
      </c>
      <c r="D2493" s="80" t="s">
        <v>84</v>
      </c>
      <c r="E2493" s="80" t="s">
        <v>84</v>
      </c>
      <c r="F2493" s="80"/>
      <c r="G2493" s="80" t="s">
        <v>84</v>
      </c>
      <c r="H2493" s="80" t="s">
        <v>84</v>
      </c>
      <c r="I2493" s="80" t="s">
        <v>84</v>
      </c>
      <c r="J2493" s="80" t="s">
        <v>84</v>
      </c>
      <c r="K2493" s="80" t="s">
        <v>84</v>
      </c>
      <c r="L2493" s="80" t="s">
        <v>84</v>
      </c>
      <c r="M2493" s="80" t="s">
        <v>84</v>
      </c>
      <c r="N2493" s="80" t="s">
        <v>84</v>
      </c>
      <c r="O2493" s="80" t="s">
        <v>84</v>
      </c>
      <c r="P2493" s="80"/>
      <c r="Q2493" s="80" t="s">
        <v>84</v>
      </c>
      <c r="R2493" s="80" t="s">
        <v>84</v>
      </c>
    </row>
    <row r="2494" spans="1:18" ht="20" x14ac:dyDescent="0.2">
      <c r="A2494" s="80" t="s">
        <v>6696</v>
      </c>
      <c r="B2494" s="80" t="s">
        <v>10668</v>
      </c>
      <c r="C2494" s="80" t="s">
        <v>9680</v>
      </c>
      <c r="D2494" s="80" t="s">
        <v>84</v>
      </c>
      <c r="E2494" s="80" t="s">
        <v>84</v>
      </c>
      <c r="F2494" s="80"/>
      <c r="G2494" s="80" t="s">
        <v>84</v>
      </c>
      <c r="H2494" s="80" t="s">
        <v>84</v>
      </c>
      <c r="I2494" s="80" t="s">
        <v>84</v>
      </c>
      <c r="J2494" s="80" t="s">
        <v>84</v>
      </c>
      <c r="K2494" s="80" t="s">
        <v>84</v>
      </c>
      <c r="L2494" s="80" t="s">
        <v>84</v>
      </c>
      <c r="M2494" s="80" t="s">
        <v>9680</v>
      </c>
      <c r="N2494" s="80" t="s">
        <v>84</v>
      </c>
      <c r="O2494" s="80" t="s">
        <v>84</v>
      </c>
      <c r="P2494" s="80"/>
      <c r="Q2494" s="80" t="s">
        <v>84</v>
      </c>
      <c r="R2494" s="80" t="s">
        <v>84</v>
      </c>
    </row>
    <row r="2495" spans="1:18" ht="20" x14ac:dyDescent="0.2">
      <c r="A2495" s="80" t="s">
        <v>6696</v>
      </c>
      <c r="B2495" s="80" t="s">
        <v>6697</v>
      </c>
      <c r="C2495" s="80" t="s">
        <v>9680</v>
      </c>
      <c r="D2495" s="80" t="s">
        <v>84</v>
      </c>
      <c r="E2495" s="80" t="s">
        <v>84</v>
      </c>
      <c r="F2495" s="80"/>
      <c r="G2495" s="80" t="s">
        <v>84</v>
      </c>
      <c r="H2495" s="80" t="s">
        <v>84</v>
      </c>
      <c r="I2495" s="80" t="s">
        <v>84</v>
      </c>
      <c r="J2495" s="80" t="s">
        <v>84</v>
      </c>
      <c r="K2495" s="80" t="s">
        <v>84</v>
      </c>
      <c r="L2495" s="80" t="s">
        <v>84</v>
      </c>
      <c r="M2495" s="80" t="s">
        <v>9680</v>
      </c>
      <c r="N2495" s="80" t="s">
        <v>84</v>
      </c>
      <c r="O2495" s="80" t="s">
        <v>84</v>
      </c>
      <c r="P2495" s="80"/>
      <c r="Q2495" s="80" t="s">
        <v>84</v>
      </c>
      <c r="R2495" s="80" t="s">
        <v>84</v>
      </c>
    </row>
    <row r="2496" spans="1:18" ht="20" x14ac:dyDescent="0.2">
      <c r="A2496" s="80" t="s">
        <v>6698</v>
      </c>
      <c r="B2496" s="80" t="s">
        <v>10669</v>
      </c>
      <c r="C2496" s="80" t="s">
        <v>9722</v>
      </c>
      <c r="D2496" s="80" t="s">
        <v>84</v>
      </c>
      <c r="E2496" s="80" t="s">
        <v>9722</v>
      </c>
      <c r="F2496" s="80"/>
      <c r="G2496" s="80" t="s">
        <v>9722</v>
      </c>
      <c r="H2496" s="80" t="s">
        <v>9722</v>
      </c>
      <c r="I2496" s="80" t="s">
        <v>9722</v>
      </c>
      <c r="J2496" s="80" t="s">
        <v>84</v>
      </c>
      <c r="K2496" s="80" t="s">
        <v>84</v>
      </c>
      <c r="L2496" s="80" t="s">
        <v>9722</v>
      </c>
      <c r="M2496" s="80" t="s">
        <v>9722</v>
      </c>
      <c r="N2496" s="80" t="s">
        <v>9722</v>
      </c>
      <c r="O2496" s="80" t="s">
        <v>9722</v>
      </c>
      <c r="P2496" s="80"/>
      <c r="Q2496" s="80" t="s">
        <v>84</v>
      </c>
      <c r="R2496" s="80" t="s">
        <v>9722</v>
      </c>
    </row>
    <row r="2497" spans="1:18" ht="20" x14ac:dyDescent="0.2">
      <c r="A2497" s="80" t="s">
        <v>6698</v>
      </c>
      <c r="B2497" s="80" t="s">
        <v>6699</v>
      </c>
      <c r="C2497" s="80" t="s">
        <v>9722</v>
      </c>
      <c r="D2497" s="80" t="s">
        <v>84</v>
      </c>
      <c r="E2497" s="80" t="s">
        <v>9722</v>
      </c>
      <c r="F2497" s="80"/>
      <c r="G2497" s="80" t="s">
        <v>9722</v>
      </c>
      <c r="H2497" s="80" t="s">
        <v>9722</v>
      </c>
      <c r="I2497" s="80" t="s">
        <v>9722</v>
      </c>
      <c r="J2497" s="80" t="s">
        <v>84</v>
      </c>
      <c r="K2497" s="80" t="s">
        <v>84</v>
      </c>
      <c r="L2497" s="80" t="s">
        <v>9722</v>
      </c>
      <c r="M2497" s="80" t="s">
        <v>9722</v>
      </c>
      <c r="N2497" s="80" t="s">
        <v>9722</v>
      </c>
      <c r="O2497" s="80" t="s">
        <v>9722</v>
      </c>
      <c r="P2497" s="80"/>
      <c r="Q2497" s="80" t="s">
        <v>84</v>
      </c>
      <c r="R2497" s="80" t="s">
        <v>9722</v>
      </c>
    </row>
    <row r="2498" spans="1:18" ht="20" x14ac:dyDescent="0.2">
      <c r="A2498" s="80" t="s">
        <v>6666</v>
      </c>
      <c r="B2498" s="80" t="s">
        <v>10670</v>
      </c>
      <c r="C2498" s="80" t="s">
        <v>84</v>
      </c>
      <c r="D2498" s="80" t="s">
        <v>84</v>
      </c>
      <c r="E2498" s="80" t="s">
        <v>84</v>
      </c>
      <c r="F2498" s="80"/>
      <c r="G2498" s="80" t="s">
        <v>84</v>
      </c>
      <c r="H2498" s="80" t="s">
        <v>84</v>
      </c>
      <c r="I2498" s="80" t="s">
        <v>84</v>
      </c>
      <c r="J2498" s="80" t="s">
        <v>84</v>
      </c>
      <c r="K2498" s="80" t="s">
        <v>84</v>
      </c>
      <c r="L2498" s="80" t="s">
        <v>84</v>
      </c>
      <c r="M2498" s="80" t="s">
        <v>84</v>
      </c>
      <c r="N2498" s="80" t="s">
        <v>84</v>
      </c>
      <c r="O2498" s="80" t="s">
        <v>84</v>
      </c>
      <c r="P2498" s="80"/>
      <c r="Q2498" s="80" t="s">
        <v>84</v>
      </c>
      <c r="R2498" s="80" t="s">
        <v>84</v>
      </c>
    </row>
    <row r="2499" spans="1:18" ht="20" x14ac:dyDescent="0.2">
      <c r="A2499" s="80" t="s">
        <v>6666</v>
      </c>
      <c r="B2499" s="80" t="s">
        <v>6667</v>
      </c>
      <c r="C2499" s="80" t="s">
        <v>84</v>
      </c>
      <c r="D2499" s="80" t="s">
        <v>84</v>
      </c>
      <c r="E2499" s="80" t="s">
        <v>84</v>
      </c>
      <c r="F2499" s="80"/>
      <c r="G2499" s="80" t="s">
        <v>84</v>
      </c>
      <c r="H2499" s="80" t="s">
        <v>84</v>
      </c>
      <c r="I2499" s="80" t="s">
        <v>84</v>
      </c>
      <c r="J2499" s="80" t="s">
        <v>84</v>
      </c>
      <c r="K2499" s="80" t="s">
        <v>84</v>
      </c>
      <c r="L2499" s="80" t="s">
        <v>84</v>
      </c>
      <c r="M2499" s="80" t="s">
        <v>84</v>
      </c>
      <c r="N2499" s="80" t="s">
        <v>84</v>
      </c>
      <c r="O2499" s="80" t="s">
        <v>84</v>
      </c>
      <c r="P2499" s="80"/>
      <c r="Q2499" s="80" t="s">
        <v>84</v>
      </c>
      <c r="R2499" s="80" t="s">
        <v>84</v>
      </c>
    </row>
    <row r="2500" spans="1:18" ht="20" x14ac:dyDescent="0.2">
      <c r="A2500" s="80" t="s">
        <v>6668</v>
      </c>
      <c r="B2500" s="80" t="s">
        <v>6669</v>
      </c>
      <c r="C2500" s="80" t="s">
        <v>84</v>
      </c>
      <c r="D2500" s="80" t="s">
        <v>84</v>
      </c>
      <c r="E2500" s="80" t="s">
        <v>84</v>
      </c>
      <c r="F2500" s="80"/>
      <c r="G2500" s="80" t="s">
        <v>84</v>
      </c>
      <c r="H2500" s="80" t="s">
        <v>84</v>
      </c>
      <c r="I2500" s="80" t="s">
        <v>84</v>
      </c>
      <c r="J2500" s="80" t="s">
        <v>84</v>
      </c>
      <c r="K2500" s="80" t="s">
        <v>84</v>
      </c>
      <c r="L2500" s="80" t="s">
        <v>84</v>
      </c>
      <c r="M2500" s="80" t="s">
        <v>84</v>
      </c>
      <c r="N2500" s="80" t="s">
        <v>84</v>
      </c>
      <c r="O2500" s="80" t="s">
        <v>84</v>
      </c>
      <c r="P2500" s="80"/>
      <c r="Q2500" s="80" t="s">
        <v>84</v>
      </c>
      <c r="R2500" s="80" t="s">
        <v>84</v>
      </c>
    </row>
    <row r="2501" spans="1:18" ht="20" x14ac:dyDescent="0.2">
      <c r="A2501" s="80" t="s">
        <v>10671</v>
      </c>
      <c r="B2501" s="80" t="s">
        <v>10672</v>
      </c>
      <c r="C2501" s="80" t="s">
        <v>9722</v>
      </c>
      <c r="D2501" s="80" t="s">
        <v>84</v>
      </c>
      <c r="E2501" s="80" t="s">
        <v>84</v>
      </c>
      <c r="F2501" s="80"/>
      <c r="G2501" s="80" t="s">
        <v>84</v>
      </c>
      <c r="H2501" s="80" t="s">
        <v>84</v>
      </c>
      <c r="I2501" s="80" t="s">
        <v>84</v>
      </c>
      <c r="J2501" s="80" t="s">
        <v>84</v>
      </c>
      <c r="K2501" s="80" t="s">
        <v>84</v>
      </c>
      <c r="L2501" s="80" t="s">
        <v>84</v>
      </c>
      <c r="M2501" s="80" t="s">
        <v>84</v>
      </c>
      <c r="N2501" s="80" t="s">
        <v>84</v>
      </c>
      <c r="O2501" s="80" t="s">
        <v>84</v>
      </c>
      <c r="P2501" s="80"/>
      <c r="Q2501" s="80" t="s">
        <v>84</v>
      </c>
      <c r="R2501" s="80" t="s">
        <v>84</v>
      </c>
    </row>
    <row r="2502" spans="1:18" ht="20" x14ac:dyDescent="0.2">
      <c r="A2502" s="80" t="s">
        <v>10673</v>
      </c>
      <c r="B2502" s="80" t="s">
        <v>10674</v>
      </c>
      <c r="C2502" s="80" t="s">
        <v>9680</v>
      </c>
      <c r="D2502" s="80" t="s">
        <v>84</v>
      </c>
      <c r="E2502" s="80" t="s">
        <v>84</v>
      </c>
      <c r="F2502" s="80"/>
      <c r="G2502" s="80" t="s">
        <v>84</v>
      </c>
      <c r="H2502" s="80" t="s">
        <v>84</v>
      </c>
      <c r="I2502" s="80" t="s">
        <v>84</v>
      </c>
      <c r="J2502" s="80" t="s">
        <v>84</v>
      </c>
      <c r="K2502" s="80" t="s">
        <v>84</v>
      </c>
      <c r="L2502" s="80" t="s">
        <v>84</v>
      </c>
      <c r="M2502" s="80" t="s">
        <v>84</v>
      </c>
      <c r="N2502" s="80" t="s">
        <v>84</v>
      </c>
      <c r="O2502" s="80" t="s">
        <v>84</v>
      </c>
      <c r="P2502" s="80"/>
      <c r="Q2502" s="80" t="s">
        <v>84</v>
      </c>
      <c r="R2502" s="80" t="s">
        <v>84</v>
      </c>
    </row>
    <row r="2503" spans="1:18" ht="20" x14ac:dyDescent="0.2">
      <c r="A2503" s="80" t="s">
        <v>6618</v>
      </c>
      <c r="B2503" s="80" t="s">
        <v>10675</v>
      </c>
      <c r="C2503" s="80" t="s">
        <v>84</v>
      </c>
      <c r="D2503" s="80" t="s">
        <v>84</v>
      </c>
      <c r="E2503" s="80" t="s">
        <v>84</v>
      </c>
      <c r="F2503" s="80"/>
      <c r="G2503" s="80" t="s">
        <v>84</v>
      </c>
      <c r="H2503" s="80" t="s">
        <v>84</v>
      </c>
      <c r="I2503" s="80" t="s">
        <v>84</v>
      </c>
      <c r="J2503" s="80" t="s">
        <v>84</v>
      </c>
      <c r="K2503" s="80" t="s">
        <v>84</v>
      </c>
      <c r="L2503" s="80" t="s">
        <v>84</v>
      </c>
      <c r="M2503" s="80" t="s">
        <v>84</v>
      </c>
      <c r="N2503" s="80" t="s">
        <v>84</v>
      </c>
      <c r="O2503" s="80" t="s">
        <v>84</v>
      </c>
      <c r="P2503" s="80"/>
      <c r="Q2503" s="80" t="s">
        <v>84</v>
      </c>
      <c r="R2503" s="80" t="s">
        <v>84</v>
      </c>
    </row>
    <row r="2504" spans="1:18" ht="20" x14ac:dyDescent="0.2">
      <c r="A2504" s="80" t="s">
        <v>6618</v>
      </c>
      <c r="B2504" s="80" t="s">
        <v>6619</v>
      </c>
      <c r="C2504" s="80" t="s">
        <v>84</v>
      </c>
      <c r="D2504" s="80" t="s">
        <v>84</v>
      </c>
      <c r="E2504" s="80" t="s">
        <v>84</v>
      </c>
      <c r="F2504" s="80"/>
      <c r="G2504" s="80" t="s">
        <v>84</v>
      </c>
      <c r="H2504" s="80" t="s">
        <v>84</v>
      </c>
      <c r="I2504" s="80" t="s">
        <v>84</v>
      </c>
      <c r="J2504" s="80" t="s">
        <v>84</v>
      </c>
      <c r="K2504" s="80" t="s">
        <v>84</v>
      </c>
      <c r="L2504" s="80" t="s">
        <v>84</v>
      </c>
      <c r="M2504" s="80" t="s">
        <v>84</v>
      </c>
      <c r="N2504" s="80" t="s">
        <v>84</v>
      </c>
      <c r="O2504" s="80" t="s">
        <v>84</v>
      </c>
      <c r="P2504" s="80"/>
      <c r="Q2504" s="80" t="s">
        <v>84</v>
      </c>
      <c r="R2504" s="80" t="s">
        <v>84</v>
      </c>
    </row>
    <row r="2505" spans="1:18" ht="20" x14ac:dyDescent="0.2">
      <c r="A2505" s="80" t="s">
        <v>6620</v>
      </c>
      <c r="B2505" s="80" t="s">
        <v>10676</v>
      </c>
      <c r="C2505" s="80" t="s">
        <v>84</v>
      </c>
      <c r="D2505" s="80" t="s">
        <v>84</v>
      </c>
      <c r="E2505" s="80" t="s">
        <v>84</v>
      </c>
      <c r="F2505" s="80"/>
      <c r="G2505" s="80" t="s">
        <v>84</v>
      </c>
      <c r="H2505" s="80" t="s">
        <v>84</v>
      </c>
      <c r="I2505" s="80" t="s">
        <v>84</v>
      </c>
      <c r="J2505" s="80" t="s">
        <v>84</v>
      </c>
      <c r="K2505" s="80" t="s">
        <v>84</v>
      </c>
      <c r="L2505" s="80" t="s">
        <v>84</v>
      </c>
      <c r="M2505" s="80" t="s">
        <v>84</v>
      </c>
      <c r="N2505" s="80" t="s">
        <v>84</v>
      </c>
      <c r="O2505" s="80" t="s">
        <v>84</v>
      </c>
      <c r="P2505" s="80"/>
      <c r="Q2505" s="80" t="s">
        <v>84</v>
      </c>
      <c r="R2505" s="80" t="s">
        <v>84</v>
      </c>
    </row>
    <row r="2506" spans="1:18" ht="20" x14ac:dyDescent="0.2">
      <c r="A2506" s="80" t="s">
        <v>6620</v>
      </c>
      <c r="B2506" s="80" t="s">
        <v>6621</v>
      </c>
      <c r="C2506" s="80" t="s">
        <v>84</v>
      </c>
      <c r="D2506" s="80" t="s">
        <v>84</v>
      </c>
      <c r="E2506" s="80" t="s">
        <v>84</v>
      </c>
      <c r="F2506" s="80"/>
      <c r="G2506" s="80" t="s">
        <v>84</v>
      </c>
      <c r="H2506" s="80" t="s">
        <v>84</v>
      </c>
      <c r="I2506" s="80" t="s">
        <v>84</v>
      </c>
      <c r="J2506" s="80" t="s">
        <v>84</v>
      </c>
      <c r="K2506" s="80" t="s">
        <v>84</v>
      </c>
      <c r="L2506" s="80" t="s">
        <v>84</v>
      </c>
      <c r="M2506" s="80" t="s">
        <v>84</v>
      </c>
      <c r="N2506" s="80" t="s">
        <v>84</v>
      </c>
      <c r="O2506" s="80" t="s">
        <v>84</v>
      </c>
      <c r="P2506" s="80"/>
      <c r="Q2506" s="80" t="s">
        <v>84</v>
      </c>
      <c r="R2506" s="80" t="s">
        <v>84</v>
      </c>
    </row>
    <row r="2507" spans="1:18" ht="20" x14ac:dyDescent="0.2">
      <c r="A2507" s="80" t="s">
        <v>6622</v>
      </c>
      <c r="B2507" s="80" t="s">
        <v>10677</v>
      </c>
      <c r="C2507" s="80" t="s">
        <v>84</v>
      </c>
      <c r="D2507" s="80" t="s">
        <v>84</v>
      </c>
      <c r="E2507" s="80" t="s">
        <v>84</v>
      </c>
      <c r="F2507" s="80"/>
      <c r="G2507" s="80" t="s">
        <v>84</v>
      </c>
      <c r="H2507" s="80" t="s">
        <v>84</v>
      </c>
      <c r="I2507" s="80" t="s">
        <v>84</v>
      </c>
      <c r="J2507" s="80" t="s">
        <v>84</v>
      </c>
      <c r="K2507" s="80" t="s">
        <v>84</v>
      </c>
      <c r="L2507" s="80" t="s">
        <v>84</v>
      </c>
      <c r="M2507" s="80" t="s">
        <v>84</v>
      </c>
      <c r="N2507" s="80" t="s">
        <v>84</v>
      </c>
      <c r="O2507" s="80" t="s">
        <v>84</v>
      </c>
      <c r="P2507" s="80"/>
      <c r="Q2507" s="80" t="s">
        <v>84</v>
      </c>
      <c r="R2507" s="80" t="s">
        <v>84</v>
      </c>
    </row>
    <row r="2508" spans="1:18" ht="20" x14ac:dyDescent="0.2">
      <c r="A2508" s="80" t="s">
        <v>6622</v>
      </c>
      <c r="B2508" s="80" t="s">
        <v>6623</v>
      </c>
      <c r="C2508" s="80" t="s">
        <v>84</v>
      </c>
      <c r="D2508" s="80" t="s">
        <v>84</v>
      </c>
      <c r="E2508" s="80" t="s">
        <v>84</v>
      </c>
      <c r="F2508" s="80"/>
      <c r="G2508" s="80" t="s">
        <v>84</v>
      </c>
      <c r="H2508" s="80" t="s">
        <v>84</v>
      </c>
      <c r="I2508" s="80" t="s">
        <v>84</v>
      </c>
      <c r="J2508" s="80" t="s">
        <v>84</v>
      </c>
      <c r="K2508" s="80" t="s">
        <v>84</v>
      </c>
      <c r="L2508" s="80" t="s">
        <v>84</v>
      </c>
      <c r="M2508" s="80" t="s">
        <v>84</v>
      </c>
      <c r="N2508" s="80" t="s">
        <v>84</v>
      </c>
      <c r="O2508" s="80" t="s">
        <v>84</v>
      </c>
      <c r="P2508" s="80"/>
      <c r="Q2508" s="80" t="s">
        <v>84</v>
      </c>
      <c r="R2508" s="80" t="s">
        <v>84</v>
      </c>
    </row>
    <row r="2509" spans="1:18" ht="20" x14ac:dyDescent="0.2">
      <c r="A2509" s="80" t="s">
        <v>6624</v>
      </c>
      <c r="B2509" s="80" t="s">
        <v>10678</v>
      </c>
      <c r="C2509" s="80" t="s">
        <v>84</v>
      </c>
      <c r="D2509" s="80" t="s">
        <v>84</v>
      </c>
      <c r="E2509" s="80" t="s">
        <v>84</v>
      </c>
      <c r="F2509" s="80"/>
      <c r="G2509" s="80" t="s">
        <v>84</v>
      </c>
      <c r="H2509" s="80" t="s">
        <v>84</v>
      </c>
      <c r="I2509" s="80" t="s">
        <v>84</v>
      </c>
      <c r="J2509" s="80" t="s">
        <v>84</v>
      </c>
      <c r="K2509" s="80" t="s">
        <v>84</v>
      </c>
      <c r="L2509" s="80" t="s">
        <v>84</v>
      </c>
      <c r="M2509" s="80" t="s">
        <v>84</v>
      </c>
      <c r="N2509" s="80" t="s">
        <v>84</v>
      </c>
      <c r="O2509" s="80" t="s">
        <v>84</v>
      </c>
      <c r="P2509" s="80"/>
      <c r="Q2509" s="80" t="s">
        <v>84</v>
      </c>
      <c r="R2509" s="80" t="s">
        <v>84</v>
      </c>
    </row>
    <row r="2510" spans="1:18" ht="20" x14ac:dyDescent="0.2">
      <c r="A2510" s="80" t="s">
        <v>6624</v>
      </c>
      <c r="B2510" s="80" t="s">
        <v>6625</v>
      </c>
      <c r="C2510" s="80" t="s">
        <v>84</v>
      </c>
      <c r="D2510" s="80" t="s">
        <v>84</v>
      </c>
      <c r="E2510" s="80" t="s">
        <v>84</v>
      </c>
      <c r="F2510" s="80"/>
      <c r="G2510" s="80" t="s">
        <v>84</v>
      </c>
      <c r="H2510" s="80" t="s">
        <v>84</v>
      </c>
      <c r="I2510" s="80" t="s">
        <v>84</v>
      </c>
      <c r="J2510" s="80" t="s">
        <v>84</v>
      </c>
      <c r="K2510" s="80" t="s">
        <v>84</v>
      </c>
      <c r="L2510" s="80" t="s">
        <v>84</v>
      </c>
      <c r="M2510" s="80" t="s">
        <v>84</v>
      </c>
      <c r="N2510" s="80" t="s">
        <v>84</v>
      </c>
      <c r="O2510" s="80" t="s">
        <v>84</v>
      </c>
      <c r="P2510" s="80"/>
      <c r="Q2510" s="80" t="s">
        <v>84</v>
      </c>
      <c r="R2510" s="80" t="s">
        <v>84</v>
      </c>
    </row>
    <row r="2511" spans="1:18" ht="20" x14ac:dyDescent="0.2">
      <c r="A2511" s="80" t="s">
        <v>2397</v>
      </c>
      <c r="B2511" s="80" t="s">
        <v>2396</v>
      </c>
      <c r="C2511" s="80" t="s">
        <v>9680</v>
      </c>
      <c r="D2511" s="80" t="s">
        <v>84</v>
      </c>
      <c r="E2511" s="80" t="s">
        <v>84</v>
      </c>
      <c r="F2511" s="80"/>
      <c r="G2511" s="80" t="s">
        <v>84</v>
      </c>
      <c r="H2511" s="80" t="s">
        <v>84</v>
      </c>
      <c r="I2511" s="80" t="s">
        <v>84</v>
      </c>
      <c r="J2511" s="80" t="s">
        <v>9680</v>
      </c>
      <c r="K2511" s="80" t="s">
        <v>84</v>
      </c>
      <c r="L2511" s="80" t="s">
        <v>84</v>
      </c>
      <c r="M2511" s="80" t="s">
        <v>9680</v>
      </c>
      <c r="N2511" s="80" t="s">
        <v>84</v>
      </c>
      <c r="O2511" s="80" t="s">
        <v>9680</v>
      </c>
      <c r="P2511" s="80"/>
      <c r="Q2511" s="80" t="s">
        <v>9680</v>
      </c>
      <c r="R2511" s="80" t="s">
        <v>9680</v>
      </c>
    </row>
    <row r="2512" spans="1:18" ht="20" x14ac:dyDescent="0.2">
      <c r="A2512" s="80" t="s">
        <v>2397</v>
      </c>
      <c r="B2512" s="80" t="s">
        <v>2398</v>
      </c>
      <c r="C2512" s="80" t="s">
        <v>9680</v>
      </c>
      <c r="D2512" s="80" t="s">
        <v>9680</v>
      </c>
      <c r="E2512" s="80" t="s">
        <v>9680</v>
      </c>
      <c r="F2512" s="80"/>
      <c r="G2512" s="80" t="s">
        <v>9680</v>
      </c>
      <c r="H2512" s="80" t="s">
        <v>9680</v>
      </c>
      <c r="I2512" s="80" t="s">
        <v>9680</v>
      </c>
      <c r="J2512" s="80" t="s">
        <v>84</v>
      </c>
      <c r="K2512" s="80" t="s">
        <v>9680</v>
      </c>
      <c r="L2512" s="80" t="s">
        <v>9680</v>
      </c>
      <c r="M2512" s="80" t="s">
        <v>84</v>
      </c>
      <c r="N2512" s="80" t="s">
        <v>9680</v>
      </c>
      <c r="O2512" s="80" t="s">
        <v>84</v>
      </c>
      <c r="P2512" s="80"/>
      <c r="Q2512" s="80" t="s">
        <v>84</v>
      </c>
      <c r="R2512" s="80" t="s">
        <v>84</v>
      </c>
    </row>
    <row r="2513" spans="1:18" ht="20" x14ac:dyDescent="0.2">
      <c r="A2513" s="80" t="s">
        <v>3912</v>
      </c>
      <c r="B2513" s="80" t="s">
        <v>3913</v>
      </c>
      <c r="C2513" s="80" t="s">
        <v>84</v>
      </c>
      <c r="D2513" s="80" t="s">
        <v>84</v>
      </c>
      <c r="E2513" s="80" t="s">
        <v>84</v>
      </c>
      <c r="F2513" s="80"/>
      <c r="G2513" s="80" t="s">
        <v>84</v>
      </c>
      <c r="H2513" s="80" t="s">
        <v>84</v>
      </c>
      <c r="I2513" s="80" t="s">
        <v>84</v>
      </c>
      <c r="J2513" s="80" t="s">
        <v>84</v>
      </c>
      <c r="K2513" s="80" t="s">
        <v>84</v>
      </c>
      <c r="L2513" s="80" t="s">
        <v>84</v>
      </c>
      <c r="M2513" s="80" t="s">
        <v>84</v>
      </c>
      <c r="N2513" s="80" t="s">
        <v>84</v>
      </c>
      <c r="O2513" s="80" t="s">
        <v>84</v>
      </c>
      <c r="P2513" s="80"/>
      <c r="Q2513" s="80" t="s">
        <v>84</v>
      </c>
      <c r="R2513" s="80" t="s">
        <v>84</v>
      </c>
    </row>
    <row r="2514" spans="1:18" ht="20" x14ac:dyDescent="0.2">
      <c r="A2514" s="80" t="s">
        <v>1080</v>
      </c>
      <c r="B2514" s="80" t="s">
        <v>1081</v>
      </c>
      <c r="C2514" s="80" t="s">
        <v>9680</v>
      </c>
      <c r="D2514" s="80" t="s">
        <v>84</v>
      </c>
      <c r="E2514" s="80" t="s">
        <v>84</v>
      </c>
      <c r="F2514" s="80"/>
      <c r="G2514" s="80" t="s">
        <v>84</v>
      </c>
      <c r="H2514" s="80" t="s">
        <v>84</v>
      </c>
      <c r="I2514" s="80" t="s">
        <v>84</v>
      </c>
      <c r="J2514" s="80" t="s">
        <v>84</v>
      </c>
      <c r="K2514" s="80" t="s">
        <v>84</v>
      </c>
      <c r="L2514" s="80" t="s">
        <v>84</v>
      </c>
      <c r="M2514" s="80" t="s">
        <v>84</v>
      </c>
      <c r="N2514" s="80" t="s">
        <v>84</v>
      </c>
      <c r="O2514" s="80" t="s">
        <v>84</v>
      </c>
      <c r="P2514" s="80"/>
      <c r="Q2514" s="80" t="s">
        <v>84</v>
      </c>
      <c r="R2514" s="80" t="s">
        <v>84</v>
      </c>
    </row>
    <row r="2515" spans="1:18" ht="20" x14ac:dyDescent="0.2">
      <c r="A2515" s="80" t="s">
        <v>1080</v>
      </c>
      <c r="B2515" s="80" t="s">
        <v>1269</v>
      </c>
      <c r="C2515" s="80" t="s">
        <v>9680</v>
      </c>
      <c r="D2515" s="80" t="s">
        <v>84</v>
      </c>
      <c r="E2515" s="80" t="s">
        <v>84</v>
      </c>
      <c r="F2515" s="80"/>
      <c r="G2515" s="80" t="s">
        <v>84</v>
      </c>
      <c r="H2515" s="80" t="s">
        <v>84</v>
      </c>
      <c r="I2515" s="80" t="s">
        <v>84</v>
      </c>
      <c r="J2515" s="80" t="s">
        <v>84</v>
      </c>
      <c r="K2515" s="80" t="s">
        <v>84</v>
      </c>
      <c r="L2515" s="80" t="s">
        <v>84</v>
      </c>
      <c r="M2515" s="80" t="s">
        <v>84</v>
      </c>
      <c r="N2515" s="80" t="s">
        <v>84</v>
      </c>
      <c r="O2515" s="80" t="s">
        <v>84</v>
      </c>
      <c r="P2515" s="80"/>
      <c r="Q2515" s="80" t="s">
        <v>84</v>
      </c>
      <c r="R2515" s="80" t="s">
        <v>84</v>
      </c>
    </row>
    <row r="2516" spans="1:18" ht="20" x14ac:dyDescent="0.2">
      <c r="A2516" s="80" t="s">
        <v>1080</v>
      </c>
      <c r="B2516" s="80" t="s">
        <v>1270</v>
      </c>
      <c r="C2516" s="80" t="s">
        <v>9680</v>
      </c>
      <c r="D2516" s="80" t="s">
        <v>84</v>
      </c>
      <c r="E2516" s="80" t="s">
        <v>84</v>
      </c>
      <c r="F2516" s="80"/>
      <c r="G2516" s="80" t="s">
        <v>84</v>
      </c>
      <c r="H2516" s="80" t="s">
        <v>84</v>
      </c>
      <c r="I2516" s="80" t="s">
        <v>84</v>
      </c>
      <c r="J2516" s="80" t="s">
        <v>84</v>
      </c>
      <c r="K2516" s="80" t="s">
        <v>84</v>
      </c>
      <c r="L2516" s="80" t="s">
        <v>84</v>
      </c>
      <c r="M2516" s="80" t="s">
        <v>84</v>
      </c>
      <c r="N2516" s="80" t="s">
        <v>84</v>
      </c>
      <c r="O2516" s="80" t="s">
        <v>84</v>
      </c>
      <c r="P2516" s="80"/>
      <c r="Q2516" s="80" t="s">
        <v>84</v>
      </c>
      <c r="R2516" s="80" t="s">
        <v>84</v>
      </c>
    </row>
    <row r="2517" spans="1:18" ht="20" x14ac:dyDescent="0.2">
      <c r="A2517" s="80" t="s">
        <v>1080</v>
      </c>
      <c r="B2517" s="80" t="s">
        <v>10679</v>
      </c>
      <c r="C2517" s="80" t="s">
        <v>9680</v>
      </c>
      <c r="D2517" s="80" t="s">
        <v>84</v>
      </c>
      <c r="E2517" s="80" t="s">
        <v>84</v>
      </c>
      <c r="F2517" s="80"/>
      <c r="G2517" s="80" t="s">
        <v>84</v>
      </c>
      <c r="H2517" s="80" t="s">
        <v>84</v>
      </c>
      <c r="I2517" s="80" t="s">
        <v>84</v>
      </c>
      <c r="J2517" s="80" t="s">
        <v>84</v>
      </c>
      <c r="K2517" s="80" t="s">
        <v>84</v>
      </c>
      <c r="L2517" s="80" t="s">
        <v>84</v>
      </c>
      <c r="M2517" s="80" t="s">
        <v>84</v>
      </c>
      <c r="N2517" s="80" t="s">
        <v>84</v>
      </c>
      <c r="O2517" s="80" t="s">
        <v>84</v>
      </c>
      <c r="P2517" s="80"/>
      <c r="Q2517" s="80" t="s">
        <v>84</v>
      </c>
      <c r="R2517" s="80" t="s">
        <v>84</v>
      </c>
    </row>
    <row r="2518" spans="1:18" ht="20" x14ac:dyDescent="0.2">
      <c r="A2518" s="80" t="s">
        <v>6231</v>
      </c>
      <c r="B2518" s="80" t="s">
        <v>10680</v>
      </c>
      <c r="C2518" s="80" t="s">
        <v>84</v>
      </c>
      <c r="D2518" s="80" t="s">
        <v>84</v>
      </c>
      <c r="E2518" s="80" t="s">
        <v>84</v>
      </c>
      <c r="F2518" s="80"/>
      <c r="G2518" s="80" t="s">
        <v>84</v>
      </c>
      <c r="H2518" s="80" t="s">
        <v>84</v>
      </c>
      <c r="I2518" s="80" t="s">
        <v>84</v>
      </c>
      <c r="J2518" s="80" t="s">
        <v>84</v>
      </c>
      <c r="K2518" s="80" t="s">
        <v>84</v>
      </c>
      <c r="L2518" s="80" t="s">
        <v>84</v>
      </c>
      <c r="M2518" s="80" t="s">
        <v>84</v>
      </c>
      <c r="N2518" s="80" t="s">
        <v>84</v>
      </c>
      <c r="O2518" s="80" t="s">
        <v>84</v>
      </c>
      <c r="P2518" s="80"/>
      <c r="Q2518" s="80" t="s">
        <v>84</v>
      </c>
      <c r="R2518" s="80" t="s">
        <v>84</v>
      </c>
    </row>
    <row r="2519" spans="1:18" ht="20" x14ac:dyDescent="0.2">
      <c r="A2519" s="80" t="s">
        <v>6231</v>
      </c>
      <c r="B2519" s="80" t="s">
        <v>6232</v>
      </c>
      <c r="C2519" s="80" t="s">
        <v>84</v>
      </c>
      <c r="D2519" s="80" t="s">
        <v>84</v>
      </c>
      <c r="E2519" s="80" t="s">
        <v>84</v>
      </c>
      <c r="F2519" s="80"/>
      <c r="G2519" s="80" t="s">
        <v>84</v>
      </c>
      <c r="H2519" s="80" t="s">
        <v>84</v>
      </c>
      <c r="I2519" s="80" t="s">
        <v>84</v>
      </c>
      <c r="J2519" s="80" t="s">
        <v>84</v>
      </c>
      <c r="K2519" s="80" t="s">
        <v>84</v>
      </c>
      <c r="L2519" s="80" t="s">
        <v>84</v>
      </c>
      <c r="M2519" s="80" t="s">
        <v>84</v>
      </c>
      <c r="N2519" s="80" t="s">
        <v>84</v>
      </c>
      <c r="O2519" s="80" t="s">
        <v>84</v>
      </c>
      <c r="P2519" s="80"/>
      <c r="Q2519" s="80" t="s">
        <v>84</v>
      </c>
      <c r="R2519" s="80" t="s">
        <v>84</v>
      </c>
    </row>
    <row r="2520" spans="1:18" ht="20" x14ac:dyDescent="0.2">
      <c r="A2520" s="80" t="s">
        <v>6235</v>
      </c>
      <c r="B2520" s="80" t="s">
        <v>6236</v>
      </c>
      <c r="C2520" s="80" t="s">
        <v>84</v>
      </c>
      <c r="D2520" s="80" t="s">
        <v>84</v>
      </c>
      <c r="E2520" s="80" t="s">
        <v>84</v>
      </c>
      <c r="F2520" s="80"/>
      <c r="G2520" s="80" t="s">
        <v>84</v>
      </c>
      <c r="H2520" s="80" t="s">
        <v>84</v>
      </c>
      <c r="I2520" s="80" t="s">
        <v>84</v>
      </c>
      <c r="J2520" s="80" t="s">
        <v>84</v>
      </c>
      <c r="K2520" s="80" t="s">
        <v>84</v>
      </c>
      <c r="L2520" s="80" t="s">
        <v>84</v>
      </c>
      <c r="M2520" s="80" t="s">
        <v>84</v>
      </c>
      <c r="N2520" s="80" t="s">
        <v>84</v>
      </c>
      <c r="O2520" s="80" t="s">
        <v>84</v>
      </c>
      <c r="P2520" s="80"/>
      <c r="Q2520" s="80" t="s">
        <v>84</v>
      </c>
      <c r="R2520" s="80" t="s">
        <v>84</v>
      </c>
    </row>
    <row r="2521" spans="1:18" ht="20" x14ac:dyDescent="0.2">
      <c r="A2521" s="80" t="s">
        <v>6275</v>
      </c>
      <c r="B2521" s="80" t="s">
        <v>6276</v>
      </c>
      <c r="C2521" s="80" t="s">
        <v>84</v>
      </c>
      <c r="D2521" s="80" t="s">
        <v>84</v>
      </c>
      <c r="E2521" s="80" t="s">
        <v>84</v>
      </c>
      <c r="F2521" s="80"/>
      <c r="G2521" s="80" t="s">
        <v>84</v>
      </c>
      <c r="H2521" s="80" t="s">
        <v>84</v>
      </c>
      <c r="I2521" s="80" t="s">
        <v>84</v>
      </c>
      <c r="J2521" s="80" t="s">
        <v>84</v>
      </c>
      <c r="K2521" s="80" t="s">
        <v>84</v>
      </c>
      <c r="L2521" s="80" t="s">
        <v>84</v>
      </c>
      <c r="M2521" s="80" t="s">
        <v>84</v>
      </c>
      <c r="N2521" s="80" t="s">
        <v>84</v>
      </c>
      <c r="O2521" s="80" t="s">
        <v>84</v>
      </c>
      <c r="P2521" s="80"/>
      <c r="Q2521" s="80" t="s">
        <v>84</v>
      </c>
      <c r="R2521" s="80" t="s">
        <v>84</v>
      </c>
    </row>
    <row r="2522" spans="1:18" ht="20" x14ac:dyDescent="0.2">
      <c r="A2522" s="80" t="s">
        <v>6299</v>
      </c>
      <c r="B2522" s="80" t="s">
        <v>6300</v>
      </c>
      <c r="C2522" s="80" t="s">
        <v>84</v>
      </c>
      <c r="D2522" s="80" t="s">
        <v>84</v>
      </c>
      <c r="E2522" s="80" t="s">
        <v>84</v>
      </c>
      <c r="F2522" s="80"/>
      <c r="G2522" s="80" t="s">
        <v>84</v>
      </c>
      <c r="H2522" s="80" t="s">
        <v>84</v>
      </c>
      <c r="I2522" s="80" t="s">
        <v>84</v>
      </c>
      <c r="J2522" s="80" t="s">
        <v>84</v>
      </c>
      <c r="K2522" s="80" t="s">
        <v>84</v>
      </c>
      <c r="L2522" s="80" t="s">
        <v>84</v>
      </c>
      <c r="M2522" s="80" t="s">
        <v>84</v>
      </c>
      <c r="N2522" s="80" t="s">
        <v>84</v>
      </c>
      <c r="O2522" s="80" t="s">
        <v>84</v>
      </c>
      <c r="P2522" s="80"/>
      <c r="Q2522" s="80" t="s">
        <v>84</v>
      </c>
      <c r="R2522" s="80" t="s">
        <v>84</v>
      </c>
    </row>
    <row r="2523" spans="1:18" ht="20" x14ac:dyDescent="0.2">
      <c r="A2523" s="80" t="s">
        <v>6303</v>
      </c>
      <c r="B2523" s="80" t="s">
        <v>6304</v>
      </c>
      <c r="C2523" s="80" t="s">
        <v>84</v>
      </c>
      <c r="D2523" s="80" t="s">
        <v>84</v>
      </c>
      <c r="E2523" s="80" t="s">
        <v>84</v>
      </c>
      <c r="F2523" s="80"/>
      <c r="G2523" s="80" t="s">
        <v>84</v>
      </c>
      <c r="H2523" s="80" t="s">
        <v>84</v>
      </c>
      <c r="I2523" s="80" t="s">
        <v>84</v>
      </c>
      <c r="J2523" s="80" t="s">
        <v>84</v>
      </c>
      <c r="K2523" s="80" t="s">
        <v>84</v>
      </c>
      <c r="L2523" s="80" t="s">
        <v>84</v>
      </c>
      <c r="M2523" s="80" t="s">
        <v>84</v>
      </c>
      <c r="N2523" s="80" t="s">
        <v>84</v>
      </c>
      <c r="O2523" s="80" t="s">
        <v>84</v>
      </c>
      <c r="P2523" s="80"/>
      <c r="Q2523" s="80" t="s">
        <v>84</v>
      </c>
      <c r="R2523" s="80" t="s">
        <v>84</v>
      </c>
    </row>
    <row r="2524" spans="1:18" ht="20" x14ac:dyDescent="0.2">
      <c r="A2524" s="80" t="s">
        <v>6313</v>
      </c>
      <c r="B2524" s="80" t="s">
        <v>6314</v>
      </c>
      <c r="C2524" s="80" t="s">
        <v>84</v>
      </c>
      <c r="D2524" s="80" t="s">
        <v>84</v>
      </c>
      <c r="E2524" s="80" t="s">
        <v>84</v>
      </c>
      <c r="F2524" s="80"/>
      <c r="G2524" s="80" t="s">
        <v>84</v>
      </c>
      <c r="H2524" s="80" t="s">
        <v>84</v>
      </c>
      <c r="I2524" s="80" t="s">
        <v>84</v>
      </c>
      <c r="J2524" s="80" t="s">
        <v>84</v>
      </c>
      <c r="K2524" s="80" t="s">
        <v>84</v>
      </c>
      <c r="L2524" s="80" t="s">
        <v>84</v>
      </c>
      <c r="M2524" s="80" t="s">
        <v>84</v>
      </c>
      <c r="N2524" s="80" t="s">
        <v>84</v>
      </c>
      <c r="O2524" s="80" t="s">
        <v>84</v>
      </c>
      <c r="P2524" s="80"/>
      <c r="Q2524" s="80" t="s">
        <v>84</v>
      </c>
      <c r="R2524" s="80" t="s">
        <v>84</v>
      </c>
    </row>
    <row r="2525" spans="1:18" ht="20" x14ac:dyDescent="0.2">
      <c r="A2525" s="80" t="s">
        <v>6341</v>
      </c>
      <c r="B2525" s="80" t="s">
        <v>6342</v>
      </c>
      <c r="C2525" s="80" t="s">
        <v>84</v>
      </c>
      <c r="D2525" s="80" t="s">
        <v>84</v>
      </c>
      <c r="E2525" s="80" t="s">
        <v>84</v>
      </c>
      <c r="F2525" s="80"/>
      <c r="G2525" s="80" t="s">
        <v>84</v>
      </c>
      <c r="H2525" s="80" t="s">
        <v>84</v>
      </c>
      <c r="I2525" s="80" t="s">
        <v>84</v>
      </c>
      <c r="J2525" s="80" t="s">
        <v>84</v>
      </c>
      <c r="K2525" s="80" t="s">
        <v>84</v>
      </c>
      <c r="L2525" s="80" t="s">
        <v>84</v>
      </c>
      <c r="M2525" s="80" t="s">
        <v>84</v>
      </c>
      <c r="N2525" s="80" t="s">
        <v>84</v>
      </c>
      <c r="O2525" s="80" t="s">
        <v>84</v>
      </c>
      <c r="P2525" s="80"/>
      <c r="Q2525" s="80" t="s">
        <v>84</v>
      </c>
      <c r="R2525" s="80" t="s">
        <v>84</v>
      </c>
    </row>
    <row r="2526" spans="1:18" ht="20" x14ac:dyDescent="0.2">
      <c r="A2526" s="80" t="s">
        <v>6371</v>
      </c>
      <c r="B2526" s="80" t="s">
        <v>6372</v>
      </c>
      <c r="C2526" s="80" t="s">
        <v>84</v>
      </c>
      <c r="D2526" s="80" t="s">
        <v>84</v>
      </c>
      <c r="E2526" s="80" t="s">
        <v>84</v>
      </c>
      <c r="F2526" s="80"/>
      <c r="G2526" s="80" t="s">
        <v>84</v>
      </c>
      <c r="H2526" s="80" t="s">
        <v>84</v>
      </c>
      <c r="I2526" s="80" t="s">
        <v>84</v>
      </c>
      <c r="J2526" s="80" t="s">
        <v>84</v>
      </c>
      <c r="K2526" s="80" t="s">
        <v>84</v>
      </c>
      <c r="L2526" s="80" t="s">
        <v>84</v>
      </c>
      <c r="M2526" s="80" t="s">
        <v>84</v>
      </c>
      <c r="N2526" s="80" t="s">
        <v>84</v>
      </c>
      <c r="O2526" s="80" t="s">
        <v>84</v>
      </c>
      <c r="P2526" s="80"/>
      <c r="Q2526" s="80" t="s">
        <v>84</v>
      </c>
      <c r="R2526" s="80" t="s">
        <v>84</v>
      </c>
    </row>
    <row r="2527" spans="1:18" ht="20" x14ac:dyDescent="0.2">
      <c r="A2527" s="80" t="s">
        <v>6377</v>
      </c>
      <c r="B2527" s="80" t="s">
        <v>6378</v>
      </c>
      <c r="C2527" s="80" t="s">
        <v>84</v>
      </c>
      <c r="D2527" s="80" t="s">
        <v>84</v>
      </c>
      <c r="E2527" s="80" t="s">
        <v>84</v>
      </c>
      <c r="F2527" s="80"/>
      <c r="G2527" s="80" t="s">
        <v>84</v>
      </c>
      <c r="H2527" s="80" t="s">
        <v>84</v>
      </c>
      <c r="I2527" s="80" t="s">
        <v>84</v>
      </c>
      <c r="J2527" s="80" t="s">
        <v>84</v>
      </c>
      <c r="K2527" s="80" t="s">
        <v>84</v>
      </c>
      <c r="L2527" s="80" t="s">
        <v>84</v>
      </c>
      <c r="M2527" s="80" t="s">
        <v>84</v>
      </c>
      <c r="N2527" s="80" t="s">
        <v>84</v>
      </c>
      <c r="O2527" s="80" t="s">
        <v>84</v>
      </c>
      <c r="P2527" s="80"/>
      <c r="Q2527" s="80" t="s">
        <v>84</v>
      </c>
      <c r="R2527" s="80" t="s">
        <v>84</v>
      </c>
    </row>
    <row r="2528" spans="1:18" ht="20" x14ac:dyDescent="0.2">
      <c r="A2528" s="80" t="s">
        <v>6359</v>
      </c>
      <c r="B2528" s="80" t="s">
        <v>6360</v>
      </c>
      <c r="C2528" s="80" t="s">
        <v>84</v>
      </c>
      <c r="D2528" s="80" t="s">
        <v>84</v>
      </c>
      <c r="E2528" s="80" t="s">
        <v>84</v>
      </c>
      <c r="F2528" s="80"/>
      <c r="G2528" s="80" t="s">
        <v>84</v>
      </c>
      <c r="H2528" s="80" t="s">
        <v>84</v>
      </c>
      <c r="I2528" s="80" t="s">
        <v>84</v>
      </c>
      <c r="J2528" s="80" t="s">
        <v>84</v>
      </c>
      <c r="K2528" s="80" t="s">
        <v>84</v>
      </c>
      <c r="L2528" s="80" t="s">
        <v>84</v>
      </c>
      <c r="M2528" s="80" t="s">
        <v>84</v>
      </c>
      <c r="N2528" s="80" t="s">
        <v>84</v>
      </c>
      <c r="O2528" s="80" t="s">
        <v>84</v>
      </c>
      <c r="P2528" s="80"/>
      <c r="Q2528" s="80" t="s">
        <v>84</v>
      </c>
      <c r="R2528" s="80" t="s">
        <v>84</v>
      </c>
    </row>
    <row r="2529" spans="1:18" ht="20" x14ac:dyDescent="0.2">
      <c r="A2529" s="80" t="s">
        <v>6435</v>
      </c>
      <c r="B2529" s="80" t="s">
        <v>6436</v>
      </c>
      <c r="C2529" s="80" t="s">
        <v>84</v>
      </c>
      <c r="D2529" s="80" t="s">
        <v>84</v>
      </c>
      <c r="E2529" s="80" t="s">
        <v>84</v>
      </c>
      <c r="F2529" s="80"/>
      <c r="G2529" s="80" t="s">
        <v>84</v>
      </c>
      <c r="H2529" s="80" t="s">
        <v>84</v>
      </c>
      <c r="I2529" s="80" t="s">
        <v>84</v>
      </c>
      <c r="J2529" s="80" t="s">
        <v>84</v>
      </c>
      <c r="K2529" s="80" t="s">
        <v>84</v>
      </c>
      <c r="L2529" s="80" t="s">
        <v>84</v>
      </c>
      <c r="M2529" s="80" t="s">
        <v>84</v>
      </c>
      <c r="N2529" s="80" t="s">
        <v>84</v>
      </c>
      <c r="O2529" s="80" t="s">
        <v>84</v>
      </c>
      <c r="P2529" s="80"/>
      <c r="Q2529" s="80" t="s">
        <v>84</v>
      </c>
      <c r="R2529" s="80" t="s">
        <v>84</v>
      </c>
    </row>
    <row r="2530" spans="1:18" ht="20" x14ac:dyDescent="0.2">
      <c r="A2530" s="80" t="s">
        <v>6401</v>
      </c>
      <c r="B2530" s="80" t="s">
        <v>6402</v>
      </c>
      <c r="C2530" s="80" t="s">
        <v>84</v>
      </c>
      <c r="D2530" s="80" t="s">
        <v>84</v>
      </c>
      <c r="E2530" s="80" t="s">
        <v>84</v>
      </c>
      <c r="F2530" s="80"/>
      <c r="G2530" s="80" t="s">
        <v>84</v>
      </c>
      <c r="H2530" s="80" t="s">
        <v>84</v>
      </c>
      <c r="I2530" s="80" t="s">
        <v>84</v>
      </c>
      <c r="J2530" s="80" t="s">
        <v>84</v>
      </c>
      <c r="K2530" s="80" t="s">
        <v>84</v>
      </c>
      <c r="L2530" s="80" t="s">
        <v>84</v>
      </c>
      <c r="M2530" s="80" t="s">
        <v>84</v>
      </c>
      <c r="N2530" s="80" t="s">
        <v>84</v>
      </c>
      <c r="O2530" s="80" t="s">
        <v>84</v>
      </c>
      <c r="P2530" s="80"/>
      <c r="Q2530" s="80" t="s">
        <v>84</v>
      </c>
      <c r="R2530" s="80" t="s">
        <v>84</v>
      </c>
    </row>
    <row r="2531" spans="1:18" ht="20" x14ac:dyDescent="0.2">
      <c r="A2531" s="80" t="s">
        <v>6409</v>
      </c>
      <c r="B2531" s="80" t="s">
        <v>6410</v>
      </c>
      <c r="C2531" s="80" t="s">
        <v>84</v>
      </c>
      <c r="D2531" s="80" t="s">
        <v>84</v>
      </c>
      <c r="E2531" s="80" t="s">
        <v>84</v>
      </c>
      <c r="F2531" s="80"/>
      <c r="G2531" s="80" t="s">
        <v>84</v>
      </c>
      <c r="H2531" s="80" t="s">
        <v>84</v>
      </c>
      <c r="I2531" s="80" t="s">
        <v>84</v>
      </c>
      <c r="J2531" s="80" t="s">
        <v>84</v>
      </c>
      <c r="K2531" s="80" t="s">
        <v>84</v>
      </c>
      <c r="L2531" s="80" t="s">
        <v>84</v>
      </c>
      <c r="M2531" s="80" t="s">
        <v>84</v>
      </c>
      <c r="N2531" s="80" t="s">
        <v>84</v>
      </c>
      <c r="O2531" s="80" t="s">
        <v>84</v>
      </c>
      <c r="P2531" s="80"/>
      <c r="Q2531" s="80" t="s">
        <v>84</v>
      </c>
      <c r="R2531" s="80" t="s">
        <v>84</v>
      </c>
    </row>
    <row r="2532" spans="1:18" ht="20" x14ac:dyDescent="0.2">
      <c r="A2532" s="80" t="s">
        <v>6411</v>
      </c>
      <c r="B2532" s="80" t="s">
        <v>6412</v>
      </c>
      <c r="C2532" s="80" t="s">
        <v>84</v>
      </c>
      <c r="D2532" s="80" t="s">
        <v>84</v>
      </c>
      <c r="E2532" s="80" t="s">
        <v>84</v>
      </c>
      <c r="F2532" s="80"/>
      <c r="G2532" s="80" t="s">
        <v>84</v>
      </c>
      <c r="H2532" s="80" t="s">
        <v>84</v>
      </c>
      <c r="I2532" s="80" t="s">
        <v>84</v>
      </c>
      <c r="J2532" s="80" t="s">
        <v>84</v>
      </c>
      <c r="K2532" s="80" t="s">
        <v>84</v>
      </c>
      <c r="L2532" s="80" t="s">
        <v>84</v>
      </c>
      <c r="M2532" s="80" t="s">
        <v>84</v>
      </c>
      <c r="N2532" s="80" t="s">
        <v>84</v>
      </c>
      <c r="O2532" s="80" t="s">
        <v>84</v>
      </c>
      <c r="P2532" s="80"/>
      <c r="Q2532" s="80" t="s">
        <v>84</v>
      </c>
      <c r="R2532" s="80" t="s">
        <v>84</v>
      </c>
    </row>
    <row r="2533" spans="1:18" ht="20" x14ac:dyDescent="0.2">
      <c r="A2533" s="80" t="s">
        <v>6433</v>
      </c>
      <c r="B2533" s="80" t="s">
        <v>6434</v>
      </c>
      <c r="C2533" s="80" t="s">
        <v>84</v>
      </c>
      <c r="D2533" s="80" t="s">
        <v>84</v>
      </c>
      <c r="E2533" s="80" t="s">
        <v>84</v>
      </c>
      <c r="F2533" s="80"/>
      <c r="G2533" s="80" t="s">
        <v>84</v>
      </c>
      <c r="H2533" s="80" t="s">
        <v>84</v>
      </c>
      <c r="I2533" s="80" t="s">
        <v>84</v>
      </c>
      <c r="J2533" s="80" t="s">
        <v>84</v>
      </c>
      <c r="K2533" s="80" t="s">
        <v>84</v>
      </c>
      <c r="L2533" s="80" t="s">
        <v>84</v>
      </c>
      <c r="M2533" s="80" t="s">
        <v>84</v>
      </c>
      <c r="N2533" s="80" t="s">
        <v>84</v>
      </c>
      <c r="O2533" s="80" t="s">
        <v>84</v>
      </c>
      <c r="P2533" s="80"/>
      <c r="Q2533" s="80" t="s">
        <v>84</v>
      </c>
      <c r="R2533" s="80" t="s">
        <v>84</v>
      </c>
    </row>
    <row r="2534" spans="1:18" ht="20" x14ac:dyDescent="0.2">
      <c r="A2534" s="80" t="s">
        <v>6473</v>
      </c>
      <c r="B2534" s="80" t="s">
        <v>6474</v>
      </c>
      <c r="C2534" s="80" t="s">
        <v>84</v>
      </c>
      <c r="D2534" s="80" t="s">
        <v>84</v>
      </c>
      <c r="E2534" s="80" t="s">
        <v>84</v>
      </c>
      <c r="F2534" s="80"/>
      <c r="G2534" s="80" t="s">
        <v>84</v>
      </c>
      <c r="H2534" s="80" t="s">
        <v>84</v>
      </c>
      <c r="I2534" s="80" t="s">
        <v>84</v>
      </c>
      <c r="J2534" s="80" t="s">
        <v>84</v>
      </c>
      <c r="K2534" s="80" t="s">
        <v>84</v>
      </c>
      <c r="L2534" s="80" t="s">
        <v>84</v>
      </c>
      <c r="M2534" s="80" t="s">
        <v>84</v>
      </c>
      <c r="N2534" s="80" t="s">
        <v>84</v>
      </c>
      <c r="O2534" s="80" t="s">
        <v>84</v>
      </c>
      <c r="P2534" s="80"/>
      <c r="Q2534" s="80" t="s">
        <v>84</v>
      </c>
      <c r="R2534" s="80" t="s">
        <v>84</v>
      </c>
    </row>
    <row r="2535" spans="1:18" ht="20" x14ac:dyDescent="0.2">
      <c r="A2535" s="80" t="s">
        <v>6475</v>
      </c>
      <c r="B2535" s="80" t="s">
        <v>6476</v>
      </c>
      <c r="C2535" s="80" t="s">
        <v>84</v>
      </c>
      <c r="D2535" s="80" t="s">
        <v>84</v>
      </c>
      <c r="E2535" s="80" t="s">
        <v>84</v>
      </c>
      <c r="F2535" s="80"/>
      <c r="G2535" s="80" t="s">
        <v>84</v>
      </c>
      <c r="H2535" s="80" t="s">
        <v>84</v>
      </c>
      <c r="I2535" s="80" t="s">
        <v>84</v>
      </c>
      <c r="J2535" s="80" t="s">
        <v>84</v>
      </c>
      <c r="K2535" s="80" t="s">
        <v>84</v>
      </c>
      <c r="L2535" s="80" t="s">
        <v>84</v>
      </c>
      <c r="M2535" s="80" t="s">
        <v>84</v>
      </c>
      <c r="N2535" s="80" t="s">
        <v>84</v>
      </c>
      <c r="O2535" s="80" t="s">
        <v>84</v>
      </c>
      <c r="P2535" s="80"/>
      <c r="Q2535" s="80" t="s">
        <v>84</v>
      </c>
      <c r="R2535" s="80" t="s">
        <v>84</v>
      </c>
    </row>
    <row r="2536" spans="1:18" ht="20" x14ac:dyDescent="0.2">
      <c r="A2536" s="80" t="s">
        <v>6479</v>
      </c>
      <c r="B2536" s="80" t="s">
        <v>6480</v>
      </c>
      <c r="C2536" s="80" t="s">
        <v>84</v>
      </c>
      <c r="D2536" s="80" t="s">
        <v>84</v>
      </c>
      <c r="E2536" s="80" t="s">
        <v>84</v>
      </c>
      <c r="F2536" s="80"/>
      <c r="G2536" s="80" t="s">
        <v>84</v>
      </c>
      <c r="H2536" s="80" t="s">
        <v>84</v>
      </c>
      <c r="I2536" s="80" t="s">
        <v>84</v>
      </c>
      <c r="J2536" s="80" t="s">
        <v>84</v>
      </c>
      <c r="K2536" s="80" t="s">
        <v>84</v>
      </c>
      <c r="L2536" s="80" t="s">
        <v>84</v>
      </c>
      <c r="M2536" s="80" t="s">
        <v>84</v>
      </c>
      <c r="N2536" s="80" t="s">
        <v>84</v>
      </c>
      <c r="O2536" s="80" t="s">
        <v>84</v>
      </c>
      <c r="P2536" s="80"/>
      <c r="Q2536" s="80" t="s">
        <v>84</v>
      </c>
      <c r="R2536" s="80" t="s">
        <v>84</v>
      </c>
    </row>
    <row r="2537" spans="1:18" ht="20" x14ac:dyDescent="0.2">
      <c r="A2537" s="80" t="s">
        <v>6485</v>
      </c>
      <c r="B2537" s="80" t="s">
        <v>6486</v>
      </c>
      <c r="C2537" s="80" t="s">
        <v>84</v>
      </c>
      <c r="D2537" s="80" t="s">
        <v>84</v>
      </c>
      <c r="E2537" s="80" t="s">
        <v>84</v>
      </c>
      <c r="F2537" s="80"/>
      <c r="G2537" s="80" t="s">
        <v>84</v>
      </c>
      <c r="H2537" s="80" t="s">
        <v>84</v>
      </c>
      <c r="I2537" s="80" t="s">
        <v>84</v>
      </c>
      <c r="J2537" s="80" t="s">
        <v>84</v>
      </c>
      <c r="K2537" s="80" t="s">
        <v>84</v>
      </c>
      <c r="L2537" s="80" t="s">
        <v>84</v>
      </c>
      <c r="M2537" s="80" t="s">
        <v>84</v>
      </c>
      <c r="N2537" s="80" t="s">
        <v>84</v>
      </c>
      <c r="O2537" s="80" t="s">
        <v>84</v>
      </c>
      <c r="P2537" s="80"/>
      <c r="Q2537" s="80" t="s">
        <v>84</v>
      </c>
      <c r="R2537" s="80" t="s">
        <v>84</v>
      </c>
    </row>
    <row r="2538" spans="1:18" ht="20" x14ac:dyDescent="0.2">
      <c r="A2538" s="80" t="s">
        <v>6501</v>
      </c>
      <c r="B2538" s="80" t="s">
        <v>6502</v>
      </c>
      <c r="C2538" s="80" t="s">
        <v>84</v>
      </c>
      <c r="D2538" s="80" t="s">
        <v>84</v>
      </c>
      <c r="E2538" s="80" t="s">
        <v>84</v>
      </c>
      <c r="F2538" s="80"/>
      <c r="G2538" s="80" t="s">
        <v>84</v>
      </c>
      <c r="H2538" s="80" t="s">
        <v>84</v>
      </c>
      <c r="I2538" s="80" t="s">
        <v>84</v>
      </c>
      <c r="J2538" s="80" t="s">
        <v>84</v>
      </c>
      <c r="K2538" s="80" t="s">
        <v>84</v>
      </c>
      <c r="L2538" s="80" t="s">
        <v>84</v>
      </c>
      <c r="M2538" s="80" t="s">
        <v>84</v>
      </c>
      <c r="N2538" s="80" t="s">
        <v>84</v>
      </c>
      <c r="O2538" s="80" t="s">
        <v>84</v>
      </c>
      <c r="P2538" s="80"/>
      <c r="Q2538" s="80" t="s">
        <v>84</v>
      </c>
      <c r="R2538" s="80" t="s">
        <v>84</v>
      </c>
    </row>
    <row r="2539" spans="1:18" ht="20" x14ac:dyDescent="0.2">
      <c r="A2539" s="80" t="s">
        <v>6507</v>
      </c>
      <c r="B2539" s="80" t="s">
        <v>6508</v>
      </c>
      <c r="C2539" s="80" t="s">
        <v>84</v>
      </c>
      <c r="D2539" s="80" t="s">
        <v>84</v>
      </c>
      <c r="E2539" s="80" t="s">
        <v>84</v>
      </c>
      <c r="F2539" s="80"/>
      <c r="G2539" s="80" t="s">
        <v>84</v>
      </c>
      <c r="H2539" s="80" t="s">
        <v>84</v>
      </c>
      <c r="I2539" s="80" t="s">
        <v>84</v>
      </c>
      <c r="J2539" s="80" t="s">
        <v>84</v>
      </c>
      <c r="K2539" s="80" t="s">
        <v>84</v>
      </c>
      <c r="L2539" s="80" t="s">
        <v>84</v>
      </c>
      <c r="M2539" s="80" t="s">
        <v>84</v>
      </c>
      <c r="N2539" s="80" t="s">
        <v>84</v>
      </c>
      <c r="O2539" s="80" t="s">
        <v>84</v>
      </c>
      <c r="P2539" s="80"/>
      <c r="Q2539" s="80" t="s">
        <v>84</v>
      </c>
      <c r="R2539" s="80" t="s">
        <v>84</v>
      </c>
    </row>
    <row r="2540" spans="1:18" ht="20" x14ac:dyDescent="0.2">
      <c r="A2540" s="80" t="s">
        <v>6519</v>
      </c>
      <c r="B2540" s="80" t="s">
        <v>6520</v>
      </c>
      <c r="C2540" s="80" t="s">
        <v>84</v>
      </c>
      <c r="D2540" s="80" t="s">
        <v>84</v>
      </c>
      <c r="E2540" s="80" t="s">
        <v>84</v>
      </c>
      <c r="F2540" s="80"/>
      <c r="G2540" s="80" t="s">
        <v>84</v>
      </c>
      <c r="H2540" s="80" t="s">
        <v>84</v>
      </c>
      <c r="I2540" s="80" t="s">
        <v>84</v>
      </c>
      <c r="J2540" s="80" t="s">
        <v>84</v>
      </c>
      <c r="K2540" s="80" t="s">
        <v>84</v>
      </c>
      <c r="L2540" s="80" t="s">
        <v>84</v>
      </c>
      <c r="M2540" s="80" t="s">
        <v>84</v>
      </c>
      <c r="N2540" s="80" t="s">
        <v>84</v>
      </c>
      <c r="O2540" s="80" t="s">
        <v>84</v>
      </c>
      <c r="P2540" s="80"/>
      <c r="Q2540" s="80" t="s">
        <v>84</v>
      </c>
      <c r="R2540" s="80" t="s">
        <v>84</v>
      </c>
    </row>
    <row r="2541" spans="1:18" ht="20" x14ac:dyDescent="0.2">
      <c r="A2541" s="80" t="s">
        <v>6521</v>
      </c>
      <c r="B2541" s="80" t="s">
        <v>6522</v>
      </c>
      <c r="C2541" s="80" t="s">
        <v>84</v>
      </c>
      <c r="D2541" s="80" t="s">
        <v>84</v>
      </c>
      <c r="E2541" s="80" t="s">
        <v>84</v>
      </c>
      <c r="F2541" s="80"/>
      <c r="G2541" s="80" t="s">
        <v>84</v>
      </c>
      <c r="H2541" s="80" t="s">
        <v>84</v>
      </c>
      <c r="I2541" s="80" t="s">
        <v>84</v>
      </c>
      <c r="J2541" s="80" t="s">
        <v>84</v>
      </c>
      <c r="K2541" s="80" t="s">
        <v>84</v>
      </c>
      <c r="L2541" s="80" t="s">
        <v>84</v>
      </c>
      <c r="M2541" s="80" t="s">
        <v>84</v>
      </c>
      <c r="N2541" s="80" t="s">
        <v>84</v>
      </c>
      <c r="O2541" s="80" t="s">
        <v>84</v>
      </c>
      <c r="P2541" s="80"/>
      <c r="Q2541" s="80" t="s">
        <v>84</v>
      </c>
      <c r="R2541" s="80" t="s">
        <v>84</v>
      </c>
    </row>
    <row r="2542" spans="1:18" ht="20" x14ac:dyDescent="0.2">
      <c r="A2542" s="80" t="s">
        <v>6541</v>
      </c>
      <c r="B2542" s="80" t="s">
        <v>6542</v>
      </c>
      <c r="C2542" s="80" t="s">
        <v>9680</v>
      </c>
      <c r="D2542" s="80" t="s">
        <v>84</v>
      </c>
      <c r="E2542" s="80" t="s">
        <v>84</v>
      </c>
      <c r="F2542" s="80"/>
      <c r="G2542" s="80" t="s">
        <v>84</v>
      </c>
      <c r="H2542" s="80" t="s">
        <v>84</v>
      </c>
      <c r="I2542" s="80" t="s">
        <v>84</v>
      </c>
      <c r="J2542" s="80" t="s">
        <v>84</v>
      </c>
      <c r="K2542" s="80" t="s">
        <v>84</v>
      </c>
      <c r="L2542" s="80" t="s">
        <v>84</v>
      </c>
      <c r="M2542" s="80" t="s">
        <v>9680</v>
      </c>
      <c r="N2542" s="80" t="s">
        <v>84</v>
      </c>
      <c r="O2542" s="80" t="s">
        <v>84</v>
      </c>
      <c r="P2542" s="80"/>
      <c r="Q2542" s="80" t="s">
        <v>84</v>
      </c>
      <c r="R2542" s="80" t="s">
        <v>84</v>
      </c>
    </row>
    <row r="2543" spans="1:18" ht="20" x14ac:dyDescent="0.2">
      <c r="A2543" s="80" t="s">
        <v>6547</v>
      </c>
      <c r="B2543" s="80" t="s">
        <v>6548</v>
      </c>
      <c r="C2543" s="80" t="s">
        <v>84</v>
      </c>
      <c r="D2543" s="80" t="s">
        <v>84</v>
      </c>
      <c r="E2543" s="80" t="s">
        <v>84</v>
      </c>
      <c r="F2543" s="80"/>
      <c r="G2543" s="80" t="s">
        <v>84</v>
      </c>
      <c r="H2543" s="80" t="s">
        <v>84</v>
      </c>
      <c r="I2543" s="80" t="s">
        <v>84</v>
      </c>
      <c r="J2543" s="80" t="s">
        <v>84</v>
      </c>
      <c r="K2543" s="80" t="s">
        <v>84</v>
      </c>
      <c r="L2543" s="80" t="s">
        <v>84</v>
      </c>
      <c r="M2543" s="80" t="s">
        <v>84</v>
      </c>
      <c r="N2543" s="80" t="s">
        <v>84</v>
      </c>
      <c r="O2543" s="80" t="s">
        <v>84</v>
      </c>
      <c r="P2543" s="80"/>
      <c r="Q2543" s="80" t="s">
        <v>84</v>
      </c>
      <c r="R2543" s="80" t="s">
        <v>84</v>
      </c>
    </row>
    <row r="2544" spans="1:18" ht="20" x14ac:dyDescent="0.2">
      <c r="A2544" s="80" t="s">
        <v>6781</v>
      </c>
      <c r="B2544" s="80" t="s">
        <v>10681</v>
      </c>
      <c r="C2544" s="80" t="s">
        <v>84</v>
      </c>
      <c r="D2544" s="80" t="s">
        <v>84</v>
      </c>
      <c r="E2544" s="80" t="s">
        <v>84</v>
      </c>
      <c r="F2544" s="80"/>
      <c r="G2544" s="80" t="s">
        <v>84</v>
      </c>
      <c r="H2544" s="80" t="s">
        <v>84</v>
      </c>
      <c r="I2544" s="80" t="s">
        <v>84</v>
      </c>
      <c r="J2544" s="80" t="s">
        <v>84</v>
      </c>
      <c r="K2544" s="80" t="s">
        <v>84</v>
      </c>
      <c r="L2544" s="80" t="s">
        <v>84</v>
      </c>
      <c r="M2544" s="80" t="s">
        <v>84</v>
      </c>
      <c r="N2544" s="80" t="s">
        <v>84</v>
      </c>
      <c r="O2544" s="80" t="s">
        <v>84</v>
      </c>
      <c r="P2544" s="80"/>
      <c r="Q2544" s="80" t="s">
        <v>84</v>
      </c>
      <c r="R2544" s="80" t="s">
        <v>84</v>
      </c>
    </row>
    <row r="2545" spans="1:18" ht="20" x14ac:dyDescent="0.2">
      <c r="A2545" s="80" t="s">
        <v>6781</v>
      </c>
      <c r="B2545" s="80" t="s">
        <v>6782</v>
      </c>
      <c r="C2545" s="80" t="s">
        <v>84</v>
      </c>
      <c r="D2545" s="80" t="s">
        <v>84</v>
      </c>
      <c r="E2545" s="80" t="s">
        <v>84</v>
      </c>
      <c r="F2545" s="80"/>
      <c r="G2545" s="80" t="s">
        <v>84</v>
      </c>
      <c r="H2545" s="80" t="s">
        <v>84</v>
      </c>
      <c r="I2545" s="80" t="s">
        <v>84</v>
      </c>
      <c r="J2545" s="80" t="s">
        <v>84</v>
      </c>
      <c r="K2545" s="80" t="s">
        <v>84</v>
      </c>
      <c r="L2545" s="80" t="s">
        <v>84</v>
      </c>
      <c r="M2545" s="80" t="s">
        <v>84</v>
      </c>
      <c r="N2545" s="80" t="s">
        <v>84</v>
      </c>
      <c r="O2545" s="80" t="s">
        <v>84</v>
      </c>
      <c r="P2545" s="80"/>
      <c r="Q2545" s="80" t="s">
        <v>84</v>
      </c>
      <c r="R2545" s="80" t="s">
        <v>84</v>
      </c>
    </row>
    <row r="2546" spans="1:18" ht="20" x14ac:dyDescent="0.2">
      <c r="A2546" s="80" t="s">
        <v>6636</v>
      </c>
      <c r="B2546" s="80" t="s">
        <v>6637</v>
      </c>
      <c r="C2546" s="80" t="s">
        <v>9680</v>
      </c>
      <c r="D2546" s="80" t="s">
        <v>84</v>
      </c>
      <c r="E2546" s="80" t="s">
        <v>84</v>
      </c>
      <c r="F2546" s="80"/>
      <c r="G2546" s="80" t="s">
        <v>84</v>
      </c>
      <c r="H2546" s="80" t="s">
        <v>84</v>
      </c>
      <c r="I2546" s="80" t="s">
        <v>84</v>
      </c>
      <c r="J2546" s="80" t="s">
        <v>84</v>
      </c>
      <c r="K2546" s="80" t="s">
        <v>84</v>
      </c>
      <c r="L2546" s="80" t="s">
        <v>84</v>
      </c>
      <c r="M2546" s="80" t="s">
        <v>84</v>
      </c>
      <c r="N2546" s="80" t="s">
        <v>84</v>
      </c>
      <c r="O2546" s="80" t="s">
        <v>84</v>
      </c>
      <c r="P2546" s="80"/>
      <c r="Q2546" s="80" t="s">
        <v>84</v>
      </c>
      <c r="R2546" s="80" t="s">
        <v>84</v>
      </c>
    </row>
    <row r="2547" spans="1:18" ht="20" x14ac:dyDescent="0.2">
      <c r="A2547" s="80" t="s">
        <v>6642</v>
      </c>
      <c r="B2547" s="80" t="s">
        <v>6643</v>
      </c>
      <c r="C2547" s="80" t="s">
        <v>84</v>
      </c>
      <c r="D2547" s="80" t="s">
        <v>84</v>
      </c>
      <c r="E2547" s="80" t="s">
        <v>84</v>
      </c>
      <c r="F2547" s="80"/>
      <c r="G2547" s="80" t="s">
        <v>84</v>
      </c>
      <c r="H2547" s="80" t="s">
        <v>84</v>
      </c>
      <c r="I2547" s="80" t="s">
        <v>84</v>
      </c>
      <c r="J2547" s="80" t="s">
        <v>84</v>
      </c>
      <c r="K2547" s="80" t="s">
        <v>84</v>
      </c>
      <c r="L2547" s="80" t="s">
        <v>84</v>
      </c>
      <c r="M2547" s="80" t="s">
        <v>84</v>
      </c>
      <c r="N2547" s="80" t="s">
        <v>84</v>
      </c>
      <c r="O2547" s="80" t="s">
        <v>84</v>
      </c>
      <c r="P2547" s="80"/>
      <c r="Q2547" s="80" t="s">
        <v>84</v>
      </c>
      <c r="R2547" s="80" t="s">
        <v>84</v>
      </c>
    </row>
    <row r="2548" spans="1:18" ht="20" x14ac:dyDescent="0.2">
      <c r="A2548" s="80" t="s">
        <v>6644</v>
      </c>
      <c r="B2548" s="80" t="s">
        <v>6645</v>
      </c>
      <c r="C2548" s="80" t="s">
        <v>84</v>
      </c>
      <c r="D2548" s="80" t="s">
        <v>84</v>
      </c>
      <c r="E2548" s="80" t="s">
        <v>84</v>
      </c>
      <c r="F2548" s="80"/>
      <c r="G2548" s="80" t="s">
        <v>84</v>
      </c>
      <c r="H2548" s="80" t="s">
        <v>84</v>
      </c>
      <c r="I2548" s="80" t="s">
        <v>84</v>
      </c>
      <c r="J2548" s="80" t="s">
        <v>84</v>
      </c>
      <c r="K2548" s="80" t="s">
        <v>84</v>
      </c>
      <c r="L2548" s="80" t="s">
        <v>84</v>
      </c>
      <c r="M2548" s="80" t="s">
        <v>84</v>
      </c>
      <c r="N2548" s="80" t="s">
        <v>84</v>
      </c>
      <c r="O2548" s="80" t="s">
        <v>84</v>
      </c>
      <c r="P2548" s="80"/>
      <c r="Q2548" s="80" t="s">
        <v>84</v>
      </c>
      <c r="R2548" s="80" t="s">
        <v>84</v>
      </c>
    </row>
    <row r="2549" spans="1:18" ht="20" x14ac:dyDescent="0.2">
      <c r="A2549" s="80" t="s">
        <v>6652</v>
      </c>
      <c r="B2549" s="80" t="s">
        <v>6653</v>
      </c>
      <c r="C2549" s="80" t="s">
        <v>84</v>
      </c>
      <c r="D2549" s="80" t="s">
        <v>84</v>
      </c>
      <c r="E2549" s="80" t="s">
        <v>84</v>
      </c>
      <c r="F2549" s="80"/>
      <c r="G2549" s="80" t="s">
        <v>84</v>
      </c>
      <c r="H2549" s="80" t="s">
        <v>84</v>
      </c>
      <c r="I2549" s="80" t="s">
        <v>84</v>
      </c>
      <c r="J2549" s="80" t="s">
        <v>84</v>
      </c>
      <c r="K2549" s="80" t="s">
        <v>84</v>
      </c>
      <c r="L2549" s="80" t="s">
        <v>84</v>
      </c>
      <c r="M2549" s="80" t="s">
        <v>84</v>
      </c>
      <c r="N2549" s="80" t="s">
        <v>84</v>
      </c>
      <c r="O2549" s="80" t="s">
        <v>84</v>
      </c>
      <c r="P2549" s="80"/>
      <c r="Q2549" s="80" t="s">
        <v>84</v>
      </c>
      <c r="R2549" s="80" t="s">
        <v>84</v>
      </c>
    </row>
    <row r="2550" spans="1:18" ht="20" x14ac:dyDescent="0.2">
      <c r="A2550" s="80" t="s">
        <v>6654</v>
      </c>
      <c r="B2550" s="80" t="s">
        <v>6655</v>
      </c>
      <c r="C2550" s="80" t="s">
        <v>84</v>
      </c>
      <c r="D2550" s="80" t="s">
        <v>84</v>
      </c>
      <c r="E2550" s="80" t="s">
        <v>84</v>
      </c>
      <c r="F2550" s="80"/>
      <c r="G2550" s="80" t="s">
        <v>84</v>
      </c>
      <c r="H2550" s="80" t="s">
        <v>84</v>
      </c>
      <c r="I2550" s="80" t="s">
        <v>84</v>
      </c>
      <c r="J2550" s="80" t="s">
        <v>84</v>
      </c>
      <c r="K2550" s="80" t="s">
        <v>84</v>
      </c>
      <c r="L2550" s="80" t="s">
        <v>84</v>
      </c>
      <c r="M2550" s="80" t="s">
        <v>84</v>
      </c>
      <c r="N2550" s="80" t="s">
        <v>84</v>
      </c>
      <c r="O2550" s="80" t="s">
        <v>84</v>
      </c>
      <c r="P2550" s="80"/>
      <c r="Q2550" s="80" t="s">
        <v>84</v>
      </c>
      <c r="R2550" s="80" t="s">
        <v>84</v>
      </c>
    </row>
    <row r="2551" spans="1:18" ht="20" x14ac:dyDescent="0.2">
      <c r="A2551" s="80" t="s">
        <v>6674</v>
      </c>
      <c r="B2551" s="80" t="s">
        <v>6675</v>
      </c>
      <c r="C2551" s="80" t="s">
        <v>9680</v>
      </c>
      <c r="D2551" s="80" t="s">
        <v>84</v>
      </c>
      <c r="E2551" s="80" t="s">
        <v>84</v>
      </c>
      <c r="F2551" s="80"/>
      <c r="G2551" s="80" t="s">
        <v>84</v>
      </c>
      <c r="H2551" s="80" t="s">
        <v>84</v>
      </c>
      <c r="I2551" s="80" t="s">
        <v>84</v>
      </c>
      <c r="J2551" s="80" t="s">
        <v>84</v>
      </c>
      <c r="K2551" s="80" t="s">
        <v>84</v>
      </c>
      <c r="L2551" s="80" t="s">
        <v>84</v>
      </c>
      <c r="M2551" s="80" t="s">
        <v>84</v>
      </c>
      <c r="N2551" s="80" t="s">
        <v>84</v>
      </c>
      <c r="O2551" s="80" t="s">
        <v>84</v>
      </c>
      <c r="P2551" s="80"/>
      <c r="Q2551" s="80" t="s">
        <v>84</v>
      </c>
      <c r="R2551" s="80" t="s">
        <v>84</v>
      </c>
    </row>
    <row r="2552" spans="1:18" ht="20" x14ac:dyDescent="0.2">
      <c r="A2552" s="80" t="s">
        <v>6702</v>
      </c>
      <c r="B2552" s="80" t="s">
        <v>6703</v>
      </c>
      <c r="C2552" s="80" t="s">
        <v>9722</v>
      </c>
      <c r="D2552" s="80" t="s">
        <v>84</v>
      </c>
      <c r="E2552" s="80" t="s">
        <v>84</v>
      </c>
      <c r="F2552" s="80"/>
      <c r="G2552" s="80" t="s">
        <v>84</v>
      </c>
      <c r="H2552" s="80" t="s">
        <v>84</v>
      </c>
      <c r="I2552" s="80" t="s">
        <v>84</v>
      </c>
      <c r="J2552" s="80" t="s">
        <v>84</v>
      </c>
      <c r="K2552" s="80" t="s">
        <v>84</v>
      </c>
      <c r="L2552" s="80" t="s">
        <v>84</v>
      </c>
      <c r="M2552" s="80" t="s">
        <v>84</v>
      </c>
      <c r="N2552" s="80" t="s">
        <v>84</v>
      </c>
      <c r="O2552" s="80" t="s">
        <v>84</v>
      </c>
      <c r="P2552" s="80"/>
      <c r="Q2552" s="80" t="s">
        <v>84</v>
      </c>
      <c r="R2552" s="80" t="s">
        <v>84</v>
      </c>
    </row>
    <row r="2553" spans="1:18" ht="20" x14ac:dyDescent="0.2">
      <c r="A2553" s="80" t="s">
        <v>1862</v>
      </c>
      <c r="B2553" s="80" t="s">
        <v>1863</v>
      </c>
      <c r="C2553" s="80" t="s">
        <v>9680</v>
      </c>
      <c r="D2553" s="80" t="s">
        <v>84</v>
      </c>
      <c r="E2553" s="80" t="s">
        <v>84</v>
      </c>
      <c r="F2553" s="80"/>
      <c r="G2553" s="80" t="s">
        <v>84</v>
      </c>
      <c r="H2553" s="80" t="s">
        <v>84</v>
      </c>
      <c r="I2553" s="80" t="s">
        <v>84</v>
      </c>
      <c r="J2553" s="80" t="s">
        <v>84</v>
      </c>
      <c r="K2553" s="80" t="s">
        <v>84</v>
      </c>
      <c r="L2553" s="80" t="s">
        <v>84</v>
      </c>
      <c r="M2553" s="80" t="s">
        <v>84</v>
      </c>
      <c r="N2553" s="80" t="s">
        <v>84</v>
      </c>
      <c r="O2553" s="80" t="s">
        <v>84</v>
      </c>
      <c r="P2553" s="80"/>
      <c r="Q2553" s="80" t="s">
        <v>84</v>
      </c>
      <c r="R2553" s="80" t="s">
        <v>84</v>
      </c>
    </row>
    <row r="2554" spans="1:18" ht="20" x14ac:dyDescent="0.2">
      <c r="A2554" s="80" t="s">
        <v>2963</v>
      </c>
      <c r="B2554" s="80" t="s">
        <v>2964</v>
      </c>
      <c r="C2554" s="80" t="s">
        <v>9680</v>
      </c>
      <c r="D2554" s="80" t="s">
        <v>84</v>
      </c>
      <c r="E2554" s="80" t="s">
        <v>84</v>
      </c>
      <c r="F2554" s="80"/>
      <c r="G2554" s="80" t="s">
        <v>84</v>
      </c>
      <c r="H2554" s="80" t="s">
        <v>84</v>
      </c>
      <c r="I2554" s="80" t="s">
        <v>84</v>
      </c>
      <c r="J2554" s="80" t="s">
        <v>84</v>
      </c>
      <c r="K2554" s="80" t="s">
        <v>84</v>
      </c>
      <c r="L2554" s="80" t="s">
        <v>84</v>
      </c>
      <c r="M2554" s="80" t="s">
        <v>84</v>
      </c>
      <c r="N2554" s="80" t="s">
        <v>84</v>
      </c>
      <c r="O2554" s="80" t="s">
        <v>84</v>
      </c>
      <c r="P2554" s="80"/>
      <c r="Q2554" s="80" t="s">
        <v>84</v>
      </c>
      <c r="R2554" s="80" t="s">
        <v>84</v>
      </c>
    </row>
    <row r="2555" spans="1:18" ht="20" x14ac:dyDescent="0.2">
      <c r="A2555" s="80" t="s">
        <v>6221</v>
      </c>
      <c r="B2555" s="80" t="s">
        <v>6222</v>
      </c>
      <c r="C2555" s="80" t="s">
        <v>84</v>
      </c>
      <c r="D2555" s="80" t="s">
        <v>84</v>
      </c>
      <c r="E2555" s="80" t="s">
        <v>84</v>
      </c>
      <c r="F2555" s="80"/>
      <c r="G2555" s="80" t="s">
        <v>84</v>
      </c>
      <c r="H2555" s="80" t="s">
        <v>84</v>
      </c>
      <c r="I2555" s="80" t="s">
        <v>84</v>
      </c>
      <c r="J2555" s="80" t="s">
        <v>84</v>
      </c>
      <c r="K2555" s="80" t="s">
        <v>84</v>
      </c>
      <c r="L2555" s="80" t="s">
        <v>84</v>
      </c>
      <c r="M2555" s="80" t="s">
        <v>84</v>
      </c>
      <c r="N2555" s="80" t="s">
        <v>84</v>
      </c>
      <c r="O2555" s="80" t="s">
        <v>84</v>
      </c>
      <c r="P2555" s="80"/>
      <c r="Q2555" s="80" t="s">
        <v>84</v>
      </c>
      <c r="R2555" s="80" t="s">
        <v>84</v>
      </c>
    </row>
    <row r="2556" spans="1:18" ht="20" x14ac:dyDescent="0.2">
      <c r="A2556" s="80" t="s">
        <v>6223</v>
      </c>
      <c r="B2556" s="80" t="s">
        <v>6224</v>
      </c>
      <c r="C2556" s="80" t="s">
        <v>84</v>
      </c>
      <c r="D2556" s="80" t="s">
        <v>84</v>
      </c>
      <c r="E2556" s="80" t="s">
        <v>84</v>
      </c>
      <c r="F2556" s="80"/>
      <c r="G2556" s="80" t="s">
        <v>84</v>
      </c>
      <c r="H2556" s="80" t="s">
        <v>84</v>
      </c>
      <c r="I2556" s="80" t="s">
        <v>84</v>
      </c>
      <c r="J2556" s="80" t="s">
        <v>84</v>
      </c>
      <c r="K2556" s="80" t="s">
        <v>84</v>
      </c>
      <c r="L2556" s="80" t="s">
        <v>84</v>
      </c>
      <c r="M2556" s="80" t="s">
        <v>84</v>
      </c>
      <c r="N2556" s="80" t="s">
        <v>84</v>
      </c>
      <c r="O2556" s="80" t="s">
        <v>84</v>
      </c>
      <c r="P2556" s="80"/>
      <c r="Q2556" s="80" t="s">
        <v>84</v>
      </c>
      <c r="R2556" s="80" t="s">
        <v>84</v>
      </c>
    </row>
    <row r="2557" spans="1:18" ht="20" x14ac:dyDescent="0.2">
      <c r="A2557" s="80" t="s">
        <v>6233</v>
      </c>
      <c r="B2557" s="80" t="s">
        <v>6234</v>
      </c>
      <c r="C2557" s="80" t="s">
        <v>84</v>
      </c>
      <c r="D2557" s="80" t="s">
        <v>84</v>
      </c>
      <c r="E2557" s="80" t="s">
        <v>84</v>
      </c>
      <c r="F2557" s="80"/>
      <c r="G2557" s="80" t="s">
        <v>84</v>
      </c>
      <c r="H2557" s="80" t="s">
        <v>84</v>
      </c>
      <c r="I2557" s="80" t="s">
        <v>84</v>
      </c>
      <c r="J2557" s="80" t="s">
        <v>84</v>
      </c>
      <c r="K2557" s="80" t="s">
        <v>84</v>
      </c>
      <c r="L2557" s="80" t="s">
        <v>84</v>
      </c>
      <c r="M2557" s="80" t="s">
        <v>84</v>
      </c>
      <c r="N2557" s="80" t="s">
        <v>84</v>
      </c>
      <c r="O2557" s="80" t="s">
        <v>84</v>
      </c>
      <c r="P2557" s="80"/>
      <c r="Q2557" s="80" t="s">
        <v>84</v>
      </c>
      <c r="R2557" s="80" t="s">
        <v>84</v>
      </c>
    </row>
    <row r="2558" spans="1:18" ht="20" x14ac:dyDescent="0.2">
      <c r="A2558" s="80" t="s">
        <v>6262</v>
      </c>
      <c r="B2558" s="80" t="s">
        <v>6263</v>
      </c>
      <c r="C2558" s="80" t="s">
        <v>84</v>
      </c>
      <c r="D2558" s="80" t="s">
        <v>84</v>
      </c>
      <c r="E2558" s="80" t="s">
        <v>84</v>
      </c>
      <c r="F2558" s="80"/>
      <c r="G2558" s="80" t="s">
        <v>84</v>
      </c>
      <c r="H2558" s="80" t="s">
        <v>84</v>
      </c>
      <c r="I2558" s="80" t="s">
        <v>84</v>
      </c>
      <c r="J2558" s="80" t="s">
        <v>84</v>
      </c>
      <c r="K2558" s="80" t="s">
        <v>84</v>
      </c>
      <c r="L2558" s="80" t="s">
        <v>84</v>
      </c>
      <c r="M2558" s="80" t="s">
        <v>84</v>
      </c>
      <c r="N2558" s="80" t="s">
        <v>84</v>
      </c>
      <c r="O2558" s="80" t="s">
        <v>84</v>
      </c>
      <c r="P2558" s="80"/>
      <c r="Q2558" s="80" t="s">
        <v>84</v>
      </c>
      <c r="R2558" s="80" t="s">
        <v>84</v>
      </c>
    </row>
    <row r="2559" spans="1:18" ht="20" x14ac:dyDescent="0.2">
      <c r="A2559" s="80" t="s">
        <v>6267</v>
      </c>
      <c r="B2559" s="80" t="s">
        <v>6268</v>
      </c>
      <c r="C2559" s="80" t="s">
        <v>84</v>
      </c>
      <c r="D2559" s="80" t="s">
        <v>84</v>
      </c>
      <c r="E2559" s="80" t="s">
        <v>84</v>
      </c>
      <c r="F2559" s="80"/>
      <c r="G2559" s="80" t="s">
        <v>84</v>
      </c>
      <c r="H2559" s="80" t="s">
        <v>84</v>
      </c>
      <c r="I2559" s="80" t="s">
        <v>84</v>
      </c>
      <c r="J2559" s="80" t="s">
        <v>84</v>
      </c>
      <c r="K2559" s="80" t="s">
        <v>84</v>
      </c>
      <c r="L2559" s="80" t="s">
        <v>84</v>
      </c>
      <c r="M2559" s="80" t="s">
        <v>84</v>
      </c>
      <c r="N2559" s="80" t="s">
        <v>84</v>
      </c>
      <c r="O2559" s="80" t="s">
        <v>84</v>
      </c>
      <c r="P2559" s="80"/>
      <c r="Q2559" s="80" t="s">
        <v>84</v>
      </c>
      <c r="R2559" s="80" t="s">
        <v>84</v>
      </c>
    </row>
    <row r="2560" spans="1:18" ht="20" x14ac:dyDescent="0.2">
      <c r="A2560" s="80" t="s">
        <v>6277</v>
      </c>
      <c r="B2560" s="80" t="s">
        <v>6278</v>
      </c>
      <c r="C2560" s="80" t="s">
        <v>84</v>
      </c>
      <c r="D2560" s="80" t="s">
        <v>84</v>
      </c>
      <c r="E2560" s="80" t="s">
        <v>84</v>
      </c>
      <c r="F2560" s="80"/>
      <c r="G2560" s="80" t="s">
        <v>84</v>
      </c>
      <c r="H2560" s="80" t="s">
        <v>84</v>
      </c>
      <c r="I2560" s="80" t="s">
        <v>84</v>
      </c>
      <c r="J2560" s="80" t="s">
        <v>84</v>
      </c>
      <c r="K2560" s="80" t="s">
        <v>84</v>
      </c>
      <c r="L2560" s="80" t="s">
        <v>84</v>
      </c>
      <c r="M2560" s="80" t="s">
        <v>84</v>
      </c>
      <c r="N2560" s="80" t="s">
        <v>84</v>
      </c>
      <c r="O2560" s="80" t="s">
        <v>84</v>
      </c>
      <c r="P2560" s="80"/>
      <c r="Q2560" s="80" t="s">
        <v>84</v>
      </c>
      <c r="R2560" s="80" t="s">
        <v>84</v>
      </c>
    </row>
    <row r="2561" spans="1:18" ht="20" x14ac:dyDescent="0.2">
      <c r="A2561" s="80" t="s">
        <v>6281</v>
      </c>
      <c r="B2561" s="80" t="s">
        <v>6282</v>
      </c>
      <c r="C2561" s="80" t="s">
        <v>9722</v>
      </c>
      <c r="D2561" s="80" t="s">
        <v>84</v>
      </c>
      <c r="E2561" s="80" t="s">
        <v>84</v>
      </c>
      <c r="F2561" s="80"/>
      <c r="G2561" s="80" t="s">
        <v>84</v>
      </c>
      <c r="H2561" s="80" t="s">
        <v>84</v>
      </c>
      <c r="I2561" s="80" t="s">
        <v>84</v>
      </c>
      <c r="J2561" s="80" t="s">
        <v>84</v>
      </c>
      <c r="K2561" s="80" t="s">
        <v>84</v>
      </c>
      <c r="L2561" s="80" t="s">
        <v>84</v>
      </c>
      <c r="M2561" s="80" t="s">
        <v>84</v>
      </c>
      <c r="N2561" s="80" t="s">
        <v>84</v>
      </c>
      <c r="O2561" s="80" t="s">
        <v>84</v>
      </c>
      <c r="P2561" s="80"/>
      <c r="Q2561" s="80" t="s">
        <v>84</v>
      </c>
      <c r="R2561" s="80" t="s">
        <v>84</v>
      </c>
    </row>
    <row r="2562" spans="1:18" ht="20" x14ac:dyDescent="0.2">
      <c r="A2562" s="80" t="s">
        <v>6285</v>
      </c>
      <c r="B2562" s="80" t="s">
        <v>6286</v>
      </c>
      <c r="C2562" s="80" t="s">
        <v>84</v>
      </c>
      <c r="D2562" s="80" t="s">
        <v>84</v>
      </c>
      <c r="E2562" s="80" t="s">
        <v>84</v>
      </c>
      <c r="F2562" s="80"/>
      <c r="G2562" s="80" t="s">
        <v>84</v>
      </c>
      <c r="H2562" s="80" t="s">
        <v>84</v>
      </c>
      <c r="I2562" s="80" t="s">
        <v>84</v>
      </c>
      <c r="J2562" s="80" t="s">
        <v>84</v>
      </c>
      <c r="K2562" s="80" t="s">
        <v>84</v>
      </c>
      <c r="L2562" s="80" t="s">
        <v>84</v>
      </c>
      <c r="M2562" s="80" t="s">
        <v>84</v>
      </c>
      <c r="N2562" s="80" t="s">
        <v>84</v>
      </c>
      <c r="O2562" s="80" t="s">
        <v>84</v>
      </c>
      <c r="P2562" s="80"/>
      <c r="Q2562" s="80" t="s">
        <v>84</v>
      </c>
      <c r="R2562" s="80" t="s">
        <v>84</v>
      </c>
    </row>
    <row r="2563" spans="1:18" ht="20" x14ac:dyDescent="0.2">
      <c r="A2563" s="80" t="s">
        <v>6287</v>
      </c>
      <c r="B2563" s="80" t="s">
        <v>6288</v>
      </c>
      <c r="C2563" s="80" t="s">
        <v>9680</v>
      </c>
      <c r="D2563" s="80" t="s">
        <v>84</v>
      </c>
      <c r="E2563" s="80" t="s">
        <v>84</v>
      </c>
      <c r="F2563" s="80"/>
      <c r="G2563" s="80" t="s">
        <v>84</v>
      </c>
      <c r="H2563" s="80" t="s">
        <v>84</v>
      </c>
      <c r="I2563" s="80" t="s">
        <v>84</v>
      </c>
      <c r="J2563" s="80" t="s">
        <v>84</v>
      </c>
      <c r="K2563" s="80" t="s">
        <v>84</v>
      </c>
      <c r="L2563" s="80" t="s">
        <v>84</v>
      </c>
      <c r="M2563" s="80" t="s">
        <v>84</v>
      </c>
      <c r="N2563" s="80" t="s">
        <v>84</v>
      </c>
      <c r="O2563" s="80" t="s">
        <v>84</v>
      </c>
      <c r="P2563" s="80"/>
      <c r="Q2563" s="80" t="s">
        <v>84</v>
      </c>
      <c r="R2563" s="80" t="s">
        <v>84</v>
      </c>
    </row>
    <row r="2564" spans="1:18" ht="20" x14ac:dyDescent="0.2">
      <c r="A2564" s="80" t="s">
        <v>6291</v>
      </c>
      <c r="B2564" s="80" t="s">
        <v>6292</v>
      </c>
      <c r="C2564" s="80" t="s">
        <v>84</v>
      </c>
      <c r="D2564" s="80" t="s">
        <v>84</v>
      </c>
      <c r="E2564" s="80" t="s">
        <v>84</v>
      </c>
      <c r="F2564" s="80"/>
      <c r="G2564" s="80" t="s">
        <v>84</v>
      </c>
      <c r="H2564" s="80" t="s">
        <v>84</v>
      </c>
      <c r="I2564" s="80" t="s">
        <v>84</v>
      </c>
      <c r="J2564" s="80" t="s">
        <v>84</v>
      </c>
      <c r="K2564" s="80" t="s">
        <v>84</v>
      </c>
      <c r="L2564" s="80" t="s">
        <v>84</v>
      </c>
      <c r="M2564" s="80" t="s">
        <v>84</v>
      </c>
      <c r="N2564" s="80" t="s">
        <v>84</v>
      </c>
      <c r="O2564" s="80" t="s">
        <v>84</v>
      </c>
      <c r="P2564" s="80"/>
      <c r="Q2564" s="80" t="s">
        <v>84</v>
      </c>
      <c r="R2564" s="80" t="s">
        <v>84</v>
      </c>
    </row>
    <row r="2565" spans="1:18" ht="20" x14ac:dyDescent="0.2">
      <c r="A2565" s="80" t="s">
        <v>6293</v>
      </c>
      <c r="B2565" s="80" t="s">
        <v>6294</v>
      </c>
      <c r="C2565" s="80" t="s">
        <v>84</v>
      </c>
      <c r="D2565" s="80" t="s">
        <v>84</v>
      </c>
      <c r="E2565" s="80" t="s">
        <v>84</v>
      </c>
      <c r="F2565" s="80"/>
      <c r="G2565" s="80" t="s">
        <v>84</v>
      </c>
      <c r="H2565" s="80" t="s">
        <v>84</v>
      </c>
      <c r="I2565" s="80" t="s">
        <v>84</v>
      </c>
      <c r="J2565" s="80" t="s">
        <v>84</v>
      </c>
      <c r="K2565" s="80" t="s">
        <v>84</v>
      </c>
      <c r="L2565" s="80" t="s">
        <v>84</v>
      </c>
      <c r="M2565" s="80" t="s">
        <v>84</v>
      </c>
      <c r="N2565" s="80" t="s">
        <v>84</v>
      </c>
      <c r="O2565" s="80" t="s">
        <v>84</v>
      </c>
      <c r="P2565" s="80"/>
      <c r="Q2565" s="80" t="s">
        <v>84</v>
      </c>
      <c r="R2565" s="80" t="s">
        <v>84</v>
      </c>
    </row>
    <row r="2566" spans="1:18" ht="20" x14ac:dyDescent="0.2">
      <c r="A2566" s="80" t="s">
        <v>6295</v>
      </c>
      <c r="B2566" s="80" t="s">
        <v>6296</v>
      </c>
      <c r="C2566" s="80" t="s">
        <v>9680</v>
      </c>
      <c r="D2566" s="80" t="s">
        <v>84</v>
      </c>
      <c r="E2566" s="80" t="s">
        <v>84</v>
      </c>
      <c r="F2566" s="80"/>
      <c r="G2566" s="80" t="s">
        <v>84</v>
      </c>
      <c r="H2566" s="80" t="s">
        <v>84</v>
      </c>
      <c r="I2566" s="80" t="s">
        <v>84</v>
      </c>
      <c r="J2566" s="80" t="s">
        <v>84</v>
      </c>
      <c r="K2566" s="80" t="s">
        <v>84</v>
      </c>
      <c r="L2566" s="80" t="s">
        <v>84</v>
      </c>
      <c r="M2566" s="80" t="s">
        <v>84</v>
      </c>
      <c r="N2566" s="80" t="s">
        <v>84</v>
      </c>
      <c r="O2566" s="80" t="s">
        <v>84</v>
      </c>
      <c r="P2566" s="80"/>
      <c r="Q2566" s="80" t="s">
        <v>84</v>
      </c>
      <c r="R2566" s="80" t="s">
        <v>84</v>
      </c>
    </row>
    <row r="2567" spans="1:18" ht="20" x14ac:dyDescent="0.2">
      <c r="A2567" s="80" t="s">
        <v>6305</v>
      </c>
      <c r="B2567" s="80" t="s">
        <v>6306</v>
      </c>
      <c r="C2567" s="80" t="s">
        <v>84</v>
      </c>
      <c r="D2567" s="80" t="s">
        <v>84</v>
      </c>
      <c r="E2567" s="80" t="s">
        <v>84</v>
      </c>
      <c r="F2567" s="80"/>
      <c r="G2567" s="80" t="s">
        <v>84</v>
      </c>
      <c r="H2567" s="80" t="s">
        <v>84</v>
      </c>
      <c r="I2567" s="80" t="s">
        <v>84</v>
      </c>
      <c r="J2567" s="80" t="s">
        <v>84</v>
      </c>
      <c r="K2567" s="80" t="s">
        <v>84</v>
      </c>
      <c r="L2567" s="80" t="s">
        <v>84</v>
      </c>
      <c r="M2567" s="80" t="s">
        <v>84</v>
      </c>
      <c r="N2567" s="80" t="s">
        <v>84</v>
      </c>
      <c r="O2567" s="80" t="s">
        <v>84</v>
      </c>
      <c r="P2567" s="80"/>
      <c r="Q2567" s="80" t="s">
        <v>84</v>
      </c>
      <c r="R2567" s="80" t="s">
        <v>84</v>
      </c>
    </row>
    <row r="2568" spans="1:18" ht="20" x14ac:dyDescent="0.2">
      <c r="A2568" s="80" t="s">
        <v>6307</v>
      </c>
      <c r="B2568" s="80" t="s">
        <v>6308</v>
      </c>
      <c r="C2568" s="80" t="s">
        <v>84</v>
      </c>
      <c r="D2568" s="80" t="s">
        <v>84</v>
      </c>
      <c r="E2568" s="80" t="s">
        <v>84</v>
      </c>
      <c r="F2568" s="80"/>
      <c r="G2568" s="80" t="s">
        <v>84</v>
      </c>
      <c r="H2568" s="80" t="s">
        <v>84</v>
      </c>
      <c r="I2568" s="80" t="s">
        <v>84</v>
      </c>
      <c r="J2568" s="80" t="s">
        <v>84</v>
      </c>
      <c r="K2568" s="80" t="s">
        <v>84</v>
      </c>
      <c r="L2568" s="80" t="s">
        <v>84</v>
      </c>
      <c r="M2568" s="80" t="s">
        <v>84</v>
      </c>
      <c r="N2568" s="80" t="s">
        <v>84</v>
      </c>
      <c r="O2568" s="80" t="s">
        <v>84</v>
      </c>
      <c r="P2568" s="80"/>
      <c r="Q2568" s="80" t="s">
        <v>84</v>
      </c>
      <c r="R2568" s="80" t="s">
        <v>84</v>
      </c>
    </row>
    <row r="2569" spans="1:18" ht="20" x14ac:dyDescent="0.2">
      <c r="A2569" s="80" t="s">
        <v>6309</v>
      </c>
      <c r="B2569" s="80" t="s">
        <v>6310</v>
      </c>
      <c r="C2569" s="80" t="s">
        <v>84</v>
      </c>
      <c r="D2569" s="80" t="s">
        <v>84</v>
      </c>
      <c r="E2569" s="80" t="s">
        <v>84</v>
      </c>
      <c r="F2569" s="80"/>
      <c r="G2569" s="80" t="s">
        <v>84</v>
      </c>
      <c r="H2569" s="80" t="s">
        <v>84</v>
      </c>
      <c r="I2569" s="80" t="s">
        <v>84</v>
      </c>
      <c r="J2569" s="80" t="s">
        <v>84</v>
      </c>
      <c r="K2569" s="80" t="s">
        <v>84</v>
      </c>
      <c r="L2569" s="80" t="s">
        <v>84</v>
      </c>
      <c r="M2569" s="80" t="s">
        <v>84</v>
      </c>
      <c r="N2569" s="80" t="s">
        <v>84</v>
      </c>
      <c r="O2569" s="80" t="s">
        <v>84</v>
      </c>
      <c r="P2569" s="80"/>
      <c r="Q2569" s="80" t="s">
        <v>84</v>
      </c>
      <c r="R2569" s="80" t="s">
        <v>84</v>
      </c>
    </row>
    <row r="2570" spans="1:18" ht="20" x14ac:dyDescent="0.2">
      <c r="A2570" s="80" t="s">
        <v>6311</v>
      </c>
      <c r="B2570" s="80" t="s">
        <v>6312</v>
      </c>
      <c r="C2570" s="80" t="s">
        <v>84</v>
      </c>
      <c r="D2570" s="80" t="s">
        <v>84</v>
      </c>
      <c r="E2570" s="80" t="s">
        <v>84</v>
      </c>
      <c r="F2570" s="80"/>
      <c r="G2570" s="80" t="s">
        <v>84</v>
      </c>
      <c r="H2570" s="80" t="s">
        <v>84</v>
      </c>
      <c r="I2570" s="80" t="s">
        <v>84</v>
      </c>
      <c r="J2570" s="80" t="s">
        <v>84</v>
      </c>
      <c r="K2570" s="80" t="s">
        <v>84</v>
      </c>
      <c r="L2570" s="80" t="s">
        <v>84</v>
      </c>
      <c r="M2570" s="80" t="s">
        <v>84</v>
      </c>
      <c r="N2570" s="80" t="s">
        <v>84</v>
      </c>
      <c r="O2570" s="80" t="s">
        <v>84</v>
      </c>
      <c r="P2570" s="80"/>
      <c r="Q2570" s="80" t="s">
        <v>84</v>
      </c>
      <c r="R2570" s="80" t="s">
        <v>84</v>
      </c>
    </row>
    <row r="2571" spans="1:18" ht="20" x14ac:dyDescent="0.2">
      <c r="A2571" s="80" t="s">
        <v>6325</v>
      </c>
      <c r="B2571" s="80" t="s">
        <v>6326</v>
      </c>
      <c r="C2571" s="80" t="s">
        <v>84</v>
      </c>
      <c r="D2571" s="80" t="s">
        <v>84</v>
      </c>
      <c r="E2571" s="80" t="s">
        <v>84</v>
      </c>
      <c r="F2571" s="80"/>
      <c r="G2571" s="80" t="s">
        <v>84</v>
      </c>
      <c r="H2571" s="80" t="s">
        <v>84</v>
      </c>
      <c r="I2571" s="80" t="s">
        <v>84</v>
      </c>
      <c r="J2571" s="80" t="s">
        <v>84</v>
      </c>
      <c r="K2571" s="80" t="s">
        <v>84</v>
      </c>
      <c r="L2571" s="80" t="s">
        <v>84</v>
      </c>
      <c r="M2571" s="80" t="s">
        <v>84</v>
      </c>
      <c r="N2571" s="80" t="s">
        <v>84</v>
      </c>
      <c r="O2571" s="80" t="s">
        <v>84</v>
      </c>
      <c r="P2571" s="80"/>
      <c r="Q2571" s="80" t="s">
        <v>84</v>
      </c>
      <c r="R2571" s="80" t="s">
        <v>84</v>
      </c>
    </row>
    <row r="2572" spans="1:18" ht="20" x14ac:dyDescent="0.2">
      <c r="A2572" s="80" t="s">
        <v>6327</v>
      </c>
      <c r="B2572" s="80" t="s">
        <v>6328</v>
      </c>
      <c r="C2572" s="80" t="s">
        <v>84</v>
      </c>
      <c r="D2572" s="80" t="s">
        <v>84</v>
      </c>
      <c r="E2572" s="80" t="s">
        <v>84</v>
      </c>
      <c r="F2572" s="80"/>
      <c r="G2572" s="80" t="s">
        <v>84</v>
      </c>
      <c r="H2572" s="80" t="s">
        <v>84</v>
      </c>
      <c r="I2572" s="80" t="s">
        <v>84</v>
      </c>
      <c r="J2572" s="80" t="s">
        <v>84</v>
      </c>
      <c r="K2572" s="80" t="s">
        <v>84</v>
      </c>
      <c r="L2572" s="80" t="s">
        <v>84</v>
      </c>
      <c r="M2572" s="80" t="s">
        <v>84</v>
      </c>
      <c r="N2572" s="80" t="s">
        <v>84</v>
      </c>
      <c r="O2572" s="80" t="s">
        <v>84</v>
      </c>
      <c r="P2572" s="80"/>
      <c r="Q2572" s="80" t="s">
        <v>84</v>
      </c>
      <c r="R2572" s="80" t="s">
        <v>84</v>
      </c>
    </row>
    <row r="2573" spans="1:18" ht="20" x14ac:dyDescent="0.2">
      <c r="A2573" s="80" t="s">
        <v>6329</v>
      </c>
      <c r="B2573" s="80" t="s">
        <v>6330</v>
      </c>
      <c r="C2573" s="80" t="s">
        <v>84</v>
      </c>
      <c r="D2573" s="80" t="s">
        <v>84</v>
      </c>
      <c r="E2573" s="80" t="s">
        <v>84</v>
      </c>
      <c r="F2573" s="80"/>
      <c r="G2573" s="80" t="s">
        <v>84</v>
      </c>
      <c r="H2573" s="80" t="s">
        <v>84</v>
      </c>
      <c r="I2573" s="80" t="s">
        <v>84</v>
      </c>
      <c r="J2573" s="80" t="s">
        <v>84</v>
      </c>
      <c r="K2573" s="80" t="s">
        <v>84</v>
      </c>
      <c r="L2573" s="80" t="s">
        <v>84</v>
      </c>
      <c r="M2573" s="80" t="s">
        <v>84</v>
      </c>
      <c r="N2573" s="80" t="s">
        <v>84</v>
      </c>
      <c r="O2573" s="80" t="s">
        <v>84</v>
      </c>
      <c r="P2573" s="80"/>
      <c r="Q2573" s="80" t="s">
        <v>84</v>
      </c>
      <c r="R2573" s="80" t="s">
        <v>84</v>
      </c>
    </row>
    <row r="2574" spans="1:18" ht="20" x14ac:dyDescent="0.2">
      <c r="A2574" s="80" t="s">
        <v>6315</v>
      </c>
      <c r="B2574" s="80" t="s">
        <v>6316</v>
      </c>
      <c r="C2574" s="80" t="s">
        <v>84</v>
      </c>
      <c r="D2574" s="80" t="s">
        <v>84</v>
      </c>
      <c r="E2574" s="80" t="s">
        <v>84</v>
      </c>
      <c r="F2574" s="80"/>
      <c r="G2574" s="80" t="s">
        <v>84</v>
      </c>
      <c r="H2574" s="80" t="s">
        <v>84</v>
      </c>
      <c r="I2574" s="80" t="s">
        <v>84</v>
      </c>
      <c r="J2574" s="80" t="s">
        <v>84</v>
      </c>
      <c r="K2574" s="80" t="s">
        <v>84</v>
      </c>
      <c r="L2574" s="80" t="s">
        <v>84</v>
      </c>
      <c r="M2574" s="80" t="s">
        <v>84</v>
      </c>
      <c r="N2574" s="80" t="s">
        <v>84</v>
      </c>
      <c r="O2574" s="80" t="s">
        <v>84</v>
      </c>
      <c r="P2574" s="80"/>
      <c r="Q2574" s="80" t="s">
        <v>84</v>
      </c>
      <c r="R2574" s="80" t="s">
        <v>84</v>
      </c>
    </row>
    <row r="2575" spans="1:18" ht="20" x14ac:dyDescent="0.2">
      <c r="A2575" s="80" t="s">
        <v>6331</v>
      </c>
      <c r="B2575" s="80" t="s">
        <v>6332</v>
      </c>
      <c r="C2575" s="80" t="s">
        <v>84</v>
      </c>
      <c r="D2575" s="80" t="s">
        <v>84</v>
      </c>
      <c r="E2575" s="80" t="s">
        <v>84</v>
      </c>
      <c r="F2575" s="80"/>
      <c r="G2575" s="80" t="s">
        <v>84</v>
      </c>
      <c r="H2575" s="80" t="s">
        <v>84</v>
      </c>
      <c r="I2575" s="80" t="s">
        <v>84</v>
      </c>
      <c r="J2575" s="80" t="s">
        <v>84</v>
      </c>
      <c r="K2575" s="80" t="s">
        <v>84</v>
      </c>
      <c r="L2575" s="80" t="s">
        <v>84</v>
      </c>
      <c r="M2575" s="80" t="s">
        <v>84</v>
      </c>
      <c r="N2575" s="80" t="s">
        <v>84</v>
      </c>
      <c r="O2575" s="80" t="s">
        <v>84</v>
      </c>
      <c r="P2575" s="80"/>
      <c r="Q2575" s="80" t="s">
        <v>84</v>
      </c>
      <c r="R2575" s="80" t="s">
        <v>84</v>
      </c>
    </row>
    <row r="2576" spans="1:18" ht="20" x14ac:dyDescent="0.2">
      <c r="A2576" s="80" t="s">
        <v>6333</v>
      </c>
      <c r="B2576" s="80" t="s">
        <v>6334</v>
      </c>
      <c r="C2576" s="80" t="s">
        <v>84</v>
      </c>
      <c r="D2576" s="80" t="s">
        <v>84</v>
      </c>
      <c r="E2576" s="80" t="s">
        <v>84</v>
      </c>
      <c r="F2576" s="80"/>
      <c r="G2576" s="80" t="s">
        <v>84</v>
      </c>
      <c r="H2576" s="80" t="s">
        <v>84</v>
      </c>
      <c r="I2576" s="80" t="s">
        <v>84</v>
      </c>
      <c r="J2576" s="80" t="s">
        <v>84</v>
      </c>
      <c r="K2576" s="80" t="s">
        <v>84</v>
      </c>
      <c r="L2576" s="80" t="s">
        <v>84</v>
      </c>
      <c r="M2576" s="80" t="s">
        <v>84</v>
      </c>
      <c r="N2576" s="80" t="s">
        <v>84</v>
      </c>
      <c r="O2576" s="80" t="s">
        <v>84</v>
      </c>
      <c r="P2576" s="80"/>
      <c r="Q2576" s="80" t="s">
        <v>84</v>
      </c>
      <c r="R2576" s="80" t="s">
        <v>84</v>
      </c>
    </row>
    <row r="2577" spans="1:18" ht="20" x14ac:dyDescent="0.2">
      <c r="A2577" s="80" t="s">
        <v>6343</v>
      </c>
      <c r="B2577" s="80" t="s">
        <v>6344</v>
      </c>
      <c r="C2577" s="80" t="s">
        <v>84</v>
      </c>
      <c r="D2577" s="80" t="s">
        <v>84</v>
      </c>
      <c r="E2577" s="80" t="s">
        <v>84</v>
      </c>
      <c r="F2577" s="80"/>
      <c r="G2577" s="80" t="s">
        <v>84</v>
      </c>
      <c r="H2577" s="80" t="s">
        <v>84</v>
      </c>
      <c r="I2577" s="80" t="s">
        <v>84</v>
      </c>
      <c r="J2577" s="80" t="s">
        <v>84</v>
      </c>
      <c r="K2577" s="80" t="s">
        <v>84</v>
      </c>
      <c r="L2577" s="80" t="s">
        <v>84</v>
      </c>
      <c r="M2577" s="80" t="s">
        <v>84</v>
      </c>
      <c r="N2577" s="80" t="s">
        <v>84</v>
      </c>
      <c r="O2577" s="80" t="s">
        <v>84</v>
      </c>
      <c r="P2577" s="80"/>
      <c r="Q2577" s="80" t="s">
        <v>84</v>
      </c>
      <c r="R2577" s="80" t="s">
        <v>84</v>
      </c>
    </row>
    <row r="2578" spans="1:18" ht="20" x14ac:dyDescent="0.2">
      <c r="A2578" s="80" t="s">
        <v>6345</v>
      </c>
      <c r="B2578" s="80" t="s">
        <v>6346</v>
      </c>
      <c r="C2578" s="80" t="s">
        <v>84</v>
      </c>
      <c r="D2578" s="80" t="s">
        <v>84</v>
      </c>
      <c r="E2578" s="80" t="s">
        <v>84</v>
      </c>
      <c r="F2578" s="80"/>
      <c r="G2578" s="80" t="s">
        <v>84</v>
      </c>
      <c r="H2578" s="80" t="s">
        <v>84</v>
      </c>
      <c r="I2578" s="80" t="s">
        <v>84</v>
      </c>
      <c r="J2578" s="80" t="s">
        <v>84</v>
      </c>
      <c r="K2578" s="80" t="s">
        <v>84</v>
      </c>
      <c r="L2578" s="80" t="s">
        <v>84</v>
      </c>
      <c r="M2578" s="80" t="s">
        <v>84</v>
      </c>
      <c r="N2578" s="80" t="s">
        <v>84</v>
      </c>
      <c r="O2578" s="80" t="s">
        <v>84</v>
      </c>
      <c r="P2578" s="80"/>
      <c r="Q2578" s="80" t="s">
        <v>84</v>
      </c>
      <c r="R2578" s="80" t="s">
        <v>84</v>
      </c>
    </row>
    <row r="2579" spans="1:18" ht="20" x14ac:dyDescent="0.2">
      <c r="A2579" s="80" t="s">
        <v>6347</v>
      </c>
      <c r="B2579" s="80" t="s">
        <v>6348</v>
      </c>
      <c r="C2579" s="80" t="s">
        <v>84</v>
      </c>
      <c r="D2579" s="80" t="s">
        <v>84</v>
      </c>
      <c r="E2579" s="80" t="s">
        <v>84</v>
      </c>
      <c r="F2579" s="80"/>
      <c r="G2579" s="80" t="s">
        <v>84</v>
      </c>
      <c r="H2579" s="80" t="s">
        <v>84</v>
      </c>
      <c r="I2579" s="80" t="s">
        <v>84</v>
      </c>
      <c r="J2579" s="80" t="s">
        <v>84</v>
      </c>
      <c r="K2579" s="80" t="s">
        <v>84</v>
      </c>
      <c r="L2579" s="80" t="s">
        <v>84</v>
      </c>
      <c r="M2579" s="80" t="s">
        <v>84</v>
      </c>
      <c r="N2579" s="80" t="s">
        <v>84</v>
      </c>
      <c r="O2579" s="80" t="s">
        <v>84</v>
      </c>
      <c r="P2579" s="80"/>
      <c r="Q2579" s="80" t="s">
        <v>84</v>
      </c>
      <c r="R2579" s="80" t="s">
        <v>84</v>
      </c>
    </row>
    <row r="2580" spans="1:18" ht="20" x14ac:dyDescent="0.2">
      <c r="A2580" s="80" t="s">
        <v>6369</v>
      </c>
      <c r="B2580" s="80" t="s">
        <v>6370</v>
      </c>
      <c r="C2580" s="80" t="s">
        <v>84</v>
      </c>
      <c r="D2580" s="80" t="s">
        <v>84</v>
      </c>
      <c r="E2580" s="80" t="s">
        <v>84</v>
      </c>
      <c r="F2580" s="80"/>
      <c r="G2580" s="80" t="s">
        <v>84</v>
      </c>
      <c r="H2580" s="80" t="s">
        <v>84</v>
      </c>
      <c r="I2580" s="80" t="s">
        <v>84</v>
      </c>
      <c r="J2580" s="80" t="s">
        <v>84</v>
      </c>
      <c r="K2580" s="80" t="s">
        <v>84</v>
      </c>
      <c r="L2580" s="80" t="s">
        <v>84</v>
      </c>
      <c r="M2580" s="80" t="s">
        <v>84</v>
      </c>
      <c r="N2580" s="80" t="s">
        <v>84</v>
      </c>
      <c r="O2580" s="80" t="s">
        <v>84</v>
      </c>
      <c r="P2580" s="80"/>
      <c r="Q2580" s="80" t="s">
        <v>84</v>
      </c>
      <c r="R2580" s="80" t="s">
        <v>84</v>
      </c>
    </row>
    <row r="2581" spans="1:18" ht="20" x14ac:dyDescent="0.2">
      <c r="A2581" s="80" t="s">
        <v>6373</v>
      </c>
      <c r="B2581" s="80" t="s">
        <v>6374</v>
      </c>
      <c r="C2581" s="80" t="s">
        <v>84</v>
      </c>
      <c r="D2581" s="80" t="s">
        <v>84</v>
      </c>
      <c r="E2581" s="80" t="s">
        <v>84</v>
      </c>
      <c r="F2581" s="80"/>
      <c r="G2581" s="80" t="s">
        <v>84</v>
      </c>
      <c r="H2581" s="80" t="s">
        <v>84</v>
      </c>
      <c r="I2581" s="80" t="s">
        <v>84</v>
      </c>
      <c r="J2581" s="80" t="s">
        <v>84</v>
      </c>
      <c r="K2581" s="80" t="s">
        <v>84</v>
      </c>
      <c r="L2581" s="80" t="s">
        <v>84</v>
      </c>
      <c r="M2581" s="80" t="s">
        <v>84</v>
      </c>
      <c r="N2581" s="80" t="s">
        <v>84</v>
      </c>
      <c r="O2581" s="80" t="s">
        <v>84</v>
      </c>
      <c r="P2581" s="80"/>
      <c r="Q2581" s="80" t="s">
        <v>84</v>
      </c>
      <c r="R2581" s="80" t="s">
        <v>84</v>
      </c>
    </row>
    <row r="2582" spans="1:18" ht="20" x14ac:dyDescent="0.2">
      <c r="A2582" s="80" t="s">
        <v>6375</v>
      </c>
      <c r="B2582" s="80" t="s">
        <v>6376</v>
      </c>
      <c r="C2582" s="80" t="s">
        <v>84</v>
      </c>
      <c r="D2582" s="80" t="s">
        <v>84</v>
      </c>
      <c r="E2582" s="80" t="s">
        <v>84</v>
      </c>
      <c r="F2582" s="80"/>
      <c r="G2582" s="80" t="s">
        <v>84</v>
      </c>
      <c r="H2582" s="80" t="s">
        <v>84</v>
      </c>
      <c r="I2582" s="80" t="s">
        <v>84</v>
      </c>
      <c r="J2582" s="80" t="s">
        <v>84</v>
      </c>
      <c r="K2582" s="80" t="s">
        <v>84</v>
      </c>
      <c r="L2582" s="80" t="s">
        <v>84</v>
      </c>
      <c r="M2582" s="80" t="s">
        <v>84</v>
      </c>
      <c r="N2582" s="80" t="s">
        <v>84</v>
      </c>
      <c r="O2582" s="80" t="s">
        <v>84</v>
      </c>
      <c r="P2582" s="80"/>
      <c r="Q2582" s="80" t="s">
        <v>84</v>
      </c>
      <c r="R2582" s="80" t="s">
        <v>84</v>
      </c>
    </row>
    <row r="2583" spans="1:18" ht="20" x14ac:dyDescent="0.2">
      <c r="A2583" s="80" t="s">
        <v>6783</v>
      </c>
      <c r="B2583" s="80" t="s">
        <v>6784</v>
      </c>
      <c r="C2583" s="80" t="s">
        <v>84</v>
      </c>
      <c r="D2583" s="80" t="s">
        <v>84</v>
      </c>
      <c r="E2583" s="80" t="s">
        <v>84</v>
      </c>
      <c r="F2583" s="80"/>
      <c r="G2583" s="80" t="s">
        <v>84</v>
      </c>
      <c r="H2583" s="80" t="s">
        <v>84</v>
      </c>
      <c r="I2583" s="80" t="s">
        <v>84</v>
      </c>
      <c r="J2583" s="80" t="s">
        <v>84</v>
      </c>
      <c r="K2583" s="80" t="s">
        <v>84</v>
      </c>
      <c r="L2583" s="80" t="s">
        <v>84</v>
      </c>
      <c r="M2583" s="80" t="s">
        <v>84</v>
      </c>
      <c r="N2583" s="80" t="s">
        <v>84</v>
      </c>
      <c r="O2583" s="80" t="s">
        <v>84</v>
      </c>
      <c r="P2583" s="80"/>
      <c r="Q2583" s="80" t="s">
        <v>84</v>
      </c>
      <c r="R2583" s="80" t="s">
        <v>84</v>
      </c>
    </row>
    <row r="2584" spans="1:18" ht="20" x14ac:dyDescent="0.2">
      <c r="A2584" s="80" t="s">
        <v>6351</v>
      </c>
      <c r="B2584" s="80" t="s">
        <v>6352</v>
      </c>
      <c r="C2584" s="80" t="s">
        <v>84</v>
      </c>
      <c r="D2584" s="80" t="s">
        <v>84</v>
      </c>
      <c r="E2584" s="80" t="s">
        <v>84</v>
      </c>
      <c r="F2584" s="80"/>
      <c r="G2584" s="80" t="s">
        <v>84</v>
      </c>
      <c r="H2584" s="80" t="s">
        <v>84</v>
      </c>
      <c r="I2584" s="80" t="s">
        <v>84</v>
      </c>
      <c r="J2584" s="80" t="s">
        <v>84</v>
      </c>
      <c r="K2584" s="80" t="s">
        <v>84</v>
      </c>
      <c r="L2584" s="80" t="s">
        <v>84</v>
      </c>
      <c r="M2584" s="80" t="s">
        <v>84</v>
      </c>
      <c r="N2584" s="80" t="s">
        <v>84</v>
      </c>
      <c r="O2584" s="80" t="s">
        <v>84</v>
      </c>
      <c r="P2584" s="80"/>
      <c r="Q2584" s="80" t="s">
        <v>84</v>
      </c>
      <c r="R2584" s="80" t="s">
        <v>84</v>
      </c>
    </row>
    <row r="2585" spans="1:18" ht="20" x14ac:dyDescent="0.2">
      <c r="A2585" s="80" t="s">
        <v>10682</v>
      </c>
      <c r="B2585" s="80" t="s">
        <v>10683</v>
      </c>
      <c r="C2585" s="80" t="s">
        <v>84</v>
      </c>
      <c r="D2585" s="80" t="s">
        <v>84</v>
      </c>
      <c r="E2585" s="80" t="s">
        <v>84</v>
      </c>
      <c r="F2585" s="80"/>
      <c r="G2585" s="80" t="s">
        <v>84</v>
      </c>
      <c r="H2585" s="80" t="s">
        <v>84</v>
      </c>
      <c r="I2585" s="80" t="s">
        <v>84</v>
      </c>
      <c r="J2585" s="80" t="s">
        <v>84</v>
      </c>
      <c r="K2585" s="80" t="s">
        <v>84</v>
      </c>
      <c r="L2585" s="80" t="s">
        <v>84</v>
      </c>
      <c r="M2585" s="80" t="s">
        <v>84</v>
      </c>
      <c r="N2585" s="80" t="s">
        <v>84</v>
      </c>
      <c r="O2585" s="80" t="s">
        <v>84</v>
      </c>
      <c r="P2585" s="80"/>
      <c r="Q2585" s="80" t="s">
        <v>84</v>
      </c>
      <c r="R2585" s="80" t="s">
        <v>84</v>
      </c>
    </row>
    <row r="2586" spans="1:18" ht="20" x14ac:dyDescent="0.2">
      <c r="A2586" s="80" t="s">
        <v>10682</v>
      </c>
      <c r="B2586" s="80" t="s">
        <v>6382</v>
      </c>
      <c r="C2586" s="80" t="s">
        <v>84</v>
      </c>
      <c r="D2586" s="80" t="s">
        <v>84</v>
      </c>
      <c r="E2586" s="80" t="s">
        <v>84</v>
      </c>
      <c r="F2586" s="80"/>
      <c r="G2586" s="80" t="s">
        <v>84</v>
      </c>
      <c r="H2586" s="80" t="s">
        <v>84</v>
      </c>
      <c r="I2586" s="80" t="s">
        <v>84</v>
      </c>
      <c r="J2586" s="80" t="s">
        <v>84</v>
      </c>
      <c r="K2586" s="80" t="s">
        <v>84</v>
      </c>
      <c r="L2586" s="80" t="s">
        <v>84</v>
      </c>
      <c r="M2586" s="80" t="s">
        <v>84</v>
      </c>
      <c r="N2586" s="80" t="s">
        <v>84</v>
      </c>
      <c r="O2586" s="80" t="s">
        <v>84</v>
      </c>
      <c r="P2586" s="80"/>
      <c r="Q2586" s="80" t="s">
        <v>84</v>
      </c>
      <c r="R2586" s="80" t="s">
        <v>84</v>
      </c>
    </row>
    <row r="2587" spans="1:18" ht="20" x14ac:dyDescent="0.2">
      <c r="A2587" s="80" t="s">
        <v>6381</v>
      </c>
      <c r="B2587" s="80" t="s">
        <v>6382</v>
      </c>
      <c r="C2587" s="80" t="s">
        <v>84</v>
      </c>
      <c r="D2587" s="80" t="s">
        <v>84</v>
      </c>
      <c r="E2587" s="80" t="s">
        <v>84</v>
      </c>
      <c r="F2587" s="80"/>
      <c r="G2587" s="80" t="s">
        <v>84</v>
      </c>
      <c r="H2587" s="80" t="s">
        <v>84</v>
      </c>
      <c r="I2587" s="80" t="s">
        <v>84</v>
      </c>
      <c r="J2587" s="80" t="s">
        <v>84</v>
      </c>
      <c r="K2587" s="80" t="s">
        <v>84</v>
      </c>
      <c r="L2587" s="80" t="s">
        <v>84</v>
      </c>
      <c r="M2587" s="80" t="s">
        <v>84</v>
      </c>
      <c r="N2587" s="80" t="s">
        <v>84</v>
      </c>
      <c r="O2587" s="80" t="s">
        <v>84</v>
      </c>
      <c r="P2587" s="80"/>
      <c r="Q2587" s="80" t="s">
        <v>84</v>
      </c>
      <c r="R2587" s="80" t="s">
        <v>84</v>
      </c>
    </row>
    <row r="2588" spans="1:18" ht="20" x14ac:dyDescent="0.2">
      <c r="A2588" s="80" t="s">
        <v>6383</v>
      </c>
      <c r="B2588" s="80" t="s">
        <v>6384</v>
      </c>
      <c r="C2588" s="80" t="s">
        <v>84</v>
      </c>
      <c r="D2588" s="80" t="s">
        <v>84</v>
      </c>
      <c r="E2588" s="80" t="s">
        <v>84</v>
      </c>
      <c r="F2588" s="80"/>
      <c r="G2588" s="80" t="s">
        <v>84</v>
      </c>
      <c r="H2588" s="80" t="s">
        <v>84</v>
      </c>
      <c r="I2588" s="80" t="s">
        <v>84</v>
      </c>
      <c r="J2588" s="80" t="s">
        <v>84</v>
      </c>
      <c r="K2588" s="80" t="s">
        <v>84</v>
      </c>
      <c r="L2588" s="80" t="s">
        <v>84</v>
      </c>
      <c r="M2588" s="80" t="s">
        <v>84</v>
      </c>
      <c r="N2588" s="80" t="s">
        <v>84</v>
      </c>
      <c r="O2588" s="80" t="s">
        <v>84</v>
      </c>
      <c r="P2588" s="80"/>
      <c r="Q2588" s="80" t="s">
        <v>84</v>
      </c>
      <c r="R2588" s="80" t="s">
        <v>84</v>
      </c>
    </row>
    <row r="2589" spans="1:18" ht="20" x14ac:dyDescent="0.2">
      <c r="A2589" s="80" t="s">
        <v>6385</v>
      </c>
      <c r="B2589" s="80" t="s">
        <v>6386</v>
      </c>
      <c r="C2589" s="80" t="s">
        <v>84</v>
      </c>
      <c r="D2589" s="80" t="s">
        <v>84</v>
      </c>
      <c r="E2589" s="80" t="s">
        <v>84</v>
      </c>
      <c r="F2589" s="80"/>
      <c r="G2589" s="80" t="s">
        <v>84</v>
      </c>
      <c r="H2589" s="80" t="s">
        <v>84</v>
      </c>
      <c r="I2589" s="80" t="s">
        <v>84</v>
      </c>
      <c r="J2589" s="80" t="s">
        <v>84</v>
      </c>
      <c r="K2589" s="80" t="s">
        <v>84</v>
      </c>
      <c r="L2589" s="80" t="s">
        <v>84</v>
      </c>
      <c r="M2589" s="80" t="s">
        <v>84</v>
      </c>
      <c r="N2589" s="80" t="s">
        <v>84</v>
      </c>
      <c r="O2589" s="80" t="s">
        <v>84</v>
      </c>
      <c r="P2589" s="80"/>
      <c r="Q2589" s="80" t="s">
        <v>84</v>
      </c>
      <c r="R2589" s="80" t="s">
        <v>84</v>
      </c>
    </row>
    <row r="2590" spans="1:18" ht="20" x14ac:dyDescent="0.2">
      <c r="A2590" s="80" t="s">
        <v>6389</v>
      </c>
      <c r="B2590" s="80" t="s">
        <v>6390</v>
      </c>
      <c r="C2590" s="80" t="s">
        <v>84</v>
      </c>
      <c r="D2590" s="80" t="s">
        <v>84</v>
      </c>
      <c r="E2590" s="80" t="s">
        <v>84</v>
      </c>
      <c r="F2590" s="80"/>
      <c r="G2590" s="80" t="s">
        <v>84</v>
      </c>
      <c r="H2590" s="80" t="s">
        <v>84</v>
      </c>
      <c r="I2590" s="80" t="s">
        <v>84</v>
      </c>
      <c r="J2590" s="80" t="s">
        <v>84</v>
      </c>
      <c r="K2590" s="80" t="s">
        <v>84</v>
      </c>
      <c r="L2590" s="80" t="s">
        <v>84</v>
      </c>
      <c r="M2590" s="80" t="s">
        <v>84</v>
      </c>
      <c r="N2590" s="80" t="s">
        <v>84</v>
      </c>
      <c r="O2590" s="80" t="s">
        <v>84</v>
      </c>
      <c r="P2590" s="80"/>
      <c r="Q2590" s="80" t="s">
        <v>84</v>
      </c>
      <c r="R2590" s="80" t="s">
        <v>84</v>
      </c>
    </row>
    <row r="2591" spans="1:18" ht="20" x14ac:dyDescent="0.2">
      <c r="A2591" s="80" t="s">
        <v>6391</v>
      </c>
      <c r="B2591" s="80" t="s">
        <v>6392</v>
      </c>
      <c r="C2591" s="80" t="s">
        <v>84</v>
      </c>
      <c r="D2591" s="80" t="s">
        <v>84</v>
      </c>
      <c r="E2591" s="80" t="s">
        <v>84</v>
      </c>
      <c r="F2591" s="80"/>
      <c r="G2591" s="80" t="s">
        <v>84</v>
      </c>
      <c r="H2591" s="80" t="s">
        <v>84</v>
      </c>
      <c r="I2591" s="80" t="s">
        <v>84</v>
      </c>
      <c r="J2591" s="80" t="s">
        <v>84</v>
      </c>
      <c r="K2591" s="80" t="s">
        <v>84</v>
      </c>
      <c r="L2591" s="80" t="s">
        <v>84</v>
      </c>
      <c r="M2591" s="80" t="s">
        <v>84</v>
      </c>
      <c r="N2591" s="80" t="s">
        <v>84</v>
      </c>
      <c r="O2591" s="80" t="s">
        <v>84</v>
      </c>
      <c r="P2591" s="80"/>
      <c r="Q2591" s="80" t="s">
        <v>84</v>
      </c>
      <c r="R2591" s="80" t="s">
        <v>84</v>
      </c>
    </row>
    <row r="2592" spans="1:18" ht="20" x14ac:dyDescent="0.2">
      <c r="A2592" s="80" t="s">
        <v>6393</v>
      </c>
      <c r="B2592" s="80" t="s">
        <v>6394</v>
      </c>
      <c r="C2592" s="80" t="s">
        <v>84</v>
      </c>
      <c r="D2592" s="80" t="s">
        <v>84</v>
      </c>
      <c r="E2592" s="80" t="s">
        <v>84</v>
      </c>
      <c r="F2592" s="80"/>
      <c r="G2592" s="80" t="s">
        <v>84</v>
      </c>
      <c r="H2592" s="80" t="s">
        <v>84</v>
      </c>
      <c r="I2592" s="80" t="s">
        <v>84</v>
      </c>
      <c r="J2592" s="80" t="s">
        <v>84</v>
      </c>
      <c r="K2592" s="80" t="s">
        <v>84</v>
      </c>
      <c r="L2592" s="80" t="s">
        <v>84</v>
      </c>
      <c r="M2592" s="80" t="s">
        <v>84</v>
      </c>
      <c r="N2592" s="80" t="s">
        <v>84</v>
      </c>
      <c r="O2592" s="80" t="s">
        <v>84</v>
      </c>
      <c r="P2592" s="80"/>
      <c r="Q2592" s="80" t="s">
        <v>84</v>
      </c>
      <c r="R2592" s="80" t="s">
        <v>84</v>
      </c>
    </row>
    <row r="2593" spans="1:18" ht="20" x14ac:dyDescent="0.2">
      <c r="A2593" s="80" t="s">
        <v>6395</v>
      </c>
      <c r="B2593" s="80" t="s">
        <v>6396</v>
      </c>
      <c r="C2593" s="80" t="s">
        <v>84</v>
      </c>
      <c r="D2593" s="80" t="s">
        <v>84</v>
      </c>
      <c r="E2593" s="80" t="s">
        <v>84</v>
      </c>
      <c r="F2593" s="80"/>
      <c r="G2593" s="80" t="s">
        <v>84</v>
      </c>
      <c r="H2593" s="80" t="s">
        <v>84</v>
      </c>
      <c r="I2593" s="80" t="s">
        <v>84</v>
      </c>
      <c r="J2593" s="80" t="s">
        <v>84</v>
      </c>
      <c r="K2593" s="80" t="s">
        <v>84</v>
      </c>
      <c r="L2593" s="80" t="s">
        <v>84</v>
      </c>
      <c r="M2593" s="80" t="s">
        <v>84</v>
      </c>
      <c r="N2593" s="80" t="s">
        <v>84</v>
      </c>
      <c r="O2593" s="80" t="s">
        <v>84</v>
      </c>
      <c r="P2593" s="80"/>
      <c r="Q2593" s="80" t="s">
        <v>84</v>
      </c>
      <c r="R2593" s="80" t="s">
        <v>84</v>
      </c>
    </row>
    <row r="2594" spans="1:18" ht="20" x14ac:dyDescent="0.2">
      <c r="A2594" s="80" t="s">
        <v>6397</v>
      </c>
      <c r="B2594" s="80" t="s">
        <v>6398</v>
      </c>
      <c r="C2594" s="80" t="s">
        <v>84</v>
      </c>
      <c r="D2594" s="80" t="s">
        <v>84</v>
      </c>
      <c r="E2594" s="80" t="s">
        <v>84</v>
      </c>
      <c r="F2594" s="80"/>
      <c r="G2594" s="80" t="s">
        <v>84</v>
      </c>
      <c r="H2594" s="80" t="s">
        <v>84</v>
      </c>
      <c r="I2594" s="80" t="s">
        <v>84</v>
      </c>
      <c r="J2594" s="80" t="s">
        <v>84</v>
      </c>
      <c r="K2594" s="80" t="s">
        <v>84</v>
      </c>
      <c r="L2594" s="80" t="s">
        <v>84</v>
      </c>
      <c r="M2594" s="80" t="s">
        <v>84</v>
      </c>
      <c r="N2594" s="80" t="s">
        <v>84</v>
      </c>
      <c r="O2594" s="80" t="s">
        <v>84</v>
      </c>
      <c r="P2594" s="80"/>
      <c r="Q2594" s="80" t="s">
        <v>84</v>
      </c>
      <c r="R2594" s="80" t="s">
        <v>84</v>
      </c>
    </row>
    <row r="2595" spans="1:18" ht="20" x14ac:dyDescent="0.2">
      <c r="A2595" s="80" t="s">
        <v>6399</v>
      </c>
      <c r="B2595" s="80" t="s">
        <v>6400</v>
      </c>
      <c r="C2595" s="80" t="s">
        <v>9722</v>
      </c>
      <c r="D2595" s="80" t="s">
        <v>84</v>
      </c>
      <c r="E2595" s="80" t="s">
        <v>84</v>
      </c>
      <c r="F2595" s="80"/>
      <c r="G2595" s="80" t="s">
        <v>84</v>
      </c>
      <c r="H2595" s="80" t="s">
        <v>84</v>
      </c>
      <c r="I2595" s="80" t="s">
        <v>84</v>
      </c>
      <c r="J2595" s="80" t="s">
        <v>84</v>
      </c>
      <c r="K2595" s="80" t="s">
        <v>84</v>
      </c>
      <c r="L2595" s="80" t="s">
        <v>84</v>
      </c>
      <c r="M2595" s="80" t="s">
        <v>84</v>
      </c>
      <c r="N2595" s="80" t="s">
        <v>84</v>
      </c>
      <c r="O2595" s="80" t="s">
        <v>84</v>
      </c>
      <c r="P2595" s="80"/>
      <c r="Q2595" s="80" t="s">
        <v>84</v>
      </c>
      <c r="R2595" s="80" t="s">
        <v>84</v>
      </c>
    </row>
    <row r="2596" spans="1:18" ht="20" x14ac:dyDescent="0.2">
      <c r="A2596" s="80" t="s">
        <v>6437</v>
      </c>
      <c r="B2596" s="80" t="s">
        <v>6438</v>
      </c>
      <c r="C2596" s="80" t="s">
        <v>84</v>
      </c>
      <c r="D2596" s="80" t="s">
        <v>84</v>
      </c>
      <c r="E2596" s="80" t="s">
        <v>84</v>
      </c>
      <c r="F2596" s="80"/>
      <c r="G2596" s="80" t="s">
        <v>84</v>
      </c>
      <c r="H2596" s="80" t="s">
        <v>84</v>
      </c>
      <c r="I2596" s="80" t="s">
        <v>84</v>
      </c>
      <c r="J2596" s="80" t="s">
        <v>84</v>
      </c>
      <c r="K2596" s="80" t="s">
        <v>84</v>
      </c>
      <c r="L2596" s="80" t="s">
        <v>84</v>
      </c>
      <c r="M2596" s="80" t="s">
        <v>84</v>
      </c>
      <c r="N2596" s="80" t="s">
        <v>84</v>
      </c>
      <c r="O2596" s="80" t="s">
        <v>84</v>
      </c>
      <c r="P2596" s="80"/>
      <c r="Q2596" s="80" t="s">
        <v>84</v>
      </c>
      <c r="R2596" s="80" t="s">
        <v>84</v>
      </c>
    </row>
    <row r="2597" spans="1:18" ht="20" x14ac:dyDescent="0.2">
      <c r="A2597" s="80" t="s">
        <v>6441</v>
      </c>
      <c r="B2597" s="80" t="s">
        <v>6442</v>
      </c>
      <c r="C2597" s="80" t="s">
        <v>84</v>
      </c>
      <c r="D2597" s="80" t="s">
        <v>84</v>
      </c>
      <c r="E2597" s="80" t="s">
        <v>84</v>
      </c>
      <c r="F2597" s="80"/>
      <c r="G2597" s="80" t="s">
        <v>84</v>
      </c>
      <c r="H2597" s="80" t="s">
        <v>84</v>
      </c>
      <c r="I2597" s="80" t="s">
        <v>84</v>
      </c>
      <c r="J2597" s="80" t="s">
        <v>84</v>
      </c>
      <c r="K2597" s="80" t="s">
        <v>84</v>
      </c>
      <c r="L2597" s="80" t="s">
        <v>84</v>
      </c>
      <c r="M2597" s="80" t="s">
        <v>84</v>
      </c>
      <c r="N2597" s="80" t="s">
        <v>84</v>
      </c>
      <c r="O2597" s="80" t="s">
        <v>84</v>
      </c>
      <c r="P2597" s="80"/>
      <c r="Q2597" s="80" t="s">
        <v>84</v>
      </c>
      <c r="R2597" s="80" t="s">
        <v>84</v>
      </c>
    </row>
    <row r="2598" spans="1:18" ht="20" x14ac:dyDescent="0.2">
      <c r="A2598" s="80" t="s">
        <v>6443</v>
      </c>
      <c r="B2598" s="80" t="s">
        <v>6444</v>
      </c>
      <c r="C2598" s="80" t="s">
        <v>84</v>
      </c>
      <c r="D2598" s="80" t="s">
        <v>84</v>
      </c>
      <c r="E2598" s="80" t="s">
        <v>84</v>
      </c>
      <c r="F2598" s="80"/>
      <c r="G2598" s="80" t="s">
        <v>84</v>
      </c>
      <c r="H2598" s="80" t="s">
        <v>84</v>
      </c>
      <c r="I2598" s="80" t="s">
        <v>84</v>
      </c>
      <c r="J2598" s="80" t="s">
        <v>84</v>
      </c>
      <c r="K2598" s="80" t="s">
        <v>84</v>
      </c>
      <c r="L2598" s="80" t="s">
        <v>84</v>
      </c>
      <c r="M2598" s="80" t="s">
        <v>84</v>
      </c>
      <c r="N2598" s="80" t="s">
        <v>84</v>
      </c>
      <c r="O2598" s="80" t="s">
        <v>84</v>
      </c>
      <c r="P2598" s="80"/>
      <c r="Q2598" s="80" t="s">
        <v>84</v>
      </c>
      <c r="R2598" s="80" t="s">
        <v>84</v>
      </c>
    </row>
    <row r="2599" spans="1:18" ht="20" x14ac:dyDescent="0.2">
      <c r="A2599" s="80" t="s">
        <v>6447</v>
      </c>
      <c r="B2599" s="80" t="s">
        <v>6448</v>
      </c>
      <c r="C2599" s="80" t="s">
        <v>84</v>
      </c>
      <c r="D2599" s="80" t="s">
        <v>84</v>
      </c>
      <c r="E2599" s="80" t="s">
        <v>84</v>
      </c>
      <c r="F2599" s="80"/>
      <c r="G2599" s="80" t="s">
        <v>84</v>
      </c>
      <c r="H2599" s="80" t="s">
        <v>84</v>
      </c>
      <c r="I2599" s="80" t="s">
        <v>84</v>
      </c>
      <c r="J2599" s="80" t="s">
        <v>84</v>
      </c>
      <c r="K2599" s="80" t="s">
        <v>84</v>
      </c>
      <c r="L2599" s="80" t="s">
        <v>84</v>
      </c>
      <c r="M2599" s="80" t="s">
        <v>84</v>
      </c>
      <c r="N2599" s="80" t="s">
        <v>84</v>
      </c>
      <c r="O2599" s="80" t="s">
        <v>84</v>
      </c>
      <c r="P2599" s="80"/>
      <c r="Q2599" s="80" t="s">
        <v>84</v>
      </c>
      <c r="R2599" s="80" t="s">
        <v>84</v>
      </c>
    </row>
    <row r="2600" spans="1:18" ht="20" x14ac:dyDescent="0.2">
      <c r="A2600" s="80" t="s">
        <v>6449</v>
      </c>
      <c r="B2600" s="80" t="s">
        <v>6450</v>
      </c>
      <c r="C2600" s="80" t="s">
        <v>84</v>
      </c>
      <c r="D2600" s="80" t="s">
        <v>84</v>
      </c>
      <c r="E2600" s="80" t="s">
        <v>84</v>
      </c>
      <c r="F2600" s="80"/>
      <c r="G2600" s="80" t="s">
        <v>84</v>
      </c>
      <c r="H2600" s="80" t="s">
        <v>84</v>
      </c>
      <c r="I2600" s="80" t="s">
        <v>84</v>
      </c>
      <c r="J2600" s="80" t="s">
        <v>84</v>
      </c>
      <c r="K2600" s="80" t="s">
        <v>84</v>
      </c>
      <c r="L2600" s="80" t="s">
        <v>84</v>
      </c>
      <c r="M2600" s="80" t="s">
        <v>84</v>
      </c>
      <c r="N2600" s="80" t="s">
        <v>84</v>
      </c>
      <c r="O2600" s="80" t="s">
        <v>84</v>
      </c>
      <c r="P2600" s="80"/>
      <c r="Q2600" s="80" t="s">
        <v>84</v>
      </c>
      <c r="R2600" s="80" t="s">
        <v>84</v>
      </c>
    </row>
    <row r="2601" spans="1:18" ht="20" x14ac:dyDescent="0.2">
      <c r="A2601" s="80" t="s">
        <v>6403</v>
      </c>
      <c r="B2601" s="80" t="s">
        <v>6404</v>
      </c>
      <c r="C2601" s="80" t="s">
        <v>84</v>
      </c>
      <c r="D2601" s="80" t="s">
        <v>84</v>
      </c>
      <c r="E2601" s="80" t="s">
        <v>84</v>
      </c>
      <c r="F2601" s="80"/>
      <c r="G2601" s="80" t="s">
        <v>84</v>
      </c>
      <c r="H2601" s="80" t="s">
        <v>84</v>
      </c>
      <c r="I2601" s="80" t="s">
        <v>84</v>
      </c>
      <c r="J2601" s="80" t="s">
        <v>84</v>
      </c>
      <c r="K2601" s="80" t="s">
        <v>84</v>
      </c>
      <c r="L2601" s="80" t="s">
        <v>84</v>
      </c>
      <c r="M2601" s="80" t="s">
        <v>84</v>
      </c>
      <c r="N2601" s="80" t="s">
        <v>84</v>
      </c>
      <c r="O2601" s="80" t="s">
        <v>84</v>
      </c>
      <c r="P2601" s="80"/>
      <c r="Q2601" s="80" t="s">
        <v>84</v>
      </c>
      <c r="R2601" s="80" t="s">
        <v>84</v>
      </c>
    </row>
    <row r="2602" spans="1:18" ht="20" x14ac:dyDescent="0.2">
      <c r="A2602" s="80" t="s">
        <v>6405</v>
      </c>
      <c r="B2602" s="80" t="s">
        <v>6406</v>
      </c>
      <c r="C2602" s="80" t="s">
        <v>84</v>
      </c>
      <c r="D2602" s="80" t="s">
        <v>84</v>
      </c>
      <c r="E2602" s="80" t="s">
        <v>84</v>
      </c>
      <c r="F2602" s="80"/>
      <c r="G2602" s="80" t="s">
        <v>84</v>
      </c>
      <c r="H2602" s="80" t="s">
        <v>84</v>
      </c>
      <c r="I2602" s="80" t="s">
        <v>84</v>
      </c>
      <c r="J2602" s="80" t="s">
        <v>84</v>
      </c>
      <c r="K2602" s="80" t="s">
        <v>84</v>
      </c>
      <c r="L2602" s="80" t="s">
        <v>84</v>
      </c>
      <c r="M2602" s="80" t="s">
        <v>84</v>
      </c>
      <c r="N2602" s="80" t="s">
        <v>84</v>
      </c>
      <c r="O2602" s="80" t="s">
        <v>84</v>
      </c>
      <c r="P2602" s="80"/>
      <c r="Q2602" s="80" t="s">
        <v>84</v>
      </c>
      <c r="R2602" s="80" t="s">
        <v>84</v>
      </c>
    </row>
    <row r="2603" spans="1:18" ht="20" x14ac:dyDescent="0.2">
      <c r="A2603" s="80" t="s">
        <v>6419</v>
      </c>
      <c r="B2603" s="80" t="s">
        <v>6420</v>
      </c>
      <c r="C2603" s="80" t="s">
        <v>84</v>
      </c>
      <c r="D2603" s="80" t="s">
        <v>84</v>
      </c>
      <c r="E2603" s="80" t="s">
        <v>84</v>
      </c>
      <c r="F2603" s="80"/>
      <c r="G2603" s="80" t="s">
        <v>84</v>
      </c>
      <c r="H2603" s="80" t="s">
        <v>84</v>
      </c>
      <c r="I2603" s="80" t="s">
        <v>84</v>
      </c>
      <c r="J2603" s="80" t="s">
        <v>84</v>
      </c>
      <c r="K2603" s="80" t="s">
        <v>84</v>
      </c>
      <c r="L2603" s="80" t="s">
        <v>84</v>
      </c>
      <c r="M2603" s="80" t="s">
        <v>84</v>
      </c>
      <c r="N2603" s="80" t="s">
        <v>84</v>
      </c>
      <c r="O2603" s="80" t="s">
        <v>84</v>
      </c>
      <c r="P2603" s="80"/>
      <c r="Q2603" s="80" t="s">
        <v>84</v>
      </c>
      <c r="R2603" s="80" t="s">
        <v>84</v>
      </c>
    </row>
    <row r="2604" spans="1:18" ht="20" x14ac:dyDescent="0.2">
      <c r="A2604" s="80" t="s">
        <v>6425</v>
      </c>
      <c r="B2604" s="80" t="s">
        <v>6426</v>
      </c>
      <c r="C2604" s="80" t="s">
        <v>84</v>
      </c>
      <c r="D2604" s="80" t="s">
        <v>84</v>
      </c>
      <c r="E2604" s="80" t="s">
        <v>84</v>
      </c>
      <c r="F2604" s="80"/>
      <c r="G2604" s="80" t="s">
        <v>84</v>
      </c>
      <c r="H2604" s="80" t="s">
        <v>84</v>
      </c>
      <c r="I2604" s="80" t="s">
        <v>84</v>
      </c>
      <c r="J2604" s="80" t="s">
        <v>84</v>
      </c>
      <c r="K2604" s="80" t="s">
        <v>84</v>
      </c>
      <c r="L2604" s="80" t="s">
        <v>84</v>
      </c>
      <c r="M2604" s="80" t="s">
        <v>84</v>
      </c>
      <c r="N2604" s="80" t="s">
        <v>84</v>
      </c>
      <c r="O2604" s="80" t="s">
        <v>84</v>
      </c>
      <c r="P2604" s="80"/>
      <c r="Q2604" s="80" t="s">
        <v>84</v>
      </c>
      <c r="R2604" s="80" t="s">
        <v>84</v>
      </c>
    </row>
    <row r="2605" spans="1:18" ht="20" x14ac:dyDescent="0.2">
      <c r="A2605" s="80" t="s">
        <v>6431</v>
      </c>
      <c r="B2605" s="80" t="s">
        <v>6432</v>
      </c>
      <c r="C2605" s="80" t="s">
        <v>84</v>
      </c>
      <c r="D2605" s="80" t="s">
        <v>84</v>
      </c>
      <c r="E2605" s="80" t="s">
        <v>84</v>
      </c>
      <c r="F2605" s="80"/>
      <c r="G2605" s="80" t="s">
        <v>84</v>
      </c>
      <c r="H2605" s="80" t="s">
        <v>84</v>
      </c>
      <c r="I2605" s="80" t="s">
        <v>84</v>
      </c>
      <c r="J2605" s="80" t="s">
        <v>84</v>
      </c>
      <c r="K2605" s="80" t="s">
        <v>84</v>
      </c>
      <c r="L2605" s="80" t="s">
        <v>84</v>
      </c>
      <c r="M2605" s="80" t="s">
        <v>84</v>
      </c>
      <c r="N2605" s="80" t="s">
        <v>84</v>
      </c>
      <c r="O2605" s="80" t="s">
        <v>84</v>
      </c>
      <c r="P2605" s="80"/>
      <c r="Q2605" s="80" t="s">
        <v>84</v>
      </c>
      <c r="R2605" s="80" t="s">
        <v>84</v>
      </c>
    </row>
    <row r="2606" spans="1:18" ht="20" x14ac:dyDescent="0.2">
      <c r="A2606" s="80" t="s">
        <v>6451</v>
      </c>
      <c r="B2606" s="80" t="s">
        <v>6452</v>
      </c>
      <c r="C2606" s="80" t="s">
        <v>84</v>
      </c>
      <c r="D2606" s="80" t="s">
        <v>84</v>
      </c>
      <c r="E2606" s="80" t="s">
        <v>84</v>
      </c>
      <c r="F2606" s="80"/>
      <c r="G2606" s="80" t="s">
        <v>84</v>
      </c>
      <c r="H2606" s="80" t="s">
        <v>84</v>
      </c>
      <c r="I2606" s="80" t="s">
        <v>84</v>
      </c>
      <c r="J2606" s="80" t="s">
        <v>84</v>
      </c>
      <c r="K2606" s="80" t="s">
        <v>84</v>
      </c>
      <c r="L2606" s="80" t="s">
        <v>84</v>
      </c>
      <c r="M2606" s="80" t="s">
        <v>84</v>
      </c>
      <c r="N2606" s="80" t="s">
        <v>84</v>
      </c>
      <c r="O2606" s="80" t="s">
        <v>84</v>
      </c>
      <c r="P2606" s="80"/>
      <c r="Q2606" s="80" t="s">
        <v>84</v>
      </c>
      <c r="R2606" s="80" t="s">
        <v>84</v>
      </c>
    </row>
    <row r="2607" spans="1:18" ht="20" x14ac:dyDescent="0.2">
      <c r="A2607" s="80" t="s">
        <v>6453</v>
      </c>
      <c r="B2607" s="80" t="s">
        <v>6454</v>
      </c>
      <c r="C2607" s="80" t="s">
        <v>84</v>
      </c>
      <c r="D2607" s="80" t="s">
        <v>84</v>
      </c>
      <c r="E2607" s="80" t="s">
        <v>84</v>
      </c>
      <c r="F2607" s="80"/>
      <c r="G2607" s="80" t="s">
        <v>84</v>
      </c>
      <c r="H2607" s="80" t="s">
        <v>84</v>
      </c>
      <c r="I2607" s="80" t="s">
        <v>84</v>
      </c>
      <c r="J2607" s="80" t="s">
        <v>84</v>
      </c>
      <c r="K2607" s="80" t="s">
        <v>84</v>
      </c>
      <c r="L2607" s="80" t="s">
        <v>84</v>
      </c>
      <c r="M2607" s="80" t="s">
        <v>84</v>
      </c>
      <c r="N2607" s="80" t="s">
        <v>84</v>
      </c>
      <c r="O2607" s="80" t="s">
        <v>84</v>
      </c>
      <c r="P2607" s="80"/>
      <c r="Q2607" s="80" t="s">
        <v>84</v>
      </c>
      <c r="R2607" s="80" t="s">
        <v>84</v>
      </c>
    </row>
    <row r="2608" spans="1:18" ht="20" x14ac:dyDescent="0.2">
      <c r="A2608" s="80" t="s">
        <v>6455</v>
      </c>
      <c r="B2608" s="80" t="s">
        <v>6456</v>
      </c>
      <c r="C2608" s="80" t="s">
        <v>84</v>
      </c>
      <c r="D2608" s="80" t="s">
        <v>84</v>
      </c>
      <c r="E2608" s="80" t="s">
        <v>84</v>
      </c>
      <c r="F2608" s="80"/>
      <c r="G2608" s="80" t="s">
        <v>84</v>
      </c>
      <c r="H2608" s="80" t="s">
        <v>84</v>
      </c>
      <c r="I2608" s="80" t="s">
        <v>84</v>
      </c>
      <c r="J2608" s="80" t="s">
        <v>84</v>
      </c>
      <c r="K2608" s="80" t="s">
        <v>84</v>
      </c>
      <c r="L2608" s="80" t="s">
        <v>84</v>
      </c>
      <c r="M2608" s="80" t="s">
        <v>84</v>
      </c>
      <c r="N2608" s="80" t="s">
        <v>84</v>
      </c>
      <c r="O2608" s="80" t="s">
        <v>84</v>
      </c>
      <c r="P2608" s="80"/>
      <c r="Q2608" s="80" t="s">
        <v>84</v>
      </c>
      <c r="R2608" s="80" t="s">
        <v>84</v>
      </c>
    </row>
    <row r="2609" spans="1:18" ht="20" x14ac:dyDescent="0.2">
      <c r="A2609" s="80" t="s">
        <v>6457</v>
      </c>
      <c r="B2609" s="80" t="s">
        <v>6458</v>
      </c>
      <c r="C2609" s="80" t="s">
        <v>84</v>
      </c>
      <c r="D2609" s="80" t="s">
        <v>84</v>
      </c>
      <c r="E2609" s="80" t="s">
        <v>84</v>
      </c>
      <c r="F2609" s="80"/>
      <c r="G2609" s="80" t="s">
        <v>84</v>
      </c>
      <c r="H2609" s="80" t="s">
        <v>84</v>
      </c>
      <c r="I2609" s="80" t="s">
        <v>84</v>
      </c>
      <c r="J2609" s="80" t="s">
        <v>84</v>
      </c>
      <c r="K2609" s="80" t="s">
        <v>84</v>
      </c>
      <c r="L2609" s="80" t="s">
        <v>84</v>
      </c>
      <c r="M2609" s="80" t="s">
        <v>84</v>
      </c>
      <c r="N2609" s="80" t="s">
        <v>84</v>
      </c>
      <c r="O2609" s="80" t="s">
        <v>84</v>
      </c>
      <c r="P2609" s="80"/>
      <c r="Q2609" s="80" t="s">
        <v>84</v>
      </c>
      <c r="R2609" s="80" t="s">
        <v>84</v>
      </c>
    </row>
    <row r="2610" spans="1:18" ht="20" x14ac:dyDescent="0.2">
      <c r="A2610" s="80" t="s">
        <v>6459</v>
      </c>
      <c r="B2610" s="80" t="s">
        <v>6460</v>
      </c>
      <c r="C2610" s="80" t="s">
        <v>84</v>
      </c>
      <c r="D2610" s="80" t="s">
        <v>84</v>
      </c>
      <c r="E2610" s="80" t="s">
        <v>84</v>
      </c>
      <c r="F2610" s="80"/>
      <c r="G2610" s="80" t="s">
        <v>84</v>
      </c>
      <c r="H2610" s="80" t="s">
        <v>84</v>
      </c>
      <c r="I2610" s="80" t="s">
        <v>84</v>
      </c>
      <c r="J2610" s="80" t="s">
        <v>84</v>
      </c>
      <c r="K2610" s="80" t="s">
        <v>84</v>
      </c>
      <c r="L2610" s="80" t="s">
        <v>84</v>
      </c>
      <c r="M2610" s="80" t="s">
        <v>84</v>
      </c>
      <c r="N2610" s="80" t="s">
        <v>84</v>
      </c>
      <c r="O2610" s="80" t="s">
        <v>84</v>
      </c>
      <c r="P2610" s="80"/>
      <c r="Q2610" s="80" t="s">
        <v>84</v>
      </c>
      <c r="R2610" s="80" t="s">
        <v>84</v>
      </c>
    </row>
    <row r="2611" spans="1:18" ht="20" x14ac:dyDescent="0.2">
      <c r="A2611" s="80" t="s">
        <v>6463</v>
      </c>
      <c r="B2611" s="80" t="s">
        <v>6464</v>
      </c>
      <c r="C2611" s="80" t="s">
        <v>84</v>
      </c>
      <c r="D2611" s="80" t="s">
        <v>84</v>
      </c>
      <c r="E2611" s="80" t="s">
        <v>84</v>
      </c>
      <c r="F2611" s="80"/>
      <c r="G2611" s="80" t="s">
        <v>84</v>
      </c>
      <c r="H2611" s="80" t="s">
        <v>84</v>
      </c>
      <c r="I2611" s="80" t="s">
        <v>84</v>
      </c>
      <c r="J2611" s="80" t="s">
        <v>84</v>
      </c>
      <c r="K2611" s="80" t="s">
        <v>84</v>
      </c>
      <c r="L2611" s="80" t="s">
        <v>84</v>
      </c>
      <c r="M2611" s="80" t="s">
        <v>84</v>
      </c>
      <c r="N2611" s="80" t="s">
        <v>84</v>
      </c>
      <c r="O2611" s="80" t="s">
        <v>84</v>
      </c>
      <c r="P2611" s="80"/>
      <c r="Q2611" s="80" t="s">
        <v>84</v>
      </c>
      <c r="R2611" s="80" t="s">
        <v>84</v>
      </c>
    </row>
    <row r="2612" spans="1:18" ht="20" x14ac:dyDescent="0.2">
      <c r="A2612" s="80" t="s">
        <v>6465</v>
      </c>
      <c r="B2612" s="80" t="s">
        <v>10684</v>
      </c>
      <c r="C2612" s="80" t="s">
        <v>84</v>
      </c>
      <c r="D2612" s="80" t="s">
        <v>84</v>
      </c>
      <c r="E2612" s="80" t="s">
        <v>84</v>
      </c>
      <c r="F2612" s="80"/>
      <c r="G2612" s="80" t="s">
        <v>84</v>
      </c>
      <c r="H2612" s="80" t="s">
        <v>84</v>
      </c>
      <c r="I2612" s="80" t="s">
        <v>84</v>
      </c>
      <c r="J2612" s="80" t="s">
        <v>84</v>
      </c>
      <c r="K2612" s="80" t="s">
        <v>84</v>
      </c>
      <c r="L2612" s="80" t="s">
        <v>84</v>
      </c>
      <c r="M2612" s="80" t="s">
        <v>84</v>
      </c>
      <c r="N2612" s="80" t="s">
        <v>84</v>
      </c>
      <c r="O2612" s="80" t="s">
        <v>84</v>
      </c>
      <c r="P2612" s="80"/>
      <c r="Q2612" s="80" t="s">
        <v>84</v>
      </c>
      <c r="R2612" s="80" t="s">
        <v>84</v>
      </c>
    </row>
    <row r="2613" spans="1:18" ht="20" x14ac:dyDescent="0.2">
      <c r="A2613" s="80" t="s">
        <v>6465</v>
      </c>
      <c r="B2613" s="80" t="s">
        <v>6466</v>
      </c>
      <c r="C2613" s="80" t="s">
        <v>84</v>
      </c>
      <c r="D2613" s="80" t="s">
        <v>84</v>
      </c>
      <c r="E2613" s="80" t="s">
        <v>84</v>
      </c>
      <c r="F2613" s="80"/>
      <c r="G2613" s="80" t="s">
        <v>84</v>
      </c>
      <c r="H2613" s="80" t="s">
        <v>84</v>
      </c>
      <c r="I2613" s="80" t="s">
        <v>84</v>
      </c>
      <c r="J2613" s="80" t="s">
        <v>84</v>
      </c>
      <c r="K2613" s="80" t="s">
        <v>84</v>
      </c>
      <c r="L2613" s="80" t="s">
        <v>84</v>
      </c>
      <c r="M2613" s="80" t="s">
        <v>84</v>
      </c>
      <c r="N2613" s="80" t="s">
        <v>84</v>
      </c>
      <c r="O2613" s="80" t="s">
        <v>84</v>
      </c>
      <c r="P2613" s="80"/>
      <c r="Q2613" s="80" t="s">
        <v>84</v>
      </c>
      <c r="R2613" s="80" t="s">
        <v>84</v>
      </c>
    </row>
    <row r="2614" spans="1:18" ht="20" x14ac:dyDescent="0.2">
      <c r="A2614" s="80" t="s">
        <v>6467</v>
      </c>
      <c r="B2614" s="80" t="s">
        <v>6468</v>
      </c>
      <c r="C2614" s="80" t="s">
        <v>84</v>
      </c>
      <c r="D2614" s="80" t="s">
        <v>84</v>
      </c>
      <c r="E2614" s="80" t="s">
        <v>84</v>
      </c>
      <c r="F2614" s="80"/>
      <c r="G2614" s="80" t="s">
        <v>84</v>
      </c>
      <c r="H2614" s="80" t="s">
        <v>84</v>
      </c>
      <c r="I2614" s="80" t="s">
        <v>84</v>
      </c>
      <c r="J2614" s="80" t="s">
        <v>84</v>
      </c>
      <c r="K2614" s="80" t="s">
        <v>84</v>
      </c>
      <c r="L2614" s="80" t="s">
        <v>84</v>
      </c>
      <c r="M2614" s="80" t="s">
        <v>84</v>
      </c>
      <c r="N2614" s="80" t="s">
        <v>84</v>
      </c>
      <c r="O2614" s="80" t="s">
        <v>84</v>
      </c>
      <c r="P2614" s="80"/>
      <c r="Q2614" s="80" t="s">
        <v>84</v>
      </c>
      <c r="R2614" s="80" t="s">
        <v>84</v>
      </c>
    </row>
    <row r="2615" spans="1:18" ht="20" x14ac:dyDescent="0.2">
      <c r="A2615" s="80" t="s">
        <v>6469</v>
      </c>
      <c r="B2615" s="80" t="s">
        <v>6470</v>
      </c>
      <c r="C2615" s="80" t="s">
        <v>84</v>
      </c>
      <c r="D2615" s="80" t="s">
        <v>84</v>
      </c>
      <c r="E2615" s="80" t="s">
        <v>84</v>
      </c>
      <c r="F2615" s="80"/>
      <c r="G2615" s="80" t="s">
        <v>84</v>
      </c>
      <c r="H2615" s="80" t="s">
        <v>84</v>
      </c>
      <c r="I2615" s="80" t="s">
        <v>84</v>
      </c>
      <c r="J2615" s="80" t="s">
        <v>84</v>
      </c>
      <c r="K2615" s="80" t="s">
        <v>84</v>
      </c>
      <c r="L2615" s="80" t="s">
        <v>84</v>
      </c>
      <c r="M2615" s="80" t="s">
        <v>84</v>
      </c>
      <c r="N2615" s="80" t="s">
        <v>84</v>
      </c>
      <c r="O2615" s="80" t="s">
        <v>84</v>
      </c>
      <c r="P2615" s="80"/>
      <c r="Q2615" s="80" t="s">
        <v>84</v>
      </c>
      <c r="R2615" s="80" t="s">
        <v>84</v>
      </c>
    </row>
    <row r="2616" spans="1:18" ht="20" x14ac:dyDescent="0.2">
      <c r="A2616" s="80" t="s">
        <v>6471</v>
      </c>
      <c r="B2616" s="80" t="s">
        <v>6472</v>
      </c>
      <c r="C2616" s="80" t="s">
        <v>84</v>
      </c>
      <c r="D2616" s="80" t="s">
        <v>84</v>
      </c>
      <c r="E2616" s="80" t="s">
        <v>84</v>
      </c>
      <c r="F2616" s="80"/>
      <c r="G2616" s="80" t="s">
        <v>84</v>
      </c>
      <c r="H2616" s="80" t="s">
        <v>84</v>
      </c>
      <c r="I2616" s="80" t="s">
        <v>84</v>
      </c>
      <c r="J2616" s="80" t="s">
        <v>84</v>
      </c>
      <c r="K2616" s="80" t="s">
        <v>84</v>
      </c>
      <c r="L2616" s="80" t="s">
        <v>84</v>
      </c>
      <c r="M2616" s="80" t="s">
        <v>84</v>
      </c>
      <c r="N2616" s="80" t="s">
        <v>84</v>
      </c>
      <c r="O2616" s="80" t="s">
        <v>84</v>
      </c>
      <c r="P2616" s="80"/>
      <c r="Q2616" s="80" t="s">
        <v>84</v>
      </c>
      <c r="R2616" s="80" t="s">
        <v>84</v>
      </c>
    </row>
    <row r="2617" spans="1:18" ht="20" x14ac:dyDescent="0.2">
      <c r="A2617" s="80" t="s">
        <v>6477</v>
      </c>
      <c r="B2617" s="80" t="s">
        <v>6478</v>
      </c>
      <c r="C2617" s="80" t="s">
        <v>84</v>
      </c>
      <c r="D2617" s="80" t="s">
        <v>84</v>
      </c>
      <c r="E2617" s="80" t="s">
        <v>84</v>
      </c>
      <c r="F2617" s="80"/>
      <c r="G2617" s="80" t="s">
        <v>84</v>
      </c>
      <c r="H2617" s="80" t="s">
        <v>84</v>
      </c>
      <c r="I2617" s="80" t="s">
        <v>84</v>
      </c>
      <c r="J2617" s="80" t="s">
        <v>84</v>
      </c>
      <c r="K2617" s="80" t="s">
        <v>84</v>
      </c>
      <c r="L2617" s="80" t="s">
        <v>84</v>
      </c>
      <c r="M2617" s="80" t="s">
        <v>84</v>
      </c>
      <c r="N2617" s="80" t="s">
        <v>84</v>
      </c>
      <c r="O2617" s="80" t="s">
        <v>84</v>
      </c>
      <c r="P2617" s="80"/>
      <c r="Q2617" s="80" t="s">
        <v>84</v>
      </c>
      <c r="R2617" s="80" t="s">
        <v>84</v>
      </c>
    </row>
    <row r="2618" spans="1:18" ht="20" x14ac:dyDescent="0.2">
      <c r="A2618" s="80" t="s">
        <v>6481</v>
      </c>
      <c r="B2618" s="80" t="s">
        <v>6482</v>
      </c>
      <c r="C2618" s="80" t="s">
        <v>84</v>
      </c>
      <c r="D2618" s="80" t="s">
        <v>84</v>
      </c>
      <c r="E2618" s="80" t="s">
        <v>84</v>
      </c>
      <c r="F2618" s="80"/>
      <c r="G2618" s="80" t="s">
        <v>84</v>
      </c>
      <c r="H2618" s="80" t="s">
        <v>84</v>
      </c>
      <c r="I2618" s="80" t="s">
        <v>84</v>
      </c>
      <c r="J2618" s="80" t="s">
        <v>84</v>
      </c>
      <c r="K2618" s="80" t="s">
        <v>84</v>
      </c>
      <c r="L2618" s="80" t="s">
        <v>84</v>
      </c>
      <c r="M2618" s="80" t="s">
        <v>84</v>
      </c>
      <c r="N2618" s="80" t="s">
        <v>84</v>
      </c>
      <c r="O2618" s="80" t="s">
        <v>84</v>
      </c>
      <c r="P2618" s="80"/>
      <c r="Q2618" s="80" t="s">
        <v>84</v>
      </c>
      <c r="R2618" s="80" t="s">
        <v>84</v>
      </c>
    </row>
    <row r="2619" spans="1:18" ht="20" x14ac:dyDescent="0.2">
      <c r="A2619" s="80" t="s">
        <v>6483</v>
      </c>
      <c r="B2619" s="80" t="s">
        <v>6484</v>
      </c>
      <c r="C2619" s="80" t="s">
        <v>9680</v>
      </c>
      <c r="D2619" s="80" t="s">
        <v>84</v>
      </c>
      <c r="E2619" s="80" t="s">
        <v>84</v>
      </c>
      <c r="F2619" s="80"/>
      <c r="G2619" s="80" t="s">
        <v>84</v>
      </c>
      <c r="H2619" s="80" t="s">
        <v>84</v>
      </c>
      <c r="I2619" s="80" t="s">
        <v>84</v>
      </c>
      <c r="J2619" s="80" t="s">
        <v>84</v>
      </c>
      <c r="K2619" s="80" t="s">
        <v>84</v>
      </c>
      <c r="L2619" s="80" t="s">
        <v>84</v>
      </c>
      <c r="M2619" s="80" t="s">
        <v>9680</v>
      </c>
      <c r="N2619" s="80" t="s">
        <v>84</v>
      </c>
      <c r="O2619" s="80" t="s">
        <v>84</v>
      </c>
      <c r="P2619" s="80"/>
      <c r="Q2619" s="80" t="s">
        <v>84</v>
      </c>
      <c r="R2619" s="80" t="s">
        <v>84</v>
      </c>
    </row>
    <row r="2620" spans="1:18" ht="20" x14ac:dyDescent="0.2">
      <c r="A2620" s="80" t="s">
        <v>6499</v>
      </c>
      <c r="B2620" s="80" t="s">
        <v>6500</v>
      </c>
      <c r="C2620" s="80" t="s">
        <v>84</v>
      </c>
      <c r="D2620" s="80" t="s">
        <v>84</v>
      </c>
      <c r="E2620" s="80" t="s">
        <v>84</v>
      </c>
      <c r="F2620" s="80"/>
      <c r="G2620" s="80" t="s">
        <v>84</v>
      </c>
      <c r="H2620" s="80" t="s">
        <v>84</v>
      </c>
      <c r="I2620" s="80" t="s">
        <v>84</v>
      </c>
      <c r="J2620" s="80" t="s">
        <v>84</v>
      </c>
      <c r="K2620" s="80" t="s">
        <v>84</v>
      </c>
      <c r="L2620" s="80" t="s">
        <v>84</v>
      </c>
      <c r="M2620" s="80" t="s">
        <v>84</v>
      </c>
      <c r="N2620" s="80" t="s">
        <v>84</v>
      </c>
      <c r="O2620" s="80" t="s">
        <v>84</v>
      </c>
      <c r="P2620" s="80"/>
      <c r="Q2620" s="80" t="s">
        <v>84</v>
      </c>
      <c r="R2620" s="80" t="s">
        <v>84</v>
      </c>
    </row>
    <row r="2621" spans="1:18" ht="20" x14ac:dyDescent="0.2">
      <c r="A2621" s="80" t="s">
        <v>6503</v>
      </c>
      <c r="B2621" s="80" t="s">
        <v>6504</v>
      </c>
      <c r="C2621" s="80" t="s">
        <v>84</v>
      </c>
      <c r="D2621" s="80" t="s">
        <v>84</v>
      </c>
      <c r="E2621" s="80" t="s">
        <v>84</v>
      </c>
      <c r="F2621" s="80"/>
      <c r="G2621" s="80" t="s">
        <v>84</v>
      </c>
      <c r="H2621" s="80" t="s">
        <v>84</v>
      </c>
      <c r="I2621" s="80" t="s">
        <v>84</v>
      </c>
      <c r="J2621" s="80" t="s">
        <v>84</v>
      </c>
      <c r="K2621" s="80" t="s">
        <v>84</v>
      </c>
      <c r="L2621" s="80" t="s">
        <v>84</v>
      </c>
      <c r="M2621" s="80" t="s">
        <v>84</v>
      </c>
      <c r="N2621" s="80" t="s">
        <v>84</v>
      </c>
      <c r="O2621" s="80" t="s">
        <v>84</v>
      </c>
      <c r="P2621" s="80"/>
      <c r="Q2621" s="80" t="s">
        <v>84</v>
      </c>
      <c r="R2621" s="80" t="s">
        <v>84</v>
      </c>
    </row>
    <row r="2622" spans="1:18" ht="20" x14ac:dyDescent="0.2">
      <c r="A2622" s="80" t="s">
        <v>6559</v>
      </c>
      <c r="B2622" s="80" t="s">
        <v>6560</v>
      </c>
      <c r="C2622" s="80" t="s">
        <v>84</v>
      </c>
      <c r="D2622" s="80" t="s">
        <v>84</v>
      </c>
      <c r="E2622" s="80" t="s">
        <v>84</v>
      </c>
      <c r="F2622" s="80"/>
      <c r="G2622" s="80" t="s">
        <v>84</v>
      </c>
      <c r="H2622" s="80" t="s">
        <v>84</v>
      </c>
      <c r="I2622" s="80" t="s">
        <v>84</v>
      </c>
      <c r="J2622" s="80" t="s">
        <v>84</v>
      </c>
      <c r="K2622" s="80" t="s">
        <v>84</v>
      </c>
      <c r="L2622" s="80" t="s">
        <v>84</v>
      </c>
      <c r="M2622" s="80" t="s">
        <v>84</v>
      </c>
      <c r="N2622" s="80" t="s">
        <v>84</v>
      </c>
      <c r="O2622" s="80" t="s">
        <v>84</v>
      </c>
      <c r="P2622" s="80"/>
      <c r="Q2622" s="80" t="s">
        <v>84</v>
      </c>
      <c r="R2622" s="80" t="s">
        <v>84</v>
      </c>
    </row>
    <row r="2623" spans="1:18" ht="20" x14ac:dyDescent="0.2">
      <c r="A2623" s="80" t="s">
        <v>6527</v>
      </c>
      <c r="B2623" s="80" t="s">
        <v>6528</v>
      </c>
      <c r="C2623" s="80" t="s">
        <v>9722</v>
      </c>
      <c r="D2623" s="80" t="s">
        <v>84</v>
      </c>
      <c r="E2623" s="80" t="s">
        <v>9722</v>
      </c>
      <c r="F2623" s="80"/>
      <c r="G2623" s="80" t="s">
        <v>84</v>
      </c>
      <c r="H2623" s="80" t="s">
        <v>84</v>
      </c>
      <c r="I2623" s="80" t="s">
        <v>84</v>
      </c>
      <c r="J2623" s="80" t="s">
        <v>84</v>
      </c>
      <c r="K2623" s="80" t="s">
        <v>84</v>
      </c>
      <c r="L2623" s="80" t="s">
        <v>84</v>
      </c>
      <c r="M2623" s="80" t="s">
        <v>9722</v>
      </c>
      <c r="N2623" s="80" t="s">
        <v>84</v>
      </c>
      <c r="O2623" s="80" t="s">
        <v>84</v>
      </c>
      <c r="P2623" s="80"/>
      <c r="Q2623" s="80" t="s">
        <v>84</v>
      </c>
      <c r="R2623" s="80" t="s">
        <v>84</v>
      </c>
    </row>
    <row r="2624" spans="1:18" ht="20" x14ac:dyDescent="0.2">
      <c r="A2624" s="80" t="s">
        <v>6529</v>
      </c>
      <c r="B2624" s="80" t="s">
        <v>6530</v>
      </c>
      <c r="C2624" s="80" t="s">
        <v>9722</v>
      </c>
      <c r="D2624" s="80" t="s">
        <v>84</v>
      </c>
      <c r="E2624" s="80" t="s">
        <v>9722</v>
      </c>
      <c r="F2624" s="80"/>
      <c r="G2624" s="80" t="s">
        <v>84</v>
      </c>
      <c r="H2624" s="80" t="s">
        <v>84</v>
      </c>
      <c r="I2624" s="80" t="s">
        <v>84</v>
      </c>
      <c r="J2624" s="80" t="s">
        <v>84</v>
      </c>
      <c r="K2624" s="80" t="s">
        <v>84</v>
      </c>
      <c r="L2624" s="80" t="s">
        <v>84</v>
      </c>
      <c r="M2624" s="80" t="s">
        <v>9722</v>
      </c>
      <c r="N2624" s="80" t="s">
        <v>84</v>
      </c>
      <c r="O2624" s="80" t="s">
        <v>84</v>
      </c>
      <c r="P2624" s="80"/>
      <c r="Q2624" s="80" t="s">
        <v>84</v>
      </c>
      <c r="R2624" s="80" t="s">
        <v>84</v>
      </c>
    </row>
    <row r="2625" spans="1:18" ht="20" x14ac:dyDescent="0.2">
      <c r="A2625" s="80" t="s">
        <v>10685</v>
      </c>
      <c r="B2625" s="80" t="s">
        <v>6532</v>
      </c>
      <c r="C2625" s="80" t="s">
        <v>9680</v>
      </c>
      <c r="D2625" s="80" t="s">
        <v>84</v>
      </c>
      <c r="E2625" s="80" t="s">
        <v>9680</v>
      </c>
      <c r="F2625" s="80"/>
      <c r="G2625" s="80" t="s">
        <v>9680</v>
      </c>
      <c r="H2625" s="80" t="s">
        <v>9680</v>
      </c>
      <c r="I2625" s="80" t="s">
        <v>9680</v>
      </c>
      <c r="J2625" s="80" t="s">
        <v>84</v>
      </c>
      <c r="K2625" s="80" t="s">
        <v>84</v>
      </c>
      <c r="L2625" s="80" t="s">
        <v>9680</v>
      </c>
      <c r="M2625" s="80" t="s">
        <v>9680</v>
      </c>
      <c r="N2625" s="80" t="s">
        <v>9680</v>
      </c>
      <c r="O2625" s="80" t="s">
        <v>9680</v>
      </c>
      <c r="P2625" s="80"/>
      <c r="Q2625" s="80" t="s">
        <v>84</v>
      </c>
      <c r="R2625" s="80" t="s">
        <v>9680</v>
      </c>
    </row>
    <row r="2626" spans="1:18" ht="20" x14ac:dyDescent="0.2">
      <c r="A2626" s="80" t="s">
        <v>6531</v>
      </c>
      <c r="B2626" s="80" t="s">
        <v>6532</v>
      </c>
      <c r="C2626" s="80" t="s">
        <v>9680</v>
      </c>
      <c r="D2626" s="80" t="s">
        <v>84</v>
      </c>
      <c r="E2626" s="80" t="s">
        <v>9680</v>
      </c>
      <c r="F2626" s="80"/>
      <c r="G2626" s="80" t="s">
        <v>9680</v>
      </c>
      <c r="H2626" s="80" t="s">
        <v>9680</v>
      </c>
      <c r="I2626" s="80" t="s">
        <v>9680</v>
      </c>
      <c r="J2626" s="80" t="s">
        <v>84</v>
      </c>
      <c r="K2626" s="80" t="s">
        <v>84</v>
      </c>
      <c r="L2626" s="80" t="s">
        <v>9680</v>
      </c>
      <c r="M2626" s="80" t="s">
        <v>9680</v>
      </c>
      <c r="N2626" s="80" t="s">
        <v>9680</v>
      </c>
      <c r="O2626" s="80" t="s">
        <v>9680</v>
      </c>
      <c r="P2626" s="80"/>
      <c r="Q2626" s="80" t="s">
        <v>84</v>
      </c>
      <c r="R2626" s="80" t="s">
        <v>9680</v>
      </c>
    </row>
    <row r="2627" spans="1:18" ht="20" x14ac:dyDescent="0.2">
      <c r="A2627" s="80" t="s">
        <v>6551</v>
      </c>
      <c r="B2627" s="80" t="s">
        <v>6552</v>
      </c>
      <c r="C2627" s="80" t="s">
        <v>84</v>
      </c>
      <c r="D2627" s="80" t="s">
        <v>84</v>
      </c>
      <c r="E2627" s="80" t="s">
        <v>84</v>
      </c>
      <c r="F2627" s="80"/>
      <c r="G2627" s="80" t="s">
        <v>84</v>
      </c>
      <c r="H2627" s="80" t="s">
        <v>84</v>
      </c>
      <c r="I2627" s="80" t="s">
        <v>84</v>
      </c>
      <c r="J2627" s="80" t="s">
        <v>84</v>
      </c>
      <c r="K2627" s="80" t="s">
        <v>84</v>
      </c>
      <c r="L2627" s="80" t="s">
        <v>84</v>
      </c>
      <c r="M2627" s="80" t="s">
        <v>84</v>
      </c>
      <c r="N2627" s="80" t="s">
        <v>84</v>
      </c>
      <c r="O2627" s="80" t="s">
        <v>84</v>
      </c>
      <c r="P2627" s="80"/>
      <c r="Q2627" s="80" t="s">
        <v>84</v>
      </c>
      <c r="R2627" s="80" t="s">
        <v>84</v>
      </c>
    </row>
    <row r="2628" spans="1:18" ht="20" x14ac:dyDescent="0.2">
      <c r="A2628" s="80" t="s">
        <v>6555</v>
      </c>
      <c r="B2628" s="80" t="s">
        <v>6556</v>
      </c>
      <c r="C2628" s="80" t="s">
        <v>84</v>
      </c>
      <c r="D2628" s="80" t="s">
        <v>84</v>
      </c>
      <c r="E2628" s="80" t="s">
        <v>84</v>
      </c>
      <c r="F2628" s="80"/>
      <c r="G2628" s="80" t="s">
        <v>84</v>
      </c>
      <c r="H2628" s="80" t="s">
        <v>84</v>
      </c>
      <c r="I2628" s="80" t="s">
        <v>84</v>
      </c>
      <c r="J2628" s="80" t="s">
        <v>84</v>
      </c>
      <c r="K2628" s="80" t="s">
        <v>84</v>
      </c>
      <c r="L2628" s="80" t="s">
        <v>84</v>
      </c>
      <c r="M2628" s="80" t="s">
        <v>84</v>
      </c>
      <c r="N2628" s="80" t="s">
        <v>84</v>
      </c>
      <c r="O2628" s="80" t="s">
        <v>84</v>
      </c>
      <c r="P2628" s="80"/>
      <c r="Q2628" s="80" t="s">
        <v>84</v>
      </c>
      <c r="R2628" s="80" t="s">
        <v>84</v>
      </c>
    </row>
    <row r="2629" spans="1:18" ht="20" x14ac:dyDescent="0.2">
      <c r="A2629" s="80" t="s">
        <v>6557</v>
      </c>
      <c r="B2629" s="80" t="s">
        <v>6558</v>
      </c>
      <c r="C2629" s="80" t="s">
        <v>84</v>
      </c>
      <c r="D2629" s="80" t="s">
        <v>84</v>
      </c>
      <c r="E2629" s="80" t="s">
        <v>84</v>
      </c>
      <c r="F2629" s="80"/>
      <c r="G2629" s="80" t="s">
        <v>84</v>
      </c>
      <c r="H2629" s="80" t="s">
        <v>84</v>
      </c>
      <c r="I2629" s="80" t="s">
        <v>84</v>
      </c>
      <c r="J2629" s="80" t="s">
        <v>84</v>
      </c>
      <c r="K2629" s="80" t="s">
        <v>84</v>
      </c>
      <c r="L2629" s="80" t="s">
        <v>84</v>
      </c>
      <c r="M2629" s="80" t="s">
        <v>84</v>
      </c>
      <c r="N2629" s="80" t="s">
        <v>84</v>
      </c>
      <c r="O2629" s="80" t="s">
        <v>84</v>
      </c>
      <c r="P2629" s="80"/>
      <c r="Q2629" s="80" t="s">
        <v>84</v>
      </c>
      <c r="R2629" s="80" t="s">
        <v>84</v>
      </c>
    </row>
    <row r="2630" spans="1:18" ht="20" x14ac:dyDescent="0.2">
      <c r="A2630" s="80" t="s">
        <v>6638</v>
      </c>
      <c r="B2630" s="80" t="s">
        <v>6639</v>
      </c>
      <c r="C2630" s="80" t="s">
        <v>9680</v>
      </c>
      <c r="D2630" s="80" t="s">
        <v>84</v>
      </c>
      <c r="E2630" s="80" t="s">
        <v>84</v>
      </c>
      <c r="F2630" s="80"/>
      <c r="G2630" s="80" t="s">
        <v>84</v>
      </c>
      <c r="H2630" s="80" t="s">
        <v>84</v>
      </c>
      <c r="I2630" s="80" t="s">
        <v>84</v>
      </c>
      <c r="J2630" s="80" t="s">
        <v>84</v>
      </c>
      <c r="K2630" s="80" t="s">
        <v>84</v>
      </c>
      <c r="L2630" s="80" t="s">
        <v>84</v>
      </c>
      <c r="M2630" s="80" t="s">
        <v>84</v>
      </c>
      <c r="N2630" s="80" t="s">
        <v>84</v>
      </c>
      <c r="O2630" s="80" t="s">
        <v>84</v>
      </c>
      <c r="P2630" s="80"/>
      <c r="Q2630" s="80" t="s">
        <v>84</v>
      </c>
      <c r="R2630" s="80" t="s">
        <v>84</v>
      </c>
    </row>
    <row r="2631" spans="1:18" ht="20" x14ac:dyDescent="0.2">
      <c r="A2631" s="80" t="s">
        <v>6640</v>
      </c>
      <c r="B2631" s="80" t="s">
        <v>6641</v>
      </c>
      <c r="C2631" s="80" t="s">
        <v>84</v>
      </c>
      <c r="D2631" s="80" t="s">
        <v>84</v>
      </c>
      <c r="E2631" s="80" t="s">
        <v>84</v>
      </c>
      <c r="F2631" s="80"/>
      <c r="G2631" s="80" t="s">
        <v>84</v>
      </c>
      <c r="H2631" s="80" t="s">
        <v>84</v>
      </c>
      <c r="I2631" s="80" t="s">
        <v>84</v>
      </c>
      <c r="J2631" s="80" t="s">
        <v>84</v>
      </c>
      <c r="K2631" s="80" t="s">
        <v>84</v>
      </c>
      <c r="L2631" s="80" t="s">
        <v>84</v>
      </c>
      <c r="M2631" s="80" t="s">
        <v>84</v>
      </c>
      <c r="N2631" s="80" t="s">
        <v>84</v>
      </c>
      <c r="O2631" s="80" t="s">
        <v>84</v>
      </c>
      <c r="P2631" s="80"/>
      <c r="Q2631" s="80" t="s">
        <v>84</v>
      </c>
      <c r="R2631" s="80" t="s">
        <v>84</v>
      </c>
    </row>
    <row r="2632" spans="1:18" ht="20" x14ac:dyDescent="0.2">
      <c r="A2632" s="80" t="s">
        <v>6648</v>
      </c>
      <c r="B2632" s="80" t="s">
        <v>6649</v>
      </c>
      <c r="C2632" s="80" t="s">
        <v>84</v>
      </c>
      <c r="D2632" s="80" t="s">
        <v>84</v>
      </c>
      <c r="E2632" s="80" t="s">
        <v>84</v>
      </c>
      <c r="F2632" s="80"/>
      <c r="G2632" s="80" t="s">
        <v>84</v>
      </c>
      <c r="H2632" s="80" t="s">
        <v>84</v>
      </c>
      <c r="I2632" s="80" t="s">
        <v>84</v>
      </c>
      <c r="J2632" s="80" t="s">
        <v>84</v>
      </c>
      <c r="K2632" s="80" t="s">
        <v>84</v>
      </c>
      <c r="L2632" s="80" t="s">
        <v>84</v>
      </c>
      <c r="M2632" s="80" t="s">
        <v>84</v>
      </c>
      <c r="N2632" s="80" t="s">
        <v>84</v>
      </c>
      <c r="O2632" s="80" t="s">
        <v>84</v>
      </c>
      <c r="P2632" s="80"/>
      <c r="Q2632" s="80" t="s">
        <v>84</v>
      </c>
      <c r="R2632" s="80" t="s">
        <v>84</v>
      </c>
    </row>
    <row r="2633" spans="1:18" ht="20" x14ac:dyDescent="0.2">
      <c r="A2633" s="80" t="s">
        <v>6656</v>
      </c>
      <c r="B2633" s="80" t="s">
        <v>6657</v>
      </c>
      <c r="C2633" s="80" t="s">
        <v>84</v>
      </c>
      <c r="D2633" s="80" t="s">
        <v>84</v>
      </c>
      <c r="E2633" s="80" t="s">
        <v>84</v>
      </c>
      <c r="F2633" s="80"/>
      <c r="G2633" s="80" t="s">
        <v>84</v>
      </c>
      <c r="H2633" s="80" t="s">
        <v>84</v>
      </c>
      <c r="I2633" s="80" t="s">
        <v>84</v>
      </c>
      <c r="J2633" s="80" t="s">
        <v>84</v>
      </c>
      <c r="K2633" s="80" t="s">
        <v>84</v>
      </c>
      <c r="L2633" s="80" t="s">
        <v>84</v>
      </c>
      <c r="M2633" s="80" t="s">
        <v>84</v>
      </c>
      <c r="N2633" s="80" t="s">
        <v>84</v>
      </c>
      <c r="O2633" s="80" t="s">
        <v>84</v>
      </c>
      <c r="P2633" s="80"/>
      <c r="Q2633" s="80" t="s">
        <v>84</v>
      </c>
      <c r="R2633" s="80" t="s">
        <v>84</v>
      </c>
    </row>
    <row r="2634" spans="1:18" ht="20" x14ac:dyDescent="0.2">
      <c r="A2634" s="80" t="s">
        <v>6658</v>
      </c>
      <c r="B2634" s="80" t="s">
        <v>6659</v>
      </c>
      <c r="C2634" s="80" t="s">
        <v>84</v>
      </c>
      <c r="D2634" s="80" t="s">
        <v>84</v>
      </c>
      <c r="E2634" s="80" t="s">
        <v>84</v>
      </c>
      <c r="F2634" s="80"/>
      <c r="G2634" s="80" t="s">
        <v>84</v>
      </c>
      <c r="H2634" s="80" t="s">
        <v>84</v>
      </c>
      <c r="I2634" s="80" t="s">
        <v>84</v>
      </c>
      <c r="J2634" s="80" t="s">
        <v>84</v>
      </c>
      <c r="K2634" s="80" t="s">
        <v>84</v>
      </c>
      <c r="L2634" s="80" t="s">
        <v>84</v>
      </c>
      <c r="M2634" s="80" t="s">
        <v>84</v>
      </c>
      <c r="N2634" s="80" t="s">
        <v>84</v>
      </c>
      <c r="O2634" s="80" t="s">
        <v>84</v>
      </c>
      <c r="P2634" s="80"/>
      <c r="Q2634" s="80" t="s">
        <v>84</v>
      </c>
      <c r="R2634" s="80" t="s">
        <v>84</v>
      </c>
    </row>
    <row r="2635" spans="1:18" ht="20" x14ac:dyDescent="0.2">
      <c r="A2635" s="80" t="s">
        <v>6660</v>
      </c>
      <c r="B2635" s="80" t="s">
        <v>6661</v>
      </c>
      <c r="C2635" s="80" t="s">
        <v>84</v>
      </c>
      <c r="D2635" s="80" t="s">
        <v>84</v>
      </c>
      <c r="E2635" s="80" t="s">
        <v>84</v>
      </c>
      <c r="F2635" s="80"/>
      <c r="G2635" s="80" t="s">
        <v>84</v>
      </c>
      <c r="H2635" s="80" t="s">
        <v>84</v>
      </c>
      <c r="I2635" s="80" t="s">
        <v>84</v>
      </c>
      <c r="J2635" s="80" t="s">
        <v>84</v>
      </c>
      <c r="K2635" s="80" t="s">
        <v>84</v>
      </c>
      <c r="L2635" s="80" t="s">
        <v>84</v>
      </c>
      <c r="M2635" s="80" t="s">
        <v>84</v>
      </c>
      <c r="N2635" s="80" t="s">
        <v>84</v>
      </c>
      <c r="O2635" s="80" t="s">
        <v>84</v>
      </c>
      <c r="P2635" s="80"/>
      <c r="Q2635" s="80" t="s">
        <v>84</v>
      </c>
      <c r="R2635" s="80" t="s">
        <v>84</v>
      </c>
    </row>
    <row r="2636" spans="1:18" ht="20" x14ac:dyDescent="0.2">
      <c r="A2636" s="80" t="s">
        <v>6662</v>
      </c>
      <c r="B2636" s="80" t="s">
        <v>6663</v>
      </c>
      <c r="C2636" s="80" t="s">
        <v>9680</v>
      </c>
      <c r="D2636" s="80" t="s">
        <v>84</v>
      </c>
      <c r="E2636" s="80" t="s">
        <v>84</v>
      </c>
      <c r="F2636" s="80"/>
      <c r="G2636" s="80" t="s">
        <v>84</v>
      </c>
      <c r="H2636" s="80" t="s">
        <v>84</v>
      </c>
      <c r="I2636" s="80" t="s">
        <v>84</v>
      </c>
      <c r="J2636" s="80" t="s">
        <v>84</v>
      </c>
      <c r="K2636" s="80" t="s">
        <v>84</v>
      </c>
      <c r="L2636" s="80" t="s">
        <v>84</v>
      </c>
      <c r="M2636" s="80" t="s">
        <v>84</v>
      </c>
      <c r="N2636" s="80" t="s">
        <v>84</v>
      </c>
      <c r="O2636" s="80" t="s">
        <v>84</v>
      </c>
      <c r="P2636" s="80"/>
      <c r="Q2636" s="80" t="s">
        <v>84</v>
      </c>
      <c r="R2636" s="80" t="s">
        <v>84</v>
      </c>
    </row>
    <row r="2637" spans="1:18" ht="20" x14ac:dyDescent="0.2">
      <c r="A2637" s="80" t="s">
        <v>6664</v>
      </c>
      <c r="B2637" s="80" t="s">
        <v>6665</v>
      </c>
      <c r="C2637" s="80" t="s">
        <v>84</v>
      </c>
      <c r="D2637" s="80" t="s">
        <v>84</v>
      </c>
      <c r="E2637" s="80" t="s">
        <v>84</v>
      </c>
      <c r="F2637" s="80"/>
      <c r="G2637" s="80" t="s">
        <v>84</v>
      </c>
      <c r="H2637" s="80" t="s">
        <v>84</v>
      </c>
      <c r="I2637" s="80" t="s">
        <v>84</v>
      </c>
      <c r="J2637" s="80" t="s">
        <v>84</v>
      </c>
      <c r="K2637" s="80" t="s">
        <v>84</v>
      </c>
      <c r="L2637" s="80" t="s">
        <v>84</v>
      </c>
      <c r="M2637" s="80" t="s">
        <v>84</v>
      </c>
      <c r="N2637" s="80" t="s">
        <v>84</v>
      </c>
      <c r="O2637" s="80" t="s">
        <v>84</v>
      </c>
      <c r="P2637" s="80"/>
      <c r="Q2637" s="80" t="s">
        <v>84</v>
      </c>
      <c r="R2637" s="80" t="s">
        <v>84</v>
      </c>
    </row>
    <row r="2638" spans="1:18" ht="20" x14ac:dyDescent="0.2">
      <c r="A2638" s="80" t="s">
        <v>6670</v>
      </c>
      <c r="B2638" s="80" t="s">
        <v>6671</v>
      </c>
      <c r="C2638" s="80" t="s">
        <v>84</v>
      </c>
      <c r="D2638" s="80" t="s">
        <v>84</v>
      </c>
      <c r="E2638" s="80" t="s">
        <v>84</v>
      </c>
      <c r="F2638" s="80"/>
      <c r="G2638" s="80" t="s">
        <v>84</v>
      </c>
      <c r="H2638" s="80" t="s">
        <v>84</v>
      </c>
      <c r="I2638" s="80" t="s">
        <v>84</v>
      </c>
      <c r="J2638" s="80" t="s">
        <v>84</v>
      </c>
      <c r="K2638" s="80" t="s">
        <v>84</v>
      </c>
      <c r="L2638" s="80" t="s">
        <v>84</v>
      </c>
      <c r="M2638" s="80" t="s">
        <v>84</v>
      </c>
      <c r="N2638" s="80" t="s">
        <v>84</v>
      </c>
      <c r="O2638" s="80" t="s">
        <v>84</v>
      </c>
      <c r="P2638" s="80"/>
      <c r="Q2638" s="80" t="s">
        <v>84</v>
      </c>
      <c r="R2638" s="80" t="s">
        <v>84</v>
      </c>
    </row>
    <row r="2639" spans="1:18" ht="20" x14ac:dyDescent="0.2">
      <c r="A2639" s="80" t="s">
        <v>6672</v>
      </c>
      <c r="B2639" s="80" t="s">
        <v>6673</v>
      </c>
      <c r="C2639" s="80" t="s">
        <v>84</v>
      </c>
      <c r="D2639" s="80" t="s">
        <v>84</v>
      </c>
      <c r="E2639" s="80" t="s">
        <v>84</v>
      </c>
      <c r="F2639" s="80"/>
      <c r="G2639" s="80" t="s">
        <v>84</v>
      </c>
      <c r="H2639" s="80" t="s">
        <v>84</v>
      </c>
      <c r="I2639" s="80" t="s">
        <v>84</v>
      </c>
      <c r="J2639" s="80" t="s">
        <v>84</v>
      </c>
      <c r="K2639" s="80" t="s">
        <v>84</v>
      </c>
      <c r="L2639" s="80" t="s">
        <v>84</v>
      </c>
      <c r="M2639" s="80" t="s">
        <v>84</v>
      </c>
      <c r="N2639" s="80" t="s">
        <v>84</v>
      </c>
      <c r="O2639" s="80" t="s">
        <v>84</v>
      </c>
      <c r="P2639" s="80"/>
      <c r="Q2639" s="80" t="s">
        <v>84</v>
      </c>
      <c r="R2639" s="80" t="s">
        <v>84</v>
      </c>
    </row>
    <row r="2640" spans="1:18" ht="20" x14ac:dyDescent="0.2">
      <c r="A2640" s="80" t="s">
        <v>6676</v>
      </c>
      <c r="B2640" s="80" t="s">
        <v>6677</v>
      </c>
      <c r="C2640" s="80" t="s">
        <v>9680</v>
      </c>
      <c r="D2640" s="80" t="s">
        <v>84</v>
      </c>
      <c r="E2640" s="80" t="s">
        <v>84</v>
      </c>
      <c r="F2640" s="80"/>
      <c r="G2640" s="80" t="s">
        <v>84</v>
      </c>
      <c r="H2640" s="80" t="s">
        <v>84</v>
      </c>
      <c r="I2640" s="80" t="s">
        <v>84</v>
      </c>
      <c r="J2640" s="80" t="s">
        <v>84</v>
      </c>
      <c r="K2640" s="80" t="s">
        <v>84</v>
      </c>
      <c r="L2640" s="80" t="s">
        <v>84</v>
      </c>
      <c r="M2640" s="80" t="s">
        <v>84</v>
      </c>
      <c r="N2640" s="80" t="s">
        <v>84</v>
      </c>
      <c r="O2640" s="80" t="s">
        <v>84</v>
      </c>
      <c r="P2640" s="80"/>
      <c r="Q2640" s="80" t="s">
        <v>84</v>
      </c>
      <c r="R2640" s="80" t="s">
        <v>84</v>
      </c>
    </row>
    <row r="2641" spans="1:18" ht="20" x14ac:dyDescent="0.2">
      <c r="A2641" s="80" t="s">
        <v>6678</v>
      </c>
      <c r="B2641" s="80" t="s">
        <v>6679</v>
      </c>
      <c r="C2641" s="80" t="s">
        <v>9680</v>
      </c>
      <c r="D2641" s="80" t="s">
        <v>84</v>
      </c>
      <c r="E2641" s="80" t="s">
        <v>84</v>
      </c>
      <c r="F2641" s="80"/>
      <c r="G2641" s="80" t="s">
        <v>84</v>
      </c>
      <c r="H2641" s="80" t="s">
        <v>84</v>
      </c>
      <c r="I2641" s="80" t="s">
        <v>84</v>
      </c>
      <c r="J2641" s="80" t="s">
        <v>84</v>
      </c>
      <c r="K2641" s="80" t="s">
        <v>84</v>
      </c>
      <c r="L2641" s="80" t="s">
        <v>84</v>
      </c>
      <c r="M2641" s="80" t="s">
        <v>84</v>
      </c>
      <c r="N2641" s="80" t="s">
        <v>84</v>
      </c>
      <c r="O2641" s="80" t="s">
        <v>84</v>
      </c>
      <c r="P2641" s="80"/>
      <c r="Q2641" s="80" t="s">
        <v>84</v>
      </c>
      <c r="R2641" s="80" t="s">
        <v>84</v>
      </c>
    </row>
    <row r="2642" spans="1:18" ht="20" x14ac:dyDescent="0.2">
      <c r="A2642" s="80" t="s">
        <v>6680</v>
      </c>
      <c r="B2642" s="80" t="s">
        <v>6681</v>
      </c>
      <c r="C2642" s="80" t="s">
        <v>84</v>
      </c>
      <c r="D2642" s="80" t="s">
        <v>84</v>
      </c>
      <c r="E2642" s="80" t="s">
        <v>84</v>
      </c>
      <c r="F2642" s="80"/>
      <c r="G2642" s="80" t="s">
        <v>84</v>
      </c>
      <c r="H2642" s="80" t="s">
        <v>84</v>
      </c>
      <c r="I2642" s="80" t="s">
        <v>84</v>
      </c>
      <c r="J2642" s="80" t="s">
        <v>84</v>
      </c>
      <c r="K2642" s="80" t="s">
        <v>84</v>
      </c>
      <c r="L2642" s="80" t="s">
        <v>84</v>
      </c>
      <c r="M2642" s="80" t="s">
        <v>84</v>
      </c>
      <c r="N2642" s="80" t="s">
        <v>84</v>
      </c>
      <c r="O2642" s="80" t="s">
        <v>84</v>
      </c>
      <c r="P2642" s="80"/>
      <c r="Q2642" s="80" t="s">
        <v>84</v>
      </c>
      <c r="R2642" s="80" t="s">
        <v>84</v>
      </c>
    </row>
    <row r="2643" spans="1:18" ht="20" x14ac:dyDescent="0.2">
      <c r="A2643" s="80" t="s">
        <v>6682</v>
      </c>
      <c r="B2643" s="80" t="s">
        <v>6683</v>
      </c>
      <c r="C2643" s="80" t="s">
        <v>84</v>
      </c>
      <c r="D2643" s="80" t="s">
        <v>84</v>
      </c>
      <c r="E2643" s="80" t="s">
        <v>84</v>
      </c>
      <c r="F2643" s="80"/>
      <c r="G2643" s="80" t="s">
        <v>84</v>
      </c>
      <c r="H2643" s="80" t="s">
        <v>84</v>
      </c>
      <c r="I2643" s="80" t="s">
        <v>84</v>
      </c>
      <c r="J2643" s="80" t="s">
        <v>84</v>
      </c>
      <c r="K2643" s="80" t="s">
        <v>84</v>
      </c>
      <c r="L2643" s="80" t="s">
        <v>84</v>
      </c>
      <c r="M2643" s="80" t="s">
        <v>84</v>
      </c>
      <c r="N2643" s="80" t="s">
        <v>84</v>
      </c>
      <c r="O2643" s="80" t="s">
        <v>84</v>
      </c>
      <c r="P2643" s="80"/>
      <c r="Q2643" s="80" t="s">
        <v>84</v>
      </c>
      <c r="R2643" s="80" t="s">
        <v>84</v>
      </c>
    </row>
    <row r="2644" spans="1:18" ht="20" x14ac:dyDescent="0.2">
      <c r="A2644" s="80" t="s">
        <v>6684</v>
      </c>
      <c r="B2644" s="80" t="s">
        <v>6685</v>
      </c>
      <c r="C2644" s="80" t="s">
        <v>84</v>
      </c>
      <c r="D2644" s="80" t="s">
        <v>84</v>
      </c>
      <c r="E2644" s="80" t="s">
        <v>84</v>
      </c>
      <c r="F2644" s="80"/>
      <c r="G2644" s="80" t="s">
        <v>84</v>
      </c>
      <c r="H2644" s="80" t="s">
        <v>84</v>
      </c>
      <c r="I2644" s="80" t="s">
        <v>84</v>
      </c>
      <c r="J2644" s="80" t="s">
        <v>84</v>
      </c>
      <c r="K2644" s="80" t="s">
        <v>84</v>
      </c>
      <c r="L2644" s="80" t="s">
        <v>84</v>
      </c>
      <c r="M2644" s="80" t="s">
        <v>84</v>
      </c>
      <c r="N2644" s="80" t="s">
        <v>84</v>
      </c>
      <c r="O2644" s="80" t="s">
        <v>84</v>
      </c>
      <c r="P2644" s="80"/>
      <c r="Q2644" s="80" t="s">
        <v>84</v>
      </c>
      <c r="R2644" s="80" t="s">
        <v>84</v>
      </c>
    </row>
    <row r="2645" spans="1:18" ht="20" x14ac:dyDescent="0.2">
      <c r="A2645" s="80" t="s">
        <v>6686</v>
      </c>
      <c r="B2645" s="80" t="s">
        <v>6687</v>
      </c>
      <c r="C2645" s="80" t="s">
        <v>84</v>
      </c>
      <c r="D2645" s="80" t="s">
        <v>84</v>
      </c>
      <c r="E2645" s="80" t="s">
        <v>84</v>
      </c>
      <c r="F2645" s="80"/>
      <c r="G2645" s="80" t="s">
        <v>84</v>
      </c>
      <c r="H2645" s="80" t="s">
        <v>84</v>
      </c>
      <c r="I2645" s="80" t="s">
        <v>84</v>
      </c>
      <c r="J2645" s="80" t="s">
        <v>84</v>
      </c>
      <c r="K2645" s="80" t="s">
        <v>84</v>
      </c>
      <c r="L2645" s="80" t="s">
        <v>84</v>
      </c>
      <c r="M2645" s="80" t="s">
        <v>84</v>
      </c>
      <c r="N2645" s="80" t="s">
        <v>84</v>
      </c>
      <c r="O2645" s="80" t="s">
        <v>84</v>
      </c>
      <c r="P2645" s="80"/>
      <c r="Q2645" s="80" t="s">
        <v>84</v>
      </c>
      <c r="R2645" s="80" t="s">
        <v>84</v>
      </c>
    </row>
    <row r="2646" spans="1:18" ht="20" x14ac:dyDescent="0.2">
      <c r="A2646" s="80" t="s">
        <v>6688</v>
      </c>
      <c r="B2646" s="80" t="s">
        <v>6689</v>
      </c>
      <c r="C2646" s="80" t="s">
        <v>9680</v>
      </c>
      <c r="D2646" s="80" t="s">
        <v>84</v>
      </c>
      <c r="E2646" s="80" t="s">
        <v>84</v>
      </c>
      <c r="F2646" s="80"/>
      <c r="G2646" s="80" t="s">
        <v>84</v>
      </c>
      <c r="H2646" s="80" t="s">
        <v>84</v>
      </c>
      <c r="I2646" s="80" t="s">
        <v>84</v>
      </c>
      <c r="J2646" s="80" t="s">
        <v>84</v>
      </c>
      <c r="K2646" s="80" t="s">
        <v>84</v>
      </c>
      <c r="L2646" s="80" t="s">
        <v>84</v>
      </c>
      <c r="M2646" s="80" t="s">
        <v>84</v>
      </c>
      <c r="N2646" s="80" t="s">
        <v>84</v>
      </c>
      <c r="O2646" s="80" t="s">
        <v>84</v>
      </c>
      <c r="P2646" s="80"/>
      <c r="Q2646" s="80" t="s">
        <v>84</v>
      </c>
      <c r="R2646" s="80" t="s">
        <v>84</v>
      </c>
    </row>
    <row r="2647" spans="1:18" ht="20" x14ac:dyDescent="0.2">
      <c r="A2647" s="80" t="s">
        <v>6690</v>
      </c>
      <c r="B2647" s="80" t="s">
        <v>6691</v>
      </c>
      <c r="C2647" s="80" t="s">
        <v>9722</v>
      </c>
      <c r="D2647" s="80" t="s">
        <v>84</v>
      </c>
      <c r="E2647" s="80" t="s">
        <v>84</v>
      </c>
      <c r="F2647" s="80"/>
      <c r="G2647" s="80" t="s">
        <v>84</v>
      </c>
      <c r="H2647" s="80" t="s">
        <v>84</v>
      </c>
      <c r="I2647" s="80" t="s">
        <v>84</v>
      </c>
      <c r="J2647" s="80" t="s">
        <v>84</v>
      </c>
      <c r="K2647" s="80" t="s">
        <v>84</v>
      </c>
      <c r="L2647" s="80" t="s">
        <v>84</v>
      </c>
      <c r="M2647" s="80" t="s">
        <v>84</v>
      </c>
      <c r="N2647" s="80" t="s">
        <v>84</v>
      </c>
      <c r="O2647" s="80" t="s">
        <v>84</v>
      </c>
      <c r="P2647" s="80"/>
      <c r="Q2647" s="80" t="s">
        <v>84</v>
      </c>
      <c r="R2647" s="80" t="s">
        <v>84</v>
      </c>
    </row>
    <row r="2648" spans="1:18" ht="20" x14ac:dyDescent="0.2">
      <c r="A2648" s="80" t="s">
        <v>6692</v>
      </c>
      <c r="B2648" s="80" t="s">
        <v>6693</v>
      </c>
      <c r="C2648" s="80" t="s">
        <v>84</v>
      </c>
      <c r="D2648" s="80" t="s">
        <v>84</v>
      </c>
      <c r="E2648" s="80" t="s">
        <v>84</v>
      </c>
      <c r="F2648" s="80"/>
      <c r="G2648" s="80" t="s">
        <v>84</v>
      </c>
      <c r="H2648" s="80" t="s">
        <v>84</v>
      </c>
      <c r="I2648" s="80" t="s">
        <v>84</v>
      </c>
      <c r="J2648" s="80" t="s">
        <v>84</v>
      </c>
      <c r="K2648" s="80" t="s">
        <v>84</v>
      </c>
      <c r="L2648" s="80" t="s">
        <v>84</v>
      </c>
      <c r="M2648" s="80" t="s">
        <v>84</v>
      </c>
      <c r="N2648" s="80" t="s">
        <v>84</v>
      </c>
      <c r="O2648" s="80" t="s">
        <v>84</v>
      </c>
      <c r="P2648" s="80"/>
      <c r="Q2648" s="80" t="s">
        <v>84</v>
      </c>
      <c r="R2648" s="80" t="s">
        <v>84</v>
      </c>
    </row>
    <row r="2649" spans="1:18" ht="20" x14ac:dyDescent="0.2">
      <c r="A2649" s="80" t="s">
        <v>6694</v>
      </c>
      <c r="B2649" s="80" t="s">
        <v>6695</v>
      </c>
      <c r="C2649" s="80" t="s">
        <v>84</v>
      </c>
      <c r="D2649" s="80" t="s">
        <v>84</v>
      </c>
      <c r="E2649" s="80" t="s">
        <v>84</v>
      </c>
      <c r="F2649" s="80"/>
      <c r="G2649" s="80" t="s">
        <v>84</v>
      </c>
      <c r="H2649" s="80" t="s">
        <v>84</v>
      </c>
      <c r="I2649" s="80" t="s">
        <v>84</v>
      </c>
      <c r="J2649" s="80" t="s">
        <v>84</v>
      </c>
      <c r="K2649" s="80" t="s">
        <v>84</v>
      </c>
      <c r="L2649" s="80" t="s">
        <v>84</v>
      </c>
      <c r="M2649" s="80" t="s">
        <v>84</v>
      </c>
      <c r="N2649" s="80" t="s">
        <v>84</v>
      </c>
      <c r="O2649" s="80" t="s">
        <v>84</v>
      </c>
      <c r="P2649" s="80"/>
      <c r="Q2649" s="80" t="s">
        <v>84</v>
      </c>
      <c r="R2649" s="80" t="s">
        <v>84</v>
      </c>
    </row>
    <row r="2650" spans="1:18" ht="20" x14ac:dyDescent="0.2">
      <c r="A2650" s="80" t="s">
        <v>6704</v>
      </c>
      <c r="B2650" s="80" t="s">
        <v>6705</v>
      </c>
      <c r="C2650" s="80" t="s">
        <v>9680</v>
      </c>
      <c r="D2650" s="80" t="s">
        <v>84</v>
      </c>
      <c r="E2650" s="80" t="s">
        <v>84</v>
      </c>
      <c r="F2650" s="80"/>
      <c r="G2650" s="80" t="s">
        <v>84</v>
      </c>
      <c r="H2650" s="80" t="s">
        <v>84</v>
      </c>
      <c r="I2650" s="80" t="s">
        <v>84</v>
      </c>
      <c r="J2650" s="80" t="s">
        <v>84</v>
      </c>
      <c r="K2650" s="80" t="s">
        <v>84</v>
      </c>
      <c r="L2650" s="80" t="s">
        <v>84</v>
      </c>
      <c r="M2650" s="80" t="s">
        <v>84</v>
      </c>
      <c r="N2650" s="80" t="s">
        <v>84</v>
      </c>
      <c r="O2650" s="80" t="s">
        <v>84</v>
      </c>
      <c r="P2650" s="80"/>
      <c r="Q2650" s="80" t="s">
        <v>84</v>
      </c>
      <c r="R2650" s="80" t="s">
        <v>84</v>
      </c>
    </row>
    <row r="2651" spans="1:18" ht="20" x14ac:dyDescent="0.2">
      <c r="A2651" s="80" t="s">
        <v>6706</v>
      </c>
      <c r="B2651" s="80" t="s">
        <v>6707</v>
      </c>
      <c r="C2651" s="80" t="s">
        <v>9680</v>
      </c>
      <c r="D2651" s="80" t="s">
        <v>84</v>
      </c>
      <c r="E2651" s="80" t="s">
        <v>84</v>
      </c>
      <c r="F2651" s="80"/>
      <c r="G2651" s="80" t="s">
        <v>84</v>
      </c>
      <c r="H2651" s="80" t="s">
        <v>84</v>
      </c>
      <c r="I2651" s="80" t="s">
        <v>84</v>
      </c>
      <c r="J2651" s="80" t="s">
        <v>84</v>
      </c>
      <c r="K2651" s="80" t="s">
        <v>84</v>
      </c>
      <c r="L2651" s="80" t="s">
        <v>84</v>
      </c>
      <c r="M2651" s="80" t="s">
        <v>84</v>
      </c>
      <c r="N2651" s="80" t="s">
        <v>84</v>
      </c>
      <c r="O2651" s="80" t="s">
        <v>84</v>
      </c>
      <c r="P2651" s="80"/>
      <c r="Q2651" s="80" t="s">
        <v>84</v>
      </c>
      <c r="R2651" s="80" t="s">
        <v>84</v>
      </c>
    </row>
    <row r="2652" spans="1:18" ht="20" x14ac:dyDescent="0.2">
      <c r="A2652" s="80" t="s">
        <v>6700</v>
      </c>
      <c r="B2652" s="80" t="s">
        <v>6701</v>
      </c>
      <c r="C2652" s="80" t="s">
        <v>9680</v>
      </c>
      <c r="D2652" s="80" t="s">
        <v>84</v>
      </c>
      <c r="E2652" s="80" t="s">
        <v>9680</v>
      </c>
      <c r="F2652" s="80"/>
      <c r="G2652" s="80" t="s">
        <v>84</v>
      </c>
      <c r="H2652" s="80" t="s">
        <v>84</v>
      </c>
      <c r="I2652" s="80" t="s">
        <v>84</v>
      </c>
      <c r="J2652" s="80" t="s">
        <v>84</v>
      </c>
      <c r="K2652" s="80" t="s">
        <v>84</v>
      </c>
      <c r="L2652" s="80" t="s">
        <v>84</v>
      </c>
      <c r="M2652" s="80" t="s">
        <v>9680</v>
      </c>
      <c r="N2652" s="80" t="s">
        <v>84</v>
      </c>
      <c r="O2652" s="80" t="s">
        <v>84</v>
      </c>
      <c r="P2652" s="80"/>
      <c r="Q2652" s="80" t="s">
        <v>84</v>
      </c>
      <c r="R2652" s="80" t="s">
        <v>84</v>
      </c>
    </row>
    <row r="2653" spans="1:18" ht="20" x14ac:dyDescent="0.2">
      <c r="A2653" s="80" t="s">
        <v>6708</v>
      </c>
      <c r="B2653" s="80" t="s">
        <v>6709</v>
      </c>
      <c r="C2653" s="80" t="s">
        <v>84</v>
      </c>
      <c r="D2653" s="80" t="s">
        <v>84</v>
      </c>
      <c r="E2653" s="80" t="s">
        <v>84</v>
      </c>
      <c r="F2653" s="80"/>
      <c r="G2653" s="80" t="s">
        <v>84</v>
      </c>
      <c r="H2653" s="80" t="s">
        <v>84</v>
      </c>
      <c r="I2653" s="80" t="s">
        <v>84</v>
      </c>
      <c r="J2653" s="80" t="s">
        <v>84</v>
      </c>
      <c r="K2653" s="80" t="s">
        <v>84</v>
      </c>
      <c r="L2653" s="80" t="s">
        <v>84</v>
      </c>
      <c r="M2653" s="80" t="s">
        <v>84</v>
      </c>
      <c r="N2653" s="80" t="s">
        <v>84</v>
      </c>
      <c r="O2653" s="80" t="s">
        <v>84</v>
      </c>
      <c r="P2653" s="80"/>
      <c r="Q2653" s="80" t="s">
        <v>84</v>
      </c>
      <c r="R2653" s="80" t="s">
        <v>84</v>
      </c>
    </row>
    <row r="2654" spans="1:18" ht="20" x14ac:dyDescent="0.2">
      <c r="A2654" s="80" t="s">
        <v>6711</v>
      </c>
      <c r="B2654" s="80" t="s">
        <v>6712</v>
      </c>
      <c r="C2654" s="80" t="s">
        <v>84</v>
      </c>
      <c r="D2654" s="80" t="s">
        <v>84</v>
      </c>
      <c r="E2654" s="80" t="s">
        <v>84</v>
      </c>
      <c r="F2654" s="80"/>
      <c r="G2654" s="80" t="s">
        <v>84</v>
      </c>
      <c r="H2654" s="80" t="s">
        <v>84</v>
      </c>
      <c r="I2654" s="80" t="s">
        <v>84</v>
      </c>
      <c r="J2654" s="80" t="s">
        <v>84</v>
      </c>
      <c r="K2654" s="80" t="s">
        <v>84</v>
      </c>
      <c r="L2654" s="80" t="s">
        <v>84</v>
      </c>
      <c r="M2654" s="80" t="s">
        <v>84</v>
      </c>
      <c r="N2654" s="80" t="s">
        <v>84</v>
      </c>
      <c r="O2654" s="80" t="s">
        <v>84</v>
      </c>
      <c r="P2654" s="80"/>
      <c r="Q2654" s="80" t="s">
        <v>84</v>
      </c>
      <c r="R2654" s="80" t="s">
        <v>84</v>
      </c>
    </row>
    <row r="2655" spans="1:18" ht="20" x14ac:dyDescent="0.2">
      <c r="A2655" s="80" t="s">
        <v>6713</v>
      </c>
      <c r="B2655" s="80" t="s">
        <v>6714</v>
      </c>
      <c r="C2655" s="80" t="s">
        <v>84</v>
      </c>
      <c r="D2655" s="80" t="s">
        <v>84</v>
      </c>
      <c r="E2655" s="80" t="s">
        <v>84</v>
      </c>
      <c r="F2655" s="80"/>
      <c r="G2655" s="80" t="s">
        <v>84</v>
      </c>
      <c r="H2655" s="80" t="s">
        <v>84</v>
      </c>
      <c r="I2655" s="80" t="s">
        <v>84</v>
      </c>
      <c r="J2655" s="80" t="s">
        <v>84</v>
      </c>
      <c r="K2655" s="80" t="s">
        <v>84</v>
      </c>
      <c r="L2655" s="80" t="s">
        <v>84</v>
      </c>
      <c r="M2655" s="80" t="s">
        <v>84</v>
      </c>
      <c r="N2655" s="80" t="s">
        <v>84</v>
      </c>
      <c r="O2655" s="80" t="s">
        <v>84</v>
      </c>
      <c r="P2655" s="80"/>
      <c r="Q2655" s="80" t="s">
        <v>84</v>
      </c>
      <c r="R2655" s="80" t="s">
        <v>84</v>
      </c>
    </row>
    <row r="2656" spans="1:18" ht="20" x14ac:dyDescent="0.2">
      <c r="A2656" s="80" t="s">
        <v>6715</v>
      </c>
      <c r="B2656" s="80" t="s">
        <v>6716</v>
      </c>
      <c r="C2656" s="80" t="s">
        <v>84</v>
      </c>
      <c r="D2656" s="80" t="s">
        <v>84</v>
      </c>
      <c r="E2656" s="80" t="s">
        <v>84</v>
      </c>
      <c r="F2656" s="80"/>
      <c r="G2656" s="80" t="s">
        <v>84</v>
      </c>
      <c r="H2656" s="80" t="s">
        <v>84</v>
      </c>
      <c r="I2656" s="80" t="s">
        <v>84</v>
      </c>
      <c r="J2656" s="80" t="s">
        <v>84</v>
      </c>
      <c r="K2656" s="80" t="s">
        <v>84</v>
      </c>
      <c r="L2656" s="80" t="s">
        <v>84</v>
      </c>
      <c r="M2656" s="80" t="s">
        <v>84</v>
      </c>
      <c r="N2656" s="80" t="s">
        <v>84</v>
      </c>
      <c r="O2656" s="80" t="s">
        <v>84</v>
      </c>
      <c r="P2656" s="80"/>
      <c r="Q2656" s="80" t="s">
        <v>84</v>
      </c>
      <c r="R2656" s="80" t="s">
        <v>84</v>
      </c>
    </row>
    <row r="2657" spans="1:18" ht="20" x14ac:dyDescent="0.2">
      <c r="A2657" s="80" t="s">
        <v>6717</v>
      </c>
      <c r="B2657" s="80" t="s">
        <v>6718</v>
      </c>
      <c r="C2657" s="80" t="s">
        <v>84</v>
      </c>
      <c r="D2657" s="80" t="s">
        <v>84</v>
      </c>
      <c r="E2657" s="80" t="s">
        <v>84</v>
      </c>
      <c r="F2657" s="80"/>
      <c r="G2657" s="80" t="s">
        <v>84</v>
      </c>
      <c r="H2657" s="80" t="s">
        <v>84</v>
      </c>
      <c r="I2657" s="80" t="s">
        <v>84</v>
      </c>
      <c r="J2657" s="80" t="s">
        <v>84</v>
      </c>
      <c r="K2657" s="80" t="s">
        <v>84</v>
      </c>
      <c r="L2657" s="80" t="s">
        <v>84</v>
      </c>
      <c r="M2657" s="80" t="s">
        <v>84</v>
      </c>
      <c r="N2657" s="80" t="s">
        <v>84</v>
      </c>
      <c r="O2657" s="80" t="s">
        <v>84</v>
      </c>
      <c r="P2657" s="80"/>
      <c r="Q2657" s="80" t="s">
        <v>84</v>
      </c>
      <c r="R2657" s="80" t="s">
        <v>84</v>
      </c>
    </row>
    <row r="2658" spans="1:18" ht="20" x14ac:dyDescent="0.2">
      <c r="A2658" s="80" t="s">
        <v>1764</v>
      </c>
      <c r="B2658" s="80" t="s">
        <v>1765</v>
      </c>
      <c r="C2658" s="80" t="s">
        <v>9680</v>
      </c>
      <c r="D2658" s="80" t="s">
        <v>84</v>
      </c>
      <c r="E2658" s="80" t="s">
        <v>84</v>
      </c>
      <c r="F2658" s="80"/>
      <c r="G2658" s="80" t="s">
        <v>84</v>
      </c>
      <c r="H2658" s="80" t="s">
        <v>84</v>
      </c>
      <c r="I2658" s="80" t="s">
        <v>84</v>
      </c>
      <c r="J2658" s="80" t="s">
        <v>84</v>
      </c>
      <c r="K2658" s="80" t="s">
        <v>84</v>
      </c>
      <c r="L2658" s="80" t="s">
        <v>84</v>
      </c>
      <c r="M2658" s="80" t="s">
        <v>84</v>
      </c>
      <c r="N2658" s="80" t="s">
        <v>84</v>
      </c>
      <c r="O2658" s="80" t="s">
        <v>84</v>
      </c>
      <c r="P2658" s="80"/>
      <c r="Q2658" s="80" t="s">
        <v>84</v>
      </c>
      <c r="R2658" s="80" t="s">
        <v>84</v>
      </c>
    </row>
    <row r="2659" spans="1:18" ht="20" x14ac:dyDescent="0.2">
      <c r="A2659" s="80" t="s">
        <v>1764</v>
      </c>
      <c r="B2659" s="80" t="s">
        <v>2047</v>
      </c>
      <c r="C2659" s="80" t="s">
        <v>9680</v>
      </c>
      <c r="D2659" s="80" t="s">
        <v>84</v>
      </c>
      <c r="E2659" s="80" t="s">
        <v>84</v>
      </c>
      <c r="F2659" s="80"/>
      <c r="G2659" s="80" t="s">
        <v>84</v>
      </c>
      <c r="H2659" s="80" t="s">
        <v>84</v>
      </c>
      <c r="I2659" s="80" t="s">
        <v>84</v>
      </c>
      <c r="J2659" s="80" t="s">
        <v>84</v>
      </c>
      <c r="K2659" s="80" t="s">
        <v>84</v>
      </c>
      <c r="L2659" s="80" t="s">
        <v>84</v>
      </c>
      <c r="M2659" s="80" t="s">
        <v>84</v>
      </c>
      <c r="N2659" s="80" t="s">
        <v>84</v>
      </c>
      <c r="O2659" s="80" t="s">
        <v>84</v>
      </c>
      <c r="P2659" s="80"/>
      <c r="Q2659" s="80" t="s">
        <v>84</v>
      </c>
      <c r="R2659" s="80" t="s">
        <v>84</v>
      </c>
    </row>
    <row r="2660" spans="1:18" ht="20" x14ac:dyDescent="0.2">
      <c r="A2660" s="80" t="s">
        <v>2892</v>
      </c>
      <c r="B2660" s="80" t="s">
        <v>10686</v>
      </c>
      <c r="C2660" s="80" t="s">
        <v>9680</v>
      </c>
      <c r="D2660" s="80" t="s">
        <v>84</v>
      </c>
      <c r="E2660" s="80" t="s">
        <v>84</v>
      </c>
      <c r="F2660" s="80"/>
      <c r="G2660" s="80" t="s">
        <v>84</v>
      </c>
      <c r="H2660" s="80" t="s">
        <v>84</v>
      </c>
      <c r="I2660" s="80" t="s">
        <v>84</v>
      </c>
      <c r="J2660" s="80" t="s">
        <v>84</v>
      </c>
      <c r="K2660" s="80" t="s">
        <v>84</v>
      </c>
      <c r="L2660" s="80" t="s">
        <v>84</v>
      </c>
      <c r="M2660" s="80" t="s">
        <v>84</v>
      </c>
      <c r="N2660" s="80" t="s">
        <v>84</v>
      </c>
      <c r="O2660" s="80" t="s">
        <v>84</v>
      </c>
      <c r="P2660" s="80"/>
      <c r="Q2660" s="80" t="s">
        <v>84</v>
      </c>
      <c r="R2660" s="80" t="s">
        <v>84</v>
      </c>
    </row>
    <row r="2661" spans="1:18" ht="20" x14ac:dyDescent="0.2">
      <c r="A2661" s="80" t="s">
        <v>2892</v>
      </c>
      <c r="B2661" s="80" t="s">
        <v>2893</v>
      </c>
      <c r="C2661" s="80" t="s">
        <v>9680</v>
      </c>
      <c r="D2661" s="80" t="s">
        <v>84</v>
      </c>
      <c r="E2661" s="80" t="s">
        <v>84</v>
      </c>
      <c r="F2661" s="80"/>
      <c r="G2661" s="80" t="s">
        <v>84</v>
      </c>
      <c r="H2661" s="80" t="s">
        <v>84</v>
      </c>
      <c r="I2661" s="80" t="s">
        <v>84</v>
      </c>
      <c r="J2661" s="80" t="s">
        <v>84</v>
      </c>
      <c r="K2661" s="80" t="s">
        <v>84</v>
      </c>
      <c r="L2661" s="80" t="s">
        <v>84</v>
      </c>
      <c r="M2661" s="80" t="s">
        <v>84</v>
      </c>
      <c r="N2661" s="80" t="s">
        <v>84</v>
      </c>
      <c r="O2661" s="80" t="s">
        <v>84</v>
      </c>
      <c r="P2661" s="80"/>
      <c r="Q2661" s="80" t="s">
        <v>84</v>
      </c>
      <c r="R2661" s="80" t="s">
        <v>84</v>
      </c>
    </row>
    <row r="2662" spans="1:18" ht="20" x14ac:dyDescent="0.2">
      <c r="A2662" s="80" t="s">
        <v>982</v>
      </c>
      <c r="B2662" s="80" t="s">
        <v>10687</v>
      </c>
      <c r="C2662" s="80" t="s">
        <v>9680</v>
      </c>
      <c r="D2662" s="80" t="s">
        <v>84</v>
      </c>
      <c r="E2662" s="80" t="s">
        <v>84</v>
      </c>
      <c r="F2662" s="80"/>
      <c r="G2662" s="80" t="s">
        <v>84</v>
      </c>
      <c r="H2662" s="80" t="s">
        <v>84</v>
      </c>
      <c r="I2662" s="80" t="s">
        <v>84</v>
      </c>
      <c r="J2662" s="80" t="s">
        <v>84</v>
      </c>
      <c r="K2662" s="80" t="s">
        <v>84</v>
      </c>
      <c r="L2662" s="80" t="s">
        <v>84</v>
      </c>
      <c r="M2662" s="80" t="s">
        <v>84</v>
      </c>
      <c r="N2662" s="80" t="s">
        <v>84</v>
      </c>
      <c r="O2662" s="80" t="s">
        <v>84</v>
      </c>
      <c r="P2662" s="80"/>
      <c r="Q2662" s="80" t="s">
        <v>84</v>
      </c>
      <c r="R2662" s="80" t="s">
        <v>84</v>
      </c>
    </row>
    <row r="2663" spans="1:18" ht="20" x14ac:dyDescent="0.2">
      <c r="A2663" s="80" t="s">
        <v>982</v>
      </c>
      <c r="B2663" s="80" t="s">
        <v>983</v>
      </c>
      <c r="C2663" s="80" t="s">
        <v>9680</v>
      </c>
      <c r="D2663" s="80" t="s">
        <v>84</v>
      </c>
      <c r="E2663" s="80" t="s">
        <v>84</v>
      </c>
      <c r="F2663" s="80"/>
      <c r="G2663" s="80" t="s">
        <v>84</v>
      </c>
      <c r="H2663" s="80" t="s">
        <v>84</v>
      </c>
      <c r="I2663" s="80" t="s">
        <v>84</v>
      </c>
      <c r="J2663" s="80" t="s">
        <v>84</v>
      </c>
      <c r="K2663" s="80" t="s">
        <v>84</v>
      </c>
      <c r="L2663" s="80" t="s">
        <v>84</v>
      </c>
      <c r="M2663" s="80" t="s">
        <v>84</v>
      </c>
      <c r="N2663" s="80" t="s">
        <v>84</v>
      </c>
      <c r="O2663" s="80" t="s">
        <v>84</v>
      </c>
      <c r="P2663" s="80"/>
      <c r="Q2663" s="80" t="s">
        <v>84</v>
      </c>
      <c r="R2663" s="80" t="s">
        <v>84</v>
      </c>
    </row>
    <row r="2664" spans="1:18" ht="20" x14ac:dyDescent="0.2">
      <c r="A2664" s="80" t="s">
        <v>982</v>
      </c>
      <c r="B2664" s="80" t="s">
        <v>1226</v>
      </c>
      <c r="C2664" s="80" t="s">
        <v>9680</v>
      </c>
      <c r="D2664" s="80" t="s">
        <v>84</v>
      </c>
      <c r="E2664" s="80" t="s">
        <v>84</v>
      </c>
      <c r="F2664" s="80"/>
      <c r="G2664" s="80" t="s">
        <v>84</v>
      </c>
      <c r="H2664" s="80" t="s">
        <v>84</v>
      </c>
      <c r="I2664" s="80" t="s">
        <v>84</v>
      </c>
      <c r="J2664" s="80" t="s">
        <v>84</v>
      </c>
      <c r="K2664" s="80" t="s">
        <v>84</v>
      </c>
      <c r="L2664" s="80" t="s">
        <v>84</v>
      </c>
      <c r="M2664" s="80" t="s">
        <v>84</v>
      </c>
      <c r="N2664" s="80" t="s">
        <v>84</v>
      </c>
      <c r="O2664" s="80" t="s">
        <v>84</v>
      </c>
      <c r="P2664" s="80"/>
      <c r="Q2664" s="80" t="s">
        <v>84</v>
      </c>
      <c r="R2664" s="80" t="s">
        <v>84</v>
      </c>
    </row>
    <row r="2665" spans="1:18" ht="20" x14ac:dyDescent="0.2">
      <c r="A2665" s="80" t="s">
        <v>3579</v>
      </c>
      <c r="B2665" s="80" t="s">
        <v>3580</v>
      </c>
      <c r="C2665" s="80" t="s">
        <v>9680</v>
      </c>
      <c r="D2665" s="80" t="s">
        <v>84</v>
      </c>
      <c r="E2665" s="80" t="s">
        <v>84</v>
      </c>
      <c r="F2665" s="80"/>
      <c r="G2665" s="80" t="s">
        <v>84</v>
      </c>
      <c r="H2665" s="80" t="s">
        <v>84</v>
      </c>
      <c r="I2665" s="80" t="s">
        <v>84</v>
      </c>
      <c r="J2665" s="80" t="s">
        <v>84</v>
      </c>
      <c r="K2665" s="80" t="s">
        <v>84</v>
      </c>
      <c r="L2665" s="80" t="s">
        <v>84</v>
      </c>
      <c r="M2665" s="80" t="s">
        <v>84</v>
      </c>
      <c r="N2665" s="80" t="s">
        <v>84</v>
      </c>
      <c r="O2665" s="80" t="s">
        <v>84</v>
      </c>
      <c r="P2665" s="80"/>
      <c r="Q2665" s="80" t="s">
        <v>84</v>
      </c>
      <c r="R2665" s="80" t="s">
        <v>84</v>
      </c>
    </row>
    <row r="2666" spans="1:18" ht="20" x14ac:dyDescent="0.2">
      <c r="A2666" s="80" t="s">
        <v>3317</v>
      </c>
      <c r="B2666" s="80" t="s">
        <v>3318</v>
      </c>
      <c r="C2666" s="80" t="s">
        <v>9680</v>
      </c>
      <c r="D2666" s="80" t="s">
        <v>84</v>
      </c>
      <c r="E2666" s="80" t="s">
        <v>84</v>
      </c>
      <c r="F2666" s="80"/>
      <c r="G2666" s="80" t="s">
        <v>84</v>
      </c>
      <c r="H2666" s="80" t="s">
        <v>84</v>
      </c>
      <c r="I2666" s="80" t="s">
        <v>84</v>
      </c>
      <c r="J2666" s="80" t="s">
        <v>84</v>
      </c>
      <c r="K2666" s="80" t="s">
        <v>84</v>
      </c>
      <c r="L2666" s="80" t="s">
        <v>84</v>
      </c>
      <c r="M2666" s="80" t="s">
        <v>84</v>
      </c>
      <c r="N2666" s="80" t="s">
        <v>84</v>
      </c>
      <c r="O2666" s="80" t="s">
        <v>84</v>
      </c>
      <c r="P2666" s="80"/>
      <c r="Q2666" s="80" t="s">
        <v>84</v>
      </c>
      <c r="R2666" s="80" t="s">
        <v>84</v>
      </c>
    </row>
    <row r="2667" spans="1:18" ht="20" x14ac:dyDescent="0.2">
      <c r="A2667" s="80" t="s">
        <v>3317</v>
      </c>
      <c r="B2667" s="80" t="s">
        <v>3583</v>
      </c>
      <c r="C2667" s="80" t="s">
        <v>9680</v>
      </c>
      <c r="D2667" s="80" t="s">
        <v>84</v>
      </c>
      <c r="E2667" s="80" t="s">
        <v>84</v>
      </c>
      <c r="F2667" s="80"/>
      <c r="G2667" s="80" t="s">
        <v>84</v>
      </c>
      <c r="H2667" s="80" t="s">
        <v>84</v>
      </c>
      <c r="I2667" s="80" t="s">
        <v>84</v>
      </c>
      <c r="J2667" s="80" t="s">
        <v>84</v>
      </c>
      <c r="K2667" s="80" t="s">
        <v>84</v>
      </c>
      <c r="L2667" s="80" t="s">
        <v>84</v>
      </c>
      <c r="M2667" s="80" t="s">
        <v>84</v>
      </c>
      <c r="N2667" s="80" t="s">
        <v>84</v>
      </c>
      <c r="O2667" s="80" t="s">
        <v>84</v>
      </c>
      <c r="P2667" s="80"/>
      <c r="Q2667" s="80" t="s">
        <v>84</v>
      </c>
      <c r="R2667" s="80" t="s">
        <v>84</v>
      </c>
    </row>
    <row r="2668" spans="1:18" ht="20" x14ac:dyDescent="0.2">
      <c r="A2668" s="80" t="s">
        <v>3594</v>
      </c>
      <c r="B2668" s="80" t="s">
        <v>10688</v>
      </c>
      <c r="C2668" s="80" t="s">
        <v>9680</v>
      </c>
      <c r="D2668" s="80" t="s">
        <v>84</v>
      </c>
      <c r="E2668" s="80" t="s">
        <v>84</v>
      </c>
      <c r="F2668" s="80"/>
      <c r="G2668" s="80" t="s">
        <v>84</v>
      </c>
      <c r="H2668" s="80" t="s">
        <v>84</v>
      </c>
      <c r="I2668" s="80" t="s">
        <v>84</v>
      </c>
      <c r="J2668" s="80" t="s">
        <v>84</v>
      </c>
      <c r="K2668" s="80" t="s">
        <v>84</v>
      </c>
      <c r="L2668" s="80" t="s">
        <v>84</v>
      </c>
      <c r="M2668" s="80" t="s">
        <v>84</v>
      </c>
      <c r="N2668" s="80" t="s">
        <v>84</v>
      </c>
      <c r="O2668" s="80" t="s">
        <v>84</v>
      </c>
      <c r="P2668" s="80"/>
      <c r="Q2668" s="80" t="s">
        <v>84</v>
      </c>
      <c r="R2668" s="80" t="s">
        <v>84</v>
      </c>
    </row>
    <row r="2669" spans="1:18" ht="20" x14ac:dyDescent="0.2">
      <c r="A2669" s="80" t="s">
        <v>3594</v>
      </c>
      <c r="B2669" s="80" t="s">
        <v>3595</v>
      </c>
      <c r="C2669" s="80" t="s">
        <v>9680</v>
      </c>
      <c r="D2669" s="80" t="s">
        <v>84</v>
      </c>
      <c r="E2669" s="80" t="s">
        <v>84</v>
      </c>
      <c r="F2669" s="80"/>
      <c r="G2669" s="80" t="s">
        <v>84</v>
      </c>
      <c r="H2669" s="80" t="s">
        <v>84</v>
      </c>
      <c r="I2669" s="80" t="s">
        <v>84</v>
      </c>
      <c r="J2669" s="80" t="s">
        <v>84</v>
      </c>
      <c r="K2669" s="80" t="s">
        <v>84</v>
      </c>
      <c r="L2669" s="80" t="s">
        <v>84</v>
      </c>
      <c r="M2669" s="80" t="s">
        <v>84</v>
      </c>
      <c r="N2669" s="80" t="s">
        <v>84</v>
      </c>
      <c r="O2669" s="80" t="s">
        <v>84</v>
      </c>
      <c r="P2669" s="80"/>
      <c r="Q2669" s="80" t="s">
        <v>84</v>
      </c>
      <c r="R2669" s="80" t="s">
        <v>84</v>
      </c>
    </row>
    <row r="2670" spans="1:18" ht="20" x14ac:dyDescent="0.2">
      <c r="A2670" s="80" t="s">
        <v>1669</v>
      </c>
      <c r="B2670" s="80" t="s">
        <v>1670</v>
      </c>
      <c r="C2670" s="80" t="s">
        <v>9680</v>
      </c>
      <c r="D2670" s="80" t="s">
        <v>84</v>
      </c>
      <c r="E2670" s="80" t="s">
        <v>84</v>
      </c>
      <c r="F2670" s="80"/>
      <c r="G2670" s="80" t="s">
        <v>84</v>
      </c>
      <c r="H2670" s="80" t="s">
        <v>84</v>
      </c>
      <c r="I2670" s="80" t="s">
        <v>84</v>
      </c>
      <c r="J2670" s="80" t="s">
        <v>84</v>
      </c>
      <c r="K2670" s="80" t="s">
        <v>84</v>
      </c>
      <c r="L2670" s="80" t="s">
        <v>84</v>
      </c>
      <c r="M2670" s="80" t="s">
        <v>84</v>
      </c>
      <c r="N2670" s="80" t="s">
        <v>84</v>
      </c>
      <c r="O2670" s="80" t="s">
        <v>84</v>
      </c>
      <c r="P2670" s="80"/>
      <c r="Q2670" s="80" t="s">
        <v>84</v>
      </c>
      <c r="R2670" s="80" t="s">
        <v>84</v>
      </c>
    </row>
    <row r="2671" spans="1:18" ht="20" x14ac:dyDescent="0.2">
      <c r="A2671" s="80" t="s">
        <v>1247</v>
      </c>
      <c r="B2671" s="80" t="s">
        <v>1248</v>
      </c>
      <c r="C2671" s="80" t="s">
        <v>9680</v>
      </c>
      <c r="D2671" s="80" t="s">
        <v>9680</v>
      </c>
      <c r="E2671" s="80" t="s">
        <v>9680</v>
      </c>
      <c r="F2671" s="80"/>
      <c r="G2671" s="80" t="s">
        <v>9680</v>
      </c>
      <c r="H2671" s="80" t="s">
        <v>9680</v>
      </c>
      <c r="I2671" s="80" t="s">
        <v>9680</v>
      </c>
      <c r="J2671" s="80" t="s">
        <v>84</v>
      </c>
      <c r="K2671" s="80" t="s">
        <v>9680</v>
      </c>
      <c r="L2671" s="80" t="s">
        <v>9680</v>
      </c>
      <c r="M2671" s="80" t="s">
        <v>84</v>
      </c>
      <c r="N2671" s="80" t="s">
        <v>9680</v>
      </c>
      <c r="O2671" s="80" t="s">
        <v>84</v>
      </c>
      <c r="P2671" s="80"/>
      <c r="Q2671" s="80" t="s">
        <v>84</v>
      </c>
      <c r="R2671" s="80" t="s">
        <v>84</v>
      </c>
    </row>
    <row r="2672" spans="1:18" ht="20" x14ac:dyDescent="0.2">
      <c r="A2672" s="80" t="s">
        <v>1247</v>
      </c>
      <c r="B2672" s="80" t="s">
        <v>10689</v>
      </c>
      <c r="C2672" s="80" t="s">
        <v>9680</v>
      </c>
      <c r="D2672" s="80" t="s">
        <v>9680</v>
      </c>
      <c r="E2672" s="80" t="s">
        <v>9680</v>
      </c>
      <c r="F2672" s="80"/>
      <c r="G2672" s="80" t="s">
        <v>9680</v>
      </c>
      <c r="H2672" s="80" t="s">
        <v>9680</v>
      </c>
      <c r="I2672" s="80" t="s">
        <v>9680</v>
      </c>
      <c r="J2672" s="80" t="s">
        <v>84</v>
      </c>
      <c r="K2672" s="80" t="s">
        <v>9680</v>
      </c>
      <c r="L2672" s="80" t="s">
        <v>9680</v>
      </c>
      <c r="M2672" s="80" t="s">
        <v>84</v>
      </c>
      <c r="N2672" s="80" t="s">
        <v>9680</v>
      </c>
      <c r="O2672" s="80" t="s">
        <v>84</v>
      </c>
      <c r="P2672" s="80"/>
      <c r="Q2672" s="80" t="s">
        <v>84</v>
      </c>
      <c r="R2672" s="80" t="s">
        <v>84</v>
      </c>
    </row>
    <row r="2673" spans="1:18" ht="20" x14ac:dyDescent="0.2">
      <c r="A2673" s="80" t="s">
        <v>1681</v>
      </c>
      <c r="B2673" s="80" t="s">
        <v>1682</v>
      </c>
      <c r="C2673" s="80" t="s">
        <v>9680</v>
      </c>
      <c r="D2673" s="80" t="s">
        <v>84</v>
      </c>
      <c r="E2673" s="80" t="s">
        <v>84</v>
      </c>
      <c r="F2673" s="80"/>
      <c r="G2673" s="80" t="s">
        <v>84</v>
      </c>
      <c r="H2673" s="80" t="s">
        <v>84</v>
      </c>
      <c r="I2673" s="80" t="s">
        <v>84</v>
      </c>
      <c r="J2673" s="80" t="s">
        <v>84</v>
      </c>
      <c r="K2673" s="80" t="s">
        <v>84</v>
      </c>
      <c r="L2673" s="80" t="s">
        <v>84</v>
      </c>
      <c r="M2673" s="80" t="s">
        <v>84</v>
      </c>
      <c r="N2673" s="80" t="s">
        <v>84</v>
      </c>
      <c r="O2673" s="80" t="s">
        <v>84</v>
      </c>
      <c r="P2673" s="80"/>
      <c r="Q2673" s="80" t="s">
        <v>84</v>
      </c>
      <c r="R2673" s="80" t="s">
        <v>84</v>
      </c>
    </row>
    <row r="2674" spans="1:18" ht="20" x14ac:dyDescent="0.2">
      <c r="A2674" s="80" t="s">
        <v>1681</v>
      </c>
      <c r="B2674" s="80" t="s">
        <v>10690</v>
      </c>
      <c r="C2674" s="80" t="s">
        <v>9680</v>
      </c>
      <c r="D2674" s="80" t="s">
        <v>84</v>
      </c>
      <c r="E2674" s="80" t="s">
        <v>84</v>
      </c>
      <c r="F2674" s="80"/>
      <c r="G2674" s="80" t="s">
        <v>84</v>
      </c>
      <c r="H2674" s="80" t="s">
        <v>84</v>
      </c>
      <c r="I2674" s="80" t="s">
        <v>84</v>
      </c>
      <c r="J2674" s="80" t="s">
        <v>84</v>
      </c>
      <c r="K2674" s="80" t="s">
        <v>84</v>
      </c>
      <c r="L2674" s="80" t="s">
        <v>84</v>
      </c>
      <c r="M2674" s="80" t="s">
        <v>84</v>
      </c>
      <c r="N2674" s="80" t="s">
        <v>84</v>
      </c>
      <c r="O2674" s="80" t="s">
        <v>84</v>
      </c>
      <c r="P2674" s="80"/>
      <c r="Q2674" s="80" t="s">
        <v>84</v>
      </c>
      <c r="R2674" s="80" t="s">
        <v>84</v>
      </c>
    </row>
    <row r="2675" spans="1:18" ht="20" x14ac:dyDescent="0.2">
      <c r="A2675" s="80" t="s">
        <v>1689</v>
      </c>
      <c r="B2675" s="80" t="s">
        <v>1690</v>
      </c>
      <c r="C2675" s="80" t="s">
        <v>9680</v>
      </c>
      <c r="D2675" s="80" t="s">
        <v>84</v>
      </c>
      <c r="E2675" s="80" t="s">
        <v>84</v>
      </c>
      <c r="F2675" s="80"/>
      <c r="G2675" s="80" t="s">
        <v>84</v>
      </c>
      <c r="H2675" s="80" t="s">
        <v>84</v>
      </c>
      <c r="I2675" s="80" t="s">
        <v>84</v>
      </c>
      <c r="J2675" s="80" t="s">
        <v>84</v>
      </c>
      <c r="K2675" s="80" t="s">
        <v>84</v>
      </c>
      <c r="L2675" s="80" t="s">
        <v>84</v>
      </c>
      <c r="M2675" s="80" t="s">
        <v>84</v>
      </c>
      <c r="N2675" s="80" t="s">
        <v>84</v>
      </c>
      <c r="O2675" s="80" t="s">
        <v>84</v>
      </c>
      <c r="P2675" s="80"/>
      <c r="Q2675" s="80" t="s">
        <v>84</v>
      </c>
      <c r="R2675" s="80" t="s">
        <v>84</v>
      </c>
    </row>
    <row r="2676" spans="1:18" ht="20" x14ac:dyDescent="0.2">
      <c r="A2676" s="80" t="s">
        <v>1689</v>
      </c>
      <c r="B2676" s="80" t="s">
        <v>10691</v>
      </c>
      <c r="C2676" s="80" t="s">
        <v>9680</v>
      </c>
      <c r="D2676" s="80" t="s">
        <v>84</v>
      </c>
      <c r="E2676" s="80" t="s">
        <v>84</v>
      </c>
      <c r="F2676" s="80"/>
      <c r="G2676" s="80" t="s">
        <v>84</v>
      </c>
      <c r="H2676" s="80" t="s">
        <v>84</v>
      </c>
      <c r="I2676" s="80" t="s">
        <v>84</v>
      </c>
      <c r="J2676" s="80" t="s">
        <v>84</v>
      </c>
      <c r="K2676" s="80" t="s">
        <v>84</v>
      </c>
      <c r="L2676" s="80" t="s">
        <v>84</v>
      </c>
      <c r="M2676" s="80" t="s">
        <v>84</v>
      </c>
      <c r="N2676" s="80" t="s">
        <v>84</v>
      </c>
      <c r="O2676" s="80" t="s">
        <v>84</v>
      </c>
      <c r="P2676" s="80"/>
      <c r="Q2676" s="80" t="s">
        <v>84</v>
      </c>
      <c r="R2676" s="80" t="s">
        <v>84</v>
      </c>
    </row>
    <row r="2677" spans="1:18" ht="20" x14ac:dyDescent="0.2">
      <c r="A2677" s="80" t="s">
        <v>3007</v>
      </c>
      <c r="B2677" s="80" t="s">
        <v>3008</v>
      </c>
      <c r="C2677" s="80" t="s">
        <v>9680</v>
      </c>
      <c r="D2677" s="80" t="s">
        <v>84</v>
      </c>
      <c r="E2677" s="80" t="s">
        <v>84</v>
      </c>
      <c r="F2677" s="80"/>
      <c r="G2677" s="80" t="s">
        <v>84</v>
      </c>
      <c r="H2677" s="80" t="s">
        <v>84</v>
      </c>
      <c r="I2677" s="80" t="s">
        <v>84</v>
      </c>
      <c r="J2677" s="80" t="s">
        <v>84</v>
      </c>
      <c r="K2677" s="80" t="s">
        <v>84</v>
      </c>
      <c r="L2677" s="80" t="s">
        <v>84</v>
      </c>
      <c r="M2677" s="80" t="s">
        <v>84</v>
      </c>
      <c r="N2677" s="80" t="s">
        <v>84</v>
      </c>
      <c r="O2677" s="80" t="s">
        <v>84</v>
      </c>
      <c r="P2677" s="80"/>
      <c r="Q2677" s="80" t="s">
        <v>84</v>
      </c>
      <c r="R2677" s="80" t="s">
        <v>84</v>
      </c>
    </row>
    <row r="2678" spans="1:18" ht="20" x14ac:dyDescent="0.2">
      <c r="A2678" s="80" t="s">
        <v>2879</v>
      </c>
      <c r="B2678" s="80" t="s">
        <v>2880</v>
      </c>
      <c r="C2678" s="80" t="s">
        <v>9680</v>
      </c>
      <c r="D2678" s="80" t="s">
        <v>9680</v>
      </c>
      <c r="E2678" s="80" t="s">
        <v>9680</v>
      </c>
      <c r="F2678" s="80"/>
      <c r="G2678" s="80" t="s">
        <v>9680</v>
      </c>
      <c r="H2678" s="80" t="s">
        <v>9680</v>
      </c>
      <c r="I2678" s="80" t="s">
        <v>9680</v>
      </c>
      <c r="J2678" s="80" t="s">
        <v>84</v>
      </c>
      <c r="K2678" s="80" t="s">
        <v>9680</v>
      </c>
      <c r="L2678" s="80" t="s">
        <v>9680</v>
      </c>
      <c r="M2678" s="80" t="s">
        <v>84</v>
      </c>
      <c r="N2678" s="80" t="s">
        <v>9680</v>
      </c>
      <c r="O2678" s="80" t="s">
        <v>84</v>
      </c>
      <c r="P2678" s="80"/>
      <c r="Q2678" s="80" t="s">
        <v>84</v>
      </c>
      <c r="R2678" s="80" t="s">
        <v>84</v>
      </c>
    </row>
    <row r="2679" spans="1:18" ht="20" x14ac:dyDescent="0.2">
      <c r="A2679" s="80" t="s">
        <v>2879</v>
      </c>
      <c r="B2679" s="80" t="s">
        <v>10692</v>
      </c>
      <c r="C2679" s="80" t="s">
        <v>9680</v>
      </c>
      <c r="D2679" s="80" t="s">
        <v>9680</v>
      </c>
      <c r="E2679" s="80" t="s">
        <v>9680</v>
      </c>
      <c r="F2679" s="80"/>
      <c r="G2679" s="80" t="s">
        <v>9680</v>
      </c>
      <c r="H2679" s="80" t="s">
        <v>9680</v>
      </c>
      <c r="I2679" s="80" t="s">
        <v>9680</v>
      </c>
      <c r="J2679" s="80" t="s">
        <v>84</v>
      </c>
      <c r="K2679" s="80" t="s">
        <v>9680</v>
      </c>
      <c r="L2679" s="80" t="s">
        <v>9680</v>
      </c>
      <c r="M2679" s="80" t="s">
        <v>84</v>
      </c>
      <c r="N2679" s="80" t="s">
        <v>9680</v>
      </c>
      <c r="O2679" s="80" t="s">
        <v>84</v>
      </c>
      <c r="P2679" s="80"/>
      <c r="Q2679" s="80" t="s">
        <v>84</v>
      </c>
      <c r="R2679" s="80" t="s">
        <v>84</v>
      </c>
    </row>
    <row r="2680" spans="1:18" ht="20" x14ac:dyDescent="0.2">
      <c r="A2680" s="80" t="s">
        <v>2402</v>
      </c>
      <c r="B2680" s="80" t="s">
        <v>2403</v>
      </c>
      <c r="C2680" s="80" t="s">
        <v>9680</v>
      </c>
      <c r="D2680" s="80" t="s">
        <v>84</v>
      </c>
      <c r="E2680" s="80" t="s">
        <v>84</v>
      </c>
      <c r="F2680" s="80"/>
      <c r="G2680" s="80" t="s">
        <v>84</v>
      </c>
      <c r="H2680" s="80" t="s">
        <v>84</v>
      </c>
      <c r="I2680" s="80" t="s">
        <v>84</v>
      </c>
      <c r="J2680" s="80" t="s">
        <v>84</v>
      </c>
      <c r="K2680" s="80" t="s">
        <v>84</v>
      </c>
      <c r="L2680" s="80" t="s">
        <v>84</v>
      </c>
      <c r="M2680" s="80" t="s">
        <v>84</v>
      </c>
      <c r="N2680" s="80" t="s">
        <v>84</v>
      </c>
      <c r="O2680" s="80" t="s">
        <v>84</v>
      </c>
      <c r="P2680" s="80"/>
      <c r="Q2680" s="80" t="s">
        <v>84</v>
      </c>
      <c r="R2680" s="80" t="s">
        <v>84</v>
      </c>
    </row>
    <row r="2681" spans="1:18" ht="20" x14ac:dyDescent="0.2">
      <c r="A2681" s="80" t="s">
        <v>2888</v>
      </c>
      <c r="B2681" s="80" t="s">
        <v>2889</v>
      </c>
      <c r="C2681" s="80" t="s">
        <v>9680</v>
      </c>
      <c r="D2681" s="80" t="s">
        <v>84</v>
      </c>
      <c r="E2681" s="80" t="s">
        <v>84</v>
      </c>
      <c r="F2681" s="80"/>
      <c r="G2681" s="80" t="s">
        <v>84</v>
      </c>
      <c r="H2681" s="80" t="s">
        <v>84</v>
      </c>
      <c r="I2681" s="80" t="s">
        <v>84</v>
      </c>
      <c r="J2681" s="80" t="s">
        <v>84</v>
      </c>
      <c r="K2681" s="80" t="s">
        <v>84</v>
      </c>
      <c r="L2681" s="80" t="s">
        <v>84</v>
      </c>
      <c r="M2681" s="80" t="s">
        <v>84</v>
      </c>
      <c r="N2681" s="80" t="s">
        <v>84</v>
      </c>
      <c r="O2681" s="80" t="s">
        <v>84</v>
      </c>
      <c r="P2681" s="80"/>
      <c r="Q2681" s="80" t="s">
        <v>84</v>
      </c>
      <c r="R2681" s="80" t="s">
        <v>84</v>
      </c>
    </row>
    <row r="2682" spans="1:18" ht="20" x14ac:dyDescent="0.2">
      <c r="A2682" s="80" t="s">
        <v>2888</v>
      </c>
      <c r="B2682" s="80" t="s">
        <v>2891</v>
      </c>
      <c r="C2682" s="80" t="s">
        <v>9680</v>
      </c>
      <c r="D2682" s="80" t="s">
        <v>84</v>
      </c>
      <c r="E2682" s="80" t="s">
        <v>84</v>
      </c>
      <c r="F2682" s="80"/>
      <c r="G2682" s="80" t="s">
        <v>84</v>
      </c>
      <c r="H2682" s="80" t="s">
        <v>84</v>
      </c>
      <c r="I2682" s="80" t="s">
        <v>84</v>
      </c>
      <c r="J2682" s="80" t="s">
        <v>84</v>
      </c>
      <c r="K2682" s="80" t="s">
        <v>84</v>
      </c>
      <c r="L2682" s="80" t="s">
        <v>84</v>
      </c>
      <c r="M2682" s="80" t="s">
        <v>84</v>
      </c>
      <c r="N2682" s="80" t="s">
        <v>84</v>
      </c>
      <c r="O2682" s="80" t="s">
        <v>84</v>
      </c>
      <c r="P2682" s="80"/>
      <c r="Q2682" s="80" t="s">
        <v>84</v>
      </c>
      <c r="R2682" s="80" t="s">
        <v>84</v>
      </c>
    </row>
    <row r="2683" spans="1:18" ht="20" x14ac:dyDescent="0.2">
      <c r="A2683" s="80" t="s">
        <v>2683</v>
      </c>
      <c r="B2683" s="80" t="s">
        <v>2684</v>
      </c>
      <c r="C2683" s="80" t="s">
        <v>9680</v>
      </c>
      <c r="D2683" s="80" t="s">
        <v>84</v>
      </c>
      <c r="E2683" s="80" t="s">
        <v>84</v>
      </c>
      <c r="F2683" s="80"/>
      <c r="G2683" s="80" t="s">
        <v>84</v>
      </c>
      <c r="H2683" s="80" t="s">
        <v>84</v>
      </c>
      <c r="I2683" s="80" t="s">
        <v>84</v>
      </c>
      <c r="J2683" s="80" t="s">
        <v>84</v>
      </c>
      <c r="K2683" s="80" t="s">
        <v>84</v>
      </c>
      <c r="L2683" s="80" t="s">
        <v>84</v>
      </c>
      <c r="M2683" s="80" t="s">
        <v>84</v>
      </c>
      <c r="N2683" s="80" t="s">
        <v>84</v>
      </c>
      <c r="O2683" s="80" t="s">
        <v>84</v>
      </c>
      <c r="P2683" s="80"/>
      <c r="Q2683" s="80" t="s">
        <v>84</v>
      </c>
      <c r="R2683" s="80" t="s">
        <v>84</v>
      </c>
    </row>
    <row r="2684" spans="1:18" ht="20" x14ac:dyDescent="0.2">
      <c r="A2684" s="80" t="s">
        <v>2683</v>
      </c>
      <c r="B2684" s="80" t="s">
        <v>2714</v>
      </c>
      <c r="C2684" s="80" t="s">
        <v>9680</v>
      </c>
      <c r="D2684" s="80" t="s">
        <v>84</v>
      </c>
      <c r="E2684" s="80" t="s">
        <v>84</v>
      </c>
      <c r="F2684" s="80"/>
      <c r="G2684" s="80" t="s">
        <v>84</v>
      </c>
      <c r="H2684" s="80" t="s">
        <v>84</v>
      </c>
      <c r="I2684" s="80" t="s">
        <v>84</v>
      </c>
      <c r="J2684" s="80" t="s">
        <v>84</v>
      </c>
      <c r="K2684" s="80" t="s">
        <v>84</v>
      </c>
      <c r="L2684" s="80" t="s">
        <v>84</v>
      </c>
      <c r="M2684" s="80" t="s">
        <v>84</v>
      </c>
      <c r="N2684" s="80" t="s">
        <v>84</v>
      </c>
      <c r="O2684" s="80" t="s">
        <v>84</v>
      </c>
      <c r="P2684" s="80"/>
      <c r="Q2684" s="80" t="s">
        <v>84</v>
      </c>
      <c r="R2684" s="80" t="s">
        <v>84</v>
      </c>
    </row>
    <row r="2685" spans="1:18" ht="20" x14ac:dyDescent="0.2">
      <c r="A2685" s="80" t="s">
        <v>1749</v>
      </c>
      <c r="B2685" s="80" t="s">
        <v>1750</v>
      </c>
      <c r="C2685" s="80" t="s">
        <v>9680</v>
      </c>
      <c r="D2685" s="80" t="s">
        <v>84</v>
      </c>
      <c r="E2685" s="80" t="s">
        <v>84</v>
      </c>
      <c r="F2685" s="80"/>
      <c r="G2685" s="80" t="s">
        <v>84</v>
      </c>
      <c r="H2685" s="80" t="s">
        <v>84</v>
      </c>
      <c r="I2685" s="80" t="s">
        <v>84</v>
      </c>
      <c r="J2685" s="80" t="s">
        <v>84</v>
      </c>
      <c r="K2685" s="80" t="s">
        <v>84</v>
      </c>
      <c r="L2685" s="80" t="s">
        <v>84</v>
      </c>
      <c r="M2685" s="80" t="s">
        <v>84</v>
      </c>
      <c r="N2685" s="80" t="s">
        <v>84</v>
      </c>
      <c r="O2685" s="80" t="s">
        <v>84</v>
      </c>
      <c r="P2685" s="80"/>
      <c r="Q2685" s="80" t="s">
        <v>84</v>
      </c>
      <c r="R2685" s="80" t="s">
        <v>84</v>
      </c>
    </row>
    <row r="2686" spans="1:18" ht="20" x14ac:dyDescent="0.2">
      <c r="A2686" s="80" t="s">
        <v>1749</v>
      </c>
      <c r="B2686" s="80" t="s">
        <v>2021</v>
      </c>
      <c r="C2686" s="80" t="s">
        <v>9680</v>
      </c>
      <c r="D2686" s="80" t="s">
        <v>84</v>
      </c>
      <c r="E2686" s="80" t="s">
        <v>84</v>
      </c>
      <c r="F2686" s="80"/>
      <c r="G2686" s="80" t="s">
        <v>84</v>
      </c>
      <c r="H2686" s="80" t="s">
        <v>84</v>
      </c>
      <c r="I2686" s="80" t="s">
        <v>84</v>
      </c>
      <c r="J2686" s="80" t="s">
        <v>84</v>
      </c>
      <c r="K2686" s="80" t="s">
        <v>84</v>
      </c>
      <c r="L2686" s="80" t="s">
        <v>84</v>
      </c>
      <c r="M2686" s="80" t="s">
        <v>84</v>
      </c>
      <c r="N2686" s="80" t="s">
        <v>84</v>
      </c>
      <c r="O2686" s="80" t="s">
        <v>84</v>
      </c>
      <c r="P2686" s="80"/>
      <c r="Q2686" s="80" t="s">
        <v>84</v>
      </c>
      <c r="R2686" s="80" t="s">
        <v>84</v>
      </c>
    </row>
    <row r="2687" spans="1:18" ht="20" x14ac:dyDescent="0.2">
      <c r="A2687" s="80" t="s">
        <v>1747</v>
      </c>
      <c r="B2687" s="80" t="s">
        <v>1748</v>
      </c>
      <c r="C2687" s="80" t="s">
        <v>9680</v>
      </c>
      <c r="D2687" s="80" t="s">
        <v>84</v>
      </c>
      <c r="E2687" s="80" t="s">
        <v>84</v>
      </c>
      <c r="F2687" s="80"/>
      <c r="G2687" s="80" t="s">
        <v>84</v>
      </c>
      <c r="H2687" s="80" t="s">
        <v>84</v>
      </c>
      <c r="I2687" s="80" t="s">
        <v>84</v>
      </c>
      <c r="J2687" s="80" t="s">
        <v>84</v>
      </c>
      <c r="K2687" s="80" t="s">
        <v>84</v>
      </c>
      <c r="L2687" s="80" t="s">
        <v>84</v>
      </c>
      <c r="M2687" s="80" t="s">
        <v>84</v>
      </c>
      <c r="N2687" s="80" t="s">
        <v>84</v>
      </c>
      <c r="O2687" s="80" t="s">
        <v>84</v>
      </c>
      <c r="P2687" s="80"/>
      <c r="Q2687" s="80" t="s">
        <v>84</v>
      </c>
      <c r="R2687" s="80" t="s">
        <v>84</v>
      </c>
    </row>
    <row r="2688" spans="1:18" ht="20" x14ac:dyDescent="0.2">
      <c r="A2688" s="80" t="s">
        <v>1747</v>
      </c>
      <c r="B2688" s="80" t="s">
        <v>2044</v>
      </c>
      <c r="C2688" s="80" t="s">
        <v>9680</v>
      </c>
      <c r="D2688" s="80" t="s">
        <v>84</v>
      </c>
      <c r="E2688" s="80" t="s">
        <v>84</v>
      </c>
      <c r="F2688" s="80"/>
      <c r="G2688" s="80" t="s">
        <v>84</v>
      </c>
      <c r="H2688" s="80" t="s">
        <v>84</v>
      </c>
      <c r="I2688" s="80" t="s">
        <v>84</v>
      </c>
      <c r="J2688" s="80" t="s">
        <v>84</v>
      </c>
      <c r="K2688" s="80" t="s">
        <v>84</v>
      </c>
      <c r="L2688" s="80" t="s">
        <v>84</v>
      </c>
      <c r="M2688" s="80" t="s">
        <v>84</v>
      </c>
      <c r="N2688" s="80" t="s">
        <v>84</v>
      </c>
      <c r="O2688" s="80" t="s">
        <v>84</v>
      </c>
      <c r="P2688" s="80"/>
      <c r="Q2688" s="80" t="s">
        <v>84</v>
      </c>
      <c r="R2688" s="80" t="s">
        <v>84</v>
      </c>
    </row>
    <row r="2689" spans="1:18" ht="20" x14ac:dyDescent="0.2">
      <c r="A2689" s="80" t="s">
        <v>2730</v>
      </c>
      <c r="B2689" s="80" t="s">
        <v>2729</v>
      </c>
      <c r="C2689" s="80" t="s">
        <v>9680</v>
      </c>
      <c r="D2689" s="80" t="s">
        <v>84</v>
      </c>
      <c r="E2689" s="80" t="s">
        <v>84</v>
      </c>
      <c r="F2689" s="80"/>
      <c r="G2689" s="80" t="s">
        <v>84</v>
      </c>
      <c r="H2689" s="80" t="s">
        <v>84</v>
      </c>
      <c r="I2689" s="80" t="s">
        <v>84</v>
      </c>
      <c r="J2689" s="80" t="s">
        <v>84</v>
      </c>
      <c r="K2689" s="80" t="s">
        <v>84</v>
      </c>
      <c r="L2689" s="80" t="s">
        <v>84</v>
      </c>
      <c r="M2689" s="80" t="s">
        <v>84</v>
      </c>
      <c r="N2689" s="80" t="s">
        <v>84</v>
      </c>
      <c r="O2689" s="80" t="s">
        <v>84</v>
      </c>
      <c r="P2689" s="80"/>
      <c r="Q2689" s="80" t="s">
        <v>84</v>
      </c>
      <c r="R2689" s="80" t="s">
        <v>84</v>
      </c>
    </row>
    <row r="2690" spans="1:18" ht="20" x14ac:dyDescent="0.2">
      <c r="A2690" s="80" t="s">
        <v>2730</v>
      </c>
      <c r="B2690" s="80" t="s">
        <v>2731</v>
      </c>
      <c r="C2690" s="80" t="s">
        <v>9680</v>
      </c>
      <c r="D2690" s="80" t="s">
        <v>84</v>
      </c>
      <c r="E2690" s="80" t="s">
        <v>84</v>
      </c>
      <c r="F2690" s="80"/>
      <c r="G2690" s="80" t="s">
        <v>84</v>
      </c>
      <c r="H2690" s="80" t="s">
        <v>84</v>
      </c>
      <c r="I2690" s="80" t="s">
        <v>84</v>
      </c>
      <c r="J2690" s="80" t="s">
        <v>84</v>
      </c>
      <c r="K2690" s="80" t="s">
        <v>84</v>
      </c>
      <c r="L2690" s="80" t="s">
        <v>84</v>
      </c>
      <c r="M2690" s="80" t="s">
        <v>84</v>
      </c>
      <c r="N2690" s="80" t="s">
        <v>84</v>
      </c>
      <c r="O2690" s="80" t="s">
        <v>84</v>
      </c>
      <c r="P2690" s="80"/>
      <c r="Q2690" s="80" t="s">
        <v>84</v>
      </c>
      <c r="R2690" s="80" t="s">
        <v>84</v>
      </c>
    </row>
    <row r="2691" spans="1:18" ht="20" x14ac:dyDescent="0.2">
      <c r="A2691" s="80" t="s">
        <v>2770</v>
      </c>
      <c r="B2691" s="80" t="s">
        <v>2769</v>
      </c>
      <c r="C2691" s="80" t="s">
        <v>9680</v>
      </c>
      <c r="D2691" s="80" t="s">
        <v>84</v>
      </c>
      <c r="E2691" s="80" t="s">
        <v>84</v>
      </c>
      <c r="F2691" s="80"/>
      <c r="G2691" s="80" t="s">
        <v>84</v>
      </c>
      <c r="H2691" s="80" t="s">
        <v>84</v>
      </c>
      <c r="I2691" s="80" t="s">
        <v>84</v>
      </c>
      <c r="J2691" s="80" t="s">
        <v>84</v>
      </c>
      <c r="K2691" s="80" t="s">
        <v>84</v>
      </c>
      <c r="L2691" s="80" t="s">
        <v>84</v>
      </c>
      <c r="M2691" s="80" t="s">
        <v>84</v>
      </c>
      <c r="N2691" s="80" t="s">
        <v>84</v>
      </c>
      <c r="O2691" s="80" t="s">
        <v>84</v>
      </c>
      <c r="P2691" s="80"/>
      <c r="Q2691" s="80" t="s">
        <v>84</v>
      </c>
      <c r="R2691" s="80" t="s">
        <v>84</v>
      </c>
    </row>
    <row r="2692" spans="1:18" ht="20" x14ac:dyDescent="0.2">
      <c r="A2692" s="80" t="s">
        <v>2770</v>
      </c>
      <c r="B2692" s="80" t="s">
        <v>2771</v>
      </c>
      <c r="C2692" s="80" t="s">
        <v>9680</v>
      </c>
      <c r="D2692" s="80" t="s">
        <v>84</v>
      </c>
      <c r="E2692" s="80" t="s">
        <v>84</v>
      </c>
      <c r="F2692" s="80"/>
      <c r="G2692" s="80" t="s">
        <v>84</v>
      </c>
      <c r="H2692" s="80" t="s">
        <v>84</v>
      </c>
      <c r="I2692" s="80" t="s">
        <v>84</v>
      </c>
      <c r="J2692" s="80" t="s">
        <v>84</v>
      </c>
      <c r="K2692" s="80" t="s">
        <v>84</v>
      </c>
      <c r="L2692" s="80" t="s">
        <v>84</v>
      </c>
      <c r="M2692" s="80" t="s">
        <v>84</v>
      </c>
      <c r="N2692" s="80" t="s">
        <v>84</v>
      </c>
      <c r="O2692" s="80" t="s">
        <v>84</v>
      </c>
      <c r="P2692" s="80"/>
      <c r="Q2692" s="80" t="s">
        <v>84</v>
      </c>
      <c r="R2692" s="80" t="s">
        <v>84</v>
      </c>
    </row>
    <row r="2693" spans="1:18" ht="20" x14ac:dyDescent="0.2">
      <c r="A2693" s="80" t="s">
        <v>527</v>
      </c>
      <c r="B2693" s="80" t="s">
        <v>528</v>
      </c>
      <c r="C2693" s="80" t="s">
        <v>9680</v>
      </c>
      <c r="D2693" s="80" t="s">
        <v>84</v>
      </c>
      <c r="E2693" s="80" t="s">
        <v>84</v>
      </c>
      <c r="F2693" s="80"/>
      <c r="G2693" s="80" t="s">
        <v>84</v>
      </c>
      <c r="H2693" s="80" t="s">
        <v>84</v>
      </c>
      <c r="I2693" s="80" t="s">
        <v>84</v>
      </c>
      <c r="J2693" s="80" t="s">
        <v>84</v>
      </c>
      <c r="K2693" s="80" t="s">
        <v>84</v>
      </c>
      <c r="L2693" s="80" t="s">
        <v>84</v>
      </c>
      <c r="M2693" s="80" t="s">
        <v>84</v>
      </c>
      <c r="N2693" s="80" t="s">
        <v>84</v>
      </c>
      <c r="O2693" s="80" t="s">
        <v>84</v>
      </c>
      <c r="P2693" s="80"/>
      <c r="Q2693" s="80" t="s">
        <v>84</v>
      </c>
      <c r="R2693" s="80" t="s">
        <v>84</v>
      </c>
    </row>
    <row r="2694" spans="1:18" ht="20" x14ac:dyDescent="0.2">
      <c r="A2694" s="80" t="s">
        <v>4985</v>
      </c>
      <c r="B2694" s="80" t="s">
        <v>4986</v>
      </c>
      <c r="C2694" s="80" t="s">
        <v>84</v>
      </c>
      <c r="D2694" s="80" t="s">
        <v>84</v>
      </c>
      <c r="E2694" s="80" t="s">
        <v>84</v>
      </c>
      <c r="F2694" s="80"/>
      <c r="G2694" s="80" t="s">
        <v>84</v>
      </c>
      <c r="H2694" s="80" t="s">
        <v>84</v>
      </c>
      <c r="I2694" s="80" t="s">
        <v>84</v>
      </c>
      <c r="J2694" s="80" t="s">
        <v>84</v>
      </c>
      <c r="K2694" s="80" t="s">
        <v>84</v>
      </c>
      <c r="L2694" s="80" t="s">
        <v>84</v>
      </c>
      <c r="M2694" s="80" t="s">
        <v>84</v>
      </c>
      <c r="N2694" s="80" t="s">
        <v>84</v>
      </c>
      <c r="O2694" s="80" t="s">
        <v>84</v>
      </c>
      <c r="P2694" s="80"/>
      <c r="Q2694" s="80" t="s">
        <v>84</v>
      </c>
      <c r="R2694" s="80" t="s">
        <v>84</v>
      </c>
    </row>
    <row r="2695" spans="1:18" ht="20" x14ac:dyDescent="0.2">
      <c r="A2695" s="80" t="s">
        <v>1224</v>
      </c>
      <c r="B2695" s="80" t="s">
        <v>1225</v>
      </c>
      <c r="C2695" s="80" t="s">
        <v>9680</v>
      </c>
      <c r="D2695" s="80" t="s">
        <v>84</v>
      </c>
      <c r="E2695" s="80" t="s">
        <v>84</v>
      </c>
      <c r="F2695" s="80"/>
      <c r="G2695" s="80" t="s">
        <v>84</v>
      </c>
      <c r="H2695" s="80" t="s">
        <v>84</v>
      </c>
      <c r="I2695" s="80" t="s">
        <v>84</v>
      </c>
      <c r="J2695" s="80" t="s">
        <v>84</v>
      </c>
      <c r="K2695" s="80" t="s">
        <v>84</v>
      </c>
      <c r="L2695" s="80" t="s">
        <v>84</v>
      </c>
      <c r="M2695" s="80" t="s">
        <v>84</v>
      </c>
      <c r="N2695" s="80" t="s">
        <v>84</v>
      </c>
      <c r="O2695" s="80" t="s">
        <v>84</v>
      </c>
      <c r="P2695" s="80"/>
      <c r="Q2695" s="80" t="s">
        <v>84</v>
      </c>
      <c r="R2695" s="80" t="s">
        <v>84</v>
      </c>
    </row>
    <row r="2696" spans="1:18" ht="20" x14ac:dyDescent="0.2">
      <c r="A2696" s="80" t="s">
        <v>2066</v>
      </c>
      <c r="B2696" s="80" t="s">
        <v>2067</v>
      </c>
      <c r="C2696" s="80" t="s">
        <v>9680</v>
      </c>
      <c r="D2696" s="80" t="s">
        <v>84</v>
      </c>
      <c r="E2696" s="80" t="s">
        <v>84</v>
      </c>
      <c r="F2696" s="80"/>
      <c r="G2696" s="80" t="s">
        <v>84</v>
      </c>
      <c r="H2696" s="80" t="s">
        <v>84</v>
      </c>
      <c r="I2696" s="80" t="s">
        <v>84</v>
      </c>
      <c r="J2696" s="80" t="s">
        <v>84</v>
      </c>
      <c r="K2696" s="80" t="s">
        <v>84</v>
      </c>
      <c r="L2696" s="80" t="s">
        <v>84</v>
      </c>
      <c r="M2696" s="80" t="s">
        <v>84</v>
      </c>
      <c r="N2696" s="80" t="s">
        <v>84</v>
      </c>
      <c r="O2696" s="80" t="s">
        <v>84</v>
      </c>
      <c r="P2696" s="80"/>
      <c r="Q2696" s="80" t="s">
        <v>84</v>
      </c>
      <c r="R2696" s="80" t="s">
        <v>84</v>
      </c>
    </row>
    <row r="2697" spans="1:18" ht="20" x14ac:dyDescent="0.2">
      <c r="A2697" s="80" t="s">
        <v>2066</v>
      </c>
      <c r="B2697" s="80" t="s">
        <v>2267</v>
      </c>
      <c r="C2697" s="80" t="s">
        <v>9680</v>
      </c>
      <c r="D2697" s="80" t="s">
        <v>84</v>
      </c>
      <c r="E2697" s="80" t="s">
        <v>84</v>
      </c>
      <c r="F2697" s="80"/>
      <c r="G2697" s="80" t="s">
        <v>84</v>
      </c>
      <c r="H2697" s="80" t="s">
        <v>84</v>
      </c>
      <c r="I2697" s="80" t="s">
        <v>84</v>
      </c>
      <c r="J2697" s="80" t="s">
        <v>84</v>
      </c>
      <c r="K2697" s="80" t="s">
        <v>84</v>
      </c>
      <c r="L2697" s="80" t="s">
        <v>84</v>
      </c>
      <c r="M2697" s="80" t="s">
        <v>84</v>
      </c>
      <c r="N2697" s="80" t="s">
        <v>84</v>
      </c>
      <c r="O2697" s="80" t="s">
        <v>84</v>
      </c>
      <c r="P2697" s="80"/>
      <c r="Q2697" s="80" t="s">
        <v>84</v>
      </c>
      <c r="R2697" s="80" t="s">
        <v>84</v>
      </c>
    </row>
    <row r="2698" spans="1:18" ht="20" x14ac:dyDescent="0.2">
      <c r="A2698" s="80" t="s">
        <v>845</v>
      </c>
      <c r="B2698" s="80" t="s">
        <v>846</v>
      </c>
      <c r="C2698" s="80" t="s">
        <v>9680</v>
      </c>
      <c r="D2698" s="80" t="s">
        <v>9680</v>
      </c>
      <c r="E2698" s="80" t="s">
        <v>9680</v>
      </c>
      <c r="F2698" s="80"/>
      <c r="G2698" s="80" t="s">
        <v>9680</v>
      </c>
      <c r="H2698" s="80" t="s">
        <v>9680</v>
      </c>
      <c r="I2698" s="80" t="s">
        <v>9680</v>
      </c>
      <c r="J2698" s="80" t="s">
        <v>84</v>
      </c>
      <c r="K2698" s="80" t="s">
        <v>9680</v>
      </c>
      <c r="L2698" s="80" t="s">
        <v>9680</v>
      </c>
      <c r="M2698" s="80" t="s">
        <v>84</v>
      </c>
      <c r="N2698" s="80" t="s">
        <v>9680</v>
      </c>
      <c r="O2698" s="80" t="s">
        <v>84</v>
      </c>
      <c r="P2698" s="80"/>
      <c r="Q2698" s="80" t="s">
        <v>84</v>
      </c>
      <c r="R2698" s="80" t="s">
        <v>84</v>
      </c>
    </row>
    <row r="2699" spans="1:18" ht="20" x14ac:dyDescent="0.2">
      <c r="A2699" s="80" t="s">
        <v>845</v>
      </c>
      <c r="B2699" s="80" t="s">
        <v>10693</v>
      </c>
      <c r="C2699" s="80" t="s">
        <v>9680</v>
      </c>
      <c r="D2699" s="80" t="s">
        <v>9680</v>
      </c>
      <c r="E2699" s="80" t="s">
        <v>9680</v>
      </c>
      <c r="F2699" s="80"/>
      <c r="G2699" s="80" t="s">
        <v>9680</v>
      </c>
      <c r="H2699" s="80" t="s">
        <v>9680</v>
      </c>
      <c r="I2699" s="80" t="s">
        <v>9680</v>
      </c>
      <c r="J2699" s="80" t="s">
        <v>84</v>
      </c>
      <c r="K2699" s="80" t="s">
        <v>9680</v>
      </c>
      <c r="L2699" s="80" t="s">
        <v>9680</v>
      </c>
      <c r="M2699" s="80" t="s">
        <v>84</v>
      </c>
      <c r="N2699" s="80" t="s">
        <v>9680</v>
      </c>
      <c r="O2699" s="80" t="s">
        <v>84</v>
      </c>
      <c r="P2699" s="80"/>
      <c r="Q2699" s="80" t="s">
        <v>84</v>
      </c>
      <c r="R2699" s="80" t="s">
        <v>84</v>
      </c>
    </row>
    <row r="2700" spans="1:18" ht="20" x14ac:dyDescent="0.2">
      <c r="A2700" s="80" t="s">
        <v>6168</v>
      </c>
      <c r="B2700" s="80" t="s">
        <v>6169</v>
      </c>
      <c r="C2700" s="80" t="s">
        <v>9680</v>
      </c>
      <c r="D2700" s="80" t="s">
        <v>84</v>
      </c>
      <c r="E2700" s="80" t="s">
        <v>84</v>
      </c>
      <c r="F2700" s="80"/>
      <c r="G2700" s="80" t="s">
        <v>84</v>
      </c>
      <c r="H2700" s="80" t="s">
        <v>84</v>
      </c>
      <c r="I2700" s="80" t="s">
        <v>84</v>
      </c>
      <c r="J2700" s="80" t="s">
        <v>84</v>
      </c>
      <c r="K2700" s="80" t="s">
        <v>84</v>
      </c>
      <c r="L2700" s="80" t="s">
        <v>84</v>
      </c>
      <c r="M2700" s="80" t="s">
        <v>84</v>
      </c>
      <c r="N2700" s="80" t="s">
        <v>84</v>
      </c>
      <c r="O2700" s="80" t="s">
        <v>84</v>
      </c>
      <c r="P2700" s="80"/>
      <c r="Q2700" s="80" t="s">
        <v>84</v>
      </c>
      <c r="R2700" s="80" t="s">
        <v>84</v>
      </c>
    </row>
    <row r="2701" spans="1:18" ht="20" x14ac:dyDescent="0.2">
      <c r="A2701" s="80" t="s">
        <v>1172</v>
      </c>
      <c r="B2701" s="80" t="s">
        <v>1173</v>
      </c>
      <c r="C2701" s="80" t="s">
        <v>9680</v>
      </c>
      <c r="D2701" s="80" t="s">
        <v>84</v>
      </c>
      <c r="E2701" s="80" t="s">
        <v>84</v>
      </c>
      <c r="F2701" s="80"/>
      <c r="G2701" s="80" t="s">
        <v>84</v>
      </c>
      <c r="H2701" s="80" t="s">
        <v>84</v>
      </c>
      <c r="I2701" s="80" t="s">
        <v>84</v>
      </c>
      <c r="J2701" s="80" t="s">
        <v>84</v>
      </c>
      <c r="K2701" s="80" t="s">
        <v>84</v>
      </c>
      <c r="L2701" s="80" t="s">
        <v>84</v>
      </c>
      <c r="M2701" s="80" t="s">
        <v>84</v>
      </c>
      <c r="N2701" s="80" t="s">
        <v>84</v>
      </c>
      <c r="O2701" s="80" t="s">
        <v>84</v>
      </c>
      <c r="P2701" s="80"/>
      <c r="Q2701" s="80" t="s">
        <v>84</v>
      </c>
      <c r="R2701" s="80" t="s">
        <v>84</v>
      </c>
    </row>
    <row r="2702" spans="1:18" ht="20" x14ac:dyDescent="0.2">
      <c r="A2702" s="80" t="s">
        <v>1210</v>
      </c>
      <c r="B2702" s="80" t="s">
        <v>1211</v>
      </c>
      <c r="C2702" s="80" t="s">
        <v>9680</v>
      </c>
      <c r="D2702" s="80" t="s">
        <v>84</v>
      </c>
      <c r="E2702" s="80" t="s">
        <v>84</v>
      </c>
      <c r="F2702" s="80"/>
      <c r="G2702" s="80" t="s">
        <v>84</v>
      </c>
      <c r="H2702" s="80" t="s">
        <v>84</v>
      </c>
      <c r="I2702" s="80" t="s">
        <v>84</v>
      </c>
      <c r="J2702" s="80" t="s">
        <v>84</v>
      </c>
      <c r="K2702" s="80" t="s">
        <v>84</v>
      </c>
      <c r="L2702" s="80" t="s">
        <v>84</v>
      </c>
      <c r="M2702" s="80" t="s">
        <v>84</v>
      </c>
      <c r="N2702" s="80" t="s">
        <v>84</v>
      </c>
      <c r="O2702" s="80" t="s">
        <v>84</v>
      </c>
      <c r="P2702" s="80"/>
      <c r="Q2702" s="80" t="s">
        <v>84</v>
      </c>
      <c r="R2702" s="80" t="s">
        <v>84</v>
      </c>
    </row>
    <row r="2703" spans="1:18" ht="20" x14ac:dyDescent="0.2">
      <c r="A2703" s="80" t="s">
        <v>1674</v>
      </c>
      <c r="B2703" s="80" t="s">
        <v>1675</v>
      </c>
      <c r="C2703" s="80" t="s">
        <v>9680</v>
      </c>
      <c r="D2703" s="80" t="s">
        <v>84</v>
      </c>
      <c r="E2703" s="80" t="s">
        <v>84</v>
      </c>
      <c r="F2703" s="80"/>
      <c r="G2703" s="80" t="s">
        <v>84</v>
      </c>
      <c r="H2703" s="80" t="s">
        <v>84</v>
      </c>
      <c r="I2703" s="80" t="s">
        <v>84</v>
      </c>
      <c r="J2703" s="80" t="s">
        <v>84</v>
      </c>
      <c r="K2703" s="80" t="s">
        <v>84</v>
      </c>
      <c r="L2703" s="80" t="s">
        <v>84</v>
      </c>
      <c r="M2703" s="80" t="s">
        <v>84</v>
      </c>
      <c r="N2703" s="80" t="s">
        <v>84</v>
      </c>
      <c r="O2703" s="80" t="s">
        <v>84</v>
      </c>
      <c r="P2703" s="80"/>
      <c r="Q2703" s="80" t="s">
        <v>84</v>
      </c>
      <c r="R2703" s="80" t="s">
        <v>84</v>
      </c>
    </row>
    <row r="2704" spans="1:18" ht="20" x14ac:dyDescent="0.2">
      <c r="A2704" s="80" t="s">
        <v>1674</v>
      </c>
      <c r="B2704" s="80" t="s">
        <v>10694</v>
      </c>
      <c r="C2704" s="80" t="s">
        <v>9680</v>
      </c>
      <c r="D2704" s="80" t="s">
        <v>84</v>
      </c>
      <c r="E2704" s="80" t="s">
        <v>84</v>
      </c>
      <c r="F2704" s="80"/>
      <c r="G2704" s="80" t="s">
        <v>84</v>
      </c>
      <c r="H2704" s="80" t="s">
        <v>84</v>
      </c>
      <c r="I2704" s="80" t="s">
        <v>84</v>
      </c>
      <c r="J2704" s="80" t="s">
        <v>84</v>
      </c>
      <c r="K2704" s="80" t="s">
        <v>84</v>
      </c>
      <c r="L2704" s="80" t="s">
        <v>84</v>
      </c>
      <c r="M2704" s="80" t="s">
        <v>84</v>
      </c>
      <c r="N2704" s="80" t="s">
        <v>84</v>
      </c>
      <c r="O2704" s="80" t="s">
        <v>84</v>
      </c>
      <c r="P2704" s="80"/>
      <c r="Q2704" s="80" t="s">
        <v>84</v>
      </c>
      <c r="R2704" s="80" t="s">
        <v>84</v>
      </c>
    </row>
    <row r="2705" spans="1:18" ht="20" x14ac:dyDescent="0.2">
      <c r="A2705" s="80" t="s">
        <v>1691</v>
      </c>
      <c r="B2705" s="80" t="s">
        <v>1692</v>
      </c>
      <c r="C2705" s="80" t="s">
        <v>9680</v>
      </c>
      <c r="D2705" s="80" t="s">
        <v>84</v>
      </c>
      <c r="E2705" s="80" t="s">
        <v>84</v>
      </c>
      <c r="F2705" s="80"/>
      <c r="G2705" s="80" t="s">
        <v>84</v>
      </c>
      <c r="H2705" s="80" t="s">
        <v>84</v>
      </c>
      <c r="I2705" s="80" t="s">
        <v>84</v>
      </c>
      <c r="J2705" s="80" t="s">
        <v>84</v>
      </c>
      <c r="K2705" s="80" t="s">
        <v>84</v>
      </c>
      <c r="L2705" s="80" t="s">
        <v>84</v>
      </c>
      <c r="M2705" s="80" t="s">
        <v>84</v>
      </c>
      <c r="N2705" s="80" t="s">
        <v>84</v>
      </c>
      <c r="O2705" s="80" t="s">
        <v>84</v>
      </c>
      <c r="P2705" s="80"/>
      <c r="Q2705" s="80" t="s">
        <v>84</v>
      </c>
      <c r="R2705" s="80" t="s">
        <v>84</v>
      </c>
    </row>
    <row r="2706" spans="1:18" ht="20" x14ac:dyDescent="0.2">
      <c r="A2706" s="80" t="s">
        <v>1691</v>
      </c>
      <c r="B2706" s="80" t="s">
        <v>10695</v>
      </c>
      <c r="C2706" s="80" t="s">
        <v>9680</v>
      </c>
      <c r="D2706" s="80" t="s">
        <v>84</v>
      </c>
      <c r="E2706" s="80" t="s">
        <v>84</v>
      </c>
      <c r="F2706" s="80"/>
      <c r="G2706" s="80" t="s">
        <v>84</v>
      </c>
      <c r="H2706" s="80" t="s">
        <v>84</v>
      </c>
      <c r="I2706" s="80" t="s">
        <v>84</v>
      </c>
      <c r="J2706" s="80" t="s">
        <v>84</v>
      </c>
      <c r="K2706" s="80" t="s">
        <v>84</v>
      </c>
      <c r="L2706" s="80" t="s">
        <v>84</v>
      </c>
      <c r="M2706" s="80" t="s">
        <v>84</v>
      </c>
      <c r="N2706" s="80" t="s">
        <v>84</v>
      </c>
      <c r="O2706" s="80" t="s">
        <v>84</v>
      </c>
      <c r="P2706" s="80"/>
      <c r="Q2706" s="80" t="s">
        <v>84</v>
      </c>
      <c r="R2706" s="80" t="s">
        <v>84</v>
      </c>
    </row>
    <row r="2707" spans="1:18" ht="20" x14ac:dyDescent="0.2">
      <c r="A2707" s="80" t="s">
        <v>1693</v>
      </c>
      <c r="B2707" s="80" t="s">
        <v>1694</v>
      </c>
      <c r="C2707" s="80" t="s">
        <v>9680</v>
      </c>
      <c r="D2707" s="80" t="s">
        <v>84</v>
      </c>
      <c r="E2707" s="80" t="s">
        <v>84</v>
      </c>
      <c r="F2707" s="80"/>
      <c r="G2707" s="80" t="s">
        <v>84</v>
      </c>
      <c r="H2707" s="80" t="s">
        <v>84</v>
      </c>
      <c r="I2707" s="80" t="s">
        <v>84</v>
      </c>
      <c r="J2707" s="80" t="s">
        <v>84</v>
      </c>
      <c r="K2707" s="80" t="s">
        <v>84</v>
      </c>
      <c r="L2707" s="80" t="s">
        <v>84</v>
      </c>
      <c r="M2707" s="80" t="s">
        <v>84</v>
      </c>
      <c r="N2707" s="80" t="s">
        <v>84</v>
      </c>
      <c r="O2707" s="80" t="s">
        <v>84</v>
      </c>
      <c r="P2707" s="80"/>
      <c r="Q2707" s="80" t="s">
        <v>84</v>
      </c>
      <c r="R2707" s="80" t="s">
        <v>84</v>
      </c>
    </row>
    <row r="2708" spans="1:18" ht="20" x14ac:dyDescent="0.2">
      <c r="A2708" s="80" t="s">
        <v>1641</v>
      </c>
      <c r="B2708" s="80" t="s">
        <v>1642</v>
      </c>
      <c r="C2708" s="80" t="s">
        <v>9680</v>
      </c>
      <c r="D2708" s="80" t="s">
        <v>84</v>
      </c>
      <c r="E2708" s="80" t="s">
        <v>84</v>
      </c>
      <c r="F2708" s="80"/>
      <c r="G2708" s="80" t="s">
        <v>84</v>
      </c>
      <c r="H2708" s="80" t="s">
        <v>84</v>
      </c>
      <c r="I2708" s="80" t="s">
        <v>84</v>
      </c>
      <c r="J2708" s="80" t="s">
        <v>84</v>
      </c>
      <c r="K2708" s="80" t="s">
        <v>84</v>
      </c>
      <c r="L2708" s="80" t="s">
        <v>84</v>
      </c>
      <c r="M2708" s="80" t="s">
        <v>84</v>
      </c>
      <c r="N2708" s="80" t="s">
        <v>84</v>
      </c>
      <c r="O2708" s="80" t="s">
        <v>84</v>
      </c>
      <c r="P2708" s="80"/>
      <c r="Q2708" s="80" t="s">
        <v>84</v>
      </c>
      <c r="R2708" s="80" t="s">
        <v>84</v>
      </c>
    </row>
    <row r="2709" spans="1:18" ht="20" x14ac:dyDescent="0.2">
      <c r="A2709" s="80" t="s">
        <v>374</v>
      </c>
      <c r="B2709" s="80" t="s">
        <v>375</v>
      </c>
      <c r="C2709" s="80" t="s">
        <v>84</v>
      </c>
      <c r="D2709" s="80" t="s">
        <v>84</v>
      </c>
      <c r="E2709" s="80" t="s">
        <v>84</v>
      </c>
      <c r="F2709" s="80"/>
      <c r="G2709" s="80" t="s">
        <v>84</v>
      </c>
      <c r="H2709" s="80" t="s">
        <v>84</v>
      </c>
      <c r="I2709" s="80" t="s">
        <v>84</v>
      </c>
      <c r="J2709" s="80" t="s">
        <v>84</v>
      </c>
      <c r="K2709" s="80" t="s">
        <v>84</v>
      </c>
      <c r="L2709" s="80" t="s">
        <v>84</v>
      </c>
      <c r="M2709" s="80" t="s">
        <v>84</v>
      </c>
      <c r="N2709" s="80" t="s">
        <v>84</v>
      </c>
      <c r="O2709" s="80" t="s">
        <v>84</v>
      </c>
      <c r="P2709" s="80"/>
      <c r="Q2709" s="80" t="s">
        <v>84</v>
      </c>
      <c r="R2709" s="80" t="s">
        <v>84</v>
      </c>
    </row>
    <row r="2710" spans="1:18" ht="20" x14ac:dyDescent="0.2">
      <c r="A2710" s="80" t="s">
        <v>376</v>
      </c>
      <c r="B2710" s="80" t="s">
        <v>377</v>
      </c>
      <c r="C2710" s="80" t="s">
        <v>84</v>
      </c>
      <c r="D2710" s="80" t="s">
        <v>84</v>
      </c>
      <c r="E2710" s="80" t="s">
        <v>84</v>
      </c>
      <c r="F2710" s="80"/>
      <c r="G2710" s="80" t="s">
        <v>84</v>
      </c>
      <c r="H2710" s="80" t="s">
        <v>84</v>
      </c>
      <c r="I2710" s="80" t="s">
        <v>84</v>
      </c>
      <c r="J2710" s="80" t="s">
        <v>84</v>
      </c>
      <c r="K2710" s="80" t="s">
        <v>84</v>
      </c>
      <c r="L2710" s="80" t="s">
        <v>84</v>
      </c>
      <c r="M2710" s="80" t="s">
        <v>84</v>
      </c>
      <c r="N2710" s="80" t="s">
        <v>84</v>
      </c>
      <c r="O2710" s="80" t="s">
        <v>84</v>
      </c>
      <c r="P2710" s="80"/>
      <c r="Q2710" s="80" t="s">
        <v>84</v>
      </c>
      <c r="R2710" s="80" t="s">
        <v>84</v>
      </c>
    </row>
    <row r="2711" spans="1:18" ht="20" x14ac:dyDescent="0.2">
      <c r="A2711" s="80" t="s">
        <v>5055</v>
      </c>
      <c r="B2711" s="80" t="s">
        <v>5056</v>
      </c>
      <c r="C2711" s="80" t="s">
        <v>84</v>
      </c>
      <c r="D2711" s="80" t="s">
        <v>84</v>
      </c>
      <c r="E2711" s="80" t="s">
        <v>84</v>
      </c>
      <c r="F2711" s="80"/>
      <c r="G2711" s="80" t="s">
        <v>84</v>
      </c>
      <c r="H2711" s="80" t="s">
        <v>84</v>
      </c>
      <c r="I2711" s="80" t="s">
        <v>84</v>
      </c>
      <c r="J2711" s="80" t="s">
        <v>84</v>
      </c>
      <c r="K2711" s="80" t="s">
        <v>84</v>
      </c>
      <c r="L2711" s="80" t="s">
        <v>84</v>
      </c>
      <c r="M2711" s="80" t="s">
        <v>84</v>
      </c>
      <c r="N2711" s="80" t="s">
        <v>84</v>
      </c>
      <c r="O2711" s="80" t="s">
        <v>84</v>
      </c>
      <c r="P2711" s="80"/>
      <c r="Q2711" s="80" t="s">
        <v>84</v>
      </c>
      <c r="R2711" s="80" t="s">
        <v>84</v>
      </c>
    </row>
    <row r="2712" spans="1:18" ht="20" x14ac:dyDescent="0.2">
      <c r="A2712" s="80" t="s">
        <v>3508</v>
      </c>
      <c r="B2712" s="80" t="s">
        <v>3509</v>
      </c>
      <c r="C2712" s="80" t="s">
        <v>9680</v>
      </c>
      <c r="D2712" s="80" t="s">
        <v>84</v>
      </c>
      <c r="E2712" s="80" t="s">
        <v>84</v>
      </c>
      <c r="F2712" s="80"/>
      <c r="G2712" s="80" t="s">
        <v>84</v>
      </c>
      <c r="H2712" s="80" t="s">
        <v>84</v>
      </c>
      <c r="I2712" s="80" t="s">
        <v>84</v>
      </c>
      <c r="J2712" s="80" t="s">
        <v>84</v>
      </c>
      <c r="K2712" s="80" t="s">
        <v>84</v>
      </c>
      <c r="L2712" s="80" t="s">
        <v>84</v>
      </c>
      <c r="M2712" s="80" t="s">
        <v>84</v>
      </c>
      <c r="N2712" s="80" t="s">
        <v>84</v>
      </c>
      <c r="O2712" s="80" t="s">
        <v>84</v>
      </c>
      <c r="P2712" s="80"/>
      <c r="Q2712" s="80" t="s">
        <v>84</v>
      </c>
      <c r="R2712" s="80" t="s">
        <v>84</v>
      </c>
    </row>
    <row r="2713" spans="1:18" ht="20" x14ac:dyDescent="0.2">
      <c r="A2713" s="80" t="s">
        <v>3510</v>
      </c>
      <c r="B2713" s="80" t="s">
        <v>3511</v>
      </c>
      <c r="C2713" s="80" t="s">
        <v>9680</v>
      </c>
      <c r="D2713" s="80" t="s">
        <v>84</v>
      </c>
      <c r="E2713" s="80" t="s">
        <v>84</v>
      </c>
      <c r="F2713" s="80"/>
      <c r="G2713" s="80" t="s">
        <v>84</v>
      </c>
      <c r="H2713" s="80" t="s">
        <v>84</v>
      </c>
      <c r="I2713" s="80" t="s">
        <v>84</v>
      </c>
      <c r="J2713" s="80" t="s">
        <v>84</v>
      </c>
      <c r="K2713" s="80" t="s">
        <v>84</v>
      </c>
      <c r="L2713" s="80" t="s">
        <v>84</v>
      </c>
      <c r="M2713" s="80" t="s">
        <v>84</v>
      </c>
      <c r="N2713" s="80" t="s">
        <v>84</v>
      </c>
      <c r="O2713" s="80" t="s">
        <v>84</v>
      </c>
      <c r="P2713" s="80"/>
      <c r="Q2713" s="80" t="s">
        <v>84</v>
      </c>
      <c r="R2713" s="80" t="s">
        <v>84</v>
      </c>
    </row>
    <row r="2714" spans="1:18" ht="20" x14ac:dyDescent="0.2">
      <c r="A2714" s="80" t="s">
        <v>3407</v>
      </c>
      <c r="B2714" s="80" t="s">
        <v>10696</v>
      </c>
      <c r="C2714" s="80" t="s">
        <v>9680</v>
      </c>
      <c r="D2714" s="80" t="s">
        <v>84</v>
      </c>
      <c r="E2714" s="80" t="s">
        <v>84</v>
      </c>
      <c r="F2714" s="80"/>
      <c r="G2714" s="80" t="s">
        <v>84</v>
      </c>
      <c r="H2714" s="80" t="s">
        <v>84</v>
      </c>
      <c r="I2714" s="80" t="s">
        <v>84</v>
      </c>
      <c r="J2714" s="80" t="s">
        <v>84</v>
      </c>
      <c r="K2714" s="80" t="s">
        <v>84</v>
      </c>
      <c r="L2714" s="80" t="s">
        <v>84</v>
      </c>
      <c r="M2714" s="80" t="s">
        <v>84</v>
      </c>
      <c r="N2714" s="80" t="s">
        <v>84</v>
      </c>
      <c r="O2714" s="80" t="s">
        <v>84</v>
      </c>
      <c r="P2714" s="80"/>
      <c r="Q2714" s="80" t="s">
        <v>84</v>
      </c>
      <c r="R2714" s="80" t="s">
        <v>84</v>
      </c>
    </row>
    <row r="2715" spans="1:18" ht="20" x14ac:dyDescent="0.2">
      <c r="A2715" s="80" t="s">
        <v>3407</v>
      </c>
      <c r="B2715" s="80" t="s">
        <v>3408</v>
      </c>
      <c r="C2715" s="80" t="s">
        <v>9680</v>
      </c>
      <c r="D2715" s="80" t="s">
        <v>84</v>
      </c>
      <c r="E2715" s="80" t="s">
        <v>84</v>
      </c>
      <c r="F2715" s="80"/>
      <c r="G2715" s="80" t="s">
        <v>84</v>
      </c>
      <c r="H2715" s="80" t="s">
        <v>84</v>
      </c>
      <c r="I2715" s="80" t="s">
        <v>84</v>
      </c>
      <c r="J2715" s="80" t="s">
        <v>84</v>
      </c>
      <c r="K2715" s="80" t="s">
        <v>84</v>
      </c>
      <c r="L2715" s="80" t="s">
        <v>84</v>
      </c>
      <c r="M2715" s="80" t="s">
        <v>84</v>
      </c>
      <c r="N2715" s="80" t="s">
        <v>84</v>
      </c>
      <c r="O2715" s="80" t="s">
        <v>84</v>
      </c>
      <c r="P2715" s="80"/>
      <c r="Q2715" s="80" t="s">
        <v>84</v>
      </c>
      <c r="R2715" s="80" t="s">
        <v>84</v>
      </c>
    </row>
    <row r="2716" spans="1:18" x14ac:dyDescent="0.2">
      <c r="A2716" s="80" t="s">
        <v>3544</v>
      </c>
      <c r="B2716" s="80" t="s">
        <v>3545</v>
      </c>
      <c r="C2716" s="80" t="s">
        <v>9722</v>
      </c>
      <c r="D2716" s="80" t="s">
        <v>9722</v>
      </c>
      <c r="E2716" s="80" t="s">
        <v>84</v>
      </c>
      <c r="F2716" s="80"/>
      <c r="G2716" s="80" t="s">
        <v>84</v>
      </c>
      <c r="H2716" s="80" t="s">
        <v>84</v>
      </c>
      <c r="I2716" s="80" t="s">
        <v>9722</v>
      </c>
      <c r="J2716" s="80" t="s">
        <v>84</v>
      </c>
      <c r="K2716" s="80" t="s">
        <v>9722</v>
      </c>
      <c r="L2716" s="80" t="s">
        <v>84</v>
      </c>
      <c r="M2716" s="80" t="s">
        <v>84</v>
      </c>
      <c r="N2716" s="80" t="s">
        <v>84</v>
      </c>
      <c r="O2716" s="80" t="s">
        <v>84</v>
      </c>
      <c r="P2716" s="80"/>
      <c r="Q2716" s="80" t="s">
        <v>84</v>
      </c>
      <c r="R2716" s="80" t="s">
        <v>84</v>
      </c>
    </row>
    <row r="2717" spans="1:18" ht="20" x14ac:dyDescent="0.2">
      <c r="A2717" s="80" t="s">
        <v>1629</v>
      </c>
      <c r="B2717" s="80" t="s">
        <v>1630</v>
      </c>
      <c r="C2717" s="80" t="s">
        <v>9680</v>
      </c>
      <c r="D2717" s="80" t="s">
        <v>84</v>
      </c>
      <c r="E2717" s="80" t="s">
        <v>84</v>
      </c>
      <c r="F2717" s="80"/>
      <c r="G2717" s="80" t="s">
        <v>84</v>
      </c>
      <c r="H2717" s="80" t="s">
        <v>84</v>
      </c>
      <c r="I2717" s="80" t="s">
        <v>84</v>
      </c>
      <c r="J2717" s="80" t="s">
        <v>84</v>
      </c>
      <c r="K2717" s="80" t="s">
        <v>84</v>
      </c>
      <c r="L2717" s="80" t="s">
        <v>84</v>
      </c>
      <c r="M2717" s="80" t="s">
        <v>84</v>
      </c>
      <c r="N2717" s="80" t="s">
        <v>84</v>
      </c>
      <c r="O2717" s="80" t="s">
        <v>84</v>
      </c>
      <c r="P2717" s="80"/>
      <c r="Q2717" s="80" t="s">
        <v>84</v>
      </c>
      <c r="R2717" s="80" t="s">
        <v>84</v>
      </c>
    </row>
    <row r="2718" spans="1:18" ht="20" x14ac:dyDescent="0.2">
      <c r="A2718" s="80" t="s">
        <v>2717</v>
      </c>
      <c r="B2718" s="80" t="s">
        <v>2718</v>
      </c>
      <c r="C2718" s="80" t="s">
        <v>84</v>
      </c>
      <c r="D2718" s="80" t="s">
        <v>84</v>
      </c>
      <c r="E2718" s="80" t="s">
        <v>84</v>
      </c>
      <c r="F2718" s="80"/>
      <c r="G2718" s="80" t="s">
        <v>84</v>
      </c>
      <c r="H2718" s="80" t="s">
        <v>84</v>
      </c>
      <c r="I2718" s="80" t="s">
        <v>84</v>
      </c>
      <c r="J2718" s="80" t="s">
        <v>84</v>
      </c>
      <c r="K2718" s="80" t="s">
        <v>84</v>
      </c>
      <c r="L2718" s="80" t="s">
        <v>84</v>
      </c>
      <c r="M2718" s="80" t="s">
        <v>84</v>
      </c>
      <c r="N2718" s="80" t="s">
        <v>84</v>
      </c>
      <c r="O2718" s="80" t="s">
        <v>84</v>
      </c>
      <c r="P2718" s="80"/>
      <c r="Q2718" s="80" t="s">
        <v>84</v>
      </c>
      <c r="R2718" s="80" t="s">
        <v>84</v>
      </c>
    </row>
    <row r="2719" spans="1:18" ht="20" x14ac:dyDescent="0.2">
      <c r="A2719" s="80" t="s">
        <v>4159</v>
      </c>
      <c r="B2719" s="80" t="s">
        <v>4160</v>
      </c>
      <c r="C2719" s="80" t="s">
        <v>84</v>
      </c>
      <c r="D2719" s="80" t="s">
        <v>84</v>
      </c>
      <c r="E2719" s="80" t="s">
        <v>84</v>
      </c>
      <c r="F2719" s="80"/>
      <c r="G2719" s="80" t="s">
        <v>84</v>
      </c>
      <c r="H2719" s="80" t="s">
        <v>84</v>
      </c>
      <c r="I2719" s="80" t="s">
        <v>84</v>
      </c>
      <c r="J2719" s="80" t="s">
        <v>84</v>
      </c>
      <c r="K2719" s="80" t="s">
        <v>84</v>
      </c>
      <c r="L2719" s="80" t="s">
        <v>84</v>
      </c>
      <c r="M2719" s="80" t="s">
        <v>84</v>
      </c>
      <c r="N2719" s="80" t="s">
        <v>84</v>
      </c>
      <c r="O2719" s="80" t="s">
        <v>84</v>
      </c>
      <c r="P2719" s="80"/>
      <c r="Q2719" s="80" t="s">
        <v>84</v>
      </c>
      <c r="R2719" s="80" t="s">
        <v>84</v>
      </c>
    </row>
    <row r="2720" spans="1:18" ht="20" x14ac:dyDescent="0.2">
      <c r="A2720" s="80" t="s">
        <v>4163</v>
      </c>
      <c r="B2720" s="80" t="s">
        <v>4164</v>
      </c>
      <c r="C2720" s="80" t="s">
        <v>84</v>
      </c>
      <c r="D2720" s="80" t="s">
        <v>84</v>
      </c>
      <c r="E2720" s="80" t="s">
        <v>84</v>
      </c>
      <c r="F2720" s="80"/>
      <c r="G2720" s="80" t="s">
        <v>84</v>
      </c>
      <c r="H2720" s="80" t="s">
        <v>84</v>
      </c>
      <c r="I2720" s="80" t="s">
        <v>84</v>
      </c>
      <c r="J2720" s="80" t="s">
        <v>84</v>
      </c>
      <c r="K2720" s="80" t="s">
        <v>84</v>
      </c>
      <c r="L2720" s="80" t="s">
        <v>84</v>
      </c>
      <c r="M2720" s="80" t="s">
        <v>84</v>
      </c>
      <c r="N2720" s="80" t="s">
        <v>84</v>
      </c>
      <c r="O2720" s="80" t="s">
        <v>84</v>
      </c>
      <c r="P2720" s="80"/>
      <c r="Q2720" s="80" t="s">
        <v>84</v>
      </c>
      <c r="R2720" s="80" t="s">
        <v>84</v>
      </c>
    </row>
    <row r="2721" spans="1:18" ht="20" x14ac:dyDescent="0.2">
      <c r="A2721" s="80" t="s">
        <v>10697</v>
      </c>
      <c r="B2721" s="80" t="s">
        <v>4166</v>
      </c>
      <c r="C2721" s="80" t="s">
        <v>84</v>
      </c>
      <c r="D2721" s="80" t="s">
        <v>84</v>
      </c>
      <c r="E2721" s="80" t="s">
        <v>84</v>
      </c>
      <c r="F2721" s="80"/>
      <c r="G2721" s="80" t="s">
        <v>84</v>
      </c>
      <c r="H2721" s="80" t="s">
        <v>84</v>
      </c>
      <c r="I2721" s="80" t="s">
        <v>84</v>
      </c>
      <c r="J2721" s="80" t="s">
        <v>84</v>
      </c>
      <c r="K2721" s="80" t="s">
        <v>84</v>
      </c>
      <c r="L2721" s="80" t="s">
        <v>84</v>
      </c>
      <c r="M2721" s="80" t="s">
        <v>84</v>
      </c>
      <c r="N2721" s="80" t="s">
        <v>84</v>
      </c>
      <c r="O2721" s="80" t="s">
        <v>84</v>
      </c>
      <c r="P2721" s="80"/>
      <c r="Q2721" s="80" t="s">
        <v>84</v>
      </c>
      <c r="R2721" s="80" t="s">
        <v>84</v>
      </c>
    </row>
    <row r="2722" spans="1:18" ht="20" x14ac:dyDescent="0.2">
      <c r="A2722" s="80" t="s">
        <v>4165</v>
      </c>
      <c r="B2722" s="80" t="s">
        <v>4166</v>
      </c>
      <c r="C2722" s="80" t="s">
        <v>84</v>
      </c>
      <c r="D2722" s="80" t="s">
        <v>84</v>
      </c>
      <c r="E2722" s="80" t="s">
        <v>84</v>
      </c>
      <c r="F2722" s="80"/>
      <c r="G2722" s="80" t="s">
        <v>84</v>
      </c>
      <c r="H2722" s="80" t="s">
        <v>84</v>
      </c>
      <c r="I2722" s="80" t="s">
        <v>84</v>
      </c>
      <c r="J2722" s="80" t="s">
        <v>84</v>
      </c>
      <c r="K2722" s="80" t="s">
        <v>84</v>
      </c>
      <c r="L2722" s="80" t="s">
        <v>84</v>
      </c>
      <c r="M2722" s="80" t="s">
        <v>84</v>
      </c>
      <c r="N2722" s="80" t="s">
        <v>84</v>
      </c>
      <c r="O2722" s="80" t="s">
        <v>84</v>
      </c>
      <c r="P2722" s="80"/>
      <c r="Q2722" s="80" t="s">
        <v>84</v>
      </c>
      <c r="R2722" s="80" t="s">
        <v>84</v>
      </c>
    </row>
    <row r="2723" spans="1:18" ht="20" x14ac:dyDescent="0.2">
      <c r="A2723" s="80" t="s">
        <v>4167</v>
      </c>
      <c r="B2723" s="80" t="s">
        <v>4168</v>
      </c>
      <c r="C2723" s="80" t="s">
        <v>84</v>
      </c>
      <c r="D2723" s="80" t="s">
        <v>84</v>
      </c>
      <c r="E2723" s="80" t="s">
        <v>84</v>
      </c>
      <c r="F2723" s="80"/>
      <c r="G2723" s="80" t="s">
        <v>84</v>
      </c>
      <c r="H2723" s="80" t="s">
        <v>84</v>
      </c>
      <c r="I2723" s="80" t="s">
        <v>84</v>
      </c>
      <c r="J2723" s="80" t="s">
        <v>84</v>
      </c>
      <c r="K2723" s="80" t="s">
        <v>84</v>
      </c>
      <c r="L2723" s="80" t="s">
        <v>84</v>
      </c>
      <c r="M2723" s="80" t="s">
        <v>84</v>
      </c>
      <c r="N2723" s="80" t="s">
        <v>84</v>
      </c>
      <c r="O2723" s="80" t="s">
        <v>84</v>
      </c>
      <c r="P2723" s="80"/>
      <c r="Q2723" s="80" t="s">
        <v>84</v>
      </c>
      <c r="R2723" s="80" t="s">
        <v>84</v>
      </c>
    </row>
    <row r="2724" spans="1:18" ht="20" x14ac:dyDescent="0.2">
      <c r="A2724" s="80" t="s">
        <v>4259</v>
      </c>
      <c r="B2724" s="80" t="s">
        <v>4260</v>
      </c>
      <c r="C2724" s="80" t="s">
        <v>9680</v>
      </c>
      <c r="D2724" s="80" t="s">
        <v>84</v>
      </c>
      <c r="E2724" s="80" t="s">
        <v>84</v>
      </c>
      <c r="F2724" s="80"/>
      <c r="G2724" s="80" t="s">
        <v>84</v>
      </c>
      <c r="H2724" s="80" t="s">
        <v>84</v>
      </c>
      <c r="I2724" s="80" t="s">
        <v>84</v>
      </c>
      <c r="J2724" s="80" t="s">
        <v>84</v>
      </c>
      <c r="K2724" s="80" t="s">
        <v>84</v>
      </c>
      <c r="L2724" s="80" t="s">
        <v>84</v>
      </c>
      <c r="M2724" s="80" t="s">
        <v>84</v>
      </c>
      <c r="N2724" s="80" t="s">
        <v>84</v>
      </c>
      <c r="O2724" s="80" t="s">
        <v>84</v>
      </c>
      <c r="P2724" s="80"/>
      <c r="Q2724" s="80" t="s">
        <v>84</v>
      </c>
      <c r="R2724" s="80" t="s">
        <v>84</v>
      </c>
    </row>
    <row r="2725" spans="1:18" ht="20" x14ac:dyDescent="0.2">
      <c r="A2725" s="80" t="s">
        <v>4337</v>
      </c>
      <c r="B2725" s="80" t="s">
        <v>4338</v>
      </c>
      <c r="C2725" s="80" t="s">
        <v>9680</v>
      </c>
      <c r="D2725" s="80" t="s">
        <v>84</v>
      </c>
      <c r="E2725" s="80" t="s">
        <v>84</v>
      </c>
      <c r="F2725" s="80"/>
      <c r="G2725" s="80" t="s">
        <v>84</v>
      </c>
      <c r="H2725" s="80" t="s">
        <v>84</v>
      </c>
      <c r="I2725" s="80" t="s">
        <v>84</v>
      </c>
      <c r="J2725" s="80" t="s">
        <v>84</v>
      </c>
      <c r="K2725" s="80" t="s">
        <v>84</v>
      </c>
      <c r="L2725" s="80" t="s">
        <v>84</v>
      </c>
      <c r="M2725" s="80" t="s">
        <v>84</v>
      </c>
      <c r="N2725" s="80" t="s">
        <v>84</v>
      </c>
      <c r="O2725" s="80" t="s">
        <v>84</v>
      </c>
      <c r="P2725" s="80"/>
      <c r="Q2725" s="80" t="s">
        <v>84</v>
      </c>
      <c r="R2725" s="80" t="s">
        <v>84</v>
      </c>
    </row>
    <row r="2726" spans="1:18" ht="20" x14ac:dyDescent="0.2">
      <c r="A2726" s="80" t="s">
        <v>4161</v>
      </c>
      <c r="B2726" s="80" t="s">
        <v>4162</v>
      </c>
      <c r="C2726" s="80" t="s">
        <v>84</v>
      </c>
      <c r="D2726" s="80" t="s">
        <v>84</v>
      </c>
      <c r="E2726" s="80" t="s">
        <v>84</v>
      </c>
      <c r="G2726" s="80" t="s">
        <v>84</v>
      </c>
      <c r="H2726" s="80" t="s">
        <v>84</v>
      </c>
      <c r="I2726" s="80" t="s">
        <v>84</v>
      </c>
      <c r="J2726" s="80" t="s">
        <v>84</v>
      </c>
      <c r="K2726" s="80" t="s">
        <v>84</v>
      </c>
      <c r="L2726" s="80" t="s">
        <v>84</v>
      </c>
      <c r="M2726" s="80" t="s">
        <v>84</v>
      </c>
      <c r="N2726" s="80" t="s">
        <v>84</v>
      </c>
      <c r="O2726" s="80" t="s">
        <v>84</v>
      </c>
      <c r="Q2726" s="80" t="s">
        <v>84</v>
      </c>
      <c r="R2726" s="80" t="s">
        <v>84</v>
      </c>
    </row>
    <row r="2727" spans="1:18" ht="20" x14ac:dyDescent="0.2">
      <c r="A2727" s="80" t="s">
        <v>5980</v>
      </c>
      <c r="B2727" s="80" t="s">
        <v>5981</v>
      </c>
      <c r="C2727" s="80" t="s">
        <v>84</v>
      </c>
      <c r="D2727" s="80" t="s">
        <v>84</v>
      </c>
      <c r="E2727" s="80" t="s">
        <v>84</v>
      </c>
      <c r="G2727" s="80" t="s">
        <v>84</v>
      </c>
      <c r="H2727" s="80" t="s">
        <v>84</v>
      </c>
      <c r="I2727" s="80" t="s">
        <v>84</v>
      </c>
      <c r="J2727" s="80" t="s">
        <v>84</v>
      </c>
      <c r="K2727" s="80" t="s">
        <v>84</v>
      </c>
      <c r="L2727" s="80" t="s">
        <v>84</v>
      </c>
      <c r="M2727" s="80" t="s">
        <v>84</v>
      </c>
      <c r="N2727" s="80" t="s">
        <v>84</v>
      </c>
      <c r="O2727" s="80" t="s">
        <v>84</v>
      </c>
      <c r="Q2727" s="80" t="s">
        <v>84</v>
      </c>
      <c r="R2727" s="80" t="s">
        <v>84</v>
      </c>
    </row>
    <row r="2728" spans="1:18" ht="20" x14ac:dyDescent="0.2">
      <c r="A2728" s="80" t="s">
        <v>5984</v>
      </c>
      <c r="B2728" s="80" t="s">
        <v>5985</v>
      </c>
      <c r="C2728" s="80" t="s">
        <v>84</v>
      </c>
      <c r="D2728" s="80" t="s">
        <v>84</v>
      </c>
      <c r="E2728" s="80" t="s">
        <v>84</v>
      </c>
      <c r="G2728" s="80" t="s">
        <v>84</v>
      </c>
      <c r="H2728" s="80" t="s">
        <v>84</v>
      </c>
      <c r="I2728" s="80" t="s">
        <v>84</v>
      </c>
      <c r="J2728" s="80" t="s">
        <v>84</v>
      </c>
      <c r="K2728" s="80" t="s">
        <v>84</v>
      </c>
      <c r="L2728" s="80" t="s">
        <v>84</v>
      </c>
      <c r="M2728" s="80" t="s">
        <v>84</v>
      </c>
      <c r="N2728" s="80" t="s">
        <v>84</v>
      </c>
      <c r="O2728" s="80" t="s">
        <v>84</v>
      </c>
      <c r="Q2728" s="80" t="s">
        <v>84</v>
      </c>
      <c r="R2728" s="80" t="s">
        <v>84</v>
      </c>
    </row>
    <row r="2729" spans="1:18" ht="20" x14ac:dyDescent="0.2">
      <c r="A2729" s="80" t="s">
        <v>5988</v>
      </c>
      <c r="B2729" s="80" t="s">
        <v>5989</v>
      </c>
      <c r="C2729" s="80" t="s">
        <v>84</v>
      </c>
      <c r="D2729" s="80" t="s">
        <v>84</v>
      </c>
      <c r="E2729" s="80" t="s">
        <v>84</v>
      </c>
      <c r="G2729" s="80" t="s">
        <v>84</v>
      </c>
      <c r="H2729" s="80" t="s">
        <v>84</v>
      </c>
      <c r="I2729" s="80" t="s">
        <v>84</v>
      </c>
      <c r="J2729" s="80" t="s">
        <v>84</v>
      </c>
      <c r="K2729" s="80" t="s">
        <v>84</v>
      </c>
      <c r="L2729" s="80" t="s">
        <v>84</v>
      </c>
      <c r="M2729" s="80" t="s">
        <v>84</v>
      </c>
      <c r="N2729" s="80" t="s">
        <v>84</v>
      </c>
      <c r="O2729" s="80" t="s">
        <v>84</v>
      </c>
      <c r="Q2729" s="80" t="s">
        <v>84</v>
      </c>
      <c r="R2729" s="80" t="s">
        <v>84</v>
      </c>
    </row>
    <row r="2730" spans="1:18" ht="20" x14ac:dyDescent="0.2">
      <c r="A2730" s="80" t="s">
        <v>5994</v>
      </c>
      <c r="B2730" s="80" t="s">
        <v>5995</v>
      </c>
      <c r="C2730" s="80" t="s">
        <v>84</v>
      </c>
      <c r="D2730" s="80" t="s">
        <v>84</v>
      </c>
      <c r="E2730" s="80" t="s">
        <v>84</v>
      </c>
      <c r="G2730" s="80" t="s">
        <v>84</v>
      </c>
      <c r="H2730" s="80" t="s">
        <v>84</v>
      </c>
      <c r="I2730" s="80" t="s">
        <v>84</v>
      </c>
      <c r="J2730" s="80" t="s">
        <v>84</v>
      </c>
      <c r="K2730" s="80" t="s">
        <v>84</v>
      </c>
      <c r="L2730" s="80" t="s">
        <v>84</v>
      </c>
      <c r="M2730" s="80" t="s">
        <v>84</v>
      </c>
      <c r="N2730" s="80" t="s">
        <v>84</v>
      </c>
      <c r="O2730" s="80" t="s">
        <v>84</v>
      </c>
      <c r="Q2730" s="80" t="s">
        <v>84</v>
      </c>
      <c r="R2730" s="80" t="s">
        <v>84</v>
      </c>
    </row>
    <row r="2731" spans="1:18" ht="20" x14ac:dyDescent="0.2">
      <c r="A2731" s="80" t="s">
        <v>5996</v>
      </c>
      <c r="B2731" s="80" t="s">
        <v>5997</v>
      </c>
      <c r="C2731" s="80" t="s">
        <v>84</v>
      </c>
      <c r="D2731" s="80" t="s">
        <v>84</v>
      </c>
      <c r="E2731" s="80" t="s">
        <v>84</v>
      </c>
      <c r="G2731" s="80" t="s">
        <v>84</v>
      </c>
      <c r="H2731" s="80" t="s">
        <v>84</v>
      </c>
      <c r="I2731" s="80" t="s">
        <v>84</v>
      </c>
      <c r="J2731" s="80" t="s">
        <v>84</v>
      </c>
      <c r="K2731" s="80" t="s">
        <v>84</v>
      </c>
      <c r="L2731" s="80" t="s">
        <v>84</v>
      </c>
      <c r="M2731" s="80" t="s">
        <v>84</v>
      </c>
      <c r="N2731" s="80" t="s">
        <v>84</v>
      </c>
      <c r="O2731" s="80" t="s">
        <v>84</v>
      </c>
      <c r="Q2731" s="80" t="s">
        <v>84</v>
      </c>
      <c r="R2731" s="80" t="s">
        <v>84</v>
      </c>
    </row>
    <row r="2732" spans="1:18" ht="20" x14ac:dyDescent="0.2">
      <c r="A2732" s="80" t="s">
        <v>5998</v>
      </c>
      <c r="B2732" s="80" t="s">
        <v>5999</v>
      </c>
      <c r="C2732" s="80" t="s">
        <v>84</v>
      </c>
      <c r="D2732" s="80" t="s">
        <v>84</v>
      </c>
      <c r="E2732" s="80" t="s">
        <v>84</v>
      </c>
      <c r="G2732" s="80" t="s">
        <v>84</v>
      </c>
      <c r="H2732" s="80" t="s">
        <v>84</v>
      </c>
      <c r="I2732" s="80" t="s">
        <v>84</v>
      </c>
      <c r="J2732" s="80" t="s">
        <v>84</v>
      </c>
      <c r="K2732" s="80" t="s">
        <v>84</v>
      </c>
      <c r="L2732" s="80" t="s">
        <v>84</v>
      </c>
      <c r="M2732" s="80" t="s">
        <v>84</v>
      </c>
      <c r="N2732" s="80" t="s">
        <v>84</v>
      </c>
      <c r="O2732" s="80" t="s">
        <v>84</v>
      </c>
      <c r="Q2732" s="80" t="s">
        <v>84</v>
      </c>
      <c r="R2732" s="80" t="s">
        <v>84</v>
      </c>
    </row>
    <row r="2733" spans="1:18" ht="20" x14ac:dyDescent="0.2">
      <c r="A2733" s="80" t="s">
        <v>6000</v>
      </c>
      <c r="B2733" s="80" t="s">
        <v>6001</v>
      </c>
      <c r="C2733" s="80" t="s">
        <v>84</v>
      </c>
      <c r="D2733" s="80" t="s">
        <v>84</v>
      </c>
      <c r="E2733" s="80" t="s">
        <v>84</v>
      </c>
      <c r="G2733" s="80" t="s">
        <v>84</v>
      </c>
      <c r="H2733" s="80" t="s">
        <v>84</v>
      </c>
      <c r="I2733" s="80" t="s">
        <v>84</v>
      </c>
      <c r="J2733" s="80" t="s">
        <v>84</v>
      </c>
      <c r="K2733" s="80" t="s">
        <v>84</v>
      </c>
      <c r="L2733" s="80" t="s">
        <v>84</v>
      </c>
      <c r="M2733" s="80" t="s">
        <v>84</v>
      </c>
      <c r="N2733" s="80" t="s">
        <v>84</v>
      </c>
      <c r="O2733" s="80" t="s">
        <v>84</v>
      </c>
      <c r="Q2733" s="80" t="s">
        <v>84</v>
      </c>
      <c r="R2733" s="80" t="s">
        <v>84</v>
      </c>
    </row>
    <row r="2734" spans="1:18" ht="20" x14ac:dyDescent="0.2">
      <c r="A2734" s="80" t="s">
        <v>5986</v>
      </c>
      <c r="B2734" s="80" t="s">
        <v>5987</v>
      </c>
      <c r="C2734" s="80" t="s">
        <v>9722</v>
      </c>
      <c r="D2734" s="80" t="s">
        <v>84</v>
      </c>
      <c r="E2734" s="80" t="s">
        <v>84</v>
      </c>
      <c r="G2734" s="80" t="s">
        <v>84</v>
      </c>
      <c r="H2734" s="80" t="s">
        <v>84</v>
      </c>
      <c r="I2734" s="80" t="s">
        <v>84</v>
      </c>
      <c r="J2734" s="80" t="s">
        <v>84</v>
      </c>
      <c r="K2734" s="80" t="s">
        <v>84</v>
      </c>
      <c r="L2734" s="80" t="s">
        <v>84</v>
      </c>
      <c r="M2734" s="80" t="s">
        <v>84</v>
      </c>
      <c r="N2734" s="80" t="s">
        <v>84</v>
      </c>
      <c r="O2734" s="80" t="s">
        <v>84</v>
      </c>
      <c r="Q2734" s="80" t="s">
        <v>84</v>
      </c>
      <c r="R2734" s="80" t="s">
        <v>84</v>
      </c>
    </row>
    <row r="2735" spans="1:18" ht="20" x14ac:dyDescent="0.2">
      <c r="A2735" s="80" t="s">
        <v>5990</v>
      </c>
      <c r="B2735" s="80" t="s">
        <v>5991</v>
      </c>
      <c r="C2735" s="80" t="s">
        <v>84</v>
      </c>
      <c r="D2735" s="80" t="s">
        <v>84</v>
      </c>
      <c r="E2735" s="80" t="s">
        <v>84</v>
      </c>
      <c r="G2735" s="80" t="s">
        <v>84</v>
      </c>
      <c r="H2735" s="80" t="s">
        <v>84</v>
      </c>
      <c r="I2735" s="80" t="s">
        <v>84</v>
      </c>
      <c r="J2735" s="80" t="s">
        <v>84</v>
      </c>
      <c r="K2735" s="80" t="s">
        <v>84</v>
      </c>
      <c r="L2735" s="80" t="s">
        <v>84</v>
      </c>
      <c r="M2735" s="80" t="s">
        <v>84</v>
      </c>
      <c r="N2735" s="80" t="s">
        <v>84</v>
      </c>
      <c r="O2735" s="80" t="s">
        <v>84</v>
      </c>
      <c r="Q2735" s="80" t="s">
        <v>84</v>
      </c>
      <c r="R2735" s="80" t="s">
        <v>84</v>
      </c>
    </row>
    <row r="2736" spans="1:18" ht="20" x14ac:dyDescent="0.2">
      <c r="A2736" s="80" t="s">
        <v>5992</v>
      </c>
      <c r="B2736" s="80" t="s">
        <v>5993</v>
      </c>
      <c r="C2736" s="80" t="s">
        <v>84</v>
      </c>
      <c r="D2736" s="80" t="s">
        <v>84</v>
      </c>
      <c r="E2736" s="80" t="s">
        <v>84</v>
      </c>
      <c r="G2736" s="80" t="s">
        <v>84</v>
      </c>
      <c r="H2736" s="80" t="s">
        <v>84</v>
      </c>
      <c r="I2736" s="80" t="s">
        <v>84</v>
      </c>
      <c r="J2736" s="80" t="s">
        <v>84</v>
      </c>
      <c r="K2736" s="80" t="s">
        <v>84</v>
      </c>
      <c r="L2736" s="80" t="s">
        <v>84</v>
      </c>
      <c r="M2736" s="80" t="s">
        <v>84</v>
      </c>
      <c r="N2736" s="80" t="s">
        <v>84</v>
      </c>
      <c r="O2736" s="80" t="s">
        <v>84</v>
      </c>
      <c r="Q2736" s="80" t="s">
        <v>84</v>
      </c>
      <c r="R2736" s="80" t="s">
        <v>84</v>
      </c>
    </row>
    <row r="2737" spans="1:18" ht="20" x14ac:dyDescent="0.2">
      <c r="A2737" s="80" t="s">
        <v>5976</v>
      </c>
      <c r="B2737" s="80" t="s">
        <v>5977</v>
      </c>
      <c r="C2737" s="80" t="s">
        <v>84</v>
      </c>
      <c r="D2737" s="80" t="s">
        <v>84</v>
      </c>
      <c r="E2737" s="80" t="s">
        <v>84</v>
      </c>
      <c r="G2737" s="80" t="s">
        <v>84</v>
      </c>
      <c r="H2737" s="80" t="s">
        <v>84</v>
      </c>
      <c r="I2737" s="80" t="s">
        <v>84</v>
      </c>
      <c r="J2737" s="80" t="s">
        <v>84</v>
      </c>
      <c r="K2737" s="80" t="s">
        <v>84</v>
      </c>
      <c r="L2737" s="80" t="s">
        <v>84</v>
      </c>
      <c r="M2737" s="80" t="s">
        <v>84</v>
      </c>
      <c r="N2737" s="80" t="s">
        <v>84</v>
      </c>
      <c r="O2737" s="80" t="s">
        <v>84</v>
      </c>
      <c r="Q2737" s="80" t="s">
        <v>84</v>
      </c>
      <c r="R2737" s="80" t="s">
        <v>84</v>
      </c>
    </row>
    <row r="2738" spans="1:18" ht="20" x14ac:dyDescent="0.2">
      <c r="A2738" s="80" t="s">
        <v>5978</v>
      </c>
      <c r="B2738" s="80" t="s">
        <v>5979</v>
      </c>
      <c r="C2738" s="80" t="s">
        <v>84</v>
      </c>
      <c r="D2738" s="80" t="s">
        <v>84</v>
      </c>
      <c r="E2738" s="80" t="s">
        <v>84</v>
      </c>
      <c r="G2738" s="80" t="s">
        <v>84</v>
      </c>
      <c r="H2738" s="80" t="s">
        <v>84</v>
      </c>
      <c r="I2738" s="80" t="s">
        <v>84</v>
      </c>
      <c r="J2738" s="80" t="s">
        <v>84</v>
      </c>
      <c r="K2738" s="80" t="s">
        <v>84</v>
      </c>
      <c r="L2738" s="80" t="s">
        <v>84</v>
      </c>
      <c r="M2738" s="80" t="s">
        <v>84</v>
      </c>
      <c r="N2738" s="80" t="s">
        <v>84</v>
      </c>
      <c r="O2738" s="80" t="s">
        <v>84</v>
      </c>
      <c r="Q2738" s="80" t="s">
        <v>84</v>
      </c>
      <c r="R2738" s="80" t="s">
        <v>84</v>
      </c>
    </row>
    <row r="2739" spans="1:18" ht="20" x14ac:dyDescent="0.2">
      <c r="A2739" s="80" t="s">
        <v>5982</v>
      </c>
      <c r="B2739" s="80" t="s">
        <v>5983</v>
      </c>
      <c r="C2739" s="80" t="s">
        <v>84</v>
      </c>
      <c r="D2739" s="80" t="s">
        <v>84</v>
      </c>
      <c r="E2739" s="80" t="s">
        <v>84</v>
      </c>
      <c r="G2739" s="80" t="s">
        <v>84</v>
      </c>
      <c r="H2739" s="80" t="s">
        <v>84</v>
      </c>
      <c r="I2739" s="80" t="s">
        <v>84</v>
      </c>
      <c r="J2739" s="80" t="s">
        <v>84</v>
      </c>
      <c r="K2739" s="80" t="s">
        <v>84</v>
      </c>
      <c r="L2739" s="80" t="s">
        <v>84</v>
      </c>
      <c r="M2739" s="80" t="s">
        <v>84</v>
      </c>
      <c r="N2739" s="80" t="s">
        <v>84</v>
      </c>
      <c r="O2739" s="80" t="s">
        <v>84</v>
      </c>
      <c r="Q2739" s="80" t="s">
        <v>84</v>
      </c>
      <c r="R2739" s="80" t="s">
        <v>84</v>
      </c>
    </row>
    <row r="2740" spans="1:18" ht="20" x14ac:dyDescent="0.2">
      <c r="A2740" s="80" t="s">
        <v>6002</v>
      </c>
      <c r="B2740" s="80" t="s">
        <v>6003</v>
      </c>
      <c r="C2740" s="80" t="s">
        <v>84</v>
      </c>
      <c r="D2740" s="80" t="s">
        <v>84</v>
      </c>
      <c r="E2740" s="80" t="s">
        <v>84</v>
      </c>
      <c r="G2740" s="80" t="s">
        <v>84</v>
      </c>
      <c r="H2740" s="80" t="s">
        <v>84</v>
      </c>
      <c r="I2740" s="80" t="s">
        <v>84</v>
      </c>
      <c r="J2740" s="80" t="s">
        <v>84</v>
      </c>
      <c r="K2740" s="80" t="s">
        <v>84</v>
      </c>
      <c r="L2740" s="80" t="s">
        <v>84</v>
      </c>
      <c r="M2740" s="80" t="s">
        <v>84</v>
      </c>
      <c r="N2740" s="80" t="s">
        <v>84</v>
      </c>
      <c r="O2740" s="80" t="s">
        <v>84</v>
      </c>
      <c r="Q2740" s="80" t="s">
        <v>84</v>
      </c>
      <c r="R2740" s="80" t="s">
        <v>84</v>
      </c>
    </row>
    <row r="2741" spans="1:18" ht="20" x14ac:dyDescent="0.2">
      <c r="A2741" s="80" t="s">
        <v>2417</v>
      </c>
      <c r="B2741" s="80" t="s">
        <v>2418</v>
      </c>
      <c r="C2741" s="80" t="s">
        <v>9680</v>
      </c>
      <c r="D2741" s="80" t="s">
        <v>9680</v>
      </c>
      <c r="E2741" s="80" t="s">
        <v>9680</v>
      </c>
      <c r="G2741" s="80" t="s">
        <v>9680</v>
      </c>
      <c r="H2741" s="80" t="s">
        <v>9680</v>
      </c>
      <c r="I2741" s="80" t="s">
        <v>9680</v>
      </c>
      <c r="J2741" s="80" t="s">
        <v>84</v>
      </c>
      <c r="K2741" s="80" t="s">
        <v>9680</v>
      </c>
      <c r="L2741" s="80" t="s">
        <v>9680</v>
      </c>
      <c r="M2741" s="80" t="s">
        <v>84</v>
      </c>
      <c r="N2741" s="80" t="s">
        <v>9680</v>
      </c>
      <c r="O2741" s="80" t="s">
        <v>84</v>
      </c>
      <c r="Q2741" s="80" t="s">
        <v>84</v>
      </c>
      <c r="R2741" s="80" t="s">
        <v>84</v>
      </c>
    </row>
    <row r="2742" spans="1:18" ht="20" x14ac:dyDescent="0.2">
      <c r="A2742" s="80" t="s">
        <v>2417</v>
      </c>
      <c r="B2742" s="80" t="s">
        <v>10698</v>
      </c>
      <c r="C2742" s="80" t="s">
        <v>9680</v>
      </c>
      <c r="D2742" s="80" t="s">
        <v>9680</v>
      </c>
      <c r="E2742" s="80" t="s">
        <v>9680</v>
      </c>
      <c r="G2742" s="80" t="s">
        <v>9680</v>
      </c>
      <c r="H2742" s="80" t="s">
        <v>9680</v>
      </c>
      <c r="I2742" s="80" t="s">
        <v>9680</v>
      </c>
      <c r="J2742" s="80" t="s">
        <v>84</v>
      </c>
      <c r="K2742" s="80" t="s">
        <v>9680</v>
      </c>
      <c r="L2742" s="80" t="s">
        <v>9680</v>
      </c>
      <c r="M2742" s="80" t="s">
        <v>84</v>
      </c>
      <c r="N2742" s="80" t="s">
        <v>9680</v>
      </c>
      <c r="O2742" s="80" t="s">
        <v>84</v>
      </c>
      <c r="Q2742" s="80" t="s">
        <v>84</v>
      </c>
      <c r="R2742" s="80" t="s">
        <v>84</v>
      </c>
    </row>
    <row r="2743" spans="1:18" ht="20" x14ac:dyDescent="0.2">
      <c r="A2743" s="80" t="s">
        <v>3087</v>
      </c>
      <c r="B2743" s="80" t="s">
        <v>3088</v>
      </c>
      <c r="C2743" s="80" t="s">
        <v>9680</v>
      </c>
      <c r="D2743" s="80" t="s">
        <v>84</v>
      </c>
      <c r="E2743" s="80" t="s">
        <v>84</v>
      </c>
      <c r="G2743" s="80" t="s">
        <v>84</v>
      </c>
      <c r="H2743" s="80" t="s">
        <v>84</v>
      </c>
      <c r="I2743" s="80" t="s">
        <v>84</v>
      </c>
      <c r="J2743" s="80" t="s">
        <v>84</v>
      </c>
      <c r="K2743" s="80" t="s">
        <v>84</v>
      </c>
      <c r="L2743" s="80" t="s">
        <v>84</v>
      </c>
      <c r="M2743" s="80" t="s">
        <v>84</v>
      </c>
      <c r="N2743" s="80" t="s">
        <v>84</v>
      </c>
      <c r="O2743" s="80" t="s">
        <v>84</v>
      </c>
      <c r="Q2743" s="80" t="s">
        <v>84</v>
      </c>
      <c r="R2743" s="80" t="s">
        <v>84</v>
      </c>
    </row>
    <row r="2744" spans="1:18" ht="20" x14ac:dyDescent="0.2">
      <c r="A2744" s="80" t="s">
        <v>3089</v>
      </c>
      <c r="B2744" s="80" t="s">
        <v>3090</v>
      </c>
      <c r="C2744" s="80" t="s">
        <v>9680</v>
      </c>
      <c r="D2744" s="80" t="s">
        <v>84</v>
      </c>
      <c r="E2744" s="80" t="s">
        <v>84</v>
      </c>
      <c r="G2744" s="80" t="s">
        <v>84</v>
      </c>
      <c r="H2744" s="80" t="s">
        <v>84</v>
      </c>
      <c r="I2744" s="80" t="s">
        <v>84</v>
      </c>
      <c r="J2744" s="80" t="s">
        <v>84</v>
      </c>
      <c r="K2744" s="80" t="s">
        <v>84</v>
      </c>
      <c r="L2744" s="80" t="s">
        <v>84</v>
      </c>
      <c r="M2744" s="80" t="s">
        <v>84</v>
      </c>
      <c r="N2744" s="80" t="s">
        <v>84</v>
      </c>
      <c r="O2744" s="80" t="s">
        <v>84</v>
      </c>
      <c r="Q2744" s="80" t="s">
        <v>84</v>
      </c>
      <c r="R2744" s="80" t="s">
        <v>84</v>
      </c>
    </row>
    <row r="2745" spans="1:18" ht="20" x14ac:dyDescent="0.2">
      <c r="A2745" s="80" t="s">
        <v>4016</v>
      </c>
      <c r="B2745" s="80" t="s">
        <v>4017</v>
      </c>
      <c r="C2745" s="80" t="s">
        <v>9722</v>
      </c>
      <c r="D2745" s="80" t="s">
        <v>84</v>
      </c>
      <c r="E2745" s="80" t="s">
        <v>84</v>
      </c>
      <c r="G2745" s="80" t="s">
        <v>84</v>
      </c>
      <c r="H2745" s="80" t="s">
        <v>84</v>
      </c>
      <c r="I2745" s="80" t="s">
        <v>84</v>
      </c>
      <c r="J2745" s="80" t="s">
        <v>84</v>
      </c>
      <c r="K2745" s="80" t="s">
        <v>84</v>
      </c>
      <c r="L2745" s="80" t="s">
        <v>84</v>
      </c>
      <c r="M2745" s="80" t="s">
        <v>84</v>
      </c>
      <c r="N2745" s="80" t="s">
        <v>84</v>
      </c>
      <c r="O2745" s="80" t="s">
        <v>84</v>
      </c>
      <c r="Q2745" s="80" t="s">
        <v>84</v>
      </c>
      <c r="R2745" s="80" t="s">
        <v>84</v>
      </c>
    </row>
    <row r="2746" spans="1:18" ht="20" x14ac:dyDescent="0.2">
      <c r="A2746" s="80" t="s">
        <v>4020</v>
      </c>
      <c r="B2746" s="80" t="s">
        <v>4021</v>
      </c>
      <c r="C2746" s="80" t="s">
        <v>9722</v>
      </c>
      <c r="D2746" s="80" t="s">
        <v>84</v>
      </c>
      <c r="E2746" s="80" t="s">
        <v>84</v>
      </c>
      <c r="G2746" s="80" t="s">
        <v>84</v>
      </c>
      <c r="H2746" s="80" t="s">
        <v>84</v>
      </c>
      <c r="I2746" s="80" t="s">
        <v>84</v>
      </c>
      <c r="J2746" s="80" t="s">
        <v>84</v>
      </c>
      <c r="K2746" s="80" t="s">
        <v>84</v>
      </c>
      <c r="L2746" s="80" t="s">
        <v>84</v>
      </c>
      <c r="M2746" s="80" t="s">
        <v>84</v>
      </c>
      <c r="N2746" s="80" t="s">
        <v>84</v>
      </c>
      <c r="O2746" s="80" t="s">
        <v>84</v>
      </c>
      <c r="Q2746" s="80" t="s">
        <v>84</v>
      </c>
      <c r="R2746" s="80" t="s">
        <v>84</v>
      </c>
    </row>
    <row r="2747" spans="1:18" ht="20" x14ac:dyDescent="0.2">
      <c r="A2747" s="80" t="s">
        <v>6785</v>
      </c>
      <c r="B2747" s="80" t="s">
        <v>6786</v>
      </c>
      <c r="C2747" s="80" t="s">
        <v>84</v>
      </c>
      <c r="D2747" s="80" t="s">
        <v>84</v>
      </c>
      <c r="E2747" s="80" t="s">
        <v>84</v>
      </c>
      <c r="G2747" s="80" t="s">
        <v>84</v>
      </c>
      <c r="H2747" s="80" t="s">
        <v>84</v>
      </c>
      <c r="I2747" s="80" t="s">
        <v>84</v>
      </c>
      <c r="J2747" s="80" t="s">
        <v>84</v>
      </c>
      <c r="K2747" s="80" t="s">
        <v>84</v>
      </c>
      <c r="L2747" s="80" t="s">
        <v>84</v>
      </c>
      <c r="M2747" s="80" t="s">
        <v>84</v>
      </c>
      <c r="N2747" s="80" t="s">
        <v>84</v>
      </c>
      <c r="O2747" s="80" t="s">
        <v>84</v>
      </c>
      <c r="Q2747" s="80" t="s">
        <v>84</v>
      </c>
      <c r="R2747" s="80" t="s">
        <v>84</v>
      </c>
    </row>
    <row r="2748" spans="1:18" ht="20" x14ac:dyDescent="0.2">
      <c r="A2748" s="80" t="s">
        <v>6787</v>
      </c>
      <c r="B2748" s="80" t="s">
        <v>10699</v>
      </c>
      <c r="C2748" s="80" t="s">
        <v>9680</v>
      </c>
      <c r="D2748" s="80" t="s">
        <v>84</v>
      </c>
      <c r="E2748" s="80" t="s">
        <v>84</v>
      </c>
      <c r="G2748" s="80" t="s">
        <v>84</v>
      </c>
      <c r="H2748" s="80" t="s">
        <v>84</v>
      </c>
      <c r="I2748" s="80" t="s">
        <v>84</v>
      </c>
      <c r="J2748" s="80" t="s">
        <v>84</v>
      </c>
      <c r="K2748" s="80" t="s">
        <v>84</v>
      </c>
      <c r="L2748" s="80" t="s">
        <v>84</v>
      </c>
      <c r="M2748" s="80" t="s">
        <v>84</v>
      </c>
      <c r="N2748" s="80" t="s">
        <v>84</v>
      </c>
      <c r="O2748" s="80" t="s">
        <v>84</v>
      </c>
      <c r="Q2748" s="80" t="s">
        <v>84</v>
      </c>
      <c r="R2748" s="80" t="s">
        <v>84</v>
      </c>
    </row>
    <row r="2749" spans="1:18" ht="20" x14ac:dyDescent="0.2">
      <c r="A2749" s="80" t="s">
        <v>6787</v>
      </c>
      <c r="B2749" s="80" t="s">
        <v>6788</v>
      </c>
      <c r="C2749" s="80" t="s">
        <v>9680</v>
      </c>
      <c r="D2749" s="80" t="s">
        <v>84</v>
      </c>
      <c r="E2749" s="80" t="s">
        <v>84</v>
      </c>
      <c r="G2749" s="80" t="s">
        <v>84</v>
      </c>
      <c r="H2749" s="80" t="s">
        <v>84</v>
      </c>
      <c r="I2749" s="80" t="s">
        <v>84</v>
      </c>
      <c r="J2749" s="80" t="s">
        <v>84</v>
      </c>
      <c r="K2749" s="80" t="s">
        <v>84</v>
      </c>
      <c r="L2749" s="80" t="s">
        <v>84</v>
      </c>
      <c r="M2749" s="80" t="s">
        <v>84</v>
      </c>
      <c r="N2749" s="80" t="s">
        <v>84</v>
      </c>
      <c r="O2749" s="80" t="s">
        <v>84</v>
      </c>
      <c r="Q2749" s="80" t="s">
        <v>84</v>
      </c>
      <c r="R2749" s="80" t="s">
        <v>84</v>
      </c>
    </row>
    <row r="2750" spans="1:18" ht="20" x14ac:dyDescent="0.2">
      <c r="A2750" s="80" t="s">
        <v>6787</v>
      </c>
      <c r="B2750" s="80" t="s">
        <v>10700</v>
      </c>
      <c r="C2750" s="80" t="s">
        <v>9680</v>
      </c>
      <c r="D2750" s="80" t="s">
        <v>84</v>
      </c>
      <c r="E2750" s="80" t="s">
        <v>84</v>
      </c>
      <c r="G2750" s="80" t="s">
        <v>84</v>
      </c>
      <c r="H2750" s="80" t="s">
        <v>84</v>
      </c>
      <c r="I2750" s="80" t="s">
        <v>84</v>
      </c>
      <c r="J2750" s="80" t="s">
        <v>84</v>
      </c>
      <c r="K2750" s="80" t="s">
        <v>84</v>
      </c>
      <c r="L2750" s="80" t="s">
        <v>84</v>
      </c>
      <c r="M2750" s="80" t="s">
        <v>84</v>
      </c>
      <c r="N2750" s="80" t="s">
        <v>84</v>
      </c>
      <c r="O2750" s="80" t="s">
        <v>84</v>
      </c>
      <c r="Q2750" s="80" t="s">
        <v>84</v>
      </c>
      <c r="R2750" s="80" t="s">
        <v>84</v>
      </c>
    </row>
    <row r="2751" spans="1:18" ht="20" x14ac:dyDescent="0.2">
      <c r="A2751" s="80" t="s">
        <v>6791</v>
      </c>
      <c r="B2751" s="80" t="s">
        <v>10701</v>
      </c>
      <c r="C2751" s="80" t="s">
        <v>9680</v>
      </c>
      <c r="D2751" s="80" t="s">
        <v>84</v>
      </c>
      <c r="E2751" s="80" t="s">
        <v>84</v>
      </c>
      <c r="G2751" s="80" t="s">
        <v>84</v>
      </c>
      <c r="H2751" s="80" t="s">
        <v>84</v>
      </c>
      <c r="I2751" s="80" t="s">
        <v>84</v>
      </c>
      <c r="J2751" s="80" t="s">
        <v>84</v>
      </c>
      <c r="K2751" s="80" t="s">
        <v>84</v>
      </c>
      <c r="L2751" s="80" t="s">
        <v>84</v>
      </c>
      <c r="M2751" s="80" t="s">
        <v>84</v>
      </c>
      <c r="N2751" s="80" t="s">
        <v>84</v>
      </c>
      <c r="O2751" s="80" t="s">
        <v>84</v>
      </c>
      <c r="Q2751" s="80" t="s">
        <v>84</v>
      </c>
      <c r="R2751" s="80" t="s">
        <v>84</v>
      </c>
    </row>
    <row r="2752" spans="1:18" ht="20" x14ac:dyDescent="0.2">
      <c r="A2752" s="80" t="s">
        <v>6791</v>
      </c>
      <c r="B2752" s="80" t="s">
        <v>6792</v>
      </c>
      <c r="C2752" s="80" t="s">
        <v>9680</v>
      </c>
      <c r="D2752" s="80" t="s">
        <v>84</v>
      </c>
      <c r="E2752" s="80" t="s">
        <v>84</v>
      </c>
      <c r="G2752" s="80" t="s">
        <v>84</v>
      </c>
      <c r="H2752" s="80" t="s">
        <v>84</v>
      </c>
      <c r="I2752" s="80" t="s">
        <v>84</v>
      </c>
      <c r="J2752" s="80" t="s">
        <v>84</v>
      </c>
      <c r="K2752" s="80" t="s">
        <v>84</v>
      </c>
      <c r="L2752" s="80" t="s">
        <v>84</v>
      </c>
      <c r="M2752" s="80" t="s">
        <v>84</v>
      </c>
      <c r="N2752" s="80" t="s">
        <v>84</v>
      </c>
      <c r="O2752" s="80" t="s">
        <v>84</v>
      </c>
      <c r="Q2752" s="80" t="s">
        <v>84</v>
      </c>
      <c r="R2752" s="80" t="s">
        <v>84</v>
      </c>
    </row>
    <row r="2753" spans="1:18" ht="20" x14ac:dyDescent="0.2">
      <c r="A2753" s="80" t="s">
        <v>6793</v>
      </c>
      <c r="B2753" s="80" t="s">
        <v>6794</v>
      </c>
      <c r="C2753" s="80" t="s">
        <v>9680</v>
      </c>
      <c r="D2753" s="80" t="s">
        <v>84</v>
      </c>
      <c r="E2753" s="80" t="s">
        <v>84</v>
      </c>
      <c r="G2753" s="80" t="s">
        <v>84</v>
      </c>
      <c r="H2753" s="80" t="s">
        <v>84</v>
      </c>
      <c r="I2753" s="80" t="s">
        <v>84</v>
      </c>
      <c r="J2753" s="80" t="s">
        <v>84</v>
      </c>
      <c r="K2753" s="80" t="s">
        <v>84</v>
      </c>
      <c r="L2753" s="80" t="s">
        <v>84</v>
      </c>
      <c r="M2753" s="80" t="s">
        <v>84</v>
      </c>
      <c r="N2753" s="80" t="s">
        <v>84</v>
      </c>
      <c r="O2753" s="80" t="s">
        <v>84</v>
      </c>
      <c r="Q2753" s="80" t="s">
        <v>84</v>
      </c>
      <c r="R2753" s="80" t="s">
        <v>84</v>
      </c>
    </row>
    <row r="2754" spans="1:18" ht="20" x14ac:dyDescent="0.2">
      <c r="A2754" s="80" t="s">
        <v>6795</v>
      </c>
      <c r="B2754" s="80" t="s">
        <v>6796</v>
      </c>
      <c r="C2754" s="80" t="s">
        <v>9680</v>
      </c>
      <c r="D2754" s="80" t="s">
        <v>9680</v>
      </c>
      <c r="E2754" s="80" t="s">
        <v>9680</v>
      </c>
      <c r="G2754" s="80" t="s">
        <v>9680</v>
      </c>
      <c r="H2754" s="80" t="s">
        <v>9680</v>
      </c>
      <c r="I2754" s="80" t="s">
        <v>9680</v>
      </c>
      <c r="J2754" s="80" t="s">
        <v>84</v>
      </c>
      <c r="K2754" s="80" t="s">
        <v>9680</v>
      </c>
      <c r="L2754" s="80" t="s">
        <v>9680</v>
      </c>
      <c r="M2754" s="80" t="s">
        <v>84</v>
      </c>
      <c r="N2754" s="80" t="s">
        <v>9680</v>
      </c>
      <c r="O2754" s="80" t="s">
        <v>84</v>
      </c>
      <c r="Q2754" s="80" t="s">
        <v>84</v>
      </c>
      <c r="R2754" s="80" t="s">
        <v>84</v>
      </c>
    </row>
    <row r="2755" spans="1:18" ht="20" x14ac:dyDescent="0.2">
      <c r="A2755" s="80" t="s">
        <v>6795</v>
      </c>
      <c r="B2755" s="80" t="s">
        <v>10702</v>
      </c>
      <c r="C2755" s="80" t="s">
        <v>9680</v>
      </c>
      <c r="D2755" s="80" t="s">
        <v>9680</v>
      </c>
      <c r="E2755" s="80" t="s">
        <v>9680</v>
      </c>
      <c r="G2755" s="80" t="s">
        <v>9680</v>
      </c>
      <c r="H2755" s="80" t="s">
        <v>9680</v>
      </c>
      <c r="I2755" s="80" t="s">
        <v>9680</v>
      </c>
      <c r="J2755" s="80" t="s">
        <v>84</v>
      </c>
      <c r="K2755" s="80" t="s">
        <v>9680</v>
      </c>
      <c r="L2755" s="80" t="s">
        <v>9680</v>
      </c>
      <c r="M2755" s="80" t="s">
        <v>84</v>
      </c>
      <c r="N2755" s="80" t="s">
        <v>9680</v>
      </c>
      <c r="O2755" s="80" t="s">
        <v>84</v>
      </c>
      <c r="Q2755" s="80" t="s">
        <v>84</v>
      </c>
      <c r="R2755" s="80" t="s">
        <v>84</v>
      </c>
    </row>
    <row r="2756" spans="1:18" ht="20" x14ac:dyDescent="0.2">
      <c r="A2756" s="80" t="s">
        <v>1288</v>
      </c>
      <c r="B2756" s="80" t="s">
        <v>1289</v>
      </c>
      <c r="C2756" s="80" t="s">
        <v>9680</v>
      </c>
      <c r="D2756" s="80" t="s">
        <v>9680</v>
      </c>
      <c r="E2756" s="80" t="s">
        <v>9680</v>
      </c>
      <c r="G2756" s="80" t="s">
        <v>9680</v>
      </c>
      <c r="H2756" s="80" t="s">
        <v>9680</v>
      </c>
      <c r="I2756" s="80" t="s">
        <v>9680</v>
      </c>
      <c r="J2756" s="80" t="s">
        <v>84</v>
      </c>
      <c r="K2756" s="80" t="s">
        <v>9680</v>
      </c>
      <c r="L2756" s="80" t="s">
        <v>9680</v>
      </c>
      <c r="M2756" s="80" t="s">
        <v>84</v>
      </c>
      <c r="N2756" s="80" t="s">
        <v>9680</v>
      </c>
      <c r="O2756" s="80" t="s">
        <v>84</v>
      </c>
      <c r="Q2756" s="80" t="s">
        <v>84</v>
      </c>
      <c r="R2756" s="80" t="s">
        <v>84</v>
      </c>
    </row>
    <row r="2757" spans="1:18" ht="20" x14ac:dyDescent="0.2">
      <c r="A2757" s="80" t="s">
        <v>1288</v>
      </c>
      <c r="B2757" s="80" t="s">
        <v>10703</v>
      </c>
      <c r="C2757" s="80" t="s">
        <v>9680</v>
      </c>
      <c r="D2757" s="80" t="s">
        <v>9680</v>
      </c>
      <c r="E2757" s="80" t="s">
        <v>9680</v>
      </c>
      <c r="G2757" s="80" t="s">
        <v>9680</v>
      </c>
      <c r="H2757" s="80" t="s">
        <v>9680</v>
      </c>
      <c r="I2757" s="80" t="s">
        <v>9680</v>
      </c>
      <c r="J2757" s="80" t="s">
        <v>84</v>
      </c>
      <c r="K2757" s="80" t="s">
        <v>9680</v>
      </c>
      <c r="L2757" s="80" t="s">
        <v>9680</v>
      </c>
      <c r="M2757" s="80" t="s">
        <v>84</v>
      </c>
      <c r="N2757" s="80" t="s">
        <v>9680</v>
      </c>
      <c r="O2757" s="80" t="s">
        <v>84</v>
      </c>
      <c r="Q2757" s="80" t="s">
        <v>84</v>
      </c>
      <c r="R2757" s="80" t="s">
        <v>84</v>
      </c>
    </row>
    <row r="2758" spans="1:18" ht="20" x14ac:dyDescent="0.2">
      <c r="A2758" s="80" t="s">
        <v>4018</v>
      </c>
      <c r="B2758" s="80" t="s">
        <v>10704</v>
      </c>
      <c r="C2758" s="80" t="s">
        <v>9722</v>
      </c>
      <c r="D2758" s="80" t="s">
        <v>84</v>
      </c>
      <c r="E2758" s="80" t="s">
        <v>84</v>
      </c>
      <c r="G2758" s="80" t="s">
        <v>84</v>
      </c>
      <c r="H2758" s="80" t="s">
        <v>84</v>
      </c>
      <c r="I2758" s="80" t="s">
        <v>84</v>
      </c>
      <c r="J2758" s="80" t="s">
        <v>84</v>
      </c>
      <c r="K2758" s="80" t="s">
        <v>84</v>
      </c>
      <c r="L2758" s="80" t="s">
        <v>84</v>
      </c>
      <c r="M2758" s="80" t="s">
        <v>84</v>
      </c>
      <c r="N2758" s="80" t="s">
        <v>84</v>
      </c>
      <c r="O2758" s="80" t="s">
        <v>84</v>
      </c>
      <c r="Q2758" s="80" t="s">
        <v>84</v>
      </c>
      <c r="R2758" s="80" t="s">
        <v>84</v>
      </c>
    </row>
    <row r="2759" spans="1:18" x14ac:dyDescent="0.2">
      <c r="A2759" s="80" t="s">
        <v>4018</v>
      </c>
      <c r="B2759" s="80" t="s">
        <v>4019</v>
      </c>
      <c r="C2759" s="80" t="s">
        <v>9722</v>
      </c>
      <c r="D2759" s="80" t="s">
        <v>84</v>
      </c>
      <c r="E2759" s="80" t="s">
        <v>84</v>
      </c>
      <c r="G2759" s="80" t="s">
        <v>84</v>
      </c>
      <c r="H2759" s="80" t="s">
        <v>84</v>
      </c>
      <c r="I2759" s="80" t="s">
        <v>84</v>
      </c>
      <c r="J2759" s="80" t="s">
        <v>84</v>
      </c>
      <c r="K2759" s="80" t="s">
        <v>84</v>
      </c>
      <c r="L2759" s="80" t="s">
        <v>84</v>
      </c>
      <c r="M2759" s="80" t="s">
        <v>84</v>
      </c>
      <c r="N2759" s="80" t="s">
        <v>84</v>
      </c>
      <c r="O2759" s="80" t="s">
        <v>84</v>
      </c>
      <c r="Q2759" s="80" t="s">
        <v>84</v>
      </c>
      <c r="R2759" s="80" t="s">
        <v>84</v>
      </c>
    </row>
    <row r="2760" spans="1:18" ht="20" x14ac:dyDescent="0.2">
      <c r="A2760" s="80" t="s">
        <v>4646</v>
      </c>
      <c r="B2760" s="80" t="s">
        <v>4647</v>
      </c>
      <c r="C2760" s="80" t="s">
        <v>9680</v>
      </c>
      <c r="D2760" s="80" t="s">
        <v>84</v>
      </c>
      <c r="E2760" s="80" t="s">
        <v>84</v>
      </c>
      <c r="G2760" s="80" t="s">
        <v>84</v>
      </c>
      <c r="H2760" s="80" t="s">
        <v>84</v>
      </c>
      <c r="I2760" s="80" t="s">
        <v>84</v>
      </c>
      <c r="J2760" s="80" t="s">
        <v>84</v>
      </c>
      <c r="K2760" s="80" t="s">
        <v>84</v>
      </c>
      <c r="L2760" s="80" t="s">
        <v>84</v>
      </c>
      <c r="M2760" s="80" t="s">
        <v>84</v>
      </c>
      <c r="N2760" s="80" t="s">
        <v>84</v>
      </c>
      <c r="O2760" s="80" t="s">
        <v>84</v>
      </c>
      <c r="Q2760" s="80" t="s">
        <v>84</v>
      </c>
      <c r="R2760" s="80" t="s">
        <v>84</v>
      </c>
    </row>
    <row r="2761" spans="1:18" ht="20" x14ac:dyDescent="0.2">
      <c r="A2761" s="80" t="s">
        <v>2019</v>
      </c>
      <c r="B2761" s="80" t="s">
        <v>10705</v>
      </c>
      <c r="C2761" s="80" t="s">
        <v>9680</v>
      </c>
      <c r="D2761" s="80" t="s">
        <v>84</v>
      </c>
      <c r="E2761" s="80" t="s">
        <v>84</v>
      </c>
      <c r="G2761" s="80" t="s">
        <v>84</v>
      </c>
      <c r="H2761" s="80" t="s">
        <v>84</v>
      </c>
      <c r="I2761" s="80" t="s">
        <v>84</v>
      </c>
      <c r="J2761" s="80" t="s">
        <v>84</v>
      </c>
      <c r="K2761" s="80" t="s">
        <v>84</v>
      </c>
      <c r="L2761" s="80" t="s">
        <v>84</v>
      </c>
      <c r="M2761" s="80" t="s">
        <v>84</v>
      </c>
      <c r="N2761" s="80" t="s">
        <v>84</v>
      </c>
      <c r="O2761" s="80" t="s">
        <v>84</v>
      </c>
      <c r="Q2761" s="80" t="s">
        <v>84</v>
      </c>
      <c r="R2761" s="80" t="s">
        <v>84</v>
      </c>
    </row>
    <row r="2762" spans="1:18" ht="20" x14ac:dyDescent="0.2">
      <c r="A2762" s="80" t="s">
        <v>2019</v>
      </c>
      <c r="B2762" s="80" t="s">
        <v>2020</v>
      </c>
      <c r="C2762" s="80" t="s">
        <v>9680</v>
      </c>
      <c r="D2762" s="80" t="s">
        <v>84</v>
      </c>
      <c r="E2762" s="80" t="s">
        <v>84</v>
      </c>
      <c r="G2762" s="80" t="s">
        <v>84</v>
      </c>
      <c r="H2762" s="80" t="s">
        <v>84</v>
      </c>
      <c r="I2762" s="80" t="s">
        <v>84</v>
      </c>
      <c r="J2762" s="80" t="s">
        <v>84</v>
      </c>
      <c r="K2762" s="80" t="s">
        <v>84</v>
      </c>
      <c r="L2762" s="80" t="s">
        <v>84</v>
      </c>
      <c r="M2762" s="80" t="s">
        <v>84</v>
      </c>
      <c r="N2762" s="80" t="s">
        <v>84</v>
      </c>
      <c r="O2762" s="80" t="s">
        <v>84</v>
      </c>
      <c r="Q2762" s="80" t="s">
        <v>84</v>
      </c>
      <c r="R2762" s="80" t="s">
        <v>84</v>
      </c>
    </row>
    <row r="2763" spans="1:18" ht="20" x14ac:dyDescent="0.2">
      <c r="A2763" s="80" t="s">
        <v>10706</v>
      </c>
      <c r="B2763" s="80" t="s">
        <v>10707</v>
      </c>
      <c r="C2763" s="80" t="s">
        <v>9680</v>
      </c>
      <c r="D2763" s="80" t="s">
        <v>84</v>
      </c>
      <c r="E2763" s="80" t="s">
        <v>84</v>
      </c>
      <c r="G2763" s="80" t="s">
        <v>84</v>
      </c>
      <c r="H2763" s="80" t="s">
        <v>84</v>
      </c>
      <c r="I2763" s="80" t="s">
        <v>84</v>
      </c>
      <c r="J2763" s="80" t="s">
        <v>84</v>
      </c>
      <c r="K2763" s="80" t="s">
        <v>84</v>
      </c>
      <c r="L2763" s="80" t="s">
        <v>84</v>
      </c>
      <c r="M2763" s="80" t="s">
        <v>84</v>
      </c>
      <c r="N2763" s="80" t="s">
        <v>84</v>
      </c>
      <c r="O2763" s="80" t="s">
        <v>84</v>
      </c>
      <c r="Q2763" s="80" t="s">
        <v>84</v>
      </c>
      <c r="R2763" s="80" t="s">
        <v>84</v>
      </c>
    </row>
    <row r="2764" spans="1:18" ht="20" x14ac:dyDescent="0.2">
      <c r="A2764" s="80" t="s">
        <v>2017</v>
      </c>
      <c r="B2764" s="80" t="s">
        <v>10708</v>
      </c>
      <c r="C2764" s="80" t="s">
        <v>9680</v>
      </c>
      <c r="D2764" s="80" t="s">
        <v>84</v>
      </c>
      <c r="E2764" s="80" t="s">
        <v>84</v>
      </c>
      <c r="G2764" s="80" t="s">
        <v>84</v>
      </c>
      <c r="H2764" s="80" t="s">
        <v>84</v>
      </c>
      <c r="I2764" s="80" t="s">
        <v>84</v>
      </c>
      <c r="J2764" s="80" t="s">
        <v>84</v>
      </c>
      <c r="K2764" s="80" t="s">
        <v>84</v>
      </c>
      <c r="L2764" s="80" t="s">
        <v>84</v>
      </c>
      <c r="M2764" s="80" t="s">
        <v>84</v>
      </c>
      <c r="N2764" s="80" t="s">
        <v>84</v>
      </c>
      <c r="O2764" s="80" t="s">
        <v>84</v>
      </c>
      <c r="Q2764" s="80" t="s">
        <v>84</v>
      </c>
      <c r="R2764" s="80" t="s">
        <v>84</v>
      </c>
    </row>
    <row r="2765" spans="1:18" ht="20" x14ac:dyDescent="0.2">
      <c r="A2765" s="80" t="s">
        <v>2017</v>
      </c>
      <c r="B2765" s="80" t="s">
        <v>2018</v>
      </c>
      <c r="C2765" s="80" t="s">
        <v>9680</v>
      </c>
      <c r="D2765" s="80" t="s">
        <v>84</v>
      </c>
      <c r="E2765" s="80" t="s">
        <v>84</v>
      </c>
      <c r="G2765" s="80" t="s">
        <v>84</v>
      </c>
      <c r="H2765" s="80" t="s">
        <v>84</v>
      </c>
      <c r="I2765" s="80" t="s">
        <v>84</v>
      </c>
      <c r="J2765" s="80" t="s">
        <v>84</v>
      </c>
      <c r="K2765" s="80" t="s">
        <v>84</v>
      </c>
      <c r="L2765" s="80" t="s">
        <v>84</v>
      </c>
      <c r="M2765" s="80" t="s">
        <v>84</v>
      </c>
      <c r="N2765" s="80" t="s">
        <v>84</v>
      </c>
      <c r="O2765" s="80" t="s">
        <v>84</v>
      </c>
      <c r="Q2765" s="80" t="s">
        <v>84</v>
      </c>
      <c r="R2765" s="80" t="s">
        <v>84</v>
      </c>
    </row>
    <row r="2766" spans="1:18" ht="20" x14ac:dyDescent="0.2">
      <c r="A2766" s="80" t="s">
        <v>1727</v>
      </c>
      <c r="B2766" s="80" t="s">
        <v>1728</v>
      </c>
      <c r="C2766" s="80" t="s">
        <v>9680</v>
      </c>
      <c r="D2766" s="80" t="s">
        <v>84</v>
      </c>
      <c r="E2766" s="80" t="s">
        <v>84</v>
      </c>
      <c r="G2766" s="80" t="s">
        <v>84</v>
      </c>
      <c r="H2766" s="80" t="s">
        <v>84</v>
      </c>
      <c r="I2766" s="80" t="s">
        <v>84</v>
      </c>
      <c r="J2766" s="80" t="s">
        <v>84</v>
      </c>
      <c r="K2766" s="80" t="s">
        <v>84</v>
      </c>
      <c r="L2766" s="80" t="s">
        <v>84</v>
      </c>
      <c r="M2766" s="80" t="s">
        <v>84</v>
      </c>
      <c r="N2766" s="80" t="s">
        <v>84</v>
      </c>
      <c r="O2766" s="80" t="s">
        <v>84</v>
      </c>
      <c r="Q2766" s="80" t="s">
        <v>84</v>
      </c>
      <c r="R2766" s="80" t="s">
        <v>84</v>
      </c>
    </row>
    <row r="2767" spans="1:18" ht="20" x14ac:dyDescent="0.2">
      <c r="A2767" s="80" t="s">
        <v>601</v>
      </c>
      <c r="B2767" s="80" t="s">
        <v>10709</v>
      </c>
      <c r="C2767" s="80" t="s">
        <v>84</v>
      </c>
      <c r="D2767" s="80" t="s">
        <v>84</v>
      </c>
      <c r="E2767" s="80" t="s">
        <v>84</v>
      </c>
      <c r="G2767" s="80" t="s">
        <v>84</v>
      </c>
      <c r="H2767" s="80" t="s">
        <v>84</v>
      </c>
      <c r="I2767" s="80" t="s">
        <v>84</v>
      </c>
      <c r="J2767" s="80" t="s">
        <v>84</v>
      </c>
      <c r="K2767" s="80" t="s">
        <v>84</v>
      </c>
      <c r="L2767" s="80" t="s">
        <v>84</v>
      </c>
      <c r="M2767" s="80" t="s">
        <v>84</v>
      </c>
      <c r="N2767" s="80" t="s">
        <v>84</v>
      </c>
      <c r="O2767" s="80" t="s">
        <v>84</v>
      </c>
      <c r="Q2767" s="80" t="s">
        <v>84</v>
      </c>
      <c r="R2767" s="80" t="s">
        <v>84</v>
      </c>
    </row>
    <row r="2768" spans="1:18" ht="20" x14ac:dyDescent="0.2">
      <c r="A2768" s="80" t="s">
        <v>601</v>
      </c>
      <c r="B2768" s="80" t="s">
        <v>602</v>
      </c>
      <c r="C2768" s="80" t="s">
        <v>84</v>
      </c>
      <c r="D2768" s="80" t="s">
        <v>84</v>
      </c>
      <c r="E2768" s="80" t="s">
        <v>84</v>
      </c>
      <c r="G2768" s="80" t="s">
        <v>84</v>
      </c>
      <c r="H2768" s="80" t="s">
        <v>84</v>
      </c>
      <c r="I2768" s="80" t="s">
        <v>84</v>
      </c>
      <c r="J2768" s="80" t="s">
        <v>84</v>
      </c>
      <c r="K2768" s="80" t="s">
        <v>84</v>
      </c>
      <c r="L2768" s="80" t="s">
        <v>84</v>
      </c>
      <c r="M2768" s="80" t="s">
        <v>84</v>
      </c>
      <c r="N2768" s="80" t="s">
        <v>84</v>
      </c>
      <c r="O2768" s="80" t="s">
        <v>84</v>
      </c>
      <c r="Q2768" s="80" t="s">
        <v>84</v>
      </c>
      <c r="R2768" s="80" t="s">
        <v>84</v>
      </c>
    </row>
    <row r="2769" spans="1:18" ht="20" x14ac:dyDescent="0.2">
      <c r="A2769" s="80" t="s">
        <v>10710</v>
      </c>
      <c r="B2769" s="80" t="s">
        <v>10711</v>
      </c>
      <c r="C2769" s="80" t="s">
        <v>9680</v>
      </c>
      <c r="D2769" s="80" t="s">
        <v>84</v>
      </c>
      <c r="E2769" s="80" t="s">
        <v>84</v>
      </c>
      <c r="G2769" s="80" t="s">
        <v>84</v>
      </c>
      <c r="H2769" s="80" t="s">
        <v>84</v>
      </c>
      <c r="I2769" s="80" t="s">
        <v>84</v>
      </c>
      <c r="J2769" s="80" t="s">
        <v>84</v>
      </c>
      <c r="K2769" s="80" t="s">
        <v>84</v>
      </c>
      <c r="L2769" s="80" t="s">
        <v>84</v>
      </c>
      <c r="M2769" s="80" t="s">
        <v>84</v>
      </c>
      <c r="N2769" s="80" t="s">
        <v>84</v>
      </c>
      <c r="O2769" s="80" t="s">
        <v>84</v>
      </c>
      <c r="Q2769" s="80" t="s">
        <v>84</v>
      </c>
      <c r="R2769" s="80" t="s">
        <v>84</v>
      </c>
    </row>
    <row r="2770" spans="1:18" ht="20" x14ac:dyDescent="0.2">
      <c r="A2770" s="80" t="s">
        <v>10712</v>
      </c>
      <c r="B2770" s="80" t="s">
        <v>10713</v>
      </c>
      <c r="C2770" s="80" t="s">
        <v>84</v>
      </c>
      <c r="D2770" s="80" t="s">
        <v>84</v>
      </c>
      <c r="E2770" s="80" t="s">
        <v>84</v>
      </c>
      <c r="G2770" s="80" t="s">
        <v>84</v>
      </c>
      <c r="H2770" s="80" t="s">
        <v>84</v>
      </c>
      <c r="I2770" s="80" t="s">
        <v>84</v>
      </c>
      <c r="J2770" s="80" t="s">
        <v>84</v>
      </c>
      <c r="K2770" s="80" t="s">
        <v>84</v>
      </c>
      <c r="L2770" s="80" t="s">
        <v>84</v>
      </c>
      <c r="M2770" s="80" t="s">
        <v>84</v>
      </c>
      <c r="N2770" s="80" t="s">
        <v>84</v>
      </c>
      <c r="O2770" s="80" t="s">
        <v>84</v>
      </c>
      <c r="Q2770" s="80" t="s">
        <v>84</v>
      </c>
      <c r="R2770" s="80" t="s">
        <v>84</v>
      </c>
    </row>
    <row r="2771" spans="1:18" ht="20" x14ac:dyDescent="0.2">
      <c r="A2771" s="80" t="s">
        <v>603</v>
      </c>
      <c r="B2771" s="80" t="s">
        <v>10714</v>
      </c>
      <c r="C2771" s="80" t="s">
        <v>84</v>
      </c>
      <c r="D2771" s="80" t="s">
        <v>84</v>
      </c>
      <c r="E2771" s="80" t="s">
        <v>84</v>
      </c>
      <c r="G2771" s="80" t="s">
        <v>84</v>
      </c>
      <c r="H2771" s="80" t="s">
        <v>84</v>
      </c>
      <c r="I2771" s="80" t="s">
        <v>84</v>
      </c>
      <c r="J2771" s="80" t="s">
        <v>84</v>
      </c>
      <c r="K2771" s="80" t="s">
        <v>84</v>
      </c>
      <c r="L2771" s="80" t="s">
        <v>84</v>
      </c>
      <c r="M2771" s="80" t="s">
        <v>84</v>
      </c>
      <c r="N2771" s="80" t="s">
        <v>84</v>
      </c>
      <c r="O2771" s="80" t="s">
        <v>84</v>
      </c>
      <c r="Q2771" s="80" t="s">
        <v>84</v>
      </c>
      <c r="R2771" s="80" t="s">
        <v>84</v>
      </c>
    </row>
    <row r="2772" spans="1:18" ht="20" x14ac:dyDescent="0.2">
      <c r="A2772" s="80" t="s">
        <v>603</v>
      </c>
      <c r="B2772" s="80" t="s">
        <v>604</v>
      </c>
      <c r="C2772" s="80" t="s">
        <v>84</v>
      </c>
      <c r="D2772" s="80" t="s">
        <v>84</v>
      </c>
      <c r="E2772" s="80" t="s">
        <v>84</v>
      </c>
      <c r="G2772" s="80" t="s">
        <v>84</v>
      </c>
      <c r="H2772" s="80" t="s">
        <v>84</v>
      </c>
      <c r="I2772" s="80" t="s">
        <v>84</v>
      </c>
      <c r="J2772" s="80" t="s">
        <v>84</v>
      </c>
      <c r="K2772" s="80" t="s">
        <v>84</v>
      </c>
      <c r="L2772" s="80" t="s">
        <v>84</v>
      </c>
      <c r="M2772" s="80" t="s">
        <v>84</v>
      </c>
      <c r="N2772" s="80" t="s">
        <v>84</v>
      </c>
      <c r="O2772" s="80" t="s">
        <v>84</v>
      </c>
      <c r="Q2772" s="80" t="s">
        <v>84</v>
      </c>
      <c r="R2772" s="80" t="s">
        <v>84</v>
      </c>
    </row>
    <row r="2773" spans="1:18" ht="20" x14ac:dyDescent="0.2">
      <c r="A2773" s="80" t="s">
        <v>10715</v>
      </c>
      <c r="B2773" s="80" t="s">
        <v>10716</v>
      </c>
      <c r="C2773" s="80" t="s">
        <v>84</v>
      </c>
      <c r="D2773" s="80" t="s">
        <v>84</v>
      </c>
      <c r="E2773" s="80" t="s">
        <v>84</v>
      </c>
      <c r="G2773" s="80" t="s">
        <v>84</v>
      </c>
      <c r="H2773" s="80" t="s">
        <v>84</v>
      </c>
      <c r="I2773" s="80" t="s">
        <v>84</v>
      </c>
      <c r="J2773" s="80" t="s">
        <v>84</v>
      </c>
      <c r="K2773" s="80" t="s">
        <v>84</v>
      </c>
      <c r="L2773" s="80" t="s">
        <v>84</v>
      </c>
      <c r="M2773" s="80" t="s">
        <v>84</v>
      </c>
      <c r="N2773" s="80" t="s">
        <v>84</v>
      </c>
      <c r="O2773" s="80" t="s">
        <v>84</v>
      </c>
      <c r="Q2773" s="80" t="s">
        <v>84</v>
      </c>
      <c r="R2773" s="80" t="s">
        <v>84</v>
      </c>
    </row>
    <row r="2774" spans="1:18" ht="20" x14ac:dyDescent="0.2">
      <c r="A2774" s="80" t="s">
        <v>605</v>
      </c>
      <c r="B2774" s="80" t="s">
        <v>10717</v>
      </c>
      <c r="C2774" s="80" t="s">
        <v>9680</v>
      </c>
      <c r="D2774" s="80" t="s">
        <v>84</v>
      </c>
      <c r="E2774" s="80" t="s">
        <v>84</v>
      </c>
      <c r="G2774" s="80" t="s">
        <v>84</v>
      </c>
      <c r="H2774" s="80" t="s">
        <v>84</v>
      </c>
      <c r="I2774" s="80" t="s">
        <v>84</v>
      </c>
      <c r="J2774" s="80" t="s">
        <v>84</v>
      </c>
      <c r="K2774" s="80" t="s">
        <v>84</v>
      </c>
      <c r="L2774" s="80" t="s">
        <v>84</v>
      </c>
      <c r="M2774" s="80" t="s">
        <v>84</v>
      </c>
      <c r="N2774" s="80" t="s">
        <v>84</v>
      </c>
      <c r="O2774" s="80" t="s">
        <v>84</v>
      </c>
      <c r="Q2774" s="80" t="s">
        <v>84</v>
      </c>
      <c r="R2774" s="80" t="s">
        <v>84</v>
      </c>
    </row>
    <row r="2775" spans="1:18" ht="20" x14ac:dyDescent="0.2">
      <c r="A2775" s="80" t="s">
        <v>605</v>
      </c>
      <c r="B2775" s="80" t="s">
        <v>606</v>
      </c>
      <c r="C2775" s="80" t="s">
        <v>9680</v>
      </c>
      <c r="D2775" s="80" t="s">
        <v>84</v>
      </c>
      <c r="E2775" s="80" t="s">
        <v>84</v>
      </c>
      <c r="G2775" s="80" t="s">
        <v>84</v>
      </c>
      <c r="H2775" s="80" t="s">
        <v>84</v>
      </c>
      <c r="I2775" s="80" t="s">
        <v>84</v>
      </c>
      <c r="J2775" s="80" t="s">
        <v>84</v>
      </c>
      <c r="K2775" s="80" t="s">
        <v>84</v>
      </c>
      <c r="L2775" s="80" t="s">
        <v>84</v>
      </c>
      <c r="M2775" s="80" t="s">
        <v>84</v>
      </c>
      <c r="N2775" s="80" t="s">
        <v>84</v>
      </c>
      <c r="O2775" s="80" t="s">
        <v>84</v>
      </c>
      <c r="Q2775" s="80" t="s">
        <v>84</v>
      </c>
      <c r="R2775" s="80" t="s">
        <v>84</v>
      </c>
    </row>
    <row r="2776" spans="1:18" ht="20" x14ac:dyDescent="0.2">
      <c r="A2776" s="80" t="s">
        <v>612</v>
      </c>
      <c r="B2776" s="80" t="s">
        <v>10718</v>
      </c>
      <c r="C2776" s="80" t="s">
        <v>9680</v>
      </c>
      <c r="D2776" s="80" t="s">
        <v>84</v>
      </c>
      <c r="E2776" s="80" t="s">
        <v>84</v>
      </c>
      <c r="G2776" s="80" t="s">
        <v>84</v>
      </c>
      <c r="H2776" s="80" t="s">
        <v>84</v>
      </c>
      <c r="I2776" s="80" t="s">
        <v>84</v>
      </c>
      <c r="J2776" s="80" t="s">
        <v>84</v>
      </c>
      <c r="K2776" s="80" t="s">
        <v>84</v>
      </c>
      <c r="L2776" s="80" t="s">
        <v>84</v>
      </c>
      <c r="M2776" s="80" t="s">
        <v>84</v>
      </c>
      <c r="N2776" s="80" t="s">
        <v>84</v>
      </c>
      <c r="O2776" s="80" t="s">
        <v>84</v>
      </c>
      <c r="Q2776" s="80" t="s">
        <v>84</v>
      </c>
      <c r="R2776" s="80" t="s">
        <v>84</v>
      </c>
    </row>
    <row r="2777" spans="1:18" ht="20" x14ac:dyDescent="0.2">
      <c r="A2777" s="80" t="s">
        <v>612</v>
      </c>
      <c r="B2777" s="80" t="s">
        <v>613</v>
      </c>
      <c r="C2777" s="80" t="s">
        <v>9680</v>
      </c>
      <c r="D2777" s="80" t="s">
        <v>84</v>
      </c>
      <c r="E2777" s="80" t="s">
        <v>84</v>
      </c>
      <c r="G2777" s="80" t="s">
        <v>84</v>
      </c>
      <c r="H2777" s="80" t="s">
        <v>84</v>
      </c>
      <c r="I2777" s="80" t="s">
        <v>84</v>
      </c>
      <c r="J2777" s="80" t="s">
        <v>84</v>
      </c>
      <c r="K2777" s="80" t="s">
        <v>84</v>
      </c>
      <c r="L2777" s="80" t="s">
        <v>84</v>
      </c>
      <c r="M2777" s="80" t="s">
        <v>84</v>
      </c>
      <c r="N2777" s="80" t="s">
        <v>84</v>
      </c>
      <c r="O2777" s="80" t="s">
        <v>84</v>
      </c>
      <c r="Q2777" s="80" t="s">
        <v>84</v>
      </c>
      <c r="R2777" s="80" t="s">
        <v>84</v>
      </c>
    </row>
    <row r="2778" spans="1:18" ht="20" x14ac:dyDescent="0.2">
      <c r="A2778" s="80" t="s">
        <v>10719</v>
      </c>
      <c r="B2778" s="80" t="s">
        <v>10720</v>
      </c>
      <c r="C2778" s="80" t="s">
        <v>9722</v>
      </c>
      <c r="D2778" s="80" t="s">
        <v>84</v>
      </c>
      <c r="E2778" s="80" t="s">
        <v>84</v>
      </c>
      <c r="G2778" s="80" t="s">
        <v>84</v>
      </c>
      <c r="H2778" s="80" t="s">
        <v>84</v>
      </c>
      <c r="I2778" s="80" t="s">
        <v>84</v>
      </c>
      <c r="J2778" s="80" t="s">
        <v>84</v>
      </c>
      <c r="K2778" s="80" t="s">
        <v>84</v>
      </c>
      <c r="L2778" s="80" t="s">
        <v>84</v>
      </c>
      <c r="M2778" s="80" t="s">
        <v>84</v>
      </c>
      <c r="N2778" s="80" t="s">
        <v>84</v>
      </c>
      <c r="O2778" s="80" t="s">
        <v>84</v>
      </c>
      <c r="Q2778" s="80" t="s">
        <v>84</v>
      </c>
      <c r="R2778" s="80" t="s">
        <v>84</v>
      </c>
    </row>
    <row r="2779" spans="1:18" ht="20" x14ac:dyDescent="0.2">
      <c r="A2779" s="80" t="s">
        <v>10721</v>
      </c>
      <c r="B2779" s="80" t="s">
        <v>10722</v>
      </c>
      <c r="C2779" s="80" t="s">
        <v>84</v>
      </c>
      <c r="D2779" s="80" t="s">
        <v>84</v>
      </c>
      <c r="E2779" s="80" t="s">
        <v>84</v>
      </c>
      <c r="G2779" s="80" t="s">
        <v>84</v>
      </c>
      <c r="H2779" s="80" t="s">
        <v>84</v>
      </c>
      <c r="I2779" s="80" t="s">
        <v>84</v>
      </c>
      <c r="J2779" s="80" t="s">
        <v>84</v>
      </c>
      <c r="K2779" s="80" t="s">
        <v>84</v>
      </c>
      <c r="L2779" s="80" t="s">
        <v>84</v>
      </c>
      <c r="M2779" s="80" t="s">
        <v>84</v>
      </c>
      <c r="N2779" s="80" t="s">
        <v>84</v>
      </c>
      <c r="O2779" s="80" t="s">
        <v>84</v>
      </c>
      <c r="Q2779" s="80" t="s">
        <v>84</v>
      </c>
      <c r="R2779" s="80" t="s">
        <v>84</v>
      </c>
    </row>
    <row r="2780" spans="1:18" ht="20" x14ac:dyDescent="0.2">
      <c r="A2780" s="80" t="s">
        <v>10723</v>
      </c>
      <c r="B2780" s="80" t="s">
        <v>10724</v>
      </c>
      <c r="C2780" s="80" t="s">
        <v>84</v>
      </c>
      <c r="D2780" s="80" t="s">
        <v>84</v>
      </c>
      <c r="E2780" s="80" t="s">
        <v>84</v>
      </c>
      <c r="G2780" s="80" t="s">
        <v>84</v>
      </c>
      <c r="H2780" s="80" t="s">
        <v>84</v>
      </c>
      <c r="I2780" s="80" t="s">
        <v>84</v>
      </c>
      <c r="J2780" s="80" t="s">
        <v>84</v>
      </c>
      <c r="K2780" s="80" t="s">
        <v>84</v>
      </c>
      <c r="L2780" s="80" t="s">
        <v>84</v>
      </c>
      <c r="M2780" s="80" t="s">
        <v>84</v>
      </c>
      <c r="N2780" s="80" t="s">
        <v>84</v>
      </c>
      <c r="O2780" s="80" t="s">
        <v>84</v>
      </c>
      <c r="Q2780" s="80" t="s">
        <v>84</v>
      </c>
      <c r="R2780" s="80" t="s">
        <v>84</v>
      </c>
    </row>
    <row r="2781" spans="1:18" ht="20" x14ac:dyDescent="0.2">
      <c r="A2781" s="80" t="s">
        <v>614</v>
      </c>
      <c r="B2781" s="80" t="s">
        <v>10725</v>
      </c>
      <c r="C2781" s="80" t="s">
        <v>9722</v>
      </c>
      <c r="D2781" s="80" t="s">
        <v>84</v>
      </c>
      <c r="E2781" s="80" t="s">
        <v>84</v>
      </c>
      <c r="G2781" s="80" t="s">
        <v>84</v>
      </c>
      <c r="H2781" s="80" t="s">
        <v>84</v>
      </c>
      <c r="I2781" s="80" t="s">
        <v>84</v>
      </c>
      <c r="J2781" s="80" t="s">
        <v>84</v>
      </c>
      <c r="K2781" s="80" t="s">
        <v>84</v>
      </c>
      <c r="L2781" s="80" t="s">
        <v>84</v>
      </c>
      <c r="M2781" s="80" t="s">
        <v>84</v>
      </c>
      <c r="N2781" s="80" t="s">
        <v>84</v>
      </c>
      <c r="O2781" s="80" t="s">
        <v>84</v>
      </c>
      <c r="Q2781" s="80" t="s">
        <v>84</v>
      </c>
      <c r="R2781" s="80" t="s">
        <v>84</v>
      </c>
    </row>
    <row r="2782" spans="1:18" ht="20" x14ac:dyDescent="0.2">
      <c r="A2782" s="80" t="s">
        <v>614</v>
      </c>
      <c r="B2782" s="80" t="s">
        <v>615</v>
      </c>
      <c r="C2782" s="80" t="s">
        <v>9722</v>
      </c>
      <c r="D2782" s="80" t="s">
        <v>84</v>
      </c>
      <c r="E2782" s="80" t="s">
        <v>84</v>
      </c>
      <c r="G2782" s="80" t="s">
        <v>84</v>
      </c>
      <c r="H2782" s="80" t="s">
        <v>84</v>
      </c>
      <c r="I2782" s="80" t="s">
        <v>84</v>
      </c>
      <c r="J2782" s="80" t="s">
        <v>84</v>
      </c>
      <c r="K2782" s="80" t="s">
        <v>84</v>
      </c>
      <c r="L2782" s="80" t="s">
        <v>84</v>
      </c>
      <c r="M2782" s="80" t="s">
        <v>84</v>
      </c>
      <c r="N2782" s="80" t="s">
        <v>84</v>
      </c>
      <c r="O2782" s="80" t="s">
        <v>84</v>
      </c>
      <c r="Q2782" s="80" t="s">
        <v>84</v>
      </c>
      <c r="R2782" s="80" t="s">
        <v>84</v>
      </c>
    </row>
    <row r="2783" spans="1:18" ht="20" x14ac:dyDescent="0.2">
      <c r="A2783" s="80" t="s">
        <v>10726</v>
      </c>
      <c r="B2783" s="80" t="s">
        <v>10727</v>
      </c>
      <c r="C2783" s="80" t="s">
        <v>9680</v>
      </c>
      <c r="D2783" s="80" t="s">
        <v>84</v>
      </c>
      <c r="E2783" s="80" t="s">
        <v>84</v>
      </c>
      <c r="G2783" s="80" t="s">
        <v>84</v>
      </c>
      <c r="H2783" s="80" t="s">
        <v>84</v>
      </c>
      <c r="I2783" s="80" t="s">
        <v>84</v>
      </c>
      <c r="J2783" s="80" t="s">
        <v>84</v>
      </c>
      <c r="K2783" s="80" t="s">
        <v>84</v>
      </c>
      <c r="L2783" s="80" t="s">
        <v>84</v>
      </c>
      <c r="M2783" s="80" t="s">
        <v>84</v>
      </c>
      <c r="N2783" s="80" t="s">
        <v>84</v>
      </c>
      <c r="O2783" s="80" t="s">
        <v>84</v>
      </c>
      <c r="Q2783" s="80" t="s">
        <v>84</v>
      </c>
      <c r="R2783" s="80" t="s">
        <v>84</v>
      </c>
    </row>
    <row r="2784" spans="1:18" ht="20" x14ac:dyDescent="0.2">
      <c r="A2784" s="80" t="s">
        <v>616</v>
      </c>
      <c r="B2784" s="80" t="s">
        <v>10728</v>
      </c>
      <c r="C2784" s="80" t="s">
        <v>84</v>
      </c>
      <c r="D2784" s="80" t="s">
        <v>84</v>
      </c>
      <c r="E2784" s="80" t="s">
        <v>84</v>
      </c>
      <c r="G2784" s="80" t="s">
        <v>84</v>
      </c>
      <c r="H2784" s="80" t="s">
        <v>84</v>
      </c>
      <c r="I2784" s="80" t="s">
        <v>84</v>
      </c>
      <c r="J2784" s="80" t="s">
        <v>84</v>
      </c>
      <c r="K2784" s="80" t="s">
        <v>84</v>
      </c>
      <c r="L2784" s="80" t="s">
        <v>84</v>
      </c>
      <c r="M2784" s="80" t="s">
        <v>84</v>
      </c>
      <c r="N2784" s="80" t="s">
        <v>84</v>
      </c>
      <c r="O2784" s="80" t="s">
        <v>84</v>
      </c>
      <c r="Q2784" s="80" t="s">
        <v>84</v>
      </c>
      <c r="R2784" s="80" t="s">
        <v>84</v>
      </c>
    </row>
    <row r="2785" spans="1:18" ht="20" x14ac:dyDescent="0.2">
      <c r="A2785" s="80" t="s">
        <v>616</v>
      </c>
      <c r="B2785" s="80" t="s">
        <v>617</v>
      </c>
      <c r="C2785" s="80" t="s">
        <v>84</v>
      </c>
      <c r="D2785" s="80" t="s">
        <v>84</v>
      </c>
      <c r="E2785" s="80" t="s">
        <v>84</v>
      </c>
      <c r="G2785" s="80" t="s">
        <v>84</v>
      </c>
      <c r="H2785" s="80" t="s">
        <v>84</v>
      </c>
      <c r="I2785" s="80" t="s">
        <v>84</v>
      </c>
      <c r="J2785" s="80" t="s">
        <v>84</v>
      </c>
      <c r="K2785" s="80" t="s">
        <v>84</v>
      </c>
      <c r="L2785" s="80" t="s">
        <v>84</v>
      </c>
      <c r="M2785" s="80" t="s">
        <v>84</v>
      </c>
      <c r="N2785" s="80" t="s">
        <v>84</v>
      </c>
      <c r="O2785" s="80" t="s">
        <v>84</v>
      </c>
      <c r="Q2785" s="80" t="s">
        <v>84</v>
      </c>
      <c r="R2785" s="80" t="s">
        <v>84</v>
      </c>
    </row>
    <row r="2786" spans="1:18" ht="20" x14ac:dyDescent="0.2">
      <c r="A2786" s="80" t="s">
        <v>618</v>
      </c>
      <c r="B2786" s="80" t="s">
        <v>10729</v>
      </c>
      <c r="C2786" s="80" t="s">
        <v>84</v>
      </c>
      <c r="D2786" s="80" t="s">
        <v>84</v>
      </c>
      <c r="E2786" s="80" t="s">
        <v>84</v>
      </c>
      <c r="G2786" s="80" t="s">
        <v>84</v>
      </c>
      <c r="H2786" s="80" t="s">
        <v>84</v>
      </c>
      <c r="I2786" s="80" t="s">
        <v>84</v>
      </c>
      <c r="J2786" s="80" t="s">
        <v>84</v>
      </c>
      <c r="K2786" s="80" t="s">
        <v>84</v>
      </c>
      <c r="L2786" s="80" t="s">
        <v>84</v>
      </c>
      <c r="M2786" s="80" t="s">
        <v>84</v>
      </c>
      <c r="N2786" s="80" t="s">
        <v>84</v>
      </c>
      <c r="O2786" s="80" t="s">
        <v>84</v>
      </c>
      <c r="Q2786" s="80" t="s">
        <v>84</v>
      </c>
      <c r="R2786" s="80" t="s">
        <v>84</v>
      </c>
    </row>
    <row r="2787" spans="1:18" ht="20" x14ac:dyDescent="0.2">
      <c r="A2787" s="80" t="s">
        <v>618</v>
      </c>
      <c r="B2787" s="80" t="s">
        <v>619</v>
      </c>
      <c r="C2787" s="80" t="s">
        <v>84</v>
      </c>
      <c r="D2787" s="80" t="s">
        <v>84</v>
      </c>
      <c r="E2787" s="80" t="s">
        <v>84</v>
      </c>
      <c r="G2787" s="80" t="s">
        <v>84</v>
      </c>
      <c r="H2787" s="80" t="s">
        <v>84</v>
      </c>
      <c r="I2787" s="80" t="s">
        <v>84</v>
      </c>
      <c r="J2787" s="80" t="s">
        <v>84</v>
      </c>
      <c r="K2787" s="80" t="s">
        <v>84</v>
      </c>
      <c r="L2787" s="80" t="s">
        <v>84</v>
      </c>
      <c r="M2787" s="80" t="s">
        <v>84</v>
      </c>
      <c r="N2787" s="80" t="s">
        <v>84</v>
      </c>
      <c r="O2787" s="80" t="s">
        <v>84</v>
      </c>
      <c r="Q2787" s="80" t="s">
        <v>84</v>
      </c>
      <c r="R2787" s="80" t="s">
        <v>84</v>
      </c>
    </row>
    <row r="2788" spans="1:18" ht="20" x14ac:dyDescent="0.2">
      <c r="A2788" s="80" t="s">
        <v>10730</v>
      </c>
      <c r="B2788" s="80" t="s">
        <v>10731</v>
      </c>
      <c r="C2788" s="80" t="s">
        <v>84</v>
      </c>
      <c r="D2788" s="80" t="s">
        <v>84</v>
      </c>
      <c r="E2788" s="80" t="s">
        <v>84</v>
      </c>
      <c r="G2788" s="80" t="s">
        <v>84</v>
      </c>
      <c r="H2788" s="80" t="s">
        <v>84</v>
      </c>
      <c r="I2788" s="80" t="s">
        <v>84</v>
      </c>
      <c r="J2788" s="80" t="s">
        <v>84</v>
      </c>
      <c r="K2788" s="80" t="s">
        <v>84</v>
      </c>
      <c r="L2788" s="80" t="s">
        <v>84</v>
      </c>
      <c r="M2788" s="80" t="s">
        <v>84</v>
      </c>
      <c r="N2788" s="80" t="s">
        <v>84</v>
      </c>
      <c r="O2788" s="80" t="s">
        <v>84</v>
      </c>
      <c r="Q2788" s="80" t="s">
        <v>84</v>
      </c>
      <c r="R2788" s="80" t="s">
        <v>84</v>
      </c>
    </row>
    <row r="2789" spans="1:18" ht="20" x14ac:dyDescent="0.2">
      <c r="A2789" s="80" t="s">
        <v>10732</v>
      </c>
      <c r="B2789" s="80" t="s">
        <v>10733</v>
      </c>
      <c r="C2789" s="80" t="s">
        <v>9680</v>
      </c>
      <c r="D2789" s="80" t="s">
        <v>84</v>
      </c>
      <c r="E2789" s="80" t="s">
        <v>84</v>
      </c>
      <c r="G2789" s="80" t="s">
        <v>84</v>
      </c>
      <c r="H2789" s="80" t="s">
        <v>84</v>
      </c>
      <c r="I2789" s="80" t="s">
        <v>84</v>
      </c>
      <c r="J2789" s="80" t="s">
        <v>84</v>
      </c>
      <c r="K2789" s="80" t="s">
        <v>84</v>
      </c>
      <c r="L2789" s="80" t="s">
        <v>84</v>
      </c>
      <c r="M2789" s="80" t="s">
        <v>84</v>
      </c>
      <c r="N2789" s="80" t="s">
        <v>84</v>
      </c>
      <c r="O2789" s="80" t="s">
        <v>84</v>
      </c>
      <c r="Q2789" s="80" t="s">
        <v>84</v>
      </c>
      <c r="R2789" s="80" t="s">
        <v>84</v>
      </c>
    </row>
    <row r="2790" spans="1:18" ht="20" x14ac:dyDescent="0.2">
      <c r="A2790" s="80" t="s">
        <v>620</v>
      </c>
      <c r="B2790" s="80" t="s">
        <v>10734</v>
      </c>
      <c r="C2790" s="80" t="s">
        <v>9680</v>
      </c>
      <c r="D2790" s="80" t="s">
        <v>84</v>
      </c>
      <c r="E2790" s="80" t="s">
        <v>84</v>
      </c>
      <c r="G2790" s="80" t="s">
        <v>84</v>
      </c>
      <c r="H2790" s="80" t="s">
        <v>84</v>
      </c>
      <c r="I2790" s="80" t="s">
        <v>84</v>
      </c>
      <c r="J2790" s="80" t="s">
        <v>84</v>
      </c>
      <c r="K2790" s="80" t="s">
        <v>84</v>
      </c>
      <c r="L2790" s="80" t="s">
        <v>84</v>
      </c>
      <c r="M2790" s="80" t="s">
        <v>84</v>
      </c>
      <c r="N2790" s="80" t="s">
        <v>84</v>
      </c>
      <c r="O2790" s="80" t="s">
        <v>84</v>
      </c>
      <c r="Q2790" s="80" t="s">
        <v>84</v>
      </c>
      <c r="R2790" s="80" t="s">
        <v>84</v>
      </c>
    </row>
    <row r="2791" spans="1:18" ht="20" x14ac:dyDescent="0.2">
      <c r="A2791" s="80" t="s">
        <v>620</v>
      </c>
      <c r="B2791" s="80" t="s">
        <v>621</v>
      </c>
      <c r="C2791" s="80" t="s">
        <v>9680</v>
      </c>
      <c r="D2791" s="80" t="s">
        <v>84</v>
      </c>
      <c r="E2791" s="80" t="s">
        <v>84</v>
      </c>
      <c r="G2791" s="80" t="s">
        <v>84</v>
      </c>
      <c r="H2791" s="80" t="s">
        <v>84</v>
      </c>
      <c r="I2791" s="80" t="s">
        <v>84</v>
      </c>
      <c r="J2791" s="80" t="s">
        <v>84</v>
      </c>
      <c r="K2791" s="80" t="s">
        <v>84</v>
      </c>
      <c r="L2791" s="80" t="s">
        <v>84</v>
      </c>
      <c r="M2791" s="80" t="s">
        <v>84</v>
      </c>
      <c r="N2791" s="80" t="s">
        <v>84</v>
      </c>
      <c r="O2791" s="80" t="s">
        <v>84</v>
      </c>
      <c r="Q2791" s="80" t="s">
        <v>84</v>
      </c>
      <c r="R2791" s="80" t="s">
        <v>84</v>
      </c>
    </row>
    <row r="2792" spans="1:18" ht="20" x14ac:dyDescent="0.2">
      <c r="A2792" s="80" t="s">
        <v>3100</v>
      </c>
      <c r="B2792" s="80" t="s">
        <v>10735</v>
      </c>
      <c r="C2792" s="80" t="s">
        <v>9680</v>
      </c>
      <c r="D2792" s="80" t="s">
        <v>84</v>
      </c>
      <c r="E2792" s="80" t="s">
        <v>84</v>
      </c>
      <c r="G2792" s="80" t="s">
        <v>84</v>
      </c>
      <c r="H2792" s="80" t="s">
        <v>84</v>
      </c>
      <c r="I2792" s="80" t="s">
        <v>84</v>
      </c>
      <c r="J2792" s="80" t="s">
        <v>84</v>
      </c>
      <c r="K2792" s="80" t="s">
        <v>84</v>
      </c>
      <c r="L2792" s="80" t="s">
        <v>84</v>
      </c>
      <c r="M2792" s="80" t="s">
        <v>84</v>
      </c>
      <c r="N2792" s="80" t="s">
        <v>84</v>
      </c>
      <c r="O2792" s="80" t="s">
        <v>84</v>
      </c>
      <c r="Q2792" s="80" t="s">
        <v>84</v>
      </c>
      <c r="R2792" s="80" t="s">
        <v>84</v>
      </c>
    </row>
    <row r="2793" spans="1:18" ht="20" x14ac:dyDescent="0.2">
      <c r="A2793" s="80" t="s">
        <v>3100</v>
      </c>
      <c r="B2793" s="80" t="s">
        <v>3101</v>
      </c>
      <c r="C2793" s="80" t="s">
        <v>9680</v>
      </c>
      <c r="D2793" s="80" t="s">
        <v>84</v>
      </c>
      <c r="E2793" s="80" t="s">
        <v>84</v>
      </c>
      <c r="G2793" s="80" t="s">
        <v>84</v>
      </c>
      <c r="H2793" s="80" t="s">
        <v>84</v>
      </c>
      <c r="I2793" s="80" t="s">
        <v>84</v>
      </c>
      <c r="J2793" s="80" t="s">
        <v>84</v>
      </c>
      <c r="K2793" s="80" t="s">
        <v>84</v>
      </c>
      <c r="L2793" s="80" t="s">
        <v>84</v>
      </c>
      <c r="M2793" s="80" t="s">
        <v>84</v>
      </c>
      <c r="N2793" s="80" t="s">
        <v>84</v>
      </c>
      <c r="O2793" s="80" t="s">
        <v>84</v>
      </c>
      <c r="Q2793" s="80" t="s">
        <v>84</v>
      </c>
      <c r="R2793" s="80" t="s">
        <v>84</v>
      </c>
    </row>
    <row r="2794" spans="1:18" ht="20" x14ac:dyDescent="0.2">
      <c r="A2794" s="80" t="s">
        <v>2024</v>
      </c>
      <c r="B2794" s="80" t="s">
        <v>10736</v>
      </c>
      <c r="C2794" s="80" t="s">
        <v>9680</v>
      </c>
      <c r="D2794" s="80" t="s">
        <v>84</v>
      </c>
      <c r="E2794" s="80" t="s">
        <v>84</v>
      </c>
      <c r="G2794" s="80" t="s">
        <v>84</v>
      </c>
      <c r="H2794" s="80" t="s">
        <v>84</v>
      </c>
      <c r="I2794" s="80" t="s">
        <v>84</v>
      </c>
      <c r="J2794" s="80" t="s">
        <v>84</v>
      </c>
      <c r="K2794" s="80" t="s">
        <v>84</v>
      </c>
      <c r="L2794" s="80" t="s">
        <v>84</v>
      </c>
      <c r="M2794" s="80" t="s">
        <v>84</v>
      </c>
      <c r="N2794" s="80" t="s">
        <v>84</v>
      </c>
      <c r="O2794" s="80" t="s">
        <v>84</v>
      </c>
      <c r="Q2794" s="80" t="s">
        <v>84</v>
      </c>
      <c r="R2794" s="80" t="s">
        <v>84</v>
      </c>
    </row>
    <row r="2795" spans="1:18" ht="20" x14ac:dyDescent="0.2">
      <c r="A2795" s="80" t="s">
        <v>2024</v>
      </c>
      <c r="B2795" s="80" t="s">
        <v>2025</v>
      </c>
      <c r="C2795" s="80" t="s">
        <v>9680</v>
      </c>
      <c r="D2795" s="80" t="s">
        <v>84</v>
      </c>
      <c r="E2795" s="80" t="s">
        <v>84</v>
      </c>
      <c r="G2795" s="80" t="s">
        <v>84</v>
      </c>
      <c r="H2795" s="80" t="s">
        <v>84</v>
      </c>
      <c r="I2795" s="80" t="s">
        <v>84</v>
      </c>
      <c r="J2795" s="80" t="s">
        <v>84</v>
      </c>
      <c r="K2795" s="80" t="s">
        <v>84</v>
      </c>
      <c r="L2795" s="80" t="s">
        <v>84</v>
      </c>
      <c r="M2795" s="80" t="s">
        <v>84</v>
      </c>
      <c r="N2795" s="80" t="s">
        <v>84</v>
      </c>
      <c r="O2795" s="80" t="s">
        <v>84</v>
      </c>
      <c r="Q2795" s="80" t="s">
        <v>84</v>
      </c>
      <c r="R2795" s="80" t="s">
        <v>84</v>
      </c>
    </row>
    <row r="2796" spans="1:18" ht="20" x14ac:dyDescent="0.2">
      <c r="A2796" s="80" t="s">
        <v>2036</v>
      </c>
      <c r="B2796" s="80" t="s">
        <v>2037</v>
      </c>
      <c r="C2796" s="80" t="s">
        <v>9680</v>
      </c>
      <c r="D2796" s="80" t="s">
        <v>84</v>
      </c>
      <c r="E2796" s="80" t="s">
        <v>84</v>
      </c>
      <c r="G2796" s="80" t="s">
        <v>84</v>
      </c>
      <c r="H2796" s="80" t="s">
        <v>84</v>
      </c>
      <c r="I2796" s="80" t="s">
        <v>84</v>
      </c>
      <c r="J2796" s="80" t="s">
        <v>84</v>
      </c>
      <c r="K2796" s="80" t="s">
        <v>84</v>
      </c>
      <c r="L2796" s="80" t="s">
        <v>84</v>
      </c>
      <c r="M2796" s="80" t="s">
        <v>84</v>
      </c>
      <c r="N2796" s="80" t="s">
        <v>84</v>
      </c>
      <c r="O2796" s="80" t="s">
        <v>84</v>
      </c>
      <c r="Q2796" s="80" t="s">
        <v>84</v>
      </c>
      <c r="R2796" s="80" t="s">
        <v>84</v>
      </c>
    </row>
    <row r="2797" spans="1:18" ht="20" x14ac:dyDescent="0.2">
      <c r="A2797" s="80" t="s">
        <v>2036</v>
      </c>
      <c r="B2797" s="80" t="s">
        <v>10737</v>
      </c>
      <c r="C2797" s="80" t="s">
        <v>9680</v>
      </c>
      <c r="D2797" s="80" t="s">
        <v>84</v>
      </c>
      <c r="E2797" s="80" t="s">
        <v>84</v>
      </c>
      <c r="G2797" s="80" t="s">
        <v>84</v>
      </c>
      <c r="H2797" s="80" t="s">
        <v>84</v>
      </c>
      <c r="I2797" s="80" t="s">
        <v>84</v>
      </c>
      <c r="J2797" s="80" t="s">
        <v>84</v>
      </c>
      <c r="K2797" s="80" t="s">
        <v>84</v>
      </c>
      <c r="L2797" s="80" t="s">
        <v>84</v>
      </c>
      <c r="M2797" s="80" t="s">
        <v>84</v>
      </c>
      <c r="N2797" s="80" t="s">
        <v>84</v>
      </c>
      <c r="O2797" s="80" t="s">
        <v>84</v>
      </c>
      <c r="Q2797" s="80" t="s">
        <v>84</v>
      </c>
      <c r="R2797" s="80" t="s">
        <v>84</v>
      </c>
    </row>
    <row r="2798" spans="1:18" ht="20" x14ac:dyDescent="0.2">
      <c r="A2798" s="80" t="s">
        <v>3108</v>
      </c>
      <c r="B2798" s="80" t="s">
        <v>10738</v>
      </c>
      <c r="C2798" s="80" t="s">
        <v>9680</v>
      </c>
      <c r="D2798" s="80" t="s">
        <v>84</v>
      </c>
      <c r="E2798" s="80" t="s">
        <v>84</v>
      </c>
      <c r="G2798" s="80" t="s">
        <v>84</v>
      </c>
      <c r="H2798" s="80" t="s">
        <v>84</v>
      </c>
      <c r="I2798" s="80" t="s">
        <v>84</v>
      </c>
      <c r="J2798" s="80" t="s">
        <v>84</v>
      </c>
      <c r="K2798" s="80" t="s">
        <v>84</v>
      </c>
      <c r="L2798" s="80" t="s">
        <v>84</v>
      </c>
      <c r="M2798" s="80" t="s">
        <v>84</v>
      </c>
      <c r="N2798" s="80" t="s">
        <v>84</v>
      </c>
      <c r="O2798" s="80" t="s">
        <v>84</v>
      </c>
      <c r="Q2798" s="80" t="s">
        <v>84</v>
      </c>
      <c r="R2798" s="80" t="s">
        <v>84</v>
      </c>
    </row>
    <row r="2799" spans="1:18" ht="20" x14ac:dyDescent="0.2">
      <c r="A2799" s="80" t="s">
        <v>3108</v>
      </c>
      <c r="B2799" s="80" t="s">
        <v>3109</v>
      </c>
      <c r="C2799" s="80" t="s">
        <v>9680</v>
      </c>
      <c r="D2799" s="80" t="s">
        <v>84</v>
      </c>
      <c r="E2799" s="80" t="s">
        <v>84</v>
      </c>
      <c r="G2799" s="80" t="s">
        <v>84</v>
      </c>
      <c r="H2799" s="80" t="s">
        <v>84</v>
      </c>
      <c r="I2799" s="80" t="s">
        <v>84</v>
      </c>
      <c r="J2799" s="80" t="s">
        <v>84</v>
      </c>
      <c r="K2799" s="80" t="s">
        <v>84</v>
      </c>
      <c r="L2799" s="80" t="s">
        <v>84</v>
      </c>
      <c r="M2799" s="80" t="s">
        <v>84</v>
      </c>
      <c r="N2799" s="80" t="s">
        <v>84</v>
      </c>
      <c r="O2799" s="80" t="s">
        <v>84</v>
      </c>
      <c r="Q2799" s="80" t="s">
        <v>84</v>
      </c>
      <c r="R2799" s="80" t="s">
        <v>84</v>
      </c>
    </row>
    <row r="2800" spans="1:18" ht="20" x14ac:dyDescent="0.2">
      <c r="A2800" s="80" t="s">
        <v>3147</v>
      </c>
      <c r="B2800" s="80" t="s">
        <v>10739</v>
      </c>
      <c r="C2800" s="80" t="s">
        <v>9680</v>
      </c>
      <c r="D2800" s="80" t="s">
        <v>84</v>
      </c>
      <c r="E2800" s="80" t="s">
        <v>84</v>
      </c>
      <c r="G2800" s="80" t="s">
        <v>84</v>
      </c>
      <c r="H2800" s="80" t="s">
        <v>84</v>
      </c>
      <c r="I2800" s="80" t="s">
        <v>84</v>
      </c>
      <c r="J2800" s="80" t="s">
        <v>84</v>
      </c>
      <c r="K2800" s="80" t="s">
        <v>84</v>
      </c>
      <c r="L2800" s="80" t="s">
        <v>84</v>
      </c>
      <c r="M2800" s="80" t="s">
        <v>84</v>
      </c>
      <c r="N2800" s="80" t="s">
        <v>84</v>
      </c>
      <c r="O2800" s="80" t="s">
        <v>84</v>
      </c>
      <c r="Q2800" s="80" t="s">
        <v>84</v>
      </c>
      <c r="R2800" s="80" t="s">
        <v>84</v>
      </c>
    </row>
    <row r="2801" spans="1:18" ht="20" x14ac:dyDescent="0.2">
      <c r="A2801" s="80" t="s">
        <v>3147</v>
      </c>
      <c r="B2801" s="80" t="s">
        <v>3148</v>
      </c>
      <c r="C2801" s="80" t="s">
        <v>9680</v>
      </c>
      <c r="D2801" s="80" t="s">
        <v>84</v>
      </c>
      <c r="E2801" s="80" t="s">
        <v>84</v>
      </c>
      <c r="G2801" s="80" t="s">
        <v>84</v>
      </c>
      <c r="H2801" s="80" t="s">
        <v>84</v>
      </c>
      <c r="I2801" s="80" t="s">
        <v>84</v>
      </c>
      <c r="J2801" s="80" t="s">
        <v>84</v>
      </c>
      <c r="K2801" s="80" t="s">
        <v>84</v>
      </c>
      <c r="L2801" s="80" t="s">
        <v>84</v>
      </c>
      <c r="M2801" s="80" t="s">
        <v>84</v>
      </c>
      <c r="N2801" s="80" t="s">
        <v>84</v>
      </c>
      <c r="O2801" s="80" t="s">
        <v>84</v>
      </c>
      <c r="Q2801" s="80" t="s">
        <v>84</v>
      </c>
      <c r="R2801" s="80" t="s">
        <v>84</v>
      </c>
    </row>
    <row r="2802" spans="1:18" ht="20" x14ac:dyDescent="0.2">
      <c r="A2802" s="80" t="s">
        <v>4917</v>
      </c>
      <c r="B2802" s="80" t="s">
        <v>4918</v>
      </c>
      <c r="C2802" s="80" t="s">
        <v>9680</v>
      </c>
      <c r="D2802" s="80" t="s">
        <v>84</v>
      </c>
      <c r="E2802" s="80" t="s">
        <v>84</v>
      </c>
      <c r="G2802" s="80" t="s">
        <v>84</v>
      </c>
      <c r="H2802" s="80" t="s">
        <v>84</v>
      </c>
      <c r="I2802" s="80" t="s">
        <v>84</v>
      </c>
      <c r="J2802" s="80" t="s">
        <v>84</v>
      </c>
      <c r="K2802" s="80" t="s">
        <v>84</v>
      </c>
      <c r="L2802" s="80" t="s">
        <v>84</v>
      </c>
      <c r="M2802" s="80" t="s">
        <v>84</v>
      </c>
      <c r="N2802" s="80" t="s">
        <v>84</v>
      </c>
      <c r="O2802" s="80" t="s">
        <v>84</v>
      </c>
      <c r="Q2802" s="80" t="s">
        <v>84</v>
      </c>
      <c r="R2802" s="80" t="s">
        <v>84</v>
      </c>
    </row>
    <row r="2803" spans="1:18" ht="20" x14ac:dyDescent="0.2">
      <c r="A2803" s="80" t="s">
        <v>4917</v>
      </c>
      <c r="B2803" s="80" t="s">
        <v>10740</v>
      </c>
      <c r="C2803" s="80" t="s">
        <v>9680</v>
      </c>
      <c r="D2803" s="80" t="s">
        <v>84</v>
      </c>
      <c r="E2803" s="80" t="s">
        <v>84</v>
      </c>
      <c r="G2803" s="80" t="s">
        <v>84</v>
      </c>
      <c r="H2803" s="80" t="s">
        <v>84</v>
      </c>
      <c r="I2803" s="80" t="s">
        <v>84</v>
      </c>
      <c r="J2803" s="80" t="s">
        <v>84</v>
      </c>
      <c r="K2803" s="80" t="s">
        <v>84</v>
      </c>
      <c r="L2803" s="80" t="s">
        <v>84</v>
      </c>
      <c r="M2803" s="80" t="s">
        <v>84</v>
      </c>
      <c r="N2803" s="80" t="s">
        <v>84</v>
      </c>
      <c r="O2803" s="80" t="s">
        <v>84</v>
      </c>
      <c r="Q2803" s="80" t="s">
        <v>84</v>
      </c>
      <c r="R2803" s="80" t="s">
        <v>84</v>
      </c>
    </row>
    <row r="2804" spans="1:18" ht="20" x14ac:dyDescent="0.2">
      <c r="A2804" s="80" t="s">
        <v>4917</v>
      </c>
      <c r="B2804" s="80" t="s">
        <v>5268</v>
      </c>
      <c r="C2804" s="80" t="s">
        <v>9680</v>
      </c>
      <c r="D2804" s="80" t="s">
        <v>84</v>
      </c>
      <c r="E2804" s="80" t="s">
        <v>84</v>
      </c>
      <c r="G2804" s="80" t="s">
        <v>84</v>
      </c>
      <c r="H2804" s="80" t="s">
        <v>84</v>
      </c>
      <c r="I2804" s="80" t="s">
        <v>84</v>
      </c>
      <c r="J2804" s="80" t="s">
        <v>84</v>
      </c>
      <c r="K2804" s="80" t="s">
        <v>84</v>
      </c>
      <c r="L2804" s="80" t="s">
        <v>84</v>
      </c>
      <c r="M2804" s="80" t="s">
        <v>84</v>
      </c>
      <c r="N2804" s="80" t="s">
        <v>84</v>
      </c>
      <c r="O2804" s="80" t="s">
        <v>84</v>
      </c>
      <c r="Q2804" s="80" t="s">
        <v>84</v>
      </c>
      <c r="R2804" s="80" t="s">
        <v>84</v>
      </c>
    </row>
    <row r="2805" spans="1:18" ht="20" x14ac:dyDescent="0.2">
      <c r="A2805" s="80" t="s">
        <v>4028</v>
      </c>
      <c r="B2805" s="80" t="s">
        <v>4029</v>
      </c>
      <c r="C2805" s="80" t="s">
        <v>84</v>
      </c>
      <c r="D2805" s="80" t="s">
        <v>84</v>
      </c>
      <c r="E2805" s="80" t="s">
        <v>84</v>
      </c>
      <c r="G2805" s="80" t="s">
        <v>84</v>
      </c>
      <c r="H2805" s="80" t="s">
        <v>84</v>
      </c>
      <c r="I2805" s="80" t="s">
        <v>84</v>
      </c>
      <c r="J2805" s="80" t="s">
        <v>84</v>
      </c>
      <c r="K2805" s="80" t="s">
        <v>84</v>
      </c>
      <c r="L2805" s="80" t="s">
        <v>84</v>
      </c>
      <c r="M2805" s="80" t="s">
        <v>84</v>
      </c>
      <c r="N2805" s="80" t="s">
        <v>84</v>
      </c>
      <c r="O2805" s="80" t="s">
        <v>84</v>
      </c>
      <c r="Q2805" s="80" t="s">
        <v>84</v>
      </c>
      <c r="R2805" s="80" t="s">
        <v>84</v>
      </c>
    </row>
    <row r="2806" spans="1:18" ht="20" x14ac:dyDescent="0.2">
      <c r="A2806" s="80" t="s">
        <v>4026</v>
      </c>
      <c r="B2806" s="80" t="s">
        <v>4027</v>
      </c>
      <c r="C2806" s="80" t="s">
        <v>84</v>
      </c>
      <c r="D2806" s="80" t="s">
        <v>84</v>
      </c>
      <c r="E2806" s="80" t="s">
        <v>84</v>
      </c>
      <c r="G2806" s="80" t="s">
        <v>84</v>
      </c>
      <c r="H2806" s="80" t="s">
        <v>84</v>
      </c>
      <c r="I2806" s="80" t="s">
        <v>84</v>
      </c>
      <c r="J2806" s="80" t="s">
        <v>84</v>
      </c>
      <c r="K2806" s="80" t="s">
        <v>84</v>
      </c>
      <c r="L2806" s="80" t="s">
        <v>84</v>
      </c>
      <c r="M2806" s="80" t="s">
        <v>84</v>
      </c>
      <c r="N2806" s="80" t="s">
        <v>84</v>
      </c>
      <c r="O2806" s="80" t="s">
        <v>84</v>
      </c>
      <c r="Q2806" s="80" t="s">
        <v>84</v>
      </c>
      <c r="R2806" s="80" t="s">
        <v>84</v>
      </c>
    </row>
    <row r="2807" spans="1:18" ht="20" x14ac:dyDescent="0.2">
      <c r="A2807" s="80" t="s">
        <v>4022</v>
      </c>
      <c r="B2807" s="80" t="s">
        <v>10741</v>
      </c>
      <c r="C2807" s="80" t="s">
        <v>9680</v>
      </c>
      <c r="D2807" s="80" t="s">
        <v>84</v>
      </c>
      <c r="E2807" s="80" t="s">
        <v>84</v>
      </c>
      <c r="G2807" s="80" t="s">
        <v>84</v>
      </c>
      <c r="H2807" s="80" t="s">
        <v>84</v>
      </c>
      <c r="I2807" s="80" t="s">
        <v>84</v>
      </c>
      <c r="J2807" s="80" t="s">
        <v>84</v>
      </c>
      <c r="K2807" s="80" t="s">
        <v>84</v>
      </c>
      <c r="L2807" s="80" t="s">
        <v>84</v>
      </c>
      <c r="M2807" s="80" t="s">
        <v>84</v>
      </c>
      <c r="N2807" s="80" t="s">
        <v>84</v>
      </c>
      <c r="O2807" s="80" t="s">
        <v>84</v>
      </c>
      <c r="Q2807" s="80" t="s">
        <v>84</v>
      </c>
      <c r="R2807" s="80" t="s">
        <v>84</v>
      </c>
    </row>
    <row r="2808" spans="1:18" ht="20" x14ac:dyDescent="0.2">
      <c r="A2808" s="80" t="s">
        <v>4022</v>
      </c>
      <c r="B2808" s="80" t="s">
        <v>4023</v>
      </c>
      <c r="C2808" s="80" t="s">
        <v>9680</v>
      </c>
      <c r="D2808" s="80" t="s">
        <v>84</v>
      </c>
      <c r="E2808" s="80" t="s">
        <v>84</v>
      </c>
      <c r="G2808" s="80" t="s">
        <v>84</v>
      </c>
      <c r="H2808" s="80" t="s">
        <v>84</v>
      </c>
      <c r="I2808" s="80" t="s">
        <v>84</v>
      </c>
      <c r="J2808" s="80" t="s">
        <v>84</v>
      </c>
      <c r="K2808" s="80" t="s">
        <v>84</v>
      </c>
      <c r="L2808" s="80" t="s">
        <v>84</v>
      </c>
      <c r="M2808" s="80" t="s">
        <v>84</v>
      </c>
      <c r="N2808" s="80" t="s">
        <v>84</v>
      </c>
      <c r="O2808" s="80" t="s">
        <v>84</v>
      </c>
      <c r="Q2808" s="80" t="s">
        <v>84</v>
      </c>
      <c r="R2808" s="80" t="s">
        <v>84</v>
      </c>
    </row>
    <row r="2809" spans="1:18" ht="20" x14ac:dyDescent="0.2">
      <c r="A2809" s="80" t="s">
        <v>4024</v>
      </c>
      <c r="B2809" s="80" t="s">
        <v>10742</v>
      </c>
      <c r="C2809" s="80" t="s">
        <v>9680</v>
      </c>
      <c r="D2809" s="80" t="s">
        <v>84</v>
      </c>
      <c r="E2809" s="80" t="s">
        <v>84</v>
      </c>
      <c r="G2809" s="80" t="s">
        <v>84</v>
      </c>
      <c r="H2809" s="80" t="s">
        <v>84</v>
      </c>
      <c r="I2809" s="80" t="s">
        <v>84</v>
      </c>
      <c r="J2809" s="80" t="s">
        <v>84</v>
      </c>
      <c r="K2809" s="80" t="s">
        <v>84</v>
      </c>
      <c r="L2809" s="80" t="s">
        <v>84</v>
      </c>
      <c r="M2809" s="80" t="s">
        <v>84</v>
      </c>
      <c r="N2809" s="80" t="s">
        <v>84</v>
      </c>
      <c r="O2809" s="80" t="s">
        <v>84</v>
      </c>
      <c r="Q2809" s="80" t="s">
        <v>84</v>
      </c>
      <c r="R2809" s="80" t="s">
        <v>84</v>
      </c>
    </row>
    <row r="2810" spans="1:18" ht="20" x14ac:dyDescent="0.2">
      <c r="A2810" s="80" t="s">
        <v>4024</v>
      </c>
      <c r="B2810" s="80" t="s">
        <v>4025</v>
      </c>
      <c r="C2810" s="80" t="s">
        <v>9680</v>
      </c>
      <c r="D2810" s="80" t="s">
        <v>84</v>
      </c>
      <c r="E2810" s="80" t="s">
        <v>84</v>
      </c>
      <c r="G2810" s="80" t="s">
        <v>84</v>
      </c>
      <c r="H2810" s="80" t="s">
        <v>84</v>
      </c>
      <c r="I2810" s="80" t="s">
        <v>84</v>
      </c>
      <c r="J2810" s="80" t="s">
        <v>84</v>
      </c>
      <c r="K2810" s="80" t="s">
        <v>84</v>
      </c>
      <c r="L2810" s="80" t="s">
        <v>84</v>
      </c>
      <c r="M2810" s="80" t="s">
        <v>84</v>
      </c>
      <c r="N2810" s="80" t="s">
        <v>84</v>
      </c>
      <c r="O2810" s="80" t="s">
        <v>84</v>
      </c>
      <c r="Q2810" s="80" t="s">
        <v>84</v>
      </c>
      <c r="R2810" s="80" t="s">
        <v>84</v>
      </c>
    </row>
    <row r="2811" spans="1:18" ht="20" x14ac:dyDescent="0.2">
      <c r="A2811" s="80" t="s">
        <v>747</v>
      </c>
      <c r="B2811" s="80" t="s">
        <v>748</v>
      </c>
      <c r="C2811" s="80" t="s">
        <v>9680</v>
      </c>
      <c r="D2811" s="80" t="s">
        <v>9680</v>
      </c>
      <c r="E2811" s="80" t="s">
        <v>9680</v>
      </c>
      <c r="G2811" s="80" t="s">
        <v>9680</v>
      </c>
      <c r="H2811" s="80" t="s">
        <v>9680</v>
      </c>
      <c r="I2811" s="80" t="s">
        <v>9680</v>
      </c>
      <c r="J2811" s="80" t="s">
        <v>84</v>
      </c>
      <c r="K2811" s="80" t="s">
        <v>9680</v>
      </c>
      <c r="L2811" s="80" t="s">
        <v>9680</v>
      </c>
      <c r="M2811" s="80" t="s">
        <v>84</v>
      </c>
      <c r="N2811" s="80" t="s">
        <v>9680</v>
      </c>
      <c r="O2811" s="80" t="s">
        <v>84</v>
      </c>
      <c r="Q2811" s="80" t="s">
        <v>84</v>
      </c>
      <c r="R2811" s="80" t="s">
        <v>84</v>
      </c>
    </row>
    <row r="2812" spans="1:18" ht="20" x14ac:dyDescent="0.2">
      <c r="A2812" s="80" t="s">
        <v>747</v>
      </c>
      <c r="B2812" s="80" t="s">
        <v>10743</v>
      </c>
      <c r="C2812" s="80" t="s">
        <v>9680</v>
      </c>
      <c r="D2812" s="80" t="s">
        <v>9680</v>
      </c>
      <c r="E2812" s="80" t="s">
        <v>9680</v>
      </c>
      <c r="G2812" s="80" t="s">
        <v>9680</v>
      </c>
      <c r="H2812" s="80" t="s">
        <v>9680</v>
      </c>
      <c r="I2812" s="80" t="s">
        <v>9680</v>
      </c>
      <c r="J2812" s="80" t="s">
        <v>84</v>
      </c>
      <c r="K2812" s="80" t="s">
        <v>9680</v>
      </c>
      <c r="L2812" s="80" t="s">
        <v>9680</v>
      </c>
      <c r="M2812" s="80" t="s">
        <v>84</v>
      </c>
      <c r="N2812" s="80" t="s">
        <v>9680</v>
      </c>
      <c r="O2812" s="80" t="s">
        <v>84</v>
      </c>
      <c r="Q2812" s="80" t="s">
        <v>84</v>
      </c>
      <c r="R2812" s="80" t="s">
        <v>84</v>
      </c>
    </row>
    <row r="2813" spans="1:18" ht="20" x14ac:dyDescent="0.2">
      <c r="A2813" s="80" t="s">
        <v>745</v>
      </c>
      <c r="B2813" s="80" t="s">
        <v>746</v>
      </c>
      <c r="C2813" s="80" t="s">
        <v>9680</v>
      </c>
      <c r="D2813" s="80" t="s">
        <v>84</v>
      </c>
      <c r="E2813" s="80" t="s">
        <v>84</v>
      </c>
      <c r="G2813" s="80" t="s">
        <v>84</v>
      </c>
      <c r="H2813" s="80" t="s">
        <v>84</v>
      </c>
      <c r="I2813" s="80" t="s">
        <v>84</v>
      </c>
      <c r="J2813" s="80" t="s">
        <v>84</v>
      </c>
      <c r="K2813" s="80" t="s">
        <v>84</v>
      </c>
      <c r="L2813" s="80" t="s">
        <v>84</v>
      </c>
      <c r="M2813" s="80" t="s">
        <v>84</v>
      </c>
      <c r="N2813" s="80" t="s">
        <v>84</v>
      </c>
      <c r="O2813" s="80" t="s">
        <v>84</v>
      </c>
      <c r="Q2813" s="80" t="s">
        <v>84</v>
      </c>
      <c r="R2813" s="80" t="s">
        <v>84</v>
      </c>
    </row>
    <row r="2814" spans="1:18" ht="20" x14ac:dyDescent="0.2">
      <c r="A2814" s="80" t="s">
        <v>2028</v>
      </c>
      <c r="B2814" s="80" t="s">
        <v>2029</v>
      </c>
      <c r="C2814" s="80" t="s">
        <v>9680</v>
      </c>
      <c r="D2814" s="80" t="s">
        <v>84</v>
      </c>
      <c r="E2814" s="80" t="s">
        <v>84</v>
      </c>
      <c r="G2814" s="80" t="s">
        <v>84</v>
      </c>
      <c r="H2814" s="80" t="s">
        <v>84</v>
      </c>
      <c r="I2814" s="80" t="s">
        <v>84</v>
      </c>
      <c r="J2814" s="80" t="s">
        <v>84</v>
      </c>
      <c r="K2814" s="80" t="s">
        <v>84</v>
      </c>
      <c r="L2814" s="80" t="s">
        <v>84</v>
      </c>
      <c r="M2814" s="80" t="s">
        <v>84</v>
      </c>
      <c r="N2814" s="80" t="s">
        <v>84</v>
      </c>
      <c r="O2814" s="80" t="s">
        <v>84</v>
      </c>
      <c r="Q2814" s="80" t="s">
        <v>84</v>
      </c>
      <c r="R2814" s="80" t="s">
        <v>84</v>
      </c>
    </row>
    <row r="2815" spans="1:18" ht="20" x14ac:dyDescent="0.2">
      <c r="A2815" s="80" t="s">
        <v>2030</v>
      </c>
      <c r="B2815" s="80" t="s">
        <v>2031</v>
      </c>
      <c r="C2815" s="80" t="s">
        <v>9680</v>
      </c>
      <c r="D2815" s="80" t="s">
        <v>84</v>
      </c>
      <c r="E2815" s="80" t="s">
        <v>84</v>
      </c>
      <c r="G2815" s="80" t="s">
        <v>84</v>
      </c>
      <c r="H2815" s="80" t="s">
        <v>84</v>
      </c>
      <c r="I2815" s="80" t="s">
        <v>84</v>
      </c>
      <c r="J2815" s="80" t="s">
        <v>84</v>
      </c>
      <c r="K2815" s="80" t="s">
        <v>84</v>
      </c>
      <c r="L2815" s="80" t="s">
        <v>84</v>
      </c>
      <c r="M2815" s="80" t="s">
        <v>84</v>
      </c>
      <c r="N2815" s="80" t="s">
        <v>84</v>
      </c>
      <c r="O2815" s="80" t="s">
        <v>84</v>
      </c>
      <c r="Q2815" s="80" t="s">
        <v>84</v>
      </c>
      <c r="R2815" s="80" t="s">
        <v>84</v>
      </c>
    </row>
    <row r="2816" spans="1:18" ht="20" x14ac:dyDescent="0.2">
      <c r="A2816" s="80" t="s">
        <v>2032</v>
      </c>
      <c r="B2816" s="80" t="s">
        <v>2033</v>
      </c>
      <c r="C2816" s="80" t="s">
        <v>9680</v>
      </c>
      <c r="D2816" s="80" t="s">
        <v>84</v>
      </c>
      <c r="E2816" s="80" t="s">
        <v>84</v>
      </c>
      <c r="G2816" s="80" t="s">
        <v>84</v>
      </c>
      <c r="H2816" s="80" t="s">
        <v>84</v>
      </c>
      <c r="I2816" s="80" t="s">
        <v>84</v>
      </c>
      <c r="J2816" s="80" t="s">
        <v>84</v>
      </c>
      <c r="K2816" s="80" t="s">
        <v>84</v>
      </c>
      <c r="L2816" s="80" t="s">
        <v>84</v>
      </c>
      <c r="M2816" s="80" t="s">
        <v>84</v>
      </c>
      <c r="N2816" s="80" t="s">
        <v>84</v>
      </c>
      <c r="O2816" s="80" t="s">
        <v>84</v>
      </c>
      <c r="Q2816" s="80" t="s">
        <v>84</v>
      </c>
      <c r="R2816" s="80" t="s">
        <v>84</v>
      </c>
    </row>
    <row r="2817" spans="1:18" ht="20" x14ac:dyDescent="0.2">
      <c r="A2817" s="80" t="s">
        <v>2034</v>
      </c>
      <c r="B2817" s="80" t="s">
        <v>2035</v>
      </c>
      <c r="C2817" s="80" t="s">
        <v>9680</v>
      </c>
      <c r="D2817" s="80" t="s">
        <v>84</v>
      </c>
      <c r="E2817" s="80" t="s">
        <v>84</v>
      </c>
      <c r="G2817" s="80" t="s">
        <v>84</v>
      </c>
      <c r="H2817" s="80" t="s">
        <v>84</v>
      </c>
      <c r="I2817" s="80" t="s">
        <v>84</v>
      </c>
      <c r="J2817" s="80" t="s">
        <v>84</v>
      </c>
      <c r="K2817" s="80" t="s">
        <v>84</v>
      </c>
      <c r="L2817" s="80" t="s">
        <v>84</v>
      </c>
      <c r="M2817" s="80" t="s">
        <v>84</v>
      </c>
      <c r="N2817" s="80" t="s">
        <v>84</v>
      </c>
      <c r="O2817" s="80" t="s">
        <v>84</v>
      </c>
      <c r="Q2817" s="80" t="s">
        <v>84</v>
      </c>
      <c r="R2817" s="80" t="s">
        <v>84</v>
      </c>
    </row>
    <row r="2818" spans="1:18" ht="20" x14ac:dyDescent="0.2">
      <c r="A2818" s="80" t="s">
        <v>2038</v>
      </c>
      <c r="B2818" s="80" t="s">
        <v>2039</v>
      </c>
      <c r="C2818" s="80" t="s">
        <v>9680</v>
      </c>
      <c r="D2818" s="80" t="s">
        <v>84</v>
      </c>
      <c r="E2818" s="80" t="s">
        <v>84</v>
      </c>
      <c r="G2818" s="80" t="s">
        <v>84</v>
      </c>
      <c r="H2818" s="80" t="s">
        <v>84</v>
      </c>
      <c r="I2818" s="80" t="s">
        <v>84</v>
      </c>
      <c r="J2818" s="80" t="s">
        <v>84</v>
      </c>
      <c r="K2818" s="80" t="s">
        <v>84</v>
      </c>
      <c r="L2818" s="80" t="s">
        <v>84</v>
      </c>
      <c r="M2818" s="80" t="s">
        <v>84</v>
      </c>
      <c r="N2818" s="80" t="s">
        <v>84</v>
      </c>
      <c r="O2818" s="80" t="s">
        <v>84</v>
      </c>
      <c r="Q2818" s="80" t="s">
        <v>84</v>
      </c>
      <c r="R2818" s="80" t="s">
        <v>84</v>
      </c>
    </row>
    <row r="2819" spans="1:18" ht="20" x14ac:dyDescent="0.2">
      <c r="A2819" s="80" t="s">
        <v>2038</v>
      </c>
      <c r="B2819" s="80" t="s">
        <v>10744</v>
      </c>
      <c r="C2819" s="80" t="s">
        <v>9680</v>
      </c>
      <c r="D2819" s="80" t="s">
        <v>84</v>
      </c>
      <c r="E2819" s="80" t="s">
        <v>84</v>
      </c>
      <c r="G2819" s="80" t="s">
        <v>84</v>
      </c>
      <c r="H2819" s="80" t="s">
        <v>84</v>
      </c>
      <c r="I2819" s="80" t="s">
        <v>84</v>
      </c>
      <c r="J2819" s="80" t="s">
        <v>84</v>
      </c>
      <c r="K2819" s="80" t="s">
        <v>84</v>
      </c>
      <c r="L2819" s="80" t="s">
        <v>84</v>
      </c>
      <c r="M2819" s="80" t="s">
        <v>84</v>
      </c>
      <c r="N2819" s="80" t="s">
        <v>84</v>
      </c>
      <c r="O2819" s="80" t="s">
        <v>84</v>
      </c>
      <c r="Q2819" s="80" t="s">
        <v>84</v>
      </c>
      <c r="R2819" s="80" t="s">
        <v>84</v>
      </c>
    </row>
    <row r="2820" spans="1:18" ht="20" x14ac:dyDescent="0.2">
      <c r="A2820" s="80" t="s">
        <v>2041</v>
      </c>
      <c r="B2820" s="80" t="s">
        <v>2042</v>
      </c>
      <c r="C2820" s="80" t="s">
        <v>9680</v>
      </c>
      <c r="D2820" s="80" t="s">
        <v>84</v>
      </c>
      <c r="E2820" s="80" t="s">
        <v>84</v>
      </c>
      <c r="G2820" s="80" t="s">
        <v>84</v>
      </c>
      <c r="H2820" s="80" t="s">
        <v>84</v>
      </c>
      <c r="I2820" s="80" t="s">
        <v>84</v>
      </c>
      <c r="J2820" s="80" t="s">
        <v>84</v>
      </c>
      <c r="K2820" s="80" t="s">
        <v>84</v>
      </c>
      <c r="L2820" s="80" t="s">
        <v>84</v>
      </c>
      <c r="M2820" s="80" t="s">
        <v>84</v>
      </c>
      <c r="N2820" s="80" t="s">
        <v>84</v>
      </c>
      <c r="O2820" s="80" t="s">
        <v>84</v>
      </c>
      <c r="Q2820" s="80" t="s">
        <v>84</v>
      </c>
      <c r="R2820" s="80" t="s">
        <v>84</v>
      </c>
    </row>
    <row r="2821" spans="1:18" ht="20" x14ac:dyDescent="0.2">
      <c r="A2821" s="80" t="s">
        <v>2041</v>
      </c>
      <c r="B2821" s="80" t="s">
        <v>10745</v>
      </c>
      <c r="C2821" s="80" t="s">
        <v>9680</v>
      </c>
      <c r="D2821" s="80" t="s">
        <v>84</v>
      </c>
      <c r="E2821" s="80" t="s">
        <v>84</v>
      </c>
      <c r="G2821" s="80" t="s">
        <v>84</v>
      </c>
      <c r="H2821" s="80" t="s">
        <v>84</v>
      </c>
      <c r="I2821" s="80" t="s">
        <v>84</v>
      </c>
      <c r="J2821" s="80" t="s">
        <v>84</v>
      </c>
      <c r="K2821" s="80" t="s">
        <v>84</v>
      </c>
      <c r="L2821" s="80" t="s">
        <v>84</v>
      </c>
      <c r="M2821" s="80" t="s">
        <v>84</v>
      </c>
      <c r="N2821" s="80" t="s">
        <v>84</v>
      </c>
      <c r="O2821" s="80" t="s">
        <v>84</v>
      </c>
      <c r="Q2821" s="80" t="s">
        <v>84</v>
      </c>
      <c r="R2821" s="80" t="s">
        <v>84</v>
      </c>
    </row>
    <row r="2822" spans="1:18" ht="20" x14ac:dyDescent="0.2">
      <c r="A2822" s="80" t="s">
        <v>3605</v>
      </c>
      <c r="B2822" s="80" t="s">
        <v>10746</v>
      </c>
      <c r="C2822" s="80" t="s">
        <v>9680</v>
      </c>
      <c r="D2822" s="80" t="s">
        <v>84</v>
      </c>
      <c r="E2822" s="80" t="s">
        <v>84</v>
      </c>
      <c r="G2822" s="80" t="s">
        <v>84</v>
      </c>
      <c r="H2822" s="80" t="s">
        <v>84</v>
      </c>
      <c r="I2822" s="80" t="s">
        <v>84</v>
      </c>
      <c r="J2822" s="80" t="s">
        <v>84</v>
      </c>
      <c r="K2822" s="80" t="s">
        <v>84</v>
      </c>
      <c r="L2822" s="80" t="s">
        <v>84</v>
      </c>
      <c r="M2822" s="80" t="s">
        <v>84</v>
      </c>
      <c r="N2822" s="80" t="s">
        <v>84</v>
      </c>
      <c r="O2822" s="80" t="s">
        <v>84</v>
      </c>
      <c r="Q2822" s="80" t="s">
        <v>84</v>
      </c>
      <c r="R2822" s="80" t="s">
        <v>84</v>
      </c>
    </row>
    <row r="2823" spans="1:18" ht="20" x14ac:dyDescent="0.2">
      <c r="A2823" s="80" t="s">
        <v>3605</v>
      </c>
      <c r="B2823" s="80" t="s">
        <v>3606</v>
      </c>
      <c r="C2823" s="80" t="s">
        <v>9680</v>
      </c>
      <c r="D2823" s="80" t="s">
        <v>84</v>
      </c>
      <c r="E2823" s="80" t="s">
        <v>84</v>
      </c>
      <c r="G2823" s="80" t="s">
        <v>84</v>
      </c>
      <c r="H2823" s="80" t="s">
        <v>84</v>
      </c>
      <c r="I2823" s="80" t="s">
        <v>84</v>
      </c>
      <c r="J2823" s="80" t="s">
        <v>84</v>
      </c>
      <c r="K2823" s="80" t="s">
        <v>84</v>
      </c>
      <c r="L2823" s="80" t="s">
        <v>84</v>
      </c>
      <c r="M2823" s="80" t="s">
        <v>84</v>
      </c>
      <c r="N2823" s="80" t="s">
        <v>84</v>
      </c>
      <c r="O2823" s="80" t="s">
        <v>84</v>
      </c>
      <c r="Q2823" s="80" t="s">
        <v>84</v>
      </c>
      <c r="R2823" s="80" t="s">
        <v>84</v>
      </c>
    </row>
    <row r="2824" spans="1:18" ht="20" x14ac:dyDescent="0.2">
      <c r="A2824" s="80" t="s">
        <v>5269</v>
      </c>
      <c r="B2824" s="80" t="s">
        <v>10747</v>
      </c>
      <c r="C2824" s="80" t="s">
        <v>9680</v>
      </c>
      <c r="D2824" s="80" t="s">
        <v>84</v>
      </c>
      <c r="E2824" s="80" t="s">
        <v>84</v>
      </c>
      <c r="G2824" s="80" t="s">
        <v>84</v>
      </c>
      <c r="H2824" s="80" t="s">
        <v>84</v>
      </c>
      <c r="I2824" s="80" t="s">
        <v>84</v>
      </c>
      <c r="J2824" s="80" t="s">
        <v>84</v>
      </c>
      <c r="K2824" s="80" t="s">
        <v>84</v>
      </c>
      <c r="L2824" s="80" t="s">
        <v>84</v>
      </c>
      <c r="M2824" s="80" t="s">
        <v>84</v>
      </c>
      <c r="N2824" s="80" t="s">
        <v>84</v>
      </c>
      <c r="O2824" s="80" t="s">
        <v>84</v>
      </c>
      <c r="Q2824" s="80" t="s">
        <v>84</v>
      </c>
      <c r="R2824" s="80" t="s">
        <v>84</v>
      </c>
    </row>
    <row r="2825" spans="1:18" ht="20" x14ac:dyDescent="0.2">
      <c r="A2825" s="80" t="s">
        <v>5269</v>
      </c>
      <c r="B2825" s="80" t="s">
        <v>5270</v>
      </c>
      <c r="C2825" s="80" t="s">
        <v>9680</v>
      </c>
      <c r="D2825" s="80" t="s">
        <v>84</v>
      </c>
      <c r="E2825" s="80" t="s">
        <v>84</v>
      </c>
      <c r="G2825" s="80" t="s">
        <v>84</v>
      </c>
      <c r="H2825" s="80" t="s">
        <v>84</v>
      </c>
      <c r="I2825" s="80" t="s">
        <v>84</v>
      </c>
      <c r="J2825" s="80" t="s">
        <v>84</v>
      </c>
      <c r="K2825" s="80" t="s">
        <v>84</v>
      </c>
      <c r="L2825" s="80" t="s">
        <v>84</v>
      </c>
      <c r="M2825" s="80" t="s">
        <v>84</v>
      </c>
      <c r="N2825" s="80" t="s">
        <v>84</v>
      </c>
      <c r="O2825" s="80" t="s">
        <v>84</v>
      </c>
      <c r="Q2825" s="80" t="s">
        <v>84</v>
      </c>
      <c r="R2825" s="80" t="s">
        <v>84</v>
      </c>
    </row>
    <row r="2826" spans="1:18" ht="20" x14ac:dyDescent="0.2">
      <c r="A2826" s="80" t="s">
        <v>4364</v>
      </c>
      <c r="B2826" s="80" t="s">
        <v>10748</v>
      </c>
      <c r="C2826" s="80" t="s">
        <v>9680</v>
      </c>
      <c r="D2826" s="80" t="s">
        <v>84</v>
      </c>
      <c r="E2826" s="80" t="s">
        <v>84</v>
      </c>
      <c r="G2826" s="80" t="s">
        <v>84</v>
      </c>
      <c r="H2826" s="80" t="s">
        <v>84</v>
      </c>
      <c r="I2826" s="80" t="s">
        <v>84</v>
      </c>
      <c r="J2826" s="80" t="s">
        <v>84</v>
      </c>
      <c r="K2826" s="80" t="s">
        <v>84</v>
      </c>
      <c r="L2826" s="80" t="s">
        <v>84</v>
      </c>
      <c r="M2826" s="80" t="s">
        <v>84</v>
      </c>
      <c r="N2826" s="80" t="s">
        <v>84</v>
      </c>
      <c r="O2826" s="80" t="s">
        <v>84</v>
      </c>
      <c r="Q2826" s="80" t="s">
        <v>84</v>
      </c>
      <c r="R2826" s="80" t="s">
        <v>84</v>
      </c>
    </row>
    <row r="2827" spans="1:18" ht="20" x14ac:dyDescent="0.2">
      <c r="A2827" s="80" t="s">
        <v>4364</v>
      </c>
      <c r="B2827" s="80" t="s">
        <v>4365</v>
      </c>
      <c r="C2827" s="80" t="s">
        <v>9680</v>
      </c>
      <c r="D2827" s="80" t="s">
        <v>84</v>
      </c>
      <c r="E2827" s="80" t="s">
        <v>84</v>
      </c>
      <c r="G2827" s="80" t="s">
        <v>84</v>
      </c>
      <c r="H2827" s="80" t="s">
        <v>84</v>
      </c>
      <c r="I2827" s="80" t="s">
        <v>84</v>
      </c>
      <c r="J2827" s="80" t="s">
        <v>84</v>
      </c>
      <c r="K2827" s="80" t="s">
        <v>84</v>
      </c>
      <c r="L2827" s="80" t="s">
        <v>84</v>
      </c>
      <c r="M2827" s="80" t="s">
        <v>84</v>
      </c>
      <c r="N2827" s="80" t="s">
        <v>84</v>
      </c>
      <c r="O2827" s="80" t="s">
        <v>84</v>
      </c>
      <c r="Q2827" s="80" t="s">
        <v>84</v>
      </c>
      <c r="R2827" s="80" t="s">
        <v>84</v>
      </c>
    </row>
    <row r="2828" spans="1:18" ht="20" x14ac:dyDescent="0.2">
      <c r="A2828" s="80" t="s">
        <v>10749</v>
      </c>
      <c r="B2828" s="80" t="s">
        <v>10750</v>
      </c>
      <c r="C2828" s="80" t="s">
        <v>9680</v>
      </c>
      <c r="D2828" s="80" t="s">
        <v>84</v>
      </c>
      <c r="E2828" s="80" t="s">
        <v>84</v>
      </c>
      <c r="G2828" s="80" t="s">
        <v>84</v>
      </c>
      <c r="H2828" s="80" t="s">
        <v>84</v>
      </c>
      <c r="I2828" s="80" t="s">
        <v>84</v>
      </c>
      <c r="J2828" s="80" t="s">
        <v>84</v>
      </c>
      <c r="K2828" s="80" t="s">
        <v>84</v>
      </c>
      <c r="L2828" s="80" t="s">
        <v>84</v>
      </c>
      <c r="M2828" s="80" t="s">
        <v>84</v>
      </c>
      <c r="N2828" s="80" t="s">
        <v>84</v>
      </c>
      <c r="O2828" s="80" t="s">
        <v>84</v>
      </c>
      <c r="Q2828" s="80" t="s">
        <v>84</v>
      </c>
      <c r="R2828" s="80" t="s">
        <v>84</v>
      </c>
    </row>
    <row r="2829" spans="1:18" ht="20" x14ac:dyDescent="0.2">
      <c r="A2829" s="80" t="s">
        <v>4360</v>
      </c>
      <c r="B2829" s="80" t="s">
        <v>10751</v>
      </c>
      <c r="C2829" s="80" t="s">
        <v>9680</v>
      </c>
      <c r="D2829" s="80" t="s">
        <v>84</v>
      </c>
      <c r="E2829" s="80" t="s">
        <v>84</v>
      </c>
      <c r="G2829" s="80" t="s">
        <v>84</v>
      </c>
      <c r="H2829" s="80" t="s">
        <v>84</v>
      </c>
      <c r="I2829" s="80" t="s">
        <v>84</v>
      </c>
      <c r="J2829" s="80" t="s">
        <v>84</v>
      </c>
      <c r="K2829" s="80" t="s">
        <v>84</v>
      </c>
      <c r="L2829" s="80" t="s">
        <v>84</v>
      </c>
      <c r="M2829" s="80" t="s">
        <v>84</v>
      </c>
      <c r="N2829" s="80" t="s">
        <v>84</v>
      </c>
      <c r="O2829" s="80" t="s">
        <v>84</v>
      </c>
      <c r="Q2829" s="80" t="s">
        <v>84</v>
      </c>
      <c r="R2829" s="80" t="s">
        <v>84</v>
      </c>
    </row>
    <row r="2830" spans="1:18" ht="20" x14ac:dyDescent="0.2">
      <c r="A2830" s="80" t="s">
        <v>4360</v>
      </c>
      <c r="B2830" s="80" t="s">
        <v>4361</v>
      </c>
      <c r="C2830" s="80" t="s">
        <v>9680</v>
      </c>
      <c r="D2830" s="80" t="s">
        <v>84</v>
      </c>
      <c r="E2830" s="80" t="s">
        <v>84</v>
      </c>
      <c r="G2830" s="80" t="s">
        <v>84</v>
      </c>
      <c r="H2830" s="80" t="s">
        <v>84</v>
      </c>
      <c r="I2830" s="80" t="s">
        <v>84</v>
      </c>
      <c r="J2830" s="80" t="s">
        <v>84</v>
      </c>
      <c r="K2830" s="80" t="s">
        <v>84</v>
      </c>
      <c r="L2830" s="80" t="s">
        <v>84</v>
      </c>
      <c r="M2830" s="80" t="s">
        <v>84</v>
      </c>
      <c r="N2830" s="80" t="s">
        <v>84</v>
      </c>
      <c r="O2830" s="80" t="s">
        <v>84</v>
      </c>
      <c r="Q2830" s="80" t="s">
        <v>84</v>
      </c>
      <c r="R2830" s="80" t="s">
        <v>84</v>
      </c>
    </row>
    <row r="2831" spans="1:18" ht="20" x14ac:dyDescent="0.2">
      <c r="A2831" s="80" t="s">
        <v>4362</v>
      </c>
      <c r="B2831" s="80" t="s">
        <v>4363</v>
      </c>
      <c r="C2831" s="80" t="s">
        <v>9680</v>
      </c>
      <c r="D2831" s="80" t="s">
        <v>84</v>
      </c>
      <c r="E2831" s="80" t="s">
        <v>84</v>
      </c>
      <c r="G2831" s="80" t="s">
        <v>84</v>
      </c>
      <c r="H2831" s="80" t="s">
        <v>84</v>
      </c>
      <c r="I2831" s="80" t="s">
        <v>84</v>
      </c>
      <c r="J2831" s="80" t="s">
        <v>84</v>
      </c>
      <c r="K2831" s="80" t="s">
        <v>84</v>
      </c>
      <c r="L2831" s="80" t="s">
        <v>84</v>
      </c>
      <c r="M2831" s="80" t="s">
        <v>84</v>
      </c>
      <c r="N2831" s="80" t="s">
        <v>84</v>
      </c>
      <c r="O2831" s="80" t="s">
        <v>84</v>
      </c>
      <c r="Q2831" s="80" t="s">
        <v>84</v>
      </c>
      <c r="R2831" s="80" t="s">
        <v>84</v>
      </c>
    </row>
    <row r="2832" spans="1:18" ht="20" x14ac:dyDescent="0.2">
      <c r="A2832" s="80" t="s">
        <v>4366</v>
      </c>
      <c r="B2832" s="80" t="s">
        <v>4367</v>
      </c>
      <c r="C2832" s="80" t="s">
        <v>9680</v>
      </c>
      <c r="D2832" s="80" t="s">
        <v>84</v>
      </c>
      <c r="E2832" s="80" t="s">
        <v>84</v>
      </c>
      <c r="G2832" s="80" t="s">
        <v>84</v>
      </c>
      <c r="H2832" s="80" t="s">
        <v>84</v>
      </c>
      <c r="I2832" s="80" t="s">
        <v>84</v>
      </c>
      <c r="J2832" s="80" t="s">
        <v>84</v>
      </c>
      <c r="K2832" s="80" t="s">
        <v>84</v>
      </c>
      <c r="L2832" s="80" t="s">
        <v>84</v>
      </c>
      <c r="M2832" s="80" t="s">
        <v>84</v>
      </c>
      <c r="N2832" s="80" t="s">
        <v>84</v>
      </c>
      <c r="O2832" s="80" t="s">
        <v>84</v>
      </c>
      <c r="Q2832" s="80" t="s">
        <v>84</v>
      </c>
      <c r="R2832" s="80" t="s">
        <v>84</v>
      </c>
    </row>
    <row r="2833" spans="1:18" ht="20" x14ac:dyDescent="0.2">
      <c r="A2833" s="80" t="s">
        <v>4368</v>
      </c>
      <c r="B2833" s="80" t="s">
        <v>4369</v>
      </c>
      <c r="C2833" s="80" t="s">
        <v>9680</v>
      </c>
      <c r="D2833" s="80" t="s">
        <v>84</v>
      </c>
      <c r="E2833" s="80" t="s">
        <v>84</v>
      </c>
      <c r="G2833" s="80" t="s">
        <v>84</v>
      </c>
      <c r="H2833" s="80" t="s">
        <v>84</v>
      </c>
      <c r="I2833" s="80" t="s">
        <v>84</v>
      </c>
      <c r="J2833" s="80" t="s">
        <v>84</v>
      </c>
      <c r="K2833" s="80" t="s">
        <v>84</v>
      </c>
      <c r="L2833" s="80" t="s">
        <v>84</v>
      </c>
      <c r="M2833" s="80" t="s">
        <v>84</v>
      </c>
      <c r="N2833" s="80" t="s">
        <v>84</v>
      </c>
      <c r="O2833" s="80" t="s">
        <v>84</v>
      </c>
      <c r="Q2833" s="80" t="s">
        <v>84</v>
      </c>
      <c r="R2833" s="80" t="s">
        <v>84</v>
      </c>
    </row>
    <row r="2834" spans="1:18" ht="20" x14ac:dyDescent="0.2">
      <c r="A2834" s="80" t="s">
        <v>4370</v>
      </c>
      <c r="B2834" s="80" t="s">
        <v>4371</v>
      </c>
      <c r="C2834" s="80" t="s">
        <v>9680</v>
      </c>
      <c r="D2834" s="80" t="s">
        <v>84</v>
      </c>
      <c r="E2834" s="80" t="s">
        <v>84</v>
      </c>
      <c r="G2834" s="80" t="s">
        <v>84</v>
      </c>
      <c r="H2834" s="80" t="s">
        <v>84</v>
      </c>
      <c r="I2834" s="80" t="s">
        <v>84</v>
      </c>
      <c r="J2834" s="80" t="s">
        <v>84</v>
      </c>
      <c r="K2834" s="80" t="s">
        <v>84</v>
      </c>
      <c r="L2834" s="80" t="s">
        <v>84</v>
      </c>
      <c r="M2834" s="80" t="s">
        <v>84</v>
      </c>
      <c r="N2834" s="80" t="s">
        <v>84</v>
      </c>
      <c r="O2834" s="80" t="s">
        <v>84</v>
      </c>
      <c r="Q2834" s="80" t="s">
        <v>84</v>
      </c>
      <c r="R2834" s="80" t="s">
        <v>84</v>
      </c>
    </row>
    <row r="2835" spans="1:18" ht="20" x14ac:dyDescent="0.2">
      <c r="A2835" s="80" t="s">
        <v>4372</v>
      </c>
      <c r="B2835" s="80" t="s">
        <v>4373</v>
      </c>
      <c r="C2835" s="80" t="s">
        <v>9680</v>
      </c>
      <c r="D2835" s="80" t="s">
        <v>84</v>
      </c>
      <c r="E2835" s="80" t="s">
        <v>84</v>
      </c>
      <c r="G2835" s="80" t="s">
        <v>84</v>
      </c>
      <c r="H2835" s="80" t="s">
        <v>84</v>
      </c>
      <c r="I2835" s="80" t="s">
        <v>84</v>
      </c>
      <c r="J2835" s="80" t="s">
        <v>84</v>
      </c>
      <c r="K2835" s="80" t="s">
        <v>84</v>
      </c>
      <c r="L2835" s="80" t="s">
        <v>84</v>
      </c>
      <c r="M2835" s="80" t="s">
        <v>84</v>
      </c>
      <c r="N2835" s="80" t="s">
        <v>84</v>
      </c>
      <c r="O2835" s="80" t="s">
        <v>84</v>
      </c>
      <c r="Q2835" s="80" t="s">
        <v>84</v>
      </c>
      <c r="R2835" s="80" t="s">
        <v>84</v>
      </c>
    </row>
    <row r="2836" spans="1:18" ht="20" x14ac:dyDescent="0.2">
      <c r="A2836" s="80" t="s">
        <v>4374</v>
      </c>
      <c r="B2836" s="80" t="s">
        <v>4375</v>
      </c>
      <c r="C2836" s="80" t="s">
        <v>9680</v>
      </c>
      <c r="D2836" s="80" t="s">
        <v>84</v>
      </c>
      <c r="E2836" s="80" t="s">
        <v>84</v>
      </c>
      <c r="G2836" s="80" t="s">
        <v>84</v>
      </c>
      <c r="H2836" s="80" t="s">
        <v>84</v>
      </c>
      <c r="I2836" s="80" t="s">
        <v>84</v>
      </c>
      <c r="J2836" s="80" t="s">
        <v>84</v>
      </c>
      <c r="K2836" s="80" t="s">
        <v>84</v>
      </c>
      <c r="L2836" s="80" t="s">
        <v>84</v>
      </c>
      <c r="M2836" s="80" t="s">
        <v>84</v>
      </c>
      <c r="N2836" s="80" t="s">
        <v>84</v>
      </c>
      <c r="O2836" s="80" t="s">
        <v>84</v>
      </c>
      <c r="Q2836" s="80" t="s">
        <v>84</v>
      </c>
      <c r="R2836" s="80" t="s">
        <v>84</v>
      </c>
    </row>
    <row r="2837" spans="1:18" ht="20" x14ac:dyDescent="0.2">
      <c r="A2837" s="80" t="s">
        <v>4376</v>
      </c>
      <c r="B2837" s="80" t="s">
        <v>4377</v>
      </c>
      <c r="C2837" s="80" t="s">
        <v>9680</v>
      </c>
      <c r="D2837" s="80" t="s">
        <v>84</v>
      </c>
      <c r="E2837" s="80" t="s">
        <v>84</v>
      </c>
      <c r="G2837" s="80" t="s">
        <v>84</v>
      </c>
      <c r="H2837" s="80" t="s">
        <v>84</v>
      </c>
      <c r="I2837" s="80" t="s">
        <v>84</v>
      </c>
      <c r="J2837" s="80" t="s">
        <v>84</v>
      </c>
      <c r="K2837" s="80" t="s">
        <v>84</v>
      </c>
      <c r="L2837" s="80" t="s">
        <v>84</v>
      </c>
      <c r="M2837" s="80" t="s">
        <v>84</v>
      </c>
      <c r="N2837" s="80" t="s">
        <v>84</v>
      </c>
      <c r="O2837" s="80" t="s">
        <v>84</v>
      </c>
      <c r="Q2837" s="80" t="s">
        <v>84</v>
      </c>
      <c r="R2837" s="80" t="s">
        <v>84</v>
      </c>
    </row>
    <row r="2838" spans="1:18" ht="20" x14ac:dyDescent="0.2">
      <c r="A2838" s="80" t="s">
        <v>4378</v>
      </c>
      <c r="B2838" s="80" t="s">
        <v>4379</v>
      </c>
      <c r="C2838" s="80" t="s">
        <v>9680</v>
      </c>
      <c r="D2838" s="80" t="s">
        <v>84</v>
      </c>
      <c r="E2838" s="80" t="s">
        <v>84</v>
      </c>
      <c r="G2838" s="80" t="s">
        <v>84</v>
      </c>
      <c r="H2838" s="80" t="s">
        <v>84</v>
      </c>
      <c r="I2838" s="80" t="s">
        <v>84</v>
      </c>
      <c r="J2838" s="80" t="s">
        <v>84</v>
      </c>
      <c r="K2838" s="80" t="s">
        <v>84</v>
      </c>
      <c r="L2838" s="80" t="s">
        <v>84</v>
      </c>
      <c r="M2838" s="80" t="s">
        <v>84</v>
      </c>
      <c r="N2838" s="80" t="s">
        <v>84</v>
      </c>
      <c r="O2838" s="80" t="s">
        <v>84</v>
      </c>
      <c r="Q2838" s="80" t="s">
        <v>84</v>
      </c>
      <c r="R2838" s="80" t="s">
        <v>84</v>
      </c>
    </row>
    <row r="2839" spans="1:18" ht="20" x14ac:dyDescent="0.2">
      <c r="A2839" s="80" t="s">
        <v>4380</v>
      </c>
      <c r="B2839" s="80" t="s">
        <v>4381</v>
      </c>
      <c r="C2839" s="80" t="s">
        <v>9680</v>
      </c>
      <c r="D2839" s="80" t="s">
        <v>84</v>
      </c>
      <c r="E2839" s="80" t="s">
        <v>84</v>
      </c>
      <c r="G2839" s="80" t="s">
        <v>84</v>
      </c>
      <c r="H2839" s="80" t="s">
        <v>84</v>
      </c>
      <c r="I2839" s="80" t="s">
        <v>84</v>
      </c>
      <c r="J2839" s="80" t="s">
        <v>84</v>
      </c>
      <c r="K2839" s="80" t="s">
        <v>84</v>
      </c>
      <c r="L2839" s="80" t="s">
        <v>84</v>
      </c>
      <c r="M2839" s="80" t="s">
        <v>84</v>
      </c>
      <c r="N2839" s="80" t="s">
        <v>84</v>
      </c>
      <c r="O2839" s="80" t="s">
        <v>84</v>
      </c>
      <c r="Q2839" s="80" t="s">
        <v>84</v>
      </c>
      <c r="R2839" s="80" t="s">
        <v>84</v>
      </c>
    </row>
    <row r="2840" spans="1:18" ht="20" x14ac:dyDescent="0.2">
      <c r="A2840" s="80" t="s">
        <v>10752</v>
      </c>
      <c r="B2840" s="80" t="s">
        <v>6803</v>
      </c>
      <c r="C2840" s="80" t="s">
        <v>9680</v>
      </c>
      <c r="D2840" s="80" t="s">
        <v>84</v>
      </c>
      <c r="E2840" s="80" t="s">
        <v>9680</v>
      </c>
      <c r="G2840" s="80" t="s">
        <v>9680</v>
      </c>
      <c r="H2840" s="80" t="s">
        <v>9680</v>
      </c>
      <c r="I2840" s="80" t="s">
        <v>9680</v>
      </c>
      <c r="J2840" s="80" t="s">
        <v>84</v>
      </c>
      <c r="K2840" s="80" t="s">
        <v>84</v>
      </c>
      <c r="L2840" s="80" t="s">
        <v>9680</v>
      </c>
      <c r="M2840" s="80" t="s">
        <v>9680</v>
      </c>
      <c r="N2840" s="80" t="s">
        <v>9680</v>
      </c>
      <c r="O2840" s="80" t="s">
        <v>9680</v>
      </c>
      <c r="Q2840" s="80" t="s">
        <v>84</v>
      </c>
      <c r="R2840" s="80" t="s">
        <v>9680</v>
      </c>
    </row>
    <row r="2841" spans="1:18" ht="20" x14ac:dyDescent="0.2">
      <c r="A2841" s="80" t="s">
        <v>6802</v>
      </c>
      <c r="B2841" s="80" t="s">
        <v>6803</v>
      </c>
      <c r="C2841" s="80" t="s">
        <v>9680</v>
      </c>
      <c r="D2841" s="80" t="s">
        <v>84</v>
      </c>
      <c r="E2841" s="80" t="s">
        <v>9680</v>
      </c>
      <c r="G2841" s="80" t="s">
        <v>9680</v>
      </c>
      <c r="H2841" s="80" t="s">
        <v>9680</v>
      </c>
      <c r="I2841" s="80" t="s">
        <v>9680</v>
      </c>
      <c r="J2841" s="80" t="s">
        <v>84</v>
      </c>
      <c r="K2841" s="80" t="s">
        <v>84</v>
      </c>
      <c r="L2841" s="80" t="s">
        <v>9680</v>
      </c>
      <c r="M2841" s="80" t="s">
        <v>9680</v>
      </c>
      <c r="N2841" s="80" t="s">
        <v>9680</v>
      </c>
      <c r="O2841" s="80" t="s">
        <v>9680</v>
      </c>
      <c r="Q2841" s="80" t="s">
        <v>84</v>
      </c>
      <c r="R2841" s="80" t="s">
        <v>9680</v>
      </c>
    </row>
    <row r="2842" spans="1:18" ht="20" x14ac:dyDescent="0.2">
      <c r="A2842" s="80" t="s">
        <v>6804</v>
      </c>
      <c r="B2842" s="80" t="s">
        <v>6805</v>
      </c>
      <c r="C2842" s="80" t="s">
        <v>84</v>
      </c>
      <c r="D2842" s="80" t="s">
        <v>84</v>
      </c>
      <c r="E2842" s="80" t="s">
        <v>84</v>
      </c>
      <c r="G2842" s="80" t="s">
        <v>84</v>
      </c>
      <c r="H2842" s="80" t="s">
        <v>84</v>
      </c>
      <c r="I2842" s="80" t="s">
        <v>84</v>
      </c>
      <c r="J2842" s="80" t="s">
        <v>84</v>
      </c>
      <c r="K2842" s="80" t="s">
        <v>84</v>
      </c>
      <c r="L2842" s="80" t="s">
        <v>84</v>
      </c>
      <c r="M2842" s="80" t="s">
        <v>84</v>
      </c>
      <c r="N2842" s="80" t="s">
        <v>84</v>
      </c>
      <c r="O2842" s="80" t="s">
        <v>84</v>
      </c>
      <c r="Q2842" s="80" t="s">
        <v>84</v>
      </c>
      <c r="R2842" s="80" t="s">
        <v>84</v>
      </c>
    </row>
    <row r="2843" spans="1:18" ht="20" x14ac:dyDescent="0.2">
      <c r="A2843" s="80" t="s">
        <v>4660</v>
      </c>
      <c r="B2843" s="80" t="s">
        <v>4661</v>
      </c>
      <c r="C2843" s="80" t="s">
        <v>9722</v>
      </c>
      <c r="D2843" s="80" t="s">
        <v>84</v>
      </c>
      <c r="E2843" s="80" t="s">
        <v>9722</v>
      </c>
      <c r="G2843" s="80" t="s">
        <v>9722</v>
      </c>
      <c r="H2843" s="80" t="s">
        <v>9722</v>
      </c>
      <c r="I2843" s="80" t="s">
        <v>9722</v>
      </c>
      <c r="J2843" s="80" t="s">
        <v>84</v>
      </c>
      <c r="K2843" s="80" t="s">
        <v>84</v>
      </c>
      <c r="L2843" s="80" t="s">
        <v>9722</v>
      </c>
      <c r="M2843" s="80" t="s">
        <v>84</v>
      </c>
      <c r="N2843" s="80" t="s">
        <v>9722</v>
      </c>
      <c r="O2843" s="80" t="s">
        <v>9722</v>
      </c>
      <c r="Q2843" s="80" t="s">
        <v>84</v>
      </c>
      <c r="R2843" s="80" t="s">
        <v>9722</v>
      </c>
    </row>
    <row r="2844" spans="1:18" ht="20" x14ac:dyDescent="0.2">
      <c r="A2844" s="80" t="s">
        <v>3512</v>
      </c>
      <c r="B2844" s="80" t="s">
        <v>3513</v>
      </c>
      <c r="C2844" s="80" t="s">
        <v>9680</v>
      </c>
      <c r="D2844" s="80" t="s">
        <v>84</v>
      </c>
      <c r="E2844" s="80" t="s">
        <v>84</v>
      </c>
      <c r="G2844" s="80" t="s">
        <v>84</v>
      </c>
      <c r="H2844" s="80" t="s">
        <v>84</v>
      </c>
      <c r="I2844" s="80" t="s">
        <v>84</v>
      </c>
      <c r="J2844" s="80" t="s">
        <v>84</v>
      </c>
      <c r="K2844" s="80" t="s">
        <v>84</v>
      </c>
      <c r="L2844" s="80" t="s">
        <v>84</v>
      </c>
      <c r="M2844" s="80" t="s">
        <v>84</v>
      </c>
      <c r="N2844" s="80" t="s">
        <v>84</v>
      </c>
      <c r="O2844" s="80" t="s">
        <v>84</v>
      </c>
      <c r="Q2844" s="80" t="s">
        <v>84</v>
      </c>
      <c r="R2844" s="80" t="s">
        <v>84</v>
      </c>
    </row>
    <row r="2845" spans="1:18" ht="20" x14ac:dyDescent="0.2">
      <c r="A2845" s="80" t="s">
        <v>3199</v>
      </c>
      <c r="B2845" s="80" t="s">
        <v>3200</v>
      </c>
      <c r="C2845" s="80" t="s">
        <v>9680</v>
      </c>
      <c r="D2845" s="80" t="s">
        <v>84</v>
      </c>
      <c r="E2845" s="80" t="s">
        <v>84</v>
      </c>
      <c r="G2845" s="80" t="s">
        <v>84</v>
      </c>
      <c r="H2845" s="80" t="s">
        <v>9680</v>
      </c>
      <c r="I2845" s="80" t="s">
        <v>84</v>
      </c>
      <c r="J2845" s="80" t="s">
        <v>84</v>
      </c>
      <c r="K2845" s="80" t="s">
        <v>84</v>
      </c>
      <c r="L2845" s="80" t="s">
        <v>84</v>
      </c>
      <c r="M2845" s="80" t="s">
        <v>84</v>
      </c>
      <c r="N2845" s="80" t="s">
        <v>84</v>
      </c>
      <c r="O2845" s="80" t="s">
        <v>84</v>
      </c>
      <c r="Q2845" s="80" t="s">
        <v>84</v>
      </c>
      <c r="R2845" s="80" t="s">
        <v>84</v>
      </c>
    </row>
    <row r="2846" spans="1:18" ht="20" x14ac:dyDescent="0.2">
      <c r="A2846" s="80" t="s">
        <v>3199</v>
      </c>
      <c r="B2846" s="80" t="s">
        <v>3546</v>
      </c>
      <c r="C2846" s="80" t="s">
        <v>9680</v>
      </c>
      <c r="D2846" s="80" t="s">
        <v>84</v>
      </c>
      <c r="E2846" s="80" t="s">
        <v>84</v>
      </c>
      <c r="G2846" s="80" t="s">
        <v>84</v>
      </c>
      <c r="H2846" s="80" t="s">
        <v>9680</v>
      </c>
      <c r="I2846" s="80" t="s">
        <v>84</v>
      </c>
      <c r="J2846" s="80" t="s">
        <v>84</v>
      </c>
      <c r="K2846" s="80" t="s">
        <v>84</v>
      </c>
      <c r="L2846" s="80" t="s">
        <v>84</v>
      </c>
      <c r="M2846" s="80" t="s">
        <v>84</v>
      </c>
      <c r="N2846" s="80" t="s">
        <v>84</v>
      </c>
      <c r="O2846" s="80" t="s">
        <v>84</v>
      </c>
      <c r="Q2846" s="80" t="s">
        <v>84</v>
      </c>
      <c r="R2846" s="80" t="s">
        <v>84</v>
      </c>
    </row>
    <row r="2847" spans="1:18" ht="20" x14ac:dyDescent="0.2">
      <c r="A2847" s="80" t="s">
        <v>3199</v>
      </c>
      <c r="B2847" s="80" t="s">
        <v>10753</v>
      </c>
      <c r="C2847" s="80" t="s">
        <v>9680</v>
      </c>
      <c r="D2847" s="80" t="s">
        <v>84</v>
      </c>
      <c r="E2847" s="80" t="s">
        <v>84</v>
      </c>
      <c r="G2847" s="80" t="s">
        <v>84</v>
      </c>
      <c r="H2847" s="80" t="s">
        <v>9680</v>
      </c>
      <c r="I2847" s="80" t="s">
        <v>84</v>
      </c>
      <c r="J2847" s="80" t="s">
        <v>84</v>
      </c>
      <c r="K2847" s="80" t="s">
        <v>84</v>
      </c>
      <c r="L2847" s="80" t="s">
        <v>84</v>
      </c>
      <c r="M2847" s="80" t="s">
        <v>84</v>
      </c>
      <c r="N2847" s="80" t="s">
        <v>84</v>
      </c>
      <c r="O2847" s="80" t="s">
        <v>84</v>
      </c>
      <c r="Q2847" s="80" t="s">
        <v>84</v>
      </c>
      <c r="R2847" s="80" t="s">
        <v>84</v>
      </c>
    </row>
    <row r="2848" spans="1:18" ht="20" x14ac:dyDescent="0.2">
      <c r="A2848" s="80" t="s">
        <v>4472</v>
      </c>
      <c r="B2848" s="80" t="s">
        <v>10754</v>
      </c>
      <c r="C2848" s="80" t="s">
        <v>9680</v>
      </c>
      <c r="D2848" s="80" t="s">
        <v>9680</v>
      </c>
      <c r="E2848" s="80" t="s">
        <v>84</v>
      </c>
      <c r="G2848" s="80" t="s">
        <v>84</v>
      </c>
      <c r="H2848" s="80" t="s">
        <v>84</v>
      </c>
      <c r="I2848" s="80" t="s">
        <v>9680</v>
      </c>
      <c r="J2848" s="80" t="s">
        <v>84</v>
      </c>
      <c r="K2848" s="80" t="s">
        <v>9680</v>
      </c>
      <c r="L2848" s="80" t="s">
        <v>9680</v>
      </c>
      <c r="M2848" s="80" t="s">
        <v>9680</v>
      </c>
      <c r="N2848" s="80" t="s">
        <v>84</v>
      </c>
      <c r="O2848" s="80" t="s">
        <v>9680</v>
      </c>
      <c r="Q2848" s="80" t="s">
        <v>9680</v>
      </c>
      <c r="R2848" s="80" t="s">
        <v>9680</v>
      </c>
    </row>
    <row r="2849" spans="1:18" ht="20" x14ac:dyDescent="0.2">
      <c r="A2849" s="80" t="s">
        <v>4472</v>
      </c>
      <c r="B2849" s="80" t="s">
        <v>4473</v>
      </c>
      <c r="C2849" s="80" t="s">
        <v>9680</v>
      </c>
      <c r="D2849" s="80" t="s">
        <v>9680</v>
      </c>
      <c r="E2849" s="80" t="s">
        <v>84</v>
      </c>
      <c r="G2849" s="80" t="s">
        <v>84</v>
      </c>
      <c r="H2849" s="80" t="s">
        <v>84</v>
      </c>
      <c r="I2849" s="80" t="s">
        <v>9680</v>
      </c>
      <c r="J2849" s="80" t="s">
        <v>84</v>
      </c>
      <c r="K2849" s="80" t="s">
        <v>9680</v>
      </c>
      <c r="L2849" s="80" t="s">
        <v>9680</v>
      </c>
      <c r="M2849" s="80" t="s">
        <v>9680</v>
      </c>
      <c r="N2849" s="80" t="s">
        <v>84</v>
      </c>
      <c r="O2849" s="80" t="s">
        <v>9680</v>
      </c>
      <c r="Q2849" s="80" t="s">
        <v>9680</v>
      </c>
      <c r="R2849" s="80" t="s">
        <v>9680</v>
      </c>
    </row>
    <row r="2850" spans="1:18" ht="20" x14ac:dyDescent="0.2">
      <c r="A2850" s="80" t="s">
        <v>4562</v>
      </c>
      <c r="B2850" s="80" t="s">
        <v>4563</v>
      </c>
      <c r="C2850" s="80" t="s">
        <v>9680</v>
      </c>
      <c r="D2850" s="80" t="s">
        <v>84</v>
      </c>
      <c r="E2850" s="80" t="s">
        <v>84</v>
      </c>
      <c r="G2850" s="80" t="s">
        <v>84</v>
      </c>
      <c r="H2850" s="80" t="s">
        <v>84</v>
      </c>
      <c r="I2850" s="80" t="s">
        <v>84</v>
      </c>
      <c r="J2850" s="80" t="s">
        <v>84</v>
      </c>
      <c r="K2850" s="80" t="s">
        <v>84</v>
      </c>
      <c r="L2850" s="80" t="s">
        <v>84</v>
      </c>
      <c r="M2850" s="80" t="s">
        <v>84</v>
      </c>
      <c r="N2850" s="80" t="s">
        <v>84</v>
      </c>
      <c r="O2850" s="80" t="s">
        <v>84</v>
      </c>
      <c r="Q2850" s="80" t="s">
        <v>84</v>
      </c>
      <c r="R2850" s="80" t="s">
        <v>84</v>
      </c>
    </row>
    <row r="2851" spans="1:18" ht="20" x14ac:dyDescent="0.2">
      <c r="A2851" s="80" t="s">
        <v>4564</v>
      </c>
      <c r="B2851" s="80" t="s">
        <v>4565</v>
      </c>
      <c r="C2851" s="80" t="s">
        <v>9680</v>
      </c>
      <c r="D2851" s="80" t="s">
        <v>84</v>
      </c>
      <c r="E2851" s="80" t="s">
        <v>84</v>
      </c>
      <c r="G2851" s="80" t="s">
        <v>84</v>
      </c>
      <c r="H2851" s="80" t="s">
        <v>84</v>
      </c>
      <c r="I2851" s="80" t="s">
        <v>84</v>
      </c>
      <c r="J2851" s="80" t="s">
        <v>84</v>
      </c>
      <c r="K2851" s="80" t="s">
        <v>84</v>
      </c>
      <c r="L2851" s="80" t="s">
        <v>84</v>
      </c>
      <c r="M2851" s="80" t="s">
        <v>84</v>
      </c>
      <c r="N2851" s="80" t="s">
        <v>84</v>
      </c>
      <c r="O2851" s="80" t="s">
        <v>84</v>
      </c>
      <c r="Q2851" s="80" t="s">
        <v>84</v>
      </c>
      <c r="R2851" s="80" t="s">
        <v>84</v>
      </c>
    </row>
    <row r="2852" spans="1:18" ht="20" x14ac:dyDescent="0.2">
      <c r="A2852" s="80" t="s">
        <v>4560</v>
      </c>
      <c r="B2852" s="80" t="s">
        <v>10755</v>
      </c>
      <c r="C2852" s="80" t="s">
        <v>9680</v>
      </c>
      <c r="D2852" s="80" t="s">
        <v>9680</v>
      </c>
      <c r="E2852" s="80" t="s">
        <v>84</v>
      </c>
      <c r="G2852" s="80" t="s">
        <v>9680</v>
      </c>
      <c r="H2852" s="80" t="s">
        <v>84</v>
      </c>
      <c r="I2852" s="80" t="s">
        <v>9680</v>
      </c>
      <c r="J2852" s="80" t="s">
        <v>84</v>
      </c>
      <c r="K2852" s="80" t="s">
        <v>9680</v>
      </c>
      <c r="L2852" s="80" t="s">
        <v>84</v>
      </c>
      <c r="M2852" s="80" t="s">
        <v>84</v>
      </c>
      <c r="N2852" s="80" t="s">
        <v>84</v>
      </c>
      <c r="O2852" s="80" t="s">
        <v>84</v>
      </c>
      <c r="Q2852" s="80" t="s">
        <v>84</v>
      </c>
      <c r="R2852" s="80" t="s">
        <v>84</v>
      </c>
    </row>
    <row r="2853" spans="1:18" ht="20" x14ac:dyDescent="0.2">
      <c r="A2853" s="80" t="s">
        <v>4560</v>
      </c>
      <c r="B2853" s="80" t="s">
        <v>4561</v>
      </c>
      <c r="C2853" s="80" t="s">
        <v>9680</v>
      </c>
      <c r="D2853" s="80" t="s">
        <v>9680</v>
      </c>
      <c r="E2853" s="80" t="s">
        <v>84</v>
      </c>
      <c r="G2853" s="80" t="s">
        <v>9680</v>
      </c>
      <c r="H2853" s="80" t="s">
        <v>84</v>
      </c>
      <c r="I2853" s="80" t="s">
        <v>9680</v>
      </c>
      <c r="J2853" s="80" t="s">
        <v>84</v>
      </c>
      <c r="K2853" s="80" t="s">
        <v>9680</v>
      </c>
      <c r="L2853" s="80" t="s">
        <v>84</v>
      </c>
      <c r="M2853" s="80" t="s">
        <v>84</v>
      </c>
      <c r="N2853" s="80" t="s">
        <v>84</v>
      </c>
      <c r="O2853" s="80" t="s">
        <v>84</v>
      </c>
      <c r="Q2853" s="80" t="s">
        <v>84</v>
      </c>
      <c r="R2853" s="80" t="s">
        <v>84</v>
      </c>
    </row>
    <row r="2854" spans="1:18" ht="20" x14ac:dyDescent="0.2">
      <c r="A2854" s="80" t="s">
        <v>4261</v>
      </c>
      <c r="B2854" s="80" t="s">
        <v>4262</v>
      </c>
      <c r="C2854" s="80" t="s">
        <v>9680</v>
      </c>
      <c r="D2854" s="80" t="s">
        <v>84</v>
      </c>
      <c r="E2854" s="80" t="s">
        <v>84</v>
      </c>
      <c r="G2854" s="80" t="s">
        <v>84</v>
      </c>
      <c r="H2854" s="80" t="s">
        <v>84</v>
      </c>
      <c r="I2854" s="80" t="s">
        <v>84</v>
      </c>
      <c r="J2854" s="80" t="s">
        <v>84</v>
      </c>
      <c r="K2854" s="80" t="s">
        <v>84</v>
      </c>
      <c r="L2854" s="80" t="s">
        <v>84</v>
      </c>
      <c r="M2854" s="80" t="s">
        <v>84</v>
      </c>
      <c r="N2854" s="80" t="s">
        <v>84</v>
      </c>
      <c r="O2854" s="80" t="s">
        <v>84</v>
      </c>
      <c r="Q2854" s="80" t="s">
        <v>84</v>
      </c>
      <c r="R2854" s="80" t="s">
        <v>84</v>
      </c>
    </row>
    <row r="2855" spans="1:18" ht="20" x14ac:dyDescent="0.2">
      <c r="A2855" s="80" t="s">
        <v>1631</v>
      </c>
      <c r="B2855" s="80" t="s">
        <v>1632</v>
      </c>
      <c r="C2855" s="80" t="s">
        <v>9680</v>
      </c>
      <c r="D2855" s="80" t="s">
        <v>84</v>
      </c>
      <c r="E2855" s="80" t="s">
        <v>84</v>
      </c>
      <c r="G2855" s="80" t="s">
        <v>84</v>
      </c>
      <c r="H2855" s="80" t="s">
        <v>84</v>
      </c>
      <c r="I2855" s="80" t="s">
        <v>84</v>
      </c>
      <c r="J2855" s="80" t="s">
        <v>84</v>
      </c>
      <c r="K2855" s="80" t="s">
        <v>84</v>
      </c>
      <c r="L2855" s="80" t="s">
        <v>84</v>
      </c>
      <c r="M2855" s="80" t="s">
        <v>84</v>
      </c>
      <c r="N2855" s="80" t="s">
        <v>84</v>
      </c>
      <c r="O2855" s="80" t="s">
        <v>84</v>
      </c>
      <c r="Q2855" s="80" t="s">
        <v>84</v>
      </c>
      <c r="R2855" s="80" t="s">
        <v>84</v>
      </c>
    </row>
    <row r="2856" spans="1:18" ht="20" x14ac:dyDescent="0.2">
      <c r="A2856" s="80" t="s">
        <v>1948</v>
      </c>
      <c r="B2856" s="80" t="s">
        <v>10756</v>
      </c>
      <c r="C2856" s="80" t="s">
        <v>9680</v>
      </c>
      <c r="D2856" s="80" t="s">
        <v>9680</v>
      </c>
      <c r="E2856" s="80" t="s">
        <v>84</v>
      </c>
      <c r="G2856" s="80" t="s">
        <v>84</v>
      </c>
      <c r="H2856" s="80" t="s">
        <v>84</v>
      </c>
      <c r="I2856" s="80" t="s">
        <v>9680</v>
      </c>
      <c r="J2856" s="80" t="s">
        <v>84</v>
      </c>
      <c r="K2856" s="80" t="s">
        <v>9680</v>
      </c>
      <c r="L2856" s="80" t="s">
        <v>9680</v>
      </c>
      <c r="M2856" s="80" t="s">
        <v>84</v>
      </c>
      <c r="N2856" s="80" t="s">
        <v>84</v>
      </c>
      <c r="O2856" s="80" t="s">
        <v>84</v>
      </c>
      <c r="Q2856" s="80" t="s">
        <v>84</v>
      </c>
      <c r="R2856" s="80" t="s">
        <v>84</v>
      </c>
    </row>
    <row r="2857" spans="1:18" ht="20" x14ac:dyDescent="0.2">
      <c r="A2857" s="80" t="s">
        <v>1948</v>
      </c>
      <c r="B2857" s="80" t="s">
        <v>1949</v>
      </c>
      <c r="C2857" s="80" t="s">
        <v>9680</v>
      </c>
      <c r="D2857" s="80" t="s">
        <v>9680</v>
      </c>
      <c r="E2857" s="80" t="s">
        <v>84</v>
      </c>
      <c r="G2857" s="80" t="s">
        <v>84</v>
      </c>
      <c r="H2857" s="80" t="s">
        <v>84</v>
      </c>
      <c r="I2857" s="80" t="s">
        <v>9680</v>
      </c>
      <c r="J2857" s="80" t="s">
        <v>84</v>
      </c>
      <c r="K2857" s="80" t="s">
        <v>9680</v>
      </c>
      <c r="L2857" s="80" t="s">
        <v>9680</v>
      </c>
      <c r="M2857" s="80" t="s">
        <v>84</v>
      </c>
      <c r="N2857" s="80" t="s">
        <v>84</v>
      </c>
      <c r="O2857" s="80" t="s">
        <v>84</v>
      </c>
      <c r="Q2857" s="80" t="s">
        <v>84</v>
      </c>
      <c r="R2857" s="80" t="s">
        <v>84</v>
      </c>
    </row>
    <row r="2858" spans="1:18" ht="20" x14ac:dyDescent="0.2">
      <c r="A2858" s="80" t="s">
        <v>624</v>
      </c>
      <c r="B2858" s="80" t="s">
        <v>625</v>
      </c>
      <c r="C2858" s="80" t="s">
        <v>84</v>
      </c>
      <c r="D2858" s="80" t="s">
        <v>84</v>
      </c>
      <c r="E2858" s="80" t="s">
        <v>84</v>
      </c>
      <c r="G2858" s="80" t="s">
        <v>84</v>
      </c>
      <c r="H2858" s="80" t="s">
        <v>84</v>
      </c>
      <c r="I2858" s="80" t="s">
        <v>84</v>
      </c>
      <c r="J2858" s="80" t="s">
        <v>84</v>
      </c>
      <c r="K2858" s="80" t="s">
        <v>84</v>
      </c>
      <c r="L2858" s="80" t="s">
        <v>84</v>
      </c>
      <c r="M2858" s="80" t="s">
        <v>84</v>
      </c>
      <c r="N2858" s="80" t="s">
        <v>84</v>
      </c>
      <c r="O2858" s="80" t="s">
        <v>84</v>
      </c>
      <c r="Q2858" s="80" t="s">
        <v>84</v>
      </c>
      <c r="R2858" s="80" t="s">
        <v>84</v>
      </c>
    </row>
    <row r="2859" spans="1:18" ht="20" x14ac:dyDescent="0.2">
      <c r="A2859" s="80" t="s">
        <v>626</v>
      </c>
      <c r="B2859" s="80" t="s">
        <v>627</v>
      </c>
      <c r="C2859" s="80" t="s">
        <v>84</v>
      </c>
      <c r="D2859" s="80" t="s">
        <v>84</v>
      </c>
      <c r="E2859" s="80" t="s">
        <v>84</v>
      </c>
      <c r="G2859" s="80" t="s">
        <v>84</v>
      </c>
      <c r="H2859" s="80" t="s">
        <v>84</v>
      </c>
      <c r="I2859" s="80" t="s">
        <v>84</v>
      </c>
      <c r="J2859" s="80" t="s">
        <v>84</v>
      </c>
      <c r="K2859" s="80" t="s">
        <v>84</v>
      </c>
      <c r="L2859" s="80" t="s">
        <v>84</v>
      </c>
      <c r="M2859" s="80" t="s">
        <v>84</v>
      </c>
      <c r="N2859" s="80" t="s">
        <v>84</v>
      </c>
      <c r="O2859" s="80" t="s">
        <v>84</v>
      </c>
      <c r="Q2859" s="80" t="s">
        <v>84</v>
      </c>
      <c r="R2859" s="80" t="s">
        <v>84</v>
      </c>
    </row>
    <row r="2860" spans="1:18" ht="20" x14ac:dyDescent="0.2">
      <c r="A2860" s="80" t="s">
        <v>3104</v>
      </c>
      <c r="B2860" s="80" t="s">
        <v>3105</v>
      </c>
      <c r="C2860" s="80" t="s">
        <v>84</v>
      </c>
      <c r="D2860" s="80" t="s">
        <v>84</v>
      </c>
      <c r="E2860" s="80" t="s">
        <v>84</v>
      </c>
      <c r="G2860" s="80" t="s">
        <v>84</v>
      </c>
      <c r="H2860" s="80" t="s">
        <v>84</v>
      </c>
      <c r="I2860" s="80" t="s">
        <v>84</v>
      </c>
      <c r="J2860" s="80" t="s">
        <v>84</v>
      </c>
      <c r="K2860" s="80" t="s">
        <v>84</v>
      </c>
      <c r="L2860" s="80" t="s">
        <v>84</v>
      </c>
      <c r="M2860" s="80" t="s">
        <v>84</v>
      </c>
      <c r="N2860" s="80" t="s">
        <v>84</v>
      </c>
      <c r="O2860" s="80" t="s">
        <v>84</v>
      </c>
      <c r="Q2860" s="80" t="s">
        <v>84</v>
      </c>
      <c r="R2860" s="80" t="s">
        <v>84</v>
      </c>
    </row>
    <row r="2861" spans="1:18" ht="20" x14ac:dyDescent="0.2">
      <c r="A2861" s="80" t="s">
        <v>3106</v>
      </c>
      <c r="B2861" s="80" t="s">
        <v>3107</v>
      </c>
      <c r="C2861" s="80" t="s">
        <v>9680</v>
      </c>
      <c r="D2861" s="80" t="s">
        <v>84</v>
      </c>
      <c r="E2861" s="80" t="s">
        <v>84</v>
      </c>
      <c r="G2861" s="80" t="s">
        <v>84</v>
      </c>
      <c r="H2861" s="80" t="s">
        <v>84</v>
      </c>
      <c r="I2861" s="80" t="s">
        <v>84</v>
      </c>
      <c r="J2861" s="80" t="s">
        <v>84</v>
      </c>
      <c r="K2861" s="80" t="s">
        <v>84</v>
      </c>
      <c r="L2861" s="80" t="s">
        <v>84</v>
      </c>
      <c r="M2861" s="80" t="s">
        <v>84</v>
      </c>
      <c r="N2861" s="80" t="s">
        <v>84</v>
      </c>
      <c r="O2861" s="80" t="s">
        <v>84</v>
      </c>
      <c r="Q2861" s="80" t="s">
        <v>84</v>
      </c>
      <c r="R2861" s="80" t="s">
        <v>84</v>
      </c>
    </row>
    <row r="2862" spans="1:18" ht="20" x14ac:dyDescent="0.2">
      <c r="A2862" s="80" t="s">
        <v>3110</v>
      </c>
      <c r="B2862" s="80" t="s">
        <v>3111</v>
      </c>
      <c r="C2862" s="80" t="s">
        <v>9680</v>
      </c>
      <c r="D2862" s="80" t="s">
        <v>84</v>
      </c>
      <c r="E2862" s="80" t="s">
        <v>84</v>
      </c>
      <c r="G2862" s="80" t="s">
        <v>84</v>
      </c>
      <c r="H2862" s="80" t="s">
        <v>84</v>
      </c>
      <c r="I2862" s="80" t="s">
        <v>84</v>
      </c>
      <c r="J2862" s="80" t="s">
        <v>84</v>
      </c>
      <c r="K2862" s="80" t="s">
        <v>84</v>
      </c>
      <c r="L2862" s="80" t="s">
        <v>84</v>
      </c>
      <c r="M2862" s="80" t="s">
        <v>84</v>
      </c>
      <c r="N2862" s="80" t="s">
        <v>84</v>
      </c>
      <c r="O2862" s="80" t="s">
        <v>84</v>
      </c>
      <c r="Q2862" s="80" t="s">
        <v>84</v>
      </c>
      <c r="R2862" s="80" t="s">
        <v>84</v>
      </c>
    </row>
    <row r="2863" spans="1:18" ht="20" x14ac:dyDescent="0.2">
      <c r="A2863" s="80" t="s">
        <v>3112</v>
      </c>
      <c r="B2863" s="80" t="s">
        <v>3113</v>
      </c>
      <c r="C2863" s="80" t="s">
        <v>9680</v>
      </c>
      <c r="D2863" s="80" t="s">
        <v>84</v>
      </c>
      <c r="E2863" s="80" t="s">
        <v>84</v>
      </c>
      <c r="G2863" s="80" t="s">
        <v>84</v>
      </c>
      <c r="H2863" s="80" t="s">
        <v>84</v>
      </c>
      <c r="I2863" s="80" t="s">
        <v>84</v>
      </c>
      <c r="J2863" s="80" t="s">
        <v>84</v>
      </c>
      <c r="K2863" s="80" t="s">
        <v>84</v>
      </c>
      <c r="L2863" s="80" t="s">
        <v>84</v>
      </c>
      <c r="M2863" s="80" t="s">
        <v>84</v>
      </c>
      <c r="N2863" s="80" t="s">
        <v>84</v>
      </c>
      <c r="O2863" s="80" t="s">
        <v>84</v>
      </c>
      <c r="Q2863" s="80" t="s">
        <v>84</v>
      </c>
      <c r="R2863" s="80" t="s">
        <v>84</v>
      </c>
    </row>
    <row r="2864" spans="1:18" ht="20" x14ac:dyDescent="0.2">
      <c r="A2864" s="80" t="s">
        <v>3114</v>
      </c>
      <c r="B2864" s="80" t="s">
        <v>3115</v>
      </c>
      <c r="C2864" s="80" t="s">
        <v>9680</v>
      </c>
      <c r="D2864" s="80" t="s">
        <v>84</v>
      </c>
      <c r="E2864" s="80" t="s">
        <v>84</v>
      </c>
      <c r="G2864" s="80" t="s">
        <v>84</v>
      </c>
      <c r="H2864" s="80" t="s">
        <v>84</v>
      </c>
      <c r="I2864" s="80" t="s">
        <v>84</v>
      </c>
      <c r="J2864" s="80" t="s">
        <v>84</v>
      </c>
      <c r="K2864" s="80" t="s">
        <v>84</v>
      </c>
      <c r="L2864" s="80" t="s">
        <v>84</v>
      </c>
      <c r="M2864" s="80" t="s">
        <v>84</v>
      </c>
      <c r="N2864" s="80" t="s">
        <v>84</v>
      </c>
      <c r="O2864" s="80" t="s">
        <v>84</v>
      </c>
      <c r="Q2864" s="80" t="s">
        <v>84</v>
      </c>
      <c r="R2864" s="80" t="s">
        <v>84</v>
      </c>
    </row>
    <row r="2865" spans="1:18" ht="20" x14ac:dyDescent="0.2">
      <c r="A2865" s="80" t="s">
        <v>3116</v>
      </c>
      <c r="B2865" s="80" t="s">
        <v>3117</v>
      </c>
      <c r="C2865" s="80" t="s">
        <v>9680</v>
      </c>
      <c r="D2865" s="80" t="s">
        <v>84</v>
      </c>
      <c r="E2865" s="80" t="s">
        <v>84</v>
      </c>
      <c r="G2865" s="80" t="s">
        <v>84</v>
      </c>
      <c r="H2865" s="80" t="s">
        <v>84</v>
      </c>
      <c r="I2865" s="80" t="s">
        <v>84</v>
      </c>
      <c r="J2865" s="80" t="s">
        <v>84</v>
      </c>
      <c r="K2865" s="80" t="s">
        <v>84</v>
      </c>
      <c r="L2865" s="80" t="s">
        <v>84</v>
      </c>
      <c r="M2865" s="80" t="s">
        <v>84</v>
      </c>
      <c r="N2865" s="80" t="s">
        <v>84</v>
      </c>
      <c r="O2865" s="80" t="s">
        <v>84</v>
      </c>
      <c r="Q2865" s="80" t="s">
        <v>84</v>
      </c>
      <c r="R2865" s="80" t="s">
        <v>84</v>
      </c>
    </row>
    <row r="2866" spans="1:18" ht="20" x14ac:dyDescent="0.2">
      <c r="A2866" s="80" t="s">
        <v>3118</v>
      </c>
      <c r="B2866" s="80" t="s">
        <v>3119</v>
      </c>
      <c r="C2866" s="80" t="s">
        <v>84</v>
      </c>
      <c r="D2866" s="80" t="s">
        <v>84</v>
      </c>
      <c r="E2866" s="80" t="s">
        <v>84</v>
      </c>
      <c r="G2866" s="80" t="s">
        <v>84</v>
      </c>
      <c r="H2866" s="80" t="s">
        <v>84</v>
      </c>
      <c r="I2866" s="80" t="s">
        <v>84</v>
      </c>
      <c r="J2866" s="80" t="s">
        <v>84</v>
      </c>
      <c r="K2866" s="80" t="s">
        <v>84</v>
      </c>
      <c r="L2866" s="80" t="s">
        <v>84</v>
      </c>
      <c r="M2866" s="80" t="s">
        <v>84</v>
      </c>
      <c r="N2866" s="80" t="s">
        <v>84</v>
      </c>
      <c r="O2866" s="80" t="s">
        <v>84</v>
      </c>
      <c r="Q2866" s="80" t="s">
        <v>84</v>
      </c>
      <c r="R2866" s="80" t="s">
        <v>84</v>
      </c>
    </row>
    <row r="2867" spans="1:18" ht="20" x14ac:dyDescent="0.2">
      <c r="A2867" s="80" t="s">
        <v>3120</v>
      </c>
      <c r="B2867" s="80" t="s">
        <v>3121</v>
      </c>
      <c r="C2867" s="80" t="s">
        <v>9680</v>
      </c>
      <c r="D2867" s="80" t="s">
        <v>84</v>
      </c>
      <c r="E2867" s="80" t="s">
        <v>84</v>
      </c>
      <c r="G2867" s="80" t="s">
        <v>84</v>
      </c>
      <c r="H2867" s="80" t="s">
        <v>84</v>
      </c>
      <c r="I2867" s="80" t="s">
        <v>84</v>
      </c>
      <c r="J2867" s="80" t="s">
        <v>84</v>
      </c>
      <c r="K2867" s="80" t="s">
        <v>84</v>
      </c>
      <c r="L2867" s="80" t="s">
        <v>84</v>
      </c>
      <c r="M2867" s="80" t="s">
        <v>84</v>
      </c>
      <c r="N2867" s="80" t="s">
        <v>84</v>
      </c>
      <c r="O2867" s="80" t="s">
        <v>84</v>
      </c>
      <c r="Q2867" s="80" t="s">
        <v>84</v>
      </c>
      <c r="R2867" s="80" t="s">
        <v>84</v>
      </c>
    </row>
    <row r="2868" spans="1:18" ht="20" x14ac:dyDescent="0.2">
      <c r="A2868" s="80" t="s">
        <v>3123</v>
      </c>
      <c r="B2868" s="80" t="s">
        <v>3124</v>
      </c>
      <c r="C2868" s="80" t="s">
        <v>9680</v>
      </c>
      <c r="D2868" s="80" t="s">
        <v>84</v>
      </c>
      <c r="E2868" s="80" t="s">
        <v>84</v>
      </c>
      <c r="G2868" s="80" t="s">
        <v>84</v>
      </c>
      <c r="H2868" s="80" t="s">
        <v>84</v>
      </c>
      <c r="I2868" s="80" t="s">
        <v>84</v>
      </c>
      <c r="J2868" s="80" t="s">
        <v>84</v>
      </c>
      <c r="K2868" s="80" t="s">
        <v>84</v>
      </c>
      <c r="L2868" s="80" t="s">
        <v>84</v>
      </c>
      <c r="M2868" s="80" t="s">
        <v>84</v>
      </c>
      <c r="N2868" s="80" t="s">
        <v>84</v>
      </c>
      <c r="O2868" s="80" t="s">
        <v>84</v>
      </c>
      <c r="Q2868" s="80" t="s">
        <v>84</v>
      </c>
      <c r="R2868" s="80" t="s">
        <v>84</v>
      </c>
    </row>
    <row r="2869" spans="1:18" ht="20" x14ac:dyDescent="0.2">
      <c r="A2869" s="80" t="s">
        <v>3125</v>
      </c>
      <c r="B2869" s="80" t="s">
        <v>3126</v>
      </c>
      <c r="C2869" s="80" t="s">
        <v>9680</v>
      </c>
      <c r="D2869" s="80" t="s">
        <v>84</v>
      </c>
      <c r="E2869" s="80" t="s">
        <v>84</v>
      </c>
      <c r="G2869" s="80" t="s">
        <v>84</v>
      </c>
      <c r="H2869" s="80" t="s">
        <v>84</v>
      </c>
      <c r="I2869" s="80" t="s">
        <v>84</v>
      </c>
      <c r="J2869" s="80" t="s">
        <v>84</v>
      </c>
      <c r="K2869" s="80" t="s">
        <v>84</v>
      </c>
      <c r="L2869" s="80" t="s">
        <v>84</v>
      </c>
      <c r="M2869" s="80" t="s">
        <v>84</v>
      </c>
      <c r="N2869" s="80" t="s">
        <v>84</v>
      </c>
      <c r="O2869" s="80" t="s">
        <v>84</v>
      </c>
      <c r="Q2869" s="80" t="s">
        <v>84</v>
      </c>
      <c r="R2869" s="80" t="s">
        <v>84</v>
      </c>
    </row>
    <row r="2870" spans="1:18" ht="20" x14ac:dyDescent="0.2">
      <c r="A2870" s="80" t="s">
        <v>3127</v>
      </c>
      <c r="B2870" s="80" t="s">
        <v>3128</v>
      </c>
      <c r="C2870" s="80" t="s">
        <v>9680</v>
      </c>
      <c r="D2870" s="80" t="s">
        <v>84</v>
      </c>
      <c r="E2870" s="80" t="s">
        <v>84</v>
      </c>
      <c r="G2870" s="80" t="s">
        <v>84</v>
      </c>
      <c r="H2870" s="80" t="s">
        <v>84</v>
      </c>
      <c r="I2870" s="80" t="s">
        <v>84</v>
      </c>
      <c r="J2870" s="80" t="s">
        <v>84</v>
      </c>
      <c r="K2870" s="80" t="s">
        <v>84</v>
      </c>
      <c r="L2870" s="80" t="s">
        <v>84</v>
      </c>
      <c r="M2870" s="80" t="s">
        <v>84</v>
      </c>
      <c r="N2870" s="80" t="s">
        <v>84</v>
      </c>
      <c r="O2870" s="80" t="s">
        <v>84</v>
      </c>
      <c r="Q2870" s="80" t="s">
        <v>84</v>
      </c>
      <c r="R2870" s="80" t="s">
        <v>84</v>
      </c>
    </row>
    <row r="2871" spans="1:18" ht="20" x14ac:dyDescent="0.2">
      <c r="A2871" s="80" t="s">
        <v>3129</v>
      </c>
      <c r="B2871" s="80" t="s">
        <v>3130</v>
      </c>
      <c r="C2871" s="80" t="s">
        <v>9680</v>
      </c>
      <c r="D2871" s="80" t="s">
        <v>84</v>
      </c>
      <c r="E2871" s="80" t="s">
        <v>84</v>
      </c>
      <c r="G2871" s="80" t="s">
        <v>84</v>
      </c>
      <c r="H2871" s="80" t="s">
        <v>84</v>
      </c>
      <c r="I2871" s="80" t="s">
        <v>84</v>
      </c>
      <c r="J2871" s="80" t="s">
        <v>84</v>
      </c>
      <c r="K2871" s="80" t="s">
        <v>84</v>
      </c>
      <c r="L2871" s="80" t="s">
        <v>84</v>
      </c>
      <c r="M2871" s="80" t="s">
        <v>84</v>
      </c>
      <c r="N2871" s="80" t="s">
        <v>84</v>
      </c>
      <c r="O2871" s="80" t="s">
        <v>84</v>
      </c>
      <c r="Q2871" s="80" t="s">
        <v>84</v>
      </c>
      <c r="R2871" s="80" t="s">
        <v>84</v>
      </c>
    </row>
    <row r="2872" spans="1:18" ht="20" x14ac:dyDescent="0.2">
      <c r="A2872" s="80" t="s">
        <v>3131</v>
      </c>
      <c r="B2872" s="80" t="s">
        <v>3132</v>
      </c>
      <c r="C2872" s="80" t="s">
        <v>9680</v>
      </c>
      <c r="D2872" s="80" t="s">
        <v>84</v>
      </c>
      <c r="E2872" s="80" t="s">
        <v>84</v>
      </c>
      <c r="G2872" s="80" t="s">
        <v>84</v>
      </c>
      <c r="H2872" s="80" t="s">
        <v>84</v>
      </c>
      <c r="I2872" s="80" t="s">
        <v>84</v>
      </c>
      <c r="J2872" s="80" t="s">
        <v>84</v>
      </c>
      <c r="K2872" s="80" t="s">
        <v>84</v>
      </c>
      <c r="L2872" s="80" t="s">
        <v>84</v>
      </c>
      <c r="M2872" s="80" t="s">
        <v>84</v>
      </c>
      <c r="N2872" s="80" t="s">
        <v>84</v>
      </c>
      <c r="O2872" s="80" t="s">
        <v>84</v>
      </c>
      <c r="Q2872" s="80" t="s">
        <v>84</v>
      </c>
      <c r="R2872" s="80" t="s">
        <v>84</v>
      </c>
    </row>
    <row r="2873" spans="1:18" ht="20" x14ac:dyDescent="0.2">
      <c r="A2873" s="80" t="s">
        <v>3133</v>
      </c>
      <c r="B2873" s="80" t="s">
        <v>3134</v>
      </c>
      <c r="C2873" s="80" t="s">
        <v>9680</v>
      </c>
      <c r="D2873" s="80" t="s">
        <v>9680</v>
      </c>
      <c r="E2873" s="80" t="s">
        <v>84</v>
      </c>
      <c r="G2873" s="80" t="s">
        <v>9680</v>
      </c>
      <c r="H2873" s="80" t="s">
        <v>84</v>
      </c>
      <c r="I2873" s="80" t="s">
        <v>9680</v>
      </c>
      <c r="J2873" s="80" t="s">
        <v>9680</v>
      </c>
      <c r="K2873" s="80" t="s">
        <v>9680</v>
      </c>
      <c r="L2873" s="80" t="s">
        <v>9680</v>
      </c>
      <c r="M2873" s="80" t="s">
        <v>9680</v>
      </c>
      <c r="N2873" s="80" t="s">
        <v>84</v>
      </c>
      <c r="O2873" s="80" t="s">
        <v>9680</v>
      </c>
      <c r="Q2873" s="80" t="s">
        <v>9680</v>
      </c>
      <c r="R2873" s="80" t="s">
        <v>9680</v>
      </c>
    </row>
    <row r="2874" spans="1:18" ht="20" x14ac:dyDescent="0.2">
      <c r="A2874" s="80" t="s">
        <v>3135</v>
      </c>
      <c r="B2874" s="80" t="s">
        <v>3136</v>
      </c>
      <c r="C2874" s="80" t="s">
        <v>9680</v>
      </c>
      <c r="D2874" s="80" t="s">
        <v>84</v>
      </c>
      <c r="E2874" s="80" t="s">
        <v>84</v>
      </c>
      <c r="G2874" s="80" t="s">
        <v>84</v>
      </c>
      <c r="H2874" s="80" t="s">
        <v>84</v>
      </c>
      <c r="I2874" s="80" t="s">
        <v>84</v>
      </c>
      <c r="J2874" s="80" t="s">
        <v>84</v>
      </c>
      <c r="K2874" s="80" t="s">
        <v>84</v>
      </c>
      <c r="L2874" s="80" t="s">
        <v>84</v>
      </c>
      <c r="M2874" s="80" t="s">
        <v>84</v>
      </c>
      <c r="N2874" s="80" t="s">
        <v>84</v>
      </c>
      <c r="O2874" s="80" t="s">
        <v>84</v>
      </c>
      <c r="Q2874" s="80" t="s">
        <v>84</v>
      </c>
      <c r="R2874" s="80" t="s">
        <v>84</v>
      </c>
    </row>
    <row r="2875" spans="1:18" ht="20" x14ac:dyDescent="0.2">
      <c r="A2875" s="80" t="s">
        <v>3137</v>
      </c>
      <c r="B2875" s="80" t="s">
        <v>3138</v>
      </c>
      <c r="C2875" s="80" t="s">
        <v>9680</v>
      </c>
      <c r="D2875" s="80" t="s">
        <v>84</v>
      </c>
      <c r="E2875" s="80" t="s">
        <v>84</v>
      </c>
      <c r="G2875" s="80" t="s">
        <v>84</v>
      </c>
      <c r="H2875" s="80" t="s">
        <v>84</v>
      </c>
      <c r="I2875" s="80" t="s">
        <v>84</v>
      </c>
      <c r="J2875" s="80" t="s">
        <v>84</v>
      </c>
      <c r="K2875" s="80" t="s">
        <v>84</v>
      </c>
      <c r="L2875" s="80" t="s">
        <v>84</v>
      </c>
      <c r="M2875" s="80" t="s">
        <v>84</v>
      </c>
      <c r="N2875" s="80" t="s">
        <v>84</v>
      </c>
      <c r="O2875" s="80" t="s">
        <v>84</v>
      </c>
      <c r="Q2875" s="80" t="s">
        <v>84</v>
      </c>
      <c r="R2875" s="80" t="s">
        <v>84</v>
      </c>
    </row>
    <row r="2876" spans="1:18" ht="20" x14ac:dyDescent="0.2">
      <c r="A2876" s="80" t="s">
        <v>3139</v>
      </c>
      <c r="B2876" s="80" t="s">
        <v>10757</v>
      </c>
      <c r="C2876" s="80" t="s">
        <v>84</v>
      </c>
      <c r="D2876" s="80" t="s">
        <v>84</v>
      </c>
      <c r="E2876" s="80" t="s">
        <v>84</v>
      </c>
      <c r="G2876" s="80" t="s">
        <v>84</v>
      </c>
      <c r="H2876" s="80" t="s">
        <v>84</v>
      </c>
      <c r="I2876" s="80" t="s">
        <v>84</v>
      </c>
      <c r="J2876" s="80" t="s">
        <v>84</v>
      </c>
      <c r="K2876" s="80" t="s">
        <v>84</v>
      </c>
      <c r="L2876" s="80" t="s">
        <v>84</v>
      </c>
      <c r="M2876" s="80" t="s">
        <v>84</v>
      </c>
      <c r="N2876" s="80" t="s">
        <v>84</v>
      </c>
      <c r="O2876" s="80" t="s">
        <v>84</v>
      </c>
      <c r="Q2876" s="80" t="s">
        <v>84</v>
      </c>
      <c r="R2876" s="80" t="s">
        <v>84</v>
      </c>
    </row>
    <row r="2877" spans="1:18" ht="20" x14ac:dyDescent="0.2">
      <c r="A2877" s="80" t="s">
        <v>3139</v>
      </c>
      <c r="B2877" s="80" t="s">
        <v>3140</v>
      </c>
      <c r="C2877" s="80" t="s">
        <v>84</v>
      </c>
      <c r="D2877" s="80" t="s">
        <v>84</v>
      </c>
      <c r="E2877" s="80" t="s">
        <v>84</v>
      </c>
      <c r="G2877" s="80" t="s">
        <v>84</v>
      </c>
      <c r="H2877" s="80" t="s">
        <v>84</v>
      </c>
      <c r="I2877" s="80" t="s">
        <v>84</v>
      </c>
      <c r="J2877" s="80" t="s">
        <v>84</v>
      </c>
      <c r="K2877" s="80" t="s">
        <v>84</v>
      </c>
      <c r="L2877" s="80" t="s">
        <v>84</v>
      </c>
      <c r="M2877" s="80" t="s">
        <v>84</v>
      </c>
      <c r="N2877" s="80" t="s">
        <v>84</v>
      </c>
      <c r="O2877" s="80" t="s">
        <v>84</v>
      </c>
      <c r="Q2877" s="80" t="s">
        <v>84</v>
      </c>
      <c r="R2877" s="80" t="s">
        <v>84</v>
      </c>
    </row>
    <row r="2878" spans="1:18" ht="20" x14ac:dyDescent="0.2">
      <c r="A2878" s="80" t="s">
        <v>2422</v>
      </c>
      <c r="B2878" s="80" t="s">
        <v>2423</v>
      </c>
      <c r="C2878" s="80" t="s">
        <v>9680</v>
      </c>
      <c r="D2878" s="80" t="s">
        <v>84</v>
      </c>
      <c r="E2878" s="80" t="s">
        <v>84</v>
      </c>
      <c r="G2878" s="80" t="s">
        <v>84</v>
      </c>
      <c r="H2878" s="80" t="s">
        <v>84</v>
      </c>
      <c r="I2878" s="80" t="s">
        <v>84</v>
      </c>
      <c r="J2878" s="80" t="s">
        <v>84</v>
      </c>
      <c r="K2878" s="80" t="s">
        <v>84</v>
      </c>
      <c r="L2878" s="80" t="s">
        <v>84</v>
      </c>
      <c r="M2878" s="80" t="s">
        <v>84</v>
      </c>
      <c r="N2878" s="80" t="s">
        <v>84</v>
      </c>
      <c r="O2878" s="80" t="s">
        <v>84</v>
      </c>
      <c r="Q2878" s="80" t="s">
        <v>84</v>
      </c>
      <c r="R2878" s="80" t="s">
        <v>84</v>
      </c>
    </row>
    <row r="2879" spans="1:18" ht="20" x14ac:dyDescent="0.2">
      <c r="A2879" s="80" t="s">
        <v>3143</v>
      </c>
      <c r="B2879" s="80" t="s">
        <v>3144</v>
      </c>
      <c r="C2879" s="80" t="s">
        <v>9680</v>
      </c>
      <c r="D2879" s="80" t="s">
        <v>84</v>
      </c>
      <c r="E2879" s="80" t="s">
        <v>84</v>
      </c>
      <c r="G2879" s="80" t="s">
        <v>84</v>
      </c>
      <c r="H2879" s="80" t="s">
        <v>84</v>
      </c>
      <c r="I2879" s="80" t="s">
        <v>84</v>
      </c>
      <c r="J2879" s="80" t="s">
        <v>84</v>
      </c>
      <c r="K2879" s="80" t="s">
        <v>84</v>
      </c>
      <c r="L2879" s="80" t="s">
        <v>84</v>
      </c>
      <c r="M2879" s="80" t="s">
        <v>84</v>
      </c>
      <c r="N2879" s="80" t="s">
        <v>84</v>
      </c>
      <c r="O2879" s="80" t="s">
        <v>84</v>
      </c>
      <c r="Q2879" s="80" t="s">
        <v>84</v>
      </c>
      <c r="R2879" s="80" t="s">
        <v>84</v>
      </c>
    </row>
    <row r="2880" spans="1:18" ht="20" x14ac:dyDescent="0.2">
      <c r="A2880" s="80" t="s">
        <v>849</v>
      </c>
      <c r="B2880" s="80" t="s">
        <v>850</v>
      </c>
      <c r="C2880" s="80" t="s">
        <v>9680</v>
      </c>
      <c r="D2880" s="80" t="s">
        <v>84</v>
      </c>
      <c r="E2880" s="80" t="s">
        <v>84</v>
      </c>
      <c r="G2880" s="80" t="s">
        <v>84</v>
      </c>
      <c r="H2880" s="80" t="s">
        <v>84</v>
      </c>
      <c r="I2880" s="80" t="s">
        <v>84</v>
      </c>
      <c r="J2880" s="80" t="s">
        <v>84</v>
      </c>
      <c r="K2880" s="80" t="s">
        <v>84</v>
      </c>
      <c r="L2880" s="80" t="s">
        <v>84</v>
      </c>
      <c r="M2880" s="80" t="s">
        <v>84</v>
      </c>
      <c r="N2880" s="80" t="s">
        <v>84</v>
      </c>
      <c r="O2880" s="80" t="s">
        <v>84</v>
      </c>
      <c r="Q2880" s="80" t="s">
        <v>84</v>
      </c>
      <c r="R2880" s="80" t="s">
        <v>84</v>
      </c>
    </row>
    <row r="2881" spans="1:18" ht="20" x14ac:dyDescent="0.2">
      <c r="A2881" s="80" t="s">
        <v>3145</v>
      </c>
      <c r="B2881" s="80" t="s">
        <v>3146</v>
      </c>
      <c r="C2881" s="80" t="s">
        <v>9680</v>
      </c>
      <c r="D2881" s="80" t="s">
        <v>84</v>
      </c>
      <c r="E2881" s="80" t="s">
        <v>84</v>
      </c>
      <c r="G2881" s="80" t="s">
        <v>84</v>
      </c>
      <c r="H2881" s="80" t="s">
        <v>84</v>
      </c>
      <c r="I2881" s="80" t="s">
        <v>84</v>
      </c>
      <c r="J2881" s="80" t="s">
        <v>84</v>
      </c>
      <c r="K2881" s="80" t="s">
        <v>84</v>
      </c>
      <c r="L2881" s="80" t="s">
        <v>84</v>
      </c>
      <c r="M2881" s="80" t="s">
        <v>84</v>
      </c>
      <c r="N2881" s="80" t="s">
        <v>84</v>
      </c>
      <c r="O2881" s="80" t="s">
        <v>84</v>
      </c>
      <c r="Q2881" s="80" t="s">
        <v>84</v>
      </c>
      <c r="R2881" s="80" t="s">
        <v>84</v>
      </c>
    </row>
    <row r="2882" spans="1:18" ht="20" x14ac:dyDescent="0.2">
      <c r="A2882" s="80" t="s">
        <v>3145</v>
      </c>
      <c r="B2882" s="80" t="s">
        <v>10758</v>
      </c>
      <c r="C2882" s="80" t="s">
        <v>9680</v>
      </c>
      <c r="D2882" s="80" t="s">
        <v>84</v>
      </c>
      <c r="E2882" s="80" t="s">
        <v>84</v>
      </c>
      <c r="G2882" s="80" t="s">
        <v>84</v>
      </c>
      <c r="H2882" s="80" t="s">
        <v>84</v>
      </c>
      <c r="I2882" s="80" t="s">
        <v>84</v>
      </c>
      <c r="J2882" s="80" t="s">
        <v>84</v>
      </c>
      <c r="K2882" s="80" t="s">
        <v>84</v>
      </c>
      <c r="L2882" s="80" t="s">
        <v>84</v>
      </c>
      <c r="M2882" s="80" t="s">
        <v>84</v>
      </c>
      <c r="N2882" s="80" t="s">
        <v>84</v>
      </c>
      <c r="O2882" s="80" t="s">
        <v>84</v>
      </c>
      <c r="Q2882" s="80" t="s">
        <v>84</v>
      </c>
      <c r="R2882" s="80" t="s">
        <v>84</v>
      </c>
    </row>
    <row r="2883" spans="1:18" ht="20" x14ac:dyDescent="0.2">
      <c r="A2883" s="80" t="s">
        <v>2286</v>
      </c>
      <c r="B2883" s="80" t="s">
        <v>2287</v>
      </c>
      <c r="C2883" s="80" t="s">
        <v>9680</v>
      </c>
      <c r="D2883" s="80" t="s">
        <v>84</v>
      </c>
      <c r="E2883" s="80" t="s">
        <v>84</v>
      </c>
      <c r="G2883" s="80" t="s">
        <v>84</v>
      </c>
      <c r="H2883" s="80" t="s">
        <v>84</v>
      </c>
      <c r="I2883" s="80" t="s">
        <v>84</v>
      </c>
      <c r="J2883" s="80" t="s">
        <v>84</v>
      </c>
      <c r="K2883" s="80" t="s">
        <v>84</v>
      </c>
      <c r="L2883" s="80" t="s">
        <v>84</v>
      </c>
      <c r="M2883" s="80" t="s">
        <v>84</v>
      </c>
      <c r="N2883" s="80" t="s">
        <v>84</v>
      </c>
      <c r="O2883" s="80" t="s">
        <v>84</v>
      </c>
      <c r="Q2883" s="80" t="s">
        <v>84</v>
      </c>
      <c r="R2883" s="80" t="s">
        <v>84</v>
      </c>
    </row>
    <row r="2884" spans="1:18" ht="20" x14ac:dyDescent="0.2">
      <c r="A2884" s="80" t="s">
        <v>6800</v>
      </c>
      <c r="B2884" s="80" t="s">
        <v>6801</v>
      </c>
      <c r="C2884" s="80" t="s">
        <v>9680</v>
      </c>
      <c r="D2884" s="80" t="s">
        <v>84</v>
      </c>
      <c r="E2884" s="80" t="s">
        <v>84</v>
      </c>
      <c r="G2884" s="80" t="s">
        <v>84</v>
      </c>
      <c r="H2884" s="80" t="s">
        <v>84</v>
      </c>
      <c r="I2884" s="80" t="s">
        <v>84</v>
      </c>
      <c r="J2884" s="80" t="s">
        <v>84</v>
      </c>
      <c r="K2884" s="80" t="s">
        <v>84</v>
      </c>
      <c r="L2884" s="80" t="s">
        <v>84</v>
      </c>
      <c r="M2884" s="80" t="s">
        <v>84</v>
      </c>
      <c r="N2884" s="80" t="s">
        <v>84</v>
      </c>
      <c r="O2884" s="80" t="s">
        <v>84</v>
      </c>
      <c r="Q2884" s="80" t="s">
        <v>84</v>
      </c>
      <c r="R2884" s="80" t="s">
        <v>84</v>
      </c>
    </row>
    <row r="2885" spans="1:18" ht="20" x14ac:dyDescent="0.2">
      <c r="A2885" s="80" t="s">
        <v>6800</v>
      </c>
      <c r="B2885" s="80" t="s">
        <v>10759</v>
      </c>
      <c r="C2885" s="80" t="s">
        <v>9680</v>
      </c>
      <c r="D2885" s="80" t="s">
        <v>84</v>
      </c>
      <c r="E2885" s="80" t="s">
        <v>84</v>
      </c>
      <c r="G2885" s="80" t="s">
        <v>84</v>
      </c>
      <c r="H2885" s="80" t="s">
        <v>84</v>
      </c>
      <c r="I2885" s="80" t="s">
        <v>84</v>
      </c>
      <c r="J2885" s="80" t="s">
        <v>84</v>
      </c>
      <c r="K2885" s="80" t="s">
        <v>84</v>
      </c>
      <c r="L2885" s="80" t="s">
        <v>84</v>
      </c>
      <c r="M2885" s="80" t="s">
        <v>84</v>
      </c>
      <c r="N2885" s="80" t="s">
        <v>84</v>
      </c>
      <c r="O2885" s="80" t="s">
        <v>84</v>
      </c>
      <c r="Q2885" s="80" t="s">
        <v>84</v>
      </c>
      <c r="R2885" s="80" t="s">
        <v>84</v>
      </c>
    </row>
    <row r="2886" spans="1:18" ht="20" x14ac:dyDescent="0.2">
      <c r="A2886" s="80" t="s">
        <v>2288</v>
      </c>
      <c r="B2886" s="80" t="s">
        <v>2289</v>
      </c>
      <c r="C2886" s="80" t="s">
        <v>9680</v>
      </c>
      <c r="D2886" s="80" t="s">
        <v>84</v>
      </c>
      <c r="E2886" s="80" t="s">
        <v>84</v>
      </c>
      <c r="G2886" s="80" t="s">
        <v>84</v>
      </c>
      <c r="H2886" s="80" t="s">
        <v>84</v>
      </c>
      <c r="I2886" s="80" t="s">
        <v>84</v>
      </c>
      <c r="J2886" s="80" t="s">
        <v>84</v>
      </c>
      <c r="K2886" s="80" t="s">
        <v>84</v>
      </c>
      <c r="L2886" s="80" t="s">
        <v>84</v>
      </c>
      <c r="M2886" s="80" t="s">
        <v>84</v>
      </c>
      <c r="N2886" s="80" t="s">
        <v>84</v>
      </c>
      <c r="O2886" s="80" t="s">
        <v>84</v>
      </c>
      <c r="Q2886" s="80" t="s">
        <v>84</v>
      </c>
      <c r="R2886" s="80" t="s">
        <v>84</v>
      </c>
    </row>
    <row r="2887" spans="1:18" ht="20" x14ac:dyDescent="0.2">
      <c r="A2887" s="80" t="s">
        <v>2288</v>
      </c>
      <c r="B2887" s="80" t="s">
        <v>10760</v>
      </c>
      <c r="C2887" s="80" t="s">
        <v>9680</v>
      </c>
      <c r="D2887" s="80" t="s">
        <v>84</v>
      </c>
      <c r="E2887" s="80" t="s">
        <v>84</v>
      </c>
      <c r="G2887" s="80" t="s">
        <v>84</v>
      </c>
      <c r="H2887" s="80" t="s">
        <v>84</v>
      </c>
      <c r="I2887" s="80" t="s">
        <v>84</v>
      </c>
      <c r="J2887" s="80" t="s">
        <v>84</v>
      </c>
      <c r="K2887" s="80" t="s">
        <v>84</v>
      </c>
      <c r="L2887" s="80" t="s">
        <v>84</v>
      </c>
      <c r="M2887" s="80" t="s">
        <v>84</v>
      </c>
      <c r="N2887" s="80" t="s">
        <v>84</v>
      </c>
      <c r="O2887" s="80" t="s">
        <v>84</v>
      </c>
      <c r="Q2887" s="80" t="s">
        <v>84</v>
      </c>
      <c r="R2887" s="80" t="s">
        <v>84</v>
      </c>
    </row>
    <row r="2888" spans="1:18" ht="20" x14ac:dyDescent="0.2">
      <c r="A2888" s="80" t="s">
        <v>3149</v>
      </c>
      <c r="B2888" s="80" t="s">
        <v>3150</v>
      </c>
      <c r="C2888" s="80" t="s">
        <v>9680</v>
      </c>
      <c r="D2888" s="80" t="s">
        <v>84</v>
      </c>
      <c r="E2888" s="80" t="s">
        <v>84</v>
      </c>
      <c r="G2888" s="80" t="s">
        <v>84</v>
      </c>
      <c r="H2888" s="80" t="s">
        <v>84</v>
      </c>
      <c r="I2888" s="80" t="s">
        <v>84</v>
      </c>
      <c r="J2888" s="80" t="s">
        <v>84</v>
      </c>
      <c r="K2888" s="80" t="s">
        <v>84</v>
      </c>
      <c r="L2888" s="80" t="s">
        <v>84</v>
      </c>
      <c r="M2888" s="80" t="s">
        <v>84</v>
      </c>
      <c r="N2888" s="80" t="s">
        <v>84</v>
      </c>
      <c r="O2888" s="80" t="s">
        <v>84</v>
      </c>
      <c r="Q2888" s="80" t="s">
        <v>84</v>
      </c>
      <c r="R2888" s="80" t="s">
        <v>84</v>
      </c>
    </row>
    <row r="2889" spans="1:18" ht="20" x14ac:dyDescent="0.2">
      <c r="A2889" s="80" t="s">
        <v>2045</v>
      </c>
      <c r="B2889" s="80" t="s">
        <v>2046</v>
      </c>
      <c r="C2889" s="80" t="s">
        <v>9680</v>
      </c>
      <c r="D2889" s="80" t="s">
        <v>84</v>
      </c>
      <c r="E2889" s="80" t="s">
        <v>84</v>
      </c>
      <c r="G2889" s="80" t="s">
        <v>84</v>
      </c>
      <c r="H2889" s="80" t="s">
        <v>84</v>
      </c>
      <c r="I2889" s="80" t="s">
        <v>84</v>
      </c>
      <c r="J2889" s="80" t="s">
        <v>84</v>
      </c>
      <c r="K2889" s="80" t="s">
        <v>84</v>
      </c>
      <c r="L2889" s="80" t="s">
        <v>84</v>
      </c>
      <c r="M2889" s="80" t="s">
        <v>84</v>
      </c>
      <c r="N2889" s="80" t="s">
        <v>84</v>
      </c>
      <c r="O2889" s="80" t="s">
        <v>84</v>
      </c>
      <c r="Q2889" s="80" t="s">
        <v>84</v>
      </c>
      <c r="R2889" s="80" t="s">
        <v>84</v>
      </c>
    </row>
    <row r="2890" spans="1:18" ht="20" x14ac:dyDescent="0.2">
      <c r="A2890" s="80" t="s">
        <v>2045</v>
      </c>
      <c r="B2890" s="80" t="s">
        <v>10761</v>
      </c>
      <c r="C2890" s="80" t="s">
        <v>9680</v>
      </c>
      <c r="D2890" s="80" t="s">
        <v>84</v>
      </c>
      <c r="E2890" s="80" t="s">
        <v>84</v>
      </c>
      <c r="G2890" s="80" t="s">
        <v>84</v>
      </c>
      <c r="H2890" s="80" t="s">
        <v>84</v>
      </c>
      <c r="I2890" s="80" t="s">
        <v>84</v>
      </c>
      <c r="J2890" s="80" t="s">
        <v>84</v>
      </c>
      <c r="K2890" s="80" t="s">
        <v>84</v>
      </c>
      <c r="L2890" s="80" t="s">
        <v>84</v>
      </c>
      <c r="M2890" s="80" t="s">
        <v>84</v>
      </c>
      <c r="N2890" s="80" t="s">
        <v>84</v>
      </c>
      <c r="O2890" s="80" t="s">
        <v>84</v>
      </c>
      <c r="Q2890" s="80" t="s">
        <v>84</v>
      </c>
      <c r="R2890" s="80" t="s">
        <v>84</v>
      </c>
    </row>
    <row r="2891" spans="1:18" ht="20" x14ac:dyDescent="0.2">
      <c r="A2891" s="80" t="s">
        <v>3151</v>
      </c>
      <c r="B2891" s="80" t="s">
        <v>10762</v>
      </c>
      <c r="C2891" s="80" t="s">
        <v>9680</v>
      </c>
      <c r="D2891" s="80" t="s">
        <v>84</v>
      </c>
      <c r="E2891" s="80" t="s">
        <v>84</v>
      </c>
      <c r="G2891" s="80" t="s">
        <v>84</v>
      </c>
      <c r="H2891" s="80" t="s">
        <v>84</v>
      </c>
      <c r="I2891" s="80" t="s">
        <v>84</v>
      </c>
      <c r="J2891" s="80" t="s">
        <v>84</v>
      </c>
      <c r="K2891" s="80" t="s">
        <v>84</v>
      </c>
      <c r="L2891" s="80" t="s">
        <v>84</v>
      </c>
      <c r="M2891" s="80" t="s">
        <v>84</v>
      </c>
      <c r="N2891" s="80" t="s">
        <v>84</v>
      </c>
      <c r="O2891" s="80" t="s">
        <v>84</v>
      </c>
      <c r="Q2891" s="80" t="s">
        <v>84</v>
      </c>
      <c r="R2891" s="80" t="s">
        <v>84</v>
      </c>
    </row>
    <row r="2892" spans="1:18" ht="20" x14ac:dyDescent="0.2">
      <c r="A2892" s="80" t="s">
        <v>3151</v>
      </c>
      <c r="B2892" s="80" t="s">
        <v>3152</v>
      </c>
      <c r="C2892" s="80" t="s">
        <v>9680</v>
      </c>
      <c r="D2892" s="80" t="s">
        <v>84</v>
      </c>
      <c r="E2892" s="80" t="s">
        <v>84</v>
      </c>
      <c r="G2892" s="80" t="s">
        <v>84</v>
      </c>
      <c r="H2892" s="80" t="s">
        <v>84</v>
      </c>
      <c r="I2892" s="80" t="s">
        <v>84</v>
      </c>
      <c r="J2892" s="80" t="s">
        <v>84</v>
      </c>
      <c r="K2892" s="80" t="s">
        <v>84</v>
      </c>
      <c r="L2892" s="80" t="s">
        <v>84</v>
      </c>
      <c r="M2892" s="80" t="s">
        <v>84</v>
      </c>
      <c r="N2892" s="80" t="s">
        <v>84</v>
      </c>
      <c r="O2892" s="80" t="s">
        <v>84</v>
      </c>
      <c r="Q2892" s="80" t="s">
        <v>84</v>
      </c>
      <c r="R2892" s="80" t="s">
        <v>84</v>
      </c>
    </row>
    <row r="2893" spans="1:18" ht="20" x14ac:dyDescent="0.2">
      <c r="A2893" s="80" t="s">
        <v>3153</v>
      </c>
      <c r="B2893" s="80" t="s">
        <v>10763</v>
      </c>
      <c r="C2893" s="80" t="s">
        <v>84</v>
      </c>
      <c r="D2893" s="80" t="s">
        <v>84</v>
      </c>
      <c r="E2893" s="80" t="s">
        <v>84</v>
      </c>
      <c r="G2893" s="80" t="s">
        <v>84</v>
      </c>
      <c r="H2893" s="80" t="s">
        <v>84</v>
      </c>
      <c r="I2893" s="80" t="s">
        <v>84</v>
      </c>
      <c r="J2893" s="80" t="s">
        <v>84</v>
      </c>
      <c r="K2893" s="80" t="s">
        <v>84</v>
      </c>
      <c r="L2893" s="80" t="s">
        <v>84</v>
      </c>
      <c r="M2893" s="80" t="s">
        <v>84</v>
      </c>
      <c r="N2893" s="80" t="s">
        <v>84</v>
      </c>
      <c r="O2893" s="80" t="s">
        <v>84</v>
      </c>
      <c r="Q2893" s="80" t="s">
        <v>84</v>
      </c>
      <c r="R2893" s="80" t="s">
        <v>84</v>
      </c>
    </row>
    <row r="2894" spans="1:18" ht="20" x14ac:dyDescent="0.2">
      <c r="A2894" s="80" t="s">
        <v>3153</v>
      </c>
      <c r="B2894" s="80" t="s">
        <v>3154</v>
      </c>
      <c r="C2894" s="80" t="s">
        <v>84</v>
      </c>
      <c r="D2894" s="80" t="s">
        <v>84</v>
      </c>
      <c r="E2894" s="80" t="s">
        <v>84</v>
      </c>
      <c r="G2894" s="80" t="s">
        <v>84</v>
      </c>
      <c r="H2894" s="80" t="s">
        <v>84</v>
      </c>
      <c r="I2894" s="80" t="s">
        <v>84</v>
      </c>
      <c r="J2894" s="80" t="s">
        <v>84</v>
      </c>
      <c r="K2894" s="80" t="s">
        <v>84</v>
      </c>
      <c r="L2894" s="80" t="s">
        <v>84</v>
      </c>
      <c r="M2894" s="80" t="s">
        <v>84</v>
      </c>
      <c r="N2894" s="80" t="s">
        <v>84</v>
      </c>
      <c r="O2894" s="80" t="s">
        <v>84</v>
      </c>
      <c r="Q2894" s="80" t="s">
        <v>84</v>
      </c>
      <c r="R2894" s="80" t="s">
        <v>84</v>
      </c>
    </row>
    <row r="2895" spans="1:18" ht="20" x14ac:dyDescent="0.2">
      <c r="A2895" s="80" t="s">
        <v>3157</v>
      </c>
      <c r="B2895" s="80" t="s">
        <v>10764</v>
      </c>
      <c r="C2895" s="80" t="s">
        <v>84</v>
      </c>
      <c r="D2895" s="80" t="s">
        <v>84</v>
      </c>
      <c r="E2895" s="80" t="s">
        <v>84</v>
      </c>
      <c r="G2895" s="80" t="s">
        <v>84</v>
      </c>
      <c r="H2895" s="80" t="s">
        <v>84</v>
      </c>
      <c r="I2895" s="80" t="s">
        <v>84</v>
      </c>
      <c r="J2895" s="80" t="s">
        <v>84</v>
      </c>
      <c r="K2895" s="80" t="s">
        <v>84</v>
      </c>
      <c r="L2895" s="80" t="s">
        <v>84</v>
      </c>
      <c r="M2895" s="80" t="s">
        <v>84</v>
      </c>
      <c r="N2895" s="80" t="s">
        <v>84</v>
      </c>
      <c r="O2895" s="80" t="s">
        <v>84</v>
      </c>
      <c r="Q2895" s="80" t="s">
        <v>84</v>
      </c>
      <c r="R2895" s="80" t="s">
        <v>84</v>
      </c>
    </row>
    <row r="2896" spans="1:18" ht="20" x14ac:dyDescent="0.2">
      <c r="A2896" s="80" t="s">
        <v>3157</v>
      </c>
      <c r="B2896" s="80" t="s">
        <v>3158</v>
      </c>
      <c r="C2896" s="80" t="s">
        <v>84</v>
      </c>
      <c r="D2896" s="80" t="s">
        <v>84</v>
      </c>
      <c r="E2896" s="80" t="s">
        <v>84</v>
      </c>
      <c r="G2896" s="80" t="s">
        <v>84</v>
      </c>
      <c r="H2896" s="80" t="s">
        <v>84</v>
      </c>
      <c r="I2896" s="80" t="s">
        <v>84</v>
      </c>
      <c r="J2896" s="80" t="s">
        <v>84</v>
      </c>
      <c r="K2896" s="80" t="s">
        <v>84</v>
      </c>
      <c r="L2896" s="80" t="s">
        <v>84</v>
      </c>
      <c r="M2896" s="80" t="s">
        <v>84</v>
      </c>
      <c r="N2896" s="80" t="s">
        <v>84</v>
      </c>
      <c r="O2896" s="80" t="s">
        <v>84</v>
      </c>
      <c r="Q2896" s="80" t="s">
        <v>84</v>
      </c>
      <c r="R2896" s="80" t="s">
        <v>84</v>
      </c>
    </row>
    <row r="2897" spans="1:18" ht="20" x14ac:dyDescent="0.2">
      <c r="A2897" s="80" t="s">
        <v>3159</v>
      </c>
      <c r="B2897" s="80" t="s">
        <v>10765</v>
      </c>
      <c r="C2897" s="80" t="s">
        <v>84</v>
      </c>
      <c r="D2897" s="80" t="s">
        <v>84</v>
      </c>
      <c r="E2897" s="80" t="s">
        <v>84</v>
      </c>
      <c r="G2897" s="80" t="s">
        <v>84</v>
      </c>
      <c r="H2897" s="80" t="s">
        <v>84</v>
      </c>
      <c r="I2897" s="80" t="s">
        <v>84</v>
      </c>
      <c r="J2897" s="80" t="s">
        <v>84</v>
      </c>
      <c r="K2897" s="80" t="s">
        <v>84</v>
      </c>
      <c r="L2897" s="80" t="s">
        <v>84</v>
      </c>
      <c r="M2897" s="80" t="s">
        <v>84</v>
      </c>
      <c r="N2897" s="80" t="s">
        <v>84</v>
      </c>
      <c r="O2897" s="80" t="s">
        <v>84</v>
      </c>
      <c r="Q2897" s="80" t="s">
        <v>84</v>
      </c>
      <c r="R2897" s="80" t="s">
        <v>84</v>
      </c>
    </row>
    <row r="2898" spans="1:18" ht="20" x14ac:dyDescent="0.2">
      <c r="A2898" s="80" t="s">
        <v>3159</v>
      </c>
      <c r="B2898" s="80" t="s">
        <v>3160</v>
      </c>
      <c r="C2898" s="80" t="s">
        <v>84</v>
      </c>
      <c r="D2898" s="80" t="s">
        <v>84</v>
      </c>
      <c r="E2898" s="80" t="s">
        <v>84</v>
      </c>
      <c r="G2898" s="80" t="s">
        <v>84</v>
      </c>
      <c r="H2898" s="80" t="s">
        <v>84</v>
      </c>
      <c r="I2898" s="80" t="s">
        <v>84</v>
      </c>
      <c r="J2898" s="80" t="s">
        <v>84</v>
      </c>
      <c r="K2898" s="80" t="s">
        <v>84</v>
      </c>
      <c r="L2898" s="80" t="s">
        <v>84</v>
      </c>
      <c r="M2898" s="80" t="s">
        <v>84</v>
      </c>
      <c r="N2898" s="80" t="s">
        <v>84</v>
      </c>
      <c r="O2898" s="80" t="s">
        <v>84</v>
      </c>
      <c r="Q2898" s="80" t="s">
        <v>84</v>
      </c>
      <c r="R2898" s="80" t="s">
        <v>84</v>
      </c>
    </row>
    <row r="2899" spans="1:18" ht="20" x14ac:dyDescent="0.2">
      <c r="A2899" s="80" t="s">
        <v>3161</v>
      </c>
      <c r="B2899" s="80" t="s">
        <v>10766</v>
      </c>
      <c r="C2899" s="80" t="s">
        <v>9680</v>
      </c>
      <c r="D2899" s="80" t="s">
        <v>84</v>
      </c>
      <c r="E2899" s="80" t="s">
        <v>84</v>
      </c>
      <c r="G2899" s="80" t="s">
        <v>84</v>
      </c>
      <c r="H2899" s="80" t="s">
        <v>84</v>
      </c>
      <c r="I2899" s="80" t="s">
        <v>84</v>
      </c>
      <c r="J2899" s="80" t="s">
        <v>84</v>
      </c>
      <c r="K2899" s="80" t="s">
        <v>84</v>
      </c>
      <c r="L2899" s="80" t="s">
        <v>84</v>
      </c>
      <c r="M2899" s="80" t="s">
        <v>84</v>
      </c>
      <c r="N2899" s="80" t="s">
        <v>84</v>
      </c>
      <c r="O2899" s="80" t="s">
        <v>84</v>
      </c>
      <c r="Q2899" s="80" t="s">
        <v>84</v>
      </c>
      <c r="R2899" s="80" t="s">
        <v>84</v>
      </c>
    </row>
    <row r="2900" spans="1:18" ht="20" x14ac:dyDescent="0.2">
      <c r="A2900" s="80" t="s">
        <v>3161</v>
      </c>
      <c r="B2900" s="80" t="s">
        <v>3162</v>
      </c>
      <c r="C2900" s="80" t="s">
        <v>9680</v>
      </c>
      <c r="D2900" s="80" t="s">
        <v>84</v>
      </c>
      <c r="E2900" s="80" t="s">
        <v>84</v>
      </c>
      <c r="G2900" s="80" t="s">
        <v>84</v>
      </c>
      <c r="H2900" s="80" t="s">
        <v>84</v>
      </c>
      <c r="I2900" s="80" t="s">
        <v>84</v>
      </c>
      <c r="J2900" s="80" t="s">
        <v>84</v>
      </c>
      <c r="K2900" s="80" t="s">
        <v>84</v>
      </c>
      <c r="L2900" s="80" t="s">
        <v>84</v>
      </c>
      <c r="M2900" s="80" t="s">
        <v>84</v>
      </c>
      <c r="N2900" s="80" t="s">
        <v>84</v>
      </c>
      <c r="O2900" s="80" t="s">
        <v>84</v>
      </c>
      <c r="Q2900" s="80" t="s">
        <v>84</v>
      </c>
      <c r="R2900" s="80" t="s">
        <v>84</v>
      </c>
    </row>
    <row r="2901" spans="1:18" ht="20" x14ac:dyDescent="0.2">
      <c r="A2901" s="80" t="s">
        <v>3163</v>
      </c>
      <c r="B2901" s="80" t="s">
        <v>3164</v>
      </c>
      <c r="C2901" s="80" t="s">
        <v>9680</v>
      </c>
      <c r="D2901" s="80" t="s">
        <v>84</v>
      </c>
      <c r="E2901" s="80" t="s">
        <v>84</v>
      </c>
      <c r="G2901" s="80" t="s">
        <v>84</v>
      </c>
      <c r="H2901" s="80" t="s">
        <v>84</v>
      </c>
      <c r="I2901" s="80" t="s">
        <v>84</v>
      </c>
      <c r="J2901" s="80" t="s">
        <v>84</v>
      </c>
      <c r="K2901" s="80" t="s">
        <v>84</v>
      </c>
      <c r="L2901" s="80" t="s">
        <v>84</v>
      </c>
      <c r="M2901" s="80" t="s">
        <v>84</v>
      </c>
      <c r="N2901" s="80" t="s">
        <v>84</v>
      </c>
      <c r="O2901" s="80" t="s">
        <v>84</v>
      </c>
      <c r="Q2901" s="80" t="s">
        <v>84</v>
      </c>
      <c r="R2901" s="80" t="s">
        <v>84</v>
      </c>
    </row>
    <row r="2902" spans="1:18" ht="20" x14ac:dyDescent="0.2">
      <c r="A2902" s="80" t="s">
        <v>3165</v>
      </c>
      <c r="B2902" s="80" t="s">
        <v>10767</v>
      </c>
      <c r="C2902" s="80" t="s">
        <v>9680</v>
      </c>
      <c r="D2902" s="80" t="s">
        <v>84</v>
      </c>
      <c r="E2902" s="80" t="s">
        <v>84</v>
      </c>
      <c r="G2902" s="80" t="s">
        <v>84</v>
      </c>
      <c r="H2902" s="80" t="s">
        <v>84</v>
      </c>
      <c r="I2902" s="80" t="s">
        <v>84</v>
      </c>
      <c r="J2902" s="80" t="s">
        <v>84</v>
      </c>
      <c r="K2902" s="80" t="s">
        <v>84</v>
      </c>
      <c r="L2902" s="80" t="s">
        <v>84</v>
      </c>
      <c r="M2902" s="80" t="s">
        <v>84</v>
      </c>
      <c r="N2902" s="80" t="s">
        <v>84</v>
      </c>
      <c r="O2902" s="80" t="s">
        <v>84</v>
      </c>
      <c r="Q2902" s="80" t="s">
        <v>84</v>
      </c>
      <c r="R2902" s="80" t="s">
        <v>84</v>
      </c>
    </row>
    <row r="2903" spans="1:18" ht="20" x14ac:dyDescent="0.2">
      <c r="A2903" s="80" t="s">
        <v>3165</v>
      </c>
      <c r="B2903" s="80" t="s">
        <v>3166</v>
      </c>
      <c r="C2903" s="80" t="s">
        <v>9680</v>
      </c>
      <c r="D2903" s="80" t="s">
        <v>84</v>
      </c>
      <c r="E2903" s="80" t="s">
        <v>84</v>
      </c>
      <c r="G2903" s="80" t="s">
        <v>84</v>
      </c>
      <c r="H2903" s="80" t="s">
        <v>84</v>
      </c>
      <c r="I2903" s="80" t="s">
        <v>84</v>
      </c>
      <c r="J2903" s="80" t="s">
        <v>84</v>
      </c>
      <c r="K2903" s="80" t="s">
        <v>84</v>
      </c>
      <c r="L2903" s="80" t="s">
        <v>84</v>
      </c>
      <c r="M2903" s="80" t="s">
        <v>84</v>
      </c>
      <c r="N2903" s="80" t="s">
        <v>84</v>
      </c>
      <c r="O2903" s="80" t="s">
        <v>84</v>
      </c>
      <c r="Q2903" s="80" t="s">
        <v>84</v>
      </c>
      <c r="R2903" s="80" t="s">
        <v>84</v>
      </c>
    </row>
    <row r="2904" spans="1:18" ht="20" x14ac:dyDescent="0.2">
      <c r="A2904" s="80" t="s">
        <v>3167</v>
      </c>
      <c r="B2904" s="80" t="s">
        <v>10768</v>
      </c>
      <c r="C2904" s="80" t="s">
        <v>9680</v>
      </c>
      <c r="D2904" s="80" t="s">
        <v>84</v>
      </c>
      <c r="E2904" s="80" t="s">
        <v>84</v>
      </c>
      <c r="G2904" s="80" t="s">
        <v>84</v>
      </c>
      <c r="H2904" s="80" t="s">
        <v>84</v>
      </c>
      <c r="I2904" s="80" t="s">
        <v>84</v>
      </c>
      <c r="J2904" s="80" t="s">
        <v>84</v>
      </c>
      <c r="K2904" s="80" t="s">
        <v>84</v>
      </c>
      <c r="L2904" s="80" t="s">
        <v>84</v>
      </c>
      <c r="M2904" s="80" t="s">
        <v>84</v>
      </c>
      <c r="N2904" s="80" t="s">
        <v>84</v>
      </c>
      <c r="O2904" s="80" t="s">
        <v>84</v>
      </c>
      <c r="Q2904" s="80" t="s">
        <v>84</v>
      </c>
      <c r="R2904" s="80" t="s">
        <v>84</v>
      </c>
    </row>
    <row r="2905" spans="1:18" ht="20" x14ac:dyDescent="0.2">
      <c r="A2905" s="80" t="s">
        <v>3167</v>
      </c>
      <c r="B2905" s="80" t="s">
        <v>3168</v>
      </c>
      <c r="C2905" s="80" t="s">
        <v>9680</v>
      </c>
      <c r="D2905" s="80" t="s">
        <v>84</v>
      </c>
      <c r="E2905" s="80" t="s">
        <v>84</v>
      </c>
      <c r="G2905" s="80" t="s">
        <v>84</v>
      </c>
      <c r="H2905" s="80" t="s">
        <v>84</v>
      </c>
      <c r="I2905" s="80" t="s">
        <v>84</v>
      </c>
      <c r="J2905" s="80" t="s">
        <v>84</v>
      </c>
      <c r="K2905" s="80" t="s">
        <v>84</v>
      </c>
      <c r="L2905" s="80" t="s">
        <v>84</v>
      </c>
      <c r="M2905" s="80" t="s">
        <v>84</v>
      </c>
      <c r="N2905" s="80" t="s">
        <v>84</v>
      </c>
      <c r="O2905" s="80" t="s">
        <v>84</v>
      </c>
      <c r="Q2905" s="80" t="s">
        <v>84</v>
      </c>
      <c r="R2905" s="80" t="s">
        <v>84</v>
      </c>
    </row>
    <row r="2906" spans="1:18" ht="20" x14ac:dyDescent="0.2">
      <c r="A2906" s="80" t="s">
        <v>3169</v>
      </c>
      <c r="B2906" s="80" t="s">
        <v>10769</v>
      </c>
      <c r="C2906" s="80" t="s">
        <v>84</v>
      </c>
      <c r="D2906" s="80" t="s">
        <v>84</v>
      </c>
      <c r="E2906" s="80" t="s">
        <v>84</v>
      </c>
      <c r="G2906" s="80" t="s">
        <v>84</v>
      </c>
      <c r="H2906" s="80" t="s">
        <v>84</v>
      </c>
      <c r="I2906" s="80" t="s">
        <v>84</v>
      </c>
      <c r="J2906" s="80" t="s">
        <v>84</v>
      </c>
      <c r="K2906" s="80" t="s">
        <v>84</v>
      </c>
      <c r="L2906" s="80" t="s">
        <v>84</v>
      </c>
      <c r="M2906" s="80" t="s">
        <v>84</v>
      </c>
      <c r="N2906" s="80" t="s">
        <v>84</v>
      </c>
      <c r="O2906" s="80" t="s">
        <v>84</v>
      </c>
      <c r="Q2906" s="80" t="s">
        <v>84</v>
      </c>
      <c r="R2906" s="80" t="s">
        <v>84</v>
      </c>
    </row>
    <row r="2907" spans="1:18" ht="20" x14ac:dyDescent="0.2">
      <c r="A2907" s="80" t="s">
        <v>3169</v>
      </c>
      <c r="B2907" s="80" t="s">
        <v>3170</v>
      </c>
      <c r="C2907" s="80" t="s">
        <v>84</v>
      </c>
      <c r="D2907" s="80" t="s">
        <v>84</v>
      </c>
      <c r="E2907" s="80" t="s">
        <v>84</v>
      </c>
      <c r="G2907" s="80" t="s">
        <v>84</v>
      </c>
      <c r="H2907" s="80" t="s">
        <v>84</v>
      </c>
      <c r="I2907" s="80" t="s">
        <v>84</v>
      </c>
      <c r="J2907" s="80" t="s">
        <v>84</v>
      </c>
      <c r="K2907" s="80" t="s">
        <v>84</v>
      </c>
      <c r="L2907" s="80" t="s">
        <v>84</v>
      </c>
      <c r="M2907" s="80" t="s">
        <v>84</v>
      </c>
      <c r="N2907" s="80" t="s">
        <v>84</v>
      </c>
      <c r="O2907" s="80" t="s">
        <v>84</v>
      </c>
      <c r="Q2907" s="80" t="s">
        <v>84</v>
      </c>
      <c r="R2907" s="80" t="s">
        <v>84</v>
      </c>
    </row>
    <row r="2908" spans="1:18" ht="20" x14ac:dyDescent="0.2">
      <c r="A2908" s="80" t="s">
        <v>3171</v>
      </c>
      <c r="B2908" s="80" t="s">
        <v>10770</v>
      </c>
      <c r="C2908" s="80" t="s">
        <v>9680</v>
      </c>
      <c r="D2908" s="80" t="s">
        <v>84</v>
      </c>
      <c r="E2908" s="80" t="s">
        <v>84</v>
      </c>
      <c r="G2908" s="80" t="s">
        <v>84</v>
      </c>
      <c r="H2908" s="80" t="s">
        <v>84</v>
      </c>
      <c r="I2908" s="80" t="s">
        <v>84</v>
      </c>
      <c r="J2908" s="80" t="s">
        <v>84</v>
      </c>
      <c r="K2908" s="80" t="s">
        <v>84</v>
      </c>
      <c r="L2908" s="80" t="s">
        <v>84</v>
      </c>
      <c r="M2908" s="80" t="s">
        <v>84</v>
      </c>
      <c r="N2908" s="80" t="s">
        <v>84</v>
      </c>
      <c r="O2908" s="80" t="s">
        <v>84</v>
      </c>
      <c r="Q2908" s="80" t="s">
        <v>84</v>
      </c>
      <c r="R2908" s="80" t="s">
        <v>84</v>
      </c>
    </row>
    <row r="2909" spans="1:18" ht="20" x14ac:dyDescent="0.2">
      <c r="A2909" s="80" t="s">
        <v>3171</v>
      </c>
      <c r="B2909" s="80" t="s">
        <v>3172</v>
      </c>
      <c r="C2909" s="80" t="s">
        <v>9680</v>
      </c>
      <c r="D2909" s="80" t="s">
        <v>84</v>
      </c>
      <c r="E2909" s="80" t="s">
        <v>84</v>
      </c>
      <c r="G2909" s="80" t="s">
        <v>84</v>
      </c>
      <c r="H2909" s="80" t="s">
        <v>84</v>
      </c>
      <c r="I2909" s="80" t="s">
        <v>84</v>
      </c>
      <c r="J2909" s="80" t="s">
        <v>84</v>
      </c>
      <c r="K2909" s="80" t="s">
        <v>84</v>
      </c>
      <c r="L2909" s="80" t="s">
        <v>84</v>
      </c>
      <c r="M2909" s="80" t="s">
        <v>84</v>
      </c>
      <c r="N2909" s="80" t="s">
        <v>84</v>
      </c>
      <c r="O2909" s="80" t="s">
        <v>84</v>
      </c>
      <c r="Q2909" s="80" t="s">
        <v>84</v>
      </c>
      <c r="R2909" s="80" t="s">
        <v>84</v>
      </c>
    </row>
    <row r="2910" spans="1:18" ht="20" x14ac:dyDescent="0.2">
      <c r="A2910" s="80" t="s">
        <v>3173</v>
      </c>
      <c r="B2910" s="80" t="s">
        <v>3174</v>
      </c>
      <c r="C2910" s="80" t="s">
        <v>9680</v>
      </c>
      <c r="D2910" s="80" t="s">
        <v>84</v>
      </c>
      <c r="E2910" s="80" t="s">
        <v>84</v>
      </c>
      <c r="G2910" s="80" t="s">
        <v>84</v>
      </c>
      <c r="H2910" s="80" t="s">
        <v>84</v>
      </c>
      <c r="I2910" s="80" t="s">
        <v>84</v>
      </c>
      <c r="J2910" s="80" t="s">
        <v>84</v>
      </c>
      <c r="K2910" s="80" t="s">
        <v>84</v>
      </c>
      <c r="L2910" s="80" t="s">
        <v>84</v>
      </c>
      <c r="M2910" s="80" t="s">
        <v>84</v>
      </c>
      <c r="N2910" s="80" t="s">
        <v>84</v>
      </c>
      <c r="O2910" s="80" t="s">
        <v>84</v>
      </c>
      <c r="Q2910" s="80" t="s">
        <v>84</v>
      </c>
      <c r="R2910" s="80" t="s">
        <v>84</v>
      </c>
    </row>
    <row r="2911" spans="1:18" ht="20" x14ac:dyDescent="0.2">
      <c r="A2911" s="80" t="s">
        <v>3175</v>
      </c>
      <c r="B2911" s="80" t="s">
        <v>3176</v>
      </c>
      <c r="C2911" s="80" t="s">
        <v>9680</v>
      </c>
      <c r="D2911" s="80" t="s">
        <v>84</v>
      </c>
      <c r="E2911" s="80" t="s">
        <v>84</v>
      </c>
      <c r="G2911" s="80" t="s">
        <v>84</v>
      </c>
      <c r="H2911" s="80" t="s">
        <v>84</v>
      </c>
      <c r="I2911" s="80" t="s">
        <v>84</v>
      </c>
      <c r="J2911" s="80" t="s">
        <v>84</v>
      </c>
      <c r="K2911" s="80" t="s">
        <v>84</v>
      </c>
      <c r="L2911" s="80" t="s">
        <v>84</v>
      </c>
      <c r="M2911" s="80" t="s">
        <v>84</v>
      </c>
      <c r="N2911" s="80" t="s">
        <v>84</v>
      </c>
      <c r="O2911" s="80" t="s">
        <v>84</v>
      </c>
      <c r="Q2911" s="80" t="s">
        <v>84</v>
      </c>
      <c r="R2911" s="80" t="s">
        <v>84</v>
      </c>
    </row>
    <row r="2912" spans="1:18" ht="20" x14ac:dyDescent="0.2">
      <c r="A2912" s="80" t="s">
        <v>3179</v>
      </c>
      <c r="B2912" s="80" t="s">
        <v>3180</v>
      </c>
      <c r="C2912" s="80" t="s">
        <v>9680</v>
      </c>
      <c r="D2912" s="80" t="s">
        <v>84</v>
      </c>
      <c r="E2912" s="80" t="s">
        <v>84</v>
      </c>
      <c r="G2912" s="80" t="s">
        <v>84</v>
      </c>
      <c r="H2912" s="80" t="s">
        <v>84</v>
      </c>
      <c r="I2912" s="80" t="s">
        <v>84</v>
      </c>
      <c r="J2912" s="80" t="s">
        <v>84</v>
      </c>
      <c r="K2912" s="80" t="s">
        <v>84</v>
      </c>
      <c r="L2912" s="80" t="s">
        <v>84</v>
      </c>
      <c r="M2912" s="80" t="s">
        <v>84</v>
      </c>
      <c r="N2912" s="80" t="s">
        <v>84</v>
      </c>
      <c r="O2912" s="80" t="s">
        <v>84</v>
      </c>
      <c r="Q2912" s="80" t="s">
        <v>84</v>
      </c>
      <c r="R2912" s="80" t="s">
        <v>84</v>
      </c>
    </row>
    <row r="2913" spans="1:18" ht="20" x14ac:dyDescent="0.2">
      <c r="A2913" s="80" t="s">
        <v>3181</v>
      </c>
      <c r="B2913" s="80" t="s">
        <v>3182</v>
      </c>
      <c r="C2913" s="80" t="s">
        <v>9680</v>
      </c>
      <c r="D2913" s="80" t="s">
        <v>84</v>
      </c>
      <c r="E2913" s="80" t="s">
        <v>84</v>
      </c>
      <c r="G2913" s="80" t="s">
        <v>84</v>
      </c>
      <c r="H2913" s="80" t="s">
        <v>84</v>
      </c>
      <c r="I2913" s="80" t="s">
        <v>84</v>
      </c>
      <c r="J2913" s="80" t="s">
        <v>84</v>
      </c>
      <c r="K2913" s="80" t="s">
        <v>84</v>
      </c>
      <c r="L2913" s="80" t="s">
        <v>84</v>
      </c>
      <c r="M2913" s="80" t="s">
        <v>84</v>
      </c>
      <c r="N2913" s="80" t="s">
        <v>84</v>
      </c>
      <c r="O2913" s="80" t="s">
        <v>84</v>
      </c>
      <c r="Q2913" s="80" t="s">
        <v>84</v>
      </c>
      <c r="R2913" s="80" t="s">
        <v>84</v>
      </c>
    </row>
    <row r="2914" spans="1:18" ht="20" x14ac:dyDescent="0.2">
      <c r="A2914" s="80" t="s">
        <v>3183</v>
      </c>
      <c r="B2914" s="80" t="s">
        <v>3184</v>
      </c>
      <c r="C2914" s="80" t="s">
        <v>9680</v>
      </c>
      <c r="D2914" s="80" t="s">
        <v>84</v>
      </c>
      <c r="E2914" s="80" t="s">
        <v>84</v>
      </c>
      <c r="G2914" s="80" t="s">
        <v>84</v>
      </c>
      <c r="H2914" s="80" t="s">
        <v>84</v>
      </c>
      <c r="I2914" s="80" t="s">
        <v>84</v>
      </c>
      <c r="J2914" s="80" t="s">
        <v>84</v>
      </c>
      <c r="K2914" s="80" t="s">
        <v>84</v>
      </c>
      <c r="L2914" s="80" t="s">
        <v>84</v>
      </c>
      <c r="M2914" s="80" t="s">
        <v>84</v>
      </c>
      <c r="N2914" s="80" t="s">
        <v>84</v>
      </c>
      <c r="O2914" s="80" t="s">
        <v>84</v>
      </c>
      <c r="Q2914" s="80" t="s">
        <v>84</v>
      </c>
      <c r="R2914" s="80" t="s">
        <v>84</v>
      </c>
    </row>
    <row r="2915" spans="1:18" ht="20" x14ac:dyDescent="0.2">
      <c r="A2915" s="80" t="s">
        <v>3185</v>
      </c>
      <c r="B2915" s="80" t="s">
        <v>3186</v>
      </c>
      <c r="C2915" s="80" t="s">
        <v>9680</v>
      </c>
      <c r="D2915" s="80" t="s">
        <v>84</v>
      </c>
      <c r="E2915" s="80" t="s">
        <v>84</v>
      </c>
      <c r="G2915" s="80" t="s">
        <v>84</v>
      </c>
      <c r="H2915" s="80" t="s">
        <v>84</v>
      </c>
      <c r="I2915" s="80" t="s">
        <v>84</v>
      </c>
      <c r="J2915" s="80" t="s">
        <v>84</v>
      </c>
      <c r="K2915" s="80" t="s">
        <v>84</v>
      </c>
      <c r="L2915" s="80" t="s">
        <v>84</v>
      </c>
      <c r="M2915" s="80" t="s">
        <v>84</v>
      </c>
      <c r="N2915" s="80" t="s">
        <v>84</v>
      </c>
      <c r="O2915" s="80" t="s">
        <v>84</v>
      </c>
      <c r="Q2915" s="80" t="s">
        <v>84</v>
      </c>
      <c r="R2915" s="80" t="s">
        <v>84</v>
      </c>
    </row>
    <row r="2916" spans="1:18" ht="20" x14ac:dyDescent="0.2">
      <c r="A2916" s="80" t="s">
        <v>3187</v>
      </c>
      <c r="B2916" s="80" t="s">
        <v>10771</v>
      </c>
      <c r="C2916" s="80" t="s">
        <v>9680</v>
      </c>
      <c r="D2916" s="80" t="s">
        <v>84</v>
      </c>
      <c r="E2916" s="80" t="s">
        <v>84</v>
      </c>
      <c r="G2916" s="80" t="s">
        <v>84</v>
      </c>
      <c r="H2916" s="80" t="s">
        <v>84</v>
      </c>
      <c r="I2916" s="80" t="s">
        <v>84</v>
      </c>
      <c r="J2916" s="80" t="s">
        <v>84</v>
      </c>
      <c r="K2916" s="80" t="s">
        <v>84</v>
      </c>
      <c r="L2916" s="80" t="s">
        <v>84</v>
      </c>
      <c r="M2916" s="80" t="s">
        <v>84</v>
      </c>
      <c r="N2916" s="80" t="s">
        <v>84</v>
      </c>
      <c r="O2916" s="80" t="s">
        <v>84</v>
      </c>
      <c r="Q2916" s="80" t="s">
        <v>84</v>
      </c>
      <c r="R2916" s="80" t="s">
        <v>84</v>
      </c>
    </row>
    <row r="2917" spans="1:18" ht="20" x14ac:dyDescent="0.2">
      <c r="A2917" s="80" t="s">
        <v>3187</v>
      </c>
      <c r="B2917" s="80" t="s">
        <v>3188</v>
      </c>
      <c r="C2917" s="80" t="s">
        <v>9680</v>
      </c>
      <c r="D2917" s="80" t="s">
        <v>84</v>
      </c>
      <c r="E2917" s="80" t="s">
        <v>84</v>
      </c>
      <c r="G2917" s="80" t="s">
        <v>84</v>
      </c>
      <c r="H2917" s="80" t="s">
        <v>84</v>
      </c>
      <c r="I2917" s="80" t="s">
        <v>84</v>
      </c>
      <c r="J2917" s="80" t="s">
        <v>84</v>
      </c>
      <c r="K2917" s="80" t="s">
        <v>84</v>
      </c>
      <c r="L2917" s="80" t="s">
        <v>84</v>
      </c>
      <c r="M2917" s="80" t="s">
        <v>84</v>
      </c>
      <c r="N2917" s="80" t="s">
        <v>84</v>
      </c>
      <c r="O2917" s="80" t="s">
        <v>84</v>
      </c>
      <c r="Q2917" s="80" t="s">
        <v>84</v>
      </c>
      <c r="R2917" s="80" t="s">
        <v>84</v>
      </c>
    </row>
    <row r="2918" spans="1:18" ht="20" x14ac:dyDescent="0.2">
      <c r="A2918" s="80" t="s">
        <v>927</v>
      </c>
      <c r="B2918" s="80" t="s">
        <v>928</v>
      </c>
      <c r="C2918" s="80" t="s">
        <v>9680</v>
      </c>
      <c r="D2918" s="80" t="s">
        <v>84</v>
      </c>
      <c r="E2918" s="80" t="s">
        <v>84</v>
      </c>
      <c r="G2918" s="80" t="s">
        <v>84</v>
      </c>
      <c r="H2918" s="80" t="s">
        <v>84</v>
      </c>
      <c r="I2918" s="80" t="s">
        <v>84</v>
      </c>
      <c r="J2918" s="80" t="s">
        <v>84</v>
      </c>
      <c r="K2918" s="80" t="s">
        <v>84</v>
      </c>
      <c r="L2918" s="80" t="s">
        <v>84</v>
      </c>
      <c r="M2918" s="80" t="s">
        <v>84</v>
      </c>
      <c r="N2918" s="80" t="s">
        <v>84</v>
      </c>
      <c r="O2918" s="80" t="s">
        <v>84</v>
      </c>
      <c r="Q2918" s="80" t="s">
        <v>84</v>
      </c>
      <c r="R2918" s="80" t="s">
        <v>84</v>
      </c>
    </row>
    <row r="2919" spans="1:18" ht="20" x14ac:dyDescent="0.2">
      <c r="A2919" s="80" t="s">
        <v>927</v>
      </c>
      <c r="B2919" s="80" t="s">
        <v>10772</v>
      </c>
      <c r="C2919" s="80" t="s">
        <v>9680</v>
      </c>
      <c r="D2919" s="80" t="s">
        <v>84</v>
      </c>
      <c r="E2919" s="80" t="s">
        <v>84</v>
      </c>
      <c r="G2919" s="80" t="s">
        <v>84</v>
      </c>
      <c r="H2919" s="80" t="s">
        <v>84</v>
      </c>
      <c r="I2919" s="80" t="s">
        <v>84</v>
      </c>
      <c r="J2919" s="80" t="s">
        <v>84</v>
      </c>
      <c r="K2919" s="80" t="s">
        <v>84</v>
      </c>
      <c r="L2919" s="80" t="s">
        <v>84</v>
      </c>
      <c r="M2919" s="80" t="s">
        <v>84</v>
      </c>
      <c r="N2919" s="80" t="s">
        <v>84</v>
      </c>
      <c r="O2919" s="80" t="s">
        <v>84</v>
      </c>
      <c r="Q2919" s="80" t="s">
        <v>84</v>
      </c>
      <c r="R2919" s="80" t="s">
        <v>84</v>
      </c>
    </row>
    <row r="2920" spans="1:18" ht="20" x14ac:dyDescent="0.2">
      <c r="A2920" s="80" t="s">
        <v>929</v>
      </c>
      <c r="B2920" s="80" t="s">
        <v>930</v>
      </c>
      <c r="C2920" s="80" t="s">
        <v>9680</v>
      </c>
      <c r="D2920" s="80" t="s">
        <v>84</v>
      </c>
      <c r="E2920" s="80" t="s">
        <v>84</v>
      </c>
      <c r="G2920" s="80" t="s">
        <v>84</v>
      </c>
      <c r="H2920" s="80" t="s">
        <v>84</v>
      </c>
      <c r="I2920" s="80" t="s">
        <v>84</v>
      </c>
      <c r="J2920" s="80" t="s">
        <v>84</v>
      </c>
      <c r="K2920" s="80" t="s">
        <v>84</v>
      </c>
      <c r="L2920" s="80" t="s">
        <v>84</v>
      </c>
      <c r="M2920" s="80" t="s">
        <v>84</v>
      </c>
      <c r="N2920" s="80" t="s">
        <v>84</v>
      </c>
      <c r="O2920" s="80" t="s">
        <v>84</v>
      </c>
      <c r="Q2920" s="80" t="s">
        <v>84</v>
      </c>
      <c r="R2920" s="80" t="s">
        <v>84</v>
      </c>
    </row>
    <row r="2921" spans="1:18" ht="20" x14ac:dyDescent="0.2">
      <c r="A2921" s="80" t="s">
        <v>3778</v>
      </c>
      <c r="B2921" s="80" t="s">
        <v>3779</v>
      </c>
      <c r="C2921" s="80" t="s">
        <v>84</v>
      </c>
      <c r="D2921" s="80" t="s">
        <v>84</v>
      </c>
      <c r="E2921" s="80" t="s">
        <v>84</v>
      </c>
      <c r="G2921" s="80" t="s">
        <v>84</v>
      </c>
      <c r="H2921" s="80" t="s">
        <v>84</v>
      </c>
      <c r="I2921" s="80" t="s">
        <v>84</v>
      </c>
      <c r="J2921" s="80" t="s">
        <v>84</v>
      </c>
      <c r="K2921" s="80" t="s">
        <v>84</v>
      </c>
      <c r="L2921" s="80" t="s">
        <v>84</v>
      </c>
      <c r="M2921" s="80" t="s">
        <v>84</v>
      </c>
      <c r="N2921" s="80" t="s">
        <v>84</v>
      </c>
      <c r="O2921" s="80" t="s">
        <v>84</v>
      </c>
      <c r="Q2921" s="80" t="s">
        <v>84</v>
      </c>
      <c r="R2921" s="80" t="s">
        <v>84</v>
      </c>
    </row>
    <row r="2922" spans="1:18" ht="20" x14ac:dyDescent="0.2">
      <c r="A2922" s="80" t="s">
        <v>3780</v>
      </c>
      <c r="B2922" s="80" t="s">
        <v>3781</v>
      </c>
      <c r="C2922" s="80" t="s">
        <v>84</v>
      </c>
      <c r="D2922" s="80" t="s">
        <v>84</v>
      </c>
      <c r="E2922" s="80" t="s">
        <v>84</v>
      </c>
      <c r="G2922" s="80" t="s">
        <v>84</v>
      </c>
      <c r="H2922" s="80" t="s">
        <v>84</v>
      </c>
      <c r="I2922" s="80" t="s">
        <v>84</v>
      </c>
      <c r="J2922" s="80" t="s">
        <v>84</v>
      </c>
      <c r="K2922" s="80" t="s">
        <v>84</v>
      </c>
      <c r="L2922" s="80" t="s">
        <v>84</v>
      </c>
      <c r="M2922" s="80" t="s">
        <v>84</v>
      </c>
      <c r="N2922" s="80" t="s">
        <v>84</v>
      </c>
      <c r="O2922" s="80" t="s">
        <v>84</v>
      </c>
      <c r="Q2922" s="80" t="s">
        <v>84</v>
      </c>
      <c r="R2922" s="80" t="s">
        <v>84</v>
      </c>
    </row>
    <row r="2923" spans="1:18" ht="20" x14ac:dyDescent="0.2">
      <c r="A2923" s="80" t="s">
        <v>3780</v>
      </c>
      <c r="B2923" s="80" t="s">
        <v>10773</v>
      </c>
      <c r="C2923" s="80" t="s">
        <v>84</v>
      </c>
      <c r="D2923" s="80" t="s">
        <v>84</v>
      </c>
      <c r="E2923" s="80" t="s">
        <v>84</v>
      </c>
      <c r="G2923" s="80" t="s">
        <v>84</v>
      </c>
      <c r="H2923" s="80" t="s">
        <v>84</v>
      </c>
      <c r="I2923" s="80" t="s">
        <v>84</v>
      </c>
      <c r="J2923" s="80" t="s">
        <v>84</v>
      </c>
      <c r="K2923" s="80" t="s">
        <v>84</v>
      </c>
      <c r="L2923" s="80" t="s">
        <v>84</v>
      </c>
      <c r="M2923" s="80" t="s">
        <v>84</v>
      </c>
      <c r="N2923" s="80" t="s">
        <v>84</v>
      </c>
      <c r="O2923" s="80" t="s">
        <v>84</v>
      </c>
      <c r="Q2923" s="80" t="s">
        <v>84</v>
      </c>
      <c r="R2923" s="80" t="s">
        <v>84</v>
      </c>
    </row>
    <row r="2924" spans="1:18" ht="20" x14ac:dyDescent="0.2">
      <c r="A2924" s="80" t="s">
        <v>3784</v>
      </c>
      <c r="B2924" s="80" t="s">
        <v>3785</v>
      </c>
      <c r="C2924" s="80" t="s">
        <v>84</v>
      </c>
      <c r="D2924" s="80" t="s">
        <v>84</v>
      </c>
      <c r="E2924" s="80" t="s">
        <v>84</v>
      </c>
      <c r="G2924" s="80" t="s">
        <v>84</v>
      </c>
      <c r="H2924" s="80" t="s">
        <v>84</v>
      </c>
      <c r="I2924" s="80" t="s">
        <v>84</v>
      </c>
      <c r="J2924" s="80" t="s">
        <v>84</v>
      </c>
      <c r="K2924" s="80" t="s">
        <v>84</v>
      </c>
      <c r="L2924" s="80" t="s">
        <v>84</v>
      </c>
      <c r="M2924" s="80" t="s">
        <v>84</v>
      </c>
      <c r="N2924" s="80" t="s">
        <v>84</v>
      </c>
      <c r="O2924" s="80" t="s">
        <v>84</v>
      </c>
      <c r="Q2924" s="80" t="s">
        <v>84</v>
      </c>
      <c r="R2924" s="80" t="s">
        <v>84</v>
      </c>
    </row>
    <row r="2925" spans="1:18" ht="20" x14ac:dyDescent="0.2">
      <c r="A2925" s="80" t="s">
        <v>3722</v>
      </c>
      <c r="B2925" s="80" t="s">
        <v>3723</v>
      </c>
      <c r="C2925" s="80" t="s">
        <v>84</v>
      </c>
      <c r="D2925" s="80" t="s">
        <v>84</v>
      </c>
      <c r="E2925" s="80" t="s">
        <v>84</v>
      </c>
      <c r="G2925" s="80" t="s">
        <v>84</v>
      </c>
      <c r="H2925" s="80" t="s">
        <v>84</v>
      </c>
      <c r="I2925" s="80" t="s">
        <v>84</v>
      </c>
      <c r="J2925" s="80" t="s">
        <v>84</v>
      </c>
      <c r="K2925" s="80" t="s">
        <v>84</v>
      </c>
      <c r="L2925" s="80" t="s">
        <v>84</v>
      </c>
      <c r="M2925" s="80" t="s">
        <v>84</v>
      </c>
      <c r="N2925" s="80" t="s">
        <v>84</v>
      </c>
      <c r="O2925" s="80" t="s">
        <v>84</v>
      </c>
      <c r="Q2925" s="80" t="s">
        <v>84</v>
      </c>
      <c r="R2925" s="80" t="s">
        <v>84</v>
      </c>
    </row>
    <row r="2926" spans="1:18" ht="20" x14ac:dyDescent="0.2">
      <c r="A2926" s="80" t="s">
        <v>3692</v>
      </c>
      <c r="B2926" s="80" t="s">
        <v>3693</v>
      </c>
      <c r="C2926" s="80" t="s">
        <v>84</v>
      </c>
      <c r="D2926" s="80" t="s">
        <v>84</v>
      </c>
      <c r="E2926" s="80" t="s">
        <v>84</v>
      </c>
      <c r="G2926" s="80" t="s">
        <v>84</v>
      </c>
      <c r="H2926" s="80" t="s">
        <v>84</v>
      </c>
      <c r="I2926" s="80" t="s">
        <v>84</v>
      </c>
      <c r="J2926" s="80" t="s">
        <v>84</v>
      </c>
      <c r="K2926" s="80" t="s">
        <v>84</v>
      </c>
      <c r="L2926" s="80" t="s">
        <v>84</v>
      </c>
      <c r="M2926" s="80" t="s">
        <v>84</v>
      </c>
      <c r="N2926" s="80" t="s">
        <v>84</v>
      </c>
      <c r="O2926" s="80" t="s">
        <v>84</v>
      </c>
      <c r="Q2926" s="80" t="s">
        <v>84</v>
      </c>
      <c r="R2926" s="80" t="s">
        <v>84</v>
      </c>
    </row>
    <row r="2927" spans="1:18" ht="20" x14ac:dyDescent="0.2">
      <c r="A2927" s="80" t="s">
        <v>3692</v>
      </c>
      <c r="B2927" s="80" t="s">
        <v>3724</v>
      </c>
      <c r="C2927" s="80" t="s">
        <v>84</v>
      </c>
      <c r="D2927" s="80" t="s">
        <v>84</v>
      </c>
      <c r="E2927" s="80" t="s">
        <v>84</v>
      </c>
      <c r="G2927" s="80" t="s">
        <v>84</v>
      </c>
      <c r="H2927" s="80" t="s">
        <v>84</v>
      </c>
      <c r="I2927" s="80" t="s">
        <v>84</v>
      </c>
      <c r="J2927" s="80" t="s">
        <v>84</v>
      </c>
      <c r="K2927" s="80" t="s">
        <v>84</v>
      </c>
      <c r="L2927" s="80" t="s">
        <v>84</v>
      </c>
      <c r="M2927" s="80" t="s">
        <v>84</v>
      </c>
      <c r="N2927" s="80" t="s">
        <v>84</v>
      </c>
      <c r="O2927" s="80" t="s">
        <v>84</v>
      </c>
      <c r="Q2927" s="80" t="s">
        <v>84</v>
      </c>
      <c r="R2927" s="80" t="s">
        <v>84</v>
      </c>
    </row>
    <row r="2928" spans="1:18" ht="20" x14ac:dyDescent="0.2">
      <c r="A2928" s="80" t="s">
        <v>3695</v>
      </c>
      <c r="B2928" s="80" t="s">
        <v>3696</v>
      </c>
      <c r="C2928" s="80" t="s">
        <v>84</v>
      </c>
      <c r="D2928" s="80" t="s">
        <v>84</v>
      </c>
      <c r="E2928" s="80" t="s">
        <v>84</v>
      </c>
      <c r="G2928" s="80" t="s">
        <v>84</v>
      </c>
      <c r="H2928" s="80" t="s">
        <v>84</v>
      </c>
      <c r="I2928" s="80" t="s">
        <v>84</v>
      </c>
      <c r="J2928" s="80" t="s">
        <v>84</v>
      </c>
      <c r="K2928" s="80" t="s">
        <v>84</v>
      </c>
      <c r="L2928" s="80" t="s">
        <v>84</v>
      </c>
      <c r="M2928" s="80" t="s">
        <v>84</v>
      </c>
      <c r="N2928" s="80" t="s">
        <v>84</v>
      </c>
      <c r="O2928" s="80" t="s">
        <v>84</v>
      </c>
      <c r="Q2928" s="80" t="s">
        <v>84</v>
      </c>
      <c r="R2928" s="80" t="s">
        <v>84</v>
      </c>
    </row>
    <row r="2929" spans="1:18" ht="20" x14ac:dyDescent="0.2">
      <c r="A2929" s="80" t="s">
        <v>3695</v>
      </c>
      <c r="B2929" s="80" t="s">
        <v>3725</v>
      </c>
      <c r="C2929" s="80" t="s">
        <v>84</v>
      </c>
      <c r="D2929" s="80" t="s">
        <v>84</v>
      </c>
      <c r="E2929" s="80" t="s">
        <v>84</v>
      </c>
      <c r="G2929" s="80" t="s">
        <v>84</v>
      </c>
      <c r="H2929" s="80" t="s">
        <v>84</v>
      </c>
      <c r="I2929" s="80" t="s">
        <v>84</v>
      </c>
      <c r="J2929" s="80" t="s">
        <v>84</v>
      </c>
      <c r="K2929" s="80" t="s">
        <v>84</v>
      </c>
      <c r="L2929" s="80" t="s">
        <v>84</v>
      </c>
      <c r="M2929" s="80" t="s">
        <v>84</v>
      </c>
      <c r="N2929" s="80" t="s">
        <v>84</v>
      </c>
      <c r="O2929" s="80" t="s">
        <v>84</v>
      </c>
      <c r="Q2929" s="80" t="s">
        <v>84</v>
      </c>
      <c r="R2929" s="80" t="s">
        <v>84</v>
      </c>
    </row>
    <row r="2930" spans="1:18" ht="20" x14ac:dyDescent="0.2">
      <c r="A2930" s="80" t="s">
        <v>3726</v>
      </c>
      <c r="B2930" s="80" t="s">
        <v>3727</v>
      </c>
      <c r="C2930" s="80" t="s">
        <v>84</v>
      </c>
      <c r="D2930" s="80" t="s">
        <v>84</v>
      </c>
      <c r="E2930" s="80" t="s">
        <v>84</v>
      </c>
      <c r="G2930" s="80" t="s">
        <v>84</v>
      </c>
      <c r="H2930" s="80" t="s">
        <v>84</v>
      </c>
      <c r="I2930" s="80" t="s">
        <v>84</v>
      </c>
      <c r="J2930" s="80" t="s">
        <v>84</v>
      </c>
      <c r="K2930" s="80" t="s">
        <v>84</v>
      </c>
      <c r="L2930" s="80" t="s">
        <v>84</v>
      </c>
      <c r="M2930" s="80" t="s">
        <v>84</v>
      </c>
      <c r="N2930" s="80" t="s">
        <v>84</v>
      </c>
      <c r="O2930" s="80" t="s">
        <v>84</v>
      </c>
      <c r="Q2930" s="80" t="s">
        <v>84</v>
      </c>
      <c r="R2930" s="80" t="s">
        <v>84</v>
      </c>
    </row>
    <row r="2931" spans="1:18" ht="20" x14ac:dyDescent="0.2">
      <c r="A2931" s="80" t="s">
        <v>3728</v>
      </c>
      <c r="B2931" s="80" t="s">
        <v>3729</v>
      </c>
      <c r="C2931" s="80" t="s">
        <v>84</v>
      </c>
      <c r="D2931" s="80" t="s">
        <v>84</v>
      </c>
      <c r="E2931" s="80" t="s">
        <v>84</v>
      </c>
      <c r="G2931" s="80" t="s">
        <v>84</v>
      </c>
      <c r="H2931" s="80" t="s">
        <v>84</v>
      </c>
      <c r="I2931" s="80" t="s">
        <v>84</v>
      </c>
      <c r="J2931" s="80" t="s">
        <v>84</v>
      </c>
      <c r="K2931" s="80" t="s">
        <v>84</v>
      </c>
      <c r="L2931" s="80" t="s">
        <v>84</v>
      </c>
      <c r="M2931" s="80" t="s">
        <v>84</v>
      </c>
      <c r="N2931" s="80" t="s">
        <v>84</v>
      </c>
      <c r="O2931" s="80" t="s">
        <v>84</v>
      </c>
      <c r="Q2931" s="80" t="s">
        <v>84</v>
      </c>
      <c r="R2931" s="80" t="s">
        <v>84</v>
      </c>
    </row>
    <row r="2932" spans="1:18" ht="20" x14ac:dyDescent="0.2">
      <c r="A2932" s="80" t="s">
        <v>3730</v>
      </c>
      <c r="B2932" s="80" t="s">
        <v>3731</v>
      </c>
      <c r="C2932" s="80" t="s">
        <v>84</v>
      </c>
      <c r="D2932" s="80" t="s">
        <v>84</v>
      </c>
      <c r="E2932" s="80" t="s">
        <v>84</v>
      </c>
      <c r="G2932" s="80" t="s">
        <v>84</v>
      </c>
      <c r="H2932" s="80" t="s">
        <v>84</v>
      </c>
      <c r="I2932" s="80" t="s">
        <v>84</v>
      </c>
      <c r="J2932" s="80" t="s">
        <v>84</v>
      </c>
      <c r="K2932" s="80" t="s">
        <v>84</v>
      </c>
      <c r="L2932" s="80" t="s">
        <v>84</v>
      </c>
      <c r="M2932" s="80" t="s">
        <v>84</v>
      </c>
      <c r="N2932" s="80" t="s">
        <v>84</v>
      </c>
      <c r="O2932" s="80" t="s">
        <v>84</v>
      </c>
      <c r="Q2932" s="80" t="s">
        <v>84</v>
      </c>
      <c r="R2932" s="80" t="s">
        <v>84</v>
      </c>
    </row>
    <row r="2933" spans="1:18" ht="20" x14ac:dyDescent="0.2">
      <c r="A2933" s="80" t="s">
        <v>5016</v>
      </c>
      <c r="B2933" s="80" t="s">
        <v>5017</v>
      </c>
      <c r="C2933" s="80" t="s">
        <v>9680</v>
      </c>
      <c r="D2933" s="80" t="s">
        <v>84</v>
      </c>
      <c r="E2933" s="80" t="s">
        <v>84</v>
      </c>
      <c r="G2933" s="80" t="s">
        <v>84</v>
      </c>
      <c r="H2933" s="80" t="s">
        <v>84</v>
      </c>
      <c r="I2933" s="80" t="s">
        <v>84</v>
      </c>
      <c r="J2933" s="80" t="s">
        <v>84</v>
      </c>
      <c r="K2933" s="80" t="s">
        <v>84</v>
      </c>
      <c r="L2933" s="80" t="s">
        <v>84</v>
      </c>
      <c r="M2933" s="80" t="s">
        <v>84</v>
      </c>
      <c r="N2933" s="80" t="s">
        <v>84</v>
      </c>
      <c r="O2933" s="80" t="s">
        <v>84</v>
      </c>
      <c r="Q2933" s="80" t="s">
        <v>84</v>
      </c>
      <c r="R2933" s="80" t="s">
        <v>84</v>
      </c>
    </row>
    <row r="2934" spans="1:18" ht="20" x14ac:dyDescent="0.2">
      <c r="A2934" s="80" t="s">
        <v>5020</v>
      </c>
      <c r="B2934" s="80" t="s">
        <v>5021</v>
      </c>
      <c r="C2934" s="80" t="s">
        <v>9680</v>
      </c>
      <c r="D2934" s="80" t="s">
        <v>84</v>
      </c>
      <c r="E2934" s="80" t="s">
        <v>84</v>
      </c>
      <c r="G2934" s="80" t="s">
        <v>84</v>
      </c>
      <c r="H2934" s="80" t="s">
        <v>84</v>
      </c>
      <c r="I2934" s="80" t="s">
        <v>84</v>
      </c>
      <c r="J2934" s="80" t="s">
        <v>84</v>
      </c>
      <c r="K2934" s="80" t="s">
        <v>84</v>
      </c>
      <c r="L2934" s="80" t="s">
        <v>84</v>
      </c>
      <c r="M2934" s="80" t="s">
        <v>84</v>
      </c>
      <c r="N2934" s="80" t="s">
        <v>84</v>
      </c>
      <c r="O2934" s="80" t="s">
        <v>84</v>
      </c>
      <c r="Q2934" s="80" t="s">
        <v>84</v>
      </c>
      <c r="R2934" s="80" t="s">
        <v>84</v>
      </c>
    </row>
    <row r="2935" spans="1:18" ht="20" x14ac:dyDescent="0.2">
      <c r="A2935" s="80" t="s">
        <v>5024</v>
      </c>
      <c r="B2935" s="80" t="s">
        <v>5025</v>
      </c>
      <c r="C2935" s="80" t="s">
        <v>84</v>
      </c>
      <c r="D2935" s="80" t="s">
        <v>84</v>
      </c>
      <c r="E2935" s="80" t="s">
        <v>84</v>
      </c>
      <c r="G2935" s="80" t="s">
        <v>84</v>
      </c>
      <c r="H2935" s="80" t="s">
        <v>84</v>
      </c>
      <c r="I2935" s="80" t="s">
        <v>84</v>
      </c>
      <c r="J2935" s="80" t="s">
        <v>84</v>
      </c>
      <c r="K2935" s="80" t="s">
        <v>84</v>
      </c>
      <c r="L2935" s="80" t="s">
        <v>84</v>
      </c>
      <c r="M2935" s="80" t="s">
        <v>84</v>
      </c>
      <c r="N2935" s="80" t="s">
        <v>84</v>
      </c>
      <c r="O2935" s="80" t="s">
        <v>84</v>
      </c>
      <c r="Q2935" s="80" t="s">
        <v>84</v>
      </c>
      <c r="R2935" s="80" t="s">
        <v>84</v>
      </c>
    </row>
    <row r="2936" spans="1:18" ht="20" x14ac:dyDescent="0.2">
      <c r="A2936" s="80" t="s">
        <v>4796</v>
      </c>
      <c r="B2936" s="80" t="s">
        <v>4797</v>
      </c>
      <c r="C2936" s="80" t="s">
        <v>9680</v>
      </c>
      <c r="D2936" s="80" t="s">
        <v>84</v>
      </c>
      <c r="E2936" s="80" t="s">
        <v>84</v>
      </c>
      <c r="G2936" s="80" t="s">
        <v>84</v>
      </c>
      <c r="H2936" s="80" t="s">
        <v>84</v>
      </c>
      <c r="I2936" s="80" t="s">
        <v>84</v>
      </c>
      <c r="J2936" s="80" t="s">
        <v>84</v>
      </c>
      <c r="K2936" s="80" t="s">
        <v>84</v>
      </c>
      <c r="L2936" s="80" t="s">
        <v>84</v>
      </c>
      <c r="M2936" s="80" t="s">
        <v>84</v>
      </c>
      <c r="N2936" s="80" t="s">
        <v>84</v>
      </c>
      <c r="O2936" s="80" t="s">
        <v>84</v>
      </c>
      <c r="Q2936" s="80" t="s">
        <v>84</v>
      </c>
      <c r="R2936" s="80" t="s">
        <v>84</v>
      </c>
    </row>
    <row r="2937" spans="1:18" ht="20" x14ac:dyDescent="0.2">
      <c r="A2937" s="80" t="s">
        <v>4796</v>
      </c>
      <c r="B2937" s="80" t="s">
        <v>5028</v>
      </c>
      <c r="C2937" s="80" t="s">
        <v>9680</v>
      </c>
      <c r="D2937" s="80" t="s">
        <v>84</v>
      </c>
      <c r="E2937" s="80" t="s">
        <v>84</v>
      </c>
      <c r="G2937" s="80" t="s">
        <v>84</v>
      </c>
      <c r="H2937" s="80" t="s">
        <v>84</v>
      </c>
      <c r="I2937" s="80" t="s">
        <v>84</v>
      </c>
      <c r="J2937" s="80" t="s">
        <v>84</v>
      </c>
      <c r="K2937" s="80" t="s">
        <v>84</v>
      </c>
      <c r="L2937" s="80" t="s">
        <v>84</v>
      </c>
      <c r="M2937" s="80" t="s">
        <v>84</v>
      </c>
      <c r="N2937" s="80" t="s">
        <v>84</v>
      </c>
      <c r="O2937" s="80" t="s">
        <v>84</v>
      </c>
      <c r="Q2937" s="80" t="s">
        <v>84</v>
      </c>
      <c r="R2937" s="80" t="s">
        <v>84</v>
      </c>
    </row>
    <row r="2938" spans="1:18" ht="20" x14ac:dyDescent="0.2">
      <c r="A2938" s="80" t="s">
        <v>5033</v>
      </c>
      <c r="B2938" s="80" t="s">
        <v>5034</v>
      </c>
      <c r="C2938" s="80" t="s">
        <v>9680</v>
      </c>
      <c r="D2938" s="80" t="s">
        <v>84</v>
      </c>
      <c r="E2938" s="80" t="s">
        <v>84</v>
      </c>
      <c r="G2938" s="80" t="s">
        <v>84</v>
      </c>
      <c r="H2938" s="80" t="s">
        <v>84</v>
      </c>
      <c r="I2938" s="80" t="s">
        <v>84</v>
      </c>
      <c r="J2938" s="80" t="s">
        <v>84</v>
      </c>
      <c r="K2938" s="80" t="s">
        <v>84</v>
      </c>
      <c r="L2938" s="80" t="s">
        <v>84</v>
      </c>
      <c r="M2938" s="80" t="s">
        <v>84</v>
      </c>
      <c r="N2938" s="80" t="s">
        <v>84</v>
      </c>
      <c r="O2938" s="80" t="s">
        <v>84</v>
      </c>
      <c r="Q2938" s="80" t="s">
        <v>84</v>
      </c>
      <c r="R2938" s="80" t="s">
        <v>84</v>
      </c>
    </row>
    <row r="2939" spans="1:18" ht="20" x14ac:dyDescent="0.2">
      <c r="A2939" s="80" t="s">
        <v>342</v>
      </c>
      <c r="B2939" s="80" t="s">
        <v>343</v>
      </c>
      <c r="C2939" s="80" t="s">
        <v>9680</v>
      </c>
      <c r="D2939" s="80" t="s">
        <v>84</v>
      </c>
      <c r="E2939" s="80" t="s">
        <v>84</v>
      </c>
      <c r="G2939" s="80" t="s">
        <v>84</v>
      </c>
      <c r="H2939" s="80" t="s">
        <v>84</v>
      </c>
      <c r="I2939" s="80" t="s">
        <v>84</v>
      </c>
      <c r="J2939" s="80" t="s">
        <v>84</v>
      </c>
      <c r="K2939" s="80" t="s">
        <v>84</v>
      </c>
      <c r="L2939" s="80" t="s">
        <v>84</v>
      </c>
      <c r="M2939" s="80" t="s">
        <v>84</v>
      </c>
      <c r="N2939" s="80" t="s">
        <v>84</v>
      </c>
      <c r="O2939" s="80" t="s">
        <v>84</v>
      </c>
      <c r="Q2939" s="80" t="s">
        <v>84</v>
      </c>
      <c r="R2939" s="80" t="s">
        <v>84</v>
      </c>
    </row>
    <row r="2940" spans="1:18" ht="20" x14ac:dyDescent="0.2">
      <c r="A2940" s="80" t="s">
        <v>346</v>
      </c>
      <c r="B2940" s="80" t="s">
        <v>347</v>
      </c>
      <c r="C2940" s="80" t="s">
        <v>9680</v>
      </c>
      <c r="D2940" s="80" t="s">
        <v>84</v>
      </c>
      <c r="E2940" s="80" t="s">
        <v>84</v>
      </c>
      <c r="G2940" s="80" t="s">
        <v>84</v>
      </c>
      <c r="H2940" s="80" t="s">
        <v>84</v>
      </c>
      <c r="I2940" s="80" t="s">
        <v>84</v>
      </c>
      <c r="J2940" s="80" t="s">
        <v>84</v>
      </c>
      <c r="K2940" s="80" t="s">
        <v>84</v>
      </c>
      <c r="L2940" s="80" t="s">
        <v>84</v>
      </c>
      <c r="M2940" s="80" t="s">
        <v>84</v>
      </c>
      <c r="N2940" s="80" t="s">
        <v>84</v>
      </c>
      <c r="O2940" s="80" t="s">
        <v>84</v>
      </c>
      <c r="Q2940" s="80" t="s">
        <v>84</v>
      </c>
      <c r="R2940" s="80" t="s">
        <v>84</v>
      </c>
    </row>
    <row r="2941" spans="1:18" ht="20" x14ac:dyDescent="0.2">
      <c r="A2941" s="80" t="s">
        <v>350</v>
      </c>
      <c r="B2941" s="80" t="s">
        <v>351</v>
      </c>
      <c r="C2941" s="80" t="s">
        <v>9680</v>
      </c>
      <c r="D2941" s="80" t="s">
        <v>84</v>
      </c>
      <c r="E2941" s="80" t="s">
        <v>84</v>
      </c>
      <c r="G2941" s="80" t="s">
        <v>84</v>
      </c>
      <c r="H2941" s="80" t="s">
        <v>84</v>
      </c>
      <c r="I2941" s="80" t="s">
        <v>84</v>
      </c>
      <c r="J2941" s="80" t="s">
        <v>84</v>
      </c>
      <c r="K2941" s="80" t="s">
        <v>84</v>
      </c>
      <c r="L2941" s="80" t="s">
        <v>84</v>
      </c>
      <c r="M2941" s="80" t="s">
        <v>84</v>
      </c>
      <c r="N2941" s="80" t="s">
        <v>84</v>
      </c>
      <c r="O2941" s="80" t="s">
        <v>84</v>
      </c>
      <c r="Q2941" s="80" t="s">
        <v>84</v>
      </c>
      <c r="R2941" s="80" t="s">
        <v>84</v>
      </c>
    </row>
    <row r="2942" spans="1:18" ht="20" x14ac:dyDescent="0.2">
      <c r="A2942" s="80" t="s">
        <v>354</v>
      </c>
      <c r="B2942" s="80" t="s">
        <v>355</v>
      </c>
      <c r="C2942" s="80" t="s">
        <v>9680</v>
      </c>
      <c r="D2942" s="80" t="s">
        <v>84</v>
      </c>
      <c r="E2942" s="80" t="s">
        <v>84</v>
      </c>
      <c r="G2942" s="80" t="s">
        <v>84</v>
      </c>
      <c r="H2942" s="80" t="s">
        <v>84</v>
      </c>
      <c r="I2942" s="80" t="s">
        <v>84</v>
      </c>
      <c r="J2942" s="80" t="s">
        <v>84</v>
      </c>
      <c r="K2942" s="80" t="s">
        <v>84</v>
      </c>
      <c r="L2942" s="80" t="s">
        <v>84</v>
      </c>
      <c r="M2942" s="80" t="s">
        <v>84</v>
      </c>
      <c r="N2942" s="80" t="s">
        <v>84</v>
      </c>
      <c r="O2942" s="80" t="s">
        <v>84</v>
      </c>
      <c r="Q2942" s="80" t="s">
        <v>84</v>
      </c>
      <c r="R2942" s="80" t="s">
        <v>84</v>
      </c>
    </row>
    <row r="2943" spans="1:18" ht="20" x14ac:dyDescent="0.2">
      <c r="A2943" s="80" t="s">
        <v>358</v>
      </c>
      <c r="B2943" s="80" t="s">
        <v>359</v>
      </c>
      <c r="C2943" s="80" t="s">
        <v>84</v>
      </c>
      <c r="D2943" s="80" t="s">
        <v>84</v>
      </c>
      <c r="E2943" s="80" t="s">
        <v>84</v>
      </c>
      <c r="G2943" s="80" t="s">
        <v>84</v>
      </c>
      <c r="H2943" s="80" t="s">
        <v>84</v>
      </c>
      <c r="I2943" s="80" t="s">
        <v>84</v>
      </c>
      <c r="J2943" s="80" t="s">
        <v>84</v>
      </c>
      <c r="K2943" s="80" t="s">
        <v>84</v>
      </c>
      <c r="L2943" s="80" t="s">
        <v>84</v>
      </c>
      <c r="M2943" s="80" t="s">
        <v>84</v>
      </c>
      <c r="N2943" s="80" t="s">
        <v>84</v>
      </c>
      <c r="O2943" s="80" t="s">
        <v>84</v>
      </c>
      <c r="Q2943" s="80" t="s">
        <v>84</v>
      </c>
      <c r="R2943" s="80" t="s">
        <v>84</v>
      </c>
    </row>
    <row r="2944" spans="1:18" ht="20" x14ac:dyDescent="0.2">
      <c r="A2944" s="80" t="s">
        <v>362</v>
      </c>
      <c r="B2944" s="80" t="s">
        <v>363</v>
      </c>
      <c r="C2944" s="80" t="s">
        <v>84</v>
      </c>
      <c r="D2944" s="80" t="s">
        <v>84</v>
      </c>
      <c r="E2944" s="80" t="s">
        <v>84</v>
      </c>
      <c r="G2944" s="80" t="s">
        <v>84</v>
      </c>
      <c r="H2944" s="80" t="s">
        <v>84</v>
      </c>
      <c r="I2944" s="80" t="s">
        <v>84</v>
      </c>
      <c r="J2944" s="80" t="s">
        <v>84</v>
      </c>
      <c r="K2944" s="80" t="s">
        <v>84</v>
      </c>
      <c r="L2944" s="80" t="s">
        <v>84</v>
      </c>
      <c r="M2944" s="80" t="s">
        <v>84</v>
      </c>
      <c r="N2944" s="80" t="s">
        <v>84</v>
      </c>
      <c r="O2944" s="80" t="s">
        <v>84</v>
      </c>
      <c r="Q2944" s="80" t="s">
        <v>84</v>
      </c>
      <c r="R2944" s="80" t="s">
        <v>84</v>
      </c>
    </row>
    <row r="2945" spans="1:18" ht="20" x14ac:dyDescent="0.2">
      <c r="A2945" s="80" t="s">
        <v>364</v>
      </c>
      <c r="B2945" s="80" t="s">
        <v>365</v>
      </c>
      <c r="C2945" s="80" t="s">
        <v>84</v>
      </c>
      <c r="D2945" s="80" t="s">
        <v>84</v>
      </c>
      <c r="E2945" s="80" t="s">
        <v>84</v>
      </c>
      <c r="G2945" s="80" t="s">
        <v>84</v>
      </c>
      <c r="H2945" s="80" t="s">
        <v>84</v>
      </c>
      <c r="I2945" s="80" t="s">
        <v>84</v>
      </c>
      <c r="J2945" s="80" t="s">
        <v>84</v>
      </c>
      <c r="K2945" s="80" t="s">
        <v>84</v>
      </c>
      <c r="L2945" s="80" t="s">
        <v>84</v>
      </c>
      <c r="M2945" s="80" t="s">
        <v>84</v>
      </c>
      <c r="N2945" s="80" t="s">
        <v>84</v>
      </c>
      <c r="O2945" s="80" t="s">
        <v>84</v>
      </c>
      <c r="Q2945" s="80" t="s">
        <v>84</v>
      </c>
      <c r="R2945" s="80" t="s">
        <v>84</v>
      </c>
    </row>
    <row r="2946" spans="1:18" ht="20" x14ac:dyDescent="0.2">
      <c r="A2946" s="80" t="s">
        <v>366</v>
      </c>
      <c r="B2946" s="80" t="s">
        <v>367</v>
      </c>
      <c r="C2946" s="80" t="s">
        <v>84</v>
      </c>
      <c r="D2946" s="80" t="s">
        <v>84</v>
      </c>
      <c r="E2946" s="80" t="s">
        <v>84</v>
      </c>
      <c r="G2946" s="80" t="s">
        <v>84</v>
      </c>
      <c r="H2946" s="80" t="s">
        <v>84</v>
      </c>
      <c r="I2946" s="80" t="s">
        <v>84</v>
      </c>
      <c r="J2946" s="80" t="s">
        <v>84</v>
      </c>
      <c r="K2946" s="80" t="s">
        <v>84</v>
      </c>
      <c r="L2946" s="80" t="s">
        <v>84</v>
      </c>
      <c r="M2946" s="80" t="s">
        <v>84</v>
      </c>
      <c r="N2946" s="80" t="s">
        <v>84</v>
      </c>
      <c r="O2946" s="80" t="s">
        <v>84</v>
      </c>
      <c r="Q2946" s="80" t="s">
        <v>84</v>
      </c>
      <c r="R2946" s="80" t="s">
        <v>84</v>
      </c>
    </row>
    <row r="2947" spans="1:18" ht="20" x14ac:dyDescent="0.2">
      <c r="A2947" s="80" t="s">
        <v>368</v>
      </c>
      <c r="B2947" s="80" t="s">
        <v>369</v>
      </c>
      <c r="C2947" s="80" t="s">
        <v>84</v>
      </c>
      <c r="D2947" s="80" t="s">
        <v>84</v>
      </c>
      <c r="E2947" s="80" t="s">
        <v>84</v>
      </c>
      <c r="G2947" s="80" t="s">
        <v>84</v>
      </c>
      <c r="H2947" s="80" t="s">
        <v>84</v>
      </c>
      <c r="I2947" s="80" t="s">
        <v>84</v>
      </c>
      <c r="J2947" s="80" t="s">
        <v>84</v>
      </c>
      <c r="K2947" s="80" t="s">
        <v>84</v>
      </c>
      <c r="L2947" s="80" t="s">
        <v>84</v>
      </c>
      <c r="M2947" s="80" t="s">
        <v>84</v>
      </c>
      <c r="N2947" s="80" t="s">
        <v>84</v>
      </c>
      <c r="O2947" s="80" t="s">
        <v>84</v>
      </c>
      <c r="Q2947" s="80" t="s">
        <v>84</v>
      </c>
      <c r="R2947" s="80" t="s">
        <v>84</v>
      </c>
    </row>
    <row r="2948" spans="1:18" ht="20" x14ac:dyDescent="0.2">
      <c r="A2948" s="80" t="s">
        <v>372</v>
      </c>
      <c r="B2948" s="80" t="s">
        <v>373</v>
      </c>
      <c r="C2948" s="80" t="s">
        <v>84</v>
      </c>
      <c r="D2948" s="80" t="s">
        <v>84</v>
      </c>
      <c r="E2948" s="80" t="s">
        <v>84</v>
      </c>
      <c r="G2948" s="80" t="s">
        <v>84</v>
      </c>
      <c r="H2948" s="80" t="s">
        <v>84</v>
      </c>
      <c r="I2948" s="80" t="s">
        <v>84</v>
      </c>
      <c r="J2948" s="80" t="s">
        <v>84</v>
      </c>
      <c r="K2948" s="80" t="s">
        <v>84</v>
      </c>
      <c r="L2948" s="80" t="s">
        <v>84</v>
      </c>
      <c r="M2948" s="80" t="s">
        <v>84</v>
      </c>
      <c r="N2948" s="80" t="s">
        <v>84</v>
      </c>
      <c r="O2948" s="80" t="s">
        <v>84</v>
      </c>
      <c r="Q2948" s="80" t="s">
        <v>84</v>
      </c>
      <c r="R2948" s="80" t="s">
        <v>84</v>
      </c>
    </row>
    <row r="2949" spans="1:18" ht="20" x14ac:dyDescent="0.2">
      <c r="A2949" s="80" t="s">
        <v>5057</v>
      </c>
      <c r="B2949" s="80" t="s">
        <v>5058</v>
      </c>
      <c r="C2949" s="80" t="s">
        <v>84</v>
      </c>
      <c r="D2949" s="80" t="s">
        <v>84</v>
      </c>
      <c r="E2949" s="80" t="s">
        <v>84</v>
      </c>
      <c r="G2949" s="80" t="s">
        <v>84</v>
      </c>
      <c r="H2949" s="80" t="s">
        <v>84</v>
      </c>
      <c r="I2949" s="80" t="s">
        <v>84</v>
      </c>
      <c r="J2949" s="80" t="s">
        <v>84</v>
      </c>
      <c r="K2949" s="80" t="s">
        <v>84</v>
      </c>
      <c r="L2949" s="80" t="s">
        <v>84</v>
      </c>
      <c r="M2949" s="80" t="s">
        <v>84</v>
      </c>
      <c r="N2949" s="80" t="s">
        <v>84</v>
      </c>
      <c r="O2949" s="80" t="s">
        <v>84</v>
      </c>
      <c r="Q2949" s="80" t="s">
        <v>84</v>
      </c>
      <c r="R2949" s="80" t="s">
        <v>84</v>
      </c>
    </row>
    <row r="2950" spans="1:18" ht="20" x14ac:dyDescent="0.2">
      <c r="A2950" s="80" t="s">
        <v>378</v>
      </c>
      <c r="B2950" s="80" t="s">
        <v>379</v>
      </c>
      <c r="C2950" s="80" t="s">
        <v>9680</v>
      </c>
      <c r="D2950" s="80" t="s">
        <v>84</v>
      </c>
      <c r="E2950" s="80" t="s">
        <v>84</v>
      </c>
      <c r="G2950" s="80" t="s">
        <v>84</v>
      </c>
      <c r="H2950" s="80" t="s">
        <v>84</v>
      </c>
      <c r="I2950" s="80" t="s">
        <v>84</v>
      </c>
      <c r="J2950" s="80" t="s">
        <v>84</v>
      </c>
      <c r="K2950" s="80" t="s">
        <v>84</v>
      </c>
      <c r="L2950" s="80" t="s">
        <v>84</v>
      </c>
      <c r="M2950" s="80" t="s">
        <v>84</v>
      </c>
      <c r="N2950" s="80" t="s">
        <v>84</v>
      </c>
      <c r="O2950" s="80" t="s">
        <v>84</v>
      </c>
      <c r="Q2950" s="80" t="s">
        <v>84</v>
      </c>
      <c r="R2950" s="80" t="s">
        <v>84</v>
      </c>
    </row>
    <row r="2951" spans="1:18" ht="20" x14ac:dyDescent="0.2">
      <c r="A2951" s="80" t="s">
        <v>381</v>
      </c>
      <c r="B2951" s="80" t="s">
        <v>382</v>
      </c>
      <c r="C2951" s="80" t="s">
        <v>9680</v>
      </c>
      <c r="D2951" s="80" t="s">
        <v>84</v>
      </c>
      <c r="E2951" s="80" t="s">
        <v>84</v>
      </c>
      <c r="G2951" s="80" t="s">
        <v>84</v>
      </c>
      <c r="H2951" s="80" t="s">
        <v>84</v>
      </c>
      <c r="I2951" s="80" t="s">
        <v>84</v>
      </c>
      <c r="J2951" s="80" t="s">
        <v>84</v>
      </c>
      <c r="K2951" s="80" t="s">
        <v>84</v>
      </c>
      <c r="L2951" s="80" t="s">
        <v>84</v>
      </c>
      <c r="M2951" s="80" t="s">
        <v>84</v>
      </c>
      <c r="N2951" s="80" t="s">
        <v>84</v>
      </c>
      <c r="O2951" s="80" t="s">
        <v>84</v>
      </c>
      <c r="Q2951" s="80" t="s">
        <v>84</v>
      </c>
      <c r="R2951" s="80" t="s">
        <v>84</v>
      </c>
    </row>
    <row r="2952" spans="1:18" ht="20" x14ac:dyDescent="0.2">
      <c r="A2952" s="80" t="s">
        <v>383</v>
      </c>
      <c r="B2952" s="80" t="s">
        <v>384</v>
      </c>
      <c r="C2952" s="80" t="s">
        <v>84</v>
      </c>
      <c r="D2952" s="80" t="s">
        <v>84</v>
      </c>
      <c r="E2952" s="80" t="s">
        <v>84</v>
      </c>
      <c r="G2952" s="80" t="s">
        <v>84</v>
      </c>
      <c r="H2952" s="80" t="s">
        <v>84</v>
      </c>
      <c r="I2952" s="80" t="s">
        <v>84</v>
      </c>
      <c r="J2952" s="80" t="s">
        <v>84</v>
      </c>
      <c r="K2952" s="80" t="s">
        <v>84</v>
      </c>
      <c r="L2952" s="80" t="s">
        <v>84</v>
      </c>
      <c r="M2952" s="80" t="s">
        <v>84</v>
      </c>
      <c r="N2952" s="80" t="s">
        <v>84</v>
      </c>
      <c r="O2952" s="80" t="s">
        <v>84</v>
      </c>
      <c r="Q2952" s="80" t="s">
        <v>84</v>
      </c>
      <c r="R2952" s="80" t="s">
        <v>84</v>
      </c>
    </row>
    <row r="2953" spans="1:18" ht="20" x14ac:dyDescent="0.2">
      <c r="A2953" s="80" t="s">
        <v>385</v>
      </c>
      <c r="B2953" s="80" t="s">
        <v>386</v>
      </c>
      <c r="C2953" s="80" t="s">
        <v>9680</v>
      </c>
      <c r="D2953" s="80" t="s">
        <v>84</v>
      </c>
      <c r="E2953" s="80" t="s">
        <v>84</v>
      </c>
      <c r="G2953" s="80" t="s">
        <v>84</v>
      </c>
      <c r="H2953" s="80" t="s">
        <v>84</v>
      </c>
      <c r="I2953" s="80" t="s">
        <v>84</v>
      </c>
      <c r="J2953" s="80" t="s">
        <v>84</v>
      </c>
      <c r="K2953" s="80" t="s">
        <v>84</v>
      </c>
      <c r="L2953" s="80" t="s">
        <v>84</v>
      </c>
      <c r="M2953" s="80" t="s">
        <v>84</v>
      </c>
      <c r="N2953" s="80" t="s">
        <v>84</v>
      </c>
      <c r="O2953" s="80" t="s">
        <v>84</v>
      </c>
      <c r="Q2953" s="80" t="s">
        <v>84</v>
      </c>
      <c r="R2953" s="80" t="s">
        <v>84</v>
      </c>
    </row>
    <row r="2954" spans="1:18" ht="20" x14ac:dyDescent="0.2">
      <c r="A2954" s="80" t="s">
        <v>5071</v>
      </c>
      <c r="B2954" s="80" t="s">
        <v>5072</v>
      </c>
      <c r="C2954" s="80" t="s">
        <v>9680</v>
      </c>
      <c r="D2954" s="80" t="s">
        <v>84</v>
      </c>
      <c r="E2954" s="80" t="s">
        <v>84</v>
      </c>
      <c r="G2954" s="80" t="s">
        <v>84</v>
      </c>
      <c r="H2954" s="80" t="s">
        <v>84</v>
      </c>
      <c r="I2954" s="80" t="s">
        <v>84</v>
      </c>
      <c r="J2954" s="80" t="s">
        <v>84</v>
      </c>
      <c r="K2954" s="80" t="s">
        <v>84</v>
      </c>
      <c r="L2954" s="80" t="s">
        <v>84</v>
      </c>
      <c r="M2954" s="80" t="s">
        <v>84</v>
      </c>
      <c r="N2954" s="80" t="s">
        <v>84</v>
      </c>
      <c r="O2954" s="80" t="s">
        <v>84</v>
      </c>
      <c r="Q2954" s="80" t="s">
        <v>84</v>
      </c>
      <c r="R2954" s="80" t="s">
        <v>84</v>
      </c>
    </row>
    <row r="2955" spans="1:18" ht="20" x14ac:dyDescent="0.2">
      <c r="A2955" s="80" t="s">
        <v>6008</v>
      </c>
      <c r="B2955" s="80" t="s">
        <v>6009</v>
      </c>
      <c r="C2955" s="80" t="s">
        <v>84</v>
      </c>
      <c r="D2955" s="80" t="s">
        <v>84</v>
      </c>
      <c r="E2955" s="80" t="s">
        <v>84</v>
      </c>
      <c r="G2955" s="80" t="s">
        <v>84</v>
      </c>
      <c r="H2955" s="80" t="s">
        <v>84</v>
      </c>
      <c r="I2955" s="80" t="s">
        <v>84</v>
      </c>
      <c r="J2955" s="80" t="s">
        <v>84</v>
      </c>
      <c r="K2955" s="80" t="s">
        <v>84</v>
      </c>
      <c r="L2955" s="80" t="s">
        <v>84</v>
      </c>
      <c r="M2955" s="80" t="s">
        <v>84</v>
      </c>
      <c r="N2955" s="80" t="s">
        <v>84</v>
      </c>
      <c r="O2955" s="80" t="s">
        <v>84</v>
      </c>
      <c r="Q2955" s="80" t="s">
        <v>84</v>
      </c>
      <c r="R2955" s="80" t="s">
        <v>84</v>
      </c>
    </row>
    <row r="2956" spans="1:18" ht="20" x14ac:dyDescent="0.2">
      <c r="A2956" s="80" t="s">
        <v>2772</v>
      </c>
      <c r="B2956" s="80" t="s">
        <v>2773</v>
      </c>
      <c r="C2956" s="80" t="s">
        <v>84</v>
      </c>
      <c r="D2956" s="80" t="s">
        <v>84</v>
      </c>
      <c r="E2956" s="80" t="s">
        <v>84</v>
      </c>
      <c r="G2956" s="80" t="s">
        <v>84</v>
      </c>
      <c r="H2956" s="80" t="s">
        <v>84</v>
      </c>
      <c r="I2956" s="80" t="s">
        <v>84</v>
      </c>
      <c r="J2956" s="80" t="s">
        <v>84</v>
      </c>
      <c r="K2956" s="80" t="s">
        <v>84</v>
      </c>
      <c r="L2956" s="80" t="s">
        <v>84</v>
      </c>
      <c r="M2956" s="80" t="s">
        <v>84</v>
      </c>
      <c r="N2956" s="80" t="s">
        <v>84</v>
      </c>
      <c r="O2956" s="80" t="s">
        <v>84</v>
      </c>
      <c r="Q2956" s="80" t="s">
        <v>84</v>
      </c>
      <c r="R2956" s="80" t="s">
        <v>84</v>
      </c>
    </row>
    <row r="2957" spans="1:18" ht="20" x14ac:dyDescent="0.2">
      <c r="A2957" s="80" t="s">
        <v>6010</v>
      </c>
      <c r="B2957" s="80" t="s">
        <v>6011</v>
      </c>
      <c r="C2957" s="80" t="s">
        <v>9680</v>
      </c>
      <c r="D2957" s="80" t="s">
        <v>84</v>
      </c>
      <c r="E2957" s="80" t="s">
        <v>84</v>
      </c>
      <c r="G2957" s="80" t="s">
        <v>84</v>
      </c>
      <c r="H2957" s="80" t="s">
        <v>84</v>
      </c>
      <c r="I2957" s="80" t="s">
        <v>84</v>
      </c>
      <c r="J2957" s="80" t="s">
        <v>84</v>
      </c>
      <c r="K2957" s="80" t="s">
        <v>84</v>
      </c>
      <c r="L2957" s="80" t="s">
        <v>84</v>
      </c>
      <c r="M2957" s="80" t="s">
        <v>84</v>
      </c>
      <c r="N2957" s="80" t="s">
        <v>84</v>
      </c>
      <c r="O2957" s="80" t="s">
        <v>84</v>
      </c>
      <c r="Q2957" s="80" t="s">
        <v>84</v>
      </c>
      <c r="R2957" s="80" t="s">
        <v>84</v>
      </c>
    </row>
    <row r="2958" spans="1:18" ht="20" x14ac:dyDescent="0.2">
      <c r="A2958" s="80" t="s">
        <v>6010</v>
      </c>
      <c r="B2958" s="80" t="s">
        <v>10774</v>
      </c>
      <c r="C2958" s="80" t="s">
        <v>9680</v>
      </c>
      <c r="D2958" s="80" t="s">
        <v>84</v>
      </c>
      <c r="E2958" s="80" t="s">
        <v>84</v>
      </c>
      <c r="G2958" s="80" t="s">
        <v>84</v>
      </c>
      <c r="H2958" s="80" t="s">
        <v>84</v>
      </c>
      <c r="I2958" s="80" t="s">
        <v>84</v>
      </c>
      <c r="J2958" s="80" t="s">
        <v>84</v>
      </c>
      <c r="K2958" s="80" t="s">
        <v>84</v>
      </c>
      <c r="L2958" s="80" t="s">
        <v>84</v>
      </c>
      <c r="M2958" s="80" t="s">
        <v>84</v>
      </c>
      <c r="N2958" s="80" t="s">
        <v>84</v>
      </c>
      <c r="O2958" s="80" t="s">
        <v>84</v>
      </c>
      <c r="Q2958" s="80" t="s">
        <v>84</v>
      </c>
      <c r="R2958" s="80" t="s">
        <v>84</v>
      </c>
    </row>
    <row r="2959" spans="1:18" ht="20" x14ac:dyDescent="0.2">
      <c r="A2959" s="80" t="s">
        <v>6017</v>
      </c>
      <c r="B2959" s="80" t="s">
        <v>6018</v>
      </c>
      <c r="C2959" s="80" t="s">
        <v>9680</v>
      </c>
      <c r="D2959" s="80" t="s">
        <v>84</v>
      </c>
      <c r="E2959" s="80" t="s">
        <v>84</v>
      </c>
      <c r="G2959" s="80" t="s">
        <v>84</v>
      </c>
      <c r="H2959" s="80" t="s">
        <v>84</v>
      </c>
      <c r="I2959" s="80" t="s">
        <v>84</v>
      </c>
      <c r="J2959" s="80" t="s">
        <v>84</v>
      </c>
      <c r="K2959" s="80" t="s">
        <v>84</v>
      </c>
      <c r="L2959" s="80" t="s">
        <v>84</v>
      </c>
      <c r="M2959" s="80" t="s">
        <v>84</v>
      </c>
      <c r="N2959" s="80" t="s">
        <v>84</v>
      </c>
      <c r="O2959" s="80" t="s">
        <v>84</v>
      </c>
      <c r="Q2959" s="80" t="s">
        <v>84</v>
      </c>
      <c r="R2959" s="80" t="s">
        <v>84</v>
      </c>
    </row>
    <row r="2960" spans="1:18" ht="20" x14ac:dyDescent="0.2">
      <c r="A2960" s="80" t="s">
        <v>6017</v>
      </c>
      <c r="B2960" s="80" t="s">
        <v>10775</v>
      </c>
      <c r="C2960" s="80" t="s">
        <v>9680</v>
      </c>
      <c r="D2960" s="80" t="s">
        <v>84</v>
      </c>
      <c r="E2960" s="80" t="s">
        <v>84</v>
      </c>
      <c r="G2960" s="80" t="s">
        <v>84</v>
      </c>
      <c r="H2960" s="80" t="s">
        <v>84</v>
      </c>
      <c r="I2960" s="80" t="s">
        <v>84</v>
      </c>
      <c r="J2960" s="80" t="s">
        <v>84</v>
      </c>
      <c r="K2960" s="80" t="s">
        <v>84</v>
      </c>
      <c r="L2960" s="80" t="s">
        <v>84</v>
      </c>
      <c r="M2960" s="80" t="s">
        <v>84</v>
      </c>
      <c r="N2960" s="80" t="s">
        <v>84</v>
      </c>
      <c r="O2960" s="80" t="s">
        <v>84</v>
      </c>
      <c r="Q2960" s="80" t="s">
        <v>84</v>
      </c>
      <c r="R2960" s="80" t="s">
        <v>84</v>
      </c>
    </row>
    <row r="2961" spans="1:18" ht="20" x14ac:dyDescent="0.2">
      <c r="A2961" s="80" t="s">
        <v>6024</v>
      </c>
      <c r="B2961" s="80" t="s">
        <v>6025</v>
      </c>
      <c r="C2961" s="80" t="s">
        <v>9680</v>
      </c>
      <c r="D2961" s="80" t="s">
        <v>84</v>
      </c>
      <c r="E2961" s="80" t="s">
        <v>84</v>
      </c>
      <c r="G2961" s="80" t="s">
        <v>84</v>
      </c>
      <c r="H2961" s="80" t="s">
        <v>84</v>
      </c>
      <c r="I2961" s="80" t="s">
        <v>84</v>
      </c>
      <c r="J2961" s="80" t="s">
        <v>84</v>
      </c>
      <c r="K2961" s="80" t="s">
        <v>84</v>
      </c>
      <c r="L2961" s="80" t="s">
        <v>84</v>
      </c>
      <c r="M2961" s="80" t="s">
        <v>84</v>
      </c>
      <c r="N2961" s="80" t="s">
        <v>84</v>
      </c>
      <c r="O2961" s="80" t="s">
        <v>84</v>
      </c>
      <c r="Q2961" s="80" t="s">
        <v>84</v>
      </c>
      <c r="R2961" s="80" t="s">
        <v>84</v>
      </c>
    </row>
    <row r="2962" spans="1:18" ht="20" x14ac:dyDescent="0.2">
      <c r="A2962" s="80" t="s">
        <v>6028</v>
      </c>
      <c r="B2962" s="80" t="s">
        <v>6029</v>
      </c>
      <c r="C2962" s="80" t="s">
        <v>9680</v>
      </c>
      <c r="D2962" s="80" t="s">
        <v>84</v>
      </c>
      <c r="E2962" s="80" t="s">
        <v>84</v>
      </c>
      <c r="G2962" s="80" t="s">
        <v>9680</v>
      </c>
      <c r="H2962" s="80" t="s">
        <v>84</v>
      </c>
      <c r="I2962" s="80" t="s">
        <v>84</v>
      </c>
      <c r="J2962" s="80" t="s">
        <v>84</v>
      </c>
      <c r="K2962" s="80" t="s">
        <v>84</v>
      </c>
      <c r="L2962" s="80" t="s">
        <v>84</v>
      </c>
      <c r="M2962" s="80" t="s">
        <v>84</v>
      </c>
      <c r="N2962" s="80" t="s">
        <v>84</v>
      </c>
      <c r="O2962" s="80" t="s">
        <v>84</v>
      </c>
      <c r="Q2962" s="80" t="s">
        <v>84</v>
      </c>
      <c r="R2962" s="80" t="s">
        <v>84</v>
      </c>
    </row>
    <row r="2963" spans="1:18" ht="20" x14ac:dyDescent="0.2">
      <c r="A2963" s="80" t="s">
        <v>6032</v>
      </c>
      <c r="B2963" s="80" t="s">
        <v>6033</v>
      </c>
      <c r="C2963" s="80" t="s">
        <v>9680</v>
      </c>
      <c r="D2963" s="80" t="s">
        <v>84</v>
      </c>
      <c r="E2963" s="80" t="s">
        <v>84</v>
      </c>
      <c r="G2963" s="80" t="s">
        <v>9680</v>
      </c>
      <c r="H2963" s="80" t="s">
        <v>84</v>
      </c>
      <c r="I2963" s="80" t="s">
        <v>84</v>
      </c>
      <c r="J2963" s="80" t="s">
        <v>84</v>
      </c>
      <c r="K2963" s="80" t="s">
        <v>84</v>
      </c>
      <c r="L2963" s="80" t="s">
        <v>84</v>
      </c>
      <c r="M2963" s="80" t="s">
        <v>84</v>
      </c>
      <c r="N2963" s="80" t="s">
        <v>84</v>
      </c>
      <c r="O2963" s="80" t="s">
        <v>84</v>
      </c>
      <c r="Q2963" s="80" t="s">
        <v>84</v>
      </c>
      <c r="R2963" s="80" t="s">
        <v>84</v>
      </c>
    </row>
    <row r="2964" spans="1:18" ht="20" x14ac:dyDescent="0.2">
      <c r="A2964" s="80" t="s">
        <v>6032</v>
      </c>
      <c r="B2964" s="80" t="s">
        <v>10776</v>
      </c>
      <c r="C2964" s="80" t="s">
        <v>9680</v>
      </c>
      <c r="D2964" s="80" t="s">
        <v>84</v>
      </c>
      <c r="E2964" s="80" t="s">
        <v>84</v>
      </c>
      <c r="G2964" s="80" t="s">
        <v>9680</v>
      </c>
      <c r="H2964" s="80" t="s">
        <v>84</v>
      </c>
      <c r="I2964" s="80" t="s">
        <v>84</v>
      </c>
      <c r="J2964" s="80" t="s">
        <v>84</v>
      </c>
      <c r="K2964" s="80" t="s">
        <v>84</v>
      </c>
      <c r="L2964" s="80" t="s">
        <v>84</v>
      </c>
      <c r="M2964" s="80" t="s">
        <v>84</v>
      </c>
      <c r="N2964" s="80" t="s">
        <v>84</v>
      </c>
      <c r="O2964" s="80" t="s">
        <v>84</v>
      </c>
      <c r="Q2964" s="80" t="s">
        <v>84</v>
      </c>
      <c r="R2964" s="80" t="s">
        <v>84</v>
      </c>
    </row>
    <row r="2965" spans="1:18" ht="20" x14ac:dyDescent="0.2">
      <c r="A2965" s="80" t="s">
        <v>6035</v>
      </c>
      <c r="B2965" s="80" t="s">
        <v>6036</v>
      </c>
      <c r="C2965" s="80" t="s">
        <v>9680</v>
      </c>
      <c r="D2965" s="80" t="s">
        <v>84</v>
      </c>
      <c r="E2965" s="80" t="s">
        <v>84</v>
      </c>
      <c r="G2965" s="80" t="s">
        <v>9680</v>
      </c>
      <c r="H2965" s="80" t="s">
        <v>84</v>
      </c>
      <c r="I2965" s="80" t="s">
        <v>84</v>
      </c>
      <c r="J2965" s="80" t="s">
        <v>84</v>
      </c>
      <c r="K2965" s="80" t="s">
        <v>84</v>
      </c>
      <c r="L2965" s="80" t="s">
        <v>84</v>
      </c>
      <c r="M2965" s="80" t="s">
        <v>84</v>
      </c>
      <c r="N2965" s="80" t="s">
        <v>84</v>
      </c>
      <c r="O2965" s="80" t="s">
        <v>84</v>
      </c>
      <c r="Q2965" s="80" t="s">
        <v>84</v>
      </c>
      <c r="R2965" s="80" t="s">
        <v>84</v>
      </c>
    </row>
    <row r="2966" spans="1:18" ht="20" x14ac:dyDescent="0.2">
      <c r="A2966" s="80" t="s">
        <v>6035</v>
      </c>
      <c r="B2966" s="80" t="s">
        <v>10777</v>
      </c>
      <c r="C2966" s="80" t="s">
        <v>9680</v>
      </c>
      <c r="D2966" s="80" t="s">
        <v>84</v>
      </c>
      <c r="E2966" s="80" t="s">
        <v>84</v>
      </c>
      <c r="G2966" s="80" t="s">
        <v>9680</v>
      </c>
      <c r="H2966" s="80" t="s">
        <v>84</v>
      </c>
      <c r="I2966" s="80" t="s">
        <v>84</v>
      </c>
      <c r="J2966" s="80" t="s">
        <v>84</v>
      </c>
      <c r="K2966" s="80" t="s">
        <v>84</v>
      </c>
      <c r="L2966" s="80" t="s">
        <v>84</v>
      </c>
      <c r="M2966" s="80" t="s">
        <v>84</v>
      </c>
      <c r="N2966" s="80" t="s">
        <v>84</v>
      </c>
      <c r="O2966" s="80" t="s">
        <v>84</v>
      </c>
      <c r="Q2966" s="80" t="s">
        <v>84</v>
      </c>
      <c r="R2966" s="80" t="s">
        <v>84</v>
      </c>
    </row>
    <row r="2967" spans="1:18" ht="20" x14ac:dyDescent="0.2">
      <c r="A2967" s="80" t="s">
        <v>6039</v>
      </c>
      <c r="B2967" s="80" t="s">
        <v>6040</v>
      </c>
      <c r="C2967" s="80" t="s">
        <v>9680</v>
      </c>
      <c r="D2967" s="80" t="s">
        <v>84</v>
      </c>
      <c r="E2967" s="80" t="s">
        <v>84</v>
      </c>
      <c r="G2967" s="80" t="s">
        <v>9680</v>
      </c>
      <c r="H2967" s="80" t="s">
        <v>84</v>
      </c>
      <c r="I2967" s="80" t="s">
        <v>84</v>
      </c>
      <c r="J2967" s="80" t="s">
        <v>84</v>
      </c>
      <c r="K2967" s="80" t="s">
        <v>84</v>
      </c>
      <c r="L2967" s="80" t="s">
        <v>84</v>
      </c>
      <c r="M2967" s="80" t="s">
        <v>84</v>
      </c>
      <c r="N2967" s="80" t="s">
        <v>84</v>
      </c>
      <c r="O2967" s="80" t="s">
        <v>84</v>
      </c>
      <c r="Q2967" s="80" t="s">
        <v>84</v>
      </c>
      <c r="R2967" s="80" t="s">
        <v>84</v>
      </c>
    </row>
    <row r="2968" spans="1:18" ht="20" x14ac:dyDescent="0.2">
      <c r="A2968" s="80" t="s">
        <v>6039</v>
      </c>
      <c r="B2968" s="80" t="s">
        <v>10778</v>
      </c>
      <c r="C2968" s="80" t="s">
        <v>9680</v>
      </c>
      <c r="D2968" s="80" t="s">
        <v>84</v>
      </c>
      <c r="E2968" s="80" t="s">
        <v>84</v>
      </c>
      <c r="G2968" s="80" t="s">
        <v>9680</v>
      </c>
      <c r="H2968" s="80" t="s">
        <v>84</v>
      </c>
      <c r="I2968" s="80" t="s">
        <v>84</v>
      </c>
      <c r="J2968" s="80" t="s">
        <v>84</v>
      </c>
      <c r="K2968" s="80" t="s">
        <v>84</v>
      </c>
      <c r="L2968" s="80" t="s">
        <v>84</v>
      </c>
      <c r="M2968" s="80" t="s">
        <v>84</v>
      </c>
      <c r="N2968" s="80" t="s">
        <v>84</v>
      </c>
      <c r="O2968" s="80" t="s">
        <v>84</v>
      </c>
      <c r="Q2968" s="80" t="s">
        <v>84</v>
      </c>
      <c r="R2968" s="80" t="s">
        <v>84</v>
      </c>
    </row>
    <row r="2969" spans="1:18" ht="20" x14ac:dyDescent="0.2">
      <c r="A2969" s="80" t="s">
        <v>6043</v>
      </c>
      <c r="B2969" s="80" t="s">
        <v>6044</v>
      </c>
      <c r="C2969" s="80" t="s">
        <v>9680</v>
      </c>
      <c r="D2969" s="80" t="s">
        <v>84</v>
      </c>
      <c r="E2969" s="80" t="s">
        <v>84</v>
      </c>
      <c r="G2969" s="80" t="s">
        <v>9680</v>
      </c>
      <c r="H2969" s="80" t="s">
        <v>84</v>
      </c>
      <c r="I2969" s="80" t="s">
        <v>84</v>
      </c>
      <c r="J2969" s="80" t="s">
        <v>84</v>
      </c>
      <c r="K2969" s="80" t="s">
        <v>84</v>
      </c>
      <c r="L2969" s="80" t="s">
        <v>84</v>
      </c>
      <c r="M2969" s="80" t="s">
        <v>84</v>
      </c>
      <c r="N2969" s="80" t="s">
        <v>84</v>
      </c>
      <c r="O2969" s="80" t="s">
        <v>84</v>
      </c>
      <c r="Q2969" s="80" t="s">
        <v>84</v>
      </c>
      <c r="R2969" s="80" t="s">
        <v>84</v>
      </c>
    </row>
    <row r="2970" spans="1:18" ht="20" x14ac:dyDescent="0.2">
      <c r="A2970" s="80" t="s">
        <v>6047</v>
      </c>
      <c r="B2970" s="80" t="s">
        <v>6048</v>
      </c>
      <c r="C2970" s="80" t="s">
        <v>9680</v>
      </c>
      <c r="D2970" s="80" t="s">
        <v>84</v>
      </c>
      <c r="E2970" s="80" t="s">
        <v>84</v>
      </c>
      <c r="G2970" s="80" t="s">
        <v>84</v>
      </c>
      <c r="H2970" s="80" t="s">
        <v>84</v>
      </c>
      <c r="I2970" s="80" t="s">
        <v>84</v>
      </c>
      <c r="J2970" s="80" t="s">
        <v>84</v>
      </c>
      <c r="K2970" s="80" t="s">
        <v>84</v>
      </c>
      <c r="L2970" s="80" t="s">
        <v>84</v>
      </c>
      <c r="M2970" s="80" t="s">
        <v>84</v>
      </c>
      <c r="N2970" s="80" t="s">
        <v>84</v>
      </c>
      <c r="O2970" s="80" t="s">
        <v>84</v>
      </c>
      <c r="Q2970" s="80" t="s">
        <v>84</v>
      </c>
      <c r="R2970" s="80" t="s">
        <v>84</v>
      </c>
    </row>
    <row r="2971" spans="1:18" ht="20" x14ac:dyDescent="0.2">
      <c r="A2971" s="80" t="s">
        <v>6051</v>
      </c>
      <c r="B2971" s="80" t="s">
        <v>6052</v>
      </c>
      <c r="C2971" s="80" t="s">
        <v>9680</v>
      </c>
      <c r="D2971" s="80" t="s">
        <v>84</v>
      </c>
      <c r="E2971" s="80" t="s">
        <v>84</v>
      </c>
      <c r="G2971" s="80" t="s">
        <v>84</v>
      </c>
      <c r="H2971" s="80" t="s">
        <v>84</v>
      </c>
      <c r="I2971" s="80" t="s">
        <v>84</v>
      </c>
      <c r="J2971" s="80" t="s">
        <v>84</v>
      </c>
      <c r="K2971" s="80" t="s">
        <v>84</v>
      </c>
      <c r="L2971" s="80" t="s">
        <v>84</v>
      </c>
      <c r="M2971" s="80" t="s">
        <v>84</v>
      </c>
      <c r="N2971" s="80" t="s">
        <v>84</v>
      </c>
      <c r="O2971" s="80" t="s">
        <v>84</v>
      </c>
      <c r="Q2971" s="80" t="s">
        <v>84</v>
      </c>
      <c r="R2971" s="80" t="s">
        <v>84</v>
      </c>
    </row>
    <row r="2972" spans="1:18" ht="20" x14ac:dyDescent="0.2">
      <c r="A2972" s="80" t="s">
        <v>6055</v>
      </c>
      <c r="B2972" s="80" t="s">
        <v>6056</v>
      </c>
      <c r="C2972" s="80" t="s">
        <v>84</v>
      </c>
      <c r="D2972" s="80" t="s">
        <v>84</v>
      </c>
      <c r="E2972" s="80" t="s">
        <v>84</v>
      </c>
      <c r="G2972" s="80" t="s">
        <v>84</v>
      </c>
      <c r="H2972" s="80" t="s">
        <v>84</v>
      </c>
      <c r="I2972" s="80" t="s">
        <v>84</v>
      </c>
      <c r="J2972" s="80" t="s">
        <v>84</v>
      </c>
      <c r="K2972" s="80" t="s">
        <v>84</v>
      </c>
      <c r="L2972" s="80" t="s">
        <v>84</v>
      </c>
      <c r="M2972" s="80" t="s">
        <v>84</v>
      </c>
      <c r="N2972" s="80" t="s">
        <v>84</v>
      </c>
      <c r="O2972" s="80" t="s">
        <v>84</v>
      </c>
      <c r="Q2972" s="80" t="s">
        <v>84</v>
      </c>
      <c r="R2972" s="80" t="s">
        <v>84</v>
      </c>
    </row>
    <row r="2973" spans="1:18" ht="20" x14ac:dyDescent="0.2">
      <c r="A2973" s="80" t="s">
        <v>6059</v>
      </c>
      <c r="B2973" s="80" t="s">
        <v>6060</v>
      </c>
      <c r="C2973" s="80" t="s">
        <v>9680</v>
      </c>
      <c r="D2973" s="80" t="s">
        <v>84</v>
      </c>
      <c r="E2973" s="80" t="s">
        <v>84</v>
      </c>
      <c r="G2973" s="80" t="s">
        <v>84</v>
      </c>
      <c r="H2973" s="80" t="s">
        <v>84</v>
      </c>
      <c r="I2973" s="80" t="s">
        <v>84</v>
      </c>
      <c r="J2973" s="80" t="s">
        <v>84</v>
      </c>
      <c r="K2973" s="80" t="s">
        <v>84</v>
      </c>
      <c r="L2973" s="80" t="s">
        <v>84</v>
      </c>
      <c r="M2973" s="80" t="s">
        <v>84</v>
      </c>
      <c r="N2973" s="80" t="s">
        <v>84</v>
      </c>
      <c r="O2973" s="80" t="s">
        <v>84</v>
      </c>
      <c r="Q2973" s="80" t="s">
        <v>84</v>
      </c>
      <c r="R2973" s="80" t="s">
        <v>84</v>
      </c>
    </row>
    <row r="2974" spans="1:18" ht="20" x14ac:dyDescent="0.2">
      <c r="A2974" s="80" t="s">
        <v>6063</v>
      </c>
      <c r="B2974" s="80" t="s">
        <v>6064</v>
      </c>
      <c r="C2974" s="80" t="s">
        <v>84</v>
      </c>
      <c r="D2974" s="80" t="s">
        <v>84</v>
      </c>
      <c r="E2974" s="80" t="s">
        <v>84</v>
      </c>
      <c r="G2974" s="80" t="s">
        <v>84</v>
      </c>
      <c r="H2974" s="80" t="s">
        <v>84</v>
      </c>
      <c r="I2974" s="80" t="s">
        <v>84</v>
      </c>
      <c r="J2974" s="80" t="s">
        <v>84</v>
      </c>
      <c r="K2974" s="80" t="s">
        <v>84</v>
      </c>
      <c r="L2974" s="80" t="s">
        <v>84</v>
      </c>
      <c r="M2974" s="80" t="s">
        <v>84</v>
      </c>
      <c r="N2974" s="80" t="s">
        <v>84</v>
      </c>
      <c r="O2974" s="80" t="s">
        <v>84</v>
      </c>
      <c r="Q2974" s="80" t="s">
        <v>84</v>
      </c>
      <c r="R2974" s="80" t="s">
        <v>84</v>
      </c>
    </row>
    <row r="2975" spans="1:18" ht="20" x14ac:dyDescent="0.2">
      <c r="A2975" s="80" t="s">
        <v>6067</v>
      </c>
      <c r="B2975" s="80" t="s">
        <v>6068</v>
      </c>
      <c r="C2975" s="80" t="s">
        <v>9680</v>
      </c>
      <c r="D2975" s="80" t="s">
        <v>84</v>
      </c>
      <c r="E2975" s="80" t="s">
        <v>84</v>
      </c>
      <c r="G2975" s="80" t="s">
        <v>84</v>
      </c>
      <c r="H2975" s="80" t="s">
        <v>84</v>
      </c>
      <c r="I2975" s="80" t="s">
        <v>84</v>
      </c>
      <c r="J2975" s="80" t="s">
        <v>84</v>
      </c>
      <c r="K2975" s="80" t="s">
        <v>84</v>
      </c>
      <c r="L2975" s="80" t="s">
        <v>84</v>
      </c>
      <c r="M2975" s="80" t="s">
        <v>84</v>
      </c>
      <c r="N2975" s="80" t="s">
        <v>84</v>
      </c>
      <c r="O2975" s="80" t="s">
        <v>84</v>
      </c>
      <c r="Q2975" s="80" t="s">
        <v>84</v>
      </c>
      <c r="R2975" s="80" t="s">
        <v>84</v>
      </c>
    </row>
    <row r="2976" spans="1:18" ht="20" x14ac:dyDescent="0.2">
      <c r="A2976" s="80" t="s">
        <v>6071</v>
      </c>
      <c r="B2976" s="80" t="s">
        <v>6072</v>
      </c>
      <c r="C2976" s="80" t="s">
        <v>9680</v>
      </c>
      <c r="D2976" s="80" t="s">
        <v>84</v>
      </c>
      <c r="E2976" s="80" t="s">
        <v>84</v>
      </c>
      <c r="G2976" s="80" t="s">
        <v>84</v>
      </c>
      <c r="H2976" s="80" t="s">
        <v>84</v>
      </c>
      <c r="I2976" s="80" t="s">
        <v>84</v>
      </c>
      <c r="J2976" s="80" t="s">
        <v>84</v>
      </c>
      <c r="K2976" s="80" t="s">
        <v>84</v>
      </c>
      <c r="L2976" s="80" t="s">
        <v>84</v>
      </c>
      <c r="M2976" s="80" t="s">
        <v>84</v>
      </c>
      <c r="N2976" s="80" t="s">
        <v>84</v>
      </c>
      <c r="O2976" s="80" t="s">
        <v>84</v>
      </c>
      <c r="Q2976" s="80" t="s">
        <v>84</v>
      </c>
      <c r="R2976" s="80" t="s">
        <v>84</v>
      </c>
    </row>
    <row r="2977" spans="1:18" ht="20" x14ac:dyDescent="0.2">
      <c r="A2977" s="80" t="s">
        <v>6071</v>
      </c>
      <c r="B2977" s="80" t="s">
        <v>10779</v>
      </c>
      <c r="C2977" s="80" t="s">
        <v>9680</v>
      </c>
      <c r="D2977" s="80" t="s">
        <v>84</v>
      </c>
      <c r="E2977" s="80" t="s">
        <v>84</v>
      </c>
      <c r="G2977" s="80" t="s">
        <v>84</v>
      </c>
      <c r="H2977" s="80" t="s">
        <v>84</v>
      </c>
      <c r="I2977" s="80" t="s">
        <v>84</v>
      </c>
      <c r="J2977" s="80" t="s">
        <v>84</v>
      </c>
      <c r="K2977" s="80" t="s">
        <v>84</v>
      </c>
      <c r="L2977" s="80" t="s">
        <v>84</v>
      </c>
      <c r="M2977" s="80" t="s">
        <v>84</v>
      </c>
      <c r="N2977" s="80" t="s">
        <v>84</v>
      </c>
      <c r="O2977" s="80" t="s">
        <v>84</v>
      </c>
      <c r="Q2977" s="80" t="s">
        <v>84</v>
      </c>
      <c r="R2977" s="80" t="s">
        <v>84</v>
      </c>
    </row>
    <row r="2978" spans="1:18" ht="20" x14ac:dyDescent="0.2">
      <c r="A2978" s="80" t="s">
        <v>1107</v>
      </c>
      <c r="B2978" s="80" t="s">
        <v>1108</v>
      </c>
      <c r="C2978" s="80" t="s">
        <v>9680</v>
      </c>
      <c r="D2978" s="80" t="s">
        <v>84</v>
      </c>
      <c r="E2978" s="80" t="s">
        <v>84</v>
      </c>
      <c r="G2978" s="80" t="s">
        <v>84</v>
      </c>
      <c r="H2978" s="80" t="s">
        <v>84</v>
      </c>
      <c r="I2978" s="80" t="s">
        <v>84</v>
      </c>
      <c r="J2978" s="80" t="s">
        <v>84</v>
      </c>
      <c r="K2978" s="80" t="s">
        <v>84</v>
      </c>
      <c r="L2978" s="80" t="s">
        <v>84</v>
      </c>
      <c r="M2978" s="80" t="s">
        <v>84</v>
      </c>
      <c r="N2978" s="80" t="s">
        <v>84</v>
      </c>
      <c r="O2978" s="80" t="s">
        <v>84</v>
      </c>
      <c r="Q2978" s="80" t="s">
        <v>84</v>
      </c>
      <c r="R2978" s="80" t="s">
        <v>84</v>
      </c>
    </row>
    <row r="2979" spans="1:18" ht="20" x14ac:dyDescent="0.2">
      <c r="A2979" s="80" t="s">
        <v>1107</v>
      </c>
      <c r="B2979" s="80" t="s">
        <v>10780</v>
      </c>
      <c r="C2979" s="80" t="s">
        <v>9680</v>
      </c>
      <c r="D2979" s="80" t="s">
        <v>84</v>
      </c>
      <c r="E2979" s="80" t="s">
        <v>84</v>
      </c>
      <c r="G2979" s="80" t="s">
        <v>84</v>
      </c>
      <c r="H2979" s="80" t="s">
        <v>84</v>
      </c>
      <c r="I2979" s="80" t="s">
        <v>84</v>
      </c>
      <c r="J2979" s="80" t="s">
        <v>84</v>
      </c>
      <c r="K2979" s="80" t="s">
        <v>84</v>
      </c>
      <c r="L2979" s="80" t="s">
        <v>84</v>
      </c>
      <c r="M2979" s="80" t="s">
        <v>84</v>
      </c>
      <c r="N2979" s="80" t="s">
        <v>84</v>
      </c>
      <c r="O2979" s="80" t="s">
        <v>84</v>
      </c>
      <c r="Q2979" s="80" t="s">
        <v>84</v>
      </c>
      <c r="R2979" s="80" t="s">
        <v>84</v>
      </c>
    </row>
    <row r="2980" spans="1:18" ht="20" x14ac:dyDescent="0.2">
      <c r="A2980" s="80" t="s">
        <v>1109</v>
      </c>
      <c r="B2980" s="80" t="s">
        <v>1110</v>
      </c>
      <c r="C2980" s="80" t="s">
        <v>9680</v>
      </c>
      <c r="D2980" s="80" t="s">
        <v>84</v>
      </c>
      <c r="E2980" s="80" t="s">
        <v>84</v>
      </c>
      <c r="G2980" s="80" t="s">
        <v>84</v>
      </c>
      <c r="H2980" s="80" t="s">
        <v>84</v>
      </c>
      <c r="I2980" s="80" t="s">
        <v>84</v>
      </c>
      <c r="J2980" s="80" t="s">
        <v>84</v>
      </c>
      <c r="K2980" s="80" t="s">
        <v>84</v>
      </c>
      <c r="L2980" s="80" t="s">
        <v>84</v>
      </c>
      <c r="M2980" s="80" t="s">
        <v>84</v>
      </c>
      <c r="N2980" s="80" t="s">
        <v>84</v>
      </c>
      <c r="O2980" s="80" t="s">
        <v>84</v>
      </c>
      <c r="Q2980" s="80" t="s">
        <v>84</v>
      </c>
      <c r="R2980" s="80" t="s">
        <v>84</v>
      </c>
    </row>
    <row r="2981" spans="1:18" ht="20" x14ac:dyDescent="0.2">
      <c r="A2981" s="80" t="s">
        <v>1109</v>
      </c>
      <c r="B2981" s="80" t="s">
        <v>10781</v>
      </c>
      <c r="C2981" s="80" t="s">
        <v>9680</v>
      </c>
      <c r="D2981" s="80" t="s">
        <v>84</v>
      </c>
      <c r="E2981" s="80" t="s">
        <v>84</v>
      </c>
      <c r="G2981" s="80" t="s">
        <v>84</v>
      </c>
      <c r="H2981" s="80" t="s">
        <v>84</v>
      </c>
      <c r="I2981" s="80" t="s">
        <v>84</v>
      </c>
      <c r="J2981" s="80" t="s">
        <v>84</v>
      </c>
      <c r="K2981" s="80" t="s">
        <v>84</v>
      </c>
      <c r="L2981" s="80" t="s">
        <v>84</v>
      </c>
      <c r="M2981" s="80" t="s">
        <v>84</v>
      </c>
      <c r="N2981" s="80" t="s">
        <v>84</v>
      </c>
      <c r="O2981" s="80" t="s">
        <v>84</v>
      </c>
      <c r="Q2981" s="80" t="s">
        <v>84</v>
      </c>
      <c r="R2981" s="80" t="s">
        <v>84</v>
      </c>
    </row>
    <row r="2982" spans="1:18" ht="20" x14ac:dyDescent="0.2">
      <c r="A2982" s="80" t="s">
        <v>1111</v>
      </c>
      <c r="B2982" s="80" t="s">
        <v>1112</v>
      </c>
      <c r="C2982" s="80" t="s">
        <v>9680</v>
      </c>
      <c r="D2982" s="80" t="s">
        <v>84</v>
      </c>
      <c r="E2982" s="80" t="s">
        <v>84</v>
      </c>
      <c r="G2982" s="80" t="s">
        <v>84</v>
      </c>
      <c r="H2982" s="80" t="s">
        <v>84</v>
      </c>
      <c r="I2982" s="80" t="s">
        <v>84</v>
      </c>
      <c r="J2982" s="80" t="s">
        <v>84</v>
      </c>
      <c r="K2982" s="80" t="s">
        <v>84</v>
      </c>
      <c r="L2982" s="80" t="s">
        <v>84</v>
      </c>
      <c r="M2982" s="80" t="s">
        <v>84</v>
      </c>
      <c r="N2982" s="80" t="s">
        <v>84</v>
      </c>
      <c r="O2982" s="80" t="s">
        <v>84</v>
      </c>
      <c r="Q2982" s="80" t="s">
        <v>84</v>
      </c>
      <c r="R2982" s="80" t="s">
        <v>84</v>
      </c>
    </row>
    <row r="2983" spans="1:18" ht="20" x14ac:dyDescent="0.2">
      <c r="A2983" s="80" t="s">
        <v>3413</v>
      </c>
      <c r="B2983" s="80" t="s">
        <v>3414</v>
      </c>
      <c r="C2983" s="80" t="s">
        <v>9680</v>
      </c>
      <c r="D2983" s="80" t="s">
        <v>84</v>
      </c>
      <c r="E2983" s="80" t="s">
        <v>84</v>
      </c>
      <c r="G2983" s="80" t="s">
        <v>84</v>
      </c>
      <c r="H2983" s="80" t="s">
        <v>84</v>
      </c>
      <c r="I2983" s="80" t="s">
        <v>84</v>
      </c>
      <c r="J2983" s="80" t="s">
        <v>84</v>
      </c>
      <c r="K2983" s="80" t="s">
        <v>84</v>
      </c>
      <c r="L2983" s="80" t="s">
        <v>84</v>
      </c>
      <c r="M2983" s="80" t="s">
        <v>84</v>
      </c>
      <c r="N2983" s="80" t="s">
        <v>84</v>
      </c>
      <c r="O2983" s="80" t="s">
        <v>84</v>
      </c>
      <c r="Q2983" s="80" t="s">
        <v>84</v>
      </c>
      <c r="R2983" s="80" t="s">
        <v>84</v>
      </c>
    </row>
    <row r="2984" spans="1:18" ht="20" x14ac:dyDescent="0.2">
      <c r="A2984" s="80" t="s">
        <v>3415</v>
      </c>
      <c r="B2984" s="80" t="s">
        <v>3416</v>
      </c>
      <c r="C2984" s="80" t="s">
        <v>9680</v>
      </c>
      <c r="D2984" s="80" t="s">
        <v>9680</v>
      </c>
      <c r="E2984" s="80" t="s">
        <v>9680</v>
      </c>
      <c r="G2984" s="80" t="s">
        <v>9680</v>
      </c>
      <c r="H2984" s="80" t="s">
        <v>9680</v>
      </c>
      <c r="I2984" s="80" t="s">
        <v>9680</v>
      </c>
      <c r="J2984" s="80" t="s">
        <v>84</v>
      </c>
      <c r="K2984" s="80" t="s">
        <v>9680</v>
      </c>
      <c r="L2984" s="80" t="s">
        <v>9680</v>
      </c>
      <c r="M2984" s="80" t="s">
        <v>84</v>
      </c>
      <c r="N2984" s="80" t="s">
        <v>9680</v>
      </c>
      <c r="O2984" s="80" t="s">
        <v>84</v>
      </c>
      <c r="Q2984" s="80" t="s">
        <v>84</v>
      </c>
      <c r="R2984" s="80" t="s">
        <v>84</v>
      </c>
    </row>
    <row r="2985" spans="1:18" ht="20" x14ac:dyDescent="0.2">
      <c r="A2985" s="80" t="s">
        <v>3415</v>
      </c>
      <c r="B2985" s="80" t="s">
        <v>10782</v>
      </c>
      <c r="C2985" s="80" t="s">
        <v>9680</v>
      </c>
      <c r="D2985" s="80" t="s">
        <v>9680</v>
      </c>
      <c r="E2985" s="80" t="s">
        <v>9680</v>
      </c>
      <c r="G2985" s="80" t="s">
        <v>9680</v>
      </c>
      <c r="H2985" s="80" t="s">
        <v>9680</v>
      </c>
      <c r="I2985" s="80" t="s">
        <v>9680</v>
      </c>
      <c r="J2985" s="80" t="s">
        <v>84</v>
      </c>
      <c r="K2985" s="80" t="s">
        <v>9680</v>
      </c>
      <c r="L2985" s="80" t="s">
        <v>9680</v>
      </c>
      <c r="M2985" s="80" t="s">
        <v>84</v>
      </c>
      <c r="N2985" s="80" t="s">
        <v>9680</v>
      </c>
      <c r="O2985" s="80" t="s">
        <v>84</v>
      </c>
      <c r="Q2985" s="80" t="s">
        <v>84</v>
      </c>
      <c r="R2985" s="80" t="s">
        <v>84</v>
      </c>
    </row>
    <row r="2986" spans="1:18" ht="20" x14ac:dyDescent="0.2">
      <c r="A2986" s="80" t="s">
        <v>3420</v>
      </c>
      <c r="B2986" s="80" t="s">
        <v>3421</v>
      </c>
      <c r="C2986" s="80" t="s">
        <v>9680</v>
      </c>
      <c r="D2986" s="80" t="s">
        <v>84</v>
      </c>
      <c r="E2986" s="80" t="s">
        <v>84</v>
      </c>
      <c r="G2986" s="80" t="s">
        <v>84</v>
      </c>
      <c r="H2986" s="80" t="s">
        <v>84</v>
      </c>
      <c r="I2986" s="80" t="s">
        <v>84</v>
      </c>
      <c r="J2986" s="80" t="s">
        <v>84</v>
      </c>
      <c r="K2986" s="80" t="s">
        <v>84</v>
      </c>
      <c r="L2986" s="80" t="s">
        <v>84</v>
      </c>
      <c r="M2986" s="80" t="s">
        <v>84</v>
      </c>
      <c r="N2986" s="80" t="s">
        <v>84</v>
      </c>
      <c r="O2986" s="80" t="s">
        <v>84</v>
      </c>
      <c r="Q2986" s="80" t="s">
        <v>84</v>
      </c>
      <c r="R2986" s="80" t="s">
        <v>84</v>
      </c>
    </row>
    <row r="2987" spans="1:18" ht="20" x14ac:dyDescent="0.2">
      <c r="A2987" s="80" t="s">
        <v>3424</v>
      </c>
      <c r="B2987" s="80" t="s">
        <v>3425</v>
      </c>
      <c r="C2987" s="80" t="s">
        <v>9680</v>
      </c>
      <c r="D2987" s="80" t="s">
        <v>84</v>
      </c>
      <c r="E2987" s="80" t="s">
        <v>84</v>
      </c>
      <c r="G2987" s="80" t="s">
        <v>84</v>
      </c>
      <c r="H2987" s="80" t="s">
        <v>84</v>
      </c>
      <c r="I2987" s="80" t="s">
        <v>84</v>
      </c>
      <c r="J2987" s="80" t="s">
        <v>84</v>
      </c>
      <c r="K2987" s="80" t="s">
        <v>84</v>
      </c>
      <c r="L2987" s="80" t="s">
        <v>84</v>
      </c>
      <c r="M2987" s="80" t="s">
        <v>84</v>
      </c>
      <c r="N2987" s="80" t="s">
        <v>84</v>
      </c>
      <c r="O2987" s="80" t="s">
        <v>84</v>
      </c>
      <c r="Q2987" s="80" t="s">
        <v>84</v>
      </c>
      <c r="R2987" s="80" t="s">
        <v>84</v>
      </c>
    </row>
    <row r="2988" spans="1:18" ht="20" x14ac:dyDescent="0.2">
      <c r="A2988" s="80" t="s">
        <v>3426</v>
      </c>
      <c r="B2988" s="80" t="s">
        <v>3427</v>
      </c>
      <c r="C2988" s="80" t="s">
        <v>9680</v>
      </c>
      <c r="D2988" s="80" t="s">
        <v>84</v>
      </c>
      <c r="E2988" s="80" t="s">
        <v>84</v>
      </c>
      <c r="G2988" s="80" t="s">
        <v>84</v>
      </c>
      <c r="H2988" s="80" t="s">
        <v>84</v>
      </c>
      <c r="I2988" s="80" t="s">
        <v>84</v>
      </c>
      <c r="J2988" s="80" t="s">
        <v>84</v>
      </c>
      <c r="K2988" s="80" t="s">
        <v>84</v>
      </c>
      <c r="L2988" s="80" t="s">
        <v>84</v>
      </c>
      <c r="M2988" s="80" t="s">
        <v>84</v>
      </c>
      <c r="N2988" s="80" t="s">
        <v>84</v>
      </c>
      <c r="O2988" s="80" t="s">
        <v>84</v>
      </c>
      <c r="Q2988" s="80" t="s">
        <v>84</v>
      </c>
      <c r="R2988" s="80" t="s">
        <v>84</v>
      </c>
    </row>
    <row r="2989" spans="1:18" ht="20" x14ac:dyDescent="0.2">
      <c r="A2989" s="80" t="s">
        <v>3428</v>
      </c>
      <c r="B2989" s="80" t="s">
        <v>3429</v>
      </c>
      <c r="C2989" s="80" t="s">
        <v>9680</v>
      </c>
      <c r="D2989" s="80" t="s">
        <v>84</v>
      </c>
      <c r="E2989" s="80" t="s">
        <v>84</v>
      </c>
      <c r="G2989" s="80" t="s">
        <v>84</v>
      </c>
      <c r="H2989" s="80" t="s">
        <v>84</v>
      </c>
      <c r="I2989" s="80" t="s">
        <v>84</v>
      </c>
      <c r="J2989" s="80" t="s">
        <v>84</v>
      </c>
      <c r="K2989" s="80" t="s">
        <v>84</v>
      </c>
      <c r="L2989" s="80" t="s">
        <v>84</v>
      </c>
      <c r="M2989" s="80" t="s">
        <v>84</v>
      </c>
      <c r="N2989" s="80" t="s">
        <v>84</v>
      </c>
      <c r="O2989" s="80" t="s">
        <v>84</v>
      </c>
      <c r="Q2989" s="80" t="s">
        <v>84</v>
      </c>
      <c r="R2989" s="80" t="s">
        <v>84</v>
      </c>
    </row>
    <row r="2990" spans="1:18" ht="20" x14ac:dyDescent="0.2">
      <c r="A2990" s="80" t="s">
        <v>3430</v>
      </c>
      <c r="B2990" s="80" t="s">
        <v>3431</v>
      </c>
      <c r="C2990" s="80" t="s">
        <v>9680</v>
      </c>
      <c r="D2990" s="80" t="s">
        <v>84</v>
      </c>
      <c r="E2990" s="80" t="s">
        <v>84</v>
      </c>
      <c r="G2990" s="80" t="s">
        <v>84</v>
      </c>
      <c r="H2990" s="80" t="s">
        <v>84</v>
      </c>
      <c r="I2990" s="80" t="s">
        <v>84</v>
      </c>
      <c r="J2990" s="80" t="s">
        <v>84</v>
      </c>
      <c r="K2990" s="80" t="s">
        <v>84</v>
      </c>
      <c r="L2990" s="80" t="s">
        <v>84</v>
      </c>
      <c r="M2990" s="80" t="s">
        <v>84</v>
      </c>
      <c r="N2990" s="80" t="s">
        <v>84</v>
      </c>
      <c r="O2990" s="80" t="s">
        <v>84</v>
      </c>
      <c r="Q2990" s="80" t="s">
        <v>84</v>
      </c>
      <c r="R2990" s="80" t="s">
        <v>84</v>
      </c>
    </row>
    <row r="2991" spans="1:18" ht="20" x14ac:dyDescent="0.2">
      <c r="A2991" s="80" t="s">
        <v>3432</v>
      </c>
      <c r="B2991" s="80" t="s">
        <v>3433</v>
      </c>
      <c r="C2991" s="80" t="s">
        <v>9680</v>
      </c>
      <c r="D2991" s="80" t="s">
        <v>84</v>
      </c>
      <c r="E2991" s="80" t="s">
        <v>84</v>
      </c>
      <c r="G2991" s="80" t="s">
        <v>84</v>
      </c>
      <c r="H2991" s="80" t="s">
        <v>84</v>
      </c>
      <c r="I2991" s="80" t="s">
        <v>84</v>
      </c>
      <c r="J2991" s="80" t="s">
        <v>84</v>
      </c>
      <c r="K2991" s="80" t="s">
        <v>84</v>
      </c>
      <c r="L2991" s="80" t="s">
        <v>84</v>
      </c>
      <c r="M2991" s="80" t="s">
        <v>84</v>
      </c>
      <c r="N2991" s="80" t="s">
        <v>84</v>
      </c>
      <c r="O2991" s="80" t="s">
        <v>84</v>
      </c>
      <c r="Q2991" s="80" t="s">
        <v>84</v>
      </c>
      <c r="R2991" s="80" t="s">
        <v>84</v>
      </c>
    </row>
    <row r="2992" spans="1:18" ht="20" x14ac:dyDescent="0.2">
      <c r="A2992" s="80" t="s">
        <v>3432</v>
      </c>
      <c r="B2992" s="80" t="s">
        <v>10783</v>
      </c>
      <c r="C2992" s="80" t="s">
        <v>9680</v>
      </c>
      <c r="D2992" s="80" t="s">
        <v>84</v>
      </c>
      <c r="E2992" s="80" t="s">
        <v>84</v>
      </c>
      <c r="G2992" s="80" t="s">
        <v>84</v>
      </c>
      <c r="H2992" s="80" t="s">
        <v>84</v>
      </c>
      <c r="I2992" s="80" t="s">
        <v>84</v>
      </c>
      <c r="J2992" s="80" t="s">
        <v>84</v>
      </c>
      <c r="K2992" s="80" t="s">
        <v>84</v>
      </c>
      <c r="L2992" s="80" t="s">
        <v>84</v>
      </c>
      <c r="M2992" s="80" t="s">
        <v>84</v>
      </c>
      <c r="N2992" s="80" t="s">
        <v>84</v>
      </c>
      <c r="O2992" s="80" t="s">
        <v>84</v>
      </c>
      <c r="Q2992" s="80" t="s">
        <v>84</v>
      </c>
      <c r="R2992" s="80" t="s">
        <v>84</v>
      </c>
    </row>
    <row r="2993" spans="1:18" ht="20" x14ac:dyDescent="0.2">
      <c r="A2993" s="80" t="s">
        <v>3434</v>
      </c>
      <c r="B2993" s="80" t="s">
        <v>3435</v>
      </c>
      <c r="C2993" s="80" t="s">
        <v>9680</v>
      </c>
      <c r="D2993" s="80" t="s">
        <v>84</v>
      </c>
      <c r="E2993" s="80" t="s">
        <v>84</v>
      </c>
      <c r="G2993" s="80" t="s">
        <v>84</v>
      </c>
      <c r="H2993" s="80" t="s">
        <v>84</v>
      </c>
      <c r="I2993" s="80" t="s">
        <v>84</v>
      </c>
      <c r="J2993" s="80" t="s">
        <v>84</v>
      </c>
      <c r="K2993" s="80" t="s">
        <v>84</v>
      </c>
      <c r="L2993" s="80" t="s">
        <v>84</v>
      </c>
      <c r="M2993" s="80" t="s">
        <v>84</v>
      </c>
      <c r="N2993" s="80" t="s">
        <v>84</v>
      </c>
      <c r="O2993" s="80" t="s">
        <v>84</v>
      </c>
      <c r="Q2993" s="80" t="s">
        <v>84</v>
      </c>
      <c r="R2993" s="80" t="s">
        <v>84</v>
      </c>
    </row>
    <row r="2994" spans="1:18" ht="20" x14ac:dyDescent="0.2">
      <c r="A2994" s="80" t="s">
        <v>3436</v>
      </c>
      <c r="B2994" s="80" t="s">
        <v>3437</v>
      </c>
      <c r="C2994" s="80" t="s">
        <v>9680</v>
      </c>
      <c r="D2994" s="80" t="s">
        <v>84</v>
      </c>
      <c r="E2994" s="80" t="s">
        <v>84</v>
      </c>
      <c r="G2994" s="80" t="s">
        <v>84</v>
      </c>
      <c r="H2994" s="80" t="s">
        <v>84</v>
      </c>
      <c r="I2994" s="80" t="s">
        <v>84</v>
      </c>
      <c r="J2994" s="80" t="s">
        <v>84</v>
      </c>
      <c r="K2994" s="80" t="s">
        <v>84</v>
      </c>
      <c r="L2994" s="80" t="s">
        <v>84</v>
      </c>
      <c r="M2994" s="80" t="s">
        <v>84</v>
      </c>
      <c r="N2994" s="80" t="s">
        <v>84</v>
      </c>
      <c r="O2994" s="80" t="s">
        <v>84</v>
      </c>
      <c r="Q2994" s="80" t="s">
        <v>84</v>
      </c>
      <c r="R2994" s="80" t="s">
        <v>84</v>
      </c>
    </row>
    <row r="2995" spans="1:18" ht="20" x14ac:dyDescent="0.2">
      <c r="A2995" s="80" t="s">
        <v>3438</v>
      </c>
      <c r="B2995" s="80" t="s">
        <v>3439</v>
      </c>
      <c r="C2995" s="80" t="s">
        <v>9680</v>
      </c>
      <c r="D2995" s="80" t="s">
        <v>84</v>
      </c>
      <c r="E2995" s="80" t="s">
        <v>84</v>
      </c>
      <c r="G2995" s="80" t="s">
        <v>84</v>
      </c>
      <c r="H2995" s="80" t="s">
        <v>84</v>
      </c>
      <c r="I2995" s="80" t="s">
        <v>84</v>
      </c>
      <c r="J2995" s="80" t="s">
        <v>84</v>
      </c>
      <c r="K2995" s="80" t="s">
        <v>84</v>
      </c>
      <c r="L2995" s="80" t="s">
        <v>84</v>
      </c>
      <c r="M2995" s="80" t="s">
        <v>84</v>
      </c>
      <c r="N2995" s="80" t="s">
        <v>84</v>
      </c>
      <c r="O2995" s="80" t="s">
        <v>84</v>
      </c>
      <c r="Q2995" s="80" t="s">
        <v>84</v>
      </c>
      <c r="R2995" s="80" t="s">
        <v>84</v>
      </c>
    </row>
    <row r="2996" spans="1:18" ht="20" x14ac:dyDescent="0.2">
      <c r="A2996" s="80" t="s">
        <v>3440</v>
      </c>
      <c r="B2996" s="80" t="s">
        <v>3441</v>
      </c>
      <c r="C2996" s="80" t="s">
        <v>9680</v>
      </c>
      <c r="D2996" s="80" t="s">
        <v>84</v>
      </c>
      <c r="E2996" s="80" t="s">
        <v>84</v>
      </c>
      <c r="G2996" s="80" t="s">
        <v>84</v>
      </c>
      <c r="H2996" s="80" t="s">
        <v>84</v>
      </c>
      <c r="I2996" s="80" t="s">
        <v>84</v>
      </c>
      <c r="J2996" s="80" t="s">
        <v>84</v>
      </c>
      <c r="K2996" s="80" t="s">
        <v>84</v>
      </c>
      <c r="L2996" s="80" t="s">
        <v>84</v>
      </c>
      <c r="M2996" s="80" t="s">
        <v>84</v>
      </c>
      <c r="N2996" s="80" t="s">
        <v>84</v>
      </c>
      <c r="O2996" s="80" t="s">
        <v>84</v>
      </c>
      <c r="Q2996" s="80" t="s">
        <v>84</v>
      </c>
      <c r="R2996" s="80" t="s">
        <v>84</v>
      </c>
    </row>
    <row r="2997" spans="1:18" ht="20" x14ac:dyDescent="0.2">
      <c r="A2997" s="80" t="s">
        <v>3442</v>
      </c>
      <c r="B2997" s="80" t="s">
        <v>3443</v>
      </c>
      <c r="C2997" s="80" t="s">
        <v>9680</v>
      </c>
      <c r="D2997" s="80" t="s">
        <v>84</v>
      </c>
      <c r="E2997" s="80" t="s">
        <v>84</v>
      </c>
      <c r="G2997" s="80" t="s">
        <v>84</v>
      </c>
      <c r="H2997" s="80" t="s">
        <v>84</v>
      </c>
      <c r="I2997" s="80" t="s">
        <v>84</v>
      </c>
      <c r="J2997" s="80" t="s">
        <v>84</v>
      </c>
      <c r="K2997" s="80" t="s">
        <v>84</v>
      </c>
      <c r="L2997" s="80" t="s">
        <v>84</v>
      </c>
      <c r="M2997" s="80" t="s">
        <v>84</v>
      </c>
      <c r="N2997" s="80" t="s">
        <v>84</v>
      </c>
      <c r="O2997" s="80" t="s">
        <v>84</v>
      </c>
      <c r="Q2997" s="80" t="s">
        <v>84</v>
      </c>
      <c r="R2997" s="80" t="s">
        <v>84</v>
      </c>
    </row>
    <row r="2998" spans="1:18" ht="20" x14ac:dyDescent="0.2">
      <c r="A2998" s="80" t="s">
        <v>3442</v>
      </c>
      <c r="B2998" s="80" t="s">
        <v>10784</v>
      </c>
      <c r="C2998" s="80" t="s">
        <v>9680</v>
      </c>
      <c r="D2998" s="80" t="s">
        <v>84</v>
      </c>
      <c r="E2998" s="80" t="s">
        <v>84</v>
      </c>
      <c r="G2998" s="80" t="s">
        <v>84</v>
      </c>
      <c r="H2998" s="80" t="s">
        <v>84</v>
      </c>
      <c r="I2998" s="80" t="s">
        <v>84</v>
      </c>
      <c r="J2998" s="80" t="s">
        <v>84</v>
      </c>
      <c r="K2998" s="80" t="s">
        <v>84</v>
      </c>
      <c r="L2998" s="80" t="s">
        <v>84</v>
      </c>
      <c r="M2998" s="80" t="s">
        <v>84</v>
      </c>
      <c r="N2998" s="80" t="s">
        <v>84</v>
      </c>
      <c r="O2998" s="80" t="s">
        <v>84</v>
      </c>
      <c r="Q2998" s="80" t="s">
        <v>84</v>
      </c>
      <c r="R2998" s="80" t="s">
        <v>84</v>
      </c>
    </row>
    <row r="2999" spans="1:18" ht="20" x14ac:dyDescent="0.2">
      <c r="A2999" s="80" t="s">
        <v>3446</v>
      </c>
      <c r="B2999" s="80" t="s">
        <v>3447</v>
      </c>
      <c r="C2999" s="80" t="s">
        <v>9680</v>
      </c>
      <c r="D2999" s="80" t="s">
        <v>84</v>
      </c>
      <c r="E2999" s="80" t="s">
        <v>84</v>
      </c>
      <c r="G2999" s="80" t="s">
        <v>84</v>
      </c>
      <c r="H2999" s="80" t="s">
        <v>84</v>
      </c>
      <c r="I2999" s="80" t="s">
        <v>84</v>
      </c>
      <c r="J2999" s="80" t="s">
        <v>84</v>
      </c>
      <c r="K2999" s="80" t="s">
        <v>84</v>
      </c>
      <c r="L2999" s="80" t="s">
        <v>84</v>
      </c>
      <c r="M2999" s="80" t="s">
        <v>84</v>
      </c>
      <c r="N2999" s="80" t="s">
        <v>84</v>
      </c>
      <c r="O2999" s="80" t="s">
        <v>84</v>
      </c>
      <c r="Q2999" s="80" t="s">
        <v>84</v>
      </c>
      <c r="R2999" s="80" t="s">
        <v>84</v>
      </c>
    </row>
    <row r="3000" spans="1:18" ht="20" x14ac:dyDescent="0.2">
      <c r="A3000" s="80" t="s">
        <v>3448</v>
      </c>
      <c r="B3000" s="80" t="s">
        <v>10785</v>
      </c>
      <c r="C3000" s="80" t="s">
        <v>9680</v>
      </c>
      <c r="D3000" s="80" t="s">
        <v>84</v>
      </c>
      <c r="E3000" s="80" t="s">
        <v>84</v>
      </c>
      <c r="G3000" s="80" t="s">
        <v>84</v>
      </c>
      <c r="H3000" s="80" t="s">
        <v>84</v>
      </c>
      <c r="I3000" s="80" t="s">
        <v>84</v>
      </c>
      <c r="J3000" s="80" t="s">
        <v>84</v>
      </c>
      <c r="K3000" s="80" t="s">
        <v>84</v>
      </c>
      <c r="L3000" s="80" t="s">
        <v>84</v>
      </c>
      <c r="M3000" s="80" t="s">
        <v>84</v>
      </c>
      <c r="N3000" s="80" t="s">
        <v>84</v>
      </c>
      <c r="O3000" s="80" t="s">
        <v>84</v>
      </c>
      <c r="Q3000" s="80" t="s">
        <v>84</v>
      </c>
      <c r="R3000" s="80" t="s">
        <v>84</v>
      </c>
    </row>
    <row r="3001" spans="1:18" ht="20" x14ac:dyDescent="0.2">
      <c r="A3001" s="80" t="s">
        <v>3448</v>
      </c>
      <c r="B3001" s="80" t="s">
        <v>3449</v>
      </c>
      <c r="C3001" s="80" t="s">
        <v>9680</v>
      </c>
      <c r="D3001" s="80" t="s">
        <v>84</v>
      </c>
      <c r="E3001" s="80" t="s">
        <v>84</v>
      </c>
      <c r="G3001" s="80" t="s">
        <v>84</v>
      </c>
      <c r="H3001" s="80" t="s">
        <v>84</v>
      </c>
      <c r="I3001" s="80" t="s">
        <v>84</v>
      </c>
      <c r="J3001" s="80" t="s">
        <v>84</v>
      </c>
      <c r="K3001" s="80" t="s">
        <v>84</v>
      </c>
      <c r="L3001" s="80" t="s">
        <v>84</v>
      </c>
      <c r="M3001" s="80" t="s">
        <v>84</v>
      </c>
      <c r="N3001" s="80" t="s">
        <v>84</v>
      </c>
      <c r="O3001" s="80" t="s">
        <v>84</v>
      </c>
      <c r="Q3001" s="80" t="s">
        <v>84</v>
      </c>
      <c r="R3001" s="80" t="s">
        <v>84</v>
      </c>
    </row>
    <row r="3002" spans="1:18" ht="20" x14ac:dyDescent="0.2">
      <c r="A3002" s="80" t="s">
        <v>401</v>
      </c>
      <c r="B3002" s="80" t="s">
        <v>402</v>
      </c>
      <c r="C3002" s="80" t="s">
        <v>9680</v>
      </c>
      <c r="D3002" s="80" t="s">
        <v>84</v>
      </c>
      <c r="E3002" s="80" t="s">
        <v>84</v>
      </c>
      <c r="G3002" s="80" t="s">
        <v>84</v>
      </c>
      <c r="H3002" s="80" t="s">
        <v>84</v>
      </c>
      <c r="I3002" s="80" t="s">
        <v>84</v>
      </c>
      <c r="J3002" s="80" t="s">
        <v>84</v>
      </c>
      <c r="K3002" s="80" t="s">
        <v>84</v>
      </c>
      <c r="L3002" s="80" t="s">
        <v>84</v>
      </c>
      <c r="M3002" s="80" t="s">
        <v>84</v>
      </c>
      <c r="N3002" s="80" t="s">
        <v>84</v>
      </c>
      <c r="O3002" s="80" t="s">
        <v>84</v>
      </c>
      <c r="Q3002" s="80" t="s">
        <v>84</v>
      </c>
      <c r="R3002" s="80" t="s">
        <v>84</v>
      </c>
    </row>
    <row r="3003" spans="1:18" ht="20" x14ac:dyDescent="0.2">
      <c r="A3003" s="80" t="s">
        <v>403</v>
      </c>
      <c r="B3003" s="80" t="s">
        <v>404</v>
      </c>
      <c r="C3003" s="80" t="s">
        <v>9680</v>
      </c>
      <c r="D3003" s="80" t="s">
        <v>84</v>
      </c>
      <c r="E3003" s="80" t="s">
        <v>84</v>
      </c>
      <c r="G3003" s="80" t="s">
        <v>84</v>
      </c>
      <c r="H3003" s="80" t="s">
        <v>84</v>
      </c>
      <c r="I3003" s="80" t="s">
        <v>84</v>
      </c>
      <c r="J3003" s="80" t="s">
        <v>84</v>
      </c>
      <c r="K3003" s="80" t="s">
        <v>84</v>
      </c>
      <c r="L3003" s="80" t="s">
        <v>84</v>
      </c>
      <c r="M3003" s="80" t="s">
        <v>84</v>
      </c>
      <c r="N3003" s="80" t="s">
        <v>84</v>
      </c>
      <c r="O3003" s="80" t="s">
        <v>84</v>
      </c>
      <c r="Q3003" s="80" t="s">
        <v>84</v>
      </c>
      <c r="R3003" s="80" t="s">
        <v>84</v>
      </c>
    </row>
    <row r="3004" spans="1:18" ht="20" x14ac:dyDescent="0.2">
      <c r="A3004" s="80" t="s">
        <v>1568</v>
      </c>
      <c r="B3004" s="80" t="s">
        <v>1569</v>
      </c>
      <c r="C3004" s="80" t="s">
        <v>9680</v>
      </c>
      <c r="D3004" s="80" t="s">
        <v>84</v>
      </c>
      <c r="E3004" s="80" t="s">
        <v>84</v>
      </c>
      <c r="G3004" s="80" t="s">
        <v>84</v>
      </c>
      <c r="H3004" s="80" t="s">
        <v>84</v>
      </c>
      <c r="I3004" s="80" t="s">
        <v>84</v>
      </c>
      <c r="J3004" s="80" t="s">
        <v>84</v>
      </c>
      <c r="K3004" s="80" t="s">
        <v>84</v>
      </c>
      <c r="L3004" s="80" t="s">
        <v>84</v>
      </c>
      <c r="M3004" s="80" t="s">
        <v>84</v>
      </c>
      <c r="N3004" s="80" t="s">
        <v>84</v>
      </c>
      <c r="O3004" s="80" t="s">
        <v>84</v>
      </c>
      <c r="Q3004" s="80" t="s">
        <v>84</v>
      </c>
      <c r="R3004" s="80" t="s">
        <v>84</v>
      </c>
    </row>
    <row r="3005" spans="1:18" ht="20" x14ac:dyDescent="0.2">
      <c r="A3005" s="80" t="s">
        <v>6110</v>
      </c>
      <c r="B3005" s="80" t="s">
        <v>6111</v>
      </c>
      <c r="C3005" s="80" t="s">
        <v>84</v>
      </c>
      <c r="D3005" s="80" t="s">
        <v>84</v>
      </c>
      <c r="E3005" s="80" t="s">
        <v>84</v>
      </c>
      <c r="G3005" s="80" t="s">
        <v>84</v>
      </c>
      <c r="H3005" s="80" t="s">
        <v>84</v>
      </c>
      <c r="I3005" s="80" t="s">
        <v>84</v>
      </c>
      <c r="J3005" s="80" t="s">
        <v>84</v>
      </c>
      <c r="K3005" s="80" t="s">
        <v>84</v>
      </c>
      <c r="L3005" s="80" t="s">
        <v>84</v>
      </c>
      <c r="M3005" s="80" t="s">
        <v>84</v>
      </c>
      <c r="N3005" s="80" t="s">
        <v>84</v>
      </c>
      <c r="O3005" s="80" t="s">
        <v>84</v>
      </c>
      <c r="Q3005" s="80" t="s">
        <v>84</v>
      </c>
      <c r="R3005" s="80" t="s">
        <v>84</v>
      </c>
    </row>
    <row r="3006" spans="1:18" ht="20" x14ac:dyDescent="0.2">
      <c r="A3006" s="80" t="s">
        <v>5471</v>
      </c>
      <c r="B3006" s="80" t="s">
        <v>5472</v>
      </c>
      <c r="C3006" s="80" t="s">
        <v>9722</v>
      </c>
      <c r="D3006" s="80" t="s">
        <v>84</v>
      </c>
      <c r="E3006" s="80" t="s">
        <v>84</v>
      </c>
      <c r="G3006" s="80" t="s">
        <v>84</v>
      </c>
      <c r="H3006" s="80" t="s">
        <v>84</v>
      </c>
      <c r="I3006" s="80" t="s">
        <v>84</v>
      </c>
      <c r="J3006" s="80" t="s">
        <v>84</v>
      </c>
      <c r="K3006" s="80" t="s">
        <v>84</v>
      </c>
      <c r="L3006" s="80" t="s">
        <v>84</v>
      </c>
      <c r="M3006" s="80" t="s">
        <v>84</v>
      </c>
      <c r="N3006" s="80" t="s">
        <v>84</v>
      </c>
      <c r="O3006" s="80" t="s">
        <v>84</v>
      </c>
      <c r="Q3006" s="80" t="s">
        <v>84</v>
      </c>
      <c r="R3006" s="80" t="s">
        <v>84</v>
      </c>
    </row>
    <row r="3007" spans="1:18" ht="20" x14ac:dyDescent="0.2">
      <c r="A3007" s="80" t="s">
        <v>5473</v>
      </c>
      <c r="B3007" s="80" t="s">
        <v>5474</v>
      </c>
      <c r="C3007" s="80" t="s">
        <v>84</v>
      </c>
      <c r="D3007" s="80" t="s">
        <v>84</v>
      </c>
      <c r="E3007" s="80" t="s">
        <v>84</v>
      </c>
      <c r="G3007" s="80" t="s">
        <v>84</v>
      </c>
      <c r="H3007" s="80" t="s">
        <v>84</v>
      </c>
      <c r="I3007" s="80" t="s">
        <v>84</v>
      </c>
      <c r="J3007" s="80" t="s">
        <v>84</v>
      </c>
      <c r="K3007" s="80" t="s">
        <v>84</v>
      </c>
      <c r="L3007" s="80" t="s">
        <v>84</v>
      </c>
      <c r="M3007" s="80" t="s">
        <v>84</v>
      </c>
      <c r="N3007" s="80" t="s">
        <v>84</v>
      </c>
      <c r="O3007" s="80" t="s">
        <v>84</v>
      </c>
      <c r="Q3007" s="80" t="s">
        <v>84</v>
      </c>
      <c r="R3007" s="80" t="s">
        <v>84</v>
      </c>
    </row>
    <row r="3008" spans="1:18" ht="20" x14ac:dyDescent="0.2">
      <c r="A3008" s="80" t="s">
        <v>5475</v>
      </c>
      <c r="B3008" s="80" t="s">
        <v>5476</v>
      </c>
      <c r="C3008" s="80" t="s">
        <v>9722</v>
      </c>
      <c r="D3008" s="80" t="s">
        <v>84</v>
      </c>
      <c r="E3008" s="80" t="s">
        <v>84</v>
      </c>
      <c r="G3008" s="80" t="s">
        <v>84</v>
      </c>
      <c r="H3008" s="80" t="s">
        <v>84</v>
      </c>
      <c r="I3008" s="80" t="s">
        <v>84</v>
      </c>
      <c r="J3008" s="80" t="s">
        <v>84</v>
      </c>
      <c r="K3008" s="80" t="s">
        <v>84</v>
      </c>
      <c r="L3008" s="80" t="s">
        <v>84</v>
      </c>
      <c r="M3008" s="80" t="s">
        <v>84</v>
      </c>
      <c r="N3008" s="80" t="s">
        <v>84</v>
      </c>
      <c r="O3008" s="80" t="s">
        <v>84</v>
      </c>
      <c r="Q3008" s="80" t="s">
        <v>84</v>
      </c>
      <c r="R3008" s="80" t="s">
        <v>84</v>
      </c>
    </row>
    <row r="3009" spans="1:18" ht="20" x14ac:dyDescent="0.2">
      <c r="A3009" s="80" t="s">
        <v>5479</v>
      </c>
      <c r="B3009" s="80" t="s">
        <v>5480</v>
      </c>
      <c r="C3009" s="80" t="s">
        <v>9722</v>
      </c>
      <c r="D3009" s="80" t="s">
        <v>84</v>
      </c>
      <c r="E3009" s="80" t="s">
        <v>84</v>
      </c>
      <c r="G3009" s="80" t="s">
        <v>84</v>
      </c>
      <c r="H3009" s="80" t="s">
        <v>84</v>
      </c>
      <c r="I3009" s="80" t="s">
        <v>84</v>
      </c>
      <c r="J3009" s="80" t="s">
        <v>84</v>
      </c>
      <c r="K3009" s="80" t="s">
        <v>84</v>
      </c>
      <c r="L3009" s="80" t="s">
        <v>84</v>
      </c>
      <c r="M3009" s="80" t="s">
        <v>84</v>
      </c>
      <c r="N3009" s="80" t="s">
        <v>84</v>
      </c>
      <c r="O3009" s="80" t="s">
        <v>84</v>
      </c>
      <c r="Q3009" s="80" t="s">
        <v>84</v>
      </c>
      <c r="R3009" s="80" t="s">
        <v>84</v>
      </c>
    </row>
    <row r="3010" spans="1:18" ht="20" x14ac:dyDescent="0.2">
      <c r="A3010" s="80" t="s">
        <v>5479</v>
      </c>
      <c r="B3010" s="80" t="s">
        <v>10786</v>
      </c>
      <c r="C3010" s="80" t="s">
        <v>9722</v>
      </c>
      <c r="D3010" s="80" t="s">
        <v>84</v>
      </c>
      <c r="E3010" s="80" t="s">
        <v>84</v>
      </c>
      <c r="G3010" s="80" t="s">
        <v>84</v>
      </c>
      <c r="H3010" s="80" t="s">
        <v>84</v>
      </c>
      <c r="I3010" s="80" t="s">
        <v>84</v>
      </c>
      <c r="J3010" s="80" t="s">
        <v>84</v>
      </c>
      <c r="K3010" s="80" t="s">
        <v>84</v>
      </c>
      <c r="L3010" s="80" t="s">
        <v>84</v>
      </c>
      <c r="M3010" s="80" t="s">
        <v>84</v>
      </c>
      <c r="N3010" s="80" t="s">
        <v>84</v>
      </c>
      <c r="O3010" s="80" t="s">
        <v>84</v>
      </c>
      <c r="Q3010" s="80" t="s">
        <v>84</v>
      </c>
      <c r="R3010" s="80" t="s">
        <v>84</v>
      </c>
    </row>
    <row r="3011" spans="1:18" ht="20" x14ac:dyDescent="0.2">
      <c r="A3011" s="80" t="s">
        <v>5481</v>
      </c>
      <c r="B3011" s="80" t="s">
        <v>5482</v>
      </c>
      <c r="C3011" s="80" t="s">
        <v>9722</v>
      </c>
      <c r="D3011" s="80" t="s">
        <v>84</v>
      </c>
      <c r="E3011" s="80" t="s">
        <v>84</v>
      </c>
      <c r="G3011" s="80" t="s">
        <v>84</v>
      </c>
      <c r="H3011" s="80" t="s">
        <v>84</v>
      </c>
      <c r="I3011" s="80" t="s">
        <v>84</v>
      </c>
      <c r="J3011" s="80" t="s">
        <v>84</v>
      </c>
      <c r="K3011" s="80" t="s">
        <v>84</v>
      </c>
      <c r="L3011" s="80" t="s">
        <v>84</v>
      </c>
      <c r="M3011" s="80" t="s">
        <v>84</v>
      </c>
      <c r="N3011" s="80" t="s">
        <v>84</v>
      </c>
      <c r="O3011" s="80" t="s">
        <v>84</v>
      </c>
      <c r="Q3011" s="80" t="s">
        <v>84</v>
      </c>
      <c r="R3011" s="80" t="s">
        <v>84</v>
      </c>
    </row>
    <row r="3012" spans="1:18" ht="20" x14ac:dyDescent="0.2">
      <c r="A3012" s="80" t="s">
        <v>5483</v>
      </c>
      <c r="B3012" s="80" t="s">
        <v>5484</v>
      </c>
      <c r="C3012" s="80" t="s">
        <v>9722</v>
      </c>
      <c r="D3012" s="80" t="s">
        <v>84</v>
      </c>
      <c r="E3012" s="80" t="s">
        <v>84</v>
      </c>
      <c r="G3012" s="80" t="s">
        <v>84</v>
      </c>
      <c r="H3012" s="80" t="s">
        <v>84</v>
      </c>
      <c r="I3012" s="80" t="s">
        <v>84</v>
      </c>
      <c r="J3012" s="80" t="s">
        <v>84</v>
      </c>
      <c r="K3012" s="80" t="s">
        <v>84</v>
      </c>
      <c r="L3012" s="80" t="s">
        <v>84</v>
      </c>
      <c r="M3012" s="80" t="s">
        <v>84</v>
      </c>
      <c r="N3012" s="80" t="s">
        <v>84</v>
      </c>
      <c r="O3012" s="80" t="s">
        <v>84</v>
      </c>
      <c r="Q3012" s="80" t="s">
        <v>84</v>
      </c>
      <c r="R3012" s="80" t="s">
        <v>84</v>
      </c>
    </row>
    <row r="3013" spans="1:18" ht="20" x14ac:dyDescent="0.2">
      <c r="A3013" s="80" t="s">
        <v>3452</v>
      </c>
      <c r="B3013" s="80" t="s">
        <v>3453</v>
      </c>
      <c r="C3013" s="80" t="s">
        <v>9680</v>
      </c>
      <c r="D3013" s="80" t="s">
        <v>84</v>
      </c>
      <c r="E3013" s="80" t="s">
        <v>84</v>
      </c>
      <c r="G3013" s="80" t="s">
        <v>84</v>
      </c>
      <c r="H3013" s="80" t="s">
        <v>84</v>
      </c>
      <c r="I3013" s="80" t="s">
        <v>84</v>
      </c>
      <c r="J3013" s="80" t="s">
        <v>84</v>
      </c>
      <c r="K3013" s="80" t="s">
        <v>84</v>
      </c>
      <c r="L3013" s="80" t="s">
        <v>84</v>
      </c>
      <c r="M3013" s="80" t="s">
        <v>84</v>
      </c>
      <c r="N3013" s="80" t="s">
        <v>84</v>
      </c>
      <c r="O3013" s="80" t="s">
        <v>84</v>
      </c>
      <c r="Q3013" s="80" t="s">
        <v>84</v>
      </c>
      <c r="R3013" s="80" t="s">
        <v>84</v>
      </c>
    </row>
    <row r="3014" spans="1:18" ht="20" x14ac:dyDescent="0.2">
      <c r="A3014" s="80" t="s">
        <v>3454</v>
      </c>
      <c r="B3014" s="80" t="s">
        <v>10787</v>
      </c>
      <c r="C3014" s="80" t="s">
        <v>9680</v>
      </c>
      <c r="D3014" s="80" t="s">
        <v>84</v>
      </c>
      <c r="E3014" s="80" t="s">
        <v>84</v>
      </c>
      <c r="G3014" s="80" t="s">
        <v>84</v>
      </c>
      <c r="H3014" s="80" t="s">
        <v>84</v>
      </c>
      <c r="I3014" s="80" t="s">
        <v>84</v>
      </c>
      <c r="J3014" s="80" t="s">
        <v>84</v>
      </c>
      <c r="K3014" s="80" t="s">
        <v>84</v>
      </c>
      <c r="L3014" s="80" t="s">
        <v>84</v>
      </c>
      <c r="M3014" s="80" t="s">
        <v>84</v>
      </c>
      <c r="N3014" s="80" t="s">
        <v>84</v>
      </c>
      <c r="O3014" s="80" t="s">
        <v>84</v>
      </c>
      <c r="Q3014" s="80" t="s">
        <v>84</v>
      </c>
      <c r="R3014" s="80" t="s">
        <v>84</v>
      </c>
    </row>
    <row r="3015" spans="1:18" ht="20" x14ac:dyDescent="0.2">
      <c r="A3015" s="80" t="s">
        <v>3454</v>
      </c>
      <c r="B3015" s="80" t="s">
        <v>3455</v>
      </c>
      <c r="C3015" s="80" t="s">
        <v>9680</v>
      </c>
      <c r="D3015" s="80" t="s">
        <v>84</v>
      </c>
      <c r="E3015" s="80" t="s">
        <v>84</v>
      </c>
      <c r="G3015" s="80" t="s">
        <v>84</v>
      </c>
      <c r="H3015" s="80" t="s">
        <v>84</v>
      </c>
      <c r="I3015" s="80" t="s">
        <v>84</v>
      </c>
      <c r="J3015" s="80" t="s">
        <v>84</v>
      </c>
      <c r="K3015" s="80" t="s">
        <v>84</v>
      </c>
      <c r="L3015" s="80" t="s">
        <v>84</v>
      </c>
      <c r="M3015" s="80" t="s">
        <v>84</v>
      </c>
      <c r="N3015" s="80" t="s">
        <v>84</v>
      </c>
      <c r="O3015" s="80" t="s">
        <v>84</v>
      </c>
      <c r="Q3015" s="80" t="s">
        <v>84</v>
      </c>
      <c r="R3015" s="80" t="s">
        <v>84</v>
      </c>
    </row>
    <row r="3016" spans="1:18" ht="20" x14ac:dyDescent="0.2">
      <c r="A3016" s="80" t="s">
        <v>3456</v>
      </c>
      <c r="B3016" s="80" t="s">
        <v>3457</v>
      </c>
      <c r="C3016" s="80" t="s">
        <v>9680</v>
      </c>
      <c r="D3016" s="80" t="s">
        <v>84</v>
      </c>
      <c r="E3016" s="80" t="s">
        <v>84</v>
      </c>
      <c r="G3016" s="80" t="s">
        <v>84</v>
      </c>
      <c r="H3016" s="80" t="s">
        <v>84</v>
      </c>
      <c r="I3016" s="80" t="s">
        <v>84</v>
      </c>
      <c r="J3016" s="80" t="s">
        <v>84</v>
      </c>
      <c r="K3016" s="80" t="s">
        <v>84</v>
      </c>
      <c r="L3016" s="80" t="s">
        <v>84</v>
      </c>
      <c r="M3016" s="80" t="s">
        <v>84</v>
      </c>
      <c r="N3016" s="80" t="s">
        <v>84</v>
      </c>
      <c r="O3016" s="80" t="s">
        <v>84</v>
      </c>
      <c r="Q3016" s="80" t="s">
        <v>84</v>
      </c>
      <c r="R3016" s="80" t="s">
        <v>84</v>
      </c>
    </row>
    <row r="3017" spans="1:18" ht="20" x14ac:dyDescent="0.2">
      <c r="A3017" s="80" t="s">
        <v>3458</v>
      </c>
      <c r="B3017" s="80" t="s">
        <v>3459</v>
      </c>
      <c r="C3017" s="80" t="s">
        <v>9680</v>
      </c>
      <c r="D3017" s="80" t="s">
        <v>84</v>
      </c>
      <c r="E3017" s="80" t="s">
        <v>84</v>
      </c>
      <c r="G3017" s="80" t="s">
        <v>84</v>
      </c>
      <c r="H3017" s="80" t="s">
        <v>84</v>
      </c>
      <c r="I3017" s="80" t="s">
        <v>84</v>
      </c>
      <c r="J3017" s="80" t="s">
        <v>84</v>
      </c>
      <c r="K3017" s="80" t="s">
        <v>84</v>
      </c>
      <c r="L3017" s="80" t="s">
        <v>84</v>
      </c>
      <c r="M3017" s="80" t="s">
        <v>84</v>
      </c>
      <c r="N3017" s="80" t="s">
        <v>84</v>
      </c>
      <c r="O3017" s="80" t="s">
        <v>84</v>
      </c>
      <c r="Q3017" s="80" t="s">
        <v>84</v>
      </c>
      <c r="R3017" s="80" t="s">
        <v>84</v>
      </c>
    </row>
    <row r="3018" spans="1:18" ht="20" x14ac:dyDescent="0.2">
      <c r="A3018" s="80" t="s">
        <v>1879</v>
      </c>
      <c r="B3018" s="80" t="s">
        <v>1880</v>
      </c>
      <c r="C3018" s="80" t="s">
        <v>9680</v>
      </c>
      <c r="D3018" s="80" t="s">
        <v>84</v>
      </c>
      <c r="E3018" s="80" t="s">
        <v>84</v>
      </c>
      <c r="G3018" s="80" t="s">
        <v>84</v>
      </c>
      <c r="H3018" s="80" t="s">
        <v>84</v>
      </c>
      <c r="I3018" s="80" t="s">
        <v>84</v>
      </c>
      <c r="J3018" s="80" t="s">
        <v>84</v>
      </c>
      <c r="K3018" s="80" t="s">
        <v>84</v>
      </c>
      <c r="L3018" s="80" t="s">
        <v>84</v>
      </c>
      <c r="M3018" s="80" t="s">
        <v>84</v>
      </c>
      <c r="N3018" s="80" t="s">
        <v>84</v>
      </c>
      <c r="O3018" s="80" t="s">
        <v>84</v>
      </c>
      <c r="Q3018" s="80" t="s">
        <v>84</v>
      </c>
      <c r="R3018" s="80" t="s">
        <v>84</v>
      </c>
    </row>
    <row r="3019" spans="1:18" ht="20" x14ac:dyDescent="0.2">
      <c r="A3019" s="80" t="s">
        <v>1881</v>
      </c>
      <c r="B3019" s="80" t="s">
        <v>10788</v>
      </c>
      <c r="C3019" s="80" t="s">
        <v>9680</v>
      </c>
      <c r="D3019" s="80" t="s">
        <v>84</v>
      </c>
      <c r="E3019" s="80" t="s">
        <v>84</v>
      </c>
      <c r="G3019" s="80" t="s">
        <v>84</v>
      </c>
      <c r="H3019" s="80" t="s">
        <v>84</v>
      </c>
      <c r="I3019" s="80" t="s">
        <v>84</v>
      </c>
      <c r="J3019" s="80" t="s">
        <v>84</v>
      </c>
      <c r="K3019" s="80" t="s">
        <v>84</v>
      </c>
      <c r="L3019" s="80" t="s">
        <v>84</v>
      </c>
      <c r="M3019" s="80" t="s">
        <v>84</v>
      </c>
      <c r="N3019" s="80" t="s">
        <v>84</v>
      </c>
      <c r="O3019" s="80" t="s">
        <v>84</v>
      </c>
      <c r="Q3019" s="80" t="s">
        <v>84</v>
      </c>
      <c r="R3019" s="80" t="s">
        <v>84</v>
      </c>
    </row>
    <row r="3020" spans="1:18" ht="20" x14ac:dyDescent="0.2">
      <c r="A3020" s="80" t="s">
        <v>1881</v>
      </c>
      <c r="B3020" s="80" t="s">
        <v>1882</v>
      </c>
      <c r="C3020" s="80" t="s">
        <v>9680</v>
      </c>
      <c r="D3020" s="80" t="s">
        <v>84</v>
      </c>
      <c r="E3020" s="80" t="s">
        <v>84</v>
      </c>
      <c r="G3020" s="80" t="s">
        <v>84</v>
      </c>
      <c r="H3020" s="80" t="s">
        <v>84</v>
      </c>
      <c r="I3020" s="80" t="s">
        <v>84</v>
      </c>
      <c r="J3020" s="80" t="s">
        <v>84</v>
      </c>
      <c r="K3020" s="80" t="s">
        <v>84</v>
      </c>
      <c r="L3020" s="80" t="s">
        <v>84</v>
      </c>
      <c r="M3020" s="80" t="s">
        <v>84</v>
      </c>
      <c r="N3020" s="80" t="s">
        <v>84</v>
      </c>
      <c r="O3020" s="80" t="s">
        <v>84</v>
      </c>
      <c r="Q3020" s="80" t="s">
        <v>84</v>
      </c>
      <c r="R3020" s="80" t="s">
        <v>84</v>
      </c>
    </row>
    <row r="3021" spans="1:18" ht="20" x14ac:dyDescent="0.2">
      <c r="A3021" s="80" t="s">
        <v>1883</v>
      </c>
      <c r="B3021" s="80" t="s">
        <v>1884</v>
      </c>
      <c r="C3021" s="80" t="s">
        <v>9680</v>
      </c>
      <c r="D3021" s="80" t="s">
        <v>84</v>
      </c>
      <c r="E3021" s="80" t="s">
        <v>84</v>
      </c>
      <c r="G3021" s="80" t="s">
        <v>84</v>
      </c>
      <c r="H3021" s="80" t="s">
        <v>84</v>
      </c>
      <c r="I3021" s="80" t="s">
        <v>84</v>
      </c>
      <c r="J3021" s="80" t="s">
        <v>84</v>
      </c>
      <c r="K3021" s="80" t="s">
        <v>84</v>
      </c>
      <c r="L3021" s="80" t="s">
        <v>84</v>
      </c>
      <c r="M3021" s="80" t="s">
        <v>84</v>
      </c>
      <c r="N3021" s="80" t="s">
        <v>84</v>
      </c>
      <c r="O3021" s="80" t="s">
        <v>84</v>
      </c>
      <c r="Q3021" s="80" t="s">
        <v>84</v>
      </c>
      <c r="R3021" s="80" t="s">
        <v>84</v>
      </c>
    </row>
    <row r="3022" spans="1:18" ht="20" x14ac:dyDescent="0.2">
      <c r="A3022" s="80" t="s">
        <v>1118</v>
      </c>
      <c r="B3022" s="80" t="s">
        <v>10789</v>
      </c>
      <c r="C3022" s="80" t="s">
        <v>9680</v>
      </c>
      <c r="D3022" s="80" t="s">
        <v>84</v>
      </c>
      <c r="E3022" s="80" t="s">
        <v>84</v>
      </c>
      <c r="G3022" s="80" t="s">
        <v>84</v>
      </c>
      <c r="H3022" s="80" t="s">
        <v>84</v>
      </c>
      <c r="I3022" s="80" t="s">
        <v>84</v>
      </c>
      <c r="J3022" s="80" t="s">
        <v>84</v>
      </c>
      <c r="K3022" s="80" t="s">
        <v>84</v>
      </c>
      <c r="L3022" s="80" t="s">
        <v>84</v>
      </c>
      <c r="M3022" s="80" t="s">
        <v>84</v>
      </c>
      <c r="N3022" s="80" t="s">
        <v>84</v>
      </c>
      <c r="O3022" s="80" t="s">
        <v>84</v>
      </c>
      <c r="Q3022" s="80" t="s">
        <v>84</v>
      </c>
      <c r="R3022" s="80" t="s">
        <v>84</v>
      </c>
    </row>
    <row r="3023" spans="1:18" ht="20" x14ac:dyDescent="0.2">
      <c r="A3023" s="80" t="s">
        <v>1118</v>
      </c>
      <c r="B3023" s="80" t="s">
        <v>1119</v>
      </c>
      <c r="C3023" s="80" t="s">
        <v>9680</v>
      </c>
      <c r="D3023" s="80" t="s">
        <v>84</v>
      </c>
      <c r="E3023" s="80" t="s">
        <v>84</v>
      </c>
      <c r="G3023" s="80" t="s">
        <v>84</v>
      </c>
      <c r="H3023" s="80" t="s">
        <v>84</v>
      </c>
      <c r="I3023" s="80" t="s">
        <v>84</v>
      </c>
      <c r="J3023" s="80" t="s">
        <v>84</v>
      </c>
      <c r="K3023" s="80" t="s">
        <v>84</v>
      </c>
      <c r="L3023" s="80" t="s">
        <v>84</v>
      </c>
      <c r="M3023" s="80" t="s">
        <v>84</v>
      </c>
      <c r="N3023" s="80" t="s">
        <v>84</v>
      </c>
      <c r="O3023" s="80" t="s">
        <v>84</v>
      </c>
      <c r="Q3023" s="80" t="s">
        <v>84</v>
      </c>
      <c r="R3023" s="80" t="s">
        <v>84</v>
      </c>
    </row>
    <row r="3024" spans="1:18" ht="20" x14ac:dyDescent="0.2">
      <c r="A3024" s="80" t="s">
        <v>1120</v>
      </c>
      <c r="B3024" s="80" t="s">
        <v>10790</v>
      </c>
      <c r="C3024" s="80" t="s">
        <v>9680</v>
      </c>
      <c r="D3024" s="80" t="s">
        <v>84</v>
      </c>
      <c r="E3024" s="80" t="s">
        <v>84</v>
      </c>
      <c r="G3024" s="80" t="s">
        <v>84</v>
      </c>
      <c r="H3024" s="80" t="s">
        <v>84</v>
      </c>
      <c r="I3024" s="80" t="s">
        <v>84</v>
      </c>
      <c r="J3024" s="80" t="s">
        <v>84</v>
      </c>
      <c r="K3024" s="80" t="s">
        <v>84</v>
      </c>
      <c r="L3024" s="80" t="s">
        <v>84</v>
      </c>
      <c r="M3024" s="80" t="s">
        <v>84</v>
      </c>
      <c r="N3024" s="80" t="s">
        <v>84</v>
      </c>
      <c r="O3024" s="80" t="s">
        <v>84</v>
      </c>
      <c r="Q3024" s="80" t="s">
        <v>84</v>
      </c>
      <c r="R3024" s="80" t="s">
        <v>84</v>
      </c>
    </row>
    <row r="3025" spans="1:18" ht="20" x14ac:dyDescent="0.2">
      <c r="A3025" s="80" t="s">
        <v>1120</v>
      </c>
      <c r="B3025" s="80" t="s">
        <v>1121</v>
      </c>
      <c r="C3025" s="80" t="s">
        <v>9680</v>
      </c>
      <c r="D3025" s="80" t="s">
        <v>84</v>
      </c>
      <c r="E3025" s="80" t="s">
        <v>84</v>
      </c>
      <c r="G3025" s="80" t="s">
        <v>84</v>
      </c>
      <c r="H3025" s="80" t="s">
        <v>84</v>
      </c>
      <c r="I3025" s="80" t="s">
        <v>84</v>
      </c>
      <c r="J3025" s="80" t="s">
        <v>84</v>
      </c>
      <c r="K3025" s="80" t="s">
        <v>84</v>
      </c>
      <c r="L3025" s="80" t="s">
        <v>84</v>
      </c>
      <c r="M3025" s="80" t="s">
        <v>84</v>
      </c>
      <c r="N3025" s="80" t="s">
        <v>84</v>
      </c>
      <c r="O3025" s="80" t="s">
        <v>84</v>
      </c>
      <c r="Q3025" s="80" t="s">
        <v>84</v>
      </c>
      <c r="R3025" s="80" t="s">
        <v>84</v>
      </c>
    </row>
    <row r="3026" spans="1:18" ht="20" x14ac:dyDescent="0.2">
      <c r="A3026" s="80" t="s">
        <v>1122</v>
      </c>
      <c r="B3026" s="80" t="s">
        <v>10791</v>
      </c>
      <c r="C3026" s="80" t="s">
        <v>9680</v>
      </c>
      <c r="D3026" s="80" t="s">
        <v>84</v>
      </c>
      <c r="E3026" s="80" t="s">
        <v>84</v>
      </c>
      <c r="G3026" s="80" t="s">
        <v>84</v>
      </c>
      <c r="H3026" s="80" t="s">
        <v>84</v>
      </c>
      <c r="I3026" s="80" t="s">
        <v>84</v>
      </c>
      <c r="J3026" s="80" t="s">
        <v>84</v>
      </c>
      <c r="K3026" s="80" t="s">
        <v>84</v>
      </c>
      <c r="L3026" s="80" t="s">
        <v>84</v>
      </c>
      <c r="M3026" s="80" t="s">
        <v>84</v>
      </c>
      <c r="N3026" s="80" t="s">
        <v>84</v>
      </c>
      <c r="O3026" s="80" t="s">
        <v>84</v>
      </c>
      <c r="Q3026" s="80" t="s">
        <v>84</v>
      </c>
      <c r="R3026" s="80" t="s">
        <v>84</v>
      </c>
    </row>
    <row r="3027" spans="1:18" ht="20" x14ac:dyDescent="0.2">
      <c r="A3027" s="80" t="s">
        <v>1122</v>
      </c>
      <c r="B3027" s="80" t="s">
        <v>1123</v>
      </c>
      <c r="C3027" s="80" t="s">
        <v>9680</v>
      </c>
      <c r="D3027" s="80" t="s">
        <v>84</v>
      </c>
      <c r="E3027" s="80" t="s">
        <v>84</v>
      </c>
      <c r="G3027" s="80" t="s">
        <v>84</v>
      </c>
      <c r="H3027" s="80" t="s">
        <v>84</v>
      </c>
      <c r="I3027" s="80" t="s">
        <v>84</v>
      </c>
      <c r="J3027" s="80" t="s">
        <v>84</v>
      </c>
      <c r="K3027" s="80" t="s">
        <v>84</v>
      </c>
      <c r="L3027" s="80" t="s">
        <v>84</v>
      </c>
      <c r="M3027" s="80" t="s">
        <v>84</v>
      </c>
      <c r="N3027" s="80" t="s">
        <v>84</v>
      </c>
      <c r="O3027" s="80" t="s">
        <v>84</v>
      </c>
      <c r="Q3027" s="80" t="s">
        <v>84</v>
      </c>
      <c r="R3027" s="80" t="s">
        <v>84</v>
      </c>
    </row>
    <row r="3028" spans="1:18" ht="20" x14ac:dyDescent="0.2">
      <c r="A3028" s="80" t="s">
        <v>1124</v>
      </c>
      <c r="B3028" s="80" t="s">
        <v>10792</v>
      </c>
      <c r="C3028" s="80" t="s">
        <v>9680</v>
      </c>
      <c r="D3028" s="80" t="s">
        <v>84</v>
      </c>
      <c r="E3028" s="80" t="s">
        <v>84</v>
      </c>
      <c r="G3028" s="80" t="s">
        <v>84</v>
      </c>
      <c r="H3028" s="80" t="s">
        <v>84</v>
      </c>
      <c r="I3028" s="80" t="s">
        <v>84</v>
      </c>
      <c r="J3028" s="80" t="s">
        <v>84</v>
      </c>
      <c r="K3028" s="80" t="s">
        <v>84</v>
      </c>
      <c r="L3028" s="80" t="s">
        <v>84</v>
      </c>
      <c r="M3028" s="80" t="s">
        <v>84</v>
      </c>
      <c r="N3028" s="80" t="s">
        <v>84</v>
      </c>
      <c r="O3028" s="80" t="s">
        <v>84</v>
      </c>
      <c r="Q3028" s="80" t="s">
        <v>84</v>
      </c>
      <c r="R3028" s="80" t="s">
        <v>84</v>
      </c>
    </row>
    <row r="3029" spans="1:18" ht="20" x14ac:dyDescent="0.2">
      <c r="A3029" s="80" t="s">
        <v>1124</v>
      </c>
      <c r="B3029" s="80" t="s">
        <v>1125</v>
      </c>
      <c r="C3029" s="80" t="s">
        <v>9680</v>
      </c>
      <c r="D3029" s="80" t="s">
        <v>84</v>
      </c>
      <c r="E3029" s="80" t="s">
        <v>84</v>
      </c>
      <c r="G3029" s="80" t="s">
        <v>84</v>
      </c>
      <c r="H3029" s="80" t="s">
        <v>84</v>
      </c>
      <c r="I3029" s="80" t="s">
        <v>84</v>
      </c>
      <c r="J3029" s="80" t="s">
        <v>84</v>
      </c>
      <c r="K3029" s="80" t="s">
        <v>84</v>
      </c>
      <c r="L3029" s="80" t="s">
        <v>84</v>
      </c>
      <c r="M3029" s="80" t="s">
        <v>84</v>
      </c>
      <c r="N3029" s="80" t="s">
        <v>84</v>
      </c>
      <c r="O3029" s="80" t="s">
        <v>84</v>
      </c>
      <c r="Q3029" s="80" t="s">
        <v>84</v>
      </c>
      <c r="R3029" s="80" t="s">
        <v>84</v>
      </c>
    </row>
    <row r="3030" spans="1:18" ht="20" x14ac:dyDescent="0.2">
      <c r="A3030" s="80" t="s">
        <v>1126</v>
      </c>
      <c r="B3030" s="80" t="s">
        <v>1127</v>
      </c>
      <c r="C3030" s="80" t="s">
        <v>9680</v>
      </c>
      <c r="D3030" s="80" t="s">
        <v>84</v>
      </c>
      <c r="E3030" s="80" t="s">
        <v>84</v>
      </c>
      <c r="G3030" s="80" t="s">
        <v>84</v>
      </c>
      <c r="H3030" s="80" t="s">
        <v>84</v>
      </c>
      <c r="I3030" s="80" t="s">
        <v>84</v>
      </c>
      <c r="J3030" s="80" t="s">
        <v>84</v>
      </c>
      <c r="K3030" s="80" t="s">
        <v>84</v>
      </c>
      <c r="L3030" s="80" t="s">
        <v>84</v>
      </c>
      <c r="M3030" s="80" t="s">
        <v>84</v>
      </c>
      <c r="N3030" s="80" t="s">
        <v>84</v>
      </c>
      <c r="O3030" s="80" t="s">
        <v>84</v>
      </c>
      <c r="Q3030" s="80" t="s">
        <v>84</v>
      </c>
      <c r="R3030" s="80" t="s">
        <v>84</v>
      </c>
    </row>
    <row r="3031" spans="1:18" ht="20" x14ac:dyDescent="0.2">
      <c r="A3031" s="80" t="s">
        <v>1128</v>
      </c>
      <c r="B3031" s="80" t="s">
        <v>10793</v>
      </c>
      <c r="C3031" s="80" t="s">
        <v>9680</v>
      </c>
      <c r="D3031" s="80" t="s">
        <v>84</v>
      </c>
      <c r="E3031" s="80" t="s">
        <v>84</v>
      </c>
      <c r="G3031" s="80" t="s">
        <v>84</v>
      </c>
      <c r="H3031" s="80" t="s">
        <v>84</v>
      </c>
      <c r="I3031" s="80" t="s">
        <v>84</v>
      </c>
      <c r="J3031" s="80" t="s">
        <v>84</v>
      </c>
      <c r="K3031" s="80" t="s">
        <v>84</v>
      </c>
      <c r="L3031" s="80" t="s">
        <v>84</v>
      </c>
      <c r="M3031" s="80" t="s">
        <v>84</v>
      </c>
      <c r="N3031" s="80" t="s">
        <v>84</v>
      </c>
      <c r="O3031" s="80" t="s">
        <v>84</v>
      </c>
      <c r="Q3031" s="80" t="s">
        <v>84</v>
      </c>
      <c r="R3031" s="80" t="s">
        <v>84</v>
      </c>
    </row>
    <row r="3032" spans="1:18" ht="20" x14ac:dyDescent="0.2">
      <c r="A3032" s="80" t="s">
        <v>1128</v>
      </c>
      <c r="B3032" s="80" t="s">
        <v>1129</v>
      </c>
      <c r="C3032" s="80" t="s">
        <v>9680</v>
      </c>
      <c r="D3032" s="80" t="s">
        <v>84</v>
      </c>
      <c r="E3032" s="80" t="s">
        <v>84</v>
      </c>
      <c r="G3032" s="80" t="s">
        <v>84</v>
      </c>
      <c r="H3032" s="80" t="s">
        <v>84</v>
      </c>
      <c r="I3032" s="80" t="s">
        <v>84</v>
      </c>
      <c r="J3032" s="80" t="s">
        <v>84</v>
      </c>
      <c r="K3032" s="80" t="s">
        <v>84</v>
      </c>
      <c r="L3032" s="80" t="s">
        <v>84</v>
      </c>
      <c r="M3032" s="80" t="s">
        <v>84</v>
      </c>
      <c r="N3032" s="80" t="s">
        <v>84</v>
      </c>
      <c r="O3032" s="80" t="s">
        <v>84</v>
      </c>
      <c r="Q3032" s="80" t="s">
        <v>84</v>
      </c>
      <c r="R3032" s="80" t="s">
        <v>84</v>
      </c>
    </row>
    <row r="3033" spans="1:18" ht="20" x14ac:dyDescent="0.2">
      <c r="A3033" s="80" t="s">
        <v>1130</v>
      </c>
      <c r="B3033" s="80" t="s">
        <v>10794</v>
      </c>
      <c r="C3033" s="80" t="s">
        <v>9680</v>
      </c>
      <c r="D3033" s="80" t="s">
        <v>84</v>
      </c>
      <c r="E3033" s="80" t="s">
        <v>84</v>
      </c>
      <c r="G3033" s="80" t="s">
        <v>84</v>
      </c>
      <c r="H3033" s="80" t="s">
        <v>84</v>
      </c>
      <c r="I3033" s="80" t="s">
        <v>84</v>
      </c>
      <c r="J3033" s="80" t="s">
        <v>84</v>
      </c>
      <c r="K3033" s="80" t="s">
        <v>84</v>
      </c>
      <c r="L3033" s="80" t="s">
        <v>84</v>
      </c>
      <c r="M3033" s="80" t="s">
        <v>84</v>
      </c>
      <c r="N3033" s="80" t="s">
        <v>84</v>
      </c>
      <c r="O3033" s="80" t="s">
        <v>84</v>
      </c>
      <c r="Q3033" s="80" t="s">
        <v>84</v>
      </c>
      <c r="R3033" s="80" t="s">
        <v>84</v>
      </c>
    </row>
    <row r="3034" spans="1:18" ht="20" x14ac:dyDescent="0.2">
      <c r="A3034" s="80" t="s">
        <v>1130</v>
      </c>
      <c r="B3034" s="80" t="s">
        <v>1131</v>
      </c>
      <c r="C3034" s="80" t="s">
        <v>9680</v>
      </c>
      <c r="D3034" s="80" t="s">
        <v>84</v>
      </c>
      <c r="E3034" s="80" t="s">
        <v>84</v>
      </c>
      <c r="G3034" s="80" t="s">
        <v>84</v>
      </c>
      <c r="H3034" s="80" t="s">
        <v>84</v>
      </c>
      <c r="I3034" s="80" t="s">
        <v>84</v>
      </c>
      <c r="J3034" s="80" t="s">
        <v>84</v>
      </c>
      <c r="K3034" s="80" t="s">
        <v>84</v>
      </c>
      <c r="L3034" s="80" t="s">
        <v>84</v>
      </c>
      <c r="M3034" s="80" t="s">
        <v>84</v>
      </c>
      <c r="N3034" s="80" t="s">
        <v>84</v>
      </c>
      <c r="O3034" s="80" t="s">
        <v>84</v>
      </c>
      <c r="Q3034" s="80" t="s">
        <v>84</v>
      </c>
      <c r="R3034" s="80" t="s">
        <v>84</v>
      </c>
    </row>
    <row r="3035" spans="1:18" ht="20" x14ac:dyDescent="0.2">
      <c r="A3035" s="80" t="s">
        <v>1132</v>
      </c>
      <c r="B3035" s="80" t="s">
        <v>1133</v>
      </c>
      <c r="C3035" s="80" t="s">
        <v>9680</v>
      </c>
      <c r="D3035" s="80" t="s">
        <v>84</v>
      </c>
      <c r="E3035" s="80" t="s">
        <v>84</v>
      </c>
      <c r="G3035" s="80" t="s">
        <v>84</v>
      </c>
      <c r="H3035" s="80" t="s">
        <v>84</v>
      </c>
      <c r="I3035" s="80" t="s">
        <v>84</v>
      </c>
      <c r="J3035" s="80" t="s">
        <v>84</v>
      </c>
      <c r="K3035" s="80" t="s">
        <v>84</v>
      </c>
      <c r="L3035" s="80" t="s">
        <v>84</v>
      </c>
      <c r="M3035" s="80" t="s">
        <v>84</v>
      </c>
      <c r="N3035" s="80" t="s">
        <v>84</v>
      </c>
      <c r="O3035" s="80" t="s">
        <v>84</v>
      </c>
      <c r="Q3035" s="80" t="s">
        <v>84</v>
      </c>
      <c r="R3035" s="80" t="s">
        <v>84</v>
      </c>
    </row>
    <row r="3036" spans="1:18" ht="20" x14ac:dyDescent="0.2">
      <c r="A3036" s="80" t="s">
        <v>1134</v>
      </c>
      <c r="B3036" s="80" t="s">
        <v>10795</v>
      </c>
      <c r="C3036" s="80" t="s">
        <v>9680</v>
      </c>
      <c r="D3036" s="80" t="s">
        <v>84</v>
      </c>
      <c r="E3036" s="80" t="s">
        <v>84</v>
      </c>
      <c r="G3036" s="80" t="s">
        <v>84</v>
      </c>
      <c r="H3036" s="80" t="s">
        <v>84</v>
      </c>
      <c r="I3036" s="80" t="s">
        <v>84</v>
      </c>
      <c r="J3036" s="80" t="s">
        <v>84</v>
      </c>
      <c r="K3036" s="80" t="s">
        <v>84</v>
      </c>
      <c r="L3036" s="80" t="s">
        <v>84</v>
      </c>
      <c r="M3036" s="80" t="s">
        <v>84</v>
      </c>
      <c r="N3036" s="80" t="s">
        <v>84</v>
      </c>
      <c r="O3036" s="80" t="s">
        <v>84</v>
      </c>
      <c r="Q3036" s="80" t="s">
        <v>84</v>
      </c>
      <c r="R3036" s="80" t="s">
        <v>84</v>
      </c>
    </row>
    <row r="3037" spans="1:18" ht="20" x14ac:dyDescent="0.2">
      <c r="A3037" s="80" t="s">
        <v>1134</v>
      </c>
      <c r="B3037" s="80" t="s">
        <v>1135</v>
      </c>
      <c r="C3037" s="80" t="s">
        <v>9680</v>
      </c>
      <c r="D3037" s="80" t="s">
        <v>84</v>
      </c>
      <c r="E3037" s="80" t="s">
        <v>84</v>
      </c>
      <c r="G3037" s="80" t="s">
        <v>84</v>
      </c>
      <c r="H3037" s="80" t="s">
        <v>84</v>
      </c>
      <c r="I3037" s="80" t="s">
        <v>84</v>
      </c>
      <c r="J3037" s="80" t="s">
        <v>84</v>
      </c>
      <c r="K3037" s="80" t="s">
        <v>84</v>
      </c>
      <c r="L3037" s="80" t="s">
        <v>84</v>
      </c>
      <c r="M3037" s="80" t="s">
        <v>84</v>
      </c>
      <c r="N3037" s="80" t="s">
        <v>84</v>
      </c>
      <c r="O3037" s="80" t="s">
        <v>84</v>
      </c>
      <c r="Q3037" s="80" t="s">
        <v>84</v>
      </c>
      <c r="R3037" s="80" t="s">
        <v>84</v>
      </c>
    </row>
    <row r="3038" spans="1:18" ht="20" x14ac:dyDescent="0.2">
      <c r="A3038" s="80" t="s">
        <v>3910</v>
      </c>
      <c r="B3038" s="80" t="s">
        <v>10796</v>
      </c>
      <c r="C3038" s="80" t="s">
        <v>84</v>
      </c>
      <c r="D3038" s="80" t="s">
        <v>84</v>
      </c>
      <c r="E3038" s="80" t="s">
        <v>84</v>
      </c>
      <c r="G3038" s="80" t="s">
        <v>84</v>
      </c>
      <c r="H3038" s="80" t="s">
        <v>84</v>
      </c>
      <c r="I3038" s="80" t="s">
        <v>84</v>
      </c>
      <c r="J3038" s="80" t="s">
        <v>84</v>
      </c>
      <c r="K3038" s="80" t="s">
        <v>84</v>
      </c>
      <c r="L3038" s="80" t="s">
        <v>84</v>
      </c>
      <c r="M3038" s="80" t="s">
        <v>84</v>
      </c>
      <c r="N3038" s="80" t="s">
        <v>84</v>
      </c>
      <c r="O3038" s="80" t="s">
        <v>84</v>
      </c>
      <c r="Q3038" s="80" t="s">
        <v>84</v>
      </c>
      <c r="R3038" s="80" t="s">
        <v>84</v>
      </c>
    </row>
    <row r="3039" spans="1:18" ht="20" x14ac:dyDescent="0.2">
      <c r="A3039" s="80" t="s">
        <v>3910</v>
      </c>
      <c r="B3039" s="80" t="s">
        <v>3911</v>
      </c>
      <c r="C3039" s="80" t="s">
        <v>84</v>
      </c>
      <c r="D3039" s="80" t="s">
        <v>84</v>
      </c>
      <c r="E3039" s="80" t="s">
        <v>84</v>
      </c>
      <c r="G3039" s="80" t="s">
        <v>84</v>
      </c>
      <c r="H3039" s="80" t="s">
        <v>84</v>
      </c>
      <c r="I3039" s="80" t="s">
        <v>84</v>
      </c>
      <c r="J3039" s="80" t="s">
        <v>84</v>
      </c>
      <c r="K3039" s="80" t="s">
        <v>84</v>
      </c>
      <c r="L3039" s="80" t="s">
        <v>84</v>
      </c>
      <c r="M3039" s="80" t="s">
        <v>84</v>
      </c>
      <c r="N3039" s="80" t="s">
        <v>84</v>
      </c>
      <c r="O3039" s="80" t="s">
        <v>84</v>
      </c>
      <c r="Q3039" s="80" t="s">
        <v>84</v>
      </c>
      <c r="R3039" s="80" t="s">
        <v>84</v>
      </c>
    </row>
    <row r="3040" spans="1:18" ht="20" x14ac:dyDescent="0.2">
      <c r="A3040" s="80" t="s">
        <v>1576</v>
      </c>
      <c r="B3040" s="80" t="s">
        <v>1577</v>
      </c>
      <c r="C3040" s="80" t="s">
        <v>9680</v>
      </c>
      <c r="D3040" s="80" t="s">
        <v>84</v>
      </c>
      <c r="E3040" s="80" t="s">
        <v>84</v>
      </c>
      <c r="G3040" s="80" t="s">
        <v>84</v>
      </c>
      <c r="H3040" s="80" t="s">
        <v>84</v>
      </c>
      <c r="I3040" s="80" t="s">
        <v>84</v>
      </c>
      <c r="J3040" s="80" t="s">
        <v>84</v>
      </c>
      <c r="K3040" s="80" t="s">
        <v>84</v>
      </c>
      <c r="L3040" s="80" t="s">
        <v>84</v>
      </c>
      <c r="M3040" s="80" t="s">
        <v>84</v>
      </c>
      <c r="N3040" s="80" t="s">
        <v>84</v>
      </c>
      <c r="O3040" s="80" t="s">
        <v>84</v>
      </c>
      <c r="Q3040" s="80" t="s">
        <v>84</v>
      </c>
      <c r="R3040" s="80" t="s">
        <v>84</v>
      </c>
    </row>
    <row r="3041" spans="1:18" ht="20" x14ac:dyDescent="0.2">
      <c r="A3041" s="80" t="s">
        <v>713</v>
      </c>
      <c r="B3041" s="80" t="s">
        <v>714</v>
      </c>
      <c r="C3041" s="80" t="s">
        <v>9680</v>
      </c>
      <c r="D3041" s="80" t="s">
        <v>84</v>
      </c>
      <c r="E3041" s="80" t="s">
        <v>84</v>
      </c>
      <c r="G3041" s="80" t="s">
        <v>84</v>
      </c>
      <c r="H3041" s="80" t="s">
        <v>84</v>
      </c>
      <c r="I3041" s="80" t="s">
        <v>84</v>
      </c>
      <c r="J3041" s="80" t="s">
        <v>84</v>
      </c>
      <c r="K3041" s="80" t="s">
        <v>84</v>
      </c>
      <c r="L3041" s="80" t="s">
        <v>84</v>
      </c>
      <c r="M3041" s="80" t="s">
        <v>84</v>
      </c>
      <c r="N3041" s="80" t="s">
        <v>84</v>
      </c>
      <c r="O3041" s="80" t="s">
        <v>84</v>
      </c>
      <c r="Q3041" s="80" t="s">
        <v>84</v>
      </c>
      <c r="R3041" s="80" t="s">
        <v>84</v>
      </c>
    </row>
    <row r="3042" spans="1:18" ht="20" x14ac:dyDescent="0.2">
      <c r="A3042" s="80" t="s">
        <v>715</v>
      </c>
      <c r="B3042" s="80" t="s">
        <v>716</v>
      </c>
      <c r="C3042" s="80" t="s">
        <v>9680</v>
      </c>
      <c r="D3042" s="80" t="s">
        <v>84</v>
      </c>
      <c r="E3042" s="80" t="s">
        <v>84</v>
      </c>
      <c r="G3042" s="80" t="s">
        <v>84</v>
      </c>
      <c r="H3042" s="80" t="s">
        <v>84</v>
      </c>
      <c r="I3042" s="80" t="s">
        <v>84</v>
      </c>
      <c r="J3042" s="80" t="s">
        <v>84</v>
      </c>
      <c r="K3042" s="80" t="s">
        <v>84</v>
      </c>
      <c r="L3042" s="80" t="s">
        <v>84</v>
      </c>
      <c r="M3042" s="80" t="s">
        <v>84</v>
      </c>
      <c r="N3042" s="80" t="s">
        <v>84</v>
      </c>
      <c r="O3042" s="80" t="s">
        <v>84</v>
      </c>
      <c r="Q3042" s="80" t="s">
        <v>84</v>
      </c>
      <c r="R3042" s="80" t="s">
        <v>84</v>
      </c>
    </row>
    <row r="3043" spans="1:18" ht="20" x14ac:dyDescent="0.2">
      <c r="A3043" s="80" t="s">
        <v>715</v>
      </c>
      <c r="B3043" s="80" t="s">
        <v>10797</v>
      </c>
      <c r="C3043" s="80" t="s">
        <v>9680</v>
      </c>
      <c r="D3043" s="80" t="s">
        <v>84</v>
      </c>
      <c r="E3043" s="80" t="s">
        <v>84</v>
      </c>
      <c r="G3043" s="80" t="s">
        <v>84</v>
      </c>
      <c r="H3043" s="80" t="s">
        <v>84</v>
      </c>
      <c r="I3043" s="80" t="s">
        <v>84</v>
      </c>
      <c r="J3043" s="80" t="s">
        <v>84</v>
      </c>
      <c r="K3043" s="80" t="s">
        <v>84</v>
      </c>
      <c r="L3043" s="80" t="s">
        <v>84</v>
      </c>
      <c r="M3043" s="80" t="s">
        <v>84</v>
      </c>
      <c r="N3043" s="80" t="s">
        <v>84</v>
      </c>
      <c r="O3043" s="80" t="s">
        <v>84</v>
      </c>
      <c r="Q3043" s="80" t="s">
        <v>84</v>
      </c>
      <c r="R3043" s="80" t="s">
        <v>84</v>
      </c>
    </row>
    <row r="3044" spans="1:18" ht="20" x14ac:dyDescent="0.2">
      <c r="A3044" s="80" t="s">
        <v>717</v>
      </c>
      <c r="B3044" s="80" t="s">
        <v>718</v>
      </c>
      <c r="C3044" s="80" t="s">
        <v>9680</v>
      </c>
      <c r="D3044" s="80" t="s">
        <v>84</v>
      </c>
      <c r="E3044" s="80" t="s">
        <v>84</v>
      </c>
      <c r="G3044" s="80" t="s">
        <v>84</v>
      </c>
      <c r="H3044" s="80" t="s">
        <v>84</v>
      </c>
      <c r="I3044" s="80" t="s">
        <v>84</v>
      </c>
      <c r="J3044" s="80" t="s">
        <v>84</v>
      </c>
      <c r="K3044" s="80" t="s">
        <v>84</v>
      </c>
      <c r="L3044" s="80" t="s">
        <v>84</v>
      </c>
      <c r="M3044" s="80" t="s">
        <v>84</v>
      </c>
      <c r="N3044" s="80" t="s">
        <v>84</v>
      </c>
      <c r="O3044" s="80" t="s">
        <v>84</v>
      </c>
      <c r="Q3044" s="80" t="s">
        <v>84</v>
      </c>
      <c r="R3044" s="80" t="s">
        <v>84</v>
      </c>
    </row>
    <row r="3045" spans="1:18" ht="20" x14ac:dyDescent="0.2">
      <c r="A3045" s="80" t="s">
        <v>4494</v>
      </c>
      <c r="B3045" s="80" t="s">
        <v>4495</v>
      </c>
      <c r="C3045" s="80" t="s">
        <v>9680</v>
      </c>
      <c r="D3045" s="80" t="s">
        <v>84</v>
      </c>
      <c r="E3045" s="80" t="s">
        <v>84</v>
      </c>
      <c r="G3045" s="80" t="s">
        <v>84</v>
      </c>
      <c r="H3045" s="80" t="s">
        <v>84</v>
      </c>
      <c r="I3045" s="80" t="s">
        <v>84</v>
      </c>
      <c r="J3045" s="80" t="s">
        <v>84</v>
      </c>
      <c r="K3045" s="80" t="s">
        <v>84</v>
      </c>
      <c r="L3045" s="80" t="s">
        <v>84</v>
      </c>
      <c r="M3045" s="80" t="s">
        <v>84</v>
      </c>
      <c r="N3045" s="80" t="s">
        <v>84</v>
      </c>
      <c r="O3045" s="80" t="s">
        <v>84</v>
      </c>
      <c r="Q3045" s="80" t="s">
        <v>84</v>
      </c>
      <c r="R3045" s="80" t="s">
        <v>84</v>
      </c>
    </row>
    <row r="3046" spans="1:18" ht="20" x14ac:dyDescent="0.2">
      <c r="A3046" s="80" t="s">
        <v>1892</v>
      </c>
      <c r="B3046" s="80" t="s">
        <v>1893</v>
      </c>
      <c r="C3046" s="80" t="s">
        <v>9680</v>
      </c>
      <c r="D3046" s="80" t="s">
        <v>84</v>
      </c>
      <c r="E3046" s="80" t="s">
        <v>84</v>
      </c>
      <c r="G3046" s="80" t="s">
        <v>84</v>
      </c>
      <c r="H3046" s="80" t="s">
        <v>84</v>
      </c>
      <c r="I3046" s="80" t="s">
        <v>84</v>
      </c>
      <c r="J3046" s="80" t="s">
        <v>84</v>
      </c>
      <c r="K3046" s="80" t="s">
        <v>84</v>
      </c>
      <c r="L3046" s="80" t="s">
        <v>84</v>
      </c>
      <c r="M3046" s="80" t="s">
        <v>84</v>
      </c>
      <c r="N3046" s="80" t="s">
        <v>84</v>
      </c>
      <c r="O3046" s="80" t="s">
        <v>84</v>
      </c>
      <c r="Q3046" s="80" t="s">
        <v>84</v>
      </c>
      <c r="R3046" s="80" t="s">
        <v>84</v>
      </c>
    </row>
    <row r="3047" spans="1:18" ht="20" x14ac:dyDescent="0.2">
      <c r="A3047" s="80" t="s">
        <v>1892</v>
      </c>
      <c r="B3047" s="80" t="s">
        <v>10798</v>
      </c>
      <c r="C3047" s="80" t="s">
        <v>9680</v>
      </c>
      <c r="D3047" s="80" t="s">
        <v>84</v>
      </c>
      <c r="E3047" s="80" t="s">
        <v>84</v>
      </c>
      <c r="G3047" s="80" t="s">
        <v>84</v>
      </c>
      <c r="H3047" s="80" t="s">
        <v>84</v>
      </c>
      <c r="I3047" s="80" t="s">
        <v>84</v>
      </c>
      <c r="J3047" s="80" t="s">
        <v>84</v>
      </c>
      <c r="K3047" s="80" t="s">
        <v>84</v>
      </c>
      <c r="L3047" s="80" t="s">
        <v>84</v>
      </c>
      <c r="M3047" s="80" t="s">
        <v>84</v>
      </c>
      <c r="N3047" s="80" t="s">
        <v>84</v>
      </c>
      <c r="O3047" s="80" t="s">
        <v>84</v>
      </c>
      <c r="Q3047" s="80" t="s">
        <v>84</v>
      </c>
      <c r="R3047" s="80" t="s">
        <v>84</v>
      </c>
    </row>
    <row r="3048" spans="1:18" ht="20" x14ac:dyDescent="0.2">
      <c r="A3048" s="80" t="s">
        <v>2168</v>
      </c>
      <c r="B3048" s="80" t="s">
        <v>2169</v>
      </c>
      <c r="C3048" s="80" t="s">
        <v>9680</v>
      </c>
      <c r="D3048" s="80" t="s">
        <v>84</v>
      </c>
      <c r="E3048" s="80" t="s">
        <v>84</v>
      </c>
      <c r="G3048" s="80" t="s">
        <v>84</v>
      </c>
      <c r="H3048" s="80" t="s">
        <v>84</v>
      </c>
      <c r="I3048" s="80" t="s">
        <v>84</v>
      </c>
      <c r="J3048" s="80" t="s">
        <v>84</v>
      </c>
      <c r="K3048" s="80" t="s">
        <v>84</v>
      </c>
      <c r="L3048" s="80" t="s">
        <v>84</v>
      </c>
      <c r="M3048" s="80" t="s">
        <v>84</v>
      </c>
      <c r="N3048" s="80" t="s">
        <v>84</v>
      </c>
      <c r="O3048" s="80" t="s">
        <v>84</v>
      </c>
      <c r="Q3048" s="80" t="s">
        <v>84</v>
      </c>
      <c r="R3048" s="80" t="s">
        <v>84</v>
      </c>
    </row>
    <row r="3049" spans="1:18" ht="20" x14ac:dyDescent="0.2">
      <c r="A3049" s="80" t="s">
        <v>2168</v>
      </c>
      <c r="B3049" s="80" t="s">
        <v>10799</v>
      </c>
      <c r="C3049" s="80" t="s">
        <v>9680</v>
      </c>
      <c r="D3049" s="80" t="s">
        <v>84</v>
      </c>
      <c r="E3049" s="80" t="s">
        <v>84</v>
      </c>
      <c r="G3049" s="80" t="s">
        <v>84</v>
      </c>
      <c r="H3049" s="80" t="s">
        <v>84</v>
      </c>
      <c r="I3049" s="80" t="s">
        <v>84</v>
      </c>
      <c r="J3049" s="80" t="s">
        <v>84</v>
      </c>
      <c r="K3049" s="80" t="s">
        <v>84</v>
      </c>
      <c r="L3049" s="80" t="s">
        <v>84</v>
      </c>
      <c r="M3049" s="80" t="s">
        <v>84</v>
      </c>
      <c r="N3049" s="80" t="s">
        <v>84</v>
      </c>
      <c r="O3049" s="80" t="s">
        <v>84</v>
      </c>
      <c r="Q3049" s="80" t="s">
        <v>84</v>
      </c>
      <c r="R3049" s="80" t="s">
        <v>84</v>
      </c>
    </row>
    <row r="3050" spans="1:18" ht="20" x14ac:dyDescent="0.2">
      <c r="A3050" s="80" t="s">
        <v>2170</v>
      </c>
      <c r="B3050" s="80" t="s">
        <v>2171</v>
      </c>
      <c r="C3050" s="80" t="s">
        <v>9680</v>
      </c>
      <c r="D3050" s="80" t="s">
        <v>84</v>
      </c>
      <c r="E3050" s="80" t="s">
        <v>84</v>
      </c>
      <c r="G3050" s="80" t="s">
        <v>84</v>
      </c>
      <c r="H3050" s="80" t="s">
        <v>84</v>
      </c>
      <c r="I3050" s="80" t="s">
        <v>84</v>
      </c>
      <c r="J3050" s="80" t="s">
        <v>84</v>
      </c>
      <c r="K3050" s="80" t="s">
        <v>84</v>
      </c>
      <c r="L3050" s="80" t="s">
        <v>84</v>
      </c>
      <c r="M3050" s="80" t="s">
        <v>84</v>
      </c>
      <c r="N3050" s="80" t="s">
        <v>84</v>
      </c>
      <c r="O3050" s="80" t="s">
        <v>84</v>
      </c>
      <c r="Q3050" s="80" t="s">
        <v>84</v>
      </c>
      <c r="R3050" s="80" t="s">
        <v>84</v>
      </c>
    </row>
    <row r="3051" spans="1:18" ht="20" x14ac:dyDescent="0.2">
      <c r="A3051" s="80" t="s">
        <v>2170</v>
      </c>
      <c r="B3051" s="80" t="s">
        <v>10800</v>
      </c>
      <c r="C3051" s="80" t="s">
        <v>9680</v>
      </c>
      <c r="D3051" s="80" t="s">
        <v>84</v>
      </c>
      <c r="E3051" s="80" t="s">
        <v>84</v>
      </c>
      <c r="G3051" s="80" t="s">
        <v>84</v>
      </c>
      <c r="H3051" s="80" t="s">
        <v>84</v>
      </c>
      <c r="I3051" s="80" t="s">
        <v>84</v>
      </c>
      <c r="J3051" s="80" t="s">
        <v>84</v>
      </c>
      <c r="K3051" s="80" t="s">
        <v>84</v>
      </c>
      <c r="L3051" s="80" t="s">
        <v>84</v>
      </c>
      <c r="M3051" s="80" t="s">
        <v>84</v>
      </c>
      <c r="N3051" s="80" t="s">
        <v>84</v>
      </c>
      <c r="O3051" s="80" t="s">
        <v>84</v>
      </c>
      <c r="Q3051" s="80" t="s">
        <v>84</v>
      </c>
      <c r="R3051" s="80" t="s">
        <v>84</v>
      </c>
    </row>
    <row r="3052" spans="1:18" ht="20" x14ac:dyDescent="0.2">
      <c r="A3052" s="80" t="s">
        <v>1894</v>
      </c>
      <c r="B3052" s="80" t="s">
        <v>1895</v>
      </c>
      <c r="C3052" s="80" t="s">
        <v>9680</v>
      </c>
      <c r="D3052" s="80" t="s">
        <v>84</v>
      </c>
      <c r="E3052" s="80" t="s">
        <v>84</v>
      </c>
      <c r="G3052" s="80" t="s">
        <v>84</v>
      </c>
      <c r="H3052" s="80" t="s">
        <v>84</v>
      </c>
      <c r="I3052" s="80" t="s">
        <v>84</v>
      </c>
      <c r="J3052" s="80" t="s">
        <v>84</v>
      </c>
      <c r="K3052" s="80" t="s">
        <v>84</v>
      </c>
      <c r="L3052" s="80" t="s">
        <v>84</v>
      </c>
      <c r="M3052" s="80" t="s">
        <v>84</v>
      </c>
      <c r="N3052" s="80" t="s">
        <v>84</v>
      </c>
      <c r="O3052" s="80" t="s">
        <v>84</v>
      </c>
      <c r="Q3052" s="80" t="s">
        <v>84</v>
      </c>
      <c r="R3052" s="80" t="s">
        <v>84</v>
      </c>
    </row>
    <row r="3053" spans="1:18" ht="20" x14ac:dyDescent="0.2">
      <c r="A3053" s="80" t="s">
        <v>1894</v>
      </c>
      <c r="B3053" s="80" t="s">
        <v>10801</v>
      </c>
      <c r="C3053" s="80" t="s">
        <v>9680</v>
      </c>
      <c r="D3053" s="80" t="s">
        <v>84</v>
      </c>
      <c r="E3053" s="80" t="s">
        <v>84</v>
      </c>
      <c r="G3053" s="80" t="s">
        <v>84</v>
      </c>
      <c r="H3053" s="80" t="s">
        <v>84</v>
      </c>
      <c r="I3053" s="80" t="s">
        <v>84</v>
      </c>
      <c r="J3053" s="80" t="s">
        <v>84</v>
      </c>
      <c r="K3053" s="80" t="s">
        <v>84</v>
      </c>
      <c r="L3053" s="80" t="s">
        <v>84</v>
      </c>
      <c r="M3053" s="80" t="s">
        <v>84</v>
      </c>
      <c r="N3053" s="80" t="s">
        <v>84</v>
      </c>
      <c r="O3053" s="80" t="s">
        <v>84</v>
      </c>
      <c r="Q3053" s="80" t="s">
        <v>84</v>
      </c>
      <c r="R3053" s="80" t="s">
        <v>84</v>
      </c>
    </row>
    <row r="3054" spans="1:18" ht="20" x14ac:dyDescent="0.2">
      <c r="A3054" s="80" t="s">
        <v>951</v>
      </c>
      <c r="B3054" s="80" t="s">
        <v>952</v>
      </c>
      <c r="C3054" s="80" t="s">
        <v>9680</v>
      </c>
      <c r="D3054" s="80" t="s">
        <v>84</v>
      </c>
      <c r="E3054" s="80" t="s">
        <v>84</v>
      </c>
      <c r="G3054" s="80" t="s">
        <v>84</v>
      </c>
      <c r="H3054" s="80" t="s">
        <v>84</v>
      </c>
      <c r="I3054" s="80" t="s">
        <v>84</v>
      </c>
      <c r="J3054" s="80" t="s">
        <v>84</v>
      </c>
      <c r="K3054" s="80" t="s">
        <v>84</v>
      </c>
      <c r="L3054" s="80" t="s">
        <v>84</v>
      </c>
      <c r="M3054" s="80" t="s">
        <v>84</v>
      </c>
      <c r="N3054" s="80" t="s">
        <v>84</v>
      </c>
      <c r="O3054" s="80" t="s">
        <v>84</v>
      </c>
      <c r="Q3054" s="80" t="s">
        <v>84</v>
      </c>
      <c r="R3054" s="80" t="s">
        <v>84</v>
      </c>
    </row>
    <row r="3055" spans="1:18" ht="20" x14ac:dyDescent="0.2">
      <c r="A3055" s="80" t="s">
        <v>951</v>
      </c>
      <c r="B3055" s="80" t="s">
        <v>10802</v>
      </c>
      <c r="C3055" s="80" t="s">
        <v>9680</v>
      </c>
      <c r="D3055" s="80" t="s">
        <v>84</v>
      </c>
      <c r="E3055" s="80" t="s">
        <v>84</v>
      </c>
      <c r="G3055" s="80" t="s">
        <v>84</v>
      </c>
      <c r="H3055" s="80" t="s">
        <v>84</v>
      </c>
      <c r="I3055" s="80" t="s">
        <v>84</v>
      </c>
      <c r="J3055" s="80" t="s">
        <v>84</v>
      </c>
      <c r="K3055" s="80" t="s">
        <v>84</v>
      </c>
      <c r="L3055" s="80" t="s">
        <v>84</v>
      </c>
      <c r="M3055" s="80" t="s">
        <v>84</v>
      </c>
      <c r="N3055" s="80" t="s">
        <v>84</v>
      </c>
      <c r="O3055" s="80" t="s">
        <v>84</v>
      </c>
      <c r="Q3055" s="80" t="s">
        <v>84</v>
      </c>
      <c r="R3055" s="80" t="s">
        <v>84</v>
      </c>
    </row>
    <row r="3056" spans="1:18" ht="20" x14ac:dyDescent="0.2">
      <c r="A3056" s="80" t="s">
        <v>953</v>
      </c>
      <c r="B3056" s="80" t="s">
        <v>954</v>
      </c>
      <c r="C3056" s="80" t="s">
        <v>9680</v>
      </c>
      <c r="D3056" s="80" t="s">
        <v>84</v>
      </c>
      <c r="E3056" s="80" t="s">
        <v>84</v>
      </c>
      <c r="G3056" s="80" t="s">
        <v>84</v>
      </c>
      <c r="H3056" s="80" t="s">
        <v>84</v>
      </c>
      <c r="I3056" s="80" t="s">
        <v>84</v>
      </c>
      <c r="J3056" s="80" t="s">
        <v>84</v>
      </c>
      <c r="K3056" s="80" t="s">
        <v>84</v>
      </c>
      <c r="L3056" s="80" t="s">
        <v>84</v>
      </c>
      <c r="M3056" s="80" t="s">
        <v>84</v>
      </c>
      <c r="N3056" s="80" t="s">
        <v>84</v>
      </c>
      <c r="O3056" s="80" t="s">
        <v>84</v>
      </c>
      <c r="Q3056" s="80" t="s">
        <v>84</v>
      </c>
      <c r="R3056" s="80" t="s">
        <v>84</v>
      </c>
    </row>
    <row r="3057" spans="1:18" ht="20" x14ac:dyDescent="0.2">
      <c r="A3057" s="80" t="s">
        <v>818</v>
      </c>
      <c r="B3057" s="80" t="s">
        <v>819</v>
      </c>
      <c r="C3057" s="80" t="s">
        <v>9680</v>
      </c>
      <c r="D3057" s="80" t="s">
        <v>84</v>
      </c>
      <c r="E3057" s="80" t="s">
        <v>84</v>
      </c>
      <c r="G3057" s="80" t="s">
        <v>84</v>
      </c>
      <c r="H3057" s="80" t="s">
        <v>84</v>
      </c>
      <c r="I3057" s="80" t="s">
        <v>84</v>
      </c>
      <c r="J3057" s="80" t="s">
        <v>84</v>
      </c>
      <c r="K3057" s="80" t="s">
        <v>84</v>
      </c>
      <c r="L3057" s="80" t="s">
        <v>84</v>
      </c>
      <c r="M3057" s="80" t="s">
        <v>84</v>
      </c>
      <c r="N3057" s="80" t="s">
        <v>84</v>
      </c>
      <c r="O3057" s="80" t="s">
        <v>84</v>
      </c>
      <c r="Q3057" s="80" t="s">
        <v>84</v>
      </c>
      <c r="R3057" s="80" t="s">
        <v>84</v>
      </c>
    </row>
    <row r="3058" spans="1:18" ht="20" x14ac:dyDescent="0.2">
      <c r="A3058" s="80" t="s">
        <v>5491</v>
      </c>
      <c r="B3058" s="80" t="s">
        <v>5492</v>
      </c>
      <c r="C3058" s="80" t="s">
        <v>84</v>
      </c>
      <c r="D3058" s="80" t="s">
        <v>84</v>
      </c>
      <c r="E3058" s="80" t="s">
        <v>84</v>
      </c>
      <c r="G3058" s="80" t="s">
        <v>84</v>
      </c>
      <c r="H3058" s="80" t="s">
        <v>84</v>
      </c>
      <c r="I3058" s="80" t="s">
        <v>84</v>
      </c>
      <c r="J3058" s="80" t="s">
        <v>84</v>
      </c>
      <c r="K3058" s="80" t="s">
        <v>84</v>
      </c>
      <c r="L3058" s="80" t="s">
        <v>84</v>
      </c>
      <c r="M3058" s="80" t="s">
        <v>84</v>
      </c>
      <c r="N3058" s="80" t="s">
        <v>84</v>
      </c>
      <c r="O3058" s="80" t="s">
        <v>84</v>
      </c>
      <c r="Q3058" s="80" t="s">
        <v>84</v>
      </c>
      <c r="R3058" s="80" t="s">
        <v>84</v>
      </c>
    </row>
    <row r="3059" spans="1:18" ht="20" x14ac:dyDescent="0.2">
      <c r="A3059" s="80" t="s">
        <v>820</v>
      </c>
      <c r="B3059" s="80" t="s">
        <v>821</v>
      </c>
      <c r="C3059" s="80" t="s">
        <v>9722</v>
      </c>
      <c r="D3059" s="80" t="s">
        <v>84</v>
      </c>
      <c r="E3059" s="80" t="s">
        <v>84</v>
      </c>
      <c r="G3059" s="80" t="s">
        <v>84</v>
      </c>
      <c r="H3059" s="80" t="s">
        <v>84</v>
      </c>
      <c r="I3059" s="80" t="s">
        <v>84</v>
      </c>
      <c r="J3059" s="80" t="s">
        <v>84</v>
      </c>
      <c r="K3059" s="80" t="s">
        <v>84</v>
      </c>
      <c r="L3059" s="80" t="s">
        <v>84</v>
      </c>
      <c r="M3059" s="80" t="s">
        <v>84</v>
      </c>
      <c r="N3059" s="80" t="s">
        <v>84</v>
      </c>
      <c r="O3059" s="80" t="s">
        <v>84</v>
      </c>
      <c r="Q3059" s="80" t="s">
        <v>84</v>
      </c>
      <c r="R3059" s="80" t="s">
        <v>84</v>
      </c>
    </row>
    <row r="3060" spans="1:18" ht="20" x14ac:dyDescent="0.2">
      <c r="A3060" s="80" t="s">
        <v>822</v>
      </c>
      <c r="B3060" s="80" t="s">
        <v>823</v>
      </c>
      <c r="C3060" s="80" t="s">
        <v>9722</v>
      </c>
      <c r="D3060" s="80" t="s">
        <v>84</v>
      </c>
      <c r="E3060" s="80" t="s">
        <v>84</v>
      </c>
      <c r="G3060" s="80" t="s">
        <v>84</v>
      </c>
      <c r="H3060" s="80" t="s">
        <v>84</v>
      </c>
      <c r="I3060" s="80" t="s">
        <v>84</v>
      </c>
      <c r="J3060" s="80" t="s">
        <v>84</v>
      </c>
      <c r="K3060" s="80" t="s">
        <v>84</v>
      </c>
      <c r="L3060" s="80" t="s">
        <v>84</v>
      </c>
      <c r="M3060" s="80" t="s">
        <v>84</v>
      </c>
      <c r="N3060" s="80" t="s">
        <v>84</v>
      </c>
      <c r="O3060" s="80" t="s">
        <v>84</v>
      </c>
      <c r="Q3060" s="80" t="s">
        <v>84</v>
      </c>
      <c r="R3060" s="80" t="s">
        <v>84</v>
      </c>
    </row>
    <row r="3061" spans="1:18" ht="20" x14ac:dyDescent="0.2">
      <c r="A3061" s="80" t="s">
        <v>824</v>
      </c>
      <c r="B3061" s="80" t="s">
        <v>825</v>
      </c>
      <c r="C3061" s="80" t="s">
        <v>9722</v>
      </c>
      <c r="D3061" s="80" t="s">
        <v>84</v>
      </c>
      <c r="E3061" s="80" t="s">
        <v>84</v>
      </c>
      <c r="G3061" s="80" t="s">
        <v>84</v>
      </c>
      <c r="H3061" s="80" t="s">
        <v>84</v>
      </c>
      <c r="I3061" s="80" t="s">
        <v>84</v>
      </c>
      <c r="J3061" s="80" t="s">
        <v>84</v>
      </c>
      <c r="K3061" s="80" t="s">
        <v>84</v>
      </c>
      <c r="L3061" s="80" t="s">
        <v>84</v>
      </c>
      <c r="M3061" s="80" t="s">
        <v>84</v>
      </c>
      <c r="N3061" s="80" t="s">
        <v>84</v>
      </c>
      <c r="O3061" s="80" t="s">
        <v>84</v>
      </c>
      <c r="Q3061" s="80" t="s">
        <v>84</v>
      </c>
      <c r="R3061" s="80" t="s">
        <v>84</v>
      </c>
    </row>
    <row r="3062" spans="1:18" ht="20" x14ac:dyDescent="0.2">
      <c r="A3062" s="80" t="s">
        <v>824</v>
      </c>
      <c r="B3062" s="80" t="s">
        <v>10803</v>
      </c>
      <c r="C3062" s="80" t="s">
        <v>9722</v>
      </c>
      <c r="D3062" s="80" t="s">
        <v>84</v>
      </c>
      <c r="E3062" s="80" t="s">
        <v>84</v>
      </c>
      <c r="G3062" s="80" t="s">
        <v>84</v>
      </c>
      <c r="H3062" s="80" t="s">
        <v>84</v>
      </c>
      <c r="I3062" s="80" t="s">
        <v>84</v>
      </c>
      <c r="J3062" s="80" t="s">
        <v>84</v>
      </c>
      <c r="K3062" s="80" t="s">
        <v>84</v>
      </c>
      <c r="L3062" s="80" t="s">
        <v>84</v>
      </c>
      <c r="M3062" s="80" t="s">
        <v>84</v>
      </c>
      <c r="N3062" s="80" t="s">
        <v>84</v>
      </c>
      <c r="O3062" s="80" t="s">
        <v>84</v>
      </c>
      <c r="Q3062" s="80" t="s">
        <v>84</v>
      </c>
      <c r="R3062" s="80" t="s">
        <v>84</v>
      </c>
    </row>
    <row r="3063" spans="1:18" ht="20" x14ac:dyDescent="0.2">
      <c r="A3063" s="80" t="s">
        <v>2174</v>
      </c>
      <c r="B3063" s="80" t="s">
        <v>2175</v>
      </c>
      <c r="C3063" s="80" t="s">
        <v>9680</v>
      </c>
      <c r="D3063" s="80" t="s">
        <v>84</v>
      </c>
      <c r="E3063" s="80" t="s">
        <v>84</v>
      </c>
      <c r="G3063" s="80" t="s">
        <v>84</v>
      </c>
      <c r="H3063" s="80" t="s">
        <v>84</v>
      </c>
      <c r="I3063" s="80" t="s">
        <v>84</v>
      </c>
      <c r="J3063" s="80" t="s">
        <v>84</v>
      </c>
      <c r="K3063" s="80" t="s">
        <v>84</v>
      </c>
      <c r="L3063" s="80" t="s">
        <v>84</v>
      </c>
      <c r="M3063" s="80" t="s">
        <v>84</v>
      </c>
      <c r="N3063" s="80" t="s">
        <v>84</v>
      </c>
      <c r="O3063" s="80" t="s">
        <v>84</v>
      </c>
      <c r="Q3063" s="80" t="s">
        <v>84</v>
      </c>
      <c r="R3063" s="80" t="s">
        <v>84</v>
      </c>
    </row>
    <row r="3064" spans="1:18" ht="20" x14ac:dyDescent="0.2">
      <c r="A3064" s="80" t="s">
        <v>2174</v>
      </c>
      <c r="B3064" s="80" t="s">
        <v>10804</v>
      </c>
      <c r="C3064" s="80" t="s">
        <v>9680</v>
      </c>
      <c r="D3064" s="80" t="s">
        <v>84</v>
      </c>
      <c r="E3064" s="80" t="s">
        <v>84</v>
      </c>
      <c r="G3064" s="80" t="s">
        <v>84</v>
      </c>
      <c r="H3064" s="80" t="s">
        <v>84</v>
      </c>
      <c r="I3064" s="80" t="s">
        <v>84</v>
      </c>
      <c r="J3064" s="80" t="s">
        <v>84</v>
      </c>
      <c r="K3064" s="80" t="s">
        <v>84</v>
      </c>
      <c r="L3064" s="80" t="s">
        <v>84</v>
      </c>
      <c r="M3064" s="80" t="s">
        <v>84</v>
      </c>
      <c r="N3064" s="80" t="s">
        <v>84</v>
      </c>
      <c r="O3064" s="80" t="s">
        <v>84</v>
      </c>
      <c r="Q3064" s="80" t="s">
        <v>84</v>
      </c>
      <c r="R3064" s="80" t="s">
        <v>84</v>
      </c>
    </row>
    <row r="3065" spans="1:18" ht="20" x14ac:dyDescent="0.2">
      <c r="A3065" s="80" t="s">
        <v>2176</v>
      </c>
      <c r="B3065" s="80" t="s">
        <v>2177</v>
      </c>
      <c r="C3065" s="80" t="s">
        <v>9680</v>
      </c>
      <c r="D3065" s="80" t="s">
        <v>84</v>
      </c>
      <c r="E3065" s="80" t="s">
        <v>84</v>
      </c>
      <c r="G3065" s="80" t="s">
        <v>84</v>
      </c>
      <c r="H3065" s="80" t="s">
        <v>84</v>
      </c>
      <c r="I3065" s="80" t="s">
        <v>84</v>
      </c>
      <c r="J3065" s="80" t="s">
        <v>84</v>
      </c>
      <c r="K3065" s="80" t="s">
        <v>84</v>
      </c>
      <c r="L3065" s="80" t="s">
        <v>84</v>
      </c>
      <c r="M3065" s="80" t="s">
        <v>84</v>
      </c>
      <c r="N3065" s="80" t="s">
        <v>84</v>
      </c>
      <c r="O3065" s="80" t="s">
        <v>84</v>
      </c>
      <c r="Q3065" s="80" t="s">
        <v>84</v>
      </c>
      <c r="R3065" s="80" t="s">
        <v>84</v>
      </c>
    </row>
    <row r="3066" spans="1:18" ht="20" x14ac:dyDescent="0.2">
      <c r="A3066" s="80" t="s">
        <v>2176</v>
      </c>
      <c r="B3066" s="80" t="s">
        <v>10805</v>
      </c>
      <c r="C3066" s="80" t="s">
        <v>9680</v>
      </c>
      <c r="D3066" s="80" t="s">
        <v>84</v>
      </c>
      <c r="E3066" s="80" t="s">
        <v>84</v>
      </c>
      <c r="G3066" s="80" t="s">
        <v>84</v>
      </c>
      <c r="H3066" s="80" t="s">
        <v>84</v>
      </c>
      <c r="I3066" s="80" t="s">
        <v>84</v>
      </c>
      <c r="J3066" s="80" t="s">
        <v>84</v>
      </c>
      <c r="K3066" s="80" t="s">
        <v>84</v>
      </c>
      <c r="L3066" s="80" t="s">
        <v>84</v>
      </c>
      <c r="M3066" s="80" t="s">
        <v>84</v>
      </c>
      <c r="N3066" s="80" t="s">
        <v>84</v>
      </c>
      <c r="O3066" s="80" t="s">
        <v>84</v>
      </c>
      <c r="Q3066" s="80" t="s">
        <v>84</v>
      </c>
      <c r="R3066" s="80" t="s">
        <v>84</v>
      </c>
    </row>
    <row r="3067" spans="1:18" ht="20" x14ac:dyDescent="0.2">
      <c r="A3067" s="80" t="s">
        <v>2936</v>
      </c>
      <c r="B3067" s="80" t="s">
        <v>2937</v>
      </c>
      <c r="C3067" s="80" t="s">
        <v>84</v>
      </c>
      <c r="D3067" s="80" t="s">
        <v>84</v>
      </c>
      <c r="E3067" s="80" t="s">
        <v>84</v>
      </c>
      <c r="G3067" s="80" t="s">
        <v>84</v>
      </c>
      <c r="H3067" s="80" t="s">
        <v>84</v>
      </c>
      <c r="I3067" s="80" t="s">
        <v>84</v>
      </c>
      <c r="J3067" s="80" t="s">
        <v>84</v>
      </c>
      <c r="K3067" s="80" t="s">
        <v>84</v>
      </c>
      <c r="L3067" s="80" t="s">
        <v>84</v>
      </c>
      <c r="M3067" s="80" t="s">
        <v>84</v>
      </c>
      <c r="N3067" s="80" t="s">
        <v>84</v>
      </c>
      <c r="O3067" s="80" t="s">
        <v>84</v>
      </c>
      <c r="Q3067" s="80" t="s">
        <v>84</v>
      </c>
      <c r="R3067" s="80" t="s">
        <v>84</v>
      </c>
    </row>
    <row r="3068" spans="1:18" ht="20" x14ac:dyDescent="0.2">
      <c r="A3068" s="80" t="s">
        <v>2180</v>
      </c>
      <c r="B3068" s="80" t="s">
        <v>2181</v>
      </c>
      <c r="C3068" s="80" t="s">
        <v>84</v>
      </c>
      <c r="D3068" s="80" t="s">
        <v>84</v>
      </c>
      <c r="E3068" s="80" t="s">
        <v>84</v>
      </c>
      <c r="G3068" s="80" t="s">
        <v>84</v>
      </c>
      <c r="H3068" s="80" t="s">
        <v>84</v>
      </c>
      <c r="I3068" s="80" t="s">
        <v>84</v>
      </c>
      <c r="J3068" s="80" t="s">
        <v>84</v>
      </c>
      <c r="K3068" s="80" t="s">
        <v>84</v>
      </c>
      <c r="L3068" s="80" t="s">
        <v>84</v>
      </c>
      <c r="M3068" s="80" t="s">
        <v>84</v>
      </c>
      <c r="N3068" s="80" t="s">
        <v>84</v>
      </c>
      <c r="O3068" s="80" t="s">
        <v>84</v>
      </c>
      <c r="Q3068" s="80" t="s">
        <v>84</v>
      </c>
      <c r="R3068" s="80" t="s">
        <v>84</v>
      </c>
    </row>
    <row r="3069" spans="1:18" ht="20" x14ac:dyDescent="0.2">
      <c r="A3069" s="80" t="s">
        <v>2182</v>
      </c>
      <c r="B3069" s="80" t="s">
        <v>2183</v>
      </c>
      <c r="C3069" s="80" t="s">
        <v>9680</v>
      </c>
      <c r="D3069" s="80" t="s">
        <v>84</v>
      </c>
      <c r="E3069" s="80" t="s">
        <v>84</v>
      </c>
      <c r="G3069" s="80" t="s">
        <v>84</v>
      </c>
      <c r="H3069" s="80" t="s">
        <v>84</v>
      </c>
      <c r="I3069" s="80" t="s">
        <v>84</v>
      </c>
      <c r="J3069" s="80" t="s">
        <v>84</v>
      </c>
      <c r="K3069" s="80" t="s">
        <v>84</v>
      </c>
      <c r="L3069" s="80" t="s">
        <v>84</v>
      </c>
      <c r="M3069" s="80" t="s">
        <v>84</v>
      </c>
      <c r="N3069" s="80" t="s">
        <v>84</v>
      </c>
      <c r="O3069" s="80" t="s">
        <v>84</v>
      </c>
      <c r="Q3069" s="80" t="s">
        <v>84</v>
      </c>
      <c r="R3069" s="80" t="s">
        <v>84</v>
      </c>
    </row>
    <row r="3070" spans="1:18" ht="20" x14ac:dyDescent="0.2">
      <c r="A3070" s="80" t="s">
        <v>2184</v>
      </c>
      <c r="B3070" s="80" t="s">
        <v>2185</v>
      </c>
      <c r="C3070" s="80" t="s">
        <v>9680</v>
      </c>
      <c r="D3070" s="80" t="s">
        <v>84</v>
      </c>
      <c r="E3070" s="80" t="s">
        <v>84</v>
      </c>
      <c r="G3070" s="80" t="s">
        <v>84</v>
      </c>
      <c r="H3070" s="80" t="s">
        <v>84</v>
      </c>
      <c r="I3070" s="80" t="s">
        <v>84</v>
      </c>
      <c r="J3070" s="80" t="s">
        <v>84</v>
      </c>
      <c r="K3070" s="80" t="s">
        <v>84</v>
      </c>
      <c r="L3070" s="80" t="s">
        <v>84</v>
      </c>
      <c r="M3070" s="80" t="s">
        <v>84</v>
      </c>
      <c r="N3070" s="80" t="s">
        <v>84</v>
      </c>
      <c r="O3070" s="80" t="s">
        <v>84</v>
      </c>
      <c r="Q3070" s="80" t="s">
        <v>84</v>
      </c>
      <c r="R3070" s="80" t="s">
        <v>84</v>
      </c>
    </row>
    <row r="3071" spans="1:18" ht="20" x14ac:dyDescent="0.2">
      <c r="A3071" s="80" t="s">
        <v>2186</v>
      </c>
      <c r="B3071" s="80" t="s">
        <v>2187</v>
      </c>
      <c r="C3071" s="80" t="s">
        <v>9680</v>
      </c>
      <c r="D3071" s="80" t="s">
        <v>84</v>
      </c>
      <c r="E3071" s="80" t="s">
        <v>84</v>
      </c>
      <c r="G3071" s="80" t="s">
        <v>84</v>
      </c>
      <c r="H3071" s="80" t="s">
        <v>84</v>
      </c>
      <c r="I3071" s="80" t="s">
        <v>84</v>
      </c>
      <c r="J3071" s="80" t="s">
        <v>84</v>
      </c>
      <c r="K3071" s="80" t="s">
        <v>84</v>
      </c>
      <c r="L3071" s="80" t="s">
        <v>84</v>
      </c>
      <c r="M3071" s="80" t="s">
        <v>84</v>
      </c>
      <c r="N3071" s="80" t="s">
        <v>84</v>
      </c>
      <c r="O3071" s="80" t="s">
        <v>84</v>
      </c>
      <c r="Q3071" s="80" t="s">
        <v>84</v>
      </c>
      <c r="R3071" s="80" t="s">
        <v>84</v>
      </c>
    </row>
    <row r="3072" spans="1:18" ht="20" x14ac:dyDescent="0.2">
      <c r="A3072" s="80" t="s">
        <v>2188</v>
      </c>
      <c r="B3072" s="80" t="s">
        <v>2189</v>
      </c>
      <c r="C3072" s="80" t="s">
        <v>9680</v>
      </c>
      <c r="D3072" s="80" t="s">
        <v>84</v>
      </c>
      <c r="E3072" s="80" t="s">
        <v>84</v>
      </c>
      <c r="G3072" s="80" t="s">
        <v>84</v>
      </c>
      <c r="H3072" s="80" t="s">
        <v>84</v>
      </c>
      <c r="I3072" s="80" t="s">
        <v>84</v>
      </c>
      <c r="J3072" s="80" t="s">
        <v>84</v>
      </c>
      <c r="K3072" s="80" t="s">
        <v>84</v>
      </c>
      <c r="L3072" s="80" t="s">
        <v>84</v>
      </c>
      <c r="M3072" s="80" t="s">
        <v>84</v>
      </c>
      <c r="N3072" s="80" t="s">
        <v>84</v>
      </c>
      <c r="O3072" s="80" t="s">
        <v>84</v>
      </c>
      <c r="Q3072" s="80" t="s">
        <v>84</v>
      </c>
      <c r="R3072" s="80" t="s">
        <v>84</v>
      </c>
    </row>
    <row r="3073" spans="1:18" ht="20" x14ac:dyDescent="0.2">
      <c r="A3073" s="80" t="s">
        <v>2075</v>
      </c>
      <c r="B3073" s="80" t="s">
        <v>2076</v>
      </c>
      <c r="C3073" s="80" t="s">
        <v>9680</v>
      </c>
      <c r="D3073" s="80" t="s">
        <v>84</v>
      </c>
      <c r="E3073" s="80" t="s">
        <v>84</v>
      </c>
      <c r="G3073" s="80" t="s">
        <v>84</v>
      </c>
      <c r="H3073" s="80" t="s">
        <v>84</v>
      </c>
      <c r="I3073" s="80" t="s">
        <v>84</v>
      </c>
      <c r="J3073" s="80" t="s">
        <v>84</v>
      </c>
      <c r="K3073" s="80" t="s">
        <v>84</v>
      </c>
      <c r="L3073" s="80" t="s">
        <v>84</v>
      </c>
      <c r="M3073" s="80" t="s">
        <v>84</v>
      </c>
      <c r="N3073" s="80" t="s">
        <v>84</v>
      </c>
      <c r="O3073" s="80" t="s">
        <v>84</v>
      </c>
      <c r="Q3073" s="80" t="s">
        <v>84</v>
      </c>
      <c r="R3073" s="80" t="s">
        <v>84</v>
      </c>
    </row>
    <row r="3074" spans="1:18" ht="20" x14ac:dyDescent="0.2">
      <c r="A3074" s="80" t="s">
        <v>2075</v>
      </c>
      <c r="B3074" s="80" t="s">
        <v>2190</v>
      </c>
      <c r="C3074" s="80" t="s">
        <v>9680</v>
      </c>
      <c r="D3074" s="80" t="s">
        <v>84</v>
      </c>
      <c r="E3074" s="80" t="s">
        <v>84</v>
      </c>
      <c r="G3074" s="80" t="s">
        <v>84</v>
      </c>
      <c r="H3074" s="80" t="s">
        <v>84</v>
      </c>
      <c r="I3074" s="80" t="s">
        <v>84</v>
      </c>
      <c r="J3074" s="80" t="s">
        <v>84</v>
      </c>
      <c r="K3074" s="80" t="s">
        <v>84</v>
      </c>
      <c r="L3074" s="80" t="s">
        <v>84</v>
      </c>
      <c r="M3074" s="80" t="s">
        <v>84</v>
      </c>
      <c r="N3074" s="80" t="s">
        <v>84</v>
      </c>
      <c r="O3074" s="80" t="s">
        <v>84</v>
      </c>
      <c r="Q3074" s="80" t="s">
        <v>84</v>
      </c>
      <c r="R3074" s="80" t="s">
        <v>84</v>
      </c>
    </row>
    <row r="3075" spans="1:18" ht="20" x14ac:dyDescent="0.2">
      <c r="A3075" s="80" t="s">
        <v>414</v>
      </c>
      <c r="B3075" s="80" t="s">
        <v>415</v>
      </c>
      <c r="C3075" s="80" t="s">
        <v>9680</v>
      </c>
      <c r="D3075" s="80" t="s">
        <v>84</v>
      </c>
      <c r="E3075" s="80" t="s">
        <v>84</v>
      </c>
      <c r="G3075" s="80" t="s">
        <v>84</v>
      </c>
      <c r="H3075" s="80" t="s">
        <v>84</v>
      </c>
      <c r="I3075" s="80" t="s">
        <v>84</v>
      </c>
      <c r="J3075" s="80" t="s">
        <v>84</v>
      </c>
      <c r="K3075" s="80" t="s">
        <v>84</v>
      </c>
      <c r="L3075" s="80" t="s">
        <v>84</v>
      </c>
      <c r="M3075" s="80" t="s">
        <v>84</v>
      </c>
      <c r="N3075" s="80" t="s">
        <v>84</v>
      </c>
      <c r="O3075" s="80" t="s">
        <v>84</v>
      </c>
      <c r="Q3075" s="80" t="s">
        <v>84</v>
      </c>
      <c r="R3075" s="80" t="s">
        <v>84</v>
      </c>
    </row>
    <row r="3076" spans="1:18" ht="20" x14ac:dyDescent="0.2">
      <c r="A3076" s="80" t="s">
        <v>3921</v>
      </c>
      <c r="B3076" s="80" t="s">
        <v>3922</v>
      </c>
      <c r="C3076" s="80" t="s">
        <v>9680</v>
      </c>
      <c r="D3076" s="80" t="s">
        <v>84</v>
      </c>
      <c r="E3076" s="80" t="s">
        <v>84</v>
      </c>
      <c r="G3076" s="80" t="s">
        <v>84</v>
      </c>
      <c r="H3076" s="80" t="s">
        <v>84</v>
      </c>
      <c r="I3076" s="80" t="s">
        <v>84</v>
      </c>
      <c r="J3076" s="80" t="s">
        <v>84</v>
      </c>
      <c r="K3076" s="80" t="s">
        <v>84</v>
      </c>
      <c r="L3076" s="80" t="s">
        <v>84</v>
      </c>
      <c r="M3076" s="80" t="s">
        <v>84</v>
      </c>
      <c r="N3076" s="80" t="s">
        <v>84</v>
      </c>
      <c r="O3076" s="80" t="s">
        <v>84</v>
      </c>
      <c r="Q3076" s="80" t="s">
        <v>84</v>
      </c>
      <c r="R3076" s="80" t="s">
        <v>84</v>
      </c>
    </row>
    <row r="3077" spans="1:18" ht="20" x14ac:dyDescent="0.2">
      <c r="A3077" s="80" t="s">
        <v>2191</v>
      </c>
      <c r="B3077" s="80" t="s">
        <v>2192</v>
      </c>
      <c r="C3077" s="80" t="s">
        <v>84</v>
      </c>
      <c r="D3077" s="80" t="s">
        <v>84</v>
      </c>
      <c r="E3077" s="80" t="s">
        <v>84</v>
      </c>
      <c r="G3077" s="80" t="s">
        <v>84</v>
      </c>
      <c r="H3077" s="80" t="s">
        <v>84</v>
      </c>
      <c r="I3077" s="80" t="s">
        <v>84</v>
      </c>
      <c r="J3077" s="80" t="s">
        <v>84</v>
      </c>
      <c r="K3077" s="80" t="s">
        <v>84</v>
      </c>
      <c r="L3077" s="80" t="s">
        <v>84</v>
      </c>
      <c r="M3077" s="80" t="s">
        <v>84</v>
      </c>
      <c r="N3077" s="80" t="s">
        <v>84</v>
      </c>
      <c r="O3077" s="80" t="s">
        <v>84</v>
      </c>
      <c r="Q3077" s="80" t="s">
        <v>84</v>
      </c>
      <c r="R3077" s="80" t="s">
        <v>84</v>
      </c>
    </row>
    <row r="3078" spans="1:18" ht="20" x14ac:dyDescent="0.2">
      <c r="A3078" s="80" t="s">
        <v>3923</v>
      </c>
      <c r="B3078" s="80" t="s">
        <v>3924</v>
      </c>
      <c r="C3078" s="80" t="s">
        <v>9680</v>
      </c>
      <c r="D3078" s="80" t="s">
        <v>84</v>
      </c>
      <c r="E3078" s="80" t="s">
        <v>84</v>
      </c>
      <c r="G3078" s="80" t="s">
        <v>84</v>
      </c>
      <c r="H3078" s="80" t="s">
        <v>84</v>
      </c>
      <c r="I3078" s="80" t="s">
        <v>84</v>
      </c>
      <c r="J3078" s="80" t="s">
        <v>84</v>
      </c>
      <c r="K3078" s="80" t="s">
        <v>84</v>
      </c>
      <c r="L3078" s="80" t="s">
        <v>84</v>
      </c>
      <c r="M3078" s="80" t="s">
        <v>84</v>
      </c>
      <c r="N3078" s="80" t="s">
        <v>84</v>
      </c>
      <c r="O3078" s="80" t="s">
        <v>84</v>
      </c>
      <c r="Q3078" s="80" t="s">
        <v>84</v>
      </c>
      <c r="R3078" s="80" t="s">
        <v>84</v>
      </c>
    </row>
    <row r="3079" spans="1:18" ht="20" x14ac:dyDescent="0.2">
      <c r="A3079" s="80" t="s">
        <v>5110</v>
      </c>
      <c r="B3079" s="80" t="s">
        <v>5111</v>
      </c>
      <c r="C3079" s="80" t="s">
        <v>9680</v>
      </c>
      <c r="D3079" s="80" t="s">
        <v>84</v>
      </c>
      <c r="E3079" s="80" t="s">
        <v>84</v>
      </c>
      <c r="G3079" s="80" t="s">
        <v>84</v>
      </c>
      <c r="H3079" s="80" t="s">
        <v>84</v>
      </c>
      <c r="I3079" s="80" t="s">
        <v>84</v>
      </c>
      <c r="J3079" s="80" t="s">
        <v>84</v>
      </c>
      <c r="K3079" s="80" t="s">
        <v>84</v>
      </c>
      <c r="L3079" s="80" t="s">
        <v>84</v>
      </c>
      <c r="M3079" s="80" t="s">
        <v>84</v>
      </c>
      <c r="N3079" s="80" t="s">
        <v>84</v>
      </c>
      <c r="O3079" s="80" t="s">
        <v>84</v>
      </c>
      <c r="Q3079" s="80" t="s">
        <v>84</v>
      </c>
      <c r="R3079" s="80" t="s">
        <v>84</v>
      </c>
    </row>
    <row r="3080" spans="1:18" ht="20" x14ac:dyDescent="0.2">
      <c r="A3080" s="80" t="s">
        <v>1144</v>
      </c>
      <c r="B3080" s="80" t="s">
        <v>1145</v>
      </c>
      <c r="C3080" s="80" t="s">
        <v>9680</v>
      </c>
      <c r="D3080" s="80" t="s">
        <v>84</v>
      </c>
      <c r="E3080" s="80" t="s">
        <v>84</v>
      </c>
      <c r="G3080" s="80" t="s">
        <v>84</v>
      </c>
      <c r="H3080" s="80" t="s">
        <v>84</v>
      </c>
      <c r="I3080" s="80" t="s">
        <v>84</v>
      </c>
      <c r="J3080" s="80" t="s">
        <v>84</v>
      </c>
      <c r="K3080" s="80" t="s">
        <v>84</v>
      </c>
      <c r="L3080" s="80" t="s">
        <v>84</v>
      </c>
      <c r="M3080" s="80" t="s">
        <v>84</v>
      </c>
      <c r="N3080" s="80" t="s">
        <v>84</v>
      </c>
      <c r="O3080" s="80" t="s">
        <v>84</v>
      </c>
      <c r="Q3080" s="80" t="s">
        <v>84</v>
      </c>
      <c r="R3080" s="80" t="s">
        <v>84</v>
      </c>
    </row>
    <row r="3081" spans="1:18" ht="20" x14ac:dyDescent="0.2">
      <c r="A3081" s="80" t="s">
        <v>5112</v>
      </c>
      <c r="B3081" s="80" t="s">
        <v>5113</v>
      </c>
      <c r="C3081" s="80" t="s">
        <v>84</v>
      </c>
      <c r="D3081" s="80" t="s">
        <v>84</v>
      </c>
      <c r="E3081" s="80" t="s">
        <v>84</v>
      </c>
      <c r="G3081" s="80" t="s">
        <v>84</v>
      </c>
      <c r="H3081" s="80" t="s">
        <v>84</v>
      </c>
      <c r="I3081" s="80" t="s">
        <v>84</v>
      </c>
      <c r="J3081" s="80" t="s">
        <v>84</v>
      </c>
      <c r="K3081" s="80" t="s">
        <v>84</v>
      </c>
      <c r="L3081" s="80" t="s">
        <v>84</v>
      </c>
      <c r="M3081" s="80" t="s">
        <v>84</v>
      </c>
      <c r="N3081" s="80" t="s">
        <v>84</v>
      </c>
      <c r="O3081" s="80" t="s">
        <v>84</v>
      </c>
      <c r="Q3081" s="80" t="s">
        <v>84</v>
      </c>
      <c r="R3081" s="80" t="s">
        <v>84</v>
      </c>
    </row>
    <row r="3082" spans="1:18" ht="20" x14ac:dyDescent="0.2">
      <c r="A3082" s="80" t="s">
        <v>5114</v>
      </c>
      <c r="B3082" s="80" t="s">
        <v>5115</v>
      </c>
      <c r="C3082" s="80" t="s">
        <v>84</v>
      </c>
      <c r="D3082" s="80" t="s">
        <v>84</v>
      </c>
      <c r="E3082" s="80" t="s">
        <v>84</v>
      </c>
      <c r="G3082" s="80" t="s">
        <v>84</v>
      </c>
      <c r="H3082" s="80" t="s">
        <v>84</v>
      </c>
      <c r="I3082" s="80" t="s">
        <v>84</v>
      </c>
      <c r="J3082" s="80" t="s">
        <v>84</v>
      </c>
      <c r="K3082" s="80" t="s">
        <v>84</v>
      </c>
      <c r="L3082" s="80" t="s">
        <v>84</v>
      </c>
      <c r="M3082" s="80" t="s">
        <v>84</v>
      </c>
      <c r="N3082" s="80" t="s">
        <v>84</v>
      </c>
      <c r="O3082" s="80" t="s">
        <v>84</v>
      </c>
      <c r="Q3082" s="80" t="s">
        <v>84</v>
      </c>
      <c r="R3082" s="80" t="s">
        <v>84</v>
      </c>
    </row>
    <row r="3083" spans="1:18" ht="20" x14ac:dyDescent="0.2">
      <c r="A3083" s="80" t="s">
        <v>5116</v>
      </c>
      <c r="B3083" s="80" t="s">
        <v>5117</v>
      </c>
      <c r="C3083" s="80" t="s">
        <v>9680</v>
      </c>
      <c r="D3083" s="80" t="s">
        <v>84</v>
      </c>
      <c r="E3083" s="80" t="s">
        <v>84</v>
      </c>
      <c r="G3083" s="80" t="s">
        <v>84</v>
      </c>
      <c r="H3083" s="80" t="s">
        <v>84</v>
      </c>
      <c r="I3083" s="80" t="s">
        <v>84</v>
      </c>
      <c r="J3083" s="80" t="s">
        <v>84</v>
      </c>
      <c r="K3083" s="80" t="s">
        <v>84</v>
      </c>
      <c r="L3083" s="80" t="s">
        <v>84</v>
      </c>
      <c r="M3083" s="80" t="s">
        <v>84</v>
      </c>
      <c r="N3083" s="80" t="s">
        <v>84</v>
      </c>
      <c r="O3083" s="80" t="s">
        <v>84</v>
      </c>
      <c r="Q3083" s="80" t="s">
        <v>84</v>
      </c>
      <c r="R3083" s="80" t="s">
        <v>84</v>
      </c>
    </row>
    <row r="3084" spans="1:18" ht="20" x14ac:dyDescent="0.2">
      <c r="A3084" s="80" t="s">
        <v>3927</v>
      </c>
      <c r="B3084" s="80" t="s">
        <v>3928</v>
      </c>
      <c r="C3084" s="80" t="s">
        <v>9680</v>
      </c>
      <c r="D3084" s="80" t="s">
        <v>84</v>
      </c>
      <c r="E3084" s="80" t="s">
        <v>84</v>
      </c>
      <c r="G3084" s="80" t="s">
        <v>84</v>
      </c>
      <c r="H3084" s="80" t="s">
        <v>84</v>
      </c>
      <c r="I3084" s="80" t="s">
        <v>84</v>
      </c>
      <c r="J3084" s="80" t="s">
        <v>84</v>
      </c>
      <c r="K3084" s="80" t="s">
        <v>84</v>
      </c>
      <c r="L3084" s="80" t="s">
        <v>84</v>
      </c>
      <c r="M3084" s="80" t="s">
        <v>84</v>
      </c>
      <c r="N3084" s="80" t="s">
        <v>84</v>
      </c>
      <c r="O3084" s="80" t="s">
        <v>84</v>
      </c>
      <c r="Q3084" s="80" t="s">
        <v>84</v>
      </c>
      <c r="R3084" s="80" t="s">
        <v>84</v>
      </c>
    </row>
    <row r="3085" spans="1:18" ht="20" x14ac:dyDescent="0.2">
      <c r="A3085" s="80" t="s">
        <v>3929</v>
      </c>
      <c r="B3085" s="80" t="s">
        <v>3930</v>
      </c>
      <c r="C3085" s="80" t="s">
        <v>9680</v>
      </c>
      <c r="D3085" s="80" t="s">
        <v>84</v>
      </c>
      <c r="E3085" s="80" t="s">
        <v>84</v>
      </c>
      <c r="G3085" s="80" t="s">
        <v>84</v>
      </c>
      <c r="H3085" s="80" t="s">
        <v>84</v>
      </c>
      <c r="I3085" s="80" t="s">
        <v>84</v>
      </c>
      <c r="J3085" s="80" t="s">
        <v>84</v>
      </c>
      <c r="K3085" s="80" t="s">
        <v>84</v>
      </c>
      <c r="L3085" s="80" t="s">
        <v>84</v>
      </c>
      <c r="M3085" s="80" t="s">
        <v>84</v>
      </c>
      <c r="N3085" s="80" t="s">
        <v>84</v>
      </c>
      <c r="O3085" s="80" t="s">
        <v>84</v>
      </c>
      <c r="Q3085" s="80" t="s">
        <v>84</v>
      </c>
      <c r="R3085" s="80" t="s">
        <v>84</v>
      </c>
    </row>
    <row r="3086" spans="1:18" ht="20" x14ac:dyDescent="0.2">
      <c r="A3086" s="80" t="s">
        <v>2195</v>
      </c>
      <c r="B3086" s="80" t="s">
        <v>2196</v>
      </c>
      <c r="C3086" s="80" t="s">
        <v>9680</v>
      </c>
      <c r="D3086" s="80" t="s">
        <v>84</v>
      </c>
      <c r="E3086" s="80" t="s">
        <v>84</v>
      </c>
      <c r="G3086" s="80" t="s">
        <v>84</v>
      </c>
      <c r="H3086" s="80" t="s">
        <v>84</v>
      </c>
      <c r="I3086" s="80" t="s">
        <v>84</v>
      </c>
      <c r="J3086" s="80" t="s">
        <v>84</v>
      </c>
      <c r="K3086" s="80" t="s">
        <v>84</v>
      </c>
      <c r="L3086" s="80" t="s">
        <v>84</v>
      </c>
      <c r="M3086" s="80" t="s">
        <v>84</v>
      </c>
      <c r="N3086" s="80" t="s">
        <v>84</v>
      </c>
      <c r="O3086" s="80" t="s">
        <v>84</v>
      </c>
      <c r="Q3086" s="80" t="s">
        <v>84</v>
      </c>
      <c r="R3086" s="80" t="s">
        <v>84</v>
      </c>
    </row>
    <row r="3087" spans="1:18" ht="20" x14ac:dyDescent="0.2">
      <c r="A3087" s="80" t="s">
        <v>832</v>
      </c>
      <c r="B3087" s="80" t="s">
        <v>833</v>
      </c>
      <c r="C3087" s="80" t="s">
        <v>9680</v>
      </c>
      <c r="D3087" s="80" t="s">
        <v>84</v>
      </c>
      <c r="E3087" s="80" t="s">
        <v>84</v>
      </c>
      <c r="G3087" s="80" t="s">
        <v>84</v>
      </c>
      <c r="H3087" s="80" t="s">
        <v>84</v>
      </c>
      <c r="I3087" s="80" t="s">
        <v>84</v>
      </c>
      <c r="J3087" s="80" t="s">
        <v>84</v>
      </c>
      <c r="K3087" s="80" t="s">
        <v>84</v>
      </c>
      <c r="L3087" s="80" t="s">
        <v>84</v>
      </c>
      <c r="M3087" s="80" t="s">
        <v>84</v>
      </c>
      <c r="N3087" s="80" t="s">
        <v>84</v>
      </c>
      <c r="O3087" s="80" t="s">
        <v>84</v>
      </c>
      <c r="Q3087" s="80" t="s">
        <v>84</v>
      </c>
      <c r="R3087" s="80" t="s">
        <v>84</v>
      </c>
    </row>
    <row r="3088" spans="1:18" ht="20" x14ac:dyDescent="0.2">
      <c r="A3088" s="80" t="s">
        <v>1005</v>
      </c>
      <c r="B3088" s="80" t="s">
        <v>1006</v>
      </c>
      <c r="C3088" s="80" t="s">
        <v>9680</v>
      </c>
      <c r="D3088" s="80" t="s">
        <v>84</v>
      </c>
      <c r="E3088" s="80" t="s">
        <v>84</v>
      </c>
      <c r="G3088" s="80" t="s">
        <v>84</v>
      </c>
      <c r="H3088" s="80" t="s">
        <v>84</v>
      </c>
      <c r="I3088" s="80" t="s">
        <v>84</v>
      </c>
      <c r="J3088" s="80" t="s">
        <v>84</v>
      </c>
      <c r="K3088" s="80" t="s">
        <v>84</v>
      </c>
      <c r="L3088" s="80" t="s">
        <v>84</v>
      </c>
      <c r="M3088" s="80" t="s">
        <v>84</v>
      </c>
      <c r="N3088" s="80" t="s">
        <v>84</v>
      </c>
      <c r="O3088" s="80" t="s">
        <v>84</v>
      </c>
      <c r="Q3088" s="80" t="s">
        <v>84</v>
      </c>
      <c r="R3088" s="80" t="s">
        <v>84</v>
      </c>
    </row>
    <row r="3089" spans="1:18" ht="20" x14ac:dyDescent="0.2">
      <c r="A3089" s="80" t="s">
        <v>1005</v>
      </c>
      <c r="B3089" s="80" t="s">
        <v>10806</v>
      </c>
      <c r="C3089" s="80" t="s">
        <v>9680</v>
      </c>
      <c r="D3089" s="80" t="s">
        <v>84</v>
      </c>
      <c r="E3089" s="80" t="s">
        <v>84</v>
      </c>
      <c r="G3089" s="80" t="s">
        <v>84</v>
      </c>
      <c r="H3089" s="80" t="s">
        <v>84</v>
      </c>
      <c r="I3089" s="80" t="s">
        <v>84</v>
      </c>
      <c r="J3089" s="80" t="s">
        <v>84</v>
      </c>
      <c r="K3089" s="80" t="s">
        <v>84</v>
      </c>
      <c r="L3089" s="80" t="s">
        <v>84</v>
      </c>
      <c r="M3089" s="80" t="s">
        <v>84</v>
      </c>
      <c r="N3089" s="80" t="s">
        <v>84</v>
      </c>
      <c r="O3089" s="80" t="s">
        <v>84</v>
      </c>
      <c r="Q3089" s="80" t="s">
        <v>84</v>
      </c>
      <c r="R3089" s="80" t="s">
        <v>84</v>
      </c>
    </row>
    <row r="3090" spans="1:18" ht="20" x14ac:dyDescent="0.2">
      <c r="A3090" s="80" t="s">
        <v>1005</v>
      </c>
      <c r="B3090" s="80" t="s">
        <v>1147</v>
      </c>
      <c r="C3090" s="80" t="s">
        <v>9680</v>
      </c>
      <c r="D3090" s="80" t="s">
        <v>84</v>
      </c>
      <c r="E3090" s="80" t="s">
        <v>84</v>
      </c>
      <c r="G3090" s="80" t="s">
        <v>84</v>
      </c>
      <c r="H3090" s="80" t="s">
        <v>84</v>
      </c>
      <c r="I3090" s="80" t="s">
        <v>84</v>
      </c>
      <c r="J3090" s="80" t="s">
        <v>84</v>
      </c>
      <c r="K3090" s="80" t="s">
        <v>84</v>
      </c>
      <c r="L3090" s="80" t="s">
        <v>84</v>
      </c>
      <c r="M3090" s="80" t="s">
        <v>84</v>
      </c>
      <c r="N3090" s="80" t="s">
        <v>84</v>
      </c>
      <c r="O3090" s="80" t="s">
        <v>84</v>
      </c>
      <c r="Q3090" s="80" t="s">
        <v>84</v>
      </c>
      <c r="R3090" s="80" t="s">
        <v>84</v>
      </c>
    </row>
    <row r="3091" spans="1:18" ht="20" x14ac:dyDescent="0.2">
      <c r="A3091" s="80" t="s">
        <v>1150</v>
      </c>
      <c r="B3091" s="80" t="s">
        <v>1151</v>
      </c>
      <c r="C3091" s="80" t="s">
        <v>9680</v>
      </c>
      <c r="D3091" s="80" t="s">
        <v>84</v>
      </c>
      <c r="E3091" s="80" t="s">
        <v>84</v>
      </c>
      <c r="G3091" s="80" t="s">
        <v>84</v>
      </c>
      <c r="H3091" s="80" t="s">
        <v>84</v>
      </c>
      <c r="I3091" s="80" t="s">
        <v>84</v>
      </c>
      <c r="J3091" s="80" t="s">
        <v>84</v>
      </c>
      <c r="K3091" s="80" t="s">
        <v>84</v>
      </c>
      <c r="L3091" s="80" t="s">
        <v>84</v>
      </c>
      <c r="M3091" s="80" t="s">
        <v>84</v>
      </c>
      <c r="N3091" s="80" t="s">
        <v>84</v>
      </c>
      <c r="O3091" s="80" t="s">
        <v>84</v>
      </c>
      <c r="Q3091" s="80" t="s">
        <v>84</v>
      </c>
      <c r="R3091" s="80" t="s">
        <v>84</v>
      </c>
    </row>
    <row r="3092" spans="1:18" ht="20" x14ac:dyDescent="0.2">
      <c r="A3092" s="80" t="s">
        <v>1152</v>
      </c>
      <c r="B3092" s="80" t="s">
        <v>10807</v>
      </c>
      <c r="C3092" s="80" t="s">
        <v>84</v>
      </c>
      <c r="D3092" s="80" t="s">
        <v>84</v>
      </c>
      <c r="E3092" s="80" t="s">
        <v>84</v>
      </c>
      <c r="G3092" s="80" t="s">
        <v>84</v>
      </c>
      <c r="H3092" s="80" t="s">
        <v>84</v>
      </c>
      <c r="I3092" s="80" t="s">
        <v>84</v>
      </c>
      <c r="J3092" s="80" t="s">
        <v>84</v>
      </c>
      <c r="K3092" s="80" t="s">
        <v>84</v>
      </c>
      <c r="L3092" s="80" t="s">
        <v>84</v>
      </c>
      <c r="M3092" s="80" t="s">
        <v>84</v>
      </c>
      <c r="N3092" s="80" t="s">
        <v>84</v>
      </c>
      <c r="O3092" s="80" t="s">
        <v>84</v>
      </c>
      <c r="Q3092" s="80" t="s">
        <v>84</v>
      </c>
      <c r="R3092" s="80" t="s">
        <v>84</v>
      </c>
    </row>
    <row r="3093" spans="1:18" ht="20" x14ac:dyDescent="0.2">
      <c r="A3093" s="80" t="s">
        <v>1152</v>
      </c>
      <c r="B3093" s="80" t="s">
        <v>1153</v>
      </c>
      <c r="C3093" s="80" t="s">
        <v>84</v>
      </c>
      <c r="D3093" s="80" t="s">
        <v>84</v>
      </c>
      <c r="E3093" s="80" t="s">
        <v>84</v>
      </c>
      <c r="G3093" s="80" t="s">
        <v>84</v>
      </c>
      <c r="H3093" s="80" t="s">
        <v>84</v>
      </c>
      <c r="I3093" s="80" t="s">
        <v>84</v>
      </c>
      <c r="J3093" s="80" t="s">
        <v>84</v>
      </c>
      <c r="K3093" s="80" t="s">
        <v>84</v>
      </c>
      <c r="L3093" s="80" t="s">
        <v>84</v>
      </c>
      <c r="M3093" s="80" t="s">
        <v>84</v>
      </c>
      <c r="N3093" s="80" t="s">
        <v>84</v>
      </c>
      <c r="O3093" s="80" t="s">
        <v>84</v>
      </c>
      <c r="Q3093" s="80" t="s">
        <v>84</v>
      </c>
      <c r="R3093" s="80" t="s">
        <v>84</v>
      </c>
    </row>
    <row r="3094" spans="1:18" ht="20" x14ac:dyDescent="0.2">
      <c r="A3094" s="80" t="s">
        <v>6192</v>
      </c>
      <c r="B3094" s="80" t="s">
        <v>10808</v>
      </c>
      <c r="C3094" s="80" t="s">
        <v>9680</v>
      </c>
      <c r="D3094" s="80" t="s">
        <v>84</v>
      </c>
      <c r="E3094" s="80" t="s">
        <v>84</v>
      </c>
      <c r="G3094" s="80" t="s">
        <v>84</v>
      </c>
      <c r="H3094" s="80" t="s">
        <v>84</v>
      </c>
      <c r="I3094" s="80" t="s">
        <v>84</v>
      </c>
      <c r="J3094" s="80" t="s">
        <v>84</v>
      </c>
      <c r="K3094" s="80" t="s">
        <v>84</v>
      </c>
      <c r="L3094" s="80" t="s">
        <v>84</v>
      </c>
      <c r="M3094" s="80" t="s">
        <v>84</v>
      </c>
      <c r="N3094" s="80" t="s">
        <v>84</v>
      </c>
      <c r="O3094" s="80" t="s">
        <v>84</v>
      </c>
      <c r="Q3094" s="80" t="s">
        <v>84</v>
      </c>
      <c r="R3094" s="80" t="s">
        <v>84</v>
      </c>
    </row>
    <row r="3095" spans="1:18" ht="20" x14ac:dyDescent="0.2">
      <c r="A3095" s="80" t="s">
        <v>6192</v>
      </c>
      <c r="B3095" s="80" t="s">
        <v>6193</v>
      </c>
      <c r="C3095" s="80" t="s">
        <v>9680</v>
      </c>
      <c r="D3095" s="80" t="s">
        <v>84</v>
      </c>
      <c r="E3095" s="80" t="s">
        <v>84</v>
      </c>
      <c r="G3095" s="80" t="s">
        <v>84</v>
      </c>
      <c r="H3095" s="80" t="s">
        <v>84</v>
      </c>
      <c r="I3095" s="80" t="s">
        <v>84</v>
      </c>
      <c r="J3095" s="80" t="s">
        <v>84</v>
      </c>
      <c r="K3095" s="80" t="s">
        <v>84</v>
      </c>
      <c r="L3095" s="80" t="s">
        <v>84</v>
      </c>
      <c r="M3095" s="80" t="s">
        <v>84</v>
      </c>
      <c r="N3095" s="80" t="s">
        <v>84</v>
      </c>
      <c r="O3095" s="80" t="s">
        <v>84</v>
      </c>
      <c r="Q3095" s="80" t="s">
        <v>84</v>
      </c>
      <c r="R3095" s="80" t="s">
        <v>84</v>
      </c>
    </row>
    <row r="3096" spans="1:18" ht="20" x14ac:dyDescent="0.2">
      <c r="A3096" s="80" t="s">
        <v>1154</v>
      </c>
      <c r="B3096" s="80" t="s">
        <v>1155</v>
      </c>
      <c r="C3096" s="80" t="s">
        <v>9680</v>
      </c>
      <c r="D3096" s="80" t="s">
        <v>84</v>
      </c>
      <c r="E3096" s="80" t="s">
        <v>84</v>
      </c>
      <c r="G3096" s="80" t="s">
        <v>84</v>
      </c>
      <c r="H3096" s="80" t="s">
        <v>84</v>
      </c>
      <c r="I3096" s="80" t="s">
        <v>84</v>
      </c>
      <c r="J3096" s="80" t="s">
        <v>84</v>
      </c>
      <c r="K3096" s="80" t="s">
        <v>84</v>
      </c>
      <c r="L3096" s="80" t="s">
        <v>84</v>
      </c>
      <c r="M3096" s="80" t="s">
        <v>84</v>
      </c>
      <c r="N3096" s="80" t="s">
        <v>84</v>
      </c>
      <c r="O3096" s="80" t="s">
        <v>84</v>
      </c>
      <c r="Q3096" s="80" t="s">
        <v>84</v>
      </c>
      <c r="R3096" s="80" t="s">
        <v>84</v>
      </c>
    </row>
    <row r="3097" spans="1:18" ht="20" x14ac:dyDescent="0.2">
      <c r="A3097" s="80" t="s">
        <v>1586</v>
      </c>
      <c r="B3097" s="80" t="s">
        <v>1587</v>
      </c>
      <c r="C3097" s="80" t="s">
        <v>9680</v>
      </c>
      <c r="D3097" s="80" t="s">
        <v>84</v>
      </c>
      <c r="E3097" s="80" t="s">
        <v>84</v>
      </c>
      <c r="G3097" s="80" t="s">
        <v>84</v>
      </c>
      <c r="H3097" s="80" t="s">
        <v>84</v>
      </c>
      <c r="I3097" s="80" t="s">
        <v>84</v>
      </c>
      <c r="J3097" s="80" t="s">
        <v>84</v>
      </c>
      <c r="K3097" s="80" t="s">
        <v>84</v>
      </c>
      <c r="L3097" s="80" t="s">
        <v>84</v>
      </c>
      <c r="M3097" s="80" t="s">
        <v>84</v>
      </c>
      <c r="N3097" s="80" t="s">
        <v>84</v>
      </c>
      <c r="O3097" s="80" t="s">
        <v>84</v>
      </c>
      <c r="Q3097" s="80" t="s">
        <v>84</v>
      </c>
      <c r="R3097" s="80" t="s">
        <v>84</v>
      </c>
    </row>
    <row r="3098" spans="1:18" ht="20" x14ac:dyDescent="0.2">
      <c r="A3098" s="80" t="s">
        <v>1588</v>
      </c>
      <c r="B3098" s="80" t="s">
        <v>1589</v>
      </c>
      <c r="C3098" s="80" t="s">
        <v>9680</v>
      </c>
      <c r="D3098" s="80" t="s">
        <v>84</v>
      </c>
      <c r="E3098" s="80" t="s">
        <v>84</v>
      </c>
      <c r="G3098" s="80" t="s">
        <v>84</v>
      </c>
      <c r="H3098" s="80" t="s">
        <v>84</v>
      </c>
      <c r="I3098" s="80" t="s">
        <v>84</v>
      </c>
      <c r="J3098" s="80" t="s">
        <v>84</v>
      </c>
      <c r="K3098" s="80" t="s">
        <v>84</v>
      </c>
      <c r="L3098" s="80" t="s">
        <v>84</v>
      </c>
      <c r="M3098" s="80" t="s">
        <v>84</v>
      </c>
      <c r="N3098" s="80" t="s">
        <v>84</v>
      </c>
      <c r="O3098" s="80" t="s">
        <v>84</v>
      </c>
      <c r="Q3098" s="80" t="s">
        <v>84</v>
      </c>
      <c r="R3098" s="80" t="s">
        <v>84</v>
      </c>
    </row>
    <row r="3099" spans="1:18" ht="20" x14ac:dyDescent="0.2">
      <c r="A3099" s="80" t="s">
        <v>1590</v>
      </c>
      <c r="B3099" s="80" t="s">
        <v>1591</v>
      </c>
      <c r="C3099" s="80" t="s">
        <v>9680</v>
      </c>
      <c r="D3099" s="80" t="s">
        <v>84</v>
      </c>
      <c r="E3099" s="80" t="s">
        <v>84</v>
      </c>
      <c r="G3099" s="80" t="s">
        <v>84</v>
      </c>
      <c r="H3099" s="80" t="s">
        <v>84</v>
      </c>
      <c r="I3099" s="80" t="s">
        <v>84</v>
      </c>
      <c r="J3099" s="80" t="s">
        <v>84</v>
      </c>
      <c r="K3099" s="80" t="s">
        <v>84</v>
      </c>
      <c r="L3099" s="80" t="s">
        <v>84</v>
      </c>
      <c r="M3099" s="80" t="s">
        <v>84</v>
      </c>
      <c r="N3099" s="80" t="s">
        <v>84</v>
      </c>
      <c r="O3099" s="80" t="s">
        <v>84</v>
      </c>
      <c r="Q3099" s="80" t="s">
        <v>84</v>
      </c>
      <c r="R3099" s="80" t="s">
        <v>84</v>
      </c>
    </row>
    <row r="3100" spans="1:18" ht="20" x14ac:dyDescent="0.2">
      <c r="A3100" s="80" t="s">
        <v>1592</v>
      </c>
      <c r="B3100" s="80" t="s">
        <v>1593</v>
      </c>
      <c r="C3100" s="80" t="s">
        <v>9680</v>
      </c>
      <c r="D3100" s="80" t="s">
        <v>84</v>
      </c>
      <c r="E3100" s="80" t="s">
        <v>84</v>
      </c>
      <c r="G3100" s="80" t="s">
        <v>84</v>
      </c>
      <c r="H3100" s="80" t="s">
        <v>84</v>
      </c>
      <c r="I3100" s="80" t="s">
        <v>84</v>
      </c>
      <c r="J3100" s="80" t="s">
        <v>84</v>
      </c>
      <c r="K3100" s="80" t="s">
        <v>84</v>
      </c>
      <c r="L3100" s="80" t="s">
        <v>84</v>
      </c>
      <c r="M3100" s="80" t="s">
        <v>84</v>
      </c>
      <c r="N3100" s="80" t="s">
        <v>84</v>
      </c>
      <c r="O3100" s="80" t="s">
        <v>84</v>
      </c>
      <c r="Q3100" s="80" t="s">
        <v>84</v>
      </c>
      <c r="R3100" s="80" t="s">
        <v>84</v>
      </c>
    </row>
    <row r="3101" spans="1:18" ht="20" x14ac:dyDescent="0.2">
      <c r="A3101" s="80" t="s">
        <v>1594</v>
      </c>
      <c r="B3101" s="80" t="s">
        <v>1595</v>
      </c>
      <c r="C3101" s="80" t="s">
        <v>9680</v>
      </c>
      <c r="D3101" s="80" t="s">
        <v>84</v>
      </c>
      <c r="E3101" s="80" t="s">
        <v>84</v>
      </c>
      <c r="G3101" s="80" t="s">
        <v>84</v>
      </c>
      <c r="H3101" s="80" t="s">
        <v>84</v>
      </c>
      <c r="I3101" s="80" t="s">
        <v>84</v>
      </c>
      <c r="J3101" s="80" t="s">
        <v>84</v>
      </c>
      <c r="K3101" s="80" t="s">
        <v>84</v>
      </c>
      <c r="L3101" s="80" t="s">
        <v>84</v>
      </c>
      <c r="M3101" s="80" t="s">
        <v>84</v>
      </c>
      <c r="N3101" s="80" t="s">
        <v>84</v>
      </c>
      <c r="O3101" s="80" t="s">
        <v>84</v>
      </c>
      <c r="Q3101" s="80" t="s">
        <v>84</v>
      </c>
      <c r="R3101" s="80" t="s">
        <v>84</v>
      </c>
    </row>
    <row r="3102" spans="1:18" ht="20" x14ac:dyDescent="0.2">
      <c r="A3102" s="80" t="s">
        <v>1596</v>
      </c>
      <c r="B3102" s="80" t="s">
        <v>1597</v>
      </c>
      <c r="C3102" s="80" t="s">
        <v>9680</v>
      </c>
      <c r="D3102" s="80" t="s">
        <v>84</v>
      </c>
      <c r="E3102" s="80" t="s">
        <v>84</v>
      </c>
      <c r="G3102" s="80" t="s">
        <v>84</v>
      </c>
      <c r="H3102" s="80" t="s">
        <v>84</v>
      </c>
      <c r="I3102" s="80" t="s">
        <v>84</v>
      </c>
      <c r="J3102" s="80" t="s">
        <v>84</v>
      </c>
      <c r="K3102" s="80" t="s">
        <v>84</v>
      </c>
      <c r="L3102" s="80" t="s">
        <v>84</v>
      </c>
      <c r="M3102" s="80" t="s">
        <v>84</v>
      </c>
      <c r="N3102" s="80" t="s">
        <v>84</v>
      </c>
      <c r="O3102" s="80" t="s">
        <v>84</v>
      </c>
      <c r="Q3102" s="80" t="s">
        <v>84</v>
      </c>
      <c r="R3102" s="80" t="s">
        <v>84</v>
      </c>
    </row>
    <row r="3103" spans="1:18" ht="20" x14ac:dyDescent="0.2">
      <c r="A3103" s="80" t="s">
        <v>1599</v>
      </c>
      <c r="B3103" s="80" t="s">
        <v>1600</v>
      </c>
      <c r="C3103" s="80" t="s">
        <v>9680</v>
      </c>
      <c r="D3103" s="80" t="s">
        <v>84</v>
      </c>
      <c r="E3103" s="80" t="s">
        <v>84</v>
      </c>
      <c r="G3103" s="80" t="s">
        <v>84</v>
      </c>
      <c r="H3103" s="80" t="s">
        <v>84</v>
      </c>
      <c r="I3103" s="80" t="s">
        <v>84</v>
      </c>
      <c r="J3103" s="80" t="s">
        <v>84</v>
      </c>
      <c r="K3103" s="80" t="s">
        <v>84</v>
      </c>
      <c r="L3103" s="80" t="s">
        <v>84</v>
      </c>
      <c r="M3103" s="80" t="s">
        <v>84</v>
      </c>
      <c r="N3103" s="80" t="s">
        <v>84</v>
      </c>
      <c r="O3103" s="80" t="s">
        <v>84</v>
      </c>
      <c r="Q3103" s="80" t="s">
        <v>84</v>
      </c>
      <c r="R3103" s="80" t="s">
        <v>84</v>
      </c>
    </row>
    <row r="3104" spans="1:18" ht="20" x14ac:dyDescent="0.2">
      <c r="A3104" s="80" t="s">
        <v>1601</v>
      </c>
      <c r="B3104" s="80" t="s">
        <v>1602</v>
      </c>
      <c r="C3104" s="80" t="s">
        <v>9680</v>
      </c>
      <c r="D3104" s="80" t="s">
        <v>84</v>
      </c>
      <c r="E3104" s="80" t="s">
        <v>84</v>
      </c>
      <c r="G3104" s="80" t="s">
        <v>84</v>
      </c>
      <c r="H3104" s="80" t="s">
        <v>84</v>
      </c>
      <c r="I3104" s="80" t="s">
        <v>84</v>
      </c>
      <c r="J3104" s="80" t="s">
        <v>84</v>
      </c>
      <c r="K3104" s="80" t="s">
        <v>84</v>
      </c>
      <c r="L3104" s="80" t="s">
        <v>84</v>
      </c>
      <c r="M3104" s="80" t="s">
        <v>84</v>
      </c>
      <c r="N3104" s="80" t="s">
        <v>84</v>
      </c>
      <c r="O3104" s="80" t="s">
        <v>84</v>
      </c>
      <c r="Q3104" s="80" t="s">
        <v>84</v>
      </c>
      <c r="R3104" s="80" t="s">
        <v>84</v>
      </c>
    </row>
    <row r="3105" spans="1:18" ht="20" x14ac:dyDescent="0.2">
      <c r="A3105" s="80" t="s">
        <v>4121</v>
      </c>
      <c r="B3105" s="80" t="s">
        <v>4122</v>
      </c>
      <c r="C3105" s="80" t="s">
        <v>9680</v>
      </c>
      <c r="D3105" s="80" t="s">
        <v>84</v>
      </c>
      <c r="E3105" s="80" t="s">
        <v>84</v>
      </c>
      <c r="G3105" s="80" t="s">
        <v>84</v>
      </c>
      <c r="H3105" s="80" t="s">
        <v>84</v>
      </c>
      <c r="I3105" s="80" t="s">
        <v>84</v>
      </c>
      <c r="J3105" s="80" t="s">
        <v>84</v>
      </c>
      <c r="K3105" s="80" t="s">
        <v>84</v>
      </c>
      <c r="L3105" s="80" t="s">
        <v>84</v>
      </c>
      <c r="M3105" s="80" t="s">
        <v>84</v>
      </c>
      <c r="N3105" s="80" t="s">
        <v>84</v>
      </c>
      <c r="O3105" s="80" t="s">
        <v>84</v>
      </c>
      <c r="Q3105" s="80" t="s">
        <v>84</v>
      </c>
      <c r="R3105" s="80" t="s">
        <v>84</v>
      </c>
    </row>
    <row r="3106" spans="1:18" ht="20" x14ac:dyDescent="0.2">
      <c r="A3106" s="80" t="s">
        <v>4121</v>
      </c>
      <c r="B3106" s="80" t="s">
        <v>4193</v>
      </c>
      <c r="C3106" s="80" t="s">
        <v>9680</v>
      </c>
      <c r="D3106" s="80" t="s">
        <v>84</v>
      </c>
      <c r="E3106" s="80" t="s">
        <v>84</v>
      </c>
      <c r="G3106" s="80" t="s">
        <v>84</v>
      </c>
      <c r="H3106" s="80" t="s">
        <v>84</v>
      </c>
      <c r="I3106" s="80" t="s">
        <v>84</v>
      </c>
      <c r="J3106" s="80" t="s">
        <v>84</v>
      </c>
      <c r="K3106" s="80" t="s">
        <v>84</v>
      </c>
      <c r="L3106" s="80" t="s">
        <v>84</v>
      </c>
      <c r="M3106" s="80" t="s">
        <v>84</v>
      </c>
      <c r="N3106" s="80" t="s">
        <v>84</v>
      </c>
      <c r="O3106" s="80" t="s">
        <v>84</v>
      </c>
      <c r="Q3106" s="80" t="s">
        <v>84</v>
      </c>
      <c r="R3106" s="80" t="s">
        <v>84</v>
      </c>
    </row>
    <row r="3107" spans="1:18" ht="20" x14ac:dyDescent="0.2">
      <c r="A3107" s="80" t="s">
        <v>4194</v>
      </c>
      <c r="B3107" s="80" t="s">
        <v>4195</v>
      </c>
      <c r="C3107" s="80" t="s">
        <v>9680</v>
      </c>
      <c r="D3107" s="80" t="s">
        <v>84</v>
      </c>
      <c r="E3107" s="80" t="s">
        <v>84</v>
      </c>
      <c r="G3107" s="80" t="s">
        <v>84</v>
      </c>
      <c r="H3107" s="80" t="s">
        <v>84</v>
      </c>
      <c r="I3107" s="80" t="s">
        <v>84</v>
      </c>
      <c r="J3107" s="80" t="s">
        <v>84</v>
      </c>
      <c r="K3107" s="80" t="s">
        <v>84</v>
      </c>
      <c r="L3107" s="80" t="s">
        <v>84</v>
      </c>
      <c r="M3107" s="80" t="s">
        <v>84</v>
      </c>
      <c r="N3107" s="80" t="s">
        <v>84</v>
      </c>
      <c r="O3107" s="80" t="s">
        <v>84</v>
      </c>
      <c r="Q3107" s="80" t="s">
        <v>84</v>
      </c>
      <c r="R3107" s="80" t="s">
        <v>84</v>
      </c>
    </row>
    <row r="3108" spans="1:18" ht="20" x14ac:dyDescent="0.2">
      <c r="A3108" s="80" t="s">
        <v>4196</v>
      </c>
      <c r="B3108" s="80" t="s">
        <v>4197</v>
      </c>
      <c r="C3108" s="80" t="s">
        <v>9680</v>
      </c>
      <c r="D3108" s="80" t="s">
        <v>84</v>
      </c>
      <c r="E3108" s="80" t="s">
        <v>84</v>
      </c>
      <c r="G3108" s="80" t="s">
        <v>84</v>
      </c>
      <c r="H3108" s="80" t="s">
        <v>84</v>
      </c>
      <c r="I3108" s="80" t="s">
        <v>84</v>
      </c>
      <c r="J3108" s="80" t="s">
        <v>84</v>
      </c>
      <c r="K3108" s="80" t="s">
        <v>84</v>
      </c>
      <c r="L3108" s="80" t="s">
        <v>84</v>
      </c>
      <c r="M3108" s="80" t="s">
        <v>84</v>
      </c>
      <c r="N3108" s="80" t="s">
        <v>84</v>
      </c>
      <c r="O3108" s="80" t="s">
        <v>84</v>
      </c>
      <c r="Q3108" s="80" t="s">
        <v>84</v>
      </c>
      <c r="R3108" s="80" t="s">
        <v>84</v>
      </c>
    </row>
    <row r="3109" spans="1:18" ht="20" x14ac:dyDescent="0.2">
      <c r="A3109" s="80" t="s">
        <v>4198</v>
      </c>
      <c r="B3109" s="80" t="s">
        <v>4199</v>
      </c>
      <c r="C3109" s="80" t="s">
        <v>84</v>
      </c>
      <c r="D3109" s="80" t="s">
        <v>84</v>
      </c>
      <c r="E3109" s="80" t="s">
        <v>84</v>
      </c>
      <c r="G3109" s="80" t="s">
        <v>84</v>
      </c>
      <c r="H3109" s="80" t="s">
        <v>84</v>
      </c>
      <c r="I3109" s="80" t="s">
        <v>84</v>
      </c>
      <c r="J3109" s="80" t="s">
        <v>84</v>
      </c>
      <c r="K3109" s="80" t="s">
        <v>84</v>
      </c>
      <c r="L3109" s="80" t="s">
        <v>84</v>
      </c>
      <c r="M3109" s="80" t="s">
        <v>84</v>
      </c>
      <c r="N3109" s="80" t="s">
        <v>84</v>
      </c>
      <c r="O3109" s="80" t="s">
        <v>84</v>
      </c>
      <c r="Q3109" s="80" t="s">
        <v>84</v>
      </c>
      <c r="R3109" s="80" t="s">
        <v>84</v>
      </c>
    </row>
    <row r="3110" spans="1:18" ht="20" x14ac:dyDescent="0.2">
      <c r="A3110" s="80" t="s">
        <v>4200</v>
      </c>
      <c r="B3110" s="80" t="s">
        <v>4201</v>
      </c>
      <c r="C3110" s="80" t="s">
        <v>84</v>
      </c>
      <c r="D3110" s="80" t="s">
        <v>84</v>
      </c>
      <c r="E3110" s="80" t="s">
        <v>84</v>
      </c>
      <c r="G3110" s="80" t="s">
        <v>84</v>
      </c>
      <c r="H3110" s="80" t="s">
        <v>84</v>
      </c>
      <c r="I3110" s="80" t="s">
        <v>84</v>
      </c>
      <c r="J3110" s="80" t="s">
        <v>84</v>
      </c>
      <c r="K3110" s="80" t="s">
        <v>84</v>
      </c>
      <c r="L3110" s="80" t="s">
        <v>84</v>
      </c>
      <c r="M3110" s="80" t="s">
        <v>84</v>
      </c>
      <c r="N3110" s="80" t="s">
        <v>84</v>
      </c>
      <c r="O3110" s="80" t="s">
        <v>84</v>
      </c>
      <c r="Q3110" s="80" t="s">
        <v>84</v>
      </c>
      <c r="R3110" s="80" t="s">
        <v>84</v>
      </c>
    </row>
    <row r="3111" spans="1:18" ht="20" x14ac:dyDescent="0.2">
      <c r="A3111" s="80" t="s">
        <v>4202</v>
      </c>
      <c r="B3111" s="80" t="s">
        <v>4203</v>
      </c>
      <c r="C3111" s="80" t="s">
        <v>9680</v>
      </c>
      <c r="D3111" s="80" t="s">
        <v>84</v>
      </c>
      <c r="E3111" s="80" t="s">
        <v>84</v>
      </c>
      <c r="G3111" s="80" t="s">
        <v>84</v>
      </c>
      <c r="H3111" s="80" t="s">
        <v>84</v>
      </c>
      <c r="I3111" s="80" t="s">
        <v>84</v>
      </c>
      <c r="J3111" s="80" t="s">
        <v>84</v>
      </c>
      <c r="K3111" s="80" t="s">
        <v>84</v>
      </c>
      <c r="L3111" s="80" t="s">
        <v>84</v>
      </c>
      <c r="M3111" s="80" t="s">
        <v>84</v>
      </c>
      <c r="N3111" s="80" t="s">
        <v>84</v>
      </c>
      <c r="O3111" s="80" t="s">
        <v>84</v>
      </c>
      <c r="Q3111" s="80" t="s">
        <v>84</v>
      </c>
      <c r="R3111" s="80" t="s">
        <v>84</v>
      </c>
    </row>
    <row r="3112" spans="1:18" ht="20" x14ac:dyDescent="0.2">
      <c r="A3112" s="80" t="s">
        <v>4204</v>
      </c>
      <c r="B3112" s="80" t="s">
        <v>4205</v>
      </c>
      <c r="C3112" s="80" t="s">
        <v>9680</v>
      </c>
      <c r="D3112" s="80" t="s">
        <v>84</v>
      </c>
      <c r="E3112" s="80" t="s">
        <v>84</v>
      </c>
      <c r="G3112" s="80" t="s">
        <v>84</v>
      </c>
      <c r="H3112" s="80" t="s">
        <v>84</v>
      </c>
      <c r="I3112" s="80" t="s">
        <v>84</v>
      </c>
      <c r="J3112" s="80" t="s">
        <v>84</v>
      </c>
      <c r="K3112" s="80" t="s">
        <v>84</v>
      </c>
      <c r="L3112" s="80" t="s">
        <v>84</v>
      </c>
      <c r="M3112" s="80" t="s">
        <v>84</v>
      </c>
      <c r="N3112" s="80" t="s">
        <v>84</v>
      </c>
      <c r="O3112" s="80" t="s">
        <v>84</v>
      </c>
      <c r="Q3112" s="80" t="s">
        <v>84</v>
      </c>
      <c r="R3112" s="80" t="s">
        <v>84</v>
      </c>
    </row>
    <row r="3113" spans="1:18" ht="20" x14ac:dyDescent="0.2">
      <c r="A3113" s="80" t="s">
        <v>4206</v>
      </c>
      <c r="B3113" s="80" t="s">
        <v>4207</v>
      </c>
      <c r="C3113" s="80" t="s">
        <v>9680</v>
      </c>
      <c r="D3113" s="80" t="s">
        <v>84</v>
      </c>
      <c r="E3113" s="80" t="s">
        <v>84</v>
      </c>
      <c r="G3113" s="80" t="s">
        <v>84</v>
      </c>
      <c r="H3113" s="80" t="s">
        <v>84</v>
      </c>
      <c r="I3113" s="80" t="s">
        <v>84</v>
      </c>
      <c r="J3113" s="80" t="s">
        <v>84</v>
      </c>
      <c r="K3113" s="80" t="s">
        <v>84</v>
      </c>
      <c r="L3113" s="80" t="s">
        <v>84</v>
      </c>
      <c r="M3113" s="80" t="s">
        <v>84</v>
      </c>
      <c r="N3113" s="80" t="s">
        <v>84</v>
      </c>
      <c r="O3113" s="80" t="s">
        <v>84</v>
      </c>
      <c r="Q3113" s="80" t="s">
        <v>84</v>
      </c>
      <c r="R3113" s="80" t="s">
        <v>84</v>
      </c>
    </row>
    <row r="3114" spans="1:18" ht="20" x14ac:dyDescent="0.2">
      <c r="A3114" s="80" t="s">
        <v>4210</v>
      </c>
      <c r="B3114" s="80" t="s">
        <v>4211</v>
      </c>
      <c r="C3114" s="80" t="s">
        <v>9680</v>
      </c>
      <c r="D3114" s="80" t="s">
        <v>84</v>
      </c>
      <c r="E3114" s="80" t="s">
        <v>84</v>
      </c>
      <c r="G3114" s="80" t="s">
        <v>84</v>
      </c>
      <c r="H3114" s="80" t="s">
        <v>84</v>
      </c>
      <c r="I3114" s="80" t="s">
        <v>84</v>
      </c>
      <c r="J3114" s="80" t="s">
        <v>84</v>
      </c>
      <c r="K3114" s="80" t="s">
        <v>84</v>
      </c>
      <c r="L3114" s="80" t="s">
        <v>84</v>
      </c>
      <c r="M3114" s="80" t="s">
        <v>84</v>
      </c>
      <c r="N3114" s="80" t="s">
        <v>84</v>
      </c>
      <c r="O3114" s="80" t="s">
        <v>84</v>
      </c>
      <c r="Q3114" s="80" t="s">
        <v>84</v>
      </c>
      <c r="R3114" s="80" t="s">
        <v>84</v>
      </c>
    </row>
    <row r="3115" spans="1:18" ht="20" x14ac:dyDescent="0.2">
      <c r="A3115" s="80" t="s">
        <v>4212</v>
      </c>
      <c r="B3115" s="80" t="s">
        <v>4213</v>
      </c>
      <c r="C3115" s="80" t="s">
        <v>84</v>
      </c>
      <c r="D3115" s="80" t="s">
        <v>84</v>
      </c>
      <c r="E3115" s="80" t="s">
        <v>84</v>
      </c>
      <c r="G3115" s="80" t="s">
        <v>84</v>
      </c>
      <c r="H3115" s="80" t="s">
        <v>84</v>
      </c>
      <c r="I3115" s="80" t="s">
        <v>84</v>
      </c>
      <c r="J3115" s="80" t="s">
        <v>84</v>
      </c>
      <c r="K3115" s="80" t="s">
        <v>84</v>
      </c>
      <c r="L3115" s="80" t="s">
        <v>84</v>
      </c>
      <c r="M3115" s="80" t="s">
        <v>84</v>
      </c>
      <c r="N3115" s="80" t="s">
        <v>84</v>
      </c>
      <c r="O3115" s="80" t="s">
        <v>84</v>
      </c>
      <c r="Q3115" s="80" t="s">
        <v>84</v>
      </c>
      <c r="R3115" s="80" t="s">
        <v>84</v>
      </c>
    </row>
    <row r="3116" spans="1:18" ht="20" x14ac:dyDescent="0.2">
      <c r="A3116" s="80" t="s">
        <v>4214</v>
      </c>
      <c r="B3116" s="80" t="s">
        <v>4215</v>
      </c>
      <c r="C3116" s="80" t="s">
        <v>84</v>
      </c>
      <c r="D3116" s="80" t="s">
        <v>84</v>
      </c>
      <c r="E3116" s="80" t="s">
        <v>84</v>
      </c>
      <c r="G3116" s="80" t="s">
        <v>84</v>
      </c>
      <c r="H3116" s="80" t="s">
        <v>84</v>
      </c>
      <c r="I3116" s="80" t="s">
        <v>84</v>
      </c>
      <c r="J3116" s="80" t="s">
        <v>84</v>
      </c>
      <c r="K3116" s="80" t="s">
        <v>84</v>
      </c>
      <c r="L3116" s="80" t="s">
        <v>84</v>
      </c>
      <c r="M3116" s="80" t="s">
        <v>84</v>
      </c>
      <c r="N3116" s="80" t="s">
        <v>84</v>
      </c>
      <c r="O3116" s="80" t="s">
        <v>84</v>
      </c>
      <c r="Q3116" s="80" t="s">
        <v>84</v>
      </c>
      <c r="R3116" s="80" t="s">
        <v>84</v>
      </c>
    </row>
    <row r="3117" spans="1:18" ht="20" x14ac:dyDescent="0.2">
      <c r="A3117" s="80" t="s">
        <v>4508</v>
      </c>
      <c r="B3117" s="80" t="s">
        <v>4509</v>
      </c>
      <c r="C3117" s="80" t="s">
        <v>9680</v>
      </c>
      <c r="D3117" s="80" t="s">
        <v>84</v>
      </c>
      <c r="E3117" s="80" t="s">
        <v>84</v>
      </c>
      <c r="G3117" s="80" t="s">
        <v>84</v>
      </c>
      <c r="H3117" s="80" t="s">
        <v>84</v>
      </c>
      <c r="I3117" s="80" t="s">
        <v>84</v>
      </c>
      <c r="J3117" s="80" t="s">
        <v>84</v>
      </c>
      <c r="K3117" s="80" t="s">
        <v>84</v>
      </c>
      <c r="L3117" s="80" t="s">
        <v>84</v>
      </c>
      <c r="M3117" s="80" t="s">
        <v>84</v>
      </c>
      <c r="N3117" s="80" t="s">
        <v>84</v>
      </c>
      <c r="O3117" s="80" t="s">
        <v>84</v>
      </c>
      <c r="Q3117" s="80" t="s">
        <v>84</v>
      </c>
      <c r="R3117" s="80" t="s">
        <v>84</v>
      </c>
    </row>
    <row r="3118" spans="1:18" ht="20" x14ac:dyDescent="0.2">
      <c r="A3118" s="80" t="s">
        <v>4510</v>
      </c>
      <c r="B3118" s="80" t="s">
        <v>4511</v>
      </c>
      <c r="C3118" s="80" t="s">
        <v>84</v>
      </c>
      <c r="D3118" s="80" t="s">
        <v>84</v>
      </c>
      <c r="E3118" s="80" t="s">
        <v>84</v>
      </c>
      <c r="G3118" s="80" t="s">
        <v>84</v>
      </c>
      <c r="H3118" s="80" t="s">
        <v>84</v>
      </c>
      <c r="I3118" s="80" t="s">
        <v>84</v>
      </c>
      <c r="J3118" s="80" t="s">
        <v>84</v>
      </c>
      <c r="K3118" s="80" t="s">
        <v>84</v>
      </c>
      <c r="L3118" s="80" t="s">
        <v>84</v>
      </c>
      <c r="M3118" s="80" t="s">
        <v>84</v>
      </c>
      <c r="N3118" s="80" t="s">
        <v>84</v>
      </c>
      <c r="O3118" s="80" t="s">
        <v>84</v>
      </c>
      <c r="Q3118" s="80" t="s">
        <v>84</v>
      </c>
      <c r="R3118" s="80" t="s">
        <v>84</v>
      </c>
    </row>
    <row r="3119" spans="1:18" ht="20" x14ac:dyDescent="0.2">
      <c r="A3119" s="80" t="s">
        <v>4512</v>
      </c>
      <c r="B3119" s="80" t="s">
        <v>4513</v>
      </c>
      <c r="C3119" s="80" t="s">
        <v>84</v>
      </c>
      <c r="D3119" s="80" t="s">
        <v>84</v>
      </c>
      <c r="E3119" s="80" t="s">
        <v>84</v>
      </c>
      <c r="G3119" s="80" t="s">
        <v>84</v>
      </c>
      <c r="H3119" s="80" t="s">
        <v>84</v>
      </c>
      <c r="I3119" s="80" t="s">
        <v>84</v>
      </c>
      <c r="J3119" s="80" t="s">
        <v>84</v>
      </c>
      <c r="K3119" s="80" t="s">
        <v>84</v>
      </c>
      <c r="L3119" s="80" t="s">
        <v>84</v>
      </c>
      <c r="M3119" s="80" t="s">
        <v>84</v>
      </c>
      <c r="N3119" s="80" t="s">
        <v>84</v>
      </c>
      <c r="O3119" s="80" t="s">
        <v>84</v>
      </c>
      <c r="Q3119" s="80" t="s">
        <v>84</v>
      </c>
      <c r="R3119" s="80" t="s">
        <v>84</v>
      </c>
    </row>
    <row r="3120" spans="1:18" ht="20" x14ac:dyDescent="0.2">
      <c r="A3120" s="80" t="s">
        <v>4514</v>
      </c>
      <c r="B3120" s="80" t="s">
        <v>4515</v>
      </c>
      <c r="C3120" s="80" t="s">
        <v>9680</v>
      </c>
      <c r="D3120" s="80" t="s">
        <v>84</v>
      </c>
      <c r="E3120" s="80" t="s">
        <v>84</v>
      </c>
      <c r="G3120" s="80" t="s">
        <v>84</v>
      </c>
      <c r="H3120" s="80" t="s">
        <v>84</v>
      </c>
      <c r="I3120" s="80" t="s">
        <v>84</v>
      </c>
      <c r="J3120" s="80" t="s">
        <v>84</v>
      </c>
      <c r="K3120" s="80" t="s">
        <v>84</v>
      </c>
      <c r="L3120" s="80" t="s">
        <v>84</v>
      </c>
      <c r="M3120" s="80" t="s">
        <v>84</v>
      </c>
      <c r="N3120" s="80" t="s">
        <v>84</v>
      </c>
      <c r="O3120" s="80" t="s">
        <v>84</v>
      </c>
      <c r="Q3120" s="80" t="s">
        <v>84</v>
      </c>
      <c r="R3120" s="80" t="s">
        <v>84</v>
      </c>
    </row>
    <row r="3121" spans="1:18" ht="20" x14ac:dyDescent="0.2">
      <c r="A3121" s="80" t="s">
        <v>4516</v>
      </c>
      <c r="B3121" s="80" t="s">
        <v>4517</v>
      </c>
      <c r="C3121" s="80" t="s">
        <v>9680</v>
      </c>
      <c r="D3121" s="80" t="s">
        <v>84</v>
      </c>
      <c r="E3121" s="80" t="s">
        <v>84</v>
      </c>
      <c r="G3121" s="80" t="s">
        <v>84</v>
      </c>
      <c r="H3121" s="80" t="s">
        <v>84</v>
      </c>
      <c r="I3121" s="80" t="s">
        <v>84</v>
      </c>
      <c r="J3121" s="80" t="s">
        <v>84</v>
      </c>
      <c r="K3121" s="80" t="s">
        <v>84</v>
      </c>
      <c r="L3121" s="80" t="s">
        <v>84</v>
      </c>
      <c r="M3121" s="80" t="s">
        <v>84</v>
      </c>
      <c r="N3121" s="80" t="s">
        <v>84</v>
      </c>
      <c r="O3121" s="80" t="s">
        <v>84</v>
      </c>
      <c r="Q3121" s="80" t="s">
        <v>84</v>
      </c>
      <c r="R3121" s="80" t="s">
        <v>84</v>
      </c>
    </row>
    <row r="3122" spans="1:18" ht="20" x14ac:dyDescent="0.2">
      <c r="A3122" s="80" t="s">
        <v>4518</v>
      </c>
      <c r="B3122" s="80" t="s">
        <v>4519</v>
      </c>
      <c r="C3122" s="80" t="s">
        <v>9680</v>
      </c>
      <c r="D3122" s="80" t="s">
        <v>84</v>
      </c>
      <c r="E3122" s="80" t="s">
        <v>84</v>
      </c>
      <c r="G3122" s="80" t="s">
        <v>84</v>
      </c>
      <c r="H3122" s="80" t="s">
        <v>84</v>
      </c>
      <c r="I3122" s="80" t="s">
        <v>84</v>
      </c>
      <c r="J3122" s="80" t="s">
        <v>84</v>
      </c>
      <c r="K3122" s="80" t="s">
        <v>84</v>
      </c>
      <c r="L3122" s="80" t="s">
        <v>84</v>
      </c>
      <c r="M3122" s="80" t="s">
        <v>84</v>
      </c>
      <c r="N3122" s="80" t="s">
        <v>84</v>
      </c>
      <c r="O3122" s="80" t="s">
        <v>84</v>
      </c>
      <c r="Q3122" s="80" t="s">
        <v>84</v>
      </c>
      <c r="R3122" s="80" t="s">
        <v>84</v>
      </c>
    </row>
    <row r="3123" spans="1:18" ht="20" x14ac:dyDescent="0.2">
      <c r="A3123" s="80" t="s">
        <v>4520</v>
      </c>
      <c r="B3123" s="80" t="s">
        <v>4521</v>
      </c>
      <c r="C3123" s="80" t="s">
        <v>9680</v>
      </c>
      <c r="D3123" s="80" t="s">
        <v>84</v>
      </c>
      <c r="E3123" s="80" t="s">
        <v>84</v>
      </c>
      <c r="G3123" s="80" t="s">
        <v>84</v>
      </c>
      <c r="H3123" s="80" t="s">
        <v>84</v>
      </c>
      <c r="I3123" s="80" t="s">
        <v>84</v>
      </c>
      <c r="J3123" s="80" t="s">
        <v>84</v>
      </c>
      <c r="K3123" s="80" t="s">
        <v>84</v>
      </c>
      <c r="L3123" s="80" t="s">
        <v>84</v>
      </c>
      <c r="M3123" s="80" t="s">
        <v>84</v>
      </c>
      <c r="N3123" s="80" t="s">
        <v>84</v>
      </c>
      <c r="O3123" s="80" t="s">
        <v>84</v>
      </c>
      <c r="Q3123" s="80" t="s">
        <v>84</v>
      </c>
      <c r="R3123" s="80" t="s">
        <v>84</v>
      </c>
    </row>
    <row r="3124" spans="1:18" ht="20" x14ac:dyDescent="0.2">
      <c r="A3124" s="80" t="s">
        <v>4524</v>
      </c>
      <c r="B3124" s="80" t="s">
        <v>4525</v>
      </c>
      <c r="C3124" s="80" t="s">
        <v>9680</v>
      </c>
      <c r="D3124" s="80" t="s">
        <v>84</v>
      </c>
      <c r="E3124" s="80" t="s">
        <v>84</v>
      </c>
      <c r="G3124" s="80" t="s">
        <v>84</v>
      </c>
      <c r="H3124" s="80" t="s">
        <v>84</v>
      </c>
      <c r="I3124" s="80" t="s">
        <v>84</v>
      </c>
      <c r="J3124" s="80" t="s">
        <v>84</v>
      </c>
      <c r="K3124" s="80" t="s">
        <v>84</v>
      </c>
      <c r="L3124" s="80" t="s">
        <v>84</v>
      </c>
      <c r="M3124" s="80" t="s">
        <v>84</v>
      </c>
      <c r="N3124" s="80" t="s">
        <v>84</v>
      </c>
      <c r="O3124" s="80" t="s">
        <v>84</v>
      </c>
      <c r="Q3124" s="80" t="s">
        <v>84</v>
      </c>
      <c r="R3124" s="80" t="s">
        <v>84</v>
      </c>
    </row>
    <row r="3125" spans="1:18" ht="20" x14ac:dyDescent="0.2">
      <c r="A3125" s="80" t="s">
        <v>4526</v>
      </c>
      <c r="B3125" s="80" t="s">
        <v>4527</v>
      </c>
      <c r="C3125" s="80" t="s">
        <v>9680</v>
      </c>
      <c r="D3125" s="80" t="s">
        <v>84</v>
      </c>
      <c r="E3125" s="80" t="s">
        <v>84</v>
      </c>
      <c r="G3125" s="80" t="s">
        <v>84</v>
      </c>
      <c r="H3125" s="80" t="s">
        <v>84</v>
      </c>
      <c r="I3125" s="80" t="s">
        <v>84</v>
      </c>
      <c r="J3125" s="80" t="s">
        <v>84</v>
      </c>
      <c r="K3125" s="80" t="s">
        <v>84</v>
      </c>
      <c r="L3125" s="80" t="s">
        <v>84</v>
      </c>
      <c r="M3125" s="80" t="s">
        <v>84</v>
      </c>
      <c r="N3125" s="80" t="s">
        <v>84</v>
      </c>
      <c r="O3125" s="80" t="s">
        <v>84</v>
      </c>
      <c r="Q3125" s="80" t="s">
        <v>84</v>
      </c>
      <c r="R3125" s="80" t="s">
        <v>84</v>
      </c>
    </row>
    <row r="3126" spans="1:18" ht="20" x14ac:dyDescent="0.2">
      <c r="A3126" s="80" t="s">
        <v>4218</v>
      </c>
      <c r="B3126" s="80" t="s">
        <v>4219</v>
      </c>
      <c r="C3126" s="80" t="s">
        <v>9680</v>
      </c>
      <c r="D3126" s="80" t="s">
        <v>84</v>
      </c>
      <c r="E3126" s="80" t="s">
        <v>84</v>
      </c>
      <c r="G3126" s="80" t="s">
        <v>84</v>
      </c>
      <c r="H3126" s="80" t="s">
        <v>84</v>
      </c>
      <c r="I3126" s="80" t="s">
        <v>84</v>
      </c>
      <c r="J3126" s="80" t="s">
        <v>84</v>
      </c>
      <c r="K3126" s="80" t="s">
        <v>84</v>
      </c>
      <c r="L3126" s="80" t="s">
        <v>84</v>
      </c>
      <c r="M3126" s="80" t="s">
        <v>84</v>
      </c>
      <c r="N3126" s="80" t="s">
        <v>84</v>
      </c>
      <c r="O3126" s="80" t="s">
        <v>84</v>
      </c>
      <c r="Q3126" s="80" t="s">
        <v>84</v>
      </c>
      <c r="R3126" s="80" t="s">
        <v>84</v>
      </c>
    </row>
    <row r="3127" spans="1:18" ht="20" x14ac:dyDescent="0.2">
      <c r="A3127" s="80" t="s">
        <v>4220</v>
      </c>
      <c r="B3127" s="80" t="s">
        <v>4221</v>
      </c>
      <c r="C3127" s="80" t="s">
        <v>84</v>
      </c>
      <c r="D3127" s="80" t="s">
        <v>84</v>
      </c>
      <c r="E3127" s="80" t="s">
        <v>84</v>
      </c>
      <c r="G3127" s="80" t="s">
        <v>84</v>
      </c>
      <c r="H3127" s="80" t="s">
        <v>84</v>
      </c>
      <c r="I3127" s="80" t="s">
        <v>84</v>
      </c>
      <c r="J3127" s="80" t="s">
        <v>84</v>
      </c>
      <c r="K3127" s="80" t="s">
        <v>84</v>
      </c>
      <c r="L3127" s="80" t="s">
        <v>84</v>
      </c>
      <c r="M3127" s="80" t="s">
        <v>84</v>
      </c>
      <c r="N3127" s="80" t="s">
        <v>84</v>
      </c>
      <c r="O3127" s="80" t="s">
        <v>84</v>
      </c>
      <c r="Q3127" s="80" t="s">
        <v>84</v>
      </c>
      <c r="R3127" s="80" t="s">
        <v>84</v>
      </c>
    </row>
    <row r="3128" spans="1:18" ht="20" x14ac:dyDescent="0.2">
      <c r="A3128" s="80" t="s">
        <v>4222</v>
      </c>
      <c r="B3128" s="80" t="s">
        <v>4223</v>
      </c>
      <c r="C3128" s="80" t="s">
        <v>84</v>
      </c>
      <c r="D3128" s="80" t="s">
        <v>84</v>
      </c>
      <c r="E3128" s="80" t="s">
        <v>84</v>
      </c>
      <c r="G3128" s="80" t="s">
        <v>84</v>
      </c>
      <c r="H3128" s="80" t="s">
        <v>84</v>
      </c>
      <c r="I3128" s="80" t="s">
        <v>84</v>
      </c>
      <c r="J3128" s="80" t="s">
        <v>84</v>
      </c>
      <c r="K3128" s="80" t="s">
        <v>84</v>
      </c>
      <c r="L3128" s="80" t="s">
        <v>84</v>
      </c>
      <c r="M3128" s="80" t="s">
        <v>84</v>
      </c>
      <c r="N3128" s="80" t="s">
        <v>84</v>
      </c>
      <c r="O3128" s="80" t="s">
        <v>84</v>
      </c>
      <c r="Q3128" s="80" t="s">
        <v>84</v>
      </c>
      <c r="R3128" s="80" t="s">
        <v>84</v>
      </c>
    </row>
    <row r="3129" spans="1:18" ht="20" x14ac:dyDescent="0.2">
      <c r="A3129" s="80" t="s">
        <v>4224</v>
      </c>
      <c r="B3129" s="80" t="s">
        <v>4225</v>
      </c>
      <c r="C3129" s="80" t="s">
        <v>84</v>
      </c>
      <c r="D3129" s="80" t="s">
        <v>84</v>
      </c>
      <c r="E3129" s="80" t="s">
        <v>84</v>
      </c>
      <c r="G3129" s="80" t="s">
        <v>84</v>
      </c>
      <c r="H3129" s="80" t="s">
        <v>84</v>
      </c>
      <c r="I3129" s="80" t="s">
        <v>84</v>
      </c>
      <c r="J3129" s="80" t="s">
        <v>84</v>
      </c>
      <c r="K3129" s="80" t="s">
        <v>84</v>
      </c>
      <c r="L3129" s="80" t="s">
        <v>84</v>
      </c>
      <c r="M3129" s="80" t="s">
        <v>84</v>
      </c>
      <c r="N3129" s="80" t="s">
        <v>84</v>
      </c>
      <c r="O3129" s="80" t="s">
        <v>84</v>
      </c>
      <c r="Q3129" s="80" t="s">
        <v>84</v>
      </c>
      <c r="R3129" s="80" t="s">
        <v>84</v>
      </c>
    </row>
    <row r="3130" spans="1:18" ht="20" x14ac:dyDescent="0.2">
      <c r="A3130" s="80" t="s">
        <v>4528</v>
      </c>
      <c r="B3130" s="80" t="s">
        <v>4529</v>
      </c>
      <c r="C3130" s="80" t="s">
        <v>9680</v>
      </c>
      <c r="D3130" s="80" t="s">
        <v>84</v>
      </c>
      <c r="E3130" s="80" t="s">
        <v>84</v>
      </c>
      <c r="G3130" s="80" t="s">
        <v>84</v>
      </c>
      <c r="H3130" s="80" t="s">
        <v>84</v>
      </c>
      <c r="I3130" s="80" t="s">
        <v>84</v>
      </c>
      <c r="J3130" s="80" t="s">
        <v>84</v>
      </c>
      <c r="K3130" s="80" t="s">
        <v>84</v>
      </c>
      <c r="L3130" s="80" t="s">
        <v>84</v>
      </c>
      <c r="M3130" s="80" t="s">
        <v>84</v>
      </c>
      <c r="N3130" s="80" t="s">
        <v>84</v>
      </c>
      <c r="O3130" s="80" t="s">
        <v>84</v>
      </c>
      <c r="Q3130" s="80" t="s">
        <v>84</v>
      </c>
      <c r="R3130" s="80" t="s">
        <v>84</v>
      </c>
    </row>
    <row r="3131" spans="1:18" ht="20" x14ac:dyDescent="0.2">
      <c r="A3131" s="80" t="s">
        <v>4530</v>
      </c>
      <c r="B3131" s="80" t="s">
        <v>4531</v>
      </c>
      <c r="C3131" s="80" t="s">
        <v>9680</v>
      </c>
      <c r="D3131" s="80" t="s">
        <v>84</v>
      </c>
      <c r="E3131" s="80" t="s">
        <v>84</v>
      </c>
      <c r="G3131" s="80" t="s">
        <v>84</v>
      </c>
      <c r="H3131" s="80" t="s">
        <v>84</v>
      </c>
      <c r="I3131" s="80" t="s">
        <v>84</v>
      </c>
      <c r="J3131" s="80" t="s">
        <v>84</v>
      </c>
      <c r="K3131" s="80" t="s">
        <v>84</v>
      </c>
      <c r="L3131" s="80" t="s">
        <v>84</v>
      </c>
      <c r="M3131" s="80" t="s">
        <v>84</v>
      </c>
      <c r="N3131" s="80" t="s">
        <v>84</v>
      </c>
      <c r="O3131" s="80" t="s">
        <v>84</v>
      </c>
      <c r="Q3131" s="80" t="s">
        <v>84</v>
      </c>
      <c r="R3131" s="80" t="s">
        <v>84</v>
      </c>
    </row>
    <row r="3132" spans="1:18" ht="20" x14ac:dyDescent="0.2">
      <c r="A3132" s="80" t="s">
        <v>4226</v>
      </c>
      <c r="B3132" s="80" t="s">
        <v>4227</v>
      </c>
      <c r="C3132" s="80" t="s">
        <v>9680</v>
      </c>
      <c r="D3132" s="80" t="s">
        <v>84</v>
      </c>
      <c r="E3132" s="80" t="s">
        <v>84</v>
      </c>
      <c r="G3132" s="80" t="s">
        <v>84</v>
      </c>
      <c r="H3132" s="80" t="s">
        <v>84</v>
      </c>
      <c r="I3132" s="80" t="s">
        <v>84</v>
      </c>
      <c r="J3132" s="80" t="s">
        <v>84</v>
      </c>
      <c r="K3132" s="80" t="s">
        <v>84</v>
      </c>
      <c r="L3132" s="80" t="s">
        <v>84</v>
      </c>
      <c r="M3132" s="80" t="s">
        <v>84</v>
      </c>
      <c r="N3132" s="80" t="s">
        <v>84</v>
      </c>
      <c r="O3132" s="80" t="s">
        <v>84</v>
      </c>
      <c r="Q3132" s="80" t="s">
        <v>84</v>
      </c>
      <c r="R3132" s="80" t="s">
        <v>84</v>
      </c>
    </row>
    <row r="3133" spans="1:18" ht="20" x14ac:dyDescent="0.2">
      <c r="A3133" s="80" t="s">
        <v>4228</v>
      </c>
      <c r="B3133" s="80" t="s">
        <v>4229</v>
      </c>
      <c r="C3133" s="80" t="s">
        <v>9680</v>
      </c>
      <c r="D3133" s="80" t="s">
        <v>84</v>
      </c>
      <c r="E3133" s="80" t="s">
        <v>84</v>
      </c>
      <c r="G3133" s="80" t="s">
        <v>84</v>
      </c>
      <c r="H3133" s="80" t="s">
        <v>84</v>
      </c>
      <c r="I3133" s="80" t="s">
        <v>84</v>
      </c>
      <c r="J3133" s="80" t="s">
        <v>84</v>
      </c>
      <c r="K3133" s="80" t="s">
        <v>84</v>
      </c>
      <c r="L3133" s="80" t="s">
        <v>84</v>
      </c>
      <c r="M3133" s="80" t="s">
        <v>84</v>
      </c>
      <c r="N3133" s="80" t="s">
        <v>84</v>
      </c>
      <c r="O3133" s="80" t="s">
        <v>84</v>
      </c>
      <c r="Q3133" s="80" t="s">
        <v>84</v>
      </c>
      <c r="R3133" s="80" t="s">
        <v>84</v>
      </c>
    </row>
    <row r="3134" spans="1:18" ht="20" x14ac:dyDescent="0.2">
      <c r="A3134" s="80" t="s">
        <v>4232</v>
      </c>
      <c r="B3134" s="80" t="s">
        <v>4233</v>
      </c>
      <c r="C3134" s="80" t="s">
        <v>84</v>
      </c>
      <c r="D3134" s="80" t="s">
        <v>84</v>
      </c>
      <c r="E3134" s="80" t="s">
        <v>84</v>
      </c>
      <c r="G3134" s="80" t="s">
        <v>84</v>
      </c>
      <c r="H3134" s="80" t="s">
        <v>84</v>
      </c>
      <c r="I3134" s="80" t="s">
        <v>84</v>
      </c>
      <c r="J3134" s="80" t="s">
        <v>84</v>
      </c>
      <c r="K3134" s="80" t="s">
        <v>84</v>
      </c>
      <c r="L3134" s="80" t="s">
        <v>84</v>
      </c>
      <c r="M3134" s="80" t="s">
        <v>84</v>
      </c>
      <c r="N3134" s="80" t="s">
        <v>84</v>
      </c>
      <c r="O3134" s="80" t="s">
        <v>84</v>
      </c>
      <c r="Q3134" s="80" t="s">
        <v>84</v>
      </c>
      <c r="R3134" s="80" t="s">
        <v>84</v>
      </c>
    </row>
    <row r="3135" spans="1:18" ht="20" x14ac:dyDescent="0.2">
      <c r="A3135" s="80" t="s">
        <v>3935</v>
      </c>
      <c r="B3135" s="80" t="s">
        <v>3936</v>
      </c>
      <c r="C3135" s="80" t="s">
        <v>9680</v>
      </c>
      <c r="D3135" s="80" t="s">
        <v>84</v>
      </c>
      <c r="E3135" s="80" t="s">
        <v>84</v>
      </c>
      <c r="G3135" s="80" t="s">
        <v>84</v>
      </c>
      <c r="H3135" s="80" t="s">
        <v>84</v>
      </c>
      <c r="I3135" s="80" t="s">
        <v>84</v>
      </c>
      <c r="J3135" s="80" t="s">
        <v>84</v>
      </c>
      <c r="K3135" s="80" t="s">
        <v>84</v>
      </c>
      <c r="L3135" s="80" t="s">
        <v>84</v>
      </c>
      <c r="M3135" s="80" t="s">
        <v>84</v>
      </c>
      <c r="N3135" s="80" t="s">
        <v>84</v>
      </c>
      <c r="O3135" s="80" t="s">
        <v>84</v>
      </c>
      <c r="Q3135" s="80" t="s">
        <v>84</v>
      </c>
      <c r="R3135" s="80" t="s">
        <v>84</v>
      </c>
    </row>
    <row r="3136" spans="1:18" ht="20" x14ac:dyDescent="0.2">
      <c r="A3136" s="80" t="s">
        <v>5507</v>
      </c>
      <c r="B3136" s="80" t="s">
        <v>5508</v>
      </c>
      <c r="C3136" s="80" t="s">
        <v>9722</v>
      </c>
      <c r="D3136" s="80" t="s">
        <v>84</v>
      </c>
      <c r="E3136" s="80" t="s">
        <v>84</v>
      </c>
      <c r="G3136" s="80" t="s">
        <v>84</v>
      </c>
      <c r="H3136" s="80" t="s">
        <v>84</v>
      </c>
      <c r="I3136" s="80" t="s">
        <v>84</v>
      </c>
      <c r="J3136" s="80" t="s">
        <v>84</v>
      </c>
      <c r="K3136" s="80" t="s">
        <v>84</v>
      </c>
      <c r="L3136" s="80" t="s">
        <v>84</v>
      </c>
      <c r="M3136" s="80" t="s">
        <v>84</v>
      </c>
      <c r="N3136" s="80" t="s">
        <v>84</v>
      </c>
      <c r="O3136" s="80" t="s">
        <v>84</v>
      </c>
      <c r="Q3136" s="80" t="s">
        <v>84</v>
      </c>
      <c r="R3136" s="80" t="s">
        <v>84</v>
      </c>
    </row>
    <row r="3137" spans="1:18" ht="20" x14ac:dyDescent="0.2">
      <c r="A3137" s="80" t="s">
        <v>4234</v>
      </c>
      <c r="B3137" s="80" t="s">
        <v>4235</v>
      </c>
      <c r="C3137" s="80" t="s">
        <v>9680</v>
      </c>
      <c r="D3137" s="80" t="s">
        <v>84</v>
      </c>
      <c r="E3137" s="80" t="s">
        <v>84</v>
      </c>
      <c r="G3137" s="80" t="s">
        <v>84</v>
      </c>
      <c r="H3137" s="80" t="s">
        <v>84</v>
      </c>
      <c r="I3137" s="80" t="s">
        <v>84</v>
      </c>
      <c r="J3137" s="80" t="s">
        <v>84</v>
      </c>
      <c r="K3137" s="80" t="s">
        <v>84</v>
      </c>
      <c r="L3137" s="80" t="s">
        <v>84</v>
      </c>
      <c r="M3137" s="80" t="s">
        <v>84</v>
      </c>
      <c r="N3137" s="80" t="s">
        <v>84</v>
      </c>
      <c r="O3137" s="80" t="s">
        <v>9680</v>
      </c>
      <c r="Q3137" s="80" t="s">
        <v>84</v>
      </c>
      <c r="R3137" s="80" t="s">
        <v>9680</v>
      </c>
    </row>
    <row r="3138" spans="1:18" ht="20" x14ac:dyDescent="0.2">
      <c r="A3138" s="80" t="s">
        <v>4236</v>
      </c>
      <c r="B3138" s="80" t="s">
        <v>4237</v>
      </c>
      <c r="C3138" s="80" t="s">
        <v>84</v>
      </c>
      <c r="D3138" s="80" t="s">
        <v>84</v>
      </c>
      <c r="E3138" s="80" t="s">
        <v>84</v>
      </c>
      <c r="G3138" s="80" t="s">
        <v>84</v>
      </c>
      <c r="H3138" s="80" t="s">
        <v>84</v>
      </c>
      <c r="I3138" s="80" t="s">
        <v>84</v>
      </c>
      <c r="J3138" s="80" t="s">
        <v>84</v>
      </c>
      <c r="K3138" s="80" t="s">
        <v>84</v>
      </c>
      <c r="L3138" s="80" t="s">
        <v>84</v>
      </c>
      <c r="M3138" s="80" t="s">
        <v>84</v>
      </c>
      <c r="N3138" s="80" t="s">
        <v>84</v>
      </c>
      <c r="O3138" s="80" t="s">
        <v>84</v>
      </c>
      <c r="Q3138" s="80" t="s">
        <v>84</v>
      </c>
      <c r="R3138" s="80" t="s">
        <v>84</v>
      </c>
    </row>
    <row r="3139" spans="1:18" ht="20" x14ac:dyDescent="0.2">
      <c r="A3139" s="80" t="s">
        <v>430</v>
      </c>
      <c r="B3139" s="80" t="s">
        <v>431</v>
      </c>
      <c r="C3139" s="80" t="s">
        <v>84</v>
      </c>
      <c r="D3139" s="80" t="s">
        <v>84</v>
      </c>
      <c r="E3139" s="80" t="s">
        <v>84</v>
      </c>
      <c r="G3139" s="80" t="s">
        <v>84</v>
      </c>
      <c r="H3139" s="80" t="s">
        <v>84</v>
      </c>
      <c r="I3139" s="80" t="s">
        <v>84</v>
      </c>
      <c r="J3139" s="80" t="s">
        <v>84</v>
      </c>
      <c r="K3139" s="80" t="s">
        <v>84</v>
      </c>
      <c r="L3139" s="80" t="s">
        <v>84</v>
      </c>
      <c r="M3139" s="80" t="s">
        <v>84</v>
      </c>
      <c r="N3139" s="80" t="s">
        <v>84</v>
      </c>
      <c r="O3139" s="80" t="s">
        <v>84</v>
      </c>
      <c r="Q3139" s="80" t="s">
        <v>84</v>
      </c>
      <c r="R3139" s="80" t="s">
        <v>84</v>
      </c>
    </row>
    <row r="3140" spans="1:18" ht="20" x14ac:dyDescent="0.2">
      <c r="A3140" s="80" t="s">
        <v>432</v>
      </c>
      <c r="B3140" s="80" t="s">
        <v>433</v>
      </c>
      <c r="C3140" s="80" t="s">
        <v>84</v>
      </c>
      <c r="D3140" s="80" t="s">
        <v>84</v>
      </c>
      <c r="E3140" s="80" t="s">
        <v>84</v>
      </c>
      <c r="G3140" s="80" t="s">
        <v>84</v>
      </c>
      <c r="H3140" s="80" t="s">
        <v>84</v>
      </c>
      <c r="I3140" s="80" t="s">
        <v>84</v>
      </c>
      <c r="J3140" s="80" t="s">
        <v>84</v>
      </c>
      <c r="K3140" s="80" t="s">
        <v>84</v>
      </c>
      <c r="L3140" s="80" t="s">
        <v>84</v>
      </c>
      <c r="M3140" s="80" t="s">
        <v>84</v>
      </c>
      <c r="N3140" s="80" t="s">
        <v>84</v>
      </c>
      <c r="O3140" s="80" t="s">
        <v>84</v>
      </c>
      <c r="Q3140" s="80" t="s">
        <v>84</v>
      </c>
      <c r="R3140" s="80" t="s">
        <v>84</v>
      </c>
    </row>
    <row r="3141" spans="1:18" ht="20" x14ac:dyDescent="0.2">
      <c r="A3141" s="80" t="s">
        <v>434</v>
      </c>
      <c r="B3141" s="80" t="s">
        <v>435</v>
      </c>
      <c r="C3141" s="80" t="s">
        <v>84</v>
      </c>
      <c r="D3141" s="80" t="s">
        <v>84</v>
      </c>
      <c r="E3141" s="80" t="s">
        <v>84</v>
      </c>
      <c r="G3141" s="80" t="s">
        <v>84</v>
      </c>
      <c r="H3141" s="80" t="s">
        <v>84</v>
      </c>
      <c r="I3141" s="80" t="s">
        <v>84</v>
      </c>
      <c r="J3141" s="80" t="s">
        <v>84</v>
      </c>
      <c r="K3141" s="80" t="s">
        <v>84</v>
      </c>
      <c r="L3141" s="80" t="s">
        <v>84</v>
      </c>
      <c r="M3141" s="80" t="s">
        <v>84</v>
      </c>
      <c r="N3141" s="80" t="s">
        <v>84</v>
      </c>
      <c r="O3141" s="80" t="s">
        <v>84</v>
      </c>
      <c r="Q3141" s="80" t="s">
        <v>84</v>
      </c>
      <c r="R3141" s="80" t="s">
        <v>84</v>
      </c>
    </row>
    <row r="3142" spans="1:18" ht="20" x14ac:dyDescent="0.2">
      <c r="A3142" s="80" t="s">
        <v>436</v>
      </c>
      <c r="B3142" s="80" t="s">
        <v>437</v>
      </c>
      <c r="C3142" s="80" t="s">
        <v>84</v>
      </c>
      <c r="D3142" s="80" t="s">
        <v>84</v>
      </c>
      <c r="E3142" s="80" t="s">
        <v>84</v>
      </c>
      <c r="G3142" s="80" t="s">
        <v>84</v>
      </c>
      <c r="H3142" s="80" t="s">
        <v>84</v>
      </c>
      <c r="I3142" s="80" t="s">
        <v>84</v>
      </c>
      <c r="J3142" s="80" t="s">
        <v>84</v>
      </c>
      <c r="K3142" s="80" t="s">
        <v>84</v>
      </c>
      <c r="L3142" s="80" t="s">
        <v>84</v>
      </c>
      <c r="M3142" s="80" t="s">
        <v>84</v>
      </c>
      <c r="N3142" s="80" t="s">
        <v>84</v>
      </c>
      <c r="O3142" s="80" t="s">
        <v>84</v>
      </c>
      <c r="Q3142" s="80" t="s">
        <v>84</v>
      </c>
      <c r="R3142" s="80" t="s">
        <v>84</v>
      </c>
    </row>
    <row r="3143" spans="1:18" ht="20" x14ac:dyDescent="0.2">
      <c r="A3143" s="80" t="s">
        <v>438</v>
      </c>
      <c r="B3143" s="80" t="s">
        <v>439</v>
      </c>
      <c r="C3143" s="80" t="s">
        <v>9680</v>
      </c>
      <c r="D3143" s="80" t="s">
        <v>84</v>
      </c>
      <c r="E3143" s="80" t="s">
        <v>84</v>
      </c>
      <c r="G3143" s="80" t="s">
        <v>84</v>
      </c>
      <c r="H3143" s="80" t="s">
        <v>84</v>
      </c>
      <c r="I3143" s="80" t="s">
        <v>84</v>
      </c>
      <c r="J3143" s="80" t="s">
        <v>84</v>
      </c>
      <c r="K3143" s="80" t="s">
        <v>84</v>
      </c>
      <c r="L3143" s="80" t="s">
        <v>84</v>
      </c>
      <c r="M3143" s="80" t="s">
        <v>84</v>
      </c>
      <c r="N3143" s="80" t="s">
        <v>84</v>
      </c>
      <c r="O3143" s="80" t="s">
        <v>84</v>
      </c>
      <c r="Q3143" s="80" t="s">
        <v>84</v>
      </c>
      <c r="R3143" s="80" t="s">
        <v>84</v>
      </c>
    </row>
    <row r="3144" spans="1:18" ht="20" x14ac:dyDescent="0.2">
      <c r="A3144" s="80" t="s">
        <v>440</v>
      </c>
      <c r="B3144" s="80" t="s">
        <v>441</v>
      </c>
      <c r="C3144" s="80" t="s">
        <v>84</v>
      </c>
      <c r="D3144" s="80" t="s">
        <v>84</v>
      </c>
      <c r="E3144" s="80" t="s">
        <v>84</v>
      </c>
      <c r="G3144" s="80" t="s">
        <v>84</v>
      </c>
      <c r="H3144" s="80" t="s">
        <v>84</v>
      </c>
      <c r="I3144" s="80" t="s">
        <v>84</v>
      </c>
      <c r="J3144" s="80" t="s">
        <v>84</v>
      </c>
      <c r="K3144" s="80" t="s">
        <v>84</v>
      </c>
      <c r="L3144" s="80" t="s">
        <v>84</v>
      </c>
      <c r="M3144" s="80" t="s">
        <v>84</v>
      </c>
      <c r="N3144" s="80" t="s">
        <v>84</v>
      </c>
      <c r="O3144" s="80" t="s">
        <v>84</v>
      </c>
      <c r="Q3144" s="80" t="s">
        <v>84</v>
      </c>
      <c r="R3144" s="80" t="s">
        <v>84</v>
      </c>
    </row>
    <row r="3145" spans="1:18" ht="20" x14ac:dyDescent="0.2">
      <c r="A3145" s="80" t="s">
        <v>3764</v>
      </c>
      <c r="B3145" s="80" t="s">
        <v>3765</v>
      </c>
      <c r="C3145" s="80" t="s">
        <v>84</v>
      </c>
      <c r="D3145" s="80" t="s">
        <v>84</v>
      </c>
      <c r="E3145" s="80" t="s">
        <v>84</v>
      </c>
      <c r="G3145" s="80" t="s">
        <v>84</v>
      </c>
      <c r="H3145" s="80" t="s">
        <v>84</v>
      </c>
      <c r="I3145" s="80" t="s">
        <v>84</v>
      </c>
      <c r="J3145" s="80" t="s">
        <v>84</v>
      </c>
      <c r="K3145" s="80" t="s">
        <v>84</v>
      </c>
      <c r="L3145" s="80" t="s">
        <v>84</v>
      </c>
      <c r="M3145" s="80" t="s">
        <v>84</v>
      </c>
      <c r="N3145" s="80" t="s">
        <v>84</v>
      </c>
      <c r="O3145" s="80" t="s">
        <v>84</v>
      </c>
      <c r="Q3145" s="80" t="s">
        <v>84</v>
      </c>
      <c r="R3145" s="80" t="s">
        <v>84</v>
      </c>
    </row>
    <row r="3146" spans="1:18" ht="20" x14ac:dyDescent="0.2">
      <c r="A3146" s="80" t="s">
        <v>5128</v>
      </c>
      <c r="B3146" s="80" t="s">
        <v>5129</v>
      </c>
      <c r="C3146" s="80" t="s">
        <v>84</v>
      </c>
      <c r="D3146" s="80" t="s">
        <v>84</v>
      </c>
      <c r="E3146" s="80" t="s">
        <v>84</v>
      </c>
      <c r="G3146" s="80" t="s">
        <v>84</v>
      </c>
      <c r="H3146" s="80" t="s">
        <v>84</v>
      </c>
      <c r="I3146" s="80" t="s">
        <v>84</v>
      </c>
      <c r="J3146" s="80" t="s">
        <v>84</v>
      </c>
      <c r="K3146" s="80" t="s">
        <v>84</v>
      </c>
      <c r="L3146" s="80" t="s">
        <v>84</v>
      </c>
      <c r="M3146" s="80" t="s">
        <v>84</v>
      </c>
      <c r="N3146" s="80" t="s">
        <v>84</v>
      </c>
      <c r="O3146" s="80" t="s">
        <v>84</v>
      </c>
      <c r="Q3146" s="80" t="s">
        <v>84</v>
      </c>
      <c r="R3146" s="80" t="s">
        <v>84</v>
      </c>
    </row>
    <row r="3147" spans="1:18" ht="20" x14ac:dyDescent="0.2">
      <c r="A3147" s="80" t="s">
        <v>444</v>
      </c>
      <c r="B3147" s="80" t="s">
        <v>445</v>
      </c>
      <c r="C3147" s="80" t="s">
        <v>84</v>
      </c>
      <c r="D3147" s="80" t="s">
        <v>84</v>
      </c>
      <c r="E3147" s="80" t="s">
        <v>84</v>
      </c>
      <c r="G3147" s="80" t="s">
        <v>84</v>
      </c>
      <c r="H3147" s="80" t="s">
        <v>84</v>
      </c>
      <c r="I3147" s="80" t="s">
        <v>84</v>
      </c>
      <c r="J3147" s="80" t="s">
        <v>84</v>
      </c>
      <c r="K3147" s="80" t="s">
        <v>84</v>
      </c>
      <c r="L3147" s="80" t="s">
        <v>84</v>
      </c>
      <c r="M3147" s="80" t="s">
        <v>84</v>
      </c>
      <c r="N3147" s="80" t="s">
        <v>84</v>
      </c>
      <c r="O3147" s="80" t="s">
        <v>84</v>
      </c>
      <c r="Q3147" s="80" t="s">
        <v>84</v>
      </c>
      <c r="R3147" s="80" t="s">
        <v>84</v>
      </c>
    </row>
    <row r="3148" spans="1:18" ht="20" x14ac:dyDescent="0.2">
      <c r="A3148" s="80" t="s">
        <v>446</v>
      </c>
      <c r="B3148" s="80" t="s">
        <v>447</v>
      </c>
      <c r="C3148" s="80" t="s">
        <v>84</v>
      </c>
      <c r="D3148" s="80" t="s">
        <v>84</v>
      </c>
      <c r="E3148" s="80" t="s">
        <v>84</v>
      </c>
      <c r="G3148" s="80" t="s">
        <v>84</v>
      </c>
      <c r="H3148" s="80" t="s">
        <v>84</v>
      </c>
      <c r="I3148" s="80" t="s">
        <v>84</v>
      </c>
      <c r="J3148" s="80" t="s">
        <v>84</v>
      </c>
      <c r="K3148" s="80" t="s">
        <v>84</v>
      </c>
      <c r="L3148" s="80" t="s">
        <v>84</v>
      </c>
      <c r="M3148" s="80" t="s">
        <v>84</v>
      </c>
      <c r="N3148" s="80" t="s">
        <v>84</v>
      </c>
      <c r="O3148" s="80" t="s">
        <v>84</v>
      </c>
      <c r="Q3148" s="80" t="s">
        <v>84</v>
      </c>
      <c r="R3148" s="80" t="s">
        <v>84</v>
      </c>
    </row>
    <row r="3149" spans="1:18" ht="20" x14ac:dyDescent="0.2">
      <c r="A3149" s="80" t="s">
        <v>448</v>
      </c>
      <c r="B3149" s="80" t="s">
        <v>449</v>
      </c>
      <c r="C3149" s="80" t="s">
        <v>84</v>
      </c>
      <c r="D3149" s="80" t="s">
        <v>84</v>
      </c>
      <c r="E3149" s="80" t="s">
        <v>84</v>
      </c>
      <c r="G3149" s="80" t="s">
        <v>84</v>
      </c>
      <c r="H3149" s="80" t="s">
        <v>84</v>
      </c>
      <c r="I3149" s="80" t="s">
        <v>84</v>
      </c>
      <c r="J3149" s="80" t="s">
        <v>84</v>
      </c>
      <c r="K3149" s="80" t="s">
        <v>84</v>
      </c>
      <c r="L3149" s="80" t="s">
        <v>84</v>
      </c>
      <c r="M3149" s="80" t="s">
        <v>84</v>
      </c>
      <c r="N3149" s="80" t="s">
        <v>84</v>
      </c>
      <c r="O3149" s="80" t="s">
        <v>84</v>
      </c>
      <c r="Q3149" s="80" t="s">
        <v>84</v>
      </c>
      <c r="R3149" s="80" t="s">
        <v>84</v>
      </c>
    </row>
    <row r="3150" spans="1:18" ht="20" x14ac:dyDescent="0.2">
      <c r="A3150" s="80" t="s">
        <v>450</v>
      </c>
      <c r="B3150" s="80" t="s">
        <v>451</v>
      </c>
      <c r="C3150" s="80" t="s">
        <v>84</v>
      </c>
      <c r="D3150" s="80" t="s">
        <v>84</v>
      </c>
      <c r="E3150" s="80" t="s">
        <v>84</v>
      </c>
      <c r="G3150" s="80" t="s">
        <v>84</v>
      </c>
      <c r="H3150" s="80" t="s">
        <v>84</v>
      </c>
      <c r="I3150" s="80" t="s">
        <v>84</v>
      </c>
      <c r="J3150" s="80" t="s">
        <v>84</v>
      </c>
      <c r="K3150" s="80" t="s">
        <v>84</v>
      </c>
      <c r="L3150" s="80" t="s">
        <v>84</v>
      </c>
      <c r="M3150" s="80" t="s">
        <v>84</v>
      </c>
      <c r="N3150" s="80" t="s">
        <v>84</v>
      </c>
      <c r="O3150" s="80" t="s">
        <v>84</v>
      </c>
      <c r="Q3150" s="80" t="s">
        <v>84</v>
      </c>
      <c r="R3150" s="80" t="s">
        <v>84</v>
      </c>
    </row>
    <row r="3151" spans="1:18" ht="20" x14ac:dyDescent="0.2">
      <c r="A3151" s="80" t="s">
        <v>452</v>
      </c>
      <c r="B3151" s="80" t="s">
        <v>453</v>
      </c>
      <c r="C3151" s="80" t="s">
        <v>84</v>
      </c>
      <c r="D3151" s="80" t="s">
        <v>84</v>
      </c>
      <c r="E3151" s="80" t="s">
        <v>84</v>
      </c>
      <c r="G3151" s="80" t="s">
        <v>84</v>
      </c>
      <c r="H3151" s="80" t="s">
        <v>84</v>
      </c>
      <c r="I3151" s="80" t="s">
        <v>84</v>
      </c>
      <c r="J3151" s="80" t="s">
        <v>84</v>
      </c>
      <c r="K3151" s="80" t="s">
        <v>84</v>
      </c>
      <c r="L3151" s="80" t="s">
        <v>84</v>
      </c>
      <c r="M3151" s="80" t="s">
        <v>84</v>
      </c>
      <c r="N3151" s="80" t="s">
        <v>84</v>
      </c>
      <c r="O3151" s="80" t="s">
        <v>84</v>
      </c>
      <c r="Q3151" s="80" t="s">
        <v>84</v>
      </c>
      <c r="R3151" s="80" t="s">
        <v>84</v>
      </c>
    </row>
    <row r="3152" spans="1:18" ht="20" x14ac:dyDescent="0.2">
      <c r="A3152" s="80" t="s">
        <v>454</v>
      </c>
      <c r="B3152" s="80" t="s">
        <v>455</v>
      </c>
      <c r="C3152" s="80" t="s">
        <v>84</v>
      </c>
      <c r="D3152" s="80" t="s">
        <v>84</v>
      </c>
      <c r="E3152" s="80" t="s">
        <v>84</v>
      </c>
      <c r="G3152" s="80" t="s">
        <v>84</v>
      </c>
      <c r="H3152" s="80" t="s">
        <v>84</v>
      </c>
      <c r="I3152" s="80" t="s">
        <v>84</v>
      </c>
      <c r="J3152" s="80" t="s">
        <v>84</v>
      </c>
      <c r="K3152" s="80" t="s">
        <v>84</v>
      </c>
      <c r="L3152" s="80" t="s">
        <v>84</v>
      </c>
      <c r="M3152" s="80" t="s">
        <v>84</v>
      </c>
      <c r="N3152" s="80" t="s">
        <v>84</v>
      </c>
      <c r="O3152" s="80" t="s">
        <v>84</v>
      </c>
      <c r="Q3152" s="80" t="s">
        <v>84</v>
      </c>
      <c r="R3152" s="80" t="s">
        <v>84</v>
      </c>
    </row>
    <row r="3153" spans="1:18" ht="20" x14ac:dyDescent="0.2">
      <c r="A3153" s="80" t="s">
        <v>456</v>
      </c>
      <c r="B3153" s="80" t="s">
        <v>457</v>
      </c>
      <c r="C3153" s="80" t="s">
        <v>84</v>
      </c>
      <c r="D3153" s="80" t="s">
        <v>84</v>
      </c>
      <c r="E3153" s="80" t="s">
        <v>84</v>
      </c>
      <c r="G3153" s="80" t="s">
        <v>84</v>
      </c>
      <c r="H3153" s="80" t="s">
        <v>84</v>
      </c>
      <c r="I3153" s="80" t="s">
        <v>84</v>
      </c>
      <c r="J3153" s="80" t="s">
        <v>84</v>
      </c>
      <c r="K3153" s="80" t="s">
        <v>84</v>
      </c>
      <c r="L3153" s="80" t="s">
        <v>84</v>
      </c>
      <c r="M3153" s="80" t="s">
        <v>84</v>
      </c>
      <c r="N3153" s="80" t="s">
        <v>84</v>
      </c>
      <c r="O3153" s="80" t="s">
        <v>84</v>
      </c>
      <c r="Q3153" s="80" t="s">
        <v>84</v>
      </c>
      <c r="R3153" s="80" t="s">
        <v>84</v>
      </c>
    </row>
    <row r="3154" spans="1:18" ht="20" x14ac:dyDescent="0.2">
      <c r="A3154" s="80" t="s">
        <v>1162</v>
      </c>
      <c r="B3154" s="80" t="s">
        <v>1163</v>
      </c>
      <c r="C3154" s="80" t="s">
        <v>9680</v>
      </c>
      <c r="D3154" s="80" t="s">
        <v>84</v>
      </c>
      <c r="E3154" s="80" t="s">
        <v>84</v>
      </c>
      <c r="G3154" s="80" t="s">
        <v>84</v>
      </c>
      <c r="H3154" s="80" t="s">
        <v>84</v>
      </c>
      <c r="I3154" s="80" t="s">
        <v>84</v>
      </c>
      <c r="J3154" s="80" t="s">
        <v>84</v>
      </c>
      <c r="K3154" s="80" t="s">
        <v>84</v>
      </c>
      <c r="L3154" s="80" t="s">
        <v>84</v>
      </c>
      <c r="M3154" s="80" t="s">
        <v>84</v>
      </c>
      <c r="N3154" s="80" t="s">
        <v>84</v>
      </c>
      <c r="O3154" s="80" t="s">
        <v>84</v>
      </c>
      <c r="Q3154" s="80" t="s">
        <v>84</v>
      </c>
      <c r="R3154" s="80" t="s">
        <v>84</v>
      </c>
    </row>
    <row r="3155" spans="1:18" ht="20" x14ac:dyDescent="0.2">
      <c r="A3155" s="80" t="s">
        <v>1166</v>
      </c>
      <c r="B3155" s="80" t="s">
        <v>1167</v>
      </c>
      <c r="C3155" s="80" t="s">
        <v>9680</v>
      </c>
      <c r="D3155" s="80" t="s">
        <v>84</v>
      </c>
      <c r="E3155" s="80" t="s">
        <v>84</v>
      </c>
      <c r="G3155" s="80" t="s">
        <v>84</v>
      </c>
      <c r="H3155" s="80" t="s">
        <v>84</v>
      </c>
      <c r="I3155" s="80" t="s">
        <v>84</v>
      </c>
      <c r="J3155" s="80" t="s">
        <v>84</v>
      </c>
      <c r="K3155" s="80" t="s">
        <v>84</v>
      </c>
      <c r="L3155" s="80" t="s">
        <v>84</v>
      </c>
      <c r="M3155" s="80" t="s">
        <v>84</v>
      </c>
      <c r="N3155" s="80" t="s">
        <v>84</v>
      </c>
      <c r="O3155" s="80" t="s">
        <v>84</v>
      </c>
      <c r="Q3155" s="80" t="s">
        <v>84</v>
      </c>
      <c r="R3155" s="80" t="s">
        <v>84</v>
      </c>
    </row>
    <row r="3156" spans="1:18" ht="20" x14ac:dyDescent="0.2">
      <c r="A3156" s="80" t="s">
        <v>5130</v>
      </c>
      <c r="B3156" s="80" t="s">
        <v>10809</v>
      </c>
      <c r="C3156" s="80" t="s">
        <v>9680</v>
      </c>
      <c r="D3156" s="80" t="s">
        <v>84</v>
      </c>
      <c r="E3156" s="80" t="s">
        <v>84</v>
      </c>
      <c r="G3156" s="80" t="s">
        <v>84</v>
      </c>
      <c r="H3156" s="80" t="s">
        <v>84</v>
      </c>
      <c r="I3156" s="80" t="s">
        <v>84</v>
      </c>
      <c r="J3156" s="80" t="s">
        <v>84</v>
      </c>
      <c r="K3156" s="80" t="s">
        <v>84</v>
      </c>
      <c r="L3156" s="80" t="s">
        <v>84</v>
      </c>
      <c r="M3156" s="80" t="s">
        <v>84</v>
      </c>
      <c r="N3156" s="80" t="s">
        <v>84</v>
      </c>
      <c r="O3156" s="80" t="s">
        <v>84</v>
      </c>
      <c r="Q3156" s="80" t="s">
        <v>84</v>
      </c>
      <c r="R3156" s="80" t="s">
        <v>84</v>
      </c>
    </row>
    <row r="3157" spans="1:18" ht="20" x14ac:dyDescent="0.2">
      <c r="A3157" s="80" t="s">
        <v>5130</v>
      </c>
      <c r="B3157" s="80" t="s">
        <v>5131</v>
      </c>
      <c r="C3157" s="80" t="s">
        <v>9680</v>
      </c>
      <c r="D3157" s="80" t="s">
        <v>84</v>
      </c>
      <c r="E3157" s="80" t="s">
        <v>84</v>
      </c>
      <c r="G3157" s="80" t="s">
        <v>84</v>
      </c>
      <c r="H3157" s="80" t="s">
        <v>84</v>
      </c>
      <c r="I3157" s="80" t="s">
        <v>84</v>
      </c>
      <c r="J3157" s="80" t="s">
        <v>84</v>
      </c>
      <c r="K3157" s="80" t="s">
        <v>84</v>
      </c>
      <c r="L3157" s="80" t="s">
        <v>84</v>
      </c>
      <c r="M3157" s="80" t="s">
        <v>84</v>
      </c>
      <c r="N3157" s="80" t="s">
        <v>84</v>
      </c>
      <c r="O3157" s="80" t="s">
        <v>84</v>
      </c>
      <c r="Q3157" s="80" t="s">
        <v>84</v>
      </c>
      <c r="R3157" s="80" t="s">
        <v>84</v>
      </c>
    </row>
    <row r="3158" spans="1:18" ht="20" x14ac:dyDescent="0.2">
      <c r="A3158" s="80" t="s">
        <v>2981</v>
      </c>
      <c r="B3158" s="80" t="s">
        <v>10810</v>
      </c>
      <c r="C3158" s="80" t="s">
        <v>9680</v>
      </c>
      <c r="D3158" s="80" t="s">
        <v>84</v>
      </c>
      <c r="E3158" s="80" t="s">
        <v>84</v>
      </c>
      <c r="G3158" s="80" t="s">
        <v>84</v>
      </c>
      <c r="H3158" s="80" t="s">
        <v>84</v>
      </c>
      <c r="I3158" s="80" t="s">
        <v>84</v>
      </c>
      <c r="J3158" s="80" t="s">
        <v>84</v>
      </c>
      <c r="K3158" s="80" t="s">
        <v>84</v>
      </c>
      <c r="L3158" s="80" t="s">
        <v>84</v>
      </c>
      <c r="M3158" s="80" t="s">
        <v>84</v>
      </c>
      <c r="N3158" s="80" t="s">
        <v>84</v>
      </c>
      <c r="O3158" s="80" t="s">
        <v>84</v>
      </c>
      <c r="Q3158" s="80" t="s">
        <v>84</v>
      </c>
      <c r="R3158" s="80" t="s">
        <v>84</v>
      </c>
    </row>
    <row r="3159" spans="1:18" ht="20" x14ac:dyDescent="0.2">
      <c r="A3159" s="80" t="s">
        <v>2981</v>
      </c>
      <c r="B3159" s="80" t="s">
        <v>2982</v>
      </c>
      <c r="C3159" s="80" t="s">
        <v>9680</v>
      </c>
      <c r="D3159" s="80" t="s">
        <v>84</v>
      </c>
      <c r="E3159" s="80" t="s">
        <v>84</v>
      </c>
      <c r="G3159" s="80" t="s">
        <v>84</v>
      </c>
      <c r="H3159" s="80" t="s">
        <v>84</v>
      </c>
      <c r="I3159" s="80" t="s">
        <v>84</v>
      </c>
      <c r="J3159" s="80" t="s">
        <v>84</v>
      </c>
      <c r="K3159" s="80" t="s">
        <v>84</v>
      </c>
      <c r="L3159" s="80" t="s">
        <v>84</v>
      </c>
      <c r="M3159" s="80" t="s">
        <v>84</v>
      </c>
      <c r="N3159" s="80" t="s">
        <v>84</v>
      </c>
      <c r="O3159" s="80" t="s">
        <v>84</v>
      </c>
      <c r="Q3159" s="80" t="s">
        <v>84</v>
      </c>
      <c r="R3159" s="80" t="s">
        <v>84</v>
      </c>
    </row>
    <row r="3160" spans="1:18" ht="20" x14ac:dyDescent="0.2">
      <c r="A3160" s="80" t="s">
        <v>1168</v>
      </c>
      <c r="B3160" s="80" t="s">
        <v>10811</v>
      </c>
      <c r="C3160" s="80" t="s">
        <v>84</v>
      </c>
      <c r="D3160" s="80" t="s">
        <v>84</v>
      </c>
      <c r="E3160" s="80" t="s">
        <v>84</v>
      </c>
      <c r="G3160" s="80" t="s">
        <v>84</v>
      </c>
      <c r="H3160" s="80" t="s">
        <v>84</v>
      </c>
      <c r="I3160" s="80" t="s">
        <v>84</v>
      </c>
      <c r="J3160" s="80" t="s">
        <v>84</v>
      </c>
      <c r="K3160" s="80" t="s">
        <v>84</v>
      </c>
      <c r="L3160" s="80" t="s">
        <v>84</v>
      </c>
      <c r="M3160" s="80" t="s">
        <v>84</v>
      </c>
      <c r="N3160" s="80" t="s">
        <v>84</v>
      </c>
      <c r="O3160" s="80" t="s">
        <v>84</v>
      </c>
      <c r="Q3160" s="80" t="s">
        <v>84</v>
      </c>
      <c r="R3160" s="80" t="s">
        <v>84</v>
      </c>
    </row>
    <row r="3161" spans="1:18" ht="20" x14ac:dyDescent="0.2">
      <c r="A3161" s="80" t="s">
        <v>1168</v>
      </c>
      <c r="B3161" s="80" t="s">
        <v>1169</v>
      </c>
      <c r="C3161" s="80" t="s">
        <v>84</v>
      </c>
      <c r="D3161" s="80" t="s">
        <v>84</v>
      </c>
      <c r="E3161" s="80" t="s">
        <v>84</v>
      </c>
      <c r="G3161" s="80" t="s">
        <v>84</v>
      </c>
      <c r="H3161" s="80" t="s">
        <v>84</v>
      </c>
      <c r="I3161" s="80" t="s">
        <v>84</v>
      </c>
      <c r="J3161" s="80" t="s">
        <v>84</v>
      </c>
      <c r="K3161" s="80" t="s">
        <v>84</v>
      </c>
      <c r="L3161" s="80" t="s">
        <v>84</v>
      </c>
      <c r="M3161" s="80" t="s">
        <v>84</v>
      </c>
      <c r="N3161" s="80" t="s">
        <v>84</v>
      </c>
      <c r="O3161" s="80" t="s">
        <v>84</v>
      </c>
      <c r="Q3161" s="80" t="s">
        <v>84</v>
      </c>
      <c r="R3161" s="80" t="s">
        <v>84</v>
      </c>
    </row>
    <row r="3162" spans="1:18" ht="20" x14ac:dyDescent="0.2">
      <c r="A3162" s="80" t="s">
        <v>2983</v>
      </c>
      <c r="B3162" s="80" t="s">
        <v>10812</v>
      </c>
      <c r="C3162" s="80" t="s">
        <v>84</v>
      </c>
      <c r="D3162" s="80" t="s">
        <v>84</v>
      </c>
      <c r="E3162" s="80" t="s">
        <v>84</v>
      </c>
      <c r="G3162" s="80" t="s">
        <v>84</v>
      </c>
      <c r="H3162" s="80" t="s">
        <v>84</v>
      </c>
      <c r="I3162" s="80" t="s">
        <v>84</v>
      </c>
      <c r="J3162" s="80" t="s">
        <v>84</v>
      </c>
      <c r="K3162" s="80" t="s">
        <v>84</v>
      </c>
      <c r="L3162" s="80" t="s">
        <v>84</v>
      </c>
      <c r="M3162" s="80" t="s">
        <v>84</v>
      </c>
      <c r="N3162" s="80" t="s">
        <v>84</v>
      </c>
      <c r="O3162" s="80" t="s">
        <v>84</v>
      </c>
      <c r="Q3162" s="80" t="s">
        <v>84</v>
      </c>
      <c r="R3162" s="80" t="s">
        <v>84</v>
      </c>
    </row>
    <row r="3163" spans="1:18" ht="20" x14ac:dyDescent="0.2">
      <c r="A3163" s="80" t="s">
        <v>2983</v>
      </c>
      <c r="B3163" s="80" t="s">
        <v>2984</v>
      </c>
      <c r="C3163" s="80" t="s">
        <v>84</v>
      </c>
      <c r="D3163" s="80" t="s">
        <v>84</v>
      </c>
      <c r="E3163" s="80" t="s">
        <v>84</v>
      </c>
      <c r="G3163" s="80" t="s">
        <v>84</v>
      </c>
      <c r="H3163" s="80" t="s">
        <v>84</v>
      </c>
      <c r="I3163" s="80" t="s">
        <v>84</v>
      </c>
      <c r="J3163" s="80" t="s">
        <v>84</v>
      </c>
      <c r="K3163" s="80" t="s">
        <v>84</v>
      </c>
      <c r="L3163" s="80" t="s">
        <v>84</v>
      </c>
      <c r="M3163" s="80" t="s">
        <v>84</v>
      </c>
      <c r="N3163" s="80" t="s">
        <v>84</v>
      </c>
      <c r="O3163" s="80" t="s">
        <v>84</v>
      </c>
      <c r="Q3163" s="80" t="s">
        <v>84</v>
      </c>
      <c r="R3163" s="80" t="s">
        <v>84</v>
      </c>
    </row>
    <row r="3164" spans="1:18" ht="20" x14ac:dyDescent="0.2">
      <c r="A3164" s="80" t="s">
        <v>3766</v>
      </c>
      <c r="B3164" s="80" t="s">
        <v>10813</v>
      </c>
      <c r="C3164" s="80" t="s">
        <v>84</v>
      </c>
      <c r="D3164" s="80" t="s">
        <v>84</v>
      </c>
      <c r="E3164" s="80" t="s">
        <v>84</v>
      </c>
      <c r="G3164" s="80" t="s">
        <v>84</v>
      </c>
      <c r="H3164" s="80" t="s">
        <v>84</v>
      </c>
      <c r="I3164" s="80" t="s">
        <v>84</v>
      </c>
      <c r="J3164" s="80" t="s">
        <v>84</v>
      </c>
      <c r="K3164" s="80" t="s">
        <v>84</v>
      </c>
      <c r="L3164" s="80" t="s">
        <v>84</v>
      </c>
      <c r="M3164" s="80" t="s">
        <v>84</v>
      </c>
      <c r="N3164" s="80" t="s">
        <v>84</v>
      </c>
      <c r="O3164" s="80" t="s">
        <v>84</v>
      </c>
      <c r="Q3164" s="80" t="s">
        <v>84</v>
      </c>
      <c r="R3164" s="80" t="s">
        <v>84</v>
      </c>
    </row>
    <row r="3165" spans="1:18" ht="20" x14ac:dyDescent="0.2">
      <c r="A3165" s="80" t="s">
        <v>3766</v>
      </c>
      <c r="B3165" s="80" t="s">
        <v>3767</v>
      </c>
      <c r="C3165" s="80" t="s">
        <v>84</v>
      </c>
      <c r="D3165" s="80" t="s">
        <v>84</v>
      </c>
      <c r="E3165" s="80" t="s">
        <v>84</v>
      </c>
      <c r="G3165" s="80" t="s">
        <v>84</v>
      </c>
      <c r="H3165" s="80" t="s">
        <v>84</v>
      </c>
      <c r="I3165" s="80" t="s">
        <v>84</v>
      </c>
      <c r="J3165" s="80" t="s">
        <v>84</v>
      </c>
      <c r="K3165" s="80" t="s">
        <v>84</v>
      </c>
      <c r="L3165" s="80" t="s">
        <v>84</v>
      </c>
      <c r="M3165" s="80" t="s">
        <v>84</v>
      </c>
      <c r="N3165" s="80" t="s">
        <v>84</v>
      </c>
      <c r="O3165" s="80" t="s">
        <v>84</v>
      </c>
      <c r="Q3165" s="80" t="s">
        <v>84</v>
      </c>
      <c r="R3165" s="80" t="s">
        <v>84</v>
      </c>
    </row>
    <row r="3166" spans="1:18" ht="20" x14ac:dyDescent="0.2">
      <c r="A3166" s="80" t="s">
        <v>3487</v>
      </c>
      <c r="B3166" s="80" t="s">
        <v>3488</v>
      </c>
      <c r="C3166" s="80" t="s">
        <v>84</v>
      </c>
      <c r="D3166" s="80" t="s">
        <v>84</v>
      </c>
      <c r="E3166" s="80" t="s">
        <v>84</v>
      </c>
      <c r="G3166" s="80" t="s">
        <v>84</v>
      </c>
      <c r="H3166" s="80" t="s">
        <v>84</v>
      </c>
      <c r="I3166" s="80" t="s">
        <v>84</v>
      </c>
      <c r="J3166" s="80" t="s">
        <v>84</v>
      </c>
      <c r="K3166" s="80" t="s">
        <v>84</v>
      </c>
      <c r="L3166" s="80" t="s">
        <v>84</v>
      </c>
      <c r="M3166" s="80" t="s">
        <v>84</v>
      </c>
      <c r="N3166" s="80" t="s">
        <v>84</v>
      </c>
      <c r="O3166" s="80" t="s">
        <v>84</v>
      </c>
      <c r="Q3166" s="80" t="s">
        <v>84</v>
      </c>
      <c r="R3166" s="80" t="s">
        <v>84</v>
      </c>
    </row>
    <row r="3167" spans="1:18" ht="20" x14ac:dyDescent="0.2">
      <c r="A3167" s="80" t="s">
        <v>3487</v>
      </c>
      <c r="B3167" s="80" t="s">
        <v>10814</v>
      </c>
      <c r="C3167" s="80" t="s">
        <v>84</v>
      </c>
      <c r="D3167" s="80" t="s">
        <v>84</v>
      </c>
      <c r="E3167" s="80" t="s">
        <v>84</v>
      </c>
      <c r="G3167" s="80" t="s">
        <v>84</v>
      </c>
      <c r="H3167" s="80" t="s">
        <v>84</v>
      </c>
      <c r="I3167" s="80" t="s">
        <v>84</v>
      </c>
      <c r="J3167" s="80" t="s">
        <v>84</v>
      </c>
      <c r="K3167" s="80" t="s">
        <v>84</v>
      </c>
      <c r="L3167" s="80" t="s">
        <v>84</v>
      </c>
      <c r="M3167" s="80" t="s">
        <v>84</v>
      </c>
      <c r="N3167" s="80" t="s">
        <v>84</v>
      </c>
      <c r="O3167" s="80" t="s">
        <v>84</v>
      </c>
      <c r="Q3167" s="80" t="s">
        <v>84</v>
      </c>
      <c r="R3167" s="80" t="s">
        <v>84</v>
      </c>
    </row>
    <row r="3168" spans="1:18" ht="20" x14ac:dyDescent="0.2">
      <c r="A3168" s="80" t="s">
        <v>461</v>
      </c>
      <c r="B3168" s="80" t="s">
        <v>10815</v>
      </c>
      <c r="C3168" s="80" t="s">
        <v>84</v>
      </c>
      <c r="D3168" s="80" t="s">
        <v>84</v>
      </c>
      <c r="E3168" s="80" t="s">
        <v>84</v>
      </c>
      <c r="G3168" s="80" t="s">
        <v>84</v>
      </c>
      <c r="H3168" s="80" t="s">
        <v>84</v>
      </c>
      <c r="I3168" s="80" t="s">
        <v>84</v>
      </c>
      <c r="J3168" s="80" t="s">
        <v>84</v>
      </c>
      <c r="K3168" s="80" t="s">
        <v>84</v>
      </c>
      <c r="L3168" s="80" t="s">
        <v>84</v>
      </c>
      <c r="M3168" s="80" t="s">
        <v>84</v>
      </c>
      <c r="N3168" s="80" t="s">
        <v>84</v>
      </c>
      <c r="O3168" s="80" t="s">
        <v>84</v>
      </c>
      <c r="Q3168" s="80" t="s">
        <v>84</v>
      </c>
      <c r="R3168" s="80" t="s">
        <v>84</v>
      </c>
    </row>
    <row r="3169" spans="1:18" ht="20" x14ac:dyDescent="0.2">
      <c r="A3169" s="80" t="s">
        <v>461</v>
      </c>
      <c r="B3169" s="80" t="s">
        <v>462</v>
      </c>
      <c r="C3169" s="80" t="s">
        <v>84</v>
      </c>
      <c r="D3169" s="80" t="s">
        <v>84</v>
      </c>
      <c r="E3169" s="80" t="s">
        <v>84</v>
      </c>
      <c r="G3169" s="80" t="s">
        <v>84</v>
      </c>
      <c r="H3169" s="80" t="s">
        <v>84</v>
      </c>
      <c r="I3169" s="80" t="s">
        <v>84</v>
      </c>
      <c r="J3169" s="80" t="s">
        <v>84</v>
      </c>
      <c r="K3169" s="80" t="s">
        <v>84</v>
      </c>
      <c r="L3169" s="80" t="s">
        <v>84</v>
      </c>
      <c r="M3169" s="80" t="s">
        <v>84</v>
      </c>
      <c r="N3169" s="80" t="s">
        <v>84</v>
      </c>
      <c r="O3169" s="80" t="s">
        <v>84</v>
      </c>
      <c r="Q3169" s="80" t="s">
        <v>84</v>
      </c>
      <c r="R3169" s="80" t="s">
        <v>84</v>
      </c>
    </row>
    <row r="3170" spans="1:18" ht="20" x14ac:dyDescent="0.2">
      <c r="A3170" s="80" t="s">
        <v>4538</v>
      </c>
      <c r="B3170" s="80" t="s">
        <v>10816</v>
      </c>
      <c r="C3170" s="80" t="s">
        <v>84</v>
      </c>
      <c r="D3170" s="80" t="s">
        <v>84</v>
      </c>
      <c r="E3170" s="80" t="s">
        <v>84</v>
      </c>
      <c r="G3170" s="80" t="s">
        <v>84</v>
      </c>
      <c r="H3170" s="80" t="s">
        <v>84</v>
      </c>
      <c r="I3170" s="80" t="s">
        <v>84</v>
      </c>
      <c r="J3170" s="80" t="s">
        <v>84</v>
      </c>
      <c r="K3170" s="80" t="s">
        <v>84</v>
      </c>
      <c r="L3170" s="80" t="s">
        <v>84</v>
      </c>
      <c r="M3170" s="80" t="s">
        <v>84</v>
      </c>
      <c r="N3170" s="80" t="s">
        <v>84</v>
      </c>
      <c r="O3170" s="80" t="s">
        <v>84</v>
      </c>
      <c r="Q3170" s="80" t="s">
        <v>84</v>
      </c>
      <c r="R3170" s="80" t="s">
        <v>84</v>
      </c>
    </row>
    <row r="3171" spans="1:18" ht="20" x14ac:dyDescent="0.2">
      <c r="A3171" s="80" t="s">
        <v>4538</v>
      </c>
      <c r="B3171" s="80" t="s">
        <v>4539</v>
      </c>
      <c r="C3171" s="80" t="s">
        <v>84</v>
      </c>
      <c r="D3171" s="80" t="s">
        <v>84</v>
      </c>
      <c r="E3171" s="80" t="s">
        <v>84</v>
      </c>
      <c r="G3171" s="80" t="s">
        <v>84</v>
      </c>
      <c r="H3171" s="80" t="s">
        <v>84</v>
      </c>
      <c r="I3171" s="80" t="s">
        <v>84</v>
      </c>
      <c r="J3171" s="80" t="s">
        <v>84</v>
      </c>
      <c r="K3171" s="80" t="s">
        <v>84</v>
      </c>
      <c r="L3171" s="80" t="s">
        <v>84</v>
      </c>
      <c r="M3171" s="80" t="s">
        <v>84</v>
      </c>
      <c r="N3171" s="80" t="s">
        <v>84</v>
      </c>
      <c r="O3171" s="80" t="s">
        <v>84</v>
      </c>
      <c r="Q3171" s="80" t="s">
        <v>84</v>
      </c>
      <c r="R3171" s="80" t="s">
        <v>84</v>
      </c>
    </row>
    <row r="3172" spans="1:18" ht="20" x14ac:dyDescent="0.2">
      <c r="A3172" s="80" t="s">
        <v>463</v>
      </c>
      <c r="B3172" s="80" t="s">
        <v>10817</v>
      </c>
      <c r="C3172" s="80" t="s">
        <v>84</v>
      </c>
      <c r="D3172" s="80" t="s">
        <v>84</v>
      </c>
      <c r="E3172" s="80" t="s">
        <v>84</v>
      </c>
      <c r="G3172" s="80" t="s">
        <v>84</v>
      </c>
      <c r="H3172" s="80" t="s">
        <v>84</v>
      </c>
      <c r="I3172" s="80" t="s">
        <v>84</v>
      </c>
      <c r="J3172" s="80" t="s">
        <v>84</v>
      </c>
      <c r="K3172" s="80" t="s">
        <v>84</v>
      </c>
      <c r="L3172" s="80" t="s">
        <v>84</v>
      </c>
      <c r="M3172" s="80" t="s">
        <v>84</v>
      </c>
      <c r="N3172" s="80" t="s">
        <v>84</v>
      </c>
      <c r="O3172" s="80" t="s">
        <v>84</v>
      </c>
      <c r="Q3172" s="80" t="s">
        <v>84</v>
      </c>
      <c r="R3172" s="80" t="s">
        <v>84</v>
      </c>
    </row>
    <row r="3173" spans="1:18" ht="20" x14ac:dyDescent="0.2">
      <c r="A3173" s="80" t="s">
        <v>463</v>
      </c>
      <c r="B3173" s="80" t="s">
        <v>464</v>
      </c>
      <c r="C3173" s="80" t="s">
        <v>84</v>
      </c>
      <c r="D3173" s="80" t="s">
        <v>84</v>
      </c>
      <c r="E3173" s="80" t="s">
        <v>84</v>
      </c>
      <c r="G3173" s="80" t="s">
        <v>84</v>
      </c>
      <c r="H3173" s="80" t="s">
        <v>84</v>
      </c>
      <c r="I3173" s="80" t="s">
        <v>84</v>
      </c>
      <c r="J3173" s="80" t="s">
        <v>84</v>
      </c>
      <c r="K3173" s="80" t="s">
        <v>84</v>
      </c>
      <c r="L3173" s="80" t="s">
        <v>84</v>
      </c>
      <c r="M3173" s="80" t="s">
        <v>84</v>
      </c>
      <c r="N3173" s="80" t="s">
        <v>84</v>
      </c>
      <c r="O3173" s="80" t="s">
        <v>84</v>
      </c>
      <c r="Q3173" s="80" t="s">
        <v>84</v>
      </c>
      <c r="R3173" s="80" t="s">
        <v>84</v>
      </c>
    </row>
    <row r="3174" spans="1:18" ht="20" x14ac:dyDescent="0.2">
      <c r="A3174" s="80" t="s">
        <v>4241</v>
      </c>
      <c r="B3174" s="80" t="s">
        <v>10818</v>
      </c>
      <c r="C3174" s="80" t="s">
        <v>84</v>
      </c>
      <c r="D3174" s="80" t="s">
        <v>84</v>
      </c>
      <c r="E3174" s="80" t="s">
        <v>84</v>
      </c>
      <c r="G3174" s="80" t="s">
        <v>84</v>
      </c>
      <c r="H3174" s="80" t="s">
        <v>84</v>
      </c>
      <c r="I3174" s="80" t="s">
        <v>84</v>
      </c>
      <c r="J3174" s="80" t="s">
        <v>84</v>
      </c>
      <c r="K3174" s="80" t="s">
        <v>84</v>
      </c>
      <c r="L3174" s="80" t="s">
        <v>84</v>
      </c>
      <c r="M3174" s="80" t="s">
        <v>84</v>
      </c>
      <c r="N3174" s="80" t="s">
        <v>84</v>
      </c>
      <c r="O3174" s="80" t="s">
        <v>84</v>
      </c>
      <c r="Q3174" s="80" t="s">
        <v>84</v>
      </c>
      <c r="R3174" s="80" t="s">
        <v>84</v>
      </c>
    </row>
    <row r="3175" spans="1:18" ht="20" x14ac:dyDescent="0.2">
      <c r="A3175" s="80" t="s">
        <v>4241</v>
      </c>
      <c r="B3175" s="80" t="s">
        <v>4242</v>
      </c>
      <c r="C3175" s="80" t="s">
        <v>84</v>
      </c>
      <c r="D3175" s="80" t="s">
        <v>84</v>
      </c>
      <c r="E3175" s="80" t="s">
        <v>84</v>
      </c>
      <c r="G3175" s="80" t="s">
        <v>84</v>
      </c>
      <c r="H3175" s="80" t="s">
        <v>84</v>
      </c>
      <c r="I3175" s="80" t="s">
        <v>84</v>
      </c>
      <c r="J3175" s="80" t="s">
        <v>84</v>
      </c>
      <c r="K3175" s="80" t="s">
        <v>84</v>
      </c>
      <c r="L3175" s="80" t="s">
        <v>84</v>
      </c>
      <c r="M3175" s="80" t="s">
        <v>84</v>
      </c>
      <c r="N3175" s="80" t="s">
        <v>84</v>
      </c>
      <c r="O3175" s="80" t="s">
        <v>84</v>
      </c>
      <c r="Q3175" s="80" t="s">
        <v>84</v>
      </c>
      <c r="R3175" s="80" t="s">
        <v>84</v>
      </c>
    </row>
    <row r="3176" spans="1:18" ht="20" x14ac:dyDescent="0.2">
      <c r="A3176" s="80" t="s">
        <v>467</v>
      </c>
      <c r="B3176" s="80" t="s">
        <v>10819</v>
      </c>
      <c r="C3176" s="80" t="s">
        <v>9722</v>
      </c>
      <c r="D3176" s="80" t="s">
        <v>84</v>
      </c>
      <c r="E3176" s="80" t="s">
        <v>84</v>
      </c>
      <c r="G3176" s="80" t="s">
        <v>84</v>
      </c>
      <c r="H3176" s="80" t="s">
        <v>84</v>
      </c>
      <c r="I3176" s="80" t="s">
        <v>84</v>
      </c>
      <c r="J3176" s="80" t="s">
        <v>84</v>
      </c>
      <c r="K3176" s="80" t="s">
        <v>84</v>
      </c>
      <c r="L3176" s="80" t="s">
        <v>84</v>
      </c>
      <c r="M3176" s="80" t="s">
        <v>84</v>
      </c>
      <c r="N3176" s="80" t="s">
        <v>84</v>
      </c>
      <c r="O3176" s="80" t="s">
        <v>84</v>
      </c>
      <c r="Q3176" s="80" t="s">
        <v>84</v>
      </c>
      <c r="R3176" s="80" t="s">
        <v>84</v>
      </c>
    </row>
    <row r="3177" spans="1:18" ht="20" x14ac:dyDescent="0.2">
      <c r="A3177" s="80" t="s">
        <v>467</v>
      </c>
      <c r="B3177" s="80" t="s">
        <v>468</v>
      </c>
      <c r="C3177" s="80" t="s">
        <v>9722</v>
      </c>
      <c r="D3177" s="80" t="s">
        <v>84</v>
      </c>
      <c r="E3177" s="80" t="s">
        <v>84</v>
      </c>
      <c r="G3177" s="80" t="s">
        <v>84</v>
      </c>
      <c r="H3177" s="80" t="s">
        <v>84</v>
      </c>
      <c r="I3177" s="80" t="s">
        <v>84</v>
      </c>
      <c r="J3177" s="80" t="s">
        <v>84</v>
      </c>
      <c r="K3177" s="80" t="s">
        <v>84</v>
      </c>
      <c r="L3177" s="80" t="s">
        <v>84</v>
      </c>
      <c r="M3177" s="80" t="s">
        <v>84</v>
      </c>
      <c r="N3177" s="80" t="s">
        <v>84</v>
      </c>
      <c r="O3177" s="80" t="s">
        <v>84</v>
      </c>
      <c r="Q3177" s="80" t="s">
        <v>84</v>
      </c>
      <c r="R3177" s="80" t="s">
        <v>84</v>
      </c>
    </row>
    <row r="3178" spans="1:18" ht="20" x14ac:dyDescent="0.2">
      <c r="A3178" s="80" t="s">
        <v>469</v>
      </c>
      <c r="B3178" s="80" t="s">
        <v>10820</v>
      </c>
      <c r="C3178" s="80" t="s">
        <v>84</v>
      </c>
      <c r="D3178" s="80" t="s">
        <v>84</v>
      </c>
      <c r="E3178" s="80" t="s">
        <v>84</v>
      </c>
      <c r="G3178" s="80" t="s">
        <v>84</v>
      </c>
      <c r="H3178" s="80" t="s">
        <v>84</v>
      </c>
      <c r="I3178" s="80" t="s">
        <v>84</v>
      </c>
      <c r="J3178" s="80" t="s">
        <v>84</v>
      </c>
      <c r="K3178" s="80" t="s">
        <v>84</v>
      </c>
      <c r="L3178" s="80" t="s">
        <v>84</v>
      </c>
      <c r="M3178" s="80" t="s">
        <v>84</v>
      </c>
      <c r="N3178" s="80" t="s">
        <v>84</v>
      </c>
      <c r="O3178" s="80" t="s">
        <v>84</v>
      </c>
      <c r="Q3178" s="80" t="s">
        <v>84</v>
      </c>
      <c r="R3178" s="80" t="s">
        <v>84</v>
      </c>
    </row>
    <row r="3179" spans="1:18" ht="20" x14ac:dyDescent="0.2">
      <c r="A3179" s="80" t="s">
        <v>469</v>
      </c>
      <c r="B3179" s="80" t="s">
        <v>470</v>
      </c>
      <c r="C3179" s="80" t="s">
        <v>84</v>
      </c>
      <c r="D3179" s="80" t="s">
        <v>84</v>
      </c>
      <c r="E3179" s="80" t="s">
        <v>84</v>
      </c>
      <c r="G3179" s="80" t="s">
        <v>84</v>
      </c>
      <c r="H3179" s="80" t="s">
        <v>84</v>
      </c>
      <c r="I3179" s="80" t="s">
        <v>84</v>
      </c>
      <c r="J3179" s="80" t="s">
        <v>84</v>
      </c>
      <c r="K3179" s="80" t="s">
        <v>84</v>
      </c>
      <c r="L3179" s="80" t="s">
        <v>84</v>
      </c>
      <c r="M3179" s="80" t="s">
        <v>84</v>
      </c>
      <c r="N3179" s="80" t="s">
        <v>84</v>
      </c>
      <c r="O3179" s="80" t="s">
        <v>84</v>
      </c>
      <c r="Q3179" s="80" t="s">
        <v>84</v>
      </c>
      <c r="R3179" s="80" t="s">
        <v>84</v>
      </c>
    </row>
    <row r="3180" spans="1:18" ht="20" x14ac:dyDescent="0.2">
      <c r="A3180" s="80" t="s">
        <v>5518</v>
      </c>
      <c r="B3180" s="80" t="s">
        <v>10821</v>
      </c>
      <c r="C3180" s="80" t="s">
        <v>9722</v>
      </c>
      <c r="D3180" s="80" t="s">
        <v>84</v>
      </c>
      <c r="E3180" s="80" t="s">
        <v>84</v>
      </c>
      <c r="G3180" s="80" t="s">
        <v>84</v>
      </c>
      <c r="H3180" s="80" t="s">
        <v>84</v>
      </c>
      <c r="I3180" s="80" t="s">
        <v>84</v>
      </c>
      <c r="J3180" s="80" t="s">
        <v>84</v>
      </c>
      <c r="K3180" s="80" t="s">
        <v>84</v>
      </c>
      <c r="L3180" s="80" t="s">
        <v>84</v>
      </c>
      <c r="M3180" s="80" t="s">
        <v>84</v>
      </c>
      <c r="N3180" s="80" t="s">
        <v>84</v>
      </c>
      <c r="O3180" s="80" t="s">
        <v>84</v>
      </c>
      <c r="Q3180" s="80" t="s">
        <v>84</v>
      </c>
      <c r="R3180" s="80" t="s">
        <v>84</v>
      </c>
    </row>
    <row r="3181" spans="1:18" ht="20" x14ac:dyDescent="0.2">
      <c r="A3181" s="80" t="s">
        <v>5518</v>
      </c>
      <c r="B3181" s="80" t="s">
        <v>5519</v>
      </c>
      <c r="C3181" s="80" t="s">
        <v>9722</v>
      </c>
      <c r="D3181" s="80" t="s">
        <v>84</v>
      </c>
      <c r="E3181" s="80" t="s">
        <v>84</v>
      </c>
      <c r="G3181" s="80" t="s">
        <v>84</v>
      </c>
      <c r="H3181" s="80" t="s">
        <v>84</v>
      </c>
      <c r="I3181" s="80" t="s">
        <v>84</v>
      </c>
      <c r="J3181" s="80" t="s">
        <v>84</v>
      </c>
      <c r="K3181" s="80" t="s">
        <v>84</v>
      </c>
      <c r="L3181" s="80" t="s">
        <v>84</v>
      </c>
      <c r="M3181" s="80" t="s">
        <v>84</v>
      </c>
      <c r="N3181" s="80" t="s">
        <v>84</v>
      </c>
      <c r="O3181" s="80" t="s">
        <v>84</v>
      </c>
      <c r="Q3181" s="80" t="s">
        <v>84</v>
      </c>
      <c r="R3181" s="80" t="s">
        <v>84</v>
      </c>
    </row>
    <row r="3182" spans="1:18" ht="20" x14ac:dyDescent="0.2">
      <c r="A3182" s="80" t="s">
        <v>471</v>
      </c>
      <c r="B3182" s="80" t="s">
        <v>10822</v>
      </c>
      <c r="C3182" s="80" t="s">
        <v>84</v>
      </c>
      <c r="D3182" s="80" t="s">
        <v>84</v>
      </c>
      <c r="E3182" s="80" t="s">
        <v>84</v>
      </c>
      <c r="G3182" s="80" t="s">
        <v>84</v>
      </c>
      <c r="H3182" s="80" t="s">
        <v>84</v>
      </c>
      <c r="I3182" s="80" t="s">
        <v>84</v>
      </c>
      <c r="J3182" s="80" t="s">
        <v>84</v>
      </c>
      <c r="K3182" s="80" t="s">
        <v>84</v>
      </c>
      <c r="L3182" s="80" t="s">
        <v>84</v>
      </c>
      <c r="M3182" s="80" t="s">
        <v>84</v>
      </c>
      <c r="N3182" s="80" t="s">
        <v>84</v>
      </c>
      <c r="O3182" s="80" t="s">
        <v>84</v>
      </c>
      <c r="Q3182" s="80" t="s">
        <v>84</v>
      </c>
      <c r="R3182" s="80" t="s">
        <v>84</v>
      </c>
    </row>
    <row r="3183" spans="1:18" ht="20" x14ac:dyDescent="0.2">
      <c r="A3183" s="80" t="s">
        <v>471</v>
      </c>
      <c r="B3183" s="80" t="s">
        <v>472</v>
      </c>
      <c r="C3183" s="80" t="s">
        <v>84</v>
      </c>
      <c r="D3183" s="80" t="s">
        <v>84</v>
      </c>
      <c r="E3183" s="80" t="s">
        <v>84</v>
      </c>
      <c r="G3183" s="80" t="s">
        <v>84</v>
      </c>
      <c r="H3183" s="80" t="s">
        <v>84</v>
      </c>
      <c r="I3183" s="80" t="s">
        <v>84</v>
      </c>
      <c r="J3183" s="80" t="s">
        <v>84</v>
      </c>
      <c r="K3183" s="80" t="s">
        <v>84</v>
      </c>
      <c r="L3183" s="80" t="s">
        <v>84</v>
      </c>
      <c r="M3183" s="80" t="s">
        <v>84</v>
      </c>
      <c r="N3183" s="80" t="s">
        <v>84</v>
      </c>
      <c r="O3183" s="80" t="s">
        <v>84</v>
      </c>
      <c r="Q3183" s="80" t="s">
        <v>84</v>
      </c>
      <c r="R3183" s="80" t="s">
        <v>84</v>
      </c>
    </row>
    <row r="3184" spans="1:18" ht="20" x14ac:dyDescent="0.2">
      <c r="A3184" s="80" t="s">
        <v>473</v>
      </c>
      <c r="B3184" s="80" t="s">
        <v>10823</v>
      </c>
      <c r="C3184" s="80" t="s">
        <v>84</v>
      </c>
      <c r="D3184" s="80" t="s">
        <v>84</v>
      </c>
      <c r="E3184" s="80" t="s">
        <v>84</v>
      </c>
      <c r="G3184" s="80" t="s">
        <v>84</v>
      </c>
      <c r="H3184" s="80" t="s">
        <v>84</v>
      </c>
      <c r="I3184" s="80" t="s">
        <v>84</v>
      </c>
      <c r="J3184" s="80" t="s">
        <v>84</v>
      </c>
      <c r="K3184" s="80" t="s">
        <v>84</v>
      </c>
      <c r="L3184" s="80" t="s">
        <v>84</v>
      </c>
      <c r="M3184" s="80" t="s">
        <v>84</v>
      </c>
      <c r="N3184" s="80" t="s">
        <v>84</v>
      </c>
      <c r="O3184" s="80" t="s">
        <v>84</v>
      </c>
      <c r="Q3184" s="80" t="s">
        <v>84</v>
      </c>
      <c r="R3184" s="80" t="s">
        <v>84</v>
      </c>
    </row>
    <row r="3185" spans="1:18" ht="20" x14ac:dyDescent="0.2">
      <c r="A3185" s="80" t="s">
        <v>473</v>
      </c>
      <c r="B3185" s="80" t="s">
        <v>474</v>
      </c>
      <c r="C3185" s="80" t="s">
        <v>84</v>
      </c>
      <c r="D3185" s="80" t="s">
        <v>84</v>
      </c>
      <c r="E3185" s="80" t="s">
        <v>84</v>
      </c>
      <c r="G3185" s="80" t="s">
        <v>84</v>
      </c>
      <c r="H3185" s="80" t="s">
        <v>84</v>
      </c>
      <c r="I3185" s="80" t="s">
        <v>84</v>
      </c>
      <c r="J3185" s="80" t="s">
        <v>84</v>
      </c>
      <c r="K3185" s="80" t="s">
        <v>84</v>
      </c>
      <c r="L3185" s="80" t="s">
        <v>84</v>
      </c>
      <c r="M3185" s="80" t="s">
        <v>84</v>
      </c>
      <c r="N3185" s="80" t="s">
        <v>84</v>
      </c>
      <c r="O3185" s="80" t="s">
        <v>84</v>
      </c>
      <c r="Q3185" s="80" t="s">
        <v>84</v>
      </c>
      <c r="R3185" s="80" t="s">
        <v>84</v>
      </c>
    </row>
    <row r="3186" spans="1:18" ht="20" x14ac:dyDescent="0.2">
      <c r="A3186" s="80" t="s">
        <v>5134</v>
      </c>
      <c r="B3186" s="80" t="s">
        <v>10824</v>
      </c>
      <c r="C3186" s="80" t="s">
        <v>84</v>
      </c>
      <c r="D3186" s="80" t="s">
        <v>84</v>
      </c>
      <c r="E3186" s="80" t="s">
        <v>84</v>
      </c>
      <c r="G3186" s="80" t="s">
        <v>84</v>
      </c>
      <c r="H3186" s="80" t="s">
        <v>84</v>
      </c>
      <c r="I3186" s="80" t="s">
        <v>84</v>
      </c>
      <c r="J3186" s="80" t="s">
        <v>84</v>
      </c>
      <c r="K3186" s="80" t="s">
        <v>84</v>
      </c>
      <c r="L3186" s="80" t="s">
        <v>84</v>
      </c>
      <c r="M3186" s="80" t="s">
        <v>84</v>
      </c>
      <c r="N3186" s="80" t="s">
        <v>84</v>
      </c>
      <c r="O3186" s="80" t="s">
        <v>84</v>
      </c>
      <c r="Q3186" s="80" t="s">
        <v>84</v>
      </c>
      <c r="R3186" s="80" t="s">
        <v>84</v>
      </c>
    </row>
    <row r="3187" spans="1:18" ht="20" x14ac:dyDescent="0.2">
      <c r="A3187" s="80" t="s">
        <v>5134</v>
      </c>
      <c r="B3187" s="80" t="s">
        <v>5135</v>
      </c>
      <c r="C3187" s="80" t="s">
        <v>84</v>
      </c>
      <c r="D3187" s="80" t="s">
        <v>84</v>
      </c>
      <c r="E3187" s="80" t="s">
        <v>84</v>
      </c>
      <c r="G3187" s="80" t="s">
        <v>84</v>
      </c>
      <c r="H3187" s="80" t="s">
        <v>84</v>
      </c>
      <c r="I3187" s="80" t="s">
        <v>84</v>
      </c>
      <c r="J3187" s="80" t="s">
        <v>84</v>
      </c>
      <c r="K3187" s="80" t="s">
        <v>84</v>
      </c>
      <c r="L3187" s="80" t="s">
        <v>84</v>
      </c>
      <c r="M3187" s="80" t="s">
        <v>84</v>
      </c>
      <c r="N3187" s="80" t="s">
        <v>84</v>
      </c>
      <c r="O3187" s="80" t="s">
        <v>84</v>
      </c>
      <c r="Q3187" s="80" t="s">
        <v>84</v>
      </c>
      <c r="R3187" s="80" t="s">
        <v>84</v>
      </c>
    </row>
    <row r="3188" spans="1:18" ht="20" x14ac:dyDescent="0.2">
      <c r="A3188" s="80" t="s">
        <v>475</v>
      </c>
      <c r="B3188" s="80" t="s">
        <v>10825</v>
      </c>
      <c r="C3188" s="80" t="s">
        <v>84</v>
      </c>
      <c r="D3188" s="80" t="s">
        <v>84</v>
      </c>
      <c r="E3188" s="80" t="s">
        <v>84</v>
      </c>
      <c r="G3188" s="80" t="s">
        <v>84</v>
      </c>
      <c r="H3188" s="80" t="s">
        <v>84</v>
      </c>
      <c r="I3188" s="80" t="s">
        <v>84</v>
      </c>
      <c r="J3188" s="80" t="s">
        <v>84</v>
      </c>
      <c r="K3188" s="80" t="s">
        <v>84</v>
      </c>
      <c r="L3188" s="80" t="s">
        <v>84</v>
      </c>
      <c r="M3188" s="80" t="s">
        <v>84</v>
      </c>
      <c r="N3188" s="80" t="s">
        <v>84</v>
      </c>
      <c r="O3188" s="80" t="s">
        <v>84</v>
      </c>
      <c r="Q3188" s="80" t="s">
        <v>84</v>
      </c>
      <c r="R3188" s="80" t="s">
        <v>84</v>
      </c>
    </row>
    <row r="3189" spans="1:18" ht="20" x14ac:dyDescent="0.2">
      <c r="A3189" s="80" t="s">
        <v>475</v>
      </c>
      <c r="B3189" s="80" t="s">
        <v>476</v>
      </c>
      <c r="C3189" s="80" t="s">
        <v>84</v>
      </c>
      <c r="D3189" s="80" t="s">
        <v>84</v>
      </c>
      <c r="E3189" s="80" t="s">
        <v>84</v>
      </c>
      <c r="G3189" s="80" t="s">
        <v>84</v>
      </c>
      <c r="H3189" s="80" t="s">
        <v>84</v>
      </c>
      <c r="I3189" s="80" t="s">
        <v>84</v>
      </c>
      <c r="J3189" s="80" t="s">
        <v>84</v>
      </c>
      <c r="K3189" s="80" t="s">
        <v>84</v>
      </c>
      <c r="L3189" s="80" t="s">
        <v>84</v>
      </c>
      <c r="M3189" s="80" t="s">
        <v>84</v>
      </c>
      <c r="N3189" s="80" t="s">
        <v>84</v>
      </c>
      <c r="O3189" s="80" t="s">
        <v>84</v>
      </c>
      <c r="Q3189" s="80" t="s">
        <v>84</v>
      </c>
      <c r="R3189" s="80" t="s">
        <v>84</v>
      </c>
    </row>
    <row r="3190" spans="1:18" ht="20" x14ac:dyDescent="0.2">
      <c r="A3190" s="80" t="s">
        <v>1925</v>
      </c>
      <c r="B3190" s="80" t="s">
        <v>10826</v>
      </c>
      <c r="C3190" s="80" t="s">
        <v>84</v>
      </c>
      <c r="D3190" s="80" t="s">
        <v>84</v>
      </c>
      <c r="E3190" s="80" t="s">
        <v>84</v>
      </c>
      <c r="G3190" s="80" t="s">
        <v>84</v>
      </c>
      <c r="H3190" s="80" t="s">
        <v>84</v>
      </c>
      <c r="I3190" s="80" t="s">
        <v>84</v>
      </c>
      <c r="J3190" s="80" t="s">
        <v>84</v>
      </c>
      <c r="K3190" s="80" t="s">
        <v>84</v>
      </c>
      <c r="L3190" s="80" t="s">
        <v>84</v>
      </c>
      <c r="M3190" s="80" t="s">
        <v>84</v>
      </c>
      <c r="N3190" s="80" t="s">
        <v>84</v>
      </c>
      <c r="O3190" s="80" t="s">
        <v>84</v>
      </c>
      <c r="Q3190" s="80" t="s">
        <v>84</v>
      </c>
      <c r="R3190" s="80" t="s">
        <v>84</v>
      </c>
    </row>
    <row r="3191" spans="1:18" ht="20" x14ac:dyDescent="0.2">
      <c r="A3191" s="80" t="s">
        <v>1925</v>
      </c>
      <c r="B3191" s="80" t="s">
        <v>1926</v>
      </c>
      <c r="C3191" s="80" t="s">
        <v>84</v>
      </c>
      <c r="D3191" s="80" t="s">
        <v>84</v>
      </c>
      <c r="E3191" s="80" t="s">
        <v>84</v>
      </c>
      <c r="G3191" s="80" t="s">
        <v>84</v>
      </c>
      <c r="H3191" s="80" t="s">
        <v>84</v>
      </c>
      <c r="I3191" s="80" t="s">
        <v>84</v>
      </c>
      <c r="J3191" s="80" t="s">
        <v>84</v>
      </c>
      <c r="K3191" s="80" t="s">
        <v>84</v>
      </c>
      <c r="L3191" s="80" t="s">
        <v>84</v>
      </c>
      <c r="M3191" s="80" t="s">
        <v>84</v>
      </c>
      <c r="N3191" s="80" t="s">
        <v>84</v>
      </c>
      <c r="O3191" s="80" t="s">
        <v>84</v>
      </c>
      <c r="Q3191" s="80" t="s">
        <v>84</v>
      </c>
      <c r="R3191" s="80" t="s">
        <v>84</v>
      </c>
    </row>
    <row r="3192" spans="1:18" ht="20" x14ac:dyDescent="0.2">
      <c r="A3192" s="80" t="s">
        <v>477</v>
      </c>
      <c r="B3192" s="80" t="s">
        <v>10827</v>
      </c>
      <c r="C3192" s="80" t="s">
        <v>84</v>
      </c>
      <c r="D3192" s="80" t="s">
        <v>84</v>
      </c>
      <c r="E3192" s="80" t="s">
        <v>84</v>
      </c>
      <c r="G3192" s="80" t="s">
        <v>84</v>
      </c>
      <c r="H3192" s="80" t="s">
        <v>84</v>
      </c>
      <c r="I3192" s="80" t="s">
        <v>84</v>
      </c>
      <c r="J3192" s="80" t="s">
        <v>84</v>
      </c>
      <c r="K3192" s="80" t="s">
        <v>84</v>
      </c>
      <c r="L3192" s="80" t="s">
        <v>84</v>
      </c>
      <c r="M3192" s="80" t="s">
        <v>84</v>
      </c>
      <c r="N3192" s="80" t="s">
        <v>84</v>
      </c>
      <c r="O3192" s="80" t="s">
        <v>84</v>
      </c>
      <c r="Q3192" s="80" t="s">
        <v>84</v>
      </c>
      <c r="R3192" s="80" t="s">
        <v>84</v>
      </c>
    </row>
    <row r="3193" spans="1:18" ht="20" x14ac:dyDescent="0.2">
      <c r="A3193" s="80" t="s">
        <v>477</v>
      </c>
      <c r="B3193" s="80" t="s">
        <v>478</v>
      </c>
      <c r="C3193" s="80" t="s">
        <v>84</v>
      </c>
      <c r="D3193" s="80" t="s">
        <v>84</v>
      </c>
      <c r="E3193" s="80" t="s">
        <v>84</v>
      </c>
      <c r="G3193" s="80" t="s">
        <v>84</v>
      </c>
      <c r="H3193" s="80" t="s">
        <v>84</v>
      </c>
      <c r="I3193" s="80" t="s">
        <v>84</v>
      </c>
      <c r="J3193" s="80" t="s">
        <v>84</v>
      </c>
      <c r="K3193" s="80" t="s">
        <v>84</v>
      </c>
      <c r="L3193" s="80" t="s">
        <v>84</v>
      </c>
      <c r="M3193" s="80" t="s">
        <v>84</v>
      </c>
      <c r="N3193" s="80" t="s">
        <v>84</v>
      </c>
      <c r="O3193" s="80" t="s">
        <v>84</v>
      </c>
      <c r="Q3193" s="80" t="s">
        <v>84</v>
      </c>
      <c r="R3193" s="80" t="s">
        <v>84</v>
      </c>
    </row>
    <row r="3194" spans="1:18" ht="20" x14ac:dyDescent="0.2">
      <c r="A3194" s="80" t="s">
        <v>260</v>
      </c>
      <c r="B3194" s="80" t="s">
        <v>261</v>
      </c>
      <c r="C3194" s="80" t="s">
        <v>84</v>
      </c>
      <c r="D3194" s="80" t="s">
        <v>84</v>
      </c>
      <c r="E3194" s="80" t="s">
        <v>84</v>
      </c>
      <c r="G3194" s="80" t="s">
        <v>84</v>
      </c>
      <c r="H3194" s="80" t="s">
        <v>84</v>
      </c>
      <c r="I3194" s="80" t="s">
        <v>84</v>
      </c>
      <c r="J3194" s="80" t="s">
        <v>84</v>
      </c>
      <c r="K3194" s="80" t="s">
        <v>84</v>
      </c>
      <c r="L3194" s="80" t="s">
        <v>84</v>
      </c>
      <c r="M3194" s="80" t="s">
        <v>84</v>
      </c>
      <c r="N3194" s="80" t="s">
        <v>84</v>
      </c>
      <c r="O3194" s="80" t="s">
        <v>84</v>
      </c>
      <c r="Q3194" s="80" t="s">
        <v>84</v>
      </c>
      <c r="R3194" s="80" t="s">
        <v>84</v>
      </c>
    </row>
    <row r="3195" spans="1:18" ht="20" x14ac:dyDescent="0.2">
      <c r="A3195" s="80" t="s">
        <v>260</v>
      </c>
      <c r="B3195" s="80" t="s">
        <v>10828</v>
      </c>
      <c r="C3195" s="80" t="s">
        <v>84</v>
      </c>
      <c r="D3195" s="80" t="s">
        <v>84</v>
      </c>
      <c r="E3195" s="80" t="s">
        <v>84</v>
      </c>
      <c r="G3195" s="80" t="s">
        <v>84</v>
      </c>
      <c r="H3195" s="80" t="s">
        <v>84</v>
      </c>
      <c r="I3195" s="80" t="s">
        <v>84</v>
      </c>
      <c r="J3195" s="80" t="s">
        <v>84</v>
      </c>
      <c r="K3195" s="80" t="s">
        <v>84</v>
      </c>
      <c r="L3195" s="80" t="s">
        <v>84</v>
      </c>
      <c r="M3195" s="80" t="s">
        <v>84</v>
      </c>
      <c r="N3195" s="80" t="s">
        <v>84</v>
      </c>
      <c r="O3195" s="80" t="s">
        <v>84</v>
      </c>
      <c r="Q3195" s="80" t="s">
        <v>84</v>
      </c>
      <c r="R3195" s="80" t="s">
        <v>84</v>
      </c>
    </row>
    <row r="3196" spans="1:18" ht="20" x14ac:dyDescent="0.2">
      <c r="A3196" s="80" t="s">
        <v>260</v>
      </c>
      <c r="B3196" s="80" t="s">
        <v>479</v>
      </c>
      <c r="C3196" s="80" t="s">
        <v>84</v>
      </c>
      <c r="D3196" s="80" t="s">
        <v>84</v>
      </c>
      <c r="E3196" s="80" t="s">
        <v>84</v>
      </c>
      <c r="G3196" s="80" t="s">
        <v>84</v>
      </c>
      <c r="H3196" s="80" t="s">
        <v>84</v>
      </c>
      <c r="I3196" s="80" t="s">
        <v>84</v>
      </c>
      <c r="J3196" s="80" t="s">
        <v>84</v>
      </c>
      <c r="K3196" s="80" t="s">
        <v>84</v>
      </c>
      <c r="L3196" s="80" t="s">
        <v>84</v>
      </c>
      <c r="M3196" s="80" t="s">
        <v>84</v>
      </c>
      <c r="N3196" s="80" t="s">
        <v>84</v>
      </c>
      <c r="O3196" s="80" t="s">
        <v>84</v>
      </c>
      <c r="Q3196" s="80" t="s">
        <v>84</v>
      </c>
      <c r="R3196" s="80" t="s">
        <v>84</v>
      </c>
    </row>
    <row r="3197" spans="1:18" ht="20" x14ac:dyDescent="0.2">
      <c r="A3197" s="80" t="s">
        <v>480</v>
      </c>
      <c r="B3197" s="80" t="s">
        <v>10829</v>
      </c>
      <c r="C3197" s="80" t="s">
        <v>84</v>
      </c>
      <c r="D3197" s="80" t="s">
        <v>84</v>
      </c>
      <c r="E3197" s="80" t="s">
        <v>84</v>
      </c>
      <c r="G3197" s="80" t="s">
        <v>84</v>
      </c>
      <c r="H3197" s="80" t="s">
        <v>84</v>
      </c>
      <c r="I3197" s="80" t="s">
        <v>84</v>
      </c>
      <c r="J3197" s="80" t="s">
        <v>84</v>
      </c>
      <c r="K3197" s="80" t="s">
        <v>84</v>
      </c>
      <c r="L3197" s="80" t="s">
        <v>84</v>
      </c>
      <c r="M3197" s="80" t="s">
        <v>84</v>
      </c>
      <c r="N3197" s="80" t="s">
        <v>84</v>
      </c>
      <c r="O3197" s="80" t="s">
        <v>84</v>
      </c>
      <c r="Q3197" s="80" t="s">
        <v>84</v>
      </c>
      <c r="R3197" s="80" t="s">
        <v>84</v>
      </c>
    </row>
    <row r="3198" spans="1:18" ht="20" x14ac:dyDescent="0.2">
      <c r="A3198" s="80" t="s">
        <v>480</v>
      </c>
      <c r="B3198" s="80" t="s">
        <v>481</v>
      </c>
      <c r="C3198" s="80" t="s">
        <v>84</v>
      </c>
      <c r="D3198" s="80" t="s">
        <v>84</v>
      </c>
      <c r="E3198" s="80" t="s">
        <v>84</v>
      </c>
      <c r="G3198" s="80" t="s">
        <v>84</v>
      </c>
      <c r="H3198" s="80" t="s">
        <v>84</v>
      </c>
      <c r="I3198" s="80" t="s">
        <v>84</v>
      </c>
      <c r="J3198" s="80" t="s">
        <v>84</v>
      </c>
      <c r="K3198" s="80" t="s">
        <v>84</v>
      </c>
      <c r="L3198" s="80" t="s">
        <v>84</v>
      </c>
      <c r="M3198" s="80" t="s">
        <v>84</v>
      </c>
      <c r="N3198" s="80" t="s">
        <v>84</v>
      </c>
      <c r="O3198" s="80" t="s">
        <v>84</v>
      </c>
      <c r="Q3198" s="80" t="s">
        <v>84</v>
      </c>
      <c r="R3198" s="80" t="s">
        <v>84</v>
      </c>
    </row>
    <row r="3199" spans="1:18" ht="20" x14ac:dyDescent="0.2">
      <c r="A3199" s="80" t="s">
        <v>5910</v>
      </c>
      <c r="B3199" s="80" t="s">
        <v>5911</v>
      </c>
      <c r="C3199" s="80" t="s">
        <v>9680</v>
      </c>
      <c r="D3199" s="80" t="s">
        <v>84</v>
      </c>
      <c r="E3199" s="80" t="s">
        <v>84</v>
      </c>
      <c r="G3199" s="80" t="s">
        <v>84</v>
      </c>
      <c r="H3199" s="80" t="s">
        <v>84</v>
      </c>
      <c r="I3199" s="80" t="s">
        <v>84</v>
      </c>
      <c r="J3199" s="80" t="s">
        <v>84</v>
      </c>
      <c r="K3199" s="80" t="s">
        <v>84</v>
      </c>
      <c r="L3199" s="80" t="s">
        <v>84</v>
      </c>
      <c r="M3199" s="80" t="s">
        <v>84</v>
      </c>
      <c r="N3199" s="80" t="s">
        <v>84</v>
      </c>
      <c r="O3199" s="80" t="s">
        <v>84</v>
      </c>
      <c r="Q3199" s="80" t="s">
        <v>84</v>
      </c>
      <c r="R3199" s="80" t="s">
        <v>84</v>
      </c>
    </row>
    <row r="3200" spans="1:18" ht="20" x14ac:dyDescent="0.2">
      <c r="A3200" s="80" t="s">
        <v>5910</v>
      </c>
      <c r="B3200" s="80" t="s">
        <v>10830</v>
      </c>
      <c r="C3200" s="80" t="s">
        <v>9680</v>
      </c>
      <c r="D3200" s="80" t="s">
        <v>84</v>
      </c>
      <c r="E3200" s="80" t="s">
        <v>84</v>
      </c>
      <c r="G3200" s="80" t="s">
        <v>84</v>
      </c>
      <c r="H3200" s="80" t="s">
        <v>84</v>
      </c>
      <c r="I3200" s="80" t="s">
        <v>84</v>
      </c>
      <c r="J3200" s="80" t="s">
        <v>84</v>
      </c>
      <c r="K3200" s="80" t="s">
        <v>84</v>
      </c>
      <c r="L3200" s="80" t="s">
        <v>84</v>
      </c>
      <c r="M3200" s="80" t="s">
        <v>84</v>
      </c>
      <c r="N3200" s="80" t="s">
        <v>84</v>
      </c>
      <c r="O3200" s="80" t="s">
        <v>84</v>
      </c>
      <c r="Q3200" s="80" t="s">
        <v>84</v>
      </c>
      <c r="R3200" s="80" t="s">
        <v>84</v>
      </c>
    </row>
    <row r="3201" spans="1:18" ht="20" x14ac:dyDescent="0.2">
      <c r="A3201" s="80" t="s">
        <v>5910</v>
      </c>
      <c r="B3201" s="80" t="s">
        <v>6255</v>
      </c>
      <c r="C3201" s="80" t="s">
        <v>9680</v>
      </c>
      <c r="D3201" s="80" t="s">
        <v>84</v>
      </c>
      <c r="E3201" s="80" t="s">
        <v>84</v>
      </c>
      <c r="G3201" s="80" t="s">
        <v>84</v>
      </c>
      <c r="H3201" s="80" t="s">
        <v>84</v>
      </c>
      <c r="I3201" s="80" t="s">
        <v>84</v>
      </c>
      <c r="J3201" s="80" t="s">
        <v>84</v>
      </c>
      <c r="K3201" s="80" t="s">
        <v>84</v>
      </c>
      <c r="L3201" s="80" t="s">
        <v>84</v>
      </c>
      <c r="M3201" s="80" t="s">
        <v>84</v>
      </c>
      <c r="N3201" s="80" t="s">
        <v>84</v>
      </c>
      <c r="O3201" s="80" t="s">
        <v>84</v>
      </c>
      <c r="Q3201" s="80" t="s">
        <v>84</v>
      </c>
      <c r="R3201" s="80" t="s">
        <v>84</v>
      </c>
    </row>
    <row r="3202" spans="1:18" ht="20" x14ac:dyDescent="0.2">
      <c r="A3202" s="80" t="s">
        <v>6260</v>
      </c>
      <c r="B3202" s="80" t="s">
        <v>10831</v>
      </c>
      <c r="C3202" s="80" t="s">
        <v>84</v>
      </c>
      <c r="D3202" s="80" t="s">
        <v>84</v>
      </c>
      <c r="E3202" s="80" t="s">
        <v>84</v>
      </c>
      <c r="G3202" s="80" t="s">
        <v>84</v>
      </c>
      <c r="H3202" s="80" t="s">
        <v>84</v>
      </c>
      <c r="I3202" s="80" t="s">
        <v>84</v>
      </c>
      <c r="J3202" s="80" t="s">
        <v>84</v>
      </c>
      <c r="K3202" s="80" t="s">
        <v>84</v>
      </c>
      <c r="L3202" s="80" t="s">
        <v>84</v>
      </c>
      <c r="M3202" s="80" t="s">
        <v>84</v>
      </c>
      <c r="N3202" s="80" t="s">
        <v>84</v>
      </c>
      <c r="O3202" s="80" t="s">
        <v>84</v>
      </c>
      <c r="Q3202" s="80" t="s">
        <v>84</v>
      </c>
      <c r="R3202" s="80" t="s">
        <v>84</v>
      </c>
    </row>
    <row r="3203" spans="1:18" ht="20" x14ac:dyDescent="0.2">
      <c r="A3203" s="80" t="s">
        <v>6260</v>
      </c>
      <c r="B3203" s="80" t="s">
        <v>6261</v>
      </c>
      <c r="C3203" s="80" t="s">
        <v>84</v>
      </c>
      <c r="D3203" s="80" t="s">
        <v>84</v>
      </c>
      <c r="E3203" s="80" t="s">
        <v>84</v>
      </c>
      <c r="G3203" s="80" t="s">
        <v>84</v>
      </c>
      <c r="H3203" s="80" t="s">
        <v>84</v>
      </c>
      <c r="I3203" s="80" t="s">
        <v>84</v>
      </c>
      <c r="J3203" s="80" t="s">
        <v>84</v>
      </c>
      <c r="K3203" s="80" t="s">
        <v>84</v>
      </c>
      <c r="L3203" s="80" t="s">
        <v>84</v>
      </c>
      <c r="M3203" s="80" t="s">
        <v>84</v>
      </c>
      <c r="N3203" s="80" t="s">
        <v>84</v>
      </c>
      <c r="O3203" s="80" t="s">
        <v>84</v>
      </c>
      <c r="Q3203" s="80" t="s">
        <v>84</v>
      </c>
      <c r="R3203" s="80" t="s">
        <v>84</v>
      </c>
    </row>
    <row r="3204" spans="1:18" ht="20" x14ac:dyDescent="0.2">
      <c r="A3204" s="80" t="s">
        <v>6264</v>
      </c>
      <c r="B3204" s="80" t="s">
        <v>10832</v>
      </c>
      <c r="C3204" s="80" t="s">
        <v>84</v>
      </c>
      <c r="D3204" s="80" t="s">
        <v>84</v>
      </c>
      <c r="E3204" s="80" t="s">
        <v>84</v>
      </c>
      <c r="G3204" s="80" t="s">
        <v>84</v>
      </c>
      <c r="H3204" s="80" t="s">
        <v>84</v>
      </c>
      <c r="I3204" s="80" t="s">
        <v>84</v>
      </c>
      <c r="J3204" s="80" t="s">
        <v>84</v>
      </c>
      <c r="K3204" s="80" t="s">
        <v>84</v>
      </c>
      <c r="L3204" s="80" t="s">
        <v>84</v>
      </c>
      <c r="M3204" s="80" t="s">
        <v>84</v>
      </c>
      <c r="N3204" s="80" t="s">
        <v>84</v>
      </c>
      <c r="O3204" s="80" t="s">
        <v>84</v>
      </c>
      <c r="Q3204" s="80" t="s">
        <v>84</v>
      </c>
      <c r="R3204" s="80" t="s">
        <v>84</v>
      </c>
    </row>
    <row r="3205" spans="1:18" ht="20" x14ac:dyDescent="0.2">
      <c r="A3205" s="80" t="s">
        <v>6264</v>
      </c>
      <c r="B3205" s="80" t="s">
        <v>6265</v>
      </c>
      <c r="C3205" s="80" t="s">
        <v>84</v>
      </c>
      <c r="D3205" s="80" t="s">
        <v>84</v>
      </c>
      <c r="E3205" s="80" t="s">
        <v>84</v>
      </c>
      <c r="G3205" s="80" t="s">
        <v>84</v>
      </c>
      <c r="H3205" s="80" t="s">
        <v>84</v>
      </c>
      <c r="I3205" s="80" t="s">
        <v>84</v>
      </c>
      <c r="J3205" s="80" t="s">
        <v>84</v>
      </c>
      <c r="K3205" s="80" t="s">
        <v>84</v>
      </c>
      <c r="L3205" s="80" t="s">
        <v>84</v>
      </c>
      <c r="M3205" s="80" t="s">
        <v>84</v>
      </c>
      <c r="N3205" s="80" t="s">
        <v>84</v>
      </c>
      <c r="O3205" s="80" t="s">
        <v>84</v>
      </c>
      <c r="Q3205" s="80" t="s">
        <v>84</v>
      </c>
      <c r="R3205" s="80" t="s">
        <v>84</v>
      </c>
    </row>
    <row r="3206" spans="1:18" ht="20" x14ac:dyDescent="0.2">
      <c r="A3206" s="80" t="s">
        <v>5827</v>
      </c>
      <c r="B3206" s="80" t="s">
        <v>5828</v>
      </c>
      <c r="C3206" s="80" t="s">
        <v>84</v>
      </c>
      <c r="D3206" s="80" t="s">
        <v>84</v>
      </c>
      <c r="E3206" s="80" t="s">
        <v>84</v>
      </c>
      <c r="G3206" s="80" t="s">
        <v>84</v>
      </c>
      <c r="H3206" s="80" t="s">
        <v>84</v>
      </c>
      <c r="I3206" s="80" t="s">
        <v>84</v>
      </c>
      <c r="J3206" s="80" t="s">
        <v>84</v>
      </c>
      <c r="K3206" s="80" t="s">
        <v>84</v>
      </c>
      <c r="L3206" s="80" t="s">
        <v>84</v>
      </c>
      <c r="M3206" s="80" t="s">
        <v>84</v>
      </c>
      <c r="N3206" s="80" t="s">
        <v>84</v>
      </c>
      <c r="O3206" s="80" t="s">
        <v>84</v>
      </c>
      <c r="Q3206" s="80" t="s">
        <v>84</v>
      </c>
      <c r="R3206" s="80" t="s">
        <v>84</v>
      </c>
    </row>
    <row r="3207" spans="1:18" ht="20" x14ac:dyDescent="0.2">
      <c r="A3207" s="80" t="s">
        <v>5827</v>
      </c>
      <c r="B3207" s="80" t="s">
        <v>10833</v>
      </c>
      <c r="C3207" s="80" t="s">
        <v>84</v>
      </c>
      <c r="D3207" s="80" t="s">
        <v>84</v>
      </c>
      <c r="E3207" s="80" t="s">
        <v>84</v>
      </c>
      <c r="G3207" s="80" t="s">
        <v>84</v>
      </c>
      <c r="H3207" s="80" t="s">
        <v>84</v>
      </c>
      <c r="I3207" s="80" t="s">
        <v>84</v>
      </c>
      <c r="J3207" s="80" t="s">
        <v>84</v>
      </c>
      <c r="K3207" s="80" t="s">
        <v>84</v>
      </c>
      <c r="L3207" s="80" t="s">
        <v>84</v>
      </c>
      <c r="M3207" s="80" t="s">
        <v>84</v>
      </c>
      <c r="N3207" s="80" t="s">
        <v>84</v>
      </c>
      <c r="O3207" s="80" t="s">
        <v>84</v>
      </c>
      <c r="Q3207" s="80" t="s">
        <v>84</v>
      </c>
      <c r="R3207" s="80" t="s">
        <v>84</v>
      </c>
    </row>
    <row r="3208" spans="1:18" ht="20" x14ac:dyDescent="0.2">
      <c r="A3208" s="80" t="s">
        <v>5827</v>
      </c>
      <c r="B3208" s="80" t="s">
        <v>6266</v>
      </c>
      <c r="C3208" s="80" t="s">
        <v>84</v>
      </c>
      <c r="D3208" s="80" t="s">
        <v>84</v>
      </c>
      <c r="E3208" s="80" t="s">
        <v>84</v>
      </c>
      <c r="G3208" s="80" t="s">
        <v>84</v>
      </c>
      <c r="H3208" s="80" t="s">
        <v>84</v>
      </c>
      <c r="I3208" s="80" t="s">
        <v>84</v>
      </c>
      <c r="J3208" s="80" t="s">
        <v>84</v>
      </c>
      <c r="K3208" s="80" t="s">
        <v>84</v>
      </c>
      <c r="L3208" s="80" t="s">
        <v>84</v>
      </c>
      <c r="M3208" s="80" t="s">
        <v>84</v>
      </c>
      <c r="N3208" s="80" t="s">
        <v>84</v>
      </c>
      <c r="O3208" s="80" t="s">
        <v>84</v>
      </c>
      <c r="Q3208" s="80" t="s">
        <v>84</v>
      </c>
      <c r="R3208" s="80" t="s">
        <v>84</v>
      </c>
    </row>
    <row r="3209" spans="1:18" ht="20" x14ac:dyDescent="0.2">
      <c r="A3209" s="80" t="s">
        <v>6271</v>
      </c>
      <c r="B3209" s="80" t="s">
        <v>10834</v>
      </c>
      <c r="C3209" s="80" t="s">
        <v>9680</v>
      </c>
      <c r="D3209" s="80" t="s">
        <v>84</v>
      </c>
      <c r="E3209" s="80" t="s">
        <v>84</v>
      </c>
      <c r="G3209" s="80" t="s">
        <v>84</v>
      </c>
      <c r="H3209" s="80" t="s">
        <v>84</v>
      </c>
      <c r="I3209" s="80" t="s">
        <v>84</v>
      </c>
      <c r="J3209" s="80" t="s">
        <v>84</v>
      </c>
      <c r="K3209" s="80" t="s">
        <v>84</v>
      </c>
      <c r="L3209" s="80" t="s">
        <v>84</v>
      </c>
      <c r="M3209" s="80" t="s">
        <v>9680</v>
      </c>
      <c r="N3209" s="80" t="s">
        <v>84</v>
      </c>
      <c r="O3209" s="80" t="s">
        <v>84</v>
      </c>
      <c r="Q3209" s="80" t="s">
        <v>84</v>
      </c>
      <c r="R3209" s="80" t="s">
        <v>84</v>
      </c>
    </row>
    <row r="3210" spans="1:18" ht="20" x14ac:dyDescent="0.2">
      <c r="A3210" s="80" t="s">
        <v>6271</v>
      </c>
      <c r="B3210" s="80" t="s">
        <v>6272</v>
      </c>
      <c r="C3210" s="80" t="s">
        <v>9680</v>
      </c>
      <c r="D3210" s="80" t="s">
        <v>84</v>
      </c>
      <c r="E3210" s="80" t="s">
        <v>84</v>
      </c>
      <c r="G3210" s="80" t="s">
        <v>84</v>
      </c>
      <c r="H3210" s="80" t="s">
        <v>84</v>
      </c>
      <c r="I3210" s="80" t="s">
        <v>84</v>
      </c>
      <c r="J3210" s="80" t="s">
        <v>84</v>
      </c>
      <c r="K3210" s="80" t="s">
        <v>84</v>
      </c>
      <c r="L3210" s="80" t="s">
        <v>84</v>
      </c>
      <c r="M3210" s="80" t="s">
        <v>9680</v>
      </c>
      <c r="N3210" s="80" t="s">
        <v>84</v>
      </c>
      <c r="O3210" s="80" t="s">
        <v>84</v>
      </c>
      <c r="Q3210" s="80" t="s">
        <v>84</v>
      </c>
      <c r="R3210" s="80" t="s">
        <v>84</v>
      </c>
    </row>
    <row r="3211" spans="1:18" ht="20" x14ac:dyDescent="0.2">
      <c r="A3211" s="80" t="s">
        <v>6273</v>
      </c>
      <c r="B3211" s="80" t="s">
        <v>10835</v>
      </c>
      <c r="C3211" s="80" t="s">
        <v>84</v>
      </c>
      <c r="D3211" s="80" t="s">
        <v>84</v>
      </c>
      <c r="E3211" s="80" t="s">
        <v>84</v>
      </c>
      <c r="G3211" s="80" t="s">
        <v>84</v>
      </c>
      <c r="H3211" s="80" t="s">
        <v>84</v>
      </c>
      <c r="I3211" s="80" t="s">
        <v>84</v>
      </c>
      <c r="J3211" s="80" t="s">
        <v>84</v>
      </c>
      <c r="K3211" s="80" t="s">
        <v>84</v>
      </c>
      <c r="L3211" s="80" t="s">
        <v>84</v>
      </c>
      <c r="M3211" s="80" t="s">
        <v>84</v>
      </c>
      <c r="N3211" s="80" t="s">
        <v>84</v>
      </c>
      <c r="O3211" s="80" t="s">
        <v>84</v>
      </c>
      <c r="Q3211" s="80" t="s">
        <v>84</v>
      </c>
      <c r="R3211" s="80" t="s">
        <v>84</v>
      </c>
    </row>
    <row r="3212" spans="1:18" ht="20" x14ac:dyDescent="0.2">
      <c r="A3212" s="80" t="s">
        <v>6273</v>
      </c>
      <c r="B3212" s="80" t="s">
        <v>6274</v>
      </c>
      <c r="C3212" s="80" t="s">
        <v>84</v>
      </c>
      <c r="D3212" s="80" t="s">
        <v>84</v>
      </c>
      <c r="E3212" s="80" t="s">
        <v>84</v>
      </c>
      <c r="G3212" s="80" t="s">
        <v>84</v>
      </c>
      <c r="H3212" s="80" t="s">
        <v>84</v>
      </c>
      <c r="I3212" s="80" t="s">
        <v>84</v>
      </c>
      <c r="J3212" s="80" t="s">
        <v>84</v>
      </c>
      <c r="K3212" s="80" t="s">
        <v>84</v>
      </c>
      <c r="L3212" s="80" t="s">
        <v>84</v>
      </c>
      <c r="M3212" s="80" t="s">
        <v>84</v>
      </c>
      <c r="N3212" s="80" t="s">
        <v>84</v>
      </c>
      <c r="O3212" s="80" t="s">
        <v>84</v>
      </c>
      <c r="Q3212" s="80" t="s">
        <v>84</v>
      </c>
      <c r="R3212" s="80" t="s">
        <v>84</v>
      </c>
    </row>
    <row r="3213" spans="1:18" ht="20" x14ac:dyDescent="0.2">
      <c r="A3213" s="80" t="s">
        <v>6279</v>
      </c>
      <c r="B3213" s="80" t="s">
        <v>10836</v>
      </c>
      <c r="C3213" s="80" t="s">
        <v>84</v>
      </c>
      <c r="D3213" s="80" t="s">
        <v>84</v>
      </c>
      <c r="E3213" s="80" t="s">
        <v>84</v>
      </c>
      <c r="G3213" s="80" t="s">
        <v>84</v>
      </c>
      <c r="H3213" s="80" t="s">
        <v>84</v>
      </c>
      <c r="I3213" s="80" t="s">
        <v>84</v>
      </c>
      <c r="J3213" s="80" t="s">
        <v>84</v>
      </c>
      <c r="K3213" s="80" t="s">
        <v>84</v>
      </c>
      <c r="L3213" s="80" t="s">
        <v>84</v>
      </c>
      <c r="M3213" s="80" t="s">
        <v>84</v>
      </c>
      <c r="N3213" s="80" t="s">
        <v>84</v>
      </c>
      <c r="O3213" s="80" t="s">
        <v>84</v>
      </c>
      <c r="Q3213" s="80" t="s">
        <v>84</v>
      </c>
      <c r="R3213" s="80" t="s">
        <v>84</v>
      </c>
    </row>
    <row r="3214" spans="1:18" ht="20" x14ac:dyDescent="0.2">
      <c r="A3214" s="80" t="s">
        <v>6279</v>
      </c>
      <c r="B3214" s="80" t="s">
        <v>6280</v>
      </c>
      <c r="C3214" s="80" t="s">
        <v>84</v>
      </c>
      <c r="D3214" s="80" t="s">
        <v>84</v>
      </c>
      <c r="E3214" s="80" t="s">
        <v>84</v>
      </c>
      <c r="G3214" s="80" t="s">
        <v>84</v>
      </c>
      <c r="H3214" s="80" t="s">
        <v>84</v>
      </c>
      <c r="I3214" s="80" t="s">
        <v>84</v>
      </c>
      <c r="J3214" s="80" t="s">
        <v>84</v>
      </c>
      <c r="K3214" s="80" t="s">
        <v>84</v>
      </c>
      <c r="L3214" s="80" t="s">
        <v>84</v>
      </c>
      <c r="M3214" s="80" t="s">
        <v>84</v>
      </c>
      <c r="N3214" s="80" t="s">
        <v>84</v>
      </c>
      <c r="O3214" s="80" t="s">
        <v>84</v>
      </c>
      <c r="Q3214" s="80" t="s">
        <v>84</v>
      </c>
      <c r="R3214" s="80" t="s">
        <v>84</v>
      </c>
    </row>
    <row r="3215" spans="1:18" ht="20" x14ac:dyDescent="0.2">
      <c r="A3215" s="80" t="s">
        <v>1619</v>
      </c>
      <c r="B3215" s="80" t="s">
        <v>10837</v>
      </c>
      <c r="C3215" s="80" t="s">
        <v>9680</v>
      </c>
      <c r="D3215" s="80" t="s">
        <v>9680</v>
      </c>
      <c r="E3215" s="80" t="s">
        <v>84</v>
      </c>
      <c r="G3215" s="80" t="s">
        <v>9680</v>
      </c>
      <c r="H3215" s="80" t="s">
        <v>84</v>
      </c>
      <c r="I3215" s="80" t="s">
        <v>9680</v>
      </c>
      <c r="J3215" s="80" t="s">
        <v>84</v>
      </c>
      <c r="K3215" s="80" t="s">
        <v>9680</v>
      </c>
      <c r="L3215" s="80" t="s">
        <v>84</v>
      </c>
      <c r="M3215" s="80" t="s">
        <v>84</v>
      </c>
      <c r="N3215" s="80" t="s">
        <v>84</v>
      </c>
      <c r="O3215" s="80" t="s">
        <v>84</v>
      </c>
      <c r="Q3215" s="80" t="s">
        <v>84</v>
      </c>
      <c r="R3215" s="80" t="s">
        <v>84</v>
      </c>
    </row>
    <row r="3216" spans="1:18" ht="20" x14ac:dyDescent="0.2">
      <c r="A3216" s="80" t="s">
        <v>1619</v>
      </c>
      <c r="B3216" s="80" t="s">
        <v>1620</v>
      </c>
      <c r="C3216" s="80" t="s">
        <v>9680</v>
      </c>
      <c r="D3216" s="80" t="s">
        <v>9680</v>
      </c>
      <c r="E3216" s="80" t="s">
        <v>84</v>
      </c>
      <c r="G3216" s="80" t="s">
        <v>9680</v>
      </c>
      <c r="H3216" s="80" t="s">
        <v>84</v>
      </c>
      <c r="I3216" s="80" t="s">
        <v>9680</v>
      </c>
      <c r="J3216" s="80" t="s">
        <v>84</v>
      </c>
      <c r="K3216" s="80" t="s">
        <v>9680</v>
      </c>
      <c r="L3216" s="80" t="s">
        <v>84</v>
      </c>
      <c r="M3216" s="80" t="s">
        <v>84</v>
      </c>
      <c r="N3216" s="80" t="s">
        <v>84</v>
      </c>
      <c r="O3216" s="80" t="s">
        <v>84</v>
      </c>
      <c r="Q3216" s="80" t="s">
        <v>84</v>
      </c>
      <c r="R3216" s="80" t="s">
        <v>84</v>
      </c>
    </row>
    <row r="3217" spans="1:18" ht="20" x14ac:dyDescent="0.2">
      <c r="A3217" s="80" t="s">
        <v>6283</v>
      </c>
      <c r="B3217" s="80" t="s">
        <v>10838</v>
      </c>
      <c r="C3217" s="80" t="s">
        <v>84</v>
      </c>
      <c r="D3217" s="80" t="s">
        <v>84</v>
      </c>
      <c r="E3217" s="80" t="s">
        <v>84</v>
      </c>
      <c r="G3217" s="80" t="s">
        <v>84</v>
      </c>
      <c r="H3217" s="80" t="s">
        <v>84</v>
      </c>
      <c r="I3217" s="80" t="s">
        <v>84</v>
      </c>
      <c r="J3217" s="80" t="s">
        <v>84</v>
      </c>
      <c r="K3217" s="80" t="s">
        <v>84</v>
      </c>
      <c r="L3217" s="80" t="s">
        <v>84</v>
      </c>
      <c r="M3217" s="80" t="s">
        <v>84</v>
      </c>
      <c r="N3217" s="80" t="s">
        <v>84</v>
      </c>
      <c r="O3217" s="80" t="s">
        <v>84</v>
      </c>
      <c r="Q3217" s="80" t="s">
        <v>84</v>
      </c>
      <c r="R3217" s="80" t="s">
        <v>84</v>
      </c>
    </row>
    <row r="3218" spans="1:18" ht="20" x14ac:dyDescent="0.2">
      <c r="A3218" s="80" t="s">
        <v>6283</v>
      </c>
      <c r="B3218" s="80" t="s">
        <v>6284</v>
      </c>
      <c r="C3218" s="80" t="s">
        <v>84</v>
      </c>
      <c r="D3218" s="80" t="s">
        <v>84</v>
      </c>
      <c r="E3218" s="80" t="s">
        <v>84</v>
      </c>
      <c r="G3218" s="80" t="s">
        <v>84</v>
      </c>
      <c r="H3218" s="80" t="s">
        <v>84</v>
      </c>
      <c r="I3218" s="80" t="s">
        <v>84</v>
      </c>
      <c r="J3218" s="80" t="s">
        <v>84</v>
      </c>
      <c r="K3218" s="80" t="s">
        <v>84</v>
      </c>
      <c r="L3218" s="80" t="s">
        <v>84</v>
      </c>
      <c r="M3218" s="80" t="s">
        <v>84</v>
      </c>
      <c r="N3218" s="80" t="s">
        <v>84</v>
      </c>
      <c r="O3218" s="80" t="s">
        <v>84</v>
      </c>
      <c r="Q3218" s="80" t="s">
        <v>84</v>
      </c>
      <c r="R3218" s="80" t="s">
        <v>84</v>
      </c>
    </row>
    <row r="3219" spans="1:18" ht="20" x14ac:dyDescent="0.2">
      <c r="A3219" s="80" t="s">
        <v>6289</v>
      </c>
      <c r="B3219" s="80" t="s">
        <v>10839</v>
      </c>
      <c r="C3219" s="80" t="s">
        <v>84</v>
      </c>
      <c r="D3219" s="80" t="s">
        <v>84</v>
      </c>
      <c r="E3219" s="80" t="s">
        <v>84</v>
      </c>
      <c r="G3219" s="80" t="s">
        <v>84</v>
      </c>
      <c r="H3219" s="80" t="s">
        <v>84</v>
      </c>
      <c r="I3219" s="80" t="s">
        <v>84</v>
      </c>
      <c r="J3219" s="80" t="s">
        <v>84</v>
      </c>
      <c r="K3219" s="80" t="s">
        <v>84</v>
      </c>
      <c r="L3219" s="80" t="s">
        <v>84</v>
      </c>
      <c r="M3219" s="80" t="s">
        <v>84</v>
      </c>
      <c r="N3219" s="80" t="s">
        <v>84</v>
      </c>
      <c r="O3219" s="80" t="s">
        <v>84</v>
      </c>
      <c r="Q3219" s="80" t="s">
        <v>84</v>
      </c>
      <c r="R3219" s="80" t="s">
        <v>84</v>
      </c>
    </row>
    <row r="3220" spans="1:18" ht="20" x14ac:dyDescent="0.2">
      <c r="A3220" s="80" t="s">
        <v>6289</v>
      </c>
      <c r="B3220" s="80" t="s">
        <v>6290</v>
      </c>
      <c r="C3220" s="80" t="s">
        <v>84</v>
      </c>
      <c r="D3220" s="80" t="s">
        <v>84</v>
      </c>
      <c r="E3220" s="80" t="s">
        <v>84</v>
      </c>
      <c r="G3220" s="80" t="s">
        <v>84</v>
      </c>
      <c r="H3220" s="80" t="s">
        <v>84</v>
      </c>
      <c r="I3220" s="80" t="s">
        <v>84</v>
      </c>
      <c r="J3220" s="80" t="s">
        <v>84</v>
      </c>
      <c r="K3220" s="80" t="s">
        <v>84</v>
      </c>
      <c r="L3220" s="80" t="s">
        <v>84</v>
      </c>
      <c r="M3220" s="80" t="s">
        <v>84</v>
      </c>
      <c r="N3220" s="80" t="s">
        <v>84</v>
      </c>
      <c r="O3220" s="80" t="s">
        <v>84</v>
      </c>
      <c r="Q3220" s="80" t="s">
        <v>84</v>
      </c>
      <c r="R3220" s="80" t="s">
        <v>84</v>
      </c>
    </row>
    <row r="3221" spans="1:18" ht="20" x14ac:dyDescent="0.2">
      <c r="A3221" s="80" t="s">
        <v>955</v>
      </c>
      <c r="B3221" s="80" t="s">
        <v>10840</v>
      </c>
      <c r="C3221" s="80" t="s">
        <v>9680</v>
      </c>
      <c r="D3221" s="80" t="s">
        <v>84</v>
      </c>
      <c r="E3221" s="80" t="s">
        <v>84</v>
      </c>
      <c r="G3221" s="80" t="s">
        <v>84</v>
      </c>
      <c r="H3221" s="80" t="s">
        <v>84</v>
      </c>
      <c r="I3221" s="80" t="s">
        <v>84</v>
      </c>
      <c r="J3221" s="80" t="s">
        <v>84</v>
      </c>
      <c r="K3221" s="80" t="s">
        <v>84</v>
      </c>
      <c r="L3221" s="80" t="s">
        <v>84</v>
      </c>
      <c r="M3221" s="80" t="s">
        <v>84</v>
      </c>
      <c r="N3221" s="80" t="s">
        <v>84</v>
      </c>
      <c r="O3221" s="80" t="s">
        <v>84</v>
      </c>
      <c r="Q3221" s="80" t="s">
        <v>84</v>
      </c>
      <c r="R3221" s="80" t="s">
        <v>84</v>
      </c>
    </row>
    <row r="3222" spans="1:18" ht="20" x14ac:dyDescent="0.2">
      <c r="A3222" s="80" t="s">
        <v>955</v>
      </c>
      <c r="B3222" s="80" t="s">
        <v>956</v>
      </c>
      <c r="C3222" s="80" t="s">
        <v>9680</v>
      </c>
      <c r="D3222" s="80" t="s">
        <v>84</v>
      </c>
      <c r="E3222" s="80" t="s">
        <v>84</v>
      </c>
      <c r="G3222" s="80" t="s">
        <v>84</v>
      </c>
      <c r="H3222" s="80" t="s">
        <v>84</v>
      </c>
      <c r="I3222" s="80" t="s">
        <v>84</v>
      </c>
      <c r="J3222" s="80" t="s">
        <v>84</v>
      </c>
      <c r="K3222" s="80" t="s">
        <v>84</v>
      </c>
      <c r="L3222" s="80" t="s">
        <v>84</v>
      </c>
      <c r="M3222" s="80" t="s">
        <v>84</v>
      </c>
      <c r="N3222" s="80" t="s">
        <v>84</v>
      </c>
      <c r="O3222" s="80" t="s">
        <v>84</v>
      </c>
      <c r="Q3222" s="80" t="s">
        <v>84</v>
      </c>
      <c r="R3222" s="80" t="s">
        <v>84</v>
      </c>
    </row>
    <row r="3223" spans="1:18" ht="20" x14ac:dyDescent="0.2">
      <c r="A3223" s="80" t="s">
        <v>5312</v>
      </c>
      <c r="B3223" s="80" t="s">
        <v>5313</v>
      </c>
      <c r="C3223" s="80" t="s">
        <v>9722</v>
      </c>
      <c r="D3223" s="80" t="s">
        <v>84</v>
      </c>
      <c r="E3223" s="80" t="s">
        <v>84</v>
      </c>
      <c r="G3223" s="80" t="s">
        <v>84</v>
      </c>
      <c r="H3223" s="80" t="s">
        <v>84</v>
      </c>
      <c r="I3223" s="80" t="s">
        <v>84</v>
      </c>
      <c r="J3223" s="80" t="s">
        <v>84</v>
      </c>
      <c r="K3223" s="80" t="s">
        <v>84</v>
      </c>
      <c r="L3223" s="80" t="s">
        <v>84</v>
      </c>
      <c r="M3223" s="80" t="s">
        <v>84</v>
      </c>
      <c r="N3223" s="80" t="s">
        <v>84</v>
      </c>
      <c r="O3223" s="80" t="s">
        <v>84</v>
      </c>
      <c r="Q3223" s="80" t="s">
        <v>84</v>
      </c>
      <c r="R3223" s="80" t="s">
        <v>84</v>
      </c>
    </row>
    <row r="3224" spans="1:18" ht="20" x14ac:dyDescent="0.2">
      <c r="A3224" s="80" t="s">
        <v>135</v>
      </c>
      <c r="B3224" s="80" t="s">
        <v>136</v>
      </c>
      <c r="C3224" s="80" t="s">
        <v>84</v>
      </c>
      <c r="D3224" s="80" t="s">
        <v>84</v>
      </c>
      <c r="E3224" s="80" t="s">
        <v>84</v>
      </c>
      <c r="G3224" s="80" t="s">
        <v>84</v>
      </c>
      <c r="H3224" s="80" t="s">
        <v>84</v>
      </c>
      <c r="I3224" s="80" t="s">
        <v>84</v>
      </c>
      <c r="J3224" s="80" t="s">
        <v>84</v>
      </c>
      <c r="K3224" s="80" t="s">
        <v>84</v>
      </c>
      <c r="L3224" s="80" t="s">
        <v>84</v>
      </c>
      <c r="M3224" s="80" t="s">
        <v>84</v>
      </c>
      <c r="N3224" s="80" t="s">
        <v>84</v>
      </c>
      <c r="O3224" s="80" t="s">
        <v>84</v>
      </c>
      <c r="Q3224" s="80" t="s">
        <v>84</v>
      </c>
      <c r="R3224" s="80" t="s">
        <v>84</v>
      </c>
    </row>
    <row r="3225" spans="1:18" ht="20" x14ac:dyDescent="0.2">
      <c r="A3225" s="80" t="s">
        <v>4919</v>
      </c>
      <c r="B3225" s="80" t="s">
        <v>4920</v>
      </c>
      <c r="C3225" s="80" t="s">
        <v>84</v>
      </c>
      <c r="D3225" s="80" t="s">
        <v>84</v>
      </c>
      <c r="E3225" s="80" t="s">
        <v>84</v>
      </c>
      <c r="G3225" s="80" t="s">
        <v>84</v>
      </c>
      <c r="H3225" s="80" t="s">
        <v>84</v>
      </c>
      <c r="I3225" s="80" t="s">
        <v>84</v>
      </c>
      <c r="J3225" s="80" t="s">
        <v>84</v>
      </c>
      <c r="K3225" s="80" t="s">
        <v>84</v>
      </c>
      <c r="L3225" s="80" t="s">
        <v>84</v>
      </c>
      <c r="M3225" s="80" t="s">
        <v>84</v>
      </c>
      <c r="N3225" s="80" t="s">
        <v>84</v>
      </c>
      <c r="O3225" s="80" t="s">
        <v>84</v>
      </c>
      <c r="Q3225" s="80" t="s">
        <v>84</v>
      </c>
      <c r="R3225" s="80" t="s">
        <v>84</v>
      </c>
    </row>
    <row r="3226" spans="1:18" ht="20" x14ac:dyDescent="0.2">
      <c r="A3226" s="80" t="s">
        <v>4921</v>
      </c>
      <c r="B3226" s="80" t="s">
        <v>4922</v>
      </c>
      <c r="C3226" s="80" t="s">
        <v>84</v>
      </c>
      <c r="D3226" s="80" t="s">
        <v>84</v>
      </c>
      <c r="E3226" s="80" t="s">
        <v>84</v>
      </c>
      <c r="G3226" s="80" t="s">
        <v>84</v>
      </c>
      <c r="H3226" s="80" t="s">
        <v>84</v>
      </c>
      <c r="I3226" s="80" t="s">
        <v>84</v>
      </c>
      <c r="J3226" s="80" t="s">
        <v>84</v>
      </c>
      <c r="K3226" s="80" t="s">
        <v>84</v>
      </c>
      <c r="L3226" s="80" t="s">
        <v>84</v>
      </c>
      <c r="M3226" s="80" t="s">
        <v>84</v>
      </c>
      <c r="N3226" s="80" t="s">
        <v>84</v>
      </c>
      <c r="O3226" s="80" t="s">
        <v>84</v>
      </c>
      <c r="Q3226" s="80" t="s">
        <v>84</v>
      </c>
      <c r="R3226" s="80" t="s">
        <v>84</v>
      </c>
    </row>
    <row r="3227" spans="1:18" ht="20" x14ac:dyDescent="0.2">
      <c r="A3227" s="80" t="s">
        <v>4931</v>
      </c>
      <c r="B3227" s="80" t="s">
        <v>4932</v>
      </c>
      <c r="C3227" s="80" t="s">
        <v>9680</v>
      </c>
      <c r="D3227" s="80" t="s">
        <v>84</v>
      </c>
      <c r="E3227" s="80" t="s">
        <v>84</v>
      </c>
      <c r="G3227" s="80" t="s">
        <v>84</v>
      </c>
      <c r="H3227" s="80" t="s">
        <v>84</v>
      </c>
      <c r="I3227" s="80" t="s">
        <v>84</v>
      </c>
      <c r="J3227" s="80" t="s">
        <v>84</v>
      </c>
      <c r="K3227" s="80" t="s">
        <v>84</v>
      </c>
      <c r="L3227" s="80" t="s">
        <v>84</v>
      </c>
      <c r="M3227" s="80" t="s">
        <v>84</v>
      </c>
      <c r="N3227" s="80" t="s">
        <v>84</v>
      </c>
      <c r="O3227" s="80" t="s">
        <v>84</v>
      </c>
      <c r="Q3227" s="80" t="s">
        <v>84</v>
      </c>
      <c r="R3227" s="80" t="s">
        <v>84</v>
      </c>
    </row>
    <row r="3228" spans="1:18" ht="20" x14ac:dyDescent="0.2">
      <c r="A3228" s="80" t="s">
        <v>5839</v>
      </c>
      <c r="B3228" s="80" t="s">
        <v>5840</v>
      </c>
      <c r="C3228" s="80" t="s">
        <v>9680</v>
      </c>
      <c r="D3228" s="80" t="s">
        <v>84</v>
      </c>
      <c r="E3228" s="80" t="s">
        <v>84</v>
      </c>
      <c r="G3228" s="80" t="s">
        <v>84</v>
      </c>
      <c r="H3228" s="80" t="s">
        <v>84</v>
      </c>
      <c r="I3228" s="80" t="s">
        <v>84</v>
      </c>
      <c r="J3228" s="80" t="s">
        <v>84</v>
      </c>
      <c r="K3228" s="80" t="s">
        <v>84</v>
      </c>
      <c r="L3228" s="80" t="s">
        <v>84</v>
      </c>
      <c r="M3228" s="80" t="s">
        <v>84</v>
      </c>
      <c r="N3228" s="80" t="s">
        <v>84</v>
      </c>
      <c r="O3228" s="80" t="s">
        <v>84</v>
      </c>
      <c r="Q3228" s="80" t="s">
        <v>84</v>
      </c>
      <c r="R3228" s="80" t="s">
        <v>84</v>
      </c>
    </row>
    <row r="3229" spans="1:18" ht="20" x14ac:dyDescent="0.2">
      <c r="A3229" s="80" t="s">
        <v>1516</v>
      </c>
      <c r="B3229" s="80" t="s">
        <v>1517</v>
      </c>
      <c r="C3229" s="80" t="s">
        <v>9680</v>
      </c>
      <c r="D3229" s="80" t="s">
        <v>84</v>
      </c>
      <c r="E3229" s="80" t="s">
        <v>84</v>
      </c>
      <c r="G3229" s="80" t="s">
        <v>84</v>
      </c>
      <c r="H3229" s="80" t="s">
        <v>84</v>
      </c>
      <c r="I3229" s="80" t="s">
        <v>84</v>
      </c>
      <c r="J3229" s="80" t="s">
        <v>84</v>
      </c>
      <c r="K3229" s="80" t="s">
        <v>84</v>
      </c>
      <c r="L3229" s="80" t="s">
        <v>84</v>
      </c>
      <c r="M3229" s="80" t="s">
        <v>84</v>
      </c>
      <c r="N3229" s="80" t="s">
        <v>84</v>
      </c>
      <c r="O3229" s="80" t="s">
        <v>84</v>
      </c>
      <c r="Q3229" s="80" t="s">
        <v>84</v>
      </c>
      <c r="R3229" s="80" t="s">
        <v>84</v>
      </c>
    </row>
    <row r="3230" spans="1:18" ht="20" x14ac:dyDescent="0.2">
      <c r="A3230" s="80" t="s">
        <v>4431</v>
      </c>
      <c r="B3230" s="80" t="s">
        <v>4432</v>
      </c>
      <c r="C3230" s="80" t="s">
        <v>84</v>
      </c>
      <c r="D3230" s="80" t="s">
        <v>84</v>
      </c>
      <c r="E3230" s="80" t="s">
        <v>84</v>
      </c>
      <c r="G3230" s="80" t="s">
        <v>84</v>
      </c>
      <c r="H3230" s="80" t="s">
        <v>84</v>
      </c>
      <c r="I3230" s="80" t="s">
        <v>84</v>
      </c>
      <c r="J3230" s="80" t="s">
        <v>84</v>
      </c>
      <c r="K3230" s="80" t="s">
        <v>84</v>
      </c>
      <c r="L3230" s="80" t="s">
        <v>84</v>
      </c>
      <c r="M3230" s="80" t="s">
        <v>84</v>
      </c>
      <c r="N3230" s="80" t="s">
        <v>84</v>
      </c>
      <c r="O3230" s="80" t="s">
        <v>84</v>
      </c>
      <c r="Q3230" s="80" t="s">
        <v>84</v>
      </c>
      <c r="R3230" s="80" t="s">
        <v>84</v>
      </c>
    </row>
    <row r="3231" spans="1:18" ht="20" x14ac:dyDescent="0.2">
      <c r="A3231" s="80" t="s">
        <v>4429</v>
      </c>
      <c r="B3231" s="80" t="s">
        <v>4430</v>
      </c>
      <c r="C3231" s="80" t="s">
        <v>9680</v>
      </c>
      <c r="D3231" s="80" t="s">
        <v>84</v>
      </c>
      <c r="E3231" s="80" t="s">
        <v>84</v>
      </c>
      <c r="G3231" s="80" t="s">
        <v>84</v>
      </c>
      <c r="H3231" s="80" t="s">
        <v>84</v>
      </c>
      <c r="I3231" s="80" t="s">
        <v>84</v>
      </c>
      <c r="J3231" s="80" t="s">
        <v>84</v>
      </c>
      <c r="K3231" s="80" t="s">
        <v>84</v>
      </c>
      <c r="L3231" s="80" t="s">
        <v>84</v>
      </c>
      <c r="M3231" s="80" t="s">
        <v>84</v>
      </c>
      <c r="N3231" s="80" t="s">
        <v>84</v>
      </c>
      <c r="O3231" s="80" t="s">
        <v>84</v>
      </c>
      <c r="Q3231" s="80" t="s">
        <v>84</v>
      </c>
      <c r="R3231" s="80" t="s">
        <v>84</v>
      </c>
    </row>
    <row r="3232" spans="1:18" ht="20" x14ac:dyDescent="0.2">
      <c r="A3232" s="80" t="s">
        <v>5707</v>
      </c>
      <c r="B3232" s="80" t="s">
        <v>5708</v>
      </c>
      <c r="C3232" s="80" t="s">
        <v>9680</v>
      </c>
      <c r="D3232" s="80" t="s">
        <v>84</v>
      </c>
      <c r="E3232" s="80" t="s">
        <v>84</v>
      </c>
      <c r="G3232" s="80" t="s">
        <v>84</v>
      </c>
      <c r="H3232" s="80" t="s">
        <v>84</v>
      </c>
      <c r="I3232" s="80" t="s">
        <v>84</v>
      </c>
      <c r="J3232" s="80" t="s">
        <v>84</v>
      </c>
      <c r="K3232" s="80" t="s">
        <v>84</v>
      </c>
      <c r="L3232" s="80" t="s">
        <v>84</v>
      </c>
      <c r="M3232" s="80" t="s">
        <v>84</v>
      </c>
      <c r="N3232" s="80" t="s">
        <v>84</v>
      </c>
      <c r="O3232" s="80" t="s">
        <v>84</v>
      </c>
      <c r="Q3232" s="80" t="s">
        <v>84</v>
      </c>
      <c r="R3232" s="80" t="s">
        <v>84</v>
      </c>
    </row>
    <row r="3233" spans="1:18" ht="20" x14ac:dyDescent="0.2">
      <c r="A3233" s="80" t="s">
        <v>3841</v>
      </c>
      <c r="B3233" s="80" t="s">
        <v>3842</v>
      </c>
      <c r="C3233" s="80" t="s">
        <v>84</v>
      </c>
      <c r="D3233" s="80" t="s">
        <v>84</v>
      </c>
      <c r="E3233" s="80" t="s">
        <v>84</v>
      </c>
      <c r="G3233" s="80" t="s">
        <v>84</v>
      </c>
      <c r="H3233" s="80" t="s">
        <v>84</v>
      </c>
      <c r="I3233" s="80" t="s">
        <v>84</v>
      </c>
      <c r="J3233" s="80" t="s">
        <v>84</v>
      </c>
      <c r="K3233" s="80" t="s">
        <v>84</v>
      </c>
      <c r="L3233" s="80" t="s">
        <v>84</v>
      </c>
      <c r="M3233" s="80" t="s">
        <v>84</v>
      </c>
      <c r="N3233" s="80" t="s">
        <v>84</v>
      </c>
      <c r="O3233" s="80" t="s">
        <v>84</v>
      </c>
      <c r="Q3233" s="80" t="s">
        <v>84</v>
      </c>
      <c r="R3233" s="80" t="s">
        <v>84</v>
      </c>
    </row>
    <row r="3234" spans="1:18" ht="20" x14ac:dyDescent="0.2">
      <c r="A3234" s="80" t="s">
        <v>5705</v>
      </c>
      <c r="B3234" s="80" t="s">
        <v>5706</v>
      </c>
      <c r="C3234" s="80" t="s">
        <v>9680</v>
      </c>
      <c r="D3234" s="80" t="s">
        <v>84</v>
      </c>
      <c r="E3234" s="80" t="s">
        <v>84</v>
      </c>
      <c r="G3234" s="80" t="s">
        <v>84</v>
      </c>
      <c r="H3234" s="80" t="s">
        <v>84</v>
      </c>
      <c r="I3234" s="80" t="s">
        <v>84</v>
      </c>
      <c r="J3234" s="80" t="s">
        <v>84</v>
      </c>
      <c r="K3234" s="80" t="s">
        <v>84</v>
      </c>
      <c r="L3234" s="80" t="s">
        <v>84</v>
      </c>
      <c r="M3234" s="80" t="s">
        <v>84</v>
      </c>
      <c r="N3234" s="80" t="s">
        <v>84</v>
      </c>
      <c r="O3234" s="80" t="s">
        <v>84</v>
      </c>
      <c r="Q3234" s="80" t="s">
        <v>84</v>
      </c>
      <c r="R3234" s="80" t="s">
        <v>84</v>
      </c>
    </row>
    <row r="3235" spans="1:18" ht="20" x14ac:dyDescent="0.2">
      <c r="A3235" s="80" t="s">
        <v>2569</v>
      </c>
      <c r="B3235" s="80" t="s">
        <v>2570</v>
      </c>
      <c r="C3235" s="80" t="s">
        <v>9722</v>
      </c>
      <c r="D3235" s="80" t="s">
        <v>84</v>
      </c>
      <c r="E3235" s="80" t="s">
        <v>84</v>
      </c>
      <c r="G3235" s="80" t="s">
        <v>84</v>
      </c>
      <c r="H3235" s="80" t="s">
        <v>84</v>
      </c>
      <c r="I3235" s="80" t="s">
        <v>84</v>
      </c>
      <c r="J3235" s="80" t="s">
        <v>84</v>
      </c>
      <c r="K3235" s="80" t="s">
        <v>84</v>
      </c>
      <c r="L3235" s="80" t="s">
        <v>84</v>
      </c>
      <c r="M3235" s="80" t="s">
        <v>84</v>
      </c>
      <c r="N3235" s="80" t="s">
        <v>84</v>
      </c>
      <c r="O3235" s="80" t="s">
        <v>84</v>
      </c>
      <c r="Q3235" s="80" t="s">
        <v>84</v>
      </c>
      <c r="R3235" s="80" t="s">
        <v>84</v>
      </c>
    </row>
    <row r="3236" spans="1:18" ht="20" x14ac:dyDescent="0.2">
      <c r="A3236" s="80" t="s">
        <v>2571</v>
      </c>
      <c r="B3236" s="80" t="s">
        <v>2572</v>
      </c>
      <c r="C3236" s="80" t="s">
        <v>9680</v>
      </c>
      <c r="D3236" s="80" t="s">
        <v>84</v>
      </c>
      <c r="E3236" s="80" t="s">
        <v>84</v>
      </c>
      <c r="G3236" s="80" t="s">
        <v>84</v>
      </c>
      <c r="H3236" s="80" t="s">
        <v>84</v>
      </c>
      <c r="I3236" s="80" t="s">
        <v>84</v>
      </c>
      <c r="J3236" s="80" t="s">
        <v>84</v>
      </c>
      <c r="K3236" s="80" t="s">
        <v>84</v>
      </c>
      <c r="L3236" s="80" t="s">
        <v>84</v>
      </c>
      <c r="M3236" s="80" t="s">
        <v>84</v>
      </c>
      <c r="N3236" s="80" t="s">
        <v>84</v>
      </c>
      <c r="O3236" s="80" t="s">
        <v>84</v>
      </c>
      <c r="Q3236" s="80" t="s">
        <v>84</v>
      </c>
      <c r="R3236" s="80" t="s">
        <v>84</v>
      </c>
    </row>
    <row r="3237" spans="1:18" ht="20" x14ac:dyDescent="0.2">
      <c r="A3237" s="80" t="s">
        <v>2660</v>
      </c>
      <c r="B3237" s="80" t="s">
        <v>2661</v>
      </c>
      <c r="C3237" s="80" t="s">
        <v>9680</v>
      </c>
      <c r="D3237" s="80" t="s">
        <v>84</v>
      </c>
      <c r="E3237" s="80" t="s">
        <v>84</v>
      </c>
      <c r="G3237" s="80" t="s">
        <v>84</v>
      </c>
      <c r="H3237" s="80" t="s">
        <v>84</v>
      </c>
      <c r="I3237" s="80" t="s">
        <v>84</v>
      </c>
      <c r="J3237" s="80" t="s">
        <v>84</v>
      </c>
      <c r="K3237" s="80" t="s">
        <v>84</v>
      </c>
      <c r="L3237" s="80" t="s">
        <v>84</v>
      </c>
      <c r="M3237" s="80" t="s">
        <v>84</v>
      </c>
      <c r="N3237" s="80" t="s">
        <v>84</v>
      </c>
      <c r="O3237" s="80" t="s">
        <v>84</v>
      </c>
      <c r="Q3237" s="80" t="s">
        <v>84</v>
      </c>
      <c r="R3237" s="80" t="s">
        <v>84</v>
      </c>
    </row>
    <row r="3238" spans="1:18" ht="20" x14ac:dyDescent="0.2">
      <c r="A3238" s="80" t="s">
        <v>3239</v>
      </c>
      <c r="B3238" s="80" t="s">
        <v>3240</v>
      </c>
      <c r="C3238" s="80" t="s">
        <v>9680</v>
      </c>
      <c r="D3238" s="80" t="s">
        <v>84</v>
      </c>
      <c r="E3238" s="80" t="s">
        <v>84</v>
      </c>
      <c r="G3238" s="80" t="s">
        <v>84</v>
      </c>
      <c r="H3238" s="80" t="s">
        <v>84</v>
      </c>
      <c r="I3238" s="80" t="s">
        <v>84</v>
      </c>
      <c r="J3238" s="80" t="s">
        <v>84</v>
      </c>
      <c r="K3238" s="80" t="s">
        <v>84</v>
      </c>
      <c r="L3238" s="80" t="s">
        <v>84</v>
      </c>
      <c r="M3238" s="80" t="s">
        <v>84</v>
      </c>
      <c r="N3238" s="80" t="s">
        <v>84</v>
      </c>
      <c r="O3238" s="80" t="s">
        <v>84</v>
      </c>
      <c r="Q3238" s="80" t="s">
        <v>84</v>
      </c>
      <c r="R3238" s="80" t="s">
        <v>84</v>
      </c>
    </row>
    <row r="3239" spans="1:18" ht="20" x14ac:dyDescent="0.2">
      <c r="A3239" s="80" t="s">
        <v>2102</v>
      </c>
      <c r="B3239" s="80" t="s">
        <v>2103</v>
      </c>
      <c r="C3239" s="80" t="s">
        <v>9680</v>
      </c>
      <c r="D3239" s="80" t="s">
        <v>84</v>
      </c>
      <c r="E3239" s="80" t="s">
        <v>84</v>
      </c>
      <c r="G3239" s="80" t="s">
        <v>84</v>
      </c>
      <c r="H3239" s="80" t="s">
        <v>84</v>
      </c>
      <c r="I3239" s="80" t="s">
        <v>84</v>
      </c>
      <c r="J3239" s="80" t="s">
        <v>84</v>
      </c>
      <c r="K3239" s="80" t="s">
        <v>84</v>
      </c>
      <c r="L3239" s="80" t="s">
        <v>84</v>
      </c>
      <c r="M3239" s="80" t="s">
        <v>84</v>
      </c>
      <c r="N3239" s="80" t="s">
        <v>84</v>
      </c>
      <c r="O3239" s="80" t="s">
        <v>84</v>
      </c>
      <c r="Q3239" s="80" t="s">
        <v>84</v>
      </c>
      <c r="R3239" s="80" t="s">
        <v>84</v>
      </c>
    </row>
    <row r="3240" spans="1:18" ht="20" x14ac:dyDescent="0.2">
      <c r="A3240" s="80" t="s">
        <v>5305</v>
      </c>
      <c r="B3240" s="80" t="s">
        <v>5306</v>
      </c>
      <c r="C3240" s="80" t="s">
        <v>9722</v>
      </c>
      <c r="D3240" s="80" t="s">
        <v>84</v>
      </c>
      <c r="E3240" s="80" t="s">
        <v>84</v>
      </c>
      <c r="G3240" s="80" t="s">
        <v>84</v>
      </c>
      <c r="H3240" s="80" t="s">
        <v>84</v>
      </c>
      <c r="I3240" s="80" t="s">
        <v>84</v>
      </c>
      <c r="J3240" s="80" t="s">
        <v>84</v>
      </c>
      <c r="K3240" s="80" t="s">
        <v>84</v>
      </c>
      <c r="L3240" s="80" t="s">
        <v>84</v>
      </c>
      <c r="M3240" s="80" t="s">
        <v>84</v>
      </c>
      <c r="N3240" s="80" t="s">
        <v>84</v>
      </c>
      <c r="O3240" s="80" t="s">
        <v>84</v>
      </c>
      <c r="Q3240" s="80" t="s">
        <v>84</v>
      </c>
      <c r="R3240" s="80" t="s">
        <v>84</v>
      </c>
    </row>
    <row r="3241" spans="1:18" ht="20" x14ac:dyDescent="0.2">
      <c r="A3241" s="80" t="s">
        <v>2607</v>
      </c>
      <c r="B3241" s="80" t="s">
        <v>2608</v>
      </c>
      <c r="C3241" s="80" t="s">
        <v>9680</v>
      </c>
      <c r="D3241" s="80" t="s">
        <v>84</v>
      </c>
      <c r="E3241" s="80" t="s">
        <v>84</v>
      </c>
      <c r="G3241" s="80" t="s">
        <v>84</v>
      </c>
      <c r="H3241" s="80" t="s">
        <v>84</v>
      </c>
      <c r="I3241" s="80" t="s">
        <v>84</v>
      </c>
      <c r="J3241" s="80" t="s">
        <v>84</v>
      </c>
      <c r="K3241" s="80" t="s">
        <v>84</v>
      </c>
      <c r="L3241" s="80" t="s">
        <v>84</v>
      </c>
      <c r="M3241" s="80" t="s">
        <v>84</v>
      </c>
      <c r="N3241" s="80" t="s">
        <v>84</v>
      </c>
      <c r="O3241" s="80" t="s">
        <v>84</v>
      </c>
      <c r="Q3241" s="80" t="s">
        <v>84</v>
      </c>
      <c r="R3241" s="80" t="s">
        <v>84</v>
      </c>
    </row>
    <row r="3242" spans="1:18" ht="20" x14ac:dyDescent="0.2">
      <c r="A3242" s="80" t="s">
        <v>5745</v>
      </c>
      <c r="B3242" s="80" t="s">
        <v>5746</v>
      </c>
      <c r="C3242" s="80" t="s">
        <v>84</v>
      </c>
      <c r="D3242" s="80" t="s">
        <v>84</v>
      </c>
      <c r="E3242" s="80" t="s">
        <v>84</v>
      </c>
      <c r="G3242" s="80" t="s">
        <v>84</v>
      </c>
      <c r="H3242" s="80" t="s">
        <v>84</v>
      </c>
      <c r="I3242" s="80" t="s">
        <v>84</v>
      </c>
      <c r="J3242" s="80" t="s">
        <v>84</v>
      </c>
      <c r="K3242" s="80" t="s">
        <v>84</v>
      </c>
      <c r="L3242" s="80" t="s">
        <v>84</v>
      </c>
      <c r="M3242" s="80" t="s">
        <v>84</v>
      </c>
      <c r="N3242" s="80" t="s">
        <v>84</v>
      </c>
      <c r="O3242" s="80" t="s">
        <v>84</v>
      </c>
      <c r="Q3242" s="80" t="s">
        <v>84</v>
      </c>
      <c r="R3242" s="80" t="s">
        <v>84</v>
      </c>
    </row>
    <row r="3243" spans="1:18" ht="20" x14ac:dyDescent="0.2">
      <c r="A3243" s="80" t="s">
        <v>5745</v>
      </c>
      <c r="B3243" s="80" t="s">
        <v>5826</v>
      </c>
      <c r="C3243" s="80" t="s">
        <v>84</v>
      </c>
      <c r="D3243" s="80" t="s">
        <v>84</v>
      </c>
      <c r="E3243" s="80" t="s">
        <v>84</v>
      </c>
      <c r="G3243" s="80" t="s">
        <v>84</v>
      </c>
      <c r="H3243" s="80" t="s">
        <v>84</v>
      </c>
      <c r="I3243" s="80" t="s">
        <v>84</v>
      </c>
      <c r="J3243" s="80" t="s">
        <v>84</v>
      </c>
      <c r="K3243" s="80" t="s">
        <v>84</v>
      </c>
      <c r="L3243" s="80" t="s">
        <v>84</v>
      </c>
      <c r="M3243" s="80" t="s">
        <v>84</v>
      </c>
      <c r="N3243" s="80" t="s">
        <v>84</v>
      </c>
      <c r="O3243" s="80" t="s">
        <v>84</v>
      </c>
      <c r="Q3243" s="80" t="s">
        <v>84</v>
      </c>
      <c r="R3243" s="80" t="s">
        <v>84</v>
      </c>
    </row>
    <row r="3244" spans="1:18" ht="20" x14ac:dyDescent="0.2">
      <c r="A3244" s="80" t="s">
        <v>3617</v>
      </c>
      <c r="B3244" s="80" t="s">
        <v>3618</v>
      </c>
      <c r="C3244" s="80" t="s">
        <v>84</v>
      </c>
      <c r="D3244" s="80" t="s">
        <v>84</v>
      </c>
      <c r="E3244" s="80" t="s">
        <v>84</v>
      </c>
      <c r="G3244" s="80" t="s">
        <v>84</v>
      </c>
      <c r="H3244" s="80" t="s">
        <v>84</v>
      </c>
      <c r="I3244" s="80" t="s">
        <v>84</v>
      </c>
      <c r="J3244" s="80" t="s">
        <v>84</v>
      </c>
      <c r="K3244" s="80" t="s">
        <v>84</v>
      </c>
      <c r="L3244" s="80" t="s">
        <v>84</v>
      </c>
      <c r="M3244" s="80" t="s">
        <v>84</v>
      </c>
      <c r="N3244" s="80" t="s">
        <v>84</v>
      </c>
      <c r="O3244" s="80" t="s">
        <v>84</v>
      </c>
      <c r="Q3244" s="80" t="s">
        <v>84</v>
      </c>
      <c r="R3244" s="80" t="s">
        <v>84</v>
      </c>
    </row>
    <row r="3245" spans="1:18" ht="20" x14ac:dyDescent="0.2">
      <c r="A3245" s="80" t="s">
        <v>1371</v>
      </c>
      <c r="B3245" s="80" t="s">
        <v>1372</v>
      </c>
      <c r="C3245" s="80" t="s">
        <v>9680</v>
      </c>
      <c r="D3245" s="80" t="s">
        <v>9680</v>
      </c>
      <c r="E3245" s="80" t="s">
        <v>9680</v>
      </c>
      <c r="G3245" s="80" t="s">
        <v>9680</v>
      </c>
      <c r="H3245" s="80" t="s">
        <v>9680</v>
      </c>
      <c r="I3245" s="80" t="s">
        <v>9680</v>
      </c>
      <c r="J3245" s="80" t="s">
        <v>84</v>
      </c>
      <c r="K3245" s="80" t="s">
        <v>9680</v>
      </c>
      <c r="L3245" s="80" t="s">
        <v>9680</v>
      </c>
      <c r="M3245" s="80" t="s">
        <v>84</v>
      </c>
      <c r="N3245" s="80" t="s">
        <v>9680</v>
      </c>
      <c r="O3245" s="80" t="s">
        <v>84</v>
      </c>
      <c r="Q3245" s="80" t="s">
        <v>84</v>
      </c>
      <c r="R3245" s="80" t="s">
        <v>84</v>
      </c>
    </row>
    <row r="3246" spans="1:18" ht="20" x14ac:dyDescent="0.2">
      <c r="A3246" s="80" t="s">
        <v>852</v>
      </c>
      <c r="B3246" s="80" t="s">
        <v>853</v>
      </c>
      <c r="C3246" s="80" t="s">
        <v>9680</v>
      </c>
      <c r="D3246" s="80" t="s">
        <v>9680</v>
      </c>
      <c r="E3246" s="80" t="s">
        <v>9680</v>
      </c>
      <c r="G3246" s="80" t="s">
        <v>9680</v>
      </c>
      <c r="H3246" s="80" t="s">
        <v>9680</v>
      </c>
      <c r="I3246" s="80" t="s">
        <v>9680</v>
      </c>
      <c r="J3246" s="80" t="s">
        <v>84</v>
      </c>
      <c r="K3246" s="80" t="s">
        <v>9680</v>
      </c>
      <c r="L3246" s="80" t="s">
        <v>9680</v>
      </c>
      <c r="M3246" s="80" t="s">
        <v>84</v>
      </c>
      <c r="N3246" s="80" t="s">
        <v>9680</v>
      </c>
      <c r="O3246" s="80" t="s">
        <v>84</v>
      </c>
      <c r="Q3246" s="80" t="s">
        <v>84</v>
      </c>
      <c r="R3246" s="80" t="s">
        <v>84</v>
      </c>
    </row>
    <row r="3247" spans="1:18" ht="20" x14ac:dyDescent="0.2">
      <c r="A3247" s="80" t="s">
        <v>2567</v>
      </c>
      <c r="B3247" s="80" t="s">
        <v>2568</v>
      </c>
      <c r="C3247" s="80" t="s">
        <v>9680</v>
      </c>
      <c r="D3247" s="80" t="s">
        <v>84</v>
      </c>
      <c r="E3247" s="80" t="s">
        <v>84</v>
      </c>
      <c r="G3247" s="80" t="s">
        <v>84</v>
      </c>
      <c r="H3247" s="80" t="s">
        <v>84</v>
      </c>
      <c r="I3247" s="80" t="s">
        <v>84</v>
      </c>
      <c r="J3247" s="80" t="s">
        <v>84</v>
      </c>
      <c r="K3247" s="80" t="s">
        <v>84</v>
      </c>
      <c r="L3247" s="80" t="s">
        <v>84</v>
      </c>
      <c r="M3247" s="80" t="s">
        <v>84</v>
      </c>
      <c r="N3247" s="80" t="s">
        <v>84</v>
      </c>
      <c r="O3247" s="80" t="s">
        <v>84</v>
      </c>
      <c r="Q3247" s="80" t="s">
        <v>84</v>
      </c>
      <c r="R3247" s="80" t="s">
        <v>84</v>
      </c>
    </row>
    <row r="3248" spans="1:18" ht="20" x14ac:dyDescent="0.2">
      <c r="A3248" s="80" t="s">
        <v>5297</v>
      </c>
      <c r="B3248" s="80" t="s">
        <v>5298</v>
      </c>
      <c r="C3248" s="80" t="s">
        <v>9722</v>
      </c>
      <c r="D3248" s="80" t="s">
        <v>84</v>
      </c>
      <c r="E3248" s="80" t="s">
        <v>84</v>
      </c>
      <c r="G3248" s="80" t="s">
        <v>84</v>
      </c>
      <c r="H3248" s="80" t="s">
        <v>84</v>
      </c>
      <c r="I3248" s="80" t="s">
        <v>84</v>
      </c>
      <c r="J3248" s="80" t="s">
        <v>84</v>
      </c>
      <c r="K3248" s="80" t="s">
        <v>84</v>
      </c>
      <c r="L3248" s="80" t="s">
        <v>84</v>
      </c>
      <c r="M3248" s="80" t="s">
        <v>84</v>
      </c>
      <c r="N3248" s="80" t="s">
        <v>84</v>
      </c>
      <c r="O3248" s="80" t="s">
        <v>84</v>
      </c>
      <c r="Q3248" s="80" t="s">
        <v>84</v>
      </c>
      <c r="R3248" s="80" t="s">
        <v>84</v>
      </c>
    </row>
    <row r="3249" spans="1:18" ht="20" x14ac:dyDescent="0.2">
      <c r="A3249" s="80" t="s">
        <v>2573</v>
      </c>
      <c r="B3249" s="80" t="s">
        <v>2574</v>
      </c>
      <c r="C3249" s="80" t="s">
        <v>9680</v>
      </c>
      <c r="D3249" s="80" t="s">
        <v>9680</v>
      </c>
      <c r="E3249" s="80" t="s">
        <v>9680</v>
      </c>
      <c r="G3249" s="80" t="s">
        <v>9680</v>
      </c>
      <c r="H3249" s="80" t="s">
        <v>9680</v>
      </c>
      <c r="I3249" s="80" t="s">
        <v>9680</v>
      </c>
      <c r="J3249" s="80" t="s">
        <v>84</v>
      </c>
      <c r="K3249" s="80" t="s">
        <v>9680</v>
      </c>
      <c r="L3249" s="80" t="s">
        <v>9680</v>
      </c>
      <c r="M3249" s="80" t="s">
        <v>84</v>
      </c>
      <c r="N3249" s="80" t="s">
        <v>9680</v>
      </c>
      <c r="O3249" s="80" t="s">
        <v>84</v>
      </c>
      <c r="Q3249" s="80" t="s">
        <v>84</v>
      </c>
      <c r="R3249" s="80" t="s">
        <v>84</v>
      </c>
    </row>
    <row r="3250" spans="1:18" ht="20" x14ac:dyDescent="0.2">
      <c r="A3250" s="80" t="s">
        <v>2578</v>
      </c>
      <c r="B3250" s="80" t="s">
        <v>2579</v>
      </c>
      <c r="C3250" s="80" t="s">
        <v>9680</v>
      </c>
      <c r="D3250" s="80" t="s">
        <v>9680</v>
      </c>
      <c r="E3250" s="80" t="s">
        <v>9680</v>
      </c>
      <c r="G3250" s="80" t="s">
        <v>9680</v>
      </c>
      <c r="H3250" s="80" t="s">
        <v>9680</v>
      </c>
      <c r="I3250" s="80" t="s">
        <v>9680</v>
      </c>
      <c r="J3250" s="80" t="s">
        <v>84</v>
      </c>
      <c r="K3250" s="80" t="s">
        <v>9680</v>
      </c>
      <c r="L3250" s="80" t="s">
        <v>9680</v>
      </c>
      <c r="M3250" s="80" t="s">
        <v>84</v>
      </c>
      <c r="N3250" s="80" t="s">
        <v>9680</v>
      </c>
      <c r="O3250" s="80" t="s">
        <v>84</v>
      </c>
      <c r="Q3250" s="80" t="s">
        <v>84</v>
      </c>
      <c r="R3250" s="80" t="s">
        <v>84</v>
      </c>
    </row>
    <row r="3251" spans="1:18" ht="20" x14ac:dyDescent="0.2">
      <c r="A3251" s="80" t="s">
        <v>2315</v>
      </c>
      <c r="B3251" s="80" t="s">
        <v>2316</v>
      </c>
      <c r="C3251" s="80" t="s">
        <v>9680</v>
      </c>
      <c r="D3251" s="80" t="s">
        <v>84</v>
      </c>
      <c r="E3251" s="80" t="s">
        <v>84</v>
      </c>
      <c r="G3251" s="80" t="s">
        <v>84</v>
      </c>
      <c r="H3251" s="80" t="s">
        <v>84</v>
      </c>
      <c r="I3251" s="80" t="s">
        <v>84</v>
      </c>
      <c r="J3251" s="80" t="s">
        <v>84</v>
      </c>
      <c r="K3251" s="80" t="s">
        <v>84</v>
      </c>
      <c r="L3251" s="80" t="s">
        <v>84</v>
      </c>
      <c r="M3251" s="80" t="s">
        <v>84</v>
      </c>
      <c r="N3251" s="80" t="s">
        <v>84</v>
      </c>
      <c r="O3251" s="80" t="s">
        <v>84</v>
      </c>
      <c r="Q3251" s="80" t="s">
        <v>84</v>
      </c>
      <c r="R3251" s="80" t="s">
        <v>84</v>
      </c>
    </row>
    <row r="3252" spans="1:18" ht="20" x14ac:dyDescent="0.2">
      <c r="A3252" s="80" t="s">
        <v>4956</v>
      </c>
      <c r="B3252" s="80" t="s">
        <v>4957</v>
      </c>
      <c r="C3252" s="80" t="s">
        <v>84</v>
      </c>
      <c r="D3252" s="80" t="s">
        <v>84</v>
      </c>
      <c r="E3252" s="80" t="s">
        <v>84</v>
      </c>
      <c r="G3252" s="80" t="s">
        <v>84</v>
      </c>
      <c r="H3252" s="80" t="s">
        <v>84</v>
      </c>
      <c r="I3252" s="80" t="s">
        <v>84</v>
      </c>
      <c r="J3252" s="80" t="s">
        <v>84</v>
      </c>
      <c r="K3252" s="80" t="s">
        <v>84</v>
      </c>
      <c r="L3252" s="80" t="s">
        <v>84</v>
      </c>
      <c r="M3252" s="80" t="s">
        <v>84</v>
      </c>
      <c r="N3252" s="80" t="s">
        <v>84</v>
      </c>
      <c r="O3252" s="80" t="s">
        <v>84</v>
      </c>
      <c r="Q3252" s="80" t="s">
        <v>84</v>
      </c>
      <c r="R3252" s="80" t="s">
        <v>84</v>
      </c>
    </row>
    <row r="3253" spans="1:18" ht="20" x14ac:dyDescent="0.2">
      <c r="A3253" s="80" t="s">
        <v>4115</v>
      </c>
      <c r="B3253" s="80" t="s">
        <v>4116</v>
      </c>
      <c r="C3253" s="80" t="s">
        <v>84</v>
      </c>
      <c r="D3253" s="80" t="s">
        <v>84</v>
      </c>
      <c r="E3253" s="80" t="s">
        <v>84</v>
      </c>
      <c r="G3253" s="80" t="s">
        <v>84</v>
      </c>
      <c r="H3253" s="80" t="s">
        <v>84</v>
      </c>
      <c r="I3253" s="80" t="s">
        <v>84</v>
      </c>
      <c r="J3253" s="80" t="s">
        <v>84</v>
      </c>
      <c r="K3253" s="80" t="s">
        <v>84</v>
      </c>
      <c r="L3253" s="80" t="s">
        <v>84</v>
      </c>
      <c r="M3253" s="80" t="s">
        <v>84</v>
      </c>
      <c r="N3253" s="80" t="s">
        <v>84</v>
      </c>
      <c r="O3253" s="80" t="s">
        <v>84</v>
      </c>
      <c r="Q3253" s="80" t="s">
        <v>84</v>
      </c>
      <c r="R3253" s="80" t="s">
        <v>84</v>
      </c>
    </row>
    <row r="3254" spans="1:18" ht="20" x14ac:dyDescent="0.2">
      <c r="A3254" s="80" t="s">
        <v>4393</v>
      </c>
      <c r="B3254" s="80" t="s">
        <v>4394</v>
      </c>
      <c r="C3254" s="80" t="s">
        <v>9680</v>
      </c>
      <c r="D3254" s="80" t="s">
        <v>9680</v>
      </c>
      <c r="E3254" s="80" t="s">
        <v>9680</v>
      </c>
      <c r="G3254" s="80" t="s">
        <v>9680</v>
      </c>
      <c r="H3254" s="80" t="s">
        <v>9680</v>
      </c>
      <c r="I3254" s="80" t="s">
        <v>9680</v>
      </c>
      <c r="J3254" s="80" t="s">
        <v>84</v>
      </c>
      <c r="K3254" s="80" t="s">
        <v>9680</v>
      </c>
      <c r="L3254" s="80" t="s">
        <v>9680</v>
      </c>
      <c r="M3254" s="80" t="s">
        <v>84</v>
      </c>
      <c r="N3254" s="80" t="s">
        <v>9680</v>
      </c>
      <c r="O3254" s="80" t="s">
        <v>84</v>
      </c>
      <c r="Q3254" s="80" t="s">
        <v>84</v>
      </c>
      <c r="R3254" s="80" t="s">
        <v>84</v>
      </c>
    </row>
    <row r="3255" spans="1:18" ht="20" x14ac:dyDescent="0.2">
      <c r="A3255" s="80" t="s">
        <v>4056</v>
      </c>
      <c r="B3255" s="80" t="s">
        <v>4057</v>
      </c>
      <c r="C3255" s="80" t="s">
        <v>9722</v>
      </c>
      <c r="D3255" s="80" t="s">
        <v>84</v>
      </c>
      <c r="E3255" s="80" t="s">
        <v>9722</v>
      </c>
      <c r="G3255" s="80" t="s">
        <v>9722</v>
      </c>
      <c r="H3255" s="80" t="s">
        <v>84</v>
      </c>
      <c r="I3255" s="80" t="s">
        <v>84</v>
      </c>
      <c r="J3255" s="80" t="s">
        <v>84</v>
      </c>
      <c r="K3255" s="80" t="s">
        <v>84</v>
      </c>
      <c r="L3255" s="80" t="s">
        <v>84</v>
      </c>
      <c r="M3255" s="80" t="s">
        <v>84</v>
      </c>
      <c r="N3255" s="80" t="s">
        <v>84</v>
      </c>
      <c r="O3255" s="80" t="s">
        <v>84</v>
      </c>
      <c r="Q3255" s="80" t="s">
        <v>84</v>
      </c>
      <c r="R3255" s="80" t="s">
        <v>84</v>
      </c>
    </row>
    <row r="3256" spans="1:18" ht="20" x14ac:dyDescent="0.2">
      <c r="A3256" s="80" t="s">
        <v>4058</v>
      </c>
      <c r="B3256" s="80" t="s">
        <v>4059</v>
      </c>
      <c r="C3256" s="80" t="s">
        <v>84</v>
      </c>
      <c r="D3256" s="80" t="s">
        <v>84</v>
      </c>
      <c r="E3256" s="80" t="s">
        <v>84</v>
      </c>
      <c r="G3256" s="80" t="s">
        <v>84</v>
      </c>
      <c r="H3256" s="80" t="s">
        <v>84</v>
      </c>
      <c r="I3256" s="80" t="s">
        <v>84</v>
      </c>
      <c r="J3256" s="80" t="s">
        <v>84</v>
      </c>
      <c r="K3256" s="80" t="s">
        <v>84</v>
      </c>
      <c r="L3256" s="80" t="s">
        <v>84</v>
      </c>
      <c r="M3256" s="80" t="s">
        <v>84</v>
      </c>
      <c r="N3256" s="80" t="s">
        <v>84</v>
      </c>
      <c r="O3256" s="80" t="s">
        <v>84</v>
      </c>
      <c r="Q3256" s="80" t="s">
        <v>84</v>
      </c>
      <c r="R3256" s="80" t="s">
        <v>84</v>
      </c>
    </row>
    <row r="3257" spans="1:18" ht="20" x14ac:dyDescent="0.2">
      <c r="A3257" s="80" t="s">
        <v>4060</v>
      </c>
      <c r="B3257" s="80" t="s">
        <v>4061</v>
      </c>
      <c r="C3257" s="80" t="s">
        <v>84</v>
      </c>
      <c r="D3257" s="80" t="s">
        <v>84</v>
      </c>
      <c r="E3257" s="80" t="s">
        <v>84</v>
      </c>
      <c r="G3257" s="80" t="s">
        <v>84</v>
      </c>
      <c r="H3257" s="80" t="s">
        <v>84</v>
      </c>
      <c r="I3257" s="80" t="s">
        <v>84</v>
      </c>
      <c r="J3257" s="80" t="s">
        <v>84</v>
      </c>
      <c r="K3257" s="80" t="s">
        <v>84</v>
      </c>
      <c r="L3257" s="80" t="s">
        <v>84</v>
      </c>
      <c r="M3257" s="80" t="s">
        <v>84</v>
      </c>
      <c r="N3257" s="80" t="s">
        <v>84</v>
      </c>
      <c r="O3257" s="80" t="s">
        <v>84</v>
      </c>
      <c r="Q3257" s="80" t="s">
        <v>84</v>
      </c>
      <c r="R3257" s="80" t="s">
        <v>84</v>
      </c>
    </row>
    <row r="3258" spans="1:18" ht="20" x14ac:dyDescent="0.2">
      <c r="A3258" s="80" t="s">
        <v>2089</v>
      </c>
      <c r="B3258" s="80" t="s">
        <v>2090</v>
      </c>
      <c r="C3258" s="80" t="s">
        <v>84</v>
      </c>
      <c r="D3258" s="80" t="s">
        <v>84</v>
      </c>
      <c r="E3258" s="80" t="s">
        <v>84</v>
      </c>
      <c r="G3258" s="80" t="s">
        <v>84</v>
      </c>
      <c r="H3258" s="80" t="s">
        <v>84</v>
      </c>
      <c r="I3258" s="80" t="s">
        <v>84</v>
      </c>
      <c r="J3258" s="80" t="s">
        <v>84</v>
      </c>
      <c r="K3258" s="80" t="s">
        <v>84</v>
      </c>
      <c r="L3258" s="80" t="s">
        <v>84</v>
      </c>
      <c r="M3258" s="80" t="s">
        <v>84</v>
      </c>
      <c r="N3258" s="80" t="s">
        <v>84</v>
      </c>
      <c r="O3258" s="80" t="s">
        <v>84</v>
      </c>
      <c r="Q3258" s="80" t="s">
        <v>84</v>
      </c>
      <c r="R3258" s="80" t="s">
        <v>84</v>
      </c>
    </row>
    <row r="3259" spans="1:18" ht="20" x14ac:dyDescent="0.2">
      <c r="A3259" s="80" t="s">
        <v>2060</v>
      </c>
      <c r="B3259" s="80" t="s">
        <v>2061</v>
      </c>
      <c r="C3259" s="80" t="s">
        <v>84</v>
      </c>
      <c r="D3259" s="80" t="s">
        <v>84</v>
      </c>
      <c r="E3259" s="80" t="s">
        <v>84</v>
      </c>
      <c r="G3259" s="80" t="s">
        <v>84</v>
      </c>
      <c r="H3259" s="80" t="s">
        <v>84</v>
      </c>
      <c r="I3259" s="80" t="s">
        <v>84</v>
      </c>
      <c r="J3259" s="80" t="s">
        <v>84</v>
      </c>
      <c r="K3259" s="80" t="s">
        <v>84</v>
      </c>
      <c r="L3259" s="80" t="s">
        <v>84</v>
      </c>
      <c r="M3259" s="80" t="s">
        <v>84</v>
      </c>
      <c r="N3259" s="80" t="s">
        <v>84</v>
      </c>
      <c r="O3259" s="80" t="s">
        <v>84</v>
      </c>
      <c r="Q3259" s="80" t="s">
        <v>84</v>
      </c>
      <c r="R3259" s="80" t="s">
        <v>84</v>
      </c>
    </row>
    <row r="3260" spans="1:18" x14ac:dyDescent="0.2">
      <c r="A3260" s="80" t="s">
        <v>2049</v>
      </c>
      <c r="B3260" s="80" t="s">
        <v>2050</v>
      </c>
      <c r="C3260" s="80" t="s">
        <v>84</v>
      </c>
      <c r="D3260" s="80" t="s">
        <v>84</v>
      </c>
      <c r="E3260" s="80" t="s">
        <v>84</v>
      </c>
      <c r="G3260" s="80" t="s">
        <v>84</v>
      </c>
      <c r="H3260" s="80" t="s">
        <v>84</v>
      </c>
      <c r="I3260" s="80" t="s">
        <v>84</v>
      </c>
      <c r="J3260" s="80" t="s">
        <v>84</v>
      </c>
      <c r="K3260" s="80" t="s">
        <v>84</v>
      </c>
      <c r="L3260" s="80" t="s">
        <v>84</v>
      </c>
      <c r="M3260" s="80" t="s">
        <v>84</v>
      </c>
      <c r="N3260" s="80" t="s">
        <v>84</v>
      </c>
      <c r="O3260" s="80" t="s">
        <v>84</v>
      </c>
      <c r="Q3260" s="80" t="s">
        <v>84</v>
      </c>
      <c r="R3260" s="80" t="s">
        <v>84</v>
      </c>
    </row>
    <row r="3261" spans="1:18" ht="20" x14ac:dyDescent="0.2">
      <c r="A3261" s="80" t="s">
        <v>1762</v>
      </c>
      <c r="B3261" s="80" t="s">
        <v>1763</v>
      </c>
      <c r="C3261" s="80" t="s">
        <v>84</v>
      </c>
      <c r="D3261" s="80" t="s">
        <v>84</v>
      </c>
      <c r="E3261" s="80" t="s">
        <v>84</v>
      </c>
      <c r="G3261" s="80" t="s">
        <v>84</v>
      </c>
      <c r="H3261" s="80" t="s">
        <v>84</v>
      </c>
      <c r="I3261" s="80" t="s">
        <v>84</v>
      </c>
      <c r="J3261" s="80" t="s">
        <v>84</v>
      </c>
      <c r="K3261" s="80" t="s">
        <v>84</v>
      </c>
      <c r="L3261" s="80" t="s">
        <v>84</v>
      </c>
      <c r="M3261" s="80" t="s">
        <v>84</v>
      </c>
      <c r="N3261" s="80" t="s">
        <v>84</v>
      </c>
      <c r="O3261" s="80" t="s">
        <v>84</v>
      </c>
      <c r="Q3261" s="80" t="s">
        <v>84</v>
      </c>
      <c r="R3261" s="80" t="s">
        <v>84</v>
      </c>
    </row>
    <row r="3262" spans="1:18" ht="20" x14ac:dyDescent="0.2">
      <c r="A3262" s="80" t="s">
        <v>652</v>
      </c>
      <c r="B3262" s="80" t="s">
        <v>653</v>
      </c>
      <c r="C3262" s="80" t="s">
        <v>84</v>
      </c>
      <c r="D3262" s="80" t="s">
        <v>84</v>
      </c>
      <c r="E3262" s="80" t="s">
        <v>84</v>
      </c>
      <c r="G3262" s="80" t="s">
        <v>84</v>
      </c>
      <c r="H3262" s="80" t="s">
        <v>84</v>
      </c>
      <c r="I3262" s="80" t="s">
        <v>84</v>
      </c>
      <c r="J3262" s="80" t="s">
        <v>84</v>
      </c>
      <c r="K3262" s="80" t="s">
        <v>84</v>
      </c>
      <c r="L3262" s="80" t="s">
        <v>84</v>
      </c>
      <c r="M3262" s="80" t="s">
        <v>84</v>
      </c>
      <c r="N3262" s="80" t="s">
        <v>84</v>
      </c>
      <c r="O3262" s="80" t="s">
        <v>84</v>
      </c>
      <c r="Q3262" s="80" t="s">
        <v>84</v>
      </c>
      <c r="R3262" s="80" t="s">
        <v>84</v>
      </c>
    </row>
    <row r="3263" spans="1:18" x14ac:dyDescent="0.2">
      <c r="A3263" s="80" t="s">
        <v>652</v>
      </c>
      <c r="B3263" s="80" t="s">
        <v>10841</v>
      </c>
      <c r="C3263" s="80" t="s">
        <v>84</v>
      </c>
      <c r="D3263" s="80" t="s">
        <v>84</v>
      </c>
      <c r="E3263" s="80" t="s">
        <v>84</v>
      </c>
      <c r="G3263" s="80" t="s">
        <v>84</v>
      </c>
      <c r="H3263" s="80" t="s">
        <v>84</v>
      </c>
      <c r="I3263" s="80" t="s">
        <v>84</v>
      </c>
      <c r="J3263" s="80" t="s">
        <v>84</v>
      </c>
      <c r="K3263" s="80" t="s">
        <v>84</v>
      </c>
      <c r="L3263" s="80" t="s">
        <v>84</v>
      </c>
      <c r="M3263" s="80" t="s">
        <v>84</v>
      </c>
      <c r="N3263" s="80" t="s">
        <v>84</v>
      </c>
      <c r="O3263" s="80" t="s">
        <v>84</v>
      </c>
      <c r="Q3263" s="80" t="s">
        <v>84</v>
      </c>
      <c r="R3263" s="80" t="s">
        <v>84</v>
      </c>
    </row>
    <row r="3264" spans="1:18" x14ac:dyDescent="0.2">
      <c r="A3264" s="80" t="s">
        <v>2116</v>
      </c>
      <c r="B3264" s="80" t="s">
        <v>2117</v>
      </c>
      <c r="C3264" s="80" t="s">
        <v>84</v>
      </c>
      <c r="D3264" s="80" t="s">
        <v>84</v>
      </c>
      <c r="E3264" s="80" t="s">
        <v>84</v>
      </c>
      <c r="G3264" s="80" t="s">
        <v>84</v>
      </c>
      <c r="H3264" s="80" t="s">
        <v>84</v>
      </c>
      <c r="I3264" s="80" t="s">
        <v>84</v>
      </c>
      <c r="J3264" s="80" t="s">
        <v>84</v>
      </c>
      <c r="K3264" s="80" t="s">
        <v>84</v>
      </c>
      <c r="L3264" s="80" t="s">
        <v>84</v>
      </c>
      <c r="M3264" s="80" t="s">
        <v>84</v>
      </c>
      <c r="N3264" s="80" t="s">
        <v>84</v>
      </c>
      <c r="O3264" s="80" t="s">
        <v>84</v>
      </c>
      <c r="Q3264" s="80" t="s">
        <v>84</v>
      </c>
      <c r="R3264" s="80" t="s">
        <v>84</v>
      </c>
    </row>
    <row r="3265" spans="1:18" ht="20" x14ac:dyDescent="0.2">
      <c r="A3265" s="80" t="s">
        <v>671</v>
      </c>
      <c r="B3265" s="80" t="s">
        <v>672</v>
      </c>
      <c r="C3265" s="80" t="s">
        <v>9680</v>
      </c>
      <c r="D3265" s="80" t="s">
        <v>84</v>
      </c>
      <c r="E3265" s="80" t="s">
        <v>84</v>
      </c>
      <c r="G3265" s="80" t="s">
        <v>84</v>
      </c>
      <c r="H3265" s="80" t="s">
        <v>84</v>
      </c>
      <c r="I3265" s="80" t="s">
        <v>84</v>
      </c>
      <c r="J3265" s="80" t="s">
        <v>84</v>
      </c>
      <c r="K3265" s="80" t="s">
        <v>84</v>
      </c>
      <c r="L3265" s="80" t="s">
        <v>84</v>
      </c>
      <c r="M3265" s="80" t="s">
        <v>84</v>
      </c>
      <c r="N3265" s="80" t="s">
        <v>84</v>
      </c>
      <c r="O3265" s="80" t="s">
        <v>84</v>
      </c>
      <c r="Q3265" s="80" t="s">
        <v>84</v>
      </c>
      <c r="R3265" s="80" t="s">
        <v>84</v>
      </c>
    </row>
    <row r="3266" spans="1:18" ht="20" x14ac:dyDescent="0.2">
      <c r="A3266" s="80" t="s">
        <v>650</v>
      </c>
      <c r="B3266" s="80" t="s">
        <v>651</v>
      </c>
      <c r="C3266" s="80" t="s">
        <v>9680</v>
      </c>
      <c r="D3266" s="80" t="s">
        <v>84</v>
      </c>
      <c r="E3266" s="80" t="s">
        <v>84</v>
      </c>
      <c r="G3266" s="80" t="s">
        <v>84</v>
      </c>
      <c r="H3266" s="80" t="s">
        <v>84</v>
      </c>
      <c r="I3266" s="80" t="s">
        <v>84</v>
      </c>
      <c r="J3266" s="80" t="s">
        <v>84</v>
      </c>
      <c r="K3266" s="80" t="s">
        <v>84</v>
      </c>
      <c r="L3266" s="80" t="s">
        <v>84</v>
      </c>
      <c r="M3266" s="80" t="s">
        <v>84</v>
      </c>
      <c r="N3266" s="80" t="s">
        <v>84</v>
      </c>
      <c r="O3266" s="80" t="s">
        <v>84</v>
      </c>
      <c r="Q3266" s="80" t="s">
        <v>84</v>
      </c>
      <c r="R3266" s="80" t="s">
        <v>84</v>
      </c>
    </row>
    <row r="3267" spans="1:18" ht="20" x14ac:dyDescent="0.2">
      <c r="A3267" s="80" t="s">
        <v>650</v>
      </c>
      <c r="B3267" s="80" t="s">
        <v>10842</v>
      </c>
      <c r="C3267" s="80" t="s">
        <v>9680</v>
      </c>
      <c r="D3267" s="80" t="s">
        <v>84</v>
      </c>
      <c r="E3267" s="80" t="s">
        <v>84</v>
      </c>
      <c r="G3267" s="80" t="s">
        <v>84</v>
      </c>
      <c r="H3267" s="80" t="s">
        <v>84</v>
      </c>
      <c r="I3267" s="80" t="s">
        <v>84</v>
      </c>
      <c r="J3267" s="80" t="s">
        <v>84</v>
      </c>
      <c r="K3267" s="80" t="s">
        <v>84</v>
      </c>
      <c r="L3267" s="80" t="s">
        <v>84</v>
      </c>
      <c r="M3267" s="80" t="s">
        <v>84</v>
      </c>
      <c r="N3267" s="80" t="s">
        <v>84</v>
      </c>
      <c r="O3267" s="80" t="s">
        <v>84</v>
      </c>
      <c r="Q3267" s="80" t="s">
        <v>84</v>
      </c>
      <c r="R3267" s="80" t="s">
        <v>84</v>
      </c>
    </row>
    <row r="3268" spans="1:18" ht="20" x14ac:dyDescent="0.2">
      <c r="A3268" s="80" t="s">
        <v>2605</v>
      </c>
      <c r="B3268" s="80" t="s">
        <v>2606</v>
      </c>
      <c r="C3268" s="80" t="s">
        <v>9680</v>
      </c>
      <c r="D3268" s="80" t="s">
        <v>84</v>
      </c>
      <c r="E3268" s="80" t="s">
        <v>84</v>
      </c>
      <c r="G3268" s="80" t="s">
        <v>84</v>
      </c>
      <c r="H3268" s="80" t="s">
        <v>84</v>
      </c>
      <c r="I3268" s="80" t="s">
        <v>84</v>
      </c>
      <c r="J3268" s="80" t="s">
        <v>84</v>
      </c>
      <c r="K3268" s="80" t="s">
        <v>84</v>
      </c>
      <c r="L3268" s="80" t="s">
        <v>84</v>
      </c>
      <c r="M3268" s="80" t="s">
        <v>84</v>
      </c>
      <c r="N3268" s="80" t="s">
        <v>84</v>
      </c>
      <c r="O3268" s="80" t="s">
        <v>84</v>
      </c>
      <c r="Q3268" s="80" t="s">
        <v>84</v>
      </c>
      <c r="R3268" s="80" t="s">
        <v>84</v>
      </c>
    </row>
    <row r="3269" spans="1:18" ht="20" x14ac:dyDescent="0.2">
      <c r="A3269" s="80" t="s">
        <v>2118</v>
      </c>
      <c r="B3269" s="80" t="s">
        <v>2119</v>
      </c>
      <c r="C3269" s="80" t="s">
        <v>9680</v>
      </c>
      <c r="D3269" s="80" t="s">
        <v>84</v>
      </c>
      <c r="E3269" s="80" t="s">
        <v>84</v>
      </c>
      <c r="G3269" s="80" t="s">
        <v>84</v>
      </c>
      <c r="H3269" s="80" t="s">
        <v>84</v>
      </c>
      <c r="I3269" s="80" t="s">
        <v>84</v>
      </c>
      <c r="J3269" s="80" t="s">
        <v>84</v>
      </c>
      <c r="K3269" s="80" t="s">
        <v>84</v>
      </c>
      <c r="L3269" s="80" t="s">
        <v>84</v>
      </c>
      <c r="M3269" s="80" t="s">
        <v>84</v>
      </c>
      <c r="N3269" s="80" t="s">
        <v>84</v>
      </c>
      <c r="O3269" s="80" t="s">
        <v>84</v>
      </c>
      <c r="Q3269" s="80" t="s">
        <v>84</v>
      </c>
      <c r="R3269" s="80" t="s">
        <v>84</v>
      </c>
    </row>
    <row r="3270" spans="1:18" ht="20" x14ac:dyDescent="0.2">
      <c r="A3270" s="80" t="s">
        <v>1325</v>
      </c>
      <c r="B3270" s="80" t="s">
        <v>1326</v>
      </c>
      <c r="C3270" s="80" t="s">
        <v>9680</v>
      </c>
      <c r="D3270" s="80" t="s">
        <v>84</v>
      </c>
      <c r="E3270" s="80" t="s">
        <v>84</v>
      </c>
      <c r="G3270" s="80" t="s">
        <v>84</v>
      </c>
      <c r="H3270" s="80" t="s">
        <v>84</v>
      </c>
      <c r="I3270" s="80" t="s">
        <v>84</v>
      </c>
      <c r="J3270" s="80" t="s">
        <v>84</v>
      </c>
      <c r="K3270" s="80" t="s">
        <v>84</v>
      </c>
      <c r="L3270" s="80" t="s">
        <v>84</v>
      </c>
      <c r="M3270" s="80" t="s">
        <v>84</v>
      </c>
      <c r="N3270" s="80" t="s">
        <v>84</v>
      </c>
      <c r="O3270" s="80" t="s">
        <v>84</v>
      </c>
      <c r="Q3270" s="80" t="s">
        <v>84</v>
      </c>
      <c r="R3270" s="80" t="s">
        <v>84</v>
      </c>
    </row>
    <row r="3271" spans="1:18" ht="20" x14ac:dyDescent="0.2">
      <c r="A3271" s="80" t="s">
        <v>2534</v>
      </c>
      <c r="B3271" s="80" t="s">
        <v>2535</v>
      </c>
      <c r="C3271" s="80" t="s">
        <v>9680</v>
      </c>
      <c r="D3271" s="80" t="s">
        <v>84</v>
      </c>
      <c r="E3271" s="80" t="s">
        <v>84</v>
      </c>
      <c r="G3271" s="80" t="s">
        <v>84</v>
      </c>
      <c r="H3271" s="80" t="s">
        <v>84</v>
      </c>
      <c r="I3271" s="80" t="s">
        <v>84</v>
      </c>
      <c r="J3271" s="80" t="s">
        <v>84</v>
      </c>
      <c r="K3271" s="80" t="s">
        <v>84</v>
      </c>
      <c r="L3271" s="80" t="s">
        <v>84</v>
      </c>
      <c r="M3271" s="80" t="s">
        <v>84</v>
      </c>
      <c r="N3271" s="80" t="s">
        <v>84</v>
      </c>
      <c r="O3271" s="80" t="s">
        <v>84</v>
      </c>
      <c r="Q3271" s="80" t="s">
        <v>84</v>
      </c>
      <c r="R3271" s="80" t="s">
        <v>84</v>
      </c>
    </row>
    <row r="3272" spans="1:18" ht="20" x14ac:dyDescent="0.2">
      <c r="A3272" s="80" t="s">
        <v>1469</v>
      </c>
      <c r="B3272" s="80" t="s">
        <v>1470</v>
      </c>
      <c r="C3272" s="80" t="s">
        <v>9680</v>
      </c>
      <c r="D3272" s="80" t="s">
        <v>84</v>
      </c>
      <c r="E3272" s="80" t="s">
        <v>84</v>
      </c>
      <c r="G3272" s="80" t="s">
        <v>84</v>
      </c>
      <c r="H3272" s="80" t="s">
        <v>84</v>
      </c>
      <c r="I3272" s="80" t="s">
        <v>84</v>
      </c>
      <c r="J3272" s="80" t="s">
        <v>84</v>
      </c>
      <c r="K3272" s="80" t="s">
        <v>84</v>
      </c>
      <c r="L3272" s="80" t="s">
        <v>84</v>
      </c>
      <c r="M3272" s="80" t="s">
        <v>84</v>
      </c>
      <c r="N3272" s="80" t="s">
        <v>84</v>
      </c>
      <c r="O3272" s="80" t="s">
        <v>84</v>
      </c>
      <c r="Q3272" s="80" t="s">
        <v>84</v>
      </c>
      <c r="R3272" s="80" t="s">
        <v>84</v>
      </c>
    </row>
    <row r="3273" spans="1:18" ht="20" x14ac:dyDescent="0.2">
      <c r="A3273" s="80" t="s">
        <v>669</v>
      </c>
      <c r="B3273" s="80" t="s">
        <v>670</v>
      </c>
      <c r="C3273" s="80" t="s">
        <v>9680</v>
      </c>
      <c r="D3273" s="80" t="s">
        <v>84</v>
      </c>
      <c r="E3273" s="80" t="s">
        <v>84</v>
      </c>
      <c r="G3273" s="80" t="s">
        <v>84</v>
      </c>
      <c r="H3273" s="80" t="s">
        <v>84</v>
      </c>
      <c r="I3273" s="80" t="s">
        <v>84</v>
      </c>
      <c r="J3273" s="80" t="s">
        <v>84</v>
      </c>
      <c r="K3273" s="80" t="s">
        <v>84</v>
      </c>
      <c r="L3273" s="80" t="s">
        <v>84</v>
      </c>
      <c r="M3273" s="80" t="s">
        <v>84</v>
      </c>
      <c r="N3273" s="80" t="s">
        <v>84</v>
      </c>
      <c r="O3273" s="80" t="s">
        <v>84</v>
      </c>
      <c r="Q3273" s="80" t="s">
        <v>84</v>
      </c>
      <c r="R3273" s="80" t="s">
        <v>84</v>
      </c>
    </row>
    <row r="3274" spans="1:18" ht="20" x14ac:dyDescent="0.2">
      <c r="A3274" s="80" t="s">
        <v>1471</v>
      </c>
      <c r="B3274" s="80" t="s">
        <v>1472</v>
      </c>
      <c r="C3274" s="80" t="s">
        <v>9680</v>
      </c>
      <c r="D3274" s="80" t="s">
        <v>84</v>
      </c>
      <c r="E3274" s="80" t="s">
        <v>84</v>
      </c>
      <c r="G3274" s="80" t="s">
        <v>84</v>
      </c>
      <c r="H3274" s="80" t="s">
        <v>84</v>
      </c>
      <c r="I3274" s="80" t="s">
        <v>84</v>
      </c>
      <c r="J3274" s="80" t="s">
        <v>84</v>
      </c>
      <c r="K3274" s="80" t="s">
        <v>84</v>
      </c>
      <c r="L3274" s="80" t="s">
        <v>84</v>
      </c>
      <c r="M3274" s="80" t="s">
        <v>84</v>
      </c>
      <c r="N3274" s="80" t="s">
        <v>84</v>
      </c>
      <c r="O3274" s="80" t="s">
        <v>84</v>
      </c>
      <c r="Q3274" s="80" t="s">
        <v>84</v>
      </c>
      <c r="R3274" s="80" t="s">
        <v>84</v>
      </c>
    </row>
    <row r="3275" spans="1:18" ht="20" x14ac:dyDescent="0.2">
      <c r="A3275" s="80" t="s">
        <v>1773</v>
      </c>
      <c r="B3275" s="80" t="s">
        <v>1774</v>
      </c>
      <c r="C3275" s="80" t="s">
        <v>84</v>
      </c>
      <c r="D3275" s="80" t="s">
        <v>84</v>
      </c>
      <c r="E3275" s="80" t="s">
        <v>84</v>
      </c>
      <c r="G3275" s="80" t="s">
        <v>84</v>
      </c>
      <c r="H3275" s="80" t="s">
        <v>84</v>
      </c>
      <c r="I3275" s="80" t="s">
        <v>84</v>
      </c>
      <c r="J3275" s="80" t="s">
        <v>84</v>
      </c>
      <c r="K3275" s="80" t="s">
        <v>84</v>
      </c>
      <c r="L3275" s="80" t="s">
        <v>84</v>
      </c>
      <c r="M3275" s="80" t="s">
        <v>84</v>
      </c>
      <c r="N3275" s="80" t="s">
        <v>84</v>
      </c>
      <c r="O3275" s="80" t="s">
        <v>84</v>
      </c>
      <c r="Q3275" s="80" t="s">
        <v>84</v>
      </c>
      <c r="R3275" s="80" t="s">
        <v>84</v>
      </c>
    </row>
    <row r="3276" spans="1:18" ht="20" x14ac:dyDescent="0.2">
      <c r="A3276" s="80" t="s">
        <v>4046</v>
      </c>
      <c r="B3276" s="80" t="s">
        <v>4047</v>
      </c>
      <c r="C3276" s="80" t="s">
        <v>9680</v>
      </c>
      <c r="D3276" s="80" t="s">
        <v>84</v>
      </c>
      <c r="E3276" s="80" t="s">
        <v>84</v>
      </c>
      <c r="G3276" s="80" t="s">
        <v>84</v>
      </c>
      <c r="H3276" s="80" t="s">
        <v>84</v>
      </c>
      <c r="I3276" s="80" t="s">
        <v>84</v>
      </c>
      <c r="J3276" s="80" t="s">
        <v>84</v>
      </c>
      <c r="K3276" s="80" t="s">
        <v>84</v>
      </c>
      <c r="L3276" s="80" t="s">
        <v>84</v>
      </c>
      <c r="M3276" s="80" t="s">
        <v>84</v>
      </c>
      <c r="N3276" s="80" t="s">
        <v>84</v>
      </c>
      <c r="O3276" s="80" t="s">
        <v>84</v>
      </c>
      <c r="Q3276" s="80" t="s">
        <v>84</v>
      </c>
      <c r="R3276" s="80" t="s">
        <v>84</v>
      </c>
    </row>
    <row r="3277" spans="1:18" ht="20" x14ac:dyDescent="0.2">
      <c r="A3277" s="80" t="s">
        <v>1473</v>
      </c>
      <c r="B3277" s="80" t="s">
        <v>1474</v>
      </c>
      <c r="C3277" s="80" t="s">
        <v>9680</v>
      </c>
      <c r="D3277" s="80" t="s">
        <v>84</v>
      </c>
      <c r="E3277" s="80" t="s">
        <v>84</v>
      </c>
      <c r="G3277" s="80" t="s">
        <v>84</v>
      </c>
      <c r="H3277" s="80" t="s">
        <v>84</v>
      </c>
      <c r="I3277" s="80" t="s">
        <v>84</v>
      </c>
      <c r="J3277" s="80" t="s">
        <v>84</v>
      </c>
      <c r="K3277" s="80" t="s">
        <v>84</v>
      </c>
      <c r="L3277" s="80" t="s">
        <v>84</v>
      </c>
      <c r="M3277" s="80" t="s">
        <v>84</v>
      </c>
      <c r="N3277" s="80" t="s">
        <v>84</v>
      </c>
      <c r="O3277" s="80" t="s">
        <v>84</v>
      </c>
      <c r="Q3277" s="80" t="s">
        <v>84</v>
      </c>
      <c r="R3277" s="80" t="s">
        <v>84</v>
      </c>
    </row>
    <row r="3278" spans="1:18" ht="20" x14ac:dyDescent="0.2">
      <c r="A3278" s="80" t="s">
        <v>2431</v>
      </c>
      <c r="B3278" s="80" t="s">
        <v>2432</v>
      </c>
      <c r="C3278" s="80" t="s">
        <v>9680</v>
      </c>
      <c r="D3278" s="80" t="s">
        <v>84</v>
      </c>
      <c r="E3278" s="80" t="s">
        <v>84</v>
      </c>
      <c r="G3278" s="80" t="s">
        <v>84</v>
      </c>
      <c r="H3278" s="80" t="s">
        <v>84</v>
      </c>
      <c r="I3278" s="80" t="s">
        <v>84</v>
      </c>
      <c r="J3278" s="80" t="s">
        <v>84</v>
      </c>
      <c r="K3278" s="80" t="s">
        <v>84</v>
      </c>
      <c r="L3278" s="80" t="s">
        <v>84</v>
      </c>
      <c r="M3278" s="80" t="s">
        <v>84</v>
      </c>
      <c r="N3278" s="80" t="s">
        <v>84</v>
      </c>
      <c r="O3278" s="80" t="s">
        <v>84</v>
      </c>
      <c r="Q3278" s="80" t="s">
        <v>84</v>
      </c>
      <c r="R3278" s="80" t="s">
        <v>84</v>
      </c>
    </row>
    <row r="3279" spans="1:18" ht="20" x14ac:dyDescent="0.2">
      <c r="A3279" s="80" t="s">
        <v>3301</v>
      </c>
      <c r="B3279" s="80" t="s">
        <v>3302</v>
      </c>
      <c r="C3279" s="80" t="s">
        <v>9680</v>
      </c>
      <c r="D3279" s="80" t="s">
        <v>84</v>
      </c>
      <c r="E3279" s="80" t="s">
        <v>84</v>
      </c>
      <c r="G3279" s="80" t="s">
        <v>84</v>
      </c>
      <c r="H3279" s="80" t="s">
        <v>84</v>
      </c>
      <c r="I3279" s="80" t="s">
        <v>84</v>
      </c>
      <c r="J3279" s="80" t="s">
        <v>84</v>
      </c>
      <c r="K3279" s="80" t="s">
        <v>84</v>
      </c>
      <c r="L3279" s="80" t="s">
        <v>84</v>
      </c>
      <c r="M3279" s="80" t="s">
        <v>84</v>
      </c>
      <c r="N3279" s="80" t="s">
        <v>84</v>
      </c>
      <c r="O3279" s="80" t="s">
        <v>84</v>
      </c>
      <c r="Q3279" s="80" t="s">
        <v>84</v>
      </c>
      <c r="R3279" s="80" t="s">
        <v>84</v>
      </c>
    </row>
    <row r="3280" spans="1:18" ht="20" x14ac:dyDescent="0.2">
      <c r="A3280" s="80" t="s">
        <v>3303</v>
      </c>
      <c r="B3280" s="80" t="s">
        <v>3304</v>
      </c>
      <c r="C3280" s="80" t="s">
        <v>9680</v>
      </c>
      <c r="D3280" s="80" t="s">
        <v>84</v>
      </c>
      <c r="E3280" s="80" t="s">
        <v>84</v>
      </c>
      <c r="G3280" s="80" t="s">
        <v>84</v>
      </c>
      <c r="H3280" s="80" t="s">
        <v>84</v>
      </c>
      <c r="I3280" s="80" t="s">
        <v>84</v>
      </c>
      <c r="J3280" s="80" t="s">
        <v>84</v>
      </c>
      <c r="K3280" s="80" t="s">
        <v>84</v>
      </c>
      <c r="L3280" s="80" t="s">
        <v>84</v>
      </c>
      <c r="M3280" s="80" t="s">
        <v>84</v>
      </c>
      <c r="N3280" s="80" t="s">
        <v>84</v>
      </c>
      <c r="O3280" s="80" t="s">
        <v>84</v>
      </c>
      <c r="Q3280" s="80" t="s">
        <v>84</v>
      </c>
      <c r="R3280" s="80" t="s">
        <v>84</v>
      </c>
    </row>
    <row r="3281" spans="1:18" ht="20" x14ac:dyDescent="0.2">
      <c r="A3281" s="80" t="s">
        <v>4062</v>
      </c>
      <c r="B3281" s="80" t="s">
        <v>4063</v>
      </c>
      <c r="C3281" s="80" t="s">
        <v>84</v>
      </c>
      <c r="D3281" s="80" t="s">
        <v>84</v>
      </c>
      <c r="E3281" s="80" t="s">
        <v>84</v>
      </c>
      <c r="G3281" s="80" t="s">
        <v>84</v>
      </c>
      <c r="H3281" s="80" t="s">
        <v>84</v>
      </c>
      <c r="I3281" s="80" t="s">
        <v>84</v>
      </c>
      <c r="J3281" s="80" t="s">
        <v>84</v>
      </c>
      <c r="K3281" s="80" t="s">
        <v>84</v>
      </c>
      <c r="L3281" s="80" t="s">
        <v>84</v>
      </c>
      <c r="M3281" s="80" t="s">
        <v>84</v>
      </c>
      <c r="N3281" s="80" t="s">
        <v>84</v>
      </c>
      <c r="O3281" s="80" t="s">
        <v>84</v>
      </c>
      <c r="Q3281" s="80" t="s">
        <v>84</v>
      </c>
      <c r="R3281" s="80" t="s">
        <v>84</v>
      </c>
    </row>
    <row r="3282" spans="1:18" ht="20" x14ac:dyDescent="0.2">
      <c r="A3282" s="80" t="s">
        <v>4064</v>
      </c>
      <c r="B3282" s="80" t="s">
        <v>4065</v>
      </c>
      <c r="C3282" s="80" t="s">
        <v>84</v>
      </c>
      <c r="D3282" s="80" t="s">
        <v>84</v>
      </c>
      <c r="E3282" s="80" t="s">
        <v>84</v>
      </c>
      <c r="G3282" s="80" t="s">
        <v>84</v>
      </c>
      <c r="H3282" s="80" t="s">
        <v>84</v>
      </c>
      <c r="I3282" s="80" t="s">
        <v>84</v>
      </c>
      <c r="J3282" s="80" t="s">
        <v>84</v>
      </c>
      <c r="K3282" s="80" t="s">
        <v>84</v>
      </c>
      <c r="L3282" s="80" t="s">
        <v>84</v>
      </c>
      <c r="M3282" s="80" t="s">
        <v>84</v>
      </c>
      <c r="N3282" s="80" t="s">
        <v>84</v>
      </c>
      <c r="O3282" s="80" t="s">
        <v>84</v>
      </c>
      <c r="Q3282" s="80" t="s">
        <v>84</v>
      </c>
      <c r="R3282" s="80" t="s">
        <v>84</v>
      </c>
    </row>
    <row r="3283" spans="1:18" ht="20" x14ac:dyDescent="0.2">
      <c r="A3283" s="80" t="s">
        <v>4064</v>
      </c>
      <c r="B3283" s="80" t="s">
        <v>4134</v>
      </c>
      <c r="C3283" s="80" t="s">
        <v>84</v>
      </c>
      <c r="D3283" s="80" t="s">
        <v>84</v>
      </c>
      <c r="E3283" s="80" t="s">
        <v>84</v>
      </c>
      <c r="G3283" s="80" t="s">
        <v>84</v>
      </c>
      <c r="H3283" s="80" t="s">
        <v>84</v>
      </c>
      <c r="I3283" s="80" t="s">
        <v>84</v>
      </c>
      <c r="J3283" s="80" t="s">
        <v>84</v>
      </c>
      <c r="K3283" s="80" t="s">
        <v>84</v>
      </c>
      <c r="L3283" s="80" t="s">
        <v>84</v>
      </c>
      <c r="M3283" s="80" t="s">
        <v>84</v>
      </c>
      <c r="N3283" s="80" t="s">
        <v>84</v>
      </c>
      <c r="O3283" s="80" t="s">
        <v>84</v>
      </c>
      <c r="Q3283" s="80" t="s">
        <v>84</v>
      </c>
      <c r="R3283" s="80" t="s">
        <v>84</v>
      </c>
    </row>
    <row r="3284" spans="1:18" ht="20" x14ac:dyDescent="0.2">
      <c r="A3284" s="80" t="s">
        <v>4066</v>
      </c>
      <c r="B3284" s="80" t="s">
        <v>4067</v>
      </c>
      <c r="C3284" s="80" t="s">
        <v>84</v>
      </c>
      <c r="D3284" s="80" t="s">
        <v>84</v>
      </c>
      <c r="E3284" s="80" t="s">
        <v>84</v>
      </c>
      <c r="G3284" s="80" t="s">
        <v>84</v>
      </c>
      <c r="H3284" s="80" t="s">
        <v>84</v>
      </c>
      <c r="I3284" s="80" t="s">
        <v>84</v>
      </c>
      <c r="J3284" s="80" t="s">
        <v>84</v>
      </c>
      <c r="K3284" s="80" t="s">
        <v>84</v>
      </c>
      <c r="L3284" s="80" t="s">
        <v>84</v>
      </c>
      <c r="M3284" s="80" t="s">
        <v>84</v>
      </c>
      <c r="N3284" s="80" t="s">
        <v>84</v>
      </c>
      <c r="O3284" s="80" t="s">
        <v>84</v>
      </c>
      <c r="Q3284" s="80" t="s">
        <v>84</v>
      </c>
      <c r="R3284" s="80" t="s">
        <v>84</v>
      </c>
    </row>
    <row r="3285" spans="1:18" ht="20" x14ac:dyDescent="0.2">
      <c r="A3285" s="80" t="s">
        <v>4068</v>
      </c>
      <c r="B3285" s="80" t="s">
        <v>4069</v>
      </c>
      <c r="C3285" s="80" t="s">
        <v>84</v>
      </c>
      <c r="D3285" s="80" t="s">
        <v>84</v>
      </c>
      <c r="E3285" s="80" t="s">
        <v>84</v>
      </c>
      <c r="G3285" s="80" t="s">
        <v>84</v>
      </c>
      <c r="H3285" s="80" t="s">
        <v>84</v>
      </c>
      <c r="I3285" s="80" t="s">
        <v>84</v>
      </c>
      <c r="J3285" s="80" t="s">
        <v>84</v>
      </c>
      <c r="K3285" s="80" t="s">
        <v>84</v>
      </c>
      <c r="L3285" s="80" t="s">
        <v>84</v>
      </c>
      <c r="M3285" s="80" t="s">
        <v>84</v>
      </c>
      <c r="N3285" s="80" t="s">
        <v>84</v>
      </c>
      <c r="O3285" s="80" t="s">
        <v>84</v>
      </c>
      <c r="Q3285" s="80" t="s">
        <v>84</v>
      </c>
      <c r="R3285" s="80" t="s">
        <v>84</v>
      </c>
    </row>
    <row r="3286" spans="1:18" ht="20" x14ac:dyDescent="0.2">
      <c r="A3286" s="80" t="s">
        <v>4054</v>
      </c>
      <c r="B3286" s="80" t="s">
        <v>4055</v>
      </c>
      <c r="C3286" s="80" t="s">
        <v>84</v>
      </c>
      <c r="D3286" s="80" t="s">
        <v>84</v>
      </c>
      <c r="E3286" s="80" t="s">
        <v>84</v>
      </c>
      <c r="G3286" s="80" t="s">
        <v>84</v>
      </c>
      <c r="H3286" s="80" t="s">
        <v>84</v>
      </c>
      <c r="I3286" s="80" t="s">
        <v>84</v>
      </c>
      <c r="J3286" s="80" t="s">
        <v>84</v>
      </c>
      <c r="K3286" s="80" t="s">
        <v>84</v>
      </c>
      <c r="L3286" s="80" t="s">
        <v>84</v>
      </c>
      <c r="M3286" s="80" t="s">
        <v>84</v>
      </c>
      <c r="N3286" s="80" t="s">
        <v>84</v>
      </c>
      <c r="O3286" s="80" t="s">
        <v>84</v>
      </c>
      <c r="Q3286" s="80" t="s">
        <v>84</v>
      </c>
      <c r="R3286" s="80" t="s">
        <v>84</v>
      </c>
    </row>
    <row r="3287" spans="1:18" ht="20" x14ac:dyDescent="0.2">
      <c r="A3287" s="80" t="s">
        <v>2291</v>
      </c>
      <c r="B3287" s="80" t="s">
        <v>2292</v>
      </c>
      <c r="C3287" s="80" t="s">
        <v>9680</v>
      </c>
      <c r="D3287" s="80" t="s">
        <v>9680</v>
      </c>
      <c r="E3287" s="80" t="s">
        <v>9680</v>
      </c>
      <c r="G3287" s="80" t="s">
        <v>9680</v>
      </c>
      <c r="H3287" s="80" t="s">
        <v>9680</v>
      </c>
      <c r="I3287" s="80" t="s">
        <v>9680</v>
      </c>
      <c r="J3287" s="80" t="s">
        <v>84</v>
      </c>
      <c r="K3287" s="80" t="s">
        <v>9680</v>
      </c>
      <c r="L3287" s="80" t="s">
        <v>9680</v>
      </c>
      <c r="M3287" s="80" t="s">
        <v>84</v>
      </c>
      <c r="N3287" s="80" t="s">
        <v>9680</v>
      </c>
      <c r="O3287" s="80" t="s">
        <v>84</v>
      </c>
      <c r="Q3287" s="80" t="s">
        <v>84</v>
      </c>
      <c r="R3287" s="80" t="s">
        <v>84</v>
      </c>
    </row>
    <row r="3288" spans="1:18" ht="20" x14ac:dyDescent="0.2">
      <c r="A3288" s="80" t="s">
        <v>1778</v>
      </c>
      <c r="B3288" s="80" t="s">
        <v>1779</v>
      </c>
      <c r="C3288" s="80" t="s">
        <v>9680</v>
      </c>
      <c r="D3288" s="80" t="s">
        <v>9680</v>
      </c>
      <c r="E3288" s="80" t="s">
        <v>9680</v>
      </c>
      <c r="G3288" s="80" t="s">
        <v>9680</v>
      </c>
      <c r="H3288" s="80" t="s">
        <v>9680</v>
      </c>
      <c r="I3288" s="80" t="s">
        <v>9680</v>
      </c>
      <c r="J3288" s="80" t="s">
        <v>84</v>
      </c>
      <c r="K3288" s="80" t="s">
        <v>9680</v>
      </c>
      <c r="L3288" s="80" t="s">
        <v>9680</v>
      </c>
      <c r="M3288" s="80" t="s">
        <v>84</v>
      </c>
      <c r="N3288" s="80" t="s">
        <v>9680</v>
      </c>
      <c r="O3288" s="80" t="s">
        <v>84</v>
      </c>
      <c r="Q3288" s="80" t="s">
        <v>84</v>
      </c>
      <c r="R3288" s="80" t="s">
        <v>84</v>
      </c>
    </row>
    <row r="3289" spans="1:18" ht="20" x14ac:dyDescent="0.2">
      <c r="A3289" s="80" t="s">
        <v>1299</v>
      </c>
      <c r="B3289" s="80" t="s">
        <v>1300</v>
      </c>
      <c r="C3289" s="80" t="s">
        <v>9680</v>
      </c>
      <c r="D3289" s="80" t="s">
        <v>9680</v>
      </c>
      <c r="E3289" s="80" t="s">
        <v>9680</v>
      </c>
      <c r="G3289" s="80" t="s">
        <v>9680</v>
      </c>
      <c r="H3289" s="80" t="s">
        <v>9680</v>
      </c>
      <c r="I3289" s="80" t="s">
        <v>9680</v>
      </c>
      <c r="J3289" s="80" t="s">
        <v>84</v>
      </c>
      <c r="K3289" s="80" t="s">
        <v>9680</v>
      </c>
      <c r="L3289" s="80" t="s">
        <v>9680</v>
      </c>
      <c r="M3289" s="80" t="s">
        <v>84</v>
      </c>
      <c r="N3289" s="80" t="s">
        <v>9680</v>
      </c>
      <c r="O3289" s="80" t="s">
        <v>84</v>
      </c>
      <c r="Q3289" s="80" t="s">
        <v>84</v>
      </c>
      <c r="R3289" s="80" t="s">
        <v>84</v>
      </c>
    </row>
    <row r="3290" spans="1:18" ht="20" x14ac:dyDescent="0.2">
      <c r="A3290" s="80" t="s">
        <v>2550</v>
      </c>
      <c r="B3290" s="80" t="s">
        <v>2551</v>
      </c>
      <c r="C3290" s="80" t="s">
        <v>9680</v>
      </c>
      <c r="D3290" s="80" t="s">
        <v>9680</v>
      </c>
      <c r="E3290" s="80" t="s">
        <v>9680</v>
      </c>
      <c r="G3290" s="80" t="s">
        <v>9680</v>
      </c>
      <c r="H3290" s="80" t="s">
        <v>9680</v>
      </c>
      <c r="I3290" s="80" t="s">
        <v>9680</v>
      </c>
      <c r="J3290" s="80" t="s">
        <v>84</v>
      </c>
      <c r="K3290" s="80" t="s">
        <v>9680</v>
      </c>
      <c r="L3290" s="80" t="s">
        <v>9680</v>
      </c>
      <c r="M3290" s="80" t="s">
        <v>84</v>
      </c>
      <c r="N3290" s="80" t="s">
        <v>9680</v>
      </c>
      <c r="O3290" s="80" t="s">
        <v>84</v>
      </c>
      <c r="Q3290" s="80" t="s">
        <v>84</v>
      </c>
      <c r="R3290" s="80" t="s">
        <v>84</v>
      </c>
    </row>
    <row r="3291" spans="1:18" ht="20" x14ac:dyDescent="0.2">
      <c r="A3291" s="80" t="s">
        <v>2081</v>
      </c>
      <c r="B3291" s="80" t="s">
        <v>2082</v>
      </c>
      <c r="C3291" s="80" t="s">
        <v>84</v>
      </c>
      <c r="D3291" s="80" t="s">
        <v>84</v>
      </c>
      <c r="E3291" s="80" t="s">
        <v>84</v>
      </c>
      <c r="G3291" s="80" t="s">
        <v>84</v>
      </c>
      <c r="H3291" s="80" t="s">
        <v>84</v>
      </c>
      <c r="I3291" s="80" t="s">
        <v>84</v>
      </c>
      <c r="J3291" s="80" t="s">
        <v>84</v>
      </c>
      <c r="K3291" s="80" t="s">
        <v>84</v>
      </c>
      <c r="L3291" s="80" t="s">
        <v>84</v>
      </c>
      <c r="M3291" s="80" t="s">
        <v>84</v>
      </c>
      <c r="N3291" s="80" t="s">
        <v>84</v>
      </c>
      <c r="O3291" s="80" t="s">
        <v>84</v>
      </c>
      <c r="Q3291" s="80" t="s">
        <v>84</v>
      </c>
      <c r="R3291" s="80" t="s">
        <v>84</v>
      </c>
    </row>
    <row r="3292" spans="1:18" ht="20" x14ac:dyDescent="0.2">
      <c r="A3292" s="80" t="s">
        <v>2509</v>
      </c>
      <c r="B3292" s="80" t="s">
        <v>2510</v>
      </c>
      <c r="C3292" s="80" t="s">
        <v>9680</v>
      </c>
      <c r="D3292" s="80" t="s">
        <v>9680</v>
      </c>
      <c r="E3292" s="80" t="s">
        <v>9680</v>
      </c>
      <c r="G3292" s="80" t="s">
        <v>9680</v>
      </c>
      <c r="H3292" s="80" t="s">
        <v>9680</v>
      </c>
      <c r="I3292" s="80" t="s">
        <v>9680</v>
      </c>
      <c r="J3292" s="80" t="s">
        <v>84</v>
      </c>
      <c r="K3292" s="80" t="s">
        <v>9680</v>
      </c>
      <c r="L3292" s="80" t="s">
        <v>9680</v>
      </c>
      <c r="M3292" s="80" t="s">
        <v>84</v>
      </c>
      <c r="N3292" s="80" t="s">
        <v>9680</v>
      </c>
      <c r="O3292" s="80" t="s">
        <v>84</v>
      </c>
      <c r="Q3292" s="80" t="s">
        <v>84</v>
      </c>
      <c r="R3292" s="80" t="s">
        <v>84</v>
      </c>
    </row>
    <row r="3293" spans="1:18" ht="20" x14ac:dyDescent="0.2">
      <c r="A3293" s="80" t="s">
        <v>1376</v>
      </c>
      <c r="B3293" s="80" t="s">
        <v>1377</v>
      </c>
      <c r="C3293" s="80" t="s">
        <v>9680</v>
      </c>
      <c r="D3293" s="80" t="s">
        <v>9680</v>
      </c>
      <c r="E3293" s="80" t="s">
        <v>9680</v>
      </c>
      <c r="G3293" s="80" t="s">
        <v>9680</v>
      </c>
      <c r="H3293" s="80" t="s">
        <v>9680</v>
      </c>
      <c r="I3293" s="80" t="s">
        <v>9680</v>
      </c>
      <c r="J3293" s="80" t="s">
        <v>84</v>
      </c>
      <c r="K3293" s="80" t="s">
        <v>9680</v>
      </c>
      <c r="L3293" s="80" t="s">
        <v>9680</v>
      </c>
      <c r="M3293" s="80" t="s">
        <v>84</v>
      </c>
      <c r="N3293" s="80" t="s">
        <v>9680</v>
      </c>
      <c r="O3293" s="80" t="s">
        <v>84</v>
      </c>
      <c r="Q3293" s="80" t="s">
        <v>84</v>
      </c>
      <c r="R3293" s="80" t="s">
        <v>84</v>
      </c>
    </row>
    <row r="3294" spans="1:18" ht="20" x14ac:dyDescent="0.2">
      <c r="A3294" s="80" t="s">
        <v>985</v>
      </c>
      <c r="B3294" s="80" t="s">
        <v>986</v>
      </c>
      <c r="C3294" s="80" t="s">
        <v>9680</v>
      </c>
      <c r="D3294" s="80" t="s">
        <v>9680</v>
      </c>
      <c r="E3294" s="80" t="s">
        <v>9680</v>
      </c>
      <c r="G3294" s="80" t="s">
        <v>9680</v>
      </c>
      <c r="H3294" s="80" t="s">
        <v>9680</v>
      </c>
      <c r="I3294" s="80" t="s">
        <v>9680</v>
      </c>
      <c r="J3294" s="80" t="s">
        <v>84</v>
      </c>
      <c r="K3294" s="80" t="s">
        <v>9680</v>
      </c>
      <c r="L3294" s="80" t="s">
        <v>9680</v>
      </c>
      <c r="M3294" s="80" t="s">
        <v>84</v>
      </c>
      <c r="N3294" s="80" t="s">
        <v>9680</v>
      </c>
      <c r="O3294" s="80" t="s">
        <v>84</v>
      </c>
      <c r="Q3294" s="80" t="s">
        <v>84</v>
      </c>
      <c r="R3294" s="80" t="s">
        <v>84</v>
      </c>
    </row>
    <row r="3295" spans="1:18" ht="20" x14ac:dyDescent="0.2">
      <c r="A3295" s="80" t="s">
        <v>2433</v>
      </c>
      <c r="B3295" s="80" t="s">
        <v>2434</v>
      </c>
      <c r="C3295" s="80" t="s">
        <v>9680</v>
      </c>
      <c r="D3295" s="80" t="s">
        <v>84</v>
      </c>
      <c r="E3295" s="80" t="s">
        <v>84</v>
      </c>
      <c r="G3295" s="80" t="s">
        <v>84</v>
      </c>
      <c r="H3295" s="80" t="s">
        <v>84</v>
      </c>
      <c r="I3295" s="80" t="s">
        <v>84</v>
      </c>
      <c r="J3295" s="80" t="s">
        <v>84</v>
      </c>
      <c r="K3295" s="80" t="s">
        <v>84</v>
      </c>
      <c r="L3295" s="80" t="s">
        <v>84</v>
      </c>
      <c r="M3295" s="80" t="s">
        <v>84</v>
      </c>
      <c r="N3295" s="80" t="s">
        <v>84</v>
      </c>
      <c r="O3295" s="80" t="s">
        <v>84</v>
      </c>
      <c r="Q3295" s="80" t="s">
        <v>84</v>
      </c>
      <c r="R3295" s="80" t="s">
        <v>84</v>
      </c>
    </row>
    <row r="3296" spans="1:18" ht="20" x14ac:dyDescent="0.2">
      <c r="A3296" s="80" t="s">
        <v>2433</v>
      </c>
      <c r="B3296" s="80" t="s">
        <v>2446</v>
      </c>
      <c r="C3296" s="80" t="s">
        <v>9680</v>
      </c>
      <c r="D3296" s="80" t="s">
        <v>84</v>
      </c>
      <c r="E3296" s="80" t="s">
        <v>84</v>
      </c>
      <c r="G3296" s="80" t="s">
        <v>84</v>
      </c>
      <c r="H3296" s="80" t="s">
        <v>84</v>
      </c>
      <c r="I3296" s="80" t="s">
        <v>84</v>
      </c>
      <c r="J3296" s="80" t="s">
        <v>84</v>
      </c>
      <c r="K3296" s="80" t="s">
        <v>84</v>
      </c>
      <c r="L3296" s="80" t="s">
        <v>84</v>
      </c>
      <c r="M3296" s="80" t="s">
        <v>84</v>
      </c>
      <c r="N3296" s="80" t="s">
        <v>84</v>
      </c>
      <c r="O3296" s="80" t="s">
        <v>84</v>
      </c>
      <c r="Q3296" s="80" t="s">
        <v>84</v>
      </c>
      <c r="R3296" s="80" t="s">
        <v>84</v>
      </c>
    </row>
    <row r="3297" spans="1:18" ht="20" x14ac:dyDescent="0.2">
      <c r="A3297" s="80" t="s">
        <v>285</v>
      </c>
      <c r="B3297" s="80" t="s">
        <v>286</v>
      </c>
      <c r="C3297" s="80" t="s">
        <v>9680</v>
      </c>
      <c r="D3297" s="80" t="s">
        <v>84</v>
      </c>
      <c r="E3297" s="80" t="s">
        <v>84</v>
      </c>
      <c r="G3297" s="80" t="s">
        <v>84</v>
      </c>
      <c r="H3297" s="80" t="s">
        <v>84</v>
      </c>
      <c r="I3297" s="80" t="s">
        <v>84</v>
      </c>
      <c r="J3297" s="80" t="s">
        <v>84</v>
      </c>
      <c r="K3297" s="80" t="s">
        <v>84</v>
      </c>
      <c r="L3297" s="80" t="s">
        <v>84</v>
      </c>
      <c r="M3297" s="80" t="s">
        <v>84</v>
      </c>
      <c r="N3297" s="80" t="s">
        <v>84</v>
      </c>
      <c r="O3297" s="80" t="s">
        <v>84</v>
      </c>
      <c r="Q3297" s="80" t="s">
        <v>84</v>
      </c>
      <c r="R3297" s="80" t="s">
        <v>84</v>
      </c>
    </row>
    <row r="3298" spans="1:18" ht="20" x14ac:dyDescent="0.2">
      <c r="A3298" s="80" t="s">
        <v>980</v>
      </c>
      <c r="B3298" s="80" t="s">
        <v>981</v>
      </c>
      <c r="C3298" s="80" t="s">
        <v>9680</v>
      </c>
      <c r="D3298" s="80" t="s">
        <v>84</v>
      </c>
      <c r="E3298" s="80" t="s">
        <v>84</v>
      </c>
      <c r="G3298" s="80" t="s">
        <v>84</v>
      </c>
      <c r="H3298" s="80" t="s">
        <v>84</v>
      </c>
      <c r="I3298" s="80" t="s">
        <v>84</v>
      </c>
      <c r="J3298" s="80" t="s">
        <v>84</v>
      </c>
      <c r="K3298" s="80" t="s">
        <v>84</v>
      </c>
      <c r="L3298" s="80" t="s">
        <v>84</v>
      </c>
      <c r="M3298" s="80" t="s">
        <v>84</v>
      </c>
      <c r="N3298" s="80" t="s">
        <v>84</v>
      </c>
      <c r="O3298" s="80" t="s">
        <v>84</v>
      </c>
      <c r="Q3298" s="80" t="s">
        <v>84</v>
      </c>
      <c r="R3298" s="80" t="s">
        <v>84</v>
      </c>
    </row>
    <row r="3299" spans="1:18" ht="20" x14ac:dyDescent="0.2">
      <c r="A3299" s="80" t="s">
        <v>2323</v>
      </c>
      <c r="B3299" s="80" t="s">
        <v>2324</v>
      </c>
      <c r="C3299" s="80" t="s">
        <v>9680</v>
      </c>
      <c r="D3299" s="80" t="s">
        <v>84</v>
      </c>
      <c r="E3299" s="80" t="s">
        <v>84</v>
      </c>
      <c r="G3299" s="80" t="s">
        <v>84</v>
      </c>
      <c r="H3299" s="80" t="s">
        <v>84</v>
      </c>
      <c r="I3299" s="80" t="s">
        <v>84</v>
      </c>
      <c r="J3299" s="80" t="s">
        <v>84</v>
      </c>
      <c r="K3299" s="80" t="s">
        <v>84</v>
      </c>
      <c r="L3299" s="80" t="s">
        <v>84</v>
      </c>
      <c r="M3299" s="80" t="s">
        <v>84</v>
      </c>
      <c r="N3299" s="80" t="s">
        <v>84</v>
      </c>
      <c r="O3299" s="80" t="s">
        <v>84</v>
      </c>
      <c r="Q3299" s="80" t="s">
        <v>84</v>
      </c>
      <c r="R3299" s="80" t="s">
        <v>84</v>
      </c>
    </row>
    <row r="3300" spans="1:18" ht="20" x14ac:dyDescent="0.2">
      <c r="A3300" s="80" t="s">
        <v>5739</v>
      </c>
      <c r="B3300" s="80" t="s">
        <v>5740</v>
      </c>
      <c r="C3300" s="80" t="s">
        <v>9680</v>
      </c>
      <c r="D3300" s="80" t="s">
        <v>84</v>
      </c>
      <c r="E3300" s="80" t="s">
        <v>84</v>
      </c>
      <c r="G3300" s="80" t="s">
        <v>84</v>
      </c>
      <c r="H3300" s="80" t="s">
        <v>84</v>
      </c>
      <c r="I3300" s="80" t="s">
        <v>84</v>
      </c>
      <c r="J3300" s="80" t="s">
        <v>84</v>
      </c>
      <c r="K3300" s="80" t="s">
        <v>84</v>
      </c>
      <c r="L3300" s="80" t="s">
        <v>84</v>
      </c>
      <c r="M3300" s="80" t="s">
        <v>84</v>
      </c>
      <c r="N3300" s="80" t="s">
        <v>84</v>
      </c>
      <c r="O3300" s="80" t="s">
        <v>84</v>
      </c>
      <c r="Q3300" s="80" t="s">
        <v>84</v>
      </c>
      <c r="R3300" s="80" t="s">
        <v>84</v>
      </c>
    </row>
    <row r="3301" spans="1:18" ht="20" x14ac:dyDescent="0.2">
      <c r="A3301" s="80" t="s">
        <v>2671</v>
      </c>
      <c r="B3301" s="80" t="s">
        <v>2672</v>
      </c>
      <c r="C3301" s="80" t="s">
        <v>9680</v>
      </c>
      <c r="D3301" s="80" t="s">
        <v>84</v>
      </c>
      <c r="E3301" s="80" t="s">
        <v>84</v>
      </c>
      <c r="G3301" s="80" t="s">
        <v>84</v>
      </c>
      <c r="H3301" s="80" t="s">
        <v>84</v>
      </c>
      <c r="I3301" s="80" t="s">
        <v>84</v>
      </c>
      <c r="J3301" s="80" t="s">
        <v>84</v>
      </c>
      <c r="K3301" s="80" t="s">
        <v>84</v>
      </c>
      <c r="L3301" s="80" t="s">
        <v>84</v>
      </c>
      <c r="M3301" s="80" t="s">
        <v>84</v>
      </c>
      <c r="N3301" s="80" t="s">
        <v>84</v>
      </c>
      <c r="O3301" s="80" t="s">
        <v>84</v>
      </c>
      <c r="Q3301" s="80" t="s">
        <v>84</v>
      </c>
      <c r="R3301" s="80" t="s">
        <v>84</v>
      </c>
    </row>
    <row r="3302" spans="1:18" ht="20" x14ac:dyDescent="0.2">
      <c r="A3302" s="80" t="s">
        <v>2548</v>
      </c>
      <c r="B3302" s="80" t="s">
        <v>2549</v>
      </c>
      <c r="C3302" s="80" t="s">
        <v>9680</v>
      </c>
      <c r="D3302" s="80" t="s">
        <v>84</v>
      </c>
      <c r="E3302" s="80" t="s">
        <v>84</v>
      </c>
      <c r="G3302" s="80" t="s">
        <v>84</v>
      </c>
      <c r="H3302" s="80" t="s">
        <v>84</v>
      </c>
      <c r="I3302" s="80" t="s">
        <v>84</v>
      </c>
      <c r="J3302" s="80" t="s">
        <v>84</v>
      </c>
      <c r="K3302" s="80" t="s">
        <v>84</v>
      </c>
      <c r="L3302" s="80" t="s">
        <v>84</v>
      </c>
      <c r="M3302" s="80" t="s">
        <v>84</v>
      </c>
      <c r="N3302" s="80" t="s">
        <v>84</v>
      </c>
      <c r="O3302" s="80" t="s">
        <v>84</v>
      </c>
      <c r="Q3302" s="80" t="s">
        <v>84</v>
      </c>
      <c r="R3302" s="80" t="s">
        <v>84</v>
      </c>
    </row>
    <row r="3303" spans="1:18" ht="20" x14ac:dyDescent="0.2">
      <c r="A3303" s="80" t="s">
        <v>5320</v>
      </c>
      <c r="B3303" s="80" t="s">
        <v>5321</v>
      </c>
      <c r="C3303" s="80" t="s">
        <v>9722</v>
      </c>
      <c r="D3303" s="80" t="s">
        <v>84</v>
      </c>
      <c r="E3303" s="80" t="s">
        <v>84</v>
      </c>
      <c r="G3303" s="80" t="s">
        <v>84</v>
      </c>
      <c r="H3303" s="80" t="s">
        <v>84</v>
      </c>
      <c r="I3303" s="80" t="s">
        <v>84</v>
      </c>
      <c r="J3303" s="80" t="s">
        <v>84</v>
      </c>
      <c r="K3303" s="80" t="s">
        <v>84</v>
      </c>
      <c r="L3303" s="80" t="s">
        <v>84</v>
      </c>
      <c r="M3303" s="80" t="s">
        <v>84</v>
      </c>
      <c r="N3303" s="80" t="s">
        <v>84</v>
      </c>
      <c r="O3303" s="80" t="s">
        <v>84</v>
      </c>
      <c r="Q3303" s="80" t="s">
        <v>84</v>
      </c>
      <c r="R3303" s="80" t="s">
        <v>84</v>
      </c>
    </row>
    <row r="3304" spans="1:18" ht="20" x14ac:dyDescent="0.2">
      <c r="A3304" s="80" t="s">
        <v>5320</v>
      </c>
      <c r="B3304" s="80" t="s">
        <v>5324</v>
      </c>
      <c r="C3304" s="80" t="s">
        <v>9722</v>
      </c>
      <c r="D3304" s="80" t="s">
        <v>84</v>
      </c>
      <c r="E3304" s="80" t="s">
        <v>84</v>
      </c>
      <c r="G3304" s="80" t="s">
        <v>84</v>
      </c>
      <c r="H3304" s="80" t="s">
        <v>84</v>
      </c>
      <c r="I3304" s="80" t="s">
        <v>84</v>
      </c>
      <c r="J3304" s="80" t="s">
        <v>84</v>
      </c>
      <c r="K3304" s="80" t="s">
        <v>84</v>
      </c>
      <c r="L3304" s="80" t="s">
        <v>84</v>
      </c>
      <c r="M3304" s="80" t="s">
        <v>84</v>
      </c>
      <c r="N3304" s="80" t="s">
        <v>84</v>
      </c>
      <c r="O3304" s="80" t="s">
        <v>84</v>
      </c>
      <c r="Q3304" s="80" t="s">
        <v>84</v>
      </c>
      <c r="R3304" s="80" t="s">
        <v>84</v>
      </c>
    </row>
    <row r="3305" spans="1:18" ht="20" x14ac:dyDescent="0.2">
      <c r="A3305" s="80" t="s">
        <v>2546</v>
      </c>
      <c r="B3305" s="80" t="s">
        <v>2547</v>
      </c>
      <c r="C3305" s="80" t="s">
        <v>84</v>
      </c>
      <c r="D3305" s="80" t="s">
        <v>84</v>
      </c>
      <c r="E3305" s="80" t="s">
        <v>84</v>
      </c>
      <c r="G3305" s="80" t="s">
        <v>84</v>
      </c>
      <c r="H3305" s="80" t="s">
        <v>84</v>
      </c>
      <c r="I3305" s="80" t="s">
        <v>84</v>
      </c>
      <c r="J3305" s="80" t="s">
        <v>84</v>
      </c>
      <c r="K3305" s="80" t="s">
        <v>84</v>
      </c>
      <c r="L3305" s="80" t="s">
        <v>84</v>
      </c>
      <c r="M3305" s="80" t="s">
        <v>84</v>
      </c>
      <c r="N3305" s="80" t="s">
        <v>84</v>
      </c>
      <c r="O3305" s="80" t="s">
        <v>84</v>
      </c>
      <c r="Q3305" s="80" t="s">
        <v>84</v>
      </c>
      <c r="R3305" s="80" t="s">
        <v>84</v>
      </c>
    </row>
    <row r="3306" spans="1:18" ht="20" x14ac:dyDescent="0.2">
      <c r="A3306" s="80" t="s">
        <v>2558</v>
      </c>
      <c r="B3306" s="80" t="s">
        <v>2559</v>
      </c>
      <c r="C3306" s="80" t="s">
        <v>9680</v>
      </c>
      <c r="D3306" s="80" t="s">
        <v>84</v>
      </c>
      <c r="E3306" s="80" t="s">
        <v>84</v>
      </c>
      <c r="G3306" s="80" t="s">
        <v>84</v>
      </c>
      <c r="H3306" s="80" t="s">
        <v>84</v>
      </c>
      <c r="I3306" s="80" t="s">
        <v>84</v>
      </c>
      <c r="J3306" s="80" t="s">
        <v>84</v>
      </c>
      <c r="K3306" s="80" t="s">
        <v>84</v>
      </c>
      <c r="L3306" s="80" t="s">
        <v>84</v>
      </c>
      <c r="M3306" s="80" t="s">
        <v>84</v>
      </c>
      <c r="N3306" s="80" t="s">
        <v>84</v>
      </c>
      <c r="O3306" s="80" t="s">
        <v>84</v>
      </c>
      <c r="Q3306" s="80" t="s">
        <v>84</v>
      </c>
      <c r="R3306" s="80" t="s">
        <v>84</v>
      </c>
    </row>
    <row r="3307" spans="1:18" ht="20" x14ac:dyDescent="0.2">
      <c r="A3307" s="80" t="s">
        <v>2558</v>
      </c>
      <c r="B3307" s="80" t="s">
        <v>2564</v>
      </c>
      <c r="C3307" s="80" t="s">
        <v>9680</v>
      </c>
      <c r="D3307" s="80" t="s">
        <v>84</v>
      </c>
      <c r="E3307" s="80" t="s">
        <v>84</v>
      </c>
      <c r="G3307" s="80" t="s">
        <v>84</v>
      </c>
      <c r="H3307" s="80" t="s">
        <v>84</v>
      </c>
      <c r="I3307" s="80" t="s">
        <v>84</v>
      </c>
      <c r="J3307" s="80" t="s">
        <v>84</v>
      </c>
      <c r="K3307" s="80" t="s">
        <v>84</v>
      </c>
      <c r="L3307" s="80" t="s">
        <v>84</v>
      </c>
      <c r="M3307" s="80" t="s">
        <v>84</v>
      </c>
      <c r="N3307" s="80" t="s">
        <v>84</v>
      </c>
      <c r="O3307" s="80" t="s">
        <v>84</v>
      </c>
      <c r="Q3307" s="80" t="s">
        <v>84</v>
      </c>
      <c r="R3307" s="80" t="s">
        <v>84</v>
      </c>
    </row>
    <row r="3308" spans="1:18" ht="20" x14ac:dyDescent="0.2">
      <c r="A3308" s="80" t="s">
        <v>116</v>
      </c>
      <c r="B3308" s="80" t="s">
        <v>117</v>
      </c>
      <c r="C3308" s="80" t="s">
        <v>84</v>
      </c>
      <c r="D3308" s="80" t="s">
        <v>84</v>
      </c>
      <c r="E3308" s="80" t="s">
        <v>84</v>
      </c>
      <c r="G3308" s="80" t="s">
        <v>84</v>
      </c>
      <c r="H3308" s="80" t="s">
        <v>84</v>
      </c>
      <c r="I3308" s="80" t="s">
        <v>84</v>
      </c>
      <c r="J3308" s="80" t="s">
        <v>84</v>
      </c>
      <c r="K3308" s="80" t="s">
        <v>84</v>
      </c>
      <c r="L3308" s="80" t="s">
        <v>84</v>
      </c>
      <c r="M3308" s="80" t="s">
        <v>84</v>
      </c>
      <c r="N3308" s="80" t="s">
        <v>84</v>
      </c>
      <c r="O3308" s="80" t="s">
        <v>84</v>
      </c>
      <c r="Q3308" s="80" t="s">
        <v>84</v>
      </c>
      <c r="R3308" s="80" t="s">
        <v>84</v>
      </c>
    </row>
    <row r="3309" spans="1:18" ht="20" x14ac:dyDescent="0.2">
      <c r="A3309" s="80" t="s">
        <v>2447</v>
      </c>
      <c r="B3309" s="80" t="s">
        <v>2448</v>
      </c>
      <c r="C3309" s="80" t="s">
        <v>9680</v>
      </c>
      <c r="D3309" s="80" t="s">
        <v>84</v>
      </c>
      <c r="E3309" s="80" t="s">
        <v>84</v>
      </c>
      <c r="G3309" s="80" t="s">
        <v>84</v>
      </c>
      <c r="H3309" s="80" t="s">
        <v>84</v>
      </c>
      <c r="I3309" s="80" t="s">
        <v>84</v>
      </c>
      <c r="J3309" s="80" t="s">
        <v>84</v>
      </c>
      <c r="K3309" s="80" t="s">
        <v>84</v>
      </c>
      <c r="L3309" s="80" t="s">
        <v>84</v>
      </c>
      <c r="M3309" s="80" t="s">
        <v>84</v>
      </c>
      <c r="N3309" s="80" t="s">
        <v>84</v>
      </c>
      <c r="O3309" s="80" t="s">
        <v>84</v>
      </c>
      <c r="Q3309" s="80" t="s">
        <v>84</v>
      </c>
      <c r="R3309" s="80" t="s">
        <v>84</v>
      </c>
    </row>
    <row r="3310" spans="1:18" ht="20" x14ac:dyDescent="0.2">
      <c r="A3310" s="80" t="s">
        <v>118</v>
      </c>
      <c r="B3310" s="80" t="s">
        <v>119</v>
      </c>
      <c r="C3310" s="80" t="s">
        <v>84</v>
      </c>
      <c r="D3310" s="80" t="s">
        <v>84</v>
      </c>
      <c r="E3310" s="80" t="s">
        <v>84</v>
      </c>
      <c r="G3310" s="80" t="s">
        <v>84</v>
      </c>
      <c r="H3310" s="80" t="s">
        <v>84</v>
      </c>
      <c r="I3310" s="80" t="s">
        <v>84</v>
      </c>
      <c r="J3310" s="80" t="s">
        <v>84</v>
      </c>
      <c r="K3310" s="80" t="s">
        <v>84</v>
      </c>
      <c r="L3310" s="80" t="s">
        <v>84</v>
      </c>
      <c r="M3310" s="80" t="s">
        <v>84</v>
      </c>
      <c r="N3310" s="80" t="s">
        <v>84</v>
      </c>
      <c r="O3310" s="80" t="s">
        <v>84</v>
      </c>
      <c r="Q3310" s="80" t="s">
        <v>84</v>
      </c>
      <c r="R3310" s="80" t="s">
        <v>84</v>
      </c>
    </row>
    <row r="3311" spans="1:18" ht="20" x14ac:dyDescent="0.2">
      <c r="A3311" s="80" t="s">
        <v>2589</v>
      </c>
      <c r="B3311" s="80" t="s">
        <v>2590</v>
      </c>
      <c r="C3311" s="80" t="s">
        <v>84</v>
      </c>
      <c r="D3311" s="80" t="s">
        <v>84</v>
      </c>
      <c r="E3311" s="80" t="s">
        <v>84</v>
      </c>
      <c r="G3311" s="80" t="s">
        <v>84</v>
      </c>
      <c r="H3311" s="80" t="s">
        <v>84</v>
      </c>
      <c r="I3311" s="80" t="s">
        <v>84</v>
      </c>
      <c r="J3311" s="80" t="s">
        <v>84</v>
      </c>
      <c r="K3311" s="80" t="s">
        <v>84</v>
      </c>
      <c r="L3311" s="80" t="s">
        <v>84</v>
      </c>
      <c r="M3311" s="80" t="s">
        <v>84</v>
      </c>
      <c r="N3311" s="80" t="s">
        <v>84</v>
      </c>
      <c r="O3311" s="80" t="s">
        <v>84</v>
      </c>
      <c r="Q3311" s="80" t="s">
        <v>84</v>
      </c>
      <c r="R3311" s="80" t="s">
        <v>84</v>
      </c>
    </row>
    <row r="3312" spans="1:18" ht="20" x14ac:dyDescent="0.2">
      <c r="A3312" s="80" t="s">
        <v>2307</v>
      </c>
      <c r="B3312" s="80" t="s">
        <v>2308</v>
      </c>
      <c r="C3312" s="80" t="s">
        <v>9680</v>
      </c>
      <c r="D3312" s="80" t="s">
        <v>84</v>
      </c>
      <c r="E3312" s="80" t="s">
        <v>84</v>
      </c>
      <c r="G3312" s="80" t="s">
        <v>84</v>
      </c>
      <c r="H3312" s="80" t="s">
        <v>84</v>
      </c>
      <c r="I3312" s="80" t="s">
        <v>84</v>
      </c>
      <c r="J3312" s="80" t="s">
        <v>84</v>
      </c>
      <c r="K3312" s="80" t="s">
        <v>84</v>
      </c>
      <c r="L3312" s="80" t="s">
        <v>84</v>
      </c>
      <c r="M3312" s="80" t="s">
        <v>84</v>
      </c>
      <c r="N3312" s="80" t="s">
        <v>84</v>
      </c>
      <c r="O3312" s="80" t="s">
        <v>84</v>
      </c>
      <c r="Q3312" s="80" t="s">
        <v>84</v>
      </c>
      <c r="R3312" s="80" t="s">
        <v>84</v>
      </c>
    </row>
    <row r="3313" spans="1:18" ht="20" x14ac:dyDescent="0.2">
      <c r="A3313" s="80" t="s">
        <v>2309</v>
      </c>
      <c r="B3313" s="80" t="s">
        <v>2310</v>
      </c>
      <c r="C3313" s="80" t="s">
        <v>9680</v>
      </c>
      <c r="D3313" s="80" t="s">
        <v>84</v>
      </c>
      <c r="E3313" s="80" t="s">
        <v>84</v>
      </c>
      <c r="G3313" s="80" t="s">
        <v>9680</v>
      </c>
      <c r="H3313" s="80" t="s">
        <v>84</v>
      </c>
      <c r="I3313" s="80" t="s">
        <v>84</v>
      </c>
      <c r="J3313" s="80" t="s">
        <v>84</v>
      </c>
      <c r="K3313" s="80" t="s">
        <v>84</v>
      </c>
      <c r="L3313" s="80" t="s">
        <v>84</v>
      </c>
      <c r="M3313" s="80" t="s">
        <v>84</v>
      </c>
      <c r="N3313" s="80" t="s">
        <v>84</v>
      </c>
      <c r="O3313" s="80" t="s">
        <v>84</v>
      </c>
      <c r="Q3313" s="80" t="s">
        <v>84</v>
      </c>
      <c r="R3313" s="80" t="s">
        <v>84</v>
      </c>
    </row>
    <row r="3314" spans="1:18" ht="20" x14ac:dyDescent="0.2">
      <c r="A3314" s="80" t="s">
        <v>2591</v>
      </c>
      <c r="B3314" s="80" t="s">
        <v>2592</v>
      </c>
      <c r="C3314" s="80" t="s">
        <v>9680</v>
      </c>
      <c r="D3314" s="80" t="s">
        <v>84</v>
      </c>
      <c r="E3314" s="80" t="s">
        <v>84</v>
      </c>
      <c r="G3314" s="80" t="s">
        <v>84</v>
      </c>
      <c r="H3314" s="80" t="s">
        <v>84</v>
      </c>
      <c r="I3314" s="80" t="s">
        <v>84</v>
      </c>
      <c r="J3314" s="80" t="s">
        <v>84</v>
      </c>
      <c r="K3314" s="80" t="s">
        <v>84</v>
      </c>
      <c r="L3314" s="80" t="s">
        <v>84</v>
      </c>
      <c r="M3314" s="80" t="s">
        <v>84</v>
      </c>
      <c r="N3314" s="80" t="s">
        <v>84</v>
      </c>
      <c r="O3314" s="80" t="s">
        <v>84</v>
      </c>
      <c r="Q3314" s="80" t="s">
        <v>84</v>
      </c>
      <c r="R3314" s="80" t="s">
        <v>84</v>
      </c>
    </row>
    <row r="3315" spans="1:18" ht="20" x14ac:dyDescent="0.2">
      <c r="A3315" s="80" t="s">
        <v>2593</v>
      </c>
      <c r="B3315" s="80" t="s">
        <v>2594</v>
      </c>
      <c r="C3315" s="80" t="s">
        <v>9680</v>
      </c>
      <c r="D3315" s="80" t="s">
        <v>84</v>
      </c>
      <c r="E3315" s="80" t="s">
        <v>84</v>
      </c>
      <c r="G3315" s="80" t="s">
        <v>84</v>
      </c>
      <c r="H3315" s="80" t="s">
        <v>84</v>
      </c>
      <c r="I3315" s="80" t="s">
        <v>84</v>
      </c>
      <c r="J3315" s="80" t="s">
        <v>84</v>
      </c>
      <c r="K3315" s="80" t="s">
        <v>84</v>
      </c>
      <c r="L3315" s="80" t="s">
        <v>84</v>
      </c>
      <c r="M3315" s="80" t="s">
        <v>84</v>
      </c>
      <c r="N3315" s="80" t="s">
        <v>84</v>
      </c>
      <c r="O3315" s="80" t="s">
        <v>84</v>
      </c>
      <c r="Q3315" s="80" t="s">
        <v>84</v>
      </c>
      <c r="R3315" s="80" t="s">
        <v>84</v>
      </c>
    </row>
    <row r="3316" spans="1:18" ht="20" x14ac:dyDescent="0.2">
      <c r="A3316" s="80" t="s">
        <v>2595</v>
      </c>
      <c r="B3316" s="80" t="s">
        <v>2596</v>
      </c>
      <c r="C3316" s="80" t="s">
        <v>9680</v>
      </c>
      <c r="D3316" s="80" t="s">
        <v>84</v>
      </c>
      <c r="E3316" s="80" t="s">
        <v>84</v>
      </c>
      <c r="G3316" s="80" t="s">
        <v>84</v>
      </c>
      <c r="H3316" s="80" t="s">
        <v>84</v>
      </c>
      <c r="I3316" s="80" t="s">
        <v>84</v>
      </c>
      <c r="J3316" s="80" t="s">
        <v>84</v>
      </c>
      <c r="K3316" s="80" t="s">
        <v>84</v>
      </c>
      <c r="L3316" s="80" t="s">
        <v>84</v>
      </c>
      <c r="M3316" s="80" t="s">
        <v>84</v>
      </c>
      <c r="N3316" s="80" t="s">
        <v>84</v>
      </c>
      <c r="O3316" s="80" t="s">
        <v>84</v>
      </c>
      <c r="Q3316" s="80" t="s">
        <v>84</v>
      </c>
      <c r="R3316" s="80" t="s">
        <v>84</v>
      </c>
    </row>
    <row r="3317" spans="1:18" ht="20" x14ac:dyDescent="0.2">
      <c r="A3317" s="80" t="s">
        <v>3612</v>
      </c>
      <c r="B3317" s="80" t="s">
        <v>3613</v>
      </c>
      <c r="C3317" s="80" t="s">
        <v>84</v>
      </c>
      <c r="D3317" s="80" t="s">
        <v>84</v>
      </c>
      <c r="E3317" s="80" t="s">
        <v>84</v>
      </c>
      <c r="G3317" s="80" t="s">
        <v>84</v>
      </c>
      <c r="H3317" s="80" t="s">
        <v>84</v>
      </c>
      <c r="I3317" s="80" t="s">
        <v>84</v>
      </c>
      <c r="J3317" s="80" t="s">
        <v>84</v>
      </c>
      <c r="K3317" s="80" t="s">
        <v>84</v>
      </c>
      <c r="L3317" s="80" t="s">
        <v>84</v>
      </c>
      <c r="M3317" s="80" t="s">
        <v>84</v>
      </c>
      <c r="N3317" s="80" t="s">
        <v>84</v>
      </c>
      <c r="O3317" s="80" t="s">
        <v>84</v>
      </c>
      <c r="Q3317" s="80" t="s">
        <v>84</v>
      </c>
      <c r="R3317" s="80" t="s">
        <v>84</v>
      </c>
    </row>
    <row r="3318" spans="1:18" ht="20" x14ac:dyDescent="0.2">
      <c r="A3318" s="80" t="s">
        <v>3612</v>
      </c>
      <c r="B3318" s="80" t="s">
        <v>3614</v>
      </c>
      <c r="C3318" s="80" t="s">
        <v>84</v>
      </c>
      <c r="D3318" s="80" t="s">
        <v>84</v>
      </c>
      <c r="E3318" s="80" t="s">
        <v>84</v>
      </c>
      <c r="G3318" s="80" t="s">
        <v>84</v>
      </c>
      <c r="H3318" s="80" t="s">
        <v>84</v>
      </c>
      <c r="I3318" s="80" t="s">
        <v>84</v>
      </c>
      <c r="J3318" s="80" t="s">
        <v>84</v>
      </c>
      <c r="K3318" s="80" t="s">
        <v>84</v>
      </c>
      <c r="L3318" s="80" t="s">
        <v>84</v>
      </c>
      <c r="M3318" s="80" t="s">
        <v>84</v>
      </c>
      <c r="N3318" s="80" t="s">
        <v>84</v>
      </c>
      <c r="O3318" s="80" t="s">
        <v>84</v>
      </c>
      <c r="Q3318" s="80" t="s">
        <v>84</v>
      </c>
      <c r="R3318" s="80" t="s">
        <v>84</v>
      </c>
    </row>
    <row r="3319" spans="1:18" ht="20" x14ac:dyDescent="0.2">
      <c r="A3319" s="80" t="s">
        <v>122</v>
      </c>
      <c r="B3319" s="80" t="s">
        <v>123</v>
      </c>
      <c r="C3319" s="80" t="s">
        <v>84</v>
      </c>
      <c r="D3319" s="80" t="s">
        <v>84</v>
      </c>
      <c r="E3319" s="80" t="s">
        <v>84</v>
      </c>
      <c r="G3319" s="80" t="s">
        <v>84</v>
      </c>
      <c r="H3319" s="80" t="s">
        <v>84</v>
      </c>
      <c r="I3319" s="80" t="s">
        <v>84</v>
      </c>
      <c r="J3319" s="80" t="s">
        <v>84</v>
      </c>
      <c r="K3319" s="80" t="s">
        <v>84</v>
      </c>
      <c r="L3319" s="80" t="s">
        <v>84</v>
      </c>
      <c r="M3319" s="80" t="s">
        <v>84</v>
      </c>
      <c r="N3319" s="80" t="s">
        <v>84</v>
      </c>
      <c r="O3319" s="80" t="s">
        <v>84</v>
      </c>
      <c r="Q3319" s="80" t="s">
        <v>84</v>
      </c>
      <c r="R3319" s="80" t="s">
        <v>84</v>
      </c>
    </row>
    <row r="3320" spans="1:18" ht="20" x14ac:dyDescent="0.2">
      <c r="A3320" s="80" t="s">
        <v>120</v>
      </c>
      <c r="B3320" s="80" t="s">
        <v>121</v>
      </c>
      <c r="C3320" s="80" t="s">
        <v>84</v>
      </c>
      <c r="D3320" s="80" t="s">
        <v>84</v>
      </c>
      <c r="E3320" s="80" t="s">
        <v>84</v>
      </c>
      <c r="G3320" s="80" t="s">
        <v>84</v>
      </c>
      <c r="H3320" s="80" t="s">
        <v>84</v>
      </c>
      <c r="I3320" s="80" t="s">
        <v>84</v>
      </c>
      <c r="J3320" s="80" t="s">
        <v>84</v>
      </c>
      <c r="K3320" s="80" t="s">
        <v>84</v>
      </c>
      <c r="L3320" s="80" t="s">
        <v>84</v>
      </c>
      <c r="M3320" s="80" t="s">
        <v>84</v>
      </c>
      <c r="N3320" s="80" t="s">
        <v>84</v>
      </c>
      <c r="O3320" s="80" t="s">
        <v>84</v>
      </c>
      <c r="Q3320" s="80" t="s">
        <v>84</v>
      </c>
      <c r="R3320" s="80" t="s">
        <v>84</v>
      </c>
    </row>
    <row r="3321" spans="1:18" ht="20" x14ac:dyDescent="0.2">
      <c r="A3321" s="80" t="s">
        <v>3690</v>
      </c>
      <c r="B3321" s="80" t="s">
        <v>3691</v>
      </c>
      <c r="C3321" s="80" t="s">
        <v>84</v>
      </c>
      <c r="D3321" s="80" t="s">
        <v>84</v>
      </c>
      <c r="E3321" s="80" t="s">
        <v>84</v>
      </c>
      <c r="G3321" s="80" t="s">
        <v>84</v>
      </c>
      <c r="H3321" s="80" t="s">
        <v>84</v>
      </c>
      <c r="I3321" s="80" t="s">
        <v>84</v>
      </c>
      <c r="J3321" s="80" t="s">
        <v>84</v>
      </c>
      <c r="K3321" s="80" t="s">
        <v>84</v>
      </c>
      <c r="L3321" s="80" t="s">
        <v>84</v>
      </c>
      <c r="M3321" s="80" t="s">
        <v>84</v>
      </c>
      <c r="N3321" s="80" t="s">
        <v>84</v>
      </c>
      <c r="O3321" s="80" t="s">
        <v>84</v>
      </c>
      <c r="Q3321" s="80" t="s">
        <v>84</v>
      </c>
      <c r="R3321" s="80" t="s">
        <v>84</v>
      </c>
    </row>
    <row r="3322" spans="1:18" ht="20" x14ac:dyDescent="0.2">
      <c r="A3322" s="80" t="s">
        <v>2651</v>
      </c>
      <c r="B3322" s="80" t="s">
        <v>2652</v>
      </c>
      <c r="C3322" s="80" t="s">
        <v>9680</v>
      </c>
      <c r="D3322" s="80" t="s">
        <v>84</v>
      </c>
      <c r="E3322" s="80" t="s">
        <v>84</v>
      </c>
      <c r="G3322" s="80" t="s">
        <v>84</v>
      </c>
      <c r="H3322" s="80" t="s">
        <v>84</v>
      </c>
      <c r="I3322" s="80" t="s">
        <v>84</v>
      </c>
      <c r="J3322" s="80" t="s">
        <v>84</v>
      </c>
      <c r="K3322" s="80" t="s">
        <v>84</v>
      </c>
      <c r="L3322" s="80" t="s">
        <v>84</v>
      </c>
      <c r="M3322" s="80" t="s">
        <v>84</v>
      </c>
      <c r="N3322" s="80" t="s">
        <v>84</v>
      </c>
      <c r="O3322" s="80" t="s">
        <v>84</v>
      </c>
      <c r="Q3322" s="80" t="s">
        <v>84</v>
      </c>
      <c r="R3322" s="80" t="s">
        <v>84</v>
      </c>
    </row>
    <row r="3323" spans="1:18" ht="20" x14ac:dyDescent="0.2">
      <c r="A3323" s="80" t="s">
        <v>2651</v>
      </c>
      <c r="B3323" s="80" t="s">
        <v>2653</v>
      </c>
      <c r="C3323" s="80" t="s">
        <v>9680</v>
      </c>
      <c r="D3323" s="80" t="s">
        <v>84</v>
      </c>
      <c r="E3323" s="80" t="s">
        <v>84</v>
      </c>
      <c r="G3323" s="80" t="s">
        <v>84</v>
      </c>
      <c r="H3323" s="80" t="s">
        <v>84</v>
      </c>
      <c r="I3323" s="80" t="s">
        <v>84</v>
      </c>
      <c r="J3323" s="80" t="s">
        <v>84</v>
      </c>
      <c r="K3323" s="80" t="s">
        <v>84</v>
      </c>
      <c r="L3323" s="80" t="s">
        <v>84</v>
      </c>
      <c r="M3323" s="80" t="s">
        <v>84</v>
      </c>
      <c r="N3323" s="80" t="s">
        <v>84</v>
      </c>
      <c r="O3323" s="80" t="s">
        <v>84</v>
      </c>
      <c r="Q3323" s="80" t="s">
        <v>84</v>
      </c>
      <c r="R3323" s="80" t="s">
        <v>84</v>
      </c>
    </row>
    <row r="3324" spans="1:18" ht="20" x14ac:dyDescent="0.2">
      <c r="A3324" s="80" t="s">
        <v>114</v>
      </c>
      <c r="B3324" s="80" t="s">
        <v>115</v>
      </c>
      <c r="C3324" s="80" t="s">
        <v>9722</v>
      </c>
      <c r="D3324" s="80" t="s">
        <v>84</v>
      </c>
      <c r="E3324" s="80" t="s">
        <v>84</v>
      </c>
      <c r="G3324" s="80" t="s">
        <v>84</v>
      </c>
      <c r="H3324" s="80" t="s">
        <v>84</v>
      </c>
      <c r="I3324" s="80" t="s">
        <v>84</v>
      </c>
      <c r="J3324" s="80" t="s">
        <v>84</v>
      </c>
      <c r="K3324" s="80" t="s">
        <v>84</v>
      </c>
      <c r="L3324" s="80" t="s">
        <v>84</v>
      </c>
      <c r="M3324" s="80" t="s">
        <v>84</v>
      </c>
      <c r="N3324" s="80" t="s">
        <v>84</v>
      </c>
      <c r="O3324" s="80" t="s">
        <v>84</v>
      </c>
      <c r="Q3324" s="80" t="s">
        <v>84</v>
      </c>
      <c r="R3324" s="80" t="s">
        <v>84</v>
      </c>
    </row>
    <row r="3325" spans="1:18" ht="20" x14ac:dyDescent="0.2">
      <c r="A3325" s="80" t="s">
        <v>103</v>
      </c>
      <c r="B3325" s="80" t="s">
        <v>104</v>
      </c>
      <c r="C3325" s="80" t="s">
        <v>84</v>
      </c>
      <c r="D3325" s="80" t="s">
        <v>84</v>
      </c>
      <c r="E3325" s="80" t="s">
        <v>84</v>
      </c>
      <c r="G3325" s="80" t="s">
        <v>84</v>
      </c>
      <c r="H3325" s="80" t="s">
        <v>84</v>
      </c>
      <c r="I3325" s="80" t="s">
        <v>84</v>
      </c>
      <c r="J3325" s="80" t="s">
        <v>84</v>
      </c>
      <c r="K3325" s="80" t="s">
        <v>84</v>
      </c>
      <c r="L3325" s="80" t="s">
        <v>84</v>
      </c>
      <c r="M3325" s="80" t="s">
        <v>84</v>
      </c>
      <c r="N3325" s="80" t="s">
        <v>84</v>
      </c>
      <c r="O3325" s="80" t="s">
        <v>84</v>
      </c>
      <c r="Q3325" s="80" t="s">
        <v>84</v>
      </c>
      <c r="R3325" s="80" t="s">
        <v>84</v>
      </c>
    </row>
    <row r="3326" spans="1:18" ht="20" x14ac:dyDescent="0.2">
      <c r="A3326" s="80" t="s">
        <v>103</v>
      </c>
      <c r="B3326" s="80" t="s">
        <v>124</v>
      </c>
      <c r="C3326" s="80" t="s">
        <v>84</v>
      </c>
      <c r="D3326" s="80" t="s">
        <v>84</v>
      </c>
      <c r="E3326" s="80" t="s">
        <v>84</v>
      </c>
      <c r="G3326" s="80" t="s">
        <v>84</v>
      </c>
      <c r="H3326" s="80" t="s">
        <v>84</v>
      </c>
      <c r="I3326" s="80" t="s">
        <v>84</v>
      </c>
      <c r="J3326" s="80" t="s">
        <v>84</v>
      </c>
      <c r="K3326" s="80" t="s">
        <v>84</v>
      </c>
      <c r="L3326" s="80" t="s">
        <v>84</v>
      </c>
      <c r="M3326" s="80" t="s">
        <v>84</v>
      </c>
      <c r="N3326" s="80" t="s">
        <v>84</v>
      </c>
      <c r="O3326" s="80" t="s">
        <v>84</v>
      </c>
      <c r="Q3326" s="80" t="s">
        <v>84</v>
      </c>
      <c r="R3326" s="80" t="s">
        <v>84</v>
      </c>
    </row>
    <row r="3327" spans="1:18" ht="20" x14ac:dyDescent="0.2">
      <c r="A3327" s="80" t="s">
        <v>4667</v>
      </c>
      <c r="B3327" s="80" t="s">
        <v>4668</v>
      </c>
      <c r="C3327" s="80" t="s">
        <v>84</v>
      </c>
      <c r="D3327" s="80" t="s">
        <v>84</v>
      </c>
      <c r="E3327" s="80" t="s">
        <v>84</v>
      </c>
      <c r="G3327" s="80" t="s">
        <v>84</v>
      </c>
      <c r="H3327" s="80" t="s">
        <v>84</v>
      </c>
      <c r="I3327" s="80" t="s">
        <v>84</v>
      </c>
      <c r="J3327" s="80" t="s">
        <v>84</v>
      </c>
      <c r="K3327" s="80" t="s">
        <v>84</v>
      </c>
      <c r="L3327" s="80" t="s">
        <v>84</v>
      </c>
      <c r="M3327" s="80" t="s">
        <v>84</v>
      </c>
      <c r="N3327" s="80" t="s">
        <v>84</v>
      </c>
      <c r="O3327" s="80" t="s">
        <v>84</v>
      </c>
      <c r="Q3327" s="80" t="s">
        <v>84</v>
      </c>
      <c r="R3327" s="80" t="s">
        <v>84</v>
      </c>
    </row>
    <row r="3328" spans="1:18" ht="20" x14ac:dyDescent="0.2">
      <c r="A3328" s="80" t="s">
        <v>1733</v>
      </c>
      <c r="B3328" s="80" t="s">
        <v>1734</v>
      </c>
      <c r="C3328" s="80" t="s">
        <v>84</v>
      </c>
      <c r="D3328" s="80" t="s">
        <v>84</v>
      </c>
      <c r="E3328" s="80" t="s">
        <v>84</v>
      </c>
      <c r="G3328" s="80" t="s">
        <v>84</v>
      </c>
      <c r="H3328" s="80" t="s">
        <v>84</v>
      </c>
      <c r="I3328" s="80" t="s">
        <v>84</v>
      </c>
      <c r="J3328" s="80" t="s">
        <v>84</v>
      </c>
      <c r="K3328" s="80" t="s">
        <v>84</v>
      </c>
      <c r="L3328" s="80" t="s">
        <v>84</v>
      </c>
      <c r="M3328" s="80" t="s">
        <v>84</v>
      </c>
      <c r="N3328" s="80" t="s">
        <v>84</v>
      </c>
      <c r="O3328" s="80" t="s">
        <v>84</v>
      </c>
      <c r="Q3328" s="80" t="s">
        <v>84</v>
      </c>
      <c r="R3328" s="80" t="s">
        <v>84</v>
      </c>
    </row>
    <row r="3329" spans="1:18" ht="20" x14ac:dyDescent="0.2">
      <c r="A3329" s="80" t="s">
        <v>3219</v>
      </c>
      <c r="B3329" s="80" t="s">
        <v>3220</v>
      </c>
      <c r="C3329" s="80" t="s">
        <v>84</v>
      </c>
      <c r="D3329" s="80" t="s">
        <v>84</v>
      </c>
      <c r="E3329" s="80" t="s">
        <v>84</v>
      </c>
      <c r="G3329" s="80" t="s">
        <v>84</v>
      </c>
      <c r="H3329" s="80" t="s">
        <v>84</v>
      </c>
      <c r="I3329" s="80" t="s">
        <v>84</v>
      </c>
      <c r="J3329" s="80" t="s">
        <v>84</v>
      </c>
      <c r="K3329" s="80" t="s">
        <v>84</v>
      </c>
      <c r="L3329" s="80" t="s">
        <v>84</v>
      </c>
      <c r="M3329" s="80" t="s">
        <v>84</v>
      </c>
      <c r="N3329" s="80" t="s">
        <v>84</v>
      </c>
      <c r="O3329" s="80" t="s">
        <v>84</v>
      </c>
      <c r="Q3329" s="80" t="s">
        <v>84</v>
      </c>
      <c r="R3329" s="80" t="s">
        <v>84</v>
      </c>
    </row>
    <row r="3330" spans="1:18" ht="20" x14ac:dyDescent="0.2">
      <c r="A3330" s="80" t="s">
        <v>2449</v>
      </c>
      <c r="B3330" s="80" t="s">
        <v>2450</v>
      </c>
      <c r="C3330" s="80" t="s">
        <v>9680</v>
      </c>
      <c r="D3330" s="80" t="s">
        <v>84</v>
      </c>
      <c r="E3330" s="80" t="s">
        <v>84</v>
      </c>
      <c r="G3330" s="80" t="s">
        <v>84</v>
      </c>
      <c r="H3330" s="80" t="s">
        <v>84</v>
      </c>
      <c r="I3330" s="80" t="s">
        <v>84</v>
      </c>
      <c r="J3330" s="80" t="s">
        <v>84</v>
      </c>
      <c r="K3330" s="80" t="s">
        <v>84</v>
      </c>
      <c r="L3330" s="80" t="s">
        <v>84</v>
      </c>
      <c r="M3330" s="80" t="s">
        <v>84</v>
      </c>
      <c r="N3330" s="80" t="s">
        <v>84</v>
      </c>
      <c r="O3330" s="80" t="s">
        <v>84</v>
      </c>
      <c r="Q3330" s="80" t="s">
        <v>84</v>
      </c>
      <c r="R3330" s="80" t="s">
        <v>84</v>
      </c>
    </row>
    <row r="3331" spans="1:18" ht="20" x14ac:dyDescent="0.2">
      <c r="A3331" s="80" t="s">
        <v>767</v>
      </c>
      <c r="B3331" s="80" t="s">
        <v>768</v>
      </c>
      <c r="C3331" s="80" t="s">
        <v>9722</v>
      </c>
      <c r="D3331" s="80" t="s">
        <v>84</v>
      </c>
      <c r="E3331" s="80" t="s">
        <v>84</v>
      </c>
      <c r="G3331" s="80" t="s">
        <v>84</v>
      </c>
      <c r="H3331" s="80" t="s">
        <v>84</v>
      </c>
      <c r="I3331" s="80" t="s">
        <v>84</v>
      </c>
      <c r="J3331" s="80" t="s">
        <v>84</v>
      </c>
      <c r="K3331" s="80" t="s">
        <v>84</v>
      </c>
      <c r="L3331" s="80" t="s">
        <v>84</v>
      </c>
      <c r="M3331" s="80" t="s">
        <v>84</v>
      </c>
      <c r="N3331" s="80" t="s">
        <v>84</v>
      </c>
      <c r="O3331" s="80" t="s">
        <v>84</v>
      </c>
      <c r="Q3331" s="80" t="s">
        <v>84</v>
      </c>
      <c r="R3331" s="80" t="s">
        <v>84</v>
      </c>
    </row>
    <row r="3332" spans="1:18" ht="20" x14ac:dyDescent="0.2">
      <c r="A3332" s="80" t="s">
        <v>5327</v>
      </c>
      <c r="B3332" s="80" t="s">
        <v>5328</v>
      </c>
      <c r="C3332" s="80" t="s">
        <v>9722</v>
      </c>
      <c r="D3332" s="80" t="s">
        <v>84</v>
      </c>
      <c r="E3332" s="80" t="s">
        <v>84</v>
      </c>
      <c r="G3332" s="80" t="s">
        <v>84</v>
      </c>
      <c r="H3332" s="80" t="s">
        <v>84</v>
      </c>
      <c r="I3332" s="80" t="s">
        <v>84</v>
      </c>
      <c r="J3332" s="80" t="s">
        <v>84</v>
      </c>
      <c r="K3332" s="80" t="s">
        <v>84</v>
      </c>
      <c r="L3332" s="80" t="s">
        <v>84</v>
      </c>
      <c r="M3332" s="80" t="s">
        <v>84</v>
      </c>
      <c r="N3332" s="80" t="s">
        <v>84</v>
      </c>
      <c r="O3332" s="80" t="s">
        <v>84</v>
      </c>
      <c r="Q3332" s="80" t="s">
        <v>84</v>
      </c>
      <c r="R3332" s="80" t="s">
        <v>84</v>
      </c>
    </row>
    <row r="3333" spans="1:18" ht="20" x14ac:dyDescent="0.2">
      <c r="A3333" s="80" t="s">
        <v>769</v>
      </c>
      <c r="B3333" s="80" t="s">
        <v>770</v>
      </c>
      <c r="C3333" s="80" t="s">
        <v>9722</v>
      </c>
      <c r="D3333" s="80" t="s">
        <v>84</v>
      </c>
      <c r="E3333" s="80" t="s">
        <v>84</v>
      </c>
      <c r="G3333" s="80" t="s">
        <v>84</v>
      </c>
      <c r="H3333" s="80" t="s">
        <v>84</v>
      </c>
      <c r="I3333" s="80" t="s">
        <v>84</v>
      </c>
      <c r="J3333" s="80" t="s">
        <v>84</v>
      </c>
      <c r="K3333" s="80" t="s">
        <v>84</v>
      </c>
      <c r="L3333" s="80" t="s">
        <v>84</v>
      </c>
      <c r="M3333" s="80" t="s">
        <v>84</v>
      </c>
      <c r="N3333" s="80" t="s">
        <v>84</v>
      </c>
      <c r="O3333" s="80" t="s">
        <v>84</v>
      </c>
      <c r="Q3333" s="80" t="s">
        <v>84</v>
      </c>
      <c r="R3333" s="80" t="s">
        <v>84</v>
      </c>
    </row>
    <row r="3334" spans="1:18" ht="20" x14ac:dyDescent="0.2">
      <c r="A3334" s="80" t="s">
        <v>2451</v>
      </c>
      <c r="B3334" s="80" t="s">
        <v>2452</v>
      </c>
      <c r="C3334" s="80" t="s">
        <v>9680</v>
      </c>
      <c r="D3334" s="80" t="s">
        <v>84</v>
      </c>
      <c r="E3334" s="80" t="s">
        <v>84</v>
      </c>
      <c r="G3334" s="80" t="s">
        <v>84</v>
      </c>
      <c r="H3334" s="80" t="s">
        <v>84</v>
      </c>
      <c r="I3334" s="80" t="s">
        <v>84</v>
      </c>
      <c r="J3334" s="80" t="s">
        <v>84</v>
      </c>
      <c r="K3334" s="80" t="s">
        <v>84</v>
      </c>
      <c r="L3334" s="80" t="s">
        <v>84</v>
      </c>
      <c r="M3334" s="80" t="s">
        <v>84</v>
      </c>
      <c r="N3334" s="80" t="s">
        <v>84</v>
      </c>
      <c r="O3334" s="80" t="s">
        <v>84</v>
      </c>
      <c r="Q3334" s="80" t="s">
        <v>84</v>
      </c>
      <c r="R3334" s="80" t="s">
        <v>84</v>
      </c>
    </row>
    <row r="3335" spans="1:18" ht="20" x14ac:dyDescent="0.2">
      <c r="A3335" s="80" t="s">
        <v>2453</v>
      </c>
      <c r="B3335" s="80" t="s">
        <v>2454</v>
      </c>
      <c r="C3335" s="80" t="s">
        <v>9680</v>
      </c>
      <c r="D3335" s="80" t="s">
        <v>84</v>
      </c>
      <c r="E3335" s="80" t="s">
        <v>84</v>
      </c>
      <c r="G3335" s="80" t="s">
        <v>84</v>
      </c>
      <c r="H3335" s="80" t="s">
        <v>84</v>
      </c>
      <c r="I3335" s="80" t="s">
        <v>84</v>
      </c>
      <c r="J3335" s="80" t="s">
        <v>84</v>
      </c>
      <c r="K3335" s="80" t="s">
        <v>84</v>
      </c>
      <c r="L3335" s="80" t="s">
        <v>84</v>
      </c>
      <c r="M3335" s="80" t="s">
        <v>84</v>
      </c>
      <c r="N3335" s="80" t="s">
        <v>84</v>
      </c>
      <c r="O3335" s="80" t="s">
        <v>84</v>
      </c>
      <c r="Q3335" s="80" t="s">
        <v>84</v>
      </c>
      <c r="R3335" s="80" t="s">
        <v>84</v>
      </c>
    </row>
    <row r="3336" spans="1:18" ht="20" x14ac:dyDescent="0.2">
      <c r="A3336" s="80" t="s">
        <v>2442</v>
      </c>
      <c r="B3336" s="80" t="s">
        <v>2443</v>
      </c>
      <c r="C3336" s="80" t="s">
        <v>9680</v>
      </c>
      <c r="D3336" s="80" t="s">
        <v>84</v>
      </c>
      <c r="E3336" s="80" t="s">
        <v>84</v>
      </c>
      <c r="G3336" s="80" t="s">
        <v>84</v>
      </c>
      <c r="H3336" s="80" t="s">
        <v>84</v>
      </c>
      <c r="I3336" s="80" t="s">
        <v>84</v>
      </c>
      <c r="J3336" s="80" t="s">
        <v>84</v>
      </c>
      <c r="K3336" s="80" t="s">
        <v>84</v>
      </c>
      <c r="L3336" s="80" t="s">
        <v>84</v>
      </c>
      <c r="M3336" s="80" t="s">
        <v>84</v>
      </c>
      <c r="N3336" s="80" t="s">
        <v>84</v>
      </c>
      <c r="O3336" s="80" t="s">
        <v>84</v>
      </c>
      <c r="Q3336" s="80" t="s">
        <v>84</v>
      </c>
      <c r="R3336" s="80" t="s">
        <v>84</v>
      </c>
    </row>
    <row r="3337" spans="1:18" ht="20" x14ac:dyDescent="0.2">
      <c r="A3337" s="80" t="s">
        <v>212</v>
      </c>
      <c r="B3337" s="80" t="s">
        <v>213</v>
      </c>
      <c r="C3337" s="80" t="s">
        <v>84</v>
      </c>
      <c r="D3337" s="80" t="s">
        <v>84</v>
      </c>
      <c r="E3337" s="80" t="s">
        <v>84</v>
      </c>
      <c r="G3337" s="80" t="s">
        <v>84</v>
      </c>
      <c r="H3337" s="80" t="s">
        <v>84</v>
      </c>
      <c r="I3337" s="80" t="s">
        <v>84</v>
      </c>
      <c r="J3337" s="80" t="s">
        <v>84</v>
      </c>
      <c r="K3337" s="80" t="s">
        <v>84</v>
      </c>
      <c r="L3337" s="80" t="s">
        <v>84</v>
      </c>
      <c r="M3337" s="80" t="s">
        <v>84</v>
      </c>
      <c r="N3337" s="80" t="s">
        <v>84</v>
      </c>
      <c r="O3337" s="80" t="s">
        <v>84</v>
      </c>
      <c r="Q3337" s="80" t="s">
        <v>84</v>
      </c>
      <c r="R3337" s="80" t="s">
        <v>84</v>
      </c>
    </row>
    <row r="3338" spans="1:18" ht="20" x14ac:dyDescent="0.2">
      <c r="A3338" s="80" t="s">
        <v>2499</v>
      </c>
      <c r="B3338" s="80" t="s">
        <v>2500</v>
      </c>
      <c r="C3338" s="80" t="s">
        <v>9680</v>
      </c>
      <c r="D3338" s="80" t="s">
        <v>84</v>
      </c>
      <c r="E3338" s="80" t="s">
        <v>84</v>
      </c>
      <c r="G3338" s="80" t="s">
        <v>84</v>
      </c>
      <c r="H3338" s="80" t="s">
        <v>84</v>
      </c>
      <c r="I3338" s="80" t="s">
        <v>84</v>
      </c>
      <c r="J3338" s="80" t="s">
        <v>84</v>
      </c>
      <c r="K3338" s="80" t="s">
        <v>84</v>
      </c>
      <c r="L3338" s="80" t="s">
        <v>84</v>
      </c>
      <c r="M3338" s="80" t="s">
        <v>84</v>
      </c>
      <c r="N3338" s="80" t="s">
        <v>84</v>
      </c>
      <c r="O3338" s="80" t="s">
        <v>84</v>
      </c>
      <c r="Q3338" s="80" t="s">
        <v>84</v>
      </c>
      <c r="R3338" s="80" t="s">
        <v>84</v>
      </c>
    </row>
    <row r="3339" spans="1:18" ht="20" x14ac:dyDescent="0.2">
      <c r="A3339" s="80" t="s">
        <v>5309</v>
      </c>
      <c r="B3339" s="80" t="s">
        <v>5310</v>
      </c>
      <c r="C3339" s="80" t="s">
        <v>9722</v>
      </c>
      <c r="D3339" s="80" t="s">
        <v>84</v>
      </c>
      <c r="E3339" s="80" t="s">
        <v>84</v>
      </c>
      <c r="G3339" s="80" t="s">
        <v>84</v>
      </c>
      <c r="H3339" s="80" t="s">
        <v>84</v>
      </c>
      <c r="I3339" s="80" t="s">
        <v>84</v>
      </c>
      <c r="J3339" s="80" t="s">
        <v>84</v>
      </c>
      <c r="K3339" s="80" t="s">
        <v>84</v>
      </c>
      <c r="L3339" s="80" t="s">
        <v>84</v>
      </c>
      <c r="M3339" s="80" t="s">
        <v>84</v>
      </c>
      <c r="N3339" s="80" t="s">
        <v>84</v>
      </c>
      <c r="O3339" s="80" t="s">
        <v>84</v>
      </c>
      <c r="Q3339" s="80" t="s">
        <v>84</v>
      </c>
      <c r="R3339" s="80" t="s">
        <v>84</v>
      </c>
    </row>
    <row r="3340" spans="1:18" ht="20" x14ac:dyDescent="0.2">
      <c r="A3340" s="80" t="s">
        <v>5317</v>
      </c>
      <c r="B3340" s="80" t="s">
        <v>5318</v>
      </c>
      <c r="C3340" s="80" t="s">
        <v>9722</v>
      </c>
      <c r="D3340" s="80" t="s">
        <v>84</v>
      </c>
      <c r="E3340" s="80" t="s">
        <v>84</v>
      </c>
      <c r="G3340" s="80" t="s">
        <v>84</v>
      </c>
      <c r="H3340" s="80" t="s">
        <v>84</v>
      </c>
      <c r="I3340" s="80" t="s">
        <v>84</v>
      </c>
      <c r="J3340" s="80" t="s">
        <v>84</v>
      </c>
      <c r="K3340" s="80" t="s">
        <v>84</v>
      </c>
      <c r="L3340" s="80" t="s">
        <v>84</v>
      </c>
      <c r="M3340" s="80" t="s">
        <v>84</v>
      </c>
      <c r="N3340" s="80" t="s">
        <v>84</v>
      </c>
      <c r="O3340" s="80" t="s">
        <v>84</v>
      </c>
      <c r="Q3340" s="80" t="s">
        <v>84</v>
      </c>
      <c r="R3340" s="80" t="s">
        <v>84</v>
      </c>
    </row>
    <row r="3341" spans="1:18" ht="20" x14ac:dyDescent="0.2">
      <c r="A3341" s="80" t="s">
        <v>5290</v>
      </c>
      <c r="B3341" s="80" t="s">
        <v>5291</v>
      </c>
      <c r="C3341" s="80" t="s">
        <v>9722</v>
      </c>
      <c r="D3341" s="80" t="s">
        <v>84</v>
      </c>
      <c r="E3341" s="80" t="s">
        <v>84</v>
      </c>
      <c r="G3341" s="80" t="s">
        <v>84</v>
      </c>
      <c r="H3341" s="80" t="s">
        <v>84</v>
      </c>
      <c r="I3341" s="80" t="s">
        <v>84</v>
      </c>
      <c r="J3341" s="80" t="s">
        <v>84</v>
      </c>
      <c r="K3341" s="80" t="s">
        <v>84</v>
      </c>
      <c r="L3341" s="80" t="s">
        <v>84</v>
      </c>
      <c r="M3341" s="80" t="s">
        <v>84</v>
      </c>
      <c r="N3341" s="80" t="s">
        <v>84</v>
      </c>
      <c r="O3341" s="80" t="s">
        <v>84</v>
      </c>
      <c r="Q3341" s="80" t="s">
        <v>84</v>
      </c>
      <c r="R3341" s="80" t="s">
        <v>84</v>
      </c>
    </row>
    <row r="3342" spans="1:18" ht="20" x14ac:dyDescent="0.2">
      <c r="A3342" s="80" t="s">
        <v>2459</v>
      </c>
      <c r="B3342" s="80" t="s">
        <v>2460</v>
      </c>
      <c r="C3342" s="80" t="s">
        <v>9680</v>
      </c>
      <c r="D3342" s="80" t="s">
        <v>84</v>
      </c>
      <c r="E3342" s="80" t="s">
        <v>84</v>
      </c>
      <c r="G3342" s="80" t="s">
        <v>84</v>
      </c>
      <c r="H3342" s="80" t="s">
        <v>84</v>
      </c>
      <c r="I3342" s="80" t="s">
        <v>84</v>
      </c>
      <c r="J3342" s="80" t="s">
        <v>84</v>
      </c>
      <c r="K3342" s="80" t="s">
        <v>84</v>
      </c>
      <c r="L3342" s="80" t="s">
        <v>84</v>
      </c>
      <c r="M3342" s="80" t="s">
        <v>84</v>
      </c>
      <c r="N3342" s="80" t="s">
        <v>84</v>
      </c>
      <c r="O3342" s="80" t="s">
        <v>84</v>
      </c>
      <c r="Q3342" s="80" t="s">
        <v>84</v>
      </c>
      <c r="R3342" s="80" t="s">
        <v>84</v>
      </c>
    </row>
    <row r="3343" spans="1:18" ht="20" x14ac:dyDescent="0.2">
      <c r="A3343" s="80" t="s">
        <v>3193</v>
      </c>
      <c r="B3343" s="80" t="s">
        <v>3194</v>
      </c>
      <c r="C3343" s="80" t="s">
        <v>9680</v>
      </c>
      <c r="D3343" s="80" t="s">
        <v>84</v>
      </c>
      <c r="E3343" s="80" t="s">
        <v>84</v>
      </c>
      <c r="G3343" s="80" t="s">
        <v>84</v>
      </c>
      <c r="H3343" s="80" t="s">
        <v>84</v>
      </c>
      <c r="I3343" s="80" t="s">
        <v>84</v>
      </c>
      <c r="J3343" s="80" t="s">
        <v>84</v>
      </c>
      <c r="K3343" s="80" t="s">
        <v>84</v>
      </c>
      <c r="L3343" s="80" t="s">
        <v>84</v>
      </c>
      <c r="M3343" s="80" t="s">
        <v>84</v>
      </c>
      <c r="N3343" s="80" t="s">
        <v>84</v>
      </c>
      <c r="O3343" s="80" t="s">
        <v>84</v>
      </c>
      <c r="Q3343" s="80" t="s">
        <v>84</v>
      </c>
      <c r="R3343" s="80" t="s">
        <v>84</v>
      </c>
    </row>
    <row r="3344" spans="1:18" ht="20" x14ac:dyDescent="0.2">
      <c r="A3344" s="80" t="s">
        <v>3195</v>
      </c>
      <c r="B3344" s="80" t="s">
        <v>3196</v>
      </c>
      <c r="C3344" s="80" t="s">
        <v>9680</v>
      </c>
      <c r="D3344" s="80" t="s">
        <v>84</v>
      </c>
      <c r="E3344" s="80" t="s">
        <v>84</v>
      </c>
      <c r="G3344" s="80" t="s">
        <v>84</v>
      </c>
      <c r="H3344" s="80" t="s">
        <v>84</v>
      </c>
      <c r="I3344" s="80" t="s">
        <v>84</v>
      </c>
      <c r="J3344" s="80" t="s">
        <v>84</v>
      </c>
      <c r="K3344" s="80" t="s">
        <v>84</v>
      </c>
      <c r="L3344" s="80" t="s">
        <v>84</v>
      </c>
      <c r="M3344" s="80" t="s">
        <v>84</v>
      </c>
      <c r="N3344" s="80" t="s">
        <v>84</v>
      </c>
      <c r="O3344" s="80" t="s">
        <v>84</v>
      </c>
      <c r="Q3344" s="80" t="s">
        <v>84</v>
      </c>
      <c r="R3344" s="80" t="s">
        <v>84</v>
      </c>
    </row>
    <row r="3345" spans="1:18" ht="20" x14ac:dyDescent="0.2">
      <c r="A3345" s="80" t="s">
        <v>5281</v>
      </c>
      <c r="B3345" s="80" t="s">
        <v>5282</v>
      </c>
      <c r="C3345" s="80" t="s">
        <v>9722</v>
      </c>
      <c r="D3345" s="80" t="s">
        <v>84</v>
      </c>
      <c r="E3345" s="80" t="s">
        <v>84</v>
      </c>
      <c r="G3345" s="80" t="s">
        <v>84</v>
      </c>
      <c r="H3345" s="80" t="s">
        <v>84</v>
      </c>
      <c r="I3345" s="80" t="s">
        <v>84</v>
      </c>
      <c r="J3345" s="80" t="s">
        <v>84</v>
      </c>
      <c r="K3345" s="80" t="s">
        <v>84</v>
      </c>
      <c r="L3345" s="80" t="s">
        <v>84</v>
      </c>
      <c r="M3345" s="80" t="s">
        <v>84</v>
      </c>
      <c r="N3345" s="80" t="s">
        <v>84</v>
      </c>
      <c r="O3345" s="80" t="s">
        <v>84</v>
      </c>
      <c r="Q3345" s="80" t="s">
        <v>84</v>
      </c>
      <c r="R3345" s="80" t="s">
        <v>84</v>
      </c>
    </row>
    <row r="3346" spans="1:18" ht="20" x14ac:dyDescent="0.2">
      <c r="A3346" s="80" t="s">
        <v>633</v>
      </c>
      <c r="B3346" s="80" t="s">
        <v>634</v>
      </c>
      <c r="C3346" s="80" t="s">
        <v>9722</v>
      </c>
      <c r="D3346" s="80" t="s">
        <v>84</v>
      </c>
      <c r="E3346" s="80" t="s">
        <v>84</v>
      </c>
      <c r="G3346" s="80" t="s">
        <v>84</v>
      </c>
      <c r="H3346" s="80" t="s">
        <v>84</v>
      </c>
      <c r="I3346" s="80" t="s">
        <v>84</v>
      </c>
      <c r="J3346" s="80" t="s">
        <v>84</v>
      </c>
      <c r="K3346" s="80" t="s">
        <v>84</v>
      </c>
      <c r="L3346" s="80" t="s">
        <v>84</v>
      </c>
      <c r="M3346" s="80" t="s">
        <v>84</v>
      </c>
      <c r="N3346" s="80" t="s">
        <v>84</v>
      </c>
      <c r="O3346" s="80" t="s">
        <v>84</v>
      </c>
      <c r="Q3346" s="80" t="s">
        <v>84</v>
      </c>
      <c r="R3346" s="80" t="s">
        <v>84</v>
      </c>
    </row>
    <row r="3347" spans="1:18" ht="20" x14ac:dyDescent="0.2">
      <c r="A3347" s="80" t="s">
        <v>2562</v>
      </c>
      <c r="B3347" s="80" t="s">
        <v>2563</v>
      </c>
      <c r="C3347" s="80" t="s">
        <v>9680</v>
      </c>
      <c r="D3347" s="80" t="s">
        <v>84</v>
      </c>
      <c r="E3347" s="80" t="s">
        <v>84</v>
      </c>
      <c r="G3347" s="80" t="s">
        <v>84</v>
      </c>
      <c r="H3347" s="80" t="s">
        <v>84</v>
      </c>
      <c r="I3347" s="80" t="s">
        <v>84</v>
      </c>
      <c r="J3347" s="80" t="s">
        <v>84</v>
      </c>
      <c r="K3347" s="80" t="s">
        <v>84</v>
      </c>
      <c r="L3347" s="80" t="s">
        <v>84</v>
      </c>
      <c r="M3347" s="80" t="s">
        <v>84</v>
      </c>
      <c r="N3347" s="80" t="s">
        <v>84</v>
      </c>
      <c r="O3347" s="80" t="s">
        <v>84</v>
      </c>
      <c r="Q3347" s="80" t="s">
        <v>84</v>
      </c>
      <c r="R3347" s="80" t="s">
        <v>84</v>
      </c>
    </row>
    <row r="3348" spans="1:18" ht="20" x14ac:dyDescent="0.2">
      <c r="A3348" s="80" t="s">
        <v>106</v>
      </c>
      <c r="B3348" s="80" t="s">
        <v>107</v>
      </c>
      <c r="C3348" s="80" t="s">
        <v>9680</v>
      </c>
      <c r="D3348" s="80" t="s">
        <v>84</v>
      </c>
      <c r="E3348" s="80" t="s">
        <v>84</v>
      </c>
      <c r="G3348" s="80" t="s">
        <v>84</v>
      </c>
      <c r="H3348" s="80" t="s">
        <v>84</v>
      </c>
      <c r="I3348" s="80" t="s">
        <v>84</v>
      </c>
      <c r="J3348" s="80" t="s">
        <v>84</v>
      </c>
      <c r="K3348" s="80" t="s">
        <v>84</v>
      </c>
      <c r="L3348" s="80" t="s">
        <v>84</v>
      </c>
      <c r="M3348" s="80" t="s">
        <v>84</v>
      </c>
      <c r="N3348" s="80" t="s">
        <v>84</v>
      </c>
      <c r="O3348" s="80" t="s">
        <v>84</v>
      </c>
      <c r="Q3348" s="80" t="s">
        <v>84</v>
      </c>
      <c r="R3348" s="80" t="s">
        <v>84</v>
      </c>
    </row>
    <row r="3349" spans="1:18" ht="20" x14ac:dyDescent="0.2">
      <c r="A3349" s="80" t="s">
        <v>1435</v>
      </c>
      <c r="B3349" s="80" t="s">
        <v>1436</v>
      </c>
      <c r="C3349" s="80" t="s">
        <v>9680</v>
      </c>
      <c r="D3349" s="80" t="s">
        <v>84</v>
      </c>
      <c r="E3349" s="80" t="s">
        <v>84</v>
      </c>
      <c r="G3349" s="80" t="s">
        <v>84</v>
      </c>
      <c r="H3349" s="80" t="s">
        <v>84</v>
      </c>
      <c r="I3349" s="80" t="s">
        <v>84</v>
      </c>
      <c r="J3349" s="80" t="s">
        <v>84</v>
      </c>
      <c r="K3349" s="80" t="s">
        <v>84</v>
      </c>
      <c r="L3349" s="80" t="s">
        <v>84</v>
      </c>
      <c r="M3349" s="80" t="s">
        <v>84</v>
      </c>
      <c r="N3349" s="80" t="s">
        <v>84</v>
      </c>
      <c r="O3349" s="80" t="s">
        <v>84</v>
      </c>
      <c r="Q3349" s="80" t="s">
        <v>84</v>
      </c>
      <c r="R3349" s="80" t="s">
        <v>84</v>
      </c>
    </row>
    <row r="3350" spans="1:18" ht="20" x14ac:dyDescent="0.2">
      <c r="A3350" s="80" t="s">
        <v>1806</v>
      </c>
      <c r="B3350" s="80" t="s">
        <v>1807</v>
      </c>
      <c r="C3350" s="80" t="s">
        <v>9680</v>
      </c>
      <c r="D3350" s="80" t="s">
        <v>84</v>
      </c>
      <c r="E3350" s="80" t="s">
        <v>84</v>
      </c>
      <c r="G3350" s="80" t="s">
        <v>84</v>
      </c>
      <c r="H3350" s="80" t="s">
        <v>84</v>
      </c>
      <c r="I3350" s="80" t="s">
        <v>84</v>
      </c>
      <c r="J3350" s="80" t="s">
        <v>84</v>
      </c>
      <c r="K3350" s="80" t="s">
        <v>84</v>
      </c>
      <c r="L3350" s="80" t="s">
        <v>84</v>
      </c>
      <c r="M3350" s="80" t="s">
        <v>84</v>
      </c>
      <c r="N3350" s="80" t="s">
        <v>84</v>
      </c>
      <c r="O3350" s="80" t="s">
        <v>84</v>
      </c>
      <c r="Q3350" s="80" t="s">
        <v>84</v>
      </c>
      <c r="R3350" s="80" t="s">
        <v>84</v>
      </c>
    </row>
    <row r="3351" spans="1:18" ht="20" x14ac:dyDescent="0.2">
      <c r="A3351" s="80" t="s">
        <v>4929</v>
      </c>
      <c r="B3351" s="80" t="s">
        <v>4930</v>
      </c>
      <c r="C3351" s="80" t="s">
        <v>9680</v>
      </c>
      <c r="D3351" s="80" t="s">
        <v>84</v>
      </c>
      <c r="E3351" s="80" t="s">
        <v>84</v>
      </c>
      <c r="G3351" s="80" t="s">
        <v>84</v>
      </c>
      <c r="H3351" s="80" t="s">
        <v>84</v>
      </c>
      <c r="I3351" s="80" t="s">
        <v>84</v>
      </c>
      <c r="J3351" s="80" t="s">
        <v>84</v>
      </c>
      <c r="K3351" s="80" t="s">
        <v>84</v>
      </c>
      <c r="L3351" s="80" t="s">
        <v>84</v>
      </c>
      <c r="M3351" s="80" t="s">
        <v>84</v>
      </c>
      <c r="N3351" s="80" t="s">
        <v>84</v>
      </c>
      <c r="O3351" s="80" t="s">
        <v>84</v>
      </c>
      <c r="Q3351" s="80" t="s">
        <v>84</v>
      </c>
      <c r="R3351" s="80" t="s">
        <v>84</v>
      </c>
    </row>
    <row r="3352" spans="1:18" ht="20" x14ac:dyDescent="0.2">
      <c r="A3352" s="80" t="s">
        <v>4814</v>
      </c>
      <c r="B3352" s="80" t="s">
        <v>4815</v>
      </c>
      <c r="C3352" s="80" t="s">
        <v>84</v>
      </c>
      <c r="D3352" s="80" t="s">
        <v>84</v>
      </c>
      <c r="E3352" s="80" t="s">
        <v>84</v>
      </c>
      <c r="G3352" s="80" t="s">
        <v>84</v>
      </c>
      <c r="H3352" s="80" t="s">
        <v>84</v>
      </c>
      <c r="I3352" s="80" t="s">
        <v>84</v>
      </c>
      <c r="J3352" s="80" t="s">
        <v>84</v>
      </c>
      <c r="K3352" s="80" t="s">
        <v>84</v>
      </c>
      <c r="L3352" s="80" t="s">
        <v>84</v>
      </c>
      <c r="M3352" s="80" t="s">
        <v>84</v>
      </c>
      <c r="N3352" s="80" t="s">
        <v>84</v>
      </c>
      <c r="O3352" s="80" t="s">
        <v>84</v>
      </c>
      <c r="Q3352" s="80" t="s">
        <v>84</v>
      </c>
      <c r="R3352" s="80" t="s">
        <v>84</v>
      </c>
    </row>
    <row r="3353" spans="1:18" ht="20" x14ac:dyDescent="0.2">
      <c r="A3353" s="80" t="s">
        <v>3221</v>
      </c>
      <c r="B3353" s="80" t="s">
        <v>3222</v>
      </c>
      <c r="C3353" s="80" t="s">
        <v>9680</v>
      </c>
      <c r="D3353" s="80" t="s">
        <v>84</v>
      </c>
      <c r="E3353" s="80" t="s">
        <v>84</v>
      </c>
      <c r="G3353" s="80" t="s">
        <v>84</v>
      </c>
      <c r="H3353" s="80" t="s">
        <v>84</v>
      </c>
      <c r="I3353" s="80" t="s">
        <v>84</v>
      </c>
      <c r="J3353" s="80" t="s">
        <v>84</v>
      </c>
      <c r="K3353" s="80" t="s">
        <v>84</v>
      </c>
      <c r="L3353" s="80" t="s">
        <v>84</v>
      </c>
      <c r="M3353" s="80" t="s">
        <v>84</v>
      </c>
      <c r="N3353" s="80" t="s">
        <v>84</v>
      </c>
      <c r="O3353" s="80" t="s">
        <v>84</v>
      </c>
      <c r="Q3353" s="80" t="s">
        <v>84</v>
      </c>
      <c r="R3353" s="80" t="s">
        <v>84</v>
      </c>
    </row>
    <row r="3354" spans="1:18" ht="20" x14ac:dyDescent="0.2">
      <c r="A3354" s="80" t="s">
        <v>3333</v>
      </c>
      <c r="B3354" s="80" t="s">
        <v>3334</v>
      </c>
      <c r="C3354" s="80" t="s">
        <v>9722</v>
      </c>
      <c r="D3354" s="80" t="s">
        <v>84</v>
      </c>
      <c r="E3354" s="80" t="s">
        <v>84</v>
      </c>
      <c r="G3354" s="80" t="s">
        <v>84</v>
      </c>
      <c r="H3354" s="80" t="s">
        <v>84</v>
      </c>
      <c r="I3354" s="80" t="s">
        <v>84</v>
      </c>
      <c r="J3354" s="80" t="s">
        <v>84</v>
      </c>
      <c r="K3354" s="80" t="s">
        <v>84</v>
      </c>
      <c r="L3354" s="80" t="s">
        <v>84</v>
      </c>
      <c r="M3354" s="80" t="s">
        <v>84</v>
      </c>
      <c r="N3354" s="80" t="s">
        <v>84</v>
      </c>
      <c r="O3354" s="80" t="s">
        <v>84</v>
      </c>
      <c r="Q3354" s="80" t="s">
        <v>84</v>
      </c>
      <c r="R3354" s="80" t="s">
        <v>84</v>
      </c>
    </row>
    <row r="3355" spans="1:18" ht="20" x14ac:dyDescent="0.2">
      <c r="A3355" s="80" t="s">
        <v>3337</v>
      </c>
      <c r="B3355" s="80" t="s">
        <v>3338</v>
      </c>
      <c r="C3355" s="80" t="s">
        <v>9722</v>
      </c>
      <c r="D3355" s="80" t="s">
        <v>84</v>
      </c>
      <c r="E3355" s="80" t="s">
        <v>84</v>
      </c>
      <c r="G3355" s="80" t="s">
        <v>84</v>
      </c>
      <c r="H3355" s="80" t="s">
        <v>84</v>
      </c>
      <c r="I3355" s="80" t="s">
        <v>84</v>
      </c>
      <c r="J3355" s="80" t="s">
        <v>84</v>
      </c>
      <c r="K3355" s="80" t="s">
        <v>84</v>
      </c>
      <c r="L3355" s="80" t="s">
        <v>84</v>
      </c>
      <c r="M3355" s="80" t="s">
        <v>84</v>
      </c>
      <c r="N3355" s="80" t="s">
        <v>84</v>
      </c>
      <c r="O3355" s="80" t="s">
        <v>84</v>
      </c>
      <c r="Q3355" s="80" t="s">
        <v>84</v>
      </c>
      <c r="R3355" s="80" t="s">
        <v>84</v>
      </c>
    </row>
    <row r="3356" spans="1:18" ht="20" x14ac:dyDescent="0.2">
      <c r="A3356" s="80" t="s">
        <v>4383</v>
      </c>
      <c r="B3356" s="80" t="s">
        <v>4384</v>
      </c>
      <c r="C3356" s="80" t="s">
        <v>84</v>
      </c>
      <c r="D3356" s="80" t="s">
        <v>84</v>
      </c>
      <c r="E3356" s="80" t="s">
        <v>84</v>
      </c>
      <c r="G3356" s="80" t="s">
        <v>84</v>
      </c>
      <c r="H3356" s="80" t="s">
        <v>84</v>
      </c>
      <c r="I3356" s="80" t="s">
        <v>84</v>
      </c>
      <c r="J3356" s="80" t="s">
        <v>84</v>
      </c>
      <c r="K3356" s="80" t="s">
        <v>84</v>
      </c>
      <c r="L3356" s="80" t="s">
        <v>84</v>
      </c>
      <c r="M3356" s="80" t="s">
        <v>84</v>
      </c>
      <c r="N3356" s="80" t="s">
        <v>84</v>
      </c>
      <c r="O3356" s="80" t="s">
        <v>84</v>
      </c>
      <c r="Q3356" s="80" t="s">
        <v>84</v>
      </c>
      <c r="R3356" s="80" t="s">
        <v>84</v>
      </c>
    </row>
    <row r="3357" spans="1:18" ht="20" x14ac:dyDescent="0.2">
      <c r="A3357" s="80" t="s">
        <v>3279</v>
      </c>
      <c r="B3357" s="80" t="s">
        <v>3280</v>
      </c>
      <c r="C3357" s="80" t="s">
        <v>9680</v>
      </c>
      <c r="D3357" s="80" t="s">
        <v>84</v>
      </c>
      <c r="E3357" s="80" t="s">
        <v>84</v>
      </c>
      <c r="G3357" s="80" t="s">
        <v>84</v>
      </c>
      <c r="H3357" s="80" t="s">
        <v>84</v>
      </c>
      <c r="I3357" s="80" t="s">
        <v>84</v>
      </c>
      <c r="J3357" s="80" t="s">
        <v>84</v>
      </c>
      <c r="K3357" s="80" t="s">
        <v>84</v>
      </c>
      <c r="L3357" s="80" t="s">
        <v>84</v>
      </c>
      <c r="M3357" s="80" t="s">
        <v>84</v>
      </c>
      <c r="N3357" s="80" t="s">
        <v>84</v>
      </c>
      <c r="O3357" s="80" t="s">
        <v>84</v>
      </c>
      <c r="Q3357" s="80" t="s">
        <v>84</v>
      </c>
      <c r="R3357" s="80" t="s">
        <v>84</v>
      </c>
    </row>
    <row r="3358" spans="1:18" ht="20" x14ac:dyDescent="0.2">
      <c r="A3358" s="80" t="s">
        <v>3637</v>
      </c>
      <c r="B3358" s="80" t="s">
        <v>3638</v>
      </c>
      <c r="C3358" s="80" t="s">
        <v>84</v>
      </c>
      <c r="D3358" s="80" t="s">
        <v>84</v>
      </c>
      <c r="E3358" s="80" t="s">
        <v>84</v>
      </c>
      <c r="G3358" s="80" t="s">
        <v>84</v>
      </c>
      <c r="H3358" s="80" t="s">
        <v>84</v>
      </c>
      <c r="I3358" s="80" t="s">
        <v>84</v>
      </c>
      <c r="J3358" s="80" t="s">
        <v>84</v>
      </c>
      <c r="K3358" s="80" t="s">
        <v>84</v>
      </c>
      <c r="L3358" s="80" t="s">
        <v>84</v>
      </c>
      <c r="M3358" s="80" t="s">
        <v>84</v>
      </c>
      <c r="N3358" s="80" t="s">
        <v>84</v>
      </c>
      <c r="O3358" s="80" t="s">
        <v>84</v>
      </c>
      <c r="Q3358" s="80" t="s">
        <v>84</v>
      </c>
      <c r="R3358" s="80" t="s">
        <v>84</v>
      </c>
    </row>
    <row r="3359" spans="1:18" ht="20" x14ac:dyDescent="0.2">
      <c r="A3359" s="80" t="s">
        <v>3639</v>
      </c>
      <c r="B3359" s="80" t="s">
        <v>3640</v>
      </c>
      <c r="C3359" s="80" t="s">
        <v>84</v>
      </c>
      <c r="D3359" s="80" t="s">
        <v>84</v>
      </c>
      <c r="E3359" s="80" t="s">
        <v>84</v>
      </c>
      <c r="G3359" s="80" t="s">
        <v>84</v>
      </c>
      <c r="H3359" s="80" t="s">
        <v>84</v>
      </c>
      <c r="I3359" s="80" t="s">
        <v>84</v>
      </c>
      <c r="J3359" s="80" t="s">
        <v>84</v>
      </c>
      <c r="K3359" s="80" t="s">
        <v>84</v>
      </c>
      <c r="L3359" s="80" t="s">
        <v>84</v>
      </c>
      <c r="M3359" s="80" t="s">
        <v>84</v>
      </c>
      <c r="N3359" s="80" t="s">
        <v>84</v>
      </c>
      <c r="O3359" s="80" t="s">
        <v>84</v>
      </c>
      <c r="Q3359" s="80" t="s">
        <v>84</v>
      </c>
      <c r="R3359" s="80" t="s">
        <v>84</v>
      </c>
    </row>
    <row r="3360" spans="1:18" ht="20" x14ac:dyDescent="0.2">
      <c r="A3360" s="80" t="s">
        <v>3639</v>
      </c>
      <c r="B3360" s="80" t="s">
        <v>3649</v>
      </c>
      <c r="C3360" s="80" t="s">
        <v>84</v>
      </c>
      <c r="D3360" s="80" t="s">
        <v>84</v>
      </c>
      <c r="E3360" s="80" t="s">
        <v>84</v>
      </c>
      <c r="G3360" s="80" t="s">
        <v>84</v>
      </c>
      <c r="H3360" s="80" t="s">
        <v>84</v>
      </c>
      <c r="I3360" s="80" t="s">
        <v>84</v>
      </c>
      <c r="J3360" s="80" t="s">
        <v>84</v>
      </c>
      <c r="K3360" s="80" t="s">
        <v>84</v>
      </c>
      <c r="L3360" s="80" t="s">
        <v>84</v>
      </c>
      <c r="M3360" s="80" t="s">
        <v>84</v>
      </c>
      <c r="N3360" s="80" t="s">
        <v>84</v>
      </c>
      <c r="O3360" s="80" t="s">
        <v>84</v>
      </c>
      <c r="Q3360" s="80" t="s">
        <v>84</v>
      </c>
      <c r="R3360" s="80" t="s">
        <v>84</v>
      </c>
    </row>
    <row r="3361" spans="1:18" ht="20" x14ac:dyDescent="0.2">
      <c r="A3361" s="80" t="s">
        <v>1441</v>
      </c>
      <c r="B3361" s="80" t="s">
        <v>1442</v>
      </c>
      <c r="C3361" s="80" t="s">
        <v>9680</v>
      </c>
      <c r="D3361" s="80" t="s">
        <v>84</v>
      </c>
      <c r="E3361" s="80" t="s">
        <v>84</v>
      </c>
      <c r="G3361" s="80" t="s">
        <v>84</v>
      </c>
      <c r="H3361" s="80" t="s">
        <v>84</v>
      </c>
      <c r="I3361" s="80" t="s">
        <v>84</v>
      </c>
      <c r="J3361" s="80" t="s">
        <v>84</v>
      </c>
      <c r="K3361" s="80" t="s">
        <v>84</v>
      </c>
      <c r="L3361" s="80" t="s">
        <v>84</v>
      </c>
      <c r="M3361" s="80" t="s">
        <v>84</v>
      </c>
      <c r="N3361" s="80" t="s">
        <v>84</v>
      </c>
      <c r="O3361" s="80" t="s">
        <v>84</v>
      </c>
      <c r="Q3361" s="80" t="s">
        <v>84</v>
      </c>
      <c r="R3361" s="80" t="s">
        <v>84</v>
      </c>
    </row>
    <row r="3362" spans="1:18" ht="20" x14ac:dyDescent="0.2">
      <c r="A3362" s="80" t="s">
        <v>1443</v>
      </c>
      <c r="B3362" s="80" t="s">
        <v>1444</v>
      </c>
      <c r="C3362" s="80" t="s">
        <v>9680</v>
      </c>
      <c r="D3362" s="80" t="s">
        <v>84</v>
      </c>
      <c r="E3362" s="80" t="s">
        <v>84</v>
      </c>
      <c r="G3362" s="80" t="s">
        <v>84</v>
      </c>
      <c r="H3362" s="80" t="s">
        <v>84</v>
      </c>
      <c r="I3362" s="80" t="s">
        <v>84</v>
      </c>
      <c r="J3362" s="80" t="s">
        <v>84</v>
      </c>
      <c r="K3362" s="80" t="s">
        <v>84</v>
      </c>
      <c r="L3362" s="80" t="s">
        <v>84</v>
      </c>
      <c r="M3362" s="80" t="s">
        <v>84</v>
      </c>
      <c r="N3362" s="80" t="s">
        <v>84</v>
      </c>
      <c r="O3362" s="80" t="s">
        <v>84</v>
      </c>
      <c r="Q3362" s="80" t="s">
        <v>84</v>
      </c>
      <c r="R3362" s="80" t="s">
        <v>84</v>
      </c>
    </row>
    <row r="3363" spans="1:18" ht="20" x14ac:dyDescent="0.2">
      <c r="A3363" s="80" t="s">
        <v>1443</v>
      </c>
      <c r="B3363" s="80" t="s">
        <v>1515</v>
      </c>
      <c r="C3363" s="80" t="s">
        <v>9680</v>
      </c>
      <c r="D3363" s="80" t="s">
        <v>84</v>
      </c>
      <c r="E3363" s="80" t="s">
        <v>84</v>
      </c>
      <c r="G3363" s="80" t="s">
        <v>84</v>
      </c>
      <c r="H3363" s="80" t="s">
        <v>84</v>
      </c>
      <c r="I3363" s="80" t="s">
        <v>84</v>
      </c>
      <c r="J3363" s="80" t="s">
        <v>84</v>
      </c>
      <c r="K3363" s="80" t="s">
        <v>84</v>
      </c>
      <c r="L3363" s="80" t="s">
        <v>84</v>
      </c>
      <c r="M3363" s="80" t="s">
        <v>84</v>
      </c>
      <c r="N3363" s="80" t="s">
        <v>84</v>
      </c>
      <c r="O3363" s="80" t="s">
        <v>84</v>
      </c>
      <c r="Q3363" s="80" t="s">
        <v>84</v>
      </c>
      <c r="R3363" s="80" t="s">
        <v>84</v>
      </c>
    </row>
    <row r="3364" spans="1:18" ht="20" x14ac:dyDescent="0.2">
      <c r="A3364" s="80" t="s">
        <v>1424</v>
      </c>
      <c r="B3364" s="80" t="s">
        <v>1425</v>
      </c>
      <c r="C3364" s="80" t="s">
        <v>9680</v>
      </c>
      <c r="D3364" s="80" t="s">
        <v>84</v>
      </c>
      <c r="E3364" s="80" t="s">
        <v>84</v>
      </c>
      <c r="G3364" s="80" t="s">
        <v>84</v>
      </c>
      <c r="H3364" s="80" t="s">
        <v>84</v>
      </c>
      <c r="I3364" s="80" t="s">
        <v>84</v>
      </c>
      <c r="J3364" s="80" t="s">
        <v>84</v>
      </c>
      <c r="K3364" s="80" t="s">
        <v>84</v>
      </c>
      <c r="L3364" s="80" t="s">
        <v>84</v>
      </c>
      <c r="M3364" s="80" t="s">
        <v>84</v>
      </c>
      <c r="N3364" s="80" t="s">
        <v>84</v>
      </c>
      <c r="O3364" s="80" t="s">
        <v>84</v>
      </c>
      <c r="Q3364" s="80" t="s">
        <v>84</v>
      </c>
      <c r="R3364" s="80" t="s">
        <v>84</v>
      </c>
    </row>
    <row r="3365" spans="1:18" ht="20" x14ac:dyDescent="0.2">
      <c r="A3365" s="80" t="s">
        <v>108</v>
      </c>
      <c r="B3365" s="80" t="s">
        <v>109</v>
      </c>
      <c r="C3365" s="80" t="s">
        <v>84</v>
      </c>
      <c r="D3365" s="80" t="s">
        <v>84</v>
      </c>
      <c r="E3365" s="80" t="s">
        <v>84</v>
      </c>
      <c r="G3365" s="80" t="s">
        <v>84</v>
      </c>
      <c r="H3365" s="80" t="s">
        <v>84</v>
      </c>
      <c r="I3365" s="80" t="s">
        <v>84</v>
      </c>
      <c r="J3365" s="80" t="s">
        <v>84</v>
      </c>
      <c r="K3365" s="80" t="s">
        <v>84</v>
      </c>
      <c r="L3365" s="80" t="s">
        <v>84</v>
      </c>
      <c r="M3365" s="80" t="s">
        <v>84</v>
      </c>
      <c r="N3365" s="80" t="s">
        <v>84</v>
      </c>
      <c r="O3365" s="80" t="s">
        <v>84</v>
      </c>
      <c r="Q3365" s="80" t="s">
        <v>84</v>
      </c>
      <c r="R3365" s="80" t="s">
        <v>84</v>
      </c>
    </row>
    <row r="3366" spans="1:18" ht="20" x14ac:dyDescent="0.2">
      <c r="A3366" s="80" t="s">
        <v>3197</v>
      </c>
      <c r="B3366" s="80" t="s">
        <v>3198</v>
      </c>
      <c r="C3366" s="80" t="s">
        <v>9680</v>
      </c>
      <c r="D3366" s="80" t="s">
        <v>84</v>
      </c>
      <c r="E3366" s="80" t="s">
        <v>84</v>
      </c>
      <c r="G3366" s="80" t="s">
        <v>84</v>
      </c>
      <c r="H3366" s="80" t="s">
        <v>84</v>
      </c>
      <c r="I3366" s="80" t="s">
        <v>84</v>
      </c>
      <c r="J3366" s="80" t="s">
        <v>84</v>
      </c>
      <c r="K3366" s="80" t="s">
        <v>84</v>
      </c>
      <c r="L3366" s="80" t="s">
        <v>84</v>
      </c>
      <c r="M3366" s="80" t="s">
        <v>84</v>
      </c>
      <c r="N3366" s="80" t="s">
        <v>84</v>
      </c>
      <c r="O3366" s="80" t="s">
        <v>84</v>
      </c>
      <c r="Q3366" s="80" t="s">
        <v>84</v>
      </c>
      <c r="R3366" s="80" t="s">
        <v>84</v>
      </c>
    </row>
    <row r="3367" spans="1:18" ht="20" x14ac:dyDescent="0.2">
      <c r="A3367" s="80" t="s">
        <v>4444</v>
      </c>
      <c r="B3367" s="80" t="s">
        <v>4445</v>
      </c>
      <c r="C3367" s="80" t="s">
        <v>9680</v>
      </c>
      <c r="D3367" s="80" t="s">
        <v>84</v>
      </c>
      <c r="E3367" s="80" t="s">
        <v>84</v>
      </c>
      <c r="G3367" s="80" t="s">
        <v>84</v>
      </c>
      <c r="H3367" s="80" t="s">
        <v>84</v>
      </c>
      <c r="I3367" s="80" t="s">
        <v>84</v>
      </c>
      <c r="J3367" s="80" t="s">
        <v>84</v>
      </c>
      <c r="K3367" s="80" t="s">
        <v>84</v>
      </c>
      <c r="L3367" s="80" t="s">
        <v>84</v>
      </c>
      <c r="M3367" s="80" t="s">
        <v>84</v>
      </c>
      <c r="N3367" s="80" t="s">
        <v>84</v>
      </c>
      <c r="O3367" s="80" t="s">
        <v>84</v>
      </c>
      <c r="Q3367" s="80" t="s">
        <v>84</v>
      </c>
      <c r="R3367" s="80" t="s">
        <v>84</v>
      </c>
    </row>
    <row r="3368" spans="1:18" ht="20" x14ac:dyDescent="0.2">
      <c r="A3368" s="80" t="s">
        <v>4408</v>
      </c>
      <c r="B3368" s="80" t="s">
        <v>4409</v>
      </c>
      <c r="C3368" s="80" t="s">
        <v>9680</v>
      </c>
      <c r="D3368" s="80" t="s">
        <v>84</v>
      </c>
      <c r="E3368" s="80" t="s">
        <v>84</v>
      </c>
      <c r="G3368" s="80" t="s">
        <v>84</v>
      </c>
      <c r="H3368" s="80" t="s">
        <v>84</v>
      </c>
      <c r="I3368" s="80" t="s">
        <v>84</v>
      </c>
      <c r="J3368" s="80" t="s">
        <v>84</v>
      </c>
      <c r="K3368" s="80" t="s">
        <v>84</v>
      </c>
      <c r="L3368" s="80" t="s">
        <v>84</v>
      </c>
      <c r="M3368" s="80" t="s">
        <v>84</v>
      </c>
      <c r="N3368" s="80" t="s">
        <v>84</v>
      </c>
      <c r="O3368" s="80" t="s">
        <v>84</v>
      </c>
      <c r="Q3368" s="80" t="s">
        <v>84</v>
      </c>
      <c r="R3368" s="80" t="s">
        <v>84</v>
      </c>
    </row>
    <row r="3369" spans="1:18" ht="20" x14ac:dyDescent="0.2">
      <c r="A3369" s="80" t="s">
        <v>4446</v>
      </c>
      <c r="B3369" s="80" t="s">
        <v>4447</v>
      </c>
      <c r="C3369" s="80" t="s">
        <v>9680</v>
      </c>
      <c r="D3369" s="80" t="s">
        <v>84</v>
      </c>
      <c r="E3369" s="80" t="s">
        <v>84</v>
      </c>
      <c r="G3369" s="80" t="s">
        <v>84</v>
      </c>
      <c r="H3369" s="80" t="s">
        <v>84</v>
      </c>
      <c r="I3369" s="80" t="s">
        <v>84</v>
      </c>
      <c r="J3369" s="80" t="s">
        <v>84</v>
      </c>
      <c r="K3369" s="80" t="s">
        <v>84</v>
      </c>
      <c r="L3369" s="80" t="s">
        <v>84</v>
      </c>
      <c r="M3369" s="80" t="s">
        <v>84</v>
      </c>
      <c r="N3369" s="80" t="s">
        <v>84</v>
      </c>
      <c r="O3369" s="80" t="s">
        <v>84</v>
      </c>
      <c r="Q3369" s="80" t="s">
        <v>84</v>
      </c>
      <c r="R3369" s="80" t="s">
        <v>84</v>
      </c>
    </row>
    <row r="3370" spans="1:18" ht="20" x14ac:dyDescent="0.2">
      <c r="A3370" s="80" t="s">
        <v>4425</v>
      </c>
      <c r="B3370" s="80" t="s">
        <v>4426</v>
      </c>
      <c r="C3370" s="80" t="s">
        <v>9680</v>
      </c>
      <c r="D3370" s="80" t="s">
        <v>84</v>
      </c>
      <c r="E3370" s="80" t="s">
        <v>84</v>
      </c>
      <c r="G3370" s="80" t="s">
        <v>84</v>
      </c>
      <c r="H3370" s="80" t="s">
        <v>84</v>
      </c>
      <c r="I3370" s="80" t="s">
        <v>84</v>
      </c>
      <c r="J3370" s="80" t="s">
        <v>84</v>
      </c>
      <c r="K3370" s="80" t="s">
        <v>84</v>
      </c>
      <c r="L3370" s="80" t="s">
        <v>84</v>
      </c>
      <c r="M3370" s="80" t="s">
        <v>84</v>
      </c>
      <c r="N3370" s="80" t="s">
        <v>84</v>
      </c>
      <c r="O3370" s="80" t="s">
        <v>84</v>
      </c>
      <c r="Q3370" s="80" t="s">
        <v>84</v>
      </c>
      <c r="R3370" s="80" t="s">
        <v>84</v>
      </c>
    </row>
    <row r="3371" spans="1:18" ht="20" x14ac:dyDescent="0.2">
      <c r="A3371" s="80" t="s">
        <v>4448</v>
      </c>
      <c r="B3371" s="80" t="s">
        <v>4449</v>
      </c>
      <c r="C3371" s="80" t="s">
        <v>9680</v>
      </c>
      <c r="D3371" s="80" t="s">
        <v>84</v>
      </c>
      <c r="E3371" s="80" t="s">
        <v>84</v>
      </c>
      <c r="G3371" s="80" t="s">
        <v>84</v>
      </c>
      <c r="H3371" s="80" t="s">
        <v>84</v>
      </c>
      <c r="I3371" s="80" t="s">
        <v>84</v>
      </c>
      <c r="J3371" s="80" t="s">
        <v>84</v>
      </c>
      <c r="K3371" s="80" t="s">
        <v>84</v>
      </c>
      <c r="L3371" s="80" t="s">
        <v>84</v>
      </c>
      <c r="M3371" s="80" t="s">
        <v>84</v>
      </c>
      <c r="N3371" s="80" t="s">
        <v>84</v>
      </c>
      <c r="O3371" s="80" t="s">
        <v>84</v>
      </c>
      <c r="Q3371" s="80" t="s">
        <v>84</v>
      </c>
      <c r="R3371" s="80" t="s">
        <v>84</v>
      </c>
    </row>
    <row r="3372" spans="1:18" ht="20" x14ac:dyDescent="0.2">
      <c r="A3372" s="80" t="s">
        <v>1426</v>
      </c>
      <c r="B3372" s="80" t="s">
        <v>1427</v>
      </c>
      <c r="C3372" s="80" t="s">
        <v>9680</v>
      </c>
      <c r="D3372" s="80" t="s">
        <v>84</v>
      </c>
      <c r="E3372" s="80" t="s">
        <v>84</v>
      </c>
      <c r="G3372" s="80" t="s">
        <v>84</v>
      </c>
      <c r="H3372" s="80" t="s">
        <v>84</v>
      </c>
      <c r="I3372" s="80" t="s">
        <v>84</v>
      </c>
      <c r="J3372" s="80" t="s">
        <v>84</v>
      </c>
      <c r="K3372" s="80" t="s">
        <v>84</v>
      </c>
      <c r="L3372" s="80" t="s">
        <v>84</v>
      </c>
      <c r="M3372" s="80" t="s">
        <v>84</v>
      </c>
      <c r="N3372" s="80" t="s">
        <v>84</v>
      </c>
      <c r="O3372" s="80" t="s">
        <v>84</v>
      </c>
      <c r="Q3372" s="80" t="s">
        <v>84</v>
      </c>
      <c r="R3372" s="80" t="s">
        <v>84</v>
      </c>
    </row>
    <row r="3373" spans="1:18" ht="20" x14ac:dyDescent="0.2">
      <c r="A3373" s="80" t="s">
        <v>1428</v>
      </c>
      <c r="B3373" s="80" t="s">
        <v>1429</v>
      </c>
      <c r="C3373" s="80" t="s">
        <v>9680</v>
      </c>
      <c r="D3373" s="80" t="s">
        <v>84</v>
      </c>
      <c r="E3373" s="80" t="s">
        <v>84</v>
      </c>
      <c r="G3373" s="80" t="s">
        <v>84</v>
      </c>
      <c r="H3373" s="80" t="s">
        <v>84</v>
      </c>
      <c r="I3373" s="80" t="s">
        <v>84</v>
      </c>
      <c r="J3373" s="80" t="s">
        <v>84</v>
      </c>
      <c r="K3373" s="80" t="s">
        <v>84</v>
      </c>
      <c r="L3373" s="80" t="s">
        <v>84</v>
      </c>
      <c r="M3373" s="80" t="s">
        <v>84</v>
      </c>
      <c r="N3373" s="80" t="s">
        <v>84</v>
      </c>
      <c r="O3373" s="80" t="s">
        <v>84</v>
      </c>
      <c r="Q3373" s="80" t="s">
        <v>84</v>
      </c>
      <c r="R3373" s="80" t="s">
        <v>84</v>
      </c>
    </row>
    <row r="3374" spans="1:18" ht="20" x14ac:dyDescent="0.2">
      <c r="A3374" s="80" t="s">
        <v>1430</v>
      </c>
      <c r="B3374" s="80" t="s">
        <v>1431</v>
      </c>
      <c r="C3374" s="80" t="s">
        <v>9680</v>
      </c>
      <c r="D3374" s="80" t="s">
        <v>84</v>
      </c>
      <c r="E3374" s="80" t="s">
        <v>84</v>
      </c>
      <c r="G3374" s="80" t="s">
        <v>84</v>
      </c>
      <c r="H3374" s="80" t="s">
        <v>84</v>
      </c>
      <c r="I3374" s="80" t="s">
        <v>84</v>
      </c>
      <c r="J3374" s="80" t="s">
        <v>84</v>
      </c>
      <c r="K3374" s="80" t="s">
        <v>84</v>
      </c>
      <c r="L3374" s="80" t="s">
        <v>84</v>
      </c>
      <c r="M3374" s="80" t="s">
        <v>84</v>
      </c>
      <c r="N3374" s="80" t="s">
        <v>84</v>
      </c>
      <c r="O3374" s="80" t="s">
        <v>84</v>
      </c>
      <c r="Q3374" s="80" t="s">
        <v>84</v>
      </c>
      <c r="R3374" s="80" t="s">
        <v>84</v>
      </c>
    </row>
    <row r="3375" spans="1:18" ht="20" x14ac:dyDescent="0.2">
      <c r="A3375" s="80" t="s">
        <v>1066</v>
      </c>
      <c r="B3375" s="80" t="s">
        <v>1067</v>
      </c>
      <c r="C3375" s="80" t="s">
        <v>9680</v>
      </c>
      <c r="D3375" s="80" t="s">
        <v>84</v>
      </c>
      <c r="E3375" s="80" t="s">
        <v>84</v>
      </c>
      <c r="G3375" s="80" t="s">
        <v>84</v>
      </c>
      <c r="H3375" s="80" t="s">
        <v>84</v>
      </c>
      <c r="I3375" s="80" t="s">
        <v>84</v>
      </c>
      <c r="J3375" s="80" t="s">
        <v>84</v>
      </c>
      <c r="K3375" s="80" t="s">
        <v>84</v>
      </c>
      <c r="L3375" s="80" t="s">
        <v>84</v>
      </c>
      <c r="M3375" s="80" t="s">
        <v>84</v>
      </c>
      <c r="N3375" s="80" t="s">
        <v>84</v>
      </c>
      <c r="O3375" s="80" t="s">
        <v>84</v>
      </c>
      <c r="Q3375" s="80" t="s">
        <v>84</v>
      </c>
      <c r="R3375" s="80" t="s">
        <v>84</v>
      </c>
    </row>
    <row r="3376" spans="1:18" ht="20" x14ac:dyDescent="0.2">
      <c r="A3376" s="80" t="s">
        <v>1068</v>
      </c>
      <c r="B3376" s="80" t="s">
        <v>1069</v>
      </c>
      <c r="C3376" s="80" t="s">
        <v>84</v>
      </c>
      <c r="D3376" s="80" t="s">
        <v>84</v>
      </c>
      <c r="E3376" s="80" t="s">
        <v>84</v>
      </c>
      <c r="G3376" s="80" t="s">
        <v>84</v>
      </c>
      <c r="H3376" s="80" t="s">
        <v>84</v>
      </c>
      <c r="I3376" s="80" t="s">
        <v>84</v>
      </c>
      <c r="J3376" s="80" t="s">
        <v>84</v>
      </c>
      <c r="K3376" s="80" t="s">
        <v>84</v>
      </c>
      <c r="L3376" s="80" t="s">
        <v>84</v>
      </c>
      <c r="M3376" s="80" t="s">
        <v>84</v>
      </c>
      <c r="N3376" s="80" t="s">
        <v>84</v>
      </c>
      <c r="O3376" s="80" t="s">
        <v>84</v>
      </c>
      <c r="Q3376" s="80" t="s">
        <v>84</v>
      </c>
      <c r="R3376" s="80" t="s">
        <v>84</v>
      </c>
    </row>
    <row r="3377" spans="1:18" ht="20" x14ac:dyDescent="0.2">
      <c r="A3377" s="80" t="s">
        <v>4940</v>
      </c>
      <c r="B3377" s="80" t="s">
        <v>4941</v>
      </c>
      <c r="C3377" s="80" t="s">
        <v>9680</v>
      </c>
      <c r="D3377" s="80" t="s">
        <v>84</v>
      </c>
      <c r="E3377" s="80" t="s">
        <v>84</v>
      </c>
      <c r="G3377" s="80" t="s">
        <v>84</v>
      </c>
      <c r="H3377" s="80" t="s">
        <v>84</v>
      </c>
      <c r="I3377" s="80" t="s">
        <v>84</v>
      </c>
      <c r="J3377" s="80" t="s">
        <v>84</v>
      </c>
      <c r="K3377" s="80" t="s">
        <v>84</v>
      </c>
      <c r="L3377" s="80" t="s">
        <v>84</v>
      </c>
      <c r="M3377" s="80" t="s">
        <v>84</v>
      </c>
      <c r="N3377" s="80" t="s">
        <v>84</v>
      </c>
      <c r="O3377" s="80" t="s">
        <v>84</v>
      </c>
      <c r="Q3377" s="80" t="s">
        <v>84</v>
      </c>
      <c r="R3377" s="80" t="s">
        <v>84</v>
      </c>
    </row>
    <row r="3378" spans="1:18" ht="20" x14ac:dyDescent="0.2">
      <c r="A3378" s="80" t="s">
        <v>4410</v>
      </c>
      <c r="B3378" s="80" t="s">
        <v>4411</v>
      </c>
      <c r="C3378" s="80" t="s">
        <v>9680</v>
      </c>
      <c r="D3378" s="80" t="s">
        <v>84</v>
      </c>
      <c r="E3378" s="80" t="s">
        <v>84</v>
      </c>
      <c r="G3378" s="80" t="s">
        <v>84</v>
      </c>
      <c r="H3378" s="80" t="s">
        <v>84</v>
      </c>
      <c r="I3378" s="80" t="s">
        <v>84</v>
      </c>
      <c r="J3378" s="80" t="s">
        <v>84</v>
      </c>
      <c r="K3378" s="80" t="s">
        <v>84</v>
      </c>
      <c r="L3378" s="80" t="s">
        <v>84</v>
      </c>
      <c r="M3378" s="80" t="s">
        <v>84</v>
      </c>
      <c r="N3378" s="80" t="s">
        <v>84</v>
      </c>
      <c r="O3378" s="80" t="s">
        <v>84</v>
      </c>
      <c r="Q3378" s="80" t="s">
        <v>84</v>
      </c>
      <c r="R3378" s="80" t="s">
        <v>84</v>
      </c>
    </row>
    <row r="3379" spans="1:18" ht="20" x14ac:dyDescent="0.2">
      <c r="A3379" s="80" t="s">
        <v>1414</v>
      </c>
      <c r="B3379" s="80" t="s">
        <v>1415</v>
      </c>
      <c r="C3379" s="80" t="s">
        <v>9680</v>
      </c>
      <c r="D3379" s="80" t="s">
        <v>84</v>
      </c>
      <c r="E3379" s="80" t="s">
        <v>84</v>
      </c>
      <c r="G3379" s="80" t="s">
        <v>84</v>
      </c>
      <c r="H3379" s="80" t="s">
        <v>84</v>
      </c>
      <c r="I3379" s="80" t="s">
        <v>84</v>
      </c>
      <c r="J3379" s="80" t="s">
        <v>84</v>
      </c>
      <c r="K3379" s="80" t="s">
        <v>84</v>
      </c>
      <c r="L3379" s="80" t="s">
        <v>84</v>
      </c>
      <c r="M3379" s="80" t="s">
        <v>84</v>
      </c>
      <c r="N3379" s="80" t="s">
        <v>84</v>
      </c>
      <c r="O3379" s="80" t="s">
        <v>84</v>
      </c>
      <c r="Q3379" s="80" t="s">
        <v>84</v>
      </c>
      <c r="R3379" s="80" t="s">
        <v>84</v>
      </c>
    </row>
    <row r="3380" spans="1:18" ht="20" x14ac:dyDescent="0.2">
      <c r="A3380" s="80" t="s">
        <v>1414</v>
      </c>
      <c r="B3380" s="80" t="s">
        <v>1432</v>
      </c>
      <c r="C3380" s="80" t="s">
        <v>9680</v>
      </c>
      <c r="D3380" s="80" t="s">
        <v>84</v>
      </c>
      <c r="E3380" s="80" t="s">
        <v>84</v>
      </c>
      <c r="G3380" s="80" t="s">
        <v>84</v>
      </c>
      <c r="H3380" s="80" t="s">
        <v>84</v>
      </c>
      <c r="I3380" s="80" t="s">
        <v>84</v>
      </c>
      <c r="J3380" s="80" t="s">
        <v>84</v>
      </c>
      <c r="K3380" s="80" t="s">
        <v>84</v>
      </c>
      <c r="L3380" s="80" t="s">
        <v>84</v>
      </c>
      <c r="M3380" s="80" t="s">
        <v>84</v>
      </c>
      <c r="N3380" s="80" t="s">
        <v>84</v>
      </c>
      <c r="O3380" s="80" t="s">
        <v>84</v>
      </c>
      <c r="Q3380" s="80" t="s">
        <v>84</v>
      </c>
      <c r="R3380" s="80" t="s">
        <v>84</v>
      </c>
    </row>
    <row r="3381" spans="1:18" ht="20" x14ac:dyDescent="0.2">
      <c r="A3381" s="80" t="s">
        <v>3850</v>
      </c>
      <c r="B3381" s="80" t="s">
        <v>3851</v>
      </c>
      <c r="C3381" s="80" t="s">
        <v>84</v>
      </c>
      <c r="D3381" s="80" t="s">
        <v>84</v>
      </c>
      <c r="E3381" s="80" t="s">
        <v>84</v>
      </c>
      <c r="G3381" s="80" t="s">
        <v>84</v>
      </c>
      <c r="H3381" s="80" t="s">
        <v>84</v>
      </c>
      <c r="I3381" s="80" t="s">
        <v>84</v>
      </c>
      <c r="J3381" s="80" t="s">
        <v>84</v>
      </c>
      <c r="K3381" s="80" t="s">
        <v>84</v>
      </c>
      <c r="L3381" s="80" t="s">
        <v>84</v>
      </c>
      <c r="M3381" s="80" t="s">
        <v>84</v>
      </c>
      <c r="N3381" s="80" t="s">
        <v>84</v>
      </c>
      <c r="O3381" s="80" t="s">
        <v>84</v>
      </c>
      <c r="Q3381" s="80" t="s">
        <v>84</v>
      </c>
      <c r="R3381" s="80" t="s">
        <v>84</v>
      </c>
    </row>
    <row r="3382" spans="1:18" ht="20" x14ac:dyDescent="0.2">
      <c r="A3382" s="80" t="s">
        <v>4387</v>
      </c>
      <c r="B3382" s="80" t="s">
        <v>4388</v>
      </c>
      <c r="C3382" s="80" t="s">
        <v>9680</v>
      </c>
      <c r="D3382" s="80" t="s">
        <v>84</v>
      </c>
      <c r="E3382" s="80" t="s">
        <v>84</v>
      </c>
      <c r="G3382" s="80" t="s">
        <v>84</v>
      </c>
      <c r="H3382" s="80" t="s">
        <v>84</v>
      </c>
      <c r="I3382" s="80" t="s">
        <v>84</v>
      </c>
      <c r="J3382" s="80" t="s">
        <v>84</v>
      </c>
      <c r="K3382" s="80" t="s">
        <v>84</v>
      </c>
      <c r="L3382" s="80" t="s">
        <v>84</v>
      </c>
      <c r="M3382" s="80" t="s">
        <v>84</v>
      </c>
      <c r="N3382" s="80" t="s">
        <v>84</v>
      </c>
      <c r="O3382" s="80" t="s">
        <v>84</v>
      </c>
      <c r="Q3382" s="80" t="s">
        <v>84</v>
      </c>
      <c r="R3382" s="80" t="s">
        <v>84</v>
      </c>
    </row>
    <row r="3383" spans="1:18" ht="20" x14ac:dyDescent="0.2">
      <c r="A3383" s="80" t="s">
        <v>3335</v>
      </c>
      <c r="B3383" s="80" t="s">
        <v>3336</v>
      </c>
      <c r="C3383" s="80" t="s">
        <v>9680</v>
      </c>
      <c r="D3383" s="80" t="s">
        <v>84</v>
      </c>
      <c r="E3383" s="80" t="s">
        <v>84</v>
      </c>
      <c r="G3383" s="80" t="s">
        <v>84</v>
      </c>
      <c r="H3383" s="80" t="s">
        <v>84</v>
      </c>
      <c r="I3383" s="80" t="s">
        <v>84</v>
      </c>
      <c r="J3383" s="80" t="s">
        <v>84</v>
      </c>
      <c r="K3383" s="80" t="s">
        <v>84</v>
      </c>
      <c r="L3383" s="80" t="s">
        <v>84</v>
      </c>
      <c r="M3383" s="80" t="s">
        <v>84</v>
      </c>
      <c r="N3383" s="80" t="s">
        <v>84</v>
      </c>
      <c r="O3383" s="80" t="s">
        <v>84</v>
      </c>
      <c r="Q3383" s="80" t="s">
        <v>84</v>
      </c>
      <c r="R3383" s="80" t="s">
        <v>84</v>
      </c>
    </row>
    <row r="3384" spans="1:18" ht="20" x14ac:dyDescent="0.2">
      <c r="A3384" s="80" t="s">
        <v>4450</v>
      </c>
      <c r="B3384" s="80" t="s">
        <v>4451</v>
      </c>
      <c r="C3384" s="80" t="s">
        <v>84</v>
      </c>
      <c r="D3384" s="80" t="s">
        <v>84</v>
      </c>
      <c r="E3384" s="80" t="s">
        <v>84</v>
      </c>
      <c r="G3384" s="80" t="s">
        <v>84</v>
      </c>
      <c r="H3384" s="80" t="s">
        <v>84</v>
      </c>
      <c r="I3384" s="80" t="s">
        <v>84</v>
      </c>
      <c r="J3384" s="80" t="s">
        <v>84</v>
      </c>
      <c r="K3384" s="80" t="s">
        <v>84</v>
      </c>
      <c r="L3384" s="80" t="s">
        <v>84</v>
      </c>
      <c r="M3384" s="80" t="s">
        <v>84</v>
      </c>
      <c r="N3384" s="80" t="s">
        <v>84</v>
      </c>
      <c r="O3384" s="80" t="s">
        <v>84</v>
      </c>
      <c r="Q3384" s="80" t="s">
        <v>84</v>
      </c>
      <c r="R3384" s="80" t="s">
        <v>84</v>
      </c>
    </row>
    <row r="3385" spans="1:18" ht="20" x14ac:dyDescent="0.2">
      <c r="A3385" s="80" t="s">
        <v>110</v>
      </c>
      <c r="B3385" s="80" t="s">
        <v>111</v>
      </c>
      <c r="C3385" s="80" t="s">
        <v>9680</v>
      </c>
      <c r="D3385" s="80" t="s">
        <v>84</v>
      </c>
      <c r="E3385" s="80" t="s">
        <v>84</v>
      </c>
      <c r="G3385" s="80" t="s">
        <v>84</v>
      </c>
      <c r="H3385" s="80" t="s">
        <v>84</v>
      </c>
      <c r="I3385" s="80" t="s">
        <v>84</v>
      </c>
      <c r="J3385" s="80" t="s">
        <v>84</v>
      </c>
      <c r="K3385" s="80" t="s">
        <v>84</v>
      </c>
      <c r="L3385" s="80" t="s">
        <v>84</v>
      </c>
      <c r="M3385" s="80" t="s">
        <v>84</v>
      </c>
      <c r="N3385" s="80" t="s">
        <v>84</v>
      </c>
      <c r="O3385" s="80" t="s">
        <v>84</v>
      </c>
      <c r="Q3385" s="80" t="s">
        <v>84</v>
      </c>
      <c r="R3385" s="80" t="s">
        <v>84</v>
      </c>
    </row>
    <row r="3386" spans="1:18" ht="20" x14ac:dyDescent="0.2">
      <c r="A3386" s="80" t="s">
        <v>1339</v>
      </c>
      <c r="B3386" s="80" t="s">
        <v>1340</v>
      </c>
      <c r="C3386" s="80" t="s">
        <v>84</v>
      </c>
      <c r="D3386" s="80" t="s">
        <v>84</v>
      </c>
      <c r="E3386" s="80" t="s">
        <v>84</v>
      </c>
      <c r="G3386" s="80" t="s">
        <v>84</v>
      </c>
      <c r="H3386" s="80" t="s">
        <v>84</v>
      </c>
      <c r="I3386" s="80" t="s">
        <v>84</v>
      </c>
      <c r="J3386" s="80" t="s">
        <v>84</v>
      </c>
      <c r="K3386" s="80" t="s">
        <v>84</v>
      </c>
      <c r="L3386" s="80" t="s">
        <v>84</v>
      </c>
      <c r="M3386" s="80" t="s">
        <v>84</v>
      </c>
      <c r="N3386" s="80" t="s">
        <v>84</v>
      </c>
      <c r="O3386" s="80" t="s">
        <v>84</v>
      </c>
      <c r="Q3386" s="80" t="s">
        <v>84</v>
      </c>
      <c r="R3386" s="80" t="s">
        <v>84</v>
      </c>
    </row>
    <row r="3387" spans="1:18" ht="20" x14ac:dyDescent="0.2">
      <c r="A3387" s="80" t="s">
        <v>1785</v>
      </c>
      <c r="B3387" s="80" t="s">
        <v>1786</v>
      </c>
      <c r="C3387" s="80" t="s">
        <v>9722</v>
      </c>
      <c r="D3387" s="80" t="s">
        <v>84</v>
      </c>
      <c r="E3387" s="80" t="s">
        <v>84</v>
      </c>
      <c r="G3387" s="80" t="s">
        <v>84</v>
      </c>
      <c r="H3387" s="80" t="s">
        <v>84</v>
      </c>
      <c r="I3387" s="80" t="s">
        <v>84</v>
      </c>
      <c r="J3387" s="80" t="s">
        <v>84</v>
      </c>
      <c r="K3387" s="80" t="s">
        <v>84</v>
      </c>
      <c r="L3387" s="80" t="s">
        <v>84</v>
      </c>
      <c r="M3387" s="80" t="s">
        <v>84</v>
      </c>
      <c r="N3387" s="80" t="s">
        <v>84</v>
      </c>
      <c r="O3387" s="80" t="s">
        <v>84</v>
      </c>
      <c r="Q3387" s="80" t="s">
        <v>84</v>
      </c>
      <c r="R3387" s="80" t="s">
        <v>84</v>
      </c>
    </row>
    <row r="3388" spans="1:18" ht="20" x14ac:dyDescent="0.2">
      <c r="A3388" s="80" t="s">
        <v>4942</v>
      </c>
      <c r="B3388" s="80" t="s">
        <v>4943</v>
      </c>
      <c r="C3388" s="80" t="s">
        <v>84</v>
      </c>
      <c r="D3388" s="80" t="s">
        <v>84</v>
      </c>
      <c r="E3388" s="80" t="s">
        <v>84</v>
      </c>
      <c r="G3388" s="80" t="s">
        <v>84</v>
      </c>
      <c r="H3388" s="80" t="s">
        <v>84</v>
      </c>
      <c r="I3388" s="80" t="s">
        <v>84</v>
      </c>
      <c r="J3388" s="80" t="s">
        <v>84</v>
      </c>
      <c r="K3388" s="80" t="s">
        <v>84</v>
      </c>
      <c r="L3388" s="80" t="s">
        <v>84</v>
      </c>
      <c r="M3388" s="80" t="s">
        <v>84</v>
      </c>
      <c r="N3388" s="80" t="s">
        <v>84</v>
      </c>
      <c r="O3388" s="80" t="s">
        <v>84</v>
      </c>
      <c r="Q3388" s="80" t="s">
        <v>84</v>
      </c>
      <c r="R3388" s="80" t="s">
        <v>84</v>
      </c>
    </row>
    <row r="3389" spans="1:18" ht="20" x14ac:dyDescent="0.2">
      <c r="A3389" s="80" t="s">
        <v>1070</v>
      </c>
      <c r="B3389" s="80" t="s">
        <v>1071</v>
      </c>
      <c r="C3389" s="80" t="s">
        <v>9680</v>
      </c>
      <c r="D3389" s="80" t="s">
        <v>84</v>
      </c>
      <c r="E3389" s="80" t="s">
        <v>84</v>
      </c>
      <c r="G3389" s="80" t="s">
        <v>84</v>
      </c>
      <c r="H3389" s="80" t="s">
        <v>84</v>
      </c>
      <c r="I3389" s="80" t="s">
        <v>84</v>
      </c>
      <c r="J3389" s="80" t="s">
        <v>84</v>
      </c>
      <c r="K3389" s="80" t="s">
        <v>84</v>
      </c>
      <c r="L3389" s="80" t="s">
        <v>84</v>
      </c>
      <c r="M3389" s="80" t="s">
        <v>84</v>
      </c>
      <c r="N3389" s="80" t="s">
        <v>84</v>
      </c>
      <c r="O3389" s="80" t="s">
        <v>84</v>
      </c>
      <c r="Q3389" s="80" t="s">
        <v>84</v>
      </c>
      <c r="R3389" s="80" t="s">
        <v>84</v>
      </c>
    </row>
    <row r="3390" spans="1:18" ht="20" x14ac:dyDescent="0.2">
      <c r="A3390" s="80" t="s">
        <v>1056</v>
      </c>
      <c r="B3390" s="80" t="s">
        <v>1057</v>
      </c>
      <c r="C3390" s="80" t="s">
        <v>9680</v>
      </c>
      <c r="D3390" s="80" t="s">
        <v>84</v>
      </c>
      <c r="E3390" s="80" t="s">
        <v>84</v>
      </c>
      <c r="G3390" s="80" t="s">
        <v>84</v>
      </c>
      <c r="H3390" s="80" t="s">
        <v>84</v>
      </c>
      <c r="I3390" s="80" t="s">
        <v>84</v>
      </c>
      <c r="J3390" s="80" t="s">
        <v>84</v>
      </c>
      <c r="K3390" s="80" t="s">
        <v>84</v>
      </c>
      <c r="L3390" s="80" t="s">
        <v>84</v>
      </c>
      <c r="M3390" s="80" t="s">
        <v>84</v>
      </c>
      <c r="N3390" s="80" t="s">
        <v>84</v>
      </c>
      <c r="O3390" s="80" t="s">
        <v>84</v>
      </c>
      <c r="Q3390" s="80" t="s">
        <v>84</v>
      </c>
      <c r="R3390" s="80" t="s">
        <v>84</v>
      </c>
    </row>
    <row r="3391" spans="1:18" ht="20" x14ac:dyDescent="0.2">
      <c r="A3391" s="80" t="s">
        <v>1058</v>
      </c>
      <c r="B3391" s="80" t="s">
        <v>1059</v>
      </c>
      <c r="C3391" s="80" t="s">
        <v>9680</v>
      </c>
      <c r="D3391" s="80" t="s">
        <v>84</v>
      </c>
      <c r="E3391" s="80" t="s">
        <v>84</v>
      </c>
      <c r="G3391" s="80" t="s">
        <v>84</v>
      </c>
      <c r="H3391" s="80" t="s">
        <v>84</v>
      </c>
      <c r="I3391" s="80" t="s">
        <v>84</v>
      </c>
      <c r="J3391" s="80" t="s">
        <v>84</v>
      </c>
      <c r="K3391" s="80" t="s">
        <v>84</v>
      </c>
      <c r="L3391" s="80" t="s">
        <v>84</v>
      </c>
      <c r="M3391" s="80" t="s">
        <v>84</v>
      </c>
      <c r="N3391" s="80" t="s">
        <v>84</v>
      </c>
      <c r="O3391" s="80" t="s">
        <v>84</v>
      </c>
      <c r="Q3391" s="80" t="s">
        <v>84</v>
      </c>
      <c r="R3391" s="80" t="s">
        <v>84</v>
      </c>
    </row>
    <row r="3392" spans="1:18" ht="20" x14ac:dyDescent="0.2">
      <c r="A3392" s="80" t="s">
        <v>1060</v>
      </c>
      <c r="B3392" s="80" t="s">
        <v>1061</v>
      </c>
      <c r="C3392" s="80" t="s">
        <v>9680</v>
      </c>
      <c r="D3392" s="80" t="s">
        <v>84</v>
      </c>
      <c r="E3392" s="80" t="s">
        <v>84</v>
      </c>
      <c r="G3392" s="80" t="s">
        <v>84</v>
      </c>
      <c r="H3392" s="80" t="s">
        <v>84</v>
      </c>
      <c r="I3392" s="80" t="s">
        <v>84</v>
      </c>
      <c r="J3392" s="80" t="s">
        <v>84</v>
      </c>
      <c r="K3392" s="80" t="s">
        <v>84</v>
      </c>
      <c r="L3392" s="80" t="s">
        <v>84</v>
      </c>
      <c r="M3392" s="80" t="s">
        <v>84</v>
      </c>
      <c r="N3392" s="80" t="s">
        <v>84</v>
      </c>
      <c r="O3392" s="80" t="s">
        <v>84</v>
      </c>
      <c r="Q3392" s="80" t="s">
        <v>84</v>
      </c>
      <c r="R3392" s="80" t="s">
        <v>84</v>
      </c>
    </row>
    <row r="3393" spans="1:18" ht="20" x14ac:dyDescent="0.2">
      <c r="A3393" s="80" t="s">
        <v>4452</v>
      </c>
      <c r="B3393" s="80" t="s">
        <v>4453</v>
      </c>
      <c r="C3393" s="80" t="s">
        <v>9680</v>
      </c>
      <c r="D3393" s="80" t="s">
        <v>84</v>
      </c>
      <c r="E3393" s="80" t="s">
        <v>84</v>
      </c>
      <c r="G3393" s="80" t="s">
        <v>84</v>
      </c>
      <c r="H3393" s="80" t="s">
        <v>84</v>
      </c>
      <c r="I3393" s="80" t="s">
        <v>84</v>
      </c>
      <c r="J3393" s="80" t="s">
        <v>84</v>
      </c>
      <c r="K3393" s="80" t="s">
        <v>84</v>
      </c>
      <c r="L3393" s="80" t="s">
        <v>84</v>
      </c>
      <c r="M3393" s="80" t="s">
        <v>84</v>
      </c>
      <c r="N3393" s="80" t="s">
        <v>84</v>
      </c>
      <c r="O3393" s="80" t="s">
        <v>84</v>
      </c>
      <c r="Q3393" s="80" t="s">
        <v>84</v>
      </c>
      <c r="R3393" s="80" t="s">
        <v>84</v>
      </c>
    </row>
    <row r="3394" spans="1:18" ht="20" x14ac:dyDescent="0.2">
      <c r="A3394" s="80" t="s">
        <v>4440</v>
      </c>
      <c r="B3394" s="80" t="s">
        <v>4441</v>
      </c>
      <c r="C3394" s="80" t="s">
        <v>9680</v>
      </c>
      <c r="D3394" s="80" t="s">
        <v>84</v>
      </c>
      <c r="E3394" s="80" t="s">
        <v>84</v>
      </c>
      <c r="G3394" s="80" t="s">
        <v>84</v>
      </c>
      <c r="H3394" s="80" t="s">
        <v>84</v>
      </c>
      <c r="I3394" s="80" t="s">
        <v>84</v>
      </c>
      <c r="J3394" s="80" t="s">
        <v>84</v>
      </c>
      <c r="K3394" s="80" t="s">
        <v>84</v>
      </c>
      <c r="L3394" s="80" t="s">
        <v>84</v>
      </c>
      <c r="M3394" s="80" t="s">
        <v>84</v>
      </c>
      <c r="N3394" s="80" t="s">
        <v>84</v>
      </c>
      <c r="O3394" s="80" t="s">
        <v>84</v>
      </c>
      <c r="Q3394" s="80" t="s">
        <v>84</v>
      </c>
      <c r="R3394" s="80" t="s">
        <v>84</v>
      </c>
    </row>
    <row r="3395" spans="1:18" ht="20" x14ac:dyDescent="0.2">
      <c r="A3395" s="80" t="s">
        <v>4440</v>
      </c>
      <c r="B3395" s="80" t="s">
        <v>4454</v>
      </c>
      <c r="C3395" s="80" t="s">
        <v>9680</v>
      </c>
      <c r="D3395" s="80" t="s">
        <v>84</v>
      </c>
      <c r="E3395" s="80" t="s">
        <v>84</v>
      </c>
      <c r="G3395" s="80" t="s">
        <v>84</v>
      </c>
      <c r="H3395" s="80" t="s">
        <v>84</v>
      </c>
      <c r="I3395" s="80" t="s">
        <v>84</v>
      </c>
      <c r="J3395" s="80" t="s">
        <v>84</v>
      </c>
      <c r="K3395" s="80" t="s">
        <v>84</v>
      </c>
      <c r="L3395" s="80" t="s">
        <v>84</v>
      </c>
      <c r="M3395" s="80" t="s">
        <v>84</v>
      </c>
      <c r="N3395" s="80" t="s">
        <v>84</v>
      </c>
      <c r="O3395" s="80" t="s">
        <v>84</v>
      </c>
      <c r="Q3395" s="80" t="s">
        <v>84</v>
      </c>
      <c r="R3395" s="80" t="s">
        <v>84</v>
      </c>
    </row>
    <row r="3396" spans="1:18" ht="20" x14ac:dyDescent="0.2">
      <c r="A3396" s="80" t="s">
        <v>2501</v>
      </c>
      <c r="B3396" s="80" t="s">
        <v>2502</v>
      </c>
      <c r="C3396" s="80" t="s">
        <v>9680</v>
      </c>
      <c r="D3396" s="80" t="s">
        <v>84</v>
      </c>
      <c r="E3396" s="80" t="s">
        <v>84</v>
      </c>
      <c r="G3396" s="80" t="s">
        <v>84</v>
      </c>
      <c r="H3396" s="80" t="s">
        <v>84</v>
      </c>
      <c r="I3396" s="80" t="s">
        <v>84</v>
      </c>
      <c r="J3396" s="80" t="s">
        <v>84</v>
      </c>
      <c r="K3396" s="80" t="s">
        <v>84</v>
      </c>
      <c r="L3396" s="80" t="s">
        <v>84</v>
      </c>
      <c r="M3396" s="80" t="s">
        <v>84</v>
      </c>
      <c r="N3396" s="80" t="s">
        <v>84</v>
      </c>
      <c r="O3396" s="80" t="s">
        <v>84</v>
      </c>
      <c r="Q3396" s="80" t="s">
        <v>84</v>
      </c>
      <c r="R3396" s="80" t="s">
        <v>84</v>
      </c>
    </row>
    <row r="3397" spans="1:18" ht="20" x14ac:dyDescent="0.2">
      <c r="A3397" s="80" t="s">
        <v>112</v>
      </c>
      <c r="B3397" s="80" t="s">
        <v>113</v>
      </c>
      <c r="C3397" s="80" t="s">
        <v>84</v>
      </c>
      <c r="D3397" s="80" t="s">
        <v>84</v>
      </c>
      <c r="E3397" s="80" t="s">
        <v>84</v>
      </c>
      <c r="G3397" s="80" t="s">
        <v>84</v>
      </c>
      <c r="H3397" s="80" t="s">
        <v>84</v>
      </c>
      <c r="I3397" s="80" t="s">
        <v>84</v>
      </c>
      <c r="J3397" s="80" t="s">
        <v>84</v>
      </c>
      <c r="K3397" s="80" t="s">
        <v>84</v>
      </c>
      <c r="L3397" s="80" t="s">
        <v>84</v>
      </c>
      <c r="M3397" s="80" t="s">
        <v>84</v>
      </c>
      <c r="N3397" s="80" t="s">
        <v>84</v>
      </c>
      <c r="O3397" s="80" t="s">
        <v>84</v>
      </c>
      <c r="Q3397" s="80" t="s">
        <v>84</v>
      </c>
      <c r="R3397" s="80" t="s">
        <v>84</v>
      </c>
    </row>
    <row r="3398" spans="1:18" ht="20" x14ac:dyDescent="0.2">
      <c r="A3398" s="80" t="s">
        <v>4105</v>
      </c>
      <c r="B3398" s="80" t="s">
        <v>4106</v>
      </c>
      <c r="C3398" s="80" t="s">
        <v>9680</v>
      </c>
      <c r="D3398" s="80" t="s">
        <v>84</v>
      </c>
      <c r="E3398" s="80" t="s">
        <v>84</v>
      </c>
      <c r="G3398" s="80" t="s">
        <v>84</v>
      </c>
      <c r="H3398" s="80" t="s">
        <v>84</v>
      </c>
      <c r="I3398" s="80" t="s">
        <v>84</v>
      </c>
      <c r="J3398" s="80" t="s">
        <v>84</v>
      </c>
      <c r="K3398" s="80" t="s">
        <v>84</v>
      </c>
      <c r="L3398" s="80" t="s">
        <v>84</v>
      </c>
      <c r="M3398" s="80" t="s">
        <v>84</v>
      </c>
      <c r="N3398" s="80" t="s">
        <v>84</v>
      </c>
      <c r="O3398" s="80" t="s">
        <v>84</v>
      </c>
      <c r="Q3398" s="80" t="s">
        <v>84</v>
      </c>
      <c r="R3398" s="80" t="s">
        <v>84</v>
      </c>
    </row>
    <row r="3399" spans="1:18" ht="20" x14ac:dyDescent="0.2">
      <c r="A3399" s="80" t="s">
        <v>4944</v>
      </c>
      <c r="B3399" s="80" t="s">
        <v>4945</v>
      </c>
      <c r="C3399" s="80" t="s">
        <v>9680</v>
      </c>
      <c r="D3399" s="80" t="s">
        <v>84</v>
      </c>
      <c r="E3399" s="80" t="s">
        <v>84</v>
      </c>
      <c r="G3399" s="80" t="s">
        <v>84</v>
      </c>
      <c r="H3399" s="80" t="s">
        <v>84</v>
      </c>
      <c r="I3399" s="80" t="s">
        <v>84</v>
      </c>
      <c r="J3399" s="80" t="s">
        <v>84</v>
      </c>
      <c r="K3399" s="80" t="s">
        <v>84</v>
      </c>
      <c r="L3399" s="80" t="s">
        <v>84</v>
      </c>
      <c r="M3399" s="80" t="s">
        <v>84</v>
      </c>
      <c r="N3399" s="80" t="s">
        <v>84</v>
      </c>
      <c r="O3399" s="80" t="s">
        <v>84</v>
      </c>
      <c r="Q3399" s="80" t="s">
        <v>84</v>
      </c>
      <c r="R3399" s="80" t="s">
        <v>84</v>
      </c>
    </row>
    <row r="3400" spans="1:18" ht="20" x14ac:dyDescent="0.2">
      <c r="A3400" s="80" t="s">
        <v>4946</v>
      </c>
      <c r="B3400" s="80" t="s">
        <v>4947</v>
      </c>
      <c r="C3400" s="80" t="s">
        <v>9680</v>
      </c>
      <c r="D3400" s="80" t="s">
        <v>84</v>
      </c>
      <c r="E3400" s="80" t="s">
        <v>84</v>
      </c>
      <c r="G3400" s="80" t="s">
        <v>84</v>
      </c>
      <c r="H3400" s="80" t="s">
        <v>84</v>
      </c>
      <c r="I3400" s="80" t="s">
        <v>84</v>
      </c>
      <c r="J3400" s="80" t="s">
        <v>84</v>
      </c>
      <c r="K3400" s="80" t="s">
        <v>84</v>
      </c>
      <c r="L3400" s="80" t="s">
        <v>84</v>
      </c>
      <c r="M3400" s="80" t="s">
        <v>84</v>
      </c>
      <c r="N3400" s="80" t="s">
        <v>84</v>
      </c>
      <c r="O3400" s="80" t="s">
        <v>84</v>
      </c>
      <c r="Q3400" s="80" t="s">
        <v>84</v>
      </c>
      <c r="R3400" s="80" t="s">
        <v>84</v>
      </c>
    </row>
    <row r="3401" spans="1:18" ht="20" x14ac:dyDescent="0.2">
      <c r="A3401" s="80" t="s">
        <v>958</v>
      </c>
      <c r="B3401" s="80" t="s">
        <v>959</v>
      </c>
      <c r="C3401" s="80" t="s">
        <v>84</v>
      </c>
      <c r="D3401" s="80" t="s">
        <v>84</v>
      </c>
      <c r="E3401" s="80" t="s">
        <v>84</v>
      </c>
      <c r="G3401" s="80" t="s">
        <v>84</v>
      </c>
      <c r="H3401" s="80" t="s">
        <v>84</v>
      </c>
      <c r="I3401" s="80" t="s">
        <v>84</v>
      </c>
      <c r="J3401" s="80" t="s">
        <v>84</v>
      </c>
      <c r="K3401" s="80" t="s">
        <v>84</v>
      </c>
      <c r="L3401" s="80" t="s">
        <v>84</v>
      </c>
      <c r="M3401" s="80" t="s">
        <v>84</v>
      </c>
      <c r="N3401" s="80" t="s">
        <v>84</v>
      </c>
      <c r="O3401" s="80" t="s">
        <v>84</v>
      </c>
      <c r="Q3401" s="80" t="s">
        <v>84</v>
      </c>
      <c r="R3401" s="80" t="s">
        <v>84</v>
      </c>
    </row>
    <row r="3402" spans="1:18" ht="20" x14ac:dyDescent="0.2">
      <c r="A3402" s="80" t="s">
        <v>1062</v>
      </c>
      <c r="B3402" s="80" t="s">
        <v>1063</v>
      </c>
      <c r="C3402" s="80" t="s">
        <v>84</v>
      </c>
      <c r="D3402" s="80" t="s">
        <v>84</v>
      </c>
      <c r="E3402" s="80" t="s">
        <v>84</v>
      </c>
      <c r="G3402" s="80" t="s">
        <v>84</v>
      </c>
      <c r="H3402" s="80" t="s">
        <v>84</v>
      </c>
      <c r="I3402" s="80" t="s">
        <v>84</v>
      </c>
      <c r="J3402" s="80" t="s">
        <v>84</v>
      </c>
      <c r="K3402" s="80" t="s">
        <v>84</v>
      </c>
      <c r="L3402" s="80" t="s">
        <v>84</v>
      </c>
      <c r="M3402" s="80" t="s">
        <v>84</v>
      </c>
      <c r="N3402" s="80" t="s">
        <v>84</v>
      </c>
      <c r="O3402" s="80" t="s">
        <v>84</v>
      </c>
      <c r="Q3402" s="80" t="s">
        <v>84</v>
      </c>
      <c r="R3402" s="80" t="s">
        <v>84</v>
      </c>
    </row>
    <row r="3403" spans="1:18" ht="20" x14ac:dyDescent="0.2">
      <c r="A3403" s="80" t="s">
        <v>1323</v>
      </c>
      <c r="B3403" s="80" t="s">
        <v>1324</v>
      </c>
      <c r="C3403" s="80" t="s">
        <v>9680</v>
      </c>
      <c r="D3403" s="80" t="s">
        <v>84</v>
      </c>
      <c r="E3403" s="80" t="s">
        <v>84</v>
      </c>
      <c r="G3403" s="80" t="s">
        <v>84</v>
      </c>
      <c r="H3403" s="80" t="s">
        <v>84</v>
      </c>
      <c r="I3403" s="80" t="s">
        <v>84</v>
      </c>
      <c r="J3403" s="80" t="s">
        <v>84</v>
      </c>
      <c r="K3403" s="80" t="s">
        <v>84</v>
      </c>
      <c r="L3403" s="80" t="s">
        <v>84</v>
      </c>
      <c r="M3403" s="80" t="s">
        <v>84</v>
      </c>
      <c r="N3403" s="80" t="s">
        <v>84</v>
      </c>
      <c r="O3403" s="80" t="s">
        <v>84</v>
      </c>
      <c r="Q3403" s="80" t="s">
        <v>84</v>
      </c>
      <c r="R3403" s="80" t="s">
        <v>84</v>
      </c>
    </row>
    <row r="3404" spans="1:18" ht="20" x14ac:dyDescent="0.2">
      <c r="A3404" s="80" t="s">
        <v>4107</v>
      </c>
      <c r="B3404" s="80" t="s">
        <v>4108</v>
      </c>
      <c r="C3404" s="80" t="s">
        <v>84</v>
      </c>
      <c r="D3404" s="80" t="s">
        <v>84</v>
      </c>
      <c r="E3404" s="80" t="s">
        <v>84</v>
      </c>
      <c r="G3404" s="80" t="s">
        <v>84</v>
      </c>
      <c r="H3404" s="80" t="s">
        <v>84</v>
      </c>
      <c r="I3404" s="80" t="s">
        <v>84</v>
      </c>
      <c r="J3404" s="80" t="s">
        <v>84</v>
      </c>
      <c r="K3404" s="80" t="s">
        <v>84</v>
      </c>
      <c r="L3404" s="80" t="s">
        <v>84</v>
      </c>
      <c r="M3404" s="80" t="s">
        <v>84</v>
      </c>
      <c r="N3404" s="80" t="s">
        <v>84</v>
      </c>
      <c r="O3404" s="80" t="s">
        <v>84</v>
      </c>
      <c r="Q3404" s="80" t="s">
        <v>84</v>
      </c>
      <c r="R3404" s="80" t="s">
        <v>84</v>
      </c>
    </row>
    <row r="3405" spans="1:18" ht="20" x14ac:dyDescent="0.2">
      <c r="A3405" s="80" t="s">
        <v>4109</v>
      </c>
      <c r="B3405" s="80" t="s">
        <v>4110</v>
      </c>
      <c r="C3405" s="80" t="s">
        <v>84</v>
      </c>
      <c r="D3405" s="80" t="s">
        <v>84</v>
      </c>
      <c r="E3405" s="80" t="s">
        <v>84</v>
      </c>
      <c r="G3405" s="80" t="s">
        <v>84</v>
      </c>
      <c r="H3405" s="80" t="s">
        <v>84</v>
      </c>
      <c r="I3405" s="80" t="s">
        <v>84</v>
      </c>
      <c r="J3405" s="80" t="s">
        <v>84</v>
      </c>
      <c r="K3405" s="80" t="s">
        <v>84</v>
      </c>
      <c r="L3405" s="80" t="s">
        <v>84</v>
      </c>
      <c r="M3405" s="80" t="s">
        <v>84</v>
      </c>
      <c r="N3405" s="80" t="s">
        <v>84</v>
      </c>
      <c r="O3405" s="80" t="s">
        <v>84</v>
      </c>
      <c r="Q3405" s="80" t="s">
        <v>84</v>
      </c>
      <c r="R3405" s="80" t="s">
        <v>84</v>
      </c>
    </row>
    <row r="3406" spans="1:18" ht="20" x14ac:dyDescent="0.2">
      <c r="A3406" s="80" t="s">
        <v>4131</v>
      </c>
      <c r="B3406" s="80" t="s">
        <v>4132</v>
      </c>
      <c r="C3406" s="80" t="s">
        <v>9680</v>
      </c>
      <c r="D3406" s="80" t="s">
        <v>84</v>
      </c>
      <c r="E3406" s="80" t="s">
        <v>84</v>
      </c>
      <c r="G3406" s="80" t="s">
        <v>84</v>
      </c>
      <c r="H3406" s="80" t="s">
        <v>84</v>
      </c>
      <c r="I3406" s="80" t="s">
        <v>84</v>
      </c>
      <c r="J3406" s="80" t="s">
        <v>84</v>
      </c>
      <c r="K3406" s="80" t="s">
        <v>84</v>
      </c>
      <c r="L3406" s="80" t="s">
        <v>84</v>
      </c>
      <c r="M3406" s="80" t="s">
        <v>84</v>
      </c>
      <c r="N3406" s="80" t="s">
        <v>84</v>
      </c>
      <c r="O3406" s="80" t="s">
        <v>84</v>
      </c>
      <c r="Q3406" s="80" t="s">
        <v>84</v>
      </c>
      <c r="R3406" s="80" t="s">
        <v>84</v>
      </c>
    </row>
    <row r="3407" spans="1:18" ht="20" x14ac:dyDescent="0.2">
      <c r="A3407" s="80" t="s">
        <v>2120</v>
      </c>
      <c r="B3407" s="80" t="s">
        <v>2121</v>
      </c>
      <c r="C3407" s="80" t="s">
        <v>9680</v>
      </c>
      <c r="D3407" s="80" t="s">
        <v>84</v>
      </c>
      <c r="E3407" s="80" t="s">
        <v>84</v>
      </c>
      <c r="G3407" s="80" t="s">
        <v>84</v>
      </c>
      <c r="H3407" s="80" t="s">
        <v>84</v>
      </c>
      <c r="I3407" s="80" t="s">
        <v>84</v>
      </c>
      <c r="J3407" s="80" t="s">
        <v>84</v>
      </c>
      <c r="K3407" s="80" t="s">
        <v>84</v>
      </c>
      <c r="L3407" s="80" t="s">
        <v>84</v>
      </c>
      <c r="M3407" s="80" t="s">
        <v>84</v>
      </c>
      <c r="N3407" s="80" t="s">
        <v>84</v>
      </c>
      <c r="O3407" s="80" t="s">
        <v>84</v>
      </c>
      <c r="Q3407" s="80" t="s">
        <v>84</v>
      </c>
      <c r="R3407" s="80" t="s">
        <v>84</v>
      </c>
    </row>
    <row r="3408" spans="1:18" ht="20" x14ac:dyDescent="0.2">
      <c r="A3408" s="80" t="s">
        <v>2120</v>
      </c>
      <c r="B3408" s="80" t="s">
        <v>2123</v>
      </c>
      <c r="C3408" s="80" t="s">
        <v>9680</v>
      </c>
      <c r="D3408" s="80" t="s">
        <v>84</v>
      </c>
      <c r="E3408" s="80" t="s">
        <v>84</v>
      </c>
      <c r="G3408" s="80" t="s">
        <v>84</v>
      </c>
      <c r="H3408" s="80" t="s">
        <v>84</v>
      </c>
      <c r="I3408" s="80" t="s">
        <v>84</v>
      </c>
      <c r="J3408" s="80" t="s">
        <v>84</v>
      </c>
      <c r="K3408" s="80" t="s">
        <v>84</v>
      </c>
      <c r="L3408" s="80" t="s">
        <v>84</v>
      </c>
      <c r="M3408" s="80" t="s">
        <v>84</v>
      </c>
      <c r="N3408" s="80" t="s">
        <v>84</v>
      </c>
      <c r="O3408" s="80" t="s">
        <v>84</v>
      </c>
      <c r="Q3408" s="80" t="s">
        <v>84</v>
      </c>
      <c r="R3408" s="80" t="s">
        <v>84</v>
      </c>
    </row>
    <row r="3409" spans="1:18" ht="20" x14ac:dyDescent="0.2">
      <c r="A3409" s="80" t="s">
        <v>3281</v>
      </c>
      <c r="B3409" s="80" t="s">
        <v>3282</v>
      </c>
      <c r="C3409" s="80" t="s">
        <v>84</v>
      </c>
      <c r="D3409" s="80" t="s">
        <v>84</v>
      </c>
      <c r="E3409" s="80" t="s">
        <v>84</v>
      </c>
      <c r="G3409" s="80" t="s">
        <v>84</v>
      </c>
      <c r="H3409" s="80" t="s">
        <v>84</v>
      </c>
      <c r="I3409" s="80" t="s">
        <v>84</v>
      </c>
      <c r="J3409" s="80" t="s">
        <v>84</v>
      </c>
      <c r="K3409" s="80" t="s">
        <v>84</v>
      </c>
      <c r="L3409" s="80" t="s">
        <v>84</v>
      </c>
      <c r="M3409" s="80" t="s">
        <v>84</v>
      </c>
      <c r="N3409" s="80" t="s">
        <v>84</v>
      </c>
      <c r="O3409" s="80" t="s">
        <v>84</v>
      </c>
      <c r="Q3409" s="80" t="s">
        <v>84</v>
      </c>
      <c r="R3409" s="80" t="s">
        <v>84</v>
      </c>
    </row>
    <row r="3410" spans="1:18" ht="20" x14ac:dyDescent="0.2">
      <c r="A3410" s="80" t="s">
        <v>645</v>
      </c>
      <c r="B3410" s="80" t="s">
        <v>646</v>
      </c>
      <c r="C3410" s="80" t="s">
        <v>9680</v>
      </c>
      <c r="D3410" s="80" t="s">
        <v>84</v>
      </c>
      <c r="E3410" s="80" t="s">
        <v>84</v>
      </c>
      <c r="G3410" s="80" t="s">
        <v>84</v>
      </c>
      <c r="H3410" s="80" t="s">
        <v>84</v>
      </c>
      <c r="I3410" s="80" t="s">
        <v>84</v>
      </c>
      <c r="J3410" s="80" t="s">
        <v>84</v>
      </c>
      <c r="K3410" s="80" t="s">
        <v>84</v>
      </c>
      <c r="L3410" s="80" t="s">
        <v>84</v>
      </c>
      <c r="M3410" s="80" t="s">
        <v>84</v>
      </c>
      <c r="N3410" s="80" t="s">
        <v>84</v>
      </c>
      <c r="O3410" s="80" t="s">
        <v>84</v>
      </c>
      <c r="Q3410" s="80" t="s">
        <v>84</v>
      </c>
      <c r="R3410" s="80" t="s">
        <v>84</v>
      </c>
    </row>
    <row r="3411" spans="1:18" ht="20" x14ac:dyDescent="0.2">
      <c r="A3411" s="80" t="s">
        <v>2673</v>
      </c>
      <c r="B3411" s="80" t="s">
        <v>2674</v>
      </c>
      <c r="C3411" s="80" t="s">
        <v>9680</v>
      </c>
      <c r="D3411" s="80" t="s">
        <v>84</v>
      </c>
      <c r="E3411" s="80" t="s">
        <v>84</v>
      </c>
      <c r="G3411" s="80" t="s">
        <v>84</v>
      </c>
      <c r="H3411" s="80" t="s">
        <v>84</v>
      </c>
      <c r="I3411" s="80" t="s">
        <v>84</v>
      </c>
      <c r="J3411" s="80" t="s">
        <v>84</v>
      </c>
      <c r="K3411" s="80" t="s">
        <v>84</v>
      </c>
      <c r="L3411" s="80" t="s">
        <v>84</v>
      </c>
      <c r="M3411" s="80" t="s">
        <v>84</v>
      </c>
      <c r="N3411" s="80" t="s">
        <v>84</v>
      </c>
      <c r="O3411" s="80" t="s">
        <v>84</v>
      </c>
      <c r="Q3411" s="80" t="s">
        <v>84</v>
      </c>
      <c r="R3411" s="80" t="s">
        <v>84</v>
      </c>
    </row>
    <row r="3412" spans="1:18" ht="20" x14ac:dyDescent="0.2">
      <c r="A3412" s="80" t="s">
        <v>3223</v>
      </c>
      <c r="B3412" s="80" t="s">
        <v>3224</v>
      </c>
      <c r="C3412" s="80" t="s">
        <v>9680</v>
      </c>
      <c r="D3412" s="80" t="s">
        <v>84</v>
      </c>
      <c r="E3412" s="80" t="s">
        <v>84</v>
      </c>
      <c r="G3412" s="80" t="s">
        <v>84</v>
      </c>
      <c r="H3412" s="80" t="s">
        <v>84</v>
      </c>
      <c r="I3412" s="80" t="s">
        <v>84</v>
      </c>
      <c r="J3412" s="80" t="s">
        <v>84</v>
      </c>
      <c r="K3412" s="80" t="s">
        <v>84</v>
      </c>
      <c r="L3412" s="80" t="s">
        <v>84</v>
      </c>
      <c r="M3412" s="80" t="s">
        <v>84</v>
      </c>
      <c r="N3412" s="80" t="s">
        <v>84</v>
      </c>
      <c r="O3412" s="80" t="s">
        <v>84</v>
      </c>
      <c r="Q3412" s="80" t="s">
        <v>84</v>
      </c>
      <c r="R3412" s="80" t="s">
        <v>84</v>
      </c>
    </row>
    <row r="3413" spans="1:18" ht="20" x14ac:dyDescent="0.2">
      <c r="A3413" s="80" t="s">
        <v>4030</v>
      </c>
      <c r="B3413" s="80" t="s">
        <v>4031</v>
      </c>
      <c r="C3413" s="80" t="s">
        <v>84</v>
      </c>
      <c r="D3413" s="80" t="s">
        <v>84</v>
      </c>
      <c r="E3413" s="80" t="s">
        <v>84</v>
      </c>
      <c r="G3413" s="80" t="s">
        <v>84</v>
      </c>
      <c r="H3413" s="80" t="s">
        <v>84</v>
      </c>
      <c r="I3413" s="80" t="s">
        <v>84</v>
      </c>
      <c r="J3413" s="80" t="s">
        <v>84</v>
      </c>
      <c r="K3413" s="80" t="s">
        <v>84</v>
      </c>
      <c r="L3413" s="80" t="s">
        <v>84</v>
      </c>
      <c r="M3413" s="80" t="s">
        <v>84</v>
      </c>
      <c r="N3413" s="80" t="s">
        <v>84</v>
      </c>
      <c r="O3413" s="80" t="s">
        <v>84</v>
      </c>
      <c r="Q3413" s="80" t="s">
        <v>84</v>
      </c>
      <c r="R3413" s="80" t="s">
        <v>84</v>
      </c>
    </row>
    <row r="3414" spans="1:18" ht="20" x14ac:dyDescent="0.2">
      <c r="A3414" s="80" t="s">
        <v>5722</v>
      </c>
      <c r="B3414" s="80" t="s">
        <v>5723</v>
      </c>
      <c r="C3414" s="80" t="s">
        <v>9680</v>
      </c>
      <c r="D3414" s="80" t="s">
        <v>84</v>
      </c>
      <c r="E3414" s="80" t="s">
        <v>84</v>
      </c>
      <c r="G3414" s="80" t="s">
        <v>84</v>
      </c>
      <c r="H3414" s="80" t="s">
        <v>84</v>
      </c>
      <c r="I3414" s="80" t="s">
        <v>84</v>
      </c>
      <c r="J3414" s="80" t="s">
        <v>84</v>
      </c>
      <c r="K3414" s="80" t="s">
        <v>84</v>
      </c>
      <c r="L3414" s="80" t="s">
        <v>84</v>
      </c>
      <c r="M3414" s="80" t="s">
        <v>84</v>
      </c>
      <c r="N3414" s="80" t="s">
        <v>84</v>
      </c>
      <c r="O3414" s="80" t="s">
        <v>84</v>
      </c>
      <c r="Q3414" s="80" t="s">
        <v>84</v>
      </c>
      <c r="R3414" s="80" t="s">
        <v>84</v>
      </c>
    </row>
    <row r="3415" spans="1:18" ht="20" x14ac:dyDescent="0.2">
      <c r="A3415" s="80" t="s">
        <v>3277</v>
      </c>
      <c r="B3415" s="80" t="s">
        <v>3278</v>
      </c>
      <c r="C3415" s="80" t="s">
        <v>9680</v>
      </c>
      <c r="D3415" s="80" t="s">
        <v>84</v>
      </c>
      <c r="E3415" s="80" t="s">
        <v>84</v>
      </c>
      <c r="G3415" s="80" t="s">
        <v>84</v>
      </c>
      <c r="H3415" s="80" t="s">
        <v>84</v>
      </c>
      <c r="I3415" s="80" t="s">
        <v>84</v>
      </c>
      <c r="J3415" s="80" t="s">
        <v>84</v>
      </c>
      <c r="K3415" s="80" t="s">
        <v>84</v>
      </c>
      <c r="L3415" s="80" t="s">
        <v>84</v>
      </c>
      <c r="M3415" s="80" t="s">
        <v>84</v>
      </c>
      <c r="N3415" s="80" t="s">
        <v>84</v>
      </c>
      <c r="O3415" s="80" t="s">
        <v>84</v>
      </c>
      <c r="Q3415" s="80" t="s">
        <v>84</v>
      </c>
      <c r="R3415" s="80" t="s">
        <v>84</v>
      </c>
    </row>
    <row r="3416" spans="1:18" ht="20" x14ac:dyDescent="0.2">
      <c r="A3416" s="80" t="s">
        <v>2630</v>
      </c>
      <c r="B3416" s="80" t="s">
        <v>2631</v>
      </c>
      <c r="C3416" s="80" t="s">
        <v>9680</v>
      </c>
      <c r="D3416" s="80" t="s">
        <v>84</v>
      </c>
      <c r="E3416" s="80" t="s">
        <v>84</v>
      </c>
      <c r="G3416" s="80" t="s">
        <v>84</v>
      </c>
      <c r="H3416" s="80" t="s">
        <v>84</v>
      </c>
      <c r="I3416" s="80" t="s">
        <v>84</v>
      </c>
      <c r="J3416" s="80" t="s">
        <v>84</v>
      </c>
      <c r="K3416" s="80" t="s">
        <v>84</v>
      </c>
      <c r="L3416" s="80" t="s">
        <v>84</v>
      </c>
      <c r="M3416" s="80" t="s">
        <v>84</v>
      </c>
      <c r="N3416" s="80" t="s">
        <v>84</v>
      </c>
      <c r="O3416" s="80" t="s">
        <v>84</v>
      </c>
      <c r="Q3416" s="80" t="s">
        <v>84</v>
      </c>
      <c r="R3416" s="80" t="s">
        <v>84</v>
      </c>
    </row>
    <row r="3417" spans="1:18" ht="20" x14ac:dyDescent="0.2">
      <c r="A3417" s="80" t="s">
        <v>2628</v>
      </c>
      <c r="B3417" s="80" t="s">
        <v>2629</v>
      </c>
      <c r="C3417" s="80" t="s">
        <v>9680</v>
      </c>
      <c r="D3417" s="80" t="s">
        <v>84</v>
      </c>
      <c r="E3417" s="80" t="s">
        <v>84</v>
      </c>
      <c r="G3417" s="80" t="s">
        <v>84</v>
      </c>
      <c r="H3417" s="80" t="s">
        <v>84</v>
      </c>
      <c r="I3417" s="80" t="s">
        <v>84</v>
      </c>
      <c r="J3417" s="80" t="s">
        <v>84</v>
      </c>
      <c r="K3417" s="80" t="s">
        <v>84</v>
      </c>
      <c r="L3417" s="80" t="s">
        <v>84</v>
      </c>
      <c r="M3417" s="80" t="s">
        <v>84</v>
      </c>
      <c r="N3417" s="80" t="s">
        <v>84</v>
      </c>
      <c r="O3417" s="80" t="s">
        <v>84</v>
      </c>
      <c r="Q3417" s="80" t="s">
        <v>84</v>
      </c>
      <c r="R3417" s="80" t="s">
        <v>84</v>
      </c>
    </row>
    <row r="3418" spans="1:18" ht="20" x14ac:dyDescent="0.2">
      <c r="A3418" s="80" t="s">
        <v>2628</v>
      </c>
      <c r="B3418" s="80" t="s">
        <v>2632</v>
      </c>
      <c r="C3418" s="80" t="s">
        <v>9680</v>
      </c>
      <c r="D3418" s="80" t="s">
        <v>84</v>
      </c>
      <c r="E3418" s="80" t="s">
        <v>84</v>
      </c>
      <c r="G3418" s="80" t="s">
        <v>84</v>
      </c>
      <c r="H3418" s="80" t="s">
        <v>84</v>
      </c>
      <c r="I3418" s="80" t="s">
        <v>84</v>
      </c>
      <c r="J3418" s="80" t="s">
        <v>84</v>
      </c>
      <c r="K3418" s="80" t="s">
        <v>84</v>
      </c>
      <c r="L3418" s="80" t="s">
        <v>84</v>
      </c>
      <c r="M3418" s="80" t="s">
        <v>84</v>
      </c>
      <c r="N3418" s="80" t="s">
        <v>84</v>
      </c>
      <c r="O3418" s="80" t="s">
        <v>84</v>
      </c>
      <c r="Q3418" s="80" t="s">
        <v>84</v>
      </c>
      <c r="R3418" s="80" t="s">
        <v>84</v>
      </c>
    </row>
    <row r="3419" spans="1:18" ht="20" x14ac:dyDescent="0.2">
      <c r="A3419" s="80" t="s">
        <v>5724</v>
      </c>
      <c r="B3419" s="80" t="s">
        <v>5725</v>
      </c>
      <c r="C3419" s="80" t="s">
        <v>9680</v>
      </c>
      <c r="D3419" s="80" t="s">
        <v>84</v>
      </c>
      <c r="E3419" s="80" t="s">
        <v>84</v>
      </c>
      <c r="G3419" s="80" t="s">
        <v>84</v>
      </c>
      <c r="H3419" s="80" t="s">
        <v>84</v>
      </c>
      <c r="I3419" s="80" t="s">
        <v>84</v>
      </c>
      <c r="J3419" s="80" t="s">
        <v>84</v>
      </c>
      <c r="K3419" s="80" t="s">
        <v>84</v>
      </c>
      <c r="L3419" s="80" t="s">
        <v>84</v>
      </c>
      <c r="M3419" s="80" t="s">
        <v>84</v>
      </c>
      <c r="N3419" s="80" t="s">
        <v>84</v>
      </c>
      <c r="O3419" s="80" t="s">
        <v>84</v>
      </c>
      <c r="Q3419" s="80" t="s">
        <v>84</v>
      </c>
      <c r="R3419" s="80" t="s">
        <v>84</v>
      </c>
    </row>
    <row r="3420" spans="1:18" ht="20" x14ac:dyDescent="0.2">
      <c r="A3420" s="80" t="s">
        <v>5693</v>
      </c>
      <c r="B3420" s="80" t="s">
        <v>5694</v>
      </c>
      <c r="C3420" s="80" t="s">
        <v>9680</v>
      </c>
      <c r="D3420" s="80" t="s">
        <v>84</v>
      </c>
      <c r="E3420" s="80" t="s">
        <v>84</v>
      </c>
      <c r="G3420" s="80" t="s">
        <v>84</v>
      </c>
      <c r="H3420" s="80" t="s">
        <v>84</v>
      </c>
      <c r="I3420" s="80" t="s">
        <v>84</v>
      </c>
      <c r="J3420" s="80" t="s">
        <v>84</v>
      </c>
      <c r="K3420" s="80" t="s">
        <v>84</v>
      </c>
      <c r="L3420" s="80" t="s">
        <v>84</v>
      </c>
      <c r="M3420" s="80" t="s">
        <v>84</v>
      </c>
      <c r="N3420" s="80" t="s">
        <v>84</v>
      </c>
      <c r="O3420" s="80" t="s">
        <v>84</v>
      </c>
      <c r="Q3420" s="80" t="s">
        <v>84</v>
      </c>
      <c r="R3420" s="80" t="s">
        <v>84</v>
      </c>
    </row>
    <row r="3421" spans="1:18" ht="20" x14ac:dyDescent="0.2">
      <c r="A3421" s="80" t="s">
        <v>2665</v>
      </c>
      <c r="B3421" s="80" t="s">
        <v>2666</v>
      </c>
      <c r="C3421" s="80" t="s">
        <v>9680</v>
      </c>
      <c r="D3421" s="80" t="s">
        <v>84</v>
      </c>
      <c r="E3421" s="80" t="s">
        <v>84</v>
      </c>
      <c r="G3421" s="80" t="s">
        <v>84</v>
      </c>
      <c r="H3421" s="80" t="s">
        <v>84</v>
      </c>
      <c r="I3421" s="80" t="s">
        <v>84</v>
      </c>
      <c r="J3421" s="80" t="s">
        <v>84</v>
      </c>
      <c r="K3421" s="80" t="s">
        <v>84</v>
      </c>
      <c r="L3421" s="80" t="s">
        <v>84</v>
      </c>
      <c r="M3421" s="80" t="s">
        <v>84</v>
      </c>
      <c r="N3421" s="80" t="s">
        <v>84</v>
      </c>
      <c r="O3421" s="80" t="s">
        <v>84</v>
      </c>
      <c r="Q3421" s="80" t="s">
        <v>84</v>
      </c>
      <c r="R3421" s="80" t="s">
        <v>84</v>
      </c>
    </row>
    <row r="3422" spans="1:18" ht="20" x14ac:dyDescent="0.2">
      <c r="A3422" s="80" t="s">
        <v>2667</v>
      </c>
      <c r="B3422" s="80" t="s">
        <v>2668</v>
      </c>
      <c r="C3422" s="80" t="s">
        <v>9680</v>
      </c>
      <c r="D3422" s="80" t="s">
        <v>84</v>
      </c>
      <c r="E3422" s="80" t="s">
        <v>84</v>
      </c>
      <c r="G3422" s="80" t="s">
        <v>84</v>
      </c>
      <c r="H3422" s="80" t="s">
        <v>84</v>
      </c>
      <c r="I3422" s="80" t="s">
        <v>84</v>
      </c>
      <c r="J3422" s="80" t="s">
        <v>84</v>
      </c>
      <c r="K3422" s="80" t="s">
        <v>84</v>
      </c>
      <c r="L3422" s="80" t="s">
        <v>84</v>
      </c>
      <c r="M3422" s="80" t="s">
        <v>84</v>
      </c>
      <c r="N3422" s="80" t="s">
        <v>84</v>
      </c>
      <c r="O3422" s="80" t="s">
        <v>84</v>
      </c>
      <c r="Q3422" s="80" t="s">
        <v>84</v>
      </c>
      <c r="R3422" s="80" t="s">
        <v>84</v>
      </c>
    </row>
    <row r="3423" spans="1:18" ht="20" x14ac:dyDescent="0.2">
      <c r="A3423" s="80" t="s">
        <v>1433</v>
      </c>
      <c r="B3423" s="80" t="s">
        <v>1434</v>
      </c>
      <c r="C3423" s="80" t="s">
        <v>9680</v>
      </c>
      <c r="D3423" s="80" t="s">
        <v>84</v>
      </c>
      <c r="E3423" s="80" t="s">
        <v>84</v>
      </c>
      <c r="G3423" s="80" t="s">
        <v>84</v>
      </c>
      <c r="H3423" s="80" t="s">
        <v>84</v>
      </c>
      <c r="I3423" s="80" t="s">
        <v>84</v>
      </c>
      <c r="J3423" s="80" t="s">
        <v>84</v>
      </c>
      <c r="K3423" s="80" t="s">
        <v>84</v>
      </c>
      <c r="L3423" s="80" t="s">
        <v>84</v>
      </c>
      <c r="M3423" s="80" t="s">
        <v>84</v>
      </c>
      <c r="N3423" s="80" t="s">
        <v>84</v>
      </c>
      <c r="O3423" s="80" t="s">
        <v>84</v>
      </c>
      <c r="Q3423" s="80" t="s">
        <v>84</v>
      </c>
      <c r="R3423" s="80" t="s">
        <v>84</v>
      </c>
    </row>
    <row r="3424" spans="1:18" ht="20" x14ac:dyDescent="0.2">
      <c r="A3424" s="80" t="s">
        <v>2669</v>
      </c>
      <c r="B3424" s="80" t="s">
        <v>2670</v>
      </c>
      <c r="C3424" s="80" t="s">
        <v>9680</v>
      </c>
      <c r="D3424" s="80" t="s">
        <v>84</v>
      </c>
      <c r="E3424" s="80" t="s">
        <v>84</v>
      </c>
      <c r="G3424" s="80" t="s">
        <v>84</v>
      </c>
      <c r="H3424" s="80" t="s">
        <v>84</v>
      </c>
      <c r="I3424" s="80" t="s">
        <v>84</v>
      </c>
      <c r="J3424" s="80" t="s">
        <v>84</v>
      </c>
      <c r="K3424" s="80" t="s">
        <v>84</v>
      </c>
      <c r="L3424" s="80" t="s">
        <v>84</v>
      </c>
      <c r="M3424" s="80" t="s">
        <v>84</v>
      </c>
      <c r="N3424" s="80" t="s">
        <v>84</v>
      </c>
      <c r="O3424" s="80" t="s">
        <v>84</v>
      </c>
      <c r="Q3424" s="80" t="s">
        <v>84</v>
      </c>
      <c r="R3424" s="80" t="s">
        <v>84</v>
      </c>
    </row>
    <row r="3425" spans="1:18" ht="20" x14ac:dyDescent="0.2">
      <c r="A3425" s="80" t="s">
        <v>2108</v>
      </c>
      <c r="B3425" s="80" t="s">
        <v>2109</v>
      </c>
      <c r="C3425" s="80" t="s">
        <v>9680</v>
      </c>
      <c r="D3425" s="80" t="s">
        <v>84</v>
      </c>
      <c r="E3425" s="80" t="s">
        <v>84</v>
      </c>
      <c r="G3425" s="80" t="s">
        <v>84</v>
      </c>
      <c r="H3425" s="80" t="s">
        <v>84</v>
      </c>
      <c r="I3425" s="80" t="s">
        <v>84</v>
      </c>
      <c r="J3425" s="80" t="s">
        <v>84</v>
      </c>
      <c r="K3425" s="80" t="s">
        <v>84</v>
      </c>
      <c r="L3425" s="80" t="s">
        <v>84</v>
      </c>
      <c r="M3425" s="80" t="s">
        <v>84</v>
      </c>
      <c r="N3425" s="80" t="s">
        <v>84</v>
      </c>
      <c r="O3425" s="80" t="s">
        <v>84</v>
      </c>
      <c r="Q3425" s="80" t="s">
        <v>84</v>
      </c>
      <c r="R3425" s="80" t="s">
        <v>84</v>
      </c>
    </row>
    <row r="3426" spans="1:18" ht="20" x14ac:dyDescent="0.2">
      <c r="A3426" s="80" t="s">
        <v>2108</v>
      </c>
      <c r="B3426" s="80" t="s">
        <v>2115</v>
      </c>
      <c r="C3426" s="80" t="s">
        <v>9680</v>
      </c>
      <c r="D3426" s="80" t="s">
        <v>84</v>
      </c>
      <c r="E3426" s="80" t="s">
        <v>84</v>
      </c>
      <c r="G3426" s="80" t="s">
        <v>84</v>
      </c>
      <c r="H3426" s="80" t="s">
        <v>84</v>
      </c>
      <c r="I3426" s="80" t="s">
        <v>84</v>
      </c>
      <c r="J3426" s="80" t="s">
        <v>84</v>
      </c>
      <c r="K3426" s="80" t="s">
        <v>84</v>
      </c>
      <c r="L3426" s="80" t="s">
        <v>84</v>
      </c>
      <c r="M3426" s="80" t="s">
        <v>84</v>
      </c>
      <c r="N3426" s="80" t="s">
        <v>84</v>
      </c>
      <c r="O3426" s="80" t="s">
        <v>84</v>
      </c>
      <c r="Q3426" s="80" t="s">
        <v>84</v>
      </c>
      <c r="R3426" s="80" t="s">
        <v>84</v>
      </c>
    </row>
    <row r="3427" spans="1:18" ht="20" x14ac:dyDescent="0.2">
      <c r="A3427" s="80" t="s">
        <v>5741</v>
      </c>
      <c r="B3427" s="80" t="s">
        <v>5742</v>
      </c>
      <c r="C3427" s="80" t="s">
        <v>9680</v>
      </c>
      <c r="D3427" s="80" t="s">
        <v>84</v>
      </c>
      <c r="E3427" s="80" t="s">
        <v>84</v>
      </c>
      <c r="G3427" s="80" t="s">
        <v>84</v>
      </c>
      <c r="H3427" s="80" t="s">
        <v>84</v>
      </c>
      <c r="I3427" s="80" t="s">
        <v>84</v>
      </c>
      <c r="J3427" s="80" t="s">
        <v>84</v>
      </c>
      <c r="K3427" s="80" t="s">
        <v>84</v>
      </c>
      <c r="L3427" s="80" t="s">
        <v>84</v>
      </c>
      <c r="M3427" s="80" t="s">
        <v>84</v>
      </c>
      <c r="N3427" s="80" t="s">
        <v>84</v>
      </c>
      <c r="O3427" s="80" t="s">
        <v>84</v>
      </c>
      <c r="Q3427" s="80" t="s">
        <v>84</v>
      </c>
      <c r="R3427" s="80" t="s">
        <v>84</v>
      </c>
    </row>
    <row r="3428" spans="1:18" ht="20" x14ac:dyDescent="0.2">
      <c r="A3428" s="80" t="s">
        <v>5715</v>
      </c>
      <c r="B3428" s="80" t="s">
        <v>5716</v>
      </c>
      <c r="C3428" s="80" t="s">
        <v>9680</v>
      </c>
      <c r="D3428" s="80" t="s">
        <v>84</v>
      </c>
      <c r="E3428" s="80" t="s">
        <v>84</v>
      </c>
      <c r="G3428" s="80" t="s">
        <v>84</v>
      </c>
      <c r="H3428" s="80" t="s">
        <v>84</v>
      </c>
      <c r="I3428" s="80" t="s">
        <v>84</v>
      </c>
      <c r="J3428" s="80" t="s">
        <v>84</v>
      </c>
      <c r="K3428" s="80" t="s">
        <v>84</v>
      </c>
      <c r="L3428" s="80" t="s">
        <v>84</v>
      </c>
      <c r="M3428" s="80" t="s">
        <v>84</v>
      </c>
      <c r="N3428" s="80" t="s">
        <v>84</v>
      </c>
      <c r="O3428" s="80" t="s">
        <v>84</v>
      </c>
      <c r="Q3428" s="80" t="s">
        <v>84</v>
      </c>
      <c r="R3428" s="80" t="s">
        <v>84</v>
      </c>
    </row>
    <row r="3429" spans="1:18" ht="20" x14ac:dyDescent="0.2">
      <c r="A3429" s="80" t="s">
        <v>2542</v>
      </c>
      <c r="B3429" s="80" t="s">
        <v>2543</v>
      </c>
      <c r="C3429" s="80" t="s">
        <v>9680</v>
      </c>
      <c r="D3429" s="80" t="s">
        <v>84</v>
      </c>
      <c r="E3429" s="80" t="s">
        <v>84</v>
      </c>
      <c r="G3429" s="80" t="s">
        <v>84</v>
      </c>
      <c r="H3429" s="80" t="s">
        <v>84</v>
      </c>
      <c r="I3429" s="80" t="s">
        <v>84</v>
      </c>
      <c r="J3429" s="80" t="s">
        <v>84</v>
      </c>
      <c r="K3429" s="80" t="s">
        <v>84</v>
      </c>
      <c r="L3429" s="80" t="s">
        <v>84</v>
      </c>
      <c r="M3429" s="80" t="s">
        <v>84</v>
      </c>
      <c r="N3429" s="80" t="s">
        <v>84</v>
      </c>
      <c r="O3429" s="80" t="s">
        <v>84</v>
      </c>
      <c r="Q3429" s="80" t="s">
        <v>84</v>
      </c>
      <c r="R3429" s="80" t="s">
        <v>84</v>
      </c>
    </row>
    <row r="3430" spans="1:18" ht="20" x14ac:dyDescent="0.2">
      <c r="A3430" s="80" t="s">
        <v>639</v>
      </c>
      <c r="B3430" s="80" t="s">
        <v>640</v>
      </c>
      <c r="C3430" s="80" t="s">
        <v>9680</v>
      </c>
      <c r="D3430" s="80" t="s">
        <v>84</v>
      </c>
      <c r="E3430" s="80" t="s">
        <v>84</v>
      </c>
      <c r="G3430" s="80" t="s">
        <v>84</v>
      </c>
      <c r="H3430" s="80" t="s">
        <v>84</v>
      </c>
      <c r="I3430" s="80" t="s">
        <v>84</v>
      </c>
      <c r="J3430" s="80" t="s">
        <v>84</v>
      </c>
      <c r="K3430" s="80" t="s">
        <v>84</v>
      </c>
      <c r="L3430" s="80" t="s">
        <v>84</v>
      </c>
      <c r="M3430" s="80" t="s">
        <v>84</v>
      </c>
      <c r="N3430" s="80" t="s">
        <v>84</v>
      </c>
      <c r="O3430" s="80" t="s">
        <v>84</v>
      </c>
      <c r="Q3430" s="80" t="s">
        <v>84</v>
      </c>
      <c r="R3430" s="80" t="s">
        <v>84</v>
      </c>
    </row>
    <row r="3431" spans="1:18" ht="20" x14ac:dyDescent="0.2">
      <c r="A3431" s="80" t="s">
        <v>636</v>
      </c>
      <c r="B3431" s="80" t="s">
        <v>637</v>
      </c>
      <c r="C3431" s="80" t="s">
        <v>9680</v>
      </c>
      <c r="D3431" s="80" t="s">
        <v>84</v>
      </c>
      <c r="E3431" s="80" t="s">
        <v>84</v>
      </c>
      <c r="G3431" s="80" t="s">
        <v>84</v>
      </c>
      <c r="H3431" s="80" t="s">
        <v>84</v>
      </c>
      <c r="I3431" s="80" t="s">
        <v>84</v>
      </c>
      <c r="J3431" s="80" t="s">
        <v>84</v>
      </c>
      <c r="K3431" s="80" t="s">
        <v>84</v>
      </c>
      <c r="L3431" s="80" t="s">
        <v>84</v>
      </c>
      <c r="M3431" s="80" t="s">
        <v>84</v>
      </c>
      <c r="N3431" s="80" t="s">
        <v>84</v>
      </c>
      <c r="O3431" s="80" t="s">
        <v>84</v>
      </c>
      <c r="Q3431" s="80" t="s">
        <v>84</v>
      </c>
      <c r="R3431" s="80" t="s">
        <v>84</v>
      </c>
    </row>
    <row r="3432" spans="1:18" ht="20" x14ac:dyDescent="0.2">
      <c r="A3432" s="80" t="s">
        <v>4032</v>
      </c>
      <c r="B3432" s="80" t="s">
        <v>4033</v>
      </c>
      <c r="C3432" s="80" t="s">
        <v>84</v>
      </c>
      <c r="D3432" s="80" t="s">
        <v>84</v>
      </c>
      <c r="E3432" s="80" t="s">
        <v>84</v>
      </c>
      <c r="G3432" s="80" t="s">
        <v>84</v>
      </c>
      <c r="H3432" s="80" t="s">
        <v>84</v>
      </c>
      <c r="I3432" s="80" t="s">
        <v>84</v>
      </c>
      <c r="J3432" s="80" t="s">
        <v>84</v>
      </c>
      <c r="K3432" s="80" t="s">
        <v>84</v>
      </c>
      <c r="L3432" s="80" t="s">
        <v>84</v>
      </c>
      <c r="M3432" s="80" t="s">
        <v>84</v>
      </c>
      <c r="N3432" s="80" t="s">
        <v>84</v>
      </c>
      <c r="O3432" s="80" t="s">
        <v>84</v>
      </c>
      <c r="Q3432" s="80" t="s">
        <v>84</v>
      </c>
      <c r="R3432" s="80" t="s">
        <v>84</v>
      </c>
    </row>
    <row r="3433" spans="1:18" ht="20" x14ac:dyDescent="0.2">
      <c r="A3433" s="80" t="s">
        <v>1751</v>
      </c>
      <c r="B3433" s="80" t="s">
        <v>1752</v>
      </c>
      <c r="C3433" s="80" t="s">
        <v>9680</v>
      </c>
      <c r="D3433" s="80" t="s">
        <v>84</v>
      </c>
      <c r="E3433" s="80" t="s">
        <v>84</v>
      </c>
      <c r="G3433" s="80" t="s">
        <v>84</v>
      </c>
      <c r="H3433" s="80" t="s">
        <v>84</v>
      </c>
      <c r="I3433" s="80" t="s">
        <v>84</v>
      </c>
      <c r="J3433" s="80" t="s">
        <v>84</v>
      </c>
      <c r="K3433" s="80" t="s">
        <v>84</v>
      </c>
      <c r="L3433" s="80" t="s">
        <v>84</v>
      </c>
      <c r="M3433" s="80" t="s">
        <v>84</v>
      </c>
      <c r="N3433" s="80" t="s">
        <v>84</v>
      </c>
      <c r="O3433" s="80" t="s">
        <v>84</v>
      </c>
      <c r="Q3433" s="80" t="s">
        <v>84</v>
      </c>
      <c r="R3433" s="80" t="s">
        <v>84</v>
      </c>
    </row>
    <row r="3434" spans="1:18" ht="20" x14ac:dyDescent="0.2">
      <c r="A3434" s="80" t="s">
        <v>1753</v>
      </c>
      <c r="B3434" s="80" t="s">
        <v>1754</v>
      </c>
      <c r="C3434" s="80" t="s">
        <v>9680</v>
      </c>
      <c r="D3434" s="80" t="s">
        <v>84</v>
      </c>
      <c r="E3434" s="80" t="s">
        <v>84</v>
      </c>
      <c r="G3434" s="80" t="s">
        <v>84</v>
      </c>
      <c r="H3434" s="80" t="s">
        <v>84</v>
      </c>
      <c r="I3434" s="80" t="s">
        <v>84</v>
      </c>
      <c r="J3434" s="80" t="s">
        <v>84</v>
      </c>
      <c r="K3434" s="80" t="s">
        <v>84</v>
      </c>
      <c r="L3434" s="80" t="s">
        <v>84</v>
      </c>
      <c r="M3434" s="80" t="s">
        <v>84</v>
      </c>
      <c r="N3434" s="80" t="s">
        <v>84</v>
      </c>
      <c r="O3434" s="80" t="s">
        <v>84</v>
      </c>
      <c r="Q3434" s="80" t="s">
        <v>84</v>
      </c>
      <c r="R3434" s="80" t="s">
        <v>84</v>
      </c>
    </row>
    <row r="3435" spans="1:18" ht="20" x14ac:dyDescent="0.2">
      <c r="A3435" s="80" t="s">
        <v>2429</v>
      </c>
      <c r="B3435" s="80" t="s">
        <v>2430</v>
      </c>
      <c r="C3435" s="80" t="s">
        <v>84</v>
      </c>
      <c r="D3435" s="80" t="s">
        <v>84</v>
      </c>
      <c r="E3435" s="80" t="s">
        <v>84</v>
      </c>
      <c r="G3435" s="80" t="s">
        <v>84</v>
      </c>
      <c r="H3435" s="80" t="s">
        <v>84</v>
      </c>
      <c r="I3435" s="80" t="s">
        <v>84</v>
      </c>
      <c r="J3435" s="80" t="s">
        <v>84</v>
      </c>
      <c r="K3435" s="80" t="s">
        <v>84</v>
      </c>
      <c r="L3435" s="80" t="s">
        <v>84</v>
      </c>
      <c r="M3435" s="80" t="s">
        <v>84</v>
      </c>
      <c r="N3435" s="80" t="s">
        <v>84</v>
      </c>
      <c r="O3435" s="80" t="s">
        <v>84</v>
      </c>
      <c r="Q3435" s="80" t="s">
        <v>84</v>
      </c>
      <c r="R3435" s="80" t="s">
        <v>84</v>
      </c>
    </row>
    <row r="3436" spans="1:18" ht="20" x14ac:dyDescent="0.2">
      <c r="A3436" s="80" t="s">
        <v>138</v>
      </c>
      <c r="B3436" s="80" t="s">
        <v>139</v>
      </c>
      <c r="C3436" s="80" t="s">
        <v>84</v>
      </c>
      <c r="D3436" s="80" t="s">
        <v>84</v>
      </c>
      <c r="E3436" s="80" t="s">
        <v>84</v>
      </c>
      <c r="G3436" s="80" t="s">
        <v>84</v>
      </c>
      <c r="H3436" s="80" t="s">
        <v>84</v>
      </c>
      <c r="I3436" s="80" t="s">
        <v>84</v>
      </c>
      <c r="J3436" s="80" t="s">
        <v>84</v>
      </c>
      <c r="K3436" s="80" t="s">
        <v>84</v>
      </c>
      <c r="L3436" s="80" t="s">
        <v>84</v>
      </c>
      <c r="M3436" s="80" t="s">
        <v>84</v>
      </c>
      <c r="N3436" s="80" t="s">
        <v>84</v>
      </c>
      <c r="O3436" s="80" t="s">
        <v>84</v>
      </c>
      <c r="Q3436" s="80" t="s">
        <v>84</v>
      </c>
      <c r="R3436" s="80" t="s">
        <v>84</v>
      </c>
    </row>
    <row r="3437" spans="1:18" ht="20" x14ac:dyDescent="0.2">
      <c r="A3437" s="80" t="s">
        <v>5285</v>
      </c>
      <c r="B3437" s="80" t="s">
        <v>5286</v>
      </c>
      <c r="C3437" s="80" t="s">
        <v>9722</v>
      </c>
      <c r="D3437" s="80" t="s">
        <v>84</v>
      </c>
      <c r="E3437" s="80" t="s">
        <v>84</v>
      </c>
      <c r="G3437" s="80" t="s">
        <v>84</v>
      </c>
      <c r="H3437" s="80" t="s">
        <v>84</v>
      </c>
      <c r="I3437" s="80" t="s">
        <v>84</v>
      </c>
      <c r="J3437" s="80" t="s">
        <v>84</v>
      </c>
      <c r="K3437" s="80" t="s">
        <v>84</v>
      </c>
      <c r="L3437" s="80" t="s">
        <v>84</v>
      </c>
      <c r="M3437" s="80" t="s">
        <v>84</v>
      </c>
      <c r="N3437" s="80" t="s">
        <v>84</v>
      </c>
      <c r="O3437" s="80" t="s">
        <v>84</v>
      </c>
      <c r="Q3437" s="80" t="s">
        <v>84</v>
      </c>
      <c r="R3437" s="80" t="s">
        <v>84</v>
      </c>
    </row>
    <row r="3438" spans="1:18" ht="20" x14ac:dyDescent="0.2">
      <c r="A3438" s="80" t="s">
        <v>268</v>
      </c>
      <c r="B3438" s="80" t="s">
        <v>269</v>
      </c>
      <c r="C3438" s="80" t="s">
        <v>84</v>
      </c>
      <c r="D3438" s="80" t="s">
        <v>84</v>
      </c>
      <c r="E3438" s="80" t="s">
        <v>84</v>
      </c>
      <c r="G3438" s="80" t="s">
        <v>84</v>
      </c>
      <c r="H3438" s="80" t="s">
        <v>84</v>
      </c>
      <c r="I3438" s="80" t="s">
        <v>84</v>
      </c>
      <c r="J3438" s="80" t="s">
        <v>84</v>
      </c>
      <c r="K3438" s="80" t="s">
        <v>84</v>
      </c>
      <c r="L3438" s="80" t="s">
        <v>84</v>
      </c>
      <c r="M3438" s="80" t="s">
        <v>84</v>
      </c>
      <c r="N3438" s="80" t="s">
        <v>84</v>
      </c>
      <c r="O3438" s="80" t="s">
        <v>84</v>
      </c>
      <c r="Q3438" s="80" t="s">
        <v>84</v>
      </c>
      <c r="R3438" s="80" t="s">
        <v>84</v>
      </c>
    </row>
    <row r="3439" spans="1:18" ht="20" x14ac:dyDescent="0.2">
      <c r="A3439" s="80" t="s">
        <v>4952</v>
      </c>
      <c r="B3439" s="80" t="s">
        <v>4953</v>
      </c>
      <c r="C3439" s="80" t="s">
        <v>9680</v>
      </c>
      <c r="D3439" s="80" t="s">
        <v>84</v>
      </c>
      <c r="E3439" s="80" t="s">
        <v>84</v>
      </c>
      <c r="G3439" s="80" t="s">
        <v>84</v>
      </c>
      <c r="H3439" s="80" t="s">
        <v>84</v>
      </c>
      <c r="I3439" s="80" t="s">
        <v>84</v>
      </c>
      <c r="J3439" s="80" t="s">
        <v>84</v>
      </c>
      <c r="K3439" s="80" t="s">
        <v>84</v>
      </c>
      <c r="L3439" s="80" t="s">
        <v>84</v>
      </c>
      <c r="M3439" s="80" t="s">
        <v>84</v>
      </c>
      <c r="N3439" s="80" t="s">
        <v>84</v>
      </c>
      <c r="O3439" s="80" t="s">
        <v>84</v>
      </c>
      <c r="Q3439" s="80" t="s">
        <v>84</v>
      </c>
      <c r="R3439" s="80" t="s">
        <v>84</v>
      </c>
    </row>
    <row r="3440" spans="1:18" ht="20" x14ac:dyDescent="0.2">
      <c r="A3440" s="80" t="s">
        <v>3865</v>
      </c>
      <c r="B3440" s="80" t="s">
        <v>3866</v>
      </c>
      <c r="C3440" s="80" t="s">
        <v>9680</v>
      </c>
      <c r="D3440" s="80" t="s">
        <v>84</v>
      </c>
      <c r="E3440" s="80" t="s">
        <v>84</v>
      </c>
      <c r="G3440" s="80" t="s">
        <v>84</v>
      </c>
      <c r="H3440" s="80" t="s">
        <v>84</v>
      </c>
      <c r="I3440" s="80" t="s">
        <v>84</v>
      </c>
      <c r="J3440" s="80" t="s">
        <v>84</v>
      </c>
      <c r="K3440" s="80" t="s">
        <v>84</v>
      </c>
      <c r="L3440" s="80" t="s">
        <v>84</v>
      </c>
      <c r="M3440" s="80" t="s">
        <v>84</v>
      </c>
      <c r="N3440" s="80" t="s">
        <v>84</v>
      </c>
      <c r="O3440" s="80" t="s">
        <v>84</v>
      </c>
      <c r="Q3440" s="80" t="s">
        <v>84</v>
      </c>
      <c r="R3440" s="80" t="s">
        <v>84</v>
      </c>
    </row>
    <row r="3441" spans="1:18" ht="20" x14ac:dyDescent="0.2">
      <c r="A3441" s="80" t="s">
        <v>3837</v>
      </c>
      <c r="B3441" s="80" t="s">
        <v>3838</v>
      </c>
      <c r="C3441" s="80" t="s">
        <v>9680</v>
      </c>
      <c r="D3441" s="80" t="s">
        <v>84</v>
      </c>
      <c r="E3441" s="80" t="s">
        <v>84</v>
      </c>
      <c r="G3441" s="80" t="s">
        <v>84</v>
      </c>
      <c r="H3441" s="80" t="s">
        <v>84</v>
      </c>
      <c r="I3441" s="80" t="s">
        <v>84</v>
      </c>
      <c r="J3441" s="80" t="s">
        <v>84</v>
      </c>
      <c r="K3441" s="80" t="s">
        <v>84</v>
      </c>
      <c r="L3441" s="80" t="s">
        <v>84</v>
      </c>
      <c r="M3441" s="80" t="s">
        <v>84</v>
      </c>
      <c r="N3441" s="80" t="s">
        <v>84</v>
      </c>
      <c r="O3441" s="80" t="s">
        <v>84</v>
      </c>
      <c r="Q3441" s="80" t="s">
        <v>84</v>
      </c>
      <c r="R3441" s="80" t="s">
        <v>84</v>
      </c>
    </row>
    <row r="3442" spans="1:18" ht="20" x14ac:dyDescent="0.2">
      <c r="A3442" s="80" t="s">
        <v>4954</v>
      </c>
      <c r="B3442" s="80" t="s">
        <v>4955</v>
      </c>
      <c r="C3442" s="80" t="s">
        <v>9680</v>
      </c>
      <c r="D3442" s="80" t="s">
        <v>84</v>
      </c>
      <c r="E3442" s="80" t="s">
        <v>84</v>
      </c>
      <c r="G3442" s="80" t="s">
        <v>84</v>
      </c>
      <c r="H3442" s="80" t="s">
        <v>84</v>
      </c>
      <c r="I3442" s="80" t="s">
        <v>84</v>
      </c>
      <c r="J3442" s="80" t="s">
        <v>84</v>
      </c>
      <c r="K3442" s="80" t="s">
        <v>84</v>
      </c>
      <c r="L3442" s="80" t="s">
        <v>84</v>
      </c>
      <c r="M3442" s="80" t="s">
        <v>84</v>
      </c>
      <c r="N3442" s="80" t="s">
        <v>84</v>
      </c>
      <c r="O3442" s="80" t="s">
        <v>84</v>
      </c>
      <c r="Q3442" s="80" t="s">
        <v>84</v>
      </c>
      <c r="R3442" s="80" t="s">
        <v>84</v>
      </c>
    </row>
    <row r="3443" spans="1:18" ht="20" x14ac:dyDescent="0.2">
      <c r="A3443" s="80" t="s">
        <v>1793</v>
      </c>
      <c r="B3443" s="80" t="s">
        <v>1794</v>
      </c>
      <c r="C3443" s="80" t="s">
        <v>9722</v>
      </c>
      <c r="D3443" s="80" t="s">
        <v>84</v>
      </c>
      <c r="E3443" s="80" t="s">
        <v>84</v>
      </c>
      <c r="G3443" s="80" t="s">
        <v>84</v>
      </c>
      <c r="H3443" s="80" t="s">
        <v>84</v>
      </c>
      <c r="I3443" s="80" t="s">
        <v>84</v>
      </c>
      <c r="J3443" s="80" t="s">
        <v>84</v>
      </c>
      <c r="K3443" s="80" t="s">
        <v>84</v>
      </c>
      <c r="L3443" s="80" t="s">
        <v>84</v>
      </c>
      <c r="M3443" s="80" t="s">
        <v>84</v>
      </c>
      <c r="N3443" s="80" t="s">
        <v>84</v>
      </c>
      <c r="O3443" s="80" t="s">
        <v>84</v>
      </c>
      <c r="Q3443" s="80" t="s">
        <v>84</v>
      </c>
      <c r="R3443" s="80" t="s">
        <v>84</v>
      </c>
    </row>
    <row r="3444" spans="1:18" x14ac:dyDescent="0.2">
      <c r="A3444" s="80" t="s">
        <v>3225</v>
      </c>
      <c r="B3444" s="80" t="s">
        <v>3226</v>
      </c>
      <c r="C3444" s="80" t="s">
        <v>9722</v>
      </c>
      <c r="D3444" s="80" t="s">
        <v>84</v>
      </c>
      <c r="E3444" s="80" t="s">
        <v>84</v>
      </c>
      <c r="G3444" s="80" t="s">
        <v>84</v>
      </c>
      <c r="H3444" s="80" t="s">
        <v>84</v>
      </c>
      <c r="I3444" s="80" t="s">
        <v>84</v>
      </c>
      <c r="J3444" s="80" t="s">
        <v>84</v>
      </c>
      <c r="K3444" s="80" t="s">
        <v>84</v>
      </c>
      <c r="L3444" s="80" t="s">
        <v>84</v>
      </c>
      <c r="M3444" s="80" t="s">
        <v>84</v>
      </c>
      <c r="N3444" s="80" t="s">
        <v>84</v>
      </c>
      <c r="O3444" s="80" t="s">
        <v>84</v>
      </c>
      <c r="Q3444" s="80" t="s">
        <v>84</v>
      </c>
      <c r="R3444" s="80" t="s">
        <v>84</v>
      </c>
    </row>
    <row r="3445" spans="1:18" ht="20" x14ac:dyDescent="0.2">
      <c r="A3445" s="80" t="s">
        <v>1467</v>
      </c>
      <c r="B3445" s="80" t="s">
        <v>1468</v>
      </c>
      <c r="C3445" s="80" t="s">
        <v>9680</v>
      </c>
      <c r="D3445" s="80" t="s">
        <v>84</v>
      </c>
      <c r="E3445" s="80" t="s">
        <v>84</v>
      </c>
      <c r="G3445" s="80" t="s">
        <v>84</v>
      </c>
      <c r="H3445" s="80" t="s">
        <v>84</v>
      </c>
      <c r="I3445" s="80" t="s">
        <v>84</v>
      </c>
      <c r="J3445" s="80" t="s">
        <v>84</v>
      </c>
      <c r="K3445" s="80" t="s">
        <v>84</v>
      </c>
      <c r="L3445" s="80" t="s">
        <v>84</v>
      </c>
      <c r="M3445" s="80" t="s">
        <v>84</v>
      </c>
      <c r="N3445" s="80" t="s">
        <v>84</v>
      </c>
      <c r="O3445" s="80" t="s">
        <v>84</v>
      </c>
      <c r="Q3445" s="80" t="s">
        <v>84</v>
      </c>
      <c r="R3445" s="80" t="s">
        <v>84</v>
      </c>
    </row>
    <row r="3446" spans="1:18" ht="20" x14ac:dyDescent="0.2">
      <c r="A3446" s="80" t="s">
        <v>1072</v>
      </c>
      <c r="B3446" s="80" t="s">
        <v>1073</v>
      </c>
      <c r="C3446" s="80" t="s">
        <v>84</v>
      </c>
      <c r="D3446" s="80" t="s">
        <v>84</v>
      </c>
      <c r="E3446" s="80" t="s">
        <v>84</v>
      </c>
      <c r="G3446" s="80" t="s">
        <v>84</v>
      </c>
      <c r="H3446" s="80" t="s">
        <v>84</v>
      </c>
      <c r="I3446" s="80" t="s">
        <v>84</v>
      </c>
      <c r="J3446" s="80" t="s">
        <v>84</v>
      </c>
      <c r="K3446" s="80" t="s">
        <v>84</v>
      </c>
      <c r="L3446" s="80" t="s">
        <v>84</v>
      </c>
      <c r="M3446" s="80" t="s">
        <v>84</v>
      </c>
      <c r="N3446" s="80" t="s">
        <v>84</v>
      </c>
      <c r="O3446" s="80" t="s">
        <v>84</v>
      </c>
      <c r="Q3446" s="80" t="s">
        <v>84</v>
      </c>
      <c r="R3446" s="80" t="s">
        <v>84</v>
      </c>
    </row>
    <row r="3447" spans="1:18" ht="20" x14ac:dyDescent="0.2">
      <c r="A3447" s="80" t="s">
        <v>3867</v>
      </c>
      <c r="B3447" s="80" t="s">
        <v>3868</v>
      </c>
      <c r="C3447" s="80" t="s">
        <v>9680</v>
      </c>
      <c r="D3447" s="80" t="s">
        <v>84</v>
      </c>
      <c r="E3447" s="80" t="s">
        <v>84</v>
      </c>
      <c r="G3447" s="80" t="s">
        <v>84</v>
      </c>
      <c r="H3447" s="80" t="s">
        <v>84</v>
      </c>
      <c r="I3447" s="80" t="s">
        <v>84</v>
      </c>
      <c r="J3447" s="80" t="s">
        <v>84</v>
      </c>
      <c r="K3447" s="80" t="s">
        <v>84</v>
      </c>
      <c r="L3447" s="80" t="s">
        <v>84</v>
      </c>
      <c r="M3447" s="80" t="s">
        <v>84</v>
      </c>
      <c r="N3447" s="80" t="s">
        <v>84</v>
      </c>
      <c r="O3447" s="80" t="s">
        <v>84</v>
      </c>
      <c r="Q3447" s="80" t="s">
        <v>84</v>
      </c>
      <c r="R3447" s="80" t="s">
        <v>84</v>
      </c>
    </row>
    <row r="3448" spans="1:18" ht="20" x14ac:dyDescent="0.2">
      <c r="A3448" s="80" t="s">
        <v>4948</v>
      </c>
      <c r="B3448" s="80" t="s">
        <v>4949</v>
      </c>
      <c r="C3448" s="80" t="s">
        <v>84</v>
      </c>
      <c r="D3448" s="80" t="s">
        <v>84</v>
      </c>
      <c r="E3448" s="80" t="s">
        <v>84</v>
      </c>
      <c r="G3448" s="80" t="s">
        <v>84</v>
      </c>
      <c r="H3448" s="80" t="s">
        <v>84</v>
      </c>
      <c r="I3448" s="80" t="s">
        <v>84</v>
      </c>
      <c r="J3448" s="80" t="s">
        <v>84</v>
      </c>
      <c r="K3448" s="80" t="s">
        <v>84</v>
      </c>
      <c r="L3448" s="80" t="s">
        <v>84</v>
      </c>
      <c r="M3448" s="80" t="s">
        <v>84</v>
      </c>
      <c r="N3448" s="80" t="s">
        <v>84</v>
      </c>
      <c r="O3448" s="80" t="s">
        <v>84</v>
      </c>
      <c r="Q3448" s="80" t="s">
        <v>84</v>
      </c>
      <c r="R3448" s="80" t="s">
        <v>84</v>
      </c>
    </row>
    <row r="3449" spans="1:18" ht="20" x14ac:dyDescent="0.2">
      <c r="A3449" s="80" t="s">
        <v>1735</v>
      </c>
      <c r="B3449" s="80" t="s">
        <v>1736</v>
      </c>
      <c r="C3449" s="80" t="s">
        <v>84</v>
      </c>
      <c r="D3449" s="80" t="s">
        <v>84</v>
      </c>
      <c r="E3449" s="80" t="s">
        <v>84</v>
      </c>
      <c r="G3449" s="80" t="s">
        <v>84</v>
      </c>
      <c r="H3449" s="80" t="s">
        <v>84</v>
      </c>
      <c r="I3449" s="80" t="s">
        <v>84</v>
      </c>
      <c r="J3449" s="80" t="s">
        <v>84</v>
      </c>
      <c r="K3449" s="80" t="s">
        <v>84</v>
      </c>
      <c r="L3449" s="80" t="s">
        <v>84</v>
      </c>
      <c r="M3449" s="80" t="s">
        <v>84</v>
      </c>
      <c r="N3449" s="80" t="s">
        <v>84</v>
      </c>
      <c r="O3449" s="80" t="s">
        <v>84</v>
      </c>
      <c r="Q3449" s="80" t="s">
        <v>84</v>
      </c>
      <c r="R3449" s="80" t="s">
        <v>84</v>
      </c>
    </row>
    <row r="3450" spans="1:18" ht="20" x14ac:dyDescent="0.2">
      <c r="A3450" s="80" t="s">
        <v>4385</v>
      </c>
      <c r="B3450" s="80" t="s">
        <v>4386</v>
      </c>
      <c r="C3450" s="80" t="s">
        <v>84</v>
      </c>
      <c r="D3450" s="80" t="s">
        <v>84</v>
      </c>
      <c r="E3450" s="80" t="s">
        <v>84</v>
      </c>
      <c r="G3450" s="80" t="s">
        <v>84</v>
      </c>
      <c r="H3450" s="80" t="s">
        <v>84</v>
      </c>
      <c r="I3450" s="80" t="s">
        <v>84</v>
      </c>
      <c r="J3450" s="80" t="s">
        <v>84</v>
      </c>
      <c r="K3450" s="80" t="s">
        <v>84</v>
      </c>
      <c r="L3450" s="80" t="s">
        <v>84</v>
      </c>
      <c r="M3450" s="80" t="s">
        <v>84</v>
      </c>
      <c r="N3450" s="80" t="s">
        <v>84</v>
      </c>
      <c r="O3450" s="80" t="s">
        <v>84</v>
      </c>
      <c r="Q3450" s="80" t="s">
        <v>84</v>
      </c>
      <c r="R3450" s="80" t="s">
        <v>84</v>
      </c>
    </row>
    <row r="3451" spans="1:18" ht="20" x14ac:dyDescent="0.2">
      <c r="A3451" s="80" t="s">
        <v>3227</v>
      </c>
      <c r="B3451" s="80" t="s">
        <v>3228</v>
      </c>
      <c r="C3451" s="80" t="s">
        <v>9680</v>
      </c>
      <c r="D3451" s="80" t="s">
        <v>84</v>
      </c>
      <c r="E3451" s="80" t="s">
        <v>84</v>
      </c>
      <c r="G3451" s="80" t="s">
        <v>84</v>
      </c>
      <c r="H3451" s="80" t="s">
        <v>84</v>
      </c>
      <c r="I3451" s="80" t="s">
        <v>84</v>
      </c>
      <c r="J3451" s="80" t="s">
        <v>84</v>
      </c>
      <c r="K3451" s="80" t="s">
        <v>84</v>
      </c>
      <c r="L3451" s="80" t="s">
        <v>84</v>
      </c>
      <c r="M3451" s="80" t="s">
        <v>84</v>
      </c>
      <c r="N3451" s="80" t="s">
        <v>84</v>
      </c>
      <c r="O3451" s="80" t="s">
        <v>84</v>
      </c>
      <c r="Q3451" s="80" t="s">
        <v>84</v>
      </c>
      <c r="R3451" s="80" t="s">
        <v>84</v>
      </c>
    </row>
    <row r="3452" spans="1:18" ht="20" x14ac:dyDescent="0.2">
      <c r="A3452" s="80" t="s">
        <v>761</v>
      </c>
      <c r="B3452" s="80" t="s">
        <v>762</v>
      </c>
      <c r="C3452" s="80" t="s">
        <v>9722</v>
      </c>
      <c r="D3452" s="80" t="s">
        <v>84</v>
      </c>
      <c r="E3452" s="80" t="s">
        <v>84</v>
      </c>
      <c r="G3452" s="80" t="s">
        <v>84</v>
      </c>
      <c r="H3452" s="80" t="s">
        <v>84</v>
      </c>
      <c r="I3452" s="80" t="s">
        <v>84</v>
      </c>
      <c r="J3452" s="80" t="s">
        <v>84</v>
      </c>
      <c r="K3452" s="80" t="s">
        <v>84</v>
      </c>
      <c r="L3452" s="80" t="s">
        <v>84</v>
      </c>
      <c r="M3452" s="80" t="s">
        <v>84</v>
      </c>
      <c r="N3452" s="80" t="s">
        <v>84</v>
      </c>
      <c r="O3452" s="80" t="s">
        <v>84</v>
      </c>
      <c r="Q3452" s="80" t="s">
        <v>84</v>
      </c>
      <c r="R3452" s="80" t="s">
        <v>84</v>
      </c>
    </row>
    <row r="3453" spans="1:18" ht="20" x14ac:dyDescent="0.2">
      <c r="A3453" s="80" t="s">
        <v>193</v>
      </c>
      <c r="B3453" s="80" t="s">
        <v>194</v>
      </c>
      <c r="C3453" s="80" t="s">
        <v>84</v>
      </c>
      <c r="D3453" s="80" t="s">
        <v>84</v>
      </c>
      <c r="E3453" s="80" t="s">
        <v>84</v>
      </c>
      <c r="G3453" s="80" t="s">
        <v>84</v>
      </c>
      <c r="H3453" s="80" t="s">
        <v>84</v>
      </c>
      <c r="I3453" s="80" t="s">
        <v>84</v>
      </c>
      <c r="J3453" s="80" t="s">
        <v>84</v>
      </c>
      <c r="K3453" s="80" t="s">
        <v>84</v>
      </c>
      <c r="L3453" s="80" t="s">
        <v>84</v>
      </c>
      <c r="M3453" s="80" t="s">
        <v>84</v>
      </c>
      <c r="N3453" s="80" t="s">
        <v>84</v>
      </c>
      <c r="O3453" s="80" t="s">
        <v>84</v>
      </c>
      <c r="Q3453" s="80" t="s">
        <v>84</v>
      </c>
      <c r="R3453" s="80" t="s">
        <v>84</v>
      </c>
    </row>
    <row r="3454" spans="1:18" ht="20" x14ac:dyDescent="0.2">
      <c r="A3454" s="80" t="s">
        <v>99</v>
      </c>
      <c r="B3454" s="80" t="s">
        <v>100</v>
      </c>
      <c r="C3454" s="80" t="s">
        <v>84</v>
      </c>
      <c r="D3454" s="80" t="s">
        <v>84</v>
      </c>
      <c r="E3454" s="80" t="s">
        <v>84</v>
      </c>
      <c r="G3454" s="80" t="s">
        <v>84</v>
      </c>
      <c r="H3454" s="80" t="s">
        <v>84</v>
      </c>
      <c r="I3454" s="80" t="s">
        <v>84</v>
      </c>
      <c r="J3454" s="80" t="s">
        <v>84</v>
      </c>
      <c r="K3454" s="80" t="s">
        <v>84</v>
      </c>
      <c r="L3454" s="80" t="s">
        <v>84</v>
      </c>
      <c r="M3454" s="80" t="s">
        <v>84</v>
      </c>
      <c r="N3454" s="80" t="s">
        <v>84</v>
      </c>
      <c r="O3454" s="80" t="s">
        <v>84</v>
      </c>
      <c r="Q3454" s="80" t="s">
        <v>84</v>
      </c>
      <c r="R3454" s="80" t="s">
        <v>84</v>
      </c>
    </row>
    <row r="3455" spans="1:18" ht="20" x14ac:dyDescent="0.2">
      <c r="A3455" s="80" t="s">
        <v>99</v>
      </c>
      <c r="B3455" s="80" t="s">
        <v>259</v>
      </c>
      <c r="C3455" s="80" t="s">
        <v>84</v>
      </c>
      <c r="D3455" s="80" t="s">
        <v>84</v>
      </c>
      <c r="E3455" s="80" t="s">
        <v>84</v>
      </c>
      <c r="G3455" s="80" t="s">
        <v>84</v>
      </c>
      <c r="H3455" s="80" t="s">
        <v>84</v>
      </c>
      <c r="I3455" s="80" t="s">
        <v>84</v>
      </c>
      <c r="J3455" s="80" t="s">
        <v>84</v>
      </c>
      <c r="K3455" s="80" t="s">
        <v>84</v>
      </c>
      <c r="L3455" s="80" t="s">
        <v>84</v>
      </c>
      <c r="M3455" s="80" t="s">
        <v>84</v>
      </c>
      <c r="N3455" s="80" t="s">
        <v>84</v>
      </c>
      <c r="O3455" s="80" t="s">
        <v>84</v>
      </c>
      <c r="Q3455" s="80" t="s">
        <v>84</v>
      </c>
      <c r="R3455" s="80" t="s">
        <v>84</v>
      </c>
    </row>
    <row r="3456" spans="1:18" ht="20" x14ac:dyDescent="0.2">
      <c r="A3456" s="80" t="s">
        <v>5824</v>
      </c>
      <c r="B3456" s="80" t="s">
        <v>5825</v>
      </c>
      <c r="C3456" s="80" t="s">
        <v>84</v>
      </c>
      <c r="D3456" s="80" t="s">
        <v>84</v>
      </c>
      <c r="E3456" s="80" t="s">
        <v>84</v>
      </c>
      <c r="G3456" s="80" t="s">
        <v>84</v>
      </c>
      <c r="H3456" s="80" t="s">
        <v>84</v>
      </c>
      <c r="I3456" s="80" t="s">
        <v>84</v>
      </c>
      <c r="J3456" s="80" t="s">
        <v>84</v>
      </c>
      <c r="K3456" s="80" t="s">
        <v>84</v>
      </c>
      <c r="L3456" s="80" t="s">
        <v>84</v>
      </c>
      <c r="M3456" s="80" t="s">
        <v>84</v>
      </c>
      <c r="N3456" s="80" t="s">
        <v>84</v>
      </c>
      <c r="O3456" s="80" t="s">
        <v>84</v>
      </c>
      <c r="Q3456" s="80" t="s">
        <v>84</v>
      </c>
      <c r="R3456" s="80" t="s">
        <v>84</v>
      </c>
    </row>
    <row r="3457" spans="1:18" ht="20" x14ac:dyDescent="0.2">
      <c r="A3457" s="80" t="s">
        <v>5824</v>
      </c>
      <c r="B3457" s="80" t="s">
        <v>5849</v>
      </c>
      <c r="C3457" s="80" t="s">
        <v>84</v>
      </c>
      <c r="D3457" s="80" t="s">
        <v>84</v>
      </c>
      <c r="E3457" s="80" t="s">
        <v>84</v>
      </c>
      <c r="G3457" s="80" t="s">
        <v>84</v>
      </c>
      <c r="H3457" s="80" t="s">
        <v>84</v>
      </c>
      <c r="I3457" s="80" t="s">
        <v>84</v>
      </c>
      <c r="J3457" s="80" t="s">
        <v>84</v>
      </c>
      <c r="K3457" s="80" t="s">
        <v>84</v>
      </c>
      <c r="L3457" s="80" t="s">
        <v>84</v>
      </c>
      <c r="M3457" s="80" t="s">
        <v>84</v>
      </c>
      <c r="N3457" s="80" t="s">
        <v>84</v>
      </c>
      <c r="O3457" s="80" t="s">
        <v>84</v>
      </c>
      <c r="Q3457" s="80" t="s">
        <v>84</v>
      </c>
      <c r="R3457" s="80" t="s">
        <v>84</v>
      </c>
    </row>
    <row r="3458" spans="1:18" ht="20" x14ac:dyDescent="0.2">
      <c r="A3458" s="80" t="s">
        <v>101</v>
      </c>
      <c r="B3458" s="80" t="s">
        <v>102</v>
      </c>
      <c r="C3458" s="80" t="s">
        <v>84</v>
      </c>
      <c r="D3458" s="80" t="s">
        <v>84</v>
      </c>
      <c r="E3458" s="80" t="s">
        <v>84</v>
      </c>
      <c r="G3458" s="80" t="s">
        <v>84</v>
      </c>
      <c r="H3458" s="80" t="s">
        <v>84</v>
      </c>
      <c r="I3458" s="80" t="s">
        <v>84</v>
      </c>
      <c r="J3458" s="80" t="s">
        <v>84</v>
      </c>
      <c r="K3458" s="80" t="s">
        <v>84</v>
      </c>
      <c r="L3458" s="80" t="s">
        <v>84</v>
      </c>
      <c r="M3458" s="80" t="s">
        <v>84</v>
      </c>
      <c r="N3458" s="80" t="s">
        <v>84</v>
      </c>
      <c r="O3458" s="80" t="s">
        <v>84</v>
      </c>
      <c r="Q3458" s="80" t="s">
        <v>84</v>
      </c>
      <c r="R3458" s="80" t="s">
        <v>84</v>
      </c>
    </row>
    <row r="3459" spans="1:18" ht="20" x14ac:dyDescent="0.2">
      <c r="A3459" s="80" t="s">
        <v>101</v>
      </c>
      <c r="B3459" s="80" t="s">
        <v>280</v>
      </c>
      <c r="C3459" s="80" t="s">
        <v>84</v>
      </c>
      <c r="D3459" s="80" t="s">
        <v>84</v>
      </c>
      <c r="E3459" s="80" t="s">
        <v>84</v>
      </c>
      <c r="G3459" s="80" t="s">
        <v>84</v>
      </c>
      <c r="H3459" s="80" t="s">
        <v>84</v>
      </c>
      <c r="I3459" s="80" t="s">
        <v>84</v>
      </c>
      <c r="J3459" s="80" t="s">
        <v>84</v>
      </c>
      <c r="K3459" s="80" t="s">
        <v>84</v>
      </c>
      <c r="L3459" s="80" t="s">
        <v>84</v>
      </c>
      <c r="M3459" s="80" t="s">
        <v>84</v>
      </c>
      <c r="N3459" s="80" t="s">
        <v>84</v>
      </c>
      <c r="O3459" s="80" t="s">
        <v>84</v>
      </c>
      <c r="Q3459" s="80" t="s">
        <v>84</v>
      </c>
      <c r="R3459" s="80" t="s">
        <v>84</v>
      </c>
    </row>
    <row r="3460" spans="1:18" ht="20" x14ac:dyDescent="0.2">
      <c r="A3460" s="80" t="s">
        <v>5768</v>
      </c>
      <c r="B3460" s="80" t="s">
        <v>5769</v>
      </c>
      <c r="C3460" s="80" t="s">
        <v>84</v>
      </c>
      <c r="D3460" s="80" t="s">
        <v>84</v>
      </c>
      <c r="E3460" s="80" t="s">
        <v>84</v>
      </c>
      <c r="G3460" s="80" t="s">
        <v>84</v>
      </c>
      <c r="H3460" s="80" t="s">
        <v>84</v>
      </c>
      <c r="I3460" s="80" t="s">
        <v>84</v>
      </c>
      <c r="J3460" s="80" t="s">
        <v>84</v>
      </c>
      <c r="K3460" s="80" t="s">
        <v>84</v>
      </c>
      <c r="L3460" s="80" t="s">
        <v>84</v>
      </c>
      <c r="M3460" s="80" t="s">
        <v>84</v>
      </c>
      <c r="N3460" s="80" t="s">
        <v>84</v>
      </c>
      <c r="O3460" s="80" t="s">
        <v>84</v>
      </c>
      <c r="Q3460" s="80" t="s">
        <v>84</v>
      </c>
      <c r="R3460" s="80" t="s">
        <v>84</v>
      </c>
    </row>
    <row r="3461" spans="1:18" ht="20" x14ac:dyDescent="0.2">
      <c r="A3461" s="80" t="s">
        <v>2560</v>
      </c>
      <c r="B3461" s="80" t="s">
        <v>2561</v>
      </c>
      <c r="C3461" s="80" t="s">
        <v>9680</v>
      </c>
      <c r="D3461" s="80" t="s">
        <v>84</v>
      </c>
      <c r="E3461" s="80" t="s">
        <v>84</v>
      </c>
      <c r="G3461" s="80" t="s">
        <v>84</v>
      </c>
      <c r="H3461" s="80" t="s">
        <v>84</v>
      </c>
      <c r="I3461" s="80" t="s">
        <v>84</v>
      </c>
      <c r="J3461" s="80" t="s">
        <v>84</v>
      </c>
      <c r="K3461" s="80" t="s">
        <v>84</v>
      </c>
      <c r="L3461" s="80" t="s">
        <v>84</v>
      </c>
      <c r="M3461" s="80" t="s">
        <v>84</v>
      </c>
      <c r="N3461" s="80" t="s">
        <v>84</v>
      </c>
      <c r="O3461" s="80" t="s">
        <v>84</v>
      </c>
      <c r="Q3461" s="80" t="s">
        <v>84</v>
      </c>
      <c r="R3461" s="80" t="s">
        <v>84</v>
      </c>
    </row>
    <row r="3462" spans="1:18" ht="20" x14ac:dyDescent="0.2">
      <c r="A3462" s="80" t="s">
        <v>2530</v>
      </c>
      <c r="B3462" s="80" t="s">
        <v>2531</v>
      </c>
      <c r="C3462" s="80" t="s">
        <v>9680</v>
      </c>
      <c r="D3462" s="80" t="s">
        <v>84</v>
      </c>
      <c r="E3462" s="80" t="s">
        <v>84</v>
      </c>
      <c r="G3462" s="80" t="s">
        <v>84</v>
      </c>
      <c r="H3462" s="80" t="s">
        <v>84</v>
      </c>
      <c r="I3462" s="80" t="s">
        <v>84</v>
      </c>
      <c r="J3462" s="80" t="s">
        <v>84</v>
      </c>
      <c r="K3462" s="80" t="s">
        <v>84</v>
      </c>
      <c r="L3462" s="80" t="s">
        <v>84</v>
      </c>
      <c r="M3462" s="80" t="s">
        <v>84</v>
      </c>
      <c r="N3462" s="80" t="s">
        <v>84</v>
      </c>
      <c r="O3462" s="80" t="s">
        <v>84</v>
      </c>
      <c r="Q3462" s="80" t="s">
        <v>84</v>
      </c>
      <c r="R3462" s="80" t="s">
        <v>84</v>
      </c>
    </row>
    <row r="3463" spans="1:18" ht="20" x14ac:dyDescent="0.2">
      <c r="A3463" s="80" t="s">
        <v>198</v>
      </c>
      <c r="B3463" s="80" t="s">
        <v>199</v>
      </c>
      <c r="C3463" s="80" t="s">
        <v>84</v>
      </c>
      <c r="D3463" s="80" t="s">
        <v>84</v>
      </c>
      <c r="E3463" s="80" t="s">
        <v>84</v>
      </c>
      <c r="G3463" s="80" t="s">
        <v>84</v>
      </c>
      <c r="H3463" s="80" t="s">
        <v>84</v>
      </c>
      <c r="I3463" s="80" t="s">
        <v>84</v>
      </c>
      <c r="J3463" s="80" t="s">
        <v>84</v>
      </c>
      <c r="K3463" s="80" t="s">
        <v>84</v>
      </c>
      <c r="L3463" s="80" t="s">
        <v>84</v>
      </c>
      <c r="M3463" s="80" t="s">
        <v>84</v>
      </c>
      <c r="N3463" s="80" t="s">
        <v>84</v>
      </c>
      <c r="O3463" s="80" t="s">
        <v>84</v>
      </c>
      <c r="Q3463" s="80" t="s">
        <v>84</v>
      </c>
      <c r="R3463" s="80" t="s">
        <v>84</v>
      </c>
    </row>
    <row r="3464" spans="1:18" ht="20" x14ac:dyDescent="0.2">
      <c r="A3464" s="80" t="s">
        <v>5332</v>
      </c>
      <c r="B3464" s="80" t="s">
        <v>5333</v>
      </c>
      <c r="C3464" s="80" t="s">
        <v>84</v>
      </c>
      <c r="D3464" s="80" t="s">
        <v>84</v>
      </c>
      <c r="E3464" s="80" t="s">
        <v>84</v>
      </c>
      <c r="G3464" s="80" t="s">
        <v>84</v>
      </c>
      <c r="H3464" s="80" t="s">
        <v>84</v>
      </c>
      <c r="I3464" s="80" t="s">
        <v>84</v>
      </c>
      <c r="J3464" s="80" t="s">
        <v>84</v>
      </c>
      <c r="K3464" s="80" t="s">
        <v>84</v>
      </c>
      <c r="L3464" s="80" t="s">
        <v>84</v>
      </c>
      <c r="M3464" s="80" t="s">
        <v>84</v>
      </c>
      <c r="N3464" s="80" t="s">
        <v>84</v>
      </c>
      <c r="O3464" s="80" t="s">
        <v>84</v>
      </c>
      <c r="Q3464" s="80" t="s">
        <v>84</v>
      </c>
      <c r="R3464" s="80" t="s">
        <v>84</v>
      </c>
    </row>
    <row r="3465" spans="1:18" ht="20" x14ac:dyDescent="0.2">
      <c r="A3465" s="80" t="s">
        <v>2515</v>
      </c>
      <c r="B3465" s="80" t="s">
        <v>2516</v>
      </c>
      <c r="C3465" s="80" t="s">
        <v>9680</v>
      </c>
      <c r="D3465" s="80" t="s">
        <v>84</v>
      </c>
      <c r="E3465" s="80" t="s">
        <v>84</v>
      </c>
      <c r="G3465" s="80" t="s">
        <v>84</v>
      </c>
      <c r="H3465" s="80" t="s">
        <v>84</v>
      </c>
      <c r="I3465" s="80" t="s">
        <v>84</v>
      </c>
      <c r="J3465" s="80" t="s">
        <v>84</v>
      </c>
      <c r="K3465" s="80" t="s">
        <v>84</v>
      </c>
      <c r="L3465" s="80" t="s">
        <v>84</v>
      </c>
      <c r="M3465" s="80" t="s">
        <v>84</v>
      </c>
      <c r="N3465" s="80" t="s">
        <v>84</v>
      </c>
      <c r="O3465" s="80" t="s">
        <v>84</v>
      </c>
      <c r="Q3465" s="80" t="s">
        <v>84</v>
      </c>
      <c r="R3465" s="80" t="s">
        <v>84</v>
      </c>
    </row>
    <row r="3466" spans="1:18" ht="20" x14ac:dyDescent="0.2">
      <c r="A3466" s="80" t="s">
        <v>3229</v>
      </c>
      <c r="B3466" s="80" t="s">
        <v>3230</v>
      </c>
      <c r="C3466" s="80" t="s">
        <v>9680</v>
      </c>
      <c r="D3466" s="80" t="s">
        <v>84</v>
      </c>
      <c r="E3466" s="80" t="s">
        <v>84</v>
      </c>
      <c r="G3466" s="80" t="s">
        <v>84</v>
      </c>
      <c r="H3466" s="80" t="s">
        <v>84</v>
      </c>
      <c r="I3466" s="80" t="s">
        <v>84</v>
      </c>
      <c r="J3466" s="80" t="s">
        <v>84</v>
      </c>
      <c r="K3466" s="80" t="s">
        <v>84</v>
      </c>
      <c r="L3466" s="80" t="s">
        <v>84</v>
      </c>
      <c r="M3466" s="80" t="s">
        <v>84</v>
      </c>
      <c r="N3466" s="80" t="s">
        <v>84</v>
      </c>
      <c r="O3466" s="80" t="s">
        <v>84</v>
      </c>
      <c r="Q3466" s="80" t="s">
        <v>84</v>
      </c>
      <c r="R3466" s="80" t="s">
        <v>84</v>
      </c>
    </row>
    <row r="3467" spans="1:18" x14ac:dyDescent="0.2">
      <c r="A3467" s="80" t="s">
        <v>3231</v>
      </c>
      <c r="B3467" s="80" t="s">
        <v>3232</v>
      </c>
      <c r="C3467" s="80" t="s">
        <v>84</v>
      </c>
      <c r="D3467" s="80" t="s">
        <v>84</v>
      </c>
      <c r="E3467" s="80" t="s">
        <v>84</v>
      </c>
      <c r="G3467" s="80" t="s">
        <v>84</v>
      </c>
      <c r="H3467" s="80" t="s">
        <v>84</v>
      </c>
      <c r="I3467" s="80" t="s">
        <v>84</v>
      </c>
      <c r="J3467" s="80" t="s">
        <v>84</v>
      </c>
      <c r="K3467" s="80" t="s">
        <v>84</v>
      </c>
      <c r="L3467" s="80" t="s">
        <v>84</v>
      </c>
      <c r="M3467" s="80" t="s">
        <v>84</v>
      </c>
      <c r="N3467" s="80" t="s">
        <v>84</v>
      </c>
      <c r="O3467" s="80" t="s">
        <v>84</v>
      </c>
      <c r="Q3467" s="80" t="s">
        <v>84</v>
      </c>
      <c r="R3467" s="80" t="s">
        <v>84</v>
      </c>
    </row>
    <row r="3468" spans="1:18" x14ac:dyDescent="0.2">
      <c r="A3468" s="80" t="s">
        <v>2517</v>
      </c>
      <c r="B3468" s="80" t="s">
        <v>2518</v>
      </c>
      <c r="C3468" s="80" t="s">
        <v>84</v>
      </c>
      <c r="D3468" s="80" t="s">
        <v>84</v>
      </c>
      <c r="E3468" s="80" t="s">
        <v>84</v>
      </c>
      <c r="G3468" s="80" t="s">
        <v>84</v>
      </c>
      <c r="H3468" s="80" t="s">
        <v>84</v>
      </c>
      <c r="I3468" s="80" t="s">
        <v>84</v>
      </c>
      <c r="J3468" s="80" t="s">
        <v>84</v>
      </c>
      <c r="K3468" s="80" t="s">
        <v>84</v>
      </c>
      <c r="L3468" s="80" t="s">
        <v>84</v>
      </c>
      <c r="M3468" s="80" t="s">
        <v>84</v>
      </c>
      <c r="N3468" s="80" t="s">
        <v>84</v>
      </c>
      <c r="O3468" s="80" t="s">
        <v>84</v>
      </c>
      <c r="Q3468" s="80" t="s">
        <v>84</v>
      </c>
      <c r="R3468" s="80" t="s">
        <v>84</v>
      </c>
    </row>
    <row r="3469" spans="1:18" ht="20" x14ac:dyDescent="0.2">
      <c r="A3469" s="80" t="s">
        <v>4050</v>
      </c>
      <c r="B3469" s="80" t="s">
        <v>4051</v>
      </c>
      <c r="C3469" s="80" t="s">
        <v>9722</v>
      </c>
      <c r="D3469" s="80" t="s">
        <v>84</v>
      </c>
      <c r="E3469" s="80" t="s">
        <v>84</v>
      </c>
      <c r="G3469" s="80" t="s">
        <v>84</v>
      </c>
      <c r="H3469" s="80" t="s">
        <v>84</v>
      </c>
      <c r="I3469" s="80" t="s">
        <v>84</v>
      </c>
      <c r="J3469" s="80" t="s">
        <v>84</v>
      </c>
      <c r="K3469" s="80" t="s">
        <v>84</v>
      </c>
      <c r="L3469" s="80" t="s">
        <v>84</v>
      </c>
      <c r="M3469" s="80" t="s">
        <v>84</v>
      </c>
      <c r="N3469" s="80" t="s">
        <v>84</v>
      </c>
      <c r="O3469" s="80" t="s">
        <v>84</v>
      </c>
      <c r="Q3469" s="80" t="s">
        <v>84</v>
      </c>
      <c r="R3469" s="80" t="s">
        <v>84</v>
      </c>
    </row>
    <row r="3470" spans="1:18" ht="20" x14ac:dyDescent="0.2">
      <c r="A3470" s="80" t="s">
        <v>3344</v>
      </c>
      <c r="B3470" s="80" t="s">
        <v>3345</v>
      </c>
      <c r="C3470" s="80" t="s">
        <v>9680</v>
      </c>
      <c r="D3470" s="80" t="s">
        <v>84</v>
      </c>
      <c r="E3470" s="80" t="s">
        <v>84</v>
      </c>
      <c r="G3470" s="80" t="s">
        <v>84</v>
      </c>
      <c r="H3470" s="80" t="s">
        <v>84</v>
      </c>
      <c r="I3470" s="80" t="s">
        <v>84</v>
      </c>
      <c r="J3470" s="80" t="s">
        <v>84</v>
      </c>
      <c r="K3470" s="80" t="s">
        <v>84</v>
      </c>
      <c r="L3470" s="80" t="s">
        <v>84</v>
      </c>
      <c r="M3470" s="80" t="s">
        <v>84</v>
      </c>
      <c r="N3470" s="80" t="s">
        <v>84</v>
      </c>
      <c r="O3470" s="80" t="s">
        <v>84</v>
      </c>
      <c r="Q3470" s="80" t="s">
        <v>84</v>
      </c>
      <c r="R3470" s="80" t="s">
        <v>84</v>
      </c>
    </row>
    <row r="3471" spans="1:18" ht="20" x14ac:dyDescent="0.2">
      <c r="A3471" s="80" t="s">
        <v>3346</v>
      </c>
      <c r="B3471" s="80" t="s">
        <v>3347</v>
      </c>
      <c r="C3471" s="80" t="s">
        <v>9680</v>
      </c>
      <c r="D3471" s="80" t="s">
        <v>84</v>
      </c>
      <c r="E3471" s="80" t="s">
        <v>84</v>
      </c>
      <c r="G3471" s="80" t="s">
        <v>84</v>
      </c>
      <c r="H3471" s="80" t="s">
        <v>84</v>
      </c>
      <c r="I3471" s="80" t="s">
        <v>84</v>
      </c>
      <c r="J3471" s="80" t="s">
        <v>84</v>
      </c>
      <c r="K3471" s="80" t="s">
        <v>84</v>
      </c>
      <c r="L3471" s="80" t="s">
        <v>84</v>
      </c>
      <c r="M3471" s="80" t="s">
        <v>84</v>
      </c>
      <c r="N3471" s="80" t="s">
        <v>84</v>
      </c>
      <c r="O3471" s="80" t="s">
        <v>84</v>
      </c>
      <c r="Q3471" s="80" t="s">
        <v>84</v>
      </c>
      <c r="R3471" s="80" t="s">
        <v>84</v>
      </c>
    </row>
    <row r="3472" spans="1:18" ht="20" x14ac:dyDescent="0.2">
      <c r="A3472" s="80" t="s">
        <v>3321</v>
      </c>
      <c r="B3472" s="80" t="s">
        <v>3322</v>
      </c>
      <c r="C3472" s="80" t="s">
        <v>9680</v>
      </c>
      <c r="D3472" s="80" t="s">
        <v>84</v>
      </c>
      <c r="E3472" s="80" t="s">
        <v>84</v>
      </c>
      <c r="G3472" s="80" t="s">
        <v>84</v>
      </c>
      <c r="H3472" s="80" t="s">
        <v>84</v>
      </c>
      <c r="I3472" s="80" t="s">
        <v>84</v>
      </c>
      <c r="J3472" s="80" t="s">
        <v>84</v>
      </c>
      <c r="K3472" s="80" t="s">
        <v>84</v>
      </c>
      <c r="L3472" s="80" t="s">
        <v>84</v>
      </c>
      <c r="M3472" s="80" t="s">
        <v>84</v>
      </c>
      <c r="N3472" s="80" t="s">
        <v>84</v>
      </c>
      <c r="O3472" s="80" t="s">
        <v>84</v>
      </c>
      <c r="Q3472" s="80" t="s">
        <v>84</v>
      </c>
      <c r="R3472" s="80" t="s">
        <v>84</v>
      </c>
    </row>
    <row r="3473" spans="1:18" ht="20" x14ac:dyDescent="0.2">
      <c r="A3473" s="80" t="s">
        <v>3348</v>
      </c>
      <c r="B3473" s="80" t="s">
        <v>3349</v>
      </c>
      <c r="C3473" s="80" t="s">
        <v>9680</v>
      </c>
      <c r="D3473" s="80" t="s">
        <v>84</v>
      </c>
      <c r="E3473" s="80" t="s">
        <v>84</v>
      </c>
      <c r="G3473" s="80" t="s">
        <v>84</v>
      </c>
      <c r="H3473" s="80" t="s">
        <v>84</v>
      </c>
      <c r="I3473" s="80" t="s">
        <v>84</v>
      </c>
      <c r="J3473" s="80" t="s">
        <v>84</v>
      </c>
      <c r="K3473" s="80" t="s">
        <v>84</v>
      </c>
      <c r="L3473" s="80" t="s">
        <v>84</v>
      </c>
      <c r="M3473" s="80" t="s">
        <v>84</v>
      </c>
      <c r="N3473" s="80" t="s">
        <v>84</v>
      </c>
      <c r="O3473" s="80" t="s">
        <v>84</v>
      </c>
      <c r="Q3473" s="80" t="s">
        <v>84</v>
      </c>
      <c r="R3473" s="80" t="s">
        <v>84</v>
      </c>
    </row>
    <row r="3474" spans="1:18" ht="20" x14ac:dyDescent="0.2">
      <c r="A3474" s="80" t="s">
        <v>200</v>
      </c>
      <c r="B3474" s="80" t="s">
        <v>201</v>
      </c>
      <c r="C3474" s="80" t="s">
        <v>84</v>
      </c>
      <c r="D3474" s="80" t="s">
        <v>84</v>
      </c>
      <c r="E3474" s="80" t="s">
        <v>84</v>
      </c>
      <c r="G3474" s="80" t="s">
        <v>84</v>
      </c>
      <c r="H3474" s="80" t="s">
        <v>84</v>
      </c>
      <c r="I3474" s="80" t="s">
        <v>84</v>
      </c>
      <c r="J3474" s="80" t="s">
        <v>84</v>
      </c>
      <c r="K3474" s="80" t="s">
        <v>84</v>
      </c>
      <c r="L3474" s="80" t="s">
        <v>84</v>
      </c>
      <c r="M3474" s="80" t="s">
        <v>84</v>
      </c>
      <c r="N3474" s="80" t="s">
        <v>84</v>
      </c>
      <c r="O3474" s="80" t="s">
        <v>84</v>
      </c>
      <c r="Q3474" s="80" t="s">
        <v>84</v>
      </c>
      <c r="R3474" s="80" t="s">
        <v>84</v>
      </c>
    </row>
    <row r="3475" spans="1:18" ht="20" x14ac:dyDescent="0.2">
      <c r="A3475" s="80" t="s">
        <v>1035</v>
      </c>
      <c r="B3475" s="80" t="s">
        <v>1036</v>
      </c>
      <c r="C3475" s="80" t="s">
        <v>9680</v>
      </c>
      <c r="D3475" s="80" t="s">
        <v>84</v>
      </c>
      <c r="E3475" s="80" t="s">
        <v>84</v>
      </c>
      <c r="G3475" s="80" t="s">
        <v>84</v>
      </c>
      <c r="H3475" s="80" t="s">
        <v>84</v>
      </c>
      <c r="I3475" s="80" t="s">
        <v>84</v>
      </c>
      <c r="J3475" s="80" t="s">
        <v>84</v>
      </c>
      <c r="K3475" s="80" t="s">
        <v>84</v>
      </c>
      <c r="L3475" s="80" t="s">
        <v>84</v>
      </c>
      <c r="M3475" s="80" t="s">
        <v>84</v>
      </c>
      <c r="N3475" s="80" t="s">
        <v>84</v>
      </c>
      <c r="O3475" s="80" t="s">
        <v>84</v>
      </c>
      <c r="Q3475" s="80" t="s">
        <v>84</v>
      </c>
      <c r="R3475" s="80" t="s">
        <v>84</v>
      </c>
    </row>
    <row r="3476" spans="1:18" ht="20" x14ac:dyDescent="0.2">
      <c r="A3476" s="80" t="s">
        <v>217</v>
      </c>
      <c r="B3476" s="80" t="s">
        <v>218</v>
      </c>
      <c r="C3476" s="80" t="s">
        <v>84</v>
      </c>
      <c r="D3476" s="80" t="s">
        <v>84</v>
      </c>
      <c r="E3476" s="80" t="s">
        <v>84</v>
      </c>
      <c r="G3476" s="80" t="s">
        <v>84</v>
      </c>
      <c r="H3476" s="80" t="s">
        <v>84</v>
      </c>
      <c r="I3476" s="80" t="s">
        <v>84</v>
      </c>
      <c r="J3476" s="80" t="s">
        <v>84</v>
      </c>
      <c r="K3476" s="80" t="s">
        <v>84</v>
      </c>
      <c r="L3476" s="80" t="s">
        <v>84</v>
      </c>
      <c r="M3476" s="80" t="s">
        <v>84</v>
      </c>
      <c r="N3476" s="80" t="s">
        <v>84</v>
      </c>
      <c r="O3476" s="80" t="s">
        <v>84</v>
      </c>
      <c r="Q3476" s="80" t="s">
        <v>84</v>
      </c>
      <c r="R3476" s="80" t="s">
        <v>84</v>
      </c>
    </row>
    <row r="3477" spans="1:18" ht="20" x14ac:dyDescent="0.2">
      <c r="A3477" s="80" t="s">
        <v>5334</v>
      </c>
      <c r="B3477" s="80" t="s">
        <v>5335</v>
      </c>
      <c r="C3477" s="80" t="s">
        <v>84</v>
      </c>
      <c r="D3477" s="80" t="s">
        <v>84</v>
      </c>
      <c r="E3477" s="80" t="s">
        <v>84</v>
      </c>
      <c r="G3477" s="80" t="s">
        <v>84</v>
      </c>
      <c r="H3477" s="80" t="s">
        <v>84</v>
      </c>
      <c r="I3477" s="80" t="s">
        <v>84</v>
      </c>
      <c r="J3477" s="80" t="s">
        <v>84</v>
      </c>
      <c r="K3477" s="80" t="s">
        <v>84</v>
      </c>
      <c r="L3477" s="80" t="s">
        <v>84</v>
      </c>
      <c r="M3477" s="80" t="s">
        <v>84</v>
      </c>
      <c r="N3477" s="80" t="s">
        <v>84</v>
      </c>
      <c r="O3477" s="80" t="s">
        <v>84</v>
      </c>
      <c r="Q3477" s="80" t="s">
        <v>84</v>
      </c>
      <c r="R3477" s="80" t="s">
        <v>84</v>
      </c>
    </row>
    <row r="3478" spans="1:18" ht="20" x14ac:dyDescent="0.2">
      <c r="A3478" s="80" t="s">
        <v>4968</v>
      </c>
      <c r="B3478" s="80" t="s">
        <v>4969</v>
      </c>
      <c r="C3478" s="80" t="s">
        <v>9680</v>
      </c>
      <c r="D3478" s="80" t="s">
        <v>84</v>
      </c>
      <c r="E3478" s="80" t="s">
        <v>84</v>
      </c>
      <c r="G3478" s="80" t="s">
        <v>84</v>
      </c>
      <c r="H3478" s="80" t="s">
        <v>84</v>
      </c>
      <c r="I3478" s="80" t="s">
        <v>84</v>
      </c>
      <c r="J3478" s="80" t="s">
        <v>84</v>
      </c>
      <c r="K3478" s="80" t="s">
        <v>84</v>
      </c>
      <c r="L3478" s="80" t="s">
        <v>84</v>
      </c>
      <c r="M3478" s="80" t="s">
        <v>84</v>
      </c>
      <c r="N3478" s="80" t="s">
        <v>84</v>
      </c>
      <c r="O3478" s="80" t="s">
        <v>84</v>
      </c>
      <c r="Q3478" s="80" t="s">
        <v>84</v>
      </c>
      <c r="R3478" s="80" t="s">
        <v>84</v>
      </c>
    </row>
    <row r="3479" spans="1:18" ht="20" x14ac:dyDescent="0.2">
      <c r="A3479" s="80" t="s">
        <v>5678</v>
      </c>
      <c r="B3479" s="80" t="s">
        <v>5679</v>
      </c>
      <c r="C3479" s="80" t="s">
        <v>9680</v>
      </c>
      <c r="D3479" s="80" t="s">
        <v>84</v>
      </c>
      <c r="E3479" s="80" t="s">
        <v>84</v>
      </c>
      <c r="G3479" s="80" t="s">
        <v>84</v>
      </c>
      <c r="H3479" s="80" t="s">
        <v>84</v>
      </c>
      <c r="I3479" s="80" t="s">
        <v>84</v>
      </c>
      <c r="J3479" s="80" t="s">
        <v>84</v>
      </c>
      <c r="K3479" s="80" t="s">
        <v>84</v>
      </c>
      <c r="L3479" s="80" t="s">
        <v>84</v>
      </c>
      <c r="M3479" s="80" t="s">
        <v>84</v>
      </c>
      <c r="N3479" s="80" t="s">
        <v>84</v>
      </c>
      <c r="O3479" s="80" t="s">
        <v>84</v>
      </c>
      <c r="Q3479" s="80" t="s">
        <v>84</v>
      </c>
      <c r="R3479" s="80" t="s">
        <v>84</v>
      </c>
    </row>
    <row r="3480" spans="1:18" ht="20" x14ac:dyDescent="0.2">
      <c r="A3480" s="80" t="s">
        <v>5678</v>
      </c>
      <c r="B3480" s="80" t="s">
        <v>5906</v>
      </c>
      <c r="C3480" s="80" t="s">
        <v>9680</v>
      </c>
      <c r="D3480" s="80" t="s">
        <v>84</v>
      </c>
      <c r="E3480" s="80" t="s">
        <v>84</v>
      </c>
      <c r="G3480" s="80" t="s">
        <v>84</v>
      </c>
      <c r="H3480" s="80" t="s">
        <v>84</v>
      </c>
      <c r="I3480" s="80" t="s">
        <v>84</v>
      </c>
      <c r="J3480" s="80" t="s">
        <v>84</v>
      </c>
      <c r="K3480" s="80" t="s">
        <v>84</v>
      </c>
      <c r="L3480" s="80" t="s">
        <v>84</v>
      </c>
      <c r="M3480" s="80" t="s">
        <v>84</v>
      </c>
      <c r="N3480" s="80" t="s">
        <v>84</v>
      </c>
      <c r="O3480" s="80" t="s">
        <v>84</v>
      </c>
      <c r="Q3480" s="80" t="s">
        <v>84</v>
      </c>
      <c r="R3480" s="80" t="s">
        <v>84</v>
      </c>
    </row>
    <row r="3481" spans="1:18" ht="20" x14ac:dyDescent="0.2">
      <c r="A3481" s="80" t="s">
        <v>4675</v>
      </c>
      <c r="B3481" s="80" t="s">
        <v>4676</v>
      </c>
      <c r="C3481" s="80" t="s">
        <v>9680</v>
      </c>
      <c r="D3481" s="80" t="s">
        <v>84</v>
      </c>
      <c r="E3481" s="80" t="s">
        <v>84</v>
      </c>
      <c r="G3481" s="80" t="s">
        <v>84</v>
      </c>
      <c r="H3481" s="80" t="s">
        <v>84</v>
      </c>
      <c r="I3481" s="80" t="s">
        <v>84</v>
      </c>
      <c r="J3481" s="80" t="s">
        <v>84</v>
      </c>
      <c r="K3481" s="80" t="s">
        <v>84</v>
      </c>
      <c r="L3481" s="80" t="s">
        <v>84</v>
      </c>
      <c r="M3481" s="80" t="s">
        <v>84</v>
      </c>
      <c r="N3481" s="80" t="s">
        <v>84</v>
      </c>
      <c r="O3481" s="80" t="s">
        <v>84</v>
      </c>
      <c r="Q3481" s="80" t="s">
        <v>84</v>
      </c>
      <c r="R3481" s="80" t="s">
        <v>84</v>
      </c>
    </row>
    <row r="3482" spans="1:18" ht="20" x14ac:dyDescent="0.2">
      <c r="A3482" s="80" t="s">
        <v>5821</v>
      </c>
      <c r="B3482" s="80" t="s">
        <v>5822</v>
      </c>
      <c r="C3482" s="80" t="s">
        <v>84</v>
      </c>
      <c r="D3482" s="80" t="s">
        <v>84</v>
      </c>
      <c r="E3482" s="80" t="s">
        <v>84</v>
      </c>
      <c r="G3482" s="80" t="s">
        <v>84</v>
      </c>
      <c r="H3482" s="80" t="s">
        <v>84</v>
      </c>
      <c r="I3482" s="80" t="s">
        <v>84</v>
      </c>
      <c r="J3482" s="80" t="s">
        <v>84</v>
      </c>
      <c r="K3482" s="80" t="s">
        <v>84</v>
      </c>
      <c r="L3482" s="80" t="s">
        <v>84</v>
      </c>
      <c r="M3482" s="80" t="s">
        <v>84</v>
      </c>
      <c r="N3482" s="80" t="s">
        <v>84</v>
      </c>
      <c r="O3482" s="80" t="s">
        <v>84</v>
      </c>
      <c r="Q3482" s="80" t="s">
        <v>84</v>
      </c>
      <c r="R3482" s="80" t="s">
        <v>84</v>
      </c>
    </row>
    <row r="3483" spans="1:18" ht="20" x14ac:dyDescent="0.2">
      <c r="A3483" s="80" t="s">
        <v>2436</v>
      </c>
      <c r="B3483" s="80" t="s">
        <v>2437</v>
      </c>
      <c r="C3483" s="80" t="s">
        <v>9680</v>
      </c>
      <c r="D3483" s="80" t="s">
        <v>84</v>
      </c>
      <c r="E3483" s="80" t="s">
        <v>84</v>
      </c>
      <c r="G3483" s="80" t="s">
        <v>84</v>
      </c>
      <c r="H3483" s="80" t="s">
        <v>84</v>
      </c>
      <c r="I3483" s="80" t="s">
        <v>84</v>
      </c>
      <c r="J3483" s="80" t="s">
        <v>84</v>
      </c>
      <c r="K3483" s="80" t="s">
        <v>84</v>
      </c>
      <c r="L3483" s="80" t="s">
        <v>84</v>
      </c>
      <c r="M3483" s="80" t="s">
        <v>84</v>
      </c>
      <c r="N3483" s="80" t="s">
        <v>84</v>
      </c>
      <c r="O3483" s="80" t="s">
        <v>84</v>
      </c>
      <c r="Q3483" s="80" t="s">
        <v>84</v>
      </c>
      <c r="R3483" s="80" t="s">
        <v>84</v>
      </c>
    </row>
    <row r="3484" spans="1:18" ht="20" x14ac:dyDescent="0.2">
      <c r="A3484" s="80" t="s">
        <v>2585</v>
      </c>
      <c r="B3484" s="80" t="s">
        <v>2586</v>
      </c>
      <c r="C3484" s="80" t="s">
        <v>9680</v>
      </c>
      <c r="D3484" s="80" t="s">
        <v>84</v>
      </c>
      <c r="E3484" s="80" t="s">
        <v>84</v>
      </c>
      <c r="G3484" s="80" t="s">
        <v>84</v>
      </c>
      <c r="H3484" s="80" t="s">
        <v>84</v>
      </c>
      <c r="I3484" s="80" t="s">
        <v>84</v>
      </c>
      <c r="J3484" s="80" t="s">
        <v>84</v>
      </c>
      <c r="K3484" s="80" t="s">
        <v>84</v>
      </c>
      <c r="L3484" s="80" t="s">
        <v>84</v>
      </c>
      <c r="M3484" s="80" t="s">
        <v>84</v>
      </c>
      <c r="N3484" s="80" t="s">
        <v>84</v>
      </c>
      <c r="O3484" s="80" t="s">
        <v>84</v>
      </c>
      <c r="Q3484" s="80" t="s">
        <v>84</v>
      </c>
      <c r="R3484" s="80" t="s">
        <v>84</v>
      </c>
    </row>
    <row r="3485" spans="1:18" ht="20" x14ac:dyDescent="0.2">
      <c r="A3485" s="80" t="s">
        <v>2587</v>
      </c>
      <c r="B3485" s="80" t="s">
        <v>2588</v>
      </c>
      <c r="C3485" s="80" t="s">
        <v>9680</v>
      </c>
      <c r="D3485" s="80" t="s">
        <v>84</v>
      </c>
      <c r="E3485" s="80" t="s">
        <v>84</v>
      </c>
      <c r="G3485" s="80" t="s">
        <v>84</v>
      </c>
      <c r="H3485" s="80" t="s">
        <v>84</v>
      </c>
      <c r="I3485" s="80" t="s">
        <v>84</v>
      </c>
      <c r="J3485" s="80" t="s">
        <v>84</v>
      </c>
      <c r="K3485" s="80" t="s">
        <v>84</v>
      </c>
      <c r="L3485" s="80" t="s">
        <v>84</v>
      </c>
      <c r="M3485" s="80" t="s">
        <v>84</v>
      </c>
      <c r="N3485" s="80" t="s">
        <v>84</v>
      </c>
      <c r="O3485" s="80" t="s">
        <v>84</v>
      </c>
      <c r="Q3485" s="80" t="s">
        <v>84</v>
      </c>
      <c r="R3485" s="80" t="s">
        <v>84</v>
      </c>
    </row>
    <row r="3486" spans="1:18" ht="20" x14ac:dyDescent="0.2">
      <c r="A3486" s="80" t="s">
        <v>3631</v>
      </c>
      <c r="B3486" s="80" t="s">
        <v>3632</v>
      </c>
      <c r="C3486" s="80" t="s">
        <v>84</v>
      </c>
      <c r="D3486" s="80" t="s">
        <v>84</v>
      </c>
      <c r="E3486" s="80" t="s">
        <v>84</v>
      </c>
      <c r="G3486" s="80" t="s">
        <v>84</v>
      </c>
      <c r="H3486" s="80" t="s">
        <v>84</v>
      </c>
      <c r="I3486" s="80" t="s">
        <v>84</v>
      </c>
      <c r="J3486" s="80" t="s">
        <v>84</v>
      </c>
      <c r="K3486" s="80" t="s">
        <v>84</v>
      </c>
      <c r="L3486" s="80" t="s">
        <v>84</v>
      </c>
      <c r="M3486" s="80" t="s">
        <v>84</v>
      </c>
      <c r="N3486" s="80" t="s">
        <v>84</v>
      </c>
      <c r="O3486" s="80" t="s">
        <v>84</v>
      </c>
      <c r="Q3486" s="80" t="s">
        <v>84</v>
      </c>
      <c r="R3486" s="80" t="s">
        <v>84</v>
      </c>
    </row>
    <row r="3487" spans="1:18" ht="20" x14ac:dyDescent="0.2">
      <c r="A3487" s="80" t="s">
        <v>3810</v>
      </c>
      <c r="B3487" s="80" t="s">
        <v>3811</v>
      </c>
      <c r="C3487" s="80" t="s">
        <v>9680</v>
      </c>
      <c r="D3487" s="80" t="s">
        <v>84</v>
      </c>
      <c r="E3487" s="80" t="s">
        <v>84</v>
      </c>
      <c r="G3487" s="80" t="s">
        <v>84</v>
      </c>
      <c r="H3487" s="80" t="s">
        <v>84</v>
      </c>
      <c r="I3487" s="80" t="s">
        <v>84</v>
      </c>
      <c r="J3487" s="80" t="s">
        <v>84</v>
      </c>
      <c r="K3487" s="80" t="s">
        <v>84</v>
      </c>
      <c r="L3487" s="80" t="s">
        <v>84</v>
      </c>
      <c r="M3487" s="80" t="s">
        <v>84</v>
      </c>
      <c r="N3487" s="80" t="s">
        <v>84</v>
      </c>
      <c r="O3487" s="80" t="s">
        <v>84</v>
      </c>
      <c r="Q3487" s="80" t="s">
        <v>84</v>
      </c>
      <c r="R3487" s="80" t="s">
        <v>84</v>
      </c>
    </row>
    <row r="3488" spans="1:18" ht="20" x14ac:dyDescent="0.2">
      <c r="A3488" s="80" t="s">
        <v>2425</v>
      </c>
      <c r="B3488" s="80" t="s">
        <v>2426</v>
      </c>
      <c r="C3488" s="80" t="s">
        <v>9680</v>
      </c>
      <c r="D3488" s="80" t="s">
        <v>84</v>
      </c>
      <c r="E3488" s="80" t="s">
        <v>84</v>
      </c>
      <c r="G3488" s="80" t="s">
        <v>84</v>
      </c>
      <c r="H3488" s="80" t="s">
        <v>84</v>
      </c>
      <c r="I3488" s="80" t="s">
        <v>84</v>
      </c>
      <c r="J3488" s="80" t="s">
        <v>84</v>
      </c>
      <c r="K3488" s="80" t="s">
        <v>84</v>
      </c>
      <c r="L3488" s="80" t="s">
        <v>84</v>
      </c>
      <c r="M3488" s="80" t="s">
        <v>84</v>
      </c>
      <c r="N3488" s="80" t="s">
        <v>84</v>
      </c>
      <c r="O3488" s="80" t="s">
        <v>84</v>
      </c>
      <c r="Q3488" s="80" t="s">
        <v>84</v>
      </c>
      <c r="R3488" s="80" t="s">
        <v>84</v>
      </c>
    </row>
    <row r="3489" spans="1:18" ht="20" x14ac:dyDescent="0.2">
      <c r="A3489" s="80" t="s">
        <v>2427</v>
      </c>
      <c r="B3489" s="80" t="s">
        <v>2428</v>
      </c>
      <c r="C3489" s="80" t="s">
        <v>9680</v>
      </c>
      <c r="D3489" s="80" t="s">
        <v>84</v>
      </c>
      <c r="E3489" s="80" t="s">
        <v>84</v>
      </c>
      <c r="G3489" s="80" t="s">
        <v>84</v>
      </c>
      <c r="H3489" s="80" t="s">
        <v>84</v>
      </c>
      <c r="I3489" s="80" t="s">
        <v>84</v>
      </c>
      <c r="J3489" s="80" t="s">
        <v>84</v>
      </c>
      <c r="K3489" s="80" t="s">
        <v>84</v>
      </c>
      <c r="L3489" s="80" t="s">
        <v>84</v>
      </c>
      <c r="M3489" s="80" t="s">
        <v>84</v>
      </c>
      <c r="N3489" s="80" t="s">
        <v>84</v>
      </c>
      <c r="O3489" s="80" t="s">
        <v>84</v>
      </c>
      <c r="Q3489" s="80" t="s">
        <v>84</v>
      </c>
      <c r="R3489" s="80" t="s">
        <v>84</v>
      </c>
    </row>
    <row r="3490" spans="1:18" ht="20" x14ac:dyDescent="0.2">
      <c r="A3490" s="80" t="s">
        <v>1416</v>
      </c>
      <c r="B3490" s="80" t="s">
        <v>1417</v>
      </c>
      <c r="C3490" s="80" t="s">
        <v>9680</v>
      </c>
      <c r="D3490" s="80" t="s">
        <v>84</v>
      </c>
      <c r="E3490" s="80" t="s">
        <v>84</v>
      </c>
      <c r="G3490" s="80" t="s">
        <v>84</v>
      </c>
      <c r="H3490" s="80" t="s">
        <v>84</v>
      </c>
      <c r="I3490" s="80" t="s">
        <v>84</v>
      </c>
      <c r="J3490" s="80" t="s">
        <v>84</v>
      </c>
      <c r="K3490" s="80" t="s">
        <v>84</v>
      </c>
      <c r="L3490" s="80" t="s">
        <v>84</v>
      </c>
      <c r="M3490" s="80" t="s">
        <v>84</v>
      </c>
      <c r="N3490" s="80" t="s">
        <v>84</v>
      </c>
      <c r="O3490" s="80" t="s">
        <v>84</v>
      </c>
      <c r="Q3490" s="80" t="s">
        <v>84</v>
      </c>
      <c r="R3490" s="80" t="s">
        <v>84</v>
      </c>
    </row>
    <row r="3491" spans="1:18" ht="20" x14ac:dyDescent="0.2">
      <c r="A3491" s="80" t="s">
        <v>2544</v>
      </c>
      <c r="B3491" s="80" t="s">
        <v>2545</v>
      </c>
      <c r="C3491" s="80" t="s">
        <v>84</v>
      </c>
      <c r="D3491" s="80" t="s">
        <v>84</v>
      </c>
      <c r="E3491" s="80" t="s">
        <v>84</v>
      </c>
      <c r="G3491" s="80" t="s">
        <v>84</v>
      </c>
      <c r="H3491" s="80" t="s">
        <v>84</v>
      </c>
      <c r="I3491" s="80" t="s">
        <v>84</v>
      </c>
      <c r="J3491" s="80" t="s">
        <v>84</v>
      </c>
      <c r="K3491" s="80" t="s">
        <v>84</v>
      </c>
      <c r="L3491" s="80" t="s">
        <v>84</v>
      </c>
      <c r="M3491" s="80" t="s">
        <v>84</v>
      </c>
      <c r="N3491" s="80" t="s">
        <v>84</v>
      </c>
      <c r="O3491" s="80" t="s">
        <v>84</v>
      </c>
      <c r="Q3491" s="80" t="s">
        <v>84</v>
      </c>
      <c r="R3491" s="80" t="s">
        <v>84</v>
      </c>
    </row>
    <row r="3492" spans="1:18" ht="20" x14ac:dyDescent="0.2">
      <c r="A3492" s="80" t="s">
        <v>660</v>
      </c>
      <c r="B3492" s="80" t="s">
        <v>661</v>
      </c>
      <c r="C3492" s="80" t="s">
        <v>9680</v>
      </c>
      <c r="D3492" s="80" t="s">
        <v>84</v>
      </c>
      <c r="E3492" s="80" t="s">
        <v>84</v>
      </c>
      <c r="G3492" s="80" t="s">
        <v>84</v>
      </c>
      <c r="H3492" s="80" t="s">
        <v>84</v>
      </c>
      <c r="I3492" s="80" t="s">
        <v>84</v>
      </c>
      <c r="J3492" s="80" t="s">
        <v>84</v>
      </c>
      <c r="K3492" s="80" t="s">
        <v>84</v>
      </c>
      <c r="L3492" s="80" t="s">
        <v>84</v>
      </c>
      <c r="M3492" s="80" t="s">
        <v>84</v>
      </c>
      <c r="N3492" s="80" t="s">
        <v>84</v>
      </c>
      <c r="O3492" s="80" t="s">
        <v>84</v>
      </c>
      <c r="Q3492" s="80" t="s">
        <v>84</v>
      </c>
      <c r="R3492" s="80" t="s">
        <v>84</v>
      </c>
    </row>
    <row r="3493" spans="1:18" ht="20" x14ac:dyDescent="0.2">
      <c r="A3493" s="80" t="s">
        <v>860</v>
      </c>
      <c r="B3493" s="80" t="s">
        <v>861</v>
      </c>
      <c r="C3493" s="80" t="s">
        <v>9680</v>
      </c>
      <c r="D3493" s="80" t="s">
        <v>84</v>
      </c>
      <c r="E3493" s="80" t="s">
        <v>84</v>
      </c>
      <c r="G3493" s="80" t="s">
        <v>84</v>
      </c>
      <c r="H3493" s="80" t="s">
        <v>84</v>
      </c>
      <c r="I3493" s="80" t="s">
        <v>84</v>
      </c>
      <c r="J3493" s="80" t="s">
        <v>84</v>
      </c>
      <c r="K3493" s="80" t="s">
        <v>84</v>
      </c>
      <c r="L3493" s="80" t="s">
        <v>84</v>
      </c>
      <c r="M3493" s="80" t="s">
        <v>84</v>
      </c>
      <c r="N3493" s="80" t="s">
        <v>84</v>
      </c>
      <c r="O3493" s="80" t="s">
        <v>84</v>
      </c>
      <c r="Q3493" s="80" t="s">
        <v>84</v>
      </c>
      <c r="R3493" s="80" t="s">
        <v>84</v>
      </c>
    </row>
    <row r="3494" spans="1:18" ht="20" x14ac:dyDescent="0.2">
      <c r="A3494" s="80" t="s">
        <v>862</v>
      </c>
      <c r="B3494" s="80" t="s">
        <v>863</v>
      </c>
      <c r="C3494" s="80" t="s">
        <v>9680</v>
      </c>
      <c r="D3494" s="80" t="s">
        <v>84</v>
      </c>
      <c r="E3494" s="80" t="s">
        <v>84</v>
      </c>
      <c r="G3494" s="80" t="s">
        <v>84</v>
      </c>
      <c r="H3494" s="80" t="s">
        <v>84</v>
      </c>
      <c r="I3494" s="80" t="s">
        <v>84</v>
      </c>
      <c r="J3494" s="80" t="s">
        <v>84</v>
      </c>
      <c r="K3494" s="80" t="s">
        <v>84</v>
      </c>
      <c r="L3494" s="80" t="s">
        <v>84</v>
      </c>
      <c r="M3494" s="80" t="s">
        <v>84</v>
      </c>
      <c r="N3494" s="80" t="s">
        <v>84</v>
      </c>
      <c r="O3494" s="80" t="s">
        <v>84</v>
      </c>
      <c r="Q3494" s="80" t="s">
        <v>84</v>
      </c>
      <c r="R3494" s="80" t="s">
        <v>84</v>
      </c>
    </row>
    <row r="3495" spans="1:18" ht="20" x14ac:dyDescent="0.2">
      <c r="A3495" s="80" t="s">
        <v>3233</v>
      </c>
      <c r="B3495" s="80" t="s">
        <v>3234</v>
      </c>
      <c r="C3495" s="80" t="s">
        <v>9680</v>
      </c>
      <c r="D3495" s="80" t="s">
        <v>84</v>
      </c>
      <c r="E3495" s="80" t="s">
        <v>84</v>
      </c>
      <c r="G3495" s="80" t="s">
        <v>84</v>
      </c>
      <c r="H3495" s="80" t="s">
        <v>84</v>
      </c>
      <c r="I3495" s="80" t="s">
        <v>84</v>
      </c>
      <c r="J3495" s="80" t="s">
        <v>84</v>
      </c>
      <c r="K3495" s="80" t="s">
        <v>84</v>
      </c>
      <c r="L3495" s="80" t="s">
        <v>84</v>
      </c>
      <c r="M3495" s="80" t="s">
        <v>84</v>
      </c>
      <c r="N3495" s="80" t="s">
        <v>84</v>
      </c>
      <c r="O3495" s="80" t="s">
        <v>84</v>
      </c>
      <c r="Q3495" s="80" t="s">
        <v>84</v>
      </c>
      <c r="R3495" s="80" t="s">
        <v>84</v>
      </c>
    </row>
    <row r="3496" spans="1:18" ht="20" x14ac:dyDescent="0.2">
      <c r="A3496" s="80" t="s">
        <v>3235</v>
      </c>
      <c r="B3496" s="80" t="s">
        <v>3236</v>
      </c>
      <c r="C3496" s="80" t="s">
        <v>9680</v>
      </c>
      <c r="D3496" s="80" t="s">
        <v>84</v>
      </c>
      <c r="E3496" s="80" t="s">
        <v>84</v>
      </c>
      <c r="G3496" s="80" t="s">
        <v>84</v>
      </c>
      <c r="H3496" s="80" t="s">
        <v>84</v>
      </c>
      <c r="I3496" s="80" t="s">
        <v>84</v>
      </c>
      <c r="J3496" s="80" t="s">
        <v>84</v>
      </c>
      <c r="K3496" s="80" t="s">
        <v>84</v>
      </c>
      <c r="L3496" s="80" t="s">
        <v>84</v>
      </c>
      <c r="M3496" s="80" t="s">
        <v>84</v>
      </c>
      <c r="N3496" s="80" t="s">
        <v>84</v>
      </c>
      <c r="O3496" s="80" t="s">
        <v>84</v>
      </c>
      <c r="Q3496" s="80" t="s">
        <v>84</v>
      </c>
      <c r="R3496" s="80" t="s">
        <v>84</v>
      </c>
    </row>
    <row r="3497" spans="1:18" x14ac:dyDescent="0.2">
      <c r="A3497" s="80" t="s">
        <v>3237</v>
      </c>
      <c r="B3497" s="80" t="s">
        <v>3238</v>
      </c>
      <c r="C3497" s="80" t="s">
        <v>84</v>
      </c>
      <c r="D3497" s="80" t="s">
        <v>84</v>
      </c>
      <c r="E3497" s="80" t="s">
        <v>84</v>
      </c>
      <c r="G3497" s="80" t="s">
        <v>84</v>
      </c>
      <c r="H3497" s="80" t="s">
        <v>84</v>
      </c>
      <c r="I3497" s="80" t="s">
        <v>84</v>
      </c>
      <c r="J3497" s="80" t="s">
        <v>84</v>
      </c>
      <c r="K3497" s="80" t="s">
        <v>84</v>
      </c>
      <c r="L3497" s="80" t="s">
        <v>84</v>
      </c>
      <c r="M3497" s="80" t="s">
        <v>84</v>
      </c>
      <c r="N3497" s="80" t="s">
        <v>84</v>
      </c>
      <c r="O3497" s="80" t="s">
        <v>84</v>
      </c>
      <c r="Q3497" s="80" t="s">
        <v>84</v>
      </c>
      <c r="R3497" s="80" t="s">
        <v>84</v>
      </c>
    </row>
    <row r="3498" spans="1:18" ht="20" x14ac:dyDescent="0.2">
      <c r="A3498" s="80" t="s">
        <v>2507</v>
      </c>
      <c r="B3498" s="80" t="s">
        <v>2508</v>
      </c>
      <c r="C3498" s="80" t="s">
        <v>9680</v>
      </c>
      <c r="D3498" s="80" t="s">
        <v>84</v>
      </c>
      <c r="E3498" s="80" t="s">
        <v>84</v>
      </c>
      <c r="G3498" s="80" t="s">
        <v>84</v>
      </c>
      <c r="H3498" s="80" t="s">
        <v>84</v>
      </c>
      <c r="I3498" s="80" t="s">
        <v>84</v>
      </c>
      <c r="J3498" s="80" t="s">
        <v>84</v>
      </c>
      <c r="K3498" s="80" t="s">
        <v>84</v>
      </c>
      <c r="L3498" s="80" t="s">
        <v>84</v>
      </c>
      <c r="M3498" s="80" t="s">
        <v>84</v>
      </c>
      <c r="N3498" s="80" t="s">
        <v>84</v>
      </c>
      <c r="O3498" s="80" t="s">
        <v>84</v>
      </c>
      <c r="Q3498" s="80" t="s">
        <v>84</v>
      </c>
      <c r="R3498" s="80" t="s">
        <v>84</v>
      </c>
    </row>
    <row r="3499" spans="1:18" ht="20" x14ac:dyDescent="0.2">
      <c r="A3499" s="80" t="s">
        <v>665</v>
      </c>
      <c r="B3499" s="80" t="s">
        <v>666</v>
      </c>
      <c r="C3499" s="80" t="s">
        <v>9680</v>
      </c>
      <c r="D3499" s="80" t="s">
        <v>84</v>
      </c>
      <c r="E3499" s="80" t="s">
        <v>84</v>
      </c>
      <c r="G3499" s="80" t="s">
        <v>84</v>
      </c>
      <c r="H3499" s="80" t="s">
        <v>84</v>
      </c>
      <c r="I3499" s="80" t="s">
        <v>84</v>
      </c>
      <c r="J3499" s="80" t="s">
        <v>84</v>
      </c>
      <c r="K3499" s="80" t="s">
        <v>84</v>
      </c>
      <c r="L3499" s="80" t="s">
        <v>84</v>
      </c>
      <c r="M3499" s="80" t="s">
        <v>84</v>
      </c>
      <c r="N3499" s="80" t="s">
        <v>84</v>
      </c>
      <c r="O3499" s="80" t="s">
        <v>84</v>
      </c>
      <c r="Q3499" s="80" t="s">
        <v>84</v>
      </c>
      <c r="R3499" s="80" t="s">
        <v>84</v>
      </c>
    </row>
    <row r="3500" spans="1:18" ht="20" x14ac:dyDescent="0.2">
      <c r="A3500" s="80" t="s">
        <v>667</v>
      </c>
      <c r="B3500" s="80" t="s">
        <v>668</v>
      </c>
      <c r="C3500" s="80" t="s">
        <v>9680</v>
      </c>
      <c r="D3500" s="80" t="s">
        <v>84</v>
      </c>
      <c r="E3500" s="80" t="s">
        <v>84</v>
      </c>
      <c r="G3500" s="80" t="s">
        <v>84</v>
      </c>
      <c r="H3500" s="80" t="s">
        <v>84</v>
      </c>
      <c r="I3500" s="80" t="s">
        <v>84</v>
      </c>
      <c r="J3500" s="80" t="s">
        <v>84</v>
      </c>
      <c r="K3500" s="80" t="s">
        <v>84</v>
      </c>
      <c r="L3500" s="80" t="s">
        <v>84</v>
      </c>
      <c r="M3500" s="80" t="s">
        <v>84</v>
      </c>
      <c r="N3500" s="80" t="s">
        <v>84</v>
      </c>
      <c r="O3500" s="80" t="s">
        <v>84</v>
      </c>
      <c r="Q3500" s="80" t="s">
        <v>84</v>
      </c>
      <c r="R3500" s="80" t="s">
        <v>84</v>
      </c>
    </row>
    <row r="3501" spans="1:18" ht="20" x14ac:dyDescent="0.2">
      <c r="A3501" s="80" t="s">
        <v>2052</v>
      </c>
      <c r="B3501" s="80" t="s">
        <v>2053</v>
      </c>
      <c r="C3501" s="80" t="s">
        <v>9680</v>
      </c>
      <c r="D3501" s="80" t="s">
        <v>84</v>
      </c>
      <c r="E3501" s="80" t="s">
        <v>84</v>
      </c>
      <c r="G3501" s="80" t="s">
        <v>84</v>
      </c>
      <c r="H3501" s="80" t="s">
        <v>84</v>
      </c>
      <c r="I3501" s="80" t="s">
        <v>84</v>
      </c>
      <c r="J3501" s="80" t="s">
        <v>84</v>
      </c>
      <c r="K3501" s="80" t="s">
        <v>84</v>
      </c>
      <c r="L3501" s="80" t="s">
        <v>84</v>
      </c>
      <c r="M3501" s="80" t="s">
        <v>84</v>
      </c>
      <c r="N3501" s="80" t="s">
        <v>84</v>
      </c>
      <c r="O3501" s="80" t="s">
        <v>84</v>
      </c>
      <c r="Q3501" s="80" t="s">
        <v>84</v>
      </c>
      <c r="R3501" s="80" t="s">
        <v>84</v>
      </c>
    </row>
    <row r="3502" spans="1:18" ht="20" x14ac:dyDescent="0.2">
      <c r="A3502" s="80" t="s">
        <v>2054</v>
      </c>
      <c r="B3502" s="80" t="s">
        <v>2055</v>
      </c>
      <c r="C3502" s="80" t="s">
        <v>9680</v>
      </c>
      <c r="D3502" s="80" t="s">
        <v>84</v>
      </c>
      <c r="E3502" s="80" t="s">
        <v>84</v>
      </c>
      <c r="G3502" s="80" t="s">
        <v>84</v>
      </c>
      <c r="H3502" s="80" t="s">
        <v>84</v>
      </c>
      <c r="I3502" s="80" t="s">
        <v>84</v>
      </c>
      <c r="J3502" s="80" t="s">
        <v>84</v>
      </c>
      <c r="K3502" s="80" t="s">
        <v>84</v>
      </c>
      <c r="L3502" s="80" t="s">
        <v>84</v>
      </c>
      <c r="M3502" s="80" t="s">
        <v>84</v>
      </c>
      <c r="N3502" s="80" t="s">
        <v>84</v>
      </c>
      <c r="O3502" s="80" t="s">
        <v>84</v>
      </c>
      <c r="Q3502" s="80" t="s">
        <v>84</v>
      </c>
      <c r="R3502" s="80" t="s">
        <v>84</v>
      </c>
    </row>
    <row r="3503" spans="1:18" ht="20" x14ac:dyDescent="0.2">
      <c r="A3503" s="80" t="s">
        <v>2503</v>
      </c>
      <c r="B3503" s="80" t="s">
        <v>2504</v>
      </c>
      <c r="C3503" s="80" t="s">
        <v>9680</v>
      </c>
      <c r="D3503" s="80" t="s">
        <v>84</v>
      </c>
      <c r="E3503" s="80" t="s">
        <v>84</v>
      </c>
      <c r="G3503" s="80" t="s">
        <v>84</v>
      </c>
      <c r="H3503" s="80" t="s">
        <v>84</v>
      </c>
      <c r="I3503" s="80" t="s">
        <v>84</v>
      </c>
      <c r="J3503" s="80" t="s">
        <v>84</v>
      </c>
      <c r="K3503" s="80" t="s">
        <v>84</v>
      </c>
      <c r="L3503" s="80" t="s">
        <v>84</v>
      </c>
      <c r="M3503" s="80" t="s">
        <v>84</v>
      </c>
      <c r="N3503" s="80" t="s">
        <v>84</v>
      </c>
      <c r="O3503" s="80" t="s">
        <v>84</v>
      </c>
      <c r="Q3503" s="80" t="s">
        <v>84</v>
      </c>
      <c r="R3503" s="80" t="s">
        <v>84</v>
      </c>
    </row>
    <row r="3504" spans="1:18" ht="20" x14ac:dyDescent="0.2">
      <c r="A3504" s="80" t="s">
        <v>2099</v>
      </c>
      <c r="B3504" s="80" t="s">
        <v>2100</v>
      </c>
      <c r="C3504" s="80" t="s">
        <v>9680</v>
      </c>
      <c r="D3504" s="80" t="s">
        <v>84</v>
      </c>
      <c r="E3504" s="80" t="s">
        <v>84</v>
      </c>
      <c r="G3504" s="80" t="s">
        <v>84</v>
      </c>
      <c r="H3504" s="80" t="s">
        <v>84</v>
      </c>
      <c r="I3504" s="80" t="s">
        <v>84</v>
      </c>
      <c r="J3504" s="80" t="s">
        <v>84</v>
      </c>
      <c r="K3504" s="80" t="s">
        <v>84</v>
      </c>
      <c r="L3504" s="80" t="s">
        <v>84</v>
      </c>
      <c r="M3504" s="80" t="s">
        <v>84</v>
      </c>
      <c r="N3504" s="80" t="s">
        <v>84</v>
      </c>
      <c r="O3504" s="80" t="s">
        <v>84</v>
      </c>
      <c r="Q3504" s="80" t="s">
        <v>84</v>
      </c>
      <c r="R3504" s="80" t="s">
        <v>84</v>
      </c>
    </row>
    <row r="3505" spans="1:18" ht="20" x14ac:dyDescent="0.2">
      <c r="A3505" s="80" t="s">
        <v>1760</v>
      </c>
      <c r="B3505" s="80" t="s">
        <v>1761</v>
      </c>
      <c r="C3505" s="80" t="s">
        <v>9680</v>
      </c>
      <c r="D3505" s="80" t="s">
        <v>84</v>
      </c>
      <c r="E3505" s="80" t="s">
        <v>84</v>
      </c>
      <c r="G3505" s="80" t="s">
        <v>84</v>
      </c>
      <c r="H3505" s="80" t="s">
        <v>84</v>
      </c>
      <c r="I3505" s="80" t="s">
        <v>84</v>
      </c>
      <c r="J3505" s="80" t="s">
        <v>84</v>
      </c>
      <c r="K3505" s="80" t="s">
        <v>84</v>
      </c>
      <c r="L3505" s="80" t="s">
        <v>84</v>
      </c>
      <c r="M3505" s="80" t="s">
        <v>84</v>
      </c>
      <c r="N3505" s="80" t="s">
        <v>84</v>
      </c>
      <c r="O3505" s="80" t="s">
        <v>84</v>
      </c>
      <c r="Q3505" s="80" t="s">
        <v>84</v>
      </c>
      <c r="R3505" s="80" t="s">
        <v>84</v>
      </c>
    </row>
    <row r="3506" spans="1:18" ht="20" x14ac:dyDescent="0.2">
      <c r="A3506" s="80" t="s">
        <v>2056</v>
      </c>
      <c r="B3506" s="80" t="s">
        <v>2057</v>
      </c>
      <c r="C3506" s="80" t="s">
        <v>84</v>
      </c>
      <c r="D3506" s="80" t="s">
        <v>84</v>
      </c>
      <c r="E3506" s="80" t="s">
        <v>84</v>
      </c>
      <c r="G3506" s="80" t="s">
        <v>84</v>
      </c>
      <c r="H3506" s="80" t="s">
        <v>84</v>
      </c>
      <c r="I3506" s="80" t="s">
        <v>84</v>
      </c>
      <c r="J3506" s="80" t="s">
        <v>84</v>
      </c>
      <c r="K3506" s="80" t="s">
        <v>84</v>
      </c>
      <c r="L3506" s="80" t="s">
        <v>84</v>
      </c>
      <c r="M3506" s="80" t="s">
        <v>84</v>
      </c>
      <c r="N3506" s="80" t="s">
        <v>84</v>
      </c>
      <c r="O3506" s="80" t="s">
        <v>84</v>
      </c>
      <c r="Q3506" s="80" t="s">
        <v>84</v>
      </c>
      <c r="R3506" s="80" t="s">
        <v>84</v>
      </c>
    </row>
    <row r="3507" spans="1:18" ht="20" x14ac:dyDescent="0.2">
      <c r="A3507" s="80" t="s">
        <v>5718</v>
      </c>
      <c r="B3507" s="80" t="s">
        <v>5719</v>
      </c>
      <c r="C3507" s="80" t="s">
        <v>9680</v>
      </c>
      <c r="D3507" s="80" t="s">
        <v>84</v>
      </c>
      <c r="E3507" s="80" t="s">
        <v>84</v>
      </c>
      <c r="G3507" s="80" t="s">
        <v>84</v>
      </c>
      <c r="H3507" s="80" t="s">
        <v>84</v>
      </c>
      <c r="I3507" s="80" t="s">
        <v>84</v>
      </c>
      <c r="J3507" s="80" t="s">
        <v>84</v>
      </c>
      <c r="K3507" s="80" t="s">
        <v>84</v>
      </c>
      <c r="L3507" s="80" t="s">
        <v>84</v>
      </c>
      <c r="M3507" s="80" t="s">
        <v>84</v>
      </c>
      <c r="N3507" s="80" t="s">
        <v>84</v>
      </c>
      <c r="O3507" s="80" t="s">
        <v>84</v>
      </c>
      <c r="Q3507" s="80" t="s">
        <v>84</v>
      </c>
      <c r="R3507" s="80" t="s">
        <v>84</v>
      </c>
    </row>
    <row r="3508" spans="1:18" ht="20" x14ac:dyDescent="0.2">
      <c r="A3508" s="80" t="s">
        <v>5695</v>
      </c>
      <c r="B3508" s="80" t="s">
        <v>5696</v>
      </c>
      <c r="C3508" s="80" t="s">
        <v>84</v>
      </c>
      <c r="D3508" s="80" t="s">
        <v>84</v>
      </c>
      <c r="E3508" s="80" t="s">
        <v>84</v>
      </c>
      <c r="G3508" s="80" t="s">
        <v>84</v>
      </c>
      <c r="H3508" s="80" t="s">
        <v>84</v>
      </c>
      <c r="I3508" s="80" t="s">
        <v>84</v>
      </c>
      <c r="J3508" s="80" t="s">
        <v>84</v>
      </c>
      <c r="K3508" s="80" t="s">
        <v>84</v>
      </c>
      <c r="L3508" s="80" t="s">
        <v>84</v>
      </c>
      <c r="M3508" s="80" t="s">
        <v>84</v>
      </c>
      <c r="N3508" s="80" t="s">
        <v>84</v>
      </c>
      <c r="O3508" s="80" t="s">
        <v>84</v>
      </c>
      <c r="Q3508" s="80" t="s">
        <v>84</v>
      </c>
      <c r="R3508" s="80" t="s">
        <v>84</v>
      </c>
    </row>
    <row r="3509" spans="1:18" ht="20" x14ac:dyDescent="0.2">
      <c r="A3509" s="80" t="s">
        <v>2124</v>
      </c>
      <c r="B3509" s="80" t="s">
        <v>2125</v>
      </c>
      <c r="C3509" s="80" t="s">
        <v>9680</v>
      </c>
      <c r="D3509" s="80" t="s">
        <v>84</v>
      </c>
      <c r="E3509" s="80" t="s">
        <v>84</v>
      </c>
      <c r="G3509" s="80" t="s">
        <v>84</v>
      </c>
      <c r="H3509" s="80" t="s">
        <v>84</v>
      </c>
      <c r="I3509" s="80" t="s">
        <v>84</v>
      </c>
      <c r="J3509" s="80" t="s">
        <v>84</v>
      </c>
      <c r="K3509" s="80" t="s">
        <v>84</v>
      </c>
      <c r="L3509" s="80" t="s">
        <v>84</v>
      </c>
      <c r="M3509" s="80" t="s">
        <v>84</v>
      </c>
      <c r="N3509" s="80" t="s">
        <v>84</v>
      </c>
      <c r="O3509" s="80" t="s">
        <v>84</v>
      </c>
      <c r="Q3509" s="80" t="s">
        <v>84</v>
      </c>
      <c r="R3509" s="80" t="s">
        <v>84</v>
      </c>
    </row>
    <row r="3510" spans="1:18" x14ac:dyDescent="0.2">
      <c r="A3510" s="80" t="s">
        <v>2461</v>
      </c>
      <c r="B3510" s="80" t="s">
        <v>2462</v>
      </c>
      <c r="C3510" s="80" t="s">
        <v>84</v>
      </c>
      <c r="D3510" s="80" t="s">
        <v>84</v>
      </c>
      <c r="E3510" s="80" t="s">
        <v>84</v>
      </c>
      <c r="G3510" s="80" t="s">
        <v>84</v>
      </c>
      <c r="H3510" s="80" t="s">
        <v>84</v>
      </c>
      <c r="I3510" s="80" t="s">
        <v>84</v>
      </c>
      <c r="J3510" s="80" t="s">
        <v>84</v>
      </c>
      <c r="K3510" s="80" t="s">
        <v>84</v>
      </c>
      <c r="L3510" s="80" t="s">
        <v>84</v>
      </c>
      <c r="M3510" s="80" t="s">
        <v>84</v>
      </c>
      <c r="N3510" s="80" t="s">
        <v>84</v>
      </c>
      <c r="O3510" s="80" t="s">
        <v>84</v>
      </c>
      <c r="Q3510" s="80" t="s">
        <v>84</v>
      </c>
      <c r="R3510" s="80" t="s">
        <v>84</v>
      </c>
    </row>
    <row r="3511" spans="1:18" ht="20" x14ac:dyDescent="0.2">
      <c r="A3511" s="80" t="s">
        <v>3633</v>
      </c>
      <c r="B3511" s="80" t="s">
        <v>3634</v>
      </c>
      <c r="C3511" s="80" t="s">
        <v>84</v>
      </c>
      <c r="D3511" s="80" t="s">
        <v>84</v>
      </c>
      <c r="E3511" s="80" t="s">
        <v>84</v>
      </c>
      <c r="G3511" s="80" t="s">
        <v>84</v>
      </c>
      <c r="H3511" s="80" t="s">
        <v>84</v>
      </c>
      <c r="I3511" s="80" t="s">
        <v>84</v>
      </c>
      <c r="J3511" s="80" t="s">
        <v>84</v>
      </c>
      <c r="K3511" s="80" t="s">
        <v>84</v>
      </c>
      <c r="L3511" s="80" t="s">
        <v>84</v>
      </c>
      <c r="M3511" s="80" t="s">
        <v>84</v>
      </c>
      <c r="N3511" s="80" t="s">
        <v>84</v>
      </c>
      <c r="O3511" s="80" t="s">
        <v>84</v>
      </c>
      <c r="Q3511" s="80" t="s">
        <v>84</v>
      </c>
      <c r="R3511" s="80" t="s">
        <v>84</v>
      </c>
    </row>
    <row r="3512" spans="1:18" ht="20" x14ac:dyDescent="0.2">
      <c r="A3512" s="80" t="s">
        <v>3190</v>
      </c>
      <c r="B3512" s="80" t="s">
        <v>3191</v>
      </c>
      <c r="C3512" s="80" t="s">
        <v>9680</v>
      </c>
      <c r="D3512" s="80" t="s">
        <v>84</v>
      </c>
      <c r="E3512" s="80" t="s">
        <v>84</v>
      </c>
      <c r="G3512" s="80" t="s">
        <v>84</v>
      </c>
      <c r="H3512" s="80" t="s">
        <v>84</v>
      </c>
      <c r="I3512" s="80" t="s">
        <v>84</v>
      </c>
      <c r="J3512" s="80" t="s">
        <v>84</v>
      </c>
      <c r="K3512" s="80" t="s">
        <v>84</v>
      </c>
      <c r="L3512" s="80" t="s">
        <v>84</v>
      </c>
      <c r="M3512" s="80" t="s">
        <v>84</v>
      </c>
      <c r="N3512" s="80" t="s">
        <v>84</v>
      </c>
      <c r="O3512" s="80" t="s">
        <v>84</v>
      </c>
      <c r="Q3512" s="80" t="s">
        <v>84</v>
      </c>
      <c r="R3512" s="80" t="s">
        <v>84</v>
      </c>
    </row>
    <row r="3513" spans="1:18" ht="20" x14ac:dyDescent="0.2">
      <c r="A3513" s="80" t="s">
        <v>3211</v>
      </c>
      <c r="B3513" s="80" t="s">
        <v>3212</v>
      </c>
      <c r="C3513" s="80" t="s">
        <v>9680</v>
      </c>
      <c r="D3513" s="80" t="s">
        <v>84</v>
      </c>
      <c r="E3513" s="80" t="s">
        <v>84</v>
      </c>
      <c r="G3513" s="80" t="s">
        <v>84</v>
      </c>
      <c r="H3513" s="80" t="s">
        <v>84</v>
      </c>
      <c r="I3513" s="80" t="s">
        <v>84</v>
      </c>
      <c r="J3513" s="80" t="s">
        <v>84</v>
      </c>
      <c r="K3513" s="80" t="s">
        <v>84</v>
      </c>
      <c r="L3513" s="80" t="s">
        <v>84</v>
      </c>
      <c r="M3513" s="80" t="s">
        <v>84</v>
      </c>
      <c r="N3513" s="80" t="s">
        <v>84</v>
      </c>
      <c r="O3513" s="80" t="s">
        <v>84</v>
      </c>
      <c r="Q3513" s="80" t="s">
        <v>84</v>
      </c>
      <c r="R3513" s="80" t="s">
        <v>84</v>
      </c>
    </row>
    <row r="3514" spans="1:18" ht="20" x14ac:dyDescent="0.2">
      <c r="A3514" s="80" t="s">
        <v>3213</v>
      </c>
      <c r="B3514" s="80" t="s">
        <v>3214</v>
      </c>
      <c r="C3514" s="80" t="s">
        <v>9680</v>
      </c>
      <c r="D3514" s="80" t="s">
        <v>84</v>
      </c>
      <c r="E3514" s="80" t="s">
        <v>84</v>
      </c>
      <c r="G3514" s="80" t="s">
        <v>84</v>
      </c>
      <c r="H3514" s="80" t="s">
        <v>84</v>
      </c>
      <c r="I3514" s="80" t="s">
        <v>84</v>
      </c>
      <c r="J3514" s="80" t="s">
        <v>84</v>
      </c>
      <c r="K3514" s="80" t="s">
        <v>84</v>
      </c>
      <c r="L3514" s="80" t="s">
        <v>84</v>
      </c>
      <c r="M3514" s="80" t="s">
        <v>84</v>
      </c>
      <c r="N3514" s="80" t="s">
        <v>84</v>
      </c>
      <c r="O3514" s="80" t="s">
        <v>84</v>
      </c>
      <c r="Q3514" s="80" t="s">
        <v>84</v>
      </c>
      <c r="R3514" s="80" t="s">
        <v>84</v>
      </c>
    </row>
    <row r="3515" spans="1:18" ht="20" x14ac:dyDescent="0.2">
      <c r="A3515" s="80" t="s">
        <v>3215</v>
      </c>
      <c r="B3515" s="80" t="s">
        <v>3216</v>
      </c>
      <c r="C3515" s="80" t="s">
        <v>9680</v>
      </c>
      <c r="D3515" s="80" t="s">
        <v>84</v>
      </c>
      <c r="E3515" s="80" t="s">
        <v>84</v>
      </c>
      <c r="G3515" s="80" t="s">
        <v>84</v>
      </c>
      <c r="H3515" s="80" t="s">
        <v>84</v>
      </c>
      <c r="I3515" s="80" t="s">
        <v>84</v>
      </c>
      <c r="J3515" s="80" t="s">
        <v>84</v>
      </c>
      <c r="K3515" s="80" t="s">
        <v>84</v>
      </c>
      <c r="L3515" s="80" t="s">
        <v>84</v>
      </c>
      <c r="M3515" s="80" t="s">
        <v>84</v>
      </c>
      <c r="N3515" s="80" t="s">
        <v>84</v>
      </c>
      <c r="O3515" s="80" t="s">
        <v>84</v>
      </c>
      <c r="Q3515" s="80" t="s">
        <v>84</v>
      </c>
      <c r="R3515" s="80" t="s">
        <v>84</v>
      </c>
    </row>
    <row r="3516" spans="1:18" x14ac:dyDescent="0.2">
      <c r="A3516" s="80" t="s">
        <v>3217</v>
      </c>
      <c r="B3516" s="80" t="s">
        <v>3218</v>
      </c>
      <c r="C3516" s="80" t="s">
        <v>84</v>
      </c>
      <c r="D3516" s="80" t="s">
        <v>84</v>
      </c>
      <c r="E3516" s="80" t="s">
        <v>84</v>
      </c>
      <c r="G3516" s="80" t="s">
        <v>84</v>
      </c>
      <c r="H3516" s="80" t="s">
        <v>84</v>
      </c>
      <c r="I3516" s="80" t="s">
        <v>84</v>
      </c>
      <c r="J3516" s="80" t="s">
        <v>84</v>
      </c>
      <c r="K3516" s="80" t="s">
        <v>84</v>
      </c>
      <c r="L3516" s="80" t="s">
        <v>84</v>
      </c>
      <c r="M3516" s="80" t="s">
        <v>84</v>
      </c>
      <c r="N3516" s="80" t="s">
        <v>84</v>
      </c>
      <c r="O3516" s="80" t="s">
        <v>84</v>
      </c>
      <c r="Q3516" s="80" t="s">
        <v>84</v>
      </c>
      <c r="R3516" s="80" t="s">
        <v>84</v>
      </c>
    </row>
    <row r="3517" spans="1:18" ht="20" x14ac:dyDescent="0.2">
      <c r="A3517" s="80" t="s">
        <v>3271</v>
      </c>
      <c r="B3517" s="80" t="s">
        <v>3272</v>
      </c>
      <c r="C3517" s="80" t="s">
        <v>9680</v>
      </c>
      <c r="D3517" s="80" t="s">
        <v>84</v>
      </c>
      <c r="E3517" s="80" t="s">
        <v>84</v>
      </c>
      <c r="G3517" s="80" t="s">
        <v>84</v>
      </c>
      <c r="H3517" s="80" t="s">
        <v>84</v>
      </c>
      <c r="I3517" s="80" t="s">
        <v>84</v>
      </c>
      <c r="J3517" s="80" t="s">
        <v>84</v>
      </c>
      <c r="K3517" s="80" t="s">
        <v>84</v>
      </c>
      <c r="L3517" s="80" t="s">
        <v>84</v>
      </c>
      <c r="M3517" s="80" t="s">
        <v>84</v>
      </c>
      <c r="N3517" s="80" t="s">
        <v>84</v>
      </c>
      <c r="O3517" s="80" t="s">
        <v>84</v>
      </c>
      <c r="Q3517" s="80" t="s">
        <v>84</v>
      </c>
      <c r="R3517" s="80" t="s">
        <v>84</v>
      </c>
    </row>
    <row r="3518" spans="1:18" ht="20" x14ac:dyDescent="0.2">
      <c r="A3518" s="80" t="s">
        <v>3205</v>
      </c>
      <c r="B3518" s="80" t="s">
        <v>3206</v>
      </c>
      <c r="C3518" s="80" t="s">
        <v>9680</v>
      </c>
      <c r="D3518" s="80" t="s">
        <v>84</v>
      </c>
      <c r="E3518" s="80" t="s">
        <v>84</v>
      </c>
      <c r="G3518" s="80" t="s">
        <v>84</v>
      </c>
      <c r="H3518" s="80" t="s">
        <v>84</v>
      </c>
      <c r="I3518" s="80" t="s">
        <v>84</v>
      </c>
      <c r="J3518" s="80" t="s">
        <v>84</v>
      </c>
      <c r="K3518" s="80" t="s">
        <v>84</v>
      </c>
      <c r="L3518" s="80" t="s">
        <v>84</v>
      </c>
      <c r="M3518" s="80" t="s">
        <v>84</v>
      </c>
      <c r="N3518" s="80" t="s">
        <v>84</v>
      </c>
      <c r="O3518" s="80" t="s">
        <v>84</v>
      </c>
      <c r="Q3518" s="80" t="s">
        <v>84</v>
      </c>
      <c r="R3518" s="80" t="s">
        <v>84</v>
      </c>
    </row>
    <row r="3519" spans="1:18" ht="20" x14ac:dyDescent="0.2">
      <c r="A3519" s="80" t="s">
        <v>3329</v>
      </c>
      <c r="B3519" s="80" t="s">
        <v>3330</v>
      </c>
      <c r="C3519" s="80" t="s">
        <v>9680</v>
      </c>
      <c r="D3519" s="80" t="s">
        <v>84</v>
      </c>
      <c r="E3519" s="80" t="s">
        <v>84</v>
      </c>
      <c r="G3519" s="80" t="s">
        <v>84</v>
      </c>
      <c r="H3519" s="80" t="s">
        <v>84</v>
      </c>
      <c r="I3519" s="80" t="s">
        <v>84</v>
      </c>
      <c r="J3519" s="80" t="s">
        <v>84</v>
      </c>
      <c r="K3519" s="80" t="s">
        <v>84</v>
      </c>
      <c r="L3519" s="80" t="s">
        <v>84</v>
      </c>
      <c r="M3519" s="80" t="s">
        <v>84</v>
      </c>
      <c r="N3519" s="80" t="s">
        <v>84</v>
      </c>
      <c r="O3519" s="80" t="s">
        <v>84</v>
      </c>
      <c r="Q3519" s="80" t="s">
        <v>84</v>
      </c>
      <c r="R3519" s="80" t="s">
        <v>84</v>
      </c>
    </row>
    <row r="3520" spans="1:18" ht="20" x14ac:dyDescent="0.2">
      <c r="A3520" s="80" t="s">
        <v>3331</v>
      </c>
      <c r="B3520" s="80" t="s">
        <v>3332</v>
      </c>
      <c r="C3520" s="80" t="s">
        <v>9680</v>
      </c>
      <c r="D3520" s="80" t="s">
        <v>84</v>
      </c>
      <c r="E3520" s="80" t="s">
        <v>84</v>
      </c>
      <c r="G3520" s="80" t="s">
        <v>84</v>
      </c>
      <c r="H3520" s="80" t="s">
        <v>84</v>
      </c>
      <c r="I3520" s="80" t="s">
        <v>84</v>
      </c>
      <c r="J3520" s="80" t="s">
        <v>84</v>
      </c>
      <c r="K3520" s="80" t="s">
        <v>84</v>
      </c>
      <c r="L3520" s="80" t="s">
        <v>84</v>
      </c>
      <c r="M3520" s="80" t="s">
        <v>84</v>
      </c>
      <c r="N3520" s="80" t="s">
        <v>84</v>
      </c>
      <c r="O3520" s="80" t="s">
        <v>84</v>
      </c>
      <c r="Q3520" s="80" t="s">
        <v>84</v>
      </c>
      <c r="R3520" s="80" t="s">
        <v>84</v>
      </c>
    </row>
    <row r="3521" spans="1:18" ht="20" x14ac:dyDescent="0.2">
      <c r="A3521" s="80" t="s">
        <v>2532</v>
      </c>
      <c r="B3521" s="80" t="s">
        <v>2533</v>
      </c>
      <c r="C3521" s="80" t="s">
        <v>9680</v>
      </c>
      <c r="D3521" s="80" t="s">
        <v>84</v>
      </c>
      <c r="E3521" s="80" t="s">
        <v>84</v>
      </c>
      <c r="G3521" s="80" t="s">
        <v>84</v>
      </c>
      <c r="H3521" s="80" t="s">
        <v>84</v>
      </c>
      <c r="I3521" s="80" t="s">
        <v>84</v>
      </c>
      <c r="J3521" s="80" t="s">
        <v>84</v>
      </c>
      <c r="K3521" s="80" t="s">
        <v>84</v>
      </c>
      <c r="L3521" s="80" t="s">
        <v>84</v>
      </c>
      <c r="M3521" s="80" t="s">
        <v>84</v>
      </c>
      <c r="N3521" s="80" t="s">
        <v>84</v>
      </c>
      <c r="O3521" s="80" t="s">
        <v>84</v>
      </c>
      <c r="Q3521" s="80" t="s">
        <v>84</v>
      </c>
      <c r="R3521" s="80" t="s">
        <v>84</v>
      </c>
    </row>
    <row r="3522" spans="1:18" ht="20" x14ac:dyDescent="0.2">
      <c r="A3522" s="80" t="s">
        <v>3668</v>
      </c>
      <c r="B3522" s="80" t="s">
        <v>3669</v>
      </c>
      <c r="C3522" s="80" t="s">
        <v>84</v>
      </c>
      <c r="D3522" s="80" t="s">
        <v>84</v>
      </c>
      <c r="E3522" s="80" t="s">
        <v>84</v>
      </c>
      <c r="G3522" s="80" t="s">
        <v>84</v>
      </c>
      <c r="H3522" s="80" t="s">
        <v>84</v>
      </c>
      <c r="I3522" s="80" t="s">
        <v>84</v>
      </c>
      <c r="J3522" s="80" t="s">
        <v>84</v>
      </c>
      <c r="K3522" s="80" t="s">
        <v>84</v>
      </c>
      <c r="L3522" s="80" t="s">
        <v>84</v>
      </c>
      <c r="M3522" s="80" t="s">
        <v>84</v>
      </c>
      <c r="N3522" s="80" t="s">
        <v>84</v>
      </c>
      <c r="O3522" s="80" t="s">
        <v>84</v>
      </c>
      <c r="Q3522" s="80" t="s">
        <v>84</v>
      </c>
      <c r="R3522" s="80" t="s">
        <v>84</v>
      </c>
    </row>
    <row r="3523" spans="1:18" ht="20" x14ac:dyDescent="0.2">
      <c r="A3523" s="80" t="s">
        <v>3668</v>
      </c>
      <c r="B3523" s="80" t="s">
        <v>3686</v>
      </c>
      <c r="C3523" s="80" t="s">
        <v>84</v>
      </c>
      <c r="D3523" s="80" t="s">
        <v>84</v>
      </c>
      <c r="E3523" s="80" t="s">
        <v>84</v>
      </c>
      <c r="G3523" s="80" t="s">
        <v>84</v>
      </c>
      <c r="H3523" s="80" t="s">
        <v>84</v>
      </c>
      <c r="I3523" s="80" t="s">
        <v>84</v>
      </c>
      <c r="J3523" s="80" t="s">
        <v>84</v>
      </c>
      <c r="K3523" s="80" t="s">
        <v>84</v>
      </c>
      <c r="L3523" s="80" t="s">
        <v>84</v>
      </c>
      <c r="M3523" s="80" t="s">
        <v>84</v>
      </c>
      <c r="N3523" s="80" t="s">
        <v>84</v>
      </c>
      <c r="O3523" s="80" t="s">
        <v>84</v>
      </c>
      <c r="Q3523" s="80" t="s">
        <v>84</v>
      </c>
      <c r="R3523" s="80" t="s">
        <v>84</v>
      </c>
    </row>
    <row r="3524" spans="1:18" ht="20" x14ac:dyDescent="0.2">
      <c r="A3524" s="80" t="s">
        <v>140</v>
      </c>
      <c r="B3524" s="80" t="s">
        <v>141</v>
      </c>
      <c r="C3524" s="80" t="s">
        <v>84</v>
      </c>
      <c r="D3524" s="80" t="s">
        <v>84</v>
      </c>
      <c r="E3524" s="80" t="s">
        <v>84</v>
      </c>
      <c r="G3524" s="80" t="s">
        <v>84</v>
      </c>
      <c r="H3524" s="80" t="s">
        <v>84</v>
      </c>
      <c r="I3524" s="80" t="s">
        <v>84</v>
      </c>
      <c r="J3524" s="80" t="s">
        <v>84</v>
      </c>
      <c r="K3524" s="80" t="s">
        <v>84</v>
      </c>
      <c r="L3524" s="80" t="s">
        <v>84</v>
      </c>
      <c r="M3524" s="80" t="s">
        <v>84</v>
      </c>
      <c r="N3524" s="80" t="s">
        <v>84</v>
      </c>
      <c r="O3524" s="80" t="s">
        <v>84</v>
      </c>
      <c r="Q3524" s="80" t="s">
        <v>84</v>
      </c>
      <c r="R3524" s="80" t="s">
        <v>84</v>
      </c>
    </row>
    <row r="3525" spans="1:18" ht="20" x14ac:dyDescent="0.2">
      <c r="A3525" s="80" t="s">
        <v>2656</v>
      </c>
      <c r="B3525" s="80" t="s">
        <v>2657</v>
      </c>
      <c r="C3525" s="80" t="s">
        <v>9680</v>
      </c>
      <c r="D3525" s="80" t="s">
        <v>84</v>
      </c>
      <c r="E3525" s="80" t="s">
        <v>84</v>
      </c>
      <c r="G3525" s="80" t="s">
        <v>84</v>
      </c>
      <c r="H3525" s="80" t="s">
        <v>84</v>
      </c>
      <c r="I3525" s="80" t="s">
        <v>84</v>
      </c>
      <c r="J3525" s="80" t="s">
        <v>84</v>
      </c>
      <c r="K3525" s="80" t="s">
        <v>84</v>
      </c>
      <c r="L3525" s="80" t="s">
        <v>84</v>
      </c>
      <c r="M3525" s="80" t="s">
        <v>84</v>
      </c>
      <c r="N3525" s="80" t="s">
        <v>84</v>
      </c>
      <c r="O3525" s="80" t="s">
        <v>84</v>
      </c>
      <c r="Q3525" s="80" t="s">
        <v>84</v>
      </c>
      <c r="R3525" s="80" t="s">
        <v>84</v>
      </c>
    </row>
    <row r="3526" spans="1:18" ht="20" x14ac:dyDescent="0.2">
      <c r="A3526" s="80" t="s">
        <v>178</v>
      </c>
      <c r="B3526" s="80" t="s">
        <v>179</v>
      </c>
      <c r="C3526" s="80" t="s">
        <v>84</v>
      </c>
      <c r="D3526" s="80" t="s">
        <v>84</v>
      </c>
      <c r="E3526" s="80" t="s">
        <v>84</v>
      </c>
      <c r="G3526" s="80" t="s">
        <v>84</v>
      </c>
      <c r="H3526" s="80" t="s">
        <v>84</v>
      </c>
      <c r="I3526" s="80" t="s">
        <v>84</v>
      </c>
      <c r="J3526" s="80" t="s">
        <v>84</v>
      </c>
      <c r="K3526" s="80" t="s">
        <v>84</v>
      </c>
      <c r="L3526" s="80" t="s">
        <v>84</v>
      </c>
      <c r="M3526" s="80" t="s">
        <v>84</v>
      </c>
      <c r="N3526" s="80" t="s">
        <v>84</v>
      </c>
      <c r="O3526" s="80" t="s">
        <v>84</v>
      </c>
      <c r="Q3526" s="80" t="s">
        <v>84</v>
      </c>
      <c r="R3526" s="80" t="s">
        <v>84</v>
      </c>
    </row>
    <row r="3527" spans="1:18" ht="20" x14ac:dyDescent="0.2">
      <c r="A3527" s="80" t="s">
        <v>3241</v>
      </c>
      <c r="B3527" s="80" t="s">
        <v>3242</v>
      </c>
      <c r="C3527" s="80" t="s">
        <v>84</v>
      </c>
      <c r="D3527" s="80" t="s">
        <v>84</v>
      </c>
      <c r="E3527" s="80" t="s">
        <v>84</v>
      </c>
      <c r="G3527" s="80" t="s">
        <v>84</v>
      </c>
      <c r="H3527" s="80" t="s">
        <v>84</v>
      </c>
      <c r="I3527" s="80" t="s">
        <v>84</v>
      </c>
      <c r="J3527" s="80" t="s">
        <v>84</v>
      </c>
      <c r="K3527" s="80" t="s">
        <v>84</v>
      </c>
      <c r="L3527" s="80" t="s">
        <v>84</v>
      </c>
      <c r="M3527" s="80" t="s">
        <v>84</v>
      </c>
      <c r="N3527" s="80" t="s">
        <v>84</v>
      </c>
      <c r="O3527" s="80" t="s">
        <v>84</v>
      </c>
      <c r="Q3527" s="80" t="s">
        <v>84</v>
      </c>
      <c r="R3527" s="80" t="s">
        <v>84</v>
      </c>
    </row>
    <row r="3528" spans="1:18" ht="20" x14ac:dyDescent="0.2">
      <c r="A3528" s="80" t="s">
        <v>3652</v>
      </c>
      <c r="B3528" s="80" t="s">
        <v>3653</v>
      </c>
      <c r="C3528" s="80" t="s">
        <v>84</v>
      </c>
      <c r="D3528" s="80" t="s">
        <v>84</v>
      </c>
      <c r="E3528" s="80" t="s">
        <v>84</v>
      </c>
      <c r="G3528" s="80" t="s">
        <v>84</v>
      </c>
      <c r="H3528" s="80" t="s">
        <v>84</v>
      </c>
      <c r="I3528" s="80" t="s">
        <v>84</v>
      </c>
      <c r="J3528" s="80" t="s">
        <v>84</v>
      </c>
      <c r="K3528" s="80" t="s">
        <v>84</v>
      </c>
      <c r="L3528" s="80" t="s">
        <v>84</v>
      </c>
      <c r="M3528" s="80" t="s">
        <v>84</v>
      </c>
      <c r="N3528" s="80" t="s">
        <v>84</v>
      </c>
      <c r="O3528" s="80" t="s">
        <v>84</v>
      </c>
      <c r="Q3528" s="80" t="s">
        <v>84</v>
      </c>
      <c r="R3528" s="80" t="s">
        <v>84</v>
      </c>
    </row>
    <row r="3529" spans="1:18" ht="20" x14ac:dyDescent="0.2">
      <c r="A3529" s="80" t="s">
        <v>3654</v>
      </c>
      <c r="B3529" s="80" t="s">
        <v>3655</v>
      </c>
      <c r="C3529" s="80" t="s">
        <v>84</v>
      </c>
      <c r="D3529" s="80" t="s">
        <v>84</v>
      </c>
      <c r="E3529" s="80" t="s">
        <v>84</v>
      </c>
      <c r="G3529" s="80" t="s">
        <v>84</v>
      </c>
      <c r="H3529" s="80" t="s">
        <v>84</v>
      </c>
      <c r="I3529" s="80" t="s">
        <v>84</v>
      </c>
      <c r="J3529" s="80" t="s">
        <v>84</v>
      </c>
      <c r="K3529" s="80" t="s">
        <v>84</v>
      </c>
      <c r="L3529" s="80" t="s">
        <v>84</v>
      </c>
      <c r="M3529" s="80" t="s">
        <v>84</v>
      </c>
      <c r="N3529" s="80" t="s">
        <v>84</v>
      </c>
      <c r="O3529" s="80" t="s">
        <v>84</v>
      </c>
      <c r="Q3529" s="80" t="s">
        <v>84</v>
      </c>
      <c r="R3529" s="80" t="s">
        <v>84</v>
      </c>
    </row>
    <row r="3530" spans="1:18" ht="20" x14ac:dyDescent="0.2">
      <c r="A3530" s="80" t="s">
        <v>1461</v>
      </c>
      <c r="B3530" s="80" t="s">
        <v>1462</v>
      </c>
      <c r="C3530" s="80" t="s">
        <v>9680</v>
      </c>
      <c r="D3530" s="80" t="s">
        <v>84</v>
      </c>
      <c r="E3530" s="80" t="s">
        <v>84</v>
      </c>
      <c r="G3530" s="80" t="s">
        <v>84</v>
      </c>
      <c r="H3530" s="80" t="s">
        <v>84</v>
      </c>
      <c r="I3530" s="80" t="s">
        <v>84</v>
      </c>
      <c r="J3530" s="80" t="s">
        <v>84</v>
      </c>
      <c r="K3530" s="80" t="s">
        <v>84</v>
      </c>
      <c r="L3530" s="80" t="s">
        <v>84</v>
      </c>
      <c r="M3530" s="80" t="s">
        <v>84</v>
      </c>
      <c r="N3530" s="80" t="s">
        <v>84</v>
      </c>
      <c r="O3530" s="80" t="s">
        <v>84</v>
      </c>
      <c r="Q3530" s="80" t="s">
        <v>84</v>
      </c>
      <c r="R3530" s="80" t="s">
        <v>84</v>
      </c>
    </row>
    <row r="3531" spans="1:18" ht="20" x14ac:dyDescent="0.2">
      <c r="A3531" s="80" t="s">
        <v>3299</v>
      </c>
      <c r="B3531" s="80" t="s">
        <v>3300</v>
      </c>
      <c r="C3531" s="80" t="s">
        <v>9680</v>
      </c>
      <c r="D3531" s="80" t="s">
        <v>84</v>
      </c>
      <c r="E3531" s="80" t="s">
        <v>84</v>
      </c>
      <c r="G3531" s="80" t="s">
        <v>84</v>
      </c>
      <c r="H3531" s="80" t="s">
        <v>84</v>
      </c>
      <c r="I3531" s="80" t="s">
        <v>84</v>
      </c>
      <c r="J3531" s="80" t="s">
        <v>84</v>
      </c>
      <c r="K3531" s="80" t="s">
        <v>84</v>
      </c>
      <c r="L3531" s="80" t="s">
        <v>84</v>
      </c>
      <c r="M3531" s="80" t="s">
        <v>84</v>
      </c>
      <c r="N3531" s="80" t="s">
        <v>84</v>
      </c>
      <c r="O3531" s="80" t="s">
        <v>84</v>
      </c>
      <c r="Q3531" s="80" t="s">
        <v>84</v>
      </c>
      <c r="R3531" s="80" t="s">
        <v>84</v>
      </c>
    </row>
    <row r="3532" spans="1:18" ht="20" x14ac:dyDescent="0.2">
      <c r="A3532" s="80" t="s">
        <v>1791</v>
      </c>
      <c r="B3532" s="80" t="s">
        <v>1792</v>
      </c>
      <c r="C3532" s="80" t="s">
        <v>84</v>
      </c>
      <c r="D3532" s="80" t="s">
        <v>84</v>
      </c>
      <c r="E3532" s="80" t="s">
        <v>84</v>
      </c>
      <c r="G3532" s="80" t="s">
        <v>84</v>
      </c>
      <c r="H3532" s="80" t="s">
        <v>84</v>
      </c>
      <c r="I3532" s="80" t="s">
        <v>84</v>
      </c>
      <c r="J3532" s="80" t="s">
        <v>84</v>
      </c>
      <c r="K3532" s="80" t="s">
        <v>84</v>
      </c>
      <c r="L3532" s="80" t="s">
        <v>84</v>
      </c>
      <c r="M3532" s="80" t="s">
        <v>84</v>
      </c>
      <c r="N3532" s="80" t="s">
        <v>84</v>
      </c>
      <c r="O3532" s="80" t="s">
        <v>84</v>
      </c>
      <c r="Q3532" s="80" t="s">
        <v>84</v>
      </c>
      <c r="R3532" s="80" t="s">
        <v>84</v>
      </c>
    </row>
    <row r="3533" spans="1:18" ht="20" x14ac:dyDescent="0.2">
      <c r="A3533" s="80" t="s">
        <v>5697</v>
      </c>
      <c r="B3533" s="80" t="s">
        <v>5698</v>
      </c>
      <c r="C3533" s="80" t="s">
        <v>9680</v>
      </c>
      <c r="D3533" s="80" t="s">
        <v>84</v>
      </c>
      <c r="E3533" s="80" t="s">
        <v>84</v>
      </c>
      <c r="G3533" s="80" t="s">
        <v>84</v>
      </c>
      <c r="H3533" s="80" t="s">
        <v>84</v>
      </c>
      <c r="I3533" s="80" t="s">
        <v>84</v>
      </c>
      <c r="J3533" s="80" t="s">
        <v>84</v>
      </c>
      <c r="K3533" s="80" t="s">
        <v>84</v>
      </c>
      <c r="L3533" s="80" t="s">
        <v>84</v>
      </c>
      <c r="M3533" s="80" t="s">
        <v>84</v>
      </c>
      <c r="N3533" s="80" t="s">
        <v>84</v>
      </c>
      <c r="O3533" s="80" t="s">
        <v>84</v>
      </c>
      <c r="Q3533" s="80" t="s">
        <v>84</v>
      </c>
      <c r="R3533" s="80" t="s">
        <v>84</v>
      </c>
    </row>
    <row r="3534" spans="1:18" ht="20" x14ac:dyDescent="0.2">
      <c r="A3534" s="80" t="s">
        <v>2311</v>
      </c>
      <c r="B3534" s="80" t="s">
        <v>2312</v>
      </c>
      <c r="C3534" s="80" t="s">
        <v>9680</v>
      </c>
      <c r="D3534" s="80" t="s">
        <v>84</v>
      </c>
      <c r="E3534" s="80" t="s">
        <v>84</v>
      </c>
      <c r="G3534" s="80" t="s">
        <v>84</v>
      </c>
      <c r="H3534" s="80" t="s">
        <v>84</v>
      </c>
      <c r="I3534" s="80" t="s">
        <v>84</v>
      </c>
      <c r="J3534" s="80" t="s">
        <v>84</v>
      </c>
      <c r="K3534" s="80" t="s">
        <v>84</v>
      </c>
      <c r="L3534" s="80" t="s">
        <v>84</v>
      </c>
      <c r="M3534" s="80" t="s">
        <v>84</v>
      </c>
      <c r="N3534" s="80" t="s">
        <v>84</v>
      </c>
      <c r="O3534" s="80" t="s">
        <v>84</v>
      </c>
      <c r="Q3534" s="80" t="s">
        <v>84</v>
      </c>
      <c r="R3534" s="80" t="s">
        <v>84</v>
      </c>
    </row>
    <row r="3535" spans="1:18" ht="20" x14ac:dyDescent="0.2">
      <c r="A3535" s="80" t="s">
        <v>2313</v>
      </c>
      <c r="B3535" s="80" t="s">
        <v>2314</v>
      </c>
      <c r="C3535" s="80" t="s">
        <v>9680</v>
      </c>
      <c r="D3535" s="80" t="s">
        <v>84</v>
      </c>
      <c r="E3535" s="80" t="s">
        <v>84</v>
      </c>
      <c r="G3535" s="80" t="s">
        <v>84</v>
      </c>
      <c r="H3535" s="80" t="s">
        <v>84</v>
      </c>
      <c r="I3535" s="80" t="s">
        <v>84</v>
      </c>
      <c r="J3535" s="80" t="s">
        <v>84</v>
      </c>
      <c r="K3535" s="80" t="s">
        <v>84</v>
      </c>
      <c r="L3535" s="80" t="s">
        <v>84</v>
      </c>
      <c r="M3535" s="80" t="s">
        <v>84</v>
      </c>
      <c r="N3535" s="80" t="s">
        <v>84</v>
      </c>
      <c r="O3535" s="80" t="s">
        <v>84</v>
      </c>
      <c r="Q3535" s="80" t="s">
        <v>84</v>
      </c>
      <c r="R3535" s="80" t="s">
        <v>84</v>
      </c>
    </row>
    <row r="3536" spans="1:18" ht="20" x14ac:dyDescent="0.2">
      <c r="A3536" s="80" t="s">
        <v>4034</v>
      </c>
      <c r="B3536" s="80" t="s">
        <v>4035</v>
      </c>
      <c r="C3536" s="80" t="s">
        <v>84</v>
      </c>
      <c r="D3536" s="80" t="s">
        <v>84</v>
      </c>
      <c r="E3536" s="80" t="s">
        <v>84</v>
      </c>
      <c r="G3536" s="80" t="s">
        <v>84</v>
      </c>
      <c r="H3536" s="80" t="s">
        <v>84</v>
      </c>
      <c r="I3536" s="80" t="s">
        <v>84</v>
      </c>
      <c r="J3536" s="80" t="s">
        <v>84</v>
      </c>
      <c r="K3536" s="80" t="s">
        <v>84</v>
      </c>
      <c r="L3536" s="80" t="s">
        <v>84</v>
      </c>
      <c r="M3536" s="80" t="s">
        <v>84</v>
      </c>
      <c r="N3536" s="80" t="s">
        <v>84</v>
      </c>
      <c r="O3536" s="80" t="s">
        <v>84</v>
      </c>
      <c r="Q3536" s="80" t="s">
        <v>84</v>
      </c>
      <c r="R3536" s="80" t="s">
        <v>84</v>
      </c>
    </row>
    <row r="3537" spans="1:18" ht="20" x14ac:dyDescent="0.2">
      <c r="A3537" s="80" t="s">
        <v>1802</v>
      </c>
      <c r="B3537" s="80" t="s">
        <v>1803</v>
      </c>
      <c r="C3537" s="80" t="s">
        <v>9680</v>
      </c>
      <c r="D3537" s="80" t="s">
        <v>84</v>
      </c>
      <c r="E3537" s="80" t="s">
        <v>84</v>
      </c>
      <c r="G3537" s="80" t="s">
        <v>84</v>
      </c>
      <c r="H3537" s="80" t="s">
        <v>84</v>
      </c>
      <c r="I3537" s="80" t="s">
        <v>84</v>
      </c>
      <c r="J3537" s="80" t="s">
        <v>84</v>
      </c>
      <c r="K3537" s="80" t="s">
        <v>84</v>
      </c>
      <c r="L3537" s="80" t="s">
        <v>84</v>
      </c>
      <c r="M3537" s="80" t="s">
        <v>84</v>
      </c>
      <c r="N3537" s="80" t="s">
        <v>84</v>
      </c>
      <c r="O3537" s="80" t="s">
        <v>84</v>
      </c>
      <c r="Q3537" s="80" t="s">
        <v>84</v>
      </c>
      <c r="R3537" s="80" t="s">
        <v>84</v>
      </c>
    </row>
    <row r="3538" spans="1:18" ht="20" x14ac:dyDescent="0.2">
      <c r="A3538" s="80" t="s">
        <v>1800</v>
      </c>
      <c r="B3538" s="80" t="s">
        <v>1801</v>
      </c>
      <c r="C3538" s="80" t="s">
        <v>9680</v>
      </c>
      <c r="D3538" s="80" t="s">
        <v>84</v>
      </c>
      <c r="E3538" s="80" t="s">
        <v>84</v>
      </c>
      <c r="G3538" s="80" t="s">
        <v>84</v>
      </c>
      <c r="H3538" s="80" t="s">
        <v>84</v>
      </c>
      <c r="I3538" s="80" t="s">
        <v>84</v>
      </c>
      <c r="J3538" s="80" t="s">
        <v>84</v>
      </c>
      <c r="K3538" s="80" t="s">
        <v>84</v>
      </c>
      <c r="L3538" s="80" t="s">
        <v>84</v>
      </c>
      <c r="M3538" s="80" t="s">
        <v>84</v>
      </c>
      <c r="N3538" s="80" t="s">
        <v>84</v>
      </c>
      <c r="O3538" s="80" t="s">
        <v>84</v>
      </c>
      <c r="Q3538" s="80" t="s">
        <v>84</v>
      </c>
      <c r="R3538" s="80" t="s">
        <v>84</v>
      </c>
    </row>
    <row r="3539" spans="1:18" ht="20" x14ac:dyDescent="0.2">
      <c r="A3539" s="80" t="s">
        <v>1418</v>
      </c>
      <c r="B3539" s="80" t="s">
        <v>1419</v>
      </c>
      <c r="C3539" s="80" t="s">
        <v>9680</v>
      </c>
      <c r="D3539" s="80" t="s">
        <v>84</v>
      </c>
      <c r="E3539" s="80" t="s">
        <v>84</v>
      </c>
      <c r="G3539" s="80" t="s">
        <v>84</v>
      </c>
      <c r="H3539" s="80" t="s">
        <v>84</v>
      </c>
      <c r="I3539" s="80" t="s">
        <v>84</v>
      </c>
      <c r="J3539" s="80" t="s">
        <v>84</v>
      </c>
      <c r="K3539" s="80" t="s">
        <v>84</v>
      </c>
      <c r="L3539" s="80" t="s">
        <v>84</v>
      </c>
      <c r="M3539" s="80" t="s">
        <v>84</v>
      </c>
      <c r="N3539" s="80" t="s">
        <v>84</v>
      </c>
      <c r="O3539" s="80" t="s">
        <v>84</v>
      </c>
      <c r="Q3539" s="80" t="s">
        <v>84</v>
      </c>
      <c r="R3539" s="80" t="s">
        <v>84</v>
      </c>
    </row>
    <row r="3540" spans="1:18" ht="20" x14ac:dyDescent="0.2">
      <c r="A3540" s="80" t="s">
        <v>966</v>
      </c>
      <c r="B3540" s="80" t="s">
        <v>967</v>
      </c>
      <c r="C3540" s="80" t="s">
        <v>84</v>
      </c>
      <c r="D3540" s="80" t="s">
        <v>84</v>
      </c>
      <c r="E3540" s="80" t="s">
        <v>84</v>
      </c>
      <c r="G3540" s="80" t="s">
        <v>84</v>
      </c>
      <c r="H3540" s="80" t="s">
        <v>84</v>
      </c>
      <c r="I3540" s="80" t="s">
        <v>84</v>
      </c>
      <c r="J3540" s="80" t="s">
        <v>84</v>
      </c>
      <c r="K3540" s="80" t="s">
        <v>84</v>
      </c>
      <c r="L3540" s="80" t="s">
        <v>84</v>
      </c>
      <c r="M3540" s="80" t="s">
        <v>84</v>
      </c>
      <c r="N3540" s="80" t="s">
        <v>84</v>
      </c>
      <c r="O3540" s="80" t="s">
        <v>84</v>
      </c>
      <c r="Q3540" s="80" t="s">
        <v>84</v>
      </c>
      <c r="R3540" s="80" t="s">
        <v>84</v>
      </c>
    </row>
    <row r="3541" spans="1:18" ht="20" x14ac:dyDescent="0.2">
      <c r="A3541" s="80" t="s">
        <v>4437</v>
      </c>
      <c r="B3541" s="80" t="s">
        <v>4438</v>
      </c>
      <c r="C3541" s="80" t="s">
        <v>9680</v>
      </c>
      <c r="D3541" s="80" t="s">
        <v>84</v>
      </c>
      <c r="E3541" s="80" t="s">
        <v>84</v>
      </c>
      <c r="G3541" s="80" t="s">
        <v>84</v>
      </c>
      <c r="H3541" s="80" t="s">
        <v>84</v>
      </c>
      <c r="I3541" s="80" t="s">
        <v>84</v>
      </c>
      <c r="J3541" s="80" t="s">
        <v>84</v>
      </c>
      <c r="K3541" s="80" t="s">
        <v>84</v>
      </c>
      <c r="L3541" s="80" t="s">
        <v>84</v>
      </c>
      <c r="M3541" s="80" t="s">
        <v>84</v>
      </c>
      <c r="N3541" s="80" t="s">
        <v>84</v>
      </c>
      <c r="O3541" s="80" t="s">
        <v>84</v>
      </c>
      <c r="Q3541" s="80" t="s">
        <v>84</v>
      </c>
      <c r="R3541" s="80" t="s">
        <v>84</v>
      </c>
    </row>
    <row r="3542" spans="1:18" ht="20" x14ac:dyDescent="0.2">
      <c r="A3542" s="80" t="s">
        <v>3656</v>
      </c>
      <c r="B3542" s="80" t="s">
        <v>3657</v>
      </c>
      <c r="C3542" s="80" t="s">
        <v>84</v>
      </c>
      <c r="D3542" s="80" t="s">
        <v>84</v>
      </c>
      <c r="E3542" s="80" t="s">
        <v>84</v>
      </c>
      <c r="G3542" s="80" t="s">
        <v>84</v>
      </c>
      <c r="H3542" s="80" t="s">
        <v>84</v>
      </c>
      <c r="I3542" s="80" t="s">
        <v>84</v>
      </c>
      <c r="J3542" s="80" t="s">
        <v>84</v>
      </c>
      <c r="K3542" s="80" t="s">
        <v>84</v>
      </c>
      <c r="L3542" s="80" t="s">
        <v>84</v>
      </c>
      <c r="M3542" s="80" t="s">
        <v>84</v>
      </c>
      <c r="N3542" s="80" t="s">
        <v>84</v>
      </c>
      <c r="O3542" s="80" t="s">
        <v>84</v>
      </c>
      <c r="Q3542" s="80" t="s">
        <v>84</v>
      </c>
      <c r="R3542" s="80" t="s">
        <v>84</v>
      </c>
    </row>
    <row r="3543" spans="1:18" ht="20" x14ac:dyDescent="0.2">
      <c r="A3543" s="80" t="s">
        <v>648</v>
      </c>
      <c r="B3543" s="80" t="s">
        <v>649</v>
      </c>
      <c r="C3543" s="80" t="s">
        <v>9680</v>
      </c>
      <c r="D3543" s="80" t="s">
        <v>84</v>
      </c>
      <c r="E3543" s="80" t="s">
        <v>84</v>
      </c>
      <c r="G3543" s="80" t="s">
        <v>84</v>
      </c>
      <c r="H3543" s="80" t="s">
        <v>84</v>
      </c>
      <c r="I3543" s="80" t="s">
        <v>84</v>
      </c>
      <c r="J3543" s="80" t="s">
        <v>84</v>
      </c>
      <c r="K3543" s="80" t="s">
        <v>84</v>
      </c>
      <c r="L3543" s="80" t="s">
        <v>84</v>
      </c>
      <c r="M3543" s="80" t="s">
        <v>84</v>
      </c>
      <c r="N3543" s="80" t="s">
        <v>84</v>
      </c>
      <c r="O3543" s="80" t="s">
        <v>84</v>
      </c>
      <c r="Q3543" s="80" t="s">
        <v>84</v>
      </c>
      <c r="R3543" s="80" t="s">
        <v>84</v>
      </c>
    </row>
    <row r="3544" spans="1:18" ht="20" x14ac:dyDescent="0.2">
      <c r="A3544" s="80" t="s">
        <v>2505</v>
      </c>
      <c r="B3544" s="80" t="s">
        <v>2506</v>
      </c>
      <c r="C3544" s="80" t="s">
        <v>9680</v>
      </c>
      <c r="D3544" s="80" t="s">
        <v>84</v>
      </c>
      <c r="E3544" s="80" t="s">
        <v>84</v>
      </c>
      <c r="G3544" s="80" t="s">
        <v>84</v>
      </c>
      <c r="H3544" s="80" t="s">
        <v>84</v>
      </c>
      <c r="I3544" s="80" t="s">
        <v>84</v>
      </c>
      <c r="J3544" s="80" t="s">
        <v>84</v>
      </c>
      <c r="K3544" s="80" t="s">
        <v>84</v>
      </c>
      <c r="L3544" s="80" t="s">
        <v>84</v>
      </c>
      <c r="M3544" s="80" t="s">
        <v>84</v>
      </c>
      <c r="N3544" s="80" t="s">
        <v>84</v>
      </c>
      <c r="O3544" s="80" t="s">
        <v>84</v>
      </c>
      <c r="Q3544" s="80" t="s">
        <v>84</v>
      </c>
      <c r="R3544" s="80" t="s">
        <v>84</v>
      </c>
    </row>
    <row r="3545" spans="1:18" ht="20" x14ac:dyDescent="0.2">
      <c r="A3545" s="80" t="s">
        <v>2058</v>
      </c>
      <c r="B3545" s="80" t="s">
        <v>2059</v>
      </c>
      <c r="C3545" s="80" t="s">
        <v>9680</v>
      </c>
      <c r="D3545" s="80" t="s">
        <v>84</v>
      </c>
      <c r="E3545" s="80" t="s">
        <v>84</v>
      </c>
      <c r="G3545" s="80" t="s">
        <v>84</v>
      </c>
      <c r="H3545" s="80" t="s">
        <v>84</v>
      </c>
      <c r="I3545" s="80" t="s">
        <v>84</v>
      </c>
      <c r="J3545" s="80" t="s">
        <v>84</v>
      </c>
      <c r="K3545" s="80" t="s">
        <v>84</v>
      </c>
      <c r="L3545" s="80" t="s">
        <v>84</v>
      </c>
      <c r="M3545" s="80" t="s">
        <v>84</v>
      </c>
      <c r="N3545" s="80" t="s">
        <v>84</v>
      </c>
      <c r="O3545" s="80" t="s">
        <v>84</v>
      </c>
      <c r="Q3545" s="80" t="s">
        <v>84</v>
      </c>
      <c r="R3545" s="80" t="s">
        <v>84</v>
      </c>
    </row>
    <row r="3546" spans="1:18" ht="20" x14ac:dyDescent="0.2">
      <c r="A3546" s="80" t="s">
        <v>3658</v>
      </c>
      <c r="B3546" s="80" t="s">
        <v>3659</v>
      </c>
      <c r="C3546" s="80" t="s">
        <v>84</v>
      </c>
      <c r="D3546" s="80" t="s">
        <v>84</v>
      </c>
      <c r="E3546" s="80" t="s">
        <v>84</v>
      </c>
      <c r="G3546" s="80" t="s">
        <v>84</v>
      </c>
      <c r="H3546" s="80" t="s">
        <v>84</v>
      </c>
      <c r="I3546" s="80" t="s">
        <v>84</v>
      </c>
      <c r="J3546" s="80" t="s">
        <v>84</v>
      </c>
      <c r="K3546" s="80" t="s">
        <v>84</v>
      </c>
      <c r="L3546" s="80" t="s">
        <v>84</v>
      </c>
      <c r="M3546" s="80" t="s">
        <v>84</v>
      </c>
      <c r="N3546" s="80" t="s">
        <v>84</v>
      </c>
      <c r="O3546" s="80" t="s">
        <v>84</v>
      </c>
      <c r="Q3546" s="80" t="s">
        <v>84</v>
      </c>
      <c r="R3546" s="80" t="s">
        <v>84</v>
      </c>
    </row>
    <row r="3547" spans="1:18" ht="20" x14ac:dyDescent="0.2">
      <c r="A3547" s="80" t="s">
        <v>142</v>
      </c>
      <c r="B3547" s="80" t="s">
        <v>143</v>
      </c>
      <c r="C3547" s="80" t="s">
        <v>84</v>
      </c>
      <c r="D3547" s="80" t="s">
        <v>84</v>
      </c>
      <c r="E3547" s="80" t="s">
        <v>84</v>
      </c>
      <c r="G3547" s="80" t="s">
        <v>84</v>
      </c>
      <c r="H3547" s="80" t="s">
        <v>84</v>
      </c>
      <c r="I3547" s="80" t="s">
        <v>84</v>
      </c>
      <c r="J3547" s="80" t="s">
        <v>84</v>
      </c>
      <c r="K3547" s="80" t="s">
        <v>84</v>
      </c>
      <c r="L3547" s="80" t="s">
        <v>84</v>
      </c>
      <c r="M3547" s="80" t="s">
        <v>84</v>
      </c>
      <c r="N3547" s="80" t="s">
        <v>84</v>
      </c>
      <c r="O3547" s="80" t="s">
        <v>84</v>
      </c>
      <c r="Q3547" s="80" t="s">
        <v>84</v>
      </c>
      <c r="R3547" s="80" t="s">
        <v>84</v>
      </c>
    </row>
    <row r="3548" spans="1:18" ht="20" x14ac:dyDescent="0.2">
      <c r="A3548" s="80" t="s">
        <v>5336</v>
      </c>
      <c r="B3548" s="80" t="s">
        <v>5337</v>
      </c>
      <c r="C3548" s="80" t="s">
        <v>9680</v>
      </c>
      <c r="D3548" s="80" t="s">
        <v>84</v>
      </c>
      <c r="E3548" s="80" t="s">
        <v>84</v>
      </c>
      <c r="G3548" s="80" t="s">
        <v>84</v>
      </c>
      <c r="H3548" s="80" t="s">
        <v>84</v>
      </c>
      <c r="I3548" s="80" t="s">
        <v>84</v>
      </c>
      <c r="J3548" s="80" t="s">
        <v>84</v>
      </c>
      <c r="K3548" s="80" t="s">
        <v>84</v>
      </c>
      <c r="L3548" s="80" t="s">
        <v>84</v>
      </c>
      <c r="M3548" s="80" t="s">
        <v>84</v>
      </c>
      <c r="N3548" s="80" t="s">
        <v>84</v>
      </c>
      <c r="O3548" s="80" t="s">
        <v>84</v>
      </c>
      <c r="Q3548" s="80" t="s">
        <v>84</v>
      </c>
      <c r="R3548" s="80" t="s">
        <v>84</v>
      </c>
    </row>
    <row r="3549" spans="1:18" ht="20" x14ac:dyDescent="0.2">
      <c r="A3549" s="80" t="s">
        <v>759</v>
      </c>
      <c r="B3549" s="80" t="s">
        <v>760</v>
      </c>
      <c r="C3549" s="80" t="s">
        <v>9722</v>
      </c>
      <c r="D3549" s="80" t="s">
        <v>84</v>
      </c>
      <c r="E3549" s="80" t="s">
        <v>84</v>
      </c>
      <c r="G3549" s="80" t="s">
        <v>84</v>
      </c>
      <c r="H3549" s="80" t="s">
        <v>84</v>
      </c>
      <c r="I3549" s="80" t="s">
        <v>84</v>
      </c>
      <c r="J3549" s="80" t="s">
        <v>84</v>
      </c>
      <c r="K3549" s="80" t="s">
        <v>84</v>
      </c>
      <c r="L3549" s="80" t="s">
        <v>84</v>
      </c>
      <c r="M3549" s="80" t="s">
        <v>84</v>
      </c>
      <c r="N3549" s="80" t="s">
        <v>84</v>
      </c>
      <c r="O3549" s="80" t="s">
        <v>84</v>
      </c>
      <c r="Q3549" s="80" t="s">
        <v>84</v>
      </c>
      <c r="R3549" s="80" t="s">
        <v>84</v>
      </c>
    </row>
    <row r="3550" spans="1:18" ht="20" x14ac:dyDescent="0.2">
      <c r="A3550" s="80" t="s">
        <v>1052</v>
      </c>
      <c r="B3550" s="80" t="s">
        <v>1053</v>
      </c>
      <c r="C3550" s="80" t="s">
        <v>9680</v>
      </c>
      <c r="D3550" s="80" t="s">
        <v>84</v>
      </c>
      <c r="E3550" s="80" t="s">
        <v>84</v>
      </c>
      <c r="G3550" s="80" t="s">
        <v>84</v>
      </c>
      <c r="H3550" s="80" t="s">
        <v>84</v>
      </c>
      <c r="I3550" s="80" t="s">
        <v>84</v>
      </c>
      <c r="J3550" s="80" t="s">
        <v>84</v>
      </c>
      <c r="K3550" s="80" t="s">
        <v>84</v>
      </c>
      <c r="L3550" s="80" t="s">
        <v>84</v>
      </c>
      <c r="M3550" s="80" t="s">
        <v>84</v>
      </c>
      <c r="N3550" s="80" t="s">
        <v>84</v>
      </c>
      <c r="O3550" s="80" t="s">
        <v>84</v>
      </c>
      <c r="Q3550" s="80" t="s">
        <v>84</v>
      </c>
      <c r="R3550" s="80" t="s">
        <v>84</v>
      </c>
    </row>
    <row r="3551" spans="1:18" ht="20" x14ac:dyDescent="0.2">
      <c r="A3551" s="80" t="s">
        <v>1054</v>
      </c>
      <c r="B3551" s="80" t="s">
        <v>1055</v>
      </c>
      <c r="C3551" s="80" t="s">
        <v>9680</v>
      </c>
      <c r="D3551" s="80" t="s">
        <v>84</v>
      </c>
      <c r="E3551" s="80" t="s">
        <v>84</v>
      </c>
      <c r="G3551" s="80" t="s">
        <v>84</v>
      </c>
      <c r="H3551" s="80" t="s">
        <v>84</v>
      </c>
      <c r="I3551" s="80" t="s">
        <v>84</v>
      </c>
      <c r="J3551" s="80" t="s">
        <v>84</v>
      </c>
      <c r="K3551" s="80" t="s">
        <v>84</v>
      </c>
      <c r="L3551" s="80" t="s">
        <v>84</v>
      </c>
      <c r="M3551" s="80" t="s">
        <v>84</v>
      </c>
      <c r="N3551" s="80" t="s">
        <v>84</v>
      </c>
      <c r="O3551" s="80" t="s">
        <v>84</v>
      </c>
      <c r="Q3551" s="80" t="s">
        <v>84</v>
      </c>
      <c r="R3551" s="80" t="s">
        <v>84</v>
      </c>
    </row>
    <row r="3552" spans="1:18" ht="20" x14ac:dyDescent="0.2">
      <c r="A3552" s="80" t="s">
        <v>1047</v>
      </c>
      <c r="B3552" s="80" t="s">
        <v>1048</v>
      </c>
      <c r="C3552" s="80" t="s">
        <v>9680</v>
      </c>
      <c r="D3552" s="80" t="s">
        <v>84</v>
      </c>
      <c r="E3552" s="80" t="s">
        <v>84</v>
      </c>
      <c r="G3552" s="80" t="s">
        <v>84</v>
      </c>
      <c r="H3552" s="80" t="s">
        <v>84</v>
      </c>
      <c r="I3552" s="80" t="s">
        <v>84</v>
      </c>
      <c r="J3552" s="80" t="s">
        <v>84</v>
      </c>
      <c r="K3552" s="80" t="s">
        <v>84</v>
      </c>
      <c r="L3552" s="80" t="s">
        <v>84</v>
      </c>
      <c r="M3552" s="80" t="s">
        <v>84</v>
      </c>
      <c r="N3552" s="80" t="s">
        <v>84</v>
      </c>
      <c r="O3552" s="80" t="s">
        <v>84</v>
      </c>
      <c r="Q3552" s="80" t="s">
        <v>84</v>
      </c>
      <c r="R3552" s="80" t="s">
        <v>84</v>
      </c>
    </row>
    <row r="3553" spans="1:18" ht="20" x14ac:dyDescent="0.2">
      <c r="A3553" s="80" t="s">
        <v>2299</v>
      </c>
      <c r="B3553" s="80" t="s">
        <v>2300</v>
      </c>
      <c r="C3553" s="80" t="s">
        <v>9680</v>
      </c>
      <c r="D3553" s="80" t="s">
        <v>84</v>
      </c>
      <c r="E3553" s="80" t="s">
        <v>84</v>
      </c>
      <c r="G3553" s="80" t="s">
        <v>84</v>
      </c>
      <c r="H3553" s="80" t="s">
        <v>84</v>
      </c>
      <c r="I3553" s="80" t="s">
        <v>84</v>
      </c>
      <c r="J3553" s="80" t="s">
        <v>84</v>
      </c>
      <c r="K3553" s="80" t="s">
        <v>84</v>
      </c>
      <c r="L3553" s="80" t="s">
        <v>84</v>
      </c>
      <c r="M3553" s="80" t="s">
        <v>84</v>
      </c>
      <c r="N3553" s="80" t="s">
        <v>84</v>
      </c>
      <c r="O3553" s="80" t="s">
        <v>84</v>
      </c>
      <c r="Q3553" s="80" t="s">
        <v>84</v>
      </c>
      <c r="R3553" s="80" t="s">
        <v>84</v>
      </c>
    </row>
    <row r="3554" spans="1:18" ht="20" x14ac:dyDescent="0.2">
      <c r="A3554" s="80" t="s">
        <v>2301</v>
      </c>
      <c r="B3554" s="80" t="s">
        <v>2302</v>
      </c>
      <c r="C3554" s="80" t="s">
        <v>9680</v>
      </c>
      <c r="D3554" s="80" t="s">
        <v>84</v>
      </c>
      <c r="E3554" s="80" t="s">
        <v>84</v>
      </c>
      <c r="G3554" s="80" t="s">
        <v>84</v>
      </c>
      <c r="H3554" s="80" t="s">
        <v>84</v>
      </c>
      <c r="I3554" s="80" t="s">
        <v>84</v>
      </c>
      <c r="J3554" s="80" t="s">
        <v>84</v>
      </c>
      <c r="K3554" s="80" t="s">
        <v>84</v>
      </c>
      <c r="L3554" s="80" t="s">
        <v>84</v>
      </c>
      <c r="M3554" s="80" t="s">
        <v>84</v>
      </c>
      <c r="N3554" s="80" t="s">
        <v>84</v>
      </c>
      <c r="O3554" s="80" t="s">
        <v>84</v>
      </c>
      <c r="Q3554" s="80" t="s">
        <v>84</v>
      </c>
      <c r="R3554" s="80" t="s">
        <v>84</v>
      </c>
    </row>
    <row r="3555" spans="1:18" ht="20" x14ac:dyDescent="0.2">
      <c r="A3555" s="80" t="s">
        <v>4938</v>
      </c>
      <c r="B3555" s="80" t="s">
        <v>4939</v>
      </c>
      <c r="C3555" s="80" t="s">
        <v>84</v>
      </c>
      <c r="D3555" s="80" t="s">
        <v>84</v>
      </c>
      <c r="E3555" s="80" t="s">
        <v>84</v>
      </c>
      <c r="G3555" s="80" t="s">
        <v>84</v>
      </c>
      <c r="H3555" s="80" t="s">
        <v>84</v>
      </c>
      <c r="I3555" s="80" t="s">
        <v>84</v>
      </c>
      <c r="J3555" s="80" t="s">
        <v>84</v>
      </c>
      <c r="K3555" s="80" t="s">
        <v>84</v>
      </c>
      <c r="L3555" s="80" t="s">
        <v>84</v>
      </c>
      <c r="M3555" s="80" t="s">
        <v>84</v>
      </c>
      <c r="N3555" s="80" t="s">
        <v>84</v>
      </c>
      <c r="O3555" s="80" t="s">
        <v>84</v>
      </c>
      <c r="Q3555" s="80" t="s">
        <v>84</v>
      </c>
      <c r="R3555" s="80" t="s">
        <v>84</v>
      </c>
    </row>
    <row r="3556" spans="1:18" x14ac:dyDescent="0.2">
      <c r="A3556" s="80" t="s">
        <v>3845</v>
      </c>
      <c r="B3556" s="80" t="s">
        <v>3846</v>
      </c>
      <c r="C3556" s="80" t="s">
        <v>84</v>
      </c>
      <c r="D3556" s="80" t="s">
        <v>84</v>
      </c>
      <c r="E3556" s="80" t="s">
        <v>84</v>
      </c>
      <c r="G3556" s="80" t="s">
        <v>84</v>
      </c>
      <c r="H3556" s="80" t="s">
        <v>84</v>
      </c>
      <c r="I3556" s="80" t="s">
        <v>84</v>
      </c>
      <c r="J3556" s="80" t="s">
        <v>84</v>
      </c>
      <c r="K3556" s="80" t="s">
        <v>84</v>
      </c>
      <c r="L3556" s="80" t="s">
        <v>84</v>
      </c>
      <c r="M3556" s="80" t="s">
        <v>84</v>
      </c>
      <c r="N3556" s="80" t="s">
        <v>84</v>
      </c>
      <c r="O3556" s="80" t="s">
        <v>84</v>
      </c>
      <c r="Q3556" s="80" t="s">
        <v>84</v>
      </c>
      <c r="R3556" s="80" t="s">
        <v>84</v>
      </c>
    </row>
    <row r="3557" spans="1:18" ht="20" x14ac:dyDescent="0.2">
      <c r="A3557" s="80" t="s">
        <v>3273</v>
      </c>
      <c r="B3557" s="80" t="s">
        <v>3274</v>
      </c>
      <c r="C3557" s="80" t="s">
        <v>9680</v>
      </c>
      <c r="D3557" s="80" t="s">
        <v>84</v>
      </c>
      <c r="E3557" s="80" t="s">
        <v>84</v>
      </c>
      <c r="G3557" s="80" t="s">
        <v>84</v>
      </c>
      <c r="H3557" s="80" t="s">
        <v>84</v>
      </c>
      <c r="I3557" s="80" t="s">
        <v>84</v>
      </c>
      <c r="J3557" s="80" t="s">
        <v>84</v>
      </c>
      <c r="K3557" s="80" t="s">
        <v>84</v>
      </c>
      <c r="L3557" s="80" t="s">
        <v>84</v>
      </c>
      <c r="M3557" s="80" t="s">
        <v>84</v>
      </c>
      <c r="N3557" s="80" t="s">
        <v>84</v>
      </c>
      <c r="O3557" s="80" t="s">
        <v>84</v>
      </c>
      <c r="Q3557" s="80" t="s">
        <v>84</v>
      </c>
      <c r="R3557" s="80" t="s">
        <v>84</v>
      </c>
    </row>
    <row r="3558" spans="1:18" ht="20" x14ac:dyDescent="0.2">
      <c r="A3558" s="80" t="s">
        <v>3275</v>
      </c>
      <c r="B3558" s="80" t="s">
        <v>3276</v>
      </c>
      <c r="C3558" s="80" t="s">
        <v>9680</v>
      </c>
      <c r="D3558" s="80" t="s">
        <v>84</v>
      </c>
      <c r="E3558" s="80" t="s">
        <v>84</v>
      </c>
      <c r="G3558" s="80" t="s">
        <v>84</v>
      </c>
      <c r="H3558" s="80" t="s">
        <v>84</v>
      </c>
      <c r="I3558" s="80" t="s">
        <v>84</v>
      </c>
      <c r="J3558" s="80" t="s">
        <v>84</v>
      </c>
      <c r="K3558" s="80" t="s">
        <v>84</v>
      </c>
      <c r="L3558" s="80" t="s">
        <v>84</v>
      </c>
      <c r="M3558" s="80" t="s">
        <v>84</v>
      </c>
      <c r="N3558" s="80" t="s">
        <v>84</v>
      </c>
      <c r="O3558" s="80" t="s">
        <v>84</v>
      </c>
      <c r="Q3558" s="80" t="s">
        <v>84</v>
      </c>
      <c r="R3558" s="80" t="s">
        <v>84</v>
      </c>
    </row>
    <row r="3559" spans="1:18" ht="20" x14ac:dyDescent="0.2">
      <c r="A3559" s="80" t="s">
        <v>1757</v>
      </c>
      <c r="B3559" s="80" t="s">
        <v>1758</v>
      </c>
      <c r="C3559" s="80" t="s">
        <v>9680</v>
      </c>
      <c r="D3559" s="80" t="s">
        <v>84</v>
      </c>
      <c r="E3559" s="80" t="s">
        <v>84</v>
      </c>
      <c r="G3559" s="80" t="s">
        <v>84</v>
      </c>
      <c r="H3559" s="80" t="s">
        <v>84</v>
      </c>
      <c r="I3559" s="80" t="s">
        <v>84</v>
      </c>
      <c r="J3559" s="80" t="s">
        <v>84</v>
      </c>
      <c r="K3559" s="80" t="s">
        <v>84</v>
      </c>
      <c r="L3559" s="80" t="s">
        <v>84</v>
      </c>
      <c r="M3559" s="80" t="s">
        <v>84</v>
      </c>
      <c r="N3559" s="80" t="s">
        <v>84</v>
      </c>
      <c r="O3559" s="80" t="s">
        <v>84</v>
      </c>
      <c r="Q3559" s="80" t="s">
        <v>84</v>
      </c>
      <c r="R3559" s="80" t="s">
        <v>84</v>
      </c>
    </row>
    <row r="3560" spans="1:18" ht="20" x14ac:dyDescent="0.2">
      <c r="A3560" s="80" t="s">
        <v>4865</v>
      </c>
      <c r="B3560" s="80" t="s">
        <v>4866</v>
      </c>
      <c r="C3560" s="80" t="s">
        <v>84</v>
      </c>
      <c r="D3560" s="80" t="s">
        <v>84</v>
      </c>
      <c r="E3560" s="80" t="s">
        <v>84</v>
      </c>
      <c r="G3560" s="80" t="s">
        <v>84</v>
      </c>
      <c r="H3560" s="80" t="s">
        <v>84</v>
      </c>
      <c r="I3560" s="80" t="s">
        <v>84</v>
      </c>
      <c r="J3560" s="80" t="s">
        <v>84</v>
      </c>
      <c r="K3560" s="80" t="s">
        <v>84</v>
      </c>
      <c r="L3560" s="80" t="s">
        <v>84</v>
      </c>
      <c r="M3560" s="80" t="s">
        <v>84</v>
      </c>
      <c r="N3560" s="80" t="s">
        <v>84</v>
      </c>
      <c r="O3560" s="80" t="s">
        <v>84</v>
      </c>
      <c r="Q3560" s="80" t="s">
        <v>84</v>
      </c>
      <c r="R3560" s="80" t="s">
        <v>84</v>
      </c>
    </row>
    <row r="3561" spans="1:18" ht="20" x14ac:dyDescent="0.2">
      <c r="A3561" s="80" t="s">
        <v>4868</v>
      </c>
      <c r="B3561" s="80" t="s">
        <v>4869</v>
      </c>
      <c r="C3561" s="80" t="s">
        <v>84</v>
      </c>
      <c r="D3561" s="80" t="s">
        <v>84</v>
      </c>
      <c r="E3561" s="80" t="s">
        <v>84</v>
      </c>
      <c r="G3561" s="80" t="s">
        <v>84</v>
      </c>
      <c r="H3561" s="80" t="s">
        <v>84</v>
      </c>
      <c r="I3561" s="80" t="s">
        <v>84</v>
      </c>
      <c r="J3561" s="80" t="s">
        <v>84</v>
      </c>
      <c r="K3561" s="80" t="s">
        <v>84</v>
      </c>
      <c r="L3561" s="80" t="s">
        <v>84</v>
      </c>
      <c r="M3561" s="80" t="s">
        <v>84</v>
      </c>
      <c r="N3561" s="80" t="s">
        <v>84</v>
      </c>
      <c r="O3561" s="80" t="s">
        <v>84</v>
      </c>
      <c r="Q3561" s="80" t="s">
        <v>84</v>
      </c>
      <c r="R3561" s="80" t="s">
        <v>84</v>
      </c>
    </row>
    <row r="3562" spans="1:18" ht="20" x14ac:dyDescent="0.2">
      <c r="A3562" s="80" t="s">
        <v>209</v>
      </c>
      <c r="B3562" s="80" t="s">
        <v>210</v>
      </c>
      <c r="C3562" s="80" t="s">
        <v>84</v>
      </c>
      <c r="D3562" s="80" t="s">
        <v>84</v>
      </c>
      <c r="E3562" s="80" t="s">
        <v>84</v>
      </c>
      <c r="G3562" s="80" t="s">
        <v>84</v>
      </c>
      <c r="H3562" s="80" t="s">
        <v>84</v>
      </c>
      <c r="I3562" s="80" t="s">
        <v>84</v>
      </c>
      <c r="J3562" s="80" t="s">
        <v>84</v>
      </c>
      <c r="K3562" s="80" t="s">
        <v>84</v>
      </c>
      <c r="L3562" s="80" t="s">
        <v>84</v>
      </c>
      <c r="M3562" s="80" t="s">
        <v>84</v>
      </c>
      <c r="N3562" s="80" t="s">
        <v>84</v>
      </c>
      <c r="O3562" s="80" t="s">
        <v>84</v>
      </c>
      <c r="Q3562" s="80" t="s">
        <v>84</v>
      </c>
      <c r="R3562" s="80" t="s">
        <v>84</v>
      </c>
    </row>
    <row r="3563" spans="1:18" ht="20" x14ac:dyDescent="0.2">
      <c r="A3563" s="80" t="s">
        <v>144</v>
      </c>
      <c r="B3563" s="80" t="s">
        <v>145</v>
      </c>
      <c r="C3563" s="80" t="s">
        <v>84</v>
      </c>
      <c r="D3563" s="80" t="s">
        <v>84</v>
      </c>
      <c r="E3563" s="80" t="s">
        <v>84</v>
      </c>
      <c r="G3563" s="80" t="s">
        <v>84</v>
      </c>
      <c r="H3563" s="80" t="s">
        <v>84</v>
      </c>
      <c r="I3563" s="80" t="s">
        <v>84</v>
      </c>
      <c r="J3563" s="80" t="s">
        <v>84</v>
      </c>
      <c r="K3563" s="80" t="s">
        <v>84</v>
      </c>
      <c r="L3563" s="80" t="s">
        <v>84</v>
      </c>
      <c r="M3563" s="80" t="s">
        <v>84</v>
      </c>
      <c r="N3563" s="80" t="s">
        <v>84</v>
      </c>
      <c r="O3563" s="80" t="s">
        <v>84</v>
      </c>
      <c r="Q3563" s="80" t="s">
        <v>84</v>
      </c>
      <c r="R3563" s="80" t="s">
        <v>84</v>
      </c>
    </row>
    <row r="3564" spans="1:18" ht="20" x14ac:dyDescent="0.2">
      <c r="A3564" s="80" t="s">
        <v>146</v>
      </c>
      <c r="B3564" s="80" t="s">
        <v>147</v>
      </c>
      <c r="C3564" s="80" t="s">
        <v>84</v>
      </c>
      <c r="D3564" s="80" t="s">
        <v>84</v>
      </c>
      <c r="E3564" s="80" t="s">
        <v>84</v>
      </c>
      <c r="G3564" s="80" t="s">
        <v>84</v>
      </c>
      <c r="H3564" s="80" t="s">
        <v>84</v>
      </c>
      <c r="I3564" s="80" t="s">
        <v>84</v>
      </c>
      <c r="J3564" s="80" t="s">
        <v>84</v>
      </c>
      <c r="K3564" s="80" t="s">
        <v>84</v>
      </c>
      <c r="L3564" s="80" t="s">
        <v>84</v>
      </c>
      <c r="M3564" s="80" t="s">
        <v>84</v>
      </c>
      <c r="N3564" s="80" t="s">
        <v>84</v>
      </c>
      <c r="O3564" s="80" t="s">
        <v>84</v>
      </c>
      <c r="Q3564" s="80" t="s">
        <v>84</v>
      </c>
      <c r="R3564" s="80" t="s">
        <v>84</v>
      </c>
    </row>
    <row r="3565" spans="1:18" ht="20" x14ac:dyDescent="0.2">
      <c r="A3565" s="80" t="s">
        <v>3660</v>
      </c>
      <c r="B3565" s="80" t="s">
        <v>3661</v>
      </c>
      <c r="C3565" s="80" t="s">
        <v>84</v>
      </c>
      <c r="D3565" s="80" t="s">
        <v>84</v>
      </c>
      <c r="E3565" s="80" t="s">
        <v>84</v>
      </c>
      <c r="G3565" s="80" t="s">
        <v>84</v>
      </c>
      <c r="H3565" s="80" t="s">
        <v>84</v>
      </c>
      <c r="I3565" s="80" t="s">
        <v>84</v>
      </c>
      <c r="J3565" s="80" t="s">
        <v>84</v>
      </c>
      <c r="K3565" s="80" t="s">
        <v>84</v>
      </c>
      <c r="L3565" s="80" t="s">
        <v>84</v>
      </c>
      <c r="M3565" s="80" t="s">
        <v>84</v>
      </c>
      <c r="N3565" s="80" t="s">
        <v>84</v>
      </c>
      <c r="O3565" s="80" t="s">
        <v>84</v>
      </c>
      <c r="Q3565" s="80" t="s">
        <v>84</v>
      </c>
      <c r="R3565" s="80" t="s">
        <v>84</v>
      </c>
    </row>
    <row r="3566" spans="1:18" ht="20" x14ac:dyDescent="0.2">
      <c r="A3566" s="80" t="s">
        <v>3641</v>
      </c>
      <c r="B3566" s="80" t="s">
        <v>3642</v>
      </c>
      <c r="C3566" s="80" t="s">
        <v>84</v>
      </c>
      <c r="D3566" s="80" t="s">
        <v>84</v>
      </c>
      <c r="E3566" s="80" t="s">
        <v>84</v>
      </c>
      <c r="G3566" s="80" t="s">
        <v>84</v>
      </c>
      <c r="H3566" s="80" t="s">
        <v>84</v>
      </c>
      <c r="I3566" s="80" t="s">
        <v>84</v>
      </c>
      <c r="J3566" s="80" t="s">
        <v>84</v>
      </c>
      <c r="K3566" s="80" t="s">
        <v>84</v>
      </c>
      <c r="L3566" s="80" t="s">
        <v>84</v>
      </c>
      <c r="M3566" s="80" t="s">
        <v>84</v>
      </c>
      <c r="N3566" s="80" t="s">
        <v>84</v>
      </c>
      <c r="O3566" s="80" t="s">
        <v>84</v>
      </c>
      <c r="Q3566" s="80" t="s">
        <v>84</v>
      </c>
      <c r="R3566" s="80" t="s">
        <v>84</v>
      </c>
    </row>
    <row r="3567" spans="1:18" ht="20" x14ac:dyDescent="0.2">
      <c r="A3567" s="80" t="s">
        <v>3643</v>
      </c>
      <c r="B3567" s="80" t="s">
        <v>3644</v>
      </c>
      <c r="C3567" s="80" t="s">
        <v>84</v>
      </c>
      <c r="D3567" s="80" t="s">
        <v>84</v>
      </c>
      <c r="E3567" s="80" t="s">
        <v>84</v>
      </c>
      <c r="G3567" s="80" t="s">
        <v>84</v>
      </c>
      <c r="H3567" s="80" t="s">
        <v>84</v>
      </c>
      <c r="I3567" s="80" t="s">
        <v>84</v>
      </c>
      <c r="J3567" s="80" t="s">
        <v>84</v>
      </c>
      <c r="K3567" s="80" t="s">
        <v>84</v>
      </c>
      <c r="L3567" s="80" t="s">
        <v>84</v>
      </c>
      <c r="M3567" s="80" t="s">
        <v>84</v>
      </c>
      <c r="N3567" s="80" t="s">
        <v>84</v>
      </c>
      <c r="O3567" s="80" t="s">
        <v>84</v>
      </c>
      <c r="Q3567" s="80" t="s">
        <v>84</v>
      </c>
      <c r="R3567" s="80" t="s">
        <v>84</v>
      </c>
    </row>
    <row r="3568" spans="1:18" ht="20" x14ac:dyDescent="0.2">
      <c r="A3568" s="80" t="s">
        <v>271</v>
      </c>
      <c r="B3568" s="80" t="s">
        <v>272</v>
      </c>
      <c r="C3568" s="80" t="s">
        <v>84</v>
      </c>
      <c r="D3568" s="80" t="s">
        <v>84</v>
      </c>
      <c r="E3568" s="80" t="s">
        <v>84</v>
      </c>
      <c r="G3568" s="80" t="s">
        <v>84</v>
      </c>
      <c r="H3568" s="80" t="s">
        <v>84</v>
      </c>
      <c r="I3568" s="80" t="s">
        <v>84</v>
      </c>
      <c r="J3568" s="80" t="s">
        <v>84</v>
      </c>
      <c r="K3568" s="80" t="s">
        <v>84</v>
      </c>
      <c r="L3568" s="80" t="s">
        <v>84</v>
      </c>
      <c r="M3568" s="80" t="s">
        <v>84</v>
      </c>
      <c r="N3568" s="80" t="s">
        <v>84</v>
      </c>
      <c r="O3568" s="80" t="s">
        <v>84</v>
      </c>
      <c r="Q3568" s="80" t="s">
        <v>84</v>
      </c>
      <c r="R3568" s="80" t="s">
        <v>84</v>
      </c>
    </row>
    <row r="3569" spans="1:18" ht="20" x14ac:dyDescent="0.2">
      <c r="A3569" s="80" t="s">
        <v>3645</v>
      </c>
      <c r="B3569" s="80" t="s">
        <v>3646</v>
      </c>
      <c r="C3569" s="80" t="s">
        <v>84</v>
      </c>
      <c r="D3569" s="80" t="s">
        <v>84</v>
      </c>
      <c r="E3569" s="80" t="s">
        <v>84</v>
      </c>
      <c r="G3569" s="80" t="s">
        <v>84</v>
      </c>
      <c r="H3569" s="80" t="s">
        <v>84</v>
      </c>
      <c r="I3569" s="80" t="s">
        <v>84</v>
      </c>
      <c r="J3569" s="80" t="s">
        <v>84</v>
      </c>
      <c r="K3569" s="80" t="s">
        <v>84</v>
      </c>
      <c r="L3569" s="80" t="s">
        <v>84</v>
      </c>
      <c r="M3569" s="80" t="s">
        <v>84</v>
      </c>
      <c r="N3569" s="80" t="s">
        <v>84</v>
      </c>
      <c r="O3569" s="80" t="s">
        <v>84</v>
      </c>
      <c r="Q3569" s="80" t="s">
        <v>84</v>
      </c>
      <c r="R3569" s="80" t="s">
        <v>84</v>
      </c>
    </row>
    <row r="3570" spans="1:18" ht="20" x14ac:dyDescent="0.2">
      <c r="A3570" s="80" t="s">
        <v>189</v>
      </c>
      <c r="B3570" s="80" t="s">
        <v>190</v>
      </c>
      <c r="C3570" s="80" t="s">
        <v>84</v>
      </c>
      <c r="D3570" s="80" t="s">
        <v>84</v>
      </c>
      <c r="E3570" s="80" t="s">
        <v>84</v>
      </c>
      <c r="G3570" s="80" t="s">
        <v>84</v>
      </c>
      <c r="H3570" s="80" t="s">
        <v>84</v>
      </c>
      <c r="I3570" s="80" t="s">
        <v>84</v>
      </c>
      <c r="J3570" s="80" t="s">
        <v>84</v>
      </c>
      <c r="K3570" s="80" t="s">
        <v>84</v>
      </c>
      <c r="L3570" s="80" t="s">
        <v>84</v>
      </c>
      <c r="M3570" s="80" t="s">
        <v>84</v>
      </c>
      <c r="N3570" s="80" t="s">
        <v>84</v>
      </c>
      <c r="O3570" s="80" t="s">
        <v>84</v>
      </c>
      <c r="Q3570" s="80" t="s">
        <v>84</v>
      </c>
      <c r="R3570" s="80" t="s">
        <v>84</v>
      </c>
    </row>
    <row r="3571" spans="1:18" ht="20" x14ac:dyDescent="0.2">
      <c r="A3571" s="80" t="s">
        <v>191</v>
      </c>
      <c r="B3571" s="80" t="s">
        <v>192</v>
      </c>
      <c r="C3571" s="80" t="s">
        <v>84</v>
      </c>
      <c r="D3571" s="80" t="s">
        <v>84</v>
      </c>
      <c r="E3571" s="80" t="s">
        <v>84</v>
      </c>
      <c r="G3571" s="80" t="s">
        <v>84</v>
      </c>
      <c r="H3571" s="80" t="s">
        <v>84</v>
      </c>
      <c r="I3571" s="80" t="s">
        <v>84</v>
      </c>
      <c r="J3571" s="80" t="s">
        <v>84</v>
      </c>
      <c r="K3571" s="80" t="s">
        <v>84</v>
      </c>
      <c r="L3571" s="80" t="s">
        <v>84</v>
      </c>
      <c r="M3571" s="80" t="s">
        <v>84</v>
      </c>
      <c r="N3571" s="80" t="s">
        <v>84</v>
      </c>
      <c r="O3571" s="80" t="s">
        <v>84</v>
      </c>
      <c r="Q3571" s="80" t="s">
        <v>84</v>
      </c>
      <c r="R3571" s="80" t="s">
        <v>84</v>
      </c>
    </row>
    <row r="3572" spans="1:18" ht="20" x14ac:dyDescent="0.2">
      <c r="A3572" s="80" t="s">
        <v>2087</v>
      </c>
      <c r="B3572" s="80" t="s">
        <v>2088</v>
      </c>
      <c r="C3572" s="80" t="s">
        <v>84</v>
      </c>
      <c r="D3572" s="80" t="s">
        <v>84</v>
      </c>
      <c r="E3572" s="80" t="s">
        <v>84</v>
      </c>
      <c r="G3572" s="80" t="s">
        <v>84</v>
      </c>
      <c r="H3572" s="80" t="s">
        <v>84</v>
      </c>
      <c r="I3572" s="80" t="s">
        <v>84</v>
      </c>
      <c r="J3572" s="80" t="s">
        <v>84</v>
      </c>
      <c r="K3572" s="80" t="s">
        <v>84</v>
      </c>
      <c r="L3572" s="80" t="s">
        <v>84</v>
      </c>
      <c r="M3572" s="80" t="s">
        <v>84</v>
      </c>
      <c r="N3572" s="80" t="s">
        <v>84</v>
      </c>
      <c r="O3572" s="80" t="s">
        <v>84</v>
      </c>
      <c r="Q3572" s="80" t="s">
        <v>84</v>
      </c>
      <c r="R3572" s="80" t="s">
        <v>84</v>
      </c>
    </row>
    <row r="3573" spans="1:18" ht="20" x14ac:dyDescent="0.2">
      <c r="A3573" s="80" t="s">
        <v>148</v>
      </c>
      <c r="B3573" s="80" t="s">
        <v>149</v>
      </c>
      <c r="C3573" s="80" t="s">
        <v>84</v>
      </c>
      <c r="D3573" s="80" t="s">
        <v>84</v>
      </c>
      <c r="E3573" s="80" t="s">
        <v>84</v>
      </c>
      <c r="G3573" s="80" t="s">
        <v>84</v>
      </c>
      <c r="H3573" s="80" t="s">
        <v>84</v>
      </c>
      <c r="I3573" s="80" t="s">
        <v>84</v>
      </c>
      <c r="J3573" s="80" t="s">
        <v>84</v>
      </c>
      <c r="K3573" s="80" t="s">
        <v>84</v>
      </c>
      <c r="L3573" s="80" t="s">
        <v>84</v>
      </c>
      <c r="M3573" s="80" t="s">
        <v>84</v>
      </c>
      <c r="N3573" s="80" t="s">
        <v>84</v>
      </c>
      <c r="O3573" s="80" t="s">
        <v>84</v>
      </c>
      <c r="Q3573" s="80" t="s">
        <v>84</v>
      </c>
      <c r="R3573" s="80" t="s">
        <v>84</v>
      </c>
    </row>
    <row r="3574" spans="1:18" ht="20" x14ac:dyDescent="0.2">
      <c r="A3574" s="80" t="s">
        <v>969</v>
      </c>
      <c r="B3574" s="80" t="s">
        <v>970</v>
      </c>
      <c r="C3574" s="80" t="s">
        <v>9680</v>
      </c>
      <c r="D3574" s="80" t="s">
        <v>84</v>
      </c>
      <c r="E3574" s="80" t="s">
        <v>84</v>
      </c>
      <c r="G3574" s="80" t="s">
        <v>84</v>
      </c>
      <c r="H3574" s="80" t="s">
        <v>84</v>
      </c>
      <c r="I3574" s="80" t="s">
        <v>84</v>
      </c>
      <c r="J3574" s="80" t="s">
        <v>84</v>
      </c>
      <c r="K3574" s="80" t="s">
        <v>84</v>
      </c>
      <c r="L3574" s="80" t="s">
        <v>84</v>
      </c>
      <c r="M3574" s="80" t="s">
        <v>84</v>
      </c>
      <c r="N3574" s="80" t="s">
        <v>84</v>
      </c>
      <c r="O3574" s="80" t="s">
        <v>84</v>
      </c>
      <c r="Q3574" s="80" t="s">
        <v>84</v>
      </c>
      <c r="R3574" s="80" t="s">
        <v>84</v>
      </c>
    </row>
    <row r="3575" spans="1:18" ht="20" x14ac:dyDescent="0.2">
      <c r="A3575" s="80" t="s">
        <v>962</v>
      </c>
      <c r="B3575" s="80" t="s">
        <v>963</v>
      </c>
      <c r="C3575" s="80" t="s">
        <v>84</v>
      </c>
      <c r="D3575" s="80" t="s">
        <v>84</v>
      </c>
      <c r="E3575" s="80" t="s">
        <v>84</v>
      </c>
      <c r="G3575" s="80" t="s">
        <v>84</v>
      </c>
      <c r="H3575" s="80" t="s">
        <v>84</v>
      </c>
      <c r="I3575" s="80" t="s">
        <v>84</v>
      </c>
      <c r="J3575" s="80" t="s">
        <v>84</v>
      </c>
      <c r="K3575" s="80" t="s">
        <v>84</v>
      </c>
      <c r="L3575" s="80" t="s">
        <v>84</v>
      </c>
      <c r="M3575" s="80" t="s">
        <v>84</v>
      </c>
      <c r="N3575" s="80" t="s">
        <v>84</v>
      </c>
      <c r="O3575" s="80" t="s">
        <v>84</v>
      </c>
      <c r="Q3575" s="80" t="s">
        <v>84</v>
      </c>
      <c r="R3575" s="80" t="s">
        <v>84</v>
      </c>
    </row>
    <row r="3576" spans="1:18" ht="20" x14ac:dyDescent="0.2">
      <c r="A3576" s="80" t="s">
        <v>4950</v>
      </c>
      <c r="B3576" s="80" t="s">
        <v>4951</v>
      </c>
      <c r="C3576" s="80" t="s">
        <v>9680</v>
      </c>
      <c r="D3576" s="80" t="s">
        <v>84</v>
      </c>
      <c r="E3576" s="80" t="s">
        <v>84</v>
      </c>
      <c r="G3576" s="80" t="s">
        <v>84</v>
      </c>
      <c r="H3576" s="80" t="s">
        <v>84</v>
      </c>
      <c r="I3576" s="80" t="s">
        <v>84</v>
      </c>
      <c r="J3576" s="80" t="s">
        <v>84</v>
      </c>
      <c r="K3576" s="80" t="s">
        <v>84</v>
      </c>
      <c r="L3576" s="80" t="s">
        <v>84</v>
      </c>
      <c r="M3576" s="80" t="s">
        <v>84</v>
      </c>
      <c r="N3576" s="80" t="s">
        <v>84</v>
      </c>
      <c r="O3576" s="80" t="s">
        <v>84</v>
      </c>
      <c r="Q3576" s="80" t="s">
        <v>84</v>
      </c>
      <c r="R3576" s="80" t="s">
        <v>84</v>
      </c>
    </row>
    <row r="3577" spans="1:18" ht="20" x14ac:dyDescent="0.2">
      <c r="A3577" s="80" t="s">
        <v>2597</v>
      </c>
      <c r="B3577" s="80" t="s">
        <v>2598</v>
      </c>
      <c r="C3577" s="80" t="s">
        <v>9680</v>
      </c>
      <c r="D3577" s="80" t="s">
        <v>84</v>
      </c>
      <c r="E3577" s="80" t="s">
        <v>84</v>
      </c>
      <c r="G3577" s="80" t="s">
        <v>84</v>
      </c>
      <c r="H3577" s="80" t="s">
        <v>84</v>
      </c>
      <c r="I3577" s="80" t="s">
        <v>84</v>
      </c>
      <c r="J3577" s="80" t="s">
        <v>84</v>
      </c>
      <c r="K3577" s="80" t="s">
        <v>84</v>
      </c>
      <c r="L3577" s="80" t="s">
        <v>84</v>
      </c>
      <c r="M3577" s="80" t="s">
        <v>84</v>
      </c>
      <c r="N3577" s="80" t="s">
        <v>84</v>
      </c>
      <c r="O3577" s="80" t="s">
        <v>84</v>
      </c>
      <c r="Q3577" s="80" t="s">
        <v>84</v>
      </c>
      <c r="R3577" s="80" t="s">
        <v>84</v>
      </c>
    </row>
    <row r="3578" spans="1:18" ht="20" x14ac:dyDescent="0.2">
      <c r="A3578" s="80" t="s">
        <v>150</v>
      </c>
      <c r="B3578" s="80" t="s">
        <v>151</v>
      </c>
      <c r="C3578" s="80" t="s">
        <v>84</v>
      </c>
      <c r="D3578" s="80" t="s">
        <v>84</v>
      </c>
      <c r="E3578" s="80" t="s">
        <v>84</v>
      </c>
      <c r="G3578" s="80" t="s">
        <v>84</v>
      </c>
      <c r="H3578" s="80" t="s">
        <v>84</v>
      </c>
      <c r="I3578" s="80" t="s">
        <v>84</v>
      </c>
      <c r="J3578" s="80" t="s">
        <v>84</v>
      </c>
      <c r="K3578" s="80" t="s">
        <v>84</v>
      </c>
      <c r="L3578" s="80" t="s">
        <v>84</v>
      </c>
      <c r="M3578" s="80" t="s">
        <v>84</v>
      </c>
      <c r="N3578" s="80" t="s">
        <v>84</v>
      </c>
      <c r="O3578" s="80" t="s">
        <v>84</v>
      </c>
      <c r="Q3578" s="80" t="s">
        <v>84</v>
      </c>
      <c r="R3578" s="80" t="s">
        <v>84</v>
      </c>
    </row>
    <row r="3579" spans="1:18" x14ac:dyDescent="0.2">
      <c r="A3579" s="80" t="s">
        <v>2599</v>
      </c>
      <c r="B3579" s="80" t="s">
        <v>2600</v>
      </c>
      <c r="C3579" s="80" t="s">
        <v>84</v>
      </c>
      <c r="D3579" s="80" t="s">
        <v>84</v>
      </c>
      <c r="E3579" s="80" t="s">
        <v>84</v>
      </c>
      <c r="G3579" s="80" t="s">
        <v>84</v>
      </c>
      <c r="H3579" s="80" t="s">
        <v>84</v>
      </c>
      <c r="I3579" s="80" t="s">
        <v>84</v>
      </c>
      <c r="J3579" s="80" t="s">
        <v>84</v>
      </c>
      <c r="K3579" s="80" t="s">
        <v>84</v>
      </c>
      <c r="L3579" s="80" t="s">
        <v>84</v>
      </c>
      <c r="M3579" s="80" t="s">
        <v>84</v>
      </c>
      <c r="N3579" s="80" t="s">
        <v>84</v>
      </c>
      <c r="O3579" s="80" t="s">
        <v>84</v>
      </c>
      <c r="Q3579" s="80" t="s">
        <v>84</v>
      </c>
      <c r="R3579" s="80" t="s">
        <v>84</v>
      </c>
    </row>
    <row r="3580" spans="1:18" ht="20" x14ac:dyDescent="0.2">
      <c r="A3580" s="80" t="s">
        <v>5720</v>
      </c>
      <c r="B3580" s="80" t="s">
        <v>5721</v>
      </c>
      <c r="C3580" s="80" t="s">
        <v>9680</v>
      </c>
      <c r="D3580" s="80" t="s">
        <v>84</v>
      </c>
      <c r="E3580" s="80" t="s">
        <v>84</v>
      </c>
      <c r="G3580" s="80" t="s">
        <v>84</v>
      </c>
      <c r="H3580" s="80" t="s">
        <v>84</v>
      </c>
      <c r="I3580" s="80" t="s">
        <v>84</v>
      </c>
      <c r="J3580" s="80" t="s">
        <v>84</v>
      </c>
      <c r="K3580" s="80" t="s">
        <v>84</v>
      </c>
      <c r="L3580" s="80" t="s">
        <v>84</v>
      </c>
      <c r="M3580" s="80" t="s">
        <v>84</v>
      </c>
      <c r="N3580" s="80" t="s">
        <v>84</v>
      </c>
      <c r="O3580" s="80" t="s">
        <v>84</v>
      </c>
      <c r="Q3580" s="80" t="s">
        <v>84</v>
      </c>
      <c r="R3580" s="80" t="s">
        <v>84</v>
      </c>
    </row>
    <row r="3581" spans="1:18" ht="20" x14ac:dyDescent="0.2">
      <c r="A3581" s="80" t="s">
        <v>2111</v>
      </c>
      <c r="B3581" s="80" t="s">
        <v>2112</v>
      </c>
      <c r="C3581" s="80" t="s">
        <v>9680</v>
      </c>
      <c r="D3581" s="80" t="s">
        <v>84</v>
      </c>
      <c r="E3581" s="80" t="s">
        <v>84</v>
      </c>
      <c r="G3581" s="80" t="s">
        <v>84</v>
      </c>
      <c r="H3581" s="80" t="s">
        <v>84</v>
      </c>
      <c r="I3581" s="80" t="s">
        <v>84</v>
      </c>
      <c r="J3581" s="80" t="s">
        <v>84</v>
      </c>
      <c r="K3581" s="80" t="s">
        <v>84</v>
      </c>
      <c r="L3581" s="80" t="s">
        <v>84</v>
      </c>
      <c r="M3581" s="80" t="s">
        <v>84</v>
      </c>
      <c r="N3581" s="80" t="s">
        <v>84</v>
      </c>
      <c r="O3581" s="80" t="s">
        <v>84</v>
      </c>
      <c r="Q3581" s="80" t="s">
        <v>84</v>
      </c>
      <c r="R3581" s="80" t="s">
        <v>84</v>
      </c>
    </row>
    <row r="3582" spans="1:18" ht="20" x14ac:dyDescent="0.2">
      <c r="A3582" s="80" t="s">
        <v>2601</v>
      </c>
      <c r="B3582" s="80" t="s">
        <v>2602</v>
      </c>
      <c r="C3582" s="80" t="s">
        <v>9680</v>
      </c>
      <c r="D3582" s="80" t="s">
        <v>84</v>
      </c>
      <c r="E3582" s="80" t="s">
        <v>84</v>
      </c>
      <c r="G3582" s="80" t="s">
        <v>84</v>
      </c>
      <c r="H3582" s="80" t="s">
        <v>84</v>
      </c>
      <c r="I3582" s="80" t="s">
        <v>84</v>
      </c>
      <c r="J3582" s="80" t="s">
        <v>84</v>
      </c>
      <c r="K3582" s="80" t="s">
        <v>84</v>
      </c>
      <c r="L3582" s="80" t="s">
        <v>84</v>
      </c>
      <c r="M3582" s="80" t="s">
        <v>84</v>
      </c>
      <c r="N3582" s="80" t="s">
        <v>84</v>
      </c>
      <c r="O3582" s="80" t="s">
        <v>84</v>
      </c>
      <c r="Q3582" s="80" t="s">
        <v>84</v>
      </c>
      <c r="R3582" s="80" t="s">
        <v>84</v>
      </c>
    </row>
    <row r="3583" spans="1:18" x14ac:dyDescent="0.2">
      <c r="A3583" s="80" t="s">
        <v>2603</v>
      </c>
      <c r="B3583" s="80" t="s">
        <v>2604</v>
      </c>
      <c r="C3583" s="80" t="s">
        <v>84</v>
      </c>
      <c r="D3583" s="80" t="s">
        <v>84</v>
      </c>
      <c r="E3583" s="80" t="s">
        <v>84</v>
      </c>
      <c r="G3583" s="80" t="s">
        <v>84</v>
      </c>
      <c r="H3583" s="80" t="s">
        <v>84</v>
      </c>
      <c r="I3583" s="80" t="s">
        <v>84</v>
      </c>
      <c r="J3583" s="80" t="s">
        <v>84</v>
      </c>
      <c r="K3583" s="80" t="s">
        <v>84</v>
      </c>
      <c r="L3583" s="80" t="s">
        <v>84</v>
      </c>
      <c r="M3583" s="80" t="s">
        <v>84</v>
      </c>
      <c r="N3583" s="80" t="s">
        <v>84</v>
      </c>
      <c r="O3583" s="80" t="s">
        <v>84</v>
      </c>
      <c r="Q3583" s="80" t="s">
        <v>84</v>
      </c>
      <c r="R3583" s="80" t="s">
        <v>84</v>
      </c>
    </row>
    <row r="3584" spans="1:18" ht="20" x14ac:dyDescent="0.2">
      <c r="A3584" s="80" t="s">
        <v>3647</v>
      </c>
      <c r="B3584" s="80" t="s">
        <v>3648</v>
      </c>
      <c r="C3584" s="80" t="s">
        <v>84</v>
      </c>
      <c r="D3584" s="80" t="s">
        <v>84</v>
      </c>
      <c r="E3584" s="80" t="s">
        <v>84</v>
      </c>
      <c r="G3584" s="80" t="s">
        <v>84</v>
      </c>
      <c r="H3584" s="80" t="s">
        <v>84</v>
      </c>
      <c r="I3584" s="80" t="s">
        <v>84</v>
      </c>
      <c r="J3584" s="80" t="s">
        <v>84</v>
      </c>
      <c r="K3584" s="80" t="s">
        <v>84</v>
      </c>
      <c r="L3584" s="80" t="s">
        <v>84</v>
      </c>
      <c r="M3584" s="80" t="s">
        <v>84</v>
      </c>
      <c r="N3584" s="80" t="s">
        <v>84</v>
      </c>
      <c r="O3584" s="80" t="s">
        <v>84</v>
      </c>
      <c r="Q3584" s="80" t="s">
        <v>84</v>
      </c>
      <c r="R3584" s="80" t="s">
        <v>84</v>
      </c>
    </row>
    <row r="3585" spans="1:18" ht="20" x14ac:dyDescent="0.2">
      <c r="A3585" s="80" t="s">
        <v>125</v>
      </c>
      <c r="B3585" s="80" t="s">
        <v>126</v>
      </c>
      <c r="C3585" s="80" t="s">
        <v>9680</v>
      </c>
      <c r="D3585" s="80" t="s">
        <v>84</v>
      </c>
      <c r="E3585" s="80" t="s">
        <v>84</v>
      </c>
      <c r="G3585" s="80" t="s">
        <v>84</v>
      </c>
      <c r="H3585" s="80" t="s">
        <v>84</v>
      </c>
      <c r="I3585" s="80" t="s">
        <v>84</v>
      </c>
      <c r="J3585" s="80" t="s">
        <v>84</v>
      </c>
      <c r="K3585" s="80" t="s">
        <v>84</v>
      </c>
      <c r="L3585" s="80" t="s">
        <v>84</v>
      </c>
      <c r="M3585" s="80" t="s">
        <v>84</v>
      </c>
      <c r="N3585" s="80" t="s">
        <v>84</v>
      </c>
      <c r="O3585" s="80" t="s">
        <v>84</v>
      </c>
      <c r="Q3585" s="80" t="s">
        <v>84</v>
      </c>
      <c r="R3585" s="80" t="s">
        <v>84</v>
      </c>
    </row>
    <row r="3586" spans="1:18" ht="20" x14ac:dyDescent="0.2">
      <c r="A3586" s="80" t="s">
        <v>152</v>
      </c>
      <c r="B3586" s="80" t="s">
        <v>153</v>
      </c>
      <c r="C3586" s="80" t="s">
        <v>84</v>
      </c>
      <c r="D3586" s="80" t="s">
        <v>84</v>
      </c>
      <c r="E3586" s="80" t="s">
        <v>84</v>
      </c>
      <c r="G3586" s="80" t="s">
        <v>84</v>
      </c>
      <c r="H3586" s="80" t="s">
        <v>84</v>
      </c>
      <c r="I3586" s="80" t="s">
        <v>84</v>
      </c>
      <c r="J3586" s="80" t="s">
        <v>84</v>
      </c>
      <c r="K3586" s="80" t="s">
        <v>84</v>
      </c>
      <c r="L3586" s="80" t="s">
        <v>84</v>
      </c>
      <c r="M3586" s="80" t="s">
        <v>84</v>
      </c>
      <c r="N3586" s="80" t="s">
        <v>84</v>
      </c>
      <c r="O3586" s="80" t="s">
        <v>84</v>
      </c>
      <c r="Q3586" s="80" t="s">
        <v>84</v>
      </c>
      <c r="R3586" s="80" t="s">
        <v>84</v>
      </c>
    </row>
    <row r="3587" spans="1:18" ht="20" x14ac:dyDescent="0.2">
      <c r="A3587" s="80" t="s">
        <v>154</v>
      </c>
      <c r="B3587" s="80" t="s">
        <v>155</v>
      </c>
      <c r="C3587" s="80" t="s">
        <v>84</v>
      </c>
      <c r="D3587" s="80" t="s">
        <v>84</v>
      </c>
      <c r="E3587" s="80" t="s">
        <v>84</v>
      </c>
      <c r="G3587" s="80" t="s">
        <v>84</v>
      </c>
      <c r="H3587" s="80" t="s">
        <v>84</v>
      </c>
      <c r="I3587" s="80" t="s">
        <v>84</v>
      </c>
      <c r="J3587" s="80" t="s">
        <v>84</v>
      </c>
      <c r="K3587" s="80" t="s">
        <v>84</v>
      </c>
      <c r="L3587" s="80" t="s">
        <v>84</v>
      </c>
      <c r="M3587" s="80" t="s">
        <v>84</v>
      </c>
      <c r="N3587" s="80" t="s">
        <v>84</v>
      </c>
      <c r="O3587" s="80" t="s">
        <v>84</v>
      </c>
      <c r="Q3587" s="80" t="s">
        <v>84</v>
      </c>
      <c r="R3587" s="80" t="s">
        <v>84</v>
      </c>
    </row>
    <row r="3588" spans="1:18" ht="20" x14ac:dyDescent="0.2">
      <c r="A3588" s="80" t="s">
        <v>4670</v>
      </c>
      <c r="B3588" s="80" t="s">
        <v>4671</v>
      </c>
      <c r="C3588" s="80" t="s">
        <v>84</v>
      </c>
      <c r="D3588" s="80" t="s">
        <v>84</v>
      </c>
      <c r="E3588" s="80" t="s">
        <v>84</v>
      </c>
      <c r="G3588" s="80" t="s">
        <v>84</v>
      </c>
      <c r="H3588" s="80" t="s">
        <v>84</v>
      </c>
      <c r="I3588" s="80" t="s">
        <v>84</v>
      </c>
      <c r="J3588" s="80" t="s">
        <v>84</v>
      </c>
      <c r="K3588" s="80" t="s">
        <v>84</v>
      </c>
      <c r="L3588" s="80" t="s">
        <v>84</v>
      </c>
      <c r="M3588" s="80" t="s">
        <v>84</v>
      </c>
      <c r="N3588" s="80" t="s">
        <v>84</v>
      </c>
      <c r="O3588" s="80" t="s">
        <v>84</v>
      </c>
      <c r="Q3588" s="80" t="s">
        <v>84</v>
      </c>
      <c r="R3588" s="80" t="s">
        <v>84</v>
      </c>
    </row>
    <row r="3589" spans="1:18" ht="20" x14ac:dyDescent="0.2">
      <c r="A3589" s="80" t="s">
        <v>156</v>
      </c>
      <c r="B3589" s="80" t="s">
        <v>157</v>
      </c>
      <c r="C3589" s="80" t="s">
        <v>84</v>
      </c>
      <c r="D3589" s="80" t="s">
        <v>84</v>
      </c>
      <c r="E3589" s="80" t="s">
        <v>84</v>
      </c>
      <c r="G3589" s="80" t="s">
        <v>84</v>
      </c>
      <c r="H3589" s="80" t="s">
        <v>84</v>
      </c>
      <c r="I3589" s="80" t="s">
        <v>84</v>
      </c>
      <c r="J3589" s="80" t="s">
        <v>84</v>
      </c>
      <c r="K3589" s="80" t="s">
        <v>84</v>
      </c>
      <c r="L3589" s="80" t="s">
        <v>84</v>
      </c>
      <c r="M3589" s="80" t="s">
        <v>84</v>
      </c>
      <c r="N3589" s="80" t="s">
        <v>84</v>
      </c>
      <c r="O3589" s="80" t="s">
        <v>84</v>
      </c>
      <c r="Q3589" s="80" t="s">
        <v>84</v>
      </c>
      <c r="R3589" s="80" t="s">
        <v>84</v>
      </c>
    </row>
    <row r="3590" spans="1:18" ht="20" x14ac:dyDescent="0.2">
      <c r="A3590" s="80" t="s">
        <v>219</v>
      </c>
      <c r="B3590" s="80" t="s">
        <v>220</v>
      </c>
      <c r="C3590" s="80" t="s">
        <v>84</v>
      </c>
      <c r="D3590" s="80" t="s">
        <v>84</v>
      </c>
      <c r="E3590" s="80" t="s">
        <v>84</v>
      </c>
      <c r="G3590" s="80" t="s">
        <v>84</v>
      </c>
      <c r="H3590" s="80" t="s">
        <v>84</v>
      </c>
      <c r="I3590" s="80" t="s">
        <v>84</v>
      </c>
      <c r="J3590" s="80" t="s">
        <v>84</v>
      </c>
      <c r="K3590" s="80" t="s">
        <v>84</v>
      </c>
      <c r="L3590" s="80" t="s">
        <v>84</v>
      </c>
      <c r="M3590" s="80" t="s">
        <v>84</v>
      </c>
      <c r="N3590" s="80" t="s">
        <v>84</v>
      </c>
      <c r="O3590" s="80" t="s">
        <v>84</v>
      </c>
      <c r="Q3590" s="80" t="s">
        <v>84</v>
      </c>
      <c r="R3590" s="80" t="s">
        <v>84</v>
      </c>
    </row>
    <row r="3591" spans="1:18" ht="20" x14ac:dyDescent="0.2">
      <c r="A3591" s="80" t="s">
        <v>3839</v>
      </c>
      <c r="B3591" s="80" t="s">
        <v>3840</v>
      </c>
      <c r="C3591" s="80" t="s">
        <v>84</v>
      </c>
      <c r="D3591" s="80" t="s">
        <v>84</v>
      </c>
      <c r="E3591" s="80" t="s">
        <v>84</v>
      </c>
      <c r="G3591" s="80" t="s">
        <v>84</v>
      </c>
      <c r="H3591" s="80" t="s">
        <v>84</v>
      </c>
      <c r="I3591" s="80" t="s">
        <v>84</v>
      </c>
      <c r="J3591" s="80" t="s">
        <v>84</v>
      </c>
      <c r="K3591" s="80" t="s">
        <v>84</v>
      </c>
      <c r="L3591" s="80" t="s">
        <v>84</v>
      </c>
      <c r="M3591" s="80" t="s">
        <v>84</v>
      </c>
      <c r="N3591" s="80" t="s">
        <v>84</v>
      </c>
      <c r="O3591" s="80" t="s">
        <v>84</v>
      </c>
      <c r="Q3591" s="80" t="s">
        <v>84</v>
      </c>
      <c r="R3591" s="80" t="s">
        <v>84</v>
      </c>
    </row>
    <row r="3592" spans="1:18" ht="20" x14ac:dyDescent="0.2">
      <c r="A3592" s="80" t="s">
        <v>5322</v>
      </c>
      <c r="B3592" s="80" t="s">
        <v>5323</v>
      </c>
      <c r="C3592" s="80" t="s">
        <v>9722</v>
      </c>
      <c r="D3592" s="80" t="s">
        <v>84</v>
      </c>
      <c r="E3592" s="80" t="s">
        <v>84</v>
      </c>
      <c r="G3592" s="80" t="s">
        <v>84</v>
      </c>
      <c r="H3592" s="80" t="s">
        <v>84</v>
      </c>
      <c r="I3592" s="80" t="s">
        <v>84</v>
      </c>
      <c r="J3592" s="80" t="s">
        <v>84</v>
      </c>
      <c r="K3592" s="80" t="s">
        <v>84</v>
      </c>
      <c r="L3592" s="80" t="s">
        <v>84</v>
      </c>
      <c r="M3592" s="80" t="s">
        <v>84</v>
      </c>
      <c r="N3592" s="80" t="s">
        <v>84</v>
      </c>
      <c r="O3592" s="80" t="s">
        <v>84</v>
      </c>
      <c r="Q3592" s="80" t="s">
        <v>84</v>
      </c>
      <c r="R3592" s="80" t="s">
        <v>84</v>
      </c>
    </row>
    <row r="3593" spans="1:18" ht="20" x14ac:dyDescent="0.2">
      <c r="A3593" s="80" t="s">
        <v>1463</v>
      </c>
      <c r="B3593" s="80" t="s">
        <v>1464</v>
      </c>
      <c r="C3593" s="80" t="s">
        <v>9680</v>
      </c>
      <c r="D3593" s="80" t="s">
        <v>84</v>
      </c>
      <c r="E3593" s="80" t="s">
        <v>84</v>
      </c>
      <c r="G3593" s="80" t="s">
        <v>84</v>
      </c>
      <c r="H3593" s="80" t="s">
        <v>84</v>
      </c>
      <c r="I3593" s="80" t="s">
        <v>84</v>
      </c>
      <c r="J3593" s="80" t="s">
        <v>84</v>
      </c>
      <c r="K3593" s="80" t="s">
        <v>84</v>
      </c>
      <c r="L3593" s="80" t="s">
        <v>84</v>
      </c>
      <c r="M3593" s="80" t="s">
        <v>84</v>
      </c>
      <c r="N3593" s="80" t="s">
        <v>84</v>
      </c>
      <c r="O3593" s="80" t="s">
        <v>84</v>
      </c>
      <c r="Q3593" s="80" t="s">
        <v>84</v>
      </c>
      <c r="R3593" s="80" t="s">
        <v>84</v>
      </c>
    </row>
    <row r="3594" spans="1:18" ht="20" x14ac:dyDescent="0.2">
      <c r="A3594" s="80" t="s">
        <v>2091</v>
      </c>
      <c r="B3594" s="80" t="s">
        <v>2092</v>
      </c>
      <c r="C3594" s="80" t="s">
        <v>9680</v>
      </c>
      <c r="D3594" s="80" t="s">
        <v>84</v>
      </c>
      <c r="E3594" s="80" t="s">
        <v>84</v>
      </c>
      <c r="G3594" s="80" t="s">
        <v>84</v>
      </c>
      <c r="H3594" s="80" t="s">
        <v>84</v>
      </c>
      <c r="I3594" s="80" t="s">
        <v>84</v>
      </c>
      <c r="J3594" s="80" t="s">
        <v>84</v>
      </c>
      <c r="K3594" s="80" t="s">
        <v>84</v>
      </c>
      <c r="L3594" s="80" t="s">
        <v>84</v>
      </c>
      <c r="M3594" s="80" t="s">
        <v>84</v>
      </c>
      <c r="N3594" s="80" t="s">
        <v>84</v>
      </c>
      <c r="O3594" s="80" t="s">
        <v>84</v>
      </c>
      <c r="Q3594" s="80" t="s">
        <v>84</v>
      </c>
      <c r="R3594" s="80" t="s">
        <v>84</v>
      </c>
    </row>
    <row r="3595" spans="1:18" ht="20" x14ac:dyDescent="0.2">
      <c r="A3595" s="80" t="s">
        <v>4872</v>
      </c>
      <c r="B3595" s="80" t="s">
        <v>4873</v>
      </c>
      <c r="C3595" s="80" t="s">
        <v>84</v>
      </c>
      <c r="D3595" s="80" t="s">
        <v>84</v>
      </c>
      <c r="E3595" s="80" t="s">
        <v>84</v>
      </c>
      <c r="G3595" s="80" t="s">
        <v>84</v>
      </c>
      <c r="H3595" s="80" t="s">
        <v>84</v>
      </c>
      <c r="I3595" s="80" t="s">
        <v>84</v>
      </c>
      <c r="J3595" s="80" t="s">
        <v>84</v>
      </c>
      <c r="K3595" s="80" t="s">
        <v>84</v>
      </c>
      <c r="L3595" s="80" t="s">
        <v>84</v>
      </c>
      <c r="M3595" s="80" t="s">
        <v>84</v>
      </c>
      <c r="N3595" s="80" t="s">
        <v>84</v>
      </c>
      <c r="O3595" s="80" t="s">
        <v>84</v>
      </c>
      <c r="Q3595" s="80" t="s">
        <v>84</v>
      </c>
      <c r="R3595" s="80" t="s">
        <v>84</v>
      </c>
    </row>
    <row r="3596" spans="1:18" ht="20" x14ac:dyDescent="0.2">
      <c r="A3596" s="80" t="s">
        <v>642</v>
      </c>
      <c r="B3596" s="80" t="s">
        <v>643</v>
      </c>
      <c r="C3596" s="80" t="s">
        <v>84</v>
      </c>
      <c r="D3596" s="80" t="s">
        <v>84</v>
      </c>
      <c r="E3596" s="80" t="s">
        <v>84</v>
      </c>
      <c r="G3596" s="80" t="s">
        <v>84</v>
      </c>
      <c r="H3596" s="80" t="s">
        <v>84</v>
      </c>
      <c r="I3596" s="80" t="s">
        <v>84</v>
      </c>
      <c r="J3596" s="80" t="s">
        <v>84</v>
      </c>
      <c r="K3596" s="80" t="s">
        <v>84</v>
      </c>
      <c r="L3596" s="80" t="s">
        <v>84</v>
      </c>
      <c r="M3596" s="80" t="s">
        <v>84</v>
      </c>
      <c r="N3596" s="80" t="s">
        <v>84</v>
      </c>
      <c r="O3596" s="80" t="s">
        <v>84</v>
      </c>
      <c r="Q3596" s="80" t="s">
        <v>84</v>
      </c>
      <c r="R3596" s="80" t="s">
        <v>84</v>
      </c>
    </row>
    <row r="3597" spans="1:18" ht="20" x14ac:dyDescent="0.2">
      <c r="A3597" s="80" t="s">
        <v>2113</v>
      </c>
      <c r="B3597" s="80" t="s">
        <v>2114</v>
      </c>
      <c r="C3597" s="80" t="s">
        <v>9680</v>
      </c>
      <c r="D3597" s="80" t="s">
        <v>84</v>
      </c>
      <c r="E3597" s="80" t="s">
        <v>84</v>
      </c>
      <c r="G3597" s="80" t="s">
        <v>84</v>
      </c>
      <c r="H3597" s="80" t="s">
        <v>84</v>
      </c>
      <c r="I3597" s="80" t="s">
        <v>84</v>
      </c>
      <c r="J3597" s="80" t="s">
        <v>84</v>
      </c>
      <c r="K3597" s="80" t="s">
        <v>84</v>
      </c>
      <c r="L3597" s="80" t="s">
        <v>84</v>
      </c>
      <c r="M3597" s="80" t="s">
        <v>84</v>
      </c>
      <c r="N3597" s="80" t="s">
        <v>84</v>
      </c>
      <c r="O3597" s="80" t="s">
        <v>84</v>
      </c>
      <c r="Q3597" s="80" t="s">
        <v>84</v>
      </c>
      <c r="R3597" s="80" t="s">
        <v>84</v>
      </c>
    </row>
    <row r="3598" spans="1:18" ht="20" x14ac:dyDescent="0.2">
      <c r="A3598" s="80" t="s">
        <v>2126</v>
      </c>
      <c r="B3598" s="80" t="s">
        <v>2127</v>
      </c>
      <c r="C3598" s="80" t="s">
        <v>9680</v>
      </c>
      <c r="D3598" s="80" t="s">
        <v>84</v>
      </c>
      <c r="E3598" s="80" t="s">
        <v>84</v>
      </c>
      <c r="G3598" s="80" t="s">
        <v>84</v>
      </c>
      <c r="H3598" s="80" t="s">
        <v>84</v>
      </c>
      <c r="I3598" s="80" t="s">
        <v>84</v>
      </c>
      <c r="J3598" s="80" t="s">
        <v>84</v>
      </c>
      <c r="K3598" s="80" t="s">
        <v>84</v>
      </c>
      <c r="L3598" s="80" t="s">
        <v>84</v>
      </c>
      <c r="M3598" s="80" t="s">
        <v>84</v>
      </c>
      <c r="N3598" s="80" t="s">
        <v>84</v>
      </c>
      <c r="O3598" s="80" t="s">
        <v>84</v>
      </c>
      <c r="Q3598" s="80" t="s">
        <v>84</v>
      </c>
      <c r="R3598" s="80" t="s">
        <v>84</v>
      </c>
    </row>
    <row r="3599" spans="1:18" ht="20" x14ac:dyDescent="0.2">
      <c r="A3599" s="80" t="s">
        <v>127</v>
      </c>
      <c r="B3599" s="80" t="s">
        <v>128</v>
      </c>
      <c r="C3599" s="80" t="s">
        <v>84</v>
      </c>
      <c r="D3599" s="80" t="s">
        <v>84</v>
      </c>
      <c r="E3599" s="80" t="s">
        <v>84</v>
      </c>
      <c r="G3599" s="80" t="s">
        <v>84</v>
      </c>
      <c r="H3599" s="80" t="s">
        <v>84</v>
      </c>
      <c r="I3599" s="80" t="s">
        <v>84</v>
      </c>
      <c r="J3599" s="80" t="s">
        <v>84</v>
      </c>
      <c r="K3599" s="80" t="s">
        <v>84</v>
      </c>
      <c r="L3599" s="80" t="s">
        <v>84</v>
      </c>
      <c r="M3599" s="80" t="s">
        <v>84</v>
      </c>
      <c r="N3599" s="80" t="s">
        <v>84</v>
      </c>
      <c r="O3599" s="80" t="s">
        <v>84</v>
      </c>
      <c r="Q3599" s="80" t="s">
        <v>84</v>
      </c>
      <c r="R3599" s="80" t="s">
        <v>84</v>
      </c>
    </row>
    <row r="3600" spans="1:18" ht="20" x14ac:dyDescent="0.2">
      <c r="A3600" s="80" t="s">
        <v>1808</v>
      </c>
      <c r="B3600" s="80" t="s">
        <v>1809</v>
      </c>
      <c r="C3600" s="80" t="s">
        <v>9680</v>
      </c>
      <c r="D3600" s="80" t="s">
        <v>84</v>
      </c>
      <c r="E3600" s="80" t="s">
        <v>84</v>
      </c>
      <c r="G3600" s="80" t="s">
        <v>84</v>
      </c>
      <c r="H3600" s="80" t="s">
        <v>84</v>
      </c>
      <c r="I3600" s="80" t="s">
        <v>84</v>
      </c>
      <c r="J3600" s="80" t="s">
        <v>84</v>
      </c>
      <c r="K3600" s="80" t="s">
        <v>84</v>
      </c>
      <c r="L3600" s="80" t="s">
        <v>84</v>
      </c>
      <c r="M3600" s="80" t="s">
        <v>84</v>
      </c>
      <c r="N3600" s="80" t="s">
        <v>84</v>
      </c>
      <c r="O3600" s="80" t="s">
        <v>84</v>
      </c>
      <c r="Q3600" s="80" t="s">
        <v>84</v>
      </c>
      <c r="R3600" s="80" t="s">
        <v>84</v>
      </c>
    </row>
    <row r="3601" spans="1:18" ht="20" x14ac:dyDescent="0.2">
      <c r="A3601" s="80" t="s">
        <v>129</v>
      </c>
      <c r="B3601" s="80" t="s">
        <v>130</v>
      </c>
      <c r="C3601" s="80" t="s">
        <v>84</v>
      </c>
      <c r="D3601" s="80" t="s">
        <v>84</v>
      </c>
      <c r="E3601" s="80" t="s">
        <v>84</v>
      </c>
      <c r="G3601" s="80" t="s">
        <v>84</v>
      </c>
      <c r="H3601" s="80" t="s">
        <v>84</v>
      </c>
      <c r="I3601" s="80" t="s">
        <v>84</v>
      </c>
      <c r="J3601" s="80" t="s">
        <v>84</v>
      </c>
      <c r="K3601" s="80" t="s">
        <v>84</v>
      </c>
      <c r="L3601" s="80" t="s">
        <v>84</v>
      </c>
      <c r="M3601" s="80" t="s">
        <v>84</v>
      </c>
      <c r="N3601" s="80" t="s">
        <v>84</v>
      </c>
      <c r="O3601" s="80" t="s">
        <v>84</v>
      </c>
      <c r="Q3601" s="80" t="s">
        <v>84</v>
      </c>
      <c r="R3601" s="80" t="s">
        <v>84</v>
      </c>
    </row>
    <row r="3602" spans="1:18" ht="20" x14ac:dyDescent="0.2">
      <c r="A3602" s="80" t="s">
        <v>2463</v>
      </c>
      <c r="B3602" s="80" t="s">
        <v>2464</v>
      </c>
      <c r="C3602" s="80" t="s">
        <v>9680</v>
      </c>
      <c r="D3602" s="80" t="s">
        <v>84</v>
      </c>
      <c r="E3602" s="80" t="s">
        <v>84</v>
      </c>
      <c r="G3602" s="80" t="s">
        <v>84</v>
      </c>
      <c r="H3602" s="80" t="s">
        <v>84</v>
      </c>
      <c r="I3602" s="80" t="s">
        <v>84</v>
      </c>
      <c r="J3602" s="80" t="s">
        <v>84</v>
      </c>
      <c r="K3602" s="80" t="s">
        <v>84</v>
      </c>
      <c r="L3602" s="80" t="s">
        <v>84</v>
      </c>
      <c r="M3602" s="80" t="s">
        <v>84</v>
      </c>
      <c r="N3602" s="80" t="s">
        <v>84</v>
      </c>
      <c r="O3602" s="80" t="s">
        <v>84</v>
      </c>
      <c r="Q3602" s="80" t="s">
        <v>84</v>
      </c>
      <c r="R3602" s="80" t="s">
        <v>84</v>
      </c>
    </row>
    <row r="3603" spans="1:18" ht="20" x14ac:dyDescent="0.2">
      <c r="A3603" s="80" t="s">
        <v>975</v>
      </c>
      <c r="B3603" s="80" t="s">
        <v>976</v>
      </c>
      <c r="C3603" s="80" t="s">
        <v>9680</v>
      </c>
      <c r="D3603" s="80" t="s">
        <v>84</v>
      </c>
      <c r="E3603" s="80" t="s">
        <v>84</v>
      </c>
      <c r="G3603" s="80" t="s">
        <v>84</v>
      </c>
      <c r="H3603" s="80" t="s">
        <v>84</v>
      </c>
      <c r="I3603" s="80" t="s">
        <v>84</v>
      </c>
      <c r="J3603" s="80" t="s">
        <v>84</v>
      </c>
      <c r="K3603" s="80" t="s">
        <v>84</v>
      </c>
      <c r="L3603" s="80" t="s">
        <v>84</v>
      </c>
      <c r="M3603" s="80" t="s">
        <v>84</v>
      </c>
      <c r="N3603" s="80" t="s">
        <v>84</v>
      </c>
      <c r="O3603" s="80" t="s">
        <v>84</v>
      </c>
      <c r="Q3603" s="80" t="s">
        <v>84</v>
      </c>
      <c r="R3603" s="80" t="s">
        <v>84</v>
      </c>
    </row>
    <row r="3604" spans="1:18" ht="20" x14ac:dyDescent="0.2">
      <c r="A3604" s="80" t="s">
        <v>158</v>
      </c>
      <c r="B3604" s="80" t="s">
        <v>159</v>
      </c>
      <c r="C3604" s="80" t="s">
        <v>9722</v>
      </c>
      <c r="D3604" s="80" t="s">
        <v>84</v>
      </c>
      <c r="E3604" s="80" t="s">
        <v>84</v>
      </c>
      <c r="G3604" s="80" t="s">
        <v>84</v>
      </c>
      <c r="H3604" s="80" t="s">
        <v>84</v>
      </c>
      <c r="I3604" s="80" t="s">
        <v>84</v>
      </c>
      <c r="J3604" s="80" t="s">
        <v>84</v>
      </c>
      <c r="K3604" s="80" t="s">
        <v>84</v>
      </c>
      <c r="L3604" s="80" t="s">
        <v>84</v>
      </c>
      <c r="M3604" s="80" t="s">
        <v>84</v>
      </c>
      <c r="N3604" s="80" t="s">
        <v>84</v>
      </c>
      <c r="O3604" s="80" t="s">
        <v>84</v>
      </c>
      <c r="Q3604" s="80" t="s">
        <v>84</v>
      </c>
      <c r="R3604" s="80" t="s">
        <v>84</v>
      </c>
    </row>
    <row r="3605" spans="1:18" ht="20" x14ac:dyDescent="0.2">
      <c r="A3605" s="80" t="s">
        <v>202</v>
      </c>
      <c r="B3605" s="80" t="s">
        <v>203</v>
      </c>
      <c r="C3605" s="80" t="s">
        <v>84</v>
      </c>
      <c r="D3605" s="80" t="s">
        <v>84</v>
      </c>
      <c r="E3605" s="80" t="s">
        <v>84</v>
      </c>
      <c r="G3605" s="80" t="s">
        <v>84</v>
      </c>
      <c r="H3605" s="80" t="s">
        <v>84</v>
      </c>
      <c r="I3605" s="80" t="s">
        <v>84</v>
      </c>
      <c r="J3605" s="80" t="s">
        <v>84</v>
      </c>
      <c r="K3605" s="80" t="s">
        <v>84</v>
      </c>
      <c r="L3605" s="80" t="s">
        <v>84</v>
      </c>
      <c r="M3605" s="80" t="s">
        <v>84</v>
      </c>
      <c r="N3605" s="80" t="s">
        <v>84</v>
      </c>
      <c r="O3605" s="80" t="s">
        <v>84</v>
      </c>
      <c r="Q3605" s="80" t="s">
        <v>84</v>
      </c>
      <c r="R3605" s="80" t="s">
        <v>84</v>
      </c>
    </row>
    <row r="3606" spans="1:18" ht="20" x14ac:dyDescent="0.2">
      <c r="A3606" s="80" t="s">
        <v>960</v>
      </c>
      <c r="B3606" s="80" t="s">
        <v>961</v>
      </c>
      <c r="C3606" s="80" t="s">
        <v>84</v>
      </c>
      <c r="D3606" s="80" t="s">
        <v>84</v>
      </c>
      <c r="E3606" s="80" t="s">
        <v>84</v>
      </c>
      <c r="G3606" s="80" t="s">
        <v>84</v>
      </c>
      <c r="H3606" s="80" t="s">
        <v>84</v>
      </c>
      <c r="I3606" s="80" t="s">
        <v>84</v>
      </c>
      <c r="J3606" s="80" t="s">
        <v>84</v>
      </c>
      <c r="K3606" s="80" t="s">
        <v>84</v>
      </c>
      <c r="L3606" s="80" t="s">
        <v>84</v>
      </c>
      <c r="M3606" s="80" t="s">
        <v>84</v>
      </c>
      <c r="N3606" s="80" t="s">
        <v>84</v>
      </c>
      <c r="O3606" s="80" t="s">
        <v>84</v>
      </c>
      <c r="Q3606" s="80" t="s">
        <v>84</v>
      </c>
      <c r="R3606" s="80" t="s">
        <v>84</v>
      </c>
    </row>
    <row r="3607" spans="1:18" ht="20" x14ac:dyDescent="0.2">
      <c r="A3607" s="80" t="s">
        <v>282</v>
      </c>
      <c r="B3607" s="80" t="s">
        <v>283</v>
      </c>
      <c r="C3607" s="80" t="s">
        <v>9722</v>
      </c>
      <c r="D3607" s="80" t="s">
        <v>84</v>
      </c>
      <c r="E3607" s="80" t="s">
        <v>84</v>
      </c>
      <c r="G3607" s="80" t="s">
        <v>84</v>
      </c>
      <c r="H3607" s="80" t="s">
        <v>84</v>
      </c>
      <c r="I3607" s="80" t="s">
        <v>84</v>
      </c>
      <c r="J3607" s="80" t="s">
        <v>84</v>
      </c>
      <c r="K3607" s="80" t="s">
        <v>84</v>
      </c>
      <c r="L3607" s="80" t="s">
        <v>84</v>
      </c>
      <c r="M3607" s="80" t="s">
        <v>84</v>
      </c>
      <c r="N3607" s="80" t="s">
        <v>84</v>
      </c>
      <c r="O3607" s="80" t="s">
        <v>84</v>
      </c>
      <c r="Q3607" s="80" t="s">
        <v>84</v>
      </c>
      <c r="R3607" s="80" t="s">
        <v>84</v>
      </c>
    </row>
    <row r="3608" spans="1:18" ht="20" x14ac:dyDescent="0.2">
      <c r="A3608" s="80" t="s">
        <v>1074</v>
      </c>
      <c r="B3608" s="80" t="s">
        <v>1075</v>
      </c>
      <c r="C3608" s="80" t="s">
        <v>84</v>
      </c>
      <c r="D3608" s="80" t="s">
        <v>84</v>
      </c>
      <c r="E3608" s="80" t="s">
        <v>84</v>
      </c>
      <c r="G3608" s="80" t="s">
        <v>84</v>
      </c>
      <c r="H3608" s="80" t="s">
        <v>84</v>
      </c>
      <c r="I3608" s="80" t="s">
        <v>84</v>
      </c>
      <c r="J3608" s="80" t="s">
        <v>84</v>
      </c>
      <c r="K3608" s="80" t="s">
        <v>84</v>
      </c>
      <c r="L3608" s="80" t="s">
        <v>84</v>
      </c>
      <c r="M3608" s="80" t="s">
        <v>84</v>
      </c>
      <c r="N3608" s="80" t="s">
        <v>84</v>
      </c>
      <c r="O3608" s="80" t="s">
        <v>84</v>
      </c>
      <c r="Q3608" s="80" t="s">
        <v>84</v>
      </c>
      <c r="R3608" s="80" t="s">
        <v>84</v>
      </c>
    </row>
    <row r="3609" spans="1:18" ht="20" x14ac:dyDescent="0.2">
      <c r="A3609" s="80" t="s">
        <v>3650</v>
      </c>
      <c r="B3609" s="80" t="s">
        <v>3651</v>
      </c>
      <c r="C3609" s="80" t="s">
        <v>9680</v>
      </c>
      <c r="D3609" s="80" t="s">
        <v>84</v>
      </c>
      <c r="E3609" s="80" t="s">
        <v>84</v>
      </c>
      <c r="G3609" s="80" t="s">
        <v>84</v>
      </c>
      <c r="H3609" s="80" t="s">
        <v>84</v>
      </c>
      <c r="I3609" s="80" t="s">
        <v>84</v>
      </c>
      <c r="J3609" s="80" t="s">
        <v>84</v>
      </c>
      <c r="K3609" s="80" t="s">
        <v>84</v>
      </c>
      <c r="L3609" s="80" t="s">
        <v>84</v>
      </c>
      <c r="M3609" s="80" t="s">
        <v>84</v>
      </c>
      <c r="N3609" s="80" t="s">
        <v>84</v>
      </c>
      <c r="O3609" s="80" t="s">
        <v>84</v>
      </c>
      <c r="Q3609" s="80" t="s">
        <v>84</v>
      </c>
      <c r="R3609" s="80" t="s">
        <v>84</v>
      </c>
    </row>
    <row r="3610" spans="1:18" ht="20" x14ac:dyDescent="0.2">
      <c r="A3610" s="80" t="s">
        <v>5283</v>
      </c>
      <c r="B3610" s="80" t="s">
        <v>5284</v>
      </c>
      <c r="C3610" s="80" t="s">
        <v>9722</v>
      </c>
      <c r="D3610" s="80" t="s">
        <v>84</v>
      </c>
      <c r="E3610" s="80" t="s">
        <v>84</v>
      </c>
      <c r="G3610" s="80" t="s">
        <v>84</v>
      </c>
      <c r="H3610" s="80" t="s">
        <v>84</v>
      </c>
      <c r="I3610" s="80" t="s">
        <v>84</v>
      </c>
      <c r="J3610" s="80" t="s">
        <v>84</v>
      </c>
      <c r="K3610" s="80" t="s">
        <v>84</v>
      </c>
      <c r="L3610" s="80" t="s">
        <v>84</v>
      </c>
      <c r="M3610" s="80" t="s">
        <v>84</v>
      </c>
      <c r="N3610" s="80" t="s">
        <v>84</v>
      </c>
      <c r="O3610" s="80" t="s">
        <v>84</v>
      </c>
      <c r="Q3610" s="80" t="s">
        <v>84</v>
      </c>
      <c r="R3610" s="80" t="s">
        <v>84</v>
      </c>
    </row>
    <row r="3611" spans="1:18" ht="20" x14ac:dyDescent="0.2">
      <c r="A3611" s="80" t="s">
        <v>5293</v>
      </c>
      <c r="B3611" s="80" t="s">
        <v>5294</v>
      </c>
      <c r="C3611" s="80" t="s">
        <v>9722</v>
      </c>
      <c r="D3611" s="80" t="s">
        <v>84</v>
      </c>
      <c r="E3611" s="80" t="s">
        <v>84</v>
      </c>
      <c r="G3611" s="80" t="s">
        <v>84</v>
      </c>
      <c r="H3611" s="80" t="s">
        <v>84</v>
      </c>
      <c r="I3611" s="80" t="s">
        <v>84</v>
      </c>
      <c r="J3611" s="80" t="s">
        <v>84</v>
      </c>
      <c r="K3611" s="80" t="s">
        <v>84</v>
      </c>
      <c r="L3611" s="80" t="s">
        <v>84</v>
      </c>
      <c r="M3611" s="80" t="s">
        <v>84</v>
      </c>
      <c r="N3611" s="80" t="s">
        <v>84</v>
      </c>
      <c r="O3611" s="80" t="s">
        <v>84</v>
      </c>
      <c r="Q3611" s="80" t="s">
        <v>84</v>
      </c>
      <c r="R3611" s="80" t="s">
        <v>84</v>
      </c>
    </row>
    <row r="3612" spans="1:18" ht="20" x14ac:dyDescent="0.2">
      <c r="A3612" s="80" t="s">
        <v>5934</v>
      </c>
      <c r="B3612" s="80" t="s">
        <v>5935</v>
      </c>
      <c r="C3612" s="80" t="s">
        <v>84</v>
      </c>
      <c r="D3612" s="80" t="s">
        <v>84</v>
      </c>
      <c r="E3612" s="80" t="s">
        <v>84</v>
      </c>
      <c r="G3612" s="80" t="s">
        <v>84</v>
      </c>
      <c r="H3612" s="80" t="s">
        <v>84</v>
      </c>
      <c r="I3612" s="80" t="s">
        <v>84</v>
      </c>
      <c r="J3612" s="80" t="s">
        <v>84</v>
      </c>
      <c r="K3612" s="80" t="s">
        <v>84</v>
      </c>
      <c r="L3612" s="80" t="s">
        <v>84</v>
      </c>
      <c r="M3612" s="80" t="s">
        <v>84</v>
      </c>
      <c r="N3612" s="80" t="s">
        <v>84</v>
      </c>
      <c r="O3612" s="80" t="s">
        <v>84</v>
      </c>
      <c r="Q3612" s="80" t="s">
        <v>84</v>
      </c>
      <c r="R3612" s="80" t="s">
        <v>84</v>
      </c>
    </row>
    <row r="3613" spans="1:18" ht="20" x14ac:dyDescent="0.2">
      <c r="A3613" s="80" t="s">
        <v>4677</v>
      </c>
      <c r="B3613" s="80" t="s">
        <v>4678</v>
      </c>
      <c r="C3613" s="80" t="s">
        <v>9680</v>
      </c>
      <c r="D3613" s="80" t="s">
        <v>84</v>
      </c>
      <c r="E3613" s="80" t="s">
        <v>84</v>
      </c>
      <c r="G3613" s="80" t="s">
        <v>84</v>
      </c>
      <c r="H3613" s="80" t="s">
        <v>84</v>
      </c>
      <c r="I3613" s="80" t="s">
        <v>84</v>
      </c>
      <c r="J3613" s="80" t="s">
        <v>84</v>
      </c>
      <c r="K3613" s="80" t="s">
        <v>84</v>
      </c>
      <c r="L3613" s="80" t="s">
        <v>84</v>
      </c>
      <c r="M3613" s="80" t="s">
        <v>84</v>
      </c>
      <c r="N3613" s="80" t="s">
        <v>84</v>
      </c>
      <c r="O3613" s="80" t="s">
        <v>84</v>
      </c>
      <c r="Q3613" s="80" t="s">
        <v>84</v>
      </c>
      <c r="R3613" s="80" t="s">
        <v>84</v>
      </c>
    </row>
    <row r="3614" spans="1:18" ht="20" x14ac:dyDescent="0.2">
      <c r="A3614" s="80" t="s">
        <v>4679</v>
      </c>
      <c r="B3614" s="80" t="s">
        <v>4680</v>
      </c>
      <c r="C3614" s="80" t="s">
        <v>9680</v>
      </c>
      <c r="D3614" s="80" t="s">
        <v>84</v>
      </c>
      <c r="E3614" s="80" t="s">
        <v>84</v>
      </c>
      <c r="G3614" s="80" t="s">
        <v>84</v>
      </c>
      <c r="H3614" s="80" t="s">
        <v>84</v>
      </c>
      <c r="I3614" s="80" t="s">
        <v>84</v>
      </c>
      <c r="J3614" s="80" t="s">
        <v>84</v>
      </c>
      <c r="K3614" s="80" t="s">
        <v>84</v>
      </c>
      <c r="L3614" s="80" t="s">
        <v>84</v>
      </c>
      <c r="M3614" s="80" t="s">
        <v>84</v>
      </c>
      <c r="N3614" s="80" t="s">
        <v>84</v>
      </c>
      <c r="O3614" s="80" t="s">
        <v>84</v>
      </c>
      <c r="Q3614" s="80" t="s">
        <v>84</v>
      </c>
      <c r="R3614" s="80" t="s">
        <v>84</v>
      </c>
    </row>
    <row r="3615" spans="1:18" ht="20" x14ac:dyDescent="0.2">
      <c r="A3615" s="80" t="s">
        <v>4679</v>
      </c>
      <c r="B3615" s="80" t="s">
        <v>4937</v>
      </c>
      <c r="C3615" s="80" t="s">
        <v>9680</v>
      </c>
      <c r="D3615" s="80" t="s">
        <v>84</v>
      </c>
      <c r="E3615" s="80" t="s">
        <v>84</v>
      </c>
      <c r="G3615" s="80" t="s">
        <v>84</v>
      </c>
      <c r="H3615" s="80" t="s">
        <v>84</v>
      </c>
      <c r="I3615" s="80" t="s">
        <v>84</v>
      </c>
      <c r="J3615" s="80" t="s">
        <v>84</v>
      </c>
      <c r="K3615" s="80" t="s">
        <v>84</v>
      </c>
      <c r="L3615" s="80" t="s">
        <v>84</v>
      </c>
      <c r="M3615" s="80" t="s">
        <v>84</v>
      </c>
      <c r="N3615" s="80" t="s">
        <v>84</v>
      </c>
      <c r="O3615" s="80" t="s">
        <v>84</v>
      </c>
      <c r="Q3615" s="80" t="s">
        <v>84</v>
      </c>
      <c r="R3615" s="80" t="s">
        <v>84</v>
      </c>
    </row>
    <row r="3616" spans="1:18" ht="20" x14ac:dyDescent="0.2">
      <c r="A3616" s="80" t="s">
        <v>5939</v>
      </c>
      <c r="B3616" s="80" t="s">
        <v>5940</v>
      </c>
      <c r="C3616" s="80" t="s">
        <v>84</v>
      </c>
      <c r="D3616" s="80" t="s">
        <v>84</v>
      </c>
      <c r="E3616" s="80" t="s">
        <v>84</v>
      </c>
      <c r="G3616" s="80" t="s">
        <v>84</v>
      </c>
      <c r="H3616" s="80" t="s">
        <v>84</v>
      </c>
      <c r="I3616" s="80" t="s">
        <v>84</v>
      </c>
      <c r="J3616" s="80" t="s">
        <v>84</v>
      </c>
      <c r="K3616" s="80" t="s">
        <v>84</v>
      </c>
      <c r="L3616" s="80" t="s">
        <v>84</v>
      </c>
      <c r="M3616" s="80" t="s">
        <v>84</v>
      </c>
      <c r="N3616" s="80" t="s">
        <v>84</v>
      </c>
      <c r="O3616" s="80" t="s">
        <v>84</v>
      </c>
      <c r="Q3616" s="80" t="s">
        <v>84</v>
      </c>
      <c r="R3616" s="80" t="s">
        <v>84</v>
      </c>
    </row>
    <row r="3617" spans="1:18" ht="20" x14ac:dyDescent="0.2">
      <c r="A3617" s="80" t="s">
        <v>5941</v>
      </c>
      <c r="B3617" s="80" t="s">
        <v>5942</v>
      </c>
      <c r="C3617" s="80" t="s">
        <v>84</v>
      </c>
      <c r="D3617" s="80" t="s">
        <v>84</v>
      </c>
      <c r="E3617" s="80" t="s">
        <v>84</v>
      </c>
      <c r="G3617" s="80" t="s">
        <v>84</v>
      </c>
      <c r="H3617" s="80" t="s">
        <v>84</v>
      </c>
      <c r="I3617" s="80" t="s">
        <v>84</v>
      </c>
      <c r="J3617" s="80" t="s">
        <v>84</v>
      </c>
      <c r="K3617" s="80" t="s">
        <v>84</v>
      </c>
      <c r="L3617" s="80" t="s">
        <v>84</v>
      </c>
      <c r="M3617" s="80" t="s">
        <v>84</v>
      </c>
      <c r="N3617" s="80" t="s">
        <v>84</v>
      </c>
      <c r="O3617" s="80" t="s">
        <v>84</v>
      </c>
      <c r="Q3617" s="80" t="s">
        <v>84</v>
      </c>
      <c r="R3617" s="80" t="s">
        <v>84</v>
      </c>
    </row>
    <row r="3618" spans="1:18" ht="20" x14ac:dyDescent="0.2">
      <c r="A3618" s="80" t="s">
        <v>4681</v>
      </c>
      <c r="B3618" s="80" t="s">
        <v>4682</v>
      </c>
      <c r="C3618" s="80" t="s">
        <v>9680</v>
      </c>
      <c r="D3618" s="80" t="s">
        <v>84</v>
      </c>
      <c r="E3618" s="80" t="s">
        <v>84</v>
      </c>
      <c r="G3618" s="80" t="s">
        <v>84</v>
      </c>
      <c r="H3618" s="80" t="s">
        <v>84</v>
      </c>
      <c r="I3618" s="80" t="s">
        <v>84</v>
      </c>
      <c r="J3618" s="80" t="s">
        <v>84</v>
      </c>
      <c r="K3618" s="80" t="s">
        <v>84</v>
      </c>
      <c r="L3618" s="80" t="s">
        <v>84</v>
      </c>
      <c r="M3618" s="80" t="s">
        <v>84</v>
      </c>
      <c r="N3618" s="80" t="s">
        <v>84</v>
      </c>
      <c r="O3618" s="80" t="s">
        <v>84</v>
      </c>
      <c r="Q3618" s="80" t="s">
        <v>84</v>
      </c>
      <c r="R3618" s="80" t="s">
        <v>84</v>
      </c>
    </row>
    <row r="3619" spans="1:18" ht="20" x14ac:dyDescent="0.2">
      <c r="A3619" s="80" t="s">
        <v>5919</v>
      </c>
      <c r="B3619" s="80" t="s">
        <v>5920</v>
      </c>
      <c r="C3619" s="80" t="s">
        <v>84</v>
      </c>
      <c r="D3619" s="80" t="s">
        <v>84</v>
      </c>
      <c r="E3619" s="80" t="s">
        <v>84</v>
      </c>
      <c r="G3619" s="80" t="s">
        <v>84</v>
      </c>
      <c r="H3619" s="80" t="s">
        <v>84</v>
      </c>
      <c r="I3619" s="80" t="s">
        <v>84</v>
      </c>
      <c r="J3619" s="80" t="s">
        <v>84</v>
      </c>
      <c r="K3619" s="80" t="s">
        <v>84</v>
      </c>
      <c r="L3619" s="80" t="s">
        <v>84</v>
      </c>
      <c r="M3619" s="80" t="s">
        <v>84</v>
      </c>
      <c r="N3619" s="80" t="s">
        <v>84</v>
      </c>
      <c r="O3619" s="80" t="s">
        <v>84</v>
      </c>
      <c r="Q3619" s="80" t="s">
        <v>84</v>
      </c>
      <c r="R3619" s="80" t="s">
        <v>84</v>
      </c>
    </row>
    <row r="3620" spans="1:18" ht="20" x14ac:dyDescent="0.2">
      <c r="A3620" s="80" t="s">
        <v>4103</v>
      </c>
      <c r="B3620" s="80" t="s">
        <v>4104</v>
      </c>
      <c r="C3620" s="80" t="s">
        <v>9680</v>
      </c>
      <c r="D3620" s="80" t="s">
        <v>84</v>
      </c>
      <c r="E3620" s="80" t="s">
        <v>84</v>
      </c>
      <c r="G3620" s="80" t="s">
        <v>84</v>
      </c>
      <c r="H3620" s="80" t="s">
        <v>84</v>
      </c>
      <c r="I3620" s="80" t="s">
        <v>84</v>
      </c>
      <c r="J3620" s="80" t="s">
        <v>84</v>
      </c>
      <c r="K3620" s="80" t="s">
        <v>84</v>
      </c>
      <c r="L3620" s="80" t="s">
        <v>84</v>
      </c>
      <c r="M3620" s="80" t="s">
        <v>84</v>
      </c>
      <c r="N3620" s="80" t="s">
        <v>84</v>
      </c>
      <c r="O3620" s="80" t="s">
        <v>84</v>
      </c>
      <c r="Q3620" s="80" t="s">
        <v>84</v>
      </c>
      <c r="R3620" s="80" t="s">
        <v>84</v>
      </c>
    </row>
    <row r="3621" spans="1:18" ht="20" x14ac:dyDescent="0.2">
      <c r="A3621" s="80" t="s">
        <v>5900</v>
      </c>
      <c r="B3621" s="80" t="s">
        <v>5901</v>
      </c>
      <c r="C3621" s="80" t="s">
        <v>9680</v>
      </c>
      <c r="D3621" s="80" t="s">
        <v>84</v>
      </c>
      <c r="E3621" s="80" t="s">
        <v>84</v>
      </c>
      <c r="G3621" s="80" t="s">
        <v>84</v>
      </c>
      <c r="H3621" s="80" t="s">
        <v>84</v>
      </c>
      <c r="I3621" s="80" t="s">
        <v>84</v>
      </c>
      <c r="J3621" s="80" t="s">
        <v>84</v>
      </c>
      <c r="K3621" s="80" t="s">
        <v>84</v>
      </c>
      <c r="L3621" s="80" t="s">
        <v>84</v>
      </c>
      <c r="M3621" s="80" t="s">
        <v>84</v>
      </c>
      <c r="N3621" s="80" t="s">
        <v>84</v>
      </c>
      <c r="O3621" s="80" t="s">
        <v>84</v>
      </c>
      <c r="Q3621" s="80" t="s">
        <v>84</v>
      </c>
      <c r="R3621" s="80" t="s">
        <v>84</v>
      </c>
    </row>
    <row r="3622" spans="1:18" ht="20" x14ac:dyDescent="0.2">
      <c r="A3622" s="80" t="s">
        <v>2094</v>
      </c>
      <c r="B3622" s="80" t="s">
        <v>2095</v>
      </c>
      <c r="C3622" s="80" t="s">
        <v>9680</v>
      </c>
      <c r="D3622" s="80" t="s">
        <v>84</v>
      </c>
      <c r="E3622" s="80" t="s">
        <v>84</v>
      </c>
      <c r="G3622" s="80" t="s">
        <v>84</v>
      </c>
      <c r="H3622" s="80" t="s">
        <v>84</v>
      </c>
      <c r="I3622" s="80" t="s">
        <v>84</v>
      </c>
      <c r="J3622" s="80" t="s">
        <v>84</v>
      </c>
      <c r="K3622" s="80" t="s">
        <v>84</v>
      </c>
      <c r="L3622" s="80" t="s">
        <v>84</v>
      </c>
      <c r="M3622" s="80" t="s">
        <v>84</v>
      </c>
      <c r="N3622" s="80" t="s">
        <v>84</v>
      </c>
      <c r="O3622" s="80" t="s">
        <v>84</v>
      </c>
      <c r="Q3622" s="80" t="s">
        <v>84</v>
      </c>
      <c r="R3622" s="80" t="s">
        <v>84</v>
      </c>
    </row>
    <row r="3623" spans="1:18" ht="20" x14ac:dyDescent="0.2">
      <c r="A3623" s="80" t="s">
        <v>1766</v>
      </c>
      <c r="B3623" s="80" t="s">
        <v>1767</v>
      </c>
      <c r="C3623" s="80" t="s">
        <v>9680</v>
      </c>
      <c r="D3623" s="80" t="s">
        <v>84</v>
      </c>
      <c r="E3623" s="80" t="s">
        <v>84</v>
      </c>
      <c r="G3623" s="80" t="s">
        <v>84</v>
      </c>
      <c r="H3623" s="80" t="s">
        <v>84</v>
      </c>
      <c r="I3623" s="80" t="s">
        <v>84</v>
      </c>
      <c r="J3623" s="80" t="s">
        <v>84</v>
      </c>
      <c r="K3623" s="80" t="s">
        <v>84</v>
      </c>
      <c r="L3623" s="80" t="s">
        <v>84</v>
      </c>
      <c r="M3623" s="80" t="s">
        <v>84</v>
      </c>
      <c r="N3623" s="80" t="s">
        <v>84</v>
      </c>
      <c r="O3623" s="80" t="s">
        <v>84</v>
      </c>
      <c r="Q3623" s="80" t="s">
        <v>84</v>
      </c>
      <c r="R3623" s="80" t="s">
        <v>84</v>
      </c>
    </row>
    <row r="3624" spans="1:18" ht="20" x14ac:dyDescent="0.2">
      <c r="A3624" s="80" t="s">
        <v>1465</v>
      </c>
      <c r="B3624" s="80" t="s">
        <v>1466</v>
      </c>
      <c r="C3624" s="80" t="s">
        <v>84</v>
      </c>
      <c r="D3624" s="80" t="s">
        <v>84</v>
      </c>
      <c r="E3624" s="80" t="s">
        <v>84</v>
      </c>
      <c r="G3624" s="80" t="s">
        <v>84</v>
      </c>
      <c r="H3624" s="80" t="s">
        <v>84</v>
      </c>
      <c r="I3624" s="80" t="s">
        <v>84</v>
      </c>
      <c r="J3624" s="80" t="s">
        <v>84</v>
      </c>
      <c r="K3624" s="80" t="s">
        <v>84</v>
      </c>
      <c r="L3624" s="80" t="s">
        <v>84</v>
      </c>
      <c r="M3624" s="80" t="s">
        <v>84</v>
      </c>
      <c r="N3624" s="80" t="s">
        <v>84</v>
      </c>
      <c r="O3624" s="80" t="s">
        <v>84</v>
      </c>
      <c r="Q3624" s="80" t="s">
        <v>84</v>
      </c>
      <c r="R3624" s="80" t="s">
        <v>84</v>
      </c>
    </row>
    <row r="3625" spans="1:18" ht="20" x14ac:dyDescent="0.2">
      <c r="A3625" s="80" t="s">
        <v>160</v>
      </c>
      <c r="B3625" s="80" t="s">
        <v>161</v>
      </c>
      <c r="C3625" s="80" t="s">
        <v>84</v>
      </c>
      <c r="D3625" s="80" t="s">
        <v>84</v>
      </c>
      <c r="E3625" s="80" t="s">
        <v>84</v>
      </c>
      <c r="G3625" s="80" t="s">
        <v>84</v>
      </c>
      <c r="H3625" s="80" t="s">
        <v>84</v>
      </c>
      <c r="I3625" s="80" t="s">
        <v>84</v>
      </c>
      <c r="J3625" s="80" t="s">
        <v>84</v>
      </c>
      <c r="K3625" s="80" t="s">
        <v>84</v>
      </c>
      <c r="L3625" s="80" t="s">
        <v>84</v>
      </c>
      <c r="M3625" s="80" t="s">
        <v>84</v>
      </c>
      <c r="N3625" s="80" t="s">
        <v>84</v>
      </c>
      <c r="O3625" s="80" t="s">
        <v>84</v>
      </c>
      <c r="Q3625" s="80" t="s">
        <v>84</v>
      </c>
      <c r="R3625" s="80" t="s">
        <v>84</v>
      </c>
    </row>
    <row r="3626" spans="1:18" ht="20" x14ac:dyDescent="0.2">
      <c r="A3626" s="80" t="s">
        <v>160</v>
      </c>
      <c r="B3626" s="80" t="s">
        <v>10843</v>
      </c>
      <c r="C3626" s="80" t="s">
        <v>84</v>
      </c>
      <c r="D3626" s="80" t="s">
        <v>84</v>
      </c>
      <c r="E3626" s="80" t="s">
        <v>84</v>
      </c>
      <c r="G3626" s="80" t="s">
        <v>84</v>
      </c>
      <c r="H3626" s="80" t="s">
        <v>84</v>
      </c>
      <c r="I3626" s="80" t="s">
        <v>84</v>
      </c>
      <c r="J3626" s="80" t="s">
        <v>84</v>
      </c>
      <c r="K3626" s="80" t="s">
        <v>84</v>
      </c>
      <c r="L3626" s="80" t="s">
        <v>84</v>
      </c>
      <c r="M3626" s="80" t="s">
        <v>84</v>
      </c>
      <c r="N3626" s="80" t="s">
        <v>84</v>
      </c>
      <c r="O3626" s="80" t="s">
        <v>84</v>
      </c>
      <c r="Q3626" s="80" t="s">
        <v>84</v>
      </c>
      <c r="R3626" s="80" t="s">
        <v>84</v>
      </c>
    </row>
    <row r="3627" spans="1:18" ht="20" x14ac:dyDescent="0.2">
      <c r="A3627" s="80" t="s">
        <v>160</v>
      </c>
      <c r="B3627" s="80" t="s">
        <v>262</v>
      </c>
      <c r="C3627" s="80" t="s">
        <v>84</v>
      </c>
      <c r="D3627" s="80" t="s">
        <v>84</v>
      </c>
      <c r="E3627" s="80" t="s">
        <v>84</v>
      </c>
      <c r="G3627" s="80" t="s">
        <v>84</v>
      </c>
      <c r="H3627" s="80" t="s">
        <v>84</v>
      </c>
      <c r="I3627" s="80" t="s">
        <v>84</v>
      </c>
      <c r="J3627" s="80" t="s">
        <v>84</v>
      </c>
      <c r="K3627" s="80" t="s">
        <v>84</v>
      </c>
      <c r="L3627" s="80" t="s">
        <v>84</v>
      </c>
      <c r="M3627" s="80" t="s">
        <v>84</v>
      </c>
      <c r="N3627" s="80" t="s">
        <v>84</v>
      </c>
      <c r="O3627" s="80" t="s">
        <v>84</v>
      </c>
      <c r="Q3627" s="80" t="s">
        <v>84</v>
      </c>
      <c r="R3627" s="80" t="s">
        <v>84</v>
      </c>
    </row>
    <row r="3628" spans="1:18" ht="20" x14ac:dyDescent="0.2">
      <c r="A3628" s="80" t="s">
        <v>5771</v>
      </c>
      <c r="B3628" s="80" t="s">
        <v>5772</v>
      </c>
      <c r="C3628" s="80" t="s">
        <v>84</v>
      </c>
      <c r="D3628" s="80" t="s">
        <v>84</v>
      </c>
      <c r="E3628" s="80" t="s">
        <v>84</v>
      </c>
      <c r="G3628" s="80" t="s">
        <v>84</v>
      </c>
      <c r="H3628" s="80" t="s">
        <v>84</v>
      </c>
      <c r="I3628" s="80" t="s">
        <v>84</v>
      </c>
      <c r="J3628" s="80" t="s">
        <v>84</v>
      </c>
      <c r="K3628" s="80" t="s">
        <v>84</v>
      </c>
      <c r="L3628" s="80" t="s">
        <v>84</v>
      </c>
      <c r="M3628" s="80" t="s">
        <v>84</v>
      </c>
      <c r="N3628" s="80" t="s">
        <v>84</v>
      </c>
      <c r="O3628" s="80" t="s">
        <v>84</v>
      </c>
      <c r="Q3628" s="80" t="s">
        <v>84</v>
      </c>
      <c r="R3628" s="80" t="s">
        <v>84</v>
      </c>
    </row>
    <row r="3629" spans="1:18" ht="20" x14ac:dyDescent="0.2">
      <c r="A3629" s="80" t="s">
        <v>1743</v>
      </c>
      <c r="B3629" s="80" t="s">
        <v>1744</v>
      </c>
      <c r="C3629" s="80" t="s">
        <v>9722</v>
      </c>
      <c r="D3629" s="80" t="s">
        <v>84</v>
      </c>
      <c r="E3629" s="80" t="s">
        <v>84</v>
      </c>
      <c r="G3629" s="80" t="s">
        <v>84</v>
      </c>
      <c r="H3629" s="80" t="s">
        <v>84</v>
      </c>
      <c r="I3629" s="80" t="s">
        <v>84</v>
      </c>
      <c r="J3629" s="80" t="s">
        <v>84</v>
      </c>
      <c r="K3629" s="80" t="s">
        <v>84</v>
      </c>
      <c r="L3629" s="80" t="s">
        <v>84</v>
      </c>
      <c r="M3629" s="80" t="s">
        <v>84</v>
      </c>
      <c r="N3629" s="80" t="s">
        <v>84</v>
      </c>
      <c r="O3629" s="80" t="s">
        <v>84</v>
      </c>
      <c r="Q3629" s="80" t="s">
        <v>84</v>
      </c>
      <c r="R3629" s="80" t="s">
        <v>84</v>
      </c>
    </row>
    <row r="3630" spans="1:18" ht="20" x14ac:dyDescent="0.2">
      <c r="A3630" s="80" t="s">
        <v>4052</v>
      </c>
      <c r="B3630" s="80" t="s">
        <v>4053</v>
      </c>
      <c r="C3630" s="80" t="s">
        <v>84</v>
      </c>
      <c r="D3630" s="80" t="s">
        <v>84</v>
      </c>
      <c r="E3630" s="80" t="s">
        <v>84</v>
      </c>
      <c r="G3630" s="80" t="s">
        <v>84</v>
      </c>
      <c r="H3630" s="80" t="s">
        <v>84</v>
      </c>
      <c r="I3630" s="80" t="s">
        <v>84</v>
      </c>
      <c r="J3630" s="80" t="s">
        <v>84</v>
      </c>
      <c r="K3630" s="80" t="s">
        <v>84</v>
      </c>
      <c r="L3630" s="80" t="s">
        <v>84</v>
      </c>
      <c r="M3630" s="80" t="s">
        <v>84</v>
      </c>
      <c r="N3630" s="80" t="s">
        <v>84</v>
      </c>
      <c r="O3630" s="80" t="s">
        <v>84</v>
      </c>
      <c r="Q3630" s="80" t="s">
        <v>84</v>
      </c>
      <c r="R3630" s="80" t="s">
        <v>84</v>
      </c>
    </row>
    <row r="3631" spans="1:18" ht="20" x14ac:dyDescent="0.2">
      <c r="A3631" s="80" t="s">
        <v>5295</v>
      </c>
      <c r="B3631" s="80" t="s">
        <v>5296</v>
      </c>
      <c r="C3631" s="80" t="s">
        <v>9722</v>
      </c>
      <c r="D3631" s="80" t="s">
        <v>84</v>
      </c>
      <c r="E3631" s="80" t="s">
        <v>84</v>
      </c>
      <c r="G3631" s="80" t="s">
        <v>84</v>
      </c>
      <c r="H3631" s="80" t="s">
        <v>84</v>
      </c>
      <c r="I3631" s="80" t="s">
        <v>84</v>
      </c>
      <c r="J3631" s="80" t="s">
        <v>84</v>
      </c>
      <c r="K3631" s="80" t="s">
        <v>84</v>
      </c>
      <c r="L3631" s="80" t="s">
        <v>84</v>
      </c>
      <c r="M3631" s="80" t="s">
        <v>84</v>
      </c>
      <c r="N3631" s="80" t="s">
        <v>84</v>
      </c>
      <c r="O3631" s="80" t="s">
        <v>84</v>
      </c>
      <c r="Q3631" s="80" t="s">
        <v>84</v>
      </c>
      <c r="R3631" s="80" t="s">
        <v>84</v>
      </c>
    </row>
    <row r="3632" spans="1:18" ht="20" x14ac:dyDescent="0.2">
      <c r="A3632" s="80" t="s">
        <v>1775</v>
      </c>
      <c r="B3632" s="80" t="s">
        <v>1776</v>
      </c>
      <c r="C3632" s="80" t="s">
        <v>9680</v>
      </c>
      <c r="D3632" s="80" t="s">
        <v>84</v>
      </c>
      <c r="E3632" s="80" t="s">
        <v>84</v>
      </c>
      <c r="G3632" s="80" t="s">
        <v>84</v>
      </c>
      <c r="H3632" s="80" t="s">
        <v>84</v>
      </c>
      <c r="I3632" s="80" t="s">
        <v>84</v>
      </c>
      <c r="J3632" s="80" t="s">
        <v>84</v>
      </c>
      <c r="K3632" s="80" t="s">
        <v>84</v>
      </c>
      <c r="L3632" s="80" t="s">
        <v>84</v>
      </c>
      <c r="M3632" s="80" t="s">
        <v>84</v>
      </c>
      <c r="N3632" s="80" t="s">
        <v>84</v>
      </c>
      <c r="O3632" s="80" t="s">
        <v>84</v>
      </c>
      <c r="Q3632" s="80" t="s">
        <v>84</v>
      </c>
      <c r="R3632" s="80" t="s">
        <v>84</v>
      </c>
    </row>
    <row r="3633" spans="1:18" ht="20" x14ac:dyDescent="0.2">
      <c r="A3633" s="80" t="s">
        <v>1775</v>
      </c>
      <c r="B3633" s="80" t="s">
        <v>10844</v>
      </c>
      <c r="C3633" s="80" t="s">
        <v>9680</v>
      </c>
      <c r="D3633" s="80" t="s">
        <v>84</v>
      </c>
      <c r="E3633" s="80" t="s">
        <v>84</v>
      </c>
      <c r="G3633" s="80" t="s">
        <v>84</v>
      </c>
      <c r="H3633" s="80" t="s">
        <v>84</v>
      </c>
      <c r="I3633" s="80" t="s">
        <v>84</v>
      </c>
      <c r="J3633" s="80" t="s">
        <v>84</v>
      </c>
      <c r="K3633" s="80" t="s">
        <v>84</v>
      </c>
      <c r="L3633" s="80" t="s">
        <v>84</v>
      </c>
      <c r="M3633" s="80" t="s">
        <v>84</v>
      </c>
      <c r="N3633" s="80" t="s">
        <v>84</v>
      </c>
      <c r="O3633" s="80" t="s">
        <v>84</v>
      </c>
      <c r="Q3633" s="80" t="s">
        <v>84</v>
      </c>
      <c r="R3633" s="80" t="s">
        <v>84</v>
      </c>
    </row>
    <row r="3634" spans="1:18" ht="20" x14ac:dyDescent="0.2">
      <c r="A3634" s="80" t="s">
        <v>5709</v>
      </c>
      <c r="B3634" s="80" t="s">
        <v>5710</v>
      </c>
      <c r="C3634" s="80" t="s">
        <v>9680</v>
      </c>
      <c r="D3634" s="80" t="s">
        <v>84</v>
      </c>
      <c r="E3634" s="80" t="s">
        <v>84</v>
      </c>
      <c r="G3634" s="80" t="s">
        <v>84</v>
      </c>
      <c r="H3634" s="80" t="s">
        <v>84</v>
      </c>
      <c r="I3634" s="80" t="s">
        <v>84</v>
      </c>
      <c r="J3634" s="80" t="s">
        <v>84</v>
      </c>
      <c r="K3634" s="80" t="s">
        <v>84</v>
      </c>
      <c r="L3634" s="80" t="s">
        <v>84</v>
      </c>
      <c r="M3634" s="80" t="s">
        <v>84</v>
      </c>
      <c r="N3634" s="80" t="s">
        <v>84</v>
      </c>
      <c r="O3634" s="80" t="s">
        <v>84</v>
      </c>
      <c r="Q3634" s="80" t="s">
        <v>84</v>
      </c>
      <c r="R3634" s="80" t="s">
        <v>84</v>
      </c>
    </row>
    <row r="3635" spans="1:18" ht="20" x14ac:dyDescent="0.2">
      <c r="A3635" s="80" t="s">
        <v>5711</v>
      </c>
      <c r="B3635" s="80" t="s">
        <v>5712</v>
      </c>
      <c r="C3635" s="80" t="s">
        <v>9680</v>
      </c>
      <c r="D3635" s="80" t="s">
        <v>84</v>
      </c>
      <c r="E3635" s="80" t="s">
        <v>84</v>
      </c>
      <c r="G3635" s="80" t="s">
        <v>84</v>
      </c>
      <c r="H3635" s="80" t="s">
        <v>84</v>
      </c>
      <c r="I3635" s="80" t="s">
        <v>84</v>
      </c>
      <c r="J3635" s="80" t="s">
        <v>84</v>
      </c>
      <c r="K3635" s="80" t="s">
        <v>84</v>
      </c>
      <c r="L3635" s="80" t="s">
        <v>84</v>
      </c>
      <c r="M3635" s="80" t="s">
        <v>84</v>
      </c>
      <c r="N3635" s="80" t="s">
        <v>84</v>
      </c>
      <c r="O3635" s="80" t="s">
        <v>84</v>
      </c>
      <c r="Q3635" s="80" t="s">
        <v>84</v>
      </c>
      <c r="R3635" s="80" t="s">
        <v>84</v>
      </c>
    </row>
    <row r="3636" spans="1:18" ht="20" x14ac:dyDescent="0.2">
      <c r="A3636" s="80" t="s">
        <v>4891</v>
      </c>
      <c r="B3636" s="80" t="s">
        <v>4892</v>
      </c>
      <c r="C3636" s="80" t="s">
        <v>84</v>
      </c>
      <c r="D3636" s="80" t="s">
        <v>84</v>
      </c>
      <c r="E3636" s="80" t="s">
        <v>84</v>
      </c>
      <c r="G3636" s="80" t="s">
        <v>84</v>
      </c>
      <c r="H3636" s="80" t="s">
        <v>84</v>
      </c>
      <c r="I3636" s="80" t="s">
        <v>84</v>
      </c>
      <c r="J3636" s="80" t="s">
        <v>84</v>
      </c>
      <c r="K3636" s="80" t="s">
        <v>84</v>
      </c>
      <c r="L3636" s="80" t="s">
        <v>84</v>
      </c>
      <c r="M3636" s="80" t="s">
        <v>84</v>
      </c>
      <c r="N3636" s="80" t="s">
        <v>84</v>
      </c>
      <c r="O3636" s="80" t="s">
        <v>84</v>
      </c>
      <c r="Q3636" s="80" t="s">
        <v>84</v>
      </c>
      <c r="R3636" s="80" t="s">
        <v>84</v>
      </c>
    </row>
    <row r="3637" spans="1:18" ht="20" x14ac:dyDescent="0.2">
      <c r="A3637" s="80" t="s">
        <v>176</v>
      </c>
      <c r="B3637" s="80" t="s">
        <v>177</v>
      </c>
      <c r="C3637" s="80" t="s">
        <v>84</v>
      </c>
      <c r="D3637" s="80" t="s">
        <v>84</v>
      </c>
      <c r="E3637" s="80" t="s">
        <v>84</v>
      </c>
      <c r="G3637" s="80" t="s">
        <v>84</v>
      </c>
      <c r="H3637" s="80" t="s">
        <v>84</v>
      </c>
      <c r="I3637" s="80" t="s">
        <v>84</v>
      </c>
      <c r="J3637" s="80" t="s">
        <v>84</v>
      </c>
      <c r="K3637" s="80" t="s">
        <v>84</v>
      </c>
      <c r="L3637" s="80" t="s">
        <v>84</v>
      </c>
      <c r="M3637" s="80" t="s">
        <v>84</v>
      </c>
      <c r="N3637" s="80" t="s">
        <v>84</v>
      </c>
      <c r="O3637" s="80" t="s">
        <v>84</v>
      </c>
      <c r="Q3637" s="80" t="s">
        <v>84</v>
      </c>
      <c r="R3637" s="80" t="s">
        <v>84</v>
      </c>
    </row>
    <row r="3638" spans="1:18" ht="20" x14ac:dyDescent="0.2">
      <c r="A3638" s="80" t="s">
        <v>4092</v>
      </c>
      <c r="B3638" s="80" t="s">
        <v>4093</v>
      </c>
      <c r="C3638" s="80" t="s">
        <v>84</v>
      </c>
      <c r="D3638" s="80" t="s">
        <v>84</v>
      </c>
      <c r="E3638" s="80" t="s">
        <v>84</v>
      </c>
      <c r="G3638" s="80" t="s">
        <v>84</v>
      </c>
      <c r="H3638" s="80" t="s">
        <v>84</v>
      </c>
      <c r="I3638" s="80" t="s">
        <v>84</v>
      </c>
      <c r="J3638" s="80" t="s">
        <v>84</v>
      </c>
      <c r="K3638" s="80" t="s">
        <v>84</v>
      </c>
      <c r="L3638" s="80" t="s">
        <v>84</v>
      </c>
      <c r="M3638" s="80" t="s">
        <v>84</v>
      </c>
      <c r="N3638" s="80" t="s">
        <v>84</v>
      </c>
      <c r="O3638" s="80" t="s">
        <v>84</v>
      </c>
      <c r="Q3638" s="80" t="s">
        <v>84</v>
      </c>
      <c r="R3638" s="80" t="s">
        <v>84</v>
      </c>
    </row>
    <row r="3639" spans="1:18" ht="20" x14ac:dyDescent="0.2">
      <c r="A3639" s="80" t="s">
        <v>3245</v>
      </c>
      <c r="B3639" s="80" t="s">
        <v>3246</v>
      </c>
      <c r="C3639" s="80" t="s">
        <v>9680</v>
      </c>
      <c r="D3639" s="80" t="s">
        <v>84</v>
      </c>
      <c r="E3639" s="80" t="s">
        <v>84</v>
      </c>
      <c r="G3639" s="80" t="s">
        <v>84</v>
      </c>
      <c r="H3639" s="80" t="s">
        <v>84</v>
      </c>
      <c r="I3639" s="80" t="s">
        <v>84</v>
      </c>
      <c r="J3639" s="80" t="s">
        <v>84</v>
      </c>
      <c r="K3639" s="80" t="s">
        <v>84</v>
      </c>
      <c r="L3639" s="80" t="s">
        <v>84</v>
      </c>
      <c r="M3639" s="80" t="s">
        <v>84</v>
      </c>
      <c r="N3639" s="80" t="s">
        <v>84</v>
      </c>
      <c r="O3639" s="80" t="s">
        <v>84</v>
      </c>
      <c r="Q3639" s="80" t="s">
        <v>84</v>
      </c>
      <c r="R3639" s="80" t="s">
        <v>84</v>
      </c>
    </row>
    <row r="3640" spans="1:18" ht="20" x14ac:dyDescent="0.2">
      <c r="A3640" s="80" t="s">
        <v>3247</v>
      </c>
      <c r="B3640" s="80" t="s">
        <v>3248</v>
      </c>
      <c r="C3640" s="80" t="s">
        <v>9680</v>
      </c>
      <c r="D3640" s="80" t="s">
        <v>84</v>
      </c>
      <c r="E3640" s="80" t="s">
        <v>84</v>
      </c>
      <c r="G3640" s="80" t="s">
        <v>84</v>
      </c>
      <c r="H3640" s="80" t="s">
        <v>84</v>
      </c>
      <c r="I3640" s="80" t="s">
        <v>84</v>
      </c>
      <c r="J3640" s="80" t="s">
        <v>84</v>
      </c>
      <c r="K3640" s="80" t="s">
        <v>84</v>
      </c>
      <c r="L3640" s="80" t="s">
        <v>84</v>
      </c>
      <c r="M3640" s="80" t="s">
        <v>84</v>
      </c>
      <c r="N3640" s="80" t="s">
        <v>84</v>
      </c>
      <c r="O3640" s="80" t="s">
        <v>84</v>
      </c>
      <c r="Q3640" s="80" t="s">
        <v>84</v>
      </c>
      <c r="R3640" s="80" t="s">
        <v>84</v>
      </c>
    </row>
    <row r="3641" spans="1:18" ht="20" x14ac:dyDescent="0.2">
      <c r="A3641" s="80" t="s">
        <v>5914</v>
      </c>
      <c r="B3641" s="80" t="s">
        <v>5915</v>
      </c>
      <c r="C3641" s="80" t="s">
        <v>84</v>
      </c>
      <c r="D3641" s="80" t="s">
        <v>84</v>
      </c>
      <c r="E3641" s="80" t="s">
        <v>84</v>
      </c>
      <c r="G3641" s="80" t="s">
        <v>84</v>
      </c>
      <c r="H3641" s="80" t="s">
        <v>84</v>
      </c>
      <c r="I3641" s="80" t="s">
        <v>84</v>
      </c>
      <c r="J3641" s="80" t="s">
        <v>84</v>
      </c>
      <c r="K3641" s="80" t="s">
        <v>84</v>
      </c>
      <c r="L3641" s="80" t="s">
        <v>84</v>
      </c>
      <c r="M3641" s="80" t="s">
        <v>84</v>
      </c>
      <c r="N3641" s="80" t="s">
        <v>84</v>
      </c>
      <c r="O3641" s="80" t="s">
        <v>84</v>
      </c>
      <c r="Q3641" s="80" t="s">
        <v>84</v>
      </c>
      <c r="R3641" s="80" t="s">
        <v>84</v>
      </c>
    </row>
    <row r="3642" spans="1:18" ht="20" x14ac:dyDescent="0.2">
      <c r="A3642" s="80" t="s">
        <v>4135</v>
      </c>
      <c r="B3642" s="80" t="s">
        <v>10845</v>
      </c>
      <c r="C3642" s="80" t="s">
        <v>84</v>
      </c>
      <c r="D3642" s="80" t="s">
        <v>84</v>
      </c>
      <c r="E3642" s="80" t="s">
        <v>84</v>
      </c>
      <c r="G3642" s="80" t="s">
        <v>84</v>
      </c>
      <c r="H3642" s="80" t="s">
        <v>84</v>
      </c>
      <c r="I3642" s="80" t="s">
        <v>84</v>
      </c>
      <c r="J3642" s="80" t="s">
        <v>84</v>
      </c>
      <c r="K3642" s="80" t="s">
        <v>84</v>
      </c>
      <c r="L3642" s="80" t="s">
        <v>84</v>
      </c>
      <c r="M3642" s="80" t="s">
        <v>84</v>
      </c>
      <c r="N3642" s="80" t="s">
        <v>84</v>
      </c>
      <c r="O3642" s="80" t="s">
        <v>84</v>
      </c>
      <c r="Q3642" s="80" t="s">
        <v>84</v>
      </c>
      <c r="R3642" s="80" t="s">
        <v>84</v>
      </c>
    </row>
    <row r="3643" spans="1:18" ht="20" x14ac:dyDescent="0.2">
      <c r="A3643" s="80" t="s">
        <v>4135</v>
      </c>
      <c r="B3643" s="80" t="s">
        <v>4136</v>
      </c>
      <c r="C3643" s="80" t="s">
        <v>84</v>
      </c>
      <c r="D3643" s="80" t="s">
        <v>84</v>
      </c>
      <c r="E3643" s="80" t="s">
        <v>84</v>
      </c>
      <c r="G3643" s="80" t="s">
        <v>84</v>
      </c>
      <c r="H3643" s="80" t="s">
        <v>84</v>
      </c>
      <c r="I3643" s="80" t="s">
        <v>84</v>
      </c>
      <c r="J3643" s="80" t="s">
        <v>84</v>
      </c>
      <c r="K3643" s="80" t="s">
        <v>84</v>
      </c>
      <c r="L3643" s="80" t="s">
        <v>84</v>
      </c>
      <c r="M3643" s="80" t="s">
        <v>84</v>
      </c>
      <c r="N3643" s="80" t="s">
        <v>84</v>
      </c>
      <c r="O3643" s="80" t="s">
        <v>84</v>
      </c>
      <c r="Q3643" s="80" t="s">
        <v>84</v>
      </c>
      <c r="R3643" s="80" t="s">
        <v>84</v>
      </c>
    </row>
    <row r="3644" spans="1:18" ht="20" x14ac:dyDescent="0.2">
      <c r="A3644" s="80" t="s">
        <v>4086</v>
      </c>
      <c r="B3644" s="80" t="s">
        <v>4087</v>
      </c>
      <c r="C3644" s="80" t="s">
        <v>84</v>
      </c>
      <c r="D3644" s="80" t="s">
        <v>84</v>
      </c>
      <c r="E3644" s="80" t="s">
        <v>84</v>
      </c>
      <c r="G3644" s="80" t="s">
        <v>84</v>
      </c>
      <c r="H3644" s="80" t="s">
        <v>84</v>
      </c>
      <c r="I3644" s="80" t="s">
        <v>84</v>
      </c>
      <c r="J3644" s="80" t="s">
        <v>84</v>
      </c>
      <c r="K3644" s="80" t="s">
        <v>84</v>
      </c>
      <c r="L3644" s="80" t="s">
        <v>84</v>
      </c>
      <c r="M3644" s="80" t="s">
        <v>84</v>
      </c>
      <c r="N3644" s="80" t="s">
        <v>84</v>
      </c>
      <c r="O3644" s="80" t="s">
        <v>84</v>
      </c>
      <c r="Q3644" s="80" t="s">
        <v>84</v>
      </c>
      <c r="R3644" s="80" t="s">
        <v>84</v>
      </c>
    </row>
    <row r="3645" spans="1:18" ht="20" x14ac:dyDescent="0.2">
      <c r="A3645" s="80" t="s">
        <v>288</v>
      </c>
      <c r="B3645" s="80" t="s">
        <v>289</v>
      </c>
      <c r="C3645" s="80" t="s">
        <v>84</v>
      </c>
      <c r="D3645" s="80" t="s">
        <v>84</v>
      </c>
      <c r="E3645" s="80" t="s">
        <v>84</v>
      </c>
      <c r="G3645" s="80" t="s">
        <v>84</v>
      </c>
      <c r="H3645" s="80" t="s">
        <v>84</v>
      </c>
      <c r="I3645" s="80" t="s">
        <v>84</v>
      </c>
      <c r="J3645" s="80" t="s">
        <v>84</v>
      </c>
      <c r="K3645" s="80" t="s">
        <v>84</v>
      </c>
      <c r="L3645" s="80" t="s">
        <v>84</v>
      </c>
      <c r="M3645" s="80" t="s">
        <v>84</v>
      </c>
      <c r="N3645" s="80" t="s">
        <v>84</v>
      </c>
      <c r="O3645" s="80" t="s">
        <v>84</v>
      </c>
      <c r="Q3645" s="80" t="s">
        <v>84</v>
      </c>
      <c r="R3645" s="80" t="s">
        <v>84</v>
      </c>
    </row>
    <row r="3646" spans="1:18" ht="20" x14ac:dyDescent="0.2">
      <c r="A3646" s="80" t="s">
        <v>4962</v>
      </c>
      <c r="B3646" s="80" t="s">
        <v>4963</v>
      </c>
      <c r="C3646" s="80" t="s">
        <v>9680</v>
      </c>
      <c r="D3646" s="80" t="s">
        <v>84</v>
      </c>
      <c r="E3646" s="80" t="s">
        <v>84</v>
      </c>
      <c r="G3646" s="80" t="s">
        <v>84</v>
      </c>
      <c r="H3646" s="80" t="s">
        <v>84</v>
      </c>
      <c r="I3646" s="80" t="s">
        <v>84</v>
      </c>
      <c r="J3646" s="80" t="s">
        <v>84</v>
      </c>
      <c r="K3646" s="80" t="s">
        <v>84</v>
      </c>
      <c r="L3646" s="80" t="s">
        <v>84</v>
      </c>
      <c r="M3646" s="80" t="s">
        <v>84</v>
      </c>
      <c r="N3646" s="80" t="s">
        <v>84</v>
      </c>
      <c r="O3646" s="80" t="s">
        <v>84</v>
      </c>
      <c r="Q3646" s="80" t="s">
        <v>84</v>
      </c>
      <c r="R3646" s="80" t="s">
        <v>84</v>
      </c>
    </row>
    <row r="3647" spans="1:18" ht="20" x14ac:dyDescent="0.2">
      <c r="A3647" s="80" t="s">
        <v>5713</v>
      </c>
      <c r="B3647" s="80" t="s">
        <v>5714</v>
      </c>
      <c r="C3647" s="80" t="s">
        <v>9680</v>
      </c>
      <c r="D3647" s="80" t="s">
        <v>84</v>
      </c>
      <c r="E3647" s="80" t="s">
        <v>84</v>
      </c>
      <c r="G3647" s="80" t="s">
        <v>84</v>
      </c>
      <c r="H3647" s="80" t="s">
        <v>84</v>
      </c>
      <c r="I3647" s="80" t="s">
        <v>84</v>
      </c>
      <c r="J3647" s="80" t="s">
        <v>84</v>
      </c>
      <c r="K3647" s="80" t="s">
        <v>84</v>
      </c>
      <c r="L3647" s="80" t="s">
        <v>84</v>
      </c>
      <c r="M3647" s="80" t="s">
        <v>84</v>
      </c>
      <c r="N3647" s="80" t="s">
        <v>84</v>
      </c>
      <c r="O3647" s="80" t="s">
        <v>84</v>
      </c>
      <c r="Q3647" s="80" t="s">
        <v>84</v>
      </c>
      <c r="R3647" s="80" t="s">
        <v>84</v>
      </c>
    </row>
    <row r="3648" spans="1:18" ht="20" x14ac:dyDescent="0.2">
      <c r="A3648" s="80" t="s">
        <v>131</v>
      </c>
      <c r="B3648" s="80" t="s">
        <v>132</v>
      </c>
      <c r="C3648" s="80" t="s">
        <v>84</v>
      </c>
      <c r="D3648" s="80" t="s">
        <v>84</v>
      </c>
      <c r="E3648" s="80" t="s">
        <v>84</v>
      </c>
      <c r="G3648" s="80" t="s">
        <v>84</v>
      </c>
      <c r="H3648" s="80" t="s">
        <v>84</v>
      </c>
      <c r="I3648" s="80" t="s">
        <v>84</v>
      </c>
      <c r="J3648" s="80" t="s">
        <v>84</v>
      </c>
      <c r="K3648" s="80" t="s">
        <v>84</v>
      </c>
      <c r="L3648" s="80" t="s">
        <v>84</v>
      </c>
      <c r="M3648" s="80" t="s">
        <v>84</v>
      </c>
      <c r="N3648" s="80" t="s">
        <v>84</v>
      </c>
      <c r="O3648" s="80" t="s">
        <v>84</v>
      </c>
      <c r="Q3648" s="80" t="s">
        <v>84</v>
      </c>
      <c r="R3648" s="80" t="s">
        <v>84</v>
      </c>
    </row>
    <row r="3649" spans="1:18" ht="20" x14ac:dyDescent="0.2">
      <c r="A3649" s="80" t="s">
        <v>2658</v>
      </c>
      <c r="B3649" s="80" t="s">
        <v>2659</v>
      </c>
      <c r="C3649" s="80" t="s">
        <v>84</v>
      </c>
      <c r="D3649" s="80" t="s">
        <v>84</v>
      </c>
      <c r="E3649" s="80" t="s">
        <v>84</v>
      </c>
      <c r="G3649" s="80" t="s">
        <v>84</v>
      </c>
      <c r="H3649" s="80" t="s">
        <v>84</v>
      </c>
      <c r="I3649" s="80" t="s">
        <v>84</v>
      </c>
      <c r="J3649" s="80" t="s">
        <v>84</v>
      </c>
      <c r="K3649" s="80" t="s">
        <v>84</v>
      </c>
      <c r="L3649" s="80" t="s">
        <v>84</v>
      </c>
      <c r="M3649" s="80" t="s">
        <v>84</v>
      </c>
      <c r="N3649" s="80" t="s">
        <v>84</v>
      </c>
      <c r="O3649" s="80" t="s">
        <v>84</v>
      </c>
      <c r="Q3649" s="80" t="s">
        <v>84</v>
      </c>
      <c r="R3649" s="80" t="s">
        <v>84</v>
      </c>
    </row>
    <row r="3650" spans="1:18" ht="20" x14ac:dyDescent="0.2">
      <c r="A3650" s="80" t="s">
        <v>5757</v>
      </c>
      <c r="B3650" s="80" t="s">
        <v>5758</v>
      </c>
      <c r="C3650" s="80" t="s">
        <v>84</v>
      </c>
      <c r="D3650" s="80" t="s">
        <v>84</v>
      </c>
      <c r="E3650" s="80" t="s">
        <v>84</v>
      </c>
      <c r="G3650" s="80" t="s">
        <v>84</v>
      </c>
      <c r="H3650" s="80" t="s">
        <v>84</v>
      </c>
      <c r="I3650" s="80" t="s">
        <v>84</v>
      </c>
      <c r="J3650" s="80" t="s">
        <v>84</v>
      </c>
      <c r="K3650" s="80" t="s">
        <v>84</v>
      </c>
      <c r="L3650" s="80" t="s">
        <v>84</v>
      </c>
      <c r="M3650" s="80" t="s">
        <v>84</v>
      </c>
      <c r="N3650" s="80" t="s">
        <v>84</v>
      </c>
      <c r="O3650" s="80" t="s">
        <v>84</v>
      </c>
      <c r="Q3650" s="80" t="s">
        <v>84</v>
      </c>
      <c r="R3650" s="80" t="s">
        <v>84</v>
      </c>
    </row>
    <row r="3651" spans="1:18" ht="20" x14ac:dyDescent="0.2">
      <c r="A3651" s="80" t="s">
        <v>5854</v>
      </c>
      <c r="B3651" s="80" t="s">
        <v>5855</v>
      </c>
      <c r="C3651" s="80" t="s">
        <v>9680</v>
      </c>
      <c r="D3651" s="80" t="s">
        <v>84</v>
      </c>
      <c r="E3651" s="80" t="s">
        <v>84</v>
      </c>
      <c r="G3651" s="80" t="s">
        <v>84</v>
      </c>
      <c r="H3651" s="80" t="s">
        <v>84</v>
      </c>
      <c r="I3651" s="80" t="s">
        <v>84</v>
      </c>
      <c r="J3651" s="80" t="s">
        <v>84</v>
      </c>
      <c r="K3651" s="80" t="s">
        <v>84</v>
      </c>
      <c r="L3651" s="80" t="s">
        <v>84</v>
      </c>
      <c r="M3651" s="80" t="s">
        <v>84</v>
      </c>
      <c r="N3651" s="80" t="s">
        <v>84</v>
      </c>
      <c r="O3651" s="80" t="s">
        <v>84</v>
      </c>
      <c r="Q3651" s="80" t="s">
        <v>84</v>
      </c>
      <c r="R3651" s="80" t="s">
        <v>84</v>
      </c>
    </row>
    <row r="3652" spans="1:18" ht="20" x14ac:dyDescent="0.2">
      <c r="A3652" s="80" t="s">
        <v>5798</v>
      </c>
      <c r="B3652" s="80" t="s">
        <v>5799</v>
      </c>
      <c r="C3652" s="80" t="s">
        <v>84</v>
      </c>
      <c r="D3652" s="80" t="s">
        <v>84</v>
      </c>
      <c r="E3652" s="80" t="s">
        <v>84</v>
      </c>
      <c r="G3652" s="80" t="s">
        <v>84</v>
      </c>
      <c r="H3652" s="80" t="s">
        <v>84</v>
      </c>
      <c r="I3652" s="80" t="s">
        <v>84</v>
      </c>
      <c r="J3652" s="80" t="s">
        <v>84</v>
      </c>
      <c r="K3652" s="80" t="s">
        <v>84</v>
      </c>
      <c r="L3652" s="80" t="s">
        <v>84</v>
      </c>
      <c r="M3652" s="80" t="s">
        <v>84</v>
      </c>
      <c r="N3652" s="80" t="s">
        <v>84</v>
      </c>
      <c r="O3652" s="80" t="s">
        <v>84</v>
      </c>
      <c r="Q3652" s="80" t="s">
        <v>84</v>
      </c>
      <c r="R3652" s="80" t="s">
        <v>84</v>
      </c>
    </row>
    <row r="3653" spans="1:18" ht="20" x14ac:dyDescent="0.2">
      <c r="A3653" s="80" t="s">
        <v>5800</v>
      </c>
      <c r="B3653" s="80" t="s">
        <v>5801</v>
      </c>
      <c r="C3653" s="80" t="s">
        <v>84</v>
      </c>
      <c r="D3653" s="80" t="s">
        <v>84</v>
      </c>
      <c r="E3653" s="80" t="s">
        <v>84</v>
      </c>
      <c r="G3653" s="80" t="s">
        <v>84</v>
      </c>
      <c r="H3653" s="80" t="s">
        <v>84</v>
      </c>
      <c r="I3653" s="80" t="s">
        <v>84</v>
      </c>
      <c r="J3653" s="80" t="s">
        <v>84</v>
      </c>
      <c r="K3653" s="80" t="s">
        <v>84</v>
      </c>
      <c r="L3653" s="80" t="s">
        <v>84</v>
      </c>
      <c r="M3653" s="80" t="s">
        <v>84</v>
      </c>
      <c r="N3653" s="80" t="s">
        <v>84</v>
      </c>
      <c r="O3653" s="80" t="s">
        <v>84</v>
      </c>
      <c r="Q3653" s="80" t="s">
        <v>84</v>
      </c>
      <c r="R3653" s="80" t="s">
        <v>84</v>
      </c>
    </row>
    <row r="3654" spans="1:18" ht="20" x14ac:dyDescent="0.2">
      <c r="A3654" s="80" t="s">
        <v>5923</v>
      </c>
      <c r="B3654" s="80" t="s">
        <v>5924</v>
      </c>
      <c r="C3654" s="80" t="s">
        <v>84</v>
      </c>
      <c r="D3654" s="80" t="s">
        <v>84</v>
      </c>
      <c r="E3654" s="80" t="s">
        <v>84</v>
      </c>
      <c r="G3654" s="80" t="s">
        <v>84</v>
      </c>
      <c r="H3654" s="80" t="s">
        <v>84</v>
      </c>
      <c r="I3654" s="80" t="s">
        <v>84</v>
      </c>
      <c r="J3654" s="80" t="s">
        <v>84</v>
      </c>
      <c r="K3654" s="80" t="s">
        <v>84</v>
      </c>
      <c r="L3654" s="80" t="s">
        <v>84</v>
      </c>
      <c r="M3654" s="80" t="s">
        <v>84</v>
      </c>
      <c r="N3654" s="80" t="s">
        <v>84</v>
      </c>
      <c r="O3654" s="80" t="s">
        <v>84</v>
      </c>
      <c r="Q3654" s="80" t="s">
        <v>84</v>
      </c>
      <c r="R3654" s="80" t="s">
        <v>84</v>
      </c>
    </row>
    <row r="3655" spans="1:18" ht="20" x14ac:dyDescent="0.2">
      <c r="A3655" s="80" t="s">
        <v>5802</v>
      </c>
      <c r="B3655" s="80" t="s">
        <v>5803</v>
      </c>
      <c r="C3655" s="80" t="s">
        <v>84</v>
      </c>
      <c r="D3655" s="80" t="s">
        <v>84</v>
      </c>
      <c r="E3655" s="80" t="s">
        <v>84</v>
      </c>
      <c r="G3655" s="80" t="s">
        <v>84</v>
      </c>
      <c r="H3655" s="80" t="s">
        <v>84</v>
      </c>
      <c r="I3655" s="80" t="s">
        <v>84</v>
      </c>
      <c r="J3655" s="80" t="s">
        <v>84</v>
      </c>
      <c r="K3655" s="80" t="s">
        <v>84</v>
      </c>
      <c r="L3655" s="80" t="s">
        <v>84</v>
      </c>
      <c r="M3655" s="80" t="s">
        <v>84</v>
      </c>
      <c r="N3655" s="80" t="s">
        <v>84</v>
      </c>
      <c r="O3655" s="80" t="s">
        <v>84</v>
      </c>
      <c r="Q3655" s="80" t="s">
        <v>84</v>
      </c>
      <c r="R3655" s="80" t="s">
        <v>84</v>
      </c>
    </row>
    <row r="3656" spans="1:18" ht="20" x14ac:dyDescent="0.2">
      <c r="A3656" s="80" t="s">
        <v>4088</v>
      </c>
      <c r="B3656" s="80" t="s">
        <v>4089</v>
      </c>
      <c r="C3656" s="80" t="s">
        <v>84</v>
      </c>
      <c r="D3656" s="80" t="s">
        <v>84</v>
      </c>
      <c r="E3656" s="80" t="s">
        <v>84</v>
      </c>
      <c r="G3656" s="80" t="s">
        <v>84</v>
      </c>
      <c r="H3656" s="80" t="s">
        <v>84</v>
      </c>
      <c r="I3656" s="80" t="s">
        <v>84</v>
      </c>
      <c r="J3656" s="80" t="s">
        <v>84</v>
      </c>
      <c r="K3656" s="80" t="s">
        <v>84</v>
      </c>
      <c r="L3656" s="80" t="s">
        <v>84</v>
      </c>
      <c r="M3656" s="80" t="s">
        <v>84</v>
      </c>
      <c r="N3656" s="80" t="s">
        <v>84</v>
      </c>
      <c r="O3656" s="80" t="s">
        <v>84</v>
      </c>
      <c r="Q3656" s="80" t="s">
        <v>84</v>
      </c>
      <c r="R3656" s="80" t="s">
        <v>84</v>
      </c>
    </row>
    <row r="3657" spans="1:18" ht="20" x14ac:dyDescent="0.2">
      <c r="A3657" s="80" t="s">
        <v>5793</v>
      </c>
      <c r="B3657" s="80" t="s">
        <v>5794</v>
      </c>
      <c r="C3657" s="80" t="s">
        <v>84</v>
      </c>
      <c r="D3657" s="80" t="s">
        <v>84</v>
      </c>
      <c r="E3657" s="80" t="s">
        <v>84</v>
      </c>
      <c r="G3657" s="80" t="s">
        <v>84</v>
      </c>
      <c r="H3657" s="80" t="s">
        <v>84</v>
      </c>
      <c r="I3657" s="80" t="s">
        <v>84</v>
      </c>
      <c r="J3657" s="80" t="s">
        <v>84</v>
      </c>
      <c r="K3657" s="80" t="s">
        <v>84</v>
      </c>
      <c r="L3657" s="80" t="s">
        <v>84</v>
      </c>
      <c r="M3657" s="80" t="s">
        <v>84</v>
      </c>
      <c r="N3657" s="80" t="s">
        <v>84</v>
      </c>
      <c r="O3657" s="80" t="s">
        <v>84</v>
      </c>
      <c r="Q3657" s="80" t="s">
        <v>84</v>
      </c>
      <c r="R3657" s="80" t="s">
        <v>84</v>
      </c>
    </row>
    <row r="3658" spans="1:18" ht="20" x14ac:dyDescent="0.2">
      <c r="A3658" s="80" t="s">
        <v>5830</v>
      </c>
      <c r="B3658" s="80" t="s">
        <v>5831</v>
      </c>
      <c r="C3658" s="80" t="s">
        <v>84</v>
      </c>
      <c r="D3658" s="80" t="s">
        <v>84</v>
      </c>
      <c r="E3658" s="80" t="s">
        <v>84</v>
      </c>
      <c r="G3658" s="80" t="s">
        <v>84</v>
      </c>
      <c r="H3658" s="80" t="s">
        <v>84</v>
      </c>
      <c r="I3658" s="80" t="s">
        <v>84</v>
      </c>
      <c r="J3658" s="80" t="s">
        <v>84</v>
      </c>
      <c r="K3658" s="80" t="s">
        <v>84</v>
      </c>
      <c r="L3658" s="80" t="s">
        <v>84</v>
      </c>
      <c r="M3658" s="80" t="s">
        <v>84</v>
      </c>
      <c r="N3658" s="80" t="s">
        <v>84</v>
      </c>
      <c r="O3658" s="80" t="s">
        <v>84</v>
      </c>
      <c r="Q3658" s="80" t="s">
        <v>84</v>
      </c>
      <c r="R3658" s="80" t="s">
        <v>84</v>
      </c>
    </row>
    <row r="3659" spans="1:18" ht="20" x14ac:dyDescent="0.2">
      <c r="A3659" s="80" t="s">
        <v>5876</v>
      </c>
      <c r="B3659" s="80" t="s">
        <v>5877</v>
      </c>
      <c r="C3659" s="80" t="s">
        <v>84</v>
      </c>
      <c r="D3659" s="80" t="s">
        <v>84</v>
      </c>
      <c r="E3659" s="80" t="s">
        <v>84</v>
      </c>
      <c r="G3659" s="80" t="s">
        <v>84</v>
      </c>
      <c r="H3659" s="80" t="s">
        <v>84</v>
      </c>
      <c r="I3659" s="80" t="s">
        <v>84</v>
      </c>
      <c r="J3659" s="80" t="s">
        <v>84</v>
      </c>
      <c r="K3659" s="80" t="s">
        <v>84</v>
      </c>
      <c r="L3659" s="80" t="s">
        <v>84</v>
      </c>
      <c r="M3659" s="80" t="s">
        <v>84</v>
      </c>
      <c r="N3659" s="80" t="s">
        <v>84</v>
      </c>
      <c r="O3659" s="80" t="s">
        <v>84</v>
      </c>
      <c r="Q3659" s="80" t="s">
        <v>84</v>
      </c>
      <c r="R3659" s="80" t="s">
        <v>84</v>
      </c>
    </row>
    <row r="3660" spans="1:18" ht="20" x14ac:dyDescent="0.2">
      <c r="A3660" s="80" t="s">
        <v>2465</v>
      </c>
      <c r="B3660" s="80" t="s">
        <v>2466</v>
      </c>
      <c r="C3660" s="80" t="s">
        <v>9680</v>
      </c>
      <c r="D3660" s="80" t="s">
        <v>84</v>
      </c>
      <c r="E3660" s="80" t="s">
        <v>84</v>
      </c>
      <c r="G3660" s="80" t="s">
        <v>84</v>
      </c>
      <c r="H3660" s="80" t="s">
        <v>84</v>
      </c>
      <c r="I3660" s="80" t="s">
        <v>84</v>
      </c>
      <c r="J3660" s="80" t="s">
        <v>84</v>
      </c>
      <c r="K3660" s="80" t="s">
        <v>84</v>
      </c>
      <c r="L3660" s="80" t="s">
        <v>84</v>
      </c>
      <c r="M3660" s="80" t="s">
        <v>84</v>
      </c>
      <c r="N3660" s="80" t="s">
        <v>84</v>
      </c>
      <c r="O3660" s="80" t="s">
        <v>84</v>
      </c>
      <c r="Q3660" s="80" t="s">
        <v>84</v>
      </c>
      <c r="R3660" s="80" t="s">
        <v>84</v>
      </c>
    </row>
    <row r="3661" spans="1:18" ht="20" x14ac:dyDescent="0.2">
      <c r="A3661" s="80" t="s">
        <v>4119</v>
      </c>
      <c r="B3661" s="80" t="s">
        <v>4120</v>
      </c>
      <c r="C3661" s="80" t="s">
        <v>9680</v>
      </c>
      <c r="D3661" s="80" t="s">
        <v>84</v>
      </c>
      <c r="E3661" s="80" t="s">
        <v>84</v>
      </c>
      <c r="G3661" s="80" t="s">
        <v>84</v>
      </c>
      <c r="H3661" s="80" t="s">
        <v>84</v>
      </c>
      <c r="I3661" s="80" t="s">
        <v>84</v>
      </c>
      <c r="J3661" s="80" t="s">
        <v>84</v>
      </c>
      <c r="K3661" s="80" t="s">
        <v>84</v>
      </c>
      <c r="L3661" s="80" t="s">
        <v>84</v>
      </c>
      <c r="M3661" s="80" t="s">
        <v>84</v>
      </c>
      <c r="N3661" s="80" t="s">
        <v>84</v>
      </c>
      <c r="O3661" s="80" t="s">
        <v>84</v>
      </c>
      <c r="Q3661" s="80" t="s">
        <v>84</v>
      </c>
      <c r="R3661" s="80" t="s">
        <v>84</v>
      </c>
    </row>
    <row r="3662" spans="1:18" ht="20" x14ac:dyDescent="0.2">
      <c r="A3662" s="80" t="s">
        <v>5325</v>
      </c>
      <c r="B3662" s="80" t="s">
        <v>5326</v>
      </c>
      <c r="C3662" s="80" t="s">
        <v>9722</v>
      </c>
      <c r="D3662" s="80" t="s">
        <v>84</v>
      </c>
      <c r="E3662" s="80" t="s">
        <v>84</v>
      </c>
      <c r="G3662" s="80" t="s">
        <v>84</v>
      </c>
      <c r="H3662" s="80" t="s">
        <v>84</v>
      </c>
      <c r="I3662" s="80" t="s">
        <v>84</v>
      </c>
      <c r="J3662" s="80" t="s">
        <v>84</v>
      </c>
      <c r="K3662" s="80" t="s">
        <v>84</v>
      </c>
      <c r="L3662" s="80" t="s">
        <v>84</v>
      </c>
      <c r="M3662" s="80" t="s">
        <v>84</v>
      </c>
      <c r="N3662" s="80" t="s">
        <v>84</v>
      </c>
      <c r="O3662" s="80" t="s">
        <v>84</v>
      </c>
      <c r="Q3662" s="80" t="s">
        <v>84</v>
      </c>
      <c r="R3662" s="80" t="s">
        <v>84</v>
      </c>
    </row>
    <row r="3663" spans="1:18" ht="20" x14ac:dyDescent="0.2">
      <c r="A3663" s="80" t="s">
        <v>290</v>
      </c>
      <c r="B3663" s="80" t="s">
        <v>291</v>
      </c>
      <c r="C3663" s="80" t="s">
        <v>9722</v>
      </c>
      <c r="D3663" s="80" t="s">
        <v>84</v>
      </c>
      <c r="E3663" s="80" t="s">
        <v>84</v>
      </c>
      <c r="G3663" s="80" t="s">
        <v>84</v>
      </c>
      <c r="H3663" s="80" t="s">
        <v>84</v>
      </c>
      <c r="I3663" s="80" t="s">
        <v>84</v>
      </c>
      <c r="J3663" s="80" t="s">
        <v>84</v>
      </c>
      <c r="K3663" s="80" t="s">
        <v>84</v>
      </c>
      <c r="L3663" s="80" t="s">
        <v>84</v>
      </c>
      <c r="M3663" s="80" t="s">
        <v>84</v>
      </c>
      <c r="N3663" s="80" t="s">
        <v>84</v>
      </c>
      <c r="O3663" s="80" t="s">
        <v>84</v>
      </c>
      <c r="Q3663" s="80" t="s">
        <v>84</v>
      </c>
      <c r="R3663" s="80" t="s">
        <v>84</v>
      </c>
    </row>
    <row r="3664" spans="1:18" ht="20" x14ac:dyDescent="0.2">
      <c r="A3664" s="80" t="s">
        <v>1493</v>
      </c>
      <c r="B3664" s="80" t="s">
        <v>1494</v>
      </c>
      <c r="C3664" s="80" t="s">
        <v>9680</v>
      </c>
      <c r="D3664" s="80" t="s">
        <v>84</v>
      </c>
      <c r="E3664" s="80" t="s">
        <v>84</v>
      </c>
      <c r="G3664" s="80" t="s">
        <v>84</v>
      </c>
      <c r="H3664" s="80" t="s">
        <v>84</v>
      </c>
      <c r="I3664" s="80" t="s">
        <v>84</v>
      </c>
      <c r="J3664" s="80" t="s">
        <v>84</v>
      </c>
      <c r="K3664" s="80" t="s">
        <v>84</v>
      </c>
      <c r="L3664" s="80" t="s">
        <v>84</v>
      </c>
      <c r="M3664" s="80" t="s">
        <v>84</v>
      </c>
      <c r="N3664" s="80" t="s">
        <v>84</v>
      </c>
      <c r="O3664" s="80" t="s">
        <v>84</v>
      </c>
      <c r="Q3664" s="80" t="s">
        <v>84</v>
      </c>
      <c r="R3664" s="80" t="s">
        <v>84</v>
      </c>
    </row>
    <row r="3665" spans="1:18" ht="20" x14ac:dyDescent="0.2">
      <c r="A3665" s="80" t="s">
        <v>964</v>
      </c>
      <c r="B3665" s="80" t="s">
        <v>965</v>
      </c>
      <c r="C3665" s="80" t="s">
        <v>9680</v>
      </c>
      <c r="D3665" s="80" t="s">
        <v>84</v>
      </c>
      <c r="E3665" s="80" t="s">
        <v>84</v>
      </c>
      <c r="G3665" s="80" t="s">
        <v>84</v>
      </c>
      <c r="H3665" s="80" t="s">
        <v>84</v>
      </c>
      <c r="I3665" s="80" t="s">
        <v>84</v>
      </c>
      <c r="J3665" s="80" t="s">
        <v>84</v>
      </c>
      <c r="K3665" s="80" t="s">
        <v>84</v>
      </c>
      <c r="L3665" s="80" t="s">
        <v>84</v>
      </c>
      <c r="M3665" s="80" t="s">
        <v>84</v>
      </c>
      <c r="N3665" s="80" t="s">
        <v>84</v>
      </c>
      <c r="O3665" s="80" t="s">
        <v>84</v>
      </c>
      <c r="Q3665" s="80" t="s">
        <v>84</v>
      </c>
      <c r="R3665" s="80" t="s">
        <v>84</v>
      </c>
    </row>
    <row r="3666" spans="1:18" ht="20" x14ac:dyDescent="0.2">
      <c r="A3666" s="80" t="s">
        <v>3678</v>
      </c>
      <c r="B3666" s="80" t="s">
        <v>3679</v>
      </c>
      <c r="C3666" s="80" t="s">
        <v>84</v>
      </c>
      <c r="D3666" s="80" t="s">
        <v>84</v>
      </c>
      <c r="E3666" s="80" t="s">
        <v>84</v>
      </c>
      <c r="G3666" s="80" t="s">
        <v>84</v>
      </c>
      <c r="H3666" s="80" t="s">
        <v>84</v>
      </c>
      <c r="I3666" s="80" t="s">
        <v>84</v>
      </c>
      <c r="J3666" s="80" t="s">
        <v>84</v>
      </c>
      <c r="K3666" s="80" t="s">
        <v>84</v>
      </c>
      <c r="L3666" s="80" t="s">
        <v>84</v>
      </c>
      <c r="M3666" s="80" t="s">
        <v>84</v>
      </c>
      <c r="N3666" s="80" t="s">
        <v>84</v>
      </c>
      <c r="O3666" s="80" t="s">
        <v>84</v>
      </c>
      <c r="Q3666" s="80" t="s">
        <v>84</v>
      </c>
      <c r="R3666" s="80" t="s">
        <v>84</v>
      </c>
    </row>
    <row r="3667" spans="1:18" ht="20" x14ac:dyDescent="0.2">
      <c r="A3667" s="80" t="s">
        <v>3674</v>
      </c>
      <c r="B3667" s="80" t="s">
        <v>3675</v>
      </c>
      <c r="C3667" s="80" t="s">
        <v>84</v>
      </c>
      <c r="D3667" s="80" t="s">
        <v>84</v>
      </c>
      <c r="E3667" s="80" t="s">
        <v>84</v>
      </c>
      <c r="G3667" s="80" t="s">
        <v>84</v>
      </c>
      <c r="H3667" s="80" t="s">
        <v>84</v>
      </c>
      <c r="I3667" s="80" t="s">
        <v>84</v>
      </c>
      <c r="J3667" s="80" t="s">
        <v>84</v>
      </c>
      <c r="K3667" s="80" t="s">
        <v>84</v>
      </c>
      <c r="L3667" s="80" t="s">
        <v>84</v>
      </c>
      <c r="M3667" s="80" t="s">
        <v>84</v>
      </c>
      <c r="N3667" s="80" t="s">
        <v>84</v>
      </c>
      <c r="O3667" s="80" t="s">
        <v>84</v>
      </c>
      <c r="Q3667" s="80" t="s">
        <v>84</v>
      </c>
      <c r="R3667" s="80" t="s">
        <v>84</v>
      </c>
    </row>
    <row r="3668" spans="1:18" ht="20" x14ac:dyDescent="0.2">
      <c r="A3668" s="80" t="s">
        <v>204</v>
      </c>
      <c r="B3668" s="80" t="s">
        <v>205</v>
      </c>
      <c r="C3668" s="80" t="s">
        <v>9680</v>
      </c>
      <c r="D3668" s="80" t="s">
        <v>84</v>
      </c>
      <c r="E3668" s="80" t="s">
        <v>84</v>
      </c>
      <c r="G3668" s="80" t="s">
        <v>84</v>
      </c>
      <c r="H3668" s="80" t="s">
        <v>84</v>
      </c>
      <c r="I3668" s="80" t="s">
        <v>84</v>
      </c>
      <c r="J3668" s="80" t="s">
        <v>84</v>
      </c>
      <c r="K3668" s="80" t="s">
        <v>84</v>
      </c>
      <c r="L3668" s="80" t="s">
        <v>84</v>
      </c>
      <c r="M3668" s="80" t="s">
        <v>84</v>
      </c>
      <c r="N3668" s="80" t="s">
        <v>84</v>
      </c>
      <c r="O3668" s="80" t="s">
        <v>84</v>
      </c>
      <c r="Q3668" s="80" t="s">
        <v>84</v>
      </c>
      <c r="R3668" s="80" t="s">
        <v>84</v>
      </c>
    </row>
    <row r="3669" spans="1:18" ht="20" x14ac:dyDescent="0.2">
      <c r="A3669" s="80" t="s">
        <v>5921</v>
      </c>
      <c r="B3669" s="80" t="s">
        <v>5922</v>
      </c>
      <c r="C3669" s="80" t="s">
        <v>84</v>
      </c>
      <c r="D3669" s="80" t="s">
        <v>84</v>
      </c>
      <c r="E3669" s="80" t="s">
        <v>84</v>
      </c>
      <c r="G3669" s="80" t="s">
        <v>84</v>
      </c>
      <c r="H3669" s="80" t="s">
        <v>84</v>
      </c>
      <c r="I3669" s="80" t="s">
        <v>84</v>
      </c>
      <c r="J3669" s="80" t="s">
        <v>84</v>
      </c>
      <c r="K3669" s="80" t="s">
        <v>84</v>
      </c>
      <c r="L3669" s="80" t="s">
        <v>84</v>
      </c>
      <c r="M3669" s="80" t="s">
        <v>84</v>
      </c>
      <c r="N3669" s="80" t="s">
        <v>84</v>
      </c>
      <c r="O3669" s="80" t="s">
        <v>84</v>
      </c>
      <c r="Q3669" s="80" t="s">
        <v>84</v>
      </c>
      <c r="R3669" s="80" t="s">
        <v>84</v>
      </c>
    </row>
    <row r="3670" spans="1:18" ht="20" x14ac:dyDescent="0.2">
      <c r="A3670" s="80" t="s">
        <v>5776</v>
      </c>
      <c r="B3670" s="80" t="s">
        <v>5777</v>
      </c>
      <c r="C3670" s="80" t="s">
        <v>84</v>
      </c>
      <c r="D3670" s="80" t="s">
        <v>84</v>
      </c>
      <c r="E3670" s="80" t="s">
        <v>84</v>
      </c>
      <c r="G3670" s="80" t="s">
        <v>84</v>
      </c>
      <c r="H3670" s="80" t="s">
        <v>84</v>
      </c>
      <c r="I3670" s="80" t="s">
        <v>84</v>
      </c>
      <c r="J3670" s="80" t="s">
        <v>84</v>
      </c>
      <c r="K3670" s="80" t="s">
        <v>84</v>
      </c>
      <c r="L3670" s="80" t="s">
        <v>84</v>
      </c>
      <c r="M3670" s="80" t="s">
        <v>84</v>
      </c>
      <c r="N3670" s="80" t="s">
        <v>84</v>
      </c>
      <c r="O3670" s="80" t="s">
        <v>84</v>
      </c>
      <c r="Q3670" s="80" t="s">
        <v>84</v>
      </c>
      <c r="R3670" s="80" t="s">
        <v>84</v>
      </c>
    </row>
    <row r="3671" spans="1:18" ht="20" x14ac:dyDescent="0.2">
      <c r="A3671" s="80" t="s">
        <v>5790</v>
      </c>
      <c r="B3671" s="80" t="s">
        <v>5791</v>
      </c>
      <c r="C3671" s="80" t="s">
        <v>84</v>
      </c>
      <c r="D3671" s="80" t="s">
        <v>84</v>
      </c>
      <c r="E3671" s="80" t="s">
        <v>84</v>
      </c>
      <c r="G3671" s="80" t="s">
        <v>84</v>
      </c>
      <c r="H3671" s="80" t="s">
        <v>84</v>
      </c>
      <c r="I3671" s="80" t="s">
        <v>84</v>
      </c>
      <c r="J3671" s="80" t="s">
        <v>84</v>
      </c>
      <c r="K3671" s="80" t="s">
        <v>84</v>
      </c>
      <c r="L3671" s="80" t="s">
        <v>84</v>
      </c>
      <c r="M3671" s="80" t="s">
        <v>84</v>
      </c>
      <c r="N3671" s="80" t="s">
        <v>84</v>
      </c>
      <c r="O3671" s="80" t="s">
        <v>84</v>
      </c>
      <c r="Q3671" s="80" t="s">
        <v>84</v>
      </c>
      <c r="R3671" s="80" t="s">
        <v>84</v>
      </c>
    </row>
    <row r="3672" spans="1:18" ht="20" x14ac:dyDescent="0.2">
      <c r="A3672" s="80" t="s">
        <v>973</v>
      </c>
      <c r="B3672" s="80" t="s">
        <v>974</v>
      </c>
      <c r="C3672" s="80" t="s">
        <v>9680</v>
      </c>
      <c r="D3672" s="80" t="s">
        <v>84</v>
      </c>
      <c r="E3672" s="80" t="s">
        <v>84</v>
      </c>
      <c r="G3672" s="80" t="s">
        <v>84</v>
      </c>
      <c r="H3672" s="80" t="s">
        <v>84</v>
      </c>
      <c r="I3672" s="80" t="s">
        <v>84</v>
      </c>
      <c r="J3672" s="80" t="s">
        <v>84</v>
      </c>
      <c r="K3672" s="80" t="s">
        <v>84</v>
      </c>
      <c r="L3672" s="80" t="s">
        <v>84</v>
      </c>
      <c r="M3672" s="80" t="s">
        <v>84</v>
      </c>
      <c r="N3672" s="80" t="s">
        <v>84</v>
      </c>
      <c r="O3672" s="80" t="s">
        <v>84</v>
      </c>
      <c r="Q3672" s="80" t="s">
        <v>84</v>
      </c>
      <c r="R3672" s="80" t="s">
        <v>84</v>
      </c>
    </row>
    <row r="3673" spans="1:18" ht="20" x14ac:dyDescent="0.2">
      <c r="A3673" s="80" t="s">
        <v>1331</v>
      </c>
      <c r="B3673" s="80" t="s">
        <v>1332</v>
      </c>
      <c r="C3673" s="80" t="s">
        <v>9680</v>
      </c>
      <c r="D3673" s="80" t="s">
        <v>84</v>
      </c>
      <c r="E3673" s="80" t="s">
        <v>84</v>
      </c>
      <c r="G3673" s="80" t="s">
        <v>84</v>
      </c>
      <c r="H3673" s="80" t="s">
        <v>84</v>
      </c>
      <c r="I3673" s="80" t="s">
        <v>84</v>
      </c>
      <c r="J3673" s="80" t="s">
        <v>84</v>
      </c>
      <c r="K3673" s="80" t="s">
        <v>84</v>
      </c>
      <c r="L3673" s="80" t="s">
        <v>84</v>
      </c>
      <c r="M3673" s="80" t="s">
        <v>84</v>
      </c>
      <c r="N3673" s="80" t="s">
        <v>84</v>
      </c>
      <c r="O3673" s="80" t="s">
        <v>84</v>
      </c>
      <c r="Q3673" s="80" t="s">
        <v>84</v>
      </c>
      <c r="R3673" s="80" t="s">
        <v>84</v>
      </c>
    </row>
    <row r="3674" spans="1:18" ht="20" x14ac:dyDescent="0.2">
      <c r="A3674" s="80" t="s">
        <v>2617</v>
      </c>
      <c r="B3674" s="80" t="s">
        <v>2618</v>
      </c>
      <c r="C3674" s="80" t="s">
        <v>9680</v>
      </c>
      <c r="D3674" s="80" t="s">
        <v>84</v>
      </c>
      <c r="E3674" s="80" t="s">
        <v>84</v>
      </c>
      <c r="G3674" s="80" t="s">
        <v>84</v>
      </c>
      <c r="H3674" s="80" t="s">
        <v>84</v>
      </c>
      <c r="I3674" s="80" t="s">
        <v>84</v>
      </c>
      <c r="J3674" s="80" t="s">
        <v>84</v>
      </c>
      <c r="K3674" s="80" t="s">
        <v>84</v>
      </c>
      <c r="L3674" s="80" t="s">
        <v>84</v>
      </c>
      <c r="M3674" s="80" t="s">
        <v>84</v>
      </c>
      <c r="N3674" s="80" t="s">
        <v>84</v>
      </c>
      <c r="O3674" s="80" t="s">
        <v>84</v>
      </c>
      <c r="Q3674" s="80" t="s">
        <v>84</v>
      </c>
      <c r="R3674" s="80" t="s">
        <v>84</v>
      </c>
    </row>
    <row r="3675" spans="1:18" ht="20" x14ac:dyDescent="0.2">
      <c r="A3675" s="80" t="s">
        <v>3676</v>
      </c>
      <c r="B3675" s="80" t="s">
        <v>3677</v>
      </c>
      <c r="C3675" s="80" t="s">
        <v>84</v>
      </c>
      <c r="D3675" s="80" t="s">
        <v>84</v>
      </c>
      <c r="E3675" s="80" t="s">
        <v>84</v>
      </c>
      <c r="G3675" s="80" t="s">
        <v>84</v>
      </c>
      <c r="H3675" s="80" t="s">
        <v>84</v>
      </c>
      <c r="I3675" s="80" t="s">
        <v>84</v>
      </c>
      <c r="J3675" s="80" t="s">
        <v>84</v>
      </c>
      <c r="K3675" s="80" t="s">
        <v>84</v>
      </c>
      <c r="L3675" s="80" t="s">
        <v>84</v>
      </c>
      <c r="M3675" s="80" t="s">
        <v>84</v>
      </c>
      <c r="N3675" s="80" t="s">
        <v>84</v>
      </c>
      <c r="O3675" s="80" t="s">
        <v>84</v>
      </c>
      <c r="Q3675" s="80" t="s">
        <v>84</v>
      </c>
      <c r="R3675" s="80" t="s">
        <v>84</v>
      </c>
    </row>
    <row r="3676" spans="1:18" ht="20" x14ac:dyDescent="0.2">
      <c r="A3676" s="80" t="s">
        <v>753</v>
      </c>
      <c r="B3676" s="80" t="s">
        <v>754</v>
      </c>
      <c r="C3676" s="80" t="s">
        <v>9680</v>
      </c>
      <c r="D3676" s="80" t="s">
        <v>84</v>
      </c>
      <c r="E3676" s="80" t="s">
        <v>84</v>
      </c>
      <c r="G3676" s="80" t="s">
        <v>84</v>
      </c>
      <c r="H3676" s="80" t="s">
        <v>84</v>
      </c>
      <c r="I3676" s="80" t="s">
        <v>84</v>
      </c>
      <c r="J3676" s="80" t="s">
        <v>84</v>
      </c>
      <c r="K3676" s="80" t="s">
        <v>84</v>
      </c>
      <c r="L3676" s="80" t="s">
        <v>84</v>
      </c>
      <c r="M3676" s="80" t="s">
        <v>84</v>
      </c>
      <c r="N3676" s="80" t="s">
        <v>84</v>
      </c>
      <c r="O3676" s="80" t="s">
        <v>84</v>
      </c>
      <c r="Q3676" s="80" t="s">
        <v>84</v>
      </c>
      <c r="R3676" s="80" t="s">
        <v>84</v>
      </c>
    </row>
    <row r="3677" spans="1:18" ht="20" x14ac:dyDescent="0.2">
      <c r="A3677" s="80" t="s">
        <v>4673</v>
      </c>
      <c r="B3677" s="80" t="s">
        <v>4674</v>
      </c>
      <c r="C3677" s="80" t="s">
        <v>84</v>
      </c>
      <c r="D3677" s="80" t="s">
        <v>84</v>
      </c>
      <c r="E3677" s="80" t="s">
        <v>84</v>
      </c>
      <c r="G3677" s="80" t="s">
        <v>84</v>
      </c>
      <c r="H3677" s="80" t="s">
        <v>84</v>
      </c>
      <c r="I3677" s="80" t="s">
        <v>84</v>
      </c>
      <c r="J3677" s="80" t="s">
        <v>84</v>
      </c>
      <c r="K3677" s="80" t="s">
        <v>84</v>
      </c>
      <c r="L3677" s="80" t="s">
        <v>84</v>
      </c>
      <c r="M3677" s="80" t="s">
        <v>84</v>
      </c>
      <c r="N3677" s="80" t="s">
        <v>84</v>
      </c>
      <c r="O3677" s="80" t="s">
        <v>84</v>
      </c>
      <c r="Q3677" s="80" t="s">
        <v>84</v>
      </c>
      <c r="R3677" s="80" t="s">
        <v>84</v>
      </c>
    </row>
    <row r="3678" spans="1:18" ht="20" x14ac:dyDescent="0.2">
      <c r="A3678" s="80" t="s">
        <v>3802</v>
      </c>
      <c r="B3678" s="80" t="s">
        <v>3803</v>
      </c>
      <c r="C3678" s="80" t="s">
        <v>9680</v>
      </c>
      <c r="D3678" s="80" t="s">
        <v>84</v>
      </c>
      <c r="E3678" s="80" t="s">
        <v>84</v>
      </c>
      <c r="G3678" s="80" t="s">
        <v>84</v>
      </c>
      <c r="H3678" s="80" t="s">
        <v>84</v>
      </c>
      <c r="I3678" s="80" t="s">
        <v>84</v>
      </c>
      <c r="J3678" s="80" t="s">
        <v>84</v>
      </c>
      <c r="K3678" s="80" t="s">
        <v>84</v>
      </c>
      <c r="L3678" s="80" t="s">
        <v>84</v>
      </c>
      <c r="M3678" s="80" t="s">
        <v>84</v>
      </c>
      <c r="N3678" s="80" t="s">
        <v>84</v>
      </c>
      <c r="O3678" s="80" t="s">
        <v>84</v>
      </c>
      <c r="Q3678" s="80" t="s">
        <v>84</v>
      </c>
      <c r="R3678" s="80" t="s">
        <v>84</v>
      </c>
    </row>
    <row r="3679" spans="1:18" ht="20" x14ac:dyDescent="0.2">
      <c r="A3679" s="80" t="s">
        <v>971</v>
      </c>
      <c r="B3679" s="80" t="s">
        <v>972</v>
      </c>
      <c r="C3679" s="80" t="s">
        <v>9680</v>
      </c>
      <c r="D3679" s="80" t="s">
        <v>84</v>
      </c>
      <c r="E3679" s="80" t="s">
        <v>84</v>
      </c>
      <c r="G3679" s="80" t="s">
        <v>84</v>
      </c>
      <c r="H3679" s="80" t="s">
        <v>84</v>
      </c>
      <c r="I3679" s="80" t="s">
        <v>84</v>
      </c>
      <c r="J3679" s="80" t="s">
        <v>84</v>
      </c>
      <c r="K3679" s="80" t="s">
        <v>84</v>
      </c>
      <c r="L3679" s="80" t="s">
        <v>84</v>
      </c>
      <c r="M3679" s="80" t="s">
        <v>84</v>
      </c>
      <c r="N3679" s="80" t="s">
        <v>84</v>
      </c>
      <c r="O3679" s="80" t="s">
        <v>84</v>
      </c>
      <c r="Q3679" s="80" t="s">
        <v>84</v>
      </c>
      <c r="R3679" s="80" t="s">
        <v>84</v>
      </c>
    </row>
    <row r="3680" spans="1:18" ht="20" x14ac:dyDescent="0.2">
      <c r="A3680" s="80" t="s">
        <v>3804</v>
      </c>
      <c r="B3680" s="80" t="s">
        <v>3805</v>
      </c>
      <c r="C3680" s="80" t="s">
        <v>9680</v>
      </c>
      <c r="D3680" s="80" t="s">
        <v>84</v>
      </c>
      <c r="E3680" s="80" t="s">
        <v>84</v>
      </c>
      <c r="G3680" s="80" t="s">
        <v>84</v>
      </c>
      <c r="H3680" s="80" t="s">
        <v>84</v>
      </c>
      <c r="I3680" s="80" t="s">
        <v>84</v>
      </c>
      <c r="J3680" s="80" t="s">
        <v>84</v>
      </c>
      <c r="K3680" s="80" t="s">
        <v>84</v>
      </c>
      <c r="L3680" s="80" t="s">
        <v>84</v>
      </c>
      <c r="M3680" s="80" t="s">
        <v>84</v>
      </c>
      <c r="N3680" s="80" t="s">
        <v>84</v>
      </c>
      <c r="O3680" s="80" t="s">
        <v>84</v>
      </c>
      <c r="Q3680" s="80" t="s">
        <v>84</v>
      </c>
      <c r="R3680" s="80" t="s">
        <v>84</v>
      </c>
    </row>
    <row r="3681" spans="1:18" ht="20" x14ac:dyDescent="0.2">
      <c r="A3681" s="80" t="s">
        <v>3806</v>
      </c>
      <c r="B3681" s="80" t="s">
        <v>3807</v>
      </c>
      <c r="C3681" s="80" t="s">
        <v>84</v>
      </c>
      <c r="D3681" s="80" t="s">
        <v>84</v>
      </c>
      <c r="E3681" s="80" t="s">
        <v>84</v>
      </c>
      <c r="G3681" s="80" t="s">
        <v>84</v>
      </c>
      <c r="H3681" s="80" t="s">
        <v>84</v>
      </c>
      <c r="I3681" s="80" t="s">
        <v>84</v>
      </c>
      <c r="J3681" s="80" t="s">
        <v>84</v>
      </c>
      <c r="K3681" s="80" t="s">
        <v>84</v>
      </c>
      <c r="L3681" s="80" t="s">
        <v>84</v>
      </c>
      <c r="M3681" s="80" t="s">
        <v>84</v>
      </c>
      <c r="N3681" s="80" t="s">
        <v>84</v>
      </c>
      <c r="O3681" s="80" t="s">
        <v>84</v>
      </c>
      <c r="Q3681" s="80" t="s">
        <v>84</v>
      </c>
      <c r="R3681" s="80" t="s">
        <v>84</v>
      </c>
    </row>
    <row r="3682" spans="1:18" ht="20" x14ac:dyDescent="0.2">
      <c r="A3682" s="80" t="s">
        <v>3808</v>
      </c>
      <c r="B3682" s="80" t="s">
        <v>3809</v>
      </c>
      <c r="C3682" s="80" t="s">
        <v>84</v>
      </c>
      <c r="D3682" s="80" t="s">
        <v>84</v>
      </c>
      <c r="E3682" s="80" t="s">
        <v>84</v>
      </c>
      <c r="G3682" s="80" t="s">
        <v>84</v>
      </c>
      <c r="H3682" s="80" t="s">
        <v>84</v>
      </c>
      <c r="I3682" s="80" t="s">
        <v>84</v>
      </c>
      <c r="J3682" s="80" t="s">
        <v>84</v>
      </c>
      <c r="K3682" s="80" t="s">
        <v>84</v>
      </c>
      <c r="L3682" s="80" t="s">
        <v>84</v>
      </c>
      <c r="M3682" s="80" t="s">
        <v>84</v>
      </c>
      <c r="N3682" s="80" t="s">
        <v>84</v>
      </c>
      <c r="O3682" s="80" t="s">
        <v>84</v>
      </c>
      <c r="Q3682" s="80" t="s">
        <v>84</v>
      </c>
      <c r="R3682" s="80" t="s">
        <v>84</v>
      </c>
    </row>
    <row r="3683" spans="1:18" ht="20" x14ac:dyDescent="0.2">
      <c r="A3683" s="80" t="s">
        <v>3315</v>
      </c>
      <c r="B3683" s="80" t="s">
        <v>3316</v>
      </c>
      <c r="C3683" s="80" t="s">
        <v>9680</v>
      </c>
      <c r="D3683" s="80" t="s">
        <v>84</v>
      </c>
      <c r="E3683" s="80" t="s">
        <v>84</v>
      </c>
      <c r="G3683" s="80" t="s">
        <v>84</v>
      </c>
      <c r="H3683" s="80" t="s">
        <v>84</v>
      </c>
      <c r="I3683" s="80" t="s">
        <v>84</v>
      </c>
      <c r="J3683" s="80" t="s">
        <v>84</v>
      </c>
      <c r="K3683" s="80" t="s">
        <v>84</v>
      </c>
      <c r="L3683" s="80" t="s">
        <v>84</v>
      </c>
      <c r="M3683" s="80" t="s">
        <v>84</v>
      </c>
      <c r="N3683" s="80" t="s">
        <v>84</v>
      </c>
      <c r="O3683" s="80" t="s">
        <v>84</v>
      </c>
      <c r="Q3683" s="80" t="s">
        <v>84</v>
      </c>
      <c r="R3683" s="80" t="s">
        <v>84</v>
      </c>
    </row>
    <row r="3684" spans="1:18" ht="20" x14ac:dyDescent="0.2">
      <c r="A3684" s="80" t="s">
        <v>5759</v>
      </c>
      <c r="B3684" s="80" t="s">
        <v>5760</v>
      </c>
      <c r="C3684" s="80" t="s">
        <v>84</v>
      </c>
      <c r="D3684" s="80" t="s">
        <v>84</v>
      </c>
      <c r="E3684" s="80" t="s">
        <v>84</v>
      </c>
      <c r="G3684" s="80" t="s">
        <v>84</v>
      </c>
      <c r="H3684" s="80" t="s">
        <v>84</v>
      </c>
      <c r="I3684" s="80" t="s">
        <v>84</v>
      </c>
      <c r="J3684" s="80" t="s">
        <v>84</v>
      </c>
      <c r="K3684" s="80" t="s">
        <v>84</v>
      </c>
      <c r="L3684" s="80" t="s">
        <v>84</v>
      </c>
      <c r="M3684" s="80" t="s">
        <v>84</v>
      </c>
      <c r="N3684" s="80" t="s">
        <v>84</v>
      </c>
      <c r="O3684" s="80" t="s">
        <v>84</v>
      </c>
      <c r="Q3684" s="80" t="s">
        <v>84</v>
      </c>
      <c r="R3684" s="80" t="s">
        <v>84</v>
      </c>
    </row>
    <row r="3685" spans="1:18" ht="20" x14ac:dyDescent="0.2">
      <c r="A3685" s="80" t="s">
        <v>5759</v>
      </c>
      <c r="B3685" s="80" t="s">
        <v>10846</v>
      </c>
      <c r="C3685" s="80" t="s">
        <v>84</v>
      </c>
      <c r="D3685" s="80" t="s">
        <v>84</v>
      </c>
      <c r="E3685" s="80" t="s">
        <v>84</v>
      </c>
      <c r="G3685" s="80" t="s">
        <v>84</v>
      </c>
      <c r="H3685" s="80" t="s">
        <v>84</v>
      </c>
      <c r="I3685" s="80" t="s">
        <v>84</v>
      </c>
      <c r="J3685" s="80" t="s">
        <v>84</v>
      </c>
      <c r="K3685" s="80" t="s">
        <v>84</v>
      </c>
      <c r="L3685" s="80" t="s">
        <v>84</v>
      </c>
      <c r="M3685" s="80" t="s">
        <v>84</v>
      </c>
      <c r="N3685" s="80" t="s">
        <v>84</v>
      </c>
      <c r="O3685" s="80" t="s">
        <v>84</v>
      </c>
      <c r="Q3685" s="80" t="s">
        <v>84</v>
      </c>
      <c r="R3685" s="80" t="s">
        <v>84</v>
      </c>
    </row>
    <row r="3686" spans="1:18" ht="20" x14ac:dyDescent="0.2">
      <c r="A3686" s="80" t="s">
        <v>4090</v>
      </c>
      <c r="B3686" s="80" t="s">
        <v>4091</v>
      </c>
      <c r="C3686" s="80" t="s">
        <v>84</v>
      </c>
      <c r="D3686" s="80" t="s">
        <v>84</v>
      </c>
      <c r="E3686" s="80" t="s">
        <v>84</v>
      </c>
      <c r="G3686" s="80" t="s">
        <v>84</v>
      </c>
      <c r="H3686" s="80" t="s">
        <v>84</v>
      </c>
      <c r="I3686" s="80" t="s">
        <v>84</v>
      </c>
      <c r="J3686" s="80" t="s">
        <v>84</v>
      </c>
      <c r="K3686" s="80" t="s">
        <v>84</v>
      </c>
      <c r="L3686" s="80" t="s">
        <v>84</v>
      </c>
      <c r="M3686" s="80" t="s">
        <v>84</v>
      </c>
      <c r="N3686" s="80" t="s">
        <v>84</v>
      </c>
      <c r="O3686" s="80" t="s">
        <v>84</v>
      </c>
      <c r="Q3686" s="80" t="s">
        <v>84</v>
      </c>
      <c r="R3686" s="80" t="s">
        <v>84</v>
      </c>
    </row>
    <row r="3687" spans="1:18" ht="20" x14ac:dyDescent="0.2">
      <c r="A3687" s="80" t="s">
        <v>5847</v>
      </c>
      <c r="B3687" s="80" t="s">
        <v>5848</v>
      </c>
      <c r="C3687" s="80" t="s">
        <v>84</v>
      </c>
      <c r="D3687" s="80" t="s">
        <v>84</v>
      </c>
      <c r="E3687" s="80" t="s">
        <v>84</v>
      </c>
      <c r="G3687" s="80" t="s">
        <v>84</v>
      </c>
      <c r="H3687" s="80" t="s">
        <v>84</v>
      </c>
      <c r="I3687" s="80" t="s">
        <v>84</v>
      </c>
      <c r="J3687" s="80" t="s">
        <v>84</v>
      </c>
      <c r="K3687" s="80" t="s">
        <v>84</v>
      </c>
      <c r="L3687" s="80" t="s">
        <v>84</v>
      </c>
      <c r="M3687" s="80" t="s">
        <v>84</v>
      </c>
      <c r="N3687" s="80" t="s">
        <v>84</v>
      </c>
      <c r="O3687" s="80" t="s">
        <v>84</v>
      </c>
      <c r="Q3687" s="80" t="s">
        <v>84</v>
      </c>
      <c r="R3687" s="80" t="s">
        <v>84</v>
      </c>
    </row>
    <row r="3688" spans="1:18" ht="20" x14ac:dyDescent="0.2">
      <c r="A3688" s="80" t="s">
        <v>5847</v>
      </c>
      <c r="B3688" s="80" t="s">
        <v>10847</v>
      </c>
      <c r="C3688" s="80" t="s">
        <v>84</v>
      </c>
      <c r="D3688" s="80" t="s">
        <v>84</v>
      </c>
      <c r="E3688" s="80" t="s">
        <v>84</v>
      </c>
      <c r="G3688" s="80" t="s">
        <v>84</v>
      </c>
      <c r="H3688" s="80" t="s">
        <v>84</v>
      </c>
      <c r="I3688" s="80" t="s">
        <v>84</v>
      </c>
      <c r="J3688" s="80" t="s">
        <v>84</v>
      </c>
      <c r="K3688" s="80" t="s">
        <v>84</v>
      </c>
      <c r="L3688" s="80" t="s">
        <v>84</v>
      </c>
      <c r="M3688" s="80" t="s">
        <v>84</v>
      </c>
      <c r="N3688" s="80" t="s">
        <v>84</v>
      </c>
      <c r="O3688" s="80" t="s">
        <v>84</v>
      </c>
      <c r="Q3688" s="80" t="s">
        <v>84</v>
      </c>
      <c r="R3688" s="80" t="s">
        <v>84</v>
      </c>
    </row>
    <row r="3689" spans="1:18" ht="20" x14ac:dyDescent="0.2">
      <c r="A3689" s="80" t="s">
        <v>5778</v>
      </c>
      <c r="B3689" s="80" t="s">
        <v>5779</v>
      </c>
      <c r="C3689" s="80" t="s">
        <v>84</v>
      </c>
      <c r="D3689" s="80" t="s">
        <v>84</v>
      </c>
      <c r="E3689" s="80" t="s">
        <v>84</v>
      </c>
      <c r="G3689" s="80" t="s">
        <v>84</v>
      </c>
      <c r="H3689" s="80" t="s">
        <v>84</v>
      </c>
      <c r="I3689" s="80" t="s">
        <v>84</v>
      </c>
      <c r="J3689" s="80" t="s">
        <v>84</v>
      </c>
      <c r="K3689" s="80" t="s">
        <v>84</v>
      </c>
      <c r="L3689" s="80" t="s">
        <v>84</v>
      </c>
      <c r="M3689" s="80" t="s">
        <v>84</v>
      </c>
      <c r="N3689" s="80" t="s">
        <v>84</v>
      </c>
      <c r="O3689" s="80" t="s">
        <v>84</v>
      </c>
      <c r="Q3689" s="80" t="s">
        <v>84</v>
      </c>
      <c r="R3689" s="80" t="s">
        <v>84</v>
      </c>
    </row>
    <row r="3690" spans="1:18" ht="20" x14ac:dyDescent="0.2">
      <c r="A3690" s="80" t="s">
        <v>5804</v>
      </c>
      <c r="B3690" s="80" t="s">
        <v>5805</v>
      </c>
      <c r="C3690" s="80" t="s">
        <v>84</v>
      </c>
      <c r="D3690" s="80" t="s">
        <v>84</v>
      </c>
      <c r="E3690" s="80" t="s">
        <v>84</v>
      </c>
      <c r="G3690" s="80" t="s">
        <v>84</v>
      </c>
      <c r="H3690" s="80" t="s">
        <v>84</v>
      </c>
      <c r="I3690" s="80" t="s">
        <v>84</v>
      </c>
      <c r="J3690" s="80" t="s">
        <v>84</v>
      </c>
      <c r="K3690" s="80" t="s">
        <v>84</v>
      </c>
      <c r="L3690" s="80" t="s">
        <v>84</v>
      </c>
      <c r="M3690" s="80" t="s">
        <v>84</v>
      </c>
      <c r="N3690" s="80" t="s">
        <v>84</v>
      </c>
      <c r="O3690" s="80" t="s">
        <v>84</v>
      </c>
      <c r="Q3690" s="80" t="s">
        <v>84</v>
      </c>
      <c r="R3690" s="80" t="s">
        <v>84</v>
      </c>
    </row>
    <row r="3691" spans="1:18" ht="20" x14ac:dyDescent="0.2">
      <c r="A3691" s="80" t="s">
        <v>5943</v>
      </c>
      <c r="B3691" s="80" t="s">
        <v>5944</v>
      </c>
      <c r="C3691" s="80" t="s">
        <v>84</v>
      </c>
      <c r="D3691" s="80" t="s">
        <v>84</v>
      </c>
      <c r="E3691" s="80" t="s">
        <v>84</v>
      </c>
      <c r="G3691" s="80" t="s">
        <v>84</v>
      </c>
      <c r="H3691" s="80" t="s">
        <v>84</v>
      </c>
      <c r="I3691" s="80" t="s">
        <v>84</v>
      </c>
      <c r="J3691" s="80" t="s">
        <v>84</v>
      </c>
      <c r="K3691" s="80" t="s">
        <v>84</v>
      </c>
      <c r="L3691" s="80" t="s">
        <v>84</v>
      </c>
      <c r="M3691" s="80" t="s">
        <v>84</v>
      </c>
      <c r="N3691" s="80" t="s">
        <v>84</v>
      </c>
      <c r="O3691" s="80" t="s">
        <v>84</v>
      </c>
      <c r="Q3691" s="80" t="s">
        <v>84</v>
      </c>
      <c r="R3691" s="80" t="s">
        <v>84</v>
      </c>
    </row>
    <row r="3692" spans="1:18" ht="20" x14ac:dyDescent="0.2">
      <c r="A3692" s="80" t="s">
        <v>5946</v>
      </c>
      <c r="B3692" s="80" t="s">
        <v>5947</v>
      </c>
      <c r="C3692" s="80" t="s">
        <v>84</v>
      </c>
      <c r="D3692" s="80" t="s">
        <v>84</v>
      </c>
      <c r="E3692" s="80" t="s">
        <v>84</v>
      </c>
      <c r="G3692" s="80" t="s">
        <v>84</v>
      </c>
      <c r="H3692" s="80" t="s">
        <v>84</v>
      </c>
      <c r="I3692" s="80" t="s">
        <v>84</v>
      </c>
      <c r="J3692" s="80" t="s">
        <v>84</v>
      </c>
      <c r="K3692" s="80" t="s">
        <v>84</v>
      </c>
      <c r="L3692" s="80" t="s">
        <v>84</v>
      </c>
      <c r="M3692" s="80" t="s">
        <v>84</v>
      </c>
      <c r="N3692" s="80" t="s">
        <v>84</v>
      </c>
      <c r="O3692" s="80" t="s">
        <v>84</v>
      </c>
      <c r="Q3692" s="80" t="s">
        <v>84</v>
      </c>
      <c r="R3692" s="80" t="s">
        <v>84</v>
      </c>
    </row>
    <row r="3693" spans="1:18" ht="20" x14ac:dyDescent="0.2">
      <c r="A3693" s="80" t="s">
        <v>5948</v>
      </c>
      <c r="B3693" s="80" t="s">
        <v>5949</v>
      </c>
      <c r="C3693" s="80" t="s">
        <v>84</v>
      </c>
      <c r="D3693" s="80" t="s">
        <v>84</v>
      </c>
      <c r="E3693" s="80" t="s">
        <v>84</v>
      </c>
      <c r="G3693" s="80" t="s">
        <v>84</v>
      </c>
      <c r="H3693" s="80" t="s">
        <v>84</v>
      </c>
      <c r="I3693" s="80" t="s">
        <v>84</v>
      </c>
      <c r="J3693" s="80" t="s">
        <v>84</v>
      </c>
      <c r="K3693" s="80" t="s">
        <v>84</v>
      </c>
      <c r="L3693" s="80" t="s">
        <v>84</v>
      </c>
      <c r="M3693" s="80" t="s">
        <v>84</v>
      </c>
      <c r="N3693" s="80" t="s">
        <v>84</v>
      </c>
      <c r="O3693" s="80" t="s">
        <v>84</v>
      </c>
      <c r="Q3693" s="80" t="s">
        <v>84</v>
      </c>
      <c r="R3693" s="80" t="s">
        <v>84</v>
      </c>
    </row>
    <row r="3694" spans="1:18" ht="20" x14ac:dyDescent="0.2">
      <c r="A3694" s="80" t="s">
        <v>5950</v>
      </c>
      <c r="B3694" s="80" t="s">
        <v>5951</v>
      </c>
      <c r="C3694" s="80" t="s">
        <v>9680</v>
      </c>
      <c r="D3694" s="80" t="s">
        <v>84</v>
      </c>
      <c r="E3694" s="80" t="s">
        <v>84</v>
      </c>
      <c r="G3694" s="80" t="s">
        <v>84</v>
      </c>
      <c r="H3694" s="80" t="s">
        <v>84</v>
      </c>
      <c r="I3694" s="80" t="s">
        <v>84</v>
      </c>
      <c r="J3694" s="80" t="s">
        <v>84</v>
      </c>
      <c r="K3694" s="80" t="s">
        <v>84</v>
      </c>
      <c r="L3694" s="80" t="s">
        <v>84</v>
      </c>
      <c r="M3694" s="80" t="s">
        <v>84</v>
      </c>
      <c r="N3694" s="80" t="s">
        <v>84</v>
      </c>
      <c r="O3694" s="80" t="s">
        <v>84</v>
      </c>
      <c r="Q3694" s="80" t="s">
        <v>84</v>
      </c>
      <c r="R3694" s="80" t="s">
        <v>84</v>
      </c>
    </row>
    <row r="3695" spans="1:18" ht="20" x14ac:dyDescent="0.2">
      <c r="A3695" s="80" t="s">
        <v>5766</v>
      </c>
      <c r="B3695" s="80" t="s">
        <v>5767</v>
      </c>
      <c r="C3695" s="80" t="s">
        <v>84</v>
      </c>
      <c r="D3695" s="80" t="s">
        <v>84</v>
      </c>
      <c r="E3695" s="80" t="s">
        <v>84</v>
      </c>
      <c r="G3695" s="80" t="s">
        <v>84</v>
      </c>
      <c r="H3695" s="80" t="s">
        <v>84</v>
      </c>
      <c r="I3695" s="80" t="s">
        <v>84</v>
      </c>
      <c r="J3695" s="80" t="s">
        <v>84</v>
      </c>
      <c r="K3695" s="80" t="s">
        <v>84</v>
      </c>
      <c r="L3695" s="80" t="s">
        <v>84</v>
      </c>
      <c r="M3695" s="80" t="s">
        <v>84</v>
      </c>
      <c r="N3695" s="80" t="s">
        <v>84</v>
      </c>
      <c r="O3695" s="80" t="s">
        <v>84</v>
      </c>
      <c r="Q3695" s="80" t="s">
        <v>84</v>
      </c>
      <c r="R3695" s="80" t="s">
        <v>84</v>
      </c>
    </row>
    <row r="3696" spans="1:18" ht="20" x14ac:dyDescent="0.2">
      <c r="A3696" s="80" t="s">
        <v>5952</v>
      </c>
      <c r="B3696" s="80" t="s">
        <v>5953</v>
      </c>
      <c r="C3696" s="80" t="s">
        <v>84</v>
      </c>
      <c r="D3696" s="80" t="s">
        <v>84</v>
      </c>
      <c r="E3696" s="80" t="s">
        <v>84</v>
      </c>
      <c r="G3696" s="80" t="s">
        <v>84</v>
      </c>
      <c r="H3696" s="80" t="s">
        <v>84</v>
      </c>
      <c r="I3696" s="80" t="s">
        <v>84</v>
      </c>
      <c r="J3696" s="80" t="s">
        <v>84</v>
      </c>
      <c r="K3696" s="80" t="s">
        <v>84</v>
      </c>
      <c r="L3696" s="80" t="s">
        <v>84</v>
      </c>
      <c r="M3696" s="80" t="s">
        <v>84</v>
      </c>
      <c r="N3696" s="80" t="s">
        <v>84</v>
      </c>
      <c r="O3696" s="80" t="s">
        <v>84</v>
      </c>
      <c r="Q3696" s="80" t="s">
        <v>84</v>
      </c>
      <c r="R3696" s="80" t="s">
        <v>84</v>
      </c>
    </row>
    <row r="3697" spans="1:18" ht="20" x14ac:dyDescent="0.2">
      <c r="A3697" s="80" t="s">
        <v>5780</v>
      </c>
      <c r="B3697" s="80" t="s">
        <v>5781</v>
      </c>
      <c r="C3697" s="80" t="s">
        <v>84</v>
      </c>
      <c r="D3697" s="80" t="s">
        <v>84</v>
      </c>
      <c r="E3697" s="80" t="s">
        <v>84</v>
      </c>
      <c r="G3697" s="80" t="s">
        <v>84</v>
      </c>
      <c r="H3697" s="80" t="s">
        <v>84</v>
      </c>
      <c r="I3697" s="80" t="s">
        <v>84</v>
      </c>
      <c r="J3697" s="80" t="s">
        <v>84</v>
      </c>
      <c r="K3697" s="80" t="s">
        <v>84</v>
      </c>
      <c r="L3697" s="80" t="s">
        <v>84</v>
      </c>
      <c r="M3697" s="80" t="s">
        <v>84</v>
      </c>
      <c r="N3697" s="80" t="s">
        <v>84</v>
      </c>
      <c r="O3697" s="80" t="s">
        <v>84</v>
      </c>
      <c r="Q3697" s="80" t="s">
        <v>84</v>
      </c>
      <c r="R3697" s="80" t="s">
        <v>84</v>
      </c>
    </row>
    <row r="3698" spans="1:18" ht="20" x14ac:dyDescent="0.2">
      <c r="A3698" s="80" t="s">
        <v>5888</v>
      </c>
      <c r="B3698" s="80" t="s">
        <v>5889</v>
      </c>
      <c r="C3698" s="80" t="s">
        <v>84</v>
      </c>
      <c r="D3698" s="80" t="s">
        <v>84</v>
      </c>
      <c r="E3698" s="80" t="s">
        <v>84</v>
      </c>
      <c r="G3698" s="80" t="s">
        <v>84</v>
      </c>
      <c r="H3698" s="80" t="s">
        <v>84</v>
      </c>
      <c r="I3698" s="80" t="s">
        <v>84</v>
      </c>
      <c r="J3698" s="80" t="s">
        <v>84</v>
      </c>
      <c r="K3698" s="80" t="s">
        <v>84</v>
      </c>
      <c r="L3698" s="80" t="s">
        <v>84</v>
      </c>
      <c r="M3698" s="80" t="s">
        <v>84</v>
      </c>
      <c r="N3698" s="80" t="s">
        <v>84</v>
      </c>
      <c r="O3698" s="80" t="s">
        <v>84</v>
      </c>
      <c r="Q3698" s="80" t="s">
        <v>84</v>
      </c>
      <c r="R3698" s="80" t="s">
        <v>84</v>
      </c>
    </row>
    <row r="3699" spans="1:18" ht="20" x14ac:dyDescent="0.2">
      <c r="A3699" s="80" t="s">
        <v>5928</v>
      </c>
      <c r="B3699" s="80" t="s">
        <v>5929</v>
      </c>
      <c r="C3699" s="80" t="s">
        <v>84</v>
      </c>
      <c r="D3699" s="80" t="s">
        <v>84</v>
      </c>
      <c r="E3699" s="80" t="s">
        <v>84</v>
      </c>
      <c r="G3699" s="80" t="s">
        <v>84</v>
      </c>
      <c r="H3699" s="80" t="s">
        <v>84</v>
      </c>
      <c r="I3699" s="80" t="s">
        <v>84</v>
      </c>
      <c r="J3699" s="80" t="s">
        <v>84</v>
      </c>
      <c r="K3699" s="80" t="s">
        <v>84</v>
      </c>
      <c r="L3699" s="80" t="s">
        <v>84</v>
      </c>
      <c r="M3699" s="80" t="s">
        <v>84</v>
      </c>
      <c r="N3699" s="80" t="s">
        <v>84</v>
      </c>
      <c r="O3699" s="80" t="s">
        <v>84</v>
      </c>
      <c r="Q3699" s="80" t="s">
        <v>84</v>
      </c>
      <c r="R3699" s="80" t="s">
        <v>84</v>
      </c>
    </row>
    <row r="3700" spans="1:18" ht="20" x14ac:dyDescent="0.2">
      <c r="A3700" s="80" t="s">
        <v>5954</v>
      </c>
      <c r="B3700" s="80" t="s">
        <v>5955</v>
      </c>
      <c r="C3700" s="80" t="s">
        <v>84</v>
      </c>
      <c r="D3700" s="80" t="s">
        <v>84</v>
      </c>
      <c r="E3700" s="80" t="s">
        <v>84</v>
      </c>
      <c r="G3700" s="80" t="s">
        <v>84</v>
      </c>
      <c r="H3700" s="80" t="s">
        <v>84</v>
      </c>
      <c r="I3700" s="80" t="s">
        <v>84</v>
      </c>
      <c r="J3700" s="80" t="s">
        <v>84</v>
      </c>
      <c r="K3700" s="80" t="s">
        <v>84</v>
      </c>
      <c r="L3700" s="80" t="s">
        <v>84</v>
      </c>
      <c r="M3700" s="80" t="s">
        <v>84</v>
      </c>
      <c r="N3700" s="80" t="s">
        <v>84</v>
      </c>
      <c r="O3700" s="80" t="s">
        <v>84</v>
      </c>
      <c r="Q3700" s="80" t="s">
        <v>84</v>
      </c>
      <c r="R3700" s="80" t="s">
        <v>84</v>
      </c>
    </row>
    <row r="3701" spans="1:18" ht="20" x14ac:dyDescent="0.2">
      <c r="A3701" s="80" t="s">
        <v>5890</v>
      </c>
      <c r="B3701" s="80" t="s">
        <v>5891</v>
      </c>
      <c r="C3701" s="80" t="s">
        <v>84</v>
      </c>
      <c r="D3701" s="80" t="s">
        <v>84</v>
      </c>
      <c r="E3701" s="80" t="s">
        <v>84</v>
      </c>
      <c r="G3701" s="80" t="s">
        <v>84</v>
      </c>
      <c r="H3701" s="80" t="s">
        <v>84</v>
      </c>
      <c r="I3701" s="80" t="s">
        <v>84</v>
      </c>
      <c r="J3701" s="80" t="s">
        <v>84</v>
      </c>
      <c r="K3701" s="80" t="s">
        <v>84</v>
      </c>
      <c r="L3701" s="80" t="s">
        <v>84</v>
      </c>
      <c r="M3701" s="80" t="s">
        <v>84</v>
      </c>
      <c r="N3701" s="80" t="s">
        <v>84</v>
      </c>
      <c r="O3701" s="80" t="s">
        <v>84</v>
      </c>
      <c r="Q3701" s="80" t="s">
        <v>84</v>
      </c>
      <c r="R3701" s="80" t="s">
        <v>84</v>
      </c>
    </row>
    <row r="3702" spans="1:18" ht="20" x14ac:dyDescent="0.2">
      <c r="A3702" s="80" t="s">
        <v>5892</v>
      </c>
      <c r="B3702" s="80" t="s">
        <v>5893</v>
      </c>
      <c r="C3702" s="80" t="s">
        <v>84</v>
      </c>
      <c r="D3702" s="80" t="s">
        <v>84</v>
      </c>
      <c r="E3702" s="80" t="s">
        <v>84</v>
      </c>
      <c r="G3702" s="80" t="s">
        <v>84</v>
      </c>
      <c r="H3702" s="80" t="s">
        <v>84</v>
      </c>
      <c r="I3702" s="80" t="s">
        <v>84</v>
      </c>
      <c r="J3702" s="80" t="s">
        <v>84</v>
      </c>
      <c r="K3702" s="80" t="s">
        <v>84</v>
      </c>
      <c r="L3702" s="80" t="s">
        <v>84</v>
      </c>
      <c r="M3702" s="80" t="s">
        <v>84</v>
      </c>
      <c r="N3702" s="80" t="s">
        <v>84</v>
      </c>
      <c r="O3702" s="80" t="s">
        <v>84</v>
      </c>
      <c r="Q3702" s="80" t="s">
        <v>84</v>
      </c>
      <c r="R3702" s="80" t="s">
        <v>84</v>
      </c>
    </row>
    <row r="3703" spans="1:18" ht="20" x14ac:dyDescent="0.2">
      <c r="A3703" s="80" t="s">
        <v>5894</v>
      </c>
      <c r="B3703" s="80" t="s">
        <v>5895</v>
      </c>
      <c r="C3703" s="80" t="s">
        <v>84</v>
      </c>
      <c r="D3703" s="80" t="s">
        <v>84</v>
      </c>
      <c r="E3703" s="80" t="s">
        <v>84</v>
      </c>
      <c r="G3703" s="80" t="s">
        <v>84</v>
      </c>
      <c r="H3703" s="80" t="s">
        <v>84</v>
      </c>
      <c r="I3703" s="80" t="s">
        <v>84</v>
      </c>
      <c r="J3703" s="80" t="s">
        <v>84</v>
      </c>
      <c r="K3703" s="80" t="s">
        <v>84</v>
      </c>
      <c r="L3703" s="80" t="s">
        <v>84</v>
      </c>
      <c r="M3703" s="80" t="s">
        <v>84</v>
      </c>
      <c r="N3703" s="80" t="s">
        <v>84</v>
      </c>
      <c r="O3703" s="80" t="s">
        <v>84</v>
      </c>
      <c r="Q3703" s="80" t="s">
        <v>84</v>
      </c>
      <c r="R3703" s="80" t="s">
        <v>84</v>
      </c>
    </row>
    <row r="3704" spans="1:18" ht="20" x14ac:dyDescent="0.2">
      <c r="A3704" s="80" t="s">
        <v>5884</v>
      </c>
      <c r="B3704" s="80" t="s">
        <v>10848</v>
      </c>
      <c r="C3704" s="80" t="s">
        <v>84</v>
      </c>
      <c r="D3704" s="80" t="s">
        <v>84</v>
      </c>
      <c r="E3704" s="80" t="s">
        <v>84</v>
      </c>
      <c r="G3704" s="80" t="s">
        <v>84</v>
      </c>
      <c r="H3704" s="80" t="s">
        <v>84</v>
      </c>
      <c r="I3704" s="80" t="s">
        <v>84</v>
      </c>
      <c r="J3704" s="80" t="s">
        <v>84</v>
      </c>
      <c r="K3704" s="80" t="s">
        <v>84</v>
      </c>
      <c r="L3704" s="80" t="s">
        <v>84</v>
      </c>
      <c r="M3704" s="80" t="s">
        <v>84</v>
      </c>
      <c r="N3704" s="80" t="s">
        <v>84</v>
      </c>
      <c r="O3704" s="80" t="s">
        <v>84</v>
      </c>
      <c r="Q3704" s="80" t="s">
        <v>84</v>
      </c>
      <c r="R3704" s="80" t="s">
        <v>84</v>
      </c>
    </row>
    <row r="3705" spans="1:18" ht="20" x14ac:dyDescent="0.2">
      <c r="A3705" s="80" t="s">
        <v>5884</v>
      </c>
      <c r="B3705" s="80" t="s">
        <v>5885</v>
      </c>
      <c r="C3705" s="80" t="s">
        <v>84</v>
      </c>
      <c r="D3705" s="80" t="s">
        <v>84</v>
      </c>
      <c r="E3705" s="80" t="s">
        <v>84</v>
      </c>
      <c r="G3705" s="80" t="s">
        <v>84</v>
      </c>
      <c r="H3705" s="80" t="s">
        <v>84</v>
      </c>
      <c r="I3705" s="80" t="s">
        <v>84</v>
      </c>
      <c r="J3705" s="80" t="s">
        <v>84</v>
      </c>
      <c r="K3705" s="80" t="s">
        <v>84</v>
      </c>
      <c r="L3705" s="80" t="s">
        <v>84</v>
      </c>
      <c r="M3705" s="80" t="s">
        <v>84</v>
      </c>
      <c r="N3705" s="80" t="s">
        <v>84</v>
      </c>
      <c r="O3705" s="80" t="s">
        <v>84</v>
      </c>
      <c r="Q3705" s="80" t="s">
        <v>84</v>
      </c>
      <c r="R3705" s="80" t="s">
        <v>84</v>
      </c>
    </row>
    <row r="3706" spans="1:18" ht="20" x14ac:dyDescent="0.2">
      <c r="A3706" s="80" t="s">
        <v>5896</v>
      </c>
      <c r="B3706" s="80" t="s">
        <v>5897</v>
      </c>
      <c r="C3706" s="80" t="s">
        <v>84</v>
      </c>
      <c r="D3706" s="80" t="s">
        <v>84</v>
      </c>
      <c r="E3706" s="80" t="s">
        <v>84</v>
      </c>
      <c r="G3706" s="80" t="s">
        <v>84</v>
      </c>
      <c r="H3706" s="80" t="s">
        <v>84</v>
      </c>
      <c r="I3706" s="80" t="s">
        <v>84</v>
      </c>
      <c r="J3706" s="80" t="s">
        <v>84</v>
      </c>
      <c r="K3706" s="80" t="s">
        <v>84</v>
      </c>
      <c r="L3706" s="80" t="s">
        <v>84</v>
      </c>
      <c r="M3706" s="80" t="s">
        <v>84</v>
      </c>
      <c r="N3706" s="80" t="s">
        <v>84</v>
      </c>
      <c r="O3706" s="80" t="s">
        <v>84</v>
      </c>
      <c r="Q3706" s="80" t="s">
        <v>84</v>
      </c>
      <c r="R3706" s="80" t="s">
        <v>84</v>
      </c>
    </row>
    <row r="3707" spans="1:18" ht="20" x14ac:dyDescent="0.2">
      <c r="A3707" s="80" t="s">
        <v>5898</v>
      </c>
      <c r="B3707" s="80" t="s">
        <v>5899</v>
      </c>
      <c r="C3707" s="80" t="s">
        <v>84</v>
      </c>
      <c r="D3707" s="80" t="s">
        <v>84</v>
      </c>
      <c r="E3707" s="80" t="s">
        <v>84</v>
      </c>
      <c r="G3707" s="80" t="s">
        <v>84</v>
      </c>
      <c r="H3707" s="80" t="s">
        <v>84</v>
      </c>
      <c r="I3707" s="80" t="s">
        <v>84</v>
      </c>
      <c r="J3707" s="80" t="s">
        <v>84</v>
      </c>
      <c r="K3707" s="80" t="s">
        <v>84</v>
      </c>
      <c r="L3707" s="80" t="s">
        <v>84</v>
      </c>
      <c r="M3707" s="80" t="s">
        <v>84</v>
      </c>
      <c r="N3707" s="80" t="s">
        <v>84</v>
      </c>
      <c r="O3707" s="80" t="s">
        <v>84</v>
      </c>
      <c r="Q3707" s="80" t="s">
        <v>84</v>
      </c>
      <c r="R3707" s="80" t="s">
        <v>84</v>
      </c>
    </row>
    <row r="3708" spans="1:18" ht="20" x14ac:dyDescent="0.2">
      <c r="A3708" s="80" t="s">
        <v>5856</v>
      </c>
      <c r="B3708" s="80" t="s">
        <v>5857</v>
      </c>
      <c r="C3708" s="80" t="s">
        <v>84</v>
      </c>
      <c r="D3708" s="80" t="s">
        <v>84</v>
      </c>
      <c r="E3708" s="80" t="s">
        <v>84</v>
      </c>
      <c r="G3708" s="80" t="s">
        <v>84</v>
      </c>
      <c r="H3708" s="80" t="s">
        <v>84</v>
      </c>
      <c r="I3708" s="80" t="s">
        <v>84</v>
      </c>
      <c r="J3708" s="80" t="s">
        <v>84</v>
      </c>
      <c r="K3708" s="80" t="s">
        <v>84</v>
      </c>
      <c r="L3708" s="80" t="s">
        <v>84</v>
      </c>
      <c r="M3708" s="80" t="s">
        <v>84</v>
      </c>
      <c r="N3708" s="80" t="s">
        <v>84</v>
      </c>
      <c r="O3708" s="80" t="s">
        <v>84</v>
      </c>
      <c r="Q3708" s="80" t="s">
        <v>84</v>
      </c>
      <c r="R3708" s="80" t="s">
        <v>84</v>
      </c>
    </row>
    <row r="3709" spans="1:18" ht="20" x14ac:dyDescent="0.2">
      <c r="A3709" s="80" t="s">
        <v>5858</v>
      </c>
      <c r="B3709" s="80" t="s">
        <v>5859</v>
      </c>
      <c r="C3709" s="80" t="s">
        <v>84</v>
      </c>
      <c r="D3709" s="80" t="s">
        <v>84</v>
      </c>
      <c r="E3709" s="80" t="s">
        <v>84</v>
      </c>
      <c r="G3709" s="80" t="s">
        <v>84</v>
      </c>
      <c r="H3709" s="80" t="s">
        <v>84</v>
      </c>
      <c r="I3709" s="80" t="s">
        <v>84</v>
      </c>
      <c r="J3709" s="80" t="s">
        <v>84</v>
      </c>
      <c r="K3709" s="80" t="s">
        <v>84</v>
      </c>
      <c r="L3709" s="80" t="s">
        <v>84</v>
      </c>
      <c r="M3709" s="80" t="s">
        <v>84</v>
      </c>
      <c r="N3709" s="80" t="s">
        <v>84</v>
      </c>
      <c r="O3709" s="80" t="s">
        <v>84</v>
      </c>
      <c r="Q3709" s="80" t="s">
        <v>84</v>
      </c>
      <c r="R3709" s="80" t="s">
        <v>84</v>
      </c>
    </row>
    <row r="3710" spans="1:18" ht="20" x14ac:dyDescent="0.2">
      <c r="A3710" s="80" t="s">
        <v>5860</v>
      </c>
      <c r="B3710" s="80" t="s">
        <v>5861</v>
      </c>
      <c r="C3710" s="80" t="s">
        <v>84</v>
      </c>
      <c r="D3710" s="80" t="s">
        <v>84</v>
      </c>
      <c r="E3710" s="80" t="s">
        <v>84</v>
      </c>
      <c r="G3710" s="80" t="s">
        <v>84</v>
      </c>
      <c r="H3710" s="80" t="s">
        <v>84</v>
      </c>
      <c r="I3710" s="80" t="s">
        <v>84</v>
      </c>
      <c r="J3710" s="80" t="s">
        <v>84</v>
      </c>
      <c r="K3710" s="80" t="s">
        <v>84</v>
      </c>
      <c r="L3710" s="80" t="s">
        <v>84</v>
      </c>
      <c r="M3710" s="80" t="s">
        <v>84</v>
      </c>
      <c r="N3710" s="80" t="s">
        <v>84</v>
      </c>
      <c r="O3710" s="80" t="s">
        <v>84</v>
      </c>
      <c r="Q3710" s="80" t="s">
        <v>84</v>
      </c>
      <c r="R3710" s="80" t="s">
        <v>84</v>
      </c>
    </row>
    <row r="3711" spans="1:18" ht="20" x14ac:dyDescent="0.2">
      <c r="A3711" s="80" t="s">
        <v>5862</v>
      </c>
      <c r="B3711" s="80" t="s">
        <v>5863</v>
      </c>
      <c r="C3711" s="80" t="s">
        <v>84</v>
      </c>
      <c r="D3711" s="80" t="s">
        <v>84</v>
      </c>
      <c r="E3711" s="80" t="s">
        <v>84</v>
      </c>
      <c r="G3711" s="80" t="s">
        <v>84</v>
      </c>
      <c r="H3711" s="80" t="s">
        <v>84</v>
      </c>
      <c r="I3711" s="80" t="s">
        <v>84</v>
      </c>
      <c r="J3711" s="80" t="s">
        <v>84</v>
      </c>
      <c r="K3711" s="80" t="s">
        <v>84</v>
      </c>
      <c r="L3711" s="80" t="s">
        <v>84</v>
      </c>
      <c r="M3711" s="80" t="s">
        <v>84</v>
      </c>
      <c r="N3711" s="80" t="s">
        <v>84</v>
      </c>
      <c r="O3711" s="80" t="s">
        <v>84</v>
      </c>
      <c r="Q3711" s="80" t="s">
        <v>84</v>
      </c>
      <c r="R3711" s="80" t="s">
        <v>84</v>
      </c>
    </row>
    <row r="3712" spans="1:18" ht="20" x14ac:dyDescent="0.2">
      <c r="A3712" s="80" t="s">
        <v>5864</v>
      </c>
      <c r="B3712" s="80" t="s">
        <v>5865</v>
      </c>
      <c r="C3712" s="80" t="s">
        <v>84</v>
      </c>
      <c r="D3712" s="80" t="s">
        <v>84</v>
      </c>
      <c r="E3712" s="80" t="s">
        <v>84</v>
      </c>
      <c r="G3712" s="80" t="s">
        <v>84</v>
      </c>
      <c r="H3712" s="80" t="s">
        <v>84</v>
      </c>
      <c r="I3712" s="80" t="s">
        <v>84</v>
      </c>
      <c r="J3712" s="80" t="s">
        <v>84</v>
      </c>
      <c r="K3712" s="80" t="s">
        <v>84</v>
      </c>
      <c r="L3712" s="80" t="s">
        <v>84</v>
      </c>
      <c r="M3712" s="80" t="s">
        <v>84</v>
      </c>
      <c r="N3712" s="80" t="s">
        <v>84</v>
      </c>
      <c r="O3712" s="80" t="s">
        <v>84</v>
      </c>
      <c r="Q3712" s="80" t="s">
        <v>84</v>
      </c>
      <c r="R3712" s="80" t="s">
        <v>84</v>
      </c>
    </row>
    <row r="3713" spans="1:18" ht="20" x14ac:dyDescent="0.2">
      <c r="A3713" s="80" t="s">
        <v>5866</v>
      </c>
      <c r="B3713" s="80" t="s">
        <v>5867</v>
      </c>
      <c r="C3713" s="80" t="s">
        <v>84</v>
      </c>
      <c r="D3713" s="80" t="s">
        <v>84</v>
      </c>
      <c r="E3713" s="80" t="s">
        <v>84</v>
      </c>
      <c r="G3713" s="80" t="s">
        <v>84</v>
      </c>
      <c r="H3713" s="80" t="s">
        <v>84</v>
      </c>
      <c r="I3713" s="80" t="s">
        <v>84</v>
      </c>
      <c r="J3713" s="80" t="s">
        <v>84</v>
      </c>
      <c r="K3713" s="80" t="s">
        <v>84</v>
      </c>
      <c r="L3713" s="80" t="s">
        <v>84</v>
      </c>
      <c r="M3713" s="80" t="s">
        <v>84</v>
      </c>
      <c r="N3713" s="80" t="s">
        <v>84</v>
      </c>
      <c r="O3713" s="80" t="s">
        <v>84</v>
      </c>
      <c r="Q3713" s="80" t="s">
        <v>84</v>
      </c>
      <c r="R3713" s="80" t="s">
        <v>84</v>
      </c>
    </row>
    <row r="3714" spans="1:18" ht="20" x14ac:dyDescent="0.2">
      <c r="A3714" s="80" t="s">
        <v>5930</v>
      </c>
      <c r="B3714" s="80" t="s">
        <v>5931</v>
      </c>
      <c r="C3714" s="80" t="s">
        <v>84</v>
      </c>
      <c r="D3714" s="80" t="s">
        <v>84</v>
      </c>
      <c r="E3714" s="80" t="s">
        <v>84</v>
      </c>
      <c r="G3714" s="80" t="s">
        <v>84</v>
      </c>
      <c r="H3714" s="80" t="s">
        <v>84</v>
      </c>
      <c r="I3714" s="80" t="s">
        <v>84</v>
      </c>
      <c r="J3714" s="80" t="s">
        <v>84</v>
      </c>
      <c r="K3714" s="80" t="s">
        <v>84</v>
      </c>
      <c r="L3714" s="80" t="s">
        <v>84</v>
      </c>
      <c r="M3714" s="80" t="s">
        <v>84</v>
      </c>
      <c r="N3714" s="80" t="s">
        <v>84</v>
      </c>
      <c r="O3714" s="80" t="s">
        <v>84</v>
      </c>
      <c r="Q3714" s="80" t="s">
        <v>84</v>
      </c>
      <c r="R3714" s="80" t="s">
        <v>84</v>
      </c>
    </row>
    <row r="3715" spans="1:18" ht="20" x14ac:dyDescent="0.2">
      <c r="A3715" s="80" t="s">
        <v>5868</v>
      </c>
      <c r="B3715" s="80" t="s">
        <v>5869</v>
      </c>
      <c r="C3715" s="80" t="s">
        <v>84</v>
      </c>
      <c r="D3715" s="80" t="s">
        <v>84</v>
      </c>
      <c r="E3715" s="80" t="s">
        <v>84</v>
      </c>
      <c r="G3715" s="80" t="s">
        <v>84</v>
      </c>
      <c r="H3715" s="80" t="s">
        <v>84</v>
      </c>
      <c r="I3715" s="80" t="s">
        <v>84</v>
      </c>
      <c r="J3715" s="80" t="s">
        <v>84</v>
      </c>
      <c r="K3715" s="80" t="s">
        <v>84</v>
      </c>
      <c r="L3715" s="80" t="s">
        <v>84</v>
      </c>
      <c r="M3715" s="80" t="s">
        <v>84</v>
      </c>
      <c r="N3715" s="80" t="s">
        <v>84</v>
      </c>
      <c r="O3715" s="80" t="s">
        <v>84</v>
      </c>
      <c r="Q3715" s="80" t="s">
        <v>84</v>
      </c>
      <c r="R3715" s="80" t="s">
        <v>84</v>
      </c>
    </row>
    <row r="3716" spans="1:18" ht="20" x14ac:dyDescent="0.2">
      <c r="A3716" s="80" t="s">
        <v>5870</v>
      </c>
      <c r="B3716" s="80" t="s">
        <v>5871</v>
      </c>
      <c r="C3716" s="80" t="s">
        <v>84</v>
      </c>
      <c r="D3716" s="80" t="s">
        <v>84</v>
      </c>
      <c r="E3716" s="80" t="s">
        <v>84</v>
      </c>
      <c r="G3716" s="80" t="s">
        <v>84</v>
      </c>
      <c r="H3716" s="80" t="s">
        <v>84</v>
      </c>
      <c r="I3716" s="80" t="s">
        <v>84</v>
      </c>
      <c r="J3716" s="80" t="s">
        <v>84</v>
      </c>
      <c r="K3716" s="80" t="s">
        <v>84</v>
      </c>
      <c r="L3716" s="80" t="s">
        <v>84</v>
      </c>
      <c r="M3716" s="80" t="s">
        <v>84</v>
      </c>
      <c r="N3716" s="80" t="s">
        <v>84</v>
      </c>
      <c r="O3716" s="80" t="s">
        <v>84</v>
      </c>
      <c r="Q3716" s="80" t="s">
        <v>84</v>
      </c>
      <c r="R3716" s="80" t="s">
        <v>84</v>
      </c>
    </row>
    <row r="3717" spans="1:18" ht="20" x14ac:dyDescent="0.2">
      <c r="A3717" s="80" t="s">
        <v>5782</v>
      </c>
      <c r="B3717" s="80" t="s">
        <v>5783</v>
      </c>
      <c r="C3717" s="80" t="s">
        <v>84</v>
      </c>
      <c r="D3717" s="80" t="s">
        <v>84</v>
      </c>
      <c r="E3717" s="80" t="s">
        <v>84</v>
      </c>
      <c r="G3717" s="80" t="s">
        <v>84</v>
      </c>
      <c r="H3717" s="80" t="s">
        <v>84</v>
      </c>
      <c r="I3717" s="80" t="s">
        <v>84</v>
      </c>
      <c r="J3717" s="80" t="s">
        <v>84</v>
      </c>
      <c r="K3717" s="80" t="s">
        <v>84</v>
      </c>
      <c r="L3717" s="80" t="s">
        <v>84</v>
      </c>
      <c r="M3717" s="80" t="s">
        <v>84</v>
      </c>
      <c r="N3717" s="80" t="s">
        <v>84</v>
      </c>
      <c r="O3717" s="80" t="s">
        <v>84</v>
      </c>
      <c r="Q3717" s="80" t="s">
        <v>84</v>
      </c>
      <c r="R3717" s="80" t="s">
        <v>84</v>
      </c>
    </row>
    <row r="3718" spans="1:18" ht="20" x14ac:dyDescent="0.2">
      <c r="A3718" s="80" t="s">
        <v>5832</v>
      </c>
      <c r="B3718" s="80" t="s">
        <v>5833</v>
      </c>
      <c r="C3718" s="80" t="s">
        <v>84</v>
      </c>
      <c r="D3718" s="80" t="s">
        <v>84</v>
      </c>
      <c r="E3718" s="80" t="s">
        <v>84</v>
      </c>
      <c r="G3718" s="80" t="s">
        <v>84</v>
      </c>
      <c r="H3718" s="80" t="s">
        <v>84</v>
      </c>
      <c r="I3718" s="80" t="s">
        <v>84</v>
      </c>
      <c r="J3718" s="80" t="s">
        <v>84</v>
      </c>
      <c r="K3718" s="80" t="s">
        <v>84</v>
      </c>
      <c r="L3718" s="80" t="s">
        <v>84</v>
      </c>
      <c r="M3718" s="80" t="s">
        <v>84</v>
      </c>
      <c r="N3718" s="80" t="s">
        <v>84</v>
      </c>
      <c r="O3718" s="80" t="s">
        <v>84</v>
      </c>
      <c r="Q3718" s="80" t="s">
        <v>84</v>
      </c>
      <c r="R3718" s="80" t="s">
        <v>84</v>
      </c>
    </row>
    <row r="3719" spans="1:18" ht="20" x14ac:dyDescent="0.2">
      <c r="A3719" s="80" t="s">
        <v>5806</v>
      </c>
      <c r="B3719" s="80" t="s">
        <v>5807</v>
      </c>
      <c r="C3719" s="80" t="s">
        <v>84</v>
      </c>
      <c r="D3719" s="80" t="s">
        <v>84</v>
      </c>
      <c r="E3719" s="80" t="s">
        <v>84</v>
      </c>
      <c r="G3719" s="80" t="s">
        <v>84</v>
      </c>
      <c r="H3719" s="80" t="s">
        <v>84</v>
      </c>
      <c r="I3719" s="80" t="s">
        <v>84</v>
      </c>
      <c r="J3719" s="80" t="s">
        <v>84</v>
      </c>
      <c r="K3719" s="80" t="s">
        <v>84</v>
      </c>
      <c r="L3719" s="80" t="s">
        <v>84</v>
      </c>
      <c r="M3719" s="80" t="s">
        <v>84</v>
      </c>
      <c r="N3719" s="80" t="s">
        <v>84</v>
      </c>
      <c r="O3719" s="80" t="s">
        <v>84</v>
      </c>
      <c r="Q3719" s="80" t="s">
        <v>84</v>
      </c>
      <c r="R3719" s="80" t="s">
        <v>84</v>
      </c>
    </row>
    <row r="3720" spans="1:18" ht="20" x14ac:dyDescent="0.2">
      <c r="A3720" s="80" t="s">
        <v>5784</v>
      </c>
      <c r="B3720" s="80" t="s">
        <v>5785</v>
      </c>
      <c r="C3720" s="80" t="s">
        <v>84</v>
      </c>
      <c r="D3720" s="80" t="s">
        <v>84</v>
      </c>
      <c r="E3720" s="80" t="s">
        <v>84</v>
      </c>
      <c r="G3720" s="80" t="s">
        <v>84</v>
      </c>
      <c r="H3720" s="80" t="s">
        <v>84</v>
      </c>
      <c r="I3720" s="80" t="s">
        <v>84</v>
      </c>
      <c r="J3720" s="80" t="s">
        <v>84</v>
      </c>
      <c r="K3720" s="80" t="s">
        <v>84</v>
      </c>
      <c r="L3720" s="80" t="s">
        <v>84</v>
      </c>
      <c r="M3720" s="80" t="s">
        <v>84</v>
      </c>
      <c r="N3720" s="80" t="s">
        <v>84</v>
      </c>
      <c r="O3720" s="80" t="s">
        <v>84</v>
      </c>
      <c r="Q3720" s="80" t="s">
        <v>84</v>
      </c>
      <c r="R3720" s="80" t="s">
        <v>84</v>
      </c>
    </row>
    <row r="3721" spans="1:18" ht="20" x14ac:dyDescent="0.2">
      <c r="A3721" s="80" t="s">
        <v>5872</v>
      </c>
      <c r="B3721" s="80" t="s">
        <v>5873</v>
      </c>
      <c r="C3721" s="80" t="s">
        <v>84</v>
      </c>
      <c r="D3721" s="80" t="s">
        <v>84</v>
      </c>
      <c r="E3721" s="80" t="s">
        <v>84</v>
      </c>
      <c r="G3721" s="80" t="s">
        <v>84</v>
      </c>
      <c r="H3721" s="80" t="s">
        <v>84</v>
      </c>
      <c r="I3721" s="80" t="s">
        <v>84</v>
      </c>
      <c r="J3721" s="80" t="s">
        <v>84</v>
      </c>
      <c r="K3721" s="80" t="s">
        <v>84</v>
      </c>
      <c r="L3721" s="80" t="s">
        <v>84</v>
      </c>
      <c r="M3721" s="80" t="s">
        <v>84</v>
      </c>
      <c r="N3721" s="80" t="s">
        <v>84</v>
      </c>
      <c r="O3721" s="80" t="s">
        <v>84</v>
      </c>
      <c r="Q3721" s="80" t="s">
        <v>84</v>
      </c>
      <c r="R3721" s="80" t="s">
        <v>84</v>
      </c>
    </row>
    <row r="3722" spans="1:18" ht="20" x14ac:dyDescent="0.2">
      <c r="A3722" s="80" t="s">
        <v>5874</v>
      </c>
      <c r="B3722" s="80" t="s">
        <v>5875</v>
      </c>
      <c r="C3722" s="80" t="s">
        <v>84</v>
      </c>
      <c r="D3722" s="80" t="s">
        <v>84</v>
      </c>
      <c r="E3722" s="80" t="s">
        <v>84</v>
      </c>
      <c r="G3722" s="80" t="s">
        <v>84</v>
      </c>
      <c r="H3722" s="80" t="s">
        <v>84</v>
      </c>
      <c r="I3722" s="80" t="s">
        <v>84</v>
      </c>
      <c r="J3722" s="80" t="s">
        <v>84</v>
      </c>
      <c r="K3722" s="80" t="s">
        <v>84</v>
      </c>
      <c r="L3722" s="80" t="s">
        <v>84</v>
      </c>
      <c r="M3722" s="80" t="s">
        <v>84</v>
      </c>
      <c r="N3722" s="80" t="s">
        <v>84</v>
      </c>
      <c r="O3722" s="80" t="s">
        <v>84</v>
      </c>
      <c r="Q3722" s="80" t="s">
        <v>84</v>
      </c>
      <c r="R3722" s="80" t="s">
        <v>84</v>
      </c>
    </row>
    <row r="3723" spans="1:18" ht="20" x14ac:dyDescent="0.2">
      <c r="A3723" s="80" t="s">
        <v>5932</v>
      </c>
      <c r="B3723" s="80" t="s">
        <v>5933</v>
      </c>
      <c r="C3723" s="80" t="s">
        <v>84</v>
      </c>
      <c r="D3723" s="80" t="s">
        <v>84</v>
      </c>
      <c r="E3723" s="80" t="s">
        <v>84</v>
      </c>
      <c r="G3723" s="80" t="s">
        <v>84</v>
      </c>
      <c r="H3723" s="80" t="s">
        <v>84</v>
      </c>
      <c r="I3723" s="80" t="s">
        <v>84</v>
      </c>
      <c r="J3723" s="80" t="s">
        <v>84</v>
      </c>
      <c r="K3723" s="80" t="s">
        <v>84</v>
      </c>
      <c r="L3723" s="80" t="s">
        <v>84</v>
      </c>
      <c r="M3723" s="80" t="s">
        <v>84</v>
      </c>
      <c r="N3723" s="80" t="s">
        <v>84</v>
      </c>
      <c r="O3723" s="80" t="s">
        <v>84</v>
      </c>
      <c r="Q3723" s="80" t="s">
        <v>84</v>
      </c>
      <c r="R3723" s="80" t="s">
        <v>84</v>
      </c>
    </row>
    <row r="3724" spans="1:18" ht="20" x14ac:dyDescent="0.2">
      <c r="A3724" s="80" t="s">
        <v>5878</v>
      </c>
      <c r="B3724" s="80" t="s">
        <v>5879</v>
      </c>
      <c r="C3724" s="80" t="s">
        <v>84</v>
      </c>
      <c r="D3724" s="80" t="s">
        <v>84</v>
      </c>
      <c r="E3724" s="80" t="s">
        <v>84</v>
      </c>
      <c r="G3724" s="80" t="s">
        <v>84</v>
      </c>
      <c r="H3724" s="80" t="s">
        <v>84</v>
      </c>
      <c r="I3724" s="80" t="s">
        <v>84</v>
      </c>
      <c r="J3724" s="80" t="s">
        <v>84</v>
      </c>
      <c r="K3724" s="80" t="s">
        <v>84</v>
      </c>
      <c r="L3724" s="80" t="s">
        <v>84</v>
      </c>
      <c r="M3724" s="80" t="s">
        <v>84</v>
      </c>
      <c r="N3724" s="80" t="s">
        <v>84</v>
      </c>
      <c r="O3724" s="80" t="s">
        <v>84</v>
      </c>
      <c r="Q3724" s="80" t="s">
        <v>84</v>
      </c>
      <c r="R3724" s="80" t="s">
        <v>84</v>
      </c>
    </row>
    <row r="3725" spans="1:18" ht="20" x14ac:dyDescent="0.2">
      <c r="A3725" s="80" t="s">
        <v>5880</v>
      </c>
      <c r="B3725" s="80" t="s">
        <v>5881</v>
      </c>
      <c r="C3725" s="80" t="s">
        <v>84</v>
      </c>
      <c r="D3725" s="80" t="s">
        <v>84</v>
      </c>
      <c r="E3725" s="80" t="s">
        <v>84</v>
      </c>
      <c r="G3725" s="80" t="s">
        <v>84</v>
      </c>
      <c r="H3725" s="80" t="s">
        <v>84</v>
      </c>
      <c r="I3725" s="80" t="s">
        <v>84</v>
      </c>
      <c r="J3725" s="80" t="s">
        <v>84</v>
      </c>
      <c r="K3725" s="80" t="s">
        <v>84</v>
      </c>
      <c r="L3725" s="80" t="s">
        <v>84</v>
      </c>
      <c r="M3725" s="80" t="s">
        <v>84</v>
      </c>
      <c r="N3725" s="80" t="s">
        <v>84</v>
      </c>
      <c r="O3725" s="80" t="s">
        <v>84</v>
      </c>
      <c r="Q3725" s="80" t="s">
        <v>84</v>
      </c>
      <c r="R3725" s="80" t="s">
        <v>84</v>
      </c>
    </row>
    <row r="3726" spans="1:18" ht="20" x14ac:dyDescent="0.2">
      <c r="A3726" s="80" t="s">
        <v>5882</v>
      </c>
      <c r="B3726" s="80" t="s">
        <v>5883</v>
      </c>
      <c r="C3726" s="80" t="s">
        <v>84</v>
      </c>
      <c r="D3726" s="80" t="s">
        <v>84</v>
      </c>
      <c r="E3726" s="80" t="s">
        <v>84</v>
      </c>
      <c r="G3726" s="80" t="s">
        <v>84</v>
      </c>
      <c r="H3726" s="80" t="s">
        <v>84</v>
      </c>
      <c r="I3726" s="80" t="s">
        <v>84</v>
      </c>
      <c r="J3726" s="80" t="s">
        <v>84</v>
      </c>
      <c r="K3726" s="80" t="s">
        <v>84</v>
      </c>
      <c r="L3726" s="80" t="s">
        <v>84</v>
      </c>
      <c r="M3726" s="80" t="s">
        <v>84</v>
      </c>
      <c r="N3726" s="80" t="s">
        <v>84</v>
      </c>
      <c r="O3726" s="80" t="s">
        <v>84</v>
      </c>
      <c r="Q3726" s="80" t="s">
        <v>84</v>
      </c>
      <c r="R3726" s="80" t="s">
        <v>84</v>
      </c>
    </row>
    <row r="3727" spans="1:18" ht="20" x14ac:dyDescent="0.2">
      <c r="A3727" s="80" t="s">
        <v>5808</v>
      </c>
      <c r="B3727" s="80" t="s">
        <v>5809</v>
      </c>
      <c r="C3727" s="80" t="s">
        <v>84</v>
      </c>
      <c r="D3727" s="80" t="s">
        <v>84</v>
      </c>
      <c r="E3727" s="80" t="s">
        <v>84</v>
      </c>
      <c r="G3727" s="80" t="s">
        <v>84</v>
      </c>
      <c r="H3727" s="80" t="s">
        <v>84</v>
      </c>
      <c r="I3727" s="80" t="s">
        <v>84</v>
      </c>
      <c r="J3727" s="80" t="s">
        <v>84</v>
      </c>
      <c r="K3727" s="80" t="s">
        <v>84</v>
      </c>
      <c r="L3727" s="80" t="s">
        <v>84</v>
      </c>
      <c r="M3727" s="80" t="s">
        <v>84</v>
      </c>
      <c r="N3727" s="80" t="s">
        <v>84</v>
      </c>
      <c r="O3727" s="80" t="s">
        <v>84</v>
      </c>
      <c r="Q3727" s="80" t="s">
        <v>84</v>
      </c>
      <c r="R3727" s="80" t="s">
        <v>84</v>
      </c>
    </row>
    <row r="3728" spans="1:18" ht="20" x14ac:dyDescent="0.2">
      <c r="A3728" s="80" t="s">
        <v>5956</v>
      </c>
      <c r="B3728" s="80" t="s">
        <v>5957</v>
      </c>
      <c r="C3728" s="80" t="s">
        <v>84</v>
      </c>
      <c r="D3728" s="80" t="s">
        <v>84</v>
      </c>
      <c r="E3728" s="80" t="s">
        <v>84</v>
      </c>
      <c r="G3728" s="80" t="s">
        <v>84</v>
      </c>
      <c r="H3728" s="80" t="s">
        <v>84</v>
      </c>
      <c r="I3728" s="80" t="s">
        <v>84</v>
      </c>
      <c r="J3728" s="80" t="s">
        <v>84</v>
      </c>
      <c r="K3728" s="80" t="s">
        <v>84</v>
      </c>
      <c r="L3728" s="80" t="s">
        <v>84</v>
      </c>
      <c r="M3728" s="80" t="s">
        <v>84</v>
      </c>
      <c r="N3728" s="80" t="s">
        <v>84</v>
      </c>
      <c r="O3728" s="80" t="s">
        <v>84</v>
      </c>
      <c r="Q3728" s="80" t="s">
        <v>84</v>
      </c>
      <c r="R3728" s="80" t="s">
        <v>84</v>
      </c>
    </row>
    <row r="3729" spans="1:18" ht="20" x14ac:dyDescent="0.2">
      <c r="A3729" s="80" t="s">
        <v>273</v>
      </c>
      <c r="B3729" s="80" t="s">
        <v>274</v>
      </c>
      <c r="C3729" s="80" t="s">
        <v>84</v>
      </c>
      <c r="D3729" s="80" t="s">
        <v>84</v>
      </c>
      <c r="E3729" s="80" t="s">
        <v>84</v>
      </c>
      <c r="G3729" s="80" t="s">
        <v>84</v>
      </c>
      <c r="H3729" s="80" t="s">
        <v>84</v>
      </c>
      <c r="I3729" s="80" t="s">
        <v>84</v>
      </c>
      <c r="J3729" s="80" t="s">
        <v>84</v>
      </c>
      <c r="K3729" s="80" t="s">
        <v>84</v>
      </c>
      <c r="L3729" s="80" t="s">
        <v>84</v>
      </c>
      <c r="M3729" s="80" t="s">
        <v>84</v>
      </c>
      <c r="N3729" s="80" t="s">
        <v>84</v>
      </c>
      <c r="O3729" s="80" t="s">
        <v>84</v>
      </c>
      <c r="Q3729" s="80" t="s">
        <v>84</v>
      </c>
      <c r="R3729" s="80" t="s">
        <v>84</v>
      </c>
    </row>
    <row r="3730" spans="1:18" ht="20" x14ac:dyDescent="0.2">
      <c r="A3730" s="80" t="s">
        <v>164</v>
      </c>
      <c r="B3730" s="80" t="s">
        <v>165</v>
      </c>
      <c r="C3730" s="80" t="s">
        <v>84</v>
      </c>
      <c r="D3730" s="80" t="s">
        <v>84</v>
      </c>
      <c r="E3730" s="80" t="s">
        <v>84</v>
      </c>
      <c r="G3730" s="80" t="s">
        <v>84</v>
      </c>
      <c r="H3730" s="80" t="s">
        <v>84</v>
      </c>
      <c r="I3730" s="80" t="s">
        <v>84</v>
      </c>
      <c r="J3730" s="80" t="s">
        <v>84</v>
      </c>
      <c r="K3730" s="80" t="s">
        <v>84</v>
      </c>
      <c r="L3730" s="80" t="s">
        <v>84</v>
      </c>
      <c r="M3730" s="80" t="s">
        <v>84</v>
      </c>
      <c r="N3730" s="80" t="s">
        <v>84</v>
      </c>
      <c r="O3730" s="80" t="s">
        <v>84</v>
      </c>
      <c r="Q3730" s="80" t="s">
        <v>84</v>
      </c>
      <c r="R3730" s="80" t="s">
        <v>84</v>
      </c>
    </row>
    <row r="3731" spans="1:18" ht="20" x14ac:dyDescent="0.2">
      <c r="A3731" s="80" t="s">
        <v>5886</v>
      </c>
      <c r="B3731" s="80" t="s">
        <v>5887</v>
      </c>
      <c r="C3731" s="80" t="s">
        <v>84</v>
      </c>
      <c r="D3731" s="80" t="s">
        <v>84</v>
      </c>
      <c r="E3731" s="80" t="s">
        <v>84</v>
      </c>
      <c r="G3731" s="80" t="s">
        <v>84</v>
      </c>
      <c r="H3731" s="80" t="s">
        <v>84</v>
      </c>
      <c r="I3731" s="80" t="s">
        <v>84</v>
      </c>
      <c r="J3731" s="80" t="s">
        <v>84</v>
      </c>
      <c r="K3731" s="80" t="s">
        <v>84</v>
      </c>
      <c r="L3731" s="80" t="s">
        <v>84</v>
      </c>
      <c r="M3731" s="80" t="s">
        <v>84</v>
      </c>
      <c r="N3731" s="80" t="s">
        <v>84</v>
      </c>
      <c r="O3731" s="80" t="s">
        <v>84</v>
      </c>
      <c r="Q3731" s="80" t="s">
        <v>84</v>
      </c>
      <c r="R3731" s="80" t="s">
        <v>84</v>
      </c>
    </row>
    <row r="3732" spans="1:18" ht="20" x14ac:dyDescent="0.2">
      <c r="A3732" s="80" t="s">
        <v>5908</v>
      </c>
      <c r="B3732" s="80" t="s">
        <v>5909</v>
      </c>
      <c r="C3732" s="80" t="s">
        <v>84</v>
      </c>
      <c r="D3732" s="80" t="s">
        <v>84</v>
      </c>
      <c r="E3732" s="80" t="s">
        <v>84</v>
      </c>
      <c r="G3732" s="80" t="s">
        <v>84</v>
      </c>
      <c r="H3732" s="80" t="s">
        <v>84</v>
      </c>
      <c r="I3732" s="80" t="s">
        <v>84</v>
      </c>
      <c r="J3732" s="80" t="s">
        <v>84</v>
      </c>
      <c r="K3732" s="80" t="s">
        <v>84</v>
      </c>
      <c r="L3732" s="80" t="s">
        <v>84</v>
      </c>
      <c r="M3732" s="80" t="s">
        <v>84</v>
      </c>
      <c r="N3732" s="80" t="s">
        <v>84</v>
      </c>
      <c r="O3732" s="80" t="s">
        <v>84</v>
      </c>
      <c r="Q3732" s="80" t="s">
        <v>84</v>
      </c>
      <c r="R3732" s="80" t="s">
        <v>84</v>
      </c>
    </row>
    <row r="3733" spans="1:18" ht="20" x14ac:dyDescent="0.2">
      <c r="A3733" s="80" t="s">
        <v>5852</v>
      </c>
      <c r="B3733" s="80" t="s">
        <v>5853</v>
      </c>
      <c r="C3733" s="80" t="s">
        <v>84</v>
      </c>
      <c r="D3733" s="80" t="s">
        <v>84</v>
      </c>
      <c r="E3733" s="80" t="s">
        <v>84</v>
      </c>
      <c r="G3733" s="80" t="s">
        <v>84</v>
      </c>
      <c r="H3733" s="80" t="s">
        <v>84</v>
      </c>
      <c r="I3733" s="80" t="s">
        <v>84</v>
      </c>
      <c r="J3733" s="80" t="s">
        <v>84</v>
      </c>
      <c r="K3733" s="80" t="s">
        <v>84</v>
      </c>
      <c r="L3733" s="80" t="s">
        <v>84</v>
      </c>
      <c r="M3733" s="80" t="s">
        <v>84</v>
      </c>
      <c r="N3733" s="80" t="s">
        <v>84</v>
      </c>
      <c r="O3733" s="80" t="s">
        <v>84</v>
      </c>
      <c r="Q3733" s="80" t="s">
        <v>84</v>
      </c>
      <c r="R3733" s="80" t="s">
        <v>84</v>
      </c>
    </row>
    <row r="3734" spans="1:18" ht="20" x14ac:dyDescent="0.2">
      <c r="A3734" s="80" t="s">
        <v>5816</v>
      </c>
      <c r="B3734" s="80" t="s">
        <v>5817</v>
      </c>
      <c r="C3734" s="80" t="s">
        <v>84</v>
      </c>
      <c r="D3734" s="80" t="s">
        <v>84</v>
      </c>
      <c r="E3734" s="80" t="s">
        <v>84</v>
      </c>
      <c r="G3734" s="80" t="s">
        <v>84</v>
      </c>
      <c r="H3734" s="80" t="s">
        <v>84</v>
      </c>
      <c r="I3734" s="80" t="s">
        <v>84</v>
      </c>
      <c r="J3734" s="80" t="s">
        <v>84</v>
      </c>
      <c r="K3734" s="80" t="s">
        <v>84</v>
      </c>
      <c r="L3734" s="80" t="s">
        <v>84</v>
      </c>
      <c r="M3734" s="80" t="s">
        <v>84</v>
      </c>
      <c r="N3734" s="80" t="s">
        <v>84</v>
      </c>
      <c r="O3734" s="80" t="s">
        <v>84</v>
      </c>
      <c r="Q3734" s="80" t="s">
        <v>84</v>
      </c>
      <c r="R3734" s="80" t="s">
        <v>84</v>
      </c>
    </row>
    <row r="3735" spans="1:18" ht="20" x14ac:dyDescent="0.2">
      <c r="A3735" s="80" t="s">
        <v>3798</v>
      </c>
      <c r="B3735" s="80" t="s">
        <v>3799</v>
      </c>
      <c r="C3735" s="80" t="s">
        <v>9680</v>
      </c>
      <c r="D3735" s="80" t="s">
        <v>84</v>
      </c>
      <c r="E3735" s="80" t="s">
        <v>84</v>
      </c>
      <c r="G3735" s="80" t="s">
        <v>84</v>
      </c>
      <c r="H3735" s="80" t="s">
        <v>84</v>
      </c>
      <c r="I3735" s="80" t="s">
        <v>84</v>
      </c>
      <c r="J3735" s="80" t="s">
        <v>84</v>
      </c>
      <c r="K3735" s="80" t="s">
        <v>84</v>
      </c>
      <c r="L3735" s="80" t="s">
        <v>84</v>
      </c>
      <c r="M3735" s="80" t="s">
        <v>84</v>
      </c>
      <c r="N3735" s="80" t="s">
        <v>84</v>
      </c>
      <c r="O3735" s="80" t="s">
        <v>84</v>
      </c>
      <c r="Q3735" s="80" t="s">
        <v>84</v>
      </c>
      <c r="R3735" s="80" t="s">
        <v>84</v>
      </c>
    </row>
    <row r="3736" spans="1:18" ht="20" x14ac:dyDescent="0.2">
      <c r="A3736" s="80" t="s">
        <v>1483</v>
      </c>
      <c r="B3736" s="80" t="s">
        <v>1484</v>
      </c>
      <c r="C3736" s="80" t="s">
        <v>9680</v>
      </c>
      <c r="D3736" s="80" t="s">
        <v>84</v>
      </c>
      <c r="E3736" s="80" t="s">
        <v>84</v>
      </c>
      <c r="G3736" s="80" t="s">
        <v>84</v>
      </c>
      <c r="H3736" s="80" t="s">
        <v>84</v>
      </c>
      <c r="I3736" s="80" t="s">
        <v>84</v>
      </c>
      <c r="J3736" s="80" t="s">
        <v>84</v>
      </c>
      <c r="K3736" s="80" t="s">
        <v>84</v>
      </c>
      <c r="L3736" s="80" t="s">
        <v>84</v>
      </c>
      <c r="M3736" s="80" t="s">
        <v>84</v>
      </c>
      <c r="N3736" s="80" t="s">
        <v>84</v>
      </c>
      <c r="O3736" s="80" t="s">
        <v>84</v>
      </c>
      <c r="Q3736" s="80" t="s">
        <v>84</v>
      </c>
      <c r="R3736" s="80" t="s">
        <v>84</v>
      </c>
    </row>
    <row r="3737" spans="1:18" ht="20" x14ac:dyDescent="0.2">
      <c r="A3737" s="80" t="s">
        <v>162</v>
      </c>
      <c r="B3737" s="80" t="s">
        <v>163</v>
      </c>
      <c r="C3737" s="80" t="s">
        <v>84</v>
      </c>
      <c r="D3737" s="80" t="s">
        <v>84</v>
      </c>
      <c r="E3737" s="80" t="s">
        <v>84</v>
      </c>
      <c r="G3737" s="80" t="s">
        <v>84</v>
      </c>
      <c r="H3737" s="80" t="s">
        <v>84</v>
      </c>
      <c r="I3737" s="80" t="s">
        <v>84</v>
      </c>
      <c r="J3737" s="80" t="s">
        <v>84</v>
      </c>
      <c r="K3737" s="80" t="s">
        <v>84</v>
      </c>
      <c r="L3737" s="80" t="s">
        <v>84</v>
      </c>
      <c r="M3737" s="80" t="s">
        <v>84</v>
      </c>
      <c r="N3737" s="80" t="s">
        <v>84</v>
      </c>
      <c r="O3737" s="80" t="s">
        <v>84</v>
      </c>
      <c r="Q3737" s="80" t="s">
        <v>84</v>
      </c>
      <c r="R3737" s="80" t="s">
        <v>84</v>
      </c>
    </row>
    <row r="3738" spans="1:18" ht="20" x14ac:dyDescent="0.2">
      <c r="A3738" s="80" t="s">
        <v>4117</v>
      </c>
      <c r="B3738" s="80" t="s">
        <v>4118</v>
      </c>
      <c r="C3738" s="80" t="s">
        <v>9680</v>
      </c>
      <c r="D3738" s="80" t="s">
        <v>84</v>
      </c>
      <c r="E3738" s="80" t="s">
        <v>84</v>
      </c>
      <c r="G3738" s="80" t="s">
        <v>84</v>
      </c>
      <c r="H3738" s="80" t="s">
        <v>84</v>
      </c>
      <c r="I3738" s="80" t="s">
        <v>84</v>
      </c>
      <c r="J3738" s="80" t="s">
        <v>84</v>
      </c>
      <c r="K3738" s="80" t="s">
        <v>84</v>
      </c>
      <c r="L3738" s="80" t="s">
        <v>84</v>
      </c>
      <c r="M3738" s="80" t="s">
        <v>84</v>
      </c>
      <c r="N3738" s="80" t="s">
        <v>84</v>
      </c>
      <c r="O3738" s="80" t="s">
        <v>84</v>
      </c>
      <c r="Q3738" s="80" t="s">
        <v>84</v>
      </c>
      <c r="R3738" s="80" t="s">
        <v>84</v>
      </c>
    </row>
    <row r="3739" spans="1:18" ht="20" x14ac:dyDescent="0.2">
      <c r="A3739" s="80" t="s">
        <v>5841</v>
      </c>
      <c r="B3739" s="80" t="s">
        <v>5842</v>
      </c>
      <c r="C3739" s="80" t="s">
        <v>9680</v>
      </c>
      <c r="D3739" s="80" t="s">
        <v>84</v>
      </c>
      <c r="E3739" s="80" t="s">
        <v>84</v>
      </c>
      <c r="G3739" s="80" t="s">
        <v>84</v>
      </c>
      <c r="H3739" s="80" t="s">
        <v>84</v>
      </c>
      <c r="I3739" s="80" t="s">
        <v>84</v>
      </c>
      <c r="J3739" s="80" t="s">
        <v>84</v>
      </c>
      <c r="K3739" s="80" t="s">
        <v>84</v>
      </c>
      <c r="L3739" s="80" t="s">
        <v>84</v>
      </c>
      <c r="M3739" s="80" t="s">
        <v>84</v>
      </c>
      <c r="N3739" s="80" t="s">
        <v>84</v>
      </c>
      <c r="O3739" s="80" t="s">
        <v>84</v>
      </c>
      <c r="Q3739" s="80" t="s">
        <v>84</v>
      </c>
      <c r="R3739" s="80" t="s">
        <v>84</v>
      </c>
    </row>
    <row r="3740" spans="1:18" ht="20" x14ac:dyDescent="0.2">
      <c r="A3740" s="80" t="s">
        <v>4762</v>
      </c>
      <c r="B3740" s="80" t="s">
        <v>4763</v>
      </c>
      <c r="C3740" s="80" t="s">
        <v>84</v>
      </c>
      <c r="D3740" s="80" t="s">
        <v>84</v>
      </c>
      <c r="E3740" s="80" t="s">
        <v>84</v>
      </c>
      <c r="G3740" s="80" t="s">
        <v>84</v>
      </c>
      <c r="H3740" s="80" t="s">
        <v>84</v>
      </c>
      <c r="I3740" s="80" t="s">
        <v>84</v>
      </c>
      <c r="J3740" s="80" t="s">
        <v>84</v>
      </c>
      <c r="K3740" s="80" t="s">
        <v>84</v>
      </c>
      <c r="L3740" s="80" t="s">
        <v>84</v>
      </c>
      <c r="M3740" s="80" t="s">
        <v>84</v>
      </c>
      <c r="N3740" s="80" t="s">
        <v>84</v>
      </c>
      <c r="O3740" s="80" t="s">
        <v>84</v>
      </c>
      <c r="Q3740" s="80" t="s">
        <v>84</v>
      </c>
      <c r="R3740" s="80" t="s">
        <v>84</v>
      </c>
    </row>
    <row r="3741" spans="1:18" ht="20" x14ac:dyDescent="0.2">
      <c r="A3741" s="80" t="s">
        <v>4719</v>
      </c>
      <c r="B3741" s="80" t="s">
        <v>4720</v>
      </c>
      <c r="C3741" s="80" t="s">
        <v>84</v>
      </c>
      <c r="D3741" s="80" t="s">
        <v>84</v>
      </c>
      <c r="E3741" s="80" t="s">
        <v>84</v>
      </c>
      <c r="G3741" s="80" t="s">
        <v>84</v>
      </c>
      <c r="H3741" s="80" t="s">
        <v>84</v>
      </c>
      <c r="I3741" s="80" t="s">
        <v>84</v>
      </c>
      <c r="J3741" s="80" t="s">
        <v>84</v>
      </c>
      <c r="K3741" s="80" t="s">
        <v>84</v>
      </c>
      <c r="L3741" s="80" t="s">
        <v>84</v>
      </c>
      <c r="M3741" s="80" t="s">
        <v>84</v>
      </c>
      <c r="N3741" s="80" t="s">
        <v>84</v>
      </c>
      <c r="O3741" s="80" t="s">
        <v>84</v>
      </c>
      <c r="Q3741" s="80" t="s">
        <v>84</v>
      </c>
      <c r="R3741" s="80" t="s">
        <v>84</v>
      </c>
    </row>
    <row r="3742" spans="1:18" ht="20" x14ac:dyDescent="0.2">
      <c r="A3742" s="80" t="s">
        <v>4710</v>
      </c>
      <c r="B3742" s="80" t="s">
        <v>4711</v>
      </c>
      <c r="C3742" s="80" t="s">
        <v>84</v>
      </c>
      <c r="D3742" s="80" t="s">
        <v>84</v>
      </c>
      <c r="E3742" s="80" t="s">
        <v>84</v>
      </c>
      <c r="G3742" s="80" t="s">
        <v>84</v>
      </c>
      <c r="H3742" s="80" t="s">
        <v>84</v>
      </c>
      <c r="I3742" s="80" t="s">
        <v>84</v>
      </c>
      <c r="J3742" s="80" t="s">
        <v>84</v>
      </c>
      <c r="K3742" s="80" t="s">
        <v>84</v>
      </c>
      <c r="L3742" s="80" t="s">
        <v>84</v>
      </c>
      <c r="M3742" s="80" t="s">
        <v>84</v>
      </c>
      <c r="N3742" s="80" t="s">
        <v>84</v>
      </c>
      <c r="O3742" s="80" t="s">
        <v>84</v>
      </c>
      <c r="Q3742" s="80" t="s">
        <v>84</v>
      </c>
      <c r="R3742" s="80" t="s">
        <v>84</v>
      </c>
    </row>
    <row r="3743" spans="1:18" ht="20" x14ac:dyDescent="0.2">
      <c r="A3743" s="80" t="s">
        <v>4714</v>
      </c>
      <c r="B3743" s="80" t="s">
        <v>4715</v>
      </c>
      <c r="C3743" s="80" t="s">
        <v>9680</v>
      </c>
      <c r="D3743" s="80" t="s">
        <v>84</v>
      </c>
      <c r="E3743" s="80" t="s">
        <v>84</v>
      </c>
      <c r="G3743" s="80" t="s">
        <v>84</v>
      </c>
      <c r="H3743" s="80" t="s">
        <v>84</v>
      </c>
      <c r="I3743" s="80" t="s">
        <v>84</v>
      </c>
      <c r="J3743" s="80" t="s">
        <v>84</v>
      </c>
      <c r="K3743" s="80" t="s">
        <v>84</v>
      </c>
      <c r="L3743" s="80" t="s">
        <v>84</v>
      </c>
      <c r="M3743" s="80" t="s">
        <v>84</v>
      </c>
      <c r="N3743" s="80" t="s">
        <v>84</v>
      </c>
      <c r="O3743" s="80" t="s">
        <v>84</v>
      </c>
      <c r="Q3743" s="80" t="s">
        <v>84</v>
      </c>
      <c r="R3743" s="80" t="s">
        <v>84</v>
      </c>
    </row>
    <row r="3744" spans="1:18" ht="20" x14ac:dyDescent="0.2">
      <c r="A3744" s="80" t="s">
        <v>235</v>
      </c>
      <c r="B3744" s="80" t="s">
        <v>236</v>
      </c>
      <c r="C3744" s="80" t="s">
        <v>9680</v>
      </c>
      <c r="D3744" s="80" t="s">
        <v>84</v>
      </c>
      <c r="E3744" s="80" t="s">
        <v>84</v>
      </c>
      <c r="G3744" s="80" t="s">
        <v>84</v>
      </c>
      <c r="H3744" s="80" t="s">
        <v>84</v>
      </c>
      <c r="I3744" s="80" t="s">
        <v>84</v>
      </c>
      <c r="J3744" s="80" t="s">
        <v>84</v>
      </c>
      <c r="K3744" s="80" t="s">
        <v>84</v>
      </c>
      <c r="L3744" s="80" t="s">
        <v>84</v>
      </c>
      <c r="M3744" s="80" t="s">
        <v>84</v>
      </c>
      <c r="N3744" s="80" t="s">
        <v>84</v>
      </c>
      <c r="O3744" s="80" t="s">
        <v>84</v>
      </c>
      <c r="Q3744" s="80" t="s">
        <v>84</v>
      </c>
      <c r="R3744" s="80" t="s">
        <v>84</v>
      </c>
    </row>
    <row r="3745" spans="1:18" ht="20" x14ac:dyDescent="0.2">
      <c r="A3745" s="80" t="s">
        <v>4826</v>
      </c>
      <c r="B3745" s="80" t="s">
        <v>4827</v>
      </c>
      <c r="C3745" s="80" t="s">
        <v>9680</v>
      </c>
      <c r="D3745" s="80" t="s">
        <v>84</v>
      </c>
      <c r="E3745" s="80" t="s">
        <v>84</v>
      </c>
      <c r="G3745" s="80" t="s">
        <v>84</v>
      </c>
      <c r="H3745" s="80" t="s">
        <v>84</v>
      </c>
      <c r="I3745" s="80" t="s">
        <v>84</v>
      </c>
      <c r="J3745" s="80" t="s">
        <v>84</v>
      </c>
      <c r="K3745" s="80" t="s">
        <v>84</v>
      </c>
      <c r="L3745" s="80" t="s">
        <v>84</v>
      </c>
      <c r="M3745" s="80" t="s">
        <v>84</v>
      </c>
      <c r="N3745" s="80" t="s">
        <v>84</v>
      </c>
      <c r="O3745" s="80" t="s">
        <v>84</v>
      </c>
      <c r="Q3745" s="80" t="s">
        <v>84</v>
      </c>
      <c r="R3745" s="80" t="s">
        <v>84</v>
      </c>
    </row>
    <row r="3746" spans="1:18" ht="20" x14ac:dyDescent="0.2">
      <c r="A3746" s="80" t="s">
        <v>4816</v>
      </c>
      <c r="B3746" s="80" t="s">
        <v>4817</v>
      </c>
      <c r="C3746" s="80" t="s">
        <v>9680</v>
      </c>
      <c r="D3746" s="80" t="s">
        <v>84</v>
      </c>
      <c r="E3746" s="80" t="s">
        <v>84</v>
      </c>
      <c r="G3746" s="80" t="s">
        <v>84</v>
      </c>
      <c r="H3746" s="80" t="s">
        <v>84</v>
      </c>
      <c r="I3746" s="80" t="s">
        <v>84</v>
      </c>
      <c r="J3746" s="80" t="s">
        <v>84</v>
      </c>
      <c r="K3746" s="80" t="s">
        <v>84</v>
      </c>
      <c r="L3746" s="80" t="s">
        <v>84</v>
      </c>
      <c r="M3746" s="80" t="s">
        <v>84</v>
      </c>
      <c r="N3746" s="80" t="s">
        <v>84</v>
      </c>
      <c r="O3746" s="80" t="s">
        <v>84</v>
      </c>
      <c r="Q3746" s="80" t="s">
        <v>84</v>
      </c>
      <c r="R3746" s="80" t="s">
        <v>84</v>
      </c>
    </row>
    <row r="3747" spans="1:18" ht="20" x14ac:dyDescent="0.2">
      <c r="A3747" s="80" t="s">
        <v>4821</v>
      </c>
      <c r="B3747" s="80" t="s">
        <v>4822</v>
      </c>
      <c r="C3747" s="80" t="s">
        <v>9680</v>
      </c>
      <c r="D3747" s="80" t="s">
        <v>84</v>
      </c>
      <c r="E3747" s="80" t="s">
        <v>84</v>
      </c>
      <c r="G3747" s="80" t="s">
        <v>84</v>
      </c>
      <c r="H3747" s="80" t="s">
        <v>84</v>
      </c>
      <c r="I3747" s="80" t="s">
        <v>84</v>
      </c>
      <c r="J3747" s="80" t="s">
        <v>84</v>
      </c>
      <c r="K3747" s="80" t="s">
        <v>84</v>
      </c>
      <c r="L3747" s="80" t="s">
        <v>84</v>
      </c>
      <c r="M3747" s="80" t="s">
        <v>84</v>
      </c>
      <c r="N3747" s="80" t="s">
        <v>84</v>
      </c>
      <c r="O3747" s="80" t="s">
        <v>84</v>
      </c>
      <c r="Q3747" s="80" t="s">
        <v>84</v>
      </c>
      <c r="R3747" s="80" t="s">
        <v>84</v>
      </c>
    </row>
    <row r="3748" spans="1:18" ht="20" x14ac:dyDescent="0.2">
      <c r="A3748" s="80" t="s">
        <v>4874</v>
      </c>
      <c r="B3748" s="80" t="s">
        <v>4875</v>
      </c>
      <c r="C3748" s="80" t="s">
        <v>9680</v>
      </c>
      <c r="D3748" s="80" t="s">
        <v>84</v>
      </c>
      <c r="E3748" s="80" t="s">
        <v>84</v>
      </c>
      <c r="G3748" s="80" t="s">
        <v>84</v>
      </c>
      <c r="H3748" s="80" t="s">
        <v>84</v>
      </c>
      <c r="I3748" s="80" t="s">
        <v>84</v>
      </c>
      <c r="J3748" s="80" t="s">
        <v>84</v>
      </c>
      <c r="K3748" s="80" t="s">
        <v>84</v>
      </c>
      <c r="L3748" s="80" t="s">
        <v>84</v>
      </c>
      <c r="M3748" s="80" t="s">
        <v>84</v>
      </c>
      <c r="N3748" s="80" t="s">
        <v>84</v>
      </c>
      <c r="O3748" s="80" t="s">
        <v>84</v>
      </c>
      <c r="Q3748" s="80" t="s">
        <v>84</v>
      </c>
      <c r="R3748" s="80" t="s">
        <v>84</v>
      </c>
    </row>
    <row r="3749" spans="1:18" ht="20" x14ac:dyDescent="0.2">
      <c r="A3749" s="80" t="s">
        <v>4879</v>
      </c>
      <c r="B3749" s="80" t="s">
        <v>4880</v>
      </c>
      <c r="C3749" s="80" t="s">
        <v>9680</v>
      </c>
      <c r="D3749" s="80" t="s">
        <v>84</v>
      </c>
      <c r="E3749" s="80" t="s">
        <v>84</v>
      </c>
      <c r="G3749" s="80" t="s">
        <v>84</v>
      </c>
      <c r="H3749" s="80" t="s">
        <v>84</v>
      </c>
      <c r="I3749" s="80" t="s">
        <v>84</v>
      </c>
      <c r="J3749" s="80" t="s">
        <v>84</v>
      </c>
      <c r="K3749" s="80" t="s">
        <v>84</v>
      </c>
      <c r="L3749" s="80" t="s">
        <v>84</v>
      </c>
      <c r="M3749" s="80" t="s">
        <v>84</v>
      </c>
      <c r="N3749" s="80" t="s">
        <v>84</v>
      </c>
      <c r="O3749" s="80" t="s">
        <v>84</v>
      </c>
      <c r="Q3749" s="80" t="s">
        <v>84</v>
      </c>
      <c r="R3749" s="80" t="s">
        <v>84</v>
      </c>
    </row>
    <row r="3750" spans="1:18" ht="20" x14ac:dyDescent="0.2">
      <c r="A3750" s="80" t="s">
        <v>1327</v>
      </c>
      <c r="B3750" s="80" t="s">
        <v>1328</v>
      </c>
      <c r="C3750" s="80" t="s">
        <v>9680</v>
      </c>
      <c r="D3750" s="80" t="s">
        <v>84</v>
      </c>
      <c r="E3750" s="80" t="s">
        <v>84</v>
      </c>
      <c r="G3750" s="80" t="s">
        <v>84</v>
      </c>
      <c r="H3750" s="80" t="s">
        <v>84</v>
      </c>
      <c r="I3750" s="80" t="s">
        <v>84</v>
      </c>
      <c r="J3750" s="80" t="s">
        <v>84</v>
      </c>
      <c r="K3750" s="80" t="s">
        <v>84</v>
      </c>
      <c r="L3750" s="80" t="s">
        <v>84</v>
      </c>
      <c r="M3750" s="80" t="s">
        <v>84</v>
      </c>
      <c r="N3750" s="80" t="s">
        <v>84</v>
      </c>
      <c r="O3750" s="80" t="s">
        <v>84</v>
      </c>
      <c r="Q3750" s="80" t="s">
        <v>84</v>
      </c>
      <c r="R3750" s="80" t="s">
        <v>84</v>
      </c>
    </row>
    <row r="3751" spans="1:18" ht="20" x14ac:dyDescent="0.2">
      <c r="A3751" s="80" t="s">
        <v>4695</v>
      </c>
      <c r="B3751" s="80" t="s">
        <v>4696</v>
      </c>
      <c r="C3751" s="80" t="s">
        <v>84</v>
      </c>
      <c r="D3751" s="80" t="s">
        <v>84</v>
      </c>
      <c r="E3751" s="80" t="s">
        <v>84</v>
      </c>
      <c r="G3751" s="80" t="s">
        <v>84</v>
      </c>
      <c r="H3751" s="80" t="s">
        <v>84</v>
      </c>
      <c r="I3751" s="80" t="s">
        <v>84</v>
      </c>
      <c r="J3751" s="80" t="s">
        <v>84</v>
      </c>
      <c r="K3751" s="80" t="s">
        <v>84</v>
      </c>
      <c r="L3751" s="80" t="s">
        <v>84</v>
      </c>
      <c r="M3751" s="80" t="s">
        <v>84</v>
      </c>
      <c r="N3751" s="80" t="s">
        <v>84</v>
      </c>
      <c r="O3751" s="80" t="s">
        <v>84</v>
      </c>
      <c r="Q3751" s="80" t="s">
        <v>84</v>
      </c>
      <c r="R3751" s="80" t="s">
        <v>84</v>
      </c>
    </row>
    <row r="3752" spans="1:18" ht="20" x14ac:dyDescent="0.2">
      <c r="A3752" s="80" t="s">
        <v>4705</v>
      </c>
      <c r="B3752" s="80" t="s">
        <v>4706</v>
      </c>
      <c r="C3752" s="80" t="s">
        <v>9680</v>
      </c>
      <c r="D3752" s="80" t="s">
        <v>84</v>
      </c>
      <c r="E3752" s="80" t="s">
        <v>84</v>
      </c>
      <c r="G3752" s="80" t="s">
        <v>84</v>
      </c>
      <c r="H3752" s="80" t="s">
        <v>84</v>
      </c>
      <c r="I3752" s="80" t="s">
        <v>84</v>
      </c>
      <c r="J3752" s="80" t="s">
        <v>84</v>
      </c>
      <c r="K3752" s="80" t="s">
        <v>84</v>
      </c>
      <c r="L3752" s="80" t="s">
        <v>84</v>
      </c>
      <c r="M3752" s="80" t="s">
        <v>84</v>
      </c>
      <c r="N3752" s="80" t="s">
        <v>84</v>
      </c>
      <c r="O3752" s="80" t="s">
        <v>84</v>
      </c>
      <c r="Q3752" s="80" t="s">
        <v>84</v>
      </c>
      <c r="R3752" s="80" t="s">
        <v>84</v>
      </c>
    </row>
    <row r="3753" spans="1:18" ht="20" x14ac:dyDescent="0.2">
      <c r="A3753" s="80" t="s">
        <v>4700</v>
      </c>
      <c r="B3753" s="80" t="s">
        <v>4701</v>
      </c>
      <c r="C3753" s="80" t="s">
        <v>84</v>
      </c>
      <c r="D3753" s="80" t="s">
        <v>84</v>
      </c>
      <c r="E3753" s="80" t="s">
        <v>84</v>
      </c>
      <c r="G3753" s="80" t="s">
        <v>84</v>
      </c>
      <c r="H3753" s="80" t="s">
        <v>84</v>
      </c>
      <c r="I3753" s="80" t="s">
        <v>84</v>
      </c>
      <c r="J3753" s="80" t="s">
        <v>84</v>
      </c>
      <c r="K3753" s="80" t="s">
        <v>84</v>
      </c>
      <c r="L3753" s="80" t="s">
        <v>84</v>
      </c>
      <c r="M3753" s="80" t="s">
        <v>84</v>
      </c>
      <c r="N3753" s="80" t="s">
        <v>84</v>
      </c>
      <c r="O3753" s="80" t="s">
        <v>84</v>
      </c>
      <c r="Q3753" s="80" t="s">
        <v>84</v>
      </c>
      <c r="R3753" s="80" t="s">
        <v>84</v>
      </c>
    </row>
    <row r="3754" spans="1:18" ht="20" x14ac:dyDescent="0.2">
      <c r="A3754" s="80" t="s">
        <v>4690</v>
      </c>
      <c r="B3754" s="80" t="s">
        <v>4691</v>
      </c>
      <c r="C3754" s="80" t="s">
        <v>9680</v>
      </c>
      <c r="D3754" s="80" t="s">
        <v>84</v>
      </c>
      <c r="E3754" s="80" t="s">
        <v>84</v>
      </c>
      <c r="G3754" s="80" t="s">
        <v>84</v>
      </c>
      <c r="H3754" s="80" t="s">
        <v>84</v>
      </c>
      <c r="I3754" s="80" t="s">
        <v>84</v>
      </c>
      <c r="J3754" s="80" t="s">
        <v>84</v>
      </c>
      <c r="K3754" s="80" t="s">
        <v>84</v>
      </c>
      <c r="L3754" s="80" t="s">
        <v>84</v>
      </c>
      <c r="M3754" s="80" t="s">
        <v>84</v>
      </c>
      <c r="N3754" s="80" t="s">
        <v>84</v>
      </c>
      <c r="O3754" s="80" t="s">
        <v>84</v>
      </c>
      <c r="Q3754" s="80" t="s">
        <v>84</v>
      </c>
      <c r="R3754" s="80" t="s">
        <v>84</v>
      </c>
    </row>
    <row r="3755" spans="1:18" ht="20" x14ac:dyDescent="0.2">
      <c r="A3755" s="80" t="s">
        <v>4910</v>
      </c>
      <c r="B3755" s="80" t="s">
        <v>4911</v>
      </c>
      <c r="C3755" s="80" t="s">
        <v>9680</v>
      </c>
      <c r="D3755" s="80" t="s">
        <v>84</v>
      </c>
      <c r="E3755" s="80" t="s">
        <v>84</v>
      </c>
      <c r="G3755" s="80" t="s">
        <v>84</v>
      </c>
      <c r="H3755" s="80" t="s">
        <v>84</v>
      </c>
      <c r="I3755" s="80" t="s">
        <v>84</v>
      </c>
      <c r="J3755" s="80" t="s">
        <v>84</v>
      </c>
      <c r="K3755" s="80" t="s">
        <v>84</v>
      </c>
      <c r="L3755" s="80" t="s">
        <v>84</v>
      </c>
      <c r="M3755" s="80" t="s">
        <v>84</v>
      </c>
      <c r="N3755" s="80" t="s">
        <v>84</v>
      </c>
      <c r="O3755" s="80" t="s">
        <v>84</v>
      </c>
      <c r="Q3755" s="80" t="s">
        <v>84</v>
      </c>
      <c r="R3755" s="80" t="s">
        <v>84</v>
      </c>
    </row>
    <row r="3756" spans="1:18" ht="20" x14ac:dyDescent="0.2">
      <c r="A3756" s="80" t="s">
        <v>4685</v>
      </c>
      <c r="B3756" s="80" t="s">
        <v>4686</v>
      </c>
      <c r="C3756" s="80" t="s">
        <v>84</v>
      </c>
      <c r="D3756" s="80" t="s">
        <v>84</v>
      </c>
      <c r="E3756" s="80" t="s">
        <v>84</v>
      </c>
      <c r="G3756" s="80" t="s">
        <v>84</v>
      </c>
      <c r="H3756" s="80" t="s">
        <v>84</v>
      </c>
      <c r="I3756" s="80" t="s">
        <v>84</v>
      </c>
      <c r="J3756" s="80" t="s">
        <v>84</v>
      </c>
      <c r="K3756" s="80" t="s">
        <v>84</v>
      </c>
      <c r="L3756" s="80" t="s">
        <v>84</v>
      </c>
      <c r="M3756" s="80" t="s">
        <v>84</v>
      </c>
      <c r="N3756" s="80" t="s">
        <v>84</v>
      </c>
      <c r="O3756" s="80" t="s">
        <v>84</v>
      </c>
      <c r="Q3756" s="80" t="s">
        <v>84</v>
      </c>
      <c r="R3756" s="80" t="s">
        <v>84</v>
      </c>
    </row>
    <row r="3757" spans="1:18" ht="20" x14ac:dyDescent="0.2">
      <c r="A3757" s="80" t="s">
        <v>4846</v>
      </c>
      <c r="B3757" s="80" t="s">
        <v>4847</v>
      </c>
      <c r="C3757" s="80" t="s">
        <v>9680</v>
      </c>
      <c r="D3757" s="80" t="s">
        <v>84</v>
      </c>
      <c r="E3757" s="80" t="s">
        <v>84</v>
      </c>
      <c r="G3757" s="80" t="s">
        <v>84</v>
      </c>
      <c r="H3757" s="80" t="s">
        <v>84</v>
      </c>
      <c r="I3757" s="80" t="s">
        <v>84</v>
      </c>
      <c r="J3757" s="80" t="s">
        <v>84</v>
      </c>
      <c r="K3757" s="80" t="s">
        <v>84</v>
      </c>
      <c r="L3757" s="80" t="s">
        <v>84</v>
      </c>
      <c r="M3757" s="80" t="s">
        <v>84</v>
      </c>
      <c r="N3757" s="80" t="s">
        <v>84</v>
      </c>
      <c r="O3757" s="80" t="s">
        <v>84</v>
      </c>
      <c r="Q3757" s="80" t="s">
        <v>84</v>
      </c>
      <c r="R3757" s="80" t="s">
        <v>84</v>
      </c>
    </row>
    <row r="3758" spans="1:18" ht="20" x14ac:dyDescent="0.2">
      <c r="A3758" s="80" t="s">
        <v>4851</v>
      </c>
      <c r="B3758" s="80" t="s">
        <v>4852</v>
      </c>
      <c r="C3758" s="80" t="s">
        <v>9680</v>
      </c>
      <c r="D3758" s="80" t="s">
        <v>84</v>
      </c>
      <c r="E3758" s="80" t="s">
        <v>84</v>
      </c>
      <c r="G3758" s="80" t="s">
        <v>84</v>
      </c>
      <c r="H3758" s="80" t="s">
        <v>84</v>
      </c>
      <c r="I3758" s="80" t="s">
        <v>84</v>
      </c>
      <c r="J3758" s="80" t="s">
        <v>84</v>
      </c>
      <c r="K3758" s="80" t="s">
        <v>84</v>
      </c>
      <c r="L3758" s="80" t="s">
        <v>84</v>
      </c>
      <c r="M3758" s="80" t="s">
        <v>84</v>
      </c>
      <c r="N3758" s="80" t="s">
        <v>84</v>
      </c>
      <c r="O3758" s="80" t="s">
        <v>84</v>
      </c>
      <c r="Q3758" s="80" t="s">
        <v>84</v>
      </c>
      <c r="R3758" s="80" t="s">
        <v>84</v>
      </c>
    </row>
    <row r="3759" spans="1:18" ht="20" x14ac:dyDescent="0.2">
      <c r="A3759" s="80" t="s">
        <v>4414</v>
      </c>
      <c r="B3759" s="80" t="s">
        <v>4415</v>
      </c>
      <c r="C3759" s="80" t="s">
        <v>9680</v>
      </c>
      <c r="D3759" s="80" t="s">
        <v>84</v>
      </c>
      <c r="E3759" s="80" t="s">
        <v>84</v>
      </c>
      <c r="G3759" s="80" t="s">
        <v>84</v>
      </c>
      <c r="H3759" s="80" t="s">
        <v>84</v>
      </c>
      <c r="I3759" s="80" t="s">
        <v>84</v>
      </c>
      <c r="J3759" s="80" t="s">
        <v>84</v>
      </c>
      <c r="K3759" s="80" t="s">
        <v>84</v>
      </c>
      <c r="L3759" s="80" t="s">
        <v>84</v>
      </c>
      <c r="M3759" s="80" t="s">
        <v>84</v>
      </c>
      <c r="N3759" s="80" t="s">
        <v>84</v>
      </c>
      <c r="O3759" s="80" t="s">
        <v>84</v>
      </c>
      <c r="Q3759" s="80" t="s">
        <v>84</v>
      </c>
      <c r="R3759" s="80" t="s">
        <v>84</v>
      </c>
    </row>
    <row r="3760" spans="1:18" ht="20" x14ac:dyDescent="0.2">
      <c r="A3760" s="80" t="s">
        <v>4831</v>
      </c>
      <c r="B3760" s="80" t="s">
        <v>4832</v>
      </c>
      <c r="C3760" s="80" t="s">
        <v>9680</v>
      </c>
      <c r="D3760" s="80" t="s">
        <v>84</v>
      </c>
      <c r="E3760" s="80" t="s">
        <v>84</v>
      </c>
      <c r="G3760" s="80" t="s">
        <v>84</v>
      </c>
      <c r="H3760" s="80" t="s">
        <v>84</v>
      </c>
      <c r="I3760" s="80" t="s">
        <v>84</v>
      </c>
      <c r="J3760" s="80" t="s">
        <v>84</v>
      </c>
      <c r="K3760" s="80" t="s">
        <v>84</v>
      </c>
      <c r="L3760" s="80" t="s">
        <v>84</v>
      </c>
      <c r="M3760" s="80" t="s">
        <v>84</v>
      </c>
      <c r="N3760" s="80" t="s">
        <v>84</v>
      </c>
      <c r="O3760" s="80" t="s">
        <v>84</v>
      </c>
      <c r="Q3760" s="80" t="s">
        <v>84</v>
      </c>
      <c r="R3760" s="80" t="s">
        <v>84</v>
      </c>
    </row>
    <row r="3761" spans="1:18" ht="20" x14ac:dyDescent="0.2">
      <c r="A3761" s="80" t="s">
        <v>4836</v>
      </c>
      <c r="B3761" s="80" t="s">
        <v>4837</v>
      </c>
      <c r="C3761" s="80" t="s">
        <v>9680</v>
      </c>
      <c r="D3761" s="80" t="s">
        <v>84</v>
      </c>
      <c r="E3761" s="80" t="s">
        <v>84</v>
      </c>
      <c r="G3761" s="80" t="s">
        <v>84</v>
      </c>
      <c r="H3761" s="80" t="s">
        <v>84</v>
      </c>
      <c r="I3761" s="80" t="s">
        <v>84</v>
      </c>
      <c r="J3761" s="80" t="s">
        <v>84</v>
      </c>
      <c r="K3761" s="80" t="s">
        <v>84</v>
      </c>
      <c r="L3761" s="80" t="s">
        <v>84</v>
      </c>
      <c r="M3761" s="80" t="s">
        <v>84</v>
      </c>
      <c r="N3761" s="80" t="s">
        <v>84</v>
      </c>
      <c r="O3761" s="80" t="s">
        <v>84</v>
      </c>
      <c r="Q3761" s="80" t="s">
        <v>84</v>
      </c>
      <c r="R3761" s="80" t="s">
        <v>84</v>
      </c>
    </row>
    <row r="3762" spans="1:18" ht="20" x14ac:dyDescent="0.2">
      <c r="A3762" s="80" t="s">
        <v>4841</v>
      </c>
      <c r="B3762" s="80" t="s">
        <v>4842</v>
      </c>
      <c r="C3762" s="80" t="s">
        <v>9680</v>
      </c>
      <c r="D3762" s="80" t="s">
        <v>84</v>
      </c>
      <c r="E3762" s="80" t="s">
        <v>84</v>
      </c>
      <c r="G3762" s="80" t="s">
        <v>84</v>
      </c>
      <c r="H3762" s="80" t="s">
        <v>84</v>
      </c>
      <c r="I3762" s="80" t="s">
        <v>84</v>
      </c>
      <c r="J3762" s="80" t="s">
        <v>84</v>
      </c>
      <c r="K3762" s="80" t="s">
        <v>84</v>
      </c>
      <c r="L3762" s="80" t="s">
        <v>84</v>
      </c>
      <c r="M3762" s="80" t="s">
        <v>84</v>
      </c>
      <c r="N3762" s="80" t="s">
        <v>84</v>
      </c>
      <c r="O3762" s="80" t="s">
        <v>84</v>
      </c>
      <c r="Q3762" s="80" t="s">
        <v>84</v>
      </c>
      <c r="R3762" s="80" t="s">
        <v>84</v>
      </c>
    </row>
    <row r="3763" spans="1:18" ht="20" x14ac:dyDescent="0.2">
      <c r="A3763" s="80" t="s">
        <v>223</v>
      </c>
      <c r="B3763" s="80" t="s">
        <v>224</v>
      </c>
      <c r="C3763" s="80" t="s">
        <v>84</v>
      </c>
      <c r="D3763" s="80" t="s">
        <v>84</v>
      </c>
      <c r="E3763" s="80" t="s">
        <v>84</v>
      </c>
      <c r="G3763" s="80" t="s">
        <v>84</v>
      </c>
      <c r="H3763" s="80" t="s">
        <v>84</v>
      </c>
      <c r="I3763" s="80" t="s">
        <v>84</v>
      </c>
      <c r="J3763" s="80" t="s">
        <v>84</v>
      </c>
      <c r="K3763" s="80" t="s">
        <v>84</v>
      </c>
      <c r="L3763" s="80" t="s">
        <v>84</v>
      </c>
      <c r="M3763" s="80" t="s">
        <v>84</v>
      </c>
      <c r="N3763" s="80" t="s">
        <v>84</v>
      </c>
      <c r="O3763" s="80" t="s">
        <v>84</v>
      </c>
      <c r="Q3763" s="80" t="s">
        <v>84</v>
      </c>
      <c r="R3763" s="80" t="s">
        <v>84</v>
      </c>
    </row>
    <row r="3764" spans="1:18" ht="20" x14ac:dyDescent="0.2">
      <c r="A3764" s="80" t="s">
        <v>230</v>
      </c>
      <c r="B3764" s="80" t="s">
        <v>231</v>
      </c>
      <c r="C3764" s="80" t="s">
        <v>84</v>
      </c>
      <c r="D3764" s="80" t="s">
        <v>84</v>
      </c>
      <c r="E3764" s="80" t="s">
        <v>84</v>
      </c>
      <c r="G3764" s="80" t="s">
        <v>84</v>
      </c>
      <c r="H3764" s="80" t="s">
        <v>84</v>
      </c>
      <c r="I3764" s="80" t="s">
        <v>84</v>
      </c>
      <c r="J3764" s="80" t="s">
        <v>84</v>
      </c>
      <c r="K3764" s="80" t="s">
        <v>84</v>
      </c>
      <c r="L3764" s="80" t="s">
        <v>84</v>
      </c>
      <c r="M3764" s="80" t="s">
        <v>84</v>
      </c>
      <c r="N3764" s="80" t="s">
        <v>84</v>
      </c>
      <c r="O3764" s="80" t="s">
        <v>84</v>
      </c>
      <c r="Q3764" s="80" t="s">
        <v>84</v>
      </c>
      <c r="R3764" s="80" t="s">
        <v>84</v>
      </c>
    </row>
    <row r="3765" spans="1:18" ht="20" x14ac:dyDescent="0.2">
      <c r="A3765" s="80" t="s">
        <v>4752</v>
      </c>
      <c r="B3765" s="80" t="s">
        <v>4753</v>
      </c>
      <c r="C3765" s="80" t="s">
        <v>84</v>
      </c>
      <c r="D3765" s="80" t="s">
        <v>84</v>
      </c>
      <c r="E3765" s="80" t="s">
        <v>84</v>
      </c>
      <c r="G3765" s="80" t="s">
        <v>84</v>
      </c>
      <c r="H3765" s="80" t="s">
        <v>84</v>
      </c>
      <c r="I3765" s="80" t="s">
        <v>84</v>
      </c>
      <c r="J3765" s="80" t="s">
        <v>84</v>
      </c>
      <c r="K3765" s="80" t="s">
        <v>84</v>
      </c>
      <c r="L3765" s="80" t="s">
        <v>84</v>
      </c>
      <c r="M3765" s="80" t="s">
        <v>84</v>
      </c>
      <c r="N3765" s="80" t="s">
        <v>84</v>
      </c>
      <c r="O3765" s="80" t="s">
        <v>84</v>
      </c>
      <c r="Q3765" s="80" t="s">
        <v>84</v>
      </c>
      <c r="R3765" s="80" t="s">
        <v>84</v>
      </c>
    </row>
    <row r="3766" spans="1:18" ht="20" x14ac:dyDescent="0.2">
      <c r="A3766" s="80" t="s">
        <v>4772</v>
      </c>
      <c r="B3766" s="80" t="s">
        <v>4773</v>
      </c>
      <c r="C3766" s="80" t="s">
        <v>84</v>
      </c>
      <c r="D3766" s="80" t="s">
        <v>84</v>
      </c>
      <c r="E3766" s="80" t="s">
        <v>84</v>
      </c>
      <c r="G3766" s="80" t="s">
        <v>84</v>
      </c>
      <c r="H3766" s="80" t="s">
        <v>84</v>
      </c>
      <c r="I3766" s="80" t="s">
        <v>84</v>
      </c>
      <c r="J3766" s="80" t="s">
        <v>84</v>
      </c>
      <c r="K3766" s="80" t="s">
        <v>84</v>
      </c>
      <c r="L3766" s="80" t="s">
        <v>84</v>
      </c>
      <c r="M3766" s="80" t="s">
        <v>84</v>
      </c>
      <c r="N3766" s="80" t="s">
        <v>84</v>
      </c>
      <c r="O3766" s="80" t="s">
        <v>84</v>
      </c>
      <c r="Q3766" s="80" t="s">
        <v>84</v>
      </c>
      <c r="R3766" s="80" t="s">
        <v>84</v>
      </c>
    </row>
    <row r="3767" spans="1:18" ht="20" x14ac:dyDescent="0.2">
      <c r="A3767" s="80" t="s">
        <v>4723</v>
      </c>
      <c r="B3767" s="80" t="s">
        <v>4724</v>
      </c>
      <c r="C3767" s="80" t="s">
        <v>84</v>
      </c>
      <c r="D3767" s="80" t="s">
        <v>84</v>
      </c>
      <c r="E3767" s="80" t="s">
        <v>84</v>
      </c>
      <c r="G3767" s="80" t="s">
        <v>84</v>
      </c>
      <c r="H3767" s="80" t="s">
        <v>84</v>
      </c>
      <c r="I3767" s="80" t="s">
        <v>84</v>
      </c>
      <c r="J3767" s="80" t="s">
        <v>84</v>
      </c>
      <c r="K3767" s="80" t="s">
        <v>84</v>
      </c>
      <c r="L3767" s="80" t="s">
        <v>84</v>
      </c>
      <c r="M3767" s="80" t="s">
        <v>84</v>
      </c>
      <c r="N3767" s="80" t="s">
        <v>84</v>
      </c>
      <c r="O3767" s="80" t="s">
        <v>84</v>
      </c>
      <c r="Q3767" s="80" t="s">
        <v>84</v>
      </c>
      <c r="R3767" s="80" t="s">
        <v>84</v>
      </c>
    </row>
    <row r="3768" spans="1:18" ht="20" x14ac:dyDescent="0.2">
      <c r="A3768" s="80" t="s">
        <v>4747</v>
      </c>
      <c r="B3768" s="80" t="s">
        <v>4748</v>
      </c>
      <c r="C3768" s="80" t="s">
        <v>84</v>
      </c>
      <c r="D3768" s="80" t="s">
        <v>84</v>
      </c>
      <c r="E3768" s="80" t="s">
        <v>84</v>
      </c>
      <c r="G3768" s="80" t="s">
        <v>84</v>
      </c>
      <c r="H3768" s="80" t="s">
        <v>84</v>
      </c>
      <c r="I3768" s="80" t="s">
        <v>84</v>
      </c>
      <c r="J3768" s="80" t="s">
        <v>84</v>
      </c>
      <c r="K3768" s="80" t="s">
        <v>84</v>
      </c>
      <c r="L3768" s="80" t="s">
        <v>84</v>
      </c>
      <c r="M3768" s="80" t="s">
        <v>84</v>
      </c>
      <c r="N3768" s="80" t="s">
        <v>84</v>
      </c>
      <c r="O3768" s="80" t="s">
        <v>84</v>
      </c>
      <c r="Q3768" s="80" t="s">
        <v>84</v>
      </c>
      <c r="R3768" s="80" t="s">
        <v>84</v>
      </c>
    </row>
    <row r="3769" spans="1:18" ht="20" x14ac:dyDescent="0.2">
      <c r="A3769" s="80" t="s">
        <v>4777</v>
      </c>
      <c r="B3769" s="80" t="s">
        <v>4778</v>
      </c>
      <c r="C3769" s="80" t="s">
        <v>84</v>
      </c>
      <c r="D3769" s="80" t="s">
        <v>84</v>
      </c>
      <c r="E3769" s="80" t="s">
        <v>84</v>
      </c>
      <c r="G3769" s="80" t="s">
        <v>84</v>
      </c>
      <c r="H3769" s="80" t="s">
        <v>84</v>
      </c>
      <c r="I3769" s="80" t="s">
        <v>84</v>
      </c>
      <c r="J3769" s="80" t="s">
        <v>84</v>
      </c>
      <c r="K3769" s="80" t="s">
        <v>84</v>
      </c>
      <c r="L3769" s="80" t="s">
        <v>84</v>
      </c>
      <c r="M3769" s="80" t="s">
        <v>84</v>
      </c>
      <c r="N3769" s="80" t="s">
        <v>84</v>
      </c>
      <c r="O3769" s="80" t="s">
        <v>84</v>
      </c>
      <c r="Q3769" s="80" t="s">
        <v>84</v>
      </c>
      <c r="R3769" s="80" t="s">
        <v>84</v>
      </c>
    </row>
    <row r="3770" spans="1:18" ht="20" x14ac:dyDescent="0.2">
      <c r="A3770" s="80" t="s">
        <v>4757</v>
      </c>
      <c r="B3770" s="80" t="s">
        <v>4758</v>
      </c>
      <c r="C3770" s="80" t="s">
        <v>84</v>
      </c>
      <c r="D3770" s="80" t="s">
        <v>84</v>
      </c>
      <c r="E3770" s="80" t="s">
        <v>84</v>
      </c>
      <c r="G3770" s="80" t="s">
        <v>84</v>
      </c>
      <c r="H3770" s="80" t="s">
        <v>84</v>
      </c>
      <c r="I3770" s="80" t="s">
        <v>84</v>
      </c>
      <c r="J3770" s="80" t="s">
        <v>84</v>
      </c>
      <c r="K3770" s="80" t="s">
        <v>84</v>
      </c>
      <c r="L3770" s="80" t="s">
        <v>84</v>
      </c>
      <c r="M3770" s="80" t="s">
        <v>84</v>
      </c>
      <c r="N3770" s="80" t="s">
        <v>84</v>
      </c>
      <c r="O3770" s="80" t="s">
        <v>84</v>
      </c>
      <c r="Q3770" s="80" t="s">
        <v>84</v>
      </c>
      <c r="R3770" s="80" t="s">
        <v>84</v>
      </c>
    </row>
    <row r="3771" spans="1:18" ht="20" x14ac:dyDescent="0.2">
      <c r="A3771" s="80" t="s">
        <v>4737</v>
      </c>
      <c r="B3771" s="80" t="s">
        <v>4738</v>
      </c>
      <c r="C3771" s="80" t="s">
        <v>84</v>
      </c>
      <c r="D3771" s="80" t="s">
        <v>84</v>
      </c>
      <c r="E3771" s="80" t="s">
        <v>84</v>
      </c>
      <c r="G3771" s="80" t="s">
        <v>84</v>
      </c>
      <c r="H3771" s="80" t="s">
        <v>84</v>
      </c>
      <c r="I3771" s="80" t="s">
        <v>84</v>
      </c>
      <c r="J3771" s="80" t="s">
        <v>84</v>
      </c>
      <c r="K3771" s="80" t="s">
        <v>84</v>
      </c>
      <c r="L3771" s="80" t="s">
        <v>84</v>
      </c>
      <c r="M3771" s="80" t="s">
        <v>84</v>
      </c>
      <c r="N3771" s="80" t="s">
        <v>84</v>
      </c>
      <c r="O3771" s="80" t="s">
        <v>84</v>
      </c>
      <c r="Q3771" s="80" t="s">
        <v>84</v>
      </c>
      <c r="R3771" s="80" t="s">
        <v>84</v>
      </c>
    </row>
    <row r="3772" spans="1:18" ht="20" x14ac:dyDescent="0.2">
      <c r="A3772" s="80" t="s">
        <v>4787</v>
      </c>
      <c r="B3772" s="80" t="s">
        <v>4788</v>
      </c>
      <c r="C3772" s="80" t="s">
        <v>84</v>
      </c>
      <c r="D3772" s="80" t="s">
        <v>84</v>
      </c>
      <c r="E3772" s="80" t="s">
        <v>84</v>
      </c>
      <c r="G3772" s="80" t="s">
        <v>84</v>
      </c>
      <c r="H3772" s="80" t="s">
        <v>84</v>
      </c>
      <c r="I3772" s="80" t="s">
        <v>84</v>
      </c>
      <c r="J3772" s="80" t="s">
        <v>84</v>
      </c>
      <c r="K3772" s="80" t="s">
        <v>84</v>
      </c>
      <c r="L3772" s="80" t="s">
        <v>84</v>
      </c>
      <c r="M3772" s="80" t="s">
        <v>84</v>
      </c>
      <c r="N3772" s="80" t="s">
        <v>84</v>
      </c>
      <c r="O3772" s="80" t="s">
        <v>84</v>
      </c>
      <c r="Q3772" s="80" t="s">
        <v>84</v>
      </c>
      <c r="R3772" s="80" t="s">
        <v>84</v>
      </c>
    </row>
    <row r="3773" spans="1:18" ht="20" x14ac:dyDescent="0.2">
      <c r="A3773" s="80" t="s">
        <v>4742</v>
      </c>
      <c r="B3773" s="80" t="s">
        <v>4743</v>
      </c>
      <c r="C3773" s="80" t="s">
        <v>84</v>
      </c>
      <c r="D3773" s="80" t="s">
        <v>84</v>
      </c>
      <c r="E3773" s="80" t="s">
        <v>84</v>
      </c>
      <c r="G3773" s="80" t="s">
        <v>84</v>
      </c>
      <c r="H3773" s="80" t="s">
        <v>84</v>
      </c>
      <c r="I3773" s="80" t="s">
        <v>84</v>
      </c>
      <c r="J3773" s="80" t="s">
        <v>84</v>
      </c>
      <c r="K3773" s="80" t="s">
        <v>84</v>
      </c>
      <c r="L3773" s="80" t="s">
        <v>84</v>
      </c>
      <c r="M3773" s="80" t="s">
        <v>84</v>
      </c>
      <c r="N3773" s="80" t="s">
        <v>84</v>
      </c>
      <c r="O3773" s="80" t="s">
        <v>84</v>
      </c>
      <c r="Q3773" s="80" t="s">
        <v>84</v>
      </c>
      <c r="R3773" s="80" t="s">
        <v>84</v>
      </c>
    </row>
    <row r="3774" spans="1:18" ht="20" x14ac:dyDescent="0.2">
      <c r="A3774" s="80" t="s">
        <v>4782</v>
      </c>
      <c r="B3774" s="80" t="s">
        <v>4783</v>
      </c>
      <c r="C3774" s="80" t="s">
        <v>84</v>
      </c>
      <c r="D3774" s="80" t="s">
        <v>84</v>
      </c>
      <c r="E3774" s="80" t="s">
        <v>84</v>
      </c>
      <c r="G3774" s="80" t="s">
        <v>84</v>
      </c>
      <c r="H3774" s="80" t="s">
        <v>84</v>
      </c>
      <c r="I3774" s="80" t="s">
        <v>84</v>
      </c>
      <c r="J3774" s="80" t="s">
        <v>84</v>
      </c>
      <c r="K3774" s="80" t="s">
        <v>84</v>
      </c>
      <c r="L3774" s="80" t="s">
        <v>84</v>
      </c>
      <c r="M3774" s="80" t="s">
        <v>84</v>
      </c>
      <c r="N3774" s="80" t="s">
        <v>84</v>
      </c>
      <c r="O3774" s="80" t="s">
        <v>84</v>
      </c>
      <c r="Q3774" s="80" t="s">
        <v>84</v>
      </c>
      <c r="R3774" s="80" t="s">
        <v>84</v>
      </c>
    </row>
    <row r="3775" spans="1:18" ht="20" x14ac:dyDescent="0.2">
      <c r="A3775" s="80" t="s">
        <v>4727</v>
      </c>
      <c r="B3775" s="80" t="s">
        <v>4728</v>
      </c>
      <c r="C3775" s="80" t="s">
        <v>84</v>
      </c>
      <c r="D3775" s="80" t="s">
        <v>84</v>
      </c>
      <c r="E3775" s="80" t="s">
        <v>84</v>
      </c>
      <c r="G3775" s="80" t="s">
        <v>84</v>
      </c>
      <c r="H3775" s="80" t="s">
        <v>84</v>
      </c>
      <c r="I3775" s="80" t="s">
        <v>84</v>
      </c>
      <c r="J3775" s="80" t="s">
        <v>84</v>
      </c>
      <c r="K3775" s="80" t="s">
        <v>84</v>
      </c>
      <c r="L3775" s="80" t="s">
        <v>84</v>
      </c>
      <c r="M3775" s="80" t="s">
        <v>84</v>
      </c>
      <c r="N3775" s="80" t="s">
        <v>84</v>
      </c>
      <c r="O3775" s="80" t="s">
        <v>84</v>
      </c>
      <c r="Q3775" s="80" t="s">
        <v>84</v>
      </c>
      <c r="R3775" s="80" t="s">
        <v>84</v>
      </c>
    </row>
    <row r="3776" spans="1:18" ht="20" x14ac:dyDescent="0.2">
      <c r="A3776" s="80" t="s">
        <v>4767</v>
      </c>
      <c r="B3776" s="80" t="s">
        <v>4768</v>
      </c>
      <c r="C3776" s="80" t="s">
        <v>84</v>
      </c>
      <c r="D3776" s="80" t="s">
        <v>84</v>
      </c>
      <c r="E3776" s="80" t="s">
        <v>84</v>
      </c>
      <c r="G3776" s="80" t="s">
        <v>84</v>
      </c>
      <c r="H3776" s="80" t="s">
        <v>84</v>
      </c>
      <c r="I3776" s="80" t="s">
        <v>84</v>
      </c>
      <c r="J3776" s="80" t="s">
        <v>84</v>
      </c>
      <c r="K3776" s="80" t="s">
        <v>84</v>
      </c>
      <c r="L3776" s="80" t="s">
        <v>84</v>
      </c>
      <c r="M3776" s="80" t="s">
        <v>84</v>
      </c>
      <c r="N3776" s="80" t="s">
        <v>84</v>
      </c>
      <c r="O3776" s="80" t="s">
        <v>84</v>
      </c>
      <c r="Q3776" s="80" t="s">
        <v>84</v>
      </c>
      <c r="R3776" s="80" t="s">
        <v>84</v>
      </c>
    </row>
    <row r="3777" spans="1:18" ht="20" x14ac:dyDescent="0.2">
      <c r="A3777" s="80" t="s">
        <v>4732</v>
      </c>
      <c r="B3777" s="80" t="s">
        <v>4733</v>
      </c>
      <c r="C3777" s="80" t="s">
        <v>84</v>
      </c>
      <c r="D3777" s="80" t="s">
        <v>84</v>
      </c>
      <c r="E3777" s="80" t="s">
        <v>84</v>
      </c>
      <c r="G3777" s="80" t="s">
        <v>84</v>
      </c>
      <c r="H3777" s="80" t="s">
        <v>84</v>
      </c>
      <c r="I3777" s="80" t="s">
        <v>84</v>
      </c>
      <c r="J3777" s="80" t="s">
        <v>84</v>
      </c>
      <c r="K3777" s="80" t="s">
        <v>84</v>
      </c>
      <c r="L3777" s="80" t="s">
        <v>84</v>
      </c>
      <c r="M3777" s="80" t="s">
        <v>84</v>
      </c>
      <c r="N3777" s="80" t="s">
        <v>84</v>
      </c>
      <c r="O3777" s="80" t="s">
        <v>84</v>
      </c>
      <c r="Q3777" s="80" t="s">
        <v>84</v>
      </c>
      <c r="R3777" s="80" t="s">
        <v>84</v>
      </c>
    </row>
    <row r="3778" spans="1:18" ht="20" x14ac:dyDescent="0.2">
      <c r="A3778" s="80" t="s">
        <v>4856</v>
      </c>
      <c r="B3778" s="80" t="s">
        <v>4857</v>
      </c>
      <c r="C3778" s="80" t="s">
        <v>84</v>
      </c>
      <c r="D3778" s="80" t="s">
        <v>84</v>
      </c>
      <c r="E3778" s="80" t="s">
        <v>84</v>
      </c>
      <c r="G3778" s="80" t="s">
        <v>84</v>
      </c>
      <c r="H3778" s="80" t="s">
        <v>84</v>
      </c>
      <c r="I3778" s="80" t="s">
        <v>84</v>
      </c>
      <c r="J3778" s="80" t="s">
        <v>84</v>
      </c>
      <c r="K3778" s="80" t="s">
        <v>84</v>
      </c>
      <c r="L3778" s="80" t="s">
        <v>84</v>
      </c>
      <c r="M3778" s="80" t="s">
        <v>84</v>
      </c>
      <c r="N3778" s="80" t="s">
        <v>84</v>
      </c>
      <c r="O3778" s="80" t="s">
        <v>84</v>
      </c>
      <c r="Q3778" s="80" t="s">
        <v>84</v>
      </c>
      <c r="R3778" s="80" t="s">
        <v>84</v>
      </c>
    </row>
    <row r="3779" spans="1:18" ht="20" x14ac:dyDescent="0.2">
      <c r="A3779" s="80" t="s">
        <v>4884</v>
      </c>
      <c r="B3779" s="80" t="s">
        <v>4885</v>
      </c>
      <c r="C3779" s="80" t="s">
        <v>84</v>
      </c>
      <c r="D3779" s="80" t="s">
        <v>84</v>
      </c>
      <c r="E3779" s="80" t="s">
        <v>84</v>
      </c>
      <c r="G3779" s="80" t="s">
        <v>84</v>
      </c>
      <c r="H3779" s="80" t="s">
        <v>84</v>
      </c>
      <c r="I3779" s="80" t="s">
        <v>84</v>
      </c>
      <c r="J3779" s="80" t="s">
        <v>84</v>
      </c>
      <c r="K3779" s="80" t="s">
        <v>84</v>
      </c>
      <c r="L3779" s="80" t="s">
        <v>84</v>
      </c>
      <c r="M3779" s="80" t="s">
        <v>84</v>
      </c>
      <c r="N3779" s="80" t="s">
        <v>84</v>
      </c>
      <c r="O3779" s="80" t="s">
        <v>84</v>
      </c>
      <c r="Q3779" s="80" t="s">
        <v>84</v>
      </c>
      <c r="R3779" s="80" t="s">
        <v>84</v>
      </c>
    </row>
    <row r="3780" spans="1:18" ht="20" x14ac:dyDescent="0.2">
      <c r="A3780" s="80" t="s">
        <v>240</v>
      </c>
      <c r="B3780" s="80" t="s">
        <v>241</v>
      </c>
      <c r="C3780" s="80" t="s">
        <v>84</v>
      </c>
      <c r="D3780" s="80" t="s">
        <v>84</v>
      </c>
      <c r="E3780" s="80" t="s">
        <v>84</v>
      </c>
      <c r="G3780" s="80" t="s">
        <v>84</v>
      </c>
      <c r="H3780" s="80" t="s">
        <v>84</v>
      </c>
      <c r="I3780" s="80" t="s">
        <v>84</v>
      </c>
      <c r="J3780" s="80" t="s">
        <v>84</v>
      </c>
      <c r="K3780" s="80" t="s">
        <v>84</v>
      </c>
      <c r="L3780" s="80" t="s">
        <v>84</v>
      </c>
      <c r="M3780" s="80" t="s">
        <v>84</v>
      </c>
      <c r="N3780" s="80" t="s">
        <v>84</v>
      </c>
      <c r="O3780" s="80" t="s">
        <v>84</v>
      </c>
      <c r="Q3780" s="80" t="s">
        <v>84</v>
      </c>
      <c r="R3780" s="80" t="s">
        <v>84</v>
      </c>
    </row>
    <row r="3781" spans="1:18" ht="20" x14ac:dyDescent="0.2">
      <c r="A3781" s="80" t="s">
        <v>246</v>
      </c>
      <c r="B3781" s="80" t="s">
        <v>247</v>
      </c>
      <c r="C3781" s="80" t="s">
        <v>9680</v>
      </c>
      <c r="D3781" s="80" t="s">
        <v>84</v>
      </c>
      <c r="E3781" s="80" t="s">
        <v>84</v>
      </c>
      <c r="G3781" s="80" t="s">
        <v>84</v>
      </c>
      <c r="H3781" s="80" t="s">
        <v>84</v>
      </c>
      <c r="I3781" s="80" t="s">
        <v>84</v>
      </c>
      <c r="J3781" s="80" t="s">
        <v>84</v>
      </c>
      <c r="K3781" s="80" t="s">
        <v>84</v>
      </c>
      <c r="L3781" s="80" t="s">
        <v>84</v>
      </c>
      <c r="M3781" s="80" t="s">
        <v>84</v>
      </c>
      <c r="N3781" s="80" t="s">
        <v>84</v>
      </c>
      <c r="O3781" s="80" t="s">
        <v>84</v>
      </c>
      <c r="Q3781" s="80" t="s">
        <v>84</v>
      </c>
      <c r="R3781" s="80" t="s">
        <v>84</v>
      </c>
    </row>
    <row r="3782" spans="1:18" ht="20" x14ac:dyDescent="0.2">
      <c r="A3782" s="80" t="s">
        <v>251</v>
      </c>
      <c r="B3782" s="80" t="s">
        <v>252</v>
      </c>
      <c r="C3782" s="80" t="s">
        <v>84</v>
      </c>
      <c r="D3782" s="80" t="s">
        <v>84</v>
      </c>
      <c r="E3782" s="80" t="s">
        <v>84</v>
      </c>
      <c r="G3782" s="80" t="s">
        <v>84</v>
      </c>
      <c r="H3782" s="80" t="s">
        <v>84</v>
      </c>
      <c r="I3782" s="80" t="s">
        <v>84</v>
      </c>
      <c r="J3782" s="80" t="s">
        <v>84</v>
      </c>
      <c r="K3782" s="80" t="s">
        <v>84</v>
      </c>
      <c r="L3782" s="80" t="s">
        <v>84</v>
      </c>
      <c r="M3782" s="80" t="s">
        <v>84</v>
      </c>
      <c r="N3782" s="80" t="s">
        <v>84</v>
      </c>
      <c r="O3782" s="80" t="s">
        <v>84</v>
      </c>
      <c r="Q3782" s="80" t="s">
        <v>84</v>
      </c>
      <c r="R3782" s="80" t="s">
        <v>84</v>
      </c>
    </row>
    <row r="3783" spans="1:18" ht="20" x14ac:dyDescent="0.2">
      <c r="A3783" s="80" t="s">
        <v>2455</v>
      </c>
      <c r="B3783" s="80" t="s">
        <v>2456</v>
      </c>
      <c r="C3783" s="80" t="s">
        <v>9680</v>
      </c>
      <c r="D3783" s="80" t="s">
        <v>84</v>
      </c>
      <c r="E3783" s="80" t="s">
        <v>84</v>
      </c>
      <c r="G3783" s="80" t="s">
        <v>84</v>
      </c>
      <c r="H3783" s="80" t="s">
        <v>84</v>
      </c>
      <c r="I3783" s="80" t="s">
        <v>84</v>
      </c>
      <c r="J3783" s="80" t="s">
        <v>84</v>
      </c>
      <c r="K3783" s="80" t="s">
        <v>84</v>
      </c>
      <c r="L3783" s="80" t="s">
        <v>84</v>
      </c>
      <c r="M3783" s="80" t="s">
        <v>84</v>
      </c>
      <c r="N3783" s="80" t="s">
        <v>84</v>
      </c>
      <c r="O3783" s="80" t="s">
        <v>84</v>
      </c>
      <c r="Q3783" s="80" t="s">
        <v>84</v>
      </c>
      <c r="R3783" s="80" t="s">
        <v>84</v>
      </c>
    </row>
    <row r="3784" spans="1:18" ht="20" x14ac:dyDescent="0.2">
      <c r="A3784" s="80" t="s">
        <v>2457</v>
      </c>
      <c r="B3784" s="80" t="s">
        <v>2458</v>
      </c>
      <c r="C3784" s="80" t="s">
        <v>9680</v>
      </c>
      <c r="D3784" s="80" t="s">
        <v>84</v>
      </c>
      <c r="E3784" s="80" t="s">
        <v>84</v>
      </c>
      <c r="G3784" s="80" t="s">
        <v>84</v>
      </c>
      <c r="H3784" s="80" t="s">
        <v>84</v>
      </c>
      <c r="I3784" s="80" t="s">
        <v>84</v>
      </c>
      <c r="J3784" s="80" t="s">
        <v>84</v>
      </c>
      <c r="K3784" s="80" t="s">
        <v>84</v>
      </c>
      <c r="L3784" s="80" t="s">
        <v>84</v>
      </c>
      <c r="M3784" s="80" t="s">
        <v>84</v>
      </c>
      <c r="N3784" s="80" t="s">
        <v>84</v>
      </c>
      <c r="O3784" s="80" t="s">
        <v>84</v>
      </c>
      <c r="Q3784" s="80" t="s">
        <v>84</v>
      </c>
      <c r="R3784" s="80" t="s">
        <v>84</v>
      </c>
    </row>
    <row r="3785" spans="1:18" ht="20" x14ac:dyDescent="0.2">
      <c r="A3785" s="80" t="s">
        <v>3341</v>
      </c>
      <c r="B3785" s="80" t="s">
        <v>3342</v>
      </c>
      <c r="C3785" s="80" t="s">
        <v>9680</v>
      </c>
      <c r="D3785" s="80" t="s">
        <v>84</v>
      </c>
      <c r="E3785" s="80" t="s">
        <v>84</v>
      </c>
      <c r="G3785" s="80" t="s">
        <v>84</v>
      </c>
      <c r="H3785" s="80" t="s">
        <v>84</v>
      </c>
      <c r="I3785" s="80" t="s">
        <v>84</v>
      </c>
      <c r="J3785" s="80" t="s">
        <v>84</v>
      </c>
      <c r="K3785" s="80" t="s">
        <v>84</v>
      </c>
      <c r="L3785" s="80" t="s">
        <v>84</v>
      </c>
      <c r="M3785" s="80" t="s">
        <v>84</v>
      </c>
      <c r="N3785" s="80" t="s">
        <v>84</v>
      </c>
      <c r="O3785" s="80" t="s">
        <v>84</v>
      </c>
      <c r="Q3785" s="80" t="s">
        <v>84</v>
      </c>
      <c r="R3785" s="80" t="s">
        <v>84</v>
      </c>
    </row>
    <row r="3786" spans="1:18" ht="20" x14ac:dyDescent="0.2">
      <c r="A3786" s="80" t="s">
        <v>663</v>
      </c>
      <c r="B3786" s="80" t="s">
        <v>664</v>
      </c>
      <c r="C3786" s="80" t="s">
        <v>9680</v>
      </c>
      <c r="D3786" s="80" t="s">
        <v>84</v>
      </c>
      <c r="E3786" s="80" t="s">
        <v>84</v>
      </c>
      <c r="G3786" s="80" t="s">
        <v>84</v>
      </c>
      <c r="H3786" s="80" t="s">
        <v>84</v>
      </c>
      <c r="I3786" s="80" t="s">
        <v>84</v>
      </c>
      <c r="J3786" s="80" t="s">
        <v>84</v>
      </c>
      <c r="K3786" s="80" t="s">
        <v>84</v>
      </c>
      <c r="L3786" s="80" t="s">
        <v>84</v>
      </c>
      <c r="M3786" s="80" t="s">
        <v>84</v>
      </c>
      <c r="N3786" s="80" t="s">
        <v>84</v>
      </c>
      <c r="O3786" s="80" t="s">
        <v>84</v>
      </c>
      <c r="Q3786" s="80" t="s">
        <v>84</v>
      </c>
      <c r="R3786" s="80" t="s">
        <v>84</v>
      </c>
    </row>
    <row r="3787" spans="1:18" ht="20" x14ac:dyDescent="0.2">
      <c r="A3787" s="80" t="s">
        <v>4870</v>
      </c>
      <c r="B3787" s="80" t="s">
        <v>4871</v>
      </c>
      <c r="C3787" s="80" t="s">
        <v>84</v>
      </c>
      <c r="D3787" s="80" t="s">
        <v>84</v>
      </c>
      <c r="E3787" s="80" t="s">
        <v>84</v>
      </c>
      <c r="G3787" s="80" t="s">
        <v>84</v>
      </c>
      <c r="H3787" s="80" t="s">
        <v>84</v>
      </c>
      <c r="I3787" s="80" t="s">
        <v>84</v>
      </c>
      <c r="J3787" s="80" t="s">
        <v>84</v>
      </c>
      <c r="K3787" s="80" t="s">
        <v>84</v>
      </c>
      <c r="L3787" s="80" t="s">
        <v>84</v>
      </c>
      <c r="M3787" s="80" t="s">
        <v>84</v>
      </c>
      <c r="N3787" s="80" t="s">
        <v>84</v>
      </c>
      <c r="O3787" s="80" t="s">
        <v>84</v>
      </c>
      <c r="Q3787" s="80" t="s">
        <v>84</v>
      </c>
      <c r="R3787" s="80" t="s">
        <v>84</v>
      </c>
    </row>
    <row r="3788" spans="1:18" ht="20" x14ac:dyDescent="0.2">
      <c r="A3788" s="80" t="s">
        <v>5330</v>
      </c>
      <c r="B3788" s="80" t="s">
        <v>5331</v>
      </c>
      <c r="C3788" s="80" t="s">
        <v>9722</v>
      </c>
      <c r="D3788" s="80" t="s">
        <v>84</v>
      </c>
      <c r="E3788" s="80" t="s">
        <v>84</v>
      </c>
      <c r="G3788" s="80" t="s">
        <v>84</v>
      </c>
      <c r="H3788" s="80" t="s">
        <v>84</v>
      </c>
      <c r="I3788" s="80" t="s">
        <v>84</v>
      </c>
      <c r="J3788" s="80" t="s">
        <v>84</v>
      </c>
      <c r="K3788" s="80" t="s">
        <v>84</v>
      </c>
      <c r="L3788" s="80" t="s">
        <v>84</v>
      </c>
      <c r="M3788" s="80" t="s">
        <v>84</v>
      </c>
      <c r="N3788" s="80" t="s">
        <v>84</v>
      </c>
      <c r="O3788" s="80" t="s">
        <v>84</v>
      </c>
      <c r="Q3788" s="80" t="s">
        <v>84</v>
      </c>
      <c r="R3788" s="80" t="s">
        <v>84</v>
      </c>
    </row>
    <row r="3789" spans="1:18" ht="20" x14ac:dyDescent="0.2">
      <c r="A3789" s="80" t="s">
        <v>4111</v>
      </c>
      <c r="B3789" s="80" t="s">
        <v>4112</v>
      </c>
      <c r="C3789" s="80" t="s">
        <v>84</v>
      </c>
      <c r="D3789" s="80" t="s">
        <v>84</v>
      </c>
      <c r="E3789" s="80" t="s">
        <v>84</v>
      </c>
      <c r="G3789" s="80" t="s">
        <v>84</v>
      </c>
      <c r="H3789" s="80" t="s">
        <v>84</v>
      </c>
      <c r="I3789" s="80" t="s">
        <v>84</v>
      </c>
      <c r="J3789" s="80" t="s">
        <v>84</v>
      </c>
      <c r="K3789" s="80" t="s">
        <v>84</v>
      </c>
      <c r="L3789" s="80" t="s">
        <v>84</v>
      </c>
      <c r="M3789" s="80" t="s">
        <v>84</v>
      </c>
      <c r="N3789" s="80" t="s">
        <v>84</v>
      </c>
      <c r="O3789" s="80" t="s">
        <v>84</v>
      </c>
      <c r="Q3789" s="80" t="s">
        <v>84</v>
      </c>
      <c r="R3789" s="80" t="s">
        <v>84</v>
      </c>
    </row>
    <row r="3790" spans="1:18" ht="20" x14ac:dyDescent="0.2">
      <c r="A3790" s="80" t="s">
        <v>1437</v>
      </c>
      <c r="B3790" s="80" t="s">
        <v>1438</v>
      </c>
      <c r="C3790" s="80" t="s">
        <v>9680</v>
      </c>
      <c r="D3790" s="80" t="s">
        <v>84</v>
      </c>
      <c r="E3790" s="80" t="s">
        <v>84</v>
      </c>
      <c r="G3790" s="80" t="s">
        <v>84</v>
      </c>
      <c r="H3790" s="80" t="s">
        <v>84</v>
      </c>
      <c r="I3790" s="80" t="s">
        <v>84</v>
      </c>
      <c r="J3790" s="80" t="s">
        <v>84</v>
      </c>
      <c r="K3790" s="80" t="s">
        <v>84</v>
      </c>
      <c r="L3790" s="80" t="s">
        <v>84</v>
      </c>
      <c r="M3790" s="80" t="s">
        <v>84</v>
      </c>
      <c r="N3790" s="80" t="s">
        <v>84</v>
      </c>
      <c r="O3790" s="80" t="s">
        <v>84</v>
      </c>
      <c r="Q3790" s="80" t="s">
        <v>84</v>
      </c>
      <c r="R3790" s="80" t="s">
        <v>84</v>
      </c>
    </row>
    <row r="3791" spans="1:18" ht="20" x14ac:dyDescent="0.2">
      <c r="A3791" s="80" t="s">
        <v>5925</v>
      </c>
      <c r="B3791" s="80" t="s">
        <v>5926</v>
      </c>
      <c r="C3791" s="80" t="s">
        <v>84</v>
      </c>
      <c r="D3791" s="80" t="s">
        <v>84</v>
      </c>
      <c r="E3791" s="80" t="s">
        <v>84</v>
      </c>
      <c r="G3791" s="80" t="s">
        <v>84</v>
      </c>
      <c r="H3791" s="80" t="s">
        <v>84</v>
      </c>
      <c r="I3791" s="80" t="s">
        <v>84</v>
      </c>
      <c r="J3791" s="80" t="s">
        <v>84</v>
      </c>
      <c r="K3791" s="80" t="s">
        <v>84</v>
      </c>
      <c r="L3791" s="80" t="s">
        <v>84</v>
      </c>
      <c r="M3791" s="80" t="s">
        <v>84</v>
      </c>
      <c r="N3791" s="80" t="s">
        <v>84</v>
      </c>
      <c r="O3791" s="80" t="s">
        <v>84</v>
      </c>
      <c r="Q3791" s="80" t="s">
        <v>84</v>
      </c>
      <c r="R3791" s="80" t="s">
        <v>84</v>
      </c>
    </row>
    <row r="3792" spans="1:18" ht="20" x14ac:dyDescent="0.2">
      <c r="A3792" s="80" t="s">
        <v>5795</v>
      </c>
      <c r="B3792" s="80" t="s">
        <v>5796</v>
      </c>
      <c r="C3792" s="80" t="s">
        <v>84</v>
      </c>
      <c r="D3792" s="80" t="s">
        <v>84</v>
      </c>
      <c r="E3792" s="80" t="s">
        <v>84</v>
      </c>
      <c r="G3792" s="80" t="s">
        <v>84</v>
      </c>
      <c r="H3792" s="80" t="s">
        <v>84</v>
      </c>
      <c r="I3792" s="80" t="s">
        <v>84</v>
      </c>
      <c r="J3792" s="80" t="s">
        <v>84</v>
      </c>
      <c r="K3792" s="80" t="s">
        <v>84</v>
      </c>
      <c r="L3792" s="80" t="s">
        <v>84</v>
      </c>
      <c r="M3792" s="80" t="s">
        <v>84</v>
      </c>
      <c r="N3792" s="80" t="s">
        <v>84</v>
      </c>
      <c r="O3792" s="80" t="s">
        <v>84</v>
      </c>
      <c r="Q3792" s="80" t="s">
        <v>84</v>
      </c>
      <c r="R3792" s="80" t="s">
        <v>84</v>
      </c>
    </row>
    <row r="3793" spans="1:18" ht="20" x14ac:dyDescent="0.2">
      <c r="A3793" s="80" t="s">
        <v>1740</v>
      </c>
      <c r="B3793" s="80" t="s">
        <v>1741</v>
      </c>
      <c r="C3793" s="80" t="s">
        <v>9722</v>
      </c>
      <c r="D3793" s="80" t="s">
        <v>84</v>
      </c>
      <c r="E3793" s="80" t="s">
        <v>84</v>
      </c>
      <c r="G3793" s="80" t="s">
        <v>84</v>
      </c>
      <c r="H3793" s="80" t="s">
        <v>84</v>
      </c>
      <c r="I3793" s="80" t="s">
        <v>84</v>
      </c>
      <c r="J3793" s="80" t="s">
        <v>84</v>
      </c>
      <c r="K3793" s="80" t="s">
        <v>84</v>
      </c>
      <c r="L3793" s="80" t="s">
        <v>84</v>
      </c>
      <c r="M3793" s="80" t="s">
        <v>84</v>
      </c>
      <c r="N3793" s="80" t="s">
        <v>84</v>
      </c>
      <c r="O3793" s="80" t="s">
        <v>84</v>
      </c>
      <c r="Q3793" s="80" t="s">
        <v>84</v>
      </c>
      <c r="R3793" s="80" t="s">
        <v>84</v>
      </c>
    </row>
    <row r="3794" spans="1:18" ht="20" x14ac:dyDescent="0.2">
      <c r="A3794" s="80" t="s">
        <v>187</v>
      </c>
      <c r="B3794" s="80" t="s">
        <v>188</v>
      </c>
      <c r="C3794" s="80" t="s">
        <v>9680</v>
      </c>
      <c r="D3794" s="80" t="s">
        <v>84</v>
      </c>
      <c r="E3794" s="80" t="s">
        <v>84</v>
      </c>
      <c r="G3794" s="80" t="s">
        <v>84</v>
      </c>
      <c r="H3794" s="80" t="s">
        <v>84</v>
      </c>
      <c r="I3794" s="80" t="s">
        <v>84</v>
      </c>
      <c r="J3794" s="80" t="s">
        <v>84</v>
      </c>
      <c r="K3794" s="80" t="s">
        <v>84</v>
      </c>
      <c r="L3794" s="80" t="s">
        <v>84</v>
      </c>
      <c r="M3794" s="80" t="s">
        <v>84</v>
      </c>
      <c r="N3794" s="80" t="s">
        <v>84</v>
      </c>
      <c r="O3794" s="80" t="s">
        <v>84</v>
      </c>
      <c r="Q3794" s="80" t="s">
        <v>84</v>
      </c>
      <c r="R3794" s="80" t="s">
        <v>84</v>
      </c>
    </row>
    <row r="3795" spans="1:18" ht="20" x14ac:dyDescent="0.2">
      <c r="A3795" s="80" t="s">
        <v>1064</v>
      </c>
      <c r="B3795" s="80" t="s">
        <v>1065</v>
      </c>
      <c r="C3795" s="80" t="s">
        <v>9680</v>
      </c>
      <c r="D3795" s="80" t="s">
        <v>84</v>
      </c>
      <c r="E3795" s="80" t="s">
        <v>84</v>
      </c>
      <c r="G3795" s="80" t="s">
        <v>84</v>
      </c>
      <c r="H3795" s="80" t="s">
        <v>84</v>
      </c>
      <c r="I3795" s="80" t="s">
        <v>84</v>
      </c>
      <c r="J3795" s="80" t="s">
        <v>84</v>
      </c>
      <c r="K3795" s="80" t="s">
        <v>84</v>
      </c>
      <c r="L3795" s="80" t="s">
        <v>84</v>
      </c>
      <c r="M3795" s="80" t="s">
        <v>84</v>
      </c>
      <c r="N3795" s="80" t="s">
        <v>84</v>
      </c>
      <c r="O3795" s="80" t="s">
        <v>84</v>
      </c>
      <c r="Q3795" s="80" t="s">
        <v>84</v>
      </c>
      <c r="R3795" s="80" t="s">
        <v>84</v>
      </c>
    </row>
    <row r="3796" spans="1:18" ht="20" x14ac:dyDescent="0.2">
      <c r="A3796" s="80" t="s">
        <v>2654</v>
      </c>
      <c r="B3796" s="80" t="s">
        <v>2655</v>
      </c>
      <c r="C3796" s="80" t="s">
        <v>9680</v>
      </c>
      <c r="D3796" s="80" t="s">
        <v>84</v>
      </c>
      <c r="E3796" s="80" t="s">
        <v>84</v>
      </c>
      <c r="G3796" s="80" t="s">
        <v>84</v>
      </c>
      <c r="H3796" s="80" t="s">
        <v>84</v>
      </c>
      <c r="I3796" s="80" t="s">
        <v>84</v>
      </c>
      <c r="J3796" s="80" t="s">
        <v>84</v>
      </c>
      <c r="K3796" s="80" t="s">
        <v>84</v>
      </c>
      <c r="L3796" s="80" t="s">
        <v>84</v>
      </c>
      <c r="M3796" s="80" t="s">
        <v>84</v>
      </c>
      <c r="N3796" s="80" t="s">
        <v>84</v>
      </c>
      <c r="O3796" s="80" t="s">
        <v>84</v>
      </c>
      <c r="Q3796" s="80" t="s">
        <v>84</v>
      </c>
      <c r="R3796" s="80" t="s">
        <v>84</v>
      </c>
    </row>
    <row r="3797" spans="1:18" ht="20" x14ac:dyDescent="0.2">
      <c r="A3797" s="80" t="s">
        <v>215</v>
      </c>
      <c r="B3797" s="80" t="s">
        <v>216</v>
      </c>
      <c r="C3797" s="80" t="s">
        <v>84</v>
      </c>
      <c r="D3797" s="80" t="s">
        <v>84</v>
      </c>
      <c r="E3797" s="80" t="s">
        <v>84</v>
      </c>
      <c r="G3797" s="80" t="s">
        <v>84</v>
      </c>
      <c r="H3797" s="80" t="s">
        <v>84</v>
      </c>
      <c r="I3797" s="80" t="s">
        <v>84</v>
      </c>
      <c r="J3797" s="80" t="s">
        <v>84</v>
      </c>
      <c r="K3797" s="80" t="s">
        <v>84</v>
      </c>
      <c r="L3797" s="80" t="s">
        <v>84</v>
      </c>
      <c r="M3797" s="80" t="s">
        <v>84</v>
      </c>
      <c r="N3797" s="80" t="s">
        <v>84</v>
      </c>
      <c r="O3797" s="80" t="s">
        <v>84</v>
      </c>
      <c r="Q3797" s="80" t="s">
        <v>84</v>
      </c>
      <c r="R3797" s="80" t="s">
        <v>84</v>
      </c>
    </row>
    <row r="3798" spans="1:18" ht="20" x14ac:dyDescent="0.2">
      <c r="A3798" s="80" t="s">
        <v>2130</v>
      </c>
      <c r="B3798" s="80" t="s">
        <v>2131</v>
      </c>
      <c r="C3798" s="80" t="s">
        <v>84</v>
      </c>
      <c r="D3798" s="80" t="s">
        <v>84</v>
      </c>
      <c r="E3798" s="80" t="s">
        <v>84</v>
      </c>
      <c r="G3798" s="80" t="s">
        <v>84</v>
      </c>
      <c r="H3798" s="80" t="s">
        <v>84</v>
      </c>
      <c r="I3798" s="80" t="s">
        <v>84</v>
      </c>
      <c r="J3798" s="80" t="s">
        <v>84</v>
      </c>
      <c r="K3798" s="80" t="s">
        <v>84</v>
      </c>
      <c r="L3798" s="80" t="s">
        <v>84</v>
      </c>
      <c r="M3798" s="80" t="s">
        <v>84</v>
      </c>
      <c r="N3798" s="80" t="s">
        <v>84</v>
      </c>
      <c r="O3798" s="80" t="s">
        <v>84</v>
      </c>
      <c r="Q3798" s="80" t="s">
        <v>84</v>
      </c>
      <c r="R3798" s="80" t="s">
        <v>84</v>
      </c>
    </row>
    <row r="3799" spans="1:18" ht="20" x14ac:dyDescent="0.2">
      <c r="A3799" s="80" t="s">
        <v>2132</v>
      </c>
      <c r="B3799" s="80" t="s">
        <v>2133</v>
      </c>
      <c r="C3799" s="80" t="s">
        <v>9680</v>
      </c>
      <c r="D3799" s="80" t="s">
        <v>84</v>
      </c>
      <c r="E3799" s="80" t="s">
        <v>84</v>
      </c>
      <c r="G3799" s="80" t="s">
        <v>84</v>
      </c>
      <c r="H3799" s="80" t="s">
        <v>84</v>
      </c>
      <c r="I3799" s="80" t="s">
        <v>84</v>
      </c>
      <c r="J3799" s="80" t="s">
        <v>84</v>
      </c>
      <c r="K3799" s="80" t="s">
        <v>84</v>
      </c>
      <c r="L3799" s="80" t="s">
        <v>84</v>
      </c>
      <c r="M3799" s="80" t="s">
        <v>84</v>
      </c>
      <c r="N3799" s="80" t="s">
        <v>84</v>
      </c>
      <c r="O3799" s="80" t="s">
        <v>84</v>
      </c>
      <c r="Q3799" s="80" t="s">
        <v>84</v>
      </c>
      <c r="R3799" s="80" t="s">
        <v>84</v>
      </c>
    </row>
    <row r="3800" spans="1:18" ht="20" x14ac:dyDescent="0.2">
      <c r="A3800" s="80" t="s">
        <v>5751</v>
      </c>
      <c r="B3800" s="80" t="s">
        <v>5752</v>
      </c>
      <c r="C3800" s="80" t="s">
        <v>9680</v>
      </c>
      <c r="D3800" s="80" t="s">
        <v>84</v>
      </c>
      <c r="E3800" s="80" t="s">
        <v>84</v>
      </c>
      <c r="G3800" s="80" t="s">
        <v>84</v>
      </c>
      <c r="H3800" s="80" t="s">
        <v>84</v>
      </c>
      <c r="I3800" s="80" t="s">
        <v>84</v>
      </c>
      <c r="J3800" s="80" t="s">
        <v>84</v>
      </c>
      <c r="K3800" s="80" t="s">
        <v>84</v>
      </c>
      <c r="L3800" s="80" t="s">
        <v>84</v>
      </c>
      <c r="M3800" s="80" t="s">
        <v>84</v>
      </c>
      <c r="N3800" s="80" t="s">
        <v>84</v>
      </c>
      <c r="O3800" s="80" t="s">
        <v>84</v>
      </c>
      <c r="Q3800" s="80" t="s">
        <v>84</v>
      </c>
      <c r="R3800" s="80" t="s">
        <v>84</v>
      </c>
    </row>
    <row r="3801" spans="1:18" ht="20" x14ac:dyDescent="0.2">
      <c r="A3801" s="80" t="s">
        <v>2619</v>
      </c>
      <c r="B3801" s="80" t="s">
        <v>2620</v>
      </c>
      <c r="C3801" s="80" t="s">
        <v>9680</v>
      </c>
      <c r="D3801" s="80" t="s">
        <v>84</v>
      </c>
      <c r="E3801" s="80" t="s">
        <v>84</v>
      </c>
      <c r="G3801" s="80" t="s">
        <v>84</v>
      </c>
      <c r="H3801" s="80" t="s">
        <v>84</v>
      </c>
      <c r="I3801" s="80" t="s">
        <v>84</v>
      </c>
      <c r="J3801" s="80" t="s">
        <v>84</v>
      </c>
      <c r="K3801" s="80" t="s">
        <v>84</v>
      </c>
      <c r="L3801" s="80" t="s">
        <v>84</v>
      </c>
      <c r="M3801" s="80" t="s">
        <v>84</v>
      </c>
      <c r="N3801" s="80" t="s">
        <v>84</v>
      </c>
      <c r="O3801" s="80" t="s">
        <v>84</v>
      </c>
      <c r="Q3801" s="80" t="s">
        <v>84</v>
      </c>
      <c r="R3801" s="80" t="s">
        <v>84</v>
      </c>
    </row>
    <row r="3802" spans="1:18" ht="20" x14ac:dyDescent="0.2">
      <c r="A3802" s="80" t="s">
        <v>1507</v>
      </c>
      <c r="B3802" s="80" t="s">
        <v>1508</v>
      </c>
      <c r="C3802" s="80" t="s">
        <v>9680</v>
      </c>
      <c r="D3802" s="80" t="s">
        <v>84</v>
      </c>
      <c r="E3802" s="80" t="s">
        <v>84</v>
      </c>
      <c r="G3802" s="80" t="s">
        <v>84</v>
      </c>
      <c r="H3802" s="80" t="s">
        <v>84</v>
      </c>
      <c r="I3802" s="80" t="s">
        <v>84</v>
      </c>
      <c r="J3802" s="80" t="s">
        <v>84</v>
      </c>
      <c r="K3802" s="80" t="s">
        <v>84</v>
      </c>
      <c r="L3802" s="80" t="s">
        <v>84</v>
      </c>
      <c r="M3802" s="80" t="s">
        <v>84</v>
      </c>
      <c r="N3802" s="80" t="s">
        <v>84</v>
      </c>
      <c r="O3802" s="80" t="s">
        <v>84</v>
      </c>
      <c r="Q3802" s="80" t="s">
        <v>84</v>
      </c>
      <c r="R3802" s="80" t="s">
        <v>84</v>
      </c>
    </row>
    <row r="3803" spans="1:18" ht="20" x14ac:dyDescent="0.2">
      <c r="A3803" s="80" t="s">
        <v>2621</v>
      </c>
      <c r="B3803" s="80" t="s">
        <v>2622</v>
      </c>
      <c r="C3803" s="80" t="s">
        <v>9680</v>
      </c>
      <c r="D3803" s="80" t="s">
        <v>84</v>
      </c>
      <c r="E3803" s="80" t="s">
        <v>84</v>
      </c>
      <c r="G3803" s="80" t="s">
        <v>84</v>
      </c>
      <c r="H3803" s="80" t="s">
        <v>84</v>
      </c>
      <c r="I3803" s="80" t="s">
        <v>84</v>
      </c>
      <c r="J3803" s="80" t="s">
        <v>84</v>
      </c>
      <c r="K3803" s="80" t="s">
        <v>84</v>
      </c>
      <c r="L3803" s="80" t="s">
        <v>84</v>
      </c>
      <c r="M3803" s="80" t="s">
        <v>84</v>
      </c>
      <c r="N3803" s="80" t="s">
        <v>84</v>
      </c>
      <c r="O3803" s="80" t="s">
        <v>84</v>
      </c>
      <c r="Q3803" s="80" t="s">
        <v>84</v>
      </c>
      <c r="R3803" s="80" t="s">
        <v>84</v>
      </c>
    </row>
    <row r="3804" spans="1:18" ht="20" x14ac:dyDescent="0.2">
      <c r="A3804" s="80" t="s">
        <v>4412</v>
      </c>
      <c r="B3804" s="80" t="s">
        <v>4413</v>
      </c>
      <c r="C3804" s="80" t="s">
        <v>9722</v>
      </c>
      <c r="D3804" s="80" t="s">
        <v>84</v>
      </c>
      <c r="E3804" s="80" t="s">
        <v>84</v>
      </c>
      <c r="G3804" s="80" t="s">
        <v>84</v>
      </c>
      <c r="H3804" s="80" t="s">
        <v>84</v>
      </c>
      <c r="I3804" s="80" t="s">
        <v>84</v>
      </c>
      <c r="J3804" s="80" t="s">
        <v>84</v>
      </c>
      <c r="K3804" s="80" t="s">
        <v>84</v>
      </c>
      <c r="L3804" s="80" t="s">
        <v>84</v>
      </c>
      <c r="M3804" s="80" t="s">
        <v>84</v>
      </c>
      <c r="N3804" s="80" t="s">
        <v>84</v>
      </c>
      <c r="O3804" s="80" t="s">
        <v>84</v>
      </c>
      <c r="Q3804" s="80" t="s">
        <v>84</v>
      </c>
      <c r="R3804" s="80" t="s">
        <v>84</v>
      </c>
    </row>
    <row r="3805" spans="1:18" ht="20" x14ac:dyDescent="0.2">
      <c r="A3805" s="80" t="s">
        <v>4123</v>
      </c>
      <c r="B3805" s="80" t="s">
        <v>4124</v>
      </c>
      <c r="C3805" s="80" t="s">
        <v>84</v>
      </c>
      <c r="D3805" s="80" t="s">
        <v>84</v>
      </c>
      <c r="E3805" s="80" t="s">
        <v>84</v>
      </c>
      <c r="G3805" s="80" t="s">
        <v>84</v>
      </c>
      <c r="H3805" s="80" t="s">
        <v>84</v>
      </c>
      <c r="I3805" s="80" t="s">
        <v>84</v>
      </c>
      <c r="J3805" s="80" t="s">
        <v>84</v>
      </c>
      <c r="K3805" s="80" t="s">
        <v>84</v>
      </c>
      <c r="L3805" s="80" t="s">
        <v>84</v>
      </c>
      <c r="M3805" s="80" t="s">
        <v>84</v>
      </c>
      <c r="N3805" s="80" t="s">
        <v>84</v>
      </c>
      <c r="O3805" s="80" t="s">
        <v>84</v>
      </c>
      <c r="Q3805" s="80" t="s">
        <v>84</v>
      </c>
      <c r="R3805" s="80" t="s">
        <v>84</v>
      </c>
    </row>
    <row r="3806" spans="1:18" ht="20" x14ac:dyDescent="0.2">
      <c r="A3806" s="80" t="s">
        <v>1509</v>
      </c>
      <c r="B3806" s="80" t="s">
        <v>1510</v>
      </c>
      <c r="C3806" s="80" t="s">
        <v>9680</v>
      </c>
      <c r="D3806" s="80" t="s">
        <v>84</v>
      </c>
      <c r="E3806" s="80" t="s">
        <v>84</v>
      </c>
      <c r="G3806" s="80" t="s">
        <v>84</v>
      </c>
      <c r="H3806" s="80" t="s">
        <v>84</v>
      </c>
      <c r="I3806" s="80" t="s">
        <v>84</v>
      </c>
      <c r="J3806" s="80" t="s">
        <v>84</v>
      </c>
      <c r="K3806" s="80" t="s">
        <v>84</v>
      </c>
      <c r="L3806" s="80" t="s">
        <v>84</v>
      </c>
      <c r="M3806" s="80" t="s">
        <v>84</v>
      </c>
      <c r="N3806" s="80" t="s">
        <v>84</v>
      </c>
      <c r="O3806" s="80" t="s">
        <v>84</v>
      </c>
      <c r="Q3806" s="80" t="s">
        <v>84</v>
      </c>
      <c r="R3806" s="80" t="s">
        <v>84</v>
      </c>
    </row>
    <row r="3807" spans="1:18" ht="20" x14ac:dyDescent="0.2">
      <c r="A3807" s="80" t="s">
        <v>172</v>
      </c>
      <c r="B3807" s="80" t="s">
        <v>173</v>
      </c>
      <c r="C3807" s="80" t="s">
        <v>84</v>
      </c>
      <c r="D3807" s="80" t="s">
        <v>84</v>
      </c>
      <c r="E3807" s="80" t="s">
        <v>84</v>
      </c>
      <c r="G3807" s="80" t="s">
        <v>84</v>
      </c>
      <c r="H3807" s="80" t="s">
        <v>84</v>
      </c>
      <c r="I3807" s="80" t="s">
        <v>84</v>
      </c>
      <c r="J3807" s="80" t="s">
        <v>84</v>
      </c>
      <c r="K3807" s="80" t="s">
        <v>84</v>
      </c>
      <c r="L3807" s="80" t="s">
        <v>84</v>
      </c>
      <c r="M3807" s="80" t="s">
        <v>84</v>
      </c>
      <c r="N3807" s="80" t="s">
        <v>84</v>
      </c>
      <c r="O3807" s="80" t="s">
        <v>84</v>
      </c>
      <c r="Q3807" s="80" t="s">
        <v>84</v>
      </c>
      <c r="R3807" s="80" t="s">
        <v>84</v>
      </c>
    </row>
    <row r="3808" spans="1:18" ht="20" x14ac:dyDescent="0.2">
      <c r="A3808" s="80" t="s">
        <v>174</v>
      </c>
      <c r="B3808" s="80" t="s">
        <v>175</v>
      </c>
      <c r="C3808" s="80" t="s">
        <v>84</v>
      </c>
      <c r="D3808" s="80" t="s">
        <v>84</v>
      </c>
      <c r="E3808" s="80" t="s">
        <v>84</v>
      </c>
      <c r="G3808" s="80" t="s">
        <v>84</v>
      </c>
      <c r="H3808" s="80" t="s">
        <v>84</v>
      </c>
      <c r="I3808" s="80" t="s">
        <v>84</v>
      </c>
      <c r="J3808" s="80" t="s">
        <v>84</v>
      </c>
      <c r="K3808" s="80" t="s">
        <v>84</v>
      </c>
      <c r="L3808" s="80" t="s">
        <v>84</v>
      </c>
      <c r="M3808" s="80" t="s">
        <v>84</v>
      </c>
      <c r="N3808" s="80" t="s">
        <v>84</v>
      </c>
      <c r="O3808" s="80" t="s">
        <v>84</v>
      </c>
      <c r="Q3808" s="80" t="s">
        <v>84</v>
      </c>
      <c r="R3808" s="80" t="s">
        <v>84</v>
      </c>
    </row>
    <row r="3809" spans="1:18" ht="20" x14ac:dyDescent="0.2">
      <c r="A3809" s="80" t="s">
        <v>170</v>
      </c>
      <c r="B3809" s="80" t="s">
        <v>171</v>
      </c>
      <c r="C3809" s="80" t="s">
        <v>84</v>
      </c>
      <c r="D3809" s="80" t="s">
        <v>84</v>
      </c>
      <c r="E3809" s="80" t="s">
        <v>84</v>
      </c>
      <c r="G3809" s="80" t="s">
        <v>84</v>
      </c>
      <c r="H3809" s="80" t="s">
        <v>84</v>
      </c>
      <c r="I3809" s="80" t="s">
        <v>84</v>
      </c>
      <c r="J3809" s="80" t="s">
        <v>84</v>
      </c>
      <c r="K3809" s="80" t="s">
        <v>84</v>
      </c>
      <c r="L3809" s="80" t="s">
        <v>84</v>
      </c>
      <c r="M3809" s="80" t="s">
        <v>84</v>
      </c>
      <c r="N3809" s="80" t="s">
        <v>84</v>
      </c>
      <c r="O3809" s="80" t="s">
        <v>84</v>
      </c>
      <c r="Q3809" s="80" t="s">
        <v>84</v>
      </c>
      <c r="R3809" s="80" t="s">
        <v>84</v>
      </c>
    </row>
    <row r="3810" spans="1:18" ht="20" x14ac:dyDescent="0.2">
      <c r="A3810" s="80" t="s">
        <v>2681</v>
      </c>
      <c r="B3810" s="80" t="s">
        <v>10849</v>
      </c>
      <c r="C3810" s="80" t="s">
        <v>9680</v>
      </c>
      <c r="D3810" s="80" t="s">
        <v>84</v>
      </c>
      <c r="E3810" s="80" t="s">
        <v>84</v>
      </c>
      <c r="G3810" s="80" t="s">
        <v>84</v>
      </c>
      <c r="H3810" s="80" t="s">
        <v>84</v>
      </c>
      <c r="I3810" s="80" t="s">
        <v>84</v>
      </c>
      <c r="J3810" s="80" t="s">
        <v>84</v>
      </c>
      <c r="K3810" s="80" t="s">
        <v>84</v>
      </c>
      <c r="L3810" s="80" t="s">
        <v>84</v>
      </c>
      <c r="M3810" s="80" t="s">
        <v>84</v>
      </c>
      <c r="N3810" s="80" t="s">
        <v>84</v>
      </c>
      <c r="O3810" s="80" t="s">
        <v>84</v>
      </c>
      <c r="Q3810" s="80" t="s">
        <v>84</v>
      </c>
      <c r="R3810" s="80" t="s">
        <v>84</v>
      </c>
    </row>
    <row r="3811" spans="1:18" ht="20" x14ac:dyDescent="0.2">
      <c r="A3811" s="80" t="s">
        <v>2681</v>
      </c>
      <c r="B3811" s="80" t="s">
        <v>2682</v>
      </c>
      <c r="C3811" s="80" t="s">
        <v>9680</v>
      </c>
      <c r="D3811" s="80" t="s">
        <v>84</v>
      </c>
      <c r="E3811" s="80" t="s">
        <v>84</v>
      </c>
      <c r="G3811" s="80" t="s">
        <v>84</v>
      </c>
      <c r="H3811" s="80" t="s">
        <v>84</v>
      </c>
      <c r="I3811" s="80" t="s">
        <v>84</v>
      </c>
      <c r="J3811" s="80" t="s">
        <v>84</v>
      </c>
      <c r="K3811" s="80" t="s">
        <v>84</v>
      </c>
      <c r="L3811" s="80" t="s">
        <v>84</v>
      </c>
      <c r="M3811" s="80" t="s">
        <v>84</v>
      </c>
      <c r="N3811" s="80" t="s">
        <v>84</v>
      </c>
      <c r="O3811" s="80" t="s">
        <v>84</v>
      </c>
      <c r="Q3811" s="80" t="s">
        <v>84</v>
      </c>
      <c r="R3811" s="80" t="s">
        <v>84</v>
      </c>
    </row>
    <row r="3812" spans="1:18" ht="20" x14ac:dyDescent="0.2">
      <c r="A3812" s="80" t="s">
        <v>5703</v>
      </c>
      <c r="B3812" s="80" t="s">
        <v>5704</v>
      </c>
      <c r="C3812" s="80" t="s">
        <v>84</v>
      </c>
      <c r="D3812" s="80" t="s">
        <v>84</v>
      </c>
      <c r="E3812" s="80" t="s">
        <v>84</v>
      </c>
      <c r="G3812" s="80" t="s">
        <v>84</v>
      </c>
      <c r="H3812" s="80" t="s">
        <v>84</v>
      </c>
      <c r="I3812" s="80" t="s">
        <v>84</v>
      </c>
      <c r="J3812" s="80" t="s">
        <v>84</v>
      </c>
      <c r="K3812" s="80" t="s">
        <v>84</v>
      </c>
      <c r="L3812" s="80" t="s">
        <v>84</v>
      </c>
      <c r="M3812" s="80" t="s">
        <v>84</v>
      </c>
      <c r="N3812" s="80" t="s">
        <v>84</v>
      </c>
      <c r="O3812" s="80" t="s">
        <v>84</v>
      </c>
      <c r="Q3812" s="80" t="s">
        <v>84</v>
      </c>
      <c r="R3812" s="80" t="s">
        <v>84</v>
      </c>
    </row>
    <row r="3813" spans="1:18" x14ac:dyDescent="0.2">
      <c r="A3813" s="80" t="s">
        <v>2556</v>
      </c>
      <c r="B3813" s="80" t="s">
        <v>2557</v>
      </c>
      <c r="C3813" s="80" t="s">
        <v>84</v>
      </c>
      <c r="D3813" s="80" t="s">
        <v>84</v>
      </c>
      <c r="E3813" s="80" t="s">
        <v>84</v>
      </c>
      <c r="G3813" s="80" t="s">
        <v>84</v>
      </c>
      <c r="H3813" s="80" t="s">
        <v>84</v>
      </c>
      <c r="I3813" s="80" t="s">
        <v>84</v>
      </c>
      <c r="J3813" s="80" t="s">
        <v>84</v>
      </c>
      <c r="K3813" s="80" t="s">
        <v>84</v>
      </c>
      <c r="L3813" s="80" t="s">
        <v>84</v>
      </c>
      <c r="M3813" s="80" t="s">
        <v>84</v>
      </c>
      <c r="N3813" s="80" t="s">
        <v>84</v>
      </c>
      <c r="O3813" s="80" t="s">
        <v>84</v>
      </c>
      <c r="Q3813" s="80" t="s">
        <v>84</v>
      </c>
      <c r="R3813" s="80" t="s">
        <v>84</v>
      </c>
    </row>
    <row r="3814" spans="1:18" ht="20" x14ac:dyDescent="0.2">
      <c r="A3814" s="80" t="s">
        <v>2583</v>
      </c>
      <c r="B3814" s="80" t="s">
        <v>2584</v>
      </c>
      <c r="C3814" s="80" t="s">
        <v>9680</v>
      </c>
      <c r="D3814" s="80" t="s">
        <v>84</v>
      </c>
      <c r="E3814" s="80" t="s">
        <v>84</v>
      </c>
      <c r="G3814" s="80" t="s">
        <v>84</v>
      </c>
      <c r="H3814" s="80" t="s">
        <v>84</v>
      </c>
      <c r="I3814" s="80" t="s">
        <v>84</v>
      </c>
      <c r="J3814" s="80" t="s">
        <v>84</v>
      </c>
      <c r="K3814" s="80" t="s">
        <v>84</v>
      </c>
      <c r="L3814" s="80" t="s">
        <v>84</v>
      </c>
      <c r="M3814" s="80" t="s">
        <v>84</v>
      </c>
      <c r="N3814" s="80" t="s">
        <v>84</v>
      </c>
      <c r="O3814" s="80" t="s">
        <v>84</v>
      </c>
      <c r="Q3814" s="80" t="s">
        <v>84</v>
      </c>
      <c r="R3814" s="80" t="s">
        <v>84</v>
      </c>
    </row>
    <row r="3815" spans="1:18" ht="20" x14ac:dyDescent="0.2">
      <c r="A3815" s="80" t="s">
        <v>1319</v>
      </c>
      <c r="B3815" s="80" t="s">
        <v>1320</v>
      </c>
      <c r="C3815" s="80" t="s">
        <v>9680</v>
      </c>
      <c r="D3815" s="80" t="s">
        <v>84</v>
      </c>
      <c r="E3815" s="80" t="s">
        <v>84</v>
      </c>
      <c r="G3815" s="80" t="s">
        <v>84</v>
      </c>
      <c r="H3815" s="80" t="s">
        <v>84</v>
      </c>
      <c r="I3815" s="80" t="s">
        <v>84</v>
      </c>
      <c r="J3815" s="80" t="s">
        <v>84</v>
      </c>
      <c r="K3815" s="80" t="s">
        <v>84</v>
      </c>
      <c r="L3815" s="80" t="s">
        <v>84</v>
      </c>
      <c r="M3815" s="80" t="s">
        <v>84</v>
      </c>
      <c r="N3815" s="80" t="s">
        <v>84</v>
      </c>
      <c r="O3815" s="80" t="s">
        <v>84</v>
      </c>
      <c r="Q3815" s="80" t="s">
        <v>84</v>
      </c>
      <c r="R3815" s="80" t="s">
        <v>84</v>
      </c>
    </row>
    <row r="3816" spans="1:18" ht="20" x14ac:dyDescent="0.2">
      <c r="A3816" s="80" t="s">
        <v>2528</v>
      </c>
      <c r="B3816" s="80" t="s">
        <v>2529</v>
      </c>
      <c r="C3816" s="80" t="s">
        <v>9680</v>
      </c>
      <c r="D3816" s="80" t="s">
        <v>84</v>
      </c>
      <c r="E3816" s="80" t="s">
        <v>84</v>
      </c>
      <c r="G3816" s="80" t="s">
        <v>84</v>
      </c>
      <c r="H3816" s="80" t="s">
        <v>84</v>
      </c>
      <c r="I3816" s="80" t="s">
        <v>84</v>
      </c>
      <c r="J3816" s="80" t="s">
        <v>84</v>
      </c>
      <c r="K3816" s="80" t="s">
        <v>84</v>
      </c>
      <c r="L3816" s="80" t="s">
        <v>84</v>
      </c>
      <c r="M3816" s="80" t="s">
        <v>84</v>
      </c>
      <c r="N3816" s="80" t="s">
        <v>84</v>
      </c>
      <c r="O3816" s="80" t="s">
        <v>84</v>
      </c>
      <c r="Q3816" s="80" t="s">
        <v>84</v>
      </c>
      <c r="R3816" s="80" t="s">
        <v>84</v>
      </c>
    </row>
    <row r="3817" spans="1:18" ht="20" x14ac:dyDescent="0.2">
      <c r="A3817" s="80" t="s">
        <v>3202</v>
      </c>
      <c r="B3817" s="80" t="s">
        <v>3203</v>
      </c>
      <c r="C3817" s="80" t="s">
        <v>9680</v>
      </c>
      <c r="D3817" s="80" t="s">
        <v>84</v>
      </c>
      <c r="E3817" s="80" t="s">
        <v>84</v>
      </c>
      <c r="G3817" s="80" t="s">
        <v>84</v>
      </c>
      <c r="H3817" s="80" t="s">
        <v>84</v>
      </c>
      <c r="I3817" s="80" t="s">
        <v>84</v>
      </c>
      <c r="J3817" s="80" t="s">
        <v>84</v>
      </c>
      <c r="K3817" s="80" t="s">
        <v>84</v>
      </c>
      <c r="L3817" s="80" t="s">
        <v>84</v>
      </c>
      <c r="M3817" s="80" t="s">
        <v>84</v>
      </c>
      <c r="N3817" s="80" t="s">
        <v>84</v>
      </c>
      <c r="O3817" s="80" t="s">
        <v>84</v>
      </c>
      <c r="Q3817" s="80" t="s">
        <v>84</v>
      </c>
      <c r="R3817" s="80" t="s">
        <v>84</v>
      </c>
    </row>
    <row r="3818" spans="1:18" ht="20" x14ac:dyDescent="0.2">
      <c r="A3818" s="80" t="s">
        <v>1321</v>
      </c>
      <c r="B3818" s="80" t="s">
        <v>1322</v>
      </c>
      <c r="C3818" s="80" t="s">
        <v>9680</v>
      </c>
      <c r="D3818" s="80" t="s">
        <v>84</v>
      </c>
      <c r="E3818" s="80" t="s">
        <v>84</v>
      </c>
      <c r="G3818" s="80" t="s">
        <v>84</v>
      </c>
      <c r="H3818" s="80" t="s">
        <v>84</v>
      </c>
      <c r="I3818" s="80" t="s">
        <v>84</v>
      </c>
      <c r="J3818" s="80" t="s">
        <v>84</v>
      </c>
      <c r="K3818" s="80" t="s">
        <v>84</v>
      </c>
      <c r="L3818" s="80" t="s">
        <v>84</v>
      </c>
      <c r="M3818" s="80" t="s">
        <v>84</v>
      </c>
      <c r="N3818" s="80" t="s">
        <v>84</v>
      </c>
      <c r="O3818" s="80" t="s">
        <v>84</v>
      </c>
      <c r="Q3818" s="80" t="s">
        <v>84</v>
      </c>
      <c r="R3818" s="80" t="s">
        <v>84</v>
      </c>
    </row>
    <row r="3819" spans="1:18" ht="20" x14ac:dyDescent="0.2">
      <c r="A3819" s="80" t="s">
        <v>858</v>
      </c>
      <c r="B3819" s="80" t="s">
        <v>859</v>
      </c>
      <c r="C3819" s="80" t="s">
        <v>84</v>
      </c>
      <c r="D3819" s="80" t="s">
        <v>84</v>
      </c>
      <c r="E3819" s="80" t="s">
        <v>84</v>
      </c>
      <c r="G3819" s="80" t="s">
        <v>84</v>
      </c>
      <c r="H3819" s="80" t="s">
        <v>84</v>
      </c>
      <c r="I3819" s="80" t="s">
        <v>84</v>
      </c>
      <c r="J3819" s="80" t="s">
        <v>84</v>
      </c>
      <c r="K3819" s="80" t="s">
        <v>84</v>
      </c>
      <c r="L3819" s="80" t="s">
        <v>84</v>
      </c>
      <c r="M3819" s="80" t="s">
        <v>84</v>
      </c>
      <c r="N3819" s="80" t="s">
        <v>84</v>
      </c>
      <c r="O3819" s="80" t="s">
        <v>84</v>
      </c>
      <c r="Q3819" s="80" t="s">
        <v>84</v>
      </c>
      <c r="R3819" s="80" t="s">
        <v>84</v>
      </c>
    </row>
    <row r="3820" spans="1:18" ht="20" x14ac:dyDescent="0.2">
      <c r="A3820" s="80" t="s">
        <v>1408</v>
      </c>
      <c r="B3820" s="80" t="s">
        <v>1409</v>
      </c>
      <c r="C3820" s="80" t="s">
        <v>9722</v>
      </c>
      <c r="D3820" s="80" t="s">
        <v>84</v>
      </c>
      <c r="E3820" s="80" t="s">
        <v>84</v>
      </c>
      <c r="G3820" s="80" t="s">
        <v>84</v>
      </c>
      <c r="H3820" s="80" t="s">
        <v>84</v>
      </c>
      <c r="I3820" s="80" t="s">
        <v>84</v>
      </c>
      <c r="J3820" s="80" t="s">
        <v>84</v>
      </c>
      <c r="K3820" s="80" t="s">
        <v>84</v>
      </c>
      <c r="L3820" s="80" t="s">
        <v>84</v>
      </c>
      <c r="M3820" s="80" t="s">
        <v>84</v>
      </c>
      <c r="N3820" s="80" t="s">
        <v>84</v>
      </c>
      <c r="O3820" s="80" t="s">
        <v>84</v>
      </c>
      <c r="Q3820" s="80" t="s">
        <v>84</v>
      </c>
      <c r="R3820" s="80" t="s">
        <v>84</v>
      </c>
    </row>
    <row r="3821" spans="1:18" ht="20" x14ac:dyDescent="0.2">
      <c r="A3821" s="80" t="s">
        <v>5731</v>
      </c>
      <c r="B3821" s="80" t="s">
        <v>5732</v>
      </c>
      <c r="C3821" s="80" t="s">
        <v>84</v>
      </c>
      <c r="D3821" s="80" t="s">
        <v>84</v>
      </c>
      <c r="E3821" s="80" t="s">
        <v>84</v>
      </c>
      <c r="G3821" s="80" t="s">
        <v>84</v>
      </c>
      <c r="H3821" s="80" t="s">
        <v>84</v>
      </c>
      <c r="I3821" s="80" t="s">
        <v>84</v>
      </c>
      <c r="J3821" s="80" t="s">
        <v>84</v>
      </c>
      <c r="K3821" s="80" t="s">
        <v>84</v>
      </c>
      <c r="L3821" s="80" t="s">
        <v>84</v>
      </c>
      <c r="M3821" s="80" t="s">
        <v>84</v>
      </c>
      <c r="N3821" s="80" t="s">
        <v>84</v>
      </c>
      <c r="O3821" s="80" t="s">
        <v>84</v>
      </c>
      <c r="Q3821" s="80" t="s">
        <v>84</v>
      </c>
      <c r="R3821" s="80" t="s">
        <v>84</v>
      </c>
    </row>
    <row r="3822" spans="1:18" ht="20" x14ac:dyDescent="0.2">
      <c r="A3822" s="80" t="s">
        <v>5731</v>
      </c>
      <c r="B3822" s="80" t="s">
        <v>10850</v>
      </c>
      <c r="C3822" s="80" t="s">
        <v>84</v>
      </c>
      <c r="D3822" s="80" t="s">
        <v>84</v>
      </c>
      <c r="E3822" s="80" t="s">
        <v>84</v>
      </c>
      <c r="G3822" s="80" t="s">
        <v>84</v>
      </c>
      <c r="H3822" s="80" t="s">
        <v>84</v>
      </c>
      <c r="I3822" s="80" t="s">
        <v>84</v>
      </c>
      <c r="J3822" s="80" t="s">
        <v>84</v>
      </c>
      <c r="K3822" s="80" t="s">
        <v>84</v>
      </c>
      <c r="L3822" s="80" t="s">
        <v>84</v>
      </c>
      <c r="M3822" s="80" t="s">
        <v>84</v>
      </c>
      <c r="N3822" s="80" t="s">
        <v>84</v>
      </c>
      <c r="O3822" s="80" t="s">
        <v>84</v>
      </c>
      <c r="Q3822" s="80" t="s">
        <v>84</v>
      </c>
      <c r="R3822" s="80" t="s">
        <v>84</v>
      </c>
    </row>
    <row r="3823" spans="1:18" ht="20" x14ac:dyDescent="0.2">
      <c r="A3823" s="80" t="s">
        <v>1395</v>
      </c>
      <c r="B3823" s="80" t="s">
        <v>1396</v>
      </c>
      <c r="C3823" s="80" t="s">
        <v>9680</v>
      </c>
      <c r="D3823" s="80" t="s">
        <v>84</v>
      </c>
      <c r="E3823" s="80" t="s">
        <v>84</v>
      </c>
      <c r="G3823" s="80" t="s">
        <v>84</v>
      </c>
      <c r="H3823" s="80" t="s">
        <v>84</v>
      </c>
      <c r="I3823" s="80" t="s">
        <v>84</v>
      </c>
      <c r="J3823" s="80" t="s">
        <v>84</v>
      </c>
      <c r="K3823" s="80" t="s">
        <v>84</v>
      </c>
      <c r="L3823" s="80" t="s">
        <v>84</v>
      </c>
      <c r="M3823" s="80" t="s">
        <v>84</v>
      </c>
      <c r="N3823" s="80" t="s">
        <v>84</v>
      </c>
      <c r="O3823" s="80" t="s">
        <v>84</v>
      </c>
      <c r="Q3823" s="80" t="s">
        <v>84</v>
      </c>
      <c r="R3823" s="80" t="s">
        <v>84</v>
      </c>
    </row>
    <row r="3824" spans="1:18" ht="20" x14ac:dyDescent="0.2">
      <c r="A3824" s="80" t="s">
        <v>1395</v>
      </c>
      <c r="B3824" s="80" t="s">
        <v>10851</v>
      </c>
      <c r="C3824" s="80" t="s">
        <v>9680</v>
      </c>
      <c r="D3824" s="80" t="s">
        <v>84</v>
      </c>
      <c r="E3824" s="80" t="s">
        <v>84</v>
      </c>
      <c r="G3824" s="80" t="s">
        <v>84</v>
      </c>
      <c r="H3824" s="80" t="s">
        <v>84</v>
      </c>
      <c r="I3824" s="80" t="s">
        <v>84</v>
      </c>
      <c r="J3824" s="80" t="s">
        <v>84</v>
      </c>
      <c r="K3824" s="80" t="s">
        <v>84</v>
      </c>
      <c r="L3824" s="80" t="s">
        <v>84</v>
      </c>
      <c r="M3824" s="80" t="s">
        <v>84</v>
      </c>
      <c r="N3824" s="80" t="s">
        <v>84</v>
      </c>
      <c r="O3824" s="80" t="s">
        <v>84</v>
      </c>
      <c r="Q3824" s="80" t="s">
        <v>84</v>
      </c>
      <c r="R3824" s="80" t="s">
        <v>84</v>
      </c>
    </row>
    <row r="3825" spans="1:18" ht="20" x14ac:dyDescent="0.2">
      <c r="A3825" s="80" t="s">
        <v>1353</v>
      </c>
      <c r="B3825" s="80" t="s">
        <v>1354</v>
      </c>
      <c r="C3825" s="80" t="s">
        <v>9722</v>
      </c>
      <c r="D3825" s="80" t="s">
        <v>84</v>
      </c>
      <c r="E3825" s="80" t="s">
        <v>84</v>
      </c>
      <c r="G3825" s="80" t="s">
        <v>84</v>
      </c>
      <c r="H3825" s="80" t="s">
        <v>84</v>
      </c>
      <c r="I3825" s="80" t="s">
        <v>84</v>
      </c>
      <c r="J3825" s="80" t="s">
        <v>84</v>
      </c>
      <c r="K3825" s="80" t="s">
        <v>84</v>
      </c>
      <c r="L3825" s="80" t="s">
        <v>84</v>
      </c>
      <c r="M3825" s="80" t="s">
        <v>84</v>
      </c>
      <c r="N3825" s="80" t="s">
        <v>84</v>
      </c>
      <c r="O3825" s="80" t="s">
        <v>84</v>
      </c>
      <c r="Q3825" s="80" t="s">
        <v>84</v>
      </c>
      <c r="R3825" s="80" t="s">
        <v>84</v>
      </c>
    </row>
    <row r="3826" spans="1:18" ht="20" x14ac:dyDescent="0.2">
      <c r="A3826" s="80" t="s">
        <v>10852</v>
      </c>
      <c r="B3826" s="80" t="s">
        <v>10853</v>
      </c>
      <c r="C3826" s="80" t="s">
        <v>9722</v>
      </c>
      <c r="D3826" s="80" t="s">
        <v>84</v>
      </c>
      <c r="E3826" s="80" t="s">
        <v>84</v>
      </c>
      <c r="G3826" s="80" t="s">
        <v>84</v>
      </c>
      <c r="H3826" s="80" t="s">
        <v>84</v>
      </c>
      <c r="I3826" s="80" t="s">
        <v>84</v>
      </c>
      <c r="J3826" s="80" t="s">
        <v>84</v>
      </c>
      <c r="K3826" s="80" t="s">
        <v>84</v>
      </c>
      <c r="L3826" s="80" t="s">
        <v>84</v>
      </c>
      <c r="M3826" s="80" t="s">
        <v>84</v>
      </c>
      <c r="N3826" s="80" t="s">
        <v>84</v>
      </c>
      <c r="O3826" s="80" t="s">
        <v>84</v>
      </c>
      <c r="Q3826" s="80" t="s">
        <v>84</v>
      </c>
      <c r="R3826" s="80" t="s">
        <v>84</v>
      </c>
    </row>
    <row r="3827" spans="1:18" ht="20" x14ac:dyDescent="0.2">
      <c r="A3827" s="80" t="s">
        <v>1400</v>
      </c>
      <c r="B3827" s="80" t="s">
        <v>1401</v>
      </c>
      <c r="C3827" s="80" t="s">
        <v>9722</v>
      </c>
      <c r="D3827" s="80" t="s">
        <v>84</v>
      </c>
      <c r="E3827" s="80" t="s">
        <v>84</v>
      </c>
      <c r="G3827" s="80" t="s">
        <v>84</v>
      </c>
      <c r="H3827" s="80" t="s">
        <v>84</v>
      </c>
      <c r="I3827" s="80" t="s">
        <v>84</v>
      </c>
      <c r="J3827" s="80" t="s">
        <v>84</v>
      </c>
      <c r="K3827" s="80" t="s">
        <v>84</v>
      </c>
      <c r="L3827" s="80" t="s">
        <v>84</v>
      </c>
      <c r="M3827" s="80" t="s">
        <v>84</v>
      </c>
      <c r="N3827" s="80" t="s">
        <v>84</v>
      </c>
      <c r="O3827" s="80" t="s">
        <v>84</v>
      </c>
      <c r="Q3827" s="80" t="s">
        <v>84</v>
      </c>
      <c r="R3827" s="80" t="s">
        <v>84</v>
      </c>
    </row>
    <row r="3828" spans="1:18" ht="20" x14ac:dyDescent="0.2">
      <c r="A3828" s="80" t="s">
        <v>1400</v>
      </c>
      <c r="B3828" s="80" t="s">
        <v>10854</v>
      </c>
      <c r="C3828" s="80" t="s">
        <v>9722</v>
      </c>
      <c r="D3828" s="80" t="s">
        <v>84</v>
      </c>
      <c r="E3828" s="80" t="s">
        <v>84</v>
      </c>
      <c r="G3828" s="80" t="s">
        <v>84</v>
      </c>
      <c r="H3828" s="80" t="s">
        <v>84</v>
      </c>
      <c r="I3828" s="80" t="s">
        <v>84</v>
      </c>
      <c r="J3828" s="80" t="s">
        <v>84</v>
      </c>
      <c r="K3828" s="80" t="s">
        <v>84</v>
      </c>
      <c r="L3828" s="80" t="s">
        <v>84</v>
      </c>
      <c r="M3828" s="80" t="s">
        <v>84</v>
      </c>
      <c r="N3828" s="80" t="s">
        <v>84</v>
      </c>
      <c r="O3828" s="80" t="s">
        <v>84</v>
      </c>
      <c r="Q3828" s="80" t="s">
        <v>84</v>
      </c>
      <c r="R3828" s="80" t="s">
        <v>84</v>
      </c>
    </row>
    <row r="3829" spans="1:18" ht="20" x14ac:dyDescent="0.2">
      <c r="A3829" s="80" t="s">
        <v>1404</v>
      </c>
      <c r="B3829" s="80" t="s">
        <v>1405</v>
      </c>
      <c r="C3829" s="80" t="s">
        <v>9722</v>
      </c>
      <c r="D3829" s="80" t="s">
        <v>84</v>
      </c>
      <c r="E3829" s="80" t="s">
        <v>84</v>
      </c>
      <c r="G3829" s="80" t="s">
        <v>84</v>
      </c>
      <c r="H3829" s="80" t="s">
        <v>84</v>
      </c>
      <c r="I3829" s="80" t="s">
        <v>84</v>
      </c>
      <c r="J3829" s="80" t="s">
        <v>84</v>
      </c>
      <c r="K3829" s="80" t="s">
        <v>84</v>
      </c>
      <c r="L3829" s="80" t="s">
        <v>84</v>
      </c>
      <c r="M3829" s="80" t="s">
        <v>84</v>
      </c>
      <c r="N3829" s="80" t="s">
        <v>84</v>
      </c>
      <c r="O3829" s="80" t="s">
        <v>84</v>
      </c>
      <c r="Q3829" s="80" t="s">
        <v>84</v>
      </c>
      <c r="R3829" s="80" t="s">
        <v>84</v>
      </c>
    </row>
    <row r="3830" spans="1:18" x14ac:dyDescent="0.2">
      <c r="A3830" s="80" t="s">
        <v>1348</v>
      </c>
      <c r="B3830" s="80" t="s">
        <v>1349</v>
      </c>
      <c r="C3830" s="80" t="s">
        <v>9722</v>
      </c>
      <c r="D3830" s="80" t="s">
        <v>84</v>
      </c>
      <c r="E3830" s="80" t="s">
        <v>84</v>
      </c>
      <c r="G3830" s="80" t="s">
        <v>84</v>
      </c>
      <c r="H3830" s="80" t="s">
        <v>84</v>
      </c>
      <c r="I3830" s="80" t="s">
        <v>84</v>
      </c>
      <c r="J3830" s="80" t="s">
        <v>84</v>
      </c>
      <c r="K3830" s="80" t="s">
        <v>84</v>
      </c>
      <c r="L3830" s="80" t="s">
        <v>84</v>
      </c>
      <c r="M3830" s="80" t="s">
        <v>84</v>
      </c>
      <c r="N3830" s="80" t="s">
        <v>84</v>
      </c>
      <c r="O3830" s="80" t="s">
        <v>84</v>
      </c>
      <c r="Q3830" s="80" t="s">
        <v>84</v>
      </c>
      <c r="R3830" s="80" t="s">
        <v>84</v>
      </c>
    </row>
    <row r="3831" spans="1:18" ht="20" x14ac:dyDescent="0.2">
      <c r="A3831" s="80" t="s">
        <v>1348</v>
      </c>
      <c r="B3831" s="80" t="s">
        <v>10855</v>
      </c>
      <c r="C3831" s="80" t="s">
        <v>9722</v>
      </c>
      <c r="D3831" s="80" t="s">
        <v>84</v>
      </c>
      <c r="E3831" s="80" t="s">
        <v>84</v>
      </c>
      <c r="G3831" s="80" t="s">
        <v>84</v>
      </c>
      <c r="H3831" s="80" t="s">
        <v>84</v>
      </c>
      <c r="I3831" s="80" t="s">
        <v>84</v>
      </c>
      <c r="J3831" s="80" t="s">
        <v>84</v>
      </c>
      <c r="K3831" s="80" t="s">
        <v>84</v>
      </c>
      <c r="L3831" s="80" t="s">
        <v>84</v>
      </c>
      <c r="M3831" s="80" t="s">
        <v>84</v>
      </c>
      <c r="N3831" s="80" t="s">
        <v>84</v>
      </c>
      <c r="O3831" s="80" t="s">
        <v>84</v>
      </c>
      <c r="Q3831" s="80" t="s">
        <v>84</v>
      </c>
      <c r="R3831" s="80" t="s">
        <v>84</v>
      </c>
    </row>
    <row r="3832" spans="1:18" ht="20" x14ac:dyDescent="0.2">
      <c r="A3832" s="80" t="s">
        <v>1406</v>
      </c>
      <c r="B3832" s="80" t="s">
        <v>1407</v>
      </c>
      <c r="C3832" s="80" t="s">
        <v>9722</v>
      </c>
      <c r="D3832" s="80" t="s">
        <v>84</v>
      </c>
      <c r="E3832" s="80" t="s">
        <v>84</v>
      </c>
      <c r="G3832" s="80" t="s">
        <v>84</v>
      </c>
      <c r="H3832" s="80" t="s">
        <v>84</v>
      </c>
      <c r="I3832" s="80" t="s">
        <v>84</v>
      </c>
      <c r="J3832" s="80" t="s">
        <v>84</v>
      </c>
      <c r="K3832" s="80" t="s">
        <v>84</v>
      </c>
      <c r="L3832" s="80" t="s">
        <v>84</v>
      </c>
      <c r="M3832" s="80" t="s">
        <v>84</v>
      </c>
      <c r="N3832" s="80" t="s">
        <v>84</v>
      </c>
      <c r="O3832" s="80" t="s">
        <v>84</v>
      </c>
      <c r="Q3832" s="80" t="s">
        <v>84</v>
      </c>
      <c r="R3832" s="80" t="s">
        <v>84</v>
      </c>
    </row>
    <row r="3833" spans="1:18" ht="20" x14ac:dyDescent="0.2">
      <c r="A3833" s="80" t="s">
        <v>1410</v>
      </c>
      <c r="B3833" s="80" t="s">
        <v>1411</v>
      </c>
      <c r="C3833" s="80" t="s">
        <v>9722</v>
      </c>
      <c r="D3833" s="80" t="s">
        <v>84</v>
      </c>
      <c r="E3833" s="80" t="s">
        <v>84</v>
      </c>
      <c r="G3833" s="80" t="s">
        <v>84</v>
      </c>
      <c r="H3833" s="80" t="s">
        <v>84</v>
      </c>
      <c r="I3833" s="80" t="s">
        <v>84</v>
      </c>
      <c r="J3833" s="80" t="s">
        <v>84</v>
      </c>
      <c r="K3833" s="80" t="s">
        <v>84</v>
      </c>
      <c r="L3833" s="80" t="s">
        <v>84</v>
      </c>
      <c r="M3833" s="80" t="s">
        <v>84</v>
      </c>
      <c r="N3833" s="80" t="s">
        <v>84</v>
      </c>
      <c r="O3833" s="80" t="s">
        <v>84</v>
      </c>
      <c r="Q3833" s="80" t="s">
        <v>84</v>
      </c>
      <c r="R3833" s="80" t="s">
        <v>84</v>
      </c>
    </row>
    <row r="3834" spans="1:18" ht="20" x14ac:dyDescent="0.2">
      <c r="A3834" s="80" t="s">
        <v>1355</v>
      </c>
      <c r="B3834" s="80" t="s">
        <v>1356</v>
      </c>
      <c r="C3834" s="80" t="s">
        <v>9722</v>
      </c>
      <c r="D3834" s="80" t="s">
        <v>84</v>
      </c>
      <c r="E3834" s="80" t="s">
        <v>84</v>
      </c>
      <c r="G3834" s="80" t="s">
        <v>84</v>
      </c>
      <c r="H3834" s="80" t="s">
        <v>84</v>
      </c>
      <c r="I3834" s="80" t="s">
        <v>84</v>
      </c>
      <c r="J3834" s="80" t="s">
        <v>84</v>
      </c>
      <c r="K3834" s="80" t="s">
        <v>84</v>
      </c>
      <c r="L3834" s="80" t="s">
        <v>84</v>
      </c>
      <c r="M3834" s="80" t="s">
        <v>84</v>
      </c>
      <c r="N3834" s="80" t="s">
        <v>84</v>
      </c>
      <c r="O3834" s="80" t="s">
        <v>84</v>
      </c>
      <c r="Q3834" s="80" t="s">
        <v>84</v>
      </c>
      <c r="R3834" s="80" t="s">
        <v>84</v>
      </c>
    </row>
    <row r="3835" spans="1:18" ht="20" x14ac:dyDescent="0.2">
      <c r="A3835" s="80" t="s">
        <v>5701</v>
      </c>
      <c r="B3835" s="80" t="s">
        <v>5702</v>
      </c>
      <c r="C3835" s="80" t="s">
        <v>9722</v>
      </c>
      <c r="D3835" s="80" t="s">
        <v>84</v>
      </c>
      <c r="E3835" s="80" t="s">
        <v>84</v>
      </c>
      <c r="G3835" s="80" t="s">
        <v>84</v>
      </c>
      <c r="H3835" s="80" t="s">
        <v>84</v>
      </c>
      <c r="I3835" s="80" t="s">
        <v>84</v>
      </c>
      <c r="J3835" s="80" t="s">
        <v>84</v>
      </c>
      <c r="K3835" s="80" t="s">
        <v>84</v>
      </c>
      <c r="L3835" s="80" t="s">
        <v>84</v>
      </c>
      <c r="M3835" s="80" t="s">
        <v>84</v>
      </c>
      <c r="N3835" s="80" t="s">
        <v>84</v>
      </c>
      <c r="O3835" s="80" t="s">
        <v>84</v>
      </c>
      <c r="Q3835" s="80" t="s">
        <v>84</v>
      </c>
      <c r="R3835" s="80" t="s">
        <v>84</v>
      </c>
    </row>
    <row r="3836" spans="1:18" ht="20" x14ac:dyDescent="0.2">
      <c r="A3836" s="80" t="s">
        <v>1031</v>
      </c>
      <c r="B3836" s="80" t="s">
        <v>1032</v>
      </c>
      <c r="C3836" s="80" t="s">
        <v>9680</v>
      </c>
      <c r="D3836" s="80" t="s">
        <v>84</v>
      </c>
      <c r="E3836" s="80" t="s">
        <v>84</v>
      </c>
      <c r="G3836" s="80" t="s">
        <v>84</v>
      </c>
      <c r="H3836" s="80" t="s">
        <v>84</v>
      </c>
      <c r="I3836" s="80" t="s">
        <v>84</v>
      </c>
      <c r="J3836" s="80" t="s">
        <v>84</v>
      </c>
      <c r="K3836" s="80" t="s">
        <v>84</v>
      </c>
      <c r="L3836" s="80" t="s">
        <v>84</v>
      </c>
      <c r="M3836" s="80" t="s">
        <v>84</v>
      </c>
      <c r="N3836" s="80" t="s">
        <v>84</v>
      </c>
      <c r="O3836" s="80" t="s">
        <v>84</v>
      </c>
      <c r="Q3836" s="80" t="s">
        <v>84</v>
      </c>
      <c r="R3836" s="80" t="s">
        <v>84</v>
      </c>
    </row>
    <row r="3837" spans="1:18" ht="20" x14ac:dyDescent="0.2">
      <c r="A3837" s="80" t="s">
        <v>1412</v>
      </c>
      <c r="B3837" s="80" t="s">
        <v>1413</v>
      </c>
      <c r="C3837" s="80" t="s">
        <v>9680</v>
      </c>
      <c r="D3837" s="80" t="s">
        <v>84</v>
      </c>
      <c r="E3837" s="80" t="s">
        <v>84</v>
      </c>
      <c r="G3837" s="80" t="s">
        <v>84</v>
      </c>
      <c r="H3837" s="80" t="s">
        <v>84</v>
      </c>
      <c r="I3837" s="80" t="s">
        <v>84</v>
      </c>
      <c r="J3837" s="80" t="s">
        <v>84</v>
      </c>
      <c r="K3837" s="80" t="s">
        <v>84</v>
      </c>
      <c r="L3837" s="80" t="s">
        <v>84</v>
      </c>
      <c r="M3837" s="80" t="s">
        <v>84</v>
      </c>
      <c r="N3837" s="80" t="s">
        <v>84</v>
      </c>
      <c r="O3837" s="80" t="s">
        <v>84</v>
      </c>
      <c r="Q3837" s="80" t="s">
        <v>84</v>
      </c>
      <c r="R3837" s="80" t="s">
        <v>84</v>
      </c>
    </row>
    <row r="3838" spans="1:18" ht="20" x14ac:dyDescent="0.2">
      <c r="A3838" s="80" t="s">
        <v>1033</v>
      </c>
      <c r="B3838" s="80" t="s">
        <v>1034</v>
      </c>
      <c r="C3838" s="80" t="s">
        <v>9680</v>
      </c>
      <c r="D3838" s="80" t="s">
        <v>84</v>
      </c>
      <c r="E3838" s="80" t="s">
        <v>84</v>
      </c>
      <c r="G3838" s="80" t="s">
        <v>84</v>
      </c>
      <c r="H3838" s="80" t="s">
        <v>84</v>
      </c>
      <c r="I3838" s="80" t="s">
        <v>84</v>
      </c>
      <c r="J3838" s="80" t="s">
        <v>84</v>
      </c>
      <c r="K3838" s="80" t="s">
        <v>84</v>
      </c>
      <c r="L3838" s="80" t="s">
        <v>84</v>
      </c>
      <c r="M3838" s="80" t="s">
        <v>84</v>
      </c>
      <c r="N3838" s="80" t="s">
        <v>84</v>
      </c>
      <c r="O3838" s="80" t="s">
        <v>84</v>
      </c>
      <c r="Q3838" s="80" t="s">
        <v>84</v>
      </c>
      <c r="R3838" s="80" t="s">
        <v>84</v>
      </c>
    </row>
    <row r="3839" spans="1:18" ht="20" x14ac:dyDescent="0.2">
      <c r="A3839" s="80" t="s">
        <v>3295</v>
      </c>
      <c r="B3839" s="80" t="s">
        <v>3296</v>
      </c>
      <c r="C3839" s="80" t="s">
        <v>9680</v>
      </c>
      <c r="D3839" s="80" t="s">
        <v>84</v>
      </c>
      <c r="E3839" s="80" t="s">
        <v>84</v>
      </c>
      <c r="G3839" s="80" t="s">
        <v>84</v>
      </c>
      <c r="H3839" s="80" t="s">
        <v>84</v>
      </c>
      <c r="I3839" s="80" t="s">
        <v>84</v>
      </c>
      <c r="J3839" s="80" t="s">
        <v>84</v>
      </c>
      <c r="K3839" s="80" t="s">
        <v>84</v>
      </c>
      <c r="L3839" s="80" t="s">
        <v>84</v>
      </c>
      <c r="M3839" s="80" t="s">
        <v>84</v>
      </c>
      <c r="N3839" s="80" t="s">
        <v>84</v>
      </c>
      <c r="O3839" s="80" t="s">
        <v>84</v>
      </c>
      <c r="Q3839" s="80" t="s">
        <v>84</v>
      </c>
      <c r="R3839" s="80" t="s">
        <v>84</v>
      </c>
    </row>
    <row r="3840" spans="1:18" ht="20" x14ac:dyDescent="0.2">
      <c r="A3840" s="80" t="s">
        <v>3863</v>
      </c>
      <c r="B3840" s="80" t="s">
        <v>3864</v>
      </c>
      <c r="C3840" s="80" t="s">
        <v>84</v>
      </c>
      <c r="D3840" s="80" t="s">
        <v>84</v>
      </c>
      <c r="E3840" s="80" t="s">
        <v>84</v>
      </c>
      <c r="G3840" s="80" t="s">
        <v>84</v>
      </c>
      <c r="H3840" s="80" t="s">
        <v>84</v>
      </c>
      <c r="I3840" s="80" t="s">
        <v>84</v>
      </c>
      <c r="J3840" s="80" t="s">
        <v>84</v>
      </c>
      <c r="K3840" s="80" t="s">
        <v>84</v>
      </c>
      <c r="L3840" s="80" t="s">
        <v>84</v>
      </c>
      <c r="M3840" s="80" t="s">
        <v>84</v>
      </c>
      <c r="N3840" s="80" t="s">
        <v>84</v>
      </c>
      <c r="O3840" s="80" t="s">
        <v>84</v>
      </c>
      <c r="Q3840" s="80" t="s">
        <v>84</v>
      </c>
      <c r="R3840" s="80" t="s">
        <v>84</v>
      </c>
    </row>
    <row r="3841" spans="1:18" ht="20" x14ac:dyDescent="0.2">
      <c r="A3841" s="80" t="s">
        <v>4900</v>
      </c>
      <c r="B3841" s="80" t="s">
        <v>4901</v>
      </c>
      <c r="C3841" s="80" t="s">
        <v>84</v>
      </c>
      <c r="D3841" s="80" t="s">
        <v>84</v>
      </c>
      <c r="E3841" s="80" t="s">
        <v>84</v>
      </c>
      <c r="G3841" s="80" t="s">
        <v>84</v>
      </c>
      <c r="H3841" s="80" t="s">
        <v>84</v>
      </c>
      <c r="I3841" s="80" t="s">
        <v>84</v>
      </c>
      <c r="J3841" s="80" t="s">
        <v>84</v>
      </c>
      <c r="K3841" s="80" t="s">
        <v>84</v>
      </c>
      <c r="L3841" s="80" t="s">
        <v>84</v>
      </c>
      <c r="M3841" s="80" t="s">
        <v>84</v>
      </c>
      <c r="N3841" s="80" t="s">
        <v>84</v>
      </c>
      <c r="O3841" s="80" t="s">
        <v>84</v>
      </c>
      <c r="Q3841" s="80" t="s">
        <v>84</v>
      </c>
      <c r="R3841" s="80" t="s">
        <v>84</v>
      </c>
    </row>
    <row r="3842" spans="1:18" ht="20" x14ac:dyDescent="0.2">
      <c r="A3842" s="80" t="s">
        <v>1453</v>
      </c>
      <c r="B3842" s="80" t="s">
        <v>1454</v>
      </c>
      <c r="C3842" s="80" t="s">
        <v>9722</v>
      </c>
      <c r="D3842" s="80" t="s">
        <v>84</v>
      </c>
      <c r="E3842" s="80" t="s">
        <v>84</v>
      </c>
      <c r="G3842" s="80" t="s">
        <v>84</v>
      </c>
      <c r="H3842" s="80" t="s">
        <v>84</v>
      </c>
      <c r="I3842" s="80" t="s">
        <v>84</v>
      </c>
      <c r="J3842" s="80" t="s">
        <v>84</v>
      </c>
      <c r="K3842" s="80" t="s">
        <v>84</v>
      </c>
      <c r="L3842" s="80" t="s">
        <v>84</v>
      </c>
      <c r="M3842" s="80" t="s">
        <v>84</v>
      </c>
      <c r="N3842" s="80" t="s">
        <v>84</v>
      </c>
      <c r="O3842" s="80" t="s">
        <v>84</v>
      </c>
      <c r="Q3842" s="80" t="s">
        <v>84</v>
      </c>
      <c r="R3842" s="80" t="s">
        <v>84</v>
      </c>
    </row>
    <row r="3843" spans="1:18" ht="20" x14ac:dyDescent="0.2">
      <c r="A3843" s="80" t="s">
        <v>1455</v>
      </c>
      <c r="B3843" s="80" t="s">
        <v>1456</v>
      </c>
      <c r="C3843" s="80" t="s">
        <v>9680</v>
      </c>
      <c r="D3843" s="80" t="s">
        <v>84</v>
      </c>
      <c r="E3843" s="80" t="s">
        <v>84</v>
      </c>
      <c r="G3843" s="80" t="s">
        <v>84</v>
      </c>
      <c r="H3843" s="80" t="s">
        <v>84</v>
      </c>
      <c r="I3843" s="80" t="s">
        <v>84</v>
      </c>
      <c r="J3843" s="80" t="s">
        <v>84</v>
      </c>
      <c r="K3843" s="80" t="s">
        <v>84</v>
      </c>
      <c r="L3843" s="80" t="s">
        <v>84</v>
      </c>
      <c r="M3843" s="80" t="s">
        <v>84</v>
      </c>
      <c r="N3843" s="80" t="s">
        <v>84</v>
      </c>
      <c r="O3843" s="80" t="s">
        <v>84</v>
      </c>
      <c r="Q3843" s="80" t="s">
        <v>84</v>
      </c>
      <c r="R3843" s="80" t="s">
        <v>84</v>
      </c>
    </row>
    <row r="3844" spans="1:18" ht="20" x14ac:dyDescent="0.2">
      <c r="A3844" s="80" t="s">
        <v>4902</v>
      </c>
      <c r="B3844" s="80" t="s">
        <v>4903</v>
      </c>
      <c r="C3844" s="80" t="s">
        <v>84</v>
      </c>
      <c r="D3844" s="80" t="s">
        <v>84</v>
      </c>
      <c r="E3844" s="80" t="s">
        <v>84</v>
      </c>
      <c r="G3844" s="80" t="s">
        <v>84</v>
      </c>
      <c r="H3844" s="80" t="s">
        <v>84</v>
      </c>
      <c r="I3844" s="80" t="s">
        <v>84</v>
      </c>
      <c r="J3844" s="80" t="s">
        <v>84</v>
      </c>
      <c r="K3844" s="80" t="s">
        <v>84</v>
      </c>
      <c r="L3844" s="80" t="s">
        <v>84</v>
      </c>
      <c r="M3844" s="80" t="s">
        <v>84</v>
      </c>
      <c r="N3844" s="80" t="s">
        <v>84</v>
      </c>
      <c r="O3844" s="80" t="s">
        <v>84</v>
      </c>
      <c r="Q3844" s="80" t="s">
        <v>84</v>
      </c>
      <c r="R3844" s="80" t="s">
        <v>84</v>
      </c>
    </row>
    <row r="3845" spans="1:18" ht="20" x14ac:dyDescent="0.2">
      <c r="A3845" s="80" t="s">
        <v>1457</v>
      </c>
      <c r="B3845" s="80" t="s">
        <v>1458</v>
      </c>
      <c r="C3845" s="80" t="s">
        <v>9680</v>
      </c>
      <c r="D3845" s="80" t="s">
        <v>84</v>
      </c>
      <c r="E3845" s="80" t="s">
        <v>84</v>
      </c>
      <c r="G3845" s="80" t="s">
        <v>84</v>
      </c>
      <c r="H3845" s="80" t="s">
        <v>84</v>
      </c>
      <c r="I3845" s="80" t="s">
        <v>84</v>
      </c>
      <c r="J3845" s="80" t="s">
        <v>84</v>
      </c>
      <c r="K3845" s="80" t="s">
        <v>84</v>
      </c>
      <c r="L3845" s="80" t="s">
        <v>84</v>
      </c>
      <c r="M3845" s="80" t="s">
        <v>84</v>
      </c>
      <c r="N3845" s="80" t="s">
        <v>84</v>
      </c>
      <c r="O3845" s="80" t="s">
        <v>84</v>
      </c>
      <c r="Q3845" s="80" t="s">
        <v>84</v>
      </c>
      <c r="R3845" s="80" t="s">
        <v>84</v>
      </c>
    </row>
    <row r="3846" spans="1:18" ht="20" x14ac:dyDescent="0.2">
      <c r="A3846" s="80" t="s">
        <v>1789</v>
      </c>
      <c r="B3846" s="80" t="s">
        <v>1790</v>
      </c>
      <c r="C3846" s="80" t="s">
        <v>9722</v>
      </c>
      <c r="D3846" s="80" t="s">
        <v>84</v>
      </c>
      <c r="E3846" s="80" t="s">
        <v>84</v>
      </c>
      <c r="G3846" s="80" t="s">
        <v>84</v>
      </c>
      <c r="H3846" s="80" t="s">
        <v>84</v>
      </c>
      <c r="I3846" s="80" t="s">
        <v>84</v>
      </c>
      <c r="J3846" s="80" t="s">
        <v>84</v>
      </c>
      <c r="K3846" s="80" t="s">
        <v>84</v>
      </c>
      <c r="L3846" s="80" t="s">
        <v>84</v>
      </c>
      <c r="M3846" s="80" t="s">
        <v>84</v>
      </c>
      <c r="N3846" s="80" t="s">
        <v>84</v>
      </c>
      <c r="O3846" s="80" t="s">
        <v>84</v>
      </c>
      <c r="Q3846" s="80" t="s">
        <v>84</v>
      </c>
      <c r="R3846" s="80" t="s">
        <v>84</v>
      </c>
    </row>
    <row r="3847" spans="1:18" ht="20" x14ac:dyDescent="0.2">
      <c r="A3847" s="80" t="s">
        <v>1459</v>
      </c>
      <c r="B3847" s="80" t="s">
        <v>1460</v>
      </c>
      <c r="C3847" s="80" t="s">
        <v>9680</v>
      </c>
      <c r="D3847" s="80" t="s">
        <v>84</v>
      </c>
      <c r="E3847" s="80" t="s">
        <v>84</v>
      </c>
      <c r="G3847" s="80" t="s">
        <v>84</v>
      </c>
      <c r="H3847" s="80" t="s">
        <v>84</v>
      </c>
      <c r="I3847" s="80" t="s">
        <v>84</v>
      </c>
      <c r="J3847" s="80" t="s">
        <v>84</v>
      </c>
      <c r="K3847" s="80" t="s">
        <v>84</v>
      </c>
      <c r="L3847" s="80" t="s">
        <v>84</v>
      </c>
      <c r="M3847" s="80" t="s">
        <v>84</v>
      </c>
      <c r="N3847" s="80" t="s">
        <v>84</v>
      </c>
      <c r="O3847" s="80" t="s">
        <v>84</v>
      </c>
      <c r="Q3847" s="80" t="s">
        <v>84</v>
      </c>
      <c r="R3847" s="80" t="s">
        <v>84</v>
      </c>
    </row>
    <row r="3848" spans="1:18" ht="20" x14ac:dyDescent="0.2">
      <c r="A3848" s="80" t="s">
        <v>4904</v>
      </c>
      <c r="B3848" s="80" t="s">
        <v>4905</v>
      </c>
      <c r="C3848" s="80" t="s">
        <v>84</v>
      </c>
      <c r="D3848" s="80" t="s">
        <v>84</v>
      </c>
      <c r="E3848" s="80" t="s">
        <v>84</v>
      </c>
      <c r="G3848" s="80" t="s">
        <v>84</v>
      </c>
      <c r="H3848" s="80" t="s">
        <v>84</v>
      </c>
      <c r="I3848" s="80" t="s">
        <v>84</v>
      </c>
      <c r="J3848" s="80" t="s">
        <v>84</v>
      </c>
      <c r="K3848" s="80" t="s">
        <v>84</v>
      </c>
      <c r="L3848" s="80" t="s">
        <v>84</v>
      </c>
      <c r="M3848" s="80" t="s">
        <v>84</v>
      </c>
      <c r="N3848" s="80" t="s">
        <v>84</v>
      </c>
      <c r="O3848" s="80" t="s">
        <v>84</v>
      </c>
      <c r="Q3848" s="80" t="s">
        <v>84</v>
      </c>
      <c r="R3848" s="80" t="s">
        <v>84</v>
      </c>
    </row>
    <row r="3849" spans="1:18" ht="20" x14ac:dyDescent="0.2">
      <c r="A3849" s="80" t="s">
        <v>4906</v>
      </c>
      <c r="B3849" s="80" t="s">
        <v>4907</v>
      </c>
      <c r="C3849" s="80" t="s">
        <v>84</v>
      </c>
      <c r="D3849" s="80" t="s">
        <v>84</v>
      </c>
      <c r="E3849" s="80" t="s">
        <v>84</v>
      </c>
      <c r="G3849" s="80" t="s">
        <v>84</v>
      </c>
      <c r="H3849" s="80" t="s">
        <v>84</v>
      </c>
      <c r="I3849" s="80" t="s">
        <v>84</v>
      </c>
      <c r="J3849" s="80" t="s">
        <v>84</v>
      </c>
      <c r="K3849" s="80" t="s">
        <v>84</v>
      </c>
      <c r="L3849" s="80" t="s">
        <v>84</v>
      </c>
      <c r="M3849" s="80" t="s">
        <v>84</v>
      </c>
      <c r="N3849" s="80" t="s">
        <v>84</v>
      </c>
      <c r="O3849" s="80" t="s">
        <v>84</v>
      </c>
      <c r="Q3849" s="80" t="s">
        <v>84</v>
      </c>
      <c r="R3849" s="80" t="s">
        <v>84</v>
      </c>
    </row>
    <row r="3850" spans="1:18" ht="20" x14ac:dyDescent="0.2">
      <c r="A3850" s="80" t="s">
        <v>4908</v>
      </c>
      <c r="B3850" s="80" t="s">
        <v>4909</v>
      </c>
      <c r="C3850" s="80" t="s">
        <v>84</v>
      </c>
      <c r="D3850" s="80" t="s">
        <v>84</v>
      </c>
      <c r="E3850" s="80" t="s">
        <v>84</v>
      </c>
      <c r="G3850" s="80" t="s">
        <v>84</v>
      </c>
      <c r="H3850" s="80" t="s">
        <v>84</v>
      </c>
      <c r="I3850" s="80" t="s">
        <v>84</v>
      </c>
      <c r="J3850" s="80" t="s">
        <v>84</v>
      </c>
      <c r="K3850" s="80" t="s">
        <v>84</v>
      </c>
      <c r="L3850" s="80" t="s">
        <v>84</v>
      </c>
      <c r="M3850" s="80" t="s">
        <v>84</v>
      </c>
      <c r="N3850" s="80" t="s">
        <v>84</v>
      </c>
      <c r="O3850" s="80" t="s">
        <v>84</v>
      </c>
      <c r="Q3850" s="80" t="s">
        <v>84</v>
      </c>
      <c r="R3850" s="80" t="s">
        <v>84</v>
      </c>
    </row>
    <row r="3851" spans="1:18" ht="20" x14ac:dyDescent="0.2">
      <c r="A3851" s="80" t="s">
        <v>3787</v>
      </c>
      <c r="B3851" s="80" t="s">
        <v>3788</v>
      </c>
      <c r="C3851" s="80" t="s">
        <v>9680</v>
      </c>
      <c r="D3851" s="80" t="s">
        <v>84</v>
      </c>
      <c r="E3851" s="80" t="s">
        <v>84</v>
      </c>
      <c r="G3851" s="80" t="s">
        <v>84</v>
      </c>
      <c r="H3851" s="80" t="s">
        <v>84</v>
      </c>
      <c r="I3851" s="80" t="s">
        <v>84</v>
      </c>
      <c r="J3851" s="80" t="s">
        <v>84</v>
      </c>
      <c r="K3851" s="80" t="s">
        <v>84</v>
      </c>
      <c r="L3851" s="80" t="s">
        <v>84</v>
      </c>
      <c r="M3851" s="80" t="s">
        <v>84</v>
      </c>
      <c r="N3851" s="80" t="s">
        <v>84</v>
      </c>
      <c r="O3851" s="80" t="s">
        <v>84</v>
      </c>
      <c r="Q3851" s="80" t="s">
        <v>84</v>
      </c>
      <c r="R3851" s="80" t="s">
        <v>84</v>
      </c>
    </row>
    <row r="3852" spans="1:18" ht="20" x14ac:dyDescent="0.2">
      <c r="A3852" s="80" t="s">
        <v>3293</v>
      </c>
      <c r="B3852" s="80" t="s">
        <v>3294</v>
      </c>
      <c r="C3852" s="80" t="s">
        <v>9680</v>
      </c>
      <c r="D3852" s="80" t="s">
        <v>84</v>
      </c>
      <c r="E3852" s="80" t="s">
        <v>84</v>
      </c>
      <c r="G3852" s="80" t="s">
        <v>84</v>
      </c>
      <c r="H3852" s="80" t="s">
        <v>84</v>
      </c>
      <c r="I3852" s="80" t="s">
        <v>84</v>
      </c>
      <c r="J3852" s="80" t="s">
        <v>84</v>
      </c>
      <c r="K3852" s="80" t="s">
        <v>84</v>
      </c>
      <c r="L3852" s="80" t="s">
        <v>84</v>
      </c>
      <c r="M3852" s="80" t="s">
        <v>84</v>
      </c>
      <c r="N3852" s="80" t="s">
        <v>84</v>
      </c>
      <c r="O3852" s="80" t="s">
        <v>84</v>
      </c>
      <c r="Q3852" s="80" t="s">
        <v>84</v>
      </c>
      <c r="R3852" s="80" t="s">
        <v>84</v>
      </c>
    </row>
    <row r="3853" spans="1:18" ht="20" x14ac:dyDescent="0.2">
      <c r="A3853" s="80" t="s">
        <v>2565</v>
      </c>
      <c r="B3853" s="80" t="s">
        <v>2566</v>
      </c>
      <c r="C3853" s="80" t="s">
        <v>9680</v>
      </c>
      <c r="D3853" s="80" t="s">
        <v>84</v>
      </c>
      <c r="E3853" s="80" t="s">
        <v>84</v>
      </c>
      <c r="G3853" s="80" t="s">
        <v>84</v>
      </c>
      <c r="H3853" s="80" t="s">
        <v>84</v>
      </c>
      <c r="I3853" s="80" t="s">
        <v>84</v>
      </c>
      <c r="J3853" s="80" t="s">
        <v>84</v>
      </c>
      <c r="K3853" s="80" t="s">
        <v>84</v>
      </c>
      <c r="L3853" s="80" t="s">
        <v>84</v>
      </c>
      <c r="M3853" s="80" t="s">
        <v>84</v>
      </c>
      <c r="N3853" s="80" t="s">
        <v>84</v>
      </c>
      <c r="O3853" s="80" t="s">
        <v>84</v>
      </c>
      <c r="Q3853" s="80" t="s">
        <v>84</v>
      </c>
      <c r="R3853" s="80" t="s">
        <v>84</v>
      </c>
    </row>
    <row r="3854" spans="1:18" ht="20" x14ac:dyDescent="0.2">
      <c r="A3854" s="80" t="s">
        <v>1451</v>
      </c>
      <c r="B3854" s="80" t="s">
        <v>1452</v>
      </c>
      <c r="C3854" s="80" t="s">
        <v>9680</v>
      </c>
      <c r="D3854" s="80" t="s">
        <v>84</v>
      </c>
      <c r="E3854" s="80" t="s">
        <v>84</v>
      </c>
      <c r="G3854" s="80" t="s">
        <v>84</v>
      </c>
      <c r="H3854" s="80" t="s">
        <v>84</v>
      </c>
      <c r="I3854" s="80" t="s">
        <v>84</v>
      </c>
      <c r="J3854" s="80" t="s">
        <v>84</v>
      </c>
      <c r="K3854" s="80" t="s">
        <v>84</v>
      </c>
      <c r="L3854" s="80" t="s">
        <v>84</v>
      </c>
      <c r="M3854" s="80" t="s">
        <v>84</v>
      </c>
      <c r="N3854" s="80" t="s">
        <v>84</v>
      </c>
      <c r="O3854" s="80" t="s">
        <v>84</v>
      </c>
      <c r="Q3854" s="80" t="s">
        <v>84</v>
      </c>
      <c r="R3854" s="80" t="s">
        <v>84</v>
      </c>
    </row>
    <row r="3855" spans="1:18" ht="20" x14ac:dyDescent="0.2">
      <c r="A3855" s="80" t="s">
        <v>1449</v>
      </c>
      <c r="B3855" s="80" t="s">
        <v>1450</v>
      </c>
      <c r="C3855" s="80" t="s">
        <v>9680</v>
      </c>
      <c r="D3855" s="80" t="s">
        <v>84</v>
      </c>
      <c r="E3855" s="80" t="s">
        <v>84</v>
      </c>
      <c r="G3855" s="80" t="s">
        <v>84</v>
      </c>
      <c r="H3855" s="80" t="s">
        <v>84</v>
      </c>
      <c r="I3855" s="80" t="s">
        <v>84</v>
      </c>
      <c r="J3855" s="80" t="s">
        <v>84</v>
      </c>
      <c r="K3855" s="80" t="s">
        <v>84</v>
      </c>
      <c r="L3855" s="80" t="s">
        <v>84</v>
      </c>
      <c r="M3855" s="80" t="s">
        <v>84</v>
      </c>
      <c r="N3855" s="80" t="s">
        <v>84</v>
      </c>
      <c r="O3855" s="80" t="s">
        <v>84</v>
      </c>
      <c r="Q3855" s="80" t="s">
        <v>84</v>
      </c>
      <c r="R3855" s="80" t="s">
        <v>84</v>
      </c>
    </row>
    <row r="3856" spans="1:18" ht="20" x14ac:dyDescent="0.2">
      <c r="A3856" s="80" t="s">
        <v>3291</v>
      </c>
      <c r="B3856" s="80" t="s">
        <v>3292</v>
      </c>
      <c r="C3856" s="80" t="s">
        <v>84</v>
      </c>
      <c r="D3856" s="80" t="s">
        <v>84</v>
      </c>
      <c r="E3856" s="80" t="s">
        <v>84</v>
      </c>
      <c r="G3856" s="80" t="s">
        <v>84</v>
      </c>
      <c r="H3856" s="80" t="s">
        <v>84</v>
      </c>
      <c r="I3856" s="80" t="s">
        <v>84</v>
      </c>
      <c r="J3856" s="80" t="s">
        <v>84</v>
      </c>
      <c r="K3856" s="80" t="s">
        <v>84</v>
      </c>
      <c r="L3856" s="80" t="s">
        <v>84</v>
      </c>
      <c r="M3856" s="80" t="s">
        <v>84</v>
      </c>
      <c r="N3856" s="80" t="s">
        <v>84</v>
      </c>
      <c r="O3856" s="80" t="s">
        <v>84</v>
      </c>
      <c r="Q3856" s="80" t="s">
        <v>84</v>
      </c>
      <c r="R3856" s="80" t="s">
        <v>84</v>
      </c>
    </row>
    <row r="3857" spans="1:18" ht="20" x14ac:dyDescent="0.2">
      <c r="A3857" s="80" t="s">
        <v>3289</v>
      </c>
      <c r="B3857" s="80" t="s">
        <v>3290</v>
      </c>
      <c r="C3857" s="80" t="s">
        <v>9680</v>
      </c>
      <c r="D3857" s="80" t="s">
        <v>84</v>
      </c>
      <c r="E3857" s="80" t="s">
        <v>84</v>
      </c>
      <c r="G3857" s="80" t="s">
        <v>84</v>
      </c>
      <c r="H3857" s="80" t="s">
        <v>84</v>
      </c>
      <c r="I3857" s="80" t="s">
        <v>84</v>
      </c>
      <c r="J3857" s="80" t="s">
        <v>84</v>
      </c>
      <c r="K3857" s="80" t="s">
        <v>84</v>
      </c>
      <c r="L3857" s="80" t="s">
        <v>84</v>
      </c>
      <c r="M3857" s="80" t="s">
        <v>84</v>
      </c>
      <c r="N3857" s="80" t="s">
        <v>84</v>
      </c>
      <c r="O3857" s="80" t="s">
        <v>84</v>
      </c>
      <c r="Q3857" s="80" t="s">
        <v>84</v>
      </c>
      <c r="R3857" s="80" t="s">
        <v>84</v>
      </c>
    </row>
    <row r="3858" spans="1:18" ht="20" x14ac:dyDescent="0.2">
      <c r="A3858" s="80" t="s">
        <v>3287</v>
      </c>
      <c r="B3858" s="80" t="s">
        <v>3288</v>
      </c>
      <c r="C3858" s="80" t="s">
        <v>84</v>
      </c>
      <c r="D3858" s="80" t="s">
        <v>84</v>
      </c>
      <c r="E3858" s="80" t="s">
        <v>84</v>
      </c>
      <c r="G3858" s="80" t="s">
        <v>84</v>
      </c>
      <c r="H3858" s="80" t="s">
        <v>84</v>
      </c>
      <c r="I3858" s="80" t="s">
        <v>84</v>
      </c>
      <c r="J3858" s="80" t="s">
        <v>84</v>
      </c>
      <c r="K3858" s="80" t="s">
        <v>84</v>
      </c>
      <c r="L3858" s="80" t="s">
        <v>84</v>
      </c>
      <c r="M3858" s="80" t="s">
        <v>84</v>
      </c>
      <c r="N3858" s="80" t="s">
        <v>84</v>
      </c>
      <c r="O3858" s="80" t="s">
        <v>84</v>
      </c>
      <c r="Q3858" s="80" t="s">
        <v>84</v>
      </c>
      <c r="R3858" s="80" t="s">
        <v>84</v>
      </c>
    </row>
    <row r="3859" spans="1:18" ht="20" x14ac:dyDescent="0.2">
      <c r="A3859" s="80" t="s">
        <v>4898</v>
      </c>
      <c r="B3859" s="80" t="s">
        <v>4899</v>
      </c>
      <c r="C3859" s="80" t="s">
        <v>84</v>
      </c>
      <c r="D3859" s="80" t="s">
        <v>84</v>
      </c>
      <c r="E3859" s="80" t="s">
        <v>84</v>
      </c>
      <c r="G3859" s="80" t="s">
        <v>84</v>
      </c>
      <c r="H3859" s="80" t="s">
        <v>84</v>
      </c>
      <c r="I3859" s="80" t="s">
        <v>84</v>
      </c>
      <c r="J3859" s="80" t="s">
        <v>84</v>
      </c>
      <c r="K3859" s="80" t="s">
        <v>84</v>
      </c>
      <c r="L3859" s="80" t="s">
        <v>84</v>
      </c>
      <c r="M3859" s="80" t="s">
        <v>84</v>
      </c>
      <c r="N3859" s="80" t="s">
        <v>84</v>
      </c>
      <c r="O3859" s="80" t="s">
        <v>84</v>
      </c>
      <c r="Q3859" s="80" t="s">
        <v>84</v>
      </c>
      <c r="R3859" s="80" t="s">
        <v>84</v>
      </c>
    </row>
    <row r="3860" spans="1:18" ht="20" x14ac:dyDescent="0.2">
      <c r="A3860" s="80" t="s">
        <v>10856</v>
      </c>
      <c r="B3860" s="80" t="s">
        <v>10857</v>
      </c>
      <c r="C3860" s="80" t="s">
        <v>9680</v>
      </c>
      <c r="D3860" s="80" t="s">
        <v>84</v>
      </c>
      <c r="E3860" s="80" t="s">
        <v>84</v>
      </c>
      <c r="G3860" s="80" t="s">
        <v>84</v>
      </c>
      <c r="H3860" s="80" t="s">
        <v>84</v>
      </c>
      <c r="I3860" s="80" t="s">
        <v>84</v>
      </c>
      <c r="J3860" s="80" t="s">
        <v>84</v>
      </c>
      <c r="K3860" s="80" t="s">
        <v>84</v>
      </c>
      <c r="L3860" s="80" t="s">
        <v>84</v>
      </c>
      <c r="M3860" s="80" t="s">
        <v>84</v>
      </c>
      <c r="N3860" s="80" t="s">
        <v>84</v>
      </c>
      <c r="O3860" s="80" t="s">
        <v>84</v>
      </c>
      <c r="Q3860" s="80" t="s">
        <v>84</v>
      </c>
      <c r="R3860" s="80" t="s">
        <v>84</v>
      </c>
    </row>
    <row r="3861" spans="1:18" ht="20" x14ac:dyDescent="0.2">
      <c r="A3861" s="80" t="s">
        <v>3285</v>
      </c>
      <c r="B3861" s="80" t="s">
        <v>3286</v>
      </c>
      <c r="C3861" s="80" t="s">
        <v>9680</v>
      </c>
      <c r="D3861" s="80" t="s">
        <v>84</v>
      </c>
      <c r="E3861" s="80" t="s">
        <v>84</v>
      </c>
      <c r="G3861" s="80" t="s">
        <v>84</v>
      </c>
      <c r="H3861" s="80" t="s">
        <v>84</v>
      </c>
      <c r="I3861" s="80" t="s">
        <v>84</v>
      </c>
      <c r="J3861" s="80" t="s">
        <v>84</v>
      </c>
      <c r="K3861" s="80" t="s">
        <v>84</v>
      </c>
      <c r="L3861" s="80" t="s">
        <v>84</v>
      </c>
      <c r="M3861" s="80" t="s">
        <v>84</v>
      </c>
      <c r="N3861" s="80" t="s">
        <v>84</v>
      </c>
      <c r="O3861" s="80" t="s">
        <v>84</v>
      </c>
      <c r="Q3861" s="80" t="s">
        <v>84</v>
      </c>
      <c r="R3861" s="80" t="s">
        <v>84</v>
      </c>
    </row>
    <row r="3862" spans="1:18" ht="20" x14ac:dyDescent="0.2">
      <c r="A3862" s="80" t="s">
        <v>3283</v>
      </c>
      <c r="B3862" s="80" t="s">
        <v>3284</v>
      </c>
      <c r="C3862" s="80" t="s">
        <v>9680</v>
      </c>
      <c r="D3862" s="80" t="s">
        <v>84</v>
      </c>
      <c r="E3862" s="80" t="s">
        <v>84</v>
      </c>
      <c r="G3862" s="80" t="s">
        <v>84</v>
      </c>
      <c r="H3862" s="80" t="s">
        <v>84</v>
      </c>
      <c r="I3862" s="80" t="s">
        <v>84</v>
      </c>
      <c r="J3862" s="80" t="s">
        <v>84</v>
      </c>
      <c r="K3862" s="80" t="s">
        <v>84</v>
      </c>
      <c r="L3862" s="80" t="s">
        <v>84</v>
      </c>
      <c r="M3862" s="80" t="s">
        <v>84</v>
      </c>
      <c r="N3862" s="80" t="s">
        <v>84</v>
      </c>
      <c r="O3862" s="80" t="s">
        <v>84</v>
      </c>
      <c r="Q3862" s="80" t="s">
        <v>84</v>
      </c>
      <c r="R3862" s="80" t="s">
        <v>84</v>
      </c>
    </row>
    <row r="3863" spans="1:18" ht="20" x14ac:dyDescent="0.2">
      <c r="A3863" s="80" t="s">
        <v>1447</v>
      </c>
      <c r="B3863" s="80" t="s">
        <v>1448</v>
      </c>
      <c r="C3863" s="80" t="s">
        <v>9680</v>
      </c>
      <c r="D3863" s="80" t="s">
        <v>84</v>
      </c>
      <c r="E3863" s="80" t="s">
        <v>84</v>
      </c>
      <c r="G3863" s="80" t="s">
        <v>84</v>
      </c>
      <c r="H3863" s="80" t="s">
        <v>84</v>
      </c>
      <c r="I3863" s="80" t="s">
        <v>84</v>
      </c>
      <c r="J3863" s="80" t="s">
        <v>84</v>
      </c>
      <c r="K3863" s="80" t="s">
        <v>84</v>
      </c>
      <c r="L3863" s="80" t="s">
        <v>84</v>
      </c>
      <c r="M3863" s="80" t="s">
        <v>84</v>
      </c>
      <c r="N3863" s="80" t="s">
        <v>84</v>
      </c>
      <c r="O3863" s="80" t="s">
        <v>84</v>
      </c>
      <c r="Q3863" s="80" t="s">
        <v>84</v>
      </c>
      <c r="R3863" s="80" t="s">
        <v>84</v>
      </c>
    </row>
    <row r="3864" spans="1:18" ht="20" x14ac:dyDescent="0.2">
      <c r="A3864" s="80" t="s">
        <v>1787</v>
      </c>
      <c r="B3864" s="80" t="s">
        <v>1788</v>
      </c>
      <c r="C3864" s="80" t="s">
        <v>84</v>
      </c>
      <c r="D3864" s="80" t="s">
        <v>84</v>
      </c>
      <c r="E3864" s="80" t="s">
        <v>84</v>
      </c>
      <c r="G3864" s="80" t="s">
        <v>84</v>
      </c>
      <c r="H3864" s="80" t="s">
        <v>84</v>
      </c>
      <c r="I3864" s="80" t="s">
        <v>84</v>
      </c>
      <c r="J3864" s="80" t="s">
        <v>84</v>
      </c>
      <c r="K3864" s="80" t="s">
        <v>84</v>
      </c>
      <c r="L3864" s="80" t="s">
        <v>84</v>
      </c>
      <c r="M3864" s="80" t="s">
        <v>84</v>
      </c>
      <c r="N3864" s="80" t="s">
        <v>84</v>
      </c>
      <c r="O3864" s="80" t="s">
        <v>84</v>
      </c>
      <c r="Q3864" s="80" t="s">
        <v>84</v>
      </c>
      <c r="R3864" s="80" t="s">
        <v>84</v>
      </c>
    </row>
    <row r="3865" spans="1:18" ht="20" x14ac:dyDescent="0.2">
      <c r="A3865" s="80" t="s">
        <v>1755</v>
      </c>
      <c r="B3865" s="80" t="s">
        <v>1756</v>
      </c>
      <c r="C3865" s="80" t="s">
        <v>9722</v>
      </c>
      <c r="D3865" s="80" t="s">
        <v>84</v>
      </c>
      <c r="E3865" s="80" t="s">
        <v>84</v>
      </c>
      <c r="G3865" s="80" t="s">
        <v>84</v>
      </c>
      <c r="H3865" s="80" t="s">
        <v>84</v>
      </c>
      <c r="I3865" s="80" t="s">
        <v>84</v>
      </c>
      <c r="J3865" s="80" t="s">
        <v>84</v>
      </c>
      <c r="K3865" s="80" t="s">
        <v>84</v>
      </c>
      <c r="L3865" s="80" t="s">
        <v>84</v>
      </c>
      <c r="M3865" s="80" t="s">
        <v>84</v>
      </c>
      <c r="N3865" s="80" t="s">
        <v>84</v>
      </c>
      <c r="O3865" s="80" t="s">
        <v>84</v>
      </c>
      <c r="Q3865" s="80" t="s">
        <v>84</v>
      </c>
      <c r="R3865" s="80" t="s">
        <v>84</v>
      </c>
    </row>
    <row r="3866" spans="1:18" ht="20" x14ac:dyDescent="0.2">
      <c r="A3866" s="80" t="s">
        <v>3813</v>
      </c>
      <c r="B3866" s="80" t="s">
        <v>3814</v>
      </c>
      <c r="C3866" s="80" t="s">
        <v>9680</v>
      </c>
      <c r="D3866" s="80" t="s">
        <v>84</v>
      </c>
      <c r="E3866" s="80" t="s">
        <v>84</v>
      </c>
      <c r="G3866" s="80" t="s">
        <v>84</v>
      </c>
      <c r="H3866" s="80" t="s">
        <v>84</v>
      </c>
      <c r="I3866" s="80" t="s">
        <v>84</v>
      </c>
      <c r="J3866" s="80" t="s">
        <v>84</v>
      </c>
      <c r="K3866" s="80" t="s">
        <v>84</v>
      </c>
      <c r="L3866" s="80" t="s">
        <v>84</v>
      </c>
      <c r="M3866" s="80" t="s">
        <v>84</v>
      </c>
      <c r="N3866" s="80" t="s">
        <v>84</v>
      </c>
      <c r="O3866" s="80" t="s">
        <v>84</v>
      </c>
      <c r="Q3866" s="80" t="s">
        <v>84</v>
      </c>
      <c r="R3866" s="80" t="s">
        <v>84</v>
      </c>
    </row>
    <row r="3867" spans="1:18" ht="20" x14ac:dyDescent="0.2">
      <c r="A3867" s="80" t="s">
        <v>3859</v>
      </c>
      <c r="B3867" s="80" t="s">
        <v>3860</v>
      </c>
      <c r="C3867" s="80" t="s">
        <v>84</v>
      </c>
      <c r="D3867" s="80" t="s">
        <v>84</v>
      </c>
      <c r="E3867" s="80" t="s">
        <v>84</v>
      </c>
      <c r="G3867" s="80" t="s">
        <v>84</v>
      </c>
      <c r="H3867" s="80" t="s">
        <v>84</v>
      </c>
      <c r="I3867" s="80" t="s">
        <v>84</v>
      </c>
      <c r="J3867" s="80" t="s">
        <v>84</v>
      </c>
      <c r="K3867" s="80" t="s">
        <v>84</v>
      </c>
      <c r="L3867" s="80" t="s">
        <v>84</v>
      </c>
      <c r="M3867" s="80" t="s">
        <v>84</v>
      </c>
      <c r="N3867" s="80" t="s">
        <v>84</v>
      </c>
      <c r="O3867" s="80" t="s">
        <v>84</v>
      </c>
      <c r="Q3867" s="80" t="s">
        <v>84</v>
      </c>
      <c r="R3867" s="80" t="s">
        <v>84</v>
      </c>
    </row>
    <row r="3868" spans="1:18" ht="20" x14ac:dyDescent="0.2">
      <c r="A3868" s="80" t="s">
        <v>3835</v>
      </c>
      <c r="B3868" s="80" t="s">
        <v>3836</v>
      </c>
      <c r="C3868" s="80" t="s">
        <v>84</v>
      </c>
      <c r="D3868" s="80" t="s">
        <v>84</v>
      </c>
      <c r="E3868" s="80" t="s">
        <v>84</v>
      </c>
      <c r="G3868" s="80" t="s">
        <v>84</v>
      </c>
      <c r="H3868" s="80" t="s">
        <v>84</v>
      </c>
      <c r="I3868" s="80" t="s">
        <v>84</v>
      </c>
      <c r="J3868" s="80" t="s">
        <v>84</v>
      </c>
      <c r="K3868" s="80" t="s">
        <v>84</v>
      </c>
      <c r="L3868" s="80" t="s">
        <v>84</v>
      </c>
      <c r="M3868" s="80" t="s">
        <v>84</v>
      </c>
      <c r="N3868" s="80" t="s">
        <v>84</v>
      </c>
      <c r="O3868" s="80" t="s">
        <v>84</v>
      </c>
      <c r="Q3868" s="80" t="s">
        <v>84</v>
      </c>
      <c r="R3868" s="80" t="s">
        <v>84</v>
      </c>
    </row>
    <row r="3869" spans="1:18" ht="20" x14ac:dyDescent="0.2">
      <c r="A3869" s="80" t="s">
        <v>3857</v>
      </c>
      <c r="B3869" s="80" t="s">
        <v>3858</v>
      </c>
      <c r="C3869" s="80" t="s">
        <v>84</v>
      </c>
      <c r="D3869" s="80" t="s">
        <v>84</v>
      </c>
      <c r="E3869" s="80" t="s">
        <v>84</v>
      </c>
      <c r="G3869" s="80" t="s">
        <v>84</v>
      </c>
      <c r="H3869" s="80" t="s">
        <v>84</v>
      </c>
      <c r="I3869" s="80" t="s">
        <v>84</v>
      </c>
      <c r="J3869" s="80" t="s">
        <v>84</v>
      </c>
      <c r="K3869" s="80" t="s">
        <v>84</v>
      </c>
      <c r="L3869" s="80" t="s">
        <v>84</v>
      </c>
      <c r="M3869" s="80" t="s">
        <v>84</v>
      </c>
      <c r="N3869" s="80" t="s">
        <v>84</v>
      </c>
      <c r="O3869" s="80" t="s">
        <v>84</v>
      </c>
      <c r="Q3869" s="80" t="s">
        <v>84</v>
      </c>
      <c r="R3869" s="80" t="s">
        <v>84</v>
      </c>
    </row>
    <row r="3870" spans="1:18" ht="20" x14ac:dyDescent="0.2">
      <c r="A3870" s="80" t="s">
        <v>1445</v>
      </c>
      <c r="B3870" s="80" t="s">
        <v>1446</v>
      </c>
      <c r="C3870" s="80" t="s">
        <v>9680</v>
      </c>
      <c r="D3870" s="80" t="s">
        <v>84</v>
      </c>
      <c r="E3870" s="80" t="s">
        <v>84</v>
      </c>
      <c r="G3870" s="80" t="s">
        <v>84</v>
      </c>
      <c r="H3870" s="80" t="s">
        <v>84</v>
      </c>
      <c r="I3870" s="80" t="s">
        <v>84</v>
      </c>
      <c r="J3870" s="80" t="s">
        <v>84</v>
      </c>
      <c r="K3870" s="80" t="s">
        <v>84</v>
      </c>
      <c r="L3870" s="80" t="s">
        <v>84</v>
      </c>
      <c r="M3870" s="80" t="s">
        <v>84</v>
      </c>
      <c r="N3870" s="80" t="s">
        <v>84</v>
      </c>
      <c r="O3870" s="80" t="s">
        <v>84</v>
      </c>
      <c r="Q3870" s="80" t="s">
        <v>84</v>
      </c>
      <c r="R3870" s="80" t="s">
        <v>84</v>
      </c>
    </row>
    <row r="3871" spans="1:18" ht="20" x14ac:dyDescent="0.2">
      <c r="A3871" s="80" t="s">
        <v>996</v>
      </c>
      <c r="B3871" s="80" t="s">
        <v>997</v>
      </c>
      <c r="C3871" s="80" t="s">
        <v>9680</v>
      </c>
      <c r="D3871" s="80" t="s">
        <v>84</v>
      </c>
      <c r="E3871" s="80" t="s">
        <v>84</v>
      </c>
      <c r="G3871" s="80" t="s">
        <v>84</v>
      </c>
      <c r="H3871" s="80" t="s">
        <v>84</v>
      </c>
      <c r="I3871" s="80" t="s">
        <v>84</v>
      </c>
      <c r="J3871" s="80" t="s">
        <v>84</v>
      </c>
      <c r="K3871" s="80" t="s">
        <v>84</v>
      </c>
      <c r="L3871" s="80" t="s">
        <v>84</v>
      </c>
      <c r="M3871" s="80" t="s">
        <v>84</v>
      </c>
      <c r="N3871" s="80" t="s">
        <v>84</v>
      </c>
      <c r="O3871" s="80" t="s">
        <v>84</v>
      </c>
      <c r="Q3871" s="80" t="s">
        <v>84</v>
      </c>
      <c r="R3871" s="80" t="s">
        <v>84</v>
      </c>
    </row>
    <row r="3872" spans="1:18" ht="20" x14ac:dyDescent="0.2">
      <c r="A3872" s="80" t="s">
        <v>1390</v>
      </c>
      <c r="B3872" s="80" t="s">
        <v>1391</v>
      </c>
      <c r="C3872" s="80" t="s">
        <v>9722</v>
      </c>
      <c r="D3872" s="80" t="s">
        <v>84</v>
      </c>
      <c r="E3872" s="80" t="s">
        <v>84</v>
      </c>
      <c r="G3872" s="80" t="s">
        <v>84</v>
      </c>
      <c r="H3872" s="80" t="s">
        <v>84</v>
      </c>
      <c r="I3872" s="80" t="s">
        <v>84</v>
      </c>
      <c r="J3872" s="80" t="s">
        <v>84</v>
      </c>
      <c r="K3872" s="80" t="s">
        <v>84</v>
      </c>
      <c r="L3872" s="80" t="s">
        <v>84</v>
      </c>
      <c r="M3872" s="80" t="s">
        <v>84</v>
      </c>
      <c r="N3872" s="80" t="s">
        <v>84</v>
      </c>
      <c r="O3872" s="80" t="s">
        <v>84</v>
      </c>
      <c r="Q3872" s="80" t="s">
        <v>84</v>
      </c>
      <c r="R3872" s="80" t="s">
        <v>84</v>
      </c>
    </row>
    <row r="3873" spans="1:18" ht="20" x14ac:dyDescent="0.2">
      <c r="A3873" s="80" t="s">
        <v>1390</v>
      </c>
      <c r="B3873" s="80" t="s">
        <v>10858</v>
      </c>
      <c r="C3873" s="80" t="s">
        <v>9722</v>
      </c>
      <c r="D3873" s="80" t="s">
        <v>84</v>
      </c>
      <c r="E3873" s="80" t="s">
        <v>84</v>
      </c>
      <c r="G3873" s="80" t="s">
        <v>84</v>
      </c>
      <c r="H3873" s="80" t="s">
        <v>84</v>
      </c>
      <c r="I3873" s="80" t="s">
        <v>84</v>
      </c>
      <c r="J3873" s="80" t="s">
        <v>84</v>
      </c>
      <c r="K3873" s="80" t="s">
        <v>84</v>
      </c>
      <c r="L3873" s="80" t="s">
        <v>84</v>
      </c>
      <c r="M3873" s="80" t="s">
        <v>84</v>
      </c>
      <c r="N3873" s="80" t="s">
        <v>84</v>
      </c>
      <c r="O3873" s="80" t="s">
        <v>84</v>
      </c>
      <c r="Q3873" s="80" t="s">
        <v>84</v>
      </c>
      <c r="R3873" s="80" t="s">
        <v>84</v>
      </c>
    </row>
    <row r="3874" spans="1:18" ht="20" x14ac:dyDescent="0.2">
      <c r="A3874" s="80" t="s">
        <v>1810</v>
      </c>
      <c r="B3874" s="80" t="s">
        <v>1811</v>
      </c>
      <c r="C3874" s="80" t="s">
        <v>84</v>
      </c>
      <c r="D3874" s="80" t="s">
        <v>84</v>
      </c>
      <c r="E3874" s="80" t="s">
        <v>84</v>
      </c>
      <c r="G3874" s="80" t="s">
        <v>84</v>
      </c>
      <c r="H3874" s="80" t="s">
        <v>84</v>
      </c>
      <c r="I3874" s="80" t="s">
        <v>84</v>
      </c>
      <c r="J3874" s="80" t="s">
        <v>84</v>
      </c>
      <c r="K3874" s="80" t="s">
        <v>84</v>
      </c>
      <c r="L3874" s="80" t="s">
        <v>84</v>
      </c>
      <c r="M3874" s="80" t="s">
        <v>84</v>
      </c>
      <c r="N3874" s="80" t="s">
        <v>84</v>
      </c>
      <c r="O3874" s="80" t="s">
        <v>84</v>
      </c>
      <c r="Q3874" s="80" t="s">
        <v>84</v>
      </c>
      <c r="R3874" s="80" t="s">
        <v>84</v>
      </c>
    </row>
    <row r="3875" spans="1:18" ht="20" x14ac:dyDescent="0.2">
      <c r="A3875" s="80" t="s">
        <v>277</v>
      </c>
      <c r="B3875" s="80" t="s">
        <v>278</v>
      </c>
      <c r="C3875" s="80" t="s">
        <v>84</v>
      </c>
      <c r="D3875" s="80" t="s">
        <v>84</v>
      </c>
      <c r="E3875" s="80" t="s">
        <v>84</v>
      </c>
      <c r="G3875" s="80" t="s">
        <v>84</v>
      </c>
      <c r="H3875" s="80" t="s">
        <v>84</v>
      </c>
      <c r="I3875" s="80" t="s">
        <v>84</v>
      </c>
      <c r="J3875" s="80" t="s">
        <v>84</v>
      </c>
      <c r="K3875" s="80" t="s">
        <v>84</v>
      </c>
      <c r="L3875" s="80" t="s">
        <v>84</v>
      </c>
      <c r="M3875" s="80" t="s">
        <v>84</v>
      </c>
      <c r="N3875" s="80" t="s">
        <v>84</v>
      </c>
      <c r="O3875" s="80" t="s">
        <v>84</v>
      </c>
      <c r="Q3875" s="80" t="s">
        <v>84</v>
      </c>
      <c r="R3875" s="80" t="s">
        <v>84</v>
      </c>
    </row>
    <row r="3876" spans="1:18" ht="20" x14ac:dyDescent="0.2">
      <c r="A3876" s="80" t="s">
        <v>4863</v>
      </c>
      <c r="B3876" s="80" t="s">
        <v>4864</v>
      </c>
      <c r="C3876" s="80" t="s">
        <v>84</v>
      </c>
      <c r="D3876" s="80" t="s">
        <v>84</v>
      </c>
      <c r="E3876" s="80" t="s">
        <v>84</v>
      </c>
      <c r="G3876" s="80" t="s">
        <v>84</v>
      </c>
      <c r="H3876" s="80" t="s">
        <v>84</v>
      </c>
      <c r="I3876" s="80" t="s">
        <v>84</v>
      </c>
      <c r="J3876" s="80" t="s">
        <v>84</v>
      </c>
      <c r="K3876" s="80" t="s">
        <v>84</v>
      </c>
      <c r="L3876" s="80" t="s">
        <v>84</v>
      </c>
      <c r="M3876" s="80" t="s">
        <v>84</v>
      </c>
      <c r="N3876" s="80" t="s">
        <v>84</v>
      </c>
      <c r="O3876" s="80" t="s">
        <v>84</v>
      </c>
      <c r="Q3876" s="80" t="s">
        <v>84</v>
      </c>
      <c r="R3876" s="80" t="s">
        <v>84</v>
      </c>
    </row>
    <row r="3877" spans="1:18" ht="20" x14ac:dyDescent="0.2">
      <c r="A3877" s="80" t="s">
        <v>3629</v>
      </c>
      <c r="B3877" s="80" t="s">
        <v>3630</v>
      </c>
      <c r="C3877" s="80" t="s">
        <v>84</v>
      </c>
      <c r="D3877" s="80" t="s">
        <v>84</v>
      </c>
      <c r="E3877" s="80" t="s">
        <v>84</v>
      </c>
      <c r="G3877" s="80" t="s">
        <v>84</v>
      </c>
      <c r="H3877" s="80" t="s">
        <v>84</v>
      </c>
      <c r="I3877" s="80" t="s">
        <v>84</v>
      </c>
      <c r="J3877" s="80" t="s">
        <v>84</v>
      </c>
      <c r="K3877" s="80" t="s">
        <v>84</v>
      </c>
      <c r="L3877" s="80" t="s">
        <v>84</v>
      </c>
      <c r="M3877" s="80" t="s">
        <v>84</v>
      </c>
      <c r="N3877" s="80" t="s">
        <v>84</v>
      </c>
      <c r="O3877" s="80" t="s">
        <v>84</v>
      </c>
      <c r="Q3877" s="80" t="s">
        <v>84</v>
      </c>
      <c r="R3877" s="80" t="s">
        <v>84</v>
      </c>
    </row>
    <row r="3878" spans="1:18" ht="20" x14ac:dyDescent="0.2">
      <c r="A3878" s="80" t="s">
        <v>2540</v>
      </c>
      <c r="B3878" s="80" t="s">
        <v>2541</v>
      </c>
      <c r="C3878" s="80" t="s">
        <v>9680</v>
      </c>
      <c r="D3878" s="80" t="s">
        <v>84</v>
      </c>
      <c r="E3878" s="80" t="s">
        <v>84</v>
      </c>
      <c r="G3878" s="80" t="s">
        <v>84</v>
      </c>
      <c r="H3878" s="80" t="s">
        <v>84</v>
      </c>
      <c r="I3878" s="80" t="s">
        <v>84</v>
      </c>
      <c r="J3878" s="80" t="s">
        <v>84</v>
      </c>
      <c r="K3878" s="80" t="s">
        <v>84</v>
      </c>
      <c r="L3878" s="80" t="s">
        <v>84</v>
      </c>
      <c r="M3878" s="80" t="s">
        <v>84</v>
      </c>
      <c r="N3878" s="80" t="s">
        <v>84</v>
      </c>
      <c r="O3878" s="80" t="s">
        <v>84</v>
      </c>
      <c r="Q3878" s="80" t="s">
        <v>84</v>
      </c>
      <c r="R3878" s="80" t="s">
        <v>84</v>
      </c>
    </row>
    <row r="3879" spans="1:18" ht="20" x14ac:dyDescent="0.2">
      <c r="A3879" s="80" t="s">
        <v>5916</v>
      </c>
      <c r="B3879" s="80" t="s">
        <v>5917</v>
      </c>
      <c r="C3879" s="80" t="s">
        <v>84</v>
      </c>
      <c r="D3879" s="80" t="s">
        <v>84</v>
      </c>
      <c r="E3879" s="80" t="s">
        <v>84</v>
      </c>
      <c r="G3879" s="80" t="s">
        <v>84</v>
      </c>
      <c r="H3879" s="80" t="s">
        <v>84</v>
      </c>
      <c r="I3879" s="80" t="s">
        <v>84</v>
      </c>
      <c r="J3879" s="80" t="s">
        <v>84</v>
      </c>
      <c r="K3879" s="80" t="s">
        <v>84</v>
      </c>
      <c r="L3879" s="80" t="s">
        <v>84</v>
      </c>
      <c r="M3879" s="80" t="s">
        <v>84</v>
      </c>
      <c r="N3879" s="80" t="s">
        <v>84</v>
      </c>
      <c r="O3879" s="80" t="s">
        <v>84</v>
      </c>
      <c r="Q3879" s="80" t="s">
        <v>84</v>
      </c>
      <c r="R3879" s="80" t="s">
        <v>84</v>
      </c>
    </row>
    <row r="3880" spans="1:18" ht="20" x14ac:dyDescent="0.2">
      <c r="A3880" s="80" t="s">
        <v>4084</v>
      </c>
      <c r="B3880" s="80" t="s">
        <v>4085</v>
      </c>
      <c r="C3880" s="80" t="s">
        <v>84</v>
      </c>
      <c r="D3880" s="80" t="s">
        <v>84</v>
      </c>
      <c r="E3880" s="80" t="s">
        <v>84</v>
      </c>
      <c r="G3880" s="80" t="s">
        <v>84</v>
      </c>
      <c r="H3880" s="80" t="s">
        <v>84</v>
      </c>
      <c r="I3880" s="80" t="s">
        <v>84</v>
      </c>
      <c r="J3880" s="80" t="s">
        <v>84</v>
      </c>
      <c r="K3880" s="80" t="s">
        <v>84</v>
      </c>
      <c r="L3880" s="80" t="s">
        <v>84</v>
      </c>
      <c r="M3880" s="80" t="s">
        <v>84</v>
      </c>
      <c r="N3880" s="80" t="s">
        <v>84</v>
      </c>
      <c r="O3880" s="80" t="s">
        <v>84</v>
      </c>
      <c r="Q3880" s="80" t="s">
        <v>84</v>
      </c>
      <c r="R3880" s="80" t="s">
        <v>84</v>
      </c>
    </row>
    <row r="3881" spans="1:18" ht="20" x14ac:dyDescent="0.2">
      <c r="A3881" s="80" t="s">
        <v>5912</v>
      </c>
      <c r="B3881" s="80" t="s">
        <v>5913</v>
      </c>
      <c r="C3881" s="80" t="s">
        <v>84</v>
      </c>
      <c r="D3881" s="80" t="s">
        <v>84</v>
      </c>
      <c r="E3881" s="80" t="s">
        <v>84</v>
      </c>
      <c r="G3881" s="80" t="s">
        <v>84</v>
      </c>
      <c r="H3881" s="80" t="s">
        <v>84</v>
      </c>
      <c r="I3881" s="80" t="s">
        <v>84</v>
      </c>
      <c r="J3881" s="80" t="s">
        <v>84</v>
      </c>
      <c r="K3881" s="80" t="s">
        <v>84</v>
      </c>
      <c r="L3881" s="80" t="s">
        <v>84</v>
      </c>
      <c r="M3881" s="80" t="s">
        <v>84</v>
      </c>
      <c r="N3881" s="80" t="s">
        <v>84</v>
      </c>
      <c r="O3881" s="80" t="s">
        <v>84</v>
      </c>
      <c r="Q3881" s="80" t="s">
        <v>84</v>
      </c>
      <c r="R3881" s="80" t="s">
        <v>84</v>
      </c>
    </row>
    <row r="3882" spans="1:18" ht="20" x14ac:dyDescent="0.2">
      <c r="A3882" s="80" t="s">
        <v>4082</v>
      </c>
      <c r="B3882" s="80" t="s">
        <v>4083</v>
      </c>
      <c r="C3882" s="80" t="s">
        <v>84</v>
      </c>
      <c r="D3882" s="80" t="s">
        <v>84</v>
      </c>
      <c r="E3882" s="80" t="s">
        <v>84</v>
      </c>
      <c r="G3882" s="80" t="s">
        <v>84</v>
      </c>
      <c r="H3882" s="80" t="s">
        <v>84</v>
      </c>
      <c r="I3882" s="80" t="s">
        <v>84</v>
      </c>
      <c r="J3882" s="80" t="s">
        <v>84</v>
      </c>
      <c r="K3882" s="80" t="s">
        <v>84</v>
      </c>
      <c r="L3882" s="80" t="s">
        <v>84</v>
      </c>
      <c r="M3882" s="80" t="s">
        <v>84</v>
      </c>
      <c r="N3882" s="80" t="s">
        <v>84</v>
      </c>
      <c r="O3882" s="80" t="s">
        <v>84</v>
      </c>
      <c r="Q3882" s="80" t="s">
        <v>84</v>
      </c>
      <c r="R3882" s="80" t="s">
        <v>84</v>
      </c>
    </row>
    <row r="3883" spans="1:18" ht="20" x14ac:dyDescent="0.2">
      <c r="A3883" s="80" t="s">
        <v>4080</v>
      </c>
      <c r="B3883" s="80" t="s">
        <v>4081</v>
      </c>
      <c r="C3883" s="80" t="s">
        <v>84</v>
      </c>
      <c r="D3883" s="80" t="s">
        <v>84</v>
      </c>
      <c r="E3883" s="80" t="s">
        <v>84</v>
      </c>
      <c r="G3883" s="80" t="s">
        <v>84</v>
      </c>
      <c r="H3883" s="80" t="s">
        <v>84</v>
      </c>
      <c r="I3883" s="80" t="s">
        <v>84</v>
      </c>
      <c r="J3883" s="80" t="s">
        <v>84</v>
      </c>
      <c r="K3883" s="80" t="s">
        <v>84</v>
      </c>
      <c r="L3883" s="80" t="s">
        <v>84</v>
      </c>
      <c r="M3883" s="80" t="s">
        <v>84</v>
      </c>
      <c r="N3883" s="80" t="s">
        <v>84</v>
      </c>
      <c r="O3883" s="80" t="s">
        <v>84</v>
      </c>
      <c r="Q3883" s="80" t="s">
        <v>84</v>
      </c>
      <c r="R3883" s="80" t="s">
        <v>84</v>
      </c>
    </row>
    <row r="3884" spans="1:18" ht="20" x14ac:dyDescent="0.2">
      <c r="A3884" s="80" t="s">
        <v>2297</v>
      </c>
      <c r="B3884" s="80" t="s">
        <v>2298</v>
      </c>
      <c r="C3884" s="80" t="s">
        <v>9680</v>
      </c>
      <c r="D3884" s="80" t="s">
        <v>84</v>
      </c>
      <c r="E3884" s="80" t="s">
        <v>84</v>
      </c>
      <c r="G3884" s="80" t="s">
        <v>84</v>
      </c>
      <c r="H3884" s="80" t="s">
        <v>84</v>
      </c>
      <c r="I3884" s="80" t="s">
        <v>84</v>
      </c>
      <c r="J3884" s="80" t="s">
        <v>84</v>
      </c>
      <c r="K3884" s="80" t="s">
        <v>84</v>
      </c>
      <c r="L3884" s="80" t="s">
        <v>84</v>
      </c>
      <c r="M3884" s="80" t="s">
        <v>84</v>
      </c>
      <c r="N3884" s="80" t="s">
        <v>84</v>
      </c>
      <c r="O3884" s="80" t="s">
        <v>84</v>
      </c>
      <c r="Q3884" s="80" t="s">
        <v>84</v>
      </c>
      <c r="R3884" s="80" t="s">
        <v>84</v>
      </c>
    </row>
    <row r="3885" spans="1:18" ht="20" x14ac:dyDescent="0.2">
      <c r="A3885" s="80" t="s">
        <v>2641</v>
      </c>
      <c r="B3885" s="80" t="s">
        <v>2642</v>
      </c>
      <c r="C3885" s="80" t="s">
        <v>9680</v>
      </c>
      <c r="D3885" s="80" t="s">
        <v>84</v>
      </c>
      <c r="E3885" s="80" t="s">
        <v>84</v>
      </c>
      <c r="G3885" s="80" t="s">
        <v>84</v>
      </c>
      <c r="H3885" s="80" t="s">
        <v>84</v>
      </c>
      <c r="I3885" s="80" t="s">
        <v>84</v>
      </c>
      <c r="J3885" s="80" t="s">
        <v>84</v>
      </c>
      <c r="K3885" s="80" t="s">
        <v>84</v>
      </c>
      <c r="L3885" s="80" t="s">
        <v>84</v>
      </c>
      <c r="M3885" s="80" t="s">
        <v>84</v>
      </c>
      <c r="N3885" s="80" t="s">
        <v>84</v>
      </c>
      <c r="O3885" s="80" t="s">
        <v>84</v>
      </c>
      <c r="Q3885" s="80" t="s">
        <v>84</v>
      </c>
      <c r="R3885" s="80" t="s">
        <v>84</v>
      </c>
    </row>
    <row r="3886" spans="1:18" ht="20" x14ac:dyDescent="0.2">
      <c r="A3886" s="80" t="s">
        <v>864</v>
      </c>
      <c r="B3886" s="80" t="s">
        <v>865</v>
      </c>
      <c r="C3886" s="80" t="s">
        <v>9680</v>
      </c>
      <c r="D3886" s="80" t="s">
        <v>84</v>
      </c>
      <c r="E3886" s="80" t="s">
        <v>84</v>
      </c>
      <c r="G3886" s="80" t="s">
        <v>84</v>
      </c>
      <c r="H3886" s="80" t="s">
        <v>84</v>
      </c>
      <c r="I3886" s="80" t="s">
        <v>84</v>
      </c>
      <c r="J3886" s="80" t="s">
        <v>84</v>
      </c>
      <c r="K3886" s="80" t="s">
        <v>84</v>
      </c>
      <c r="L3886" s="80" t="s">
        <v>84</v>
      </c>
      <c r="M3886" s="80" t="s">
        <v>84</v>
      </c>
      <c r="N3886" s="80" t="s">
        <v>84</v>
      </c>
      <c r="O3886" s="80" t="s">
        <v>84</v>
      </c>
      <c r="Q3886" s="80" t="s">
        <v>84</v>
      </c>
      <c r="R3886" s="80" t="s">
        <v>84</v>
      </c>
    </row>
    <row r="3887" spans="1:18" ht="20" x14ac:dyDescent="0.2">
      <c r="A3887" s="80" t="s">
        <v>3664</v>
      </c>
      <c r="B3887" s="80" t="s">
        <v>3665</v>
      </c>
      <c r="C3887" s="80" t="s">
        <v>84</v>
      </c>
      <c r="D3887" s="80" t="s">
        <v>84</v>
      </c>
      <c r="E3887" s="80" t="s">
        <v>84</v>
      </c>
      <c r="G3887" s="80" t="s">
        <v>84</v>
      </c>
      <c r="H3887" s="80" t="s">
        <v>84</v>
      </c>
      <c r="I3887" s="80" t="s">
        <v>84</v>
      </c>
      <c r="J3887" s="80" t="s">
        <v>84</v>
      </c>
      <c r="K3887" s="80" t="s">
        <v>84</v>
      </c>
      <c r="L3887" s="80" t="s">
        <v>84</v>
      </c>
      <c r="M3887" s="80" t="s">
        <v>84</v>
      </c>
      <c r="N3887" s="80" t="s">
        <v>84</v>
      </c>
      <c r="O3887" s="80" t="s">
        <v>84</v>
      </c>
      <c r="Q3887" s="80" t="s">
        <v>84</v>
      </c>
      <c r="R3887" s="80" t="s">
        <v>84</v>
      </c>
    </row>
    <row r="3888" spans="1:18" ht="20" x14ac:dyDescent="0.2">
      <c r="A3888" s="80" t="s">
        <v>3666</v>
      </c>
      <c r="B3888" s="80" t="s">
        <v>3667</v>
      </c>
      <c r="C3888" s="80" t="s">
        <v>84</v>
      </c>
      <c r="D3888" s="80" t="s">
        <v>84</v>
      </c>
      <c r="E3888" s="80" t="s">
        <v>84</v>
      </c>
      <c r="G3888" s="80" t="s">
        <v>84</v>
      </c>
      <c r="H3888" s="80" t="s">
        <v>84</v>
      </c>
      <c r="I3888" s="80" t="s">
        <v>84</v>
      </c>
      <c r="J3888" s="80" t="s">
        <v>84</v>
      </c>
      <c r="K3888" s="80" t="s">
        <v>84</v>
      </c>
      <c r="L3888" s="80" t="s">
        <v>84</v>
      </c>
      <c r="M3888" s="80" t="s">
        <v>84</v>
      </c>
      <c r="N3888" s="80" t="s">
        <v>84</v>
      </c>
      <c r="O3888" s="80" t="s">
        <v>84</v>
      </c>
      <c r="Q3888" s="80" t="s">
        <v>84</v>
      </c>
      <c r="R3888" s="80" t="s">
        <v>84</v>
      </c>
    </row>
    <row r="3889" spans="1:18" ht="20" x14ac:dyDescent="0.2">
      <c r="A3889" s="80" t="s">
        <v>1076</v>
      </c>
      <c r="B3889" s="80" t="s">
        <v>1077</v>
      </c>
      <c r="C3889" s="80" t="s">
        <v>9680</v>
      </c>
      <c r="D3889" s="80" t="s">
        <v>84</v>
      </c>
      <c r="E3889" s="80" t="s">
        <v>84</v>
      </c>
      <c r="G3889" s="80" t="s">
        <v>84</v>
      </c>
      <c r="H3889" s="80" t="s">
        <v>84</v>
      </c>
      <c r="I3889" s="80" t="s">
        <v>84</v>
      </c>
      <c r="J3889" s="80" t="s">
        <v>84</v>
      </c>
      <c r="K3889" s="80" t="s">
        <v>84</v>
      </c>
      <c r="L3889" s="80" t="s">
        <v>84</v>
      </c>
      <c r="M3889" s="80" t="s">
        <v>84</v>
      </c>
      <c r="N3889" s="80" t="s">
        <v>84</v>
      </c>
      <c r="O3889" s="80" t="s">
        <v>84</v>
      </c>
      <c r="Q3889" s="80" t="s">
        <v>84</v>
      </c>
      <c r="R3889" s="80" t="s">
        <v>84</v>
      </c>
    </row>
    <row r="3890" spans="1:18" ht="20" x14ac:dyDescent="0.2">
      <c r="A3890" s="80" t="s">
        <v>1337</v>
      </c>
      <c r="B3890" s="80" t="s">
        <v>10859</v>
      </c>
      <c r="C3890" s="80" t="s">
        <v>9680</v>
      </c>
      <c r="D3890" s="80" t="s">
        <v>84</v>
      </c>
      <c r="E3890" s="80" t="s">
        <v>84</v>
      </c>
      <c r="G3890" s="80" t="s">
        <v>84</v>
      </c>
      <c r="H3890" s="80" t="s">
        <v>84</v>
      </c>
      <c r="I3890" s="80" t="s">
        <v>84</v>
      </c>
      <c r="J3890" s="80" t="s">
        <v>84</v>
      </c>
      <c r="K3890" s="80" t="s">
        <v>84</v>
      </c>
      <c r="L3890" s="80" t="s">
        <v>84</v>
      </c>
      <c r="M3890" s="80" t="s">
        <v>84</v>
      </c>
      <c r="N3890" s="80" t="s">
        <v>84</v>
      </c>
      <c r="O3890" s="80" t="s">
        <v>84</v>
      </c>
      <c r="Q3890" s="80" t="s">
        <v>84</v>
      </c>
      <c r="R3890" s="80" t="s">
        <v>84</v>
      </c>
    </row>
    <row r="3891" spans="1:18" ht="20" x14ac:dyDescent="0.2">
      <c r="A3891" s="80" t="s">
        <v>1337</v>
      </c>
      <c r="B3891" s="80" t="s">
        <v>1338</v>
      </c>
      <c r="C3891" s="80" t="s">
        <v>9680</v>
      </c>
      <c r="D3891" s="80" t="s">
        <v>84</v>
      </c>
      <c r="E3891" s="80" t="s">
        <v>84</v>
      </c>
      <c r="G3891" s="80" t="s">
        <v>84</v>
      </c>
      <c r="H3891" s="80" t="s">
        <v>84</v>
      </c>
      <c r="I3891" s="80" t="s">
        <v>84</v>
      </c>
      <c r="J3891" s="80" t="s">
        <v>84</v>
      </c>
      <c r="K3891" s="80" t="s">
        <v>84</v>
      </c>
      <c r="L3891" s="80" t="s">
        <v>84</v>
      </c>
      <c r="M3891" s="80" t="s">
        <v>84</v>
      </c>
      <c r="N3891" s="80" t="s">
        <v>84</v>
      </c>
      <c r="O3891" s="80" t="s">
        <v>84</v>
      </c>
      <c r="Q3891" s="80" t="s">
        <v>84</v>
      </c>
      <c r="R3891" s="80" t="s">
        <v>84</v>
      </c>
    </row>
    <row r="3892" spans="1:18" ht="20" x14ac:dyDescent="0.2">
      <c r="A3892" s="80" t="s">
        <v>2536</v>
      </c>
      <c r="B3892" s="80" t="s">
        <v>2537</v>
      </c>
      <c r="C3892" s="80" t="s">
        <v>9680</v>
      </c>
      <c r="D3892" s="80" t="s">
        <v>84</v>
      </c>
      <c r="E3892" s="80" t="s">
        <v>84</v>
      </c>
      <c r="G3892" s="80" t="s">
        <v>84</v>
      </c>
      <c r="H3892" s="80" t="s">
        <v>84</v>
      </c>
      <c r="I3892" s="80" t="s">
        <v>84</v>
      </c>
      <c r="J3892" s="80" t="s">
        <v>84</v>
      </c>
      <c r="K3892" s="80" t="s">
        <v>84</v>
      </c>
      <c r="L3892" s="80" t="s">
        <v>84</v>
      </c>
      <c r="M3892" s="80" t="s">
        <v>84</v>
      </c>
      <c r="N3892" s="80" t="s">
        <v>84</v>
      </c>
      <c r="O3892" s="80" t="s">
        <v>84</v>
      </c>
      <c r="Q3892" s="80" t="s">
        <v>84</v>
      </c>
      <c r="R3892" s="80" t="s">
        <v>84</v>
      </c>
    </row>
    <row r="3893" spans="1:18" ht="20" x14ac:dyDescent="0.2">
      <c r="A3893" s="80" t="s">
        <v>2319</v>
      </c>
      <c r="B3893" s="80" t="s">
        <v>2320</v>
      </c>
      <c r="C3893" s="80" t="s">
        <v>9680</v>
      </c>
      <c r="D3893" s="80" t="s">
        <v>84</v>
      </c>
      <c r="E3893" s="80" t="s">
        <v>84</v>
      </c>
      <c r="G3893" s="80" t="s">
        <v>84</v>
      </c>
      <c r="H3893" s="80" t="s">
        <v>84</v>
      </c>
      <c r="I3893" s="80" t="s">
        <v>84</v>
      </c>
      <c r="J3893" s="80" t="s">
        <v>84</v>
      </c>
      <c r="K3893" s="80" t="s">
        <v>84</v>
      </c>
      <c r="L3893" s="80" t="s">
        <v>84</v>
      </c>
      <c r="M3893" s="80" t="s">
        <v>84</v>
      </c>
      <c r="N3893" s="80" t="s">
        <v>84</v>
      </c>
      <c r="O3893" s="80" t="s">
        <v>84</v>
      </c>
      <c r="Q3893" s="80" t="s">
        <v>84</v>
      </c>
      <c r="R3893" s="80" t="s">
        <v>84</v>
      </c>
    </row>
    <row r="3894" spans="1:18" ht="20" x14ac:dyDescent="0.2">
      <c r="A3894" s="80" t="s">
        <v>2325</v>
      </c>
      <c r="B3894" s="80" t="s">
        <v>2326</v>
      </c>
      <c r="C3894" s="80" t="s">
        <v>9680</v>
      </c>
      <c r="D3894" s="80" t="s">
        <v>84</v>
      </c>
      <c r="E3894" s="80" t="s">
        <v>84</v>
      </c>
      <c r="G3894" s="80" t="s">
        <v>84</v>
      </c>
      <c r="H3894" s="80" t="s">
        <v>84</v>
      </c>
      <c r="I3894" s="80" t="s">
        <v>84</v>
      </c>
      <c r="J3894" s="80" t="s">
        <v>84</v>
      </c>
      <c r="K3894" s="80" t="s">
        <v>84</v>
      </c>
      <c r="L3894" s="80" t="s">
        <v>84</v>
      </c>
      <c r="M3894" s="80" t="s">
        <v>84</v>
      </c>
      <c r="N3894" s="80" t="s">
        <v>84</v>
      </c>
      <c r="O3894" s="80" t="s">
        <v>84</v>
      </c>
      <c r="Q3894" s="80" t="s">
        <v>84</v>
      </c>
      <c r="R3894" s="80" t="s">
        <v>84</v>
      </c>
    </row>
    <row r="3895" spans="1:18" ht="20" x14ac:dyDescent="0.2">
      <c r="A3895" s="80" t="s">
        <v>4889</v>
      </c>
      <c r="B3895" s="80" t="s">
        <v>4890</v>
      </c>
      <c r="C3895" s="80" t="s">
        <v>9680</v>
      </c>
      <c r="D3895" s="80" t="s">
        <v>84</v>
      </c>
      <c r="E3895" s="80" t="s">
        <v>84</v>
      </c>
      <c r="G3895" s="80" t="s">
        <v>84</v>
      </c>
      <c r="H3895" s="80" t="s">
        <v>84</v>
      </c>
      <c r="I3895" s="80" t="s">
        <v>84</v>
      </c>
      <c r="J3895" s="80" t="s">
        <v>84</v>
      </c>
      <c r="K3895" s="80" t="s">
        <v>84</v>
      </c>
      <c r="L3895" s="80" t="s">
        <v>84</v>
      </c>
      <c r="M3895" s="80" t="s">
        <v>84</v>
      </c>
      <c r="N3895" s="80" t="s">
        <v>84</v>
      </c>
      <c r="O3895" s="80" t="s">
        <v>84</v>
      </c>
      <c r="Q3895" s="80" t="s">
        <v>84</v>
      </c>
      <c r="R3895" s="80" t="s">
        <v>84</v>
      </c>
    </row>
    <row r="3896" spans="1:18" ht="20" x14ac:dyDescent="0.2">
      <c r="A3896" s="80" t="s">
        <v>4792</v>
      </c>
      <c r="B3896" s="80" t="s">
        <v>4793</v>
      </c>
      <c r="C3896" s="80" t="s">
        <v>84</v>
      </c>
      <c r="D3896" s="80" t="s">
        <v>84</v>
      </c>
      <c r="E3896" s="80" t="s">
        <v>84</v>
      </c>
      <c r="G3896" s="80" t="s">
        <v>84</v>
      </c>
      <c r="H3896" s="80" t="s">
        <v>84</v>
      </c>
      <c r="I3896" s="80" t="s">
        <v>84</v>
      </c>
      <c r="J3896" s="80" t="s">
        <v>84</v>
      </c>
      <c r="K3896" s="80" t="s">
        <v>84</v>
      </c>
      <c r="L3896" s="80" t="s">
        <v>84</v>
      </c>
      <c r="M3896" s="80" t="s">
        <v>84</v>
      </c>
      <c r="N3896" s="80" t="s">
        <v>84</v>
      </c>
      <c r="O3896" s="80" t="s">
        <v>84</v>
      </c>
      <c r="Q3896" s="80" t="s">
        <v>84</v>
      </c>
      <c r="R3896" s="80" t="s">
        <v>84</v>
      </c>
    </row>
    <row r="3897" spans="1:18" ht="20" x14ac:dyDescent="0.2">
      <c r="A3897" s="80" t="s">
        <v>1475</v>
      </c>
      <c r="B3897" s="80" t="s">
        <v>1476</v>
      </c>
      <c r="C3897" s="80" t="s">
        <v>84</v>
      </c>
      <c r="D3897" s="80" t="s">
        <v>84</v>
      </c>
      <c r="E3897" s="80" t="s">
        <v>84</v>
      </c>
      <c r="G3897" s="80" t="s">
        <v>84</v>
      </c>
      <c r="H3897" s="80" t="s">
        <v>84</v>
      </c>
      <c r="I3897" s="80" t="s">
        <v>84</v>
      </c>
      <c r="J3897" s="80" t="s">
        <v>84</v>
      </c>
      <c r="K3897" s="80" t="s">
        <v>84</v>
      </c>
      <c r="L3897" s="80" t="s">
        <v>84</v>
      </c>
      <c r="M3897" s="80" t="s">
        <v>84</v>
      </c>
      <c r="N3897" s="80" t="s">
        <v>84</v>
      </c>
      <c r="O3897" s="80" t="s">
        <v>84</v>
      </c>
      <c r="Q3897" s="80" t="s">
        <v>84</v>
      </c>
      <c r="R3897" s="80" t="s">
        <v>84</v>
      </c>
    </row>
    <row r="3898" spans="1:18" ht="20" x14ac:dyDescent="0.2">
      <c r="A3898" s="80" t="s">
        <v>4958</v>
      </c>
      <c r="B3898" s="80" t="s">
        <v>4959</v>
      </c>
      <c r="C3898" s="80" t="s">
        <v>9680</v>
      </c>
      <c r="D3898" s="80" t="s">
        <v>84</v>
      </c>
      <c r="E3898" s="80" t="s">
        <v>84</v>
      </c>
      <c r="G3898" s="80" t="s">
        <v>84</v>
      </c>
      <c r="H3898" s="80" t="s">
        <v>84</v>
      </c>
      <c r="I3898" s="80" t="s">
        <v>84</v>
      </c>
      <c r="J3898" s="80" t="s">
        <v>84</v>
      </c>
      <c r="K3898" s="80" t="s">
        <v>84</v>
      </c>
      <c r="L3898" s="80" t="s">
        <v>84</v>
      </c>
      <c r="M3898" s="80" t="s">
        <v>84</v>
      </c>
      <c r="N3898" s="80" t="s">
        <v>84</v>
      </c>
      <c r="O3898" s="80" t="s">
        <v>84</v>
      </c>
      <c r="Q3898" s="80" t="s">
        <v>84</v>
      </c>
      <c r="R3898" s="80" t="s">
        <v>84</v>
      </c>
    </row>
    <row r="3899" spans="1:18" ht="20" x14ac:dyDescent="0.2">
      <c r="A3899" s="80" t="s">
        <v>4915</v>
      </c>
      <c r="B3899" s="80" t="s">
        <v>4916</v>
      </c>
      <c r="C3899" s="80" t="s">
        <v>84</v>
      </c>
      <c r="D3899" s="80" t="s">
        <v>84</v>
      </c>
      <c r="E3899" s="80" t="s">
        <v>84</v>
      </c>
      <c r="G3899" s="80" t="s">
        <v>84</v>
      </c>
      <c r="H3899" s="80" t="s">
        <v>84</v>
      </c>
      <c r="I3899" s="80" t="s">
        <v>84</v>
      </c>
      <c r="J3899" s="80" t="s">
        <v>84</v>
      </c>
      <c r="K3899" s="80" t="s">
        <v>84</v>
      </c>
      <c r="L3899" s="80" t="s">
        <v>84</v>
      </c>
      <c r="M3899" s="80" t="s">
        <v>84</v>
      </c>
      <c r="N3899" s="80" t="s">
        <v>84</v>
      </c>
      <c r="O3899" s="80" t="s">
        <v>84</v>
      </c>
      <c r="Q3899" s="80" t="s">
        <v>84</v>
      </c>
      <c r="R3899" s="80" t="s">
        <v>84</v>
      </c>
    </row>
    <row r="3900" spans="1:18" ht="20" x14ac:dyDescent="0.2">
      <c r="A3900" s="80" t="s">
        <v>4861</v>
      </c>
      <c r="B3900" s="80" t="s">
        <v>4862</v>
      </c>
      <c r="C3900" s="80" t="s">
        <v>84</v>
      </c>
      <c r="D3900" s="80" t="s">
        <v>84</v>
      </c>
      <c r="E3900" s="80" t="s">
        <v>84</v>
      </c>
      <c r="G3900" s="80" t="s">
        <v>84</v>
      </c>
      <c r="H3900" s="80" t="s">
        <v>84</v>
      </c>
      <c r="I3900" s="80" t="s">
        <v>84</v>
      </c>
      <c r="J3900" s="80" t="s">
        <v>84</v>
      </c>
      <c r="K3900" s="80" t="s">
        <v>84</v>
      </c>
      <c r="L3900" s="80" t="s">
        <v>84</v>
      </c>
      <c r="M3900" s="80" t="s">
        <v>84</v>
      </c>
      <c r="N3900" s="80" t="s">
        <v>84</v>
      </c>
      <c r="O3900" s="80" t="s">
        <v>84</v>
      </c>
      <c r="Q3900" s="80" t="s">
        <v>84</v>
      </c>
      <c r="R3900" s="80" t="s">
        <v>84</v>
      </c>
    </row>
    <row r="3901" spans="1:18" ht="20" x14ac:dyDescent="0.2">
      <c r="A3901" s="80" t="s">
        <v>1477</v>
      </c>
      <c r="B3901" s="80" t="s">
        <v>1478</v>
      </c>
      <c r="C3901" s="80" t="s">
        <v>9680</v>
      </c>
      <c r="D3901" s="80" t="s">
        <v>84</v>
      </c>
      <c r="E3901" s="80" t="s">
        <v>84</v>
      </c>
      <c r="G3901" s="80" t="s">
        <v>84</v>
      </c>
      <c r="H3901" s="80" t="s">
        <v>84</v>
      </c>
      <c r="I3901" s="80" t="s">
        <v>84</v>
      </c>
      <c r="J3901" s="80" t="s">
        <v>84</v>
      </c>
      <c r="K3901" s="80" t="s">
        <v>84</v>
      </c>
      <c r="L3901" s="80" t="s">
        <v>84</v>
      </c>
      <c r="M3901" s="80" t="s">
        <v>84</v>
      </c>
      <c r="N3901" s="80" t="s">
        <v>84</v>
      </c>
      <c r="O3901" s="80" t="s">
        <v>84</v>
      </c>
      <c r="Q3901" s="80" t="s">
        <v>84</v>
      </c>
      <c r="R3901" s="80" t="s">
        <v>84</v>
      </c>
    </row>
    <row r="3902" spans="1:18" ht="20" x14ac:dyDescent="0.2">
      <c r="A3902" s="80" t="s">
        <v>1479</v>
      </c>
      <c r="B3902" s="80" t="s">
        <v>1480</v>
      </c>
      <c r="C3902" s="80" t="s">
        <v>9680</v>
      </c>
      <c r="D3902" s="80" t="s">
        <v>84</v>
      </c>
      <c r="E3902" s="80" t="s">
        <v>84</v>
      </c>
      <c r="G3902" s="80" t="s">
        <v>84</v>
      </c>
      <c r="H3902" s="80" t="s">
        <v>84</v>
      </c>
      <c r="I3902" s="80" t="s">
        <v>84</v>
      </c>
      <c r="J3902" s="80" t="s">
        <v>84</v>
      </c>
      <c r="K3902" s="80" t="s">
        <v>84</v>
      </c>
      <c r="L3902" s="80" t="s">
        <v>84</v>
      </c>
      <c r="M3902" s="80" t="s">
        <v>84</v>
      </c>
      <c r="N3902" s="80" t="s">
        <v>84</v>
      </c>
      <c r="O3902" s="80" t="s">
        <v>84</v>
      </c>
      <c r="Q3902" s="80" t="s">
        <v>84</v>
      </c>
      <c r="R3902" s="80" t="s">
        <v>84</v>
      </c>
    </row>
    <row r="3903" spans="1:18" ht="20" x14ac:dyDescent="0.2">
      <c r="A3903" s="80" t="s">
        <v>1769</v>
      </c>
      <c r="B3903" s="80" t="s">
        <v>1770</v>
      </c>
      <c r="C3903" s="80" t="s">
        <v>9722</v>
      </c>
      <c r="D3903" s="80" t="s">
        <v>84</v>
      </c>
      <c r="E3903" s="80" t="s">
        <v>84</v>
      </c>
      <c r="G3903" s="80" t="s">
        <v>84</v>
      </c>
      <c r="H3903" s="80" t="s">
        <v>84</v>
      </c>
      <c r="I3903" s="80" t="s">
        <v>84</v>
      </c>
      <c r="J3903" s="80" t="s">
        <v>84</v>
      </c>
      <c r="K3903" s="80" t="s">
        <v>84</v>
      </c>
      <c r="L3903" s="80" t="s">
        <v>84</v>
      </c>
      <c r="M3903" s="80" t="s">
        <v>84</v>
      </c>
      <c r="N3903" s="80" t="s">
        <v>84</v>
      </c>
      <c r="O3903" s="80" t="s">
        <v>84</v>
      </c>
      <c r="Q3903" s="80" t="s">
        <v>84</v>
      </c>
      <c r="R3903" s="80" t="s">
        <v>84</v>
      </c>
    </row>
    <row r="3904" spans="1:18" ht="20" x14ac:dyDescent="0.2">
      <c r="A3904" s="80" t="s">
        <v>1481</v>
      </c>
      <c r="B3904" s="80" t="s">
        <v>1482</v>
      </c>
      <c r="C3904" s="80" t="s">
        <v>9680</v>
      </c>
      <c r="D3904" s="80" t="s">
        <v>84</v>
      </c>
      <c r="E3904" s="80" t="s">
        <v>84</v>
      </c>
      <c r="G3904" s="80" t="s">
        <v>84</v>
      </c>
      <c r="H3904" s="80" t="s">
        <v>84</v>
      </c>
      <c r="I3904" s="80" t="s">
        <v>84</v>
      </c>
      <c r="J3904" s="80" t="s">
        <v>84</v>
      </c>
      <c r="K3904" s="80" t="s">
        <v>84</v>
      </c>
      <c r="L3904" s="80" t="s">
        <v>84</v>
      </c>
      <c r="M3904" s="80" t="s">
        <v>84</v>
      </c>
      <c r="N3904" s="80" t="s">
        <v>84</v>
      </c>
      <c r="O3904" s="80" t="s">
        <v>84</v>
      </c>
      <c r="Q3904" s="80" t="s">
        <v>84</v>
      </c>
      <c r="R3904" s="80" t="s">
        <v>84</v>
      </c>
    </row>
    <row r="3905" spans="1:18" ht="20" x14ac:dyDescent="0.2">
      <c r="A3905" s="80" t="s">
        <v>1771</v>
      </c>
      <c r="B3905" s="80" t="s">
        <v>1772</v>
      </c>
      <c r="C3905" s="80" t="s">
        <v>9722</v>
      </c>
      <c r="D3905" s="80" t="s">
        <v>84</v>
      </c>
      <c r="E3905" s="80" t="s">
        <v>84</v>
      </c>
      <c r="G3905" s="80" t="s">
        <v>84</v>
      </c>
      <c r="H3905" s="80" t="s">
        <v>84</v>
      </c>
      <c r="I3905" s="80" t="s">
        <v>84</v>
      </c>
      <c r="J3905" s="80" t="s">
        <v>84</v>
      </c>
      <c r="K3905" s="80" t="s">
        <v>84</v>
      </c>
      <c r="L3905" s="80" t="s">
        <v>84</v>
      </c>
      <c r="M3905" s="80" t="s">
        <v>84</v>
      </c>
      <c r="N3905" s="80" t="s">
        <v>84</v>
      </c>
      <c r="O3905" s="80" t="s">
        <v>84</v>
      </c>
      <c r="Q3905" s="80" t="s">
        <v>84</v>
      </c>
      <c r="R3905" s="80" t="s">
        <v>84</v>
      </c>
    </row>
    <row r="3906" spans="1:18" ht="20" x14ac:dyDescent="0.2">
      <c r="A3906" s="80" t="s">
        <v>1078</v>
      </c>
      <c r="B3906" s="80" t="s">
        <v>1079</v>
      </c>
      <c r="C3906" s="80" t="s">
        <v>9680</v>
      </c>
      <c r="D3906" s="80" t="s">
        <v>84</v>
      </c>
      <c r="E3906" s="80" t="s">
        <v>84</v>
      </c>
      <c r="G3906" s="80" t="s">
        <v>84</v>
      </c>
      <c r="H3906" s="80" t="s">
        <v>84</v>
      </c>
      <c r="I3906" s="80" t="s">
        <v>84</v>
      </c>
      <c r="J3906" s="80" t="s">
        <v>84</v>
      </c>
      <c r="K3906" s="80" t="s">
        <v>84</v>
      </c>
      <c r="L3906" s="80" t="s">
        <v>84</v>
      </c>
      <c r="M3906" s="80" t="s">
        <v>84</v>
      </c>
      <c r="N3906" s="80" t="s">
        <v>84</v>
      </c>
      <c r="O3906" s="80" t="s">
        <v>84</v>
      </c>
      <c r="Q3906" s="80" t="s">
        <v>84</v>
      </c>
      <c r="R3906" s="80" t="s">
        <v>84</v>
      </c>
    </row>
    <row r="3907" spans="1:18" ht="20" x14ac:dyDescent="0.2">
      <c r="A3907" s="80" t="s">
        <v>4125</v>
      </c>
      <c r="B3907" s="80" t="s">
        <v>4126</v>
      </c>
      <c r="C3907" s="80" t="s">
        <v>84</v>
      </c>
      <c r="D3907" s="80" t="s">
        <v>84</v>
      </c>
      <c r="E3907" s="80" t="s">
        <v>84</v>
      </c>
      <c r="G3907" s="80" t="s">
        <v>84</v>
      </c>
      <c r="H3907" s="80" t="s">
        <v>84</v>
      </c>
      <c r="I3907" s="80" t="s">
        <v>84</v>
      </c>
      <c r="J3907" s="80" t="s">
        <v>84</v>
      </c>
      <c r="K3907" s="80" t="s">
        <v>84</v>
      </c>
      <c r="L3907" s="80" t="s">
        <v>84</v>
      </c>
      <c r="M3907" s="80" t="s">
        <v>84</v>
      </c>
      <c r="N3907" s="80" t="s">
        <v>84</v>
      </c>
      <c r="O3907" s="80" t="s">
        <v>84</v>
      </c>
      <c r="Q3907" s="80" t="s">
        <v>84</v>
      </c>
      <c r="R3907" s="80" t="s">
        <v>84</v>
      </c>
    </row>
    <row r="3908" spans="1:18" ht="20" x14ac:dyDescent="0.2">
      <c r="A3908" s="80" t="s">
        <v>5737</v>
      </c>
      <c r="B3908" s="80" t="s">
        <v>5738</v>
      </c>
      <c r="C3908" s="80" t="s">
        <v>84</v>
      </c>
      <c r="D3908" s="80" t="s">
        <v>84</v>
      </c>
      <c r="E3908" s="80" t="s">
        <v>84</v>
      </c>
      <c r="G3908" s="80" t="s">
        <v>84</v>
      </c>
      <c r="H3908" s="80" t="s">
        <v>84</v>
      </c>
      <c r="I3908" s="80" t="s">
        <v>84</v>
      </c>
      <c r="J3908" s="80" t="s">
        <v>84</v>
      </c>
      <c r="K3908" s="80" t="s">
        <v>84</v>
      </c>
      <c r="L3908" s="80" t="s">
        <v>84</v>
      </c>
      <c r="M3908" s="80" t="s">
        <v>84</v>
      </c>
      <c r="N3908" s="80" t="s">
        <v>84</v>
      </c>
      <c r="O3908" s="80" t="s">
        <v>84</v>
      </c>
      <c r="Q3908" s="80" t="s">
        <v>84</v>
      </c>
      <c r="R3908" s="80" t="s">
        <v>84</v>
      </c>
    </row>
    <row r="3909" spans="1:18" x14ac:dyDescent="0.2">
      <c r="A3909" s="80" t="s">
        <v>1342</v>
      </c>
      <c r="B3909" s="80" t="s">
        <v>1343</v>
      </c>
      <c r="C3909" s="80" t="s">
        <v>9722</v>
      </c>
      <c r="D3909" s="80" t="s">
        <v>84</v>
      </c>
      <c r="E3909" s="80" t="s">
        <v>84</v>
      </c>
      <c r="G3909" s="80" t="s">
        <v>84</v>
      </c>
      <c r="H3909" s="80" t="s">
        <v>84</v>
      </c>
      <c r="I3909" s="80" t="s">
        <v>84</v>
      </c>
      <c r="J3909" s="80" t="s">
        <v>84</v>
      </c>
      <c r="K3909" s="80" t="s">
        <v>84</v>
      </c>
      <c r="L3909" s="80" t="s">
        <v>84</v>
      </c>
      <c r="M3909" s="80" t="s">
        <v>84</v>
      </c>
      <c r="N3909" s="80" t="s">
        <v>84</v>
      </c>
      <c r="O3909" s="80" t="s">
        <v>84</v>
      </c>
      <c r="Q3909" s="80" t="s">
        <v>84</v>
      </c>
      <c r="R3909" s="80" t="s">
        <v>84</v>
      </c>
    </row>
    <row r="3910" spans="1:18" ht="20" x14ac:dyDescent="0.2">
      <c r="A3910" s="80" t="s">
        <v>1342</v>
      </c>
      <c r="B3910" s="80" t="s">
        <v>10860</v>
      </c>
      <c r="C3910" s="80" t="s">
        <v>9722</v>
      </c>
      <c r="D3910" s="80" t="s">
        <v>84</v>
      </c>
      <c r="E3910" s="80" t="s">
        <v>84</v>
      </c>
      <c r="G3910" s="80" t="s">
        <v>84</v>
      </c>
      <c r="H3910" s="80" t="s">
        <v>84</v>
      </c>
      <c r="I3910" s="80" t="s">
        <v>84</v>
      </c>
      <c r="J3910" s="80" t="s">
        <v>84</v>
      </c>
      <c r="K3910" s="80" t="s">
        <v>84</v>
      </c>
      <c r="L3910" s="80" t="s">
        <v>84</v>
      </c>
      <c r="M3910" s="80" t="s">
        <v>84</v>
      </c>
      <c r="N3910" s="80" t="s">
        <v>84</v>
      </c>
      <c r="O3910" s="80" t="s">
        <v>84</v>
      </c>
      <c r="Q3910" s="80" t="s">
        <v>84</v>
      </c>
      <c r="R3910" s="80" t="s">
        <v>84</v>
      </c>
    </row>
    <row r="3911" spans="1:18" ht="20" x14ac:dyDescent="0.2">
      <c r="A3911" s="80" t="s">
        <v>1369</v>
      </c>
      <c r="B3911" s="80" t="s">
        <v>1370</v>
      </c>
      <c r="C3911" s="80" t="s">
        <v>9722</v>
      </c>
      <c r="D3911" s="80" t="s">
        <v>84</v>
      </c>
      <c r="E3911" s="80" t="s">
        <v>84</v>
      </c>
      <c r="G3911" s="80" t="s">
        <v>84</v>
      </c>
      <c r="H3911" s="80" t="s">
        <v>84</v>
      </c>
      <c r="I3911" s="80" t="s">
        <v>84</v>
      </c>
      <c r="J3911" s="80" t="s">
        <v>84</v>
      </c>
      <c r="K3911" s="80" t="s">
        <v>84</v>
      </c>
      <c r="L3911" s="80" t="s">
        <v>84</v>
      </c>
      <c r="M3911" s="80" t="s">
        <v>84</v>
      </c>
      <c r="N3911" s="80" t="s">
        <v>84</v>
      </c>
      <c r="O3911" s="80" t="s">
        <v>84</v>
      </c>
      <c r="Q3911" s="80" t="s">
        <v>84</v>
      </c>
      <c r="R3911" s="80" t="s">
        <v>84</v>
      </c>
    </row>
    <row r="3912" spans="1:18" ht="20" x14ac:dyDescent="0.2">
      <c r="A3912" s="80" t="s">
        <v>3627</v>
      </c>
      <c r="B3912" s="80" t="s">
        <v>3628</v>
      </c>
      <c r="C3912" s="80" t="s">
        <v>84</v>
      </c>
      <c r="D3912" s="80" t="s">
        <v>84</v>
      </c>
      <c r="E3912" s="80" t="s">
        <v>84</v>
      </c>
      <c r="G3912" s="80" t="s">
        <v>84</v>
      </c>
      <c r="H3912" s="80" t="s">
        <v>84</v>
      </c>
      <c r="I3912" s="80" t="s">
        <v>84</v>
      </c>
      <c r="J3912" s="80" t="s">
        <v>84</v>
      </c>
      <c r="K3912" s="80" t="s">
        <v>84</v>
      </c>
      <c r="L3912" s="80" t="s">
        <v>84</v>
      </c>
      <c r="M3912" s="80" t="s">
        <v>84</v>
      </c>
      <c r="N3912" s="80" t="s">
        <v>84</v>
      </c>
      <c r="O3912" s="80" t="s">
        <v>84</v>
      </c>
      <c r="Q3912" s="80" t="s">
        <v>84</v>
      </c>
      <c r="R3912" s="80" t="s">
        <v>84</v>
      </c>
    </row>
    <row r="3913" spans="1:18" ht="20" x14ac:dyDescent="0.2">
      <c r="A3913" s="80" t="s">
        <v>2525</v>
      </c>
      <c r="B3913" s="80" t="s">
        <v>2526</v>
      </c>
      <c r="C3913" s="80" t="s">
        <v>9680</v>
      </c>
      <c r="D3913" s="80" t="s">
        <v>84</v>
      </c>
      <c r="E3913" s="80" t="s">
        <v>84</v>
      </c>
      <c r="G3913" s="80" t="s">
        <v>84</v>
      </c>
      <c r="H3913" s="80" t="s">
        <v>84</v>
      </c>
      <c r="I3913" s="80" t="s">
        <v>84</v>
      </c>
      <c r="J3913" s="80" t="s">
        <v>84</v>
      </c>
      <c r="K3913" s="80" t="s">
        <v>84</v>
      </c>
      <c r="L3913" s="80" t="s">
        <v>84</v>
      </c>
      <c r="M3913" s="80" t="s">
        <v>84</v>
      </c>
      <c r="N3913" s="80" t="s">
        <v>84</v>
      </c>
      <c r="O3913" s="80" t="s">
        <v>84</v>
      </c>
      <c r="Q3913" s="80" t="s">
        <v>84</v>
      </c>
      <c r="R3913" s="80" t="s">
        <v>84</v>
      </c>
    </row>
    <row r="3914" spans="1:18" ht="20" x14ac:dyDescent="0.2">
      <c r="A3914" s="80" t="s">
        <v>3269</v>
      </c>
      <c r="B3914" s="80" t="s">
        <v>3270</v>
      </c>
      <c r="C3914" s="80" t="s">
        <v>9722</v>
      </c>
      <c r="D3914" s="80" t="s">
        <v>84</v>
      </c>
      <c r="E3914" s="80" t="s">
        <v>84</v>
      </c>
      <c r="G3914" s="80" t="s">
        <v>84</v>
      </c>
      <c r="H3914" s="80" t="s">
        <v>84</v>
      </c>
      <c r="I3914" s="80" t="s">
        <v>84</v>
      </c>
      <c r="J3914" s="80" t="s">
        <v>84</v>
      </c>
      <c r="K3914" s="80" t="s">
        <v>84</v>
      </c>
      <c r="L3914" s="80" t="s">
        <v>84</v>
      </c>
      <c r="M3914" s="80" t="s">
        <v>84</v>
      </c>
      <c r="N3914" s="80" t="s">
        <v>84</v>
      </c>
      <c r="O3914" s="80" t="s">
        <v>84</v>
      </c>
      <c r="Q3914" s="80" t="s">
        <v>84</v>
      </c>
      <c r="R3914" s="80" t="s">
        <v>84</v>
      </c>
    </row>
    <row r="3915" spans="1:18" ht="20" x14ac:dyDescent="0.2">
      <c r="A3915" s="80" t="s">
        <v>2497</v>
      </c>
      <c r="B3915" s="80" t="s">
        <v>2498</v>
      </c>
      <c r="C3915" s="80" t="s">
        <v>9680</v>
      </c>
      <c r="D3915" s="80" t="s">
        <v>84</v>
      </c>
      <c r="E3915" s="80" t="s">
        <v>84</v>
      </c>
      <c r="G3915" s="80" t="s">
        <v>84</v>
      </c>
      <c r="H3915" s="80" t="s">
        <v>84</v>
      </c>
      <c r="I3915" s="80" t="s">
        <v>84</v>
      </c>
      <c r="J3915" s="80" t="s">
        <v>84</v>
      </c>
      <c r="K3915" s="80" t="s">
        <v>84</v>
      </c>
      <c r="L3915" s="80" t="s">
        <v>84</v>
      </c>
      <c r="M3915" s="80" t="s">
        <v>84</v>
      </c>
      <c r="N3915" s="80" t="s">
        <v>84</v>
      </c>
      <c r="O3915" s="80" t="s">
        <v>84</v>
      </c>
      <c r="Q3915" s="80" t="s">
        <v>84</v>
      </c>
      <c r="R3915" s="80" t="s">
        <v>84</v>
      </c>
    </row>
    <row r="3916" spans="1:18" ht="20" x14ac:dyDescent="0.2">
      <c r="A3916" s="80" t="s">
        <v>1007</v>
      </c>
      <c r="B3916" s="80" t="s">
        <v>1008</v>
      </c>
      <c r="C3916" s="80" t="s">
        <v>9722</v>
      </c>
      <c r="D3916" s="80" t="s">
        <v>84</v>
      </c>
      <c r="E3916" s="80" t="s">
        <v>84</v>
      </c>
      <c r="G3916" s="80" t="s">
        <v>84</v>
      </c>
      <c r="H3916" s="80" t="s">
        <v>84</v>
      </c>
      <c r="I3916" s="80" t="s">
        <v>84</v>
      </c>
      <c r="J3916" s="80" t="s">
        <v>84</v>
      </c>
      <c r="K3916" s="80" t="s">
        <v>84</v>
      </c>
      <c r="L3916" s="80" t="s">
        <v>84</v>
      </c>
      <c r="M3916" s="80" t="s">
        <v>84</v>
      </c>
      <c r="N3916" s="80" t="s">
        <v>84</v>
      </c>
      <c r="O3916" s="80" t="s">
        <v>84</v>
      </c>
      <c r="Q3916" s="80" t="s">
        <v>84</v>
      </c>
      <c r="R3916" s="80" t="s">
        <v>84</v>
      </c>
    </row>
    <row r="3917" spans="1:18" ht="20" x14ac:dyDescent="0.2">
      <c r="A3917" s="80" t="s">
        <v>166</v>
      </c>
      <c r="B3917" s="80" t="s">
        <v>167</v>
      </c>
      <c r="C3917" s="80" t="s">
        <v>84</v>
      </c>
      <c r="D3917" s="80" t="s">
        <v>84</v>
      </c>
      <c r="E3917" s="80" t="s">
        <v>84</v>
      </c>
      <c r="G3917" s="80" t="s">
        <v>84</v>
      </c>
      <c r="H3917" s="80" t="s">
        <v>84</v>
      </c>
      <c r="I3917" s="80" t="s">
        <v>84</v>
      </c>
      <c r="J3917" s="80" t="s">
        <v>84</v>
      </c>
      <c r="K3917" s="80" t="s">
        <v>84</v>
      </c>
      <c r="L3917" s="80" t="s">
        <v>84</v>
      </c>
      <c r="M3917" s="80" t="s">
        <v>84</v>
      </c>
      <c r="N3917" s="80" t="s">
        <v>84</v>
      </c>
      <c r="O3917" s="80" t="s">
        <v>84</v>
      </c>
      <c r="Q3917" s="80" t="s">
        <v>84</v>
      </c>
      <c r="R3917" s="80" t="s">
        <v>84</v>
      </c>
    </row>
    <row r="3918" spans="1:18" ht="20" x14ac:dyDescent="0.2">
      <c r="A3918" s="80" t="s">
        <v>1000</v>
      </c>
      <c r="B3918" s="80" t="s">
        <v>1001</v>
      </c>
      <c r="C3918" s="80" t="s">
        <v>84</v>
      </c>
      <c r="D3918" s="80" t="s">
        <v>84</v>
      </c>
      <c r="E3918" s="80" t="s">
        <v>84</v>
      </c>
      <c r="G3918" s="80" t="s">
        <v>84</v>
      </c>
      <c r="H3918" s="80" t="s">
        <v>84</v>
      </c>
      <c r="I3918" s="80" t="s">
        <v>84</v>
      </c>
      <c r="J3918" s="80" t="s">
        <v>84</v>
      </c>
      <c r="K3918" s="80" t="s">
        <v>84</v>
      </c>
      <c r="L3918" s="80" t="s">
        <v>84</v>
      </c>
      <c r="M3918" s="80" t="s">
        <v>84</v>
      </c>
      <c r="N3918" s="80" t="s">
        <v>84</v>
      </c>
      <c r="O3918" s="80" t="s">
        <v>84</v>
      </c>
      <c r="Q3918" s="80" t="s">
        <v>84</v>
      </c>
      <c r="R3918" s="80" t="s">
        <v>84</v>
      </c>
    </row>
    <row r="3919" spans="1:18" ht="20" x14ac:dyDescent="0.2">
      <c r="A3919" s="80" t="s">
        <v>10861</v>
      </c>
      <c r="B3919" s="80" t="s">
        <v>10862</v>
      </c>
      <c r="C3919" s="80" t="s">
        <v>84</v>
      </c>
      <c r="D3919" s="80" t="s">
        <v>84</v>
      </c>
      <c r="E3919" s="80" t="s">
        <v>84</v>
      </c>
      <c r="G3919" s="80" t="s">
        <v>84</v>
      </c>
      <c r="H3919" s="80" t="s">
        <v>84</v>
      </c>
      <c r="I3919" s="80" t="s">
        <v>84</v>
      </c>
      <c r="J3919" s="80" t="s">
        <v>84</v>
      </c>
      <c r="K3919" s="80" t="s">
        <v>84</v>
      </c>
      <c r="L3919" s="80" t="s">
        <v>84</v>
      </c>
      <c r="M3919" s="80" t="s">
        <v>84</v>
      </c>
      <c r="N3919" s="80" t="s">
        <v>84</v>
      </c>
      <c r="O3919" s="80" t="s">
        <v>84</v>
      </c>
      <c r="Q3919" s="80" t="s">
        <v>84</v>
      </c>
      <c r="R3919" s="80" t="s">
        <v>84</v>
      </c>
    </row>
    <row r="3920" spans="1:18" ht="20" x14ac:dyDescent="0.2">
      <c r="A3920" s="80" t="s">
        <v>5680</v>
      </c>
      <c r="B3920" s="80" t="s">
        <v>5681</v>
      </c>
      <c r="C3920" s="80" t="s">
        <v>84</v>
      </c>
      <c r="D3920" s="80" t="s">
        <v>84</v>
      </c>
      <c r="E3920" s="80" t="s">
        <v>84</v>
      </c>
      <c r="G3920" s="80" t="s">
        <v>84</v>
      </c>
      <c r="H3920" s="80" t="s">
        <v>84</v>
      </c>
      <c r="I3920" s="80" t="s">
        <v>84</v>
      </c>
      <c r="J3920" s="80" t="s">
        <v>84</v>
      </c>
      <c r="K3920" s="80" t="s">
        <v>84</v>
      </c>
      <c r="L3920" s="80" t="s">
        <v>84</v>
      </c>
      <c r="M3920" s="80" t="s">
        <v>84</v>
      </c>
      <c r="N3920" s="80" t="s">
        <v>84</v>
      </c>
      <c r="O3920" s="80" t="s">
        <v>84</v>
      </c>
      <c r="Q3920" s="80" t="s">
        <v>84</v>
      </c>
      <c r="R3920" s="80" t="s">
        <v>84</v>
      </c>
    </row>
    <row r="3921" spans="1:18" ht="20" x14ac:dyDescent="0.2">
      <c r="A3921" s="80" t="s">
        <v>5834</v>
      </c>
      <c r="B3921" s="80" t="s">
        <v>5835</v>
      </c>
      <c r="C3921" s="80" t="s">
        <v>9722</v>
      </c>
      <c r="D3921" s="80" t="s">
        <v>84</v>
      </c>
      <c r="E3921" s="80" t="s">
        <v>84</v>
      </c>
      <c r="G3921" s="80" t="s">
        <v>84</v>
      </c>
      <c r="H3921" s="80" t="s">
        <v>84</v>
      </c>
      <c r="I3921" s="80" t="s">
        <v>84</v>
      </c>
      <c r="J3921" s="80" t="s">
        <v>84</v>
      </c>
      <c r="K3921" s="80" t="s">
        <v>84</v>
      </c>
      <c r="L3921" s="80" t="s">
        <v>84</v>
      </c>
      <c r="M3921" s="80" t="s">
        <v>84</v>
      </c>
      <c r="N3921" s="80" t="s">
        <v>84</v>
      </c>
      <c r="O3921" s="80" t="s">
        <v>84</v>
      </c>
      <c r="Q3921" s="80" t="s">
        <v>84</v>
      </c>
      <c r="R3921" s="80" t="s">
        <v>84</v>
      </c>
    </row>
    <row r="3922" spans="1:18" ht="20" x14ac:dyDescent="0.2">
      <c r="A3922" s="80" t="s">
        <v>5834</v>
      </c>
      <c r="B3922" s="80" t="s">
        <v>10863</v>
      </c>
      <c r="C3922" s="80" t="s">
        <v>9722</v>
      </c>
      <c r="D3922" s="80" t="s">
        <v>84</v>
      </c>
      <c r="E3922" s="80" t="s">
        <v>84</v>
      </c>
      <c r="G3922" s="80" t="s">
        <v>84</v>
      </c>
      <c r="H3922" s="80" t="s">
        <v>84</v>
      </c>
      <c r="I3922" s="80" t="s">
        <v>84</v>
      </c>
      <c r="J3922" s="80" t="s">
        <v>84</v>
      </c>
      <c r="K3922" s="80" t="s">
        <v>84</v>
      </c>
      <c r="L3922" s="80" t="s">
        <v>84</v>
      </c>
      <c r="M3922" s="80" t="s">
        <v>84</v>
      </c>
      <c r="N3922" s="80" t="s">
        <v>84</v>
      </c>
      <c r="O3922" s="80" t="s">
        <v>84</v>
      </c>
      <c r="Q3922" s="80" t="s">
        <v>84</v>
      </c>
      <c r="R3922" s="80" t="s">
        <v>84</v>
      </c>
    </row>
    <row r="3923" spans="1:18" ht="20" x14ac:dyDescent="0.2">
      <c r="A3923" s="80" t="s">
        <v>5819</v>
      </c>
      <c r="B3923" s="80" t="s">
        <v>5820</v>
      </c>
      <c r="C3923" s="80" t="s">
        <v>9680</v>
      </c>
      <c r="D3923" s="80" t="s">
        <v>84</v>
      </c>
      <c r="E3923" s="80" t="s">
        <v>84</v>
      </c>
      <c r="G3923" s="80" t="s">
        <v>84</v>
      </c>
      <c r="H3923" s="80" t="s">
        <v>84</v>
      </c>
      <c r="I3923" s="80" t="s">
        <v>84</v>
      </c>
      <c r="J3923" s="80" t="s">
        <v>84</v>
      </c>
      <c r="K3923" s="80" t="s">
        <v>84</v>
      </c>
      <c r="L3923" s="80" t="s">
        <v>84</v>
      </c>
      <c r="M3923" s="80" t="s">
        <v>84</v>
      </c>
      <c r="N3923" s="80" t="s">
        <v>84</v>
      </c>
      <c r="O3923" s="80" t="s">
        <v>84</v>
      </c>
      <c r="Q3923" s="80" t="s">
        <v>84</v>
      </c>
      <c r="R3923" s="80" t="s">
        <v>84</v>
      </c>
    </row>
    <row r="3924" spans="1:18" ht="20" x14ac:dyDescent="0.2">
      <c r="A3924" s="80" t="s">
        <v>5904</v>
      </c>
      <c r="B3924" s="80" t="s">
        <v>5905</v>
      </c>
      <c r="C3924" s="80" t="s">
        <v>9680</v>
      </c>
      <c r="D3924" s="80" t="s">
        <v>84</v>
      </c>
      <c r="E3924" s="80" t="s">
        <v>84</v>
      </c>
      <c r="G3924" s="80" t="s">
        <v>84</v>
      </c>
      <c r="H3924" s="80" t="s">
        <v>84</v>
      </c>
      <c r="I3924" s="80" t="s">
        <v>84</v>
      </c>
      <c r="J3924" s="80" t="s">
        <v>84</v>
      </c>
      <c r="K3924" s="80" t="s">
        <v>84</v>
      </c>
      <c r="L3924" s="80" t="s">
        <v>84</v>
      </c>
      <c r="M3924" s="80" t="s">
        <v>84</v>
      </c>
      <c r="N3924" s="80" t="s">
        <v>84</v>
      </c>
      <c r="O3924" s="80" t="s">
        <v>84</v>
      </c>
      <c r="Q3924" s="80" t="s">
        <v>84</v>
      </c>
      <c r="R3924" s="80" t="s">
        <v>84</v>
      </c>
    </row>
    <row r="3925" spans="1:18" ht="20" x14ac:dyDescent="0.2">
      <c r="A3925" s="80" t="s">
        <v>1495</v>
      </c>
      <c r="B3925" s="80" t="s">
        <v>1496</v>
      </c>
      <c r="C3925" s="80" t="s">
        <v>9722</v>
      </c>
      <c r="D3925" s="80" t="s">
        <v>84</v>
      </c>
      <c r="E3925" s="80" t="s">
        <v>84</v>
      </c>
      <c r="G3925" s="80" t="s">
        <v>84</v>
      </c>
      <c r="H3925" s="80" t="s">
        <v>84</v>
      </c>
      <c r="I3925" s="80" t="s">
        <v>84</v>
      </c>
      <c r="J3925" s="80" t="s">
        <v>84</v>
      </c>
      <c r="K3925" s="80" t="s">
        <v>84</v>
      </c>
      <c r="L3925" s="80" t="s">
        <v>84</v>
      </c>
      <c r="M3925" s="80" t="s">
        <v>84</v>
      </c>
      <c r="N3925" s="80" t="s">
        <v>84</v>
      </c>
      <c r="O3925" s="80" t="s">
        <v>84</v>
      </c>
      <c r="Q3925" s="80" t="s">
        <v>84</v>
      </c>
      <c r="R3925" s="80" t="s">
        <v>84</v>
      </c>
    </row>
    <row r="3926" spans="1:18" ht="20" x14ac:dyDescent="0.2">
      <c r="A3926" s="80" t="s">
        <v>168</v>
      </c>
      <c r="B3926" s="80" t="s">
        <v>169</v>
      </c>
      <c r="C3926" s="80" t="s">
        <v>9722</v>
      </c>
      <c r="D3926" s="80" t="s">
        <v>84</v>
      </c>
      <c r="E3926" s="80" t="s">
        <v>84</v>
      </c>
      <c r="G3926" s="80" t="s">
        <v>84</v>
      </c>
      <c r="H3926" s="80" t="s">
        <v>84</v>
      </c>
      <c r="I3926" s="80" t="s">
        <v>84</v>
      </c>
      <c r="J3926" s="80" t="s">
        <v>84</v>
      </c>
      <c r="K3926" s="80" t="s">
        <v>84</v>
      </c>
      <c r="L3926" s="80" t="s">
        <v>84</v>
      </c>
      <c r="M3926" s="80" t="s">
        <v>84</v>
      </c>
      <c r="N3926" s="80" t="s">
        <v>84</v>
      </c>
      <c r="O3926" s="80" t="s">
        <v>84</v>
      </c>
      <c r="Q3926" s="80" t="s">
        <v>84</v>
      </c>
      <c r="R3926" s="80" t="s">
        <v>84</v>
      </c>
    </row>
    <row r="3927" spans="1:18" ht="20" x14ac:dyDescent="0.2">
      <c r="A3927" s="80" t="s">
        <v>1367</v>
      </c>
      <c r="B3927" s="80" t="s">
        <v>1368</v>
      </c>
      <c r="C3927" s="80" t="s">
        <v>9722</v>
      </c>
      <c r="D3927" s="80" t="s">
        <v>84</v>
      </c>
      <c r="E3927" s="80" t="s">
        <v>84</v>
      </c>
      <c r="G3927" s="80" t="s">
        <v>84</v>
      </c>
      <c r="H3927" s="80" t="s">
        <v>84</v>
      </c>
      <c r="I3927" s="80" t="s">
        <v>84</v>
      </c>
      <c r="J3927" s="80" t="s">
        <v>84</v>
      </c>
      <c r="K3927" s="80" t="s">
        <v>84</v>
      </c>
      <c r="L3927" s="80" t="s">
        <v>84</v>
      </c>
      <c r="M3927" s="80" t="s">
        <v>84</v>
      </c>
      <c r="N3927" s="80" t="s">
        <v>84</v>
      </c>
      <c r="O3927" s="80" t="s">
        <v>84</v>
      </c>
      <c r="Q3927" s="80" t="s">
        <v>84</v>
      </c>
      <c r="R3927" s="80" t="s">
        <v>84</v>
      </c>
    </row>
    <row r="3928" spans="1:18" ht="20" x14ac:dyDescent="0.2">
      <c r="A3928" s="80" t="s">
        <v>1499</v>
      </c>
      <c r="B3928" s="80" t="s">
        <v>1500</v>
      </c>
      <c r="C3928" s="80" t="s">
        <v>9722</v>
      </c>
      <c r="D3928" s="80" t="s">
        <v>84</v>
      </c>
      <c r="E3928" s="80" t="s">
        <v>84</v>
      </c>
      <c r="G3928" s="80" t="s">
        <v>84</v>
      </c>
      <c r="H3928" s="80" t="s">
        <v>84</v>
      </c>
      <c r="I3928" s="80" t="s">
        <v>84</v>
      </c>
      <c r="J3928" s="80" t="s">
        <v>84</v>
      </c>
      <c r="K3928" s="80" t="s">
        <v>84</v>
      </c>
      <c r="L3928" s="80" t="s">
        <v>84</v>
      </c>
      <c r="M3928" s="80" t="s">
        <v>84</v>
      </c>
      <c r="N3928" s="80" t="s">
        <v>84</v>
      </c>
      <c r="O3928" s="80" t="s">
        <v>84</v>
      </c>
      <c r="Q3928" s="80" t="s">
        <v>84</v>
      </c>
      <c r="R3928" s="80" t="s">
        <v>84</v>
      </c>
    </row>
    <row r="3929" spans="1:18" ht="20" x14ac:dyDescent="0.2">
      <c r="A3929" s="80" t="s">
        <v>1501</v>
      </c>
      <c r="B3929" s="80" t="s">
        <v>1502</v>
      </c>
      <c r="C3929" s="80" t="s">
        <v>9722</v>
      </c>
      <c r="D3929" s="80" t="s">
        <v>84</v>
      </c>
      <c r="E3929" s="80" t="s">
        <v>84</v>
      </c>
      <c r="G3929" s="80" t="s">
        <v>84</v>
      </c>
      <c r="H3929" s="80" t="s">
        <v>84</v>
      </c>
      <c r="I3929" s="80" t="s">
        <v>84</v>
      </c>
      <c r="J3929" s="80" t="s">
        <v>84</v>
      </c>
      <c r="K3929" s="80" t="s">
        <v>84</v>
      </c>
      <c r="L3929" s="80" t="s">
        <v>84</v>
      </c>
      <c r="M3929" s="80" t="s">
        <v>84</v>
      </c>
      <c r="N3929" s="80" t="s">
        <v>84</v>
      </c>
      <c r="O3929" s="80" t="s">
        <v>84</v>
      </c>
      <c r="Q3929" s="80" t="s">
        <v>84</v>
      </c>
      <c r="R3929" s="80" t="s">
        <v>84</v>
      </c>
    </row>
    <row r="3930" spans="1:18" ht="20" x14ac:dyDescent="0.2">
      <c r="A3930" s="80" t="s">
        <v>5845</v>
      </c>
      <c r="B3930" s="80" t="s">
        <v>5846</v>
      </c>
      <c r="C3930" s="80" t="s">
        <v>9722</v>
      </c>
      <c r="D3930" s="80" t="s">
        <v>84</v>
      </c>
      <c r="E3930" s="80" t="s">
        <v>84</v>
      </c>
      <c r="G3930" s="80" t="s">
        <v>84</v>
      </c>
      <c r="H3930" s="80" t="s">
        <v>84</v>
      </c>
      <c r="I3930" s="80" t="s">
        <v>84</v>
      </c>
      <c r="J3930" s="80" t="s">
        <v>84</v>
      </c>
      <c r="K3930" s="80" t="s">
        <v>84</v>
      </c>
      <c r="L3930" s="80" t="s">
        <v>84</v>
      </c>
      <c r="M3930" s="80" t="s">
        <v>84</v>
      </c>
      <c r="N3930" s="80" t="s">
        <v>84</v>
      </c>
      <c r="O3930" s="80" t="s">
        <v>84</v>
      </c>
      <c r="Q3930" s="80" t="s">
        <v>84</v>
      </c>
      <c r="R3930" s="80" t="s">
        <v>84</v>
      </c>
    </row>
    <row r="3931" spans="1:18" ht="20" x14ac:dyDescent="0.2">
      <c r="A3931" s="80" t="s">
        <v>10864</v>
      </c>
      <c r="B3931" s="80" t="s">
        <v>10865</v>
      </c>
      <c r="C3931" s="80" t="s">
        <v>9722</v>
      </c>
      <c r="D3931" s="80" t="s">
        <v>84</v>
      </c>
      <c r="E3931" s="80" t="s">
        <v>84</v>
      </c>
      <c r="G3931" s="80" t="s">
        <v>84</v>
      </c>
      <c r="H3931" s="80" t="s">
        <v>84</v>
      </c>
      <c r="I3931" s="80" t="s">
        <v>84</v>
      </c>
      <c r="J3931" s="80" t="s">
        <v>84</v>
      </c>
      <c r="K3931" s="80" t="s">
        <v>84</v>
      </c>
      <c r="L3931" s="80" t="s">
        <v>84</v>
      </c>
      <c r="M3931" s="80" t="s">
        <v>84</v>
      </c>
      <c r="N3931" s="80" t="s">
        <v>84</v>
      </c>
      <c r="O3931" s="80" t="s">
        <v>84</v>
      </c>
      <c r="Q3931" s="80" t="s">
        <v>84</v>
      </c>
      <c r="R3931" s="80" t="s">
        <v>84</v>
      </c>
    </row>
    <row r="3932" spans="1:18" ht="20" x14ac:dyDescent="0.2">
      <c r="A3932" s="80" t="s">
        <v>5843</v>
      </c>
      <c r="B3932" s="80" t="s">
        <v>5844</v>
      </c>
      <c r="C3932" s="80" t="s">
        <v>9722</v>
      </c>
      <c r="D3932" s="80" t="s">
        <v>84</v>
      </c>
      <c r="E3932" s="80" t="s">
        <v>84</v>
      </c>
      <c r="G3932" s="80" t="s">
        <v>84</v>
      </c>
      <c r="H3932" s="80" t="s">
        <v>84</v>
      </c>
      <c r="I3932" s="80" t="s">
        <v>84</v>
      </c>
      <c r="J3932" s="80" t="s">
        <v>84</v>
      </c>
      <c r="K3932" s="80" t="s">
        <v>84</v>
      </c>
      <c r="L3932" s="80" t="s">
        <v>84</v>
      </c>
      <c r="M3932" s="80" t="s">
        <v>84</v>
      </c>
      <c r="N3932" s="80" t="s">
        <v>84</v>
      </c>
      <c r="O3932" s="80" t="s">
        <v>84</v>
      </c>
      <c r="Q3932" s="80" t="s">
        <v>84</v>
      </c>
      <c r="R3932" s="80" t="s">
        <v>84</v>
      </c>
    </row>
    <row r="3933" spans="1:18" ht="20" x14ac:dyDescent="0.2">
      <c r="A3933" s="80" t="s">
        <v>2643</v>
      </c>
      <c r="B3933" s="80" t="s">
        <v>2644</v>
      </c>
      <c r="C3933" s="80" t="s">
        <v>9722</v>
      </c>
      <c r="D3933" s="80" t="s">
        <v>84</v>
      </c>
      <c r="E3933" s="80" t="s">
        <v>84</v>
      </c>
      <c r="G3933" s="80" t="s">
        <v>84</v>
      </c>
      <c r="H3933" s="80" t="s">
        <v>84</v>
      </c>
      <c r="I3933" s="80" t="s">
        <v>84</v>
      </c>
      <c r="J3933" s="80" t="s">
        <v>84</v>
      </c>
      <c r="K3933" s="80" t="s">
        <v>84</v>
      </c>
      <c r="L3933" s="80" t="s">
        <v>84</v>
      </c>
      <c r="M3933" s="80" t="s">
        <v>84</v>
      </c>
      <c r="N3933" s="80" t="s">
        <v>84</v>
      </c>
      <c r="O3933" s="80" t="s">
        <v>84</v>
      </c>
      <c r="Q3933" s="80" t="s">
        <v>84</v>
      </c>
      <c r="R3933" s="80" t="s">
        <v>84</v>
      </c>
    </row>
    <row r="3934" spans="1:18" ht="20" x14ac:dyDescent="0.2">
      <c r="A3934" s="80" t="s">
        <v>3843</v>
      </c>
      <c r="B3934" s="80" t="s">
        <v>3844</v>
      </c>
      <c r="C3934" s="80" t="s">
        <v>9722</v>
      </c>
      <c r="D3934" s="80" t="s">
        <v>84</v>
      </c>
      <c r="E3934" s="80" t="s">
        <v>84</v>
      </c>
      <c r="G3934" s="80" t="s">
        <v>84</v>
      </c>
      <c r="H3934" s="80" t="s">
        <v>84</v>
      </c>
      <c r="I3934" s="80" t="s">
        <v>84</v>
      </c>
      <c r="J3934" s="80" t="s">
        <v>84</v>
      </c>
      <c r="K3934" s="80" t="s">
        <v>84</v>
      </c>
      <c r="L3934" s="80" t="s">
        <v>84</v>
      </c>
      <c r="M3934" s="80" t="s">
        <v>84</v>
      </c>
      <c r="N3934" s="80" t="s">
        <v>84</v>
      </c>
      <c r="O3934" s="80" t="s">
        <v>84</v>
      </c>
      <c r="Q3934" s="80" t="s">
        <v>84</v>
      </c>
      <c r="R3934" s="80" t="s">
        <v>84</v>
      </c>
    </row>
    <row r="3935" spans="1:18" ht="20" x14ac:dyDescent="0.2">
      <c r="A3935" s="80" t="s">
        <v>10866</v>
      </c>
      <c r="B3935" s="80" t="s">
        <v>10867</v>
      </c>
      <c r="C3935" s="80" t="s">
        <v>9722</v>
      </c>
      <c r="D3935" s="80" t="s">
        <v>84</v>
      </c>
      <c r="E3935" s="80" t="s">
        <v>84</v>
      </c>
      <c r="G3935" s="80" t="s">
        <v>84</v>
      </c>
      <c r="H3935" s="80" t="s">
        <v>84</v>
      </c>
      <c r="I3935" s="80" t="s">
        <v>84</v>
      </c>
      <c r="J3935" s="80" t="s">
        <v>84</v>
      </c>
      <c r="K3935" s="80" t="s">
        <v>84</v>
      </c>
      <c r="L3935" s="80" t="s">
        <v>84</v>
      </c>
      <c r="M3935" s="80" t="s">
        <v>84</v>
      </c>
      <c r="N3935" s="80" t="s">
        <v>84</v>
      </c>
      <c r="O3935" s="80" t="s">
        <v>84</v>
      </c>
      <c r="Q3935" s="80" t="s">
        <v>84</v>
      </c>
      <c r="R3935" s="80" t="s">
        <v>84</v>
      </c>
    </row>
    <row r="3936" spans="1:18" ht="20" x14ac:dyDescent="0.2">
      <c r="A3936" s="80" t="s">
        <v>3264</v>
      </c>
      <c r="B3936" s="80" t="s">
        <v>3265</v>
      </c>
      <c r="C3936" s="80" t="s">
        <v>84</v>
      </c>
      <c r="D3936" s="80" t="s">
        <v>84</v>
      </c>
      <c r="E3936" s="80" t="s">
        <v>84</v>
      </c>
      <c r="G3936" s="80" t="s">
        <v>84</v>
      </c>
      <c r="H3936" s="80" t="s">
        <v>84</v>
      </c>
      <c r="I3936" s="80" t="s">
        <v>84</v>
      </c>
      <c r="J3936" s="80" t="s">
        <v>84</v>
      </c>
      <c r="K3936" s="80" t="s">
        <v>84</v>
      </c>
      <c r="L3936" s="80" t="s">
        <v>84</v>
      </c>
      <c r="M3936" s="80" t="s">
        <v>84</v>
      </c>
      <c r="N3936" s="80" t="s">
        <v>84</v>
      </c>
      <c r="O3936" s="80" t="s">
        <v>84</v>
      </c>
      <c r="Q3936" s="80" t="s">
        <v>84</v>
      </c>
      <c r="R3936" s="80" t="s">
        <v>84</v>
      </c>
    </row>
    <row r="3937" spans="1:18" ht="20" x14ac:dyDescent="0.2">
      <c r="A3937" s="80" t="s">
        <v>1082</v>
      </c>
      <c r="B3937" s="80" t="s">
        <v>1083</v>
      </c>
      <c r="C3937" s="80" t="s">
        <v>9722</v>
      </c>
      <c r="D3937" s="80" t="s">
        <v>84</v>
      </c>
      <c r="E3937" s="80" t="s">
        <v>84</v>
      </c>
      <c r="G3937" s="80" t="s">
        <v>84</v>
      </c>
      <c r="H3937" s="80" t="s">
        <v>84</v>
      </c>
      <c r="I3937" s="80" t="s">
        <v>84</v>
      </c>
      <c r="J3937" s="80" t="s">
        <v>84</v>
      </c>
      <c r="K3937" s="80" t="s">
        <v>84</v>
      </c>
      <c r="L3937" s="80" t="s">
        <v>84</v>
      </c>
      <c r="M3937" s="80" t="s">
        <v>84</v>
      </c>
      <c r="N3937" s="80" t="s">
        <v>84</v>
      </c>
      <c r="O3937" s="80" t="s">
        <v>84</v>
      </c>
      <c r="Q3937" s="80" t="s">
        <v>84</v>
      </c>
      <c r="R3937" s="80" t="s">
        <v>84</v>
      </c>
    </row>
    <row r="3938" spans="1:18" ht="20" x14ac:dyDescent="0.2">
      <c r="A3938" s="80" t="s">
        <v>2106</v>
      </c>
      <c r="B3938" s="80" t="s">
        <v>2107</v>
      </c>
      <c r="C3938" s="80" t="s">
        <v>9722</v>
      </c>
      <c r="D3938" s="80" t="s">
        <v>84</v>
      </c>
      <c r="E3938" s="80" t="s">
        <v>84</v>
      </c>
      <c r="G3938" s="80" t="s">
        <v>84</v>
      </c>
      <c r="H3938" s="80" t="s">
        <v>84</v>
      </c>
      <c r="I3938" s="80" t="s">
        <v>84</v>
      </c>
      <c r="J3938" s="80" t="s">
        <v>84</v>
      </c>
      <c r="K3938" s="80" t="s">
        <v>84</v>
      </c>
      <c r="L3938" s="80" t="s">
        <v>84</v>
      </c>
      <c r="M3938" s="80" t="s">
        <v>84</v>
      </c>
      <c r="N3938" s="80" t="s">
        <v>84</v>
      </c>
      <c r="O3938" s="80" t="s">
        <v>84</v>
      </c>
      <c r="Q3938" s="80" t="s">
        <v>84</v>
      </c>
      <c r="R3938" s="80" t="s">
        <v>84</v>
      </c>
    </row>
    <row r="3939" spans="1:18" ht="20" x14ac:dyDescent="0.2">
      <c r="A3939" s="80" t="s">
        <v>2609</v>
      </c>
      <c r="B3939" s="80" t="s">
        <v>2610</v>
      </c>
      <c r="C3939" s="80" t="s">
        <v>9680</v>
      </c>
      <c r="D3939" s="80" t="s">
        <v>84</v>
      </c>
      <c r="E3939" s="80" t="s">
        <v>84</v>
      </c>
      <c r="G3939" s="80" t="s">
        <v>84</v>
      </c>
      <c r="H3939" s="80" t="s">
        <v>84</v>
      </c>
      <c r="I3939" s="80" t="s">
        <v>84</v>
      </c>
      <c r="J3939" s="80" t="s">
        <v>84</v>
      </c>
      <c r="K3939" s="80" t="s">
        <v>84</v>
      </c>
      <c r="L3939" s="80" t="s">
        <v>84</v>
      </c>
      <c r="M3939" s="80" t="s">
        <v>84</v>
      </c>
      <c r="N3939" s="80" t="s">
        <v>84</v>
      </c>
      <c r="O3939" s="80" t="s">
        <v>84</v>
      </c>
      <c r="Q3939" s="80" t="s">
        <v>84</v>
      </c>
      <c r="R3939" s="80" t="s">
        <v>84</v>
      </c>
    </row>
    <row r="3940" spans="1:18" ht="20" x14ac:dyDescent="0.2">
      <c r="A3940" s="80" t="s">
        <v>2611</v>
      </c>
      <c r="B3940" s="80" t="s">
        <v>2612</v>
      </c>
      <c r="C3940" s="80" t="s">
        <v>9680</v>
      </c>
      <c r="D3940" s="80" t="s">
        <v>84</v>
      </c>
      <c r="E3940" s="80" t="s">
        <v>84</v>
      </c>
      <c r="G3940" s="80" t="s">
        <v>84</v>
      </c>
      <c r="H3940" s="80" t="s">
        <v>84</v>
      </c>
      <c r="I3940" s="80" t="s">
        <v>84</v>
      </c>
      <c r="J3940" s="80" t="s">
        <v>84</v>
      </c>
      <c r="K3940" s="80" t="s">
        <v>84</v>
      </c>
      <c r="L3940" s="80" t="s">
        <v>84</v>
      </c>
      <c r="M3940" s="80" t="s">
        <v>84</v>
      </c>
      <c r="N3940" s="80" t="s">
        <v>84</v>
      </c>
      <c r="O3940" s="80" t="s">
        <v>84</v>
      </c>
      <c r="Q3940" s="80" t="s">
        <v>84</v>
      </c>
      <c r="R3940" s="80" t="s">
        <v>84</v>
      </c>
    </row>
    <row r="3941" spans="1:18" ht="20" x14ac:dyDescent="0.2">
      <c r="A3941" s="80" t="s">
        <v>2613</v>
      </c>
      <c r="B3941" s="80" t="s">
        <v>2614</v>
      </c>
      <c r="C3941" s="80" t="s">
        <v>9680</v>
      </c>
      <c r="D3941" s="80" t="s">
        <v>84</v>
      </c>
      <c r="E3941" s="80" t="s">
        <v>84</v>
      </c>
      <c r="G3941" s="80" t="s">
        <v>84</v>
      </c>
      <c r="H3941" s="80" t="s">
        <v>84</v>
      </c>
      <c r="I3941" s="80" t="s">
        <v>84</v>
      </c>
      <c r="J3941" s="80" t="s">
        <v>84</v>
      </c>
      <c r="K3941" s="80" t="s">
        <v>84</v>
      </c>
      <c r="L3941" s="80" t="s">
        <v>84</v>
      </c>
      <c r="M3941" s="80" t="s">
        <v>84</v>
      </c>
      <c r="N3941" s="80" t="s">
        <v>84</v>
      </c>
      <c r="O3941" s="80" t="s">
        <v>84</v>
      </c>
      <c r="Q3941" s="80" t="s">
        <v>84</v>
      </c>
      <c r="R3941" s="80" t="s">
        <v>84</v>
      </c>
    </row>
    <row r="3942" spans="1:18" ht="20" x14ac:dyDescent="0.2">
      <c r="A3942" s="80" t="s">
        <v>3680</v>
      </c>
      <c r="B3942" s="80" t="s">
        <v>3681</v>
      </c>
      <c r="C3942" s="80" t="s">
        <v>84</v>
      </c>
      <c r="D3942" s="80" t="s">
        <v>84</v>
      </c>
      <c r="E3942" s="80" t="s">
        <v>84</v>
      </c>
      <c r="G3942" s="80" t="s">
        <v>84</v>
      </c>
      <c r="H3942" s="80" t="s">
        <v>84</v>
      </c>
      <c r="I3942" s="80" t="s">
        <v>84</v>
      </c>
      <c r="J3942" s="80" t="s">
        <v>84</v>
      </c>
      <c r="K3942" s="80" t="s">
        <v>84</v>
      </c>
      <c r="L3942" s="80" t="s">
        <v>84</v>
      </c>
      <c r="M3942" s="80" t="s">
        <v>84</v>
      </c>
      <c r="N3942" s="80" t="s">
        <v>84</v>
      </c>
      <c r="O3942" s="80" t="s">
        <v>84</v>
      </c>
      <c r="Q3942" s="80" t="s">
        <v>84</v>
      </c>
      <c r="R3942" s="80" t="s">
        <v>84</v>
      </c>
    </row>
    <row r="3943" spans="1:18" ht="20" x14ac:dyDescent="0.2">
      <c r="A3943" s="80" t="s">
        <v>3682</v>
      </c>
      <c r="B3943" s="80" t="s">
        <v>3683</v>
      </c>
      <c r="C3943" s="80" t="s">
        <v>84</v>
      </c>
      <c r="D3943" s="80" t="s">
        <v>84</v>
      </c>
      <c r="E3943" s="80" t="s">
        <v>84</v>
      </c>
      <c r="G3943" s="80" t="s">
        <v>84</v>
      </c>
      <c r="H3943" s="80" t="s">
        <v>84</v>
      </c>
      <c r="I3943" s="80" t="s">
        <v>84</v>
      </c>
      <c r="J3943" s="80" t="s">
        <v>84</v>
      </c>
      <c r="K3943" s="80" t="s">
        <v>84</v>
      </c>
      <c r="L3943" s="80" t="s">
        <v>84</v>
      </c>
      <c r="M3943" s="80" t="s">
        <v>84</v>
      </c>
      <c r="N3943" s="80" t="s">
        <v>84</v>
      </c>
      <c r="O3943" s="80" t="s">
        <v>84</v>
      </c>
      <c r="Q3943" s="80" t="s">
        <v>84</v>
      </c>
      <c r="R3943" s="80" t="s">
        <v>84</v>
      </c>
    </row>
    <row r="3944" spans="1:18" ht="20" x14ac:dyDescent="0.2">
      <c r="A3944" s="80" t="s">
        <v>3684</v>
      </c>
      <c r="B3944" s="80" t="s">
        <v>3685</v>
      </c>
      <c r="C3944" s="80" t="s">
        <v>84</v>
      </c>
      <c r="D3944" s="80" t="s">
        <v>84</v>
      </c>
      <c r="E3944" s="80" t="s">
        <v>84</v>
      </c>
      <c r="G3944" s="80" t="s">
        <v>84</v>
      </c>
      <c r="H3944" s="80" t="s">
        <v>84</v>
      </c>
      <c r="I3944" s="80" t="s">
        <v>84</v>
      </c>
      <c r="J3944" s="80" t="s">
        <v>84</v>
      </c>
      <c r="K3944" s="80" t="s">
        <v>84</v>
      </c>
      <c r="L3944" s="80" t="s">
        <v>84</v>
      </c>
      <c r="M3944" s="80" t="s">
        <v>84</v>
      </c>
      <c r="N3944" s="80" t="s">
        <v>84</v>
      </c>
      <c r="O3944" s="80" t="s">
        <v>84</v>
      </c>
      <c r="Q3944" s="80" t="s">
        <v>84</v>
      </c>
      <c r="R3944" s="80" t="s">
        <v>84</v>
      </c>
    </row>
    <row r="3945" spans="1:18" ht="20" x14ac:dyDescent="0.2">
      <c r="A3945" s="80" t="s">
        <v>5810</v>
      </c>
      <c r="B3945" s="80" t="s">
        <v>5811</v>
      </c>
      <c r="C3945" s="80" t="s">
        <v>84</v>
      </c>
      <c r="D3945" s="80" t="s">
        <v>84</v>
      </c>
      <c r="E3945" s="80" t="s">
        <v>84</v>
      </c>
      <c r="G3945" s="80" t="s">
        <v>84</v>
      </c>
      <c r="H3945" s="80" t="s">
        <v>84</v>
      </c>
      <c r="I3945" s="80" t="s">
        <v>84</v>
      </c>
      <c r="J3945" s="80" t="s">
        <v>84</v>
      </c>
      <c r="K3945" s="80" t="s">
        <v>84</v>
      </c>
      <c r="L3945" s="80" t="s">
        <v>84</v>
      </c>
      <c r="M3945" s="80" t="s">
        <v>84</v>
      </c>
      <c r="N3945" s="80" t="s">
        <v>84</v>
      </c>
      <c r="O3945" s="80" t="s">
        <v>84</v>
      </c>
      <c r="Q3945" s="80" t="s">
        <v>84</v>
      </c>
      <c r="R3945" s="80" t="s">
        <v>84</v>
      </c>
    </row>
    <row r="3946" spans="1:18" ht="20" x14ac:dyDescent="0.2">
      <c r="A3946" s="80" t="s">
        <v>5786</v>
      </c>
      <c r="B3946" s="80" t="s">
        <v>5787</v>
      </c>
      <c r="C3946" s="80" t="s">
        <v>84</v>
      </c>
      <c r="D3946" s="80" t="s">
        <v>84</v>
      </c>
      <c r="E3946" s="80" t="s">
        <v>84</v>
      </c>
      <c r="G3946" s="80" t="s">
        <v>84</v>
      </c>
      <c r="H3946" s="80" t="s">
        <v>84</v>
      </c>
      <c r="I3946" s="80" t="s">
        <v>84</v>
      </c>
      <c r="J3946" s="80" t="s">
        <v>84</v>
      </c>
      <c r="K3946" s="80" t="s">
        <v>84</v>
      </c>
      <c r="L3946" s="80" t="s">
        <v>84</v>
      </c>
      <c r="M3946" s="80" t="s">
        <v>84</v>
      </c>
      <c r="N3946" s="80" t="s">
        <v>84</v>
      </c>
      <c r="O3946" s="80" t="s">
        <v>84</v>
      </c>
      <c r="Q3946" s="80" t="s">
        <v>84</v>
      </c>
      <c r="R3946" s="80" t="s">
        <v>84</v>
      </c>
    </row>
    <row r="3947" spans="1:18" ht="20" x14ac:dyDescent="0.2">
      <c r="A3947" s="80" t="s">
        <v>5788</v>
      </c>
      <c r="B3947" s="80" t="s">
        <v>5789</v>
      </c>
      <c r="C3947" s="80" t="s">
        <v>84</v>
      </c>
      <c r="D3947" s="80" t="s">
        <v>84</v>
      </c>
      <c r="E3947" s="80" t="s">
        <v>84</v>
      </c>
      <c r="G3947" s="80" t="s">
        <v>84</v>
      </c>
      <c r="H3947" s="80" t="s">
        <v>84</v>
      </c>
      <c r="I3947" s="80" t="s">
        <v>84</v>
      </c>
      <c r="J3947" s="80" t="s">
        <v>84</v>
      </c>
      <c r="K3947" s="80" t="s">
        <v>84</v>
      </c>
      <c r="L3947" s="80" t="s">
        <v>84</v>
      </c>
      <c r="M3947" s="80" t="s">
        <v>84</v>
      </c>
      <c r="N3947" s="80" t="s">
        <v>84</v>
      </c>
      <c r="O3947" s="80" t="s">
        <v>84</v>
      </c>
      <c r="Q3947" s="80" t="s">
        <v>84</v>
      </c>
      <c r="R3947" s="80" t="s">
        <v>84</v>
      </c>
    </row>
    <row r="3948" spans="1:18" ht="20" x14ac:dyDescent="0.2">
      <c r="A3948" s="80" t="s">
        <v>5729</v>
      </c>
      <c r="B3948" s="80" t="s">
        <v>5730</v>
      </c>
      <c r="C3948" s="80" t="s">
        <v>84</v>
      </c>
      <c r="D3948" s="80" t="s">
        <v>84</v>
      </c>
      <c r="E3948" s="80" t="s">
        <v>84</v>
      </c>
      <c r="G3948" s="80" t="s">
        <v>84</v>
      </c>
      <c r="H3948" s="80" t="s">
        <v>84</v>
      </c>
      <c r="I3948" s="80" t="s">
        <v>84</v>
      </c>
      <c r="J3948" s="80" t="s">
        <v>84</v>
      </c>
      <c r="K3948" s="80" t="s">
        <v>84</v>
      </c>
      <c r="L3948" s="80" t="s">
        <v>84</v>
      </c>
      <c r="M3948" s="80" t="s">
        <v>84</v>
      </c>
      <c r="N3948" s="80" t="s">
        <v>84</v>
      </c>
      <c r="O3948" s="80" t="s">
        <v>84</v>
      </c>
      <c r="Q3948" s="80" t="s">
        <v>84</v>
      </c>
      <c r="R3948" s="80" t="s">
        <v>84</v>
      </c>
    </row>
    <row r="3949" spans="1:18" ht="20" x14ac:dyDescent="0.2">
      <c r="A3949" s="80" t="s">
        <v>5812</v>
      </c>
      <c r="B3949" s="80" t="s">
        <v>5813</v>
      </c>
      <c r="C3949" s="80" t="s">
        <v>84</v>
      </c>
      <c r="D3949" s="80" t="s">
        <v>84</v>
      </c>
      <c r="E3949" s="80" t="s">
        <v>84</v>
      </c>
      <c r="G3949" s="80" t="s">
        <v>84</v>
      </c>
      <c r="H3949" s="80" t="s">
        <v>84</v>
      </c>
      <c r="I3949" s="80" t="s">
        <v>84</v>
      </c>
      <c r="J3949" s="80" t="s">
        <v>84</v>
      </c>
      <c r="K3949" s="80" t="s">
        <v>84</v>
      </c>
      <c r="L3949" s="80" t="s">
        <v>84</v>
      </c>
      <c r="M3949" s="80" t="s">
        <v>84</v>
      </c>
      <c r="N3949" s="80" t="s">
        <v>84</v>
      </c>
      <c r="O3949" s="80" t="s">
        <v>84</v>
      </c>
      <c r="Q3949" s="80" t="s">
        <v>84</v>
      </c>
      <c r="R3949" s="80" t="s">
        <v>84</v>
      </c>
    </row>
    <row r="3950" spans="1:18" ht="20" x14ac:dyDescent="0.2">
      <c r="A3950" s="80" t="s">
        <v>5814</v>
      </c>
      <c r="B3950" s="80" t="s">
        <v>5815</v>
      </c>
      <c r="C3950" s="80" t="s">
        <v>84</v>
      </c>
      <c r="D3950" s="80" t="s">
        <v>84</v>
      </c>
      <c r="E3950" s="80" t="s">
        <v>84</v>
      </c>
      <c r="G3950" s="80" t="s">
        <v>84</v>
      </c>
      <c r="H3950" s="80" t="s">
        <v>84</v>
      </c>
      <c r="I3950" s="80" t="s">
        <v>84</v>
      </c>
      <c r="J3950" s="80" t="s">
        <v>84</v>
      </c>
      <c r="K3950" s="80" t="s">
        <v>84</v>
      </c>
      <c r="L3950" s="80" t="s">
        <v>84</v>
      </c>
      <c r="M3950" s="80" t="s">
        <v>84</v>
      </c>
      <c r="N3950" s="80" t="s">
        <v>84</v>
      </c>
      <c r="O3950" s="80" t="s">
        <v>84</v>
      </c>
      <c r="Q3950" s="80" t="s">
        <v>84</v>
      </c>
      <c r="R3950" s="80" t="s">
        <v>84</v>
      </c>
    </row>
    <row r="3951" spans="1:18" ht="20" x14ac:dyDescent="0.2">
      <c r="A3951" s="80" t="s">
        <v>5761</v>
      </c>
      <c r="B3951" s="80" t="s">
        <v>5762</v>
      </c>
      <c r="C3951" s="80" t="s">
        <v>84</v>
      </c>
      <c r="D3951" s="80" t="s">
        <v>84</v>
      </c>
      <c r="E3951" s="80" t="s">
        <v>84</v>
      </c>
      <c r="G3951" s="80" t="s">
        <v>84</v>
      </c>
      <c r="H3951" s="80" t="s">
        <v>84</v>
      </c>
      <c r="I3951" s="80" t="s">
        <v>84</v>
      </c>
      <c r="J3951" s="80" t="s">
        <v>84</v>
      </c>
      <c r="K3951" s="80" t="s">
        <v>84</v>
      </c>
      <c r="L3951" s="80" t="s">
        <v>84</v>
      </c>
      <c r="M3951" s="80" t="s">
        <v>84</v>
      </c>
      <c r="N3951" s="80" t="s">
        <v>84</v>
      </c>
      <c r="O3951" s="80" t="s">
        <v>84</v>
      </c>
      <c r="Q3951" s="80" t="s">
        <v>84</v>
      </c>
      <c r="R3951" s="80" t="s">
        <v>84</v>
      </c>
    </row>
    <row r="3952" spans="1:18" ht="20" x14ac:dyDescent="0.2">
      <c r="A3952" s="80" t="s">
        <v>1503</v>
      </c>
      <c r="B3952" s="80" t="s">
        <v>1504</v>
      </c>
      <c r="C3952" s="80" t="s">
        <v>9680</v>
      </c>
      <c r="D3952" s="80" t="s">
        <v>84</v>
      </c>
      <c r="E3952" s="80" t="s">
        <v>84</v>
      </c>
      <c r="G3952" s="80" t="s">
        <v>84</v>
      </c>
      <c r="H3952" s="80" t="s">
        <v>84</v>
      </c>
      <c r="I3952" s="80" t="s">
        <v>84</v>
      </c>
      <c r="J3952" s="80" t="s">
        <v>84</v>
      </c>
      <c r="K3952" s="80" t="s">
        <v>84</v>
      </c>
      <c r="L3952" s="80" t="s">
        <v>84</v>
      </c>
      <c r="M3952" s="80" t="s">
        <v>84</v>
      </c>
      <c r="N3952" s="80" t="s">
        <v>84</v>
      </c>
      <c r="O3952" s="80" t="s">
        <v>84</v>
      </c>
      <c r="Q3952" s="80" t="s">
        <v>84</v>
      </c>
      <c r="R3952" s="80" t="s">
        <v>84</v>
      </c>
    </row>
    <row r="3953" spans="1:18" ht="20" x14ac:dyDescent="0.2">
      <c r="A3953" s="80" t="s">
        <v>1505</v>
      </c>
      <c r="B3953" s="80" t="s">
        <v>1506</v>
      </c>
      <c r="C3953" s="80" t="s">
        <v>84</v>
      </c>
      <c r="D3953" s="80" t="s">
        <v>84</v>
      </c>
      <c r="E3953" s="80" t="s">
        <v>84</v>
      </c>
      <c r="G3953" s="80" t="s">
        <v>84</v>
      </c>
      <c r="H3953" s="80" t="s">
        <v>84</v>
      </c>
      <c r="I3953" s="80" t="s">
        <v>84</v>
      </c>
      <c r="J3953" s="80" t="s">
        <v>84</v>
      </c>
      <c r="K3953" s="80" t="s">
        <v>84</v>
      </c>
      <c r="L3953" s="80" t="s">
        <v>84</v>
      </c>
      <c r="M3953" s="80" t="s">
        <v>84</v>
      </c>
      <c r="N3953" s="80" t="s">
        <v>84</v>
      </c>
      <c r="O3953" s="80" t="s">
        <v>84</v>
      </c>
      <c r="Q3953" s="80" t="s">
        <v>84</v>
      </c>
      <c r="R3953" s="80" t="s">
        <v>84</v>
      </c>
    </row>
    <row r="3954" spans="1:18" ht="20" x14ac:dyDescent="0.2">
      <c r="A3954" s="80" t="s">
        <v>1497</v>
      </c>
      <c r="B3954" s="80" t="s">
        <v>1498</v>
      </c>
      <c r="C3954" s="80" t="s">
        <v>84</v>
      </c>
      <c r="D3954" s="80" t="s">
        <v>84</v>
      </c>
      <c r="E3954" s="80" t="s">
        <v>84</v>
      </c>
      <c r="G3954" s="80" t="s">
        <v>84</v>
      </c>
      <c r="H3954" s="80" t="s">
        <v>84</v>
      </c>
      <c r="I3954" s="80" t="s">
        <v>84</v>
      </c>
      <c r="J3954" s="80" t="s">
        <v>84</v>
      </c>
      <c r="K3954" s="80" t="s">
        <v>84</v>
      </c>
      <c r="L3954" s="80" t="s">
        <v>84</v>
      </c>
      <c r="M3954" s="80" t="s">
        <v>84</v>
      </c>
      <c r="N3954" s="80" t="s">
        <v>84</v>
      </c>
      <c r="O3954" s="80" t="s">
        <v>84</v>
      </c>
      <c r="Q3954" s="80" t="s">
        <v>84</v>
      </c>
      <c r="R3954" s="80" t="s">
        <v>84</v>
      </c>
    </row>
    <row r="3955" spans="1:18" ht="20" x14ac:dyDescent="0.2">
      <c r="A3955" s="80" t="s">
        <v>1043</v>
      </c>
      <c r="B3955" s="80" t="s">
        <v>1044</v>
      </c>
      <c r="C3955" s="80" t="s">
        <v>9680</v>
      </c>
      <c r="D3955" s="80" t="s">
        <v>84</v>
      </c>
      <c r="E3955" s="80" t="s">
        <v>84</v>
      </c>
      <c r="G3955" s="80" t="s">
        <v>84</v>
      </c>
      <c r="H3955" s="80" t="s">
        <v>84</v>
      </c>
      <c r="I3955" s="80" t="s">
        <v>84</v>
      </c>
      <c r="J3955" s="80" t="s">
        <v>84</v>
      </c>
      <c r="K3955" s="80" t="s">
        <v>84</v>
      </c>
      <c r="L3955" s="80" t="s">
        <v>84</v>
      </c>
      <c r="M3955" s="80" t="s">
        <v>84</v>
      </c>
      <c r="N3955" s="80" t="s">
        <v>84</v>
      </c>
      <c r="O3955" s="80" t="s">
        <v>84</v>
      </c>
      <c r="Q3955" s="80" t="s">
        <v>84</v>
      </c>
      <c r="R3955" s="80" t="s">
        <v>84</v>
      </c>
    </row>
    <row r="3956" spans="1:18" ht="20" x14ac:dyDescent="0.2">
      <c r="A3956" s="80" t="s">
        <v>5685</v>
      </c>
      <c r="B3956" s="80" t="s">
        <v>5686</v>
      </c>
      <c r="C3956" s="80" t="s">
        <v>84</v>
      </c>
      <c r="D3956" s="80" t="s">
        <v>84</v>
      </c>
      <c r="E3956" s="80" t="s">
        <v>84</v>
      </c>
      <c r="G3956" s="80" t="s">
        <v>84</v>
      </c>
      <c r="H3956" s="80" t="s">
        <v>84</v>
      </c>
      <c r="I3956" s="80" t="s">
        <v>84</v>
      </c>
      <c r="J3956" s="80" t="s">
        <v>84</v>
      </c>
      <c r="K3956" s="80" t="s">
        <v>84</v>
      </c>
      <c r="L3956" s="80" t="s">
        <v>84</v>
      </c>
      <c r="M3956" s="80" t="s">
        <v>84</v>
      </c>
      <c r="N3956" s="80" t="s">
        <v>84</v>
      </c>
      <c r="O3956" s="80" t="s">
        <v>84</v>
      </c>
      <c r="Q3956" s="80" t="s">
        <v>84</v>
      </c>
      <c r="R3956" s="80" t="s">
        <v>84</v>
      </c>
    </row>
    <row r="3957" spans="1:18" ht="20" x14ac:dyDescent="0.2">
      <c r="A3957" s="80" t="s">
        <v>1045</v>
      </c>
      <c r="B3957" s="80" t="s">
        <v>1046</v>
      </c>
      <c r="C3957" s="80" t="s">
        <v>84</v>
      </c>
      <c r="D3957" s="80" t="s">
        <v>84</v>
      </c>
      <c r="E3957" s="80" t="s">
        <v>84</v>
      </c>
      <c r="G3957" s="80" t="s">
        <v>84</v>
      </c>
      <c r="H3957" s="80" t="s">
        <v>84</v>
      </c>
      <c r="I3957" s="80" t="s">
        <v>84</v>
      </c>
      <c r="J3957" s="80" t="s">
        <v>84</v>
      </c>
      <c r="K3957" s="80" t="s">
        <v>84</v>
      </c>
      <c r="L3957" s="80" t="s">
        <v>84</v>
      </c>
      <c r="M3957" s="80" t="s">
        <v>84</v>
      </c>
      <c r="N3957" s="80" t="s">
        <v>84</v>
      </c>
      <c r="O3957" s="80" t="s">
        <v>84</v>
      </c>
      <c r="Q3957" s="80" t="s">
        <v>84</v>
      </c>
      <c r="R3957" s="80" t="s">
        <v>84</v>
      </c>
    </row>
    <row r="3958" spans="1:18" ht="20" x14ac:dyDescent="0.2">
      <c r="A3958" s="80" t="s">
        <v>1333</v>
      </c>
      <c r="B3958" s="80" t="s">
        <v>1334</v>
      </c>
      <c r="C3958" s="80" t="s">
        <v>84</v>
      </c>
      <c r="D3958" s="80" t="s">
        <v>84</v>
      </c>
      <c r="E3958" s="80" t="s">
        <v>84</v>
      </c>
      <c r="G3958" s="80" t="s">
        <v>84</v>
      </c>
      <c r="H3958" s="80" t="s">
        <v>84</v>
      </c>
      <c r="I3958" s="80" t="s">
        <v>84</v>
      </c>
      <c r="J3958" s="80" t="s">
        <v>84</v>
      </c>
      <c r="K3958" s="80" t="s">
        <v>84</v>
      </c>
      <c r="L3958" s="80" t="s">
        <v>84</v>
      </c>
      <c r="M3958" s="80" t="s">
        <v>84</v>
      </c>
      <c r="N3958" s="80" t="s">
        <v>84</v>
      </c>
      <c r="O3958" s="80" t="s">
        <v>84</v>
      </c>
      <c r="Q3958" s="80" t="s">
        <v>84</v>
      </c>
      <c r="R3958" s="80" t="s">
        <v>84</v>
      </c>
    </row>
    <row r="3959" spans="1:18" ht="20" x14ac:dyDescent="0.2">
      <c r="A3959" s="80" t="s">
        <v>1002</v>
      </c>
      <c r="B3959" s="80" t="s">
        <v>1003</v>
      </c>
      <c r="C3959" s="80" t="s">
        <v>84</v>
      </c>
      <c r="D3959" s="80" t="s">
        <v>84</v>
      </c>
      <c r="E3959" s="80" t="s">
        <v>84</v>
      </c>
      <c r="G3959" s="80" t="s">
        <v>84</v>
      </c>
      <c r="H3959" s="80" t="s">
        <v>84</v>
      </c>
      <c r="I3959" s="80" t="s">
        <v>84</v>
      </c>
      <c r="J3959" s="80" t="s">
        <v>84</v>
      </c>
      <c r="K3959" s="80" t="s">
        <v>84</v>
      </c>
      <c r="L3959" s="80" t="s">
        <v>84</v>
      </c>
      <c r="M3959" s="80" t="s">
        <v>84</v>
      </c>
      <c r="N3959" s="80" t="s">
        <v>84</v>
      </c>
      <c r="O3959" s="80" t="s">
        <v>84</v>
      </c>
      <c r="Q3959" s="80" t="s">
        <v>84</v>
      </c>
      <c r="R3959" s="80" t="s">
        <v>84</v>
      </c>
    </row>
    <row r="3960" spans="1:18" ht="20" x14ac:dyDescent="0.2">
      <c r="A3960" s="80" t="s">
        <v>3324</v>
      </c>
      <c r="B3960" s="80" t="s">
        <v>3325</v>
      </c>
      <c r="C3960" s="80" t="s">
        <v>84</v>
      </c>
      <c r="D3960" s="80" t="s">
        <v>84</v>
      </c>
      <c r="E3960" s="80" t="s">
        <v>84</v>
      </c>
      <c r="G3960" s="80" t="s">
        <v>84</v>
      </c>
      <c r="H3960" s="80" t="s">
        <v>84</v>
      </c>
      <c r="I3960" s="80" t="s">
        <v>84</v>
      </c>
      <c r="J3960" s="80" t="s">
        <v>84</v>
      </c>
      <c r="K3960" s="80" t="s">
        <v>84</v>
      </c>
      <c r="L3960" s="80" t="s">
        <v>84</v>
      </c>
      <c r="M3960" s="80" t="s">
        <v>84</v>
      </c>
      <c r="N3960" s="80" t="s">
        <v>84</v>
      </c>
      <c r="O3960" s="80" t="s">
        <v>84</v>
      </c>
      <c r="Q3960" s="80" t="s">
        <v>84</v>
      </c>
      <c r="R3960" s="80" t="s">
        <v>84</v>
      </c>
    </row>
    <row r="3961" spans="1:18" ht="20" x14ac:dyDescent="0.2">
      <c r="A3961" s="80" t="s">
        <v>5749</v>
      </c>
      <c r="B3961" s="80" t="s">
        <v>5750</v>
      </c>
      <c r="C3961" s="80" t="s">
        <v>9680</v>
      </c>
      <c r="D3961" s="80" t="s">
        <v>84</v>
      </c>
      <c r="E3961" s="80" t="s">
        <v>84</v>
      </c>
      <c r="G3961" s="80" t="s">
        <v>84</v>
      </c>
      <c r="H3961" s="80" t="s">
        <v>84</v>
      </c>
      <c r="I3961" s="80" t="s">
        <v>84</v>
      </c>
      <c r="J3961" s="80" t="s">
        <v>84</v>
      </c>
      <c r="K3961" s="80" t="s">
        <v>84</v>
      </c>
      <c r="L3961" s="80" t="s">
        <v>84</v>
      </c>
      <c r="M3961" s="80" t="s">
        <v>84</v>
      </c>
      <c r="N3961" s="80" t="s">
        <v>84</v>
      </c>
      <c r="O3961" s="80" t="s">
        <v>84</v>
      </c>
      <c r="Q3961" s="80" t="s">
        <v>84</v>
      </c>
      <c r="R3961" s="80" t="s">
        <v>84</v>
      </c>
    </row>
    <row r="3962" spans="1:18" ht="20" x14ac:dyDescent="0.2">
      <c r="A3962" s="80" t="s">
        <v>2070</v>
      </c>
      <c r="B3962" s="80" t="s">
        <v>2071</v>
      </c>
      <c r="C3962" s="80" t="s">
        <v>84</v>
      </c>
      <c r="D3962" s="80" t="s">
        <v>84</v>
      </c>
      <c r="E3962" s="80" t="s">
        <v>84</v>
      </c>
      <c r="G3962" s="80" t="s">
        <v>84</v>
      </c>
      <c r="H3962" s="80" t="s">
        <v>84</v>
      </c>
      <c r="I3962" s="80" t="s">
        <v>84</v>
      </c>
      <c r="J3962" s="80" t="s">
        <v>84</v>
      </c>
      <c r="K3962" s="80" t="s">
        <v>84</v>
      </c>
      <c r="L3962" s="80" t="s">
        <v>84</v>
      </c>
      <c r="M3962" s="80" t="s">
        <v>84</v>
      </c>
      <c r="N3962" s="80" t="s">
        <v>84</v>
      </c>
      <c r="O3962" s="80" t="s">
        <v>84</v>
      </c>
      <c r="Q3962" s="80" t="s">
        <v>84</v>
      </c>
      <c r="R3962" s="80" t="s">
        <v>84</v>
      </c>
    </row>
    <row r="3963" spans="1:18" ht="20" x14ac:dyDescent="0.2">
      <c r="A3963" s="80" t="s">
        <v>5902</v>
      </c>
      <c r="B3963" s="80" t="s">
        <v>5903</v>
      </c>
      <c r="C3963" s="80" t="s">
        <v>84</v>
      </c>
      <c r="D3963" s="80" t="s">
        <v>84</v>
      </c>
      <c r="E3963" s="80" t="s">
        <v>84</v>
      </c>
      <c r="G3963" s="80" t="s">
        <v>84</v>
      </c>
      <c r="H3963" s="80" t="s">
        <v>84</v>
      </c>
      <c r="I3963" s="80" t="s">
        <v>84</v>
      </c>
      <c r="J3963" s="80" t="s">
        <v>84</v>
      </c>
      <c r="K3963" s="80" t="s">
        <v>84</v>
      </c>
      <c r="L3963" s="80" t="s">
        <v>84</v>
      </c>
      <c r="M3963" s="80" t="s">
        <v>84</v>
      </c>
      <c r="N3963" s="80" t="s">
        <v>84</v>
      </c>
      <c r="O3963" s="80" t="s">
        <v>84</v>
      </c>
      <c r="Q3963" s="80" t="s">
        <v>84</v>
      </c>
      <c r="R3963" s="80" t="s">
        <v>84</v>
      </c>
    </row>
    <row r="3964" spans="1:18" x14ac:dyDescent="0.2">
      <c r="A3964" s="80" t="s">
        <v>2438</v>
      </c>
      <c r="B3964" s="80" t="s">
        <v>2439</v>
      </c>
      <c r="C3964" s="80" t="s">
        <v>84</v>
      </c>
      <c r="D3964" s="80" t="s">
        <v>84</v>
      </c>
      <c r="E3964" s="80" t="s">
        <v>84</v>
      </c>
      <c r="G3964" s="80" t="s">
        <v>84</v>
      </c>
      <c r="H3964" s="80" t="s">
        <v>84</v>
      </c>
      <c r="I3964" s="80" t="s">
        <v>84</v>
      </c>
      <c r="J3964" s="80" t="s">
        <v>84</v>
      </c>
      <c r="K3964" s="80" t="s">
        <v>84</v>
      </c>
      <c r="L3964" s="80" t="s">
        <v>84</v>
      </c>
      <c r="M3964" s="80" t="s">
        <v>84</v>
      </c>
      <c r="N3964" s="80" t="s">
        <v>84</v>
      </c>
      <c r="O3964" s="80" t="s">
        <v>84</v>
      </c>
      <c r="Q3964" s="80" t="s">
        <v>84</v>
      </c>
      <c r="R3964" s="80" t="s">
        <v>84</v>
      </c>
    </row>
    <row r="3965" spans="1:18" ht="20" x14ac:dyDescent="0.2">
      <c r="A3965" s="80" t="s">
        <v>2440</v>
      </c>
      <c r="B3965" s="80" t="s">
        <v>2441</v>
      </c>
      <c r="C3965" s="80" t="s">
        <v>9680</v>
      </c>
      <c r="D3965" s="80" t="s">
        <v>84</v>
      </c>
      <c r="E3965" s="80" t="s">
        <v>84</v>
      </c>
      <c r="G3965" s="80" t="s">
        <v>84</v>
      </c>
      <c r="H3965" s="80" t="s">
        <v>84</v>
      </c>
      <c r="I3965" s="80" t="s">
        <v>84</v>
      </c>
      <c r="J3965" s="80" t="s">
        <v>84</v>
      </c>
      <c r="K3965" s="80" t="s">
        <v>84</v>
      </c>
      <c r="L3965" s="80" t="s">
        <v>84</v>
      </c>
      <c r="M3965" s="80" t="s">
        <v>84</v>
      </c>
      <c r="N3965" s="80" t="s">
        <v>84</v>
      </c>
      <c r="O3965" s="80" t="s">
        <v>84</v>
      </c>
      <c r="Q3965" s="80" t="s">
        <v>84</v>
      </c>
      <c r="R3965" s="80" t="s">
        <v>84</v>
      </c>
    </row>
    <row r="3966" spans="1:18" ht="20" x14ac:dyDescent="0.2">
      <c r="A3966" s="80" t="s">
        <v>5937</v>
      </c>
      <c r="B3966" s="80" t="s">
        <v>5938</v>
      </c>
      <c r="C3966" s="80" t="s">
        <v>84</v>
      </c>
      <c r="D3966" s="80" t="s">
        <v>84</v>
      </c>
      <c r="E3966" s="80" t="s">
        <v>84</v>
      </c>
      <c r="G3966" s="80" t="s">
        <v>84</v>
      </c>
      <c r="H3966" s="80" t="s">
        <v>84</v>
      </c>
      <c r="I3966" s="80" t="s">
        <v>84</v>
      </c>
      <c r="J3966" s="80" t="s">
        <v>84</v>
      </c>
      <c r="K3966" s="80" t="s">
        <v>84</v>
      </c>
      <c r="L3966" s="80" t="s">
        <v>84</v>
      </c>
      <c r="M3966" s="80" t="s">
        <v>84</v>
      </c>
      <c r="N3966" s="80" t="s">
        <v>84</v>
      </c>
      <c r="O3966" s="80" t="s">
        <v>84</v>
      </c>
      <c r="Q3966" s="80" t="s">
        <v>84</v>
      </c>
      <c r="R3966" s="80" t="s">
        <v>84</v>
      </c>
    </row>
    <row r="3967" spans="1:18" ht="20" x14ac:dyDescent="0.2">
      <c r="A3967" s="80" t="s">
        <v>4406</v>
      </c>
      <c r="B3967" s="80" t="s">
        <v>4407</v>
      </c>
      <c r="C3967" s="80" t="s">
        <v>9680</v>
      </c>
      <c r="D3967" s="80" t="s">
        <v>84</v>
      </c>
      <c r="E3967" s="80" t="s">
        <v>84</v>
      </c>
      <c r="G3967" s="80" t="s">
        <v>84</v>
      </c>
      <c r="H3967" s="80" t="s">
        <v>84</v>
      </c>
      <c r="I3967" s="80" t="s">
        <v>84</v>
      </c>
      <c r="J3967" s="80" t="s">
        <v>84</v>
      </c>
      <c r="K3967" s="80" t="s">
        <v>84</v>
      </c>
      <c r="L3967" s="80" t="s">
        <v>84</v>
      </c>
      <c r="M3967" s="80" t="s">
        <v>84</v>
      </c>
      <c r="N3967" s="80" t="s">
        <v>84</v>
      </c>
      <c r="O3967" s="80" t="s">
        <v>84</v>
      </c>
      <c r="Q3967" s="80" t="s">
        <v>84</v>
      </c>
      <c r="R3967" s="80" t="s">
        <v>84</v>
      </c>
    </row>
    <row r="3968" spans="1:18" ht="20" x14ac:dyDescent="0.2">
      <c r="A3968" s="80" t="s">
        <v>2305</v>
      </c>
      <c r="B3968" s="80" t="s">
        <v>2306</v>
      </c>
      <c r="C3968" s="80" t="s">
        <v>9680</v>
      </c>
      <c r="D3968" s="80" t="s">
        <v>84</v>
      </c>
      <c r="E3968" s="80" t="s">
        <v>84</v>
      </c>
      <c r="G3968" s="80" t="s">
        <v>84</v>
      </c>
      <c r="H3968" s="80" t="s">
        <v>84</v>
      </c>
      <c r="I3968" s="80" t="s">
        <v>84</v>
      </c>
      <c r="J3968" s="80" t="s">
        <v>84</v>
      </c>
      <c r="K3968" s="80" t="s">
        <v>84</v>
      </c>
      <c r="L3968" s="80" t="s">
        <v>84</v>
      </c>
      <c r="M3968" s="80" t="s">
        <v>84</v>
      </c>
      <c r="N3968" s="80" t="s">
        <v>84</v>
      </c>
      <c r="O3968" s="80" t="s">
        <v>84</v>
      </c>
      <c r="Q3968" s="80" t="s">
        <v>84</v>
      </c>
      <c r="R3968" s="80" t="s">
        <v>84</v>
      </c>
    </row>
    <row r="3969" spans="1:18" ht="20" x14ac:dyDescent="0.2">
      <c r="A3969" s="80" t="s">
        <v>5754</v>
      </c>
      <c r="B3969" s="80" t="s">
        <v>5755</v>
      </c>
      <c r="C3969" s="80" t="s">
        <v>84</v>
      </c>
      <c r="D3969" s="80" t="s">
        <v>84</v>
      </c>
      <c r="E3969" s="80" t="s">
        <v>84</v>
      </c>
      <c r="G3969" s="80" t="s">
        <v>84</v>
      </c>
      <c r="H3969" s="80" t="s">
        <v>84</v>
      </c>
      <c r="I3969" s="80" t="s">
        <v>84</v>
      </c>
      <c r="J3969" s="80" t="s">
        <v>84</v>
      </c>
      <c r="K3969" s="80" t="s">
        <v>84</v>
      </c>
      <c r="L3969" s="80" t="s">
        <v>84</v>
      </c>
      <c r="M3969" s="80" t="s">
        <v>84</v>
      </c>
      <c r="N3969" s="80" t="s">
        <v>84</v>
      </c>
      <c r="O3969" s="80" t="s">
        <v>84</v>
      </c>
      <c r="Q3969" s="80" t="s">
        <v>84</v>
      </c>
      <c r="R3969" s="80" t="s">
        <v>84</v>
      </c>
    </row>
    <row r="3970" spans="1:18" ht="20" x14ac:dyDescent="0.2">
      <c r="A3970" s="80" t="s">
        <v>4419</v>
      </c>
      <c r="B3970" s="80" t="s">
        <v>4420</v>
      </c>
      <c r="C3970" s="80" t="s">
        <v>84</v>
      </c>
      <c r="D3970" s="80" t="s">
        <v>84</v>
      </c>
      <c r="E3970" s="80" t="s">
        <v>84</v>
      </c>
      <c r="G3970" s="80" t="s">
        <v>84</v>
      </c>
      <c r="H3970" s="80" t="s">
        <v>84</v>
      </c>
      <c r="I3970" s="80" t="s">
        <v>84</v>
      </c>
      <c r="J3970" s="80" t="s">
        <v>84</v>
      </c>
      <c r="K3970" s="80" t="s">
        <v>84</v>
      </c>
      <c r="L3970" s="80" t="s">
        <v>84</v>
      </c>
      <c r="M3970" s="80" t="s">
        <v>84</v>
      </c>
      <c r="N3970" s="80" t="s">
        <v>84</v>
      </c>
      <c r="O3970" s="80" t="s">
        <v>84</v>
      </c>
      <c r="Q3970" s="80" t="s">
        <v>84</v>
      </c>
      <c r="R3970" s="80" t="s">
        <v>84</v>
      </c>
    </row>
    <row r="3971" spans="1:18" ht="20" x14ac:dyDescent="0.2">
      <c r="A3971" s="80" t="s">
        <v>4421</v>
      </c>
      <c r="B3971" s="80" t="s">
        <v>4422</v>
      </c>
      <c r="C3971" s="80" t="s">
        <v>84</v>
      </c>
      <c r="D3971" s="80" t="s">
        <v>84</v>
      </c>
      <c r="E3971" s="80" t="s">
        <v>84</v>
      </c>
      <c r="G3971" s="80" t="s">
        <v>84</v>
      </c>
      <c r="H3971" s="80" t="s">
        <v>84</v>
      </c>
      <c r="I3971" s="80" t="s">
        <v>84</v>
      </c>
      <c r="J3971" s="80" t="s">
        <v>84</v>
      </c>
      <c r="K3971" s="80" t="s">
        <v>84</v>
      </c>
      <c r="L3971" s="80" t="s">
        <v>84</v>
      </c>
      <c r="M3971" s="80" t="s">
        <v>84</v>
      </c>
      <c r="N3971" s="80" t="s">
        <v>84</v>
      </c>
      <c r="O3971" s="80" t="s">
        <v>84</v>
      </c>
      <c r="Q3971" s="80" t="s">
        <v>84</v>
      </c>
      <c r="R3971" s="80" t="s">
        <v>84</v>
      </c>
    </row>
    <row r="3972" spans="1:18" ht="20" x14ac:dyDescent="0.2">
      <c r="A3972" s="80" t="s">
        <v>133</v>
      </c>
      <c r="B3972" s="80" t="s">
        <v>134</v>
      </c>
      <c r="C3972" s="80" t="s">
        <v>84</v>
      </c>
      <c r="D3972" s="80" t="s">
        <v>84</v>
      </c>
      <c r="E3972" s="80" t="s">
        <v>84</v>
      </c>
      <c r="G3972" s="80" t="s">
        <v>84</v>
      </c>
      <c r="H3972" s="80" t="s">
        <v>84</v>
      </c>
      <c r="I3972" s="80" t="s">
        <v>84</v>
      </c>
      <c r="J3972" s="80" t="s">
        <v>84</v>
      </c>
      <c r="K3972" s="80" t="s">
        <v>84</v>
      </c>
      <c r="L3972" s="80" t="s">
        <v>84</v>
      </c>
      <c r="M3972" s="80" t="s">
        <v>84</v>
      </c>
      <c r="N3972" s="80" t="s">
        <v>84</v>
      </c>
      <c r="O3972" s="80" t="s">
        <v>84</v>
      </c>
      <c r="Q3972" s="80" t="s">
        <v>84</v>
      </c>
      <c r="R3972" s="80" t="s">
        <v>84</v>
      </c>
    </row>
    <row r="3973" spans="1:18" ht="20" x14ac:dyDescent="0.2">
      <c r="A3973" s="80" t="s">
        <v>4070</v>
      </c>
      <c r="B3973" s="80" t="s">
        <v>4071</v>
      </c>
      <c r="C3973" s="80" t="s">
        <v>84</v>
      </c>
      <c r="D3973" s="80" t="s">
        <v>84</v>
      </c>
      <c r="E3973" s="80" t="s">
        <v>84</v>
      </c>
      <c r="G3973" s="80" t="s">
        <v>84</v>
      </c>
      <c r="H3973" s="80" t="s">
        <v>84</v>
      </c>
      <c r="I3973" s="80" t="s">
        <v>84</v>
      </c>
      <c r="J3973" s="80" t="s">
        <v>84</v>
      </c>
      <c r="K3973" s="80" t="s">
        <v>84</v>
      </c>
      <c r="L3973" s="80" t="s">
        <v>84</v>
      </c>
      <c r="M3973" s="80" t="s">
        <v>84</v>
      </c>
      <c r="N3973" s="80" t="s">
        <v>84</v>
      </c>
      <c r="O3973" s="80" t="s">
        <v>84</v>
      </c>
      <c r="Q3973" s="80" t="s">
        <v>84</v>
      </c>
      <c r="R3973" s="80" t="s">
        <v>84</v>
      </c>
    </row>
    <row r="3974" spans="1:18" ht="20" x14ac:dyDescent="0.2">
      <c r="A3974" s="80" t="s">
        <v>4072</v>
      </c>
      <c r="B3974" s="80" t="s">
        <v>4073</v>
      </c>
      <c r="C3974" s="80" t="s">
        <v>84</v>
      </c>
      <c r="D3974" s="80" t="s">
        <v>84</v>
      </c>
      <c r="E3974" s="80" t="s">
        <v>84</v>
      </c>
      <c r="G3974" s="80" t="s">
        <v>84</v>
      </c>
      <c r="H3974" s="80" t="s">
        <v>84</v>
      </c>
      <c r="I3974" s="80" t="s">
        <v>84</v>
      </c>
      <c r="J3974" s="80" t="s">
        <v>84</v>
      </c>
      <c r="K3974" s="80" t="s">
        <v>84</v>
      </c>
      <c r="L3974" s="80" t="s">
        <v>84</v>
      </c>
      <c r="M3974" s="80" t="s">
        <v>84</v>
      </c>
      <c r="N3974" s="80" t="s">
        <v>84</v>
      </c>
      <c r="O3974" s="80" t="s">
        <v>84</v>
      </c>
      <c r="Q3974" s="80" t="s">
        <v>84</v>
      </c>
      <c r="R3974" s="80" t="s">
        <v>84</v>
      </c>
    </row>
    <row r="3975" spans="1:18" ht="20" x14ac:dyDescent="0.2">
      <c r="A3975" s="80" t="s">
        <v>4074</v>
      </c>
      <c r="B3975" s="80" t="s">
        <v>4075</v>
      </c>
      <c r="C3975" s="80" t="s">
        <v>84</v>
      </c>
      <c r="D3975" s="80" t="s">
        <v>84</v>
      </c>
      <c r="E3975" s="80" t="s">
        <v>84</v>
      </c>
      <c r="G3975" s="80" t="s">
        <v>84</v>
      </c>
      <c r="H3975" s="80" t="s">
        <v>84</v>
      </c>
      <c r="I3975" s="80" t="s">
        <v>84</v>
      </c>
      <c r="J3975" s="80" t="s">
        <v>84</v>
      </c>
      <c r="K3975" s="80" t="s">
        <v>84</v>
      </c>
      <c r="L3975" s="80" t="s">
        <v>84</v>
      </c>
      <c r="M3975" s="80" t="s">
        <v>84</v>
      </c>
      <c r="N3975" s="80" t="s">
        <v>84</v>
      </c>
      <c r="O3975" s="80" t="s">
        <v>84</v>
      </c>
      <c r="Q3975" s="80" t="s">
        <v>84</v>
      </c>
      <c r="R3975" s="80" t="s">
        <v>84</v>
      </c>
    </row>
    <row r="3976" spans="1:18" ht="20" x14ac:dyDescent="0.2">
      <c r="A3976" s="80" t="s">
        <v>4442</v>
      </c>
      <c r="B3976" s="80" t="s">
        <v>4443</v>
      </c>
      <c r="C3976" s="80" t="s">
        <v>84</v>
      </c>
      <c r="D3976" s="80" t="s">
        <v>84</v>
      </c>
      <c r="E3976" s="80" t="s">
        <v>84</v>
      </c>
      <c r="G3976" s="80" t="s">
        <v>84</v>
      </c>
      <c r="H3976" s="80" t="s">
        <v>84</v>
      </c>
      <c r="I3976" s="80" t="s">
        <v>84</v>
      </c>
      <c r="J3976" s="80" t="s">
        <v>84</v>
      </c>
      <c r="K3976" s="80" t="s">
        <v>84</v>
      </c>
      <c r="L3976" s="80" t="s">
        <v>84</v>
      </c>
      <c r="M3976" s="80" t="s">
        <v>84</v>
      </c>
      <c r="N3976" s="80" t="s">
        <v>84</v>
      </c>
      <c r="O3976" s="80" t="s">
        <v>84</v>
      </c>
      <c r="Q3976" s="80" t="s">
        <v>84</v>
      </c>
      <c r="R3976" s="80" t="s">
        <v>84</v>
      </c>
    </row>
    <row r="3977" spans="1:18" ht="20" x14ac:dyDescent="0.2">
      <c r="A3977" s="80" t="s">
        <v>4970</v>
      </c>
      <c r="B3977" s="80" t="s">
        <v>4971</v>
      </c>
      <c r="C3977" s="80" t="s">
        <v>84</v>
      </c>
      <c r="D3977" s="80" t="s">
        <v>84</v>
      </c>
      <c r="E3977" s="80" t="s">
        <v>84</v>
      </c>
      <c r="G3977" s="80" t="s">
        <v>84</v>
      </c>
      <c r="H3977" s="80" t="s">
        <v>84</v>
      </c>
      <c r="I3977" s="80" t="s">
        <v>84</v>
      </c>
      <c r="J3977" s="80" t="s">
        <v>84</v>
      </c>
      <c r="K3977" s="80" t="s">
        <v>84</v>
      </c>
      <c r="L3977" s="80" t="s">
        <v>84</v>
      </c>
      <c r="M3977" s="80" t="s">
        <v>84</v>
      </c>
      <c r="N3977" s="80" t="s">
        <v>84</v>
      </c>
      <c r="O3977" s="80" t="s">
        <v>84</v>
      </c>
      <c r="Q3977" s="80" t="s">
        <v>84</v>
      </c>
      <c r="R3977" s="80" t="s">
        <v>84</v>
      </c>
    </row>
    <row r="3978" spans="1:18" ht="20" x14ac:dyDescent="0.2">
      <c r="A3978" s="80" t="s">
        <v>4893</v>
      </c>
      <c r="B3978" s="80" t="s">
        <v>4894</v>
      </c>
      <c r="C3978" s="80" t="s">
        <v>84</v>
      </c>
      <c r="D3978" s="80" t="s">
        <v>84</v>
      </c>
      <c r="E3978" s="80" t="s">
        <v>84</v>
      </c>
      <c r="G3978" s="80" t="s">
        <v>84</v>
      </c>
      <c r="H3978" s="80" t="s">
        <v>84</v>
      </c>
      <c r="I3978" s="80" t="s">
        <v>84</v>
      </c>
      <c r="J3978" s="80" t="s">
        <v>84</v>
      </c>
      <c r="K3978" s="80" t="s">
        <v>84</v>
      </c>
      <c r="L3978" s="80" t="s">
        <v>84</v>
      </c>
      <c r="M3978" s="80" t="s">
        <v>84</v>
      </c>
      <c r="N3978" s="80" t="s">
        <v>84</v>
      </c>
      <c r="O3978" s="80" t="s">
        <v>84</v>
      </c>
      <c r="Q3978" s="80" t="s">
        <v>84</v>
      </c>
      <c r="R3978" s="80" t="s">
        <v>84</v>
      </c>
    </row>
    <row r="3979" spans="1:18" ht="20" x14ac:dyDescent="0.2">
      <c r="A3979" s="80" t="s">
        <v>1420</v>
      </c>
      <c r="B3979" s="80" t="s">
        <v>1421</v>
      </c>
      <c r="C3979" s="80" t="s">
        <v>84</v>
      </c>
      <c r="D3979" s="80" t="s">
        <v>84</v>
      </c>
      <c r="E3979" s="80" t="s">
        <v>84</v>
      </c>
      <c r="G3979" s="80" t="s">
        <v>84</v>
      </c>
      <c r="H3979" s="80" t="s">
        <v>84</v>
      </c>
      <c r="I3979" s="80" t="s">
        <v>84</v>
      </c>
      <c r="J3979" s="80" t="s">
        <v>84</v>
      </c>
      <c r="K3979" s="80" t="s">
        <v>84</v>
      </c>
      <c r="L3979" s="80" t="s">
        <v>84</v>
      </c>
      <c r="M3979" s="80" t="s">
        <v>84</v>
      </c>
      <c r="N3979" s="80" t="s">
        <v>84</v>
      </c>
      <c r="O3979" s="80" t="s">
        <v>84</v>
      </c>
      <c r="Q3979" s="80" t="s">
        <v>84</v>
      </c>
      <c r="R3979" s="80" t="s">
        <v>84</v>
      </c>
    </row>
    <row r="3980" spans="1:18" ht="20" x14ac:dyDescent="0.2">
      <c r="A3980" s="80" t="s">
        <v>3821</v>
      </c>
      <c r="B3980" s="80" t="s">
        <v>3822</v>
      </c>
      <c r="C3980" s="80" t="s">
        <v>84</v>
      </c>
      <c r="D3980" s="80" t="s">
        <v>84</v>
      </c>
      <c r="E3980" s="80" t="s">
        <v>84</v>
      </c>
      <c r="G3980" s="80" t="s">
        <v>84</v>
      </c>
      <c r="H3980" s="80" t="s">
        <v>84</v>
      </c>
      <c r="I3980" s="80" t="s">
        <v>84</v>
      </c>
      <c r="J3980" s="80" t="s">
        <v>84</v>
      </c>
      <c r="K3980" s="80" t="s">
        <v>84</v>
      </c>
      <c r="L3980" s="80" t="s">
        <v>84</v>
      </c>
      <c r="M3980" s="80" t="s">
        <v>84</v>
      </c>
      <c r="N3980" s="80" t="s">
        <v>84</v>
      </c>
      <c r="O3980" s="80" t="s">
        <v>84</v>
      </c>
      <c r="Q3980" s="80" t="s">
        <v>84</v>
      </c>
      <c r="R3980" s="80" t="s">
        <v>84</v>
      </c>
    </row>
    <row r="3981" spans="1:18" ht="20" x14ac:dyDescent="0.2">
      <c r="A3981" s="80" t="s">
        <v>3823</v>
      </c>
      <c r="B3981" s="80" t="s">
        <v>3824</v>
      </c>
      <c r="C3981" s="80" t="s">
        <v>84</v>
      </c>
      <c r="D3981" s="80" t="s">
        <v>84</v>
      </c>
      <c r="E3981" s="80" t="s">
        <v>84</v>
      </c>
      <c r="G3981" s="80" t="s">
        <v>84</v>
      </c>
      <c r="H3981" s="80" t="s">
        <v>84</v>
      </c>
      <c r="I3981" s="80" t="s">
        <v>84</v>
      </c>
      <c r="J3981" s="80" t="s">
        <v>84</v>
      </c>
      <c r="K3981" s="80" t="s">
        <v>84</v>
      </c>
      <c r="L3981" s="80" t="s">
        <v>84</v>
      </c>
      <c r="M3981" s="80" t="s">
        <v>84</v>
      </c>
      <c r="N3981" s="80" t="s">
        <v>84</v>
      </c>
      <c r="O3981" s="80" t="s">
        <v>84</v>
      </c>
      <c r="Q3981" s="80" t="s">
        <v>84</v>
      </c>
      <c r="R3981" s="80" t="s">
        <v>84</v>
      </c>
    </row>
    <row r="3982" spans="1:18" ht="20" x14ac:dyDescent="0.2">
      <c r="A3982" s="80" t="s">
        <v>3825</v>
      </c>
      <c r="B3982" s="80" t="s">
        <v>3826</v>
      </c>
      <c r="C3982" s="80" t="s">
        <v>84</v>
      </c>
      <c r="D3982" s="80" t="s">
        <v>84</v>
      </c>
      <c r="E3982" s="80" t="s">
        <v>84</v>
      </c>
      <c r="G3982" s="80" t="s">
        <v>84</v>
      </c>
      <c r="H3982" s="80" t="s">
        <v>84</v>
      </c>
      <c r="I3982" s="80" t="s">
        <v>84</v>
      </c>
      <c r="J3982" s="80" t="s">
        <v>84</v>
      </c>
      <c r="K3982" s="80" t="s">
        <v>84</v>
      </c>
      <c r="L3982" s="80" t="s">
        <v>84</v>
      </c>
      <c r="M3982" s="80" t="s">
        <v>84</v>
      </c>
      <c r="N3982" s="80" t="s">
        <v>84</v>
      </c>
      <c r="O3982" s="80" t="s">
        <v>84</v>
      </c>
      <c r="Q3982" s="80" t="s">
        <v>84</v>
      </c>
      <c r="R3982" s="80" t="s">
        <v>84</v>
      </c>
    </row>
    <row r="3983" spans="1:18" ht="20" x14ac:dyDescent="0.2">
      <c r="A3983" s="80" t="s">
        <v>3827</v>
      </c>
      <c r="B3983" s="80" t="s">
        <v>3828</v>
      </c>
      <c r="C3983" s="80" t="s">
        <v>84</v>
      </c>
      <c r="D3983" s="80" t="s">
        <v>84</v>
      </c>
      <c r="E3983" s="80" t="s">
        <v>84</v>
      </c>
      <c r="G3983" s="80" t="s">
        <v>84</v>
      </c>
      <c r="H3983" s="80" t="s">
        <v>84</v>
      </c>
      <c r="I3983" s="80" t="s">
        <v>84</v>
      </c>
      <c r="J3983" s="80" t="s">
        <v>84</v>
      </c>
      <c r="K3983" s="80" t="s">
        <v>84</v>
      </c>
      <c r="L3983" s="80" t="s">
        <v>84</v>
      </c>
      <c r="M3983" s="80" t="s">
        <v>84</v>
      </c>
      <c r="N3983" s="80" t="s">
        <v>84</v>
      </c>
      <c r="O3983" s="80" t="s">
        <v>84</v>
      </c>
      <c r="Q3983" s="80" t="s">
        <v>84</v>
      </c>
      <c r="R3983" s="80" t="s">
        <v>84</v>
      </c>
    </row>
    <row r="3984" spans="1:18" ht="20" x14ac:dyDescent="0.2">
      <c r="A3984" s="80" t="s">
        <v>3829</v>
      </c>
      <c r="B3984" s="80" t="s">
        <v>3830</v>
      </c>
      <c r="C3984" s="80" t="s">
        <v>84</v>
      </c>
      <c r="D3984" s="80" t="s">
        <v>84</v>
      </c>
      <c r="E3984" s="80" t="s">
        <v>84</v>
      </c>
      <c r="G3984" s="80" t="s">
        <v>84</v>
      </c>
      <c r="H3984" s="80" t="s">
        <v>84</v>
      </c>
      <c r="I3984" s="80" t="s">
        <v>84</v>
      </c>
      <c r="J3984" s="80" t="s">
        <v>84</v>
      </c>
      <c r="K3984" s="80" t="s">
        <v>84</v>
      </c>
      <c r="L3984" s="80" t="s">
        <v>84</v>
      </c>
      <c r="M3984" s="80" t="s">
        <v>84</v>
      </c>
      <c r="N3984" s="80" t="s">
        <v>84</v>
      </c>
      <c r="O3984" s="80" t="s">
        <v>84</v>
      </c>
      <c r="Q3984" s="80" t="s">
        <v>84</v>
      </c>
      <c r="R3984" s="80" t="s">
        <v>84</v>
      </c>
    </row>
    <row r="3985" spans="1:18" ht="20" x14ac:dyDescent="0.2">
      <c r="A3985" s="80" t="s">
        <v>3831</v>
      </c>
      <c r="B3985" s="80" t="s">
        <v>3832</v>
      </c>
      <c r="C3985" s="80" t="s">
        <v>84</v>
      </c>
      <c r="D3985" s="80" t="s">
        <v>84</v>
      </c>
      <c r="E3985" s="80" t="s">
        <v>84</v>
      </c>
      <c r="G3985" s="80" t="s">
        <v>84</v>
      </c>
      <c r="H3985" s="80" t="s">
        <v>84</v>
      </c>
      <c r="I3985" s="80" t="s">
        <v>84</v>
      </c>
      <c r="J3985" s="80" t="s">
        <v>84</v>
      </c>
      <c r="K3985" s="80" t="s">
        <v>84</v>
      </c>
      <c r="L3985" s="80" t="s">
        <v>84</v>
      </c>
      <c r="M3985" s="80" t="s">
        <v>84</v>
      </c>
      <c r="N3985" s="80" t="s">
        <v>84</v>
      </c>
      <c r="O3985" s="80" t="s">
        <v>84</v>
      </c>
      <c r="Q3985" s="80" t="s">
        <v>84</v>
      </c>
      <c r="R3985" s="80" t="s">
        <v>84</v>
      </c>
    </row>
    <row r="3986" spans="1:18" ht="20" x14ac:dyDescent="0.2">
      <c r="A3986" s="80" t="s">
        <v>3794</v>
      </c>
      <c r="B3986" s="80" t="s">
        <v>3795</v>
      </c>
      <c r="C3986" s="80" t="s">
        <v>84</v>
      </c>
      <c r="D3986" s="80" t="s">
        <v>84</v>
      </c>
      <c r="E3986" s="80" t="s">
        <v>84</v>
      </c>
      <c r="G3986" s="80" t="s">
        <v>84</v>
      </c>
      <c r="H3986" s="80" t="s">
        <v>84</v>
      </c>
      <c r="I3986" s="80" t="s">
        <v>84</v>
      </c>
      <c r="J3986" s="80" t="s">
        <v>84</v>
      </c>
      <c r="K3986" s="80" t="s">
        <v>84</v>
      </c>
      <c r="L3986" s="80" t="s">
        <v>84</v>
      </c>
      <c r="M3986" s="80" t="s">
        <v>84</v>
      </c>
      <c r="N3986" s="80" t="s">
        <v>84</v>
      </c>
      <c r="O3986" s="80" t="s">
        <v>84</v>
      </c>
      <c r="Q3986" s="80" t="s">
        <v>84</v>
      </c>
      <c r="R3986" s="80" t="s">
        <v>84</v>
      </c>
    </row>
    <row r="3987" spans="1:18" ht="20" x14ac:dyDescent="0.2">
      <c r="A3987" s="80" t="s">
        <v>3833</v>
      </c>
      <c r="B3987" s="80" t="s">
        <v>3834</v>
      </c>
      <c r="C3987" s="80" t="s">
        <v>84</v>
      </c>
      <c r="D3987" s="80" t="s">
        <v>84</v>
      </c>
      <c r="E3987" s="80" t="s">
        <v>84</v>
      </c>
      <c r="G3987" s="80" t="s">
        <v>84</v>
      </c>
      <c r="H3987" s="80" t="s">
        <v>84</v>
      </c>
      <c r="I3987" s="80" t="s">
        <v>84</v>
      </c>
      <c r="J3987" s="80" t="s">
        <v>84</v>
      </c>
      <c r="K3987" s="80" t="s">
        <v>84</v>
      </c>
      <c r="L3987" s="80" t="s">
        <v>84</v>
      </c>
      <c r="M3987" s="80" t="s">
        <v>84</v>
      </c>
      <c r="N3987" s="80" t="s">
        <v>84</v>
      </c>
      <c r="O3987" s="80" t="s">
        <v>84</v>
      </c>
      <c r="Q3987" s="80" t="s">
        <v>84</v>
      </c>
      <c r="R3987" s="80" t="s">
        <v>84</v>
      </c>
    </row>
    <row r="3988" spans="1:18" ht="20" x14ac:dyDescent="0.2">
      <c r="A3988" s="80" t="s">
        <v>3848</v>
      </c>
      <c r="B3988" s="80" t="s">
        <v>3849</v>
      </c>
      <c r="C3988" s="80" t="s">
        <v>84</v>
      </c>
      <c r="D3988" s="80" t="s">
        <v>84</v>
      </c>
      <c r="E3988" s="80" t="s">
        <v>84</v>
      </c>
      <c r="G3988" s="80" t="s">
        <v>84</v>
      </c>
      <c r="H3988" s="80" t="s">
        <v>84</v>
      </c>
      <c r="I3988" s="80" t="s">
        <v>84</v>
      </c>
      <c r="J3988" s="80" t="s">
        <v>84</v>
      </c>
      <c r="K3988" s="80" t="s">
        <v>84</v>
      </c>
      <c r="L3988" s="80" t="s">
        <v>84</v>
      </c>
      <c r="M3988" s="80" t="s">
        <v>84</v>
      </c>
      <c r="N3988" s="80" t="s">
        <v>84</v>
      </c>
      <c r="O3988" s="80" t="s">
        <v>84</v>
      </c>
      <c r="Q3988" s="80" t="s">
        <v>84</v>
      </c>
      <c r="R3988" s="80" t="s">
        <v>84</v>
      </c>
    </row>
    <row r="3989" spans="1:18" ht="20" x14ac:dyDescent="0.2">
      <c r="A3989" s="80" t="s">
        <v>4042</v>
      </c>
      <c r="B3989" s="80" t="s">
        <v>4043</v>
      </c>
      <c r="C3989" s="80" t="s">
        <v>84</v>
      </c>
      <c r="D3989" s="80" t="s">
        <v>84</v>
      </c>
      <c r="E3989" s="80" t="s">
        <v>84</v>
      </c>
      <c r="G3989" s="80" t="s">
        <v>84</v>
      </c>
      <c r="H3989" s="80" t="s">
        <v>84</v>
      </c>
      <c r="I3989" s="80" t="s">
        <v>84</v>
      </c>
      <c r="J3989" s="80" t="s">
        <v>84</v>
      </c>
      <c r="K3989" s="80" t="s">
        <v>84</v>
      </c>
      <c r="L3989" s="80" t="s">
        <v>84</v>
      </c>
      <c r="M3989" s="80" t="s">
        <v>84</v>
      </c>
      <c r="N3989" s="80" t="s">
        <v>84</v>
      </c>
      <c r="O3989" s="80" t="s">
        <v>84</v>
      </c>
      <c r="Q3989" s="80" t="s">
        <v>84</v>
      </c>
      <c r="R3989" s="80" t="s">
        <v>84</v>
      </c>
    </row>
    <row r="3990" spans="1:18" ht="20" x14ac:dyDescent="0.2">
      <c r="A3990" s="80" t="s">
        <v>1422</v>
      </c>
      <c r="B3990" s="80" t="s">
        <v>1423</v>
      </c>
      <c r="C3990" s="80" t="s">
        <v>9680</v>
      </c>
      <c r="D3990" s="80" t="s">
        <v>84</v>
      </c>
      <c r="E3990" s="80" t="s">
        <v>84</v>
      </c>
      <c r="G3990" s="80" t="s">
        <v>84</v>
      </c>
      <c r="H3990" s="80" t="s">
        <v>84</v>
      </c>
      <c r="I3990" s="80" t="s">
        <v>84</v>
      </c>
      <c r="J3990" s="80" t="s">
        <v>84</v>
      </c>
      <c r="K3990" s="80" t="s">
        <v>84</v>
      </c>
      <c r="L3990" s="80" t="s">
        <v>84</v>
      </c>
      <c r="M3990" s="80" t="s">
        <v>84</v>
      </c>
      <c r="N3990" s="80" t="s">
        <v>84</v>
      </c>
      <c r="O3990" s="80" t="s">
        <v>84</v>
      </c>
      <c r="Q3990" s="80" t="s">
        <v>84</v>
      </c>
      <c r="R3990" s="80" t="s">
        <v>84</v>
      </c>
    </row>
    <row r="3991" spans="1:18" ht="20" x14ac:dyDescent="0.2">
      <c r="A3991" s="80" t="s">
        <v>4896</v>
      </c>
      <c r="B3991" s="80" t="s">
        <v>4897</v>
      </c>
      <c r="C3991" s="80" t="s">
        <v>84</v>
      </c>
      <c r="D3991" s="80" t="s">
        <v>84</v>
      </c>
      <c r="E3991" s="80" t="s">
        <v>84</v>
      </c>
      <c r="G3991" s="80" t="s">
        <v>84</v>
      </c>
      <c r="H3991" s="80" t="s">
        <v>84</v>
      </c>
      <c r="I3991" s="80" t="s">
        <v>84</v>
      </c>
      <c r="J3991" s="80" t="s">
        <v>84</v>
      </c>
      <c r="K3991" s="80" t="s">
        <v>84</v>
      </c>
      <c r="L3991" s="80" t="s">
        <v>84</v>
      </c>
      <c r="M3991" s="80" t="s">
        <v>84</v>
      </c>
      <c r="N3991" s="80" t="s">
        <v>84</v>
      </c>
      <c r="O3991" s="80" t="s">
        <v>84</v>
      </c>
      <c r="Q3991" s="80" t="s">
        <v>84</v>
      </c>
      <c r="R3991" s="80" t="s">
        <v>84</v>
      </c>
    </row>
    <row r="3992" spans="1:18" ht="20" x14ac:dyDescent="0.2">
      <c r="A3992" s="80" t="s">
        <v>3796</v>
      </c>
      <c r="B3992" s="80" t="s">
        <v>3797</v>
      </c>
      <c r="C3992" s="80" t="s">
        <v>84</v>
      </c>
      <c r="D3992" s="80" t="s">
        <v>84</v>
      </c>
      <c r="E3992" s="80" t="s">
        <v>84</v>
      </c>
      <c r="G3992" s="80" t="s">
        <v>84</v>
      </c>
      <c r="H3992" s="80" t="s">
        <v>84</v>
      </c>
      <c r="I3992" s="80" t="s">
        <v>84</v>
      </c>
      <c r="J3992" s="80" t="s">
        <v>84</v>
      </c>
      <c r="K3992" s="80" t="s">
        <v>84</v>
      </c>
      <c r="L3992" s="80" t="s">
        <v>84</v>
      </c>
      <c r="M3992" s="80" t="s">
        <v>84</v>
      </c>
      <c r="N3992" s="80" t="s">
        <v>84</v>
      </c>
      <c r="O3992" s="80" t="s">
        <v>84</v>
      </c>
      <c r="Q3992" s="80" t="s">
        <v>84</v>
      </c>
      <c r="R3992" s="80" t="s">
        <v>84</v>
      </c>
    </row>
    <row r="3993" spans="1:18" ht="20" x14ac:dyDescent="0.2">
      <c r="A3993" s="80" t="s">
        <v>4683</v>
      </c>
      <c r="B3993" s="80" t="s">
        <v>4684</v>
      </c>
      <c r="C3993" s="80" t="s">
        <v>9680</v>
      </c>
      <c r="D3993" s="80" t="s">
        <v>84</v>
      </c>
      <c r="E3993" s="80" t="s">
        <v>84</v>
      </c>
      <c r="G3993" s="80" t="s">
        <v>84</v>
      </c>
      <c r="H3993" s="80" t="s">
        <v>84</v>
      </c>
      <c r="I3993" s="80" t="s">
        <v>84</v>
      </c>
      <c r="J3993" s="80" t="s">
        <v>84</v>
      </c>
      <c r="K3993" s="80" t="s">
        <v>84</v>
      </c>
      <c r="L3993" s="80" t="s">
        <v>84</v>
      </c>
      <c r="M3993" s="80" t="s">
        <v>84</v>
      </c>
      <c r="N3993" s="80" t="s">
        <v>84</v>
      </c>
      <c r="O3993" s="80" t="s">
        <v>84</v>
      </c>
      <c r="Q3993" s="80" t="s">
        <v>84</v>
      </c>
      <c r="R3993" s="80" t="s">
        <v>84</v>
      </c>
    </row>
    <row r="3994" spans="1:18" ht="20" x14ac:dyDescent="0.2">
      <c r="A3994" s="80" t="s">
        <v>4044</v>
      </c>
      <c r="B3994" s="80" t="s">
        <v>4045</v>
      </c>
      <c r="C3994" s="80" t="s">
        <v>84</v>
      </c>
      <c r="D3994" s="80" t="s">
        <v>84</v>
      </c>
      <c r="E3994" s="80" t="s">
        <v>84</v>
      </c>
      <c r="G3994" s="80" t="s">
        <v>84</v>
      </c>
      <c r="H3994" s="80" t="s">
        <v>84</v>
      </c>
      <c r="I3994" s="80" t="s">
        <v>84</v>
      </c>
      <c r="J3994" s="80" t="s">
        <v>84</v>
      </c>
      <c r="K3994" s="80" t="s">
        <v>84</v>
      </c>
      <c r="L3994" s="80" t="s">
        <v>84</v>
      </c>
      <c r="M3994" s="80" t="s">
        <v>84</v>
      </c>
      <c r="N3994" s="80" t="s">
        <v>84</v>
      </c>
      <c r="O3994" s="80" t="s">
        <v>84</v>
      </c>
      <c r="Q3994" s="80" t="s">
        <v>84</v>
      </c>
      <c r="R3994" s="80" t="s">
        <v>84</v>
      </c>
    </row>
    <row r="3995" spans="1:18" ht="20" x14ac:dyDescent="0.2">
      <c r="A3995" s="80" t="s">
        <v>4804</v>
      </c>
      <c r="B3995" s="80" t="s">
        <v>4805</v>
      </c>
      <c r="C3995" s="80" t="s">
        <v>84</v>
      </c>
      <c r="D3995" s="80" t="s">
        <v>84</v>
      </c>
      <c r="E3995" s="80" t="s">
        <v>84</v>
      </c>
      <c r="G3995" s="80" t="s">
        <v>84</v>
      </c>
      <c r="H3995" s="80" t="s">
        <v>84</v>
      </c>
      <c r="I3995" s="80" t="s">
        <v>84</v>
      </c>
      <c r="J3995" s="80" t="s">
        <v>84</v>
      </c>
      <c r="K3995" s="80" t="s">
        <v>84</v>
      </c>
      <c r="L3995" s="80" t="s">
        <v>84</v>
      </c>
      <c r="M3995" s="80" t="s">
        <v>84</v>
      </c>
      <c r="N3995" s="80" t="s">
        <v>84</v>
      </c>
      <c r="O3995" s="80" t="s">
        <v>84</v>
      </c>
      <c r="Q3995" s="80" t="s">
        <v>84</v>
      </c>
      <c r="R3995" s="80" t="s">
        <v>84</v>
      </c>
    </row>
    <row r="3996" spans="1:18" ht="20" x14ac:dyDescent="0.2">
      <c r="A3996" s="80" t="s">
        <v>4809</v>
      </c>
      <c r="B3996" s="80" t="s">
        <v>4810</v>
      </c>
      <c r="C3996" s="80" t="s">
        <v>84</v>
      </c>
      <c r="D3996" s="80" t="s">
        <v>84</v>
      </c>
      <c r="E3996" s="80" t="s">
        <v>84</v>
      </c>
      <c r="G3996" s="80" t="s">
        <v>84</v>
      </c>
      <c r="H3996" s="80" t="s">
        <v>84</v>
      </c>
      <c r="I3996" s="80" t="s">
        <v>84</v>
      </c>
      <c r="J3996" s="80" t="s">
        <v>84</v>
      </c>
      <c r="K3996" s="80" t="s">
        <v>84</v>
      </c>
      <c r="L3996" s="80" t="s">
        <v>84</v>
      </c>
      <c r="M3996" s="80" t="s">
        <v>84</v>
      </c>
      <c r="N3996" s="80" t="s">
        <v>84</v>
      </c>
      <c r="O3996" s="80" t="s">
        <v>84</v>
      </c>
      <c r="Q3996" s="80" t="s">
        <v>84</v>
      </c>
      <c r="R3996" s="80" t="s">
        <v>84</v>
      </c>
    </row>
    <row r="3997" spans="1:18" ht="20" x14ac:dyDescent="0.2">
      <c r="A3997" s="80" t="s">
        <v>1294</v>
      </c>
      <c r="B3997" s="80" t="s">
        <v>1295</v>
      </c>
      <c r="C3997" s="80" t="s">
        <v>9680</v>
      </c>
      <c r="D3997" s="80" t="s">
        <v>84</v>
      </c>
      <c r="E3997" s="80" t="s">
        <v>84</v>
      </c>
      <c r="G3997" s="80" t="s">
        <v>84</v>
      </c>
      <c r="H3997" s="80" t="s">
        <v>84</v>
      </c>
      <c r="I3997" s="80" t="s">
        <v>84</v>
      </c>
      <c r="J3997" s="80" t="s">
        <v>84</v>
      </c>
      <c r="K3997" s="80" t="s">
        <v>84</v>
      </c>
      <c r="L3997" s="80" t="s">
        <v>84</v>
      </c>
      <c r="M3997" s="80" t="s">
        <v>84</v>
      </c>
      <c r="N3997" s="80" t="s">
        <v>84</v>
      </c>
      <c r="O3997" s="80" t="s">
        <v>84</v>
      </c>
      <c r="Q3997" s="80" t="s">
        <v>84</v>
      </c>
      <c r="R3997" s="80" t="s">
        <v>84</v>
      </c>
    </row>
    <row r="3998" spans="1:18" ht="20" x14ac:dyDescent="0.2">
      <c r="A3998" s="80" t="s">
        <v>181</v>
      </c>
      <c r="B3998" s="80" t="s">
        <v>182</v>
      </c>
      <c r="C3998" s="80" t="s">
        <v>84</v>
      </c>
      <c r="D3998" s="80" t="s">
        <v>84</v>
      </c>
      <c r="E3998" s="80" t="s">
        <v>84</v>
      </c>
      <c r="G3998" s="80" t="s">
        <v>84</v>
      </c>
      <c r="H3998" s="80" t="s">
        <v>84</v>
      </c>
      <c r="I3998" s="80" t="s">
        <v>84</v>
      </c>
      <c r="J3998" s="80" t="s">
        <v>84</v>
      </c>
      <c r="K3998" s="80" t="s">
        <v>84</v>
      </c>
      <c r="L3998" s="80" t="s">
        <v>84</v>
      </c>
      <c r="M3998" s="80" t="s">
        <v>84</v>
      </c>
      <c r="N3998" s="80" t="s">
        <v>84</v>
      </c>
      <c r="O3998" s="80" t="s">
        <v>84</v>
      </c>
      <c r="Q3998" s="80" t="s">
        <v>84</v>
      </c>
      <c r="R3998" s="80" t="s">
        <v>84</v>
      </c>
    </row>
    <row r="3999" spans="1:18" ht="20" x14ac:dyDescent="0.2">
      <c r="A3999" s="80" t="s">
        <v>91</v>
      </c>
      <c r="B3999" s="80" t="s">
        <v>92</v>
      </c>
      <c r="C3999" s="80" t="s">
        <v>84</v>
      </c>
      <c r="D3999" s="80" t="s">
        <v>84</v>
      </c>
      <c r="E3999" s="80" t="s">
        <v>84</v>
      </c>
      <c r="G3999" s="80" t="s">
        <v>84</v>
      </c>
      <c r="H3999" s="80" t="s">
        <v>84</v>
      </c>
      <c r="I3999" s="80" t="s">
        <v>84</v>
      </c>
      <c r="J3999" s="80" t="s">
        <v>84</v>
      </c>
      <c r="K3999" s="80" t="s">
        <v>84</v>
      </c>
      <c r="L3999" s="80" t="s">
        <v>84</v>
      </c>
      <c r="M3999" s="80" t="s">
        <v>84</v>
      </c>
      <c r="N3999" s="80" t="s">
        <v>84</v>
      </c>
      <c r="O3999" s="80" t="s">
        <v>84</v>
      </c>
      <c r="Q3999" s="80" t="s">
        <v>84</v>
      </c>
      <c r="R3999" s="80" t="s">
        <v>84</v>
      </c>
    </row>
    <row r="4000" spans="1:18" ht="20" x14ac:dyDescent="0.2">
      <c r="A4000" s="80" t="s">
        <v>3249</v>
      </c>
      <c r="B4000" s="80" t="s">
        <v>3250</v>
      </c>
      <c r="C4000" s="80" t="s">
        <v>84</v>
      </c>
      <c r="D4000" s="80" t="s">
        <v>84</v>
      </c>
      <c r="E4000" s="80" t="s">
        <v>84</v>
      </c>
      <c r="G4000" s="80" t="s">
        <v>84</v>
      </c>
      <c r="H4000" s="80" t="s">
        <v>84</v>
      </c>
      <c r="I4000" s="80" t="s">
        <v>84</v>
      </c>
      <c r="J4000" s="80" t="s">
        <v>84</v>
      </c>
      <c r="K4000" s="80" t="s">
        <v>84</v>
      </c>
      <c r="L4000" s="80" t="s">
        <v>84</v>
      </c>
      <c r="M4000" s="80" t="s">
        <v>84</v>
      </c>
      <c r="N4000" s="80" t="s">
        <v>84</v>
      </c>
      <c r="O4000" s="80" t="s">
        <v>84</v>
      </c>
      <c r="Q4000" s="80" t="s">
        <v>84</v>
      </c>
      <c r="R4000" s="80" t="s">
        <v>84</v>
      </c>
    </row>
    <row r="4001" spans="1:18" ht="20" x14ac:dyDescent="0.2">
      <c r="A4001" s="80" t="s">
        <v>3622</v>
      </c>
      <c r="B4001" s="80" t="s">
        <v>3623</v>
      </c>
      <c r="C4001" s="80" t="s">
        <v>9680</v>
      </c>
      <c r="D4001" s="80" t="s">
        <v>84</v>
      </c>
      <c r="E4001" s="80" t="s">
        <v>84</v>
      </c>
      <c r="G4001" s="80" t="s">
        <v>84</v>
      </c>
      <c r="H4001" s="80" t="s">
        <v>84</v>
      </c>
      <c r="I4001" s="80" t="s">
        <v>84</v>
      </c>
      <c r="J4001" s="80" t="s">
        <v>84</v>
      </c>
      <c r="K4001" s="80" t="s">
        <v>84</v>
      </c>
      <c r="L4001" s="80" t="s">
        <v>84</v>
      </c>
      <c r="M4001" s="80" t="s">
        <v>84</v>
      </c>
      <c r="N4001" s="80" t="s">
        <v>84</v>
      </c>
      <c r="O4001" s="80" t="s">
        <v>84</v>
      </c>
      <c r="Q4001" s="80" t="s">
        <v>84</v>
      </c>
      <c r="R4001" s="80" t="s">
        <v>84</v>
      </c>
    </row>
    <row r="4002" spans="1:18" ht="20" x14ac:dyDescent="0.2">
      <c r="A4002" s="80" t="s">
        <v>1037</v>
      </c>
      <c r="B4002" s="80" t="s">
        <v>1038</v>
      </c>
      <c r="C4002" s="80" t="s">
        <v>9680</v>
      </c>
      <c r="D4002" s="80" t="s">
        <v>84</v>
      </c>
      <c r="E4002" s="80" t="s">
        <v>84</v>
      </c>
      <c r="G4002" s="80" t="s">
        <v>84</v>
      </c>
      <c r="H4002" s="80" t="s">
        <v>84</v>
      </c>
      <c r="I4002" s="80" t="s">
        <v>84</v>
      </c>
      <c r="J4002" s="80" t="s">
        <v>84</v>
      </c>
      <c r="K4002" s="80" t="s">
        <v>84</v>
      </c>
      <c r="L4002" s="80" t="s">
        <v>84</v>
      </c>
      <c r="M4002" s="80" t="s">
        <v>84</v>
      </c>
      <c r="N4002" s="80" t="s">
        <v>84</v>
      </c>
      <c r="O4002" s="80" t="s">
        <v>84</v>
      </c>
      <c r="Q4002" s="80" t="s">
        <v>84</v>
      </c>
      <c r="R4002" s="80" t="s">
        <v>84</v>
      </c>
    </row>
    <row r="4003" spans="1:18" ht="20" x14ac:dyDescent="0.2">
      <c r="A4003" s="80" t="s">
        <v>1385</v>
      </c>
      <c r="B4003" s="80" t="s">
        <v>1386</v>
      </c>
      <c r="C4003" s="80" t="s">
        <v>9722</v>
      </c>
      <c r="D4003" s="80" t="s">
        <v>84</v>
      </c>
      <c r="E4003" s="80" t="s">
        <v>84</v>
      </c>
      <c r="G4003" s="80" t="s">
        <v>84</v>
      </c>
      <c r="H4003" s="80" t="s">
        <v>84</v>
      </c>
      <c r="I4003" s="80" t="s">
        <v>84</v>
      </c>
      <c r="J4003" s="80" t="s">
        <v>84</v>
      </c>
      <c r="K4003" s="80" t="s">
        <v>84</v>
      </c>
      <c r="L4003" s="80" t="s">
        <v>84</v>
      </c>
      <c r="M4003" s="80" t="s">
        <v>84</v>
      </c>
      <c r="N4003" s="80" t="s">
        <v>84</v>
      </c>
      <c r="O4003" s="80" t="s">
        <v>84</v>
      </c>
      <c r="Q4003" s="80" t="s">
        <v>84</v>
      </c>
      <c r="R4003" s="80" t="s">
        <v>84</v>
      </c>
    </row>
    <row r="4004" spans="1:18" ht="20" x14ac:dyDescent="0.2">
      <c r="A4004" s="80" t="s">
        <v>991</v>
      </c>
      <c r="B4004" s="80" t="s">
        <v>992</v>
      </c>
      <c r="C4004" s="80" t="s">
        <v>9680</v>
      </c>
      <c r="D4004" s="80" t="s">
        <v>84</v>
      </c>
      <c r="E4004" s="80" t="s">
        <v>84</v>
      </c>
      <c r="G4004" s="80" t="s">
        <v>84</v>
      </c>
      <c r="H4004" s="80" t="s">
        <v>84</v>
      </c>
      <c r="I4004" s="80" t="s">
        <v>84</v>
      </c>
      <c r="J4004" s="80" t="s">
        <v>84</v>
      </c>
      <c r="K4004" s="80" t="s">
        <v>84</v>
      </c>
      <c r="L4004" s="80" t="s">
        <v>84</v>
      </c>
      <c r="M4004" s="80" t="s">
        <v>84</v>
      </c>
      <c r="N4004" s="80" t="s">
        <v>84</v>
      </c>
      <c r="O4004" s="80" t="s">
        <v>84</v>
      </c>
      <c r="Q4004" s="80" t="s">
        <v>84</v>
      </c>
      <c r="R4004" s="80" t="s">
        <v>84</v>
      </c>
    </row>
    <row r="4005" spans="1:18" x14ac:dyDescent="0.2">
      <c r="A4005" s="80" t="s">
        <v>1016</v>
      </c>
      <c r="B4005" s="80" t="s">
        <v>1017</v>
      </c>
      <c r="C4005" s="80" t="s">
        <v>84</v>
      </c>
      <c r="D4005" s="80" t="s">
        <v>84</v>
      </c>
      <c r="E4005" s="80" t="s">
        <v>84</v>
      </c>
      <c r="G4005" s="80" t="s">
        <v>84</v>
      </c>
      <c r="H4005" s="80" t="s">
        <v>84</v>
      </c>
      <c r="I4005" s="80" t="s">
        <v>84</v>
      </c>
      <c r="J4005" s="80" t="s">
        <v>84</v>
      </c>
      <c r="K4005" s="80" t="s">
        <v>84</v>
      </c>
      <c r="L4005" s="80" t="s">
        <v>84</v>
      </c>
      <c r="M4005" s="80" t="s">
        <v>84</v>
      </c>
      <c r="N4005" s="80" t="s">
        <v>84</v>
      </c>
      <c r="O4005" s="80" t="s">
        <v>84</v>
      </c>
      <c r="Q4005" s="80" t="s">
        <v>84</v>
      </c>
      <c r="R4005" s="80" t="s">
        <v>84</v>
      </c>
    </row>
    <row r="4006" spans="1:18" ht="20" x14ac:dyDescent="0.2">
      <c r="A4006" s="80" t="s">
        <v>1021</v>
      </c>
      <c r="B4006" s="80" t="s">
        <v>1022</v>
      </c>
      <c r="C4006" s="80" t="s">
        <v>9680</v>
      </c>
      <c r="D4006" s="80" t="s">
        <v>84</v>
      </c>
      <c r="E4006" s="80" t="s">
        <v>84</v>
      </c>
      <c r="G4006" s="80" t="s">
        <v>84</v>
      </c>
      <c r="H4006" s="80" t="s">
        <v>84</v>
      </c>
      <c r="I4006" s="80" t="s">
        <v>84</v>
      </c>
      <c r="J4006" s="80" t="s">
        <v>84</v>
      </c>
      <c r="K4006" s="80" t="s">
        <v>84</v>
      </c>
      <c r="L4006" s="80" t="s">
        <v>84</v>
      </c>
      <c r="M4006" s="80" t="s">
        <v>84</v>
      </c>
      <c r="N4006" s="80" t="s">
        <v>84</v>
      </c>
      <c r="O4006" s="80" t="s">
        <v>84</v>
      </c>
      <c r="Q4006" s="80" t="s">
        <v>84</v>
      </c>
      <c r="R4006" s="80" t="s">
        <v>84</v>
      </c>
    </row>
    <row r="4007" spans="1:18" ht="20" x14ac:dyDescent="0.2">
      <c r="A4007" s="80" t="s">
        <v>5688</v>
      </c>
      <c r="B4007" s="80" t="s">
        <v>5689</v>
      </c>
      <c r="C4007" s="80" t="s">
        <v>9680</v>
      </c>
      <c r="D4007" s="80" t="s">
        <v>84</v>
      </c>
      <c r="E4007" s="80" t="s">
        <v>84</v>
      </c>
      <c r="G4007" s="80" t="s">
        <v>84</v>
      </c>
      <c r="H4007" s="80" t="s">
        <v>84</v>
      </c>
      <c r="I4007" s="80" t="s">
        <v>84</v>
      </c>
      <c r="J4007" s="80" t="s">
        <v>84</v>
      </c>
      <c r="K4007" s="80" t="s">
        <v>84</v>
      </c>
      <c r="L4007" s="80" t="s">
        <v>84</v>
      </c>
      <c r="M4007" s="80" t="s">
        <v>84</v>
      </c>
      <c r="N4007" s="80" t="s">
        <v>84</v>
      </c>
      <c r="O4007" s="80" t="s">
        <v>84</v>
      </c>
      <c r="Q4007" s="80" t="s">
        <v>84</v>
      </c>
      <c r="R4007" s="80" t="s">
        <v>84</v>
      </c>
    </row>
    <row r="4008" spans="1:18" ht="20" x14ac:dyDescent="0.2">
      <c r="A4008" s="80" t="s">
        <v>1380</v>
      </c>
      <c r="B4008" s="80" t="s">
        <v>1381</v>
      </c>
      <c r="C4008" s="80" t="s">
        <v>9680</v>
      </c>
      <c r="D4008" s="80" t="s">
        <v>84</v>
      </c>
      <c r="E4008" s="80" t="s">
        <v>84</v>
      </c>
      <c r="G4008" s="80" t="s">
        <v>84</v>
      </c>
      <c r="H4008" s="80" t="s">
        <v>84</v>
      </c>
      <c r="I4008" s="80" t="s">
        <v>84</v>
      </c>
      <c r="J4008" s="80" t="s">
        <v>84</v>
      </c>
      <c r="K4008" s="80" t="s">
        <v>84</v>
      </c>
      <c r="L4008" s="80" t="s">
        <v>84</v>
      </c>
      <c r="M4008" s="80" t="s">
        <v>84</v>
      </c>
      <c r="N4008" s="80" t="s">
        <v>84</v>
      </c>
      <c r="O4008" s="80" t="s">
        <v>84</v>
      </c>
      <c r="Q4008" s="80" t="s">
        <v>84</v>
      </c>
      <c r="R4008" s="80" t="s">
        <v>84</v>
      </c>
    </row>
    <row r="4009" spans="1:18" ht="20" x14ac:dyDescent="0.2">
      <c r="A4009" s="80" t="s">
        <v>3852</v>
      </c>
      <c r="B4009" s="80" t="s">
        <v>3853</v>
      </c>
      <c r="C4009" s="80" t="s">
        <v>9680</v>
      </c>
      <c r="D4009" s="80" t="s">
        <v>84</v>
      </c>
      <c r="E4009" s="80" t="s">
        <v>84</v>
      </c>
      <c r="G4009" s="80" t="s">
        <v>84</v>
      </c>
      <c r="H4009" s="80" t="s">
        <v>84</v>
      </c>
      <c r="I4009" s="80" t="s">
        <v>84</v>
      </c>
      <c r="J4009" s="80" t="s">
        <v>84</v>
      </c>
      <c r="K4009" s="80" t="s">
        <v>84</v>
      </c>
      <c r="L4009" s="80" t="s">
        <v>84</v>
      </c>
      <c r="M4009" s="80" t="s">
        <v>84</v>
      </c>
      <c r="N4009" s="80" t="s">
        <v>84</v>
      </c>
      <c r="O4009" s="80" t="s">
        <v>84</v>
      </c>
      <c r="Q4009" s="80" t="s">
        <v>84</v>
      </c>
      <c r="R4009" s="80" t="s">
        <v>84</v>
      </c>
    </row>
    <row r="4010" spans="1:18" ht="20" x14ac:dyDescent="0.2">
      <c r="A4010" s="80" t="s">
        <v>3789</v>
      </c>
      <c r="B4010" s="80" t="s">
        <v>3790</v>
      </c>
      <c r="C4010" s="80" t="s">
        <v>84</v>
      </c>
      <c r="D4010" s="80" t="s">
        <v>84</v>
      </c>
      <c r="E4010" s="80" t="s">
        <v>84</v>
      </c>
      <c r="G4010" s="80" t="s">
        <v>84</v>
      </c>
      <c r="H4010" s="80" t="s">
        <v>84</v>
      </c>
      <c r="I4010" s="80" t="s">
        <v>84</v>
      </c>
      <c r="J4010" s="80" t="s">
        <v>84</v>
      </c>
      <c r="K4010" s="80" t="s">
        <v>84</v>
      </c>
      <c r="L4010" s="80" t="s">
        <v>84</v>
      </c>
      <c r="M4010" s="80" t="s">
        <v>84</v>
      </c>
      <c r="N4010" s="80" t="s">
        <v>84</v>
      </c>
      <c r="O4010" s="80" t="s">
        <v>84</v>
      </c>
      <c r="Q4010" s="80" t="s">
        <v>84</v>
      </c>
      <c r="R4010" s="80" t="s">
        <v>84</v>
      </c>
    </row>
    <row r="4011" spans="1:18" ht="20" x14ac:dyDescent="0.2">
      <c r="A4011" s="80" t="s">
        <v>3815</v>
      </c>
      <c r="B4011" s="80" t="s">
        <v>3816</v>
      </c>
      <c r="C4011" s="80" t="s">
        <v>84</v>
      </c>
      <c r="D4011" s="80" t="s">
        <v>84</v>
      </c>
      <c r="E4011" s="80" t="s">
        <v>84</v>
      </c>
      <c r="G4011" s="80" t="s">
        <v>84</v>
      </c>
      <c r="H4011" s="80" t="s">
        <v>84</v>
      </c>
      <c r="I4011" s="80" t="s">
        <v>84</v>
      </c>
      <c r="J4011" s="80" t="s">
        <v>84</v>
      </c>
      <c r="K4011" s="80" t="s">
        <v>84</v>
      </c>
      <c r="L4011" s="80" t="s">
        <v>84</v>
      </c>
      <c r="M4011" s="80" t="s">
        <v>84</v>
      </c>
      <c r="N4011" s="80" t="s">
        <v>84</v>
      </c>
      <c r="O4011" s="80" t="s">
        <v>84</v>
      </c>
      <c r="Q4011" s="80" t="s">
        <v>84</v>
      </c>
      <c r="R4011" s="80" t="s">
        <v>84</v>
      </c>
    </row>
    <row r="4012" spans="1:18" ht="20" x14ac:dyDescent="0.2">
      <c r="A4012" s="80" t="s">
        <v>4798</v>
      </c>
      <c r="B4012" s="80" t="s">
        <v>4799</v>
      </c>
      <c r="C4012" s="80" t="s">
        <v>9680</v>
      </c>
      <c r="D4012" s="80" t="s">
        <v>84</v>
      </c>
      <c r="E4012" s="80" t="s">
        <v>84</v>
      </c>
      <c r="G4012" s="80" t="s">
        <v>84</v>
      </c>
      <c r="H4012" s="80" t="s">
        <v>84</v>
      </c>
      <c r="I4012" s="80" t="s">
        <v>84</v>
      </c>
      <c r="J4012" s="80" t="s">
        <v>84</v>
      </c>
      <c r="K4012" s="80" t="s">
        <v>84</v>
      </c>
      <c r="L4012" s="80" t="s">
        <v>84</v>
      </c>
      <c r="M4012" s="80" t="s">
        <v>84</v>
      </c>
      <c r="N4012" s="80" t="s">
        <v>84</v>
      </c>
      <c r="O4012" s="80" t="s">
        <v>84</v>
      </c>
      <c r="Q4012" s="80" t="s">
        <v>84</v>
      </c>
      <c r="R4012" s="80" t="s">
        <v>84</v>
      </c>
    </row>
    <row r="4013" spans="1:18" x14ac:dyDescent="0.2">
      <c r="A4013" s="80" t="s">
        <v>2471</v>
      </c>
      <c r="B4013" s="80" t="s">
        <v>2472</v>
      </c>
      <c r="C4013" s="80" t="s">
        <v>84</v>
      </c>
      <c r="D4013" s="80" t="s">
        <v>84</v>
      </c>
      <c r="E4013" s="80" t="s">
        <v>84</v>
      </c>
      <c r="G4013" s="80" t="s">
        <v>84</v>
      </c>
      <c r="H4013" s="80" t="s">
        <v>84</v>
      </c>
      <c r="I4013" s="80" t="s">
        <v>84</v>
      </c>
      <c r="J4013" s="80" t="s">
        <v>84</v>
      </c>
      <c r="K4013" s="80" t="s">
        <v>84</v>
      </c>
      <c r="L4013" s="80" t="s">
        <v>84</v>
      </c>
      <c r="M4013" s="80" t="s">
        <v>84</v>
      </c>
      <c r="N4013" s="80" t="s">
        <v>84</v>
      </c>
      <c r="O4013" s="80" t="s">
        <v>84</v>
      </c>
      <c r="Q4013" s="80" t="s">
        <v>84</v>
      </c>
      <c r="R4013" s="80" t="s">
        <v>84</v>
      </c>
    </row>
    <row r="4014" spans="1:18" ht="20" x14ac:dyDescent="0.2">
      <c r="A4014" s="80" t="s">
        <v>2477</v>
      </c>
      <c r="B4014" s="80" t="s">
        <v>2478</v>
      </c>
      <c r="C4014" s="80" t="s">
        <v>9680</v>
      </c>
      <c r="D4014" s="80" t="s">
        <v>84</v>
      </c>
      <c r="E4014" s="80" t="s">
        <v>84</v>
      </c>
      <c r="G4014" s="80" t="s">
        <v>84</v>
      </c>
      <c r="H4014" s="80" t="s">
        <v>84</v>
      </c>
      <c r="I4014" s="80" t="s">
        <v>84</v>
      </c>
      <c r="J4014" s="80" t="s">
        <v>84</v>
      </c>
      <c r="K4014" s="80" t="s">
        <v>84</v>
      </c>
      <c r="L4014" s="80" t="s">
        <v>84</v>
      </c>
      <c r="M4014" s="80" t="s">
        <v>84</v>
      </c>
      <c r="N4014" s="80" t="s">
        <v>84</v>
      </c>
      <c r="O4014" s="80" t="s">
        <v>84</v>
      </c>
      <c r="Q4014" s="80" t="s">
        <v>84</v>
      </c>
      <c r="R4014" s="80" t="s">
        <v>84</v>
      </c>
    </row>
    <row r="4015" spans="1:18" ht="20" x14ac:dyDescent="0.2">
      <c r="A4015" s="80" t="s">
        <v>2482</v>
      </c>
      <c r="B4015" s="80" t="s">
        <v>2483</v>
      </c>
      <c r="C4015" s="80" t="s">
        <v>9680</v>
      </c>
      <c r="D4015" s="80" t="s">
        <v>84</v>
      </c>
      <c r="E4015" s="80" t="s">
        <v>84</v>
      </c>
      <c r="G4015" s="80" t="s">
        <v>84</v>
      </c>
      <c r="H4015" s="80" t="s">
        <v>84</v>
      </c>
      <c r="I4015" s="80" t="s">
        <v>84</v>
      </c>
      <c r="J4015" s="80" t="s">
        <v>84</v>
      </c>
      <c r="K4015" s="80" t="s">
        <v>84</v>
      </c>
      <c r="L4015" s="80" t="s">
        <v>84</v>
      </c>
      <c r="M4015" s="80" t="s">
        <v>84</v>
      </c>
      <c r="N4015" s="80" t="s">
        <v>84</v>
      </c>
      <c r="O4015" s="80" t="s">
        <v>84</v>
      </c>
      <c r="Q4015" s="80" t="s">
        <v>84</v>
      </c>
      <c r="R4015" s="80" t="s">
        <v>84</v>
      </c>
    </row>
    <row r="4016" spans="1:18" ht="20" x14ac:dyDescent="0.2">
      <c r="A4016" s="80" t="s">
        <v>2487</v>
      </c>
      <c r="B4016" s="80" t="s">
        <v>2488</v>
      </c>
      <c r="C4016" s="80" t="s">
        <v>9680</v>
      </c>
      <c r="D4016" s="80" t="s">
        <v>84</v>
      </c>
      <c r="E4016" s="80" t="s">
        <v>84</v>
      </c>
      <c r="G4016" s="80" t="s">
        <v>84</v>
      </c>
      <c r="H4016" s="80" t="s">
        <v>84</v>
      </c>
      <c r="I4016" s="80" t="s">
        <v>84</v>
      </c>
      <c r="J4016" s="80" t="s">
        <v>84</v>
      </c>
      <c r="K4016" s="80" t="s">
        <v>84</v>
      </c>
      <c r="L4016" s="80" t="s">
        <v>84</v>
      </c>
      <c r="M4016" s="80" t="s">
        <v>84</v>
      </c>
      <c r="N4016" s="80" t="s">
        <v>84</v>
      </c>
      <c r="O4016" s="80" t="s">
        <v>84</v>
      </c>
      <c r="Q4016" s="80" t="s">
        <v>84</v>
      </c>
      <c r="R4016" s="80" t="s">
        <v>84</v>
      </c>
    </row>
    <row r="4017" spans="1:18" ht="20" x14ac:dyDescent="0.2">
      <c r="A4017" s="80" t="s">
        <v>2492</v>
      </c>
      <c r="B4017" s="80" t="s">
        <v>2493</v>
      </c>
      <c r="C4017" s="80" t="s">
        <v>9680</v>
      </c>
      <c r="D4017" s="80" t="s">
        <v>84</v>
      </c>
      <c r="E4017" s="80" t="s">
        <v>84</v>
      </c>
      <c r="G4017" s="80" t="s">
        <v>84</v>
      </c>
      <c r="H4017" s="80" t="s">
        <v>84</v>
      </c>
      <c r="I4017" s="80" t="s">
        <v>84</v>
      </c>
      <c r="J4017" s="80" t="s">
        <v>84</v>
      </c>
      <c r="K4017" s="80" t="s">
        <v>84</v>
      </c>
      <c r="L4017" s="80" t="s">
        <v>84</v>
      </c>
      <c r="M4017" s="80" t="s">
        <v>84</v>
      </c>
      <c r="N4017" s="80" t="s">
        <v>84</v>
      </c>
      <c r="O4017" s="80" t="s">
        <v>84</v>
      </c>
      <c r="Q4017" s="80" t="s">
        <v>84</v>
      </c>
      <c r="R4017" s="80" t="s">
        <v>84</v>
      </c>
    </row>
    <row r="4018" spans="1:18" ht="20" x14ac:dyDescent="0.2">
      <c r="A4018" s="80" t="s">
        <v>2635</v>
      </c>
      <c r="B4018" s="80" t="s">
        <v>2636</v>
      </c>
      <c r="C4018" s="80" t="s">
        <v>9680</v>
      </c>
      <c r="D4018" s="80" t="s">
        <v>84</v>
      </c>
      <c r="E4018" s="80" t="s">
        <v>84</v>
      </c>
      <c r="G4018" s="80" t="s">
        <v>84</v>
      </c>
      <c r="H4018" s="80" t="s">
        <v>84</v>
      </c>
      <c r="I4018" s="80" t="s">
        <v>84</v>
      </c>
      <c r="J4018" s="80" t="s">
        <v>84</v>
      </c>
      <c r="K4018" s="80" t="s">
        <v>84</v>
      </c>
      <c r="L4018" s="80" t="s">
        <v>84</v>
      </c>
      <c r="M4018" s="80" t="s">
        <v>84</v>
      </c>
      <c r="N4018" s="80" t="s">
        <v>84</v>
      </c>
      <c r="O4018" s="80" t="s">
        <v>84</v>
      </c>
      <c r="Q4018" s="80" t="s">
        <v>84</v>
      </c>
      <c r="R4018" s="80" t="s">
        <v>84</v>
      </c>
    </row>
    <row r="4019" spans="1:18" ht="20" x14ac:dyDescent="0.2">
      <c r="A4019" s="80" t="s">
        <v>3254</v>
      </c>
      <c r="B4019" s="80" t="s">
        <v>3255</v>
      </c>
      <c r="C4019" s="80" t="s">
        <v>84</v>
      </c>
      <c r="D4019" s="80" t="s">
        <v>84</v>
      </c>
      <c r="E4019" s="80" t="s">
        <v>84</v>
      </c>
      <c r="G4019" s="80" t="s">
        <v>84</v>
      </c>
      <c r="H4019" s="80" t="s">
        <v>84</v>
      </c>
      <c r="I4019" s="80" t="s">
        <v>84</v>
      </c>
      <c r="J4019" s="80" t="s">
        <v>84</v>
      </c>
      <c r="K4019" s="80" t="s">
        <v>84</v>
      </c>
      <c r="L4019" s="80" t="s">
        <v>84</v>
      </c>
      <c r="M4019" s="80" t="s">
        <v>84</v>
      </c>
      <c r="N4019" s="80" t="s">
        <v>84</v>
      </c>
      <c r="O4019" s="80" t="s">
        <v>84</v>
      </c>
      <c r="Q4019" s="80" t="s">
        <v>84</v>
      </c>
      <c r="R4019" s="80" t="s">
        <v>84</v>
      </c>
    </row>
    <row r="4020" spans="1:18" ht="20" x14ac:dyDescent="0.2">
      <c r="A4020" s="80" t="s">
        <v>3259</v>
      </c>
      <c r="B4020" s="80" t="s">
        <v>3260</v>
      </c>
      <c r="C4020" s="80" t="s">
        <v>9680</v>
      </c>
      <c r="D4020" s="80" t="s">
        <v>84</v>
      </c>
      <c r="E4020" s="80" t="s">
        <v>84</v>
      </c>
      <c r="G4020" s="80" t="s">
        <v>84</v>
      </c>
      <c r="H4020" s="80" t="s">
        <v>84</v>
      </c>
      <c r="I4020" s="80" t="s">
        <v>84</v>
      </c>
      <c r="J4020" s="80" t="s">
        <v>84</v>
      </c>
      <c r="K4020" s="80" t="s">
        <v>84</v>
      </c>
      <c r="L4020" s="80" t="s">
        <v>84</v>
      </c>
      <c r="M4020" s="80" t="s">
        <v>84</v>
      </c>
      <c r="N4020" s="80" t="s">
        <v>84</v>
      </c>
      <c r="O4020" s="80" t="s">
        <v>84</v>
      </c>
      <c r="Q4020" s="80" t="s">
        <v>84</v>
      </c>
      <c r="R4020" s="80" t="s">
        <v>84</v>
      </c>
    </row>
    <row r="4021" spans="1:18" ht="20" x14ac:dyDescent="0.2">
      <c r="A4021" s="80" t="s">
        <v>1304</v>
      </c>
      <c r="B4021" s="80" t="s">
        <v>1305</v>
      </c>
      <c r="C4021" s="80" t="s">
        <v>84</v>
      </c>
      <c r="D4021" s="80" t="s">
        <v>84</v>
      </c>
      <c r="E4021" s="80" t="s">
        <v>84</v>
      </c>
      <c r="G4021" s="80" t="s">
        <v>84</v>
      </c>
      <c r="H4021" s="80" t="s">
        <v>84</v>
      </c>
      <c r="I4021" s="80" t="s">
        <v>84</v>
      </c>
      <c r="J4021" s="80" t="s">
        <v>84</v>
      </c>
      <c r="K4021" s="80" t="s">
        <v>84</v>
      </c>
      <c r="L4021" s="80" t="s">
        <v>84</v>
      </c>
      <c r="M4021" s="80" t="s">
        <v>84</v>
      </c>
      <c r="N4021" s="80" t="s">
        <v>84</v>
      </c>
      <c r="O4021" s="80" t="s">
        <v>84</v>
      </c>
      <c r="Q4021" s="80" t="s">
        <v>84</v>
      </c>
      <c r="R4021" s="80" t="s">
        <v>84</v>
      </c>
    </row>
    <row r="4022" spans="1:18" ht="20" x14ac:dyDescent="0.2">
      <c r="A4022" s="80" t="s">
        <v>1309</v>
      </c>
      <c r="B4022" s="80" t="s">
        <v>1310</v>
      </c>
      <c r="C4022" s="80" t="s">
        <v>9680</v>
      </c>
      <c r="D4022" s="80" t="s">
        <v>84</v>
      </c>
      <c r="E4022" s="80" t="s">
        <v>84</v>
      </c>
      <c r="G4022" s="80" t="s">
        <v>84</v>
      </c>
      <c r="H4022" s="80" t="s">
        <v>84</v>
      </c>
      <c r="I4022" s="80" t="s">
        <v>84</v>
      </c>
      <c r="J4022" s="80" t="s">
        <v>84</v>
      </c>
      <c r="K4022" s="80" t="s">
        <v>84</v>
      </c>
      <c r="L4022" s="80" t="s">
        <v>84</v>
      </c>
      <c r="M4022" s="80" t="s">
        <v>84</v>
      </c>
      <c r="N4022" s="80" t="s">
        <v>84</v>
      </c>
      <c r="O4022" s="80" t="s">
        <v>84</v>
      </c>
      <c r="Q4022" s="80" t="s">
        <v>84</v>
      </c>
      <c r="R4022" s="80" t="s">
        <v>84</v>
      </c>
    </row>
    <row r="4023" spans="1:18" ht="20" x14ac:dyDescent="0.2">
      <c r="A4023" s="80" t="s">
        <v>1314</v>
      </c>
      <c r="B4023" s="80" t="s">
        <v>1315</v>
      </c>
      <c r="C4023" s="80" t="s">
        <v>9680</v>
      </c>
      <c r="D4023" s="80" t="s">
        <v>84</v>
      </c>
      <c r="E4023" s="80" t="s">
        <v>84</v>
      </c>
      <c r="G4023" s="80" t="s">
        <v>84</v>
      </c>
      <c r="H4023" s="80" t="s">
        <v>84</v>
      </c>
      <c r="I4023" s="80" t="s">
        <v>84</v>
      </c>
      <c r="J4023" s="80" t="s">
        <v>84</v>
      </c>
      <c r="K4023" s="80" t="s">
        <v>84</v>
      </c>
      <c r="L4023" s="80" t="s">
        <v>84</v>
      </c>
      <c r="M4023" s="80" t="s">
        <v>84</v>
      </c>
      <c r="N4023" s="80" t="s">
        <v>84</v>
      </c>
      <c r="O4023" s="80" t="s">
        <v>84</v>
      </c>
      <c r="Q4023" s="80" t="s">
        <v>84</v>
      </c>
      <c r="R4023" s="80" t="s">
        <v>84</v>
      </c>
    </row>
    <row r="4024" spans="1:18" ht="20" x14ac:dyDescent="0.2">
      <c r="A4024" s="80" t="s">
        <v>4399</v>
      </c>
      <c r="B4024" s="80" t="s">
        <v>4400</v>
      </c>
      <c r="C4024" s="80" t="s">
        <v>9680</v>
      </c>
      <c r="D4024" s="80" t="s">
        <v>84</v>
      </c>
      <c r="E4024" s="80" t="s">
        <v>84</v>
      </c>
      <c r="G4024" s="80" t="s">
        <v>84</v>
      </c>
      <c r="H4024" s="80" t="s">
        <v>84</v>
      </c>
      <c r="I4024" s="80" t="s">
        <v>84</v>
      </c>
      <c r="J4024" s="80" t="s">
        <v>84</v>
      </c>
      <c r="K4024" s="80" t="s">
        <v>84</v>
      </c>
      <c r="L4024" s="80" t="s">
        <v>84</v>
      </c>
      <c r="M4024" s="80" t="s">
        <v>84</v>
      </c>
      <c r="N4024" s="80" t="s">
        <v>84</v>
      </c>
      <c r="O4024" s="80" t="s">
        <v>84</v>
      </c>
      <c r="Q4024" s="80" t="s">
        <v>84</v>
      </c>
      <c r="R4024" s="80" t="s">
        <v>84</v>
      </c>
    </row>
    <row r="4025" spans="1:18" x14ac:dyDescent="0.2">
      <c r="A4025" s="80" t="s">
        <v>1361</v>
      </c>
      <c r="B4025" s="80" t="s">
        <v>1362</v>
      </c>
      <c r="C4025" s="80" t="s">
        <v>9722</v>
      </c>
      <c r="D4025" s="80" t="s">
        <v>84</v>
      </c>
      <c r="E4025" s="80" t="s">
        <v>84</v>
      </c>
      <c r="G4025" s="80" t="s">
        <v>84</v>
      </c>
      <c r="H4025" s="80" t="s">
        <v>84</v>
      </c>
      <c r="I4025" s="80" t="s">
        <v>84</v>
      </c>
      <c r="J4025" s="80" t="s">
        <v>84</v>
      </c>
      <c r="K4025" s="80" t="s">
        <v>84</v>
      </c>
      <c r="L4025" s="80" t="s">
        <v>84</v>
      </c>
      <c r="M4025" s="80" t="s">
        <v>84</v>
      </c>
      <c r="N4025" s="80" t="s">
        <v>84</v>
      </c>
      <c r="O4025" s="80" t="s">
        <v>84</v>
      </c>
      <c r="Q4025" s="80" t="s">
        <v>84</v>
      </c>
      <c r="R4025" s="80" t="s">
        <v>84</v>
      </c>
    </row>
    <row r="4026" spans="1:18" ht="20" x14ac:dyDescent="0.2">
      <c r="A4026" s="80" t="s">
        <v>4097</v>
      </c>
      <c r="B4026" s="80" t="s">
        <v>4098</v>
      </c>
      <c r="C4026" s="80" t="s">
        <v>84</v>
      </c>
      <c r="D4026" s="80" t="s">
        <v>84</v>
      </c>
      <c r="E4026" s="80" t="s">
        <v>84</v>
      </c>
      <c r="G4026" s="80" t="s">
        <v>84</v>
      </c>
      <c r="H4026" s="80" t="s">
        <v>84</v>
      </c>
      <c r="I4026" s="80" t="s">
        <v>84</v>
      </c>
      <c r="J4026" s="80" t="s">
        <v>84</v>
      </c>
      <c r="K4026" s="80" t="s">
        <v>84</v>
      </c>
      <c r="L4026" s="80" t="s">
        <v>84</v>
      </c>
      <c r="M4026" s="80" t="s">
        <v>84</v>
      </c>
      <c r="N4026" s="80" t="s">
        <v>84</v>
      </c>
      <c r="O4026" s="80" t="s">
        <v>84</v>
      </c>
      <c r="Q4026" s="80" t="s">
        <v>84</v>
      </c>
      <c r="R4026" s="80" t="s">
        <v>84</v>
      </c>
    </row>
    <row r="4027" spans="1:18" ht="20" x14ac:dyDescent="0.2">
      <c r="A4027" s="80" t="s">
        <v>2467</v>
      </c>
      <c r="B4027" s="80" t="s">
        <v>2468</v>
      </c>
      <c r="C4027" s="80" t="s">
        <v>84</v>
      </c>
      <c r="D4027" s="80" t="s">
        <v>84</v>
      </c>
      <c r="E4027" s="80" t="s">
        <v>84</v>
      </c>
      <c r="G4027" s="80" t="s">
        <v>84</v>
      </c>
      <c r="H4027" s="80" t="s">
        <v>84</v>
      </c>
      <c r="I4027" s="80" t="s">
        <v>84</v>
      </c>
      <c r="J4027" s="80" t="s">
        <v>84</v>
      </c>
      <c r="K4027" s="80" t="s">
        <v>84</v>
      </c>
      <c r="L4027" s="80" t="s">
        <v>84</v>
      </c>
      <c r="M4027" s="80" t="s">
        <v>84</v>
      </c>
      <c r="N4027" s="80" t="s">
        <v>84</v>
      </c>
      <c r="O4027" s="80" t="s">
        <v>84</v>
      </c>
      <c r="Q4027" s="80" t="s">
        <v>84</v>
      </c>
      <c r="R4027" s="80" t="s">
        <v>84</v>
      </c>
    </row>
    <row r="4028" spans="1:18" ht="20" x14ac:dyDescent="0.2">
      <c r="A4028" s="80" t="s">
        <v>3319</v>
      </c>
      <c r="B4028" s="80" t="s">
        <v>3320</v>
      </c>
      <c r="C4028" s="80" t="s">
        <v>9680</v>
      </c>
      <c r="D4028" s="80" t="s">
        <v>84</v>
      </c>
      <c r="E4028" s="80" t="s">
        <v>84</v>
      </c>
      <c r="G4028" s="80" t="s">
        <v>84</v>
      </c>
      <c r="H4028" s="80" t="s">
        <v>84</v>
      </c>
      <c r="I4028" s="80" t="s">
        <v>84</v>
      </c>
      <c r="J4028" s="80" t="s">
        <v>84</v>
      </c>
      <c r="K4028" s="80" t="s">
        <v>84</v>
      </c>
      <c r="L4028" s="80" t="s">
        <v>84</v>
      </c>
      <c r="M4028" s="80" t="s">
        <v>84</v>
      </c>
      <c r="N4028" s="80" t="s">
        <v>84</v>
      </c>
      <c r="O4028" s="80" t="s">
        <v>84</v>
      </c>
      <c r="Q4028" s="80" t="s">
        <v>84</v>
      </c>
      <c r="R4028" s="80" t="s">
        <v>84</v>
      </c>
    </row>
    <row r="4029" spans="1:18" ht="20" x14ac:dyDescent="0.2">
      <c r="A4029" s="80" t="s">
        <v>1511</v>
      </c>
      <c r="B4029" s="80" t="s">
        <v>1512</v>
      </c>
      <c r="C4029" s="80" t="s">
        <v>9680</v>
      </c>
      <c r="D4029" s="80" t="s">
        <v>84</v>
      </c>
      <c r="E4029" s="80" t="s">
        <v>84</v>
      </c>
      <c r="G4029" s="80" t="s">
        <v>84</v>
      </c>
      <c r="H4029" s="80" t="s">
        <v>84</v>
      </c>
      <c r="I4029" s="80" t="s">
        <v>84</v>
      </c>
      <c r="J4029" s="80" t="s">
        <v>84</v>
      </c>
      <c r="K4029" s="80" t="s">
        <v>84</v>
      </c>
      <c r="L4029" s="80" t="s">
        <v>84</v>
      </c>
      <c r="M4029" s="80" t="s">
        <v>84</v>
      </c>
      <c r="N4029" s="80" t="s">
        <v>84</v>
      </c>
      <c r="O4029" s="80" t="s">
        <v>84</v>
      </c>
      <c r="Q4029" s="80" t="s">
        <v>84</v>
      </c>
      <c r="R4029" s="80" t="s">
        <v>84</v>
      </c>
    </row>
    <row r="4030" spans="1:18" ht="20" x14ac:dyDescent="0.2">
      <c r="A4030" s="80" t="s">
        <v>2469</v>
      </c>
      <c r="B4030" s="80" t="s">
        <v>2470</v>
      </c>
      <c r="C4030" s="80" t="s">
        <v>84</v>
      </c>
      <c r="D4030" s="80" t="s">
        <v>84</v>
      </c>
      <c r="E4030" s="80" t="s">
        <v>84</v>
      </c>
      <c r="G4030" s="80" t="s">
        <v>84</v>
      </c>
      <c r="H4030" s="80" t="s">
        <v>84</v>
      </c>
      <c r="I4030" s="80" t="s">
        <v>84</v>
      </c>
      <c r="J4030" s="80" t="s">
        <v>84</v>
      </c>
      <c r="K4030" s="80" t="s">
        <v>84</v>
      </c>
      <c r="L4030" s="80" t="s">
        <v>84</v>
      </c>
      <c r="M4030" s="80" t="s">
        <v>84</v>
      </c>
      <c r="N4030" s="80" t="s">
        <v>84</v>
      </c>
      <c r="O4030" s="80" t="s">
        <v>84</v>
      </c>
      <c r="Q4030" s="80" t="s">
        <v>84</v>
      </c>
      <c r="R4030" s="80" t="s">
        <v>84</v>
      </c>
    </row>
    <row r="4031" spans="1:18" ht="20" x14ac:dyDescent="0.2">
      <c r="A4031" s="80" t="s">
        <v>3350</v>
      </c>
      <c r="B4031" s="80" t="s">
        <v>3351</v>
      </c>
      <c r="C4031" s="80" t="s">
        <v>9680</v>
      </c>
      <c r="D4031" s="80" t="s">
        <v>84</v>
      </c>
      <c r="E4031" s="80" t="s">
        <v>84</v>
      </c>
      <c r="G4031" s="80" t="s">
        <v>84</v>
      </c>
      <c r="H4031" s="80" t="s">
        <v>84</v>
      </c>
      <c r="I4031" s="80" t="s">
        <v>84</v>
      </c>
      <c r="J4031" s="80" t="s">
        <v>84</v>
      </c>
      <c r="K4031" s="80" t="s">
        <v>84</v>
      </c>
      <c r="L4031" s="80" t="s">
        <v>84</v>
      </c>
      <c r="M4031" s="80" t="s">
        <v>84</v>
      </c>
      <c r="N4031" s="80" t="s">
        <v>84</v>
      </c>
      <c r="O4031" s="80" t="s">
        <v>84</v>
      </c>
      <c r="Q4031" s="80" t="s">
        <v>84</v>
      </c>
      <c r="R4031" s="80" t="s">
        <v>84</v>
      </c>
    </row>
    <row r="4032" spans="1:18" ht="20" x14ac:dyDescent="0.2">
      <c r="A4032" s="80" t="s">
        <v>2623</v>
      </c>
      <c r="B4032" s="80" t="s">
        <v>2624</v>
      </c>
      <c r="C4032" s="80" t="s">
        <v>9680</v>
      </c>
      <c r="D4032" s="80" t="s">
        <v>84</v>
      </c>
      <c r="E4032" s="80" t="s">
        <v>84</v>
      </c>
      <c r="G4032" s="80" t="s">
        <v>84</v>
      </c>
      <c r="H4032" s="80" t="s">
        <v>84</v>
      </c>
      <c r="I4032" s="80" t="s">
        <v>84</v>
      </c>
      <c r="J4032" s="80" t="s">
        <v>84</v>
      </c>
      <c r="K4032" s="80" t="s">
        <v>84</v>
      </c>
      <c r="L4032" s="80" t="s">
        <v>84</v>
      </c>
      <c r="M4032" s="80" t="s">
        <v>84</v>
      </c>
      <c r="N4032" s="80" t="s">
        <v>84</v>
      </c>
      <c r="O4032" s="80" t="s">
        <v>84</v>
      </c>
      <c r="Q4032" s="80" t="s">
        <v>84</v>
      </c>
      <c r="R4032" s="80" t="s">
        <v>84</v>
      </c>
    </row>
    <row r="4033" spans="1:18" ht="20" x14ac:dyDescent="0.2">
      <c r="A4033" s="80" t="s">
        <v>1513</v>
      </c>
      <c r="B4033" s="80" t="s">
        <v>1514</v>
      </c>
      <c r="C4033" s="80" t="s">
        <v>9680</v>
      </c>
      <c r="D4033" s="80" t="s">
        <v>84</v>
      </c>
      <c r="E4033" s="80" t="s">
        <v>84</v>
      </c>
      <c r="G4033" s="80" t="s">
        <v>84</v>
      </c>
      <c r="H4033" s="80" t="s">
        <v>84</v>
      </c>
      <c r="I4033" s="80" t="s">
        <v>84</v>
      </c>
      <c r="J4033" s="80" t="s">
        <v>84</v>
      </c>
      <c r="K4033" s="80" t="s">
        <v>84</v>
      </c>
      <c r="L4033" s="80" t="s">
        <v>84</v>
      </c>
      <c r="M4033" s="80" t="s">
        <v>84</v>
      </c>
      <c r="N4033" s="80" t="s">
        <v>84</v>
      </c>
      <c r="O4033" s="80" t="s">
        <v>84</v>
      </c>
      <c r="Q4033" s="80" t="s">
        <v>84</v>
      </c>
      <c r="R4033" s="80" t="s">
        <v>84</v>
      </c>
    </row>
    <row r="4034" spans="1:18" x14ac:dyDescent="0.2">
      <c r="A4034" s="80" t="s">
        <v>1026</v>
      </c>
      <c r="B4034" s="80" t="s">
        <v>1027</v>
      </c>
      <c r="C4034" s="80" t="s">
        <v>9722</v>
      </c>
      <c r="D4034" s="80" t="s">
        <v>84</v>
      </c>
      <c r="E4034" s="80" t="s">
        <v>84</v>
      </c>
      <c r="G4034" s="80" t="s">
        <v>84</v>
      </c>
      <c r="H4034" s="80" t="s">
        <v>84</v>
      </c>
      <c r="I4034" s="80" t="s">
        <v>84</v>
      </c>
      <c r="J4034" s="80" t="s">
        <v>84</v>
      </c>
      <c r="K4034" s="80" t="s">
        <v>84</v>
      </c>
      <c r="L4034" s="80" t="s">
        <v>84</v>
      </c>
      <c r="M4034" s="80" t="s">
        <v>84</v>
      </c>
      <c r="N4034" s="80" t="s">
        <v>84</v>
      </c>
      <c r="O4034" s="80" t="s">
        <v>84</v>
      </c>
      <c r="Q4034" s="80" t="s">
        <v>84</v>
      </c>
      <c r="R4034" s="80" t="s">
        <v>84</v>
      </c>
    </row>
    <row r="4035" spans="1:18" x14ac:dyDescent="0.2">
      <c r="A4035" s="80" t="s">
        <v>1010</v>
      </c>
      <c r="B4035" s="80" t="s">
        <v>1011</v>
      </c>
      <c r="C4035" s="80" t="s">
        <v>9722</v>
      </c>
      <c r="D4035" s="80" t="s">
        <v>84</v>
      </c>
      <c r="E4035" s="80" t="s">
        <v>84</v>
      </c>
      <c r="G4035" s="80" t="s">
        <v>84</v>
      </c>
      <c r="H4035" s="80" t="s">
        <v>84</v>
      </c>
      <c r="I4035" s="80" t="s">
        <v>84</v>
      </c>
      <c r="J4035" s="80" t="s">
        <v>84</v>
      </c>
      <c r="K4035" s="80" t="s">
        <v>84</v>
      </c>
      <c r="L4035" s="80" t="s">
        <v>84</v>
      </c>
      <c r="M4035" s="80" t="s">
        <v>84</v>
      </c>
      <c r="N4035" s="80" t="s">
        <v>84</v>
      </c>
      <c r="O4035" s="80" t="s">
        <v>84</v>
      </c>
      <c r="Q4035" s="80" t="s">
        <v>84</v>
      </c>
      <c r="R4035" s="80" t="s">
        <v>84</v>
      </c>
    </row>
  </sheetData>
  <autoFilter ref="A1:R4035" xr:uid="{07A2F177-3C9E-4DFA-803C-B13E85AFF60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I739"/>
  <sheetViews>
    <sheetView zoomScaleNormal="100" workbookViewId="0">
      <selection activeCell="E17" sqref="E17"/>
    </sheetView>
  </sheetViews>
  <sheetFormatPr defaultColWidth="8.7265625" defaultRowHeight="10" x14ac:dyDescent="0.35"/>
  <cols>
    <col min="1" max="3" width="10.54296875" style="63" customWidth="1"/>
    <col min="4" max="4" width="50.54296875" style="63" customWidth="1"/>
    <col min="5" max="5" width="8.7265625" style="63"/>
    <col min="6" max="6" width="24.81640625" style="63" bestFit="1" customWidth="1"/>
    <col min="7" max="7" width="8.7265625" style="63"/>
    <col min="8" max="8" width="57.453125" style="63" bestFit="1" customWidth="1"/>
    <col min="9" max="9" width="8.7265625" style="17"/>
    <col min="10" max="16384" width="8.7265625" style="63"/>
  </cols>
  <sheetData>
    <row r="1" spans="1:9" ht="21" x14ac:dyDescent="0.35">
      <c r="A1" s="45" t="s">
        <v>10868</v>
      </c>
      <c r="B1" s="45" t="s">
        <v>10869</v>
      </c>
      <c r="C1" s="45" t="s">
        <v>10870</v>
      </c>
      <c r="F1" s="45" t="s">
        <v>10871</v>
      </c>
      <c r="H1" s="45" t="s">
        <v>33</v>
      </c>
      <c r="I1" s="45" t="s">
        <v>10872</v>
      </c>
    </row>
    <row r="2" spans="1:9" x14ac:dyDescent="0.35">
      <c r="A2" s="63" t="s">
        <v>85</v>
      </c>
      <c r="B2" s="63" t="s">
        <v>10873</v>
      </c>
      <c r="C2" s="64">
        <v>0</v>
      </c>
      <c r="F2" s="63" t="s">
        <v>297</v>
      </c>
      <c r="H2" s="63" t="s">
        <v>94</v>
      </c>
      <c r="I2" s="65">
        <f>AVERAGEIF(Assessment!J:J,'Fields &amp; Revisions'!H2,Assessment!C:C)</f>
        <v>0</v>
      </c>
    </row>
    <row r="3" spans="1:9" x14ac:dyDescent="0.35">
      <c r="A3" s="63" t="s">
        <v>98</v>
      </c>
      <c r="B3" s="63" t="s">
        <v>10874</v>
      </c>
      <c r="C3" s="64">
        <v>25</v>
      </c>
      <c r="F3" s="63" t="s">
        <v>299</v>
      </c>
      <c r="H3" s="63" t="s">
        <v>180</v>
      </c>
      <c r="I3" s="65">
        <f>AVERAGEIF(Assessment!J:J,'Fields &amp; Revisions'!H3,Assessment!C:C)</f>
        <v>40</v>
      </c>
    </row>
    <row r="4" spans="1:9" x14ac:dyDescent="0.35">
      <c r="B4" s="63" t="s">
        <v>88</v>
      </c>
      <c r="C4" s="64">
        <v>50</v>
      </c>
      <c r="F4" s="63" t="s">
        <v>303</v>
      </c>
      <c r="H4" s="63" t="s">
        <v>2435</v>
      </c>
      <c r="I4" s="65" t="e">
        <f>AVERAGEIF(Assessment!J:J,'Fields &amp; Revisions'!H4,Assessment!C:C)</f>
        <v>#DIV/0!</v>
      </c>
    </row>
    <row r="5" spans="1:9" x14ac:dyDescent="0.35">
      <c r="B5" s="63" t="s">
        <v>87</v>
      </c>
      <c r="C5" s="64">
        <v>75</v>
      </c>
      <c r="F5" s="63" t="s">
        <v>313</v>
      </c>
      <c r="H5" s="63" t="s">
        <v>2473</v>
      </c>
      <c r="I5" s="65">
        <f>AVERAGEIF(Assessment!J:J,'Fields &amp; Revisions'!H5,Assessment!C:C)</f>
        <v>11.428571428571429</v>
      </c>
    </row>
    <row r="6" spans="1:9" x14ac:dyDescent="0.35">
      <c r="B6" s="63" t="s">
        <v>86</v>
      </c>
      <c r="C6" s="64">
        <v>100</v>
      </c>
      <c r="F6" s="63" t="s">
        <v>333</v>
      </c>
      <c r="H6" s="63" t="s">
        <v>2293</v>
      </c>
      <c r="I6" s="65">
        <f>AVERAGEIF(Assessment!J:J,'Fields &amp; Revisions'!H6,Assessment!C:C)</f>
        <v>40</v>
      </c>
    </row>
    <row r="7" spans="1:9" x14ac:dyDescent="0.35">
      <c r="C7" s="64" t="s">
        <v>7815</v>
      </c>
      <c r="F7" s="63" t="s">
        <v>388</v>
      </c>
      <c r="H7" s="63" t="s">
        <v>2511</v>
      </c>
      <c r="I7" s="65">
        <f>AVERAGEIF(Assessment!J:J,'Fields &amp; Revisions'!H7,Assessment!C:C)</f>
        <v>40</v>
      </c>
    </row>
    <row r="8" spans="1:9" x14ac:dyDescent="0.35">
      <c r="F8" s="63" t="s">
        <v>393</v>
      </c>
      <c r="H8" s="63" t="s">
        <v>2348</v>
      </c>
      <c r="I8" s="65">
        <f>AVERAGEIF(Assessment!J:J,'Fields &amp; Revisions'!H8,Assessment!C:C)</f>
        <v>40</v>
      </c>
    </row>
    <row r="9" spans="1:9" ht="10.5" x14ac:dyDescent="0.35">
      <c r="A9" s="45" t="s">
        <v>10875</v>
      </c>
      <c r="B9" s="45" t="s">
        <v>7825</v>
      </c>
      <c r="C9" s="45" t="s">
        <v>10876</v>
      </c>
      <c r="D9" s="45" t="s">
        <v>10877</v>
      </c>
      <c r="F9" s="63" t="s">
        <v>406</v>
      </c>
      <c r="H9" s="63" t="s">
        <v>635</v>
      </c>
      <c r="I9" s="65">
        <f>AVERAGEIF(Assessment!J:J,'Fields &amp; Revisions'!H9,Assessment!C:C)</f>
        <v>40</v>
      </c>
    </row>
    <row r="10" spans="1:9" x14ac:dyDescent="0.35">
      <c r="A10" s="59">
        <v>1</v>
      </c>
      <c r="B10" s="60">
        <v>45124</v>
      </c>
      <c r="C10" s="61" t="s">
        <v>89</v>
      </c>
      <c r="D10" s="62" t="s">
        <v>10878</v>
      </c>
      <c r="F10" s="63" t="s">
        <v>425</v>
      </c>
      <c r="H10" s="63" t="s">
        <v>2793</v>
      </c>
      <c r="I10" s="65" t="e">
        <f>AVERAGEIF(Assessment!J:J,'Fields &amp; Revisions'!H10,Assessment!C:C)</f>
        <v>#DIV/0!</v>
      </c>
    </row>
    <row r="11" spans="1:9" x14ac:dyDescent="0.35">
      <c r="A11" s="59">
        <v>1.1000000000000001</v>
      </c>
      <c r="B11" s="60">
        <v>45127</v>
      </c>
      <c r="C11" s="61" t="s">
        <v>89</v>
      </c>
      <c r="D11" s="62" t="s">
        <v>10879</v>
      </c>
      <c r="F11" s="63" t="s">
        <v>485</v>
      </c>
      <c r="H11" s="63" t="s">
        <v>1739</v>
      </c>
      <c r="I11" s="65">
        <f>AVERAGEIF(Assessment!J:J,'Fields &amp; Revisions'!H11,Assessment!C:C)</f>
        <v>40</v>
      </c>
    </row>
    <row r="12" spans="1:9" ht="20" x14ac:dyDescent="0.35">
      <c r="A12" s="59">
        <v>1.2</v>
      </c>
      <c r="B12" s="60">
        <v>45328</v>
      </c>
      <c r="C12" s="61" t="s">
        <v>89</v>
      </c>
      <c r="D12" s="62" t="s">
        <v>10880</v>
      </c>
      <c r="F12" s="63" t="s">
        <v>515</v>
      </c>
      <c r="H12" s="63" t="s">
        <v>2527</v>
      </c>
      <c r="I12" s="65" t="e">
        <f>AVERAGEIF(Assessment!J:J,'Fields &amp; Revisions'!H12,Assessment!C:C)</f>
        <v>#DIV/0!</v>
      </c>
    </row>
    <row r="13" spans="1:9" ht="40" x14ac:dyDescent="0.35">
      <c r="A13" s="59">
        <v>1.3</v>
      </c>
      <c r="B13" s="60">
        <v>45359</v>
      </c>
      <c r="C13" s="61" t="s">
        <v>89</v>
      </c>
      <c r="D13" s="62" t="s">
        <v>10881</v>
      </c>
      <c r="F13" s="63" t="s">
        <v>541</v>
      </c>
      <c r="H13" s="63" t="s">
        <v>1898</v>
      </c>
      <c r="I13" s="65">
        <f>AVERAGEIF(Assessment!J:J,'Fields &amp; Revisions'!H13,Assessment!C:C)</f>
        <v>40</v>
      </c>
    </row>
    <row r="14" spans="1:9" ht="30" x14ac:dyDescent="0.35">
      <c r="A14" s="59">
        <v>1.4</v>
      </c>
      <c r="B14" s="60">
        <v>45363</v>
      </c>
      <c r="C14" s="61" t="s">
        <v>89</v>
      </c>
      <c r="D14" s="62" t="s">
        <v>10882</v>
      </c>
      <c r="F14" s="63" t="s">
        <v>551</v>
      </c>
      <c r="H14" s="63" t="s">
        <v>1742</v>
      </c>
      <c r="I14" s="65">
        <f>AVERAGEIF(Assessment!J:J,'Fields &amp; Revisions'!H14,Assessment!C:C)</f>
        <v>40</v>
      </c>
    </row>
    <row r="15" spans="1:9" ht="70" x14ac:dyDescent="0.35">
      <c r="A15" s="59">
        <v>1.5</v>
      </c>
      <c r="B15" s="60">
        <v>45729</v>
      </c>
      <c r="C15" s="61" t="s">
        <v>89</v>
      </c>
      <c r="D15" s="82" t="s">
        <v>10883</v>
      </c>
      <c r="F15" s="63" t="s">
        <v>567</v>
      </c>
      <c r="H15" s="63" t="s">
        <v>638</v>
      </c>
      <c r="I15" s="65" t="e">
        <f>AVERAGEIF(Assessment!J:J,'Fields &amp; Revisions'!H15,Assessment!C:C)</f>
        <v>#DIV/0!</v>
      </c>
    </row>
    <row r="16" spans="1:9" ht="20" x14ac:dyDescent="0.35">
      <c r="A16" s="83" t="s">
        <v>10884</v>
      </c>
      <c r="B16" s="60">
        <v>45748</v>
      </c>
      <c r="C16" s="61" t="s">
        <v>89</v>
      </c>
      <c r="D16" s="82" t="s">
        <v>10885</v>
      </c>
      <c r="F16" s="63" t="s">
        <v>572</v>
      </c>
      <c r="H16" s="63" t="s">
        <v>641</v>
      </c>
      <c r="I16" s="65" t="e">
        <f>AVERAGEIF(Assessment!J:J,'Fields &amp; Revisions'!H16,Assessment!C:C)</f>
        <v>#DIV/0!</v>
      </c>
    </row>
    <row r="17" spans="1:9" x14ac:dyDescent="0.35">
      <c r="A17" s="83" t="s">
        <v>10886</v>
      </c>
      <c r="B17" s="60">
        <v>45785</v>
      </c>
      <c r="C17" s="61" t="s">
        <v>89</v>
      </c>
      <c r="D17" s="82" t="s">
        <v>10887</v>
      </c>
      <c r="F17" s="63" t="s">
        <v>580</v>
      </c>
      <c r="H17" s="63" t="s">
        <v>1759</v>
      </c>
      <c r="I17" s="65">
        <f>AVERAGEIF(Assessment!J:J,'Fields &amp; Revisions'!H17,Assessment!C:C)</f>
        <v>30</v>
      </c>
    </row>
    <row r="18" spans="1:9" x14ac:dyDescent="0.35">
      <c r="F18" s="63" t="s">
        <v>608</v>
      </c>
      <c r="H18" s="63" t="s">
        <v>2552</v>
      </c>
      <c r="I18" s="65">
        <f>AVERAGEIF(Assessment!J:J,'Fields &amp; Revisions'!H18,Assessment!C:C)</f>
        <v>40</v>
      </c>
    </row>
    <row r="19" spans="1:9" x14ac:dyDescent="0.35">
      <c r="F19" s="63" t="s">
        <v>631</v>
      </c>
      <c r="H19" s="63" t="s">
        <v>2051</v>
      </c>
      <c r="I19" s="65">
        <f>AVERAGEIF(Assessment!J:J,'Fields &amp; Revisions'!H19,Assessment!C:C)</f>
        <v>26.666666666666668</v>
      </c>
    </row>
    <row r="20" spans="1:9" x14ac:dyDescent="0.35">
      <c r="F20" s="63" t="s">
        <v>674</v>
      </c>
      <c r="H20" s="63" t="s">
        <v>2354</v>
      </c>
      <c r="I20" s="65">
        <f>AVERAGEIF(Assessment!J:J,'Fields &amp; Revisions'!H20,Assessment!C:C)</f>
        <v>40</v>
      </c>
    </row>
    <row r="21" spans="1:9" x14ac:dyDescent="0.35">
      <c r="F21" s="63" t="s">
        <v>684</v>
      </c>
      <c r="H21" s="63" t="s">
        <v>2759</v>
      </c>
      <c r="I21" s="65">
        <f>AVERAGEIF(Assessment!J:J,'Fields &amp; Revisions'!H21,Assessment!C:C)</f>
        <v>40</v>
      </c>
    </row>
    <row r="22" spans="1:9" x14ac:dyDescent="0.35">
      <c r="F22" s="63" t="s">
        <v>692</v>
      </c>
      <c r="H22" s="63" t="s">
        <v>2627</v>
      </c>
      <c r="I22" s="65" t="e">
        <f>AVERAGEIF(Assessment!J:J,'Fields &amp; Revisions'!H22,Assessment!C:C)</f>
        <v>#DIV/0!</v>
      </c>
    </row>
    <row r="23" spans="1:9" x14ac:dyDescent="0.35">
      <c r="F23" s="63" t="s">
        <v>707</v>
      </c>
      <c r="H23" s="63" t="s">
        <v>2782</v>
      </c>
      <c r="I23" s="65">
        <f>AVERAGEIF(Assessment!J:J,'Fields &amp; Revisions'!H23,Assessment!C:C)</f>
        <v>40</v>
      </c>
    </row>
    <row r="24" spans="1:9" x14ac:dyDescent="0.35">
      <c r="F24" s="63" t="s">
        <v>732</v>
      </c>
      <c r="H24" s="63" t="s">
        <v>2637</v>
      </c>
      <c r="I24" s="65">
        <f>AVERAGEIF(Assessment!J:J,'Fields &amp; Revisions'!H24,Assessment!C:C)</f>
        <v>0</v>
      </c>
    </row>
    <row r="25" spans="1:9" x14ac:dyDescent="0.35">
      <c r="F25" s="63" t="s">
        <v>742</v>
      </c>
      <c r="H25" s="63" t="s">
        <v>1768</v>
      </c>
      <c r="I25" s="65" t="e">
        <f>AVERAGEIF(Assessment!J:J,'Fields &amp; Revisions'!H25,Assessment!C:C)</f>
        <v>#DIV/0!</v>
      </c>
    </row>
    <row r="26" spans="1:9" x14ac:dyDescent="0.35">
      <c r="F26" s="63" t="s">
        <v>748</v>
      </c>
      <c r="H26" s="63" t="s">
        <v>854</v>
      </c>
      <c r="I26" s="65">
        <f>AVERAGEIF(Assessment!J:J,'Fields &amp; Revisions'!H26,Assessment!C:C)</f>
        <v>40</v>
      </c>
    </row>
    <row r="27" spans="1:9" x14ac:dyDescent="0.35">
      <c r="F27" s="63" t="s">
        <v>776</v>
      </c>
      <c r="H27" s="63" t="s">
        <v>876</v>
      </c>
      <c r="I27" s="65">
        <f>AVERAGEIF(Assessment!J:J,'Fields &amp; Revisions'!H27,Assessment!C:C)</f>
        <v>40</v>
      </c>
    </row>
    <row r="28" spans="1:9" x14ac:dyDescent="0.35">
      <c r="F28" s="63" t="s">
        <v>783</v>
      </c>
      <c r="H28" s="63" t="s">
        <v>183</v>
      </c>
      <c r="I28" s="65">
        <f>AVERAGEIF(Assessment!J:J,'Fields &amp; Revisions'!H28,Assessment!C:C)</f>
        <v>0</v>
      </c>
    </row>
    <row r="29" spans="1:9" x14ac:dyDescent="0.35">
      <c r="F29" s="63" t="s">
        <v>788</v>
      </c>
      <c r="H29" s="63" t="s">
        <v>195</v>
      </c>
      <c r="I29" s="65">
        <f>AVERAGEIF(Assessment!J:J,'Fields &amp; Revisions'!H29,Assessment!C:C)</f>
        <v>40</v>
      </c>
    </row>
    <row r="30" spans="1:9" x14ac:dyDescent="0.35">
      <c r="F30" s="63" t="s">
        <v>796</v>
      </c>
      <c r="H30" s="63" t="s">
        <v>208</v>
      </c>
      <c r="I30" s="65">
        <f>AVERAGEIF(Assessment!J:J,'Fields &amp; Revisions'!H30,Assessment!C:C)</f>
        <v>40</v>
      </c>
    </row>
    <row r="31" spans="1:9" x14ac:dyDescent="0.35">
      <c r="F31" s="63" t="s">
        <v>827</v>
      </c>
      <c r="H31" s="63" t="s">
        <v>211</v>
      </c>
      <c r="I31" s="65" t="e">
        <f>AVERAGEIF(Assessment!J:J,'Fields &amp; Revisions'!H31,Assessment!C:C)</f>
        <v>#DIV/0!</v>
      </c>
    </row>
    <row r="32" spans="1:9" x14ac:dyDescent="0.35">
      <c r="F32" s="63" t="s">
        <v>846</v>
      </c>
      <c r="H32" s="63" t="s">
        <v>644</v>
      </c>
      <c r="I32" s="65">
        <f>AVERAGEIF(Assessment!J:J,'Fields &amp; Revisions'!H32,Assessment!C:C)</f>
        <v>30</v>
      </c>
    </row>
    <row r="33" spans="6:9" x14ac:dyDescent="0.35">
      <c r="F33" s="63" t="s">
        <v>853</v>
      </c>
      <c r="H33" s="63" t="s">
        <v>214</v>
      </c>
      <c r="I33" s="65" t="e">
        <f>AVERAGEIF(Assessment!J:J,'Fields &amp; Revisions'!H33,Assessment!C:C)</f>
        <v>#DIV/0!</v>
      </c>
    </row>
    <row r="34" spans="6:9" x14ac:dyDescent="0.35">
      <c r="F34" s="63" t="s">
        <v>871</v>
      </c>
      <c r="H34" s="63" t="s">
        <v>2647</v>
      </c>
      <c r="I34" s="65">
        <f>AVERAGEIF(Assessment!J:J,'Fields &amp; Revisions'!H34,Assessment!C:C)</f>
        <v>0</v>
      </c>
    </row>
    <row r="35" spans="6:9" x14ac:dyDescent="0.35">
      <c r="F35" s="63" t="s">
        <v>878</v>
      </c>
      <c r="H35" s="63" t="s">
        <v>2828</v>
      </c>
      <c r="I35" s="65">
        <f>AVERAGEIF(Assessment!J:J,'Fields &amp; Revisions'!H35,Assessment!C:C)</f>
        <v>0</v>
      </c>
    </row>
    <row r="36" spans="6:9" x14ac:dyDescent="0.35">
      <c r="F36" s="63" t="s">
        <v>896</v>
      </c>
      <c r="H36" s="63" t="s">
        <v>2650</v>
      </c>
      <c r="I36" s="65">
        <f>AVERAGEIF(Assessment!J:J,'Fields &amp; Revisions'!H36,Assessment!C:C)</f>
        <v>20</v>
      </c>
    </row>
    <row r="37" spans="6:9" x14ac:dyDescent="0.35">
      <c r="F37" s="63" t="s">
        <v>924</v>
      </c>
      <c r="H37" s="63" t="s">
        <v>226</v>
      </c>
      <c r="I37" s="65">
        <f>AVERAGEIF(Assessment!J:J,'Fields &amp; Revisions'!H37,Assessment!C:C)</f>
        <v>1.3333333333333333</v>
      </c>
    </row>
    <row r="38" spans="6:9" x14ac:dyDescent="0.35">
      <c r="F38" s="63" t="s">
        <v>941</v>
      </c>
      <c r="H38" s="63" t="s">
        <v>4800</v>
      </c>
      <c r="I38" s="65">
        <f>AVERAGEIF(Assessment!J:J,'Fields &amp; Revisions'!H38,Assessment!C:C)</f>
        <v>0</v>
      </c>
    </row>
    <row r="39" spans="6:9" x14ac:dyDescent="0.35">
      <c r="F39" s="63" t="s">
        <v>943</v>
      </c>
      <c r="H39" s="63" t="s">
        <v>4867</v>
      </c>
      <c r="I39" s="65">
        <f>AVERAGEIF(Assessment!J:J,'Fields &amp; Revisions'!H39,Assessment!C:C)</f>
        <v>0</v>
      </c>
    </row>
    <row r="40" spans="6:9" x14ac:dyDescent="0.35">
      <c r="F40" s="63" t="s">
        <v>986</v>
      </c>
      <c r="H40" s="63" t="s">
        <v>4895</v>
      </c>
      <c r="I40" s="65">
        <f>AVERAGEIF(Assessment!J:J,'Fields &amp; Revisions'!H40,Assessment!C:C)</f>
        <v>10</v>
      </c>
    </row>
    <row r="41" spans="6:9" x14ac:dyDescent="0.35">
      <c r="F41" s="63" t="s">
        <v>1086</v>
      </c>
      <c r="H41" s="63" t="s">
        <v>258</v>
      </c>
      <c r="I41" s="65">
        <f>AVERAGEIF(Assessment!J:J,'Fields &amp; Revisions'!H41,Assessment!C:C)</f>
        <v>40</v>
      </c>
    </row>
    <row r="42" spans="6:9" x14ac:dyDescent="0.35">
      <c r="F42" s="63" t="s">
        <v>1094</v>
      </c>
      <c r="H42" s="63" t="s">
        <v>396</v>
      </c>
      <c r="I42" s="65" t="e">
        <f>AVERAGEIF(Assessment!J:J,'Fields &amp; Revisions'!H42,Assessment!C:C)</f>
        <v>#DIV/0!</v>
      </c>
    </row>
    <row r="43" spans="6:9" x14ac:dyDescent="0.35">
      <c r="F43" s="63" t="s">
        <v>1096</v>
      </c>
      <c r="H43" s="63" t="s">
        <v>265</v>
      </c>
      <c r="I43" s="65" t="e">
        <f>AVERAGEIF(Assessment!J:J,'Fields &amp; Revisions'!H43,Assessment!C:C)</f>
        <v>#DIV/0!</v>
      </c>
    </row>
    <row r="44" spans="6:9" x14ac:dyDescent="0.35">
      <c r="F44" s="63" t="s">
        <v>1098</v>
      </c>
      <c r="H44" s="63" t="s">
        <v>270</v>
      </c>
      <c r="I44" s="65">
        <f>AVERAGEIF(Assessment!J:J,'Fields &amp; Revisions'!H44,Assessment!C:C)</f>
        <v>40</v>
      </c>
    </row>
    <row r="45" spans="6:9" x14ac:dyDescent="0.35">
      <c r="F45" s="63" t="s">
        <v>1104</v>
      </c>
      <c r="H45" s="63" t="s">
        <v>458</v>
      </c>
      <c r="I45" s="65">
        <f>AVERAGEIF(Assessment!J:J,'Fields &amp; Revisions'!H45,Assessment!C:C)</f>
        <v>40</v>
      </c>
    </row>
    <row r="46" spans="6:9" x14ac:dyDescent="0.35">
      <c r="F46" s="63" t="s">
        <v>1157</v>
      </c>
      <c r="H46" s="63" t="s">
        <v>279</v>
      </c>
      <c r="I46" s="65">
        <f>AVERAGEIF(Assessment!J:J,'Fields &amp; Revisions'!H46,Assessment!C:C)</f>
        <v>30</v>
      </c>
    </row>
    <row r="47" spans="6:9" x14ac:dyDescent="0.35">
      <c r="F47" s="63" t="s">
        <v>1159</v>
      </c>
      <c r="H47" s="63" t="s">
        <v>6016</v>
      </c>
      <c r="I47" s="65">
        <f>AVERAGEIF(Assessment!J:J,'Fields &amp; Revisions'!H47,Assessment!C:C)</f>
        <v>20</v>
      </c>
    </row>
    <row r="48" spans="6:9" x14ac:dyDescent="0.35">
      <c r="F48" s="63" t="s">
        <v>1161</v>
      </c>
      <c r="H48" s="63" t="s">
        <v>4925</v>
      </c>
      <c r="I48" s="65">
        <f>AVERAGEIF(Assessment!J:J,'Fields &amp; Revisions'!H48,Assessment!C:C)</f>
        <v>0</v>
      </c>
    </row>
    <row r="49" spans="6:9" x14ac:dyDescent="0.35">
      <c r="F49" s="63" t="s">
        <v>1165</v>
      </c>
      <c r="H49" s="63" t="s">
        <v>5050</v>
      </c>
      <c r="I49" s="65">
        <f>AVERAGEIF(Assessment!J:J,'Fields &amp; Revisions'!H49,Assessment!C:C)</f>
        <v>40</v>
      </c>
    </row>
    <row r="50" spans="6:9" x14ac:dyDescent="0.35">
      <c r="F50" s="63" t="s">
        <v>1171</v>
      </c>
      <c r="H50" s="63" t="s">
        <v>380</v>
      </c>
      <c r="I50" s="65">
        <f>AVERAGEIF(Assessment!J:J,'Fields &amp; Revisions'!H50,Assessment!C:C)</f>
        <v>40</v>
      </c>
    </row>
    <row r="51" spans="6:9" x14ac:dyDescent="0.35">
      <c r="F51" s="63" t="s">
        <v>1175</v>
      </c>
      <c r="H51" s="63" t="s">
        <v>2774</v>
      </c>
      <c r="I51" s="65">
        <f>AVERAGEIF(Assessment!J:J,'Fields &amp; Revisions'!H51,Assessment!C:C)</f>
        <v>0</v>
      </c>
    </row>
    <row r="52" spans="6:9" x14ac:dyDescent="0.35">
      <c r="F52" s="63" t="s">
        <v>1184</v>
      </c>
      <c r="H52" s="63" t="s">
        <v>3812</v>
      </c>
      <c r="I52" s="65">
        <f>AVERAGEIF(Assessment!J:J,'Fields &amp; Revisions'!H52,Assessment!C:C)</f>
        <v>0</v>
      </c>
    </row>
    <row r="53" spans="6:9" x14ac:dyDescent="0.35">
      <c r="F53" s="63" t="s">
        <v>1234</v>
      </c>
      <c r="H53" s="63" t="s">
        <v>3817</v>
      </c>
      <c r="I53" s="65">
        <f>AVERAGEIF(Assessment!J:J,'Fields &amp; Revisions'!H53,Assessment!C:C)</f>
        <v>20</v>
      </c>
    </row>
    <row r="54" spans="6:9" x14ac:dyDescent="0.35">
      <c r="F54" s="63" t="s">
        <v>1236</v>
      </c>
      <c r="H54" s="63" t="s">
        <v>573</v>
      </c>
      <c r="I54" s="65">
        <f>AVERAGEIF(Assessment!J:J,'Fields &amp; Revisions'!H54,Assessment!C:C)</f>
        <v>10</v>
      </c>
    </row>
    <row r="55" spans="6:9" x14ac:dyDescent="0.35">
      <c r="F55" s="63" t="s">
        <v>1240</v>
      </c>
      <c r="H55" s="63" t="s">
        <v>5687</v>
      </c>
      <c r="I55" s="65">
        <f>AVERAGEIF(Assessment!J:J,'Fields &amp; Revisions'!H55,Assessment!C:C)</f>
        <v>20</v>
      </c>
    </row>
    <row r="56" spans="6:9" x14ac:dyDescent="0.35">
      <c r="F56" s="63" t="s">
        <v>1248</v>
      </c>
      <c r="H56" s="63" t="s">
        <v>3499</v>
      </c>
      <c r="I56" s="65">
        <f>AVERAGEIF(Assessment!J:J,'Fields &amp; Revisions'!H56,Assessment!C:C)</f>
        <v>0</v>
      </c>
    </row>
    <row r="57" spans="6:9" x14ac:dyDescent="0.35">
      <c r="F57" s="63" t="s">
        <v>1255</v>
      </c>
      <c r="H57" s="63" t="s">
        <v>281</v>
      </c>
      <c r="I57" s="65" t="e">
        <f>AVERAGEIF(Assessment!J:J,'Fields &amp; Revisions'!H57,Assessment!C:C)</f>
        <v>#DIV/0!</v>
      </c>
    </row>
    <row r="58" spans="6:9" x14ac:dyDescent="0.35">
      <c r="F58" s="63" t="s">
        <v>1289</v>
      </c>
      <c r="H58" s="63" t="s">
        <v>2662</v>
      </c>
      <c r="I58" s="65" t="e">
        <f>AVERAGEIF(Assessment!J:J,'Fields &amp; Revisions'!H58,Assessment!C:C)</f>
        <v>#DIV/0!</v>
      </c>
    </row>
    <row r="59" spans="6:9" x14ac:dyDescent="0.35">
      <c r="F59" s="63" t="s">
        <v>1300</v>
      </c>
      <c r="H59" s="63" t="s">
        <v>5717</v>
      </c>
      <c r="I59" s="65">
        <f>AVERAGEIF(Assessment!J:J,'Fields &amp; Revisions'!H59,Assessment!C:C)</f>
        <v>0</v>
      </c>
    </row>
    <row r="60" spans="6:9" x14ac:dyDescent="0.35">
      <c r="F60" s="63" t="s">
        <v>1372</v>
      </c>
      <c r="H60" s="63" t="s">
        <v>968</v>
      </c>
      <c r="I60" s="65" t="e">
        <f>AVERAGEIF(Assessment!J:J,'Fields &amp; Revisions'!H60,Assessment!C:C)</f>
        <v>#DIV/0!</v>
      </c>
    </row>
    <row r="61" spans="6:9" x14ac:dyDescent="0.35">
      <c r="F61" s="63" t="s">
        <v>1377</v>
      </c>
      <c r="H61" s="63" t="s">
        <v>977</v>
      </c>
      <c r="I61" s="65">
        <f>AVERAGEIF(Assessment!J:J,'Fields &amp; Revisions'!H61,Assessment!C:C)</f>
        <v>0</v>
      </c>
    </row>
    <row r="62" spans="6:9" x14ac:dyDescent="0.35">
      <c r="F62" s="63" t="s">
        <v>1520</v>
      </c>
      <c r="H62" s="63" t="s">
        <v>3192</v>
      </c>
      <c r="I62" s="65">
        <f>AVERAGEIF(Assessment!J:J,'Fields &amp; Revisions'!H62,Assessment!C:C)</f>
        <v>0</v>
      </c>
    </row>
    <row r="63" spans="6:9" x14ac:dyDescent="0.35">
      <c r="F63" s="63" t="s">
        <v>1525</v>
      </c>
      <c r="H63" s="63" t="s">
        <v>3201</v>
      </c>
      <c r="I63" s="65" t="e">
        <f>AVERAGEIF(Assessment!J:J,'Fields &amp; Revisions'!H63,Assessment!C:C)</f>
        <v>#DIV/0!</v>
      </c>
    </row>
    <row r="64" spans="6:9" x14ac:dyDescent="0.35">
      <c r="F64" s="63" t="s">
        <v>1530</v>
      </c>
      <c r="H64" s="63" t="s">
        <v>284</v>
      </c>
      <c r="I64" s="65">
        <f>AVERAGEIF(Assessment!J:J,'Fields &amp; Revisions'!H64,Assessment!C:C)</f>
        <v>12.222222222222221</v>
      </c>
    </row>
    <row r="65" spans="6:9" x14ac:dyDescent="0.35">
      <c r="F65" s="63" t="s">
        <v>1533</v>
      </c>
      <c r="H65" s="63" t="s">
        <v>287</v>
      </c>
      <c r="I65" s="65">
        <f>AVERAGEIF(Assessment!J:J,'Fields &amp; Revisions'!H65,Assessment!C:C)</f>
        <v>20</v>
      </c>
    </row>
    <row r="66" spans="6:9" x14ac:dyDescent="0.35">
      <c r="F66" s="63" t="s">
        <v>1538</v>
      </c>
      <c r="H66" s="63" t="s">
        <v>3689</v>
      </c>
      <c r="I66" s="65" t="e">
        <f>AVERAGEIF(Assessment!J:J,'Fields &amp; Revisions'!H66,Assessment!C:C)</f>
        <v>#DIV/0!</v>
      </c>
    </row>
    <row r="67" spans="6:9" x14ac:dyDescent="0.35">
      <c r="F67" s="63" t="s">
        <v>1548</v>
      </c>
      <c r="H67" s="63" t="s">
        <v>4928</v>
      </c>
      <c r="I67" s="65">
        <f>AVERAGEIF(Assessment!J:J,'Fields &amp; Revisions'!H67,Assessment!C:C)</f>
        <v>0</v>
      </c>
    </row>
    <row r="68" spans="6:9" x14ac:dyDescent="0.35">
      <c r="F68" s="63" t="s">
        <v>1550</v>
      </c>
      <c r="H68" s="63" t="s">
        <v>755</v>
      </c>
      <c r="I68" s="65">
        <f>AVERAGEIF(Assessment!J:J,'Fields &amp; Revisions'!H68,Assessment!C:C)</f>
        <v>0</v>
      </c>
    </row>
    <row r="69" spans="6:9" x14ac:dyDescent="0.35">
      <c r="F69" s="63" t="s">
        <v>1562</v>
      </c>
      <c r="H69" s="63" t="s">
        <v>5289</v>
      </c>
      <c r="I69" s="65">
        <f>AVERAGEIF(Assessment!J:J,'Fields &amp; Revisions'!H69,Assessment!C:C)</f>
        <v>40</v>
      </c>
    </row>
    <row r="70" spans="6:9" x14ac:dyDescent="0.35">
      <c r="F70" s="63" t="s">
        <v>1622</v>
      </c>
      <c r="H70" s="63" t="s">
        <v>5292</v>
      </c>
      <c r="I70" s="65" t="e">
        <f>AVERAGEIF(Assessment!J:J,'Fields &amp; Revisions'!H70,Assessment!C:C)</f>
        <v>#DIV/0!</v>
      </c>
    </row>
    <row r="71" spans="6:9" x14ac:dyDescent="0.35">
      <c r="F71" s="63" t="s">
        <v>1627</v>
      </c>
      <c r="H71" s="63" t="s">
        <v>5572</v>
      </c>
      <c r="I71" s="65">
        <f>AVERAGEIF(Assessment!J:J,'Fields &amp; Revisions'!H71,Assessment!C:C)</f>
        <v>0</v>
      </c>
    </row>
    <row r="72" spans="6:9" x14ac:dyDescent="0.35">
      <c r="F72" s="63" t="s">
        <v>1699</v>
      </c>
      <c r="H72" s="63" t="s">
        <v>5311</v>
      </c>
      <c r="I72" s="65" t="e">
        <f>AVERAGEIF(Assessment!J:J,'Fields &amp; Revisions'!H72,Assessment!C:C)</f>
        <v>#DIV/0!</v>
      </c>
    </row>
    <row r="73" spans="6:9" x14ac:dyDescent="0.35">
      <c r="F73" s="63" t="s">
        <v>1779</v>
      </c>
      <c r="H73" s="63" t="s">
        <v>5596</v>
      </c>
      <c r="I73" s="65">
        <f>AVERAGEIF(Assessment!J:J,'Fields &amp; Revisions'!H73,Assessment!C:C)</f>
        <v>40</v>
      </c>
    </row>
    <row r="74" spans="6:9" x14ac:dyDescent="0.35">
      <c r="F74" s="63" t="s">
        <v>1815</v>
      </c>
      <c r="H74" s="63" t="s">
        <v>5608</v>
      </c>
      <c r="I74" s="65">
        <f>AVERAGEIF(Assessment!J:J,'Fields &amp; Revisions'!H74,Assessment!C:C)</f>
        <v>40</v>
      </c>
    </row>
    <row r="75" spans="6:9" x14ac:dyDescent="0.35">
      <c r="F75" s="63" t="s">
        <v>1824</v>
      </c>
      <c r="H75" s="63" t="s">
        <v>5316</v>
      </c>
      <c r="I75" s="65">
        <f>AVERAGEIF(Assessment!J:J,'Fields &amp; Revisions'!H75,Assessment!C:C)</f>
        <v>0</v>
      </c>
    </row>
    <row r="76" spans="6:9" x14ac:dyDescent="0.35">
      <c r="F76" s="63" t="s">
        <v>1830</v>
      </c>
      <c r="H76" s="63" t="s">
        <v>5319</v>
      </c>
      <c r="I76" s="65">
        <f>AVERAGEIF(Assessment!J:J,'Fields &amp; Revisions'!H76,Assessment!C:C)</f>
        <v>40</v>
      </c>
    </row>
    <row r="77" spans="6:9" x14ac:dyDescent="0.35">
      <c r="F77" s="63" t="s">
        <v>1868</v>
      </c>
      <c r="H77" s="63" t="s">
        <v>5365</v>
      </c>
      <c r="I77" s="65">
        <f>AVERAGEIF(Assessment!J:J,'Fields &amp; Revisions'!H77,Assessment!C:C)</f>
        <v>40</v>
      </c>
    </row>
    <row r="78" spans="6:9" x14ac:dyDescent="0.35">
      <c r="F78" s="63" t="s">
        <v>1870</v>
      </c>
      <c r="H78" s="63" t="s">
        <v>4041</v>
      </c>
      <c r="I78" s="65" t="e">
        <f>AVERAGEIF(Assessment!J:J,'Fields &amp; Revisions'!H78,Assessment!C:C)</f>
        <v>#DIV/0!</v>
      </c>
    </row>
    <row r="79" spans="6:9" x14ac:dyDescent="0.35">
      <c r="F79" s="63" t="s">
        <v>1875</v>
      </c>
      <c r="H79" s="63" t="s">
        <v>5414</v>
      </c>
      <c r="I79" s="65">
        <f>AVERAGEIF(Assessment!J:J,'Fields &amp; Revisions'!H79,Assessment!C:C)</f>
        <v>40</v>
      </c>
    </row>
    <row r="80" spans="6:9" x14ac:dyDescent="0.35">
      <c r="F80" s="63" t="s">
        <v>1897</v>
      </c>
      <c r="H80" s="63" t="s">
        <v>5428</v>
      </c>
      <c r="I80" s="65" t="e">
        <f>AVERAGEIF(Assessment!J:J,'Fields &amp; Revisions'!H80,Assessment!C:C)</f>
        <v>#DIV/0!</v>
      </c>
    </row>
    <row r="81" spans="6:9" x14ac:dyDescent="0.35">
      <c r="F81" s="63" t="s">
        <v>1911</v>
      </c>
      <c r="H81" s="63" t="s">
        <v>5431</v>
      </c>
      <c r="I81" s="65">
        <f>AVERAGEIF(Assessment!J:J,'Fields &amp; Revisions'!H81,Assessment!C:C)</f>
        <v>0</v>
      </c>
    </row>
    <row r="82" spans="6:9" x14ac:dyDescent="0.35">
      <c r="F82" s="63" t="s">
        <v>1934</v>
      </c>
      <c r="H82" s="63" t="s">
        <v>598</v>
      </c>
      <c r="I82" s="65">
        <f>AVERAGEIF(Assessment!J:J,'Fields &amp; Revisions'!H82,Assessment!C:C)</f>
        <v>40</v>
      </c>
    </row>
    <row r="83" spans="6:9" x14ac:dyDescent="0.35">
      <c r="F83" s="63" t="s">
        <v>1966</v>
      </c>
      <c r="H83" s="63" t="s">
        <v>3204</v>
      </c>
      <c r="I83" s="65" t="e">
        <f>AVERAGEIF(Assessment!J:J,'Fields &amp; Revisions'!H83,Assessment!C:C)</f>
        <v>#DIV/0!</v>
      </c>
    </row>
    <row r="84" spans="6:9" x14ac:dyDescent="0.35">
      <c r="F84" s="63" t="s">
        <v>2082</v>
      </c>
      <c r="H84" s="63" t="s">
        <v>984</v>
      </c>
      <c r="I84" s="65">
        <f>AVERAGEIF(Assessment!J:J,'Fields &amp; Revisions'!H84,Assessment!C:C)</f>
        <v>0</v>
      </c>
    </row>
    <row r="85" spans="6:9" x14ac:dyDescent="0.35">
      <c r="F85" s="63" t="s">
        <v>2138</v>
      </c>
      <c r="H85" s="63" t="s">
        <v>3323</v>
      </c>
      <c r="I85" s="65">
        <f>AVERAGEIF(Assessment!J:J,'Fields &amp; Revisions'!H85,Assessment!C:C)</f>
        <v>40</v>
      </c>
    </row>
    <row r="86" spans="6:9" x14ac:dyDescent="0.35">
      <c r="F86" s="63" t="s">
        <v>2142</v>
      </c>
      <c r="H86" s="63" t="s">
        <v>3558</v>
      </c>
      <c r="I86" s="65" t="e">
        <f>AVERAGEIF(Assessment!J:J,'Fields &amp; Revisions'!H86,Assessment!C:C)</f>
        <v>#DIV/0!</v>
      </c>
    </row>
    <row r="87" spans="6:9" x14ac:dyDescent="0.35">
      <c r="F87" s="63" t="s">
        <v>2156</v>
      </c>
      <c r="H87" s="63" t="s">
        <v>3328</v>
      </c>
      <c r="I87" s="65">
        <f>AVERAGEIF(Assessment!J:J,'Fields &amp; Revisions'!H87,Assessment!C:C)</f>
        <v>40</v>
      </c>
    </row>
    <row r="88" spans="6:9" x14ac:dyDescent="0.35">
      <c r="F88" s="63" t="s">
        <v>2208</v>
      </c>
      <c r="H88" s="63" t="s">
        <v>1885</v>
      </c>
      <c r="I88" s="65">
        <f>AVERAGEIF(Assessment!J:J,'Fields &amp; Revisions'!H88,Assessment!C:C)</f>
        <v>0</v>
      </c>
    </row>
    <row r="89" spans="6:9" x14ac:dyDescent="0.35">
      <c r="F89" s="63" t="s">
        <v>2214</v>
      </c>
      <c r="H89" s="63" t="s">
        <v>987</v>
      </c>
      <c r="I89" s="65">
        <f>AVERAGEIF(Assessment!J:J,'Fields &amp; Revisions'!H89,Assessment!C:C)</f>
        <v>20</v>
      </c>
    </row>
    <row r="90" spans="6:9" x14ac:dyDescent="0.35">
      <c r="F90" s="63" t="s">
        <v>2227</v>
      </c>
      <c r="H90" s="63" t="s">
        <v>2699</v>
      </c>
      <c r="I90" s="65">
        <f>AVERAGEIF(Assessment!J:J,'Fields &amp; Revisions'!H90,Assessment!C:C)</f>
        <v>40</v>
      </c>
    </row>
    <row r="91" spans="6:9" x14ac:dyDescent="0.35">
      <c r="F91" s="63" t="s">
        <v>2247</v>
      </c>
      <c r="H91" s="63" t="s">
        <v>1004</v>
      </c>
      <c r="I91" s="65">
        <f>AVERAGEIF(Assessment!J:J,'Fields &amp; Revisions'!H91,Assessment!C:C)</f>
        <v>0</v>
      </c>
    </row>
    <row r="92" spans="6:9" x14ac:dyDescent="0.35">
      <c r="F92" s="63" t="s">
        <v>2261</v>
      </c>
      <c r="H92" s="63" t="s">
        <v>3847</v>
      </c>
      <c r="I92" s="65" t="e">
        <f>AVERAGEIF(Assessment!J:J,'Fields &amp; Revisions'!H92,Assessment!C:C)</f>
        <v>#DIV/0!</v>
      </c>
    </row>
    <row r="93" spans="6:9" x14ac:dyDescent="0.35">
      <c r="F93" s="63" t="s">
        <v>2292</v>
      </c>
      <c r="H93" s="63" t="s">
        <v>1777</v>
      </c>
      <c r="I93" s="65">
        <f>AVERAGEIF(Assessment!J:J,'Fields &amp; Revisions'!H93,Assessment!C:C)</f>
        <v>20</v>
      </c>
    </row>
    <row r="94" spans="6:9" x14ac:dyDescent="0.35">
      <c r="F94" s="63" t="s">
        <v>2328</v>
      </c>
      <c r="H94" s="63" t="s">
        <v>3897</v>
      </c>
      <c r="I94" s="65">
        <f>AVERAGEIF(Assessment!J:J,'Fields &amp; Revisions'!H94,Assessment!C:C)</f>
        <v>40</v>
      </c>
    </row>
    <row r="95" spans="6:9" x14ac:dyDescent="0.35">
      <c r="F95" s="63" t="s">
        <v>2330</v>
      </c>
      <c r="H95" s="63" t="s">
        <v>3343</v>
      </c>
      <c r="I95" s="65">
        <f>AVERAGEIF(Assessment!J:J,'Fields &amp; Revisions'!H95,Assessment!C:C)</f>
        <v>0</v>
      </c>
    </row>
    <row r="96" spans="6:9" x14ac:dyDescent="0.35">
      <c r="F96" s="63" t="s">
        <v>2332</v>
      </c>
      <c r="H96" s="63" t="s">
        <v>5217</v>
      </c>
      <c r="I96" s="65">
        <f>AVERAGEIF(Assessment!J:J,'Fields &amp; Revisions'!H96,Assessment!C:C)</f>
        <v>0</v>
      </c>
    </row>
    <row r="97" spans="6:9" x14ac:dyDescent="0.35">
      <c r="F97" s="63" t="s">
        <v>2336</v>
      </c>
      <c r="H97" s="63" t="s">
        <v>647</v>
      </c>
      <c r="I97" s="65">
        <f>AVERAGEIF(Assessment!J:J,'Fields &amp; Revisions'!H97,Assessment!C:C)</f>
        <v>40</v>
      </c>
    </row>
    <row r="98" spans="6:9" x14ac:dyDescent="0.35">
      <c r="F98" s="63" t="s">
        <v>2338</v>
      </c>
      <c r="H98" s="63" t="s">
        <v>719</v>
      </c>
      <c r="I98" s="65" t="e">
        <f>AVERAGEIF(Assessment!J:J,'Fields &amp; Revisions'!H98,Assessment!C:C)</f>
        <v>#DIV/0!</v>
      </c>
    </row>
    <row r="99" spans="6:9" x14ac:dyDescent="0.35">
      <c r="F99" s="63" t="s">
        <v>2340</v>
      </c>
      <c r="H99" s="63" t="s">
        <v>4395</v>
      </c>
      <c r="I99" s="65">
        <f>AVERAGEIF(Assessment!J:J,'Fields &amp; Revisions'!H99,Assessment!C:C)</f>
        <v>0</v>
      </c>
    </row>
    <row r="100" spans="6:9" x14ac:dyDescent="0.35">
      <c r="F100" s="63" t="s">
        <v>2343</v>
      </c>
      <c r="H100" s="63" t="s">
        <v>662</v>
      </c>
      <c r="I100" s="65">
        <f>AVERAGEIF(Assessment!J:J,'Fields &amp; Revisions'!H100,Assessment!C:C)</f>
        <v>33.333333333333336</v>
      </c>
    </row>
    <row r="101" spans="6:9" x14ac:dyDescent="0.35">
      <c r="F101" s="63" t="s">
        <v>2347</v>
      </c>
      <c r="H101" s="63" t="s">
        <v>1799</v>
      </c>
      <c r="I101" s="65" t="e">
        <f>AVERAGEIF(Assessment!J:J,'Fields &amp; Revisions'!H101,Assessment!C:C)</f>
        <v>#DIV/0!</v>
      </c>
    </row>
    <row r="102" spans="6:9" x14ac:dyDescent="0.35">
      <c r="F102" s="63" t="s">
        <v>2353</v>
      </c>
      <c r="H102" s="63" t="s">
        <v>758</v>
      </c>
      <c r="I102" s="65">
        <f>AVERAGEIF(Assessment!J:J,'Fields &amp; Revisions'!H102,Assessment!C:C)</f>
        <v>20</v>
      </c>
    </row>
    <row r="103" spans="6:9" x14ac:dyDescent="0.35">
      <c r="F103" s="63" t="s">
        <v>2356</v>
      </c>
      <c r="H103" s="63" t="s">
        <v>5329</v>
      </c>
      <c r="I103" s="65" t="e">
        <f>AVERAGEIF(Assessment!J:J,'Fields &amp; Revisions'!H103,Assessment!C:C)</f>
        <v>#DIV/0!</v>
      </c>
    </row>
    <row r="104" spans="6:9" x14ac:dyDescent="0.35">
      <c r="F104" s="63" t="s">
        <v>2361</v>
      </c>
      <c r="H104" s="63" t="s">
        <v>292</v>
      </c>
      <c r="I104" s="65" t="e">
        <f>AVERAGEIF(Assessment!J:J,'Fields &amp; Revisions'!H104,Assessment!C:C)</f>
        <v>#DIV/0!</v>
      </c>
    </row>
    <row r="105" spans="6:9" x14ac:dyDescent="0.35">
      <c r="F105" s="63" t="s">
        <v>2363</v>
      </c>
      <c r="H105" s="63" t="s">
        <v>1341</v>
      </c>
      <c r="I105" s="65">
        <f>AVERAGEIF(Assessment!J:J,'Fields &amp; Revisions'!H105,Assessment!C:C)</f>
        <v>0</v>
      </c>
    </row>
    <row r="106" spans="6:9" x14ac:dyDescent="0.35">
      <c r="F106" s="63" t="s">
        <v>2379</v>
      </c>
      <c r="H106" s="63" t="s">
        <v>1230</v>
      </c>
      <c r="I106" s="65">
        <f>AVERAGEIF(Assessment!J:J,'Fields &amp; Revisions'!H106,Assessment!C:C)</f>
        <v>0</v>
      </c>
    </row>
    <row r="107" spans="6:9" x14ac:dyDescent="0.35">
      <c r="F107" s="63" t="s">
        <v>2398</v>
      </c>
      <c r="H107" s="63" t="s">
        <v>416</v>
      </c>
      <c r="I107" s="65">
        <f>AVERAGEIF(Assessment!J:J,'Fields &amp; Revisions'!H107,Assessment!C:C)</f>
        <v>40</v>
      </c>
    </row>
    <row r="108" spans="6:9" x14ac:dyDescent="0.35">
      <c r="F108" s="63" t="s">
        <v>2418</v>
      </c>
      <c r="H108" s="63" t="s">
        <v>773</v>
      </c>
      <c r="I108" s="65">
        <f>AVERAGEIF(Assessment!J:J,'Fields &amp; Revisions'!H108,Assessment!C:C)</f>
        <v>30</v>
      </c>
    </row>
    <row r="109" spans="6:9" x14ac:dyDescent="0.35">
      <c r="F109" s="63" t="s">
        <v>2510</v>
      </c>
      <c r="H109" s="63" t="s">
        <v>2083</v>
      </c>
      <c r="I109" s="65">
        <f>AVERAGEIF(Assessment!J:J,'Fields &amp; Revisions'!H109,Assessment!C:C)</f>
        <v>30</v>
      </c>
    </row>
    <row r="110" spans="6:9" x14ac:dyDescent="0.35">
      <c r="F110" s="63" t="s">
        <v>2551</v>
      </c>
      <c r="H110" s="63" t="s">
        <v>2093</v>
      </c>
      <c r="I110" s="65">
        <f>AVERAGEIF(Assessment!J:J,'Fields &amp; Revisions'!H110,Assessment!C:C)</f>
        <v>20</v>
      </c>
    </row>
    <row r="111" spans="6:9" x14ac:dyDescent="0.35">
      <c r="F111" s="63" t="s">
        <v>2574</v>
      </c>
      <c r="H111" s="63" t="s">
        <v>2098</v>
      </c>
      <c r="I111" s="65" t="e">
        <f>AVERAGEIF(Assessment!J:J,'Fields &amp; Revisions'!H111,Assessment!C:C)</f>
        <v>#DIV/0!</v>
      </c>
    </row>
    <row r="112" spans="6:9" x14ac:dyDescent="0.35">
      <c r="F112" s="63" t="s">
        <v>2579</v>
      </c>
      <c r="H112" s="63" t="s">
        <v>2101</v>
      </c>
      <c r="I112" s="65" t="e">
        <f>AVERAGEIF(Assessment!J:J,'Fields &amp; Revisions'!H112,Assessment!C:C)</f>
        <v>#DIV/0!</v>
      </c>
    </row>
    <row r="113" spans="6:9" x14ac:dyDescent="0.35">
      <c r="F113" s="63" t="s">
        <v>2688</v>
      </c>
      <c r="H113" s="63" t="s">
        <v>5733</v>
      </c>
      <c r="I113" s="65">
        <f>AVERAGEIF(Assessment!J:J,'Fields &amp; Revisions'!H113,Assessment!C:C)</f>
        <v>0</v>
      </c>
    </row>
    <row r="114" spans="6:9" x14ac:dyDescent="0.35">
      <c r="F114" s="63" t="s">
        <v>2694</v>
      </c>
      <c r="H114" s="63" t="s">
        <v>1146</v>
      </c>
      <c r="I114" s="65" t="e">
        <f>AVERAGEIF(Assessment!J:J,'Fields &amp; Revisions'!H114,Assessment!C:C)</f>
        <v>#DIV/0!</v>
      </c>
    </row>
    <row r="115" spans="6:9" x14ac:dyDescent="0.35">
      <c r="F115" s="63" t="s">
        <v>2698</v>
      </c>
      <c r="H115" s="63" t="s">
        <v>1344</v>
      </c>
      <c r="I115" s="65">
        <f>AVERAGEIF(Assessment!J:J,'Fields &amp; Revisions'!H115,Assessment!C:C)</f>
        <v>0</v>
      </c>
    </row>
    <row r="116" spans="6:9" x14ac:dyDescent="0.35">
      <c r="F116" s="63" t="s">
        <v>2704</v>
      </c>
      <c r="H116" s="63" t="s">
        <v>1009</v>
      </c>
      <c r="I116" s="65" t="e">
        <f>AVERAGEIF(Assessment!J:J,'Fields &amp; Revisions'!H116,Assessment!C:C)</f>
        <v>#DIV/0!</v>
      </c>
    </row>
    <row r="117" spans="6:9" x14ac:dyDescent="0.35">
      <c r="F117" s="63" t="s">
        <v>2706</v>
      </c>
      <c r="H117" s="63" t="s">
        <v>2110</v>
      </c>
      <c r="I117" s="65">
        <f>AVERAGEIF(Assessment!J:J,'Fields &amp; Revisions'!H117,Assessment!C:C)</f>
        <v>40</v>
      </c>
    </row>
    <row r="118" spans="6:9" x14ac:dyDescent="0.35">
      <c r="F118" s="63" t="s">
        <v>2708</v>
      </c>
      <c r="H118" s="63" t="s">
        <v>1363</v>
      </c>
      <c r="I118" s="65">
        <f>AVERAGEIF(Assessment!J:J,'Fields &amp; Revisions'!H118,Assessment!C:C)</f>
        <v>0</v>
      </c>
    </row>
    <row r="119" spans="6:9" x14ac:dyDescent="0.35">
      <c r="F119" s="63" t="s">
        <v>2710</v>
      </c>
      <c r="H119" s="63" t="s">
        <v>834</v>
      </c>
      <c r="I119" s="65" t="e">
        <f>AVERAGEIF(Assessment!J:J,'Fields &amp; Revisions'!H119,Assessment!C:C)</f>
        <v>#DIV/0!</v>
      </c>
    </row>
    <row r="120" spans="6:9" x14ac:dyDescent="0.35">
      <c r="F120" s="63" t="s">
        <v>2712</v>
      </c>
      <c r="H120" s="63" t="s">
        <v>2122</v>
      </c>
      <c r="I120" s="65">
        <f>AVERAGEIF(Assessment!J:J,'Fields &amp; Revisions'!H120,Assessment!C:C)</f>
        <v>20</v>
      </c>
    </row>
    <row r="121" spans="6:9" x14ac:dyDescent="0.35">
      <c r="F121" s="63" t="s">
        <v>2733</v>
      </c>
      <c r="H121" s="63" t="s">
        <v>1012</v>
      </c>
      <c r="I121" s="65">
        <f>AVERAGEIF(Assessment!J:J,'Fields &amp; Revisions'!H121,Assessment!C:C)</f>
        <v>13.333333333333334</v>
      </c>
    </row>
    <row r="122" spans="6:9" x14ac:dyDescent="0.35">
      <c r="F122" s="63" t="s">
        <v>2735</v>
      </c>
      <c r="H122" s="63" t="s">
        <v>5753</v>
      </c>
      <c r="I122" s="65">
        <f>AVERAGEIF(Assessment!J:J,'Fields &amp; Revisions'!H122,Assessment!C:C)</f>
        <v>0</v>
      </c>
    </row>
    <row r="123" spans="6:9" x14ac:dyDescent="0.35">
      <c r="F123" s="63" t="s">
        <v>2737</v>
      </c>
      <c r="H123" s="63" t="s">
        <v>1039</v>
      </c>
      <c r="I123" s="65">
        <f>AVERAGEIF(Assessment!J:J,'Fields &amp; Revisions'!H123,Assessment!C:C)</f>
        <v>20</v>
      </c>
    </row>
    <row r="124" spans="6:9" x14ac:dyDescent="0.35">
      <c r="F124" s="63" t="s">
        <v>2739</v>
      </c>
      <c r="H124" s="63" t="s">
        <v>1049</v>
      </c>
      <c r="I124" s="65">
        <f>AVERAGEIF(Assessment!J:J,'Fields &amp; Revisions'!H124,Assessment!C:C)</f>
        <v>20</v>
      </c>
    </row>
    <row r="125" spans="6:9" x14ac:dyDescent="0.35">
      <c r="F125" s="63" t="s">
        <v>2741</v>
      </c>
      <c r="H125" s="63" t="s">
        <v>3905</v>
      </c>
      <c r="I125" s="65" t="e">
        <f>AVERAGEIF(Assessment!J:J,'Fields &amp; Revisions'!H125,Assessment!C:C)</f>
        <v>#DIV/0!</v>
      </c>
    </row>
    <row r="126" spans="6:9" x14ac:dyDescent="0.35">
      <c r="F126" s="63" t="s">
        <v>2743</v>
      </c>
      <c r="H126" s="63" t="s">
        <v>1084</v>
      </c>
      <c r="I126" s="65">
        <f>AVERAGEIF(Assessment!J:J,'Fields &amp; Revisions'!H126,Assessment!C:C)</f>
        <v>17.777777777777779</v>
      </c>
    </row>
    <row r="127" spans="6:9" x14ac:dyDescent="0.35">
      <c r="F127" s="63" t="s">
        <v>2758</v>
      </c>
      <c r="H127" s="63" t="s">
        <v>2719</v>
      </c>
      <c r="I127" s="65" t="e">
        <f>AVERAGEIF(Assessment!J:J,'Fields &amp; Revisions'!H127,Assessment!C:C)</f>
        <v>#DIV/0!</v>
      </c>
    </row>
    <row r="128" spans="6:9" x14ac:dyDescent="0.35">
      <c r="F128" s="63" t="s">
        <v>2766</v>
      </c>
      <c r="H128" s="63" t="s">
        <v>4096</v>
      </c>
      <c r="I128" s="65">
        <f>AVERAGEIF(Assessment!J:J,'Fields &amp; Revisions'!H128,Assessment!C:C)</f>
        <v>40</v>
      </c>
    </row>
    <row r="129" spans="6:9" x14ac:dyDescent="0.35">
      <c r="F129" s="63" t="s">
        <v>2781</v>
      </c>
      <c r="H129" s="63" t="s">
        <v>4099</v>
      </c>
      <c r="I129" s="65">
        <f>AVERAGEIF(Assessment!J:J,'Fields &amp; Revisions'!H129,Assessment!C:C)</f>
        <v>0</v>
      </c>
    </row>
    <row r="130" spans="6:9" x14ac:dyDescent="0.35">
      <c r="F130" s="63" t="s">
        <v>2792</v>
      </c>
      <c r="H130" s="63" t="s">
        <v>4127</v>
      </c>
      <c r="I130" s="65">
        <f>AVERAGEIF(Assessment!J:J,'Fields &amp; Revisions'!H130,Assessment!C:C)</f>
        <v>40</v>
      </c>
    </row>
    <row r="131" spans="6:9" x14ac:dyDescent="0.35">
      <c r="F131" s="63" t="s">
        <v>2801</v>
      </c>
      <c r="H131" s="63" t="s">
        <v>4130</v>
      </c>
      <c r="I131" s="65">
        <f>AVERAGEIF(Assessment!J:J,'Fields &amp; Revisions'!H131,Assessment!C:C)</f>
        <v>0</v>
      </c>
    </row>
    <row r="132" spans="6:9" x14ac:dyDescent="0.35">
      <c r="F132" s="63" t="s">
        <v>2816</v>
      </c>
      <c r="H132" s="63" t="s">
        <v>4544</v>
      </c>
      <c r="I132" s="65">
        <f>AVERAGEIF(Assessment!J:J,'Fields &amp; Revisions'!H132,Assessment!C:C)</f>
        <v>0</v>
      </c>
    </row>
    <row r="133" spans="6:9" x14ac:dyDescent="0.35">
      <c r="F133" s="63" t="s">
        <v>2827</v>
      </c>
      <c r="H133" s="63" t="s">
        <v>4416</v>
      </c>
      <c r="I133" s="65">
        <f>AVERAGEIF(Assessment!J:J,'Fields &amp; Revisions'!H133,Assessment!C:C)</f>
        <v>0</v>
      </c>
    </row>
    <row r="134" spans="6:9" x14ac:dyDescent="0.35">
      <c r="F134" s="63" t="s">
        <v>2856</v>
      </c>
      <c r="H134" s="63" t="s">
        <v>3734</v>
      </c>
      <c r="I134" s="65" t="e">
        <f>AVERAGEIF(Assessment!J:J,'Fields &amp; Revisions'!H134,Assessment!C:C)</f>
        <v>#DIV/0!</v>
      </c>
    </row>
    <row r="135" spans="6:9" x14ac:dyDescent="0.35">
      <c r="F135" s="63" t="s">
        <v>2880</v>
      </c>
      <c r="H135" s="63" t="s">
        <v>4439</v>
      </c>
      <c r="I135" s="65" t="e">
        <f>AVERAGEIF(Assessment!J:J,'Fields &amp; Revisions'!H135,Assessment!C:C)</f>
        <v>#DIV/0!</v>
      </c>
    </row>
    <row r="136" spans="6:9" x14ac:dyDescent="0.35">
      <c r="F136" s="63" t="s">
        <v>2899</v>
      </c>
      <c r="H136" s="63" t="s">
        <v>4133</v>
      </c>
      <c r="I136" s="65">
        <f>AVERAGEIF(Assessment!J:J,'Fields &amp; Revisions'!H136,Assessment!C:C)</f>
        <v>0</v>
      </c>
    </row>
    <row r="137" spans="6:9" x14ac:dyDescent="0.35">
      <c r="F137" s="63" t="s">
        <v>2959</v>
      </c>
      <c r="H137" s="63" t="s">
        <v>5756</v>
      </c>
      <c r="I137" s="65" t="e">
        <f>AVERAGEIF(Assessment!J:J,'Fields &amp; Revisions'!H137,Assessment!C:C)</f>
        <v>#DIV/0!</v>
      </c>
    </row>
    <row r="138" spans="6:9" x14ac:dyDescent="0.35">
      <c r="F138" s="63" t="s">
        <v>2961</v>
      </c>
      <c r="H138" s="63" t="s">
        <v>5765</v>
      </c>
      <c r="I138" s="65" t="e">
        <f>AVERAGEIF(Assessment!J:J,'Fields &amp; Revisions'!H138,Assessment!C:C)</f>
        <v>#DIV/0!</v>
      </c>
    </row>
    <row r="139" spans="6:9" x14ac:dyDescent="0.35">
      <c r="F139" s="63" t="s">
        <v>2966</v>
      </c>
      <c r="H139" s="63" t="s">
        <v>5770</v>
      </c>
      <c r="I139" s="65" t="e">
        <f>AVERAGEIF(Assessment!J:J,'Fields &amp; Revisions'!H139,Assessment!C:C)</f>
        <v>#DIV/0!</v>
      </c>
    </row>
    <row r="140" spans="6:9" x14ac:dyDescent="0.35">
      <c r="F140" s="63" t="s">
        <v>2970</v>
      </c>
      <c r="H140" s="63" t="s">
        <v>5775</v>
      </c>
      <c r="I140" s="65" t="e">
        <f>AVERAGEIF(Assessment!J:J,'Fields &amp; Revisions'!H140,Assessment!C:C)</f>
        <v>#DIV/0!</v>
      </c>
    </row>
    <row r="141" spans="6:9" x14ac:dyDescent="0.35">
      <c r="F141" s="63" t="s">
        <v>2972</v>
      </c>
      <c r="H141" s="63" t="s">
        <v>5792</v>
      </c>
      <c r="I141" s="65" t="e">
        <f>AVERAGEIF(Assessment!J:J,'Fields &amp; Revisions'!H141,Assessment!C:C)</f>
        <v>#DIV/0!</v>
      </c>
    </row>
    <row r="142" spans="6:9" x14ac:dyDescent="0.35">
      <c r="F142" s="63" t="s">
        <v>2978</v>
      </c>
      <c r="H142" s="63" t="s">
        <v>5797</v>
      </c>
      <c r="I142" s="65" t="e">
        <f>AVERAGEIF(Assessment!J:J,'Fields &amp; Revisions'!H142,Assessment!C:C)</f>
        <v>#DIV/0!</v>
      </c>
    </row>
    <row r="143" spans="6:9" x14ac:dyDescent="0.35">
      <c r="F143" s="63" t="s">
        <v>2980</v>
      </c>
      <c r="H143" s="63" t="s">
        <v>5818</v>
      </c>
      <c r="I143" s="65" t="e">
        <f>AVERAGEIF(Assessment!J:J,'Fields &amp; Revisions'!H143,Assessment!C:C)</f>
        <v>#DIV/0!</v>
      </c>
    </row>
    <row r="144" spans="6:9" x14ac:dyDescent="0.35">
      <c r="F144" s="63" t="s">
        <v>2986</v>
      </c>
      <c r="H144" s="63" t="s">
        <v>5823</v>
      </c>
      <c r="I144" s="65" t="e">
        <f>AVERAGEIF(Assessment!J:J,'Fields &amp; Revisions'!H144,Assessment!C:C)</f>
        <v>#DIV/0!</v>
      </c>
    </row>
    <row r="145" spans="6:9" x14ac:dyDescent="0.35">
      <c r="F145" s="63" t="s">
        <v>2988</v>
      </c>
      <c r="H145" s="63" t="s">
        <v>5829</v>
      </c>
      <c r="I145" s="65" t="e">
        <f>AVERAGEIF(Assessment!J:J,'Fields &amp; Revisions'!H145,Assessment!C:C)</f>
        <v>#DIV/0!</v>
      </c>
    </row>
    <row r="146" spans="6:9" x14ac:dyDescent="0.35">
      <c r="F146" s="63" t="s">
        <v>2990</v>
      </c>
      <c r="H146" s="63" t="s">
        <v>1518</v>
      </c>
      <c r="I146" s="65">
        <f>AVERAGEIF(Assessment!J:J,'Fields &amp; Revisions'!H146,Assessment!C:C)</f>
        <v>0</v>
      </c>
    </row>
    <row r="147" spans="6:9" x14ac:dyDescent="0.35">
      <c r="F147" s="63" t="s">
        <v>2992</v>
      </c>
      <c r="H147" s="63" t="s">
        <v>3354</v>
      </c>
      <c r="I147" s="65" t="e">
        <f>AVERAGEIF(Assessment!J:J,'Fields &amp; Revisions'!H147,Assessment!C:C)</f>
        <v>#DIV/0!</v>
      </c>
    </row>
    <row r="148" spans="6:9" x14ac:dyDescent="0.35">
      <c r="F148" s="63" t="s">
        <v>2994</v>
      </c>
      <c r="H148" s="63" t="s">
        <v>3357</v>
      </c>
      <c r="I148" s="65" t="e">
        <f>AVERAGEIF(Assessment!J:J,'Fields &amp; Revisions'!H148,Assessment!C:C)</f>
        <v>#DIV/0!</v>
      </c>
    </row>
    <row r="149" spans="6:9" x14ac:dyDescent="0.35">
      <c r="F149" s="63" t="s">
        <v>3004</v>
      </c>
      <c r="H149" s="63" t="s">
        <v>5907</v>
      </c>
      <c r="I149" s="65" t="e">
        <f>AVERAGEIF(Assessment!J:J,'Fields &amp; Revisions'!H149,Assessment!C:C)</f>
        <v>#DIV/0!</v>
      </c>
    </row>
    <row r="150" spans="6:9" x14ac:dyDescent="0.35">
      <c r="F150" s="63" t="s">
        <v>3010</v>
      </c>
      <c r="H150" s="63" t="s">
        <v>5918</v>
      </c>
      <c r="I150" s="65" t="e">
        <f>AVERAGEIF(Assessment!J:J,'Fields &amp; Revisions'!H150,Assessment!C:C)</f>
        <v>#DIV/0!</v>
      </c>
    </row>
    <row r="151" spans="6:9" x14ac:dyDescent="0.35">
      <c r="F151" s="63" t="s">
        <v>3014</v>
      </c>
      <c r="H151" s="63" t="s">
        <v>295</v>
      </c>
      <c r="I151" s="65" t="e">
        <f>AVERAGEIF(Assessment!J:J,'Fields &amp; Revisions'!H151,Assessment!C:C)</f>
        <v>#DIV/0!</v>
      </c>
    </row>
    <row r="152" spans="6:9" x14ac:dyDescent="0.35">
      <c r="F152" s="63" t="s">
        <v>3016</v>
      </c>
      <c r="H152" s="63" t="s">
        <v>5927</v>
      </c>
      <c r="I152" s="65" t="e">
        <f>AVERAGEIF(Assessment!J:J,'Fields &amp; Revisions'!H152,Assessment!C:C)</f>
        <v>#DIV/0!</v>
      </c>
    </row>
    <row r="153" spans="6:9" x14ac:dyDescent="0.35">
      <c r="F153" s="63" t="s">
        <v>3018</v>
      </c>
      <c r="H153" s="63" t="s">
        <v>5936</v>
      </c>
      <c r="I153" s="65" t="e">
        <f>AVERAGEIF(Assessment!J:J,'Fields &amp; Revisions'!H153,Assessment!C:C)</f>
        <v>#DIV/0!</v>
      </c>
    </row>
    <row r="154" spans="6:9" x14ac:dyDescent="0.35">
      <c r="F154" s="63" t="s">
        <v>3020</v>
      </c>
      <c r="H154" s="63" t="s">
        <v>3937</v>
      </c>
      <c r="I154" s="65" t="e">
        <f>AVERAGEIF(Assessment!J:J,'Fields &amp; Revisions'!H154,Assessment!C:C)</f>
        <v>#DIV/0!</v>
      </c>
    </row>
    <row r="155" spans="6:9" x14ac:dyDescent="0.35">
      <c r="F155" s="63" t="s">
        <v>3022</v>
      </c>
      <c r="H155" s="63" t="s">
        <v>6710</v>
      </c>
      <c r="I155" s="65" t="e">
        <f>AVERAGEIF(Assessment!J:J,'Fields &amp; Revisions'!H155,Assessment!C:C)</f>
        <v>#DIV/0!</v>
      </c>
    </row>
    <row r="156" spans="6:9" x14ac:dyDescent="0.35">
      <c r="F156" s="63" t="s">
        <v>3024</v>
      </c>
      <c r="H156" s="63" t="s">
        <v>3694</v>
      </c>
      <c r="I156" s="65" t="e">
        <f>AVERAGEIF(Assessment!J:J,'Fields &amp; Revisions'!H156,Assessment!C:C)</f>
        <v>#DIV/0!</v>
      </c>
    </row>
    <row r="157" spans="6:9" x14ac:dyDescent="0.35">
      <c r="F157" s="63" t="s">
        <v>3026</v>
      </c>
      <c r="H157" s="63" t="s">
        <v>5945</v>
      </c>
      <c r="I157" s="65" t="e">
        <f>AVERAGEIF(Assessment!J:J,'Fields &amp; Revisions'!H157,Assessment!C:C)</f>
        <v>#DIV/0!</v>
      </c>
    </row>
    <row r="158" spans="6:9" x14ac:dyDescent="0.35">
      <c r="F158" s="63" t="s">
        <v>3047</v>
      </c>
    </row>
    <row r="159" spans="6:9" x14ac:dyDescent="0.35">
      <c r="F159" s="63" t="s">
        <v>3048</v>
      </c>
    </row>
    <row r="160" spans="6:9" x14ac:dyDescent="0.35">
      <c r="F160" s="63" t="s">
        <v>3050</v>
      </c>
    </row>
    <row r="161" spans="6:6" x14ac:dyDescent="0.35">
      <c r="F161" s="63" t="s">
        <v>3096</v>
      </c>
    </row>
    <row r="162" spans="6:6" x14ac:dyDescent="0.35">
      <c r="F162" s="63" t="s">
        <v>3361</v>
      </c>
    </row>
    <row r="163" spans="6:6" x14ac:dyDescent="0.35">
      <c r="F163" s="63" t="s">
        <v>3363</v>
      </c>
    </row>
    <row r="164" spans="6:6" x14ac:dyDescent="0.35">
      <c r="F164" s="63" t="s">
        <v>3384</v>
      </c>
    </row>
    <row r="165" spans="6:6" x14ac:dyDescent="0.35">
      <c r="F165" s="63" t="s">
        <v>3410</v>
      </c>
    </row>
    <row r="166" spans="6:6" x14ac:dyDescent="0.35">
      <c r="F166" s="63" t="s">
        <v>3412</v>
      </c>
    </row>
    <row r="167" spans="6:6" x14ac:dyDescent="0.35">
      <c r="F167" s="63" t="s">
        <v>3416</v>
      </c>
    </row>
    <row r="168" spans="6:6" x14ac:dyDescent="0.35">
      <c r="F168" s="63" t="s">
        <v>3471</v>
      </c>
    </row>
    <row r="169" spans="6:6" x14ac:dyDescent="0.35">
      <c r="F169" s="63" t="s">
        <v>3509</v>
      </c>
    </row>
    <row r="170" spans="6:6" x14ac:dyDescent="0.35">
      <c r="F170" s="63" t="s">
        <v>3557</v>
      </c>
    </row>
    <row r="171" spans="6:6" x14ac:dyDescent="0.35">
      <c r="F171" s="63" t="s">
        <v>3562</v>
      </c>
    </row>
    <row r="172" spans="6:6" x14ac:dyDescent="0.35">
      <c r="F172" s="63" t="s">
        <v>3597</v>
      </c>
    </row>
    <row r="173" spans="6:6" x14ac:dyDescent="0.35">
      <c r="F173" s="63" t="s">
        <v>3618</v>
      </c>
    </row>
    <row r="174" spans="6:6" x14ac:dyDescent="0.35">
      <c r="F174" s="63" t="s">
        <v>3703</v>
      </c>
    </row>
    <row r="175" spans="6:6" x14ac:dyDescent="0.35">
      <c r="F175" s="63" t="s">
        <v>3710</v>
      </c>
    </row>
    <row r="176" spans="6:6" x14ac:dyDescent="0.35">
      <c r="F176" s="63" t="s">
        <v>3712</v>
      </c>
    </row>
    <row r="177" spans="6:6" x14ac:dyDescent="0.35">
      <c r="F177" s="63" t="s">
        <v>3714</v>
      </c>
    </row>
    <row r="178" spans="6:6" x14ac:dyDescent="0.35">
      <c r="F178" s="63" t="s">
        <v>3773</v>
      </c>
    </row>
    <row r="179" spans="6:6" x14ac:dyDescent="0.35">
      <c r="F179" s="63" t="s">
        <v>3777</v>
      </c>
    </row>
    <row r="180" spans="6:6" x14ac:dyDescent="0.35">
      <c r="F180" s="63" t="s">
        <v>3781</v>
      </c>
    </row>
    <row r="181" spans="6:6" x14ac:dyDescent="0.35">
      <c r="F181" s="63" t="s">
        <v>3874</v>
      </c>
    </row>
    <row r="182" spans="6:6" x14ac:dyDescent="0.35">
      <c r="F182" s="63" t="s">
        <v>3878</v>
      </c>
    </row>
    <row r="183" spans="6:6" x14ac:dyDescent="0.35">
      <c r="F183" s="63" t="s">
        <v>3880</v>
      </c>
    </row>
    <row r="184" spans="6:6" x14ac:dyDescent="0.35">
      <c r="F184" s="63" t="s">
        <v>3884</v>
      </c>
    </row>
    <row r="185" spans="6:6" x14ac:dyDescent="0.35">
      <c r="F185" s="63" t="s">
        <v>3890</v>
      </c>
    </row>
    <row r="186" spans="6:6" x14ac:dyDescent="0.35">
      <c r="F186" s="63" t="s">
        <v>3896</v>
      </c>
    </row>
    <row r="187" spans="6:6" x14ac:dyDescent="0.35">
      <c r="F187" s="63" t="s">
        <v>3913</v>
      </c>
    </row>
    <row r="188" spans="6:6" x14ac:dyDescent="0.35">
      <c r="F188" s="63" t="s">
        <v>3939</v>
      </c>
    </row>
    <row r="189" spans="6:6" x14ac:dyDescent="0.35">
      <c r="F189" s="63" t="s">
        <v>3971</v>
      </c>
    </row>
    <row r="190" spans="6:6" x14ac:dyDescent="0.35">
      <c r="F190" s="63" t="s">
        <v>4057</v>
      </c>
    </row>
    <row r="191" spans="6:6" x14ac:dyDescent="0.35">
      <c r="F191" s="63" t="s">
        <v>4059</v>
      </c>
    </row>
    <row r="192" spans="6:6" x14ac:dyDescent="0.35">
      <c r="F192" s="63" t="s">
        <v>4061</v>
      </c>
    </row>
    <row r="193" spans="6:6" x14ac:dyDescent="0.35">
      <c r="F193" s="63" t="s">
        <v>4144</v>
      </c>
    </row>
    <row r="194" spans="6:6" x14ac:dyDescent="0.35">
      <c r="F194" s="63" t="s">
        <v>4148</v>
      </c>
    </row>
    <row r="195" spans="6:6" x14ac:dyDescent="0.35">
      <c r="F195" s="63" t="s">
        <v>4155</v>
      </c>
    </row>
    <row r="196" spans="6:6" x14ac:dyDescent="0.35">
      <c r="F196" s="63" t="s">
        <v>4252</v>
      </c>
    </row>
    <row r="197" spans="6:6" x14ac:dyDescent="0.35">
      <c r="F197" s="63" t="s">
        <v>4276</v>
      </c>
    </row>
    <row r="198" spans="6:6" x14ac:dyDescent="0.35">
      <c r="F198" s="63" t="s">
        <v>4278</v>
      </c>
    </row>
    <row r="199" spans="6:6" x14ac:dyDescent="0.35">
      <c r="F199" s="63" t="s">
        <v>4285</v>
      </c>
    </row>
    <row r="200" spans="6:6" x14ac:dyDescent="0.35">
      <c r="F200" s="63" t="s">
        <v>4299</v>
      </c>
    </row>
    <row r="201" spans="6:6" x14ac:dyDescent="0.35">
      <c r="F201" s="63" t="s">
        <v>4349</v>
      </c>
    </row>
    <row r="202" spans="6:6" x14ac:dyDescent="0.35">
      <c r="F202" s="63" t="s">
        <v>4394</v>
      </c>
    </row>
    <row r="203" spans="6:6" x14ac:dyDescent="0.35">
      <c r="F203" s="63" t="s">
        <v>4458</v>
      </c>
    </row>
    <row r="204" spans="6:6" x14ac:dyDescent="0.35">
      <c r="F204" s="63" t="s">
        <v>4460</v>
      </c>
    </row>
    <row r="205" spans="6:6" x14ac:dyDescent="0.35">
      <c r="F205" s="63" t="s">
        <v>4475</v>
      </c>
    </row>
    <row r="206" spans="6:6" x14ac:dyDescent="0.35">
      <c r="F206" s="63" t="s">
        <v>4487</v>
      </c>
    </row>
    <row r="207" spans="6:6" x14ac:dyDescent="0.35">
      <c r="F207" s="63" t="s">
        <v>4489</v>
      </c>
    </row>
    <row r="208" spans="6:6" x14ac:dyDescent="0.35">
      <c r="F208" s="63" t="s">
        <v>4491</v>
      </c>
    </row>
    <row r="209" spans="6:6" x14ac:dyDescent="0.35">
      <c r="F209" s="63" t="s">
        <v>4523</v>
      </c>
    </row>
    <row r="210" spans="6:6" x14ac:dyDescent="0.35">
      <c r="F210" s="63" t="s">
        <v>4543</v>
      </c>
    </row>
    <row r="211" spans="6:6" x14ac:dyDescent="0.35">
      <c r="F211" s="63" t="s">
        <v>4551</v>
      </c>
    </row>
    <row r="212" spans="6:6" x14ac:dyDescent="0.35">
      <c r="F212" s="63" t="s">
        <v>4555</v>
      </c>
    </row>
    <row r="213" spans="6:6" x14ac:dyDescent="0.35">
      <c r="F213" s="63" t="s">
        <v>4557</v>
      </c>
    </row>
    <row r="214" spans="6:6" x14ac:dyDescent="0.35">
      <c r="F214" s="63" t="s">
        <v>4599</v>
      </c>
    </row>
    <row r="215" spans="6:6" x14ac:dyDescent="0.35">
      <c r="F215" s="63" t="s">
        <v>4622</v>
      </c>
    </row>
    <row r="216" spans="6:6" x14ac:dyDescent="0.35">
      <c r="F216" s="63" t="s">
        <v>4630</v>
      </c>
    </row>
    <row r="217" spans="6:6" x14ac:dyDescent="0.35">
      <c r="F217" s="63" t="s">
        <v>4632</v>
      </c>
    </row>
    <row r="218" spans="6:6" x14ac:dyDescent="0.35">
      <c r="F218" s="63" t="s">
        <v>4661</v>
      </c>
    </row>
    <row r="219" spans="6:6" x14ac:dyDescent="0.35">
      <c r="F219" s="63" t="s">
        <v>4973</v>
      </c>
    </row>
    <row r="220" spans="6:6" x14ac:dyDescent="0.35">
      <c r="F220" s="63" t="s">
        <v>4984</v>
      </c>
    </row>
    <row r="221" spans="6:6" x14ac:dyDescent="0.35">
      <c r="F221" s="63" t="s">
        <v>4991</v>
      </c>
    </row>
    <row r="222" spans="6:6" x14ac:dyDescent="0.35">
      <c r="F222" s="63" t="s">
        <v>4998</v>
      </c>
    </row>
    <row r="223" spans="6:6" x14ac:dyDescent="0.35">
      <c r="F223" s="63" t="s">
        <v>5070</v>
      </c>
    </row>
    <row r="224" spans="6:6" x14ac:dyDescent="0.35">
      <c r="F224" s="63" t="s">
        <v>5143</v>
      </c>
    </row>
    <row r="225" spans="6:6" x14ac:dyDescent="0.35">
      <c r="F225" s="63" t="s">
        <v>5154</v>
      </c>
    </row>
    <row r="226" spans="6:6" x14ac:dyDescent="0.35">
      <c r="F226" s="63" t="s">
        <v>5164</v>
      </c>
    </row>
    <row r="227" spans="6:6" x14ac:dyDescent="0.35">
      <c r="F227" s="63" t="s">
        <v>5175</v>
      </c>
    </row>
    <row r="228" spans="6:6" x14ac:dyDescent="0.35">
      <c r="F228" s="63" t="s">
        <v>5184</v>
      </c>
    </row>
    <row r="229" spans="6:6" x14ac:dyDescent="0.35">
      <c r="F229" s="63" t="s">
        <v>5211</v>
      </c>
    </row>
    <row r="230" spans="6:6" x14ac:dyDescent="0.35">
      <c r="F230" s="63" t="s">
        <v>5216</v>
      </c>
    </row>
    <row r="231" spans="6:6" x14ac:dyDescent="0.35">
      <c r="F231" s="63" t="s">
        <v>5242</v>
      </c>
    </row>
    <row r="232" spans="6:6" x14ac:dyDescent="0.35">
      <c r="F232" s="63" t="s">
        <v>5347</v>
      </c>
    </row>
    <row r="233" spans="6:6" x14ac:dyDescent="0.35">
      <c r="F233" s="63" t="s">
        <v>5349</v>
      </c>
    </row>
    <row r="234" spans="6:6" x14ac:dyDescent="0.35">
      <c r="F234" s="63" t="s">
        <v>5381</v>
      </c>
    </row>
    <row r="235" spans="6:6" x14ac:dyDescent="0.35">
      <c r="F235" s="63" t="s">
        <v>5413</v>
      </c>
    </row>
    <row r="236" spans="6:6" x14ac:dyDescent="0.35">
      <c r="F236" s="63" t="s">
        <v>5427</v>
      </c>
    </row>
    <row r="237" spans="6:6" x14ac:dyDescent="0.35">
      <c r="F237" s="63" t="s">
        <v>5430</v>
      </c>
    </row>
    <row r="238" spans="6:6" x14ac:dyDescent="0.35">
      <c r="F238" s="63" t="s">
        <v>5442</v>
      </c>
    </row>
    <row r="239" spans="6:6" x14ac:dyDescent="0.35">
      <c r="F239" s="63" t="s">
        <v>5502</v>
      </c>
    </row>
    <row r="240" spans="6:6" x14ac:dyDescent="0.35">
      <c r="F240" s="63" t="s">
        <v>5504</v>
      </c>
    </row>
    <row r="241" spans="6:6" x14ac:dyDescent="0.35">
      <c r="F241" s="63" t="s">
        <v>5510</v>
      </c>
    </row>
    <row r="242" spans="6:6" x14ac:dyDescent="0.35">
      <c r="F242" s="63" t="s">
        <v>5517</v>
      </c>
    </row>
    <row r="243" spans="6:6" x14ac:dyDescent="0.35">
      <c r="F243" s="63" t="s">
        <v>5548</v>
      </c>
    </row>
    <row r="244" spans="6:6" x14ac:dyDescent="0.35">
      <c r="F244" s="63" t="s">
        <v>5552</v>
      </c>
    </row>
    <row r="245" spans="6:6" x14ac:dyDescent="0.35">
      <c r="F245" s="63" t="s">
        <v>5571</v>
      </c>
    </row>
    <row r="246" spans="6:6" x14ac:dyDescent="0.35">
      <c r="F246" s="63" t="s">
        <v>5587</v>
      </c>
    </row>
    <row r="247" spans="6:6" x14ac:dyDescent="0.35">
      <c r="F247" s="63" t="s">
        <v>5595</v>
      </c>
    </row>
    <row r="248" spans="6:6" x14ac:dyDescent="0.35">
      <c r="F248" s="63" t="s">
        <v>5607</v>
      </c>
    </row>
    <row r="249" spans="6:6" x14ac:dyDescent="0.35">
      <c r="F249" s="63" t="s">
        <v>5629</v>
      </c>
    </row>
    <row r="250" spans="6:6" x14ac:dyDescent="0.35">
      <c r="F250" s="63" t="s">
        <v>5648</v>
      </c>
    </row>
    <row r="251" spans="6:6" x14ac:dyDescent="0.35">
      <c r="F251" s="63" t="s">
        <v>5673</v>
      </c>
    </row>
    <row r="252" spans="6:6" x14ac:dyDescent="0.35">
      <c r="F252" s="63" t="s">
        <v>5962</v>
      </c>
    </row>
    <row r="253" spans="6:6" x14ac:dyDescent="0.35">
      <c r="F253" s="63" t="s">
        <v>5968</v>
      </c>
    </row>
    <row r="254" spans="6:6" x14ac:dyDescent="0.35">
      <c r="F254" s="63" t="s">
        <v>5974</v>
      </c>
    </row>
    <row r="255" spans="6:6" x14ac:dyDescent="0.35">
      <c r="F255" s="63" t="s">
        <v>6020</v>
      </c>
    </row>
    <row r="256" spans="6:6" x14ac:dyDescent="0.35">
      <c r="F256" s="63" t="s">
        <v>6058</v>
      </c>
    </row>
    <row r="257" spans="6:6" x14ac:dyDescent="0.35">
      <c r="F257" s="63" t="s">
        <v>6066</v>
      </c>
    </row>
    <row r="258" spans="6:6" x14ac:dyDescent="0.35">
      <c r="F258" s="63" t="s">
        <v>6076</v>
      </c>
    </row>
    <row r="259" spans="6:6" x14ac:dyDescent="0.35">
      <c r="F259" s="63" t="s">
        <v>6106</v>
      </c>
    </row>
    <row r="260" spans="6:6" x14ac:dyDescent="0.35">
      <c r="F260" s="63" t="s">
        <v>6139</v>
      </c>
    </row>
    <row r="261" spans="6:6" x14ac:dyDescent="0.35">
      <c r="F261" s="63" t="s">
        <v>6182</v>
      </c>
    </row>
    <row r="262" spans="6:6" x14ac:dyDescent="0.35">
      <c r="F262" s="63" t="s">
        <v>6201</v>
      </c>
    </row>
    <row r="263" spans="6:6" x14ac:dyDescent="0.35">
      <c r="F263" s="63" t="s">
        <v>6358</v>
      </c>
    </row>
    <row r="264" spans="6:6" x14ac:dyDescent="0.35">
      <c r="F264" s="63" t="s">
        <v>6408</v>
      </c>
    </row>
    <row r="265" spans="6:6" x14ac:dyDescent="0.35">
      <c r="F265" s="63" t="s">
        <v>6532</v>
      </c>
    </row>
    <row r="266" spans="6:6" x14ac:dyDescent="0.35">
      <c r="F266" s="63" t="s">
        <v>6699</v>
      </c>
    </row>
    <row r="267" spans="6:6" x14ac:dyDescent="0.35">
      <c r="F267" s="63" t="s">
        <v>6796</v>
      </c>
    </row>
    <row r="268" spans="6:6" x14ac:dyDescent="0.35">
      <c r="F268" s="63" t="s">
        <v>6803</v>
      </c>
    </row>
    <row r="269" spans="6:6" x14ac:dyDescent="0.35">
      <c r="F269" s="63" t="s">
        <v>395</v>
      </c>
    </row>
    <row r="270" spans="6:6" x14ac:dyDescent="0.35">
      <c r="F270" s="63" t="s">
        <v>873</v>
      </c>
    </row>
    <row r="271" spans="6:6" x14ac:dyDescent="0.35">
      <c r="F271" s="63" t="s">
        <v>933</v>
      </c>
    </row>
    <row r="272" spans="6:6" x14ac:dyDescent="0.35">
      <c r="F272" s="63" t="s">
        <v>935</v>
      </c>
    </row>
    <row r="273" spans="6:6" x14ac:dyDescent="0.35">
      <c r="F273" s="63" t="s">
        <v>937</v>
      </c>
    </row>
    <row r="274" spans="6:6" x14ac:dyDescent="0.35">
      <c r="F274" s="63" t="s">
        <v>939</v>
      </c>
    </row>
    <row r="275" spans="6:6" x14ac:dyDescent="0.35">
      <c r="F275" s="63" t="s">
        <v>950</v>
      </c>
    </row>
    <row r="276" spans="6:6" x14ac:dyDescent="0.35">
      <c r="F276" s="63" t="s">
        <v>1544</v>
      </c>
    </row>
    <row r="277" spans="6:6" x14ac:dyDescent="0.35">
      <c r="F277" s="63" t="s">
        <v>2235</v>
      </c>
    </row>
    <row r="278" spans="6:6" x14ac:dyDescent="0.35">
      <c r="F278" s="63" t="s">
        <v>3501</v>
      </c>
    </row>
    <row r="279" spans="6:6" x14ac:dyDescent="0.35">
      <c r="F279" s="63" t="s">
        <v>3904</v>
      </c>
    </row>
    <row r="280" spans="6:6" x14ac:dyDescent="0.35">
      <c r="F280" s="63" t="s">
        <v>6175</v>
      </c>
    </row>
    <row r="281" spans="6:6" x14ac:dyDescent="0.35">
      <c r="F281" s="63" t="s">
        <v>945</v>
      </c>
    </row>
    <row r="282" spans="6:6" x14ac:dyDescent="0.35">
      <c r="F282" s="63" t="s">
        <v>6074</v>
      </c>
    </row>
    <row r="283" spans="6:6" x14ac:dyDescent="0.35">
      <c r="F283" s="63" t="s">
        <v>6504</v>
      </c>
    </row>
    <row r="284" spans="6:6" x14ac:dyDescent="0.35">
      <c r="F284" s="63" t="s">
        <v>301</v>
      </c>
    </row>
    <row r="285" spans="6:6" x14ac:dyDescent="0.35">
      <c r="F285" s="63" t="s">
        <v>339</v>
      </c>
    </row>
    <row r="286" spans="6:6" x14ac:dyDescent="0.35">
      <c r="F286" s="63" t="s">
        <v>407</v>
      </c>
    </row>
    <row r="287" spans="6:6" x14ac:dyDescent="0.35">
      <c r="F287" s="63" t="s">
        <v>409</v>
      </c>
    </row>
    <row r="288" spans="6:6" x14ac:dyDescent="0.35">
      <c r="F288" s="63" t="s">
        <v>411</v>
      </c>
    </row>
    <row r="289" spans="6:6" x14ac:dyDescent="0.35">
      <c r="F289" s="63" t="s">
        <v>533</v>
      </c>
    </row>
    <row r="290" spans="6:6" x14ac:dyDescent="0.35">
      <c r="F290" s="63" t="s">
        <v>549</v>
      </c>
    </row>
    <row r="291" spans="6:6" x14ac:dyDescent="0.35">
      <c r="F291" s="63" t="s">
        <v>561</v>
      </c>
    </row>
    <row r="292" spans="6:6" x14ac:dyDescent="0.35">
      <c r="F292" s="63" t="s">
        <v>563</v>
      </c>
    </row>
    <row r="293" spans="6:6" x14ac:dyDescent="0.35">
      <c r="F293" s="63" t="s">
        <v>565</v>
      </c>
    </row>
    <row r="294" spans="6:6" x14ac:dyDescent="0.35">
      <c r="F294" s="63" t="s">
        <v>676</v>
      </c>
    </row>
    <row r="295" spans="6:6" x14ac:dyDescent="0.35">
      <c r="F295" s="63" t="s">
        <v>701</v>
      </c>
    </row>
    <row r="296" spans="6:6" x14ac:dyDescent="0.35">
      <c r="F296" s="63" t="s">
        <v>774</v>
      </c>
    </row>
    <row r="297" spans="6:6" x14ac:dyDescent="0.35">
      <c r="F297" s="63" t="s">
        <v>781</v>
      </c>
    </row>
    <row r="298" spans="6:6" x14ac:dyDescent="0.35">
      <c r="F298" s="63" t="s">
        <v>790</v>
      </c>
    </row>
    <row r="299" spans="6:6" x14ac:dyDescent="0.35">
      <c r="F299" s="63" t="s">
        <v>802</v>
      </c>
    </row>
    <row r="300" spans="6:6" x14ac:dyDescent="0.35">
      <c r="F300" s="63" t="s">
        <v>817</v>
      </c>
    </row>
    <row r="301" spans="6:6" x14ac:dyDescent="0.35">
      <c r="F301" s="63" t="s">
        <v>869</v>
      </c>
    </row>
    <row r="302" spans="6:6" x14ac:dyDescent="0.35">
      <c r="F302" s="63" t="s">
        <v>887</v>
      </c>
    </row>
    <row r="303" spans="6:6" x14ac:dyDescent="0.35">
      <c r="F303" s="63" t="s">
        <v>916</v>
      </c>
    </row>
    <row r="304" spans="6:6" x14ac:dyDescent="0.35">
      <c r="F304" s="63" t="s">
        <v>1088</v>
      </c>
    </row>
    <row r="305" spans="6:6" x14ac:dyDescent="0.35">
      <c r="F305" s="63" t="s">
        <v>1117</v>
      </c>
    </row>
    <row r="306" spans="6:6" x14ac:dyDescent="0.35">
      <c r="F306" s="63" t="s">
        <v>1137</v>
      </c>
    </row>
    <row r="307" spans="6:6" x14ac:dyDescent="0.35">
      <c r="F307" s="63" t="s">
        <v>1139</v>
      </c>
    </row>
    <row r="308" spans="6:6" x14ac:dyDescent="0.35">
      <c r="F308" s="63" t="s">
        <v>1528</v>
      </c>
    </row>
    <row r="309" spans="6:6" x14ac:dyDescent="0.35">
      <c r="F309" s="63" t="s">
        <v>1579</v>
      </c>
    </row>
    <row r="310" spans="6:6" x14ac:dyDescent="0.35">
      <c r="F310" s="63" t="s">
        <v>1581</v>
      </c>
    </row>
    <row r="311" spans="6:6" x14ac:dyDescent="0.35">
      <c r="F311" s="63" t="s">
        <v>1583</v>
      </c>
    </row>
    <row r="312" spans="6:6" x14ac:dyDescent="0.35">
      <c r="F312" s="63" t="s">
        <v>1585</v>
      </c>
    </row>
    <row r="313" spans="6:6" x14ac:dyDescent="0.35">
      <c r="F313" s="63" t="s">
        <v>1730</v>
      </c>
    </row>
    <row r="314" spans="6:6" x14ac:dyDescent="0.35">
      <c r="F314" s="63" t="s">
        <v>1878</v>
      </c>
    </row>
    <row r="315" spans="6:6" x14ac:dyDescent="0.35">
      <c r="F315" s="63" t="s">
        <v>1889</v>
      </c>
    </row>
    <row r="316" spans="6:6" x14ac:dyDescent="0.35">
      <c r="F316" s="63" t="s">
        <v>1936</v>
      </c>
    </row>
    <row r="317" spans="6:6" x14ac:dyDescent="0.35">
      <c r="F317" s="63" t="s">
        <v>1938</v>
      </c>
    </row>
    <row r="318" spans="6:6" x14ac:dyDescent="0.35">
      <c r="F318" s="63" t="s">
        <v>1958</v>
      </c>
    </row>
    <row r="319" spans="6:6" x14ac:dyDescent="0.35">
      <c r="F319" s="63" t="s">
        <v>1960</v>
      </c>
    </row>
    <row r="320" spans="6:6" x14ac:dyDescent="0.35">
      <c r="F320" s="63" t="s">
        <v>1962</v>
      </c>
    </row>
    <row r="321" spans="6:6" x14ac:dyDescent="0.35">
      <c r="F321" s="63" t="s">
        <v>2002</v>
      </c>
    </row>
    <row r="322" spans="6:6" x14ac:dyDescent="0.35">
      <c r="F322" s="63" t="s">
        <v>2004</v>
      </c>
    </row>
    <row r="323" spans="6:6" x14ac:dyDescent="0.35">
      <c r="F323" s="63" t="s">
        <v>2006</v>
      </c>
    </row>
    <row r="324" spans="6:6" x14ac:dyDescent="0.35">
      <c r="F324" s="63" t="s">
        <v>2008</v>
      </c>
    </row>
    <row r="325" spans="6:6" x14ac:dyDescent="0.35">
      <c r="F325" s="63" t="s">
        <v>2136</v>
      </c>
    </row>
    <row r="326" spans="6:6" x14ac:dyDescent="0.35">
      <c r="F326" s="63" t="s">
        <v>2159</v>
      </c>
    </row>
    <row r="327" spans="6:6" x14ac:dyDescent="0.35">
      <c r="F327" s="63" t="s">
        <v>2161</v>
      </c>
    </row>
    <row r="328" spans="6:6" x14ac:dyDescent="0.35">
      <c r="F328" s="63" t="s">
        <v>2265</v>
      </c>
    </row>
    <row r="329" spans="6:6" x14ac:dyDescent="0.35">
      <c r="F329" s="63" t="s">
        <v>2275</v>
      </c>
    </row>
    <row r="330" spans="6:6" x14ac:dyDescent="0.35">
      <c r="F330" s="63" t="s">
        <v>2334</v>
      </c>
    </row>
    <row r="331" spans="6:6" x14ac:dyDescent="0.35">
      <c r="F331" s="63" t="s">
        <v>2373</v>
      </c>
    </row>
    <row r="332" spans="6:6" x14ac:dyDescent="0.35">
      <c r="F332" s="63" t="s">
        <v>2377</v>
      </c>
    </row>
    <row r="333" spans="6:6" x14ac:dyDescent="0.35">
      <c r="F333" s="63" t="s">
        <v>2692</v>
      </c>
    </row>
    <row r="334" spans="6:6" x14ac:dyDescent="0.35">
      <c r="F334" s="63" t="s">
        <v>2750</v>
      </c>
    </row>
    <row r="335" spans="6:6" x14ac:dyDescent="0.35">
      <c r="F335" s="63" t="s">
        <v>2805</v>
      </c>
    </row>
    <row r="336" spans="6:6" x14ac:dyDescent="0.35">
      <c r="F336" s="63" t="s">
        <v>2808</v>
      </c>
    </row>
    <row r="337" spans="6:6" x14ac:dyDescent="0.35">
      <c r="F337" s="63" t="s">
        <v>2832</v>
      </c>
    </row>
    <row r="338" spans="6:6" x14ac:dyDescent="0.35">
      <c r="F338" s="63" t="s">
        <v>2976</v>
      </c>
    </row>
    <row r="339" spans="6:6" x14ac:dyDescent="0.35">
      <c r="F339" s="63" t="s">
        <v>2996</v>
      </c>
    </row>
    <row r="340" spans="6:6" x14ac:dyDescent="0.35">
      <c r="F340" s="63" t="s">
        <v>3012</v>
      </c>
    </row>
    <row r="341" spans="6:6" x14ac:dyDescent="0.35">
      <c r="F341" s="63" t="s">
        <v>3365</v>
      </c>
    </row>
    <row r="342" spans="6:6" x14ac:dyDescent="0.35">
      <c r="F342" s="63" t="s">
        <v>3368</v>
      </c>
    </row>
    <row r="343" spans="6:6" x14ac:dyDescent="0.35">
      <c r="F343" s="63" t="s">
        <v>3370</v>
      </c>
    </row>
    <row r="344" spans="6:6" x14ac:dyDescent="0.35">
      <c r="F344" s="63" t="s">
        <v>3372</v>
      </c>
    </row>
    <row r="345" spans="6:6" x14ac:dyDescent="0.35">
      <c r="F345" s="63" t="s">
        <v>3379</v>
      </c>
    </row>
    <row r="346" spans="6:6" x14ac:dyDescent="0.35">
      <c r="F346" s="63" t="s">
        <v>3389</v>
      </c>
    </row>
    <row r="347" spans="6:6" x14ac:dyDescent="0.35">
      <c r="F347" s="63" t="s">
        <v>3393</v>
      </c>
    </row>
    <row r="348" spans="6:6" x14ac:dyDescent="0.35">
      <c r="F348" s="63" t="s">
        <v>3406</v>
      </c>
    </row>
    <row r="349" spans="6:6" x14ac:dyDescent="0.35">
      <c r="F349" s="63" t="s">
        <v>3423</v>
      </c>
    </row>
    <row r="350" spans="6:6" x14ac:dyDescent="0.35">
      <c r="F350" s="63" t="s">
        <v>3511</v>
      </c>
    </row>
    <row r="351" spans="6:6" x14ac:dyDescent="0.35">
      <c r="F351" s="63" t="s">
        <v>3545</v>
      </c>
    </row>
    <row r="352" spans="6:6" x14ac:dyDescent="0.35">
      <c r="F352" s="63" t="s">
        <v>3566</v>
      </c>
    </row>
    <row r="353" spans="6:6" x14ac:dyDescent="0.35">
      <c r="F353" s="63" t="s">
        <v>3699</v>
      </c>
    </row>
    <row r="354" spans="6:6" x14ac:dyDescent="0.35">
      <c r="F354" s="63" t="s">
        <v>3701</v>
      </c>
    </row>
    <row r="355" spans="6:6" x14ac:dyDescent="0.35">
      <c r="F355" s="63" t="s">
        <v>3708</v>
      </c>
    </row>
    <row r="356" spans="6:6" x14ac:dyDescent="0.35">
      <c r="F356" s="63" t="s">
        <v>3719</v>
      </c>
    </row>
    <row r="357" spans="6:6" x14ac:dyDescent="0.35">
      <c r="F357" s="63" t="s">
        <v>3737</v>
      </c>
    </row>
    <row r="358" spans="6:6" x14ac:dyDescent="0.35">
      <c r="F358" s="63" t="s">
        <v>3741</v>
      </c>
    </row>
    <row r="359" spans="6:6" x14ac:dyDescent="0.35">
      <c r="F359" s="63" t="s">
        <v>3756</v>
      </c>
    </row>
    <row r="360" spans="6:6" x14ac:dyDescent="0.35">
      <c r="F360" s="63" t="s">
        <v>3760</v>
      </c>
    </row>
    <row r="361" spans="6:6" x14ac:dyDescent="0.35">
      <c r="F361" s="63" t="s">
        <v>3762</v>
      </c>
    </row>
    <row r="362" spans="6:6" x14ac:dyDescent="0.35">
      <c r="F362" s="63" t="s">
        <v>3769</v>
      </c>
    </row>
    <row r="363" spans="6:6" x14ac:dyDescent="0.35">
      <c r="F363" s="63" t="s">
        <v>3886</v>
      </c>
    </row>
    <row r="364" spans="6:6" x14ac:dyDescent="0.35">
      <c r="F364" s="63" t="s">
        <v>3888</v>
      </c>
    </row>
    <row r="365" spans="6:6" x14ac:dyDescent="0.35">
      <c r="F365" s="63" t="s">
        <v>3892</v>
      </c>
    </row>
    <row r="366" spans="6:6" x14ac:dyDescent="0.35">
      <c r="F366" s="63" t="s">
        <v>3894</v>
      </c>
    </row>
    <row r="367" spans="6:6" x14ac:dyDescent="0.35">
      <c r="F367" s="63" t="s">
        <v>3941</v>
      </c>
    </row>
    <row r="368" spans="6:6" x14ac:dyDescent="0.35">
      <c r="F368" s="63" t="s">
        <v>3943</v>
      </c>
    </row>
    <row r="369" spans="6:6" x14ac:dyDescent="0.35">
      <c r="F369" s="63" t="s">
        <v>3945</v>
      </c>
    </row>
    <row r="370" spans="6:6" x14ac:dyDescent="0.35">
      <c r="F370" s="63" t="s">
        <v>3947</v>
      </c>
    </row>
    <row r="371" spans="6:6" x14ac:dyDescent="0.35">
      <c r="F371" s="63" t="s">
        <v>3959</v>
      </c>
    </row>
    <row r="372" spans="6:6" x14ac:dyDescent="0.35">
      <c r="F372" s="63" t="s">
        <v>3967</v>
      </c>
    </row>
    <row r="373" spans="6:6" x14ac:dyDescent="0.35">
      <c r="F373" s="63" t="s">
        <v>3974</v>
      </c>
    </row>
    <row r="374" spans="6:6" x14ac:dyDescent="0.35">
      <c r="F374" s="63" t="s">
        <v>4006</v>
      </c>
    </row>
    <row r="375" spans="6:6" x14ac:dyDescent="0.35">
      <c r="F375" s="63" t="s">
        <v>4139</v>
      </c>
    </row>
    <row r="376" spans="6:6" x14ac:dyDescent="0.35">
      <c r="F376" s="63" t="s">
        <v>4146</v>
      </c>
    </row>
    <row r="377" spans="6:6" x14ac:dyDescent="0.35">
      <c r="F377" s="63" t="s">
        <v>4150</v>
      </c>
    </row>
    <row r="378" spans="6:6" x14ac:dyDescent="0.35">
      <c r="F378" s="63" t="s">
        <v>4176</v>
      </c>
    </row>
    <row r="379" spans="6:6" x14ac:dyDescent="0.35">
      <c r="F379" s="63" t="s">
        <v>4178</v>
      </c>
    </row>
    <row r="380" spans="6:6" x14ac:dyDescent="0.35">
      <c r="F380" s="63" t="s">
        <v>4192</v>
      </c>
    </row>
    <row r="381" spans="6:6" x14ac:dyDescent="0.35">
      <c r="F381" s="63" t="s">
        <v>4209</v>
      </c>
    </row>
    <row r="382" spans="6:6" x14ac:dyDescent="0.35">
      <c r="F382" s="63" t="s">
        <v>4217</v>
      </c>
    </row>
    <row r="383" spans="6:6" x14ac:dyDescent="0.35">
      <c r="F383" s="63" t="s">
        <v>4231</v>
      </c>
    </row>
    <row r="384" spans="6:6" x14ac:dyDescent="0.35">
      <c r="F384" s="63" t="s">
        <v>4239</v>
      </c>
    </row>
    <row r="385" spans="6:6" x14ac:dyDescent="0.35">
      <c r="F385" s="63" t="s">
        <v>4283</v>
      </c>
    </row>
    <row r="386" spans="6:6" x14ac:dyDescent="0.35">
      <c r="F386" s="63" t="s">
        <v>4461</v>
      </c>
    </row>
    <row r="387" spans="6:6" x14ac:dyDescent="0.35">
      <c r="F387" s="63" t="s">
        <v>4493</v>
      </c>
    </row>
    <row r="388" spans="6:6" x14ac:dyDescent="0.35">
      <c r="F388" s="63" t="s">
        <v>4497</v>
      </c>
    </row>
    <row r="389" spans="6:6" x14ac:dyDescent="0.35">
      <c r="F389" s="63" t="s">
        <v>4553</v>
      </c>
    </row>
    <row r="390" spans="6:6" x14ac:dyDescent="0.35">
      <c r="F390" s="63" t="s">
        <v>4601</v>
      </c>
    </row>
    <row r="391" spans="6:6" x14ac:dyDescent="0.35">
      <c r="F391" s="63" t="s">
        <v>4603</v>
      </c>
    </row>
    <row r="392" spans="6:6" x14ac:dyDescent="0.35">
      <c r="F392" s="63" t="s">
        <v>4605</v>
      </c>
    </row>
    <row r="393" spans="6:6" x14ac:dyDescent="0.35">
      <c r="F393" s="63" t="s">
        <v>4613</v>
      </c>
    </row>
    <row r="394" spans="6:6" x14ac:dyDescent="0.35">
      <c r="F394" s="63" t="s">
        <v>4615</v>
      </c>
    </row>
    <row r="395" spans="6:6" x14ac:dyDescent="0.35">
      <c r="F395" s="63" t="s">
        <v>4617</v>
      </c>
    </row>
    <row r="396" spans="6:6" x14ac:dyDescent="0.35">
      <c r="F396" s="63" t="s">
        <v>4620</v>
      </c>
    </row>
    <row r="397" spans="6:6" x14ac:dyDescent="0.35">
      <c r="F397" s="63" t="s">
        <v>4626</v>
      </c>
    </row>
    <row r="398" spans="6:6" x14ac:dyDescent="0.35">
      <c r="F398" s="63" t="s">
        <v>4663</v>
      </c>
    </row>
    <row r="399" spans="6:6" x14ac:dyDescent="0.35">
      <c r="F399" s="63" t="s">
        <v>4982</v>
      </c>
    </row>
    <row r="400" spans="6:6" x14ac:dyDescent="0.35">
      <c r="F400" s="63" t="s">
        <v>4993</v>
      </c>
    </row>
    <row r="401" spans="6:6" x14ac:dyDescent="0.35">
      <c r="F401" s="63" t="s">
        <v>5003</v>
      </c>
    </row>
    <row r="402" spans="6:6" x14ac:dyDescent="0.35">
      <c r="F402" s="63" t="s">
        <v>5032</v>
      </c>
    </row>
    <row r="403" spans="6:6" x14ac:dyDescent="0.35">
      <c r="F403" s="63" t="s">
        <v>5052</v>
      </c>
    </row>
    <row r="404" spans="6:6" x14ac:dyDescent="0.35">
      <c r="F404" s="63" t="s">
        <v>5188</v>
      </c>
    </row>
    <row r="405" spans="6:6" x14ac:dyDescent="0.35">
      <c r="F405" s="63" t="s">
        <v>5345</v>
      </c>
    </row>
    <row r="406" spans="6:6" x14ac:dyDescent="0.35">
      <c r="F406" s="63" t="s">
        <v>5383</v>
      </c>
    </row>
    <row r="407" spans="6:6" x14ac:dyDescent="0.35">
      <c r="F407" s="63" t="s">
        <v>5387</v>
      </c>
    </row>
    <row r="408" spans="6:6" x14ac:dyDescent="0.35">
      <c r="F408" s="63" t="s">
        <v>5389</v>
      </c>
    </row>
    <row r="409" spans="6:6" x14ac:dyDescent="0.35">
      <c r="F409" s="63" t="s">
        <v>5440</v>
      </c>
    </row>
    <row r="410" spans="6:6" x14ac:dyDescent="0.35">
      <c r="F410" s="63" t="s">
        <v>5454</v>
      </c>
    </row>
    <row r="411" spans="6:6" x14ac:dyDescent="0.35">
      <c r="F411" s="63" t="s">
        <v>5488</v>
      </c>
    </row>
    <row r="412" spans="6:6" x14ac:dyDescent="0.35">
      <c r="F412" s="63" t="s">
        <v>5515</v>
      </c>
    </row>
    <row r="413" spans="6:6" x14ac:dyDescent="0.35">
      <c r="F413" s="63" t="s">
        <v>5527</v>
      </c>
    </row>
    <row r="414" spans="6:6" x14ac:dyDescent="0.35">
      <c r="F414" s="63" t="s">
        <v>5546</v>
      </c>
    </row>
    <row r="415" spans="6:6" x14ac:dyDescent="0.35">
      <c r="F415" s="63" t="s">
        <v>5619</v>
      </c>
    </row>
    <row r="416" spans="6:6" x14ac:dyDescent="0.35">
      <c r="F416" s="63" t="s">
        <v>5621</v>
      </c>
    </row>
    <row r="417" spans="6:6" x14ac:dyDescent="0.35">
      <c r="F417" s="63" t="s">
        <v>5623</v>
      </c>
    </row>
    <row r="418" spans="6:6" x14ac:dyDescent="0.35">
      <c r="F418" s="63" t="s">
        <v>5625</v>
      </c>
    </row>
    <row r="419" spans="6:6" x14ac:dyDescent="0.35">
      <c r="F419" s="63" t="s">
        <v>5627</v>
      </c>
    </row>
    <row r="420" spans="6:6" x14ac:dyDescent="0.35">
      <c r="F420" s="63" t="s">
        <v>5634</v>
      </c>
    </row>
    <row r="421" spans="6:6" x14ac:dyDescent="0.35">
      <c r="F421" s="63" t="s">
        <v>5960</v>
      </c>
    </row>
    <row r="422" spans="6:6" x14ac:dyDescent="0.35">
      <c r="F422" s="63" t="s">
        <v>5964</v>
      </c>
    </row>
    <row r="423" spans="6:6" x14ac:dyDescent="0.35">
      <c r="F423" s="63" t="s">
        <v>5970</v>
      </c>
    </row>
    <row r="424" spans="6:6" x14ac:dyDescent="0.35">
      <c r="F424" s="63" t="s">
        <v>6005</v>
      </c>
    </row>
    <row r="425" spans="6:6" x14ac:dyDescent="0.35">
      <c r="F425" s="63" t="s">
        <v>6062</v>
      </c>
    </row>
    <row r="426" spans="6:6" x14ac:dyDescent="0.35">
      <c r="F426" s="63" t="s">
        <v>6070</v>
      </c>
    </row>
    <row r="427" spans="6:6" x14ac:dyDescent="0.35">
      <c r="F427" s="63" t="s">
        <v>6086</v>
      </c>
    </row>
    <row r="428" spans="6:6" x14ac:dyDescent="0.35">
      <c r="F428" s="63" t="s">
        <v>6113</v>
      </c>
    </row>
    <row r="429" spans="6:6" x14ac:dyDescent="0.35">
      <c r="F429" s="63" t="s">
        <v>6155</v>
      </c>
    </row>
    <row r="430" spans="6:6" x14ac:dyDescent="0.35">
      <c r="F430" s="63" t="s">
        <v>6157</v>
      </c>
    </row>
    <row r="431" spans="6:6" x14ac:dyDescent="0.35">
      <c r="F431" s="63" t="s">
        <v>6159</v>
      </c>
    </row>
    <row r="432" spans="6:6" x14ac:dyDescent="0.35">
      <c r="F432" s="63" t="s">
        <v>6197</v>
      </c>
    </row>
    <row r="433" spans="6:6" x14ac:dyDescent="0.35">
      <c r="F433" s="63" t="s">
        <v>6474</v>
      </c>
    </row>
    <row r="434" spans="6:6" x14ac:dyDescent="0.35">
      <c r="F434" s="63" t="s">
        <v>6476</v>
      </c>
    </row>
    <row r="435" spans="6:6" x14ac:dyDescent="0.35">
      <c r="F435" s="63" t="s">
        <v>6478</v>
      </c>
    </row>
    <row r="436" spans="6:6" x14ac:dyDescent="0.35">
      <c r="F436" s="63" t="s">
        <v>6488</v>
      </c>
    </row>
    <row r="437" spans="6:6" x14ac:dyDescent="0.35">
      <c r="F437" s="63" t="s">
        <v>6502</v>
      </c>
    </row>
    <row r="438" spans="6:6" x14ac:dyDescent="0.35">
      <c r="F438" s="63" t="s">
        <v>6506</v>
      </c>
    </row>
    <row r="439" spans="6:6" x14ac:dyDescent="0.35">
      <c r="F439" s="63" t="s">
        <v>6528</v>
      </c>
    </row>
    <row r="440" spans="6:6" x14ac:dyDescent="0.35">
      <c r="F440" s="63" t="s">
        <v>6530</v>
      </c>
    </row>
    <row r="441" spans="6:6" x14ac:dyDescent="0.35">
      <c r="F441" s="63" t="s">
        <v>6542</v>
      </c>
    </row>
    <row r="442" spans="6:6" x14ac:dyDescent="0.35">
      <c r="F442" s="63" t="s">
        <v>6554</v>
      </c>
    </row>
    <row r="443" spans="6:6" x14ac:dyDescent="0.35">
      <c r="F443" s="63" t="s">
        <v>6633</v>
      </c>
    </row>
    <row r="444" spans="6:6" x14ac:dyDescent="0.35">
      <c r="F444" s="63" t="s">
        <v>6697</v>
      </c>
    </row>
    <row r="445" spans="6:6" x14ac:dyDescent="0.35">
      <c r="F445" s="63" t="s">
        <v>6701</v>
      </c>
    </row>
    <row r="446" spans="6:6" x14ac:dyDescent="0.35">
      <c r="F446" s="63" t="s">
        <v>6760</v>
      </c>
    </row>
    <row r="447" spans="6:6" x14ac:dyDescent="0.35">
      <c r="F447" s="63" t="s">
        <v>6013</v>
      </c>
    </row>
    <row r="448" spans="6:6" x14ac:dyDescent="0.35">
      <c r="F448" s="63" t="s">
        <v>6240</v>
      </c>
    </row>
    <row r="449" spans="6:6" x14ac:dyDescent="0.35">
      <c r="F449" s="63" t="s">
        <v>6242</v>
      </c>
    </row>
    <row r="450" spans="6:6" x14ac:dyDescent="0.35">
      <c r="F450" s="63" t="s">
        <v>6244</v>
      </c>
    </row>
    <row r="451" spans="6:6" x14ac:dyDescent="0.35">
      <c r="F451" s="63" t="s">
        <v>6246</v>
      </c>
    </row>
    <row r="452" spans="6:6" x14ac:dyDescent="0.35">
      <c r="F452" s="63" t="s">
        <v>6248</v>
      </c>
    </row>
    <row r="453" spans="6:6" x14ac:dyDescent="0.35">
      <c r="F453" s="63" t="s">
        <v>6250</v>
      </c>
    </row>
    <row r="454" spans="6:6" x14ac:dyDescent="0.35">
      <c r="F454" s="63" t="s">
        <v>6252</v>
      </c>
    </row>
    <row r="455" spans="6:6" x14ac:dyDescent="0.35">
      <c r="F455" s="63" t="s">
        <v>6254</v>
      </c>
    </row>
    <row r="456" spans="6:6" x14ac:dyDescent="0.35">
      <c r="F456" s="63" t="s">
        <v>6336</v>
      </c>
    </row>
    <row r="457" spans="6:6" x14ac:dyDescent="0.35">
      <c r="F457" s="63" t="s">
        <v>6338</v>
      </c>
    </row>
    <row r="458" spans="6:6" x14ac:dyDescent="0.35">
      <c r="F458" s="63" t="s">
        <v>6340</v>
      </c>
    </row>
    <row r="459" spans="6:6" x14ac:dyDescent="0.35">
      <c r="F459" s="63" t="s">
        <v>6562</v>
      </c>
    </row>
    <row r="460" spans="6:6" x14ac:dyDescent="0.35">
      <c r="F460" s="63" t="s">
        <v>6564</v>
      </c>
    </row>
    <row r="461" spans="6:6" x14ac:dyDescent="0.35">
      <c r="F461" s="63" t="s">
        <v>6566</v>
      </c>
    </row>
    <row r="462" spans="6:6" x14ac:dyDescent="0.35">
      <c r="F462" s="63" t="s">
        <v>6568</v>
      </c>
    </row>
    <row r="463" spans="6:6" x14ac:dyDescent="0.35">
      <c r="F463" s="63" t="s">
        <v>6570</v>
      </c>
    </row>
    <row r="464" spans="6:6" x14ac:dyDescent="0.35">
      <c r="F464" s="63" t="s">
        <v>6572</v>
      </c>
    </row>
    <row r="465" spans="6:6" x14ac:dyDescent="0.35">
      <c r="F465" s="63" t="s">
        <v>6574</v>
      </c>
    </row>
    <row r="466" spans="6:6" x14ac:dyDescent="0.35">
      <c r="F466" s="63" t="s">
        <v>6576</v>
      </c>
    </row>
    <row r="467" spans="6:6" x14ac:dyDescent="0.35">
      <c r="F467" s="63" t="s">
        <v>6578</v>
      </c>
    </row>
    <row r="468" spans="6:6" x14ac:dyDescent="0.35">
      <c r="F468" s="63" t="s">
        <v>6580</v>
      </c>
    </row>
    <row r="469" spans="6:6" x14ac:dyDescent="0.35">
      <c r="F469" s="63" t="s">
        <v>6582</v>
      </c>
    </row>
    <row r="470" spans="6:6" x14ac:dyDescent="0.35">
      <c r="F470" s="63" t="s">
        <v>6584</v>
      </c>
    </row>
    <row r="471" spans="6:6" x14ac:dyDescent="0.35">
      <c r="F471" s="63" t="s">
        <v>6586</v>
      </c>
    </row>
    <row r="472" spans="6:6" x14ac:dyDescent="0.35">
      <c r="F472" s="63" t="s">
        <v>6588</v>
      </c>
    </row>
    <row r="473" spans="6:6" x14ac:dyDescent="0.35">
      <c r="F473" s="63" t="s">
        <v>6590</v>
      </c>
    </row>
    <row r="474" spans="6:6" x14ac:dyDescent="0.35">
      <c r="F474" s="63" t="s">
        <v>6592</v>
      </c>
    </row>
    <row r="475" spans="6:6" x14ac:dyDescent="0.35">
      <c r="F475" s="63" t="s">
        <v>6594</v>
      </c>
    </row>
    <row r="476" spans="6:6" x14ac:dyDescent="0.35">
      <c r="F476" s="63" t="s">
        <v>6596</v>
      </c>
    </row>
    <row r="477" spans="6:6" x14ac:dyDescent="0.35">
      <c r="F477" s="63" t="s">
        <v>6598</v>
      </c>
    </row>
    <row r="478" spans="6:6" x14ac:dyDescent="0.35">
      <c r="F478" s="63" t="s">
        <v>6600</v>
      </c>
    </row>
    <row r="479" spans="6:6" x14ac:dyDescent="0.35">
      <c r="F479" s="63" t="s">
        <v>6602</v>
      </c>
    </row>
    <row r="480" spans="6:6" x14ac:dyDescent="0.35">
      <c r="F480" s="63" t="s">
        <v>6604</v>
      </c>
    </row>
    <row r="481" spans="6:6" x14ac:dyDescent="0.35">
      <c r="F481" s="63" t="s">
        <v>6606</v>
      </c>
    </row>
    <row r="482" spans="6:6" x14ac:dyDescent="0.35">
      <c r="F482" s="63" t="s">
        <v>6608</v>
      </c>
    </row>
    <row r="483" spans="6:6" x14ac:dyDescent="0.35">
      <c r="F483" s="63" t="s">
        <v>6611</v>
      </c>
    </row>
    <row r="484" spans="6:6" x14ac:dyDescent="0.35">
      <c r="F484" s="63" t="s">
        <v>6613</v>
      </c>
    </row>
    <row r="485" spans="6:6" x14ac:dyDescent="0.35">
      <c r="F485" s="63" t="s">
        <v>6615</v>
      </c>
    </row>
    <row r="486" spans="6:6" x14ac:dyDescent="0.35">
      <c r="F486" s="63" t="s">
        <v>6617</v>
      </c>
    </row>
    <row r="487" spans="6:6" x14ac:dyDescent="0.35">
      <c r="F487" s="63" t="s">
        <v>6238</v>
      </c>
    </row>
    <row r="488" spans="6:6" x14ac:dyDescent="0.35">
      <c r="F488" s="63" t="s">
        <v>305</v>
      </c>
    </row>
    <row r="489" spans="6:6" x14ac:dyDescent="0.35">
      <c r="F489" s="63" t="s">
        <v>307</v>
      </c>
    </row>
    <row r="490" spans="6:6" x14ac:dyDescent="0.35">
      <c r="F490" s="63" t="s">
        <v>309</v>
      </c>
    </row>
    <row r="491" spans="6:6" x14ac:dyDescent="0.35">
      <c r="F491" s="63" t="s">
        <v>311</v>
      </c>
    </row>
    <row r="492" spans="6:6" x14ac:dyDescent="0.35">
      <c r="F492" s="63" t="s">
        <v>316</v>
      </c>
    </row>
    <row r="493" spans="6:6" x14ac:dyDescent="0.35">
      <c r="F493" s="63" t="s">
        <v>337</v>
      </c>
    </row>
    <row r="494" spans="6:6" x14ac:dyDescent="0.35">
      <c r="F494" s="63" t="s">
        <v>341</v>
      </c>
    </row>
    <row r="495" spans="6:6" x14ac:dyDescent="0.35">
      <c r="F495" s="63" t="s">
        <v>371</v>
      </c>
    </row>
    <row r="496" spans="6:6" x14ac:dyDescent="0.35">
      <c r="F496" s="63" t="s">
        <v>413</v>
      </c>
    </row>
    <row r="497" spans="6:6" x14ac:dyDescent="0.35">
      <c r="F497" s="63" t="s">
        <v>418</v>
      </c>
    </row>
    <row r="498" spans="6:6" x14ac:dyDescent="0.35">
      <c r="F498" s="63" t="s">
        <v>419</v>
      </c>
    </row>
    <row r="499" spans="6:6" x14ac:dyDescent="0.35">
      <c r="F499" s="63" t="s">
        <v>421</v>
      </c>
    </row>
    <row r="500" spans="6:6" x14ac:dyDescent="0.35">
      <c r="F500" s="63" t="s">
        <v>423</v>
      </c>
    </row>
    <row r="501" spans="6:6" x14ac:dyDescent="0.35">
      <c r="F501" s="63" t="s">
        <v>488</v>
      </c>
    </row>
    <row r="502" spans="6:6" x14ac:dyDescent="0.35">
      <c r="F502" s="63" t="s">
        <v>535</v>
      </c>
    </row>
    <row r="503" spans="6:6" x14ac:dyDescent="0.35">
      <c r="F503" s="63" t="s">
        <v>679</v>
      </c>
    </row>
    <row r="504" spans="6:6" x14ac:dyDescent="0.35">
      <c r="F504" s="63" t="s">
        <v>680</v>
      </c>
    </row>
    <row r="505" spans="6:6" x14ac:dyDescent="0.35">
      <c r="F505" s="63" t="s">
        <v>682</v>
      </c>
    </row>
    <row r="506" spans="6:6" x14ac:dyDescent="0.35">
      <c r="F506" s="63" t="s">
        <v>688</v>
      </c>
    </row>
    <row r="507" spans="6:6" x14ac:dyDescent="0.35">
      <c r="F507" s="63" t="s">
        <v>690</v>
      </c>
    </row>
    <row r="508" spans="6:6" x14ac:dyDescent="0.35">
      <c r="F508" s="63" t="s">
        <v>703</v>
      </c>
    </row>
    <row r="509" spans="6:6" x14ac:dyDescent="0.35">
      <c r="F509" s="63" t="s">
        <v>705</v>
      </c>
    </row>
    <row r="510" spans="6:6" x14ac:dyDescent="0.35">
      <c r="F510" s="63" t="s">
        <v>712</v>
      </c>
    </row>
    <row r="511" spans="6:6" x14ac:dyDescent="0.35">
      <c r="F511" s="63" t="s">
        <v>730</v>
      </c>
    </row>
    <row r="512" spans="6:6" x14ac:dyDescent="0.35">
      <c r="F512" s="63" t="s">
        <v>734</v>
      </c>
    </row>
    <row r="513" spans="6:6" x14ac:dyDescent="0.35">
      <c r="F513" s="63" t="s">
        <v>792</v>
      </c>
    </row>
    <row r="514" spans="6:6" x14ac:dyDescent="0.35">
      <c r="F514" s="63" t="s">
        <v>794</v>
      </c>
    </row>
    <row r="515" spans="6:6" x14ac:dyDescent="0.35">
      <c r="F515" s="63" t="s">
        <v>804</v>
      </c>
    </row>
    <row r="516" spans="6:6" x14ac:dyDescent="0.35">
      <c r="F516" s="63" t="s">
        <v>875</v>
      </c>
    </row>
    <row r="517" spans="6:6" x14ac:dyDescent="0.35">
      <c r="F517" s="63" t="s">
        <v>883</v>
      </c>
    </row>
    <row r="518" spans="6:6" x14ac:dyDescent="0.35">
      <c r="F518" s="63" t="s">
        <v>885</v>
      </c>
    </row>
    <row r="519" spans="6:6" x14ac:dyDescent="0.35">
      <c r="F519" s="63" t="s">
        <v>898</v>
      </c>
    </row>
    <row r="520" spans="6:6" x14ac:dyDescent="0.35">
      <c r="F520" s="63" t="s">
        <v>900</v>
      </c>
    </row>
    <row r="521" spans="6:6" x14ac:dyDescent="0.35">
      <c r="F521" s="63" t="s">
        <v>918</v>
      </c>
    </row>
    <row r="522" spans="6:6" x14ac:dyDescent="0.35">
      <c r="F522" s="63" t="s">
        <v>920</v>
      </c>
    </row>
    <row r="523" spans="6:6" x14ac:dyDescent="0.35">
      <c r="F523" s="63" t="s">
        <v>922</v>
      </c>
    </row>
    <row r="524" spans="6:6" x14ac:dyDescent="0.35">
      <c r="F524" s="63" t="s">
        <v>1090</v>
      </c>
    </row>
    <row r="525" spans="6:6" x14ac:dyDescent="0.35">
      <c r="F525" s="63" t="s">
        <v>1092</v>
      </c>
    </row>
    <row r="526" spans="6:6" x14ac:dyDescent="0.35">
      <c r="F526" s="63" t="s">
        <v>1106</v>
      </c>
    </row>
    <row r="527" spans="6:6" x14ac:dyDescent="0.35">
      <c r="F527" s="63" t="s">
        <v>1114</v>
      </c>
    </row>
    <row r="528" spans="6:6" x14ac:dyDescent="0.35">
      <c r="F528" s="63" t="s">
        <v>1182</v>
      </c>
    </row>
    <row r="529" spans="6:6" x14ac:dyDescent="0.35">
      <c r="F529" s="63" t="s">
        <v>1189</v>
      </c>
    </row>
    <row r="530" spans="6:6" x14ac:dyDescent="0.35">
      <c r="F530" s="63" t="s">
        <v>1191</v>
      </c>
    </row>
    <row r="531" spans="6:6" x14ac:dyDescent="0.35">
      <c r="F531" s="63" t="s">
        <v>1193</v>
      </c>
    </row>
    <row r="532" spans="6:6" x14ac:dyDescent="0.35">
      <c r="F532" s="63" t="s">
        <v>1195</v>
      </c>
    </row>
    <row r="533" spans="6:6" x14ac:dyDescent="0.35">
      <c r="F533" s="63" t="s">
        <v>1199</v>
      </c>
    </row>
    <row r="534" spans="6:6" x14ac:dyDescent="0.35">
      <c r="F534" s="63" t="s">
        <v>1201</v>
      </c>
    </row>
    <row r="535" spans="6:6" x14ac:dyDescent="0.35">
      <c r="F535" s="63" t="s">
        <v>1203</v>
      </c>
    </row>
    <row r="536" spans="6:6" x14ac:dyDescent="0.35">
      <c r="F536" s="63" t="s">
        <v>1205</v>
      </c>
    </row>
    <row r="537" spans="6:6" x14ac:dyDescent="0.35">
      <c r="F537" s="63" t="s">
        <v>1229</v>
      </c>
    </row>
    <row r="538" spans="6:6" x14ac:dyDescent="0.35">
      <c r="F538" s="63" t="s">
        <v>1261</v>
      </c>
    </row>
    <row r="539" spans="6:6" x14ac:dyDescent="0.35">
      <c r="F539" s="63" t="s">
        <v>1263</v>
      </c>
    </row>
    <row r="540" spans="6:6" x14ac:dyDescent="0.35">
      <c r="F540" s="63" t="s">
        <v>1265</v>
      </c>
    </row>
    <row r="541" spans="6:6" x14ac:dyDescent="0.35">
      <c r="F541" s="63" t="s">
        <v>1267</v>
      </c>
    </row>
    <row r="542" spans="6:6" x14ac:dyDescent="0.35">
      <c r="F542" s="63" t="s">
        <v>1283</v>
      </c>
    </row>
    <row r="543" spans="6:6" x14ac:dyDescent="0.35">
      <c r="F543" s="63" t="s">
        <v>1287</v>
      </c>
    </row>
    <row r="544" spans="6:6" x14ac:dyDescent="0.35">
      <c r="F544" s="63" t="s">
        <v>1542</v>
      </c>
    </row>
    <row r="545" spans="6:6" x14ac:dyDescent="0.35">
      <c r="F545" s="63" t="s">
        <v>1552</v>
      </c>
    </row>
    <row r="546" spans="6:6" x14ac:dyDescent="0.35">
      <c r="F546" s="63" t="s">
        <v>1554</v>
      </c>
    </row>
    <row r="547" spans="6:6" x14ac:dyDescent="0.35">
      <c r="F547" s="63" t="s">
        <v>1556</v>
      </c>
    </row>
    <row r="548" spans="6:6" x14ac:dyDescent="0.35">
      <c r="F548" s="63" t="s">
        <v>1558</v>
      </c>
    </row>
    <row r="549" spans="6:6" x14ac:dyDescent="0.35">
      <c r="F549" s="63" t="s">
        <v>1560</v>
      </c>
    </row>
    <row r="550" spans="6:6" x14ac:dyDescent="0.35">
      <c r="F550" s="63" t="s">
        <v>1567</v>
      </c>
    </row>
    <row r="551" spans="6:6" x14ac:dyDescent="0.35">
      <c r="F551" s="63" t="s">
        <v>1571</v>
      </c>
    </row>
    <row r="552" spans="6:6" x14ac:dyDescent="0.35">
      <c r="F552" s="63" t="s">
        <v>1573</v>
      </c>
    </row>
    <row r="553" spans="6:6" x14ac:dyDescent="0.35">
      <c r="F553" s="63" t="s">
        <v>1575</v>
      </c>
    </row>
    <row r="554" spans="6:6" x14ac:dyDescent="0.35">
      <c r="F554" s="63" t="s">
        <v>1598</v>
      </c>
    </row>
    <row r="555" spans="6:6" x14ac:dyDescent="0.35">
      <c r="F555" s="63" t="s">
        <v>1604</v>
      </c>
    </row>
    <row r="556" spans="6:6" x14ac:dyDescent="0.35">
      <c r="F556" s="63" t="s">
        <v>1630</v>
      </c>
    </row>
    <row r="557" spans="6:6" x14ac:dyDescent="0.35">
      <c r="F557" s="63" t="s">
        <v>1632</v>
      </c>
    </row>
    <row r="558" spans="6:6" x14ac:dyDescent="0.35">
      <c r="F558" s="63" t="s">
        <v>1718</v>
      </c>
    </row>
    <row r="559" spans="6:6" x14ac:dyDescent="0.35">
      <c r="F559" s="63" t="s">
        <v>1720</v>
      </c>
    </row>
    <row r="560" spans="6:6" x14ac:dyDescent="0.35">
      <c r="F560" s="63" t="s">
        <v>1722</v>
      </c>
    </row>
    <row r="561" spans="6:6" x14ac:dyDescent="0.35">
      <c r="F561" s="63" t="s">
        <v>1724</v>
      </c>
    </row>
    <row r="562" spans="6:6" x14ac:dyDescent="0.35">
      <c r="F562" s="63" t="s">
        <v>1726</v>
      </c>
    </row>
    <row r="563" spans="6:6" x14ac:dyDescent="0.35">
      <c r="F563" s="63" t="s">
        <v>1826</v>
      </c>
    </row>
    <row r="564" spans="6:6" x14ac:dyDescent="0.35">
      <c r="F564" s="63" t="s">
        <v>1832</v>
      </c>
    </row>
    <row r="565" spans="6:6" x14ac:dyDescent="0.35">
      <c r="F565" s="63" t="s">
        <v>1834</v>
      </c>
    </row>
    <row r="566" spans="6:6" x14ac:dyDescent="0.35">
      <c r="F566" s="63" t="s">
        <v>1836</v>
      </c>
    </row>
    <row r="567" spans="6:6" x14ac:dyDescent="0.35">
      <c r="F567" s="63" t="s">
        <v>1840</v>
      </c>
    </row>
    <row r="568" spans="6:6" x14ac:dyDescent="0.35">
      <c r="F568" s="63" t="s">
        <v>1853</v>
      </c>
    </row>
    <row r="569" spans="6:6" x14ac:dyDescent="0.35">
      <c r="F569" s="63" t="s">
        <v>1866</v>
      </c>
    </row>
    <row r="570" spans="6:6" x14ac:dyDescent="0.35">
      <c r="F570" s="63" t="s">
        <v>1903</v>
      </c>
    </row>
    <row r="571" spans="6:6" x14ac:dyDescent="0.35">
      <c r="F571" s="63" t="s">
        <v>1905</v>
      </c>
    </row>
    <row r="572" spans="6:6" x14ac:dyDescent="0.35">
      <c r="F572" s="63" t="s">
        <v>1909</v>
      </c>
    </row>
    <row r="573" spans="6:6" x14ac:dyDescent="0.35">
      <c r="F573" s="63" t="s">
        <v>1916</v>
      </c>
    </row>
    <row r="574" spans="6:6" x14ac:dyDescent="0.35">
      <c r="F574" s="63" t="s">
        <v>1918</v>
      </c>
    </row>
    <row r="575" spans="6:6" x14ac:dyDescent="0.35">
      <c r="F575" s="63" t="s">
        <v>1920</v>
      </c>
    </row>
    <row r="576" spans="6:6" x14ac:dyDescent="0.35">
      <c r="F576" s="63" t="s">
        <v>1922</v>
      </c>
    </row>
    <row r="577" spans="6:6" x14ac:dyDescent="0.35">
      <c r="F577" s="63" t="s">
        <v>1924</v>
      </c>
    </row>
    <row r="578" spans="6:6" x14ac:dyDescent="0.35">
      <c r="F578" s="63" t="s">
        <v>1928</v>
      </c>
    </row>
    <row r="579" spans="6:6" x14ac:dyDescent="0.35">
      <c r="F579" s="63" t="s">
        <v>1964</v>
      </c>
    </row>
    <row r="580" spans="6:6" x14ac:dyDescent="0.35">
      <c r="F580" s="63" t="s">
        <v>1967</v>
      </c>
    </row>
    <row r="581" spans="6:6" x14ac:dyDescent="0.35">
      <c r="F581" s="63" t="s">
        <v>1969</v>
      </c>
    </row>
    <row r="582" spans="6:6" x14ac:dyDescent="0.35">
      <c r="F582" s="63" t="s">
        <v>1970</v>
      </c>
    </row>
    <row r="583" spans="6:6" x14ac:dyDescent="0.35">
      <c r="F583" s="63" t="s">
        <v>1972</v>
      </c>
    </row>
    <row r="584" spans="6:6" x14ac:dyDescent="0.35">
      <c r="F584" s="63" t="s">
        <v>1976</v>
      </c>
    </row>
    <row r="585" spans="6:6" x14ac:dyDescent="0.35">
      <c r="F585" s="63" t="s">
        <v>1978</v>
      </c>
    </row>
    <row r="586" spans="6:6" x14ac:dyDescent="0.35">
      <c r="F586" s="63" t="s">
        <v>1980</v>
      </c>
    </row>
    <row r="587" spans="6:6" x14ac:dyDescent="0.35">
      <c r="F587" s="63" t="s">
        <v>1982</v>
      </c>
    </row>
    <row r="588" spans="6:6" x14ac:dyDescent="0.35">
      <c r="F588" s="63" t="s">
        <v>2023</v>
      </c>
    </row>
    <row r="589" spans="6:6" x14ac:dyDescent="0.35">
      <c r="F589" s="63" t="s">
        <v>2134</v>
      </c>
    </row>
    <row r="590" spans="6:6" x14ac:dyDescent="0.35">
      <c r="F590" s="63" t="s">
        <v>2140</v>
      </c>
    </row>
    <row r="591" spans="6:6" x14ac:dyDescent="0.35">
      <c r="F591" s="63" t="s">
        <v>2153</v>
      </c>
    </row>
    <row r="592" spans="6:6" x14ac:dyDescent="0.35">
      <c r="F592" s="63" t="s">
        <v>2154</v>
      </c>
    </row>
    <row r="593" spans="6:6" x14ac:dyDescent="0.35">
      <c r="F593" s="63" t="s">
        <v>2158</v>
      </c>
    </row>
    <row r="594" spans="6:6" x14ac:dyDescent="0.35">
      <c r="F594" s="63" t="s">
        <v>2243</v>
      </c>
    </row>
    <row r="595" spans="6:6" x14ac:dyDescent="0.35">
      <c r="F595" s="63" t="s">
        <v>2245</v>
      </c>
    </row>
    <row r="596" spans="6:6" x14ac:dyDescent="0.35">
      <c r="F596" s="63" t="s">
        <v>2252</v>
      </c>
    </row>
    <row r="597" spans="6:6" x14ac:dyDescent="0.35">
      <c r="F597" s="63" t="s">
        <v>2254</v>
      </c>
    </row>
    <row r="598" spans="6:6" x14ac:dyDescent="0.35">
      <c r="F598" s="63" t="s">
        <v>2256</v>
      </c>
    </row>
    <row r="599" spans="6:6" x14ac:dyDescent="0.35">
      <c r="F599" s="63" t="s">
        <v>2271</v>
      </c>
    </row>
    <row r="600" spans="6:6" x14ac:dyDescent="0.35">
      <c r="F600" s="63" t="s">
        <v>2285</v>
      </c>
    </row>
    <row r="601" spans="6:6" x14ac:dyDescent="0.35">
      <c r="F601" s="63" t="s">
        <v>2840</v>
      </c>
    </row>
    <row r="602" spans="6:6" x14ac:dyDescent="0.35">
      <c r="F602" s="63" t="s">
        <v>2874</v>
      </c>
    </row>
    <row r="603" spans="6:6" x14ac:dyDescent="0.35">
      <c r="F603" s="63" t="s">
        <v>2876</v>
      </c>
    </row>
    <row r="604" spans="6:6" x14ac:dyDescent="0.35">
      <c r="F604" s="63" t="s">
        <v>2897</v>
      </c>
    </row>
    <row r="605" spans="6:6" x14ac:dyDescent="0.35">
      <c r="F605" s="63" t="s">
        <v>2919</v>
      </c>
    </row>
    <row r="606" spans="6:6" x14ac:dyDescent="0.35">
      <c r="F606" s="63" t="s">
        <v>2941</v>
      </c>
    </row>
    <row r="607" spans="6:6" x14ac:dyDescent="0.35">
      <c r="F607" s="63" t="s">
        <v>2998</v>
      </c>
    </row>
    <row r="608" spans="6:6" x14ac:dyDescent="0.35">
      <c r="F608" s="63" t="s">
        <v>3000</v>
      </c>
    </row>
    <row r="609" spans="6:6" x14ac:dyDescent="0.35">
      <c r="F609" s="63" t="s">
        <v>3002</v>
      </c>
    </row>
    <row r="610" spans="6:6" x14ac:dyDescent="0.35">
      <c r="F610" s="63" t="s">
        <v>3031</v>
      </c>
    </row>
    <row r="611" spans="6:6" x14ac:dyDescent="0.35">
      <c r="F611" s="63" t="s">
        <v>3033</v>
      </c>
    </row>
    <row r="612" spans="6:6" x14ac:dyDescent="0.35">
      <c r="F612" s="63" t="s">
        <v>3035</v>
      </c>
    </row>
    <row r="613" spans="6:6" x14ac:dyDescent="0.35">
      <c r="F613" s="63" t="s">
        <v>3058</v>
      </c>
    </row>
    <row r="614" spans="6:6" x14ac:dyDescent="0.35">
      <c r="F614" s="63" t="s">
        <v>3062</v>
      </c>
    </row>
    <row r="615" spans="6:6" x14ac:dyDescent="0.35">
      <c r="F615" s="63" t="s">
        <v>3064</v>
      </c>
    </row>
    <row r="616" spans="6:6" x14ac:dyDescent="0.35">
      <c r="F616" s="63" t="s">
        <v>3066</v>
      </c>
    </row>
    <row r="617" spans="6:6" x14ac:dyDescent="0.35">
      <c r="F617" s="63" t="s">
        <v>3094</v>
      </c>
    </row>
    <row r="618" spans="6:6" x14ac:dyDescent="0.35">
      <c r="F618" s="63" t="s">
        <v>3103</v>
      </c>
    </row>
    <row r="619" spans="6:6" x14ac:dyDescent="0.35">
      <c r="F619" s="63" t="s">
        <v>3122</v>
      </c>
    </row>
    <row r="620" spans="6:6" x14ac:dyDescent="0.35">
      <c r="F620" s="63" t="s">
        <v>3142</v>
      </c>
    </row>
    <row r="621" spans="6:6" x14ac:dyDescent="0.35">
      <c r="F621" s="63" t="s">
        <v>3359</v>
      </c>
    </row>
    <row r="622" spans="6:6" x14ac:dyDescent="0.35">
      <c r="F622" s="63" t="s">
        <v>3374</v>
      </c>
    </row>
    <row r="623" spans="6:6" x14ac:dyDescent="0.35">
      <c r="F623" s="63" t="s">
        <v>3376</v>
      </c>
    </row>
    <row r="624" spans="6:6" x14ac:dyDescent="0.35">
      <c r="F624" s="63" t="s">
        <v>3377</v>
      </c>
    </row>
    <row r="625" spans="6:6" x14ac:dyDescent="0.35">
      <c r="F625" s="63" t="s">
        <v>3404</v>
      </c>
    </row>
    <row r="626" spans="6:6" x14ac:dyDescent="0.35">
      <c r="F626" s="63" t="s">
        <v>3445</v>
      </c>
    </row>
    <row r="627" spans="6:6" x14ac:dyDescent="0.35">
      <c r="F627" s="63" t="s">
        <v>3451</v>
      </c>
    </row>
    <row r="628" spans="6:6" x14ac:dyDescent="0.35">
      <c r="F628" s="63" t="s">
        <v>3461</v>
      </c>
    </row>
    <row r="629" spans="6:6" x14ac:dyDescent="0.35">
      <c r="F629" s="63" t="s">
        <v>3463</v>
      </c>
    </row>
    <row r="630" spans="6:6" x14ac:dyDescent="0.35">
      <c r="F630" s="63" t="s">
        <v>3465</v>
      </c>
    </row>
    <row r="631" spans="6:6" x14ac:dyDescent="0.35">
      <c r="F631" s="63" t="s">
        <v>3469</v>
      </c>
    </row>
    <row r="632" spans="6:6" x14ac:dyDescent="0.35">
      <c r="F632" s="63" t="s">
        <v>3486</v>
      </c>
    </row>
    <row r="633" spans="6:6" x14ac:dyDescent="0.35">
      <c r="F633" s="63" t="s">
        <v>3490</v>
      </c>
    </row>
    <row r="634" spans="6:6" x14ac:dyDescent="0.35">
      <c r="F634" s="63" t="s">
        <v>3492</v>
      </c>
    </row>
    <row r="635" spans="6:6" x14ac:dyDescent="0.35">
      <c r="F635" s="63" t="s">
        <v>3494</v>
      </c>
    </row>
    <row r="636" spans="6:6" x14ac:dyDescent="0.35">
      <c r="F636" s="63" t="s">
        <v>3513</v>
      </c>
    </row>
    <row r="637" spans="6:6" x14ac:dyDescent="0.35">
      <c r="F637" s="63" t="s">
        <v>3560</v>
      </c>
    </row>
    <row r="638" spans="6:6" x14ac:dyDescent="0.35">
      <c r="F638" s="63" t="s">
        <v>3572</v>
      </c>
    </row>
    <row r="639" spans="6:6" x14ac:dyDescent="0.35">
      <c r="F639" s="63" t="s">
        <v>3574</v>
      </c>
    </row>
    <row r="640" spans="6:6" x14ac:dyDescent="0.35">
      <c r="F640" s="63" t="s">
        <v>3576</v>
      </c>
    </row>
    <row r="641" spans="6:6" x14ac:dyDescent="0.35">
      <c r="F641" s="63" t="s">
        <v>3578</v>
      </c>
    </row>
    <row r="642" spans="6:6" x14ac:dyDescent="0.35">
      <c r="F642" s="63" t="s">
        <v>3721</v>
      </c>
    </row>
    <row r="643" spans="6:6" x14ac:dyDescent="0.35">
      <c r="F643" s="63" t="s">
        <v>3733</v>
      </c>
    </row>
    <row r="644" spans="6:6" x14ac:dyDescent="0.35">
      <c r="F644" s="63" t="s">
        <v>3758</v>
      </c>
    </row>
    <row r="645" spans="6:6" x14ac:dyDescent="0.35">
      <c r="F645" s="63" t="s">
        <v>3870</v>
      </c>
    </row>
    <row r="646" spans="6:6" x14ac:dyDescent="0.35">
      <c r="F646" s="63" t="s">
        <v>3872</v>
      </c>
    </row>
    <row r="647" spans="6:6" x14ac:dyDescent="0.35">
      <c r="F647" s="63" t="s">
        <v>3876</v>
      </c>
    </row>
    <row r="648" spans="6:6" x14ac:dyDescent="0.35">
      <c r="F648" s="63" t="s">
        <v>3882</v>
      </c>
    </row>
    <row r="649" spans="6:6" x14ac:dyDescent="0.35">
      <c r="F649" s="63" t="s">
        <v>3909</v>
      </c>
    </row>
    <row r="650" spans="6:6" x14ac:dyDescent="0.35">
      <c r="F650" s="63" t="s">
        <v>3920</v>
      </c>
    </row>
    <row r="651" spans="6:6" x14ac:dyDescent="0.35">
      <c r="F651" s="63" t="s">
        <v>3926</v>
      </c>
    </row>
    <row r="652" spans="6:6" x14ac:dyDescent="0.35">
      <c r="F652" s="63" t="s">
        <v>3932</v>
      </c>
    </row>
    <row r="653" spans="6:6" x14ac:dyDescent="0.35">
      <c r="F653" s="63" t="s">
        <v>3934</v>
      </c>
    </row>
    <row r="654" spans="6:6" x14ac:dyDescent="0.35">
      <c r="F654" s="63" t="s">
        <v>3978</v>
      </c>
    </row>
    <row r="655" spans="6:6" x14ac:dyDescent="0.35">
      <c r="F655" s="63" t="s">
        <v>3980</v>
      </c>
    </row>
    <row r="656" spans="6:6" x14ac:dyDescent="0.35">
      <c r="F656" s="63" t="s">
        <v>3982</v>
      </c>
    </row>
    <row r="657" spans="6:6" x14ac:dyDescent="0.35">
      <c r="F657" s="63" t="s">
        <v>3984</v>
      </c>
    </row>
    <row r="658" spans="6:6" x14ac:dyDescent="0.35">
      <c r="F658" s="63" t="s">
        <v>3986</v>
      </c>
    </row>
    <row r="659" spans="6:6" x14ac:dyDescent="0.35">
      <c r="F659" s="63" t="s">
        <v>3988</v>
      </c>
    </row>
    <row r="660" spans="6:6" x14ac:dyDescent="0.35">
      <c r="F660" s="63" t="s">
        <v>4141</v>
      </c>
    </row>
    <row r="661" spans="6:6" x14ac:dyDescent="0.35">
      <c r="F661" s="63" t="s">
        <v>4152</v>
      </c>
    </row>
    <row r="662" spans="6:6" x14ac:dyDescent="0.35">
      <c r="F662" s="63" t="s">
        <v>4154</v>
      </c>
    </row>
    <row r="663" spans="6:6" x14ac:dyDescent="0.35">
      <c r="F663" s="63" t="s">
        <v>4157</v>
      </c>
    </row>
    <row r="664" spans="6:6" x14ac:dyDescent="0.35">
      <c r="F664" s="63" t="s">
        <v>4158</v>
      </c>
    </row>
    <row r="665" spans="6:6" x14ac:dyDescent="0.35">
      <c r="F665" s="63" t="s">
        <v>4172</v>
      </c>
    </row>
    <row r="666" spans="6:6" x14ac:dyDescent="0.35">
      <c r="F666" s="63" t="s">
        <v>4174</v>
      </c>
    </row>
    <row r="667" spans="6:6" x14ac:dyDescent="0.35">
      <c r="F667" s="63" t="s">
        <v>4180</v>
      </c>
    </row>
    <row r="668" spans="6:6" x14ac:dyDescent="0.35">
      <c r="F668" s="63" t="s">
        <v>4182</v>
      </c>
    </row>
    <row r="669" spans="6:6" x14ac:dyDescent="0.35">
      <c r="F669" s="63" t="s">
        <v>4184</v>
      </c>
    </row>
    <row r="670" spans="6:6" x14ac:dyDescent="0.35">
      <c r="F670" s="63" t="s">
        <v>4186</v>
      </c>
    </row>
    <row r="671" spans="6:6" x14ac:dyDescent="0.35">
      <c r="F671" s="63" t="s">
        <v>4188</v>
      </c>
    </row>
    <row r="672" spans="6:6" x14ac:dyDescent="0.35">
      <c r="F672" s="63" t="s">
        <v>4190</v>
      </c>
    </row>
    <row r="673" spans="6:6" x14ac:dyDescent="0.35">
      <c r="F673" s="63" t="s">
        <v>4260</v>
      </c>
    </row>
    <row r="674" spans="6:6" x14ac:dyDescent="0.35">
      <c r="F674" s="63" t="s">
        <v>4262</v>
      </c>
    </row>
    <row r="675" spans="6:6" x14ac:dyDescent="0.35">
      <c r="F675" s="63" t="s">
        <v>4317</v>
      </c>
    </row>
    <row r="676" spans="6:6" x14ac:dyDescent="0.35">
      <c r="F676" s="63" t="s">
        <v>4343</v>
      </c>
    </row>
    <row r="677" spans="6:6" x14ac:dyDescent="0.35">
      <c r="F677" s="63" t="s">
        <v>4463</v>
      </c>
    </row>
    <row r="678" spans="6:6" x14ac:dyDescent="0.35">
      <c r="F678" s="63" t="s">
        <v>4465</v>
      </c>
    </row>
    <row r="679" spans="6:6" x14ac:dyDescent="0.35">
      <c r="F679" s="63" t="s">
        <v>4466</v>
      </c>
    </row>
    <row r="680" spans="6:6" x14ac:dyDescent="0.35">
      <c r="F680" s="63" t="s">
        <v>4468</v>
      </c>
    </row>
    <row r="681" spans="6:6" x14ac:dyDescent="0.35">
      <c r="F681" s="63" t="s">
        <v>4470</v>
      </c>
    </row>
    <row r="682" spans="6:6" x14ac:dyDescent="0.35">
      <c r="F682" s="63" t="s">
        <v>4473</v>
      </c>
    </row>
    <row r="683" spans="6:6" x14ac:dyDescent="0.35">
      <c r="F683" s="63" t="s">
        <v>4499</v>
      </c>
    </row>
    <row r="684" spans="6:6" x14ac:dyDescent="0.35">
      <c r="F684" s="63" t="s">
        <v>4501</v>
      </c>
    </row>
    <row r="685" spans="6:6" x14ac:dyDescent="0.35">
      <c r="F685" s="63" t="s">
        <v>4503</v>
      </c>
    </row>
    <row r="686" spans="6:6" x14ac:dyDescent="0.35">
      <c r="F686" s="63" t="s">
        <v>4505</v>
      </c>
    </row>
    <row r="687" spans="6:6" x14ac:dyDescent="0.35">
      <c r="F687" s="63" t="s">
        <v>4507</v>
      </c>
    </row>
    <row r="688" spans="6:6" x14ac:dyDescent="0.35">
      <c r="F688" s="63" t="s">
        <v>4533</v>
      </c>
    </row>
    <row r="689" spans="6:6" x14ac:dyDescent="0.35">
      <c r="F689" s="63" t="s">
        <v>4559</v>
      </c>
    </row>
    <row r="690" spans="6:6" x14ac:dyDescent="0.35">
      <c r="F690" s="63" t="s">
        <v>4563</v>
      </c>
    </row>
    <row r="691" spans="6:6" x14ac:dyDescent="0.35">
      <c r="F691" s="63" t="s">
        <v>4565</v>
      </c>
    </row>
    <row r="692" spans="6:6" x14ac:dyDescent="0.35">
      <c r="F692" s="63" t="s">
        <v>4607</v>
      </c>
    </row>
    <row r="693" spans="6:6" x14ac:dyDescent="0.35">
      <c r="F693" s="63" t="s">
        <v>4609</v>
      </c>
    </row>
    <row r="694" spans="6:6" x14ac:dyDescent="0.35">
      <c r="F694" s="63" t="s">
        <v>4611</v>
      </c>
    </row>
    <row r="695" spans="6:6" x14ac:dyDescent="0.35">
      <c r="F695" s="63" t="s">
        <v>4986</v>
      </c>
    </row>
    <row r="696" spans="6:6" x14ac:dyDescent="0.35">
      <c r="F696" s="63" t="s">
        <v>5005</v>
      </c>
    </row>
    <row r="697" spans="6:6" x14ac:dyDescent="0.35">
      <c r="F697" s="63" t="s">
        <v>5054</v>
      </c>
    </row>
    <row r="698" spans="6:6" x14ac:dyDescent="0.35">
      <c r="F698" s="63" t="s">
        <v>5141</v>
      </c>
    </row>
    <row r="699" spans="6:6" x14ac:dyDescent="0.35">
      <c r="F699" s="63" t="s">
        <v>5148</v>
      </c>
    </row>
    <row r="700" spans="6:6" x14ac:dyDescent="0.35">
      <c r="F700" s="63" t="s">
        <v>5150</v>
      </c>
    </row>
    <row r="701" spans="6:6" x14ac:dyDescent="0.35">
      <c r="F701" s="63" t="s">
        <v>5192</v>
      </c>
    </row>
    <row r="702" spans="6:6" x14ac:dyDescent="0.35">
      <c r="F702" s="63" t="s">
        <v>5240</v>
      </c>
    </row>
    <row r="703" spans="6:6" x14ac:dyDescent="0.35">
      <c r="F703" s="63" t="s">
        <v>5244</v>
      </c>
    </row>
    <row r="704" spans="6:6" x14ac:dyDescent="0.35">
      <c r="F704" s="63" t="s">
        <v>5246</v>
      </c>
    </row>
    <row r="705" spans="6:6" x14ac:dyDescent="0.35">
      <c r="F705" s="63" t="s">
        <v>5250</v>
      </c>
    </row>
    <row r="706" spans="6:6" x14ac:dyDescent="0.35">
      <c r="F706" s="63" t="s">
        <v>5254</v>
      </c>
    </row>
    <row r="707" spans="6:6" x14ac:dyDescent="0.35">
      <c r="F707" s="63" t="s">
        <v>5260</v>
      </c>
    </row>
    <row r="708" spans="6:6" x14ac:dyDescent="0.35">
      <c r="F708" s="63" t="s">
        <v>5266</v>
      </c>
    </row>
    <row r="709" spans="6:6" x14ac:dyDescent="0.35">
      <c r="F709" s="63" t="s">
        <v>5273</v>
      </c>
    </row>
    <row r="710" spans="6:6" x14ac:dyDescent="0.35">
      <c r="F710" s="63" t="s">
        <v>5275</v>
      </c>
    </row>
    <row r="711" spans="6:6" x14ac:dyDescent="0.35">
      <c r="F711" s="63" t="s">
        <v>5277</v>
      </c>
    </row>
    <row r="712" spans="6:6" x14ac:dyDescent="0.35">
      <c r="F712" s="63" t="s">
        <v>5279</v>
      </c>
    </row>
    <row r="713" spans="6:6" x14ac:dyDescent="0.35">
      <c r="F713" s="63" t="s">
        <v>5350</v>
      </c>
    </row>
    <row r="714" spans="6:6" x14ac:dyDescent="0.35">
      <c r="F714" s="63" t="s">
        <v>5352</v>
      </c>
    </row>
    <row r="715" spans="6:6" x14ac:dyDescent="0.35">
      <c r="F715" s="63" t="s">
        <v>5354</v>
      </c>
    </row>
    <row r="716" spans="6:6" x14ac:dyDescent="0.35">
      <c r="F716" s="63" t="s">
        <v>5356</v>
      </c>
    </row>
    <row r="717" spans="6:6" x14ac:dyDescent="0.35">
      <c r="F717" s="63" t="s">
        <v>5358</v>
      </c>
    </row>
    <row r="718" spans="6:6" x14ac:dyDescent="0.35">
      <c r="F718" s="63" t="s">
        <v>5360</v>
      </c>
    </row>
    <row r="719" spans="6:6" x14ac:dyDescent="0.35">
      <c r="F719" s="63" t="s">
        <v>5362</v>
      </c>
    </row>
    <row r="720" spans="6:6" x14ac:dyDescent="0.35">
      <c r="F720" s="63" t="s">
        <v>5385</v>
      </c>
    </row>
    <row r="721" spans="6:6" x14ac:dyDescent="0.35">
      <c r="F721" s="63" t="s">
        <v>5391</v>
      </c>
    </row>
    <row r="722" spans="6:6" x14ac:dyDescent="0.35">
      <c r="F722" s="63" t="s">
        <v>5407</v>
      </c>
    </row>
    <row r="723" spans="6:6" x14ac:dyDescent="0.35">
      <c r="F723" s="63" t="s">
        <v>5438</v>
      </c>
    </row>
    <row r="724" spans="6:6" x14ac:dyDescent="0.35">
      <c r="F724" s="63" t="s">
        <v>5459</v>
      </c>
    </row>
    <row r="725" spans="6:6" x14ac:dyDescent="0.35">
      <c r="F725" s="63" t="s">
        <v>5460</v>
      </c>
    </row>
    <row r="726" spans="6:6" x14ac:dyDescent="0.35">
      <c r="F726" s="63" t="s">
        <v>5467</v>
      </c>
    </row>
    <row r="727" spans="6:6" x14ac:dyDescent="0.35">
      <c r="F727" s="63" t="s">
        <v>5470</v>
      </c>
    </row>
    <row r="728" spans="6:6" x14ac:dyDescent="0.35">
      <c r="F728" s="63" t="s">
        <v>5478</v>
      </c>
    </row>
    <row r="729" spans="6:6" x14ac:dyDescent="0.35">
      <c r="F729" s="63" t="s">
        <v>5486</v>
      </c>
    </row>
    <row r="730" spans="6:6" x14ac:dyDescent="0.35">
      <c r="F730" s="63" t="s">
        <v>5490</v>
      </c>
    </row>
    <row r="731" spans="6:6" x14ac:dyDescent="0.35">
      <c r="F731" s="63" t="s">
        <v>5494</v>
      </c>
    </row>
    <row r="732" spans="6:6" x14ac:dyDescent="0.35">
      <c r="F732" s="63" t="s">
        <v>5496</v>
      </c>
    </row>
    <row r="733" spans="6:6" x14ac:dyDescent="0.35">
      <c r="F733" s="63" t="s">
        <v>5498</v>
      </c>
    </row>
    <row r="734" spans="6:6" x14ac:dyDescent="0.35">
      <c r="F734" s="63" t="s">
        <v>5500</v>
      </c>
    </row>
    <row r="735" spans="6:6" x14ac:dyDescent="0.35">
      <c r="F735" s="63" t="s">
        <v>5506</v>
      </c>
    </row>
    <row r="736" spans="6:6" x14ac:dyDescent="0.35">
      <c r="F736" s="63" t="s">
        <v>5550</v>
      </c>
    </row>
    <row r="737" spans="6:6" x14ac:dyDescent="0.35">
      <c r="F737" s="63" t="s">
        <v>5553</v>
      </c>
    </row>
    <row r="738" spans="6:6" x14ac:dyDescent="0.35">
      <c r="F738" s="63" t="s">
        <v>5585</v>
      </c>
    </row>
    <row r="739" spans="6:6" x14ac:dyDescent="0.35">
      <c r="F739" s="63" t="s">
        <v>6034</v>
      </c>
    </row>
  </sheetData>
  <conditionalFormatting sqref="F2:F487">
    <cfRule type="duplicateValues" dxfId="0" priority="47188"/>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12F507D9CA8F4FA5134AF7656E8280" ma:contentTypeVersion="17" ma:contentTypeDescription="Create a new document." ma:contentTypeScope="" ma:versionID="909ea1c12f67ffc748e3e5776fca9bea">
  <xsd:schema xmlns:xsd="http://www.w3.org/2001/XMLSchema" xmlns:xs="http://www.w3.org/2001/XMLSchema" xmlns:p="http://schemas.microsoft.com/office/2006/metadata/properties" xmlns:ns2="af0ecff1-3d71-44eb-89b9-adff9d76141d" xmlns:ns3="4f5ddf3c-5e6b-4ecc-9c83-3b1958391a82" targetNamespace="http://schemas.microsoft.com/office/2006/metadata/properties" ma:root="true" ma:fieldsID="32cc7be530c7b60e180707bc81575b59" ns2:_="" ns3:_="">
    <xsd:import namespace="af0ecff1-3d71-44eb-89b9-adff9d76141d"/>
    <xsd:import namespace="4f5ddf3c-5e6b-4ecc-9c83-3b1958391a8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0ecff1-3d71-44eb-89b9-adff9d761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f320588-fdb2-4383-9e07-40f59a2d1c71"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5ddf3c-5e6b-4ecc-9c83-3b1958391a8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7f450b8-5893-4eb0-94cd-a728a6cfd782}" ma:internalName="TaxCatchAll" ma:showField="CatchAllData" ma:web="4f5ddf3c-5e6b-4ecc-9c83-3b1958391a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0ecff1-3d71-44eb-89b9-adff9d76141d">
      <Terms xmlns="http://schemas.microsoft.com/office/infopath/2007/PartnerControls"/>
    </lcf76f155ced4ddcb4097134ff3c332f>
    <TaxCatchAll xmlns="4f5ddf3c-5e6b-4ecc-9c83-3b1958391a82" xsi:nil="true"/>
  </documentManagement>
</p:properties>
</file>

<file path=customXml/itemProps1.xml><?xml version="1.0" encoding="utf-8"?>
<ds:datastoreItem xmlns:ds="http://schemas.openxmlformats.org/officeDocument/2006/customXml" ds:itemID="{4AF43C89-290E-4F98-804C-BC7E54D5ED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0ecff1-3d71-44eb-89b9-adff9d76141d"/>
    <ds:schemaRef ds:uri="4f5ddf3c-5e6b-4ecc-9c83-3b1958391a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5DECBD-C9FD-449B-B516-CDFB1273D7F7}">
  <ds:schemaRefs>
    <ds:schemaRef ds:uri="http://schemas.microsoft.com/sharepoint/v3/contenttype/forms"/>
  </ds:schemaRefs>
</ds:datastoreItem>
</file>

<file path=customXml/itemProps3.xml><?xml version="1.0" encoding="utf-8"?>
<ds:datastoreItem xmlns:ds="http://schemas.openxmlformats.org/officeDocument/2006/customXml" ds:itemID="{02E259A7-3549-4C8C-9871-22E0D2DD08A9}">
  <ds:schemaRefs>
    <ds:schemaRef ds:uri="af0ecff1-3d71-44eb-89b9-adff9d76141d"/>
    <ds:schemaRef ds:uri="http://purl.org/dc/terms/"/>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infopath/2007/PartnerControls"/>
    <ds:schemaRef ds:uri="4f5ddf3c-5e6b-4ecc-9c83-3b1958391a8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Intro</vt:lpstr>
      <vt:lpstr>Assessment</vt:lpstr>
      <vt:lpstr>Sample Tables</vt:lpstr>
      <vt:lpstr>Inherited</vt:lpstr>
      <vt:lpstr>Checklist &amp; Documents</vt:lpstr>
      <vt:lpstr>Math</vt:lpstr>
      <vt:lpstr>Request List</vt:lpstr>
      <vt:lpstr>Service Request IDs</vt:lpstr>
      <vt:lpstr>Scope</vt:lpstr>
      <vt:lpstr>SRMs</vt:lpstr>
      <vt:lpstr>Fields &amp; Revisions</vt:lpstr>
      <vt:lpstr>Applicable</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A-LIGN</dc:creator>
  <cp:keywords/>
  <dc:description/>
  <cp:lastModifiedBy>Adrienne Lemar</cp:lastModifiedBy>
  <cp:revision/>
  <dcterms:created xsi:type="dcterms:W3CDTF">2017-09-07T16:04:28Z</dcterms:created>
  <dcterms:modified xsi:type="dcterms:W3CDTF">2026-02-11T20:56:13Z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0x010100BB12F507D9CA8F4FA5134AF7656E8280</vt:lpwstr>
  </property>
  <property fmtid="{D5CDD505-2E9C-101B-9397-08002B2CF9AE}" pid="3" name="MediaServiceImageTags">
    <vt:lpwstr/>
  </property>
</Properties>
</file>